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ortiz\Downloads\"/>
    </mc:Choice>
  </mc:AlternateContent>
  <xr:revisionPtr revIDLastSave="0" documentId="8_{6B53C21C-3306-4574-BC2C-E3CCCE041F14}" xr6:coauthVersionLast="47" xr6:coauthVersionMax="47" xr10:uidLastSave="{00000000-0000-0000-0000-000000000000}"/>
  <bookViews>
    <workbookView xWindow="-108" yWindow="-108" windowWidth="23256" windowHeight="13896" tabRatio="778" xr2:uid="{272284B4-CCD2-497E-B6B7-62E50906DD94}"/>
  </bookViews>
  <sheets>
    <sheet name="ESCENARIO 1" sheetId="1" r:id="rId1"/>
    <sheet name="Hoja1" sheetId="18" r:id="rId2"/>
    <sheet name="Hoja8" sheetId="17" r:id="rId3"/>
    <sheet name="INVERSIONES" sheetId="10" r:id="rId4"/>
    <sheet name="Gastos" sheetId="2" r:id="rId5"/>
    <sheet name="DIAS" sheetId="6" r:id="rId6"/>
    <sheet name="INGRESOSXDIA-HABIL" sheetId="4" r:id="rId7"/>
  </sheets>
  <definedNames>
    <definedName name="_xlnm._FilterDatabase" localSheetId="5" hidden="1">DIAS!$A$1:$M$22</definedName>
    <definedName name="_xlnm._FilterDatabase" localSheetId="4" hidden="1">Gastos!$A$1:$AC$1842</definedName>
    <definedName name="_xlnm._FilterDatabase" localSheetId="6" hidden="1">'INGRESOSXDIA-HABIL'!$A$2:$D$26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" i="1" l="1"/>
  <c r="LX3" i="1"/>
  <c r="LX4" i="1"/>
  <c r="E8" i="1"/>
  <c r="C8" i="1"/>
  <c r="B8" i="1"/>
  <c r="B7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B4" i="1"/>
  <c r="C2" i="1" s="1"/>
  <c r="C5" i="1" s="1"/>
  <c r="C4" i="1"/>
  <c r="D2" i="1" s="1"/>
  <c r="D5" i="1" s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B5" i="1"/>
  <c r="B10" i="1"/>
  <c r="AC3" i="1"/>
  <c r="AC4" i="1"/>
  <c r="D6" i="17"/>
  <c r="E2" i="17" s="1"/>
  <c r="E6" i="17" s="1"/>
  <c r="F2" i="17" s="1"/>
  <c r="F6" i="17" s="1"/>
  <c r="G2" i="17" s="1"/>
  <c r="G6" i="17" s="1"/>
  <c r="H2" i="17" s="1"/>
  <c r="H6" i="17" s="1"/>
  <c r="I2" i="17" s="1"/>
  <c r="I6" i="17" s="1"/>
  <c r="J2" i="17" s="1"/>
  <c r="J6" i="17" s="1"/>
  <c r="K2" i="17" s="1"/>
  <c r="K6" i="17" s="1"/>
  <c r="L2" i="17" s="1"/>
  <c r="L6" i="17" s="1"/>
  <c r="C6" i="17"/>
  <c r="D2" i="17" s="1"/>
  <c r="C2" i="17"/>
  <c r="B6" i="17"/>
  <c r="V23" i="4"/>
  <c r="I7" i="2"/>
  <c r="C7" i="1" l="1"/>
  <c r="C9" i="1"/>
  <c r="C10" i="1"/>
  <c r="C6" i="1"/>
  <c r="D9" i="1"/>
  <c r="E2" i="1" s="1"/>
  <c r="E5" i="1" s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2" i="2"/>
  <c r="E9" i="1" l="1"/>
  <c r="F2" i="1" s="1"/>
  <c r="F5" i="1" s="1"/>
  <c r="D10" i="1"/>
  <c r="D6" i="1"/>
  <c r="D7" i="1"/>
  <c r="H24" i="4"/>
  <c r="Y1" i="4"/>
  <c r="AC1841" i="2"/>
  <c r="AC1842" i="2"/>
  <c r="AA1841" i="2"/>
  <c r="AA1842" i="2"/>
  <c r="Y1841" i="2"/>
  <c r="Y1842" i="2"/>
  <c r="W1841" i="2"/>
  <c r="W1842" i="2"/>
  <c r="U1842" i="2"/>
  <c r="S1842" i="2"/>
  <c r="Q1842" i="2"/>
  <c r="O1842" i="2"/>
  <c r="M1842" i="2"/>
  <c r="K1842" i="2"/>
  <c r="I1842" i="2"/>
  <c r="U1841" i="2"/>
  <c r="S1841" i="2"/>
  <c r="Q1841" i="2"/>
  <c r="O1841" i="2"/>
  <c r="M1841" i="2"/>
  <c r="K1841" i="2"/>
  <c r="I1841" i="2"/>
  <c r="AC1840" i="2"/>
  <c r="AA1840" i="2"/>
  <c r="Y1840" i="2"/>
  <c r="W1840" i="2"/>
  <c r="U1840" i="2"/>
  <c r="S1840" i="2"/>
  <c r="S146" i="2"/>
  <c r="Q1840" i="2"/>
  <c r="O1840" i="2"/>
  <c r="M1840" i="2"/>
  <c r="K1840" i="2"/>
  <c r="I1840" i="2"/>
  <c r="AC1839" i="2"/>
  <c r="AA1839" i="2"/>
  <c r="Y1839" i="2"/>
  <c r="W1839" i="2"/>
  <c r="U1839" i="2"/>
  <c r="S1839" i="2"/>
  <c r="Q1839" i="2"/>
  <c r="O1839" i="2"/>
  <c r="M1839" i="2"/>
  <c r="K1839" i="2"/>
  <c r="I1839" i="2"/>
  <c r="I42" i="2"/>
  <c r="D8" i="1" l="1"/>
  <c r="E6" i="1"/>
  <c r="E10" i="1"/>
  <c r="E7" i="1"/>
  <c r="F7" i="1"/>
  <c r="F9" i="1"/>
  <c r="G2" i="1" s="1"/>
  <c r="G5" i="1" s="1"/>
  <c r="X9" i="4"/>
  <c r="X8" i="4"/>
  <c r="X7" i="4"/>
  <c r="X6" i="4"/>
  <c r="X5" i="4"/>
  <c r="X4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T9" i="4"/>
  <c r="T8" i="4"/>
  <c r="T7" i="4"/>
  <c r="T6" i="4"/>
  <c r="T5" i="4"/>
  <c r="T4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R10" i="4"/>
  <c r="R9" i="4"/>
  <c r="R8" i="4"/>
  <c r="R7" i="4"/>
  <c r="R6" i="4"/>
  <c r="R5" i="4"/>
  <c r="R4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11" i="4"/>
  <c r="G6" i="1" l="1"/>
  <c r="G10" i="1"/>
  <c r="G9" i="1"/>
  <c r="H2" i="1" s="1"/>
  <c r="H5" i="1" s="1"/>
  <c r="G7" i="1"/>
  <c r="F10" i="1"/>
  <c r="F6" i="1"/>
  <c r="F8" i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L25" i="4"/>
  <c r="N9" i="4"/>
  <c r="N8" i="4"/>
  <c r="N7" i="4"/>
  <c r="N6" i="4"/>
  <c r="N5" i="4"/>
  <c r="N4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10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5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H23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4" i="4"/>
  <c r="F2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4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H7" i="1" l="1"/>
  <c r="H9" i="1"/>
  <c r="I2" i="1" s="1"/>
  <c r="I5" i="1" s="1"/>
  <c r="G8" i="1"/>
  <c r="H10" i="1"/>
  <c r="H6" i="1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I9" i="1" l="1"/>
  <c r="J2" i="1" s="1"/>
  <c r="J5" i="1" s="1"/>
  <c r="I7" i="1"/>
  <c r="H8" i="1"/>
  <c r="I6" i="1"/>
  <c r="I10" i="1"/>
  <c r="I20" i="2"/>
  <c r="I1248" i="2"/>
  <c r="I6" i="2"/>
  <c r="I1233" i="2"/>
  <c r="I1250" i="2"/>
  <c r="I8" i="2"/>
  <c r="I9" i="2"/>
  <c r="I1249" i="2"/>
  <c r="I538" i="2"/>
  <c r="I1253" i="2"/>
  <c r="I533" i="2"/>
  <c r="I19" i="2"/>
  <c r="I1370" i="2"/>
  <c r="I1409" i="2"/>
  <c r="I1534" i="2"/>
  <c r="I1440" i="2"/>
  <c r="I748" i="2"/>
  <c r="I1339" i="2"/>
  <c r="I599" i="2"/>
  <c r="I643" i="2"/>
  <c r="I1443" i="2"/>
  <c r="I1425" i="2"/>
  <c r="I1490" i="2"/>
  <c r="I861" i="2"/>
  <c r="I1347" i="2"/>
  <c r="I1348" i="2"/>
  <c r="I1492" i="2"/>
  <c r="I1529" i="2"/>
  <c r="I740" i="2"/>
  <c r="I1029" i="2"/>
  <c r="I1315" i="2"/>
  <c r="I1408" i="2"/>
  <c r="I1135" i="2"/>
  <c r="I1150" i="2"/>
  <c r="I706" i="2"/>
  <c r="I1343" i="2"/>
  <c r="I1435" i="2"/>
  <c r="I1436" i="2"/>
  <c r="I1449" i="2"/>
  <c r="I1450" i="2"/>
  <c r="I1352" i="2"/>
  <c r="I1513" i="2"/>
  <c r="I856" i="2"/>
  <c r="I668" i="2"/>
  <c r="I1530" i="2"/>
  <c r="I694" i="2"/>
  <c r="I1430" i="2"/>
  <c r="I700" i="2"/>
  <c r="I641" i="2"/>
  <c r="I1090" i="2"/>
  <c r="I583" i="2"/>
  <c r="I584" i="2"/>
  <c r="I1415" i="2"/>
  <c r="I727" i="2"/>
  <c r="I1139" i="2"/>
  <c r="I1355" i="2"/>
  <c r="I728" i="2"/>
  <c r="I511" i="2"/>
  <c r="I746" i="2"/>
  <c r="I639" i="2"/>
  <c r="I1778" i="2"/>
  <c r="I1437" i="2"/>
  <c r="I905" i="2"/>
  <c r="I1493" i="2"/>
  <c r="I1521" i="2"/>
  <c r="I1522" i="2"/>
  <c r="I1174" i="2"/>
  <c r="I578" i="2"/>
  <c r="I854" i="2"/>
  <c r="I1178" i="2"/>
  <c r="I863" i="2"/>
  <c r="I507" i="2"/>
  <c r="I1170" i="2"/>
  <c r="I820" i="2"/>
  <c r="I1523" i="2"/>
  <c r="I1524" i="2"/>
  <c r="I1141" i="2"/>
  <c r="I931" i="2"/>
  <c r="I910" i="2"/>
  <c r="I1394" i="2"/>
  <c r="I1395" i="2"/>
  <c r="I1041" i="2"/>
  <c r="I812" i="2"/>
  <c r="I1396" i="2"/>
  <c r="I28" i="2"/>
  <c r="I1044" i="2"/>
  <c r="I1112" i="2"/>
  <c r="I799" i="2"/>
  <c r="I151" i="2"/>
  <c r="I918" i="2"/>
  <c r="I1461" i="2"/>
  <c r="I518" i="2"/>
  <c r="I1137" i="2"/>
  <c r="I729" i="2"/>
  <c r="I867" i="2"/>
  <c r="I1031" i="2"/>
  <c r="I780" i="2"/>
  <c r="I777" i="2"/>
  <c r="I675" i="2"/>
  <c r="I1037" i="2"/>
  <c r="I676" i="2"/>
  <c r="I657" i="2"/>
  <c r="I623" i="2"/>
  <c r="I624" i="2"/>
  <c r="I926" i="2"/>
  <c r="I589" i="2"/>
  <c r="I665" i="2"/>
  <c r="I810" i="2"/>
  <c r="I928" i="2"/>
  <c r="I654" i="2"/>
  <c r="I523" i="2"/>
  <c r="I769" i="2"/>
  <c r="I702" i="2"/>
  <c r="I1133" i="2"/>
  <c r="I846" i="2"/>
  <c r="I677" i="2"/>
  <c r="I1131" i="2"/>
  <c r="I858" i="2"/>
  <c r="I1341" i="2"/>
  <c r="I1779" i="2"/>
  <c r="I1068" i="2"/>
  <c r="I661" i="2"/>
  <c r="I1127" i="2"/>
  <c r="I1129" i="2"/>
  <c r="I145" i="2"/>
  <c r="I1505" i="2"/>
  <c r="I605" i="2"/>
  <c r="I161" i="2"/>
  <c r="I191" i="2"/>
  <c r="I783" i="2"/>
  <c r="I851" i="2"/>
  <c r="I123" i="2"/>
  <c r="I257" i="2"/>
  <c r="I1143" i="2"/>
  <c r="I1780" i="2"/>
  <c r="I1496" i="2"/>
  <c r="I1497" i="2"/>
  <c r="I865" i="2"/>
  <c r="I1459" i="2"/>
  <c r="I266" i="2"/>
  <c r="I907" i="2"/>
  <c r="I1410" i="2"/>
  <c r="I1411" i="2"/>
  <c r="I730" i="2"/>
  <c r="I242" i="2"/>
  <c r="I513" i="2"/>
  <c r="I806" i="2"/>
  <c r="I1165" i="2"/>
  <c r="I1226" i="2"/>
  <c r="I1397" i="2"/>
  <c r="I515" i="2"/>
  <c r="I56" i="2"/>
  <c r="I1454" i="2"/>
  <c r="I1462" i="2"/>
  <c r="I502" i="2"/>
  <c r="I1254" i="2"/>
  <c r="I1310" i="2"/>
  <c r="I1334" i="2"/>
  <c r="I483" i="2"/>
  <c r="I16" i="2"/>
  <c r="I621" i="2"/>
  <c r="I574" i="2"/>
  <c r="I580" i="2"/>
  <c r="I2" i="2"/>
  <c r="I497" i="2"/>
  <c r="I503" i="2"/>
  <c r="I484" i="2"/>
  <c r="I1241" i="2"/>
  <c r="I18" i="2"/>
  <c r="I43" i="2"/>
  <c r="I45" i="2"/>
  <c r="I44" i="2"/>
  <c r="I504" i="2"/>
  <c r="I15" i="2"/>
  <c r="I1316" i="2"/>
  <c r="I46" i="2"/>
  <c r="I1255" i="2"/>
  <c r="I1256" i="2"/>
  <c r="I1257" i="2"/>
  <c r="I64" i="2"/>
  <c r="I1258" i="2"/>
  <c r="I646" i="2"/>
  <c r="I800" i="2"/>
  <c r="I498" i="2"/>
  <c r="I1428" i="2"/>
  <c r="I1460" i="2"/>
  <c r="I575" i="2"/>
  <c r="I67" i="2"/>
  <c r="I1500" i="2"/>
  <c r="I1369" i="2"/>
  <c r="I1377" i="2"/>
  <c r="I807" i="2"/>
  <c r="I1320" i="2"/>
  <c r="I48" i="2"/>
  <c r="I1520" i="2"/>
  <c r="I767" i="2"/>
  <c r="I768" i="2"/>
  <c r="I1022" i="2"/>
  <c r="I55" i="2"/>
  <c r="I749" i="2"/>
  <c r="I1055" i="2"/>
  <c r="I485" i="2"/>
  <c r="I1260" i="2"/>
  <c r="I839" i="2"/>
  <c r="I600" i="2"/>
  <c r="I644" i="2"/>
  <c r="I1261" i="2"/>
  <c r="I499" i="2"/>
  <c r="I1262" i="2"/>
  <c r="I1354" i="2"/>
  <c r="I715" i="2"/>
  <c r="I862" i="2"/>
  <c r="I1349" i="2"/>
  <c r="I1228" i="2"/>
  <c r="I1378" i="2"/>
  <c r="I1350" i="2"/>
  <c r="I934" i="2"/>
  <c r="I1446" i="2"/>
  <c r="I1215" i="2"/>
  <c r="I716" i="2"/>
  <c r="I739" i="2"/>
  <c r="I1030" i="2"/>
  <c r="I948" i="2"/>
  <c r="I1421" i="2"/>
  <c r="I717" i="2"/>
  <c r="I1045" i="2"/>
  <c r="I1263" i="2"/>
  <c r="I1488" i="2"/>
  <c r="I1264" i="2"/>
  <c r="I50" i="2"/>
  <c r="I1136" i="2"/>
  <c r="I1091" i="2"/>
  <c r="I1427" i="2"/>
  <c r="I1151" i="2"/>
  <c r="I576" i="2"/>
  <c r="I1344" i="2"/>
  <c r="I1047" i="2"/>
  <c r="I1048" i="2"/>
  <c r="I1265" i="2"/>
  <c r="I486" i="2"/>
  <c r="I49" i="2"/>
  <c r="I1330" i="2"/>
  <c r="I1434" i="2"/>
  <c r="I880" i="2"/>
  <c r="I1331" i="2"/>
  <c r="I1451" i="2"/>
  <c r="I1266" i="2"/>
  <c r="I1514" i="2"/>
  <c r="I1540" i="2"/>
  <c r="I1353" i="2"/>
  <c r="I857" i="2"/>
  <c r="I669" i="2"/>
  <c r="I1531" i="2"/>
  <c r="I695" i="2"/>
  <c r="I1431" i="2"/>
  <c r="I622" i="2"/>
  <c r="I607" i="2"/>
  <c r="I701" i="2"/>
  <c r="I642" i="2"/>
  <c r="I990" i="2"/>
  <c r="I5" i="2"/>
  <c r="I1092" i="2"/>
  <c r="I1168" i="2"/>
  <c r="I585" i="2"/>
  <c r="I586" i="2"/>
  <c r="I1267" i="2"/>
  <c r="I803" i="2"/>
  <c r="I723" i="2"/>
  <c r="I898" i="2"/>
  <c r="I1140" i="2"/>
  <c r="I1268" i="2"/>
  <c r="I1269" i="2"/>
  <c r="I724" i="2"/>
  <c r="I512" i="2"/>
  <c r="I747" i="2"/>
  <c r="I640" i="2"/>
  <c r="I353" i="2"/>
  <c r="I1479" i="2"/>
  <c r="I906" i="2"/>
  <c r="I1494" i="2"/>
  <c r="I1270" i="2"/>
  <c r="I3" i="2"/>
  <c r="I1525" i="2"/>
  <c r="I1175" i="2"/>
  <c r="I579" i="2"/>
  <c r="I855" i="2"/>
  <c r="I86" i="2"/>
  <c r="I1179" i="2"/>
  <c r="I864" i="2"/>
  <c r="I508" i="2"/>
  <c r="I755" i="2"/>
  <c r="I1171" i="2"/>
  <c r="I87" i="2"/>
  <c r="I916" i="2"/>
  <c r="I821" i="2"/>
  <c r="I1332" i="2"/>
  <c r="I1526" i="2"/>
  <c r="I1142" i="2"/>
  <c r="I1123" i="2"/>
  <c r="I932" i="2"/>
  <c r="I531" i="2"/>
  <c r="I911" i="2"/>
  <c r="I487" i="2"/>
  <c r="I1398" i="2"/>
  <c r="I1042" i="2"/>
  <c r="I813" i="2"/>
  <c r="I532" i="2"/>
  <c r="I1399" i="2"/>
  <c r="I577" i="2"/>
  <c r="I1046" i="2"/>
  <c r="I1271" i="2"/>
  <c r="I1113" i="2"/>
  <c r="I801" i="2"/>
  <c r="I152" i="2"/>
  <c r="I919" i="2"/>
  <c r="I908" i="2"/>
  <c r="I1335" i="2"/>
  <c r="I1463" i="2"/>
  <c r="I519" i="2"/>
  <c r="I1138" i="2"/>
  <c r="I4" i="2"/>
  <c r="I725" i="2"/>
  <c r="I924" i="2"/>
  <c r="I868" i="2"/>
  <c r="I1032" i="2"/>
  <c r="I781" i="2"/>
  <c r="I52" i="2"/>
  <c r="I778" i="2"/>
  <c r="I914" i="2"/>
  <c r="I678" i="2"/>
  <c r="I920" i="2"/>
  <c r="I887" i="2"/>
  <c r="I847" i="2"/>
  <c r="I734" i="2"/>
  <c r="I1038" i="2"/>
  <c r="I679" i="2"/>
  <c r="I658" i="2"/>
  <c r="I293" i="2"/>
  <c r="I921" i="2"/>
  <c r="I625" i="2"/>
  <c r="I626" i="2"/>
  <c r="I927" i="2"/>
  <c r="I590" i="2"/>
  <c r="I922" i="2"/>
  <c r="I666" i="2"/>
  <c r="I811" i="2"/>
  <c r="I929" i="2"/>
  <c r="I754" i="2"/>
  <c r="I1272" i="2"/>
  <c r="I770" i="2"/>
  <c r="I703" i="2"/>
  <c r="I1134" i="2"/>
  <c r="I848" i="2"/>
  <c r="I1444" i="2"/>
  <c r="I1035" i="2"/>
  <c r="I680" i="2"/>
  <c r="I1132" i="2"/>
  <c r="I859" i="2"/>
  <c r="I991" i="2"/>
  <c r="I1535" i="2"/>
  <c r="I1273" i="2"/>
  <c r="I878" i="2"/>
  <c r="I840" i="2"/>
  <c r="I1069" i="2"/>
  <c r="I662" i="2"/>
  <c r="I1484" i="2"/>
  <c r="I1128" i="2"/>
  <c r="I1176" i="2"/>
  <c r="I860" i="2"/>
  <c r="I1130" i="2"/>
  <c r="I148" i="2"/>
  <c r="I548" i="2"/>
  <c r="I1504" i="2"/>
  <c r="I606" i="2"/>
  <c r="I162" i="2"/>
  <c r="I51" i="2"/>
  <c r="I782" i="2"/>
  <c r="I53" i="2"/>
  <c r="I189" i="2"/>
  <c r="I1274" i="2"/>
  <c r="I1043" i="2"/>
  <c r="I852" i="2"/>
  <c r="I1152" i="2"/>
  <c r="I1114" i="2"/>
  <c r="I784" i="2"/>
  <c r="I853" i="2"/>
  <c r="I1464" i="2"/>
  <c r="I124" i="2"/>
  <c r="I923" i="2"/>
  <c r="I1732" i="2"/>
  <c r="I779" i="2"/>
  <c r="I258" i="2"/>
  <c r="I1741" i="2"/>
  <c r="I1177" i="2"/>
  <c r="I785" i="2"/>
  <c r="I1231" i="2"/>
  <c r="I915" i="2"/>
  <c r="I1483" i="2"/>
  <c r="I1372" i="2"/>
  <c r="I1275" i="2"/>
  <c r="I771" i="2"/>
  <c r="I802" i="2"/>
  <c r="I808" i="2"/>
  <c r="I1276" i="2"/>
  <c r="I1738" i="2"/>
  <c r="I1498" i="2"/>
  <c r="I1480" i="2"/>
  <c r="I866" i="2"/>
  <c r="I1455" i="2"/>
  <c r="I267" i="2"/>
  <c r="I1277" i="2"/>
  <c r="I542" i="2"/>
  <c r="I1503" i="2"/>
  <c r="I1278" i="2"/>
  <c r="I1172" i="2"/>
  <c r="I909" i="2"/>
  <c r="I1279" i="2"/>
  <c r="I1173" i="2"/>
  <c r="I930" i="2"/>
  <c r="I1412" i="2"/>
  <c r="I726" i="2"/>
  <c r="I243" i="2"/>
  <c r="I1166" i="2"/>
  <c r="I1734" i="2"/>
  <c r="I1731" i="2"/>
  <c r="I514" i="2"/>
  <c r="I101" i="2"/>
  <c r="I102" i="2"/>
  <c r="I1234" i="2"/>
  <c r="I809" i="2"/>
  <c r="I1167" i="2"/>
  <c r="I1227" i="2"/>
  <c r="I1313" i="2"/>
  <c r="I516" i="2"/>
  <c r="I1736" i="2"/>
  <c r="I1456" i="2"/>
  <c r="I1280" i="2"/>
  <c r="I1543" i="2"/>
  <c r="I1281" i="2"/>
  <c r="I505" i="2"/>
  <c r="I1740" i="2"/>
  <c r="I1416" i="2"/>
  <c r="I637" i="2"/>
  <c r="I1282" i="2"/>
  <c r="I1283" i="2"/>
  <c r="I1465" i="2"/>
  <c r="I1400" i="2"/>
  <c r="I1284" i="2"/>
  <c r="I1373" i="2"/>
  <c r="I1466" i="2"/>
  <c r="I1285" i="2"/>
  <c r="I1286" i="2"/>
  <c r="I488" i="2"/>
  <c r="I756" i="2"/>
  <c r="I757" i="2"/>
  <c r="I1287" i="2"/>
  <c r="I1417" i="2"/>
  <c r="I1180" i="2"/>
  <c r="I718" i="2"/>
  <c r="I1418" i="2"/>
  <c r="I492" i="2"/>
  <c r="I1288" i="2"/>
  <c r="I289" i="2"/>
  <c r="I1774" i="2"/>
  <c r="I1289" i="2"/>
  <c r="I581" i="2"/>
  <c r="I493" i="2"/>
  <c r="I1290" i="2"/>
  <c r="I1036" i="2"/>
  <c r="I489" i="2"/>
  <c r="I1291" i="2"/>
  <c r="I1292" i="2"/>
  <c r="I1293" i="2"/>
  <c r="I12" i="2"/>
  <c r="I1294" i="2"/>
  <c r="I1295" i="2"/>
  <c r="I1445" i="2"/>
  <c r="I506" i="2"/>
  <c r="I524" i="2"/>
  <c r="I494" i="2"/>
  <c r="I1296" i="2"/>
  <c r="I1775" i="2"/>
  <c r="I1297" i="2"/>
  <c r="I1776" i="2"/>
  <c r="I758" i="2"/>
  <c r="I1298" i="2"/>
  <c r="I1299" i="2"/>
  <c r="I925" i="2"/>
  <c r="I495" i="2"/>
  <c r="I500" i="2"/>
  <c r="I501" i="2"/>
  <c r="I1300" i="2"/>
  <c r="I1311" i="2"/>
  <c r="I129" i="2"/>
  <c r="I1301" i="2"/>
  <c r="I772" i="2"/>
  <c r="I773" i="2"/>
  <c r="I774" i="2"/>
  <c r="I775" i="2"/>
  <c r="I776" i="2"/>
  <c r="I591" i="2"/>
  <c r="I592" i="2"/>
  <c r="I789" i="2"/>
  <c r="I790" i="2"/>
  <c r="I791" i="2"/>
  <c r="I792" i="2"/>
  <c r="I793" i="2"/>
  <c r="I794" i="2"/>
  <c r="I795" i="2"/>
  <c r="I796" i="2"/>
  <c r="I797" i="2"/>
  <c r="I66" i="2"/>
  <c r="I290" i="2"/>
  <c r="I364" i="2"/>
  <c r="I365" i="2"/>
  <c r="I366" i="2"/>
  <c r="I367" i="2"/>
  <c r="I368" i="2"/>
  <c r="I804" i="2"/>
  <c r="I805" i="2"/>
  <c r="I70" i="2"/>
  <c r="I601" i="2"/>
  <c r="I602" i="2"/>
  <c r="I603" i="2"/>
  <c r="I604" i="2"/>
  <c r="I74" i="2"/>
  <c r="I75" i="2"/>
  <c r="I131" i="2"/>
  <c r="I1321" i="2"/>
  <c r="I1322" i="2"/>
  <c r="I1323" i="2"/>
  <c r="I1324" i="2"/>
  <c r="I1325" i="2"/>
  <c r="I1326" i="2"/>
  <c r="I1327" i="2"/>
  <c r="I1333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1336" i="2"/>
  <c r="I1337" i="2"/>
  <c r="I76" i="2"/>
  <c r="I77" i="2"/>
  <c r="I78" i="2"/>
  <c r="I79" i="2"/>
  <c r="I1340" i="2"/>
  <c r="I841" i="2"/>
  <c r="I842" i="2"/>
  <c r="I843" i="2"/>
  <c r="I844" i="2"/>
  <c r="I845" i="2"/>
  <c r="I81" i="2"/>
  <c r="I611" i="2"/>
  <c r="I612" i="2"/>
  <c r="I849" i="2"/>
  <c r="I372" i="2"/>
  <c r="I373" i="2"/>
  <c r="I374" i="2"/>
  <c r="I375" i="2"/>
  <c r="I376" i="2"/>
  <c r="I377" i="2"/>
  <c r="I378" i="2"/>
  <c r="I379" i="2"/>
  <c r="I380" i="2"/>
  <c r="I614" i="2"/>
  <c r="I627" i="2"/>
  <c r="I628" i="2"/>
  <c r="I629" i="2"/>
  <c r="I1345" i="2"/>
  <c r="I100" i="2"/>
  <c r="I1735" i="2"/>
  <c r="I543" i="2"/>
  <c r="I103" i="2"/>
  <c r="I302" i="2"/>
  <c r="I303" i="2"/>
  <c r="I304" i="2"/>
  <c r="I305" i="2"/>
  <c r="I306" i="2"/>
  <c r="I307" i="2"/>
  <c r="I308" i="2"/>
  <c r="I1544" i="2"/>
  <c r="I312" i="2"/>
  <c r="I313" i="2"/>
  <c r="I631" i="2"/>
  <c r="I1346" i="2"/>
  <c r="I1302" i="2"/>
  <c r="I1351" i="2"/>
  <c r="I1356" i="2"/>
  <c r="I1357" i="2"/>
  <c r="I1358" i="2"/>
  <c r="I1359" i="2"/>
  <c r="I1360" i="2"/>
  <c r="I509" i="2"/>
  <c r="I510" i="2"/>
  <c r="I1361" i="2"/>
  <c r="I869" i="2"/>
  <c r="I870" i="2"/>
  <c r="I871" i="2"/>
  <c r="I872" i="2"/>
  <c r="I873" i="2"/>
  <c r="I874" i="2"/>
  <c r="I875" i="2"/>
  <c r="I876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5" i="2"/>
  <c r="I126" i="2"/>
  <c r="I127" i="2"/>
  <c r="I128" i="2"/>
  <c r="I130" i="2"/>
  <c r="I1363" i="2"/>
  <c r="I1364" i="2"/>
  <c r="I1365" i="2"/>
  <c r="I1366" i="2"/>
  <c r="I1367" i="2"/>
  <c r="I550" i="2"/>
  <c r="I551" i="2"/>
  <c r="I552" i="2"/>
  <c r="I140" i="2"/>
  <c r="I553" i="2"/>
  <c r="I554" i="2"/>
  <c r="I555" i="2"/>
  <c r="I556" i="2"/>
  <c r="I634" i="2"/>
  <c r="I877" i="2"/>
  <c r="I142" i="2"/>
  <c r="I144" i="2"/>
  <c r="I1374" i="2"/>
  <c r="I1375" i="2"/>
  <c r="I1376" i="2"/>
  <c r="I557" i="2"/>
  <c r="I150" i="2"/>
  <c r="I879" i="2"/>
  <c r="I154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881" i="2"/>
  <c r="I882" i="2"/>
  <c r="I883" i="2"/>
  <c r="I888" i="2"/>
  <c r="I889" i="2"/>
  <c r="I1392" i="2"/>
  <c r="I1393" i="2"/>
  <c r="I899" i="2"/>
  <c r="I900" i="2"/>
  <c r="I901" i="2"/>
  <c r="I902" i="2"/>
  <c r="I903" i="2"/>
  <c r="I904" i="2"/>
  <c r="I1401" i="2"/>
  <c r="I1402" i="2"/>
  <c r="I1403" i="2"/>
  <c r="I1405" i="2"/>
  <c r="I1406" i="2"/>
  <c r="I1413" i="2"/>
  <c r="I1414" i="2"/>
  <c r="I638" i="2"/>
  <c r="I1419" i="2"/>
  <c r="I163" i="2"/>
  <c r="I164" i="2"/>
  <c r="I165" i="2"/>
  <c r="I166" i="2"/>
  <c r="I167" i="2"/>
  <c r="I168" i="2"/>
  <c r="I169" i="2"/>
  <c r="I170" i="2"/>
  <c r="I171" i="2"/>
  <c r="I172" i="2"/>
  <c r="I558" i="2"/>
  <c r="I559" i="2"/>
  <c r="I1422" i="2"/>
  <c r="I1423" i="2"/>
  <c r="I1424" i="2"/>
  <c r="I173" i="2"/>
  <c r="I174" i="2"/>
  <c r="I560" i="2"/>
  <c r="I175" i="2"/>
  <c r="I561" i="2"/>
  <c r="I645" i="2"/>
  <c r="I647" i="2"/>
  <c r="I182" i="2"/>
  <c r="I183" i="2"/>
  <c r="I1426" i="2"/>
  <c r="I650" i="2"/>
  <c r="I31" i="2"/>
  <c r="I186" i="2"/>
  <c r="I187" i="2"/>
  <c r="I188" i="2"/>
  <c r="I1433" i="2"/>
  <c r="I1438" i="2"/>
  <c r="I1439" i="2"/>
  <c r="I192" i="2"/>
  <c r="I1441" i="2"/>
  <c r="I334" i="2"/>
  <c r="I428" i="2"/>
  <c r="I429" i="2"/>
  <c r="I430" i="2"/>
  <c r="I431" i="2"/>
  <c r="I432" i="2"/>
  <c r="I433" i="2"/>
  <c r="I434" i="2"/>
  <c r="I435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92" i="2"/>
  <c r="I993" i="2"/>
  <c r="I994" i="2"/>
  <c r="I995" i="2"/>
  <c r="I996" i="2"/>
  <c r="I997" i="2"/>
  <c r="I998" i="2"/>
  <c r="I999" i="2"/>
  <c r="I1000" i="2"/>
  <c r="I1001" i="2"/>
  <c r="I1023" i="2"/>
  <c r="I1024" i="2"/>
  <c r="I1025" i="2"/>
  <c r="I1026" i="2"/>
  <c r="I1027" i="2"/>
  <c r="I1028" i="2"/>
  <c r="I652" i="2"/>
  <c r="I653" i="2"/>
  <c r="I659" i="2"/>
  <c r="I660" i="2"/>
  <c r="I1457" i="2"/>
  <c r="I1458" i="2"/>
  <c r="I663" i="2"/>
  <c r="I570" i="2"/>
  <c r="I195" i="2"/>
  <c r="I196" i="2"/>
  <c r="I197" i="2"/>
  <c r="I1467" i="2"/>
  <c r="I1468" i="2"/>
  <c r="I1469" i="2"/>
  <c r="I1470" i="2"/>
  <c r="I1471" i="2"/>
  <c r="I1472" i="2"/>
  <c r="I1473" i="2"/>
  <c r="I1474" i="2"/>
  <c r="I1475" i="2"/>
  <c r="I1476" i="2"/>
  <c r="I336" i="2"/>
  <c r="I337" i="2"/>
  <c r="I1478" i="2"/>
  <c r="I198" i="2"/>
  <c r="I199" i="2"/>
  <c r="I200" i="2"/>
  <c r="I201" i="2"/>
  <c r="I1481" i="2"/>
  <c r="I1482" i="2"/>
  <c r="I517" i="2"/>
  <c r="I1485" i="2"/>
  <c r="I1489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1491" i="2"/>
  <c r="I1049" i="2"/>
  <c r="I444" i="2"/>
  <c r="I1050" i="2"/>
  <c r="I1051" i="2"/>
  <c r="I1052" i="2"/>
  <c r="I445" i="2"/>
  <c r="I446" i="2"/>
  <c r="I447" i="2"/>
  <c r="I448" i="2"/>
  <c r="I449" i="2"/>
  <c r="I450" i="2"/>
  <c r="I451" i="2"/>
  <c r="I456" i="2"/>
  <c r="I457" i="2"/>
  <c r="I458" i="2"/>
  <c r="I1056" i="2"/>
  <c r="I1057" i="2"/>
  <c r="I1058" i="2"/>
  <c r="I228" i="2"/>
  <c r="I1059" i="2"/>
  <c r="I1060" i="2"/>
  <c r="I1061" i="2"/>
  <c r="I1062" i="2"/>
  <c r="I1063" i="2"/>
  <c r="I1064" i="2"/>
  <c r="I1065" i="2"/>
  <c r="I1066" i="2"/>
  <c r="I1067" i="2"/>
  <c r="I664" i="2"/>
  <c r="I1070" i="2"/>
  <c r="I1071" i="2"/>
  <c r="I229" i="2"/>
  <c r="I230" i="2"/>
  <c r="I231" i="2"/>
  <c r="I232" i="2"/>
  <c r="I233" i="2"/>
  <c r="I234" i="2"/>
  <c r="I235" i="2"/>
  <c r="I236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495" i="2"/>
  <c r="I1115" i="2"/>
  <c r="I1116" i="2"/>
  <c r="I1117" i="2"/>
  <c r="I1118" i="2"/>
  <c r="I1119" i="2"/>
  <c r="I239" i="2"/>
  <c r="I240" i="2"/>
  <c r="I241" i="2"/>
  <c r="I244" i="2"/>
  <c r="I1124" i="2"/>
  <c r="I1125" i="2"/>
  <c r="I1126" i="2"/>
  <c r="I459" i="2"/>
  <c r="I460" i="2"/>
  <c r="I245" i="2"/>
  <c r="I522" i="2"/>
  <c r="I462" i="2"/>
  <c r="I463" i="2"/>
  <c r="I464" i="2"/>
  <c r="I465" i="2"/>
  <c r="I466" i="2"/>
  <c r="I467" i="2"/>
  <c r="I468" i="2"/>
  <c r="I469" i="2"/>
  <c r="I470" i="2"/>
  <c r="I248" i="2"/>
  <c r="I681" i="2"/>
  <c r="I683" i="2"/>
  <c r="I525" i="2"/>
  <c r="I526" i="2"/>
  <c r="I527" i="2"/>
  <c r="I528" i="2"/>
  <c r="I1506" i="2"/>
  <c r="I1508" i="2"/>
  <c r="I688" i="2"/>
  <c r="I689" i="2"/>
  <c r="I690" i="2"/>
  <c r="I691" i="2"/>
  <c r="I692" i="2"/>
  <c r="I1509" i="2"/>
  <c r="I1510" i="2"/>
  <c r="I696" i="2"/>
  <c r="I249" i="2"/>
  <c r="I704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733" i="2"/>
  <c r="I255" i="2"/>
  <c r="I256" i="2"/>
  <c r="I571" i="2"/>
  <c r="I572" i="2"/>
  <c r="I1169" i="2"/>
  <c r="I351" i="2"/>
  <c r="I352" i="2"/>
  <c r="I1515" i="2"/>
  <c r="I1516" i="2"/>
  <c r="I1517" i="2"/>
  <c r="I1518" i="2"/>
  <c r="I1519" i="2"/>
  <c r="I708" i="2"/>
  <c r="I259" i="2"/>
  <c r="I260" i="2"/>
  <c r="I261" i="2"/>
  <c r="I262" i="2"/>
  <c r="I1242" i="2"/>
  <c r="I1243" i="2"/>
  <c r="I263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1244" i="2"/>
  <c r="I1527" i="2"/>
  <c r="I1528" i="2"/>
  <c r="I283" i="2"/>
  <c r="I1532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731" i="2"/>
  <c r="I732" i="2"/>
  <c r="I285" i="2"/>
  <c r="I286" i="2"/>
  <c r="I741" i="2"/>
  <c r="I742" i="2"/>
  <c r="I490" i="2"/>
  <c r="I743" i="2"/>
  <c r="I744" i="2"/>
  <c r="I535" i="2"/>
  <c r="I536" i="2"/>
  <c r="I537" i="2"/>
  <c r="I1536" i="2"/>
  <c r="I1537" i="2"/>
  <c r="I1538" i="2"/>
  <c r="I1197" i="2"/>
  <c r="I1198" i="2"/>
  <c r="I1199" i="2"/>
  <c r="I480" i="2"/>
  <c r="I1200" i="2"/>
  <c r="I1201" i="2"/>
  <c r="I1202" i="2"/>
  <c r="I1203" i="2"/>
  <c r="I1216" i="2"/>
  <c r="I1217" i="2"/>
  <c r="I1218" i="2"/>
  <c r="I1219" i="2"/>
  <c r="I1220" i="2"/>
  <c r="I1221" i="2"/>
  <c r="I1222" i="2"/>
  <c r="I1223" i="2"/>
  <c r="I1224" i="2"/>
  <c r="I1225" i="2"/>
  <c r="I750" i="2"/>
  <c r="I751" i="2"/>
  <c r="I752" i="2"/>
  <c r="I1739" i="2"/>
  <c r="I546" i="2"/>
  <c r="I547" i="2"/>
  <c r="I1542" i="2"/>
  <c r="I54" i="2"/>
  <c r="I1232" i="2"/>
  <c r="I1312" i="2"/>
  <c r="I1317" i="2"/>
  <c r="I1318" i="2"/>
  <c r="I1319" i="2"/>
  <c r="I1328" i="2"/>
  <c r="I1329" i="2"/>
  <c r="I1342" i="2"/>
  <c r="I1362" i="2"/>
  <c r="I1368" i="2"/>
  <c r="I787" i="2"/>
  <c r="I788" i="2"/>
  <c r="I61" i="2"/>
  <c r="I798" i="2"/>
  <c r="I1371" i="2"/>
  <c r="I850" i="2"/>
  <c r="I381" i="2"/>
  <c r="I382" i="2"/>
  <c r="I383" i="2"/>
  <c r="I384" i="2"/>
  <c r="I385" i="2"/>
  <c r="I386" i="2"/>
  <c r="I387" i="2"/>
  <c r="I388" i="2"/>
  <c r="I389" i="2"/>
  <c r="I390" i="2"/>
  <c r="I1379" i="2"/>
  <c r="I391" i="2"/>
  <c r="I392" i="2"/>
  <c r="I90" i="2"/>
  <c r="I91" i="2"/>
  <c r="I92" i="2"/>
  <c r="I93" i="2"/>
  <c r="I94" i="2"/>
  <c r="I95" i="2"/>
  <c r="I96" i="2"/>
  <c r="I97" i="2"/>
  <c r="I98" i="2"/>
  <c r="I618" i="2"/>
  <c r="I539" i="2"/>
  <c r="I710" i="2"/>
  <c r="I1239" i="2"/>
  <c r="I719" i="2"/>
  <c r="I529" i="2"/>
  <c r="I682" i="2"/>
  <c r="I616" i="2"/>
  <c r="I667" i="2"/>
  <c r="I705" i="2"/>
  <c r="I530" i="2"/>
  <c r="I582" i="2"/>
  <c r="I735" i="2"/>
  <c r="I62" i="2"/>
  <c r="I411" i="2"/>
  <c r="I184" i="2"/>
  <c r="I393" i="2"/>
  <c r="I439" i="2"/>
  <c r="I149" i="2"/>
  <c r="I71" i="2"/>
  <c r="I104" i="2"/>
  <c r="I132" i="2"/>
  <c r="I407" i="2"/>
  <c r="I481" i="2"/>
  <c r="I158" i="2"/>
  <c r="I251" i="2"/>
  <c r="I324" i="2"/>
  <c r="I325" i="2"/>
  <c r="I409" i="2"/>
  <c r="I326" i="2"/>
  <c r="I684" i="2"/>
  <c r="I155" i="2"/>
  <c r="I156" i="2"/>
  <c r="I707" i="2"/>
  <c r="I157" i="2"/>
  <c r="I58" i="2"/>
  <c r="I327" i="2"/>
  <c r="I912" i="2"/>
  <c r="I82" i="2"/>
  <c r="I354" i="2"/>
  <c r="I176" i="2"/>
  <c r="I80" i="2"/>
  <c r="I252" i="2"/>
  <c r="I412" i="2"/>
  <c r="I413" i="2"/>
  <c r="I414" i="2"/>
  <c r="I415" i="2"/>
  <c r="I136" i="2"/>
  <c r="I648" i="2"/>
  <c r="I410" i="2"/>
  <c r="I284" i="2"/>
  <c r="I436" i="2"/>
  <c r="I357" i="2"/>
  <c r="I471" i="2"/>
  <c r="I474" i="2"/>
  <c r="I651" i="2"/>
  <c r="I562" i="2"/>
  <c r="I563" i="2"/>
  <c r="I564" i="2"/>
  <c r="I565" i="2"/>
  <c r="I566" i="2"/>
  <c r="I461" i="2"/>
  <c r="I567" i="2"/>
  <c r="I568" i="2"/>
  <c r="I569" i="2"/>
  <c r="I1034" i="2"/>
  <c r="I287" i="2"/>
  <c r="I57" i="2"/>
  <c r="I1245" i="2"/>
  <c r="I84" i="2"/>
  <c r="I178" i="2"/>
  <c r="I59" i="2"/>
  <c r="I1545" i="2"/>
  <c r="I1452" i="2"/>
  <c r="I759" i="2"/>
  <c r="I1453" i="2"/>
  <c r="I1146" i="2"/>
  <c r="I1147" i="2"/>
  <c r="I1148" i="2"/>
  <c r="I1149" i="2"/>
  <c r="I697" i="2"/>
  <c r="I711" i="2"/>
  <c r="I720" i="2"/>
  <c r="I698" i="2"/>
  <c r="I617" i="2"/>
  <c r="I60" i="2"/>
  <c r="I733" i="2"/>
  <c r="I608" i="2"/>
  <c r="I609" i="2"/>
  <c r="I593" i="2"/>
  <c r="I613" i="2"/>
  <c r="I615" i="2"/>
  <c r="I1229" i="2"/>
  <c r="I1230" i="2"/>
  <c r="I649" i="2"/>
  <c r="I760" i="2"/>
  <c r="I761" i="2"/>
  <c r="I762" i="2"/>
  <c r="I763" i="2"/>
  <c r="I736" i="2"/>
  <c r="I745" i="2"/>
  <c r="I737" i="2"/>
  <c r="I721" i="2"/>
  <c r="I722" i="2"/>
  <c r="I699" i="2"/>
  <c r="I712" i="2"/>
  <c r="I619" i="2"/>
  <c r="I764" i="2"/>
  <c r="I765" i="2"/>
  <c r="I766" i="2"/>
  <c r="I291" i="2"/>
  <c r="I292" i="2"/>
  <c r="I534" i="2"/>
  <c r="I540" i="2"/>
  <c r="I541" i="2"/>
  <c r="I544" i="2"/>
  <c r="I545" i="2"/>
  <c r="I1236" i="2"/>
  <c r="I1237" i="2"/>
  <c r="I1238" i="2"/>
  <c r="I1240" i="2"/>
  <c r="I1246" i="2"/>
  <c r="I1247" i="2"/>
  <c r="I1252" i="2"/>
  <c r="I1486" i="2"/>
  <c r="I13" i="2"/>
  <c r="I1499" i="2"/>
  <c r="I1501" i="2"/>
  <c r="I1511" i="2"/>
  <c r="I1512" i="2"/>
  <c r="I1533" i="2"/>
  <c r="I1546" i="2"/>
  <c r="I1547" i="2"/>
  <c r="I1548" i="2"/>
  <c r="I1447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34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303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304" i="2"/>
  <c r="I1639" i="2"/>
  <c r="I1640" i="2"/>
  <c r="I1641" i="2"/>
  <c r="I1642" i="2"/>
  <c r="I1643" i="2"/>
  <c r="I1644" i="2"/>
  <c r="I1645" i="2"/>
  <c r="I1646" i="2"/>
  <c r="I1647" i="2"/>
  <c r="I1648" i="2"/>
  <c r="I14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42" i="2"/>
  <c r="I1743" i="2"/>
  <c r="I1744" i="2"/>
  <c r="I1745" i="2"/>
  <c r="I1746" i="2"/>
  <c r="I1747" i="2"/>
  <c r="I1748" i="2"/>
  <c r="I1749" i="2"/>
  <c r="I1737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7" i="2"/>
  <c r="I1781" i="2"/>
  <c r="I1782" i="2"/>
  <c r="I1783" i="2"/>
  <c r="I1784" i="2"/>
  <c r="I1785" i="2"/>
  <c r="I1730" i="2"/>
  <c r="I408" i="2"/>
  <c r="I482" i="2"/>
  <c r="I573" i="2"/>
  <c r="I1502" i="2"/>
  <c r="I1420" i="2"/>
  <c r="I1251" i="2"/>
  <c r="I122" i="2"/>
  <c r="I1338" i="2"/>
  <c r="I1429" i="2"/>
  <c r="I1235" i="2"/>
  <c r="I1314" i="2"/>
  <c r="I496" i="2"/>
  <c r="I491" i="2"/>
  <c r="I1404" i="2"/>
  <c r="I1477" i="2"/>
  <c r="I1432" i="2"/>
  <c r="I1487" i="2"/>
  <c r="I520" i="2"/>
  <c r="I521" i="2"/>
  <c r="I1002" i="2"/>
  <c r="I1003" i="2"/>
  <c r="I1004" i="2"/>
  <c r="I1005" i="2"/>
  <c r="I935" i="2"/>
  <c r="I25" i="2"/>
  <c r="I202" i="2"/>
  <c r="I72" i="2"/>
  <c r="I1072" i="2"/>
  <c r="I1073" i="2"/>
  <c r="I237" i="2"/>
  <c r="I177" i="2"/>
  <c r="I203" i="2"/>
  <c r="I1204" i="2"/>
  <c r="I369" i="2"/>
  <c r="I85" i="2"/>
  <c r="I204" i="2"/>
  <c r="I238" i="2"/>
  <c r="I394" i="2"/>
  <c r="I472" i="2"/>
  <c r="I473" i="2"/>
  <c r="I288" i="2"/>
  <c r="I253" i="2"/>
  <c r="I205" i="2"/>
  <c r="I185" i="2"/>
  <c r="I88" i="2"/>
  <c r="I890" i="2"/>
  <c r="I246" i="2"/>
  <c r="I63" i="2"/>
  <c r="I206" i="2"/>
  <c r="I83" i="2"/>
  <c r="I137" i="2"/>
  <c r="I207" i="2"/>
  <c r="I416" i="2"/>
  <c r="I330" i="2"/>
  <c r="I264" i="2"/>
  <c r="I1205" i="2"/>
  <c r="I395" i="2"/>
  <c r="I417" i="2"/>
  <c r="I65" i="2"/>
  <c r="I396" i="2"/>
  <c r="I208" i="2"/>
  <c r="I1206" i="2"/>
  <c r="I10" i="2"/>
  <c r="I1207" i="2"/>
  <c r="I1120" i="2"/>
  <c r="I1074" i="2"/>
  <c r="I1075" i="2"/>
  <c r="I1076" i="2"/>
  <c r="I891" i="2"/>
  <c r="I892" i="2"/>
  <c r="I14" i="2"/>
  <c r="I331" i="2"/>
  <c r="I884" i="2"/>
  <c r="I1208" i="2"/>
  <c r="I1209" i="2"/>
  <c r="I1210" i="2"/>
  <c r="I1121" i="2"/>
  <c r="I1211" i="2"/>
  <c r="I917" i="2"/>
  <c r="I1144" i="2"/>
  <c r="I1212" i="2"/>
  <c r="I1122" i="2"/>
  <c r="I179" i="2"/>
  <c r="I913" i="2"/>
  <c r="I89" i="2"/>
  <c r="I250" i="2"/>
  <c r="I315" i="2"/>
  <c r="I1145" i="2"/>
  <c r="I332" i="2"/>
  <c r="I333" i="2"/>
  <c r="I335" i="2"/>
  <c r="I193" i="2"/>
  <c r="I549" i="2"/>
  <c r="I814" i="2"/>
  <c r="I1033" i="2"/>
  <c r="I933" i="2"/>
  <c r="I24" i="2"/>
  <c r="I180" i="2"/>
  <c r="I17" i="2"/>
  <c r="I370" i="2"/>
  <c r="I1006" i="2"/>
  <c r="I1007" i="2"/>
  <c r="I73" i="2"/>
  <c r="I358" i="2"/>
  <c r="I837" i="2"/>
  <c r="I38" i="2"/>
  <c r="I359" i="2"/>
  <c r="I475" i="2"/>
  <c r="I194" i="2"/>
  <c r="I786" i="2"/>
  <c r="I476" i="2"/>
  <c r="I893" i="2"/>
  <c r="I39" i="2"/>
  <c r="I973" i="2"/>
  <c r="I316" i="2"/>
  <c r="I477" i="2"/>
  <c r="I478" i="2"/>
  <c r="I153" i="2"/>
  <c r="I479" i="2"/>
  <c r="I1053" i="2"/>
  <c r="I974" i="2"/>
  <c r="I815" i="2"/>
  <c r="I265" i="2"/>
  <c r="I1077" i="2"/>
  <c r="I317" i="2"/>
  <c r="I68" i="2"/>
  <c r="I33" i="2"/>
  <c r="I440" i="2"/>
  <c r="I1008" i="2"/>
  <c r="I339" i="2"/>
  <c r="I340" i="2"/>
  <c r="I975" i="2"/>
  <c r="I1009" i="2"/>
  <c r="I418" i="2"/>
  <c r="I133" i="2"/>
  <c r="I936" i="2"/>
  <c r="I937" i="2"/>
  <c r="I294" i="2"/>
  <c r="I1010" i="2"/>
  <c r="I318" i="2"/>
  <c r="I1011" i="2"/>
  <c r="I40" i="2"/>
  <c r="I360" i="2"/>
  <c r="I341" i="2"/>
  <c r="I1012" i="2"/>
  <c r="I1013" i="2"/>
  <c r="I1039" i="2"/>
  <c r="I1040" i="2"/>
  <c r="I361" i="2"/>
  <c r="I342" i="2"/>
  <c r="I938" i="2"/>
  <c r="I939" i="2"/>
  <c r="I362" i="2"/>
  <c r="I1014" i="2"/>
  <c r="I343" i="2"/>
  <c r="I319" i="2"/>
  <c r="I976" i="2"/>
  <c r="I940" i="2"/>
  <c r="I363" i="2"/>
  <c r="I328" i="2"/>
  <c r="I344" i="2"/>
  <c r="I329" i="2"/>
  <c r="I894" i="2"/>
  <c r="I816" i="2"/>
  <c r="I817" i="2"/>
  <c r="I190" i="2"/>
  <c r="I320" i="2"/>
  <c r="I345" i="2"/>
  <c r="I346" i="2"/>
  <c r="I441" i="2"/>
  <c r="I442" i="2"/>
  <c r="I443" i="2"/>
  <c r="I419" i="2"/>
  <c r="I420" i="2"/>
  <c r="I321" i="2"/>
  <c r="I347" i="2"/>
  <c r="I1015" i="2"/>
  <c r="I309" i="2"/>
  <c r="I322" i="2"/>
  <c r="I1016" i="2"/>
  <c r="I397" i="2"/>
  <c r="I1017" i="2"/>
  <c r="I421" i="2"/>
  <c r="I295" i="2"/>
  <c r="I437" i="2"/>
  <c r="I438" i="2"/>
  <c r="I348" i="2"/>
  <c r="I422" i="2"/>
  <c r="I941" i="2"/>
  <c r="I838" i="2"/>
  <c r="I452" i="2"/>
  <c r="I942" i="2"/>
  <c r="I1018" i="2"/>
  <c r="I453" i="2"/>
  <c r="I943" i="2"/>
  <c r="I323" i="2"/>
  <c r="I895" i="2"/>
  <c r="I454" i="2"/>
  <c r="I455" i="2"/>
  <c r="I247" i="2"/>
  <c r="I944" i="2"/>
  <c r="I945" i="2"/>
  <c r="I1108" i="2"/>
  <c r="I32" i="2"/>
  <c r="I254" i="2"/>
  <c r="I209" i="2"/>
  <c r="I818" i="2"/>
  <c r="I349" i="2"/>
  <c r="I398" i="2"/>
  <c r="I977" i="2"/>
  <c r="I1019" i="2"/>
  <c r="I1054" i="2"/>
  <c r="I423" i="2"/>
  <c r="I399" i="2"/>
  <c r="I946" i="2"/>
  <c r="I947" i="2"/>
  <c r="I978" i="2"/>
  <c r="I29" i="2"/>
  <c r="I979" i="2"/>
  <c r="I400" i="2"/>
  <c r="I1109" i="2"/>
  <c r="I350" i="2"/>
  <c r="I980" i="2"/>
  <c r="I981" i="2"/>
  <c r="I982" i="2"/>
  <c r="I983" i="2"/>
  <c r="I885" i="2"/>
  <c r="I296" i="2"/>
  <c r="I426" i="2"/>
  <c r="I984" i="2"/>
  <c r="I99" i="2"/>
  <c r="I355" i="2"/>
  <c r="I297" i="2"/>
  <c r="I69" i="2"/>
  <c r="I424" i="2"/>
  <c r="I141" i="2"/>
  <c r="I1213" i="2"/>
  <c r="I135" i="2"/>
  <c r="I985" i="2"/>
  <c r="I986" i="2"/>
  <c r="I403" i="2"/>
  <c r="I34" i="2"/>
  <c r="I404" i="2"/>
  <c r="I427" i="2"/>
  <c r="I405" i="2"/>
  <c r="I371" i="2"/>
  <c r="I406" i="2"/>
  <c r="I987" i="2"/>
  <c r="I425" i="2"/>
  <c r="I401" i="2"/>
  <c r="I298" i="2"/>
  <c r="I896" i="2"/>
  <c r="I159" i="2"/>
  <c r="I1078" i="2"/>
  <c r="I1079" i="2"/>
  <c r="I1080" i="2"/>
  <c r="I1081" i="2"/>
  <c r="I1082" i="2"/>
  <c r="I1083" i="2"/>
  <c r="I1084" i="2"/>
  <c r="I1085" i="2"/>
  <c r="I1086" i="2"/>
  <c r="I1087" i="2"/>
  <c r="I1088" i="2"/>
  <c r="I886" i="2"/>
  <c r="I402" i="2"/>
  <c r="I1089" i="2"/>
  <c r="I897" i="2"/>
  <c r="I338" i="2"/>
  <c r="I314" i="2"/>
  <c r="I1020" i="2"/>
  <c r="I1021" i="2"/>
  <c r="I299" i="2"/>
  <c r="I1110" i="2"/>
  <c r="I310" i="2"/>
  <c r="I356" i="2"/>
  <c r="I819" i="2"/>
  <c r="I988" i="2"/>
  <c r="I989" i="2"/>
  <c r="I160" i="2"/>
  <c r="I210" i="2"/>
  <c r="I300" i="2"/>
  <c r="I311" i="2"/>
  <c r="I301" i="2"/>
  <c r="I1214" i="2"/>
  <c r="I211" i="2"/>
  <c r="I212" i="2"/>
  <c r="I213" i="2"/>
  <c r="I1111" i="2"/>
  <c r="I105" i="2"/>
  <c r="I181" i="2"/>
  <c r="I35" i="2"/>
  <c r="I41" i="2"/>
  <c r="I635" i="2"/>
  <c r="I610" i="2"/>
  <c r="I685" i="2"/>
  <c r="I686" i="2"/>
  <c r="I655" i="2"/>
  <c r="I670" i="2"/>
  <c r="I671" i="2"/>
  <c r="I632" i="2"/>
  <c r="I672" i="2"/>
  <c r="I633" i="2"/>
  <c r="I595" i="2"/>
  <c r="I713" i="2"/>
  <c r="I714" i="2"/>
  <c r="I620" i="2"/>
  <c r="I738" i="2"/>
  <c r="I630" i="2"/>
  <c r="I687" i="2"/>
  <c r="I587" i="2"/>
  <c r="I709" i="2"/>
  <c r="I588" i="2"/>
  <c r="I693" i="2"/>
  <c r="I594" i="2"/>
  <c r="I596" i="2"/>
  <c r="I597" i="2"/>
  <c r="I598" i="2"/>
  <c r="I636" i="2"/>
  <c r="I656" i="2"/>
  <c r="I673" i="2"/>
  <c r="I674" i="2"/>
  <c r="I836" i="2"/>
  <c r="I37" i="2"/>
  <c r="I1541" i="2"/>
  <c r="I138" i="2"/>
  <c r="I139" i="2"/>
  <c r="I47" i="2"/>
  <c r="I30" i="2"/>
  <c r="I11" i="2"/>
  <c r="I26" i="2"/>
  <c r="I22" i="2"/>
  <c r="I23" i="2"/>
  <c r="I36" i="2"/>
  <c r="I21" i="2"/>
  <c r="I27" i="2"/>
  <c r="I1305" i="2"/>
  <c r="I1306" i="2"/>
  <c r="I1307" i="2"/>
  <c r="I143" i="2"/>
  <c r="I1308" i="2"/>
  <c r="I1442" i="2"/>
  <c r="I1539" i="2"/>
  <c r="I1309" i="2"/>
  <c r="I1507" i="2"/>
  <c r="I1407" i="2"/>
  <c r="I146" i="2"/>
  <c r="I753" i="2"/>
  <c r="I147" i="2"/>
  <c r="AC1248" i="2"/>
  <c r="AC6" i="2"/>
  <c r="AC1233" i="2"/>
  <c r="AC1250" i="2"/>
  <c r="AC8" i="2"/>
  <c r="AC9" i="2"/>
  <c r="AC1249" i="2"/>
  <c r="AC7" i="2"/>
  <c r="AC538" i="2"/>
  <c r="AC1253" i="2"/>
  <c r="AC533" i="2"/>
  <c r="AC19" i="2"/>
  <c r="AC1370" i="2"/>
  <c r="AC1409" i="2"/>
  <c r="AC1534" i="2"/>
  <c r="AC1440" i="2"/>
  <c r="AC748" i="2"/>
  <c r="AC1339" i="2"/>
  <c r="AC599" i="2"/>
  <c r="AC643" i="2"/>
  <c r="AC1443" i="2"/>
  <c r="AC1425" i="2"/>
  <c r="AC1490" i="2"/>
  <c r="AC861" i="2"/>
  <c r="AC1347" i="2"/>
  <c r="AC1348" i="2"/>
  <c r="AC1492" i="2"/>
  <c r="AC1529" i="2"/>
  <c r="AC740" i="2"/>
  <c r="AC1029" i="2"/>
  <c r="AC1315" i="2"/>
  <c r="AC1408" i="2"/>
  <c r="AC1135" i="2"/>
  <c r="AC1150" i="2"/>
  <c r="AC706" i="2"/>
  <c r="AC1343" i="2"/>
  <c r="AC1435" i="2"/>
  <c r="AC1436" i="2"/>
  <c r="AC1449" i="2"/>
  <c r="AC1450" i="2"/>
  <c r="AC1352" i="2"/>
  <c r="AC1513" i="2"/>
  <c r="AC856" i="2"/>
  <c r="AC668" i="2"/>
  <c r="AC1530" i="2"/>
  <c r="AC694" i="2"/>
  <c r="AC1430" i="2"/>
  <c r="AC700" i="2"/>
  <c r="AC641" i="2"/>
  <c r="AC1090" i="2"/>
  <c r="AC583" i="2"/>
  <c r="AC584" i="2"/>
  <c r="AC1415" i="2"/>
  <c r="AC727" i="2"/>
  <c r="AC1139" i="2"/>
  <c r="AC1355" i="2"/>
  <c r="AC728" i="2"/>
  <c r="AC511" i="2"/>
  <c r="AC746" i="2"/>
  <c r="AC639" i="2"/>
  <c r="AC1778" i="2"/>
  <c r="AC1437" i="2"/>
  <c r="AC905" i="2"/>
  <c r="AC1493" i="2"/>
  <c r="AC1521" i="2"/>
  <c r="AC1522" i="2"/>
  <c r="AC1174" i="2"/>
  <c r="AC578" i="2"/>
  <c r="AC854" i="2"/>
  <c r="AC1178" i="2"/>
  <c r="AC863" i="2"/>
  <c r="AC507" i="2"/>
  <c r="AC1170" i="2"/>
  <c r="AC820" i="2"/>
  <c r="AC1523" i="2"/>
  <c r="AC1524" i="2"/>
  <c r="AC1141" i="2"/>
  <c r="AC931" i="2"/>
  <c r="AC910" i="2"/>
  <c r="AC1394" i="2"/>
  <c r="AC1395" i="2"/>
  <c r="AC1041" i="2"/>
  <c r="AC812" i="2"/>
  <c r="AC1396" i="2"/>
  <c r="AC28" i="2"/>
  <c r="AC1044" i="2"/>
  <c r="AC1112" i="2"/>
  <c r="AC799" i="2"/>
  <c r="AC151" i="2"/>
  <c r="AC918" i="2"/>
  <c r="AC1461" i="2"/>
  <c r="AC518" i="2"/>
  <c r="AC1137" i="2"/>
  <c r="AC729" i="2"/>
  <c r="AC867" i="2"/>
  <c r="AC1031" i="2"/>
  <c r="AC780" i="2"/>
  <c r="AC777" i="2"/>
  <c r="AC675" i="2"/>
  <c r="AC1037" i="2"/>
  <c r="AC676" i="2"/>
  <c r="AC657" i="2"/>
  <c r="AC623" i="2"/>
  <c r="AC624" i="2"/>
  <c r="AC926" i="2"/>
  <c r="AC589" i="2"/>
  <c r="AC665" i="2"/>
  <c r="AC810" i="2"/>
  <c r="AC928" i="2"/>
  <c r="AC654" i="2"/>
  <c r="AC523" i="2"/>
  <c r="AC769" i="2"/>
  <c r="AC702" i="2"/>
  <c r="AC1133" i="2"/>
  <c r="AC846" i="2"/>
  <c r="AC677" i="2"/>
  <c r="AC1131" i="2"/>
  <c r="AC858" i="2"/>
  <c r="AC1341" i="2"/>
  <c r="AC1779" i="2"/>
  <c r="AC1068" i="2"/>
  <c r="AC661" i="2"/>
  <c r="AC1127" i="2"/>
  <c r="AC1129" i="2"/>
  <c r="AC145" i="2"/>
  <c r="AC1505" i="2"/>
  <c r="AC605" i="2"/>
  <c r="AC161" i="2"/>
  <c r="AC191" i="2"/>
  <c r="AC783" i="2"/>
  <c r="AC851" i="2"/>
  <c r="AC123" i="2"/>
  <c r="AC257" i="2"/>
  <c r="AC1143" i="2"/>
  <c r="AC1780" i="2"/>
  <c r="AC1496" i="2"/>
  <c r="AC1497" i="2"/>
  <c r="AC865" i="2"/>
  <c r="AC1459" i="2"/>
  <c r="AC266" i="2"/>
  <c r="AC907" i="2"/>
  <c r="AC1410" i="2"/>
  <c r="AC1411" i="2"/>
  <c r="AC730" i="2"/>
  <c r="AC242" i="2"/>
  <c r="AC513" i="2"/>
  <c r="AC806" i="2"/>
  <c r="AC1165" i="2"/>
  <c r="AC1226" i="2"/>
  <c r="AC1397" i="2"/>
  <c r="AC515" i="2"/>
  <c r="AC56" i="2"/>
  <c r="AC1454" i="2"/>
  <c r="AC1462" i="2"/>
  <c r="AC502" i="2"/>
  <c r="AC1254" i="2"/>
  <c r="AC1310" i="2"/>
  <c r="AC1334" i="2"/>
  <c r="AC483" i="2"/>
  <c r="AC16" i="2"/>
  <c r="AC621" i="2"/>
  <c r="AC574" i="2"/>
  <c r="AC580" i="2"/>
  <c r="AC2" i="2"/>
  <c r="AC497" i="2"/>
  <c r="AC503" i="2"/>
  <c r="AC484" i="2"/>
  <c r="AC1241" i="2"/>
  <c r="AC18" i="2"/>
  <c r="AC43" i="2"/>
  <c r="AC45" i="2"/>
  <c r="AC44" i="2"/>
  <c r="AC504" i="2"/>
  <c r="AC15" i="2"/>
  <c r="AC1316" i="2"/>
  <c r="AC46" i="2"/>
  <c r="AC1255" i="2"/>
  <c r="AC1256" i="2"/>
  <c r="AC1257" i="2"/>
  <c r="AC64" i="2"/>
  <c r="AC1258" i="2"/>
  <c r="AC646" i="2"/>
  <c r="AC800" i="2"/>
  <c r="AC498" i="2"/>
  <c r="AC1428" i="2"/>
  <c r="AC1460" i="2"/>
  <c r="AC575" i="2"/>
  <c r="AC67" i="2"/>
  <c r="AC1500" i="2"/>
  <c r="AC1369" i="2"/>
  <c r="AC1377" i="2"/>
  <c r="AC807" i="2"/>
  <c r="AC1320" i="2"/>
  <c r="AC48" i="2"/>
  <c r="AC1520" i="2"/>
  <c r="AC767" i="2"/>
  <c r="AC768" i="2"/>
  <c r="AC1022" i="2"/>
  <c r="AC55" i="2"/>
  <c r="AC749" i="2"/>
  <c r="AC1055" i="2"/>
  <c r="AC485" i="2"/>
  <c r="AC1260" i="2"/>
  <c r="AC839" i="2"/>
  <c r="AC600" i="2"/>
  <c r="AC644" i="2"/>
  <c r="AC1261" i="2"/>
  <c r="AC499" i="2"/>
  <c r="AC1262" i="2"/>
  <c r="AC1354" i="2"/>
  <c r="AC715" i="2"/>
  <c r="AC862" i="2"/>
  <c r="AC1349" i="2"/>
  <c r="AC1228" i="2"/>
  <c r="AC1378" i="2"/>
  <c r="AC1350" i="2"/>
  <c r="AC934" i="2"/>
  <c r="AC1446" i="2"/>
  <c r="AC1215" i="2"/>
  <c r="AC716" i="2"/>
  <c r="AC739" i="2"/>
  <c r="AC1030" i="2"/>
  <c r="AC948" i="2"/>
  <c r="AC1421" i="2"/>
  <c r="AC717" i="2"/>
  <c r="AC1045" i="2"/>
  <c r="AC1263" i="2"/>
  <c r="AC1488" i="2"/>
  <c r="AC1264" i="2"/>
  <c r="AC50" i="2"/>
  <c r="AC1136" i="2"/>
  <c r="AC1091" i="2"/>
  <c r="AC1427" i="2"/>
  <c r="AC1151" i="2"/>
  <c r="AC576" i="2"/>
  <c r="AC1344" i="2"/>
  <c r="AC1047" i="2"/>
  <c r="AC1048" i="2"/>
  <c r="AC1265" i="2"/>
  <c r="AC486" i="2"/>
  <c r="AC49" i="2"/>
  <c r="AC1330" i="2"/>
  <c r="AC1434" i="2"/>
  <c r="AC880" i="2"/>
  <c r="AC1331" i="2"/>
  <c r="AC1451" i="2"/>
  <c r="AC1266" i="2"/>
  <c r="AC1514" i="2"/>
  <c r="AC1540" i="2"/>
  <c r="AC1353" i="2"/>
  <c r="AC857" i="2"/>
  <c r="AC669" i="2"/>
  <c r="AC1531" i="2"/>
  <c r="AC695" i="2"/>
  <c r="AC1431" i="2"/>
  <c r="AC622" i="2"/>
  <c r="AC607" i="2"/>
  <c r="AC701" i="2"/>
  <c r="AC642" i="2"/>
  <c r="AC990" i="2"/>
  <c r="AC5" i="2"/>
  <c r="AC1092" i="2"/>
  <c r="AC1168" i="2"/>
  <c r="AC585" i="2"/>
  <c r="AC586" i="2"/>
  <c r="AC1267" i="2"/>
  <c r="AC803" i="2"/>
  <c r="AC723" i="2"/>
  <c r="AC898" i="2"/>
  <c r="AC1140" i="2"/>
  <c r="AC1268" i="2"/>
  <c r="AC1269" i="2"/>
  <c r="AC724" i="2"/>
  <c r="AC512" i="2"/>
  <c r="AC747" i="2"/>
  <c r="AC640" i="2"/>
  <c r="AC353" i="2"/>
  <c r="AC1479" i="2"/>
  <c r="AC906" i="2"/>
  <c r="AC1494" i="2"/>
  <c r="AC1270" i="2"/>
  <c r="AC3" i="2"/>
  <c r="AC1525" i="2"/>
  <c r="AC1175" i="2"/>
  <c r="AC579" i="2"/>
  <c r="AC855" i="2"/>
  <c r="AC86" i="2"/>
  <c r="AC1179" i="2"/>
  <c r="AC864" i="2"/>
  <c r="AC508" i="2"/>
  <c r="AC755" i="2"/>
  <c r="AC1171" i="2"/>
  <c r="AC87" i="2"/>
  <c r="AC916" i="2"/>
  <c r="AC821" i="2"/>
  <c r="AC1332" i="2"/>
  <c r="AC1526" i="2"/>
  <c r="AC1142" i="2"/>
  <c r="AC1123" i="2"/>
  <c r="AC932" i="2"/>
  <c r="AC531" i="2"/>
  <c r="AC911" i="2"/>
  <c r="AC487" i="2"/>
  <c r="AC1398" i="2"/>
  <c r="AC1042" i="2"/>
  <c r="AC813" i="2"/>
  <c r="AC532" i="2"/>
  <c r="AC1399" i="2"/>
  <c r="AC577" i="2"/>
  <c r="AC1046" i="2"/>
  <c r="AC1271" i="2"/>
  <c r="AC1113" i="2"/>
  <c r="AC801" i="2"/>
  <c r="AC152" i="2"/>
  <c r="AC919" i="2"/>
  <c r="AC908" i="2"/>
  <c r="AC1335" i="2"/>
  <c r="AC1463" i="2"/>
  <c r="AC519" i="2"/>
  <c r="AC1138" i="2"/>
  <c r="AC4" i="2"/>
  <c r="AC725" i="2"/>
  <c r="AC924" i="2"/>
  <c r="AC868" i="2"/>
  <c r="AC1032" i="2"/>
  <c r="AC781" i="2"/>
  <c r="AC52" i="2"/>
  <c r="AC778" i="2"/>
  <c r="AC914" i="2"/>
  <c r="AC678" i="2"/>
  <c r="AC920" i="2"/>
  <c r="AC887" i="2"/>
  <c r="AC847" i="2"/>
  <c r="AC734" i="2"/>
  <c r="AC1038" i="2"/>
  <c r="AC679" i="2"/>
  <c r="AC658" i="2"/>
  <c r="AC293" i="2"/>
  <c r="AC921" i="2"/>
  <c r="AC625" i="2"/>
  <c r="AC626" i="2"/>
  <c r="AC927" i="2"/>
  <c r="AC590" i="2"/>
  <c r="AC922" i="2"/>
  <c r="AC666" i="2"/>
  <c r="AC811" i="2"/>
  <c r="AC929" i="2"/>
  <c r="AC754" i="2"/>
  <c r="AC1272" i="2"/>
  <c r="AC770" i="2"/>
  <c r="AC703" i="2"/>
  <c r="AC1134" i="2"/>
  <c r="AC848" i="2"/>
  <c r="AC1444" i="2"/>
  <c r="AC1035" i="2"/>
  <c r="AC680" i="2"/>
  <c r="AC1132" i="2"/>
  <c r="AC859" i="2"/>
  <c r="AC991" i="2"/>
  <c r="AC1535" i="2"/>
  <c r="AC1273" i="2"/>
  <c r="AC878" i="2"/>
  <c r="AC840" i="2"/>
  <c r="AC1069" i="2"/>
  <c r="AC662" i="2"/>
  <c r="AC1484" i="2"/>
  <c r="AC1128" i="2"/>
  <c r="AC1176" i="2"/>
  <c r="AC860" i="2"/>
  <c r="AC1130" i="2"/>
  <c r="AC148" i="2"/>
  <c r="AC548" i="2"/>
  <c r="AC1504" i="2"/>
  <c r="AC606" i="2"/>
  <c r="AC162" i="2"/>
  <c r="AC51" i="2"/>
  <c r="AC782" i="2"/>
  <c r="AC53" i="2"/>
  <c r="AC189" i="2"/>
  <c r="AC1274" i="2"/>
  <c r="AC1043" i="2"/>
  <c r="AC852" i="2"/>
  <c r="AC1152" i="2"/>
  <c r="AC1114" i="2"/>
  <c r="AC784" i="2"/>
  <c r="AC853" i="2"/>
  <c r="AC1464" i="2"/>
  <c r="AC124" i="2"/>
  <c r="AC923" i="2"/>
  <c r="AC1732" i="2"/>
  <c r="AC779" i="2"/>
  <c r="AC258" i="2"/>
  <c r="AC1741" i="2"/>
  <c r="AC1177" i="2"/>
  <c r="AC785" i="2"/>
  <c r="AC1231" i="2"/>
  <c r="AC915" i="2"/>
  <c r="AC1483" i="2"/>
  <c r="AC1372" i="2"/>
  <c r="AC1275" i="2"/>
  <c r="AC771" i="2"/>
  <c r="AC802" i="2"/>
  <c r="AC808" i="2"/>
  <c r="AC1276" i="2"/>
  <c r="AC1738" i="2"/>
  <c r="AC1498" i="2"/>
  <c r="AC1480" i="2"/>
  <c r="AC866" i="2"/>
  <c r="AC1455" i="2"/>
  <c r="AC267" i="2"/>
  <c r="AC1277" i="2"/>
  <c r="AC542" i="2"/>
  <c r="AC1503" i="2"/>
  <c r="AC1278" i="2"/>
  <c r="AC1172" i="2"/>
  <c r="AC909" i="2"/>
  <c r="AC1279" i="2"/>
  <c r="AC1173" i="2"/>
  <c r="AC930" i="2"/>
  <c r="AC1412" i="2"/>
  <c r="AC726" i="2"/>
  <c r="AC243" i="2"/>
  <c r="AC1166" i="2"/>
  <c r="AC1734" i="2"/>
  <c r="AC1731" i="2"/>
  <c r="AC514" i="2"/>
  <c r="AC101" i="2"/>
  <c r="AC102" i="2"/>
  <c r="AC1234" i="2"/>
  <c r="AC809" i="2"/>
  <c r="AC1167" i="2"/>
  <c r="AC1227" i="2"/>
  <c r="AC1313" i="2"/>
  <c r="AC516" i="2"/>
  <c r="AC1736" i="2"/>
  <c r="AC1456" i="2"/>
  <c r="AC1280" i="2"/>
  <c r="AC1543" i="2"/>
  <c r="AC1281" i="2"/>
  <c r="AC505" i="2"/>
  <c r="AC1740" i="2"/>
  <c r="AC1416" i="2"/>
  <c r="AC637" i="2"/>
  <c r="AC1282" i="2"/>
  <c r="AC1283" i="2"/>
  <c r="AC1465" i="2"/>
  <c r="AC1400" i="2"/>
  <c r="AC1284" i="2"/>
  <c r="AC1373" i="2"/>
  <c r="AC1466" i="2"/>
  <c r="AC1285" i="2"/>
  <c r="AC1286" i="2"/>
  <c r="AC488" i="2"/>
  <c r="AC756" i="2"/>
  <c r="AC757" i="2"/>
  <c r="AC1287" i="2"/>
  <c r="AC1417" i="2"/>
  <c r="AC1180" i="2"/>
  <c r="AC718" i="2"/>
  <c r="AC1418" i="2"/>
  <c r="AC492" i="2"/>
  <c r="AC1288" i="2"/>
  <c r="AC289" i="2"/>
  <c r="AC1774" i="2"/>
  <c r="AC1289" i="2"/>
  <c r="AC581" i="2"/>
  <c r="AC493" i="2"/>
  <c r="AC1290" i="2"/>
  <c r="AC1036" i="2"/>
  <c r="AC489" i="2"/>
  <c r="AC1291" i="2"/>
  <c r="AC1292" i="2"/>
  <c r="AC1293" i="2"/>
  <c r="AC12" i="2"/>
  <c r="AC1294" i="2"/>
  <c r="AC1295" i="2"/>
  <c r="AC1445" i="2"/>
  <c r="AC506" i="2"/>
  <c r="AC524" i="2"/>
  <c r="AC494" i="2"/>
  <c r="AC1296" i="2"/>
  <c r="AC1775" i="2"/>
  <c r="AC1297" i="2"/>
  <c r="AC1776" i="2"/>
  <c r="AC758" i="2"/>
  <c r="AC1298" i="2"/>
  <c r="AC1299" i="2"/>
  <c r="AC925" i="2"/>
  <c r="AC495" i="2"/>
  <c r="AC500" i="2"/>
  <c r="AC501" i="2"/>
  <c r="AC1300" i="2"/>
  <c r="AC1311" i="2"/>
  <c r="AC129" i="2"/>
  <c r="AC1301" i="2"/>
  <c r="AC772" i="2"/>
  <c r="AC773" i="2"/>
  <c r="AC774" i="2"/>
  <c r="AC775" i="2"/>
  <c r="AC776" i="2"/>
  <c r="AC591" i="2"/>
  <c r="AC592" i="2"/>
  <c r="AC789" i="2"/>
  <c r="AC790" i="2"/>
  <c r="AC791" i="2"/>
  <c r="AC792" i="2"/>
  <c r="AC793" i="2"/>
  <c r="AC794" i="2"/>
  <c r="AC795" i="2"/>
  <c r="AC796" i="2"/>
  <c r="AC797" i="2"/>
  <c r="AC66" i="2"/>
  <c r="AC290" i="2"/>
  <c r="AC364" i="2"/>
  <c r="AC365" i="2"/>
  <c r="AC366" i="2"/>
  <c r="AC367" i="2"/>
  <c r="AC368" i="2"/>
  <c r="AC804" i="2"/>
  <c r="AC805" i="2"/>
  <c r="AC70" i="2"/>
  <c r="AC601" i="2"/>
  <c r="AC602" i="2"/>
  <c r="AC603" i="2"/>
  <c r="AC604" i="2"/>
  <c r="AC74" i="2"/>
  <c r="AC75" i="2"/>
  <c r="AC131" i="2"/>
  <c r="AC1321" i="2"/>
  <c r="AC1322" i="2"/>
  <c r="AC1323" i="2"/>
  <c r="AC1324" i="2"/>
  <c r="AC1325" i="2"/>
  <c r="AC1326" i="2"/>
  <c r="AC1327" i="2"/>
  <c r="AC1333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1336" i="2"/>
  <c r="AC1337" i="2"/>
  <c r="AC76" i="2"/>
  <c r="AC77" i="2"/>
  <c r="AC78" i="2"/>
  <c r="AC79" i="2"/>
  <c r="AC1340" i="2"/>
  <c r="AC841" i="2"/>
  <c r="AC842" i="2"/>
  <c r="AC843" i="2"/>
  <c r="AC844" i="2"/>
  <c r="AC845" i="2"/>
  <c r="AC81" i="2"/>
  <c r="AC611" i="2"/>
  <c r="AC612" i="2"/>
  <c r="AC849" i="2"/>
  <c r="AC372" i="2"/>
  <c r="AC373" i="2"/>
  <c r="AC374" i="2"/>
  <c r="AC375" i="2"/>
  <c r="AC376" i="2"/>
  <c r="AC377" i="2"/>
  <c r="AC378" i="2"/>
  <c r="AC379" i="2"/>
  <c r="AC380" i="2"/>
  <c r="AC614" i="2"/>
  <c r="AC627" i="2"/>
  <c r="AC628" i="2"/>
  <c r="AC629" i="2"/>
  <c r="AC1345" i="2"/>
  <c r="AC100" i="2"/>
  <c r="AC1735" i="2"/>
  <c r="AC543" i="2"/>
  <c r="AC103" i="2"/>
  <c r="AC302" i="2"/>
  <c r="AC303" i="2"/>
  <c r="AC304" i="2"/>
  <c r="AC305" i="2"/>
  <c r="AC306" i="2"/>
  <c r="AC307" i="2"/>
  <c r="AC308" i="2"/>
  <c r="AC1544" i="2"/>
  <c r="AC312" i="2"/>
  <c r="AC313" i="2"/>
  <c r="AC631" i="2"/>
  <c r="AC1346" i="2"/>
  <c r="AC1302" i="2"/>
  <c r="AC1351" i="2"/>
  <c r="AC1356" i="2"/>
  <c r="AC1357" i="2"/>
  <c r="AC1358" i="2"/>
  <c r="AC1359" i="2"/>
  <c r="AC1360" i="2"/>
  <c r="AC509" i="2"/>
  <c r="AC510" i="2"/>
  <c r="AC1361" i="2"/>
  <c r="AC869" i="2"/>
  <c r="AC870" i="2"/>
  <c r="AC871" i="2"/>
  <c r="AC872" i="2"/>
  <c r="AC873" i="2"/>
  <c r="AC874" i="2"/>
  <c r="AC875" i="2"/>
  <c r="AC876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5" i="2"/>
  <c r="AC126" i="2"/>
  <c r="AC127" i="2"/>
  <c r="AC128" i="2"/>
  <c r="AC130" i="2"/>
  <c r="AC1363" i="2"/>
  <c r="AC1364" i="2"/>
  <c r="AC1365" i="2"/>
  <c r="AC1366" i="2"/>
  <c r="AC1367" i="2"/>
  <c r="AC550" i="2"/>
  <c r="AC551" i="2"/>
  <c r="AC552" i="2"/>
  <c r="AC140" i="2"/>
  <c r="AC553" i="2"/>
  <c r="AC554" i="2"/>
  <c r="AC555" i="2"/>
  <c r="AC556" i="2"/>
  <c r="AC634" i="2"/>
  <c r="AC877" i="2"/>
  <c r="AC142" i="2"/>
  <c r="AC144" i="2"/>
  <c r="AC1374" i="2"/>
  <c r="AC1375" i="2"/>
  <c r="AC1376" i="2"/>
  <c r="AC557" i="2"/>
  <c r="AC150" i="2"/>
  <c r="AC879" i="2"/>
  <c r="AC154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881" i="2"/>
  <c r="AC882" i="2"/>
  <c r="AC883" i="2"/>
  <c r="AC888" i="2"/>
  <c r="AC889" i="2"/>
  <c r="AC1392" i="2"/>
  <c r="AC1393" i="2"/>
  <c r="AC899" i="2"/>
  <c r="AC900" i="2"/>
  <c r="AC901" i="2"/>
  <c r="AC902" i="2"/>
  <c r="AC903" i="2"/>
  <c r="AC904" i="2"/>
  <c r="AC1401" i="2"/>
  <c r="AC1402" i="2"/>
  <c r="AC1403" i="2"/>
  <c r="AC1405" i="2"/>
  <c r="AC1406" i="2"/>
  <c r="AC1413" i="2"/>
  <c r="AC1414" i="2"/>
  <c r="AC638" i="2"/>
  <c r="AC1419" i="2"/>
  <c r="AC163" i="2"/>
  <c r="AC164" i="2"/>
  <c r="AC165" i="2"/>
  <c r="AC166" i="2"/>
  <c r="AC167" i="2"/>
  <c r="AC168" i="2"/>
  <c r="AC169" i="2"/>
  <c r="AC170" i="2"/>
  <c r="AC171" i="2"/>
  <c r="AC172" i="2"/>
  <c r="AC558" i="2"/>
  <c r="AC559" i="2"/>
  <c r="AC1422" i="2"/>
  <c r="AC1423" i="2"/>
  <c r="AC1424" i="2"/>
  <c r="AC173" i="2"/>
  <c r="AC174" i="2"/>
  <c r="AC560" i="2"/>
  <c r="AC175" i="2"/>
  <c r="AC561" i="2"/>
  <c r="AC645" i="2"/>
  <c r="AC647" i="2"/>
  <c r="AC182" i="2"/>
  <c r="AC183" i="2"/>
  <c r="AC1426" i="2"/>
  <c r="AC650" i="2"/>
  <c r="AC31" i="2"/>
  <c r="AC186" i="2"/>
  <c r="AC187" i="2"/>
  <c r="AC188" i="2"/>
  <c r="AC1433" i="2"/>
  <c r="AC1438" i="2"/>
  <c r="AC1439" i="2"/>
  <c r="AC192" i="2"/>
  <c r="AC1441" i="2"/>
  <c r="AC334" i="2"/>
  <c r="AC428" i="2"/>
  <c r="AC429" i="2"/>
  <c r="AC430" i="2"/>
  <c r="AC431" i="2"/>
  <c r="AC432" i="2"/>
  <c r="AC433" i="2"/>
  <c r="AC434" i="2"/>
  <c r="AC435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92" i="2"/>
  <c r="AC993" i="2"/>
  <c r="AC994" i="2"/>
  <c r="AC995" i="2"/>
  <c r="AC996" i="2"/>
  <c r="AC997" i="2"/>
  <c r="AC998" i="2"/>
  <c r="AC999" i="2"/>
  <c r="AC1000" i="2"/>
  <c r="AC1001" i="2"/>
  <c r="AC1023" i="2"/>
  <c r="AC1024" i="2"/>
  <c r="AC1025" i="2"/>
  <c r="AC1026" i="2"/>
  <c r="AC1027" i="2"/>
  <c r="AC1028" i="2"/>
  <c r="AC652" i="2"/>
  <c r="AC653" i="2"/>
  <c r="AC659" i="2"/>
  <c r="AC660" i="2"/>
  <c r="AC1457" i="2"/>
  <c r="AC1458" i="2"/>
  <c r="AC663" i="2"/>
  <c r="AC570" i="2"/>
  <c r="AC195" i="2"/>
  <c r="AC196" i="2"/>
  <c r="AC197" i="2"/>
  <c r="AC1467" i="2"/>
  <c r="AC1468" i="2"/>
  <c r="AC1469" i="2"/>
  <c r="AC1470" i="2"/>
  <c r="AC1471" i="2"/>
  <c r="AC1472" i="2"/>
  <c r="AC1473" i="2"/>
  <c r="AC1474" i="2"/>
  <c r="AC1475" i="2"/>
  <c r="AC1476" i="2"/>
  <c r="AC336" i="2"/>
  <c r="AC337" i="2"/>
  <c r="AC1478" i="2"/>
  <c r="AC198" i="2"/>
  <c r="AC199" i="2"/>
  <c r="AC200" i="2"/>
  <c r="AC201" i="2"/>
  <c r="AC1481" i="2"/>
  <c r="AC1482" i="2"/>
  <c r="AC517" i="2"/>
  <c r="AC1485" i="2"/>
  <c r="AC1489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1491" i="2"/>
  <c r="AC1049" i="2"/>
  <c r="AC444" i="2"/>
  <c r="AC1050" i="2"/>
  <c r="AC1051" i="2"/>
  <c r="AC1052" i="2"/>
  <c r="AC445" i="2"/>
  <c r="AC446" i="2"/>
  <c r="AC447" i="2"/>
  <c r="AC448" i="2"/>
  <c r="AC449" i="2"/>
  <c r="AC450" i="2"/>
  <c r="AC451" i="2"/>
  <c r="AC456" i="2"/>
  <c r="AC457" i="2"/>
  <c r="AC458" i="2"/>
  <c r="AC1056" i="2"/>
  <c r="AC1057" i="2"/>
  <c r="AC1058" i="2"/>
  <c r="AC228" i="2"/>
  <c r="AC1059" i="2"/>
  <c r="AC1060" i="2"/>
  <c r="AC1061" i="2"/>
  <c r="AC1062" i="2"/>
  <c r="AC1063" i="2"/>
  <c r="AC1064" i="2"/>
  <c r="AC1065" i="2"/>
  <c r="AC1066" i="2"/>
  <c r="AC1067" i="2"/>
  <c r="AC664" i="2"/>
  <c r="AC1070" i="2"/>
  <c r="AC1071" i="2"/>
  <c r="AC229" i="2"/>
  <c r="AC230" i="2"/>
  <c r="AC231" i="2"/>
  <c r="AC232" i="2"/>
  <c r="AC233" i="2"/>
  <c r="AC234" i="2"/>
  <c r="AC235" i="2"/>
  <c r="AC236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495" i="2"/>
  <c r="AC1115" i="2"/>
  <c r="AC1116" i="2"/>
  <c r="AC1117" i="2"/>
  <c r="AC1118" i="2"/>
  <c r="AC1119" i="2"/>
  <c r="AC239" i="2"/>
  <c r="AC240" i="2"/>
  <c r="AC241" i="2"/>
  <c r="AC244" i="2"/>
  <c r="AC1124" i="2"/>
  <c r="AC1125" i="2"/>
  <c r="AC1126" i="2"/>
  <c r="AC459" i="2"/>
  <c r="AC460" i="2"/>
  <c r="AC245" i="2"/>
  <c r="AC522" i="2"/>
  <c r="AC462" i="2"/>
  <c r="AC463" i="2"/>
  <c r="AC464" i="2"/>
  <c r="AC465" i="2"/>
  <c r="AC466" i="2"/>
  <c r="AC467" i="2"/>
  <c r="AC468" i="2"/>
  <c r="AC469" i="2"/>
  <c r="AC470" i="2"/>
  <c r="AC248" i="2"/>
  <c r="AC681" i="2"/>
  <c r="AC683" i="2"/>
  <c r="AC525" i="2"/>
  <c r="AC526" i="2"/>
  <c r="AC527" i="2"/>
  <c r="AC528" i="2"/>
  <c r="AC1506" i="2"/>
  <c r="AC1508" i="2"/>
  <c r="AC688" i="2"/>
  <c r="AC689" i="2"/>
  <c r="AC690" i="2"/>
  <c r="AC691" i="2"/>
  <c r="AC692" i="2"/>
  <c r="AC1509" i="2"/>
  <c r="AC1510" i="2"/>
  <c r="AC696" i="2"/>
  <c r="AC249" i="2"/>
  <c r="AC704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733" i="2"/>
  <c r="AC255" i="2"/>
  <c r="AC256" i="2"/>
  <c r="AC571" i="2"/>
  <c r="AC572" i="2"/>
  <c r="AC1169" i="2"/>
  <c r="AC351" i="2"/>
  <c r="AC352" i="2"/>
  <c r="AC1515" i="2"/>
  <c r="AC1516" i="2"/>
  <c r="AC1517" i="2"/>
  <c r="AC1518" i="2"/>
  <c r="AC1519" i="2"/>
  <c r="AC708" i="2"/>
  <c r="AC259" i="2"/>
  <c r="AC260" i="2"/>
  <c r="AC261" i="2"/>
  <c r="AC262" i="2"/>
  <c r="AC1242" i="2"/>
  <c r="AC1243" i="2"/>
  <c r="AC263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1244" i="2"/>
  <c r="AC1527" i="2"/>
  <c r="AC1528" i="2"/>
  <c r="AC283" i="2"/>
  <c r="AC1532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731" i="2"/>
  <c r="AC732" i="2"/>
  <c r="AC285" i="2"/>
  <c r="AC286" i="2"/>
  <c r="AC741" i="2"/>
  <c r="AC742" i="2"/>
  <c r="AC490" i="2"/>
  <c r="AC743" i="2"/>
  <c r="AC744" i="2"/>
  <c r="AC535" i="2"/>
  <c r="AC536" i="2"/>
  <c r="AC537" i="2"/>
  <c r="AC1536" i="2"/>
  <c r="AC1537" i="2"/>
  <c r="AC1538" i="2"/>
  <c r="AC1197" i="2"/>
  <c r="AC1198" i="2"/>
  <c r="AC1199" i="2"/>
  <c r="AC480" i="2"/>
  <c r="AC1200" i="2"/>
  <c r="AC1201" i="2"/>
  <c r="AC1202" i="2"/>
  <c r="AC1203" i="2"/>
  <c r="AC1216" i="2"/>
  <c r="AC1217" i="2"/>
  <c r="AC1218" i="2"/>
  <c r="AC1219" i="2"/>
  <c r="AC1220" i="2"/>
  <c r="AC1221" i="2"/>
  <c r="AC1222" i="2"/>
  <c r="AC1223" i="2"/>
  <c r="AC1224" i="2"/>
  <c r="AC1225" i="2"/>
  <c r="AC750" i="2"/>
  <c r="AC751" i="2"/>
  <c r="AC752" i="2"/>
  <c r="AC1739" i="2"/>
  <c r="AC546" i="2"/>
  <c r="AC547" i="2"/>
  <c r="AC1542" i="2"/>
  <c r="AC54" i="2"/>
  <c r="AC1232" i="2"/>
  <c r="AC1312" i="2"/>
  <c r="AC1317" i="2"/>
  <c r="AC1318" i="2"/>
  <c r="AC1319" i="2"/>
  <c r="AC1328" i="2"/>
  <c r="AC1329" i="2"/>
  <c r="AC1342" i="2"/>
  <c r="AC1362" i="2"/>
  <c r="AC1368" i="2"/>
  <c r="AC787" i="2"/>
  <c r="AC788" i="2"/>
  <c r="AC61" i="2"/>
  <c r="AC798" i="2"/>
  <c r="AC1371" i="2"/>
  <c r="AC850" i="2"/>
  <c r="AC381" i="2"/>
  <c r="AC382" i="2"/>
  <c r="AC383" i="2"/>
  <c r="AC384" i="2"/>
  <c r="AC385" i="2"/>
  <c r="AC386" i="2"/>
  <c r="AC387" i="2"/>
  <c r="AC388" i="2"/>
  <c r="AC389" i="2"/>
  <c r="AC390" i="2"/>
  <c r="AC1379" i="2"/>
  <c r="AC391" i="2"/>
  <c r="AC392" i="2"/>
  <c r="AC90" i="2"/>
  <c r="AC91" i="2"/>
  <c r="AC92" i="2"/>
  <c r="AC93" i="2"/>
  <c r="AC94" i="2"/>
  <c r="AC95" i="2"/>
  <c r="AC96" i="2"/>
  <c r="AC97" i="2"/>
  <c r="AC98" i="2"/>
  <c r="AC618" i="2"/>
  <c r="AC539" i="2"/>
  <c r="AC710" i="2"/>
  <c r="AC1239" i="2"/>
  <c r="AC719" i="2"/>
  <c r="AC529" i="2"/>
  <c r="AC682" i="2"/>
  <c r="AC616" i="2"/>
  <c r="AC667" i="2"/>
  <c r="AC705" i="2"/>
  <c r="AC530" i="2"/>
  <c r="AC582" i="2"/>
  <c r="AC735" i="2"/>
  <c r="AC62" i="2"/>
  <c r="AC411" i="2"/>
  <c r="AC184" i="2"/>
  <c r="AC393" i="2"/>
  <c r="AC439" i="2"/>
  <c r="AC149" i="2"/>
  <c r="AC71" i="2"/>
  <c r="AC104" i="2"/>
  <c r="AC132" i="2"/>
  <c r="AC407" i="2"/>
  <c r="AC481" i="2"/>
  <c r="AC158" i="2"/>
  <c r="AC251" i="2"/>
  <c r="AC324" i="2"/>
  <c r="AC325" i="2"/>
  <c r="AC409" i="2"/>
  <c r="AC326" i="2"/>
  <c r="AC684" i="2"/>
  <c r="AC155" i="2"/>
  <c r="AC156" i="2"/>
  <c r="AC707" i="2"/>
  <c r="AC157" i="2"/>
  <c r="AC58" i="2"/>
  <c r="AC327" i="2"/>
  <c r="AC912" i="2"/>
  <c r="AC82" i="2"/>
  <c r="AC354" i="2"/>
  <c r="AC176" i="2"/>
  <c r="AC80" i="2"/>
  <c r="AC252" i="2"/>
  <c r="AC412" i="2"/>
  <c r="AC413" i="2"/>
  <c r="AC414" i="2"/>
  <c r="AC415" i="2"/>
  <c r="AC136" i="2"/>
  <c r="AC648" i="2"/>
  <c r="AC410" i="2"/>
  <c r="AC284" i="2"/>
  <c r="AC436" i="2"/>
  <c r="AC357" i="2"/>
  <c r="AC471" i="2"/>
  <c r="AC474" i="2"/>
  <c r="AC651" i="2"/>
  <c r="AC562" i="2"/>
  <c r="AC563" i="2"/>
  <c r="AC564" i="2"/>
  <c r="AC565" i="2"/>
  <c r="AC566" i="2"/>
  <c r="AC461" i="2"/>
  <c r="AC567" i="2"/>
  <c r="AC568" i="2"/>
  <c r="AC569" i="2"/>
  <c r="AC1034" i="2"/>
  <c r="AC287" i="2"/>
  <c r="AC57" i="2"/>
  <c r="AC1245" i="2"/>
  <c r="AC84" i="2"/>
  <c r="AC178" i="2"/>
  <c r="AC59" i="2"/>
  <c r="AC1545" i="2"/>
  <c r="AC1452" i="2"/>
  <c r="AC759" i="2"/>
  <c r="AC1453" i="2"/>
  <c r="AC1146" i="2"/>
  <c r="AC1147" i="2"/>
  <c r="AC1148" i="2"/>
  <c r="AC1149" i="2"/>
  <c r="AC697" i="2"/>
  <c r="AC711" i="2"/>
  <c r="AC720" i="2"/>
  <c r="AC698" i="2"/>
  <c r="AC617" i="2"/>
  <c r="AC60" i="2"/>
  <c r="AC733" i="2"/>
  <c r="AC608" i="2"/>
  <c r="AC609" i="2"/>
  <c r="AC593" i="2"/>
  <c r="AC613" i="2"/>
  <c r="AC615" i="2"/>
  <c r="AC1229" i="2"/>
  <c r="AC1230" i="2"/>
  <c r="AC649" i="2"/>
  <c r="AC760" i="2"/>
  <c r="AC761" i="2"/>
  <c r="AC762" i="2"/>
  <c r="AC763" i="2"/>
  <c r="AC736" i="2"/>
  <c r="AC745" i="2"/>
  <c r="AC737" i="2"/>
  <c r="AC721" i="2"/>
  <c r="AC722" i="2"/>
  <c r="AC699" i="2"/>
  <c r="AC712" i="2"/>
  <c r="AC619" i="2"/>
  <c r="AC764" i="2"/>
  <c r="AC765" i="2"/>
  <c r="AC766" i="2"/>
  <c r="AC291" i="2"/>
  <c r="AC292" i="2"/>
  <c r="AC534" i="2"/>
  <c r="AC540" i="2"/>
  <c r="AC541" i="2"/>
  <c r="AC544" i="2"/>
  <c r="AC545" i="2"/>
  <c r="AC1236" i="2"/>
  <c r="AC1237" i="2"/>
  <c r="AC1238" i="2"/>
  <c r="AC1240" i="2"/>
  <c r="AC1246" i="2"/>
  <c r="AC1247" i="2"/>
  <c r="AC1252" i="2"/>
  <c r="AC1486" i="2"/>
  <c r="AC13" i="2"/>
  <c r="AC1499" i="2"/>
  <c r="AC1501" i="2"/>
  <c r="AC1511" i="2"/>
  <c r="AC1512" i="2"/>
  <c r="AC1533" i="2"/>
  <c r="AC1546" i="2"/>
  <c r="AC1547" i="2"/>
  <c r="AC1548" i="2"/>
  <c r="AC1447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34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303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304" i="2"/>
  <c r="AC1639" i="2"/>
  <c r="AC1640" i="2"/>
  <c r="AC1641" i="2"/>
  <c r="AC1642" i="2"/>
  <c r="AC1643" i="2"/>
  <c r="AC1644" i="2"/>
  <c r="AC1645" i="2"/>
  <c r="AC1646" i="2"/>
  <c r="AC1647" i="2"/>
  <c r="AC1648" i="2"/>
  <c r="AC14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42" i="2"/>
  <c r="AC1743" i="2"/>
  <c r="AC1744" i="2"/>
  <c r="AC1745" i="2"/>
  <c r="AC1746" i="2"/>
  <c r="AC1747" i="2"/>
  <c r="AC1748" i="2"/>
  <c r="AC1749" i="2"/>
  <c r="AC1737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7" i="2"/>
  <c r="AC1781" i="2"/>
  <c r="AC1782" i="2"/>
  <c r="AC1783" i="2"/>
  <c r="AC1784" i="2"/>
  <c r="AC1785" i="2"/>
  <c r="AC1730" i="2"/>
  <c r="AC408" i="2"/>
  <c r="AC482" i="2"/>
  <c r="AC573" i="2"/>
  <c r="AC1502" i="2"/>
  <c r="AC1420" i="2"/>
  <c r="AC1251" i="2"/>
  <c r="AC122" i="2"/>
  <c r="AC1338" i="2"/>
  <c r="AC1429" i="2"/>
  <c r="AC1235" i="2"/>
  <c r="AC1314" i="2"/>
  <c r="AC496" i="2"/>
  <c r="AC491" i="2"/>
  <c r="AC1404" i="2"/>
  <c r="AC1477" i="2"/>
  <c r="AC1432" i="2"/>
  <c r="AC1487" i="2"/>
  <c r="AC520" i="2"/>
  <c r="AC521" i="2"/>
  <c r="AC1002" i="2"/>
  <c r="AC1003" i="2"/>
  <c r="AC1004" i="2"/>
  <c r="AC1005" i="2"/>
  <c r="AC935" i="2"/>
  <c r="AC25" i="2"/>
  <c r="AC202" i="2"/>
  <c r="AC72" i="2"/>
  <c r="AC1072" i="2"/>
  <c r="AC1073" i="2"/>
  <c r="AC237" i="2"/>
  <c r="AC177" i="2"/>
  <c r="AC203" i="2"/>
  <c r="AC1204" i="2"/>
  <c r="AC369" i="2"/>
  <c r="AC85" i="2"/>
  <c r="AC204" i="2"/>
  <c r="AC238" i="2"/>
  <c r="AC394" i="2"/>
  <c r="AC472" i="2"/>
  <c r="AC473" i="2"/>
  <c r="AC288" i="2"/>
  <c r="AC253" i="2"/>
  <c r="AC205" i="2"/>
  <c r="AC185" i="2"/>
  <c r="AC88" i="2"/>
  <c r="AC890" i="2"/>
  <c r="AC246" i="2"/>
  <c r="AC63" i="2"/>
  <c r="AC206" i="2"/>
  <c r="AC83" i="2"/>
  <c r="AC137" i="2"/>
  <c r="AC207" i="2"/>
  <c r="AC416" i="2"/>
  <c r="AC330" i="2"/>
  <c r="AC264" i="2"/>
  <c r="AC1205" i="2"/>
  <c r="AC395" i="2"/>
  <c r="AC417" i="2"/>
  <c r="AC65" i="2"/>
  <c r="AC396" i="2"/>
  <c r="AC208" i="2"/>
  <c r="AC1206" i="2"/>
  <c r="AC10" i="2"/>
  <c r="AC1207" i="2"/>
  <c r="AC1120" i="2"/>
  <c r="AC1074" i="2"/>
  <c r="AC1075" i="2"/>
  <c r="AC1076" i="2"/>
  <c r="AC891" i="2"/>
  <c r="AC892" i="2"/>
  <c r="AC14" i="2"/>
  <c r="AC331" i="2"/>
  <c r="AC884" i="2"/>
  <c r="AC1208" i="2"/>
  <c r="AC1209" i="2"/>
  <c r="AC1210" i="2"/>
  <c r="AC1121" i="2"/>
  <c r="AC1211" i="2"/>
  <c r="AC917" i="2"/>
  <c r="AC1144" i="2"/>
  <c r="AC1212" i="2"/>
  <c r="AC1122" i="2"/>
  <c r="AC179" i="2"/>
  <c r="AC913" i="2"/>
  <c r="AC89" i="2"/>
  <c r="AC250" i="2"/>
  <c r="AC315" i="2"/>
  <c r="AC1145" i="2"/>
  <c r="AC332" i="2"/>
  <c r="AC333" i="2"/>
  <c r="AC335" i="2"/>
  <c r="AC193" i="2"/>
  <c r="AC549" i="2"/>
  <c r="AC814" i="2"/>
  <c r="AC1033" i="2"/>
  <c r="AC933" i="2"/>
  <c r="AC24" i="2"/>
  <c r="AC180" i="2"/>
  <c r="AC17" i="2"/>
  <c r="AC370" i="2"/>
  <c r="AC1006" i="2"/>
  <c r="AC1007" i="2"/>
  <c r="AC73" i="2"/>
  <c r="AC358" i="2"/>
  <c r="AC837" i="2"/>
  <c r="AC38" i="2"/>
  <c r="AC359" i="2"/>
  <c r="AC475" i="2"/>
  <c r="AC194" i="2"/>
  <c r="AC786" i="2"/>
  <c r="AC476" i="2"/>
  <c r="AC893" i="2"/>
  <c r="AC39" i="2"/>
  <c r="AC973" i="2"/>
  <c r="AC316" i="2"/>
  <c r="AC477" i="2"/>
  <c r="AC478" i="2"/>
  <c r="AC153" i="2"/>
  <c r="AC479" i="2"/>
  <c r="AC1053" i="2"/>
  <c r="AC974" i="2"/>
  <c r="AC815" i="2"/>
  <c r="AC265" i="2"/>
  <c r="AC1077" i="2"/>
  <c r="AC317" i="2"/>
  <c r="AC68" i="2"/>
  <c r="AC33" i="2"/>
  <c r="AC440" i="2"/>
  <c r="AC1008" i="2"/>
  <c r="AC339" i="2"/>
  <c r="AC340" i="2"/>
  <c r="AC975" i="2"/>
  <c r="AC1009" i="2"/>
  <c r="AC418" i="2"/>
  <c r="AC133" i="2"/>
  <c r="AC936" i="2"/>
  <c r="AC937" i="2"/>
  <c r="AC294" i="2"/>
  <c r="AC1010" i="2"/>
  <c r="AC318" i="2"/>
  <c r="AC1011" i="2"/>
  <c r="AC40" i="2"/>
  <c r="AC360" i="2"/>
  <c r="AC341" i="2"/>
  <c r="AC1012" i="2"/>
  <c r="AC1013" i="2"/>
  <c r="AC1039" i="2"/>
  <c r="AC1040" i="2"/>
  <c r="AC361" i="2"/>
  <c r="AC342" i="2"/>
  <c r="AC938" i="2"/>
  <c r="AC939" i="2"/>
  <c r="AC362" i="2"/>
  <c r="AC1014" i="2"/>
  <c r="AC343" i="2"/>
  <c r="AC319" i="2"/>
  <c r="AC976" i="2"/>
  <c r="AC940" i="2"/>
  <c r="AC363" i="2"/>
  <c r="AC328" i="2"/>
  <c r="AC344" i="2"/>
  <c r="AC329" i="2"/>
  <c r="AC894" i="2"/>
  <c r="AC816" i="2"/>
  <c r="AC817" i="2"/>
  <c r="AC190" i="2"/>
  <c r="AC320" i="2"/>
  <c r="AC345" i="2"/>
  <c r="AC346" i="2"/>
  <c r="AC441" i="2"/>
  <c r="AC442" i="2"/>
  <c r="AC443" i="2"/>
  <c r="AC419" i="2"/>
  <c r="AC420" i="2"/>
  <c r="AC321" i="2"/>
  <c r="AC347" i="2"/>
  <c r="AC1015" i="2"/>
  <c r="AC309" i="2"/>
  <c r="AC322" i="2"/>
  <c r="AC1016" i="2"/>
  <c r="AC397" i="2"/>
  <c r="AC1017" i="2"/>
  <c r="AC421" i="2"/>
  <c r="AC295" i="2"/>
  <c r="AC437" i="2"/>
  <c r="AC438" i="2"/>
  <c r="AC348" i="2"/>
  <c r="AC422" i="2"/>
  <c r="AC941" i="2"/>
  <c r="AC838" i="2"/>
  <c r="AC452" i="2"/>
  <c r="AC942" i="2"/>
  <c r="AC1018" i="2"/>
  <c r="AC453" i="2"/>
  <c r="AC943" i="2"/>
  <c r="AC323" i="2"/>
  <c r="AC895" i="2"/>
  <c r="AC454" i="2"/>
  <c r="AC455" i="2"/>
  <c r="AC247" i="2"/>
  <c r="AC944" i="2"/>
  <c r="AC945" i="2"/>
  <c r="AC1108" i="2"/>
  <c r="AC32" i="2"/>
  <c r="AC254" i="2"/>
  <c r="AC209" i="2"/>
  <c r="AC818" i="2"/>
  <c r="AC349" i="2"/>
  <c r="AC398" i="2"/>
  <c r="AC977" i="2"/>
  <c r="AC1019" i="2"/>
  <c r="AC1054" i="2"/>
  <c r="AC423" i="2"/>
  <c r="AC399" i="2"/>
  <c r="AC946" i="2"/>
  <c r="AC947" i="2"/>
  <c r="AC978" i="2"/>
  <c r="AC29" i="2"/>
  <c r="AC979" i="2"/>
  <c r="AC400" i="2"/>
  <c r="AC1109" i="2"/>
  <c r="AC350" i="2"/>
  <c r="AC980" i="2"/>
  <c r="AC981" i="2"/>
  <c r="AC982" i="2"/>
  <c r="AC983" i="2"/>
  <c r="AC885" i="2"/>
  <c r="AC296" i="2"/>
  <c r="AC426" i="2"/>
  <c r="AC984" i="2"/>
  <c r="AC99" i="2"/>
  <c r="AC355" i="2"/>
  <c r="AC297" i="2"/>
  <c r="AC69" i="2"/>
  <c r="AC424" i="2"/>
  <c r="AC141" i="2"/>
  <c r="AC1213" i="2"/>
  <c r="AC135" i="2"/>
  <c r="AC985" i="2"/>
  <c r="AC986" i="2"/>
  <c r="AC403" i="2"/>
  <c r="AC34" i="2"/>
  <c r="AC404" i="2"/>
  <c r="AC427" i="2"/>
  <c r="AC405" i="2"/>
  <c r="AC371" i="2"/>
  <c r="AC406" i="2"/>
  <c r="AC987" i="2"/>
  <c r="AC425" i="2"/>
  <c r="AC401" i="2"/>
  <c r="AC298" i="2"/>
  <c r="AC896" i="2"/>
  <c r="AC159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886" i="2"/>
  <c r="AC402" i="2"/>
  <c r="AC1089" i="2"/>
  <c r="AC897" i="2"/>
  <c r="AC338" i="2"/>
  <c r="AC314" i="2"/>
  <c r="AC1020" i="2"/>
  <c r="AC1021" i="2"/>
  <c r="AC299" i="2"/>
  <c r="AC1110" i="2"/>
  <c r="AC310" i="2"/>
  <c r="AC356" i="2"/>
  <c r="AC819" i="2"/>
  <c r="AC988" i="2"/>
  <c r="AC989" i="2"/>
  <c r="AC160" i="2"/>
  <c r="AC210" i="2"/>
  <c r="AC300" i="2"/>
  <c r="AC311" i="2"/>
  <c r="AC301" i="2"/>
  <c r="AC1214" i="2"/>
  <c r="AC211" i="2"/>
  <c r="AC212" i="2"/>
  <c r="AC213" i="2"/>
  <c r="AC1111" i="2"/>
  <c r="AC105" i="2"/>
  <c r="AC181" i="2"/>
  <c r="AC35" i="2"/>
  <c r="AC41" i="2"/>
  <c r="AC635" i="2"/>
  <c r="AC610" i="2"/>
  <c r="AC685" i="2"/>
  <c r="AC686" i="2"/>
  <c r="AC655" i="2"/>
  <c r="AC670" i="2"/>
  <c r="AC671" i="2"/>
  <c r="AC632" i="2"/>
  <c r="AC672" i="2"/>
  <c r="AC633" i="2"/>
  <c r="AC595" i="2"/>
  <c r="AC713" i="2"/>
  <c r="AC714" i="2"/>
  <c r="AC620" i="2"/>
  <c r="AC738" i="2"/>
  <c r="AC630" i="2"/>
  <c r="AC687" i="2"/>
  <c r="AC587" i="2"/>
  <c r="AC709" i="2"/>
  <c r="AC588" i="2"/>
  <c r="AC693" i="2"/>
  <c r="AC594" i="2"/>
  <c r="AC596" i="2"/>
  <c r="AC597" i="2"/>
  <c r="AC598" i="2"/>
  <c r="AC636" i="2"/>
  <c r="AC656" i="2"/>
  <c r="AC673" i="2"/>
  <c r="AC674" i="2"/>
  <c r="AC836" i="2"/>
  <c r="AC37" i="2"/>
  <c r="AC1541" i="2"/>
  <c r="AC138" i="2"/>
  <c r="AC139" i="2"/>
  <c r="AC47" i="2"/>
  <c r="AC30" i="2"/>
  <c r="AC11" i="2"/>
  <c r="AC26" i="2"/>
  <c r="AC22" i="2"/>
  <c r="AC23" i="2"/>
  <c r="AC36" i="2"/>
  <c r="AC21" i="2"/>
  <c r="AC27" i="2"/>
  <c r="AC1305" i="2"/>
  <c r="AC1306" i="2"/>
  <c r="AC1307" i="2"/>
  <c r="AC143" i="2"/>
  <c r="AC1308" i="2"/>
  <c r="AC1442" i="2"/>
  <c r="AC1539" i="2"/>
  <c r="AC1309" i="2"/>
  <c r="AC1507" i="2"/>
  <c r="AC1407" i="2"/>
  <c r="AC146" i="2"/>
  <c r="AC753" i="2"/>
  <c r="AC147" i="2"/>
  <c r="AA1248" i="2"/>
  <c r="AA6" i="2"/>
  <c r="AA1233" i="2"/>
  <c r="AA1250" i="2"/>
  <c r="AA8" i="2"/>
  <c r="AA9" i="2"/>
  <c r="AA1249" i="2"/>
  <c r="AA7" i="2"/>
  <c r="AA538" i="2"/>
  <c r="AA1253" i="2"/>
  <c r="AA533" i="2"/>
  <c r="AA19" i="2"/>
  <c r="AA1370" i="2"/>
  <c r="AA1409" i="2"/>
  <c r="AA1534" i="2"/>
  <c r="AA1440" i="2"/>
  <c r="AA748" i="2"/>
  <c r="AA1339" i="2"/>
  <c r="AA599" i="2"/>
  <c r="AA643" i="2"/>
  <c r="AA1443" i="2"/>
  <c r="AA1425" i="2"/>
  <c r="AA1490" i="2"/>
  <c r="AA861" i="2"/>
  <c r="AA1347" i="2"/>
  <c r="AA1348" i="2"/>
  <c r="AA1492" i="2"/>
  <c r="AA1529" i="2"/>
  <c r="AA740" i="2"/>
  <c r="AA1029" i="2"/>
  <c r="AA1315" i="2"/>
  <c r="AA1408" i="2"/>
  <c r="AA1135" i="2"/>
  <c r="AA1150" i="2"/>
  <c r="AA706" i="2"/>
  <c r="AA1343" i="2"/>
  <c r="AA1435" i="2"/>
  <c r="AA1436" i="2"/>
  <c r="AA1449" i="2"/>
  <c r="AA1450" i="2"/>
  <c r="AA1352" i="2"/>
  <c r="AA1513" i="2"/>
  <c r="AA856" i="2"/>
  <c r="AA668" i="2"/>
  <c r="AA1530" i="2"/>
  <c r="AA694" i="2"/>
  <c r="AA1430" i="2"/>
  <c r="AA700" i="2"/>
  <c r="AA641" i="2"/>
  <c r="AA1090" i="2"/>
  <c r="AA583" i="2"/>
  <c r="AA584" i="2"/>
  <c r="AA1415" i="2"/>
  <c r="AA727" i="2"/>
  <c r="AA1139" i="2"/>
  <c r="AA1355" i="2"/>
  <c r="AA728" i="2"/>
  <c r="AA511" i="2"/>
  <c r="AA746" i="2"/>
  <c r="AA639" i="2"/>
  <c r="AA1778" i="2"/>
  <c r="AA1437" i="2"/>
  <c r="AA905" i="2"/>
  <c r="AA1493" i="2"/>
  <c r="AA1521" i="2"/>
  <c r="AA1522" i="2"/>
  <c r="AA1174" i="2"/>
  <c r="AA578" i="2"/>
  <c r="AA854" i="2"/>
  <c r="AA1178" i="2"/>
  <c r="AA863" i="2"/>
  <c r="AA507" i="2"/>
  <c r="AA1170" i="2"/>
  <c r="AA820" i="2"/>
  <c r="AA1523" i="2"/>
  <c r="AA1524" i="2"/>
  <c r="AA1141" i="2"/>
  <c r="AA931" i="2"/>
  <c r="AA910" i="2"/>
  <c r="AA1394" i="2"/>
  <c r="AA1395" i="2"/>
  <c r="AA1041" i="2"/>
  <c r="AA812" i="2"/>
  <c r="AA1396" i="2"/>
  <c r="AA28" i="2"/>
  <c r="AA1044" i="2"/>
  <c r="AA1112" i="2"/>
  <c r="AA799" i="2"/>
  <c r="AA151" i="2"/>
  <c r="AA918" i="2"/>
  <c r="AA1461" i="2"/>
  <c r="AA518" i="2"/>
  <c r="AA1137" i="2"/>
  <c r="AA729" i="2"/>
  <c r="AA867" i="2"/>
  <c r="AA1031" i="2"/>
  <c r="AA780" i="2"/>
  <c r="AA777" i="2"/>
  <c r="AA675" i="2"/>
  <c r="AA1037" i="2"/>
  <c r="AA676" i="2"/>
  <c r="AA657" i="2"/>
  <c r="AA623" i="2"/>
  <c r="AA624" i="2"/>
  <c r="AA926" i="2"/>
  <c r="AA589" i="2"/>
  <c r="AA665" i="2"/>
  <c r="AA810" i="2"/>
  <c r="AA928" i="2"/>
  <c r="AA654" i="2"/>
  <c r="AA523" i="2"/>
  <c r="AA769" i="2"/>
  <c r="AA702" i="2"/>
  <c r="AA1133" i="2"/>
  <c r="AA846" i="2"/>
  <c r="AA677" i="2"/>
  <c r="AA1131" i="2"/>
  <c r="AA858" i="2"/>
  <c r="AA1341" i="2"/>
  <c r="AA1779" i="2"/>
  <c r="AA1068" i="2"/>
  <c r="AA661" i="2"/>
  <c r="AA1127" i="2"/>
  <c r="AA1129" i="2"/>
  <c r="AA145" i="2"/>
  <c r="AA1505" i="2"/>
  <c r="AA605" i="2"/>
  <c r="AA161" i="2"/>
  <c r="AA191" i="2"/>
  <c r="AA783" i="2"/>
  <c r="AA851" i="2"/>
  <c r="AA123" i="2"/>
  <c r="AA257" i="2"/>
  <c r="AA1143" i="2"/>
  <c r="AA1780" i="2"/>
  <c r="AA1496" i="2"/>
  <c r="AA1497" i="2"/>
  <c r="AA865" i="2"/>
  <c r="AA1459" i="2"/>
  <c r="AA266" i="2"/>
  <c r="AA907" i="2"/>
  <c r="AA1410" i="2"/>
  <c r="AA1411" i="2"/>
  <c r="AA730" i="2"/>
  <c r="AA242" i="2"/>
  <c r="AA513" i="2"/>
  <c r="AA806" i="2"/>
  <c r="AA1165" i="2"/>
  <c r="AA1226" i="2"/>
  <c r="AA1397" i="2"/>
  <c r="AA515" i="2"/>
  <c r="AA56" i="2"/>
  <c r="AA1454" i="2"/>
  <c r="AA1462" i="2"/>
  <c r="AA502" i="2"/>
  <c r="AA1254" i="2"/>
  <c r="AA1310" i="2"/>
  <c r="AA1334" i="2"/>
  <c r="AA483" i="2"/>
  <c r="AA16" i="2"/>
  <c r="AA621" i="2"/>
  <c r="AA574" i="2"/>
  <c r="AA580" i="2"/>
  <c r="AA2" i="2"/>
  <c r="AA497" i="2"/>
  <c r="AA503" i="2"/>
  <c r="AA484" i="2"/>
  <c r="AA1241" i="2"/>
  <c r="AA18" i="2"/>
  <c r="AA43" i="2"/>
  <c r="AA45" i="2"/>
  <c r="AA44" i="2"/>
  <c r="AA504" i="2"/>
  <c r="AA15" i="2"/>
  <c r="AA1316" i="2"/>
  <c r="AA46" i="2"/>
  <c r="AA1255" i="2"/>
  <c r="AA1256" i="2"/>
  <c r="AA1257" i="2"/>
  <c r="AA64" i="2"/>
  <c r="AA1258" i="2"/>
  <c r="AA646" i="2"/>
  <c r="AA800" i="2"/>
  <c r="AA498" i="2"/>
  <c r="AA1428" i="2"/>
  <c r="AA1460" i="2"/>
  <c r="AA575" i="2"/>
  <c r="AA67" i="2"/>
  <c r="AA1500" i="2"/>
  <c r="AA1369" i="2"/>
  <c r="AA1377" i="2"/>
  <c r="AA807" i="2"/>
  <c r="AA1320" i="2"/>
  <c r="AA48" i="2"/>
  <c r="AA1520" i="2"/>
  <c r="AA767" i="2"/>
  <c r="AA768" i="2"/>
  <c r="AA1022" i="2"/>
  <c r="AA55" i="2"/>
  <c r="AA749" i="2"/>
  <c r="AA1055" i="2"/>
  <c r="AA485" i="2"/>
  <c r="AA1260" i="2"/>
  <c r="AA839" i="2"/>
  <c r="AA600" i="2"/>
  <c r="AA644" i="2"/>
  <c r="AA1261" i="2"/>
  <c r="AA499" i="2"/>
  <c r="AA1262" i="2"/>
  <c r="AA1354" i="2"/>
  <c r="AA715" i="2"/>
  <c r="AA862" i="2"/>
  <c r="AA1349" i="2"/>
  <c r="AA1228" i="2"/>
  <c r="AA1378" i="2"/>
  <c r="AA1350" i="2"/>
  <c r="AA934" i="2"/>
  <c r="AA1446" i="2"/>
  <c r="AA1215" i="2"/>
  <c r="AA716" i="2"/>
  <c r="AA739" i="2"/>
  <c r="AA1030" i="2"/>
  <c r="AA948" i="2"/>
  <c r="AA1421" i="2"/>
  <c r="AA717" i="2"/>
  <c r="AA1045" i="2"/>
  <c r="AA1263" i="2"/>
  <c r="AA1488" i="2"/>
  <c r="AA1264" i="2"/>
  <c r="AA50" i="2"/>
  <c r="AA1136" i="2"/>
  <c r="AA1091" i="2"/>
  <c r="AA1427" i="2"/>
  <c r="AA1151" i="2"/>
  <c r="AA576" i="2"/>
  <c r="AA1344" i="2"/>
  <c r="AA1047" i="2"/>
  <c r="AA1048" i="2"/>
  <c r="AA1265" i="2"/>
  <c r="AA486" i="2"/>
  <c r="AA49" i="2"/>
  <c r="AA1330" i="2"/>
  <c r="AA1434" i="2"/>
  <c r="AA880" i="2"/>
  <c r="AA1331" i="2"/>
  <c r="AA1451" i="2"/>
  <c r="AA1266" i="2"/>
  <c r="AA1514" i="2"/>
  <c r="AA1540" i="2"/>
  <c r="AA1353" i="2"/>
  <c r="AA857" i="2"/>
  <c r="AA669" i="2"/>
  <c r="AA1531" i="2"/>
  <c r="AA695" i="2"/>
  <c r="AA1431" i="2"/>
  <c r="AA622" i="2"/>
  <c r="AA607" i="2"/>
  <c r="AA701" i="2"/>
  <c r="AA642" i="2"/>
  <c r="AA990" i="2"/>
  <c r="AA5" i="2"/>
  <c r="AA1092" i="2"/>
  <c r="AA1168" i="2"/>
  <c r="AA585" i="2"/>
  <c r="AA586" i="2"/>
  <c r="AA1267" i="2"/>
  <c r="AA803" i="2"/>
  <c r="AA723" i="2"/>
  <c r="AA898" i="2"/>
  <c r="AA1140" i="2"/>
  <c r="AA1268" i="2"/>
  <c r="AA1269" i="2"/>
  <c r="AA724" i="2"/>
  <c r="AA512" i="2"/>
  <c r="AA747" i="2"/>
  <c r="AA640" i="2"/>
  <c r="AA353" i="2"/>
  <c r="AA1479" i="2"/>
  <c r="AA906" i="2"/>
  <c r="AA1494" i="2"/>
  <c r="AA1270" i="2"/>
  <c r="AA3" i="2"/>
  <c r="AA1525" i="2"/>
  <c r="AA1175" i="2"/>
  <c r="AA579" i="2"/>
  <c r="AA855" i="2"/>
  <c r="AA86" i="2"/>
  <c r="AA1179" i="2"/>
  <c r="AA864" i="2"/>
  <c r="AA508" i="2"/>
  <c r="AA755" i="2"/>
  <c r="AA1171" i="2"/>
  <c r="AA87" i="2"/>
  <c r="AA916" i="2"/>
  <c r="AA821" i="2"/>
  <c r="AA1332" i="2"/>
  <c r="AA1526" i="2"/>
  <c r="AA1142" i="2"/>
  <c r="AA1123" i="2"/>
  <c r="AA932" i="2"/>
  <c r="AA531" i="2"/>
  <c r="AA911" i="2"/>
  <c r="AA487" i="2"/>
  <c r="AA1398" i="2"/>
  <c r="AA1042" i="2"/>
  <c r="AA813" i="2"/>
  <c r="AA532" i="2"/>
  <c r="AA1399" i="2"/>
  <c r="AA577" i="2"/>
  <c r="AA1046" i="2"/>
  <c r="AA1271" i="2"/>
  <c r="AA1113" i="2"/>
  <c r="AA801" i="2"/>
  <c r="AA152" i="2"/>
  <c r="AA919" i="2"/>
  <c r="AA908" i="2"/>
  <c r="AA1335" i="2"/>
  <c r="AA1463" i="2"/>
  <c r="AA519" i="2"/>
  <c r="AA1138" i="2"/>
  <c r="AA4" i="2"/>
  <c r="AA725" i="2"/>
  <c r="AA924" i="2"/>
  <c r="AA868" i="2"/>
  <c r="AA1032" i="2"/>
  <c r="AA781" i="2"/>
  <c r="AA52" i="2"/>
  <c r="AA778" i="2"/>
  <c r="AA914" i="2"/>
  <c r="AA678" i="2"/>
  <c r="AA920" i="2"/>
  <c r="AA887" i="2"/>
  <c r="AA847" i="2"/>
  <c r="AA734" i="2"/>
  <c r="AA1038" i="2"/>
  <c r="AA679" i="2"/>
  <c r="AA658" i="2"/>
  <c r="AA293" i="2"/>
  <c r="AA921" i="2"/>
  <c r="AA625" i="2"/>
  <c r="AA626" i="2"/>
  <c r="AA927" i="2"/>
  <c r="AA590" i="2"/>
  <c r="AA922" i="2"/>
  <c r="AA666" i="2"/>
  <c r="AA811" i="2"/>
  <c r="AA929" i="2"/>
  <c r="AA754" i="2"/>
  <c r="AA1272" i="2"/>
  <c r="AA770" i="2"/>
  <c r="AA703" i="2"/>
  <c r="AA1134" i="2"/>
  <c r="AA848" i="2"/>
  <c r="AA1444" i="2"/>
  <c r="AA1035" i="2"/>
  <c r="AA680" i="2"/>
  <c r="AA1132" i="2"/>
  <c r="AA859" i="2"/>
  <c r="AA991" i="2"/>
  <c r="AA1535" i="2"/>
  <c r="AA1273" i="2"/>
  <c r="AA878" i="2"/>
  <c r="AA840" i="2"/>
  <c r="AA1069" i="2"/>
  <c r="AA662" i="2"/>
  <c r="AA1484" i="2"/>
  <c r="AA1128" i="2"/>
  <c r="AA1176" i="2"/>
  <c r="AA860" i="2"/>
  <c r="AA1130" i="2"/>
  <c r="AA148" i="2"/>
  <c r="AA548" i="2"/>
  <c r="AA1504" i="2"/>
  <c r="AA606" i="2"/>
  <c r="AA162" i="2"/>
  <c r="AA51" i="2"/>
  <c r="AA782" i="2"/>
  <c r="AA53" i="2"/>
  <c r="AA189" i="2"/>
  <c r="AA1274" i="2"/>
  <c r="AA1043" i="2"/>
  <c r="AA852" i="2"/>
  <c r="AA1152" i="2"/>
  <c r="AA1114" i="2"/>
  <c r="AA784" i="2"/>
  <c r="AA853" i="2"/>
  <c r="AA1464" i="2"/>
  <c r="AA124" i="2"/>
  <c r="AA923" i="2"/>
  <c r="AA1732" i="2"/>
  <c r="AA779" i="2"/>
  <c r="AA258" i="2"/>
  <c r="AA1741" i="2"/>
  <c r="AA1177" i="2"/>
  <c r="AA785" i="2"/>
  <c r="AA1231" i="2"/>
  <c r="AA915" i="2"/>
  <c r="AA1483" i="2"/>
  <c r="AA1372" i="2"/>
  <c r="AA1275" i="2"/>
  <c r="AA771" i="2"/>
  <c r="AA802" i="2"/>
  <c r="AA808" i="2"/>
  <c r="AA1276" i="2"/>
  <c r="AA1738" i="2"/>
  <c r="AA1498" i="2"/>
  <c r="AA1480" i="2"/>
  <c r="AA866" i="2"/>
  <c r="AA1455" i="2"/>
  <c r="AA267" i="2"/>
  <c r="AA1277" i="2"/>
  <c r="AA542" i="2"/>
  <c r="AA1503" i="2"/>
  <c r="AA1278" i="2"/>
  <c r="AA1172" i="2"/>
  <c r="AA909" i="2"/>
  <c r="AA1279" i="2"/>
  <c r="AA1173" i="2"/>
  <c r="AA930" i="2"/>
  <c r="AA1412" i="2"/>
  <c r="AA726" i="2"/>
  <c r="AA243" i="2"/>
  <c r="AA1166" i="2"/>
  <c r="AA1734" i="2"/>
  <c r="AA1731" i="2"/>
  <c r="AA514" i="2"/>
  <c r="AA101" i="2"/>
  <c r="AA102" i="2"/>
  <c r="AA1234" i="2"/>
  <c r="AA809" i="2"/>
  <c r="AA1167" i="2"/>
  <c r="AA1227" i="2"/>
  <c r="AA1313" i="2"/>
  <c r="AA516" i="2"/>
  <c r="AA1736" i="2"/>
  <c r="AA1456" i="2"/>
  <c r="AA1280" i="2"/>
  <c r="AA1543" i="2"/>
  <c r="AA1281" i="2"/>
  <c r="AA505" i="2"/>
  <c r="AA1740" i="2"/>
  <c r="AA1416" i="2"/>
  <c r="AA637" i="2"/>
  <c r="AA1282" i="2"/>
  <c r="AA1283" i="2"/>
  <c r="AA1465" i="2"/>
  <c r="AA1400" i="2"/>
  <c r="AA1284" i="2"/>
  <c r="AA1373" i="2"/>
  <c r="AA1466" i="2"/>
  <c r="AA1285" i="2"/>
  <c r="AA1286" i="2"/>
  <c r="AA488" i="2"/>
  <c r="AA756" i="2"/>
  <c r="AA757" i="2"/>
  <c r="AA1287" i="2"/>
  <c r="AA1417" i="2"/>
  <c r="AA1180" i="2"/>
  <c r="AA718" i="2"/>
  <c r="AA1418" i="2"/>
  <c r="AA492" i="2"/>
  <c r="AA1288" i="2"/>
  <c r="AA289" i="2"/>
  <c r="AA1774" i="2"/>
  <c r="AA1289" i="2"/>
  <c r="AA581" i="2"/>
  <c r="AA493" i="2"/>
  <c r="AA1290" i="2"/>
  <c r="AA1036" i="2"/>
  <c r="AA489" i="2"/>
  <c r="AA1291" i="2"/>
  <c r="AA1292" i="2"/>
  <c r="AA1293" i="2"/>
  <c r="AA12" i="2"/>
  <c r="AA1294" i="2"/>
  <c r="AA1295" i="2"/>
  <c r="AA1445" i="2"/>
  <c r="AA506" i="2"/>
  <c r="AA524" i="2"/>
  <c r="AA494" i="2"/>
  <c r="AA1296" i="2"/>
  <c r="AA1775" i="2"/>
  <c r="AA1297" i="2"/>
  <c r="AA1776" i="2"/>
  <c r="AA758" i="2"/>
  <c r="AA1298" i="2"/>
  <c r="AA1299" i="2"/>
  <c r="AA925" i="2"/>
  <c r="AA495" i="2"/>
  <c r="AA500" i="2"/>
  <c r="AA501" i="2"/>
  <c r="AA1300" i="2"/>
  <c r="AA1311" i="2"/>
  <c r="AA129" i="2"/>
  <c r="AA1301" i="2"/>
  <c r="AA772" i="2"/>
  <c r="AA773" i="2"/>
  <c r="AA774" i="2"/>
  <c r="AA775" i="2"/>
  <c r="AA776" i="2"/>
  <c r="AA591" i="2"/>
  <c r="AA592" i="2"/>
  <c r="AA789" i="2"/>
  <c r="AA790" i="2"/>
  <c r="AA791" i="2"/>
  <c r="AA792" i="2"/>
  <c r="AA793" i="2"/>
  <c r="AA794" i="2"/>
  <c r="AA795" i="2"/>
  <c r="AA796" i="2"/>
  <c r="AA797" i="2"/>
  <c r="AA66" i="2"/>
  <c r="AA290" i="2"/>
  <c r="AA364" i="2"/>
  <c r="AA365" i="2"/>
  <c r="AA366" i="2"/>
  <c r="AA367" i="2"/>
  <c r="AA368" i="2"/>
  <c r="AA804" i="2"/>
  <c r="AA805" i="2"/>
  <c r="AA70" i="2"/>
  <c r="AA601" i="2"/>
  <c r="AA602" i="2"/>
  <c r="AA603" i="2"/>
  <c r="AA604" i="2"/>
  <c r="AA74" i="2"/>
  <c r="AA75" i="2"/>
  <c r="AA131" i="2"/>
  <c r="AA1321" i="2"/>
  <c r="AA1322" i="2"/>
  <c r="AA1323" i="2"/>
  <c r="AA1324" i="2"/>
  <c r="AA1325" i="2"/>
  <c r="AA1326" i="2"/>
  <c r="AA1327" i="2"/>
  <c r="AA1333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1336" i="2"/>
  <c r="AA1337" i="2"/>
  <c r="AA76" i="2"/>
  <c r="AA77" i="2"/>
  <c r="AA78" i="2"/>
  <c r="AA79" i="2"/>
  <c r="AA1340" i="2"/>
  <c r="AA841" i="2"/>
  <c r="AA842" i="2"/>
  <c r="AA843" i="2"/>
  <c r="AA844" i="2"/>
  <c r="AA845" i="2"/>
  <c r="AA81" i="2"/>
  <c r="AA611" i="2"/>
  <c r="AA612" i="2"/>
  <c r="AA849" i="2"/>
  <c r="AA372" i="2"/>
  <c r="AA373" i="2"/>
  <c r="AA374" i="2"/>
  <c r="AA375" i="2"/>
  <c r="AA376" i="2"/>
  <c r="AA377" i="2"/>
  <c r="AA378" i="2"/>
  <c r="AA379" i="2"/>
  <c r="AA380" i="2"/>
  <c r="AA614" i="2"/>
  <c r="AA627" i="2"/>
  <c r="AA628" i="2"/>
  <c r="AA629" i="2"/>
  <c r="AA1345" i="2"/>
  <c r="AA100" i="2"/>
  <c r="AA1735" i="2"/>
  <c r="AA543" i="2"/>
  <c r="AA103" i="2"/>
  <c r="AA302" i="2"/>
  <c r="AA303" i="2"/>
  <c r="AA304" i="2"/>
  <c r="AA305" i="2"/>
  <c r="AA306" i="2"/>
  <c r="AA307" i="2"/>
  <c r="AA308" i="2"/>
  <c r="AA1544" i="2"/>
  <c r="AA312" i="2"/>
  <c r="AA313" i="2"/>
  <c r="AA631" i="2"/>
  <c r="AA1346" i="2"/>
  <c r="AA1302" i="2"/>
  <c r="AA1351" i="2"/>
  <c r="AA1356" i="2"/>
  <c r="AA1357" i="2"/>
  <c r="AA1358" i="2"/>
  <c r="AA1359" i="2"/>
  <c r="AA1360" i="2"/>
  <c r="AA509" i="2"/>
  <c r="AA510" i="2"/>
  <c r="AA1361" i="2"/>
  <c r="AA869" i="2"/>
  <c r="AA870" i="2"/>
  <c r="AA871" i="2"/>
  <c r="AA872" i="2"/>
  <c r="AA873" i="2"/>
  <c r="AA874" i="2"/>
  <c r="AA875" i="2"/>
  <c r="AA876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5" i="2"/>
  <c r="AA126" i="2"/>
  <c r="AA127" i="2"/>
  <c r="AA128" i="2"/>
  <c r="AA130" i="2"/>
  <c r="AA1363" i="2"/>
  <c r="AA1364" i="2"/>
  <c r="AA1365" i="2"/>
  <c r="AA1366" i="2"/>
  <c r="AA1367" i="2"/>
  <c r="AA550" i="2"/>
  <c r="AA551" i="2"/>
  <c r="AA552" i="2"/>
  <c r="AA140" i="2"/>
  <c r="AA553" i="2"/>
  <c r="AA554" i="2"/>
  <c r="AA555" i="2"/>
  <c r="AA556" i="2"/>
  <c r="AA634" i="2"/>
  <c r="AA877" i="2"/>
  <c r="AA142" i="2"/>
  <c r="AA144" i="2"/>
  <c r="AA1374" i="2"/>
  <c r="AA1375" i="2"/>
  <c r="AA1376" i="2"/>
  <c r="AA557" i="2"/>
  <c r="AA150" i="2"/>
  <c r="AA879" i="2"/>
  <c r="AA154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881" i="2"/>
  <c r="AA882" i="2"/>
  <c r="AA883" i="2"/>
  <c r="AA888" i="2"/>
  <c r="AA889" i="2"/>
  <c r="AA1392" i="2"/>
  <c r="AA1393" i="2"/>
  <c r="AA899" i="2"/>
  <c r="AA900" i="2"/>
  <c r="AA901" i="2"/>
  <c r="AA902" i="2"/>
  <c r="AA903" i="2"/>
  <c r="AA904" i="2"/>
  <c r="AA1401" i="2"/>
  <c r="AA1402" i="2"/>
  <c r="AA1403" i="2"/>
  <c r="AA1405" i="2"/>
  <c r="AA1406" i="2"/>
  <c r="AA1413" i="2"/>
  <c r="AA1414" i="2"/>
  <c r="AA638" i="2"/>
  <c r="AA1419" i="2"/>
  <c r="AA163" i="2"/>
  <c r="AA164" i="2"/>
  <c r="AA165" i="2"/>
  <c r="AA166" i="2"/>
  <c r="AA167" i="2"/>
  <c r="AA168" i="2"/>
  <c r="AA169" i="2"/>
  <c r="AA170" i="2"/>
  <c r="AA171" i="2"/>
  <c r="AA172" i="2"/>
  <c r="AA558" i="2"/>
  <c r="AA559" i="2"/>
  <c r="AA1422" i="2"/>
  <c r="AA1423" i="2"/>
  <c r="AA1424" i="2"/>
  <c r="AA173" i="2"/>
  <c r="AA174" i="2"/>
  <c r="AA560" i="2"/>
  <c r="AA175" i="2"/>
  <c r="AA561" i="2"/>
  <c r="AA645" i="2"/>
  <c r="AA647" i="2"/>
  <c r="AA182" i="2"/>
  <c r="AA183" i="2"/>
  <c r="AA1426" i="2"/>
  <c r="AA650" i="2"/>
  <c r="AA31" i="2"/>
  <c r="AA186" i="2"/>
  <c r="AA187" i="2"/>
  <c r="AA188" i="2"/>
  <c r="AA1433" i="2"/>
  <c r="AA1438" i="2"/>
  <c r="AA1439" i="2"/>
  <c r="AA192" i="2"/>
  <c r="AA1441" i="2"/>
  <c r="AA334" i="2"/>
  <c r="AA428" i="2"/>
  <c r="AA429" i="2"/>
  <c r="AA430" i="2"/>
  <c r="AA431" i="2"/>
  <c r="AA432" i="2"/>
  <c r="AA433" i="2"/>
  <c r="AA434" i="2"/>
  <c r="AA435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92" i="2"/>
  <c r="AA993" i="2"/>
  <c r="AA994" i="2"/>
  <c r="AA995" i="2"/>
  <c r="AA996" i="2"/>
  <c r="AA997" i="2"/>
  <c r="AA998" i="2"/>
  <c r="AA999" i="2"/>
  <c r="AA1000" i="2"/>
  <c r="AA1001" i="2"/>
  <c r="AA1023" i="2"/>
  <c r="AA1024" i="2"/>
  <c r="AA1025" i="2"/>
  <c r="AA1026" i="2"/>
  <c r="AA1027" i="2"/>
  <c r="AA1028" i="2"/>
  <c r="AA652" i="2"/>
  <c r="AA653" i="2"/>
  <c r="AA659" i="2"/>
  <c r="AA660" i="2"/>
  <c r="AA1457" i="2"/>
  <c r="AA1458" i="2"/>
  <c r="AA663" i="2"/>
  <c r="AA570" i="2"/>
  <c r="AA195" i="2"/>
  <c r="AA196" i="2"/>
  <c r="AA197" i="2"/>
  <c r="AA1467" i="2"/>
  <c r="AA1468" i="2"/>
  <c r="AA1469" i="2"/>
  <c r="AA1470" i="2"/>
  <c r="AA1471" i="2"/>
  <c r="AA1472" i="2"/>
  <c r="AA1473" i="2"/>
  <c r="AA1474" i="2"/>
  <c r="AA1475" i="2"/>
  <c r="AA1476" i="2"/>
  <c r="AA336" i="2"/>
  <c r="AA337" i="2"/>
  <c r="AA1478" i="2"/>
  <c r="AA198" i="2"/>
  <c r="AA199" i="2"/>
  <c r="AA200" i="2"/>
  <c r="AA201" i="2"/>
  <c r="AA1481" i="2"/>
  <c r="AA1482" i="2"/>
  <c r="AA517" i="2"/>
  <c r="AA1485" i="2"/>
  <c r="AA1489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1491" i="2"/>
  <c r="AA1049" i="2"/>
  <c r="AA444" i="2"/>
  <c r="AA1050" i="2"/>
  <c r="AA1051" i="2"/>
  <c r="AA1052" i="2"/>
  <c r="AA445" i="2"/>
  <c r="AA446" i="2"/>
  <c r="AA447" i="2"/>
  <c r="AA448" i="2"/>
  <c r="AA449" i="2"/>
  <c r="AA450" i="2"/>
  <c r="AA451" i="2"/>
  <c r="AA456" i="2"/>
  <c r="AA457" i="2"/>
  <c r="AA458" i="2"/>
  <c r="AA1056" i="2"/>
  <c r="AA1057" i="2"/>
  <c r="AA1058" i="2"/>
  <c r="AA228" i="2"/>
  <c r="AA1059" i="2"/>
  <c r="AA1060" i="2"/>
  <c r="AA1061" i="2"/>
  <c r="AA1062" i="2"/>
  <c r="AA1063" i="2"/>
  <c r="AA1064" i="2"/>
  <c r="AA1065" i="2"/>
  <c r="AA1066" i="2"/>
  <c r="AA1067" i="2"/>
  <c r="AA664" i="2"/>
  <c r="AA1070" i="2"/>
  <c r="AA1071" i="2"/>
  <c r="AA229" i="2"/>
  <c r="AA230" i="2"/>
  <c r="AA231" i="2"/>
  <c r="AA232" i="2"/>
  <c r="AA233" i="2"/>
  <c r="AA234" i="2"/>
  <c r="AA235" i="2"/>
  <c r="AA236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495" i="2"/>
  <c r="AA1115" i="2"/>
  <c r="AA1116" i="2"/>
  <c r="AA1117" i="2"/>
  <c r="AA1118" i="2"/>
  <c r="AA1119" i="2"/>
  <c r="AA239" i="2"/>
  <c r="AA240" i="2"/>
  <c r="AA241" i="2"/>
  <c r="AA244" i="2"/>
  <c r="AA1124" i="2"/>
  <c r="AA1125" i="2"/>
  <c r="AA1126" i="2"/>
  <c r="AA459" i="2"/>
  <c r="AA460" i="2"/>
  <c r="AA245" i="2"/>
  <c r="AA522" i="2"/>
  <c r="AA462" i="2"/>
  <c r="AA463" i="2"/>
  <c r="AA464" i="2"/>
  <c r="AA465" i="2"/>
  <c r="AA466" i="2"/>
  <c r="AA467" i="2"/>
  <c r="AA468" i="2"/>
  <c r="AA469" i="2"/>
  <c r="AA470" i="2"/>
  <c r="AA248" i="2"/>
  <c r="AA681" i="2"/>
  <c r="AA683" i="2"/>
  <c r="AA525" i="2"/>
  <c r="AA526" i="2"/>
  <c r="AA527" i="2"/>
  <c r="AA528" i="2"/>
  <c r="AA1506" i="2"/>
  <c r="AA1508" i="2"/>
  <c r="AA688" i="2"/>
  <c r="AA689" i="2"/>
  <c r="AA690" i="2"/>
  <c r="AA691" i="2"/>
  <c r="AA692" i="2"/>
  <c r="AA1509" i="2"/>
  <c r="AA1510" i="2"/>
  <c r="AA696" i="2"/>
  <c r="AA249" i="2"/>
  <c r="AA704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733" i="2"/>
  <c r="AA255" i="2"/>
  <c r="AA256" i="2"/>
  <c r="AA571" i="2"/>
  <c r="AA572" i="2"/>
  <c r="AA1169" i="2"/>
  <c r="AA351" i="2"/>
  <c r="AA352" i="2"/>
  <c r="AA1515" i="2"/>
  <c r="AA1516" i="2"/>
  <c r="AA1517" i="2"/>
  <c r="AA1518" i="2"/>
  <c r="AA1519" i="2"/>
  <c r="AA708" i="2"/>
  <c r="AA259" i="2"/>
  <c r="AA260" i="2"/>
  <c r="AA261" i="2"/>
  <c r="AA262" i="2"/>
  <c r="AA1242" i="2"/>
  <c r="AA1243" i="2"/>
  <c r="AA263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1244" i="2"/>
  <c r="AA1527" i="2"/>
  <c r="AA1528" i="2"/>
  <c r="AA283" i="2"/>
  <c r="AA1532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731" i="2"/>
  <c r="AA732" i="2"/>
  <c r="AA285" i="2"/>
  <c r="AA286" i="2"/>
  <c r="AA741" i="2"/>
  <c r="AA742" i="2"/>
  <c r="AA490" i="2"/>
  <c r="AA743" i="2"/>
  <c r="AA744" i="2"/>
  <c r="AA535" i="2"/>
  <c r="AA536" i="2"/>
  <c r="AA537" i="2"/>
  <c r="AA1536" i="2"/>
  <c r="AA1537" i="2"/>
  <c r="AA1538" i="2"/>
  <c r="AA1197" i="2"/>
  <c r="AA1198" i="2"/>
  <c r="AA1199" i="2"/>
  <c r="AA480" i="2"/>
  <c r="AA1200" i="2"/>
  <c r="AA1201" i="2"/>
  <c r="AA1202" i="2"/>
  <c r="AA1203" i="2"/>
  <c r="AA1216" i="2"/>
  <c r="AA1217" i="2"/>
  <c r="AA1218" i="2"/>
  <c r="AA1219" i="2"/>
  <c r="AA1220" i="2"/>
  <c r="AA1221" i="2"/>
  <c r="AA1222" i="2"/>
  <c r="AA1223" i="2"/>
  <c r="AA1224" i="2"/>
  <c r="AA1225" i="2"/>
  <c r="AA750" i="2"/>
  <c r="AA751" i="2"/>
  <c r="AA752" i="2"/>
  <c r="AA1739" i="2"/>
  <c r="AA546" i="2"/>
  <c r="AA547" i="2"/>
  <c r="AA1542" i="2"/>
  <c r="AA54" i="2"/>
  <c r="AA1232" i="2"/>
  <c r="AA1312" i="2"/>
  <c r="AA1317" i="2"/>
  <c r="AA1318" i="2"/>
  <c r="AA1319" i="2"/>
  <c r="AA1328" i="2"/>
  <c r="AA1329" i="2"/>
  <c r="AA1342" i="2"/>
  <c r="AA1362" i="2"/>
  <c r="AA1368" i="2"/>
  <c r="AA787" i="2"/>
  <c r="AA788" i="2"/>
  <c r="AA61" i="2"/>
  <c r="AA798" i="2"/>
  <c r="AA1371" i="2"/>
  <c r="AA850" i="2"/>
  <c r="AA381" i="2"/>
  <c r="AA382" i="2"/>
  <c r="AA383" i="2"/>
  <c r="AA384" i="2"/>
  <c r="AA385" i="2"/>
  <c r="AA386" i="2"/>
  <c r="AA387" i="2"/>
  <c r="AA388" i="2"/>
  <c r="AA389" i="2"/>
  <c r="AA390" i="2"/>
  <c r="AA1379" i="2"/>
  <c r="AA391" i="2"/>
  <c r="AA392" i="2"/>
  <c r="AA90" i="2"/>
  <c r="AA91" i="2"/>
  <c r="AA92" i="2"/>
  <c r="AA93" i="2"/>
  <c r="AA94" i="2"/>
  <c r="AA95" i="2"/>
  <c r="AA96" i="2"/>
  <c r="AA97" i="2"/>
  <c r="AA98" i="2"/>
  <c r="AA618" i="2"/>
  <c r="AA539" i="2"/>
  <c r="AA710" i="2"/>
  <c r="AA1239" i="2"/>
  <c r="AA719" i="2"/>
  <c r="AA529" i="2"/>
  <c r="AA682" i="2"/>
  <c r="AA616" i="2"/>
  <c r="AA667" i="2"/>
  <c r="AA705" i="2"/>
  <c r="AA530" i="2"/>
  <c r="AA582" i="2"/>
  <c r="AA735" i="2"/>
  <c r="AA62" i="2"/>
  <c r="AA411" i="2"/>
  <c r="AA184" i="2"/>
  <c r="AA393" i="2"/>
  <c r="AA439" i="2"/>
  <c r="AA149" i="2"/>
  <c r="AA71" i="2"/>
  <c r="AA104" i="2"/>
  <c r="AA132" i="2"/>
  <c r="AA407" i="2"/>
  <c r="AA481" i="2"/>
  <c r="AA158" i="2"/>
  <c r="AA251" i="2"/>
  <c r="AA324" i="2"/>
  <c r="AA325" i="2"/>
  <c r="AA409" i="2"/>
  <c r="AA326" i="2"/>
  <c r="AA684" i="2"/>
  <c r="AA155" i="2"/>
  <c r="AA156" i="2"/>
  <c r="AA707" i="2"/>
  <c r="AA157" i="2"/>
  <c r="AA58" i="2"/>
  <c r="AA327" i="2"/>
  <c r="AA912" i="2"/>
  <c r="AA82" i="2"/>
  <c r="AA354" i="2"/>
  <c r="AA176" i="2"/>
  <c r="AA80" i="2"/>
  <c r="AA252" i="2"/>
  <c r="AA412" i="2"/>
  <c r="AA413" i="2"/>
  <c r="AA414" i="2"/>
  <c r="AA415" i="2"/>
  <c r="AA136" i="2"/>
  <c r="AA648" i="2"/>
  <c r="AA410" i="2"/>
  <c r="AA284" i="2"/>
  <c r="AA436" i="2"/>
  <c r="AA357" i="2"/>
  <c r="AA471" i="2"/>
  <c r="AA474" i="2"/>
  <c r="AA651" i="2"/>
  <c r="AA562" i="2"/>
  <c r="AA563" i="2"/>
  <c r="AA564" i="2"/>
  <c r="AA565" i="2"/>
  <c r="AA566" i="2"/>
  <c r="AA461" i="2"/>
  <c r="AA567" i="2"/>
  <c r="AA568" i="2"/>
  <c r="AA569" i="2"/>
  <c r="AA1034" i="2"/>
  <c r="AA287" i="2"/>
  <c r="AA57" i="2"/>
  <c r="AA1245" i="2"/>
  <c r="AA84" i="2"/>
  <c r="AA178" i="2"/>
  <c r="AA59" i="2"/>
  <c r="AA1545" i="2"/>
  <c r="AA1452" i="2"/>
  <c r="AA759" i="2"/>
  <c r="AA1453" i="2"/>
  <c r="AA1146" i="2"/>
  <c r="AA1147" i="2"/>
  <c r="AA1148" i="2"/>
  <c r="AA1149" i="2"/>
  <c r="AA697" i="2"/>
  <c r="AA711" i="2"/>
  <c r="AA720" i="2"/>
  <c r="AA698" i="2"/>
  <c r="AA617" i="2"/>
  <c r="AA60" i="2"/>
  <c r="AA733" i="2"/>
  <c r="AA608" i="2"/>
  <c r="AA609" i="2"/>
  <c r="AA593" i="2"/>
  <c r="AA613" i="2"/>
  <c r="AA615" i="2"/>
  <c r="AA1229" i="2"/>
  <c r="AA1230" i="2"/>
  <c r="AA649" i="2"/>
  <c r="AA760" i="2"/>
  <c r="AA761" i="2"/>
  <c r="AA762" i="2"/>
  <c r="AA763" i="2"/>
  <c r="AA736" i="2"/>
  <c r="AA745" i="2"/>
  <c r="AA737" i="2"/>
  <c r="AA721" i="2"/>
  <c r="AA722" i="2"/>
  <c r="AA699" i="2"/>
  <c r="AA712" i="2"/>
  <c r="AA619" i="2"/>
  <c r="AA764" i="2"/>
  <c r="AA765" i="2"/>
  <c r="AA766" i="2"/>
  <c r="AA291" i="2"/>
  <c r="AA292" i="2"/>
  <c r="AA534" i="2"/>
  <c r="AA540" i="2"/>
  <c r="AA541" i="2"/>
  <c r="AA544" i="2"/>
  <c r="AA545" i="2"/>
  <c r="AA1236" i="2"/>
  <c r="AA1237" i="2"/>
  <c r="AA1238" i="2"/>
  <c r="AA1240" i="2"/>
  <c r="AA1246" i="2"/>
  <c r="AA1247" i="2"/>
  <c r="AA1252" i="2"/>
  <c r="AA1486" i="2"/>
  <c r="AA13" i="2"/>
  <c r="AA1499" i="2"/>
  <c r="AA1501" i="2"/>
  <c r="AA1511" i="2"/>
  <c r="AA1512" i="2"/>
  <c r="AA1533" i="2"/>
  <c r="AA1546" i="2"/>
  <c r="AA1547" i="2"/>
  <c r="AA1548" i="2"/>
  <c r="AA1447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34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303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304" i="2"/>
  <c r="AA1639" i="2"/>
  <c r="AA1640" i="2"/>
  <c r="AA1641" i="2"/>
  <c r="AA1642" i="2"/>
  <c r="AA1643" i="2"/>
  <c r="AA1644" i="2"/>
  <c r="AA1645" i="2"/>
  <c r="AA1646" i="2"/>
  <c r="AA1647" i="2"/>
  <c r="AA1648" i="2"/>
  <c r="AA14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42" i="2"/>
  <c r="AA1743" i="2"/>
  <c r="AA1744" i="2"/>
  <c r="AA1745" i="2"/>
  <c r="AA1746" i="2"/>
  <c r="AA1747" i="2"/>
  <c r="AA1748" i="2"/>
  <c r="AA1749" i="2"/>
  <c r="AA1737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7" i="2"/>
  <c r="AA1781" i="2"/>
  <c r="AA1782" i="2"/>
  <c r="AA1783" i="2"/>
  <c r="AA1784" i="2"/>
  <c r="AA1785" i="2"/>
  <c r="AA1730" i="2"/>
  <c r="AA408" i="2"/>
  <c r="AA482" i="2"/>
  <c r="AA573" i="2"/>
  <c r="AA1502" i="2"/>
  <c r="AA1420" i="2"/>
  <c r="AA1251" i="2"/>
  <c r="AA122" i="2"/>
  <c r="AA1338" i="2"/>
  <c r="AA1429" i="2"/>
  <c r="AA1235" i="2"/>
  <c r="AA1314" i="2"/>
  <c r="AA496" i="2"/>
  <c r="AA491" i="2"/>
  <c r="AA1404" i="2"/>
  <c r="AA1477" i="2"/>
  <c r="AA1432" i="2"/>
  <c r="AA1487" i="2"/>
  <c r="AA520" i="2"/>
  <c r="AA521" i="2"/>
  <c r="AA1002" i="2"/>
  <c r="AA1003" i="2"/>
  <c r="AA1004" i="2"/>
  <c r="AA1005" i="2"/>
  <c r="AA935" i="2"/>
  <c r="AA25" i="2"/>
  <c r="AA202" i="2"/>
  <c r="AA72" i="2"/>
  <c r="AA1072" i="2"/>
  <c r="AA1073" i="2"/>
  <c r="AA237" i="2"/>
  <c r="AA177" i="2"/>
  <c r="AA203" i="2"/>
  <c r="AA1204" i="2"/>
  <c r="AA369" i="2"/>
  <c r="AA85" i="2"/>
  <c r="AA204" i="2"/>
  <c r="AA238" i="2"/>
  <c r="AA394" i="2"/>
  <c r="AA472" i="2"/>
  <c r="AA473" i="2"/>
  <c r="AA288" i="2"/>
  <c r="AA253" i="2"/>
  <c r="AA205" i="2"/>
  <c r="AA185" i="2"/>
  <c r="AA88" i="2"/>
  <c r="AA890" i="2"/>
  <c r="AA246" i="2"/>
  <c r="AA63" i="2"/>
  <c r="AA206" i="2"/>
  <c r="AA83" i="2"/>
  <c r="AA137" i="2"/>
  <c r="AA207" i="2"/>
  <c r="AA416" i="2"/>
  <c r="AA330" i="2"/>
  <c r="AA264" i="2"/>
  <c r="AA1205" i="2"/>
  <c r="AA395" i="2"/>
  <c r="AA417" i="2"/>
  <c r="AA65" i="2"/>
  <c r="AA396" i="2"/>
  <c r="AA208" i="2"/>
  <c r="AA1206" i="2"/>
  <c r="AA10" i="2"/>
  <c r="AA1207" i="2"/>
  <c r="AA1120" i="2"/>
  <c r="AA1074" i="2"/>
  <c r="AA1075" i="2"/>
  <c r="AA1076" i="2"/>
  <c r="AA891" i="2"/>
  <c r="AA892" i="2"/>
  <c r="AA14" i="2"/>
  <c r="AA331" i="2"/>
  <c r="AA884" i="2"/>
  <c r="AA1208" i="2"/>
  <c r="AA1209" i="2"/>
  <c r="AA1210" i="2"/>
  <c r="AA1121" i="2"/>
  <c r="AA1211" i="2"/>
  <c r="AA917" i="2"/>
  <c r="AA1144" i="2"/>
  <c r="AA1212" i="2"/>
  <c r="AA1122" i="2"/>
  <c r="AA179" i="2"/>
  <c r="AA913" i="2"/>
  <c r="AA89" i="2"/>
  <c r="AA250" i="2"/>
  <c r="AA315" i="2"/>
  <c r="AA1145" i="2"/>
  <c r="AA332" i="2"/>
  <c r="AA333" i="2"/>
  <c r="AA335" i="2"/>
  <c r="AA193" i="2"/>
  <c r="AA549" i="2"/>
  <c r="AA814" i="2"/>
  <c r="AA1033" i="2"/>
  <c r="AA933" i="2"/>
  <c r="AA24" i="2"/>
  <c r="AA180" i="2"/>
  <c r="AA17" i="2"/>
  <c r="AA370" i="2"/>
  <c r="AA1006" i="2"/>
  <c r="AA1007" i="2"/>
  <c r="AA73" i="2"/>
  <c r="AA358" i="2"/>
  <c r="AA837" i="2"/>
  <c r="AA38" i="2"/>
  <c r="AA359" i="2"/>
  <c r="AA475" i="2"/>
  <c r="AA194" i="2"/>
  <c r="AA786" i="2"/>
  <c r="AA476" i="2"/>
  <c r="AA893" i="2"/>
  <c r="AA39" i="2"/>
  <c r="AA973" i="2"/>
  <c r="AA316" i="2"/>
  <c r="AA477" i="2"/>
  <c r="AA478" i="2"/>
  <c r="AA153" i="2"/>
  <c r="AA479" i="2"/>
  <c r="AA1053" i="2"/>
  <c r="AA974" i="2"/>
  <c r="AA815" i="2"/>
  <c r="AA265" i="2"/>
  <c r="AA1077" i="2"/>
  <c r="AA317" i="2"/>
  <c r="AA68" i="2"/>
  <c r="AA33" i="2"/>
  <c r="AA440" i="2"/>
  <c r="AA1008" i="2"/>
  <c r="AA339" i="2"/>
  <c r="AA340" i="2"/>
  <c r="AA975" i="2"/>
  <c r="AA1009" i="2"/>
  <c r="AA418" i="2"/>
  <c r="AA133" i="2"/>
  <c r="AA936" i="2"/>
  <c r="AA937" i="2"/>
  <c r="AA294" i="2"/>
  <c r="AA1010" i="2"/>
  <c r="AA318" i="2"/>
  <c r="AA1011" i="2"/>
  <c r="AA40" i="2"/>
  <c r="AA360" i="2"/>
  <c r="AA341" i="2"/>
  <c r="AA1012" i="2"/>
  <c r="AA1013" i="2"/>
  <c r="AA1039" i="2"/>
  <c r="AA1040" i="2"/>
  <c r="AA361" i="2"/>
  <c r="AA342" i="2"/>
  <c r="AA938" i="2"/>
  <c r="AA939" i="2"/>
  <c r="AA362" i="2"/>
  <c r="AA1014" i="2"/>
  <c r="AA343" i="2"/>
  <c r="AA319" i="2"/>
  <c r="AA976" i="2"/>
  <c r="AA940" i="2"/>
  <c r="AA363" i="2"/>
  <c r="AA328" i="2"/>
  <c r="AA344" i="2"/>
  <c r="AA329" i="2"/>
  <c r="AA894" i="2"/>
  <c r="AA816" i="2"/>
  <c r="AA817" i="2"/>
  <c r="AA190" i="2"/>
  <c r="AA320" i="2"/>
  <c r="AA345" i="2"/>
  <c r="AA346" i="2"/>
  <c r="AA441" i="2"/>
  <c r="AA442" i="2"/>
  <c r="AA443" i="2"/>
  <c r="AA419" i="2"/>
  <c r="AA420" i="2"/>
  <c r="AA321" i="2"/>
  <c r="AA347" i="2"/>
  <c r="AA1015" i="2"/>
  <c r="AA309" i="2"/>
  <c r="AA322" i="2"/>
  <c r="AA1016" i="2"/>
  <c r="AA397" i="2"/>
  <c r="AA1017" i="2"/>
  <c r="AA421" i="2"/>
  <c r="AA295" i="2"/>
  <c r="AA437" i="2"/>
  <c r="AA438" i="2"/>
  <c r="AA348" i="2"/>
  <c r="AA422" i="2"/>
  <c r="AA941" i="2"/>
  <c r="AA838" i="2"/>
  <c r="AA452" i="2"/>
  <c r="AA942" i="2"/>
  <c r="AA1018" i="2"/>
  <c r="AA453" i="2"/>
  <c r="AA943" i="2"/>
  <c r="AA323" i="2"/>
  <c r="AA895" i="2"/>
  <c r="AA454" i="2"/>
  <c r="AA455" i="2"/>
  <c r="AA247" i="2"/>
  <c r="AA944" i="2"/>
  <c r="AA945" i="2"/>
  <c r="AA1108" i="2"/>
  <c r="AA32" i="2"/>
  <c r="AA254" i="2"/>
  <c r="AA209" i="2"/>
  <c r="AA818" i="2"/>
  <c r="AA349" i="2"/>
  <c r="AA398" i="2"/>
  <c r="AA977" i="2"/>
  <c r="AA1019" i="2"/>
  <c r="AA1054" i="2"/>
  <c r="AA423" i="2"/>
  <c r="AA399" i="2"/>
  <c r="AA946" i="2"/>
  <c r="AA947" i="2"/>
  <c r="AA978" i="2"/>
  <c r="AA29" i="2"/>
  <c r="AA979" i="2"/>
  <c r="AA400" i="2"/>
  <c r="AA1109" i="2"/>
  <c r="AA350" i="2"/>
  <c r="AA980" i="2"/>
  <c r="AA981" i="2"/>
  <c r="AA982" i="2"/>
  <c r="AA983" i="2"/>
  <c r="AA885" i="2"/>
  <c r="AA296" i="2"/>
  <c r="AA426" i="2"/>
  <c r="AA984" i="2"/>
  <c r="AA99" i="2"/>
  <c r="AA355" i="2"/>
  <c r="AA297" i="2"/>
  <c r="AA69" i="2"/>
  <c r="AA424" i="2"/>
  <c r="AA141" i="2"/>
  <c r="AA1213" i="2"/>
  <c r="AA135" i="2"/>
  <c r="AA985" i="2"/>
  <c r="AA986" i="2"/>
  <c r="AA403" i="2"/>
  <c r="AA34" i="2"/>
  <c r="AA404" i="2"/>
  <c r="AA427" i="2"/>
  <c r="AA405" i="2"/>
  <c r="AA371" i="2"/>
  <c r="AA406" i="2"/>
  <c r="AA987" i="2"/>
  <c r="AA425" i="2"/>
  <c r="AA401" i="2"/>
  <c r="AA298" i="2"/>
  <c r="AA896" i="2"/>
  <c r="AA159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886" i="2"/>
  <c r="AA402" i="2"/>
  <c r="AA1089" i="2"/>
  <c r="AA897" i="2"/>
  <c r="AA338" i="2"/>
  <c r="AA314" i="2"/>
  <c r="AA1020" i="2"/>
  <c r="AA1021" i="2"/>
  <c r="AA299" i="2"/>
  <c r="AA1110" i="2"/>
  <c r="AA310" i="2"/>
  <c r="AA356" i="2"/>
  <c r="AA819" i="2"/>
  <c r="AA988" i="2"/>
  <c r="AA989" i="2"/>
  <c r="AA160" i="2"/>
  <c r="AA210" i="2"/>
  <c r="AA300" i="2"/>
  <c r="AA311" i="2"/>
  <c r="AA301" i="2"/>
  <c r="AA1214" i="2"/>
  <c r="AA211" i="2"/>
  <c r="AA212" i="2"/>
  <c r="AA213" i="2"/>
  <c r="AA1111" i="2"/>
  <c r="AA105" i="2"/>
  <c r="AA181" i="2"/>
  <c r="AA35" i="2"/>
  <c r="AA41" i="2"/>
  <c r="AA635" i="2"/>
  <c r="AA610" i="2"/>
  <c r="AA685" i="2"/>
  <c r="AA686" i="2"/>
  <c r="AA655" i="2"/>
  <c r="AA670" i="2"/>
  <c r="AA671" i="2"/>
  <c r="AA632" i="2"/>
  <c r="AA672" i="2"/>
  <c r="AA633" i="2"/>
  <c r="AA595" i="2"/>
  <c r="AA713" i="2"/>
  <c r="AA714" i="2"/>
  <c r="AA620" i="2"/>
  <c r="AA738" i="2"/>
  <c r="AA630" i="2"/>
  <c r="AA687" i="2"/>
  <c r="AA587" i="2"/>
  <c r="AA709" i="2"/>
  <c r="AA588" i="2"/>
  <c r="AA693" i="2"/>
  <c r="AA594" i="2"/>
  <c r="AA596" i="2"/>
  <c r="AA597" i="2"/>
  <c r="AA598" i="2"/>
  <c r="AA636" i="2"/>
  <c r="AA656" i="2"/>
  <c r="AA673" i="2"/>
  <c r="AA674" i="2"/>
  <c r="AA836" i="2"/>
  <c r="AA37" i="2"/>
  <c r="AA1541" i="2"/>
  <c r="AA138" i="2"/>
  <c r="AA139" i="2"/>
  <c r="AA47" i="2"/>
  <c r="AA30" i="2"/>
  <c r="AA11" i="2"/>
  <c r="AA26" i="2"/>
  <c r="AA22" i="2"/>
  <c r="AA23" i="2"/>
  <c r="AA36" i="2"/>
  <c r="AA21" i="2"/>
  <c r="AA27" i="2"/>
  <c r="AA1305" i="2"/>
  <c r="AA1306" i="2"/>
  <c r="AA1307" i="2"/>
  <c r="AA143" i="2"/>
  <c r="AA1308" i="2"/>
  <c r="AA1442" i="2"/>
  <c r="AA1539" i="2"/>
  <c r="AA1309" i="2"/>
  <c r="AA1507" i="2"/>
  <c r="AA1407" i="2"/>
  <c r="AA146" i="2"/>
  <c r="AA753" i="2"/>
  <c r="AA147" i="2"/>
  <c r="Y1248" i="2"/>
  <c r="Y6" i="2"/>
  <c r="Y1233" i="2"/>
  <c r="Y1250" i="2"/>
  <c r="Y8" i="2"/>
  <c r="Y9" i="2"/>
  <c r="Y1249" i="2"/>
  <c r="Y7" i="2"/>
  <c r="Y538" i="2"/>
  <c r="Y1253" i="2"/>
  <c r="Y533" i="2"/>
  <c r="Y19" i="2"/>
  <c r="Y1370" i="2"/>
  <c r="Y1409" i="2"/>
  <c r="Y1534" i="2"/>
  <c r="Y1440" i="2"/>
  <c r="Y748" i="2"/>
  <c r="Y1339" i="2"/>
  <c r="Y599" i="2"/>
  <c r="Y643" i="2"/>
  <c r="Y1443" i="2"/>
  <c r="Y1425" i="2"/>
  <c r="Y1490" i="2"/>
  <c r="Y861" i="2"/>
  <c r="Y1347" i="2"/>
  <c r="Y1348" i="2"/>
  <c r="Y1492" i="2"/>
  <c r="Y1529" i="2"/>
  <c r="Y740" i="2"/>
  <c r="Y1029" i="2"/>
  <c r="Y1315" i="2"/>
  <c r="Y1408" i="2"/>
  <c r="Y1135" i="2"/>
  <c r="Y1150" i="2"/>
  <c r="Y706" i="2"/>
  <c r="Y1343" i="2"/>
  <c r="Y1435" i="2"/>
  <c r="Y1436" i="2"/>
  <c r="Y1449" i="2"/>
  <c r="Y1450" i="2"/>
  <c r="Y1352" i="2"/>
  <c r="Y1513" i="2"/>
  <c r="Y856" i="2"/>
  <c r="Y668" i="2"/>
  <c r="Y1530" i="2"/>
  <c r="Y694" i="2"/>
  <c r="Y1430" i="2"/>
  <c r="Y700" i="2"/>
  <c r="Y641" i="2"/>
  <c r="Y1090" i="2"/>
  <c r="Y583" i="2"/>
  <c r="Y584" i="2"/>
  <c r="Y1415" i="2"/>
  <c r="Y727" i="2"/>
  <c r="Y1139" i="2"/>
  <c r="Y1355" i="2"/>
  <c r="Y728" i="2"/>
  <c r="Y511" i="2"/>
  <c r="Y746" i="2"/>
  <c r="Y639" i="2"/>
  <c r="Y1778" i="2"/>
  <c r="Y1437" i="2"/>
  <c r="Y905" i="2"/>
  <c r="Y1493" i="2"/>
  <c r="Y1521" i="2"/>
  <c r="Y1522" i="2"/>
  <c r="Y1174" i="2"/>
  <c r="Y578" i="2"/>
  <c r="Y854" i="2"/>
  <c r="Y1178" i="2"/>
  <c r="Y863" i="2"/>
  <c r="Y507" i="2"/>
  <c r="Y1170" i="2"/>
  <c r="Y820" i="2"/>
  <c r="Y1523" i="2"/>
  <c r="Y1524" i="2"/>
  <c r="Y1141" i="2"/>
  <c r="Y931" i="2"/>
  <c r="Y910" i="2"/>
  <c r="Y1394" i="2"/>
  <c r="Y1395" i="2"/>
  <c r="Y1041" i="2"/>
  <c r="Y812" i="2"/>
  <c r="Y1396" i="2"/>
  <c r="Y28" i="2"/>
  <c r="Y1044" i="2"/>
  <c r="Y1112" i="2"/>
  <c r="Y799" i="2"/>
  <c r="Y151" i="2"/>
  <c r="Y918" i="2"/>
  <c r="Y1461" i="2"/>
  <c r="Y518" i="2"/>
  <c r="Y1137" i="2"/>
  <c r="Y729" i="2"/>
  <c r="Y867" i="2"/>
  <c r="Y1031" i="2"/>
  <c r="Y780" i="2"/>
  <c r="Y777" i="2"/>
  <c r="Y675" i="2"/>
  <c r="Y1037" i="2"/>
  <c r="Y676" i="2"/>
  <c r="Y657" i="2"/>
  <c r="Y623" i="2"/>
  <c r="Y624" i="2"/>
  <c r="Y926" i="2"/>
  <c r="Y589" i="2"/>
  <c r="Y665" i="2"/>
  <c r="Y810" i="2"/>
  <c r="Y928" i="2"/>
  <c r="Y654" i="2"/>
  <c r="Y523" i="2"/>
  <c r="Y769" i="2"/>
  <c r="Y702" i="2"/>
  <c r="Y1133" i="2"/>
  <c r="Y846" i="2"/>
  <c r="Y677" i="2"/>
  <c r="Y1131" i="2"/>
  <c r="Y858" i="2"/>
  <c r="Y1341" i="2"/>
  <c r="Y1779" i="2"/>
  <c r="Y1068" i="2"/>
  <c r="Y661" i="2"/>
  <c r="Y1127" i="2"/>
  <c r="Y1129" i="2"/>
  <c r="Y145" i="2"/>
  <c r="Y1505" i="2"/>
  <c r="Y605" i="2"/>
  <c r="Y161" i="2"/>
  <c r="Y191" i="2"/>
  <c r="Y783" i="2"/>
  <c r="Y851" i="2"/>
  <c r="Y123" i="2"/>
  <c r="Y257" i="2"/>
  <c r="Y1143" i="2"/>
  <c r="Y1780" i="2"/>
  <c r="Y1496" i="2"/>
  <c r="Y1497" i="2"/>
  <c r="Y865" i="2"/>
  <c r="Y1459" i="2"/>
  <c r="Y266" i="2"/>
  <c r="Y907" i="2"/>
  <c r="Y1410" i="2"/>
  <c r="Y1411" i="2"/>
  <c r="Y730" i="2"/>
  <c r="Y242" i="2"/>
  <c r="Y513" i="2"/>
  <c r="Y806" i="2"/>
  <c r="Y1165" i="2"/>
  <c r="Y1226" i="2"/>
  <c r="Y1397" i="2"/>
  <c r="Y515" i="2"/>
  <c r="Y56" i="2"/>
  <c r="Y1454" i="2"/>
  <c r="Y1462" i="2"/>
  <c r="Y502" i="2"/>
  <c r="Y1254" i="2"/>
  <c r="Y1310" i="2"/>
  <c r="Y1334" i="2"/>
  <c r="Y483" i="2"/>
  <c r="Y16" i="2"/>
  <c r="Y621" i="2"/>
  <c r="Y574" i="2"/>
  <c r="Y580" i="2"/>
  <c r="Y2" i="2"/>
  <c r="Y497" i="2"/>
  <c r="Y503" i="2"/>
  <c r="Y484" i="2"/>
  <c r="Y1241" i="2"/>
  <c r="Y18" i="2"/>
  <c r="Y43" i="2"/>
  <c r="Y45" i="2"/>
  <c r="Y44" i="2"/>
  <c r="Y504" i="2"/>
  <c r="Y15" i="2"/>
  <c r="Y1316" i="2"/>
  <c r="Y46" i="2"/>
  <c r="Y1255" i="2"/>
  <c r="Y1256" i="2"/>
  <c r="Y1257" i="2"/>
  <c r="Y64" i="2"/>
  <c r="Y1258" i="2"/>
  <c r="Y646" i="2"/>
  <c r="Y800" i="2"/>
  <c r="Y498" i="2"/>
  <c r="Y1428" i="2"/>
  <c r="Y1460" i="2"/>
  <c r="Y575" i="2"/>
  <c r="Y67" i="2"/>
  <c r="Y1500" i="2"/>
  <c r="Y1369" i="2"/>
  <c r="Y1377" i="2"/>
  <c r="Y807" i="2"/>
  <c r="Y1320" i="2"/>
  <c r="Y48" i="2"/>
  <c r="Y1520" i="2"/>
  <c r="Y767" i="2"/>
  <c r="Y768" i="2"/>
  <c r="Y1022" i="2"/>
  <c r="Y55" i="2"/>
  <c r="Y749" i="2"/>
  <c r="Y1055" i="2"/>
  <c r="Y485" i="2"/>
  <c r="Y1260" i="2"/>
  <c r="Y839" i="2"/>
  <c r="Y600" i="2"/>
  <c r="Y644" i="2"/>
  <c r="Y1261" i="2"/>
  <c r="Y499" i="2"/>
  <c r="Y1262" i="2"/>
  <c r="Y1354" i="2"/>
  <c r="Y715" i="2"/>
  <c r="Y862" i="2"/>
  <c r="Y1349" i="2"/>
  <c r="Y1228" i="2"/>
  <c r="Y1378" i="2"/>
  <c r="Y1350" i="2"/>
  <c r="Y934" i="2"/>
  <c r="Y1446" i="2"/>
  <c r="Y1215" i="2"/>
  <c r="Y716" i="2"/>
  <c r="Y739" i="2"/>
  <c r="Y1030" i="2"/>
  <c r="Y948" i="2"/>
  <c r="Y1421" i="2"/>
  <c r="Y717" i="2"/>
  <c r="Y1045" i="2"/>
  <c r="Y1263" i="2"/>
  <c r="Y1488" i="2"/>
  <c r="Y1264" i="2"/>
  <c r="Y50" i="2"/>
  <c r="Y1136" i="2"/>
  <c r="Y1091" i="2"/>
  <c r="Y1427" i="2"/>
  <c r="Y1151" i="2"/>
  <c r="Y576" i="2"/>
  <c r="Y1344" i="2"/>
  <c r="Y1047" i="2"/>
  <c r="Y1048" i="2"/>
  <c r="Y1265" i="2"/>
  <c r="Y486" i="2"/>
  <c r="Y49" i="2"/>
  <c r="Y1330" i="2"/>
  <c r="Y1434" i="2"/>
  <c r="Y880" i="2"/>
  <c r="Y1331" i="2"/>
  <c r="Y1451" i="2"/>
  <c r="Y1266" i="2"/>
  <c r="Y1514" i="2"/>
  <c r="Y1540" i="2"/>
  <c r="Y1353" i="2"/>
  <c r="Y857" i="2"/>
  <c r="Y669" i="2"/>
  <c r="Y1531" i="2"/>
  <c r="Y695" i="2"/>
  <c r="Y1431" i="2"/>
  <c r="Y622" i="2"/>
  <c r="Y607" i="2"/>
  <c r="Y701" i="2"/>
  <c r="Y642" i="2"/>
  <c r="Y990" i="2"/>
  <c r="Y5" i="2"/>
  <c r="Y1092" i="2"/>
  <c r="Y1168" i="2"/>
  <c r="Y585" i="2"/>
  <c r="Y586" i="2"/>
  <c r="Y1267" i="2"/>
  <c r="Y803" i="2"/>
  <c r="Y723" i="2"/>
  <c r="Y898" i="2"/>
  <c r="Y1140" i="2"/>
  <c r="Y1268" i="2"/>
  <c r="Y1269" i="2"/>
  <c r="Y724" i="2"/>
  <c r="Y512" i="2"/>
  <c r="Y747" i="2"/>
  <c r="Y640" i="2"/>
  <c r="Y353" i="2"/>
  <c r="Y1479" i="2"/>
  <c r="Y906" i="2"/>
  <c r="Y1494" i="2"/>
  <c r="Y1270" i="2"/>
  <c r="Y3" i="2"/>
  <c r="Y1525" i="2"/>
  <c r="Y1175" i="2"/>
  <c r="Y579" i="2"/>
  <c r="Y855" i="2"/>
  <c r="Y86" i="2"/>
  <c r="Y1179" i="2"/>
  <c r="Y864" i="2"/>
  <c r="Y508" i="2"/>
  <c r="Y755" i="2"/>
  <c r="Y1171" i="2"/>
  <c r="Y87" i="2"/>
  <c r="Y916" i="2"/>
  <c r="Y821" i="2"/>
  <c r="Y1332" i="2"/>
  <c r="Y1526" i="2"/>
  <c r="Y1142" i="2"/>
  <c r="Y1123" i="2"/>
  <c r="Y932" i="2"/>
  <c r="Y531" i="2"/>
  <c r="Y911" i="2"/>
  <c r="Y487" i="2"/>
  <c r="Y1398" i="2"/>
  <c r="Y1042" i="2"/>
  <c r="Y813" i="2"/>
  <c r="Y532" i="2"/>
  <c r="Y1399" i="2"/>
  <c r="Y577" i="2"/>
  <c r="Y1046" i="2"/>
  <c r="Y1271" i="2"/>
  <c r="Y1113" i="2"/>
  <c r="Y801" i="2"/>
  <c r="Y152" i="2"/>
  <c r="Y919" i="2"/>
  <c r="Y908" i="2"/>
  <c r="Y1335" i="2"/>
  <c r="Y1463" i="2"/>
  <c r="Y519" i="2"/>
  <c r="Y1138" i="2"/>
  <c r="Y4" i="2"/>
  <c r="Y725" i="2"/>
  <c r="Y924" i="2"/>
  <c r="Y868" i="2"/>
  <c r="Y1032" i="2"/>
  <c r="Y781" i="2"/>
  <c r="Y52" i="2"/>
  <c r="Y778" i="2"/>
  <c r="Y914" i="2"/>
  <c r="Y678" i="2"/>
  <c r="Y920" i="2"/>
  <c r="Y887" i="2"/>
  <c r="Y847" i="2"/>
  <c r="Y734" i="2"/>
  <c r="Y1038" i="2"/>
  <c r="Y679" i="2"/>
  <c r="Y658" i="2"/>
  <c r="Y293" i="2"/>
  <c r="Y921" i="2"/>
  <c r="Y625" i="2"/>
  <c r="Y626" i="2"/>
  <c r="Y927" i="2"/>
  <c r="Y590" i="2"/>
  <c r="Y922" i="2"/>
  <c r="Y666" i="2"/>
  <c r="Y811" i="2"/>
  <c r="Y929" i="2"/>
  <c r="Y754" i="2"/>
  <c r="Y1272" i="2"/>
  <c r="Y770" i="2"/>
  <c r="Y703" i="2"/>
  <c r="Y1134" i="2"/>
  <c r="Y848" i="2"/>
  <c r="Y1444" i="2"/>
  <c r="Y1035" i="2"/>
  <c r="Y680" i="2"/>
  <c r="Y1132" i="2"/>
  <c r="Y859" i="2"/>
  <c r="Y991" i="2"/>
  <c r="Y1535" i="2"/>
  <c r="Y1273" i="2"/>
  <c r="Y878" i="2"/>
  <c r="Y840" i="2"/>
  <c r="Y1069" i="2"/>
  <c r="Y662" i="2"/>
  <c r="Y1484" i="2"/>
  <c r="Y1128" i="2"/>
  <c r="Y1176" i="2"/>
  <c r="Y860" i="2"/>
  <c r="Y1130" i="2"/>
  <c r="Y148" i="2"/>
  <c r="Y548" i="2"/>
  <c r="Y1504" i="2"/>
  <c r="Y606" i="2"/>
  <c r="Y162" i="2"/>
  <c r="Y51" i="2"/>
  <c r="Y782" i="2"/>
  <c r="Y53" i="2"/>
  <c r="Y189" i="2"/>
  <c r="Y1274" i="2"/>
  <c r="Y1043" i="2"/>
  <c r="Y852" i="2"/>
  <c r="Y1152" i="2"/>
  <c r="Y1114" i="2"/>
  <c r="Y784" i="2"/>
  <c r="Y853" i="2"/>
  <c r="Y1464" i="2"/>
  <c r="Y124" i="2"/>
  <c r="Y923" i="2"/>
  <c r="Y1732" i="2"/>
  <c r="Y779" i="2"/>
  <c r="Y258" i="2"/>
  <c r="Y1741" i="2"/>
  <c r="Y1177" i="2"/>
  <c r="Y785" i="2"/>
  <c r="Y1231" i="2"/>
  <c r="Y915" i="2"/>
  <c r="Y1483" i="2"/>
  <c r="Y1372" i="2"/>
  <c r="Y1275" i="2"/>
  <c r="Y771" i="2"/>
  <c r="Y802" i="2"/>
  <c r="Y808" i="2"/>
  <c r="Y1276" i="2"/>
  <c r="Y1738" i="2"/>
  <c r="Y1498" i="2"/>
  <c r="Y1480" i="2"/>
  <c r="Y866" i="2"/>
  <c r="Y1455" i="2"/>
  <c r="Y267" i="2"/>
  <c r="Y1277" i="2"/>
  <c r="Y542" i="2"/>
  <c r="Y1503" i="2"/>
  <c r="Y1278" i="2"/>
  <c r="Y1172" i="2"/>
  <c r="Y909" i="2"/>
  <c r="Y1279" i="2"/>
  <c r="Y1173" i="2"/>
  <c r="Y930" i="2"/>
  <c r="Y1412" i="2"/>
  <c r="Y726" i="2"/>
  <c r="Y243" i="2"/>
  <c r="Y1166" i="2"/>
  <c r="Y1734" i="2"/>
  <c r="Y1731" i="2"/>
  <c r="Y514" i="2"/>
  <c r="Y101" i="2"/>
  <c r="Y102" i="2"/>
  <c r="Y1234" i="2"/>
  <c r="Y809" i="2"/>
  <c r="Y1167" i="2"/>
  <c r="Y1227" i="2"/>
  <c r="Y1313" i="2"/>
  <c r="Y516" i="2"/>
  <c r="Y1736" i="2"/>
  <c r="Y1456" i="2"/>
  <c r="Y1280" i="2"/>
  <c r="Y1543" i="2"/>
  <c r="Y1281" i="2"/>
  <c r="Y505" i="2"/>
  <c r="Y1740" i="2"/>
  <c r="Y1416" i="2"/>
  <c r="Y637" i="2"/>
  <c r="Y1282" i="2"/>
  <c r="Y1283" i="2"/>
  <c r="Y1465" i="2"/>
  <c r="Y1400" i="2"/>
  <c r="Y1284" i="2"/>
  <c r="Y1373" i="2"/>
  <c r="Y1466" i="2"/>
  <c r="Y1285" i="2"/>
  <c r="Y1286" i="2"/>
  <c r="Y488" i="2"/>
  <c r="Y756" i="2"/>
  <c r="Y757" i="2"/>
  <c r="Y1287" i="2"/>
  <c r="Y1417" i="2"/>
  <c r="Y1180" i="2"/>
  <c r="Y718" i="2"/>
  <c r="Y1418" i="2"/>
  <c r="Y492" i="2"/>
  <c r="Y1288" i="2"/>
  <c r="Y289" i="2"/>
  <c r="Y1774" i="2"/>
  <c r="Y1289" i="2"/>
  <c r="Y581" i="2"/>
  <c r="Y493" i="2"/>
  <c r="Y1290" i="2"/>
  <c r="Y1036" i="2"/>
  <c r="Y489" i="2"/>
  <c r="Y1291" i="2"/>
  <c r="Y1292" i="2"/>
  <c r="Y1293" i="2"/>
  <c r="Y12" i="2"/>
  <c r="Y1294" i="2"/>
  <c r="Y1295" i="2"/>
  <c r="Y1445" i="2"/>
  <c r="Y506" i="2"/>
  <c r="Y524" i="2"/>
  <c r="Y494" i="2"/>
  <c r="Y1296" i="2"/>
  <c r="Y1775" i="2"/>
  <c r="Y1297" i="2"/>
  <c r="Y1776" i="2"/>
  <c r="Y758" i="2"/>
  <c r="Y1298" i="2"/>
  <c r="Y1299" i="2"/>
  <c r="Y925" i="2"/>
  <c r="Y495" i="2"/>
  <c r="Y500" i="2"/>
  <c r="Y501" i="2"/>
  <c r="Y1300" i="2"/>
  <c r="Y1311" i="2"/>
  <c r="Y129" i="2"/>
  <c r="Y1301" i="2"/>
  <c r="Y772" i="2"/>
  <c r="Y773" i="2"/>
  <c r="Y774" i="2"/>
  <c r="Y775" i="2"/>
  <c r="Y776" i="2"/>
  <c r="Y591" i="2"/>
  <c r="Y592" i="2"/>
  <c r="Y789" i="2"/>
  <c r="Y790" i="2"/>
  <c r="Y791" i="2"/>
  <c r="Y792" i="2"/>
  <c r="Y793" i="2"/>
  <c r="Y794" i="2"/>
  <c r="Y795" i="2"/>
  <c r="Y796" i="2"/>
  <c r="Y797" i="2"/>
  <c r="Y66" i="2"/>
  <c r="Y290" i="2"/>
  <c r="Y364" i="2"/>
  <c r="Y365" i="2"/>
  <c r="Y366" i="2"/>
  <c r="Y367" i="2"/>
  <c r="Y368" i="2"/>
  <c r="Y804" i="2"/>
  <c r="Y805" i="2"/>
  <c r="Y70" i="2"/>
  <c r="Y601" i="2"/>
  <c r="Y602" i="2"/>
  <c r="Y603" i="2"/>
  <c r="Y604" i="2"/>
  <c r="Y74" i="2"/>
  <c r="Y75" i="2"/>
  <c r="Y131" i="2"/>
  <c r="Y1321" i="2"/>
  <c r="Y1322" i="2"/>
  <c r="Y1323" i="2"/>
  <c r="Y1324" i="2"/>
  <c r="Y1325" i="2"/>
  <c r="Y1326" i="2"/>
  <c r="Y1327" i="2"/>
  <c r="Y1333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1336" i="2"/>
  <c r="Y1337" i="2"/>
  <c r="Y76" i="2"/>
  <c r="Y77" i="2"/>
  <c r="Y78" i="2"/>
  <c r="Y79" i="2"/>
  <c r="Y1340" i="2"/>
  <c r="Y841" i="2"/>
  <c r="Y842" i="2"/>
  <c r="Y843" i="2"/>
  <c r="Y844" i="2"/>
  <c r="Y845" i="2"/>
  <c r="Y81" i="2"/>
  <c r="Y611" i="2"/>
  <c r="Y612" i="2"/>
  <c r="Y849" i="2"/>
  <c r="Y372" i="2"/>
  <c r="Y373" i="2"/>
  <c r="Y374" i="2"/>
  <c r="Y375" i="2"/>
  <c r="Y376" i="2"/>
  <c r="Y377" i="2"/>
  <c r="Y378" i="2"/>
  <c r="Y379" i="2"/>
  <c r="Y380" i="2"/>
  <c r="Y614" i="2"/>
  <c r="Y627" i="2"/>
  <c r="Y628" i="2"/>
  <c r="Y629" i="2"/>
  <c r="Y1345" i="2"/>
  <c r="Y100" i="2"/>
  <c r="Y1735" i="2"/>
  <c r="Y543" i="2"/>
  <c r="Y103" i="2"/>
  <c r="Y302" i="2"/>
  <c r="Y303" i="2"/>
  <c r="Y304" i="2"/>
  <c r="Y305" i="2"/>
  <c r="Y306" i="2"/>
  <c r="Y307" i="2"/>
  <c r="Y308" i="2"/>
  <c r="Y1544" i="2"/>
  <c r="Y312" i="2"/>
  <c r="Y313" i="2"/>
  <c r="Y631" i="2"/>
  <c r="Y1346" i="2"/>
  <c r="Y1302" i="2"/>
  <c r="Y1351" i="2"/>
  <c r="Y1356" i="2"/>
  <c r="Y1357" i="2"/>
  <c r="Y1358" i="2"/>
  <c r="Y1359" i="2"/>
  <c r="Y1360" i="2"/>
  <c r="Y509" i="2"/>
  <c r="Y510" i="2"/>
  <c r="Y1361" i="2"/>
  <c r="Y869" i="2"/>
  <c r="Y870" i="2"/>
  <c r="Y871" i="2"/>
  <c r="Y872" i="2"/>
  <c r="Y873" i="2"/>
  <c r="Y874" i="2"/>
  <c r="Y875" i="2"/>
  <c r="Y876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5" i="2"/>
  <c r="Y126" i="2"/>
  <c r="Y127" i="2"/>
  <c r="Y128" i="2"/>
  <c r="Y130" i="2"/>
  <c r="Y1363" i="2"/>
  <c r="Y1364" i="2"/>
  <c r="Y1365" i="2"/>
  <c r="Y1366" i="2"/>
  <c r="Y1367" i="2"/>
  <c r="Y550" i="2"/>
  <c r="Y551" i="2"/>
  <c r="Y552" i="2"/>
  <c r="Y140" i="2"/>
  <c r="Y553" i="2"/>
  <c r="Y554" i="2"/>
  <c r="Y555" i="2"/>
  <c r="Y556" i="2"/>
  <c r="Y634" i="2"/>
  <c r="Y877" i="2"/>
  <c r="Y142" i="2"/>
  <c r="Y144" i="2"/>
  <c r="Y1374" i="2"/>
  <c r="Y1375" i="2"/>
  <c r="Y1376" i="2"/>
  <c r="Y557" i="2"/>
  <c r="Y150" i="2"/>
  <c r="Y879" i="2"/>
  <c r="Y154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881" i="2"/>
  <c r="Y882" i="2"/>
  <c r="Y883" i="2"/>
  <c r="Y888" i="2"/>
  <c r="Y889" i="2"/>
  <c r="Y1392" i="2"/>
  <c r="Y1393" i="2"/>
  <c r="Y899" i="2"/>
  <c r="Y900" i="2"/>
  <c r="Y901" i="2"/>
  <c r="Y902" i="2"/>
  <c r="Y903" i="2"/>
  <c r="Y904" i="2"/>
  <c r="Y1401" i="2"/>
  <c r="Y1402" i="2"/>
  <c r="Y1403" i="2"/>
  <c r="Y1405" i="2"/>
  <c r="Y1406" i="2"/>
  <c r="Y1413" i="2"/>
  <c r="Y1414" i="2"/>
  <c r="Y638" i="2"/>
  <c r="Y1419" i="2"/>
  <c r="Y163" i="2"/>
  <c r="Y164" i="2"/>
  <c r="Y165" i="2"/>
  <c r="Y166" i="2"/>
  <c r="Y167" i="2"/>
  <c r="Y168" i="2"/>
  <c r="Y169" i="2"/>
  <c r="Y170" i="2"/>
  <c r="Y171" i="2"/>
  <c r="Y172" i="2"/>
  <c r="Y558" i="2"/>
  <c r="Y559" i="2"/>
  <c r="Y1422" i="2"/>
  <c r="Y1423" i="2"/>
  <c r="Y1424" i="2"/>
  <c r="Y173" i="2"/>
  <c r="Y174" i="2"/>
  <c r="Y560" i="2"/>
  <c r="Y175" i="2"/>
  <c r="Y561" i="2"/>
  <c r="Y645" i="2"/>
  <c r="Y647" i="2"/>
  <c r="Y182" i="2"/>
  <c r="Y183" i="2"/>
  <c r="Y1426" i="2"/>
  <c r="Y650" i="2"/>
  <c r="Y31" i="2"/>
  <c r="Y186" i="2"/>
  <c r="Y187" i="2"/>
  <c r="Y188" i="2"/>
  <c r="Y1433" i="2"/>
  <c r="Y1438" i="2"/>
  <c r="Y1439" i="2"/>
  <c r="Y192" i="2"/>
  <c r="Y1441" i="2"/>
  <c r="Y334" i="2"/>
  <c r="Y428" i="2"/>
  <c r="Y429" i="2"/>
  <c r="Y430" i="2"/>
  <c r="Y431" i="2"/>
  <c r="Y432" i="2"/>
  <c r="Y433" i="2"/>
  <c r="Y434" i="2"/>
  <c r="Y435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92" i="2"/>
  <c r="Y993" i="2"/>
  <c r="Y994" i="2"/>
  <c r="Y995" i="2"/>
  <c r="Y996" i="2"/>
  <c r="Y997" i="2"/>
  <c r="Y998" i="2"/>
  <c r="Y999" i="2"/>
  <c r="Y1000" i="2"/>
  <c r="Y1001" i="2"/>
  <c r="Y1023" i="2"/>
  <c r="Y1024" i="2"/>
  <c r="Y1025" i="2"/>
  <c r="Y1026" i="2"/>
  <c r="Y1027" i="2"/>
  <c r="Y1028" i="2"/>
  <c r="Y652" i="2"/>
  <c r="Y653" i="2"/>
  <c r="Y659" i="2"/>
  <c r="Y660" i="2"/>
  <c r="Y1457" i="2"/>
  <c r="Y1458" i="2"/>
  <c r="Y663" i="2"/>
  <c r="Y570" i="2"/>
  <c r="Y195" i="2"/>
  <c r="Y196" i="2"/>
  <c r="Y197" i="2"/>
  <c r="Y1467" i="2"/>
  <c r="Y1468" i="2"/>
  <c r="Y1469" i="2"/>
  <c r="Y1470" i="2"/>
  <c r="Y1471" i="2"/>
  <c r="Y1472" i="2"/>
  <c r="Y1473" i="2"/>
  <c r="Y1474" i="2"/>
  <c r="Y1475" i="2"/>
  <c r="Y1476" i="2"/>
  <c r="Y336" i="2"/>
  <c r="Y337" i="2"/>
  <c r="Y1478" i="2"/>
  <c r="Y198" i="2"/>
  <c r="Y199" i="2"/>
  <c r="Y200" i="2"/>
  <c r="Y201" i="2"/>
  <c r="Y1481" i="2"/>
  <c r="Y1482" i="2"/>
  <c r="Y517" i="2"/>
  <c r="Y1485" i="2"/>
  <c r="Y1489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1491" i="2"/>
  <c r="Y1049" i="2"/>
  <c r="Y444" i="2"/>
  <c r="Y1050" i="2"/>
  <c r="Y1051" i="2"/>
  <c r="Y1052" i="2"/>
  <c r="Y445" i="2"/>
  <c r="Y446" i="2"/>
  <c r="Y447" i="2"/>
  <c r="Y448" i="2"/>
  <c r="Y449" i="2"/>
  <c r="Y450" i="2"/>
  <c r="Y451" i="2"/>
  <c r="Y456" i="2"/>
  <c r="Y457" i="2"/>
  <c r="Y458" i="2"/>
  <c r="Y1056" i="2"/>
  <c r="Y1057" i="2"/>
  <c r="Y1058" i="2"/>
  <c r="Y228" i="2"/>
  <c r="Y1059" i="2"/>
  <c r="Y1060" i="2"/>
  <c r="Y1061" i="2"/>
  <c r="Y1062" i="2"/>
  <c r="Y1063" i="2"/>
  <c r="Y1064" i="2"/>
  <c r="Y1065" i="2"/>
  <c r="Y1066" i="2"/>
  <c r="Y1067" i="2"/>
  <c r="Y664" i="2"/>
  <c r="Y1070" i="2"/>
  <c r="Y1071" i="2"/>
  <c r="Y229" i="2"/>
  <c r="Y230" i="2"/>
  <c r="Y231" i="2"/>
  <c r="Y232" i="2"/>
  <c r="Y233" i="2"/>
  <c r="Y234" i="2"/>
  <c r="Y235" i="2"/>
  <c r="Y236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495" i="2"/>
  <c r="Y1115" i="2"/>
  <c r="Y1116" i="2"/>
  <c r="Y1117" i="2"/>
  <c r="Y1118" i="2"/>
  <c r="Y1119" i="2"/>
  <c r="Y239" i="2"/>
  <c r="Y240" i="2"/>
  <c r="Y241" i="2"/>
  <c r="Y244" i="2"/>
  <c r="Y1124" i="2"/>
  <c r="Y1125" i="2"/>
  <c r="Y1126" i="2"/>
  <c r="Y459" i="2"/>
  <c r="Y460" i="2"/>
  <c r="Y245" i="2"/>
  <c r="Y522" i="2"/>
  <c r="Y462" i="2"/>
  <c r="Y463" i="2"/>
  <c r="Y464" i="2"/>
  <c r="Y465" i="2"/>
  <c r="Y466" i="2"/>
  <c r="Y467" i="2"/>
  <c r="Y468" i="2"/>
  <c r="Y469" i="2"/>
  <c r="Y470" i="2"/>
  <c r="Y248" i="2"/>
  <c r="Y681" i="2"/>
  <c r="Y683" i="2"/>
  <c r="Y525" i="2"/>
  <c r="Y526" i="2"/>
  <c r="Y527" i="2"/>
  <c r="Y528" i="2"/>
  <c r="Y1506" i="2"/>
  <c r="Y1508" i="2"/>
  <c r="Y688" i="2"/>
  <c r="Y689" i="2"/>
  <c r="Y690" i="2"/>
  <c r="Y691" i="2"/>
  <c r="Y692" i="2"/>
  <c r="Y1509" i="2"/>
  <c r="Y1510" i="2"/>
  <c r="Y696" i="2"/>
  <c r="Y249" i="2"/>
  <c r="Y704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733" i="2"/>
  <c r="Y255" i="2"/>
  <c r="Y256" i="2"/>
  <c r="Y571" i="2"/>
  <c r="Y572" i="2"/>
  <c r="Y1169" i="2"/>
  <c r="Y351" i="2"/>
  <c r="Y352" i="2"/>
  <c r="Y1515" i="2"/>
  <c r="Y1516" i="2"/>
  <c r="Y1517" i="2"/>
  <c r="Y1518" i="2"/>
  <c r="Y1519" i="2"/>
  <c r="Y708" i="2"/>
  <c r="Y259" i="2"/>
  <c r="Y260" i="2"/>
  <c r="Y261" i="2"/>
  <c r="Y262" i="2"/>
  <c r="Y1242" i="2"/>
  <c r="Y1243" i="2"/>
  <c r="Y263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1244" i="2"/>
  <c r="Y1527" i="2"/>
  <c r="Y1528" i="2"/>
  <c r="Y283" i="2"/>
  <c r="Y1532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731" i="2"/>
  <c r="Y732" i="2"/>
  <c r="Y285" i="2"/>
  <c r="Y286" i="2"/>
  <c r="Y741" i="2"/>
  <c r="Y742" i="2"/>
  <c r="Y490" i="2"/>
  <c r="Y743" i="2"/>
  <c r="Y744" i="2"/>
  <c r="Y535" i="2"/>
  <c r="Y536" i="2"/>
  <c r="Y537" i="2"/>
  <c r="Y1536" i="2"/>
  <c r="Y1537" i="2"/>
  <c r="Y1538" i="2"/>
  <c r="Y1197" i="2"/>
  <c r="Y1198" i="2"/>
  <c r="Y1199" i="2"/>
  <c r="Y480" i="2"/>
  <c r="Y1200" i="2"/>
  <c r="Y1201" i="2"/>
  <c r="Y1202" i="2"/>
  <c r="Y1203" i="2"/>
  <c r="Y1216" i="2"/>
  <c r="Y1217" i="2"/>
  <c r="Y1218" i="2"/>
  <c r="Y1219" i="2"/>
  <c r="Y1220" i="2"/>
  <c r="Y1221" i="2"/>
  <c r="Y1222" i="2"/>
  <c r="Y1223" i="2"/>
  <c r="Y1224" i="2"/>
  <c r="Y1225" i="2"/>
  <c r="Y750" i="2"/>
  <c r="Y751" i="2"/>
  <c r="Y752" i="2"/>
  <c r="Y1739" i="2"/>
  <c r="Y546" i="2"/>
  <c r="Y547" i="2"/>
  <c r="Y1542" i="2"/>
  <c r="Y54" i="2"/>
  <c r="Y1232" i="2"/>
  <c r="Y1312" i="2"/>
  <c r="Y1317" i="2"/>
  <c r="Y1318" i="2"/>
  <c r="Y1319" i="2"/>
  <c r="Y1328" i="2"/>
  <c r="Y1329" i="2"/>
  <c r="Y1342" i="2"/>
  <c r="Y1362" i="2"/>
  <c r="Y1368" i="2"/>
  <c r="Y787" i="2"/>
  <c r="Y788" i="2"/>
  <c r="Y61" i="2"/>
  <c r="Y798" i="2"/>
  <c r="Y1371" i="2"/>
  <c r="Y850" i="2"/>
  <c r="Y381" i="2"/>
  <c r="Y382" i="2"/>
  <c r="Y383" i="2"/>
  <c r="Y384" i="2"/>
  <c r="Y385" i="2"/>
  <c r="Y386" i="2"/>
  <c r="Y387" i="2"/>
  <c r="Y388" i="2"/>
  <c r="Y389" i="2"/>
  <c r="Y390" i="2"/>
  <c r="Y1379" i="2"/>
  <c r="Y391" i="2"/>
  <c r="Y392" i="2"/>
  <c r="Y90" i="2"/>
  <c r="Y91" i="2"/>
  <c r="Y92" i="2"/>
  <c r="Y93" i="2"/>
  <c r="Y94" i="2"/>
  <c r="Y95" i="2"/>
  <c r="Y96" i="2"/>
  <c r="Y97" i="2"/>
  <c r="Y98" i="2"/>
  <c r="Y618" i="2"/>
  <c r="Y539" i="2"/>
  <c r="Y710" i="2"/>
  <c r="Y1239" i="2"/>
  <c r="Y719" i="2"/>
  <c r="Y529" i="2"/>
  <c r="Y682" i="2"/>
  <c r="Y616" i="2"/>
  <c r="Y667" i="2"/>
  <c r="Y705" i="2"/>
  <c r="Y530" i="2"/>
  <c r="Y582" i="2"/>
  <c r="Y735" i="2"/>
  <c r="Y62" i="2"/>
  <c r="Y411" i="2"/>
  <c r="Y184" i="2"/>
  <c r="Y393" i="2"/>
  <c r="Y439" i="2"/>
  <c r="Y149" i="2"/>
  <c r="Y71" i="2"/>
  <c r="Y104" i="2"/>
  <c r="Y132" i="2"/>
  <c r="Y407" i="2"/>
  <c r="Y481" i="2"/>
  <c r="Y158" i="2"/>
  <c r="Y251" i="2"/>
  <c r="Y324" i="2"/>
  <c r="Y325" i="2"/>
  <c r="Y409" i="2"/>
  <c r="Y326" i="2"/>
  <c r="Y684" i="2"/>
  <c r="Y155" i="2"/>
  <c r="Y156" i="2"/>
  <c r="Y707" i="2"/>
  <c r="Y157" i="2"/>
  <c r="Y58" i="2"/>
  <c r="Y327" i="2"/>
  <c r="Y912" i="2"/>
  <c r="Y82" i="2"/>
  <c r="Y354" i="2"/>
  <c r="Y176" i="2"/>
  <c r="Y80" i="2"/>
  <c r="Y252" i="2"/>
  <c r="Y412" i="2"/>
  <c r="Y413" i="2"/>
  <c r="Y414" i="2"/>
  <c r="Y415" i="2"/>
  <c r="Y136" i="2"/>
  <c r="Y648" i="2"/>
  <c r="Y410" i="2"/>
  <c r="Y284" i="2"/>
  <c r="Y436" i="2"/>
  <c r="Y357" i="2"/>
  <c r="Y471" i="2"/>
  <c r="Y474" i="2"/>
  <c r="Y651" i="2"/>
  <c r="Y562" i="2"/>
  <c r="Y563" i="2"/>
  <c r="Y564" i="2"/>
  <c r="Y565" i="2"/>
  <c r="Y566" i="2"/>
  <c r="Y461" i="2"/>
  <c r="Y567" i="2"/>
  <c r="Y568" i="2"/>
  <c r="Y569" i="2"/>
  <c r="Y1034" i="2"/>
  <c r="Y287" i="2"/>
  <c r="Y57" i="2"/>
  <c r="Y1245" i="2"/>
  <c r="Y84" i="2"/>
  <c r="Y178" i="2"/>
  <c r="Y59" i="2"/>
  <c r="Y1545" i="2"/>
  <c r="Y1452" i="2"/>
  <c r="Y759" i="2"/>
  <c r="Y1453" i="2"/>
  <c r="Y1146" i="2"/>
  <c r="Y1147" i="2"/>
  <c r="Y1148" i="2"/>
  <c r="Y1149" i="2"/>
  <c r="Y697" i="2"/>
  <c r="Y711" i="2"/>
  <c r="Y720" i="2"/>
  <c r="Y698" i="2"/>
  <c r="Y617" i="2"/>
  <c r="Y60" i="2"/>
  <c r="Y733" i="2"/>
  <c r="Y608" i="2"/>
  <c r="Y609" i="2"/>
  <c r="Y593" i="2"/>
  <c r="Y613" i="2"/>
  <c r="Y615" i="2"/>
  <c r="Y1229" i="2"/>
  <c r="Y1230" i="2"/>
  <c r="Y649" i="2"/>
  <c r="Y760" i="2"/>
  <c r="Y761" i="2"/>
  <c r="Y762" i="2"/>
  <c r="Y763" i="2"/>
  <c r="Y736" i="2"/>
  <c r="Y745" i="2"/>
  <c r="Y737" i="2"/>
  <c r="Y721" i="2"/>
  <c r="Y722" i="2"/>
  <c r="Y699" i="2"/>
  <c r="Y712" i="2"/>
  <c r="Y619" i="2"/>
  <c r="Y764" i="2"/>
  <c r="Y765" i="2"/>
  <c r="Y766" i="2"/>
  <c r="Y291" i="2"/>
  <c r="Y292" i="2"/>
  <c r="Y534" i="2"/>
  <c r="Y540" i="2"/>
  <c r="Y541" i="2"/>
  <c r="Y544" i="2"/>
  <c r="Y545" i="2"/>
  <c r="Y1236" i="2"/>
  <c r="Y1237" i="2"/>
  <c r="Y1238" i="2"/>
  <c r="Y1240" i="2"/>
  <c r="Y1246" i="2"/>
  <c r="Y1247" i="2"/>
  <c r="Y1252" i="2"/>
  <c r="Y1486" i="2"/>
  <c r="Y13" i="2"/>
  <c r="Y1499" i="2"/>
  <c r="Y1501" i="2"/>
  <c r="Y1511" i="2"/>
  <c r="Y1512" i="2"/>
  <c r="Y1533" i="2"/>
  <c r="Y1546" i="2"/>
  <c r="Y1547" i="2"/>
  <c r="Y1548" i="2"/>
  <c r="Y1447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34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303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304" i="2"/>
  <c r="Y1639" i="2"/>
  <c r="Y1640" i="2"/>
  <c r="Y1641" i="2"/>
  <c r="Y1642" i="2"/>
  <c r="Y1643" i="2"/>
  <c r="Y1644" i="2"/>
  <c r="Y1645" i="2"/>
  <c r="Y1646" i="2"/>
  <c r="Y1647" i="2"/>
  <c r="Y1648" i="2"/>
  <c r="Y14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42" i="2"/>
  <c r="Y1743" i="2"/>
  <c r="Y1744" i="2"/>
  <c r="Y1745" i="2"/>
  <c r="Y1746" i="2"/>
  <c r="Y1747" i="2"/>
  <c r="Y1748" i="2"/>
  <c r="Y1749" i="2"/>
  <c r="Y1737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7" i="2"/>
  <c r="Y1781" i="2"/>
  <c r="Y1782" i="2"/>
  <c r="Y1783" i="2"/>
  <c r="Y1784" i="2"/>
  <c r="Y1785" i="2"/>
  <c r="Y1730" i="2"/>
  <c r="Y408" i="2"/>
  <c r="Y482" i="2"/>
  <c r="Y573" i="2"/>
  <c r="Y1502" i="2"/>
  <c r="Y1420" i="2"/>
  <c r="Y1251" i="2"/>
  <c r="Y122" i="2"/>
  <c r="Y1338" i="2"/>
  <c r="Y1429" i="2"/>
  <c r="Y1235" i="2"/>
  <c r="Y1314" i="2"/>
  <c r="Y496" i="2"/>
  <c r="Y491" i="2"/>
  <c r="Y1404" i="2"/>
  <c r="Y1477" i="2"/>
  <c r="Y1432" i="2"/>
  <c r="Y1487" i="2"/>
  <c r="Y520" i="2"/>
  <c r="Y521" i="2"/>
  <c r="Y1002" i="2"/>
  <c r="Y1003" i="2"/>
  <c r="Y1004" i="2"/>
  <c r="Y1005" i="2"/>
  <c r="Y935" i="2"/>
  <c r="Y25" i="2"/>
  <c r="Y202" i="2"/>
  <c r="Y72" i="2"/>
  <c r="Y1072" i="2"/>
  <c r="Y1073" i="2"/>
  <c r="Y237" i="2"/>
  <c r="Y177" i="2"/>
  <c r="Y203" i="2"/>
  <c r="Y1204" i="2"/>
  <c r="Y369" i="2"/>
  <c r="Y85" i="2"/>
  <c r="Y204" i="2"/>
  <c r="Y238" i="2"/>
  <c r="Y394" i="2"/>
  <c r="Y472" i="2"/>
  <c r="Y473" i="2"/>
  <c r="Y288" i="2"/>
  <c r="Y253" i="2"/>
  <c r="Y205" i="2"/>
  <c r="Y185" i="2"/>
  <c r="Y88" i="2"/>
  <c r="Y890" i="2"/>
  <c r="Y246" i="2"/>
  <c r="Y63" i="2"/>
  <c r="Y206" i="2"/>
  <c r="Y83" i="2"/>
  <c r="Y137" i="2"/>
  <c r="Y207" i="2"/>
  <c r="Y416" i="2"/>
  <c r="Y330" i="2"/>
  <c r="Y264" i="2"/>
  <c r="Y1205" i="2"/>
  <c r="Y395" i="2"/>
  <c r="Y417" i="2"/>
  <c r="Y65" i="2"/>
  <c r="Y396" i="2"/>
  <c r="Y208" i="2"/>
  <c r="Y1206" i="2"/>
  <c r="Y10" i="2"/>
  <c r="Y1207" i="2"/>
  <c r="Y1120" i="2"/>
  <c r="Y1074" i="2"/>
  <c r="Y1075" i="2"/>
  <c r="Y1076" i="2"/>
  <c r="Y891" i="2"/>
  <c r="Y892" i="2"/>
  <c r="Y14" i="2"/>
  <c r="Y331" i="2"/>
  <c r="Y884" i="2"/>
  <c r="Y1208" i="2"/>
  <c r="Y1209" i="2"/>
  <c r="Y1210" i="2"/>
  <c r="Y1121" i="2"/>
  <c r="Y1211" i="2"/>
  <c r="Y917" i="2"/>
  <c r="Y1144" i="2"/>
  <c r="Y1212" i="2"/>
  <c r="Y1122" i="2"/>
  <c r="Y179" i="2"/>
  <c r="Y913" i="2"/>
  <c r="Y89" i="2"/>
  <c r="Y250" i="2"/>
  <c r="Y315" i="2"/>
  <c r="Y1145" i="2"/>
  <c r="Y332" i="2"/>
  <c r="Y333" i="2"/>
  <c r="Y335" i="2"/>
  <c r="Y193" i="2"/>
  <c r="Y549" i="2"/>
  <c r="Y814" i="2"/>
  <c r="Y1033" i="2"/>
  <c r="Y933" i="2"/>
  <c r="Y24" i="2"/>
  <c r="Y180" i="2"/>
  <c r="Y17" i="2"/>
  <c r="Y370" i="2"/>
  <c r="Y1006" i="2"/>
  <c r="Y1007" i="2"/>
  <c r="Y73" i="2"/>
  <c r="Y358" i="2"/>
  <c r="Y837" i="2"/>
  <c r="Y38" i="2"/>
  <c r="Y359" i="2"/>
  <c r="Y475" i="2"/>
  <c r="Y194" i="2"/>
  <c r="Y786" i="2"/>
  <c r="Y476" i="2"/>
  <c r="Y893" i="2"/>
  <c r="Y39" i="2"/>
  <c r="Y973" i="2"/>
  <c r="Y316" i="2"/>
  <c r="Y477" i="2"/>
  <c r="Y478" i="2"/>
  <c r="Y153" i="2"/>
  <c r="Y479" i="2"/>
  <c r="Y1053" i="2"/>
  <c r="Y974" i="2"/>
  <c r="Y815" i="2"/>
  <c r="Y265" i="2"/>
  <c r="Y1077" i="2"/>
  <c r="Y317" i="2"/>
  <c r="Y68" i="2"/>
  <c r="Y33" i="2"/>
  <c r="Y440" i="2"/>
  <c r="Y1008" i="2"/>
  <c r="Y339" i="2"/>
  <c r="Y340" i="2"/>
  <c r="Y975" i="2"/>
  <c r="Y1009" i="2"/>
  <c r="Y418" i="2"/>
  <c r="Y133" i="2"/>
  <c r="Y936" i="2"/>
  <c r="Y937" i="2"/>
  <c r="Y294" i="2"/>
  <c r="Y1010" i="2"/>
  <c r="Y318" i="2"/>
  <c r="Y1011" i="2"/>
  <c r="Y40" i="2"/>
  <c r="Y360" i="2"/>
  <c r="Y341" i="2"/>
  <c r="Y1012" i="2"/>
  <c r="Y1013" i="2"/>
  <c r="Y1039" i="2"/>
  <c r="Y1040" i="2"/>
  <c r="Y361" i="2"/>
  <c r="Y342" i="2"/>
  <c r="Y938" i="2"/>
  <c r="Y939" i="2"/>
  <c r="Y362" i="2"/>
  <c r="Y1014" i="2"/>
  <c r="Y343" i="2"/>
  <c r="Y319" i="2"/>
  <c r="Y976" i="2"/>
  <c r="Y940" i="2"/>
  <c r="Y363" i="2"/>
  <c r="Y328" i="2"/>
  <c r="Y344" i="2"/>
  <c r="Y329" i="2"/>
  <c r="Y894" i="2"/>
  <c r="Y816" i="2"/>
  <c r="Y817" i="2"/>
  <c r="Y190" i="2"/>
  <c r="Y320" i="2"/>
  <c r="Y345" i="2"/>
  <c r="Y346" i="2"/>
  <c r="Y441" i="2"/>
  <c r="Y442" i="2"/>
  <c r="Y443" i="2"/>
  <c r="Y419" i="2"/>
  <c r="Y420" i="2"/>
  <c r="Y321" i="2"/>
  <c r="Y347" i="2"/>
  <c r="Y1015" i="2"/>
  <c r="Y309" i="2"/>
  <c r="Y322" i="2"/>
  <c r="Y1016" i="2"/>
  <c r="Y397" i="2"/>
  <c r="Y1017" i="2"/>
  <c r="Y421" i="2"/>
  <c r="Y295" i="2"/>
  <c r="Y437" i="2"/>
  <c r="Y438" i="2"/>
  <c r="Y348" i="2"/>
  <c r="Y422" i="2"/>
  <c r="Y941" i="2"/>
  <c r="Y838" i="2"/>
  <c r="Y452" i="2"/>
  <c r="Y942" i="2"/>
  <c r="Y1018" i="2"/>
  <c r="Y453" i="2"/>
  <c r="Y943" i="2"/>
  <c r="Y323" i="2"/>
  <c r="Y895" i="2"/>
  <c r="Y454" i="2"/>
  <c r="Y455" i="2"/>
  <c r="Y247" i="2"/>
  <c r="Y944" i="2"/>
  <c r="Y945" i="2"/>
  <c r="Y1108" i="2"/>
  <c r="Y32" i="2"/>
  <c r="Y254" i="2"/>
  <c r="Y209" i="2"/>
  <c r="Y818" i="2"/>
  <c r="Y349" i="2"/>
  <c r="Y398" i="2"/>
  <c r="Y977" i="2"/>
  <c r="Y1019" i="2"/>
  <c r="Y1054" i="2"/>
  <c r="Y423" i="2"/>
  <c r="Y399" i="2"/>
  <c r="Y946" i="2"/>
  <c r="Y947" i="2"/>
  <c r="Y978" i="2"/>
  <c r="Y29" i="2"/>
  <c r="Y979" i="2"/>
  <c r="Y400" i="2"/>
  <c r="Y1109" i="2"/>
  <c r="Y350" i="2"/>
  <c r="Y980" i="2"/>
  <c r="Y981" i="2"/>
  <c r="Y982" i="2"/>
  <c r="Y983" i="2"/>
  <c r="Y885" i="2"/>
  <c r="Y296" i="2"/>
  <c r="Y426" i="2"/>
  <c r="Y984" i="2"/>
  <c r="Y99" i="2"/>
  <c r="Y355" i="2"/>
  <c r="Y297" i="2"/>
  <c r="Y69" i="2"/>
  <c r="Y424" i="2"/>
  <c r="Y141" i="2"/>
  <c r="Y1213" i="2"/>
  <c r="Y135" i="2"/>
  <c r="Y985" i="2"/>
  <c r="Y986" i="2"/>
  <c r="Y403" i="2"/>
  <c r="Y34" i="2"/>
  <c r="Y404" i="2"/>
  <c r="Y427" i="2"/>
  <c r="Y405" i="2"/>
  <c r="Y371" i="2"/>
  <c r="Y406" i="2"/>
  <c r="Y987" i="2"/>
  <c r="Y425" i="2"/>
  <c r="Y401" i="2"/>
  <c r="Y298" i="2"/>
  <c r="Y896" i="2"/>
  <c r="Y159" i="2"/>
  <c r="Y1078" i="2"/>
  <c r="Y1079" i="2"/>
  <c r="Y1080" i="2"/>
  <c r="Y1081" i="2"/>
  <c r="Y1082" i="2"/>
  <c r="Y1083" i="2"/>
  <c r="Y1084" i="2"/>
  <c r="Y1085" i="2"/>
  <c r="Y1086" i="2"/>
  <c r="Y1087" i="2"/>
  <c r="Y1088" i="2"/>
  <c r="Y886" i="2"/>
  <c r="Y402" i="2"/>
  <c r="Y1089" i="2"/>
  <c r="Y897" i="2"/>
  <c r="Y338" i="2"/>
  <c r="Y314" i="2"/>
  <c r="Y1020" i="2"/>
  <c r="Y1021" i="2"/>
  <c r="Y299" i="2"/>
  <c r="Y1110" i="2"/>
  <c r="Y310" i="2"/>
  <c r="Y356" i="2"/>
  <c r="Y819" i="2"/>
  <c r="Y988" i="2"/>
  <c r="Y989" i="2"/>
  <c r="Y160" i="2"/>
  <c r="Y210" i="2"/>
  <c r="Y300" i="2"/>
  <c r="Y311" i="2"/>
  <c r="Y301" i="2"/>
  <c r="Y1214" i="2"/>
  <c r="Y211" i="2"/>
  <c r="Y212" i="2"/>
  <c r="Y213" i="2"/>
  <c r="Y1111" i="2"/>
  <c r="Y105" i="2"/>
  <c r="Y181" i="2"/>
  <c r="Y35" i="2"/>
  <c r="Y41" i="2"/>
  <c r="Y635" i="2"/>
  <c r="Y610" i="2"/>
  <c r="Y685" i="2"/>
  <c r="Y686" i="2"/>
  <c r="Y655" i="2"/>
  <c r="Y670" i="2"/>
  <c r="Y671" i="2"/>
  <c r="Y632" i="2"/>
  <c r="Y672" i="2"/>
  <c r="Y633" i="2"/>
  <c r="Y595" i="2"/>
  <c r="Y713" i="2"/>
  <c r="Y714" i="2"/>
  <c r="Y620" i="2"/>
  <c r="Y738" i="2"/>
  <c r="Y630" i="2"/>
  <c r="Y687" i="2"/>
  <c r="Y587" i="2"/>
  <c r="Y709" i="2"/>
  <c r="Y588" i="2"/>
  <c r="Y693" i="2"/>
  <c r="Y594" i="2"/>
  <c r="Y596" i="2"/>
  <c r="Y597" i="2"/>
  <c r="Y598" i="2"/>
  <c r="Y636" i="2"/>
  <c r="Y656" i="2"/>
  <c r="Y673" i="2"/>
  <c r="Y674" i="2"/>
  <c r="Y836" i="2"/>
  <c r="Y37" i="2"/>
  <c r="Y1541" i="2"/>
  <c r="Y138" i="2"/>
  <c r="Y139" i="2"/>
  <c r="Y47" i="2"/>
  <c r="Y30" i="2"/>
  <c r="Y11" i="2"/>
  <c r="Y26" i="2"/>
  <c r="Y22" i="2"/>
  <c r="Y23" i="2"/>
  <c r="Y36" i="2"/>
  <c r="Y21" i="2"/>
  <c r="Y27" i="2"/>
  <c r="Y1305" i="2"/>
  <c r="Y1306" i="2"/>
  <c r="Y1307" i="2"/>
  <c r="Y143" i="2"/>
  <c r="Y1308" i="2"/>
  <c r="Y1442" i="2"/>
  <c r="Y1539" i="2"/>
  <c r="Y1309" i="2"/>
  <c r="Y1507" i="2"/>
  <c r="Y1407" i="2"/>
  <c r="Y146" i="2"/>
  <c r="Y753" i="2"/>
  <c r="Y147" i="2"/>
  <c r="W1248" i="2"/>
  <c r="W6" i="2"/>
  <c r="W1233" i="2"/>
  <c r="W1250" i="2"/>
  <c r="W8" i="2"/>
  <c r="W9" i="2"/>
  <c r="W1249" i="2"/>
  <c r="W7" i="2"/>
  <c r="W538" i="2"/>
  <c r="W1253" i="2"/>
  <c r="W533" i="2"/>
  <c r="W19" i="2"/>
  <c r="W1370" i="2"/>
  <c r="W1409" i="2"/>
  <c r="W1534" i="2"/>
  <c r="W1440" i="2"/>
  <c r="W748" i="2"/>
  <c r="W1339" i="2"/>
  <c r="W599" i="2"/>
  <c r="W643" i="2"/>
  <c r="W1443" i="2"/>
  <c r="W1425" i="2"/>
  <c r="W1490" i="2"/>
  <c r="W861" i="2"/>
  <c r="W1347" i="2"/>
  <c r="W1348" i="2"/>
  <c r="W1492" i="2"/>
  <c r="W1529" i="2"/>
  <c r="W740" i="2"/>
  <c r="W1029" i="2"/>
  <c r="W1315" i="2"/>
  <c r="W1408" i="2"/>
  <c r="W1135" i="2"/>
  <c r="W1150" i="2"/>
  <c r="W706" i="2"/>
  <c r="W1343" i="2"/>
  <c r="W1435" i="2"/>
  <c r="W1436" i="2"/>
  <c r="W1449" i="2"/>
  <c r="W1450" i="2"/>
  <c r="W1352" i="2"/>
  <c r="W1513" i="2"/>
  <c r="W856" i="2"/>
  <c r="W668" i="2"/>
  <c r="W1530" i="2"/>
  <c r="W694" i="2"/>
  <c r="W1430" i="2"/>
  <c r="W700" i="2"/>
  <c r="W641" i="2"/>
  <c r="W1090" i="2"/>
  <c r="W583" i="2"/>
  <c r="W584" i="2"/>
  <c r="W1415" i="2"/>
  <c r="W727" i="2"/>
  <c r="W1139" i="2"/>
  <c r="W1355" i="2"/>
  <c r="W728" i="2"/>
  <c r="W511" i="2"/>
  <c r="W746" i="2"/>
  <c r="W639" i="2"/>
  <c r="W1778" i="2"/>
  <c r="W1437" i="2"/>
  <c r="W905" i="2"/>
  <c r="W1493" i="2"/>
  <c r="W1521" i="2"/>
  <c r="W1522" i="2"/>
  <c r="W1174" i="2"/>
  <c r="W578" i="2"/>
  <c r="W854" i="2"/>
  <c r="W1178" i="2"/>
  <c r="W863" i="2"/>
  <c r="W507" i="2"/>
  <c r="W1170" i="2"/>
  <c r="W820" i="2"/>
  <c r="W1523" i="2"/>
  <c r="W1524" i="2"/>
  <c r="W1141" i="2"/>
  <c r="W931" i="2"/>
  <c r="W910" i="2"/>
  <c r="W1394" i="2"/>
  <c r="W1395" i="2"/>
  <c r="W1041" i="2"/>
  <c r="W812" i="2"/>
  <c r="W1396" i="2"/>
  <c r="W28" i="2"/>
  <c r="W1044" i="2"/>
  <c r="W1112" i="2"/>
  <c r="W799" i="2"/>
  <c r="W151" i="2"/>
  <c r="W918" i="2"/>
  <c r="W1461" i="2"/>
  <c r="W518" i="2"/>
  <c r="W1137" i="2"/>
  <c r="W729" i="2"/>
  <c r="W867" i="2"/>
  <c r="W1031" i="2"/>
  <c r="W780" i="2"/>
  <c r="W777" i="2"/>
  <c r="W675" i="2"/>
  <c r="W1037" i="2"/>
  <c r="W676" i="2"/>
  <c r="W657" i="2"/>
  <c r="W623" i="2"/>
  <c r="W624" i="2"/>
  <c r="W926" i="2"/>
  <c r="W589" i="2"/>
  <c r="W665" i="2"/>
  <c r="W810" i="2"/>
  <c r="W928" i="2"/>
  <c r="W654" i="2"/>
  <c r="W523" i="2"/>
  <c r="W769" i="2"/>
  <c r="W702" i="2"/>
  <c r="W1133" i="2"/>
  <c r="W846" i="2"/>
  <c r="W677" i="2"/>
  <c r="W1131" i="2"/>
  <c r="W858" i="2"/>
  <c r="W1341" i="2"/>
  <c r="W1779" i="2"/>
  <c r="W1068" i="2"/>
  <c r="W661" i="2"/>
  <c r="W1127" i="2"/>
  <c r="W1129" i="2"/>
  <c r="W145" i="2"/>
  <c r="W1505" i="2"/>
  <c r="W605" i="2"/>
  <c r="W161" i="2"/>
  <c r="W191" i="2"/>
  <c r="W783" i="2"/>
  <c r="W851" i="2"/>
  <c r="W123" i="2"/>
  <c r="W257" i="2"/>
  <c r="W1143" i="2"/>
  <c r="W1780" i="2"/>
  <c r="W1496" i="2"/>
  <c r="W1497" i="2"/>
  <c r="W865" i="2"/>
  <c r="W1459" i="2"/>
  <c r="W266" i="2"/>
  <c r="W907" i="2"/>
  <c r="W1410" i="2"/>
  <c r="W1411" i="2"/>
  <c r="W730" i="2"/>
  <c r="W242" i="2"/>
  <c r="W513" i="2"/>
  <c r="W806" i="2"/>
  <c r="W1165" i="2"/>
  <c r="W1226" i="2"/>
  <c r="W1397" i="2"/>
  <c r="W515" i="2"/>
  <c r="W56" i="2"/>
  <c r="W1454" i="2"/>
  <c r="W1462" i="2"/>
  <c r="W502" i="2"/>
  <c r="W1254" i="2"/>
  <c r="W1310" i="2"/>
  <c r="W1334" i="2"/>
  <c r="W483" i="2"/>
  <c r="W16" i="2"/>
  <c r="W621" i="2"/>
  <c r="W574" i="2"/>
  <c r="W580" i="2"/>
  <c r="W2" i="2"/>
  <c r="W497" i="2"/>
  <c r="W503" i="2"/>
  <c r="W484" i="2"/>
  <c r="W1241" i="2"/>
  <c r="W18" i="2"/>
  <c r="W43" i="2"/>
  <c r="W45" i="2"/>
  <c r="W44" i="2"/>
  <c r="W504" i="2"/>
  <c r="W15" i="2"/>
  <c r="W1316" i="2"/>
  <c r="W46" i="2"/>
  <c r="W1255" i="2"/>
  <c r="W1256" i="2"/>
  <c r="W1257" i="2"/>
  <c r="W64" i="2"/>
  <c r="W1258" i="2"/>
  <c r="W646" i="2"/>
  <c r="W800" i="2"/>
  <c r="W498" i="2"/>
  <c r="W1428" i="2"/>
  <c r="W1460" i="2"/>
  <c r="W575" i="2"/>
  <c r="W67" i="2"/>
  <c r="W1500" i="2"/>
  <c r="W1369" i="2"/>
  <c r="W1377" i="2"/>
  <c r="W807" i="2"/>
  <c r="W1320" i="2"/>
  <c r="W48" i="2"/>
  <c r="W1520" i="2"/>
  <c r="W767" i="2"/>
  <c r="W768" i="2"/>
  <c r="W1022" i="2"/>
  <c r="W55" i="2"/>
  <c r="W749" i="2"/>
  <c r="W1055" i="2"/>
  <c r="W485" i="2"/>
  <c r="W1260" i="2"/>
  <c r="W839" i="2"/>
  <c r="W600" i="2"/>
  <c r="W644" i="2"/>
  <c r="W1261" i="2"/>
  <c r="W499" i="2"/>
  <c r="W1262" i="2"/>
  <c r="W1354" i="2"/>
  <c r="W715" i="2"/>
  <c r="W862" i="2"/>
  <c r="W1349" i="2"/>
  <c r="W1228" i="2"/>
  <c r="W1378" i="2"/>
  <c r="W1350" i="2"/>
  <c r="W934" i="2"/>
  <c r="W1446" i="2"/>
  <c r="W1215" i="2"/>
  <c r="W716" i="2"/>
  <c r="W739" i="2"/>
  <c r="W1030" i="2"/>
  <c r="W948" i="2"/>
  <c r="W1421" i="2"/>
  <c r="W717" i="2"/>
  <c r="W1045" i="2"/>
  <c r="W1263" i="2"/>
  <c r="W1488" i="2"/>
  <c r="W1264" i="2"/>
  <c r="W50" i="2"/>
  <c r="W1136" i="2"/>
  <c r="W1091" i="2"/>
  <c r="W1427" i="2"/>
  <c r="W1151" i="2"/>
  <c r="W576" i="2"/>
  <c r="W1344" i="2"/>
  <c r="W1047" i="2"/>
  <c r="W1048" i="2"/>
  <c r="W1265" i="2"/>
  <c r="W486" i="2"/>
  <c r="W49" i="2"/>
  <c r="W1330" i="2"/>
  <c r="W1434" i="2"/>
  <c r="W880" i="2"/>
  <c r="W1331" i="2"/>
  <c r="W1451" i="2"/>
  <c r="W1266" i="2"/>
  <c r="W1514" i="2"/>
  <c r="W1540" i="2"/>
  <c r="W1353" i="2"/>
  <c r="W857" i="2"/>
  <c r="W669" i="2"/>
  <c r="W1531" i="2"/>
  <c r="W695" i="2"/>
  <c r="W1431" i="2"/>
  <c r="W622" i="2"/>
  <c r="W607" i="2"/>
  <c r="W701" i="2"/>
  <c r="W642" i="2"/>
  <c r="W990" i="2"/>
  <c r="W5" i="2"/>
  <c r="W1092" i="2"/>
  <c r="W1168" i="2"/>
  <c r="W585" i="2"/>
  <c r="W586" i="2"/>
  <c r="W1267" i="2"/>
  <c r="W803" i="2"/>
  <c r="W723" i="2"/>
  <c r="W898" i="2"/>
  <c r="W1140" i="2"/>
  <c r="W1268" i="2"/>
  <c r="W1269" i="2"/>
  <c r="W724" i="2"/>
  <c r="W512" i="2"/>
  <c r="W747" i="2"/>
  <c r="W640" i="2"/>
  <c r="W353" i="2"/>
  <c r="W1479" i="2"/>
  <c r="W906" i="2"/>
  <c r="W1494" i="2"/>
  <c r="W1270" i="2"/>
  <c r="W3" i="2"/>
  <c r="W1525" i="2"/>
  <c r="W1175" i="2"/>
  <c r="W579" i="2"/>
  <c r="W855" i="2"/>
  <c r="W86" i="2"/>
  <c r="W1179" i="2"/>
  <c r="W864" i="2"/>
  <c r="W508" i="2"/>
  <c r="W755" i="2"/>
  <c r="W1171" i="2"/>
  <c r="W87" i="2"/>
  <c r="W916" i="2"/>
  <c r="W821" i="2"/>
  <c r="W1332" i="2"/>
  <c r="W1526" i="2"/>
  <c r="W1142" i="2"/>
  <c r="W1123" i="2"/>
  <c r="W932" i="2"/>
  <c r="W531" i="2"/>
  <c r="W911" i="2"/>
  <c r="W487" i="2"/>
  <c r="W1398" i="2"/>
  <c r="W1042" i="2"/>
  <c r="W813" i="2"/>
  <c r="W532" i="2"/>
  <c r="W1399" i="2"/>
  <c r="W577" i="2"/>
  <c r="W1046" i="2"/>
  <c r="W1271" i="2"/>
  <c r="W1113" i="2"/>
  <c r="W801" i="2"/>
  <c r="W152" i="2"/>
  <c r="W919" i="2"/>
  <c r="W908" i="2"/>
  <c r="W1335" i="2"/>
  <c r="W1463" i="2"/>
  <c r="W519" i="2"/>
  <c r="W1138" i="2"/>
  <c r="W4" i="2"/>
  <c r="W725" i="2"/>
  <c r="W924" i="2"/>
  <c r="W868" i="2"/>
  <c r="W1032" i="2"/>
  <c r="W781" i="2"/>
  <c r="W52" i="2"/>
  <c r="W778" i="2"/>
  <c r="W914" i="2"/>
  <c r="W678" i="2"/>
  <c r="W920" i="2"/>
  <c r="W887" i="2"/>
  <c r="W847" i="2"/>
  <c r="W734" i="2"/>
  <c r="W1038" i="2"/>
  <c r="W679" i="2"/>
  <c r="W658" i="2"/>
  <c r="W293" i="2"/>
  <c r="W921" i="2"/>
  <c r="W625" i="2"/>
  <c r="W626" i="2"/>
  <c r="W927" i="2"/>
  <c r="W590" i="2"/>
  <c r="W922" i="2"/>
  <c r="W666" i="2"/>
  <c r="W811" i="2"/>
  <c r="W929" i="2"/>
  <c r="W754" i="2"/>
  <c r="W1272" i="2"/>
  <c r="W770" i="2"/>
  <c r="W703" i="2"/>
  <c r="W1134" i="2"/>
  <c r="W848" i="2"/>
  <c r="W1444" i="2"/>
  <c r="W1035" i="2"/>
  <c r="W680" i="2"/>
  <c r="W1132" i="2"/>
  <c r="W859" i="2"/>
  <c r="W991" i="2"/>
  <c r="W1535" i="2"/>
  <c r="W1273" i="2"/>
  <c r="W878" i="2"/>
  <c r="W840" i="2"/>
  <c r="W1069" i="2"/>
  <c r="W662" i="2"/>
  <c r="W1484" i="2"/>
  <c r="W1128" i="2"/>
  <c r="W1176" i="2"/>
  <c r="W860" i="2"/>
  <c r="W1130" i="2"/>
  <c r="W148" i="2"/>
  <c r="W548" i="2"/>
  <c r="W1504" i="2"/>
  <c r="W606" i="2"/>
  <c r="W162" i="2"/>
  <c r="W51" i="2"/>
  <c r="W782" i="2"/>
  <c r="W53" i="2"/>
  <c r="W189" i="2"/>
  <c r="W1274" i="2"/>
  <c r="W1043" i="2"/>
  <c r="W852" i="2"/>
  <c r="W1152" i="2"/>
  <c r="W1114" i="2"/>
  <c r="W784" i="2"/>
  <c r="W853" i="2"/>
  <c r="W1464" i="2"/>
  <c r="W124" i="2"/>
  <c r="W923" i="2"/>
  <c r="W1732" i="2"/>
  <c r="W779" i="2"/>
  <c r="W258" i="2"/>
  <c r="W1741" i="2"/>
  <c r="W1177" i="2"/>
  <c r="W785" i="2"/>
  <c r="W1231" i="2"/>
  <c r="W915" i="2"/>
  <c r="W1483" i="2"/>
  <c r="W1372" i="2"/>
  <c r="W1275" i="2"/>
  <c r="W771" i="2"/>
  <c r="W802" i="2"/>
  <c r="W808" i="2"/>
  <c r="W1276" i="2"/>
  <c r="W1738" i="2"/>
  <c r="W1498" i="2"/>
  <c r="W1480" i="2"/>
  <c r="W866" i="2"/>
  <c r="W1455" i="2"/>
  <c r="W267" i="2"/>
  <c r="W1277" i="2"/>
  <c r="W542" i="2"/>
  <c r="W1503" i="2"/>
  <c r="W1278" i="2"/>
  <c r="W1172" i="2"/>
  <c r="W909" i="2"/>
  <c r="W1279" i="2"/>
  <c r="W1173" i="2"/>
  <c r="W930" i="2"/>
  <c r="W1412" i="2"/>
  <c r="W726" i="2"/>
  <c r="W243" i="2"/>
  <c r="W1166" i="2"/>
  <c r="W1734" i="2"/>
  <c r="W1731" i="2"/>
  <c r="W514" i="2"/>
  <c r="W101" i="2"/>
  <c r="W102" i="2"/>
  <c r="W1234" i="2"/>
  <c r="W809" i="2"/>
  <c r="W1167" i="2"/>
  <c r="W1227" i="2"/>
  <c r="W1313" i="2"/>
  <c r="W516" i="2"/>
  <c r="W1736" i="2"/>
  <c r="W1456" i="2"/>
  <c r="W1280" i="2"/>
  <c r="W1543" i="2"/>
  <c r="W1281" i="2"/>
  <c r="W505" i="2"/>
  <c r="W1740" i="2"/>
  <c r="W1416" i="2"/>
  <c r="W637" i="2"/>
  <c r="W1282" i="2"/>
  <c r="W1283" i="2"/>
  <c r="W1465" i="2"/>
  <c r="W1400" i="2"/>
  <c r="W1284" i="2"/>
  <c r="W1373" i="2"/>
  <c r="W1466" i="2"/>
  <c r="W1285" i="2"/>
  <c r="W1286" i="2"/>
  <c r="W488" i="2"/>
  <c r="W756" i="2"/>
  <c r="W757" i="2"/>
  <c r="W1287" i="2"/>
  <c r="W1417" i="2"/>
  <c r="W1180" i="2"/>
  <c r="W718" i="2"/>
  <c r="W1418" i="2"/>
  <c r="W492" i="2"/>
  <c r="W1288" i="2"/>
  <c r="W289" i="2"/>
  <c r="W1774" i="2"/>
  <c r="W1289" i="2"/>
  <c r="W581" i="2"/>
  <c r="W493" i="2"/>
  <c r="W1290" i="2"/>
  <c r="W1036" i="2"/>
  <c r="W489" i="2"/>
  <c r="W1291" i="2"/>
  <c r="W1292" i="2"/>
  <c r="W1293" i="2"/>
  <c r="W12" i="2"/>
  <c r="W1294" i="2"/>
  <c r="W1295" i="2"/>
  <c r="W1445" i="2"/>
  <c r="W506" i="2"/>
  <c r="W524" i="2"/>
  <c r="W494" i="2"/>
  <c r="W1296" i="2"/>
  <c r="W1775" i="2"/>
  <c r="W1297" i="2"/>
  <c r="W1776" i="2"/>
  <c r="W758" i="2"/>
  <c r="W1298" i="2"/>
  <c r="W1299" i="2"/>
  <c r="W925" i="2"/>
  <c r="W495" i="2"/>
  <c r="W500" i="2"/>
  <c r="W501" i="2"/>
  <c r="W1300" i="2"/>
  <c r="W1311" i="2"/>
  <c r="W129" i="2"/>
  <c r="W1301" i="2"/>
  <c r="W772" i="2"/>
  <c r="W773" i="2"/>
  <c r="W774" i="2"/>
  <c r="W775" i="2"/>
  <c r="W776" i="2"/>
  <c r="W591" i="2"/>
  <c r="W592" i="2"/>
  <c r="W789" i="2"/>
  <c r="W790" i="2"/>
  <c r="W791" i="2"/>
  <c r="W792" i="2"/>
  <c r="W793" i="2"/>
  <c r="W794" i="2"/>
  <c r="W795" i="2"/>
  <c r="W796" i="2"/>
  <c r="W797" i="2"/>
  <c r="W66" i="2"/>
  <c r="W290" i="2"/>
  <c r="W364" i="2"/>
  <c r="W365" i="2"/>
  <c r="W366" i="2"/>
  <c r="W367" i="2"/>
  <c r="W368" i="2"/>
  <c r="W804" i="2"/>
  <c r="W805" i="2"/>
  <c r="W70" i="2"/>
  <c r="W601" i="2"/>
  <c r="W602" i="2"/>
  <c r="W603" i="2"/>
  <c r="W604" i="2"/>
  <c r="W74" i="2"/>
  <c r="W75" i="2"/>
  <c r="W131" i="2"/>
  <c r="W1321" i="2"/>
  <c r="W1322" i="2"/>
  <c r="W1323" i="2"/>
  <c r="W1324" i="2"/>
  <c r="W1325" i="2"/>
  <c r="W1326" i="2"/>
  <c r="W1327" i="2"/>
  <c r="W1333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1336" i="2"/>
  <c r="W1337" i="2"/>
  <c r="W76" i="2"/>
  <c r="W77" i="2"/>
  <c r="W78" i="2"/>
  <c r="W79" i="2"/>
  <c r="W1340" i="2"/>
  <c r="W841" i="2"/>
  <c r="W842" i="2"/>
  <c r="W843" i="2"/>
  <c r="W844" i="2"/>
  <c r="W845" i="2"/>
  <c r="W81" i="2"/>
  <c r="W611" i="2"/>
  <c r="W612" i="2"/>
  <c r="W849" i="2"/>
  <c r="W372" i="2"/>
  <c r="W373" i="2"/>
  <c r="W374" i="2"/>
  <c r="W375" i="2"/>
  <c r="W376" i="2"/>
  <c r="W377" i="2"/>
  <c r="W378" i="2"/>
  <c r="W379" i="2"/>
  <c r="W380" i="2"/>
  <c r="W614" i="2"/>
  <c r="W627" i="2"/>
  <c r="W628" i="2"/>
  <c r="W629" i="2"/>
  <c r="W1345" i="2"/>
  <c r="W100" i="2"/>
  <c r="W1735" i="2"/>
  <c r="W543" i="2"/>
  <c r="W103" i="2"/>
  <c r="W302" i="2"/>
  <c r="W303" i="2"/>
  <c r="W304" i="2"/>
  <c r="W305" i="2"/>
  <c r="W306" i="2"/>
  <c r="W307" i="2"/>
  <c r="W308" i="2"/>
  <c r="W1544" i="2"/>
  <c r="W312" i="2"/>
  <c r="W313" i="2"/>
  <c r="W631" i="2"/>
  <c r="W1346" i="2"/>
  <c r="W1302" i="2"/>
  <c r="W1351" i="2"/>
  <c r="W1356" i="2"/>
  <c r="W1357" i="2"/>
  <c r="W1358" i="2"/>
  <c r="W1359" i="2"/>
  <c r="W1360" i="2"/>
  <c r="W509" i="2"/>
  <c r="W510" i="2"/>
  <c r="W1361" i="2"/>
  <c r="W869" i="2"/>
  <c r="W870" i="2"/>
  <c r="W871" i="2"/>
  <c r="W872" i="2"/>
  <c r="W873" i="2"/>
  <c r="W874" i="2"/>
  <c r="W875" i="2"/>
  <c r="W876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5" i="2"/>
  <c r="W126" i="2"/>
  <c r="W127" i="2"/>
  <c r="W128" i="2"/>
  <c r="W130" i="2"/>
  <c r="W1363" i="2"/>
  <c r="W1364" i="2"/>
  <c r="W1365" i="2"/>
  <c r="W1366" i="2"/>
  <c r="W1367" i="2"/>
  <c r="W550" i="2"/>
  <c r="W551" i="2"/>
  <c r="W552" i="2"/>
  <c r="W140" i="2"/>
  <c r="W553" i="2"/>
  <c r="W554" i="2"/>
  <c r="W555" i="2"/>
  <c r="W556" i="2"/>
  <c r="W634" i="2"/>
  <c r="W877" i="2"/>
  <c r="W142" i="2"/>
  <c r="W144" i="2"/>
  <c r="W1374" i="2"/>
  <c r="W1375" i="2"/>
  <c r="W1376" i="2"/>
  <c r="W557" i="2"/>
  <c r="W150" i="2"/>
  <c r="W879" i="2"/>
  <c r="W154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881" i="2"/>
  <c r="W882" i="2"/>
  <c r="W883" i="2"/>
  <c r="W888" i="2"/>
  <c r="W889" i="2"/>
  <c r="W1392" i="2"/>
  <c r="W1393" i="2"/>
  <c r="W899" i="2"/>
  <c r="W900" i="2"/>
  <c r="W901" i="2"/>
  <c r="W902" i="2"/>
  <c r="W903" i="2"/>
  <c r="W904" i="2"/>
  <c r="W1401" i="2"/>
  <c r="W1402" i="2"/>
  <c r="W1403" i="2"/>
  <c r="W1405" i="2"/>
  <c r="W1406" i="2"/>
  <c r="W1413" i="2"/>
  <c r="W1414" i="2"/>
  <c r="W638" i="2"/>
  <c r="W1419" i="2"/>
  <c r="W163" i="2"/>
  <c r="W164" i="2"/>
  <c r="W165" i="2"/>
  <c r="W166" i="2"/>
  <c r="W167" i="2"/>
  <c r="W168" i="2"/>
  <c r="W169" i="2"/>
  <c r="W170" i="2"/>
  <c r="W171" i="2"/>
  <c r="W172" i="2"/>
  <c r="W558" i="2"/>
  <c r="W559" i="2"/>
  <c r="W1422" i="2"/>
  <c r="W1423" i="2"/>
  <c r="W1424" i="2"/>
  <c r="W173" i="2"/>
  <c r="W174" i="2"/>
  <c r="W560" i="2"/>
  <c r="W175" i="2"/>
  <c r="W561" i="2"/>
  <c r="W645" i="2"/>
  <c r="W647" i="2"/>
  <c r="W182" i="2"/>
  <c r="W183" i="2"/>
  <c r="W1426" i="2"/>
  <c r="W650" i="2"/>
  <c r="W31" i="2"/>
  <c r="W186" i="2"/>
  <c r="W187" i="2"/>
  <c r="W188" i="2"/>
  <c r="W1433" i="2"/>
  <c r="W1438" i="2"/>
  <c r="W1439" i="2"/>
  <c r="W192" i="2"/>
  <c r="W1441" i="2"/>
  <c r="W334" i="2"/>
  <c r="W428" i="2"/>
  <c r="W429" i="2"/>
  <c r="W430" i="2"/>
  <c r="W431" i="2"/>
  <c r="W432" i="2"/>
  <c r="W433" i="2"/>
  <c r="W434" i="2"/>
  <c r="W435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92" i="2"/>
  <c r="W993" i="2"/>
  <c r="W994" i="2"/>
  <c r="W995" i="2"/>
  <c r="W996" i="2"/>
  <c r="W997" i="2"/>
  <c r="W998" i="2"/>
  <c r="W999" i="2"/>
  <c r="W1000" i="2"/>
  <c r="W1001" i="2"/>
  <c r="W1023" i="2"/>
  <c r="W1024" i="2"/>
  <c r="W1025" i="2"/>
  <c r="W1026" i="2"/>
  <c r="W1027" i="2"/>
  <c r="W1028" i="2"/>
  <c r="W652" i="2"/>
  <c r="W653" i="2"/>
  <c r="W659" i="2"/>
  <c r="W660" i="2"/>
  <c r="W1457" i="2"/>
  <c r="W1458" i="2"/>
  <c r="W663" i="2"/>
  <c r="W570" i="2"/>
  <c r="W195" i="2"/>
  <c r="W196" i="2"/>
  <c r="W197" i="2"/>
  <c r="W1467" i="2"/>
  <c r="W1468" i="2"/>
  <c r="W1469" i="2"/>
  <c r="W1470" i="2"/>
  <c r="W1471" i="2"/>
  <c r="W1472" i="2"/>
  <c r="W1473" i="2"/>
  <c r="W1474" i="2"/>
  <c r="W1475" i="2"/>
  <c r="W1476" i="2"/>
  <c r="W336" i="2"/>
  <c r="W337" i="2"/>
  <c r="W1478" i="2"/>
  <c r="W198" i="2"/>
  <c r="W199" i="2"/>
  <c r="W200" i="2"/>
  <c r="W201" i="2"/>
  <c r="W1481" i="2"/>
  <c r="W1482" i="2"/>
  <c r="W517" i="2"/>
  <c r="W1485" i="2"/>
  <c r="W1489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1491" i="2"/>
  <c r="W1049" i="2"/>
  <c r="W444" i="2"/>
  <c r="W1050" i="2"/>
  <c r="W1051" i="2"/>
  <c r="W1052" i="2"/>
  <c r="W445" i="2"/>
  <c r="W446" i="2"/>
  <c r="W447" i="2"/>
  <c r="W448" i="2"/>
  <c r="W449" i="2"/>
  <c r="W450" i="2"/>
  <c r="W451" i="2"/>
  <c r="W456" i="2"/>
  <c r="W457" i="2"/>
  <c r="W458" i="2"/>
  <c r="W1056" i="2"/>
  <c r="W1057" i="2"/>
  <c r="W1058" i="2"/>
  <c r="W228" i="2"/>
  <c r="W1059" i="2"/>
  <c r="W1060" i="2"/>
  <c r="W1061" i="2"/>
  <c r="W1062" i="2"/>
  <c r="W1063" i="2"/>
  <c r="W1064" i="2"/>
  <c r="W1065" i="2"/>
  <c r="W1066" i="2"/>
  <c r="W1067" i="2"/>
  <c r="W664" i="2"/>
  <c r="W1070" i="2"/>
  <c r="W1071" i="2"/>
  <c r="W229" i="2"/>
  <c r="W230" i="2"/>
  <c r="W231" i="2"/>
  <c r="W232" i="2"/>
  <c r="W233" i="2"/>
  <c r="W234" i="2"/>
  <c r="W235" i="2"/>
  <c r="W236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495" i="2"/>
  <c r="W1115" i="2"/>
  <c r="W1116" i="2"/>
  <c r="W1117" i="2"/>
  <c r="W1118" i="2"/>
  <c r="W1119" i="2"/>
  <c r="W239" i="2"/>
  <c r="W240" i="2"/>
  <c r="W241" i="2"/>
  <c r="W244" i="2"/>
  <c r="W1124" i="2"/>
  <c r="W1125" i="2"/>
  <c r="W1126" i="2"/>
  <c r="W459" i="2"/>
  <c r="W460" i="2"/>
  <c r="W245" i="2"/>
  <c r="W522" i="2"/>
  <c r="W462" i="2"/>
  <c r="W463" i="2"/>
  <c r="W464" i="2"/>
  <c r="W465" i="2"/>
  <c r="W466" i="2"/>
  <c r="W467" i="2"/>
  <c r="W468" i="2"/>
  <c r="W469" i="2"/>
  <c r="W470" i="2"/>
  <c r="W248" i="2"/>
  <c r="W681" i="2"/>
  <c r="W683" i="2"/>
  <c r="W525" i="2"/>
  <c r="W526" i="2"/>
  <c r="W527" i="2"/>
  <c r="W528" i="2"/>
  <c r="W1506" i="2"/>
  <c r="W1508" i="2"/>
  <c r="W688" i="2"/>
  <c r="W689" i="2"/>
  <c r="W690" i="2"/>
  <c r="W691" i="2"/>
  <c r="W692" i="2"/>
  <c r="W1509" i="2"/>
  <c r="W1510" i="2"/>
  <c r="W696" i="2"/>
  <c r="W249" i="2"/>
  <c r="W704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733" i="2"/>
  <c r="W255" i="2"/>
  <c r="W256" i="2"/>
  <c r="W571" i="2"/>
  <c r="W572" i="2"/>
  <c r="W1169" i="2"/>
  <c r="W351" i="2"/>
  <c r="W352" i="2"/>
  <c r="W1515" i="2"/>
  <c r="W1516" i="2"/>
  <c r="W1517" i="2"/>
  <c r="W1518" i="2"/>
  <c r="W1519" i="2"/>
  <c r="W708" i="2"/>
  <c r="W259" i="2"/>
  <c r="W260" i="2"/>
  <c r="W261" i="2"/>
  <c r="W262" i="2"/>
  <c r="W1242" i="2"/>
  <c r="W1243" i="2"/>
  <c r="W263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1244" i="2"/>
  <c r="W1527" i="2"/>
  <c r="W1528" i="2"/>
  <c r="W283" i="2"/>
  <c r="W1532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731" i="2"/>
  <c r="W732" i="2"/>
  <c r="W285" i="2"/>
  <c r="W286" i="2"/>
  <c r="W741" i="2"/>
  <c r="W742" i="2"/>
  <c r="W490" i="2"/>
  <c r="W743" i="2"/>
  <c r="W744" i="2"/>
  <c r="W535" i="2"/>
  <c r="W536" i="2"/>
  <c r="W537" i="2"/>
  <c r="W1536" i="2"/>
  <c r="W1537" i="2"/>
  <c r="W1538" i="2"/>
  <c r="W1197" i="2"/>
  <c r="W1198" i="2"/>
  <c r="W1199" i="2"/>
  <c r="W480" i="2"/>
  <c r="W1200" i="2"/>
  <c r="W1201" i="2"/>
  <c r="W1202" i="2"/>
  <c r="W1203" i="2"/>
  <c r="W1216" i="2"/>
  <c r="W1217" i="2"/>
  <c r="W1218" i="2"/>
  <c r="W1219" i="2"/>
  <c r="W1220" i="2"/>
  <c r="W1221" i="2"/>
  <c r="W1222" i="2"/>
  <c r="W1223" i="2"/>
  <c r="W1224" i="2"/>
  <c r="W1225" i="2"/>
  <c r="W750" i="2"/>
  <c r="W751" i="2"/>
  <c r="W752" i="2"/>
  <c r="W1739" i="2"/>
  <c r="W546" i="2"/>
  <c r="W547" i="2"/>
  <c r="W1542" i="2"/>
  <c r="W54" i="2"/>
  <c r="W1232" i="2"/>
  <c r="W1312" i="2"/>
  <c r="W1317" i="2"/>
  <c r="W1318" i="2"/>
  <c r="W1319" i="2"/>
  <c r="W1328" i="2"/>
  <c r="W1329" i="2"/>
  <c r="W1342" i="2"/>
  <c r="W1362" i="2"/>
  <c r="W1368" i="2"/>
  <c r="W787" i="2"/>
  <c r="W788" i="2"/>
  <c r="W61" i="2"/>
  <c r="W798" i="2"/>
  <c r="W1371" i="2"/>
  <c r="W850" i="2"/>
  <c r="W381" i="2"/>
  <c r="W382" i="2"/>
  <c r="W383" i="2"/>
  <c r="W384" i="2"/>
  <c r="W385" i="2"/>
  <c r="W386" i="2"/>
  <c r="W387" i="2"/>
  <c r="W388" i="2"/>
  <c r="W389" i="2"/>
  <c r="W390" i="2"/>
  <c r="W1379" i="2"/>
  <c r="W391" i="2"/>
  <c r="W392" i="2"/>
  <c r="W90" i="2"/>
  <c r="W91" i="2"/>
  <c r="W92" i="2"/>
  <c r="W93" i="2"/>
  <c r="W94" i="2"/>
  <c r="W95" i="2"/>
  <c r="W96" i="2"/>
  <c r="W97" i="2"/>
  <c r="W98" i="2"/>
  <c r="W618" i="2"/>
  <c r="W539" i="2"/>
  <c r="W710" i="2"/>
  <c r="W1239" i="2"/>
  <c r="W719" i="2"/>
  <c r="W529" i="2"/>
  <c r="W682" i="2"/>
  <c r="W616" i="2"/>
  <c r="W667" i="2"/>
  <c r="W705" i="2"/>
  <c r="W530" i="2"/>
  <c r="W582" i="2"/>
  <c r="W735" i="2"/>
  <c r="W62" i="2"/>
  <c r="W411" i="2"/>
  <c r="W184" i="2"/>
  <c r="W393" i="2"/>
  <c r="W439" i="2"/>
  <c r="W149" i="2"/>
  <c r="W71" i="2"/>
  <c r="W104" i="2"/>
  <c r="W132" i="2"/>
  <c r="W407" i="2"/>
  <c r="W481" i="2"/>
  <c r="W158" i="2"/>
  <c r="W251" i="2"/>
  <c r="W324" i="2"/>
  <c r="W325" i="2"/>
  <c r="W409" i="2"/>
  <c r="W326" i="2"/>
  <c r="W684" i="2"/>
  <c r="W155" i="2"/>
  <c r="W156" i="2"/>
  <c r="W707" i="2"/>
  <c r="W157" i="2"/>
  <c r="W58" i="2"/>
  <c r="W327" i="2"/>
  <c r="W912" i="2"/>
  <c r="W82" i="2"/>
  <c r="W354" i="2"/>
  <c r="W176" i="2"/>
  <c r="W80" i="2"/>
  <c r="W252" i="2"/>
  <c r="W412" i="2"/>
  <c r="W413" i="2"/>
  <c r="W414" i="2"/>
  <c r="W415" i="2"/>
  <c r="W136" i="2"/>
  <c r="W648" i="2"/>
  <c r="W410" i="2"/>
  <c r="W284" i="2"/>
  <c r="W436" i="2"/>
  <c r="W357" i="2"/>
  <c r="W471" i="2"/>
  <c r="W474" i="2"/>
  <c r="W651" i="2"/>
  <c r="W562" i="2"/>
  <c r="W563" i="2"/>
  <c r="W564" i="2"/>
  <c r="W565" i="2"/>
  <c r="W566" i="2"/>
  <c r="W461" i="2"/>
  <c r="W567" i="2"/>
  <c r="W568" i="2"/>
  <c r="W569" i="2"/>
  <c r="W1034" i="2"/>
  <c r="W287" i="2"/>
  <c r="W57" i="2"/>
  <c r="W1245" i="2"/>
  <c r="W84" i="2"/>
  <c r="W178" i="2"/>
  <c r="W59" i="2"/>
  <c r="W1545" i="2"/>
  <c r="W1452" i="2"/>
  <c r="W759" i="2"/>
  <c r="W1453" i="2"/>
  <c r="W1146" i="2"/>
  <c r="W1147" i="2"/>
  <c r="W1148" i="2"/>
  <c r="W1149" i="2"/>
  <c r="W697" i="2"/>
  <c r="W711" i="2"/>
  <c r="W720" i="2"/>
  <c r="W698" i="2"/>
  <c r="W617" i="2"/>
  <c r="W60" i="2"/>
  <c r="W733" i="2"/>
  <c r="W608" i="2"/>
  <c r="W609" i="2"/>
  <c r="W593" i="2"/>
  <c r="W613" i="2"/>
  <c r="W615" i="2"/>
  <c r="W1229" i="2"/>
  <c r="W1230" i="2"/>
  <c r="W649" i="2"/>
  <c r="W760" i="2"/>
  <c r="W761" i="2"/>
  <c r="W762" i="2"/>
  <c r="W763" i="2"/>
  <c r="W736" i="2"/>
  <c r="W745" i="2"/>
  <c r="W737" i="2"/>
  <c r="W721" i="2"/>
  <c r="W722" i="2"/>
  <c r="W699" i="2"/>
  <c r="W712" i="2"/>
  <c r="W619" i="2"/>
  <c r="W764" i="2"/>
  <c r="W765" i="2"/>
  <c r="W766" i="2"/>
  <c r="W291" i="2"/>
  <c r="W292" i="2"/>
  <c r="W534" i="2"/>
  <c r="W540" i="2"/>
  <c r="W541" i="2"/>
  <c r="W544" i="2"/>
  <c r="W545" i="2"/>
  <c r="W1236" i="2"/>
  <c r="W1237" i="2"/>
  <c r="W1238" i="2"/>
  <c r="W1240" i="2"/>
  <c r="W1246" i="2"/>
  <c r="W1247" i="2"/>
  <c r="W1252" i="2"/>
  <c r="W1486" i="2"/>
  <c r="W13" i="2"/>
  <c r="W1499" i="2"/>
  <c r="W1501" i="2"/>
  <c r="W1511" i="2"/>
  <c r="W1512" i="2"/>
  <c r="W1533" i="2"/>
  <c r="W1546" i="2"/>
  <c r="W1547" i="2"/>
  <c r="W1548" i="2"/>
  <c r="W1447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34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303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304" i="2"/>
  <c r="W1639" i="2"/>
  <c r="W1640" i="2"/>
  <c r="W1641" i="2"/>
  <c r="W1642" i="2"/>
  <c r="W1643" i="2"/>
  <c r="W1644" i="2"/>
  <c r="W1645" i="2"/>
  <c r="W1646" i="2"/>
  <c r="W1647" i="2"/>
  <c r="W1648" i="2"/>
  <c r="W14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42" i="2"/>
  <c r="W1743" i="2"/>
  <c r="W1744" i="2"/>
  <c r="W1745" i="2"/>
  <c r="W1746" i="2"/>
  <c r="W1747" i="2"/>
  <c r="W1748" i="2"/>
  <c r="W1749" i="2"/>
  <c r="W1737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7" i="2"/>
  <c r="W1781" i="2"/>
  <c r="W1782" i="2"/>
  <c r="W1783" i="2"/>
  <c r="W1784" i="2"/>
  <c r="W1785" i="2"/>
  <c r="W1730" i="2"/>
  <c r="W408" i="2"/>
  <c r="W482" i="2"/>
  <c r="W573" i="2"/>
  <c r="W1502" i="2"/>
  <c r="W1420" i="2"/>
  <c r="W1251" i="2"/>
  <c r="W122" i="2"/>
  <c r="W1338" i="2"/>
  <c r="W1429" i="2"/>
  <c r="W1235" i="2"/>
  <c r="W1314" i="2"/>
  <c r="W496" i="2"/>
  <c r="W491" i="2"/>
  <c r="W1404" i="2"/>
  <c r="W1477" i="2"/>
  <c r="W1432" i="2"/>
  <c r="W1487" i="2"/>
  <c r="W520" i="2"/>
  <c r="W521" i="2"/>
  <c r="W1002" i="2"/>
  <c r="W1003" i="2"/>
  <c r="W1004" i="2"/>
  <c r="W1005" i="2"/>
  <c r="W935" i="2"/>
  <c r="W25" i="2"/>
  <c r="W202" i="2"/>
  <c r="W72" i="2"/>
  <c r="W1072" i="2"/>
  <c r="W1073" i="2"/>
  <c r="W237" i="2"/>
  <c r="W177" i="2"/>
  <c r="W203" i="2"/>
  <c r="W1204" i="2"/>
  <c r="W369" i="2"/>
  <c r="W85" i="2"/>
  <c r="W204" i="2"/>
  <c r="W238" i="2"/>
  <c r="W394" i="2"/>
  <c r="W472" i="2"/>
  <c r="W473" i="2"/>
  <c r="W288" i="2"/>
  <c r="W253" i="2"/>
  <c r="W205" i="2"/>
  <c r="W185" i="2"/>
  <c r="W88" i="2"/>
  <c r="W890" i="2"/>
  <c r="W246" i="2"/>
  <c r="W63" i="2"/>
  <c r="W206" i="2"/>
  <c r="W83" i="2"/>
  <c r="W137" i="2"/>
  <c r="W207" i="2"/>
  <c r="W416" i="2"/>
  <c r="W330" i="2"/>
  <c r="W264" i="2"/>
  <c r="W1205" i="2"/>
  <c r="W395" i="2"/>
  <c r="W417" i="2"/>
  <c r="W65" i="2"/>
  <c r="W396" i="2"/>
  <c r="W208" i="2"/>
  <c r="W1206" i="2"/>
  <c r="W10" i="2"/>
  <c r="W1207" i="2"/>
  <c r="W1120" i="2"/>
  <c r="W1074" i="2"/>
  <c r="W1075" i="2"/>
  <c r="W1076" i="2"/>
  <c r="W891" i="2"/>
  <c r="W892" i="2"/>
  <c r="W14" i="2"/>
  <c r="W331" i="2"/>
  <c r="W884" i="2"/>
  <c r="W1208" i="2"/>
  <c r="W1209" i="2"/>
  <c r="W1210" i="2"/>
  <c r="W1121" i="2"/>
  <c r="W1211" i="2"/>
  <c r="W917" i="2"/>
  <c r="W1144" i="2"/>
  <c r="W1212" i="2"/>
  <c r="W1122" i="2"/>
  <c r="W179" i="2"/>
  <c r="W913" i="2"/>
  <c r="W89" i="2"/>
  <c r="W250" i="2"/>
  <c r="W315" i="2"/>
  <c r="W1145" i="2"/>
  <c r="W332" i="2"/>
  <c r="W333" i="2"/>
  <c r="W335" i="2"/>
  <c r="W193" i="2"/>
  <c r="W549" i="2"/>
  <c r="W814" i="2"/>
  <c r="W1033" i="2"/>
  <c r="W933" i="2"/>
  <c r="W24" i="2"/>
  <c r="W180" i="2"/>
  <c r="W17" i="2"/>
  <c r="W370" i="2"/>
  <c r="W1006" i="2"/>
  <c r="W1007" i="2"/>
  <c r="W73" i="2"/>
  <c r="W358" i="2"/>
  <c r="W837" i="2"/>
  <c r="W38" i="2"/>
  <c r="W359" i="2"/>
  <c r="W475" i="2"/>
  <c r="W194" i="2"/>
  <c r="W786" i="2"/>
  <c r="W476" i="2"/>
  <c r="W893" i="2"/>
  <c r="W39" i="2"/>
  <c r="W973" i="2"/>
  <c r="W316" i="2"/>
  <c r="W477" i="2"/>
  <c r="W478" i="2"/>
  <c r="W153" i="2"/>
  <c r="W479" i="2"/>
  <c r="W1053" i="2"/>
  <c r="W974" i="2"/>
  <c r="W815" i="2"/>
  <c r="W265" i="2"/>
  <c r="W1077" i="2"/>
  <c r="W317" i="2"/>
  <c r="W68" i="2"/>
  <c r="W33" i="2"/>
  <c r="W440" i="2"/>
  <c r="W1008" i="2"/>
  <c r="W339" i="2"/>
  <c r="W340" i="2"/>
  <c r="W975" i="2"/>
  <c r="W1009" i="2"/>
  <c r="W418" i="2"/>
  <c r="W133" i="2"/>
  <c r="W936" i="2"/>
  <c r="W937" i="2"/>
  <c r="W294" i="2"/>
  <c r="W1010" i="2"/>
  <c r="W318" i="2"/>
  <c r="W1011" i="2"/>
  <c r="W40" i="2"/>
  <c r="W360" i="2"/>
  <c r="W341" i="2"/>
  <c r="W1012" i="2"/>
  <c r="W1013" i="2"/>
  <c r="W1039" i="2"/>
  <c r="W1040" i="2"/>
  <c r="W361" i="2"/>
  <c r="W342" i="2"/>
  <c r="W938" i="2"/>
  <c r="W939" i="2"/>
  <c r="W362" i="2"/>
  <c r="W1014" i="2"/>
  <c r="W343" i="2"/>
  <c r="W319" i="2"/>
  <c r="W976" i="2"/>
  <c r="W940" i="2"/>
  <c r="W363" i="2"/>
  <c r="W328" i="2"/>
  <c r="W344" i="2"/>
  <c r="W329" i="2"/>
  <c r="W894" i="2"/>
  <c r="W816" i="2"/>
  <c r="W817" i="2"/>
  <c r="W190" i="2"/>
  <c r="W320" i="2"/>
  <c r="W345" i="2"/>
  <c r="W346" i="2"/>
  <c r="W441" i="2"/>
  <c r="W442" i="2"/>
  <c r="W443" i="2"/>
  <c r="W419" i="2"/>
  <c r="W420" i="2"/>
  <c r="W321" i="2"/>
  <c r="W347" i="2"/>
  <c r="W1015" i="2"/>
  <c r="W309" i="2"/>
  <c r="W322" i="2"/>
  <c r="W1016" i="2"/>
  <c r="W397" i="2"/>
  <c r="W1017" i="2"/>
  <c r="W421" i="2"/>
  <c r="W295" i="2"/>
  <c r="W437" i="2"/>
  <c r="W438" i="2"/>
  <c r="W348" i="2"/>
  <c r="W422" i="2"/>
  <c r="W941" i="2"/>
  <c r="W838" i="2"/>
  <c r="W452" i="2"/>
  <c r="W942" i="2"/>
  <c r="W1018" i="2"/>
  <c r="W453" i="2"/>
  <c r="W943" i="2"/>
  <c r="W323" i="2"/>
  <c r="W895" i="2"/>
  <c r="W454" i="2"/>
  <c r="W455" i="2"/>
  <c r="W247" i="2"/>
  <c r="W944" i="2"/>
  <c r="W945" i="2"/>
  <c r="W1108" i="2"/>
  <c r="W32" i="2"/>
  <c r="W254" i="2"/>
  <c r="W209" i="2"/>
  <c r="W818" i="2"/>
  <c r="W349" i="2"/>
  <c r="W398" i="2"/>
  <c r="W977" i="2"/>
  <c r="W1019" i="2"/>
  <c r="W1054" i="2"/>
  <c r="W423" i="2"/>
  <c r="W399" i="2"/>
  <c r="W946" i="2"/>
  <c r="W947" i="2"/>
  <c r="W978" i="2"/>
  <c r="W29" i="2"/>
  <c r="W979" i="2"/>
  <c r="W400" i="2"/>
  <c r="W1109" i="2"/>
  <c r="W350" i="2"/>
  <c r="W980" i="2"/>
  <c r="W981" i="2"/>
  <c r="W982" i="2"/>
  <c r="W983" i="2"/>
  <c r="W885" i="2"/>
  <c r="W296" i="2"/>
  <c r="W426" i="2"/>
  <c r="W984" i="2"/>
  <c r="W99" i="2"/>
  <c r="W355" i="2"/>
  <c r="W297" i="2"/>
  <c r="W69" i="2"/>
  <c r="W424" i="2"/>
  <c r="W141" i="2"/>
  <c r="W1213" i="2"/>
  <c r="W135" i="2"/>
  <c r="W985" i="2"/>
  <c r="W986" i="2"/>
  <c r="W403" i="2"/>
  <c r="W34" i="2"/>
  <c r="W404" i="2"/>
  <c r="W427" i="2"/>
  <c r="W405" i="2"/>
  <c r="W371" i="2"/>
  <c r="W406" i="2"/>
  <c r="W987" i="2"/>
  <c r="W425" i="2"/>
  <c r="W401" i="2"/>
  <c r="W298" i="2"/>
  <c r="W896" i="2"/>
  <c r="W159" i="2"/>
  <c r="W1078" i="2"/>
  <c r="W1079" i="2"/>
  <c r="W1080" i="2"/>
  <c r="W1081" i="2"/>
  <c r="W1082" i="2"/>
  <c r="W1083" i="2"/>
  <c r="W1084" i="2"/>
  <c r="W1085" i="2"/>
  <c r="W1086" i="2"/>
  <c r="W1087" i="2"/>
  <c r="W1088" i="2"/>
  <c r="W886" i="2"/>
  <c r="W402" i="2"/>
  <c r="W1089" i="2"/>
  <c r="W897" i="2"/>
  <c r="W338" i="2"/>
  <c r="W314" i="2"/>
  <c r="W1020" i="2"/>
  <c r="W1021" i="2"/>
  <c r="W299" i="2"/>
  <c r="W1110" i="2"/>
  <c r="W310" i="2"/>
  <c r="W356" i="2"/>
  <c r="W819" i="2"/>
  <c r="W988" i="2"/>
  <c r="W989" i="2"/>
  <c r="W160" i="2"/>
  <c r="W210" i="2"/>
  <c r="W300" i="2"/>
  <c r="W311" i="2"/>
  <c r="W301" i="2"/>
  <c r="W1214" i="2"/>
  <c r="W211" i="2"/>
  <c r="W212" i="2"/>
  <c r="W213" i="2"/>
  <c r="W1111" i="2"/>
  <c r="W105" i="2"/>
  <c r="W181" i="2"/>
  <c r="W35" i="2"/>
  <c r="W41" i="2"/>
  <c r="W635" i="2"/>
  <c r="W610" i="2"/>
  <c r="W685" i="2"/>
  <c r="W686" i="2"/>
  <c r="W655" i="2"/>
  <c r="W670" i="2"/>
  <c r="W671" i="2"/>
  <c r="W632" i="2"/>
  <c r="W672" i="2"/>
  <c r="W633" i="2"/>
  <c r="W595" i="2"/>
  <c r="W713" i="2"/>
  <c r="W714" i="2"/>
  <c r="W620" i="2"/>
  <c r="W738" i="2"/>
  <c r="W630" i="2"/>
  <c r="W687" i="2"/>
  <c r="W587" i="2"/>
  <c r="W709" i="2"/>
  <c r="W588" i="2"/>
  <c r="W693" i="2"/>
  <c r="W594" i="2"/>
  <c r="W596" i="2"/>
  <c r="W597" i="2"/>
  <c r="W598" i="2"/>
  <c r="W636" i="2"/>
  <c r="W656" i="2"/>
  <c r="W673" i="2"/>
  <c r="W674" i="2"/>
  <c r="W836" i="2"/>
  <c r="W37" i="2"/>
  <c r="W1541" i="2"/>
  <c r="W138" i="2"/>
  <c r="W139" i="2"/>
  <c r="W47" i="2"/>
  <c r="W30" i="2"/>
  <c r="W11" i="2"/>
  <c r="W26" i="2"/>
  <c r="W22" i="2"/>
  <c r="W23" i="2"/>
  <c r="W36" i="2"/>
  <c r="W21" i="2"/>
  <c r="W27" i="2"/>
  <c r="W1305" i="2"/>
  <c r="W1306" i="2"/>
  <c r="W1307" i="2"/>
  <c r="W143" i="2"/>
  <c r="W1308" i="2"/>
  <c r="W1442" i="2"/>
  <c r="W1539" i="2"/>
  <c r="W1309" i="2"/>
  <c r="W1507" i="2"/>
  <c r="W1407" i="2"/>
  <c r="W146" i="2"/>
  <c r="W753" i="2"/>
  <c r="W147" i="2"/>
  <c r="U1248" i="2"/>
  <c r="U6" i="2"/>
  <c r="U1233" i="2"/>
  <c r="U1250" i="2"/>
  <c r="U8" i="2"/>
  <c r="U9" i="2"/>
  <c r="U1249" i="2"/>
  <c r="U7" i="2"/>
  <c r="U538" i="2"/>
  <c r="U1253" i="2"/>
  <c r="U533" i="2"/>
  <c r="U19" i="2"/>
  <c r="U1370" i="2"/>
  <c r="U1409" i="2"/>
  <c r="U1534" i="2"/>
  <c r="U1440" i="2"/>
  <c r="U748" i="2"/>
  <c r="U1339" i="2"/>
  <c r="U599" i="2"/>
  <c r="U643" i="2"/>
  <c r="U1443" i="2"/>
  <c r="U1425" i="2"/>
  <c r="U1490" i="2"/>
  <c r="U861" i="2"/>
  <c r="U1347" i="2"/>
  <c r="U1348" i="2"/>
  <c r="U1492" i="2"/>
  <c r="U1529" i="2"/>
  <c r="U740" i="2"/>
  <c r="U1029" i="2"/>
  <c r="U1315" i="2"/>
  <c r="U1408" i="2"/>
  <c r="U1135" i="2"/>
  <c r="U1150" i="2"/>
  <c r="U706" i="2"/>
  <c r="U1343" i="2"/>
  <c r="U1435" i="2"/>
  <c r="U1436" i="2"/>
  <c r="U1449" i="2"/>
  <c r="U1450" i="2"/>
  <c r="U1352" i="2"/>
  <c r="U1513" i="2"/>
  <c r="U856" i="2"/>
  <c r="U668" i="2"/>
  <c r="U1530" i="2"/>
  <c r="U694" i="2"/>
  <c r="U1430" i="2"/>
  <c r="U700" i="2"/>
  <c r="U641" i="2"/>
  <c r="U1090" i="2"/>
  <c r="U583" i="2"/>
  <c r="U584" i="2"/>
  <c r="U1415" i="2"/>
  <c r="U727" i="2"/>
  <c r="U1139" i="2"/>
  <c r="U1355" i="2"/>
  <c r="U728" i="2"/>
  <c r="U511" i="2"/>
  <c r="U746" i="2"/>
  <c r="U639" i="2"/>
  <c r="U1778" i="2"/>
  <c r="U1437" i="2"/>
  <c r="U905" i="2"/>
  <c r="U1493" i="2"/>
  <c r="U1521" i="2"/>
  <c r="U1522" i="2"/>
  <c r="U1174" i="2"/>
  <c r="U578" i="2"/>
  <c r="U854" i="2"/>
  <c r="U1178" i="2"/>
  <c r="U863" i="2"/>
  <c r="U507" i="2"/>
  <c r="U1170" i="2"/>
  <c r="U820" i="2"/>
  <c r="U1523" i="2"/>
  <c r="U1524" i="2"/>
  <c r="U1141" i="2"/>
  <c r="U931" i="2"/>
  <c r="U910" i="2"/>
  <c r="U1394" i="2"/>
  <c r="U1395" i="2"/>
  <c r="U1041" i="2"/>
  <c r="U812" i="2"/>
  <c r="U1396" i="2"/>
  <c r="U28" i="2"/>
  <c r="U1044" i="2"/>
  <c r="U1112" i="2"/>
  <c r="U799" i="2"/>
  <c r="U151" i="2"/>
  <c r="U918" i="2"/>
  <c r="U1461" i="2"/>
  <c r="U518" i="2"/>
  <c r="U1137" i="2"/>
  <c r="U729" i="2"/>
  <c r="U867" i="2"/>
  <c r="U1031" i="2"/>
  <c r="U780" i="2"/>
  <c r="U777" i="2"/>
  <c r="U675" i="2"/>
  <c r="U1037" i="2"/>
  <c r="U676" i="2"/>
  <c r="U657" i="2"/>
  <c r="U623" i="2"/>
  <c r="U624" i="2"/>
  <c r="U926" i="2"/>
  <c r="U589" i="2"/>
  <c r="U665" i="2"/>
  <c r="U810" i="2"/>
  <c r="U928" i="2"/>
  <c r="U654" i="2"/>
  <c r="U523" i="2"/>
  <c r="U769" i="2"/>
  <c r="U702" i="2"/>
  <c r="U1133" i="2"/>
  <c r="U846" i="2"/>
  <c r="U677" i="2"/>
  <c r="U1131" i="2"/>
  <c r="U858" i="2"/>
  <c r="U1341" i="2"/>
  <c r="U1779" i="2"/>
  <c r="U1068" i="2"/>
  <c r="U661" i="2"/>
  <c r="U1127" i="2"/>
  <c r="U1129" i="2"/>
  <c r="U145" i="2"/>
  <c r="U1505" i="2"/>
  <c r="U605" i="2"/>
  <c r="U161" i="2"/>
  <c r="U191" i="2"/>
  <c r="U783" i="2"/>
  <c r="U851" i="2"/>
  <c r="U123" i="2"/>
  <c r="U257" i="2"/>
  <c r="U1143" i="2"/>
  <c r="U1780" i="2"/>
  <c r="U1496" i="2"/>
  <c r="U1497" i="2"/>
  <c r="U865" i="2"/>
  <c r="U1459" i="2"/>
  <c r="U266" i="2"/>
  <c r="U907" i="2"/>
  <c r="U1410" i="2"/>
  <c r="U1411" i="2"/>
  <c r="U730" i="2"/>
  <c r="U242" i="2"/>
  <c r="U513" i="2"/>
  <c r="U806" i="2"/>
  <c r="U1165" i="2"/>
  <c r="U1226" i="2"/>
  <c r="U1397" i="2"/>
  <c r="U515" i="2"/>
  <c r="U56" i="2"/>
  <c r="U1454" i="2"/>
  <c r="U1462" i="2"/>
  <c r="U502" i="2"/>
  <c r="U1254" i="2"/>
  <c r="U1310" i="2"/>
  <c r="U1334" i="2"/>
  <c r="U483" i="2"/>
  <c r="U16" i="2"/>
  <c r="U621" i="2"/>
  <c r="U574" i="2"/>
  <c r="U580" i="2"/>
  <c r="U2" i="2"/>
  <c r="U497" i="2"/>
  <c r="U503" i="2"/>
  <c r="U484" i="2"/>
  <c r="U1241" i="2"/>
  <c r="U18" i="2"/>
  <c r="U43" i="2"/>
  <c r="U45" i="2"/>
  <c r="U44" i="2"/>
  <c r="U504" i="2"/>
  <c r="U15" i="2"/>
  <c r="U1316" i="2"/>
  <c r="U46" i="2"/>
  <c r="U1255" i="2"/>
  <c r="U1256" i="2"/>
  <c r="U1257" i="2"/>
  <c r="U64" i="2"/>
  <c r="U1258" i="2"/>
  <c r="U646" i="2"/>
  <c r="U800" i="2"/>
  <c r="U498" i="2"/>
  <c r="U1428" i="2"/>
  <c r="U1460" i="2"/>
  <c r="U575" i="2"/>
  <c r="U67" i="2"/>
  <c r="U1500" i="2"/>
  <c r="U1369" i="2"/>
  <c r="U1377" i="2"/>
  <c r="U807" i="2"/>
  <c r="U1320" i="2"/>
  <c r="U48" i="2"/>
  <c r="U1520" i="2"/>
  <c r="U767" i="2"/>
  <c r="U768" i="2"/>
  <c r="U1022" i="2"/>
  <c r="U55" i="2"/>
  <c r="U749" i="2"/>
  <c r="U1055" i="2"/>
  <c r="U485" i="2"/>
  <c r="U1260" i="2"/>
  <c r="U839" i="2"/>
  <c r="U600" i="2"/>
  <c r="U644" i="2"/>
  <c r="U1261" i="2"/>
  <c r="U499" i="2"/>
  <c r="U1262" i="2"/>
  <c r="U1354" i="2"/>
  <c r="U715" i="2"/>
  <c r="U862" i="2"/>
  <c r="U1349" i="2"/>
  <c r="U1228" i="2"/>
  <c r="U1378" i="2"/>
  <c r="U1350" i="2"/>
  <c r="U934" i="2"/>
  <c r="U1446" i="2"/>
  <c r="U1215" i="2"/>
  <c r="U716" i="2"/>
  <c r="U739" i="2"/>
  <c r="U1030" i="2"/>
  <c r="U948" i="2"/>
  <c r="U1421" i="2"/>
  <c r="U717" i="2"/>
  <c r="U1045" i="2"/>
  <c r="U1263" i="2"/>
  <c r="U1488" i="2"/>
  <c r="U1264" i="2"/>
  <c r="U50" i="2"/>
  <c r="U1136" i="2"/>
  <c r="U1091" i="2"/>
  <c r="U1427" i="2"/>
  <c r="U1151" i="2"/>
  <c r="U576" i="2"/>
  <c r="U1344" i="2"/>
  <c r="U1047" i="2"/>
  <c r="U1048" i="2"/>
  <c r="U1265" i="2"/>
  <c r="U486" i="2"/>
  <c r="U49" i="2"/>
  <c r="U1330" i="2"/>
  <c r="U1434" i="2"/>
  <c r="U880" i="2"/>
  <c r="U1331" i="2"/>
  <c r="U1451" i="2"/>
  <c r="U1266" i="2"/>
  <c r="U1514" i="2"/>
  <c r="U1540" i="2"/>
  <c r="U1353" i="2"/>
  <c r="U857" i="2"/>
  <c r="U669" i="2"/>
  <c r="U1531" i="2"/>
  <c r="U695" i="2"/>
  <c r="U1431" i="2"/>
  <c r="U622" i="2"/>
  <c r="U607" i="2"/>
  <c r="U701" i="2"/>
  <c r="U642" i="2"/>
  <c r="U990" i="2"/>
  <c r="U5" i="2"/>
  <c r="U1092" i="2"/>
  <c r="U1168" i="2"/>
  <c r="U585" i="2"/>
  <c r="U586" i="2"/>
  <c r="U1267" i="2"/>
  <c r="U803" i="2"/>
  <c r="U723" i="2"/>
  <c r="U898" i="2"/>
  <c r="U1140" i="2"/>
  <c r="U1268" i="2"/>
  <c r="U1269" i="2"/>
  <c r="U724" i="2"/>
  <c r="U512" i="2"/>
  <c r="U747" i="2"/>
  <c r="U640" i="2"/>
  <c r="U353" i="2"/>
  <c r="U1479" i="2"/>
  <c r="U906" i="2"/>
  <c r="U1494" i="2"/>
  <c r="U1270" i="2"/>
  <c r="U3" i="2"/>
  <c r="U1525" i="2"/>
  <c r="U1175" i="2"/>
  <c r="U579" i="2"/>
  <c r="U855" i="2"/>
  <c r="U86" i="2"/>
  <c r="U1179" i="2"/>
  <c r="U864" i="2"/>
  <c r="U508" i="2"/>
  <c r="U755" i="2"/>
  <c r="U1171" i="2"/>
  <c r="U87" i="2"/>
  <c r="U916" i="2"/>
  <c r="U821" i="2"/>
  <c r="U1332" i="2"/>
  <c r="U1526" i="2"/>
  <c r="U1142" i="2"/>
  <c r="U1123" i="2"/>
  <c r="U932" i="2"/>
  <c r="U531" i="2"/>
  <c r="U911" i="2"/>
  <c r="U487" i="2"/>
  <c r="U1398" i="2"/>
  <c r="U1042" i="2"/>
  <c r="U813" i="2"/>
  <c r="U532" i="2"/>
  <c r="U1399" i="2"/>
  <c r="U577" i="2"/>
  <c r="U1046" i="2"/>
  <c r="U1271" i="2"/>
  <c r="U1113" i="2"/>
  <c r="U801" i="2"/>
  <c r="U152" i="2"/>
  <c r="U919" i="2"/>
  <c r="U908" i="2"/>
  <c r="U1335" i="2"/>
  <c r="U1463" i="2"/>
  <c r="U519" i="2"/>
  <c r="U1138" i="2"/>
  <c r="U4" i="2"/>
  <c r="U725" i="2"/>
  <c r="U924" i="2"/>
  <c r="U868" i="2"/>
  <c r="U1032" i="2"/>
  <c r="U781" i="2"/>
  <c r="U52" i="2"/>
  <c r="U778" i="2"/>
  <c r="U914" i="2"/>
  <c r="U678" i="2"/>
  <c r="U920" i="2"/>
  <c r="U887" i="2"/>
  <c r="U847" i="2"/>
  <c r="U734" i="2"/>
  <c r="U1038" i="2"/>
  <c r="U679" i="2"/>
  <c r="U658" i="2"/>
  <c r="U293" i="2"/>
  <c r="U921" i="2"/>
  <c r="U625" i="2"/>
  <c r="U626" i="2"/>
  <c r="U927" i="2"/>
  <c r="U590" i="2"/>
  <c r="U922" i="2"/>
  <c r="U666" i="2"/>
  <c r="U811" i="2"/>
  <c r="U929" i="2"/>
  <c r="U754" i="2"/>
  <c r="U1272" i="2"/>
  <c r="U770" i="2"/>
  <c r="U703" i="2"/>
  <c r="U1134" i="2"/>
  <c r="U848" i="2"/>
  <c r="U1444" i="2"/>
  <c r="U1035" i="2"/>
  <c r="U680" i="2"/>
  <c r="U1132" i="2"/>
  <c r="U859" i="2"/>
  <c r="U991" i="2"/>
  <c r="U1535" i="2"/>
  <c r="U1273" i="2"/>
  <c r="U878" i="2"/>
  <c r="U840" i="2"/>
  <c r="U1069" i="2"/>
  <c r="U662" i="2"/>
  <c r="U1484" i="2"/>
  <c r="U1128" i="2"/>
  <c r="U1176" i="2"/>
  <c r="U860" i="2"/>
  <c r="U1130" i="2"/>
  <c r="U148" i="2"/>
  <c r="U548" i="2"/>
  <c r="U1504" i="2"/>
  <c r="U606" i="2"/>
  <c r="U162" i="2"/>
  <c r="U51" i="2"/>
  <c r="U782" i="2"/>
  <c r="U53" i="2"/>
  <c r="U189" i="2"/>
  <c r="U1274" i="2"/>
  <c r="U1043" i="2"/>
  <c r="U852" i="2"/>
  <c r="U1152" i="2"/>
  <c r="U1114" i="2"/>
  <c r="U784" i="2"/>
  <c r="U853" i="2"/>
  <c r="U1464" i="2"/>
  <c r="U124" i="2"/>
  <c r="U923" i="2"/>
  <c r="U1732" i="2"/>
  <c r="U779" i="2"/>
  <c r="U258" i="2"/>
  <c r="U1741" i="2"/>
  <c r="U1177" i="2"/>
  <c r="U785" i="2"/>
  <c r="U1231" i="2"/>
  <c r="U915" i="2"/>
  <c r="U1483" i="2"/>
  <c r="U1372" i="2"/>
  <c r="U1275" i="2"/>
  <c r="U771" i="2"/>
  <c r="U802" i="2"/>
  <c r="U808" i="2"/>
  <c r="U1276" i="2"/>
  <c r="U1738" i="2"/>
  <c r="U1498" i="2"/>
  <c r="U1480" i="2"/>
  <c r="U866" i="2"/>
  <c r="U1455" i="2"/>
  <c r="U267" i="2"/>
  <c r="U1277" i="2"/>
  <c r="U542" i="2"/>
  <c r="U1503" i="2"/>
  <c r="U1278" i="2"/>
  <c r="U1172" i="2"/>
  <c r="U909" i="2"/>
  <c r="U1279" i="2"/>
  <c r="U1173" i="2"/>
  <c r="U930" i="2"/>
  <c r="U1412" i="2"/>
  <c r="U726" i="2"/>
  <c r="U243" i="2"/>
  <c r="U1166" i="2"/>
  <c r="U1734" i="2"/>
  <c r="U1731" i="2"/>
  <c r="U514" i="2"/>
  <c r="U101" i="2"/>
  <c r="U102" i="2"/>
  <c r="U1234" i="2"/>
  <c r="U809" i="2"/>
  <c r="U1167" i="2"/>
  <c r="U1227" i="2"/>
  <c r="U1313" i="2"/>
  <c r="U516" i="2"/>
  <c r="U1736" i="2"/>
  <c r="U1456" i="2"/>
  <c r="U1280" i="2"/>
  <c r="U1543" i="2"/>
  <c r="U1281" i="2"/>
  <c r="U505" i="2"/>
  <c r="U1740" i="2"/>
  <c r="U1416" i="2"/>
  <c r="U637" i="2"/>
  <c r="U1282" i="2"/>
  <c r="U1283" i="2"/>
  <c r="U1465" i="2"/>
  <c r="U1400" i="2"/>
  <c r="U1284" i="2"/>
  <c r="U1373" i="2"/>
  <c r="U1466" i="2"/>
  <c r="U1285" i="2"/>
  <c r="U1286" i="2"/>
  <c r="U488" i="2"/>
  <c r="U756" i="2"/>
  <c r="U757" i="2"/>
  <c r="U1287" i="2"/>
  <c r="U1417" i="2"/>
  <c r="U1180" i="2"/>
  <c r="U718" i="2"/>
  <c r="U1418" i="2"/>
  <c r="U492" i="2"/>
  <c r="U1288" i="2"/>
  <c r="U289" i="2"/>
  <c r="U1774" i="2"/>
  <c r="U1289" i="2"/>
  <c r="U581" i="2"/>
  <c r="U493" i="2"/>
  <c r="U1290" i="2"/>
  <c r="U1036" i="2"/>
  <c r="U489" i="2"/>
  <c r="U1291" i="2"/>
  <c r="U1292" i="2"/>
  <c r="U1293" i="2"/>
  <c r="U12" i="2"/>
  <c r="U1294" i="2"/>
  <c r="U1295" i="2"/>
  <c r="U1445" i="2"/>
  <c r="U506" i="2"/>
  <c r="U524" i="2"/>
  <c r="U494" i="2"/>
  <c r="U1296" i="2"/>
  <c r="U1775" i="2"/>
  <c r="U1297" i="2"/>
  <c r="U1776" i="2"/>
  <c r="U758" i="2"/>
  <c r="U1298" i="2"/>
  <c r="U1299" i="2"/>
  <c r="U925" i="2"/>
  <c r="U495" i="2"/>
  <c r="U500" i="2"/>
  <c r="U501" i="2"/>
  <c r="U1300" i="2"/>
  <c r="U1311" i="2"/>
  <c r="U129" i="2"/>
  <c r="U1301" i="2"/>
  <c r="U772" i="2"/>
  <c r="U773" i="2"/>
  <c r="U774" i="2"/>
  <c r="U775" i="2"/>
  <c r="U776" i="2"/>
  <c r="U591" i="2"/>
  <c r="U592" i="2"/>
  <c r="U789" i="2"/>
  <c r="U790" i="2"/>
  <c r="U791" i="2"/>
  <c r="U792" i="2"/>
  <c r="U793" i="2"/>
  <c r="U794" i="2"/>
  <c r="U795" i="2"/>
  <c r="U796" i="2"/>
  <c r="U797" i="2"/>
  <c r="U66" i="2"/>
  <c r="U290" i="2"/>
  <c r="U364" i="2"/>
  <c r="U365" i="2"/>
  <c r="U366" i="2"/>
  <c r="U367" i="2"/>
  <c r="U368" i="2"/>
  <c r="U804" i="2"/>
  <c r="U805" i="2"/>
  <c r="U70" i="2"/>
  <c r="U601" i="2"/>
  <c r="U602" i="2"/>
  <c r="U603" i="2"/>
  <c r="U604" i="2"/>
  <c r="U74" i="2"/>
  <c r="U75" i="2"/>
  <c r="U131" i="2"/>
  <c r="U1321" i="2"/>
  <c r="U1322" i="2"/>
  <c r="U1323" i="2"/>
  <c r="U1324" i="2"/>
  <c r="U1325" i="2"/>
  <c r="U1326" i="2"/>
  <c r="U1327" i="2"/>
  <c r="U1333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1336" i="2"/>
  <c r="U1337" i="2"/>
  <c r="U76" i="2"/>
  <c r="U77" i="2"/>
  <c r="U78" i="2"/>
  <c r="U79" i="2"/>
  <c r="U1340" i="2"/>
  <c r="U841" i="2"/>
  <c r="U842" i="2"/>
  <c r="U843" i="2"/>
  <c r="U844" i="2"/>
  <c r="U845" i="2"/>
  <c r="U81" i="2"/>
  <c r="U611" i="2"/>
  <c r="U612" i="2"/>
  <c r="U849" i="2"/>
  <c r="U372" i="2"/>
  <c r="U373" i="2"/>
  <c r="U374" i="2"/>
  <c r="U375" i="2"/>
  <c r="U376" i="2"/>
  <c r="U377" i="2"/>
  <c r="U378" i="2"/>
  <c r="U379" i="2"/>
  <c r="U380" i="2"/>
  <c r="U614" i="2"/>
  <c r="U627" i="2"/>
  <c r="U628" i="2"/>
  <c r="U629" i="2"/>
  <c r="U1345" i="2"/>
  <c r="U100" i="2"/>
  <c r="U1735" i="2"/>
  <c r="U543" i="2"/>
  <c r="U103" i="2"/>
  <c r="U302" i="2"/>
  <c r="U303" i="2"/>
  <c r="U304" i="2"/>
  <c r="U305" i="2"/>
  <c r="U306" i="2"/>
  <c r="U307" i="2"/>
  <c r="U308" i="2"/>
  <c r="U1544" i="2"/>
  <c r="U312" i="2"/>
  <c r="U313" i="2"/>
  <c r="U631" i="2"/>
  <c r="U1346" i="2"/>
  <c r="U1302" i="2"/>
  <c r="U1351" i="2"/>
  <c r="U1356" i="2"/>
  <c r="U1357" i="2"/>
  <c r="U1358" i="2"/>
  <c r="U1359" i="2"/>
  <c r="U1360" i="2"/>
  <c r="U509" i="2"/>
  <c r="U510" i="2"/>
  <c r="U1361" i="2"/>
  <c r="U869" i="2"/>
  <c r="U870" i="2"/>
  <c r="U871" i="2"/>
  <c r="U872" i="2"/>
  <c r="U873" i="2"/>
  <c r="U874" i="2"/>
  <c r="U875" i="2"/>
  <c r="U876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5" i="2"/>
  <c r="U126" i="2"/>
  <c r="U127" i="2"/>
  <c r="U128" i="2"/>
  <c r="U130" i="2"/>
  <c r="U1363" i="2"/>
  <c r="U1364" i="2"/>
  <c r="U1365" i="2"/>
  <c r="U1366" i="2"/>
  <c r="U1367" i="2"/>
  <c r="U550" i="2"/>
  <c r="U551" i="2"/>
  <c r="U552" i="2"/>
  <c r="U140" i="2"/>
  <c r="U553" i="2"/>
  <c r="U554" i="2"/>
  <c r="U555" i="2"/>
  <c r="U556" i="2"/>
  <c r="U634" i="2"/>
  <c r="U877" i="2"/>
  <c r="U142" i="2"/>
  <c r="U144" i="2"/>
  <c r="U1374" i="2"/>
  <c r="U1375" i="2"/>
  <c r="U1376" i="2"/>
  <c r="U557" i="2"/>
  <c r="U150" i="2"/>
  <c r="U879" i="2"/>
  <c r="U154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881" i="2"/>
  <c r="U882" i="2"/>
  <c r="U883" i="2"/>
  <c r="U888" i="2"/>
  <c r="U889" i="2"/>
  <c r="U1392" i="2"/>
  <c r="U1393" i="2"/>
  <c r="U899" i="2"/>
  <c r="U900" i="2"/>
  <c r="U901" i="2"/>
  <c r="U902" i="2"/>
  <c r="U903" i="2"/>
  <c r="U904" i="2"/>
  <c r="U1401" i="2"/>
  <c r="U1402" i="2"/>
  <c r="U1403" i="2"/>
  <c r="U1405" i="2"/>
  <c r="U1406" i="2"/>
  <c r="U1413" i="2"/>
  <c r="U1414" i="2"/>
  <c r="U638" i="2"/>
  <c r="U1419" i="2"/>
  <c r="U163" i="2"/>
  <c r="U164" i="2"/>
  <c r="U165" i="2"/>
  <c r="U166" i="2"/>
  <c r="U167" i="2"/>
  <c r="U168" i="2"/>
  <c r="U169" i="2"/>
  <c r="U170" i="2"/>
  <c r="U171" i="2"/>
  <c r="U172" i="2"/>
  <c r="U558" i="2"/>
  <c r="U559" i="2"/>
  <c r="U1422" i="2"/>
  <c r="U1423" i="2"/>
  <c r="U1424" i="2"/>
  <c r="U173" i="2"/>
  <c r="U174" i="2"/>
  <c r="U560" i="2"/>
  <c r="U175" i="2"/>
  <c r="U561" i="2"/>
  <c r="U645" i="2"/>
  <c r="U647" i="2"/>
  <c r="U182" i="2"/>
  <c r="U183" i="2"/>
  <c r="U1426" i="2"/>
  <c r="U650" i="2"/>
  <c r="U31" i="2"/>
  <c r="U186" i="2"/>
  <c r="U187" i="2"/>
  <c r="U188" i="2"/>
  <c r="U1433" i="2"/>
  <c r="U1438" i="2"/>
  <c r="U1439" i="2"/>
  <c r="U192" i="2"/>
  <c r="U1441" i="2"/>
  <c r="U334" i="2"/>
  <c r="U428" i="2"/>
  <c r="U429" i="2"/>
  <c r="U430" i="2"/>
  <c r="U431" i="2"/>
  <c r="U432" i="2"/>
  <c r="U433" i="2"/>
  <c r="U434" i="2"/>
  <c r="U435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92" i="2"/>
  <c r="U993" i="2"/>
  <c r="U994" i="2"/>
  <c r="U995" i="2"/>
  <c r="U996" i="2"/>
  <c r="U997" i="2"/>
  <c r="U998" i="2"/>
  <c r="U999" i="2"/>
  <c r="U1000" i="2"/>
  <c r="U1001" i="2"/>
  <c r="U1023" i="2"/>
  <c r="U1024" i="2"/>
  <c r="U1025" i="2"/>
  <c r="U1026" i="2"/>
  <c r="U1027" i="2"/>
  <c r="U1028" i="2"/>
  <c r="U652" i="2"/>
  <c r="U653" i="2"/>
  <c r="U659" i="2"/>
  <c r="U660" i="2"/>
  <c r="U1457" i="2"/>
  <c r="U1458" i="2"/>
  <c r="U663" i="2"/>
  <c r="U570" i="2"/>
  <c r="U195" i="2"/>
  <c r="U196" i="2"/>
  <c r="U197" i="2"/>
  <c r="U1467" i="2"/>
  <c r="U1468" i="2"/>
  <c r="U1469" i="2"/>
  <c r="U1470" i="2"/>
  <c r="U1471" i="2"/>
  <c r="U1472" i="2"/>
  <c r="U1473" i="2"/>
  <c r="U1474" i="2"/>
  <c r="U1475" i="2"/>
  <c r="U1476" i="2"/>
  <c r="U336" i="2"/>
  <c r="U337" i="2"/>
  <c r="U1478" i="2"/>
  <c r="U198" i="2"/>
  <c r="U199" i="2"/>
  <c r="U200" i="2"/>
  <c r="U201" i="2"/>
  <c r="U1481" i="2"/>
  <c r="U1482" i="2"/>
  <c r="U517" i="2"/>
  <c r="U1485" i="2"/>
  <c r="U1489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1491" i="2"/>
  <c r="U1049" i="2"/>
  <c r="U444" i="2"/>
  <c r="U1050" i="2"/>
  <c r="U1051" i="2"/>
  <c r="U1052" i="2"/>
  <c r="U445" i="2"/>
  <c r="U446" i="2"/>
  <c r="U447" i="2"/>
  <c r="U448" i="2"/>
  <c r="U449" i="2"/>
  <c r="U450" i="2"/>
  <c r="U451" i="2"/>
  <c r="U456" i="2"/>
  <c r="U457" i="2"/>
  <c r="U458" i="2"/>
  <c r="U1056" i="2"/>
  <c r="U1057" i="2"/>
  <c r="U1058" i="2"/>
  <c r="U228" i="2"/>
  <c r="U1059" i="2"/>
  <c r="U1060" i="2"/>
  <c r="U1061" i="2"/>
  <c r="U1062" i="2"/>
  <c r="U1063" i="2"/>
  <c r="U1064" i="2"/>
  <c r="U1065" i="2"/>
  <c r="U1066" i="2"/>
  <c r="U1067" i="2"/>
  <c r="U664" i="2"/>
  <c r="U1070" i="2"/>
  <c r="U1071" i="2"/>
  <c r="U229" i="2"/>
  <c r="U230" i="2"/>
  <c r="U231" i="2"/>
  <c r="U232" i="2"/>
  <c r="U233" i="2"/>
  <c r="U234" i="2"/>
  <c r="U235" i="2"/>
  <c r="U236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495" i="2"/>
  <c r="U1115" i="2"/>
  <c r="U1116" i="2"/>
  <c r="U1117" i="2"/>
  <c r="U1118" i="2"/>
  <c r="U1119" i="2"/>
  <c r="U239" i="2"/>
  <c r="U240" i="2"/>
  <c r="U241" i="2"/>
  <c r="U244" i="2"/>
  <c r="U1124" i="2"/>
  <c r="U1125" i="2"/>
  <c r="U1126" i="2"/>
  <c r="U459" i="2"/>
  <c r="U460" i="2"/>
  <c r="U245" i="2"/>
  <c r="U522" i="2"/>
  <c r="U462" i="2"/>
  <c r="U463" i="2"/>
  <c r="U464" i="2"/>
  <c r="U465" i="2"/>
  <c r="U466" i="2"/>
  <c r="U467" i="2"/>
  <c r="U468" i="2"/>
  <c r="U469" i="2"/>
  <c r="U470" i="2"/>
  <c r="U248" i="2"/>
  <c r="U681" i="2"/>
  <c r="U683" i="2"/>
  <c r="U525" i="2"/>
  <c r="U526" i="2"/>
  <c r="U527" i="2"/>
  <c r="U528" i="2"/>
  <c r="U1506" i="2"/>
  <c r="U1508" i="2"/>
  <c r="U688" i="2"/>
  <c r="U689" i="2"/>
  <c r="U690" i="2"/>
  <c r="U691" i="2"/>
  <c r="U692" i="2"/>
  <c r="U1509" i="2"/>
  <c r="U1510" i="2"/>
  <c r="U696" i="2"/>
  <c r="U249" i="2"/>
  <c r="U704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733" i="2"/>
  <c r="U255" i="2"/>
  <c r="U256" i="2"/>
  <c r="U571" i="2"/>
  <c r="U572" i="2"/>
  <c r="U1169" i="2"/>
  <c r="U351" i="2"/>
  <c r="U352" i="2"/>
  <c r="U1515" i="2"/>
  <c r="U1516" i="2"/>
  <c r="U1517" i="2"/>
  <c r="U1518" i="2"/>
  <c r="U1519" i="2"/>
  <c r="U708" i="2"/>
  <c r="U259" i="2"/>
  <c r="U260" i="2"/>
  <c r="U261" i="2"/>
  <c r="U262" i="2"/>
  <c r="U1242" i="2"/>
  <c r="U1243" i="2"/>
  <c r="U263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1244" i="2"/>
  <c r="U1527" i="2"/>
  <c r="U1528" i="2"/>
  <c r="U283" i="2"/>
  <c r="U1532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731" i="2"/>
  <c r="U732" i="2"/>
  <c r="U285" i="2"/>
  <c r="U286" i="2"/>
  <c r="U741" i="2"/>
  <c r="U742" i="2"/>
  <c r="U490" i="2"/>
  <c r="U743" i="2"/>
  <c r="U744" i="2"/>
  <c r="U535" i="2"/>
  <c r="U536" i="2"/>
  <c r="U537" i="2"/>
  <c r="U1536" i="2"/>
  <c r="U1537" i="2"/>
  <c r="U1538" i="2"/>
  <c r="U1197" i="2"/>
  <c r="U1198" i="2"/>
  <c r="U1199" i="2"/>
  <c r="U480" i="2"/>
  <c r="U1200" i="2"/>
  <c r="U1201" i="2"/>
  <c r="U1202" i="2"/>
  <c r="U1203" i="2"/>
  <c r="U1216" i="2"/>
  <c r="U1217" i="2"/>
  <c r="U1218" i="2"/>
  <c r="U1219" i="2"/>
  <c r="U1220" i="2"/>
  <c r="U1221" i="2"/>
  <c r="U1222" i="2"/>
  <c r="U1223" i="2"/>
  <c r="U1224" i="2"/>
  <c r="U1225" i="2"/>
  <c r="U750" i="2"/>
  <c r="U751" i="2"/>
  <c r="U752" i="2"/>
  <c r="U1739" i="2"/>
  <c r="U546" i="2"/>
  <c r="U547" i="2"/>
  <c r="U1542" i="2"/>
  <c r="U54" i="2"/>
  <c r="U1232" i="2"/>
  <c r="U1312" i="2"/>
  <c r="U1317" i="2"/>
  <c r="U1318" i="2"/>
  <c r="U1319" i="2"/>
  <c r="U1328" i="2"/>
  <c r="U1329" i="2"/>
  <c r="U1342" i="2"/>
  <c r="U1362" i="2"/>
  <c r="U1368" i="2"/>
  <c r="U787" i="2"/>
  <c r="U788" i="2"/>
  <c r="U61" i="2"/>
  <c r="U798" i="2"/>
  <c r="U1371" i="2"/>
  <c r="U850" i="2"/>
  <c r="U381" i="2"/>
  <c r="U382" i="2"/>
  <c r="U383" i="2"/>
  <c r="U384" i="2"/>
  <c r="U385" i="2"/>
  <c r="U386" i="2"/>
  <c r="U387" i="2"/>
  <c r="U388" i="2"/>
  <c r="U389" i="2"/>
  <c r="U390" i="2"/>
  <c r="U1379" i="2"/>
  <c r="U391" i="2"/>
  <c r="U392" i="2"/>
  <c r="U90" i="2"/>
  <c r="U91" i="2"/>
  <c r="U92" i="2"/>
  <c r="U93" i="2"/>
  <c r="U94" i="2"/>
  <c r="U95" i="2"/>
  <c r="U96" i="2"/>
  <c r="U97" i="2"/>
  <c r="U98" i="2"/>
  <c r="U618" i="2"/>
  <c r="U539" i="2"/>
  <c r="U710" i="2"/>
  <c r="U1239" i="2"/>
  <c r="U719" i="2"/>
  <c r="U529" i="2"/>
  <c r="U682" i="2"/>
  <c r="U616" i="2"/>
  <c r="U667" i="2"/>
  <c r="U705" i="2"/>
  <c r="U530" i="2"/>
  <c r="U582" i="2"/>
  <c r="U735" i="2"/>
  <c r="U62" i="2"/>
  <c r="U411" i="2"/>
  <c r="U184" i="2"/>
  <c r="U393" i="2"/>
  <c r="U439" i="2"/>
  <c r="U149" i="2"/>
  <c r="U71" i="2"/>
  <c r="U104" i="2"/>
  <c r="U132" i="2"/>
  <c r="U407" i="2"/>
  <c r="U481" i="2"/>
  <c r="U158" i="2"/>
  <c r="U251" i="2"/>
  <c r="U324" i="2"/>
  <c r="U325" i="2"/>
  <c r="U409" i="2"/>
  <c r="U326" i="2"/>
  <c r="U684" i="2"/>
  <c r="U155" i="2"/>
  <c r="U156" i="2"/>
  <c r="U707" i="2"/>
  <c r="U157" i="2"/>
  <c r="U58" i="2"/>
  <c r="U327" i="2"/>
  <c r="U912" i="2"/>
  <c r="U82" i="2"/>
  <c r="U354" i="2"/>
  <c r="U176" i="2"/>
  <c r="U80" i="2"/>
  <c r="U252" i="2"/>
  <c r="U412" i="2"/>
  <c r="U413" i="2"/>
  <c r="U414" i="2"/>
  <c r="U415" i="2"/>
  <c r="U136" i="2"/>
  <c r="U648" i="2"/>
  <c r="U410" i="2"/>
  <c r="U284" i="2"/>
  <c r="U436" i="2"/>
  <c r="U357" i="2"/>
  <c r="U471" i="2"/>
  <c r="U474" i="2"/>
  <c r="U651" i="2"/>
  <c r="U562" i="2"/>
  <c r="U563" i="2"/>
  <c r="U564" i="2"/>
  <c r="U565" i="2"/>
  <c r="U566" i="2"/>
  <c r="U461" i="2"/>
  <c r="U567" i="2"/>
  <c r="U568" i="2"/>
  <c r="U569" i="2"/>
  <c r="U1034" i="2"/>
  <c r="U287" i="2"/>
  <c r="U57" i="2"/>
  <c r="U1245" i="2"/>
  <c r="U84" i="2"/>
  <c r="U178" i="2"/>
  <c r="U59" i="2"/>
  <c r="U1545" i="2"/>
  <c r="U1452" i="2"/>
  <c r="U759" i="2"/>
  <c r="U1453" i="2"/>
  <c r="U1146" i="2"/>
  <c r="U1147" i="2"/>
  <c r="U1148" i="2"/>
  <c r="U1149" i="2"/>
  <c r="U697" i="2"/>
  <c r="U711" i="2"/>
  <c r="U720" i="2"/>
  <c r="U698" i="2"/>
  <c r="U617" i="2"/>
  <c r="U60" i="2"/>
  <c r="U733" i="2"/>
  <c r="U608" i="2"/>
  <c r="U609" i="2"/>
  <c r="U593" i="2"/>
  <c r="U613" i="2"/>
  <c r="U615" i="2"/>
  <c r="U1229" i="2"/>
  <c r="U1230" i="2"/>
  <c r="U649" i="2"/>
  <c r="U760" i="2"/>
  <c r="U761" i="2"/>
  <c r="U762" i="2"/>
  <c r="U763" i="2"/>
  <c r="U736" i="2"/>
  <c r="U745" i="2"/>
  <c r="U737" i="2"/>
  <c r="U721" i="2"/>
  <c r="U722" i="2"/>
  <c r="U699" i="2"/>
  <c r="U712" i="2"/>
  <c r="U619" i="2"/>
  <c r="U764" i="2"/>
  <c r="U765" i="2"/>
  <c r="U766" i="2"/>
  <c r="U291" i="2"/>
  <c r="U292" i="2"/>
  <c r="U534" i="2"/>
  <c r="U540" i="2"/>
  <c r="U541" i="2"/>
  <c r="U544" i="2"/>
  <c r="U545" i="2"/>
  <c r="U1236" i="2"/>
  <c r="U1237" i="2"/>
  <c r="U1238" i="2"/>
  <c r="U1240" i="2"/>
  <c r="U1246" i="2"/>
  <c r="U1247" i="2"/>
  <c r="U1252" i="2"/>
  <c r="U1486" i="2"/>
  <c r="U13" i="2"/>
  <c r="U1499" i="2"/>
  <c r="U1501" i="2"/>
  <c r="U1511" i="2"/>
  <c r="U1512" i="2"/>
  <c r="U1533" i="2"/>
  <c r="U1546" i="2"/>
  <c r="U1547" i="2"/>
  <c r="U1548" i="2"/>
  <c r="U1447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34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303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304" i="2"/>
  <c r="U1639" i="2"/>
  <c r="U1640" i="2"/>
  <c r="U1641" i="2"/>
  <c r="U1642" i="2"/>
  <c r="U1643" i="2"/>
  <c r="U1644" i="2"/>
  <c r="U1645" i="2"/>
  <c r="U1646" i="2"/>
  <c r="U1647" i="2"/>
  <c r="U1648" i="2"/>
  <c r="U14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42" i="2"/>
  <c r="U1743" i="2"/>
  <c r="U1744" i="2"/>
  <c r="U1745" i="2"/>
  <c r="U1746" i="2"/>
  <c r="U1747" i="2"/>
  <c r="U1748" i="2"/>
  <c r="U1749" i="2"/>
  <c r="U1737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7" i="2"/>
  <c r="U1781" i="2"/>
  <c r="U1782" i="2"/>
  <c r="U1783" i="2"/>
  <c r="U1784" i="2"/>
  <c r="U1785" i="2"/>
  <c r="U1730" i="2"/>
  <c r="U408" i="2"/>
  <c r="U482" i="2"/>
  <c r="U573" i="2"/>
  <c r="U1502" i="2"/>
  <c r="U1420" i="2"/>
  <c r="U1251" i="2"/>
  <c r="U122" i="2"/>
  <c r="U1338" i="2"/>
  <c r="U1429" i="2"/>
  <c r="U1235" i="2"/>
  <c r="U1314" i="2"/>
  <c r="U496" i="2"/>
  <c r="U491" i="2"/>
  <c r="U1404" i="2"/>
  <c r="U1477" i="2"/>
  <c r="U1432" i="2"/>
  <c r="U1487" i="2"/>
  <c r="U520" i="2"/>
  <c r="U521" i="2"/>
  <c r="U1002" i="2"/>
  <c r="U1003" i="2"/>
  <c r="U1004" i="2"/>
  <c r="U1005" i="2"/>
  <c r="U935" i="2"/>
  <c r="U25" i="2"/>
  <c r="U202" i="2"/>
  <c r="U72" i="2"/>
  <c r="U1072" i="2"/>
  <c r="U1073" i="2"/>
  <c r="U237" i="2"/>
  <c r="U177" i="2"/>
  <c r="U203" i="2"/>
  <c r="U1204" i="2"/>
  <c r="U369" i="2"/>
  <c r="U85" i="2"/>
  <c r="U204" i="2"/>
  <c r="U238" i="2"/>
  <c r="U394" i="2"/>
  <c r="U472" i="2"/>
  <c r="U473" i="2"/>
  <c r="U288" i="2"/>
  <c r="U253" i="2"/>
  <c r="U205" i="2"/>
  <c r="U185" i="2"/>
  <c r="U88" i="2"/>
  <c r="U890" i="2"/>
  <c r="U246" i="2"/>
  <c r="U63" i="2"/>
  <c r="U206" i="2"/>
  <c r="U83" i="2"/>
  <c r="U137" i="2"/>
  <c r="U207" i="2"/>
  <c r="U416" i="2"/>
  <c r="U330" i="2"/>
  <c r="U264" i="2"/>
  <c r="U1205" i="2"/>
  <c r="U395" i="2"/>
  <c r="U417" i="2"/>
  <c r="U65" i="2"/>
  <c r="U396" i="2"/>
  <c r="U208" i="2"/>
  <c r="U1206" i="2"/>
  <c r="U10" i="2"/>
  <c r="U1207" i="2"/>
  <c r="U1120" i="2"/>
  <c r="U1074" i="2"/>
  <c r="U1075" i="2"/>
  <c r="U1076" i="2"/>
  <c r="U891" i="2"/>
  <c r="U892" i="2"/>
  <c r="U14" i="2"/>
  <c r="U331" i="2"/>
  <c r="U884" i="2"/>
  <c r="U1208" i="2"/>
  <c r="U1209" i="2"/>
  <c r="U1210" i="2"/>
  <c r="U1121" i="2"/>
  <c r="U1211" i="2"/>
  <c r="U917" i="2"/>
  <c r="U1144" i="2"/>
  <c r="U1212" i="2"/>
  <c r="U1122" i="2"/>
  <c r="U179" i="2"/>
  <c r="U913" i="2"/>
  <c r="U89" i="2"/>
  <c r="U250" i="2"/>
  <c r="U315" i="2"/>
  <c r="U1145" i="2"/>
  <c r="U332" i="2"/>
  <c r="U333" i="2"/>
  <c r="U335" i="2"/>
  <c r="U193" i="2"/>
  <c r="U549" i="2"/>
  <c r="U814" i="2"/>
  <c r="U1033" i="2"/>
  <c r="U933" i="2"/>
  <c r="U24" i="2"/>
  <c r="U180" i="2"/>
  <c r="U17" i="2"/>
  <c r="U370" i="2"/>
  <c r="U1006" i="2"/>
  <c r="U1007" i="2"/>
  <c r="U73" i="2"/>
  <c r="U358" i="2"/>
  <c r="U837" i="2"/>
  <c r="U38" i="2"/>
  <c r="U359" i="2"/>
  <c r="U475" i="2"/>
  <c r="U194" i="2"/>
  <c r="U786" i="2"/>
  <c r="U476" i="2"/>
  <c r="U893" i="2"/>
  <c r="U39" i="2"/>
  <c r="U973" i="2"/>
  <c r="U316" i="2"/>
  <c r="U477" i="2"/>
  <c r="U478" i="2"/>
  <c r="U153" i="2"/>
  <c r="U479" i="2"/>
  <c r="U1053" i="2"/>
  <c r="U974" i="2"/>
  <c r="U815" i="2"/>
  <c r="U265" i="2"/>
  <c r="U1077" i="2"/>
  <c r="U317" i="2"/>
  <c r="U68" i="2"/>
  <c r="U33" i="2"/>
  <c r="U440" i="2"/>
  <c r="U1008" i="2"/>
  <c r="U339" i="2"/>
  <c r="U340" i="2"/>
  <c r="U975" i="2"/>
  <c r="U1009" i="2"/>
  <c r="U418" i="2"/>
  <c r="U133" i="2"/>
  <c r="U936" i="2"/>
  <c r="U937" i="2"/>
  <c r="U294" i="2"/>
  <c r="U1010" i="2"/>
  <c r="U318" i="2"/>
  <c r="U1011" i="2"/>
  <c r="U40" i="2"/>
  <c r="U360" i="2"/>
  <c r="U341" i="2"/>
  <c r="U1012" i="2"/>
  <c r="U1013" i="2"/>
  <c r="U1039" i="2"/>
  <c r="U1040" i="2"/>
  <c r="U361" i="2"/>
  <c r="U342" i="2"/>
  <c r="U938" i="2"/>
  <c r="U939" i="2"/>
  <c r="U362" i="2"/>
  <c r="U1014" i="2"/>
  <c r="U343" i="2"/>
  <c r="U319" i="2"/>
  <c r="U976" i="2"/>
  <c r="U940" i="2"/>
  <c r="U363" i="2"/>
  <c r="U328" i="2"/>
  <c r="U344" i="2"/>
  <c r="U329" i="2"/>
  <c r="U894" i="2"/>
  <c r="U816" i="2"/>
  <c r="U817" i="2"/>
  <c r="U190" i="2"/>
  <c r="U320" i="2"/>
  <c r="U345" i="2"/>
  <c r="U346" i="2"/>
  <c r="U441" i="2"/>
  <c r="U442" i="2"/>
  <c r="U443" i="2"/>
  <c r="U419" i="2"/>
  <c r="U420" i="2"/>
  <c r="U321" i="2"/>
  <c r="U347" i="2"/>
  <c r="U1015" i="2"/>
  <c r="U309" i="2"/>
  <c r="U322" i="2"/>
  <c r="U1016" i="2"/>
  <c r="U397" i="2"/>
  <c r="U1017" i="2"/>
  <c r="U421" i="2"/>
  <c r="U295" i="2"/>
  <c r="U437" i="2"/>
  <c r="U438" i="2"/>
  <c r="U348" i="2"/>
  <c r="U422" i="2"/>
  <c r="U941" i="2"/>
  <c r="U838" i="2"/>
  <c r="U452" i="2"/>
  <c r="U942" i="2"/>
  <c r="U1018" i="2"/>
  <c r="U453" i="2"/>
  <c r="U943" i="2"/>
  <c r="U323" i="2"/>
  <c r="U895" i="2"/>
  <c r="U454" i="2"/>
  <c r="U455" i="2"/>
  <c r="U247" i="2"/>
  <c r="U944" i="2"/>
  <c r="U945" i="2"/>
  <c r="U1108" i="2"/>
  <c r="U32" i="2"/>
  <c r="U254" i="2"/>
  <c r="U209" i="2"/>
  <c r="U818" i="2"/>
  <c r="U349" i="2"/>
  <c r="U398" i="2"/>
  <c r="U977" i="2"/>
  <c r="U1019" i="2"/>
  <c r="U1054" i="2"/>
  <c r="U423" i="2"/>
  <c r="U399" i="2"/>
  <c r="U946" i="2"/>
  <c r="U947" i="2"/>
  <c r="U978" i="2"/>
  <c r="U29" i="2"/>
  <c r="U979" i="2"/>
  <c r="U400" i="2"/>
  <c r="U1109" i="2"/>
  <c r="U350" i="2"/>
  <c r="U980" i="2"/>
  <c r="U981" i="2"/>
  <c r="U982" i="2"/>
  <c r="U983" i="2"/>
  <c r="U885" i="2"/>
  <c r="U296" i="2"/>
  <c r="U426" i="2"/>
  <c r="U984" i="2"/>
  <c r="U99" i="2"/>
  <c r="U355" i="2"/>
  <c r="U297" i="2"/>
  <c r="U69" i="2"/>
  <c r="U424" i="2"/>
  <c r="U141" i="2"/>
  <c r="U1213" i="2"/>
  <c r="U135" i="2"/>
  <c r="U985" i="2"/>
  <c r="U986" i="2"/>
  <c r="U403" i="2"/>
  <c r="U34" i="2"/>
  <c r="U404" i="2"/>
  <c r="U427" i="2"/>
  <c r="U405" i="2"/>
  <c r="U371" i="2"/>
  <c r="U406" i="2"/>
  <c r="U987" i="2"/>
  <c r="U425" i="2"/>
  <c r="U401" i="2"/>
  <c r="U298" i="2"/>
  <c r="U896" i="2"/>
  <c r="U159" i="2"/>
  <c r="U1078" i="2"/>
  <c r="U1079" i="2"/>
  <c r="U1080" i="2"/>
  <c r="U1081" i="2"/>
  <c r="U1082" i="2"/>
  <c r="U1083" i="2"/>
  <c r="U1084" i="2"/>
  <c r="U1085" i="2"/>
  <c r="U1086" i="2"/>
  <c r="U1087" i="2"/>
  <c r="U1088" i="2"/>
  <c r="U886" i="2"/>
  <c r="U402" i="2"/>
  <c r="U1089" i="2"/>
  <c r="U897" i="2"/>
  <c r="U338" i="2"/>
  <c r="U314" i="2"/>
  <c r="U1020" i="2"/>
  <c r="U1021" i="2"/>
  <c r="U299" i="2"/>
  <c r="U1110" i="2"/>
  <c r="U310" i="2"/>
  <c r="U356" i="2"/>
  <c r="U819" i="2"/>
  <c r="U988" i="2"/>
  <c r="U989" i="2"/>
  <c r="U160" i="2"/>
  <c r="U210" i="2"/>
  <c r="U300" i="2"/>
  <c r="U311" i="2"/>
  <c r="U301" i="2"/>
  <c r="U1214" i="2"/>
  <c r="U211" i="2"/>
  <c r="U212" i="2"/>
  <c r="U213" i="2"/>
  <c r="U1111" i="2"/>
  <c r="U105" i="2"/>
  <c r="U181" i="2"/>
  <c r="U35" i="2"/>
  <c r="U41" i="2"/>
  <c r="U635" i="2"/>
  <c r="U610" i="2"/>
  <c r="U685" i="2"/>
  <c r="U686" i="2"/>
  <c r="U655" i="2"/>
  <c r="U670" i="2"/>
  <c r="U671" i="2"/>
  <c r="U632" i="2"/>
  <c r="U672" i="2"/>
  <c r="U633" i="2"/>
  <c r="U595" i="2"/>
  <c r="U713" i="2"/>
  <c r="U714" i="2"/>
  <c r="U620" i="2"/>
  <c r="U738" i="2"/>
  <c r="U630" i="2"/>
  <c r="U687" i="2"/>
  <c r="U587" i="2"/>
  <c r="U709" i="2"/>
  <c r="U588" i="2"/>
  <c r="U693" i="2"/>
  <c r="U594" i="2"/>
  <c r="U596" i="2"/>
  <c r="U597" i="2"/>
  <c r="U598" i="2"/>
  <c r="U636" i="2"/>
  <c r="U656" i="2"/>
  <c r="U673" i="2"/>
  <c r="U674" i="2"/>
  <c r="U836" i="2"/>
  <c r="U37" i="2"/>
  <c r="U1541" i="2"/>
  <c r="U138" i="2"/>
  <c r="U139" i="2"/>
  <c r="U47" i="2"/>
  <c r="U30" i="2"/>
  <c r="U11" i="2"/>
  <c r="U26" i="2"/>
  <c r="U22" i="2"/>
  <c r="U23" i="2"/>
  <c r="U36" i="2"/>
  <c r="U21" i="2"/>
  <c r="U27" i="2"/>
  <c r="U1305" i="2"/>
  <c r="U1306" i="2"/>
  <c r="U1307" i="2"/>
  <c r="U143" i="2"/>
  <c r="U1308" i="2"/>
  <c r="U1442" i="2"/>
  <c r="U1539" i="2"/>
  <c r="U1309" i="2"/>
  <c r="U1507" i="2"/>
  <c r="U1407" i="2"/>
  <c r="U146" i="2"/>
  <c r="U753" i="2"/>
  <c r="U147" i="2"/>
  <c r="S1248" i="2"/>
  <c r="S6" i="2"/>
  <c r="S1233" i="2"/>
  <c r="S1250" i="2"/>
  <c r="S8" i="2"/>
  <c r="S9" i="2"/>
  <c r="S1249" i="2"/>
  <c r="S7" i="2"/>
  <c r="S538" i="2"/>
  <c r="S1253" i="2"/>
  <c r="S533" i="2"/>
  <c r="S19" i="2"/>
  <c r="S1370" i="2"/>
  <c r="S1409" i="2"/>
  <c r="S1534" i="2"/>
  <c r="S1440" i="2"/>
  <c r="S748" i="2"/>
  <c r="S1339" i="2"/>
  <c r="S599" i="2"/>
  <c r="S643" i="2"/>
  <c r="S1443" i="2"/>
  <c r="S1425" i="2"/>
  <c r="S1490" i="2"/>
  <c r="S861" i="2"/>
  <c r="S1347" i="2"/>
  <c r="S1348" i="2"/>
  <c r="S1492" i="2"/>
  <c r="S1529" i="2"/>
  <c r="S740" i="2"/>
  <c r="S1029" i="2"/>
  <c r="S1315" i="2"/>
  <c r="S1408" i="2"/>
  <c r="S1135" i="2"/>
  <c r="S1150" i="2"/>
  <c r="S706" i="2"/>
  <c r="S1343" i="2"/>
  <c r="S1435" i="2"/>
  <c r="S1436" i="2"/>
  <c r="S1449" i="2"/>
  <c r="S1450" i="2"/>
  <c r="S1352" i="2"/>
  <c r="S1513" i="2"/>
  <c r="S856" i="2"/>
  <c r="S668" i="2"/>
  <c r="S1530" i="2"/>
  <c r="S694" i="2"/>
  <c r="S1430" i="2"/>
  <c r="S700" i="2"/>
  <c r="S641" i="2"/>
  <c r="S1090" i="2"/>
  <c r="S583" i="2"/>
  <c r="S584" i="2"/>
  <c r="S1415" i="2"/>
  <c r="S727" i="2"/>
  <c r="S1139" i="2"/>
  <c r="S1355" i="2"/>
  <c r="S728" i="2"/>
  <c r="S511" i="2"/>
  <c r="S746" i="2"/>
  <c r="S639" i="2"/>
  <c r="S1778" i="2"/>
  <c r="S1437" i="2"/>
  <c r="S905" i="2"/>
  <c r="S1493" i="2"/>
  <c r="S1521" i="2"/>
  <c r="S1522" i="2"/>
  <c r="S1174" i="2"/>
  <c r="S578" i="2"/>
  <c r="S854" i="2"/>
  <c r="S1178" i="2"/>
  <c r="S863" i="2"/>
  <c r="S507" i="2"/>
  <c r="S1170" i="2"/>
  <c r="S820" i="2"/>
  <c r="S1523" i="2"/>
  <c r="S1524" i="2"/>
  <c r="S1141" i="2"/>
  <c r="S931" i="2"/>
  <c r="S910" i="2"/>
  <c r="S1394" i="2"/>
  <c r="S1395" i="2"/>
  <c r="S1041" i="2"/>
  <c r="S812" i="2"/>
  <c r="S1396" i="2"/>
  <c r="S28" i="2"/>
  <c r="S1044" i="2"/>
  <c r="S1112" i="2"/>
  <c r="S799" i="2"/>
  <c r="S151" i="2"/>
  <c r="S918" i="2"/>
  <c r="S1461" i="2"/>
  <c r="S518" i="2"/>
  <c r="S1137" i="2"/>
  <c r="S729" i="2"/>
  <c r="S867" i="2"/>
  <c r="S1031" i="2"/>
  <c r="S780" i="2"/>
  <c r="S777" i="2"/>
  <c r="S675" i="2"/>
  <c r="S1037" i="2"/>
  <c r="S676" i="2"/>
  <c r="S657" i="2"/>
  <c r="S623" i="2"/>
  <c r="S624" i="2"/>
  <c r="S926" i="2"/>
  <c r="S589" i="2"/>
  <c r="S665" i="2"/>
  <c r="S810" i="2"/>
  <c r="S928" i="2"/>
  <c r="S654" i="2"/>
  <c r="S523" i="2"/>
  <c r="S769" i="2"/>
  <c r="S702" i="2"/>
  <c r="S1133" i="2"/>
  <c r="S846" i="2"/>
  <c r="S677" i="2"/>
  <c r="S1131" i="2"/>
  <c r="S858" i="2"/>
  <c r="S1341" i="2"/>
  <c r="S1779" i="2"/>
  <c r="S1068" i="2"/>
  <c r="S661" i="2"/>
  <c r="S1127" i="2"/>
  <c r="S1129" i="2"/>
  <c r="S145" i="2"/>
  <c r="S1505" i="2"/>
  <c r="S605" i="2"/>
  <c r="S161" i="2"/>
  <c r="S191" i="2"/>
  <c r="S783" i="2"/>
  <c r="S851" i="2"/>
  <c r="S123" i="2"/>
  <c r="S257" i="2"/>
  <c r="S1143" i="2"/>
  <c r="S1780" i="2"/>
  <c r="S1496" i="2"/>
  <c r="S1497" i="2"/>
  <c r="S865" i="2"/>
  <c r="S1459" i="2"/>
  <c r="S266" i="2"/>
  <c r="S907" i="2"/>
  <c r="S1410" i="2"/>
  <c r="S1411" i="2"/>
  <c r="S730" i="2"/>
  <c r="S242" i="2"/>
  <c r="S513" i="2"/>
  <c r="S806" i="2"/>
  <c r="S1165" i="2"/>
  <c r="S1226" i="2"/>
  <c r="S1397" i="2"/>
  <c r="S515" i="2"/>
  <c r="S56" i="2"/>
  <c r="S1454" i="2"/>
  <c r="S1462" i="2"/>
  <c r="S502" i="2"/>
  <c r="S1254" i="2"/>
  <c r="S1310" i="2"/>
  <c r="S1334" i="2"/>
  <c r="S483" i="2"/>
  <c r="S16" i="2"/>
  <c r="S621" i="2"/>
  <c r="S574" i="2"/>
  <c r="S580" i="2"/>
  <c r="S2" i="2"/>
  <c r="S497" i="2"/>
  <c r="S503" i="2"/>
  <c r="S484" i="2"/>
  <c r="S1241" i="2"/>
  <c r="S18" i="2"/>
  <c r="S43" i="2"/>
  <c r="S45" i="2"/>
  <c r="S44" i="2"/>
  <c r="S504" i="2"/>
  <c r="S15" i="2"/>
  <c r="S1316" i="2"/>
  <c r="S46" i="2"/>
  <c r="S1255" i="2"/>
  <c r="S1256" i="2"/>
  <c r="S1257" i="2"/>
  <c r="S64" i="2"/>
  <c r="S1258" i="2"/>
  <c r="S646" i="2"/>
  <c r="S800" i="2"/>
  <c r="S498" i="2"/>
  <c r="S1428" i="2"/>
  <c r="S1460" i="2"/>
  <c r="S575" i="2"/>
  <c r="S67" i="2"/>
  <c r="S1500" i="2"/>
  <c r="S1369" i="2"/>
  <c r="S1377" i="2"/>
  <c r="S807" i="2"/>
  <c r="S1320" i="2"/>
  <c r="S48" i="2"/>
  <c r="S1520" i="2"/>
  <c r="S767" i="2"/>
  <c r="S768" i="2"/>
  <c r="S1022" i="2"/>
  <c r="S55" i="2"/>
  <c r="S749" i="2"/>
  <c r="S1055" i="2"/>
  <c r="S485" i="2"/>
  <c r="S1260" i="2"/>
  <c r="S839" i="2"/>
  <c r="S600" i="2"/>
  <c r="S644" i="2"/>
  <c r="S1261" i="2"/>
  <c r="S499" i="2"/>
  <c r="S1262" i="2"/>
  <c r="S1354" i="2"/>
  <c r="S715" i="2"/>
  <c r="S862" i="2"/>
  <c r="S1349" i="2"/>
  <c r="S1228" i="2"/>
  <c r="S1378" i="2"/>
  <c r="S1350" i="2"/>
  <c r="S934" i="2"/>
  <c r="S1446" i="2"/>
  <c r="S1215" i="2"/>
  <c r="S716" i="2"/>
  <c r="S739" i="2"/>
  <c r="S1030" i="2"/>
  <c r="S948" i="2"/>
  <c r="S1421" i="2"/>
  <c r="S717" i="2"/>
  <c r="S1045" i="2"/>
  <c r="S1263" i="2"/>
  <c r="S1488" i="2"/>
  <c r="S1264" i="2"/>
  <c r="S50" i="2"/>
  <c r="S1136" i="2"/>
  <c r="S1091" i="2"/>
  <c r="S1427" i="2"/>
  <c r="S1151" i="2"/>
  <c r="S576" i="2"/>
  <c r="S1344" i="2"/>
  <c r="S1047" i="2"/>
  <c r="S1048" i="2"/>
  <c r="S1265" i="2"/>
  <c r="S486" i="2"/>
  <c r="S49" i="2"/>
  <c r="S1330" i="2"/>
  <c r="S1434" i="2"/>
  <c r="S880" i="2"/>
  <c r="S1331" i="2"/>
  <c r="S1451" i="2"/>
  <c r="S1266" i="2"/>
  <c r="S1514" i="2"/>
  <c r="S1540" i="2"/>
  <c r="S1353" i="2"/>
  <c r="S857" i="2"/>
  <c r="S669" i="2"/>
  <c r="S1531" i="2"/>
  <c r="S695" i="2"/>
  <c r="S1431" i="2"/>
  <c r="S622" i="2"/>
  <c r="S607" i="2"/>
  <c r="S701" i="2"/>
  <c r="S642" i="2"/>
  <c r="S990" i="2"/>
  <c r="S5" i="2"/>
  <c r="S1092" i="2"/>
  <c r="S1168" i="2"/>
  <c r="S585" i="2"/>
  <c r="S586" i="2"/>
  <c r="S1267" i="2"/>
  <c r="S803" i="2"/>
  <c r="S723" i="2"/>
  <c r="S898" i="2"/>
  <c r="S1140" i="2"/>
  <c r="S1268" i="2"/>
  <c r="S1269" i="2"/>
  <c r="S724" i="2"/>
  <c r="S512" i="2"/>
  <c r="S747" i="2"/>
  <c r="S640" i="2"/>
  <c r="S353" i="2"/>
  <c r="S1479" i="2"/>
  <c r="S906" i="2"/>
  <c r="S1494" i="2"/>
  <c r="S1270" i="2"/>
  <c r="S3" i="2"/>
  <c r="S1525" i="2"/>
  <c r="S1175" i="2"/>
  <c r="S579" i="2"/>
  <c r="S855" i="2"/>
  <c r="S86" i="2"/>
  <c r="S1179" i="2"/>
  <c r="S864" i="2"/>
  <c r="S508" i="2"/>
  <c r="S755" i="2"/>
  <c r="S1171" i="2"/>
  <c r="S87" i="2"/>
  <c r="S916" i="2"/>
  <c r="S821" i="2"/>
  <c r="S1332" i="2"/>
  <c r="S1526" i="2"/>
  <c r="S1142" i="2"/>
  <c r="S1123" i="2"/>
  <c r="S932" i="2"/>
  <c r="S531" i="2"/>
  <c r="S911" i="2"/>
  <c r="S487" i="2"/>
  <c r="S1398" i="2"/>
  <c r="S1042" i="2"/>
  <c r="S813" i="2"/>
  <c r="S532" i="2"/>
  <c r="S1399" i="2"/>
  <c r="S577" i="2"/>
  <c r="S1046" i="2"/>
  <c r="S1271" i="2"/>
  <c r="S1113" i="2"/>
  <c r="S801" i="2"/>
  <c r="S152" i="2"/>
  <c r="S919" i="2"/>
  <c r="S908" i="2"/>
  <c r="S1335" i="2"/>
  <c r="S1463" i="2"/>
  <c r="S519" i="2"/>
  <c r="S1138" i="2"/>
  <c r="S4" i="2"/>
  <c r="S725" i="2"/>
  <c r="S924" i="2"/>
  <c r="S868" i="2"/>
  <c r="S1032" i="2"/>
  <c r="S781" i="2"/>
  <c r="S52" i="2"/>
  <c r="S778" i="2"/>
  <c r="S914" i="2"/>
  <c r="S678" i="2"/>
  <c r="S920" i="2"/>
  <c r="S887" i="2"/>
  <c r="S847" i="2"/>
  <c r="S734" i="2"/>
  <c r="S1038" i="2"/>
  <c r="S679" i="2"/>
  <c r="S658" i="2"/>
  <c r="S293" i="2"/>
  <c r="S921" i="2"/>
  <c r="S625" i="2"/>
  <c r="S626" i="2"/>
  <c r="S927" i="2"/>
  <c r="S590" i="2"/>
  <c r="S922" i="2"/>
  <c r="S666" i="2"/>
  <c r="S811" i="2"/>
  <c r="S929" i="2"/>
  <c r="S754" i="2"/>
  <c r="S1272" i="2"/>
  <c r="S770" i="2"/>
  <c r="S703" i="2"/>
  <c r="S1134" i="2"/>
  <c r="S848" i="2"/>
  <c r="S1444" i="2"/>
  <c r="S1035" i="2"/>
  <c r="S680" i="2"/>
  <c r="S1132" i="2"/>
  <c r="S859" i="2"/>
  <c r="S991" i="2"/>
  <c r="S1535" i="2"/>
  <c r="S1273" i="2"/>
  <c r="S878" i="2"/>
  <c r="S840" i="2"/>
  <c r="S1069" i="2"/>
  <c r="S662" i="2"/>
  <c r="S1484" i="2"/>
  <c r="S1128" i="2"/>
  <c r="S1176" i="2"/>
  <c r="S860" i="2"/>
  <c r="S1130" i="2"/>
  <c r="S148" i="2"/>
  <c r="S548" i="2"/>
  <c r="S1504" i="2"/>
  <c r="S606" i="2"/>
  <c r="S162" i="2"/>
  <c r="S51" i="2"/>
  <c r="S782" i="2"/>
  <c r="S53" i="2"/>
  <c r="S189" i="2"/>
  <c r="S1274" i="2"/>
  <c r="S1043" i="2"/>
  <c r="S852" i="2"/>
  <c r="S1152" i="2"/>
  <c r="S1114" i="2"/>
  <c r="S784" i="2"/>
  <c r="S853" i="2"/>
  <c r="S1464" i="2"/>
  <c r="S124" i="2"/>
  <c r="S923" i="2"/>
  <c r="S1732" i="2"/>
  <c r="S779" i="2"/>
  <c r="S258" i="2"/>
  <c r="S1741" i="2"/>
  <c r="S1177" i="2"/>
  <c r="S785" i="2"/>
  <c r="S1231" i="2"/>
  <c r="S915" i="2"/>
  <c r="S1483" i="2"/>
  <c r="S1372" i="2"/>
  <c r="S1275" i="2"/>
  <c r="S771" i="2"/>
  <c r="S802" i="2"/>
  <c r="S808" i="2"/>
  <c r="S1276" i="2"/>
  <c r="S1738" i="2"/>
  <c r="S1498" i="2"/>
  <c r="S1480" i="2"/>
  <c r="S866" i="2"/>
  <c r="S1455" i="2"/>
  <c r="S267" i="2"/>
  <c r="S1277" i="2"/>
  <c r="S542" i="2"/>
  <c r="S1503" i="2"/>
  <c r="S1278" i="2"/>
  <c r="S1172" i="2"/>
  <c r="S909" i="2"/>
  <c r="S1279" i="2"/>
  <c r="S1173" i="2"/>
  <c r="S930" i="2"/>
  <c r="S1412" i="2"/>
  <c r="S726" i="2"/>
  <c r="S243" i="2"/>
  <c r="S1166" i="2"/>
  <c r="S1734" i="2"/>
  <c r="S1731" i="2"/>
  <c r="S514" i="2"/>
  <c r="S101" i="2"/>
  <c r="S102" i="2"/>
  <c r="S1234" i="2"/>
  <c r="S809" i="2"/>
  <c r="S1167" i="2"/>
  <c r="S1227" i="2"/>
  <c r="S1313" i="2"/>
  <c r="S516" i="2"/>
  <c r="S1736" i="2"/>
  <c r="S1456" i="2"/>
  <c r="S1280" i="2"/>
  <c r="S1543" i="2"/>
  <c r="S1281" i="2"/>
  <c r="S505" i="2"/>
  <c r="S1740" i="2"/>
  <c r="S1416" i="2"/>
  <c r="S637" i="2"/>
  <c r="S1282" i="2"/>
  <c r="S1283" i="2"/>
  <c r="S1465" i="2"/>
  <c r="S1400" i="2"/>
  <c r="S1284" i="2"/>
  <c r="S1373" i="2"/>
  <c r="S1466" i="2"/>
  <c r="S1285" i="2"/>
  <c r="S1286" i="2"/>
  <c r="S488" i="2"/>
  <c r="S756" i="2"/>
  <c r="S757" i="2"/>
  <c r="S1287" i="2"/>
  <c r="S1417" i="2"/>
  <c r="S1180" i="2"/>
  <c r="S718" i="2"/>
  <c r="S1418" i="2"/>
  <c r="S492" i="2"/>
  <c r="S1288" i="2"/>
  <c r="S289" i="2"/>
  <c r="S1774" i="2"/>
  <c r="S1289" i="2"/>
  <c r="S581" i="2"/>
  <c r="S493" i="2"/>
  <c r="S1290" i="2"/>
  <c r="S1036" i="2"/>
  <c r="S489" i="2"/>
  <c r="S1291" i="2"/>
  <c r="S1292" i="2"/>
  <c r="S1293" i="2"/>
  <c r="S12" i="2"/>
  <c r="S1294" i="2"/>
  <c r="S1295" i="2"/>
  <c r="S1445" i="2"/>
  <c r="S506" i="2"/>
  <c r="S524" i="2"/>
  <c r="S494" i="2"/>
  <c r="S1296" i="2"/>
  <c r="S1775" i="2"/>
  <c r="S1297" i="2"/>
  <c r="S1776" i="2"/>
  <c r="S758" i="2"/>
  <c r="S1298" i="2"/>
  <c r="S1299" i="2"/>
  <c r="S925" i="2"/>
  <c r="S495" i="2"/>
  <c r="S500" i="2"/>
  <c r="S501" i="2"/>
  <c r="S1300" i="2"/>
  <c r="S1311" i="2"/>
  <c r="S129" i="2"/>
  <c r="S1301" i="2"/>
  <c r="S772" i="2"/>
  <c r="S773" i="2"/>
  <c r="S774" i="2"/>
  <c r="S775" i="2"/>
  <c r="S776" i="2"/>
  <c r="S591" i="2"/>
  <c r="S592" i="2"/>
  <c r="S789" i="2"/>
  <c r="S790" i="2"/>
  <c r="S791" i="2"/>
  <c r="S792" i="2"/>
  <c r="S793" i="2"/>
  <c r="S794" i="2"/>
  <c r="S795" i="2"/>
  <c r="S796" i="2"/>
  <c r="S797" i="2"/>
  <c r="S66" i="2"/>
  <c r="S290" i="2"/>
  <c r="S364" i="2"/>
  <c r="S365" i="2"/>
  <c r="S366" i="2"/>
  <c r="S367" i="2"/>
  <c r="S368" i="2"/>
  <c r="S804" i="2"/>
  <c r="S805" i="2"/>
  <c r="S70" i="2"/>
  <c r="S601" i="2"/>
  <c r="S602" i="2"/>
  <c r="S603" i="2"/>
  <c r="S604" i="2"/>
  <c r="S74" i="2"/>
  <c r="S75" i="2"/>
  <c r="S131" i="2"/>
  <c r="S1321" i="2"/>
  <c r="S1322" i="2"/>
  <c r="S1323" i="2"/>
  <c r="S1324" i="2"/>
  <c r="S1325" i="2"/>
  <c r="S1326" i="2"/>
  <c r="S1327" i="2"/>
  <c r="S1333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1336" i="2"/>
  <c r="S1337" i="2"/>
  <c r="S76" i="2"/>
  <c r="S77" i="2"/>
  <c r="S78" i="2"/>
  <c r="S79" i="2"/>
  <c r="S1340" i="2"/>
  <c r="S841" i="2"/>
  <c r="S842" i="2"/>
  <c r="S843" i="2"/>
  <c r="S844" i="2"/>
  <c r="S845" i="2"/>
  <c r="S81" i="2"/>
  <c r="S611" i="2"/>
  <c r="S612" i="2"/>
  <c r="S849" i="2"/>
  <c r="S372" i="2"/>
  <c r="S373" i="2"/>
  <c r="S374" i="2"/>
  <c r="S375" i="2"/>
  <c r="S376" i="2"/>
  <c r="S377" i="2"/>
  <c r="S378" i="2"/>
  <c r="S379" i="2"/>
  <c r="S380" i="2"/>
  <c r="S614" i="2"/>
  <c r="S627" i="2"/>
  <c r="S628" i="2"/>
  <c r="S629" i="2"/>
  <c r="S1345" i="2"/>
  <c r="S100" i="2"/>
  <c r="S1735" i="2"/>
  <c r="S543" i="2"/>
  <c r="S103" i="2"/>
  <c r="S302" i="2"/>
  <c r="S303" i="2"/>
  <c r="S304" i="2"/>
  <c r="S305" i="2"/>
  <c r="S306" i="2"/>
  <c r="S307" i="2"/>
  <c r="S308" i="2"/>
  <c r="S1544" i="2"/>
  <c r="S312" i="2"/>
  <c r="S313" i="2"/>
  <c r="S631" i="2"/>
  <c r="S1346" i="2"/>
  <c r="S1302" i="2"/>
  <c r="S1351" i="2"/>
  <c r="S1356" i="2"/>
  <c r="S1357" i="2"/>
  <c r="S1358" i="2"/>
  <c r="S1359" i="2"/>
  <c r="S1360" i="2"/>
  <c r="S509" i="2"/>
  <c r="S510" i="2"/>
  <c r="S1361" i="2"/>
  <c r="S869" i="2"/>
  <c r="S870" i="2"/>
  <c r="S871" i="2"/>
  <c r="S872" i="2"/>
  <c r="S873" i="2"/>
  <c r="S874" i="2"/>
  <c r="S875" i="2"/>
  <c r="S876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5" i="2"/>
  <c r="S126" i="2"/>
  <c r="S127" i="2"/>
  <c r="S128" i="2"/>
  <c r="S130" i="2"/>
  <c r="S1363" i="2"/>
  <c r="S1364" i="2"/>
  <c r="S1365" i="2"/>
  <c r="S1366" i="2"/>
  <c r="S1367" i="2"/>
  <c r="S550" i="2"/>
  <c r="S551" i="2"/>
  <c r="S552" i="2"/>
  <c r="S140" i="2"/>
  <c r="S553" i="2"/>
  <c r="S554" i="2"/>
  <c r="S555" i="2"/>
  <c r="S556" i="2"/>
  <c r="S634" i="2"/>
  <c r="S877" i="2"/>
  <c r="S142" i="2"/>
  <c r="S144" i="2"/>
  <c r="S1374" i="2"/>
  <c r="S1375" i="2"/>
  <c r="S1376" i="2"/>
  <c r="S557" i="2"/>
  <c r="S150" i="2"/>
  <c r="S879" i="2"/>
  <c r="S154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881" i="2"/>
  <c r="S882" i="2"/>
  <c r="S883" i="2"/>
  <c r="S888" i="2"/>
  <c r="S889" i="2"/>
  <c r="S1392" i="2"/>
  <c r="S1393" i="2"/>
  <c r="S899" i="2"/>
  <c r="S900" i="2"/>
  <c r="S901" i="2"/>
  <c r="S902" i="2"/>
  <c r="S903" i="2"/>
  <c r="S904" i="2"/>
  <c r="S1401" i="2"/>
  <c r="S1402" i="2"/>
  <c r="S1403" i="2"/>
  <c r="S1405" i="2"/>
  <c r="S1406" i="2"/>
  <c r="S1413" i="2"/>
  <c r="S1414" i="2"/>
  <c r="S638" i="2"/>
  <c r="S1419" i="2"/>
  <c r="S163" i="2"/>
  <c r="S164" i="2"/>
  <c r="S165" i="2"/>
  <c r="S166" i="2"/>
  <c r="S167" i="2"/>
  <c r="S168" i="2"/>
  <c r="S169" i="2"/>
  <c r="S170" i="2"/>
  <c r="S171" i="2"/>
  <c r="S172" i="2"/>
  <c r="S558" i="2"/>
  <c r="S559" i="2"/>
  <c r="S1422" i="2"/>
  <c r="S1423" i="2"/>
  <c r="S1424" i="2"/>
  <c r="S173" i="2"/>
  <c r="S174" i="2"/>
  <c r="S560" i="2"/>
  <c r="S175" i="2"/>
  <c r="S561" i="2"/>
  <c r="S645" i="2"/>
  <c r="S647" i="2"/>
  <c r="S182" i="2"/>
  <c r="S183" i="2"/>
  <c r="S1426" i="2"/>
  <c r="S650" i="2"/>
  <c r="S31" i="2"/>
  <c r="S186" i="2"/>
  <c r="S187" i="2"/>
  <c r="S188" i="2"/>
  <c r="S1433" i="2"/>
  <c r="S1438" i="2"/>
  <c r="S1439" i="2"/>
  <c r="S192" i="2"/>
  <c r="S1441" i="2"/>
  <c r="S334" i="2"/>
  <c r="S428" i="2"/>
  <c r="S429" i="2"/>
  <c r="S430" i="2"/>
  <c r="S431" i="2"/>
  <c r="S432" i="2"/>
  <c r="S433" i="2"/>
  <c r="S434" i="2"/>
  <c r="S435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92" i="2"/>
  <c r="S993" i="2"/>
  <c r="S994" i="2"/>
  <c r="S995" i="2"/>
  <c r="S996" i="2"/>
  <c r="S997" i="2"/>
  <c r="S998" i="2"/>
  <c r="S999" i="2"/>
  <c r="S1000" i="2"/>
  <c r="S1001" i="2"/>
  <c r="S1023" i="2"/>
  <c r="S1024" i="2"/>
  <c r="S1025" i="2"/>
  <c r="S1026" i="2"/>
  <c r="S1027" i="2"/>
  <c r="S1028" i="2"/>
  <c r="S652" i="2"/>
  <c r="S653" i="2"/>
  <c r="S659" i="2"/>
  <c r="S660" i="2"/>
  <c r="S1457" i="2"/>
  <c r="S1458" i="2"/>
  <c r="S663" i="2"/>
  <c r="S570" i="2"/>
  <c r="S195" i="2"/>
  <c r="S196" i="2"/>
  <c r="S197" i="2"/>
  <c r="S1467" i="2"/>
  <c r="S1468" i="2"/>
  <c r="S1469" i="2"/>
  <c r="S1470" i="2"/>
  <c r="S1471" i="2"/>
  <c r="S1472" i="2"/>
  <c r="S1473" i="2"/>
  <c r="S1474" i="2"/>
  <c r="S1475" i="2"/>
  <c r="S1476" i="2"/>
  <c r="S336" i="2"/>
  <c r="S337" i="2"/>
  <c r="S1478" i="2"/>
  <c r="S198" i="2"/>
  <c r="S199" i="2"/>
  <c r="S200" i="2"/>
  <c r="S201" i="2"/>
  <c r="S1481" i="2"/>
  <c r="S1482" i="2"/>
  <c r="S517" i="2"/>
  <c r="S1485" i="2"/>
  <c r="S1489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1491" i="2"/>
  <c r="S1049" i="2"/>
  <c r="S444" i="2"/>
  <c r="S1050" i="2"/>
  <c r="S1051" i="2"/>
  <c r="S1052" i="2"/>
  <c r="S445" i="2"/>
  <c r="S446" i="2"/>
  <c r="S447" i="2"/>
  <c r="S448" i="2"/>
  <c r="S449" i="2"/>
  <c r="S450" i="2"/>
  <c r="S451" i="2"/>
  <c r="S456" i="2"/>
  <c r="S457" i="2"/>
  <c r="S458" i="2"/>
  <c r="S1056" i="2"/>
  <c r="S1057" i="2"/>
  <c r="S1058" i="2"/>
  <c r="S228" i="2"/>
  <c r="S1059" i="2"/>
  <c r="S1060" i="2"/>
  <c r="S1061" i="2"/>
  <c r="S1062" i="2"/>
  <c r="S1063" i="2"/>
  <c r="S1064" i="2"/>
  <c r="S1065" i="2"/>
  <c r="S1066" i="2"/>
  <c r="S1067" i="2"/>
  <c r="S664" i="2"/>
  <c r="S1070" i="2"/>
  <c r="S1071" i="2"/>
  <c r="S229" i="2"/>
  <c r="S230" i="2"/>
  <c r="S231" i="2"/>
  <c r="S232" i="2"/>
  <c r="S233" i="2"/>
  <c r="S234" i="2"/>
  <c r="S235" i="2"/>
  <c r="S236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495" i="2"/>
  <c r="S1115" i="2"/>
  <c r="S1116" i="2"/>
  <c r="S1117" i="2"/>
  <c r="S1118" i="2"/>
  <c r="S1119" i="2"/>
  <c r="S239" i="2"/>
  <c r="S240" i="2"/>
  <c r="S241" i="2"/>
  <c r="S244" i="2"/>
  <c r="S1124" i="2"/>
  <c r="S1125" i="2"/>
  <c r="S1126" i="2"/>
  <c r="S459" i="2"/>
  <c r="S460" i="2"/>
  <c r="S245" i="2"/>
  <c r="S522" i="2"/>
  <c r="S462" i="2"/>
  <c r="S463" i="2"/>
  <c r="S464" i="2"/>
  <c r="S465" i="2"/>
  <c r="S466" i="2"/>
  <c r="S467" i="2"/>
  <c r="S468" i="2"/>
  <c r="S469" i="2"/>
  <c r="S470" i="2"/>
  <c r="S248" i="2"/>
  <c r="S681" i="2"/>
  <c r="S683" i="2"/>
  <c r="S525" i="2"/>
  <c r="S526" i="2"/>
  <c r="S527" i="2"/>
  <c r="S528" i="2"/>
  <c r="S1506" i="2"/>
  <c r="S1508" i="2"/>
  <c r="S688" i="2"/>
  <c r="S689" i="2"/>
  <c r="S690" i="2"/>
  <c r="S691" i="2"/>
  <c r="S692" i="2"/>
  <c r="S1509" i="2"/>
  <c r="S1510" i="2"/>
  <c r="S696" i="2"/>
  <c r="S249" i="2"/>
  <c r="S704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733" i="2"/>
  <c r="S255" i="2"/>
  <c r="S256" i="2"/>
  <c r="S571" i="2"/>
  <c r="S572" i="2"/>
  <c r="S1169" i="2"/>
  <c r="S351" i="2"/>
  <c r="S352" i="2"/>
  <c r="S1515" i="2"/>
  <c r="S1516" i="2"/>
  <c r="S1517" i="2"/>
  <c r="S1518" i="2"/>
  <c r="S1519" i="2"/>
  <c r="S708" i="2"/>
  <c r="S259" i="2"/>
  <c r="S260" i="2"/>
  <c r="S261" i="2"/>
  <c r="S262" i="2"/>
  <c r="S1242" i="2"/>
  <c r="S1243" i="2"/>
  <c r="S263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1244" i="2"/>
  <c r="S1527" i="2"/>
  <c r="S1528" i="2"/>
  <c r="S283" i="2"/>
  <c r="S1532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731" i="2"/>
  <c r="S732" i="2"/>
  <c r="S285" i="2"/>
  <c r="S286" i="2"/>
  <c r="S741" i="2"/>
  <c r="S742" i="2"/>
  <c r="S490" i="2"/>
  <c r="S743" i="2"/>
  <c r="S744" i="2"/>
  <c r="S535" i="2"/>
  <c r="S536" i="2"/>
  <c r="S537" i="2"/>
  <c r="S1536" i="2"/>
  <c r="S1537" i="2"/>
  <c r="S1538" i="2"/>
  <c r="S1197" i="2"/>
  <c r="S1198" i="2"/>
  <c r="S1199" i="2"/>
  <c r="S480" i="2"/>
  <c r="S1200" i="2"/>
  <c r="S1201" i="2"/>
  <c r="S1202" i="2"/>
  <c r="S1203" i="2"/>
  <c r="S1216" i="2"/>
  <c r="S1217" i="2"/>
  <c r="S1218" i="2"/>
  <c r="S1219" i="2"/>
  <c r="S1220" i="2"/>
  <c r="S1221" i="2"/>
  <c r="S1222" i="2"/>
  <c r="S1223" i="2"/>
  <c r="S1224" i="2"/>
  <c r="S1225" i="2"/>
  <c r="S750" i="2"/>
  <c r="S751" i="2"/>
  <c r="S752" i="2"/>
  <c r="S1739" i="2"/>
  <c r="S546" i="2"/>
  <c r="S547" i="2"/>
  <c r="S1542" i="2"/>
  <c r="S54" i="2"/>
  <c r="S1232" i="2"/>
  <c r="S1312" i="2"/>
  <c r="S1317" i="2"/>
  <c r="S1318" i="2"/>
  <c r="S1319" i="2"/>
  <c r="S1328" i="2"/>
  <c r="S1329" i="2"/>
  <c r="S1342" i="2"/>
  <c r="S1362" i="2"/>
  <c r="S1368" i="2"/>
  <c r="S787" i="2"/>
  <c r="S788" i="2"/>
  <c r="S61" i="2"/>
  <c r="S798" i="2"/>
  <c r="S1371" i="2"/>
  <c r="S850" i="2"/>
  <c r="S381" i="2"/>
  <c r="S382" i="2"/>
  <c r="S383" i="2"/>
  <c r="S384" i="2"/>
  <c r="S385" i="2"/>
  <c r="S386" i="2"/>
  <c r="S387" i="2"/>
  <c r="S388" i="2"/>
  <c r="S389" i="2"/>
  <c r="S390" i="2"/>
  <c r="S1379" i="2"/>
  <c r="S391" i="2"/>
  <c r="S392" i="2"/>
  <c r="S90" i="2"/>
  <c r="S91" i="2"/>
  <c r="S92" i="2"/>
  <c r="S93" i="2"/>
  <c r="S94" i="2"/>
  <c r="S95" i="2"/>
  <c r="S96" i="2"/>
  <c r="S97" i="2"/>
  <c r="S98" i="2"/>
  <c r="S618" i="2"/>
  <c r="S539" i="2"/>
  <c r="S710" i="2"/>
  <c r="S1239" i="2"/>
  <c r="S719" i="2"/>
  <c r="S529" i="2"/>
  <c r="S682" i="2"/>
  <c r="S616" i="2"/>
  <c r="S667" i="2"/>
  <c r="S705" i="2"/>
  <c r="S530" i="2"/>
  <c r="S582" i="2"/>
  <c r="S735" i="2"/>
  <c r="S62" i="2"/>
  <c r="S411" i="2"/>
  <c r="S184" i="2"/>
  <c r="S393" i="2"/>
  <c r="S439" i="2"/>
  <c r="S149" i="2"/>
  <c r="S71" i="2"/>
  <c r="S104" i="2"/>
  <c r="S132" i="2"/>
  <c r="S407" i="2"/>
  <c r="S481" i="2"/>
  <c r="S158" i="2"/>
  <c r="S251" i="2"/>
  <c r="S324" i="2"/>
  <c r="S325" i="2"/>
  <c r="S409" i="2"/>
  <c r="S326" i="2"/>
  <c r="S684" i="2"/>
  <c r="S155" i="2"/>
  <c r="S156" i="2"/>
  <c r="S707" i="2"/>
  <c r="S157" i="2"/>
  <c r="S58" i="2"/>
  <c r="S327" i="2"/>
  <c r="S912" i="2"/>
  <c r="S82" i="2"/>
  <c r="S354" i="2"/>
  <c r="S176" i="2"/>
  <c r="S80" i="2"/>
  <c r="S252" i="2"/>
  <c r="S412" i="2"/>
  <c r="S413" i="2"/>
  <c r="S414" i="2"/>
  <c r="S415" i="2"/>
  <c r="S136" i="2"/>
  <c r="S648" i="2"/>
  <c r="S410" i="2"/>
  <c r="S284" i="2"/>
  <c r="S436" i="2"/>
  <c r="S357" i="2"/>
  <c r="S471" i="2"/>
  <c r="S474" i="2"/>
  <c r="S651" i="2"/>
  <c r="S562" i="2"/>
  <c r="S563" i="2"/>
  <c r="S564" i="2"/>
  <c r="S565" i="2"/>
  <c r="S566" i="2"/>
  <c r="S461" i="2"/>
  <c r="S567" i="2"/>
  <c r="S568" i="2"/>
  <c r="S569" i="2"/>
  <c r="S1034" i="2"/>
  <c r="S287" i="2"/>
  <c r="S57" i="2"/>
  <c r="S1245" i="2"/>
  <c r="S84" i="2"/>
  <c r="S178" i="2"/>
  <c r="S59" i="2"/>
  <c r="S1545" i="2"/>
  <c r="S1452" i="2"/>
  <c r="S759" i="2"/>
  <c r="S1453" i="2"/>
  <c r="S1146" i="2"/>
  <c r="S1147" i="2"/>
  <c r="S1148" i="2"/>
  <c r="S1149" i="2"/>
  <c r="S697" i="2"/>
  <c r="S711" i="2"/>
  <c r="S720" i="2"/>
  <c r="S698" i="2"/>
  <c r="S617" i="2"/>
  <c r="S60" i="2"/>
  <c r="S733" i="2"/>
  <c r="S608" i="2"/>
  <c r="S609" i="2"/>
  <c r="S593" i="2"/>
  <c r="S613" i="2"/>
  <c r="S615" i="2"/>
  <c r="S1229" i="2"/>
  <c r="S1230" i="2"/>
  <c r="S649" i="2"/>
  <c r="S760" i="2"/>
  <c r="S761" i="2"/>
  <c r="S762" i="2"/>
  <c r="S763" i="2"/>
  <c r="S736" i="2"/>
  <c r="S745" i="2"/>
  <c r="S737" i="2"/>
  <c r="S721" i="2"/>
  <c r="S722" i="2"/>
  <c r="S699" i="2"/>
  <c r="S712" i="2"/>
  <c r="S619" i="2"/>
  <c r="S764" i="2"/>
  <c r="S765" i="2"/>
  <c r="S766" i="2"/>
  <c r="S291" i="2"/>
  <c r="S292" i="2"/>
  <c r="S534" i="2"/>
  <c r="S540" i="2"/>
  <c r="S541" i="2"/>
  <c r="S544" i="2"/>
  <c r="S545" i="2"/>
  <c r="S1236" i="2"/>
  <c r="S1237" i="2"/>
  <c r="S1238" i="2"/>
  <c r="S1240" i="2"/>
  <c r="S1246" i="2"/>
  <c r="S1247" i="2"/>
  <c r="S1252" i="2"/>
  <c r="S1486" i="2"/>
  <c r="S13" i="2"/>
  <c r="S1499" i="2"/>
  <c r="S1501" i="2"/>
  <c r="S1511" i="2"/>
  <c r="S1512" i="2"/>
  <c r="S1533" i="2"/>
  <c r="S1546" i="2"/>
  <c r="S1547" i="2"/>
  <c r="S1548" i="2"/>
  <c r="S1447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34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303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304" i="2"/>
  <c r="S1639" i="2"/>
  <c r="S1640" i="2"/>
  <c r="S1641" i="2"/>
  <c r="S1642" i="2"/>
  <c r="S1643" i="2"/>
  <c r="S1644" i="2"/>
  <c r="S1645" i="2"/>
  <c r="S1646" i="2"/>
  <c r="S1647" i="2"/>
  <c r="S1648" i="2"/>
  <c r="S14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42" i="2"/>
  <c r="S1743" i="2"/>
  <c r="S1744" i="2"/>
  <c r="S1745" i="2"/>
  <c r="S1746" i="2"/>
  <c r="S1747" i="2"/>
  <c r="S1748" i="2"/>
  <c r="S1749" i="2"/>
  <c r="S1737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7" i="2"/>
  <c r="S1781" i="2"/>
  <c r="S1782" i="2"/>
  <c r="S1783" i="2"/>
  <c r="S1784" i="2"/>
  <c r="S1785" i="2"/>
  <c r="S1730" i="2"/>
  <c r="S408" i="2"/>
  <c r="S482" i="2"/>
  <c r="S573" i="2"/>
  <c r="S1502" i="2"/>
  <c r="S1420" i="2"/>
  <c r="S1251" i="2"/>
  <c r="S122" i="2"/>
  <c r="S1338" i="2"/>
  <c r="S1429" i="2"/>
  <c r="S1235" i="2"/>
  <c r="S1314" i="2"/>
  <c r="S496" i="2"/>
  <c r="S491" i="2"/>
  <c r="S1404" i="2"/>
  <c r="S1477" i="2"/>
  <c r="S1432" i="2"/>
  <c r="S1487" i="2"/>
  <c r="S520" i="2"/>
  <c r="S521" i="2"/>
  <c r="S1002" i="2"/>
  <c r="S1003" i="2"/>
  <c r="S1004" i="2"/>
  <c r="S1005" i="2"/>
  <c r="S935" i="2"/>
  <c r="S25" i="2"/>
  <c r="S202" i="2"/>
  <c r="S72" i="2"/>
  <c r="S1072" i="2"/>
  <c r="S1073" i="2"/>
  <c r="S237" i="2"/>
  <c r="S177" i="2"/>
  <c r="S203" i="2"/>
  <c r="S1204" i="2"/>
  <c r="S369" i="2"/>
  <c r="S85" i="2"/>
  <c r="S204" i="2"/>
  <c r="S238" i="2"/>
  <c r="S394" i="2"/>
  <c r="S472" i="2"/>
  <c r="S473" i="2"/>
  <c r="S288" i="2"/>
  <c r="S253" i="2"/>
  <c r="S205" i="2"/>
  <c r="S185" i="2"/>
  <c r="S88" i="2"/>
  <c r="S890" i="2"/>
  <c r="S246" i="2"/>
  <c r="S63" i="2"/>
  <c r="S206" i="2"/>
  <c r="S83" i="2"/>
  <c r="S137" i="2"/>
  <c r="S207" i="2"/>
  <c r="S416" i="2"/>
  <c r="S330" i="2"/>
  <c r="S264" i="2"/>
  <c r="S1205" i="2"/>
  <c r="S395" i="2"/>
  <c r="S417" i="2"/>
  <c r="S65" i="2"/>
  <c r="S396" i="2"/>
  <c r="S208" i="2"/>
  <c r="S1206" i="2"/>
  <c r="S10" i="2"/>
  <c r="S1207" i="2"/>
  <c r="S1120" i="2"/>
  <c r="S1074" i="2"/>
  <c r="S1075" i="2"/>
  <c r="S1076" i="2"/>
  <c r="S891" i="2"/>
  <c r="S892" i="2"/>
  <c r="S14" i="2"/>
  <c r="S331" i="2"/>
  <c r="S884" i="2"/>
  <c r="S1208" i="2"/>
  <c r="S1209" i="2"/>
  <c r="S1210" i="2"/>
  <c r="S1121" i="2"/>
  <c r="S1211" i="2"/>
  <c r="S917" i="2"/>
  <c r="S1144" i="2"/>
  <c r="S1212" i="2"/>
  <c r="S1122" i="2"/>
  <c r="S179" i="2"/>
  <c r="S913" i="2"/>
  <c r="S89" i="2"/>
  <c r="S250" i="2"/>
  <c r="S315" i="2"/>
  <c r="S1145" i="2"/>
  <c r="S332" i="2"/>
  <c r="S333" i="2"/>
  <c r="S335" i="2"/>
  <c r="S193" i="2"/>
  <c r="S549" i="2"/>
  <c r="S814" i="2"/>
  <c r="S1033" i="2"/>
  <c r="S933" i="2"/>
  <c r="S24" i="2"/>
  <c r="S180" i="2"/>
  <c r="S17" i="2"/>
  <c r="S370" i="2"/>
  <c r="S1006" i="2"/>
  <c r="S1007" i="2"/>
  <c r="S73" i="2"/>
  <c r="S358" i="2"/>
  <c r="S837" i="2"/>
  <c r="S38" i="2"/>
  <c r="S359" i="2"/>
  <c r="S475" i="2"/>
  <c r="S194" i="2"/>
  <c r="S786" i="2"/>
  <c r="S476" i="2"/>
  <c r="S893" i="2"/>
  <c r="S39" i="2"/>
  <c r="S973" i="2"/>
  <c r="S316" i="2"/>
  <c r="S477" i="2"/>
  <c r="S478" i="2"/>
  <c r="S153" i="2"/>
  <c r="S479" i="2"/>
  <c r="S1053" i="2"/>
  <c r="S974" i="2"/>
  <c r="S815" i="2"/>
  <c r="S265" i="2"/>
  <c r="S1077" i="2"/>
  <c r="S317" i="2"/>
  <c r="S68" i="2"/>
  <c r="S33" i="2"/>
  <c r="S440" i="2"/>
  <c r="S1008" i="2"/>
  <c r="S339" i="2"/>
  <c r="S340" i="2"/>
  <c r="S975" i="2"/>
  <c r="S1009" i="2"/>
  <c r="S418" i="2"/>
  <c r="S133" i="2"/>
  <c r="S936" i="2"/>
  <c r="S937" i="2"/>
  <c r="S294" i="2"/>
  <c r="S1010" i="2"/>
  <c r="S318" i="2"/>
  <c r="S1011" i="2"/>
  <c r="S40" i="2"/>
  <c r="S360" i="2"/>
  <c r="S341" i="2"/>
  <c r="S1012" i="2"/>
  <c r="S1013" i="2"/>
  <c r="S1039" i="2"/>
  <c r="S1040" i="2"/>
  <c r="S361" i="2"/>
  <c r="S342" i="2"/>
  <c r="S938" i="2"/>
  <c r="S939" i="2"/>
  <c r="S362" i="2"/>
  <c r="S1014" i="2"/>
  <c r="S343" i="2"/>
  <c r="S319" i="2"/>
  <c r="S976" i="2"/>
  <c r="S940" i="2"/>
  <c r="S363" i="2"/>
  <c r="S328" i="2"/>
  <c r="S344" i="2"/>
  <c r="S329" i="2"/>
  <c r="S894" i="2"/>
  <c r="S816" i="2"/>
  <c r="S817" i="2"/>
  <c r="S190" i="2"/>
  <c r="S320" i="2"/>
  <c r="S345" i="2"/>
  <c r="S346" i="2"/>
  <c r="S441" i="2"/>
  <c r="S442" i="2"/>
  <c r="S443" i="2"/>
  <c r="S419" i="2"/>
  <c r="S420" i="2"/>
  <c r="S321" i="2"/>
  <c r="S347" i="2"/>
  <c r="S1015" i="2"/>
  <c r="S309" i="2"/>
  <c r="S322" i="2"/>
  <c r="S1016" i="2"/>
  <c r="S397" i="2"/>
  <c r="S1017" i="2"/>
  <c r="S421" i="2"/>
  <c r="S295" i="2"/>
  <c r="S437" i="2"/>
  <c r="S438" i="2"/>
  <c r="S348" i="2"/>
  <c r="S422" i="2"/>
  <c r="S941" i="2"/>
  <c r="S838" i="2"/>
  <c r="S452" i="2"/>
  <c r="S942" i="2"/>
  <c r="S1018" i="2"/>
  <c r="S453" i="2"/>
  <c r="S943" i="2"/>
  <c r="S323" i="2"/>
  <c r="S895" i="2"/>
  <c r="S454" i="2"/>
  <c r="S455" i="2"/>
  <c r="S247" i="2"/>
  <c r="S944" i="2"/>
  <c r="S945" i="2"/>
  <c r="S1108" i="2"/>
  <c r="S32" i="2"/>
  <c r="S254" i="2"/>
  <c r="S209" i="2"/>
  <c r="S818" i="2"/>
  <c r="S349" i="2"/>
  <c r="S398" i="2"/>
  <c r="S977" i="2"/>
  <c r="S1019" i="2"/>
  <c r="S1054" i="2"/>
  <c r="S423" i="2"/>
  <c r="S399" i="2"/>
  <c r="S946" i="2"/>
  <c r="S947" i="2"/>
  <c r="S978" i="2"/>
  <c r="S29" i="2"/>
  <c r="S979" i="2"/>
  <c r="S400" i="2"/>
  <c r="S1109" i="2"/>
  <c r="S350" i="2"/>
  <c r="S980" i="2"/>
  <c r="S981" i="2"/>
  <c r="S982" i="2"/>
  <c r="S983" i="2"/>
  <c r="S885" i="2"/>
  <c r="S296" i="2"/>
  <c r="S426" i="2"/>
  <c r="S984" i="2"/>
  <c r="S99" i="2"/>
  <c r="S355" i="2"/>
  <c r="S297" i="2"/>
  <c r="S69" i="2"/>
  <c r="S424" i="2"/>
  <c r="S141" i="2"/>
  <c r="S1213" i="2"/>
  <c r="S135" i="2"/>
  <c r="S985" i="2"/>
  <c r="S986" i="2"/>
  <c r="S403" i="2"/>
  <c r="S34" i="2"/>
  <c r="S404" i="2"/>
  <c r="S427" i="2"/>
  <c r="S405" i="2"/>
  <c r="S371" i="2"/>
  <c r="S406" i="2"/>
  <c r="S987" i="2"/>
  <c r="S425" i="2"/>
  <c r="S401" i="2"/>
  <c r="S298" i="2"/>
  <c r="S896" i="2"/>
  <c r="S159" i="2"/>
  <c r="S1078" i="2"/>
  <c r="S1079" i="2"/>
  <c r="S1080" i="2"/>
  <c r="S1081" i="2"/>
  <c r="S1082" i="2"/>
  <c r="S1083" i="2"/>
  <c r="S1084" i="2"/>
  <c r="S1085" i="2"/>
  <c r="S1086" i="2"/>
  <c r="S1087" i="2"/>
  <c r="S1088" i="2"/>
  <c r="S886" i="2"/>
  <c r="S402" i="2"/>
  <c r="S1089" i="2"/>
  <c r="S897" i="2"/>
  <c r="S338" i="2"/>
  <c r="S314" i="2"/>
  <c r="S1020" i="2"/>
  <c r="S1021" i="2"/>
  <c r="S299" i="2"/>
  <c r="S1110" i="2"/>
  <c r="S310" i="2"/>
  <c r="S356" i="2"/>
  <c r="S819" i="2"/>
  <c r="S988" i="2"/>
  <c r="S989" i="2"/>
  <c r="S160" i="2"/>
  <c r="S210" i="2"/>
  <c r="S300" i="2"/>
  <c r="S311" i="2"/>
  <c r="S301" i="2"/>
  <c r="S1214" i="2"/>
  <c r="S211" i="2"/>
  <c r="S212" i="2"/>
  <c r="S213" i="2"/>
  <c r="S1111" i="2"/>
  <c r="S105" i="2"/>
  <c r="S181" i="2"/>
  <c r="S35" i="2"/>
  <c r="S41" i="2"/>
  <c r="S635" i="2"/>
  <c r="S610" i="2"/>
  <c r="S685" i="2"/>
  <c r="S686" i="2"/>
  <c r="S655" i="2"/>
  <c r="S670" i="2"/>
  <c r="S671" i="2"/>
  <c r="S632" i="2"/>
  <c r="S672" i="2"/>
  <c r="S633" i="2"/>
  <c r="S595" i="2"/>
  <c r="S713" i="2"/>
  <c r="S714" i="2"/>
  <c r="S620" i="2"/>
  <c r="S738" i="2"/>
  <c r="S630" i="2"/>
  <c r="S687" i="2"/>
  <c r="S587" i="2"/>
  <c r="S709" i="2"/>
  <c r="S588" i="2"/>
  <c r="S693" i="2"/>
  <c r="S594" i="2"/>
  <c r="S596" i="2"/>
  <c r="S597" i="2"/>
  <c r="S598" i="2"/>
  <c r="S636" i="2"/>
  <c r="S656" i="2"/>
  <c r="S673" i="2"/>
  <c r="S674" i="2"/>
  <c r="S836" i="2"/>
  <c r="S37" i="2"/>
  <c r="S1541" i="2"/>
  <c r="S138" i="2"/>
  <c r="S139" i="2"/>
  <c r="S47" i="2"/>
  <c r="S30" i="2"/>
  <c r="S11" i="2"/>
  <c r="S26" i="2"/>
  <c r="S22" i="2"/>
  <c r="S23" i="2"/>
  <c r="S36" i="2"/>
  <c r="S21" i="2"/>
  <c r="S27" i="2"/>
  <c r="S1305" i="2"/>
  <c r="S1306" i="2"/>
  <c r="S1307" i="2"/>
  <c r="S143" i="2"/>
  <c r="S1308" i="2"/>
  <c r="S1442" i="2"/>
  <c r="S1539" i="2"/>
  <c r="S1309" i="2"/>
  <c r="S1507" i="2"/>
  <c r="S1407" i="2"/>
  <c r="S753" i="2"/>
  <c r="S147" i="2"/>
  <c r="Q1248" i="2"/>
  <c r="Q6" i="2"/>
  <c r="Q1233" i="2"/>
  <c r="Q1250" i="2"/>
  <c r="Q8" i="2"/>
  <c r="Q9" i="2"/>
  <c r="Q1249" i="2"/>
  <c r="Q7" i="2"/>
  <c r="Q538" i="2"/>
  <c r="Q1253" i="2"/>
  <c r="Q533" i="2"/>
  <c r="Q19" i="2"/>
  <c r="Q1370" i="2"/>
  <c r="Q1409" i="2"/>
  <c r="Q1534" i="2"/>
  <c r="Q1440" i="2"/>
  <c r="Q748" i="2"/>
  <c r="Q1339" i="2"/>
  <c r="Q599" i="2"/>
  <c r="Q643" i="2"/>
  <c r="Q1443" i="2"/>
  <c r="Q1425" i="2"/>
  <c r="Q1490" i="2"/>
  <c r="Q861" i="2"/>
  <c r="Q1347" i="2"/>
  <c r="Q1348" i="2"/>
  <c r="Q1492" i="2"/>
  <c r="Q1529" i="2"/>
  <c r="Q740" i="2"/>
  <c r="Q1029" i="2"/>
  <c r="Q1315" i="2"/>
  <c r="Q1408" i="2"/>
  <c r="Q1135" i="2"/>
  <c r="Q1150" i="2"/>
  <c r="Q706" i="2"/>
  <c r="Q1343" i="2"/>
  <c r="Q1435" i="2"/>
  <c r="Q1436" i="2"/>
  <c r="Q1449" i="2"/>
  <c r="Q1450" i="2"/>
  <c r="Q1352" i="2"/>
  <c r="Q1513" i="2"/>
  <c r="Q856" i="2"/>
  <c r="Q668" i="2"/>
  <c r="Q1530" i="2"/>
  <c r="Q694" i="2"/>
  <c r="Q1430" i="2"/>
  <c r="Q700" i="2"/>
  <c r="Q641" i="2"/>
  <c r="Q1090" i="2"/>
  <c r="Q583" i="2"/>
  <c r="Q584" i="2"/>
  <c r="Q1415" i="2"/>
  <c r="Q727" i="2"/>
  <c r="Q1139" i="2"/>
  <c r="Q1355" i="2"/>
  <c r="Q728" i="2"/>
  <c r="Q511" i="2"/>
  <c r="Q746" i="2"/>
  <c r="Q639" i="2"/>
  <c r="Q1778" i="2"/>
  <c r="Q1437" i="2"/>
  <c r="Q905" i="2"/>
  <c r="Q1493" i="2"/>
  <c r="Q1521" i="2"/>
  <c r="Q1522" i="2"/>
  <c r="Q1174" i="2"/>
  <c r="Q578" i="2"/>
  <c r="Q854" i="2"/>
  <c r="Q1178" i="2"/>
  <c r="Q863" i="2"/>
  <c r="Q507" i="2"/>
  <c r="Q1170" i="2"/>
  <c r="Q820" i="2"/>
  <c r="Q1523" i="2"/>
  <c r="Q1524" i="2"/>
  <c r="Q1141" i="2"/>
  <c r="Q931" i="2"/>
  <c r="Q910" i="2"/>
  <c r="Q1394" i="2"/>
  <c r="Q1395" i="2"/>
  <c r="Q1041" i="2"/>
  <c r="Q812" i="2"/>
  <c r="Q1396" i="2"/>
  <c r="Q28" i="2"/>
  <c r="Q1044" i="2"/>
  <c r="Q1112" i="2"/>
  <c r="Q799" i="2"/>
  <c r="Q151" i="2"/>
  <c r="Q918" i="2"/>
  <c r="Q1461" i="2"/>
  <c r="Q518" i="2"/>
  <c r="Q1137" i="2"/>
  <c r="Q729" i="2"/>
  <c r="Q867" i="2"/>
  <c r="Q1031" i="2"/>
  <c r="Q780" i="2"/>
  <c r="Q777" i="2"/>
  <c r="Q675" i="2"/>
  <c r="Q1037" i="2"/>
  <c r="Q676" i="2"/>
  <c r="Q657" i="2"/>
  <c r="Q623" i="2"/>
  <c r="Q624" i="2"/>
  <c r="Q926" i="2"/>
  <c r="Q589" i="2"/>
  <c r="Q665" i="2"/>
  <c r="Q810" i="2"/>
  <c r="Q928" i="2"/>
  <c r="Q654" i="2"/>
  <c r="Q523" i="2"/>
  <c r="Q769" i="2"/>
  <c r="Q702" i="2"/>
  <c r="Q1133" i="2"/>
  <c r="Q846" i="2"/>
  <c r="Q677" i="2"/>
  <c r="Q1131" i="2"/>
  <c r="Q858" i="2"/>
  <c r="Q1341" i="2"/>
  <c r="Q1779" i="2"/>
  <c r="Q1068" i="2"/>
  <c r="Q661" i="2"/>
  <c r="Q1127" i="2"/>
  <c r="Q1129" i="2"/>
  <c r="Q145" i="2"/>
  <c r="Q1505" i="2"/>
  <c r="Q605" i="2"/>
  <c r="Q161" i="2"/>
  <c r="Q191" i="2"/>
  <c r="Q783" i="2"/>
  <c r="Q851" i="2"/>
  <c r="Q123" i="2"/>
  <c r="Q257" i="2"/>
  <c r="Q1143" i="2"/>
  <c r="Q1780" i="2"/>
  <c r="Q1496" i="2"/>
  <c r="Q1497" i="2"/>
  <c r="Q865" i="2"/>
  <c r="Q1459" i="2"/>
  <c r="Q266" i="2"/>
  <c r="Q907" i="2"/>
  <c r="Q1410" i="2"/>
  <c r="Q1411" i="2"/>
  <c r="Q730" i="2"/>
  <c r="Q242" i="2"/>
  <c r="Q513" i="2"/>
  <c r="Q806" i="2"/>
  <c r="Q1165" i="2"/>
  <c r="Q1226" i="2"/>
  <c r="Q1397" i="2"/>
  <c r="Q515" i="2"/>
  <c r="Q56" i="2"/>
  <c r="Q1454" i="2"/>
  <c r="Q1462" i="2"/>
  <c r="Q502" i="2"/>
  <c r="Q1254" i="2"/>
  <c r="Q1310" i="2"/>
  <c r="Q1334" i="2"/>
  <c r="Q483" i="2"/>
  <c r="Q16" i="2"/>
  <c r="Q621" i="2"/>
  <c r="Q574" i="2"/>
  <c r="Q580" i="2"/>
  <c r="Q2" i="2"/>
  <c r="Q497" i="2"/>
  <c r="Q503" i="2"/>
  <c r="Q484" i="2"/>
  <c r="Q1241" i="2"/>
  <c r="Q18" i="2"/>
  <c r="Q43" i="2"/>
  <c r="Q45" i="2"/>
  <c r="Q44" i="2"/>
  <c r="Q504" i="2"/>
  <c r="Q15" i="2"/>
  <c r="Q1316" i="2"/>
  <c r="Q46" i="2"/>
  <c r="Q1255" i="2"/>
  <c r="Q1256" i="2"/>
  <c r="Q1257" i="2"/>
  <c r="Q64" i="2"/>
  <c r="Q1258" i="2"/>
  <c r="Q646" i="2"/>
  <c r="Q800" i="2"/>
  <c r="Q498" i="2"/>
  <c r="Q1428" i="2"/>
  <c r="Q1460" i="2"/>
  <c r="Q575" i="2"/>
  <c r="Q67" i="2"/>
  <c r="Q1500" i="2"/>
  <c r="Q1369" i="2"/>
  <c r="Q1377" i="2"/>
  <c r="Q807" i="2"/>
  <c r="Q1320" i="2"/>
  <c r="Q48" i="2"/>
  <c r="Q1520" i="2"/>
  <c r="Q767" i="2"/>
  <c r="Q768" i="2"/>
  <c r="Q1022" i="2"/>
  <c r="Q55" i="2"/>
  <c r="Q749" i="2"/>
  <c r="Q1055" i="2"/>
  <c r="Q485" i="2"/>
  <c r="Q1260" i="2"/>
  <c r="Q839" i="2"/>
  <c r="Q600" i="2"/>
  <c r="Q644" i="2"/>
  <c r="Q1261" i="2"/>
  <c r="Q499" i="2"/>
  <c r="Q1262" i="2"/>
  <c r="Q1354" i="2"/>
  <c r="Q715" i="2"/>
  <c r="Q862" i="2"/>
  <c r="Q1349" i="2"/>
  <c r="Q1228" i="2"/>
  <c r="Q1378" i="2"/>
  <c r="Q1350" i="2"/>
  <c r="Q934" i="2"/>
  <c r="Q1446" i="2"/>
  <c r="Q1215" i="2"/>
  <c r="Q716" i="2"/>
  <c r="Q739" i="2"/>
  <c r="Q1030" i="2"/>
  <c r="Q948" i="2"/>
  <c r="Q1421" i="2"/>
  <c r="Q717" i="2"/>
  <c r="Q1045" i="2"/>
  <c r="Q1263" i="2"/>
  <c r="Q1488" i="2"/>
  <c r="Q1264" i="2"/>
  <c r="Q50" i="2"/>
  <c r="Q1136" i="2"/>
  <c r="Q1091" i="2"/>
  <c r="Q1427" i="2"/>
  <c r="Q1151" i="2"/>
  <c r="Q576" i="2"/>
  <c r="Q1344" i="2"/>
  <c r="Q1047" i="2"/>
  <c r="Q1048" i="2"/>
  <c r="Q1265" i="2"/>
  <c r="Q486" i="2"/>
  <c r="Q49" i="2"/>
  <c r="Q1330" i="2"/>
  <c r="Q1434" i="2"/>
  <c r="Q880" i="2"/>
  <c r="Q1331" i="2"/>
  <c r="Q1451" i="2"/>
  <c r="Q1266" i="2"/>
  <c r="Q1514" i="2"/>
  <c r="Q1540" i="2"/>
  <c r="Q1353" i="2"/>
  <c r="Q857" i="2"/>
  <c r="Q669" i="2"/>
  <c r="Q1531" i="2"/>
  <c r="Q695" i="2"/>
  <c r="Q1431" i="2"/>
  <c r="Q622" i="2"/>
  <c r="Q607" i="2"/>
  <c r="Q701" i="2"/>
  <c r="Q642" i="2"/>
  <c r="Q990" i="2"/>
  <c r="Q5" i="2"/>
  <c r="Q1092" i="2"/>
  <c r="Q1168" i="2"/>
  <c r="Q585" i="2"/>
  <c r="Q586" i="2"/>
  <c r="Q1267" i="2"/>
  <c r="Q803" i="2"/>
  <c r="Q723" i="2"/>
  <c r="Q898" i="2"/>
  <c r="Q1140" i="2"/>
  <c r="Q1268" i="2"/>
  <c r="Q1269" i="2"/>
  <c r="Q724" i="2"/>
  <c r="Q512" i="2"/>
  <c r="Q747" i="2"/>
  <c r="Q640" i="2"/>
  <c r="Q353" i="2"/>
  <c r="Q1479" i="2"/>
  <c r="Q906" i="2"/>
  <c r="Q1494" i="2"/>
  <c r="Q1270" i="2"/>
  <c r="Q3" i="2"/>
  <c r="Q1525" i="2"/>
  <c r="Q1175" i="2"/>
  <c r="Q579" i="2"/>
  <c r="Q855" i="2"/>
  <c r="Q86" i="2"/>
  <c r="Q1179" i="2"/>
  <c r="Q864" i="2"/>
  <c r="Q508" i="2"/>
  <c r="Q755" i="2"/>
  <c r="Q1171" i="2"/>
  <c r="Q87" i="2"/>
  <c r="Q916" i="2"/>
  <c r="Q821" i="2"/>
  <c r="Q1332" i="2"/>
  <c r="Q1526" i="2"/>
  <c r="Q1142" i="2"/>
  <c r="Q1123" i="2"/>
  <c r="Q932" i="2"/>
  <c r="Q531" i="2"/>
  <c r="Q911" i="2"/>
  <c r="Q487" i="2"/>
  <c r="Q1398" i="2"/>
  <c r="Q1042" i="2"/>
  <c r="Q813" i="2"/>
  <c r="Q532" i="2"/>
  <c r="Q1399" i="2"/>
  <c r="Q577" i="2"/>
  <c r="Q1046" i="2"/>
  <c r="Q1271" i="2"/>
  <c r="Q1113" i="2"/>
  <c r="Q801" i="2"/>
  <c r="Q152" i="2"/>
  <c r="Q919" i="2"/>
  <c r="Q908" i="2"/>
  <c r="Q1335" i="2"/>
  <c r="Q1463" i="2"/>
  <c r="Q519" i="2"/>
  <c r="Q1138" i="2"/>
  <c r="Q4" i="2"/>
  <c r="Q725" i="2"/>
  <c r="Q924" i="2"/>
  <c r="Q868" i="2"/>
  <c r="Q1032" i="2"/>
  <c r="Q781" i="2"/>
  <c r="Q52" i="2"/>
  <c r="Q778" i="2"/>
  <c r="Q914" i="2"/>
  <c r="Q678" i="2"/>
  <c r="Q920" i="2"/>
  <c r="Q887" i="2"/>
  <c r="Q847" i="2"/>
  <c r="Q734" i="2"/>
  <c r="Q1038" i="2"/>
  <c r="Q679" i="2"/>
  <c r="Q658" i="2"/>
  <c r="Q293" i="2"/>
  <c r="Q921" i="2"/>
  <c r="Q625" i="2"/>
  <c r="Q626" i="2"/>
  <c r="Q927" i="2"/>
  <c r="Q590" i="2"/>
  <c r="Q922" i="2"/>
  <c r="Q666" i="2"/>
  <c r="Q811" i="2"/>
  <c r="Q929" i="2"/>
  <c r="Q754" i="2"/>
  <c r="Q1272" i="2"/>
  <c r="Q770" i="2"/>
  <c r="Q703" i="2"/>
  <c r="Q1134" i="2"/>
  <c r="Q848" i="2"/>
  <c r="Q1444" i="2"/>
  <c r="Q1035" i="2"/>
  <c r="Q680" i="2"/>
  <c r="Q1132" i="2"/>
  <c r="Q859" i="2"/>
  <c r="Q991" i="2"/>
  <c r="Q1535" i="2"/>
  <c r="Q1273" i="2"/>
  <c r="Q878" i="2"/>
  <c r="Q840" i="2"/>
  <c r="Q1069" i="2"/>
  <c r="Q662" i="2"/>
  <c r="Q1484" i="2"/>
  <c r="Q1128" i="2"/>
  <c r="Q1176" i="2"/>
  <c r="Q860" i="2"/>
  <c r="Q1130" i="2"/>
  <c r="Q148" i="2"/>
  <c r="Q548" i="2"/>
  <c r="Q1504" i="2"/>
  <c r="Q606" i="2"/>
  <c r="Q162" i="2"/>
  <c r="Q51" i="2"/>
  <c r="Q782" i="2"/>
  <c r="Q53" i="2"/>
  <c r="Q189" i="2"/>
  <c r="Q1274" i="2"/>
  <c r="Q1043" i="2"/>
  <c r="Q852" i="2"/>
  <c r="Q1152" i="2"/>
  <c r="Q1114" i="2"/>
  <c r="Q784" i="2"/>
  <c r="Q853" i="2"/>
  <c r="Q1464" i="2"/>
  <c r="Q124" i="2"/>
  <c r="Q923" i="2"/>
  <c r="Q1732" i="2"/>
  <c r="Q779" i="2"/>
  <c r="Q258" i="2"/>
  <c r="Q1741" i="2"/>
  <c r="Q1177" i="2"/>
  <c r="Q785" i="2"/>
  <c r="Q1231" i="2"/>
  <c r="Q915" i="2"/>
  <c r="Q1483" i="2"/>
  <c r="Q1372" i="2"/>
  <c r="Q1275" i="2"/>
  <c r="Q771" i="2"/>
  <c r="Q802" i="2"/>
  <c r="Q808" i="2"/>
  <c r="Q1276" i="2"/>
  <c r="Q1738" i="2"/>
  <c r="Q1498" i="2"/>
  <c r="Q1480" i="2"/>
  <c r="Q866" i="2"/>
  <c r="Q1455" i="2"/>
  <c r="Q267" i="2"/>
  <c r="Q1277" i="2"/>
  <c r="Q542" i="2"/>
  <c r="Q1503" i="2"/>
  <c r="Q1278" i="2"/>
  <c r="Q1172" i="2"/>
  <c r="Q909" i="2"/>
  <c r="Q1279" i="2"/>
  <c r="Q1173" i="2"/>
  <c r="Q930" i="2"/>
  <c r="Q1412" i="2"/>
  <c r="Q726" i="2"/>
  <c r="Q243" i="2"/>
  <c r="Q1166" i="2"/>
  <c r="Q1734" i="2"/>
  <c r="Q1731" i="2"/>
  <c r="Q514" i="2"/>
  <c r="Q101" i="2"/>
  <c r="Q102" i="2"/>
  <c r="Q1234" i="2"/>
  <c r="Q809" i="2"/>
  <c r="Q1167" i="2"/>
  <c r="Q1227" i="2"/>
  <c r="Q1313" i="2"/>
  <c r="Q516" i="2"/>
  <c r="Q1736" i="2"/>
  <c r="Q1456" i="2"/>
  <c r="Q1280" i="2"/>
  <c r="Q1543" i="2"/>
  <c r="Q1281" i="2"/>
  <c r="Q505" i="2"/>
  <c r="Q1740" i="2"/>
  <c r="Q1416" i="2"/>
  <c r="Q637" i="2"/>
  <c r="Q1282" i="2"/>
  <c r="Q1283" i="2"/>
  <c r="Q1465" i="2"/>
  <c r="Q1400" i="2"/>
  <c r="Q1284" i="2"/>
  <c r="Q1373" i="2"/>
  <c r="Q1466" i="2"/>
  <c r="Q1285" i="2"/>
  <c r="Q1286" i="2"/>
  <c r="Q488" i="2"/>
  <c r="Q756" i="2"/>
  <c r="Q757" i="2"/>
  <c r="Q1287" i="2"/>
  <c r="Q1417" i="2"/>
  <c r="Q1180" i="2"/>
  <c r="Q718" i="2"/>
  <c r="Q1418" i="2"/>
  <c r="Q492" i="2"/>
  <c r="Q1288" i="2"/>
  <c r="Q289" i="2"/>
  <c r="Q1774" i="2"/>
  <c r="Q1289" i="2"/>
  <c r="Q581" i="2"/>
  <c r="Q493" i="2"/>
  <c r="Q1290" i="2"/>
  <c r="Q1036" i="2"/>
  <c r="Q489" i="2"/>
  <c r="Q1291" i="2"/>
  <c r="Q1292" i="2"/>
  <c r="Q1293" i="2"/>
  <c r="Q12" i="2"/>
  <c r="Q1294" i="2"/>
  <c r="Q1295" i="2"/>
  <c r="Q1445" i="2"/>
  <c r="Q506" i="2"/>
  <c r="Q524" i="2"/>
  <c r="Q494" i="2"/>
  <c r="Q1296" i="2"/>
  <c r="Q1775" i="2"/>
  <c r="Q1297" i="2"/>
  <c r="Q1776" i="2"/>
  <c r="Q758" i="2"/>
  <c r="Q1298" i="2"/>
  <c r="Q1299" i="2"/>
  <c r="Q925" i="2"/>
  <c r="Q495" i="2"/>
  <c r="Q500" i="2"/>
  <c r="Q501" i="2"/>
  <c r="Q1300" i="2"/>
  <c r="Q1311" i="2"/>
  <c r="Q129" i="2"/>
  <c r="Q1301" i="2"/>
  <c r="Q772" i="2"/>
  <c r="Q773" i="2"/>
  <c r="Q774" i="2"/>
  <c r="Q775" i="2"/>
  <c r="Q776" i="2"/>
  <c r="Q591" i="2"/>
  <c r="Q592" i="2"/>
  <c r="Q789" i="2"/>
  <c r="Q790" i="2"/>
  <c r="Q791" i="2"/>
  <c r="Q792" i="2"/>
  <c r="Q793" i="2"/>
  <c r="Q794" i="2"/>
  <c r="Q795" i="2"/>
  <c r="Q796" i="2"/>
  <c r="Q797" i="2"/>
  <c r="Q66" i="2"/>
  <c r="Q290" i="2"/>
  <c r="Q364" i="2"/>
  <c r="Q365" i="2"/>
  <c r="Q366" i="2"/>
  <c r="Q367" i="2"/>
  <c r="Q368" i="2"/>
  <c r="Q804" i="2"/>
  <c r="Q805" i="2"/>
  <c r="Q70" i="2"/>
  <c r="Q601" i="2"/>
  <c r="Q602" i="2"/>
  <c r="Q603" i="2"/>
  <c r="Q604" i="2"/>
  <c r="Q74" i="2"/>
  <c r="Q75" i="2"/>
  <c r="Q131" i="2"/>
  <c r="Q1321" i="2"/>
  <c r="Q1322" i="2"/>
  <c r="Q1323" i="2"/>
  <c r="Q1324" i="2"/>
  <c r="Q1325" i="2"/>
  <c r="Q1326" i="2"/>
  <c r="Q1327" i="2"/>
  <c r="Q1333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1336" i="2"/>
  <c r="Q1337" i="2"/>
  <c r="Q76" i="2"/>
  <c r="Q77" i="2"/>
  <c r="Q78" i="2"/>
  <c r="Q79" i="2"/>
  <c r="Q1340" i="2"/>
  <c r="Q841" i="2"/>
  <c r="Q842" i="2"/>
  <c r="Q843" i="2"/>
  <c r="Q844" i="2"/>
  <c r="Q845" i="2"/>
  <c r="Q81" i="2"/>
  <c r="Q611" i="2"/>
  <c r="Q612" i="2"/>
  <c r="Q849" i="2"/>
  <c r="Q372" i="2"/>
  <c r="Q373" i="2"/>
  <c r="Q374" i="2"/>
  <c r="Q375" i="2"/>
  <c r="Q376" i="2"/>
  <c r="Q377" i="2"/>
  <c r="Q378" i="2"/>
  <c r="Q379" i="2"/>
  <c r="Q380" i="2"/>
  <c r="Q614" i="2"/>
  <c r="Q627" i="2"/>
  <c r="Q628" i="2"/>
  <c r="Q629" i="2"/>
  <c r="Q1345" i="2"/>
  <c r="Q100" i="2"/>
  <c r="Q1735" i="2"/>
  <c r="Q543" i="2"/>
  <c r="Q103" i="2"/>
  <c r="Q302" i="2"/>
  <c r="Q303" i="2"/>
  <c r="Q304" i="2"/>
  <c r="Q305" i="2"/>
  <c r="Q306" i="2"/>
  <c r="Q307" i="2"/>
  <c r="Q308" i="2"/>
  <c r="Q1544" i="2"/>
  <c r="Q312" i="2"/>
  <c r="Q313" i="2"/>
  <c r="Q631" i="2"/>
  <c r="Q1346" i="2"/>
  <c r="Q1302" i="2"/>
  <c r="Q1351" i="2"/>
  <c r="Q1356" i="2"/>
  <c r="Q1357" i="2"/>
  <c r="Q1358" i="2"/>
  <c r="Q1359" i="2"/>
  <c r="Q1360" i="2"/>
  <c r="Q509" i="2"/>
  <c r="Q510" i="2"/>
  <c r="Q1361" i="2"/>
  <c r="Q869" i="2"/>
  <c r="Q870" i="2"/>
  <c r="Q871" i="2"/>
  <c r="Q872" i="2"/>
  <c r="Q873" i="2"/>
  <c r="Q874" i="2"/>
  <c r="Q875" i="2"/>
  <c r="Q876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5" i="2"/>
  <c r="Q126" i="2"/>
  <c r="Q127" i="2"/>
  <c r="Q128" i="2"/>
  <c r="Q130" i="2"/>
  <c r="Q1363" i="2"/>
  <c r="Q1364" i="2"/>
  <c r="Q1365" i="2"/>
  <c r="Q1366" i="2"/>
  <c r="Q1367" i="2"/>
  <c r="Q550" i="2"/>
  <c r="Q551" i="2"/>
  <c r="Q552" i="2"/>
  <c r="Q140" i="2"/>
  <c r="Q553" i="2"/>
  <c r="Q554" i="2"/>
  <c r="Q555" i="2"/>
  <c r="Q556" i="2"/>
  <c r="Q634" i="2"/>
  <c r="Q877" i="2"/>
  <c r="Q142" i="2"/>
  <c r="Q144" i="2"/>
  <c r="Q1374" i="2"/>
  <c r="Q1375" i="2"/>
  <c r="Q1376" i="2"/>
  <c r="Q557" i="2"/>
  <c r="Q150" i="2"/>
  <c r="Q879" i="2"/>
  <c r="Q154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881" i="2"/>
  <c r="Q882" i="2"/>
  <c r="Q883" i="2"/>
  <c r="Q888" i="2"/>
  <c r="Q889" i="2"/>
  <c r="Q1392" i="2"/>
  <c r="Q1393" i="2"/>
  <c r="Q899" i="2"/>
  <c r="Q900" i="2"/>
  <c r="Q901" i="2"/>
  <c r="Q902" i="2"/>
  <c r="Q903" i="2"/>
  <c r="Q904" i="2"/>
  <c r="Q1401" i="2"/>
  <c r="Q1402" i="2"/>
  <c r="Q1403" i="2"/>
  <c r="Q1405" i="2"/>
  <c r="Q1406" i="2"/>
  <c r="Q1413" i="2"/>
  <c r="Q1414" i="2"/>
  <c r="Q638" i="2"/>
  <c r="Q1419" i="2"/>
  <c r="Q163" i="2"/>
  <c r="Q164" i="2"/>
  <c r="Q165" i="2"/>
  <c r="Q166" i="2"/>
  <c r="Q167" i="2"/>
  <c r="Q168" i="2"/>
  <c r="Q169" i="2"/>
  <c r="Q170" i="2"/>
  <c r="Q171" i="2"/>
  <c r="Q172" i="2"/>
  <c r="Q558" i="2"/>
  <c r="Q559" i="2"/>
  <c r="Q1422" i="2"/>
  <c r="Q1423" i="2"/>
  <c r="Q1424" i="2"/>
  <c r="Q173" i="2"/>
  <c r="Q174" i="2"/>
  <c r="Q560" i="2"/>
  <c r="Q175" i="2"/>
  <c r="Q561" i="2"/>
  <c r="Q645" i="2"/>
  <c r="Q647" i="2"/>
  <c r="Q182" i="2"/>
  <c r="Q183" i="2"/>
  <c r="Q1426" i="2"/>
  <c r="Q650" i="2"/>
  <c r="Q31" i="2"/>
  <c r="Q186" i="2"/>
  <c r="Q187" i="2"/>
  <c r="Q188" i="2"/>
  <c r="Q1433" i="2"/>
  <c r="Q1438" i="2"/>
  <c r="Q1439" i="2"/>
  <c r="Q192" i="2"/>
  <c r="Q1441" i="2"/>
  <c r="Q334" i="2"/>
  <c r="Q428" i="2"/>
  <c r="Q429" i="2"/>
  <c r="Q430" i="2"/>
  <c r="Q431" i="2"/>
  <c r="Q432" i="2"/>
  <c r="Q433" i="2"/>
  <c r="Q434" i="2"/>
  <c r="Q435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92" i="2"/>
  <c r="Q993" i="2"/>
  <c r="Q994" i="2"/>
  <c r="Q995" i="2"/>
  <c r="Q996" i="2"/>
  <c r="Q997" i="2"/>
  <c r="Q998" i="2"/>
  <c r="Q999" i="2"/>
  <c r="Q1000" i="2"/>
  <c r="Q1001" i="2"/>
  <c r="Q1023" i="2"/>
  <c r="Q1024" i="2"/>
  <c r="Q1025" i="2"/>
  <c r="Q1026" i="2"/>
  <c r="Q1027" i="2"/>
  <c r="Q1028" i="2"/>
  <c r="Q652" i="2"/>
  <c r="Q653" i="2"/>
  <c r="Q659" i="2"/>
  <c r="Q660" i="2"/>
  <c r="Q1457" i="2"/>
  <c r="Q1458" i="2"/>
  <c r="Q663" i="2"/>
  <c r="Q570" i="2"/>
  <c r="Q195" i="2"/>
  <c r="Q196" i="2"/>
  <c r="Q197" i="2"/>
  <c r="Q1467" i="2"/>
  <c r="Q1468" i="2"/>
  <c r="Q1469" i="2"/>
  <c r="Q1470" i="2"/>
  <c r="Q1471" i="2"/>
  <c r="Q1472" i="2"/>
  <c r="Q1473" i="2"/>
  <c r="Q1474" i="2"/>
  <c r="Q1475" i="2"/>
  <c r="Q1476" i="2"/>
  <c r="Q336" i="2"/>
  <c r="Q337" i="2"/>
  <c r="Q1478" i="2"/>
  <c r="Q198" i="2"/>
  <c r="Q199" i="2"/>
  <c r="Q200" i="2"/>
  <c r="Q201" i="2"/>
  <c r="Q1481" i="2"/>
  <c r="Q1482" i="2"/>
  <c r="Q517" i="2"/>
  <c r="Q1485" i="2"/>
  <c r="Q1489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1491" i="2"/>
  <c r="Q1049" i="2"/>
  <c r="Q444" i="2"/>
  <c r="Q1050" i="2"/>
  <c r="Q1051" i="2"/>
  <c r="Q1052" i="2"/>
  <c r="Q445" i="2"/>
  <c r="Q446" i="2"/>
  <c r="Q447" i="2"/>
  <c r="Q448" i="2"/>
  <c r="Q449" i="2"/>
  <c r="Q450" i="2"/>
  <c r="Q451" i="2"/>
  <c r="Q456" i="2"/>
  <c r="Q457" i="2"/>
  <c r="Q458" i="2"/>
  <c r="Q1056" i="2"/>
  <c r="Q1057" i="2"/>
  <c r="Q1058" i="2"/>
  <c r="Q228" i="2"/>
  <c r="Q1059" i="2"/>
  <c r="Q1060" i="2"/>
  <c r="Q1061" i="2"/>
  <c r="Q1062" i="2"/>
  <c r="Q1063" i="2"/>
  <c r="Q1064" i="2"/>
  <c r="Q1065" i="2"/>
  <c r="Q1066" i="2"/>
  <c r="Q1067" i="2"/>
  <c r="Q664" i="2"/>
  <c r="Q1070" i="2"/>
  <c r="Q1071" i="2"/>
  <c r="Q229" i="2"/>
  <c r="Q230" i="2"/>
  <c r="Q231" i="2"/>
  <c r="Q232" i="2"/>
  <c r="Q233" i="2"/>
  <c r="Q234" i="2"/>
  <c r="Q235" i="2"/>
  <c r="Q236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495" i="2"/>
  <c r="Q1115" i="2"/>
  <c r="Q1116" i="2"/>
  <c r="Q1117" i="2"/>
  <c r="Q1118" i="2"/>
  <c r="Q1119" i="2"/>
  <c r="Q239" i="2"/>
  <c r="Q240" i="2"/>
  <c r="Q241" i="2"/>
  <c r="Q244" i="2"/>
  <c r="Q1124" i="2"/>
  <c r="Q1125" i="2"/>
  <c r="Q1126" i="2"/>
  <c r="Q459" i="2"/>
  <c r="Q460" i="2"/>
  <c r="Q245" i="2"/>
  <c r="Q522" i="2"/>
  <c r="Q462" i="2"/>
  <c r="Q463" i="2"/>
  <c r="Q464" i="2"/>
  <c r="Q465" i="2"/>
  <c r="Q466" i="2"/>
  <c r="Q467" i="2"/>
  <c r="Q468" i="2"/>
  <c r="Q469" i="2"/>
  <c r="Q470" i="2"/>
  <c r="Q248" i="2"/>
  <c r="Q681" i="2"/>
  <c r="Q683" i="2"/>
  <c r="Q525" i="2"/>
  <c r="Q526" i="2"/>
  <c r="Q527" i="2"/>
  <c r="Q528" i="2"/>
  <c r="Q1506" i="2"/>
  <c r="Q1508" i="2"/>
  <c r="Q688" i="2"/>
  <c r="Q689" i="2"/>
  <c r="Q690" i="2"/>
  <c r="Q691" i="2"/>
  <c r="Q692" i="2"/>
  <c r="Q1509" i="2"/>
  <c r="Q1510" i="2"/>
  <c r="Q696" i="2"/>
  <c r="Q249" i="2"/>
  <c r="Q704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733" i="2"/>
  <c r="Q255" i="2"/>
  <c r="Q256" i="2"/>
  <c r="Q571" i="2"/>
  <c r="Q572" i="2"/>
  <c r="Q1169" i="2"/>
  <c r="Q351" i="2"/>
  <c r="Q352" i="2"/>
  <c r="Q1515" i="2"/>
  <c r="Q1516" i="2"/>
  <c r="Q1517" i="2"/>
  <c r="Q1518" i="2"/>
  <c r="Q1519" i="2"/>
  <c r="Q708" i="2"/>
  <c r="Q259" i="2"/>
  <c r="Q260" i="2"/>
  <c r="Q261" i="2"/>
  <c r="Q262" i="2"/>
  <c r="Q1242" i="2"/>
  <c r="Q1243" i="2"/>
  <c r="Q263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1244" i="2"/>
  <c r="Q1527" i="2"/>
  <c r="Q1528" i="2"/>
  <c r="Q283" i="2"/>
  <c r="Q1532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731" i="2"/>
  <c r="Q732" i="2"/>
  <c r="Q285" i="2"/>
  <c r="Q286" i="2"/>
  <c r="Q741" i="2"/>
  <c r="Q742" i="2"/>
  <c r="Q490" i="2"/>
  <c r="Q743" i="2"/>
  <c r="Q744" i="2"/>
  <c r="Q535" i="2"/>
  <c r="Q536" i="2"/>
  <c r="Q537" i="2"/>
  <c r="Q1536" i="2"/>
  <c r="Q1537" i="2"/>
  <c r="Q1538" i="2"/>
  <c r="Q1197" i="2"/>
  <c r="Q1198" i="2"/>
  <c r="Q1199" i="2"/>
  <c r="Q480" i="2"/>
  <c r="Q1200" i="2"/>
  <c r="Q1201" i="2"/>
  <c r="Q1202" i="2"/>
  <c r="Q1203" i="2"/>
  <c r="Q1216" i="2"/>
  <c r="Q1217" i="2"/>
  <c r="Q1218" i="2"/>
  <c r="Q1219" i="2"/>
  <c r="Q1220" i="2"/>
  <c r="Q1221" i="2"/>
  <c r="Q1222" i="2"/>
  <c r="Q1223" i="2"/>
  <c r="Q1224" i="2"/>
  <c r="Q1225" i="2"/>
  <c r="Q750" i="2"/>
  <c r="Q751" i="2"/>
  <c r="Q752" i="2"/>
  <c r="Q1739" i="2"/>
  <c r="Q546" i="2"/>
  <c r="Q547" i="2"/>
  <c r="Q1542" i="2"/>
  <c r="Q54" i="2"/>
  <c r="Q1232" i="2"/>
  <c r="Q1312" i="2"/>
  <c r="Q1317" i="2"/>
  <c r="Q1318" i="2"/>
  <c r="Q1319" i="2"/>
  <c r="Q1328" i="2"/>
  <c r="Q1329" i="2"/>
  <c r="Q1342" i="2"/>
  <c r="Q1362" i="2"/>
  <c r="Q1368" i="2"/>
  <c r="Q787" i="2"/>
  <c r="Q788" i="2"/>
  <c r="Q61" i="2"/>
  <c r="Q798" i="2"/>
  <c r="Q1371" i="2"/>
  <c r="Q850" i="2"/>
  <c r="Q381" i="2"/>
  <c r="Q382" i="2"/>
  <c r="Q383" i="2"/>
  <c r="Q384" i="2"/>
  <c r="Q385" i="2"/>
  <c r="Q386" i="2"/>
  <c r="Q387" i="2"/>
  <c r="Q388" i="2"/>
  <c r="Q389" i="2"/>
  <c r="Q390" i="2"/>
  <c r="Q1379" i="2"/>
  <c r="Q391" i="2"/>
  <c r="Q392" i="2"/>
  <c r="Q90" i="2"/>
  <c r="Q91" i="2"/>
  <c r="Q92" i="2"/>
  <c r="Q93" i="2"/>
  <c r="Q94" i="2"/>
  <c r="Q95" i="2"/>
  <c r="Q96" i="2"/>
  <c r="Q97" i="2"/>
  <c r="Q98" i="2"/>
  <c r="Q618" i="2"/>
  <c r="Q539" i="2"/>
  <c r="Q710" i="2"/>
  <c r="Q1239" i="2"/>
  <c r="Q719" i="2"/>
  <c r="Q529" i="2"/>
  <c r="Q682" i="2"/>
  <c r="Q616" i="2"/>
  <c r="Q667" i="2"/>
  <c r="Q705" i="2"/>
  <c r="Q530" i="2"/>
  <c r="Q582" i="2"/>
  <c r="Q735" i="2"/>
  <c r="Q62" i="2"/>
  <c r="Q411" i="2"/>
  <c r="Q184" i="2"/>
  <c r="Q393" i="2"/>
  <c r="Q439" i="2"/>
  <c r="Q149" i="2"/>
  <c r="Q71" i="2"/>
  <c r="Q104" i="2"/>
  <c r="Q132" i="2"/>
  <c r="Q407" i="2"/>
  <c r="Q481" i="2"/>
  <c r="Q158" i="2"/>
  <c r="Q251" i="2"/>
  <c r="Q324" i="2"/>
  <c r="Q325" i="2"/>
  <c r="Q409" i="2"/>
  <c r="Q326" i="2"/>
  <c r="Q684" i="2"/>
  <c r="Q155" i="2"/>
  <c r="Q156" i="2"/>
  <c r="Q707" i="2"/>
  <c r="Q157" i="2"/>
  <c r="Q58" i="2"/>
  <c r="Q327" i="2"/>
  <c r="Q912" i="2"/>
  <c r="Q82" i="2"/>
  <c r="Q354" i="2"/>
  <c r="Q176" i="2"/>
  <c r="Q80" i="2"/>
  <c r="Q252" i="2"/>
  <c r="Q412" i="2"/>
  <c r="Q413" i="2"/>
  <c r="Q414" i="2"/>
  <c r="Q415" i="2"/>
  <c r="Q136" i="2"/>
  <c r="Q648" i="2"/>
  <c r="Q410" i="2"/>
  <c r="Q284" i="2"/>
  <c r="Q436" i="2"/>
  <c r="Q357" i="2"/>
  <c r="Q471" i="2"/>
  <c r="Q474" i="2"/>
  <c r="Q651" i="2"/>
  <c r="Q562" i="2"/>
  <c r="Q563" i="2"/>
  <c r="Q564" i="2"/>
  <c r="Q565" i="2"/>
  <c r="Q566" i="2"/>
  <c r="Q461" i="2"/>
  <c r="Q567" i="2"/>
  <c r="Q568" i="2"/>
  <c r="Q569" i="2"/>
  <c r="Q1034" i="2"/>
  <c r="Q287" i="2"/>
  <c r="Q57" i="2"/>
  <c r="Q1245" i="2"/>
  <c r="Q84" i="2"/>
  <c r="Q178" i="2"/>
  <c r="Q59" i="2"/>
  <c r="Q1545" i="2"/>
  <c r="Q1452" i="2"/>
  <c r="Q759" i="2"/>
  <c r="Q1453" i="2"/>
  <c r="Q1146" i="2"/>
  <c r="Q1147" i="2"/>
  <c r="Q1148" i="2"/>
  <c r="Q1149" i="2"/>
  <c r="Q697" i="2"/>
  <c r="Q711" i="2"/>
  <c r="Q720" i="2"/>
  <c r="Q698" i="2"/>
  <c r="Q617" i="2"/>
  <c r="Q60" i="2"/>
  <c r="Q733" i="2"/>
  <c r="Q608" i="2"/>
  <c r="Q609" i="2"/>
  <c r="Q593" i="2"/>
  <c r="Q613" i="2"/>
  <c r="Q615" i="2"/>
  <c r="Q1229" i="2"/>
  <c r="Q1230" i="2"/>
  <c r="Q649" i="2"/>
  <c r="Q760" i="2"/>
  <c r="Q761" i="2"/>
  <c r="Q762" i="2"/>
  <c r="Q763" i="2"/>
  <c r="Q736" i="2"/>
  <c r="Q745" i="2"/>
  <c r="Q737" i="2"/>
  <c r="Q721" i="2"/>
  <c r="Q722" i="2"/>
  <c r="Q699" i="2"/>
  <c r="Q712" i="2"/>
  <c r="Q619" i="2"/>
  <c r="Q764" i="2"/>
  <c r="Q765" i="2"/>
  <c r="Q766" i="2"/>
  <c r="Q291" i="2"/>
  <c r="Q292" i="2"/>
  <c r="Q534" i="2"/>
  <c r="Q540" i="2"/>
  <c r="Q541" i="2"/>
  <c r="Q544" i="2"/>
  <c r="Q545" i="2"/>
  <c r="Q1236" i="2"/>
  <c r="Q1237" i="2"/>
  <c r="Q1238" i="2"/>
  <c r="Q1240" i="2"/>
  <c r="Q1246" i="2"/>
  <c r="Q1247" i="2"/>
  <c r="Q1252" i="2"/>
  <c r="Q1486" i="2"/>
  <c r="Q13" i="2"/>
  <c r="Q1499" i="2"/>
  <c r="Q1501" i="2"/>
  <c r="Q1511" i="2"/>
  <c r="Q1512" i="2"/>
  <c r="Q1533" i="2"/>
  <c r="Q1546" i="2"/>
  <c r="Q1547" i="2"/>
  <c r="Q1548" i="2"/>
  <c r="Q1447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34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303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304" i="2"/>
  <c r="Q1639" i="2"/>
  <c r="Q1640" i="2"/>
  <c r="Q1641" i="2"/>
  <c r="Q1642" i="2"/>
  <c r="Q1643" i="2"/>
  <c r="Q1644" i="2"/>
  <c r="Q1645" i="2"/>
  <c r="Q1646" i="2"/>
  <c r="Q1647" i="2"/>
  <c r="Q1648" i="2"/>
  <c r="Q14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42" i="2"/>
  <c r="Q1743" i="2"/>
  <c r="Q1744" i="2"/>
  <c r="Q1745" i="2"/>
  <c r="Q1746" i="2"/>
  <c r="Q1747" i="2"/>
  <c r="Q1748" i="2"/>
  <c r="Q1749" i="2"/>
  <c r="Q1737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7" i="2"/>
  <c r="Q1781" i="2"/>
  <c r="Q1782" i="2"/>
  <c r="Q1783" i="2"/>
  <c r="Q1784" i="2"/>
  <c r="Q1785" i="2"/>
  <c r="Q1730" i="2"/>
  <c r="Q408" i="2"/>
  <c r="Q482" i="2"/>
  <c r="Q573" i="2"/>
  <c r="Q1502" i="2"/>
  <c r="Q1420" i="2"/>
  <c r="Q1251" i="2"/>
  <c r="Q122" i="2"/>
  <c r="Q1338" i="2"/>
  <c r="Q1429" i="2"/>
  <c r="Q1235" i="2"/>
  <c r="Q1314" i="2"/>
  <c r="Q496" i="2"/>
  <c r="Q491" i="2"/>
  <c r="Q1404" i="2"/>
  <c r="Q1477" i="2"/>
  <c r="Q1432" i="2"/>
  <c r="Q1487" i="2"/>
  <c r="Q520" i="2"/>
  <c r="Q521" i="2"/>
  <c r="Q1002" i="2"/>
  <c r="Q1003" i="2"/>
  <c r="Q1004" i="2"/>
  <c r="Q1005" i="2"/>
  <c r="Q935" i="2"/>
  <c r="Q25" i="2"/>
  <c r="Q202" i="2"/>
  <c r="Q72" i="2"/>
  <c r="Q1072" i="2"/>
  <c r="Q1073" i="2"/>
  <c r="Q237" i="2"/>
  <c r="Q177" i="2"/>
  <c r="Q203" i="2"/>
  <c r="Q1204" i="2"/>
  <c r="Q369" i="2"/>
  <c r="Q85" i="2"/>
  <c r="Q204" i="2"/>
  <c r="Q238" i="2"/>
  <c r="Q394" i="2"/>
  <c r="Q472" i="2"/>
  <c r="Q473" i="2"/>
  <c r="Q288" i="2"/>
  <c r="Q253" i="2"/>
  <c r="Q205" i="2"/>
  <c r="Q185" i="2"/>
  <c r="Q88" i="2"/>
  <c r="Q890" i="2"/>
  <c r="Q246" i="2"/>
  <c r="Q63" i="2"/>
  <c r="Q206" i="2"/>
  <c r="Q83" i="2"/>
  <c r="Q137" i="2"/>
  <c r="Q207" i="2"/>
  <c r="Q416" i="2"/>
  <c r="Q330" i="2"/>
  <c r="Q264" i="2"/>
  <c r="Q1205" i="2"/>
  <c r="Q395" i="2"/>
  <c r="Q417" i="2"/>
  <c r="Q65" i="2"/>
  <c r="Q396" i="2"/>
  <c r="Q208" i="2"/>
  <c r="Q1206" i="2"/>
  <c r="Q10" i="2"/>
  <c r="Q1207" i="2"/>
  <c r="Q1120" i="2"/>
  <c r="Q1074" i="2"/>
  <c r="Q1075" i="2"/>
  <c r="Q1076" i="2"/>
  <c r="Q891" i="2"/>
  <c r="Q892" i="2"/>
  <c r="Q14" i="2"/>
  <c r="Q331" i="2"/>
  <c r="Q884" i="2"/>
  <c r="Q1208" i="2"/>
  <c r="Q1209" i="2"/>
  <c r="Q1210" i="2"/>
  <c r="Q1121" i="2"/>
  <c r="Q1211" i="2"/>
  <c r="Q917" i="2"/>
  <c r="Q1144" i="2"/>
  <c r="Q1212" i="2"/>
  <c r="Q1122" i="2"/>
  <c r="Q179" i="2"/>
  <c r="Q913" i="2"/>
  <c r="Q89" i="2"/>
  <c r="Q250" i="2"/>
  <c r="Q315" i="2"/>
  <c r="Q1145" i="2"/>
  <c r="Q332" i="2"/>
  <c r="Q333" i="2"/>
  <c r="Q335" i="2"/>
  <c r="Q193" i="2"/>
  <c r="Q549" i="2"/>
  <c r="Q814" i="2"/>
  <c r="Q1033" i="2"/>
  <c r="Q933" i="2"/>
  <c r="Q24" i="2"/>
  <c r="Q180" i="2"/>
  <c r="Q17" i="2"/>
  <c r="Q370" i="2"/>
  <c r="Q1006" i="2"/>
  <c r="Q1007" i="2"/>
  <c r="Q73" i="2"/>
  <c r="Q358" i="2"/>
  <c r="Q837" i="2"/>
  <c r="Q38" i="2"/>
  <c r="Q359" i="2"/>
  <c r="Q475" i="2"/>
  <c r="Q194" i="2"/>
  <c r="Q786" i="2"/>
  <c r="Q476" i="2"/>
  <c r="Q893" i="2"/>
  <c r="Q39" i="2"/>
  <c r="Q973" i="2"/>
  <c r="Q316" i="2"/>
  <c r="Q477" i="2"/>
  <c r="Q478" i="2"/>
  <c r="Q153" i="2"/>
  <c r="Q479" i="2"/>
  <c r="Q1053" i="2"/>
  <c r="Q974" i="2"/>
  <c r="Q815" i="2"/>
  <c r="Q265" i="2"/>
  <c r="Q1077" i="2"/>
  <c r="Q317" i="2"/>
  <c r="Q68" i="2"/>
  <c r="Q33" i="2"/>
  <c r="Q440" i="2"/>
  <c r="Q1008" i="2"/>
  <c r="Q339" i="2"/>
  <c r="Q340" i="2"/>
  <c r="Q975" i="2"/>
  <c r="Q1009" i="2"/>
  <c r="Q418" i="2"/>
  <c r="Q133" i="2"/>
  <c r="Q936" i="2"/>
  <c r="Q937" i="2"/>
  <c r="Q294" i="2"/>
  <c r="Q1010" i="2"/>
  <c r="Q318" i="2"/>
  <c r="Q1011" i="2"/>
  <c r="Q40" i="2"/>
  <c r="Q360" i="2"/>
  <c r="Q341" i="2"/>
  <c r="Q1012" i="2"/>
  <c r="Q1013" i="2"/>
  <c r="Q1039" i="2"/>
  <c r="Q1040" i="2"/>
  <c r="Q361" i="2"/>
  <c r="Q342" i="2"/>
  <c r="Q938" i="2"/>
  <c r="Q939" i="2"/>
  <c r="Q362" i="2"/>
  <c r="Q1014" i="2"/>
  <c r="Q343" i="2"/>
  <c r="Q319" i="2"/>
  <c r="Q976" i="2"/>
  <c r="Q940" i="2"/>
  <c r="Q363" i="2"/>
  <c r="Q328" i="2"/>
  <c r="Q344" i="2"/>
  <c r="Q329" i="2"/>
  <c r="Q894" i="2"/>
  <c r="Q816" i="2"/>
  <c r="Q817" i="2"/>
  <c r="Q190" i="2"/>
  <c r="Q320" i="2"/>
  <c r="Q345" i="2"/>
  <c r="Q346" i="2"/>
  <c r="Q441" i="2"/>
  <c r="Q442" i="2"/>
  <c r="Q443" i="2"/>
  <c r="Q419" i="2"/>
  <c r="Q420" i="2"/>
  <c r="Q321" i="2"/>
  <c r="Q347" i="2"/>
  <c r="Q1015" i="2"/>
  <c r="Q309" i="2"/>
  <c r="Q322" i="2"/>
  <c r="Q1016" i="2"/>
  <c r="Q397" i="2"/>
  <c r="Q1017" i="2"/>
  <c r="Q421" i="2"/>
  <c r="Q295" i="2"/>
  <c r="Q437" i="2"/>
  <c r="Q438" i="2"/>
  <c r="Q348" i="2"/>
  <c r="Q422" i="2"/>
  <c r="Q941" i="2"/>
  <c r="Q838" i="2"/>
  <c r="Q452" i="2"/>
  <c r="Q942" i="2"/>
  <c r="Q1018" i="2"/>
  <c r="Q453" i="2"/>
  <c r="Q943" i="2"/>
  <c r="Q323" i="2"/>
  <c r="Q895" i="2"/>
  <c r="Q454" i="2"/>
  <c r="Q455" i="2"/>
  <c r="Q247" i="2"/>
  <c r="Q944" i="2"/>
  <c r="Q945" i="2"/>
  <c r="Q1108" i="2"/>
  <c r="Q32" i="2"/>
  <c r="Q254" i="2"/>
  <c r="Q209" i="2"/>
  <c r="Q818" i="2"/>
  <c r="Q349" i="2"/>
  <c r="Q398" i="2"/>
  <c r="Q977" i="2"/>
  <c r="Q1019" i="2"/>
  <c r="Q1054" i="2"/>
  <c r="Q423" i="2"/>
  <c r="Q399" i="2"/>
  <c r="Q946" i="2"/>
  <c r="Q947" i="2"/>
  <c r="Q978" i="2"/>
  <c r="Q29" i="2"/>
  <c r="Q979" i="2"/>
  <c r="Q400" i="2"/>
  <c r="Q1109" i="2"/>
  <c r="Q350" i="2"/>
  <c r="Q980" i="2"/>
  <c r="Q981" i="2"/>
  <c r="Q982" i="2"/>
  <c r="Q983" i="2"/>
  <c r="Q885" i="2"/>
  <c r="Q296" i="2"/>
  <c r="Q426" i="2"/>
  <c r="Q984" i="2"/>
  <c r="Q99" i="2"/>
  <c r="Q355" i="2"/>
  <c r="Q297" i="2"/>
  <c r="Q69" i="2"/>
  <c r="Q424" i="2"/>
  <c r="Q141" i="2"/>
  <c r="Q1213" i="2"/>
  <c r="Q135" i="2"/>
  <c r="Q985" i="2"/>
  <c r="Q986" i="2"/>
  <c r="Q403" i="2"/>
  <c r="Q34" i="2"/>
  <c r="Q404" i="2"/>
  <c r="Q427" i="2"/>
  <c r="Q405" i="2"/>
  <c r="Q371" i="2"/>
  <c r="Q406" i="2"/>
  <c r="Q987" i="2"/>
  <c r="Q425" i="2"/>
  <c r="Q401" i="2"/>
  <c r="Q298" i="2"/>
  <c r="Q896" i="2"/>
  <c r="Q159" i="2"/>
  <c r="Q1078" i="2"/>
  <c r="Q1079" i="2"/>
  <c r="Q1080" i="2"/>
  <c r="Q1081" i="2"/>
  <c r="Q1082" i="2"/>
  <c r="Q1083" i="2"/>
  <c r="Q1084" i="2"/>
  <c r="Q1085" i="2"/>
  <c r="Q1086" i="2"/>
  <c r="Q1087" i="2"/>
  <c r="Q1088" i="2"/>
  <c r="Q886" i="2"/>
  <c r="Q402" i="2"/>
  <c r="Q1089" i="2"/>
  <c r="Q897" i="2"/>
  <c r="Q338" i="2"/>
  <c r="Q314" i="2"/>
  <c r="Q1020" i="2"/>
  <c r="Q1021" i="2"/>
  <c r="Q299" i="2"/>
  <c r="Q1110" i="2"/>
  <c r="Q310" i="2"/>
  <c r="Q356" i="2"/>
  <c r="Q819" i="2"/>
  <c r="Q988" i="2"/>
  <c r="Q989" i="2"/>
  <c r="Q160" i="2"/>
  <c r="Q210" i="2"/>
  <c r="Q300" i="2"/>
  <c r="Q311" i="2"/>
  <c r="Q301" i="2"/>
  <c r="Q1214" i="2"/>
  <c r="Q211" i="2"/>
  <c r="Q212" i="2"/>
  <c r="Q213" i="2"/>
  <c r="Q1111" i="2"/>
  <c r="Q105" i="2"/>
  <c r="Q181" i="2"/>
  <c r="Q35" i="2"/>
  <c r="Q41" i="2"/>
  <c r="Q635" i="2"/>
  <c r="Q610" i="2"/>
  <c r="Q685" i="2"/>
  <c r="Q686" i="2"/>
  <c r="Q655" i="2"/>
  <c r="Q670" i="2"/>
  <c r="Q671" i="2"/>
  <c r="Q632" i="2"/>
  <c r="Q672" i="2"/>
  <c r="Q633" i="2"/>
  <c r="Q595" i="2"/>
  <c r="Q713" i="2"/>
  <c r="Q714" i="2"/>
  <c r="Q620" i="2"/>
  <c r="Q738" i="2"/>
  <c r="Q630" i="2"/>
  <c r="Q687" i="2"/>
  <c r="Q587" i="2"/>
  <c r="Q709" i="2"/>
  <c r="Q588" i="2"/>
  <c r="Q693" i="2"/>
  <c r="Q594" i="2"/>
  <c r="Q596" i="2"/>
  <c r="Q597" i="2"/>
  <c r="Q598" i="2"/>
  <c r="Q636" i="2"/>
  <c r="Q656" i="2"/>
  <c r="Q673" i="2"/>
  <c r="Q674" i="2"/>
  <c r="Q836" i="2"/>
  <c r="Q37" i="2"/>
  <c r="Q1541" i="2"/>
  <c r="Q138" i="2"/>
  <c r="Q139" i="2"/>
  <c r="Q47" i="2"/>
  <c r="Q30" i="2"/>
  <c r="Q11" i="2"/>
  <c r="Q26" i="2"/>
  <c r="Q22" i="2"/>
  <c r="Q23" i="2"/>
  <c r="Q36" i="2"/>
  <c r="Q21" i="2"/>
  <c r="Q27" i="2"/>
  <c r="Q1305" i="2"/>
  <c r="Q1306" i="2"/>
  <c r="Q1307" i="2"/>
  <c r="Q143" i="2"/>
  <c r="Q1308" i="2"/>
  <c r="Q1442" i="2"/>
  <c r="Q1539" i="2"/>
  <c r="Q1309" i="2"/>
  <c r="Q1507" i="2"/>
  <c r="Q1407" i="2"/>
  <c r="Q146" i="2"/>
  <c r="Q753" i="2"/>
  <c r="Q147" i="2"/>
  <c r="O1248" i="2"/>
  <c r="O6" i="2"/>
  <c r="O1233" i="2"/>
  <c r="O1250" i="2"/>
  <c r="O8" i="2"/>
  <c r="O9" i="2"/>
  <c r="O1249" i="2"/>
  <c r="O7" i="2"/>
  <c r="O538" i="2"/>
  <c r="O1253" i="2"/>
  <c r="O533" i="2"/>
  <c r="O19" i="2"/>
  <c r="O1370" i="2"/>
  <c r="O1409" i="2"/>
  <c r="O1534" i="2"/>
  <c r="O1440" i="2"/>
  <c r="O748" i="2"/>
  <c r="O1339" i="2"/>
  <c r="O599" i="2"/>
  <c r="O643" i="2"/>
  <c r="O1443" i="2"/>
  <c r="O1425" i="2"/>
  <c r="O1490" i="2"/>
  <c r="O861" i="2"/>
  <c r="O1347" i="2"/>
  <c r="O1348" i="2"/>
  <c r="O1492" i="2"/>
  <c r="O1529" i="2"/>
  <c r="O740" i="2"/>
  <c r="O1029" i="2"/>
  <c r="O1315" i="2"/>
  <c r="O1408" i="2"/>
  <c r="O1135" i="2"/>
  <c r="O1150" i="2"/>
  <c r="O706" i="2"/>
  <c r="O1343" i="2"/>
  <c r="O1435" i="2"/>
  <c r="O1436" i="2"/>
  <c r="O1449" i="2"/>
  <c r="O1450" i="2"/>
  <c r="O1352" i="2"/>
  <c r="O1513" i="2"/>
  <c r="O856" i="2"/>
  <c r="O668" i="2"/>
  <c r="O1530" i="2"/>
  <c r="O694" i="2"/>
  <c r="O1430" i="2"/>
  <c r="O700" i="2"/>
  <c r="O641" i="2"/>
  <c r="O1090" i="2"/>
  <c r="O583" i="2"/>
  <c r="O584" i="2"/>
  <c r="O1415" i="2"/>
  <c r="O727" i="2"/>
  <c r="O1139" i="2"/>
  <c r="O1355" i="2"/>
  <c r="O728" i="2"/>
  <c r="O511" i="2"/>
  <c r="O746" i="2"/>
  <c r="O639" i="2"/>
  <c r="O1778" i="2"/>
  <c r="O1437" i="2"/>
  <c r="O905" i="2"/>
  <c r="O1493" i="2"/>
  <c r="O1521" i="2"/>
  <c r="O1522" i="2"/>
  <c r="O1174" i="2"/>
  <c r="O578" i="2"/>
  <c r="O854" i="2"/>
  <c r="O1178" i="2"/>
  <c r="O863" i="2"/>
  <c r="O507" i="2"/>
  <c r="O1170" i="2"/>
  <c r="O820" i="2"/>
  <c r="O1523" i="2"/>
  <c r="O1524" i="2"/>
  <c r="O1141" i="2"/>
  <c r="O931" i="2"/>
  <c r="O910" i="2"/>
  <c r="O1394" i="2"/>
  <c r="O1395" i="2"/>
  <c r="O1041" i="2"/>
  <c r="O812" i="2"/>
  <c r="O1396" i="2"/>
  <c r="O28" i="2"/>
  <c r="O1044" i="2"/>
  <c r="O1112" i="2"/>
  <c r="O799" i="2"/>
  <c r="O151" i="2"/>
  <c r="O918" i="2"/>
  <c r="O1461" i="2"/>
  <c r="O518" i="2"/>
  <c r="O1137" i="2"/>
  <c r="O729" i="2"/>
  <c r="O867" i="2"/>
  <c r="O1031" i="2"/>
  <c r="O780" i="2"/>
  <c r="O777" i="2"/>
  <c r="O675" i="2"/>
  <c r="O1037" i="2"/>
  <c r="O676" i="2"/>
  <c r="O657" i="2"/>
  <c r="O623" i="2"/>
  <c r="O624" i="2"/>
  <c r="O926" i="2"/>
  <c r="O589" i="2"/>
  <c r="O665" i="2"/>
  <c r="O810" i="2"/>
  <c r="O928" i="2"/>
  <c r="O654" i="2"/>
  <c r="O523" i="2"/>
  <c r="O769" i="2"/>
  <c r="O702" i="2"/>
  <c r="O1133" i="2"/>
  <c r="O846" i="2"/>
  <c r="O677" i="2"/>
  <c r="O1131" i="2"/>
  <c r="O858" i="2"/>
  <c r="O1341" i="2"/>
  <c r="O1779" i="2"/>
  <c r="O1068" i="2"/>
  <c r="O661" i="2"/>
  <c r="O1127" i="2"/>
  <c r="O1129" i="2"/>
  <c r="O145" i="2"/>
  <c r="O1505" i="2"/>
  <c r="O605" i="2"/>
  <c r="O161" i="2"/>
  <c r="O191" i="2"/>
  <c r="O783" i="2"/>
  <c r="O851" i="2"/>
  <c r="O123" i="2"/>
  <c r="O257" i="2"/>
  <c r="O1143" i="2"/>
  <c r="O1780" i="2"/>
  <c r="O1496" i="2"/>
  <c r="O1497" i="2"/>
  <c r="O865" i="2"/>
  <c r="O1459" i="2"/>
  <c r="O266" i="2"/>
  <c r="O907" i="2"/>
  <c r="O1410" i="2"/>
  <c r="O1411" i="2"/>
  <c r="O730" i="2"/>
  <c r="O242" i="2"/>
  <c r="O513" i="2"/>
  <c r="O806" i="2"/>
  <c r="O1165" i="2"/>
  <c r="O1226" i="2"/>
  <c r="O1397" i="2"/>
  <c r="O515" i="2"/>
  <c r="O56" i="2"/>
  <c r="O1454" i="2"/>
  <c r="O1462" i="2"/>
  <c r="O502" i="2"/>
  <c r="O1254" i="2"/>
  <c r="O1310" i="2"/>
  <c r="O1334" i="2"/>
  <c r="O483" i="2"/>
  <c r="O16" i="2"/>
  <c r="O621" i="2"/>
  <c r="O574" i="2"/>
  <c r="O580" i="2"/>
  <c r="O2" i="2"/>
  <c r="O497" i="2"/>
  <c r="O503" i="2"/>
  <c r="O484" i="2"/>
  <c r="O1241" i="2"/>
  <c r="O18" i="2"/>
  <c r="O43" i="2"/>
  <c r="O45" i="2"/>
  <c r="O44" i="2"/>
  <c r="O504" i="2"/>
  <c r="O15" i="2"/>
  <c r="O1316" i="2"/>
  <c r="O46" i="2"/>
  <c r="O1255" i="2"/>
  <c r="O1256" i="2"/>
  <c r="O1257" i="2"/>
  <c r="O64" i="2"/>
  <c r="O1258" i="2"/>
  <c r="O646" i="2"/>
  <c r="O800" i="2"/>
  <c r="O498" i="2"/>
  <c r="O1428" i="2"/>
  <c r="O1460" i="2"/>
  <c r="O575" i="2"/>
  <c r="O67" i="2"/>
  <c r="O1500" i="2"/>
  <c r="O1369" i="2"/>
  <c r="O1377" i="2"/>
  <c r="O807" i="2"/>
  <c r="O1320" i="2"/>
  <c r="O48" i="2"/>
  <c r="O1520" i="2"/>
  <c r="O767" i="2"/>
  <c r="O768" i="2"/>
  <c r="O1022" i="2"/>
  <c r="O55" i="2"/>
  <c r="O749" i="2"/>
  <c r="O1055" i="2"/>
  <c r="O485" i="2"/>
  <c r="O1260" i="2"/>
  <c r="O839" i="2"/>
  <c r="O600" i="2"/>
  <c r="O644" i="2"/>
  <c r="O1261" i="2"/>
  <c r="O499" i="2"/>
  <c r="O1262" i="2"/>
  <c r="O1354" i="2"/>
  <c r="O715" i="2"/>
  <c r="O862" i="2"/>
  <c r="O1349" i="2"/>
  <c r="O1228" i="2"/>
  <c r="O1378" i="2"/>
  <c r="O1350" i="2"/>
  <c r="O934" i="2"/>
  <c r="O1446" i="2"/>
  <c r="O1215" i="2"/>
  <c r="O716" i="2"/>
  <c r="O739" i="2"/>
  <c r="O1030" i="2"/>
  <c r="O948" i="2"/>
  <c r="O1421" i="2"/>
  <c r="O717" i="2"/>
  <c r="O1045" i="2"/>
  <c r="O1263" i="2"/>
  <c r="O1488" i="2"/>
  <c r="O1264" i="2"/>
  <c r="O50" i="2"/>
  <c r="O1136" i="2"/>
  <c r="O1091" i="2"/>
  <c r="O1427" i="2"/>
  <c r="O1151" i="2"/>
  <c r="O576" i="2"/>
  <c r="O1344" i="2"/>
  <c r="O1047" i="2"/>
  <c r="O1048" i="2"/>
  <c r="O1265" i="2"/>
  <c r="O486" i="2"/>
  <c r="O49" i="2"/>
  <c r="O1330" i="2"/>
  <c r="O1434" i="2"/>
  <c r="O880" i="2"/>
  <c r="O1331" i="2"/>
  <c r="O1451" i="2"/>
  <c r="O1266" i="2"/>
  <c r="O1514" i="2"/>
  <c r="O1540" i="2"/>
  <c r="O1353" i="2"/>
  <c r="O857" i="2"/>
  <c r="O669" i="2"/>
  <c r="O1531" i="2"/>
  <c r="O695" i="2"/>
  <c r="O1431" i="2"/>
  <c r="O622" i="2"/>
  <c r="O607" i="2"/>
  <c r="O701" i="2"/>
  <c r="O642" i="2"/>
  <c r="O990" i="2"/>
  <c r="O5" i="2"/>
  <c r="O1092" i="2"/>
  <c r="O1168" i="2"/>
  <c r="O585" i="2"/>
  <c r="O586" i="2"/>
  <c r="O1267" i="2"/>
  <c r="O803" i="2"/>
  <c r="O723" i="2"/>
  <c r="O898" i="2"/>
  <c r="O1140" i="2"/>
  <c r="O1268" i="2"/>
  <c r="O1269" i="2"/>
  <c r="O724" i="2"/>
  <c r="O512" i="2"/>
  <c r="O747" i="2"/>
  <c r="O640" i="2"/>
  <c r="O353" i="2"/>
  <c r="O1479" i="2"/>
  <c r="O906" i="2"/>
  <c r="O1494" i="2"/>
  <c r="O1270" i="2"/>
  <c r="O3" i="2"/>
  <c r="O1525" i="2"/>
  <c r="O1175" i="2"/>
  <c r="O579" i="2"/>
  <c r="O855" i="2"/>
  <c r="O86" i="2"/>
  <c r="O1179" i="2"/>
  <c r="O864" i="2"/>
  <c r="O508" i="2"/>
  <c r="O755" i="2"/>
  <c r="O1171" i="2"/>
  <c r="O87" i="2"/>
  <c r="O916" i="2"/>
  <c r="O821" i="2"/>
  <c r="O1332" i="2"/>
  <c r="O1526" i="2"/>
  <c r="O1142" i="2"/>
  <c r="O1123" i="2"/>
  <c r="O932" i="2"/>
  <c r="O531" i="2"/>
  <c r="O911" i="2"/>
  <c r="O487" i="2"/>
  <c r="O1398" i="2"/>
  <c r="O1042" i="2"/>
  <c r="O813" i="2"/>
  <c r="O532" i="2"/>
  <c r="O1399" i="2"/>
  <c r="O577" i="2"/>
  <c r="O1046" i="2"/>
  <c r="O1271" i="2"/>
  <c r="O1113" i="2"/>
  <c r="O801" i="2"/>
  <c r="O152" i="2"/>
  <c r="O919" i="2"/>
  <c r="O908" i="2"/>
  <c r="O1335" i="2"/>
  <c r="O1463" i="2"/>
  <c r="O519" i="2"/>
  <c r="O1138" i="2"/>
  <c r="O4" i="2"/>
  <c r="O725" i="2"/>
  <c r="O924" i="2"/>
  <c r="O868" i="2"/>
  <c r="O1032" i="2"/>
  <c r="O781" i="2"/>
  <c r="O52" i="2"/>
  <c r="O778" i="2"/>
  <c r="O914" i="2"/>
  <c r="O678" i="2"/>
  <c r="O920" i="2"/>
  <c r="O887" i="2"/>
  <c r="O847" i="2"/>
  <c r="O734" i="2"/>
  <c r="O1038" i="2"/>
  <c r="O679" i="2"/>
  <c r="O658" i="2"/>
  <c r="O293" i="2"/>
  <c r="O921" i="2"/>
  <c r="O625" i="2"/>
  <c r="O626" i="2"/>
  <c r="O927" i="2"/>
  <c r="O590" i="2"/>
  <c r="O922" i="2"/>
  <c r="O666" i="2"/>
  <c r="O811" i="2"/>
  <c r="O929" i="2"/>
  <c r="O754" i="2"/>
  <c r="O1272" i="2"/>
  <c r="O770" i="2"/>
  <c r="O703" i="2"/>
  <c r="O1134" i="2"/>
  <c r="O848" i="2"/>
  <c r="O1444" i="2"/>
  <c r="O1035" i="2"/>
  <c r="O680" i="2"/>
  <c r="O1132" i="2"/>
  <c r="O859" i="2"/>
  <c r="O991" i="2"/>
  <c r="O1535" i="2"/>
  <c r="O1273" i="2"/>
  <c r="O878" i="2"/>
  <c r="O840" i="2"/>
  <c r="O1069" i="2"/>
  <c r="O662" i="2"/>
  <c r="O1484" i="2"/>
  <c r="O1128" i="2"/>
  <c r="O1176" i="2"/>
  <c r="O860" i="2"/>
  <c r="O1130" i="2"/>
  <c r="O148" i="2"/>
  <c r="O548" i="2"/>
  <c r="O1504" i="2"/>
  <c r="O606" i="2"/>
  <c r="O162" i="2"/>
  <c r="O51" i="2"/>
  <c r="O782" i="2"/>
  <c r="O53" i="2"/>
  <c r="O189" i="2"/>
  <c r="O1274" i="2"/>
  <c r="O1043" i="2"/>
  <c r="O852" i="2"/>
  <c r="O1152" i="2"/>
  <c r="O1114" i="2"/>
  <c r="O784" i="2"/>
  <c r="O853" i="2"/>
  <c r="O1464" i="2"/>
  <c r="O124" i="2"/>
  <c r="O923" i="2"/>
  <c r="O1732" i="2"/>
  <c r="O779" i="2"/>
  <c r="O258" i="2"/>
  <c r="O1741" i="2"/>
  <c r="O1177" i="2"/>
  <c r="O785" i="2"/>
  <c r="O1231" i="2"/>
  <c r="O915" i="2"/>
  <c r="O1483" i="2"/>
  <c r="O1372" i="2"/>
  <c r="O1275" i="2"/>
  <c r="O771" i="2"/>
  <c r="O802" i="2"/>
  <c r="O808" i="2"/>
  <c r="O1276" i="2"/>
  <c r="O1738" i="2"/>
  <c r="O1498" i="2"/>
  <c r="O1480" i="2"/>
  <c r="O866" i="2"/>
  <c r="O1455" i="2"/>
  <c r="O267" i="2"/>
  <c r="O1277" i="2"/>
  <c r="O542" i="2"/>
  <c r="O1503" i="2"/>
  <c r="O1278" i="2"/>
  <c r="O1172" i="2"/>
  <c r="O909" i="2"/>
  <c r="O1279" i="2"/>
  <c r="O1173" i="2"/>
  <c r="O930" i="2"/>
  <c r="O1412" i="2"/>
  <c r="O726" i="2"/>
  <c r="O243" i="2"/>
  <c r="O1166" i="2"/>
  <c r="O1734" i="2"/>
  <c r="O1731" i="2"/>
  <c r="O514" i="2"/>
  <c r="O101" i="2"/>
  <c r="O102" i="2"/>
  <c r="O1234" i="2"/>
  <c r="O809" i="2"/>
  <c r="O1167" i="2"/>
  <c r="O1227" i="2"/>
  <c r="O1313" i="2"/>
  <c r="O516" i="2"/>
  <c r="O1736" i="2"/>
  <c r="O1456" i="2"/>
  <c r="O1280" i="2"/>
  <c r="O1543" i="2"/>
  <c r="O1281" i="2"/>
  <c r="O505" i="2"/>
  <c r="O1740" i="2"/>
  <c r="O1416" i="2"/>
  <c r="O637" i="2"/>
  <c r="O1282" i="2"/>
  <c r="O1283" i="2"/>
  <c r="O1465" i="2"/>
  <c r="O1400" i="2"/>
  <c r="O1284" i="2"/>
  <c r="O1373" i="2"/>
  <c r="O1466" i="2"/>
  <c r="O1285" i="2"/>
  <c r="O1286" i="2"/>
  <c r="O488" i="2"/>
  <c r="O756" i="2"/>
  <c r="O757" i="2"/>
  <c r="O1287" i="2"/>
  <c r="O1417" i="2"/>
  <c r="O1180" i="2"/>
  <c r="O718" i="2"/>
  <c r="O1418" i="2"/>
  <c r="O492" i="2"/>
  <c r="O1288" i="2"/>
  <c r="O289" i="2"/>
  <c r="O1774" i="2"/>
  <c r="O1289" i="2"/>
  <c r="O581" i="2"/>
  <c r="O493" i="2"/>
  <c r="O1290" i="2"/>
  <c r="O1036" i="2"/>
  <c r="O489" i="2"/>
  <c r="O1291" i="2"/>
  <c r="O1292" i="2"/>
  <c r="O1293" i="2"/>
  <c r="O12" i="2"/>
  <c r="O1294" i="2"/>
  <c r="O1295" i="2"/>
  <c r="O1445" i="2"/>
  <c r="O506" i="2"/>
  <c r="O524" i="2"/>
  <c r="O494" i="2"/>
  <c r="O1296" i="2"/>
  <c r="O1775" i="2"/>
  <c r="O1297" i="2"/>
  <c r="O1776" i="2"/>
  <c r="O758" i="2"/>
  <c r="O1298" i="2"/>
  <c r="O1299" i="2"/>
  <c r="O925" i="2"/>
  <c r="O495" i="2"/>
  <c r="O500" i="2"/>
  <c r="O501" i="2"/>
  <c r="O1300" i="2"/>
  <c r="O1311" i="2"/>
  <c r="O129" i="2"/>
  <c r="O1301" i="2"/>
  <c r="O772" i="2"/>
  <c r="O773" i="2"/>
  <c r="O774" i="2"/>
  <c r="O775" i="2"/>
  <c r="O776" i="2"/>
  <c r="O591" i="2"/>
  <c r="O592" i="2"/>
  <c r="O789" i="2"/>
  <c r="O790" i="2"/>
  <c r="O791" i="2"/>
  <c r="O792" i="2"/>
  <c r="O793" i="2"/>
  <c r="O794" i="2"/>
  <c r="O795" i="2"/>
  <c r="O796" i="2"/>
  <c r="O797" i="2"/>
  <c r="O66" i="2"/>
  <c r="O290" i="2"/>
  <c r="O364" i="2"/>
  <c r="O365" i="2"/>
  <c r="O366" i="2"/>
  <c r="O367" i="2"/>
  <c r="O368" i="2"/>
  <c r="O804" i="2"/>
  <c r="O805" i="2"/>
  <c r="O70" i="2"/>
  <c r="O601" i="2"/>
  <c r="O602" i="2"/>
  <c r="O603" i="2"/>
  <c r="O604" i="2"/>
  <c r="O74" i="2"/>
  <c r="O75" i="2"/>
  <c r="O131" i="2"/>
  <c r="O1321" i="2"/>
  <c r="O1322" i="2"/>
  <c r="O1323" i="2"/>
  <c r="O1324" i="2"/>
  <c r="O1325" i="2"/>
  <c r="O1326" i="2"/>
  <c r="O1327" i="2"/>
  <c r="O1333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1336" i="2"/>
  <c r="O1337" i="2"/>
  <c r="O76" i="2"/>
  <c r="O77" i="2"/>
  <c r="O78" i="2"/>
  <c r="O79" i="2"/>
  <c r="O1340" i="2"/>
  <c r="O841" i="2"/>
  <c r="O842" i="2"/>
  <c r="O843" i="2"/>
  <c r="O844" i="2"/>
  <c r="O845" i="2"/>
  <c r="O81" i="2"/>
  <c r="O611" i="2"/>
  <c r="O612" i="2"/>
  <c r="O849" i="2"/>
  <c r="O372" i="2"/>
  <c r="O373" i="2"/>
  <c r="O374" i="2"/>
  <c r="O375" i="2"/>
  <c r="O376" i="2"/>
  <c r="O377" i="2"/>
  <c r="O378" i="2"/>
  <c r="O379" i="2"/>
  <c r="O380" i="2"/>
  <c r="O614" i="2"/>
  <c r="O627" i="2"/>
  <c r="O628" i="2"/>
  <c r="O629" i="2"/>
  <c r="O1345" i="2"/>
  <c r="O100" i="2"/>
  <c r="O1735" i="2"/>
  <c r="O543" i="2"/>
  <c r="O103" i="2"/>
  <c r="O302" i="2"/>
  <c r="O303" i="2"/>
  <c r="O304" i="2"/>
  <c r="O305" i="2"/>
  <c r="O306" i="2"/>
  <c r="O307" i="2"/>
  <c r="O308" i="2"/>
  <c r="O1544" i="2"/>
  <c r="O312" i="2"/>
  <c r="O313" i="2"/>
  <c r="O631" i="2"/>
  <c r="O1346" i="2"/>
  <c r="O1302" i="2"/>
  <c r="O1351" i="2"/>
  <c r="O1356" i="2"/>
  <c r="O1357" i="2"/>
  <c r="O1358" i="2"/>
  <c r="O1359" i="2"/>
  <c r="O1360" i="2"/>
  <c r="O509" i="2"/>
  <c r="O510" i="2"/>
  <c r="O1361" i="2"/>
  <c r="O869" i="2"/>
  <c r="O870" i="2"/>
  <c r="O871" i="2"/>
  <c r="O872" i="2"/>
  <c r="O873" i="2"/>
  <c r="O874" i="2"/>
  <c r="O875" i="2"/>
  <c r="O876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5" i="2"/>
  <c r="O126" i="2"/>
  <c r="O127" i="2"/>
  <c r="O128" i="2"/>
  <c r="O130" i="2"/>
  <c r="O1363" i="2"/>
  <c r="O1364" i="2"/>
  <c r="O1365" i="2"/>
  <c r="O1366" i="2"/>
  <c r="O1367" i="2"/>
  <c r="O550" i="2"/>
  <c r="O551" i="2"/>
  <c r="O552" i="2"/>
  <c r="O140" i="2"/>
  <c r="O553" i="2"/>
  <c r="O554" i="2"/>
  <c r="O555" i="2"/>
  <c r="O556" i="2"/>
  <c r="O634" i="2"/>
  <c r="O877" i="2"/>
  <c r="O142" i="2"/>
  <c r="O144" i="2"/>
  <c r="O1374" i="2"/>
  <c r="O1375" i="2"/>
  <c r="O1376" i="2"/>
  <c r="O557" i="2"/>
  <c r="O150" i="2"/>
  <c r="O879" i="2"/>
  <c r="O154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881" i="2"/>
  <c r="O882" i="2"/>
  <c r="O883" i="2"/>
  <c r="O888" i="2"/>
  <c r="O889" i="2"/>
  <c r="O1392" i="2"/>
  <c r="O1393" i="2"/>
  <c r="O899" i="2"/>
  <c r="O900" i="2"/>
  <c r="O901" i="2"/>
  <c r="O902" i="2"/>
  <c r="O903" i="2"/>
  <c r="O904" i="2"/>
  <c r="O1401" i="2"/>
  <c r="O1402" i="2"/>
  <c r="O1403" i="2"/>
  <c r="O1405" i="2"/>
  <c r="O1406" i="2"/>
  <c r="O1413" i="2"/>
  <c r="O1414" i="2"/>
  <c r="O638" i="2"/>
  <c r="O1419" i="2"/>
  <c r="O163" i="2"/>
  <c r="O164" i="2"/>
  <c r="O165" i="2"/>
  <c r="O166" i="2"/>
  <c r="O167" i="2"/>
  <c r="O168" i="2"/>
  <c r="O169" i="2"/>
  <c r="O170" i="2"/>
  <c r="O171" i="2"/>
  <c r="O172" i="2"/>
  <c r="O558" i="2"/>
  <c r="O559" i="2"/>
  <c r="O1422" i="2"/>
  <c r="O1423" i="2"/>
  <c r="O1424" i="2"/>
  <c r="O173" i="2"/>
  <c r="O174" i="2"/>
  <c r="O560" i="2"/>
  <c r="O175" i="2"/>
  <c r="O561" i="2"/>
  <c r="O645" i="2"/>
  <c r="O647" i="2"/>
  <c r="O182" i="2"/>
  <c r="O183" i="2"/>
  <c r="O1426" i="2"/>
  <c r="O650" i="2"/>
  <c r="O31" i="2"/>
  <c r="O186" i="2"/>
  <c r="O187" i="2"/>
  <c r="O188" i="2"/>
  <c r="O1433" i="2"/>
  <c r="O1438" i="2"/>
  <c r="O1439" i="2"/>
  <c r="O192" i="2"/>
  <c r="O1441" i="2"/>
  <c r="O334" i="2"/>
  <c r="O428" i="2"/>
  <c r="O429" i="2"/>
  <c r="O430" i="2"/>
  <c r="O431" i="2"/>
  <c r="O432" i="2"/>
  <c r="O433" i="2"/>
  <c r="O434" i="2"/>
  <c r="O435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92" i="2"/>
  <c r="O993" i="2"/>
  <c r="O994" i="2"/>
  <c r="O995" i="2"/>
  <c r="O996" i="2"/>
  <c r="O997" i="2"/>
  <c r="O998" i="2"/>
  <c r="O999" i="2"/>
  <c r="O1000" i="2"/>
  <c r="O1001" i="2"/>
  <c r="O1023" i="2"/>
  <c r="O1024" i="2"/>
  <c r="O1025" i="2"/>
  <c r="O1026" i="2"/>
  <c r="O1027" i="2"/>
  <c r="O1028" i="2"/>
  <c r="O652" i="2"/>
  <c r="O653" i="2"/>
  <c r="O659" i="2"/>
  <c r="O660" i="2"/>
  <c r="O1457" i="2"/>
  <c r="O1458" i="2"/>
  <c r="O663" i="2"/>
  <c r="O570" i="2"/>
  <c r="O195" i="2"/>
  <c r="O196" i="2"/>
  <c r="O197" i="2"/>
  <c r="O1467" i="2"/>
  <c r="O1468" i="2"/>
  <c r="O1469" i="2"/>
  <c r="O1470" i="2"/>
  <c r="O1471" i="2"/>
  <c r="O1472" i="2"/>
  <c r="O1473" i="2"/>
  <c r="O1474" i="2"/>
  <c r="O1475" i="2"/>
  <c r="O1476" i="2"/>
  <c r="O336" i="2"/>
  <c r="O337" i="2"/>
  <c r="O1478" i="2"/>
  <c r="O198" i="2"/>
  <c r="O199" i="2"/>
  <c r="O200" i="2"/>
  <c r="O201" i="2"/>
  <c r="O1481" i="2"/>
  <c r="O1482" i="2"/>
  <c r="O517" i="2"/>
  <c r="O1485" i="2"/>
  <c r="O1489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1491" i="2"/>
  <c r="O1049" i="2"/>
  <c r="O444" i="2"/>
  <c r="O1050" i="2"/>
  <c r="O1051" i="2"/>
  <c r="O1052" i="2"/>
  <c r="O445" i="2"/>
  <c r="O446" i="2"/>
  <c r="O447" i="2"/>
  <c r="O448" i="2"/>
  <c r="O449" i="2"/>
  <c r="O450" i="2"/>
  <c r="O451" i="2"/>
  <c r="O456" i="2"/>
  <c r="O457" i="2"/>
  <c r="O458" i="2"/>
  <c r="O1056" i="2"/>
  <c r="O1057" i="2"/>
  <c r="O1058" i="2"/>
  <c r="O228" i="2"/>
  <c r="O1059" i="2"/>
  <c r="O1060" i="2"/>
  <c r="O1061" i="2"/>
  <c r="O1062" i="2"/>
  <c r="O1063" i="2"/>
  <c r="O1064" i="2"/>
  <c r="O1065" i="2"/>
  <c r="O1066" i="2"/>
  <c r="O1067" i="2"/>
  <c r="O664" i="2"/>
  <c r="O1070" i="2"/>
  <c r="O1071" i="2"/>
  <c r="O229" i="2"/>
  <c r="O230" i="2"/>
  <c r="O231" i="2"/>
  <c r="O232" i="2"/>
  <c r="O233" i="2"/>
  <c r="O234" i="2"/>
  <c r="O235" i="2"/>
  <c r="O236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495" i="2"/>
  <c r="O1115" i="2"/>
  <c r="O1116" i="2"/>
  <c r="O1117" i="2"/>
  <c r="O1118" i="2"/>
  <c r="O1119" i="2"/>
  <c r="O239" i="2"/>
  <c r="O240" i="2"/>
  <c r="O241" i="2"/>
  <c r="O244" i="2"/>
  <c r="O1124" i="2"/>
  <c r="O1125" i="2"/>
  <c r="O1126" i="2"/>
  <c r="O459" i="2"/>
  <c r="O460" i="2"/>
  <c r="O245" i="2"/>
  <c r="O522" i="2"/>
  <c r="O462" i="2"/>
  <c r="O463" i="2"/>
  <c r="O464" i="2"/>
  <c r="O465" i="2"/>
  <c r="O466" i="2"/>
  <c r="O467" i="2"/>
  <c r="O468" i="2"/>
  <c r="O469" i="2"/>
  <c r="O470" i="2"/>
  <c r="O248" i="2"/>
  <c r="O681" i="2"/>
  <c r="O683" i="2"/>
  <c r="O525" i="2"/>
  <c r="O526" i="2"/>
  <c r="O527" i="2"/>
  <c r="O528" i="2"/>
  <c r="O1506" i="2"/>
  <c r="O1508" i="2"/>
  <c r="O688" i="2"/>
  <c r="O689" i="2"/>
  <c r="O690" i="2"/>
  <c r="O691" i="2"/>
  <c r="O692" i="2"/>
  <c r="O1509" i="2"/>
  <c r="O1510" i="2"/>
  <c r="O696" i="2"/>
  <c r="O249" i="2"/>
  <c r="O704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733" i="2"/>
  <c r="O255" i="2"/>
  <c r="O256" i="2"/>
  <c r="O571" i="2"/>
  <c r="O572" i="2"/>
  <c r="O1169" i="2"/>
  <c r="O351" i="2"/>
  <c r="O352" i="2"/>
  <c r="O1515" i="2"/>
  <c r="O1516" i="2"/>
  <c r="O1517" i="2"/>
  <c r="O1518" i="2"/>
  <c r="O1519" i="2"/>
  <c r="O708" i="2"/>
  <c r="O259" i="2"/>
  <c r="O260" i="2"/>
  <c r="O261" i="2"/>
  <c r="O262" i="2"/>
  <c r="O1242" i="2"/>
  <c r="O1243" i="2"/>
  <c r="O263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1244" i="2"/>
  <c r="O1527" i="2"/>
  <c r="O1528" i="2"/>
  <c r="O283" i="2"/>
  <c r="O1532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731" i="2"/>
  <c r="O732" i="2"/>
  <c r="O285" i="2"/>
  <c r="O286" i="2"/>
  <c r="O741" i="2"/>
  <c r="O742" i="2"/>
  <c r="O490" i="2"/>
  <c r="O743" i="2"/>
  <c r="O744" i="2"/>
  <c r="O535" i="2"/>
  <c r="O536" i="2"/>
  <c r="O537" i="2"/>
  <c r="O1536" i="2"/>
  <c r="O1537" i="2"/>
  <c r="O1538" i="2"/>
  <c r="O1197" i="2"/>
  <c r="O1198" i="2"/>
  <c r="O1199" i="2"/>
  <c r="O480" i="2"/>
  <c r="O1200" i="2"/>
  <c r="O1201" i="2"/>
  <c r="O1202" i="2"/>
  <c r="O1203" i="2"/>
  <c r="O1216" i="2"/>
  <c r="O1217" i="2"/>
  <c r="O1218" i="2"/>
  <c r="O1219" i="2"/>
  <c r="O1220" i="2"/>
  <c r="O1221" i="2"/>
  <c r="O1222" i="2"/>
  <c r="O1223" i="2"/>
  <c r="O1224" i="2"/>
  <c r="O1225" i="2"/>
  <c r="O750" i="2"/>
  <c r="O751" i="2"/>
  <c r="O752" i="2"/>
  <c r="O1739" i="2"/>
  <c r="O546" i="2"/>
  <c r="O547" i="2"/>
  <c r="O1542" i="2"/>
  <c r="O54" i="2"/>
  <c r="O1232" i="2"/>
  <c r="O1312" i="2"/>
  <c r="O1317" i="2"/>
  <c r="O1318" i="2"/>
  <c r="O1319" i="2"/>
  <c r="O1328" i="2"/>
  <c r="O1329" i="2"/>
  <c r="O1342" i="2"/>
  <c r="O1362" i="2"/>
  <c r="O1368" i="2"/>
  <c r="O787" i="2"/>
  <c r="O788" i="2"/>
  <c r="O61" i="2"/>
  <c r="O798" i="2"/>
  <c r="O1371" i="2"/>
  <c r="O850" i="2"/>
  <c r="O381" i="2"/>
  <c r="O382" i="2"/>
  <c r="O383" i="2"/>
  <c r="O384" i="2"/>
  <c r="O385" i="2"/>
  <c r="O386" i="2"/>
  <c r="O387" i="2"/>
  <c r="O388" i="2"/>
  <c r="O389" i="2"/>
  <c r="O390" i="2"/>
  <c r="O1379" i="2"/>
  <c r="O391" i="2"/>
  <c r="O392" i="2"/>
  <c r="O90" i="2"/>
  <c r="O91" i="2"/>
  <c r="O92" i="2"/>
  <c r="O93" i="2"/>
  <c r="O94" i="2"/>
  <c r="O95" i="2"/>
  <c r="O96" i="2"/>
  <c r="O97" i="2"/>
  <c r="O98" i="2"/>
  <c r="O618" i="2"/>
  <c r="O539" i="2"/>
  <c r="O710" i="2"/>
  <c r="O1239" i="2"/>
  <c r="O719" i="2"/>
  <c r="O529" i="2"/>
  <c r="O682" i="2"/>
  <c r="O616" i="2"/>
  <c r="O667" i="2"/>
  <c r="O705" i="2"/>
  <c r="O530" i="2"/>
  <c r="O582" i="2"/>
  <c r="O735" i="2"/>
  <c r="O62" i="2"/>
  <c r="O411" i="2"/>
  <c r="O184" i="2"/>
  <c r="O393" i="2"/>
  <c r="O439" i="2"/>
  <c r="O149" i="2"/>
  <c r="O71" i="2"/>
  <c r="O104" i="2"/>
  <c r="O132" i="2"/>
  <c r="O407" i="2"/>
  <c r="O481" i="2"/>
  <c r="O158" i="2"/>
  <c r="O251" i="2"/>
  <c r="O324" i="2"/>
  <c r="O325" i="2"/>
  <c r="O409" i="2"/>
  <c r="O326" i="2"/>
  <c r="O684" i="2"/>
  <c r="O155" i="2"/>
  <c r="O156" i="2"/>
  <c r="O707" i="2"/>
  <c r="O157" i="2"/>
  <c r="O58" i="2"/>
  <c r="O327" i="2"/>
  <c r="O912" i="2"/>
  <c r="O82" i="2"/>
  <c r="O354" i="2"/>
  <c r="O176" i="2"/>
  <c r="O80" i="2"/>
  <c r="O252" i="2"/>
  <c r="O412" i="2"/>
  <c r="O413" i="2"/>
  <c r="O414" i="2"/>
  <c r="O415" i="2"/>
  <c r="O136" i="2"/>
  <c r="O648" i="2"/>
  <c r="O410" i="2"/>
  <c r="O284" i="2"/>
  <c r="O436" i="2"/>
  <c r="O357" i="2"/>
  <c r="O471" i="2"/>
  <c r="O474" i="2"/>
  <c r="O651" i="2"/>
  <c r="O562" i="2"/>
  <c r="O563" i="2"/>
  <c r="O564" i="2"/>
  <c r="O565" i="2"/>
  <c r="O566" i="2"/>
  <c r="O461" i="2"/>
  <c r="O567" i="2"/>
  <c r="O568" i="2"/>
  <c r="O569" i="2"/>
  <c r="O1034" i="2"/>
  <c r="O287" i="2"/>
  <c r="O57" i="2"/>
  <c r="O1245" i="2"/>
  <c r="O84" i="2"/>
  <c r="O178" i="2"/>
  <c r="O59" i="2"/>
  <c r="O1545" i="2"/>
  <c r="O1452" i="2"/>
  <c r="O759" i="2"/>
  <c r="O1453" i="2"/>
  <c r="O1146" i="2"/>
  <c r="O1147" i="2"/>
  <c r="O1148" i="2"/>
  <c r="O1149" i="2"/>
  <c r="O697" i="2"/>
  <c r="O711" i="2"/>
  <c r="O720" i="2"/>
  <c r="O698" i="2"/>
  <c r="O617" i="2"/>
  <c r="O60" i="2"/>
  <c r="O733" i="2"/>
  <c r="O608" i="2"/>
  <c r="O609" i="2"/>
  <c r="O593" i="2"/>
  <c r="O613" i="2"/>
  <c r="O615" i="2"/>
  <c r="O1229" i="2"/>
  <c r="O1230" i="2"/>
  <c r="O649" i="2"/>
  <c r="O760" i="2"/>
  <c r="O761" i="2"/>
  <c r="O762" i="2"/>
  <c r="O763" i="2"/>
  <c r="O736" i="2"/>
  <c r="O745" i="2"/>
  <c r="O737" i="2"/>
  <c r="O721" i="2"/>
  <c r="O722" i="2"/>
  <c r="O699" i="2"/>
  <c r="O712" i="2"/>
  <c r="O619" i="2"/>
  <c r="O764" i="2"/>
  <c r="O765" i="2"/>
  <c r="O766" i="2"/>
  <c r="O291" i="2"/>
  <c r="O292" i="2"/>
  <c r="O534" i="2"/>
  <c r="O540" i="2"/>
  <c r="O541" i="2"/>
  <c r="O544" i="2"/>
  <c r="O545" i="2"/>
  <c r="O1236" i="2"/>
  <c r="O1237" i="2"/>
  <c r="O1238" i="2"/>
  <c r="O1240" i="2"/>
  <c r="O1246" i="2"/>
  <c r="O1247" i="2"/>
  <c r="O1252" i="2"/>
  <c r="O1486" i="2"/>
  <c r="O13" i="2"/>
  <c r="O1499" i="2"/>
  <c r="O1501" i="2"/>
  <c r="O1511" i="2"/>
  <c r="O1512" i="2"/>
  <c r="O1533" i="2"/>
  <c r="O1546" i="2"/>
  <c r="O1547" i="2"/>
  <c r="O1548" i="2"/>
  <c r="O1447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34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303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304" i="2"/>
  <c r="O1639" i="2"/>
  <c r="O1640" i="2"/>
  <c r="O1641" i="2"/>
  <c r="O1642" i="2"/>
  <c r="O1643" i="2"/>
  <c r="O1644" i="2"/>
  <c r="O1645" i="2"/>
  <c r="O1646" i="2"/>
  <c r="O1647" i="2"/>
  <c r="O1648" i="2"/>
  <c r="O14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42" i="2"/>
  <c r="O1743" i="2"/>
  <c r="O1744" i="2"/>
  <c r="O1745" i="2"/>
  <c r="O1746" i="2"/>
  <c r="O1747" i="2"/>
  <c r="O1748" i="2"/>
  <c r="O1749" i="2"/>
  <c r="O1737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7" i="2"/>
  <c r="O1781" i="2"/>
  <c r="O1782" i="2"/>
  <c r="O1783" i="2"/>
  <c r="O1784" i="2"/>
  <c r="O1785" i="2"/>
  <c r="O1730" i="2"/>
  <c r="O408" i="2"/>
  <c r="O482" i="2"/>
  <c r="O573" i="2"/>
  <c r="O1502" i="2"/>
  <c r="O1420" i="2"/>
  <c r="O1251" i="2"/>
  <c r="O122" i="2"/>
  <c r="O1338" i="2"/>
  <c r="O1429" i="2"/>
  <c r="O1235" i="2"/>
  <c r="O1314" i="2"/>
  <c r="O496" i="2"/>
  <c r="O491" i="2"/>
  <c r="O1404" i="2"/>
  <c r="O1477" i="2"/>
  <c r="O1432" i="2"/>
  <c r="O1487" i="2"/>
  <c r="O520" i="2"/>
  <c r="O521" i="2"/>
  <c r="O1002" i="2"/>
  <c r="O1003" i="2"/>
  <c r="O1004" i="2"/>
  <c r="O1005" i="2"/>
  <c r="O935" i="2"/>
  <c r="O25" i="2"/>
  <c r="O202" i="2"/>
  <c r="O72" i="2"/>
  <c r="O1072" i="2"/>
  <c r="O1073" i="2"/>
  <c r="O237" i="2"/>
  <c r="O177" i="2"/>
  <c r="O203" i="2"/>
  <c r="O1204" i="2"/>
  <c r="O369" i="2"/>
  <c r="O85" i="2"/>
  <c r="O204" i="2"/>
  <c r="O238" i="2"/>
  <c r="O394" i="2"/>
  <c r="O472" i="2"/>
  <c r="O473" i="2"/>
  <c r="O288" i="2"/>
  <c r="O253" i="2"/>
  <c r="O205" i="2"/>
  <c r="O185" i="2"/>
  <c r="O88" i="2"/>
  <c r="O890" i="2"/>
  <c r="O246" i="2"/>
  <c r="O63" i="2"/>
  <c r="O206" i="2"/>
  <c r="O83" i="2"/>
  <c r="O137" i="2"/>
  <c r="O207" i="2"/>
  <c r="O416" i="2"/>
  <c r="O330" i="2"/>
  <c r="O264" i="2"/>
  <c r="O1205" i="2"/>
  <c r="O395" i="2"/>
  <c r="O417" i="2"/>
  <c r="O65" i="2"/>
  <c r="O396" i="2"/>
  <c r="O208" i="2"/>
  <c r="O1206" i="2"/>
  <c r="O10" i="2"/>
  <c r="O1207" i="2"/>
  <c r="O1120" i="2"/>
  <c r="O1074" i="2"/>
  <c r="O1075" i="2"/>
  <c r="O1076" i="2"/>
  <c r="O891" i="2"/>
  <c r="O892" i="2"/>
  <c r="O14" i="2"/>
  <c r="O331" i="2"/>
  <c r="O884" i="2"/>
  <c r="O1208" i="2"/>
  <c r="O1209" i="2"/>
  <c r="O1210" i="2"/>
  <c r="O1121" i="2"/>
  <c r="O1211" i="2"/>
  <c r="O917" i="2"/>
  <c r="O1144" i="2"/>
  <c r="O1212" i="2"/>
  <c r="O1122" i="2"/>
  <c r="O179" i="2"/>
  <c r="O913" i="2"/>
  <c r="O89" i="2"/>
  <c r="O250" i="2"/>
  <c r="O315" i="2"/>
  <c r="O1145" i="2"/>
  <c r="O332" i="2"/>
  <c r="O333" i="2"/>
  <c r="O335" i="2"/>
  <c r="O193" i="2"/>
  <c r="O549" i="2"/>
  <c r="O814" i="2"/>
  <c r="O1033" i="2"/>
  <c r="O933" i="2"/>
  <c r="O24" i="2"/>
  <c r="O180" i="2"/>
  <c r="O17" i="2"/>
  <c r="O370" i="2"/>
  <c r="O1006" i="2"/>
  <c r="O1007" i="2"/>
  <c r="O73" i="2"/>
  <c r="O358" i="2"/>
  <c r="O837" i="2"/>
  <c r="O38" i="2"/>
  <c r="O359" i="2"/>
  <c r="O475" i="2"/>
  <c r="O194" i="2"/>
  <c r="O786" i="2"/>
  <c r="O476" i="2"/>
  <c r="O893" i="2"/>
  <c r="O39" i="2"/>
  <c r="O973" i="2"/>
  <c r="O316" i="2"/>
  <c r="O477" i="2"/>
  <c r="O478" i="2"/>
  <c r="O153" i="2"/>
  <c r="O479" i="2"/>
  <c r="O1053" i="2"/>
  <c r="O974" i="2"/>
  <c r="O815" i="2"/>
  <c r="O265" i="2"/>
  <c r="O1077" i="2"/>
  <c r="O317" i="2"/>
  <c r="O68" i="2"/>
  <c r="O33" i="2"/>
  <c r="O440" i="2"/>
  <c r="O1008" i="2"/>
  <c r="O339" i="2"/>
  <c r="O340" i="2"/>
  <c r="O975" i="2"/>
  <c r="O1009" i="2"/>
  <c r="O418" i="2"/>
  <c r="O133" i="2"/>
  <c r="O936" i="2"/>
  <c r="O937" i="2"/>
  <c r="O294" i="2"/>
  <c r="O1010" i="2"/>
  <c r="O318" i="2"/>
  <c r="O1011" i="2"/>
  <c r="O40" i="2"/>
  <c r="O360" i="2"/>
  <c r="O341" i="2"/>
  <c r="O1012" i="2"/>
  <c r="O1013" i="2"/>
  <c r="O1039" i="2"/>
  <c r="O1040" i="2"/>
  <c r="O361" i="2"/>
  <c r="O342" i="2"/>
  <c r="O938" i="2"/>
  <c r="O939" i="2"/>
  <c r="O362" i="2"/>
  <c r="O1014" i="2"/>
  <c r="O343" i="2"/>
  <c r="O319" i="2"/>
  <c r="O976" i="2"/>
  <c r="O940" i="2"/>
  <c r="O363" i="2"/>
  <c r="O328" i="2"/>
  <c r="O344" i="2"/>
  <c r="O329" i="2"/>
  <c r="O894" i="2"/>
  <c r="O816" i="2"/>
  <c r="O817" i="2"/>
  <c r="O190" i="2"/>
  <c r="O320" i="2"/>
  <c r="O345" i="2"/>
  <c r="O346" i="2"/>
  <c r="O441" i="2"/>
  <c r="O442" i="2"/>
  <c r="O443" i="2"/>
  <c r="O419" i="2"/>
  <c r="O420" i="2"/>
  <c r="O321" i="2"/>
  <c r="O347" i="2"/>
  <c r="O1015" i="2"/>
  <c r="O309" i="2"/>
  <c r="O322" i="2"/>
  <c r="O1016" i="2"/>
  <c r="O397" i="2"/>
  <c r="O1017" i="2"/>
  <c r="O421" i="2"/>
  <c r="O295" i="2"/>
  <c r="O437" i="2"/>
  <c r="O438" i="2"/>
  <c r="O348" i="2"/>
  <c r="O422" i="2"/>
  <c r="O941" i="2"/>
  <c r="O838" i="2"/>
  <c r="O452" i="2"/>
  <c r="O942" i="2"/>
  <c r="O1018" i="2"/>
  <c r="O453" i="2"/>
  <c r="O943" i="2"/>
  <c r="O323" i="2"/>
  <c r="O895" i="2"/>
  <c r="O454" i="2"/>
  <c r="O455" i="2"/>
  <c r="O247" i="2"/>
  <c r="O944" i="2"/>
  <c r="O945" i="2"/>
  <c r="O1108" i="2"/>
  <c r="O32" i="2"/>
  <c r="O254" i="2"/>
  <c r="O209" i="2"/>
  <c r="O818" i="2"/>
  <c r="O349" i="2"/>
  <c r="O398" i="2"/>
  <c r="O977" i="2"/>
  <c r="O1019" i="2"/>
  <c r="O1054" i="2"/>
  <c r="O423" i="2"/>
  <c r="O399" i="2"/>
  <c r="O946" i="2"/>
  <c r="O947" i="2"/>
  <c r="O978" i="2"/>
  <c r="O29" i="2"/>
  <c r="O979" i="2"/>
  <c r="O400" i="2"/>
  <c r="O1109" i="2"/>
  <c r="O350" i="2"/>
  <c r="O980" i="2"/>
  <c r="O981" i="2"/>
  <c r="O982" i="2"/>
  <c r="O983" i="2"/>
  <c r="O885" i="2"/>
  <c r="O296" i="2"/>
  <c r="O426" i="2"/>
  <c r="O984" i="2"/>
  <c r="O99" i="2"/>
  <c r="O355" i="2"/>
  <c r="O297" i="2"/>
  <c r="O69" i="2"/>
  <c r="O424" i="2"/>
  <c r="O141" i="2"/>
  <c r="O1213" i="2"/>
  <c r="O135" i="2"/>
  <c r="O985" i="2"/>
  <c r="O986" i="2"/>
  <c r="O403" i="2"/>
  <c r="O34" i="2"/>
  <c r="O404" i="2"/>
  <c r="O427" i="2"/>
  <c r="O405" i="2"/>
  <c r="O371" i="2"/>
  <c r="O406" i="2"/>
  <c r="O987" i="2"/>
  <c r="O425" i="2"/>
  <c r="O401" i="2"/>
  <c r="O298" i="2"/>
  <c r="O896" i="2"/>
  <c r="O159" i="2"/>
  <c r="O1078" i="2"/>
  <c r="O1079" i="2"/>
  <c r="O1080" i="2"/>
  <c r="O1081" i="2"/>
  <c r="O1082" i="2"/>
  <c r="O1083" i="2"/>
  <c r="O1084" i="2"/>
  <c r="O1085" i="2"/>
  <c r="O1086" i="2"/>
  <c r="O1087" i="2"/>
  <c r="O1088" i="2"/>
  <c r="O886" i="2"/>
  <c r="O402" i="2"/>
  <c r="O1089" i="2"/>
  <c r="O897" i="2"/>
  <c r="O338" i="2"/>
  <c r="O314" i="2"/>
  <c r="O1020" i="2"/>
  <c r="O1021" i="2"/>
  <c r="O299" i="2"/>
  <c r="O1110" i="2"/>
  <c r="O310" i="2"/>
  <c r="O356" i="2"/>
  <c r="O819" i="2"/>
  <c r="O988" i="2"/>
  <c r="O989" i="2"/>
  <c r="O160" i="2"/>
  <c r="O210" i="2"/>
  <c r="O300" i="2"/>
  <c r="O311" i="2"/>
  <c r="O301" i="2"/>
  <c r="O1214" i="2"/>
  <c r="O211" i="2"/>
  <c r="O212" i="2"/>
  <c r="O213" i="2"/>
  <c r="O1111" i="2"/>
  <c r="O105" i="2"/>
  <c r="O181" i="2"/>
  <c r="O35" i="2"/>
  <c r="O41" i="2"/>
  <c r="O635" i="2"/>
  <c r="O610" i="2"/>
  <c r="O685" i="2"/>
  <c r="O686" i="2"/>
  <c r="O655" i="2"/>
  <c r="O670" i="2"/>
  <c r="O671" i="2"/>
  <c r="O632" i="2"/>
  <c r="O672" i="2"/>
  <c r="O633" i="2"/>
  <c r="O595" i="2"/>
  <c r="O713" i="2"/>
  <c r="O714" i="2"/>
  <c r="O620" i="2"/>
  <c r="O738" i="2"/>
  <c r="O630" i="2"/>
  <c r="O687" i="2"/>
  <c r="O587" i="2"/>
  <c r="O709" i="2"/>
  <c r="O588" i="2"/>
  <c r="O693" i="2"/>
  <c r="O594" i="2"/>
  <c r="O596" i="2"/>
  <c r="O597" i="2"/>
  <c r="O598" i="2"/>
  <c r="O636" i="2"/>
  <c r="O656" i="2"/>
  <c r="O673" i="2"/>
  <c r="O674" i="2"/>
  <c r="O836" i="2"/>
  <c r="O37" i="2"/>
  <c r="O1541" i="2"/>
  <c r="O138" i="2"/>
  <c r="O139" i="2"/>
  <c r="O47" i="2"/>
  <c r="O30" i="2"/>
  <c r="O11" i="2"/>
  <c r="O26" i="2"/>
  <c r="O22" i="2"/>
  <c r="O23" i="2"/>
  <c r="O36" i="2"/>
  <c r="O21" i="2"/>
  <c r="O27" i="2"/>
  <c r="O1305" i="2"/>
  <c r="O1306" i="2"/>
  <c r="O1307" i="2"/>
  <c r="O143" i="2"/>
  <c r="O1308" i="2"/>
  <c r="O1442" i="2"/>
  <c r="O1539" i="2"/>
  <c r="O1309" i="2"/>
  <c r="O1507" i="2"/>
  <c r="O1407" i="2"/>
  <c r="O146" i="2"/>
  <c r="O753" i="2"/>
  <c r="O147" i="2"/>
  <c r="M1248" i="2"/>
  <c r="M6" i="2"/>
  <c r="M1233" i="2"/>
  <c r="M1250" i="2"/>
  <c r="M8" i="2"/>
  <c r="M9" i="2"/>
  <c r="M1249" i="2"/>
  <c r="M7" i="2"/>
  <c r="M538" i="2"/>
  <c r="M1253" i="2"/>
  <c r="M533" i="2"/>
  <c r="M19" i="2"/>
  <c r="M1370" i="2"/>
  <c r="M1409" i="2"/>
  <c r="M1534" i="2"/>
  <c r="M1440" i="2"/>
  <c r="M748" i="2"/>
  <c r="M1339" i="2"/>
  <c r="M599" i="2"/>
  <c r="M643" i="2"/>
  <c r="M1443" i="2"/>
  <c r="M1425" i="2"/>
  <c r="M1490" i="2"/>
  <c r="M861" i="2"/>
  <c r="M1347" i="2"/>
  <c r="M1348" i="2"/>
  <c r="M1492" i="2"/>
  <c r="M1529" i="2"/>
  <c r="M740" i="2"/>
  <c r="M1029" i="2"/>
  <c r="M1315" i="2"/>
  <c r="M1408" i="2"/>
  <c r="M1135" i="2"/>
  <c r="M1150" i="2"/>
  <c r="M706" i="2"/>
  <c r="M1343" i="2"/>
  <c r="M1435" i="2"/>
  <c r="M1436" i="2"/>
  <c r="M1449" i="2"/>
  <c r="M1450" i="2"/>
  <c r="M1352" i="2"/>
  <c r="M1513" i="2"/>
  <c r="M856" i="2"/>
  <c r="M668" i="2"/>
  <c r="M1530" i="2"/>
  <c r="M694" i="2"/>
  <c r="M1430" i="2"/>
  <c r="M700" i="2"/>
  <c r="M641" i="2"/>
  <c r="M1090" i="2"/>
  <c r="M583" i="2"/>
  <c r="M584" i="2"/>
  <c r="M1415" i="2"/>
  <c r="M727" i="2"/>
  <c r="M1139" i="2"/>
  <c r="M1355" i="2"/>
  <c r="M728" i="2"/>
  <c r="M511" i="2"/>
  <c r="M746" i="2"/>
  <c r="M639" i="2"/>
  <c r="M1778" i="2"/>
  <c r="M1437" i="2"/>
  <c r="M905" i="2"/>
  <c r="M1493" i="2"/>
  <c r="M1521" i="2"/>
  <c r="M1522" i="2"/>
  <c r="M1174" i="2"/>
  <c r="M578" i="2"/>
  <c r="M854" i="2"/>
  <c r="M1178" i="2"/>
  <c r="M863" i="2"/>
  <c r="M507" i="2"/>
  <c r="M1170" i="2"/>
  <c r="M820" i="2"/>
  <c r="M1523" i="2"/>
  <c r="M1524" i="2"/>
  <c r="M1141" i="2"/>
  <c r="M931" i="2"/>
  <c r="M910" i="2"/>
  <c r="M1394" i="2"/>
  <c r="M1395" i="2"/>
  <c r="M1041" i="2"/>
  <c r="M812" i="2"/>
  <c r="M1396" i="2"/>
  <c r="M28" i="2"/>
  <c r="M1044" i="2"/>
  <c r="M1112" i="2"/>
  <c r="M799" i="2"/>
  <c r="M151" i="2"/>
  <c r="M918" i="2"/>
  <c r="M1461" i="2"/>
  <c r="M518" i="2"/>
  <c r="M1137" i="2"/>
  <c r="M729" i="2"/>
  <c r="M867" i="2"/>
  <c r="M1031" i="2"/>
  <c r="M780" i="2"/>
  <c r="M777" i="2"/>
  <c r="M675" i="2"/>
  <c r="M1037" i="2"/>
  <c r="M676" i="2"/>
  <c r="M657" i="2"/>
  <c r="M623" i="2"/>
  <c r="M624" i="2"/>
  <c r="M926" i="2"/>
  <c r="M589" i="2"/>
  <c r="M665" i="2"/>
  <c r="M810" i="2"/>
  <c r="M928" i="2"/>
  <c r="M654" i="2"/>
  <c r="M523" i="2"/>
  <c r="M769" i="2"/>
  <c r="M702" i="2"/>
  <c r="M1133" i="2"/>
  <c r="M846" i="2"/>
  <c r="M677" i="2"/>
  <c r="M1131" i="2"/>
  <c r="M858" i="2"/>
  <c r="M1341" i="2"/>
  <c r="M1779" i="2"/>
  <c r="M1068" i="2"/>
  <c r="M661" i="2"/>
  <c r="M1127" i="2"/>
  <c r="M1129" i="2"/>
  <c r="M145" i="2"/>
  <c r="M1505" i="2"/>
  <c r="M605" i="2"/>
  <c r="M161" i="2"/>
  <c r="M191" i="2"/>
  <c r="M783" i="2"/>
  <c r="M851" i="2"/>
  <c r="M123" i="2"/>
  <c r="M257" i="2"/>
  <c r="M1143" i="2"/>
  <c r="M1780" i="2"/>
  <c r="M1496" i="2"/>
  <c r="M1497" i="2"/>
  <c r="M865" i="2"/>
  <c r="M1459" i="2"/>
  <c r="M266" i="2"/>
  <c r="M907" i="2"/>
  <c r="M1410" i="2"/>
  <c r="M1411" i="2"/>
  <c r="M730" i="2"/>
  <c r="M242" i="2"/>
  <c r="M513" i="2"/>
  <c r="M806" i="2"/>
  <c r="M1165" i="2"/>
  <c r="M1226" i="2"/>
  <c r="M1397" i="2"/>
  <c r="M515" i="2"/>
  <c r="M56" i="2"/>
  <c r="M1454" i="2"/>
  <c r="M1462" i="2"/>
  <c r="M502" i="2"/>
  <c r="M1254" i="2"/>
  <c r="M1310" i="2"/>
  <c r="M1334" i="2"/>
  <c r="M483" i="2"/>
  <c r="M16" i="2"/>
  <c r="M621" i="2"/>
  <c r="M574" i="2"/>
  <c r="M580" i="2"/>
  <c r="M2" i="2"/>
  <c r="M497" i="2"/>
  <c r="M503" i="2"/>
  <c r="M484" i="2"/>
  <c r="M1241" i="2"/>
  <c r="M18" i="2"/>
  <c r="M43" i="2"/>
  <c r="M45" i="2"/>
  <c r="M44" i="2"/>
  <c r="M504" i="2"/>
  <c r="M15" i="2"/>
  <c r="M1316" i="2"/>
  <c r="M46" i="2"/>
  <c r="M1255" i="2"/>
  <c r="M1256" i="2"/>
  <c r="M1257" i="2"/>
  <c r="M64" i="2"/>
  <c r="M1258" i="2"/>
  <c r="M646" i="2"/>
  <c r="M800" i="2"/>
  <c r="M498" i="2"/>
  <c r="M1428" i="2"/>
  <c r="M1460" i="2"/>
  <c r="M575" i="2"/>
  <c r="M67" i="2"/>
  <c r="M1500" i="2"/>
  <c r="M1369" i="2"/>
  <c r="M1377" i="2"/>
  <c r="M807" i="2"/>
  <c r="M1320" i="2"/>
  <c r="M48" i="2"/>
  <c r="M1520" i="2"/>
  <c r="M767" i="2"/>
  <c r="M768" i="2"/>
  <c r="M1022" i="2"/>
  <c r="M55" i="2"/>
  <c r="M749" i="2"/>
  <c r="M1055" i="2"/>
  <c r="M485" i="2"/>
  <c r="M1260" i="2"/>
  <c r="M839" i="2"/>
  <c r="M600" i="2"/>
  <c r="M644" i="2"/>
  <c r="M1261" i="2"/>
  <c r="M499" i="2"/>
  <c r="M1262" i="2"/>
  <c r="M1354" i="2"/>
  <c r="M715" i="2"/>
  <c r="M862" i="2"/>
  <c r="M1349" i="2"/>
  <c r="M1228" i="2"/>
  <c r="M1378" i="2"/>
  <c r="M1350" i="2"/>
  <c r="M934" i="2"/>
  <c r="M1446" i="2"/>
  <c r="M1215" i="2"/>
  <c r="M716" i="2"/>
  <c r="M739" i="2"/>
  <c r="M1030" i="2"/>
  <c r="M948" i="2"/>
  <c r="M1421" i="2"/>
  <c r="M717" i="2"/>
  <c r="M1045" i="2"/>
  <c r="M1263" i="2"/>
  <c r="M1488" i="2"/>
  <c r="M1264" i="2"/>
  <c r="M50" i="2"/>
  <c r="M1136" i="2"/>
  <c r="M1091" i="2"/>
  <c r="M1427" i="2"/>
  <c r="M1151" i="2"/>
  <c r="M576" i="2"/>
  <c r="M1344" i="2"/>
  <c r="M1047" i="2"/>
  <c r="M1048" i="2"/>
  <c r="M1265" i="2"/>
  <c r="M486" i="2"/>
  <c r="M49" i="2"/>
  <c r="M1330" i="2"/>
  <c r="M1434" i="2"/>
  <c r="M880" i="2"/>
  <c r="M1331" i="2"/>
  <c r="M1451" i="2"/>
  <c r="M1266" i="2"/>
  <c r="M1514" i="2"/>
  <c r="M1540" i="2"/>
  <c r="M1353" i="2"/>
  <c r="M857" i="2"/>
  <c r="M669" i="2"/>
  <c r="M1531" i="2"/>
  <c r="M695" i="2"/>
  <c r="M1431" i="2"/>
  <c r="M622" i="2"/>
  <c r="M607" i="2"/>
  <c r="M701" i="2"/>
  <c r="M642" i="2"/>
  <c r="M990" i="2"/>
  <c r="M5" i="2"/>
  <c r="M1092" i="2"/>
  <c r="M1168" i="2"/>
  <c r="M585" i="2"/>
  <c r="M586" i="2"/>
  <c r="M1267" i="2"/>
  <c r="M803" i="2"/>
  <c r="M723" i="2"/>
  <c r="M898" i="2"/>
  <c r="M1140" i="2"/>
  <c r="M1268" i="2"/>
  <c r="M1269" i="2"/>
  <c r="M724" i="2"/>
  <c r="M512" i="2"/>
  <c r="M747" i="2"/>
  <c r="M640" i="2"/>
  <c r="M353" i="2"/>
  <c r="M1479" i="2"/>
  <c r="M906" i="2"/>
  <c r="M1494" i="2"/>
  <c r="M1270" i="2"/>
  <c r="M3" i="2"/>
  <c r="M1525" i="2"/>
  <c r="M1175" i="2"/>
  <c r="M579" i="2"/>
  <c r="M855" i="2"/>
  <c r="M86" i="2"/>
  <c r="M1179" i="2"/>
  <c r="M864" i="2"/>
  <c r="M508" i="2"/>
  <c r="M755" i="2"/>
  <c r="M1171" i="2"/>
  <c r="M87" i="2"/>
  <c r="M916" i="2"/>
  <c r="M821" i="2"/>
  <c r="M1332" i="2"/>
  <c r="M1526" i="2"/>
  <c r="M1142" i="2"/>
  <c r="M1123" i="2"/>
  <c r="M932" i="2"/>
  <c r="M531" i="2"/>
  <c r="M911" i="2"/>
  <c r="M487" i="2"/>
  <c r="M1398" i="2"/>
  <c r="M1042" i="2"/>
  <c r="M813" i="2"/>
  <c r="M532" i="2"/>
  <c r="M1399" i="2"/>
  <c r="M577" i="2"/>
  <c r="M1046" i="2"/>
  <c r="M1271" i="2"/>
  <c r="M1113" i="2"/>
  <c r="M801" i="2"/>
  <c r="M152" i="2"/>
  <c r="M919" i="2"/>
  <c r="M908" i="2"/>
  <c r="M1335" i="2"/>
  <c r="M1463" i="2"/>
  <c r="M519" i="2"/>
  <c r="M1138" i="2"/>
  <c r="M4" i="2"/>
  <c r="M725" i="2"/>
  <c r="M924" i="2"/>
  <c r="M868" i="2"/>
  <c r="M1032" i="2"/>
  <c r="M781" i="2"/>
  <c r="M52" i="2"/>
  <c r="M778" i="2"/>
  <c r="M914" i="2"/>
  <c r="M678" i="2"/>
  <c r="M920" i="2"/>
  <c r="M887" i="2"/>
  <c r="M847" i="2"/>
  <c r="M734" i="2"/>
  <c r="M1038" i="2"/>
  <c r="M679" i="2"/>
  <c r="M658" i="2"/>
  <c r="M293" i="2"/>
  <c r="M921" i="2"/>
  <c r="M625" i="2"/>
  <c r="M626" i="2"/>
  <c r="M927" i="2"/>
  <c r="M590" i="2"/>
  <c r="M922" i="2"/>
  <c r="M666" i="2"/>
  <c r="M811" i="2"/>
  <c r="M929" i="2"/>
  <c r="M754" i="2"/>
  <c r="M1272" i="2"/>
  <c r="M770" i="2"/>
  <c r="M703" i="2"/>
  <c r="M1134" i="2"/>
  <c r="M848" i="2"/>
  <c r="M1444" i="2"/>
  <c r="M1035" i="2"/>
  <c r="M680" i="2"/>
  <c r="M1132" i="2"/>
  <c r="M859" i="2"/>
  <c r="M991" i="2"/>
  <c r="M1535" i="2"/>
  <c r="M1273" i="2"/>
  <c r="M878" i="2"/>
  <c r="M840" i="2"/>
  <c r="M1069" i="2"/>
  <c r="M662" i="2"/>
  <c r="M1484" i="2"/>
  <c r="M1128" i="2"/>
  <c r="M1176" i="2"/>
  <c r="M860" i="2"/>
  <c r="M1130" i="2"/>
  <c r="M148" i="2"/>
  <c r="M548" i="2"/>
  <c r="M1504" i="2"/>
  <c r="M606" i="2"/>
  <c r="M162" i="2"/>
  <c r="M51" i="2"/>
  <c r="M782" i="2"/>
  <c r="M53" i="2"/>
  <c r="M189" i="2"/>
  <c r="M1274" i="2"/>
  <c r="M1043" i="2"/>
  <c r="M852" i="2"/>
  <c r="M1152" i="2"/>
  <c r="M1114" i="2"/>
  <c r="M784" i="2"/>
  <c r="M853" i="2"/>
  <c r="M1464" i="2"/>
  <c r="M124" i="2"/>
  <c r="M923" i="2"/>
  <c r="M1732" i="2"/>
  <c r="M779" i="2"/>
  <c r="M258" i="2"/>
  <c r="M1741" i="2"/>
  <c r="M1177" i="2"/>
  <c r="M785" i="2"/>
  <c r="M1231" i="2"/>
  <c r="M915" i="2"/>
  <c r="M1483" i="2"/>
  <c r="M1372" i="2"/>
  <c r="M1275" i="2"/>
  <c r="M771" i="2"/>
  <c r="M802" i="2"/>
  <c r="M808" i="2"/>
  <c r="M1276" i="2"/>
  <c r="M1738" i="2"/>
  <c r="M1498" i="2"/>
  <c r="M1480" i="2"/>
  <c r="M866" i="2"/>
  <c r="M1455" i="2"/>
  <c r="M267" i="2"/>
  <c r="M1277" i="2"/>
  <c r="M542" i="2"/>
  <c r="M1503" i="2"/>
  <c r="M1278" i="2"/>
  <c r="M1172" i="2"/>
  <c r="M909" i="2"/>
  <c r="M1279" i="2"/>
  <c r="M1173" i="2"/>
  <c r="M930" i="2"/>
  <c r="M1412" i="2"/>
  <c r="M726" i="2"/>
  <c r="M243" i="2"/>
  <c r="M1166" i="2"/>
  <c r="M1734" i="2"/>
  <c r="M1731" i="2"/>
  <c r="M514" i="2"/>
  <c r="M101" i="2"/>
  <c r="M102" i="2"/>
  <c r="M1234" i="2"/>
  <c r="M809" i="2"/>
  <c r="M1167" i="2"/>
  <c r="M1227" i="2"/>
  <c r="M1313" i="2"/>
  <c r="M516" i="2"/>
  <c r="M1736" i="2"/>
  <c r="M1456" i="2"/>
  <c r="M1280" i="2"/>
  <c r="M1543" i="2"/>
  <c r="M1281" i="2"/>
  <c r="M505" i="2"/>
  <c r="M1740" i="2"/>
  <c r="M1416" i="2"/>
  <c r="M637" i="2"/>
  <c r="M1282" i="2"/>
  <c r="M1283" i="2"/>
  <c r="M1465" i="2"/>
  <c r="M1400" i="2"/>
  <c r="M1284" i="2"/>
  <c r="M1373" i="2"/>
  <c r="M1466" i="2"/>
  <c r="M1285" i="2"/>
  <c r="M1286" i="2"/>
  <c r="M488" i="2"/>
  <c r="M756" i="2"/>
  <c r="M757" i="2"/>
  <c r="M1287" i="2"/>
  <c r="M1417" i="2"/>
  <c r="M1180" i="2"/>
  <c r="M718" i="2"/>
  <c r="M1418" i="2"/>
  <c r="M492" i="2"/>
  <c r="M1288" i="2"/>
  <c r="M289" i="2"/>
  <c r="M1774" i="2"/>
  <c r="M1289" i="2"/>
  <c r="M581" i="2"/>
  <c r="M493" i="2"/>
  <c r="M1290" i="2"/>
  <c r="M1036" i="2"/>
  <c r="M489" i="2"/>
  <c r="M1291" i="2"/>
  <c r="M1292" i="2"/>
  <c r="M1293" i="2"/>
  <c r="M12" i="2"/>
  <c r="M1294" i="2"/>
  <c r="M1295" i="2"/>
  <c r="M1445" i="2"/>
  <c r="M506" i="2"/>
  <c r="M524" i="2"/>
  <c r="M494" i="2"/>
  <c r="M1296" i="2"/>
  <c r="M1775" i="2"/>
  <c r="M1297" i="2"/>
  <c r="M1776" i="2"/>
  <c r="M758" i="2"/>
  <c r="M1298" i="2"/>
  <c r="M1299" i="2"/>
  <c r="M925" i="2"/>
  <c r="M495" i="2"/>
  <c r="M500" i="2"/>
  <c r="M501" i="2"/>
  <c r="M1300" i="2"/>
  <c r="M1311" i="2"/>
  <c r="M129" i="2"/>
  <c r="M1301" i="2"/>
  <c r="M772" i="2"/>
  <c r="M773" i="2"/>
  <c r="M774" i="2"/>
  <c r="M775" i="2"/>
  <c r="M776" i="2"/>
  <c r="M591" i="2"/>
  <c r="M592" i="2"/>
  <c r="M789" i="2"/>
  <c r="M790" i="2"/>
  <c r="M791" i="2"/>
  <c r="M792" i="2"/>
  <c r="M793" i="2"/>
  <c r="M794" i="2"/>
  <c r="M795" i="2"/>
  <c r="M796" i="2"/>
  <c r="M797" i="2"/>
  <c r="M66" i="2"/>
  <c r="M290" i="2"/>
  <c r="M364" i="2"/>
  <c r="M365" i="2"/>
  <c r="M366" i="2"/>
  <c r="M367" i="2"/>
  <c r="M368" i="2"/>
  <c r="M804" i="2"/>
  <c r="M805" i="2"/>
  <c r="M70" i="2"/>
  <c r="M601" i="2"/>
  <c r="M602" i="2"/>
  <c r="M603" i="2"/>
  <c r="M604" i="2"/>
  <c r="M74" i="2"/>
  <c r="M75" i="2"/>
  <c r="M131" i="2"/>
  <c r="M1321" i="2"/>
  <c r="M1322" i="2"/>
  <c r="M1323" i="2"/>
  <c r="M1324" i="2"/>
  <c r="M1325" i="2"/>
  <c r="M1326" i="2"/>
  <c r="M1327" i="2"/>
  <c r="M1333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1336" i="2"/>
  <c r="M1337" i="2"/>
  <c r="M76" i="2"/>
  <c r="M77" i="2"/>
  <c r="M78" i="2"/>
  <c r="M79" i="2"/>
  <c r="M1340" i="2"/>
  <c r="M841" i="2"/>
  <c r="M842" i="2"/>
  <c r="M843" i="2"/>
  <c r="M844" i="2"/>
  <c r="M845" i="2"/>
  <c r="M81" i="2"/>
  <c r="M611" i="2"/>
  <c r="M612" i="2"/>
  <c r="M849" i="2"/>
  <c r="M372" i="2"/>
  <c r="M373" i="2"/>
  <c r="M374" i="2"/>
  <c r="M375" i="2"/>
  <c r="M376" i="2"/>
  <c r="M377" i="2"/>
  <c r="M378" i="2"/>
  <c r="M379" i="2"/>
  <c r="M380" i="2"/>
  <c r="M614" i="2"/>
  <c r="M627" i="2"/>
  <c r="M628" i="2"/>
  <c r="M629" i="2"/>
  <c r="M1345" i="2"/>
  <c r="M100" i="2"/>
  <c r="M1735" i="2"/>
  <c r="M543" i="2"/>
  <c r="M103" i="2"/>
  <c r="M302" i="2"/>
  <c r="M303" i="2"/>
  <c r="M304" i="2"/>
  <c r="M305" i="2"/>
  <c r="M306" i="2"/>
  <c r="M307" i="2"/>
  <c r="M308" i="2"/>
  <c r="M1544" i="2"/>
  <c r="M312" i="2"/>
  <c r="M313" i="2"/>
  <c r="M631" i="2"/>
  <c r="M1346" i="2"/>
  <c r="M1302" i="2"/>
  <c r="M1351" i="2"/>
  <c r="M1356" i="2"/>
  <c r="M1357" i="2"/>
  <c r="M1358" i="2"/>
  <c r="M1359" i="2"/>
  <c r="M1360" i="2"/>
  <c r="M509" i="2"/>
  <c r="M510" i="2"/>
  <c r="M1361" i="2"/>
  <c r="M869" i="2"/>
  <c r="M870" i="2"/>
  <c r="M871" i="2"/>
  <c r="M872" i="2"/>
  <c r="M873" i="2"/>
  <c r="M874" i="2"/>
  <c r="M875" i="2"/>
  <c r="M876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5" i="2"/>
  <c r="M126" i="2"/>
  <c r="M127" i="2"/>
  <c r="M128" i="2"/>
  <c r="M130" i="2"/>
  <c r="M1363" i="2"/>
  <c r="M1364" i="2"/>
  <c r="M1365" i="2"/>
  <c r="M1366" i="2"/>
  <c r="M1367" i="2"/>
  <c r="M550" i="2"/>
  <c r="M551" i="2"/>
  <c r="M552" i="2"/>
  <c r="M140" i="2"/>
  <c r="M553" i="2"/>
  <c r="M554" i="2"/>
  <c r="M555" i="2"/>
  <c r="M556" i="2"/>
  <c r="M634" i="2"/>
  <c r="M877" i="2"/>
  <c r="M142" i="2"/>
  <c r="M144" i="2"/>
  <c r="M1374" i="2"/>
  <c r="M1375" i="2"/>
  <c r="M1376" i="2"/>
  <c r="M557" i="2"/>
  <c r="M150" i="2"/>
  <c r="M879" i="2"/>
  <c r="M154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881" i="2"/>
  <c r="M882" i="2"/>
  <c r="M883" i="2"/>
  <c r="M888" i="2"/>
  <c r="M889" i="2"/>
  <c r="M1392" i="2"/>
  <c r="M1393" i="2"/>
  <c r="M899" i="2"/>
  <c r="M900" i="2"/>
  <c r="M901" i="2"/>
  <c r="M902" i="2"/>
  <c r="M903" i="2"/>
  <c r="M904" i="2"/>
  <c r="M1401" i="2"/>
  <c r="M1402" i="2"/>
  <c r="M1403" i="2"/>
  <c r="M1405" i="2"/>
  <c r="M1406" i="2"/>
  <c r="M1413" i="2"/>
  <c r="M1414" i="2"/>
  <c r="M638" i="2"/>
  <c r="M1419" i="2"/>
  <c r="M163" i="2"/>
  <c r="M164" i="2"/>
  <c r="M165" i="2"/>
  <c r="M166" i="2"/>
  <c r="M167" i="2"/>
  <c r="M168" i="2"/>
  <c r="M169" i="2"/>
  <c r="M170" i="2"/>
  <c r="M171" i="2"/>
  <c r="M172" i="2"/>
  <c r="M558" i="2"/>
  <c r="M559" i="2"/>
  <c r="M1422" i="2"/>
  <c r="M1423" i="2"/>
  <c r="M1424" i="2"/>
  <c r="M173" i="2"/>
  <c r="M174" i="2"/>
  <c r="M560" i="2"/>
  <c r="M175" i="2"/>
  <c r="M561" i="2"/>
  <c r="M645" i="2"/>
  <c r="M647" i="2"/>
  <c r="M182" i="2"/>
  <c r="M183" i="2"/>
  <c r="M1426" i="2"/>
  <c r="M650" i="2"/>
  <c r="M31" i="2"/>
  <c r="M186" i="2"/>
  <c r="M187" i="2"/>
  <c r="M188" i="2"/>
  <c r="M1433" i="2"/>
  <c r="M1438" i="2"/>
  <c r="M1439" i="2"/>
  <c r="M192" i="2"/>
  <c r="M1441" i="2"/>
  <c r="M334" i="2"/>
  <c r="M428" i="2"/>
  <c r="M429" i="2"/>
  <c r="M430" i="2"/>
  <c r="M431" i="2"/>
  <c r="M432" i="2"/>
  <c r="M433" i="2"/>
  <c r="M434" i="2"/>
  <c r="M435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92" i="2"/>
  <c r="M993" i="2"/>
  <c r="M994" i="2"/>
  <c r="M995" i="2"/>
  <c r="M996" i="2"/>
  <c r="M997" i="2"/>
  <c r="M998" i="2"/>
  <c r="M999" i="2"/>
  <c r="M1000" i="2"/>
  <c r="M1001" i="2"/>
  <c r="M1023" i="2"/>
  <c r="M1024" i="2"/>
  <c r="M1025" i="2"/>
  <c r="M1026" i="2"/>
  <c r="M1027" i="2"/>
  <c r="M1028" i="2"/>
  <c r="M652" i="2"/>
  <c r="M653" i="2"/>
  <c r="M659" i="2"/>
  <c r="M660" i="2"/>
  <c r="M1457" i="2"/>
  <c r="M1458" i="2"/>
  <c r="M663" i="2"/>
  <c r="M570" i="2"/>
  <c r="M195" i="2"/>
  <c r="M196" i="2"/>
  <c r="M197" i="2"/>
  <c r="M1467" i="2"/>
  <c r="M1468" i="2"/>
  <c r="M1469" i="2"/>
  <c r="M1470" i="2"/>
  <c r="M1471" i="2"/>
  <c r="M1472" i="2"/>
  <c r="M1473" i="2"/>
  <c r="M1474" i="2"/>
  <c r="M1475" i="2"/>
  <c r="M1476" i="2"/>
  <c r="M336" i="2"/>
  <c r="M337" i="2"/>
  <c r="M1478" i="2"/>
  <c r="M198" i="2"/>
  <c r="M199" i="2"/>
  <c r="M200" i="2"/>
  <c r="M201" i="2"/>
  <c r="M1481" i="2"/>
  <c r="M1482" i="2"/>
  <c r="M517" i="2"/>
  <c r="M1485" i="2"/>
  <c r="M1489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1491" i="2"/>
  <c r="M1049" i="2"/>
  <c r="M444" i="2"/>
  <c r="M1050" i="2"/>
  <c r="M1051" i="2"/>
  <c r="M1052" i="2"/>
  <c r="M445" i="2"/>
  <c r="M446" i="2"/>
  <c r="M447" i="2"/>
  <c r="M448" i="2"/>
  <c r="M449" i="2"/>
  <c r="M450" i="2"/>
  <c r="M451" i="2"/>
  <c r="M456" i="2"/>
  <c r="M457" i="2"/>
  <c r="M458" i="2"/>
  <c r="M1056" i="2"/>
  <c r="M1057" i="2"/>
  <c r="M1058" i="2"/>
  <c r="M228" i="2"/>
  <c r="M1059" i="2"/>
  <c r="M1060" i="2"/>
  <c r="M1061" i="2"/>
  <c r="M1062" i="2"/>
  <c r="M1063" i="2"/>
  <c r="M1064" i="2"/>
  <c r="M1065" i="2"/>
  <c r="M1066" i="2"/>
  <c r="M1067" i="2"/>
  <c r="M664" i="2"/>
  <c r="M1070" i="2"/>
  <c r="M1071" i="2"/>
  <c r="M229" i="2"/>
  <c r="M230" i="2"/>
  <c r="M231" i="2"/>
  <c r="M232" i="2"/>
  <c r="M233" i="2"/>
  <c r="M234" i="2"/>
  <c r="M235" i="2"/>
  <c r="M236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495" i="2"/>
  <c r="M1115" i="2"/>
  <c r="M1116" i="2"/>
  <c r="M1117" i="2"/>
  <c r="M1118" i="2"/>
  <c r="M1119" i="2"/>
  <c r="M239" i="2"/>
  <c r="M240" i="2"/>
  <c r="M241" i="2"/>
  <c r="M244" i="2"/>
  <c r="M1124" i="2"/>
  <c r="M1125" i="2"/>
  <c r="M1126" i="2"/>
  <c r="M459" i="2"/>
  <c r="M460" i="2"/>
  <c r="M245" i="2"/>
  <c r="M522" i="2"/>
  <c r="M462" i="2"/>
  <c r="M463" i="2"/>
  <c r="M464" i="2"/>
  <c r="M465" i="2"/>
  <c r="M466" i="2"/>
  <c r="M467" i="2"/>
  <c r="M468" i="2"/>
  <c r="M469" i="2"/>
  <c r="M470" i="2"/>
  <c r="M248" i="2"/>
  <c r="M681" i="2"/>
  <c r="M683" i="2"/>
  <c r="M525" i="2"/>
  <c r="M526" i="2"/>
  <c r="M527" i="2"/>
  <c r="M528" i="2"/>
  <c r="M1506" i="2"/>
  <c r="M1508" i="2"/>
  <c r="M688" i="2"/>
  <c r="M689" i="2"/>
  <c r="M690" i="2"/>
  <c r="M691" i="2"/>
  <c r="M692" i="2"/>
  <c r="M1509" i="2"/>
  <c r="M1510" i="2"/>
  <c r="M696" i="2"/>
  <c r="M249" i="2"/>
  <c r="M704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733" i="2"/>
  <c r="M255" i="2"/>
  <c r="M256" i="2"/>
  <c r="M571" i="2"/>
  <c r="M572" i="2"/>
  <c r="M1169" i="2"/>
  <c r="M351" i="2"/>
  <c r="M352" i="2"/>
  <c r="M1515" i="2"/>
  <c r="M1516" i="2"/>
  <c r="M1517" i="2"/>
  <c r="M1518" i="2"/>
  <c r="M1519" i="2"/>
  <c r="M708" i="2"/>
  <c r="M259" i="2"/>
  <c r="M260" i="2"/>
  <c r="M261" i="2"/>
  <c r="M262" i="2"/>
  <c r="M1242" i="2"/>
  <c r="M1243" i="2"/>
  <c r="M263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1244" i="2"/>
  <c r="M1527" i="2"/>
  <c r="M1528" i="2"/>
  <c r="M283" i="2"/>
  <c r="M1532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731" i="2"/>
  <c r="M732" i="2"/>
  <c r="M285" i="2"/>
  <c r="M286" i="2"/>
  <c r="M741" i="2"/>
  <c r="M742" i="2"/>
  <c r="M490" i="2"/>
  <c r="M743" i="2"/>
  <c r="M744" i="2"/>
  <c r="M535" i="2"/>
  <c r="M536" i="2"/>
  <c r="M537" i="2"/>
  <c r="M1536" i="2"/>
  <c r="M1537" i="2"/>
  <c r="M1538" i="2"/>
  <c r="M1197" i="2"/>
  <c r="M1198" i="2"/>
  <c r="M1199" i="2"/>
  <c r="M480" i="2"/>
  <c r="M1200" i="2"/>
  <c r="M1201" i="2"/>
  <c r="M1202" i="2"/>
  <c r="M1203" i="2"/>
  <c r="M1216" i="2"/>
  <c r="M1217" i="2"/>
  <c r="M1218" i="2"/>
  <c r="M1219" i="2"/>
  <c r="M1220" i="2"/>
  <c r="M1221" i="2"/>
  <c r="M1222" i="2"/>
  <c r="M1223" i="2"/>
  <c r="M1224" i="2"/>
  <c r="M1225" i="2"/>
  <c r="M750" i="2"/>
  <c r="M751" i="2"/>
  <c r="M752" i="2"/>
  <c r="M1739" i="2"/>
  <c r="M546" i="2"/>
  <c r="M547" i="2"/>
  <c r="M1542" i="2"/>
  <c r="M54" i="2"/>
  <c r="M1232" i="2"/>
  <c r="M1312" i="2"/>
  <c r="M1317" i="2"/>
  <c r="M1318" i="2"/>
  <c r="M1319" i="2"/>
  <c r="M1328" i="2"/>
  <c r="M1329" i="2"/>
  <c r="M1342" i="2"/>
  <c r="M1362" i="2"/>
  <c r="M1368" i="2"/>
  <c r="M787" i="2"/>
  <c r="M788" i="2"/>
  <c r="M61" i="2"/>
  <c r="M798" i="2"/>
  <c r="M1371" i="2"/>
  <c r="M850" i="2"/>
  <c r="M381" i="2"/>
  <c r="M382" i="2"/>
  <c r="M383" i="2"/>
  <c r="M384" i="2"/>
  <c r="M385" i="2"/>
  <c r="M386" i="2"/>
  <c r="M387" i="2"/>
  <c r="M388" i="2"/>
  <c r="M389" i="2"/>
  <c r="M390" i="2"/>
  <c r="M1379" i="2"/>
  <c r="M391" i="2"/>
  <c r="M392" i="2"/>
  <c r="M90" i="2"/>
  <c r="M91" i="2"/>
  <c r="M92" i="2"/>
  <c r="M93" i="2"/>
  <c r="M94" i="2"/>
  <c r="M95" i="2"/>
  <c r="M96" i="2"/>
  <c r="M97" i="2"/>
  <c r="M98" i="2"/>
  <c r="M618" i="2"/>
  <c r="M539" i="2"/>
  <c r="M710" i="2"/>
  <c r="M1239" i="2"/>
  <c r="M719" i="2"/>
  <c r="M529" i="2"/>
  <c r="M682" i="2"/>
  <c r="M616" i="2"/>
  <c r="M667" i="2"/>
  <c r="M705" i="2"/>
  <c r="M530" i="2"/>
  <c r="M582" i="2"/>
  <c r="M735" i="2"/>
  <c r="M62" i="2"/>
  <c r="M411" i="2"/>
  <c r="M184" i="2"/>
  <c r="M393" i="2"/>
  <c r="M439" i="2"/>
  <c r="M149" i="2"/>
  <c r="M71" i="2"/>
  <c r="M104" i="2"/>
  <c r="M132" i="2"/>
  <c r="M407" i="2"/>
  <c r="M481" i="2"/>
  <c r="M158" i="2"/>
  <c r="M251" i="2"/>
  <c r="M324" i="2"/>
  <c r="M325" i="2"/>
  <c r="M409" i="2"/>
  <c r="M326" i="2"/>
  <c r="M684" i="2"/>
  <c r="M155" i="2"/>
  <c r="M156" i="2"/>
  <c r="M707" i="2"/>
  <c r="M157" i="2"/>
  <c r="M58" i="2"/>
  <c r="M327" i="2"/>
  <c r="M912" i="2"/>
  <c r="M82" i="2"/>
  <c r="M354" i="2"/>
  <c r="M176" i="2"/>
  <c r="M80" i="2"/>
  <c r="M252" i="2"/>
  <c r="M412" i="2"/>
  <c r="M413" i="2"/>
  <c r="M414" i="2"/>
  <c r="M415" i="2"/>
  <c r="M136" i="2"/>
  <c r="M648" i="2"/>
  <c r="M410" i="2"/>
  <c r="M284" i="2"/>
  <c r="M436" i="2"/>
  <c r="M357" i="2"/>
  <c r="M471" i="2"/>
  <c r="M474" i="2"/>
  <c r="M651" i="2"/>
  <c r="M562" i="2"/>
  <c r="M563" i="2"/>
  <c r="M564" i="2"/>
  <c r="M565" i="2"/>
  <c r="M566" i="2"/>
  <c r="M461" i="2"/>
  <c r="M567" i="2"/>
  <c r="M568" i="2"/>
  <c r="M569" i="2"/>
  <c r="M1034" i="2"/>
  <c r="M287" i="2"/>
  <c r="M57" i="2"/>
  <c r="M1245" i="2"/>
  <c r="M84" i="2"/>
  <c r="M178" i="2"/>
  <c r="M59" i="2"/>
  <c r="M1545" i="2"/>
  <c r="M1452" i="2"/>
  <c r="M759" i="2"/>
  <c r="M1453" i="2"/>
  <c r="M1146" i="2"/>
  <c r="M1147" i="2"/>
  <c r="M1148" i="2"/>
  <c r="M1149" i="2"/>
  <c r="M697" i="2"/>
  <c r="M711" i="2"/>
  <c r="M720" i="2"/>
  <c r="M698" i="2"/>
  <c r="M617" i="2"/>
  <c r="M60" i="2"/>
  <c r="M733" i="2"/>
  <c r="M608" i="2"/>
  <c r="M609" i="2"/>
  <c r="M593" i="2"/>
  <c r="M613" i="2"/>
  <c r="M615" i="2"/>
  <c r="M1229" i="2"/>
  <c r="M1230" i="2"/>
  <c r="M649" i="2"/>
  <c r="M760" i="2"/>
  <c r="M761" i="2"/>
  <c r="M762" i="2"/>
  <c r="M763" i="2"/>
  <c r="M736" i="2"/>
  <c r="M745" i="2"/>
  <c r="M737" i="2"/>
  <c r="M721" i="2"/>
  <c r="M722" i="2"/>
  <c r="M699" i="2"/>
  <c r="M712" i="2"/>
  <c r="M619" i="2"/>
  <c r="M764" i="2"/>
  <c r="M765" i="2"/>
  <c r="M766" i="2"/>
  <c r="M291" i="2"/>
  <c r="M292" i="2"/>
  <c r="M534" i="2"/>
  <c r="M540" i="2"/>
  <c r="M541" i="2"/>
  <c r="M544" i="2"/>
  <c r="M545" i="2"/>
  <c r="M1236" i="2"/>
  <c r="M1237" i="2"/>
  <c r="M1238" i="2"/>
  <c r="M1240" i="2"/>
  <c r="M1246" i="2"/>
  <c r="M1247" i="2"/>
  <c r="M1252" i="2"/>
  <c r="M1486" i="2"/>
  <c r="M13" i="2"/>
  <c r="M1499" i="2"/>
  <c r="M1501" i="2"/>
  <c r="M1511" i="2"/>
  <c r="M1512" i="2"/>
  <c r="M1533" i="2"/>
  <c r="M1546" i="2"/>
  <c r="M1547" i="2"/>
  <c r="M1548" i="2"/>
  <c r="M1447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34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303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304" i="2"/>
  <c r="M1639" i="2"/>
  <c r="M1640" i="2"/>
  <c r="M1641" i="2"/>
  <c r="M1642" i="2"/>
  <c r="M1643" i="2"/>
  <c r="M1644" i="2"/>
  <c r="M1645" i="2"/>
  <c r="M1646" i="2"/>
  <c r="M1647" i="2"/>
  <c r="M1648" i="2"/>
  <c r="M14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42" i="2"/>
  <c r="M1743" i="2"/>
  <c r="M1744" i="2"/>
  <c r="M1745" i="2"/>
  <c r="M1746" i="2"/>
  <c r="M1747" i="2"/>
  <c r="M1748" i="2"/>
  <c r="M1749" i="2"/>
  <c r="M1737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7" i="2"/>
  <c r="M1781" i="2"/>
  <c r="M1782" i="2"/>
  <c r="M1783" i="2"/>
  <c r="M1784" i="2"/>
  <c r="M1785" i="2"/>
  <c r="M1730" i="2"/>
  <c r="M408" i="2"/>
  <c r="M482" i="2"/>
  <c r="M573" i="2"/>
  <c r="M1502" i="2"/>
  <c r="M1420" i="2"/>
  <c r="M1251" i="2"/>
  <c r="M122" i="2"/>
  <c r="M1338" i="2"/>
  <c r="M1429" i="2"/>
  <c r="M1235" i="2"/>
  <c r="M1314" i="2"/>
  <c r="M496" i="2"/>
  <c r="M491" i="2"/>
  <c r="M1404" i="2"/>
  <c r="M1477" i="2"/>
  <c r="M1432" i="2"/>
  <c r="M1487" i="2"/>
  <c r="M520" i="2"/>
  <c r="M521" i="2"/>
  <c r="M1002" i="2"/>
  <c r="M1003" i="2"/>
  <c r="M1004" i="2"/>
  <c r="M1005" i="2"/>
  <c r="M935" i="2"/>
  <c r="M25" i="2"/>
  <c r="M202" i="2"/>
  <c r="M72" i="2"/>
  <c r="M1072" i="2"/>
  <c r="M1073" i="2"/>
  <c r="M237" i="2"/>
  <c r="M177" i="2"/>
  <c r="M203" i="2"/>
  <c r="M1204" i="2"/>
  <c r="M369" i="2"/>
  <c r="M85" i="2"/>
  <c r="M204" i="2"/>
  <c r="M238" i="2"/>
  <c r="M394" i="2"/>
  <c r="M472" i="2"/>
  <c r="M473" i="2"/>
  <c r="M288" i="2"/>
  <c r="M253" i="2"/>
  <c r="M205" i="2"/>
  <c r="M185" i="2"/>
  <c r="M88" i="2"/>
  <c r="M890" i="2"/>
  <c r="M246" i="2"/>
  <c r="M63" i="2"/>
  <c r="M206" i="2"/>
  <c r="M83" i="2"/>
  <c r="M137" i="2"/>
  <c r="M207" i="2"/>
  <c r="M416" i="2"/>
  <c r="M330" i="2"/>
  <c r="M264" i="2"/>
  <c r="M1205" i="2"/>
  <c r="M395" i="2"/>
  <c r="M417" i="2"/>
  <c r="M65" i="2"/>
  <c r="M396" i="2"/>
  <c r="M208" i="2"/>
  <c r="M1206" i="2"/>
  <c r="M10" i="2"/>
  <c r="M1207" i="2"/>
  <c r="M1120" i="2"/>
  <c r="M1074" i="2"/>
  <c r="M1075" i="2"/>
  <c r="M1076" i="2"/>
  <c r="M891" i="2"/>
  <c r="M892" i="2"/>
  <c r="M14" i="2"/>
  <c r="M331" i="2"/>
  <c r="M884" i="2"/>
  <c r="M1208" i="2"/>
  <c r="M1209" i="2"/>
  <c r="M1210" i="2"/>
  <c r="M1121" i="2"/>
  <c r="M1211" i="2"/>
  <c r="M917" i="2"/>
  <c r="M1144" i="2"/>
  <c r="M1212" i="2"/>
  <c r="M1122" i="2"/>
  <c r="M179" i="2"/>
  <c r="M913" i="2"/>
  <c r="M89" i="2"/>
  <c r="M250" i="2"/>
  <c r="M315" i="2"/>
  <c r="M1145" i="2"/>
  <c r="M332" i="2"/>
  <c r="M333" i="2"/>
  <c r="M335" i="2"/>
  <c r="M193" i="2"/>
  <c r="M549" i="2"/>
  <c r="M814" i="2"/>
  <c r="M1033" i="2"/>
  <c r="M933" i="2"/>
  <c r="M24" i="2"/>
  <c r="M180" i="2"/>
  <c r="M17" i="2"/>
  <c r="M370" i="2"/>
  <c r="M1006" i="2"/>
  <c r="M1007" i="2"/>
  <c r="M73" i="2"/>
  <c r="M358" i="2"/>
  <c r="M837" i="2"/>
  <c r="M38" i="2"/>
  <c r="M359" i="2"/>
  <c r="M475" i="2"/>
  <c r="M194" i="2"/>
  <c r="M786" i="2"/>
  <c r="M476" i="2"/>
  <c r="M893" i="2"/>
  <c r="M39" i="2"/>
  <c r="M973" i="2"/>
  <c r="M316" i="2"/>
  <c r="M477" i="2"/>
  <c r="M478" i="2"/>
  <c r="M153" i="2"/>
  <c r="M479" i="2"/>
  <c r="M1053" i="2"/>
  <c r="M974" i="2"/>
  <c r="M815" i="2"/>
  <c r="M265" i="2"/>
  <c r="M1077" i="2"/>
  <c r="M317" i="2"/>
  <c r="M68" i="2"/>
  <c r="M33" i="2"/>
  <c r="M440" i="2"/>
  <c r="M1008" i="2"/>
  <c r="M339" i="2"/>
  <c r="M340" i="2"/>
  <c r="M975" i="2"/>
  <c r="M1009" i="2"/>
  <c r="M418" i="2"/>
  <c r="M133" i="2"/>
  <c r="M936" i="2"/>
  <c r="M937" i="2"/>
  <c r="M294" i="2"/>
  <c r="M1010" i="2"/>
  <c r="M318" i="2"/>
  <c r="M1011" i="2"/>
  <c r="M40" i="2"/>
  <c r="M360" i="2"/>
  <c r="M341" i="2"/>
  <c r="M1012" i="2"/>
  <c r="M1013" i="2"/>
  <c r="M1039" i="2"/>
  <c r="M1040" i="2"/>
  <c r="M361" i="2"/>
  <c r="M342" i="2"/>
  <c r="M938" i="2"/>
  <c r="M939" i="2"/>
  <c r="M362" i="2"/>
  <c r="M1014" i="2"/>
  <c r="M343" i="2"/>
  <c r="M319" i="2"/>
  <c r="M976" i="2"/>
  <c r="M940" i="2"/>
  <c r="M363" i="2"/>
  <c r="M328" i="2"/>
  <c r="M344" i="2"/>
  <c r="M329" i="2"/>
  <c r="M894" i="2"/>
  <c r="M816" i="2"/>
  <c r="M817" i="2"/>
  <c r="M190" i="2"/>
  <c r="M320" i="2"/>
  <c r="M345" i="2"/>
  <c r="M346" i="2"/>
  <c r="M441" i="2"/>
  <c r="M442" i="2"/>
  <c r="M443" i="2"/>
  <c r="M419" i="2"/>
  <c r="M420" i="2"/>
  <c r="M321" i="2"/>
  <c r="M347" i="2"/>
  <c r="M1015" i="2"/>
  <c r="M309" i="2"/>
  <c r="M322" i="2"/>
  <c r="M1016" i="2"/>
  <c r="M397" i="2"/>
  <c r="M1017" i="2"/>
  <c r="M421" i="2"/>
  <c r="M295" i="2"/>
  <c r="M437" i="2"/>
  <c r="M438" i="2"/>
  <c r="M348" i="2"/>
  <c r="M422" i="2"/>
  <c r="M941" i="2"/>
  <c r="M838" i="2"/>
  <c r="M452" i="2"/>
  <c r="M942" i="2"/>
  <c r="M1018" i="2"/>
  <c r="M453" i="2"/>
  <c r="M943" i="2"/>
  <c r="M323" i="2"/>
  <c r="M895" i="2"/>
  <c r="M454" i="2"/>
  <c r="M455" i="2"/>
  <c r="M247" i="2"/>
  <c r="M944" i="2"/>
  <c r="M945" i="2"/>
  <c r="M1108" i="2"/>
  <c r="M32" i="2"/>
  <c r="M254" i="2"/>
  <c r="M209" i="2"/>
  <c r="M818" i="2"/>
  <c r="M349" i="2"/>
  <c r="M398" i="2"/>
  <c r="M977" i="2"/>
  <c r="M1019" i="2"/>
  <c r="M1054" i="2"/>
  <c r="M423" i="2"/>
  <c r="M399" i="2"/>
  <c r="M946" i="2"/>
  <c r="M947" i="2"/>
  <c r="M978" i="2"/>
  <c r="M29" i="2"/>
  <c r="M979" i="2"/>
  <c r="M400" i="2"/>
  <c r="M1109" i="2"/>
  <c r="M350" i="2"/>
  <c r="M980" i="2"/>
  <c r="M981" i="2"/>
  <c r="M982" i="2"/>
  <c r="M983" i="2"/>
  <c r="M885" i="2"/>
  <c r="M296" i="2"/>
  <c r="M426" i="2"/>
  <c r="M984" i="2"/>
  <c r="M99" i="2"/>
  <c r="M355" i="2"/>
  <c r="M297" i="2"/>
  <c r="M69" i="2"/>
  <c r="M424" i="2"/>
  <c r="M141" i="2"/>
  <c r="M1213" i="2"/>
  <c r="M135" i="2"/>
  <c r="M985" i="2"/>
  <c r="M986" i="2"/>
  <c r="M403" i="2"/>
  <c r="M34" i="2"/>
  <c r="M404" i="2"/>
  <c r="M427" i="2"/>
  <c r="M405" i="2"/>
  <c r="M371" i="2"/>
  <c r="M406" i="2"/>
  <c r="M987" i="2"/>
  <c r="M425" i="2"/>
  <c r="M401" i="2"/>
  <c r="M298" i="2"/>
  <c r="M896" i="2"/>
  <c r="M159" i="2"/>
  <c r="M1078" i="2"/>
  <c r="M1079" i="2"/>
  <c r="M1080" i="2"/>
  <c r="M1081" i="2"/>
  <c r="M1082" i="2"/>
  <c r="M1083" i="2"/>
  <c r="M1084" i="2"/>
  <c r="M1085" i="2"/>
  <c r="M1086" i="2"/>
  <c r="M1087" i="2"/>
  <c r="M1088" i="2"/>
  <c r="M886" i="2"/>
  <c r="M402" i="2"/>
  <c r="M1089" i="2"/>
  <c r="M897" i="2"/>
  <c r="M338" i="2"/>
  <c r="M314" i="2"/>
  <c r="M1020" i="2"/>
  <c r="M1021" i="2"/>
  <c r="M299" i="2"/>
  <c r="M1110" i="2"/>
  <c r="M310" i="2"/>
  <c r="M356" i="2"/>
  <c r="M819" i="2"/>
  <c r="M988" i="2"/>
  <c r="M989" i="2"/>
  <c r="M160" i="2"/>
  <c r="M210" i="2"/>
  <c r="M300" i="2"/>
  <c r="M311" i="2"/>
  <c r="M301" i="2"/>
  <c r="M1214" i="2"/>
  <c r="M211" i="2"/>
  <c r="M212" i="2"/>
  <c r="M213" i="2"/>
  <c r="M1111" i="2"/>
  <c r="M105" i="2"/>
  <c r="M181" i="2"/>
  <c r="M35" i="2"/>
  <c r="M41" i="2"/>
  <c r="M635" i="2"/>
  <c r="M610" i="2"/>
  <c r="M685" i="2"/>
  <c r="M686" i="2"/>
  <c r="M655" i="2"/>
  <c r="M670" i="2"/>
  <c r="M671" i="2"/>
  <c r="M632" i="2"/>
  <c r="M672" i="2"/>
  <c r="M633" i="2"/>
  <c r="M595" i="2"/>
  <c r="M713" i="2"/>
  <c r="M714" i="2"/>
  <c r="M620" i="2"/>
  <c r="M738" i="2"/>
  <c r="M630" i="2"/>
  <c r="M687" i="2"/>
  <c r="M587" i="2"/>
  <c r="M709" i="2"/>
  <c r="M588" i="2"/>
  <c r="M693" i="2"/>
  <c r="M594" i="2"/>
  <c r="M596" i="2"/>
  <c r="M597" i="2"/>
  <c r="M598" i="2"/>
  <c r="M636" i="2"/>
  <c r="M656" i="2"/>
  <c r="M673" i="2"/>
  <c r="M674" i="2"/>
  <c r="M836" i="2"/>
  <c r="M37" i="2"/>
  <c r="M1541" i="2"/>
  <c r="M138" i="2"/>
  <c r="M139" i="2"/>
  <c r="M47" i="2"/>
  <c r="M30" i="2"/>
  <c r="M11" i="2"/>
  <c r="M26" i="2"/>
  <c r="M22" i="2"/>
  <c r="M23" i="2"/>
  <c r="M36" i="2"/>
  <c r="M21" i="2"/>
  <c r="M27" i="2"/>
  <c r="M1305" i="2"/>
  <c r="M1306" i="2"/>
  <c r="M1307" i="2"/>
  <c r="M143" i="2"/>
  <c r="M1308" i="2"/>
  <c r="M1442" i="2"/>
  <c r="M1539" i="2"/>
  <c r="M1309" i="2"/>
  <c r="M1507" i="2"/>
  <c r="M1407" i="2"/>
  <c r="M146" i="2"/>
  <c r="M753" i="2"/>
  <c r="M147" i="2"/>
  <c r="K1248" i="2"/>
  <c r="K6" i="2"/>
  <c r="K1233" i="2"/>
  <c r="K1250" i="2"/>
  <c r="K8" i="2"/>
  <c r="K9" i="2"/>
  <c r="K1249" i="2"/>
  <c r="K7" i="2"/>
  <c r="K538" i="2"/>
  <c r="K1253" i="2"/>
  <c r="K533" i="2"/>
  <c r="K19" i="2"/>
  <c r="K1370" i="2"/>
  <c r="K1409" i="2"/>
  <c r="K1534" i="2"/>
  <c r="K1440" i="2"/>
  <c r="K748" i="2"/>
  <c r="K1339" i="2"/>
  <c r="K599" i="2"/>
  <c r="K643" i="2"/>
  <c r="K1443" i="2"/>
  <c r="K1425" i="2"/>
  <c r="K1490" i="2"/>
  <c r="K861" i="2"/>
  <c r="K1347" i="2"/>
  <c r="K1348" i="2"/>
  <c r="K1492" i="2"/>
  <c r="K1529" i="2"/>
  <c r="K740" i="2"/>
  <c r="K1029" i="2"/>
  <c r="K1315" i="2"/>
  <c r="K1408" i="2"/>
  <c r="K1135" i="2"/>
  <c r="K1150" i="2"/>
  <c r="K706" i="2"/>
  <c r="K1343" i="2"/>
  <c r="K1435" i="2"/>
  <c r="K1436" i="2"/>
  <c r="K1449" i="2"/>
  <c r="K1450" i="2"/>
  <c r="K1352" i="2"/>
  <c r="K1513" i="2"/>
  <c r="K856" i="2"/>
  <c r="K668" i="2"/>
  <c r="K1530" i="2"/>
  <c r="K694" i="2"/>
  <c r="K1430" i="2"/>
  <c r="K700" i="2"/>
  <c r="K641" i="2"/>
  <c r="K1090" i="2"/>
  <c r="K583" i="2"/>
  <c r="K584" i="2"/>
  <c r="K1415" i="2"/>
  <c r="K727" i="2"/>
  <c r="K1139" i="2"/>
  <c r="K1355" i="2"/>
  <c r="K728" i="2"/>
  <c r="K511" i="2"/>
  <c r="K746" i="2"/>
  <c r="K639" i="2"/>
  <c r="K1778" i="2"/>
  <c r="K1437" i="2"/>
  <c r="K905" i="2"/>
  <c r="K1493" i="2"/>
  <c r="K1521" i="2"/>
  <c r="K1522" i="2"/>
  <c r="K1174" i="2"/>
  <c r="K578" i="2"/>
  <c r="K854" i="2"/>
  <c r="K1178" i="2"/>
  <c r="K863" i="2"/>
  <c r="K507" i="2"/>
  <c r="K1170" i="2"/>
  <c r="K820" i="2"/>
  <c r="K1523" i="2"/>
  <c r="K1524" i="2"/>
  <c r="K1141" i="2"/>
  <c r="K931" i="2"/>
  <c r="K910" i="2"/>
  <c r="K1394" i="2"/>
  <c r="K1395" i="2"/>
  <c r="K1041" i="2"/>
  <c r="K812" i="2"/>
  <c r="K1396" i="2"/>
  <c r="K28" i="2"/>
  <c r="K1044" i="2"/>
  <c r="K1112" i="2"/>
  <c r="K799" i="2"/>
  <c r="K151" i="2"/>
  <c r="K918" i="2"/>
  <c r="K1461" i="2"/>
  <c r="K518" i="2"/>
  <c r="K1137" i="2"/>
  <c r="K729" i="2"/>
  <c r="K867" i="2"/>
  <c r="K1031" i="2"/>
  <c r="K780" i="2"/>
  <c r="K777" i="2"/>
  <c r="K675" i="2"/>
  <c r="K1037" i="2"/>
  <c r="K676" i="2"/>
  <c r="K657" i="2"/>
  <c r="K623" i="2"/>
  <c r="K624" i="2"/>
  <c r="K926" i="2"/>
  <c r="K589" i="2"/>
  <c r="K665" i="2"/>
  <c r="K810" i="2"/>
  <c r="K928" i="2"/>
  <c r="K654" i="2"/>
  <c r="K523" i="2"/>
  <c r="K769" i="2"/>
  <c r="K702" i="2"/>
  <c r="K1133" i="2"/>
  <c r="K846" i="2"/>
  <c r="K677" i="2"/>
  <c r="K1131" i="2"/>
  <c r="K858" i="2"/>
  <c r="K1341" i="2"/>
  <c r="K1779" i="2"/>
  <c r="K1068" i="2"/>
  <c r="K661" i="2"/>
  <c r="K1127" i="2"/>
  <c r="K1129" i="2"/>
  <c r="K145" i="2"/>
  <c r="K1505" i="2"/>
  <c r="K605" i="2"/>
  <c r="K161" i="2"/>
  <c r="K191" i="2"/>
  <c r="K783" i="2"/>
  <c r="K851" i="2"/>
  <c r="K123" i="2"/>
  <c r="K257" i="2"/>
  <c r="K1143" i="2"/>
  <c r="K1780" i="2"/>
  <c r="K1496" i="2"/>
  <c r="K1497" i="2"/>
  <c r="K865" i="2"/>
  <c r="K1459" i="2"/>
  <c r="K266" i="2"/>
  <c r="K907" i="2"/>
  <c r="K1410" i="2"/>
  <c r="K1411" i="2"/>
  <c r="K730" i="2"/>
  <c r="K242" i="2"/>
  <c r="K513" i="2"/>
  <c r="K806" i="2"/>
  <c r="K1165" i="2"/>
  <c r="K1226" i="2"/>
  <c r="K1397" i="2"/>
  <c r="K515" i="2"/>
  <c r="K56" i="2"/>
  <c r="K1454" i="2"/>
  <c r="K1462" i="2"/>
  <c r="K502" i="2"/>
  <c r="K1254" i="2"/>
  <c r="K1310" i="2"/>
  <c r="K1334" i="2"/>
  <c r="K483" i="2"/>
  <c r="K16" i="2"/>
  <c r="K621" i="2"/>
  <c r="K574" i="2"/>
  <c r="K580" i="2"/>
  <c r="K2" i="2"/>
  <c r="K497" i="2"/>
  <c r="K503" i="2"/>
  <c r="K484" i="2"/>
  <c r="K1241" i="2"/>
  <c r="K18" i="2"/>
  <c r="K43" i="2"/>
  <c r="K45" i="2"/>
  <c r="K44" i="2"/>
  <c r="K504" i="2"/>
  <c r="K15" i="2"/>
  <c r="K1316" i="2"/>
  <c r="K46" i="2"/>
  <c r="K1255" i="2"/>
  <c r="K1256" i="2"/>
  <c r="K1257" i="2"/>
  <c r="K64" i="2"/>
  <c r="K1258" i="2"/>
  <c r="K646" i="2"/>
  <c r="K800" i="2"/>
  <c r="K498" i="2"/>
  <c r="K1428" i="2"/>
  <c r="K1460" i="2"/>
  <c r="K575" i="2"/>
  <c r="K67" i="2"/>
  <c r="K1500" i="2"/>
  <c r="K1369" i="2"/>
  <c r="K1377" i="2"/>
  <c r="K807" i="2"/>
  <c r="K1320" i="2"/>
  <c r="K48" i="2"/>
  <c r="K1520" i="2"/>
  <c r="K767" i="2"/>
  <c r="K768" i="2"/>
  <c r="K1022" i="2"/>
  <c r="K55" i="2"/>
  <c r="K749" i="2"/>
  <c r="K1259" i="2"/>
  <c r="K1055" i="2"/>
  <c r="K485" i="2"/>
  <c r="K1260" i="2"/>
  <c r="K839" i="2"/>
  <c r="K600" i="2"/>
  <c r="K644" i="2"/>
  <c r="K1261" i="2"/>
  <c r="K499" i="2"/>
  <c r="K1262" i="2"/>
  <c r="K1354" i="2"/>
  <c r="K715" i="2"/>
  <c r="K862" i="2"/>
  <c r="K1349" i="2"/>
  <c r="K1228" i="2"/>
  <c r="K1378" i="2"/>
  <c r="K1350" i="2"/>
  <c r="K934" i="2"/>
  <c r="K1446" i="2"/>
  <c r="K1215" i="2"/>
  <c r="K716" i="2"/>
  <c r="K739" i="2"/>
  <c r="K1030" i="2"/>
  <c r="K948" i="2"/>
  <c r="K1421" i="2"/>
  <c r="K717" i="2"/>
  <c r="K1045" i="2"/>
  <c r="K1263" i="2"/>
  <c r="K1488" i="2"/>
  <c r="K1264" i="2"/>
  <c r="K50" i="2"/>
  <c r="K1136" i="2"/>
  <c r="K1091" i="2"/>
  <c r="K1427" i="2"/>
  <c r="K1151" i="2"/>
  <c r="K576" i="2"/>
  <c r="K1344" i="2"/>
  <c r="K1047" i="2"/>
  <c r="K1048" i="2"/>
  <c r="K1265" i="2"/>
  <c r="K486" i="2"/>
  <c r="K49" i="2"/>
  <c r="K1330" i="2"/>
  <c r="K1434" i="2"/>
  <c r="K880" i="2"/>
  <c r="K1331" i="2"/>
  <c r="K1451" i="2"/>
  <c r="K1266" i="2"/>
  <c r="K1514" i="2"/>
  <c r="K1540" i="2"/>
  <c r="K1353" i="2"/>
  <c r="K857" i="2"/>
  <c r="K669" i="2"/>
  <c r="K1531" i="2"/>
  <c r="K695" i="2"/>
  <c r="K1431" i="2"/>
  <c r="K622" i="2"/>
  <c r="K607" i="2"/>
  <c r="K701" i="2"/>
  <c r="K642" i="2"/>
  <c r="K990" i="2"/>
  <c r="K5" i="2"/>
  <c r="K1092" i="2"/>
  <c r="K1168" i="2"/>
  <c r="K585" i="2"/>
  <c r="K586" i="2"/>
  <c r="K1267" i="2"/>
  <c r="K803" i="2"/>
  <c r="K723" i="2"/>
  <c r="K898" i="2"/>
  <c r="K1140" i="2"/>
  <c r="K1268" i="2"/>
  <c r="K1269" i="2"/>
  <c r="K724" i="2"/>
  <c r="K512" i="2"/>
  <c r="K747" i="2"/>
  <c r="K640" i="2"/>
  <c r="K353" i="2"/>
  <c r="K1479" i="2"/>
  <c r="K906" i="2"/>
  <c r="K1494" i="2"/>
  <c r="K1270" i="2"/>
  <c r="K3" i="2"/>
  <c r="K1525" i="2"/>
  <c r="K1175" i="2"/>
  <c r="K579" i="2"/>
  <c r="K855" i="2"/>
  <c r="K86" i="2"/>
  <c r="K1179" i="2"/>
  <c r="K864" i="2"/>
  <c r="K508" i="2"/>
  <c r="K755" i="2"/>
  <c r="K1171" i="2"/>
  <c r="K87" i="2"/>
  <c r="K916" i="2"/>
  <c r="K821" i="2"/>
  <c r="K1332" i="2"/>
  <c r="K1526" i="2"/>
  <c r="K1142" i="2"/>
  <c r="K1123" i="2"/>
  <c r="K932" i="2"/>
  <c r="K531" i="2"/>
  <c r="K911" i="2"/>
  <c r="K487" i="2"/>
  <c r="K1398" i="2"/>
  <c r="K1042" i="2"/>
  <c r="K813" i="2"/>
  <c r="K532" i="2"/>
  <c r="K1399" i="2"/>
  <c r="K577" i="2"/>
  <c r="K1046" i="2"/>
  <c r="K1271" i="2"/>
  <c r="K1113" i="2"/>
  <c r="K801" i="2"/>
  <c r="K152" i="2"/>
  <c r="K919" i="2"/>
  <c r="K908" i="2"/>
  <c r="K1335" i="2"/>
  <c r="K1463" i="2"/>
  <c r="K519" i="2"/>
  <c r="K1138" i="2"/>
  <c r="K4" i="2"/>
  <c r="K725" i="2"/>
  <c r="K924" i="2"/>
  <c r="K868" i="2"/>
  <c r="K1032" i="2"/>
  <c r="K781" i="2"/>
  <c r="K52" i="2"/>
  <c r="K778" i="2"/>
  <c r="K914" i="2"/>
  <c r="K678" i="2"/>
  <c r="K920" i="2"/>
  <c r="K887" i="2"/>
  <c r="K847" i="2"/>
  <c r="K734" i="2"/>
  <c r="K1038" i="2"/>
  <c r="K679" i="2"/>
  <c r="K658" i="2"/>
  <c r="K293" i="2"/>
  <c r="K921" i="2"/>
  <c r="K625" i="2"/>
  <c r="K626" i="2"/>
  <c r="K927" i="2"/>
  <c r="K590" i="2"/>
  <c r="K922" i="2"/>
  <c r="K666" i="2"/>
  <c r="K811" i="2"/>
  <c r="K929" i="2"/>
  <c r="K754" i="2"/>
  <c r="K1272" i="2"/>
  <c r="K770" i="2"/>
  <c r="K703" i="2"/>
  <c r="K1134" i="2"/>
  <c r="K848" i="2"/>
  <c r="K1444" i="2"/>
  <c r="K1035" i="2"/>
  <c r="K680" i="2"/>
  <c r="K1132" i="2"/>
  <c r="K859" i="2"/>
  <c r="K991" i="2"/>
  <c r="K1535" i="2"/>
  <c r="K1273" i="2"/>
  <c r="K878" i="2"/>
  <c r="K840" i="2"/>
  <c r="K1069" i="2"/>
  <c r="K662" i="2"/>
  <c r="K1484" i="2"/>
  <c r="K1128" i="2"/>
  <c r="K1176" i="2"/>
  <c r="K860" i="2"/>
  <c r="K1130" i="2"/>
  <c r="K148" i="2"/>
  <c r="K548" i="2"/>
  <c r="K1504" i="2"/>
  <c r="K606" i="2"/>
  <c r="K162" i="2"/>
  <c r="K51" i="2"/>
  <c r="K782" i="2"/>
  <c r="K53" i="2"/>
  <c r="K189" i="2"/>
  <c r="K1274" i="2"/>
  <c r="K1043" i="2"/>
  <c r="K852" i="2"/>
  <c r="K1152" i="2"/>
  <c r="K1114" i="2"/>
  <c r="K784" i="2"/>
  <c r="K853" i="2"/>
  <c r="K1464" i="2"/>
  <c r="K124" i="2"/>
  <c r="K923" i="2"/>
  <c r="K1732" i="2"/>
  <c r="K779" i="2"/>
  <c r="K258" i="2"/>
  <c r="K1741" i="2"/>
  <c r="K1177" i="2"/>
  <c r="K785" i="2"/>
  <c r="K1231" i="2"/>
  <c r="K915" i="2"/>
  <c r="K1483" i="2"/>
  <c r="K1372" i="2"/>
  <c r="K1275" i="2"/>
  <c r="K771" i="2"/>
  <c r="K802" i="2"/>
  <c r="K808" i="2"/>
  <c r="K1276" i="2"/>
  <c r="K1738" i="2"/>
  <c r="K1498" i="2"/>
  <c r="K1480" i="2"/>
  <c r="K866" i="2"/>
  <c r="K1455" i="2"/>
  <c r="K267" i="2"/>
  <c r="K1277" i="2"/>
  <c r="K542" i="2"/>
  <c r="K1503" i="2"/>
  <c r="K1278" i="2"/>
  <c r="K1172" i="2"/>
  <c r="K909" i="2"/>
  <c r="K1279" i="2"/>
  <c r="K1173" i="2"/>
  <c r="K930" i="2"/>
  <c r="K1412" i="2"/>
  <c r="K726" i="2"/>
  <c r="K243" i="2"/>
  <c r="K1166" i="2"/>
  <c r="K1734" i="2"/>
  <c r="K1731" i="2"/>
  <c r="K514" i="2"/>
  <c r="K101" i="2"/>
  <c r="K102" i="2"/>
  <c r="K1234" i="2"/>
  <c r="K809" i="2"/>
  <c r="K1167" i="2"/>
  <c r="K1227" i="2"/>
  <c r="K1313" i="2"/>
  <c r="K516" i="2"/>
  <c r="K1736" i="2"/>
  <c r="K1456" i="2"/>
  <c r="K1280" i="2"/>
  <c r="K1543" i="2"/>
  <c r="K1281" i="2"/>
  <c r="K505" i="2"/>
  <c r="K1740" i="2"/>
  <c r="K1416" i="2"/>
  <c r="K637" i="2"/>
  <c r="K1282" i="2"/>
  <c r="K1283" i="2"/>
  <c r="K1465" i="2"/>
  <c r="K1400" i="2"/>
  <c r="K1284" i="2"/>
  <c r="K1373" i="2"/>
  <c r="K1466" i="2"/>
  <c r="K1285" i="2"/>
  <c r="K1286" i="2"/>
  <c r="K488" i="2"/>
  <c r="K756" i="2"/>
  <c r="K757" i="2"/>
  <c r="K1287" i="2"/>
  <c r="K1417" i="2"/>
  <c r="K1180" i="2"/>
  <c r="K718" i="2"/>
  <c r="K1418" i="2"/>
  <c r="K492" i="2"/>
  <c r="K1288" i="2"/>
  <c r="K289" i="2"/>
  <c r="K1774" i="2"/>
  <c r="K1289" i="2"/>
  <c r="K581" i="2"/>
  <c r="K493" i="2"/>
  <c r="K1290" i="2"/>
  <c r="K1036" i="2"/>
  <c r="K489" i="2"/>
  <c r="K1291" i="2"/>
  <c r="K1292" i="2"/>
  <c r="K1293" i="2"/>
  <c r="K12" i="2"/>
  <c r="K1294" i="2"/>
  <c r="K1295" i="2"/>
  <c r="K1445" i="2"/>
  <c r="K506" i="2"/>
  <c r="K524" i="2"/>
  <c r="K494" i="2"/>
  <c r="K1296" i="2"/>
  <c r="K1775" i="2"/>
  <c r="K1297" i="2"/>
  <c r="K1776" i="2"/>
  <c r="K758" i="2"/>
  <c r="K1298" i="2"/>
  <c r="K1299" i="2"/>
  <c r="K925" i="2"/>
  <c r="K495" i="2"/>
  <c r="K500" i="2"/>
  <c r="K501" i="2"/>
  <c r="K1300" i="2"/>
  <c r="K1311" i="2"/>
  <c r="K129" i="2"/>
  <c r="K1301" i="2"/>
  <c r="K772" i="2"/>
  <c r="K773" i="2"/>
  <c r="K774" i="2"/>
  <c r="K775" i="2"/>
  <c r="K776" i="2"/>
  <c r="K591" i="2"/>
  <c r="K592" i="2"/>
  <c r="K789" i="2"/>
  <c r="K790" i="2"/>
  <c r="K791" i="2"/>
  <c r="K792" i="2"/>
  <c r="K793" i="2"/>
  <c r="K794" i="2"/>
  <c r="K795" i="2"/>
  <c r="K796" i="2"/>
  <c r="K797" i="2"/>
  <c r="K66" i="2"/>
  <c r="K290" i="2"/>
  <c r="K364" i="2"/>
  <c r="K365" i="2"/>
  <c r="K366" i="2"/>
  <c r="K367" i="2"/>
  <c r="K368" i="2"/>
  <c r="K804" i="2"/>
  <c r="K805" i="2"/>
  <c r="K70" i="2"/>
  <c r="K601" i="2"/>
  <c r="K602" i="2"/>
  <c r="K603" i="2"/>
  <c r="K604" i="2"/>
  <c r="K74" i="2"/>
  <c r="K75" i="2"/>
  <c r="K131" i="2"/>
  <c r="K1321" i="2"/>
  <c r="K1322" i="2"/>
  <c r="K1323" i="2"/>
  <c r="K1324" i="2"/>
  <c r="K1325" i="2"/>
  <c r="K1326" i="2"/>
  <c r="K1327" i="2"/>
  <c r="K1333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1336" i="2"/>
  <c r="K1337" i="2"/>
  <c r="K76" i="2"/>
  <c r="K77" i="2"/>
  <c r="K78" i="2"/>
  <c r="K79" i="2"/>
  <c r="K1340" i="2"/>
  <c r="K841" i="2"/>
  <c r="K842" i="2"/>
  <c r="K843" i="2"/>
  <c r="K844" i="2"/>
  <c r="K845" i="2"/>
  <c r="K81" i="2"/>
  <c r="K611" i="2"/>
  <c r="K612" i="2"/>
  <c r="K849" i="2"/>
  <c r="K372" i="2"/>
  <c r="K373" i="2"/>
  <c r="K374" i="2"/>
  <c r="K375" i="2"/>
  <c r="K376" i="2"/>
  <c r="K377" i="2"/>
  <c r="K378" i="2"/>
  <c r="K379" i="2"/>
  <c r="K380" i="2"/>
  <c r="K614" i="2"/>
  <c r="K627" i="2"/>
  <c r="K628" i="2"/>
  <c r="K629" i="2"/>
  <c r="K1345" i="2"/>
  <c r="K100" i="2"/>
  <c r="K1735" i="2"/>
  <c r="K543" i="2"/>
  <c r="K103" i="2"/>
  <c r="K302" i="2"/>
  <c r="K303" i="2"/>
  <c r="K304" i="2"/>
  <c r="K305" i="2"/>
  <c r="K306" i="2"/>
  <c r="K307" i="2"/>
  <c r="K308" i="2"/>
  <c r="K1544" i="2"/>
  <c r="K312" i="2"/>
  <c r="K313" i="2"/>
  <c r="K631" i="2"/>
  <c r="K1346" i="2"/>
  <c r="K1302" i="2"/>
  <c r="K1351" i="2"/>
  <c r="K1356" i="2"/>
  <c r="K1357" i="2"/>
  <c r="K1358" i="2"/>
  <c r="K1359" i="2"/>
  <c r="K1360" i="2"/>
  <c r="K509" i="2"/>
  <c r="K510" i="2"/>
  <c r="K1361" i="2"/>
  <c r="K869" i="2"/>
  <c r="K870" i="2"/>
  <c r="K871" i="2"/>
  <c r="K872" i="2"/>
  <c r="K873" i="2"/>
  <c r="K874" i="2"/>
  <c r="K875" i="2"/>
  <c r="K876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5" i="2"/>
  <c r="K126" i="2"/>
  <c r="K127" i="2"/>
  <c r="K128" i="2"/>
  <c r="K130" i="2"/>
  <c r="K1363" i="2"/>
  <c r="K1364" i="2"/>
  <c r="K1365" i="2"/>
  <c r="K1366" i="2"/>
  <c r="K1367" i="2"/>
  <c r="K550" i="2"/>
  <c r="K551" i="2"/>
  <c r="K552" i="2"/>
  <c r="K140" i="2"/>
  <c r="K553" i="2"/>
  <c r="K554" i="2"/>
  <c r="K555" i="2"/>
  <c r="K556" i="2"/>
  <c r="K634" i="2"/>
  <c r="K877" i="2"/>
  <c r="K142" i="2"/>
  <c r="K144" i="2"/>
  <c r="K1374" i="2"/>
  <c r="K1375" i="2"/>
  <c r="K1376" i="2"/>
  <c r="K557" i="2"/>
  <c r="K150" i="2"/>
  <c r="K879" i="2"/>
  <c r="K154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881" i="2"/>
  <c r="K882" i="2"/>
  <c r="K883" i="2"/>
  <c r="K888" i="2"/>
  <c r="K889" i="2"/>
  <c r="K1392" i="2"/>
  <c r="K1393" i="2"/>
  <c r="K899" i="2"/>
  <c r="K900" i="2"/>
  <c r="K901" i="2"/>
  <c r="K902" i="2"/>
  <c r="K903" i="2"/>
  <c r="K904" i="2"/>
  <c r="K1401" i="2"/>
  <c r="K1402" i="2"/>
  <c r="K1403" i="2"/>
  <c r="K1405" i="2"/>
  <c r="K1406" i="2"/>
  <c r="K1413" i="2"/>
  <c r="K1414" i="2"/>
  <c r="K638" i="2"/>
  <c r="K1419" i="2"/>
  <c r="K163" i="2"/>
  <c r="K164" i="2"/>
  <c r="K165" i="2"/>
  <c r="K166" i="2"/>
  <c r="K167" i="2"/>
  <c r="K168" i="2"/>
  <c r="K169" i="2"/>
  <c r="K170" i="2"/>
  <c r="K171" i="2"/>
  <c r="K172" i="2"/>
  <c r="K558" i="2"/>
  <c r="K559" i="2"/>
  <c r="K1422" i="2"/>
  <c r="K1423" i="2"/>
  <c r="K1424" i="2"/>
  <c r="K173" i="2"/>
  <c r="K174" i="2"/>
  <c r="K560" i="2"/>
  <c r="K175" i="2"/>
  <c r="K561" i="2"/>
  <c r="K645" i="2"/>
  <c r="K647" i="2"/>
  <c r="K182" i="2"/>
  <c r="K183" i="2"/>
  <c r="K1426" i="2"/>
  <c r="K650" i="2"/>
  <c r="K31" i="2"/>
  <c r="K186" i="2"/>
  <c r="K187" i="2"/>
  <c r="K188" i="2"/>
  <c r="K1433" i="2"/>
  <c r="K1438" i="2"/>
  <c r="K1439" i="2"/>
  <c r="K192" i="2"/>
  <c r="K1441" i="2"/>
  <c r="K334" i="2"/>
  <c r="K428" i="2"/>
  <c r="K429" i="2"/>
  <c r="K430" i="2"/>
  <c r="K431" i="2"/>
  <c r="K432" i="2"/>
  <c r="K433" i="2"/>
  <c r="K434" i="2"/>
  <c r="K435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92" i="2"/>
  <c r="K993" i="2"/>
  <c r="K994" i="2"/>
  <c r="K995" i="2"/>
  <c r="K996" i="2"/>
  <c r="K997" i="2"/>
  <c r="K998" i="2"/>
  <c r="K999" i="2"/>
  <c r="K1000" i="2"/>
  <c r="K1001" i="2"/>
  <c r="K1023" i="2"/>
  <c r="K1024" i="2"/>
  <c r="K1025" i="2"/>
  <c r="K1026" i="2"/>
  <c r="K1027" i="2"/>
  <c r="K1028" i="2"/>
  <c r="K652" i="2"/>
  <c r="K653" i="2"/>
  <c r="K659" i="2"/>
  <c r="K660" i="2"/>
  <c r="K1457" i="2"/>
  <c r="K1458" i="2"/>
  <c r="K663" i="2"/>
  <c r="K570" i="2"/>
  <c r="K195" i="2"/>
  <c r="K196" i="2"/>
  <c r="K197" i="2"/>
  <c r="K1467" i="2"/>
  <c r="K1468" i="2"/>
  <c r="K1469" i="2"/>
  <c r="K1470" i="2"/>
  <c r="K1471" i="2"/>
  <c r="K1472" i="2"/>
  <c r="K1473" i="2"/>
  <c r="K1474" i="2"/>
  <c r="K1475" i="2"/>
  <c r="K1476" i="2"/>
  <c r="K336" i="2"/>
  <c r="K337" i="2"/>
  <c r="K1478" i="2"/>
  <c r="K198" i="2"/>
  <c r="K199" i="2"/>
  <c r="K200" i="2"/>
  <c r="K201" i="2"/>
  <c r="K1481" i="2"/>
  <c r="K1482" i="2"/>
  <c r="K517" i="2"/>
  <c r="K1485" i="2"/>
  <c r="K1489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1491" i="2"/>
  <c r="K1049" i="2"/>
  <c r="K444" i="2"/>
  <c r="K1050" i="2"/>
  <c r="K1051" i="2"/>
  <c r="K1052" i="2"/>
  <c r="K445" i="2"/>
  <c r="K446" i="2"/>
  <c r="K447" i="2"/>
  <c r="K448" i="2"/>
  <c r="K449" i="2"/>
  <c r="K450" i="2"/>
  <c r="K451" i="2"/>
  <c r="K456" i="2"/>
  <c r="K457" i="2"/>
  <c r="K458" i="2"/>
  <c r="K1056" i="2"/>
  <c r="K1057" i="2"/>
  <c r="K1058" i="2"/>
  <c r="K228" i="2"/>
  <c r="K1059" i="2"/>
  <c r="K1060" i="2"/>
  <c r="K1061" i="2"/>
  <c r="K1062" i="2"/>
  <c r="K1063" i="2"/>
  <c r="K1064" i="2"/>
  <c r="K1065" i="2"/>
  <c r="K1066" i="2"/>
  <c r="K1067" i="2"/>
  <c r="K664" i="2"/>
  <c r="K1070" i="2"/>
  <c r="K1071" i="2"/>
  <c r="K229" i="2"/>
  <c r="K230" i="2"/>
  <c r="K231" i="2"/>
  <c r="K232" i="2"/>
  <c r="K233" i="2"/>
  <c r="K234" i="2"/>
  <c r="K235" i="2"/>
  <c r="K236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495" i="2"/>
  <c r="K1115" i="2"/>
  <c r="K1116" i="2"/>
  <c r="K1117" i="2"/>
  <c r="K1118" i="2"/>
  <c r="K1119" i="2"/>
  <c r="K239" i="2"/>
  <c r="K240" i="2"/>
  <c r="K241" i="2"/>
  <c r="K244" i="2"/>
  <c r="K1124" i="2"/>
  <c r="K1125" i="2"/>
  <c r="K1126" i="2"/>
  <c r="K459" i="2"/>
  <c r="K460" i="2"/>
  <c r="K245" i="2"/>
  <c r="K522" i="2"/>
  <c r="K462" i="2"/>
  <c r="K463" i="2"/>
  <c r="K464" i="2"/>
  <c r="K465" i="2"/>
  <c r="K466" i="2"/>
  <c r="K467" i="2"/>
  <c r="K468" i="2"/>
  <c r="K469" i="2"/>
  <c r="K470" i="2"/>
  <c r="K248" i="2"/>
  <c r="K681" i="2"/>
  <c r="K683" i="2"/>
  <c r="K525" i="2"/>
  <c r="K526" i="2"/>
  <c r="K527" i="2"/>
  <c r="K528" i="2"/>
  <c r="K1506" i="2"/>
  <c r="K1508" i="2"/>
  <c r="K688" i="2"/>
  <c r="K689" i="2"/>
  <c r="K690" i="2"/>
  <c r="K691" i="2"/>
  <c r="K692" i="2"/>
  <c r="K1509" i="2"/>
  <c r="K1510" i="2"/>
  <c r="K696" i="2"/>
  <c r="K249" i="2"/>
  <c r="K704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733" i="2"/>
  <c r="K255" i="2"/>
  <c r="K256" i="2"/>
  <c r="K571" i="2"/>
  <c r="K572" i="2"/>
  <c r="K1169" i="2"/>
  <c r="K351" i="2"/>
  <c r="K352" i="2"/>
  <c r="K1515" i="2"/>
  <c r="K1516" i="2"/>
  <c r="K1517" i="2"/>
  <c r="K1518" i="2"/>
  <c r="K1519" i="2"/>
  <c r="K708" i="2"/>
  <c r="K259" i="2"/>
  <c r="K260" i="2"/>
  <c r="K261" i="2"/>
  <c r="K262" i="2"/>
  <c r="K1242" i="2"/>
  <c r="K1243" i="2"/>
  <c r="K263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1244" i="2"/>
  <c r="K1527" i="2"/>
  <c r="K1528" i="2"/>
  <c r="K283" i="2"/>
  <c r="K1532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731" i="2"/>
  <c r="K732" i="2"/>
  <c r="K285" i="2"/>
  <c r="K286" i="2"/>
  <c r="K741" i="2"/>
  <c r="K742" i="2"/>
  <c r="K490" i="2"/>
  <c r="K743" i="2"/>
  <c r="K744" i="2"/>
  <c r="K535" i="2"/>
  <c r="K536" i="2"/>
  <c r="K537" i="2"/>
  <c r="K1536" i="2"/>
  <c r="K1537" i="2"/>
  <c r="K1538" i="2"/>
  <c r="K1197" i="2"/>
  <c r="K1198" i="2"/>
  <c r="K1199" i="2"/>
  <c r="K480" i="2"/>
  <c r="K1200" i="2"/>
  <c r="K1201" i="2"/>
  <c r="K1202" i="2"/>
  <c r="K1203" i="2"/>
  <c r="K1216" i="2"/>
  <c r="K1217" i="2"/>
  <c r="K1218" i="2"/>
  <c r="K1219" i="2"/>
  <c r="K1220" i="2"/>
  <c r="K1221" i="2"/>
  <c r="K1222" i="2"/>
  <c r="K1223" i="2"/>
  <c r="K1224" i="2"/>
  <c r="K1225" i="2"/>
  <c r="K750" i="2"/>
  <c r="K751" i="2"/>
  <c r="K752" i="2"/>
  <c r="K1739" i="2"/>
  <c r="K546" i="2"/>
  <c r="K547" i="2"/>
  <c r="K1542" i="2"/>
  <c r="K54" i="2"/>
  <c r="K1232" i="2"/>
  <c r="K1312" i="2"/>
  <c r="K1317" i="2"/>
  <c r="K1318" i="2"/>
  <c r="K1319" i="2"/>
  <c r="K1328" i="2"/>
  <c r="K1329" i="2"/>
  <c r="K1342" i="2"/>
  <c r="K1362" i="2"/>
  <c r="K1368" i="2"/>
  <c r="K787" i="2"/>
  <c r="K788" i="2"/>
  <c r="K61" i="2"/>
  <c r="K798" i="2"/>
  <c r="K1371" i="2"/>
  <c r="K850" i="2"/>
  <c r="K381" i="2"/>
  <c r="K382" i="2"/>
  <c r="K383" i="2"/>
  <c r="K384" i="2"/>
  <c r="K385" i="2"/>
  <c r="K386" i="2"/>
  <c r="K387" i="2"/>
  <c r="K388" i="2"/>
  <c r="K389" i="2"/>
  <c r="K390" i="2"/>
  <c r="K1379" i="2"/>
  <c r="K391" i="2"/>
  <c r="K392" i="2"/>
  <c r="K90" i="2"/>
  <c r="K91" i="2"/>
  <c r="K92" i="2"/>
  <c r="K93" i="2"/>
  <c r="K94" i="2"/>
  <c r="K95" i="2"/>
  <c r="K96" i="2"/>
  <c r="K97" i="2"/>
  <c r="K98" i="2"/>
  <c r="K618" i="2"/>
  <c r="K539" i="2"/>
  <c r="K710" i="2"/>
  <c r="K1239" i="2"/>
  <c r="K719" i="2"/>
  <c r="K529" i="2"/>
  <c r="K682" i="2"/>
  <c r="K616" i="2"/>
  <c r="K667" i="2"/>
  <c r="K705" i="2"/>
  <c r="K530" i="2"/>
  <c r="K582" i="2"/>
  <c r="K735" i="2"/>
  <c r="K62" i="2"/>
  <c r="K411" i="2"/>
  <c r="K184" i="2"/>
  <c r="K393" i="2"/>
  <c r="K439" i="2"/>
  <c r="K149" i="2"/>
  <c r="K71" i="2"/>
  <c r="K104" i="2"/>
  <c r="K132" i="2"/>
  <c r="K407" i="2"/>
  <c r="K481" i="2"/>
  <c r="K158" i="2"/>
  <c r="K251" i="2"/>
  <c r="K324" i="2"/>
  <c r="K325" i="2"/>
  <c r="K409" i="2"/>
  <c r="K326" i="2"/>
  <c r="K684" i="2"/>
  <c r="K155" i="2"/>
  <c r="K156" i="2"/>
  <c r="K707" i="2"/>
  <c r="K157" i="2"/>
  <c r="K58" i="2"/>
  <c r="K327" i="2"/>
  <c r="K912" i="2"/>
  <c r="K82" i="2"/>
  <c r="K354" i="2"/>
  <c r="K176" i="2"/>
  <c r="K80" i="2"/>
  <c r="K252" i="2"/>
  <c r="K412" i="2"/>
  <c r="K413" i="2"/>
  <c r="K414" i="2"/>
  <c r="K415" i="2"/>
  <c r="K136" i="2"/>
  <c r="K648" i="2"/>
  <c r="K410" i="2"/>
  <c r="K284" i="2"/>
  <c r="K436" i="2"/>
  <c r="K357" i="2"/>
  <c r="K471" i="2"/>
  <c r="K474" i="2"/>
  <c r="K651" i="2"/>
  <c r="K562" i="2"/>
  <c r="K563" i="2"/>
  <c r="K564" i="2"/>
  <c r="K565" i="2"/>
  <c r="K566" i="2"/>
  <c r="K461" i="2"/>
  <c r="K567" i="2"/>
  <c r="K568" i="2"/>
  <c r="K569" i="2"/>
  <c r="K1034" i="2"/>
  <c r="K287" i="2"/>
  <c r="K57" i="2"/>
  <c r="K1245" i="2"/>
  <c r="K84" i="2"/>
  <c r="K178" i="2"/>
  <c r="K59" i="2"/>
  <c r="K1545" i="2"/>
  <c r="K1452" i="2"/>
  <c r="K759" i="2"/>
  <c r="K1453" i="2"/>
  <c r="K1146" i="2"/>
  <c r="K1147" i="2"/>
  <c r="K1148" i="2"/>
  <c r="K1149" i="2"/>
  <c r="K697" i="2"/>
  <c r="K711" i="2"/>
  <c r="K720" i="2"/>
  <c r="K698" i="2"/>
  <c r="K617" i="2"/>
  <c r="K60" i="2"/>
  <c r="K733" i="2"/>
  <c r="K608" i="2"/>
  <c r="K609" i="2"/>
  <c r="K593" i="2"/>
  <c r="K613" i="2"/>
  <c r="K615" i="2"/>
  <c r="K1229" i="2"/>
  <c r="K1230" i="2"/>
  <c r="K649" i="2"/>
  <c r="K760" i="2"/>
  <c r="K761" i="2"/>
  <c r="K762" i="2"/>
  <c r="K763" i="2"/>
  <c r="K736" i="2"/>
  <c r="K745" i="2"/>
  <c r="K737" i="2"/>
  <c r="K721" i="2"/>
  <c r="K722" i="2"/>
  <c r="K699" i="2"/>
  <c r="K712" i="2"/>
  <c r="K619" i="2"/>
  <c r="K764" i="2"/>
  <c r="K765" i="2"/>
  <c r="K766" i="2"/>
  <c r="K291" i="2"/>
  <c r="K292" i="2"/>
  <c r="K534" i="2"/>
  <c r="K540" i="2"/>
  <c r="K541" i="2"/>
  <c r="K544" i="2"/>
  <c r="K545" i="2"/>
  <c r="K1236" i="2"/>
  <c r="K1237" i="2"/>
  <c r="K1238" i="2"/>
  <c r="K1240" i="2"/>
  <c r="K1246" i="2"/>
  <c r="K1247" i="2"/>
  <c r="K1252" i="2"/>
  <c r="K1486" i="2"/>
  <c r="K13" i="2"/>
  <c r="K1499" i="2"/>
  <c r="K1501" i="2"/>
  <c r="K1511" i="2"/>
  <c r="K1512" i="2"/>
  <c r="K1533" i="2"/>
  <c r="K1546" i="2"/>
  <c r="K1547" i="2"/>
  <c r="K1548" i="2"/>
  <c r="K1447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34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303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304" i="2"/>
  <c r="K1639" i="2"/>
  <c r="K1640" i="2"/>
  <c r="K1641" i="2"/>
  <c r="K1642" i="2"/>
  <c r="K1643" i="2"/>
  <c r="K1644" i="2"/>
  <c r="K1645" i="2"/>
  <c r="K1646" i="2"/>
  <c r="K1647" i="2"/>
  <c r="K1648" i="2"/>
  <c r="K14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42" i="2"/>
  <c r="K1743" i="2"/>
  <c r="K1744" i="2"/>
  <c r="K1745" i="2"/>
  <c r="K1746" i="2"/>
  <c r="K1747" i="2"/>
  <c r="K1748" i="2"/>
  <c r="K1749" i="2"/>
  <c r="K1737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7" i="2"/>
  <c r="K1781" i="2"/>
  <c r="K1782" i="2"/>
  <c r="K1783" i="2"/>
  <c r="K1784" i="2"/>
  <c r="K1785" i="2"/>
  <c r="K1730" i="2"/>
  <c r="K408" i="2"/>
  <c r="K482" i="2"/>
  <c r="K573" i="2"/>
  <c r="K1502" i="2"/>
  <c r="K1420" i="2"/>
  <c r="K1251" i="2"/>
  <c r="K122" i="2"/>
  <c r="K1338" i="2"/>
  <c r="K1429" i="2"/>
  <c r="K1235" i="2"/>
  <c r="K1314" i="2"/>
  <c r="K496" i="2"/>
  <c r="K491" i="2"/>
  <c r="K1404" i="2"/>
  <c r="K1477" i="2"/>
  <c r="K1432" i="2"/>
  <c r="K1487" i="2"/>
  <c r="K520" i="2"/>
  <c r="K521" i="2"/>
  <c r="K1002" i="2"/>
  <c r="K1003" i="2"/>
  <c r="K1004" i="2"/>
  <c r="K1005" i="2"/>
  <c r="K935" i="2"/>
  <c r="K25" i="2"/>
  <c r="K202" i="2"/>
  <c r="K72" i="2"/>
  <c r="K1072" i="2"/>
  <c r="K1073" i="2"/>
  <c r="K237" i="2"/>
  <c r="K177" i="2"/>
  <c r="K203" i="2"/>
  <c r="K1204" i="2"/>
  <c r="K369" i="2"/>
  <c r="K85" i="2"/>
  <c r="K204" i="2"/>
  <c r="K238" i="2"/>
  <c r="K394" i="2"/>
  <c r="K472" i="2"/>
  <c r="K473" i="2"/>
  <c r="K288" i="2"/>
  <c r="K253" i="2"/>
  <c r="K205" i="2"/>
  <c r="K185" i="2"/>
  <c r="K88" i="2"/>
  <c r="K890" i="2"/>
  <c r="K246" i="2"/>
  <c r="K63" i="2"/>
  <c r="K206" i="2"/>
  <c r="K83" i="2"/>
  <c r="K137" i="2"/>
  <c r="K207" i="2"/>
  <c r="K416" i="2"/>
  <c r="K330" i="2"/>
  <c r="K264" i="2"/>
  <c r="K1205" i="2"/>
  <c r="K395" i="2"/>
  <c r="K417" i="2"/>
  <c r="K65" i="2"/>
  <c r="K396" i="2"/>
  <c r="K208" i="2"/>
  <c r="K1206" i="2"/>
  <c r="K10" i="2"/>
  <c r="K1207" i="2"/>
  <c r="K1120" i="2"/>
  <c r="K1074" i="2"/>
  <c r="K1075" i="2"/>
  <c r="K1076" i="2"/>
  <c r="K891" i="2"/>
  <c r="K892" i="2"/>
  <c r="K14" i="2"/>
  <c r="K331" i="2"/>
  <c r="K884" i="2"/>
  <c r="K1208" i="2"/>
  <c r="K1209" i="2"/>
  <c r="K1210" i="2"/>
  <c r="K1121" i="2"/>
  <c r="K1211" i="2"/>
  <c r="K917" i="2"/>
  <c r="K1144" i="2"/>
  <c r="K1212" i="2"/>
  <c r="K1122" i="2"/>
  <c r="K179" i="2"/>
  <c r="K913" i="2"/>
  <c r="K89" i="2"/>
  <c r="K250" i="2"/>
  <c r="K315" i="2"/>
  <c r="K1145" i="2"/>
  <c r="K332" i="2"/>
  <c r="K333" i="2"/>
  <c r="K335" i="2"/>
  <c r="K193" i="2"/>
  <c r="K549" i="2"/>
  <c r="K814" i="2"/>
  <c r="K1033" i="2"/>
  <c r="K933" i="2"/>
  <c r="K24" i="2"/>
  <c r="K180" i="2"/>
  <c r="K17" i="2"/>
  <c r="K370" i="2"/>
  <c r="K1006" i="2"/>
  <c r="K1007" i="2"/>
  <c r="K73" i="2"/>
  <c r="K358" i="2"/>
  <c r="K837" i="2"/>
  <c r="K38" i="2"/>
  <c r="K359" i="2"/>
  <c r="K475" i="2"/>
  <c r="K194" i="2"/>
  <c r="K786" i="2"/>
  <c r="K476" i="2"/>
  <c r="K893" i="2"/>
  <c r="K39" i="2"/>
  <c r="K973" i="2"/>
  <c r="K316" i="2"/>
  <c r="K477" i="2"/>
  <c r="K478" i="2"/>
  <c r="K153" i="2"/>
  <c r="K479" i="2"/>
  <c r="K1053" i="2"/>
  <c r="K974" i="2"/>
  <c r="K815" i="2"/>
  <c r="K265" i="2"/>
  <c r="K1077" i="2"/>
  <c r="K317" i="2"/>
  <c r="K68" i="2"/>
  <c r="K33" i="2"/>
  <c r="K440" i="2"/>
  <c r="K1008" i="2"/>
  <c r="K339" i="2"/>
  <c r="K340" i="2"/>
  <c r="K975" i="2"/>
  <c r="K1009" i="2"/>
  <c r="K418" i="2"/>
  <c r="K133" i="2"/>
  <c r="K936" i="2"/>
  <c r="K937" i="2"/>
  <c r="K294" i="2"/>
  <c r="K1010" i="2"/>
  <c r="K318" i="2"/>
  <c r="K1011" i="2"/>
  <c r="K40" i="2"/>
  <c r="K360" i="2"/>
  <c r="K341" i="2"/>
  <c r="K1012" i="2"/>
  <c r="K1013" i="2"/>
  <c r="K1039" i="2"/>
  <c r="K1040" i="2"/>
  <c r="K361" i="2"/>
  <c r="K342" i="2"/>
  <c r="K938" i="2"/>
  <c r="K939" i="2"/>
  <c r="K362" i="2"/>
  <c r="K1014" i="2"/>
  <c r="K343" i="2"/>
  <c r="K319" i="2"/>
  <c r="K976" i="2"/>
  <c r="K940" i="2"/>
  <c r="K363" i="2"/>
  <c r="K328" i="2"/>
  <c r="K344" i="2"/>
  <c r="K329" i="2"/>
  <c r="K894" i="2"/>
  <c r="K816" i="2"/>
  <c r="K817" i="2"/>
  <c r="K190" i="2"/>
  <c r="K320" i="2"/>
  <c r="K345" i="2"/>
  <c r="K346" i="2"/>
  <c r="K441" i="2"/>
  <c r="K442" i="2"/>
  <c r="K443" i="2"/>
  <c r="K419" i="2"/>
  <c r="K420" i="2"/>
  <c r="K321" i="2"/>
  <c r="K347" i="2"/>
  <c r="K1015" i="2"/>
  <c r="K309" i="2"/>
  <c r="K322" i="2"/>
  <c r="K1016" i="2"/>
  <c r="K397" i="2"/>
  <c r="K1017" i="2"/>
  <c r="K421" i="2"/>
  <c r="K295" i="2"/>
  <c r="K437" i="2"/>
  <c r="K438" i="2"/>
  <c r="K348" i="2"/>
  <c r="K422" i="2"/>
  <c r="K941" i="2"/>
  <c r="K838" i="2"/>
  <c r="K452" i="2"/>
  <c r="K942" i="2"/>
  <c r="K1018" i="2"/>
  <c r="K453" i="2"/>
  <c r="K943" i="2"/>
  <c r="K323" i="2"/>
  <c r="K895" i="2"/>
  <c r="K454" i="2"/>
  <c r="K455" i="2"/>
  <c r="K247" i="2"/>
  <c r="K944" i="2"/>
  <c r="K945" i="2"/>
  <c r="K1108" i="2"/>
  <c r="K32" i="2"/>
  <c r="K254" i="2"/>
  <c r="K209" i="2"/>
  <c r="K818" i="2"/>
  <c r="K349" i="2"/>
  <c r="K398" i="2"/>
  <c r="K977" i="2"/>
  <c r="K1019" i="2"/>
  <c r="K1054" i="2"/>
  <c r="K423" i="2"/>
  <c r="K399" i="2"/>
  <c r="K946" i="2"/>
  <c r="K947" i="2"/>
  <c r="K978" i="2"/>
  <c r="K29" i="2"/>
  <c r="K979" i="2"/>
  <c r="K400" i="2"/>
  <c r="K1109" i="2"/>
  <c r="K350" i="2"/>
  <c r="K980" i="2"/>
  <c r="K981" i="2"/>
  <c r="K982" i="2"/>
  <c r="K983" i="2"/>
  <c r="K885" i="2"/>
  <c r="K296" i="2"/>
  <c r="K426" i="2"/>
  <c r="K984" i="2"/>
  <c r="K99" i="2"/>
  <c r="K355" i="2"/>
  <c r="K297" i="2"/>
  <c r="K69" i="2"/>
  <c r="K424" i="2"/>
  <c r="K141" i="2"/>
  <c r="K1213" i="2"/>
  <c r="K135" i="2"/>
  <c r="K985" i="2"/>
  <c r="K986" i="2"/>
  <c r="K403" i="2"/>
  <c r="K34" i="2"/>
  <c r="K404" i="2"/>
  <c r="K427" i="2"/>
  <c r="K405" i="2"/>
  <c r="K371" i="2"/>
  <c r="K406" i="2"/>
  <c r="K987" i="2"/>
  <c r="K425" i="2"/>
  <c r="K401" i="2"/>
  <c r="K298" i="2"/>
  <c r="K896" i="2"/>
  <c r="K159" i="2"/>
  <c r="K1078" i="2"/>
  <c r="K1079" i="2"/>
  <c r="K1080" i="2"/>
  <c r="K1081" i="2"/>
  <c r="K1082" i="2"/>
  <c r="K1083" i="2"/>
  <c r="K1084" i="2"/>
  <c r="K1085" i="2"/>
  <c r="K1086" i="2"/>
  <c r="K1087" i="2"/>
  <c r="K1088" i="2"/>
  <c r="K886" i="2"/>
  <c r="K402" i="2"/>
  <c r="K1089" i="2"/>
  <c r="K897" i="2"/>
  <c r="K338" i="2"/>
  <c r="K314" i="2"/>
  <c r="K1020" i="2"/>
  <c r="K1021" i="2"/>
  <c r="K299" i="2"/>
  <c r="K1110" i="2"/>
  <c r="K310" i="2"/>
  <c r="K356" i="2"/>
  <c r="K819" i="2"/>
  <c r="K988" i="2"/>
  <c r="K989" i="2"/>
  <c r="K160" i="2"/>
  <c r="K210" i="2"/>
  <c r="K300" i="2"/>
  <c r="K311" i="2"/>
  <c r="K301" i="2"/>
  <c r="K1214" i="2"/>
  <c r="K211" i="2"/>
  <c r="K212" i="2"/>
  <c r="K213" i="2"/>
  <c r="K1111" i="2"/>
  <c r="K105" i="2"/>
  <c r="K181" i="2"/>
  <c r="K35" i="2"/>
  <c r="K41" i="2"/>
  <c r="K635" i="2"/>
  <c r="K610" i="2"/>
  <c r="K685" i="2"/>
  <c r="K686" i="2"/>
  <c r="K655" i="2"/>
  <c r="K670" i="2"/>
  <c r="K671" i="2"/>
  <c r="K632" i="2"/>
  <c r="K672" i="2"/>
  <c r="K633" i="2"/>
  <c r="K595" i="2"/>
  <c r="K713" i="2"/>
  <c r="K714" i="2"/>
  <c r="K620" i="2"/>
  <c r="K738" i="2"/>
  <c r="K630" i="2"/>
  <c r="K687" i="2"/>
  <c r="K587" i="2"/>
  <c r="K709" i="2"/>
  <c r="K588" i="2"/>
  <c r="K693" i="2"/>
  <c r="K594" i="2"/>
  <c r="K596" i="2"/>
  <c r="K597" i="2"/>
  <c r="K598" i="2"/>
  <c r="K636" i="2"/>
  <c r="K656" i="2"/>
  <c r="K673" i="2"/>
  <c r="K674" i="2"/>
  <c r="K836" i="2"/>
  <c r="K37" i="2"/>
  <c r="K1541" i="2"/>
  <c r="K138" i="2"/>
  <c r="K139" i="2"/>
  <c r="K47" i="2"/>
  <c r="K30" i="2"/>
  <c r="K11" i="2"/>
  <c r="K26" i="2"/>
  <c r="K22" i="2"/>
  <c r="K23" i="2"/>
  <c r="K36" i="2"/>
  <c r="K21" i="2"/>
  <c r="K27" i="2"/>
  <c r="K1305" i="2"/>
  <c r="K1306" i="2"/>
  <c r="K1307" i="2"/>
  <c r="K143" i="2"/>
  <c r="K1308" i="2"/>
  <c r="K1442" i="2"/>
  <c r="K1539" i="2"/>
  <c r="K1309" i="2"/>
  <c r="K1507" i="2"/>
  <c r="K1407" i="2"/>
  <c r="K146" i="2"/>
  <c r="K753" i="2"/>
  <c r="K147" i="2"/>
  <c r="J10" i="1" l="1"/>
  <c r="I8" i="1"/>
  <c r="J6" i="1"/>
  <c r="J9" i="1"/>
  <c r="K2" i="1" s="1"/>
  <c r="K5" i="1" s="1"/>
  <c r="J7" i="1"/>
  <c r="X3" i="4"/>
  <c r="X26" i="4" s="1"/>
  <c r="LB4" i="1"/>
  <c r="LF4" i="1"/>
  <c r="LG4" i="1"/>
  <c r="LH4" i="1"/>
  <c r="LI4" i="1"/>
  <c r="LJ4" i="1"/>
  <c r="LN4" i="1"/>
  <c r="LP4" i="1"/>
  <c r="LT4" i="1"/>
  <c r="LU4" i="1"/>
  <c r="LV4" i="1"/>
  <c r="LW4" i="1"/>
  <c r="FA4" i="1"/>
  <c r="FB4" i="1"/>
  <c r="FC4" i="1"/>
  <c r="FH4" i="1"/>
  <c r="FI4" i="1"/>
  <c r="FP4" i="1"/>
  <c r="FQ4" i="1"/>
  <c r="FR4" i="1"/>
  <c r="FS4" i="1"/>
  <c r="FY4" i="1"/>
  <c r="FZ4" i="1"/>
  <c r="DS4" i="1"/>
  <c r="DT4" i="1"/>
  <c r="DU4" i="1"/>
  <c r="DZ4" i="1"/>
  <c r="EB4" i="1"/>
  <c r="EC4" i="1"/>
  <c r="EG4" i="1"/>
  <c r="EH4" i="1"/>
  <c r="EM4" i="1"/>
  <c r="EP4" i="1"/>
  <c r="EQ4" i="1"/>
  <c r="ET4" i="1"/>
  <c r="DR4" i="1"/>
  <c r="AE4" i="1"/>
  <c r="AF4" i="1"/>
  <c r="AG4" i="1"/>
  <c r="AH4" i="1"/>
  <c r="AI4" i="1"/>
  <c r="AN4" i="1"/>
  <c r="AP4" i="1"/>
  <c r="AS4" i="1"/>
  <c r="AT4" i="1"/>
  <c r="AU4" i="1"/>
  <c r="AV4" i="1"/>
  <c r="AX4" i="1"/>
  <c r="BC4" i="1"/>
  <c r="BD4" i="1"/>
  <c r="BG4" i="1"/>
  <c r="BH4" i="1"/>
  <c r="H3" i="4"/>
  <c r="T3" i="4"/>
  <c r="KW4" i="1"/>
  <c r="KX4" i="1"/>
  <c r="KY4" i="1"/>
  <c r="KZ4" i="1"/>
  <c r="LD4" i="1"/>
  <c r="LE4" i="1"/>
  <c r="LK4" i="1"/>
  <c r="LL4" i="1"/>
  <c r="LQ4" i="1"/>
  <c r="LR4" i="1"/>
  <c r="LS4" i="1"/>
  <c r="JU4" i="1"/>
  <c r="JV4" i="1"/>
  <c r="KB4" i="1"/>
  <c r="KC4" i="1"/>
  <c r="KI4" i="1"/>
  <c r="KJ4" i="1"/>
  <c r="KK4" i="1"/>
  <c r="KP4" i="1"/>
  <c r="KQ4" i="1"/>
  <c r="JO4" i="1"/>
  <c r="IL4" i="1"/>
  <c r="IM4" i="1"/>
  <c r="IS4" i="1"/>
  <c r="IT4" i="1"/>
  <c r="IU4" i="1"/>
  <c r="IZ4" i="1"/>
  <c r="JA4" i="1"/>
  <c r="JG4" i="1"/>
  <c r="JH4" i="1"/>
  <c r="HJ4" i="1"/>
  <c r="HK4" i="1"/>
  <c r="HQ4" i="1"/>
  <c r="HR4" i="1"/>
  <c r="HX4" i="1"/>
  <c r="HY4" i="1"/>
  <c r="IE4" i="1"/>
  <c r="IF4" i="1"/>
  <c r="HF4" i="1"/>
  <c r="GB4" i="1"/>
  <c r="GH4" i="1"/>
  <c r="GI4" i="1"/>
  <c r="GO4" i="1"/>
  <c r="GP4" i="1"/>
  <c r="GV4" i="1"/>
  <c r="GW4" i="1"/>
  <c r="HC4" i="1"/>
  <c r="HD4" i="1"/>
  <c r="GA4" i="1"/>
  <c r="EY4" i="1"/>
  <c r="EZ4" i="1"/>
  <c r="FD4" i="1"/>
  <c r="FE4" i="1"/>
  <c r="FF4" i="1"/>
  <c r="FG4" i="1"/>
  <c r="FM4" i="1"/>
  <c r="FN4" i="1"/>
  <c r="FT4" i="1"/>
  <c r="FU4" i="1"/>
  <c r="DW4" i="1"/>
  <c r="DX4" i="1"/>
  <c r="ED4" i="1"/>
  <c r="EE4" i="1"/>
  <c r="EF4" i="1"/>
  <c r="EK4" i="1"/>
  <c r="EL4" i="1"/>
  <c r="ER4" i="1"/>
  <c r="ES4" i="1"/>
  <c r="CN4" i="1"/>
  <c r="CO4" i="1"/>
  <c r="CP4" i="1"/>
  <c r="CU4" i="1"/>
  <c r="CV4" i="1"/>
  <c r="DB4" i="1"/>
  <c r="DC4" i="1"/>
  <c r="DI4" i="1"/>
  <c r="DJ4" i="1"/>
  <c r="DK4" i="1"/>
  <c r="CM4" i="1"/>
  <c r="BJ4" i="1"/>
  <c r="BK4" i="1"/>
  <c r="BL4" i="1"/>
  <c r="BM4" i="1"/>
  <c r="BS4" i="1"/>
  <c r="BT4" i="1"/>
  <c r="BZ4" i="1"/>
  <c r="CA4" i="1"/>
  <c r="CG4" i="1"/>
  <c r="CH4" i="1"/>
  <c r="AL4" i="1"/>
  <c r="AQ4" i="1"/>
  <c r="AR4" i="1"/>
  <c r="AZ4" i="1"/>
  <c r="BA4" i="1"/>
  <c r="BB4" i="1"/>
  <c r="BE4" i="1"/>
  <c r="BF4" i="1"/>
  <c r="AJ4" i="1"/>
  <c r="AK4" i="1"/>
  <c r="AD4" i="1"/>
  <c r="KS4" i="1"/>
  <c r="KT4" i="1"/>
  <c r="KU4" i="1"/>
  <c r="KV4" i="1"/>
  <c r="LA4" i="1"/>
  <c r="LC4" i="1"/>
  <c r="LM4" i="1"/>
  <c r="LO4" i="1"/>
  <c r="JP4" i="1"/>
  <c r="JQ4" i="1"/>
  <c r="JR4" i="1"/>
  <c r="JS4" i="1"/>
  <c r="JT4" i="1"/>
  <c r="JW4" i="1"/>
  <c r="JX4" i="1"/>
  <c r="JY4" i="1"/>
  <c r="JZ4" i="1"/>
  <c r="KA4" i="1"/>
  <c r="KD4" i="1"/>
  <c r="KE4" i="1"/>
  <c r="KF4" i="1"/>
  <c r="KG4" i="1"/>
  <c r="KH4" i="1"/>
  <c r="KL4" i="1"/>
  <c r="KM4" i="1"/>
  <c r="KN4" i="1"/>
  <c r="KO4" i="1"/>
  <c r="KR4" i="1"/>
  <c r="IJ4" i="1"/>
  <c r="IK4" i="1"/>
  <c r="IN4" i="1"/>
  <c r="IO4" i="1"/>
  <c r="IP4" i="1"/>
  <c r="IQ4" i="1"/>
  <c r="IR4" i="1"/>
  <c r="IV4" i="1"/>
  <c r="IW4" i="1"/>
  <c r="IX4" i="1"/>
  <c r="IY4" i="1"/>
  <c r="JB4" i="1"/>
  <c r="JC4" i="1"/>
  <c r="JD4" i="1"/>
  <c r="JE4" i="1"/>
  <c r="JF4" i="1"/>
  <c r="JI4" i="1"/>
  <c r="JJ4" i="1"/>
  <c r="JK4" i="1"/>
  <c r="JL4" i="1"/>
  <c r="JM4" i="1"/>
  <c r="JN4" i="1"/>
  <c r="BO4" i="1"/>
  <c r="BP4" i="1"/>
  <c r="BQ4" i="1"/>
  <c r="BR4" i="1"/>
  <c r="BU4" i="1"/>
  <c r="BV4" i="1"/>
  <c r="BW4" i="1"/>
  <c r="BX4" i="1"/>
  <c r="BY4" i="1"/>
  <c r="CB4" i="1"/>
  <c r="CC4" i="1"/>
  <c r="CD4" i="1"/>
  <c r="CE4" i="1"/>
  <c r="CF4" i="1"/>
  <c r="CI4" i="1"/>
  <c r="CJ4" i="1"/>
  <c r="CK4" i="1"/>
  <c r="CL4" i="1"/>
  <c r="BN4" i="1"/>
  <c r="II4" i="1"/>
  <c r="HG4" i="1"/>
  <c r="HH4" i="1"/>
  <c r="HI4" i="1"/>
  <c r="HL4" i="1"/>
  <c r="HM4" i="1"/>
  <c r="HN4" i="1"/>
  <c r="HO4" i="1"/>
  <c r="HP4" i="1"/>
  <c r="HS4" i="1"/>
  <c r="HT4" i="1"/>
  <c r="HU4" i="1"/>
  <c r="HV4" i="1"/>
  <c r="HW4" i="1"/>
  <c r="HZ4" i="1"/>
  <c r="IA4" i="1"/>
  <c r="IB4" i="1"/>
  <c r="IC4" i="1"/>
  <c r="ID4" i="1"/>
  <c r="IG4" i="1"/>
  <c r="IH4" i="1"/>
  <c r="GC4" i="1"/>
  <c r="GD4" i="1"/>
  <c r="GE4" i="1"/>
  <c r="GF4" i="1"/>
  <c r="GG4" i="1"/>
  <c r="GJ4" i="1"/>
  <c r="GK4" i="1"/>
  <c r="GL4" i="1"/>
  <c r="GM4" i="1"/>
  <c r="GN4" i="1"/>
  <c r="GQ4" i="1"/>
  <c r="GR4" i="1"/>
  <c r="GS4" i="1"/>
  <c r="GT4" i="1"/>
  <c r="GU4" i="1"/>
  <c r="GX4" i="1"/>
  <c r="GY4" i="1"/>
  <c r="GZ4" i="1"/>
  <c r="HA4" i="1"/>
  <c r="HB4" i="1"/>
  <c r="HE4" i="1"/>
  <c r="EV4" i="1"/>
  <c r="EW4" i="1"/>
  <c r="EX4" i="1"/>
  <c r="FJ4" i="1"/>
  <c r="FK4" i="1"/>
  <c r="FL4" i="1"/>
  <c r="FO4" i="1"/>
  <c r="FV4" i="1"/>
  <c r="FW4" i="1"/>
  <c r="FX4" i="1"/>
  <c r="DV4" i="1"/>
  <c r="DY4" i="1"/>
  <c r="EA4" i="1"/>
  <c r="EI4" i="1"/>
  <c r="EJ4" i="1"/>
  <c r="EN4" i="1"/>
  <c r="EO4" i="1"/>
  <c r="EU4" i="1"/>
  <c r="DQ4" i="1"/>
  <c r="CX4" i="1"/>
  <c r="CR4" i="1"/>
  <c r="CS4" i="1"/>
  <c r="CT4" i="1"/>
  <c r="CW4" i="1"/>
  <c r="CQ4" i="1"/>
  <c r="CY4" i="1"/>
  <c r="CZ4" i="1"/>
  <c r="DA4" i="1"/>
  <c r="DD4" i="1"/>
  <c r="DE4" i="1"/>
  <c r="DF4" i="1"/>
  <c r="DG4" i="1"/>
  <c r="DH4" i="1"/>
  <c r="DL4" i="1"/>
  <c r="DM4" i="1"/>
  <c r="DN4" i="1"/>
  <c r="DO4" i="1"/>
  <c r="DP4" i="1"/>
  <c r="BI4" i="1"/>
  <c r="AM4" i="1"/>
  <c r="AO4" i="1"/>
  <c r="AW4" i="1"/>
  <c r="AY4" i="1"/>
  <c r="J8" i="1" l="1"/>
  <c r="K10" i="1"/>
  <c r="K6" i="1"/>
  <c r="K7" i="1"/>
  <c r="K9" i="1"/>
  <c r="L2" i="1" s="1"/>
  <c r="L5" i="1" s="1"/>
  <c r="T26" i="4"/>
  <c r="U26" i="4" s="1"/>
  <c r="R26" i="4"/>
  <c r="S26" i="4" s="1"/>
  <c r="N26" i="4"/>
  <c r="O26" i="4" s="1"/>
  <c r="L26" i="4"/>
  <c r="M26" i="4" s="1"/>
  <c r="P26" i="4"/>
  <c r="Q26" i="4" s="1"/>
  <c r="J26" i="4"/>
  <c r="K26" i="4" s="1"/>
  <c r="F26" i="4"/>
  <c r="G26" i="4" s="1"/>
  <c r="H26" i="4"/>
  <c r="I26" i="4" s="1"/>
  <c r="J1843" i="2"/>
  <c r="AL3" i="1"/>
  <c r="L1843" i="2"/>
  <c r="BL3" i="1"/>
  <c r="N1843" i="2"/>
  <c r="CN3" i="1"/>
  <c r="P1843" i="2"/>
  <c r="DT3" i="1"/>
  <c r="R1843" i="2"/>
  <c r="EY3" i="1"/>
  <c r="T1843" i="2"/>
  <c r="GD3" i="1"/>
  <c r="V1843" i="2"/>
  <c r="IG3" i="1"/>
  <c r="X1843" i="2"/>
  <c r="IM3" i="1"/>
  <c r="Z1843" i="2"/>
  <c r="JS3" i="1"/>
  <c r="AB1843" i="2"/>
  <c r="H1843" i="2"/>
  <c r="AE3" i="1"/>
  <c r="AF3" i="1"/>
  <c r="AI3" i="1"/>
  <c r="AJ3" i="1"/>
  <c r="AK3" i="1"/>
  <c r="AM3" i="1"/>
  <c r="AN3" i="1"/>
  <c r="AO3" i="1"/>
  <c r="AQ3" i="1"/>
  <c r="AR3" i="1"/>
  <c r="AS3" i="1"/>
  <c r="AU3" i="1"/>
  <c r="AV3" i="1"/>
  <c r="AW3" i="1"/>
  <c r="AY3" i="1"/>
  <c r="AZ3" i="1"/>
  <c r="BA3" i="1"/>
  <c r="BC3" i="1"/>
  <c r="BD3" i="1"/>
  <c r="BE3" i="1"/>
  <c r="BG3" i="1"/>
  <c r="BH3" i="1"/>
  <c r="AD3" i="1"/>
  <c r="L7" i="1" l="1"/>
  <c r="L9" i="1"/>
  <c r="M2" i="1" s="1"/>
  <c r="M5" i="1" s="1"/>
  <c r="L10" i="1"/>
  <c r="K8" i="1"/>
  <c r="L6" i="1"/>
  <c r="AD1843" i="2"/>
  <c r="KX3" i="1"/>
  <c r="EO3" i="1"/>
  <c r="ER3" i="1"/>
  <c r="DS3" i="1"/>
  <c r="AG3" i="1"/>
  <c r="DR3" i="1"/>
  <c r="ET3" i="1"/>
  <c r="EK3" i="1"/>
  <c r="EU3" i="1"/>
  <c r="ES3" i="1"/>
  <c r="EQ3" i="1"/>
  <c r="EI3" i="1"/>
  <c r="EP3" i="1"/>
  <c r="EM3" i="1"/>
  <c r="EE3" i="1"/>
  <c r="EN3" i="1"/>
  <c r="DZ3" i="1"/>
  <c r="EL3" i="1"/>
  <c r="EJ3" i="1"/>
  <c r="EG3" i="1"/>
  <c r="DV3" i="1"/>
  <c r="EH3" i="1"/>
  <c r="EF3" i="1"/>
  <c r="EC3" i="1"/>
  <c r="DU3" i="1"/>
  <c r="ED3" i="1"/>
  <c r="EB3" i="1"/>
  <c r="DX3" i="1"/>
  <c r="EA3" i="1"/>
  <c r="DY3" i="1"/>
  <c r="DW3" i="1"/>
  <c r="JN3" i="1"/>
  <c r="JH3" i="1"/>
  <c r="JJ3" i="1"/>
  <c r="IL3" i="1"/>
  <c r="JM3" i="1"/>
  <c r="JP3" i="1"/>
  <c r="FT3" i="1"/>
  <c r="IJ3" i="1"/>
  <c r="FR3" i="1"/>
  <c r="FX3" i="1"/>
  <c r="JL3" i="1"/>
  <c r="FS3" i="1"/>
  <c r="JI3" i="1"/>
  <c r="FK3" i="1"/>
  <c r="JC3" i="1"/>
  <c r="FB3" i="1"/>
  <c r="JK3" i="1"/>
  <c r="JF3" i="1"/>
  <c r="IY3" i="1"/>
  <c r="EX3" i="1"/>
  <c r="JG3" i="1"/>
  <c r="JE3" i="1"/>
  <c r="FN3" i="1"/>
  <c r="FH3" i="1"/>
  <c r="EV3" i="1"/>
  <c r="FF3" i="1"/>
  <c r="FD3" i="1"/>
  <c r="JD3" i="1"/>
  <c r="JB3" i="1"/>
  <c r="IU3" i="1"/>
  <c r="JA3" i="1"/>
  <c r="IX3" i="1"/>
  <c r="IO3" i="1"/>
  <c r="IW3" i="1"/>
  <c r="IT3" i="1"/>
  <c r="IN3" i="1"/>
  <c r="FV3" i="1"/>
  <c r="FJ3" i="1"/>
  <c r="FP3" i="1"/>
  <c r="FC3" i="1"/>
  <c r="FZ3" i="1"/>
  <c r="FL3" i="1"/>
  <c r="EZ3" i="1"/>
  <c r="KR3" i="1"/>
  <c r="KL3" i="1"/>
  <c r="KH3" i="1"/>
  <c r="KP3" i="1"/>
  <c r="KJ3" i="1"/>
  <c r="KC3" i="1"/>
  <c r="KA3" i="1"/>
  <c r="JY3" i="1"/>
  <c r="BF3" i="1"/>
  <c r="AX3" i="1"/>
  <c r="AP3" i="1"/>
  <c r="AH3" i="1"/>
  <c r="FU3" i="1"/>
  <c r="FM3" i="1"/>
  <c r="FE3" i="1"/>
  <c r="EW3" i="1"/>
  <c r="JO3" i="1"/>
  <c r="KK3" i="1"/>
  <c r="KB3" i="1"/>
  <c r="KQ3" i="1"/>
  <c r="KI3" i="1"/>
  <c r="JZ3" i="1"/>
  <c r="BB3" i="1"/>
  <c r="AT3" i="1"/>
  <c r="FY3" i="1"/>
  <c r="FQ3" i="1"/>
  <c r="FI3" i="1"/>
  <c r="FA3" i="1"/>
  <c r="KO3" i="1"/>
  <c r="KG3" i="1"/>
  <c r="JW3" i="1"/>
  <c r="KN3" i="1"/>
  <c r="KF3" i="1"/>
  <c r="JR3" i="1"/>
  <c r="FW3" i="1"/>
  <c r="FO3" i="1"/>
  <c r="FG3" i="1"/>
  <c r="KM3" i="1"/>
  <c r="KE3" i="1"/>
  <c r="JQ3" i="1"/>
  <c r="JX3" i="1"/>
  <c r="KD3" i="1"/>
  <c r="JU3" i="1"/>
  <c r="JV3" i="1"/>
  <c r="JT3" i="1"/>
  <c r="CL3" i="1"/>
  <c r="CG3" i="1"/>
  <c r="HC3" i="1"/>
  <c r="IV3" i="1"/>
  <c r="IK3" i="1"/>
  <c r="IS3" i="1"/>
  <c r="IZ3" i="1"/>
  <c r="IR3" i="1"/>
  <c r="IQ3" i="1"/>
  <c r="IP3" i="1"/>
  <c r="GM3" i="1"/>
  <c r="BY3" i="1"/>
  <c r="BQ3" i="1"/>
  <c r="GU3" i="1"/>
  <c r="GB3" i="1"/>
  <c r="CD3" i="1"/>
  <c r="CA3" i="1"/>
  <c r="BK3" i="1"/>
  <c r="HE3" i="1"/>
  <c r="GW3" i="1"/>
  <c r="GO3" i="1"/>
  <c r="GE3" i="1"/>
  <c r="KU3" i="1"/>
  <c r="BV3" i="1"/>
  <c r="CI3" i="1"/>
  <c r="BS3" i="1"/>
  <c r="CH3" i="1"/>
  <c r="BZ3" i="1"/>
  <c r="BR3" i="1"/>
  <c r="BJ3" i="1"/>
  <c r="HD3" i="1"/>
  <c r="GV3" i="1"/>
  <c r="GN3" i="1"/>
  <c r="GC3" i="1"/>
  <c r="CF3" i="1"/>
  <c r="BP3" i="1"/>
  <c r="HB3" i="1"/>
  <c r="GT3" i="1"/>
  <c r="GK3" i="1"/>
  <c r="BX3" i="1"/>
  <c r="BI3" i="1"/>
  <c r="CE3" i="1"/>
  <c r="BW3" i="1"/>
  <c r="BO3" i="1"/>
  <c r="HA3" i="1"/>
  <c r="GS3" i="1"/>
  <c r="GJ3" i="1"/>
  <c r="GZ3" i="1"/>
  <c r="GR3" i="1"/>
  <c r="GI3" i="1"/>
  <c r="BN3" i="1"/>
  <c r="CK3" i="1"/>
  <c r="BU3" i="1"/>
  <c r="GQ3" i="1"/>
  <c r="CC3" i="1"/>
  <c r="BM3" i="1"/>
  <c r="GY3" i="1"/>
  <c r="GH3" i="1"/>
  <c r="CJ3" i="1"/>
  <c r="CB3" i="1"/>
  <c r="BT3" i="1"/>
  <c r="GA3" i="1"/>
  <c r="GX3" i="1"/>
  <c r="GP3" i="1"/>
  <c r="GG3" i="1"/>
  <c r="LT3" i="1"/>
  <c r="LN3" i="1"/>
  <c r="LS3" i="1"/>
  <c r="LL3" i="1"/>
  <c r="LK3" i="1"/>
  <c r="GF3" i="1"/>
  <c r="LF3" i="1"/>
  <c r="LD3" i="1"/>
  <c r="GL3" i="1"/>
  <c r="LV3" i="1"/>
  <c r="LC3" i="1"/>
  <c r="DJ3" i="1"/>
  <c r="CU3" i="1"/>
  <c r="DF3" i="1"/>
  <c r="CS3" i="1"/>
  <c r="DE3" i="1"/>
  <c r="CQ3" i="1"/>
  <c r="DQ3" i="1"/>
  <c r="DC3" i="1"/>
  <c r="CO3" i="1"/>
  <c r="DI3" i="1"/>
  <c r="HU3" i="1"/>
  <c r="DO3" i="1"/>
  <c r="DB3" i="1"/>
  <c r="DN3" i="1"/>
  <c r="CY3" i="1"/>
  <c r="CT3" i="1"/>
  <c r="DM3" i="1"/>
  <c r="CX3" i="1"/>
  <c r="DK3" i="1"/>
  <c r="DA3" i="1"/>
  <c r="CP3" i="1"/>
  <c r="HM3" i="1"/>
  <c r="CM3" i="1"/>
  <c r="DG3" i="1"/>
  <c r="CW3" i="1"/>
  <c r="IC3" i="1"/>
  <c r="LU3" i="1"/>
  <c r="LM3" i="1"/>
  <c r="LE3" i="1"/>
  <c r="KT3" i="1"/>
  <c r="LR3" i="1"/>
  <c r="LJ3" i="1"/>
  <c r="LB3" i="1"/>
  <c r="LQ3" i="1"/>
  <c r="LI3" i="1"/>
  <c r="LA3" i="1"/>
  <c r="KS3" i="1"/>
  <c r="LP3" i="1"/>
  <c r="LH3" i="1"/>
  <c r="KZ3" i="1"/>
  <c r="LW3" i="1"/>
  <c r="LO3" i="1"/>
  <c r="LG3" i="1"/>
  <c r="DP3" i="1"/>
  <c r="DH3" i="1"/>
  <c r="CZ3" i="1"/>
  <c r="CR3" i="1"/>
  <c r="IB3" i="1"/>
  <c r="HT3" i="1"/>
  <c r="HL3" i="1"/>
  <c r="HF3" i="1"/>
  <c r="IA3" i="1"/>
  <c r="HS3" i="1"/>
  <c r="HK3" i="1"/>
  <c r="II3" i="1"/>
  <c r="HZ3" i="1"/>
  <c r="HR3" i="1"/>
  <c r="HJ3" i="1"/>
  <c r="IH3" i="1"/>
  <c r="HY3" i="1"/>
  <c r="HQ3" i="1"/>
  <c r="HI3" i="1"/>
  <c r="DL3" i="1"/>
  <c r="DD3" i="1"/>
  <c r="CV3" i="1"/>
  <c r="IF3" i="1"/>
  <c r="HX3" i="1"/>
  <c r="HP3" i="1"/>
  <c r="HH3" i="1"/>
  <c r="IE3" i="1"/>
  <c r="HW3" i="1"/>
  <c r="HO3" i="1"/>
  <c r="HG3" i="1"/>
  <c r="ID3" i="1"/>
  <c r="HV3" i="1"/>
  <c r="HN3" i="1"/>
  <c r="KY3" i="1"/>
  <c r="KW3" i="1"/>
  <c r="KV3" i="1"/>
  <c r="M9" i="1" l="1"/>
  <c r="N2" i="1" s="1"/>
  <c r="N5" i="1" s="1"/>
  <c r="M7" i="1"/>
  <c r="M6" i="1"/>
  <c r="L8" i="1"/>
  <c r="M10" i="1"/>
  <c r="B26" i="4"/>
  <c r="N6" i="1" l="1"/>
  <c r="N10" i="1"/>
  <c r="M8" i="1"/>
  <c r="N9" i="1"/>
  <c r="O2" i="1" s="1"/>
  <c r="O5" i="1" s="1"/>
  <c r="N7" i="1"/>
  <c r="B2" i="10"/>
  <c r="O9" i="1" l="1"/>
  <c r="P2" i="1" s="1"/>
  <c r="P5" i="1" s="1"/>
  <c r="O7" i="1"/>
  <c r="O6" i="1"/>
  <c r="O10" i="1"/>
  <c r="N8" i="1"/>
  <c r="C2" i="10"/>
  <c r="C336" i="10" s="1"/>
  <c r="O8" i="1" l="1"/>
  <c r="P6" i="1"/>
  <c r="P10" i="1"/>
  <c r="P9" i="1"/>
  <c r="Q2" i="1" s="1"/>
  <c r="Q5" i="1" s="1"/>
  <c r="P7" i="1"/>
  <c r="B3" i="10"/>
  <c r="Q6" i="1" l="1"/>
  <c r="P8" i="1"/>
  <c r="Q10" i="1"/>
  <c r="Q9" i="1"/>
  <c r="R2" i="1" s="1"/>
  <c r="R5" i="1" s="1"/>
  <c r="Q7" i="1"/>
  <c r="B337" i="10" a="1"/>
  <c r="B337" i="10" s="1"/>
  <c r="C3" i="10"/>
  <c r="C337" i="10" s="1" a="1"/>
  <c r="C337" i="10" s="1"/>
  <c r="R10" i="1" l="1"/>
  <c r="R6" i="1"/>
  <c r="Q8" i="1"/>
  <c r="R7" i="1"/>
  <c r="R9" i="1"/>
  <c r="S2" i="1" s="1"/>
  <c r="S5" i="1" s="1"/>
  <c r="D3" i="10" a="1"/>
  <c r="D3" i="10" s="1"/>
  <c r="D336" i="10" s="1"/>
  <c r="D337" i="10" s="1" a="1"/>
  <c r="D337" i="10" s="1"/>
  <c r="S7" i="1" l="1"/>
  <c r="S9" i="1"/>
  <c r="T2" i="1" s="1"/>
  <c r="T5" i="1" s="1"/>
  <c r="S10" i="1"/>
  <c r="S6" i="1"/>
  <c r="R8" i="1"/>
  <c r="B4" i="10"/>
  <c r="D26" i="4"/>
  <c r="T7" i="1" l="1"/>
  <c r="T9" i="1"/>
  <c r="U2" i="1" s="1"/>
  <c r="U5" i="1" s="1"/>
  <c r="T10" i="1"/>
  <c r="S8" i="1"/>
  <c r="T6" i="1"/>
  <c r="C4" i="10"/>
  <c r="D4" i="10"/>
  <c r="E26" i="4"/>
  <c r="U9" i="1" l="1"/>
  <c r="V2" i="1" s="1"/>
  <c r="V5" i="1" s="1"/>
  <c r="U7" i="1"/>
  <c r="T8" i="1"/>
  <c r="U10" i="1"/>
  <c r="U6" i="1"/>
  <c r="E4" i="10" a="1"/>
  <c r="E4" i="10" s="1"/>
  <c r="E336" i="10" s="1"/>
  <c r="E337" i="10" s="1" a="1"/>
  <c r="E337" i="10" s="1"/>
  <c r="V10" i="1" l="1"/>
  <c r="U8" i="1"/>
  <c r="V6" i="1"/>
  <c r="V7" i="1"/>
  <c r="V9" i="1"/>
  <c r="W2" i="1" s="1"/>
  <c r="W5" i="1" s="1"/>
  <c r="B5" i="10"/>
  <c r="W9" i="1" l="1"/>
  <c r="X2" i="1" s="1"/>
  <c r="X5" i="1" s="1"/>
  <c r="W7" i="1"/>
  <c r="W6" i="1"/>
  <c r="W10" i="1"/>
  <c r="V8" i="1"/>
  <c r="E5" i="10"/>
  <c r="D5" i="10"/>
  <c r="C5" i="10"/>
  <c r="W8" i="1" l="1"/>
  <c r="X10" i="1"/>
  <c r="X6" i="1"/>
  <c r="X7" i="1"/>
  <c r="X9" i="1"/>
  <c r="Y2" i="1" s="1"/>
  <c r="Y5" i="1" s="1"/>
  <c r="F5" i="10" a="1"/>
  <c r="F5" i="10" s="1"/>
  <c r="Y9" i="1" l="1"/>
  <c r="Z2" i="1" s="1"/>
  <c r="Z5" i="1" s="1"/>
  <c r="Y7" i="1"/>
  <c r="X8" i="1"/>
  <c r="Y10" i="1"/>
  <c r="Y6" i="1"/>
  <c r="B6" i="10"/>
  <c r="Y8" i="1" l="1"/>
  <c r="Z6" i="1"/>
  <c r="Z10" i="1"/>
  <c r="Z9" i="1"/>
  <c r="AA2" i="1" s="1"/>
  <c r="AA5" i="1" s="1"/>
  <c r="Z7" i="1"/>
  <c r="E6" i="10"/>
  <c r="F6" i="10"/>
  <c r="C6" i="10"/>
  <c r="D6" i="10"/>
  <c r="Z8" i="1" l="1"/>
  <c r="AA10" i="1"/>
  <c r="AA6" i="1"/>
  <c r="AA9" i="1"/>
  <c r="AB2" i="1" s="1"/>
  <c r="AB5" i="1" s="1"/>
  <c r="AA7" i="1"/>
  <c r="G6" i="10" a="1"/>
  <c r="G6" i="10" s="1"/>
  <c r="AA8" i="1" l="1"/>
  <c r="AB10" i="1"/>
  <c r="AB6" i="1"/>
  <c r="AB7" i="1"/>
  <c r="AB8" i="1" s="1"/>
  <c r="AB9" i="1"/>
  <c r="AC2" i="1"/>
  <c r="AC5" i="1" s="1"/>
  <c r="B7" i="10"/>
  <c r="AC10" i="1" l="1"/>
  <c r="AC6" i="1"/>
  <c r="AC8" i="1"/>
  <c r="AC9" i="1"/>
  <c r="D7" i="10"/>
  <c r="E7" i="10"/>
  <c r="G7" i="10"/>
  <c r="C7" i="10"/>
  <c r="F7" i="10"/>
  <c r="B8" i="10"/>
  <c r="H7" i="10" l="1" a="1"/>
  <c r="H7" i="10" s="1"/>
  <c r="H8" i="10" s="1"/>
  <c r="E8" i="10"/>
  <c r="C8" i="10"/>
  <c r="G8" i="10"/>
  <c r="D8" i="10"/>
  <c r="F8" i="10"/>
  <c r="I8" i="10" l="1" a="1"/>
  <c r="I8" i="10" s="1"/>
  <c r="B9" i="10"/>
  <c r="F9" i="10" l="1"/>
  <c r="G9" i="10"/>
  <c r="E9" i="10"/>
  <c r="I9" i="10"/>
  <c r="H9" i="10"/>
  <c r="C9" i="10"/>
  <c r="D9" i="10"/>
  <c r="B10" i="10"/>
  <c r="I10" i="10" s="1"/>
  <c r="J9" i="10" l="1" a="1"/>
  <c r="J9" i="10" s="1"/>
  <c r="J10" i="10" s="1"/>
  <c r="C10" i="10"/>
  <c r="F10" i="10"/>
  <c r="G10" i="10"/>
  <c r="D10" i="10"/>
  <c r="E10" i="10"/>
  <c r="H10" i="10"/>
  <c r="K10" i="10" l="1" a="1"/>
  <c r="K10" i="10" s="1"/>
  <c r="B11" i="10"/>
  <c r="K11" i="10" l="1"/>
  <c r="D11" i="10"/>
  <c r="E11" i="10"/>
  <c r="J11" i="10"/>
  <c r="G11" i="10"/>
  <c r="F11" i="10"/>
  <c r="C11" i="10"/>
  <c r="H11" i="10"/>
  <c r="I11" i="10"/>
  <c r="L11" i="10" l="1" a="1"/>
  <c r="L11" i="10" s="1"/>
  <c r="B12" i="10"/>
  <c r="I12" i="10" l="1"/>
  <c r="L12" i="10"/>
  <c r="K12" i="10"/>
  <c r="J12" i="10"/>
  <c r="C12" i="10"/>
  <c r="M12" i="10" s="1" a="1"/>
  <c r="M12" i="10" s="1"/>
  <c r="D12" i="10"/>
  <c r="G12" i="10"/>
  <c r="H12" i="10"/>
  <c r="E12" i="10"/>
  <c r="F12" i="10"/>
  <c r="B13" i="10"/>
  <c r="E13" i="10" l="1"/>
  <c r="L13" i="10"/>
  <c r="C13" i="10"/>
  <c r="G13" i="10"/>
  <c r="F13" i="10"/>
  <c r="M13" i="10"/>
  <c r="D13" i="10"/>
  <c r="J13" i="10"/>
  <c r="K13" i="10"/>
  <c r="H13" i="10"/>
  <c r="I13" i="10"/>
  <c r="N13" i="10" l="1" a="1"/>
  <c r="N13" i="10" s="1"/>
  <c r="B14" i="10" l="1"/>
  <c r="I14" i="10" l="1"/>
  <c r="G14" i="10"/>
  <c r="E14" i="10"/>
  <c r="J14" i="10"/>
  <c r="C14" i="10"/>
  <c r="F14" i="10"/>
  <c r="N14" i="10"/>
  <c r="L14" i="10"/>
  <c r="D14" i="10"/>
  <c r="M14" i="10"/>
  <c r="H14" i="10"/>
  <c r="K14" i="10"/>
  <c r="O14" i="10" l="1" a="1"/>
  <c r="O14" i="10" s="1"/>
  <c r="B15" i="10"/>
  <c r="B16" i="10" l="1"/>
  <c r="I16" i="10" s="1"/>
  <c r="C15" i="10"/>
  <c r="M15" i="10"/>
  <c r="I15" i="10"/>
  <c r="E15" i="10"/>
  <c r="K15" i="10"/>
  <c r="O15" i="10"/>
  <c r="N15" i="10"/>
  <c r="G15" i="10"/>
  <c r="L15" i="10"/>
  <c r="F15" i="10"/>
  <c r="D15" i="10"/>
  <c r="J15" i="10"/>
  <c r="H15" i="10"/>
  <c r="O16" i="10" l="1"/>
  <c r="E16" i="10"/>
  <c r="F16" i="10"/>
  <c r="P16" i="10"/>
  <c r="G16" i="10"/>
  <c r="L16" i="10"/>
  <c r="K16" i="10"/>
  <c r="H16" i="10"/>
  <c r="N16" i="10"/>
  <c r="D16" i="10"/>
  <c r="J16" i="10"/>
  <c r="C16" i="10"/>
  <c r="Q16" i="10" s="1" a="1"/>
  <c r="Q16" i="10" s="1"/>
  <c r="P15" i="10" a="1"/>
  <c r="P15" i="10" s="1"/>
  <c r="M16" i="10"/>
  <c r="B17" i="10" l="1"/>
  <c r="K17" i="10" l="1"/>
  <c r="N17" i="10"/>
  <c r="E17" i="10"/>
  <c r="O17" i="10"/>
  <c r="C17" i="10"/>
  <c r="I17" i="10"/>
  <c r="Q17" i="10"/>
  <c r="J17" i="10"/>
  <c r="G17" i="10"/>
  <c r="F17" i="10"/>
  <c r="D17" i="10"/>
  <c r="P17" i="10"/>
  <c r="M17" i="10"/>
  <c r="L17" i="10"/>
  <c r="H17" i="10"/>
  <c r="R17" i="10" l="1" a="1"/>
  <c r="R17" i="10" s="1"/>
  <c r="B18" i="10" l="1"/>
  <c r="R18" i="10" s="1"/>
  <c r="N18" i="10" l="1"/>
  <c r="I18" i="10"/>
  <c r="C18" i="10"/>
  <c r="S18" i="10" s="1" a="1"/>
  <c r="S18" i="10" s="1"/>
  <c r="M18" i="10"/>
  <c r="G18" i="10"/>
  <c r="O18" i="10"/>
  <c r="J18" i="10"/>
  <c r="E18" i="10"/>
  <c r="P18" i="10"/>
  <c r="D18" i="10"/>
  <c r="L18" i="10"/>
  <c r="K18" i="10"/>
  <c r="Q18" i="10"/>
  <c r="H18" i="10"/>
  <c r="F18" i="10"/>
  <c r="B19" i="10" l="1"/>
  <c r="D19" i="10" l="1"/>
  <c r="Q19" i="10"/>
  <c r="F19" i="10"/>
  <c r="R19" i="10"/>
  <c r="I19" i="10"/>
  <c r="L19" i="10"/>
  <c r="N19" i="10"/>
  <c r="G19" i="10"/>
  <c r="O19" i="10"/>
  <c r="C19" i="10"/>
  <c r="P19" i="10"/>
  <c r="K19" i="10"/>
  <c r="J19" i="10"/>
  <c r="H19" i="10"/>
  <c r="M19" i="10"/>
  <c r="E19" i="10"/>
  <c r="S19" i="10"/>
  <c r="T19" i="10" l="1" a="1"/>
  <c r="T19" i="10" s="1"/>
  <c r="B20" i="10" l="1"/>
  <c r="T20" i="10" s="1"/>
  <c r="C20" i="10" l="1"/>
  <c r="U20" i="10" s="1" a="1"/>
  <c r="U20" i="10" s="1"/>
  <c r="Q20" i="10"/>
  <c r="G20" i="10"/>
  <c r="M20" i="10"/>
  <c r="I20" i="10"/>
  <c r="H20" i="10"/>
  <c r="O20" i="10"/>
  <c r="E20" i="10"/>
  <c r="P20" i="10"/>
  <c r="R20" i="10"/>
  <c r="F20" i="10"/>
  <c r="N20" i="10"/>
  <c r="K20" i="10"/>
  <c r="L20" i="10"/>
  <c r="D20" i="10"/>
  <c r="S20" i="10"/>
  <c r="J20" i="10"/>
  <c r="B21" i="10" l="1"/>
  <c r="C21" i="10" l="1"/>
  <c r="L21" i="10"/>
  <c r="E21" i="10"/>
  <c r="K21" i="10"/>
  <c r="T21" i="10"/>
  <c r="M21" i="10"/>
  <c r="I21" i="10"/>
  <c r="F21" i="10"/>
  <c r="N21" i="10"/>
  <c r="R21" i="10"/>
  <c r="J21" i="10"/>
  <c r="G21" i="10"/>
  <c r="H21" i="10"/>
  <c r="O21" i="10"/>
  <c r="P21" i="10"/>
  <c r="S21" i="10"/>
  <c r="Q21" i="10"/>
  <c r="D21" i="10"/>
  <c r="U21" i="10"/>
  <c r="V21" i="10" l="1" a="1"/>
  <c r="V21" i="10" s="1"/>
  <c r="B22" i="10"/>
  <c r="F22" i="10" l="1"/>
  <c r="N22" i="10"/>
  <c r="R22" i="10"/>
  <c r="L22" i="10"/>
  <c r="D22" i="10"/>
  <c r="Q22" i="10"/>
  <c r="I22" i="10"/>
  <c r="G22" i="10"/>
  <c r="E22" i="10"/>
  <c r="U22" i="10"/>
  <c r="O22" i="10"/>
  <c r="C22" i="10"/>
  <c r="V22" i="10"/>
  <c r="T22" i="10"/>
  <c r="J22" i="10"/>
  <c r="P22" i="10"/>
  <c r="H22" i="10"/>
  <c r="K22" i="10"/>
  <c r="S22" i="10"/>
  <c r="M22" i="10"/>
  <c r="W22" i="10" l="1" a="1"/>
  <c r="W22" i="10" s="1"/>
  <c r="B23" i="10"/>
  <c r="N23" i="10" l="1"/>
  <c r="O23" i="10"/>
  <c r="U23" i="10"/>
  <c r="R23" i="10"/>
  <c r="I23" i="10"/>
  <c r="P23" i="10"/>
  <c r="H23" i="10"/>
  <c r="M23" i="10"/>
  <c r="D23" i="10"/>
  <c r="S23" i="10"/>
  <c r="K23" i="10"/>
  <c r="C23" i="10"/>
  <c r="G23" i="10"/>
  <c r="J23" i="10"/>
  <c r="V23" i="10"/>
  <c r="F23" i="10"/>
  <c r="L23" i="10"/>
  <c r="Q23" i="10"/>
  <c r="E23" i="10"/>
  <c r="T23" i="10"/>
  <c r="W23" i="10"/>
  <c r="X23" i="10" l="1" a="1"/>
  <c r="X23" i="10" s="1"/>
  <c r="B24" i="10"/>
  <c r="F24" i="10" l="1"/>
  <c r="W24" i="10"/>
  <c r="M24" i="10"/>
  <c r="U24" i="10"/>
  <c r="I24" i="10"/>
  <c r="E24" i="10"/>
  <c r="P24" i="10"/>
  <c r="Q24" i="10"/>
  <c r="L24" i="10"/>
  <c r="C24" i="10"/>
  <c r="V24" i="10"/>
  <c r="T24" i="10"/>
  <c r="G24" i="10"/>
  <c r="K24" i="10"/>
  <c r="D24" i="10"/>
  <c r="J24" i="10"/>
  <c r="H24" i="10"/>
  <c r="R24" i="10"/>
  <c r="S24" i="10"/>
  <c r="N24" i="10"/>
  <c r="O24" i="10"/>
  <c r="X24" i="10"/>
  <c r="Y24" i="10" l="1" a="1"/>
  <c r="Y24" i="10" s="1"/>
  <c r="B25" i="10" l="1"/>
  <c r="B26" i="10" l="1"/>
  <c r="D26" i="10" s="1"/>
  <c r="F25" i="10"/>
  <c r="S25" i="10"/>
  <c r="O25" i="10"/>
  <c r="L25" i="10"/>
  <c r="M25" i="10"/>
  <c r="Y25" i="10"/>
  <c r="I25" i="10"/>
  <c r="V25" i="10"/>
  <c r="J25" i="10"/>
  <c r="U25" i="10"/>
  <c r="G25" i="10"/>
  <c r="T25" i="10"/>
  <c r="P25" i="10"/>
  <c r="Q25" i="10"/>
  <c r="E25" i="10"/>
  <c r="X25" i="10"/>
  <c r="K25" i="10"/>
  <c r="W25" i="10"/>
  <c r="N25" i="10"/>
  <c r="D25" i="10"/>
  <c r="H25" i="10"/>
  <c r="R25" i="10"/>
  <c r="C25" i="10"/>
  <c r="Z25" i="10" l="1" a="1"/>
  <c r="Z25" i="10" s="1"/>
  <c r="N26" i="10"/>
  <c r="W26" i="10"/>
  <c r="J26" i="10"/>
  <c r="G26" i="10"/>
  <c r="X26" i="10"/>
  <c r="Z26" i="10"/>
  <c r="E26" i="10"/>
  <c r="I26" i="10"/>
  <c r="Q26" i="10"/>
  <c r="S26" i="10"/>
  <c r="M26" i="10"/>
  <c r="V26" i="10"/>
  <c r="Y26" i="10"/>
  <c r="C26" i="10"/>
  <c r="T26" i="10"/>
  <c r="U26" i="10"/>
  <c r="L26" i="10"/>
  <c r="F26" i="10"/>
  <c r="H26" i="10"/>
  <c r="K26" i="10"/>
  <c r="O26" i="10"/>
  <c r="P26" i="10"/>
  <c r="R26" i="10"/>
  <c r="AA26" i="10" l="1" a="1"/>
  <c r="AA26" i="10" s="1"/>
  <c r="B27" i="10" l="1"/>
  <c r="P27" i="10" l="1"/>
  <c r="L27" i="10"/>
  <c r="F27" i="10"/>
  <c r="G27" i="10"/>
  <c r="T27" i="10"/>
  <c r="N27" i="10"/>
  <c r="X27" i="10"/>
  <c r="W27" i="10"/>
  <c r="Y27" i="10"/>
  <c r="AA27" i="10"/>
  <c r="Z27" i="10"/>
  <c r="J27" i="10"/>
  <c r="R27" i="10"/>
  <c r="O27" i="10"/>
  <c r="U27" i="10"/>
  <c r="Q27" i="10"/>
  <c r="K27" i="10"/>
  <c r="I27" i="10"/>
  <c r="M27" i="10"/>
  <c r="C27" i="10"/>
  <c r="E27" i="10"/>
  <c r="V27" i="10"/>
  <c r="D27" i="10"/>
  <c r="S27" i="10"/>
  <c r="H27" i="10"/>
  <c r="AB27" i="10" l="1" a="1"/>
  <c r="AB27" i="10" s="1"/>
  <c r="B28" i="10"/>
  <c r="I28" i="10" l="1"/>
  <c r="T28" i="10"/>
  <c r="Y28" i="10"/>
  <c r="N28" i="10"/>
  <c r="F28" i="10"/>
  <c r="K28" i="10"/>
  <c r="J28" i="10"/>
  <c r="G28" i="10"/>
  <c r="Z28" i="10"/>
  <c r="Q28" i="10"/>
  <c r="M28" i="10"/>
  <c r="H28" i="10"/>
  <c r="C28" i="10"/>
  <c r="R28" i="10"/>
  <c r="U28" i="10"/>
  <c r="P28" i="10"/>
  <c r="V28" i="10"/>
  <c r="D28" i="10"/>
  <c r="AB28" i="10"/>
  <c r="O28" i="10"/>
  <c r="X28" i="10"/>
  <c r="W28" i="10"/>
  <c r="E28" i="10"/>
  <c r="S28" i="10"/>
  <c r="AA28" i="10"/>
  <c r="L28" i="10"/>
  <c r="AC28" i="10" l="1" a="1"/>
  <c r="AC28" i="10" s="1"/>
  <c r="B29" i="10" l="1"/>
  <c r="AD10" i="1"/>
  <c r="AD5" i="1" l="1"/>
  <c r="AD7" i="1" s="1"/>
  <c r="AC29" i="10"/>
  <c r="R29" i="10"/>
  <c r="Z29" i="10"/>
  <c r="V29" i="10"/>
  <c r="J29" i="10"/>
  <c r="X29" i="10"/>
  <c r="H29" i="10"/>
  <c r="G29" i="10"/>
  <c r="AA29" i="10"/>
  <c r="D29" i="10"/>
  <c r="W29" i="10"/>
  <c r="N29" i="10"/>
  <c r="L29" i="10"/>
  <c r="AB29" i="10"/>
  <c r="U29" i="10"/>
  <c r="S29" i="10"/>
  <c r="P29" i="10"/>
  <c r="C29" i="10"/>
  <c r="AD29" i="10" s="1" a="1"/>
  <c r="AD29" i="10" s="1"/>
  <c r="K29" i="10"/>
  <c r="T29" i="10"/>
  <c r="E29" i="10"/>
  <c r="I29" i="10"/>
  <c r="O29" i="10"/>
  <c r="F29" i="10"/>
  <c r="Q29" i="10"/>
  <c r="Y29" i="10"/>
  <c r="M29" i="10"/>
  <c r="AD9" i="1" l="1"/>
  <c r="AD8" i="1" l="1"/>
  <c r="B30" i="10"/>
  <c r="AE6" i="1"/>
  <c r="AE2" i="1"/>
  <c r="AE10" i="1" l="1"/>
  <c r="AE5" i="1"/>
  <c r="J30" i="10"/>
  <c r="V30" i="10"/>
  <c r="R30" i="10"/>
  <c r="C30" i="10"/>
  <c r="L30" i="10"/>
  <c r="N30" i="10"/>
  <c r="AA30" i="10"/>
  <c r="E30" i="10"/>
  <c r="T30" i="10"/>
  <c r="X30" i="10"/>
  <c r="S30" i="10"/>
  <c r="W30" i="10"/>
  <c r="H30" i="10"/>
  <c r="G30" i="10"/>
  <c r="K30" i="10"/>
  <c r="U30" i="10"/>
  <c r="P30" i="10"/>
  <c r="D30" i="10"/>
  <c r="Q30" i="10"/>
  <c r="AC30" i="10"/>
  <c r="M30" i="10"/>
  <c r="Z30" i="10"/>
  <c r="AB30" i="10"/>
  <c r="O30" i="10"/>
  <c r="Y30" i="10"/>
  <c r="F30" i="10"/>
  <c r="I30" i="10"/>
  <c r="AD30" i="10"/>
  <c r="AE9" i="1" l="1"/>
  <c r="AE7" i="1"/>
  <c r="AF2" i="1"/>
  <c r="AE30" i="10" a="1"/>
  <c r="AE30" i="10" s="1"/>
  <c r="B31" i="10"/>
  <c r="AF5" i="1" l="1"/>
  <c r="AF6" i="1"/>
  <c r="AE8" i="1"/>
  <c r="AF10" i="1"/>
  <c r="AF7" i="1"/>
  <c r="AG6" i="1" s="1"/>
  <c r="AF9" i="1"/>
  <c r="R31" i="10"/>
  <c r="O31" i="10"/>
  <c r="J31" i="10"/>
  <c r="X31" i="10"/>
  <c r="I31" i="10"/>
  <c r="U31" i="10"/>
  <c r="N31" i="10"/>
  <c r="F31" i="10"/>
  <c r="S31" i="10"/>
  <c r="Q31" i="10"/>
  <c r="C31" i="10"/>
  <c r="T31" i="10"/>
  <c r="E31" i="10"/>
  <c r="Z31" i="10"/>
  <c r="V31" i="10"/>
  <c r="K31" i="10"/>
  <c r="AA31" i="10"/>
  <c r="L31" i="10"/>
  <c r="M31" i="10"/>
  <c r="W31" i="10"/>
  <c r="AC31" i="10"/>
  <c r="D31" i="10"/>
  <c r="AB31" i="10"/>
  <c r="H31" i="10"/>
  <c r="G31" i="10"/>
  <c r="AD31" i="10"/>
  <c r="Y31" i="10"/>
  <c r="P31" i="10"/>
  <c r="AE31" i="10"/>
  <c r="B32" i="10"/>
  <c r="D32" i="10" s="1"/>
  <c r="AF8" i="1" l="1"/>
  <c r="Y32" i="10"/>
  <c r="U32" i="10"/>
  <c r="W32" i="10"/>
  <c r="AB32" i="10"/>
  <c r="Z32" i="10"/>
  <c r="AA32" i="10"/>
  <c r="J32" i="10"/>
  <c r="AE32" i="10"/>
  <c r="R32" i="10"/>
  <c r="N32" i="10"/>
  <c r="G32" i="10"/>
  <c r="H32" i="10"/>
  <c r="AD32" i="10"/>
  <c r="V32" i="10"/>
  <c r="E32" i="10"/>
  <c r="AF32" i="10"/>
  <c r="M32" i="10"/>
  <c r="AG2" i="1"/>
  <c r="C32" i="10"/>
  <c r="K32" i="10"/>
  <c r="P32" i="10"/>
  <c r="T32" i="10"/>
  <c r="AC32" i="10"/>
  <c r="AF31" i="10" a="1"/>
  <c r="AF31" i="10" s="1"/>
  <c r="O32" i="10"/>
  <c r="L32" i="10"/>
  <c r="Q32" i="10"/>
  <c r="I32" i="10"/>
  <c r="S32" i="10"/>
  <c r="X32" i="10"/>
  <c r="F32" i="10"/>
  <c r="AG10" i="1" l="1"/>
  <c r="AG32" i="10" a="1"/>
  <c r="AG32" i="10" s="1"/>
  <c r="AG5" i="1"/>
  <c r="AG9" i="1" l="1"/>
  <c r="AG7" i="1"/>
  <c r="AH2" i="1" l="1"/>
  <c r="AH10" i="1" s="1"/>
  <c r="AH6" i="1"/>
  <c r="AG8" i="1"/>
  <c r="B33" i="10"/>
  <c r="AH5" i="1" l="1"/>
  <c r="AH9" i="1" s="1"/>
  <c r="T33" i="10"/>
  <c r="P33" i="10"/>
  <c r="O33" i="10"/>
  <c r="AF33" i="10"/>
  <c r="AB33" i="10"/>
  <c r="Q33" i="10"/>
  <c r="Z33" i="10"/>
  <c r="I33" i="10"/>
  <c r="J33" i="10"/>
  <c r="X33" i="10"/>
  <c r="H33" i="10"/>
  <c r="W33" i="10"/>
  <c r="AA33" i="10"/>
  <c r="L33" i="10"/>
  <c r="C33" i="10"/>
  <c r="G33" i="10"/>
  <c r="V33" i="10"/>
  <c r="AG33" i="10"/>
  <c r="AD33" i="10"/>
  <c r="AE33" i="10"/>
  <c r="Y33" i="10"/>
  <c r="M33" i="10"/>
  <c r="F33" i="10"/>
  <c r="S33" i="10"/>
  <c r="U33" i="10"/>
  <c r="K33" i="10"/>
  <c r="AC33" i="10"/>
  <c r="R33" i="10"/>
  <c r="E33" i="10"/>
  <c r="N33" i="10"/>
  <c r="D33" i="10"/>
  <c r="AH7" i="1" l="1"/>
  <c r="AH33" i="10" a="1"/>
  <c r="AH33" i="10" s="1"/>
  <c r="B34" i="10"/>
  <c r="AI6" i="1"/>
  <c r="AH8" i="1"/>
  <c r="AI2" i="1"/>
  <c r="AI10" i="1" l="1"/>
  <c r="AI5" i="1"/>
  <c r="AI9" i="1" s="1"/>
  <c r="R34" i="10"/>
  <c r="H34" i="10"/>
  <c r="AB34" i="10"/>
  <c r="X34" i="10"/>
  <c r="S34" i="10"/>
  <c r="L34" i="10"/>
  <c r="E34" i="10"/>
  <c r="AD34" i="10"/>
  <c r="C34" i="10"/>
  <c r="K34" i="10"/>
  <c r="Q34" i="10"/>
  <c r="AA34" i="10"/>
  <c r="W34" i="10"/>
  <c r="AF34" i="10"/>
  <c r="AG34" i="10"/>
  <c r="J34" i="10"/>
  <c r="F34" i="10"/>
  <c r="V34" i="10"/>
  <c r="O34" i="10"/>
  <c r="T34" i="10"/>
  <c r="D34" i="10"/>
  <c r="AE34" i="10"/>
  <c r="P34" i="10"/>
  <c r="I34" i="10"/>
  <c r="Z34" i="10"/>
  <c r="U34" i="10"/>
  <c r="AC34" i="10"/>
  <c r="N34" i="10"/>
  <c r="M34" i="10"/>
  <c r="G34" i="10"/>
  <c r="Y34" i="10"/>
  <c r="AH34" i="10"/>
  <c r="AI7" i="1" l="1"/>
  <c r="AI34" i="10" a="1"/>
  <c r="AI34" i="10" s="1"/>
  <c r="B35" i="10"/>
  <c r="AJ6" i="1"/>
  <c r="AI8" i="1"/>
  <c r="AJ2" i="1"/>
  <c r="AJ10" i="1" s="1"/>
  <c r="AJ5" i="1" l="1"/>
  <c r="AJ9" i="1" s="1"/>
  <c r="AD35" i="10"/>
  <c r="E35" i="10"/>
  <c r="F35" i="10"/>
  <c r="P35" i="10"/>
  <c r="K35" i="10"/>
  <c r="U35" i="10"/>
  <c r="R35" i="10"/>
  <c r="Q35" i="10"/>
  <c r="H35" i="10"/>
  <c r="AG35" i="10"/>
  <c r="D35" i="10"/>
  <c r="G35" i="10"/>
  <c r="I35" i="10"/>
  <c r="X35" i="10"/>
  <c r="J35" i="10"/>
  <c r="AI35" i="10"/>
  <c r="Z35" i="10"/>
  <c r="L35" i="10"/>
  <c r="AB35" i="10"/>
  <c r="S35" i="10"/>
  <c r="AE35" i="10"/>
  <c r="T35" i="10"/>
  <c r="Y35" i="10"/>
  <c r="AF35" i="10"/>
  <c r="N35" i="10"/>
  <c r="O35" i="10"/>
  <c r="C35" i="10"/>
  <c r="AJ35" i="10" s="1" a="1"/>
  <c r="AJ35" i="10" s="1"/>
  <c r="AC35" i="10"/>
  <c r="M35" i="10"/>
  <c r="W35" i="10"/>
  <c r="V35" i="10"/>
  <c r="AA35" i="10"/>
  <c r="AH35" i="10"/>
  <c r="AJ7" i="1" l="1"/>
  <c r="AJ8" i="1" l="1"/>
  <c r="B36" i="10"/>
  <c r="AK6" i="1"/>
  <c r="AK2" i="1"/>
  <c r="AK10" i="1" s="1"/>
  <c r="AK5" i="1" l="1"/>
  <c r="AK9" i="1" s="1"/>
  <c r="AF36" i="10"/>
  <c r="D36" i="10"/>
  <c r="AH36" i="10"/>
  <c r="AG36" i="10"/>
  <c r="AC36" i="10"/>
  <c r="AD36" i="10"/>
  <c r="I36" i="10"/>
  <c r="AI36" i="10"/>
  <c r="L36" i="10"/>
  <c r="AA36" i="10"/>
  <c r="Q36" i="10"/>
  <c r="AB36" i="10"/>
  <c r="W36" i="10"/>
  <c r="K36" i="10"/>
  <c r="V36" i="10"/>
  <c r="C36" i="10"/>
  <c r="T36" i="10"/>
  <c r="AE36" i="10"/>
  <c r="M36" i="10"/>
  <c r="R36" i="10"/>
  <c r="X36" i="10"/>
  <c r="J36" i="10"/>
  <c r="N36" i="10"/>
  <c r="E36" i="10"/>
  <c r="Y36" i="10"/>
  <c r="H36" i="10"/>
  <c r="P36" i="10"/>
  <c r="G36" i="10"/>
  <c r="F36" i="10"/>
  <c r="S36" i="10"/>
  <c r="O36" i="10"/>
  <c r="Z36" i="10"/>
  <c r="U36" i="10"/>
  <c r="AJ36" i="10"/>
  <c r="AK36" i="10" l="1" a="1"/>
  <c r="AK36" i="10" s="1"/>
  <c r="AK7" i="1"/>
  <c r="AK8" i="1" l="1"/>
  <c r="AL6" i="1"/>
  <c r="B37" i="10"/>
  <c r="AL2" i="1"/>
  <c r="AL10" i="1" s="1"/>
  <c r="AL5" i="1" l="1"/>
  <c r="AL9" i="1" s="1"/>
  <c r="AI37" i="10"/>
  <c r="AJ37" i="10"/>
  <c r="AH37" i="10"/>
  <c r="X37" i="10"/>
  <c r="L37" i="10"/>
  <c r="Q37" i="10"/>
  <c r="G37" i="10"/>
  <c r="AE37" i="10"/>
  <c r="W37" i="10"/>
  <c r="V37" i="10"/>
  <c r="F37" i="10"/>
  <c r="AG37" i="10"/>
  <c r="S37" i="10"/>
  <c r="AA37" i="10"/>
  <c r="AB37" i="10"/>
  <c r="R37" i="10"/>
  <c r="M37" i="10"/>
  <c r="H37" i="10"/>
  <c r="I37" i="10"/>
  <c r="AD37" i="10"/>
  <c r="O37" i="10"/>
  <c r="Y37" i="10"/>
  <c r="P37" i="10"/>
  <c r="E37" i="10"/>
  <c r="K37" i="10"/>
  <c r="AF37" i="10"/>
  <c r="D37" i="10"/>
  <c r="T37" i="10"/>
  <c r="C37" i="10"/>
  <c r="N37" i="10"/>
  <c r="AC37" i="10"/>
  <c r="J37" i="10"/>
  <c r="U37" i="10"/>
  <c r="Z37" i="10"/>
  <c r="AK37" i="10"/>
  <c r="AL37" i="10" l="1" a="1"/>
  <c r="AL37" i="10" s="1"/>
  <c r="AL7" i="1"/>
  <c r="B38" i="10" l="1"/>
  <c r="AL8" i="1"/>
  <c r="AM6" i="1"/>
  <c r="AM2" i="1"/>
  <c r="AM10" i="1" s="1"/>
  <c r="AM5" i="1" l="1"/>
  <c r="AI38" i="10"/>
  <c r="AK38" i="10"/>
  <c r="U38" i="10"/>
  <c r="X38" i="10"/>
  <c r="I38" i="10"/>
  <c r="AC38" i="10"/>
  <c r="D38" i="10"/>
  <c r="L38" i="10"/>
  <c r="AG38" i="10"/>
  <c r="H38" i="10"/>
  <c r="V38" i="10"/>
  <c r="E38" i="10"/>
  <c r="Q38" i="10"/>
  <c r="J38" i="10"/>
  <c r="G38" i="10"/>
  <c r="AH38" i="10"/>
  <c r="C38" i="10"/>
  <c r="T38" i="10"/>
  <c r="W38" i="10"/>
  <c r="F38" i="10"/>
  <c r="Z38" i="10"/>
  <c r="AJ38" i="10"/>
  <c r="AA38" i="10"/>
  <c r="AL38" i="10"/>
  <c r="AB38" i="10"/>
  <c r="AE38" i="10"/>
  <c r="Y38" i="10"/>
  <c r="O38" i="10"/>
  <c r="N38" i="10"/>
  <c r="K38" i="10"/>
  <c r="AD38" i="10"/>
  <c r="S38" i="10"/>
  <c r="AF38" i="10"/>
  <c r="P38" i="10"/>
  <c r="M38" i="10"/>
  <c r="R38" i="10"/>
  <c r="AM38" i="10" l="1" a="1"/>
  <c r="AM38" i="10" s="1"/>
  <c r="AM7" i="1"/>
  <c r="AM8" i="1" s="1"/>
  <c r="AM9" i="1"/>
  <c r="AN2" i="1" s="1"/>
  <c r="B39" i="10"/>
  <c r="AN6" i="1"/>
  <c r="AN5" i="1" l="1"/>
  <c r="AN9" i="1" s="1"/>
  <c r="AN10" i="1"/>
  <c r="F39" i="10"/>
  <c r="K39" i="10"/>
  <c r="AA39" i="10"/>
  <c r="Y39" i="10"/>
  <c r="E39" i="10"/>
  <c r="V39" i="10"/>
  <c r="AG39" i="10"/>
  <c r="Q39" i="10"/>
  <c r="L39" i="10"/>
  <c r="AI39" i="10"/>
  <c r="I39" i="10"/>
  <c r="X39" i="10"/>
  <c r="AL39" i="10"/>
  <c r="AC39" i="10"/>
  <c r="C39" i="10"/>
  <c r="O39" i="10"/>
  <c r="U39" i="10"/>
  <c r="J39" i="10"/>
  <c r="D39" i="10"/>
  <c r="AK39" i="10"/>
  <c r="AE39" i="10"/>
  <c r="S39" i="10"/>
  <c r="AB39" i="10"/>
  <c r="W39" i="10"/>
  <c r="AF39" i="10"/>
  <c r="G39" i="10"/>
  <c r="R39" i="10"/>
  <c r="AH39" i="10"/>
  <c r="AJ39" i="10"/>
  <c r="Z39" i="10"/>
  <c r="AD39" i="10"/>
  <c r="T39" i="10"/>
  <c r="N39" i="10"/>
  <c r="H39" i="10"/>
  <c r="P39" i="10"/>
  <c r="M39" i="10"/>
  <c r="AM39" i="10"/>
  <c r="AN39" i="10" s="1" a="1"/>
  <c r="AN39" i="10" s="1"/>
  <c r="AN7" i="1" l="1"/>
  <c r="AO2" i="1"/>
  <c r="AO5" i="1" s="1"/>
  <c r="AO9" i="1" s="1"/>
  <c r="B40" i="10"/>
  <c r="AO10" i="1"/>
  <c r="AN8" i="1"/>
  <c r="AO6" i="1"/>
  <c r="AO7" i="1" l="1"/>
  <c r="AH40" i="10"/>
  <c r="D40" i="10"/>
  <c r="V40" i="10"/>
  <c r="K40" i="10"/>
  <c r="W40" i="10"/>
  <c r="L40" i="10"/>
  <c r="AD40" i="10"/>
  <c r="AA40" i="10"/>
  <c r="Q40" i="10"/>
  <c r="M40" i="10"/>
  <c r="AB40" i="10"/>
  <c r="O40" i="10"/>
  <c r="AF40" i="10"/>
  <c r="C40" i="10"/>
  <c r="AC40" i="10"/>
  <c r="R40" i="10"/>
  <c r="G40" i="10"/>
  <c r="AG40" i="10"/>
  <c r="U40" i="10"/>
  <c r="H40" i="10"/>
  <c r="AM40" i="10"/>
  <c r="I40" i="10"/>
  <c r="E40" i="10"/>
  <c r="Z40" i="10"/>
  <c r="AK40" i="10"/>
  <c r="AE40" i="10"/>
  <c r="S40" i="10"/>
  <c r="N40" i="10"/>
  <c r="T40" i="10"/>
  <c r="AN40" i="10"/>
  <c r="AO40" i="10" s="1" a="1"/>
  <c r="AO40" i="10" s="1"/>
  <c r="AI40" i="10"/>
  <c r="J40" i="10"/>
  <c r="X40" i="10"/>
  <c r="AL40" i="10"/>
  <c r="P40" i="10"/>
  <c r="F40" i="10"/>
  <c r="Y40" i="10"/>
  <c r="AJ40" i="10"/>
  <c r="AO8" i="1" l="1"/>
  <c r="AP6" i="1"/>
  <c r="B41" i="10"/>
  <c r="AP2" i="1"/>
  <c r="AP10" i="1" s="1"/>
  <c r="AP5" i="1" l="1"/>
  <c r="C41" i="10"/>
  <c r="E41" i="10"/>
  <c r="V41" i="10"/>
  <c r="AG41" i="10"/>
  <c r="M41" i="10"/>
  <c r="D41" i="10"/>
  <c r="AD41" i="10"/>
  <c r="S41" i="10"/>
  <c r="Y41" i="10"/>
  <c r="AM41" i="10"/>
  <c r="AC41" i="10"/>
  <c r="Q41" i="10"/>
  <c r="N41" i="10"/>
  <c r="AA41" i="10"/>
  <c r="AI41" i="10"/>
  <c r="U41" i="10"/>
  <c r="AH41" i="10"/>
  <c r="J41" i="10"/>
  <c r="X41" i="10"/>
  <c r="H41" i="10"/>
  <c r="AE41" i="10"/>
  <c r="O41" i="10"/>
  <c r="AB41" i="10"/>
  <c r="G41" i="10"/>
  <c r="F41" i="10"/>
  <c r="AJ41" i="10"/>
  <c r="AK41" i="10"/>
  <c r="P41" i="10"/>
  <c r="AN41" i="10"/>
  <c r="I41" i="10"/>
  <c r="W41" i="10"/>
  <c r="AL41" i="10"/>
  <c r="T41" i="10"/>
  <c r="L41" i="10"/>
  <c r="K41" i="10"/>
  <c r="AF41" i="10"/>
  <c r="AO41" i="10"/>
  <c r="AP41" i="10" s="1" a="1"/>
  <c r="AP41" i="10" s="1"/>
  <c r="R41" i="10"/>
  <c r="Z41" i="10"/>
  <c r="AP7" i="1" l="1"/>
  <c r="AP9" i="1"/>
  <c r="AQ2" i="1" s="1"/>
  <c r="AQ10" i="1" l="1"/>
  <c r="AQ6" i="1"/>
  <c r="AP8" i="1"/>
  <c r="B42" i="10"/>
  <c r="AQ5" i="1"/>
  <c r="AQ9" i="1" s="1"/>
  <c r="S42" i="10" l="1"/>
  <c r="W42" i="10"/>
  <c r="AN42" i="10"/>
  <c r="F42" i="10"/>
  <c r="R42" i="10"/>
  <c r="G42" i="10"/>
  <c r="L42" i="10"/>
  <c r="J42" i="10"/>
  <c r="AM42" i="10"/>
  <c r="U42" i="10"/>
  <c r="AF42" i="10"/>
  <c r="T42" i="10"/>
  <c r="AP42" i="10"/>
  <c r="H42" i="10"/>
  <c r="N42" i="10"/>
  <c r="X42" i="10"/>
  <c r="AG42" i="10"/>
  <c r="E42" i="10"/>
  <c r="AJ42" i="10"/>
  <c r="AD42" i="10"/>
  <c r="P42" i="10"/>
  <c r="K42" i="10"/>
  <c r="AA42" i="10"/>
  <c r="AK42" i="10"/>
  <c r="D42" i="10"/>
  <c r="Z42" i="10"/>
  <c r="I42" i="10"/>
  <c r="O42" i="10"/>
  <c r="AL42" i="10"/>
  <c r="AB42" i="10"/>
  <c r="AH42" i="10"/>
  <c r="M42" i="10"/>
  <c r="Y42" i="10"/>
  <c r="AE42" i="10"/>
  <c r="C42" i="10"/>
  <c r="AI42" i="10"/>
  <c r="AO42" i="10"/>
  <c r="V42" i="10"/>
  <c r="Q42" i="10"/>
  <c r="AC42" i="10"/>
  <c r="AQ7" i="1"/>
  <c r="AQ42" i="10" l="1" a="1"/>
  <c r="AQ42" i="10" s="1"/>
  <c r="B43" i="10"/>
  <c r="AQ8" i="1"/>
  <c r="AR6" i="1"/>
  <c r="AR2" i="1"/>
  <c r="AR10" i="1" s="1"/>
  <c r="AR5" i="1" l="1"/>
  <c r="I43" i="10"/>
  <c r="E43" i="10"/>
  <c r="D43" i="10"/>
  <c r="K43" i="10"/>
  <c r="AA43" i="10"/>
  <c r="AQ43" i="10"/>
  <c r="AM43" i="10"/>
  <c r="O43" i="10"/>
  <c r="M43" i="10"/>
  <c r="AP43" i="10"/>
  <c r="AK43" i="10"/>
  <c r="AJ43" i="10"/>
  <c r="N43" i="10"/>
  <c r="U43" i="10"/>
  <c r="Z43" i="10"/>
  <c r="AN43" i="10"/>
  <c r="S43" i="10"/>
  <c r="J43" i="10"/>
  <c r="F43" i="10"/>
  <c r="AD43" i="10"/>
  <c r="Y43" i="10"/>
  <c r="Q43" i="10"/>
  <c r="L43" i="10"/>
  <c r="X43" i="10"/>
  <c r="AH43" i="10"/>
  <c r="H43" i="10"/>
  <c r="T43" i="10"/>
  <c r="AG43" i="10"/>
  <c r="AO43" i="10"/>
  <c r="AL43" i="10"/>
  <c r="C43" i="10"/>
  <c r="P43" i="10"/>
  <c r="AC43" i="10"/>
  <c r="G43" i="10"/>
  <c r="AI43" i="10"/>
  <c r="R43" i="10"/>
  <c r="AF43" i="10"/>
  <c r="AB43" i="10"/>
  <c r="W43" i="10"/>
  <c r="AE43" i="10"/>
  <c r="V43" i="10"/>
  <c r="AR7" i="1" l="1"/>
  <c r="AR9" i="1"/>
  <c r="AR43" i="10" a="1"/>
  <c r="AR43" i="10" s="1"/>
  <c r="AS6" i="1"/>
  <c r="B44" i="10"/>
  <c r="AR8" i="1"/>
  <c r="AS2" i="1" l="1"/>
  <c r="AS10" i="1" s="1"/>
  <c r="Q44" i="10"/>
  <c r="F44" i="10"/>
  <c r="AH44" i="10"/>
  <c r="C44" i="10"/>
  <c r="AB44" i="10"/>
  <c r="AP44" i="10"/>
  <c r="R44" i="10"/>
  <c r="K44" i="10"/>
  <c r="AJ44" i="10"/>
  <c r="AG44" i="10"/>
  <c r="S44" i="10"/>
  <c r="AI44" i="10"/>
  <c r="AQ44" i="10"/>
  <c r="H44" i="10"/>
  <c r="AK44" i="10"/>
  <c r="Y44" i="10"/>
  <c r="AL44" i="10"/>
  <c r="AC44" i="10"/>
  <c r="W44" i="10"/>
  <c r="U44" i="10"/>
  <c r="AD44" i="10"/>
  <c r="AA44" i="10"/>
  <c r="AM44" i="10"/>
  <c r="L44" i="10"/>
  <c r="X44" i="10"/>
  <c r="G44" i="10"/>
  <c r="AR44" i="10"/>
  <c r="Z44" i="10"/>
  <c r="V44" i="10"/>
  <c r="N44" i="10"/>
  <c r="M44" i="10"/>
  <c r="AE44" i="10"/>
  <c r="T44" i="10"/>
  <c r="E44" i="10"/>
  <c r="AO44" i="10"/>
  <c r="I44" i="10"/>
  <c r="AF44" i="10"/>
  <c r="P44" i="10"/>
  <c r="J44" i="10"/>
  <c r="AN44" i="10"/>
  <c r="D44" i="10"/>
  <c r="O44" i="10"/>
  <c r="AS44" i="10" l="1" a="1"/>
  <c r="AS44" i="10" s="1"/>
  <c r="AS5" i="1"/>
  <c r="AS9" i="1" s="1"/>
  <c r="AS7" i="1" l="1"/>
  <c r="AT2" i="1" l="1"/>
  <c r="AT5" i="1" s="1"/>
  <c r="AT9" i="1" s="1"/>
  <c r="AT6" i="1"/>
  <c r="AS8" i="1"/>
  <c r="B45" i="10"/>
  <c r="AT10" i="1"/>
  <c r="AT7" i="1" l="1"/>
  <c r="AS45" i="10"/>
  <c r="N45" i="10"/>
  <c r="AA45" i="10"/>
  <c r="E45" i="10"/>
  <c r="X45" i="10"/>
  <c r="AO45" i="10"/>
  <c r="T45" i="10"/>
  <c r="G45" i="10"/>
  <c r="K45" i="10"/>
  <c r="Z45" i="10"/>
  <c r="AH45" i="10"/>
  <c r="F45" i="10"/>
  <c r="O45" i="10"/>
  <c r="W45" i="10"/>
  <c r="AG45" i="10"/>
  <c r="R45" i="10"/>
  <c r="L45" i="10"/>
  <c r="AL45" i="10"/>
  <c r="AR45" i="10"/>
  <c r="J45" i="10"/>
  <c r="C45" i="10"/>
  <c r="AT45" i="10" s="1" a="1"/>
  <c r="AT45" i="10" s="1"/>
  <c r="U45" i="10"/>
  <c r="AQ45" i="10"/>
  <c r="AD45" i="10"/>
  <c r="AN45" i="10"/>
  <c r="Q45" i="10"/>
  <c r="AE45" i="10"/>
  <c r="V45" i="10"/>
  <c r="I45" i="10"/>
  <c r="S45" i="10"/>
  <c r="AB45" i="10"/>
  <c r="AM45" i="10"/>
  <c r="P45" i="10"/>
  <c r="M45" i="10"/>
  <c r="AP45" i="10"/>
  <c r="H45" i="10"/>
  <c r="D45" i="10"/>
  <c r="AK45" i="10"/>
  <c r="Y45" i="10"/>
  <c r="AJ45" i="10"/>
  <c r="AF45" i="10"/>
  <c r="AI45" i="10"/>
  <c r="AC45" i="10"/>
  <c r="B46" i="10" l="1"/>
  <c r="AT8" i="1"/>
  <c r="AU6" i="1"/>
  <c r="AU2" i="1"/>
  <c r="AU5" i="1" s="1"/>
  <c r="AU9" i="1" s="1"/>
  <c r="AU10" i="1" l="1"/>
  <c r="AU7" i="1"/>
  <c r="J46" i="10"/>
  <c r="AH46" i="10"/>
  <c r="C46" i="10"/>
  <c r="AB46" i="10"/>
  <c r="AM46" i="10"/>
  <c r="AR46" i="10"/>
  <c r="M46" i="10"/>
  <c r="S46" i="10"/>
  <c r="Q46" i="10"/>
  <c r="AF46" i="10"/>
  <c r="Y46" i="10"/>
  <c r="AO46" i="10"/>
  <c r="AS46" i="10"/>
  <c r="O46" i="10"/>
  <c r="G46" i="10"/>
  <c r="P46" i="10"/>
  <c r="AG46" i="10"/>
  <c r="AD46" i="10"/>
  <c r="L46" i="10"/>
  <c r="F46" i="10"/>
  <c r="AT46" i="10"/>
  <c r="AN46" i="10"/>
  <c r="AP46" i="10"/>
  <c r="V46" i="10"/>
  <c r="AK46" i="10"/>
  <c r="N46" i="10"/>
  <c r="Z46" i="10"/>
  <c r="K46" i="10"/>
  <c r="R46" i="10"/>
  <c r="D46" i="10"/>
  <c r="I46" i="10"/>
  <c r="AQ46" i="10"/>
  <c r="AA46" i="10"/>
  <c r="AC46" i="10"/>
  <c r="X46" i="10"/>
  <c r="U46" i="10"/>
  <c r="W46" i="10"/>
  <c r="AL46" i="10"/>
  <c r="AI46" i="10"/>
  <c r="AJ46" i="10"/>
  <c r="T46" i="10"/>
  <c r="H46" i="10"/>
  <c r="AE46" i="10"/>
  <c r="E46" i="10"/>
  <c r="AU46" i="10" l="1" a="1"/>
  <c r="AU46" i="10" s="1"/>
  <c r="B47" i="10"/>
  <c r="AV6" i="1"/>
  <c r="AU8" i="1"/>
  <c r="AV2" i="1"/>
  <c r="AV10" i="1" s="1"/>
  <c r="AV5" i="1" l="1"/>
  <c r="AO47" i="10"/>
  <c r="AQ47" i="10"/>
  <c r="X47" i="10"/>
  <c r="AK47" i="10"/>
  <c r="M47" i="10"/>
  <c r="P47" i="10"/>
  <c r="Y47" i="10"/>
  <c r="AT47" i="10"/>
  <c r="AP47" i="10"/>
  <c r="Q47" i="10"/>
  <c r="N47" i="10"/>
  <c r="AG47" i="10"/>
  <c r="AM47" i="10"/>
  <c r="AL47" i="10"/>
  <c r="AE47" i="10"/>
  <c r="AF47" i="10"/>
  <c r="AA47" i="10"/>
  <c r="K47" i="10"/>
  <c r="W47" i="10"/>
  <c r="AI47" i="10"/>
  <c r="C47" i="10"/>
  <c r="H47" i="10"/>
  <c r="AN47" i="10"/>
  <c r="J47" i="10"/>
  <c r="U47" i="10"/>
  <c r="G47" i="10"/>
  <c r="Z47" i="10"/>
  <c r="D47" i="10"/>
  <c r="V47" i="10"/>
  <c r="AC47" i="10"/>
  <c r="S47" i="10"/>
  <c r="R47" i="10"/>
  <c r="AJ47" i="10"/>
  <c r="AS47" i="10"/>
  <c r="L47" i="10"/>
  <c r="AD47" i="10"/>
  <c r="AB47" i="10"/>
  <c r="O47" i="10"/>
  <c r="AR47" i="10"/>
  <c r="AH47" i="10"/>
  <c r="I47" i="10"/>
  <c r="F47" i="10"/>
  <c r="T47" i="10"/>
  <c r="E47" i="10"/>
  <c r="AU47" i="10"/>
  <c r="AV7" i="1" l="1"/>
  <c r="AV9" i="1"/>
  <c r="AV47" i="10" a="1"/>
  <c r="AV47" i="10" s="1"/>
  <c r="B48" i="10"/>
  <c r="AW6" i="1"/>
  <c r="AV8" i="1"/>
  <c r="AW2" i="1" l="1"/>
  <c r="AW10" i="1" s="1"/>
  <c r="U48" i="10"/>
  <c r="AT48" i="10"/>
  <c r="H48" i="10"/>
  <c r="AO48" i="10"/>
  <c r="Y48" i="10"/>
  <c r="AI48" i="10"/>
  <c r="D48" i="10"/>
  <c r="M48" i="10"/>
  <c r="AP48" i="10"/>
  <c r="AQ48" i="10"/>
  <c r="AR48" i="10"/>
  <c r="AM48" i="10"/>
  <c r="L48" i="10"/>
  <c r="T48" i="10"/>
  <c r="O48" i="10"/>
  <c r="AG48" i="10"/>
  <c r="R48" i="10"/>
  <c r="AL48" i="10"/>
  <c r="Q48" i="10"/>
  <c r="J48" i="10"/>
  <c r="AB48" i="10"/>
  <c r="AD48" i="10"/>
  <c r="AC48" i="10"/>
  <c r="S48" i="10"/>
  <c r="Z48" i="10"/>
  <c r="P48" i="10"/>
  <c r="AJ48" i="10"/>
  <c r="AE48" i="10"/>
  <c r="V48" i="10"/>
  <c r="X48" i="10"/>
  <c r="AN48" i="10"/>
  <c r="C48" i="10"/>
  <c r="AS48" i="10"/>
  <c r="AF48" i="10"/>
  <c r="AU48" i="10"/>
  <c r="G48" i="10"/>
  <c r="I48" i="10"/>
  <c r="N48" i="10"/>
  <c r="F48" i="10"/>
  <c r="AV48" i="10"/>
  <c r="W48" i="10"/>
  <c r="AK48" i="10"/>
  <c r="AA48" i="10"/>
  <c r="AH48" i="10"/>
  <c r="E48" i="10"/>
  <c r="K48" i="10"/>
  <c r="AW48" i="10" l="1" a="1"/>
  <c r="AW48" i="10" s="1"/>
  <c r="AW5" i="1"/>
  <c r="AW9" i="1" s="1"/>
  <c r="AW7" i="1" l="1"/>
  <c r="AW8" i="1" l="1"/>
  <c r="B49" i="10"/>
  <c r="AX6" i="1"/>
  <c r="AX2" i="1"/>
  <c r="AX10" i="1" s="1"/>
  <c r="AX5" i="1" l="1"/>
  <c r="AX9" i="1" s="1"/>
  <c r="AV49" i="10"/>
  <c r="AF49" i="10"/>
  <c r="AP49" i="10"/>
  <c r="AO49" i="10"/>
  <c r="I49" i="10"/>
  <c r="U49" i="10"/>
  <c r="M49" i="10"/>
  <c r="AQ49" i="10"/>
  <c r="S49" i="10"/>
  <c r="O49" i="10"/>
  <c r="AW49" i="10"/>
  <c r="AM49" i="10"/>
  <c r="Z49" i="10"/>
  <c r="W49" i="10"/>
  <c r="AU49" i="10"/>
  <c r="AS49" i="10"/>
  <c r="AA49" i="10"/>
  <c r="L49" i="10"/>
  <c r="G49" i="10"/>
  <c r="E49" i="10"/>
  <c r="AL49" i="10"/>
  <c r="R49" i="10"/>
  <c r="Q49" i="10"/>
  <c r="AJ49" i="10"/>
  <c r="T49" i="10"/>
  <c r="AE49" i="10"/>
  <c r="V49" i="10"/>
  <c r="K49" i="10"/>
  <c r="AN49" i="10"/>
  <c r="AH49" i="10"/>
  <c r="F49" i="10"/>
  <c r="X49" i="10"/>
  <c r="AD49" i="10"/>
  <c r="H49" i="10"/>
  <c r="AG49" i="10"/>
  <c r="P49" i="10"/>
  <c r="C49" i="10"/>
  <c r="AI49" i="10"/>
  <c r="D49" i="10"/>
  <c r="Y49" i="10"/>
  <c r="J49" i="10"/>
  <c r="AB49" i="10"/>
  <c r="AT49" i="10"/>
  <c r="N49" i="10"/>
  <c r="AK49" i="10"/>
  <c r="AR49" i="10"/>
  <c r="AC49" i="10"/>
  <c r="AX49" i="10" l="1" a="1"/>
  <c r="AX49" i="10" s="1"/>
  <c r="AX7" i="1"/>
  <c r="AY6" i="1" s="1"/>
  <c r="B50" i="10"/>
  <c r="AY2" i="1"/>
  <c r="AY10" i="1" s="1"/>
  <c r="AX8" i="1" l="1"/>
  <c r="AY5" i="1"/>
  <c r="AY9" i="1" s="1"/>
  <c r="G50" i="10"/>
  <c r="Y50" i="10"/>
  <c r="AV50" i="10"/>
  <c r="AS50" i="10"/>
  <c r="AP50" i="10"/>
  <c r="W50" i="10"/>
  <c r="AB50" i="10"/>
  <c r="C50" i="10"/>
  <c r="V50" i="10"/>
  <c r="P50" i="10"/>
  <c r="AG50" i="10"/>
  <c r="AI50" i="10"/>
  <c r="Z50" i="10"/>
  <c r="AF50" i="10"/>
  <c r="F50" i="10"/>
  <c r="AL50" i="10"/>
  <c r="AT50" i="10"/>
  <c r="AD50" i="10"/>
  <c r="M50" i="10"/>
  <c r="X50" i="10"/>
  <c r="AU50" i="10"/>
  <c r="J50" i="10"/>
  <c r="O50" i="10"/>
  <c r="AM50" i="10"/>
  <c r="D50" i="10"/>
  <c r="AE50" i="10"/>
  <c r="H50" i="10"/>
  <c r="U50" i="10"/>
  <c r="AN50" i="10"/>
  <c r="I50" i="10"/>
  <c r="K50" i="10"/>
  <c r="S50" i="10"/>
  <c r="AQ50" i="10"/>
  <c r="AW50" i="10"/>
  <c r="N50" i="10"/>
  <c r="L50" i="10"/>
  <c r="AJ50" i="10"/>
  <c r="Q50" i="10"/>
  <c r="AC50" i="10"/>
  <c r="AA50" i="10"/>
  <c r="AO50" i="10"/>
  <c r="AR50" i="10"/>
  <c r="AH50" i="10"/>
  <c r="T50" i="10"/>
  <c r="AK50" i="10"/>
  <c r="R50" i="10"/>
  <c r="E50" i="10"/>
  <c r="AX50" i="10"/>
  <c r="AY50" i="10" l="1" a="1"/>
  <c r="AY50" i="10" s="1"/>
  <c r="AY7" i="1"/>
  <c r="AZ2" i="1" l="1"/>
  <c r="AZ5" i="1" s="1"/>
  <c r="AZ9" i="1" s="1"/>
  <c r="B51" i="10"/>
  <c r="AZ10" i="1"/>
  <c r="AY8" i="1"/>
  <c r="AZ6" i="1"/>
  <c r="AZ7" i="1" l="1"/>
  <c r="AK51" i="10"/>
  <c r="F51" i="10"/>
  <c r="AH51" i="10"/>
  <c r="AJ51" i="10"/>
  <c r="R51" i="10"/>
  <c r="P51" i="10"/>
  <c r="L51" i="10"/>
  <c r="AX51" i="10"/>
  <c r="T51" i="10"/>
  <c r="G51" i="10"/>
  <c r="AG51" i="10"/>
  <c r="J51" i="10"/>
  <c r="O51" i="10"/>
  <c r="AV51" i="10"/>
  <c r="AN51" i="10"/>
  <c r="U51" i="10"/>
  <c r="AY51" i="10"/>
  <c r="AM51" i="10"/>
  <c r="AP51" i="10"/>
  <c r="AE51" i="10"/>
  <c r="AA51" i="10"/>
  <c r="X51" i="10"/>
  <c r="AW51" i="10"/>
  <c r="AT51" i="10"/>
  <c r="Z51" i="10"/>
  <c r="I51" i="10"/>
  <c r="K51" i="10"/>
  <c r="AU51" i="10"/>
  <c r="S51" i="10"/>
  <c r="AI51" i="10"/>
  <c r="AO51" i="10"/>
  <c r="AR51" i="10"/>
  <c r="C51" i="10"/>
  <c r="AZ51" i="10" s="1" a="1"/>
  <c r="AZ51" i="10" s="1"/>
  <c r="AD51" i="10"/>
  <c r="AQ51" i="10"/>
  <c r="AC51" i="10"/>
  <c r="AF51" i="10"/>
  <c r="V51" i="10"/>
  <c r="D51" i="10"/>
  <c r="AL51" i="10"/>
  <c r="M51" i="10"/>
  <c r="N51" i="10"/>
  <c r="AS51" i="10"/>
  <c r="H51" i="10"/>
  <c r="Y51" i="10"/>
  <c r="E51" i="10"/>
  <c r="W51" i="10"/>
  <c r="AB51" i="10"/>
  <c r="Q51" i="10"/>
  <c r="B52" i="10" l="1"/>
  <c r="BA6" i="1"/>
  <c r="AZ8" i="1"/>
  <c r="BA2" i="1"/>
  <c r="BA10" i="1" s="1"/>
  <c r="BA5" i="1" l="1"/>
  <c r="AG52" i="10"/>
  <c r="AT52" i="10"/>
  <c r="AR52" i="10"/>
  <c r="L52" i="10"/>
  <c r="S52" i="10"/>
  <c r="AD52" i="10"/>
  <c r="AS52" i="10"/>
  <c r="X52" i="10"/>
  <c r="AL52" i="10"/>
  <c r="T52" i="10"/>
  <c r="J52" i="10"/>
  <c r="AO52" i="10"/>
  <c r="AA52" i="10"/>
  <c r="P52" i="10"/>
  <c r="AN52" i="10"/>
  <c r="C52" i="10"/>
  <c r="AX52" i="10"/>
  <c r="G52" i="10"/>
  <c r="AV52" i="10"/>
  <c r="Y52" i="10"/>
  <c r="N52" i="10"/>
  <c r="AW52" i="10"/>
  <c r="H52" i="10"/>
  <c r="AY52" i="10"/>
  <c r="AF52" i="10"/>
  <c r="I52" i="10"/>
  <c r="M52" i="10"/>
  <c r="E52" i="10"/>
  <c r="U52" i="10"/>
  <c r="AK52" i="10"/>
  <c r="AU52" i="10"/>
  <c r="AQ52" i="10"/>
  <c r="D52" i="10"/>
  <c r="Z52" i="10"/>
  <c r="AI52" i="10"/>
  <c r="R52" i="10"/>
  <c r="AE52" i="10"/>
  <c r="F52" i="10"/>
  <c r="AH52" i="10"/>
  <c r="AM52" i="10"/>
  <c r="AC52" i="10"/>
  <c r="K52" i="10"/>
  <c r="V52" i="10"/>
  <c r="AB52" i="10"/>
  <c r="W52" i="10"/>
  <c r="O52" i="10"/>
  <c r="AJ52" i="10"/>
  <c r="AP52" i="10"/>
  <c r="Q52" i="10"/>
  <c r="AZ52" i="10"/>
  <c r="BA7" i="1" l="1"/>
  <c r="BA9" i="1"/>
  <c r="BA52" i="10" a="1"/>
  <c r="BA52" i="10" s="1"/>
  <c r="B53" i="10"/>
  <c r="BA8" i="1"/>
  <c r="BB6" i="1"/>
  <c r="BB2" i="1" l="1"/>
  <c r="BB10" i="1" s="1"/>
  <c r="AD53" i="10"/>
  <c r="Y53" i="10"/>
  <c r="AP53" i="10"/>
  <c r="AH53" i="10"/>
  <c r="AS53" i="10"/>
  <c r="F53" i="10"/>
  <c r="AV53" i="10"/>
  <c r="V53" i="10"/>
  <c r="AU53" i="10"/>
  <c r="AT53" i="10"/>
  <c r="H53" i="10"/>
  <c r="AZ53" i="10"/>
  <c r="AK53" i="10"/>
  <c r="J53" i="10"/>
  <c r="BA53" i="10"/>
  <c r="AN53" i="10"/>
  <c r="AR53" i="10"/>
  <c r="K53" i="10"/>
  <c r="AC53" i="10"/>
  <c r="AI53" i="10"/>
  <c r="AJ53" i="10"/>
  <c r="AQ53" i="10"/>
  <c r="P53" i="10"/>
  <c r="T53" i="10"/>
  <c r="AO53" i="10"/>
  <c r="C53" i="10"/>
  <c r="U53" i="10"/>
  <c r="O53" i="10"/>
  <c r="G53" i="10"/>
  <c r="M53" i="10"/>
  <c r="Q53" i="10"/>
  <c r="AM53" i="10"/>
  <c r="I53" i="10"/>
  <c r="X53" i="10"/>
  <c r="AA53" i="10"/>
  <c r="R53" i="10"/>
  <c r="AX53" i="10"/>
  <c r="AG53" i="10"/>
  <c r="Z53" i="10"/>
  <c r="AW53" i="10"/>
  <c r="E53" i="10"/>
  <c r="D53" i="10"/>
  <c r="AY53" i="10"/>
  <c r="AB53" i="10"/>
  <c r="N53" i="10"/>
  <c r="AE53" i="10"/>
  <c r="AF53" i="10"/>
  <c r="W53" i="10"/>
  <c r="S53" i="10"/>
  <c r="L53" i="10"/>
  <c r="AL53" i="10"/>
  <c r="BB53" i="10" l="1" a="1"/>
  <c r="BB53" i="10" s="1"/>
  <c r="BB5" i="1"/>
  <c r="BB9" i="1" s="1"/>
  <c r="BB7" i="1" l="1"/>
  <c r="BC2" i="1" l="1"/>
  <c r="BC5" i="1" s="1"/>
  <c r="BC9" i="1" s="1"/>
  <c r="BB8" i="1"/>
  <c r="BC10" i="1"/>
  <c r="BC6" i="1"/>
  <c r="B54" i="10"/>
  <c r="BC7" i="1" l="1"/>
  <c r="AS54" i="10"/>
  <c r="E54" i="10"/>
  <c r="AL54" i="10"/>
  <c r="AB54" i="10"/>
  <c r="D54" i="10"/>
  <c r="AN54" i="10"/>
  <c r="N54" i="10"/>
  <c r="AZ54" i="10"/>
  <c r="T54" i="10"/>
  <c r="AC54" i="10"/>
  <c r="U54" i="10"/>
  <c r="AY54" i="10"/>
  <c r="AF54" i="10"/>
  <c r="AA54" i="10"/>
  <c r="K54" i="10"/>
  <c r="AQ54" i="10"/>
  <c r="AK54" i="10"/>
  <c r="AX54" i="10"/>
  <c r="AH54" i="10"/>
  <c r="C54" i="10"/>
  <c r="AT54" i="10"/>
  <c r="J54" i="10"/>
  <c r="AD54" i="10"/>
  <c r="P54" i="10"/>
  <c r="Y54" i="10"/>
  <c r="F54" i="10"/>
  <c r="AR54" i="10"/>
  <c r="S54" i="10"/>
  <c r="V54" i="10"/>
  <c r="BA54" i="10"/>
  <c r="AJ54" i="10"/>
  <c r="M54" i="10"/>
  <c r="L54" i="10"/>
  <c r="G54" i="10"/>
  <c r="R54" i="10"/>
  <c r="Q54" i="10"/>
  <c r="H54" i="10"/>
  <c r="X54" i="10"/>
  <c r="AV54" i="10"/>
  <c r="Z54" i="10"/>
  <c r="AW54" i="10"/>
  <c r="W54" i="10"/>
  <c r="I54" i="10"/>
  <c r="BB54" i="10"/>
  <c r="AU54" i="10"/>
  <c r="AG54" i="10"/>
  <c r="AE54" i="10"/>
  <c r="AP54" i="10"/>
  <c r="AM54" i="10"/>
  <c r="AO54" i="10"/>
  <c r="AI54" i="10"/>
  <c r="O54" i="10"/>
  <c r="BC54" i="10" l="1" a="1"/>
  <c r="BC54" i="10" s="1"/>
  <c r="BD6" i="1"/>
  <c r="BC8" i="1"/>
  <c r="B55" i="10"/>
  <c r="BD2" i="1"/>
  <c r="BD10" i="1" s="1"/>
  <c r="M55" i="10" l="1"/>
  <c r="R55" i="10"/>
  <c r="AM55" i="10"/>
  <c r="AF55" i="10"/>
  <c r="AY55" i="10"/>
  <c r="G55" i="10"/>
  <c r="D55" i="10"/>
  <c r="AG55" i="10"/>
  <c r="L55" i="10"/>
  <c r="C55" i="10"/>
  <c r="BB55" i="10"/>
  <c r="U55" i="10"/>
  <c r="AO55" i="10"/>
  <c r="AJ55" i="10"/>
  <c r="AK55" i="10"/>
  <c r="AN55" i="10"/>
  <c r="AC55" i="10"/>
  <c r="AE55" i="10"/>
  <c r="V55" i="10"/>
  <c r="AR55" i="10"/>
  <c r="AP55" i="10"/>
  <c r="AV55" i="10"/>
  <c r="Z55" i="10"/>
  <c r="Q55" i="10"/>
  <c r="K55" i="10"/>
  <c r="AL55" i="10"/>
  <c r="Y55" i="10"/>
  <c r="BC55" i="10"/>
  <c r="N55" i="10"/>
  <c r="AI55" i="10"/>
  <c r="AB55" i="10"/>
  <c r="W55" i="10"/>
  <c r="I55" i="10"/>
  <c r="AT55" i="10"/>
  <c r="J55" i="10"/>
  <c r="O55" i="10"/>
  <c r="AS55" i="10"/>
  <c r="AX55" i="10"/>
  <c r="H55" i="10"/>
  <c r="AA55" i="10"/>
  <c r="E55" i="10"/>
  <c r="AZ55" i="10"/>
  <c r="P55" i="10"/>
  <c r="BA55" i="10"/>
  <c r="AQ55" i="10"/>
  <c r="AW55" i="10"/>
  <c r="AD55" i="10"/>
  <c r="X55" i="10"/>
  <c r="AU55" i="10"/>
  <c r="S55" i="10"/>
  <c r="T55" i="10"/>
  <c r="AH55" i="10"/>
  <c r="F55" i="10"/>
  <c r="BD5" i="1"/>
  <c r="BD9" i="1" s="1"/>
  <c r="BD7" i="1" l="1"/>
  <c r="BD55" i="10" a="1"/>
  <c r="BD55" i="10" s="1"/>
  <c r="B56" i="10" l="1"/>
  <c r="BE6" i="1"/>
  <c r="BD8" i="1"/>
  <c r="BE2" i="1"/>
  <c r="BE10" i="1" s="1"/>
  <c r="BE5" i="1" l="1"/>
  <c r="BE9" i="1" s="1"/>
  <c r="T56" i="10"/>
  <c r="F56" i="10"/>
  <c r="V56" i="10"/>
  <c r="AL56" i="10"/>
  <c r="AF56" i="10"/>
  <c r="AQ56" i="10"/>
  <c r="I56" i="10"/>
  <c r="AE56" i="10"/>
  <c r="M56" i="10"/>
  <c r="U56" i="10"/>
  <c r="AZ56" i="10"/>
  <c r="K56" i="10"/>
  <c r="Q56" i="10"/>
  <c r="AP56" i="10"/>
  <c r="C56" i="10"/>
  <c r="AW56" i="10"/>
  <c r="J56" i="10"/>
  <c r="AX56" i="10"/>
  <c r="AH56" i="10"/>
  <c r="L56" i="10"/>
  <c r="AU56" i="10"/>
  <c r="AV56" i="10"/>
  <c r="BB56" i="10"/>
  <c r="AK56" i="10"/>
  <c r="AS56" i="10"/>
  <c r="AC56" i="10"/>
  <c r="H56" i="10"/>
  <c r="G56" i="10"/>
  <c r="O56" i="10"/>
  <c r="AI56" i="10"/>
  <c r="AA56" i="10"/>
  <c r="AY56" i="10"/>
  <c r="AJ56" i="10"/>
  <c r="Z56" i="10"/>
  <c r="W56" i="10"/>
  <c r="N56" i="10"/>
  <c r="X56" i="10"/>
  <c r="AM56" i="10"/>
  <c r="S56" i="10"/>
  <c r="AN56" i="10"/>
  <c r="E56" i="10"/>
  <c r="BC56" i="10"/>
  <c r="BA56" i="10"/>
  <c r="D56" i="10"/>
  <c r="AR56" i="10"/>
  <c r="P56" i="10"/>
  <c r="Y56" i="10"/>
  <c r="AO56" i="10"/>
  <c r="AD56" i="10"/>
  <c r="AG56" i="10"/>
  <c r="R56" i="10"/>
  <c r="AB56" i="10"/>
  <c r="AT56" i="10"/>
  <c r="BD56" i="10"/>
  <c r="BE56" i="10" l="1" a="1"/>
  <c r="BE56" i="10" s="1"/>
  <c r="BE7" i="1"/>
  <c r="B57" i="10" l="1"/>
  <c r="BE8" i="1"/>
  <c r="BF6" i="1"/>
  <c r="BF2" i="1"/>
  <c r="BF10" i="1" s="1"/>
  <c r="BF5" i="1" l="1"/>
  <c r="BF9" i="1" s="1"/>
  <c r="T57" i="10"/>
  <c r="BC57" i="10"/>
  <c r="AI57" i="10"/>
  <c r="AH57" i="10"/>
  <c r="X57" i="10"/>
  <c r="G57" i="10"/>
  <c r="AQ57" i="10"/>
  <c r="J57" i="10"/>
  <c r="AY57" i="10"/>
  <c r="N57" i="10"/>
  <c r="AA57" i="10"/>
  <c r="Q57" i="10"/>
  <c r="AL57" i="10"/>
  <c r="BB57" i="10"/>
  <c r="AP57" i="10"/>
  <c r="BE57" i="10"/>
  <c r="AN57" i="10"/>
  <c r="AK57" i="10"/>
  <c r="O57" i="10"/>
  <c r="AM57" i="10"/>
  <c r="M57" i="10"/>
  <c r="AR57" i="10"/>
  <c r="K57" i="10"/>
  <c r="BD57" i="10"/>
  <c r="Z57" i="10"/>
  <c r="U57" i="10"/>
  <c r="AW57" i="10"/>
  <c r="S57" i="10"/>
  <c r="R57" i="10"/>
  <c r="W57" i="10"/>
  <c r="L57" i="10"/>
  <c r="V57" i="10"/>
  <c r="BA57" i="10"/>
  <c r="AF57" i="10"/>
  <c r="D57" i="10"/>
  <c r="AJ57" i="10"/>
  <c r="H57" i="10"/>
  <c r="AC57" i="10"/>
  <c r="AE57" i="10"/>
  <c r="AO57" i="10"/>
  <c r="AB57" i="10"/>
  <c r="AV57" i="10"/>
  <c r="Y57" i="10"/>
  <c r="AZ57" i="10"/>
  <c r="C57" i="10"/>
  <c r="BF57" i="10" s="1" a="1"/>
  <c r="BF57" i="10" s="1"/>
  <c r="AU57" i="10"/>
  <c r="I57" i="10"/>
  <c r="F57" i="10"/>
  <c r="AD57" i="10"/>
  <c r="AG57" i="10"/>
  <c r="E57" i="10"/>
  <c r="AT57" i="10"/>
  <c r="P57" i="10"/>
  <c r="AS57" i="10"/>
  <c r="AX57" i="10"/>
  <c r="BF7" i="1" l="1"/>
  <c r="BG6" i="1" l="1"/>
  <c r="B58" i="10"/>
  <c r="BF8" i="1"/>
  <c r="BG2" i="1"/>
  <c r="BG10" i="1" s="1"/>
  <c r="BG5" i="1" l="1"/>
  <c r="AJ58" i="10"/>
  <c r="AN58" i="10"/>
  <c r="AF58" i="10"/>
  <c r="Z58" i="10"/>
  <c r="AP58" i="10"/>
  <c r="N58" i="10"/>
  <c r="BE58" i="10"/>
  <c r="AE58" i="10"/>
  <c r="L58" i="10"/>
  <c r="AY58" i="10"/>
  <c r="AI58" i="10"/>
  <c r="AR58" i="10"/>
  <c r="AQ58" i="10"/>
  <c r="T58" i="10"/>
  <c r="AV58" i="10"/>
  <c r="AZ58" i="10"/>
  <c r="AD58" i="10"/>
  <c r="AC58" i="10"/>
  <c r="AM58" i="10"/>
  <c r="R58" i="10"/>
  <c r="O58" i="10"/>
  <c r="P58" i="10"/>
  <c r="W58" i="10"/>
  <c r="AA58" i="10"/>
  <c r="AO58" i="10"/>
  <c r="J58" i="10"/>
  <c r="BD58" i="10"/>
  <c r="F58" i="10"/>
  <c r="AW58" i="10"/>
  <c r="U58" i="10"/>
  <c r="AS58" i="10"/>
  <c r="V58" i="10"/>
  <c r="G58" i="10"/>
  <c r="AK58" i="10"/>
  <c r="AG58" i="10"/>
  <c r="AH58" i="10"/>
  <c r="E58" i="10"/>
  <c r="AX58" i="10"/>
  <c r="AB58" i="10"/>
  <c r="I58" i="10"/>
  <c r="C58" i="10"/>
  <c r="AU58" i="10"/>
  <c r="BC58" i="10"/>
  <c r="S58" i="10"/>
  <c r="H58" i="10"/>
  <c r="Y58" i="10"/>
  <c r="BA58" i="10"/>
  <c r="AT58" i="10"/>
  <c r="AL58" i="10"/>
  <c r="Q58" i="10"/>
  <c r="K58" i="10"/>
  <c r="M58" i="10"/>
  <c r="D58" i="10"/>
  <c r="X58" i="10"/>
  <c r="BB58" i="10"/>
  <c r="BF58" i="10"/>
  <c r="BG7" i="1" l="1"/>
  <c r="BG9" i="1"/>
  <c r="BG58" i="10" a="1"/>
  <c r="BG58" i="10" s="1"/>
  <c r="BG8" i="1"/>
  <c r="BH2" i="1" s="1"/>
  <c r="BH5" i="1" s="1"/>
  <c r="BH6" i="1"/>
  <c r="B59" i="10"/>
  <c r="BH7" i="1" l="1"/>
  <c r="BH9" i="1"/>
  <c r="BH10" i="1"/>
  <c r="AB59" i="10"/>
  <c r="V59" i="10"/>
  <c r="AA59" i="10"/>
  <c r="AT59" i="10"/>
  <c r="L59" i="10"/>
  <c r="G59" i="10"/>
  <c r="M59" i="10"/>
  <c r="P59" i="10"/>
  <c r="AC59" i="10"/>
  <c r="Z59" i="10"/>
  <c r="AG59" i="10"/>
  <c r="E59" i="10"/>
  <c r="AR59" i="10"/>
  <c r="AU59" i="10"/>
  <c r="AQ59" i="10"/>
  <c r="N59" i="10"/>
  <c r="D59" i="10"/>
  <c r="AH59" i="10"/>
  <c r="AW59" i="10"/>
  <c r="BD59" i="10"/>
  <c r="AD59" i="10"/>
  <c r="AS59" i="10"/>
  <c r="H59" i="10"/>
  <c r="AX59" i="10"/>
  <c r="O59" i="10"/>
  <c r="BE59" i="10"/>
  <c r="BG59" i="10"/>
  <c r="AN59" i="10"/>
  <c r="AM59" i="10"/>
  <c r="AL59" i="10"/>
  <c r="J59" i="10"/>
  <c r="AV59" i="10"/>
  <c r="BA59" i="10"/>
  <c r="AI59" i="10"/>
  <c r="AF59" i="10"/>
  <c r="C59" i="10"/>
  <c r="BF59" i="10"/>
  <c r="AY59" i="10"/>
  <c r="S59" i="10"/>
  <c r="AO59" i="10"/>
  <c r="T59" i="10"/>
  <c r="W59" i="10"/>
  <c r="U59" i="10"/>
  <c r="BC59" i="10"/>
  <c r="I59" i="10"/>
  <c r="AP59" i="10"/>
  <c r="K59" i="10"/>
  <c r="AJ59" i="10"/>
  <c r="AE59" i="10"/>
  <c r="Q59" i="10"/>
  <c r="AK59" i="10"/>
  <c r="F59" i="10"/>
  <c r="R59" i="10"/>
  <c r="X59" i="10"/>
  <c r="BB59" i="10"/>
  <c r="AZ59" i="10"/>
  <c r="Y59" i="10"/>
  <c r="B60" i="10"/>
  <c r="AD60" i="10" s="1"/>
  <c r="BI6" i="1"/>
  <c r="BH8" i="1"/>
  <c r="BH59" i="10" l="1" a="1"/>
  <c r="BH59" i="10" s="1"/>
  <c r="AP60" i="10"/>
  <c r="AB60" i="10"/>
  <c r="W60" i="10"/>
  <c r="AR60" i="10"/>
  <c r="AI60" i="10"/>
  <c r="BE60" i="10"/>
  <c r="AX60" i="10"/>
  <c r="AG60" i="10"/>
  <c r="AS60" i="10"/>
  <c r="E60" i="10"/>
  <c r="BF60" i="10"/>
  <c r="C60" i="10"/>
  <c r="D60" i="10"/>
  <c r="N60" i="10"/>
  <c r="L60" i="10"/>
  <c r="R60" i="10"/>
  <c r="P60" i="10"/>
  <c r="Q60" i="10"/>
  <c r="BG60" i="10"/>
  <c r="AO60" i="10"/>
  <c r="O60" i="10"/>
  <c r="AQ60" i="10"/>
  <c r="AT60" i="10"/>
  <c r="T60" i="10"/>
  <c r="F60" i="10"/>
  <c r="AM60" i="10"/>
  <c r="H60" i="10"/>
  <c r="Z60" i="10"/>
  <c r="AL60" i="10"/>
  <c r="AH60" i="10"/>
  <c r="AW60" i="10"/>
  <c r="AV60" i="10"/>
  <c r="AA60" i="10"/>
  <c r="AJ60" i="10"/>
  <c r="S60" i="10"/>
  <c r="K60" i="10"/>
  <c r="AC60" i="10"/>
  <c r="V60" i="10"/>
  <c r="M60" i="10"/>
  <c r="BA60" i="10"/>
  <c r="BH60" i="10"/>
  <c r="Y60" i="10"/>
  <c r="AF60" i="10"/>
  <c r="BB60" i="10"/>
  <c r="AY60" i="10"/>
  <c r="AZ60" i="10"/>
  <c r="U60" i="10"/>
  <c r="BD60" i="10"/>
  <c r="AU60" i="10"/>
  <c r="BI2" i="1"/>
  <c r="BI10" i="1" s="1"/>
  <c r="I60" i="10"/>
  <c r="G60" i="10"/>
  <c r="J60" i="10"/>
  <c r="X60" i="10"/>
  <c r="AK60" i="10"/>
  <c r="BC60" i="10"/>
  <c r="AN60" i="10"/>
  <c r="AE60" i="10"/>
  <c r="BI5" i="1" l="1"/>
  <c r="BI9" i="1" s="1"/>
  <c r="BI60" i="10" a="1"/>
  <c r="BI60" i="10" s="1"/>
  <c r="BI7" i="1" l="1"/>
  <c r="BI8" i="1" s="1"/>
  <c r="BJ2" i="1"/>
  <c r="BJ5" i="1" s="1"/>
  <c r="BJ9" i="1" s="1"/>
  <c r="BJ6" i="1"/>
  <c r="B61" i="10"/>
  <c r="BJ10" i="1" l="1"/>
  <c r="BJ7" i="1"/>
  <c r="AO61" i="10"/>
  <c r="AT61" i="10"/>
  <c r="AA61" i="10"/>
  <c r="N61" i="10"/>
  <c r="BG61" i="10"/>
  <c r="AE61" i="10"/>
  <c r="T61" i="10"/>
  <c r="Q61" i="10"/>
  <c r="AU61" i="10"/>
  <c r="AV61" i="10"/>
  <c r="BD61" i="10"/>
  <c r="AS61" i="10"/>
  <c r="AN61" i="10"/>
  <c r="AZ61" i="10"/>
  <c r="AQ61" i="10"/>
  <c r="AM61" i="10"/>
  <c r="BH61" i="10"/>
  <c r="L61" i="10"/>
  <c r="BF61" i="10"/>
  <c r="AL61" i="10"/>
  <c r="J61" i="10"/>
  <c r="I61" i="10"/>
  <c r="BE61" i="10"/>
  <c r="H61" i="10"/>
  <c r="AR61" i="10"/>
  <c r="AH61" i="10"/>
  <c r="AY61" i="10"/>
  <c r="BI61" i="10"/>
  <c r="Z61" i="10"/>
  <c r="AK61" i="10"/>
  <c r="R61" i="10"/>
  <c r="AF61" i="10"/>
  <c r="F61" i="10"/>
  <c r="BA61" i="10"/>
  <c r="AW61" i="10"/>
  <c r="G61" i="10"/>
  <c r="W61" i="10"/>
  <c r="S61" i="10"/>
  <c r="BB61" i="10"/>
  <c r="AI61" i="10"/>
  <c r="V61" i="10"/>
  <c r="AX61" i="10"/>
  <c r="U61" i="10"/>
  <c r="BC61" i="10"/>
  <c r="AP61" i="10"/>
  <c r="K61" i="10"/>
  <c r="AC61" i="10"/>
  <c r="AJ61" i="10"/>
  <c r="D61" i="10"/>
  <c r="AD61" i="10"/>
  <c r="AB61" i="10"/>
  <c r="E61" i="10"/>
  <c r="C61" i="10"/>
  <c r="O61" i="10"/>
  <c r="P61" i="10"/>
  <c r="AG61" i="10"/>
  <c r="Y61" i="10"/>
  <c r="X61" i="10"/>
  <c r="M61" i="10"/>
  <c r="BJ61" i="10" l="1" a="1"/>
  <c r="BJ61" i="10" s="1"/>
  <c r="BK2" i="1"/>
  <c r="BK5" i="1" s="1"/>
  <c r="BK9" i="1" s="1"/>
  <c r="BJ8" i="1"/>
  <c r="BK6" i="1"/>
  <c r="B62" i="10"/>
  <c r="BK7" i="1" l="1"/>
  <c r="AE62" i="10"/>
  <c r="D62" i="10"/>
  <c r="BG62" i="10"/>
  <c r="BI62" i="10"/>
  <c r="R62" i="10"/>
  <c r="BB62" i="10"/>
  <c r="AD62" i="10"/>
  <c r="AJ62" i="10"/>
  <c r="E62" i="10"/>
  <c r="C62" i="10"/>
  <c r="AL62" i="10"/>
  <c r="BE62" i="10"/>
  <c r="BJ62" i="10"/>
  <c r="AK62" i="10"/>
  <c r="T62" i="10"/>
  <c r="AS62" i="10"/>
  <c r="AT62" i="10"/>
  <c r="Z62" i="10"/>
  <c r="AQ62" i="10"/>
  <c r="K62" i="10"/>
  <c r="J62" i="10"/>
  <c r="Q62" i="10"/>
  <c r="AA62" i="10"/>
  <c r="Y62" i="10"/>
  <c r="L62" i="10"/>
  <c r="N62" i="10"/>
  <c r="AB62" i="10"/>
  <c r="P62" i="10"/>
  <c r="AC62" i="10"/>
  <c r="AX62" i="10"/>
  <c r="BD62" i="10"/>
  <c r="AU62" i="10"/>
  <c r="G62" i="10"/>
  <c r="BH62" i="10"/>
  <c r="AR62" i="10"/>
  <c r="AG62" i="10"/>
  <c r="O62" i="10"/>
  <c r="AM62" i="10"/>
  <c r="AV62" i="10"/>
  <c r="BA62" i="10"/>
  <c r="I62" i="10"/>
  <c r="S62" i="10"/>
  <c r="AN62" i="10"/>
  <c r="AZ62" i="10"/>
  <c r="AF62" i="10"/>
  <c r="AY62" i="10"/>
  <c r="AI62" i="10"/>
  <c r="BF62" i="10"/>
  <c r="V62" i="10"/>
  <c r="BC62" i="10"/>
  <c r="H62" i="10"/>
  <c r="AW62" i="10"/>
  <c r="U62" i="10"/>
  <c r="M62" i="10"/>
  <c r="X62" i="10"/>
  <c r="AP62" i="10"/>
  <c r="AO62" i="10"/>
  <c r="W62" i="10"/>
  <c r="AH62" i="10"/>
  <c r="F62" i="10"/>
  <c r="BK10" i="1"/>
  <c r="BK62" i="10" l="1" a="1"/>
  <c r="BK62" i="10" s="1"/>
  <c r="BK8" i="1"/>
  <c r="BL6" i="1"/>
  <c r="B63" i="10"/>
  <c r="BL2" i="1"/>
  <c r="BL10" i="1" s="1"/>
  <c r="BL5" i="1" l="1"/>
  <c r="BL9" i="1" s="1"/>
  <c r="AY63" i="10"/>
  <c r="BG63" i="10"/>
  <c r="AA63" i="10"/>
  <c r="Z63" i="10"/>
  <c r="AT63" i="10"/>
  <c r="AR63" i="10"/>
  <c r="I63" i="10"/>
  <c r="S63" i="10"/>
  <c r="AO63" i="10"/>
  <c r="AH63" i="10"/>
  <c r="AB63" i="10"/>
  <c r="AP63" i="10"/>
  <c r="BF63" i="10"/>
  <c r="AK63" i="10"/>
  <c r="T63" i="10"/>
  <c r="AN63" i="10"/>
  <c r="X63" i="10"/>
  <c r="M63" i="10"/>
  <c r="K63" i="10"/>
  <c r="C63" i="10"/>
  <c r="AS63" i="10"/>
  <c r="AW63" i="10"/>
  <c r="AV63" i="10"/>
  <c r="AL63" i="10"/>
  <c r="W63" i="10"/>
  <c r="J63" i="10"/>
  <c r="D63" i="10"/>
  <c r="AI63" i="10"/>
  <c r="H63" i="10"/>
  <c r="Y63" i="10"/>
  <c r="BH63" i="10"/>
  <c r="AQ63" i="10"/>
  <c r="AG63" i="10"/>
  <c r="BJ63" i="10"/>
  <c r="BC63" i="10"/>
  <c r="F63" i="10"/>
  <c r="BD63" i="10"/>
  <c r="AX63" i="10"/>
  <c r="E63" i="10"/>
  <c r="AZ63" i="10"/>
  <c r="G63" i="10"/>
  <c r="L63" i="10"/>
  <c r="O63" i="10"/>
  <c r="BE63" i="10"/>
  <c r="AU63" i="10"/>
  <c r="AC63" i="10"/>
  <c r="Q63" i="10"/>
  <c r="AE63" i="10"/>
  <c r="BA63" i="10"/>
  <c r="AM63" i="10"/>
  <c r="AJ63" i="10"/>
  <c r="R63" i="10"/>
  <c r="N63" i="10"/>
  <c r="P63" i="10"/>
  <c r="BI63" i="10"/>
  <c r="AD63" i="10"/>
  <c r="AF63" i="10"/>
  <c r="BB63" i="10"/>
  <c r="U63" i="10"/>
  <c r="V63" i="10"/>
  <c r="BK63" i="10"/>
  <c r="BL63" i="10" l="1" a="1"/>
  <c r="BL63" i="10" s="1"/>
  <c r="BL7" i="1"/>
  <c r="BL8" i="1" l="1"/>
  <c r="BM6" i="1"/>
  <c r="B64" i="10"/>
  <c r="BM2" i="1"/>
  <c r="BM10" i="1" s="1"/>
  <c r="BM5" i="1" l="1"/>
  <c r="BM9" i="1" s="1"/>
  <c r="L64" i="10"/>
  <c r="F64" i="10"/>
  <c r="BK64" i="10"/>
  <c r="O64" i="10"/>
  <c r="BB64" i="10"/>
  <c r="AX64" i="10"/>
  <c r="AK64" i="10"/>
  <c r="BA64" i="10"/>
  <c r="AD64" i="10"/>
  <c r="C64" i="10"/>
  <c r="AR64" i="10"/>
  <c r="H64" i="10"/>
  <c r="D64" i="10"/>
  <c r="AM64" i="10"/>
  <c r="AI64" i="10"/>
  <c r="BI64" i="10"/>
  <c r="AE64" i="10"/>
  <c r="Y64" i="10"/>
  <c r="AV64" i="10"/>
  <c r="BH64" i="10"/>
  <c r="AW64" i="10"/>
  <c r="BG64" i="10"/>
  <c r="AU64" i="10"/>
  <c r="AN64" i="10"/>
  <c r="J64" i="10"/>
  <c r="T64" i="10"/>
  <c r="S64" i="10"/>
  <c r="AY64" i="10"/>
  <c r="AH64" i="10"/>
  <c r="AB64" i="10"/>
  <c r="AC64" i="10"/>
  <c r="AA64" i="10"/>
  <c r="BE64" i="10"/>
  <c r="AS64" i="10"/>
  <c r="BJ64" i="10"/>
  <c r="E64" i="10"/>
  <c r="BF64" i="10"/>
  <c r="AZ64" i="10"/>
  <c r="AF64" i="10"/>
  <c r="W64" i="10"/>
  <c r="BC64" i="10"/>
  <c r="BD64" i="10"/>
  <c r="I64" i="10"/>
  <c r="G64" i="10"/>
  <c r="V64" i="10"/>
  <c r="U64" i="10"/>
  <c r="AJ64" i="10"/>
  <c r="Q64" i="10"/>
  <c r="AL64" i="10"/>
  <c r="K64" i="10"/>
  <c r="AO64" i="10"/>
  <c r="N64" i="10"/>
  <c r="P64" i="10"/>
  <c r="AQ64" i="10"/>
  <c r="AT64" i="10"/>
  <c r="R64" i="10"/>
  <c r="AP64" i="10"/>
  <c r="AG64" i="10"/>
  <c r="M64" i="10"/>
  <c r="Z64" i="10"/>
  <c r="X64" i="10"/>
  <c r="BL64" i="10"/>
  <c r="BM64" i="10" l="1" a="1"/>
  <c r="BM64" i="10" s="1"/>
  <c r="BM7" i="1"/>
  <c r="BN6" i="1" l="1"/>
  <c r="B65" i="10"/>
  <c r="BM8" i="1"/>
  <c r="BN2" i="1"/>
  <c r="BN10" i="1" s="1"/>
  <c r="BN5" i="1" l="1"/>
  <c r="BN9" i="1" s="1"/>
  <c r="AY65" i="10"/>
  <c r="Z65" i="10"/>
  <c r="AB65" i="10"/>
  <c r="I65" i="10"/>
  <c r="BH65" i="10"/>
  <c r="G65" i="10"/>
  <c r="J65" i="10"/>
  <c r="W65" i="10"/>
  <c r="AG65" i="10"/>
  <c r="AQ65" i="10"/>
  <c r="AZ65" i="10"/>
  <c r="L65" i="10"/>
  <c r="AT65" i="10"/>
  <c r="D65" i="10"/>
  <c r="T65" i="10"/>
  <c r="BG65" i="10"/>
  <c r="H65" i="10"/>
  <c r="AR65" i="10"/>
  <c r="AW65" i="10"/>
  <c r="AC65" i="10"/>
  <c r="C65" i="10"/>
  <c r="N65" i="10"/>
  <c r="AK65" i="10"/>
  <c r="AE65" i="10"/>
  <c r="F65" i="10"/>
  <c r="M65" i="10"/>
  <c r="AP65" i="10"/>
  <c r="BL65" i="10"/>
  <c r="AL65" i="10"/>
  <c r="BI65" i="10"/>
  <c r="E65" i="10"/>
  <c r="BJ65" i="10"/>
  <c r="K65" i="10"/>
  <c r="AM65" i="10"/>
  <c r="AA65" i="10"/>
  <c r="BD65" i="10"/>
  <c r="BC65" i="10"/>
  <c r="BA65" i="10"/>
  <c r="X65" i="10"/>
  <c r="U65" i="10"/>
  <c r="P65" i="10"/>
  <c r="AF65" i="10"/>
  <c r="BK65" i="10"/>
  <c r="V65" i="10"/>
  <c r="AX65" i="10"/>
  <c r="R65" i="10"/>
  <c r="AI65" i="10"/>
  <c r="O65" i="10"/>
  <c r="S65" i="10"/>
  <c r="AS65" i="10"/>
  <c r="AN65" i="10"/>
  <c r="Q65" i="10"/>
  <c r="AJ65" i="10"/>
  <c r="AD65" i="10"/>
  <c r="AH65" i="10"/>
  <c r="BF65" i="10"/>
  <c r="AO65" i="10"/>
  <c r="AU65" i="10"/>
  <c r="Y65" i="10"/>
  <c r="BE65" i="10"/>
  <c r="BB65" i="10"/>
  <c r="AV65" i="10"/>
  <c r="BM65" i="10"/>
  <c r="BN65" i="10" l="1" a="1"/>
  <c r="BN65" i="10" s="1"/>
  <c r="BN7" i="1"/>
  <c r="BO6" i="1" l="1"/>
  <c r="BN8" i="1"/>
  <c r="B66" i="10"/>
  <c r="BN66" i="10" s="1"/>
  <c r="BO2" i="1"/>
  <c r="BO10" i="1" s="1"/>
  <c r="BO5" i="1" l="1"/>
  <c r="V66" i="10"/>
  <c r="AC66" i="10"/>
  <c r="C66" i="10"/>
  <c r="AW66" i="10"/>
  <c r="AV66" i="10"/>
  <c r="AK66" i="10"/>
  <c r="X66" i="10"/>
  <c r="BE66" i="10"/>
  <c r="AN66" i="10"/>
  <c r="N66" i="10"/>
  <c r="BG66" i="10"/>
  <c r="AU66" i="10"/>
  <c r="AO66" i="10"/>
  <c r="AS66" i="10"/>
  <c r="AJ66" i="10"/>
  <c r="BJ66" i="10"/>
  <c r="BL66" i="10"/>
  <c r="O66" i="10"/>
  <c r="AX66" i="10"/>
  <c r="AF66" i="10"/>
  <c r="BD66" i="10"/>
  <c r="BA66" i="10"/>
  <c r="W66" i="10"/>
  <c r="AI66" i="10"/>
  <c r="AH66" i="10"/>
  <c r="F66" i="10"/>
  <c r="BH66" i="10"/>
  <c r="AQ66" i="10"/>
  <c r="BB66" i="10"/>
  <c r="U66" i="10"/>
  <c r="G66" i="10"/>
  <c r="K66" i="10"/>
  <c r="AP66" i="10"/>
  <c r="Z66" i="10"/>
  <c r="AM66" i="10"/>
  <c r="H66" i="10"/>
  <c r="M66" i="10"/>
  <c r="AE66" i="10"/>
  <c r="Q66" i="10"/>
  <c r="AT66" i="10"/>
  <c r="T66" i="10"/>
  <c r="BF66" i="10"/>
  <c r="E66" i="10"/>
  <c r="AB66" i="10"/>
  <c r="AZ66" i="10"/>
  <c r="BC66" i="10"/>
  <c r="BK66" i="10"/>
  <c r="R66" i="10"/>
  <c r="AL66" i="10"/>
  <c r="S66" i="10"/>
  <c r="AA66" i="10"/>
  <c r="P66" i="10"/>
  <c r="D66" i="10"/>
  <c r="J66" i="10"/>
  <c r="AG66" i="10"/>
  <c r="BI66" i="10"/>
  <c r="AY66" i="10"/>
  <c r="I66" i="10"/>
  <c r="Y66" i="10"/>
  <c r="AR66" i="10"/>
  <c r="L66" i="10"/>
  <c r="BM66" i="10"/>
  <c r="AD66" i="10"/>
  <c r="BO66" i="10" l="1" a="1"/>
  <c r="BO66" i="10" s="1"/>
  <c r="BO7" i="1"/>
  <c r="BO9" i="1"/>
  <c r="BP2" i="1" s="1"/>
  <c r="BP10" i="1" l="1"/>
  <c r="BO8" i="1"/>
  <c r="BP6" i="1"/>
  <c r="B67" i="10"/>
  <c r="BP5" i="1"/>
  <c r="BP9" i="1" s="1"/>
  <c r="BN67" i="10" l="1"/>
  <c r="R67" i="10"/>
  <c r="AQ67" i="10"/>
  <c r="AZ67" i="10"/>
  <c r="BI67" i="10"/>
  <c r="N67" i="10"/>
  <c r="BL67" i="10"/>
  <c r="AI67" i="10"/>
  <c r="AL67" i="10"/>
  <c r="BM67" i="10"/>
  <c r="S67" i="10"/>
  <c r="BG67" i="10"/>
  <c r="G67" i="10"/>
  <c r="AJ67" i="10"/>
  <c r="I67" i="10"/>
  <c r="AT67" i="10"/>
  <c r="AR67" i="10"/>
  <c r="AS67" i="10"/>
  <c r="BJ67" i="10"/>
  <c r="AN67" i="10"/>
  <c r="AE67" i="10"/>
  <c r="D67" i="10"/>
  <c r="BA67" i="10"/>
  <c r="BF67" i="10"/>
  <c r="Z67" i="10"/>
  <c r="W67" i="10"/>
  <c r="O67" i="10"/>
  <c r="X67" i="10"/>
  <c r="E67" i="10"/>
  <c r="AD67" i="10"/>
  <c r="T67" i="10"/>
  <c r="F67" i="10"/>
  <c r="AO67" i="10"/>
  <c r="AM67" i="10"/>
  <c r="K67" i="10"/>
  <c r="AV67" i="10"/>
  <c r="C67" i="10"/>
  <c r="L67" i="10"/>
  <c r="AF67" i="10"/>
  <c r="AU67" i="10"/>
  <c r="H67" i="10"/>
  <c r="U67" i="10"/>
  <c r="BH67" i="10"/>
  <c r="AX67" i="10"/>
  <c r="AB67" i="10"/>
  <c r="AG67" i="10"/>
  <c r="BB67" i="10"/>
  <c r="AA67" i="10"/>
  <c r="BC67" i="10"/>
  <c r="BO67" i="10"/>
  <c r="AW67" i="10"/>
  <c r="M67" i="10"/>
  <c r="AK67" i="10"/>
  <c r="P67" i="10"/>
  <c r="J67" i="10"/>
  <c r="Q67" i="10"/>
  <c r="AC67" i="10"/>
  <c r="BK67" i="10"/>
  <c r="V67" i="10"/>
  <c r="BD67" i="10"/>
  <c r="Y67" i="10"/>
  <c r="AY67" i="10"/>
  <c r="BE67" i="10"/>
  <c r="AH67" i="10"/>
  <c r="AP67" i="10"/>
  <c r="BP7" i="1"/>
  <c r="BP67" i="10" l="1" a="1"/>
  <c r="BP67" i="10" s="1"/>
  <c r="BQ2" i="1"/>
  <c r="BQ5" i="1" s="1"/>
  <c r="BQ9" i="1" s="1"/>
  <c r="BQ6" i="1"/>
  <c r="B68" i="10"/>
  <c r="BP8" i="1"/>
  <c r="BQ10" i="1"/>
  <c r="BQ7" i="1" l="1"/>
  <c r="Z68" i="10"/>
  <c r="AL68" i="10"/>
  <c r="BF68" i="10"/>
  <c r="C68" i="10"/>
  <c r="S68" i="10"/>
  <c r="AC68" i="10"/>
  <c r="BL68" i="10"/>
  <c r="Y68" i="10"/>
  <c r="H68" i="10"/>
  <c r="D68" i="10"/>
  <c r="BK68" i="10"/>
  <c r="V68" i="10"/>
  <c r="AQ68" i="10"/>
  <c r="AI68" i="10"/>
  <c r="BP68" i="10"/>
  <c r="AU68" i="10"/>
  <c r="BO68" i="10"/>
  <c r="BE68" i="10"/>
  <c r="E68" i="10"/>
  <c r="O68" i="10"/>
  <c r="L68" i="10"/>
  <c r="AV68" i="10"/>
  <c r="BN68" i="10"/>
  <c r="X68" i="10"/>
  <c r="AY68" i="10"/>
  <c r="BM68" i="10"/>
  <c r="AJ68" i="10"/>
  <c r="F68" i="10"/>
  <c r="BD68" i="10"/>
  <c r="AT68" i="10"/>
  <c r="BC68" i="10"/>
  <c r="AS68" i="10"/>
  <c r="G68" i="10"/>
  <c r="AD68" i="10"/>
  <c r="AA68" i="10"/>
  <c r="R68" i="10"/>
  <c r="BH68" i="10"/>
  <c r="AK68" i="10"/>
  <c r="AF68" i="10"/>
  <c r="AP68" i="10"/>
  <c r="BB68" i="10"/>
  <c r="AM68" i="10"/>
  <c r="I68" i="10"/>
  <c r="AW68" i="10"/>
  <c r="BJ68" i="10"/>
  <c r="AR68" i="10"/>
  <c r="K68" i="10"/>
  <c r="AO68" i="10"/>
  <c r="U68" i="10"/>
  <c r="M68" i="10"/>
  <c r="BA68" i="10"/>
  <c r="T68" i="10"/>
  <c r="AB68" i="10"/>
  <c r="N68" i="10"/>
  <c r="AN68" i="10"/>
  <c r="J68" i="10"/>
  <c r="AE68" i="10"/>
  <c r="P68" i="10"/>
  <c r="Q68" i="10"/>
  <c r="BI68" i="10"/>
  <c r="AG68" i="10"/>
  <c r="W68" i="10"/>
  <c r="AX68" i="10"/>
  <c r="AH68" i="10"/>
  <c r="AZ68" i="10"/>
  <c r="BG68" i="10"/>
  <c r="BQ68" i="10" l="1" a="1"/>
  <c r="BQ68" i="10" s="1"/>
  <c r="BQ8" i="1"/>
  <c r="BR6" i="1"/>
  <c r="B69" i="10"/>
  <c r="BR2" i="1"/>
  <c r="BR10" i="1" s="1"/>
  <c r="BR5" i="1" l="1"/>
  <c r="BR9" i="1" s="1"/>
  <c r="BO69" i="10"/>
  <c r="BE69" i="10"/>
  <c r="K69" i="10"/>
  <c r="Y69" i="10"/>
  <c r="AB69" i="10"/>
  <c r="BA69" i="10"/>
  <c r="AH69" i="10"/>
  <c r="BH69" i="10"/>
  <c r="AD69" i="10"/>
  <c r="BB69" i="10"/>
  <c r="Q69" i="10"/>
  <c r="L69" i="10"/>
  <c r="AE69" i="10"/>
  <c r="F69" i="10"/>
  <c r="N69" i="10"/>
  <c r="H69" i="10"/>
  <c r="C69" i="10"/>
  <c r="AF69" i="10"/>
  <c r="BN69" i="10"/>
  <c r="BP69" i="10"/>
  <c r="AM69" i="10"/>
  <c r="G69" i="10"/>
  <c r="U69" i="10"/>
  <c r="AG69" i="10"/>
  <c r="AO69" i="10"/>
  <c r="I69" i="10"/>
  <c r="BC69" i="10"/>
  <c r="BG69" i="10"/>
  <c r="AV69" i="10"/>
  <c r="BM69" i="10"/>
  <c r="X69" i="10"/>
  <c r="AR69" i="10"/>
  <c r="AQ69" i="10"/>
  <c r="Z69" i="10"/>
  <c r="AU69" i="10"/>
  <c r="BJ69" i="10"/>
  <c r="AA69" i="10"/>
  <c r="AK69" i="10"/>
  <c r="BI69" i="10"/>
  <c r="AZ69" i="10"/>
  <c r="AY69" i="10"/>
  <c r="AS69" i="10"/>
  <c r="R69" i="10"/>
  <c r="AC69" i="10"/>
  <c r="AT69" i="10"/>
  <c r="S69" i="10"/>
  <c r="AL69" i="10"/>
  <c r="M69" i="10"/>
  <c r="V69" i="10"/>
  <c r="AP69" i="10"/>
  <c r="D69" i="10"/>
  <c r="AX69" i="10"/>
  <c r="AN69" i="10"/>
  <c r="BK69" i="10"/>
  <c r="P69" i="10"/>
  <c r="AI69" i="10"/>
  <c r="E69" i="10"/>
  <c r="BL69" i="10"/>
  <c r="BD69" i="10"/>
  <c r="AW69" i="10"/>
  <c r="T69" i="10"/>
  <c r="BF69" i="10"/>
  <c r="W69" i="10"/>
  <c r="O69" i="10"/>
  <c r="AJ69" i="10"/>
  <c r="J69" i="10"/>
  <c r="BQ69" i="10"/>
  <c r="BR69" i="10" l="1" a="1"/>
  <c r="BR69" i="10" s="1"/>
  <c r="BR7" i="1"/>
  <c r="BS2" i="1" l="1"/>
  <c r="BS5" i="1" s="1"/>
  <c r="BS9" i="1" s="1"/>
  <c r="BR8" i="1"/>
  <c r="BS6" i="1"/>
  <c r="B70" i="10"/>
  <c r="BR70" i="10" s="1"/>
  <c r="BS10" i="1" l="1"/>
  <c r="BS7" i="1"/>
  <c r="AR70" i="10"/>
  <c r="U70" i="10"/>
  <c r="AP70" i="10"/>
  <c r="AF70" i="10"/>
  <c r="X70" i="10"/>
  <c r="Q70" i="10"/>
  <c r="C70" i="10"/>
  <c r="BS70" i="10" s="1" a="1"/>
  <c r="BS70" i="10" s="1"/>
  <c r="Z70" i="10"/>
  <c r="F70" i="10"/>
  <c r="BC70" i="10"/>
  <c r="T70" i="10"/>
  <c r="AK70" i="10"/>
  <c r="BN70" i="10"/>
  <c r="BJ70" i="10"/>
  <c r="BA70" i="10"/>
  <c r="AH70" i="10"/>
  <c r="AU70" i="10"/>
  <c r="M70" i="10"/>
  <c r="BP70" i="10"/>
  <c r="G70" i="10"/>
  <c r="V70" i="10"/>
  <c r="AN70" i="10"/>
  <c r="BQ70" i="10"/>
  <c r="AS70" i="10"/>
  <c r="R70" i="10"/>
  <c r="J70" i="10"/>
  <c r="BB70" i="10"/>
  <c r="D70" i="10"/>
  <c r="BF70" i="10"/>
  <c r="P70" i="10"/>
  <c r="O70" i="10"/>
  <c r="AD70" i="10"/>
  <c r="BM70" i="10"/>
  <c r="AJ70" i="10"/>
  <c r="AX70" i="10"/>
  <c r="Y70" i="10"/>
  <c r="AA70" i="10"/>
  <c r="AB70" i="10"/>
  <c r="K70" i="10"/>
  <c r="AM70" i="10"/>
  <c r="AZ70" i="10"/>
  <c r="AW70" i="10"/>
  <c r="BK70" i="10"/>
  <c r="E70" i="10"/>
  <c r="W70" i="10"/>
  <c r="L70" i="10"/>
  <c r="AI70" i="10"/>
  <c r="AY70" i="10"/>
  <c r="BH70" i="10"/>
  <c r="BO70" i="10"/>
  <c r="BD70" i="10"/>
  <c r="AV70" i="10"/>
  <c r="S70" i="10"/>
  <c r="AL70" i="10"/>
  <c r="BL70" i="10"/>
  <c r="AC70" i="10"/>
  <c r="BI70" i="10"/>
  <c r="AE70" i="10"/>
  <c r="N70" i="10"/>
  <c r="AQ70" i="10"/>
  <c r="AO70" i="10"/>
  <c r="AG70" i="10"/>
  <c r="H70" i="10"/>
  <c r="BG70" i="10"/>
  <c r="BE70" i="10"/>
  <c r="I70" i="10"/>
  <c r="AT70" i="10"/>
  <c r="B71" i="10" l="1"/>
  <c r="BS8" i="1"/>
  <c r="BT6" i="1"/>
  <c r="BT2" i="1"/>
  <c r="BT10" i="1" s="1"/>
  <c r="BT5" i="1" l="1"/>
  <c r="BT9" i="1" s="1"/>
  <c r="BL71" i="10"/>
  <c r="X71" i="10"/>
  <c r="BJ71" i="10"/>
  <c r="BA71" i="10"/>
  <c r="D71" i="10"/>
  <c r="BI71" i="10"/>
  <c r="AI71" i="10"/>
  <c r="AV71" i="10"/>
  <c r="C71" i="10"/>
  <c r="AL71" i="10"/>
  <c r="O71" i="10"/>
  <c r="BD71" i="10"/>
  <c r="M71" i="10"/>
  <c r="AH71" i="10"/>
  <c r="AN71" i="10"/>
  <c r="P71" i="10"/>
  <c r="J71" i="10"/>
  <c r="BC71" i="10"/>
  <c r="W71" i="10"/>
  <c r="AM71" i="10"/>
  <c r="AY71" i="10"/>
  <c r="AE71" i="10"/>
  <c r="AS71" i="10"/>
  <c r="BE71" i="10"/>
  <c r="BH71" i="10"/>
  <c r="H71" i="10"/>
  <c r="K71" i="10"/>
  <c r="I71" i="10"/>
  <c r="AG71" i="10"/>
  <c r="L71" i="10"/>
  <c r="BO71" i="10"/>
  <c r="AO71" i="10"/>
  <c r="BM71" i="10"/>
  <c r="G71" i="10"/>
  <c r="U71" i="10"/>
  <c r="E71" i="10"/>
  <c r="S71" i="10"/>
  <c r="AD71" i="10"/>
  <c r="Q71" i="10"/>
  <c r="AQ71" i="10"/>
  <c r="AC71" i="10"/>
  <c r="BG71" i="10"/>
  <c r="BR71" i="10"/>
  <c r="T71" i="10"/>
  <c r="R71" i="10"/>
  <c r="BN71" i="10"/>
  <c r="Z71" i="10"/>
  <c r="AF71" i="10"/>
  <c r="BP71" i="10"/>
  <c r="AK71" i="10"/>
  <c r="AA71" i="10"/>
  <c r="Y71" i="10"/>
  <c r="AZ71" i="10"/>
  <c r="AT71" i="10"/>
  <c r="AU71" i="10"/>
  <c r="BF71" i="10"/>
  <c r="AP71" i="10"/>
  <c r="AX71" i="10"/>
  <c r="N71" i="10"/>
  <c r="BB71" i="10"/>
  <c r="BQ71" i="10"/>
  <c r="AB71" i="10"/>
  <c r="F71" i="10"/>
  <c r="AR71" i="10"/>
  <c r="AJ71" i="10"/>
  <c r="V71" i="10"/>
  <c r="AW71" i="10"/>
  <c r="BK71" i="10"/>
  <c r="BS71" i="10"/>
  <c r="BT71" i="10" l="1" a="1"/>
  <c r="BT71" i="10" s="1"/>
  <c r="BT7" i="1"/>
  <c r="B72" i="10" l="1"/>
  <c r="BT72" i="10" s="1"/>
  <c r="BU6" i="1"/>
  <c r="BT8" i="1"/>
  <c r="BU2" i="1"/>
  <c r="BU10" i="1" s="1"/>
  <c r="BU5" i="1" l="1"/>
  <c r="BU9" i="1" s="1"/>
  <c r="AM72" i="10"/>
  <c r="AZ72" i="10"/>
  <c r="AG72" i="10"/>
  <c r="N72" i="10"/>
  <c r="AV72" i="10"/>
  <c r="AI72" i="10"/>
  <c r="R72" i="10"/>
  <c r="BD72" i="10"/>
  <c r="M72" i="10"/>
  <c r="H72" i="10"/>
  <c r="O72" i="10"/>
  <c r="BR72" i="10"/>
  <c r="Q72" i="10"/>
  <c r="U72" i="10"/>
  <c r="AW72" i="10"/>
  <c r="K72" i="10"/>
  <c r="AD72" i="10"/>
  <c r="AS72" i="10"/>
  <c r="AN72" i="10"/>
  <c r="BA72" i="10"/>
  <c r="BG72" i="10"/>
  <c r="AP72" i="10"/>
  <c r="C72" i="10"/>
  <c r="BU72" i="10" s="1" a="1"/>
  <c r="BU72" i="10" s="1"/>
  <c r="AY72" i="10"/>
  <c r="AC72" i="10"/>
  <c r="AQ72" i="10"/>
  <c r="AE72" i="10"/>
  <c r="BH72" i="10"/>
  <c r="E72" i="10"/>
  <c r="BN72" i="10"/>
  <c r="BM72" i="10"/>
  <c r="BP72" i="10"/>
  <c r="D72" i="10"/>
  <c r="BS72" i="10"/>
  <c r="BL72" i="10"/>
  <c r="AK72" i="10"/>
  <c r="J72" i="10"/>
  <c r="F72" i="10"/>
  <c r="AX72" i="10"/>
  <c r="BE72" i="10"/>
  <c r="G72" i="10"/>
  <c r="BF72" i="10"/>
  <c r="BC72" i="10"/>
  <c r="W72" i="10"/>
  <c r="BK72" i="10"/>
  <c r="AU72" i="10"/>
  <c r="P72" i="10"/>
  <c r="BI72" i="10"/>
  <c r="L72" i="10"/>
  <c r="BJ72" i="10"/>
  <c r="AJ72" i="10"/>
  <c r="AT72" i="10"/>
  <c r="I72" i="10"/>
  <c r="AF72" i="10"/>
  <c r="AO72" i="10"/>
  <c r="AA72" i="10"/>
  <c r="T72" i="10"/>
  <c r="S72" i="10"/>
  <c r="X72" i="10"/>
  <c r="BO72" i="10"/>
  <c r="AL72" i="10"/>
  <c r="BB72" i="10"/>
  <c r="Z72" i="10"/>
  <c r="AB72" i="10"/>
  <c r="Y72" i="10"/>
  <c r="BQ72" i="10"/>
  <c r="V72" i="10"/>
  <c r="AH72" i="10"/>
  <c r="AR72" i="10"/>
  <c r="BU7" i="1" l="1"/>
  <c r="BV2" i="1" l="1"/>
  <c r="BV5" i="1" s="1"/>
  <c r="BV9" i="1" s="1"/>
  <c r="BV10" i="1"/>
  <c r="BV6" i="1"/>
  <c r="B73" i="10"/>
  <c r="BU8" i="1"/>
  <c r="BV7" i="1" l="1"/>
  <c r="Q73" i="10"/>
  <c r="BT73" i="10"/>
  <c r="BP73" i="10"/>
  <c r="Z73" i="10"/>
  <c r="T73" i="10"/>
  <c r="AV73" i="10"/>
  <c r="K73" i="10"/>
  <c r="L73" i="10"/>
  <c r="AB73" i="10"/>
  <c r="V73" i="10"/>
  <c r="AO73" i="10"/>
  <c r="AR73" i="10"/>
  <c r="O73" i="10"/>
  <c r="BM73" i="10"/>
  <c r="W73" i="10"/>
  <c r="C73" i="10"/>
  <c r="N73" i="10"/>
  <c r="BS73" i="10"/>
  <c r="H73" i="10"/>
  <c r="AS73" i="10"/>
  <c r="BH73" i="10"/>
  <c r="BG73" i="10"/>
  <c r="M73" i="10"/>
  <c r="AK73" i="10"/>
  <c r="AT73" i="10"/>
  <c r="BN73" i="10"/>
  <c r="BJ73" i="10"/>
  <c r="AH73" i="10"/>
  <c r="BB73" i="10"/>
  <c r="AP73" i="10"/>
  <c r="BF73" i="10"/>
  <c r="J73" i="10"/>
  <c r="F73" i="10"/>
  <c r="AQ73" i="10"/>
  <c r="BA73" i="10"/>
  <c r="AN73" i="10"/>
  <c r="U73" i="10"/>
  <c r="G73" i="10"/>
  <c r="AD73" i="10"/>
  <c r="BO73" i="10"/>
  <c r="AU73" i="10"/>
  <c r="AJ73" i="10"/>
  <c r="BR73" i="10"/>
  <c r="AM73" i="10"/>
  <c r="AC73" i="10"/>
  <c r="BI73" i="10"/>
  <c r="D73" i="10"/>
  <c r="BD73" i="10"/>
  <c r="AE73" i="10"/>
  <c r="AF73" i="10"/>
  <c r="I73" i="10"/>
  <c r="S73" i="10"/>
  <c r="AX73" i="10"/>
  <c r="BC73" i="10"/>
  <c r="X73" i="10"/>
  <c r="P73" i="10"/>
  <c r="E73" i="10"/>
  <c r="AZ73" i="10"/>
  <c r="AG73" i="10"/>
  <c r="AW73" i="10"/>
  <c r="BK73" i="10"/>
  <c r="BL73" i="10"/>
  <c r="R73" i="10"/>
  <c r="AI73" i="10"/>
  <c r="AY73" i="10"/>
  <c r="BQ73" i="10"/>
  <c r="AL73" i="10"/>
  <c r="Y73" i="10"/>
  <c r="BE73" i="10"/>
  <c r="AA73" i="10"/>
  <c r="BU73" i="10"/>
  <c r="BV73" i="10" l="1" a="1"/>
  <c r="BV73" i="10" s="1"/>
  <c r="BV8" i="1"/>
  <c r="B74" i="10"/>
  <c r="BW6" i="1"/>
  <c r="BW2" i="1"/>
  <c r="BW10" i="1" s="1"/>
  <c r="BW5" i="1" l="1"/>
  <c r="BW9" i="1" s="1"/>
  <c r="BI74" i="10"/>
  <c r="BR74" i="10"/>
  <c r="BL74" i="10"/>
  <c r="BC74" i="10"/>
  <c r="V74" i="10"/>
  <c r="AZ74" i="10"/>
  <c r="BP74" i="10"/>
  <c r="C74" i="10"/>
  <c r="BD74" i="10"/>
  <c r="BK74" i="10"/>
  <c r="AO74" i="10"/>
  <c r="AQ74" i="10"/>
  <c r="AV74" i="10"/>
  <c r="AW74" i="10"/>
  <c r="R74" i="10"/>
  <c r="BN74" i="10"/>
  <c r="AY74" i="10"/>
  <c r="BQ74" i="10"/>
  <c r="BS74" i="10"/>
  <c r="G74" i="10"/>
  <c r="AK74" i="10"/>
  <c r="AL74" i="10"/>
  <c r="U74" i="10"/>
  <c r="L74" i="10"/>
  <c r="N74" i="10"/>
  <c r="I74" i="10"/>
  <c r="AX74" i="10"/>
  <c r="O74" i="10"/>
  <c r="BE74" i="10"/>
  <c r="Z74" i="10"/>
  <c r="D74" i="10"/>
  <c r="Y74" i="10"/>
  <c r="M74" i="10"/>
  <c r="AS74" i="10"/>
  <c r="AE74" i="10"/>
  <c r="H74" i="10"/>
  <c r="BF74" i="10"/>
  <c r="W74" i="10"/>
  <c r="AB74" i="10"/>
  <c r="BG74" i="10"/>
  <c r="BJ74" i="10"/>
  <c r="AH74" i="10"/>
  <c r="BH74" i="10"/>
  <c r="T74" i="10"/>
  <c r="AD74" i="10"/>
  <c r="AN74" i="10"/>
  <c r="AC74" i="10"/>
  <c r="AP74" i="10"/>
  <c r="BM74" i="10"/>
  <c r="AF74" i="10"/>
  <c r="F74" i="10"/>
  <c r="BT74" i="10"/>
  <c r="AU74" i="10"/>
  <c r="BO74" i="10"/>
  <c r="Q74" i="10"/>
  <c r="AR74" i="10"/>
  <c r="AA74" i="10"/>
  <c r="AT74" i="10"/>
  <c r="AG74" i="10"/>
  <c r="AI74" i="10"/>
  <c r="AM74" i="10"/>
  <c r="K74" i="10"/>
  <c r="P74" i="10"/>
  <c r="BA74" i="10"/>
  <c r="S74" i="10"/>
  <c r="BB74" i="10"/>
  <c r="X74" i="10"/>
  <c r="AJ74" i="10"/>
  <c r="BU74" i="10"/>
  <c r="E74" i="10"/>
  <c r="J74" i="10"/>
  <c r="BV74" i="10"/>
  <c r="BW74" i="10" l="1" a="1"/>
  <c r="BW74" i="10" s="1"/>
  <c r="BW7" i="1"/>
  <c r="BX2" i="1" l="1"/>
  <c r="BX5" i="1" s="1"/>
  <c r="BX9" i="1" s="1"/>
  <c r="B75" i="10"/>
  <c r="BX10" i="1"/>
  <c r="BW8" i="1"/>
  <c r="BX6" i="1"/>
  <c r="BX7" i="1" l="1"/>
  <c r="AE75" i="10"/>
  <c r="AN75" i="10"/>
  <c r="AF75" i="10"/>
  <c r="AQ75" i="10"/>
  <c r="AX75" i="10"/>
  <c r="AL75" i="10"/>
  <c r="BE75" i="10"/>
  <c r="AY75" i="10"/>
  <c r="D75" i="10"/>
  <c r="G75" i="10"/>
  <c r="W75" i="10"/>
  <c r="Z75" i="10"/>
  <c r="X75" i="10"/>
  <c r="AM75" i="10"/>
  <c r="BV75" i="10"/>
  <c r="BL75" i="10"/>
  <c r="AB75" i="10"/>
  <c r="Y75" i="10"/>
  <c r="BC75" i="10"/>
  <c r="AT75" i="10"/>
  <c r="BA75" i="10"/>
  <c r="BI75" i="10"/>
  <c r="N75" i="10"/>
  <c r="AP75" i="10"/>
  <c r="BW75" i="10"/>
  <c r="F75" i="10"/>
  <c r="M75" i="10"/>
  <c r="BH75" i="10"/>
  <c r="AZ75" i="10"/>
  <c r="E75" i="10"/>
  <c r="BU75" i="10"/>
  <c r="BK75" i="10"/>
  <c r="BJ75" i="10"/>
  <c r="AA75" i="10"/>
  <c r="AR75" i="10"/>
  <c r="AJ75" i="10"/>
  <c r="O75" i="10"/>
  <c r="V75" i="10"/>
  <c r="AG75" i="10"/>
  <c r="BD75" i="10"/>
  <c r="BT75" i="10"/>
  <c r="BN75" i="10"/>
  <c r="AC75" i="10"/>
  <c r="AW75" i="10"/>
  <c r="AI75" i="10"/>
  <c r="BM75" i="10"/>
  <c r="P75" i="10"/>
  <c r="K75" i="10"/>
  <c r="I75" i="10"/>
  <c r="BO75" i="10"/>
  <c r="BB75" i="10"/>
  <c r="BP75" i="10"/>
  <c r="BG75" i="10"/>
  <c r="L75" i="10"/>
  <c r="BQ75" i="10"/>
  <c r="U75" i="10"/>
  <c r="BR75" i="10"/>
  <c r="T75" i="10"/>
  <c r="S75" i="10"/>
  <c r="H75" i="10"/>
  <c r="C75" i="10"/>
  <c r="BX75" i="10" s="1" a="1"/>
  <c r="BX75" i="10" s="1"/>
  <c r="Q75" i="10"/>
  <c r="AH75" i="10"/>
  <c r="AS75" i="10"/>
  <c r="AD75" i="10"/>
  <c r="J75" i="10"/>
  <c r="AO75" i="10"/>
  <c r="R75" i="10"/>
  <c r="AK75" i="10"/>
  <c r="AU75" i="10"/>
  <c r="BS75" i="10"/>
  <c r="BF75" i="10"/>
  <c r="AV75" i="10"/>
  <c r="BY6" i="1" l="1"/>
  <c r="BX8" i="1"/>
  <c r="B76" i="10"/>
  <c r="BY2" i="1"/>
  <c r="BY10" i="1" s="1"/>
  <c r="BY5" i="1" l="1"/>
  <c r="BY9" i="1" s="1"/>
  <c r="X76" i="10"/>
  <c r="I76" i="10"/>
  <c r="J76" i="10"/>
  <c r="AA76" i="10"/>
  <c r="BG76" i="10"/>
  <c r="M76" i="10"/>
  <c r="T76" i="10"/>
  <c r="AX76" i="10"/>
  <c r="BD76" i="10"/>
  <c r="U76" i="10"/>
  <c r="C76" i="10"/>
  <c r="BL76" i="10"/>
  <c r="N76" i="10"/>
  <c r="BH76" i="10"/>
  <c r="BP76" i="10"/>
  <c r="BM76" i="10"/>
  <c r="G76" i="10"/>
  <c r="V76" i="10"/>
  <c r="AY76" i="10"/>
  <c r="BT76" i="10"/>
  <c r="Z76" i="10"/>
  <c r="Q76" i="10"/>
  <c r="E76" i="10"/>
  <c r="AB76" i="10"/>
  <c r="W76" i="10"/>
  <c r="BB76" i="10"/>
  <c r="AF76" i="10"/>
  <c r="AK76" i="10"/>
  <c r="D76" i="10"/>
  <c r="AE76" i="10"/>
  <c r="BE76" i="10"/>
  <c r="S76" i="10"/>
  <c r="AL76" i="10"/>
  <c r="BN76" i="10"/>
  <c r="BV76" i="10"/>
  <c r="O76" i="10"/>
  <c r="AU76" i="10"/>
  <c r="AT76" i="10"/>
  <c r="AN76" i="10"/>
  <c r="AH76" i="10"/>
  <c r="AI76" i="10"/>
  <c r="BS76" i="10"/>
  <c r="AQ76" i="10"/>
  <c r="AR76" i="10"/>
  <c r="AS76" i="10"/>
  <c r="AC76" i="10"/>
  <c r="AO76" i="10"/>
  <c r="L76" i="10"/>
  <c r="BJ76" i="10"/>
  <c r="AM76" i="10"/>
  <c r="BC76" i="10"/>
  <c r="P76" i="10"/>
  <c r="AV76" i="10"/>
  <c r="BA76" i="10"/>
  <c r="BQ76" i="10"/>
  <c r="BK76" i="10"/>
  <c r="BW76" i="10"/>
  <c r="F76" i="10"/>
  <c r="AD76" i="10"/>
  <c r="BO76" i="10"/>
  <c r="AG76" i="10"/>
  <c r="BU76" i="10"/>
  <c r="BI76" i="10"/>
  <c r="R76" i="10"/>
  <c r="AJ76" i="10"/>
  <c r="K76" i="10"/>
  <c r="BF76" i="10"/>
  <c r="Y76" i="10"/>
  <c r="AZ76" i="10"/>
  <c r="BR76" i="10"/>
  <c r="H76" i="10"/>
  <c r="AW76" i="10"/>
  <c r="AP76" i="10"/>
  <c r="BX76" i="10"/>
  <c r="BY76" i="10" l="1" a="1"/>
  <c r="BY76" i="10" s="1"/>
  <c r="BY7" i="1"/>
  <c r="BY8" i="1" l="1"/>
  <c r="BZ6" i="1"/>
  <c r="B77" i="10"/>
  <c r="BY77" i="10" s="1"/>
  <c r="BZ2" i="1"/>
  <c r="BZ10" i="1" s="1"/>
  <c r="BZ5" i="1" l="1"/>
  <c r="BZ9" i="1" s="1"/>
  <c r="AL77" i="10"/>
  <c r="AY77" i="10"/>
  <c r="O77" i="10"/>
  <c r="AX77" i="10"/>
  <c r="BH77" i="10"/>
  <c r="AQ77" i="10"/>
  <c r="M77" i="10"/>
  <c r="BE77" i="10"/>
  <c r="Q77" i="10"/>
  <c r="U77" i="10"/>
  <c r="AH77" i="10"/>
  <c r="AD77" i="10"/>
  <c r="S77" i="10"/>
  <c r="BA77" i="10"/>
  <c r="BD77" i="10"/>
  <c r="BF77" i="10"/>
  <c r="D77" i="10"/>
  <c r="BS77" i="10"/>
  <c r="H77" i="10"/>
  <c r="G77" i="10"/>
  <c r="BI77" i="10"/>
  <c r="W77" i="10"/>
  <c r="Z77" i="10"/>
  <c r="BU77" i="10"/>
  <c r="AI77" i="10"/>
  <c r="AV77" i="10"/>
  <c r="AZ77" i="10"/>
  <c r="AB77" i="10"/>
  <c r="BC77" i="10"/>
  <c r="AJ77" i="10"/>
  <c r="AA77" i="10"/>
  <c r="BV77" i="10"/>
  <c r="J77" i="10"/>
  <c r="BO77" i="10"/>
  <c r="BP77" i="10"/>
  <c r="BQ77" i="10"/>
  <c r="AU77" i="10"/>
  <c r="AN77" i="10"/>
  <c r="BW77" i="10"/>
  <c r="R77" i="10"/>
  <c r="BL77" i="10"/>
  <c r="AO77" i="10"/>
  <c r="AC77" i="10"/>
  <c r="BB77" i="10"/>
  <c r="BM77" i="10"/>
  <c r="AG77" i="10"/>
  <c r="AE77" i="10"/>
  <c r="K77" i="10"/>
  <c r="AM77" i="10"/>
  <c r="BR77" i="10"/>
  <c r="X77" i="10"/>
  <c r="I77" i="10"/>
  <c r="AW77" i="10"/>
  <c r="AF77" i="10"/>
  <c r="BN77" i="10"/>
  <c r="BX77" i="10"/>
  <c r="N77" i="10"/>
  <c r="T77" i="10"/>
  <c r="P77" i="10"/>
  <c r="AK77" i="10"/>
  <c r="AT77" i="10"/>
  <c r="V77" i="10"/>
  <c r="AR77" i="10"/>
  <c r="Y77" i="10"/>
  <c r="AP77" i="10"/>
  <c r="C77" i="10"/>
  <c r="BZ77" i="10" s="1" a="1"/>
  <c r="BZ77" i="10" s="1"/>
  <c r="BK77" i="10"/>
  <c r="L77" i="10"/>
  <c r="BG77" i="10"/>
  <c r="BT77" i="10"/>
  <c r="AS77" i="10"/>
  <c r="BJ77" i="10"/>
  <c r="E77" i="10"/>
  <c r="F77" i="10"/>
  <c r="BZ7" i="1" l="1"/>
  <c r="BZ8" i="1" l="1"/>
  <c r="CA6" i="1"/>
  <c r="B78" i="10"/>
  <c r="CA2" i="1"/>
  <c r="CA10" i="1" s="1"/>
  <c r="CA5" i="1" l="1"/>
  <c r="CA9" i="1" s="1"/>
  <c r="AB78" i="10"/>
  <c r="N78" i="10"/>
  <c r="AP78" i="10"/>
  <c r="X78" i="10"/>
  <c r="S78" i="10"/>
  <c r="BU78" i="10"/>
  <c r="D78" i="10"/>
  <c r="BT78" i="10"/>
  <c r="J78" i="10"/>
  <c r="AS78" i="10"/>
  <c r="O78" i="10"/>
  <c r="BK78" i="10"/>
  <c r="AQ78" i="10"/>
  <c r="BP78" i="10"/>
  <c r="BS78" i="10"/>
  <c r="BW78" i="10"/>
  <c r="V78" i="10"/>
  <c r="AF78" i="10"/>
  <c r="BR78" i="10"/>
  <c r="AI78" i="10"/>
  <c r="BX78" i="10"/>
  <c r="AL78" i="10"/>
  <c r="T78" i="10"/>
  <c r="AH78" i="10"/>
  <c r="P78" i="10"/>
  <c r="BE78" i="10"/>
  <c r="G78" i="10"/>
  <c r="BY78" i="10"/>
  <c r="E78" i="10"/>
  <c r="AZ78" i="10"/>
  <c r="BM78" i="10"/>
  <c r="AM78" i="10"/>
  <c r="AT78" i="10"/>
  <c r="AX78" i="10"/>
  <c r="M78" i="10"/>
  <c r="BB78" i="10"/>
  <c r="C78" i="10"/>
  <c r="BN78" i="10"/>
  <c r="AD78" i="10"/>
  <c r="BI78" i="10"/>
  <c r="AA78" i="10"/>
  <c r="BQ78" i="10"/>
  <c r="BD78" i="10"/>
  <c r="AR78" i="10"/>
  <c r="F78" i="10"/>
  <c r="I78" i="10"/>
  <c r="BF78" i="10"/>
  <c r="R78" i="10"/>
  <c r="Q78" i="10"/>
  <c r="AK78" i="10"/>
  <c r="AO78" i="10"/>
  <c r="L78" i="10"/>
  <c r="BH78" i="10"/>
  <c r="AV78" i="10"/>
  <c r="BG78" i="10"/>
  <c r="AN78" i="10"/>
  <c r="BV78" i="10"/>
  <c r="AU78" i="10"/>
  <c r="AY78" i="10"/>
  <c r="BL78" i="10"/>
  <c r="H78" i="10"/>
  <c r="K78" i="10"/>
  <c r="AG78" i="10"/>
  <c r="Z78" i="10"/>
  <c r="BO78" i="10"/>
  <c r="AJ78" i="10"/>
  <c r="AE78" i="10"/>
  <c r="AC78" i="10"/>
  <c r="U78" i="10"/>
  <c r="BC78" i="10"/>
  <c r="BJ78" i="10"/>
  <c r="Y78" i="10"/>
  <c r="W78" i="10"/>
  <c r="AW78" i="10"/>
  <c r="BA78" i="10"/>
  <c r="BZ78" i="10"/>
  <c r="CA78" i="10" l="1" a="1"/>
  <c r="CA78" i="10" s="1"/>
  <c r="CA7" i="1"/>
  <c r="CB2" i="1" l="1"/>
  <c r="CB5" i="1" s="1"/>
  <c r="CB6" i="1"/>
  <c r="CA8" i="1"/>
  <c r="B79" i="10"/>
  <c r="CA79" i="10" s="1"/>
  <c r="CB10" i="1" l="1"/>
  <c r="CB7" i="1"/>
  <c r="CB9" i="1"/>
  <c r="B80" i="10"/>
  <c r="C80" i="10" s="1"/>
  <c r="CB8" i="1"/>
  <c r="CC6" i="1"/>
  <c r="BN79" i="10"/>
  <c r="AI79" i="10"/>
  <c r="BL79" i="10"/>
  <c r="N79" i="10"/>
  <c r="C79" i="10"/>
  <c r="CB79" i="10" s="1" a="1"/>
  <c r="CB79" i="10" s="1"/>
  <c r="Y79" i="10"/>
  <c r="AO79" i="10"/>
  <c r="G79" i="10"/>
  <c r="AC79" i="10"/>
  <c r="BR79" i="10"/>
  <c r="D79" i="10"/>
  <c r="BW79" i="10"/>
  <c r="J79" i="10"/>
  <c r="AR79" i="10"/>
  <c r="AG79" i="10"/>
  <c r="AA79" i="10"/>
  <c r="AE79" i="10"/>
  <c r="BI79" i="10"/>
  <c r="BA79" i="10"/>
  <c r="AN79" i="10"/>
  <c r="BC79" i="10"/>
  <c r="K79" i="10"/>
  <c r="BE79" i="10"/>
  <c r="M79" i="10"/>
  <c r="L79" i="10"/>
  <c r="BT79" i="10"/>
  <c r="H79" i="10"/>
  <c r="AB79" i="10"/>
  <c r="AF79" i="10"/>
  <c r="BF79" i="10"/>
  <c r="BO79" i="10"/>
  <c r="BH79" i="10"/>
  <c r="AT79" i="10"/>
  <c r="Q79" i="10"/>
  <c r="BQ79" i="10"/>
  <c r="AV79" i="10"/>
  <c r="O79" i="10"/>
  <c r="Z79" i="10"/>
  <c r="AP79" i="10"/>
  <c r="AL79" i="10"/>
  <c r="S79" i="10"/>
  <c r="U79" i="10"/>
  <c r="I79" i="10"/>
  <c r="AJ79" i="10"/>
  <c r="V79" i="10"/>
  <c r="R79" i="10"/>
  <c r="BK79" i="10"/>
  <c r="AZ79" i="10"/>
  <c r="AD79" i="10"/>
  <c r="BY79" i="10"/>
  <c r="T79" i="10"/>
  <c r="AM79" i="10"/>
  <c r="BM79" i="10"/>
  <c r="E79" i="10"/>
  <c r="AK79" i="10"/>
  <c r="AX79" i="10"/>
  <c r="AS79" i="10"/>
  <c r="X79" i="10"/>
  <c r="BV79" i="10"/>
  <c r="AH79" i="10"/>
  <c r="W79" i="10"/>
  <c r="BZ79" i="10"/>
  <c r="P79" i="10"/>
  <c r="BJ79" i="10"/>
  <c r="BU79" i="10"/>
  <c r="F79" i="10"/>
  <c r="AY79" i="10"/>
  <c r="AU79" i="10"/>
  <c r="BG79" i="10"/>
  <c r="BS79" i="10"/>
  <c r="AW79" i="10"/>
  <c r="BB79" i="10"/>
  <c r="BP79" i="10"/>
  <c r="AQ79" i="10"/>
  <c r="BD79" i="10"/>
  <c r="BX79" i="10"/>
  <c r="K80" i="10" l="1"/>
  <c r="BX80" i="10"/>
  <c r="V80" i="10"/>
  <c r="AF80" i="10"/>
  <c r="BO80" i="10"/>
  <c r="BC80" i="10"/>
  <c r="BY80" i="10"/>
  <c r="AM80" i="10"/>
  <c r="BJ80" i="10"/>
  <c r="BZ80" i="10"/>
  <c r="AG80" i="10"/>
  <c r="F80" i="10"/>
  <c r="E80" i="10"/>
  <c r="BK80" i="10"/>
  <c r="W80" i="10"/>
  <c r="U80" i="10"/>
  <c r="R80" i="10"/>
  <c r="BP80" i="10"/>
  <c r="BI80" i="10"/>
  <c r="N80" i="10"/>
  <c r="AY80" i="10"/>
  <c r="AU80" i="10"/>
  <c r="AJ80" i="10"/>
  <c r="D80" i="10"/>
  <c r="CB80" i="10"/>
  <c r="CC80" i="10" s="1" a="1"/>
  <c r="CC80" i="10" s="1"/>
  <c r="AL80" i="10"/>
  <c r="Y80" i="10"/>
  <c r="S80" i="10"/>
  <c r="BN80" i="10"/>
  <c r="J80" i="10"/>
  <c r="AZ80" i="10"/>
  <c r="P80" i="10"/>
  <c r="X80" i="10"/>
  <c r="CA80" i="10"/>
  <c r="H80" i="10"/>
  <c r="AS80" i="10"/>
  <c r="BU80" i="10"/>
  <c r="AP80" i="10"/>
  <c r="AD80" i="10"/>
  <c r="BB80" i="10"/>
  <c r="AN80" i="10"/>
  <c r="BQ80" i="10"/>
  <c r="Q80" i="10"/>
  <c r="BS80" i="10"/>
  <c r="T80" i="10"/>
  <c r="BD80" i="10"/>
  <c r="BW80" i="10"/>
  <c r="AE80" i="10"/>
  <c r="G80" i="10"/>
  <c r="BM80" i="10"/>
  <c r="BT80" i="10"/>
  <c r="AQ80" i="10"/>
  <c r="I80" i="10"/>
  <c r="Z80" i="10"/>
  <c r="AK80" i="10"/>
  <c r="AI80" i="10"/>
  <c r="AH80" i="10"/>
  <c r="M80" i="10"/>
  <c r="BG80" i="10"/>
  <c r="AA80" i="10"/>
  <c r="CC2" i="1"/>
  <c r="CC10" i="1" s="1"/>
  <c r="BF80" i="10"/>
  <c r="AW80" i="10"/>
  <c r="AC80" i="10"/>
  <c r="AV80" i="10"/>
  <c r="BH80" i="10"/>
  <c r="BE80" i="10"/>
  <c r="BV80" i="10"/>
  <c r="AT80" i="10"/>
  <c r="O80" i="10"/>
  <c r="L80" i="10"/>
  <c r="BA80" i="10"/>
  <c r="BL80" i="10"/>
  <c r="BR80" i="10"/>
  <c r="AO80" i="10"/>
  <c r="AR80" i="10"/>
  <c r="AB80" i="10"/>
  <c r="AX80" i="10"/>
  <c r="CC5" i="1" l="1"/>
  <c r="CC9" i="1" s="1"/>
  <c r="CC7" i="1" l="1"/>
  <c r="CC8" i="1" l="1"/>
  <c r="B81" i="10"/>
  <c r="CD6" i="1"/>
  <c r="CD2" i="1"/>
  <c r="CD10" i="1" s="1"/>
  <c r="CD5" i="1" l="1"/>
  <c r="CD9" i="1" s="1"/>
  <c r="AO81" i="10"/>
  <c r="BQ81" i="10"/>
  <c r="BG81" i="10"/>
  <c r="CC81" i="10"/>
  <c r="CA81" i="10"/>
  <c r="BN81" i="10"/>
  <c r="W81" i="10"/>
  <c r="M81" i="10"/>
  <c r="AB81" i="10"/>
  <c r="AQ81" i="10"/>
  <c r="BM81" i="10"/>
  <c r="BZ81" i="10"/>
  <c r="H81" i="10"/>
  <c r="D81" i="10"/>
  <c r="E81" i="10"/>
  <c r="BI81" i="10"/>
  <c r="AN81" i="10"/>
  <c r="BF81" i="10"/>
  <c r="AJ81" i="10"/>
  <c r="AC81" i="10"/>
  <c r="T81" i="10"/>
  <c r="BX81" i="10"/>
  <c r="BY81" i="10"/>
  <c r="Z81" i="10"/>
  <c r="AP81" i="10"/>
  <c r="Q81" i="10"/>
  <c r="AV81" i="10"/>
  <c r="AI81" i="10"/>
  <c r="AG81" i="10"/>
  <c r="AE81" i="10"/>
  <c r="BR81" i="10"/>
  <c r="AS81" i="10"/>
  <c r="J81" i="10"/>
  <c r="BS81" i="10"/>
  <c r="AK81" i="10"/>
  <c r="BU81" i="10"/>
  <c r="BW81" i="10"/>
  <c r="R81" i="10"/>
  <c r="CB81" i="10"/>
  <c r="L81" i="10"/>
  <c r="N81" i="10"/>
  <c r="BO81" i="10"/>
  <c r="P81" i="10"/>
  <c r="BJ81" i="10"/>
  <c r="AH81" i="10"/>
  <c r="AA81" i="10"/>
  <c r="AF81" i="10"/>
  <c r="AT81" i="10"/>
  <c r="AX81" i="10"/>
  <c r="K81" i="10"/>
  <c r="BB81" i="10"/>
  <c r="BH81" i="10"/>
  <c r="BA81" i="10"/>
  <c r="AD81" i="10"/>
  <c r="AW81" i="10"/>
  <c r="C81" i="10"/>
  <c r="BE81" i="10"/>
  <c r="AU81" i="10"/>
  <c r="AM81" i="10"/>
  <c r="AR81" i="10"/>
  <c r="AL81" i="10"/>
  <c r="G81" i="10"/>
  <c r="BL81" i="10"/>
  <c r="X81" i="10"/>
  <c r="BK81" i="10"/>
  <c r="BD81" i="10"/>
  <c r="S81" i="10"/>
  <c r="AZ81" i="10"/>
  <c r="BT81" i="10"/>
  <c r="BC81" i="10"/>
  <c r="U81" i="10"/>
  <c r="AY81" i="10"/>
  <c r="I81" i="10"/>
  <c r="Y81" i="10"/>
  <c r="V81" i="10"/>
  <c r="BP81" i="10"/>
  <c r="F81" i="10"/>
  <c r="BV81" i="10"/>
  <c r="O81" i="10"/>
  <c r="CD81" i="10" l="1" a="1"/>
  <c r="CD81" i="10" s="1"/>
  <c r="CD7" i="1"/>
  <c r="CE2" i="1" l="1"/>
  <c r="CE5" i="1" s="1"/>
  <c r="CE9" i="1" s="1"/>
  <c r="CE6" i="1"/>
  <c r="CD8" i="1"/>
  <c r="B82" i="10"/>
  <c r="CE10" i="1" l="1"/>
  <c r="CE7" i="1"/>
  <c r="H82" i="10"/>
  <c r="T82" i="10"/>
  <c r="AT82" i="10"/>
  <c r="BI82" i="10"/>
  <c r="R82" i="10"/>
  <c r="BT82" i="10"/>
  <c r="BR82" i="10"/>
  <c r="AU82" i="10"/>
  <c r="J82" i="10"/>
  <c r="W82" i="10"/>
  <c r="AH82" i="10"/>
  <c r="AI82" i="10"/>
  <c r="AS82" i="10"/>
  <c r="P82" i="10"/>
  <c r="BN82" i="10"/>
  <c r="S82" i="10"/>
  <c r="AA82" i="10"/>
  <c r="AY82" i="10"/>
  <c r="U82" i="10"/>
  <c r="BZ82" i="10"/>
  <c r="G82" i="10"/>
  <c r="AW82" i="10"/>
  <c r="BC82" i="10"/>
  <c r="BW82" i="10"/>
  <c r="CB82" i="10"/>
  <c r="AN82" i="10"/>
  <c r="AV82" i="10"/>
  <c r="CC82" i="10"/>
  <c r="F82" i="10"/>
  <c r="AO82" i="10"/>
  <c r="AB82" i="10"/>
  <c r="K82" i="10"/>
  <c r="L82" i="10"/>
  <c r="AD82" i="10"/>
  <c r="C82" i="10"/>
  <c r="I82" i="10"/>
  <c r="Q82" i="10"/>
  <c r="BS82" i="10"/>
  <c r="N82" i="10"/>
  <c r="BU82" i="10"/>
  <c r="AL82" i="10"/>
  <c r="Y82" i="10"/>
  <c r="AX82" i="10"/>
  <c r="BO82" i="10"/>
  <c r="BB82" i="10"/>
  <c r="E82" i="10"/>
  <c r="AK82" i="10"/>
  <c r="BP82" i="10"/>
  <c r="V82" i="10"/>
  <c r="BD82" i="10"/>
  <c r="AE82" i="10"/>
  <c r="AF82" i="10"/>
  <c r="BM82" i="10"/>
  <c r="BJ82" i="10"/>
  <c r="BY82" i="10"/>
  <c r="AR82" i="10"/>
  <c r="D82" i="10"/>
  <c r="BK82" i="10"/>
  <c r="AZ82" i="10"/>
  <c r="BX82" i="10"/>
  <c r="AC82" i="10"/>
  <c r="X82" i="10"/>
  <c r="O82" i="10"/>
  <c r="AG82" i="10"/>
  <c r="M82" i="10"/>
  <c r="AP82" i="10"/>
  <c r="BQ82" i="10"/>
  <c r="BL82" i="10"/>
  <c r="BH82" i="10"/>
  <c r="AM82" i="10"/>
  <c r="BA82" i="10"/>
  <c r="AQ82" i="10"/>
  <c r="AJ82" i="10"/>
  <c r="Z82" i="10"/>
  <c r="BE82" i="10"/>
  <c r="BG82" i="10"/>
  <c r="CA82" i="10"/>
  <c r="BV82" i="10"/>
  <c r="BF82" i="10"/>
  <c r="CD82" i="10"/>
  <c r="CE82" i="10" l="1" a="1"/>
  <c r="CE82" i="10" s="1"/>
  <c r="CF6" i="1"/>
  <c r="B83" i="10"/>
  <c r="CE8" i="1"/>
  <c r="CF2" i="1"/>
  <c r="CF10" i="1" s="1"/>
  <c r="CF5" i="1" l="1"/>
  <c r="CF9" i="1" s="1"/>
  <c r="AK83" i="10"/>
  <c r="BT83" i="10"/>
  <c r="Q83" i="10"/>
  <c r="AB83" i="10"/>
  <c r="AE83" i="10"/>
  <c r="CC83" i="10"/>
  <c r="AV83" i="10"/>
  <c r="M83" i="10"/>
  <c r="U83" i="10"/>
  <c r="Z83" i="10"/>
  <c r="BO83" i="10"/>
  <c r="N83" i="10"/>
  <c r="AA83" i="10"/>
  <c r="AX83" i="10"/>
  <c r="AR83" i="10"/>
  <c r="BD83" i="10"/>
  <c r="AS83" i="10"/>
  <c r="AT83" i="10"/>
  <c r="X83" i="10"/>
  <c r="F83" i="10"/>
  <c r="AF83" i="10"/>
  <c r="AU83" i="10"/>
  <c r="BB83" i="10"/>
  <c r="BF83" i="10"/>
  <c r="CB83" i="10"/>
  <c r="BY83" i="10"/>
  <c r="BA83" i="10"/>
  <c r="P83" i="10"/>
  <c r="BZ83" i="10"/>
  <c r="BW83" i="10"/>
  <c r="AG83" i="10"/>
  <c r="AN83" i="10"/>
  <c r="C83" i="10"/>
  <c r="I83" i="10"/>
  <c r="BG83" i="10"/>
  <c r="G83" i="10"/>
  <c r="AI83" i="10"/>
  <c r="BI83" i="10"/>
  <c r="AH83" i="10"/>
  <c r="D83" i="10"/>
  <c r="BR83" i="10"/>
  <c r="AY83" i="10"/>
  <c r="AQ83" i="10"/>
  <c r="AW83" i="10"/>
  <c r="L83" i="10"/>
  <c r="BL83" i="10"/>
  <c r="Y83" i="10"/>
  <c r="J83" i="10"/>
  <c r="AZ83" i="10"/>
  <c r="BP83" i="10"/>
  <c r="E83" i="10"/>
  <c r="AD83" i="10"/>
  <c r="O83" i="10"/>
  <c r="R83" i="10"/>
  <c r="AM83" i="10"/>
  <c r="V83" i="10"/>
  <c r="BU83" i="10"/>
  <c r="BN83" i="10"/>
  <c r="BJ83" i="10"/>
  <c r="BX83" i="10"/>
  <c r="H83" i="10"/>
  <c r="BC83" i="10"/>
  <c r="CD83" i="10"/>
  <c r="AO83" i="10"/>
  <c r="W83" i="10"/>
  <c r="BK83" i="10"/>
  <c r="AC83" i="10"/>
  <c r="CA83" i="10"/>
  <c r="BM83" i="10"/>
  <c r="AL83" i="10"/>
  <c r="AJ83" i="10"/>
  <c r="BQ83" i="10"/>
  <c r="BS83" i="10"/>
  <c r="S83" i="10"/>
  <c r="BH83" i="10"/>
  <c r="BE83" i="10"/>
  <c r="AP83" i="10"/>
  <c r="BV83" i="10"/>
  <c r="K83" i="10"/>
  <c r="T83" i="10"/>
  <c r="CE83" i="10"/>
  <c r="CF83" i="10" l="1" a="1"/>
  <c r="CF83" i="10" s="1"/>
  <c r="CF7" i="1"/>
  <c r="CG2" i="1" l="1"/>
  <c r="CG5" i="1" s="1"/>
  <c r="CG9" i="1" s="1"/>
  <c r="CG6" i="1"/>
  <c r="B84" i="10"/>
  <c r="CF84" i="10" s="1"/>
  <c r="CF8" i="1"/>
  <c r="CG10" i="1"/>
  <c r="CG7" i="1" l="1"/>
  <c r="BA84" i="10"/>
  <c r="BO84" i="10"/>
  <c r="AT84" i="10"/>
  <c r="AJ84" i="10"/>
  <c r="AD84" i="10"/>
  <c r="AM84" i="10"/>
  <c r="BM84" i="10"/>
  <c r="AV84" i="10"/>
  <c r="T84" i="10"/>
  <c r="S84" i="10"/>
  <c r="G84" i="10"/>
  <c r="BI84" i="10"/>
  <c r="W84" i="10"/>
  <c r="BX84" i="10"/>
  <c r="BF84" i="10"/>
  <c r="K84" i="10"/>
  <c r="F84" i="10"/>
  <c r="BL84" i="10"/>
  <c r="BV84" i="10"/>
  <c r="BP84" i="10"/>
  <c r="AQ84" i="10"/>
  <c r="L84" i="10"/>
  <c r="AB84" i="10"/>
  <c r="CA84" i="10"/>
  <c r="AN84" i="10"/>
  <c r="AR84" i="10"/>
  <c r="O84" i="10"/>
  <c r="X84" i="10"/>
  <c r="D84" i="10"/>
  <c r="R84" i="10"/>
  <c r="AF84" i="10"/>
  <c r="H84" i="10"/>
  <c r="Z84" i="10"/>
  <c r="BQ84" i="10"/>
  <c r="AL84" i="10"/>
  <c r="AP84" i="10"/>
  <c r="BG84" i="10"/>
  <c r="AC84" i="10"/>
  <c r="E84" i="10"/>
  <c r="BC84" i="10"/>
  <c r="BB84" i="10"/>
  <c r="AW84" i="10"/>
  <c r="AA84" i="10"/>
  <c r="BT84" i="10"/>
  <c r="BJ84" i="10"/>
  <c r="BD84" i="10"/>
  <c r="Y84" i="10"/>
  <c r="BE84" i="10"/>
  <c r="AK84" i="10"/>
  <c r="BR84" i="10"/>
  <c r="AU84" i="10"/>
  <c r="CC84" i="10"/>
  <c r="AZ84" i="10"/>
  <c r="AI84" i="10"/>
  <c r="U84" i="10"/>
  <c r="I84" i="10"/>
  <c r="V84" i="10"/>
  <c r="AH84" i="10"/>
  <c r="M84" i="10"/>
  <c r="BZ84" i="10"/>
  <c r="BW84" i="10"/>
  <c r="BS84" i="10"/>
  <c r="AG84" i="10"/>
  <c r="BU84" i="10"/>
  <c r="AE84" i="10"/>
  <c r="BY84" i="10"/>
  <c r="BH84" i="10"/>
  <c r="AO84" i="10"/>
  <c r="P84" i="10"/>
  <c r="AY84" i="10"/>
  <c r="BK84" i="10"/>
  <c r="Q84" i="10"/>
  <c r="BN84" i="10"/>
  <c r="J84" i="10"/>
  <c r="CB84" i="10"/>
  <c r="AX84" i="10"/>
  <c r="CD84" i="10"/>
  <c r="AS84" i="10"/>
  <c r="CE84" i="10"/>
  <c r="C84" i="10"/>
  <c r="CG84" i="10" s="1" a="1"/>
  <c r="CG84" i="10" s="1"/>
  <c r="N84" i="10"/>
  <c r="CH6" i="1" l="1"/>
  <c r="B85" i="10"/>
  <c r="CG8" i="1"/>
  <c r="CH2" i="1"/>
  <c r="CH10" i="1" s="1"/>
  <c r="CH5" i="1" l="1"/>
  <c r="CH9" i="1" s="1"/>
  <c r="AA85" i="10"/>
  <c r="AR85" i="10"/>
  <c r="BA85" i="10"/>
  <c r="K85" i="10"/>
  <c r="AM85" i="10"/>
  <c r="X85" i="10"/>
  <c r="BY85" i="10"/>
  <c r="D85" i="10"/>
  <c r="BE85" i="10"/>
  <c r="AQ85" i="10"/>
  <c r="CC85" i="10"/>
  <c r="BL85" i="10"/>
  <c r="CF85" i="10"/>
  <c r="V85" i="10"/>
  <c r="E85" i="10"/>
  <c r="AX85" i="10"/>
  <c r="N85" i="10"/>
  <c r="BB85" i="10"/>
  <c r="AO85" i="10"/>
  <c r="Z85" i="10"/>
  <c r="S85" i="10"/>
  <c r="M85" i="10"/>
  <c r="AH85" i="10"/>
  <c r="CD85" i="10"/>
  <c r="AU85" i="10"/>
  <c r="BR85" i="10"/>
  <c r="AB85" i="10"/>
  <c r="F85" i="10"/>
  <c r="BW85" i="10"/>
  <c r="AJ85" i="10"/>
  <c r="J85" i="10"/>
  <c r="CE85" i="10"/>
  <c r="AY85" i="10"/>
  <c r="R85" i="10"/>
  <c r="AN85" i="10"/>
  <c r="BK85" i="10"/>
  <c r="BI85" i="10"/>
  <c r="AS85" i="10"/>
  <c r="AP85" i="10"/>
  <c r="Y85" i="10"/>
  <c r="AT85" i="10"/>
  <c r="L85" i="10"/>
  <c r="U85" i="10"/>
  <c r="BO85" i="10"/>
  <c r="BF85" i="10"/>
  <c r="BC85" i="10"/>
  <c r="C85" i="10"/>
  <c r="BU85" i="10"/>
  <c r="BD85" i="10"/>
  <c r="AF85" i="10"/>
  <c r="Q85" i="10"/>
  <c r="G85" i="10"/>
  <c r="AZ85" i="10"/>
  <c r="AW85" i="10"/>
  <c r="BH85" i="10"/>
  <c r="CA85" i="10"/>
  <c r="AK85" i="10"/>
  <c r="T85" i="10"/>
  <c r="AI85" i="10"/>
  <c r="BN85" i="10"/>
  <c r="AG85" i="10"/>
  <c r="BZ85" i="10"/>
  <c r="BX85" i="10"/>
  <c r="BM85" i="10"/>
  <c r="BT85" i="10"/>
  <c r="BV85" i="10"/>
  <c r="O85" i="10"/>
  <c r="AC85" i="10"/>
  <c r="W85" i="10"/>
  <c r="AL85" i="10"/>
  <c r="AE85" i="10"/>
  <c r="BG85" i="10"/>
  <c r="AV85" i="10"/>
  <c r="CB85" i="10"/>
  <c r="BQ85" i="10"/>
  <c r="H85" i="10"/>
  <c r="AD85" i="10"/>
  <c r="I85" i="10"/>
  <c r="BS85" i="10"/>
  <c r="P85" i="10"/>
  <c r="BJ85" i="10"/>
  <c r="BP85" i="10"/>
  <c r="CG85" i="10"/>
  <c r="CH85" i="10" l="1" a="1"/>
  <c r="CH85" i="10" s="1"/>
  <c r="CH7" i="1"/>
  <c r="B86" i="10" l="1"/>
  <c r="CI6" i="1"/>
  <c r="CH8" i="1"/>
  <c r="CI2" i="1"/>
  <c r="CI10" i="1" s="1"/>
  <c r="CI5" i="1" l="1"/>
  <c r="CI9" i="1" s="1"/>
  <c r="BP86" i="10"/>
  <c r="AG86" i="10"/>
  <c r="AW86" i="10"/>
  <c r="BW86" i="10"/>
  <c r="I86" i="10"/>
  <c r="BH86" i="10"/>
  <c r="BR86" i="10"/>
  <c r="AJ86" i="10"/>
  <c r="AC86" i="10"/>
  <c r="AV86" i="10"/>
  <c r="E86" i="10"/>
  <c r="AI86" i="10"/>
  <c r="AE86" i="10"/>
  <c r="U86" i="10"/>
  <c r="BX86" i="10"/>
  <c r="CE86" i="10"/>
  <c r="L86" i="10"/>
  <c r="Y86" i="10"/>
  <c r="AH86" i="10"/>
  <c r="AP86" i="10"/>
  <c r="BD86" i="10"/>
  <c r="C86" i="10"/>
  <c r="V86" i="10"/>
  <c r="BU86" i="10"/>
  <c r="AU86" i="10"/>
  <c r="F86" i="10"/>
  <c r="AY86" i="10"/>
  <c r="BT86" i="10"/>
  <c r="AS86" i="10"/>
  <c r="S86" i="10"/>
  <c r="BG86" i="10"/>
  <c r="BI86" i="10"/>
  <c r="CD86" i="10"/>
  <c r="AZ86" i="10"/>
  <c r="BV86" i="10"/>
  <c r="BS86" i="10"/>
  <c r="AR86" i="10"/>
  <c r="BE86" i="10"/>
  <c r="CA86" i="10"/>
  <c r="AT86" i="10"/>
  <c r="P86" i="10"/>
  <c r="AL86" i="10"/>
  <c r="BO86" i="10"/>
  <c r="N86" i="10"/>
  <c r="BF86" i="10"/>
  <c r="AX86" i="10"/>
  <c r="CC86" i="10"/>
  <c r="BY86" i="10"/>
  <c r="AQ86" i="10"/>
  <c r="BA86" i="10"/>
  <c r="BB86" i="10"/>
  <c r="BK86" i="10"/>
  <c r="BJ86" i="10"/>
  <c r="K86" i="10"/>
  <c r="AF86" i="10"/>
  <c r="T86" i="10"/>
  <c r="BC86" i="10"/>
  <c r="O86" i="10"/>
  <c r="BM86" i="10"/>
  <c r="X86" i="10"/>
  <c r="G86" i="10"/>
  <c r="W86" i="10"/>
  <c r="Z86" i="10"/>
  <c r="BN86" i="10"/>
  <c r="CF86" i="10"/>
  <c r="AB86" i="10"/>
  <c r="AO86" i="10"/>
  <c r="AK86" i="10"/>
  <c r="J86" i="10"/>
  <c r="CB86" i="10"/>
  <c r="AA86" i="10"/>
  <c r="BZ86" i="10"/>
  <c r="Q86" i="10"/>
  <c r="CH86" i="10"/>
  <c r="D86" i="10"/>
  <c r="M86" i="10"/>
  <c r="H86" i="10"/>
  <c r="R86" i="10"/>
  <c r="BQ86" i="10"/>
  <c r="AM86" i="10"/>
  <c r="CG86" i="10"/>
  <c r="BL86" i="10"/>
  <c r="AD86" i="10"/>
  <c r="AN86" i="10"/>
  <c r="CI86" i="10" l="1" a="1"/>
  <c r="CI86" i="10" s="1"/>
  <c r="CI7" i="1"/>
  <c r="B87" i="10" l="1"/>
  <c r="CI87" i="10" s="1"/>
  <c r="CI8" i="1"/>
  <c r="CJ6" i="1"/>
  <c r="CJ2" i="1"/>
  <c r="CJ10" i="1" s="1"/>
  <c r="CJ5" i="1" l="1"/>
  <c r="BM87" i="10"/>
  <c r="BU87" i="10"/>
  <c r="K87" i="10"/>
  <c r="AL87" i="10"/>
  <c r="BC87" i="10"/>
  <c r="AD87" i="10"/>
  <c r="AV87" i="10"/>
  <c r="T87" i="10"/>
  <c r="BH87" i="10"/>
  <c r="CH87" i="10"/>
  <c r="AJ87" i="10"/>
  <c r="BV87" i="10"/>
  <c r="BS87" i="10"/>
  <c r="U87" i="10"/>
  <c r="C87" i="10"/>
  <c r="CJ87" i="10" s="1" a="1"/>
  <c r="CJ87" i="10" s="1"/>
  <c r="BK87" i="10"/>
  <c r="AU87" i="10"/>
  <c r="BP87" i="10"/>
  <c r="CF87" i="10"/>
  <c r="AN87" i="10"/>
  <c r="N87" i="10"/>
  <c r="BE87" i="10"/>
  <c r="S87" i="10"/>
  <c r="AS87" i="10"/>
  <c r="BX87" i="10"/>
  <c r="CC87" i="10"/>
  <c r="AM87" i="10"/>
  <c r="AG87" i="10"/>
  <c r="Z87" i="10"/>
  <c r="BJ87" i="10"/>
  <c r="AK87" i="10"/>
  <c r="R87" i="10"/>
  <c r="AI87" i="10"/>
  <c r="BY87" i="10"/>
  <c r="BT87" i="10"/>
  <c r="CD87" i="10"/>
  <c r="AP87" i="10"/>
  <c r="AZ87" i="10"/>
  <c r="AE87" i="10"/>
  <c r="BL87" i="10"/>
  <c r="BF87" i="10"/>
  <c r="V87" i="10"/>
  <c r="BN87" i="10"/>
  <c r="CG87" i="10"/>
  <c r="L87" i="10"/>
  <c r="O87" i="10"/>
  <c r="AA87" i="10"/>
  <c r="BR87" i="10"/>
  <c r="AW87" i="10"/>
  <c r="BB87" i="10"/>
  <c r="BG87" i="10"/>
  <c r="J87" i="10"/>
  <c r="AT87" i="10"/>
  <c r="AX87" i="10"/>
  <c r="D87" i="10"/>
  <c r="BA87" i="10"/>
  <c r="CA87" i="10"/>
  <c r="BI87" i="10"/>
  <c r="AR87" i="10"/>
  <c r="I87" i="10"/>
  <c r="M87" i="10"/>
  <c r="F87" i="10"/>
  <c r="BW87" i="10"/>
  <c r="AB87" i="10"/>
  <c r="P87" i="10"/>
  <c r="BO87" i="10"/>
  <c r="AY87" i="10"/>
  <c r="G87" i="10"/>
  <c r="AQ87" i="10"/>
  <c r="X87" i="10"/>
  <c r="Q87" i="10"/>
  <c r="CE87" i="10"/>
  <c r="AO87" i="10"/>
  <c r="W87" i="10"/>
  <c r="AH87" i="10"/>
  <c r="BD87" i="10"/>
  <c r="E87" i="10"/>
  <c r="BZ87" i="10"/>
  <c r="AF87" i="10"/>
  <c r="AC87" i="10"/>
  <c r="CB87" i="10"/>
  <c r="BQ87" i="10"/>
  <c r="H87" i="10"/>
  <c r="Y87" i="10"/>
  <c r="CJ7" i="1" l="1"/>
  <c r="CJ9" i="1"/>
  <c r="B88" i="10"/>
  <c r="CK6" i="1"/>
  <c r="CJ8" i="1"/>
  <c r="CK2" i="1" l="1"/>
  <c r="CK10" i="1" s="1"/>
  <c r="CA88" i="10"/>
  <c r="AM88" i="10"/>
  <c r="BM88" i="10"/>
  <c r="I88" i="10"/>
  <c r="BX88" i="10"/>
  <c r="BI88" i="10"/>
  <c r="BR88" i="10"/>
  <c r="V88" i="10"/>
  <c r="U88" i="10"/>
  <c r="BP88" i="10"/>
  <c r="S88" i="10"/>
  <c r="CD88" i="10"/>
  <c r="P88" i="10"/>
  <c r="AE88" i="10"/>
  <c r="AD88" i="10"/>
  <c r="M88" i="10"/>
  <c r="AI88" i="10"/>
  <c r="Q88" i="10"/>
  <c r="BB88" i="10"/>
  <c r="BZ88" i="10"/>
  <c r="AW88" i="10"/>
  <c r="AZ88" i="10"/>
  <c r="CJ88" i="10"/>
  <c r="CI88" i="10"/>
  <c r="BV88" i="10"/>
  <c r="AN88" i="10"/>
  <c r="CC88" i="10"/>
  <c r="AP88" i="10"/>
  <c r="CG88" i="10"/>
  <c r="BQ88" i="10"/>
  <c r="T88" i="10"/>
  <c r="BE88" i="10"/>
  <c r="BK88" i="10"/>
  <c r="AK88" i="10"/>
  <c r="BU88" i="10"/>
  <c r="E88" i="10"/>
  <c r="BN88" i="10"/>
  <c r="Y88" i="10"/>
  <c r="K88" i="10"/>
  <c r="J88" i="10"/>
  <c r="BA88" i="10"/>
  <c r="AH88" i="10"/>
  <c r="AO88" i="10"/>
  <c r="G88" i="10"/>
  <c r="BD88" i="10"/>
  <c r="O88" i="10"/>
  <c r="X88" i="10"/>
  <c r="AR88" i="10"/>
  <c r="AL88" i="10"/>
  <c r="BG88" i="10"/>
  <c r="N88" i="10"/>
  <c r="AY88" i="10"/>
  <c r="C88" i="10"/>
  <c r="BW88" i="10"/>
  <c r="Z88" i="10"/>
  <c r="BY88" i="10"/>
  <c r="AB88" i="10"/>
  <c r="L88" i="10"/>
  <c r="BT88" i="10"/>
  <c r="H88" i="10"/>
  <c r="AV88" i="10"/>
  <c r="AT88" i="10"/>
  <c r="CB88" i="10"/>
  <c r="W88" i="10"/>
  <c r="AF88" i="10"/>
  <c r="CH88" i="10"/>
  <c r="BJ88" i="10"/>
  <c r="AX88" i="10"/>
  <c r="AG88" i="10"/>
  <c r="R88" i="10"/>
  <c r="BC88" i="10"/>
  <c r="AC88" i="10"/>
  <c r="AQ88" i="10"/>
  <c r="BF88" i="10"/>
  <c r="CF88" i="10"/>
  <c r="BL88" i="10"/>
  <c r="AJ88" i="10"/>
  <c r="F88" i="10"/>
  <c r="AS88" i="10"/>
  <c r="AU88" i="10"/>
  <c r="D88" i="10"/>
  <c r="CE88" i="10"/>
  <c r="BS88" i="10"/>
  <c r="AA88" i="10"/>
  <c r="BO88" i="10"/>
  <c r="BH88" i="10"/>
  <c r="CK88" i="10" l="1" a="1"/>
  <c r="CK88" i="10" s="1"/>
  <c r="CK5" i="1"/>
  <c r="CK9" i="1" s="1"/>
  <c r="CK7" i="1" l="1"/>
  <c r="CL2" i="1" l="1"/>
  <c r="CL5" i="1" s="1"/>
  <c r="CK8" i="1"/>
  <c r="CL6" i="1"/>
  <c r="B89" i="10"/>
  <c r="CL10" i="1"/>
  <c r="CL7" i="1" l="1"/>
  <c r="CL9" i="1"/>
  <c r="B90" i="10"/>
  <c r="AW90" i="10" s="1"/>
  <c r="CM6" i="1"/>
  <c r="CL8" i="1"/>
  <c r="CB89" i="10"/>
  <c r="BA89" i="10"/>
  <c r="U89" i="10"/>
  <c r="AI89" i="10"/>
  <c r="BK89" i="10"/>
  <c r="AZ89" i="10"/>
  <c r="AJ89" i="10"/>
  <c r="P89" i="10"/>
  <c r="BM89" i="10"/>
  <c r="BB89" i="10"/>
  <c r="BG89" i="10"/>
  <c r="BV89" i="10"/>
  <c r="BE89" i="10"/>
  <c r="AX89" i="10"/>
  <c r="M89" i="10"/>
  <c r="BF89" i="10"/>
  <c r="AB89" i="10"/>
  <c r="R89" i="10"/>
  <c r="BD89" i="10"/>
  <c r="AW89" i="10"/>
  <c r="V89" i="10"/>
  <c r="AQ89" i="10"/>
  <c r="AH89" i="10"/>
  <c r="AR89" i="10"/>
  <c r="AG89" i="10"/>
  <c r="BP89" i="10"/>
  <c r="CJ89" i="10"/>
  <c r="BT89" i="10"/>
  <c r="C89" i="10"/>
  <c r="F89" i="10"/>
  <c r="Q89" i="10"/>
  <c r="AA89" i="10"/>
  <c r="BL89" i="10"/>
  <c r="CK89" i="10"/>
  <c r="BS89" i="10"/>
  <c r="CD89" i="10"/>
  <c r="AD89" i="10"/>
  <c r="CG89" i="10"/>
  <c r="G89" i="10"/>
  <c r="BO89" i="10"/>
  <c r="AK89" i="10"/>
  <c r="BN89" i="10"/>
  <c r="AM89" i="10"/>
  <c r="X89" i="10"/>
  <c r="T89" i="10"/>
  <c r="S89" i="10"/>
  <c r="AS89" i="10"/>
  <c r="CA89" i="10"/>
  <c r="L89" i="10"/>
  <c r="AT89" i="10"/>
  <c r="CH89" i="10"/>
  <c r="CF89" i="10"/>
  <c r="W89" i="10"/>
  <c r="AO89" i="10"/>
  <c r="BW89" i="10"/>
  <c r="AN89" i="10"/>
  <c r="E89" i="10"/>
  <c r="BH89" i="10"/>
  <c r="O89" i="10"/>
  <c r="AL89" i="10"/>
  <c r="D89" i="10"/>
  <c r="BY89" i="10"/>
  <c r="I89" i="10"/>
  <c r="K89" i="10"/>
  <c r="BJ89" i="10"/>
  <c r="Z89" i="10"/>
  <c r="BR89" i="10"/>
  <c r="BX89" i="10"/>
  <c r="AU89" i="10"/>
  <c r="BU89" i="10"/>
  <c r="H89" i="10"/>
  <c r="AE89" i="10"/>
  <c r="AV89" i="10"/>
  <c r="CC89" i="10"/>
  <c r="AC89" i="10"/>
  <c r="J89" i="10"/>
  <c r="CE89" i="10"/>
  <c r="BQ89" i="10"/>
  <c r="BZ89" i="10"/>
  <c r="AP89" i="10"/>
  <c r="AY89" i="10"/>
  <c r="CI89" i="10"/>
  <c r="N89" i="10"/>
  <c r="Y89" i="10"/>
  <c r="AF89" i="10"/>
  <c r="BI89" i="10"/>
  <c r="BC89" i="10"/>
  <c r="CL89" i="10" l="1" a="1"/>
  <c r="CL89" i="10" s="1"/>
  <c r="BD90" i="10"/>
  <c r="CL90" i="10"/>
  <c r="Y90" i="10"/>
  <c r="G90" i="10"/>
  <c r="D90" i="10"/>
  <c r="BM90" i="10"/>
  <c r="T90" i="10"/>
  <c r="BY90" i="10"/>
  <c r="BN90" i="10"/>
  <c r="AH90" i="10"/>
  <c r="N90" i="10"/>
  <c r="AM90" i="10"/>
  <c r="AF90" i="10"/>
  <c r="L90" i="10"/>
  <c r="BF90" i="10"/>
  <c r="AT90" i="10"/>
  <c r="Q90" i="10"/>
  <c r="BV90" i="10"/>
  <c r="AD90" i="10"/>
  <c r="CD90" i="10"/>
  <c r="AX90" i="10"/>
  <c r="K90" i="10"/>
  <c r="BA90" i="10"/>
  <c r="CJ90" i="10"/>
  <c r="CA90" i="10"/>
  <c r="F90" i="10"/>
  <c r="CB90" i="10"/>
  <c r="AG90" i="10"/>
  <c r="AP90" i="10"/>
  <c r="BX90" i="10"/>
  <c r="BE90" i="10"/>
  <c r="S90" i="10"/>
  <c r="AE90" i="10"/>
  <c r="BZ90" i="10"/>
  <c r="AL90" i="10"/>
  <c r="V90" i="10"/>
  <c r="R90" i="10"/>
  <c r="AK90" i="10"/>
  <c r="H90" i="10"/>
  <c r="P90" i="10"/>
  <c r="CE90" i="10"/>
  <c r="I90" i="10"/>
  <c r="CH90" i="10"/>
  <c r="BI90" i="10"/>
  <c r="AY90" i="10"/>
  <c r="BJ90" i="10"/>
  <c r="AI90" i="10"/>
  <c r="AB90" i="10"/>
  <c r="AZ90" i="10"/>
  <c r="AV90" i="10"/>
  <c r="CI90" i="10"/>
  <c r="M90" i="10"/>
  <c r="AQ90" i="10"/>
  <c r="AC90" i="10"/>
  <c r="W90" i="10"/>
  <c r="BQ90" i="10"/>
  <c r="BW90" i="10"/>
  <c r="AU90" i="10"/>
  <c r="BH90" i="10"/>
  <c r="BG90" i="10"/>
  <c r="BR90" i="10"/>
  <c r="BU90" i="10"/>
  <c r="BO90" i="10"/>
  <c r="AS90" i="10"/>
  <c r="BC90" i="10"/>
  <c r="U90" i="10"/>
  <c r="BL90" i="10"/>
  <c r="O90" i="10"/>
  <c r="AN90" i="10"/>
  <c r="CC90" i="10"/>
  <c r="BB90" i="10"/>
  <c r="BT90" i="10"/>
  <c r="X90" i="10"/>
  <c r="AA90" i="10"/>
  <c r="E90" i="10"/>
  <c r="C90" i="10"/>
  <c r="CM90" i="10" s="1" a="1"/>
  <c r="CM90" i="10" s="1"/>
  <c r="CM2" i="1"/>
  <c r="CM10" i="1" s="1"/>
  <c r="CK90" i="10"/>
  <c r="CG90" i="10"/>
  <c r="AO90" i="10"/>
  <c r="AR90" i="10"/>
  <c r="BP90" i="10"/>
  <c r="BS90" i="10"/>
  <c r="BK90" i="10"/>
  <c r="CF90" i="10"/>
  <c r="J90" i="10"/>
  <c r="Z90" i="10"/>
  <c r="AJ90" i="10"/>
  <c r="CM5" i="1" l="1"/>
  <c r="CM9" i="1" s="1"/>
  <c r="CM7" i="1" l="1"/>
  <c r="CN2" i="1" l="1"/>
  <c r="CN5" i="1" s="1"/>
  <c r="CN9" i="1" s="1"/>
  <c r="CN6" i="1"/>
  <c r="CM8" i="1"/>
  <c r="CN10" i="1"/>
  <c r="B91" i="10"/>
  <c r="CN7" i="1" l="1"/>
  <c r="BZ91" i="10"/>
  <c r="BG91" i="10"/>
  <c r="AG91" i="10"/>
  <c r="CI91" i="10"/>
  <c r="AO91" i="10"/>
  <c r="CA91" i="10"/>
  <c r="AA91" i="10"/>
  <c r="F91" i="10"/>
  <c r="BI91" i="10"/>
  <c r="BU91" i="10"/>
  <c r="CM91" i="10"/>
  <c r="AE91" i="10"/>
  <c r="R91" i="10"/>
  <c r="AK91" i="10"/>
  <c r="CF91" i="10"/>
  <c r="U91" i="10"/>
  <c r="Y91" i="10"/>
  <c r="BQ91" i="10"/>
  <c r="V91" i="10"/>
  <c r="AI91" i="10"/>
  <c r="BB91" i="10"/>
  <c r="BN91" i="10"/>
  <c r="P91" i="10"/>
  <c r="BV91" i="10"/>
  <c r="CE91" i="10"/>
  <c r="T91" i="10"/>
  <c r="CK91" i="10"/>
  <c r="CB91" i="10"/>
  <c r="CD91" i="10"/>
  <c r="BK91" i="10"/>
  <c r="AU91" i="10"/>
  <c r="AX91" i="10"/>
  <c r="AP91" i="10"/>
  <c r="BR91" i="10"/>
  <c r="AH91" i="10"/>
  <c r="BS91" i="10"/>
  <c r="BA91" i="10"/>
  <c r="AY91" i="10"/>
  <c r="AL91" i="10"/>
  <c r="BX91" i="10"/>
  <c r="K91" i="10"/>
  <c r="AM91" i="10"/>
  <c r="E91" i="10"/>
  <c r="BL91" i="10"/>
  <c r="CC91" i="10"/>
  <c r="BT91" i="10"/>
  <c r="X91" i="10"/>
  <c r="BD91" i="10"/>
  <c r="BY91" i="10"/>
  <c r="AT91" i="10"/>
  <c r="AZ91" i="10"/>
  <c r="C91" i="10"/>
  <c r="AB91" i="10"/>
  <c r="J91" i="10"/>
  <c r="N91" i="10"/>
  <c r="BO91" i="10"/>
  <c r="O91" i="10"/>
  <c r="AC91" i="10"/>
  <c r="BH91" i="10"/>
  <c r="BC91" i="10"/>
  <c r="I91" i="10"/>
  <c r="AS91" i="10"/>
  <c r="M91" i="10"/>
  <c r="D91" i="10"/>
  <c r="CL91" i="10"/>
  <c r="AF91" i="10"/>
  <c r="AV91" i="10"/>
  <c r="BF91" i="10"/>
  <c r="AW91" i="10"/>
  <c r="BM91" i="10"/>
  <c r="H91" i="10"/>
  <c r="BP91" i="10"/>
  <c r="BE91" i="10"/>
  <c r="BJ91" i="10"/>
  <c r="G91" i="10"/>
  <c r="CJ91" i="10"/>
  <c r="W91" i="10"/>
  <c r="AD91" i="10"/>
  <c r="AN91" i="10"/>
  <c r="L91" i="10"/>
  <c r="AR91" i="10"/>
  <c r="S91" i="10"/>
  <c r="Z91" i="10"/>
  <c r="CH91" i="10"/>
  <c r="AQ91" i="10"/>
  <c r="BW91" i="10"/>
  <c r="CG91" i="10"/>
  <c r="AJ91" i="10"/>
  <c r="Q91" i="10"/>
  <c r="CN91" i="10" l="1" a="1"/>
  <c r="CN91" i="10" s="1"/>
  <c r="CO2" i="1"/>
  <c r="CO5" i="1" s="1"/>
  <c r="CO9" i="1" s="1"/>
  <c r="CO10" i="1"/>
  <c r="CN8" i="1"/>
  <c r="CO6" i="1"/>
  <c r="B92" i="10"/>
  <c r="CO7" i="1" l="1"/>
  <c r="CA92" i="10"/>
  <c r="M92" i="10"/>
  <c r="I92" i="10"/>
  <c r="AU92" i="10"/>
  <c r="CJ92" i="10"/>
  <c r="BV92" i="10"/>
  <c r="CE92" i="10"/>
  <c r="BK92" i="10"/>
  <c r="V92" i="10"/>
  <c r="BW92" i="10"/>
  <c r="K92" i="10"/>
  <c r="Y92" i="10"/>
  <c r="BP92" i="10"/>
  <c r="BG92" i="10"/>
  <c r="BL92" i="10"/>
  <c r="G92" i="10"/>
  <c r="C92" i="10"/>
  <c r="AG92" i="10"/>
  <c r="AH92" i="10"/>
  <c r="BZ92" i="10"/>
  <c r="BF92" i="10"/>
  <c r="AJ92" i="10"/>
  <c r="X92" i="10"/>
  <c r="BO92" i="10"/>
  <c r="AC92" i="10"/>
  <c r="AX92" i="10"/>
  <c r="E92" i="10"/>
  <c r="AV92" i="10"/>
  <c r="AI92" i="10"/>
  <c r="AZ92" i="10"/>
  <c r="AY92" i="10"/>
  <c r="AE92" i="10"/>
  <c r="BU92" i="10"/>
  <c r="Q92" i="10"/>
  <c r="H92" i="10"/>
  <c r="O92" i="10"/>
  <c r="BN92" i="10"/>
  <c r="AS92" i="10"/>
  <c r="BC92" i="10"/>
  <c r="BJ92" i="10"/>
  <c r="AF92" i="10"/>
  <c r="BX92" i="10"/>
  <c r="U92" i="10"/>
  <c r="F92" i="10"/>
  <c r="BA92" i="10"/>
  <c r="BE92" i="10"/>
  <c r="AD92" i="10"/>
  <c r="AP92" i="10"/>
  <c r="AA92" i="10"/>
  <c r="D92" i="10"/>
  <c r="CN92" i="10"/>
  <c r="CH92" i="10"/>
  <c r="AQ92" i="10"/>
  <c r="BR92" i="10"/>
  <c r="Z92" i="10"/>
  <c r="BH92" i="10"/>
  <c r="BD92" i="10"/>
  <c r="BS92" i="10"/>
  <c r="CM92" i="10"/>
  <c r="AL92" i="10"/>
  <c r="AM92" i="10"/>
  <c r="BB92" i="10"/>
  <c r="CI92" i="10"/>
  <c r="CC92" i="10"/>
  <c r="BY92" i="10"/>
  <c r="W92" i="10"/>
  <c r="AW92" i="10"/>
  <c r="CK92" i="10"/>
  <c r="N92" i="10"/>
  <c r="S92" i="10"/>
  <c r="BQ92" i="10"/>
  <c r="CF92" i="10"/>
  <c r="CL92" i="10"/>
  <c r="T92" i="10"/>
  <c r="BI92" i="10"/>
  <c r="P92" i="10"/>
  <c r="AK92" i="10"/>
  <c r="AB92" i="10"/>
  <c r="AO92" i="10"/>
  <c r="CB92" i="10"/>
  <c r="L92" i="10"/>
  <c r="BT92" i="10"/>
  <c r="AT92" i="10"/>
  <c r="AN92" i="10"/>
  <c r="CG92" i="10"/>
  <c r="R92" i="10"/>
  <c r="BM92" i="10"/>
  <c r="AR92" i="10"/>
  <c r="CD92" i="10"/>
  <c r="J92" i="10"/>
  <c r="CO92" i="10" l="1" a="1"/>
  <c r="CO92" i="10" s="1"/>
  <c r="CO8" i="1"/>
  <c r="CP6" i="1"/>
  <c r="B93" i="10"/>
  <c r="CP2" i="1"/>
  <c r="CP10" i="1" s="1"/>
  <c r="CP5" i="1" l="1"/>
  <c r="CP9" i="1" s="1"/>
  <c r="AT93" i="10"/>
  <c r="AO93" i="10"/>
  <c r="AY93" i="10"/>
  <c r="AD93" i="10"/>
  <c r="BE93" i="10"/>
  <c r="AL93" i="10"/>
  <c r="AV93" i="10"/>
  <c r="BI93" i="10"/>
  <c r="AI93" i="10"/>
  <c r="CN93" i="10"/>
  <c r="BG93" i="10"/>
  <c r="Q93" i="10"/>
  <c r="E93" i="10"/>
  <c r="R93" i="10"/>
  <c r="BC93" i="10"/>
  <c r="BW93" i="10"/>
  <c r="CD93" i="10"/>
  <c r="CC93" i="10"/>
  <c r="CH93" i="10"/>
  <c r="CL93" i="10"/>
  <c r="AQ93" i="10"/>
  <c r="CB93" i="10"/>
  <c r="AN93" i="10"/>
  <c r="CJ93" i="10"/>
  <c r="AS93" i="10"/>
  <c r="CK93" i="10"/>
  <c r="BF93" i="10"/>
  <c r="AA93" i="10"/>
  <c r="CF93" i="10"/>
  <c r="W93" i="10"/>
  <c r="CA93" i="10"/>
  <c r="T93" i="10"/>
  <c r="BP93" i="10"/>
  <c r="AJ93" i="10"/>
  <c r="N93" i="10"/>
  <c r="AP93" i="10"/>
  <c r="AG93" i="10"/>
  <c r="BJ93" i="10"/>
  <c r="AR93" i="10"/>
  <c r="AZ93" i="10"/>
  <c r="BR93" i="10"/>
  <c r="BQ93" i="10"/>
  <c r="D93" i="10"/>
  <c r="K93" i="10"/>
  <c r="Z93" i="10"/>
  <c r="BZ93" i="10"/>
  <c r="S93" i="10"/>
  <c r="O93" i="10"/>
  <c r="CM93" i="10"/>
  <c r="P93" i="10"/>
  <c r="M93" i="10"/>
  <c r="CE93" i="10"/>
  <c r="CI93" i="10"/>
  <c r="BX93" i="10"/>
  <c r="AX93" i="10"/>
  <c r="BD93" i="10"/>
  <c r="AM93" i="10"/>
  <c r="BL93" i="10"/>
  <c r="BV93" i="10"/>
  <c r="BS93" i="10"/>
  <c r="BU93" i="10"/>
  <c r="Y93" i="10"/>
  <c r="BY93" i="10"/>
  <c r="BH93" i="10"/>
  <c r="F93" i="10"/>
  <c r="J93" i="10"/>
  <c r="I93" i="10"/>
  <c r="AE93" i="10"/>
  <c r="BN93" i="10"/>
  <c r="H93" i="10"/>
  <c r="CG93" i="10"/>
  <c r="BK93" i="10"/>
  <c r="AH93" i="10"/>
  <c r="U93" i="10"/>
  <c r="V93" i="10"/>
  <c r="C93" i="10"/>
  <c r="AB93" i="10"/>
  <c r="BM93" i="10"/>
  <c r="L93" i="10"/>
  <c r="G93" i="10"/>
  <c r="X93" i="10"/>
  <c r="BT93" i="10"/>
  <c r="AW93" i="10"/>
  <c r="AU93" i="10"/>
  <c r="AC93" i="10"/>
  <c r="AK93" i="10"/>
  <c r="BA93" i="10"/>
  <c r="BO93" i="10"/>
  <c r="AF93" i="10"/>
  <c r="BB93" i="10"/>
  <c r="CO93" i="10"/>
  <c r="CP93" i="10" l="1" a="1"/>
  <c r="CP93" i="10" s="1"/>
  <c r="CP7" i="1"/>
  <c r="CQ2" i="1" l="1"/>
  <c r="CQ5" i="1" s="1"/>
  <c r="B94" i="10"/>
  <c r="CQ6" i="1"/>
  <c r="CP8" i="1"/>
  <c r="CQ10" i="1"/>
  <c r="CQ7" i="1" l="1"/>
  <c r="CQ9" i="1"/>
  <c r="B95" i="10"/>
  <c r="CA95" i="10" s="1"/>
  <c r="CR6" i="1"/>
  <c r="CQ8" i="1"/>
  <c r="AM94" i="10"/>
  <c r="R94" i="10"/>
  <c r="BM94" i="10"/>
  <c r="CH94" i="10"/>
  <c r="BF94" i="10"/>
  <c r="AA94" i="10"/>
  <c r="BG94" i="10"/>
  <c r="AK94" i="10"/>
  <c r="Z94" i="10"/>
  <c r="BT94" i="10"/>
  <c r="CL94" i="10"/>
  <c r="D94" i="10"/>
  <c r="G94" i="10"/>
  <c r="AQ94" i="10"/>
  <c r="BW94" i="10"/>
  <c r="E94" i="10"/>
  <c r="AB94" i="10"/>
  <c r="BA94" i="10"/>
  <c r="W94" i="10"/>
  <c r="U94" i="10"/>
  <c r="AU94" i="10"/>
  <c r="AZ94" i="10"/>
  <c r="CM94" i="10"/>
  <c r="BY94" i="10"/>
  <c r="S94" i="10"/>
  <c r="AC94" i="10"/>
  <c r="BQ94" i="10"/>
  <c r="BS94" i="10"/>
  <c r="Y94" i="10"/>
  <c r="K94" i="10"/>
  <c r="AP94" i="10"/>
  <c r="BN94" i="10"/>
  <c r="BH94" i="10"/>
  <c r="N94" i="10"/>
  <c r="CE94" i="10"/>
  <c r="Q94" i="10"/>
  <c r="CC94" i="10"/>
  <c r="BJ94" i="10"/>
  <c r="AS94" i="10"/>
  <c r="T94" i="10"/>
  <c r="CD94" i="10"/>
  <c r="BC94" i="10"/>
  <c r="AG94" i="10"/>
  <c r="CB94" i="10"/>
  <c r="J94" i="10"/>
  <c r="AI94" i="10"/>
  <c r="AE94" i="10"/>
  <c r="BL94" i="10"/>
  <c r="CG94" i="10"/>
  <c r="AL94" i="10"/>
  <c r="O94" i="10"/>
  <c r="AD94" i="10"/>
  <c r="AV94" i="10"/>
  <c r="BP94" i="10"/>
  <c r="CJ94" i="10"/>
  <c r="BE94" i="10"/>
  <c r="CK94" i="10"/>
  <c r="BO94" i="10"/>
  <c r="CI94" i="10"/>
  <c r="CN94" i="10"/>
  <c r="F94" i="10"/>
  <c r="AH94" i="10"/>
  <c r="BV94" i="10"/>
  <c r="AJ94" i="10"/>
  <c r="AT94" i="10"/>
  <c r="CA94" i="10"/>
  <c r="CF94" i="10"/>
  <c r="M94" i="10"/>
  <c r="L94" i="10"/>
  <c r="AN94" i="10"/>
  <c r="H94" i="10"/>
  <c r="AX94" i="10"/>
  <c r="BR94" i="10"/>
  <c r="V94" i="10"/>
  <c r="AO94" i="10"/>
  <c r="AF94" i="10"/>
  <c r="BX94" i="10"/>
  <c r="AW94" i="10"/>
  <c r="BI94" i="10"/>
  <c r="AY94" i="10"/>
  <c r="BZ94" i="10"/>
  <c r="BK94" i="10"/>
  <c r="CO94" i="10"/>
  <c r="C94" i="10"/>
  <c r="P94" i="10"/>
  <c r="X94" i="10"/>
  <c r="BB94" i="10"/>
  <c r="I94" i="10"/>
  <c r="BU94" i="10"/>
  <c r="BD94" i="10"/>
  <c r="AR94" i="10"/>
  <c r="CP94" i="10"/>
  <c r="CQ94" i="10" l="1" a="1"/>
  <c r="CQ94" i="10" s="1"/>
  <c r="BN95" i="10"/>
  <c r="BY95" i="10"/>
  <c r="CJ95" i="10"/>
  <c r="M95" i="10"/>
  <c r="AS95" i="10"/>
  <c r="I95" i="10"/>
  <c r="BD95" i="10"/>
  <c r="AX95" i="10"/>
  <c r="CD95" i="10"/>
  <c r="R95" i="10"/>
  <c r="BL95" i="10"/>
  <c r="AT95" i="10"/>
  <c r="CM95" i="10"/>
  <c r="AN95" i="10"/>
  <c r="D95" i="10"/>
  <c r="BQ95" i="10"/>
  <c r="K95" i="10"/>
  <c r="X95" i="10"/>
  <c r="AW95" i="10"/>
  <c r="BX95" i="10"/>
  <c r="AD95" i="10"/>
  <c r="BI95" i="10"/>
  <c r="AU95" i="10"/>
  <c r="CE95" i="10"/>
  <c r="CH95" i="10"/>
  <c r="J95" i="10"/>
  <c r="CP95" i="10"/>
  <c r="AH95" i="10"/>
  <c r="W95" i="10"/>
  <c r="AY95" i="10"/>
  <c r="AZ95" i="10"/>
  <c r="P95" i="10"/>
  <c r="BF95" i="10"/>
  <c r="N95" i="10"/>
  <c r="BO95" i="10"/>
  <c r="CB95" i="10"/>
  <c r="CN95" i="10"/>
  <c r="AC95" i="10"/>
  <c r="CQ95" i="10"/>
  <c r="BP95" i="10"/>
  <c r="AG95" i="10"/>
  <c r="AB95" i="10"/>
  <c r="BJ95" i="10"/>
  <c r="AJ95" i="10"/>
  <c r="CK95" i="10"/>
  <c r="CC95" i="10"/>
  <c r="CF95" i="10"/>
  <c r="BA95" i="10"/>
  <c r="AA95" i="10"/>
  <c r="BR95" i="10"/>
  <c r="BM95" i="10"/>
  <c r="C95" i="10"/>
  <c r="Z95" i="10"/>
  <c r="BH95" i="10"/>
  <c r="AL95" i="10"/>
  <c r="T95" i="10"/>
  <c r="O95" i="10"/>
  <c r="BS95" i="10"/>
  <c r="V95" i="10"/>
  <c r="CG95" i="10"/>
  <c r="AQ95" i="10"/>
  <c r="U95" i="10"/>
  <c r="G95" i="10"/>
  <c r="BV95" i="10"/>
  <c r="AK95" i="10"/>
  <c r="BU95" i="10"/>
  <c r="AO95" i="10"/>
  <c r="BC95" i="10"/>
  <c r="H95" i="10"/>
  <c r="Y95" i="10"/>
  <c r="BG95" i="10"/>
  <c r="AM95" i="10"/>
  <c r="CI95" i="10"/>
  <c r="BW95" i="10"/>
  <c r="AV95" i="10"/>
  <c r="Q95" i="10"/>
  <c r="L95" i="10"/>
  <c r="AR95" i="10"/>
  <c r="E95" i="10"/>
  <c r="F95" i="10"/>
  <c r="CR2" i="1"/>
  <c r="CR10" i="1" s="1"/>
  <c r="CO95" i="10"/>
  <c r="BZ95" i="10"/>
  <c r="AP95" i="10"/>
  <c r="AI95" i="10"/>
  <c r="BB95" i="10"/>
  <c r="BT95" i="10"/>
  <c r="AF95" i="10"/>
  <c r="S95" i="10"/>
  <c r="BE95" i="10"/>
  <c r="CL95" i="10"/>
  <c r="BK95" i="10"/>
  <c r="AE95" i="10"/>
  <c r="CR5" i="1" l="1"/>
  <c r="CR9" i="1" s="1"/>
  <c r="CR95" i="10" a="1"/>
  <c r="CR95" i="10" s="1"/>
  <c r="CR7" i="1"/>
  <c r="CS2" i="1" l="1"/>
  <c r="CS5" i="1" s="1"/>
  <c r="CS9" i="1" s="1"/>
  <c r="CR8" i="1"/>
  <c r="CS6" i="1"/>
  <c r="B96" i="10"/>
  <c r="CS10" i="1" l="1"/>
  <c r="CS7" i="1"/>
  <c r="T96" i="10"/>
  <c r="BM96" i="10"/>
  <c r="BL96" i="10"/>
  <c r="P96" i="10"/>
  <c r="J96" i="10"/>
  <c r="AB96" i="10"/>
  <c r="AM96" i="10"/>
  <c r="AN96" i="10"/>
  <c r="R96" i="10"/>
  <c r="V96" i="10"/>
  <c r="CH96" i="10"/>
  <c r="AS96" i="10"/>
  <c r="K96" i="10"/>
  <c r="U96" i="10"/>
  <c r="AG96" i="10"/>
  <c r="BE96" i="10"/>
  <c r="BB96" i="10"/>
  <c r="BN96" i="10"/>
  <c r="CF96" i="10"/>
  <c r="CQ96" i="10"/>
  <c r="AC96" i="10"/>
  <c r="CA96" i="10"/>
  <c r="AJ96" i="10"/>
  <c r="BW96" i="10"/>
  <c r="AY96" i="10"/>
  <c r="CP96" i="10"/>
  <c r="AT96" i="10"/>
  <c r="D96" i="10"/>
  <c r="CG96" i="10"/>
  <c r="BP96" i="10"/>
  <c r="CD96" i="10"/>
  <c r="AV96" i="10"/>
  <c r="O96" i="10"/>
  <c r="CM96" i="10"/>
  <c r="X96" i="10"/>
  <c r="S96" i="10"/>
  <c r="BG96" i="10"/>
  <c r="BT96" i="10"/>
  <c r="BF96" i="10"/>
  <c r="BA96" i="10"/>
  <c r="CN96" i="10"/>
  <c r="AU96" i="10"/>
  <c r="AA96" i="10"/>
  <c r="BK96" i="10"/>
  <c r="N96" i="10"/>
  <c r="CO96" i="10"/>
  <c r="AQ96" i="10"/>
  <c r="Z96" i="10"/>
  <c r="AW96" i="10"/>
  <c r="AP96" i="10"/>
  <c r="G96" i="10"/>
  <c r="AD96" i="10"/>
  <c r="F96" i="10"/>
  <c r="AH96" i="10"/>
  <c r="CE96" i="10"/>
  <c r="AL96" i="10"/>
  <c r="BO96" i="10"/>
  <c r="BX96" i="10"/>
  <c r="AX96" i="10"/>
  <c r="BH96" i="10"/>
  <c r="M96" i="10"/>
  <c r="BZ96" i="10"/>
  <c r="BJ96" i="10"/>
  <c r="BV96" i="10"/>
  <c r="W96" i="10"/>
  <c r="BC96" i="10"/>
  <c r="BQ96" i="10"/>
  <c r="AR96" i="10"/>
  <c r="CJ96" i="10"/>
  <c r="AO96" i="10"/>
  <c r="CC96" i="10"/>
  <c r="AI96" i="10"/>
  <c r="H96" i="10"/>
  <c r="CB96" i="10"/>
  <c r="CK96" i="10"/>
  <c r="AF96" i="10"/>
  <c r="AZ96" i="10"/>
  <c r="L96" i="10"/>
  <c r="BU96" i="10"/>
  <c r="BR96" i="10"/>
  <c r="BI96" i="10"/>
  <c r="C96" i="10"/>
  <c r="BS96" i="10"/>
  <c r="BD96" i="10"/>
  <c r="I96" i="10"/>
  <c r="AE96" i="10"/>
  <c r="CI96" i="10"/>
  <c r="CL96" i="10"/>
  <c r="Y96" i="10"/>
  <c r="E96" i="10"/>
  <c r="AK96" i="10"/>
  <c r="CR96" i="10"/>
  <c r="BY96" i="10"/>
  <c r="Q96" i="10"/>
  <c r="CS96" i="10" l="1" a="1"/>
  <c r="CS96" i="10" s="1"/>
  <c r="CT2" i="1"/>
  <c r="CT5" i="1" s="1"/>
  <c r="CT9" i="1" s="1"/>
  <c r="B97" i="10"/>
  <c r="CT6" i="1"/>
  <c r="CS8" i="1"/>
  <c r="CT10" i="1"/>
  <c r="CT7" i="1" l="1"/>
  <c r="T97" i="10"/>
  <c r="CP97" i="10"/>
  <c r="CC97" i="10"/>
  <c r="BF97" i="10"/>
  <c r="AM97" i="10"/>
  <c r="AH97" i="10"/>
  <c r="Z97" i="10"/>
  <c r="P97" i="10"/>
  <c r="BS97" i="10"/>
  <c r="AU97" i="10"/>
  <c r="BL97" i="10"/>
  <c r="AL97" i="10"/>
  <c r="BH97" i="10"/>
  <c r="H97" i="10"/>
  <c r="U97" i="10"/>
  <c r="J97" i="10"/>
  <c r="CE97" i="10"/>
  <c r="CL97" i="10"/>
  <c r="F97" i="10"/>
  <c r="G97" i="10"/>
  <c r="AG97" i="10"/>
  <c r="BO97" i="10"/>
  <c r="BY97" i="10"/>
  <c r="AR97" i="10"/>
  <c r="AV97" i="10"/>
  <c r="AW97" i="10"/>
  <c r="BW97" i="10"/>
  <c r="I97" i="10"/>
  <c r="N97" i="10"/>
  <c r="BE97" i="10"/>
  <c r="BG97" i="10"/>
  <c r="BX97" i="10"/>
  <c r="CA97" i="10"/>
  <c r="M97" i="10"/>
  <c r="K97" i="10"/>
  <c r="AP97" i="10"/>
  <c r="C97" i="10"/>
  <c r="BR97" i="10"/>
  <c r="R97" i="10"/>
  <c r="AX97" i="10"/>
  <c r="CJ97" i="10"/>
  <c r="CF97" i="10"/>
  <c r="AJ97" i="10"/>
  <c r="AN97" i="10"/>
  <c r="AC97" i="10"/>
  <c r="BN97" i="10"/>
  <c r="AK97" i="10"/>
  <c r="BP97" i="10"/>
  <c r="O97" i="10"/>
  <c r="BK97" i="10"/>
  <c r="D97" i="10"/>
  <c r="CI97" i="10"/>
  <c r="AS97" i="10"/>
  <c r="AE97" i="10"/>
  <c r="X97" i="10"/>
  <c r="CK97" i="10"/>
  <c r="CQ97" i="10"/>
  <c r="W97" i="10"/>
  <c r="BQ97" i="10"/>
  <c r="CG97" i="10"/>
  <c r="Y97" i="10"/>
  <c r="AA97" i="10"/>
  <c r="BJ97" i="10"/>
  <c r="CD97" i="10"/>
  <c r="S97" i="10"/>
  <c r="AI97" i="10"/>
  <c r="CB97" i="10"/>
  <c r="AF97" i="10"/>
  <c r="BT97" i="10"/>
  <c r="AT97" i="10"/>
  <c r="CH97" i="10"/>
  <c r="BI97" i="10"/>
  <c r="CN97" i="10"/>
  <c r="AO97" i="10"/>
  <c r="L97" i="10"/>
  <c r="AB97" i="10"/>
  <c r="AY97" i="10"/>
  <c r="CR97" i="10"/>
  <c r="BB97" i="10"/>
  <c r="BD97" i="10"/>
  <c r="BC97" i="10"/>
  <c r="CM97" i="10"/>
  <c r="CO97" i="10"/>
  <c r="AD97" i="10"/>
  <c r="BV97" i="10"/>
  <c r="AQ97" i="10"/>
  <c r="BU97" i="10"/>
  <c r="V97" i="10"/>
  <c r="E97" i="10"/>
  <c r="BM97" i="10"/>
  <c r="Q97" i="10"/>
  <c r="BZ97" i="10"/>
  <c r="BA97" i="10"/>
  <c r="AZ97" i="10"/>
  <c r="CS97" i="10"/>
  <c r="CT97" i="10" l="1" a="1"/>
  <c r="CT97" i="10" s="1"/>
  <c r="CU2" i="1"/>
  <c r="CU5" i="1" s="1"/>
  <c r="CU9" i="1" s="1"/>
  <c r="B98" i="10"/>
  <c r="CT8" i="1"/>
  <c r="CU6" i="1"/>
  <c r="CU10" i="1"/>
  <c r="CU7" i="1" l="1"/>
  <c r="AY98" i="10"/>
  <c r="BE98" i="10"/>
  <c r="CS98" i="10"/>
  <c r="AS98" i="10"/>
  <c r="CJ98" i="10"/>
  <c r="BS98" i="10"/>
  <c r="N98" i="10"/>
  <c r="AN98" i="10"/>
  <c r="U98" i="10"/>
  <c r="AV98" i="10"/>
  <c r="BV98" i="10"/>
  <c r="J98" i="10"/>
  <c r="O98" i="10"/>
  <c r="C98" i="10"/>
  <c r="AZ98" i="10"/>
  <c r="BY98" i="10"/>
  <c r="F98" i="10"/>
  <c r="P98" i="10"/>
  <c r="CC98" i="10"/>
  <c r="BK98" i="10"/>
  <c r="BA98" i="10"/>
  <c r="AU98" i="10"/>
  <c r="AB98" i="10"/>
  <c r="CD98" i="10"/>
  <c r="T98" i="10"/>
  <c r="BU98" i="10"/>
  <c r="CI98" i="10"/>
  <c r="CO98" i="10"/>
  <c r="W98" i="10"/>
  <c r="BQ98" i="10"/>
  <c r="BW98" i="10"/>
  <c r="G98" i="10"/>
  <c r="I98" i="10"/>
  <c r="CN98" i="10"/>
  <c r="BG98" i="10"/>
  <c r="AR98" i="10"/>
  <c r="AE98" i="10"/>
  <c r="AA98" i="10"/>
  <c r="CM98" i="10"/>
  <c r="BJ98" i="10"/>
  <c r="Q98" i="10"/>
  <c r="BC98" i="10"/>
  <c r="BH98" i="10"/>
  <c r="Z98" i="10"/>
  <c r="CE98" i="10"/>
  <c r="K98" i="10"/>
  <c r="BP98" i="10"/>
  <c r="CR98" i="10"/>
  <c r="CH98" i="10"/>
  <c r="AQ98" i="10"/>
  <c r="AH98" i="10"/>
  <c r="BT98" i="10"/>
  <c r="BL98" i="10"/>
  <c r="AG98" i="10"/>
  <c r="V98" i="10"/>
  <c r="AP98" i="10"/>
  <c r="AC98" i="10"/>
  <c r="AK98" i="10"/>
  <c r="CA98" i="10"/>
  <c r="BX98" i="10"/>
  <c r="CF98" i="10"/>
  <c r="L98" i="10"/>
  <c r="BF98" i="10"/>
  <c r="BZ98" i="10"/>
  <c r="CL98" i="10"/>
  <c r="AX98" i="10"/>
  <c r="AI98" i="10"/>
  <c r="CP98" i="10"/>
  <c r="BM98" i="10"/>
  <c r="BD98" i="10"/>
  <c r="AT98" i="10"/>
  <c r="AM98" i="10"/>
  <c r="H98" i="10"/>
  <c r="CB98" i="10"/>
  <c r="X98" i="10"/>
  <c r="BR98" i="10"/>
  <c r="BO98" i="10"/>
  <c r="S98" i="10"/>
  <c r="BI98" i="10"/>
  <c r="AD98" i="10"/>
  <c r="D98" i="10"/>
  <c r="CQ98" i="10"/>
  <c r="BB98" i="10"/>
  <c r="AO98" i="10"/>
  <c r="CK98" i="10"/>
  <c r="Y98" i="10"/>
  <c r="BN98" i="10"/>
  <c r="E98" i="10"/>
  <c r="AW98" i="10"/>
  <c r="M98" i="10"/>
  <c r="AL98" i="10"/>
  <c r="R98" i="10"/>
  <c r="AF98" i="10"/>
  <c r="CG98" i="10"/>
  <c r="AJ98" i="10"/>
  <c r="CT98" i="10"/>
  <c r="CU98" i="10" l="1" a="1"/>
  <c r="CU98" i="10" s="1"/>
  <c r="CV2" i="1"/>
  <c r="CV5" i="1" s="1"/>
  <c r="CV9" i="1" s="1"/>
  <c r="B99" i="10"/>
  <c r="CU8" i="1"/>
  <c r="CV6" i="1"/>
  <c r="CV10" i="1"/>
  <c r="CV7" i="1" l="1"/>
  <c r="CI99" i="10"/>
  <c r="L99" i="10"/>
  <c r="F99" i="10"/>
  <c r="CM99" i="10"/>
  <c r="BG99" i="10"/>
  <c r="T99" i="10"/>
  <c r="AD99" i="10"/>
  <c r="CS99" i="10"/>
  <c r="CO99" i="10"/>
  <c r="N99" i="10"/>
  <c r="CT99" i="10"/>
  <c r="BL99" i="10"/>
  <c r="BD99" i="10"/>
  <c r="P99" i="10"/>
  <c r="G99" i="10"/>
  <c r="BK99" i="10"/>
  <c r="CE99" i="10"/>
  <c r="BT99" i="10"/>
  <c r="H99" i="10"/>
  <c r="CR99" i="10"/>
  <c r="O99" i="10"/>
  <c r="BW99" i="10"/>
  <c r="I99" i="10"/>
  <c r="BR99" i="10"/>
  <c r="BV99" i="10"/>
  <c r="AO99" i="10"/>
  <c r="Y99" i="10"/>
  <c r="BI99" i="10"/>
  <c r="AB99" i="10"/>
  <c r="AX99" i="10"/>
  <c r="D99" i="10"/>
  <c r="AH99" i="10"/>
  <c r="CA99" i="10"/>
  <c r="C99" i="10"/>
  <c r="AK99" i="10"/>
  <c r="BH99" i="10"/>
  <c r="BB99" i="10"/>
  <c r="AY99" i="10"/>
  <c r="BM99" i="10"/>
  <c r="BO99" i="10"/>
  <c r="BY99" i="10"/>
  <c r="AP99" i="10"/>
  <c r="CD99" i="10"/>
  <c r="AA99" i="10"/>
  <c r="CB99" i="10"/>
  <c r="AQ99" i="10"/>
  <c r="CK99" i="10"/>
  <c r="CQ99" i="10"/>
  <c r="CF99" i="10"/>
  <c r="AL99" i="10"/>
  <c r="BS99" i="10"/>
  <c r="CN99" i="10"/>
  <c r="CL99" i="10"/>
  <c r="BE99" i="10"/>
  <c r="AJ99" i="10"/>
  <c r="AS99" i="10"/>
  <c r="CG99" i="10"/>
  <c r="BP99" i="10"/>
  <c r="AI99" i="10"/>
  <c r="U99" i="10"/>
  <c r="Z99" i="10"/>
  <c r="J99" i="10"/>
  <c r="Q99" i="10"/>
  <c r="BU99" i="10"/>
  <c r="AC99" i="10"/>
  <c r="BA99" i="10"/>
  <c r="BX99" i="10"/>
  <c r="R99" i="10"/>
  <c r="W99" i="10"/>
  <c r="AE99" i="10"/>
  <c r="V99" i="10"/>
  <c r="CP99" i="10"/>
  <c r="BN99" i="10"/>
  <c r="X99" i="10"/>
  <c r="AW99" i="10"/>
  <c r="CJ99" i="10"/>
  <c r="S99" i="10"/>
  <c r="AR99" i="10"/>
  <c r="BF99" i="10"/>
  <c r="CH99" i="10"/>
  <c r="BJ99" i="10"/>
  <c r="AF99" i="10"/>
  <c r="BC99" i="10"/>
  <c r="AU99" i="10"/>
  <c r="E99" i="10"/>
  <c r="K99" i="10"/>
  <c r="AZ99" i="10"/>
  <c r="AM99" i="10"/>
  <c r="AV99" i="10"/>
  <c r="BQ99" i="10"/>
  <c r="AT99" i="10"/>
  <c r="BZ99" i="10"/>
  <c r="M99" i="10"/>
  <c r="CC99" i="10"/>
  <c r="AG99" i="10"/>
  <c r="AN99" i="10"/>
  <c r="CU99" i="10"/>
  <c r="CV99" i="10" l="1" a="1"/>
  <c r="CV99" i="10" s="1"/>
  <c r="CV8" i="1"/>
  <c r="B100" i="10"/>
  <c r="CW6" i="1"/>
  <c r="CW2" i="1"/>
  <c r="CW10" i="1" s="1"/>
  <c r="CW5" i="1" l="1"/>
  <c r="BG100" i="10"/>
  <c r="CN100" i="10"/>
  <c r="Q100" i="10"/>
  <c r="AW100" i="10"/>
  <c r="L100" i="10"/>
  <c r="D100" i="10"/>
  <c r="BU100" i="10"/>
  <c r="CL100" i="10"/>
  <c r="N100" i="10"/>
  <c r="BK100" i="10"/>
  <c r="BX100" i="10"/>
  <c r="M100" i="10"/>
  <c r="AR100" i="10"/>
  <c r="U100" i="10"/>
  <c r="CJ100" i="10"/>
  <c r="CM100" i="10"/>
  <c r="CK100" i="10"/>
  <c r="BW100" i="10"/>
  <c r="J100" i="10"/>
  <c r="BR100" i="10"/>
  <c r="CH100" i="10"/>
  <c r="CP100" i="10"/>
  <c r="CD100" i="10"/>
  <c r="H100" i="10"/>
  <c r="O100" i="10"/>
  <c r="R100" i="10"/>
  <c r="X100" i="10"/>
  <c r="F100" i="10"/>
  <c r="BD100" i="10"/>
  <c r="CR100" i="10"/>
  <c r="BL100" i="10"/>
  <c r="BC100" i="10"/>
  <c r="I100" i="10"/>
  <c r="BV100" i="10"/>
  <c r="BT100" i="10"/>
  <c r="K100" i="10"/>
  <c r="BF100" i="10"/>
  <c r="BI100" i="10"/>
  <c r="AB100" i="10"/>
  <c r="AK100" i="10"/>
  <c r="S100" i="10"/>
  <c r="BQ100" i="10"/>
  <c r="T100" i="10"/>
  <c r="CU100" i="10"/>
  <c r="AE100" i="10"/>
  <c r="AA100" i="10"/>
  <c r="AS100" i="10"/>
  <c r="AD100" i="10"/>
  <c r="AP100" i="10"/>
  <c r="AN100" i="10"/>
  <c r="Z100" i="10"/>
  <c r="CB100" i="10"/>
  <c r="CT100" i="10"/>
  <c r="G100" i="10"/>
  <c r="AG100" i="10"/>
  <c r="Y100" i="10"/>
  <c r="AT100" i="10"/>
  <c r="AV100" i="10"/>
  <c r="CG100" i="10"/>
  <c r="BN100" i="10"/>
  <c r="BB100" i="10"/>
  <c r="BJ100" i="10"/>
  <c r="BM100" i="10"/>
  <c r="AL100" i="10"/>
  <c r="BA100" i="10"/>
  <c r="CI100" i="10"/>
  <c r="CC100" i="10"/>
  <c r="BZ100" i="10"/>
  <c r="CA100" i="10"/>
  <c r="CE100" i="10"/>
  <c r="AJ100" i="10"/>
  <c r="BO100" i="10"/>
  <c r="BY100" i="10"/>
  <c r="E100" i="10"/>
  <c r="BH100" i="10"/>
  <c r="AU100" i="10"/>
  <c r="AO100" i="10"/>
  <c r="CQ100" i="10"/>
  <c r="P100" i="10"/>
  <c r="AZ100" i="10"/>
  <c r="AF100" i="10"/>
  <c r="AX100" i="10"/>
  <c r="AC100" i="10"/>
  <c r="BE100" i="10"/>
  <c r="W100" i="10"/>
  <c r="AY100" i="10"/>
  <c r="CO100" i="10"/>
  <c r="CS100" i="10"/>
  <c r="V100" i="10"/>
  <c r="BP100" i="10"/>
  <c r="AM100" i="10"/>
  <c r="CF100" i="10"/>
  <c r="AI100" i="10"/>
  <c r="AQ100" i="10"/>
  <c r="AH100" i="10"/>
  <c r="BS100" i="10"/>
  <c r="C100" i="10"/>
  <c r="CV100" i="10"/>
  <c r="CW100" i="10" l="1" a="1"/>
  <c r="CW100" i="10" s="1"/>
  <c r="CW7" i="1"/>
  <c r="CW8" i="1" s="1"/>
  <c r="CW9" i="1"/>
  <c r="CX2" i="1" s="1"/>
  <c r="CX5" i="1" s="1"/>
  <c r="CX9" i="1" s="1"/>
  <c r="B101" i="10"/>
  <c r="CX6" i="1" l="1"/>
  <c r="CX10" i="1"/>
  <c r="CX7" i="1"/>
  <c r="CG101" i="10"/>
  <c r="D101" i="10"/>
  <c r="T101" i="10"/>
  <c r="BM101" i="10"/>
  <c r="CH101" i="10"/>
  <c r="CC101" i="10"/>
  <c r="CQ101" i="10"/>
  <c r="N101" i="10"/>
  <c r="BT101" i="10"/>
  <c r="CV101" i="10"/>
  <c r="BZ101" i="10"/>
  <c r="V101" i="10"/>
  <c r="BP101" i="10"/>
  <c r="BA101" i="10"/>
  <c r="AV101" i="10"/>
  <c r="BU101" i="10"/>
  <c r="CM101" i="10"/>
  <c r="O101" i="10"/>
  <c r="AM101" i="10"/>
  <c r="M101" i="10"/>
  <c r="AT101" i="10"/>
  <c r="BS101" i="10"/>
  <c r="G101" i="10"/>
  <c r="CL101" i="10"/>
  <c r="S101" i="10"/>
  <c r="BG101" i="10"/>
  <c r="BB101" i="10"/>
  <c r="Y101" i="10"/>
  <c r="BL101" i="10"/>
  <c r="K101" i="10"/>
  <c r="BV101" i="10"/>
  <c r="AL101" i="10"/>
  <c r="AI101" i="10"/>
  <c r="CI101" i="10"/>
  <c r="I101" i="10"/>
  <c r="CR101" i="10"/>
  <c r="AZ101" i="10"/>
  <c r="Z101" i="10"/>
  <c r="BC101" i="10"/>
  <c r="Q101" i="10"/>
  <c r="AQ101" i="10"/>
  <c r="BJ101" i="10"/>
  <c r="AB101" i="10"/>
  <c r="AP101" i="10"/>
  <c r="BO101" i="10"/>
  <c r="L101" i="10"/>
  <c r="BI101" i="10"/>
  <c r="J101" i="10"/>
  <c r="CN101" i="10"/>
  <c r="AY101" i="10"/>
  <c r="CJ101" i="10"/>
  <c r="AA101" i="10"/>
  <c r="AH101" i="10"/>
  <c r="CK101" i="10"/>
  <c r="CP101" i="10"/>
  <c r="AG101" i="10"/>
  <c r="AC101" i="10"/>
  <c r="AW101" i="10"/>
  <c r="CT101" i="10"/>
  <c r="F101" i="10"/>
  <c r="BQ101" i="10"/>
  <c r="CE101" i="10"/>
  <c r="CF101" i="10"/>
  <c r="P101" i="10"/>
  <c r="BE101" i="10"/>
  <c r="BD101" i="10"/>
  <c r="CD101" i="10"/>
  <c r="AD101" i="10"/>
  <c r="X101" i="10"/>
  <c r="H101" i="10"/>
  <c r="AK101" i="10"/>
  <c r="AF101" i="10"/>
  <c r="BY101" i="10"/>
  <c r="CO101" i="10"/>
  <c r="BH101" i="10"/>
  <c r="BX101" i="10"/>
  <c r="AX101" i="10"/>
  <c r="AE101" i="10"/>
  <c r="R101" i="10"/>
  <c r="BR101" i="10"/>
  <c r="CB101" i="10"/>
  <c r="U101" i="10"/>
  <c r="CU101" i="10"/>
  <c r="E101" i="10"/>
  <c r="C101" i="10"/>
  <c r="BN101" i="10"/>
  <c r="AO101" i="10"/>
  <c r="AR101" i="10"/>
  <c r="CS101" i="10"/>
  <c r="AS101" i="10"/>
  <c r="AJ101" i="10"/>
  <c r="CA101" i="10"/>
  <c r="AN101" i="10"/>
  <c r="W101" i="10"/>
  <c r="BF101" i="10"/>
  <c r="AU101" i="10"/>
  <c r="BK101" i="10"/>
  <c r="BW101" i="10"/>
  <c r="CW101" i="10"/>
  <c r="CX101" i="10" l="1" a="1"/>
  <c r="CX101" i="10" s="1"/>
  <c r="B102" i="10"/>
  <c r="CX8" i="1"/>
  <c r="CY6" i="1"/>
  <c r="CY2" i="1"/>
  <c r="CY10" i="1" s="1"/>
  <c r="CY5" i="1" l="1"/>
  <c r="CY9" i="1" s="1"/>
  <c r="BO102" i="10"/>
  <c r="G102" i="10"/>
  <c r="BS102" i="10"/>
  <c r="BN102" i="10"/>
  <c r="U102" i="10"/>
  <c r="CB102" i="10"/>
  <c r="CG102" i="10"/>
  <c r="AW102" i="10"/>
  <c r="BJ102" i="10"/>
  <c r="BH102" i="10"/>
  <c r="AU102" i="10"/>
  <c r="BI102" i="10"/>
  <c r="CA102" i="10"/>
  <c r="BL102" i="10"/>
  <c r="D102" i="10"/>
  <c r="N102" i="10"/>
  <c r="CX102" i="10"/>
  <c r="CI102" i="10"/>
  <c r="CW102" i="10"/>
  <c r="CT102" i="10"/>
  <c r="AQ102" i="10"/>
  <c r="AF102" i="10"/>
  <c r="AV102" i="10"/>
  <c r="AX102" i="10"/>
  <c r="AE102" i="10"/>
  <c r="CS102" i="10"/>
  <c r="T102" i="10"/>
  <c r="BE102" i="10"/>
  <c r="BP102" i="10"/>
  <c r="AB102" i="10"/>
  <c r="BT102" i="10"/>
  <c r="AH102" i="10"/>
  <c r="BB102" i="10"/>
  <c r="Z102" i="10"/>
  <c r="CE102" i="10"/>
  <c r="AL102" i="10"/>
  <c r="AT102" i="10"/>
  <c r="BW102" i="10"/>
  <c r="Y102" i="10"/>
  <c r="CN102" i="10"/>
  <c r="AS102" i="10"/>
  <c r="BV102" i="10"/>
  <c r="CF102" i="10"/>
  <c r="CR102" i="10"/>
  <c r="BM102" i="10"/>
  <c r="AD102" i="10"/>
  <c r="CV102" i="10"/>
  <c r="CK102" i="10"/>
  <c r="O102" i="10"/>
  <c r="AJ102" i="10"/>
  <c r="CC102" i="10"/>
  <c r="AY102" i="10"/>
  <c r="CQ102" i="10"/>
  <c r="V102" i="10"/>
  <c r="CD102" i="10"/>
  <c r="X102" i="10"/>
  <c r="AI102" i="10"/>
  <c r="AM102" i="10"/>
  <c r="BF102" i="10"/>
  <c r="Q102" i="10"/>
  <c r="BD102" i="10"/>
  <c r="BR102" i="10"/>
  <c r="AA102" i="10"/>
  <c r="S102" i="10"/>
  <c r="BK102" i="10"/>
  <c r="CJ102" i="10"/>
  <c r="J102" i="10"/>
  <c r="AO102" i="10"/>
  <c r="AG102" i="10"/>
  <c r="BZ102" i="10"/>
  <c r="BX102" i="10"/>
  <c r="CH102" i="10"/>
  <c r="M102" i="10"/>
  <c r="R102" i="10"/>
  <c r="AR102" i="10"/>
  <c r="BU102" i="10"/>
  <c r="I102" i="10"/>
  <c r="F102" i="10"/>
  <c r="CP102" i="10"/>
  <c r="CO102" i="10"/>
  <c r="AN102" i="10"/>
  <c r="CU102" i="10"/>
  <c r="L102" i="10"/>
  <c r="BQ102" i="10"/>
  <c r="BC102" i="10"/>
  <c r="K102" i="10"/>
  <c r="BA102" i="10"/>
  <c r="AP102" i="10"/>
  <c r="E102" i="10"/>
  <c r="AC102" i="10"/>
  <c r="BG102" i="10"/>
  <c r="AK102" i="10"/>
  <c r="AZ102" i="10"/>
  <c r="P102" i="10"/>
  <c r="CL102" i="10"/>
  <c r="BY102" i="10"/>
  <c r="W102" i="10"/>
  <c r="C102" i="10"/>
  <c r="CY102" i="10" s="1" a="1"/>
  <c r="CY102" i="10" s="1"/>
  <c r="H102" i="10"/>
  <c r="CM102" i="10"/>
  <c r="CY7" i="1" l="1"/>
  <c r="B103" i="10" l="1"/>
  <c r="CY8" i="1"/>
  <c r="CZ6" i="1"/>
  <c r="CZ2" i="1"/>
  <c r="CZ10" i="1" s="1"/>
  <c r="CZ5" i="1" l="1"/>
  <c r="CZ9" i="1" s="1"/>
  <c r="AS103" i="10"/>
  <c r="M103" i="10"/>
  <c r="CH103" i="10"/>
  <c r="C103" i="10"/>
  <c r="AG103" i="10"/>
  <c r="CF103" i="10"/>
  <c r="BU103" i="10"/>
  <c r="CV103" i="10"/>
  <c r="AY103" i="10"/>
  <c r="BI103" i="10"/>
  <c r="K103" i="10"/>
  <c r="R103" i="10"/>
  <c r="V103" i="10"/>
  <c r="BE103" i="10"/>
  <c r="BK103" i="10"/>
  <c r="AU103" i="10"/>
  <c r="BN103" i="10"/>
  <c r="CK103" i="10"/>
  <c r="AZ103" i="10"/>
  <c r="AV103" i="10"/>
  <c r="CS103" i="10"/>
  <c r="BG103" i="10"/>
  <c r="G103" i="10"/>
  <c r="BB103" i="10"/>
  <c r="CD103" i="10"/>
  <c r="BS103" i="10"/>
  <c r="BM103" i="10"/>
  <c r="CC103" i="10"/>
  <c r="CM103" i="10"/>
  <c r="Q103" i="10"/>
  <c r="CI103" i="10"/>
  <c r="P103" i="10"/>
  <c r="AW103" i="10"/>
  <c r="H103" i="10"/>
  <c r="CL103" i="10"/>
  <c r="W103" i="10"/>
  <c r="BF103" i="10"/>
  <c r="L103" i="10"/>
  <c r="CR103" i="10"/>
  <c r="BD103" i="10"/>
  <c r="BJ103" i="10"/>
  <c r="N103" i="10"/>
  <c r="CT103" i="10"/>
  <c r="AT103" i="10"/>
  <c r="U103" i="10"/>
  <c r="AP103" i="10"/>
  <c r="AM103" i="10"/>
  <c r="D103" i="10"/>
  <c r="CE103" i="10"/>
  <c r="AQ103" i="10"/>
  <c r="CN103" i="10"/>
  <c r="AC103" i="10"/>
  <c r="AX103" i="10"/>
  <c r="BA103" i="10"/>
  <c r="J103" i="10"/>
  <c r="CO103" i="10"/>
  <c r="CJ103" i="10"/>
  <c r="BR103" i="10"/>
  <c r="Y103" i="10"/>
  <c r="CW103" i="10"/>
  <c r="BV103" i="10"/>
  <c r="AN103" i="10"/>
  <c r="AO103" i="10"/>
  <c r="CX103" i="10"/>
  <c r="BZ103" i="10"/>
  <c r="BP103" i="10"/>
  <c r="E103" i="10"/>
  <c r="BL103" i="10"/>
  <c r="BQ103" i="10"/>
  <c r="AD103" i="10"/>
  <c r="O103" i="10"/>
  <c r="AR103" i="10"/>
  <c r="BC103" i="10"/>
  <c r="AK103" i="10"/>
  <c r="CG103" i="10"/>
  <c r="S103" i="10"/>
  <c r="CQ103" i="10"/>
  <c r="BW103" i="10"/>
  <c r="CB103" i="10"/>
  <c r="BO103" i="10"/>
  <c r="F103" i="10"/>
  <c r="CA103" i="10"/>
  <c r="Z103" i="10"/>
  <c r="I103" i="10"/>
  <c r="T103" i="10"/>
  <c r="BX103" i="10"/>
  <c r="AB103" i="10"/>
  <c r="AE103" i="10"/>
  <c r="CU103" i="10"/>
  <c r="BY103" i="10"/>
  <c r="AI103" i="10"/>
  <c r="AL103" i="10"/>
  <c r="X103" i="10"/>
  <c r="AH103" i="10"/>
  <c r="BT103" i="10"/>
  <c r="BH103" i="10"/>
  <c r="CP103" i="10"/>
  <c r="AA103" i="10"/>
  <c r="AF103" i="10"/>
  <c r="AJ103" i="10"/>
  <c r="CY103" i="10"/>
  <c r="CZ103" i="10" s="1" a="1"/>
  <c r="CZ103" i="10" s="1"/>
  <c r="CZ7" i="1" l="1"/>
  <c r="DA2" i="1" l="1"/>
  <c r="DA5" i="1" s="1"/>
  <c r="B104" i="10"/>
  <c r="CZ8" i="1"/>
  <c r="DA10" i="1"/>
  <c r="DA6" i="1"/>
  <c r="DA7" i="1" l="1"/>
  <c r="DA9" i="1"/>
  <c r="D104" i="10"/>
  <c r="CB104" i="10"/>
  <c r="AU104" i="10"/>
  <c r="C104" i="10"/>
  <c r="BH104" i="10"/>
  <c r="CQ104" i="10"/>
  <c r="R104" i="10"/>
  <c r="AF104" i="10"/>
  <c r="AH104" i="10"/>
  <c r="BI104" i="10"/>
  <c r="BT104" i="10"/>
  <c r="CY104" i="10"/>
  <c r="CR104" i="10"/>
  <c r="AE104" i="10"/>
  <c r="BL104" i="10"/>
  <c r="V104" i="10"/>
  <c r="BS104" i="10"/>
  <c r="CA104" i="10"/>
  <c r="BZ104" i="10"/>
  <c r="BO104" i="10"/>
  <c r="L104" i="10"/>
  <c r="O104" i="10"/>
  <c r="W104" i="10"/>
  <c r="AW104" i="10"/>
  <c r="AA104" i="10"/>
  <c r="Y104" i="10"/>
  <c r="AX104" i="10"/>
  <c r="T104" i="10"/>
  <c r="AO104" i="10"/>
  <c r="CL104" i="10"/>
  <c r="AL104" i="10"/>
  <c r="CW104" i="10"/>
  <c r="CT104" i="10"/>
  <c r="X104" i="10"/>
  <c r="CV104" i="10"/>
  <c r="CM104" i="10"/>
  <c r="CN104" i="10"/>
  <c r="J104" i="10"/>
  <c r="AM104" i="10"/>
  <c r="E104" i="10"/>
  <c r="CE104" i="10"/>
  <c r="CS104" i="10"/>
  <c r="AZ104" i="10"/>
  <c r="BY104" i="10"/>
  <c r="CF104" i="10"/>
  <c r="BG104" i="10"/>
  <c r="CC104" i="10"/>
  <c r="AC104" i="10"/>
  <c r="AG104" i="10"/>
  <c r="BV104" i="10"/>
  <c r="AP104" i="10"/>
  <c r="AV104" i="10"/>
  <c r="P104" i="10"/>
  <c r="BM104" i="10"/>
  <c r="AT104" i="10"/>
  <c r="CO104" i="10"/>
  <c r="M104" i="10"/>
  <c r="G104" i="10"/>
  <c r="BP104" i="10"/>
  <c r="BU104" i="10"/>
  <c r="Q104" i="10"/>
  <c r="AQ104" i="10"/>
  <c r="BJ104" i="10"/>
  <c r="BF104" i="10"/>
  <c r="CK104" i="10"/>
  <c r="CI104" i="10"/>
  <c r="BC104" i="10"/>
  <c r="I104" i="10"/>
  <c r="AY104" i="10"/>
  <c r="AS104" i="10"/>
  <c r="CZ104" i="10"/>
  <c r="AR104" i="10"/>
  <c r="BK104" i="10"/>
  <c r="CG104" i="10"/>
  <c r="BX104" i="10"/>
  <c r="CH104" i="10"/>
  <c r="K104" i="10"/>
  <c r="BE104" i="10"/>
  <c r="AN104" i="10"/>
  <c r="BQ104" i="10"/>
  <c r="BR104" i="10"/>
  <c r="AI104" i="10"/>
  <c r="U104" i="10"/>
  <c r="BW104" i="10"/>
  <c r="AJ104" i="10"/>
  <c r="H104" i="10"/>
  <c r="BD104" i="10"/>
  <c r="CU104" i="10"/>
  <c r="AK104" i="10"/>
  <c r="BN104" i="10"/>
  <c r="AD104" i="10"/>
  <c r="CP104" i="10"/>
  <c r="S104" i="10"/>
  <c r="CD104" i="10"/>
  <c r="Z104" i="10"/>
  <c r="CJ104" i="10"/>
  <c r="F104" i="10"/>
  <c r="BB104" i="10"/>
  <c r="N104" i="10"/>
  <c r="CX104" i="10"/>
  <c r="BA104" i="10"/>
  <c r="AB104" i="10"/>
  <c r="B105" i="10"/>
  <c r="BH105" i="10" s="1"/>
  <c r="DB6" i="1"/>
  <c r="DA8" i="1"/>
  <c r="AV105" i="10" l="1"/>
  <c r="E105" i="10"/>
  <c r="CB105" i="10"/>
  <c r="CW105" i="10"/>
  <c r="CT105" i="10"/>
  <c r="V105" i="10"/>
  <c r="O105" i="10"/>
  <c r="CK105" i="10"/>
  <c r="CQ105" i="10"/>
  <c r="G105" i="10"/>
  <c r="W105" i="10"/>
  <c r="CP105" i="10"/>
  <c r="K105" i="10"/>
  <c r="BT105" i="10"/>
  <c r="AT105" i="10"/>
  <c r="AJ105" i="10"/>
  <c r="BZ105" i="10"/>
  <c r="AP105" i="10"/>
  <c r="F105" i="10"/>
  <c r="AS105" i="10"/>
  <c r="AB105" i="10"/>
  <c r="AE105" i="10"/>
  <c r="CS105" i="10"/>
  <c r="Q105" i="10"/>
  <c r="AW105" i="10"/>
  <c r="CY105" i="10"/>
  <c r="CN105" i="10"/>
  <c r="R105" i="10"/>
  <c r="BX105" i="10"/>
  <c r="BG105" i="10"/>
  <c r="AZ105" i="10"/>
  <c r="BO105" i="10"/>
  <c r="CL105" i="10"/>
  <c r="CD105" i="10"/>
  <c r="CC105" i="10"/>
  <c r="S105" i="10"/>
  <c r="BK105" i="10"/>
  <c r="BD105" i="10"/>
  <c r="BC105" i="10"/>
  <c r="AM105" i="10"/>
  <c r="AG105" i="10"/>
  <c r="AC105" i="10"/>
  <c r="AI105" i="10"/>
  <c r="BE105" i="10"/>
  <c r="BF105" i="10"/>
  <c r="BB105" i="10"/>
  <c r="L105" i="10"/>
  <c r="AL105" i="10"/>
  <c r="AH105" i="10"/>
  <c r="BQ105" i="10"/>
  <c r="T105" i="10"/>
  <c r="BA105" i="10"/>
  <c r="CJ105" i="10"/>
  <c r="U105" i="10"/>
  <c r="CA105" i="10"/>
  <c r="AF105" i="10"/>
  <c r="AA105" i="10"/>
  <c r="BY105" i="10"/>
  <c r="J105" i="10"/>
  <c r="AN105" i="10"/>
  <c r="BV105" i="10"/>
  <c r="H105" i="10"/>
  <c r="AR105" i="10"/>
  <c r="CG105" i="10"/>
  <c r="AY105" i="10"/>
  <c r="X105" i="10"/>
  <c r="BM105" i="10"/>
  <c r="BI105" i="10"/>
  <c r="CI105" i="10"/>
  <c r="AX105" i="10"/>
  <c r="BR105" i="10"/>
  <c r="CF105" i="10"/>
  <c r="AD105" i="10"/>
  <c r="Z105" i="10"/>
  <c r="CX105" i="10"/>
  <c r="I105" i="10"/>
  <c r="AU105" i="10"/>
  <c r="DB2" i="1"/>
  <c r="DB10" i="1" s="1"/>
  <c r="DA104" i="10" a="1"/>
  <c r="DA104" i="10" s="1"/>
  <c r="AQ105" i="10"/>
  <c r="CM105" i="10"/>
  <c r="CZ105" i="10"/>
  <c r="CE105" i="10"/>
  <c r="AO105" i="10"/>
  <c r="CO105" i="10"/>
  <c r="BS105" i="10"/>
  <c r="CR105" i="10"/>
  <c r="M105" i="10"/>
  <c r="BU105" i="10"/>
  <c r="P105" i="10"/>
  <c r="N105" i="10"/>
  <c r="BJ105" i="10"/>
  <c r="BL105" i="10"/>
  <c r="DA105" i="10"/>
  <c r="AK105" i="10"/>
  <c r="CH105" i="10"/>
  <c r="BN105" i="10"/>
  <c r="BP105" i="10"/>
  <c r="BW105" i="10"/>
  <c r="CU105" i="10"/>
  <c r="C105" i="10"/>
  <c r="Y105" i="10"/>
  <c r="CV105" i="10"/>
  <c r="D105" i="10"/>
  <c r="DB105" i="10" l="1" a="1"/>
  <c r="DB105" i="10" s="1"/>
  <c r="DB5" i="1"/>
  <c r="DB9" i="1" s="1"/>
  <c r="DB7" i="1" l="1"/>
  <c r="DB8" i="1" l="1"/>
  <c r="DC6" i="1"/>
  <c r="B106" i="10"/>
  <c r="DC2" i="1"/>
  <c r="DC5" i="1" s="1"/>
  <c r="DC9" i="1" s="1"/>
  <c r="DC7" i="1" l="1"/>
  <c r="CH106" i="10"/>
  <c r="BU106" i="10"/>
  <c r="W106" i="10"/>
  <c r="CO106" i="10"/>
  <c r="BD106" i="10"/>
  <c r="L106" i="10"/>
  <c r="CL106" i="10"/>
  <c r="N106" i="10"/>
  <c r="O106" i="10"/>
  <c r="AJ106" i="10"/>
  <c r="AU106" i="10"/>
  <c r="BI106" i="10"/>
  <c r="AI106" i="10"/>
  <c r="J106" i="10"/>
  <c r="AV106" i="10"/>
  <c r="CM106" i="10"/>
  <c r="AO106" i="10"/>
  <c r="AY106" i="10"/>
  <c r="AP106" i="10"/>
  <c r="CI106" i="10"/>
  <c r="BX106" i="10"/>
  <c r="K106" i="10"/>
  <c r="CW106" i="10"/>
  <c r="BN106" i="10"/>
  <c r="AK106" i="10"/>
  <c r="AC106" i="10"/>
  <c r="CJ106" i="10"/>
  <c r="AR106" i="10"/>
  <c r="AL106" i="10"/>
  <c r="Q106" i="10"/>
  <c r="BV106" i="10"/>
  <c r="BL106" i="10"/>
  <c r="BT106" i="10"/>
  <c r="BG106" i="10"/>
  <c r="CE106" i="10"/>
  <c r="BQ106" i="10"/>
  <c r="BA106" i="10"/>
  <c r="BO106" i="10"/>
  <c r="CG106" i="10"/>
  <c r="DB106" i="10"/>
  <c r="AW106" i="10"/>
  <c r="X106" i="10"/>
  <c r="CB106" i="10"/>
  <c r="V106" i="10"/>
  <c r="BK106" i="10"/>
  <c r="AE106" i="10"/>
  <c r="CK106" i="10"/>
  <c r="CQ106" i="10"/>
  <c r="T106" i="10"/>
  <c r="AD106" i="10"/>
  <c r="D106" i="10"/>
  <c r="CX106" i="10"/>
  <c r="BB106" i="10"/>
  <c r="BW106" i="10"/>
  <c r="CS106" i="10"/>
  <c r="AA106" i="10"/>
  <c r="C106" i="10"/>
  <c r="BH106" i="10"/>
  <c r="AM106" i="10"/>
  <c r="AG106" i="10"/>
  <c r="CC106" i="10"/>
  <c r="E106" i="10"/>
  <c r="BJ106" i="10"/>
  <c r="F106" i="10"/>
  <c r="CA106" i="10"/>
  <c r="CY106" i="10"/>
  <c r="Z106" i="10"/>
  <c r="BM106" i="10"/>
  <c r="CZ106" i="10"/>
  <c r="BY106" i="10"/>
  <c r="CP106" i="10"/>
  <c r="H106" i="10"/>
  <c r="AN106" i="10"/>
  <c r="Y106" i="10"/>
  <c r="P106" i="10"/>
  <c r="U106" i="10"/>
  <c r="DA106" i="10"/>
  <c r="BC106" i="10"/>
  <c r="BS106" i="10"/>
  <c r="AX106" i="10"/>
  <c r="AQ106" i="10"/>
  <c r="BE106" i="10"/>
  <c r="R106" i="10"/>
  <c r="AT106" i="10"/>
  <c r="AS106" i="10"/>
  <c r="BZ106" i="10"/>
  <c r="BF106" i="10"/>
  <c r="CN106" i="10"/>
  <c r="CD106" i="10"/>
  <c r="BP106" i="10"/>
  <c r="M106" i="10"/>
  <c r="AZ106" i="10"/>
  <c r="AF106" i="10"/>
  <c r="I106" i="10"/>
  <c r="AH106" i="10"/>
  <c r="CT106" i="10"/>
  <c r="G106" i="10"/>
  <c r="CV106" i="10"/>
  <c r="CR106" i="10"/>
  <c r="BR106" i="10"/>
  <c r="S106" i="10"/>
  <c r="AB106" i="10"/>
  <c r="CU106" i="10"/>
  <c r="CF106" i="10"/>
  <c r="DC10" i="1"/>
  <c r="DC106" i="10" l="1" a="1"/>
  <c r="DC106" i="10" s="1"/>
  <c r="DD2" i="1"/>
  <c r="DD5" i="1" s="1"/>
  <c r="DD9" i="1" s="1"/>
  <c r="DD6" i="1"/>
  <c r="DC8" i="1"/>
  <c r="B107" i="10"/>
  <c r="DD10" i="1"/>
  <c r="DD7" i="1" l="1"/>
  <c r="CB107" i="10"/>
  <c r="O107" i="10"/>
  <c r="I107" i="10"/>
  <c r="S107" i="10"/>
  <c r="U107" i="10"/>
  <c r="BH107" i="10"/>
  <c r="CP107" i="10"/>
  <c r="AM107" i="10"/>
  <c r="BQ107" i="10"/>
  <c r="BW107" i="10"/>
  <c r="AC107" i="10"/>
  <c r="CZ107" i="10"/>
  <c r="AU107" i="10"/>
  <c r="AS107" i="10"/>
  <c r="AD107" i="10"/>
  <c r="BO107" i="10"/>
  <c r="BM107" i="10"/>
  <c r="BF107" i="10"/>
  <c r="CO107" i="10"/>
  <c r="AK107" i="10"/>
  <c r="CK107" i="10"/>
  <c r="CY107" i="10"/>
  <c r="AI107" i="10"/>
  <c r="AQ107" i="10"/>
  <c r="CE107" i="10"/>
  <c r="BV107" i="10"/>
  <c r="BN107" i="10"/>
  <c r="AW107" i="10"/>
  <c r="F107" i="10"/>
  <c r="N107" i="10"/>
  <c r="CQ107" i="10"/>
  <c r="BK107" i="10"/>
  <c r="BE107" i="10"/>
  <c r="CT107" i="10"/>
  <c r="BP107" i="10"/>
  <c r="R107" i="10"/>
  <c r="BJ107" i="10"/>
  <c r="CH107" i="10"/>
  <c r="BR107" i="10"/>
  <c r="L107" i="10"/>
  <c r="CM107" i="10"/>
  <c r="CS107" i="10"/>
  <c r="C107" i="10"/>
  <c r="AN107" i="10"/>
  <c r="BZ107" i="10"/>
  <c r="K107" i="10"/>
  <c r="AV107" i="10"/>
  <c r="AT107" i="10"/>
  <c r="AG107" i="10"/>
  <c r="AJ107" i="10"/>
  <c r="Y107" i="10"/>
  <c r="AE107" i="10"/>
  <c r="BA107" i="10"/>
  <c r="AZ107" i="10"/>
  <c r="W107" i="10"/>
  <c r="CJ107" i="10"/>
  <c r="AX107" i="10"/>
  <c r="BT107" i="10"/>
  <c r="CN107" i="10"/>
  <c r="BS107" i="10"/>
  <c r="D107" i="10"/>
  <c r="CG107" i="10"/>
  <c r="Z107" i="10"/>
  <c r="CC107" i="10"/>
  <c r="CD107" i="10"/>
  <c r="Q107" i="10"/>
  <c r="J107" i="10"/>
  <c r="E107" i="10"/>
  <c r="DA107" i="10"/>
  <c r="BC107" i="10"/>
  <c r="V107" i="10"/>
  <c r="CL107" i="10"/>
  <c r="DC107" i="10"/>
  <c r="AF107" i="10"/>
  <c r="G107" i="10"/>
  <c r="CI107" i="10"/>
  <c r="P107" i="10"/>
  <c r="X107" i="10"/>
  <c r="CW107" i="10"/>
  <c r="DB107" i="10"/>
  <c r="AR107" i="10"/>
  <c r="BI107" i="10"/>
  <c r="CX107" i="10"/>
  <c r="CU107" i="10"/>
  <c r="AY107" i="10"/>
  <c r="BX107" i="10"/>
  <c r="BG107" i="10"/>
  <c r="CV107" i="10"/>
  <c r="BD107" i="10"/>
  <c r="BY107" i="10"/>
  <c r="AA107" i="10"/>
  <c r="BB107" i="10"/>
  <c r="CF107" i="10"/>
  <c r="AL107" i="10"/>
  <c r="AP107" i="10"/>
  <c r="AB107" i="10"/>
  <c r="CR107" i="10"/>
  <c r="AH107" i="10"/>
  <c r="BL107" i="10"/>
  <c r="M107" i="10"/>
  <c r="CA107" i="10"/>
  <c r="T107" i="10"/>
  <c r="AO107" i="10"/>
  <c r="BU107" i="10"/>
  <c r="H107" i="10"/>
  <c r="DD107" i="10" l="1" a="1"/>
  <c r="DD107" i="10" s="1"/>
  <c r="DD8" i="1"/>
  <c r="DE6" i="1"/>
  <c r="B108" i="10"/>
  <c r="DE2" i="1"/>
  <c r="DE10" i="1" s="1"/>
  <c r="DE5" i="1" l="1"/>
  <c r="DE9" i="1" s="1"/>
  <c r="BB108" i="10"/>
  <c r="BV108" i="10"/>
  <c r="BZ108" i="10"/>
  <c r="CW108" i="10"/>
  <c r="AZ108" i="10"/>
  <c r="CY108" i="10"/>
  <c r="AG108" i="10"/>
  <c r="P108" i="10"/>
  <c r="CJ108" i="10"/>
  <c r="BI108" i="10"/>
  <c r="AK108" i="10"/>
  <c r="BO108" i="10"/>
  <c r="C108" i="10"/>
  <c r="BL108" i="10"/>
  <c r="R108" i="10"/>
  <c r="AX108" i="10"/>
  <c r="F108" i="10"/>
  <c r="CS108" i="10"/>
  <c r="CF108" i="10"/>
  <c r="AI108" i="10"/>
  <c r="CM108" i="10"/>
  <c r="CD108" i="10"/>
  <c r="DC108" i="10"/>
  <c r="CQ108" i="10"/>
  <c r="AM108" i="10"/>
  <c r="BR108" i="10"/>
  <c r="BH108" i="10"/>
  <c r="DA108" i="10"/>
  <c r="X108" i="10"/>
  <c r="AV108" i="10"/>
  <c r="G108" i="10"/>
  <c r="BW108" i="10"/>
  <c r="CE108" i="10"/>
  <c r="I108" i="10"/>
  <c r="CT108" i="10"/>
  <c r="AQ108" i="10"/>
  <c r="S108" i="10"/>
  <c r="T108" i="10"/>
  <c r="AC108" i="10"/>
  <c r="Y108" i="10"/>
  <c r="CI108" i="10"/>
  <c r="M108" i="10"/>
  <c r="Q108" i="10"/>
  <c r="BC108" i="10"/>
  <c r="BN108" i="10"/>
  <c r="BA108" i="10"/>
  <c r="O108" i="10"/>
  <c r="BF108" i="10"/>
  <c r="BM108" i="10"/>
  <c r="AH108" i="10"/>
  <c r="CN108" i="10"/>
  <c r="BG108" i="10"/>
  <c r="CB108" i="10"/>
  <c r="AO108" i="10"/>
  <c r="CP108" i="10"/>
  <c r="BJ108" i="10"/>
  <c r="CV108" i="10"/>
  <c r="BD108" i="10"/>
  <c r="AE108" i="10"/>
  <c r="AR108" i="10"/>
  <c r="CX108" i="10"/>
  <c r="L108" i="10"/>
  <c r="AD108" i="10"/>
  <c r="H108" i="10"/>
  <c r="AT108" i="10"/>
  <c r="BK108" i="10"/>
  <c r="DB108" i="10"/>
  <c r="AJ108" i="10"/>
  <c r="AS108" i="10"/>
  <c r="AN108" i="10"/>
  <c r="AP108" i="10"/>
  <c r="AY108" i="10"/>
  <c r="CR108" i="10"/>
  <c r="BT108" i="10"/>
  <c r="CC108" i="10"/>
  <c r="CG108" i="10"/>
  <c r="CO108" i="10"/>
  <c r="AA108" i="10"/>
  <c r="BP108" i="10"/>
  <c r="E108" i="10"/>
  <c r="BU108" i="10"/>
  <c r="CK108" i="10"/>
  <c r="N108" i="10"/>
  <c r="U108" i="10"/>
  <c r="AL108" i="10"/>
  <c r="BS108" i="10"/>
  <c r="BQ108" i="10"/>
  <c r="D108" i="10"/>
  <c r="CH108" i="10"/>
  <c r="AU108" i="10"/>
  <c r="CL108" i="10"/>
  <c r="Z108" i="10"/>
  <c r="J108" i="10"/>
  <c r="CA108" i="10"/>
  <c r="W108" i="10"/>
  <c r="V108" i="10"/>
  <c r="AF108" i="10"/>
  <c r="CU108" i="10"/>
  <c r="BX108" i="10"/>
  <c r="K108" i="10"/>
  <c r="CZ108" i="10"/>
  <c r="BE108" i="10"/>
  <c r="BY108" i="10"/>
  <c r="AW108" i="10"/>
  <c r="AB108" i="10"/>
  <c r="DD108" i="10"/>
  <c r="DE108" i="10" l="1" a="1"/>
  <c r="DE108" i="10" s="1"/>
  <c r="DE7" i="1"/>
  <c r="DF2" i="1" l="1"/>
  <c r="DF5" i="1" s="1"/>
  <c r="DF9" i="1" s="1"/>
  <c r="DE8" i="1"/>
  <c r="B109" i="10"/>
  <c r="DF6" i="1"/>
  <c r="DF10" i="1" l="1"/>
  <c r="DF7" i="1"/>
  <c r="K109" i="10"/>
  <c r="F109" i="10"/>
  <c r="G109" i="10"/>
  <c r="AD109" i="10"/>
  <c r="R109" i="10"/>
  <c r="BA109" i="10"/>
  <c r="BW109" i="10"/>
  <c r="BZ109" i="10"/>
  <c r="CL109" i="10"/>
  <c r="BK109" i="10"/>
  <c r="AM109" i="10"/>
  <c r="AA109" i="10"/>
  <c r="CT109" i="10"/>
  <c r="AH109" i="10"/>
  <c r="CK109" i="10"/>
  <c r="DC109" i="10"/>
  <c r="N109" i="10"/>
  <c r="BE109" i="10"/>
  <c r="CX109" i="10"/>
  <c r="AS109" i="10"/>
  <c r="AR109" i="10"/>
  <c r="CZ109" i="10"/>
  <c r="BM109" i="10"/>
  <c r="AK109" i="10"/>
  <c r="CW109" i="10"/>
  <c r="CS109" i="10"/>
  <c r="BI109" i="10"/>
  <c r="AI109" i="10"/>
  <c r="CR109" i="10"/>
  <c r="AT109" i="10"/>
  <c r="Q109" i="10"/>
  <c r="CB109" i="10"/>
  <c r="CV109" i="10"/>
  <c r="CO109" i="10"/>
  <c r="Y109" i="10"/>
  <c r="CN109" i="10"/>
  <c r="S109" i="10"/>
  <c r="BO109" i="10"/>
  <c r="V109" i="10"/>
  <c r="AP109" i="10"/>
  <c r="AO109" i="10"/>
  <c r="AX109" i="10"/>
  <c r="AB109" i="10"/>
  <c r="CF109" i="10"/>
  <c r="T109" i="10"/>
  <c r="AZ109" i="10"/>
  <c r="P109" i="10"/>
  <c r="DB109" i="10"/>
  <c r="BL109" i="10"/>
  <c r="BR109" i="10"/>
  <c r="BG109" i="10"/>
  <c r="E109" i="10"/>
  <c r="AG109" i="10"/>
  <c r="BD109" i="10"/>
  <c r="X109" i="10"/>
  <c r="DA109" i="10"/>
  <c r="AY109" i="10"/>
  <c r="Z109" i="10"/>
  <c r="BJ109" i="10"/>
  <c r="CJ109" i="10"/>
  <c r="CY109" i="10"/>
  <c r="CA109" i="10"/>
  <c r="AC109" i="10"/>
  <c r="BX109" i="10"/>
  <c r="D109" i="10"/>
  <c r="CE109" i="10"/>
  <c r="I109" i="10"/>
  <c r="BQ109" i="10"/>
  <c r="AJ109" i="10"/>
  <c r="BC109" i="10"/>
  <c r="BH109" i="10"/>
  <c r="CD109" i="10"/>
  <c r="CP109" i="10"/>
  <c r="AE109" i="10"/>
  <c r="BP109" i="10"/>
  <c r="BF109" i="10"/>
  <c r="BT109" i="10"/>
  <c r="BN109" i="10"/>
  <c r="W109" i="10"/>
  <c r="L109" i="10"/>
  <c r="CC109" i="10"/>
  <c r="AV109" i="10"/>
  <c r="J109" i="10"/>
  <c r="AU109" i="10"/>
  <c r="CM109" i="10"/>
  <c r="CU109" i="10"/>
  <c r="O109" i="10"/>
  <c r="C109" i="10"/>
  <c r="AN109" i="10"/>
  <c r="DD109" i="10"/>
  <c r="BY109" i="10"/>
  <c r="CG109" i="10"/>
  <c r="BV109" i="10"/>
  <c r="CH109" i="10"/>
  <c r="CQ109" i="10"/>
  <c r="U109" i="10"/>
  <c r="AF109" i="10"/>
  <c r="AL109" i="10"/>
  <c r="BS109" i="10"/>
  <c r="H109" i="10"/>
  <c r="M109" i="10"/>
  <c r="BB109" i="10"/>
  <c r="BU109" i="10"/>
  <c r="AW109" i="10"/>
  <c r="CI109" i="10"/>
  <c r="AQ109" i="10"/>
  <c r="DE109" i="10"/>
  <c r="DF109" i="10" l="1" a="1"/>
  <c r="DF109" i="10" s="1"/>
  <c r="DG6" i="1"/>
  <c r="DF8" i="1"/>
  <c r="B110" i="10"/>
  <c r="DG2" i="1"/>
  <c r="DG10" i="1" s="1"/>
  <c r="DG5" i="1" l="1"/>
  <c r="DG9" i="1" s="1"/>
  <c r="T110" i="10"/>
  <c r="BL110" i="10"/>
  <c r="N110" i="10"/>
  <c r="CG110" i="10"/>
  <c r="K110" i="10"/>
  <c r="BE110" i="10"/>
  <c r="BS110" i="10"/>
  <c r="U110" i="10"/>
  <c r="DC110" i="10"/>
  <c r="BC110" i="10"/>
  <c r="AH110" i="10"/>
  <c r="CL110" i="10"/>
  <c r="AS110" i="10"/>
  <c r="CV110" i="10"/>
  <c r="BY110" i="10"/>
  <c r="AO110" i="10"/>
  <c r="G110" i="10"/>
  <c r="CI110" i="10"/>
  <c r="AZ110" i="10"/>
  <c r="BN110" i="10"/>
  <c r="DE110" i="10"/>
  <c r="BJ110" i="10"/>
  <c r="R110" i="10"/>
  <c r="CU110" i="10"/>
  <c r="CB110" i="10"/>
  <c r="M110" i="10"/>
  <c r="I110" i="10"/>
  <c r="BB110" i="10"/>
  <c r="AF110" i="10"/>
  <c r="AG110" i="10"/>
  <c r="CC110" i="10"/>
  <c r="AY110" i="10"/>
  <c r="CH110" i="10"/>
  <c r="Y110" i="10"/>
  <c r="S110" i="10"/>
  <c r="AD110" i="10"/>
  <c r="BF110" i="10"/>
  <c r="E110" i="10"/>
  <c r="BH110" i="10"/>
  <c r="BD110" i="10"/>
  <c r="AQ110" i="10"/>
  <c r="BA110" i="10"/>
  <c r="CA110" i="10"/>
  <c r="BT110" i="10"/>
  <c r="J110" i="10"/>
  <c r="BI110" i="10"/>
  <c r="CO110" i="10"/>
  <c r="AW110" i="10"/>
  <c r="AL110" i="10"/>
  <c r="CP110" i="10"/>
  <c r="AR110" i="10"/>
  <c r="AP110" i="10"/>
  <c r="BQ110" i="10"/>
  <c r="AA110" i="10"/>
  <c r="AM110" i="10"/>
  <c r="V110" i="10"/>
  <c r="CM110" i="10"/>
  <c r="Z110" i="10"/>
  <c r="BV110" i="10"/>
  <c r="DA110" i="10"/>
  <c r="X110" i="10"/>
  <c r="CN110" i="10"/>
  <c r="AI110" i="10"/>
  <c r="AK110" i="10"/>
  <c r="D110" i="10"/>
  <c r="CF110" i="10"/>
  <c r="CX110" i="10"/>
  <c r="O110" i="10"/>
  <c r="AV110" i="10"/>
  <c r="BP110" i="10"/>
  <c r="BZ110" i="10"/>
  <c r="AX110" i="10"/>
  <c r="BK110" i="10"/>
  <c r="CQ110" i="10"/>
  <c r="L110" i="10"/>
  <c r="CD110" i="10"/>
  <c r="DD110" i="10"/>
  <c r="AE110" i="10"/>
  <c r="BW110" i="10"/>
  <c r="CW110" i="10"/>
  <c r="H110" i="10"/>
  <c r="AU110" i="10"/>
  <c r="AT110" i="10"/>
  <c r="C110" i="10"/>
  <c r="BO110" i="10"/>
  <c r="CT110" i="10"/>
  <c r="AN110" i="10"/>
  <c r="P110" i="10"/>
  <c r="CZ110" i="10"/>
  <c r="CK110" i="10"/>
  <c r="Q110" i="10"/>
  <c r="BU110" i="10"/>
  <c r="AB110" i="10"/>
  <c r="BM110" i="10"/>
  <c r="DB110" i="10"/>
  <c r="CR110" i="10"/>
  <c r="CJ110" i="10"/>
  <c r="AC110" i="10"/>
  <c r="CY110" i="10"/>
  <c r="BR110" i="10"/>
  <c r="CS110" i="10"/>
  <c r="CE110" i="10"/>
  <c r="BG110" i="10"/>
  <c r="F110" i="10"/>
  <c r="BX110" i="10"/>
  <c r="W110" i="10"/>
  <c r="AJ110" i="10"/>
  <c r="DF110" i="10"/>
  <c r="DG110" i="10" l="1" a="1"/>
  <c r="DG110" i="10" s="1"/>
  <c r="DG7" i="1"/>
  <c r="DH6" i="1" l="1"/>
  <c r="B111" i="10"/>
  <c r="DG111" i="10" s="1"/>
  <c r="DG8" i="1"/>
  <c r="DH2" i="1"/>
  <c r="DH10" i="1" s="1"/>
  <c r="DH5" i="1" l="1"/>
  <c r="DH9" i="1" s="1"/>
  <c r="DH7" i="1"/>
  <c r="AJ111" i="10"/>
  <c r="AT111" i="10"/>
  <c r="CL111" i="10"/>
  <c r="CK111" i="10"/>
  <c r="CU111" i="10"/>
  <c r="AE111" i="10"/>
  <c r="K111" i="10"/>
  <c r="BF111" i="10"/>
  <c r="DC111" i="10"/>
  <c r="CO111" i="10"/>
  <c r="AM111" i="10"/>
  <c r="R111" i="10"/>
  <c r="CZ111" i="10"/>
  <c r="BK111" i="10"/>
  <c r="Z111" i="10"/>
  <c r="BD111" i="10"/>
  <c r="BX111" i="10"/>
  <c r="CH111" i="10"/>
  <c r="AA111" i="10"/>
  <c r="AY111" i="10"/>
  <c r="AH111" i="10"/>
  <c r="AO111" i="10"/>
  <c r="BU111" i="10"/>
  <c r="AD111" i="10"/>
  <c r="CW111" i="10"/>
  <c r="O111" i="10"/>
  <c r="DF111" i="10"/>
  <c r="BW111" i="10"/>
  <c r="BV111" i="10"/>
  <c r="AK111" i="10"/>
  <c r="M111" i="10"/>
  <c r="BY111" i="10"/>
  <c r="L111" i="10"/>
  <c r="CT111" i="10"/>
  <c r="CS111" i="10"/>
  <c r="BB111" i="10"/>
  <c r="F111" i="10"/>
  <c r="BP111" i="10"/>
  <c r="AS111" i="10"/>
  <c r="CY111" i="10"/>
  <c r="AU111" i="10"/>
  <c r="AL111" i="10"/>
  <c r="CX111" i="10"/>
  <c r="AV111" i="10"/>
  <c r="CE111" i="10"/>
  <c r="BC111" i="10"/>
  <c r="CM111" i="10"/>
  <c r="BM111" i="10"/>
  <c r="P111" i="10"/>
  <c r="BL111" i="10"/>
  <c r="BT111" i="10"/>
  <c r="CN111" i="10"/>
  <c r="J111" i="10"/>
  <c r="V111" i="10"/>
  <c r="AZ111" i="10"/>
  <c r="CB111" i="10"/>
  <c r="DE111" i="10"/>
  <c r="AX111" i="10"/>
  <c r="CC111" i="10"/>
  <c r="BE111" i="10"/>
  <c r="CQ111" i="10"/>
  <c r="BQ111" i="10"/>
  <c r="AG111" i="10"/>
  <c r="E111" i="10"/>
  <c r="AR111" i="10"/>
  <c r="BH111" i="10"/>
  <c r="DA111" i="10"/>
  <c r="CV111" i="10"/>
  <c r="I111" i="10"/>
  <c r="Y111" i="10"/>
  <c r="CA111" i="10"/>
  <c r="BO111" i="10"/>
  <c r="BR111" i="10"/>
  <c r="Q111" i="10"/>
  <c r="CI111" i="10"/>
  <c r="BI111" i="10"/>
  <c r="BS111" i="10"/>
  <c r="G111" i="10"/>
  <c r="AC111" i="10"/>
  <c r="C111" i="10"/>
  <c r="DH111" i="10" s="1" a="1"/>
  <c r="DH111" i="10" s="1"/>
  <c r="U111" i="10"/>
  <c r="CG111" i="10"/>
  <c r="BJ111" i="10"/>
  <c r="D111" i="10"/>
  <c r="H111" i="10"/>
  <c r="AP111" i="10"/>
  <c r="DD111" i="10"/>
  <c r="AW111" i="10"/>
  <c r="AN111" i="10"/>
  <c r="CD111" i="10"/>
  <c r="CF111" i="10"/>
  <c r="BA111" i="10"/>
  <c r="DB111" i="10"/>
  <c r="AF111" i="10"/>
  <c r="T111" i="10"/>
  <c r="CR111" i="10"/>
  <c r="AB111" i="10"/>
  <c r="BG111" i="10"/>
  <c r="W111" i="10"/>
  <c r="X111" i="10"/>
  <c r="CP111" i="10"/>
  <c r="BN111" i="10"/>
  <c r="S111" i="10"/>
  <c r="AQ111" i="10"/>
  <c r="CJ111" i="10"/>
  <c r="BZ111" i="10"/>
  <c r="N111" i="10"/>
  <c r="AI111" i="10"/>
  <c r="DH8" i="1" l="1"/>
  <c r="DI6" i="1"/>
  <c r="B112" i="10"/>
  <c r="DI2" i="1"/>
  <c r="DI10" i="1" s="1"/>
  <c r="DI5" i="1" l="1"/>
  <c r="DI9" i="1" s="1"/>
  <c r="DE112" i="10"/>
  <c r="CF112" i="10"/>
  <c r="Z112" i="10"/>
  <c r="DF112" i="10"/>
  <c r="BG112" i="10"/>
  <c r="BU112" i="10"/>
  <c r="C112" i="10"/>
  <c r="BQ112" i="10"/>
  <c r="CT112" i="10"/>
  <c r="AO112" i="10"/>
  <c r="AZ112" i="10"/>
  <c r="BP112" i="10"/>
  <c r="DC112" i="10"/>
  <c r="AH112" i="10"/>
  <c r="CD112" i="10"/>
  <c r="N112" i="10"/>
  <c r="M112" i="10"/>
  <c r="CJ112" i="10"/>
  <c r="BR112" i="10"/>
  <c r="AT112" i="10"/>
  <c r="I112" i="10"/>
  <c r="P112" i="10"/>
  <c r="CK112" i="10"/>
  <c r="BC112" i="10"/>
  <c r="T112" i="10"/>
  <c r="AP112" i="10"/>
  <c r="AR112" i="10"/>
  <c r="BF112" i="10"/>
  <c r="DA112" i="10"/>
  <c r="BL112" i="10"/>
  <c r="CN112" i="10"/>
  <c r="AN112" i="10"/>
  <c r="CG112" i="10"/>
  <c r="AF112" i="10"/>
  <c r="BV112" i="10"/>
  <c r="CH112" i="10"/>
  <c r="U112" i="10"/>
  <c r="AA112" i="10"/>
  <c r="G112" i="10"/>
  <c r="CA112" i="10"/>
  <c r="CE112" i="10"/>
  <c r="CX112" i="10"/>
  <c r="BA112" i="10"/>
  <c r="BE112" i="10"/>
  <c r="H112" i="10"/>
  <c r="BW112" i="10"/>
  <c r="V112" i="10"/>
  <c r="CV112" i="10"/>
  <c r="AI112" i="10"/>
  <c r="BH112" i="10"/>
  <c r="AE112" i="10"/>
  <c r="AU112" i="10"/>
  <c r="O112" i="10"/>
  <c r="AW112" i="10"/>
  <c r="D112" i="10"/>
  <c r="AB112" i="10"/>
  <c r="W112" i="10"/>
  <c r="AX112" i="10"/>
  <c r="BI112" i="10"/>
  <c r="CI112" i="10"/>
  <c r="BK112" i="10"/>
  <c r="BN112" i="10"/>
  <c r="CW112" i="10"/>
  <c r="K112" i="10"/>
  <c r="BD112" i="10"/>
  <c r="BT112" i="10"/>
  <c r="R112" i="10"/>
  <c r="CS112" i="10"/>
  <c r="AL112" i="10"/>
  <c r="BY112" i="10"/>
  <c r="BO112" i="10"/>
  <c r="CY112" i="10"/>
  <c r="AJ112" i="10"/>
  <c r="CO112" i="10"/>
  <c r="X112" i="10"/>
  <c r="AK112" i="10"/>
  <c r="Y112" i="10"/>
  <c r="S112" i="10"/>
  <c r="CC112" i="10"/>
  <c r="CP112" i="10"/>
  <c r="CZ112" i="10"/>
  <c r="CM112" i="10"/>
  <c r="BB112" i="10"/>
  <c r="DB112" i="10"/>
  <c r="F112" i="10"/>
  <c r="AV112" i="10"/>
  <c r="BZ112" i="10"/>
  <c r="AQ112" i="10"/>
  <c r="AC112" i="10"/>
  <c r="AG112" i="10"/>
  <c r="BM112" i="10"/>
  <c r="DD112" i="10"/>
  <c r="BJ112" i="10"/>
  <c r="Q112" i="10"/>
  <c r="AD112" i="10"/>
  <c r="AS112" i="10"/>
  <c r="CQ112" i="10"/>
  <c r="CR112" i="10"/>
  <c r="AM112" i="10"/>
  <c r="J112" i="10"/>
  <c r="AY112" i="10"/>
  <c r="L112" i="10"/>
  <c r="DG112" i="10"/>
  <c r="BS112" i="10"/>
  <c r="CU112" i="10"/>
  <c r="CL112" i="10"/>
  <c r="BX112" i="10"/>
  <c r="CB112" i="10"/>
  <c r="E112" i="10"/>
  <c r="DH112" i="10"/>
  <c r="DI112" i="10" l="1" a="1"/>
  <c r="DI112" i="10" s="1"/>
  <c r="DI7" i="1"/>
  <c r="DJ2" i="1" l="1"/>
  <c r="DJ5" i="1" s="1"/>
  <c r="DJ9" i="1" s="1"/>
  <c r="B113" i="10"/>
  <c r="DI113" i="10" s="1"/>
  <c r="DI8" i="1"/>
  <c r="DJ6" i="1"/>
  <c r="DJ10" i="1" l="1"/>
  <c r="DJ7" i="1"/>
  <c r="AT113" i="10"/>
  <c r="N113" i="10"/>
  <c r="AK113" i="10"/>
  <c r="AM113" i="10"/>
  <c r="BS113" i="10"/>
  <c r="AR113" i="10"/>
  <c r="CI113" i="10"/>
  <c r="BH113" i="10"/>
  <c r="G113" i="10"/>
  <c r="DA113" i="10"/>
  <c r="CZ113" i="10"/>
  <c r="V113" i="10"/>
  <c r="BF113" i="10"/>
  <c r="BZ113" i="10"/>
  <c r="AS113" i="10"/>
  <c r="CJ113" i="10"/>
  <c r="CS113" i="10"/>
  <c r="AO113" i="10"/>
  <c r="CQ113" i="10"/>
  <c r="T113" i="10"/>
  <c r="BX113" i="10"/>
  <c r="CV113" i="10"/>
  <c r="AN113" i="10"/>
  <c r="DC113" i="10"/>
  <c r="CW113" i="10"/>
  <c r="CE113" i="10"/>
  <c r="CO113" i="10"/>
  <c r="AV113" i="10"/>
  <c r="DG113" i="10"/>
  <c r="R113" i="10"/>
  <c r="Z113" i="10"/>
  <c r="O113" i="10"/>
  <c r="DB113" i="10"/>
  <c r="DF113" i="10"/>
  <c r="AB113" i="10"/>
  <c r="CM113" i="10"/>
  <c r="AQ113" i="10"/>
  <c r="BL113" i="10"/>
  <c r="AP113" i="10"/>
  <c r="CY113" i="10"/>
  <c r="F113" i="10"/>
  <c r="BI113" i="10"/>
  <c r="BY113" i="10"/>
  <c r="D113" i="10"/>
  <c r="BU113" i="10"/>
  <c r="BQ113" i="10"/>
  <c r="BA113" i="10"/>
  <c r="AH113" i="10"/>
  <c r="AL113" i="10"/>
  <c r="CN113" i="10"/>
  <c r="H113" i="10"/>
  <c r="CK113" i="10"/>
  <c r="J113" i="10"/>
  <c r="CF113" i="10"/>
  <c r="BR113" i="10"/>
  <c r="BW113" i="10"/>
  <c r="I113" i="10"/>
  <c r="CB113" i="10"/>
  <c r="BC113" i="10"/>
  <c r="DH113" i="10"/>
  <c r="CT113" i="10"/>
  <c r="W113" i="10"/>
  <c r="S113" i="10"/>
  <c r="CD113" i="10"/>
  <c r="CR113" i="10"/>
  <c r="CX113" i="10"/>
  <c r="BT113" i="10"/>
  <c r="AU113" i="10"/>
  <c r="CL113" i="10"/>
  <c r="E113" i="10"/>
  <c r="Q113" i="10"/>
  <c r="AA113" i="10"/>
  <c r="BO113" i="10"/>
  <c r="AF113" i="10"/>
  <c r="CP113" i="10"/>
  <c r="AW113" i="10"/>
  <c r="CA113" i="10"/>
  <c r="AI113" i="10"/>
  <c r="K113" i="10"/>
  <c r="Y113" i="10"/>
  <c r="AG113" i="10"/>
  <c r="BK113" i="10"/>
  <c r="CG113" i="10"/>
  <c r="U113" i="10"/>
  <c r="AC113" i="10"/>
  <c r="CC113" i="10"/>
  <c r="BP113" i="10"/>
  <c r="BE113" i="10"/>
  <c r="BJ113" i="10"/>
  <c r="CH113" i="10"/>
  <c r="BV113" i="10"/>
  <c r="CU113" i="10"/>
  <c r="C113" i="10"/>
  <c r="DJ113" i="10" s="1" a="1"/>
  <c r="DJ113" i="10" s="1"/>
  <c r="X113" i="10"/>
  <c r="DE113" i="10"/>
  <c r="AE113" i="10"/>
  <c r="BN113" i="10"/>
  <c r="AX113" i="10"/>
  <c r="AY113" i="10"/>
  <c r="AD113" i="10"/>
  <c r="BG113" i="10"/>
  <c r="L113" i="10"/>
  <c r="BD113" i="10"/>
  <c r="AZ113" i="10"/>
  <c r="M113" i="10"/>
  <c r="DD113" i="10"/>
  <c r="BM113" i="10"/>
  <c r="P113" i="10"/>
  <c r="BB113" i="10"/>
  <c r="AJ113" i="10"/>
  <c r="DK2" i="1" l="1"/>
  <c r="DK5" i="1" s="1"/>
  <c r="DK9" i="1" s="1"/>
  <c r="B114" i="10"/>
  <c r="DK10" i="1"/>
  <c r="DK6" i="1"/>
  <c r="DJ8" i="1"/>
  <c r="DK7" i="1" l="1"/>
  <c r="Y114" i="10"/>
  <c r="AP114" i="10"/>
  <c r="BL114" i="10"/>
  <c r="AI114" i="10"/>
  <c r="BG114" i="10"/>
  <c r="R114" i="10"/>
  <c r="X114" i="10"/>
  <c r="P114" i="10"/>
  <c r="J114" i="10"/>
  <c r="CX114" i="10"/>
  <c r="CP114" i="10"/>
  <c r="CN114" i="10"/>
  <c r="BU114" i="10"/>
  <c r="CK114" i="10"/>
  <c r="CG114" i="10"/>
  <c r="AK114" i="10"/>
  <c r="G114" i="10"/>
  <c r="DI114" i="10"/>
  <c r="AC114" i="10"/>
  <c r="BB114" i="10"/>
  <c r="BC114" i="10"/>
  <c r="Q114" i="10"/>
  <c r="BJ114" i="10"/>
  <c r="AY114" i="10"/>
  <c r="H114" i="10"/>
  <c r="AA114" i="10"/>
  <c r="F114" i="10"/>
  <c r="BE114" i="10"/>
  <c r="AW114" i="10"/>
  <c r="AM114" i="10"/>
  <c r="BH114" i="10"/>
  <c r="CJ114" i="10"/>
  <c r="S114" i="10"/>
  <c r="CW114" i="10"/>
  <c r="CT114" i="10"/>
  <c r="I114" i="10"/>
  <c r="AG114" i="10"/>
  <c r="CC114" i="10"/>
  <c r="E114" i="10"/>
  <c r="DC114" i="10"/>
  <c r="BY114" i="10"/>
  <c r="BD114" i="10"/>
  <c r="CZ114" i="10"/>
  <c r="BS114" i="10"/>
  <c r="N114" i="10"/>
  <c r="M114" i="10"/>
  <c r="AB114" i="10"/>
  <c r="BX114" i="10"/>
  <c r="CM114" i="10"/>
  <c r="AV114" i="10"/>
  <c r="CH114" i="10"/>
  <c r="CA114" i="10"/>
  <c r="AF114" i="10"/>
  <c r="BK114" i="10"/>
  <c r="CQ114" i="10"/>
  <c r="BQ114" i="10"/>
  <c r="CD114" i="10"/>
  <c r="AL114" i="10"/>
  <c r="DE114" i="10"/>
  <c r="BW114" i="10"/>
  <c r="CY114" i="10"/>
  <c r="AU114" i="10"/>
  <c r="Z114" i="10"/>
  <c r="AT114" i="10"/>
  <c r="AJ114" i="10"/>
  <c r="O114" i="10"/>
  <c r="CR114" i="10"/>
  <c r="CE114" i="10"/>
  <c r="CS114" i="10"/>
  <c r="AH114" i="10"/>
  <c r="BF114" i="10"/>
  <c r="W114" i="10"/>
  <c r="BZ114" i="10"/>
  <c r="AD114" i="10"/>
  <c r="CO114" i="10"/>
  <c r="K114" i="10"/>
  <c r="DF114" i="10"/>
  <c r="AX114" i="10"/>
  <c r="CV114" i="10"/>
  <c r="D114" i="10"/>
  <c r="DB114" i="10"/>
  <c r="DA114" i="10"/>
  <c r="DD114" i="10"/>
  <c r="BM114" i="10"/>
  <c r="CI114" i="10"/>
  <c r="AR114" i="10"/>
  <c r="U114" i="10"/>
  <c r="AZ114" i="10"/>
  <c r="AQ114" i="10"/>
  <c r="AO114" i="10"/>
  <c r="CF114" i="10"/>
  <c r="BV114" i="10"/>
  <c r="BP114" i="10"/>
  <c r="DH114" i="10"/>
  <c r="AE114" i="10"/>
  <c r="BO114" i="10"/>
  <c r="BR114" i="10"/>
  <c r="CU114" i="10"/>
  <c r="AS114" i="10"/>
  <c r="L114" i="10"/>
  <c r="C114" i="10"/>
  <c r="V114" i="10"/>
  <c r="BT114" i="10"/>
  <c r="CL114" i="10"/>
  <c r="BN114" i="10"/>
  <c r="DG114" i="10"/>
  <c r="BI114" i="10"/>
  <c r="AN114" i="10"/>
  <c r="BA114" i="10"/>
  <c r="T114" i="10"/>
  <c r="CB114" i="10"/>
  <c r="DJ114" i="10"/>
  <c r="DK114" i="10" l="1" a="1"/>
  <c r="DK114" i="10" s="1"/>
  <c r="DL2" i="1"/>
  <c r="DL5" i="1" s="1"/>
  <c r="B115" i="10"/>
  <c r="DL6" i="1"/>
  <c r="DK8" i="1"/>
  <c r="DL10" i="1"/>
  <c r="DL7" i="1" l="1"/>
  <c r="DM6" i="1" s="1"/>
  <c r="DL9" i="1"/>
  <c r="B116" i="10"/>
  <c r="Y116" i="10" s="1"/>
  <c r="AQ115" i="10"/>
  <c r="CL115" i="10"/>
  <c r="AN115" i="10"/>
  <c r="O115" i="10"/>
  <c r="CS115" i="10"/>
  <c r="CO115" i="10"/>
  <c r="CU115" i="10"/>
  <c r="DC115" i="10"/>
  <c r="AO115" i="10"/>
  <c r="BG115" i="10"/>
  <c r="DH115" i="10"/>
  <c r="AF115" i="10"/>
  <c r="AV115" i="10"/>
  <c r="DI115" i="10"/>
  <c r="W115" i="10"/>
  <c r="R115" i="10"/>
  <c r="AI115" i="10"/>
  <c r="DF115" i="10"/>
  <c r="CA115" i="10"/>
  <c r="CX115" i="10"/>
  <c r="D115" i="10"/>
  <c r="DD115" i="10"/>
  <c r="E115" i="10"/>
  <c r="T115" i="10"/>
  <c r="BP115" i="10"/>
  <c r="AS115" i="10"/>
  <c r="BU115" i="10"/>
  <c r="AT115" i="10"/>
  <c r="BI115" i="10"/>
  <c r="AZ115" i="10"/>
  <c r="X115" i="10"/>
  <c r="BT115" i="10"/>
  <c r="BL115" i="10"/>
  <c r="AH115" i="10"/>
  <c r="BY115" i="10"/>
  <c r="I115" i="10"/>
  <c r="CC115" i="10"/>
  <c r="BX115" i="10"/>
  <c r="J115" i="10"/>
  <c r="AM115" i="10"/>
  <c r="CE115" i="10"/>
  <c r="F115" i="10"/>
  <c r="BV115" i="10"/>
  <c r="DJ115" i="10"/>
  <c r="BR115" i="10"/>
  <c r="DE115" i="10"/>
  <c r="C115" i="10"/>
  <c r="AY115" i="10"/>
  <c r="AX115" i="10"/>
  <c r="CR115" i="10"/>
  <c r="V115" i="10"/>
  <c r="CM115" i="10"/>
  <c r="BA115" i="10"/>
  <c r="CP115" i="10"/>
  <c r="CB115" i="10"/>
  <c r="BJ115" i="10"/>
  <c r="CJ115" i="10"/>
  <c r="BD115" i="10"/>
  <c r="DG115" i="10"/>
  <c r="BK115" i="10"/>
  <c r="CG115" i="10"/>
  <c r="BB115" i="10"/>
  <c r="AB115" i="10"/>
  <c r="Y115" i="10"/>
  <c r="DA115" i="10"/>
  <c r="BW115" i="10"/>
  <c r="G115" i="10"/>
  <c r="Q115" i="10"/>
  <c r="Z115" i="10"/>
  <c r="BZ115" i="10"/>
  <c r="AP115" i="10"/>
  <c r="P115" i="10"/>
  <c r="AU115" i="10"/>
  <c r="S115" i="10"/>
  <c r="CT115" i="10"/>
  <c r="CN115" i="10"/>
  <c r="CD115" i="10"/>
  <c r="BN115" i="10"/>
  <c r="AJ115" i="10"/>
  <c r="BQ115" i="10"/>
  <c r="CK115" i="10"/>
  <c r="AC115" i="10"/>
  <c r="CY115" i="10"/>
  <c r="BF115" i="10"/>
  <c r="CQ115" i="10"/>
  <c r="CZ115" i="10"/>
  <c r="K115" i="10"/>
  <c r="L115" i="10"/>
  <c r="AR115" i="10"/>
  <c r="AE115" i="10"/>
  <c r="BO115" i="10"/>
  <c r="N115" i="10"/>
  <c r="CW115" i="10"/>
  <c r="H115" i="10"/>
  <c r="CI115" i="10"/>
  <c r="BM115" i="10"/>
  <c r="BE115" i="10"/>
  <c r="CF115" i="10"/>
  <c r="M115" i="10"/>
  <c r="AA115" i="10"/>
  <c r="BH115" i="10"/>
  <c r="AK115" i="10"/>
  <c r="AG115" i="10"/>
  <c r="BS115" i="10"/>
  <c r="CH115" i="10"/>
  <c r="CV115" i="10"/>
  <c r="AD115" i="10"/>
  <c r="U115" i="10"/>
  <c r="DB115" i="10"/>
  <c r="AL115" i="10"/>
  <c r="BC115" i="10"/>
  <c r="AW115" i="10"/>
  <c r="DK115" i="10"/>
  <c r="DL8" i="1" l="1"/>
  <c r="AW116" i="10"/>
  <c r="S116" i="10"/>
  <c r="DF116" i="10"/>
  <c r="F116" i="10"/>
  <c r="CB116" i="10"/>
  <c r="AK116" i="10"/>
  <c r="BW116" i="10"/>
  <c r="DB116" i="10"/>
  <c r="BV116" i="10"/>
  <c r="G116" i="10"/>
  <c r="CF116" i="10"/>
  <c r="CV116" i="10"/>
  <c r="DC116" i="10"/>
  <c r="BU116" i="10"/>
  <c r="BI116" i="10"/>
  <c r="DE116" i="10"/>
  <c r="AU116" i="10"/>
  <c r="BS116" i="10"/>
  <c r="CE116" i="10"/>
  <c r="BF116" i="10"/>
  <c r="J116" i="10"/>
  <c r="DI116" i="10"/>
  <c r="CG116" i="10"/>
  <c r="Q116" i="10"/>
  <c r="BC116" i="10"/>
  <c r="CS116" i="10"/>
  <c r="AH116" i="10"/>
  <c r="CL116" i="10"/>
  <c r="BL116" i="10"/>
  <c r="CC116" i="10"/>
  <c r="AA116" i="10"/>
  <c r="AT116" i="10"/>
  <c r="CU116" i="10"/>
  <c r="P116" i="10"/>
  <c r="DG116" i="10"/>
  <c r="DD116" i="10"/>
  <c r="BH116" i="10"/>
  <c r="CK116" i="10"/>
  <c r="CT116" i="10"/>
  <c r="BY116" i="10"/>
  <c r="AD116" i="10"/>
  <c r="BA116" i="10"/>
  <c r="CN116" i="10"/>
  <c r="E116" i="10"/>
  <c r="L116" i="10"/>
  <c r="BE116" i="10"/>
  <c r="AB116" i="10"/>
  <c r="CJ116" i="10"/>
  <c r="AG116" i="10"/>
  <c r="AP116" i="10"/>
  <c r="V116" i="10"/>
  <c r="BD116" i="10"/>
  <c r="BG116" i="10"/>
  <c r="AS116" i="10"/>
  <c r="CW116" i="10"/>
  <c r="AL116" i="10"/>
  <c r="AQ116" i="10"/>
  <c r="K116" i="10"/>
  <c r="AN116" i="10"/>
  <c r="BX116" i="10"/>
  <c r="CA116" i="10"/>
  <c r="X116" i="10"/>
  <c r="CM116" i="10"/>
  <c r="BK116" i="10"/>
  <c r="CI116" i="10"/>
  <c r="AJ116" i="10"/>
  <c r="N116" i="10"/>
  <c r="AI116" i="10"/>
  <c r="BR116" i="10"/>
  <c r="DJ116" i="10"/>
  <c r="R116" i="10"/>
  <c r="CP116" i="10"/>
  <c r="AZ116" i="10"/>
  <c r="BT116" i="10"/>
  <c r="CX116" i="10"/>
  <c r="W116" i="10"/>
  <c r="CH116" i="10"/>
  <c r="AC116" i="10"/>
  <c r="BN116" i="10"/>
  <c r="T116" i="10"/>
  <c r="BZ116" i="10"/>
  <c r="I116" i="10"/>
  <c r="CY116" i="10"/>
  <c r="CR116" i="10"/>
  <c r="BB116" i="10"/>
  <c r="DK116" i="10"/>
  <c r="AX116" i="10"/>
  <c r="BJ116" i="10"/>
  <c r="AM116" i="10"/>
  <c r="O116" i="10"/>
  <c r="DM2" i="1"/>
  <c r="DM10" i="1" s="1"/>
  <c r="CZ116" i="10"/>
  <c r="BQ116" i="10"/>
  <c r="H116" i="10"/>
  <c r="DA116" i="10"/>
  <c r="AY116" i="10"/>
  <c r="M116" i="10"/>
  <c r="BM116" i="10"/>
  <c r="BO116" i="10"/>
  <c r="BP116" i="10"/>
  <c r="AO116" i="10"/>
  <c r="AR116" i="10"/>
  <c r="AV116" i="10"/>
  <c r="DH116" i="10"/>
  <c r="CQ116" i="10"/>
  <c r="CO116" i="10"/>
  <c r="U116" i="10"/>
  <c r="Z116" i="10"/>
  <c r="D116" i="10"/>
  <c r="CD116" i="10"/>
  <c r="C116" i="10"/>
  <c r="AF116" i="10"/>
  <c r="AE116" i="10"/>
  <c r="DM5" i="1" l="1"/>
  <c r="DM9" i="1" s="1"/>
  <c r="DM7" i="1" l="1"/>
  <c r="B117" i="10" l="1"/>
  <c r="DM8" i="1"/>
  <c r="DN6" i="1"/>
  <c r="DN2" i="1"/>
  <c r="DN10" i="1" s="1"/>
  <c r="DN5" i="1" l="1"/>
  <c r="DN9" i="1" s="1"/>
  <c r="CS117" i="10"/>
  <c r="AW117" i="10"/>
  <c r="R117" i="10"/>
  <c r="AG117" i="10"/>
  <c r="L117" i="10"/>
  <c r="AD117" i="10"/>
  <c r="AC117" i="10"/>
  <c r="T117" i="10"/>
  <c r="DC117" i="10"/>
  <c r="I117" i="10"/>
  <c r="DI117" i="10"/>
  <c r="DG117" i="10"/>
  <c r="N117" i="10"/>
  <c r="E117" i="10"/>
  <c r="CO117" i="10"/>
  <c r="AX117" i="10"/>
  <c r="AJ117" i="10"/>
  <c r="CF117" i="10"/>
  <c r="CK117" i="10"/>
  <c r="BN117" i="10"/>
  <c r="M117" i="10"/>
  <c r="CZ117" i="10"/>
  <c r="BY117" i="10"/>
  <c r="BM117" i="10"/>
  <c r="CY117" i="10"/>
  <c r="CX117" i="10"/>
  <c r="X117" i="10"/>
  <c r="H117" i="10"/>
  <c r="BZ117" i="10"/>
  <c r="Y117" i="10"/>
  <c r="Q117" i="10"/>
  <c r="AP117" i="10"/>
  <c r="CU117" i="10"/>
  <c r="AE117" i="10"/>
  <c r="AS117" i="10"/>
  <c r="CG117" i="10"/>
  <c r="BO117" i="10"/>
  <c r="DD117" i="10"/>
  <c r="BJ117" i="10"/>
  <c r="AB117" i="10"/>
  <c r="CT117" i="10"/>
  <c r="F117" i="10"/>
  <c r="BK117" i="10"/>
  <c r="BE117" i="10"/>
  <c r="G117" i="10"/>
  <c r="AN117" i="10"/>
  <c r="BC117" i="10"/>
  <c r="S117" i="10"/>
  <c r="BR117" i="10"/>
  <c r="BW117" i="10"/>
  <c r="AZ117" i="10"/>
  <c r="BV117" i="10"/>
  <c r="CN117" i="10"/>
  <c r="CB117" i="10"/>
  <c r="BX117" i="10"/>
  <c r="CW117" i="10"/>
  <c r="BI117" i="10"/>
  <c r="CR117" i="10"/>
  <c r="CQ117" i="10"/>
  <c r="U117" i="10"/>
  <c r="CM117" i="10"/>
  <c r="AM117" i="10"/>
  <c r="BU117" i="10"/>
  <c r="AO117" i="10"/>
  <c r="C117" i="10"/>
  <c r="DH117" i="10"/>
  <c r="DJ117" i="10"/>
  <c r="AR117" i="10"/>
  <c r="O117" i="10"/>
  <c r="BS117" i="10"/>
  <c r="AF117" i="10"/>
  <c r="BT117" i="10"/>
  <c r="W117" i="10"/>
  <c r="AA117" i="10"/>
  <c r="Z117" i="10"/>
  <c r="AQ117" i="10"/>
  <c r="AT117" i="10"/>
  <c r="V117" i="10"/>
  <c r="AK117" i="10"/>
  <c r="DB117" i="10"/>
  <c r="P117" i="10"/>
  <c r="CI117" i="10"/>
  <c r="BQ117" i="10"/>
  <c r="AL117" i="10"/>
  <c r="DE117" i="10"/>
  <c r="AU117" i="10"/>
  <c r="AY117" i="10"/>
  <c r="CL117" i="10"/>
  <c r="CC117" i="10"/>
  <c r="CH117" i="10"/>
  <c r="DK117" i="10"/>
  <c r="CP117" i="10"/>
  <c r="K117" i="10"/>
  <c r="CJ117" i="10"/>
  <c r="CV117" i="10"/>
  <c r="D117" i="10"/>
  <c r="AV117" i="10"/>
  <c r="CD117" i="10"/>
  <c r="J117" i="10"/>
  <c r="AI117" i="10"/>
  <c r="BP117" i="10"/>
  <c r="BL117" i="10"/>
  <c r="BF117" i="10"/>
  <c r="CA117" i="10"/>
  <c r="AH117" i="10"/>
  <c r="BD117" i="10"/>
  <c r="BG117" i="10"/>
  <c r="BA117" i="10"/>
  <c r="BH117" i="10"/>
  <c r="CE117" i="10"/>
  <c r="BB117" i="10"/>
  <c r="DA117" i="10"/>
  <c r="DF117" i="10"/>
  <c r="DN7" i="1" l="1"/>
  <c r="DO2" i="1" l="1"/>
  <c r="DO5" i="1" s="1"/>
  <c r="DO10" i="1"/>
  <c r="B118" i="10"/>
  <c r="DO6" i="1"/>
  <c r="DN8" i="1"/>
  <c r="DO7" i="1" l="1"/>
  <c r="DO9" i="1"/>
  <c r="DO8" i="1"/>
  <c r="DP6" i="1"/>
  <c r="B119" i="10"/>
  <c r="K119" i="10" s="1"/>
  <c r="CT118" i="10"/>
  <c r="AB118" i="10"/>
  <c r="AV118" i="10"/>
  <c r="BH118" i="10"/>
  <c r="CW118" i="10"/>
  <c r="DE118" i="10"/>
  <c r="CE118" i="10"/>
  <c r="H118" i="10"/>
  <c r="AE118" i="10"/>
  <c r="BT118" i="10"/>
  <c r="CZ118" i="10"/>
  <c r="DD118" i="10"/>
  <c r="DG118" i="10"/>
  <c r="CV118" i="10"/>
  <c r="CS118" i="10"/>
  <c r="CQ118" i="10"/>
  <c r="AK118" i="10"/>
  <c r="BG118" i="10"/>
  <c r="AF118" i="10"/>
  <c r="CU118" i="10"/>
  <c r="CF118" i="10"/>
  <c r="AM118" i="10"/>
  <c r="DI118" i="10"/>
  <c r="BY118" i="10"/>
  <c r="BB118" i="10"/>
  <c r="U118" i="10"/>
  <c r="AW118" i="10"/>
  <c r="J118" i="10"/>
  <c r="AN118" i="10"/>
  <c r="BU118" i="10"/>
  <c r="CY118" i="10"/>
  <c r="AG118" i="10"/>
  <c r="CD118" i="10"/>
  <c r="C118" i="10"/>
  <c r="AI118" i="10"/>
  <c r="X118" i="10"/>
  <c r="R118" i="10"/>
  <c r="CM118" i="10"/>
  <c r="AC118" i="10"/>
  <c r="CO118" i="10"/>
  <c r="BQ118" i="10"/>
  <c r="AD118" i="10"/>
  <c r="K118" i="10"/>
  <c r="Z118" i="10"/>
  <c r="CB118" i="10"/>
  <c r="E118" i="10"/>
  <c r="BS118" i="10"/>
  <c r="BI118" i="10"/>
  <c r="AZ118" i="10"/>
  <c r="G118" i="10"/>
  <c r="CK118" i="10"/>
  <c r="T118" i="10"/>
  <c r="DJ118" i="10"/>
  <c r="BN118" i="10"/>
  <c r="AY118" i="10"/>
  <c r="BA118" i="10"/>
  <c r="BE118" i="10"/>
  <c r="BM118" i="10"/>
  <c r="CJ118" i="10"/>
  <c r="BJ118" i="10"/>
  <c r="V118" i="10"/>
  <c r="Y118" i="10"/>
  <c r="AX118" i="10"/>
  <c r="CC118" i="10"/>
  <c r="BL118" i="10"/>
  <c r="CA118" i="10"/>
  <c r="F118" i="10"/>
  <c r="BK118" i="10"/>
  <c r="DF118" i="10"/>
  <c r="CI118" i="10"/>
  <c r="DK118" i="10"/>
  <c r="CH118" i="10"/>
  <c r="CL118" i="10"/>
  <c r="I118" i="10"/>
  <c r="DC118" i="10"/>
  <c r="AR118" i="10"/>
  <c r="S118" i="10"/>
  <c r="AO118" i="10"/>
  <c r="CR118" i="10"/>
  <c r="BV118" i="10"/>
  <c r="BR118" i="10"/>
  <c r="AP118" i="10"/>
  <c r="AJ118" i="10"/>
  <c r="Q118" i="10"/>
  <c r="L118" i="10"/>
  <c r="AL118" i="10"/>
  <c r="W118" i="10"/>
  <c r="BC118" i="10"/>
  <c r="BZ118" i="10"/>
  <c r="CP118" i="10"/>
  <c r="BF118" i="10"/>
  <c r="BP118" i="10"/>
  <c r="M118" i="10"/>
  <c r="AU118" i="10"/>
  <c r="BX118" i="10"/>
  <c r="BO118" i="10"/>
  <c r="AH118" i="10"/>
  <c r="DA118" i="10"/>
  <c r="CG118" i="10"/>
  <c r="BD118" i="10"/>
  <c r="CX118" i="10"/>
  <c r="P118" i="10"/>
  <c r="CN118" i="10"/>
  <c r="AA118" i="10"/>
  <c r="AS118" i="10"/>
  <c r="DB118" i="10"/>
  <c r="D118" i="10"/>
  <c r="N118" i="10"/>
  <c r="BW118" i="10"/>
  <c r="O118" i="10"/>
  <c r="AQ118" i="10"/>
  <c r="AT118" i="10"/>
  <c r="DH118" i="10"/>
  <c r="CV119" i="10" l="1"/>
  <c r="BG119" i="10"/>
  <c r="E119" i="10"/>
  <c r="CY119" i="10"/>
  <c r="C119" i="10"/>
  <c r="BB119" i="10"/>
  <c r="AL119" i="10"/>
  <c r="CR119" i="10"/>
  <c r="CX119" i="10"/>
  <c r="AW119" i="10"/>
  <c r="BH119" i="10"/>
  <c r="BC119" i="10"/>
  <c r="BW119" i="10"/>
  <c r="CJ119" i="10"/>
  <c r="AZ119" i="10"/>
  <c r="CN119" i="10"/>
  <c r="AI119" i="10"/>
  <c r="BY119" i="10"/>
  <c r="H119" i="10"/>
  <c r="DA119" i="10"/>
  <c r="W119" i="10"/>
  <c r="BV119" i="10"/>
  <c r="DD119" i="10"/>
  <c r="CO119" i="10"/>
  <c r="G119" i="10"/>
  <c r="BO119" i="10"/>
  <c r="BU119" i="10"/>
  <c r="DF119" i="10"/>
  <c r="D119" i="10"/>
  <c r="CF119" i="10"/>
  <c r="BE119" i="10"/>
  <c r="CW119" i="10"/>
  <c r="J119" i="10"/>
  <c r="S119" i="10"/>
  <c r="CQ119" i="10"/>
  <c r="U119" i="10"/>
  <c r="AR119" i="10"/>
  <c r="AN119" i="10"/>
  <c r="CK119" i="10"/>
  <c r="BF119" i="10"/>
  <c r="AV119" i="10"/>
  <c r="CS119" i="10"/>
  <c r="AX119" i="10"/>
  <c r="AS119" i="10"/>
  <c r="DG119" i="10"/>
  <c r="DB119" i="10"/>
  <c r="CD119" i="10"/>
  <c r="AE119" i="10"/>
  <c r="DK119" i="10"/>
  <c r="CM119" i="10"/>
  <c r="BQ119" i="10"/>
  <c r="AJ119" i="10"/>
  <c r="AP119" i="10"/>
  <c r="BA119" i="10"/>
  <c r="CA119" i="10"/>
  <c r="CB119" i="10"/>
  <c r="DC119" i="10"/>
  <c r="BT119" i="10"/>
  <c r="CH119" i="10"/>
  <c r="I119" i="10"/>
  <c r="CI119" i="10"/>
  <c r="AB119" i="10"/>
  <c r="N119" i="10"/>
  <c r="AQ119" i="10"/>
  <c r="AU119" i="10"/>
  <c r="CL119" i="10"/>
  <c r="BS119" i="10"/>
  <c r="L119" i="10"/>
  <c r="BJ119" i="10"/>
  <c r="CP119" i="10"/>
  <c r="AT119" i="10"/>
  <c r="AK119" i="10"/>
  <c r="P119" i="10"/>
  <c r="DE119" i="10"/>
  <c r="BM119" i="10"/>
  <c r="Q119" i="10"/>
  <c r="DI119" i="10"/>
  <c r="BD119" i="10"/>
  <c r="CG119" i="10"/>
  <c r="AC119" i="10"/>
  <c r="AD119" i="10"/>
  <c r="Y119" i="10"/>
  <c r="T119" i="10"/>
  <c r="AY119" i="10"/>
  <c r="CZ119" i="10"/>
  <c r="CU119" i="10"/>
  <c r="BX119" i="10"/>
  <c r="BI119" i="10"/>
  <c r="F119" i="10"/>
  <c r="AF119" i="10"/>
  <c r="CC119" i="10"/>
  <c r="AH119" i="10"/>
  <c r="BR119" i="10"/>
  <c r="BN119" i="10"/>
  <c r="AG119" i="10"/>
  <c r="BZ119" i="10"/>
  <c r="BL119" i="10"/>
  <c r="X119" i="10"/>
  <c r="AM119" i="10"/>
  <c r="DJ119" i="10"/>
  <c r="AO119" i="10"/>
  <c r="BK119" i="10"/>
  <c r="BP119" i="10"/>
  <c r="R119" i="10"/>
  <c r="CE119" i="10"/>
  <c r="V119" i="10"/>
  <c r="M119" i="10"/>
  <c r="DH119" i="10"/>
  <c r="AA119" i="10"/>
  <c r="Z119" i="10"/>
  <c r="O119" i="10"/>
  <c r="CT119" i="10"/>
  <c r="DP2" i="1"/>
  <c r="DP10" i="1" s="1"/>
  <c r="DP5" i="1" l="1"/>
  <c r="DP9" i="1" s="1"/>
  <c r="DP7" i="1" l="1"/>
  <c r="B120" i="10" l="1"/>
  <c r="DP8" i="1"/>
  <c r="DQ6" i="1"/>
  <c r="DQ2" i="1"/>
  <c r="DQ10" i="1" s="1"/>
  <c r="DQ5" i="1" l="1"/>
  <c r="DQ9" i="1" s="1"/>
  <c r="AH120" i="10"/>
  <c r="AP120" i="10"/>
  <c r="CH120" i="10"/>
  <c r="AR120" i="10"/>
  <c r="CJ120" i="10"/>
  <c r="AY120" i="10"/>
  <c r="BN120" i="10"/>
  <c r="CM120" i="10"/>
  <c r="BY120" i="10"/>
  <c r="CE120" i="10"/>
  <c r="CI120" i="10"/>
  <c r="BJ120" i="10"/>
  <c r="DK120" i="10"/>
  <c r="AO120" i="10"/>
  <c r="BV120" i="10"/>
  <c r="AJ120" i="10"/>
  <c r="BL120" i="10"/>
  <c r="H120" i="10"/>
  <c r="CF120" i="10"/>
  <c r="CC120" i="10"/>
  <c r="AZ120" i="10"/>
  <c r="CZ120" i="10"/>
  <c r="AK120" i="10"/>
  <c r="Z120" i="10"/>
  <c r="BE120" i="10"/>
  <c r="S120" i="10"/>
  <c r="W120" i="10"/>
  <c r="CS120" i="10"/>
  <c r="O120" i="10"/>
  <c r="AU120" i="10"/>
  <c r="BM120" i="10"/>
  <c r="AS120" i="10"/>
  <c r="BZ120" i="10"/>
  <c r="CL120" i="10"/>
  <c r="CK120" i="10"/>
  <c r="AT120" i="10"/>
  <c r="AC120" i="10"/>
  <c r="BS120" i="10"/>
  <c r="AQ120" i="10"/>
  <c r="DA120" i="10"/>
  <c r="BB120" i="10"/>
  <c r="BI120" i="10"/>
  <c r="L120" i="10"/>
  <c r="CT120" i="10"/>
  <c r="AG120" i="10"/>
  <c r="CA120" i="10"/>
  <c r="I120" i="10"/>
  <c r="C120" i="10"/>
  <c r="DI120" i="10"/>
  <c r="D120" i="10"/>
  <c r="CY120" i="10"/>
  <c r="CD120" i="10"/>
  <c r="G120" i="10"/>
  <c r="BF120" i="10"/>
  <c r="N120" i="10"/>
  <c r="DE120" i="10"/>
  <c r="CU120" i="10"/>
  <c r="CN120" i="10"/>
  <c r="CO120" i="10"/>
  <c r="M120" i="10"/>
  <c r="BK120" i="10"/>
  <c r="F120" i="10"/>
  <c r="CR120" i="10"/>
  <c r="DD120" i="10"/>
  <c r="AN120" i="10"/>
  <c r="BT120" i="10"/>
  <c r="AX120" i="10"/>
  <c r="BH120" i="10"/>
  <c r="BQ120" i="10"/>
  <c r="CV120" i="10"/>
  <c r="CQ120" i="10"/>
  <c r="T120" i="10"/>
  <c r="CP120" i="10"/>
  <c r="AA120" i="10"/>
  <c r="AW120" i="10"/>
  <c r="BX120" i="10"/>
  <c r="DH120" i="10"/>
  <c r="DG120" i="10"/>
  <c r="BP120" i="10"/>
  <c r="DJ120" i="10"/>
  <c r="BA120" i="10"/>
  <c r="CX120" i="10"/>
  <c r="DB120" i="10"/>
  <c r="V120" i="10"/>
  <c r="AE120" i="10"/>
  <c r="AI120" i="10"/>
  <c r="AD120" i="10"/>
  <c r="BG120" i="10"/>
  <c r="DC120" i="10"/>
  <c r="BO120" i="10"/>
  <c r="AB120" i="10"/>
  <c r="BU120" i="10"/>
  <c r="J120" i="10"/>
  <c r="BR120" i="10"/>
  <c r="DF120" i="10"/>
  <c r="BC120" i="10"/>
  <c r="AM120" i="10"/>
  <c r="Y120" i="10"/>
  <c r="E120" i="10"/>
  <c r="AF120" i="10"/>
  <c r="CB120" i="10"/>
  <c r="CG120" i="10"/>
  <c r="AL120" i="10"/>
  <c r="P120" i="10"/>
  <c r="K120" i="10"/>
  <c r="R120" i="10"/>
  <c r="U120" i="10"/>
  <c r="AV120" i="10"/>
  <c r="X120" i="10"/>
  <c r="BD120" i="10"/>
  <c r="CW120" i="10"/>
  <c r="BW120" i="10"/>
  <c r="Q120" i="10"/>
  <c r="DQ7" i="1" l="1"/>
  <c r="DR2" i="1" l="1"/>
  <c r="DR5" i="1" s="1"/>
  <c r="DR9" i="1" s="1"/>
  <c r="DR6" i="1"/>
  <c r="DR10" i="1"/>
  <c r="B121" i="10"/>
  <c r="DQ8" i="1"/>
  <c r="DR7" i="1" l="1"/>
  <c r="DB121" i="10"/>
  <c r="AD121" i="10"/>
  <c r="CO121" i="10"/>
  <c r="V121" i="10"/>
  <c r="AL121" i="10"/>
  <c r="AB121" i="10"/>
  <c r="BS121" i="10"/>
  <c r="BP121" i="10"/>
  <c r="DF121" i="10"/>
  <c r="CQ121" i="10"/>
  <c r="AT121" i="10"/>
  <c r="BB121" i="10"/>
  <c r="CU121" i="10"/>
  <c r="CZ121" i="10"/>
  <c r="AZ121" i="10"/>
  <c r="AY121" i="10"/>
  <c r="BY121" i="10"/>
  <c r="BD121" i="10"/>
  <c r="BO121" i="10"/>
  <c r="H121" i="10"/>
  <c r="CT121" i="10"/>
  <c r="Y121" i="10"/>
  <c r="BE121" i="10"/>
  <c r="CV121" i="10"/>
  <c r="CH121" i="10"/>
  <c r="AW121" i="10"/>
  <c r="Z121" i="10"/>
  <c r="AS121" i="10"/>
  <c r="AG121" i="10"/>
  <c r="BI121" i="10"/>
  <c r="DH121" i="10"/>
  <c r="AE121" i="10"/>
  <c r="CR121" i="10"/>
  <c r="CF121" i="10"/>
  <c r="AR121" i="10"/>
  <c r="CW121" i="10"/>
  <c r="D121" i="10"/>
  <c r="CM121" i="10"/>
  <c r="U121" i="10"/>
  <c r="AV121" i="10"/>
  <c r="DI121" i="10"/>
  <c r="AK121" i="10"/>
  <c r="BX121" i="10"/>
  <c r="CY121" i="10"/>
  <c r="S121" i="10"/>
  <c r="DE121" i="10"/>
  <c r="BZ121" i="10"/>
  <c r="BH121" i="10"/>
  <c r="CK121" i="10"/>
  <c r="CA121" i="10"/>
  <c r="L121" i="10"/>
  <c r="BK121" i="10"/>
  <c r="K121" i="10"/>
  <c r="DA121" i="10"/>
  <c r="DG121" i="10"/>
  <c r="DD121" i="10"/>
  <c r="CI121" i="10"/>
  <c r="CP121" i="10"/>
  <c r="CB121" i="10"/>
  <c r="CG121" i="10"/>
  <c r="DK121" i="10"/>
  <c r="BJ121" i="10"/>
  <c r="CS121" i="10"/>
  <c r="AU121" i="10"/>
  <c r="BF121" i="10"/>
  <c r="AH121" i="10"/>
  <c r="DJ121" i="10"/>
  <c r="AC121" i="10"/>
  <c r="AX121" i="10"/>
  <c r="X121" i="10"/>
  <c r="AA121" i="10"/>
  <c r="P121" i="10"/>
  <c r="C121" i="10"/>
  <c r="T121" i="10"/>
  <c r="AF121" i="10"/>
  <c r="F121" i="10"/>
  <c r="BC121" i="10"/>
  <c r="CL121" i="10"/>
  <c r="AN121" i="10"/>
  <c r="Q121" i="10"/>
  <c r="BN121" i="10"/>
  <c r="CD121" i="10"/>
  <c r="N121" i="10"/>
  <c r="CJ121" i="10"/>
  <c r="R121" i="10"/>
  <c r="W121" i="10"/>
  <c r="BR121" i="10"/>
  <c r="O121" i="10"/>
  <c r="CX121" i="10"/>
  <c r="AQ121" i="10"/>
  <c r="DC121" i="10"/>
  <c r="BW121" i="10"/>
  <c r="CE121" i="10"/>
  <c r="BT121" i="10"/>
  <c r="BL121" i="10"/>
  <c r="M121" i="10"/>
  <c r="BG121" i="10"/>
  <c r="CC121" i="10"/>
  <c r="BU121" i="10"/>
  <c r="BA121" i="10"/>
  <c r="CN121" i="10"/>
  <c r="I121" i="10"/>
  <c r="BV121" i="10"/>
  <c r="AM121" i="10"/>
  <c r="AJ121" i="10"/>
  <c r="BM121" i="10"/>
  <c r="G121" i="10"/>
  <c r="AI121" i="10"/>
  <c r="AO121" i="10"/>
  <c r="AP121" i="10"/>
  <c r="J121" i="10"/>
  <c r="E121" i="10"/>
  <c r="BQ121" i="10"/>
  <c r="B122" i="10" l="1"/>
  <c r="DR8" i="1"/>
  <c r="DS6" i="1"/>
  <c r="DS2" i="1"/>
  <c r="DS10" i="1" s="1"/>
  <c r="DS5" i="1" l="1"/>
  <c r="AT122" i="10"/>
  <c r="V122" i="10"/>
  <c r="CJ122" i="10"/>
  <c r="K122" i="10"/>
  <c r="BE122" i="10"/>
  <c r="BA122" i="10"/>
  <c r="CF122" i="10"/>
  <c r="CM122" i="10"/>
  <c r="DB122" i="10"/>
  <c r="O122" i="10"/>
  <c r="Z122" i="10"/>
  <c r="CK122" i="10"/>
  <c r="AQ122" i="10"/>
  <c r="CN122" i="10"/>
  <c r="BY122" i="10"/>
  <c r="DK122" i="10"/>
  <c r="F122" i="10"/>
  <c r="AW122" i="10"/>
  <c r="AK122" i="10"/>
  <c r="DA122" i="10"/>
  <c r="BO122" i="10"/>
  <c r="BX122" i="10"/>
  <c r="CA122" i="10"/>
  <c r="G122" i="10"/>
  <c r="AG122" i="10"/>
  <c r="CI122" i="10"/>
  <c r="N122" i="10"/>
  <c r="CP122" i="10"/>
  <c r="T122" i="10"/>
  <c r="CQ122" i="10"/>
  <c r="AX122" i="10"/>
  <c r="AY122" i="10"/>
  <c r="AE122" i="10"/>
  <c r="H122" i="10"/>
  <c r="AB122" i="10"/>
  <c r="DC122" i="10"/>
  <c r="BN122" i="10"/>
  <c r="AH122" i="10"/>
  <c r="BQ122" i="10"/>
  <c r="CR122" i="10"/>
  <c r="U122" i="10"/>
  <c r="R122" i="10"/>
  <c r="CD122" i="10"/>
  <c r="DG122" i="10"/>
  <c r="M122" i="10"/>
  <c r="BJ122" i="10"/>
  <c r="AL122" i="10"/>
  <c r="BT122" i="10"/>
  <c r="W122" i="10"/>
  <c r="AI122" i="10"/>
  <c r="CS122" i="10"/>
  <c r="J122" i="10"/>
  <c r="X122" i="10"/>
  <c r="BM122" i="10"/>
  <c r="E122" i="10"/>
  <c r="S122" i="10"/>
  <c r="BF122" i="10"/>
  <c r="CE122" i="10"/>
  <c r="L122" i="10"/>
  <c r="CO122" i="10"/>
  <c r="CX122" i="10"/>
  <c r="CU122" i="10"/>
  <c r="DD122" i="10"/>
  <c r="AF122" i="10"/>
  <c r="AN122" i="10"/>
  <c r="DJ122" i="10"/>
  <c r="CH122" i="10"/>
  <c r="DH122" i="10"/>
  <c r="BL122" i="10"/>
  <c r="D122" i="10"/>
  <c r="BP122" i="10"/>
  <c r="AU122" i="10"/>
  <c r="CY122" i="10"/>
  <c r="BG122" i="10"/>
  <c r="CB122" i="10"/>
  <c r="Y122" i="10"/>
  <c r="CV122" i="10"/>
  <c r="AJ122" i="10"/>
  <c r="DI122" i="10"/>
  <c r="BB122" i="10"/>
  <c r="AC122" i="10"/>
  <c r="AV122" i="10"/>
  <c r="BH122" i="10"/>
  <c r="AP122" i="10"/>
  <c r="P122" i="10"/>
  <c r="C122" i="10"/>
  <c r="BC122" i="10"/>
  <c r="BR122" i="10"/>
  <c r="CC122" i="10"/>
  <c r="CL122" i="10"/>
  <c r="AD122" i="10"/>
  <c r="CT122" i="10"/>
  <c r="I122" i="10"/>
  <c r="Q122" i="10"/>
  <c r="BK122" i="10"/>
  <c r="BD122" i="10"/>
  <c r="CW122" i="10"/>
  <c r="AS122" i="10"/>
  <c r="AO122" i="10"/>
  <c r="BS122" i="10"/>
  <c r="CZ122" i="10"/>
  <c r="CG122" i="10"/>
  <c r="AA122" i="10"/>
  <c r="AM122" i="10"/>
  <c r="BZ122" i="10"/>
  <c r="AR122" i="10"/>
  <c r="BV122" i="10"/>
  <c r="BW122" i="10"/>
  <c r="DF122" i="10"/>
  <c r="BI122" i="10"/>
  <c r="BU122" i="10"/>
  <c r="AZ122" i="10"/>
  <c r="DE122" i="10"/>
  <c r="DS7" i="1" l="1"/>
  <c r="DS9" i="1"/>
  <c r="B123" i="10"/>
  <c r="DS8" i="1"/>
  <c r="DT6" i="1"/>
  <c r="DT2" i="1" l="1"/>
  <c r="DT10" i="1" s="1"/>
  <c r="CW123" i="10"/>
  <c r="AB123" i="10"/>
  <c r="AZ123" i="10"/>
  <c r="CL123" i="10"/>
  <c r="BJ123" i="10"/>
  <c r="DA123" i="10"/>
  <c r="CC123" i="10"/>
  <c r="J123" i="10"/>
  <c r="AI123" i="10"/>
  <c r="AK123" i="10"/>
  <c r="P123" i="10"/>
  <c r="DB123" i="10"/>
  <c r="Y123" i="10"/>
  <c r="CA123" i="10"/>
  <c r="DG123" i="10"/>
  <c r="L123" i="10"/>
  <c r="DF123" i="10"/>
  <c r="DH123" i="10"/>
  <c r="CO123" i="10"/>
  <c r="X123" i="10"/>
  <c r="CX123" i="10"/>
  <c r="AH123" i="10"/>
  <c r="BY123" i="10"/>
  <c r="DE123" i="10"/>
  <c r="BV123" i="10"/>
  <c r="AW123" i="10"/>
  <c r="BW123" i="10"/>
  <c r="BK123" i="10"/>
  <c r="CG123" i="10"/>
  <c r="AQ123" i="10"/>
  <c r="CT123" i="10"/>
  <c r="AX123" i="10"/>
  <c r="Q123" i="10"/>
  <c r="AY123" i="10"/>
  <c r="BN123" i="10"/>
  <c r="AS123" i="10"/>
  <c r="T123" i="10"/>
  <c r="AU123" i="10"/>
  <c r="AA123" i="10"/>
  <c r="BP123" i="10"/>
  <c r="AT123" i="10"/>
  <c r="DK123" i="10"/>
  <c r="AJ123" i="10"/>
  <c r="BA123" i="10"/>
  <c r="CS123" i="10"/>
  <c r="CI123" i="10"/>
  <c r="G123" i="10"/>
  <c r="BT123" i="10"/>
  <c r="CN123" i="10"/>
  <c r="BH123" i="10"/>
  <c r="AG123" i="10"/>
  <c r="DC123" i="10"/>
  <c r="C123" i="10"/>
  <c r="BL123" i="10"/>
  <c r="BR123" i="10"/>
  <c r="CV123" i="10"/>
  <c r="F123" i="10"/>
  <c r="DI123" i="10"/>
  <c r="BU123" i="10"/>
  <c r="CR123" i="10"/>
  <c r="CF123" i="10"/>
  <c r="AV123" i="10"/>
  <c r="DJ123" i="10"/>
  <c r="AO123" i="10"/>
  <c r="AM123" i="10"/>
  <c r="CD123" i="10"/>
  <c r="CQ123" i="10"/>
  <c r="CB123" i="10"/>
  <c r="BD123" i="10"/>
  <c r="AF123" i="10"/>
  <c r="BB123" i="10"/>
  <c r="CJ123" i="10"/>
  <c r="CE123" i="10"/>
  <c r="Z123" i="10"/>
  <c r="BQ123" i="10"/>
  <c r="AL123" i="10"/>
  <c r="AD123" i="10"/>
  <c r="AE123" i="10"/>
  <c r="BO123" i="10"/>
  <c r="CZ123" i="10"/>
  <c r="W123" i="10"/>
  <c r="I123" i="10"/>
  <c r="CY123" i="10"/>
  <c r="H123" i="10"/>
  <c r="N123" i="10"/>
  <c r="M123" i="10"/>
  <c r="BC123" i="10"/>
  <c r="CK123" i="10"/>
  <c r="BI123" i="10"/>
  <c r="CP123" i="10"/>
  <c r="AC123" i="10"/>
  <c r="D123" i="10"/>
  <c r="CM123" i="10"/>
  <c r="BM123" i="10"/>
  <c r="DD123" i="10"/>
  <c r="U123" i="10"/>
  <c r="AR123" i="10"/>
  <c r="R123" i="10"/>
  <c r="BG123" i="10"/>
  <c r="BE123" i="10"/>
  <c r="AN123" i="10"/>
  <c r="S123" i="10"/>
  <c r="BX123" i="10"/>
  <c r="CU123" i="10"/>
  <c r="E123" i="10"/>
  <c r="BS123" i="10"/>
  <c r="BZ123" i="10"/>
  <c r="V123" i="10"/>
  <c r="CH123" i="10"/>
  <c r="AP123" i="10"/>
  <c r="BF123" i="10"/>
  <c r="K123" i="10"/>
  <c r="O123" i="10"/>
  <c r="DT5" i="1" l="1"/>
  <c r="DT9" i="1" s="1"/>
  <c r="DT7" i="1" l="1"/>
  <c r="DT8" i="1" l="1"/>
  <c r="B124" i="10"/>
  <c r="DU6" i="1"/>
  <c r="DU2" i="1"/>
  <c r="DU10" i="1" s="1"/>
  <c r="DU5" i="1" l="1"/>
  <c r="DU9" i="1" s="1"/>
  <c r="L124" i="10"/>
  <c r="AO124" i="10"/>
  <c r="C124" i="10"/>
  <c r="CD124" i="10"/>
  <c r="H124" i="10"/>
  <c r="BX124" i="10"/>
  <c r="CO124" i="10"/>
  <c r="CW124" i="10"/>
  <c r="CG124" i="10"/>
  <c r="AT124" i="10"/>
  <c r="AE124" i="10"/>
  <c r="DB124" i="10"/>
  <c r="CM124" i="10"/>
  <c r="BY124" i="10"/>
  <c r="AX124" i="10"/>
  <c r="BB124" i="10"/>
  <c r="AS124" i="10"/>
  <c r="AI124" i="10"/>
  <c r="U124" i="10"/>
  <c r="BT124" i="10"/>
  <c r="CH124" i="10"/>
  <c r="E124" i="10"/>
  <c r="BV124" i="10"/>
  <c r="M124" i="10"/>
  <c r="CF124" i="10"/>
  <c r="CS124" i="10"/>
  <c r="AN124" i="10"/>
  <c r="BM124" i="10"/>
  <c r="CJ124" i="10"/>
  <c r="W124" i="10"/>
  <c r="CL124" i="10"/>
  <c r="AH124" i="10"/>
  <c r="BE124" i="10"/>
  <c r="S124" i="10"/>
  <c r="CK124" i="10"/>
  <c r="AV124" i="10"/>
  <c r="CX124" i="10"/>
  <c r="R124" i="10"/>
  <c r="BR124" i="10"/>
  <c r="BK124" i="10"/>
  <c r="BW124" i="10"/>
  <c r="Q124" i="10"/>
  <c r="AM124" i="10"/>
  <c r="CE124" i="10"/>
  <c r="DJ124" i="10"/>
  <c r="BF124" i="10"/>
  <c r="O124" i="10"/>
  <c r="AG124" i="10"/>
  <c r="AC124" i="10"/>
  <c r="AU124" i="10"/>
  <c r="CT124" i="10"/>
  <c r="AB124" i="10"/>
  <c r="CC124" i="10"/>
  <c r="AQ124" i="10"/>
  <c r="AW124" i="10"/>
  <c r="BU124" i="10"/>
  <c r="CI124" i="10"/>
  <c r="K124" i="10"/>
  <c r="X124" i="10"/>
  <c r="AA124" i="10"/>
  <c r="Y124" i="10"/>
  <c r="V124" i="10"/>
  <c r="DE124" i="10"/>
  <c r="BO124" i="10"/>
  <c r="BI124" i="10"/>
  <c r="AD124" i="10"/>
  <c r="BC124" i="10"/>
  <c r="AK124" i="10"/>
  <c r="BD124" i="10"/>
  <c r="G124" i="10"/>
  <c r="DH124" i="10"/>
  <c r="AJ124" i="10"/>
  <c r="CP124" i="10"/>
  <c r="Z124" i="10"/>
  <c r="DD124" i="10"/>
  <c r="CV124" i="10"/>
  <c r="DG124" i="10"/>
  <c r="CR124" i="10"/>
  <c r="CN124" i="10"/>
  <c r="CA124" i="10"/>
  <c r="DC124" i="10"/>
  <c r="DA124" i="10"/>
  <c r="BS124" i="10"/>
  <c r="BL124" i="10"/>
  <c r="AY124" i="10"/>
  <c r="N124" i="10"/>
  <c r="DK124" i="10"/>
  <c r="AZ124" i="10"/>
  <c r="BP124" i="10"/>
  <c r="BH124" i="10"/>
  <c r="BN124" i="10"/>
  <c r="AR124" i="10"/>
  <c r="AL124" i="10"/>
  <c r="BJ124" i="10"/>
  <c r="AF124" i="10"/>
  <c r="T124" i="10"/>
  <c r="BA124" i="10"/>
  <c r="CY124" i="10"/>
  <c r="DF124" i="10"/>
  <c r="F124" i="10"/>
  <c r="DI124" i="10"/>
  <c r="P124" i="10"/>
  <c r="BQ124" i="10"/>
  <c r="BZ124" i="10"/>
  <c r="I124" i="10"/>
  <c r="J124" i="10"/>
  <c r="D124" i="10"/>
  <c r="CU124" i="10"/>
  <c r="BG124" i="10"/>
  <c r="CZ124" i="10"/>
  <c r="AP124" i="10"/>
  <c r="CB124" i="10"/>
  <c r="CQ124" i="10"/>
  <c r="DU7" i="1" l="1"/>
  <c r="B125" i="10" l="1"/>
  <c r="DV6" i="1"/>
  <c r="DU8" i="1"/>
  <c r="DV2" i="1"/>
  <c r="DV10" i="1" s="1"/>
  <c r="DV5" i="1" l="1"/>
  <c r="DV9" i="1" s="1"/>
  <c r="CT125" i="10"/>
  <c r="C125" i="10"/>
  <c r="P125" i="10"/>
  <c r="F125" i="10"/>
  <c r="U125" i="10"/>
  <c r="AX125" i="10"/>
  <c r="Q125" i="10"/>
  <c r="AU125" i="10"/>
  <c r="AL125" i="10"/>
  <c r="BS125" i="10"/>
  <c r="I125" i="10"/>
  <c r="AD125" i="10"/>
  <c r="G125" i="10"/>
  <c r="BR125" i="10"/>
  <c r="BP125" i="10"/>
  <c r="BI125" i="10"/>
  <c r="BB125" i="10"/>
  <c r="BH125" i="10"/>
  <c r="J125" i="10"/>
  <c r="H125" i="10"/>
  <c r="AC125" i="10"/>
  <c r="BA125" i="10"/>
  <c r="O125" i="10"/>
  <c r="DA125" i="10"/>
  <c r="BK125" i="10"/>
  <c r="CU125" i="10"/>
  <c r="CH125" i="10"/>
  <c r="Z125" i="10"/>
  <c r="AK125" i="10"/>
  <c r="CJ125" i="10"/>
  <c r="BT125" i="10"/>
  <c r="BN125" i="10"/>
  <c r="V125" i="10"/>
  <c r="BW125" i="10"/>
  <c r="DH125" i="10"/>
  <c r="CN125" i="10"/>
  <c r="BZ125" i="10"/>
  <c r="AA125" i="10"/>
  <c r="BL125" i="10"/>
  <c r="BC125" i="10"/>
  <c r="AG125" i="10"/>
  <c r="CG125" i="10"/>
  <c r="AR125" i="10"/>
  <c r="T125" i="10"/>
  <c r="CF125" i="10"/>
  <c r="CA125" i="10"/>
  <c r="AH125" i="10"/>
  <c r="BU125" i="10"/>
  <c r="BJ125" i="10"/>
  <c r="BD125" i="10"/>
  <c r="CW125" i="10"/>
  <c r="DG125" i="10"/>
  <c r="Y125" i="10"/>
  <c r="D125" i="10"/>
  <c r="AZ125" i="10"/>
  <c r="DF125" i="10"/>
  <c r="BX125" i="10"/>
  <c r="AW125" i="10"/>
  <c r="L125" i="10"/>
  <c r="CQ125" i="10"/>
  <c r="AQ125" i="10"/>
  <c r="N125" i="10"/>
  <c r="CL125" i="10"/>
  <c r="K125" i="10"/>
  <c r="CR125" i="10"/>
  <c r="AB125" i="10"/>
  <c r="BQ125" i="10"/>
  <c r="CM125" i="10"/>
  <c r="AV125" i="10"/>
  <c r="S125" i="10"/>
  <c r="CV125" i="10"/>
  <c r="CY125" i="10"/>
  <c r="BY125" i="10"/>
  <c r="W125" i="10"/>
  <c r="DD125" i="10"/>
  <c r="AM125" i="10"/>
  <c r="BM125" i="10"/>
  <c r="M125" i="10"/>
  <c r="AF125" i="10"/>
  <c r="DE125" i="10"/>
  <c r="AT125" i="10"/>
  <c r="BO125" i="10"/>
  <c r="AY125" i="10"/>
  <c r="AE125" i="10"/>
  <c r="R125" i="10"/>
  <c r="DC125" i="10"/>
  <c r="CX125" i="10"/>
  <c r="X125" i="10"/>
  <c r="DB125" i="10"/>
  <c r="CB125" i="10"/>
  <c r="CP125" i="10"/>
  <c r="CC125" i="10"/>
  <c r="AJ125" i="10"/>
  <c r="CI125" i="10"/>
  <c r="CE125" i="10"/>
  <c r="CZ125" i="10"/>
  <c r="BG125" i="10"/>
  <c r="BV125" i="10"/>
  <c r="AI125" i="10"/>
  <c r="E125" i="10"/>
  <c r="AN125" i="10"/>
  <c r="AS125" i="10"/>
  <c r="DK125" i="10"/>
  <c r="BE125" i="10"/>
  <c r="DI125" i="10"/>
  <c r="BF125" i="10"/>
  <c r="AP125" i="10"/>
  <c r="DJ125" i="10"/>
  <c r="CS125" i="10"/>
  <c r="CK125" i="10"/>
  <c r="AO125" i="10"/>
  <c r="CD125" i="10"/>
  <c r="CO125" i="10"/>
  <c r="DV7" i="1" l="1"/>
  <c r="DV8" i="1" l="1"/>
  <c r="B126" i="10"/>
  <c r="DW6" i="1"/>
  <c r="DW2" i="1"/>
  <c r="DW10" i="1" s="1"/>
  <c r="DW5" i="1" l="1"/>
  <c r="DW9" i="1" s="1"/>
  <c r="AN126" i="10"/>
  <c r="BG126" i="10"/>
  <c r="F126" i="10"/>
  <c r="S126" i="10"/>
  <c r="BN126" i="10"/>
  <c r="DD126" i="10"/>
  <c r="BA126" i="10"/>
  <c r="P126" i="10"/>
  <c r="BS126" i="10"/>
  <c r="BH126" i="10"/>
  <c r="CL126" i="10"/>
  <c r="AR126" i="10"/>
  <c r="CU126" i="10"/>
  <c r="CW126" i="10"/>
  <c r="CK126" i="10"/>
  <c r="CF126" i="10"/>
  <c r="DA126" i="10"/>
  <c r="CE126" i="10"/>
  <c r="AW126" i="10"/>
  <c r="T126" i="10"/>
  <c r="CC126" i="10"/>
  <c r="AI126" i="10"/>
  <c r="K126" i="10"/>
  <c r="DC126" i="10"/>
  <c r="CV126" i="10"/>
  <c r="O126" i="10"/>
  <c r="BV126" i="10"/>
  <c r="N126" i="10"/>
  <c r="CA126" i="10"/>
  <c r="CD126" i="10"/>
  <c r="AU126" i="10"/>
  <c r="CZ126" i="10"/>
  <c r="BR126" i="10"/>
  <c r="X126" i="10"/>
  <c r="AE126" i="10"/>
  <c r="CO126" i="10"/>
  <c r="BD126" i="10"/>
  <c r="J126" i="10"/>
  <c r="L126" i="10"/>
  <c r="BY126" i="10"/>
  <c r="CS126" i="10"/>
  <c r="CT126" i="10"/>
  <c r="BI126" i="10"/>
  <c r="AG126" i="10"/>
  <c r="Y126" i="10"/>
  <c r="AJ126" i="10"/>
  <c r="W126" i="10"/>
  <c r="AM126" i="10"/>
  <c r="U126" i="10"/>
  <c r="CM126" i="10"/>
  <c r="H126" i="10"/>
  <c r="AF126" i="10"/>
  <c r="BC126" i="10"/>
  <c r="E126" i="10"/>
  <c r="CQ126" i="10"/>
  <c r="G126" i="10"/>
  <c r="BQ126" i="10"/>
  <c r="DJ126" i="10"/>
  <c r="CP126" i="10"/>
  <c r="BK126" i="10"/>
  <c r="CG126" i="10"/>
  <c r="BU126" i="10"/>
  <c r="BJ126" i="10"/>
  <c r="AP126" i="10"/>
  <c r="C126" i="10"/>
  <c r="DG126" i="10"/>
  <c r="Q126" i="10"/>
  <c r="AH126" i="10"/>
  <c r="CN126" i="10"/>
  <c r="DH126" i="10"/>
  <c r="AZ126" i="10"/>
  <c r="BF126" i="10"/>
  <c r="V126" i="10"/>
  <c r="AA126" i="10"/>
  <c r="AS126" i="10"/>
  <c r="BT126" i="10"/>
  <c r="I126" i="10"/>
  <c r="CH126" i="10"/>
  <c r="BE126" i="10"/>
  <c r="D126" i="10"/>
  <c r="CJ126" i="10"/>
  <c r="AQ126" i="10"/>
  <c r="BP126" i="10"/>
  <c r="R126" i="10"/>
  <c r="AC126" i="10"/>
  <c r="CI126" i="10"/>
  <c r="AD126" i="10"/>
  <c r="BX126" i="10"/>
  <c r="M126" i="10"/>
  <c r="BB126" i="10"/>
  <c r="AB126" i="10"/>
  <c r="DK126" i="10"/>
  <c r="BM126" i="10"/>
  <c r="DI126" i="10"/>
  <c r="BZ126" i="10"/>
  <c r="AO126" i="10"/>
  <c r="Z126" i="10"/>
  <c r="CY126" i="10"/>
  <c r="DF126" i="10"/>
  <c r="AY126" i="10"/>
  <c r="CX126" i="10"/>
  <c r="AT126" i="10"/>
  <c r="AV126" i="10"/>
  <c r="DB126" i="10"/>
  <c r="DE126" i="10"/>
  <c r="CR126" i="10"/>
  <c r="CB126" i="10"/>
  <c r="AX126" i="10"/>
  <c r="BW126" i="10"/>
  <c r="BO126" i="10"/>
  <c r="AK126" i="10"/>
  <c r="BL126" i="10"/>
  <c r="AL126" i="10"/>
  <c r="DW7" i="1" l="1"/>
  <c r="B127" i="10" l="1"/>
  <c r="DX6" i="1"/>
  <c r="DW8" i="1"/>
  <c r="DX2" i="1"/>
  <c r="DX10" i="1" s="1"/>
  <c r="DX5" i="1" l="1"/>
  <c r="DX9" i="1" s="1"/>
  <c r="BC127" i="10"/>
  <c r="O127" i="10"/>
  <c r="BQ127" i="10"/>
  <c r="BN127" i="10"/>
  <c r="DE127" i="10"/>
  <c r="AU127" i="10"/>
  <c r="BF127" i="10"/>
  <c r="CB127" i="10"/>
  <c r="DD127" i="10"/>
  <c r="BL127" i="10"/>
  <c r="AH127" i="10"/>
  <c r="CP127" i="10"/>
  <c r="CN127" i="10"/>
  <c r="BB127" i="10"/>
  <c r="H127" i="10"/>
  <c r="AA127" i="10"/>
  <c r="CU127" i="10"/>
  <c r="CY127" i="10"/>
  <c r="DC127" i="10"/>
  <c r="AB127" i="10"/>
  <c r="AX127" i="10"/>
  <c r="BV127" i="10"/>
  <c r="AG127" i="10"/>
  <c r="P127" i="10"/>
  <c r="AF127" i="10"/>
  <c r="BZ127" i="10"/>
  <c r="L127" i="10"/>
  <c r="AK127" i="10"/>
  <c r="CL127" i="10"/>
  <c r="N127" i="10"/>
  <c r="T127" i="10"/>
  <c r="Y127" i="10"/>
  <c r="BH127" i="10"/>
  <c r="AE127" i="10"/>
  <c r="BR127" i="10"/>
  <c r="U127" i="10"/>
  <c r="AN127" i="10"/>
  <c r="BW127" i="10"/>
  <c r="CR127" i="10"/>
  <c r="R127" i="10"/>
  <c r="BT127" i="10"/>
  <c r="CZ127" i="10"/>
  <c r="CH127" i="10"/>
  <c r="CT127" i="10"/>
  <c r="CQ127" i="10"/>
  <c r="CW127" i="10"/>
  <c r="AZ127" i="10"/>
  <c r="AR127" i="10"/>
  <c r="AP127" i="10"/>
  <c r="CX127" i="10"/>
  <c r="CI127" i="10"/>
  <c r="Z127" i="10"/>
  <c r="AI127" i="10"/>
  <c r="E127" i="10"/>
  <c r="AQ127" i="10"/>
  <c r="AW127" i="10"/>
  <c r="AL127" i="10"/>
  <c r="F127" i="10"/>
  <c r="CV127" i="10"/>
  <c r="W127" i="10"/>
  <c r="BD127" i="10"/>
  <c r="AM127" i="10"/>
  <c r="I127" i="10"/>
  <c r="D127" i="10"/>
  <c r="BY127" i="10"/>
  <c r="V127" i="10"/>
  <c r="M127" i="10"/>
  <c r="BS127" i="10"/>
  <c r="J127" i="10"/>
  <c r="AJ127" i="10"/>
  <c r="CG127" i="10"/>
  <c r="DJ127" i="10"/>
  <c r="DK127" i="10"/>
  <c r="CD127" i="10"/>
  <c r="DF127" i="10"/>
  <c r="Q127" i="10"/>
  <c r="DA127" i="10"/>
  <c r="BU127" i="10"/>
  <c r="BM127" i="10"/>
  <c r="BG127" i="10"/>
  <c r="K127" i="10"/>
  <c r="S127" i="10"/>
  <c r="BA127" i="10"/>
  <c r="X127" i="10"/>
  <c r="DB127" i="10"/>
  <c r="AT127" i="10"/>
  <c r="AV127" i="10"/>
  <c r="BI127" i="10"/>
  <c r="AS127" i="10"/>
  <c r="AC127" i="10"/>
  <c r="CO127" i="10"/>
  <c r="DG127" i="10"/>
  <c r="BK127" i="10"/>
  <c r="BX127" i="10"/>
  <c r="CC127" i="10"/>
  <c r="AD127" i="10"/>
  <c r="C127" i="10"/>
  <c r="CM127" i="10"/>
  <c r="CE127" i="10"/>
  <c r="AO127" i="10"/>
  <c r="BP127" i="10"/>
  <c r="CF127" i="10"/>
  <c r="CJ127" i="10"/>
  <c r="BJ127" i="10"/>
  <c r="G127" i="10"/>
  <c r="CS127" i="10"/>
  <c r="BO127" i="10"/>
  <c r="BE127" i="10"/>
  <c r="CK127" i="10"/>
  <c r="DI127" i="10"/>
  <c r="DH127" i="10"/>
  <c r="AY127" i="10"/>
  <c r="CA127" i="10"/>
  <c r="DX7" i="1" l="1"/>
  <c r="DY2" i="1"/>
  <c r="DY5" i="1" s="1"/>
  <c r="DY9" i="1" s="1"/>
  <c r="B128" i="10"/>
  <c r="DX8" i="1"/>
  <c r="DY10" i="1"/>
  <c r="DY6" i="1"/>
  <c r="DY7" i="1" l="1"/>
  <c r="CP128" i="10"/>
  <c r="R128" i="10"/>
  <c r="N128" i="10"/>
  <c r="DH128" i="10"/>
  <c r="AU128" i="10"/>
  <c r="DK128" i="10"/>
  <c r="O128" i="10"/>
  <c r="BU128" i="10"/>
  <c r="CK128" i="10"/>
  <c r="CY128" i="10"/>
  <c r="DE128" i="10"/>
  <c r="DB128" i="10"/>
  <c r="AB128" i="10"/>
  <c r="M128" i="10"/>
  <c r="P128" i="10"/>
  <c r="AY128" i="10"/>
  <c r="AT128" i="10"/>
  <c r="BF128" i="10"/>
  <c r="CM128" i="10"/>
  <c r="X128" i="10"/>
  <c r="CV128" i="10"/>
  <c r="CL128" i="10"/>
  <c r="BQ128" i="10"/>
  <c r="CF128" i="10"/>
  <c r="BK128" i="10"/>
  <c r="CE128" i="10"/>
  <c r="BE128" i="10"/>
  <c r="DF128" i="10"/>
  <c r="BO128" i="10"/>
  <c r="CR128" i="10"/>
  <c r="BZ128" i="10"/>
  <c r="K128" i="10"/>
  <c r="AI128" i="10"/>
  <c r="DG128" i="10"/>
  <c r="BA128" i="10"/>
  <c r="C128" i="10"/>
  <c r="CX128" i="10"/>
  <c r="BW128" i="10"/>
  <c r="CZ128" i="10"/>
  <c r="BC128" i="10"/>
  <c r="AQ128" i="10"/>
  <c r="BL128" i="10"/>
  <c r="DD128" i="10"/>
  <c r="AL128" i="10"/>
  <c r="CT128" i="10"/>
  <c r="S128" i="10"/>
  <c r="E128" i="10"/>
  <c r="I128" i="10"/>
  <c r="AZ128" i="10"/>
  <c r="D128" i="10"/>
  <c r="AP128" i="10"/>
  <c r="CN128" i="10"/>
  <c r="DI128" i="10"/>
  <c r="AV128" i="10"/>
  <c r="DC128" i="10"/>
  <c r="AW128" i="10"/>
  <c r="CA128" i="10"/>
  <c r="J128" i="10"/>
  <c r="DJ128" i="10"/>
  <c r="AR128" i="10"/>
  <c r="BI128" i="10"/>
  <c r="AM128" i="10"/>
  <c r="CJ128" i="10"/>
  <c r="BH128" i="10"/>
  <c r="AO128" i="10"/>
  <c r="AS128" i="10"/>
  <c r="CD128" i="10"/>
  <c r="BG128" i="10"/>
  <c r="BM128" i="10"/>
  <c r="Q128" i="10"/>
  <c r="BJ128" i="10"/>
  <c r="Z128" i="10"/>
  <c r="AC128" i="10"/>
  <c r="BX128" i="10"/>
  <c r="AE128" i="10"/>
  <c r="CU128" i="10"/>
  <c r="V128" i="10"/>
  <c r="DA128" i="10"/>
  <c r="AD128" i="10"/>
  <c r="CB128" i="10"/>
  <c r="AX128" i="10"/>
  <c r="G128" i="10"/>
  <c r="W128" i="10"/>
  <c r="CC128" i="10"/>
  <c r="T128" i="10"/>
  <c r="BS128" i="10"/>
  <c r="U128" i="10"/>
  <c r="BD128" i="10"/>
  <c r="H128" i="10"/>
  <c r="AN128" i="10"/>
  <c r="AH128" i="10"/>
  <c r="Y128" i="10"/>
  <c r="BN128" i="10"/>
  <c r="AF128" i="10"/>
  <c r="AK128" i="10"/>
  <c r="BT128" i="10"/>
  <c r="F128" i="10"/>
  <c r="BV128" i="10"/>
  <c r="L128" i="10"/>
  <c r="CQ128" i="10"/>
  <c r="BY128" i="10"/>
  <c r="AA128" i="10"/>
  <c r="BR128" i="10"/>
  <c r="AG128" i="10"/>
  <c r="AJ128" i="10"/>
  <c r="BP128" i="10"/>
  <c r="BB128" i="10"/>
  <c r="CH128" i="10"/>
  <c r="CS128" i="10"/>
  <c r="CW128" i="10"/>
  <c r="CI128" i="10"/>
  <c r="CG128" i="10"/>
  <c r="CO128" i="10"/>
  <c r="B129" i="10" l="1"/>
  <c r="DZ6" i="1"/>
  <c r="DY8" i="1"/>
  <c r="DZ2" i="1"/>
  <c r="DZ10" i="1" s="1"/>
  <c r="DZ5" i="1" l="1"/>
  <c r="AB129" i="10"/>
  <c r="Y129" i="10"/>
  <c r="BF129" i="10"/>
  <c r="X129" i="10"/>
  <c r="N129" i="10"/>
  <c r="I129" i="10"/>
  <c r="BQ129" i="10"/>
  <c r="BN129" i="10"/>
  <c r="CE129" i="10"/>
  <c r="G129" i="10"/>
  <c r="CV129" i="10"/>
  <c r="CS129" i="10"/>
  <c r="AC129" i="10"/>
  <c r="AS129" i="10"/>
  <c r="CI129" i="10"/>
  <c r="BX129" i="10"/>
  <c r="BU129" i="10"/>
  <c r="AF129" i="10"/>
  <c r="BD129" i="10"/>
  <c r="CN129" i="10"/>
  <c r="CP129" i="10"/>
  <c r="BA129" i="10"/>
  <c r="Z129" i="10"/>
  <c r="CJ129" i="10"/>
  <c r="CW129" i="10"/>
  <c r="BH129" i="10"/>
  <c r="J129" i="10"/>
  <c r="CL129" i="10"/>
  <c r="AP129" i="10"/>
  <c r="CU129" i="10"/>
  <c r="CD129" i="10"/>
  <c r="BZ129" i="10"/>
  <c r="V129" i="10"/>
  <c r="AV129" i="10"/>
  <c r="CA129" i="10"/>
  <c r="CM129" i="10"/>
  <c r="AY129" i="10"/>
  <c r="L129" i="10"/>
  <c r="BL129" i="10"/>
  <c r="AG129" i="10"/>
  <c r="AM129" i="10"/>
  <c r="AO129" i="10"/>
  <c r="AX129" i="10"/>
  <c r="AH129" i="10"/>
  <c r="D129" i="10"/>
  <c r="H129" i="10"/>
  <c r="E129" i="10"/>
  <c r="DD129" i="10"/>
  <c r="DJ129" i="10"/>
  <c r="CX129" i="10"/>
  <c r="BB129" i="10"/>
  <c r="DI129" i="10"/>
  <c r="CY129" i="10"/>
  <c r="AE129" i="10"/>
  <c r="BE129" i="10"/>
  <c r="K129" i="10"/>
  <c r="BY129" i="10"/>
  <c r="AJ129" i="10"/>
  <c r="T129" i="10"/>
  <c r="F129" i="10"/>
  <c r="BV129" i="10"/>
  <c r="AN129" i="10"/>
  <c r="DE129" i="10"/>
  <c r="BJ129" i="10"/>
  <c r="AI129" i="10"/>
  <c r="U129" i="10"/>
  <c r="BC129" i="10"/>
  <c r="BR129" i="10"/>
  <c r="AW129" i="10"/>
  <c r="BM129" i="10"/>
  <c r="AQ129" i="10"/>
  <c r="CG129" i="10"/>
  <c r="BT129" i="10"/>
  <c r="R129" i="10"/>
  <c r="DH129" i="10"/>
  <c r="C129" i="10"/>
  <c r="CT129" i="10"/>
  <c r="BG129" i="10"/>
  <c r="BS129" i="10"/>
  <c r="BW129" i="10"/>
  <c r="AU129" i="10"/>
  <c r="AK129" i="10"/>
  <c r="CQ129" i="10"/>
  <c r="BP129" i="10"/>
  <c r="M129" i="10"/>
  <c r="CZ129" i="10"/>
  <c r="AL129" i="10"/>
  <c r="AR129" i="10"/>
  <c r="CC129" i="10"/>
  <c r="CB129" i="10"/>
  <c r="DK129" i="10"/>
  <c r="DG129" i="10"/>
  <c r="BO129" i="10"/>
  <c r="AT129" i="10"/>
  <c r="CO129" i="10"/>
  <c r="AZ129" i="10"/>
  <c r="P129" i="10"/>
  <c r="CR129" i="10"/>
  <c r="BI129" i="10"/>
  <c r="DC129" i="10"/>
  <c r="CK129" i="10"/>
  <c r="DF129" i="10"/>
  <c r="CH129" i="10"/>
  <c r="Q129" i="10"/>
  <c r="W129" i="10"/>
  <c r="BK129" i="10"/>
  <c r="CF129" i="10"/>
  <c r="AA129" i="10"/>
  <c r="AD129" i="10"/>
  <c r="O129" i="10"/>
  <c r="DA129" i="10"/>
  <c r="S129" i="10"/>
  <c r="DB129" i="10"/>
  <c r="DZ7" i="1" l="1"/>
  <c r="EA6" i="1" s="1"/>
  <c r="DZ9" i="1"/>
  <c r="B130" i="10"/>
  <c r="DZ8" i="1"/>
  <c r="EA2" i="1" l="1"/>
  <c r="EA10" i="1" s="1"/>
  <c r="S130" i="10"/>
  <c r="BQ130" i="10"/>
  <c r="CD130" i="10"/>
  <c r="CW130" i="10"/>
  <c r="DA130" i="10"/>
  <c r="DD130" i="10"/>
  <c r="CN130" i="10"/>
  <c r="Q130" i="10"/>
  <c r="DI130" i="10"/>
  <c r="C130" i="10"/>
  <c r="CR130" i="10"/>
  <c r="CZ130" i="10"/>
  <c r="BH130" i="10"/>
  <c r="CM130" i="10"/>
  <c r="BR130" i="10"/>
  <c r="AH130" i="10"/>
  <c r="AP130" i="10"/>
  <c r="CL130" i="10"/>
  <c r="BG130" i="10"/>
  <c r="CX130" i="10"/>
  <c r="BX130" i="10"/>
  <c r="AJ130" i="10"/>
  <c r="Y130" i="10"/>
  <c r="BE130" i="10"/>
  <c r="T130" i="10"/>
  <c r="DB130" i="10"/>
  <c r="AD130" i="10"/>
  <c r="V130" i="10"/>
  <c r="G130" i="10"/>
  <c r="BZ130" i="10"/>
  <c r="AX130" i="10"/>
  <c r="AU130" i="10"/>
  <c r="CJ130" i="10"/>
  <c r="AN130" i="10"/>
  <c r="CY130" i="10"/>
  <c r="AR130" i="10"/>
  <c r="CC130" i="10"/>
  <c r="K130" i="10"/>
  <c r="M130" i="10"/>
  <c r="CS130" i="10"/>
  <c r="BM130" i="10"/>
  <c r="CK130" i="10"/>
  <c r="CP130" i="10"/>
  <c r="CU130" i="10"/>
  <c r="O130" i="10"/>
  <c r="BW130" i="10"/>
  <c r="BP130" i="10"/>
  <c r="AM130" i="10"/>
  <c r="BJ130" i="10"/>
  <c r="Z130" i="10"/>
  <c r="U130" i="10"/>
  <c r="F130" i="10"/>
  <c r="BV130" i="10"/>
  <c r="H130" i="10"/>
  <c r="J130" i="10"/>
  <c r="AT130" i="10"/>
  <c r="AE130" i="10"/>
  <c r="DE130" i="10"/>
  <c r="W130" i="10"/>
  <c r="BK130" i="10"/>
  <c r="BS130" i="10"/>
  <c r="AB130" i="10"/>
  <c r="BL130" i="10"/>
  <c r="BD130" i="10"/>
  <c r="CV130" i="10"/>
  <c r="CB130" i="10"/>
  <c r="R130" i="10"/>
  <c r="BY130" i="10"/>
  <c r="CG130" i="10"/>
  <c r="CF130" i="10"/>
  <c r="CQ130" i="10"/>
  <c r="AO130" i="10"/>
  <c r="AL130" i="10"/>
  <c r="AS130" i="10"/>
  <c r="CT130" i="10"/>
  <c r="AF130" i="10"/>
  <c r="BA130" i="10"/>
  <c r="AG130" i="10"/>
  <c r="AW130" i="10"/>
  <c r="X130" i="10"/>
  <c r="BT130" i="10"/>
  <c r="D130" i="10"/>
  <c r="CA130" i="10"/>
  <c r="DC130" i="10"/>
  <c r="N130" i="10"/>
  <c r="AK130" i="10"/>
  <c r="DF130" i="10"/>
  <c r="CI130" i="10"/>
  <c r="AY130" i="10"/>
  <c r="BN130" i="10"/>
  <c r="BB130" i="10"/>
  <c r="P130" i="10"/>
  <c r="DJ130" i="10"/>
  <c r="AI130" i="10"/>
  <c r="DH130" i="10"/>
  <c r="CO130" i="10"/>
  <c r="AA130" i="10"/>
  <c r="AQ130" i="10"/>
  <c r="CE130" i="10"/>
  <c r="AZ130" i="10"/>
  <c r="DG130" i="10"/>
  <c r="I130" i="10"/>
  <c r="AV130" i="10"/>
  <c r="BI130" i="10"/>
  <c r="BC130" i="10"/>
  <c r="BF130" i="10"/>
  <c r="L130" i="10"/>
  <c r="E130" i="10"/>
  <c r="AC130" i="10"/>
  <c r="CH130" i="10"/>
  <c r="DK130" i="10"/>
  <c r="BU130" i="10"/>
  <c r="BO130" i="10"/>
  <c r="EA5" i="1" l="1"/>
  <c r="EA9" i="1" s="1"/>
  <c r="EA7" i="1" l="1"/>
  <c r="EB6" i="1" l="1"/>
  <c r="EA8" i="1"/>
  <c r="B131" i="10"/>
  <c r="EB2" i="1"/>
  <c r="EB10" i="1" s="1"/>
  <c r="EB5" i="1" l="1"/>
  <c r="EB9" i="1" s="1"/>
  <c r="BB131" i="10"/>
  <c r="BK131" i="10"/>
  <c r="BF131" i="10"/>
  <c r="L131" i="10"/>
  <c r="X131" i="10"/>
  <c r="CP131" i="10"/>
  <c r="AP131" i="10"/>
  <c r="CJ131" i="10"/>
  <c r="AC131" i="10"/>
  <c r="AL131" i="10"/>
  <c r="U131" i="10"/>
  <c r="CL131" i="10"/>
  <c r="CV131" i="10"/>
  <c r="CX131" i="10"/>
  <c r="BX131" i="10"/>
  <c r="CT131" i="10"/>
  <c r="CQ131" i="10"/>
  <c r="AQ131" i="10"/>
  <c r="BT131" i="10"/>
  <c r="C131" i="10"/>
  <c r="CK131" i="10"/>
  <c r="CB131" i="10"/>
  <c r="AR131" i="10"/>
  <c r="CN131" i="10"/>
  <c r="J131" i="10"/>
  <c r="F131" i="10"/>
  <c r="G131" i="10"/>
  <c r="AO131" i="10"/>
  <c r="D131" i="10"/>
  <c r="AH131" i="10"/>
  <c r="BU131" i="10"/>
  <c r="BV131" i="10"/>
  <c r="I131" i="10"/>
  <c r="DG131" i="10"/>
  <c r="AM131" i="10"/>
  <c r="BO131" i="10"/>
  <c r="DD131" i="10"/>
  <c r="O131" i="10"/>
  <c r="BQ131" i="10"/>
  <c r="AN131" i="10"/>
  <c r="K131" i="10"/>
  <c r="BJ131" i="10"/>
  <c r="AF131" i="10"/>
  <c r="CW131" i="10"/>
  <c r="CH131" i="10"/>
  <c r="CA131" i="10"/>
  <c r="P131" i="10"/>
  <c r="AU131" i="10"/>
  <c r="DH131" i="10"/>
  <c r="DJ131" i="10"/>
  <c r="BL131" i="10"/>
  <c r="CO131" i="10"/>
  <c r="H131" i="10"/>
  <c r="CI131" i="10"/>
  <c r="CU131" i="10"/>
  <c r="CM131" i="10"/>
  <c r="BM131" i="10"/>
  <c r="BZ131" i="10"/>
  <c r="AW131" i="10"/>
  <c r="W131" i="10"/>
  <c r="AS131" i="10"/>
  <c r="AX131" i="10"/>
  <c r="R131" i="10"/>
  <c r="DF131" i="10"/>
  <c r="DC131" i="10"/>
  <c r="CZ131" i="10"/>
  <c r="M131" i="10"/>
  <c r="BI131" i="10"/>
  <c r="AA131" i="10"/>
  <c r="AI131" i="10"/>
  <c r="AK131" i="10"/>
  <c r="Y131" i="10"/>
  <c r="CF131" i="10"/>
  <c r="N131" i="10"/>
  <c r="BS131" i="10"/>
  <c r="BE131" i="10"/>
  <c r="AJ131" i="10"/>
  <c r="CD131" i="10"/>
  <c r="CG131" i="10"/>
  <c r="AY131" i="10"/>
  <c r="DE131" i="10"/>
  <c r="T131" i="10"/>
  <c r="DK131" i="10"/>
  <c r="Z131" i="10"/>
  <c r="BW131" i="10"/>
  <c r="AV131" i="10"/>
  <c r="AZ131" i="10"/>
  <c r="AB131" i="10"/>
  <c r="BG131" i="10"/>
  <c r="BH131" i="10"/>
  <c r="CR131" i="10"/>
  <c r="BD131" i="10"/>
  <c r="AD131" i="10"/>
  <c r="CS131" i="10"/>
  <c r="CY131" i="10"/>
  <c r="BN131" i="10"/>
  <c r="BC131" i="10"/>
  <c r="BR131" i="10"/>
  <c r="V131" i="10"/>
  <c r="BP131" i="10"/>
  <c r="DI131" i="10"/>
  <c r="BA131" i="10"/>
  <c r="DA131" i="10"/>
  <c r="CC131" i="10"/>
  <c r="BY131" i="10"/>
  <c r="DB131" i="10"/>
  <c r="CE131" i="10"/>
  <c r="S131" i="10"/>
  <c r="E131" i="10"/>
  <c r="Q131" i="10"/>
  <c r="AT131" i="10"/>
  <c r="AE131" i="10"/>
  <c r="AG131" i="10"/>
  <c r="EB7" i="1" l="1"/>
  <c r="EC2" i="1" l="1"/>
  <c r="EC5" i="1" s="1"/>
  <c r="EC9" i="1" s="1"/>
  <c r="B132" i="10"/>
  <c r="EC6" i="1"/>
  <c r="EC10" i="1"/>
  <c r="EB8" i="1"/>
  <c r="EC7" i="1" l="1"/>
  <c r="CV132" i="10"/>
  <c r="BT132" i="10"/>
  <c r="Q132" i="10"/>
  <c r="AH132" i="10"/>
  <c r="CP132" i="10"/>
  <c r="AW132" i="10"/>
  <c r="DI132" i="10"/>
  <c r="AM132" i="10"/>
  <c r="BK132" i="10"/>
  <c r="F132" i="10"/>
  <c r="CK132" i="10"/>
  <c r="K132" i="10"/>
  <c r="DC132" i="10"/>
  <c r="DF132" i="10"/>
  <c r="DA132" i="10"/>
  <c r="BW132" i="10"/>
  <c r="CQ132" i="10"/>
  <c r="CO132" i="10"/>
  <c r="BH132" i="10"/>
  <c r="AL132" i="10"/>
  <c r="CS132" i="10"/>
  <c r="DD132" i="10"/>
  <c r="BN132" i="10"/>
  <c r="CL132" i="10"/>
  <c r="T132" i="10"/>
  <c r="CI132" i="10"/>
  <c r="DJ132" i="10"/>
  <c r="CW132" i="10"/>
  <c r="AB132" i="10"/>
  <c r="DB132" i="10"/>
  <c r="Y132" i="10"/>
  <c r="AP132" i="10"/>
  <c r="BV132" i="10"/>
  <c r="CM132" i="10"/>
  <c r="CG132" i="10"/>
  <c r="DK132" i="10"/>
  <c r="CX132" i="10"/>
  <c r="U132" i="10"/>
  <c r="BG132" i="10"/>
  <c r="AJ132" i="10"/>
  <c r="CY132" i="10"/>
  <c r="BA132" i="10"/>
  <c r="S132" i="10"/>
  <c r="AN132" i="10"/>
  <c r="AZ132" i="10"/>
  <c r="AK132" i="10"/>
  <c r="BI132" i="10"/>
  <c r="L132" i="10"/>
  <c r="AT132" i="10"/>
  <c r="CR132" i="10"/>
  <c r="Z132" i="10"/>
  <c r="CE132" i="10"/>
  <c r="M132" i="10"/>
  <c r="O132" i="10"/>
  <c r="D132" i="10"/>
  <c r="AY132" i="10"/>
  <c r="BE132" i="10"/>
  <c r="AS132" i="10"/>
  <c r="BX132" i="10"/>
  <c r="BR132" i="10"/>
  <c r="DG132" i="10"/>
  <c r="P132" i="10"/>
  <c r="H132" i="10"/>
  <c r="BJ132" i="10"/>
  <c r="J132" i="10"/>
  <c r="AX132" i="10"/>
  <c r="DE132" i="10"/>
  <c r="CU132" i="10"/>
  <c r="N132" i="10"/>
  <c r="BS132" i="10"/>
  <c r="V132" i="10"/>
  <c r="BY132" i="10"/>
  <c r="BL132" i="10"/>
  <c r="BO132" i="10"/>
  <c r="G132" i="10"/>
  <c r="CH132" i="10"/>
  <c r="AC132" i="10"/>
  <c r="BP132" i="10"/>
  <c r="W132" i="10"/>
  <c r="E132" i="10"/>
  <c r="BU132" i="10"/>
  <c r="BQ132" i="10"/>
  <c r="AG132" i="10"/>
  <c r="BF132" i="10"/>
  <c r="AR132" i="10"/>
  <c r="C132" i="10"/>
  <c r="X132" i="10"/>
  <c r="BC132" i="10"/>
  <c r="CN132" i="10"/>
  <c r="I132" i="10"/>
  <c r="CZ132" i="10"/>
  <c r="BD132" i="10"/>
  <c r="AI132" i="10"/>
  <c r="AV132" i="10"/>
  <c r="AF132" i="10"/>
  <c r="CB132" i="10"/>
  <c r="BM132" i="10"/>
  <c r="BB132" i="10"/>
  <c r="AQ132" i="10"/>
  <c r="DH132" i="10"/>
  <c r="CJ132" i="10"/>
  <c r="CA132" i="10"/>
  <c r="AO132" i="10"/>
  <c r="R132" i="10"/>
  <c r="AU132" i="10"/>
  <c r="CF132" i="10"/>
  <c r="CD132" i="10"/>
  <c r="CT132" i="10"/>
  <c r="AD132" i="10"/>
  <c r="AA132" i="10"/>
  <c r="BZ132" i="10"/>
  <c r="AE132" i="10"/>
  <c r="CC132" i="10"/>
  <c r="ED6" i="1" l="1"/>
  <c r="B133" i="10"/>
  <c r="EC8" i="1"/>
  <c r="ED2" i="1"/>
  <c r="ED10" i="1" s="1"/>
  <c r="ED5" i="1" l="1"/>
  <c r="ED9" i="1" s="1"/>
  <c r="F133" i="10"/>
  <c r="DJ133" i="10"/>
  <c r="CF133" i="10"/>
  <c r="BZ133" i="10"/>
  <c r="DF133" i="10"/>
  <c r="G133" i="10"/>
  <c r="AM133" i="10"/>
  <c r="AO133" i="10"/>
  <c r="CY133" i="10"/>
  <c r="AX133" i="10"/>
  <c r="X133" i="10"/>
  <c r="S133" i="10"/>
  <c r="BC133" i="10"/>
  <c r="AI133" i="10"/>
  <c r="BW133" i="10"/>
  <c r="AC133" i="10"/>
  <c r="CK133" i="10"/>
  <c r="CV133" i="10"/>
  <c r="BH133" i="10"/>
  <c r="I133" i="10"/>
  <c r="AT133" i="10"/>
  <c r="CA133" i="10"/>
  <c r="BR133" i="10"/>
  <c r="DI133" i="10"/>
  <c r="CS133" i="10"/>
  <c r="BT133" i="10"/>
  <c r="BS133" i="10"/>
  <c r="AR133" i="10"/>
  <c r="AE133" i="10"/>
  <c r="J133" i="10"/>
  <c r="CX133" i="10"/>
  <c r="AL133" i="10"/>
  <c r="E133" i="10"/>
  <c r="CL133" i="10"/>
  <c r="DH133" i="10"/>
  <c r="CR133" i="10"/>
  <c r="DB133" i="10"/>
  <c r="Q133" i="10"/>
  <c r="CW133" i="10"/>
  <c r="BQ133" i="10"/>
  <c r="Z133" i="10"/>
  <c r="AZ133" i="10"/>
  <c r="DC133" i="10"/>
  <c r="AB133" i="10"/>
  <c r="CQ133" i="10"/>
  <c r="P133" i="10"/>
  <c r="CM133" i="10"/>
  <c r="DK133" i="10"/>
  <c r="CJ133" i="10"/>
  <c r="BF133" i="10"/>
  <c r="W133" i="10"/>
  <c r="AD133" i="10"/>
  <c r="AU133" i="10"/>
  <c r="CT133" i="10"/>
  <c r="CE133" i="10"/>
  <c r="BK133" i="10"/>
  <c r="AH133" i="10"/>
  <c r="AQ133" i="10"/>
  <c r="CU133" i="10"/>
  <c r="AY133" i="10"/>
  <c r="DD133" i="10"/>
  <c r="AJ133" i="10"/>
  <c r="CO133" i="10"/>
  <c r="AS133" i="10"/>
  <c r="DG133" i="10"/>
  <c r="BI133" i="10"/>
  <c r="CN133" i="10"/>
  <c r="L133" i="10"/>
  <c r="BY133" i="10"/>
  <c r="D133" i="10"/>
  <c r="CG133" i="10"/>
  <c r="DE133" i="10"/>
  <c r="BO133" i="10"/>
  <c r="BN133" i="10"/>
  <c r="N133" i="10"/>
  <c r="T133" i="10"/>
  <c r="BG133" i="10"/>
  <c r="BL133" i="10"/>
  <c r="U133" i="10"/>
  <c r="AK133" i="10"/>
  <c r="BM133" i="10"/>
  <c r="CP133" i="10"/>
  <c r="AW133" i="10"/>
  <c r="O133" i="10"/>
  <c r="V133" i="10"/>
  <c r="AA133" i="10"/>
  <c r="AG133" i="10"/>
  <c r="CD133" i="10"/>
  <c r="AN133" i="10"/>
  <c r="BV133" i="10"/>
  <c r="CC133" i="10"/>
  <c r="CB133" i="10"/>
  <c r="M133" i="10"/>
  <c r="Y133" i="10"/>
  <c r="C133" i="10"/>
  <c r="BD133" i="10"/>
  <c r="BA133" i="10"/>
  <c r="AF133" i="10"/>
  <c r="BB133" i="10"/>
  <c r="CZ133" i="10"/>
  <c r="H133" i="10"/>
  <c r="CI133" i="10"/>
  <c r="BJ133" i="10"/>
  <c r="AP133" i="10"/>
  <c r="AV133" i="10"/>
  <c r="BE133" i="10"/>
  <c r="BX133" i="10"/>
  <c r="K133" i="10"/>
  <c r="CH133" i="10"/>
  <c r="BP133" i="10"/>
  <c r="DA133" i="10"/>
  <c r="BU133" i="10"/>
  <c r="R133" i="10"/>
  <c r="ED7" i="1" l="1"/>
  <c r="EE2" i="1" l="1"/>
  <c r="EE5" i="1" s="1"/>
  <c r="EE9" i="1" s="1"/>
  <c r="B134" i="10"/>
  <c r="ED8" i="1"/>
  <c r="EE6" i="1"/>
  <c r="EE10" i="1"/>
  <c r="EE7" i="1" l="1"/>
  <c r="CZ134" i="10"/>
  <c r="CX134" i="10"/>
  <c r="CA134" i="10"/>
  <c r="BW134" i="10"/>
  <c r="BT134" i="10"/>
  <c r="CV134" i="10"/>
  <c r="AC134" i="10"/>
  <c r="F134" i="10"/>
  <c r="BQ134" i="10"/>
  <c r="M134" i="10"/>
  <c r="AO134" i="10"/>
  <c r="BL134" i="10"/>
  <c r="T134" i="10"/>
  <c r="BH134" i="10"/>
  <c r="BR134" i="10"/>
  <c r="AD134" i="10"/>
  <c r="CP134" i="10"/>
  <c r="DG134" i="10"/>
  <c r="DH134" i="10"/>
  <c r="CI134" i="10"/>
  <c r="CM134" i="10"/>
  <c r="CF134" i="10"/>
  <c r="BE134" i="10"/>
  <c r="AH134" i="10"/>
  <c r="BO134" i="10"/>
  <c r="O134" i="10"/>
  <c r="CN134" i="10"/>
  <c r="AK134" i="10"/>
  <c r="I134" i="10"/>
  <c r="CY134" i="10"/>
  <c r="R134" i="10"/>
  <c r="AP134" i="10"/>
  <c r="CW134" i="10"/>
  <c r="DJ134" i="10"/>
  <c r="CH134" i="10"/>
  <c r="AT134" i="10"/>
  <c r="P134" i="10"/>
  <c r="AU134" i="10"/>
  <c r="DB134" i="10"/>
  <c r="AY134" i="10"/>
  <c r="AL134" i="10"/>
  <c r="U134" i="10"/>
  <c r="DI134" i="10"/>
  <c r="BB134" i="10"/>
  <c r="CD134" i="10"/>
  <c r="BN134" i="10"/>
  <c r="DE134" i="10"/>
  <c r="DA134" i="10"/>
  <c r="AW134" i="10"/>
  <c r="N134" i="10"/>
  <c r="AZ134" i="10"/>
  <c r="CK134" i="10"/>
  <c r="BX134" i="10"/>
  <c r="BK134" i="10"/>
  <c r="AS134" i="10"/>
  <c r="BC134" i="10"/>
  <c r="AN134" i="10"/>
  <c r="BP134" i="10"/>
  <c r="AG134" i="10"/>
  <c r="G134" i="10"/>
  <c r="CS134" i="10"/>
  <c r="CB134" i="10"/>
  <c r="CT134" i="10"/>
  <c r="V134" i="10"/>
  <c r="AV134" i="10"/>
  <c r="W134" i="10"/>
  <c r="C134" i="10"/>
  <c r="BU134" i="10"/>
  <c r="BF134" i="10"/>
  <c r="BG134" i="10"/>
  <c r="DK134" i="10"/>
  <c r="DF134" i="10"/>
  <c r="CR134" i="10"/>
  <c r="J134" i="10"/>
  <c r="X134" i="10"/>
  <c r="CJ134" i="10"/>
  <c r="AJ134" i="10"/>
  <c r="AQ134" i="10"/>
  <c r="E134" i="10"/>
  <c r="AM134" i="10"/>
  <c r="BA134" i="10"/>
  <c r="BM134" i="10"/>
  <c r="DC134" i="10"/>
  <c r="S134" i="10"/>
  <c r="D134" i="10"/>
  <c r="AR134" i="10"/>
  <c r="AB134" i="10"/>
  <c r="Z134" i="10"/>
  <c r="DD134" i="10"/>
  <c r="BV134" i="10"/>
  <c r="BS134" i="10"/>
  <c r="CG134" i="10"/>
  <c r="CE134" i="10"/>
  <c r="H134" i="10"/>
  <c r="Q134" i="10"/>
  <c r="CQ134" i="10"/>
  <c r="CL134" i="10"/>
  <c r="AI134" i="10"/>
  <c r="BD134" i="10"/>
  <c r="BJ134" i="10"/>
  <c r="AX134" i="10"/>
  <c r="CU134" i="10"/>
  <c r="BZ134" i="10"/>
  <c r="L134" i="10"/>
  <c r="CC134" i="10"/>
  <c r="BI134" i="10"/>
  <c r="AA134" i="10"/>
  <c r="AE134" i="10"/>
  <c r="AF134" i="10"/>
  <c r="Y134" i="10"/>
  <c r="BY134" i="10"/>
  <c r="CO134" i="10"/>
  <c r="K134" i="10"/>
  <c r="EF2" i="1" l="1"/>
  <c r="EF5" i="1" s="1"/>
  <c r="B135" i="10"/>
  <c r="EF10" i="1"/>
  <c r="EE8" i="1"/>
  <c r="EF6" i="1"/>
  <c r="EF7" i="1" l="1"/>
  <c r="EF9" i="1"/>
  <c r="B136" i="10"/>
  <c r="CA136" i="10" s="1"/>
  <c r="EG6" i="1"/>
  <c r="EF8" i="1"/>
  <c r="G135" i="10"/>
  <c r="N135" i="10"/>
  <c r="D135" i="10"/>
  <c r="AL135" i="10"/>
  <c r="CY135" i="10"/>
  <c r="BY135" i="10"/>
  <c r="AX135" i="10"/>
  <c r="C135" i="10"/>
  <c r="Q135" i="10"/>
  <c r="BW135" i="10"/>
  <c r="CJ135" i="10"/>
  <c r="L135" i="10"/>
  <c r="AW135" i="10"/>
  <c r="CX135" i="10"/>
  <c r="DB135" i="10"/>
  <c r="CV135" i="10"/>
  <c r="AQ135" i="10"/>
  <c r="AE135" i="10"/>
  <c r="AS135" i="10"/>
  <c r="BR135" i="10"/>
  <c r="AY135" i="10"/>
  <c r="CE135" i="10"/>
  <c r="BZ135" i="10"/>
  <c r="K135" i="10"/>
  <c r="BP135" i="10"/>
  <c r="AT135" i="10"/>
  <c r="S135" i="10"/>
  <c r="AR135" i="10"/>
  <c r="AH135" i="10"/>
  <c r="BN135" i="10"/>
  <c r="P135" i="10"/>
  <c r="AK135" i="10"/>
  <c r="H135" i="10"/>
  <c r="BE135" i="10"/>
  <c r="BO135" i="10"/>
  <c r="AA135" i="10"/>
  <c r="CW135" i="10"/>
  <c r="CN135" i="10"/>
  <c r="BC135" i="10"/>
  <c r="BB135" i="10"/>
  <c r="BU135" i="10"/>
  <c r="AF135" i="10"/>
  <c r="CL135" i="10"/>
  <c r="AJ135" i="10"/>
  <c r="AV135" i="10"/>
  <c r="DD135" i="10"/>
  <c r="BK135" i="10"/>
  <c r="DA135" i="10"/>
  <c r="BF135" i="10"/>
  <c r="CK135" i="10"/>
  <c r="DK135" i="10"/>
  <c r="BM135" i="10"/>
  <c r="F135" i="10"/>
  <c r="CT135" i="10"/>
  <c r="CP135" i="10"/>
  <c r="I135" i="10"/>
  <c r="M135" i="10"/>
  <c r="AO135" i="10"/>
  <c r="CO135" i="10"/>
  <c r="DI135" i="10"/>
  <c r="BS135" i="10"/>
  <c r="DC135" i="10"/>
  <c r="AG135" i="10"/>
  <c r="BH135" i="10"/>
  <c r="BL135" i="10"/>
  <c r="DF135" i="10"/>
  <c r="DH135" i="10"/>
  <c r="AU135" i="10"/>
  <c r="R135" i="10"/>
  <c r="CG135" i="10"/>
  <c r="CH135" i="10"/>
  <c r="AI135" i="10"/>
  <c r="BI135" i="10"/>
  <c r="BV135" i="10"/>
  <c r="AZ135" i="10"/>
  <c r="AM135" i="10"/>
  <c r="BJ135" i="10"/>
  <c r="CA135" i="10"/>
  <c r="CD135" i="10"/>
  <c r="BQ135" i="10"/>
  <c r="DJ135" i="10"/>
  <c r="E135" i="10"/>
  <c r="CU135" i="10"/>
  <c r="CZ135" i="10"/>
  <c r="AN135" i="10"/>
  <c r="CQ135" i="10"/>
  <c r="BT135" i="10"/>
  <c r="J135" i="10"/>
  <c r="CB135" i="10"/>
  <c r="T135" i="10"/>
  <c r="V135" i="10"/>
  <c r="W135" i="10"/>
  <c r="AP135" i="10"/>
  <c r="AC135" i="10"/>
  <c r="BD135" i="10"/>
  <c r="CC135" i="10"/>
  <c r="CR135" i="10"/>
  <c r="O135" i="10"/>
  <c r="BA135" i="10"/>
  <c r="CI135" i="10"/>
  <c r="CF135" i="10"/>
  <c r="AB135" i="10"/>
  <c r="U135" i="10"/>
  <c r="DG135" i="10"/>
  <c r="DE135" i="10"/>
  <c r="CM135" i="10"/>
  <c r="BX135" i="10"/>
  <c r="AD135" i="10"/>
  <c r="X135" i="10"/>
  <c r="BG135" i="10"/>
  <c r="Z135" i="10"/>
  <c r="Y135" i="10"/>
  <c r="CS135" i="10"/>
  <c r="AG136" i="10" l="1"/>
  <c r="CV136" i="10"/>
  <c r="AY136" i="10"/>
  <c r="BC136" i="10"/>
  <c r="AM136" i="10"/>
  <c r="DE136" i="10"/>
  <c r="DG136" i="10"/>
  <c r="BS136" i="10"/>
  <c r="DH136" i="10"/>
  <c r="V136" i="10"/>
  <c r="BY136" i="10"/>
  <c r="CX136" i="10"/>
  <c r="F136" i="10"/>
  <c r="BJ136" i="10"/>
  <c r="D136" i="10"/>
  <c r="CC136" i="10"/>
  <c r="DI136" i="10"/>
  <c r="CS136" i="10"/>
  <c r="CO136" i="10"/>
  <c r="U136" i="10"/>
  <c r="AO136" i="10"/>
  <c r="W136" i="10"/>
  <c r="CK136" i="10"/>
  <c r="E136" i="10"/>
  <c r="BZ136" i="10"/>
  <c r="BV136" i="10"/>
  <c r="AV136" i="10"/>
  <c r="AH136" i="10"/>
  <c r="DB136" i="10"/>
  <c r="P136" i="10"/>
  <c r="BL136" i="10"/>
  <c r="CT136" i="10"/>
  <c r="AC136" i="10"/>
  <c r="BR136" i="10"/>
  <c r="M136" i="10"/>
  <c r="AT136" i="10"/>
  <c r="C136" i="10"/>
  <c r="BN136" i="10"/>
  <c r="BE136" i="10"/>
  <c r="CL136" i="10"/>
  <c r="DK136" i="10"/>
  <c r="CI136" i="10"/>
  <c r="CF136" i="10"/>
  <c r="AF136" i="10"/>
  <c r="DA136" i="10"/>
  <c r="CU136" i="10"/>
  <c r="BK136" i="10"/>
  <c r="K136" i="10"/>
  <c r="CB136" i="10"/>
  <c r="BG136" i="10"/>
  <c r="AW136" i="10"/>
  <c r="H136" i="10"/>
  <c r="CP136" i="10"/>
  <c r="Q136" i="10"/>
  <c r="AR136" i="10"/>
  <c r="S136" i="10"/>
  <c r="BM136" i="10"/>
  <c r="DD136" i="10"/>
  <c r="AN136" i="10"/>
  <c r="CD136" i="10"/>
  <c r="Y136" i="10"/>
  <c r="BU136" i="10"/>
  <c r="BD136" i="10"/>
  <c r="BH136" i="10"/>
  <c r="J136" i="10"/>
  <c r="AK136" i="10"/>
  <c r="AX136" i="10"/>
  <c r="AU136" i="10"/>
  <c r="BI136" i="10"/>
  <c r="DJ136" i="10"/>
  <c r="AQ136" i="10"/>
  <c r="CM136" i="10"/>
  <c r="T136" i="10"/>
  <c r="CJ136" i="10"/>
  <c r="BT136" i="10"/>
  <c r="DF136" i="10"/>
  <c r="AP136" i="10"/>
  <c r="G136" i="10"/>
  <c r="BQ136" i="10"/>
  <c r="BF136" i="10"/>
  <c r="AI136" i="10"/>
  <c r="R136" i="10"/>
  <c r="BO136" i="10"/>
  <c r="AS136" i="10"/>
  <c r="O136" i="10"/>
  <c r="X136" i="10"/>
  <c r="CQ136" i="10"/>
  <c r="I136" i="10"/>
  <c r="AD136" i="10"/>
  <c r="CW136" i="10"/>
  <c r="CY136" i="10"/>
  <c r="AE136" i="10"/>
  <c r="AZ136" i="10"/>
  <c r="Z136" i="10"/>
  <c r="CG136" i="10"/>
  <c r="EG2" i="1"/>
  <c r="AJ136" i="10"/>
  <c r="AL136" i="10"/>
  <c r="AA136" i="10"/>
  <c r="N136" i="10"/>
  <c r="CN136" i="10"/>
  <c r="CH136" i="10"/>
  <c r="BP136" i="10"/>
  <c r="L136" i="10"/>
  <c r="CR136" i="10"/>
  <c r="BA136" i="10"/>
  <c r="AB136" i="10"/>
  <c r="BW136" i="10"/>
  <c r="BX136" i="10"/>
  <c r="BB136" i="10"/>
  <c r="CZ136" i="10"/>
  <c r="CE136" i="10"/>
  <c r="DC136" i="10"/>
  <c r="V26" i="4"/>
  <c r="EG10" i="1" l="1"/>
  <c r="EG5" i="1"/>
  <c r="EG9" i="1" s="1"/>
  <c r="W26" i="4"/>
  <c r="Y26" i="4" s="1"/>
  <c r="EG7" i="1" l="1"/>
  <c r="EH6" i="1"/>
  <c r="EG8" i="1"/>
  <c r="B137" i="10"/>
  <c r="EH2" i="1"/>
  <c r="EH10" i="1" s="1"/>
  <c r="EH5" i="1" l="1"/>
  <c r="EH9" i="1" s="1"/>
  <c r="CG137" i="10"/>
  <c r="T137" i="10"/>
  <c r="AT137" i="10"/>
  <c r="C137" i="10"/>
  <c r="BM137" i="10"/>
  <c r="DB137" i="10"/>
  <c r="BO137" i="10"/>
  <c r="CF137" i="10"/>
  <c r="BZ137" i="10"/>
  <c r="D137" i="10"/>
  <c r="AH137" i="10"/>
  <c r="BD137" i="10"/>
  <c r="AI137" i="10"/>
  <c r="AP137" i="10"/>
  <c r="BU137" i="10"/>
  <c r="AN137" i="10"/>
  <c r="BH137" i="10"/>
  <c r="BF137" i="10"/>
  <c r="CY137" i="10"/>
  <c r="BJ137" i="10"/>
  <c r="CE137" i="10"/>
  <c r="BE137" i="10"/>
  <c r="V137" i="10"/>
  <c r="BC137" i="10"/>
  <c r="CP137" i="10"/>
  <c r="CT137" i="10"/>
  <c r="CW137" i="10"/>
  <c r="BP137" i="10"/>
  <c r="U137" i="10"/>
  <c r="AK137" i="10"/>
  <c r="S137" i="10"/>
  <c r="AZ137" i="10"/>
  <c r="DA137" i="10"/>
  <c r="BL137" i="10"/>
  <c r="P137" i="10"/>
  <c r="AB137" i="10"/>
  <c r="CX137" i="10"/>
  <c r="BN137" i="10"/>
  <c r="BR137" i="10"/>
  <c r="AC137" i="10"/>
  <c r="BV137" i="10"/>
  <c r="W137" i="10"/>
  <c r="CK137" i="10"/>
  <c r="CR137" i="10"/>
  <c r="N137" i="10"/>
  <c r="CZ137" i="10"/>
  <c r="CS137" i="10"/>
  <c r="CA137" i="10"/>
  <c r="CQ137" i="10"/>
  <c r="BG137" i="10"/>
  <c r="L137" i="10"/>
  <c r="AL137" i="10"/>
  <c r="CI137" i="10"/>
  <c r="DI137" i="10"/>
  <c r="BB137" i="10"/>
  <c r="CL137" i="10"/>
  <c r="BY137" i="10"/>
  <c r="BI137" i="10"/>
  <c r="BQ137" i="10"/>
  <c r="H137" i="10"/>
  <c r="K137" i="10"/>
  <c r="AV137" i="10"/>
  <c r="CC137" i="10"/>
  <c r="AY137" i="10"/>
  <c r="DH137" i="10"/>
  <c r="AM137" i="10"/>
  <c r="F137" i="10"/>
  <c r="CN137" i="10"/>
  <c r="CD137" i="10"/>
  <c r="DK137" i="10"/>
  <c r="AF137" i="10"/>
  <c r="AX137" i="10"/>
  <c r="AW137" i="10"/>
  <c r="AE137" i="10"/>
  <c r="BX137" i="10"/>
  <c r="BS137" i="10"/>
  <c r="BA137" i="10"/>
  <c r="DF137" i="10"/>
  <c r="DD137" i="10"/>
  <c r="DC137" i="10"/>
  <c r="AD137" i="10"/>
  <c r="X137" i="10"/>
  <c r="DG137" i="10"/>
  <c r="AA137" i="10"/>
  <c r="AJ137" i="10"/>
  <c r="AO137" i="10"/>
  <c r="CB137" i="10"/>
  <c r="J137" i="10"/>
  <c r="R137" i="10"/>
  <c r="BT137" i="10"/>
  <c r="AG137" i="10"/>
  <c r="M137" i="10"/>
  <c r="AU137" i="10"/>
  <c r="CU137" i="10"/>
  <c r="Q137" i="10"/>
  <c r="DJ137" i="10"/>
  <c r="E137" i="10"/>
  <c r="BW137" i="10"/>
  <c r="Z137" i="10"/>
  <c r="AR137" i="10"/>
  <c r="O137" i="10"/>
  <c r="DE137" i="10"/>
  <c r="Y137" i="10"/>
  <c r="AQ137" i="10"/>
  <c r="BK137" i="10"/>
  <c r="CM137" i="10"/>
  <c r="CO137" i="10"/>
  <c r="AS137" i="10"/>
  <c r="CH137" i="10"/>
  <c r="CV137" i="10"/>
  <c r="G137" i="10"/>
  <c r="CJ137" i="10"/>
  <c r="I137" i="10"/>
  <c r="EH7" i="1" l="1"/>
  <c r="EI6" i="1" s="1"/>
  <c r="B138" i="10"/>
  <c r="EI2" i="1"/>
  <c r="EI5" i="1" s="1"/>
  <c r="EI9" i="1" s="1"/>
  <c r="EH8" i="1" l="1"/>
  <c r="EI7" i="1"/>
  <c r="EI10" i="1"/>
  <c r="CR138" i="10"/>
  <c r="L138" i="10"/>
  <c r="AM138" i="10"/>
  <c r="CW138" i="10"/>
  <c r="M138" i="10"/>
  <c r="BP138" i="10"/>
  <c r="AT138" i="10"/>
  <c r="BK138" i="10"/>
  <c r="AZ138" i="10"/>
  <c r="BL138" i="10"/>
  <c r="AD138" i="10"/>
  <c r="BY138" i="10"/>
  <c r="CX138" i="10"/>
  <c r="AJ138" i="10"/>
  <c r="E138" i="10"/>
  <c r="DB138" i="10"/>
  <c r="CM138" i="10"/>
  <c r="C138" i="10"/>
  <c r="AF138" i="10"/>
  <c r="CU138" i="10"/>
  <c r="AX138" i="10"/>
  <c r="U138" i="10"/>
  <c r="BH138" i="10"/>
  <c r="DE138" i="10"/>
  <c r="BB138" i="10"/>
  <c r="BI138" i="10"/>
  <c r="P138" i="10"/>
  <c r="V138" i="10"/>
  <c r="AS138" i="10"/>
  <c r="CV138" i="10"/>
  <c r="BG138" i="10"/>
  <c r="O138" i="10"/>
  <c r="CZ138" i="10"/>
  <c r="CE138" i="10"/>
  <c r="AC138" i="10"/>
  <c r="X138" i="10"/>
  <c r="CP138" i="10"/>
  <c r="BU138" i="10"/>
  <c r="BV138" i="10"/>
  <c r="R138" i="10"/>
  <c r="BN138" i="10"/>
  <c r="CI138" i="10"/>
  <c r="CC138" i="10"/>
  <c r="AI138" i="10"/>
  <c r="BS138" i="10"/>
  <c r="G138" i="10"/>
  <c r="BM138" i="10"/>
  <c r="K138" i="10"/>
  <c r="CB138" i="10"/>
  <c r="DD138" i="10"/>
  <c r="CO138" i="10"/>
  <c r="DA138" i="10"/>
  <c r="AK138" i="10"/>
  <c r="DG138" i="10"/>
  <c r="AH138" i="10"/>
  <c r="S138" i="10"/>
  <c r="BT138" i="10"/>
  <c r="DJ138" i="10"/>
  <c r="CN138" i="10"/>
  <c r="AE138" i="10"/>
  <c r="W138" i="10"/>
  <c r="BZ138" i="10"/>
  <c r="Q138" i="10"/>
  <c r="I138" i="10"/>
  <c r="BC138" i="10"/>
  <c r="CJ138" i="10"/>
  <c r="CG138" i="10"/>
  <c r="CY138" i="10"/>
  <c r="BW138" i="10"/>
  <c r="DH138" i="10"/>
  <c r="BX138" i="10"/>
  <c r="DC138" i="10"/>
  <c r="CK138" i="10"/>
  <c r="AY138" i="10"/>
  <c r="CD138" i="10"/>
  <c r="BF138" i="10"/>
  <c r="AW138" i="10"/>
  <c r="AG138" i="10"/>
  <c r="AA138" i="10"/>
  <c r="BJ138" i="10"/>
  <c r="CT138" i="10"/>
  <c r="CF138" i="10"/>
  <c r="BD138" i="10"/>
  <c r="CL138" i="10"/>
  <c r="CA138" i="10"/>
  <c r="J138" i="10"/>
  <c r="BA138" i="10"/>
  <c r="T138" i="10"/>
  <c r="DF138" i="10"/>
  <c r="AO138" i="10"/>
  <c r="AV138" i="10"/>
  <c r="CH138" i="10"/>
  <c r="BR138" i="10"/>
  <c r="N138" i="10"/>
  <c r="DK138" i="10"/>
  <c r="AP138" i="10"/>
  <c r="AU138" i="10"/>
  <c r="AN138" i="10"/>
  <c r="F138" i="10"/>
  <c r="AQ138" i="10"/>
  <c r="CS138" i="10"/>
  <c r="Z138" i="10"/>
  <c r="BO138" i="10"/>
  <c r="BQ138" i="10"/>
  <c r="AR138" i="10"/>
  <c r="D138" i="10"/>
  <c r="Y138" i="10"/>
  <c r="BE138" i="10"/>
  <c r="CQ138" i="10"/>
  <c r="DI138" i="10"/>
  <c r="AL138" i="10"/>
  <c r="H138" i="10"/>
  <c r="AB138" i="10"/>
  <c r="EI8" i="1" l="1"/>
  <c r="B139" i="10"/>
  <c r="EJ6" i="1"/>
  <c r="EJ2" i="1"/>
  <c r="EJ5" i="1" s="1"/>
  <c r="EJ9" i="1" s="1"/>
  <c r="EJ10" i="1" l="1"/>
  <c r="EJ7" i="1"/>
  <c r="BB139" i="10"/>
  <c r="CV139" i="10"/>
  <c r="AI139" i="10"/>
  <c r="CS139" i="10"/>
  <c r="DD139" i="10"/>
  <c r="BP139" i="10"/>
  <c r="C139" i="10"/>
  <c r="AJ139" i="10"/>
  <c r="AS139" i="10"/>
  <c r="DB139" i="10"/>
  <c r="AD139" i="10"/>
  <c r="AH139" i="10"/>
  <c r="BU139" i="10"/>
  <c r="X139" i="10"/>
  <c r="BN139" i="10"/>
  <c r="L139" i="10"/>
  <c r="BA139" i="10"/>
  <c r="CR139" i="10"/>
  <c r="CB139" i="10"/>
  <c r="AL139" i="10"/>
  <c r="AY139" i="10"/>
  <c r="BF139" i="10"/>
  <c r="DK139" i="10"/>
  <c r="BO139" i="10"/>
  <c r="BL139" i="10"/>
  <c r="DH139" i="10"/>
  <c r="U139" i="10"/>
  <c r="BC139" i="10"/>
  <c r="CZ139" i="10"/>
  <c r="AK139" i="10"/>
  <c r="CQ139" i="10"/>
  <c r="DA139" i="10"/>
  <c r="AE139" i="10"/>
  <c r="W139" i="10"/>
  <c r="I139" i="10"/>
  <c r="N139" i="10"/>
  <c r="AF139" i="10"/>
  <c r="AC139" i="10"/>
  <c r="DG139" i="10"/>
  <c r="AR139" i="10"/>
  <c r="CD139" i="10"/>
  <c r="BG139" i="10"/>
  <c r="CK139" i="10"/>
  <c r="AW139" i="10"/>
  <c r="CU139" i="10"/>
  <c r="CF139" i="10"/>
  <c r="CM139" i="10"/>
  <c r="AX139" i="10"/>
  <c r="AQ139" i="10"/>
  <c r="BH139" i="10"/>
  <c r="Y139" i="10"/>
  <c r="CW139" i="10"/>
  <c r="AO139" i="10"/>
  <c r="DJ139" i="10"/>
  <c r="BT139" i="10"/>
  <c r="DE139" i="10"/>
  <c r="CA139" i="10"/>
  <c r="CP139" i="10"/>
  <c r="BK139" i="10"/>
  <c r="CG139" i="10"/>
  <c r="AT139" i="10"/>
  <c r="BV139" i="10"/>
  <c r="M139" i="10"/>
  <c r="AP139" i="10"/>
  <c r="BR139" i="10"/>
  <c r="BS139" i="10"/>
  <c r="Z139" i="10"/>
  <c r="CH139" i="10"/>
  <c r="D139" i="10"/>
  <c r="AM139" i="10"/>
  <c r="CE139" i="10"/>
  <c r="BY139" i="10"/>
  <c r="CN139" i="10"/>
  <c r="S139" i="10"/>
  <c r="BE139" i="10"/>
  <c r="K139" i="10"/>
  <c r="AZ139" i="10"/>
  <c r="T139" i="10"/>
  <c r="AA139" i="10"/>
  <c r="O139" i="10"/>
  <c r="BJ139" i="10"/>
  <c r="V139" i="10"/>
  <c r="CT139" i="10"/>
  <c r="DC139" i="10"/>
  <c r="DF139" i="10"/>
  <c r="BM139" i="10"/>
  <c r="BZ139" i="10"/>
  <c r="AN139" i="10"/>
  <c r="E139" i="10"/>
  <c r="BQ139" i="10"/>
  <c r="BW139" i="10"/>
  <c r="DI139" i="10"/>
  <c r="CO139" i="10"/>
  <c r="BX139" i="10"/>
  <c r="AV139" i="10"/>
  <c r="CY139" i="10"/>
  <c r="P139" i="10"/>
  <c r="G139" i="10"/>
  <c r="CL139" i="10"/>
  <c r="AB139" i="10"/>
  <c r="CI139" i="10"/>
  <c r="H139" i="10"/>
  <c r="J139" i="10"/>
  <c r="CX139" i="10"/>
  <c r="Q139" i="10"/>
  <c r="AU139" i="10"/>
  <c r="F139" i="10"/>
  <c r="AG139" i="10"/>
  <c r="BD139" i="10"/>
  <c r="CJ139" i="10"/>
  <c r="R139" i="10"/>
  <c r="BI139" i="10"/>
  <c r="CC139" i="10"/>
  <c r="B140" i="10" l="1"/>
  <c r="EK6" i="1"/>
  <c r="EJ8" i="1"/>
  <c r="EK2" i="1"/>
  <c r="EK10" i="1" s="1"/>
  <c r="EK5" i="1" l="1"/>
  <c r="EK9" i="1" s="1"/>
  <c r="CX140" i="10"/>
  <c r="AL140" i="10"/>
  <c r="DJ140" i="10"/>
  <c r="CE140" i="10"/>
  <c r="AR140" i="10"/>
  <c r="CM140" i="10"/>
  <c r="BN140" i="10"/>
  <c r="DD140" i="10"/>
  <c r="BK140" i="10"/>
  <c r="Y140" i="10"/>
  <c r="AZ140" i="10"/>
  <c r="D140" i="10"/>
  <c r="BC140" i="10"/>
  <c r="BP140" i="10"/>
  <c r="CL140" i="10"/>
  <c r="BV140" i="10"/>
  <c r="BE140" i="10"/>
  <c r="AI140" i="10"/>
  <c r="AK140" i="10"/>
  <c r="AA140" i="10"/>
  <c r="BG140" i="10"/>
  <c r="G140" i="10"/>
  <c r="CB140" i="10"/>
  <c r="BY140" i="10"/>
  <c r="AN140" i="10"/>
  <c r="J140" i="10"/>
  <c r="O140" i="10"/>
  <c r="AB140" i="10"/>
  <c r="BU140" i="10"/>
  <c r="AC140" i="10"/>
  <c r="AJ140" i="10"/>
  <c r="BA140" i="10"/>
  <c r="AU140" i="10"/>
  <c r="BL140" i="10"/>
  <c r="AE140" i="10"/>
  <c r="DG140" i="10"/>
  <c r="H140" i="10"/>
  <c r="AT140" i="10"/>
  <c r="Q140" i="10"/>
  <c r="Z140" i="10"/>
  <c r="BB140" i="10"/>
  <c r="DF140" i="10"/>
  <c r="U140" i="10"/>
  <c r="CI140" i="10"/>
  <c r="S140" i="10"/>
  <c r="CG140" i="10"/>
  <c r="DK140" i="10"/>
  <c r="AY140" i="10"/>
  <c r="AX140" i="10"/>
  <c r="CZ140" i="10"/>
  <c r="N140" i="10"/>
  <c r="P140" i="10"/>
  <c r="CK140" i="10"/>
  <c r="CU140" i="10"/>
  <c r="CJ140" i="10"/>
  <c r="CT140" i="10"/>
  <c r="C140" i="10"/>
  <c r="V140" i="10"/>
  <c r="BR140" i="10"/>
  <c r="CV140" i="10"/>
  <c r="CC140" i="10"/>
  <c r="BH140" i="10"/>
  <c r="AG140" i="10"/>
  <c r="L140" i="10"/>
  <c r="CO140" i="10"/>
  <c r="M140" i="10"/>
  <c r="CN140" i="10"/>
  <c r="AQ140" i="10"/>
  <c r="CH140" i="10"/>
  <c r="X140" i="10"/>
  <c r="BO140" i="10"/>
  <c r="CD140" i="10"/>
  <c r="BJ140" i="10"/>
  <c r="T140" i="10"/>
  <c r="CF140" i="10"/>
  <c r="AF140" i="10"/>
  <c r="BF140" i="10"/>
  <c r="CY140" i="10"/>
  <c r="E140" i="10"/>
  <c r="I140" i="10"/>
  <c r="BX140" i="10"/>
  <c r="AS140" i="10"/>
  <c r="DI140" i="10"/>
  <c r="AW140" i="10"/>
  <c r="BI140" i="10"/>
  <c r="BT140" i="10"/>
  <c r="DH140" i="10"/>
  <c r="BD140" i="10"/>
  <c r="CQ140" i="10"/>
  <c r="CS140" i="10"/>
  <c r="AO140" i="10"/>
  <c r="BW140" i="10"/>
  <c r="DB140" i="10"/>
  <c r="DC140" i="10"/>
  <c r="R140" i="10"/>
  <c r="AP140" i="10"/>
  <c r="F140" i="10"/>
  <c r="BQ140" i="10"/>
  <c r="AV140" i="10"/>
  <c r="AM140" i="10"/>
  <c r="CA140" i="10"/>
  <c r="K140" i="10"/>
  <c r="CW140" i="10"/>
  <c r="DE140" i="10"/>
  <c r="AH140" i="10"/>
  <c r="DA140" i="10"/>
  <c r="W140" i="10"/>
  <c r="AD140" i="10"/>
  <c r="CR140" i="10"/>
  <c r="BZ140" i="10"/>
  <c r="BM140" i="10"/>
  <c r="CP140" i="10"/>
  <c r="BS140" i="10"/>
  <c r="EK7" i="1" l="1"/>
  <c r="EL6" i="1" s="1"/>
  <c r="B141" i="10"/>
  <c r="EL2" i="1"/>
  <c r="EL10" i="1" s="1"/>
  <c r="EK8" i="1" l="1"/>
  <c r="EL5" i="1"/>
  <c r="EL9" i="1" s="1"/>
  <c r="DB141" i="10"/>
  <c r="CS141" i="10"/>
  <c r="AY141" i="10"/>
  <c r="BA141" i="10"/>
  <c r="D141" i="10"/>
  <c r="P141" i="10"/>
  <c r="E141" i="10"/>
  <c r="BJ141" i="10"/>
  <c r="T141" i="10"/>
  <c r="AR141" i="10"/>
  <c r="CG141" i="10"/>
  <c r="CW141" i="10"/>
  <c r="BN141" i="10"/>
  <c r="AH141" i="10"/>
  <c r="V141" i="10"/>
  <c r="BP141" i="10"/>
  <c r="N141" i="10"/>
  <c r="Q141" i="10"/>
  <c r="R141" i="10"/>
  <c r="BF141" i="10"/>
  <c r="I141" i="10"/>
  <c r="AG141" i="10"/>
  <c r="AC141" i="10"/>
  <c r="BG141" i="10"/>
  <c r="BI141" i="10"/>
  <c r="CK141" i="10"/>
  <c r="CU141" i="10"/>
  <c r="CX141" i="10"/>
  <c r="O141" i="10"/>
  <c r="DA141" i="10"/>
  <c r="X141" i="10"/>
  <c r="AF141" i="10"/>
  <c r="DG141" i="10"/>
  <c r="AQ141" i="10"/>
  <c r="BK141" i="10"/>
  <c r="BM141" i="10"/>
  <c r="AP141" i="10"/>
  <c r="CL141" i="10"/>
  <c r="DJ141" i="10"/>
  <c r="BW141" i="10"/>
  <c r="BR141" i="10"/>
  <c r="CN141" i="10"/>
  <c r="J141" i="10"/>
  <c r="CO141" i="10"/>
  <c r="AX141" i="10"/>
  <c r="G141" i="10"/>
  <c r="S141" i="10"/>
  <c r="BE141" i="10"/>
  <c r="BC141" i="10"/>
  <c r="BB141" i="10"/>
  <c r="CE141" i="10"/>
  <c r="L141" i="10"/>
  <c r="CT141" i="10"/>
  <c r="AO141" i="10"/>
  <c r="C141" i="10"/>
  <c r="H141" i="10"/>
  <c r="BS141" i="10"/>
  <c r="CC141" i="10"/>
  <c r="CB141" i="10"/>
  <c r="AA141" i="10"/>
  <c r="BX141" i="10"/>
  <c r="BL141" i="10"/>
  <c r="BZ141" i="10"/>
  <c r="DE141" i="10"/>
  <c r="BT141" i="10"/>
  <c r="AT141" i="10"/>
  <c r="BV141" i="10"/>
  <c r="M141" i="10"/>
  <c r="CA141" i="10"/>
  <c r="AL141" i="10"/>
  <c r="Z141" i="10"/>
  <c r="DC141" i="10"/>
  <c r="AB141" i="10"/>
  <c r="BY141" i="10"/>
  <c r="DD141" i="10"/>
  <c r="CH141" i="10"/>
  <c r="CZ141" i="10"/>
  <c r="AD141" i="10"/>
  <c r="AZ141" i="10"/>
  <c r="AK141" i="10"/>
  <c r="BO141" i="10"/>
  <c r="CY141" i="10"/>
  <c r="DH141" i="10"/>
  <c r="AM141" i="10"/>
  <c r="CI141" i="10"/>
  <c r="AU141" i="10"/>
  <c r="DF141" i="10"/>
  <c r="AI141" i="10"/>
  <c r="DI141" i="10"/>
  <c r="AS141" i="10"/>
  <c r="W141" i="10"/>
  <c r="AJ141" i="10"/>
  <c r="CD141" i="10"/>
  <c r="BQ141" i="10"/>
  <c r="AN141" i="10"/>
  <c r="CR141" i="10"/>
  <c r="CV141" i="10"/>
  <c r="F141" i="10"/>
  <c r="U141" i="10"/>
  <c r="DK141" i="10"/>
  <c r="K141" i="10"/>
  <c r="AW141" i="10"/>
  <c r="CQ141" i="10"/>
  <c r="CP141" i="10"/>
  <c r="AE141" i="10"/>
  <c r="Y141" i="10"/>
  <c r="BU141" i="10"/>
  <c r="CM141" i="10"/>
  <c r="BD141" i="10"/>
  <c r="AV141" i="10"/>
  <c r="CJ141" i="10"/>
  <c r="CF141" i="10"/>
  <c r="BH141" i="10"/>
  <c r="EL7" i="1" l="1"/>
  <c r="EL8" i="1" l="1"/>
  <c r="EM6" i="1"/>
  <c r="B142" i="10"/>
  <c r="EM2" i="1"/>
  <c r="EM10" i="1" s="1"/>
  <c r="EM5" i="1" l="1"/>
  <c r="EM9" i="1" s="1"/>
  <c r="CV142" i="10"/>
  <c r="V142" i="10"/>
  <c r="AC142" i="10"/>
  <c r="BA142" i="10"/>
  <c r="BS142" i="10"/>
  <c r="AO142" i="10"/>
  <c r="BN142" i="10"/>
  <c r="CU142" i="10"/>
  <c r="Y142" i="10"/>
  <c r="BX142" i="10"/>
  <c r="D142" i="10"/>
  <c r="CA142" i="10"/>
  <c r="DJ142" i="10"/>
  <c r="X142" i="10"/>
  <c r="BC142" i="10"/>
  <c r="DB142" i="10"/>
  <c r="BK142" i="10"/>
  <c r="DH142" i="10"/>
  <c r="CG142" i="10"/>
  <c r="R142" i="10"/>
  <c r="T142" i="10"/>
  <c r="AP142" i="10"/>
  <c r="AW142" i="10"/>
  <c r="CT142" i="10"/>
  <c r="AH142" i="10"/>
  <c r="AZ142" i="10"/>
  <c r="BZ142" i="10"/>
  <c r="DK142" i="10"/>
  <c r="E142" i="10"/>
  <c r="CK142" i="10"/>
  <c r="AD142" i="10"/>
  <c r="CP142" i="10"/>
  <c r="BV142" i="10"/>
  <c r="DA142" i="10"/>
  <c r="W142" i="10"/>
  <c r="DC142" i="10"/>
  <c r="N142" i="10"/>
  <c r="L142" i="10"/>
  <c r="BQ142" i="10"/>
  <c r="J142" i="10"/>
  <c r="DI142" i="10"/>
  <c r="CD142" i="10"/>
  <c r="AQ142" i="10"/>
  <c r="BI142" i="10"/>
  <c r="BO142" i="10"/>
  <c r="AY142" i="10"/>
  <c r="M142" i="10"/>
  <c r="K142" i="10"/>
  <c r="CS142" i="10"/>
  <c r="BW142" i="10"/>
  <c r="O142" i="10"/>
  <c r="CH142" i="10"/>
  <c r="BP142" i="10"/>
  <c r="AE142" i="10"/>
  <c r="DD142" i="10"/>
  <c r="AL142" i="10"/>
  <c r="G142" i="10"/>
  <c r="H142" i="10"/>
  <c r="CQ142" i="10"/>
  <c r="CB142" i="10"/>
  <c r="I142" i="10"/>
  <c r="F142" i="10"/>
  <c r="AA142" i="10"/>
  <c r="AU142" i="10"/>
  <c r="CL142" i="10"/>
  <c r="BD142" i="10"/>
  <c r="CJ142" i="10"/>
  <c r="AI142" i="10"/>
  <c r="CC142" i="10"/>
  <c r="AR142" i="10"/>
  <c r="CI142" i="10"/>
  <c r="CN142" i="10"/>
  <c r="U142" i="10"/>
  <c r="AJ142" i="10"/>
  <c r="AS142" i="10"/>
  <c r="BT142" i="10"/>
  <c r="BG142" i="10"/>
  <c r="AM142" i="10"/>
  <c r="CX142" i="10"/>
  <c r="P142" i="10"/>
  <c r="BM142" i="10"/>
  <c r="AX142" i="10"/>
  <c r="CR142" i="10"/>
  <c r="CF142" i="10"/>
  <c r="CY142" i="10"/>
  <c r="Z142" i="10"/>
  <c r="DF142" i="10"/>
  <c r="BJ142" i="10"/>
  <c r="BF142" i="10"/>
  <c r="CE142" i="10"/>
  <c r="BL142" i="10"/>
  <c r="CM142" i="10"/>
  <c r="CO142" i="10"/>
  <c r="CZ142" i="10"/>
  <c r="AG142" i="10"/>
  <c r="BB142" i="10"/>
  <c r="AB142" i="10"/>
  <c r="C142" i="10"/>
  <c r="BE142" i="10"/>
  <c r="AT142" i="10"/>
  <c r="AK142" i="10"/>
  <c r="CW142" i="10"/>
  <c r="AF142" i="10"/>
  <c r="BY142" i="10"/>
  <c r="S142" i="10"/>
  <c r="BU142" i="10"/>
  <c r="AN142" i="10"/>
  <c r="BH142" i="10"/>
  <c r="Q142" i="10"/>
  <c r="DE142" i="10"/>
  <c r="DG142" i="10"/>
  <c r="AV142" i="10"/>
  <c r="BR142" i="10"/>
  <c r="EM7" i="1" l="1"/>
  <c r="EN6" i="1" l="1"/>
  <c r="EM8" i="1"/>
  <c r="B143" i="10"/>
  <c r="EN2" i="1"/>
  <c r="EN10" i="1" s="1"/>
  <c r="EN5" i="1" l="1"/>
  <c r="CR143" i="10"/>
  <c r="DK143" i="10"/>
  <c r="DJ143" i="10"/>
  <c r="P143" i="10"/>
  <c r="AT143" i="10"/>
  <c r="CW143" i="10"/>
  <c r="J143" i="10"/>
  <c r="AQ143" i="10"/>
  <c r="AB143" i="10"/>
  <c r="AC143" i="10"/>
  <c r="BD143" i="10"/>
  <c r="DD143" i="10"/>
  <c r="BS143" i="10"/>
  <c r="CY143" i="10"/>
  <c r="K143" i="10"/>
  <c r="DI143" i="10"/>
  <c r="V143" i="10"/>
  <c r="F143" i="10"/>
  <c r="Y143" i="10"/>
  <c r="BO143" i="10"/>
  <c r="C143" i="10"/>
  <c r="BM143" i="10"/>
  <c r="BC143" i="10"/>
  <c r="DG143" i="10"/>
  <c r="AX143" i="10"/>
  <c r="AF143" i="10"/>
  <c r="CD143" i="10"/>
  <c r="AU143" i="10"/>
  <c r="AJ143" i="10"/>
  <c r="BP143" i="10"/>
  <c r="M143" i="10"/>
  <c r="AI143" i="10"/>
  <c r="CC143" i="10"/>
  <c r="I143" i="10"/>
  <c r="D143" i="10"/>
  <c r="CA143" i="10"/>
  <c r="H143" i="10"/>
  <c r="CQ143" i="10"/>
  <c r="BG143" i="10"/>
  <c r="BK143" i="10"/>
  <c r="BB143" i="10"/>
  <c r="BE143" i="10"/>
  <c r="X143" i="10"/>
  <c r="BN143" i="10"/>
  <c r="BL143" i="10"/>
  <c r="BF143" i="10"/>
  <c r="BJ143" i="10"/>
  <c r="BW143" i="10"/>
  <c r="E143" i="10"/>
  <c r="DB143" i="10"/>
  <c r="DE143" i="10"/>
  <c r="AR143" i="10"/>
  <c r="CT143" i="10"/>
  <c r="AP143" i="10"/>
  <c r="CU143" i="10"/>
  <c r="BV143" i="10"/>
  <c r="DH143" i="10"/>
  <c r="CB143" i="10"/>
  <c r="DA143" i="10"/>
  <c r="BI143" i="10"/>
  <c r="AV143" i="10"/>
  <c r="BY143" i="10"/>
  <c r="Q143" i="10"/>
  <c r="CI143" i="10"/>
  <c r="BT143" i="10"/>
  <c r="Z143" i="10"/>
  <c r="CX143" i="10"/>
  <c r="BQ143" i="10"/>
  <c r="CN143" i="10"/>
  <c r="W143" i="10"/>
  <c r="CV143" i="10"/>
  <c r="BA143" i="10"/>
  <c r="AD143" i="10"/>
  <c r="BR143" i="10"/>
  <c r="AM143" i="10"/>
  <c r="CE143" i="10"/>
  <c r="AN143" i="10"/>
  <c r="CK143" i="10"/>
  <c r="AS143" i="10"/>
  <c r="CF143" i="10"/>
  <c r="BU143" i="10"/>
  <c r="CP143" i="10"/>
  <c r="CG143" i="10"/>
  <c r="BX143" i="10"/>
  <c r="AW143" i="10"/>
  <c r="CJ143" i="10"/>
  <c r="T143" i="10"/>
  <c r="BZ143" i="10"/>
  <c r="DC143" i="10"/>
  <c r="AH143" i="10"/>
  <c r="S143" i="10"/>
  <c r="AA143" i="10"/>
  <c r="AK143" i="10"/>
  <c r="AO143" i="10"/>
  <c r="CZ143" i="10"/>
  <c r="CM143" i="10"/>
  <c r="N143" i="10"/>
  <c r="R143" i="10"/>
  <c r="CS143" i="10"/>
  <c r="AE143" i="10"/>
  <c r="CO143" i="10"/>
  <c r="CH143" i="10"/>
  <c r="CL143" i="10"/>
  <c r="L143" i="10"/>
  <c r="U143" i="10"/>
  <c r="BH143" i="10"/>
  <c r="DF143" i="10"/>
  <c r="AL143" i="10"/>
  <c r="O143" i="10"/>
  <c r="AY143" i="10"/>
  <c r="G143" i="10"/>
  <c r="AZ143" i="10"/>
  <c r="AG143" i="10"/>
  <c r="EN7" i="1" l="1"/>
  <c r="EN9" i="1"/>
  <c r="B144" i="10"/>
  <c r="EN8" i="1"/>
  <c r="EO6" i="1"/>
  <c r="EO2" i="1" l="1"/>
  <c r="EO10" i="1" s="1"/>
  <c r="CQ144" i="10"/>
  <c r="BJ144" i="10"/>
  <c r="CZ144" i="10"/>
  <c r="M144" i="10"/>
  <c r="N144" i="10"/>
  <c r="K144" i="10"/>
  <c r="C144" i="10"/>
  <c r="O144" i="10"/>
  <c r="AH144" i="10"/>
  <c r="BO144" i="10"/>
  <c r="T144" i="10"/>
  <c r="DD144" i="10"/>
  <c r="BP144" i="10"/>
  <c r="Y144" i="10"/>
  <c r="AN144" i="10"/>
  <c r="DC144" i="10"/>
  <c r="BW144" i="10"/>
  <c r="BX144" i="10"/>
  <c r="BY144" i="10"/>
  <c r="AV144" i="10"/>
  <c r="Z144" i="10"/>
  <c r="DB144" i="10"/>
  <c r="BB144" i="10"/>
  <c r="BI144" i="10"/>
  <c r="BN144" i="10"/>
  <c r="AW144" i="10"/>
  <c r="BT144" i="10"/>
  <c r="CJ144" i="10"/>
  <c r="AQ144" i="10"/>
  <c r="CK144" i="10"/>
  <c r="CD144" i="10"/>
  <c r="AI144" i="10"/>
  <c r="AZ144" i="10"/>
  <c r="S144" i="10"/>
  <c r="BS144" i="10"/>
  <c r="L144" i="10"/>
  <c r="D144" i="10"/>
  <c r="DJ144" i="10"/>
  <c r="CO144" i="10"/>
  <c r="J144" i="10"/>
  <c r="DG144" i="10"/>
  <c r="CW144" i="10"/>
  <c r="AS144" i="10"/>
  <c r="CA144" i="10"/>
  <c r="DH144" i="10"/>
  <c r="BL144" i="10"/>
  <c r="U144" i="10"/>
  <c r="AO144" i="10"/>
  <c r="CX144" i="10"/>
  <c r="H144" i="10"/>
  <c r="AK144" i="10"/>
  <c r="BK144" i="10"/>
  <c r="CG144" i="10"/>
  <c r="AL144" i="10"/>
  <c r="BG144" i="10"/>
  <c r="CM144" i="10"/>
  <c r="AF144" i="10"/>
  <c r="DA144" i="10"/>
  <c r="CN144" i="10"/>
  <c r="AG144" i="10"/>
  <c r="AR144" i="10"/>
  <c r="CI144" i="10"/>
  <c r="E144" i="10"/>
  <c r="W144" i="10"/>
  <c r="AP144" i="10"/>
  <c r="AC144" i="10"/>
  <c r="CR144" i="10"/>
  <c r="AJ144" i="10"/>
  <c r="CC144" i="10"/>
  <c r="CY144" i="10"/>
  <c r="F144" i="10"/>
  <c r="CS144" i="10"/>
  <c r="DI144" i="10"/>
  <c r="AD144" i="10"/>
  <c r="I144" i="10"/>
  <c r="BQ144" i="10"/>
  <c r="AX144" i="10"/>
  <c r="BF144" i="10"/>
  <c r="G144" i="10"/>
  <c r="Q144" i="10"/>
  <c r="DE144" i="10"/>
  <c r="AY144" i="10"/>
  <c r="BH144" i="10"/>
  <c r="CU144" i="10"/>
  <c r="CF144" i="10"/>
  <c r="DF144" i="10"/>
  <c r="CV144" i="10"/>
  <c r="V144" i="10"/>
  <c r="AU144" i="10"/>
  <c r="R144" i="10"/>
  <c r="CH144" i="10"/>
  <c r="BC144" i="10"/>
  <c r="AB144" i="10"/>
  <c r="BU144" i="10"/>
  <c r="CT144" i="10"/>
  <c r="AM144" i="10"/>
  <c r="BE144" i="10"/>
  <c r="BM144" i="10"/>
  <c r="CB144" i="10"/>
  <c r="BR144" i="10"/>
  <c r="CE144" i="10"/>
  <c r="P144" i="10"/>
  <c r="BA144" i="10"/>
  <c r="AT144" i="10"/>
  <c r="X144" i="10"/>
  <c r="CL144" i="10"/>
  <c r="AE144" i="10"/>
  <c r="BD144" i="10"/>
  <c r="DK144" i="10"/>
  <c r="BZ144" i="10"/>
  <c r="BV144" i="10"/>
  <c r="AA144" i="10"/>
  <c r="CP144" i="10"/>
  <c r="EO5" i="1" l="1"/>
  <c r="EO9" i="1" s="1"/>
  <c r="EO7" i="1" l="1"/>
  <c r="B145" i="10" l="1"/>
  <c r="EP6" i="1"/>
  <c r="EO8" i="1"/>
  <c r="EP2" i="1"/>
  <c r="EP10" i="1" s="1"/>
  <c r="EP5" i="1" l="1"/>
  <c r="EP9" i="1" s="1"/>
  <c r="BM145" i="10"/>
  <c r="CY145" i="10"/>
  <c r="BD145" i="10"/>
  <c r="AW145" i="10"/>
  <c r="CK145" i="10"/>
  <c r="CO145" i="10"/>
  <c r="BK145" i="10"/>
  <c r="CJ145" i="10"/>
  <c r="AM145" i="10"/>
  <c r="AO145" i="10"/>
  <c r="AR145" i="10"/>
  <c r="CW145" i="10"/>
  <c r="W145" i="10"/>
  <c r="C145" i="10"/>
  <c r="AY145" i="10"/>
  <c r="BZ145" i="10"/>
  <c r="CH145" i="10"/>
  <c r="Q145" i="10"/>
  <c r="R145" i="10"/>
  <c r="BP145" i="10"/>
  <c r="AV145" i="10"/>
  <c r="CU145" i="10"/>
  <c r="BC145" i="10"/>
  <c r="DC145" i="10"/>
  <c r="BE145" i="10"/>
  <c r="L145" i="10"/>
  <c r="P145" i="10"/>
  <c r="BY145" i="10"/>
  <c r="AB145" i="10"/>
  <c r="BV145" i="10"/>
  <c r="BH145" i="10"/>
  <c r="BL145" i="10"/>
  <c r="BA145" i="10"/>
  <c r="CC145" i="10"/>
  <c r="Y145" i="10"/>
  <c r="DD145" i="10"/>
  <c r="BB145" i="10"/>
  <c r="BR145" i="10"/>
  <c r="DE145" i="10"/>
  <c r="AI145" i="10"/>
  <c r="E145" i="10"/>
  <c r="AU145" i="10"/>
  <c r="CT145" i="10"/>
  <c r="I145" i="10"/>
  <c r="CS145" i="10"/>
  <c r="AC145" i="10"/>
  <c r="DA145" i="10"/>
  <c r="AQ145" i="10"/>
  <c r="F145" i="10"/>
  <c r="AJ145" i="10"/>
  <c r="N145" i="10"/>
  <c r="G145" i="10"/>
  <c r="AS145" i="10"/>
  <c r="AH145" i="10"/>
  <c r="BW145" i="10"/>
  <c r="AL145" i="10"/>
  <c r="AE145" i="10"/>
  <c r="BT145" i="10"/>
  <c r="DI145" i="10"/>
  <c r="O145" i="10"/>
  <c r="J145" i="10"/>
  <c r="AN145" i="10"/>
  <c r="CV145" i="10"/>
  <c r="DH145" i="10"/>
  <c r="S145" i="10"/>
  <c r="BO145" i="10"/>
  <c r="BF145" i="10"/>
  <c r="CI145" i="10"/>
  <c r="AK145" i="10"/>
  <c r="BU145" i="10"/>
  <c r="AD145" i="10"/>
  <c r="BQ145" i="10"/>
  <c r="BS145" i="10"/>
  <c r="CX145" i="10"/>
  <c r="CP145" i="10"/>
  <c r="X145" i="10"/>
  <c r="DB145" i="10"/>
  <c r="AG145" i="10"/>
  <c r="CN145" i="10"/>
  <c r="BJ145" i="10"/>
  <c r="CZ145" i="10"/>
  <c r="CD145" i="10"/>
  <c r="DJ145" i="10"/>
  <c r="AX145" i="10"/>
  <c r="CR145" i="10"/>
  <c r="BN145" i="10"/>
  <c r="AA145" i="10"/>
  <c r="CG145" i="10"/>
  <c r="CB145" i="10"/>
  <c r="AF145" i="10"/>
  <c r="DF145" i="10"/>
  <c r="BX145" i="10"/>
  <c r="AT145" i="10"/>
  <c r="AZ145" i="10"/>
  <c r="CA145" i="10"/>
  <c r="CF145" i="10"/>
  <c r="D145" i="10"/>
  <c r="V145" i="10"/>
  <c r="CL145" i="10"/>
  <c r="BG145" i="10"/>
  <c r="T145" i="10"/>
  <c r="M145" i="10"/>
  <c r="CM145" i="10"/>
  <c r="DG145" i="10"/>
  <c r="CQ145" i="10"/>
  <c r="H145" i="10"/>
  <c r="DK145" i="10"/>
  <c r="K145" i="10"/>
  <c r="CE145" i="10"/>
  <c r="Z145" i="10"/>
  <c r="U145" i="10"/>
  <c r="AP145" i="10"/>
  <c r="BI145" i="10"/>
  <c r="EP7" i="1" l="1"/>
  <c r="EQ2" i="1" l="1"/>
  <c r="EQ5" i="1" s="1"/>
  <c r="EQ9" i="1" s="1"/>
  <c r="EQ10" i="1"/>
  <c r="EP8" i="1"/>
  <c r="EQ6" i="1"/>
  <c r="B146" i="10"/>
  <c r="EQ7" i="1" l="1"/>
  <c r="CU146" i="10"/>
  <c r="CR146" i="10"/>
  <c r="CL146" i="10"/>
  <c r="BO146" i="10"/>
  <c r="C146" i="10"/>
  <c r="CS146" i="10"/>
  <c r="CJ146" i="10"/>
  <c r="BZ146" i="10"/>
  <c r="K146" i="10"/>
  <c r="BI146" i="10"/>
  <c r="AB146" i="10"/>
  <c r="DA146" i="10"/>
  <c r="AY146" i="10"/>
  <c r="AH146" i="10"/>
  <c r="BL146" i="10"/>
  <c r="X146" i="10"/>
  <c r="AN146" i="10"/>
  <c r="DE146" i="10"/>
  <c r="CQ146" i="10"/>
  <c r="AM146" i="10"/>
  <c r="W146" i="10"/>
  <c r="BD146" i="10"/>
  <c r="BG146" i="10"/>
  <c r="BQ146" i="10"/>
  <c r="BY146" i="10"/>
  <c r="BC146" i="10"/>
  <c r="CV146" i="10"/>
  <c r="L146" i="10"/>
  <c r="D146" i="10"/>
  <c r="Y146" i="10"/>
  <c r="AP146" i="10"/>
  <c r="T146" i="10"/>
  <c r="DJ146" i="10"/>
  <c r="CG146" i="10"/>
  <c r="AX146" i="10"/>
  <c r="F146" i="10"/>
  <c r="BW146" i="10"/>
  <c r="AC146" i="10"/>
  <c r="H146" i="10"/>
  <c r="BN146" i="10"/>
  <c r="DI146" i="10"/>
  <c r="E146" i="10"/>
  <c r="Z146" i="10"/>
  <c r="CX146" i="10"/>
  <c r="CE146" i="10"/>
  <c r="BH146" i="10"/>
  <c r="R146" i="10"/>
  <c r="BS146" i="10"/>
  <c r="AF146" i="10"/>
  <c r="AT146" i="10"/>
  <c r="CY146" i="10"/>
  <c r="BV146" i="10"/>
  <c r="BJ146" i="10"/>
  <c r="BP146" i="10"/>
  <c r="DD146" i="10"/>
  <c r="AS146" i="10"/>
  <c r="AI146" i="10"/>
  <c r="DB146" i="10"/>
  <c r="Q146" i="10"/>
  <c r="CB146" i="10"/>
  <c r="P146" i="10"/>
  <c r="BU146" i="10"/>
  <c r="AR146" i="10"/>
  <c r="AU146" i="10"/>
  <c r="CH146" i="10"/>
  <c r="AJ146" i="10"/>
  <c r="AZ146" i="10"/>
  <c r="BX146" i="10"/>
  <c r="V146" i="10"/>
  <c r="CC146" i="10"/>
  <c r="M146" i="10"/>
  <c r="DH146" i="10"/>
  <c r="CM146" i="10"/>
  <c r="BB146" i="10"/>
  <c r="AA146" i="10"/>
  <c r="CI146" i="10"/>
  <c r="AQ146" i="10"/>
  <c r="CP146" i="10"/>
  <c r="DF146" i="10"/>
  <c r="AG146" i="10"/>
  <c r="AD146" i="10"/>
  <c r="AW146" i="10"/>
  <c r="CT146" i="10"/>
  <c r="S146" i="10"/>
  <c r="AO146" i="10"/>
  <c r="DG146" i="10"/>
  <c r="N146" i="10"/>
  <c r="BK146" i="10"/>
  <c r="G146" i="10"/>
  <c r="AL146" i="10"/>
  <c r="U146" i="10"/>
  <c r="BE146" i="10"/>
  <c r="O146" i="10"/>
  <c r="DK146" i="10"/>
  <c r="CO146" i="10"/>
  <c r="AK146" i="10"/>
  <c r="DC146" i="10"/>
  <c r="CK146" i="10"/>
  <c r="CD146" i="10"/>
  <c r="J146" i="10"/>
  <c r="CW146" i="10"/>
  <c r="BT146" i="10"/>
  <c r="BR146" i="10"/>
  <c r="CF146" i="10"/>
  <c r="BM146" i="10"/>
  <c r="AE146" i="10"/>
  <c r="AV146" i="10"/>
  <c r="CZ146" i="10"/>
  <c r="I146" i="10"/>
  <c r="CN146" i="10"/>
  <c r="CA146" i="10"/>
  <c r="BF146" i="10"/>
  <c r="BA146" i="10"/>
  <c r="ER6" i="1" l="1"/>
  <c r="B147" i="10"/>
  <c r="EQ8" i="1"/>
  <c r="ER2" i="1"/>
  <c r="ER10" i="1" s="1"/>
  <c r="ER5" i="1" l="1"/>
  <c r="ER9" i="1" s="1"/>
  <c r="ER7" i="1"/>
  <c r="H147" i="10"/>
  <c r="DF147" i="10"/>
  <c r="CV147" i="10"/>
  <c r="BS147" i="10"/>
  <c r="CD147" i="10"/>
  <c r="AA147" i="10"/>
  <c r="Z147" i="10"/>
  <c r="CJ147" i="10"/>
  <c r="AP147" i="10"/>
  <c r="O147" i="10"/>
  <c r="V147" i="10"/>
  <c r="AF147" i="10"/>
  <c r="AT147" i="10"/>
  <c r="CP147" i="10"/>
  <c r="CW147" i="10"/>
  <c r="L147" i="10"/>
  <c r="I147" i="10"/>
  <c r="BH147" i="10"/>
  <c r="CZ147" i="10"/>
  <c r="BO147" i="10"/>
  <c r="DH147" i="10"/>
  <c r="BM147" i="10"/>
  <c r="N147" i="10"/>
  <c r="CK147" i="10"/>
  <c r="R147" i="10"/>
  <c r="C147" i="10"/>
  <c r="BV147" i="10"/>
  <c r="CI147" i="10"/>
  <c r="CS147" i="10"/>
  <c r="CR147" i="10"/>
  <c r="Q147" i="10"/>
  <c r="U147" i="10"/>
  <c r="DA147" i="10"/>
  <c r="AL147" i="10"/>
  <c r="DG147" i="10"/>
  <c r="DE147" i="10"/>
  <c r="BU147" i="10"/>
  <c r="BE147" i="10"/>
  <c r="BB147" i="10"/>
  <c r="CA147" i="10"/>
  <c r="BF147" i="10"/>
  <c r="BL147" i="10"/>
  <c r="AE147" i="10"/>
  <c r="CY147" i="10"/>
  <c r="AO147" i="10"/>
  <c r="CT147" i="10"/>
  <c r="X147" i="10"/>
  <c r="CQ147" i="10"/>
  <c r="AM147" i="10"/>
  <c r="BY147" i="10"/>
  <c r="AI147" i="10"/>
  <c r="F147" i="10"/>
  <c r="AS147" i="10"/>
  <c r="DI147" i="10"/>
  <c r="BK147" i="10"/>
  <c r="G147" i="10"/>
  <c r="AW147" i="10"/>
  <c r="CU147" i="10"/>
  <c r="BI147" i="10"/>
  <c r="CF147" i="10"/>
  <c r="CE147" i="10"/>
  <c r="DC147" i="10"/>
  <c r="W147" i="10"/>
  <c r="BN147" i="10"/>
  <c r="BX147" i="10"/>
  <c r="DJ147" i="10"/>
  <c r="CM147" i="10"/>
  <c r="DK147" i="10"/>
  <c r="BP147" i="10"/>
  <c r="DD147" i="10"/>
  <c r="CG147" i="10"/>
  <c r="AH147" i="10"/>
  <c r="AJ147" i="10"/>
  <c r="AG147" i="10"/>
  <c r="AD147" i="10"/>
  <c r="BT147" i="10"/>
  <c r="CN147" i="10"/>
  <c r="E147" i="10"/>
  <c r="P147" i="10"/>
  <c r="CL147" i="10"/>
  <c r="CX147" i="10"/>
  <c r="CC147" i="10"/>
  <c r="CO147" i="10"/>
  <c r="AX147" i="10"/>
  <c r="BQ147" i="10"/>
  <c r="AC147" i="10"/>
  <c r="D147" i="10"/>
  <c r="AV147" i="10"/>
  <c r="AY147" i="10"/>
  <c r="BC147" i="10"/>
  <c r="AQ147" i="10"/>
  <c r="BG147" i="10"/>
  <c r="Y147" i="10"/>
  <c r="DB147" i="10"/>
  <c r="AR147" i="10"/>
  <c r="AZ147" i="10"/>
  <c r="AK147" i="10"/>
  <c r="BW147" i="10"/>
  <c r="K147" i="10"/>
  <c r="CH147" i="10"/>
  <c r="T147" i="10"/>
  <c r="S147" i="10"/>
  <c r="BA147" i="10"/>
  <c r="BD147" i="10"/>
  <c r="BZ147" i="10"/>
  <c r="AN147" i="10"/>
  <c r="CB147" i="10"/>
  <c r="BJ147" i="10"/>
  <c r="BR147" i="10"/>
  <c r="M147" i="10"/>
  <c r="AU147" i="10"/>
  <c r="AB147" i="10"/>
  <c r="J147" i="10"/>
  <c r="ES2" i="1" l="1"/>
  <c r="ES5" i="1" s="1"/>
  <c r="ES9" i="1" s="1"/>
  <c r="ES6" i="1"/>
  <c r="B148" i="10"/>
  <c r="ES10" i="1"/>
  <c r="ER8" i="1"/>
  <c r="ES7" i="1" l="1"/>
  <c r="CK148" i="10"/>
  <c r="CN148" i="10"/>
  <c r="M148" i="10"/>
  <c r="F148" i="10"/>
  <c r="DI148" i="10"/>
  <c r="AR148" i="10"/>
  <c r="K148" i="10"/>
  <c r="AV148" i="10"/>
  <c r="BQ148" i="10"/>
  <c r="AY148" i="10"/>
  <c r="CU148" i="10"/>
  <c r="DC148" i="10"/>
  <c r="AD148" i="10"/>
  <c r="CG148" i="10"/>
  <c r="BV148" i="10"/>
  <c r="BX148" i="10"/>
  <c r="AW148" i="10"/>
  <c r="BS148" i="10"/>
  <c r="CD148" i="10"/>
  <c r="BT148" i="10"/>
  <c r="BF148" i="10"/>
  <c r="AX148" i="10"/>
  <c r="DK148" i="10"/>
  <c r="W148" i="10"/>
  <c r="CQ148" i="10"/>
  <c r="CV148" i="10"/>
  <c r="H148" i="10"/>
  <c r="CR148" i="10"/>
  <c r="CX148" i="10"/>
  <c r="AE148" i="10"/>
  <c r="BN148" i="10"/>
  <c r="CS148" i="10"/>
  <c r="CB148" i="10"/>
  <c r="BH148" i="10"/>
  <c r="AS148" i="10"/>
  <c r="X148" i="10"/>
  <c r="AA148" i="10"/>
  <c r="BD148" i="10"/>
  <c r="D148" i="10"/>
  <c r="BC148" i="10"/>
  <c r="N148" i="10"/>
  <c r="O148" i="10"/>
  <c r="CP148" i="10"/>
  <c r="AQ148" i="10"/>
  <c r="AH148" i="10"/>
  <c r="DH148" i="10"/>
  <c r="CH148" i="10"/>
  <c r="AK148" i="10"/>
  <c r="CL148" i="10"/>
  <c r="Y148" i="10"/>
  <c r="AU148" i="10"/>
  <c r="CC148" i="10"/>
  <c r="P148" i="10"/>
  <c r="CY148" i="10"/>
  <c r="CO148" i="10"/>
  <c r="CM148" i="10"/>
  <c r="U148" i="10"/>
  <c r="AO148" i="10"/>
  <c r="BK148" i="10"/>
  <c r="T148" i="10"/>
  <c r="BZ148" i="10"/>
  <c r="DA148" i="10"/>
  <c r="AZ148" i="10"/>
  <c r="E148" i="10"/>
  <c r="BI148" i="10"/>
  <c r="BU148" i="10"/>
  <c r="CW148" i="10"/>
  <c r="DJ148" i="10"/>
  <c r="BJ148" i="10"/>
  <c r="C148" i="10"/>
  <c r="BR148" i="10"/>
  <c r="AI148" i="10"/>
  <c r="AL148" i="10"/>
  <c r="BY148" i="10"/>
  <c r="L148" i="10"/>
  <c r="CJ148" i="10"/>
  <c r="CF148" i="10"/>
  <c r="AT148" i="10"/>
  <c r="DF148" i="10"/>
  <c r="DG148" i="10"/>
  <c r="CZ148" i="10"/>
  <c r="G148" i="10"/>
  <c r="AM148" i="10"/>
  <c r="CE148" i="10"/>
  <c r="AN148" i="10"/>
  <c r="CT148" i="10"/>
  <c r="CI148" i="10"/>
  <c r="CA148" i="10"/>
  <c r="R148" i="10"/>
  <c r="DB148" i="10"/>
  <c r="BM148" i="10"/>
  <c r="BA148" i="10"/>
  <c r="BP148" i="10"/>
  <c r="Q148" i="10"/>
  <c r="AB148" i="10"/>
  <c r="BE148" i="10"/>
  <c r="S148" i="10"/>
  <c r="Z148" i="10"/>
  <c r="J148" i="10"/>
  <c r="BB148" i="10"/>
  <c r="AG148" i="10"/>
  <c r="BL148" i="10"/>
  <c r="AF148" i="10"/>
  <c r="BG148" i="10"/>
  <c r="AP148" i="10"/>
  <c r="I148" i="10"/>
  <c r="BO148" i="10"/>
  <c r="DD148" i="10"/>
  <c r="DE148" i="10"/>
  <c r="V148" i="10"/>
  <c r="AJ148" i="10"/>
  <c r="BW148" i="10"/>
  <c r="AC148" i="10"/>
  <c r="ET6" i="1" l="1"/>
  <c r="B149" i="10"/>
  <c r="ES8" i="1"/>
  <c r="ET2" i="1"/>
  <c r="ET10" i="1" s="1"/>
  <c r="ET5" i="1" l="1"/>
  <c r="ET9" i="1" s="1"/>
  <c r="AN149" i="10"/>
  <c r="K149" i="10"/>
  <c r="BF149" i="10"/>
  <c r="BG149" i="10"/>
  <c r="Z149" i="10"/>
  <c r="T149" i="10"/>
  <c r="CX149" i="10"/>
  <c r="AR149" i="10"/>
  <c r="AU149" i="10"/>
  <c r="AC149" i="10"/>
  <c r="CE149" i="10"/>
  <c r="DH149" i="10"/>
  <c r="CF149" i="10"/>
  <c r="AP149" i="10"/>
  <c r="CJ149" i="10"/>
  <c r="AB149" i="10"/>
  <c r="M149" i="10"/>
  <c r="D149" i="10"/>
  <c r="BB149" i="10"/>
  <c r="BX149" i="10"/>
  <c r="CC149" i="10"/>
  <c r="DK149" i="10"/>
  <c r="AI149" i="10"/>
  <c r="L149" i="10"/>
  <c r="CI149" i="10"/>
  <c r="BY149" i="10"/>
  <c r="BW149" i="10"/>
  <c r="AS149" i="10"/>
  <c r="BJ149" i="10"/>
  <c r="BN149" i="10"/>
  <c r="AL149" i="10"/>
  <c r="BK149" i="10"/>
  <c r="AW149" i="10"/>
  <c r="V149" i="10"/>
  <c r="DF149" i="10"/>
  <c r="BQ149" i="10"/>
  <c r="AQ149" i="10"/>
  <c r="AZ149" i="10"/>
  <c r="CM149" i="10"/>
  <c r="C149" i="10"/>
  <c r="CN149" i="10"/>
  <c r="DB149" i="10"/>
  <c r="O149" i="10"/>
  <c r="I149" i="10"/>
  <c r="X149" i="10"/>
  <c r="F149" i="10"/>
  <c r="CT149" i="10"/>
  <c r="CL149" i="10"/>
  <c r="N149" i="10"/>
  <c r="CK149" i="10"/>
  <c r="AY149" i="10"/>
  <c r="CB149" i="10"/>
  <c r="DC149" i="10"/>
  <c r="CQ149" i="10"/>
  <c r="CW149" i="10"/>
  <c r="AX149" i="10"/>
  <c r="AE149" i="10"/>
  <c r="R149" i="10"/>
  <c r="CO149" i="10"/>
  <c r="CD149" i="10"/>
  <c r="BL149" i="10"/>
  <c r="BR149" i="10"/>
  <c r="CH149" i="10"/>
  <c r="AF149" i="10"/>
  <c r="S149" i="10"/>
  <c r="P149" i="10"/>
  <c r="DI149" i="10"/>
  <c r="CU149" i="10"/>
  <c r="DJ149" i="10"/>
  <c r="BO149" i="10"/>
  <c r="AH149" i="10"/>
  <c r="U149" i="10"/>
  <c r="BI149" i="10"/>
  <c r="BS149" i="10"/>
  <c r="Q149" i="10"/>
  <c r="BT149" i="10"/>
  <c r="DA149" i="10"/>
  <c r="CS149" i="10"/>
  <c r="BC149" i="10"/>
  <c r="BM149" i="10"/>
  <c r="AV149" i="10"/>
  <c r="CY149" i="10"/>
  <c r="CR149" i="10"/>
  <c r="CZ149" i="10"/>
  <c r="CG149" i="10"/>
  <c r="AJ149" i="10"/>
  <c r="Y149" i="10"/>
  <c r="BD149" i="10"/>
  <c r="AO149" i="10"/>
  <c r="DE149" i="10"/>
  <c r="BE149" i="10"/>
  <c r="AA149" i="10"/>
  <c r="E149" i="10"/>
  <c r="BP149" i="10"/>
  <c r="AM149" i="10"/>
  <c r="CV149" i="10"/>
  <c r="CA149" i="10"/>
  <c r="DD149" i="10"/>
  <c r="AD149" i="10"/>
  <c r="BH149" i="10"/>
  <c r="H149" i="10"/>
  <c r="DG149" i="10"/>
  <c r="CP149" i="10"/>
  <c r="BU149" i="10"/>
  <c r="W149" i="10"/>
  <c r="AK149" i="10"/>
  <c r="BA149" i="10"/>
  <c r="BZ149" i="10"/>
  <c r="AT149" i="10"/>
  <c r="AG149" i="10"/>
  <c r="BV149" i="10"/>
  <c r="J149" i="10"/>
  <c r="G149" i="10"/>
  <c r="ET7" i="1" l="1"/>
  <c r="EU6" i="1" l="1"/>
  <c r="B150" i="10"/>
  <c r="ET8" i="1"/>
  <c r="EU2" i="1"/>
  <c r="EU10" i="1" s="1"/>
  <c r="EU5" i="1" l="1"/>
  <c r="AJ150" i="10"/>
  <c r="DJ150" i="10"/>
  <c r="T150" i="10"/>
  <c r="DD150" i="10"/>
  <c r="CY150" i="10"/>
  <c r="F150" i="10"/>
  <c r="AG150" i="10"/>
  <c r="CH150" i="10"/>
  <c r="K150" i="10"/>
  <c r="O150" i="10"/>
  <c r="Z150" i="10"/>
  <c r="CS150" i="10"/>
  <c r="CI150" i="10"/>
  <c r="AD150" i="10"/>
  <c r="CE150" i="10"/>
  <c r="BY150" i="10"/>
  <c r="BU150" i="10"/>
  <c r="AK150" i="10"/>
  <c r="BA150" i="10"/>
  <c r="CJ150" i="10"/>
  <c r="CC150" i="10"/>
  <c r="AM150" i="10"/>
  <c r="H150" i="10"/>
  <c r="DF150" i="10"/>
  <c r="CK150" i="10"/>
  <c r="DE150" i="10"/>
  <c r="CG150" i="10"/>
  <c r="BH150" i="10"/>
  <c r="BM150" i="10"/>
  <c r="CR150" i="10"/>
  <c r="AL150" i="10"/>
  <c r="U150" i="10"/>
  <c r="AA150" i="10"/>
  <c r="AC150" i="10"/>
  <c r="AV150" i="10"/>
  <c r="DG150" i="10"/>
  <c r="AO150" i="10"/>
  <c r="D150" i="10"/>
  <c r="CB150" i="10"/>
  <c r="CA150" i="10"/>
  <c r="G150" i="10"/>
  <c r="CM150" i="10"/>
  <c r="BC150" i="10"/>
  <c r="S150" i="10"/>
  <c r="AZ150" i="10"/>
  <c r="CX150" i="10"/>
  <c r="AU150" i="10"/>
  <c r="DA150" i="10"/>
  <c r="BE150" i="10"/>
  <c r="J150" i="10"/>
  <c r="CP150" i="10"/>
  <c r="AW150" i="10"/>
  <c r="CD150" i="10"/>
  <c r="AS150" i="10"/>
  <c r="AF150" i="10"/>
  <c r="V150" i="10"/>
  <c r="AX150" i="10"/>
  <c r="AQ150" i="10"/>
  <c r="BL150" i="10"/>
  <c r="AI150" i="10"/>
  <c r="BB150" i="10"/>
  <c r="DC150" i="10"/>
  <c r="BF150" i="10"/>
  <c r="AN150" i="10"/>
  <c r="BS150" i="10"/>
  <c r="AP150" i="10"/>
  <c r="R150" i="10"/>
  <c r="C150" i="10"/>
  <c r="CN150" i="10"/>
  <c r="Y150" i="10"/>
  <c r="BN150" i="10"/>
  <c r="W150" i="10"/>
  <c r="BX150" i="10"/>
  <c r="DB150" i="10"/>
  <c r="N150" i="10"/>
  <c r="BD150" i="10"/>
  <c r="BG150" i="10"/>
  <c r="BQ150" i="10"/>
  <c r="L150" i="10"/>
  <c r="DI150" i="10"/>
  <c r="CL150" i="10"/>
  <c r="BJ150" i="10"/>
  <c r="CZ150" i="10"/>
  <c r="CO150" i="10"/>
  <c r="BP150" i="10"/>
  <c r="E150" i="10"/>
  <c r="Q150" i="10"/>
  <c r="AR150" i="10"/>
  <c r="BI150" i="10"/>
  <c r="BR150" i="10"/>
  <c r="BO150" i="10"/>
  <c r="BV150" i="10"/>
  <c r="X150" i="10"/>
  <c r="CQ150" i="10"/>
  <c r="DH150" i="10"/>
  <c r="P150" i="10"/>
  <c r="I150" i="10"/>
  <c r="CU150" i="10"/>
  <c r="CW150" i="10"/>
  <c r="AT150" i="10"/>
  <c r="CF150" i="10"/>
  <c r="AB150" i="10"/>
  <c r="CT150" i="10"/>
  <c r="BZ150" i="10"/>
  <c r="BT150" i="10"/>
  <c r="BK150" i="10"/>
  <c r="M150" i="10"/>
  <c r="CV150" i="10"/>
  <c r="BW150" i="10"/>
  <c r="AH150" i="10"/>
  <c r="AY150" i="10"/>
  <c r="AE150" i="10"/>
  <c r="DK150" i="10"/>
  <c r="EU7" i="1" l="1"/>
  <c r="EU8" i="1" s="1"/>
  <c r="EU9" i="1"/>
  <c r="B151" i="10"/>
  <c r="EV6" i="1" l="1"/>
  <c r="AT151" i="10"/>
  <c r="AO151" i="10"/>
  <c r="BM151" i="10"/>
  <c r="AV151" i="10"/>
  <c r="AS151" i="10"/>
  <c r="AQ151" i="10"/>
  <c r="F151" i="10"/>
  <c r="BK151" i="10"/>
  <c r="BR151" i="10"/>
  <c r="AB151" i="10"/>
  <c r="BW151" i="10"/>
  <c r="BQ151" i="10"/>
  <c r="CN151" i="10"/>
  <c r="BJ151" i="10"/>
  <c r="AX151" i="10"/>
  <c r="AA151" i="10"/>
  <c r="BH151" i="10"/>
  <c r="O151" i="10"/>
  <c r="BF151" i="10"/>
  <c r="C151" i="10"/>
  <c r="AZ151" i="10"/>
  <c r="AM151" i="10"/>
  <c r="CF151" i="10"/>
  <c r="CO151" i="10"/>
  <c r="BN151" i="10"/>
  <c r="DB151" i="10"/>
  <c r="AP151" i="10"/>
  <c r="CR151" i="10"/>
  <c r="K151" i="10"/>
  <c r="BG151" i="10"/>
  <c r="DH151" i="10"/>
  <c r="R151" i="10"/>
  <c r="AD151" i="10"/>
  <c r="AR151" i="10"/>
  <c r="BO151" i="10"/>
  <c r="DF151" i="10"/>
  <c r="CI151" i="10"/>
  <c r="DE151" i="10"/>
  <c r="DG151" i="10"/>
  <c r="AK151" i="10"/>
  <c r="CV151" i="10"/>
  <c r="CM151" i="10"/>
  <c r="AH151" i="10"/>
  <c r="BD151" i="10"/>
  <c r="G151" i="10"/>
  <c r="CS151" i="10"/>
  <c r="AL151" i="10"/>
  <c r="T151" i="10"/>
  <c r="D151" i="10"/>
  <c r="Y151" i="10"/>
  <c r="DK151" i="10"/>
  <c r="CT151" i="10"/>
  <c r="Z151" i="10"/>
  <c r="CZ151" i="10"/>
  <c r="CA151" i="10"/>
  <c r="BT151" i="10"/>
  <c r="CL151" i="10"/>
  <c r="CH151" i="10"/>
  <c r="CD151" i="10"/>
  <c r="W151" i="10"/>
  <c r="DC151" i="10"/>
  <c r="CE151" i="10"/>
  <c r="AF151" i="10"/>
  <c r="M151" i="10"/>
  <c r="DI151" i="10"/>
  <c r="DJ151" i="10"/>
  <c r="AU151" i="10"/>
  <c r="AE151" i="10"/>
  <c r="CG151" i="10"/>
  <c r="CB151" i="10"/>
  <c r="CX151" i="10"/>
  <c r="CC151" i="10"/>
  <c r="BB151" i="10"/>
  <c r="H151" i="10"/>
  <c r="BP151" i="10"/>
  <c r="BA151" i="10"/>
  <c r="X151" i="10"/>
  <c r="DA151" i="10"/>
  <c r="AC151" i="10"/>
  <c r="BX151" i="10"/>
  <c r="AY151" i="10"/>
  <c r="CK151" i="10"/>
  <c r="CQ151" i="10"/>
  <c r="CJ151" i="10"/>
  <c r="N151" i="10"/>
  <c r="BC151" i="10"/>
  <c r="BL151" i="10"/>
  <c r="AI151" i="10"/>
  <c r="P151" i="10"/>
  <c r="L151" i="10"/>
  <c r="CY151" i="10"/>
  <c r="BS151" i="10"/>
  <c r="S151" i="10"/>
  <c r="AN151" i="10"/>
  <c r="AG151" i="10"/>
  <c r="CU151" i="10"/>
  <c r="I151" i="10"/>
  <c r="BV151" i="10"/>
  <c r="E151" i="10"/>
  <c r="BI151" i="10"/>
  <c r="AW151" i="10"/>
  <c r="CP151" i="10"/>
  <c r="CW151" i="10"/>
  <c r="BZ151" i="10"/>
  <c r="V151" i="10"/>
  <c r="J151" i="10"/>
  <c r="Q151" i="10"/>
  <c r="DD151" i="10"/>
  <c r="BU151" i="10"/>
  <c r="U151" i="10"/>
  <c r="AJ151" i="10"/>
  <c r="BY151" i="10"/>
  <c r="BE151" i="10"/>
  <c r="EV2" i="1"/>
  <c r="EV10" i="1" s="1"/>
  <c r="EV5" i="1" l="1"/>
  <c r="EV9" i="1" s="1"/>
  <c r="EV7" i="1" l="1"/>
  <c r="EW6" i="1" s="1"/>
  <c r="B152" i="10"/>
  <c r="EV8" i="1"/>
  <c r="EW2" i="1"/>
  <c r="EW10" i="1" s="1"/>
  <c r="EW5" i="1" l="1"/>
  <c r="EW9" i="1" s="1"/>
  <c r="AM152" i="10"/>
  <c r="AF152" i="10"/>
  <c r="BO152" i="10"/>
  <c r="AG152" i="10"/>
  <c r="CI152" i="10"/>
  <c r="BL152" i="10"/>
  <c r="CW152" i="10"/>
  <c r="AJ152" i="10"/>
  <c r="DK152" i="10"/>
  <c r="AR152" i="10"/>
  <c r="AQ152" i="10"/>
  <c r="BC152" i="10"/>
  <c r="AP152" i="10"/>
  <c r="DJ152" i="10"/>
  <c r="BQ152" i="10"/>
  <c r="DD152" i="10"/>
  <c r="V152" i="10"/>
  <c r="AC152" i="10"/>
  <c r="BE152" i="10"/>
  <c r="CP152" i="10"/>
  <c r="BS152" i="10"/>
  <c r="CZ152" i="10"/>
  <c r="CK152" i="10"/>
  <c r="Z152" i="10"/>
  <c r="BV152" i="10"/>
  <c r="BX152" i="10"/>
  <c r="X152" i="10"/>
  <c r="CN152" i="10"/>
  <c r="DF152" i="10"/>
  <c r="N152" i="10"/>
  <c r="F152" i="10"/>
  <c r="G152" i="10"/>
  <c r="R152" i="10"/>
  <c r="CA152" i="10"/>
  <c r="CH152" i="10"/>
  <c r="BH152" i="10"/>
  <c r="AX152" i="10"/>
  <c r="T152" i="10"/>
  <c r="CF152" i="10"/>
  <c r="AH152" i="10"/>
  <c r="BY152" i="10"/>
  <c r="BZ152" i="10"/>
  <c r="CJ152" i="10"/>
  <c r="L152" i="10"/>
  <c r="AV152" i="10"/>
  <c r="BA152" i="10"/>
  <c r="DB152" i="10"/>
  <c r="AL152" i="10"/>
  <c r="AE152" i="10"/>
  <c r="AD152" i="10"/>
  <c r="CQ152" i="10"/>
  <c r="BK152" i="10"/>
  <c r="BM152" i="10"/>
  <c r="AS152" i="10"/>
  <c r="BJ152" i="10"/>
  <c r="AK152" i="10"/>
  <c r="AO152" i="10"/>
  <c r="M152" i="10"/>
  <c r="CC152" i="10"/>
  <c r="Q152" i="10"/>
  <c r="BU152" i="10"/>
  <c r="AW152" i="10"/>
  <c r="AA152" i="10"/>
  <c r="O152" i="10"/>
  <c r="AZ152" i="10"/>
  <c r="DH152" i="10"/>
  <c r="BT152" i="10"/>
  <c r="CS152" i="10"/>
  <c r="AT152" i="10"/>
  <c r="BR152" i="10"/>
  <c r="AN152" i="10"/>
  <c r="W152" i="10"/>
  <c r="AY152" i="10"/>
  <c r="DA152" i="10"/>
  <c r="CX152" i="10"/>
  <c r="CU152" i="10"/>
  <c r="S152" i="10"/>
  <c r="CD152" i="10"/>
  <c r="CG152" i="10"/>
  <c r="DC152" i="10"/>
  <c r="CE152" i="10"/>
  <c r="CY152" i="10"/>
  <c r="CM152" i="10"/>
  <c r="E152" i="10"/>
  <c r="BN152" i="10"/>
  <c r="U152" i="10"/>
  <c r="BW152" i="10"/>
  <c r="CT152" i="10"/>
  <c r="BD152" i="10"/>
  <c r="CO152" i="10"/>
  <c r="K152" i="10"/>
  <c r="BG152" i="10"/>
  <c r="CB152" i="10"/>
  <c r="DE152" i="10"/>
  <c r="BF152" i="10"/>
  <c r="AI152" i="10"/>
  <c r="BP152" i="10"/>
  <c r="AU152" i="10"/>
  <c r="H152" i="10"/>
  <c r="I152" i="10"/>
  <c r="BB152" i="10"/>
  <c r="DI152" i="10"/>
  <c r="C152" i="10"/>
  <c r="J152" i="10"/>
  <c r="Y152" i="10"/>
  <c r="BI152" i="10"/>
  <c r="DG152" i="10"/>
  <c r="P152" i="10"/>
  <c r="CL152" i="10"/>
  <c r="D152" i="10"/>
  <c r="CR152" i="10"/>
  <c r="CV152" i="10"/>
  <c r="AB152" i="10"/>
  <c r="EW7" i="1" l="1"/>
  <c r="EW8" i="1" l="1"/>
  <c r="EX6" i="1"/>
  <c r="B153" i="10"/>
  <c r="EX2" i="1"/>
  <c r="EX10" i="1" s="1"/>
  <c r="EX5" i="1" l="1"/>
  <c r="EX9" i="1" s="1"/>
  <c r="CL153" i="10"/>
  <c r="K153" i="10"/>
  <c r="AA153" i="10"/>
  <c r="E153" i="10"/>
  <c r="CD153" i="10"/>
  <c r="CY153" i="10"/>
  <c r="BK153" i="10"/>
  <c r="Z153" i="10"/>
  <c r="CW153" i="10"/>
  <c r="CM153" i="10"/>
  <c r="BM153" i="10"/>
  <c r="CH153" i="10"/>
  <c r="C153" i="10"/>
  <c r="AJ153" i="10"/>
  <c r="BB153" i="10"/>
  <c r="V153" i="10"/>
  <c r="DF153" i="10"/>
  <c r="D153" i="10"/>
  <c r="AL153" i="10"/>
  <c r="AB153" i="10"/>
  <c r="DK153" i="10"/>
  <c r="BN153" i="10"/>
  <c r="CF153" i="10"/>
  <c r="CA153" i="10"/>
  <c r="BJ153" i="10"/>
  <c r="CN153" i="10"/>
  <c r="AT153" i="10"/>
  <c r="X153" i="10"/>
  <c r="BT153" i="10"/>
  <c r="AP153" i="10"/>
  <c r="G153" i="10"/>
  <c r="BS153" i="10"/>
  <c r="BH153" i="10"/>
  <c r="Q153" i="10"/>
  <c r="BR153" i="10"/>
  <c r="BL153" i="10"/>
  <c r="DE153" i="10"/>
  <c r="AW153" i="10"/>
  <c r="BD153" i="10"/>
  <c r="CJ153" i="10"/>
  <c r="Y153" i="10"/>
  <c r="BA153" i="10"/>
  <c r="CO153" i="10"/>
  <c r="AQ153" i="10"/>
  <c r="BY153" i="10"/>
  <c r="DC153" i="10"/>
  <c r="R153" i="10"/>
  <c r="BC153" i="10"/>
  <c r="BQ153" i="10"/>
  <c r="N153" i="10"/>
  <c r="BF153" i="10"/>
  <c r="AK153" i="10"/>
  <c r="DJ153" i="10"/>
  <c r="DG153" i="10"/>
  <c r="CI153" i="10"/>
  <c r="AM153" i="10"/>
  <c r="AZ153" i="10"/>
  <c r="CT153" i="10"/>
  <c r="L153" i="10"/>
  <c r="CP153" i="10"/>
  <c r="DH153" i="10"/>
  <c r="BW153" i="10"/>
  <c r="H153" i="10"/>
  <c r="CX153" i="10"/>
  <c r="BP153" i="10"/>
  <c r="J153" i="10"/>
  <c r="BE153" i="10"/>
  <c r="AC153" i="10"/>
  <c r="I153" i="10"/>
  <c r="T153" i="10"/>
  <c r="BU153" i="10"/>
  <c r="CR153" i="10"/>
  <c r="AD153" i="10"/>
  <c r="S153" i="10"/>
  <c r="CC153" i="10"/>
  <c r="BZ153" i="10"/>
  <c r="AI153" i="10"/>
  <c r="W153" i="10"/>
  <c r="CS153" i="10"/>
  <c r="AG153" i="10"/>
  <c r="AY153" i="10"/>
  <c r="AN153" i="10"/>
  <c r="AF153" i="10"/>
  <c r="CK153" i="10"/>
  <c r="CG153" i="10"/>
  <c r="AS153" i="10"/>
  <c r="BI153" i="10"/>
  <c r="O153" i="10"/>
  <c r="BX153" i="10"/>
  <c r="BG153" i="10"/>
  <c r="AV153" i="10"/>
  <c r="CU153" i="10"/>
  <c r="AO153" i="10"/>
  <c r="CQ153" i="10"/>
  <c r="DI153" i="10"/>
  <c r="CB153" i="10"/>
  <c r="U153" i="10"/>
  <c r="F153" i="10"/>
  <c r="AU153" i="10"/>
  <c r="DB153" i="10"/>
  <c r="DA153" i="10"/>
  <c r="BO153" i="10"/>
  <c r="P153" i="10"/>
  <c r="CE153" i="10"/>
  <c r="AE153" i="10"/>
  <c r="BV153" i="10"/>
  <c r="DD153" i="10"/>
  <c r="AX153" i="10"/>
  <c r="AH153" i="10"/>
  <c r="AR153" i="10"/>
  <c r="M153" i="10"/>
  <c r="CZ153" i="10"/>
  <c r="CV153" i="10"/>
  <c r="EX7" i="1" l="1"/>
  <c r="B154" i="10" l="1"/>
  <c r="EY6" i="1"/>
  <c r="EX8" i="1"/>
  <c r="EY2" i="1"/>
  <c r="EY10" i="1" s="1"/>
  <c r="EY5" i="1" l="1"/>
  <c r="EY9" i="1" s="1"/>
  <c r="BK154" i="10"/>
  <c r="Y154" i="10"/>
  <c r="DH154" i="10"/>
  <c r="L154" i="10"/>
  <c r="CP154" i="10"/>
  <c r="BL154" i="10"/>
  <c r="DB154" i="10"/>
  <c r="BF154" i="10"/>
  <c r="CT154" i="10"/>
  <c r="BN154" i="10"/>
  <c r="D154" i="10"/>
  <c r="BV154" i="10"/>
  <c r="CL154" i="10"/>
  <c r="E154" i="10"/>
  <c r="DE154" i="10"/>
  <c r="CM154" i="10"/>
  <c r="AL154" i="10"/>
  <c r="AE154" i="10"/>
  <c r="DJ154" i="10"/>
  <c r="CN154" i="10"/>
  <c r="CD154" i="10"/>
  <c r="CU154" i="10"/>
  <c r="CA154" i="10"/>
  <c r="CE154" i="10"/>
  <c r="AX154" i="10"/>
  <c r="W154" i="10"/>
  <c r="AC154" i="10"/>
  <c r="AD154" i="10"/>
  <c r="DI154" i="10"/>
  <c r="BM154" i="10"/>
  <c r="CZ154" i="10"/>
  <c r="AO154" i="10"/>
  <c r="CX154" i="10"/>
  <c r="BC154" i="10"/>
  <c r="O154" i="10"/>
  <c r="BX154" i="10"/>
  <c r="CG154" i="10"/>
  <c r="K154" i="10"/>
  <c r="AU154" i="10"/>
  <c r="DA154" i="10"/>
  <c r="BZ154" i="10"/>
  <c r="DK154" i="10"/>
  <c r="CQ154" i="10"/>
  <c r="AR154" i="10"/>
  <c r="BB154" i="10"/>
  <c r="CR154" i="10"/>
  <c r="BT154" i="10"/>
  <c r="CO154" i="10"/>
  <c r="CW154" i="10"/>
  <c r="X154" i="10"/>
  <c r="AK154" i="10"/>
  <c r="CC154" i="10"/>
  <c r="AG154" i="10"/>
  <c r="CV154" i="10"/>
  <c r="AB154" i="10"/>
  <c r="BG154" i="10"/>
  <c r="C154" i="10"/>
  <c r="J154" i="10"/>
  <c r="BY154" i="10"/>
  <c r="H154" i="10"/>
  <c r="AH154" i="10"/>
  <c r="CI154" i="10"/>
  <c r="BR154" i="10"/>
  <c r="DC154" i="10"/>
  <c r="AF154" i="10"/>
  <c r="I154" i="10"/>
  <c r="U154" i="10"/>
  <c r="AW154" i="10"/>
  <c r="BJ154" i="10"/>
  <c r="AS154" i="10"/>
  <c r="CF154" i="10"/>
  <c r="S154" i="10"/>
  <c r="CY154" i="10"/>
  <c r="BQ154" i="10"/>
  <c r="BO154" i="10"/>
  <c r="DF154" i="10"/>
  <c r="AM154" i="10"/>
  <c r="CH154" i="10"/>
  <c r="BH154" i="10"/>
  <c r="G154" i="10"/>
  <c r="CK154" i="10"/>
  <c r="CS154" i="10"/>
  <c r="DG154" i="10"/>
  <c r="N154" i="10"/>
  <c r="AQ154" i="10"/>
  <c r="AJ154" i="10"/>
  <c r="M154" i="10"/>
  <c r="AT154" i="10"/>
  <c r="AP154" i="10"/>
  <c r="BE154" i="10"/>
  <c r="AI154" i="10"/>
  <c r="AN154" i="10"/>
  <c r="BW154" i="10"/>
  <c r="BU154" i="10"/>
  <c r="P154" i="10"/>
  <c r="AZ154" i="10"/>
  <c r="V154" i="10"/>
  <c r="F154" i="10"/>
  <c r="Q154" i="10"/>
  <c r="BP154" i="10"/>
  <c r="BI154" i="10"/>
  <c r="BA154" i="10"/>
  <c r="AY154" i="10"/>
  <c r="DD154" i="10"/>
  <c r="CJ154" i="10"/>
  <c r="BD154" i="10"/>
  <c r="Z154" i="10"/>
  <c r="CB154" i="10"/>
  <c r="BS154" i="10"/>
  <c r="R154" i="10"/>
  <c r="AV154" i="10"/>
  <c r="AA154" i="10"/>
  <c r="T154" i="10"/>
  <c r="EY7" i="1" l="1"/>
  <c r="EY8" i="1" s="1"/>
  <c r="EZ2" i="1"/>
  <c r="EZ5" i="1" s="1"/>
  <c r="EZ9" i="1" s="1"/>
  <c r="B155" i="10"/>
  <c r="EZ6" i="1"/>
  <c r="EZ10" i="1"/>
  <c r="EZ7" i="1" l="1"/>
  <c r="BG155" i="10"/>
  <c r="DI155" i="10"/>
  <c r="DH155" i="10"/>
  <c r="CM155" i="10"/>
  <c r="BH155" i="10"/>
  <c r="AD155" i="10"/>
  <c r="BE155" i="10"/>
  <c r="BQ155" i="10"/>
  <c r="DC155" i="10"/>
  <c r="E155" i="10"/>
  <c r="BF155" i="10"/>
  <c r="BN155" i="10"/>
  <c r="AE155" i="10"/>
  <c r="CL155" i="10"/>
  <c r="BZ155" i="10"/>
  <c r="CG155" i="10"/>
  <c r="M155" i="10"/>
  <c r="CK155" i="10"/>
  <c r="AA155" i="10"/>
  <c r="O155" i="10"/>
  <c r="K155" i="10"/>
  <c r="AC155" i="10"/>
  <c r="AS155" i="10"/>
  <c r="CD155" i="10"/>
  <c r="AI155" i="10"/>
  <c r="G155" i="10"/>
  <c r="AG155" i="10"/>
  <c r="DK155" i="10"/>
  <c r="BB155" i="10"/>
  <c r="BM155" i="10"/>
  <c r="I155" i="10"/>
  <c r="AJ155" i="10"/>
  <c r="CX155" i="10"/>
  <c r="BC155" i="10"/>
  <c r="CB155" i="10"/>
  <c r="AX155" i="10"/>
  <c r="AW155" i="10"/>
  <c r="AZ155" i="10"/>
  <c r="R155" i="10"/>
  <c r="CQ155" i="10"/>
  <c r="CR155" i="10"/>
  <c r="BL155" i="10"/>
  <c r="DJ155" i="10"/>
  <c r="BW155" i="10"/>
  <c r="BV155" i="10"/>
  <c r="AF155" i="10"/>
  <c r="CY155" i="10"/>
  <c r="AU155" i="10"/>
  <c r="AQ155" i="10"/>
  <c r="CE155" i="10"/>
  <c r="AP155" i="10"/>
  <c r="AV155" i="10"/>
  <c r="Q155" i="10"/>
  <c r="CA155" i="10"/>
  <c r="AH155" i="10"/>
  <c r="CU155" i="10"/>
  <c r="CO155" i="10"/>
  <c r="X155" i="10"/>
  <c r="BP155" i="10"/>
  <c r="CT155" i="10"/>
  <c r="CF155" i="10"/>
  <c r="AY155" i="10"/>
  <c r="AN155" i="10"/>
  <c r="CC155" i="10"/>
  <c r="BO155" i="10"/>
  <c r="BU155" i="10"/>
  <c r="BT155" i="10"/>
  <c r="L155" i="10"/>
  <c r="AT155" i="10"/>
  <c r="CS155" i="10"/>
  <c r="AO155" i="10"/>
  <c r="C155" i="10"/>
  <c r="BK155" i="10"/>
  <c r="T155" i="10"/>
  <c r="DE155" i="10"/>
  <c r="DB155" i="10"/>
  <c r="CN155" i="10"/>
  <c r="W155" i="10"/>
  <c r="AR155" i="10"/>
  <c r="S155" i="10"/>
  <c r="U155" i="10"/>
  <c r="AL155" i="10"/>
  <c r="BX155" i="10"/>
  <c r="BA155" i="10"/>
  <c r="Z155" i="10"/>
  <c r="J155" i="10"/>
  <c r="AM155" i="10"/>
  <c r="V155" i="10"/>
  <c r="BS155" i="10"/>
  <c r="CP155" i="10"/>
  <c r="Y155" i="10"/>
  <c r="BY155" i="10"/>
  <c r="H155" i="10"/>
  <c r="CW155" i="10"/>
  <c r="N155" i="10"/>
  <c r="DA155" i="10"/>
  <c r="D155" i="10"/>
  <c r="CH155" i="10"/>
  <c r="DG155" i="10"/>
  <c r="F155" i="10"/>
  <c r="CI155" i="10"/>
  <c r="P155" i="10"/>
  <c r="CJ155" i="10"/>
  <c r="BJ155" i="10"/>
  <c r="AB155" i="10"/>
  <c r="DD155" i="10"/>
  <c r="AK155" i="10"/>
  <c r="CZ155" i="10"/>
  <c r="BD155" i="10"/>
  <c r="CV155" i="10"/>
  <c r="BI155" i="10"/>
  <c r="BR155" i="10"/>
  <c r="DF155" i="10"/>
  <c r="FA2" i="1" l="1"/>
  <c r="FA5" i="1" s="1"/>
  <c r="FA9" i="1" s="1"/>
  <c r="B156" i="10"/>
  <c r="FA6" i="1"/>
  <c r="FA10" i="1"/>
  <c r="EZ8" i="1"/>
  <c r="FA7" i="1" l="1"/>
  <c r="AV156" i="10"/>
  <c r="BK156" i="10"/>
  <c r="E156" i="10"/>
  <c r="BS156" i="10"/>
  <c r="DG156" i="10"/>
  <c r="CC156" i="10"/>
  <c r="CU156" i="10"/>
  <c r="CH156" i="10"/>
  <c r="BJ156" i="10"/>
  <c r="AR156" i="10"/>
  <c r="AD156" i="10"/>
  <c r="CA156" i="10"/>
  <c r="DK156" i="10"/>
  <c r="BC156" i="10"/>
  <c r="BW156" i="10"/>
  <c r="BQ156" i="10"/>
  <c r="AH156" i="10"/>
  <c r="BB156" i="10"/>
  <c r="AU156" i="10"/>
  <c r="BY156" i="10"/>
  <c r="CR156" i="10"/>
  <c r="DJ156" i="10"/>
  <c r="J156" i="10"/>
  <c r="D156" i="10"/>
  <c r="BZ156" i="10"/>
  <c r="AF156" i="10"/>
  <c r="K156" i="10"/>
  <c r="BP156" i="10"/>
  <c r="BV156" i="10"/>
  <c r="CM156" i="10"/>
  <c r="CE156" i="10"/>
  <c r="BF156" i="10"/>
  <c r="CO156" i="10"/>
  <c r="CI156" i="10"/>
  <c r="BO156" i="10"/>
  <c r="BA156" i="10"/>
  <c r="AI156" i="10"/>
  <c r="BX156" i="10"/>
  <c r="CJ156" i="10"/>
  <c r="BM156" i="10"/>
  <c r="CP156" i="10"/>
  <c r="DH156" i="10"/>
  <c r="BR156" i="10"/>
  <c r="AG156" i="10"/>
  <c r="DC156" i="10"/>
  <c r="AE156" i="10"/>
  <c r="T156" i="10"/>
  <c r="AO156" i="10"/>
  <c r="BL156" i="10"/>
  <c r="DI156" i="10"/>
  <c r="CV156" i="10"/>
  <c r="CS156" i="10"/>
  <c r="M156" i="10"/>
  <c r="F156" i="10"/>
  <c r="DA156" i="10"/>
  <c r="AB156" i="10"/>
  <c r="CD156" i="10"/>
  <c r="AT156" i="10"/>
  <c r="AC156" i="10"/>
  <c r="DE156" i="10"/>
  <c r="Z156" i="10"/>
  <c r="BG156" i="10"/>
  <c r="L156" i="10"/>
  <c r="BU156" i="10"/>
  <c r="AM156" i="10"/>
  <c r="CK156" i="10"/>
  <c r="R156" i="10"/>
  <c r="DF156" i="10"/>
  <c r="AY156" i="10"/>
  <c r="Y156" i="10"/>
  <c r="CL156" i="10"/>
  <c r="Q156" i="10"/>
  <c r="CW156" i="10"/>
  <c r="DD156" i="10"/>
  <c r="C156" i="10"/>
  <c r="BD156" i="10"/>
  <c r="AL156" i="10"/>
  <c r="BT156" i="10"/>
  <c r="AP156" i="10"/>
  <c r="CX156" i="10"/>
  <c r="AW156" i="10"/>
  <c r="G156" i="10"/>
  <c r="CN156" i="10"/>
  <c r="AX156" i="10"/>
  <c r="O156" i="10"/>
  <c r="CQ156" i="10"/>
  <c r="W156" i="10"/>
  <c r="CB156" i="10"/>
  <c r="CT156" i="10"/>
  <c r="N156" i="10"/>
  <c r="AA156" i="10"/>
  <c r="CZ156" i="10"/>
  <c r="BH156" i="10"/>
  <c r="U156" i="10"/>
  <c r="BN156" i="10"/>
  <c r="AS156" i="10"/>
  <c r="AK156" i="10"/>
  <c r="CF156" i="10"/>
  <c r="CY156" i="10"/>
  <c r="P156" i="10"/>
  <c r="CG156" i="10"/>
  <c r="AN156" i="10"/>
  <c r="BI156" i="10"/>
  <c r="S156" i="10"/>
  <c r="DB156" i="10"/>
  <c r="AQ156" i="10"/>
  <c r="X156" i="10"/>
  <c r="AZ156" i="10"/>
  <c r="H156" i="10"/>
  <c r="AJ156" i="10"/>
  <c r="V156" i="10"/>
  <c r="BE156" i="10"/>
  <c r="I156" i="10"/>
  <c r="FA8" i="1" l="1"/>
  <c r="FB6" i="1"/>
  <c r="B157" i="10"/>
  <c r="FB2" i="1"/>
  <c r="FB10" i="1" s="1"/>
  <c r="FB5" i="1" l="1"/>
  <c r="DJ157" i="10"/>
  <c r="AA157" i="10"/>
  <c r="DD157" i="10"/>
  <c r="CQ157" i="10"/>
  <c r="L157" i="10"/>
  <c r="T157" i="10"/>
  <c r="N157" i="10"/>
  <c r="CH157" i="10"/>
  <c r="DE157" i="10"/>
  <c r="CJ157" i="10"/>
  <c r="BK157" i="10"/>
  <c r="AE157" i="10"/>
  <c r="AF157" i="10"/>
  <c r="AQ157" i="10"/>
  <c r="Q157" i="10"/>
  <c r="CC157" i="10"/>
  <c r="M157" i="10"/>
  <c r="CL157" i="10"/>
  <c r="BH157" i="10"/>
  <c r="BB157" i="10"/>
  <c r="BT157" i="10"/>
  <c r="BW157" i="10"/>
  <c r="AW157" i="10"/>
  <c r="I157" i="10"/>
  <c r="AH157" i="10"/>
  <c r="AY157" i="10"/>
  <c r="CF157" i="10"/>
  <c r="BG157" i="10"/>
  <c r="U157" i="10"/>
  <c r="AU157" i="10"/>
  <c r="Z157" i="10"/>
  <c r="BS157" i="10"/>
  <c r="G157" i="10"/>
  <c r="BX157" i="10"/>
  <c r="CM157" i="10"/>
  <c r="CU157" i="10"/>
  <c r="P157" i="10"/>
  <c r="Y157" i="10"/>
  <c r="CN157" i="10"/>
  <c r="BI157" i="10"/>
  <c r="AZ157" i="10"/>
  <c r="BM157" i="10"/>
  <c r="BL157" i="10"/>
  <c r="BR157" i="10"/>
  <c r="CG157" i="10"/>
  <c r="AC157" i="10"/>
  <c r="CK157" i="10"/>
  <c r="AT157" i="10"/>
  <c r="AN157" i="10"/>
  <c r="O157" i="10"/>
  <c r="CX157" i="10"/>
  <c r="V157" i="10"/>
  <c r="CS157" i="10"/>
  <c r="K157" i="10"/>
  <c r="CP157" i="10"/>
  <c r="AX157" i="10"/>
  <c r="DF157" i="10"/>
  <c r="BO157" i="10"/>
  <c r="CT157" i="10"/>
  <c r="BU157" i="10"/>
  <c r="X157" i="10"/>
  <c r="AV157" i="10"/>
  <c r="CD157" i="10"/>
  <c r="AR157" i="10"/>
  <c r="F157" i="10"/>
  <c r="BV157" i="10"/>
  <c r="AO157" i="10"/>
  <c r="AK157" i="10"/>
  <c r="DB157" i="10"/>
  <c r="AB157" i="10"/>
  <c r="AD157" i="10"/>
  <c r="CO157" i="10"/>
  <c r="AG157" i="10"/>
  <c r="BQ157" i="10"/>
  <c r="AM157" i="10"/>
  <c r="DC157" i="10"/>
  <c r="BZ157" i="10"/>
  <c r="W157" i="10"/>
  <c r="BF157" i="10"/>
  <c r="BE157" i="10"/>
  <c r="BC157" i="10"/>
  <c r="DK157" i="10"/>
  <c r="BY157" i="10"/>
  <c r="CW157" i="10"/>
  <c r="CY157" i="10"/>
  <c r="BN157" i="10"/>
  <c r="DG157" i="10"/>
  <c r="CA157" i="10"/>
  <c r="BP157" i="10"/>
  <c r="DH157" i="10"/>
  <c r="AS157" i="10"/>
  <c r="AP157" i="10"/>
  <c r="D157" i="10"/>
  <c r="AI157" i="10"/>
  <c r="H157" i="10"/>
  <c r="BJ157" i="10"/>
  <c r="AL157" i="10"/>
  <c r="C157" i="10"/>
  <c r="CB157" i="10"/>
  <c r="J157" i="10"/>
  <c r="R157" i="10"/>
  <c r="DA157" i="10"/>
  <c r="S157" i="10"/>
  <c r="CV157" i="10"/>
  <c r="CI157" i="10"/>
  <c r="BD157" i="10"/>
  <c r="CZ157" i="10"/>
  <c r="DI157" i="10"/>
  <c r="BA157" i="10"/>
  <c r="AJ157" i="10"/>
  <c r="CE157" i="10"/>
  <c r="E157" i="10"/>
  <c r="CR157" i="10"/>
  <c r="FB7" i="1" l="1"/>
  <c r="FB9" i="1"/>
  <c r="FB8" i="1"/>
  <c r="FC6" i="1"/>
  <c r="B158" i="10"/>
  <c r="DA158" i="10" l="1"/>
  <c r="AB158" i="10"/>
  <c r="C158" i="10"/>
  <c r="BX158" i="10"/>
  <c r="CG158" i="10"/>
  <c r="CF158" i="10"/>
  <c r="BC158" i="10"/>
  <c r="CO158" i="10"/>
  <c r="AG158" i="10"/>
  <c r="Z158" i="10"/>
  <c r="N158" i="10"/>
  <c r="CY158" i="10"/>
  <c r="BT158" i="10"/>
  <c r="AF158" i="10"/>
  <c r="K158" i="10"/>
  <c r="P158" i="10"/>
  <c r="BF158" i="10"/>
  <c r="AI158" i="10"/>
  <c r="M158" i="10"/>
  <c r="DC158" i="10"/>
  <c r="CC158" i="10"/>
  <c r="BI158" i="10"/>
  <c r="AU158" i="10"/>
  <c r="R158" i="10"/>
  <c r="BD158" i="10"/>
  <c r="BJ158" i="10"/>
  <c r="CT158" i="10"/>
  <c r="I158" i="10"/>
  <c r="AY158" i="10"/>
  <c r="BB158" i="10"/>
  <c r="CZ158" i="10"/>
  <c r="CK158" i="10"/>
  <c r="CR158" i="10"/>
  <c r="AS158" i="10"/>
  <c r="BU158" i="10"/>
  <c r="AH158" i="10"/>
  <c r="AE158" i="10"/>
  <c r="CN158" i="10"/>
  <c r="DD158" i="10"/>
  <c r="S158" i="10"/>
  <c r="DK158" i="10"/>
  <c r="CQ158" i="10"/>
  <c r="BV158" i="10"/>
  <c r="G158" i="10"/>
  <c r="L158" i="10"/>
  <c r="AZ158" i="10"/>
  <c r="AR158" i="10"/>
  <c r="DB158" i="10"/>
  <c r="X158" i="10"/>
  <c r="T158" i="10"/>
  <c r="AX158" i="10"/>
  <c r="AW158" i="10"/>
  <c r="AC158" i="10"/>
  <c r="O158" i="10"/>
  <c r="BO158" i="10"/>
  <c r="U158" i="10"/>
  <c r="DG158" i="10"/>
  <c r="Q158" i="10"/>
  <c r="BL158" i="10"/>
  <c r="AT158" i="10"/>
  <c r="CX158" i="10"/>
  <c r="BG158" i="10"/>
  <c r="BW158" i="10"/>
  <c r="CE158" i="10"/>
  <c r="V158" i="10"/>
  <c r="DH158" i="10"/>
  <c r="CP158" i="10"/>
  <c r="CH158" i="10"/>
  <c r="BY158" i="10"/>
  <c r="BS158" i="10"/>
  <c r="AO158" i="10"/>
  <c r="CI158" i="10"/>
  <c r="D158" i="10"/>
  <c r="BA158" i="10"/>
  <c r="H158" i="10"/>
  <c r="DI158" i="10"/>
  <c r="CL158" i="10"/>
  <c r="AA158" i="10"/>
  <c r="CJ158" i="10"/>
  <c r="BP158" i="10"/>
  <c r="CA158" i="10"/>
  <c r="CU158" i="10"/>
  <c r="AL158" i="10"/>
  <c r="AJ158" i="10"/>
  <c r="CW158" i="10"/>
  <c r="J158" i="10"/>
  <c r="E158" i="10"/>
  <c r="AK158" i="10"/>
  <c r="DJ158" i="10"/>
  <c r="BK158" i="10"/>
  <c r="F158" i="10"/>
  <c r="AD158" i="10"/>
  <c r="AV158" i="10"/>
  <c r="BR158" i="10"/>
  <c r="W158" i="10"/>
  <c r="AM158" i="10"/>
  <c r="BM158" i="10"/>
  <c r="BN158" i="10"/>
  <c r="BE158" i="10"/>
  <c r="CV158" i="10"/>
  <c r="AQ158" i="10"/>
  <c r="BH158" i="10"/>
  <c r="BZ158" i="10"/>
  <c r="Y158" i="10"/>
  <c r="CM158" i="10"/>
  <c r="CB158" i="10"/>
  <c r="CS158" i="10"/>
  <c r="AN158" i="10"/>
  <c r="BQ158" i="10"/>
  <c r="DE158" i="10"/>
  <c r="DF158" i="10"/>
  <c r="CD158" i="10"/>
  <c r="AP158" i="10"/>
  <c r="FC2" i="1"/>
  <c r="FC10" i="1" s="1"/>
  <c r="FC5" i="1" l="1"/>
  <c r="FC9" i="1" s="1"/>
  <c r="FC7" i="1" l="1"/>
  <c r="FC8" i="1" l="1"/>
  <c r="B159" i="10"/>
  <c r="FD6" i="1"/>
  <c r="FD2" i="1"/>
  <c r="FD10" i="1" s="1"/>
  <c r="FD5" i="1" l="1"/>
  <c r="FD9" i="1" s="1"/>
  <c r="G159" i="10"/>
  <c r="AP159" i="10"/>
  <c r="DD159" i="10"/>
  <c r="CQ159" i="10"/>
  <c r="AJ159" i="10"/>
  <c r="Z159" i="10"/>
  <c r="AS159" i="10"/>
  <c r="BT159" i="10"/>
  <c r="BL159" i="10"/>
  <c r="CX159" i="10"/>
  <c r="CL159" i="10"/>
  <c r="BN159" i="10"/>
  <c r="CT159" i="10"/>
  <c r="CH159" i="10"/>
  <c r="BC159" i="10"/>
  <c r="AC159" i="10"/>
  <c r="BJ159" i="10"/>
  <c r="F159" i="10"/>
  <c r="BZ159" i="10"/>
  <c r="DE159" i="10"/>
  <c r="AY159" i="10"/>
  <c r="BG159" i="10"/>
  <c r="J159" i="10"/>
  <c r="CN159" i="10"/>
  <c r="CU159" i="10"/>
  <c r="O159" i="10"/>
  <c r="DJ159" i="10"/>
  <c r="H159" i="10"/>
  <c r="I159" i="10"/>
  <c r="CR159" i="10"/>
  <c r="AE159" i="10"/>
  <c r="AQ159" i="10"/>
  <c r="BU159" i="10"/>
  <c r="CO159" i="10"/>
  <c r="AW159" i="10"/>
  <c r="CF159" i="10"/>
  <c r="CC159" i="10"/>
  <c r="CA159" i="10"/>
  <c r="BR159" i="10"/>
  <c r="DG159" i="10"/>
  <c r="CK159" i="10"/>
  <c r="AN159" i="10"/>
  <c r="BY159" i="10"/>
  <c r="BO159" i="10"/>
  <c r="CI159" i="10"/>
  <c r="CM159" i="10"/>
  <c r="AT159" i="10"/>
  <c r="N159" i="10"/>
  <c r="R159" i="10"/>
  <c r="AF159" i="10"/>
  <c r="S159" i="10"/>
  <c r="BF159" i="10"/>
  <c r="DC159" i="10"/>
  <c r="Y159" i="10"/>
  <c r="AA159" i="10"/>
  <c r="BH159" i="10"/>
  <c r="CV159" i="10"/>
  <c r="AK159" i="10"/>
  <c r="L159" i="10"/>
  <c r="K159" i="10"/>
  <c r="BV159" i="10"/>
  <c r="CD159" i="10"/>
  <c r="P159" i="10"/>
  <c r="BE159" i="10"/>
  <c r="AX159" i="10"/>
  <c r="Q159" i="10"/>
  <c r="AV159" i="10"/>
  <c r="BB159" i="10"/>
  <c r="BD159" i="10"/>
  <c r="U159" i="10"/>
  <c r="BX159" i="10"/>
  <c r="AL159" i="10"/>
  <c r="BS159" i="10"/>
  <c r="DB159" i="10"/>
  <c r="CP159" i="10"/>
  <c r="AH159" i="10"/>
  <c r="BQ159" i="10"/>
  <c r="V159" i="10"/>
  <c r="BM159" i="10"/>
  <c r="BP159" i="10"/>
  <c r="M159" i="10"/>
  <c r="CJ159" i="10"/>
  <c r="W159" i="10"/>
  <c r="T159" i="10"/>
  <c r="DH159" i="10"/>
  <c r="AU159" i="10"/>
  <c r="AO159" i="10"/>
  <c r="AG159" i="10"/>
  <c r="AZ159" i="10"/>
  <c r="AM159" i="10"/>
  <c r="CZ159" i="10"/>
  <c r="E159" i="10"/>
  <c r="DF159" i="10"/>
  <c r="CY159" i="10"/>
  <c r="X159" i="10"/>
  <c r="BI159" i="10"/>
  <c r="AR159" i="10"/>
  <c r="CE159" i="10"/>
  <c r="AI159" i="10"/>
  <c r="CS159" i="10"/>
  <c r="BA159" i="10"/>
  <c r="DA159" i="10"/>
  <c r="C159" i="10"/>
  <c r="AB159" i="10"/>
  <c r="DK159" i="10"/>
  <c r="CB159" i="10"/>
  <c r="D159" i="10"/>
  <c r="DI159" i="10"/>
  <c r="CW159" i="10"/>
  <c r="BK159" i="10"/>
  <c r="AD159" i="10"/>
  <c r="BW159" i="10"/>
  <c r="CG159" i="10"/>
  <c r="FD7" i="1" l="1"/>
  <c r="FE2" i="1" l="1"/>
  <c r="FE5" i="1" s="1"/>
  <c r="FE9" i="1" s="1"/>
  <c r="FE6" i="1"/>
  <c r="FE10" i="1"/>
  <c r="FD8" i="1"/>
  <c r="B160" i="10"/>
  <c r="FE7" i="1" l="1"/>
  <c r="DC160" i="10"/>
  <c r="N160" i="10"/>
  <c r="CK160" i="10"/>
  <c r="BI160" i="10"/>
  <c r="AY160" i="10"/>
  <c r="CN160" i="10"/>
  <c r="BU160" i="10"/>
  <c r="AK160" i="10"/>
  <c r="DJ160" i="10"/>
  <c r="CO160" i="10"/>
  <c r="BS160" i="10"/>
  <c r="DE160" i="10"/>
  <c r="CL160" i="10"/>
  <c r="AM160" i="10"/>
  <c r="T160" i="10"/>
  <c r="AE160" i="10"/>
  <c r="BM160" i="10"/>
  <c r="BY160" i="10"/>
  <c r="CW160" i="10"/>
  <c r="E160" i="10"/>
  <c r="CA160" i="10"/>
  <c r="BW160" i="10"/>
  <c r="BA160" i="10"/>
  <c r="CP160" i="10"/>
  <c r="BJ160" i="10"/>
  <c r="V160" i="10"/>
  <c r="BT160" i="10"/>
  <c r="CQ160" i="10"/>
  <c r="M160" i="10"/>
  <c r="F160" i="10"/>
  <c r="CX160" i="10"/>
  <c r="L160" i="10"/>
  <c r="AN160" i="10"/>
  <c r="AT160" i="10"/>
  <c r="CB160" i="10"/>
  <c r="CZ160" i="10"/>
  <c r="BX160" i="10"/>
  <c r="CY160" i="10"/>
  <c r="AB160" i="10"/>
  <c r="AP160" i="10"/>
  <c r="BP160" i="10"/>
  <c r="CM160" i="10"/>
  <c r="BG160" i="10"/>
  <c r="AW160" i="10"/>
  <c r="DB160" i="10"/>
  <c r="BV160" i="10"/>
  <c r="BC160" i="10"/>
  <c r="CC160" i="10"/>
  <c r="BQ160" i="10"/>
  <c r="AA160" i="10"/>
  <c r="W160" i="10"/>
  <c r="CU160" i="10"/>
  <c r="Z160" i="10"/>
  <c r="BL160" i="10"/>
  <c r="D160" i="10"/>
  <c r="CJ160" i="10"/>
  <c r="K160" i="10"/>
  <c r="R160" i="10"/>
  <c r="DI160" i="10"/>
  <c r="CG160" i="10"/>
  <c r="H160" i="10"/>
  <c r="DD160" i="10"/>
  <c r="BZ160" i="10"/>
  <c r="C160" i="10"/>
  <c r="AD160" i="10"/>
  <c r="AG160" i="10"/>
  <c r="AI160" i="10"/>
  <c r="BO160" i="10"/>
  <c r="AS160" i="10"/>
  <c r="CD160" i="10"/>
  <c r="AF160" i="10"/>
  <c r="CS160" i="10"/>
  <c r="CV160" i="10"/>
  <c r="AC160" i="10"/>
  <c r="Y160" i="10"/>
  <c r="CR160" i="10"/>
  <c r="P160" i="10"/>
  <c r="CI160" i="10"/>
  <c r="AU160" i="10"/>
  <c r="Q160" i="10"/>
  <c r="AR160" i="10"/>
  <c r="O160" i="10"/>
  <c r="AV160" i="10"/>
  <c r="BK160" i="10"/>
  <c r="CE160" i="10"/>
  <c r="AH160" i="10"/>
  <c r="BR160" i="10"/>
  <c r="DG160" i="10"/>
  <c r="BB160" i="10"/>
  <c r="CT160" i="10"/>
  <c r="G160" i="10"/>
  <c r="DH160" i="10"/>
  <c r="DA160" i="10"/>
  <c r="BN160" i="10"/>
  <c r="AL160" i="10"/>
  <c r="S160" i="10"/>
  <c r="AX160" i="10"/>
  <c r="AO160" i="10"/>
  <c r="DF160" i="10"/>
  <c r="AZ160" i="10"/>
  <c r="I160" i="10"/>
  <c r="BE160" i="10"/>
  <c r="X160" i="10"/>
  <c r="BH160" i="10"/>
  <c r="U160" i="10"/>
  <c r="J160" i="10"/>
  <c r="AJ160" i="10"/>
  <c r="DK160" i="10"/>
  <c r="BF160" i="10"/>
  <c r="CF160" i="10"/>
  <c r="CH160" i="10"/>
  <c r="BD160" i="10"/>
  <c r="AQ160" i="10"/>
  <c r="FE8" i="1" l="1"/>
  <c r="B161" i="10"/>
  <c r="FF6" i="1"/>
  <c r="FF2" i="1"/>
  <c r="FF10" i="1" s="1"/>
  <c r="FF5" i="1" l="1"/>
  <c r="FF9" i="1" s="1"/>
  <c r="FF7" i="1"/>
  <c r="AK161" i="10"/>
  <c r="R161" i="10"/>
  <c r="Z161" i="10"/>
  <c r="CC161" i="10"/>
  <c r="CP161" i="10"/>
  <c r="AL161" i="10"/>
  <c r="BX161" i="10"/>
  <c r="AS161" i="10"/>
  <c r="BY161" i="10"/>
  <c r="CE161" i="10"/>
  <c r="CS161" i="10"/>
  <c r="CQ161" i="10"/>
  <c r="CG161" i="10"/>
  <c r="Q161" i="10"/>
  <c r="CX161" i="10"/>
  <c r="CA161" i="10"/>
  <c r="AH161" i="10"/>
  <c r="DD161" i="10"/>
  <c r="AO161" i="10"/>
  <c r="AG161" i="10"/>
  <c r="CV161" i="10"/>
  <c r="Y161" i="10"/>
  <c r="DB161" i="10"/>
  <c r="D161" i="10"/>
  <c r="O161" i="10"/>
  <c r="AB161" i="10"/>
  <c r="CT161" i="10"/>
  <c r="CD161" i="10"/>
  <c r="AI161" i="10"/>
  <c r="DF161" i="10"/>
  <c r="DA161" i="10"/>
  <c r="J161" i="10"/>
  <c r="CO161" i="10"/>
  <c r="CF161" i="10"/>
  <c r="N161" i="10"/>
  <c r="AT161" i="10"/>
  <c r="DK161" i="10"/>
  <c r="G161" i="10"/>
  <c r="CL161" i="10"/>
  <c r="AF161" i="10"/>
  <c r="BB161" i="10"/>
  <c r="BP161" i="10"/>
  <c r="AP161" i="10"/>
  <c r="P161" i="10"/>
  <c r="BZ161" i="10"/>
  <c r="K161" i="10"/>
  <c r="S161" i="10"/>
  <c r="BS161" i="10"/>
  <c r="AV161" i="10"/>
  <c r="E161" i="10"/>
  <c r="CW161" i="10"/>
  <c r="BF161" i="10"/>
  <c r="BR161" i="10"/>
  <c r="L161" i="10"/>
  <c r="V161" i="10"/>
  <c r="AA161" i="10"/>
  <c r="BK161" i="10"/>
  <c r="CY161" i="10"/>
  <c r="CH161" i="10"/>
  <c r="CR161" i="10"/>
  <c r="T161" i="10"/>
  <c r="CM161" i="10"/>
  <c r="I161" i="10"/>
  <c r="CZ161" i="10"/>
  <c r="CK161" i="10"/>
  <c r="BC161" i="10"/>
  <c r="AM161" i="10"/>
  <c r="BA161" i="10"/>
  <c r="X161" i="10"/>
  <c r="AU161" i="10"/>
  <c r="M161" i="10"/>
  <c r="BQ161" i="10"/>
  <c r="AQ161" i="10"/>
  <c r="DE161" i="10"/>
  <c r="H161" i="10"/>
  <c r="AD161" i="10"/>
  <c r="BV161" i="10"/>
  <c r="W161" i="10"/>
  <c r="AN161" i="10"/>
  <c r="U161" i="10"/>
  <c r="BT161" i="10"/>
  <c r="CB161" i="10"/>
  <c r="BI161" i="10"/>
  <c r="DH161" i="10"/>
  <c r="BN161" i="10"/>
  <c r="BM161" i="10"/>
  <c r="CJ161" i="10"/>
  <c r="BU161" i="10"/>
  <c r="AZ161" i="10"/>
  <c r="BL161" i="10"/>
  <c r="BG161" i="10"/>
  <c r="AC161" i="10"/>
  <c r="F161" i="10"/>
  <c r="CU161" i="10"/>
  <c r="BW161" i="10"/>
  <c r="AX161" i="10"/>
  <c r="AJ161" i="10"/>
  <c r="C161" i="10"/>
  <c r="CI161" i="10"/>
  <c r="CN161" i="10"/>
  <c r="BO161" i="10"/>
  <c r="DJ161" i="10"/>
  <c r="DG161" i="10"/>
  <c r="AW161" i="10"/>
  <c r="BH161" i="10"/>
  <c r="BD161" i="10"/>
  <c r="DC161" i="10"/>
  <c r="AE161" i="10"/>
  <c r="AY161" i="10"/>
  <c r="DI161" i="10"/>
  <c r="BJ161" i="10"/>
  <c r="AR161" i="10"/>
  <c r="BE161" i="10"/>
  <c r="FG2" i="1" l="1"/>
  <c r="FG5" i="1" s="1"/>
  <c r="FG9" i="1" s="1"/>
  <c r="B162" i="10"/>
  <c r="FG6" i="1"/>
  <c r="FG10" i="1"/>
  <c r="FF8" i="1"/>
  <c r="FG7" i="1" l="1"/>
  <c r="CF162" i="10"/>
  <c r="H162" i="10"/>
  <c r="AP162" i="10"/>
  <c r="U162" i="10"/>
  <c r="CP162" i="10"/>
  <c r="BK162" i="10"/>
  <c r="BD162" i="10"/>
  <c r="D162" i="10"/>
  <c r="BA162" i="10"/>
  <c r="W162" i="10"/>
  <c r="CJ162" i="10"/>
  <c r="CI162" i="10"/>
  <c r="BT162" i="10"/>
  <c r="X162" i="10"/>
  <c r="AN162" i="10"/>
  <c r="CD162" i="10"/>
  <c r="T162" i="10"/>
  <c r="CR162" i="10"/>
  <c r="BZ162" i="10"/>
  <c r="BU162" i="10"/>
  <c r="BN162" i="10"/>
  <c r="CG162" i="10"/>
  <c r="AQ162" i="10"/>
  <c r="AF162" i="10"/>
  <c r="BS162" i="10"/>
  <c r="AE162" i="10"/>
  <c r="CZ162" i="10"/>
  <c r="DB162" i="10"/>
  <c r="AG162" i="10"/>
  <c r="AH162" i="10"/>
  <c r="CW162" i="10"/>
  <c r="BE162" i="10"/>
  <c r="AM162" i="10"/>
  <c r="V162" i="10"/>
  <c r="BO162" i="10"/>
  <c r="AW162" i="10"/>
  <c r="AK162" i="10"/>
  <c r="BL162" i="10"/>
  <c r="DK162" i="10"/>
  <c r="BP162" i="10"/>
  <c r="DF162" i="10"/>
  <c r="BG162" i="10"/>
  <c r="DG162" i="10"/>
  <c r="E162" i="10"/>
  <c r="DC162" i="10"/>
  <c r="DA162" i="10"/>
  <c r="BH162" i="10"/>
  <c r="AJ162" i="10"/>
  <c r="N162" i="10"/>
  <c r="AR162" i="10"/>
  <c r="K162" i="10"/>
  <c r="CQ162" i="10"/>
  <c r="CH162" i="10"/>
  <c r="CU162" i="10"/>
  <c r="AZ162" i="10"/>
  <c r="DE162" i="10"/>
  <c r="CT162" i="10"/>
  <c r="I162" i="10"/>
  <c r="AO162" i="10"/>
  <c r="CN162" i="10"/>
  <c r="AI162" i="10"/>
  <c r="DJ162" i="10"/>
  <c r="CY162" i="10"/>
  <c r="CC162" i="10"/>
  <c r="Q162" i="10"/>
  <c r="DH162" i="10"/>
  <c r="AT162" i="10"/>
  <c r="BM162" i="10"/>
  <c r="CV162" i="10"/>
  <c r="BJ162" i="10"/>
  <c r="CX162" i="10"/>
  <c r="CB162" i="10"/>
  <c r="G162" i="10"/>
  <c r="CM162" i="10"/>
  <c r="AB162" i="10"/>
  <c r="F162" i="10"/>
  <c r="M162" i="10"/>
  <c r="BC162" i="10"/>
  <c r="DI162" i="10"/>
  <c r="S162" i="10"/>
  <c r="AD162" i="10"/>
  <c r="BI162" i="10"/>
  <c r="AS162" i="10"/>
  <c r="BV162" i="10"/>
  <c r="BF162" i="10"/>
  <c r="CL162" i="10"/>
  <c r="L162" i="10"/>
  <c r="AL162" i="10"/>
  <c r="Z162" i="10"/>
  <c r="AA162" i="10"/>
  <c r="Y162" i="10"/>
  <c r="CS162" i="10"/>
  <c r="CA162" i="10"/>
  <c r="R162" i="10"/>
  <c r="AX162" i="10"/>
  <c r="BY162" i="10"/>
  <c r="AC162" i="10"/>
  <c r="BW162" i="10"/>
  <c r="CE162" i="10"/>
  <c r="O162" i="10"/>
  <c r="AU162" i="10"/>
  <c r="AV162" i="10"/>
  <c r="BR162" i="10"/>
  <c r="BQ162" i="10"/>
  <c r="BX162" i="10"/>
  <c r="BB162" i="10"/>
  <c r="AY162" i="10"/>
  <c r="CO162" i="10"/>
  <c r="CK162" i="10"/>
  <c r="C162" i="10"/>
  <c r="J162" i="10"/>
  <c r="P162" i="10"/>
  <c r="DD162" i="10"/>
  <c r="B163" i="10" l="1"/>
  <c r="FG8" i="1"/>
  <c r="FH6" i="1"/>
  <c r="FH2" i="1"/>
  <c r="FH10" i="1" s="1"/>
  <c r="FH5" i="1" l="1"/>
  <c r="FH9" i="1" s="1"/>
  <c r="CI163" i="10"/>
  <c r="F163" i="10"/>
  <c r="AT163" i="10"/>
  <c r="AF163" i="10"/>
  <c r="O163" i="10"/>
  <c r="AC163" i="10"/>
  <c r="BV163" i="10"/>
  <c r="CE163" i="10"/>
  <c r="BW163" i="10"/>
  <c r="P163" i="10"/>
  <c r="AZ163" i="10"/>
  <c r="BF163" i="10"/>
  <c r="BS163" i="10"/>
  <c r="C163" i="10"/>
  <c r="CU163" i="10"/>
  <c r="CW163" i="10"/>
  <c r="AO163" i="10"/>
  <c r="CF163" i="10"/>
  <c r="BT163" i="10"/>
  <c r="R163" i="10"/>
  <c r="CR163" i="10"/>
  <c r="CT163" i="10"/>
  <c r="BP163" i="10"/>
  <c r="AH163" i="10"/>
  <c r="Z163" i="10"/>
  <c r="AS163" i="10"/>
  <c r="AP163" i="10"/>
  <c r="D163" i="10"/>
  <c r="T163" i="10"/>
  <c r="DI163" i="10"/>
  <c r="CD163" i="10"/>
  <c r="BH163" i="10"/>
  <c r="CH163" i="10"/>
  <c r="CX163" i="10"/>
  <c r="M163" i="10"/>
  <c r="S163" i="10"/>
  <c r="CV163" i="10"/>
  <c r="AX163" i="10"/>
  <c r="K163" i="10"/>
  <c r="U163" i="10"/>
  <c r="BI163" i="10"/>
  <c r="AB163" i="10"/>
  <c r="J163" i="10"/>
  <c r="BY163" i="10"/>
  <c r="AV163" i="10"/>
  <c r="BR163" i="10"/>
  <c r="CL163" i="10"/>
  <c r="CM163" i="10"/>
  <c r="BL163" i="10"/>
  <c r="CB163" i="10"/>
  <c r="BU163" i="10"/>
  <c r="BM163" i="10"/>
  <c r="AL163" i="10"/>
  <c r="DE163" i="10"/>
  <c r="AD163" i="10"/>
  <c r="CP163" i="10"/>
  <c r="DA163" i="10"/>
  <c r="AQ163" i="10"/>
  <c r="BJ163" i="10"/>
  <c r="BG163" i="10"/>
  <c r="AW163" i="10"/>
  <c r="BD163" i="10"/>
  <c r="X163" i="10"/>
  <c r="G163" i="10"/>
  <c r="AE163" i="10"/>
  <c r="AK163" i="10"/>
  <c r="AU163" i="10"/>
  <c r="CS163" i="10"/>
  <c r="CN163" i="10"/>
  <c r="AY163" i="10"/>
  <c r="BE163" i="10"/>
  <c r="BB163" i="10"/>
  <c r="AN163" i="10"/>
  <c r="H163" i="10"/>
  <c r="W163" i="10"/>
  <c r="L163" i="10"/>
  <c r="CC163" i="10"/>
  <c r="CQ163" i="10"/>
  <c r="BX163" i="10"/>
  <c r="DJ163" i="10"/>
  <c r="AJ163" i="10"/>
  <c r="BZ163" i="10"/>
  <c r="E163" i="10"/>
  <c r="BO163" i="10"/>
  <c r="DG163" i="10"/>
  <c r="DH163" i="10"/>
  <c r="AM163" i="10"/>
  <c r="BQ163" i="10"/>
  <c r="Q163" i="10"/>
  <c r="DD163" i="10"/>
  <c r="V163" i="10"/>
  <c r="CA163" i="10"/>
  <c r="CO163" i="10"/>
  <c r="CK163" i="10"/>
  <c r="DK163" i="10"/>
  <c r="BA163" i="10"/>
  <c r="DF163" i="10"/>
  <c r="Y163" i="10"/>
  <c r="BN163" i="10"/>
  <c r="BK163" i="10"/>
  <c r="AR163" i="10"/>
  <c r="CG163" i="10"/>
  <c r="CZ163" i="10"/>
  <c r="AG163" i="10"/>
  <c r="AI163" i="10"/>
  <c r="CY163" i="10"/>
  <c r="DB163" i="10"/>
  <c r="BC163" i="10"/>
  <c r="CJ163" i="10"/>
  <c r="DC163" i="10"/>
  <c r="AA163" i="10"/>
  <c r="N163" i="10"/>
  <c r="I163" i="10"/>
  <c r="FH7" i="1" l="1"/>
  <c r="FI2" i="1"/>
  <c r="FI5" i="1" s="1"/>
  <c r="FI9" i="1" s="1"/>
  <c r="B164" i="10"/>
  <c r="FH8" i="1"/>
  <c r="FI10" i="1"/>
  <c r="FI6" i="1"/>
  <c r="FI7" i="1" l="1"/>
  <c r="CS164" i="10"/>
  <c r="DB164" i="10"/>
  <c r="BD164" i="10"/>
  <c r="CL164" i="10"/>
  <c r="CF164" i="10"/>
  <c r="D164" i="10"/>
  <c r="CY164" i="10"/>
  <c r="DI164" i="10"/>
  <c r="V164" i="10"/>
  <c r="BC164" i="10"/>
  <c r="CD164" i="10"/>
  <c r="AW164" i="10"/>
  <c r="BW164" i="10"/>
  <c r="CC164" i="10"/>
  <c r="AA164" i="10"/>
  <c r="BO164" i="10"/>
  <c r="J164" i="10"/>
  <c r="BT164" i="10"/>
  <c r="CO164" i="10"/>
  <c r="BJ164" i="10"/>
  <c r="U164" i="10"/>
  <c r="BI164" i="10"/>
  <c r="R164" i="10"/>
  <c r="AL164" i="10"/>
  <c r="AK164" i="10"/>
  <c r="AX164" i="10"/>
  <c r="CW164" i="10"/>
  <c r="W164" i="10"/>
  <c r="AY164" i="10"/>
  <c r="DK164" i="10"/>
  <c r="K164" i="10"/>
  <c r="BV164" i="10"/>
  <c r="AO164" i="10"/>
  <c r="BK164" i="10"/>
  <c r="AF164" i="10"/>
  <c r="AQ164" i="10"/>
  <c r="AM164" i="10"/>
  <c r="CJ164" i="10"/>
  <c r="DJ164" i="10"/>
  <c r="G164" i="10"/>
  <c r="AZ164" i="10"/>
  <c r="AG164" i="10"/>
  <c r="DD164" i="10"/>
  <c r="L164" i="10"/>
  <c r="E164" i="10"/>
  <c r="BQ164" i="10"/>
  <c r="AS164" i="10"/>
  <c r="CE164" i="10"/>
  <c r="AH164" i="10"/>
  <c r="C164" i="10"/>
  <c r="AV164" i="10"/>
  <c r="CZ164" i="10"/>
  <c r="BA164" i="10"/>
  <c r="M164" i="10"/>
  <c r="DH164" i="10"/>
  <c r="H164" i="10"/>
  <c r="AJ164" i="10"/>
  <c r="BL164" i="10"/>
  <c r="CA164" i="10"/>
  <c r="N164" i="10"/>
  <c r="BZ164" i="10"/>
  <c r="Z164" i="10"/>
  <c r="CI164" i="10"/>
  <c r="CR164" i="10"/>
  <c r="AP164" i="10"/>
  <c r="DC164" i="10"/>
  <c r="CB164" i="10"/>
  <c r="I164" i="10"/>
  <c r="BY164" i="10"/>
  <c r="AN164" i="10"/>
  <c r="DG164" i="10"/>
  <c r="CV164" i="10"/>
  <c r="T164" i="10"/>
  <c r="CP164" i="10"/>
  <c r="BP164" i="10"/>
  <c r="AT164" i="10"/>
  <c r="CK164" i="10"/>
  <c r="CM164" i="10"/>
  <c r="BS164" i="10"/>
  <c r="F164" i="10"/>
  <c r="DF164" i="10"/>
  <c r="CH164" i="10"/>
  <c r="S164" i="10"/>
  <c r="BF164" i="10"/>
  <c r="BX164" i="10"/>
  <c r="DA164" i="10"/>
  <c r="CT164" i="10"/>
  <c r="Y164" i="10"/>
  <c r="BG164" i="10"/>
  <c r="O164" i="10"/>
  <c r="Q164" i="10"/>
  <c r="CQ164" i="10"/>
  <c r="AU164" i="10"/>
  <c r="AB164" i="10"/>
  <c r="AI164" i="10"/>
  <c r="DE164" i="10"/>
  <c r="BR164" i="10"/>
  <c r="AC164" i="10"/>
  <c r="CX164" i="10"/>
  <c r="AR164" i="10"/>
  <c r="AE164" i="10"/>
  <c r="BN164" i="10"/>
  <c r="CG164" i="10"/>
  <c r="X164" i="10"/>
  <c r="P164" i="10"/>
  <c r="CU164" i="10"/>
  <c r="BB164" i="10"/>
  <c r="CN164" i="10"/>
  <c r="BE164" i="10"/>
  <c r="BM164" i="10"/>
  <c r="BU164" i="10"/>
  <c r="BH164" i="10"/>
  <c r="AD164" i="10"/>
  <c r="B165" i="10" l="1"/>
  <c r="FI8" i="1"/>
  <c r="FJ6" i="1"/>
  <c r="FJ2" i="1"/>
  <c r="FJ10" i="1" s="1"/>
  <c r="FJ5" i="1" l="1"/>
  <c r="FJ9" i="1" s="1"/>
  <c r="CS165" i="10"/>
  <c r="CE165" i="10"/>
  <c r="BE165" i="10"/>
  <c r="BW165" i="10"/>
  <c r="CD165" i="10"/>
  <c r="AG165" i="10"/>
  <c r="DC165" i="10"/>
  <c r="CN165" i="10"/>
  <c r="L165" i="10"/>
  <c r="DI165" i="10"/>
  <c r="AX165" i="10"/>
  <c r="DH165" i="10"/>
  <c r="AC165" i="10"/>
  <c r="V165" i="10"/>
  <c r="AO165" i="10"/>
  <c r="BN165" i="10"/>
  <c r="BP165" i="10"/>
  <c r="AF165" i="10"/>
  <c r="CI165" i="10"/>
  <c r="CM165" i="10"/>
  <c r="BD165" i="10"/>
  <c r="BK165" i="10"/>
  <c r="AW165" i="10"/>
  <c r="AN165" i="10"/>
  <c r="CW165" i="10"/>
  <c r="AP165" i="10"/>
  <c r="Y165" i="10"/>
  <c r="AT165" i="10"/>
  <c r="BM165" i="10"/>
  <c r="DK165" i="10"/>
  <c r="BC165" i="10"/>
  <c r="AL165" i="10"/>
  <c r="AS165" i="10"/>
  <c r="K165" i="10"/>
  <c r="BG165" i="10"/>
  <c r="AJ165" i="10"/>
  <c r="BQ165" i="10"/>
  <c r="BO165" i="10"/>
  <c r="BH165" i="10"/>
  <c r="AY165" i="10"/>
  <c r="CR165" i="10"/>
  <c r="Z165" i="10"/>
  <c r="U165" i="10"/>
  <c r="D165" i="10"/>
  <c r="BR165" i="10"/>
  <c r="BZ165" i="10"/>
  <c r="DD165" i="10"/>
  <c r="AH165" i="10"/>
  <c r="M165" i="10"/>
  <c r="BU165" i="10"/>
  <c r="BI165" i="10"/>
  <c r="CB165" i="10"/>
  <c r="AZ165" i="10"/>
  <c r="CF165" i="10"/>
  <c r="DF165" i="10"/>
  <c r="AR165" i="10"/>
  <c r="AE165" i="10"/>
  <c r="I165" i="10"/>
  <c r="BA165" i="10"/>
  <c r="CL165" i="10"/>
  <c r="X165" i="10"/>
  <c r="CC165" i="10"/>
  <c r="P165" i="10"/>
  <c r="AI165" i="10"/>
  <c r="CG165" i="10"/>
  <c r="DJ165" i="10"/>
  <c r="BS165" i="10"/>
  <c r="CJ165" i="10"/>
  <c r="CY165" i="10"/>
  <c r="N165" i="10"/>
  <c r="S165" i="10"/>
  <c r="DG165" i="10"/>
  <c r="Q165" i="10"/>
  <c r="AU165" i="10"/>
  <c r="R165" i="10"/>
  <c r="CT165" i="10"/>
  <c r="AQ165" i="10"/>
  <c r="CP165" i="10"/>
  <c r="J165" i="10"/>
  <c r="DA165" i="10"/>
  <c r="BB165" i="10"/>
  <c r="BY165" i="10"/>
  <c r="CQ165" i="10"/>
  <c r="CZ165" i="10"/>
  <c r="H165" i="10"/>
  <c r="BJ165" i="10"/>
  <c r="BT165" i="10"/>
  <c r="T165" i="10"/>
  <c r="CX165" i="10"/>
  <c r="AB165" i="10"/>
  <c r="W165" i="10"/>
  <c r="DB165" i="10"/>
  <c r="CV165" i="10"/>
  <c r="AM165" i="10"/>
  <c r="BX165" i="10"/>
  <c r="CH165" i="10"/>
  <c r="CA165" i="10"/>
  <c r="BL165" i="10"/>
  <c r="AA165" i="10"/>
  <c r="DE165" i="10"/>
  <c r="AK165" i="10"/>
  <c r="C165" i="10"/>
  <c r="BF165" i="10"/>
  <c r="CO165" i="10"/>
  <c r="CU165" i="10"/>
  <c r="AD165" i="10"/>
  <c r="F165" i="10"/>
  <c r="G165" i="10"/>
  <c r="AV165" i="10"/>
  <c r="O165" i="10"/>
  <c r="CK165" i="10"/>
  <c r="E165" i="10"/>
  <c r="BV165" i="10"/>
  <c r="FJ7" i="1" l="1"/>
  <c r="FJ8" i="1" l="1"/>
  <c r="B166" i="10"/>
  <c r="FK6" i="1"/>
  <c r="FK2" i="1"/>
  <c r="FK5" i="1" s="1"/>
  <c r="FK9" i="1" s="1"/>
  <c r="FK7" i="1" l="1"/>
  <c r="FK10" i="1"/>
  <c r="DB166" i="10"/>
  <c r="DA166" i="10"/>
  <c r="AF166" i="10"/>
  <c r="I166" i="10"/>
  <c r="AD166" i="10"/>
  <c r="CY166" i="10"/>
  <c r="CN166" i="10"/>
  <c r="DK166" i="10"/>
  <c r="DC166" i="10"/>
  <c r="BI166" i="10"/>
  <c r="R166" i="10"/>
  <c r="CD166" i="10"/>
  <c r="BJ166" i="10"/>
  <c r="AY166" i="10"/>
  <c r="AJ166" i="10"/>
  <c r="CH166" i="10"/>
  <c r="CL166" i="10"/>
  <c r="BG166" i="10"/>
  <c r="BE166" i="10"/>
  <c r="CE166" i="10"/>
  <c r="BU166" i="10"/>
  <c r="C166" i="10"/>
  <c r="S166" i="10"/>
  <c r="D166" i="10"/>
  <c r="AH166" i="10"/>
  <c r="BO166" i="10"/>
  <c r="M166" i="10"/>
  <c r="CT166" i="10"/>
  <c r="BL166" i="10"/>
  <c r="BP166" i="10"/>
  <c r="BH166" i="10"/>
  <c r="AL166" i="10"/>
  <c r="W166" i="10"/>
  <c r="H166" i="10"/>
  <c r="P166" i="10"/>
  <c r="Q166" i="10"/>
  <c r="Y166" i="10"/>
  <c r="O166" i="10"/>
  <c r="CF166" i="10"/>
  <c r="CU166" i="10"/>
  <c r="CC166" i="10"/>
  <c r="CP166" i="10"/>
  <c r="V166" i="10"/>
  <c r="BY166" i="10"/>
  <c r="DH166" i="10"/>
  <c r="CV166" i="10"/>
  <c r="BV166" i="10"/>
  <c r="CZ166" i="10"/>
  <c r="BA166" i="10"/>
  <c r="BN166" i="10"/>
  <c r="AE166" i="10"/>
  <c r="BZ166" i="10"/>
  <c r="CW166" i="10"/>
  <c r="AI166" i="10"/>
  <c r="BB166" i="10"/>
  <c r="F166" i="10"/>
  <c r="DD166" i="10"/>
  <c r="BM166" i="10"/>
  <c r="BC166" i="10"/>
  <c r="BX166" i="10"/>
  <c r="BW166" i="10"/>
  <c r="AO166" i="10"/>
  <c r="BR166" i="10"/>
  <c r="CQ166" i="10"/>
  <c r="BQ166" i="10"/>
  <c r="N166" i="10"/>
  <c r="AC166" i="10"/>
  <c r="E166" i="10"/>
  <c r="G166" i="10"/>
  <c r="AM166" i="10"/>
  <c r="AB166" i="10"/>
  <c r="K166" i="10"/>
  <c r="CB166" i="10"/>
  <c r="T166" i="10"/>
  <c r="AK166" i="10"/>
  <c r="CS166" i="10"/>
  <c r="Z166" i="10"/>
  <c r="DE166" i="10"/>
  <c r="CR166" i="10"/>
  <c r="AA166" i="10"/>
  <c r="CO166" i="10"/>
  <c r="X166" i="10"/>
  <c r="AW166" i="10"/>
  <c r="BK166" i="10"/>
  <c r="BS166" i="10"/>
  <c r="DG166" i="10"/>
  <c r="CG166" i="10"/>
  <c r="BT166" i="10"/>
  <c r="CJ166" i="10"/>
  <c r="U166" i="10"/>
  <c r="BD166" i="10"/>
  <c r="J166" i="10"/>
  <c r="AU166" i="10"/>
  <c r="AR166" i="10"/>
  <c r="CI166" i="10"/>
  <c r="AG166" i="10"/>
  <c r="AN166" i="10"/>
  <c r="AT166" i="10"/>
  <c r="DJ166" i="10"/>
  <c r="DI166" i="10"/>
  <c r="DF166" i="10"/>
  <c r="L166" i="10"/>
  <c r="CM166" i="10"/>
  <c r="AV166" i="10"/>
  <c r="AS166" i="10"/>
  <c r="AP166" i="10"/>
  <c r="CK166" i="10"/>
  <c r="CX166" i="10"/>
  <c r="AX166" i="10"/>
  <c r="AZ166" i="10"/>
  <c r="CA166" i="10"/>
  <c r="AQ166" i="10"/>
  <c r="BF166" i="10"/>
  <c r="FL2" i="1" l="1"/>
  <c r="FL5" i="1" s="1"/>
  <c r="FL9" i="1" s="1"/>
  <c r="FK8" i="1"/>
  <c r="FL6" i="1"/>
  <c r="B167" i="10"/>
  <c r="FL10" i="1"/>
  <c r="FL7" i="1" l="1"/>
  <c r="DB167" i="10"/>
  <c r="DG167" i="10"/>
  <c r="CI167" i="10"/>
  <c r="BT167" i="10"/>
  <c r="CZ167" i="10"/>
  <c r="AG167" i="10"/>
  <c r="CY167" i="10"/>
  <c r="AL167" i="10"/>
  <c r="CX167" i="10"/>
  <c r="AM167" i="10"/>
  <c r="BZ167" i="10"/>
  <c r="BE167" i="10"/>
  <c r="DK167" i="10"/>
  <c r="CK167" i="10"/>
  <c r="CA167" i="10"/>
  <c r="CN167" i="10"/>
  <c r="CP167" i="10"/>
  <c r="BR167" i="10"/>
  <c r="I167" i="10"/>
  <c r="BS167" i="10"/>
  <c r="BF167" i="10"/>
  <c r="G167" i="10"/>
  <c r="C167" i="10"/>
  <c r="DJ167" i="10"/>
  <c r="H167" i="10"/>
  <c r="AD167" i="10"/>
  <c r="BJ167" i="10"/>
  <c r="M167" i="10"/>
  <c r="AC167" i="10"/>
  <c r="AT167" i="10"/>
  <c r="BV167" i="10"/>
  <c r="BB167" i="10"/>
  <c r="BW167" i="10"/>
  <c r="AV167" i="10"/>
  <c r="W167" i="10"/>
  <c r="BQ167" i="10"/>
  <c r="AJ167" i="10"/>
  <c r="R167" i="10"/>
  <c r="AU167" i="10"/>
  <c r="V167" i="10"/>
  <c r="K167" i="10"/>
  <c r="BI167" i="10"/>
  <c r="CJ167" i="10"/>
  <c r="E167" i="10"/>
  <c r="CT167" i="10"/>
  <c r="DI167" i="10"/>
  <c r="BK167" i="10"/>
  <c r="CL167" i="10"/>
  <c r="CM167" i="10"/>
  <c r="CR167" i="10"/>
  <c r="CU167" i="10"/>
  <c r="AK167" i="10"/>
  <c r="DF167" i="10"/>
  <c r="BH167" i="10"/>
  <c r="AW167" i="10"/>
  <c r="CO167" i="10"/>
  <c r="J167" i="10"/>
  <c r="CW167" i="10"/>
  <c r="CC167" i="10"/>
  <c r="DD167" i="10"/>
  <c r="U167" i="10"/>
  <c r="CE167" i="10"/>
  <c r="CF167" i="10"/>
  <c r="BO167" i="10"/>
  <c r="BC167" i="10"/>
  <c r="CH167" i="10"/>
  <c r="CV167" i="10"/>
  <c r="AP167" i="10"/>
  <c r="AF167" i="10"/>
  <c r="BN167" i="10"/>
  <c r="DA167" i="10"/>
  <c r="DH167" i="10"/>
  <c r="AO167" i="10"/>
  <c r="AN167" i="10"/>
  <c r="CD167" i="10"/>
  <c r="P167" i="10"/>
  <c r="L167" i="10"/>
  <c r="F167" i="10"/>
  <c r="BG167" i="10"/>
  <c r="CG167" i="10"/>
  <c r="AH167" i="10"/>
  <c r="BL167" i="10"/>
  <c r="Z167" i="10"/>
  <c r="X167" i="10"/>
  <c r="AZ167" i="10"/>
  <c r="AY167" i="10"/>
  <c r="BM167" i="10"/>
  <c r="D167" i="10"/>
  <c r="BU167" i="10"/>
  <c r="O167" i="10"/>
  <c r="Y167" i="10"/>
  <c r="BP167" i="10"/>
  <c r="AA167" i="10"/>
  <c r="CS167" i="10"/>
  <c r="T167" i="10"/>
  <c r="BX167" i="10"/>
  <c r="DC167" i="10"/>
  <c r="AQ167" i="10"/>
  <c r="AX167" i="10"/>
  <c r="AI167" i="10"/>
  <c r="CB167" i="10"/>
  <c r="Q167" i="10"/>
  <c r="BY167" i="10"/>
  <c r="S167" i="10"/>
  <c r="BA167" i="10"/>
  <c r="N167" i="10"/>
  <c r="AS167" i="10"/>
  <c r="AR167" i="10"/>
  <c r="AE167" i="10"/>
  <c r="DE167" i="10"/>
  <c r="CQ167" i="10"/>
  <c r="AB167" i="10"/>
  <c r="BD167" i="10"/>
  <c r="B168" i="10" l="1"/>
  <c r="FL8" i="1"/>
  <c r="FM6" i="1"/>
  <c r="FM2" i="1"/>
  <c r="FM10" i="1" s="1"/>
  <c r="FM5" i="1" l="1"/>
  <c r="FM9" i="1" s="1"/>
  <c r="DB168" i="10"/>
  <c r="F168" i="10"/>
  <c r="AG168" i="10"/>
  <c r="CX168" i="10"/>
  <c r="CN168" i="10"/>
  <c r="BD168" i="10"/>
  <c r="I168" i="10"/>
  <c r="CJ168" i="10"/>
  <c r="CP168" i="10"/>
  <c r="BQ168" i="10"/>
  <c r="AD168" i="10"/>
  <c r="Z168" i="10"/>
  <c r="CM168" i="10"/>
  <c r="BK168" i="10"/>
  <c r="J168" i="10"/>
  <c r="BE168" i="10"/>
  <c r="BH168" i="10"/>
  <c r="CT168" i="10"/>
  <c r="V168" i="10"/>
  <c r="DA168" i="10"/>
  <c r="BY168" i="10"/>
  <c r="U168" i="10"/>
  <c r="BL168" i="10"/>
  <c r="G168" i="10"/>
  <c r="CU168" i="10"/>
  <c r="CO168" i="10"/>
  <c r="CI168" i="10"/>
  <c r="DE168" i="10"/>
  <c r="AH168" i="10"/>
  <c r="AK168" i="10"/>
  <c r="CA168" i="10"/>
  <c r="AY168" i="10"/>
  <c r="M168" i="10"/>
  <c r="AC168" i="10"/>
  <c r="AR168" i="10"/>
  <c r="N168" i="10"/>
  <c r="AQ168" i="10"/>
  <c r="BC168" i="10"/>
  <c r="DH168" i="10"/>
  <c r="W168" i="10"/>
  <c r="AS168" i="10"/>
  <c r="AE168" i="10"/>
  <c r="CY168" i="10"/>
  <c r="CF168" i="10"/>
  <c r="D168" i="10"/>
  <c r="AV168" i="10"/>
  <c r="CW168" i="10"/>
  <c r="CC168" i="10"/>
  <c r="AX168" i="10"/>
  <c r="AZ168" i="10"/>
  <c r="BF168" i="10"/>
  <c r="BI168" i="10"/>
  <c r="C168" i="10"/>
  <c r="T168" i="10"/>
  <c r="BG168" i="10"/>
  <c r="CK168" i="10"/>
  <c r="DJ168" i="10"/>
  <c r="BV168" i="10"/>
  <c r="AI168" i="10"/>
  <c r="BB168" i="10"/>
  <c r="DF168" i="10"/>
  <c r="AU168" i="10"/>
  <c r="CR168" i="10"/>
  <c r="O168" i="10"/>
  <c r="BO168" i="10"/>
  <c r="Y168" i="10"/>
  <c r="L168" i="10"/>
  <c r="X168" i="10"/>
  <c r="BZ168" i="10"/>
  <c r="DC168" i="10"/>
  <c r="CQ168" i="10"/>
  <c r="AN168" i="10"/>
  <c r="AO168" i="10"/>
  <c r="K168" i="10"/>
  <c r="AW168" i="10"/>
  <c r="CD168" i="10"/>
  <c r="P168" i="10"/>
  <c r="CB168" i="10"/>
  <c r="AJ168" i="10"/>
  <c r="DI168" i="10"/>
  <c r="H168" i="10"/>
  <c r="BR168" i="10"/>
  <c r="BX168" i="10"/>
  <c r="BU168" i="10"/>
  <c r="CE168" i="10"/>
  <c r="BP168" i="10"/>
  <c r="BJ168" i="10"/>
  <c r="AM168" i="10"/>
  <c r="R168" i="10"/>
  <c r="CV168" i="10"/>
  <c r="Q168" i="10"/>
  <c r="BT168" i="10"/>
  <c r="CH168" i="10"/>
  <c r="AA168" i="10"/>
  <c r="AT168" i="10"/>
  <c r="AL168" i="10"/>
  <c r="AB168" i="10"/>
  <c r="DK168" i="10"/>
  <c r="AP168" i="10"/>
  <c r="DD168" i="10"/>
  <c r="CZ168" i="10"/>
  <c r="BA168" i="10"/>
  <c r="BN168" i="10"/>
  <c r="CS168" i="10"/>
  <c r="E168" i="10"/>
  <c r="CL168" i="10"/>
  <c r="BS168" i="10"/>
  <c r="AF168" i="10"/>
  <c r="DG168" i="10"/>
  <c r="BM168" i="10"/>
  <c r="CG168" i="10"/>
  <c r="BW168" i="10"/>
  <c r="S168" i="10"/>
  <c r="FM7" i="1" l="1"/>
  <c r="FN2" i="1" l="1"/>
  <c r="FN5" i="1" s="1"/>
  <c r="FN9" i="1" s="1"/>
  <c r="B169" i="10"/>
  <c r="FN10" i="1"/>
  <c r="FM8" i="1"/>
  <c r="FN6" i="1"/>
  <c r="FN7" i="1" l="1"/>
  <c r="DB169" i="10"/>
  <c r="AB169" i="10"/>
  <c r="CD169" i="10"/>
  <c r="BK169" i="10"/>
  <c r="J169" i="10"/>
  <c r="AE169" i="10"/>
  <c r="AL169" i="10"/>
  <c r="CT169" i="10"/>
  <c r="BR169" i="10"/>
  <c r="BC169" i="10"/>
  <c r="DC169" i="10"/>
  <c r="DE169" i="10"/>
  <c r="CV169" i="10"/>
  <c r="BG169" i="10"/>
  <c r="BQ169" i="10"/>
  <c r="CO169" i="10"/>
  <c r="I169" i="10"/>
  <c r="AY169" i="10"/>
  <c r="BV169" i="10"/>
  <c r="BA169" i="10"/>
  <c r="BH169" i="10"/>
  <c r="P169" i="10"/>
  <c r="AP169" i="10"/>
  <c r="H169" i="10"/>
  <c r="CB169" i="10"/>
  <c r="AS169" i="10"/>
  <c r="CS169" i="10"/>
  <c r="T169" i="10"/>
  <c r="D169" i="10"/>
  <c r="AJ169" i="10"/>
  <c r="E169" i="10"/>
  <c r="AU169" i="10"/>
  <c r="CL169" i="10"/>
  <c r="Q169" i="10"/>
  <c r="DH169" i="10"/>
  <c r="N169" i="10"/>
  <c r="AX169" i="10"/>
  <c r="CI169" i="10"/>
  <c r="BW169" i="10"/>
  <c r="CG169" i="10"/>
  <c r="AI169" i="10"/>
  <c r="DD169" i="10"/>
  <c r="W169" i="10"/>
  <c r="BY169" i="10"/>
  <c r="CF169" i="10"/>
  <c r="CW169" i="10"/>
  <c r="BD169" i="10"/>
  <c r="DG169" i="10"/>
  <c r="AA169" i="10"/>
  <c r="AO169" i="10"/>
  <c r="BJ169" i="10"/>
  <c r="BZ169" i="10"/>
  <c r="BF169" i="10"/>
  <c r="L169" i="10"/>
  <c r="C169" i="10"/>
  <c r="DA169" i="10"/>
  <c r="BP169" i="10"/>
  <c r="Z169" i="10"/>
  <c r="CC169" i="10"/>
  <c r="CP169" i="10"/>
  <c r="DI169" i="10"/>
  <c r="DK169" i="10"/>
  <c r="K169" i="10"/>
  <c r="DJ169" i="10"/>
  <c r="BB169" i="10"/>
  <c r="AH169" i="10"/>
  <c r="AW169" i="10"/>
  <c r="Y169" i="10"/>
  <c r="CE169" i="10"/>
  <c r="DF169" i="10"/>
  <c r="BS169" i="10"/>
  <c r="AR169" i="10"/>
  <c r="AC169" i="10"/>
  <c r="BL169" i="10"/>
  <c r="BO169" i="10"/>
  <c r="G169" i="10"/>
  <c r="U169" i="10"/>
  <c r="AF169" i="10"/>
  <c r="CZ169" i="10"/>
  <c r="CQ169" i="10"/>
  <c r="BT169" i="10"/>
  <c r="AN169" i="10"/>
  <c r="AD169" i="10"/>
  <c r="CJ169" i="10"/>
  <c r="CN169" i="10"/>
  <c r="AM169" i="10"/>
  <c r="BI169" i="10"/>
  <c r="R169" i="10"/>
  <c r="AK169" i="10"/>
  <c r="CX169" i="10"/>
  <c r="AG169" i="10"/>
  <c r="V169" i="10"/>
  <c r="CH169" i="10"/>
  <c r="BE169" i="10"/>
  <c r="CM169" i="10"/>
  <c r="CY169" i="10"/>
  <c r="X169" i="10"/>
  <c r="BM169" i="10"/>
  <c r="CK169" i="10"/>
  <c r="M169" i="10"/>
  <c r="BN169" i="10"/>
  <c r="AZ169" i="10"/>
  <c r="CA169" i="10"/>
  <c r="AV169" i="10"/>
  <c r="CU169" i="10"/>
  <c r="O169" i="10"/>
  <c r="S169" i="10"/>
  <c r="BU169" i="10"/>
  <c r="F169" i="10"/>
  <c r="AQ169" i="10"/>
  <c r="BX169" i="10"/>
  <c r="CR169" i="10"/>
  <c r="AT169" i="10"/>
  <c r="FO2" i="1" l="1"/>
  <c r="FO5" i="1" s="1"/>
  <c r="FO9" i="1" s="1"/>
  <c r="B170" i="10"/>
  <c r="FO10" i="1"/>
  <c r="FN8" i="1"/>
  <c r="FO6" i="1"/>
  <c r="FO7" i="1" l="1"/>
  <c r="BY170" i="10"/>
  <c r="CZ170" i="10"/>
  <c r="CI170" i="10"/>
  <c r="L170" i="10"/>
  <c r="BA170" i="10"/>
  <c r="CD170" i="10"/>
  <c r="DB170" i="10"/>
  <c r="T170" i="10"/>
  <c r="BW170" i="10"/>
  <c r="BZ170" i="10"/>
  <c r="CE170" i="10"/>
  <c r="DC170" i="10"/>
  <c r="K170" i="10"/>
  <c r="AN170" i="10"/>
  <c r="AP170" i="10"/>
  <c r="CN170" i="10"/>
  <c r="BR170" i="10"/>
  <c r="J170" i="10"/>
  <c r="BP170" i="10"/>
  <c r="BI170" i="10"/>
  <c r="AG170" i="10"/>
  <c r="DG170" i="10"/>
  <c r="E170" i="10"/>
  <c r="AH170" i="10"/>
  <c r="AJ170" i="10"/>
  <c r="BS170" i="10"/>
  <c r="I170" i="10"/>
  <c r="N170" i="10"/>
  <c r="BM170" i="10"/>
  <c r="DK170" i="10"/>
  <c r="BN170" i="10"/>
  <c r="AL170" i="10"/>
  <c r="BT170" i="10"/>
  <c r="BB170" i="10"/>
  <c r="DJ170" i="10"/>
  <c r="AD170" i="10"/>
  <c r="D170" i="10"/>
  <c r="AO170" i="10"/>
  <c r="BU170" i="10"/>
  <c r="DE170" i="10"/>
  <c r="CK170" i="10"/>
  <c r="BG170" i="10"/>
  <c r="BC170" i="10"/>
  <c r="AM170" i="10"/>
  <c r="AV170" i="10"/>
  <c r="BH170" i="10"/>
  <c r="CR170" i="10"/>
  <c r="BK170" i="10"/>
  <c r="DD170" i="10"/>
  <c r="CP170" i="10"/>
  <c r="BD170" i="10"/>
  <c r="BL170" i="10"/>
  <c r="H170" i="10"/>
  <c r="AI170" i="10"/>
  <c r="DF170" i="10"/>
  <c r="AS170" i="10"/>
  <c r="BE170" i="10"/>
  <c r="AB170" i="10"/>
  <c r="G170" i="10"/>
  <c r="AC170" i="10"/>
  <c r="CG170" i="10"/>
  <c r="AR170" i="10"/>
  <c r="V170" i="10"/>
  <c r="CU170" i="10"/>
  <c r="Q170" i="10"/>
  <c r="BF170" i="10"/>
  <c r="Z170" i="10"/>
  <c r="CS170" i="10"/>
  <c r="BX170" i="10"/>
  <c r="AE170" i="10"/>
  <c r="AT170" i="10"/>
  <c r="CC170" i="10"/>
  <c r="DA170" i="10"/>
  <c r="R170" i="10"/>
  <c r="CL170" i="10"/>
  <c r="W170" i="10"/>
  <c r="AA170" i="10"/>
  <c r="AU170" i="10"/>
  <c r="P170" i="10"/>
  <c r="F170" i="10"/>
  <c r="BQ170" i="10"/>
  <c r="CQ170" i="10"/>
  <c r="U170" i="10"/>
  <c r="CX170" i="10"/>
  <c r="CH170" i="10"/>
  <c r="DH170" i="10"/>
  <c r="AW170" i="10"/>
  <c r="CJ170" i="10"/>
  <c r="AK170" i="10"/>
  <c r="O170" i="10"/>
  <c r="BJ170" i="10"/>
  <c r="X170" i="10"/>
  <c r="AQ170" i="10"/>
  <c r="C170" i="10"/>
  <c r="CY170" i="10"/>
  <c r="CM170" i="10"/>
  <c r="CO170" i="10"/>
  <c r="Y170" i="10"/>
  <c r="CV170" i="10"/>
  <c r="BO170" i="10"/>
  <c r="M170" i="10"/>
  <c r="AY170" i="10"/>
  <c r="CB170" i="10"/>
  <c r="AF170" i="10"/>
  <c r="CA170" i="10"/>
  <c r="CW170" i="10"/>
  <c r="CF170" i="10"/>
  <c r="DI170" i="10"/>
  <c r="S170" i="10"/>
  <c r="AX170" i="10"/>
  <c r="CT170" i="10"/>
  <c r="BV170" i="10"/>
  <c r="AZ170" i="10"/>
  <c r="FP2" i="1" l="1"/>
  <c r="FP5" i="1" s="1"/>
  <c r="FP9" i="1" s="1"/>
  <c r="B171" i="10"/>
  <c r="FP6" i="1"/>
  <c r="FO8" i="1"/>
  <c r="FP7" i="1" l="1"/>
  <c r="M171" i="10"/>
  <c r="X171" i="10"/>
  <c r="G171" i="10"/>
  <c r="AV171" i="10"/>
  <c r="BP171" i="10"/>
  <c r="CY171" i="10"/>
  <c r="AP171" i="10"/>
  <c r="CQ171" i="10"/>
  <c r="AK171" i="10"/>
  <c r="D171" i="10"/>
  <c r="BY171" i="10"/>
  <c r="AJ171" i="10"/>
  <c r="CL171" i="10"/>
  <c r="AI171" i="10"/>
  <c r="F171" i="10"/>
  <c r="I171" i="10"/>
  <c r="AM171" i="10"/>
  <c r="H171" i="10"/>
  <c r="AG171" i="10"/>
  <c r="BR171" i="10"/>
  <c r="BX171" i="10"/>
  <c r="BI171" i="10"/>
  <c r="T171" i="10"/>
  <c r="Z171" i="10"/>
  <c r="AB171" i="10"/>
  <c r="BW171" i="10"/>
  <c r="AO171" i="10"/>
  <c r="CJ171" i="10"/>
  <c r="AU171" i="10"/>
  <c r="R171" i="10"/>
  <c r="AC171" i="10"/>
  <c r="CV171" i="10"/>
  <c r="DD171" i="10"/>
  <c r="BH171" i="10"/>
  <c r="BB171" i="10"/>
  <c r="AF171" i="10"/>
  <c r="CB171" i="10"/>
  <c r="CH171" i="10"/>
  <c r="CT171" i="10"/>
  <c r="BK171" i="10"/>
  <c r="DF171" i="10"/>
  <c r="CE171" i="10"/>
  <c r="N171" i="10"/>
  <c r="BJ171" i="10"/>
  <c r="CK171" i="10"/>
  <c r="BS171" i="10"/>
  <c r="CZ171" i="10"/>
  <c r="BM171" i="10"/>
  <c r="CG171" i="10"/>
  <c r="BT171" i="10"/>
  <c r="CN171" i="10"/>
  <c r="AL171" i="10"/>
  <c r="BU171" i="10"/>
  <c r="AD171" i="10"/>
  <c r="DK171" i="10"/>
  <c r="BF171" i="10"/>
  <c r="AZ171" i="10"/>
  <c r="W171" i="10"/>
  <c r="BQ171" i="10"/>
  <c r="AR171" i="10"/>
  <c r="CX171" i="10"/>
  <c r="Q171" i="10"/>
  <c r="CS171" i="10"/>
  <c r="AT171" i="10"/>
  <c r="K171" i="10"/>
  <c r="CP171" i="10"/>
  <c r="DB171" i="10"/>
  <c r="BZ171" i="10"/>
  <c r="S171" i="10"/>
  <c r="CM171" i="10"/>
  <c r="CR171" i="10"/>
  <c r="AS171" i="10"/>
  <c r="CD171" i="10"/>
  <c r="AX171" i="10"/>
  <c r="U171" i="10"/>
  <c r="BA171" i="10"/>
  <c r="CO171" i="10"/>
  <c r="DI171" i="10"/>
  <c r="BL171" i="10"/>
  <c r="CA171" i="10"/>
  <c r="BN171" i="10"/>
  <c r="CI171" i="10"/>
  <c r="AN171" i="10"/>
  <c r="BG171" i="10"/>
  <c r="AW171" i="10"/>
  <c r="AY171" i="10"/>
  <c r="DG171" i="10"/>
  <c r="BC171" i="10"/>
  <c r="AH171" i="10"/>
  <c r="P171" i="10"/>
  <c r="DA171" i="10"/>
  <c r="CF171" i="10"/>
  <c r="V171" i="10"/>
  <c r="BO171" i="10"/>
  <c r="DH171" i="10"/>
  <c r="AE171" i="10"/>
  <c r="AQ171" i="10"/>
  <c r="CU171" i="10"/>
  <c r="DE171" i="10"/>
  <c r="J171" i="10"/>
  <c r="C171" i="10"/>
  <c r="BV171" i="10"/>
  <c r="L171" i="10"/>
  <c r="O171" i="10"/>
  <c r="CW171" i="10"/>
  <c r="E171" i="10"/>
  <c r="CC171" i="10"/>
  <c r="BE171" i="10"/>
  <c r="Y171" i="10"/>
  <c r="AA171" i="10"/>
  <c r="BD171" i="10"/>
  <c r="DJ171" i="10"/>
  <c r="DC171" i="10"/>
  <c r="FP10" i="1"/>
  <c r="FQ2" i="1" l="1"/>
  <c r="FQ5" i="1" s="1"/>
  <c r="FQ9" i="1" s="1"/>
  <c r="B172" i="10"/>
  <c r="FP8" i="1"/>
  <c r="FQ6" i="1"/>
  <c r="FQ10" i="1"/>
  <c r="FQ7" i="1" l="1"/>
  <c r="CS172" i="10"/>
  <c r="AW172" i="10"/>
  <c r="R172" i="10"/>
  <c r="S172" i="10"/>
  <c r="DJ172" i="10"/>
  <c r="K172" i="10"/>
  <c r="M172" i="10"/>
  <c r="BE172" i="10"/>
  <c r="C172" i="10"/>
  <c r="BV172" i="10"/>
  <c r="DG172" i="10"/>
  <c r="CB172" i="10"/>
  <c r="CW172" i="10"/>
  <c r="BC172" i="10"/>
  <c r="AP172" i="10"/>
  <c r="AH172" i="10"/>
  <c r="Q172" i="10"/>
  <c r="BK172" i="10"/>
  <c r="CE172" i="10"/>
  <c r="BX172" i="10"/>
  <c r="Z172" i="10"/>
  <c r="AL172" i="10"/>
  <c r="CN172" i="10"/>
  <c r="BA172" i="10"/>
  <c r="AM172" i="10"/>
  <c r="BU172" i="10"/>
  <c r="DK172" i="10"/>
  <c r="CF172" i="10"/>
  <c r="AV172" i="10"/>
  <c r="CG172" i="10"/>
  <c r="P172" i="10"/>
  <c r="DI172" i="10"/>
  <c r="CR172" i="10"/>
  <c r="AS172" i="10"/>
  <c r="CY172" i="10"/>
  <c r="AG172" i="10"/>
  <c r="CK172" i="10"/>
  <c r="U172" i="10"/>
  <c r="CT172" i="10"/>
  <c r="BI172" i="10"/>
  <c r="CX172" i="10"/>
  <c r="CC172" i="10"/>
  <c r="AC172" i="10"/>
  <c r="BS172" i="10"/>
  <c r="AU172" i="10"/>
  <c r="CU172" i="10"/>
  <c r="BB172" i="10"/>
  <c r="AN172" i="10"/>
  <c r="AY172" i="10"/>
  <c r="AZ172" i="10"/>
  <c r="BM172" i="10"/>
  <c r="CV172" i="10"/>
  <c r="AE172" i="10"/>
  <c r="AJ172" i="10"/>
  <c r="BT172" i="10"/>
  <c r="AB172" i="10"/>
  <c r="W172" i="10"/>
  <c r="V172" i="10"/>
  <c r="Y172" i="10"/>
  <c r="T172" i="10"/>
  <c r="BW172" i="10"/>
  <c r="DE172" i="10"/>
  <c r="AF172" i="10"/>
  <c r="AT172" i="10"/>
  <c r="BN172" i="10"/>
  <c r="AX172" i="10"/>
  <c r="J172" i="10"/>
  <c r="BD172" i="10"/>
  <c r="BR172" i="10"/>
  <c r="BF172" i="10"/>
  <c r="CH172" i="10"/>
  <c r="D172" i="10"/>
  <c r="AO172" i="10"/>
  <c r="BJ172" i="10"/>
  <c r="DD172" i="10"/>
  <c r="CQ172" i="10"/>
  <c r="F172" i="10"/>
  <c r="L172" i="10"/>
  <c r="BH172" i="10"/>
  <c r="DF172" i="10"/>
  <c r="E172" i="10"/>
  <c r="BG172" i="10"/>
  <c r="CI172" i="10"/>
  <c r="CZ172" i="10"/>
  <c r="N172" i="10"/>
  <c r="BQ172" i="10"/>
  <c r="AA172" i="10"/>
  <c r="AD172" i="10"/>
  <c r="DA172" i="10"/>
  <c r="CL172" i="10"/>
  <c r="AR172" i="10"/>
  <c r="AI172" i="10"/>
  <c r="BZ172" i="10"/>
  <c r="BO172" i="10"/>
  <c r="CJ172" i="10"/>
  <c r="AQ172" i="10"/>
  <c r="CO172" i="10"/>
  <c r="BL172" i="10"/>
  <c r="CP172" i="10"/>
  <c r="CD172" i="10"/>
  <c r="O172" i="10"/>
  <c r="BY172" i="10"/>
  <c r="X172" i="10"/>
  <c r="I172" i="10"/>
  <c r="DC172" i="10"/>
  <c r="CM172" i="10"/>
  <c r="AK172" i="10"/>
  <c r="BP172" i="10"/>
  <c r="DH172" i="10"/>
  <c r="DB172" i="10"/>
  <c r="H172" i="10"/>
  <c r="CA172" i="10"/>
  <c r="G172" i="10"/>
  <c r="FR2" i="1" l="1"/>
  <c r="FR5" i="1" s="1"/>
  <c r="FR9" i="1" s="1"/>
  <c r="B173" i="10"/>
  <c r="FR6" i="1"/>
  <c r="FQ8" i="1"/>
  <c r="FR10" i="1"/>
  <c r="FR7" i="1" l="1"/>
  <c r="BB173" i="10"/>
  <c r="DB173" i="10"/>
  <c r="BG173" i="10"/>
  <c r="AS173" i="10"/>
  <c r="BO173" i="10"/>
  <c r="CX173" i="10"/>
  <c r="BI173" i="10"/>
  <c r="J173" i="10"/>
  <c r="AW173" i="10"/>
  <c r="C173" i="10"/>
  <c r="CZ173" i="10"/>
  <c r="DH173" i="10"/>
  <c r="CG173" i="10"/>
  <c r="M173" i="10"/>
  <c r="AU173" i="10"/>
  <c r="BF173" i="10"/>
  <c r="CC173" i="10"/>
  <c r="AY173" i="10"/>
  <c r="CS173" i="10"/>
  <c r="DD173" i="10"/>
  <c r="Z173" i="10"/>
  <c r="BP173" i="10"/>
  <c r="L173" i="10"/>
  <c r="BE173" i="10"/>
  <c r="BA173" i="10"/>
  <c r="BK173" i="10"/>
  <c r="CA173" i="10"/>
  <c r="AJ173" i="10"/>
  <c r="BC173" i="10"/>
  <c r="H173" i="10"/>
  <c r="DA173" i="10"/>
  <c r="D173" i="10"/>
  <c r="AK173" i="10"/>
  <c r="AD173" i="10"/>
  <c r="BQ173" i="10"/>
  <c r="CY173" i="10"/>
  <c r="V173" i="10"/>
  <c r="AP173" i="10"/>
  <c r="X173" i="10"/>
  <c r="AA173" i="10"/>
  <c r="O173" i="10"/>
  <c r="DC173" i="10"/>
  <c r="BS173" i="10"/>
  <c r="CJ173" i="10"/>
  <c r="AX173" i="10"/>
  <c r="AR173" i="10"/>
  <c r="AT173" i="10"/>
  <c r="CB173" i="10"/>
  <c r="I173" i="10"/>
  <c r="P173" i="10"/>
  <c r="DE173" i="10"/>
  <c r="AB173" i="10"/>
  <c r="AO173" i="10"/>
  <c r="AC173" i="10"/>
  <c r="CN173" i="10"/>
  <c r="BL173" i="10"/>
  <c r="CK173" i="10"/>
  <c r="BV173" i="10"/>
  <c r="E173" i="10"/>
  <c r="R173" i="10"/>
  <c r="BU173" i="10"/>
  <c r="CL173" i="10"/>
  <c r="U173" i="10"/>
  <c r="F173" i="10"/>
  <c r="W173" i="10"/>
  <c r="AH173" i="10"/>
  <c r="CU173" i="10"/>
  <c r="CQ173" i="10"/>
  <c r="AV173" i="10"/>
  <c r="AM173" i="10"/>
  <c r="AL173" i="10"/>
  <c r="DK173" i="10"/>
  <c r="CO173" i="10"/>
  <c r="BD173" i="10"/>
  <c r="K173" i="10"/>
  <c r="DF173" i="10"/>
  <c r="G173" i="10"/>
  <c r="CP173" i="10"/>
  <c r="BX173" i="10"/>
  <c r="DJ173" i="10"/>
  <c r="BZ173" i="10"/>
  <c r="AI173" i="10"/>
  <c r="AQ173" i="10"/>
  <c r="CE173" i="10"/>
  <c r="AF173" i="10"/>
  <c r="CV173" i="10"/>
  <c r="CI173" i="10"/>
  <c r="CM173" i="10"/>
  <c r="CW173" i="10"/>
  <c r="DG173" i="10"/>
  <c r="CH173" i="10"/>
  <c r="AG173" i="10"/>
  <c r="CD173" i="10"/>
  <c r="CF173" i="10"/>
  <c r="CT173" i="10"/>
  <c r="AE173" i="10"/>
  <c r="AZ173" i="10"/>
  <c r="AN173" i="10"/>
  <c r="DI173" i="10"/>
  <c r="BM173" i="10"/>
  <c r="CR173" i="10"/>
  <c r="S173" i="10"/>
  <c r="BY173" i="10"/>
  <c r="Q173" i="10"/>
  <c r="N173" i="10"/>
  <c r="BN173" i="10"/>
  <c r="T173" i="10"/>
  <c r="BJ173" i="10"/>
  <c r="BR173" i="10"/>
  <c r="Y173" i="10"/>
  <c r="BH173" i="10"/>
  <c r="BW173" i="10"/>
  <c r="BT173" i="10"/>
  <c r="FR8" i="1" l="1"/>
  <c r="FS6" i="1"/>
  <c r="B174" i="10"/>
  <c r="FS2" i="1"/>
  <c r="FS5" i="1" s="1"/>
  <c r="FS9" i="1" s="1"/>
  <c r="FS7" i="1" l="1"/>
  <c r="FS10" i="1"/>
  <c r="AG174" i="10"/>
  <c r="BO174" i="10"/>
  <c r="AA174" i="10"/>
  <c r="N174" i="10"/>
  <c r="CK174" i="10"/>
  <c r="AI174" i="10"/>
  <c r="L174" i="10"/>
  <c r="AT174" i="10"/>
  <c r="BD174" i="10"/>
  <c r="F174" i="10"/>
  <c r="AM174" i="10"/>
  <c r="AL174" i="10"/>
  <c r="AO174" i="10"/>
  <c r="CV174" i="10"/>
  <c r="CZ174" i="10"/>
  <c r="T174" i="10"/>
  <c r="CN174" i="10"/>
  <c r="U174" i="10"/>
  <c r="CY174" i="10"/>
  <c r="DI174" i="10"/>
  <c r="BF174" i="10"/>
  <c r="CQ174" i="10"/>
  <c r="BC174" i="10"/>
  <c r="BZ174" i="10"/>
  <c r="G174" i="10"/>
  <c r="AE174" i="10"/>
  <c r="BU174" i="10"/>
  <c r="DB174" i="10"/>
  <c r="BI174" i="10"/>
  <c r="C174" i="10"/>
  <c r="Q174" i="10"/>
  <c r="BL174" i="10"/>
  <c r="BN174" i="10"/>
  <c r="DA174" i="10"/>
  <c r="CI174" i="10"/>
  <c r="J174" i="10"/>
  <c r="CS174" i="10"/>
  <c r="BS174" i="10"/>
  <c r="CB174" i="10"/>
  <c r="CM174" i="10"/>
  <c r="AR174" i="10"/>
  <c r="CJ174" i="10"/>
  <c r="Z174" i="10"/>
  <c r="CO174" i="10"/>
  <c r="CH174" i="10"/>
  <c r="BH174" i="10"/>
  <c r="CT174" i="10"/>
  <c r="AD174" i="10"/>
  <c r="BJ174" i="10"/>
  <c r="AK174" i="10"/>
  <c r="X174" i="10"/>
  <c r="BY174" i="10"/>
  <c r="CA174" i="10"/>
  <c r="AQ174" i="10"/>
  <c r="BW174" i="10"/>
  <c r="BK174" i="10"/>
  <c r="W174" i="10"/>
  <c r="AP174" i="10"/>
  <c r="CC174" i="10"/>
  <c r="CX174" i="10"/>
  <c r="Y174" i="10"/>
  <c r="CF174" i="10"/>
  <c r="BR174" i="10"/>
  <c r="DD174" i="10"/>
  <c r="S174" i="10"/>
  <c r="BV174" i="10"/>
  <c r="DF174" i="10"/>
  <c r="M174" i="10"/>
  <c r="CU174" i="10"/>
  <c r="P174" i="10"/>
  <c r="CR174" i="10"/>
  <c r="AC174" i="10"/>
  <c r="K174" i="10"/>
  <c r="D174" i="10"/>
  <c r="AS174" i="10"/>
  <c r="AN174" i="10"/>
  <c r="DJ174" i="10"/>
  <c r="O174" i="10"/>
  <c r="BT174" i="10"/>
  <c r="CW174" i="10"/>
  <c r="AU174" i="10"/>
  <c r="DG174" i="10"/>
  <c r="DE174" i="10"/>
  <c r="AZ174" i="10"/>
  <c r="DC174" i="10"/>
  <c r="E174" i="10"/>
  <c r="BX174" i="10"/>
  <c r="R174" i="10"/>
  <c r="AV174" i="10"/>
  <c r="CL174" i="10"/>
  <c r="BA174" i="10"/>
  <c r="AW174" i="10"/>
  <c r="AF174" i="10"/>
  <c r="H174" i="10"/>
  <c r="CG174" i="10"/>
  <c r="CD174" i="10"/>
  <c r="BG174" i="10"/>
  <c r="DK174" i="10"/>
  <c r="AB174" i="10"/>
  <c r="V174" i="10"/>
  <c r="BE174" i="10"/>
  <c r="AH174" i="10"/>
  <c r="CP174" i="10"/>
  <c r="BM174" i="10"/>
  <c r="AX174" i="10"/>
  <c r="BB174" i="10"/>
  <c r="I174" i="10"/>
  <c r="AJ174" i="10"/>
  <c r="DH174" i="10"/>
  <c r="BP174" i="10"/>
  <c r="AY174" i="10"/>
  <c r="BQ174" i="10"/>
  <c r="CE174" i="10"/>
  <c r="FT6" i="1" l="1"/>
  <c r="FS8" i="1"/>
  <c r="B175" i="10"/>
  <c r="FT2" i="1"/>
  <c r="FT10" i="1" s="1"/>
  <c r="CD175" i="10" l="1"/>
  <c r="DH175" i="10"/>
  <c r="H175" i="10"/>
  <c r="BH175" i="10"/>
  <c r="P175" i="10"/>
  <c r="DJ175" i="10"/>
  <c r="BX175" i="10"/>
  <c r="AO175" i="10"/>
  <c r="AS175" i="10"/>
  <c r="BN175" i="10"/>
  <c r="AG175" i="10"/>
  <c r="CM175" i="10"/>
  <c r="BO175" i="10"/>
  <c r="Q175" i="10"/>
  <c r="AX175" i="10"/>
  <c r="DF175" i="10"/>
  <c r="AH175" i="10"/>
  <c r="CW175" i="10"/>
  <c r="AE175" i="10"/>
  <c r="CP175" i="10"/>
  <c r="BA175" i="10"/>
  <c r="W175" i="10"/>
  <c r="AB175" i="10"/>
  <c r="DD175" i="10"/>
  <c r="AL175" i="10"/>
  <c r="AW175" i="10"/>
  <c r="AC175" i="10"/>
  <c r="BZ175" i="10"/>
  <c r="E175" i="10"/>
  <c r="CS175" i="10"/>
  <c r="AF175" i="10"/>
  <c r="CU175" i="10"/>
  <c r="X175" i="10"/>
  <c r="BM175" i="10"/>
  <c r="BE175" i="10"/>
  <c r="AR175" i="10"/>
  <c r="R175" i="10"/>
  <c r="BC175" i="10"/>
  <c r="CK175" i="10"/>
  <c r="CL175" i="10"/>
  <c r="CH175" i="10"/>
  <c r="AJ175" i="10"/>
  <c r="AK175" i="10"/>
  <c r="CX175" i="10"/>
  <c r="CN175" i="10"/>
  <c r="BF175" i="10"/>
  <c r="F175" i="10"/>
  <c r="AQ175" i="10"/>
  <c r="T175" i="10"/>
  <c r="K175" i="10"/>
  <c r="G175" i="10"/>
  <c r="AY175" i="10"/>
  <c r="CE175" i="10"/>
  <c r="AU175" i="10"/>
  <c r="BI175" i="10"/>
  <c r="O175" i="10"/>
  <c r="CA175" i="10"/>
  <c r="BQ175" i="10"/>
  <c r="CI175" i="10"/>
  <c r="BV175" i="10"/>
  <c r="AV175" i="10"/>
  <c r="V175" i="10"/>
  <c r="CR175" i="10"/>
  <c r="DC175" i="10"/>
  <c r="S175" i="10"/>
  <c r="CT175" i="10"/>
  <c r="U175" i="10"/>
  <c r="AZ175" i="10"/>
  <c r="DG175" i="10"/>
  <c r="CO175" i="10"/>
  <c r="CQ175" i="10"/>
  <c r="L175" i="10"/>
  <c r="DB175" i="10"/>
  <c r="J175" i="10"/>
  <c r="CJ175" i="10"/>
  <c r="BG175" i="10"/>
  <c r="BY175" i="10"/>
  <c r="BK175" i="10"/>
  <c r="CY175" i="10"/>
  <c r="BJ175" i="10"/>
  <c r="CF175" i="10"/>
  <c r="AM175" i="10"/>
  <c r="Y175" i="10"/>
  <c r="CC175" i="10"/>
  <c r="DI175" i="10"/>
  <c r="C175" i="10"/>
  <c r="BT175" i="10"/>
  <c r="AA175" i="10"/>
  <c r="AT175" i="10"/>
  <c r="I175" i="10"/>
  <c r="AD175" i="10"/>
  <c r="M175" i="10"/>
  <c r="CG175" i="10"/>
  <c r="DA175" i="10"/>
  <c r="BP175" i="10"/>
  <c r="BR175" i="10"/>
  <c r="DE175" i="10"/>
  <c r="BL175" i="10"/>
  <c r="D175" i="10"/>
  <c r="BD175" i="10"/>
  <c r="AN175" i="10"/>
  <c r="Z175" i="10"/>
  <c r="AP175" i="10"/>
  <c r="CZ175" i="10"/>
  <c r="N175" i="10"/>
  <c r="DK175" i="10"/>
  <c r="BB175" i="10"/>
  <c r="AI175" i="10"/>
  <c r="BW175" i="10"/>
  <c r="BS175" i="10"/>
  <c r="CV175" i="10"/>
  <c r="CB175" i="10"/>
  <c r="BU175" i="10"/>
  <c r="FT5" i="1"/>
  <c r="FT9" i="1" s="1"/>
  <c r="FT7" i="1" l="1"/>
  <c r="B176" i="10" l="1"/>
  <c r="FU6" i="1"/>
  <c r="FT8" i="1"/>
  <c r="FU2" i="1"/>
  <c r="FU5" i="1" s="1"/>
  <c r="FU9" i="1" s="1"/>
  <c r="FU7" i="1" l="1"/>
  <c r="FU10" i="1"/>
  <c r="R176" i="10"/>
  <c r="AQ176" i="10"/>
  <c r="W176" i="10"/>
  <c r="AU176" i="10"/>
  <c r="BL176" i="10"/>
  <c r="AX176" i="10"/>
  <c r="CP176" i="10"/>
  <c r="BU176" i="10"/>
  <c r="AY176" i="10"/>
  <c r="CG176" i="10"/>
  <c r="CX176" i="10"/>
  <c r="CA176" i="10"/>
  <c r="N176" i="10"/>
  <c r="J176" i="10"/>
  <c r="BK176" i="10"/>
  <c r="CL176" i="10"/>
  <c r="AI176" i="10"/>
  <c r="G176" i="10"/>
  <c r="BM176" i="10"/>
  <c r="K176" i="10"/>
  <c r="BP176" i="10"/>
  <c r="CT176" i="10"/>
  <c r="BG176" i="10"/>
  <c r="O176" i="10"/>
  <c r="E176" i="10"/>
  <c r="DB176" i="10"/>
  <c r="Q176" i="10"/>
  <c r="BX176" i="10"/>
  <c r="BE176" i="10"/>
  <c r="M176" i="10"/>
  <c r="CI176" i="10"/>
  <c r="D176" i="10"/>
  <c r="BV176" i="10"/>
  <c r="CU176" i="10"/>
  <c r="AB176" i="10"/>
  <c r="AS176" i="10"/>
  <c r="CQ176" i="10"/>
  <c r="AN176" i="10"/>
  <c r="CR176" i="10"/>
  <c r="AA176" i="10"/>
  <c r="AP176" i="10"/>
  <c r="BT176" i="10"/>
  <c r="BI176" i="10"/>
  <c r="BC176" i="10"/>
  <c r="AT176" i="10"/>
  <c r="DG176" i="10"/>
  <c r="AG176" i="10"/>
  <c r="C176" i="10"/>
  <c r="CM176" i="10"/>
  <c r="CJ176" i="10"/>
  <c r="CE176" i="10"/>
  <c r="U176" i="10"/>
  <c r="AM176" i="10"/>
  <c r="BH176" i="10"/>
  <c r="T176" i="10"/>
  <c r="BJ176" i="10"/>
  <c r="BZ176" i="10"/>
  <c r="CF176" i="10"/>
  <c r="S176" i="10"/>
  <c r="CS176" i="10"/>
  <c r="H176" i="10"/>
  <c r="DE176" i="10"/>
  <c r="CO176" i="10"/>
  <c r="BB176" i="10"/>
  <c r="AJ176" i="10"/>
  <c r="CW176" i="10"/>
  <c r="AL176" i="10"/>
  <c r="DH176" i="10"/>
  <c r="AO176" i="10"/>
  <c r="V176" i="10"/>
  <c r="CY176" i="10"/>
  <c r="DF176" i="10"/>
  <c r="BW176" i="10"/>
  <c r="BO176" i="10"/>
  <c r="BS176" i="10"/>
  <c r="AH176" i="10"/>
  <c r="AW176" i="10"/>
  <c r="CC176" i="10"/>
  <c r="DJ176" i="10"/>
  <c r="DD176" i="10"/>
  <c r="CH176" i="10"/>
  <c r="BF176" i="10"/>
  <c r="AR176" i="10"/>
  <c r="DA176" i="10"/>
  <c r="AZ176" i="10"/>
  <c r="DI176" i="10"/>
  <c r="CD176" i="10"/>
  <c r="AK176" i="10"/>
  <c r="AV176" i="10"/>
  <c r="BD176" i="10"/>
  <c r="Y176" i="10"/>
  <c r="P176" i="10"/>
  <c r="CV176" i="10"/>
  <c r="CN176" i="10"/>
  <c r="I176" i="10"/>
  <c r="X176" i="10"/>
  <c r="BA176" i="10"/>
  <c r="BN176" i="10"/>
  <c r="BY176" i="10"/>
  <c r="DK176" i="10"/>
  <c r="AE176" i="10"/>
  <c r="AF176" i="10"/>
  <c r="CB176" i="10"/>
  <c r="Z176" i="10"/>
  <c r="CZ176" i="10"/>
  <c r="L176" i="10"/>
  <c r="AD176" i="10"/>
  <c r="CK176" i="10"/>
  <c r="DC176" i="10"/>
  <c r="F176" i="10"/>
  <c r="AC176" i="10"/>
  <c r="BQ176" i="10"/>
  <c r="BR176" i="10"/>
  <c r="B177" i="10" l="1"/>
  <c r="FU8" i="1"/>
  <c r="FV6" i="1"/>
  <c r="FV2" i="1"/>
  <c r="FV5" i="1" s="1"/>
  <c r="FV9" i="1" s="1"/>
  <c r="FV7" i="1" l="1"/>
  <c r="FV10" i="1"/>
  <c r="AD177" i="10"/>
  <c r="CQ177" i="10"/>
  <c r="CT177" i="10"/>
  <c r="BC177" i="10"/>
  <c r="DK177" i="10"/>
  <c r="BT177" i="10"/>
  <c r="BD177" i="10"/>
  <c r="DJ177" i="10"/>
  <c r="CP177" i="10"/>
  <c r="X177" i="10"/>
  <c r="CJ177" i="10"/>
  <c r="AR177" i="10"/>
  <c r="N177" i="10"/>
  <c r="CD177" i="10"/>
  <c r="BG177" i="10"/>
  <c r="AX177" i="10"/>
  <c r="AG177" i="10"/>
  <c r="CR177" i="10"/>
  <c r="AB177" i="10"/>
  <c r="Y177" i="10"/>
  <c r="AH177" i="10"/>
  <c r="BV177" i="10"/>
  <c r="DC177" i="10"/>
  <c r="BW177" i="10"/>
  <c r="J177" i="10"/>
  <c r="CM177" i="10"/>
  <c r="DG177" i="10"/>
  <c r="CB177" i="10"/>
  <c r="DB177" i="10"/>
  <c r="BS177" i="10"/>
  <c r="W177" i="10"/>
  <c r="BK177" i="10"/>
  <c r="F177" i="10"/>
  <c r="AA177" i="10"/>
  <c r="I177" i="10"/>
  <c r="AE177" i="10"/>
  <c r="BM177" i="10"/>
  <c r="H177" i="10"/>
  <c r="CS177" i="10"/>
  <c r="CY177" i="10"/>
  <c r="CF177" i="10"/>
  <c r="Z177" i="10"/>
  <c r="R177" i="10"/>
  <c r="CO177" i="10"/>
  <c r="AT177" i="10"/>
  <c r="CN177" i="10"/>
  <c r="CI177" i="10"/>
  <c r="BR177" i="10"/>
  <c r="AY177" i="10"/>
  <c r="AF177" i="10"/>
  <c r="AI177" i="10"/>
  <c r="AL177" i="10"/>
  <c r="CZ177" i="10"/>
  <c r="AP177" i="10"/>
  <c r="S177" i="10"/>
  <c r="CK177" i="10"/>
  <c r="P177" i="10"/>
  <c r="BE177" i="10"/>
  <c r="C177" i="10"/>
  <c r="BY177" i="10"/>
  <c r="AQ177" i="10"/>
  <c r="AJ177" i="10"/>
  <c r="BU177" i="10"/>
  <c r="CV177" i="10"/>
  <c r="DD177" i="10"/>
  <c r="DH177" i="10"/>
  <c r="AM177" i="10"/>
  <c r="BA177" i="10"/>
  <c r="BX177" i="10"/>
  <c r="BL177" i="10"/>
  <c r="BP177" i="10"/>
  <c r="BJ177" i="10"/>
  <c r="CX177" i="10"/>
  <c r="BI177" i="10"/>
  <c r="BB177" i="10"/>
  <c r="AU177" i="10"/>
  <c r="BF177" i="10"/>
  <c r="AC177" i="10"/>
  <c r="BH177" i="10"/>
  <c r="O177" i="10"/>
  <c r="BZ177" i="10"/>
  <c r="AS177" i="10"/>
  <c r="CW177" i="10"/>
  <c r="AV177" i="10"/>
  <c r="D177" i="10"/>
  <c r="BQ177" i="10"/>
  <c r="DI177" i="10"/>
  <c r="AZ177" i="10"/>
  <c r="AN177" i="10"/>
  <c r="BO177" i="10"/>
  <c r="M177" i="10"/>
  <c r="CU177" i="10"/>
  <c r="CG177" i="10"/>
  <c r="V177" i="10"/>
  <c r="AO177" i="10"/>
  <c r="K177" i="10"/>
  <c r="CL177" i="10"/>
  <c r="CE177" i="10"/>
  <c r="AK177" i="10"/>
  <c r="Q177" i="10"/>
  <c r="DF177" i="10"/>
  <c r="CH177" i="10"/>
  <c r="U177" i="10"/>
  <c r="CC177" i="10"/>
  <c r="G177" i="10"/>
  <c r="L177" i="10"/>
  <c r="CA177" i="10"/>
  <c r="E177" i="10"/>
  <c r="DE177" i="10"/>
  <c r="BN177" i="10"/>
  <c r="T177" i="10"/>
  <c r="AW177" i="10"/>
  <c r="DA177" i="10"/>
  <c r="B178" i="10" l="1"/>
  <c r="FV8" i="1"/>
  <c r="FW6" i="1"/>
  <c r="FW2" i="1"/>
  <c r="FW10" i="1" s="1"/>
  <c r="CC178" i="10" l="1"/>
  <c r="T178" i="10"/>
  <c r="BK178" i="10"/>
  <c r="CL178" i="10"/>
  <c r="AV178" i="10"/>
  <c r="AH178" i="10"/>
  <c r="AX178" i="10"/>
  <c r="BQ178" i="10"/>
  <c r="AM178" i="10"/>
  <c r="I178" i="10"/>
  <c r="AF178" i="10"/>
  <c r="BN178" i="10"/>
  <c r="DF178" i="10"/>
  <c r="BH178" i="10"/>
  <c r="CA178" i="10"/>
  <c r="BZ178" i="10"/>
  <c r="CZ178" i="10"/>
  <c r="C178" i="10"/>
  <c r="CM178" i="10"/>
  <c r="BB178" i="10"/>
  <c r="DI178" i="10"/>
  <c r="CJ178" i="10"/>
  <c r="CO178" i="10"/>
  <c r="CE178" i="10"/>
  <c r="DA178" i="10"/>
  <c r="DE178" i="10"/>
  <c r="V178" i="10"/>
  <c r="CW178" i="10"/>
  <c r="BF178" i="10"/>
  <c r="CS178" i="10"/>
  <c r="DJ178" i="10"/>
  <c r="BA178" i="10"/>
  <c r="BC178" i="10"/>
  <c r="AZ178" i="10"/>
  <c r="CK178" i="10"/>
  <c r="BL178" i="10"/>
  <c r="L178" i="10"/>
  <c r="P178" i="10"/>
  <c r="AW178" i="10"/>
  <c r="BT178" i="10"/>
  <c r="J178" i="10"/>
  <c r="AT178" i="10"/>
  <c r="N178" i="10"/>
  <c r="BU178" i="10"/>
  <c r="CG178" i="10"/>
  <c r="CP178" i="10"/>
  <c r="AC178" i="10"/>
  <c r="Z178" i="10"/>
  <c r="R178" i="10"/>
  <c r="BE178" i="10"/>
  <c r="CI178" i="10"/>
  <c r="DK178" i="10"/>
  <c r="AR178" i="10"/>
  <c r="CB178" i="10"/>
  <c r="AQ178" i="10"/>
  <c r="DG178" i="10"/>
  <c r="E178" i="10"/>
  <c r="AS178" i="10"/>
  <c r="CU178" i="10"/>
  <c r="AG178" i="10"/>
  <c r="DB178" i="10"/>
  <c r="BR178" i="10"/>
  <c r="DC178" i="10"/>
  <c r="G178" i="10"/>
  <c r="Y178" i="10"/>
  <c r="W178" i="10"/>
  <c r="AA178" i="10"/>
  <c r="BG178" i="10"/>
  <c r="CV178" i="10"/>
  <c r="CN178" i="10"/>
  <c r="CD178" i="10"/>
  <c r="AP178" i="10"/>
  <c r="BD178" i="10"/>
  <c r="BV178" i="10"/>
  <c r="X178" i="10"/>
  <c r="M178" i="10"/>
  <c r="AI178" i="10"/>
  <c r="CR178" i="10"/>
  <c r="CH178" i="10"/>
  <c r="BX178" i="10"/>
  <c r="AE178" i="10"/>
  <c r="DD178" i="10"/>
  <c r="AB178" i="10"/>
  <c r="CX178" i="10"/>
  <c r="BW178" i="10"/>
  <c r="CY178" i="10"/>
  <c r="AD178" i="10"/>
  <c r="AN178" i="10"/>
  <c r="O178" i="10"/>
  <c r="F178" i="10"/>
  <c r="CQ178" i="10"/>
  <c r="BM178" i="10"/>
  <c r="AY178" i="10"/>
  <c r="H178" i="10"/>
  <c r="AL178" i="10"/>
  <c r="CT178" i="10"/>
  <c r="AJ178" i="10"/>
  <c r="K178" i="10"/>
  <c r="S178" i="10"/>
  <c r="D178" i="10"/>
  <c r="BS178" i="10"/>
  <c r="BI178" i="10"/>
  <c r="BY178" i="10"/>
  <c r="Q178" i="10"/>
  <c r="BJ178" i="10"/>
  <c r="AK178" i="10"/>
  <c r="BO178" i="10"/>
  <c r="BP178" i="10"/>
  <c r="DH178" i="10"/>
  <c r="AU178" i="10"/>
  <c r="AO178" i="10"/>
  <c r="U178" i="10"/>
  <c r="CF178" i="10"/>
  <c r="FW5" i="1"/>
  <c r="FW7" i="1" l="1"/>
  <c r="FW9" i="1"/>
  <c r="FW8" i="1"/>
  <c r="FX6" i="1"/>
  <c r="B179" i="10"/>
  <c r="CR179" i="10" l="1"/>
  <c r="BH179" i="10"/>
  <c r="DJ179" i="10"/>
  <c r="AH179" i="10"/>
  <c r="CQ179" i="10"/>
  <c r="AZ179" i="10"/>
  <c r="W179" i="10"/>
  <c r="K179" i="10"/>
  <c r="DB179" i="10"/>
  <c r="AX179" i="10"/>
  <c r="BJ179" i="10"/>
  <c r="BU179" i="10"/>
  <c r="BZ179" i="10"/>
  <c r="L179" i="10"/>
  <c r="DA179" i="10"/>
  <c r="AS179" i="10"/>
  <c r="DC179" i="10"/>
  <c r="BG179" i="10"/>
  <c r="Q179" i="10"/>
  <c r="AU179" i="10"/>
  <c r="BI179" i="10"/>
  <c r="AM179" i="10"/>
  <c r="R179" i="10"/>
  <c r="DF179" i="10"/>
  <c r="AA179" i="10"/>
  <c r="C179" i="10"/>
  <c r="F179" i="10"/>
  <c r="AI179" i="10"/>
  <c r="CB179" i="10"/>
  <c r="DI179" i="10"/>
  <c r="BM179" i="10"/>
  <c r="CN179" i="10"/>
  <c r="CV179" i="10"/>
  <c r="CM179" i="10"/>
  <c r="AR179" i="10"/>
  <c r="J179" i="10"/>
  <c r="CD179" i="10"/>
  <c r="CY179" i="10"/>
  <c r="BR179" i="10"/>
  <c r="E179" i="10"/>
  <c r="AN179" i="10"/>
  <c r="CU179" i="10"/>
  <c r="CE179" i="10"/>
  <c r="AJ179" i="10"/>
  <c r="BD179" i="10"/>
  <c r="AV179" i="10"/>
  <c r="CC179" i="10"/>
  <c r="DK179" i="10"/>
  <c r="BO179" i="10"/>
  <c r="BE179" i="10"/>
  <c r="N179" i="10"/>
  <c r="AQ179" i="10"/>
  <c r="CT179" i="10"/>
  <c r="CG179" i="10"/>
  <c r="X179" i="10"/>
  <c r="AY179" i="10"/>
  <c r="O179" i="10"/>
  <c r="P179" i="10"/>
  <c r="CJ179" i="10"/>
  <c r="Z179" i="10"/>
  <c r="BA179" i="10"/>
  <c r="CW179" i="10"/>
  <c r="BS179" i="10"/>
  <c r="BC179" i="10"/>
  <c r="BB179" i="10"/>
  <c r="T179" i="10"/>
  <c r="AP179" i="10"/>
  <c r="CZ179" i="10"/>
  <c r="M179" i="10"/>
  <c r="AW179" i="10"/>
  <c r="CK179" i="10"/>
  <c r="AC179" i="10"/>
  <c r="AE179" i="10"/>
  <c r="U179" i="10"/>
  <c r="BY179" i="10"/>
  <c r="CA179" i="10"/>
  <c r="CL179" i="10"/>
  <c r="BL179" i="10"/>
  <c r="S179" i="10"/>
  <c r="AK179" i="10"/>
  <c r="DH179" i="10"/>
  <c r="CO179" i="10"/>
  <c r="Y179" i="10"/>
  <c r="G179" i="10"/>
  <c r="CX179" i="10"/>
  <c r="AG179" i="10"/>
  <c r="D179" i="10"/>
  <c r="AD179" i="10"/>
  <c r="BP179" i="10"/>
  <c r="DD179" i="10"/>
  <c r="AB179" i="10"/>
  <c r="AL179" i="10"/>
  <c r="DG179" i="10"/>
  <c r="AT179" i="10"/>
  <c r="CI179" i="10"/>
  <c r="AO179" i="10"/>
  <c r="BT179" i="10"/>
  <c r="BQ179" i="10"/>
  <c r="BK179" i="10"/>
  <c r="CF179" i="10"/>
  <c r="CS179" i="10"/>
  <c r="CP179" i="10"/>
  <c r="CH179" i="10"/>
  <c r="H179" i="10"/>
  <c r="I179" i="10"/>
  <c r="BF179" i="10"/>
  <c r="BV179" i="10"/>
  <c r="BN179" i="10"/>
  <c r="BX179" i="10"/>
  <c r="DE179" i="10"/>
  <c r="V179" i="10"/>
  <c r="AF179" i="10"/>
  <c r="BW179" i="10"/>
  <c r="FX2" i="1"/>
  <c r="FX10" i="1" s="1"/>
  <c r="FX5" i="1" l="1"/>
  <c r="FX9" i="1" s="1"/>
  <c r="FX7" i="1" l="1"/>
  <c r="FX8" i="1" l="1"/>
  <c r="B180" i="10"/>
  <c r="FY6" i="1"/>
  <c r="FY2" i="1"/>
  <c r="FY5" i="1" s="1"/>
  <c r="FY9" i="1" s="1"/>
  <c r="FY7" i="1" l="1"/>
  <c r="FY10" i="1"/>
  <c r="DJ180" i="10"/>
  <c r="AA180" i="10"/>
  <c r="AR180" i="10"/>
  <c r="BK180" i="10"/>
  <c r="CY180" i="10"/>
  <c r="CS180" i="10"/>
  <c r="AF180" i="10"/>
  <c r="AW180" i="10"/>
  <c r="BP180" i="10"/>
  <c r="V180" i="10"/>
  <c r="CR180" i="10"/>
  <c r="CQ180" i="10"/>
  <c r="N180" i="10"/>
  <c r="O180" i="10"/>
  <c r="AU180" i="10"/>
  <c r="DK180" i="10"/>
  <c r="BF180" i="10"/>
  <c r="M180" i="10"/>
  <c r="CJ180" i="10"/>
  <c r="D180" i="10"/>
  <c r="L180" i="10"/>
  <c r="CE180" i="10"/>
  <c r="AO180" i="10"/>
  <c r="BY180" i="10"/>
  <c r="DF180" i="10"/>
  <c r="DD180" i="10"/>
  <c r="DG180" i="10"/>
  <c r="BW180" i="10"/>
  <c r="CH180" i="10"/>
  <c r="BR180" i="10"/>
  <c r="AT180" i="10"/>
  <c r="K180" i="10"/>
  <c r="AL180" i="10"/>
  <c r="CG180" i="10"/>
  <c r="AK180" i="10"/>
  <c r="H180" i="10"/>
  <c r="CN180" i="10"/>
  <c r="AY180" i="10"/>
  <c r="Z180" i="10"/>
  <c r="BC180" i="10"/>
  <c r="CZ180" i="10"/>
  <c r="CP180" i="10"/>
  <c r="BI180" i="10"/>
  <c r="AI180" i="10"/>
  <c r="BA180" i="10"/>
  <c r="AB180" i="10"/>
  <c r="BZ180" i="10"/>
  <c r="BV180" i="10"/>
  <c r="G180" i="10"/>
  <c r="AC180" i="10"/>
  <c r="AS180" i="10"/>
  <c r="P180" i="10"/>
  <c r="CW180" i="10"/>
  <c r="CI180" i="10"/>
  <c r="AQ180" i="10"/>
  <c r="S180" i="10"/>
  <c r="AH180" i="10"/>
  <c r="DE180" i="10"/>
  <c r="CM180" i="10"/>
  <c r="AJ180" i="10"/>
  <c r="BE180" i="10"/>
  <c r="BN180" i="10"/>
  <c r="BX180" i="10"/>
  <c r="CU180" i="10"/>
  <c r="DH180" i="10"/>
  <c r="I180" i="10"/>
  <c r="BL180" i="10"/>
  <c r="DC180" i="10"/>
  <c r="Q180" i="10"/>
  <c r="BO180" i="10"/>
  <c r="BG180" i="10"/>
  <c r="BB180" i="10"/>
  <c r="AV180" i="10"/>
  <c r="BS180" i="10"/>
  <c r="BQ180" i="10"/>
  <c r="BU180" i="10"/>
  <c r="DA180" i="10"/>
  <c r="CL180" i="10"/>
  <c r="BT180" i="10"/>
  <c r="AZ180" i="10"/>
  <c r="BJ180" i="10"/>
  <c r="AX180" i="10"/>
  <c r="CK180" i="10"/>
  <c r="Y180" i="10"/>
  <c r="BM180" i="10"/>
  <c r="W180" i="10"/>
  <c r="CD180" i="10"/>
  <c r="BH180" i="10"/>
  <c r="CA180" i="10"/>
  <c r="AP180" i="10"/>
  <c r="X180" i="10"/>
  <c r="CV180" i="10"/>
  <c r="AG180" i="10"/>
  <c r="T180" i="10"/>
  <c r="AN180" i="10"/>
  <c r="CT180" i="10"/>
  <c r="C180" i="10"/>
  <c r="CO180" i="10"/>
  <c r="CX180" i="10"/>
  <c r="AD180" i="10"/>
  <c r="DI180" i="10"/>
  <c r="F180" i="10"/>
  <c r="E180" i="10"/>
  <c r="CB180" i="10"/>
  <c r="AM180" i="10"/>
  <c r="U180" i="10"/>
  <c r="J180" i="10"/>
  <c r="R180" i="10"/>
  <c r="CC180" i="10"/>
  <c r="BD180" i="10"/>
  <c r="CF180" i="10"/>
  <c r="AE180" i="10"/>
  <c r="DB180" i="10"/>
  <c r="B181" i="10" l="1"/>
  <c r="FY8" i="1"/>
  <c r="FZ6" i="1"/>
  <c r="FZ2" i="1"/>
  <c r="FZ10" i="1" s="1"/>
  <c r="FZ5" i="1" l="1"/>
  <c r="CJ181" i="10"/>
  <c r="BS181" i="10"/>
  <c r="CE181" i="10"/>
  <c r="BJ181" i="10"/>
  <c r="CL181" i="10"/>
  <c r="AE181" i="10"/>
  <c r="AS181" i="10"/>
  <c r="F181" i="10"/>
  <c r="BV181" i="10"/>
  <c r="CU181" i="10"/>
  <c r="BB181" i="10"/>
  <c r="CM181" i="10"/>
  <c r="CQ181" i="10"/>
  <c r="BF181" i="10"/>
  <c r="V181" i="10"/>
  <c r="M181" i="10"/>
  <c r="DK181" i="10"/>
  <c r="BP181" i="10"/>
  <c r="BQ181" i="10"/>
  <c r="BE181" i="10"/>
  <c r="BG181" i="10"/>
  <c r="AF181" i="10"/>
  <c r="AB181" i="10"/>
  <c r="DD181" i="10"/>
  <c r="AR181" i="10"/>
  <c r="CV181" i="10"/>
  <c r="N181" i="10"/>
  <c r="T181" i="10"/>
  <c r="AN181" i="10"/>
  <c r="CX181" i="10"/>
  <c r="R181" i="10"/>
  <c r="J181" i="10"/>
  <c r="CN181" i="10"/>
  <c r="DF181" i="10"/>
  <c r="AU181" i="10"/>
  <c r="I181" i="10"/>
  <c r="BZ181" i="10"/>
  <c r="CB181" i="10"/>
  <c r="BC181" i="10"/>
  <c r="AI181" i="10"/>
  <c r="CY181" i="10"/>
  <c r="BU181" i="10"/>
  <c r="CH181" i="10"/>
  <c r="X181" i="10"/>
  <c r="CW181" i="10"/>
  <c r="CI181" i="10"/>
  <c r="Y181" i="10"/>
  <c r="O181" i="10"/>
  <c r="G181" i="10"/>
  <c r="P181" i="10"/>
  <c r="CZ181" i="10"/>
  <c r="AP181" i="10"/>
  <c r="BK181" i="10"/>
  <c r="AC181" i="10"/>
  <c r="DG181" i="10"/>
  <c r="CF181" i="10"/>
  <c r="DA181" i="10"/>
  <c r="BW181" i="10"/>
  <c r="BT181" i="10"/>
  <c r="BY181" i="10"/>
  <c r="CC181" i="10"/>
  <c r="DE181" i="10"/>
  <c r="AO181" i="10"/>
  <c r="BX181" i="10"/>
  <c r="CT181" i="10"/>
  <c r="BN181" i="10"/>
  <c r="DC181" i="10"/>
  <c r="AZ181" i="10"/>
  <c r="AQ181" i="10"/>
  <c r="H181" i="10"/>
  <c r="AW181" i="10"/>
  <c r="CR181" i="10"/>
  <c r="AT181" i="10"/>
  <c r="CG181" i="10"/>
  <c r="AK181" i="10"/>
  <c r="BA181" i="10"/>
  <c r="DH181" i="10"/>
  <c r="BL181" i="10"/>
  <c r="L181" i="10"/>
  <c r="S181" i="10"/>
  <c r="AD181" i="10"/>
  <c r="DI181" i="10"/>
  <c r="AG181" i="10"/>
  <c r="BR181" i="10"/>
  <c r="E181" i="10"/>
  <c r="U181" i="10"/>
  <c r="CK181" i="10"/>
  <c r="AH181" i="10"/>
  <c r="AA181" i="10"/>
  <c r="DJ181" i="10"/>
  <c r="K181" i="10"/>
  <c r="BH181" i="10"/>
  <c r="DB181" i="10"/>
  <c r="AJ181" i="10"/>
  <c r="AV181" i="10"/>
  <c r="BM181" i="10"/>
  <c r="CD181" i="10"/>
  <c r="CA181" i="10"/>
  <c r="C181" i="10"/>
  <c r="BD181" i="10"/>
  <c r="BO181" i="10"/>
  <c r="CP181" i="10"/>
  <c r="CO181" i="10"/>
  <c r="AM181" i="10"/>
  <c r="Z181" i="10"/>
  <c r="AY181" i="10"/>
  <c r="AL181" i="10"/>
  <c r="Q181" i="10"/>
  <c r="CS181" i="10"/>
  <c r="AX181" i="10"/>
  <c r="W181" i="10"/>
  <c r="BI181" i="10"/>
  <c r="D181" i="10"/>
  <c r="FZ7" i="1" l="1"/>
  <c r="FZ8" i="1" s="1"/>
  <c r="FZ9" i="1"/>
  <c r="GA6" i="1"/>
  <c r="B182" i="10"/>
  <c r="CZ182" i="10" l="1"/>
  <c r="AH182" i="10"/>
  <c r="CC182" i="10"/>
  <c r="CJ182" i="10"/>
  <c r="DG182" i="10"/>
  <c r="BS182" i="10"/>
  <c r="AL182" i="10"/>
  <c r="BF182" i="10"/>
  <c r="L182" i="10"/>
  <c r="AP182" i="10"/>
  <c r="CD182" i="10"/>
  <c r="W182" i="10"/>
  <c r="CW182" i="10"/>
  <c r="H182" i="10"/>
  <c r="DI182" i="10"/>
  <c r="BE182" i="10"/>
  <c r="AQ182" i="10"/>
  <c r="CP182" i="10"/>
  <c r="AF182" i="10"/>
  <c r="AM182" i="10"/>
  <c r="DE182" i="10"/>
  <c r="AJ182" i="10"/>
  <c r="CT182" i="10"/>
  <c r="CR182" i="10"/>
  <c r="BU182" i="10"/>
  <c r="DH182" i="10"/>
  <c r="N182" i="10"/>
  <c r="S182" i="10"/>
  <c r="K182" i="10"/>
  <c r="AK182" i="10"/>
  <c r="AW182" i="10"/>
  <c r="AU182" i="10"/>
  <c r="AN182" i="10"/>
  <c r="CI182" i="10"/>
  <c r="BM182" i="10"/>
  <c r="CO182" i="10"/>
  <c r="CX182" i="10"/>
  <c r="BA182" i="10"/>
  <c r="BV182" i="10"/>
  <c r="AZ182" i="10"/>
  <c r="Z182" i="10"/>
  <c r="X182" i="10"/>
  <c r="BZ182" i="10"/>
  <c r="AV182" i="10"/>
  <c r="R182" i="10"/>
  <c r="AB182" i="10"/>
  <c r="BP182" i="10"/>
  <c r="BY182" i="10"/>
  <c r="DK182" i="10"/>
  <c r="D182" i="10"/>
  <c r="CV182" i="10"/>
  <c r="BJ182" i="10"/>
  <c r="BG182" i="10"/>
  <c r="I182" i="10"/>
  <c r="AY182" i="10"/>
  <c r="AG182" i="10"/>
  <c r="CG182" i="10"/>
  <c r="DC182" i="10"/>
  <c r="C182" i="10"/>
  <c r="BO182" i="10"/>
  <c r="AX182" i="10"/>
  <c r="BQ182" i="10"/>
  <c r="O182" i="10"/>
  <c r="BN182" i="10"/>
  <c r="CM182" i="10"/>
  <c r="DF182" i="10"/>
  <c r="Y182" i="10"/>
  <c r="CE182" i="10"/>
  <c r="AT182" i="10"/>
  <c r="AI182" i="10"/>
  <c r="CN182" i="10"/>
  <c r="BH182" i="10"/>
  <c r="BB182" i="10"/>
  <c r="BD182" i="10"/>
  <c r="DA182" i="10"/>
  <c r="CS182" i="10"/>
  <c r="BW182" i="10"/>
  <c r="J182" i="10"/>
  <c r="AE182" i="10"/>
  <c r="AO182" i="10"/>
  <c r="F182" i="10"/>
  <c r="BL182" i="10"/>
  <c r="BX182" i="10"/>
  <c r="CU182" i="10"/>
  <c r="DJ182" i="10"/>
  <c r="AC182" i="10"/>
  <c r="BI182" i="10"/>
  <c r="AA182" i="10"/>
  <c r="BT182" i="10"/>
  <c r="AS182" i="10"/>
  <c r="CL182" i="10"/>
  <c r="P182" i="10"/>
  <c r="V182" i="10"/>
  <c r="BK182" i="10"/>
  <c r="CY182" i="10"/>
  <c r="CA182" i="10"/>
  <c r="E182" i="10"/>
  <c r="BC182" i="10"/>
  <c r="CB182" i="10"/>
  <c r="M182" i="10"/>
  <c r="BR182" i="10"/>
  <c r="G182" i="10"/>
  <c r="Q182" i="10"/>
  <c r="AD182" i="10"/>
  <c r="CH182" i="10"/>
  <c r="T182" i="10"/>
  <c r="CQ182" i="10"/>
  <c r="CF182" i="10"/>
  <c r="U182" i="10"/>
  <c r="CK182" i="10"/>
  <c r="DB182" i="10"/>
  <c r="DD182" i="10"/>
  <c r="AR182" i="10"/>
  <c r="GA2" i="1"/>
  <c r="GA10" i="1" s="1"/>
  <c r="GA5" i="1" l="1"/>
  <c r="GA9" i="1" s="1"/>
  <c r="GA7" i="1" l="1"/>
  <c r="B183" i="10" l="1"/>
  <c r="GB6" i="1"/>
  <c r="GA8" i="1"/>
  <c r="GB2" i="1"/>
  <c r="GB10" i="1" s="1"/>
  <c r="GB5" i="1" l="1"/>
  <c r="GB9" i="1" s="1"/>
  <c r="V183" i="10"/>
  <c r="AS183" i="10"/>
  <c r="AI183" i="10"/>
  <c r="DF183" i="10"/>
  <c r="DA183" i="10"/>
  <c r="BP183" i="10"/>
  <c r="I183" i="10"/>
  <c r="AQ183" i="10"/>
  <c r="Q183" i="10"/>
  <c r="CN183" i="10"/>
  <c r="L183" i="10"/>
  <c r="BW183" i="10"/>
  <c r="AA183" i="10"/>
  <c r="Z183" i="10"/>
  <c r="BH183" i="10"/>
  <c r="DH183" i="10"/>
  <c r="DB183" i="10"/>
  <c r="CX183" i="10"/>
  <c r="CS183" i="10"/>
  <c r="AM183" i="10"/>
  <c r="CD183" i="10"/>
  <c r="AT183" i="10"/>
  <c r="AR183" i="10"/>
  <c r="CU183" i="10"/>
  <c r="DJ183" i="10"/>
  <c r="CW183" i="10"/>
  <c r="CA183" i="10"/>
  <c r="BD183" i="10"/>
  <c r="BB183" i="10"/>
  <c r="CE183" i="10"/>
  <c r="U183" i="10"/>
  <c r="AP183" i="10"/>
  <c r="P183" i="10"/>
  <c r="BR183" i="10"/>
  <c r="DD183" i="10"/>
  <c r="CY183" i="10"/>
  <c r="BY183" i="10"/>
  <c r="R183" i="10"/>
  <c r="CL183" i="10"/>
  <c r="AN183" i="10"/>
  <c r="DG183" i="10"/>
  <c r="BM183" i="10"/>
  <c r="BX183" i="10"/>
  <c r="CQ183" i="10"/>
  <c r="BI183" i="10"/>
  <c r="BS183" i="10"/>
  <c r="DE183" i="10"/>
  <c r="H183" i="10"/>
  <c r="BN183" i="10"/>
  <c r="BO183" i="10"/>
  <c r="CP183" i="10"/>
  <c r="BF183" i="10"/>
  <c r="K183" i="10"/>
  <c r="CB183" i="10"/>
  <c r="AB183" i="10"/>
  <c r="M183" i="10"/>
  <c r="AU183" i="10"/>
  <c r="AX183" i="10"/>
  <c r="AL183" i="10"/>
  <c r="CR183" i="10"/>
  <c r="CM183" i="10"/>
  <c r="AK183" i="10"/>
  <c r="O183" i="10"/>
  <c r="T183" i="10"/>
  <c r="AH183" i="10"/>
  <c r="AG183" i="10"/>
  <c r="E183" i="10"/>
  <c r="J183" i="10"/>
  <c r="W183" i="10"/>
  <c r="BL183" i="10"/>
  <c r="AV183" i="10"/>
  <c r="BU183" i="10"/>
  <c r="G183" i="10"/>
  <c r="D183" i="10"/>
  <c r="BV183" i="10"/>
  <c r="AJ183" i="10"/>
  <c r="Y183" i="10"/>
  <c r="AF183" i="10"/>
  <c r="N183" i="10"/>
  <c r="CZ183" i="10"/>
  <c r="AD183" i="10"/>
  <c r="BK183" i="10"/>
  <c r="CG183" i="10"/>
  <c r="BT183" i="10"/>
  <c r="DC183" i="10"/>
  <c r="X183" i="10"/>
  <c r="AY183" i="10"/>
  <c r="BG183" i="10"/>
  <c r="F183" i="10"/>
  <c r="AZ183" i="10"/>
  <c r="DI183" i="10"/>
  <c r="BA183" i="10"/>
  <c r="AE183" i="10"/>
  <c r="S183" i="10"/>
  <c r="BQ183" i="10"/>
  <c r="CC183" i="10"/>
  <c r="CJ183" i="10"/>
  <c r="AO183" i="10"/>
  <c r="BC183" i="10"/>
  <c r="BE183" i="10"/>
  <c r="CF183" i="10"/>
  <c r="AC183" i="10"/>
  <c r="CT183" i="10"/>
  <c r="CO183" i="10"/>
  <c r="CK183" i="10"/>
  <c r="CV183" i="10"/>
  <c r="BZ183" i="10"/>
  <c r="AW183" i="10"/>
  <c r="DK183" i="10"/>
  <c r="CH183" i="10"/>
  <c r="BJ183" i="10"/>
  <c r="CI183" i="10"/>
  <c r="C183" i="10"/>
  <c r="GB7" i="1" l="1"/>
  <c r="GB8" i="1" s="1"/>
  <c r="B184" i="10"/>
  <c r="GC2" i="1"/>
  <c r="GC10" i="1" s="1"/>
  <c r="GC6" i="1" l="1"/>
  <c r="GC5" i="1"/>
  <c r="GC9" i="1" s="1"/>
  <c r="CT184" i="10"/>
  <c r="BV184" i="10"/>
  <c r="CG184" i="10"/>
  <c r="S184" i="10"/>
  <c r="CU184" i="10"/>
  <c r="BP184" i="10"/>
  <c r="J184" i="10"/>
  <c r="CL184" i="10"/>
  <c r="CS184" i="10"/>
  <c r="BG184" i="10"/>
  <c r="CM184" i="10"/>
  <c r="H184" i="10"/>
  <c r="DD184" i="10"/>
  <c r="AA184" i="10"/>
  <c r="C184" i="10"/>
  <c r="BS184" i="10"/>
  <c r="CH184" i="10"/>
  <c r="Q184" i="10"/>
  <c r="M184" i="10"/>
  <c r="L184" i="10"/>
  <c r="BI184" i="10"/>
  <c r="DJ184" i="10"/>
  <c r="F184" i="10"/>
  <c r="CY184" i="10"/>
  <c r="AU184" i="10"/>
  <c r="W184" i="10"/>
  <c r="CZ184" i="10"/>
  <c r="E184" i="10"/>
  <c r="AD184" i="10"/>
  <c r="CV184" i="10"/>
  <c r="CD184" i="10"/>
  <c r="CF184" i="10"/>
  <c r="AK184" i="10"/>
  <c r="N184" i="10"/>
  <c r="Y184" i="10"/>
  <c r="T184" i="10"/>
  <c r="CN184" i="10"/>
  <c r="AI184" i="10"/>
  <c r="AE184" i="10"/>
  <c r="AN184" i="10"/>
  <c r="BE184" i="10"/>
  <c r="DG184" i="10"/>
  <c r="BD184" i="10"/>
  <c r="CR184" i="10"/>
  <c r="BH184" i="10"/>
  <c r="X184" i="10"/>
  <c r="K184" i="10"/>
  <c r="AR184" i="10"/>
  <c r="BK184" i="10"/>
  <c r="AV184" i="10"/>
  <c r="DH184" i="10"/>
  <c r="AB184" i="10"/>
  <c r="CQ184" i="10"/>
  <c r="BR184" i="10"/>
  <c r="AM184" i="10"/>
  <c r="I184" i="10"/>
  <c r="DA184" i="10"/>
  <c r="AY184" i="10"/>
  <c r="BO184" i="10"/>
  <c r="DE184" i="10"/>
  <c r="CE184" i="10"/>
  <c r="BL184" i="10"/>
  <c r="DI184" i="10"/>
  <c r="BB184" i="10"/>
  <c r="AJ184" i="10"/>
  <c r="BW184" i="10"/>
  <c r="BF184" i="10"/>
  <c r="CI184" i="10"/>
  <c r="U184" i="10"/>
  <c r="BC184" i="10"/>
  <c r="DF184" i="10"/>
  <c r="V184" i="10"/>
  <c r="BQ184" i="10"/>
  <c r="AT184" i="10"/>
  <c r="CK184" i="10"/>
  <c r="CB184" i="10"/>
  <c r="AO184" i="10"/>
  <c r="BN184" i="10"/>
  <c r="BA184" i="10"/>
  <c r="CO184" i="10"/>
  <c r="DB184" i="10"/>
  <c r="AG184" i="10"/>
  <c r="AF184" i="10"/>
  <c r="AQ184" i="10"/>
  <c r="BU184" i="10"/>
  <c r="R184" i="10"/>
  <c r="AP184" i="10"/>
  <c r="BX184" i="10"/>
  <c r="BZ184" i="10"/>
  <c r="AW184" i="10"/>
  <c r="BJ184" i="10"/>
  <c r="CW184" i="10"/>
  <c r="D184" i="10"/>
  <c r="AZ184" i="10"/>
  <c r="P184" i="10"/>
  <c r="CP184" i="10"/>
  <c r="AX184" i="10"/>
  <c r="BM184" i="10"/>
  <c r="G184" i="10"/>
  <c r="AS184" i="10"/>
  <c r="CC184" i="10"/>
  <c r="AL184" i="10"/>
  <c r="Z184" i="10"/>
  <c r="CX184" i="10"/>
  <c r="AC184" i="10"/>
  <c r="BT184" i="10"/>
  <c r="AH184" i="10"/>
  <c r="DC184" i="10"/>
  <c r="O184" i="10"/>
  <c r="BY184" i="10"/>
  <c r="DK184" i="10"/>
  <c r="CJ184" i="10"/>
  <c r="CA184" i="10"/>
  <c r="GC7" i="1" l="1"/>
  <c r="GD2" i="1" l="1"/>
  <c r="GD5" i="1" s="1"/>
  <c r="GD10" i="1"/>
  <c r="B185" i="10"/>
  <c r="GC8" i="1"/>
  <c r="GD6" i="1"/>
  <c r="GD7" i="1" l="1"/>
  <c r="GE6" i="1" s="1"/>
  <c r="GD9" i="1"/>
  <c r="B186" i="10"/>
  <c r="BX186" i="10" s="1"/>
  <c r="GD8" i="1"/>
  <c r="AV185" i="10"/>
  <c r="R185" i="10"/>
  <c r="W185" i="10"/>
  <c r="CD185" i="10"/>
  <c r="BE185" i="10"/>
  <c r="CJ185" i="10"/>
  <c r="AW185" i="10"/>
  <c r="AP185" i="10"/>
  <c r="E185" i="10"/>
  <c r="BU185" i="10"/>
  <c r="N185" i="10"/>
  <c r="BY185" i="10"/>
  <c r="BB185" i="10"/>
  <c r="AB185" i="10"/>
  <c r="AR185" i="10"/>
  <c r="AC185" i="10"/>
  <c r="BA185" i="10"/>
  <c r="AS185" i="10"/>
  <c r="D185" i="10"/>
  <c r="CU185" i="10"/>
  <c r="BW185" i="10"/>
  <c r="DG185" i="10"/>
  <c r="AH185" i="10"/>
  <c r="S185" i="10"/>
  <c r="P185" i="10"/>
  <c r="CF185" i="10"/>
  <c r="DK185" i="10"/>
  <c r="BX185" i="10"/>
  <c r="BC185" i="10"/>
  <c r="F185" i="10"/>
  <c r="BD185" i="10"/>
  <c r="CB185" i="10"/>
  <c r="AE185" i="10"/>
  <c r="AI185" i="10"/>
  <c r="C185" i="10"/>
  <c r="AF185" i="10"/>
  <c r="I185" i="10"/>
  <c r="CQ185" i="10"/>
  <c r="CH185" i="10"/>
  <c r="CE185" i="10"/>
  <c r="AD185" i="10"/>
  <c r="BZ185" i="10"/>
  <c r="AQ185" i="10"/>
  <c r="CW185" i="10"/>
  <c r="O185" i="10"/>
  <c r="V185" i="10"/>
  <c r="CM185" i="10"/>
  <c r="CT185" i="10"/>
  <c r="AJ185" i="10"/>
  <c r="AO185" i="10"/>
  <c r="AY185" i="10"/>
  <c r="BR185" i="10"/>
  <c r="BH185" i="10"/>
  <c r="BP185" i="10"/>
  <c r="DE185" i="10"/>
  <c r="AU185" i="10"/>
  <c r="DF185" i="10"/>
  <c r="AT185" i="10"/>
  <c r="AK185" i="10"/>
  <c r="Y185" i="10"/>
  <c r="CO185" i="10"/>
  <c r="Z185" i="10"/>
  <c r="AL185" i="10"/>
  <c r="CI185" i="10"/>
  <c r="BN185" i="10"/>
  <c r="CR185" i="10"/>
  <c r="BM185" i="10"/>
  <c r="CS185" i="10"/>
  <c r="H185" i="10"/>
  <c r="G185" i="10"/>
  <c r="J185" i="10"/>
  <c r="DI185" i="10"/>
  <c r="AN185" i="10"/>
  <c r="T185" i="10"/>
  <c r="BK185" i="10"/>
  <c r="BF185" i="10"/>
  <c r="BQ185" i="10"/>
  <c r="BG185" i="10"/>
  <c r="CY185" i="10"/>
  <c r="AZ185" i="10"/>
  <c r="DD185" i="10"/>
  <c r="DH185" i="10"/>
  <c r="DJ185" i="10"/>
  <c r="AM185" i="10"/>
  <c r="CK185" i="10"/>
  <c r="X185" i="10"/>
  <c r="CP185" i="10"/>
  <c r="U185" i="10"/>
  <c r="CL185" i="10"/>
  <c r="Q185" i="10"/>
  <c r="BI185" i="10"/>
  <c r="K185" i="10"/>
  <c r="DB185" i="10"/>
  <c r="CN185" i="10"/>
  <c r="CG185" i="10"/>
  <c r="BJ185" i="10"/>
  <c r="CC185" i="10"/>
  <c r="CV185" i="10"/>
  <c r="BL185" i="10"/>
  <c r="BV185" i="10"/>
  <c r="BS185" i="10"/>
  <c r="BT185" i="10"/>
  <c r="AA185" i="10"/>
  <c r="CZ185" i="10"/>
  <c r="M185" i="10"/>
  <c r="DC185" i="10"/>
  <c r="AX185" i="10"/>
  <c r="CX185" i="10"/>
  <c r="L185" i="10"/>
  <c r="CA185" i="10"/>
  <c r="DA185" i="10"/>
  <c r="BO185" i="10"/>
  <c r="AG185" i="10"/>
  <c r="AN186" i="10" l="1"/>
  <c r="BG186" i="10"/>
  <c r="AD186" i="10"/>
  <c r="BC186" i="10"/>
  <c r="Z186" i="10"/>
  <c r="CY186" i="10"/>
  <c r="DD186" i="10"/>
  <c r="BY186" i="10"/>
  <c r="O186" i="10"/>
  <c r="H186" i="10"/>
  <c r="BS186" i="10"/>
  <c r="S186" i="10"/>
  <c r="V186" i="10"/>
  <c r="T186" i="10"/>
  <c r="CB186" i="10"/>
  <c r="AI186" i="10"/>
  <c r="DE186" i="10"/>
  <c r="I186" i="10"/>
  <c r="CL186" i="10"/>
  <c r="D186" i="10"/>
  <c r="AJ186" i="10"/>
  <c r="BJ186" i="10"/>
  <c r="AZ186" i="10"/>
  <c r="BV186" i="10"/>
  <c r="BN186" i="10"/>
  <c r="AG186" i="10"/>
  <c r="CF186" i="10"/>
  <c r="P186" i="10"/>
  <c r="DH186" i="10"/>
  <c r="CC186" i="10"/>
  <c r="Y186" i="10"/>
  <c r="DF186" i="10"/>
  <c r="AQ186" i="10"/>
  <c r="BE186" i="10"/>
  <c r="W186" i="10"/>
  <c r="CH186" i="10"/>
  <c r="BW186" i="10"/>
  <c r="BZ186" i="10"/>
  <c r="CI186" i="10"/>
  <c r="AL186" i="10"/>
  <c r="M186" i="10"/>
  <c r="CR186" i="10"/>
  <c r="CZ186" i="10"/>
  <c r="CE186" i="10"/>
  <c r="AC186" i="10"/>
  <c r="AP186" i="10"/>
  <c r="DK186" i="10"/>
  <c r="L186" i="10"/>
  <c r="BQ186" i="10"/>
  <c r="DB186" i="10"/>
  <c r="AT186" i="10"/>
  <c r="CD186" i="10"/>
  <c r="DI186" i="10"/>
  <c r="N186" i="10"/>
  <c r="AO186" i="10"/>
  <c r="BR186" i="10"/>
  <c r="AB186" i="10"/>
  <c r="CN186" i="10"/>
  <c r="F186" i="10"/>
  <c r="CS186" i="10"/>
  <c r="BT186" i="10"/>
  <c r="CM186" i="10"/>
  <c r="AW186" i="10"/>
  <c r="CU186" i="10"/>
  <c r="BH186" i="10"/>
  <c r="DC186" i="10"/>
  <c r="AR186" i="10"/>
  <c r="DG186" i="10"/>
  <c r="BF186" i="10"/>
  <c r="CW186" i="10"/>
  <c r="AY186" i="10"/>
  <c r="AK186" i="10"/>
  <c r="AU186" i="10"/>
  <c r="BU186" i="10"/>
  <c r="C186" i="10"/>
  <c r="BB186" i="10"/>
  <c r="CO186" i="10"/>
  <c r="AH186" i="10"/>
  <c r="BA186" i="10"/>
  <c r="BL186" i="10"/>
  <c r="BP186" i="10"/>
  <c r="Q186" i="10"/>
  <c r="CV186" i="10"/>
  <c r="AM186" i="10"/>
  <c r="J186" i="10"/>
  <c r="AX186" i="10"/>
  <c r="X186" i="10"/>
  <c r="CG186" i="10"/>
  <c r="U186" i="10"/>
  <c r="CQ186" i="10"/>
  <c r="R186" i="10"/>
  <c r="AS186" i="10"/>
  <c r="CP186" i="10"/>
  <c r="K186" i="10"/>
  <c r="CA186" i="10"/>
  <c r="E186" i="10"/>
  <c r="BM186" i="10"/>
  <c r="GE2" i="1"/>
  <c r="GE10" i="1" s="1"/>
  <c r="BI186" i="10"/>
  <c r="AA186" i="10"/>
  <c r="CX186" i="10"/>
  <c r="AE186" i="10"/>
  <c r="BO186" i="10"/>
  <c r="BK186" i="10"/>
  <c r="CJ186" i="10"/>
  <c r="AF186" i="10"/>
  <c r="CK186" i="10"/>
  <c r="G186" i="10"/>
  <c r="BD186" i="10"/>
  <c r="AV186" i="10"/>
  <c r="DJ186" i="10"/>
  <c r="DA186" i="10"/>
  <c r="CT186" i="10"/>
  <c r="GE5" i="1" l="1"/>
  <c r="GE9" i="1" s="1"/>
  <c r="GE7" i="1" l="1"/>
  <c r="GE8" i="1" l="1"/>
  <c r="GF6" i="1"/>
  <c r="B187" i="10"/>
  <c r="GF2" i="1"/>
  <c r="GF10" i="1" s="1"/>
  <c r="D187" i="10" l="1"/>
  <c r="F187" i="10"/>
  <c r="BC187" i="10"/>
  <c r="G187" i="10"/>
  <c r="T187" i="10"/>
  <c r="CY187" i="10"/>
  <c r="BB187" i="10"/>
  <c r="DI187" i="10"/>
  <c r="CD187" i="10"/>
  <c r="CF187" i="10"/>
  <c r="BY187" i="10"/>
  <c r="AY187" i="10"/>
  <c r="BL187" i="10"/>
  <c r="BE187" i="10"/>
  <c r="AR187" i="10"/>
  <c r="DD187" i="10"/>
  <c r="CI187" i="10"/>
  <c r="E187" i="10"/>
  <c r="Y187" i="10"/>
  <c r="Q187" i="10"/>
  <c r="AI187" i="10"/>
  <c r="L187" i="10"/>
  <c r="DJ187" i="10"/>
  <c r="CJ187" i="10"/>
  <c r="AG187" i="10"/>
  <c r="CP187" i="10"/>
  <c r="AN187" i="10"/>
  <c r="H187" i="10"/>
  <c r="AF187" i="10"/>
  <c r="AC187" i="10"/>
  <c r="S187" i="10"/>
  <c r="DA187" i="10"/>
  <c r="BT187" i="10"/>
  <c r="U187" i="10"/>
  <c r="BD187" i="10"/>
  <c r="AJ187" i="10"/>
  <c r="CK187" i="10"/>
  <c r="CV187" i="10"/>
  <c r="AO187" i="10"/>
  <c r="DK187" i="10"/>
  <c r="AS187" i="10"/>
  <c r="J187" i="10"/>
  <c r="AZ187" i="10"/>
  <c r="AB187" i="10"/>
  <c r="BQ187" i="10"/>
  <c r="AV187" i="10"/>
  <c r="BV187" i="10"/>
  <c r="DF187" i="10"/>
  <c r="O187" i="10"/>
  <c r="CC187" i="10"/>
  <c r="X187" i="10"/>
  <c r="BM187" i="10"/>
  <c r="BW187" i="10"/>
  <c r="AK187" i="10"/>
  <c r="BF187" i="10"/>
  <c r="CU187" i="10"/>
  <c r="R187" i="10"/>
  <c r="AA187" i="10"/>
  <c r="AU187" i="10"/>
  <c r="AW187" i="10"/>
  <c r="CO187" i="10"/>
  <c r="AL187" i="10"/>
  <c r="BA187" i="10"/>
  <c r="C187" i="10"/>
  <c r="AD187" i="10"/>
  <c r="DC187" i="10"/>
  <c r="V187" i="10"/>
  <c r="BH187" i="10"/>
  <c r="BG187" i="10"/>
  <c r="DB187" i="10"/>
  <c r="N187" i="10"/>
  <c r="CA187" i="10"/>
  <c r="AT187" i="10"/>
  <c r="CS187" i="10"/>
  <c r="BI187" i="10"/>
  <c r="AH187" i="10"/>
  <c r="CQ187" i="10"/>
  <c r="W187" i="10"/>
  <c r="CW187" i="10"/>
  <c r="P187" i="10"/>
  <c r="AX187" i="10"/>
  <c r="BP187" i="10"/>
  <c r="CG187" i="10"/>
  <c r="AQ187" i="10"/>
  <c r="BS187" i="10"/>
  <c r="K187" i="10"/>
  <c r="BO187" i="10"/>
  <c r="CM187" i="10"/>
  <c r="CT187" i="10"/>
  <c r="I187" i="10"/>
  <c r="BJ187" i="10"/>
  <c r="BX187" i="10"/>
  <c r="DE187" i="10"/>
  <c r="BU187" i="10"/>
  <c r="Z187" i="10"/>
  <c r="BR187" i="10"/>
  <c r="CR187" i="10"/>
  <c r="AP187" i="10"/>
  <c r="DG187" i="10"/>
  <c r="CN187" i="10"/>
  <c r="BK187" i="10"/>
  <c r="CL187" i="10"/>
  <c r="DH187" i="10"/>
  <c r="CB187" i="10"/>
  <c r="CZ187" i="10"/>
  <c r="M187" i="10"/>
  <c r="BZ187" i="10"/>
  <c r="AE187" i="10"/>
  <c r="CE187" i="10"/>
  <c r="BN187" i="10"/>
  <c r="CX187" i="10"/>
  <c r="CH187" i="10"/>
  <c r="AM187" i="10"/>
  <c r="GF5" i="1"/>
  <c r="GF9" i="1" s="1"/>
  <c r="GF7" i="1" l="1"/>
  <c r="B188" i="10" l="1"/>
  <c r="GF8" i="1"/>
  <c r="GG6" i="1"/>
  <c r="GG2" i="1"/>
  <c r="GG10" i="1" s="1"/>
  <c r="GG5" i="1" l="1"/>
  <c r="GG9" i="1" s="1"/>
  <c r="CQ188" i="10"/>
  <c r="F188" i="10"/>
  <c r="CK188" i="10"/>
  <c r="CA188" i="10"/>
  <c r="BP188" i="10"/>
  <c r="BL188" i="10"/>
  <c r="AT188" i="10"/>
  <c r="AK188" i="10"/>
  <c r="BV188" i="10"/>
  <c r="BK188" i="10"/>
  <c r="AF188" i="10"/>
  <c r="V188" i="10"/>
  <c r="CM188" i="10"/>
  <c r="CV188" i="10"/>
  <c r="BH188" i="10"/>
  <c r="S188" i="10"/>
  <c r="R188" i="10"/>
  <c r="C188" i="10"/>
  <c r="AR188" i="10"/>
  <c r="CB188" i="10"/>
  <c r="AH188" i="10"/>
  <c r="CR188" i="10"/>
  <c r="BB188" i="10"/>
  <c r="DH188" i="10"/>
  <c r="DJ188" i="10"/>
  <c r="BA188" i="10"/>
  <c r="CY188" i="10"/>
  <c r="BI188" i="10"/>
  <c r="BY188" i="10"/>
  <c r="AN188" i="10"/>
  <c r="DA188" i="10"/>
  <c r="AA188" i="10"/>
  <c r="T188" i="10"/>
  <c r="BS188" i="10"/>
  <c r="CS188" i="10"/>
  <c r="G188" i="10"/>
  <c r="BE188" i="10"/>
  <c r="BW188" i="10"/>
  <c r="N188" i="10"/>
  <c r="DC188" i="10"/>
  <c r="CZ188" i="10"/>
  <c r="P188" i="10"/>
  <c r="AC188" i="10"/>
  <c r="AO188" i="10"/>
  <c r="CO188" i="10"/>
  <c r="DD188" i="10"/>
  <c r="K188" i="10"/>
  <c r="BD188" i="10"/>
  <c r="CX188" i="10"/>
  <c r="L188" i="10"/>
  <c r="AJ188" i="10"/>
  <c r="BG188" i="10"/>
  <c r="E188" i="10"/>
  <c r="I188" i="10"/>
  <c r="CG188" i="10"/>
  <c r="CI188" i="10"/>
  <c r="AQ188" i="10"/>
  <c r="BJ188" i="10"/>
  <c r="AD188" i="10"/>
  <c r="AG188" i="10"/>
  <c r="CW188" i="10"/>
  <c r="BX188" i="10"/>
  <c r="AY188" i="10"/>
  <c r="BQ188" i="10"/>
  <c r="BN188" i="10"/>
  <c r="CP188" i="10"/>
  <c r="BZ188" i="10"/>
  <c r="X188" i="10"/>
  <c r="CF188" i="10"/>
  <c r="Z188" i="10"/>
  <c r="H188" i="10"/>
  <c r="W188" i="10"/>
  <c r="AW188" i="10"/>
  <c r="AZ188" i="10"/>
  <c r="Y188" i="10"/>
  <c r="BO188" i="10"/>
  <c r="CC188" i="10"/>
  <c r="DK188" i="10"/>
  <c r="DB188" i="10"/>
  <c r="BC188" i="10"/>
  <c r="AL188" i="10"/>
  <c r="AV188" i="10"/>
  <c r="Q188" i="10"/>
  <c r="DE188" i="10"/>
  <c r="CT188" i="10"/>
  <c r="AS188" i="10"/>
  <c r="CE188" i="10"/>
  <c r="CJ188" i="10"/>
  <c r="BT188" i="10"/>
  <c r="AU188" i="10"/>
  <c r="O188" i="10"/>
  <c r="CN188" i="10"/>
  <c r="DG188" i="10"/>
  <c r="DI188" i="10"/>
  <c r="J188" i="10"/>
  <c r="BR188" i="10"/>
  <c r="BM188" i="10"/>
  <c r="CL188" i="10"/>
  <c r="AI188" i="10"/>
  <c r="M188" i="10"/>
  <c r="BF188" i="10"/>
  <c r="AP188" i="10"/>
  <c r="U188" i="10"/>
  <c r="CD188" i="10"/>
  <c r="AX188" i="10"/>
  <c r="CU188" i="10"/>
  <c r="AE188" i="10"/>
  <c r="AB188" i="10"/>
  <c r="CH188" i="10"/>
  <c r="BU188" i="10"/>
  <c r="D188" i="10"/>
  <c r="AM188" i="10"/>
  <c r="DF188" i="10"/>
  <c r="GG7" i="1" l="1"/>
  <c r="GH6" i="1" l="1"/>
  <c r="B189" i="10"/>
  <c r="GG8" i="1"/>
  <c r="GH2" i="1"/>
  <c r="GH10" i="1" s="1"/>
  <c r="AG189" i="10" l="1"/>
  <c r="CY189" i="10"/>
  <c r="AC189" i="10"/>
  <c r="AR189" i="10"/>
  <c r="R189" i="10"/>
  <c r="BC189" i="10"/>
  <c r="CN189" i="10"/>
  <c r="BI189" i="10"/>
  <c r="DB189" i="10"/>
  <c r="AQ189" i="10"/>
  <c r="AA189" i="10"/>
  <c r="BS189" i="10"/>
  <c r="AK189" i="10"/>
  <c r="BH189" i="10"/>
  <c r="CJ189" i="10"/>
  <c r="BU189" i="10"/>
  <c r="AE189" i="10"/>
  <c r="N189" i="10"/>
  <c r="Z189" i="10"/>
  <c r="DC189" i="10"/>
  <c r="CG189" i="10"/>
  <c r="BK189" i="10"/>
  <c r="BR189" i="10"/>
  <c r="CL189" i="10"/>
  <c r="AN189" i="10"/>
  <c r="DD189" i="10"/>
  <c r="CM189" i="10"/>
  <c r="F189" i="10"/>
  <c r="BA189" i="10"/>
  <c r="CU189" i="10"/>
  <c r="BN189" i="10"/>
  <c r="BY189" i="10"/>
  <c r="DI189" i="10"/>
  <c r="DA189" i="10"/>
  <c r="DJ189" i="10"/>
  <c r="CW189" i="10"/>
  <c r="CI189" i="10"/>
  <c r="L189" i="10"/>
  <c r="BF189" i="10"/>
  <c r="DF189" i="10"/>
  <c r="BW189" i="10"/>
  <c r="CB189" i="10"/>
  <c r="AF189" i="10"/>
  <c r="DG189" i="10"/>
  <c r="Y189" i="10"/>
  <c r="BM189" i="10"/>
  <c r="BP189" i="10"/>
  <c r="I189" i="10"/>
  <c r="CC189" i="10"/>
  <c r="CR189" i="10"/>
  <c r="X189" i="10"/>
  <c r="BV189" i="10"/>
  <c r="CX189" i="10"/>
  <c r="T189" i="10"/>
  <c r="V189" i="10"/>
  <c r="AJ189" i="10"/>
  <c r="H189" i="10"/>
  <c r="AW189" i="10"/>
  <c r="AI189" i="10"/>
  <c r="K189" i="10"/>
  <c r="CT189" i="10"/>
  <c r="Q189" i="10"/>
  <c r="BO189" i="10"/>
  <c r="CO189" i="10"/>
  <c r="AM189" i="10"/>
  <c r="DH189" i="10"/>
  <c r="AT189" i="10"/>
  <c r="C189" i="10"/>
  <c r="W189" i="10"/>
  <c r="CQ189" i="10"/>
  <c r="CK189" i="10"/>
  <c r="BB189" i="10"/>
  <c r="BJ189" i="10"/>
  <c r="J189" i="10"/>
  <c r="BL189" i="10"/>
  <c r="CE189" i="10"/>
  <c r="O189" i="10"/>
  <c r="BQ189" i="10"/>
  <c r="AZ189" i="10"/>
  <c r="DE189" i="10"/>
  <c r="CS189" i="10"/>
  <c r="DK189" i="10"/>
  <c r="AH189" i="10"/>
  <c r="U189" i="10"/>
  <c r="D189" i="10"/>
  <c r="BG189" i="10"/>
  <c r="AV189" i="10"/>
  <c r="AU189" i="10"/>
  <c r="BZ189" i="10"/>
  <c r="CP189" i="10"/>
  <c r="M189" i="10"/>
  <c r="BD189" i="10"/>
  <c r="BT189" i="10"/>
  <c r="BX189" i="10"/>
  <c r="CA189" i="10"/>
  <c r="AY189" i="10"/>
  <c r="AP189" i="10"/>
  <c r="G189" i="10"/>
  <c r="CZ189" i="10"/>
  <c r="CV189" i="10"/>
  <c r="AD189" i="10"/>
  <c r="AS189" i="10"/>
  <c r="S189" i="10"/>
  <c r="AX189" i="10"/>
  <c r="AB189" i="10"/>
  <c r="CH189" i="10"/>
  <c r="AO189" i="10"/>
  <c r="CF189" i="10"/>
  <c r="E189" i="10"/>
  <c r="P189" i="10"/>
  <c r="BE189" i="10"/>
  <c r="CD189" i="10"/>
  <c r="AL189" i="10"/>
  <c r="GH5" i="1"/>
  <c r="GH9" i="1" s="1"/>
  <c r="GH7" i="1" l="1"/>
  <c r="B190" i="10" l="1"/>
  <c r="GH8" i="1"/>
  <c r="GI6" i="1"/>
  <c r="GI2" i="1"/>
  <c r="GI10" i="1" s="1"/>
  <c r="GI5" i="1" l="1"/>
  <c r="GI9" i="1" s="1"/>
  <c r="CT190" i="10"/>
  <c r="CS190" i="10"/>
  <c r="DI190" i="10"/>
  <c r="BR190" i="10"/>
  <c r="AD190" i="10"/>
  <c r="AU190" i="10"/>
  <c r="O190" i="10"/>
  <c r="CL190" i="10"/>
  <c r="BM190" i="10"/>
  <c r="P190" i="10"/>
  <c r="W190" i="10"/>
  <c r="BS190" i="10"/>
  <c r="DA190" i="10"/>
  <c r="BH190" i="10"/>
  <c r="AS190" i="10"/>
  <c r="CA190" i="10"/>
  <c r="T190" i="10"/>
  <c r="J190" i="10"/>
  <c r="H190" i="10"/>
  <c r="CO190" i="10"/>
  <c r="AQ190" i="10"/>
  <c r="BG190" i="10"/>
  <c r="CH190" i="10"/>
  <c r="CG190" i="10"/>
  <c r="R190" i="10"/>
  <c r="AB190" i="10"/>
  <c r="CE190" i="10"/>
  <c r="BA190" i="10"/>
  <c r="CM190" i="10"/>
  <c r="DH190" i="10"/>
  <c r="DB190" i="10"/>
  <c r="CB190" i="10"/>
  <c r="CK190" i="10"/>
  <c r="BI190" i="10"/>
  <c r="BL190" i="10"/>
  <c r="BT190" i="10"/>
  <c r="Z190" i="10"/>
  <c r="AN190" i="10"/>
  <c r="CZ190" i="10"/>
  <c r="AZ190" i="10"/>
  <c r="CQ190" i="10"/>
  <c r="DG190" i="10"/>
  <c r="CY190" i="10"/>
  <c r="BV190" i="10"/>
  <c r="AG190" i="10"/>
  <c r="AV190" i="10"/>
  <c r="AA190" i="10"/>
  <c r="F190" i="10"/>
  <c r="BO190" i="10"/>
  <c r="BP190" i="10"/>
  <c r="I190" i="10"/>
  <c r="D190" i="10"/>
  <c r="AX190" i="10"/>
  <c r="CV190" i="10"/>
  <c r="BZ190" i="10"/>
  <c r="L190" i="10"/>
  <c r="CN190" i="10"/>
  <c r="CC190" i="10"/>
  <c r="DF190" i="10"/>
  <c r="V190" i="10"/>
  <c r="AO190" i="10"/>
  <c r="CD190" i="10"/>
  <c r="BW190" i="10"/>
  <c r="N190" i="10"/>
  <c r="AR190" i="10"/>
  <c r="BD190" i="10"/>
  <c r="E190" i="10"/>
  <c r="S190" i="10"/>
  <c r="X190" i="10"/>
  <c r="AL190" i="10"/>
  <c r="AP190" i="10"/>
  <c r="CF190" i="10"/>
  <c r="AT190" i="10"/>
  <c r="BQ190" i="10"/>
  <c r="CP190" i="10"/>
  <c r="DK190" i="10"/>
  <c r="BF190" i="10"/>
  <c r="AW190" i="10"/>
  <c r="AM190" i="10"/>
  <c r="DC190" i="10"/>
  <c r="BK190" i="10"/>
  <c r="DD190" i="10"/>
  <c r="CU190" i="10"/>
  <c r="AC190" i="10"/>
  <c r="AI190" i="10"/>
  <c r="BX190" i="10"/>
  <c r="G190" i="10"/>
  <c r="U190" i="10"/>
  <c r="Q190" i="10"/>
  <c r="BY190" i="10"/>
  <c r="AY190" i="10"/>
  <c r="CJ190" i="10"/>
  <c r="M190" i="10"/>
  <c r="K190" i="10"/>
  <c r="AH190" i="10"/>
  <c r="AJ190" i="10"/>
  <c r="DJ190" i="10"/>
  <c r="CI190" i="10"/>
  <c r="BB190" i="10"/>
  <c r="C190" i="10"/>
  <c r="AF190" i="10"/>
  <c r="CW190" i="10"/>
  <c r="CX190" i="10"/>
  <c r="BU190" i="10"/>
  <c r="Y190" i="10"/>
  <c r="BE190" i="10"/>
  <c r="BN190" i="10"/>
  <c r="DE190" i="10"/>
  <c r="CR190" i="10"/>
  <c r="BJ190" i="10"/>
  <c r="AE190" i="10"/>
  <c r="AK190" i="10"/>
  <c r="BC190" i="10"/>
  <c r="GI7" i="1" l="1"/>
  <c r="GJ2" i="1" l="1"/>
  <c r="GJ5" i="1" s="1"/>
  <c r="GJ9" i="1" s="1"/>
  <c r="B191" i="10"/>
  <c r="GJ6" i="1"/>
  <c r="GI8" i="1"/>
  <c r="GJ10" i="1"/>
  <c r="GJ7" i="1" l="1"/>
  <c r="CM191" i="10"/>
  <c r="M191" i="10"/>
  <c r="AD191" i="10"/>
  <c r="AE191" i="10"/>
  <c r="CV191" i="10"/>
  <c r="CT191" i="10"/>
  <c r="AO191" i="10"/>
  <c r="U191" i="10"/>
  <c r="BL191" i="10"/>
  <c r="BB191" i="10"/>
  <c r="BI191" i="10"/>
  <c r="CY191" i="10"/>
  <c r="DJ191" i="10"/>
  <c r="CK191" i="10"/>
  <c r="AV191" i="10"/>
  <c r="AY191" i="10"/>
  <c r="P191" i="10"/>
  <c r="AB191" i="10"/>
  <c r="CB191" i="10"/>
  <c r="W191" i="10"/>
  <c r="AX191" i="10"/>
  <c r="AQ191" i="10"/>
  <c r="AF191" i="10"/>
  <c r="DG191" i="10"/>
  <c r="DE191" i="10"/>
  <c r="BJ191" i="10"/>
  <c r="AT191" i="10"/>
  <c r="BW191" i="10"/>
  <c r="CR191" i="10"/>
  <c r="AC191" i="10"/>
  <c r="CX191" i="10"/>
  <c r="AA191" i="10"/>
  <c r="CN191" i="10"/>
  <c r="CJ191" i="10"/>
  <c r="BR191" i="10"/>
  <c r="BQ191" i="10"/>
  <c r="BU191" i="10"/>
  <c r="S191" i="10"/>
  <c r="DD191" i="10"/>
  <c r="AN191" i="10"/>
  <c r="BO191" i="10"/>
  <c r="CD191" i="10"/>
  <c r="AI191" i="10"/>
  <c r="CP191" i="10"/>
  <c r="F191" i="10"/>
  <c r="X191" i="10"/>
  <c r="BM191" i="10"/>
  <c r="CS191" i="10"/>
  <c r="AJ191" i="10"/>
  <c r="BE191" i="10"/>
  <c r="T191" i="10"/>
  <c r="AW191" i="10"/>
  <c r="AM191" i="10"/>
  <c r="BC191" i="10"/>
  <c r="DA191" i="10"/>
  <c r="BA191" i="10"/>
  <c r="CG191" i="10"/>
  <c r="DF191" i="10"/>
  <c r="BP191" i="10"/>
  <c r="CE191" i="10"/>
  <c r="R191" i="10"/>
  <c r="H191" i="10"/>
  <c r="BV191" i="10"/>
  <c r="BG191" i="10"/>
  <c r="N191" i="10"/>
  <c r="BN191" i="10"/>
  <c r="J191" i="10"/>
  <c r="C191" i="10"/>
  <c r="AZ191" i="10"/>
  <c r="CF191" i="10"/>
  <c r="BS191" i="10"/>
  <c r="AS191" i="10"/>
  <c r="AK191" i="10"/>
  <c r="CI191" i="10"/>
  <c r="D191" i="10"/>
  <c r="BF191" i="10"/>
  <c r="Y191" i="10"/>
  <c r="V191" i="10"/>
  <c r="AL191" i="10"/>
  <c r="DH191" i="10"/>
  <c r="DC191" i="10"/>
  <c r="CQ191" i="10"/>
  <c r="AH191" i="10"/>
  <c r="L191" i="10"/>
  <c r="BY191" i="10"/>
  <c r="K191" i="10"/>
  <c r="BH191" i="10"/>
  <c r="BK191" i="10"/>
  <c r="DI191" i="10"/>
  <c r="CO191" i="10"/>
  <c r="DB191" i="10"/>
  <c r="BZ191" i="10"/>
  <c r="AU191" i="10"/>
  <c r="BD191" i="10"/>
  <c r="CC191" i="10"/>
  <c r="G191" i="10"/>
  <c r="BT191" i="10"/>
  <c r="CA191" i="10"/>
  <c r="Z191" i="10"/>
  <c r="CZ191" i="10"/>
  <c r="AR191" i="10"/>
  <c r="AP191" i="10"/>
  <c r="BX191" i="10"/>
  <c r="AG191" i="10"/>
  <c r="CW191" i="10"/>
  <c r="Q191" i="10"/>
  <c r="O191" i="10"/>
  <c r="CU191" i="10"/>
  <c r="E191" i="10"/>
  <c r="I191" i="10"/>
  <c r="CH191" i="10"/>
  <c r="CL191" i="10"/>
  <c r="DK191" i="10"/>
  <c r="B192" i="10" l="1"/>
  <c r="GK6" i="1"/>
  <c r="GJ8" i="1"/>
  <c r="GK2" i="1"/>
  <c r="GK10" i="1" s="1"/>
  <c r="CS192" i="10" l="1"/>
  <c r="AG192" i="10"/>
  <c r="BK192" i="10"/>
  <c r="BB192" i="10"/>
  <c r="BU192" i="10"/>
  <c r="V192" i="10"/>
  <c r="AA192" i="10"/>
  <c r="BN192" i="10"/>
  <c r="CR192" i="10"/>
  <c r="DC192" i="10"/>
  <c r="CK192" i="10"/>
  <c r="Q192" i="10"/>
  <c r="DB192" i="10"/>
  <c r="X192" i="10"/>
  <c r="AC192" i="10"/>
  <c r="I192" i="10"/>
  <c r="R192" i="10"/>
  <c r="P192" i="10"/>
  <c r="D192" i="10"/>
  <c r="G192" i="10"/>
  <c r="BO192" i="10"/>
  <c r="BD192" i="10"/>
  <c r="BF192" i="10"/>
  <c r="AR192" i="10"/>
  <c r="CW192" i="10"/>
  <c r="CO192" i="10"/>
  <c r="U192" i="10"/>
  <c r="BE192" i="10"/>
  <c r="T192" i="10"/>
  <c r="CN192" i="10"/>
  <c r="S192" i="10"/>
  <c r="K192" i="10"/>
  <c r="BZ192" i="10"/>
  <c r="DA192" i="10"/>
  <c r="AN192" i="10"/>
  <c r="BH192" i="10"/>
  <c r="AF192" i="10"/>
  <c r="CJ192" i="10"/>
  <c r="BG192" i="10"/>
  <c r="BM192" i="10"/>
  <c r="AL192" i="10"/>
  <c r="CZ192" i="10"/>
  <c r="CL192" i="10"/>
  <c r="DG192" i="10"/>
  <c r="AO192" i="10"/>
  <c r="DF192" i="10"/>
  <c r="AM192" i="10"/>
  <c r="BW192" i="10"/>
  <c r="O192" i="10"/>
  <c r="AZ192" i="10"/>
  <c r="E192" i="10"/>
  <c r="CD192" i="10"/>
  <c r="BQ192" i="10"/>
  <c r="CQ192" i="10"/>
  <c r="CY192" i="10"/>
  <c r="AU192" i="10"/>
  <c r="BP192" i="10"/>
  <c r="BC192" i="10"/>
  <c r="CV192" i="10"/>
  <c r="CX192" i="10"/>
  <c r="CA192" i="10"/>
  <c r="AK192" i="10"/>
  <c r="CP192" i="10"/>
  <c r="BY192" i="10"/>
  <c r="N192" i="10"/>
  <c r="CT192" i="10"/>
  <c r="AP192" i="10"/>
  <c r="AJ192" i="10"/>
  <c r="CE192" i="10"/>
  <c r="CH192" i="10"/>
  <c r="AX192" i="10"/>
  <c r="CI192" i="10"/>
  <c r="DE192" i="10"/>
  <c r="CB192" i="10"/>
  <c r="BI192" i="10"/>
  <c r="BX192" i="10"/>
  <c r="Y192" i="10"/>
  <c r="CC192" i="10"/>
  <c r="CM192" i="10"/>
  <c r="M192" i="10"/>
  <c r="BL192" i="10"/>
  <c r="BS192" i="10"/>
  <c r="DH192" i="10"/>
  <c r="AV192" i="10"/>
  <c r="F192" i="10"/>
  <c r="AD192" i="10"/>
  <c r="BJ192" i="10"/>
  <c r="J192" i="10"/>
  <c r="DK192" i="10"/>
  <c r="DI192" i="10"/>
  <c r="BT192" i="10"/>
  <c r="BA192" i="10"/>
  <c r="AQ192" i="10"/>
  <c r="DJ192" i="10"/>
  <c r="BR192" i="10"/>
  <c r="AE192" i="10"/>
  <c r="AS192" i="10"/>
  <c r="CG192" i="10"/>
  <c r="CU192" i="10"/>
  <c r="L192" i="10"/>
  <c r="AY192" i="10"/>
  <c r="BV192" i="10"/>
  <c r="W192" i="10"/>
  <c r="AH192" i="10"/>
  <c r="DD192" i="10"/>
  <c r="H192" i="10"/>
  <c r="AW192" i="10"/>
  <c r="C192" i="10"/>
  <c r="AI192" i="10"/>
  <c r="Z192" i="10"/>
  <c r="AB192" i="10"/>
  <c r="CF192" i="10"/>
  <c r="AT192" i="10"/>
  <c r="GK5" i="1"/>
  <c r="GK9" i="1" s="1"/>
  <c r="GK7" i="1" l="1"/>
  <c r="B193" i="10" l="1"/>
  <c r="GK8" i="1"/>
  <c r="GL6" i="1"/>
  <c r="GL2" i="1"/>
  <c r="GL10" i="1" s="1"/>
  <c r="GL5" i="1" l="1"/>
  <c r="GL9" i="1" s="1"/>
  <c r="AO193" i="10"/>
  <c r="O193" i="10"/>
  <c r="BT193" i="10"/>
  <c r="BZ193" i="10"/>
  <c r="P193" i="10"/>
  <c r="CG193" i="10"/>
  <c r="R193" i="10"/>
  <c r="BS193" i="10"/>
  <c r="CR193" i="10"/>
  <c r="CH193" i="10"/>
  <c r="DK193" i="10"/>
  <c r="G193" i="10"/>
  <c r="AX193" i="10"/>
  <c r="AE193" i="10"/>
  <c r="M193" i="10"/>
  <c r="BR193" i="10"/>
  <c r="CD193" i="10"/>
  <c r="CO193" i="10"/>
  <c r="CZ193" i="10"/>
  <c r="CP193" i="10"/>
  <c r="CQ193" i="10"/>
  <c r="AT193" i="10"/>
  <c r="BU193" i="10"/>
  <c r="DF193" i="10"/>
  <c r="AS193" i="10"/>
  <c r="AJ193" i="10"/>
  <c r="K193" i="10"/>
  <c r="CE193" i="10"/>
  <c r="CM193" i="10"/>
  <c r="DH193" i="10"/>
  <c r="BI193" i="10"/>
  <c r="DI193" i="10"/>
  <c r="AZ193" i="10"/>
  <c r="CU193" i="10"/>
  <c r="CF193" i="10"/>
  <c r="Y193" i="10"/>
  <c r="AF193" i="10"/>
  <c r="U193" i="10"/>
  <c r="AY193" i="10"/>
  <c r="AI193" i="10"/>
  <c r="BH193" i="10"/>
  <c r="BC193" i="10"/>
  <c r="X193" i="10"/>
  <c r="D193" i="10"/>
  <c r="BP193" i="10"/>
  <c r="AD193" i="10"/>
  <c r="AM193" i="10"/>
  <c r="CY193" i="10"/>
  <c r="AK193" i="10"/>
  <c r="CK193" i="10"/>
  <c r="BN193" i="10"/>
  <c r="BD193" i="10"/>
  <c r="J193" i="10"/>
  <c r="CC193" i="10"/>
  <c r="H193" i="10"/>
  <c r="CW193" i="10"/>
  <c r="V193" i="10"/>
  <c r="AR193" i="10"/>
  <c r="DA193" i="10"/>
  <c r="Q193" i="10"/>
  <c r="BO193" i="10"/>
  <c r="BX193" i="10"/>
  <c r="BA193" i="10"/>
  <c r="AQ193" i="10"/>
  <c r="BJ193" i="10"/>
  <c r="BB193" i="10"/>
  <c r="AB193" i="10"/>
  <c r="CL193" i="10"/>
  <c r="CJ193" i="10"/>
  <c r="AV193" i="10"/>
  <c r="E193" i="10"/>
  <c r="AH193" i="10"/>
  <c r="BE193" i="10"/>
  <c r="BK193" i="10"/>
  <c r="AU193" i="10"/>
  <c r="I193" i="10"/>
  <c r="F193" i="10"/>
  <c r="DD193" i="10"/>
  <c r="AL193" i="10"/>
  <c r="AA193" i="10"/>
  <c r="AC193" i="10"/>
  <c r="CS193" i="10"/>
  <c r="BW193" i="10"/>
  <c r="Z193" i="10"/>
  <c r="DE193" i="10"/>
  <c r="DB193" i="10"/>
  <c r="AW193" i="10"/>
  <c r="DJ193" i="10"/>
  <c r="CN193" i="10"/>
  <c r="CI193" i="10"/>
  <c r="BV193" i="10"/>
  <c r="CX193" i="10"/>
  <c r="BM193" i="10"/>
  <c r="DG193" i="10"/>
  <c r="BL193" i="10"/>
  <c r="CV193" i="10"/>
  <c r="CA193" i="10"/>
  <c r="BG193" i="10"/>
  <c r="AG193" i="10"/>
  <c r="C193" i="10"/>
  <c r="DC193" i="10"/>
  <c r="S193" i="10"/>
  <c r="AN193" i="10"/>
  <c r="AP193" i="10"/>
  <c r="BQ193" i="10"/>
  <c r="CT193" i="10"/>
  <c r="T193" i="10"/>
  <c r="BY193" i="10"/>
  <c r="CB193" i="10"/>
  <c r="N193" i="10"/>
  <c r="W193" i="10"/>
  <c r="BF193" i="10"/>
  <c r="L193" i="10"/>
  <c r="GL7" i="1" l="1"/>
  <c r="GL8" i="1" l="1"/>
  <c r="B194" i="10"/>
  <c r="GM6" i="1"/>
  <c r="GM2" i="1"/>
  <c r="GM10" i="1" s="1"/>
  <c r="AB194" i="10" l="1"/>
  <c r="D194" i="10"/>
  <c r="AK194" i="10"/>
  <c r="R194" i="10"/>
  <c r="BL194" i="10"/>
  <c r="E194" i="10"/>
  <c r="AN194" i="10"/>
  <c r="DA194" i="10"/>
  <c r="Z194" i="10"/>
  <c r="CS194" i="10"/>
  <c r="AO194" i="10"/>
  <c r="AQ194" i="10"/>
  <c r="AJ194" i="10"/>
  <c r="Y194" i="10"/>
  <c r="BK194" i="10"/>
  <c r="BX194" i="10"/>
  <c r="CB194" i="10"/>
  <c r="BP194" i="10"/>
  <c r="W194" i="10"/>
  <c r="AP194" i="10"/>
  <c r="CI194" i="10"/>
  <c r="Q194" i="10"/>
  <c r="BW194" i="10"/>
  <c r="BO194" i="10"/>
  <c r="BV194" i="10"/>
  <c r="CT194" i="10"/>
  <c r="DD194" i="10"/>
  <c r="AC194" i="10"/>
  <c r="P194" i="10"/>
  <c r="AY194" i="10"/>
  <c r="H194" i="10"/>
  <c r="BC194" i="10"/>
  <c r="CK194" i="10"/>
  <c r="BN194" i="10"/>
  <c r="AE194" i="10"/>
  <c r="BJ194" i="10"/>
  <c r="J194" i="10"/>
  <c r="DC194" i="10"/>
  <c r="DG194" i="10"/>
  <c r="X194" i="10"/>
  <c r="BA194" i="10"/>
  <c r="BZ194" i="10"/>
  <c r="AR194" i="10"/>
  <c r="DH194" i="10"/>
  <c r="DB194" i="10"/>
  <c r="BY194" i="10"/>
  <c r="CY194" i="10"/>
  <c r="BS194" i="10"/>
  <c r="AF194" i="10"/>
  <c r="CX194" i="10"/>
  <c r="BB194" i="10"/>
  <c r="U194" i="10"/>
  <c r="M194" i="10"/>
  <c r="T194" i="10"/>
  <c r="I194" i="10"/>
  <c r="L194" i="10"/>
  <c r="DF194" i="10"/>
  <c r="C194" i="10"/>
  <c r="AD194" i="10"/>
  <c r="V194" i="10"/>
  <c r="BF194" i="10"/>
  <c r="F194" i="10"/>
  <c r="CG194" i="10"/>
  <c r="CF194" i="10"/>
  <c r="CW194" i="10"/>
  <c r="K194" i="10"/>
  <c r="CQ194" i="10"/>
  <c r="CE194" i="10"/>
  <c r="BM194" i="10"/>
  <c r="CH194" i="10"/>
  <c r="CO194" i="10"/>
  <c r="CD194" i="10"/>
  <c r="AV194" i="10"/>
  <c r="BQ194" i="10"/>
  <c r="DI194" i="10"/>
  <c r="AL194" i="10"/>
  <c r="CP194" i="10"/>
  <c r="AI194" i="10"/>
  <c r="N194" i="10"/>
  <c r="CR194" i="10"/>
  <c r="AT194" i="10"/>
  <c r="BT194" i="10"/>
  <c r="DK194" i="10"/>
  <c r="BU194" i="10"/>
  <c r="BR194" i="10"/>
  <c r="BG194" i="10"/>
  <c r="BI194" i="10"/>
  <c r="O194" i="10"/>
  <c r="BH194" i="10"/>
  <c r="BD194" i="10"/>
  <c r="CC194" i="10"/>
  <c r="AX194" i="10"/>
  <c r="AG194" i="10"/>
  <c r="AA194" i="10"/>
  <c r="CA194" i="10"/>
  <c r="AH194" i="10"/>
  <c r="AW194" i="10"/>
  <c r="AS194" i="10"/>
  <c r="G194" i="10"/>
  <c r="S194" i="10"/>
  <c r="AZ194" i="10"/>
  <c r="CV194" i="10"/>
  <c r="CJ194" i="10"/>
  <c r="AM194" i="10"/>
  <c r="CL194" i="10"/>
  <c r="BE194" i="10"/>
  <c r="CZ194" i="10"/>
  <c r="CM194" i="10"/>
  <c r="AU194" i="10"/>
  <c r="DJ194" i="10"/>
  <c r="CN194" i="10"/>
  <c r="CU194" i="10"/>
  <c r="DE194" i="10"/>
  <c r="GM5" i="1"/>
  <c r="GM9" i="1" s="1"/>
  <c r="GM7" i="1" l="1"/>
  <c r="GN2" i="1" l="1"/>
  <c r="GN5" i="1" s="1"/>
  <c r="GN6" i="1"/>
  <c r="GM8" i="1"/>
  <c r="GN10" i="1"/>
  <c r="B195" i="10"/>
  <c r="GN7" i="1" l="1"/>
  <c r="GN9" i="1"/>
  <c r="B196" i="10"/>
  <c r="CF196" i="10" s="1"/>
  <c r="GN8" i="1"/>
  <c r="GO6" i="1"/>
  <c r="CT195" i="10"/>
  <c r="G195" i="10"/>
  <c r="BF195" i="10"/>
  <c r="Y195" i="10"/>
  <c r="BP195" i="10"/>
  <c r="DJ195" i="10"/>
  <c r="CD195" i="10"/>
  <c r="AI195" i="10"/>
  <c r="L195" i="10"/>
  <c r="DE195" i="10"/>
  <c r="BM195" i="10"/>
  <c r="CV195" i="10"/>
  <c r="DH195" i="10"/>
  <c r="P195" i="10"/>
  <c r="CR195" i="10"/>
  <c r="BB195" i="10"/>
  <c r="AJ195" i="10"/>
  <c r="AR195" i="10"/>
  <c r="BC195" i="10"/>
  <c r="CB195" i="10"/>
  <c r="S195" i="10"/>
  <c r="AY195" i="10"/>
  <c r="CL195" i="10"/>
  <c r="CW195" i="10"/>
  <c r="CX195" i="10"/>
  <c r="AC195" i="10"/>
  <c r="CZ195" i="10"/>
  <c r="AA195" i="10"/>
  <c r="BD195" i="10"/>
  <c r="DB195" i="10"/>
  <c r="E195" i="10"/>
  <c r="CJ195" i="10"/>
  <c r="W195" i="10"/>
  <c r="AN195" i="10"/>
  <c r="AG195" i="10"/>
  <c r="BA195" i="10"/>
  <c r="CH195" i="10"/>
  <c r="C195" i="10"/>
  <c r="CO195" i="10"/>
  <c r="AX195" i="10"/>
  <c r="BZ195" i="10"/>
  <c r="CY195" i="10"/>
  <c r="CC195" i="10"/>
  <c r="AL195" i="10"/>
  <c r="V195" i="10"/>
  <c r="DD195" i="10"/>
  <c r="CU195" i="10"/>
  <c r="CG195" i="10"/>
  <c r="BU195" i="10"/>
  <c r="DK195" i="10"/>
  <c r="H195" i="10"/>
  <c r="AD195" i="10"/>
  <c r="AV195" i="10"/>
  <c r="BQ195" i="10"/>
  <c r="BV195" i="10"/>
  <c r="AW195" i="10"/>
  <c r="AO195" i="10"/>
  <c r="CE195" i="10"/>
  <c r="BJ195" i="10"/>
  <c r="CI195" i="10"/>
  <c r="T195" i="10"/>
  <c r="CQ195" i="10"/>
  <c r="DG195" i="10"/>
  <c r="CM195" i="10"/>
  <c r="BG195" i="10"/>
  <c r="BW195" i="10"/>
  <c r="DC195" i="10"/>
  <c r="AZ195" i="10"/>
  <c r="CN195" i="10"/>
  <c r="AQ195" i="10"/>
  <c r="CF195" i="10"/>
  <c r="AE195" i="10"/>
  <c r="AS195" i="10"/>
  <c r="Z195" i="10"/>
  <c r="AB195" i="10"/>
  <c r="BR195" i="10"/>
  <c r="O195" i="10"/>
  <c r="DI195" i="10"/>
  <c r="CA195" i="10"/>
  <c r="J195" i="10"/>
  <c r="BT195" i="10"/>
  <c r="BK195" i="10"/>
  <c r="BN195" i="10"/>
  <c r="BI195" i="10"/>
  <c r="Q195" i="10"/>
  <c r="DA195" i="10"/>
  <c r="CP195" i="10"/>
  <c r="CS195" i="10"/>
  <c r="BO195" i="10"/>
  <c r="BL195" i="10"/>
  <c r="CK195" i="10"/>
  <c r="R195" i="10"/>
  <c r="X195" i="10"/>
  <c r="BE195" i="10"/>
  <c r="AK195" i="10"/>
  <c r="BS195" i="10"/>
  <c r="AM195" i="10"/>
  <c r="BH195" i="10"/>
  <c r="BX195" i="10"/>
  <c r="DF195" i="10"/>
  <c r="AF195" i="10"/>
  <c r="I195" i="10"/>
  <c r="N195" i="10"/>
  <c r="AU195" i="10"/>
  <c r="F195" i="10"/>
  <c r="AT195" i="10"/>
  <c r="AP195" i="10"/>
  <c r="K195" i="10"/>
  <c r="AH195" i="10"/>
  <c r="BY195" i="10"/>
  <c r="U195" i="10"/>
  <c r="M195" i="10"/>
  <c r="D195" i="10"/>
  <c r="AM196" i="10" l="1"/>
  <c r="BY196" i="10"/>
  <c r="CG196" i="10"/>
  <c r="F196" i="10"/>
  <c r="L196" i="10"/>
  <c r="CE196" i="10"/>
  <c r="BR196" i="10"/>
  <c r="BF196" i="10"/>
  <c r="T196" i="10"/>
  <c r="Y196" i="10"/>
  <c r="AJ196" i="10"/>
  <c r="BI196" i="10"/>
  <c r="BK196" i="10"/>
  <c r="DJ196" i="10"/>
  <c r="BX196" i="10"/>
  <c r="AR196" i="10"/>
  <c r="BV196" i="10"/>
  <c r="CJ196" i="10"/>
  <c r="CD196" i="10"/>
  <c r="CW196" i="10"/>
  <c r="P196" i="10"/>
  <c r="DB196" i="10"/>
  <c r="AB196" i="10"/>
  <c r="DK196" i="10"/>
  <c r="X196" i="10"/>
  <c r="AI196" i="10"/>
  <c r="AW196" i="10"/>
  <c r="CC196" i="10"/>
  <c r="CY196" i="10"/>
  <c r="DE196" i="10"/>
  <c r="BG196" i="10"/>
  <c r="DF196" i="10"/>
  <c r="I196" i="10"/>
  <c r="AD196" i="10"/>
  <c r="CX196" i="10"/>
  <c r="AP196" i="10"/>
  <c r="J196" i="10"/>
  <c r="CB196" i="10"/>
  <c r="CS196" i="10"/>
  <c r="M196" i="10"/>
  <c r="BN196" i="10"/>
  <c r="AQ196" i="10"/>
  <c r="BS196" i="10"/>
  <c r="DG196" i="10"/>
  <c r="CQ196" i="10"/>
  <c r="BJ196" i="10"/>
  <c r="CT196" i="10"/>
  <c r="AA196" i="10"/>
  <c r="BZ196" i="10"/>
  <c r="U196" i="10"/>
  <c r="BW196" i="10"/>
  <c r="AN196" i="10"/>
  <c r="BL196" i="10"/>
  <c r="AH196" i="10"/>
  <c r="BD196" i="10"/>
  <c r="AY196" i="10"/>
  <c r="S196" i="10"/>
  <c r="DI196" i="10"/>
  <c r="Q196" i="10"/>
  <c r="BA196" i="10"/>
  <c r="BQ196" i="10"/>
  <c r="BH196" i="10"/>
  <c r="AF196" i="10"/>
  <c r="BE196" i="10"/>
  <c r="AC196" i="10"/>
  <c r="D196" i="10"/>
  <c r="CA196" i="10"/>
  <c r="AO196" i="10"/>
  <c r="CZ196" i="10"/>
  <c r="DC196" i="10"/>
  <c r="AX196" i="10"/>
  <c r="N196" i="10"/>
  <c r="CP196" i="10"/>
  <c r="CK196" i="10"/>
  <c r="G196" i="10"/>
  <c r="K196" i="10"/>
  <c r="W196" i="10"/>
  <c r="AV196" i="10"/>
  <c r="CN196" i="10"/>
  <c r="CH196" i="10"/>
  <c r="DD196" i="10"/>
  <c r="CV196" i="10"/>
  <c r="BB196" i="10"/>
  <c r="AZ196" i="10"/>
  <c r="DA196" i="10"/>
  <c r="AS196" i="10"/>
  <c r="CI196" i="10"/>
  <c r="R196" i="10"/>
  <c r="BU196" i="10"/>
  <c r="BM196" i="10"/>
  <c r="AE196" i="10"/>
  <c r="BT196" i="10"/>
  <c r="C196" i="10"/>
  <c r="BP196" i="10"/>
  <c r="AK196" i="10"/>
  <c r="Z196" i="10"/>
  <c r="E196" i="10"/>
  <c r="AT196" i="10"/>
  <c r="O196" i="10"/>
  <c r="AL196" i="10"/>
  <c r="AU196" i="10"/>
  <c r="CO196" i="10"/>
  <c r="BC196" i="10"/>
  <c r="CL196" i="10"/>
  <c r="AG196" i="10"/>
  <c r="BO196" i="10"/>
  <c r="H196" i="10"/>
  <c r="CM196" i="10"/>
  <c r="CR196" i="10"/>
  <c r="DH196" i="10"/>
  <c r="V196" i="10"/>
  <c r="GO2" i="1"/>
  <c r="CU196" i="10"/>
  <c r="GO10" i="1" l="1"/>
  <c r="GO5" i="1"/>
  <c r="GO9" i="1" s="1"/>
  <c r="GO7" i="1" l="1"/>
  <c r="GP6" i="1" s="1"/>
  <c r="GO8" i="1"/>
  <c r="B197" i="10"/>
  <c r="GP2" i="1"/>
  <c r="GP10" i="1" s="1"/>
  <c r="GP5" i="1" l="1"/>
  <c r="GP9" i="1" s="1"/>
  <c r="CP197" i="10"/>
  <c r="BL197" i="10"/>
  <c r="F197" i="10"/>
  <c r="DI197" i="10"/>
  <c r="CF197" i="10"/>
  <c r="BY197" i="10"/>
  <c r="R197" i="10"/>
  <c r="BB197" i="10"/>
  <c r="CU197" i="10"/>
  <c r="AO197" i="10"/>
  <c r="AD197" i="10"/>
  <c r="CB197" i="10"/>
  <c r="DK197" i="10"/>
  <c r="DA197" i="10"/>
  <c r="M197" i="10"/>
  <c r="C197" i="10"/>
  <c r="CV197" i="10"/>
  <c r="AI197" i="10"/>
  <c r="CG197" i="10"/>
  <c r="CZ197" i="10"/>
  <c r="AJ197" i="10"/>
  <c r="U197" i="10"/>
  <c r="DC197" i="10"/>
  <c r="CD197" i="10"/>
  <c r="CJ197" i="10"/>
  <c r="Y197" i="10"/>
  <c r="BS197" i="10"/>
  <c r="AP197" i="10"/>
  <c r="BM197" i="10"/>
  <c r="CS197" i="10"/>
  <c r="AC197" i="10"/>
  <c r="DE197" i="10"/>
  <c r="AK197" i="10"/>
  <c r="X197" i="10"/>
  <c r="AS197" i="10"/>
  <c r="I197" i="10"/>
  <c r="H197" i="10"/>
  <c r="CR197" i="10"/>
  <c r="T197" i="10"/>
  <c r="CM197" i="10"/>
  <c r="O197" i="10"/>
  <c r="AW197" i="10"/>
  <c r="CO197" i="10"/>
  <c r="BX197" i="10"/>
  <c r="BG197" i="10"/>
  <c r="CT197" i="10"/>
  <c r="BC197" i="10"/>
  <c r="K197" i="10"/>
  <c r="AM197" i="10"/>
  <c r="BJ197" i="10"/>
  <c r="CX197" i="10"/>
  <c r="BD197" i="10"/>
  <c r="CC197" i="10"/>
  <c r="AE197" i="10"/>
  <c r="AX197" i="10"/>
  <c r="AQ197" i="10"/>
  <c r="AG197" i="10"/>
  <c r="Q197" i="10"/>
  <c r="BN197" i="10"/>
  <c r="AV197" i="10"/>
  <c r="L197" i="10"/>
  <c r="BR197" i="10"/>
  <c r="DJ197" i="10"/>
  <c r="BF197" i="10"/>
  <c r="CL197" i="10"/>
  <c r="P197" i="10"/>
  <c r="DD197" i="10"/>
  <c r="BQ197" i="10"/>
  <c r="BW197" i="10"/>
  <c r="AU197" i="10"/>
  <c r="CH197" i="10"/>
  <c r="AL197" i="10"/>
  <c r="DB197" i="10"/>
  <c r="AB197" i="10"/>
  <c r="BI197" i="10"/>
  <c r="DF197" i="10"/>
  <c r="AY197" i="10"/>
  <c r="BO197" i="10"/>
  <c r="N197" i="10"/>
  <c r="W197" i="10"/>
  <c r="CN197" i="10"/>
  <c r="Z197" i="10"/>
  <c r="V197" i="10"/>
  <c r="D197" i="10"/>
  <c r="AT197" i="10"/>
  <c r="E197" i="10"/>
  <c r="BT197" i="10"/>
  <c r="BH197" i="10"/>
  <c r="CK197" i="10"/>
  <c r="BE197" i="10"/>
  <c r="BP197" i="10"/>
  <c r="AF197" i="10"/>
  <c r="CW197" i="10"/>
  <c r="CA197" i="10"/>
  <c r="AR197" i="10"/>
  <c r="J197" i="10"/>
  <c r="BK197" i="10"/>
  <c r="CI197" i="10"/>
  <c r="DG197" i="10"/>
  <c r="BZ197" i="10"/>
  <c r="AA197" i="10"/>
  <c r="CY197" i="10"/>
  <c r="G197" i="10"/>
  <c r="BA197" i="10"/>
  <c r="CE197" i="10"/>
  <c r="DH197" i="10"/>
  <c r="AZ197" i="10"/>
  <c r="BV197" i="10"/>
  <c r="AH197" i="10"/>
  <c r="BU197" i="10"/>
  <c r="AN197" i="10"/>
  <c r="S197" i="10"/>
  <c r="CQ197" i="10"/>
  <c r="GP7" i="1" l="1"/>
  <c r="GP8" i="1" s="1"/>
  <c r="GQ2" i="1"/>
  <c r="GQ5" i="1" s="1"/>
  <c r="GQ9" i="1" s="1"/>
  <c r="GQ6" i="1"/>
  <c r="B198" i="10"/>
  <c r="GQ10" i="1"/>
  <c r="GQ7" i="1" l="1"/>
  <c r="CL198" i="10"/>
  <c r="L198" i="10"/>
  <c r="CP198" i="10"/>
  <c r="BP198" i="10"/>
  <c r="AS198" i="10"/>
  <c r="CG198" i="10"/>
  <c r="AM198" i="10"/>
  <c r="BY198" i="10"/>
  <c r="V198" i="10"/>
  <c r="BB198" i="10"/>
  <c r="AU198" i="10"/>
  <c r="BX198" i="10"/>
  <c r="CM198" i="10"/>
  <c r="BD198" i="10"/>
  <c r="CW198" i="10"/>
  <c r="H198" i="10"/>
  <c r="DK198" i="10"/>
  <c r="AQ198" i="10"/>
  <c r="BQ198" i="10"/>
  <c r="AZ198" i="10"/>
  <c r="CF198" i="10"/>
  <c r="AK198" i="10"/>
  <c r="K198" i="10"/>
  <c r="CT198" i="10"/>
  <c r="AA198" i="10"/>
  <c r="S198" i="10"/>
  <c r="CZ198" i="10"/>
  <c r="CS198" i="10"/>
  <c r="AH198" i="10"/>
  <c r="AY198" i="10"/>
  <c r="G198" i="10"/>
  <c r="BN198" i="10"/>
  <c r="BM198" i="10"/>
  <c r="CY198" i="10"/>
  <c r="N198" i="10"/>
  <c r="AL198" i="10"/>
  <c r="BA198" i="10"/>
  <c r="X198" i="10"/>
  <c r="DE198" i="10"/>
  <c r="AG198" i="10"/>
  <c r="DA198" i="10"/>
  <c r="CU198" i="10"/>
  <c r="DF198" i="10"/>
  <c r="AN198" i="10"/>
  <c r="I198" i="10"/>
  <c r="BL198" i="10"/>
  <c r="AJ198" i="10"/>
  <c r="CI198" i="10"/>
  <c r="M198" i="10"/>
  <c r="AB198" i="10"/>
  <c r="CB198" i="10"/>
  <c r="AP198" i="10"/>
  <c r="CR198" i="10"/>
  <c r="BU198" i="10"/>
  <c r="P198" i="10"/>
  <c r="DG198" i="10"/>
  <c r="BH198" i="10"/>
  <c r="C198" i="10"/>
  <c r="BO198" i="10"/>
  <c r="Z198" i="10"/>
  <c r="DD198" i="10"/>
  <c r="CH198" i="10"/>
  <c r="BK198" i="10"/>
  <c r="R198" i="10"/>
  <c r="BJ198" i="10"/>
  <c r="AE198" i="10"/>
  <c r="AW198" i="10"/>
  <c r="U198" i="10"/>
  <c r="Q198" i="10"/>
  <c r="BV198" i="10"/>
  <c r="D198" i="10"/>
  <c r="AR198" i="10"/>
  <c r="BS198" i="10"/>
  <c r="W198" i="10"/>
  <c r="CC198" i="10"/>
  <c r="AI198" i="10"/>
  <c r="CQ198" i="10"/>
  <c r="T198" i="10"/>
  <c r="BW198" i="10"/>
  <c r="CJ198" i="10"/>
  <c r="AC198" i="10"/>
  <c r="CO198" i="10"/>
  <c r="J198" i="10"/>
  <c r="BT198" i="10"/>
  <c r="DH198" i="10"/>
  <c r="DC198" i="10"/>
  <c r="AD198" i="10"/>
  <c r="AO198" i="10"/>
  <c r="BI198" i="10"/>
  <c r="DB198" i="10"/>
  <c r="CV198" i="10"/>
  <c r="DJ198" i="10"/>
  <c r="BR198" i="10"/>
  <c r="AT198" i="10"/>
  <c r="DI198" i="10"/>
  <c r="AF198" i="10"/>
  <c r="BF198" i="10"/>
  <c r="AV198" i="10"/>
  <c r="CN198" i="10"/>
  <c r="Y198" i="10"/>
  <c r="E198" i="10"/>
  <c r="O198" i="10"/>
  <c r="BE198" i="10"/>
  <c r="CX198" i="10"/>
  <c r="CE198" i="10"/>
  <c r="F198" i="10"/>
  <c r="CK198" i="10"/>
  <c r="BG198" i="10"/>
  <c r="BZ198" i="10"/>
  <c r="BC198" i="10"/>
  <c r="CD198" i="10"/>
  <c r="CA198" i="10"/>
  <c r="AX198" i="10"/>
  <c r="GR6" i="1" l="1"/>
  <c r="B199" i="10"/>
  <c r="GQ8" i="1"/>
  <c r="GR2" i="1"/>
  <c r="GR5" i="1" s="1"/>
  <c r="GR9" i="1" s="1"/>
  <c r="GR7" i="1" l="1"/>
  <c r="GR10" i="1"/>
  <c r="CD199" i="10"/>
  <c r="CS199" i="10"/>
  <c r="AV199" i="10"/>
  <c r="CT199" i="10"/>
  <c r="F199" i="10"/>
  <c r="BP199" i="10"/>
  <c r="AA199" i="10"/>
  <c r="BD199" i="10"/>
  <c r="BX199" i="10"/>
  <c r="AN199" i="10"/>
  <c r="DK199" i="10"/>
  <c r="AW199" i="10"/>
  <c r="BI199" i="10"/>
  <c r="BA199" i="10"/>
  <c r="DC199" i="10"/>
  <c r="AP199" i="10"/>
  <c r="AS199" i="10"/>
  <c r="J199" i="10"/>
  <c r="CX199" i="10"/>
  <c r="BO199" i="10"/>
  <c r="BM199" i="10"/>
  <c r="DB199" i="10"/>
  <c r="U199" i="10"/>
  <c r="DD199" i="10"/>
  <c r="CW199" i="10"/>
  <c r="O199" i="10"/>
  <c r="BV199" i="10"/>
  <c r="CI199" i="10"/>
  <c r="CB199" i="10"/>
  <c r="AO199" i="10"/>
  <c r="S199" i="10"/>
  <c r="CF199" i="10"/>
  <c r="AQ199" i="10"/>
  <c r="BK199" i="10"/>
  <c r="CA199" i="10"/>
  <c r="AF199" i="10"/>
  <c r="BL199" i="10"/>
  <c r="DA199" i="10"/>
  <c r="AE199" i="10"/>
  <c r="Y199" i="10"/>
  <c r="BB199" i="10"/>
  <c r="CU199" i="10"/>
  <c r="AT199" i="10"/>
  <c r="DI199" i="10"/>
  <c r="AH199" i="10"/>
  <c r="Q199" i="10"/>
  <c r="CC199" i="10"/>
  <c r="DE199" i="10"/>
  <c r="H199" i="10"/>
  <c r="D199" i="10"/>
  <c r="AB199" i="10"/>
  <c r="CR199" i="10"/>
  <c r="G199" i="10"/>
  <c r="AU199" i="10"/>
  <c r="Z199" i="10"/>
  <c r="V199" i="10"/>
  <c r="X199" i="10"/>
  <c r="DF199" i="10"/>
  <c r="AZ199" i="10"/>
  <c r="I199" i="10"/>
  <c r="CG199" i="10"/>
  <c r="AJ199" i="10"/>
  <c r="CE199" i="10"/>
  <c r="N199" i="10"/>
  <c r="K199" i="10"/>
  <c r="AK199" i="10"/>
  <c r="AI199" i="10"/>
  <c r="DG199" i="10"/>
  <c r="BS199" i="10"/>
  <c r="BH199" i="10"/>
  <c r="DJ199" i="10"/>
  <c r="CN199" i="10"/>
  <c r="CJ199" i="10"/>
  <c r="BZ199" i="10"/>
  <c r="C199" i="10"/>
  <c r="BU199" i="10"/>
  <c r="CY199" i="10"/>
  <c r="CQ199" i="10"/>
  <c r="BE199" i="10"/>
  <c r="AC199" i="10"/>
  <c r="BC199" i="10"/>
  <c r="BG199" i="10"/>
  <c r="AX199" i="10"/>
  <c r="BF199" i="10"/>
  <c r="T199" i="10"/>
  <c r="CK199" i="10"/>
  <c r="CP199" i="10"/>
  <c r="AM199" i="10"/>
  <c r="CO199" i="10"/>
  <c r="AG199" i="10"/>
  <c r="AY199" i="10"/>
  <c r="CM199" i="10"/>
  <c r="L199" i="10"/>
  <c r="R199" i="10"/>
  <c r="BN199" i="10"/>
  <c r="E199" i="10"/>
  <c r="BT199" i="10"/>
  <c r="P199" i="10"/>
  <c r="AL199" i="10"/>
  <c r="CV199" i="10"/>
  <c r="CH199" i="10"/>
  <c r="BR199" i="10"/>
  <c r="BJ199" i="10"/>
  <c r="DH199" i="10"/>
  <c r="W199" i="10"/>
  <c r="BY199" i="10"/>
  <c r="CL199" i="10"/>
  <c r="BW199" i="10"/>
  <c r="CZ199" i="10"/>
  <c r="AD199" i="10"/>
  <c r="BQ199" i="10"/>
  <c r="AR199" i="10"/>
  <c r="M199" i="10"/>
  <c r="GS2" i="1" l="1"/>
  <c r="GS5" i="1" s="1"/>
  <c r="GS9" i="1" s="1"/>
  <c r="B200" i="10"/>
  <c r="GS10" i="1"/>
  <c r="GR8" i="1"/>
  <c r="GS6" i="1"/>
  <c r="GS7" i="1" l="1"/>
  <c r="C200" i="10"/>
  <c r="AA200" i="10"/>
  <c r="AB200" i="10"/>
  <c r="BY200" i="10"/>
  <c r="AK200" i="10"/>
  <c r="DC200" i="10"/>
  <c r="CW200" i="10"/>
  <c r="AF200" i="10"/>
  <c r="CG200" i="10"/>
  <c r="S200" i="10"/>
  <c r="CY200" i="10"/>
  <c r="CB200" i="10"/>
  <c r="DH200" i="10"/>
  <c r="I200" i="10"/>
  <c r="CN200" i="10"/>
  <c r="DF200" i="10"/>
  <c r="AT200" i="10"/>
  <c r="AW200" i="10"/>
  <c r="CD200" i="10"/>
  <c r="CU200" i="10"/>
  <c r="CT200" i="10"/>
  <c r="BG200" i="10"/>
  <c r="AC200" i="10"/>
  <c r="Y200" i="10"/>
  <c r="AL200" i="10"/>
  <c r="CX200" i="10"/>
  <c r="J200" i="10"/>
  <c r="AP200" i="10"/>
  <c r="DE200" i="10"/>
  <c r="AV200" i="10"/>
  <c r="DK200" i="10"/>
  <c r="D200" i="10"/>
  <c r="AS200" i="10"/>
  <c r="BX200" i="10"/>
  <c r="DI200" i="10"/>
  <c r="BW200" i="10"/>
  <c r="CH200" i="10"/>
  <c r="BM200" i="10"/>
  <c r="AZ200" i="10"/>
  <c r="L200" i="10"/>
  <c r="CR200" i="10"/>
  <c r="AN200" i="10"/>
  <c r="K200" i="10"/>
  <c r="AX200" i="10"/>
  <c r="DG200" i="10"/>
  <c r="R200" i="10"/>
  <c r="H200" i="10"/>
  <c r="CP200" i="10"/>
  <c r="DB200" i="10"/>
  <c r="T200" i="10"/>
  <c r="AO200" i="10"/>
  <c r="BB200" i="10"/>
  <c r="AJ200" i="10"/>
  <c r="BJ200" i="10"/>
  <c r="CE200" i="10"/>
  <c r="AQ200" i="10"/>
  <c r="P200" i="10"/>
  <c r="BP200" i="10"/>
  <c r="BZ200" i="10"/>
  <c r="BD200" i="10"/>
  <c r="F200" i="10"/>
  <c r="BU200" i="10"/>
  <c r="BF200" i="10"/>
  <c r="M200" i="10"/>
  <c r="BS200" i="10"/>
  <c r="BN200" i="10"/>
  <c r="CI200" i="10"/>
  <c r="CC200" i="10"/>
  <c r="AU200" i="10"/>
  <c r="CF200" i="10"/>
  <c r="U200" i="10"/>
  <c r="BI200" i="10"/>
  <c r="Z200" i="10"/>
  <c r="CA200" i="10"/>
  <c r="CM200" i="10"/>
  <c r="AM200" i="10"/>
  <c r="G200" i="10"/>
  <c r="BA200" i="10"/>
  <c r="BT200" i="10"/>
  <c r="CV200" i="10"/>
  <c r="CJ200" i="10"/>
  <c r="AD200" i="10"/>
  <c r="BK200" i="10"/>
  <c r="BH200" i="10"/>
  <c r="V200" i="10"/>
  <c r="BR200" i="10"/>
  <c r="BV200" i="10"/>
  <c r="E200" i="10"/>
  <c r="BQ200" i="10"/>
  <c r="AE200" i="10"/>
  <c r="CO200" i="10"/>
  <c r="BL200" i="10"/>
  <c r="BO200" i="10"/>
  <c r="O200" i="10"/>
  <c r="CQ200" i="10"/>
  <c r="CZ200" i="10"/>
  <c r="Q200" i="10"/>
  <c r="DD200" i="10"/>
  <c r="BC200" i="10"/>
  <c r="DA200" i="10"/>
  <c r="N200" i="10"/>
  <c r="AH200" i="10"/>
  <c r="AY200" i="10"/>
  <c r="AR200" i="10"/>
  <c r="CL200" i="10"/>
  <c r="W200" i="10"/>
  <c r="AI200" i="10"/>
  <c r="AG200" i="10"/>
  <c r="CS200" i="10"/>
  <c r="X200" i="10"/>
  <c r="BE200" i="10"/>
  <c r="CK200" i="10"/>
  <c r="DJ200" i="10"/>
  <c r="GS8" i="1" l="1"/>
  <c r="B201" i="10"/>
  <c r="GT6" i="1"/>
  <c r="GT2" i="1"/>
  <c r="GT10" i="1" s="1"/>
  <c r="GT5" i="1" l="1"/>
  <c r="GT9" i="1" s="1"/>
  <c r="CT201" i="10"/>
  <c r="BJ201" i="10"/>
  <c r="CH201" i="10"/>
  <c r="BS201" i="10"/>
  <c r="DI201" i="10"/>
  <c r="CJ201" i="10"/>
  <c r="BX201" i="10"/>
  <c r="AQ201" i="10"/>
  <c r="CB201" i="10"/>
  <c r="AU201" i="10"/>
  <c r="CV201" i="10"/>
  <c r="AV201" i="10"/>
  <c r="CU201" i="10"/>
  <c r="F201" i="10"/>
  <c r="CK201" i="10"/>
  <c r="BL201" i="10"/>
  <c r="BB201" i="10"/>
  <c r="S201" i="10"/>
  <c r="M201" i="10"/>
  <c r="AL201" i="10"/>
  <c r="CO201" i="10"/>
  <c r="DK201" i="10"/>
  <c r="AR201" i="10"/>
  <c r="AC201" i="10"/>
  <c r="BF201" i="10"/>
  <c r="BM201" i="10"/>
  <c r="BC201" i="10"/>
  <c r="CM201" i="10"/>
  <c r="CI201" i="10"/>
  <c r="U201" i="10"/>
  <c r="BK201" i="10"/>
  <c r="C201" i="10"/>
  <c r="AE201" i="10"/>
  <c r="CS201" i="10"/>
  <c r="BP201" i="10"/>
  <c r="K201" i="10"/>
  <c r="AI201" i="10"/>
  <c r="CG201" i="10"/>
  <c r="AP201" i="10"/>
  <c r="DD201" i="10"/>
  <c r="L201" i="10"/>
  <c r="O201" i="10"/>
  <c r="DE201" i="10"/>
  <c r="AN201" i="10"/>
  <c r="AM201" i="10"/>
  <c r="BR201" i="10"/>
  <c r="DB201" i="10"/>
  <c r="AD201" i="10"/>
  <c r="DA201" i="10"/>
  <c r="AJ201" i="10"/>
  <c r="CQ201" i="10"/>
  <c r="DH201" i="10"/>
  <c r="BG201" i="10"/>
  <c r="BZ201" i="10"/>
  <c r="Q201" i="10"/>
  <c r="CX201" i="10"/>
  <c r="AA201" i="10"/>
  <c r="CZ201" i="10"/>
  <c r="BY201" i="10"/>
  <c r="T201" i="10"/>
  <c r="CP201" i="10"/>
  <c r="AF201" i="10"/>
  <c r="BI201" i="10"/>
  <c r="DJ201" i="10"/>
  <c r="V201" i="10"/>
  <c r="CC201" i="10"/>
  <c r="AW201" i="10"/>
  <c r="BV201" i="10"/>
  <c r="BH201" i="10"/>
  <c r="CA201" i="10"/>
  <c r="E201" i="10"/>
  <c r="CN201" i="10"/>
  <c r="AH201" i="10"/>
  <c r="D201" i="10"/>
  <c r="AZ201" i="10"/>
  <c r="CL201" i="10"/>
  <c r="Z201" i="10"/>
  <c r="P201" i="10"/>
  <c r="G201" i="10"/>
  <c r="BN201" i="10"/>
  <c r="BQ201" i="10"/>
  <c r="CW201" i="10"/>
  <c r="R201" i="10"/>
  <c r="AX201" i="10"/>
  <c r="CE201" i="10"/>
  <c r="DG201" i="10"/>
  <c r="X201" i="10"/>
  <c r="AT201" i="10"/>
  <c r="BU201" i="10"/>
  <c r="J201" i="10"/>
  <c r="AK201" i="10"/>
  <c r="BT201" i="10"/>
  <c r="AG201" i="10"/>
  <c r="N201" i="10"/>
  <c r="Y201" i="10"/>
  <c r="DF201" i="10"/>
  <c r="AY201" i="10"/>
  <c r="AB201" i="10"/>
  <c r="W201" i="10"/>
  <c r="BE201" i="10"/>
  <c r="BW201" i="10"/>
  <c r="BD201" i="10"/>
  <c r="H201" i="10"/>
  <c r="BA201" i="10"/>
  <c r="BO201" i="10"/>
  <c r="AO201" i="10"/>
  <c r="CD201" i="10"/>
  <c r="AS201" i="10"/>
  <c r="CY201" i="10"/>
  <c r="DC201" i="10"/>
  <c r="I201" i="10"/>
  <c r="CF201" i="10"/>
  <c r="CR201" i="10"/>
  <c r="GT7" i="1" l="1"/>
  <c r="B202" i="10" l="1"/>
  <c r="GU6" i="1"/>
  <c r="GT8" i="1"/>
  <c r="GU2" i="1"/>
  <c r="GU10" i="1" s="1"/>
  <c r="GU5" i="1" l="1"/>
  <c r="GU9" i="1" s="1"/>
  <c r="CM202" i="10"/>
  <c r="CW202" i="10"/>
  <c r="Q202" i="10"/>
  <c r="T202" i="10"/>
  <c r="AL202" i="10"/>
  <c r="U202" i="10"/>
  <c r="CA202" i="10"/>
  <c r="CU202" i="10"/>
  <c r="AN202" i="10"/>
  <c r="AT202" i="10"/>
  <c r="AQ202" i="10"/>
  <c r="CB202" i="10"/>
  <c r="BF202" i="10"/>
  <c r="CZ202" i="10"/>
  <c r="C202" i="10"/>
  <c r="H202" i="10"/>
  <c r="BT202" i="10"/>
  <c r="BB202" i="10"/>
  <c r="CT202" i="10"/>
  <c r="L202" i="10"/>
  <c r="BJ202" i="10"/>
  <c r="BK202" i="10"/>
  <c r="DC202" i="10"/>
  <c r="I202" i="10"/>
  <c r="AA202" i="10"/>
  <c r="BS202" i="10"/>
  <c r="BD202" i="10"/>
  <c r="BU202" i="10"/>
  <c r="V202" i="10"/>
  <c r="CN202" i="10"/>
  <c r="CV202" i="10"/>
  <c r="F202" i="10"/>
  <c r="AZ202" i="10"/>
  <c r="AY202" i="10"/>
  <c r="Y202" i="10"/>
  <c r="BM202" i="10"/>
  <c r="DB202" i="10"/>
  <c r="AP202" i="10"/>
  <c r="AC202" i="10"/>
  <c r="AX202" i="10"/>
  <c r="CF202" i="10"/>
  <c r="DF202" i="10"/>
  <c r="D202" i="10"/>
  <c r="DJ202" i="10"/>
  <c r="BA202" i="10"/>
  <c r="DG202" i="10"/>
  <c r="N202" i="10"/>
  <c r="Z202" i="10"/>
  <c r="BN202" i="10"/>
  <c r="AO202" i="10"/>
  <c r="CD202" i="10"/>
  <c r="BQ202" i="10"/>
  <c r="AE202" i="10"/>
  <c r="CJ202" i="10"/>
  <c r="AM202" i="10"/>
  <c r="DD202" i="10"/>
  <c r="CP202" i="10"/>
  <c r="BY202" i="10"/>
  <c r="AF202" i="10"/>
  <c r="BX202" i="10"/>
  <c r="DA202" i="10"/>
  <c r="R202" i="10"/>
  <c r="CS202" i="10"/>
  <c r="CO202" i="10"/>
  <c r="AJ202" i="10"/>
  <c r="BH202" i="10"/>
  <c r="AI202" i="10"/>
  <c r="CL202" i="10"/>
  <c r="BZ202" i="10"/>
  <c r="AK202" i="10"/>
  <c r="J202" i="10"/>
  <c r="BR202" i="10"/>
  <c r="DK202" i="10"/>
  <c r="DH202" i="10"/>
  <c r="BO202" i="10"/>
  <c r="P202" i="10"/>
  <c r="BV202" i="10"/>
  <c r="CY202" i="10"/>
  <c r="AV202" i="10"/>
  <c r="AD202" i="10"/>
  <c r="M202" i="10"/>
  <c r="CG202" i="10"/>
  <c r="CR202" i="10"/>
  <c r="BW202" i="10"/>
  <c r="CH202" i="10"/>
  <c r="AR202" i="10"/>
  <c r="W202" i="10"/>
  <c r="DI202" i="10"/>
  <c r="BL202" i="10"/>
  <c r="AB202" i="10"/>
  <c r="CI202" i="10"/>
  <c r="G202" i="10"/>
  <c r="DE202" i="10"/>
  <c r="CK202" i="10"/>
  <c r="CC202" i="10"/>
  <c r="BE202" i="10"/>
  <c r="AH202" i="10"/>
  <c r="E202" i="10"/>
  <c r="CX202" i="10"/>
  <c r="AG202" i="10"/>
  <c r="BP202" i="10"/>
  <c r="AU202" i="10"/>
  <c r="CQ202" i="10"/>
  <c r="AW202" i="10"/>
  <c r="BC202" i="10"/>
  <c r="CE202" i="10"/>
  <c r="AS202" i="10"/>
  <c r="BG202" i="10"/>
  <c r="X202" i="10"/>
  <c r="O202" i="10"/>
  <c r="K202" i="10"/>
  <c r="S202" i="10"/>
  <c r="BI202" i="10"/>
  <c r="GU7" i="1" l="1"/>
  <c r="B203" i="10" l="1"/>
  <c r="GV6" i="1"/>
  <c r="GU8" i="1"/>
  <c r="GV2" i="1"/>
  <c r="GV10" i="1" s="1"/>
  <c r="GV5" i="1" l="1"/>
  <c r="GV9" i="1" s="1"/>
  <c r="AU203" i="10"/>
  <c r="CH203" i="10"/>
  <c r="AZ203" i="10"/>
  <c r="AV203" i="10"/>
  <c r="BL203" i="10"/>
  <c r="BR203" i="10"/>
  <c r="AA203" i="10"/>
  <c r="BP203" i="10"/>
  <c r="T203" i="10"/>
  <c r="CW203" i="10"/>
  <c r="CO203" i="10"/>
  <c r="BQ203" i="10"/>
  <c r="O203" i="10"/>
  <c r="CU203" i="10"/>
  <c r="AR203" i="10"/>
  <c r="F203" i="10"/>
  <c r="BZ203" i="10"/>
  <c r="BB203" i="10"/>
  <c r="DE203" i="10"/>
  <c r="BF203" i="10"/>
  <c r="E203" i="10"/>
  <c r="AG203" i="10"/>
  <c r="DI203" i="10"/>
  <c r="CR203" i="10"/>
  <c r="AL203" i="10"/>
  <c r="DJ203" i="10"/>
  <c r="AE203" i="10"/>
  <c r="AS203" i="10"/>
  <c r="CQ203" i="10"/>
  <c r="CY203" i="10"/>
  <c r="AB203" i="10"/>
  <c r="L203" i="10"/>
  <c r="DA203" i="10"/>
  <c r="K203" i="10"/>
  <c r="BC203" i="10"/>
  <c r="J203" i="10"/>
  <c r="Y203" i="10"/>
  <c r="CC203" i="10"/>
  <c r="AJ203" i="10"/>
  <c r="AT203" i="10"/>
  <c r="CD203" i="10"/>
  <c r="DD203" i="10"/>
  <c r="AC203" i="10"/>
  <c r="BE203" i="10"/>
  <c r="X203" i="10"/>
  <c r="DB203" i="10"/>
  <c r="CP203" i="10"/>
  <c r="BV203" i="10"/>
  <c r="AO203" i="10"/>
  <c r="CM203" i="10"/>
  <c r="BA203" i="10"/>
  <c r="AI203" i="10"/>
  <c r="D203" i="10"/>
  <c r="CZ203" i="10"/>
  <c r="N203" i="10"/>
  <c r="CA203" i="10"/>
  <c r="Z203" i="10"/>
  <c r="BY203" i="10"/>
  <c r="BN203" i="10"/>
  <c r="DF203" i="10"/>
  <c r="CL203" i="10"/>
  <c r="BS203" i="10"/>
  <c r="CV203" i="10"/>
  <c r="M203" i="10"/>
  <c r="AP203" i="10"/>
  <c r="P203" i="10"/>
  <c r="G203" i="10"/>
  <c r="CJ203" i="10"/>
  <c r="CG203" i="10"/>
  <c r="BM203" i="10"/>
  <c r="R203" i="10"/>
  <c r="AX203" i="10"/>
  <c r="BX203" i="10"/>
  <c r="BO203" i="10"/>
  <c r="AD203" i="10"/>
  <c r="CK203" i="10"/>
  <c r="CX203" i="10"/>
  <c r="I203" i="10"/>
  <c r="S203" i="10"/>
  <c r="BG203" i="10"/>
  <c r="AY203" i="10"/>
  <c r="CI203" i="10"/>
  <c r="DK203" i="10"/>
  <c r="BT203" i="10"/>
  <c r="CF203" i="10"/>
  <c r="DG203" i="10"/>
  <c r="BD203" i="10"/>
  <c r="U203" i="10"/>
  <c r="V203" i="10"/>
  <c r="AM203" i="10"/>
  <c r="Q203" i="10"/>
  <c r="AQ203" i="10"/>
  <c r="AK203" i="10"/>
  <c r="AN203" i="10"/>
  <c r="AH203" i="10"/>
  <c r="CE203" i="10"/>
  <c r="BK203" i="10"/>
  <c r="BH203" i="10"/>
  <c r="AF203" i="10"/>
  <c r="BI203" i="10"/>
  <c r="CB203" i="10"/>
  <c r="BU203" i="10"/>
  <c r="CN203" i="10"/>
  <c r="BW203" i="10"/>
  <c r="AW203" i="10"/>
  <c r="H203" i="10"/>
  <c r="W203" i="10"/>
  <c r="CS203" i="10"/>
  <c r="CT203" i="10"/>
  <c r="DH203" i="10"/>
  <c r="C203" i="10"/>
  <c r="DC203" i="10"/>
  <c r="BJ203" i="10"/>
  <c r="GV7" i="1" l="1"/>
  <c r="GW6" i="1" s="1"/>
  <c r="B204" i="10"/>
  <c r="GW2" i="1"/>
  <c r="GW5" i="1" s="1"/>
  <c r="GW9" i="1" s="1"/>
  <c r="GV8" i="1" l="1"/>
  <c r="GW10" i="1"/>
  <c r="GW7" i="1"/>
  <c r="CL204" i="10"/>
  <c r="DC204" i="10"/>
  <c r="CE204" i="10"/>
  <c r="AW204" i="10"/>
  <c r="DJ204" i="10"/>
  <c r="J204" i="10"/>
  <c r="CK204" i="10"/>
  <c r="CF204" i="10"/>
  <c r="X204" i="10"/>
  <c r="CQ204" i="10"/>
  <c r="T204" i="10"/>
  <c r="H204" i="10"/>
  <c r="V204" i="10"/>
  <c r="BG204" i="10"/>
  <c r="BR204" i="10"/>
  <c r="CU204" i="10"/>
  <c r="N204" i="10"/>
  <c r="AB204" i="10"/>
  <c r="DD204" i="10"/>
  <c r="AZ204" i="10"/>
  <c r="CA204" i="10"/>
  <c r="CM204" i="10"/>
  <c r="AA204" i="10"/>
  <c r="AX204" i="10"/>
  <c r="L204" i="10"/>
  <c r="BN204" i="10"/>
  <c r="BH204" i="10"/>
  <c r="BA204" i="10"/>
  <c r="AU204" i="10"/>
  <c r="CJ204" i="10"/>
  <c r="AO204" i="10"/>
  <c r="Q204" i="10"/>
  <c r="CY204" i="10"/>
  <c r="BF204" i="10"/>
  <c r="BM204" i="10"/>
  <c r="AN204" i="10"/>
  <c r="DA204" i="10"/>
  <c r="CS204" i="10"/>
  <c r="AY204" i="10"/>
  <c r="BO204" i="10"/>
  <c r="BQ204" i="10"/>
  <c r="AP204" i="10"/>
  <c r="E204" i="10"/>
  <c r="AI204" i="10"/>
  <c r="BV204" i="10"/>
  <c r="CG204" i="10"/>
  <c r="AS204" i="10"/>
  <c r="DK204" i="10"/>
  <c r="CN204" i="10"/>
  <c r="P204" i="10"/>
  <c r="BC204" i="10"/>
  <c r="CH204" i="10"/>
  <c r="CZ204" i="10"/>
  <c r="AR204" i="10"/>
  <c r="AD204" i="10"/>
  <c r="CC204" i="10"/>
  <c r="CO204" i="10"/>
  <c r="G204" i="10"/>
  <c r="BI204" i="10"/>
  <c r="AJ204" i="10"/>
  <c r="AT204" i="10"/>
  <c r="AV204" i="10"/>
  <c r="AC204" i="10"/>
  <c r="O204" i="10"/>
  <c r="CT204" i="10"/>
  <c r="CP204" i="10"/>
  <c r="BJ204" i="10"/>
  <c r="DB204" i="10"/>
  <c r="D204" i="10"/>
  <c r="AG204" i="10"/>
  <c r="R204" i="10"/>
  <c r="AF204" i="10"/>
  <c r="S204" i="10"/>
  <c r="AK204" i="10"/>
  <c r="F204" i="10"/>
  <c r="CW204" i="10"/>
  <c r="W204" i="10"/>
  <c r="BW204" i="10"/>
  <c r="AH204" i="10"/>
  <c r="BZ204" i="10"/>
  <c r="BU204" i="10"/>
  <c r="AQ204" i="10"/>
  <c r="DI204" i="10"/>
  <c r="BY204" i="10"/>
  <c r="DE204" i="10"/>
  <c r="DH204" i="10"/>
  <c r="CD204" i="10"/>
  <c r="DG204" i="10"/>
  <c r="U204" i="10"/>
  <c r="CX204" i="10"/>
  <c r="BT204" i="10"/>
  <c r="BL204" i="10"/>
  <c r="BE204" i="10"/>
  <c r="BS204" i="10"/>
  <c r="CI204" i="10"/>
  <c r="BD204" i="10"/>
  <c r="AM204" i="10"/>
  <c r="C204" i="10"/>
  <c r="AE204" i="10"/>
  <c r="I204" i="10"/>
  <c r="Y204" i="10"/>
  <c r="AL204" i="10"/>
  <c r="BP204" i="10"/>
  <c r="Z204" i="10"/>
  <c r="M204" i="10"/>
  <c r="K204" i="10"/>
  <c r="DF204" i="10"/>
  <c r="CV204" i="10"/>
  <c r="BX204" i="10"/>
  <c r="BK204" i="10"/>
  <c r="CR204" i="10"/>
  <c r="CB204" i="10"/>
  <c r="BB204" i="10"/>
  <c r="B205" i="10" l="1"/>
  <c r="GW8" i="1"/>
  <c r="GX6" i="1"/>
  <c r="GX2" i="1"/>
  <c r="GX10" i="1" s="1"/>
  <c r="R205" i="10" l="1"/>
  <c r="S205" i="10"/>
  <c r="DA205" i="10"/>
  <c r="AY205" i="10"/>
  <c r="U205" i="10"/>
  <c r="CT205" i="10"/>
  <c r="BX205" i="10"/>
  <c r="F205" i="10"/>
  <c r="BW205" i="10"/>
  <c r="AT205" i="10"/>
  <c r="CX205" i="10"/>
  <c r="AR205" i="10"/>
  <c r="AC205" i="10"/>
  <c r="BF205" i="10"/>
  <c r="N205" i="10"/>
  <c r="CD205" i="10"/>
  <c r="BP205" i="10"/>
  <c r="AU205" i="10"/>
  <c r="AH205" i="10"/>
  <c r="CN205" i="10"/>
  <c r="AI205" i="10"/>
  <c r="BT205" i="10"/>
  <c r="X205" i="10"/>
  <c r="CW205" i="10"/>
  <c r="BY205" i="10"/>
  <c r="AO205" i="10"/>
  <c r="AG205" i="10"/>
  <c r="BZ205" i="10"/>
  <c r="AE205" i="10"/>
  <c r="DG205" i="10"/>
  <c r="AK205" i="10"/>
  <c r="G205" i="10"/>
  <c r="AL205" i="10"/>
  <c r="DB205" i="10"/>
  <c r="M205" i="10"/>
  <c r="DI205" i="10"/>
  <c r="W205" i="10"/>
  <c r="E205" i="10"/>
  <c r="C205" i="10"/>
  <c r="CJ205" i="10"/>
  <c r="BA205" i="10"/>
  <c r="AF205" i="10"/>
  <c r="AS205" i="10"/>
  <c r="AV205" i="10"/>
  <c r="CF205" i="10"/>
  <c r="DJ205" i="10"/>
  <c r="BL205" i="10"/>
  <c r="CA205" i="10"/>
  <c r="BN205" i="10"/>
  <c r="CZ205" i="10"/>
  <c r="D205" i="10"/>
  <c r="CR205" i="10"/>
  <c r="AN205" i="10"/>
  <c r="BK205" i="10"/>
  <c r="CE205" i="10"/>
  <c r="BS205" i="10"/>
  <c r="BC205" i="10"/>
  <c r="Z205" i="10"/>
  <c r="CK205" i="10"/>
  <c r="BI205" i="10"/>
  <c r="AM205" i="10"/>
  <c r="DE205" i="10"/>
  <c r="DK205" i="10"/>
  <c r="T205" i="10"/>
  <c r="H205" i="10"/>
  <c r="CM205" i="10"/>
  <c r="CC205" i="10"/>
  <c r="AW205" i="10"/>
  <c r="DD205" i="10"/>
  <c r="CL205" i="10"/>
  <c r="CG205" i="10"/>
  <c r="CY205" i="10"/>
  <c r="BD205" i="10"/>
  <c r="BV205" i="10"/>
  <c r="O205" i="10"/>
  <c r="BB205" i="10"/>
  <c r="BH205" i="10"/>
  <c r="CI205" i="10"/>
  <c r="AB205" i="10"/>
  <c r="L205" i="10"/>
  <c r="BE205" i="10"/>
  <c r="AZ205" i="10"/>
  <c r="BO205" i="10"/>
  <c r="BJ205" i="10"/>
  <c r="Q205" i="10"/>
  <c r="I205" i="10"/>
  <c r="CS205" i="10"/>
  <c r="BQ205" i="10"/>
  <c r="Y205" i="10"/>
  <c r="AD205" i="10"/>
  <c r="AX205" i="10"/>
  <c r="AP205" i="10"/>
  <c r="CH205" i="10"/>
  <c r="K205" i="10"/>
  <c r="DF205" i="10"/>
  <c r="CU205" i="10"/>
  <c r="DH205" i="10"/>
  <c r="AJ205" i="10"/>
  <c r="CP205" i="10"/>
  <c r="CQ205" i="10"/>
  <c r="BU205" i="10"/>
  <c r="V205" i="10"/>
  <c r="AA205" i="10"/>
  <c r="AQ205" i="10"/>
  <c r="CB205" i="10"/>
  <c r="CV205" i="10"/>
  <c r="BG205" i="10"/>
  <c r="DC205" i="10"/>
  <c r="BR205" i="10"/>
  <c r="J205" i="10"/>
  <c r="CO205" i="10"/>
  <c r="BM205" i="10"/>
  <c r="P205" i="10"/>
  <c r="GX5" i="1"/>
  <c r="GX9" i="1" s="1"/>
  <c r="GX7" i="1" l="1"/>
  <c r="GY6" i="1" l="1"/>
  <c r="GX8" i="1"/>
  <c r="B206" i="10"/>
  <c r="GY2" i="1"/>
  <c r="GY10" i="1" s="1"/>
  <c r="CD206" i="10" l="1"/>
  <c r="BR206" i="10"/>
  <c r="AB206" i="10"/>
  <c r="CB206" i="10"/>
  <c r="CX206" i="10"/>
  <c r="R206" i="10"/>
  <c r="U206" i="10"/>
  <c r="E206" i="10"/>
  <c r="BK206" i="10"/>
  <c r="CS206" i="10"/>
  <c r="H206" i="10"/>
  <c r="DH206" i="10"/>
  <c r="CT206" i="10"/>
  <c r="CK206" i="10"/>
  <c r="AS206" i="10"/>
  <c r="M206" i="10"/>
  <c r="Q206" i="10"/>
  <c r="CR206" i="10"/>
  <c r="BM206" i="10"/>
  <c r="BU206" i="10"/>
  <c r="AT206" i="10"/>
  <c r="Z206" i="10"/>
  <c r="CO206" i="10"/>
  <c r="BC206" i="10"/>
  <c r="AD206" i="10"/>
  <c r="Y206" i="10"/>
  <c r="BT206" i="10"/>
  <c r="AH206" i="10"/>
  <c r="AI206" i="10"/>
  <c r="DF206" i="10"/>
  <c r="CP206" i="10"/>
  <c r="CV206" i="10"/>
  <c r="BF206" i="10"/>
  <c r="AV206" i="10"/>
  <c r="AY206" i="10"/>
  <c r="I206" i="10"/>
  <c r="BW206" i="10"/>
  <c r="BB206" i="10"/>
  <c r="DB206" i="10"/>
  <c r="CF206" i="10"/>
  <c r="BL206" i="10"/>
  <c r="AN206" i="10"/>
  <c r="CG206" i="10"/>
  <c r="AJ206" i="10"/>
  <c r="CL206" i="10"/>
  <c r="S206" i="10"/>
  <c r="AL206" i="10"/>
  <c r="CU206" i="10"/>
  <c r="CJ206" i="10"/>
  <c r="BA206" i="10"/>
  <c r="AK206" i="10"/>
  <c r="BV206" i="10"/>
  <c r="BY206" i="10"/>
  <c r="BP206" i="10"/>
  <c r="CY206" i="10"/>
  <c r="AU206" i="10"/>
  <c r="DC206" i="10"/>
  <c r="L206" i="10"/>
  <c r="AX206" i="10"/>
  <c r="J206" i="10"/>
  <c r="DG206" i="10"/>
  <c r="DA206" i="10"/>
  <c r="CN206" i="10"/>
  <c r="N206" i="10"/>
  <c r="DI206" i="10"/>
  <c r="O206" i="10"/>
  <c r="AP206" i="10"/>
  <c r="AW206" i="10"/>
  <c r="CA206" i="10"/>
  <c r="DJ206" i="10"/>
  <c r="CZ206" i="10"/>
  <c r="BH206" i="10"/>
  <c r="BD206" i="10"/>
  <c r="BI206" i="10"/>
  <c r="C206" i="10"/>
  <c r="CW206" i="10"/>
  <c r="AZ206" i="10"/>
  <c r="BQ206" i="10"/>
  <c r="CI206" i="10"/>
  <c r="CE206" i="10"/>
  <c r="BN206" i="10"/>
  <c r="DK206" i="10"/>
  <c r="T206" i="10"/>
  <c r="AQ206" i="10"/>
  <c r="BO206" i="10"/>
  <c r="BS206" i="10"/>
  <c r="DE206" i="10"/>
  <c r="V206" i="10"/>
  <c r="BE206" i="10"/>
  <c r="D206" i="10"/>
  <c r="AC206" i="10"/>
  <c r="W206" i="10"/>
  <c r="X206" i="10"/>
  <c r="BJ206" i="10"/>
  <c r="CC206" i="10"/>
  <c r="P206" i="10"/>
  <c r="K206" i="10"/>
  <c r="AM206" i="10"/>
  <c r="AO206" i="10"/>
  <c r="CH206" i="10"/>
  <c r="CM206" i="10"/>
  <c r="AR206" i="10"/>
  <c r="G206" i="10"/>
  <c r="DD206" i="10"/>
  <c r="BX206" i="10"/>
  <c r="F206" i="10"/>
  <c r="CQ206" i="10"/>
  <c r="AF206" i="10"/>
  <c r="AG206" i="10"/>
  <c r="AE206" i="10"/>
  <c r="BG206" i="10"/>
  <c r="AA206" i="10"/>
  <c r="BZ206" i="10"/>
  <c r="GY5" i="1"/>
  <c r="GY7" i="1" l="1"/>
  <c r="GY9" i="1"/>
  <c r="B207" i="10"/>
  <c r="GZ6" i="1"/>
  <c r="GY8" i="1"/>
  <c r="GZ2" i="1" l="1"/>
  <c r="GZ10" i="1" s="1"/>
  <c r="V207" i="10"/>
  <c r="I207" i="10"/>
  <c r="W207" i="10"/>
  <c r="BR207" i="10"/>
  <c r="AN207" i="10"/>
  <c r="CR207" i="10"/>
  <c r="CJ207" i="10"/>
  <c r="DK207" i="10"/>
  <c r="CT207" i="10"/>
  <c r="BA207" i="10"/>
  <c r="AJ207" i="10"/>
  <c r="BD207" i="10"/>
  <c r="P207" i="10"/>
  <c r="G207" i="10"/>
  <c r="AG207" i="10"/>
  <c r="U207" i="10"/>
  <c r="AP207" i="10"/>
  <c r="AM207" i="10"/>
  <c r="AE207" i="10"/>
  <c r="CK207" i="10"/>
  <c r="AH207" i="10"/>
  <c r="AT207" i="10"/>
  <c r="F207" i="10"/>
  <c r="BT207" i="10"/>
  <c r="AF207" i="10"/>
  <c r="BN207" i="10"/>
  <c r="BO207" i="10"/>
  <c r="BH207" i="10"/>
  <c r="E207" i="10"/>
  <c r="N207" i="10"/>
  <c r="BE207" i="10"/>
  <c r="DA207" i="10"/>
  <c r="CY207" i="10"/>
  <c r="DE207" i="10"/>
  <c r="BI207" i="10"/>
  <c r="AV207" i="10"/>
  <c r="R207" i="10"/>
  <c r="CE207" i="10"/>
  <c r="CN207" i="10"/>
  <c r="CB207" i="10"/>
  <c r="Y207" i="10"/>
  <c r="BS207" i="10"/>
  <c r="CU207" i="10"/>
  <c r="CD207" i="10"/>
  <c r="AW207" i="10"/>
  <c r="BJ207" i="10"/>
  <c r="BF207" i="10"/>
  <c r="BX207" i="10"/>
  <c r="BQ207" i="10"/>
  <c r="AR207" i="10"/>
  <c r="BU207" i="10"/>
  <c r="AX207" i="10"/>
  <c r="BL207" i="10"/>
  <c r="K207" i="10"/>
  <c r="X207" i="10"/>
  <c r="BY207" i="10"/>
  <c r="C207" i="10"/>
  <c r="AK207" i="10"/>
  <c r="H207" i="10"/>
  <c r="BP207" i="10"/>
  <c r="CH207" i="10"/>
  <c r="DH207" i="10"/>
  <c r="AZ207" i="10"/>
  <c r="CG207" i="10"/>
  <c r="M207" i="10"/>
  <c r="BV207" i="10"/>
  <c r="BZ207" i="10"/>
  <c r="CQ207" i="10"/>
  <c r="BK207" i="10"/>
  <c r="AL207" i="10"/>
  <c r="BM207" i="10"/>
  <c r="CL207" i="10"/>
  <c r="CW207" i="10"/>
  <c r="AC207" i="10"/>
  <c r="DF207" i="10"/>
  <c r="O207" i="10"/>
  <c r="CI207" i="10"/>
  <c r="BG207" i="10"/>
  <c r="DJ207" i="10"/>
  <c r="BB207" i="10"/>
  <c r="CP207" i="10"/>
  <c r="CX207" i="10"/>
  <c r="CC207" i="10"/>
  <c r="L207" i="10"/>
  <c r="AD207" i="10"/>
  <c r="Q207" i="10"/>
  <c r="BC207" i="10"/>
  <c r="BW207" i="10"/>
  <c r="AS207" i="10"/>
  <c r="CA207" i="10"/>
  <c r="AB207" i="10"/>
  <c r="CM207" i="10"/>
  <c r="AQ207" i="10"/>
  <c r="AU207" i="10"/>
  <c r="DD207" i="10"/>
  <c r="CZ207" i="10"/>
  <c r="DI207" i="10"/>
  <c r="Z207" i="10"/>
  <c r="AY207" i="10"/>
  <c r="CS207" i="10"/>
  <c r="D207" i="10"/>
  <c r="CO207" i="10"/>
  <c r="T207" i="10"/>
  <c r="S207" i="10"/>
  <c r="DC207" i="10"/>
  <c r="CF207" i="10"/>
  <c r="AI207" i="10"/>
  <c r="AO207" i="10"/>
  <c r="J207" i="10"/>
  <c r="AA207" i="10"/>
  <c r="DG207" i="10"/>
  <c r="DB207" i="10"/>
  <c r="CV207" i="10"/>
  <c r="GZ5" i="1" l="1"/>
  <c r="GZ9" i="1" s="1"/>
  <c r="GZ7" i="1" l="1"/>
  <c r="HA2" i="1"/>
  <c r="HA5" i="1" s="1"/>
  <c r="HA9" i="1" s="1"/>
  <c r="B208" i="10"/>
  <c r="HA6" i="1"/>
  <c r="HA10" i="1"/>
  <c r="GZ8" i="1"/>
  <c r="HA7" i="1" l="1"/>
  <c r="CQ208" i="10"/>
  <c r="BH208" i="10"/>
  <c r="CM208" i="10"/>
  <c r="CW208" i="10"/>
  <c r="AW208" i="10"/>
  <c r="AY208" i="10"/>
  <c r="BV208" i="10"/>
  <c r="J208" i="10"/>
  <c r="AN208" i="10"/>
  <c r="DA208" i="10"/>
  <c r="N208" i="10"/>
  <c r="BK208" i="10"/>
  <c r="L208" i="10"/>
  <c r="AB208" i="10"/>
  <c r="K208" i="10"/>
  <c r="DD208" i="10"/>
  <c r="DG208" i="10"/>
  <c r="DK208" i="10"/>
  <c r="CE208" i="10"/>
  <c r="AT208" i="10"/>
  <c r="R208" i="10"/>
  <c r="CS208" i="10"/>
  <c r="AC208" i="10"/>
  <c r="Q208" i="10"/>
  <c r="BE208" i="10"/>
  <c r="AG208" i="10"/>
  <c r="CG208" i="10"/>
  <c r="DC208" i="10"/>
  <c r="U208" i="10"/>
  <c r="CX208" i="10"/>
  <c r="Z208" i="10"/>
  <c r="CO208" i="10"/>
  <c r="DI208" i="10"/>
  <c r="AD208" i="10"/>
  <c r="H208" i="10"/>
  <c r="DE208" i="10"/>
  <c r="AM208" i="10"/>
  <c r="AX208" i="10"/>
  <c r="AR208" i="10"/>
  <c r="DB208" i="10"/>
  <c r="BN208" i="10"/>
  <c r="AO208" i="10"/>
  <c r="BT208" i="10"/>
  <c r="CV208" i="10"/>
  <c r="BO208" i="10"/>
  <c r="AA208" i="10"/>
  <c r="CD208" i="10"/>
  <c r="C208" i="10"/>
  <c r="BD208" i="10"/>
  <c r="AJ208" i="10"/>
  <c r="BU208" i="10"/>
  <c r="V208" i="10"/>
  <c r="CB208" i="10"/>
  <c r="AQ208" i="10"/>
  <c r="Y208" i="10"/>
  <c r="BM208" i="10"/>
  <c r="CI208" i="10"/>
  <c r="CC208" i="10"/>
  <c r="W208" i="10"/>
  <c r="BY208" i="10"/>
  <c r="D208" i="10"/>
  <c r="CL208" i="10"/>
  <c r="CY208" i="10"/>
  <c r="AL208" i="10"/>
  <c r="BA208" i="10"/>
  <c r="BG208" i="10"/>
  <c r="BL208" i="10"/>
  <c r="BI208" i="10"/>
  <c r="O208" i="10"/>
  <c r="AU208" i="10"/>
  <c r="CP208" i="10"/>
  <c r="BP208" i="10"/>
  <c r="CA208" i="10"/>
  <c r="X208" i="10"/>
  <c r="CK208" i="10"/>
  <c r="AZ208" i="10"/>
  <c r="DH208" i="10"/>
  <c r="AE208" i="10"/>
  <c r="CR208" i="10"/>
  <c r="F208" i="10"/>
  <c r="M208" i="10"/>
  <c r="BW208" i="10"/>
  <c r="CN208" i="10"/>
  <c r="BS208" i="10"/>
  <c r="I208" i="10"/>
  <c r="CZ208" i="10"/>
  <c r="BC208" i="10"/>
  <c r="BQ208" i="10"/>
  <c r="E208" i="10"/>
  <c r="AP208" i="10"/>
  <c r="AH208" i="10"/>
  <c r="CU208" i="10"/>
  <c r="CF208" i="10"/>
  <c r="T208" i="10"/>
  <c r="BZ208" i="10"/>
  <c r="CJ208" i="10"/>
  <c r="AS208" i="10"/>
  <c r="DJ208" i="10"/>
  <c r="G208" i="10"/>
  <c r="AV208" i="10"/>
  <c r="P208" i="10"/>
  <c r="AK208" i="10"/>
  <c r="DF208" i="10"/>
  <c r="BB208" i="10"/>
  <c r="BR208" i="10"/>
  <c r="BX208" i="10"/>
  <c r="BF208" i="10"/>
  <c r="AF208" i="10"/>
  <c r="CH208" i="10"/>
  <c r="S208" i="10"/>
  <c r="CT208" i="10"/>
  <c r="AI208" i="10"/>
  <c r="BJ208" i="10"/>
  <c r="HA8" i="1" l="1"/>
  <c r="HB6" i="1"/>
  <c r="B209" i="10"/>
  <c r="HB2" i="1"/>
  <c r="HB10" i="1" s="1"/>
  <c r="CM209" i="10" l="1"/>
  <c r="AP209" i="10"/>
  <c r="AQ209" i="10"/>
  <c r="Q209" i="10"/>
  <c r="AD209" i="10"/>
  <c r="DD209" i="10"/>
  <c r="BW209" i="10"/>
  <c r="C209" i="10"/>
  <c r="AV209" i="10"/>
  <c r="AT209" i="10"/>
  <c r="N209" i="10"/>
  <c r="CN209" i="10"/>
  <c r="CB209" i="10"/>
  <c r="AA209" i="10"/>
  <c r="BY209" i="10"/>
  <c r="DJ209" i="10"/>
  <c r="AR209" i="10"/>
  <c r="AC209" i="10"/>
  <c r="BP209" i="10"/>
  <c r="CA209" i="10"/>
  <c r="CI209" i="10"/>
  <c r="BZ209" i="10"/>
  <c r="BO209" i="10"/>
  <c r="E209" i="10"/>
  <c r="CG209" i="10"/>
  <c r="G209" i="10"/>
  <c r="CU209" i="10"/>
  <c r="DK209" i="10"/>
  <c r="H209" i="10"/>
  <c r="X209" i="10"/>
  <c r="CF209" i="10"/>
  <c r="BN209" i="10"/>
  <c r="BV209" i="10"/>
  <c r="BK209" i="10"/>
  <c r="AI209" i="10"/>
  <c r="BJ209" i="10"/>
  <c r="CJ209" i="10"/>
  <c r="CW209" i="10"/>
  <c r="F209" i="10"/>
  <c r="CX209" i="10"/>
  <c r="AO209" i="10"/>
  <c r="CZ209" i="10"/>
  <c r="BG209" i="10"/>
  <c r="BC209" i="10"/>
  <c r="CK209" i="10"/>
  <c r="CQ209" i="10"/>
  <c r="D209" i="10"/>
  <c r="BR209" i="10"/>
  <c r="AJ209" i="10"/>
  <c r="S209" i="10"/>
  <c r="DC209" i="10"/>
  <c r="T209" i="10"/>
  <c r="BS209" i="10"/>
  <c r="Z209" i="10"/>
  <c r="BI209" i="10"/>
  <c r="L209" i="10"/>
  <c r="AW209" i="10"/>
  <c r="P209" i="10"/>
  <c r="AN209" i="10"/>
  <c r="CO209" i="10"/>
  <c r="DF209" i="10"/>
  <c r="CD209" i="10"/>
  <c r="I209" i="10"/>
  <c r="BF209" i="10"/>
  <c r="CR209" i="10"/>
  <c r="AB209" i="10"/>
  <c r="CY209" i="10"/>
  <c r="AG209" i="10"/>
  <c r="BD209" i="10"/>
  <c r="DH209" i="10"/>
  <c r="AS209" i="10"/>
  <c r="AU209" i="10"/>
  <c r="CL209" i="10"/>
  <c r="W209" i="10"/>
  <c r="BB209" i="10"/>
  <c r="BU209" i="10"/>
  <c r="DG209" i="10"/>
  <c r="U209" i="10"/>
  <c r="DE209" i="10"/>
  <c r="AX209" i="10"/>
  <c r="DI209" i="10"/>
  <c r="CC209" i="10"/>
  <c r="DA209" i="10"/>
  <c r="BT209" i="10"/>
  <c r="O209" i="10"/>
  <c r="Y209" i="10"/>
  <c r="CH209" i="10"/>
  <c r="CV209" i="10"/>
  <c r="BE209" i="10"/>
  <c r="CE209" i="10"/>
  <c r="K209" i="10"/>
  <c r="AE209" i="10"/>
  <c r="J209" i="10"/>
  <c r="AH209" i="10"/>
  <c r="BQ209" i="10"/>
  <c r="AF209" i="10"/>
  <c r="BM209" i="10"/>
  <c r="V209" i="10"/>
  <c r="BX209" i="10"/>
  <c r="BH209" i="10"/>
  <c r="CT209" i="10"/>
  <c r="R209" i="10"/>
  <c r="AK209" i="10"/>
  <c r="BA209" i="10"/>
  <c r="DB209" i="10"/>
  <c r="CS209" i="10"/>
  <c r="AZ209" i="10"/>
  <c r="AM209" i="10"/>
  <c r="CP209" i="10"/>
  <c r="BL209" i="10"/>
  <c r="M209" i="10"/>
  <c r="AY209" i="10"/>
  <c r="AL209" i="10"/>
  <c r="HB5" i="1"/>
  <c r="HB9" i="1" s="1"/>
  <c r="HB7" i="1" l="1"/>
  <c r="HC6" i="1" l="1"/>
  <c r="B210" i="10"/>
  <c r="HB8" i="1"/>
  <c r="HC2" i="1"/>
  <c r="HC5" i="1" s="1"/>
  <c r="HC9" i="1" s="1"/>
  <c r="HC7" i="1" l="1"/>
  <c r="AT210" i="10"/>
  <c r="BD210" i="10"/>
  <c r="BB210" i="10"/>
  <c r="BO210" i="10"/>
  <c r="BT210" i="10"/>
  <c r="AM210" i="10"/>
  <c r="S210" i="10"/>
  <c r="AL210" i="10"/>
  <c r="CD210" i="10"/>
  <c r="CU210" i="10"/>
  <c r="BJ210" i="10"/>
  <c r="AG210" i="10"/>
  <c r="Y210" i="10"/>
  <c r="AZ210" i="10"/>
  <c r="CN210" i="10"/>
  <c r="DF210" i="10"/>
  <c r="G210" i="10"/>
  <c r="BK210" i="10"/>
  <c r="CK210" i="10"/>
  <c r="BA210" i="10"/>
  <c r="BY210" i="10"/>
  <c r="AQ210" i="10"/>
  <c r="X210" i="10"/>
  <c r="CP210" i="10"/>
  <c r="CS210" i="10"/>
  <c r="U210" i="10"/>
  <c r="BP210" i="10"/>
  <c r="BL210" i="10"/>
  <c r="BC210" i="10"/>
  <c r="AF210" i="10"/>
  <c r="CO210" i="10"/>
  <c r="AI210" i="10"/>
  <c r="AU210" i="10"/>
  <c r="N210" i="10"/>
  <c r="DB210" i="10"/>
  <c r="BX210" i="10"/>
  <c r="AV210" i="10"/>
  <c r="CL210" i="10"/>
  <c r="CT210" i="10"/>
  <c r="M210" i="10"/>
  <c r="CI210" i="10"/>
  <c r="I210" i="10"/>
  <c r="AE210" i="10"/>
  <c r="AN210" i="10"/>
  <c r="H210" i="10"/>
  <c r="BV210" i="10"/>
  <c r="Q210" i="10"/>
  <c r="AJ210" i="10"/>
  <c r="BG210" i="10"/>
  <c r="V210" i="10"/>
  <c r="K210" i="10"/>
  <c r="CX210" i="10"/>
  <c r="AA210" i="10"/>
  <c r="AC210" i="10"/>
  <c r="DD210" i="10"/>
  <c r="AH210" i="10"/>
  <c r="D210" i="10"/>
  <c r="AK210" i="10"/>
  <c r="AO210" i="10"/>
  <c r="AR210" i="10"/>
  <c r="CA210" i="10"/>
  <c r="P210" i="10"/>
  <c r="CB210" i="10"/>
  <c r="F210" i="10"/>
  <c r="Z210" i="10"/>
  <c r="AP210" i="10"/>
  <c r="DJ210" i="10"/>
  <c r="DC210" i="10"/>
  <c r="J210" i="10"/>
  <c r="BH210" i="10"/>
  <c r="R210" i="10"/>
  <c r="O210" i="10"/>
  <c r="BM210" i="10"/>
  <c r="DE210" i="10"/>
  <c r="BI210" i="10"/>
  <c r="BW210" i="10"/>
  <c r="AB210" i="10"/>
  <c r="BE210" i="10"/>
  <c r="CV210" i="10"/>
  <c r="AX210" i="10"/>
  <c r="T210" i="10"/>
  <c r="CY210" i="10"/>
  <c r="DH210" i="10"/>
  <c r="CG210" i="10"/>
  <c r="CM210" i="10"/>
  <c r="BR210" i="10"/>
  <c r="AY210" i="10"/>
  <c r="CE210" i="10"/>
  <c r="BU210" i="10"/>
  <c r="C210" i="10"/>
  <c r="BS210" i="10"/>
  <c r="AD210" i="10"/>
  <c r="CZ210" i="10"/>
  <c r="AS210" i="10"/>
  <c r="CR210" i="10"/>
  <c r="DG210" i="10"/>
  <c r="BZ210" i="10"/>
  <c r="BQ210" i="10"/>
  <c r="CF210" i="10"/>
  <c r="DA210" i="10"/>
  <c r="BN210" i="10"/>
  <c r="CC210" i="10"/>
  <c r="DI210" i="10"/>
  <c r="CH210" i="10"/>
  <c r="CQ210" i="10"/>
  <c r="CW210" i="10"/>
  <c r="E210" i="10"/>
  <c r="BF210" i="10"/>
  <c r="AW210" i="10"/>
  <c r="DK210" i="10"/>
  <c r="L210" i="10"/>
  <c r="W210" i="10"/>
  <c r="CJ210" i="10"/>
  <c r="HC10" i="1"/>
  <c r="HC8" i="1" l="1"/>
  <c r="HD6" i="1"/>
  <c r="B211" i="10"/>
  <c r="HD2" i="1"/>
  <c r="HD10" i="1" s="1"/>
  <c r="CS211" i="10" l="1"/>
  <c r="Y211" i="10"/>
  <c r="BV211" i="10"/>
  <c r="AG211" i="10"/>
  <c r="BQ211" i="10"/>
  <c r="AO211" i="10"/>
  <c r="AY211" i="10"/>
  <c r="DK211" i="10"/>
  <c r="CT211" i="10"/>
  <c r="U211" i="10"/>
  <c r="BK211" i="10"/>
  <c r="AZ211" i="10"/>
  <c r="H211" i="10"/>
  <c r="P211" i="10"/>
  <c r="AP211" i="10"/>
  <c r="DJ211" i="10"/>
  <c r="BM211" i="10"/>
  <c r="CA211" i="10"/>
  <c r="AM211" i="10"/>
  <c r="BX211" i="10"/>
  <c r="CY211" i="10"/>
  <c r="BF211" i="10"/>
  <c r="CJ211" i="10"/>
  <c r="C211" i="10"/>
  <c r="G211" i="10"/>
  <c r="DD211" i="10"/>
  <c r="BN211" i="10"/>
  <c r="BB211" i="10"/>
  <c r="CL211" i="10"/>
  <c r="Q211" i="10"/>
  <c r="AL211" i="10"/>
  <c r="DE211" i="10"/>
  <c r="BS211" i="10"/>
  <c r="BA211" i="10"/>
  <c r="E211" i="10"/>
  <c r="CU211" i="10"/>
  <c r="AB211" i="10"/>
  <c r="BO211" i="10"/>
  <c r="AJ211" i="10"/>
  <c r="AK211" i="10"/>
  <c r="AQ211" i="10"/>
  <c r="CK211" i="10"/>
  <c r="CH211" i="10"/>
  <c r="DC211" i="10"/>
  <c r="AV211" i="10"/>
  <c r="CM211" i="10"/>
  <c r="AX211" i="10"/>
  <c r="BU211" i="10"/>
  <c r="BJ211" i="10"/>
  <c r="DI211" i="10"/>
  <c r="BT211" i="10"/>
  <c r="AH211" i="10"/>
  <c r="AF211" i="10"/>
  <c r="CF211" i="10"/>
  <c r="CZ211" i="10"/>
  <c r="AA211" i="10"/>
  <c r="K211" i="10"/>
  <c r="X211" i="10"/>
  <c r="V211" i="10"/>
  <c r="BL211" i="10"/>
  <c r="AI211" i="10"/>
  <c r="BY211" i="10"/>
  <c r="CO211" i="10"/>
  <c r="AR211" i="10"/>
  <c r="CE211" i="10"/>
  <c r="AW211" i="10"/>
  <c r="BZ211" i="10"/>
  <c r="BD211" i="10"/>
  <c r="O211" i="10"/>
  <c r="CG211" i="10"/>
  <c r="CQ211" i="10"/>
  <c r="CR211" i="10"/>
  <c r="CP211" i="10"/>
  <c r="CN211" i="10"/>
  <c r="D211" i="10"/>
  <c r="AT211" i="10"/>
  <c r="CI211" i="10"/>
  <c r="BH211" i="10"/>
  <c r="I211" i="10"/>
  <c r="T211" i="10"/>
  <c r="L211" i="10"/>
  <c r="F211" i="10"/>
  <c r="R211" i="10"/>
  <c r="DA211" i="10"/>
  <c r="BW211" i="10"/>
  <c r="AS211" i="10"/>
  <c r="DG211" i="10"/>
  <c r="S211" i="10"/>
  <c r="BC211" i="10"/>
  <c r="BG211" i="10"/>
  <c r="Z211" i="10"/>
  <c r="DB211" i="10"/>
  <c r="BP211" i="10"/>
  <c r="AN211" i="10"/>
  <c r="W211" i="10"/>
  <c r="CW211" i="10"/>
  <c r="J211" i="10"/>
  <c r="BE211" i="10"/>
  <c r="AU211" i="10"/>
  <c r="N211" i="10"/>
  <c r="BI211" i="10"/>
  <c r="CC211" i="10"/>
  <c r="AD211" i="10"/>
  <c r="CV211" i="10"/>
  <c r="DH211" i="10"/>
  <c r="CX211" i="10"/>
  <c r="DF211" i="10"/>
  <c r="AC211" i="10"/>
  <c r="CB211" i="10"/>
  <c r="BR211" i="10"/>
  <c r="M211" i="10"/>
  <c r="AE211" i="10"/>
  <c r="CD211" i="10"/>
  <c r="HD5" i="1"/>
  <c r="HD9" i="1" s="1"/>
  <c r="HD7" i="1" l="1"/>
  <c r="HD8" i="1" l="1"/>
  <c r="B212" i="10"/>
  <c r="HE6" i="1"/>
  <c r="HE2" i="1"/>
  <c r="HE5" i="1" s="1"/>
  <c r="HE7" i="1" l="1"/>
  <c r="HE9" i="1"/>
  <c r="HE8" i="1"/>
  <c r="B213" i="10"/>
  <c r="CY213" i="10" s="1"/>
  <c r="HF6" i="1"/>
  <c r="HE10" i="1"/>
  <c r="P212" i="10"/>
  <c r="BE212" i="10"/>
  <c r="CA212" i="10"/>
  <c r="BD212" i="10"/>
  <c r="CJ212" i="10"/>
  <c r="I212" i="10"/>
  <c r="BQ212" i="10"/>
  <c r="BP212" i="10"/>
  <c r="CF212" i="10"/>
  <c r="DF212" i="10"/>
  <c r="BV212" i="10"/>
  <c r="C212" i="10"/>
  <c r="CK212" i="10"/>
  <c r="R212" i="10"/>
  <c r="BH212" i="10"/>
  <c r="AM212" i="10"/>
  <c r="BS212" i="10"/>
  <c r="AR212" i="10"/>
  <c r="BX212" i="10"/>
  <c r="AW212" i="10"/>
  <c r="V212" i="10"/>
  <c r="BO212" i="10"/>
  <c r="DA212" i="10"/>
  <c r="AF212" i="10"/>
  <c r="CW212" i="10"/>
  <c r="CS212" i="10"/>
  <c r="AU212" i="10"/>
  <c r="CH212" i="10"/>
  <c r="CD212" i="10"/>
  <c r="AN212" i="10"/>
  <c r="AY212" i="10"/>
  <c r="CV212" i="10"/>
  <c r="BM212" i="10"/>
  <c r="AP212" i="10"/>
  <c r="L212" i="10"/>
  <c r="CN212" i="10"/>
  <c r="CG212" i="10"/>
  <c r="K212" i="10"/>
  <c r="DE212" i="10"/>
  <c r="DC212" i="10"/>
  <c r="CB212" i="10"/>
  <c r="BB212" i="10"/>
  <c r="W212" i="10"/>
  <c r="DG212" i="10"/>
  <c r="AO212" i="10"/>
  <c r="AJ212" i="10"/>
  <c r="D212" i="10"/>
  <c r="DH212" i="10"/>
  <c r="DD212" i="10"/>
  <c r="AD212" i="10"/>
  <c r="N212" i="10"/>
  <c r="BG212" i="10"/>
  <c r="AT212" i="10"/>
  <c r="BZ212" i="10"/>
  <c r="E212" i="10"/>
  <c r="CY212" i="10"/>
  <c r="AG212" i="10"/>
  <c r="F212" i="10"/>
  <c r="CI212" i="10"/>
  <c r="S212" i="10"/>
  <c r="CM212" i="10"/>
  <c r="CE212" i="10"/>
  <c r="CT212" i="10"/>
  <c r="Y212" i="10"/>
  <c r="H212" i="10"/>
  <c r="CP212" i="10"/>
  <c r="BN212" i="10"/>
  <c r="AK212" i="10"/>
  <c r="DB212" i="10"/>
  <c r="BL212" i="10"/>
  <c r="BK212" i="10"/>
  <c r="O212" i="10"/>
  <c r="CU212" i="10"/>
  <c r="X212" i="10"/>
  <c r="BF212" i="10"/>
  <c r="CZ212" i="10"/>
  <c r="CO212" i="10"/>
  <c r="DK212" i="10"/>
  <c r="Z212" i="10"/>
  <c r="BC212" i="10"/>
  <c r="G212" i="10"/>
  <c r="BA212" i="10"/>
  <c r="AS212" i="10"/>
  <c r="U212" i="10"/>
  <c r="AV212" i="10"/>
  <c r="AH212" i="10"/>
  <c r="AX212" i="10"/>
  <c r="AZ212" i="10"/>
  <c r="AC212" i="10"/>
  <c r="BU212" i="10"/>
  <c r="AE212" i="10"/>
  <c r="CC212" i="10"/>
  <c r="AA212" i="10"/>
  <c r="T212" i="10"/>
  <c r="Q212" i="10"/>
  <c r="CL212" i="10"/>
  <c r="CR212" i="10"/>
  <c r="AQ212" i="10"/>
  <c r="BJ212" i="10"/>
  <c r="M212" i="10"/>
  <c r="AL212" i="10"/>
  <c r="BR212" i="10"/>
  <c r="J212" i="10"/>
  <c r="BT212" i="10"/>
  <c r="AI212" i="10"/>
  <c r="CQ212" i="10"/>
  <c r="BI212" i="10"/>
  <c r="DI212" i="10"/>
  <c r="BY212" i="10"/>
  <c r="CX212" i="10"/>
  <c r="DJ212" i="10"/>
  <c r="AB212" i="10"/>
  <c r="BW212" i="10"/>
  <c r="CC213" i="10" l="1"/>
  <c r="AS213" i="10"/>
  <c r="BO213" i="10"/>
  <c r="AM213" i="10"/>
  <c r="AP213" i="10"/>
  <c r="CN213" i="10"/>
  <c r="AY213" i="10"/>
  <c r="AO213" i="10"/>
  <c r="F213" i="10"/>
  <c r="CV213" i="10"/>
  <c r="DC213" i="10"/>
  <c r="CD213" i="10"/>
  <c r="AK213" i="10"/>
  <c r="AW213" i="10"/>
  <c r="BM213" i="10"/>
  <c r="AG213" i="10"/>
  <c r="AI213" i="10"/>
  <c r="AL213" i="10"/>
  <c r="G213" i="10"/>
  <c r="BB213" i="10"/>
  <c r="CM213" i="10"/>
  <c r="BR213" i="10"/>
  <c r="D213" i="10"/>
  <c r="CK213" i="10"/>
  <c r="V213" i="10"/>
  <c r="CR213" i="10"/>
  <c r="BY213" i="10"/>
  <c r="BW213" i="10"/>
  <c r="Z213" i="10"/>
  <c r="CU213" i="10"/>
  <c r="CZ213" i="10"/>
  <c r="CS213" i="10"/>
  <c r="CP213" i="10"/>
  <c r="DG213" i="10"/>
  <c r="CG213" i="10"/>
  <c r="CQ213" i="10"/>
  <c r="CA213" i="10"/>
  <c r="I213" i="10"/>
  <c r="AV213" i="10"/>
  <c r="BV213" i="10"/>
  <c r="BC213" i="10"/>
  <c r="DI213" i="10"/>
  <c r="BK213" i="10"/>
  <c r="DF213" i="10"/>
  <c r="BS213" i="10"/>
  <c r="W213" i="10"/>
  <c r="CT213" i="10"/>
  <c r="CJ213" i="10"/>
  <c r="CB213" i="10"/>
  <c r="BU213" i="10"/>
  <c r="BH213" i="10"/>
  <c r="AZ213" i="10"/>
  <c r="U213" i="10"/>
  <c r="Y213" i="10"/>
  <c r="BI213" i="10"/>
  <c r="BF213" i="10"/>
  <c r="BA213" i="10"/>
  <c r="BX213" i="10"/>
  <c r="CX213" i="10"/>
  <c r="N213" i="10"/>
  <c r="AD213" i="10"/>
  <c r="BZ213" i="10"/>
  <c r="DH213" i="10"/>
  <c r="AU213" i="10"/>
  <c r="CI213" i="10"/>
  <c r="O213" i="10"/>
  <c r="AQ213" i="10"/>
  <c r="AJ213" i="10"/>
  <c r="CF213" i="10"/>
  <c r="E213" i="10"/>
  <c r="DD213" i="10"/>
  <c r="T213" i="10"/>
  <c r="BE213" i="10"/>
  <c r="BD213" i="10"/>
  <c r="R213" i="10"/>
  <c r="CL213" i="10"/>
  <c r="AX213" i="10"/>
  <c r="DK213" i="10"/>
  <c r="P213" i="10"/>
  <c r="AB213" i="10"/>
  <c r="AR213" i="10"/>
  <c r="C213" i="10"/>
  <c r="Q213" i="10"/>
  <c r="BT213" i="10"/>
  <c r="BJ213" i="10"/>
  <c r="DJ213" i="10"/>
  <c r="CW213" i="10"/>
  <c r="CO213" i="10"/>
  <c r="BL213" i="10"/>
  <c r="AA213" i="10"/>
  <c r="CH213" i="10"/>
  <c r="AN213" i="10"/>
  <c r="AT213" i="10"/>
  <c r="BQ213" i="10"/>
  <c r="DB213" i="10"/>
  <c r="CE213" i="10"/>
  <c r="DA213" i="10"/>
  <c r="DE213" i="10"/>
  <c r="S213" i="10"/>
  <c r="L213" i="10"/>
  <c r="AC213" i="10"/>
  <c r="AH213" i="10"/>
  <c r="X213" i="10"/>
  <c r="BP213" i="10"/>
  <c r="J213" i="10"/>
  <c r="K213" i="10"/>
  <c r="BN213" i="10"/>
  <c r="M213" i="10"/>
  <c r="BG213" i="10"/>
  <c r="H213" i="10"/>
  <c r="AF213" i="10"/>
  <c r="AE213" i="10"/>
  <c r="HF2" i="1"/>
  <c r="HF10" i="1" s="1"/>
  <c r="HF5" i="1" l="1"/>
  <c r="HF9" i="1" s="1"/>
  <c r="HF7" i="1" l="1"/>
  <c r="HG6" i="1" s="1"/>
  <c r="B214" i="10"/>
  <c r="HG2" i="1"/>
  <c r="HG10" i="1" s="1"/>
  <c r="HF8" i="1" l="1"/>
  <c r="CB214" i="10"/>
  <c r="BE214" i="10"/>
  <c r="AZ214" i="10"/>
  <c r="DG214" i="10"/>
  <c r="BI214" i="10"/>
  <c r="AA214" i="10"/>
  <c r="O214" i="10"/>
  <c r="BA214" i="10"/>
  <c r="CX214" i="10"/>
  <c r="CL214" i="10"/>
  <c r="AE214" i="10"/>
  <c r="W214" i="10"/>
  <c r="CC214" i="10"/>
  <c r="U214" i="10"/>
  <c r="DF214" i="10"/>
  <c r="BZ214" i="10"/>
  <c r="AN214" i="10"/>
  <c r="CP214" i="10"/>
  <c r="H214" i="10"/>
  <c r="BP214" i="10"/>
  <c r="AS214" i="10"/>
  <c r="AW214" i="10"/>
  <c r="AL214" i="10"/>
  <c r="DJ214" i="10"/>
  <c r="BF214" i="10"/>
  <c r="I214" i="10"/>
  <c r="AM214" i="10"/>
  <c r="CF214" i="10"/>
  <c r="CZ214" i="10"/>
  <c r="G214" i="10"/>
  <c r="DB214" i="10"/>
  <c r="Q214" i="10"/>
  <c r="BR214" i="10"/>
  <c r="BS214" i="10"/>
  <c r="AY214" i="10"/>
  <c r="BY214" i="10"/>
  <c r="CD214" i="10"/>
  <c r="N214" i="10"/>
  <c r="DD214" i="10"/>
  <c r="BH214" i="10"/>
  <c r="CR214" i="10"/>
  <c r="AH214" i="10"/>
  <c r="X214" i="10"/>
  <c r="AQ214" i="10"/>
  <c r="DI214" i="10"/>
  <c r="AX214" i="10"/>
  <c r="BT214" i="10"/>
  <c r="AO214" i="10"/>
  <c r="BV214" i="10"/>
  <c r="CM214" i="10"/>
  <c r="BC214" i="10"/>
  <c r="CK214" i="10"/>
  <c r="CO214" i="10"/>
  <c r="CS214" i="10"/>
  <c r="DE214" i="10"/>
  <c r="BW214" i="10"/>
  <c r="AK214" i="10"/>
  <c r="BJ214" i="10"/>
  <c r="CG214" i="10"/>
  <c r="CJ214" i="10"/>
  <c r="DK214" i="10"/>
  <c r="F214" i="10"/>
  <c r="CI214" i="10"/>
  <c r="R214" i="10"/>
  <c r="BD214" i="10"/>
  <c r="AC214" i="10"/>
  <c r="D214" i="10"/>
  <c r="CY214" i="10"/>
  <c r="J214" i="10"/>
  <c r="P214" i="10"/>
  <c r="BM214" i="10"/>
  <c r="CT214" i="10"/>
  <c r="Y214" i="10"/>
  <c r="CN214" i="10"/>
  <c r="DA214" i="10"/>
  <c r="BN214" i="10"/>
  <c r="AR214" i="10"/>
  <c r="CU214" i="10"/>
  <c r="DC214" i="10"/>
  <c r="AP214" i="10"/>
  <c r="BL214" i="10"/>
  <c r="BK214" i="10"/>
  <c r="AF214" i="10"/>
  <c r="K214" i="10"/>
  <c r="AD214" i="10"/>
  <c r="AI214" i="10"/>
  <c r="BX214" i="10"/>
  <c r="AU214" i="10"/>
  <c r="CE214" i="10"/>
  <c r="CH214" i="10"/>
  <c r="CW214" i="10"/>
  <c r="BG214" i="10"/>
  <c r="AG214" i="10"/>
  <c r="S214" i="10"/>
  <c r="V214" i="10"/>
  <c r="AB214" i="10"/>
  <c r="AJ214" i="10"/>
  <c r="M214" i="10"/>
  <c r="BQ214" i="10"/>
  <c r="T214" i="10"/>
  <c r="Z214" i="10"/>
  <c r="CV214" i="10"/>
  <c r="BU214" i="10"/>
  <c r="AT214" i="10"/>
  <c r="C214" i="10"/>
  <c r="BB214" i="10"/>
  <c r="DH214" i="10"/>
  <c r="AV214" i="10"/>
  <c r="BO214" i="10"/>
  <c r="CQ214" i="10"/>
  <c r="E214" i="10"/>
  <c r="CA214" i="10"/>
  <c r="L214" i="10"/>
  <c r="HG5" i="1"/>
  <c r="HG9" i="1" s="1"/>
  <c r="HG7" i="1" l="1"/>
  <c r="HH2" i="1" l="1"/>
  <c r="HH5" i="1" s="1"/>
  <c r="HH9" i="1" s="1"/>
  <c r="HH10" i="1"/>
  <c r="B215" i="10"/>
  <c r="HH6" i="1"/>
  <c r="HG8" i="1"/>
  <c r="HH7" i="1" l="1"/>
  <c r="CR215" i="10"/>
  <c r="AB215" i="10"/>
  <c r="BF215" i="10"/>
  <c r="AD215" i="10"/>
  <c r="CX215" i="10"/>
  <c r="Q215" i="10"/>
  <c r="CG215" i="10"/>
  <c r="AY215" i="10"/>
  <c r="CW215" i="10"/>
  <c r="W215" i="10"/>
  <c r="AV215" i="10"/>
  <c r="CP215" i="10"/>
  <c r="CL215" i="10"/>
  <c r="DJ215" i="10"/>
  <c r="BS215" i="10"/>
  <c r="DB215" i="10"/>
  <c r="BY215" i="10"/>
  <c r="F215" i="10"/>
  <c r="I215" i="10"/>
  <c r="DK215" i="10"/>
  <c r="BQ215" i="10"/>
  <c r="BT215" i="10"/>
  <c r="BI215" i="10"/>
  <c r="O215" i="10"/>
  <c r="S215" i="10"/>
  <c r="BZ215" i="10"/>
  <c r="AT215" i="10"/>
  <c r="CN215" i="10"/>
  <c r="BD215" i="10"/>
  <c r="U215" i="10"/>
  <c r="DH215" i="10"/>
  <c r="AK215" i="10"/>
  <c r="R215" i="10"/>
  <c r="DG215" i="10"/>
  <c r="Y215" i="10"/>
  <c r="BP215" i="10"/>
  <c r="H215" i="10"/>
  <c r="AP215" i="10"/>
  <c r="BK215" i="10"/>
  <c r="L215" i="10"/>
  <c r="BM215" i="10"/>
  <c r="AX215" i="10"/>
  <c r="CB215" i="10"/>
  <c r="M215" i="10"/>
  <c r="CA215" i="10"/>
  <c r="AF215" i="10"/>
  <c r="BN215" i="10"/>
  <c r="D215" i="10"/>
  <c r="CV215" i="10"/>
  <c r="AZ215" i="10"/>
  <c r="CM215" i="10"/>
  <c r="AH215" i="10"/>
  <c r="CZ215" i="10"/>
  <c r="AL215" i="10"/>
  <c r="BR215" i="10"/>
  <c r="CC215" i="10"/>
  <c r="CH215" i="10"/>
  <c r="AG215" i="10"/>
  <c r="AR215" i="10"/>
  <c r="BA215" i="10"/>
  <c r="P215" i="10"/>
  <c r="AN215" i="10"/>
  <c r="T215" i="10"/>
  <c r="AW215" i="10"/>
  <c r="AM215" i="10"/>
  <c r="BW215" i="10"/>
  <c r="CI215" i="10"/>
  <c r="BO215" i="10"/>
  <c r="BC215" i="10"/>
  <c r="AE215" i="10"/>
  <c r="BV215" i="10"/>
  <c r="G215" i="10"/>
  <c r="CF215" i="10"/>
  <c r="AA215" i="10"/>
  <c r="BL215" i="10"/>
  <c r="BH215" i="10"/>
  <c r="E215" i="10"/>
  <c r="Z215" i="10"/>
  <c r="CO215" i="10"/>
  <c r="BB215" i="10"/>
  <c r="CQ215" i="10"/>
  <c r="DD215" i="10"/>
  <c r="AO215" i="10"/>
  <c r="AQ215" i="10"/>
  <c r="BG215" i="10"/>
  <c r="N215" i="10"/>
  <c r="AC215" i="10"/>
  <c r="CJ215" i="10"/>
  <c r="CT215" i="10"/>
  <c r="CD215" i="10"/>
  <c r="J215" i="10"/>
  <c r="CU215" i="10"/>
  <c r="AI215" i="10"/>
  <c r="CS215" i="10"/>
  <c r="AJ215" i="10"/>
  <c r="V215" i="10"/>
  <c r="C215" i="10"/>
  <c r="X215" i="10"/>
  <c r="K215" i="10"/>
  <c r="BX215" i="10"/>
  <c r="CE215" i="10"/>
  <c r="AS215" i="10"/>
  <c r="CK215" i="10"/>
  <c r="AU215" i="10"/>
  <c r="CY215" i="10"/>
  <c r="DI215" i="10"/>
  <c r="DF215" i="10"/>
  <c r="BU215" i="10"/>
  <c r="BJ215" i="10"/>
  <c r="BE215" i="10"/>
  <c r="DA215" i="10"/>
  <c r="DC215" i="10"/>
  <c r="DE215" i="10"/>
  <c r="B216" i="10" l="1"/>
  <c r="HH8" i="1"/>
  <c r="HI6" i="1"/>
  <c r="HI2" i="1"/>
  <c r="HI10" i="1" s="1"/>
  <c r="HI5" i="1" l="1"/>
  <c r="HI9" i="1" s="1"/>
  <c r="DA216" i="10"/>
  <c r="J216" i="10"/>
  <c r="BU216" i="10"/>
  <c r="CT216" i="10"/>
  <c r="DH216" i="10"/>
  <c r="CZ216" i="10"/>
  <c r="M216" i="10"/>
  <c r="AQ216" i="10"/>
  <c r="BG216" i="10"/>
  <c r="AB216" i="10"/>
  <c r="CV216" i="10"/>
  <c r="AD216" i="10"/>
  <c r="N216" i="10"/>
  <c r="DE216" i="10"/>
  <c r="BB216" i="10"/>
  <c r="CG216" i="10"/>
  <c r="BE216" i="10"/>
  <c r="AP216" i="10"/>
  <c r="BO216" i="10"/>
  <c r="CK216" i="10"/>
  <c r="P216" i="10"/>
  <c r="CF216" i="10"/>
  <c r="X216" i="10"/>
  <c r="BT216" i="10"/>
  <c r="DB216" i="10"/>
  <c r="AV216" i="10"/>
  <c r="D216" i="10"/>
  <c r="CS216" i="10"/>
  <c r="BF216" i="10"/>
  <c r="C216" i="10"/>
  <c r="DK216" i="10"/>
  <c r="AN216" i="10"/>
  <c r="I216" i="10"/>
  <c r="AL216" i="10"/>
  <c r="CI216" i="10"/>
  <c r="DI216" i="10"/>
  <c r="AR216" i="10"/>
  <c r="K216" i="10"/>
  <c r="DJ216" i="10"/>
  <c r="AJ216" i="10"/>
  <c r="BK216" i="10"/>
  <c r="E216" i="10"/>
  <c r="CD216" i="10"/>
  <c r="BN216" i="10"/>
  <c r="T216" i="10"/>
  <c r="DD216" i="10"/>
  <c r="BV216" i="10"/>
  <c r="V216" i="10"/>
  <c r="CB216" i="10"/>
  <c r="CE216" i="10"/>
  <c r="BC216" i="10"/>
  <c r="U216" i="10"/>
  <c r="AF216" i="10"/>
  <c r="BL216" i="10"/>
  <c r="G216" i="10"/>
  <c r="BH216" i="10"/>
  <c r="BI216" i="10"/>
  <c r="F216" i="10"/>
  <c r="AH216" i="10"/>
  <c r="Z216" i="10"/>
  <c r="CQ216" i="10"/>
  <c r="AS216" i="10"/>
  <c r="AA216" i="10"/>
  <c r="W216" i="10"/>
  <c r="AI216" i="10"/>
  <c r="BM216" i="10"/>
  <c r="AM216" i="10"/>
  <c r="CJ216" i="10"/>
  <c r="BS216" i="10"/>
  <c r="CO216" i="10"/>
  <c r="CL216" i="10"/>
  <c r="L216" i="10"/>
  <c r="BP216" i="10"/>
  <c r="DC216" i="10"/>
  <c r="AT216" i="10"/>
  <c r="DG216" i="10"/>
  <c r="BQ216" i="10"/>
  <c r="BZ216" i="10"/>
  <c r="CN216" i="10"/>
  <c r="BJ216" i="10"/>
  <c r="BX216" i="10"/>
  <c r="AZ216" i="10"/>
  <c r="AY216" i="10"/>
  <c r="CC216" i="10"/>
  <c r="BD216" i="10"/>
  <c r="AO216" i="10"/>
  <c r="AU216" i="10"/>
  <c r="CR216" i="10"/>
  <c r="H216" i="10"/>
  <c r="BR216" i="10"/>
  <c r="S216" i="10"/>
  <c r="CY216" i="10"/>
  <c r="Y216" i="10"/>
  <c r="BW216" i="10"/>
  <c r="AE216" i="10"/>
  <c r="R216" i="10"/>
  <c r="BY216" i="10"/>
  <c r="AC216" i="10"/>
  <c r="CX216" i="10"/>
  <c r="CP216" i="10"/>
  <c r="CA216" i="10"/>
  <c r="AK216" i="10"/>
  <c r="O216" i="10"/>
  <c r="BA216" i="10"/>
  <c r="AX216" i="10"/>
  <c r="CU216" i="10"/>
  <c r="Q216" i="10"/>
  <c r="CM216" i="10"/>
  <c r="AW216" i="10"/>
  <c r="CW216" i="10"/>
  <c r="CH216" i="10"/>
  <c r="AG216" i="10"/>
  <c r="DF216" i="10"/>
  <c r="HI7" i="1" l="1"/>
  <c r="B217" i="10"/>
  <c r="HJ6" i="1"/>
  <c r="HI8" i="1"/>
  <c r="HJ2" i="1"/>
  <c r="HJ10" i="1" s="1"/>
  <c r="HJ5" i="1" l="1"/>
  <c r="HJ9" i="1" s="1"/>
  <c r="DB217" i="10"/>
  <c r="F217" i="10"/>
  <c r="M217" i="10"/>
  <c r="AJ217" i="10"/>
  <c r="AF217" i="10"/>
  <c r="BG217" i="10"/>
  <c r="CI217" i="10"/>
  <c r="CJ217" i="10"/>
  <c r="CC217" i="10"/>
  <c r="BR217" i="10"/>
  <c r="CD217" i="10"/>
  <c r="AC217" i="10"/>
  <c r="DH217" i="10"/>
  <c r="CZ217" i="10"/>
  <c r="AA217" i="10"/>
  <c r="CN217" i="10"/>
  <c r="BM217" i="10"/>
  <c r="AN217" i="10"/>
  <c r="AU217" i="10"/>
  <c r="K217" i="10"/>
  <c r="BK217" i="10"/>
  <c r="BV217" i="10"/>
  <c r="CL217" i="10"/>
  <c r="CP217" i="10"/>
  <c r="DD217" i="10"/>
  <c r="CQ217" i="10"/>
  <c r="BZ217" i="10"/>
  <c r="D217" i="10"/>
  <c r="R217" i="10"/>
  <c r="AD217" i="10"/>
  <c r="DJ217" i="10"/>
  <c r="CR217" i="10"/>
  <c r="CA217" i="10"/>
  <c r="CS217" i="10"/>
  <c r="BX217" i="10"/>
  <c r="BE217" i="10"/>
  <c r="CK217" i="10"/>
  <c r="BB217" i="10"/>
  <c r="O217" i="10"/>
  <c r="CY217" i="10"/>
  <c r="CV217" i="10"/>
  <c r="DG217" i="10"/>
  <c r="AE217" i="10"/>
  <c r="CE217" i="10"/>
  <c r="T217" i="10"/>
  <c r="AV217" i="10"/>
  <c r="BF217" i="10"/>
  <c r="CW217" i="10"/>
  <c r="I217" i="10"/>
  <c r="BO217" i="10"/>
  <c r="CU217" i="10"/>
  <c r="DF217" i="10"/>
  <c r="CG217" i="10"/>
  <c r="BC217" i="10"/>
  <c r="AZ217" i="10"/>
  <c r="AK217" i="10"/>
  <c r="V217" i="10"/>
  <c r="BQ217" i="10"/>
  <c r="AW217" i="10"/>
  <c r="E217" i="10"/>
  <c r="BS217" i="10"/>
  <c r="DK217" i="10"/>
  <c r="L217" i="10"/>
  <c r="BY217" i="10"/>
  <c r="BA217" i="10"/>
  <c r="N217" i="10"/>
  <c r="Z217" i="10"/>
  <c r="BI217" i="10"/>
  <c r="H217" i="10"/>
  <c r="CM217" i="10"/>
  <c r="BN217" i="10"/>
  <c r="BP217" i="10"/>
  <c r="G217" i="10"/>
  <c r="AT217" i="10"/>
  <c r="W217" i="10"/>
  <c r="BL217" i="10"/>
  <c r="BJ217" i="10"/>
  <c r="CX217" i="10"/>
  <c r="AY217" i="10"/>
  <c r="P217" i="10"/>
  <c r="CB217" i="10"/>
  <c r="CH217" i="10"/>
  <c r="CO217" i="10"/>
  <c r="AL217" i="10"/>
  <c r="AS217" i="10"/>
  <c r="C217" i="10"/>
  <c r="U217" i="10"/>
  <c r="X217" i="10"/>
  <c r="DE217" i="10"/>
  <c r="AB217" i="10"/>
  <c r="AI217" i="10"/>
  <c r="CT217" i="10"/>
  <c r="DC217" i="10"/>
  <c r="DI217" i="10"/>
  <c r="S217" i="10"/>
  <c r="J217" i="10"/>
  <c r="BW217" i="10"/>
  <c r="BH217" i="10"/>
  <c r="DA217" i="10"/>
  <c r="CF217" i="10"/>
  <c r="AO217" i="10"/>
  <c r="AH217" i="10"/>
  <c r="AP217" i="10"/>
  <c r="AQ217" i="10"/>
  <c r="AG217" i="10"/>
  <c r="AM217" i="10"/>
  <c r="Y217" i="10"/>
  <c r="AR217" i="10"/>
  <c r="BU217" i="10"/>
  <c r="AX217" i="10"/>
  <c r="BD217" i="10"/>
  <c r="BT217" i="10"/>
  <c r="Q217" i="10"/>
  <c r="HJ7" i="1" l="1"/>
  <c r="HK6" i="1" s="1"/>
  <c r="B218" i="10"/>
  <c r="HK2" i="1"/>
  <c r="HK10" i="1" s="1"/>
  <c r="HJ8" i="1" l="1"/>
  <c r="AS218" i="10"/>
  <c r="CO218" i="10"/>
  <c r="DB218" i="10"/>
  <c r="AB218" i="10"/>
  <c r="AE218" i="10"/>
  <c r="DK218" i="10"/>
  <c r="BA218" i="10"/>
  <c r="AK218" i="10"/>
  <c r="P218" i="10"/>
  <c r="F218" i="10"/>
  <c r="AL218" i="10"/>
  <c r="BQ218" i="10"/>
  <c r="L218" i="10"/>
  <c r="CT218" i="10"/>
  <c r="AF218" i="10"/>
  <c r="BL218" i="10"/>
  <c r="BH218" i="10"/>
  <c r="CF218" i="10"/>
  <c r="BO218" i="10"/>
  <c r="AQ218" i="10"/>
  <c r="AY218" i="10"/>
  <c r="CS218" i="10"/>
  <c r="Z218" i="10"/>
  <c r="Y218" i="10"/>
  <c r="BZ218" i="10"/>
  <c r="BS218" i="10"/>
  <c r="W218" i="10"/>
  <c r="AV218" i="10"/>
  <c r="X218" i="10"/>
  <c r="CY218" i="10"/>
  <c r="AC218" i="10"/>
  <c r="DF218" i="10"/>
  <c r="N218" i="10"/>
  <c r="AU218" i="10"/>
  <c r="DH218" i="10"/>
  <c r="DA218" i="10"/>
  <c r="CH218" i="10"/>
  <c r="DJ218" i="10"/>
  <c r="C218" i="10"/>
  <c r="AD218" i="10"/>
  <c r="BR218" i="10"/>
  <c r="CG218" i="10"/>
  <c r="AA218" i="10"/>
  <c r="AR218" i="10"/>
  <c r="BY218" i="10"/>
  <c r="AN218" i="10"/>
  <c r="AO218" i="10"/>
  <c r="H218" i="10"/>
  <c r="BG218" i="10"/>
  <c r="CM218" i="10"/>
  <c r="E218" i="10"/>
  <c r="CD218" i="10"/>
  <c r="DD218" i="10"/>
  <c r="K218" i="10"/>
  <c r="CI218" i="10"/>
  <c r="AI218" i="10"/>
  <c r="CL218" i="10"/>
  <c r="DC218" i="10"/>
  <c r="CR218" i="10"/>
  <c r="AX218" i="10"/>
  <c r="CV218" i="10"/>
  <c r="CW218" i="10"/>
  <c r="S218" i="10"/>
  <c r="AT218" i="10"/>
  <c r="BX218" i="10"/>
  <c r="J218" i="10"/>
  <c r="BU218" i="10"/>
  <c r="BK218" i="10"/>
  <c r="BV218" i="10"/>
  <c r="DG218" i="10"/>
  <c r="BB218" i="10"/>
  <c r="AJ218" i="10"/>
  <c r="CE218" i="10"/>
  <c r="BC218" i="10"/>
  <c r="BM218" i="10"/>
  <c r="BP218" i="10"/>
  <c r="V218" i="10"/>
  <c r="AP218" i="10"/>
  <c r="CQ218" i="10"/>
  <c r="AW218" i="10"/>
  <c r="AG218" i="10"/>
  <c r="CA218" i="10"/>
  <c r="CB218" i="10"/>
  <c r="CU218" i="10"/>
  <c r="CZ218" i="10"/>
  <c r="DI218" i="10"/>
  <c r="CC218" i="10"/>
  <c r="CP218" i="10"/>
  <c r="BJ218" i="10"/>
  <c r="R218" i="10"/>
  <c r="G218" i="10"/>
  <c r="T218" i="10"/>
  <c r="BI218" i="10"/>
  <c r="CN218" i="10"/>
  <c r="I218" i="10"/>
  <c r="CK218" i="10"/>
  <c r="Q218" i="10"/>
  <c r="M218" i="10"/>
  <c r="AZ218" i="10"/>
  <c r="AH218" i="10"/>
  <c r="CX218" i="10"/>
  <c r="AM218" i="10"/>
  <c r="O218" i="10"/>
  <c r="BE218" i="10"/>
  <c r="BD218" i="10"/>
  <c r="BT218" i="10"/>
  <c r="CJ218" i="10"/>
  <c r="BN218" i="10"/>
  <c r="DE218" i="10"/>
  <c r="BF218" i="10"/>
  <c r="D218" i="10"/>
  <c r="BW218" i="10"/>
  <c r="U218" i="10"/>
  <c r="HK5" i="1"/>
  <c r="HK9" i="1" s="1"/>
  <c r="HK7" i="1" l="1"/>
  <c r="B219" i="10" l="1"/>
  <c r="HL6" i="1"/>
  <c r="HK8" i="1"/>
  <c r="HL2" i="1"/>
  <c r="HL10" i="1" s="1"/>
  <c r="HL5" i="1" l="1"/>
  <c r="HL9" i="1" s="1"/>
  <c r="DA219" i="10"/>
  <c r="CC219" i="10"/>
  <c r="AW219" i="10"/>
  <c r="C219" i="10"/>
  <c r="CD219" i="10"/>
  <c r="W219" i="10"/>
  <c r="AU219" i="10"/>
  <c r="DE219" i="10"/>
  <c r="AK219" i="10"/>
  <c r="AD219" i="10"/>
  <c r="BS219" i="10"/>
  <c r="CM219" i="10"/>
  <c r="AR219" i="10"/>
  <c r="DF219" i="10"/>
  <c r="AP219" i="10"/>
  <c r="BJ219" i="10"/>
  <c r="BP219" i="10"/>
  <c r="CJ219" i="10"/>
  <c r="K219" i="10"/>
  <c r="CL219" i="10"/>
  <c r="CV219" i="10"/>
  <c r="BZ219" i="10"/>
  <c r="Q219" i="10"/>
  <c r="BA219" i="10"/>
  <c r="DB219" i="10"/>
  <c r="DC219" i="10"/>
  <c r="CA219" i="10"/>
  <c r="AQ219" i="10"/>
  <c r="CO219" i="10"/>
  <c r="CN219" i="10"/>
  <c r="BX219" i="10"/>
  <c r="BL219" i="10"/>
  <c r="CK219" i="10"/>
  <c r="BG219" i="10"/>
  <c r="AZ219" i="10"/>
  <c r="F219" i="10"/>
  <c r="AC219" i="10"/>
  <c r="AY219" i="10"/>
  <c r="CI219" i="10"/>
  <c r="CF219" i="10"/>
  <c r="E219" i="10"/>
  <c r="DJ219" i="10"/>
  <c r="DH219" i="10"/>
  <c r="R219" i="10"/>
  <c r="AO219" i="10"/>
  <c r="DK219" i="10"/>
  <c r="BN219" i="10"/>
  <c r="DD219" i="10"/>
  <c r="BD219" i="10"/>
  <c r="BT219" i="10"/>
  <c r="AJ219" i="10"/>
  <c r="DG219" i="10"/>
  <c r="AX219" i="10"/>
  <c r="BB219" i="10"/>
  <c r="CT219" i="10"/>
  <c r="BI219" i="10"/>
  <c r="AN219" i="10"/>
  <c r="AH219" i="10"/>
  <c r="CG219" i="10"/>
  <c r="CQ219" i="10"/>
  <c r="CP219" i="10"/>
  <c r="AM219" i="10"/>
  <c r="CU219" i="10"/>
  <c r="H219" i="10"/>
  <c r="AI219" i="10"/>
  <c r="S219" i="10"/>
  <c r="J219" i="10"/>
  <c r="CE219" i="10"/>
  <c r="I219" i="10"/>
  <c r="CS219" i="10"/>
  <c r="U219" i="10"/>
  <c r="L219" i="10"/>
  <c r="P219" i="10"/>
  <c r="N219" i="10"/>
  <c r="BY219" i="10"/>
  <c r="AG219" i="10"/>
  <c r="AS219" i="10"/>
  <c r="BV219" i="10"/>
  <c r="BW219" i="10"/>
  <c r="CZ219" i="10"/>
  <c r="CW219" i="10"/>
  <c r="AF219" i="10"/>
  <c r="BO219" i="10"/>
  <c r="G219" i="10"/>
  <c r="BH219" i="10"/>
  <c r="CY219" i="10"/>
  <c r="DI219" i="10"/>
  <c r="CR219" i="10"/>
  <c r="BF219" i="10"/>
  <c r="BR219" i="10"/>
  <c r="O219" i="10"/>
  <c r="BC219" i="10"/>
  <c r="X219" i="10"/>
  <c r="Z219" i="10"/>
  <c r="BU219" i="10"/>
  <c r="AE219" i="10"/>
  <c r="T219" i="10"/>
  <c r="M219" i="10"/>
  <c r="BQ219" i="10"/>
  <c r="BM219" i="10"/>
  <c r="V219" i="10"/>
  <c r="BE219" i="10"/>
  <c r="CH219" i="10"/>
  <c r="D219" i="10"/>
  <c r="CX219" i="10"/>
  <c r="CB219" i="10"/>
  <c r="Y219" i="10"/>
  <c r="AA219" i="10"/>
  <c r="AV219" i="10"/>
  <c r="BK219" i="10"/>
  <c r="AB219" i="10"/>
  <c r="AL219" i="10"/>
  <c r="AT219" i="10"/>
  <c r="HL7" i="1" l="1"/>
  <c r="B220" i="10"/>
  <c r="HL8" i="1"/>
  <c r="HM6" i="1"/>
  <c r="HM2" i="1"/>
  <c r="HM10" i="1" s="1"/>
  <c r="HM5" i="1" l="1"/>
  <c r="AW220" i="10"/>
  <c r="CR220" i="10"/>
  <c r="M220" i="10"/>
  <c r="BV220" i="10"/>
  <c r="AX220" i="10"/>
  <c r="AI220" i="10"/>
  <c r="BO220" i="10"/>
  <c r="J220" i="10"/>
  <c r="W220" i="10"/>
  <c r="AE220" i="10"/>
  <c r="BQ220" i="10"/>
  <c r="BB220" i="10"/>
  <c r="P220" i="10"/>
  <c r="BI220" i="10"/>
  <c r="I220" i="10"/>
  <c r="AR220" i="10"/>
  <c r="BM220" i="10"/>
  <c r="BN220" i="10"/>
  <c r="CS220" i="10"/>
  <c r="DE220" i="10"/>
  <c r="AY220" i="10"/>
  <c r="BE220" i="10"/>
  <c r="R220" i="10"/>
  <c r="CZ220" i="10"/>
  <c r="DC220" i="10"/>
  <c r="DG220" i="10"/>
  <c r="CY220" i="10"/>
  <c r="F220" i="10"/>
  <c r="AO220" i="10"/>
  <c r="BG220" i="10"/>
  <c r="Q220" i="10"/>
  <c r="G220" i="10"/>
  <c r="BP220" i="10"/>
  <c r="T220" i="10"/>
  <c r="CQ220" i="10"/>
  <c r="CC220" i="10"/>
  <c r="CN220" i="10"/>
  <c r="AD220" i="10"/>
  <c r="N220" i="10"/>
  <c r="CA220" i="10"/>
  <c r="DF220" i="10"/>
  <c r="AJ220" i="10"/>
  <c r="AU220" i="10"/>
  <c r="X220" i="10"/>
  <c r="AH220" i="10"/>
  <c r="CD220" i="10"/>
  <c r="DB220" i="10"/>
  <c r="CX220" i="10"/>
  <c r="O220" i="10"/>
  <c r="L220" i="10"/>
  <c r="AZ220" i="10"/>
  <c r="Z220" i="10"/>
  <c r="DH220" i="10"/>
  <c r="BA220" i="10"/>
  <c r="BT220" i="10"/>
  <c r="DI220" i="10"/>
  <c r="CM220" i="10"/>
  <c r="CB220" i="10"/>
  <c r="BW220" i="10"/>
  <c r="AN220" i="10"/>
  <c r="CF220" i="10"/>
  <c r="CK220" i="10"/>
  <c r="BY220" i="10"/>
  <c r="CL220" i="10"/>
  <c r="BS220" i="10"/>
  <c r="BK220" i="10"/>
  <c r="AA220" i="10"/>
  <c r="CV220" i="10"/>
  <c r="DA220" i="10"/>
  <c r="BR220" i="10"/>
  <c r="CI220" i="10"/>
  <c r="Y220" i="10"/>
  <c r="AT220" i="10"/>
  <c r="CU220" i="10"/>
  <c r="BX220" i="10"/>
  <c r="DK220" i="10"/>
  <c r="H220" i="10"/>
  <c r="E220" i="10"/>
  <c r="CG220" i="10"/>
  <c r="AK220" i="10"/>
  <c r="AF220" i="10"/>
  <c r="DJ220" i="10"/>
  <c r="AS220" i="10"/>
  <c r="CH220" i="10"/>
  <c r="BD220" i="10"/>
  <c r="CJ220" i="10"/>
  <c r="AV220" i="10"/>
  <c r="U220" i="10"/>
  <c r="CW220" i="10"/>
  <c r="BZ220" i="10"/>
  <c r="K220" i="10"/>
  <c r="AL220" i="10"/>
  <c r="CO220" i="10"/>
  <c r="AP220" i="10"/>
  <c r="BC220" i="10"/>
  <c r="BU220" i="10"/>
  <c r="BH220" i="10"/>
  <c r="DD220" i="10"/>
  <c r="AM220" i="10"/>
  <c r="AG220" i="10"/>
  <c r="S220" i="10"/>
  <c r="AB220" i="10"/>
  <c r="BJ220" i="10"/>
  <c r="AQ220" i="10"/>
  <c r="CP220" i="10"/>
  <c r="BF220" i="10"/>
  <c r="AC220" i="10"/>
  <c r="CE220" i="10"/>
  <c r="D220" i="10"/>
  <c r="BL220" i="10"/>
  <c r="V220" i="10"/>
  <c r="CT220" i="10"/>
  <c r="C220" i="10"/>
  <c r="HM7" i="1" l="1"/>
  <c r="HM9" i="1"/>
  <c r="HN2" i="1" s="1"/>
  <c r="HN10" i="1" l="1"/>
  <c r="HN6" i="1"/>
  <c r="B221" i="10"/>
  <c r="HM8" i="1"/>
  <c r="HN5" i="1"/>
  <c r="HN9" i="1" s="1"/>
  <c r="AG221" i="10" l="1"/>
  <c r="CL221" i="10"/>
  <c r="CP221" i="10"/>
  <c r="BJ221" i="10"/>
  <c r="CH221" i="10"/>
  <c r="Z221" i="10"/>
  <c r="CD221" i="10"/>
  <c r="AI221" i="10"/>
  <c r="BU221" i="10"/>
  <c r="AY221" i="10"/>
  <c r="BH221" i="10"/>
  <c r="BX221" i="10"/>
  <c r="BP221" i="10"/>
  <c r="DI221" i="10"/>
  <c r="BN221" i="10"/>
  <c r="AQ221" i="10"/>
  <c r="CC221" i="10"/>
  <c r="BB221" i="10"/>
  <c r="AH221" i="10"/>
  <c r="BR221" i="10"/>
  <c r="AR221" i="10"/>
  <c r="AU221" i="10"/>
  <c r="CI221" i="10"/>
  <c r="BE221" i="10"/>
  <c r="BA221" i="10"/>
  <c r="AL221" i="10"/>
  <c r="DG221" i="10"/>
  <c r="AX221" i="10"/>
  <c r="BF221" i="10"/>
  <c r="CW221" i="10"/>
  <c r="BO221" i="10"/>
  <c r="D221" i="10"/>
  <c r="AM221" i="10"/>
  <c r="CZ221" i="10"/>
  <c r="H221" i="10"/>
  <c r="CG221" i="10"/>
  <c r="J221" i="10"/>
  <c r="BW221" i="10"/>
  <c r="AN221" i="10"/>
  <c r="DA221" i="10"/>
  <c r="O221" i="10"/>
  <c r="AS221" i="10"/>
  <c r="DD221" i="10"/>
  <c r="CF221" i="10"/>
  <c r="CQ221" i="10"/>
  <c r="AK221" i="10"/>
  <c r="AD221" i="10"/>
  <c r="AF221" i="10"/>
  <c r="AA221" i="10"/>
  <c r="CS221" i="10"/>
  <c r="T221" i="10"/>
  <c r="BT221" i="10"/>
  <c r="BK221" i="10"/>
  <c r="BS221" i="10"/>
  <c r="C221" i="10"/>
  <c r="AP221" i="10"/>
  <c r="BZ221" i="10"/>
  <c r="BI221" i="10"/>
  <c r="CV221" i="10"/>
  <c r="CM221" i="10"/>
  <c r="R221" i="10"/>
  <c r="P221" i="10"/>
  <c r="DK221" i="10"/>
  <c r="DH221" i="10"/>
  <c r="E221" i="10"/>
  <c r="AV221" i="10"/>
  <c r="DF221" i="10"/>
  <c r="W221" i="10"/>
  <c r="Q221" i="10"/>
  <c r="S221" i="10"/>
  <c r="DJ221" i="10"/>
  <c r="AJ221" i="10"/>
  <c r="L221" i="10"/>
  <c r="CT221" i="10"/>
  <c r="AC221" i="10"/>
  <c r="CR221" i="10"/>
  <c r="DC221" i="10"/>
  <c r="CX221" i="10"/>
  <c r="K221" i="10"/>
  <c r="BV221" i="10"/>
  <c r="BD221" i="10"/>
  <c r="BM221" i="10"/>
  <c r="X221" i="10"/>
  <c r="DE221" i="10"/>
  <c r="CA221" i="10"/>
  <c r="CJ221" i="10"/>
  <c r="AE221" i="10"/>
  <c r="F221" i="10"/>
  <c r="CO221" i="10"/>
  <c r="Y221" i="10"/>
  <c r="CN221" i="10"/>
  <c r="AZ221" i="10"/>
  <c r="I221" i="10"/>
  <c r="BY221" i="10"/>
  <c r="DB221" i="10"/>
  <c r="AW221" i="10"/>
  <c r="N221" i="10"/>
  <c r="CB221" i="10"/>
  <c r="BG221" i="10"/>
  <c r="AO221" i="10"/>
  <c r="BQ221" i="10"/>
  <c r="G221" i="10"/>
  <c r="AT221" i="10"/>
  <c r="M221" i="10"/>
  <c r="CK221" i="10"/>
  <c r="BL221" i="10"/>
  <c r="U221" i="10"/>
  <c r="CY221" i="10"/>
  <c r="CU221" i="10"/>
  <c r="AB221" i="10"/>
  <c r="V221" i="10"/>
  <c r="BC221" i="10"/>
  <c r="CE221" i="10"/>
  <c r="HN7" i="1"/>
  <c r="B222" i="10" l="1"/>
  <c r="HN8" i="1"/>
  <c r="HO6" i="1"/>
  <c r="HO2" i="1"/>
  <c r="HO10" i="1" s="1"/>
  <c r="HO5" i="1" l="1"/>
  <c r="HO9" i="1" s="1"/>
  <c r="AP222" i="10"/>
  <c r="DE222" i="10"/>
  <c r="BH222" i="10"/>
  <c r="DD222" i="10"/>
  <c r="AA222" i="10"/>
  <c r="BK222" i="10"/>
  <c r="AG222" i="10"/>
  <c r="DI222" i="10"/>
  <c r="AK222" i="10"/>
  <c r="CC222" i="10"/>
  <c r="BX222" i="10"/>
  <c r="BG222" i="10"/>
  <c r="BO222" i="10"/>
  <c r="BA222" i="10"/>
  <c r="M222" i="10"/>
  <c r="CS222" i="10"/>
  <c r="BQ222" i="10"/>
  <c r="BI222" i="10"/>
  <c r="DH222" i="10"/>
  <c r="S222" i="10"/>
  <c r="BT222" i="10"/>
  <c r="H222" i="10"/>
  <c r="AV222" i="10"/>
  <c r="BJ222" i="10"/>
  <c r="N222" i="10"/>
  <c r="CF222" i="10"/>
  <c r="AR222" i="10"/>
  <c r="CA222" i="10"/>
  <c r="CX222" i="10"/>
  <c r="V222" i="10"/>
  <c r="BZ222" i="10"/>
  <c r="BR222" i="10"/>
  <c r="AB222" i="10"/>
  <c r="Y222" i="10"/>
  <c r="AE222" i="10"/>
  <c r="BP222" i="10"/>
  <c r="P222" i="10"/>
  <c r="BD222" i="10"/>
  <c r="C222" i="10"/>
  <c r="R222" i="10"/>
  <c r="O222" i="10"/>
  <c r="D222" i="10"/>
  <c r="CH222" i="10"/>
  <c r="CK222" i="10"/>
  <c r="AN222" i="10"/>
  <c r="AQ222" i="10"/>
  <c r="DA222" i="10"/>
  <c r="BU222" i="10"/>
  <c r="U222" i="10"/>
  <c r="BM222" i="10"/>
  <c r="CG222" i="10"/>
  <c r="Q222" i="10"/>
  <c r="DF222" i="10"/>
  <c r="AS222" i="10"/>
  <c r="CJ222" i="10"/>
  <c r="AZ222" i="10"/>
  <c r="CQ222" i="10"/>
  <c r="AI222" i="10"/>
  <c r="AY222" i="10"/>
  <c r="AX222" i="10"/>
  <c r="BS222" i="10"/>
  <c r="AL222" i="10"/>
  <c r="AH222" i="10"/>
  <c r="Z222" i="10"/>
  <c r="CR222" i="10"/>
  <c r="AM222" i="10"/>
  <c r="AT222" i="10"/>
  <c r="DC222" i="10"/>
  <c r="CL222" i="10"/>
  <c r="DG222" i="10"/>
  <c r="BV222" i="10"/>
  <c r="DK222" i="10"/>
  <c r="CV222" i="10"/>
  <c r="BW222" i="10"/>
  <c r="BC222" i="10"/>
  <c r="CU222" i="10"/>
  <c r="G222" i="10"/>
  <c r="CD222" i="10"/>
  <c r="CZ222" i="10"/>
  <c r="K222" i="10"/>
  <c r="AO222" i="10"/>
  <c r="BF222" i="10"/>
  <c r="CM222" i="10"/>
  <c r="CB222" i="10"/>
  <c r="CT222" i="10"/>
  <c r="BB222" i="10"/>
  <c r="T222" i="10"/>
  <c r="I222" i="10"/>
  <c r="AC222" i="10"/>
  <c r="CI222" i="10"/>
  <c r="DJ222" i="10"/>
  <c r="CP222" i="10"/>
  <c r="AW222" i="10"/>
  <c r="AD222" i="10"/>
  <c r="J222" i="10"/>
  <c r="AU222" i="10"/>
  <c r="BY222" i="10"/>
  <c r="W222" i="10"/>
  <c r="E222" i="10"/>
  <c r="AF222" i="10"/>
  <c r="CW222" i="10"/>
  <c r="DB222" i="10"/>
  <c r="BE222" i="10"/>
  <c r="CY222" i="10"/>
  <c r="X222" i="10"/>
  <c r="L222" i="10"/>
  <c r="BL222" i="10"/>
  <c r="F222" i="10"/>
  <c r="BN222" i="10"/>
  <c r="CE222" i="10"/>
  <c r="CN222" i="10"/>
  <c r="AJ222" i="10"/>
  <c r="CO222" i="10"/>
  <c r="HO7" i="1" l="1"/>
  <c r="HO8" i="1" l="1"/>
  <c r="B223" i="10"/>
  <c r="HP6" i="1"/>
  <c r="HP2" i="1"/>
  <c r="HP10" i="1" s="1"/>
  <c r="HP5" i="1" l="1"/>
  <c r="HP9" i="1" s="1"/>
  <c r="CT223" i="10"/>
  <c r="CA223" i="10"/>
  <c r="Y223" i="10"/>
  <c r="BS223" i="10"/>
  <c r="CK223" i="10"/>
  <c r="DC223" i="10"/>
  <c r="CW223" i="10"/>
  <c r="BQ223" i="10"/>
  <c r="H223" i="10"/>
  <c r="AJ223" i="10"/>
  <c r="AB223" i="10"/>
  <c r="DJ223" i="10"/>
  <c r="R223" i="10"/>
  <c r="Z223" i="10"/>
  <c r="BK223" i="10"/>
  <c r="AR223" i="10"/>
  <c r="AS223" i="10"/>
  <c r="CF223" i="10"/>
  <c r="CL223" i="10"/>
  <c r="AG223" i="10"/>
  <c r="BR223" i="10"/>
  <c r="BY223" i="10"/>
  <c r="BJ223" i="10"/>
  <c r="BF223" i="10"/>
  <c r="AP223" i="10"/>
  <c r="CI223" i="10"/>
  <c r="BN223" i="10"/>
  <c r="D223" i="10"/>
  <c r="M223" i="10"/>
  <c r="CJ223" i="10"/>
  <c r="CR223" i="10"/>
  <c r="BX223" i="10"/>
  <c r="L223" i="10"/>
  <c r="CX223" i="10"/>
  <c r="CO223" i="10"/>
  <c r="BW223" i="10"/>
  <c r="DA223" i="10"/>
  <c r="DE223" i="10"/>
  <c r="AI223" i="10"/>
  <c r="DG223" i="10"/>
  <c r="AW223" i="10"/>
  <c r="CQ223" i="10"/>
  <c r="DB223" i="10"/>
  <c r="CH223" i="10"/>
  <c r="C223" i="10"/>
  <c r="J223" i="10"/>
  <c r="CS223" i="10"/>
  <c r="CM223" i="10"/>
  <c r="AO223" i="10"/>
  <c r="BH223" i="10"/>
  <c r="AY223" i="10"/>
  <c r="G223" i="10"/>
  <c r="O223" i="10"/>
  <c r="AH223" i="10"/>
  <c r="E223" i="10"/>
  <c r="CV223" i="10"/>
  <c r="K223" i="10"/>
  <c r="AF223" i="10"/>
  <c r="DH223" i="10"/>
  <c r="AT223" i="10"/>
  <c r="AD223" i="10"/>
  <c r="CZ223" i="10"/>
  <c r="AA223" i="10"/>
  <c r="CD223" i="10"/>
  <c r="BG223" i="10"/>
  <c r="F223" i="10"/>
  <c r="AL223" i="10"/>
  <c r="T223" i="10"/>
  <c r="DI223" i="10"/>
  <c r="X223" i="10"/>
  <c r="N223" i="10"/>
  <c r="AU223" i="10"/>
  <c r="AK223" i="10"/>
  <c r="BV223" i="10"/>
  <c r="AQ223" i="10"/>
  <c r="BD223" i="10"/>
  <c r="CC223" i="10"/>
  <c r="AV223" i="10"/>
  <c r="AX223" i="10"/>
  <c r="DF223" i="10"/>
  <c r="I223" i="10"/>
  <c r="CE223" i="10"/>
  <c r="CB223" i="10"/>
  <c r="V223" i="10"/>
  <c r="CU223" i="10"/>
  <c r="CY223" i="10"/>
  <c r="BT223" i="10"/>
  <c r="BA223" i="10"/>
  <c r="P223" i="10"/>
  <c r="BI223" i="10"/>
  <c r="AE223" i="10"/>
  <c r="CN223" i="10"/>
  <c r="AZ223" i="10"/>
  <c r="Q223" i="10"/>
  <c r="BM223" i="10"/>
  <c r="DK223" i="10"/>
  <c r="W223" i="10"/>
  <c r="AN223" i="10"/>
  <c r="BE223" i="10"/>
  <c r="AM223" i="10"/>
  <c r="U223" i="10"/>
  <c r="CG223" i="10"/>
  <c r="DD223" i="10"/>
  <c r="BP223" i="10"/>
  <c r="BZ223" i="10"/>
  <c r="AC223" i="10"/>
  <c r="BB223" i="10"/>
  <c r="CP223" i="10"/>
  <c r="BU223" i="10"/>
  <c r="BC223" i="10"/>
  <c r="S223" i="10"/>
  <c r="BL223" i="10"/>
  <c r="BO223" i="10"/>
  <c r="HP7" i="1" l="1"/>
  <c r="HQ2" i="1" l="1"/>
  <c r="HQ5" i="1" s="1"/>
  <c r="HQ9" i="1" s="1"/>
  <c r="B224" i="10"/>
  <c r="HQ10" i="1"/>
  <c r="HQ6" i="1"/>
  <c r="HP8" i="1"/>
  <c r="HQ7" i="1" l="1"/>
  <c r="CD224" i="10"/>
  <c r="CH224" i="10"/>
  <c r="AT224" i="10"/>
  <c r="Y224" i="10"/>
  <c r="AM224" i="10"/>
  <c r="C224" i="10"/>
  <c r="R224" i="10"/>
  <c r="K224" i="10"/>
  <c r="CA224" i="10"/>
  <c r="DK224" i="10"/>
  <c r="AA224" i="10"/>
  <c r="BZ224" i="10"/>
  <c r="AS224" i="10"/>
  <c r="BU224" i="10"/>
  <c r="AF224" i="10"/>
  <c r="H224" i="10"/>
  <c r="CV224" i="10"/>
  <c r="BP224" i="10"/>
  <c r="D224" i="10"/>
  <c r="DI224" i="10"/>
  <c r="BQ224" i="10"/>
  <c r="CN224" i="10"/>
  <c r="AG224" i="10"/>
  <c r="BK224" i="10"/>
  <c r="AJ224" i="10"/>
  <c r="DA224" i="10"/>
  <c r="AY224" i="10"/>
  <c r="N224" i="10"/>
  <c r="BN224" i="10"/>
  <c r="AK224" i="10"/>
  <c r="CP224" i="10"/>
  <c r="BD224" i="10"/>
  <c r="CY224" i="10"/>
  <c r="BV224" i="10"/>
  <c r="BR224" i="10"/>
  <c r="G224" i="10"/>
  <c r="CE224" i="10"/>
  <c r="X224" i="10"/>
  <c r="AR224" i="10"/>
  <c r="CZ224" i="10"/>
  <c r="AH224" i="10"/>
  <c r="CO224" i="10"/>
  <c r="W224" i="10"/>
  <c r="CC224" i="10"/>
  <c r="V224" i="10"/>
  <c r="AP224" i="10"/>
  <c r="U224" i="10"/>
  <c r="CM224" i="10"/>
  <c r="AW224" i="10"/>
  <c r="BA224" i="10"/>
  <c r="CL224" i="10"/>
  <c r="DE224" i="10"/>
  <c r="DD224" i="10"/>
  <c r="BS224" i="10"/>
  <c r="DF224" i="10"/>
  <c r="F224" i="10"/>
  <c r="BI224" i="10"/>
  <c r="BT224" i="10"/>
  <c r="BB224" i="10"/>
  <c r="E224" i="10"/>
  <c r="Z224" i="10"/>
  <c r="S224" i="10"/>
  <c r="AU224" i="10"/>
  <c r="DC224" i="10"/>
  <c r="CI224" i="10"/>
  <c r="DH224" i="10"/>
  <c r="Q224" i="10"/>
  <c r="BF224" i="10"/>
  <c r="P224" i="10"/>
  <c r="AC224" i="10"/>
  <c r="CX224" i="10"/>
  <c r="AL224" i="10"/>
  <c r="DG224" i="10"/>
  <c r="AO224" i="10"/>
  <c r="AZ224" i="10"/>
  <c r="DJ224" i="10"/>
  <c r="CF224" i="10"/>
  <c r="BY224" i="10"/>
  <c r="J224" i="10"/>
  <c r="CW224" i="10"/>
  <c r="AN224" i="10"/>
  <c r="CQ224" i="10"/>
  <c r="CJ224" i="10"/>
  <c r="AD224" i="10"/>
  <c r="AQ224" i="10"/>
  <c r="CG224" i="10"/>
  <c r="O224" i="10"/>
  <c r="BW224" i="10"/>
  <c r="BM224" i="10"/>
  <c r="BX224" i="10"/>
  <c r="CR224" i="10"/>
  <c r="AB224" i="10"/>
  <c r="CB224" i="10"/>
  <c r="CS224" i="10"/>
  <c r="M224" i="10"/>
  <c r="BO224" i="10"/>
  <c r="BL224" i="10"/>
  <c r="CK224" i="10"/>
  <c r="AI224" i="10"/>
  <c r="I224" i="10"/>
  <c r="CT224" i="10"/>
  <c r="BE224" i="10"/>
  <c r="CU224" i="10"/>
  <c r="BJ224" i="10"/>
  <c r="L224" i="10"/>
  <c r="T224" i="10"/>
  <c r="BH224" i="10"/>
  <c r="AV224" i="10"/>
  <c r="DB224" i="10"/>
  <c r="AX224" i="10"/>
  <c r="BG224" i="10"/>
  <c r="BC224" i="10"/>
  <c r="AE224" i="10"/>
  <c r="HR2" i="1" l="1"/>
  <c r="HR5" i="1" s="1"/>
  <c r="HR9" i="1" s="1"/>
  <c r="HR6" i="1"/>
  <c r="B225" i="10"/>
  <c r="HR10" i="1"/>
  <c r="HQ8" i="1"/>
  <c r="HR7" i="1" l="1"/>
  <c r="C225" i="10"/>
  <c r="BA225" i="10"/>
  <c r="AU225" i="10"/>
  <c r="BU225" i="10"/>
  <c r="AC225" i="10"/>
  <c r="CE225" i="10"/>
  <c r="CF225" i="10"/>
  <c r="BY225" i="10"/>
  <c r="W225" i="10"/>
  <c r="CP225" i="10"/>
  <c r="AG225" i="10"/>
  <c r="BL225" i="10"/>
  <c r="BP225" i="10"/>
  <c r="H225" i="10"/>
  <c r="CJ225" i="10"/>
  <c r="AI225" i="10"/>
  <c r="DJ225" i="10"/>
  <c r="AK225" i="10"/>
  <c r="N225" i="10"/>
  <c r="AD225" i="10"/>
  <c r="E225" i="10"/>
  <c r="CM225" i="10"/>
  <c r="DD225" i="10"/>
  <c r="CL225" i="10"/>
  <c r="I225" i="10"/>
  <c r="BR225" i="10"/>
  <c r="L225" i="10"/>
  <c r="BH225" i="10"/>
  <c r="BS225" i="10"/>
  <c r="BD225" i="10"/>
  <c r="BF225" i="10"/>
  <c r="BK225" i="10"/>
  <c r="CZ225" i="10"/>
  <c r="BE225" i="10"/>
  <c r="DC225" i="10"/>
  <c r="BC225" i="10"/>
  <c r="BZ225" i="10"/>
  <c r="AA225" i="10"/>
  <c r="BQ225" i="10"/>
  <c r="O225" i="10"/>
  <c r="AT225" i="10"/>
  <c r="DE225" i="10"/>
  <c r="BM225" i="10"/>
  <c r="CI225" i="10"/>
  <c r="Q225" i="10"/>
  <c r="J225" i="10"/>
  <c r="CH225" i="10"/>
  <c r="F225" i="10"/>
  <c r="DA225" i="10"/>
  <c r="AV225" i="10"/>
  <c r="AW225" i="10"/>
  <c r="CD225" i="10"/>
  <c r="R225" i="10"/>
  <c r="DK225" i="10"/>
  <c r="CQ225" i="10"/>
  <c r="DF225" i="10"/>
  <c r="CU225" i="10"/>
  <c r="CX225" i="10"/>
  <c r="U225" i="10"/>
  <c r="CA225" i="10"/>
  <c r="AR225" i="10"/>
  <c r="CS225" i="10"/>
  <c r="X225" i="10"/>
  <c r="AO225" i="10"/>
  <c r="CK225" i="10"/>
  <c r="AH225" i="10"/>
  <c r="DH225" i="10"/>
  <c r="CO225" i="10"/>
  <c r="Y225" i="10"/>
  <c r="AF225" i="10"/>
  <c r="AZ225" i="10"/>
  <c r="CT225" i="10"/>
  <c r="CY225" i="10"/>
  <c r="BV225" i="10"/>
  <c r="AE225" i="10"/>
  <c r="M225" i="10"/>
  <c r="AQ225" i="10"/>
  <c r="CB225" i="10"/>
  <c r="P225" i="10"/>
  <c r="BT225" i="10"/>
  <c r="DB225" i="10"/>
  <c r="BW225" i="10"/>
  <c r="CG225" i="10"/>
  <c r="K225" i="10"/>
  <c r="BO225" i="10"/>
  <c r="DI225" i="10"/>
  <c r="CN225" i="10"/>
  <c r="BI225" i="10"/>
  <c r="AB225" i="10"/>
  <c r="BG225" i="10"/>
  <c r="D225" i="10"/>
  <c r="Z225" i="10"/>
  <c r="AJ225" i="10"/>
  <c r="G225" i="10"/>
  <c r="V225" i="10"/>
  <c r="T225" i="10"/>
  <c r="DG225" i="10"/>
  <c r="AN225" i="10"/>
  <c r="CW225" i="10"/>
  <c r="CV225" i="10"/>
  <c r="BB225" i="10"/>
  <c r="AL225" i="10"/>
  <c r="CC225" i="10"/>
  <c r="BJ225" i="10"/>
  <c r="BX225" i="10"/>
  <c r="AP225" i="10"/>
  <c r="AY225" i="10"/>
  <c r="BN225" i="10"/>
  <c r="AS225" i="10"/>
  <c r="AM225" i="10"/>
  <c r="CR225" i="10"/>
  <c r="S225" i="10"/>
  <c r="AX225" i="10"/>
  <c r="HS2" i="1" l="1"/>
  <c r="HS5" i="1" s="1"/>
  <c r="HS9" i="1" s="1"/>
  <c r="HS6" i="1"/>
  <c r="HR8" i="1"/>
  <c r="B226" i="10"/>
  <c r="HS10" i="1"/>
  <c r="HS7" i="1" l="1"/>
  <c r="BW226" i="10"/>
  <c r="DE226" i="10"/>
  <c r="V226" i="10"/>
  <c r="AP226" i="10"/>
  <c r="AF226" i="10"/>
  <c r="CF226" i="10"/>
  <c r="C226" i="10"/>
  <c r="AO226" i="10"/>
  <c r="DB226" i="10"/>
  <c r="AT226" i="10"/>
  <c r="BP226" i="10"/>
  <c r="AH226" i="10"/>
  <c r="BC226" i="10"/>
  <c r="AB226" i="10"/>
  <c r="CI226" i="10"/>
  <c r="CK226" i="10"/>
  <c r="D226" i="10"/>
  <c r="BO226" i="10"/>
  <c r="BM226" i="10"/>
  <c r="BN226" i="10"/>
  <c r="AQ226" i="10"/>
  <c r="BJ226" i="10"/>
  <c r="BH226" i="10"/>
  <c r="L226" i="10"/>
  <c r="DD226" i="10"/>
  <c r="DJ226" i="10"/>
  <c r="BV226" i="10"/>
  <c r="DK226" i="10"/>
  <c r="R226" i="10"/>
  <c r="CJ226" i="10"/>
  <c r="AV226" i="10"/>
  <c r="Y226" i="10"/>
  <c r="AX226" i="10"/>
  <c r="AM226" i="10"/>
  <c r="CP226" i="10"/>
  <c r="CG226" i="10"/>
  <c r="BT226" i="10"/>
  <c r="BU226" i="10"/>
  <c r="X226" i="10"/>
  <c r="DH226" i="10"/>
  <c r="BK226" i="10"/>
  <c r="AA226" i="10"/>
  <c r="AY226" i="10"/>
  <c r="W226" i="10"/>
  <c r="AN226" i="10"/>
  <c r="CC226" i="10"/>
  <c r="U226" i="10"/>
  <c r="DA226" i="10"/>
  <c r="BX226" i="10"/>
  <c r="AS226" i="10"/>
  <c r="H226" i="10"/>
  <c r="CQ226" i="10"/>
  <c r="AD226" i="10"/>
  <c r="CO226" i="10"/>
  <c r="BZ226" i="10"/>
  <c r="M226" i="10"/>
  <c r="CW226" i="10"/>
  <c r="DC226" i="10"/>
  <c r="CU226" i="10"/>
  <c r="CR226" i="10"/>
  <c r="BL226" i="10"/>
  <c r="BQ226" i="10"/>
  <c r="AG226" i="10"/>
  <c r="Z226" i="10"/>
  <c r="BA226" i="10"/>
  <c r="Q226" i="10"/>
  <c r="CT226" i="10"/>
  <c r="T226" i="10"/>
  <c r="BY226" i="10"/>
  <c r="DG226" i="10"/>
  <c r="BI226" i="10"/>
  <c r="AW226" i="10"/>
  <c r="S226" i="10"/>
  <c r="CL226" i="10"/>
  <c r="CS226" i="10"/>
  <c r="CZ226" i="10"/>
  <c r="AU226" i="10"/>
  <c r="CE226" i="10"/>
  <c r="AI226" i="10"/>
  <c r="DI226" i="10"/>
  <c r="CX226" i="10"/>
  <c r="CN226" i="10"/>
  <c r="I226" i="10"/>
  <c r="BR226" i="10"/>
  <c r="AL226" i="10"/>
  <c r="CB226" i="10"/>
  <c r="AC226" i="10"/>
  <c r="CA226" i="10"/>
  <c r="CM226" i="10"/>
  <c r="O226" i="10"/>
  <c r="K226" i="10"/>
  <c r="CY226" i="10"/>
  <c r="BD226" i="10"/>
  <c r="AE226" i="10"/>
  <c r="E226" i="10"/>
  <c r="N226" i="10"/>
  <c r="AJ226" i="10"/>
  <c r="AZ226" i="10"/>
  <c r="BS226" i="10"/>
  <c r="CH226" i="10"/>
  <c r="P226" i="10"/>
  <c r="BB226" i="10"/>
  <c r="G226" i="10"/>
  <c r="BF226" i="10"/>
  <c r="J226" i="10"/>
  <c r="AR226" i="10"/>
  <c r="DF226" i="10"/>
  <c r="F226" i="10"/>
  <c r="AK226" i="10"/>
  <c r="CV226" i="10"/>
  <c r="BG226" i="10"/>
  <c r="BE226" i="10"/>
  <c r="CD226" i="10"/>
  <c r="B227" i="10" l="1"/>
  <c r="HT6" i="1"/>
  <c r="HS8" i="1"/>
  <c r="HT2" i="1"/>
  <c r="HT10" i="1" s="1"/>
  <c r="HT5" i="1" l="1"/>
  <c r="AZ227" i="10"/>
  <c r="CL227" i="10"/>
  <c r="AW227" i="10"/>
  <c r="AQ227" i="10"/>
  <c r="BA227" i="10"/>
  <c r="CA227" i="10"/>
  <c r="BU227" i="10"/>
  <c r="BC227" i="10"/>
  <c r="Z227" i="10"/>
  <c r="DJ227" i="10"/>
  <c r="BP227" i="10"/>
  <c r="CD227" i="10"/>
  <c r="AD227" i="10"/>
  <c r="AB227" i="10"/>
  <c r="DA227" i="10"/>
  <c r="AS227" i="10"/>
  <c r="AG227" i="10"/>
  <c r="BI227" i="10"/>
  <c r="X227" i="10"/>
  <c r="W227" i="10"/>
  <c r="CH227" i="10"/>
  <c r="BH227" i="10"/>
  <c r="AR227" i="10"/>
  <c r="BX227" i="10"/>
  <c r="BL227" i="10"/>
  <c r="CB227" i="10"/>
  <c r="BO227" i="10"/>
  <c r="AM227" i="10"/>
  <c r="AK227" i="10"/>
  <c r="AJ227" i="10"/>
  <c r="U227" i="10"/>
  <c r="CF227" i="10"/>
  <c r="R227" i="10"/>
  <c r="K227" i="10"/>
  <c r="BR227" i="10"/>
  <c r="DI227" i="10"/>
  <c r="DE227" i="10"/>
  <c r="CJ227" i="10"/>
  <c r="E227" i="10"/>
  <c r="BY227" i="10"/>
  <c r="O227" i="10"/>
  <c r="AC227" i="10"/>
  <c r="DK227" i="10"/>
  <c r="CV227" i="10"/>
  <c r="CN227" i="10"/>
  <c r="N227" i="10"/>
  <c r="BT227" i="10"/>
  <c r="BJ227" i="10"/>
  <c r="CG227" i="10"/>
  <c r="DG227" i="10"/>
  <c r="C227" i="10"/>
  <c r="CX227" i="10"/>
  <c r="CE227" i="10"/>
  <c r="Q227" i="10"/>
  <c r="AV227" i="10"/>
  <c r="AF227" i="10"/>
  <c r="S227" i="10"/>
  <c r="V227" i="10"/>
  <c r="DC227" i="10"/>
  <c r="BQ227" i="10"/>
  <c r="I227" i="10"/>
  <c r="CR227" i="10"/>
  <c r="BN227" i="10"/>
  <c r="CT227" i="10"/>
  <c r="AN227" i="10"/>
  <c r="AA227" i="10"/>
  <c r="AH227" i="10"/>
  <c r="M227" i="10"/>
  <c r="CZ227" i="10"/>
  <c r="BV227" i="10"/>
  <c r="AP227" i="10"/>
  <c r="BM227" i="10"/>
  <c r="AY227" i="10"/>
  <c r="AO227" i="10"/>
  <c r="DD227" i="10"/>
  <c r="BB227" i="10"/>
  <c r="CK227" i="10"/>
  <c r="DB227" i="10"/>
  <c r="D227" i="10"/>
  <c r="BS227" i="10"/>
  <c r="CC227" i="10"/>
  <c r="BW227" i="10"/>
  <c r="CI227" i="10"/>
  <c r="BK227" i="10"/>
  <c r="CM227" i="10"/>
  <c r="CS227" i="10"/>
  <c r="H227" i="10"/>
  <c r="AE227" i="10"/>
  <c r="CY227" i="10"/>
  <c r="DH227" i="10"/>
  <c r="AL227" i="10"/>
  <c r="Y227" i="10"/>
  <c r="AI227" i="10"/>
  <c r="AT227" i="10"/>
  <c r="CW227" i="10"/>
  <c r="CP227" i="10"/>
  <c r="CO227" i="10"/>
  <c r="F227" i="10"/>
  <c r="G227" i="10"/>
  <c r="BD227" i="10"/>
  <c r="BE227" i="10"/>
  <c r="BF227" i="10"/>
  <c r="AU227" i="10"/>
  <c r="BG227" i="10"/>
  <c r="T227" i="10"/>
  <c r="DF227" i="10"/>
  <c r="CU227" i="10"/>
  <c r="AX227" i="10"/>
  <c r="L227" i="10"/>
  <c r="CQ227" i="10"/>
  <c r="BZ227" i="10"/>
  <c r="P227" i="10"/>
  <c r="J227" i="10"/>
  <c r="HT7" i="1" l="1"/>
  <c r="HT9" i="1"/>
  <c r="HU2" i="1"/>
  <c r="HU10" i="1" l="1"/>
  <c r="HU5" i="1"/>
  <c r="HU9" i="1" s="1"/>
  <c r="HT8" i="1"/>
  <c r="B228" i="10"/>
  <c r="HU6" i="1"/>
  <c r="HU7" i="1"/>
  <c r="E228" i="10" l="1"/>
  <c r="N228" i="10"/>
  <c r="G228" i="10"/>
  <c r="C228" i="10"/>
  <c r="CE228" i="10"/>
  <c r="H228" i="10"/>
  <c r="BW228" i="10"/>
  <c r="CW228" i="10"/>
  <c r="AJ228" i="10"/>
  <c r="BV228" i="10"/>
  <c r="J228" i="10"/>
  <c r="P228" i="10"/>
  <c r="AM228" i="10"/>
  <c r="BT228" i="10"/>
  <c r="CN228" i="10"/>
  <c r="BC228" i="10"/>
  <c r="DC228" i="10"/>
  <c r="M228" i="10"/>
  <c r="O228" i="10"/>
  <c r="DF228" i="10"/>
  <c r="AV228" i="10"/>
  <c r="BI228" i="10"/>
  <c r="AW228" i="10"/>
  <c r="AQ228" i="10"/>
  <c r="AF228" i="10"/>
  <c r="CR228" i="10"/>
  <c r="AO228" i="10"/>
  <c r="DI228" i="10"/>
  <c r="BD228" i="10"/>
  <c r="BH228" i="10"/>
  <c r="BA228" i="10"/>
  <c r="CL228" i="10"/>
  <c r="BK228" i="10"/>
  <c r="AK228" i="10"/>
  <c r="CU228" i="10"/>
  <c r="DJ228" i="10"/>
  <c r="CV228" i="10"/>
  <c r="AL228" i="10"/>
  <c r="BL228" i="10"/>
  <c r="T228" i="10"/>
  <c r="D228" i="10"/>
  <c r="BY228" i="10"/>
  <c r="BM228" i="10"/>
  <c r="AC228" i="10"/>
  <c r="Y228" i="10"/>
  <c r="CQ228" i="10"/>
  <c r="S228" i="10"/>
  <c r="CB228" i="10"/>
  <c r="AN228" i="10"/>
  <c r="U228" i="10"/>
  <c r="CF228" i="10"/>
  <c r="AB228" i="10"/>
  <c r="V228" i="10"/>
  <c r="CG228" i="10"/>
  <c r="DB228" i="10"/>
  <c r="DA228" i="10"/>
  <c r="AE228" i="10"/>
  <c r="CY228" i="10"/>
  <c r="CT228" i="10"/>
  <c r="AR228" i="10"/>
  <c r="AD228" i="10"/>
  <c r="CD228" i="10"/>
  <c r="BO228" i="10"/>
  <c r="BJ228" i="10"/>
  <c r="BB228" i="10"/>
  <c r="BN228" i="10"/>
  <c r="CP228" i="10"/>
  <c r="BX228" i="10"/>
  <c r="BU228" i="10"/>
  <c r="AP228" i="10"/>
  <c r="Z228" i="10"/>
  <c r="CX228" i="10"/>
  <c r="AA228" i="10"/>
  <c r="AZ228" i="10"/>
  <c r="DE228" i="10"/>
  <c r="AY228" i="10"/>
  <c r="CH228" i="10"/>
  <c r="R228" i="10"/>
  <c r="W228" i="10"/>
  <c r="AI228" i="10"/>
  <c r="F228" i="10"/>
  <c r="AG228" i="10"/>
  <c r="BZ228" i="10"/>
  <c r="CK228" i="10"/>
  <c r="K228" i="10"/>
  <c r="BF228" i="10"/>
  <c r="AU228" i="10"/>
  <c r="AS228" i="10"/>
  <c r="CM228" i="10"/>
  <c r="BE228" i="10"/>
  <c r="CC228" i="10"/>
  <c r="CA228" i="10"/>
  <c r="CS228" i="10"/>
  <c r="AX228" i="10"/>
  <c r="DK228" i="10"/>
  <c r="BG228" i="10"/>
  <c r="L228" i="10"/>
  <c r="DG228" i="10"/>
  <c r="CI228" i="10"/>
  <c r="BR228" i="10"/>
  <c r="CZ228" i="10"/>
  <c r="BS228" i="10"/>
  <c r="X228" i="10"/>
  <c r="DD228" i="10"/>
  <c r="AT228" i="10"/>
  <c r="AH228" i="10"/>
  <c r="CO228" i="10"/>
  <c r="Q228" i="10"/>
  <c r="CJ228" i="10"/>
  <c r="DH228" i="10"/>
  <c r="BP228" i="10"/>
  <c r="I228" i="10"/>
  <c r="BQ228" i="10"/>
  <c r="HV6" i="1"/>
  <c r="HU8" i="1"/>
  <c r="B229" i="10"/>
  <c r="HV2" i="1"/>
  <c r="HV10" i="1" s="1"/>
  <c r="H229" i="10" l="1"/>
  <c r="BL229" i="10"/>
  <c r="W229" i="10"/>
  <c r="CT229" i="10"/>
  <c r="CJ229" i="10"/>
  <c r="CX229" i="10"/>
  <c r="AC229" i="10"/>
  <c r="AL229" i="10"/>
  <c r="J229" i="10"/>
  <c r="AS229" i="10"/>
  <c r="AN229" i="10"/>
  <c r="R229" i="10"/>
  <c r="CW229" i="10"/>
  <c r="AY229" i="10"/>
  <c r="AQ229" i="10"/>
  <c r="AZ229" i="10"/>
  <c r="Q229" i="10"/>
  <c r="DG229" i="10"/>
  <c r="G229" i="10"/>
  <c r="DI229" i="10"/>
  <c r="N229" i="10"/>
  <c r="CD229" i="10"/>
  <c r="CY229" i="10"/>
  <c r="BM229" i="10"/>
  <c r="AV229" i="10"/>
  <c r="M229" i="10"/>
  <c r="BP229" i="10"/>
  <c r="AU229" i="10"/>
  <c r="K229" i="10"/>
  <c r="DC229" i="10"/>
  <c r="CK229" i="10"/>
  <c r="CE229" i="10"/>
  <c r="CH229" i="10"/>
  <c r="CA229" i="10"/>
  <c r="BD229" i="10"/>
  <c r="BN229" i="10"/>
  <c r="BQ229" i="10"/>
  <c r="CF229" i="10"/>
  <c r="BG229" i="10"/>
  <c r="BV229" i="10"/>
  <c r="AJ229" i="10"/>
  <c r="BF229" i="10"/>
  <c r="BY229" i="10"/>
  <c r="AE229" i="10"/>
  <c r="DF229" i="10"/>
  <c r="D229" i="10"/>
  <c r="DA229" i="10"/>
  <c r="BO229" i="10"/>
  <c r="AM229" i="10"/>
  <c r="BA229" i="10"/>
  <c r="S229" i="10"/>
  <c r="BH229" i="10"/>
  <c r="CL229" i="10"/>
  <c r="DB229" i="10"/>
  <c r="CP229" i="10"/>
  <c r="AO229" i="10"/>
  <c r="AR229" i="10"/>
  <c r="BI229" i="10"/>
  <c r="DD229" i="10"/>
  <c r="CM229" i="10"/>
  <c r="BS229" i="10"/>
  <c r="CN229" i="10"/>
  <c r="BR229" i="10"/>
  <c r="BW229" i="10"/>
  <c r="AB229" i="10"/>
  <c r="AA229" i="10"/>
  <c r="AG229" i="10"/>
  <c r="V229" i="10"/>
  <c r="P229" i="10"/>
  <c r="CU229" i="10"/>
  <c r="BK229" i="10"/>
  <c r="BC229" i="10"/>
  <c r="BB229" i="10"/>
  <c r="BZ229" i="10"/>
  <c r="L229" i="10"/>
  <c r="CR229" i="10"/>
  <c r="DK229" i="10"/>
  <c r="T229" i="10"/>
  <c r="U229" i="10"/>
  <c r="AK229" i="10"/>
  <c r="DE229" i="10"/>
  <c r="F229" i="10"/>
  <c r="Y229" i="10"/>
  <c r="CC229" i="10"/>
  <c r="AF229" i="10"/>
  <c r="DJ229" i="10"/>
  <c r="AD229" i="10"/>
  <c r="O229" i="10"/>
  <c r="CG229" i="10"/>
  <c r="C229" i="10"/>
  <c r="DH229" i="10"/>
  <c r="I229" i="10"/>
  <c r="BE229" i="10"/>
  <c r="AP229" i="10"/>
  <c r="AX229" i="10"/>
  <c r="BU229" i="10"/>
  <c r="CZ229" i="10"/>
  <c r="E229" i="10"/>
  <c r="CS229" i="10"/>
  <c r="CO229" i="10"/>
  <c r="AW229" i="10"/>
  <c r="X229" i="10"/>
  <c r="CV229" i="10"/>
  <c r="CQ229" i="10"/>
  <c r="Z229" i="10"/>
  <c r="BX229" i="10"/>
  <c r="CB229" i="10"/>
  <c r="AH229" i="10"/>
  <c r="BT229" i="10"/>
  <c r="AI229" i="10"/>
  <c r="AT229" i="10"/>
  <c r="BJ229" i="10"/>
  <c r="CI229" i="10"/>
  <c r="HV5" i="1"/>
  <c r="HV9" i="1" s="1"/>
  <c r="HV7" i="1" l="1"/>
  <c r="HW6" i="1" l="1"/>
  <c r="HV8" i="1"/>
  <c r="B230" i="10"/>
  <c r="HW2" i="1"/>
  <c r="HW10" i="1" s="1"/>
  <c r="HW5" i="1" l="1"/>
  <c r="HW9" i="1" s="1"/>
  <c r="CJ230" i="10"/>
  <c r="AJ230" i="10"/>
  <c r="AX230" i="10"/>
  <c r="DH230" i="10"/>
  <c r="CW230" i="10"/>
  <c r="CM230" i="10"/>
  <c r="D230" i="10"/>
  <c r="AW230" i="10"/>
  <c r="T230" i="10"/>
  <c r="BO230" i="10"/>
  <c r="CI230" i="10"/>
  <c r="BW230" i="10"/>
  <c r="Z230" i="10"/>
  <c r="DK230" i="10"/>
  <c r="BR230" i="10"/>
  <c r="R230" i="10"/>
  <c r="AI230" i="10"/>
  <c r="CS230" i="10"/>
  <c r="N230" i="10"/>
  <c r="BB230" i="10"/>
  <c r="AV230" i="10"/>
  <c r="BY230" i="10"/>
  <c r="CF230" i="10"/>
  <c r="C230" i="10"/>
  <c r="CU230" i="10"/>
  <c r="AM230" i="10"/>
  <c r="V230" i="10"/>
  <c r="DC230" i="10"/>
  <c r="AE230" i="10"/>
  <c r="DD230" i="10"/>
  <c r="BG230" i="10"/>
  <c r="CR230" i="10"/>
  <c r="Y230" i="10"/>
  <c r="CK230" i="10"/>
  <c r="BK230" i="10"/>
  <c r="BZ230" i="10"/>
  <c r="DA230" i="10"/>
  <c r="AA230" i="10"/>
  <c r="AZ230" i="10"/>
  <c r="CQ230" i="10"/>
  <c r="AU230" i="10"/>
  <c r="Q230" i="10"/>
  <c r="BE230" i="10"/>
  <c r="DJ230" i="10"/>
  <c r="CN230" i="10"/>
  <c r="BC230" i="10"/>
  <c r="BQ230" i="10"/>
  <c r="CG230" i="10"/>
  <c r="DG230" i="10"/>
  <c r="CH230" i="10"/>
  <c r="AO230" i="10"/>
  <c r="AS230" i="10"/>
  <c r="CL230" i="10"/>
  <c r="BH230" i="10"/>
  <c r="U230" i="10"/>
  <c r="DI230" i="10"/>
  <c r="CE230" i="10"/>
  <c r="CA230" i="10"/>
  <c r="CB230" i="10"/>
  <c r="H230" i="10"/>
  <c r="BX230" i="10"/>
  <c r="CZ230" i="10"/>
  <c r="CV230" i="10"/>
  <c r="BA230" i="10"/>
  <c r="CT230" i="10"/>
  <c r="BM230" i="10"/>
  <c r="AR230" i="10"/>
  <c r="AT230" i="10"/>
  <c r="CY230" i="10"/>
  <c r="AK230" i="10"/>
  <c r="DF230" i="10"/>
  <c r="BS230" i="10"/>
  <c r="CX230" i="10"/>
  <c r="K230" i="10"/>
  <c r="E230" i="10"/>
  <c r="I230" i="10"/>
  <c r="BI230" i="10"/>
  <c r="DE230" i="10"/>
  <c r="AP230" i="10"/>
  <c r="BV230" i="10"/>
  <c r="AH230" i="10"/>
  <c r="CC230" i="10"/>
  <c r="P230" i="10"/>
  <c r="L230" i="10"/>
  <c r="AB230" i="10"/>
  <c r="BD230" i="10"/>
  <c r="CO230" i="10"/>
  <c r="AF230" i="10"/>
  <c r="BU230" i="10"/>
  <c r="O230" i="10"/>
  <c r="BN230" i="10"/>
  <c r="BJ230" i="10"/>
  <c r="DB230" i="10"/>
  <c r="X230" i="10"/>
  <c r="AD230" i="10"/>
  <c r="M230" i="10"/>
  <c r="G230" i="10"/>
  <c r="J230" i="10"/>
  <c r="BP230" i="10"/>
  <c r="AQ230" i="10"/>
  <c r="BF230" i="10"/>
  <c r="AC230" i="10"/>
  <c r="AY230" i="10"/>
  <c r="BT230" i="10"/>
  <c r="CD230" i="10"/>
  <c r="F230" i="10"/>
  <c r="CP230" i="10"/>
  <c r="BL230" i="10"/>
  <c r="AG230" i="10"/>
  <c r="AL230" i="10"/>
  <c r="S230" i="10"/>
  <c r="AN230" i="10"/>
  <c r="W230" i="10"/>
  <c r="HW7" i="1" l="1"/>
  <c r="HW8" i="1" s="1"/>
  <c r="HX2" i="1"/>
  <c r="HX5" i="1" s="1"/>
  <c r="HX9" i="1" s="1"/>
  <c r="HX6" i="1"/>
  <c r="B231" i="10"/>
  <c r="HX10" i="1" l="1"/>
  <c r="HX7" i="1"/>
  <c r="DG231" i="10"/>
  <c r="AP231" i="10"/>
  <c r="CJ231" i="10"/>
  <c r="I231" i="10"/>
  <c r="DD231" i="10"/>
  <c r="AO231" i="10"/>
  <c r="U231" i="10"/>
  <c r="O231" i="10"/>
  <c r="CO231" i="10"/>
  <c r="BC231" i="10"/>
  <c r="DJ231" i="10"/>
  <c r="BO231" i="10"/>
  <c r="CQ231" i="10"/>
  <c r="C231" i="10"/>
  <c r="CW231" i="10"/>
  <c r="BG231" i="10"/>
  <c r="L231" i="10"/>
  <c r="DA231" i="10"/>
  <c r="AH231" i="10"/>
  <c r="CM231" i="10"/>
  <c r="AC231" i="10"/>
  <c r="E231" i="10"/>
  <c r="CN231" i="10"/>
  <c r="CA231" i="10"/>
  <c r="BU231" i="10"/>
  <c r="BX231" i="10"/>
  <c r="BI231" i="10"/>
  <c r="DK231" i="10"/>
  <c r="CE231" i="10"/>
  <c r="BR231" i="10"/>
  <c r="AZ231" i="10"/>
  <c r="AS231" i="10"/>
  <c r="AF231" i="10"/>
  <c r="BB231" i="10"/>
  <c r="DB231" i="10"/>
  <c r="BF231" i="10"/>
  <c r="AM231" i="10"/>
  <c r="DI231" i="10"/>
  <c r="CG231" i="10"/>
  <c r="AI231" i="10"/>
  <c r="CX231" i="10"/>
  <c r="Q231" i="10"/>
  <c r="CD231" i="10"/>
  <c r="D231" i="10"/>
  <c r="BM231" i="10"/>
  <c r="AB231" i="10"/>
  <c r="K231" i="10"/>
  <c r="BL231" i="10"/>
  <c r="AR231" i="10"/>
  <c r="J231" i="10"/>
  <c r="CH231" i="10"/>
  <c r="G231" i="10"/>
  <c r="AY231" i="10"/>
  <c r="DH231" i="10"/>
  <c r="M231" i="10"/>
  <c r="P231" i="10"/>
  <c r="CS231" i="10"/>
  <c r="F231" i="10"/>
  <c r="T231" i="10"/>
  <c r="AV231" i="10"/>
  <c r="BP231" i="10"/>
  <c r="BZ231" i="10"/>
  <c r="DF231" i="10"/>
  <c r="AW231" i="10"/>
  <c r="H231" i="10"/>
  <c r="BS231" i="10"/>
  <c r="Z231" i="10"/>
  <c r="AU231" i="10"/>
  <c r="BE231" i="10"/>
  <c r="CI231" i="10"/>
  <c r="BV231" i="10"/>
  <c r="BA231" i="10"/>
  <c r="BW231" i="10"/>
  <c r="AQ231" i="10"/>
  <c r="CU231" i="10"/>
  <c r="DE231" i="10"/>
  <c r="AL231" i="10"/>
  <c r="S231" i="10"/>
  <c r="CT231" i="10"/>
  <c r="BN231" i="10"/>
  <c r="N231" i="10"/>
  <c r="CL231" i="10"/>
  <c r="V231" i="10"/>
  <c r="BQ231" i="10"/>
  <c r="AT231" i="10"/>
  <c r="CV231" i="10"/>
  <c r="AX231" i="10"/>
  <c r="R231" i="10"/>
  <c r="AE231" i="10"/>
  <c r="BD231" i="10"/>
  <c r="BT231" i="10"/>
  <c r="AD231" i="10"/>
  <c r="AN231" i="10"/>
  <c r="CP231" i="10"/>
  <c r="CR231" i="10"/>
  <c r="CY231" i="10"/>
  <c r="BY231" i="10"/>
  <c r="W231" i="10"/>
  <c r="AA231" i="10"/>
  <c r="AG231" i="10"/>
  <c r="BJ231" i="10"/>
  <c r="CK231" i="10"/>
  <c r="Y231" i="10"/>
  <c r="X231" i="10"/>
  <c r="AJ231" i="10"/>
  <c r="CZ231" i="10"/>
  <c r="CB231" i="10"/>
  <c r="AK231" i="10"/>
  <c r="CF231" i="10"/>
  <c r="CC231" i="10"/>
  <c r="BK231" i="10"/>
  <c r="DC231" i="10"/>
  <c r="BH231" i="10"/>
  <c r="HY6" i="1" l="1"/>
  <c r="B232" i="10"/>
  <c r="HX8" i="1"/>
  <c r="HY2" i="1"/>
  <c r="HY5" i="1" s="1"/>
  <c r="HY9" i="1" s="1"/>
  <c r="HY7" i="1" l="1"/>
  <c r="HY10" i="1"/>
  <c r="CS232" i="10"/>
  <c r="W232" i="10"/>
  <c r="DI232" i="10"/>
  <c r="BW232" i="10"/>
  <c r="BN232" i="10"/>
  <c r="O232" i="10"/>
  <c r="DC232" i="10"/>
  <c r="BP232" i="10"/>
  <c r="C232" i="10"/>
  <c r="DA232" i="10"/>
  <c r="CX232" i="10"/>
  <c r="AN232" i="10"/>
  <c r="BJ232" i="10"/>
  <c r="BC232" i="10"/>
  <c r="AX232" i="10"/>
  <c r="CE232" i="10"/>
  <c r="V232" i="10"/>
  <c r="CT232" i="10"/>
  <c r="AO232" i="10"/>
  <c r="E232" i="10"/>
  <c r="BE232" i="10"/>
  <c r="Q232" i="10"/>
  <c r="J232" i="10"/>
  <c r="AJ232" i="10"/>
  <c r="DK232" i="10"/>
  <c r="R232" i="10"/>
  <c r="CQ232" i="10"/>
  <c r="H232" i="10"/>
  <c r="BO232" i="10"/>
  <c r="BV232" i="10"/>
  <c r="BF232" i="10"/>
  <c r="BH232" i="10"/>
  <c r="T232" i="10"/>
  <c r="AU232" i="10"/>
  <c r="AH232" i="10"/>
  <c r="CP232" i="10"/>
  <c r="AL232" i="10"/>
  <c r="U232" i="10"/>
  <c r="BZ232" i="10"/>
  <c r="Y232" i="10"/>
  <c r="BQ232" i="10"/>
  <c r="DB232" i="10"/>
  <c r="CA232" i="10"/>
  <c r="AR232" i="10"/>
  <c r="CG232" i="10"/>
  <c r="AY232" i="10"/>
  <c r="BI232" i="10"/>
  <c r="CV232" i="10"/>
  <c r="CR232" i="10"/>
  <c r="AK232" i="10"/>
  <c r="CH232" i="10"/>
  <c r="CU232" i="10"/>
  <c r="CO232" i="10"/>
  <c r="DE232" i="10"/>
  <c r="AA232" i="10"/>
  <c r="CY232" i="10"/>
  <c r="X232" i="10"/>
  <c r="K232" i="10"/>
  <c r="BR232" i="10"/>
  <c r="P232" i="10"/>
  <c r="CJ232" i="10"/>
  <c r="BB232" i="10"/>
  <c r="BY232" i="10"/>
  <c r="DF232" i="10"/>
  <c r="DH232" i="10"/>
  <c r="BK232" i="10"/>
  <c r="BA232" i="10"/>
  <c r="AC232" i="10"/>
  <c r="AD232" i="10"/>
  <c r="DD232" i="10"/>
  <c r="DJ232" i="10"/>
  <c r="AM232" i="10"/>
  <c r="AQ232" i="10"/>
  <c r="AT232" i="10"/>
  <c r="BU232" i="10"/>
  <c r="AE232" i="10"/>
  <c r="F232" i="10"/>
  <c r="AV232" i="10"/>
  <c r="AI232" i="10"/>
  <c r="CW232" i="10"/>
  <c r="BL232" i="10"/>
  <c r="CB232" i="10"/>
  <c r="L232" i="10"/>
  <c r="AS232" i="10"/>
  <c r="BG232" i="10"/>
  <c r="DG232" i="10"/>
  <c r="CK232" i="10"/>
  <c r="Z232" i="10"/>
  <c r="CZ232" i="10"/>
  <c r="BS232" i="10"/>
  <c r="BT232" i="10"/>
  <c r="CM232" i="10"/>
  <c r="D232" i="10"/>
  <c r="AW232" i="10"/>
  <c r="CD232" i="10"/>
  <c r="BD232" i="10"/>
  <c r="BM232" i="10"/>
  <c r="CF232" i="10"/>
  <c r="M232" i="10"/>
  <c r="G232" i="10"/>
  <c r="N232" i="10"/>
  <c r="CC232" i="10"/>
  <c r="S232" i="10"/>
  <c r="CL232" i="10"/>
  <c r="AF232" i="10"/>
  <c r="CN232" i="10"/>
  <c r="AP232" i="10"/>
  <c r="AZ232" i="10"/>
  <c r="CI232" i="10"/>
  <c r="I232" i="10"/>
  <c r="AB232" i="10"/>
  <c r="BX232" i="10"/>
  <c r="AG232" i="10"/>
  <c r="HZ2" i="1" l="1"/>
  <c r="HZ5" i="1" s="1"/>
  <c r="HZ9" i="1" s="1"/>
  <c r="HY8" i="1"/>
  <c r="B233" i="10"/>
  <c r="HZ10" i="1"/>
  <c r="HZ6" i="1"/>
  <c r="J233" i="10" l="1"/>
  <c r="CV233" i="10"/>
  <c r="Z233" i="10"/>
  <c r="AP233" i="10"/>
  <c r="CS233" i="10"/>
  <c r="E233" i="10"/>
  <c r="BV233" i="10"/>
  <c r="CU233" i="10"/>
  <c r="DH233" i="10"/>
  <c r="CK233" i="10"/>
  <c r="BB233" i="10"/>
  <c r="CF233" i="10"/>
  <c r="DE233" i="10"/>
  <c r="CI233" i="10"/>
  <c r="CT233" i="10"/>
  <c r="H233" i="10"/>
  <c r="CY233" i="10"/>
  <c r="CJ233" i="10"/>
  <c r="AN233" i="10"/>
  <c r="O233" i="10"/>
  <c r="AC233" i="10"/>
  <c r="Y233" i="10"/>
  <c r="BK233" i="10"/>
  <c r="Q233" i="10"/>
  <c r="BR233" i="10"/>
  <c r="AX233" i="10"/>
  <c r="CN233" i="10"/>
  <c r="BE233" i="10"/>
  <c r="CM233" i="10"/>
  <c r="AM233" i="10"/>
  <c r="CW233" i="10"/>
  <c r="S233" i="10"/>
  <c r="CL233" i="10"/>
  <c r="U233" i="10"/>
  <c r="BX233" i="10"/>
  <c r="AW233" i="10"/>
  <c r="L233" i="10"/>
  <c r="I233" i="10"/>
  <c r="AH233" i="10"/>
  <c r="DG233" i="10"/>
  <c r="AJ233" i="10"/>
  <c r="AB233" i="10"/>
  <c r="R233" i="10"/>
  <c r="BU233" i="10"/>
  <c r="AE233" i="10"/>
  <c r="AV233" i="10"/>
  <c r="BC233" i="10"/>
  <c r="CX233" i="10"/>
  <c r="BN233" i="10"/>
  <c r="DJ233" i="10"/>
  <c r="DF233" i="10"/>
  <c r="CG233" i="10"/>
  <c r="T233" i="10"/>
  <c r="BT233" i="10"/>
  <c r="BQ233" i="10"/>
  <c r="AQ233" i="10"/>
  <c r="DK233" i="10"/>
  <c r="AA233" i="10"/>
  <c r="AG233" i="10"/>
  <c r="AF233" i="10"/>
  <c r="F233" i="10"/>
  <c r="CO233" i="10"/>
  <c r="P233" i="10"/>
  <c r="CR233" i="10"/>
  <c r="M233" i="10"/>
  <c r="BI233" i="10"/>
  <c r="AY233" i="10"/>
  <c r="AZ233" i="10"/>
  <c r="AT233" i="10"/>
  <c r="CE233" i="10"/>
  <c r="AL233" i="10"/>
  <c r="AI233" i="10"/>
  <c r="BW233" i="10"/>
  <c r="DC233" i="10"/>
  <c r="K233" i="10"/>
  <c r="BL233" i="10"/>
  <c r="DI233" i="10"/>
  <c r="BD233" i="10"/>
  <c r="BS233" i="10"/>
  <c r="AS233" i="10"/>
  <c r="AR233" i="10"/>
  <c r="D233" i="10"/>
  <c r="BO233" i="10"/>
  <c r="CD233" i="10"/>
  <c r="BY233" i="10"/>
  <c r="N233" i="10"/>
  <c r="BG233" i="10"/>
  <c r="BJ233" i="10"/>
  <c r="BA233" i="10"/>
  <c r="BF233" i="10"/>
  <c r="AU233" i="10"/>
  <c r="CZ233" i="10"/>
  <c r="DB233" i="10"/>
  <c r="CC233" i="10"/>
  <c r="W233" i="10"/>
  <c r="AD233" i="10"/>
  <c r="AO233" i="10"/>
  <c r="AK233" i="10"/>
  <c r="X233" i="10"/>
  <c r="CA233" i="10"/>
  <c r="CQ233" i="10"/>
  <c r="CB233" i="10"/>
  <c r="V233" i="10"/>
  <c r="C233" i="10"/>
  <c r="G233" i="10"/>
  <c r="BM233" i="10"/>
  <c r="BZ233" i="10"/>
  <c r="BP233" i="10"/>
  <c r="DA233" i="10"/>
  <c r="DD233" i="10"/>
  <c r="CH233" i="10"/>
  <c r="BH233" i="10"/>
  <c r="CP233" i="10"/>
  <c r="HZ7" i="1"/>
  <c r="B234" i="10" l="1"/>
  <c r="IA6" i="1"/>
  <c r="HZ8" i="1"/>
  <c r="IA2" i="1"/>
  <c r="IA10" i="1" s="1"/>
  <c r="IA5" i="1" l="1"/>
  <c r="CO234" i="10"/>
  <c r="CJ234" i="10"/>
  <c r="CH234" i="10"/>
  <c r="U234" i="10"/>
  <c r="BR234" i="10"/>
  <c r="BC234" i="10"/>
  <c r="CF234" i="10"/>
  <c r="AI234" i="10"/>
  <c r="AR234" i="10"/>
  <c r="BM234" i="10"/>
  <c r="CW234" i="10"/>
  <c r="AF234" i="10"/>
  <c r="CK234" i="10"/>
  <c r="I234" i="10"/>
  <c r="CY234" i="10"/>
  <c r="T234" i="10"/>
  <c r="CP234" i="10"/>
  <c r="DJ234" i="10"/>
  <c r="AB234" i="10"/>
  <c r="CE234" i="10"/>
  <c r="X234" i="10"/>
  <c r="AT234" i="10"/>
  <c r="D234" i="10"/>
  <c r="BT234" i="10"/>
  <c r="BA234" i="10"/>
  <c r="AW234" i="10"/>
  <c r="AO234" i="10"/>
  <c r="Z234" i="10"/>
  <c r="CM234" i="10"/>
  <c r="AJ234" i="10"/>
  <c r="BE234" i="10"/>
  <c r="AC234" i="10"/>
  <c r="AS234" i="10"/>
  <c r="BS234" i="10"/>
  <c r="E234" i="10"/>
  <c r="BX234" i="10"/>
  <c r="BF234" i="10"/>
  <c r="CV234" i="10"/>
  <c r="Q234" i="10"/>
  <c r="BW234" i="10"/>
  <c r="CT234" i="10"/>
  <c r="CC234" i="10"/>
  <c r="BD234" i="10"/>
  <c r="BU234" i="10"/>
  <c r="AQ234" i="10"/>
  <c r="S234" i="10"/>
  <c r="BJ234" i="10"/>
  <c r="J234" i="10"/>
  <c r="AL234" i="10"/>
  <c r="AP234" i="10"/>
  <c r="BV234" i="10"/>
  <c r="CI234" i="10"/>
  <c r="CN234" i="10"/>
  <c r="BI234" i="10"/>
  <c r="AD234" i="10"/>
  <c r="Y234" i="10"/>
  <c r="O234" i="10"/>
  <c r="CX234" i="10"/>
  <c r="DD234" i="10"/>
  <c r="N234" i="10"/>
  <c r="CG234" i="10"/>
  <c r="DE234" i="10"/>
  <c r="DF234" i="10"/>
  <c r="BO234" i="10"/>
  <c r="AY234" i="10"/>
  <c r="DC234" i="10"/>
  <c r="AG234" i="10"/>
  <c r="AV234" i="10"/>
  <c r="P234" i="10"/>
  <c r="BH234" i="10"/>
  <c r="BG234" i="10"/>
  <c r="AM234" i="10"/>
  <c r="CA234" i="10"/>
  <c r="AH234" i="10"/>
  <c r="BK234" i="10"/>
  <c r="CU234" i="10"/>
  <c r="K234" i="10"/>
  <c r="M234" i="10"/>
  <c r="CZ234" i="10"/>
  <c r="DG234" i="10"/>
  <c r="BN234" i="10"/>
  <c r="DH234" i="10"/>
  <c r="C234" i="10"/>
  <c r="G234" i="10"/>
  <c r="V234" i="10"/>
  <c r="DI234" i="10"/>
  <c r="BQ234" i="10"/>
  <c r="BZ234" i="10"/>
  <c r="H234" i="10"/>
  <c r="AZ234" i="10"/>
  <c r="BY234" i="10"/>
  <c r="CD234" i="10"/>
  <c r="DA234" i="10"/>
  <c r="CR234" i="10"/>
  <c r="AX234" i="10"/>
  <c r="W234" i="10"/>
  <c r="BB234" i="10"/>
  <c r="BP234" i="10"/>
  <c r="CL234" i="10"/>
  <c r="AN234" i="10"/>
  <c r="CB234" i="10"/>
  <c r="F234" i="10"/>
  <c r="DK234" i="10"/>
  <c r="L234" i="10"/>
  <c r="CS234" i="10"/>
  <c r="AE234" i="10"/>
  <c r="AU234" i="10"/>
  <c r="R234" i="10"/>
  <c r="BL234" i="10"/>
  <c r="CQ234" i="10"/>
  <c r="AK234" i="10"/>
  <c r="AA234" i="10"/>
  <c r="DB234" i="10"/>
  <c r="IA7" i="1" l="1"/>
  <c r="IA9" i="1"/>
  <c r="IB2" i="1"/>
  <c r="IB10" i="1" l="1"/>
  <c r="IB5" i="1"/>
  <c r="IB9" i="1" s="1"/>
  <c r="B235" i="10"/>
  <c r="IA8" i="1"/>
  <c r="IB6" i="1"/>
  <c r="IB7" i="1"/>
  <c r="BJ235" i="10" l="1"/>
  <c r="BY235" i="10"/>
  <c r="CF235" i="10"/>
  <c r="BK235" i="10"/>
  <c r="CK235" i="10"/>
  <c r="J235" i="10"/>
  <c r="DD235" i="10"/>
  <c r="CN235" i="10"/>
  <c r="CT235" i="10"/>
  <c r="BI235" i="10"/>
  <c r="CE235" i="10"/>
  <c r="AZ235" i="10"/>
  <c r="BT235" i="10"/>
  <c r="G235" i="10"/>
  <c r="F235" i="10"/>
  <c r="BE235" i="10"/>
  <c r="O235" i="10"/>
  <c r="CX235" i="10"/>
  <c r="CQ235" i="10"/>
  <c r="BB235" i="10"/>
  <c r="X235" i="10"/>
  <c r="AK235" i="10"/>
  <c r="DI235" i="10"/>
  <c r="AA235" i="10"/>
  <c r="DE235" i="10"/>
  <c r="AT235" i="10"/>
  <c r="Y235" i="10"/>
  <c r="CC235" i="10"/>
  <c r="BV235" i="10"/>
  <c r="W235" i="10"/>
  <c r="CH235" i="10"/>
  <c r="CR235" i="10"/>
  <c r="AC235" i="10"/>
  <c r="AI235" i="10"/>
  <c r="DK235" i="10"/>
  <c r="AV235" i="10"/>
  <c r="CJ235" i="10"/>
  <c r="BW235" i="10"/>
  <c r="BH235" i="10"/>
  <c r="AX235" i="10"/>
  <c r="AY235" i="10"/>
  <c r="DF235" i="10"/>
  <c r="DH235" i="10"/>
  <c r="AJ235" i="10"/>
  <c r="AE235" i="10"/>
  <c r="AH235" i="10"/>
  <c r="R235" i="10"/>
  <c r="Z235" i="10"/>
  <c r="V235" i="10"/>
  <c r="DB235" i="10"/>
  <c r="AW235" i="10"/>
  <c r="BQ235" i="10"/>
  <c r="CW235" i="10"/>
  <c r="AD235" i="10"/>
  <c r="AP235" i="10"/>
  <c r="T235" i="10"/>
  <c r="DA235" i="10"/>
  <c r="BC235" i="10"/>
  <c r="U235" i="10"/>
  <c r="BG235" i="10"/>
  <c r="BS235" i="10"/>
  <c r="CL235" i="10"/>
  <c r="BR235" i="10"/>
  <c r="CI235" i="10"/>
  <c r="BU235" i="10"/>
  <c r="BZ235" i="10"/>
  <c r="BL235" i="10"/>
  <c r="BF235" i="10"/>
  <c r="DJ235" i="10"/>
  <c r="N235" i="10"/>
  <c r="CP235" i="10"/>
  <c r="CS235" i="10"/>
  <c r="Q235" i="10"/>
  <c r="DC235" i="10"/>
  <c r="CG235" i="10"/>
  <c r="BP235" i="10"/>
  <c r="BX235" i="10"/>
  <c r="CY235" i="10"/>
  <c r="AO235" i="10"/>
  <c r="K235" i="10"/>
  <c r="BM235" i="10"/>
  <c r="AQ235" i="10"/>
  <c r="D235" i="10"/>
  <c r="I235" i="10"/>
  <c r="CM235" i="10"/>
  <c r="BN235" i="10"/>
  <c r="AS235" i="10"/>
  <c r="AU235" i="10"/>
  <c r="C235" i="10"/>
  <c r="CB235" i="10"/>
  <c r="DG235" i="10"/>
  <c r="AG235" i="10"/>
  <c r="AR235" i="10"/>
  <c r="S235" i="10"/>
  <c r="CA235" i="10"/>
  <c r="BD235" i="10"/>
  <c r="H235" i="10"/>
  <c r="CD235" i="10"/>
  <c r="AL235" i="10"/>
  <c r="AM235" i="10"/>
  <c r="BO235" i="10"/>
  <c r="CO235" i="10"/>
  <c r="AN235" i="10"/>
  <c r="M235" i="10"/>
  <c r="CZ235" i="10"/>
  <c r="AB235" i="10"/>
  <c r="AF235" i="10"/>
  <c r="L235" i="10"/>
  <c r="BA235" i="10"/>
  <c r="E235" i="10"/>
  <c r="CV235" i="10"/>
  <c r="CU235" i="10"/>
  <c r="P235" i="10"/>
  <c r="IC6" i="1"/>
  <c r="IB8" i="1"/>
  <c r="B236" i="10"/>
  <c r="IC2" i="1"/>
  <c r="IC5" i="1" s="1"/>
  <c r="IC9" i="1" s="1"/>
  <c r="IC7" i="1" l="1"/>
  <c r="IC10" i="1"/>
  <c r="AL236" i="10"/>
  <c r="BL236" i="10"/>
  <c r="BI236" i="10"/>
  <c r="BT236" i="10"/>
  <c r="CY236" i="10"/>
  <c r="O236" i="10"/>
  <c r="CI236" i="10"/>
  <c r="DH236" i="10"/>
  <c r="L236" i="10"/>
  <c r="BU236" i="10"/>
  <c r="BY236" i="10"/>
  <c r="AX236" i="10"/>
  <c r="DD236" i="10"/>
  <c r="CN236" i="10"/>
  <c r="I236" i="10"/>
  <c r="DF236" i="10"/>
  <c r="CF236" i="10"/>
  <c r="S236" i="10"/>
  <c r="BX236" i="10"/>
  <c r="AT236" i="10"/>
  <c r="BN236" i="10"/>
  <c r="AM236" i="10"/>
  <c r="CE236" i="10"/>
  <c r="T236" i="10"/>
  <c r="Y236" i="10"/>
  <c r="M236" i="10"/>
  <c r="BD236" i="10"/>
  <c r="H236" i="10"/>
  <c r="BG236" i="10"/>
  <c r="G236" i="10"/>
  <c r="DE236" i="10"/>
  <c r="Q236" i="10"/>
  <c r="CR236" i="10"/>
  <c r="J236" i="10"/>
  <c r="DG236" i="10"/>
  <c r="CC236" i="10"/>
  <c r="F236" i="10"/>
  <c r="CJ236" i="10"/>
  <c r="DK236" i="10"/>
  <c r="DC236" i="10"/>
  <c r="AY236" i="10"/>
  <c r="Z236" i="10"/>
  <c r="DI236" i="10"/>
  <c r="AA236" i="10"/>
  <c r="CD236" i="10"/>
  <c r="AK236" i="10"/>
  <c r="AW236" i="10"/>
  <c r="R236" i="10"/>
  <c r="CM236" i="10"/>
  <c r="BZ236" i="10"/>
  <c r="BF236" i="10"/>
  <c r="BV236" i="10"/>
  <c r="BK236" i="10"/>
  <c r="BS236" i="10"/>
  <c r="CL236" i="10"/>
  <c r="AU236" i="10"/>
  <c r="CK236" i="10"/>
  <c r="BB236" i="10"/>
  <c r="CB236" i="10"/>
  <c r="CS236" i="10"/>
  <c r="AF236" i="10"/>
  <c r="AD236" i="10"/>
  <c r="BC236" i="10"/>
  <c r="AO236" i="10"/>
  <c r="BH236" i="10"/>
  <c r="U236" i="10"/>
  <c r="K236" i="10"/>
  <c r="CO236" i="10"/>
  <c r="AJ236" i="10"/>
  <c r="BP236" i="10"/>
  <c r="AI236" i="10"/>
  <c r="V236" i="10"/>
  <c r="AE236" i="10"/>
  <c r="AP236" i="10"/>
  <c r="DB236" i="10"/>
  <c r="N236" i="10"/>
  <c r="AQ236" i="10"/>
  <c r="CH236" i="10"/>
  <c r="AV236" i="10"/>
  <c r="C236" i="10"/>
  <c r="AN236" i="10"/>
  <c r="AZ236" i="10"/>
  <c r="BJ236" i="10"/>
  <c r="AS236" i="10"/>
  <c r="CZ236" i="10"/>
  <c r="CX236" i="10"/>
  <c r="BO236" i="10"/>
  <c r="BR236" i="10"/>
  <c r="W236" i="10"/>
  <c r="BE236" i="10"/>
  <c r="DA236" i="10"/>
  <c r="AG236" i="10"/>
  <c r="BM236" i="10"/>
  <c r="BW236" i="10"/>
  <c r="AC236" i="10"/>
  <c r="BA236" i="10"/>
  <c r="CP236" i="10"/>
  <c r="CW236" i="10"/>
  <c r="CT236" i="10"/>
  <c r="DJ236" i="10"/>
  <c r="CG236" i="10"/>
  <c r="BQ236" i="10"/>
  <c r="CV236" i="10"/>
  <c r="CU236" i="10"/>
  <c r="X236" i="10"/>
  <c r="E236" i="10"/>
  <c r="CQ236" i="10"/>
  <c r="CA236" i="10"/>
  <c r="P236" i="10"/>
  <c r="AH236" i="10"/>
  <c r="D236" i="10"/>
  <c r="AB236" i="10"/>
  <c r="AR236" i="10"/>
  <c r="ID2" i="1" l="1"/>
  <c r="ID5" i="1" s="1"/>
  <c r="ID9" i="1" s="1"/>
  <c r="B237" i="10"/>
  <c r="ID6" i="1"/>
  <c r="ID10" i="1"/>
  <c r="IC8" i="1"/>
  <c r="ID7" i="1" l="1"/>
  <c r="CE237" i="10"/>
  <c r="AU237" i="10"/>
  <c r="AC237" i="10"/>
  <c r="CK237" i="10"/>
  <c r="R237" i="10"/>
  <c r="AW237" i="10"/>
  <c r="CV237" i="10"/>
  <c r="AG237" i="10"/>
  <c r="U237" i="10"/>
  <c r="CD237" i="10"/>
  <c r="CC237" i="10"/>
  <c r="DH237" i="10"/>
  <c r="S237" i="10"/>
  <c r="E237" i="10"/>
  <c r="AZ237" i="10"/>
  <c r="N237" i="10"/>
  <c r="AF237" i="10"/>
  <c r="C237" i="10"/>
  <c r="BL237" i="10"/>
  <c r="CI237" i="10"/>
  <c r="CS237" i="10"/>
  <c r="M237" i="10"/>
  <c r="BB237" i="10"/>
  <c r="CX237" i="10"/>
  <c r="AR237" i="10"/>
  <c r="Q237" i="10"/>
  <c r="D237" i="10"/>
  <c r="O237" i="10"/>
  <c r="BZ237" i="10"/>
  <c r="BJ237" i="10"/>
  <c r="AB237" i="10"/>
  <c r="L237" i="10"/>
  <c r="AH237" i="10"/>
  <c r="AE237" i="10"/>
  <c r="DD237" i="10"/>
  <c r="BN237" i="10"/>
  <c r="CA237" i="10"/>
  <c r="AO237" i="10"/>
  <c r="BM237" i="10"/>
  <c r="CO237" i="10"/>
  <c r="AM237" i="10"/>
  <c r="J237" i="10"/>
  <c r="AS237" i="10"/>
  <c r="V237" i="10"/>
  <c r="H237" i="10"/>
  <c r="BH237" i="10"/>
  <c r="AP237" i="10"/>
  <c r="P237" i="10"/>
  <c r="BE237" i="10"/>
  <c r="DA237" i="10"/>
  <c r="BT237" i="10"/>
  <c r="CU237" i="10"/>
  <c r="DJ237" i="10"/>
  <c r="CW237" i="10"/>
  <c r="CZ237" i="10"/>
  <c r="AX237" i="10"/>
  <c r="CT237" i="10"/>
  <c r="BG237" i="10"/>
  <c r="BU237" i="10"/>
  <c r="DK237" i="10"/>
  <c r="T237" i="10"/>
  <c r="CY237" i="10"/>
  <c r="BY237" i="10"/>
  <c r="AI237" i="10"/>
  <c r="CH237" i="10"/>
  <c r="BP237" i="10"/>
  <c r="BC237" i="10"/>
  <c r="AT237" i="10"/>
  <c r="DE237" i="10"/>
  <c r="BX237" i="10"/>
  <c r="I237" i="10"/>
  <c r="CL237" i="10"/>
  <c r="CM237" i="10"/>
  <c r="CJ237" i="10"/>
  <c r="DG237" i="10"/>
  <c r="BW237" i="10"/>
  <c r="CG237" i="10"/>
  <c r="DB237" i="10"/>
  <c r="BA237" i="10"/>
  <c r="BV237" i="10"/>
  <c r="CB237" i="10"/>
  <c r="X237" i="10"/>
  <c r="AV237" i="10"/>
  <c r="CP237" i="10"/>
  <c r="BD237" i="10"/>
  <c r="BS237" i="10"/>
  <c r="AJ237" i="10"/>
  <c r="G237" i="10"/>
  <c r="DF237" i="10"/>
  <c r="DC237" i="10"/>
  <c r="BI237" i="10"/>
  <c r="BR237" i="10"/>
  <c r="CR237" i="10"/>
  <c r="F237" i="10"/>
  <c r="CQ237" i="10"/>
  <c r="CN237" i="10"/>
  <c r="AY237" i="10"/>
  <c r="BF237" i="10"/>
  <c r="Y237" i="10"/>
  <c r="AA237" i="10"/>
  <c r="K237" i="10"/>
  <c r="BK237" i="10"/>
  <c r="DI237" i="10"/>
  <c r="AK237" i="10"/>
  <c r="AL237" i="10"/>
  <c r="BO237" i="10"/>
  <c r="AN237" i="10"/>
  <c r="Z237" i="10"/>
  <c r="CF237" i="10"/>
  <c r="W237" i="10"/>
  <c r="AQ237" i="10"/>
  <c r="AD237" i="10"/>
  <c r="BQ237" i="10"/>
  <c r="IE2" i="1" l="1"/>
  <c r="IE5" i="1" s="1"/>
  <c r="IE9" i="1" s="1"/>
  <c r="IE10" i="1"/>
  <c r="IE6" i="1"/>
  <c r="ID8" i="1"/>
  <c r="B238" i="10"/>
  <c r="IE7" i="1" l="1"/>
  <c r="CT238" i="10"/>
  <c r="BO238" i="10"/>
  <c r="CH238" i="10"/>
  <c r="DG238" i="10"/>
  <c r="L238" i="10"/>
  <c r="AI238" i="10"/>
  <c r="BC238" i="10"/>
  <c r="AM238" i="10"/>
  <c r="R238" i="10"/>
  <c r="CK238" i="10"/>
  <c r="H238" i="10"/>
  <c r="CL238" i="10"/>
  <c r="CX238" i="10"/>
  <c r="CV238" i="10"/>
  <c r="I238" i="10"/>
  <c r="AE238" i="10"/>
  <c r="AO238" i="10"/>
  <c r="AP238" i="10"/>
  <c r="DF238" i="10"/>
  <c r="AD238" i="10"/>
  <c r="AZ238" i="10"/>
  <c r="AH238" i="10"/>
  <c r="BV238" i="10"/>
  <c r="DD238" i="10"/>
  <c r="BT238" i="10"/>
  <c r="BG238" i="10"/>
  <c r="BI238" i="10"/>
  <c r="J238" i="10"/>
  <c r="AC238" i="10"/>
  <c r="CU238" i="10"/>
  <c r="CG238" i="10"/>
  <c r="CM238" i="10"/>
  <c r="O238" i="10"/>
  <c r="BY238" i="10"/>
  <c r="CE238" i="10"/>
  <c r="DA238" i="10"/>
  <c r="CP238" i="10"/>
  <c r="AJ238" i="10"/>
  <c r="C238" i="10"/>
  <c r="AK238" i="10"/>
  <c r="DH238" i="10"/>
  <c r="S238" i="10"/>
  <c r="CQ238" i="10"/>
  <c r="BU238" i="10"/>
  <c r="DK238" i="10"/>
  <c r="N238" i="10"/>
  <c r="AG238" i="10"/>
  <c r="AT238" i="10"/>
  <c r="BB238" i="10"/>
  <c r="CY238" i="10"/>
  <c r="AS238" i="10"/>
  <c r="CO238" i="10"/>
  <c r="AQ238" i="10"/>
  <c r="W238" i="10"/>
  <c r="CC238" i="10"/>
  <c r="BN238" i="10"/>
  <c r="CD238" i="10"/>
  <c r="CZ238" i="10"/>
  <c r="BZ238" i="10"/>
  <c r="DC238" i="10"/>
  <c r="BL238" i="10"/>
  <c r="CB238" i="10"/>
  <c r="CA238" i="10"/>
  <c r="DE238" i="10"/>
  <c r="G238" i="10"/>
  <c r="CW238" i="10"/>
  <c r="DJ238" i="10"/>
  <c r="DI238" i="10"/>
  <c r="T238" i="10"/>
  <c r="AB238" i="10"/>
  <c r="AV238" i="10"/>
  <c r="BE238" i="10"/>
  <c r="BW238" i="10"/>
  <c r="X238" i="10"/>
  <c r="BD238" i="10"/>
  <c r="BX238" i="10"/>
  <c r="AF238" i="10"/>
  <c r="AA238" i="10"/>
  <c r="BQ238" i="10"/>
  <c r="AL238" i="10"/>
  <c r="P238" i="10"/>
  <c r="D238" i="10"/>
  <c r="V238" i="10"/>
  <c r="CF238" i="10"/>
  <c r="BH238" i="10"/>
  <c r="BM238" i="10"/>
  <c r="BS238" i="10"/>
  <c r="BR238" i="10"/>
  <c r="CJ238" i="10"/>
  <c r="CS238" i="10"/>
  <c r="CI238" i="10"/>
  <c r="Y238" i="10"/>
  <c r="AX238" i="10"/>
  <c r="AN238" i="10"/>
  <c r="BA238" i="10"/>
  <c r="BJ238" i="10"/>
  <c r="CN238" i="10"/>
  <c r="Q238" i="10"/>
  <c r="E238" i="10"/>
  <c r="K238" i="10"/>
  <c r="CR238" i="10"/>
  <c r="M238" i="10"/>
  <c r="AU238" i="10"/>
  <c r="BF238" i="10"/>
  <c r="AR238" i="10"/>
  <c r="DB238" i="10"/>
  <c r="AW238" i="10"/>
  <c r="BP238" i="10"/>
  <c r="BK238" i="10"/>
  <c r="AY238" i="10"/>
  <c r="Z238" i="10"/>
  <c r="F238" i="10"/>
  <c r="U238" i="10"/>
  <c r="IE8" i="1" l="1"/>
  <c r="IF6" i="1"/>
  <c r="B239" i="10"/>
  <c r="IF2" i="1"/>
  <c r="IF10" i="1" s="1"/>
  <c r="CD239" i="10" l="1"/>
  <c r="BN239" i="10"/>
  <c r="AL239" i="10"/>
  <c r="BO239" i="10"/>
  <c r="CO239" i="10"/>
  <c r="BJ239" i="10"/>
  <c r="AT239" i="10"/>
  <c r="BB239" i="10"/>
  <c r="DH239" i="10"/>
  <c r="AV239" i="10"/>
  <c r="AP239" i="10"/>
  <c r="CS239" i="10"/>
  <c r="BD239" i="10"/>
  <c r="CW239" i="10"/>
  <c r="DF239" i="10"/>
  <c r="DD239" i="10"/>
  <c r="AS239" i="10"/>
  <c r="AC239" i="10"/>
  <c r="P239" i="10"/>
  <c r="F239" i="10"/>
  <c r="BA239" i="10"/>
  <c r="O239" i="10"/>
  <c r="BM239" i="10"/>
  <c r="CY239" i="10"/>
  <c r="L239" i="10"/>
  <c r="X239" i="10"/>
  <c r="H239" i="10"/>
  <c r="CC239" i="10"/>
  <c r="BV239" i="10"/>
  <c r="BW239" i="10"/>
  <c r="BX239" i="10"/>
  <c r="CI239" i="10"/>
  <c r="E239" i="10"/>
  <c r="BU239" i="10"/>
  <c r="AJ239" i="10"/>
  <c r="C239" i="10"/>
  <c r="S239" i="10"/>
  <c r="DG239" i="10"/>
  <c r="CN239" i="10"/>
  <c r="CA239" i="10"/>
  <c r="AB239" i="10"/>
  <c r="T239" i="10"/>
  <c r="AK239" i="10"/>
  <c r="U239" i="10"/>
  <c r="BZ239" i="10"/>
  <c r="DK239" i="10"/>
  <c r="AM239" i="10"/>
  <c r="DC239" i="10"/>
  <c r="CV239" i="10"/>
  <c r="AI239" i="10"/>
  <c r="BC239" i="10"/>
  <c r="AE239" i="10"/>
  <c r="AX239" i="10"/>
  <c r="BP239" i="10"/>
  <c r="BS239" i="10"/>
  <c r="W239" i="10"/>
  <c r="D239" i="10"/>
  <c r="CF239" i="10"/>
  <c r="BH239" i="10"/>
  <c r="BI239" i="10"/>
  <c r="AZ239" i="10"/>
  <c r="CK239" i="10"/>
  <c r="AG239" i="10"/>
  <c r="DB239" i="10"/>
  <c r="AF239" i="10"/>
  <c r="AH239" i="10"/>
  <c r="CU239" i="10"/>
  <c r="CL239" i="10"/>
  <c r="AY239" i="10"/>
  <c r="AO239" i="10"/>
  <c r="AN239" i="10"/>
  <c r="BL239" i="10"/>
  <c r="CP239" i="10"/>
  <c r="DE239" i="10"/>
  <c r="I239" i="10"/>
  <c r="R239" i="10"/>
  <c r="BK239" i="10"/>
  <c r="Y239" i="10"/>
  <c r="CB239" i="10"/>
  <c r="BQ239" i="10"/>
  <c r="BY239" i="10"/>
  <c r="BG239" i="10"/>
  <c r="BR239" i="10"/>
  <c r="CR239" i="10"/>
  <c r="CJ239" i="10"/>
  <c r="CT239" i="10"/>
  <c r="M239" i="10"/>
  <c r="J239" i="10"/>
  <c r="CG239" i="10"/>
  <c r="CM239" i="10"/>
  <c r="BT239" i="10"/>
  <c r="BE239" i="10"/>
  <c r="DA239" i="10"/>
  <c r="DJ239" i="10"/>
  <c r="N239" i="10"/>
  <c r="AR239" i="10"/>
  <c r="BF239" i="10"/>
  <c r="AU239" i="10"/>
  <c r="DI239" i="10"/>
  <c r="AD239" i="10"/>
  <c r="Z239" i="10"/>
  <c r="V239" i="10"/>
  <c r="G239" i="10"/>
  <c r="Q239" i="10"/>
  <c r="K239" i="10"/>
  <c r="CH239" i="10"/>
  <c r="CQ239" i="10"/>
  <c r="AA239" i="10"/>
  <c r="CE239" i="10"/>
  <c r="CX239" i="10"/>
  <c r="AW239" i="10"/>
  <c r="CZ239" i="10"/>
  <c r="AQ239" i="10"/>
  <c r="IF5" i="1"/>
  <c r="IF9" i="1" s="1"/>
  <c r="IF7" i="1" l="1"/>
  <c r="IG2" i="1" l="1"/>
  <c r="IG5" i="1" s="1"/>
  <c r="IG9" i="1" s="1"/>
  <c r="IG6" i="1"/>
  <c r="B240" i="10"/>
  <c r="IG10" i="1"/>
  <c r="IF8" i="1"/>
  <c r="IG7" i="1" l="1"/>
  <c r="CL240" i="10"/>
  <c r="CZ240" i="10"/>
  <c r="O240" i="10"/>
  <c r="CW240" i="10"/>
  <c r="DD240" i="10"/>
  <c r="BK240" i="10"/>
  <c r="BA240" i="10"/>
  <c r="CM240" i="10"/>
  <c r="BQ240" i="10"/>
  <c r="CO240" i="10"/>
  <c r="AG240" i="10"/>
  <c r="AA240" i="10"/>
  <c r="I240" i="10"/>
  <c r="S240" i="10"/>
  <c r="AX240" i="10"/>
  <c r="DC240" i="10"/>
  <c r="AZ240" i="10"/>
  <c r="AR240" i="10"/>
  <c r="U240" i="10"/>
  <c r="BU240" i="10"/>
  <c r="BZ240" i="10"/>
  <c r="AI240" i="10"/>
  <c r="CX240" i="10"/>
  <c r="N240" i="10"/>
  <c r="CY240" i="10"/>
  <c r="AH240" i="10"/>
  <c r="T240" i="10"/>
  <c r="CP240" i="10"/>
  <c r="AL240" i="10"/>
  <c r="J240" i="10"/>
  <c r="CK240" i="10"/>
  <c r="AE240" i="10"/>
  <c r="BF240" i="10"/>
  <c r="BS240" i="10"/>
  <c r="AQ240" i="10"/>
  <c r="AM240" i="10"/>
  <c r="CN240" i="10"/>
  <c r="CF240" i="10"/>
  <c r="DH240" i="10"/>
  <c r="DA240" i="10"/>
  <c r="CT240" i="10"/>
  <c r="DE240" i="10"/>
  <c r="AJ240" i="10"/>
  <c r="F240" i="10"/>
  <c r="CG240" i="10"/>
  <c r="BI240" i="10"/>
  <c r="BL240" i="10"/>
  <c r="BH240" i="10"/>
  <c r="P240" i="10"/>
  <c r="Z240" i="10"/>
  <c r="DI240" i="10"/>
  <c r="AU240" i="10"/>
  <c r="DJ240" i="10"/>
  <c r="W240" i="10"/>
  <c r="CA240" i="10"/>
  <c r="BC240" i="10"/>
  <c r="CE240" i="10"/>
  <c r="V240" i="10"/>
  <c r="AW240" i="10"/>
  <c r="BP240" i="10"/>
  <c r="G240" i="10"/>
  <c r="CH240" i="10"/>
  <c r="H240" i="10"/>
  <c r="CC240" i="10"/>
  <c r="BM240" i="10"/>
  <c r="CJ240" i="10"/>
  <c r="BB240" i="10"/>
  <c r="AO240" i="10"/>
  <c r="CB240" i="10"/>
  <c r="BX240" i="10"/>
  <c r="DB240" i="10"/>
  <c r="AD240" i="10"/>
  <c r="CQ240" i="10"/>
  <c r="X240" i="10"/>
  <c r="CS240" i="10"/>
  <c r="BN240" i="10"/>
  <c r="CV240" i="10"/>
  <c r="Q240" i="10"/>
  <c r="Y240" i="10"/>
  <c r="C240" i="10"/>
  <c r="AF240" i="10"/>
  <c r="BJ240" i="10"/>
  <c r="DK240" i="10"/>
  <c r="BT240" i="10"/>
  <c r="BE240" i="10"/>
  <c r="CR240" i="10"/>
  <c r="CU240" i="10"/>
  <c r="M240" i="10"/>
  <c r="AC240" i="10"/>
  <c r="BV240" i="10"/>
  <c r="K240" i="10"/>
  <c r="CD240" i="10"/>
  <c r="BD240" i="10"/>
  <c r="AK240" i="10"/>
  <c r="R240" i="10"/>
  <c r="L240" i="10"/>
  <c r="AN240" i="10"/>
  <c r="BY240" i="10"/>
  <c r="BG240" i="10"/>
  <c r="AT240" i="10"/>
  <c r="BW240" i="10"/>
  <c r="E240" i="10"/>
  <c r="AY240" i="10"/>
  <c r="BO240" i="10"/>
  <c r="AB240" i="10"/>
  <c r="CI240" i="10"/>
  <c r="BR240" i="10"/>
  <c r="DG240" i="10"/>
  <c r="AP240" i="10"/>
  <c r="D240" i="10"/>
  <c r="AS240" i="10"/>
  <c r="AV240" i="10"/>
  <c r="DF240" i="10"/>
  <c r="IH2" i="1" l="1"/>
  <c r="IH5" i="1" s="1"/>
  <c r="IH9" i="1" s="1"/>
  <c r="B241" i="10"/>
  <c r="IH6" i="1"/>
  <c r="IG8" i="1"/>
  <c r="IH10" i="1" l="1"/>
  <c r="IH7" i="1"/>
  <c r="CM241" i="10"/>
  <c r="U241" i="10"/>
  <c r="CN241" i="10"/>
  <c r="BZ241" i="10"/>
  <c r="D241" i="10"/>
  <c r="BX241" i="10"/>
  <c r="K241" i="10"/>
  <c r="CS241" i="10"/>
  <c r="BG241" i="10"/>
  <c r="BT241" i="10"/>
  <c r="V241" i="10"/>
  <c r="M241" i="10"/>
  <c r="BV241" i="10"/>
  <c r="AG241" i="10"/>
  <c r="I241" i="10"/>
  <c r="CW241" i="10"/>
  <c r="CT241" i="10"/>
  <c r="BC241" i="10"/>
  <c r="BO241" i="10"/>
  <c r="L241" i="10"/>
  <c r="DK241" i="10"/>
  <c r="AF241" i="10"/>
  <c r="CB241" i="10"/>
  <c r="F241" i="10"/>
  <c r="DF241" i="10"/>
  <c r="CZ241" i="10"/>
  <c r="CK241" i="10"/>
  <c r="AN241" i="10"/>
  <c r="Y241" i="10"/>
  <c r="DG241" i="10"/>
  <c r="CY241" i="10"/>
  <c r="DE241" i="10"/>
  <c r="BQ241" i="10"/>
  <c r="AD241" i="10"/>
  <c r="T241" i="10"/>
  <c r="DC241" i="10"/>
  <c r="BL241" i="10"/>
  <c r="J241" i="10"/>
  <c r="DH241" i="10"/>
  <c r="CO241" i="10"/>
  <c r="BW241" i="10"/>
  <c r="AL241" i="10"/>
  <c r="DD241" i="10"/>
  <c r="CX241" i="10"/>
  <c r="AS241" i="10"/>
  <c r="BA241" i="10"/>
  <c r="AU241" i="10"/>
  <c r="CQ241" i="10"/>
  <c r="AV241" i="10"/>
  <c r="S241" i="10"/>
  <c r="BN241" i="10"/>
  <c r="DB241" i="10"/>
  <c r="BM241" i="10"/>
  <c r="AC241" i="10"/>
  <c r="H241" i="10"/>
  <c r="CG241" i="10"/>
  <c r="AJ241" i="10"/>
  <c r="CD241" i="10"/>
  <c r="AZ241" i="10"/>
  <c r="CA241" i="10"/>
  <c r="AB241" i="10"/>
  <c r="AW241" i="10"/>
  <c r="AR241" i="10"/>
  <c r="CH241" i="10"/>
  <c r="E241" i="10"/>
  <c r="BP241" i="10"/>
  <c r="CF241" i="10"/>
  <c r="Z241" i="10"/>
  <c r="BJ241" i="10"/>
  <c r="CR241" i="10"/>
  <c r="CP241" i="10"/>
  <c r="AM241" i="10"/>
  <c r="X241" i="10"/>
  <c r="DJ241" i="10"/>
  <c r="W241" i="10"/>
  <c r="BF241" i="10"/>
  <c r="P241" i="10"/>
  <c r="CI241" i="10"/>
  <c r="N241" i="10"/>
  <c r="AE241" i="10"/>
  <c r="O241" i="10"/>
  <c r="G241" i="10"/>
  <c r="AY241" i="10"/>
  <c r="BR241" i="10"/>
  <c r="AA241" i="10"/>
  <c r="CJ241" i="10"/>
  <c r="C241" i="10"/>
  <c r="CL241" i="10"/>
  <c r="AT241" i="10"/>
  <c r="BB241" i="10"/>
  <c r="AX241" i="10"/>
  <c r="CE241" i="10"/>
  <c r="AI241" i="10"/>
  <c r="BI241" i="10"/>
  <c r="Q241" i="10"/>
  <c r="R241" i="10"/>
  <c r="DI241" i="10"/>
  <c r="AP241" i="10"/>
  <c r="DA241" i="10"/>
  <c r="CV241" i="10"/>
  <c r="BU241" i="10"/>
  <c r="AO241" i="10"/>
  <c r="AQ241" i="10"/>
  <c r="AH241" i="10"/>
  <c r="CC241" i="10"/>
  <c r="BD241" i="10"/>
  <c r="BH241" i="10"/>
  <c r="BY241" i="10"/>
  <c r="BE241" i="10"/>
  <c r="BS241" i="10"/>
  <c r="BK241" i="10"/>
  <c r="CU241" i="10"/>
  <c r="AK241" i="10"/>
  <c r="II2" i="1" l="1"/>
  <c r="II5" i="1" s="1"/>
  <c r="B242" i="10"/>
  <c r="IH8" i="1"/>
  <c r="II6" i="1"/>
  <c r="II10" i="1" l="1"/>
  <c r="II7" i="1"/>
  <c r="II9" i="1"/>
  <c r="B243" i="10"/>
  <c r="BD243" i="10" s="1"/>
  <c r="II8" i="1"/>
  <c r="IJ6" i="1"/>
  <c r="W242" i="10"/>
  <c r="BG242" i="10"/>
  <c r="CY242" i="10"/>
  <c r="V242" i="10"/>
  <c r="AO242" i="10"/>
  <c r="CG242" i="10"/>
  <c r="CZ242" i="10"/>
  <c r="AZ242" i="10"/>
  <c r="AM242" i="10"/>
  <c r="BA242" i="10"/>
  <c r="BL242" i="10"/>
  <c r="AX242" i="10"/>
  <c r="CD242" i="10"/>
  <c r="DJ242" i="10"/>
  <c r="AW242" i="10"/>
  <c r="CK242" i="10"/>
  <c r="AK242" i="10"/>
  <c r="AL242" i="10"/>
  <c r="CN242" i="10"/>
  <c r="CC242" i="10"/>
  <c r="DG242" i="10"/>
  <c r="BS242" i="10"/>
  <c r="AC242" i="10"/>
  <c r="AT242" i="10"/>
  <c r="CA242" i="10"/>
  <c r="CO242" i="10"/>
  <c r="CH242" i="10"/>
  <c r="BI242" i="10"/>
  <c r="AG242" i="10"/>
  <c r="AS242" i="10"/>
  <c r="AF242" i="10"/>
  <c r="C242" i="10"/>
  <c r="K242" i="10"/>
  <c r="M242" i="10"/>
  <c r="R242" i="10"/>
  <c r="AI242" i="10"/>
  <c r="O242" i="10"/>
  <c r="BU242" i="10"/>
  <c r="CW242" i="10"/>
  <c r="BD242" i="10"/>
  <c r="AN242" i="10"/>
  <c r="S242" i="10"/>
  <c r="AE242" i="10"/>
  <c r="Z242" i="10"/>
  <c r="CF242" i="10"/>
  <c r="BO242" i="10"/>
  <c r="BR242" i="10"/>
  <c r="AU242" i="10"/>
  <c r="BP242" i="10"/>
  <c r="X242" i="10"/>
  <c r="CB242" i="10"/>
  <c r="H242" i="10"/>
  <c r="AB242" i="10"/>
  <c r="BF242" i="10"/>
  <c r="AV242" i="10"/>
  <c r="CE242" i="10"/>
  <c r="D242" i="10"/>
  <c r="CU242" i="10"/>
  <c r="CI242" i="10"/>
  <c r="BE242" i="10"/>
  <c r="BQ242" i="10"/>
  <c r="AR242" i="10"/>
  <c r="E242" i="10"/>
  <c r="CS242" i="10"/>
  <c r="BN242" i="10"/>
  <c r="CL242" i="10"/>
  <c r="CJ242" i="10"/>
  <c r="CM242" i="10"/>
  <c r="F242" i="10"/>
  <c r="L242" i="10"/>
  <c r="BZ242" i="10"/>
  <c r="BK242" i="10"/>
  <c r="CV242" i="10"/>
  <c r="I242" i="10"/>
  <c r="AQ242" i="10"/>
  <c r="DI242" i="10"/>
  <c r="U242" i="10"/>
  <c r="Y242" i="10"/>
  <c r="BX242" i="10"/>
  <c r="CP242" i="10"/>
  <c r="DH242" i="10"/>
  <c r="BT242" i="10"/>
  <c r="AH242" i="10"/>
  <c r="DF242" i="10"/>
  <c r="BW242" i="10"/>
  <c r="AA242" i="10"/>
  <c r="CQ242" i="10"/>
  <c r="BV242" i="10"/>
  <c r="AY242" i="10"/>
  <c r="BB242" i="10"/>
  <c r="AJ242" i="10"/>
  <c r="DA242" i="10"/>
  <c r="N242" i="10"/>
  <c r="DB242" i="10"/>
  <c r="CX242" i="10"/>
  <c r="DC242" i="10"/>
  <c r="AD242" i="10"/>
  <c r="BJ242" i="10"/>
  <c r="BC242" i="10"/>
  <c r="DK242" i="10"/>
  <c r="DD242" i="10"/>
  <c r="CT242" i="10"/>
  <c r="T242" i="10"/>
  <c r="G242" i="10"/>
  <c r="CR242" i="10"/>
  <c r="Q242" i="10"/>
  <c r="BM242" i="10"/>
  <c r="DE242" i="10"/>
  <c r="BY242" i="10"/>
  <c r="P242" i="10"/>
  <c r="J242" i="10"/>
  <c r="BH242" i="10"/>
  <c r="AP242" i="10"/>
  <c r="BH243" i="10" l="1"/>
  <c r="CA243" i="10"/>
  <c r="BS243" i="10"/>
  <c r="BK243" i="10"/>
  <c r="I243" i="10"/>
  <c r="AQ243" i="10"/>
  <c r="D243" i="10"/>
  <c r="BN243" i="10"/>
  <c r="AJ243" i="10"/>
  <c r="BA243" i="10"/>
  <c r="DH243" i="10"/>
  <c r="CE243" i="10"/>
  <c r="AU243" i="10"/>
  <c r="H243" i="10"/>
  <c r="AL243" i="10"/>
  <c r="J243" i="10"/>
  <c r="DJ243" i="10"/>
  <c r="CC243" i="10"/>
  <c r="AC243" i="10"/>
  <c r="AK243" i="10"/>
  <c r="CV243" i="10"/>
  <c r="BV243" i="10"/>
  <c r="E243" i="10"/>
  <c r="F243" i="10"/>
  <c r="BR243" i="10"/>
  <c r="O243" i="10"/>
  <c r="G243" i="10"/>
  <c r="X243" i="10"/>
  <c r="W243" i="10"/>
  <c r="BU243" i="10"/>
  <c r="AH243" i="10"/>
  <c r="DD243" i="10"/>
  <c r="S243" i="10"/>
  <c r="Q243" i="10"/>
  <c r="AI243" i="10"/>
  <c r="CS243" i="10"/>
  <c r="CN243" i="10"/>
  <c r="V243" i="10"/>
  <c r="AG243" i="10"/>
  <c r="AM243" i="10"/>
  <c r="C243" i="10"/>
  <c r="BJ243" i="10"/>
  <c r="CF243" i="10"/>
  <c r="CL243" i="10"/>
  <c r="Z243" i="10"/>
  <c r="CD243" i="10"/>
  <c r="AA243" i="10"/>
  <c r="BL243" i="10"/>
  <c r="BX243" i="10"/>
  <c r="AO243" i="10"/>
  <c r="CW243" i="10"/>
  <c r="DB243" i="10"/>
  <c r="AS243" i="10"/>
  <c r="CZ243" i="10"/>
  <c r="BB243" i="10"/>
  <c r="CQ243" i="10"/>
  <c r="CY243" i="10"/>
  <c r="N243" i="10"/>
  <c r="DE243" i="10"/>
  <c r="CI243" i="10"/>
  <c r="AY243" i="10"/>
  <c r="BC243" i="10"/>
  <c r="P243" i="10"/>
  <c r="BF243" i="10"/>
  <c r="K243" i="10"/>
  <c r="Y243" i="10"/>
  <c r="AN243" i="10"/>
  <c r="BE243" i="10"/>
  <c r="R243" i="10"/>
  <c r="DA243" i="10"/>
  <c r="CB243" i="10"/>
  <c r="CT243" i="10"/>
  <c r="L243" i="10"/>
  <c r="AT243" i="10"/>
  <c r="BI243" i="10"/>
  <c r="BM243" i="10"/>
  <c r="DF243" i="10"/>
  <c r="T243" i="10"/>
  <c r="AP243" i="10"/>
  <c r="BY243" i="10"/>
  <c r="AF243" i="10"/>
  <c r="AR243" i="10"/>
  <c r="AW243" i="10"/>
  <c r="DI243" i="10"/>
  <c r="DG243" i="10"/>
  <c r="U243" i="10"/>
  <c r="AE243" i="10"/>
  <c r="BP243" i="10"/>
  <c r="CH243" i="10"/>
  <c r="CP243" i="10"/>
  <c r="BT243" i="10"/>
  <c r="BW243" i="10"/>
  <c r="CG243" i="10"/>
  <c r="CX243" i="10"/>
  <c r="AB243" i="10"/>
  <c r="BG243" i="10"/>
  <c r="CR243" i="10"/>
  <c r="BO243" i="10"/>
  <c r="AX243" i="10"/>
  <c r="M243" i="10"/>
  <c r="CJ243" i="10"/>
  <c r="AD243" i="10"/>
  <c r="BZ243" i="10"/>
  <c r="CM243" i="10"/>
  <c r="CK243" i="10"/>
  <c r="BQ243" i="10"/>
  <c r="AZ243" i="10"/>
  <c r="DK243" i="10"/>
  <c r="CO243" i="10"/>
  <c r="CU243" i="10"/>
  <c r="DC243" i="10"/>
  <c r="IJ2" i="1"/>
  <c r="AV243" i="10"/>
  <c r="IJ10" i="1" l="1"/>
  <c r="IJ5" i="1"/>
  <c r="IJ9" i="1" s="1"/>
  <c r="IJ7" i="1" l="1"/>
  <c r="B244" i="10"/>
  <c r="IK6" i="1"/>
  <c r="IJ8" i="1"/>
  <c r="IK2" i="1"/>
  <c r="IK10" i="1" s="1"/>
  <c r="IK5" i="1" l="1"/>
  <c r="IK9" i="1" s="1"/>
  <c r="BS244" i="10"/>
  <c r="I244" i="10"/>
  <c r="N244" i="10"/>
  <c r="AL244" i="10"/>
  <c r="C244" i="10"/>
  <c r="BX244" i="10"/>
  <c r="BJ244" i="10"/>
  <c r="AV244" i="10"/>
  <c r="BL244" i="10"/>
  <c r="T244" i="10"/>
  <c r="AA244" i="10"/>
  <c r="AN244" i="10"/>
  <c r="DF244" i="10"/>
  <c r="D244" i="10"/>
  <c r="BZ244" i="10"/>
  <c r="BD244" i="10"/>
  <c r="DK244" i="10"/>
  <c r="O244" i="10"/>
  <c r="AH244" i="10"/>
  <c r="BK244" i="10"/>
  <c r="G244" i="10"/>
  <c r="AC244" i="10"/>
  <c r="CO244" i="10"/>
  <c r="AO244" i="10"/>
  <c r="CU244" i="10"/>
  <c r="CG244" i="10"/>
  <c r="AJ244" i="10"/>
  <c r="AI244" i="10"/>
  <c r="AW244" i="10"/>
  <c r="BC244" i="10"/>
  <c r="CV244" i="10"/>
  <c r="CL244" i="10"/>
  <c r="DG244" i="10"/>
  <c r="CB244" i="10"/>
  <c r="CM244" i="10"/>
  <c r="AD244" i="10"/>
  <c r="BP244" i="10"/>
  <c r="CR244" i="10"/>
  <c r="CS244" i="10"/>
  <c r="AK244" i="10"/>
  <c r="F244" i="10"/>
  <c r="CK244" i="10"/>
  <c r="Y244" i="10"/>
  <c r="AF244" i="10"/>
  <c r="BQ244" i="10"/>
  <c r="W244" i="10"/>
  <c r="BN244" i="10"/>
  <c r="AE244" i="10"/>
  <c r="BG244" i="10"/>
  <c r="BO244" i="10"/>
  <c r="CD244" i="10"/>
  <c r="AX244" i="10"/>
  <c r="CF244" i="10"/>
  <c r="Q244" i="10"/>
  <c r="AY244" i="10"/>
  <c r="U244" i="10"/>
  <c r="L244" i="10"/>
  <c r="AS244" i="10"/>
  <c r="V244" i="10"/>
  <c r="BM244" i="10"/>
  <c r="DE244" i="10"/>
  <c r="R244" i="10"/>
  <c r="BT244" i="10"/>
  <c r="E244" i="10"/>
  <c r="CZ244" i="10"/>
  <c r="Z244" i="10"/>
  <c r="BI244" i="10"/>
  <c r="DB244" i="10"/>
  <c r="BW244" i="10"/>
  <c r="CC244" i="10"/>
  <c r="DA244" i="10"/>
  <c r="AP244" i="10"/>
  <c r="BH244" i="10"/>
  <c r="BF244" i="10"/>
  <c r="CE244" i="10"/>
  <c r="S244" i="10"/>
  <c r="M244" i="10"/>
  <c r="CY244" i="10"/>
  <c r="AU244" i="10"/>
  <c r="DH244" i="10"/>
  <c r="DD244" i="10"/>
  <c r="AR244" i="10"/>
  <c r="CH244" i="10"/>
  <c r="CN244" i="10"/>
  <c r="AT244" i="10"/>
  <c r="K244" i="10"/>
  <c r="CQ244" i="10"/>
  <c r="CX244" i="10"/>
  <c r="CP244" i="10"/>
  <c r="X244" i="10"/>
  <c r="AB244" i="10"/>
  <c r="BA244" i="10"/>
  <c r="CA244" i="10"/>
  <c r="CT244" i="10"/>
  <c r="DC244" i="10"/>
  <c r="AG244" i="10"/>
  <c r="P244" i="10"/>
  <c r="CI244" i="10"/>
  <c r="BY244" i="10"/>
  <c r="DJ244" i="10"/>
  <c r="AZ244" i="10"/>
  <c r="DI244" i="10"/>
  <c r="BV244" i="10"/>
  <c r="BB244" i="10"/>
  <c r="AM244" i="10"/>
  <c r="CJ244" i="10"/>
  <c r="CW244" i="10"/>
  <c r="BE244" i="10"/>
  <c r="AQ244" i="10"/>
  <c r="H244" i="10"/>
  <c r="BU244" i="10"/>
  <c r="J244" i="10"/>
  <c r="BR244" i="10"/>
  <c r="IK7" i="1" l="1"/>
  <c r="IL6" i="1" l="1"/>
  <c r="IK8" i="1"/>
  <c r="B245" i="10"/>
  <c r="IL2" i="1"/>
  <c r="IL10" i="1" s="1"/>
  <c r="IL5" i="1" l="1"/>
  <c r="IL9" i="1" s="1"/>
  <c r="DB245" i="10"/>
  <c r="AJ245" i="10"/>
  <c r="BX245" i="10"/>
  <c r="BQ245" i="10"/>
  <c r="BP245" i="10"/>
  <c r="CQ245" i="10"/>
  <c r="BY245" i="10"/>
  <c r="BD245" i="10"/>
  <c r="CJ245" i="10"/>
  <c r="BV245" i="10"/>
  <c r="R245" i="10"/>
  <c r="CC245" i="10"/>
  <c r="CO245" i="10"/>
  <c r="BF245" i="10"/>
  <c r="CV245" i="10"/>
  <c r="AF245" i="10"/>
  <c r="CZ245" i="10"/>
  <c r="AQ245" i="10"/>
  <c r="AX245" i="10"/>
  <c r="BO245" i="10"/>
  <c r="W245" i="10"/>
  <c r="CW245" i="10"/>
  <c r="C245" i="10"/>
  <c r="BG245" i="10"/>
  <c r="CB245" i="10"/>
  <c r="AG245" i="10"/>
  <c r="K245" i="10"/>
  <c r="AD245" i="10"/>
  <c r="CF245" i="10"/>
  <c r="E245" i="10"/>
  <c r="CG245" i="10"/>
  <c r="CE245" i="10"/>
  <c r="N245" i="10"/>
  <c r="DC245" i="10"/>
  <c r="DA245" i="10"/>
  <c r="P245" i="10"/>
  <c r="AH245" i="10"/>
  <c r="CA245" i="10"/>
  <c r="G245" i="10"/>
  <c r="AL245" i="10"/>
  <c r="CK245" i="10"/>
  <c r="DI245" i="10"/>
  <c r="D245" i="10"/>
  <c r="Q245" i="10"/>
  <c r="DG245" i="10"/>
  <c r="DJ245" i="10"/>
  <c r="X245" i="10"/>
  <c r="CU245" i="10"/>
  <c r="AA245" i="10"/>
  <c r="BH245" i="10"/>
  <c r="F245" i="10"/>
  <c r="AT245" i="10"/>
  <c r="CS245" i="10"/>
  <c r="DD245" i="10"/>
  <c r="BE245" i="10"/>
  <c r="J245" i="10"/>
  <c r="BR245" i="10"/>
  <c r="BB245" i="10"/>
  <c r="S245" i="10"/>
  <c r="CH245" i="10"/>
  <c r="U245" i="10"/>
  <c r="Z245" i="10"/>
  <c r="CR245" i="10"/>
  <c r="DF245" i="10"/>
  <c r="BW245" i="10"/>
  <c r="AY245" i="10"/>
  <c r="BK245" i="10"/>
  <c r="I245" i="10"/>
  <c r="CL245" i="10"/>
  <c r="AE245" i="10"/>
  <c r="AU245" i="10"/>
  <c r="CM245" i="10"/>
  <c r="DK245" i="10"/>
  <c r="CX245" i="10"/>
  <c r="BS245" i="10"/>
  <c r="H245" i="10"/>
  <c r="AV245" i="10"/>
  <c r="AN245" i="10"/>
  <c r="BZ245" i="10"/>
  <c r="AZ245" i="10"/>
  <c r="CT245" i="10"/>
  <c r="BJ245" i="10"/>
  <c r="AK245" i="10"/>
  <c r="BI245" i="10"/>
  <c r="CP245" i="10"/>
  <c r="CD245" i="10"/>
  <c r="O245" i="10"/>
  <c r="AR245" i="10"/>
  <c r="CY245" i="10"/>
  <c r="Y245" i="10"/>
  <c r="V245" i="10"/>
  <c r="BT245" i="10"/>
  <c r="AW245" i="10"/>
  <c r="BC245" i="10"/>
  <c r="CI245" i="10"/>
  <c r="AI245" i="10"/>
  <c r="T245" i="10"/>
  <c r="BU245" i="10"/>
  <c r="BA245" i="10"/>
  <c r="AC245" i="10"/>
  <c r="CN245" i="10"/>
  <c r="BM245" i="10"/>
  <c r="DE245" i="10"/>
  <c r="M245" i="10"/>
  <c r="AP245" i="10"/>
  <c r="BN245" i="10"/>
  <c r="AO245" i="10"/>
  <c r="AM245" i="10"/>
  <c r="L245" i="10"/>
  <c r="AB245" i="10"/>
  <c r="DH245" i="10"/>
  <c r="BL245" i="10"/>
  <c r="AS245" i="10"/>
  <c r="IL7" i="1" l="1"/>
  <c r="B246" i="10" l="1"/>
  <c r="IL8" i="1"/>
  <c r="IM6" i="1"/>
  <c r="IM2" i="1"/>
  <c r="IM10" i="1" s="1"/>
  <c r="IM5" i="1" l="1"/>
  <c r="IM9" i="1" s="1"/>
  <c r="AZ246" i="10"/>
  <c r="DF246" i="10"/>
  <c r="CS246" i="10"/>
  <c r="N246" i="10"/>
  <c r="DB246" i="10"/>
  <c r="V246" i="10"/>
  <c r="CI246" i="10"/>
  <c r="DK246" i="10"/>
  <c r="O246" i="10"/>
  <c r="CR246" i="10"/>
  <c r="CG246" i="10"/>
  <c r="BB246" i="10"/>
  <c r="DG246" i="10"/>
  <c r="CW246" i="10"/>
  <c r="CA246" i="10"/>
  <c r="AF246" i="10"/>
  <c r="BF246" i="10"/>
  <c r="AX246" i="10"/>
  <c r="AE246" i="10"/>
  <c r="AU246" i="10"/>
  <c r="CB246" i="10"/>
  <c r="AR246" i="10"/>
  <c r="BO246" i="10"/>
  <c r="CU246" i="10"/>
  <c r="BZ246" i="10"/>
  <c r="Q246" i="10"/>
  <c r="AH246" i="10"/>
  <c r="AK246" i="10"/>
  <c r="AG246" i="10"/>
  <c r="CK246" i="10"/>
  <c r="CN246" i="10"/>
  <c r="DD246" i="10"/>
  <c r="BR246" i="10"/>
  <c r="G246" i="10"/>
  <c r="BV246" i="10"/>
  <c r="AW246" i="10"/>
  <c r="BD246" i="10"/>
  <c r="BU246" i="10"/>
  <c r="CH246" i="10"/>
  <c r="CY246" i="10"/>
  <c r="CJ246" i="10"/>
  <c r="P246" i="10"/>
  <c r="CF246" i="10"/>
  <c r="L246" i="10"/>
  <c r="DH246" i="10"/>
  <c r="T246" i="10"/>
  <c r="BN246" i="10"/>
  <c r="BL246" i="10"/>
  <c r="S246" i="10"/>
  <c r="E246" i="10"/>
  <c r="AL246" i="10"/>
  <c r="BK246" i="10"/>
  <c r="BT246" i="10"/>
  <c r="CD246" i="10"/>
  <c r="BM246" i="10"/>
  <c r="BY246" i="10"/>
  <c r="CZ246" i="10"/>
  <c r="H246" i="10"/>
  <c r="CV246" i="10"/>
  <c r="J246" i="10"/>
  <c r="C246" i="10"/>
  <c r="AO246" i="10"/>
  <c r="R246" i="10"/>
  <c r="CO246" i="10"/>
  <c r="AD246" i="10"/>
  <c r="AP246" i="10"/>
  <c r="BG246" i="10"/>
  <c r="U246" i="10"/>
  <c r="AQ246" i="10"/>
  <c r="BE246" i="10"/>
  <c r="AM246" i="10"/>
  <c r="Z246" i="10"/>
  <c r="BX246" i="10"/>
  <c r="I246" i="10"/>
  <c r="AY246" i="10"/>
  <c r="K246" i="10"/>
  <c r="AI246" i="10"/>
  <c r="CC246" i="10"/>
  <c r="BS246" i="10"/>
  <c r="AS246" i="10"/>
  <c r="BC246" i="10"/>
  <c r="BH246" i="10"/>
  <c r="CM246" i="10"/>
  <c r="AV246" i="10"/>
  <c r="F246" i="10"/>
  <c r="AN246" i="10"/>
  <c r="W246" i="10"/>
  <c r="D246" i="10"/>
  <c r="DJ246" i="10"/>
  <c r="DE246" i="10"/>
  <c r="M246" i="10"/>
  <c r="CX246" i="10"/>
  <c r="CQ246" i="10"/>
  <c r="DA246" i="10"/>
  <c r="BW246" i="10"/>
  <c r="AA246" i="10"/>
  <c r="BP246" i="10"/>
  <c r="AJ246" i="10"/>
  <c r="Y246" i="10"/>
  <c r="CT246" i="10"/>
  <c r="AT246" i="10"/>
  <c r="DC246" i="10"/>
  <c r="CP246" i="10"/>
  <c r="X246" i="10"/>
  <c r="BJ246" i="10"/>
  <c r="DI246" i="10"/>
  <c r="BQ246" i="10"/>
  <c r="BI246" i="10"/>
  <c r="CE246" i="10"/>
  <c r="AB246" i="10"/>
  <c r="AC246" i="10"/>
  <c r="CL246" i="10"/>
  <c r="BA246" i="10"/>
  <c r="IM7" i="1" l="1"/>
  <c r="B247" i="10" l="1"/>
  <c r="IN6" i="1"/>
  <c r="IM8" i="1"/>
  <c r="IN2" i="1"/>
  <c r="IN10" i="1" s="1"/>
  <c r="IN5" i="1" l="1"/>
  <c r="IN9" i="1" s="1"/>
  <c r="CL247" i="10"/>
  <c r="D247" i="10"/>
  <c r="CS247" i="10"/>
  <c r="AH247" i="10"/>
  <c r="CG247" i="10"/>
  <c r="CI247" i="10"/>
  <c r="L247" i="10"/>
  <c r="DJ247" i="10"/>
  <c r="Z247" i="10"/>
  <c r="BU247" i="10"/>
  <c r="CB247" i="10"/>
  <c r="BF247" i="10"/>
  <c r="R247" i="10"/>
  <c r="DD247" i="10"/>
  <c r="BI247" i="10"/>
  <c r="Q247" i="10"/>
  <c r="CW247" i="10"/>
  <c r="AK247" i="10"/>
  <c r="DA247" i="10"/>
  <c r="BN247" i="10"/>
  <c r="CN247" i="10"/>
  <c r="J247" i="10"/>
  <c r="BQ247" i="10"/>
  <c r="CJ247" i="10"/>
  <c r="BM247" i="10"/>
  <c r="P247" i="10"/>
  <c r="G247" i="10"/>
  <c r="BW247" i="10"/>
  <c r="BR247" i="10"/>
  <c r="BS247" i="10"/>
  <c r="CP247" i="10"/>
  <c r="CH247" i="10"/>
  <c r="AD247" i="10"/>
  <c r="W247" i="10"/>
  <c r="CZ247" i="10"/>
  <c r="CK247" i="10"/>
  <c r="H247" i="10"/>
  <c r="CF247" i="10"/>
  <c r="AI247" i="10"/>
  <c r="BH247" i="10"/>
  <c r="DH247" i="10"/>
  <c r="BT247" i="10"/>
  <c r="BA247" i="10"/>
  <c r="BB247" i="10"/>
  <c r="V247" i="10"/>
  <c r="BK247" i="10"/>
  <c r="DF247" i="10"/>
  <c r="DK247" i="10"/>
  <c r="BD247" i="10"/>
  <c r="CT247" i="10"/>
  <c r="X247" i="10"/>
  <c r="U247" i="10"/>
  <c r="N247" i="10"/>
  <c r="AW247" i="10"/>
  <c r="AG247" i="10"/>
  <c r="S247" i="10"/>
  <c r="C247" i="10"/>
  <c r="AM247" i="10"/>
  <c r="AC247" i="10"/>
  <c r="AL247" i="10"/>
  <c r="CR247" i="10"/>
  <c r="O247" i="10"/>
  <c r="BX247" i="10"/>
  <c r="DB247" i="10"/>
  <c r="CE247" i="10"/>
  <c r="CA247" i="10"/>
  <c r="AO247" i="10"/>
  <c r="BO247" i="10"/>
  <c r="AB247" i="10"/>
  <c r="AZ247" i="10"/>
  <c r="CO247" i="10"/>
  <c r="AN247" i="10"/>
  <c r="CV247" i="10"/>
  <c r="Y247" i="10"/>
  <c r="BL247" i="10"/>
  <c r="AU247" i="10"/>
  <c r="E247" i="10"/>
  <c r="K247" i="10"/>
  <c r="M247" i="10"/>
  <c r="CC247" i="10"/>
  <c r="AR247" i="10"/>
  <c r="CY247" i="10"/>
  <c r="AE247" i="10"/>
  <c r="CX247" i="10"/>
  <c r="DG247" i="10"/>
  <c r="DC247" i="10"/>
  <c r="BG247" i="10"/>
  <c r="AJ247" i="10"/>
  <c r="BY247" i="10"/>
  <c r="DE247" i="10"/>
  <c r="AQ247" i="10"/>
  <c r="AA247" i="10"/>
  <c r="AY247" i="10"/>
  <c r="DI247" i="10"/>
  <c r="BE247" i="10"/>
  <c r="F247" i="10"/>
  <c r="AX247" i="10"/>
  <c r="CD247" i="10"/>
  <c r="AS247" i="10"/>
  <c r="I247" i="10"/>
  <c r="AF247" i="10"/>
  <c r="CM247" i="10"/>
  <c r="CQ247" i="10"/>
  <c r="CU247" i="10"/>
  <c r="BV247" i="10"/>
  <c r="AT247" i="10"/>
  <c r="BP247" i="10"/>
  <c r="AV247" i="10"/>
  <c r="T247" i="10"/>
  <c r="BZ247" i="10"/>
  <c r="BJ247" i="10"/>
  <c r="AP247" i="10"/>
  <c r="BC247" i="10"/>
  <c r="IN7" i="1" l="1"/>
  <c r="IO6" i="1" l="1"/>
  <c r="B248" i="10"/>
  <c r="IN8" i="1"/>
  <c r="IO2" i="1"/>
  <c r="IO5" i="1" s="1"/>
  <c r="IO7" i="1" l="1"/>
  <c r="IP6" i="1" s="1"/>
  <c r="IO9" i="1"/>
  <c r="IO8" i="1"/>
  <c r="B249" i="10"/>
  <c r="AZ249" i="10" s="1"/>
  <c r="IO10" i="1"/>
  <c r="AU248" i="10"/>
  <c r="CN248" i="10"/>
  <c r="BO248" i="10"/>
  <c r="AP248" i="10"/>
  <c r="AK248" i="10"/>
  <c r="AR248" i="10"/>
  <c r="E248" i="10"/>
  <c r="AI248" i="10"/>
  <c r="AV248" i="10"/>
  <c r="BT248" i="10"/>
  <c r="CA248" i="10"/>
  <c r="DG248" i="10"/>
  <c r="BD248" i="10"/>
  <c r="DE248" i="10"/>
  <c r="CZ248" i="10"/>
  <c r="CC248" i="10"/>
  <c r="AS248" i="10"/>
  <c r="CG248" i="10"/>
  <c r="O248" i="10"/>
  <c r="CO248" i="10"/>
  <c r="M248" i="10"/>
  <c r="AQ248" i="10"/>
  <c r="AL248" i="10"/>
  <c r="DK248" i="10"/>
  <c r="X248" i="10"/>
  <c r="BP248" i="10"/>
  <c r="BM248" i="10"/>
  <c r="BC248" i="10"/>
  <c r="DC248" i="10"/>
  <c r="BW248" i="10"/>
  <c r="BV248" i="10"/>
  <c r="T248" i="10"/>
  <c r="BG248" i="10"/>
  <c r="CY248" i="10"/>
  <c r="BJ248" i="10"/>
  <c r="CD248" i="10"/>
  <c r="AY248" i="10"/>
  <c r="N248" i="10"/>
  <c r="CM248" i="10"/>
  <c r="CX248" i="10"/>
  <c r="AG248" i="10"/>
  <c r="CR248" i="10"/>
  <c r="CV248" i="10"/>
  <c r="DJ248" i="10"/>
  <c r="DH248" i="10"/>
  <c r="AX248" i="10"/>
  <c r="V248" i="10"/>
  <c r="DF248" i="10"/>
  <c r="CK248" i="10"/>
  <c r="CU248" i="10"/>
  <c r="CH248" i="10"/>
  <c r="BE248" i="10"/>
  <c r="F248" i="10"/>
  <c r="K248" i="10"/>
  <c r="Y248" i="10"/>
  <c r="AF248" i="10"/>
  <c r="D248" i="10"/>
  <c r="AN248" i="10"/>
  <c r="AZ248" i="10"/>
  <c r="AB248" i="10"/>
  <c r="AW248" i="10"/>
  <c r="I248" i="10"/>
  <c r="CS248" i="10"/>
  <c r="S248" i="10"/>
  <c r="AJ248" i="10"/>
  <c r="H248" i="10"/>
  <c r="CT248" i="10"/>
  <c r="DI248" i="10"/>
  <c r="BA248" i="10"/>
  <c r="AC248" i="10"/>
  <c r="CP248" i="10"/>
  <c r="AE248" i="10"/>
  <c r="AH248" i="10"/>
  <c r="BZ248" i="10"/>
  <c r="DD248" i="10"/>
  <c r="R248" i="10"/>
  <c r="C248" i="10"/>
  <c r="CL248" i="10"/>
  <c r="Z248" i="10"/>
  <c r="BL248" i="10"/>
  <c r="AA248" i="10"/>
  <c r="BS248" i="10"/>
  <c r="G248" i="10"/>
  <c r="L248" i="10"/>
  <c r="P248" i="10"/>
  <c r="CI248" i="10"/>
  <c r="BR248" i="10"/>
  <c r="BN248" i="10"/>
  <c r="AM248" i="10"/>
  <c r="BY248" i="10"/>
  <c r="CB248" i="10"/>
  <c r="BX248" i="10"/>
  <c r="Q248" i="10"/>
  <c r="DA248" i="10"/>
  <c r="DB248" i="10"/>
  <c r="W248" i="10"/>
  <c r="CE248" i="10"/>
  <c r="BU248" i="10"/>
  <c r="BB248" i="10"/>
  <c r="BH248" i="10"/>
  <c r="AO248" i="10"/>
  <c r="AT248" i="10"/>
  <c r="BI248" i="10"/>
  <c r="J248" i="10"/>
  <c r="CF248" i="10"/>
  <c r="BK248" i="10"/>
  <c r="BF248" i="10"/>
  <c r="CW248" i="10"/>
  <c r="BQ248" i="10"/>
  <c r="CQ248" i="10"/>
  <c r="CJ248" i="10"/>
  <c r="U248" i="10"/>
  <c r="AD248" i="10"/>
  <c r="AE249" i="10" l="1"/>
  <c r="AJ249" i="10"/>
  <c r="DA249" i="10"/>
  <c r="BB249" i="10"/>
  <c r="BD249" i="10"/>
  <c r="AT249" i="10"/>
  <c r="BI249" i="10"/>
  <c r="CK249" i="10"/>
  <c r="AH249" i="10"/>
  <c r="CG249" i="10"/>
  <c r="BW249" i="10"/>
  <c r="DF249" i="10"/>
  <c r="AC249" i="10"/>
  <c r="BC249" i="10"/>
  <c r="CM249" i="10"/>
  <c r="BN249" i="10"/>
  <c r="BE249" i="10"/>
  <c r="Z249" i="10"/>
  <c r="DH249" i="10"/>
  <c r="X249" i="10"/>
  <c r="AL249" i="10"/>
  <c r="CE249" i="10"/>
  <c r="AR249" i="10"/>
  <c r="I249" i="10"/>
  <c r="CY249" i="10"/>
  <c r="AS249" i="10"/>
  <c r="BU249" i="10"/>
  <c r="CA249" i="10"/>
  <c r="AF249" i="10"/>
  <c r="CC249" i="10"/>
  <c r="W249" i="10"/>
  <c r="BX249" i="10"/>
  <c r="CS249" i="10"/>
  <c r="AU249" i="10"/>
  <c r="AV249" i="10"/>
  <c r="CF249" i="10"/>
  <c r="CX249" i="10"/>
  <c r="BK249" i="10"/>
  <c r="BS249" i="10"/>
  <c r="CP249" i="10"/>
  <c r="F249" i="10"/>
  <c r="AP249" i="10"/>
  <c r="DB249" i="10"/>
  <c r="DK249" i="10"/>
  <c r="U249" i="10"/>
  <c r="AD249" i="10"/>
  <c r="CV249" i="10"/>
  <c r="BQ249" i="10"/>
  <c r="C249" i="10"/>
  <c r="CW249" i="10"/>
  <c r="AY249" i="10"/>
  <c r="AI249" i="10"/>
  <c r="BH249" i="10"/>
  <c r="BR249" i="10"/>
  <c r="AG249" i="10"/>
  <c r="CU249" i="10"/>
  <c r="DI249" i="10"/>
  <c r="BO249" i="10"/>
  <c r="AM249" i="10"/>
  <c r="DG249" i="10"/>
  <c r="O249" i="10"/>
  <c r="CZ249" i="10"/>
  <c r="CI249" i="10"/>
  <c r="AB249" i="10"/>
  <c r="BL249" i="10"/>
  <c r="BA249" i="10"/>
  <c r="BJ249" i="10"/>
  <c r="CQ249" i="10"/>
  <c r="Y249" i="10"/>
  <c r="CH249" i="10"/>
  <c r="BF249" i="10"/>
  <c r="AK249" i="10"/>
  <c r="CT249" i="10"/>
  <c r="J249" i="10"/>
  <c r="BV249" i="10"/>
  <c r="K249" i="10"/>
  <c r="CL249" i="10"/>
  <c r="BM249" i="10"/>
  <c r="BG249" i="10"/>
  <c r="CR249" i="10"/>
  <c r="BP249" i="10"/>
  <c r="N249" i="10"/>
  <c r="CB249" i="10"/>
  <c r="DE249" i="10"/>
  <c r="P249" i="10"/>
  <c r="AQ249" i="10"/>
  <c r="H249" i="10"/>
  <c r="M249" i="10"/>
  <c r="DJ249" i="10"/>
  <c r="DD249" i="10"/>
  <c r="BY249" i="10"/>
  <c r="L249" i="10"/>
  <c r="AX249" i="10"/>
  <c r="IP2" i="1"/>
  <c r="IP10" i="1" s="1"/>
  <c r="CN249" i="10"/>
  <c r="CD249" i="10"/>
  <c r="R249" i="10"/>
  <c r="AW249" i="10"/>
  <c r="AA249" i="10"/>
  <c r="Q249" i="10"/>
  <c r="BZ249" i="10"/>
  <c r="T249" i="10"/>
  <c r="CJ249" i="10"/>
  <c r="G249" i="10"/>
  <c r="E249" i="10"/>
  <c r="V249" i="10"/>
  <c r="BT249" i="10"/>
  <c r="DC249" i="10"/>
  <c r="AO249" i="10"/>
  <c r="CO249" i="10"/>
  <c r="AN249" i="10"/>
  <c r="S249" i="10"/>
  <c r="D249" i="10"/>
  <c r="IP5" i="1" l="1"/>
  <c r="IP9" i="1" s="1"/>
  <c r="IP7" i="1" l="1"/>
  <c r="IQ6" i="1" l="1"/>
  <c r="B250" i="10"/>
  <c r="IP8" i="1"/>
  <c r="IQ2" i="1"/>
  <c r="IQ5" i="1" s="1"/>
  <c r="IQ9" i="1" s="1"/>
  <c r="IQ7" i="1" l="1"/>
  <c r="DJ250" i="10"/>
  <c r="BG250" i="10"/>
  <c r="CG250" i="10"/>
  <c r="AR250" i="10"/>
  <c r="X250" i="10"/>
  <c r="BW250" i="10"/>
  <c r="BR250" i="10"/>
  <c r="V250" i="10"/>
  <c r="BL250" i="10"/>
  <c r="BV250" i="10"/>
  <c r="AL250" i="10"/>
  <c r="D250" i="10"/>
  <c r="I250" i="10"/>
  <c r="BN250" i="10"/>
  <c r="AY250" i="10"/>
  <c r="N250" i="10"/>
  <c r="AJ250" i="10"/>
  <c r="CD250" i="10"/>
  <c r="C250" i="10"/>
  <c r="CO250" i="10"/>
  <c r="CC250" i="10"/>
  <c r="BS250" i="10"/>
  <c r="AX250" i="10"/>
  <c r="AQ250" i="10"/>
  <c r="W250" i="10"/>
  <c r="AW250" i="10"/>
  <c r="AC250" i="10"/>
  <c r="CY250" i="10"/>
  <c r="CW250" i="10"/>
  <c r="AB250" i="10"/>
  <c r="CF250" i="10"/>
  <c r="S250" i="10"/>
  <c r="BD250" i="10"/>
  <c r="AO250" i="10"/>
  <c r="CT250" i="10"/>
  <c r="E250" i="10"/>
  <c r="F250" i="10"/>
  <c r="AP250" i="10"/>
  <c r="Y250" i="10"/>
  <c r="Q250" i="10"/>
  <c r="DG250" i="10"/>
  <c r="DH250" i="10"/>
  <c r="P250" i="10"/>
  <c r="DD250" i="10"/>
  <c r="AT250" i="10"/>
  <c r="CL250" i="10"/>
  <c r="J250" i="10"/>
  <c r="BA250" i="10"/>
  <c r="AI250" i="10"/>
  <c r="M250" i="10"/>
  <c r="CR250" i="10"/>
  <c r="CU250" i="10"/>
  <c r="AK250" i="10"/>
  <c r="BY250" i="10"/>
  <c r="BB250" i="10"/>
  <c r="CV250" i="10"/>
  <c r="CH250" i="10"/>
  <c r="DF250" i="10"/>
  <c r="DK250" i="10"/>
  <c r="BT250" i="10"/>
  <c r="T250" i="10"/>
  <c r="AV250" i="10"/>
  <c r="R250" i="10"/>
  <c r="CI250" i="10"/>
  <c r="AE250" i="10"/>
  <c r="BE250" i="10"/>
  <c r="BP250" i="10"/>
  <c r="CA250" i="10"/>
  <c r="O250" i="10"/>
  <c r="AF250" i="10"/>
  <c r="H250" i="10"/>
  <c r="CE250" i="10"/>
  <c r="BO250" i="10"/>
  <c r="BH250" i="10"/>
  <c r="DB250" i="10"/>
  <c r="CJ250" i="10"/>
  <c r="BC250" i="10"/>
  <c r="CS250" i="10"/>
  <c r="CX250" i="10"/>
  <c r="CK250" i="10"/>
  <c r="AM250" i="10"/>
  <c r="CZ250" i="10"/>
  <c r="DC250" i="10"/>
  <c r="AH250" i="10"/>
  <c r="G250" i="10"/>
  <c r="U250" i="10"/>
  <c r="DA250" i="10"/>
  <c r="CB250" i="10"/>
  <c r="BK250" i="10"/>
  <c r="BU250" i="10"/>
  <c r="BZ250" i="10"/>
  <c r="AN250" i="10"/>
  <c r="AZ250" i="10"/>
  <c r="BJ250" i="10"/>
  <c r="BM250" i="10"/>
  <c r="L250" i="10"/>
  <c r="AS250" i="10"/>
  <c r="CN250" i="10"/>
  <c r="AA250" i="10"/>
  <c r="BI250" i="10"/>
  <c r="AU250" i="10"/>
  <c r="AG250" i="10"/>
  <c r="CM250" i="10"/>
  <c r="CP250" i="10"/>
  <c r="DE250" i="10"/>
  <c r="BX250" i="10"/>
  <c r="AD250" i="10"/>
  <c r="BQ250" i="10"/>
  <c r="BF250" i="10"/>
  <c r="DI250" i="10"/>
  <c r="K250" i="10"/>
  <c r="Z250" i="10"/>
  <c r="CQ250" i="10"/>
  <c r="IQ10" i="1"/>
  <c r="B251" i="10" l="1"/>
  <c r="IQ8" i="1"/>
  <c r="IR6" i="1"/>
  <c r="IR2" i="1"/>
  <c r="IR10" i="1" s="1"/>
  <c r="IR5" i="1" l="1"/>
  <c r="IR9" i="1" s="1"/>
  <c r="CS251" i="10"/>
  <c r="AM251" i="10"/>
  <c r="N251" i="10"/>
  <c r="D251" i="10"/>
  <c r="AZ251" i="10"/>
  <c r="BR251" i="10"/>
  <c r="DD251" i="10"/>
  <c r="BU251" i="10"/>
  <c r="BD251" i="10"/>
  <c r="BJ251" i="10"/>
  <c r="Y251" i="10"/>
  <c r="P251" i="10"/>
  <c r="DA251" i="10"/>
  <c r="CM251" i="10"/>
  <c r="BG251" i="10"/>
  <c r="AH251" i="10"/>
  <c r="DH251" i="10"/>
  <c r="BT251" i="10"/>
  <c r="BP251" i="10"/>
  <c r="AC251" i="10"/>
  <c r="CT251" i="10"/>
  <c r="CV251" i="10"/>
  <c r="AI251" i="10"/>
  <c r="CI251" i="10"/>
  <c r="G251" i="10"/>
  <c r="CG251" i="10"/>
  <c r="AK251" i="10"/>
  <c r="CO251" i="10"/>
  <c r="AF251" i="10"/>
  <c r="DC251" i="10"/>
  <c r="CA251" i="10"/>
  <c r="AT251" i="10"/>
  <c r="CQ251" i="10"/>
  <c r="CU251" i="10"/>
  <c r="CB251" i="10"/>
  <c r="CF251" i="10"/>
  <c r="BH251" i="10"/>
  <c r="AY251" i="10"/>
  <c r="BC251" i="10"/>
  <c r="BQ251" i="10"/>
  <c r="CX251" i="10"/>
  <c r="AN251" i="10"/>
  <c r="AS251" i="10"/>
  <c r="O251" i="10"/>
  <c r="CZ251" i="10"/>
  <c r="BF251" i="10"/>
  <c r="AP251" i="10"/>
  <c r="BM251" i="10"/>
  <c r="CJ251" i="10"/>
  <c r="DI251" i="10"/>
  <c r="DB251" i="10"/>
  <c r="AL251" i="10"/>
  <c r="CP251" i="10"/>
  <c r="CY251" i="10"/>
  <c r="DK251" i="10"/>
  <c r="CR251" i="10"/>
  <c r="DE251" i="10"/>
  <c r="J251" i="10"/>
  <c r="AW251" i="10"/>
  <c r="AV251" i="10"/>
  <c r="BS251" i="10"/>
  <c r="BY251" i="10"/>
  <c r="AQ251" i="10"/>
  <c r="AG251" i="10"/>
  <c r="M251" i="10"/>
  <c r="AE251" i="10"/>
  <c r="DF251" i="10"/>
  <c r="BK251" i="10"/>
  <c r="AO251" i="10"/>
  <c r="Z251" i="10"/>
  <c r="BI251" i="10"/>
  <c r="AA251" i="10"/>
  <c r="DG251" i="10"/>
  <c r="CC251" i="10"/>
  <c r="C251" i="10"/>
  <c r="BN251" i="10"/>
  <c r="CK251" i="10"/>
  <c r="V251" i="10"/>
  <c r="BV251" i="10"/>
  <c r="Q251" i="10"/>
  <c r="BO251" i="10"/>
  <c r="AJ251" i="10"/>
  <c r="AR251" i="10"/>
  <c r="E251" i="10"/>
  <c r="S251" i="10"/>
  <c r="W251" i="10"/>
  <c r="AX251" i="10"/>
  <c r="AD251" i="10"/>
  <c r="DJ251" i="10"/>
  <c r="AU251" i="10"/>
  <c r="K251" i="10"/>
  <c r="R251" i="10"/>
  <c r="L251" i="10"/>
  <c r="CD251" i="10"/>
  <c r="X251" i="10"/>
  <c r="BW251" i="10"/>
  <c r="BB251" i="10"/>
  <c r="CE251" i="10"/>
  <c r="BA251" i="10"/>
  <c r="CL251" i="10"/>
  <c r="T251" i="10"/>
  <c r="H251" i="10"/>
  <c r="BL251" i="10"/>
  <c r="BX251" i="10"/>
  <c r="BZ251" i="10"/>
  <c r="CN251" i="10"/>
  <c r="CH251" i="10"/>
  <c r="F251" i="10"/>
  <c r="U251" i="10"/>
  <c r="BE251" i="10"/>
  <c r="CW251" i="10"/>
  <c r="AB251" i="10"/>
  <c r="I251" i="10"/>
  <c r="IR7" i="1" l="1"/>
  <c r="IR8" i="1" l="1"/>
  <c r="B252" i="10"/>
  <c r="IS6" i="1"/>
  <c r="IS2" i="1"/>
  <c r="IS10" i="1" s="1"/>
  <c r="IS5" i="1" l="1"/>
  <c r="IS9" i="1" s="1"/>
  <c r="CM252" i="10"/>
  <c r="BD252" i="10"/>
  <c r="CA252" i="10"/>
  <c r="BO252" i="10"/>
  <c r="DI252" i="10"/>
  <c r="L252" i="10"/>
  <c r="AA252" i="10"/>
  <c r="CL252" i="10"/>
  <c r="CW252" i="10"/>
  <c r="AH252" i="10"/>
  <c r="W252" i="10"/>
  <c r="CU252" i="10"/>
  <c r="I252" i="10"/>
  <c r="V252" i="10"/>
  <c r="DG252" i="10"/>
  <c r="BT252" i="10"/>
  <c r="BN252" i="10"/>
  <c r="AF252" i="10"/>
  <c r="Q252" i="10"/>
  <c r="M252" i="10"/>
  <c r="AL252" i="10"/>
  <c r="BK252" i="10"/>
  <c r="BL252" i="10"/>
  <c r="BG252" i="10"/>
  <c r="CR252" i="10"/>
  <c r="BX252" i="10"/>
  <c r="C252" i="10"/>
  <c r="AD252" i="10"/>
  <c r="O252" i="10"/>
  <c r="X252" i="10"/>
  <c r="AZ252" i="10"/>
  <c r="AN252" i="10"/>
  <c r="BW252" i="10"/>
  <c r="BE252" i="10"/>
  <c r="AY252" i="10"/>
  <c r="AV252" i="10"/>
  <c r="AI252" i="10"/>
  <c r="BF252" i="10"/>
  <c r="DH252" i="10"/>
  <c r="K252" i="10"/>
  <c r="BV252" i="10"/>
  <c r="BR252" i="10"/>
  <c r="P252" i="10"/>
  <c r="DC252" i="10"/>
  <c r="DE252" i="10"/>
  <c r="BP252" i="10"/>
  <c r="AU252" i="10"/>
  <c r="CV252" i="10"/>
  <c r="DB252" i="10"/>
  <c r="CI252" i="10"/>
  <c r="AX252" i="10"/>
  <c r="AQ252" i="10"/>
  <c r="AJ252" i="10"/>
  <c r="CG252" i="10"/>
  <c r="N252" i="10"/>
  <c r="CN252" i="10"/>
  <c r="BM252" i="10"/>
  <c r="CP252" i="10"/>
  <c r="AG252" i="10"/>
  <c r="J252" i="10"/>
  <c r="BU252" i="10"/>
  <c r="Y252" i="10"/>
  <c r="CK252" i="10"/>
  <c r="E252" i="10"/>
  <c r="G252" i="10"/>
  <c r="BQ252" i="10"/>
  <c r="DJ252" i="10"/>
  <c r="BB252" i="10"/>
  <c r="CZ252" i="10"/>
  <c r="BI252" i="10"/>
  <c r="AM252" i="10"/>
  <c r="AW252" i="10"/>
  <c r="DF252" i="10"/>
  <c r="DD252" i="10"/>
  <c r="CD252" i="10"/>
  <c r="CQ252" i="10"/>
  <c r="CF252" i="10"/>
  <c r="R252" i="10"/>
  <c r="AB252" i="10"/>
  <c r="BZ252" i="10"/>
  <c r="F252" i="10"/>
  <c r="U252" i="10"/>
  <c r="H252" i="10"/>
  <c r="AK252" i="10"/>
  <c r="D252" i="10"/>
  <c r="CX252" i="10"/>
  <c r="CE252" i="10"/>
  <c r="CB252" i="10"/>
  <c r="AO252" i="10"/>
  <c r="BJ252" i="10"/>
  <c r="AS252" i="10"/>
  <c r="BS252" i="10"/>
  <c r="CY252" i="10"/>
  <c r="AR252" i="10"/>
  <c r="DK252" i="10"/>
  <c r="CH252" i="10"/>
  <c r="CT252" i="10"/>
  <c r="DA252" i="10"/>
  <c r="BC252" i="10"/>
  <c r="T252" i="10"/>
  <c r="Z252" i="10"/>
  <c r="AP252" i="10"/>
  <c r="BY252" i="10"/>
  <c r="CO252" i="10"/>
  <c r="BH252" i="10"/>
  <c r="S252" i="10"/>
  <c r="AC252" i="10"/>
  <c r="CC252" i="10"/>
  <c r="CJ252" i="10"/>
  <c r="AE252" i="10"/>
  <c r="BA252" i="10"/>
  <c r="AT252" i="10"/>
  <c r="CS252" i="10"/>
  <c r="IS7" i="1" l="1"/>
  <c r="B253" i="10" l="1"/>
  <c r="IS8" i="1"/>
  <c r="IT6" i="1"/>
  <c r="IT2" i="1"/>
  <c r="IT10" i="1" s="1"/>
  <c r="IT5" i="1" l="1"/>
  <c r="IT9" i="1" s="1"/>
  <c r="CD253" i="10"/>
  <c r="W253" i="10"/>
  <c r="CX253" i="10"/>
  <c r="BO253" i="10"/>
  <c r="AY253" i="10"/>
  <c r="CM253" i="10"/>
  <c r="DJ253" i="10"/>
  <c r="BI253" i="10"/>
  <c r="BB253" i="10"/>
  <c r="AS253" i="10"/>
  <c r="AW253" i="10"/>
  <c r="AP253" i="10"/>
  <c r="CS253" i="10"/>
  <c r="BE253" i="10"/>
  <c r="M253" i="10"/>
  <c r="CE253" i="10"/>
  <c r="AB253" i="10"/>
  <c r="DD253" i="10"/>
  <c r="AU253" i="10"/>
  <c r="CO253" i="10"/>
  <c r="BV253" i="10"/>
  <c r="R253" i="10"/>
  <c r="F253" i="10"/>
  <c r="AJ253" i="10"/>
  <c r="BZ253" i="10"/>
  <c r="BR253" i="10"/>
  <c r="CA253" i="10"/>
  <c r="DB253" i="10"/>
  <c r="CT253" i="10"/>
  <c r="BU253" i="10"/>
  <c r="DG253" i="10"/>
  <c r="BD253" i="10"/>
  <c r="AL253" i="10"/>
  <c r="E253" i="10"/>
  <c r="AH253" i="10"/>
  <c r="AA253" i="10"/>
  <c r="I253" i="10"/>
  <c r="S253" i="10"/>
  <c r="L253" i="10"/>
  <c r="K253" i="10"/>
  <c r="AV253" i="10"/>
  <c r="G253" i="10"/>
  <c r="BA253" i="10"/>
  <c r="J253" i="10"/>
  <c r="BY253" i="10"/>
  <c r="CJ253" i="10"/>
  <c r="AZ253" i="10"/>
  <c r="C253" i="10"/>
  <c r="DI253" i="10"/>
  <c r="DE253" i="10"/>
  <c r="D253" i="10"/>
  <c r="BH253" i="10"/>
  <c r="CR253" i="10"/>
  <c r="BP253" i="10"/>
  <c r="T253" i="10"/>
  <c r="AE253" i="10"/>
  <c r="DF253" i="10"/>
  <c r="BL253" i="10"/>
  <c r="CQ253" i="10"/>
  <c r="DH253" i="10"/>
  <c r="AG253" i="10"/>
  <c r="P253" i="10"/>
  <c r="H253" i="10"/>
  <c r="AX253" i="10"/>
  <c r="DC253" i="10"/>
  <c r="X253" i="10"/>
  <c r="BJ253" i="10"/>
  <c r="Z253" i="10"/>
  <c r="O253" i="10"/>
  <c r="CZ253" i="10"/>
  <c r="AI253" i="10"/>
  <c r="CP253" i="10"/>
  <c r="BS253" i="10"/>
  <c r="BC253" i="10"/>
  <c r="BW253" i="10"/>
  <c r="BF253" i="10"/>
  <c r="AD253" i="10"/>
  <c r="AR253" i="10"/>
  <c r="CV253" i="10"/>
  <c r="CF253" i="10"/>
  <c r="AN253" i="10"/>
  <c r="BT253" i="10"/>
  <c r="BQ253" i="10"/>
  <c r="DA253" i="10"/>
  <c r="Y253" i="10"/>
  <c r="V253" i="10"/>
  <c r="Q253" i="10"/>
  <c r="CL253" i="10"/>
  <c r="AK253" i="10"/>
  <c r="N253" i="10"/>
  <c r="CC253" i="10"/>
  <c r="CH253" i="10"/>
  <c r="BX253" i="10"/>
  <c r="BM253" i="10"/>
  <c r="CB253" i="10"/>
  <c r="CK253" i="10"/>
  <c r="AT253" i="10"/>
  <c r="AM253" i="10"/>
  <c r="BK253" i="10"/>
  <c r="CN253" i="10"/>
  <c r="AC253" i="10"/>
  <c r="CI253" i="10"/>
  <c r="CY253" i="10"/>
  <c r="AF253" i="10"/>
  <c r="CU253" i="10"/>
  <c r="BN253" i="10"/>
  <c r="U253" i="10"/>
  <c r="CG253" i="10"/>
  <c r="DK253" i="10"/>
  <c r="AQ253" i="10"/>
  <c r="CW253" i="10"/>
  <c r="AO253" i="10"/>
  <c r="BG253" i="10"/>
  <c r="IT7" i="1" l="1"/>
  <c r="IT8" i="1" l="1"/>
  <c r="B254" i="10"/>
  <c r="IU6" i="1"/>
  <c r="IU2" i="1"/>
  <c r="IU10" i="1" s="1"/>
  <c r="CT254" i="10" l="1"/>
  <c r="BU254" i="10"/>
  <c r="BZ254" i="10"/>
  <c r="M254" i="10"/>
  <c r="BR254" i="10"/>
  <c r="K254" i="10"/>
  <c r="AA254" i="10"/>
  <c r="O254" i="10"/>
  <c r="CD254" i="10"/>
  <c r="S254" i="10"/>
  <c r="BX254" i="10"/>
  <c r="Z254" i="10"/>
  <c r="BK254" i="10"/>
  <c r="CV254" i="10"/>
  <c r="CM254" i="10"/>
  <c r="D254" i="10"/>
  <c r="AF254" i="10"/>
  <c r="AI254" i="10"/>
  <c r="AE254" i="10"/>
  <c r="DA254" i="10"/>
  <c r="BO254" i="10"/>
  <c r="AS254" i="10"/>
  <c r="AJ254" i="10"/>
  <c r="DH254" i="10"/>
  <c r="AR254" i="10"/>
  <c r="BJ254" i="10"/>
  <c r="AZ254" i="10"/>
  <c r="CR254" i="10"/>
  <c r="AD254" i="10"/>
  <c r="J254" i="10"/>
  <c r="AK254" i="10"/>
  <c r="CS254" i="10"/>
  <c r="BS254" i="10"/>
  <c r="BL254" i="10"/>
  <c r="CJ254" i="10"/>
  <c r="CL254" i="10"/>
  <c r="AP254" i="10"/>
  <c r="BT254" i="10"/>
  <c r="AM254" i="10"/>
  <c r="BY254" i="10"/>
  <c r="DG254" i="10"/>
  <c r="CP254" i="10"/>
  <c r="R254" i="10"/>
  <c r="CA254" i="10"/>
  <c r="CY254" i="10"/>
  <c r="CZ254" i="10"/>
  <c r="BD254" i="10"/>
  <c r="CB254" i="10"/>
  <c r="BM254" i="10"/>
  <c r="BE254" i="10"/>
  <c r="C254" i="10"/>
  <c r="BC254" i="10"/>
  <c r="N254" i="10"/>
  <c r="AX254" i="10"/>
  <c r="BV254" i="10"/>
  <c r="F254" i="10"/>
  <c r="BI254" i="10"/>
  <c r="CF254" i="10"/>
  <c r="BP254" i="10"/>
  <c r="AB254" i="10"/>
  <c r="CI254" i="10"/>
  <c r="P254" i="10"/>
  <c r="AY254" i="10"/>
  <c r="AL254" i="10"/>
  <c r="AQ254" i="10"/>
  <c r="H254" i="10"/>
  <c r="AU254" i="10"/>
  <c r="G254" i="10"/>
  <c r="BH254" i="10"/>
  <c r="AC254" i="10"/>
  <c r="CC254" i="10"/>
  <c r="T254" i="10"/>
  <c r="DF254" i="10"/>
  <c r="AN254" i="10"/>
  <c r="CG254" i="10"/>
  <c r="DD254" i="10"/>
  <c r="BA254" i="10"/>
  <c r="AO254" i="10"/>
  <c r="DI254" i="10"/>
  <c r="CU254" i="10"/>
  <c r="CO254" i="10"/>
  <c r="CH254" i="10"/>
  <c r="BG254" i="10"/>
  <c r="AW254" i="10"/>
  <c r="AV254" i="10"/>
  <c r="W254" i="10"/>
  <c r="BN254" i="10"/>
  <c r="X254" i="10"/>
  <c r="DB254" i="10"/>
  <c r="CE254" i="10"/>
  <c r="DE254" i="10"/>
  <c r="AH254" i="10"/>
  <c r="V254" i="10"/>
  <c r="BW254" i="10"/>
  <c r="BB254" i="10"/>
  <c r="Y254" i="10"/>
  <c r="Q254" i="10"/>
  <c r="AT254" i="10"/>
  <c r="DK254" i="10"/>
  <c r="L254" i="10"/>
  <c r="AG254" i="10"/>
  <c r="U254" i="10"/>
  <c r="I254" i="10"/>
  <c r="BQ254" i="10"/>
  <c r="CW254" i="10"/>
  <c r="CN254" i="10"/>
  <c r="BF254" i="10"/>
  <c r="DC254" i="10"/>
  <c r="CQ254" i="10"/>
  <c r="CX254" i="10"/>
  <c r="CK254" i="10"/>
  <c r="DJ254" i="10"/>
  <c r="E254" i="10"/>
  <c r="IU5" i="1"/>
  <c r="IU9" i="1" s="1"/>
  <c r="IU7" i="1" l="1"/>
  <c r="IV6" i="1" l="1"/>
  <c r="IU8" i="1"/>
  <c r="B255" i="10"/>
  <c r="IV2" i="1"/>
  <c r="IV5" i="1" s="1"/>
  <c r="IV7" i="1" l="1"/>
  <c r="IV8" i="1" s="1"/>
  <c r="IV9" i="1"/>
  <c r="B256" i="10"/>
  <c r="CR256" i="10" s="1"/>
  <c r="DI255" i="10"/>
  <c r="BA255" i="10"/>
  <c r="AF255" i="10"/>
  <c r="CG255" i="10"/>
  <c r="H255" i="10"/>
  <c r="F255" i="10"/>
  <c r="BR255" i="10"/>
  <c r="CU255" i="10"/>
  <c r="BO255" i="10"/>
  <c r="CZ255" i="10"/>
  <c r="BE255" i="10"/>
  <c r="BW255" i="10"/>
  <c r="G255" i="10"/>
  <c r="CD255" i="10"/>
  <c r="AT255" i="10"/>
  <c r="DH255" i="10"/>
  <c r="BL255" i="10"/>
  <c r="D255" i="10"/>
  <c r="AS255" i="10"/>
  <c r="AN255" i="10"/>
  <c r="BM255" i="10"/>
  <c r="AG255" i="10"/>
  <c r="BX255" i="10"/>
  <c r="M255" i="10"/>
  <c r="CI255" i="10"/>
  <c r="DA255" i="10"/>
  <c r="L255" i="10"/>
  <c r="AB255" i="10"/>
  <c r="K255" i="10"/>
  <c r="CL255" i="10"/>
  <c r="BN255" i="10"/>
  <c r="AX255" i="10"/>
  <c r="AR255" i="10"/>
  <c r="CQ255" i="10"/>
  <c r="DF255" i="10"/>
  <c r="AH255" i="10"/>
  <c r="DD255" i="10"/>
  <c r="C255" i="10"/>
  <c r="CE255" i="10"/>
  <c r="CP255" i="10"/>
  <c r="J255" i="10"/>
  <c r="P255" i="10"/>
  <c r="CT255" i="10"/>
  <c r="CY255" i="10"/>
  <c r="BS255" i="10"/>
  <c r="DE255" i="10"/>
  <c r="AQ255" i="10"/>
  <c r="CM255" i="10"/>
  <c r="BG255" i="10"/>
  <c r="Z255" i="10"/>
  <c r="AU255" i="10"/>
  <c r="S255" i="10"/>
  <c r="CX255" i="10"/>
  <c r="CH255" i="10"/>
  <c r="BV255" i="10"/>
  <c r="AZ255" i="10"/>
  <c r="BD255" i="10"/>
  <c r="O255" i="10"/>
  <c r="BU255" i="10"/>
  <c r="AD255" i="10"/>
  <c r="R255" i="10"/>
  <c r="BK255" i="10"/>
  <c r="BC255" i="10"/>
  <c r="BQ255" i="10"/>
  <c r="AK255" i="10"/>
  <c r="CC255" i="10"/>
  <c r="AY255" i="10"/>
  <c r="DK255" i="10"/>
  <c r="BB255" i="10"/>
  <c r="DG255" i="10"/>
  <c r="AL255" i="10"/>
  <c r="U255" i="10"/>
  <c r="AJ255" i="10"/>
  <c r="CJ255" i="10"/>
  <c r="BF255" i="10"/>
  <c r="CA255" i="10"/>
  <c r="BH255" i="10"/>
  <c r="X255" i="10"/>
  <c r="AW255" i="10"/>
  <c r="Y255" i="10"/>
  <c r="CK255" i="10"/>
  <c r="BT255" i="10"/>
  <c r="AE255" i="10"/>
  <c r="E255" i="10"/>
  <c r="CO255" i="10"/>
  <c r="I255" i="10"/>
  <c r="AP255" i="10"/>
  <c r="BP255" i="10"/>
  <c r="N255" i="10"/>
  <c r="CB255" i="10"/>
  <c r="AM255" i="10"/>
  <c r="CF255" i="10"/>
  <c r="AC255" i="10"/>
  <c r="AO255" i="10"/>
  <c r="CN255" i="10"/>
  <c r="CR255" i="10"/>
  <c r="CV255" i="10"/>
  <c r="AA255" i="10"/>
  <c r="AV255" i="10"/>
  <c r="DJ255" i="10"/>
  <c r="DB255" i="10"/>
  <c r="W255" i="10"/>
  <c r="AI255" i="10"/>
  <c r="DC255" i="10"/>
  <c r="BI255" i="10"/>
  <c r="BY255" i="10"/>
  <c r="Q255" i="10"/>
  <c r="BJ255" i="10"/>
  <c r="T255" i="10"/>
  <c r="V255" i="10"/>
  <c r="CS255" i="10"/>
  <c r="CW255" i="10"/>
  <c r="BZ255" i="10"/>
  <c r="IV10" i="1"/>
  <c r="IW6" i="1" l="1"/>
  <c r="CZ256" i="10"/>
  <c r="BQ256" i="10"/>
  <c r="DF256" i="10"/>
  <c r="BF256" i="10"/>
  <c r="BB256" i="10"/>
  <c r="F256" i="10"/>
  <c r="V256" i="10"/>
  <c r="P256" i="10"/>
  <c r="BC256" i="10"/>
  <c r="DD256" i="10"/>
  <c r="AN256" i="10"/>
  <c r="DH256" i="10"/>
  <c r="CX256" i="10"/>
  <c r="G256" i="10"/>
  <c r="CF256" i="10"/>
  <c r="BX256" i="10"/>
  <c r="BO256" i="10"/>
  <c r="CV256" i="10"/>
  <c r="DJ256" i="10"/>
  <c r="CT256" i="10"/>
  <c r="DE256" i="10"/>
  <c r="BN256" i="10"/>
  <c r="D256" i="10"/>
  <c r="H256" i="10"/>
  <c r="BK256" i="10"/>
  <c r="CY256" i="10"/>
  <c r="CC256" i="10"/>
  <c r="BZ256" i="10"/>
  <c r="O256" i="10"/>
  <c r="AH256" i="10"/>
  <c r="AW256" i="10"/>
  <c r="CK256" i="10"/>
  <c r="BM256" i="10"/>
  <c r="Y256" i="10"/>
  <c r="DC256" i="10"/>
  <c r="BI256" i="10"/>
  <c r="Z256" i="10"/>
  <c r="AB256" i="10"/>
  <c r="C256" i="10"/>
  <c r="CB256" i="10"/>
  <c r="CQ256" i="10"/>
  <c r="BH256" i="10"/>
  <c r="BL256" i="10"/>
  <c r="AJ256" i="10"/>
  <c r="CG256" i="10"/>
  <c r="DK256" i="10"/>
  <c r="T256" i="10"/>
  <c r="AF256" i="10"/>
  <c r="CU256" i="10"/>
  <c r="CA256" i="10"/>
  <c r="BA256" i="10"/>
  <c r="AU256" i="10"/>
  <c r="AR256" i="10"/>
  <c r="BT256" i="10"/>
  <c r="BD256" i="10"/>
  <c r="I256" i="10"/>
  <c r="AX256" i="10"/>
  <c r="DB256" i="10"/>
  <c r="CN256" i="10"/>
  <c r="AL256" i="10"/>
  <c r="AV256" i="10"/>
  <c r="BU256" i="10"/>
  <c r="BE256" i="10"/>
  <c r="CH256" i="10"/>
  <c r="R256" i="10"/>
  <c r="AA256" i="10"/>
  <c r="AO256" i="10"/>
  <c r="DG256" i="10"/>
  <c r="AT256" i="10"/>
  <c r="CE256" i="10"/>
  <c r="S256" i="10"/>
  <c r="BG256" i="10"/>
  <c r="E256" i="10"/>
  <c r="CI256" i="10"/>
  <c r="L256" i="10"/>
  <c r="CD256" i="10"/>
  <c r="N256" i="10"/>
  <c r="BY256" i="10"/>
  <c r="CJ256" i="10"/>
  <c r="BS256" i="10"/>
  <c r="DA256" i="10"/>
  <c r="AE256" i="10"/>
  <c r="DI256" i="10"/>
  <c r="AD256" i="10"/>
  <c r="J256" i="10"/>
  <c r="AK256" i="10"/>
  <c r="W256" i="10"/>
  <c r="X256" i="10"/>
  <c r="K256" i="10"/>
  <c r="AS256" i="10"/>
  <c r="AQ256" i="10"/>
  <c r="BJ256" i="10"/>
  <c r="BW256" i="10"/>
  <c r="CW256" i="10"/>
  <c r="AG256" i="10"/>
  <c r="AY256" i="10"/>
  <c r="BR256" i="10"/>
  <c r="AP256" i="10"/>
  <c r="CL256" i="10"/>
  <c r="CP256" i="10"/>
  <c r="M256" i="10"/>
  <c r="CM256" i="10"/>
  <c r="Q256" i="10"/>
  <c r="U256" i="10"/>
  <c r="BV256" i="10"/>
  <c r="BP256" i="10"/>
  <c r="AC256" i="10"/>
  <c r="AM256" i="10"/>
  <c r="CO256" i="10"/>
  <c r="AZ256" i="10"/>
  <c r="AI256" i="10"/>
  <c r="CS256" i="10"/>
  <c r="IW2" i="1"/>
  <c r="IW10" i="1" s="1"/>
  <c r="IW5" i="1" l="1"/>
  <c r="IW9" i="1" s="1"/>
  <c r="IW7" i="1" l="1"/>
  <c r="IX2" i="1" l="1"/>
  <c r="IX5" i="1" s="1"/>
  <c r="IX10" i="1"/>
  <c r="B257" i="10"/>
  <c r="IX6" i="1"/>
  <c r="IW8" i="1"/>
  <c r="IX7" i="1" l="1"/>
  <c r="IY6" i="1" s="1"/>
  <c r="IX9" i="1"/>
  <c r="B258" i="10"/>
  <c r="CL258" i="10" s="1"/>
  <c r="U257" i="10"/>
  <c r="BG257" i="10"/>
  <c r="DK257" i="10"/>
  <c r="DH257" i="10"/>
  <c r="CU257" i="10"/>
  <c r="AY257" i="10"/>
  <c r="AU257" i="10"/>
  <c r="BS257" i="10"/>
  <c r="AC257" i="10"/>
  <c r="AI257" i="10"/>
  <c r="AQ257" i="10"/>
  <c r="AS257" i="10"/>
  <c r="BY257" i="10"/>
  <c r="G257" i="10"/>
  <c r="CD257" i="10"/>
  <c r="DF257" i="10"/>
  <c r="K257" i="10"/>
  <c r="BN257" i="10"/>
  <c r="DI257" i="10"/>
  <c r="L257" i="10"/>
  <c r="Y257" i="10"/>
  <c r="CA257" i="10"/>
  <c r="BQ257" i="10"/>
  <c r="BA257" i="10"/>
  <c r="AW257" i="10"/>
  <c r="BC257" i="10"/>
  <c r="BP257" i="10"/>
  <c r="BL257" i="10"/>
  <c r="CS257" i="10"/>
  <c r="BV257" i="10"/>
  <c r="DA257" i="10"/>
  <c r="CV257" i="10"/>
  <c r="AV257" i="10"/>
  <c r="N257" i="10"/>
  <c r="CR257" i="10"/>
  <c r="CC257" i="10"/>
  <c r="AF257" i="10"/>
  <c r="AD257" i="10"/>
  <c r="CN257" i="10"/>
  <c r="CZ257" i="10"/>
  <c r="CX257" i="10"/>
  <c r="J257" i="10"/>
  <c r="BT257" i="10"/>
  <c r="F257" i="10"/>
  <c r="CW257" i="10"/>
  <c r="S257" i="10"/>
  <c r="BI257" i="10"/>
  <c r="AX257" i="10"/>
  <c r="M257" i="10"/>
  <c r="Q257" i="10"/>
  <c r="AK257" i="10"/>
  <c r="CY257" i="10"/>
  <c r="BH257" i="10"/>
  <c r="DD257" i="10"/>
  <c r="CF257" i="10"/>
  <c r="AA257" i="10"/>
  <c r="BR257" i="10"/>
  <c r="O257" i="10"/>
  <c r="C257" i="10"/>
  <c r="BD257" i="10"/>
  <c r="BE257" i="10"/>
  <c r="AJ257" i="10"/>
  <c r="BX257" i="10"/>
  <c r="CM257" i="10"/>
  <c r="W257" i="10"/>
  <c r="CL257" i="10"/>
  <c r="AN257" i="10"/>
  <c r="DG257" i="10"/>
  <c r="CI257" i="10"/>
  <c r="DB257" i="10"/>
  <c r="BJ257" i="10"/>
  <c r="AT257" i="10"/>
  <c r="AB257" i="10"/>
  <c r="CJ257" i="10"/>
  <c r="DE257" i="10"/>
  <c r="CO257" i="10"/>
  <c r="DC257" i="10"/>
  <c r="D257" i="10"/>
  <c r="CB257" i="10"/>
  <c r="BU257" i="10"/>
  <c r="AR257" i="10"/>
  <c r="AL257" i="10"/>
  <c r="V257" i="10"/>
  <c r="Z257" i="10"/>
  <c r="AH257" i="10"/>
  <c r="BB257" i="10"/>
  <c r="AP257" i="10"/>
  <c r="X257" i="10"/>
  <c r="AZ257" i="10"/>
  <c r="CQ257" i="10"/>
  <c r="CT257" i="10"/>
  <c r="AM257" i="10"/>
  <c r="R257" i="10"/>
  <c r="BW257" i="10"/>
  <c r="E257" i="10"/>
  <c r="P257" i="10"/>
  <c r="BF257" i="10"/>
  <c r="T257" i="10"/>
  <c r="DJ257" i="10"/>
  <c r="AG257" i="10"/>
  <c r="BK257" i="10"/>
  <c r="CK257" i="10"/>
  <c r="CP257" i="10"/>
  <c r="BM257" i="10"/>
  <c r="CH257" i="10"/>
  <c r="AE257" i="10"/>
  <c r="I257" i="10"/>
  <c r="AO257" i="10"/>
  <c r="CE257" i="10"/>
  <c r="BZ257" i="10"/>
  <c r="H257" i="10"/>
  <c r="CG257" i="10"/>
  <c r="BO257" i="10"/>
  <c r="IX8" i="1" l="1"/>
  <c r="CN258" i="10"/>
  <c r="D258" i="10"/>
  <c r="BO258" i="10"/>
  <c r="CH258" i="10"/>
  <c r="CC258" i="10"/>
  <c r="S258" i="10"/>
  <c r="CK258" i="10"/>
  <c r="CA258" i="10"/>
  <c r="BX258" i="10"/>
  <c r="AO258" i="10"/>
  <c r="CM258" i="10"/>
  <c r="DH258" i="10"/>
  <c r="BV258" i="10"/>
  <c r="F258" i="10"/>
  <c r="CJ258" i="10"/>
  <c r="DG258" i="10"/>
  <c r="BY258" i="10"/>
  <c r="AV258" i="10"/>
  <c r="O258" i="10"/>
  <c r="AK258" i="10"/>
  <c r="BQ258" i="10"/>
  <c r="AB258" i="10"/>
  <c r="DD258" i="10"/>
  <c r="BK258" i="10"/>
  <c r="M258" i="10"/>
  <c r="CI258" i="10"/>
  <c r="DF258" i="10"/>
  <c r="BT258" i="10"/>
  <c r="N258" i="10"/>
  <c r="Q258" i="10"/>
  <c r="DB258" i="10"/>
  <c r="BU258" i="10"/>
  <c r="H258" i="10"/>
  <c r="AR258" i="10"/>
  <c r="AW258" i="10"/>
  <c r="BN258" i="10"/>
  <c r="BZ258" i="10"/>
  <c r="CB258" i="10"/>
  <c r="BD258" i="10"/>
  <c r="AN258" i="10"/>
  <c r="AQ258" i="10"/>
  <c r="DJ258" i="10"/>
  <c r="Z258" i="10"/>
  <c r="E258" i="10"/>
  <c r="CD258" i="10"/>
  <c r="DA258" i="10"/>
  <c r="BP258" i="10"/>
  <c r="W258" i="10"/>
  <c r="DE258" i="10"/>
  <c r="AY258" i="10"/>
  <c r="BL258" i="10"/>
  <c r="AG258" i="10"/>
  <c r="G258" i="10"/>
  <c r="CV258" i="10"/>
  <c r="BC258" i="10"/>
  <c r="BJ258" i="10"/>
  <c r="BB258" i="10"/>
  <c r="DC258" i="10"/>
  <c r="AU258" i="10"/>
  <c r="P258" i="10"/>
  <c r="DI258" i="10"/>
  <c r="CY258" i="10"/>
  <c r="BM258" i="10"/>
  <c r="L258" i="10"/>
  <c r="C258" i="10"/>
  <c r="BE258" i="10"/>
  <c r="BH258" i="10"/>
  <c r="CO258" i="10"/>
  <c r="BS258" i="10"/>
  <c r="DK258" i="10"/>
  <c r="AC258" i="10"/>
  <c r="BG258" i="10"/>
  <c r="CE258" i="10"/>
  <c r="AA258" i="10"/>
  <c r="CZ258" i="10"/>
  <c r="AX258" i="10"/>
  <c r="AI258" i="10"/>
  <c r="AE258" i="10"/>
  <c r="CX258" i="10"/>
  <c r="AT258" i="10"/>
  <c r="AJ258" i="10"/>
  <c r="AF258" i="10"/>
  <c r="CU258" i="10"/>
  <c r="BW258" i="10"/>
  <c r="BF258" i="10"/>
  <c r="AM258" i="10"/>
  <c r="BA258" i="10"/>
  <c r="BI258" i="10"/>
  <c r="BR258" i="10"/>
  <c r="CT258" i="10"/>
  <c r="CW258" i="10"/>
  <c r="X258" i="10"/>
  <c r="V258" i="10"/>
  <c r="CQ258" i="10"/>
  <c r="CP258" i="10"/>
  <c r="AZ258" i="10"/>
  <c r="J258" i="10"/>
  <c r="CS258" i="10"/>
  <c r="AP258" i="10"/>
  <c r="K258" i="10"/>
  <c r="CF258" i="10"/>
  <c r="R258" i="10"/>
  <c r="Y258" i="10"/>
  <c r="I258" i="10"/>
  <c r="AD258" i="10"/>
  <c r="U258" i="10"/>
  <c r="AH258" i="10"/>
  <c r="CR258" i="10"/>
  <c r="AS258" i="10"/>
  <c r="CG258" i="10"/>
  <c r="AL258" i="10"/>
  <c r="IY2" i="1"/>
  <c r="IY10" i="1" s="1"/>
  <c r="T258" i="10"/>
  <c r="IY5" i="1" l="1"/>
  <c r="IY9" i="1" s="1"/>
  <c r="IY7" i="1"/>
  <c r="B259" i="10" l="1"/>
  <c r="IZ6" i="1"/>
  <c r="IY8" i="1"/>
  <c r="IZ2" i="1"/>
  <c r="IZ10" i="1" s="1"/>
  <c r="IZ5" i="1" l="1"/>
  <c r="IZ9" i="1" s="1"/>
  <c r="BK259" i="10"/>
  <c r="O259" i="10"/>
  <c r="DA259" i="10"/>
  <c r="AD259" i="10"/>
  <c r="CY259" i="10"/>
  <c r="BN259" i="10"/>
  <c r="BQ259" i="10"/>
  <c r="AS259" i="10"/>
  <c r="DI259" i="10"/>
  <c r="C259" i="10"/>
  <c r="AK259" i="10"/>
  <c r="AN259" i="10"/>
  <c r="DF259" i="10"/>
  <c r="E259" i="10"/>
  <c r="DD259" i="10"/>
  <c r="BT259" i="10"/>
  <c r="AC259" i="10"/>
  <c r="J259" i="10"/>
  <c r="CU259" i="10"/>
  <c r="AQ259" i="10"/>
  <c r="AW259" i="10"/>
  <c r="CO259" i="10"/>
  <c r="DC259" i="10"/>
  <c r="BF259" i="10"/>
  <c r="CF259" i="10"/>
  <c r="S259" i="10"/>
  <c r="BU259" i="10"/>
  <c r="Z259" i="10"/>
  <c r="CS259" i="10"/>
  <c r="CR259" i="10"/>
  <c r="AF259" i="10"/>
  <c r="K259" i="10"/>
  <c r="CW259" i="10"/>
  <c r="CH259" i="10"/>
  <c r="AM259" i="10"/>
  <c r="G259" i="10"/>
  <c r="DE259" i="10"/>
  <c r="BB259" i="10"/>
  <c r="BD259" i="10"/>
  <c r="AB259" i="10"/>
  <c r="AE259" i="10"/>
  <c r="CZ259" i="10"/>
  <c r="CX259" i="10"/>
  <c r="CI259" i="10"/>
  <c r="Y259" i="10"/>
  <c r="AX259" i="10"/>
  <c r="BL259" i="10"/>
  <c r="AV259" i="10"/>
  <c r="AA259" i="10"/>
  <c r="CV259" i="10"/>
  <c r="X259" i="10"/>
  <c r="BZ259" i="10"/>
  <c r="AZ259" i="10"/>
  <c r="BV259" i="10"/>
  <c r="AU259" i="10"/>
  <c r="BI259" i="10"/>
  <c r="CP259" i="10"/>
  <c r="BR259" i="10"/>
  <c r="BJ259" i="10"/>
  <c r="CE259" i="10"/>
  <c r="T259" i="10"/>
  <c r="D259" i="10"/>
  <c r="BG259" i="10"/>
  <c r="CL259" i="10"/>
  <c r="AG259" i="10"/>
  <c r="CT259" i="10"/>
  <c r="BY259" i="10"/>
  <c r="BH259" i="10"/>
  <c r="P259" i="10"/>
  <c r="AO259" i="10"/>
  <c r="CD259" i="10"/>
  <c r="CG259" i="10"/>
  <c r="U259" i="10"/>
  <c r="BX259" i="10"/>
  <c r="BO259" i="10"/>
  <c r="W259" i="10"/>
  <c r="R259" i="10"/>
  <c r="CQ259" i="10"/>
  <c r="AY259" i="10"/>
  <c r="DG259" i="10"/>
  <c r="I259" i="10"/>
  <c r="BM259" i="10"/>
  <c r="Q259" i="10"/>
  <c r="CN259" i="10"/>
  <c r="AJ259" i="10"/>
  <c r="N259" i="10"/>
  <c r="F259" i="10"/>
  <c r="AH259" i="10"/>
  <c r="AP259" i="10"/>
  <c r="CM259" i="10"/>
  <c r="AL259" i="10"/>
  <c r="DH259" i="10"/>
  <c r="BA259" i="10"/>
  <c r="AI259" i="10"/>
  <c r="M259" i="10"/>
  <c r="CC259" i="10"/>
  <c r="L259" i="10"/>
  <c r="CA259" i="10"/>
  <c r="BE259" i="10"/>
  <c r="BW259" i="10"/>
  <c r="DB259" i="10"/>
  <c r="BP259" i="10"/>
  <c r="AR259" i="10"/>
  <c r="V259" i="10"/>
  <c r="BS259" i="10"/>
  <c r="AT259" i="10"/>
  <c r="DJ259" i="10"/>
  <c r="DK259" i="10"/>
  <c r="H259" i="10"/>
  <c r="BC259" i="10"/>
  <c r="CK259" i="10"/>
  <c r="CJ259" i="10"/>
  <c r="CB259" i="10"/>
  <c r="IZ7" i="1" l="1"/>
  <c r="JA2" i="1" l="1"/>
  <c r="JA5" i="1" s="1"/>
  <c r="JA9" i="1" s="1"/>
  <c r="IZ8" i="1"/>
  <c r="B260" i="10"/>
  <c r="JA10" i="1"/>
  <c r="JA6" i="1"/>
  <c r="JA7" i="1" l="1"/>
  <c r="DA260" i="10"/>
  <c r="CG260" i="10"/>
  <c r="BY260" i="10"/>
  <c r="BH260" i="10"/>
  <c r="D260" i="10"/>
  <c r="AV260" i="10"/>
  <c r="BV260" i="10"/>
  <c r="Y260" i="10"/>
  <c r="AF260" i="10"/>
  <c r="R260" i="10"/>
  <c r="AT260" i="10"/>
  <c r="AK260" i="10"/>
  <c r="BK260" i="10"/>
  <c r="CW260" i="10"/>
  <c r="S260" i="10"/>
  <c r="DD260" i="10"/>
  <c r="AH260" i="10"/>
  <c r="H260" i="10"/>
  <c r="AL260" i="10"/>
  <c r="AX260" i="10"/>
  <c r="DC260" i="10"/>
  <c r="CT260" i="10"/>
  <c r="AD260" i="10"/>
  <c r="CU260" i="10"/>
  <c r="BS260" i="10"/>
  <c r="AE260" i="10"/>
  <c r="BL260" i="10"/>
  <c r="AJ260" i="10"/>
  <c r="F260" i="10"/>
  <c r="AR260" i="10"/>
  <c r="K260" i="10"/>
  <c r="CD260" i="10"/>
  <c r="N260" i="10"/>
  <c r="O260" i="10"/>
  <c r="AB260" i="10"/>
  <c r="BI260" i="10"/>
  <c r="E260" i="10"/>
  <c r="W260" i="10"/>
  <c r="BZ260" i="10"/>
  <c r="CH260" i="10"/>
  <c r="DF260" i="10"/>
  <c r="AA260" i="10"/>
  <c r="G260" i="10"/>
  <c r="DI260" i="10"/>
  <c r="AP260" i="10"/>
  <c r="CJ260" i="10"/>
  <c r="CN260" i="10"/>
  <c r="BP260" i="10"/>
  <c r="AZ260" i="10"/>
  <c r="BR260" i="10"/>
  <c r="BQ260" i="10"/>
  <c r="CR260" i="10"/>
  <c r="AM260" i="10"/>
  <c r="CC260" i="10"/>
  <c r="BT260" i="10"/>
  <c r="CE260" i="10"/>
  <c r="CF260" i="10"/>
  <c r="CQ260" i="10"/>
  <c r="J260" i="10"/>
  <c r="BX260" i="10"/>
  <c r="AS260" i="10"/>
  <c r="AN260" i="10"/>
  <c r="P260" i="10"/>
  <c r="BM260" i="10"/>
  <c r="T260" i="10"/>
  <c r="BG260" i="10"/>
  <c r="BO260" i="10"/>
  <c r="AG260" i="10"/>
  <c r="DB260" i="10"/>
  <c r="BU260" i="10"/>
  <c r="BN260" i="10"/>
  <c r="BJ260" i="10"/>
  <c r="U260" i="10"/>
  <c r="CA260" i="10"/>
  <c r="BF260" i="10"/>
  <c r="CV260" i="10"/>
  <c r="Z260" i="10"/>
  <c r="BD260" i="10"/>
  <c r="AO260" i="10"/>
  <c r="C260" i="10"/>
  <c r="CZ260" i="10"/>
  <c r="CM260" i="10"/>
  <c r="CI260" i="10"/>
  <c r="AQ260" i="10"/>
  <c r="DJ260" i="10"/>
  <c r="CY260" i="10"/>
  <c r="DE260" i="10"/>
  <c r="AU260" i="10"/>
  <c r="BA260" i="10"/>
  <c r="CX260" i="10"/>
  <c r="CB260" i="10"/>
  <c r="V260" i="10"/>
  <c r="CP260" i="10"/>
  <c r="M260" i="10"/>
  <c r="X260" i="10"/>
  <c r="I260" i="10"/>
  <c r="BB260" i="10"/>
  <c r="BE260" i="10"/>
  <c r="L260" i="10"/>
  <c r="AI260" i="10"/>
  <c r="AW260" i="10"/>
  <c r="DH260" i="10"/>
  <c r="CL260" i="10"/>
  <c r="CS260" i="10"/>
  <c r="AY260" i="10"/>
  <c r="Q260" i="10"/>
  <c r="CK260" i="10"/>
  <c r="BC260" i="10"/>
  <c r="BW260" i="10"/>
  <c r="CO260" i="10"/>
  <c r="AC260" i="10"/>
  <c r="DK260" i="10"/>
  <c r="DG260" i="10"/>
  <c r="JB2" i="1" l="1"/>
  <c r="JB5" i="1" s="1"/>
  <c r="JB9" i="1" s="1"/>
  <c r="JB10" i="1"/>
  <c r="B261" i="10"/>
  <c r="JB6" i="1"/>
  <c r="JA8" i="1"/>
  <c r="JB7" i="1" l="1"/>
  <c r="V261" i="10"/>
  <c r="BK261" i="10"/>
  <c r="AP261" i="10"/>
  <c r="CI261" i="10"/>
  <c r="AT261" i="10"/>
  <c r="BJ261" i="10"/>
  <c r="DD261" i="10"/>
  <c r="G261" i="10"/>
  <c r="CZ261" i="10"/>
  <c r="E261" i="10"/>
  <c r="AM261" i="10"/>
  <c r="Y261" i="10"/>
  <c r="BY261" i="10"/>
  <c r="BS261" i="10"/>
  <c r="AZ261" i="10"/>
  <c r="BF261" i="10"/>
  <c r="DJ261" i="10"/>
  <c r="CF261" i="10"/>
  <c r="AS261" i="10"/>
  <c r="BG261" i="10"/>
  <c r="BN261" i="10"/>
  <c r="CJ261" i="10"/>
  <c r="AW261" i="10"/>
  <c r="H261" i="10"/>
  <c r="BL261" i="10"/>
  <c r="AA261" i="10"/>
  <c r="AJ261" i="10"/>
  <c r="W261" i="10"/>
  <c r="BW261" i="10"/>
  <c r="DB261" i="10"/>
  <c r="CU261" i="10"/>
  <c r="AQ261" i="10"/>
  <c r="BB261" i="10"/>
  <c r="J261" i="10"/>
  <c r="AK261" i="10"/>
  <c r="U261" i="10"/>
  <c r="BX261" i="10"/>
  <c r="BR261" i="10"/>
  <c r="BP261" i="10"/>
  <c r="I261" i="10"/>
  <c r="CX261" i="10"/>
  <c r="BO261" i="10"/>
  <c r="DG261" i="10"/>
  <c r="AI261" i="10"/>
  <c r="AD261" i="10"/>
  <c r="DF261" i="10"/>
  <c r="BD261" i="10"/>
  <c r="O261" i="10"/>
  <c r="AR261" i="10"/>
  <c r="AC261" i="10"/>
  <c r="R261" i="10"/>
  <c r="Q261" i="10"/>
  <c r="CV261" i="10"/>
  <c r="BH261" i="10"/>
  <c r="L261" i="10"/>
  <c r="BI261" i="10"/>
  <c r="DK261" i="10"/>
  <c r="CR261" i="10"/>
  <c r="CG261" i="10"/>
  <c r="AE261" i="10"/>
  <c r="X261" i="10"/>
  <c r="BM261" i="10"/>
  <c r="DE261" i="10"/>
  <c r="AU261" i="10"/>
  <c r="CE261" i="10"/>
  <c r="K261" i="10"/>
  <c r="CA261" i="10"/>
  <c r="CO261" i="10"/>
  <c r="AX261" i="10"/>
  <c r="CP261" i="10"/>
  <c r="T261" i="10"/>
  <c r="AH261" i="10"/>
  <c r="BT261" i="10"/>
  <c r="BU261" i="10"/>
  <c r="C261" i="10"/>
  <c r="BV261" i="10"/>
  <c r="DH261" i="10"/>
  <c r="P261" i="10"/>
  <c r="F261" i="10"/>
  <c r="CM261" i="10"/>
  <c r="Z261" i="10"/>
  <c r="CS261" i="10"/>
  <c r="D261" i="10"/>
  <c r="CL261" i="10"/>
  <c r="BA261" i="10"/>
  <c r="BZ261" i="10"/>
  <c r="AV261" i="10"/>
  <c r="BQ261" i="10"/>
  <c r="AF261" i="10"/>
  <c r="AY261" i="10"/>
  <c r="DC261" i="10"/>
  <c r="BC261" i="10"/>
  <c r="N261" i="10"/>
  <c r="BE261" i="10"/>
  <c r="AO261" i="10"/>
  <c r="CW261" i="10"/>
  <c r="CH261" i="10"/>
  <c r="DI261" i="10"/>
  <c r="CD261" i="10"/>
  <c r="AL261" i="10"/>
  <c r="AG261" i="10"/>
  <c r="CK261" i="10"/>
  <c r="CY261" i="10"/>
  <c r="CB261" i="10"/>
  <c r="AB261" i="10"/>
  <c r="M261" i="10"/>
  <c r="CN261" i="10"/>
  <c r="AN261" i="10"/>
  <c r="CC261" i="10"/>
  <c r="DA261" i="10"/>
  <c r="S261" i="10"/>
  <c r="CT261" i="10"/>
  <c r="CQ261" i="10"/>
  <c r="B262" i="10" l="1"/>
  <c r="JB8" i="1"/>
  <c r="JC6" i="1"/>
  <c r="JC2" i="1"/>
  <c r="JC10" i="1" s="1"/>
  <c r="JC5" i="1" l="1"/>
  <c r="JC9" i="1" s="1"/>
  <c r="DI262" i="10"/>
  <c r="BQ262" i="10"/>
  <c r="CH262" i="10"/>
  <c r="CB262" i="10"/>
  <c r="BZ262" i="10"/>
  <c r="F262" i="10"/>
  <c r="N262" i="10"/>
  <c r="CJ262" i="10"/>
  <c r="E262" i="10"/>
  <c r="AZ262" i="10"/>
  <c r="BA262" i="10"/>
  <c r="CW262" i="10"/>
  <c r="CC262" i="10"/>
  <c r="U262" i="10"/>
  <c r="CR262" i="10"/>
  <c r="BL262" i="10"/>
  <c r="AE262" i="10"/>
  <c r="V262" i="10"/>
  <c r="R262" i="10"/>
  <c r="BG262" i="10"/>
  <c r="AT262" i="10"/>
  <c r="CM262" i="10"/>
  <c r="CV262" i="10"/>
  <c r="CX262" i="10"/>
  <c r="X262" i="10"/>
  <c r="DF262" i="10"/>
  <c r="BV262" i="10"/>
  <c r="CF262" i="10"/>
  <c r="CP262" i="10"/>
  <c r="CS262" i="10"/>
  <c r="AU262" i="10"/>
  <c r="CT262" i="10"/>
  <c r="CU262" i="10"/>
  <c r="DH262" i="10"/>
  <c r="D262" i="10"/>
  <c r="T262" i="10"/>
  <c r="L262" i="10"/>
  <c r="CO262" i="10"/>
  <c r="AK262" i="10"/>
  <c r="AL262" i="10"/>
  <c r="AR262" i="10"/>
  <c r="W262" i="10"/>
  <c r="AS262" i="10"/>
  <c r="M262" i="10"/>
  <c r="BP262" i="10"/>
  <c r="BE262" i="10"/>
  <c r="AA262" i="10"/>
  <c r="P262" i="10"/>
  <c r="BI262" i="10"/>
  <c r="BX262" i="10"/>
  <c r="H262" i="10"/>
  <c r="AF262" i="10"/>
  <c r="AD262" i="10"/>
  <c r="DJ262" i="10"/>
  <c r="BJ262" i="10"/>
  <c r="G262" i="10"/>
  <c r="CN262" i="10"/>
  <c r="BH262" i="10"/>
  <c r="Y262" i="10"/>
  <c r="BM262" i="10"/>
  <c r="BT262" i="10"/>
  <c r="J262" i="10"/>
  <c r="AN262" i="10"/>
  <c r="BC262" i="10"/>
  <c r="S262" i="10"/>
  <c r="CL262" i="10"/>
  <c r="AO262" i="10"/>
  <c r="DC262" i="10"/>
  <c r="AB262" i="10"/>
  <c r="BU262" i="10"/>
  <c r="BB262" i="10"/>
  <c r="DK262" i="10"/>
  <c r="BY262" i="10"/>
  <c r="AX262" i="10"/>
  <c r="AH262" i="10"/>
  <c r="BF262" i="10"/>
  <c r="BK262" i="10"/>
  <c r="AG262" i="10"/>
  <c r="I262" i="10"/>
  <c r="AY262" i="10"/>
  <c r="Q262" i="10"/>
  <c r="BD262" i="10"/>
  <c r="CY262" i="10"/>
  <c r="AM262" i="10"/>
  <c r="BS262" i="10"/>
  <c r="K262" i="10"/>
  <c r="BN262" i="10"/>
  <c r="CI262" i="10"/>
  <c r="CQ262" i="10"/>
  <c r="DA262" i="10"/>
  <c r="AI262" i="10"/>
  <c r="AQ262" i="10"/>
  <c r="AC262" i="10"/>
  <c r="CE262" i="10"/>
  <c r="AW262" i="10"/>
  <c r="DE262" i="10"/>
  <c r="C262" i="10"/>
  <c r="CZ262" i="10"/>
  <c r="CD262" i="10"/>
  <c r="CK262" i="10"/>
  <c r="BW262" i="10"/>
  <c r="DD262" i="10"/>
  <c r="DB262" i="10"/>
  <c r="BO262" i="10"/>
  <c r="DG262" i="10"/>
  <c r="AP262" i="10"/>
  <c r="AV262" i="10"/>
  <c r="Z262" i="10"/>
  <c r="AJ262" i="10"/>
  <c r="O262" i="10"/>
  <c r="CG262" i="10"/>
  <c r="BR262" i="10"/>
  <c r="CA262" i="10"/>
  <c r="JC7" i="1" l="1"/>
  <c r="JD2" i="1" l="1"/>
  <c r="JD5" i="1" s="1"/>
  <c r="JD9" i="1" s="1"/>
  <c r="JC8" i="1"/>
  <c r="JD10" i="1"/>
  <c r="JD6" i="1"/>
  <c r="B263" i="10"/>
  <c r="JD7" i="1" l="1"/>
  <c r="AF263" i="10"/>
  <c r="CO263" i="10"/>
  <c r="AU263" i="10"/>
  <c r="BS263" i="10"/>
  <c r="BZ263" i="10"/>
  <c r="CH263" i="10"/>
  <c r="AG263" i="10"/>
  <c r="BQ263" i="10"/>
  <c r="Q263" i="10"/>
  <c r="BO263" i="10"/>
  <c r="J263" i="10"/>
  <c r="BU263" i="10"/>
  <c r="AQ263" i="10"/>
  <c r="DB263" i="10"/>
  <c r="X263" i="10"/>
  <c r="D263" i="10"/>
  <c r="M263" i="10"/>
  <c r="AN263" i="10"/>
  <c r="AW263" i="10"/>
  <c r="DG263" i="10"/>
  <c r="CG263" i="10"/>
  <c r="AC263" i="10"/>
  <c r="AY263" i="10"/>
  <c r="AO263" i="10"/>
  <c r="T263" i="10"/>
  <c r="BI263" i="10"/>
  <c r="AJ263" i="10"/>
  <c r="AB263" i="10"/>
  <c r="F263" i="10"/>
  <c r="BF263" i="10"/>
  <c r="AZ263" i="10"/>
  <c r="AH263" i="10"/>
  <c r="W263" i="10"/>
  <c r="AE263" i="10"/>
  <c r="AA263" i="10"/>
  <c r="AT263" i="10"/>
  <c r="CS263" i="10"/>
  <c r="BX263" i="10"/>
  <c r="BY263" i="10"/>
  <c r="BG263" i="10"/>
  <c r="L263" i="10"/>
  <c r="CY263" i="10"/>
  <c r="CW263" i="10"/>
  <c r="BN263" i="10"/>
  <c r="AL263" i="10"/>
  <c r="O263" i="10"/>
  <c r="AX263" i="10"/>
  <c r="AD263" i="10"/>
  <c r="BK263" i="10"/>
  <c r="DF263" i="10"/>
  <c r="CQ263" i="10"/>
  <c r="K263" i="10"/>
  <c r="DA263" i="10"/>
  <c r="BT263" i="10"/>
  <c r="CV263" i="10"/>
  <c r="CB263" i="10"/>
  <c r="CX263" i="10"/>
  <c r="AS263" i="10"/>
  <c r="BH263" i="10"/>
  <c r="CF263" i="10"/>
  <c r="BM263" i="10"/>
  <c r="DC263" i="10"/>
  <c r="BW263" i="10"/>
  <c r="CJ263" i="10"/>
  <c r="CP263" i="10"/>
  <c r="AK263" i="10"/>
  <c r="AP263" i="10"/>
  <c r="DK263" i="10"/>
  <c r="CZ263" i="10"/>
  <c r="CL263" i="10"/>
  <c r="BC263" i="10"/>
  <c r="CI263" i="10"/>
  <c r="CN263" i="10"/>
  <c r="V263" i="10"/>
  <c r="BE263" i="10"/>
  <c r="BA263" i="10"/>
  <c r="AR263" i="10"/>
  <c r="CT263" i="10"/>
  <c r="BJ263" i="10"/>
  <c r="CC263" i="10"/>
  <c r="P263" i="10"/>
  <c r="U263" i="10"/>
  <c r="DD263" i="10"/>
  <c r="AI263" i="10"/>
  <c r="CE263" i="10"/>
  <c r="Y263" i="10"/>
  <c r="CR263" i="10"/>
  <c r="H263" i="10"/>
  <c r="DH263" i="10"/>
  <c r="BD263" i="10"/>
  <c r="C263" i="10"/>
  <c r="CM263" i="10"/>
  <c r="E263" i="10"/>
  <c r="R263" i="10"/>
  <c r="DE263" i="10"/>
  <c r="CD263" i="10"/>
  <c r="DJ263" i="10"/>
  <c r="AV263" i="10"/>
  <c r="BV263" i="10"/>
  <c r="N263" i="10"/>
  <c r="BP263" i="10"/>
  <c r="CA263" i="10"/>
  <c r="G263" i="10"/>
  <c r="CK263" i="10"/>
  <c r="CU263" i="10"/>
  <c r="Z263" i="10"/>
  <c r="S263" i="10"/>
  <c r="BL263" i="10"/>
  <c r="DI263" i="10"/>
  <c r="BR263" i="10"/>
  <c r="I263" i="10"/>
  <c r="AM263" i="10"/>
  <c r="BB263" i="10"/>
  <c r="JD8" i="1" l="1"/>
  <c r="B264" i="10"/>
  <c r="JE6" i="1"/>
  <c r="JE2" i="1"/>
  <c r="JE10" i="1" s="1"/>
  <c r="JE5" i="1" l="1"/>
  <c r="JE9" i="1" s="1"/>
  <c r="DB264" i="10"/>
  <c r="DA264" i="10"/>
  <c r="AJ264" i="10"/>
  <c r="P264" i="10"/>
  <c r="AB264" i="10"/>
  <c r="AU264" i="10"/>
  <c r="AX264" i="10"/>
  <c r="Y264" i="10"/>
  <c r="CT264" i="10"/>
  <c r="BF264" i="10"/>
  <c r="AV264" i="10"/>
  <c r="BG264" i="10"/>
  <c r="BE264" i="10"/>
  <c r="BH264" i="10"/>
  <c r="CH264" i="10"/>
  <c r="AK264" i="10"/>
  <c r="CU264" i="10"/>
  <c r="AN264" i="10"/>
  <c r="DK264" i="10"/>
  <c r="CQ264" i="10"/>
  <c r="L264" i="10"/>
  <c r="BP264" i="10"/>
  <c r="BL264" i="10"/>
  <c r="CP264" i="10"/>
  <c r="DE264" i="10"/>
  <c r="DH264" i="10"/>
  <c r="I264" i="10"/>
  <c r="AW264" i="10"/>
  <c r="AQ264" i="10"/>
  <c r="CD264" i="10"/>
  <c r="X264" i="10"/>
  <c r="CS264" i="10"/>
  <c r="CX264" i="10"/>
  <c r="Q264" i="10"/>
  <c r="DJ264" i="10"/>
  <c r="AP264" i="10"/>
  <c r="BK264" i="10"/>
  <c r="CA264" i="10"/>
  <c r="BJ264" i="10"/>
  <c r="BX264" i="10"/>
  <c r="AM264" i="10"/>
  <c r="BM264" i="10"/>
  <c r="G264" i="10"/>
  <c r="BT264" i="10"/>
  <c r="AO264" i="10"/>
  <c r="DI264" i="10"/>
  <c r="BU264" i="10"/>
  <c r="O264" i="10"/>
  <c r="CM264" i="10"/>
  <c r="E264" i="10"/>
  <c r="BW264" i="10"/>
  <c r="AD264" i="10"/>
  <c r="CE264" i="10"/>
  <c r="CV264" i="10"/>
  <c r="J264" i="10"/>
  <c r="BN264" i="10"/>
  <c r="BD264" i="10"/>
  <c r="T264" i="10"/>
  <c r="CL264" i="10"/>
  <c r="DG264" i="10"/>
  <c r="BI264" i="10"/>
  <c r="CC264" i="10"/>
  <c r="CF264" i="10"/>
  <c r="AC264" i="10"/>
  <c r="BS264" i="10"/>
  <c r="CY264" i="10"/>
  <c r="CB264" i="10"/>
  <c r="W264" i="10"/>
  <c r="F264" i="10"/>
  <c r="CK264" i="10"/>
  <c r="BY264" i="10"/>
  <c r="CO264" i="10"/>
  <c r="N264" i="10"/>
  <c r="DF264" i="10"/>
  <c r="BO264" i="10"/>
  <c r="M264" i="10"/>
  <c r="R264" i="10"/>
  <c r="BV264" i="10"/>
  <c r="V264" i="10"/>
  <c r="BZ264" i="10"/>
  <c r="BC264" i="10"/>
  <c r="K264" i="10"/>
  <c r="Z264" i="10"/>
  <c r="DD264" i="10"/>
  <c r="AI264" i="10"/>
  <c r="DC264" i="10"/>
  <c r="CR264" i="10"/>
  <c r="BA264" i="10"/>
  <c r="AT264" i="10"/>
  <c r="AH264" i="10"/>
  <c r="C264" i="10"/>
  <c r="AL264" i="10"/>
  <c r="AG264" i="10"/>
  <c r="AF264" i="10"/>
  <c r="CJ264" i="10"/>
  <c r="AE264" i="10"/>
  <c r="AA264" i="10"/>
  <c r="BB264" i="10"/>
  <c r="S264" i="10"/>
  <c r="AR264" i="10"/>
  <c r="U264" i="10"/>
  <c r="BQ264" i="10"/>
  <c r="AY264" i="10"/>
  <c r="CI264" i="10"/>
  <c r="CG264" i="10"/>
  <c r="BR264" i="10"/>
  <c r="CZ264" i="10"/>
  <c r="D264" i="10"/>
  <c r="AS264" i="10"/>
  <c r="H264" i="10"/>
  <c r="AZ264" i="10"/>
  <c r="CW264" i="10"/>
  <c r="CN264" i="10"/>
  <c r="JE7" i="1" l="1"/>
  <c r="JF2" i="1" l="1"/>
  <c r="JF5" i="1" s="1"/>
  <c r="JF9" i="1" s="1"/>
  <c r="B265" i="10"/>
  <c r="JE8" i="1"/>
  <c r="JF6" i="1"/>
  <c r="JF10" i="1"/>
  <c r="JF7" i="1" l="1"/>
  <c r="AX265" i="10"/>
  <c r="CN265" i="10"/>
  <c r="BZ265" i="10"/>
  <c r="M265" i="10"/>
  <c r="AZ265" i="10"/>
  <c r="CL265" i="10"/>
  <c r="J265" i="10"/>
  <c r="AP265" i="10"/>
  <c r="BX265" i="10"/>
  <c r="AD265" i="10"/>
  <c r="AA265" i="10"/>
  <c r="BA265" i="10"/>
  <c r="AG265" i="10"/>
  <c r="CM265" i="10"/>
  <c r="CF265" i="10"/>
  <c r="DB265" i="10"/>
  <c r="BF265" i="10"/>
  <c r="V265" i="10"/>
  <c r="CU265" i="10"/>
  <c r="AB265" i="10"/>
  <c r="CK265" i="10"/>
  <c r="BG265" i="10"/>
  <c r="AM265" i="10"/>
  <c r="CO265" i="10"/>
  <c r="BW265" i="10"/>
  <c r="CY265" i="10"/>
  <c r="BV265" i="10"/>
  <c r="CA265" i="10"/>
  <c r="CW265" i="10"/>
  <c r="E265" i="10"/>
  <c r="DH265" i="10"/>
  <c r="BJ265" i="10"/>
  <c r="CE265" i="10"/>
  <c r="CI265" i="10"/>
  <c r="AE265" i="10"/>
  <c r="AI265" i="10"/>
  <c r="K265" i="10"/>
  <c r="BY265" i="10"/>
  <c r="BD265" i="10"/>
  <c r="BP265" i="10"/>
  <c r="BH265" i="10"/>
  <c r="AJ265" i="10"/>
  <c r="CG265" i="10"/>
  <c r="DF265" i="10"/>
  <c r="R265" i="10"/>
  <c r="BM265" i="10"/>
  <c r="DK265" i="10"/>
  <c r="D265" i="10"/>
  <c r="BN265" i="10"/>
  <c r="DC265" i="10"/>
  <c r="DD265" i="10"/>
  <c r="BS265" i="10"/>
  <c r="BQ265" i="10"/>
  <c r="C265" i="10"/>
  <c r="CZ265" i="10"/>
  <c r="BI265" i="10"/>
  <c r="CJ265" i="10"/>
  <c r="AF265" i="10"/>
  <c r="BT265" i="10"/>
  <c r="CT265" i="10"/>
  <c r="CQ265" i="10"/>
  <c r="BB265" i="10"/>
  <c r="X265" i="10"/>
  <c r="DI265" i="10"/>
  <c r="AW265" i="10"/>
  <c r="AH265" i="10"/>
  <c r="Q265" i="10"/>
  <c r="T265" i="10"/>
  <c r="BC265" i="10"/>
  <c r="AT265" i="10"/>
  <c r="CB265" i="10"/>
  <c r="I265" i="10"/>
  <c r="AL265" i="10"/>
  <c r="AR265" i="10"/>
  <c r="CC265" i="10"/>
  <c r="BU265" i="10"/>
  <c r="CV265" i="10"/>
  <c r="CD265" i="10"/>
  <c r="DG265" i="10"/>
  <c r="CX265" i="10"/>
  <c r="Z265" i="10"/>
  <c r="U265" i="10"/>
  <c r="H265" i="10"/>
  <c r="BK265" i="10"/>
  <c r="F265" i="10"/>
  <c r="L265" i="10"/>
  <c r="AY265" i="10"/>
  <c r="DJ265" i="10"/>
  <c r="BE265" i="10"/>
  <c r="DE265" i="10"/>
  <c r="P265" i="10"/>
  <c r="AS265" i="10"/>
  <c r="DA265" i="10"/>
  <c r="G265" i="10"/>
  <c r="CR265" i="10"/>
  <c r="O265" i="10"/>
  <c r="CH265" i="10"/>
  <c r="AQ265" i="10"/>
  <c r="Y265" i="10"/>
  <c r="BR265" i="10"/>
  <c r="W265" i="10"/>
  <c r="N265" i="10"/>
  <c r="BL265" i="10"/>
  <c r="CS265" i="10"/>
  <c r="S265" i="10"/>
  <c r="BO265" i="10"/>
  <c r="AU265" i="10"/>
  <c r="AC265" i="10"/>
  <c r="AK265" i="10"/>
  <c r="AO265" i="10"/>
  <c r="AN265" i="10"/>
  <c r="CP265" i="10"/>
  <c r="AV265" i="10"/>
  <c r="JG2" i="1" l="1"/>
  <c r="JG5" i="1" s="1"/>
  <c r="JG9" i="1" s="1"/>
  <c r="B266" i="10"/>
  <c r="JF8" i="1"/>
  <c r="JG6" i="1"/>
  <c r="JG10" i="1" l="1"/>
  <c r="JG7" i="1"/>
  <c r="CY266" i="10"/>
  <c r="BY266" i="10"/>
  <c r="DH266" i="10"/>
  <c r="BB266" i="10"/>
  <c r="N266" i="10"/>
  <c r="CM266" i="10"/>
  <c r="DA266" i="10"/>
  <c r="F266" i="10"/>
  <c r="BX266" i="10"/>
  <c r="AH266" i="10"/>
  <c r="BS266" i="10"/>
  <c r="P266" i="10"/>
  <c r="CT266" i="10"/>
  <c r="CQ266" i="10"/>
  <c r="BD266" i="10"/>
  <c r="BP266" i="10"/>
  <c r="K266" i="10"/>
  <c r="BQ266" i="10"/>
  <c r="BR266" i="10"/>
  <c r="Y266" i="10"/>
  <c r="AA266" i="10"/>
  <c r="DK266" i="10"/>
  <c r="AL266" i="10"/>
  <c r="CO266" i="10"/>
  <c r="J266" i="10"/>
  <c r="U266" i="10"/>
  <c r="CA266" i="10"/>
  <c r="DG266" i="10"/>
  <c r="AT266" i="10"/>
  <c r="CH266" i="10"/>
  <c r="DF266" i="10"/>
  <c r="BC266" i="10"/>
  <c r="CI266" i="10"/>
  <c r="CB266" i="10"/>
  <c r="AY266" i="10"/>
  <c r="BA266" i="10"/>
  <c r="CW266" i="10"/>
  <c r="L266" i="10"/>
  <c r="AD266" i="10"/>
  <c r="DI266" i="10"/>
  <c r="Z266" i="10"/>
  <c r="BW266" i="10"/>
  <c r="AW266" i="10"/>
  <c r="CN266" i="10"/>
  <c r="AI266" i="10"/>
  <c r="DJ266" i="10"/>
  <c r="AR266" i="10"/>
  <c r="AX266" i="10"/>
  <c r="BJ266" i="10"/>
  <c r="X266" i="10"/>
  <c r="AU266" i="10"/>
  <c r="E266" i="10"/>
  <c r="CU266" i="10"/>
  <c r="AK266" i="10"/>
  <c r="AG266" i="10"/>
  <c r="DC266" i="10"/>
  <c r="CX266" i="10"/>
  <c r="C266" i="10"/>
  <c r="BH266" i="10"/>
  <c r="AM266" i="10"/>
  <c r="BI266" i="10"/>
  <c r="AV266" i="10"/>
  <c r="AQ266" i="10"/>
  <c r="AJ266" i="10"/>
  <c r="I266" i="10"/>
  <c r="BN266" i="10"/>
  <c r="V266" i="10"/>
  <c r="D266" i="10"/>
  <c r="BM266" i="10"/>
  <c r="CF266" i="10"/>
  <c r="S266" i="10"/>
  <c r="CE266" i="10"/>
  <c r="CV266" i="10"/>
  <c r="DD266" i="10"/>
  <c r="CS266" i="10"/>
  <c r="BU266" i="10"/>
  <c r="CC266" i="10"/>
  <c r="AC266" i="10"/>
  <c r="AP266" i="10"/>
  <c r="AZ266" i="10"/>
  <c r="CJ266" i="10"/>
  <c r="CK266" i="10"/>
  <c r="BF266" i="10"/>
  <c r="T266" i="10"/>
  <c r="CD266" i="10"/>
  <c r="BL266" i="10"/>
  <c r="AB266" i="10"/>
  <c r="DE266" i="10"/>
  <c r="AO266" i="10"/>
  <c r="BO266" i="10"/>
  <c r="CR266" i="10"/>
  <c r="CG266" i="10"/>
  <c r="BK266" i="10"/>
  <c r="Q266" i="10"/>
  <c r="H266" i="10"/>
  <c r="W266" i="10"/>
  <c r="AN266" i="10"/>
  <c r="BE266" i="10"/>
  <c r="BG266" i="10"/>
  <c r="AS266" i="10"/>
  <c r="AF266" i="10"/>
  <c r="G266" i="10"/>
  <c r="M266" i="10"/>
  <c r="BT266" i="10"/>
  <c r="CZ266" i="10"/>
  <c r="O266" i="10"/>
  <c r="CP266" i="10"/>
  <c r="AE266" i="10"/>
  <c r="R266" i="10"/>
  <c r="CL266" i="10"/>
  <c r="BV266" i="10"/>
  <c r="BZ266" i="10"/>
  <c r="DB266" i="10"/>
  <c r="B267" i="10" l="1"/>
  <c r="JG8" i="1"/>
  <c r="JH6" i="1"/>
  <c r="JH2" i="1"/>
  <c r="JH10" i="1" s="1"/>
  <c r="JH5" i="1" l="1"/>
  <c r="JH9" i="1" s="1"/>
  <c r="CJ267" i="10"/>
  <c r="CH267" i="10"/>
  <c r="AJ267" i="10"/>
  <c r="DD267" i="10"/>
  <c r="AU267" i="10"/>
  <c r="DF267" i="10"/>
  <c r="CM267" i="10"/>
  <c r="C267" i="10"/>
  <c r="AM267" i="10"/>
  <c r="BA267" i="10"/>
  <c r="O267" i="10"/>
  <c r="E267" i="10"/>
  <c r="AE267" i="10"/>
  <c r="CN267" i="10"/>
  <c r="AO267" i="10"/>
  <c r="J267" i="10"/>
  <c r="AF267" i="10"/>
  <c r="BI267" i="10"/>
  <c r="CK267" i="10"/>
  <c r="BV267" i="10"/>
  <c r="L267" i="10"/>
  <c r="BB267" i="10"/>
  <c r="BE267" i="10"/>
  <c r="CX267" i="10"/>
  <c r="H267" i="10"/>
  <c r="AX267" i="10"/>
  <c r="CO267" i="10"/>
  <c r="BM267" i="10"/>
  <c r="DJ267" i="10"/>
  <c r="CB267" i="10"/>
  <c r="AC267" i="10"/>
  <c r="CT267" i="10"/>
  <c r="BS267" i="10"/>
  <c r="D267" i="10"/>
  <c r="AI267" i="10"/>
  <c r="BH267" i="10"/>
  <c r="DI267" i="10"/>
  <c r="AA267" i="10"/>
  <c r="CA267" i="10"/>
  <c r="BF267" i="10"/>
  <c r="BW267" i="10"/>
  <c r="BC267" i="10"/>
  <c r="R267" i="10"/>
  <c r="S267" i="10"/>
  <c r="CR267" i="10"/>
  <c r="K267" i="10"/>
  <c r="DB267" i="10"/>
  <c r="AK267" i="10"/>
  <c r="BP267" i="10"/>
  <c r="BX267" i="10"/>
  <c r="DE267" i="10"/>
  <c r="AZ267" i="10"/>
  <c r="BL267" i="10"/>
  <c r="CG267" i="10"/>
  <c r="P267" i="10"/>
  <c r="F267" i="10"/>
  <c r="T267" i="10"/>
  <c r="G267" i="10"/>
  <c r="AG267" i="10"/>
  <c r="AY267" i="10"/>
  <c r="BD267" i="10"/>
  <c r="X267" i="10"/>
  <c r="AB267" i="10"/>
  <c r="DG267" i="10"/>
  <c r="I267" i="10"/>
  <c r="CW267" i="10"/>
  <c r="BY267" i="10"/>
  <c r="DK267" i="10"/>
  <c r="CF267" i="10"/>
  <c r="CV267" i="10"/>
  <c r="BU267" i="10"/>
  <c r="CU267" i="10"/>
  <c r="CZ267" i="10"/>
  <c r="BT267" i="10"/>
  <c r="CD267" i="10"/>
  <c r="AT267" i="10"/>
  <c r="AD267" i="10"/>
  <c r="AQ267" i="10"/>
  <c r="AP267" i="10"/>
  <c r="N267" i="10"/>
  <c r="V267" i="10"/>
  <c r="CI267" i="10"/>
  <c r="BZ267" i="10"/>
  <c r="BN267" i="10"/>
  <c r="Q267" i="10"/>
  <c r="BO267" i="10"/>
  <c r="AH267" i="10"/>
  <c r="BR267" i="10"/>
  <c r="BG267" i="10"/>
  <c r="Z267" i="10"/>
  <c r="CL267" i="10"/>
  <c r="U267" i="10"/>
  <c r="CP267" i="10"/>
  <c r="AN267" i="10"/>
  <c r="M267" i="10"/>
  <c r="AS267" i="10"/>
  <c r="BQ267" i="10"/>
  <c r="BK267" i="10"/>
  <c r="DH267" i="10"/>
  <c r="AW267" i="10"/>
  <c r="Y267" i="10"/>
  <c r="DC267" i="10"/>
  <c r="AL267" i="10"/>
  <c r="CQ267" i="10"/>
  <c r="W267" i="10"/>
  <c r="AR267" i="10"/>
  <c r="DA267" i="10"/>
  <c r="BJ267" i="10"/>
  <c r="AV267" i="10"/>
  <c r="CE267" i="10"/>
  <c r="CY267" i="10"/>
  <c r="CS267" i="10"/>
  <c r="CC267" i="10"/>
  <c r="JH7" i="1" l="1"/>
  <c r="JI6" i="1" s="1"/>
  <c r="B268" i="10"/>
  <c r="JH8" i="1"/>
  <c r="JI2" i="1"/>
  <c r="JI10" i="1" s="1"/>
  <c r="AN268" i="10" l="1"/>
  <c r="AW268" i="10"/>
  <c r="T268" i="10"/>
  <c r="CE268" i="10"/>
  <c r="DF268" i="10"/>
  <c r="BZ268" i="10"/>
  <c r="DB268" i="10"/>
  <c r="BO268" i="10"/>
  <c r="D268" i="10"/>
  <c r="AV268" i="10"/>
  <c r="F268" i="10"/>
  <c r="BX268" i="10"/>
  <c r="CZ268" i="10"/>
  <c r="AY268" i="10"/>
  <c r="S268" i="10"/>
  <c r="H268" i="10"/>
  <c r="AC268" i="10"/>
  <c r="AS268" i="10"/>
  <c r="R268" i="10"/>
  <c r="DA268" i="10"/>
  <c r="I268" i="10"/>
  <c r="DC268" i="10"/>
  <c r="W268" i="10"/>
  <c r="M268" i="10"/>
  <c r="BK268" i="10"/>
  <c r="K268" i="10"/>
  <c r="BS268" i="10"/>
  <c r="L268" i="10"/>
  <c r="BI268" i="10"/>
  <c r="CH268" i="10"/>
  <c r="AZ268" i="10"/>
  <c r="O268" i="10"/>
  <c r="DD268" i="10"/>
  <c r="CQ268" i="10"/>
  <c r="CJ268" i="10"/>
  <c r="BU268" i="10"/>
  <c r="DJ268" i="10"/>
  <c r="DK268" i="10"/>
  <c r="CI268" i="10"/>
  <c r="CD268" i="10"/>
  <c r="BJ268" i="10"/>
  <c r="BW268" i="10"/>
  <c r="AD268" i="10"/>
  <c r="AR268" i="10"/>
  <c r="BE268" i="10"/>
  <c r="AX268" i="10"/>
  <c r="AJ268" i="10"/>
  <c r="AF268" i="10"/>
  <c r="BC268" i="10"/>
  <c r="BP268" i="10"/>
  <c r="Z268" i="10"/>
  <c r="CU268" i="10"/>
  <c r="CK268" i="10"/>
  <c r="N268" i="10"/>
  <c r="Y268" i="10"/>
  <c r="CY268" i="10"/>
  <c r="G268" i="10"/>
  <c r="AE268" i="10"/>
  <c r="BY268" i="10"/>
  <c r="CB268" i="10"/>
  <c r="BA268" i="10"/>
  <c r="DI268" i="10"/>
  <c r="BM268" i="10"/>
  <c r="BN268" i="10"/>
  <c r="V268" i="10"/>
  <c r="C268" i="10"/>
  <c r="CO268" i="10"/>
  <c r="U268" i="10"/>
  <c r="AP268" i="10"/>
  <c r="AI268" i="10"/>
  <c r="AA268" i="10"/>
  <c r="CN268" i="10"/>
  <c r="X268" i="10"/>
  <c r="CL268" i="10"/>
  <c r="AK268" i="10"/>
  <c r="CP268" i="10"/>
  <c r="CW268" i="10"/>
  <c r="AL268" i="10"/>
  <c r="Q268" i="10"/>
  <c r="CM268" i="10"/>
  <c r="BD268" i="10"/>
  <c r="BT268" i="10"/>
  <c r="DH268" i="10"/>
  <c r="BQ268" i="10"/>
  <c r="AT268" i="10"/>
  <c r="AU268" i="10"/>
  <c r="AH268" i="10"/>
  <c r="CA268" i="10"/>
  <c r="E268" i="10"/>
  <c r="BH268" i="10"/>
  <c r="BG268" i="10"/>
  <c r="CT268" i="10"/>
  <c r="BL268" i="10"/>
  <c r="CX268" i="10"/>
  <c r="AB268" i="10"/>
  <c r="DE268" i="10"/>
  <c r="CS268" i="10"/>
  <c r="CF268" i="10"/>
  <c r="BR268" i="10"/>
  <c r="J268" i="10"/>
  <c r="BB268" i="10"/>
  <c r="CC268" i="10"/>
  <c r="AM268" i="10"/>
  <c r="BF268" i="10"/>
  <c r="CV268" i="10"/>
  <c r="CR268" i="10"/>
  <c r="BV268" i="10"/>
  <c r="DG268" i="10"/>
  <c r="AO268" i="10"/>
  <c r="P268" i="10"/>
  <c r="CG268" i="10"/>
  <c r="AG268" i="10"/>
  <c r="AQ268" i="10"/>
  <c r="JI5" i="1"/>
  <c r="JI9" i="1" s="1"/>
  <c r="JI7" i="1" l="1"/>
  <c r="B269" i="10" l="1"/>
  <c r="JJ6" i="1"/>
  <c r="JI8" i="1"/>
  <c r="JJ2" i="1"/>
  <c r="JJ10" i="1" s="1"/>
  <c r="JJ5" i="1" l="1"/>
  <c r="AI269" i="10"/>
  <c r="M269" i="10"/>
  <c r="V269" i="10"/>
  <c r="AU269" i="10"/>
  <c r="Z269" i="10"/>
  <c r="BI269" i="10"/>
  <c r="BO269" i="10"/>
  <c r="AP269" i="10"/>
  <c r="AG269" i="10"/>
  <c r="P269" i="10"/>
  <c r="AF269" i="10"/>
  <c r="AS269" i="10"/>
  <c r="AX269" i="10"/>
  <c r="BA269" i="10"/>
  <c r="BX269" i="10"/>
  <c r="E269" i="10"/>
  <c r="CS269" i="10"/>
  <c r="W269" i="10"/>
  <c r="BQ269" i="10"/>
  <c r="BL269" i="10"/>
  <c r="CW269" i="10"/>
  <c r="AZ269" i="10"/>
  <c r="BB269" i="10"/>
  <c r="BN269" i="10"/>
  <c r="AE269" i="10"/>
  <c r="CD269" i="10"/>
  <c r="AO269" i="10"/>
  <c r="K269" i="10"/>
  <c r="R269" i="10"/>
  <c r="CH269" i="10"/>
  <c r="Y269" i="10"/>
  <c r="X269" i="10"/>
  <c r="AY269" i="10"/>
  <c r="CE269" i="10"/>
  <c r="BT269" i="10"/>
  <c r="CM269" i="10"/>
  <c r="DA269" i="10"/>
  <c r="CL269" i="10"/>
  <c r="AK269" i="10"/>
  <c r="Q269" i="10"/>
  <c r="AH269" i="10"/>
  <c r="BE269" i="10"/>
  <c r="O269" i="10"/>
  <c r="DB269" i="10"/>
  <c r="AT269" i="10"/>
  <c r="I269" i="10"/>
  <c r="CT269" i="10"/>
  <c r="H269" i="10"/>
  <c r="AB269" i="10"/>
  <c r="CK269" i="10"/>
  <c r="AW269" i="10"/>
  <c r="CY269" i="10"/>
  <c r="BV269" i="10"/>
  <c r="BW269" i="10"/>
  <c r="L269" i="10"/>
  <c r="S269" i="10"/>
  <c r="BK269" i="10"/>
  <c r="BC269" i="10"/>
  <c r="CN269" i="10"/>
  <c r="CV269" i="10"/>
  <c r="CB269" i="10"/>
  <c r="CQ269" i="10"/>
  <c r="BR269" i="10"/>
  <c r="BZ269" i="10"/>
  <c r="AA269" i="10"/>
  <c r="F269" i="10"/>
  <c r="CU269" i="10"/>
  <c r="DC269" i="10"/>
  <c r="AJ269" i="10"/>
  <c r="AM269" i="10"/>
  <c r="AL269" i="10"/>
  <c r="CF269" i="10"/>
  <c r="CI269" i="10"/>
  <c r="BS269" i="10"/>
  <c r="DK269" i="10"/>
  <c r="CA269" i="10"/>
  <c r="BD269" i="10"/>
  <c r="CX269" i="10"/>
  <c r="BF269" i="10"/>
  <c r="BM269" i="10"/>
  <c r="AD269" i="10"/>
  <c r="G269" i="10"/>
  <c r="BH269" i="10"/>
  <c r="D269" i="10"/>
  <c r="CC269" i="10"/>
  <c r="BP269" i="10"/>
  <c r="T269" i="10"/>
  <c r="CZ269" i="10"/>
  <c r="N269" i="10"/>
  <c r="DG269" i="10"/>
  <c r="BG269" i="10"/>
  <c r="BY269" i="10"/>
  <c r="CO269" i="10"/>
  <c r="CP269" i="10"/>
  <c r="BJ269" i="10"/>
  <c r="J269" i="10"/>
  <c r="CR269" i="10"/>
  <c r="DF269" i="10"/>
  <c r="BU269" i="10"/>
  <c r="U269" i="10"/>
  <c r="AC269" i="10"/>
  <c r="DD269" i="10"/>
  <c r="AQ269" i="10"/>
  <c r="DH269" i="10"/>
  <c r="AV269" i="10"/>
  <c r="AR269" i="10"/>
  <c r="CJ269" i="10"/>
  <c r="AN269" i="10"/>
  <c r="DE269" i="10"/>
  <c r="C269" i="10"/>
  <c r="DI269" i="10"/>
  <c r="CG269" i="10"/>
  <c r="DJ269" i="10"/>
  <c r="JJ7" i="1" l="1"/>
  <c r="JJ9" i="1"/>
  <c r="B270" i="10"/>
  <c r="JJ8" i="1"/>
  <c r="JK6" i="1"/>
  <c r="JK2" i="1" l="1"/>
  <c r="JK10" i="1" s="1"/>
  <c r="DC270" i="10"/>
  <c r="CL270" i="10"/>
  <c r="DD270" i="10"/>
  <c r="DA270" i="10"/>
  <c r="BK270" i="10"/>
  <c r="G270" i="10"/>
  <c r="DK270" i="10"/>
  <c r="CM270" i="10"/>
  <c r="AK270" i="10"/>
  <c r="C270" i="10"/>
  <c r="BM270" i="10"/>
  <c r="AC270" i="10"/>
  <c r="CI270" i="10"/>
  <c r="V270" i="10"/>
  <c r="N270" i="10"/>
  <c r="Q270" i="10"/>
  <c r="BV270" i="10"/>
  <c r="AJ270" i="10"/>
  <c r="I270" i="10"/>
  <c r="BE270" i="10"/>
  <c r="AY270" i="10"/>
  <c r="P270" i="10"/>
  <c r="CU270" i="10"/>
  <c r="CZ270" i="10"/>
  <c r="DB270" i="10"/>
  <c r="F270" i="10"/>
  <c r="O270" i="10"/>
  <c r="CC270" i="10"/>
  <c r="AX270" i="10"/>
  <c r="BG270" i="10"/>
  <c r="CX270" i="10"/>
  <c r="BT270" i="10"/>
  <c r="BP270" i="10"/>
  <c r="CW270" i="10"/>
  <c r="CV270" i="10"/>
  <c r="W270" i="10"/>
  <c r="BW270" i="10"/>
  <c r="BB270" i="10"/>
  <c r="CO270" i="10"/>
  <c r="BU270" i="10"/>
  <c r="AQ270" i="10"/>
  <c r="T270" i="10"/>
  <c r="AV270" i="10"/>
  <c r="AG270" i="10"/>
  <c r="BS270" i="10"/>
  <c r="M270" i="10"/>
  <c r="AL270" i="10"/>
  <c r="AB270" i="10"/>
  <c r="CQ270" i="10"/>
  <c r="AM270" i="10"/>
  <c r="AO270" i="10"/>
  <c r="AA270" i="10"/>
  <c r="BF270" i="10"/>
  <c r="Y270" i="10"/>
  <c r="DG270" i="10"/>
  <c r="CY270" i="10"/>
  <c r="BA270" i="10"/>
  <c r="X270" i="10"/>
  <c r="AZ270" i="10"/>
  <c r="DF270" i="10"/>
  <c r="D270" i="10"/>
  <c r="DH270" i="10"/>
  <c r="AI270" i="10"/>
  <c r="BN270" i="10"/>
  <c r="BL270" i="10"/>
  <c r="E270" i="10"/>
  <c r="CF270" i="10"/>
  <c r="K270" i="10"/>
  <c r="CP270" i="10"/>
  <c r="AW270" i="10"/>
  <c r="BH270" i="10"/>
  <c r="DI270" i="10"/>
  <c r="CJ270" i="10"/>
  <c r="BO270" i="10"/>
  <c r="BR270" i="10"/>
  <c r="CE270" i="10"/>
  <c r="BQ270" i="10"/>
  <c r="AH270" i="10"/>
  <c r="BX270" i="10"/>
  <c r="Z270" i="10"/>
  <c r="AN270" i="10"/>
  <c r="CR270" i="10"/>
  <c r="BZ270" i="10"/>
  <c r="AF270" i="10"/>
  <c r="CG270" i="10"/>
  <c r="AU270" i="10"/>
  <c r="CN270" i="10"/>
  <c r="L270" i="10"/>
  <c r="CS270" i="10"/>
  <c r="AD270" i="10"/>
  <c r="AP270" i="10"/>
  <c r="BJ270" i="10"/>
  <c r="AE270" i="10"/>
  <c r="U270" i="10"/>
  <c r="S270" i="10"/>
  <c r="CD270" i="10"/>
  <c r="AT270" i="10"/>
  <c r="BC270" i="10"/>
  <c r="DJ270" i="10"/>
  <c r="CA270" i="10"/>
  <c r="AS270" i="10"/>
  <c r="R270" i="10"/>
  <c r="BD270" i="10"/>
  <c r="CB270" i="10"/>
  <c r="H270" i="10"/>
  <c r="DE270" i="10"/>
  <c r="CT270" i="10"/>
  <c r="CK270" i="10"/>
  <c r="BI270" i="10"/>
  <c r="BY270" i="10"/>
  <c r="CH270" i="10"/>
  <c r="J270" i="10"/>
  <c r="AR270" i="10"/>
  <c r="JK5" i="1" l="1"/>
  <c r="JK9" i="1" s="1"/>
  <c r="JK7" i="1" l="1"/>
  <c r="JL2" i="1" l="1"/>
  <c r="JL5" i="1" s="1"/>
  <c r="JL9" i="1" s="1"/>
  <c r="JL6" i="1"/>
  <c r="JK8" i="1"/>
  <c r="B271" i="10"/>
  <c r="JL10" i="1"/>
  <c r="JL7" i="1" l="1"/>
  <c r="J271" i="10"/>
  <c r="AK271" i="10"/>
  <c r="BC271" i="10"/>
  <c r="DJ271" i="10"/>
  <c r="K271" i="10"/>
  <c r="CG271" i="10"/>
  <c r="F271" i="10"/>
  <c r="BF271" i="10"/>
  <c r="E271" i="10"/>
  <c r="AS271" i="10"/>
  <c r="CM271" i="10"/>
  <c r="AA271" i="10"/>
  <c r="H271" i="10"/>
  <c r="Q271" i="10"/>
  <c r="CL271" i="10"/>
  <c r="AO271" i="10"/>
  <c r="CO271" i="10"/>
  <c r="T271" i="10"/>
  <c r="BD271" i="10"/>
  <c r="DC271" i="10"/>
  <c r="R271" i="10"/>
  <c r="AG271" i="10"/>
  <c r="BG271" i="10"/>
  <c r="AX271" i="10"/>
  <c r="Y271" i="10"/>
  <c r="AB271" i="10"/>
  <c r="CD271" i="10"/>
  <c r="DE271" i="10"/>
  <c r="CP271" i="10"/>
  <c r="U271" i="10"/>
  <c r="W271" i="10"/>
  <c r="AZ271" i="10"/>
  <c r="BI271" i="10"/>
  <c r="BQ271" i="10"/>
  <c r="AM271" i="10"/>
  <c r="BM271" i="10"/>
  <c r="DI271" i="10"/>
  <c r="DH271" i="10"/>
  <c r="AD271" i="10"/>
  <c r="CR271" i="10"/>
  <c r="CH271" i="10"/>
  <c r="BU271" i="10"/>
  <c r="CV271" i="10"/>
  <c r="BT271" i="10"/>
  <c r="BO271" i="10"/>
  <c r="AY271" i="10"/>
  <c r="N271" i="10"/>
  <c r="BL271" i="10"/>
  <c r="DA271" i="10"/>
  <c r="M271" i="10"/>
  <c r="BV271" i="10"/>
  <c r="L271" i="10"/>
  <c r="D271" i="10"/>
  <c r="P271" i="10"/>
  <c r="AU271" i="10"/>
  <c r="AL271" i="10"/>
  <c r="BN271" i="10"/>
  <c r="BX271" i="10"/>
  <c r="BS271" i="10"/>
  <c r="CA271" i="10"/>
  <c r="CE271" i="10"/>
  <c r="CT271" i="10"/>
  <c r="AV271" i="10"/>
  <c r="Z271" i="10"/>
  <c r="AP271" i="10"/>
  <c r="CK271" i="10"/>
  <c r="BA271" i="10"/>
  <c r="AJ271" i="10"/>
  <c r="BR271" i="10"/>
  <c r="CQ271" i="10"/>
  <c r="CI271" i="10"/>
  <c r="DB271" i="10"/>
  <c r="AF271" i="10"/>
  <c r="BZ271" i="10"/>
  <c r="CY271" i="10"/>
  <c r="CX271" i="10"/>
  <c r="AC271" i="10"/>
  <c r="DD271" i="10"/>
  <c r="AW271" i="10"/>
  <c r="BE271" i="10"/>
  <c r="S271" i="10"/>
  <c r="BB271" i="10"/>
  <c r="V271" i="10"/>
  <c r="AE271" i="10"/>
  <c r="BW271" i="10"/>
  <c r="DK271" i="10"/>
  <c r="AR271" i="10"/>
  <c r="O271" i="10"/>
  <c r="BJ271" i="10"/>
  <c r="BY271" i="10"/>
  <c r="X271" i="10"/>
  <c r="CF271" i="10"/>
  <c r="BH271" i="10"/>
  <c r="AI271" i="10"/>
  <c r="DG271" i="10"/>
  <c r="CS271" i="10"/>
  <c r="AN271" i="10"/>
  <c r="CB271" i="10"/>
  <c r="I271" i="10"/>
  <c r="CN271" i="10"/>
  <c r="AQ271" i="10"/>
  <c r="CC271" i="10"/>
  <c r="AH271" i="10"/>
  <c r="AT271" i="10"/>
  <c r="CW271" i="10"/>
  <c r="BK271" i="10"/>
  <c r="BP271" i="10"/>
  <c r="G271" i="10"/>
  <c r="CJ271" i="10"/>
  <c r="DF271" i="10"/>
  <c r="CU271" i="10"/>
  <c r="CZ271" i="10"/>
  <c r="C271" i="10"/>
  <c r="JL8" i="1" l="1"/>
  <c r="B272" i="10"/>
  <c r="JM6" i="1"/>
  <c r="JM2" i="1"/>
  <c r="JM10" i="1" s="1"/>
  <c r="JM5" i="1" l="1"/>
  <c r="CT272" i="10"/>
  <c r="BJ272" i="10"/>
  <c r="F272" i="10"/>
  <c r="DG272" i="10"/>
  <c r="DD272" i="10"/>
  <c r="BH272" i="10"/>
  <c r="AE272" i="10"/>
  <c r="BU272" i="10"/>
  <c r="K272" i="10"/>
  <c r="CW272" i="10"/>
  <c r="AX272" i="10"/>
  <c r="CR272" i="10"/>
  <c r="CI272" i="10"/>
  <c r="DF272" i="10"/>
  <c r="AZ272" i="10"/>
  <c r="DA272" i="10"/>
  <c r="CO272" i="10"/>
  <c r="AU272" i="10"/>
  <c r="AS272" i="10"/>
  <c r="D272" i="10"/>
  <c r="CK272" i="10"/>
  <c r="CH272" i="10"/>
  <c r="BL272" i="10"/>
  <c r="M272" i="10"/>
  <c r="BQ272" i="10"/>
  <c r="BI272" i="10"/>
  <c r="AY272" i="10"/>
  <c r="Q272" i="10"/>
  <c r="BR272" i="10"/>
  <c r="BC272" i="10"/>
  <c r="X272" i="10"/>
  <c r="AH272" i="10"/>
  <c r="E272" i="10"/>
  <c r="DE272" i="10"/>
  <c r="AK272" i="10"/>
  <c r="AW272" i="10"/>
  <c r="AF272" i="10"/>
  <c r="BZ272" i="10"/>
  <c r="W272" i="10"/>
  <c r="AT272" i="10"/>
  <c r="DK272" i="10"/>
  <c r="Z272" i="10"/>
  <c r="AA272" i="10"/>
  <c r="DJ272" i="10"/>
  <c r="CD272" i="10"/>
  <c r="P272" i="10"/>
  <c r="U272" i="10"/>
  <c r="BG272" i="10"/>
  <c r="CV272" i="10"/>
  <c r="AC272" i="10"/>
  <c r="V272" i="10"/>
  <c r="CA272" i="10"/>
  <c r="BK272" i="10"/>
  <c r="CU272" i="10"/>
  <c r="DB272" i="10"/>
  <c r="AB272" i="10"/>
  <c r="DI272" i="10"/>
  <c r="L272" i="10"/>
  <c r="DC272" i="10"/>
  <c r="AP272" i="10"/>
  <c r="I272" i="10"/>
  <c r="AO272" i="10"/>
  <c r="T272" i="10"/>
  <c r="CC272" i="10"/>
  <c r="BW272" i="10"/>
  <c r="BM272" i="10"/>
  <c r="CS272" i="10"/>
  <c r="CP272" i="10"/>
  <c r="BS272" i="10"/>
  <c r="CM272" i="10"/>
  <c r="CX272" i="10"/>
  <c r="AQ272" i="10"/>
  <c r="BO272" i="10"/>
  <c r="CE272" i="10"/>
  <c r="AJ272" i="10"/>
  <c r="DH272" i="10"/>
  <c r="CQ272" i="10"/>
  <c r="AM272" i="10"/>
  <c r="CY272" i="10"/>
  <c r="CL272" i="10"/>
  <c r="O272" i="10"/>
  <c r="BF272" i="10"/>
  <c r="AR272" i="10"/>
  <c r="AL272" i="10"/>
  <c r="BA272" i="10"/>
  <c r="BY272" i="10"/>
  <c r="AV272" i="10"/>
  <c r="BV272" i="10"/>
  <c r="S272" i="10"/>
  <c r="C272" i="10"/>
  <c r="N272" i="10"/>
  <c r="R272" i="10"/>
  <c r="J272" i="10"/>
  <c r="CJ272" i="10"/>
  <c r="CF272" i="10"/>
  <c r="CG272" i="10"/>
  <c r="BT272" i="10"/>
  <c r="Y272" i="10"/>
  <c r="CN272" i="10"/>
  <c r="BE272" i="10"/>
  <c r="AD272" i="10"/>
  <c r="CZ272" i="10"/>
  <c r="BX272" i="10"/>
  <c r="BD272" i="10"/>
  <c r="CB272" i="10"/>
  <c r="BP272" i="10"/>
  <c r="G272" i="10"/>
  <c r="H272" i="10"/>
  <c r="AN272" i="10"/>
  <c r="AG272" i="10"/>
  <c r="AI272" i="10"/>
  <c r="BN272" i="10"/>
  <c r="BB272" i="10"/>
  <c r="JM7" i="1" l="1"/>
  <c r="JM9" i="1"/>
  <c r="JN2" i="1" s="1"/>
  <c r="JN10" i="1" l="1"/>
  <c r="B273" i="10"/>
  <c r="JN6" i="1"/>
  <c r="JM8" i="1"/>
  <c r="JN5" i="1"/>
  <c r="JN9" i="1" s="1"/>
  <c r="JN7" i="1" l="1"/>
  <c r="X273" i="10"/>
  <c r="G273" i="10"/>
  <c r="BX273" i="10"/>
  <c r="CK273" i="10"/>
  <c r="AT273" i="10"/>
  <c r="CH273" i="10"/>
  <c r="CQ273" i="10"/>
  <c r="BP273" i="10"/>
  <c r="DE273" i="10"/>
  <c r="F273" i="10"/>
  <c r="AM273" i="10"/>
  <c r="BH273" i="10"/>
  <c r="DH273" i="10"/>
  <c r="AE273" i="10"/>
  <c r="DK273" i="10"/>
  <c r="K273" i="10"/>
  <c r="BI273" i="10"/>
  <c r="CC273" i="10"/>
  <c r="BY273" i="10"/>
  <c r="CW273" i="10"/>
  <c r="BE273" i="10"/>
  <c r="BR273" i="10"/>
  <c r="AH273" i="10"/>
  <c r="BQ273" i="10"/>
  <c r="N273" i="10"/>
  <c r="T273" i="10"/>
  <c r="Y273" i="10"/>
  <c r="BS273" i="10"/>
  <c r="AG273" i="10"/>
  <c r="BV273" i="10"/>
  <c r="AZ273" i="10"/>
  <c r="AK273" i="10"/>
  <c r="BW273" i="10"/>
  <c r="DA273" i="10"/>
  <c r="AO273" i="10"/>
  <c r="CM273" i="10"/>
  <c r="AC273" i="10"/>
  <c r="D273" i="10"/>
  <c r="BC273" i="10"/>
  <c r="CS273" i="10"/>
  <c r="BZ273" i="10"/>
  <c r="CB273" i="10"/>
  <c r="BU273" i="10"/>
  <c r="BK273" i="10"/>
  <c r="AR273" i="10"/>
  <c r="DF273" i="10"/>
  <c r="P273" i="10"/>
  <c r="AI273" i="10"/>
  <c r="BD273" i="10"/>
  <c r="DG273" i="10"/>
  <c r="CD273" i="10"/>
  <c r="R273" i="10"/>
  <c r="M273" i="10"/>
  <c r="CJ273" i="10"/>
  <c r="DI273" i="10"/>
  <c r="AS273" i="10"/>
  <c r="V273" i="10"/>
  <c r="I273" i="10"/>
  <c r="C273" i="10"/>
  <c r="AU273" i="10"/>
  <c r="H273" i="10"/>
  <c r="CF273" i="10"/>
  <c r="AJ273" i="10"/>
  <c r="Z273" i="10"/>
  <c r="AA273" i="10"/>
  <c r="CX273" i="10"/>
  <c r="DB273" i="10"/>
  <c r="DD273" i="10"/>
  <c r="CG273" i="10"/>
  <c r="BF273" i="10"/>
  <c r="U273" i="10"/>
  <c r="AX273" i="10"/>
  <c r="BJ273" i="10"/>
  <c r="AB273" i="10"/>
  <c r="AP273" i="10"/>
  <c r="AQ273" i="10"/>
  <c r="BM273" i="10"/>
  <c r="AN273" i="10"/>
  <c r="DJ273" i="10"/>
  <c r="BB273" i="10"/>
  <c r="J273" i="10"/>
  <c r="E273" i="10"/>
  <c r="Q273" i="10"/>
  <c r="BN273" i="10"/>
  <c r="CZ273" i="10"/>
  <c r="CN273" i="10"/>
  <c r="CI273" i="10"/>
  <c r="CO273" i="10"/>
  <c r="AV273" i="10"/>
  <c r="BO273" i="10"/>
  <c r="CT273" i="10"/>
  <c r="AW273" i="10"/>
  <c r="W273" i="10"/>
  <c r="L273" i="10"/>
  <c r="CU273" i="10"/>
  <c r="CL273" i="10"/>
  <c r="CA273" i="10"/>
  <c r="CP273" i="10"/>
  <c r="O273" i="10"/>
  <c r="AL273" i="10"/>
  <c r="BT273" i="10"/>
  <c r="CY273" i="10"/>
  <c r="AF273" i="10"/>
  <c r="BL273" i="10"/>
  <c r="CE273" i="10"/>
  <c r="BG273" i="10"/>
  <c r="CR273" i="10"/>
  <c r="AY273" i="10"/>
  <c r="DC273" i="10"/>
  <c r="AD273" i="10"/>
  <c r="S273" i="10"/>
  <c r="CV273" i="10"/>
  <c r="BA273" i="10"/>
  <c r="JO6" i="1"/>
  <c r="B274" i="10"/>
  <c r="JN8" i="1"/>
  <c r="JO2" i="1"/>
  <c r="JO10" i="1" s="1"/>
  <c r="JO5" i="1" l="1"/>
  <c r="JO9" i="1" s="1"/>
  <c r="AO274" i="10"/>
  <c r="BD274" i="10"/>
  <c r="M274" i="10"/>
  <c r="DI274" i="10"/>
  <c r="BY274" i="10"/>
  <c r="CQ274" i="10"/>
  <c r="Z274" i="10"/>
  <c r="V274" i="10"/>
  <c r="BH274" i="10"/>
  <c r="DJ274" i="10"/>
  <c r="AL274" i="10"/>
  <c r="AE274" i="10"/>
  <c r="CI274" i="10"/>
  <c r="BK274" i="10"/>
  <c r="C274" i="10"/>
  <c r="DG274" i="10"/>
  <c r="CD274" i="10"/>
  <c r="E274" i="10"/>
  <c r="P274" i="10"/>
  <c r="BJ274" i="10"/>
  <c r="D274" i="10"/>
  <c r="CB274" i="10"/>
  <c r="BF274" i="10"/>
  <c r="AW274" i="10"/>
  <c r="CO274" i="10"/>
  <c r="CH274" i="10"/>
  <c r="CS274" i="10"/>
  <c r="I274" i="10"/>
  <c r="CK274" i="10"/>
  <c r="BU274" i="10"/>
  <c r="BT274" i="10"/>
  <c r="AX274" i="10"/>
  <c r="BQ274" i="10"/>
  <c r="F274" i="10"/>
  <c r="DC274" i="10"/>
  <c r="AD274" i="10"/>
  <c r="AM274" i="10"/>
  <c r="BE274" i="10"/>
  <c r="Q274" i="10"/>
  <c r="CW274" i="10"/>
  <c r="AA274" i="10"/>
  <c r="DE274" i="10"/>
  <c r="AI274" i="10"/>
  <c r="BZ274" i="10"/>
  <c r="CM274" i="10"/>
  <c r="AT274" i="10"/>
  <c r="BP274" i="10"/>
  <c r="AU274" i="10"/>
  <c r="AS274" i="10"/>
  <c r="BS274" i="10"/>
  <c r="W274" i="10"/>
  <c r="Y274" i="10"/>
  <c r="BL274" i="10"/>
  <c r="DD274" i="10"/>
  <c r="DA274" i="10"/>
  <c r="CZ274" i="10"/>
  <c r="CX274" i="10"/>
  <c r="AB274" i="10"/>
  <c r="CA274" i="10"/>
  <c r="AC274" i="10"/>
  <c r="BX274" i="10"/>
  <c r="AR274" i="10"/>
  <c r="CR274" i="10"/>
  <c r="BC274" i="10"/>
  <c r="AG274" i="10"/>
  <c r="CP274" i="10"/>
  <c r="R274" i="10"/>
  <c r="AN274" i="10"/>
  <c r="BN274" i="10"/>
  <c r="CY274" i="10"/>
  <c r="BM274" i="10"/>
  <c r="O274" i="10"/>
  <c r="BR274" i="10"/>
  <c r="G274" i="10"/>
  <c r="BB274" i="10"/>
  <c r="AZ274" i="10"/>
  <c r="AV274" i="10"/>
  <c r="AP274" i="10"/>
  <c r="BI274" i="10"/>
  <c r="L274" i="10"/>
  <c r="CF274" i="10"/>
  <c r="X274" i="10"/>
  <c r="BO274" i="10"/>
  <c r="J274" i="10"/>
  <c r="AJ274" i="10"/>
  <c r="CL274" i="10"/>
  <c r="CG274" i="10"/>
  <c r="CJ274" i="10"/>
  <c r="U274" i="10"/>
  <c r="N274" i="10"/>
  <c r="DK274" i="10"/>
  <c r="CE274" i="10"/>
  <c r="H274" i="10"/>
  <c r="AH274" i="10"/>
  <c r="CV274" i="10"/>
  <c r="BA274" i="10"/>
  <c r="AQ274" i="10"/>
  <c r="CC274" i="10"/>
  <c r="CU274" i="10"/>
  <c r="AY274" i="10"/>
  <c r="AK274" i="10"/>
  <c r="DB274" i="10"/>
  <c r="DH274" i="10"/>
  <c r="S274" i="10"/>
  <c r="CN274" i="10"/>
  <c r="AF274" i="10"/>
  <c r="BW274" i="10"/>
  <c r="T274" i="10"/>
  <c r="K274" i="10"/>
  <c r="BG274" i="10"/>
  <c r="DF274" i="10"/>
  <c r="BV274" i="10"/>
  <c r="CT274" i="10"/>
  <c r="JO7" i="1" l="1"/>
  <c r="JP2" i="1"/>
  <c r="JP5" i="1" s="1"/>
  <c r="JP9" i="1" s="1"/>
  <c r="B275" i="10"/>
  <c r="JP10" i="1" l="1"/>
  <c r="JP6" i="1"/>
  <c r="JO8" i="1"/>
  <c r="CQ275" i="10"/>
  <c r="K275" i="10"/>
  <c r="CY275" i="10"/>
  <c r="S275" i="10"/>
  <c r="CU275" i="10"/>
  <c r="DK275" i="10"/>
  <c r="BS275" i="10"/>
  <c r="AM275" i="10"/>
  <c r="AT275" i="10"/>
  <c r="CC275" i="10"/>
  <c r="DE275" i="10"/>
  <c r="AE275" i="10"/>
  <c r="V275" i="10"/>
  <c r="AJ275" i="10"/>
  <c r="DD275" i="10"/>
  <c r="AW275" i="10"/>
  <c r="BO275" i="10"/>
  <c r="CZ275" i="10"/>
  <c r="BA275" i="10"/>
  <c r="BE275" i="10"/>
  <c r="N275" i="10"/>
  <c r="AF275" i="10"/>
  <c r="Y275" i="10"/>
  <c r="BL275" i="10"/>
  <c r="CT275" i="10"/>
  <c r="E275" i="10"/>
  <c r="BZ275" i="10"/>
  <c r="BU275" i="10"/>
  <c r="DA275" i="10"/>
  <c r="CA275" i="10"/>
  <c r="BJ275" i="10"/>
  <c r="W275" i="10"/>
  <c r="AU275" i="10"/>
  <c r="CB275" i="10"/>
  <c r="R275" i="10"/>
  <c r="H275" i="10"/>
  <c r="AG275" i="10"/>
  <c r="DH275" i="10"/>
  <c r="AX275" i="10"/>
  <c r="L275" i="10"/>
  <c r="Z275" i="10"/>
  <c r="T275" i="10"/>
  <c r="BF275" i="10"/>
  <c r="AY275" i="10"/>
  <c r="BK275" i="10"/>
  <c r="Q275" i="10"/>
  <c r="AR275" i="10"/>
  <c r="BQ275" i="10"/>
  <c r="BP275" i="10"/>
  <c r="BD275" i="10"/>
  <c r="AB275" i="10"/>
  <c r="D275" i="10"/>
  <c r="AZ275" i="10"/>
  <c r="DB275" i="10"/>
  <c r="BI275" i="10"/>
  <c r="BX275" i="10"/>
  <c r="I275" i="10"/>
  <c r="CL275" i="10"/>
  <c r="CE275" i="10"/>
  <c r="DF275" i="10"/>
  <c r="BV275" i="10"/>
  <c r="BG275" i="10"/>
  <c r="M275" i="10"/>
  <c r="CK275" i="10"/>
  <c r="CO275" i="10"/>
  <c r="BH275" i="10"/>
  <c r="BT275" i="10"/>
  <c r="AH275" i="10"/>
  <c r="AA275" i="10"/>
  <c r="DC275" i="10"/>
  <c r="CX275" i="10"/>
  <c r="BC275" i="10"/>
  <c r="CI275" i="10"/>
  <c r="AC275" i="10"/>
  <c r="C275" i="10"/>
  <c r="F275" i="10"/>
  <c r="CH275" i="10"/>
  <c r="CW275" i="10"/>
  <c r="BW275" i="10"/>
  <c r="J275" i="10"/>
  <c r="CS275" i="10"/>
  <c r="AD275" i="10"/>
  <c r="CD275" i="10"/>
  <c r="DI275" i="10"/>
  <c r="BN275" i="10"/>
  <c r="AI275" i="10"/>
  <c r="CV275" i="10"/>
  <c r="CJ275" i="10"/>
  <c r="AP275" i="10"/>
  <c r="AL275" i="10"/>
  <c r="O275" i="10"/>
  <c r="CG275" i="10"/>
  <c r="X275" i="10"/>
  <c r="AO275" i="10"/>
  <c r="DG275" i="10"/>
  <c r="AV275" i="10"/>
  <c r="AK275" i="10"/>
  <c r="DJ275" i="10"/>
  <c r="BM275" i="10"/>
  <c r="BR275" i="10"/>
  <c r="AN275" i="10"/>
  <c r="CR275" i="10"/>
  <c r="CF275" i="10"/>
  <c r="BY275" i="10"/>
  <c r="AQ275" i="10"/>
  <c r="P275" i="10"/>
  <c r="U275" i="10"/>
  <c r="G275" i="10"/>
  <c r="CN275" i="10"/>
  <c r="AS275" i="10"/>
  <c r="CP275" i="10"/>
  <c r="BB275" i="10"/>
  <c r="CM275" i="10"/>
  <c r="JP7" i="1"/>
  <c r="JQ6" i="1" l="1"/>
  <c r="B276" i="10"/>
  <c r="JP8" i="1"/>
  <c r="JQ2" i="1"/>
  <c r="JQ10" i="1" s="1"/>
  <c r="JQ5" i="1" l="1"/>
  <c r="AK276" i="10"/>
  <c r="BY276" i="10"/>
  <c r="AR276" i="10"/>
  <c r="AY276" i="10"/>
  <c r="W276" i="10"/>
  <c r="CT276" i="10"/>
  <c r="CM276" i="10"/>
  <c r="CW276" i="10"/>
  <c r="BS276" i="10"/>
  <c r="BH276" i="10"/>
  <c r="BF276" i="10"/>
  <c r="J276" i="10"/>
  <c r="AV276" i="10"/>
  <c r="BZ276" i="10"/>
  <c r="CR276" i="10"/>
  <c r="CA276" i="10"/>
  <c r="CC276" i="10"/>
  <c r="BL276" i="10"/>
  <c r="CS276" i="10"/>
  <c r="DJ276" i="10"/>
  <c r="DD276" i="10"/>
  <c r="DG276" i="10"/>
  <c r="AE276" i="10"/>
  <c r="DA276" i="10"/>
  <c r="L276" i="10"/>
  <c r="CE276" i="10"/>
  <c r="AD276" i="10"/>
  <c r="DC276" i="10"/>
  <c r="CI276" i="10"/>
  <c r="AG276" i="10"/>
  <c r="BP276" i="10"/>
  <c r="BN276" i="10"/>
  <c r="DI276" i="10"/>
  <c r="AJ276" i="10"/>
  <c r="DH276" i="10"/>
  <c r="BB276" i="10"/>
  <c r="C276" i="10"/>
  <c r="CF276" i="10"/>
  <c r="CQ276" i="10"/>
  <c r="BG276" i="10"/>
  <c r="BQ276" i="10"/>
  <c r="BW276" i="10"/>
  <c r="AF276" i="10"/>
  <c r="CJ276" i="10"/>
  <c r="BE276" i="10"/>
  <c r="AP276" i="10"/>
  <c r="AC276" i="10"/>
  <c r="D276" i="10"/>
  <c r="K276" i="10"/>
  <c r="BJ276" i="10"/>
  <c r="Y276" i="10"/>
  <c r="CD276" i="10"/>
  <c r="AO276" i="10"/>
  <c r="AL276" i="10"/>
  <c r="BR276" i="10"/>
  <c r="BV276" i="10"/>
  <c r="AW276" i="10"/>
  <c r="DE276" i="10"/>
  <c r="CL276" i="10"/>
  <c r="AQ276" i="10"/>
  <c r="BK276" i="10"/>
  <c r="CB276" i="10"/>
  <c r="AX276" i="10"/>
  <c r="AU276" i="10"/>
  <c r="F276" i="10"/>
  <c r="X276" i="10"/>
  <c r="E276" i="10"/>
  <c r="CZ276" i="10"/>
  <c r="Q276" i="10"/>
  <c r="G276" i="10"/>
  <c r="BM276" i="10"/>
  <c r="CY276" i="10"/>
  <c r="P276" i="10"/>
  <c r="AB276" i="10"/>
  <c r="CH276" i="10"/>
  <c r="CK276" i="10"/>
  <c r="BT276" i="10"/>
  <c r="S276" i="10"/>
  <c r="CO276" i="10"/>
  <c r="U276" i="10"/>
  <c r="AA276" i="10"/>
  <c r="AT276" i="10"/>
  <c r="CX276" i="10"/>
  <c r="M276" i="10"/>
  <c r="AZ276" i="10"/>
  <c r="Z276" i="10"/>
  <c r="BO276" i="10"/>
  <c r="BU276" i="10"/>
  <c r="DF276" i="10"/>
  <c r="BX276" i="10"/>
  <c r="BC276" i="10"/>
  <c r="BD276" i="10"/>
  <c r="T276" i="10"/>
  <c r="AH276" i="10"/>
  <c r="DB276" i="10"/>
  <c r="AS276" i="10"/>
  <c r="AM276" i="10"/>
  <c r="CV276" i="10"/>
  <c r="CP276" i="10"/>
  <c r="DK276" i="10"/>
  <c r="N276" i="10"/>
  <c r="H276" i="10"/>
  <c r="I276" i="10"/>
  <c r="R276" i="10"/>
  <c r="BI276" i="10"/>
  <c r="V276" i="10"/>
  <c r="AN276" i="10"/>
  <c r="CN276" i="10"/>
  <c r="O276" i="10"/>
  <c r="CG276" i="10"/>
  <c r="AI276" i="10"/>
  <c r="CU276" i="10"/>
  <c r="BA276" i="10"/>
  <c r="JQ7" i="1" l="1"/>
  <c r="JQ9" i="1"/>
  <c r="B277" i="10"/>
  <c r="JR6" i="1"/>
  <c r="JQ8" i="1"/>
  <c r="JR2" i="1" l="1"/>
  <c r="JR10" i="1" s="1"/>
  <c r="BH277" i="10"/>
  <c r="CE277" i="10"/>
  <c r="CL277" i="10"/>
  <c r="N277" i="10"/>
  <c r="AM277" i="10"/>
  <c r="AG277" i="10"/>
  <c r="AF277" i="10"/>
  <c r="DF277" i="10"/>
  <c r="CY277" i="10"/>
  <c r="BK277" i="10"/>
  <c r="CR277" i="10"/>
  <c r="CW277" i="10"/>
  <c r="CC277" i="10"/>
  <c r="CJ277" i="10"/>
  <c r="CG277" i="10"/>
  <c r="AJ277" i="10"/>
  <c r="AE277" i="10"/>
  <c r="CA277" i="10"/>
  <c r="I277" i="10"/>
  <c r="CI277" i="10"/>
  <c r="DC277" i="10"/>
  <c r="X277" i="10"/>
  <c r="S277" i="10"/>
  <c r="AI277" i="10"/>
  <c r="DI277" i="10"/>
  <c r="M277" i="10"/>
  <c r="BY277" i="10"/>
  <c r="BU277" i="10"/>
  <c r="BD277" i="10"/>
  <c r="BT277" i="10"/>
  <c r="BG277" i="10"/>
  <c r="BM277" i="10"/>
  <c r="CV277" i="10"/>
  <c r="Q277" i="10"/>
  <c r="BE277" i="10"/>
  <c r="F277" i="10"/>
  <c r="CS277" i="10"/>
  <c r="CU277" i="10"/>
  <c r="AO277" i="10"/>
  <c r="DG277" i="10"/>
  <c r="CQ277" i="10"/>
  <c r="CO277" i="10"/>
  <c r="C277" i="10"/>
  <c r="Z277" i="10"/>
  <c r="BF277" i="10"/>
  <c r="G277" i="10"/>
  <c r="AR277" i="10"/>
  <c r="AT277" i="10"/>
  <c r="AV277" i="10"/>
  <c r="BA277" i="10"/>
  <c r="BW277" i="10"/>
  <c r="W277" i="10"/>
  <c r="L277" i="10"/>
  <c r="AK277" i="10"/>
  <c r="U277" i="10"/>
  <c r="AN277" i="10"/>
  <c r="BQ277" i="10"/>
  <c r="BC277" i="10"/>
  <c r="AB277" i="10"/>
  <c r="DD277" i="10"/>
  <c r="AP277" i="10"/>
  <c r="AS277" i="10"/>
  <c r="CX277" i="10"/>
  <c r="T277" i="10"/>
  <c r="CM277" i="10"/>
  <c r="DE277" i="10"/>
  <c r="Y277" i="10"/>
  <c r="CN277" i="10"/>
  <c r="AX277" i="10"/>
  <c r="AD277" i="10"/>
  <c r="BS277" i="10"/>
  <c r="CD277" i="10"/>
  <c r="AH277" i="10"/>
  <c r="AY277" i="10"/>
  <c r="DK277" i="10"/>
  <c r="AA277" i="10"/>
  <c r="BL277" i="10"/>
  <c r="DJ277" i="10"/>
  <c r="CB277" i="10"/>
  <c r="AU277" i="10"/>
  <c r="CH277" i="10"/>
  <c r="AZ277" i="10"/>
  <c r="BJ277" i="10"/>
  <c r="BP277" i="10"/>
  <c r="CP277" i="10"/>
  <c r="BR277" i="10"/>
  <c r="H277" i="10"/>
  <c r="BI277" i="10"/>
  <c r="P277" i="10"/>
  <c r="AC277" i="10"/>
  <c r="AL277" i="10"/>
  <c r="AQ277" i="10"/>
  <c r="CT277" i="10"/>
  <c r="CZ277" i="10"/>
  <c r="BZ277" i="10"/>
  <c r="DB277" i="10"/>
  <c r="BN277" i="10"/>
  <c r="CK277" i="10"/>
  <c r="DA277" i="10"/>
  <c r="K277" i="10"/>
  <c r="BO277" i="10"/>
  <c r="AW277" i="10"/>
  <c r="CF277" i="10"/>
  <c r="BV277" i="10"/>
  <c r="V277" i="10"/>
  <c r="DH277" i="10"/>
  <c r="E277" i="10"/>
  <c r="BB277" i="10"/>
  <c r="J277" i="10"/>
  <c r="O277" i="10"/>
  <c r="R277" i="10"/>
  <c r="BX277" i="10"/>
  <c r="D277" i="10"/>
  <c r="JR5" i="1" l="1"/>
  <c r="JR9" i="1" s="1"/>
  <c r="JR7" i="1" l="1"/>
  <c r="JS2" i="1" l="1"/>
  <c r="JS5" i="1" s="1"/>
  <c r="JS9" i="1" s="1"/>
  <c r="B278" i="10"/>
  <c r="JS10" i="1"/>
  <c r="JS6" i="1"/>
  <c r="JR8" i="1"/>
  <c r="JS7" i="1" l="1"/>
  <c r="BQ278" i="10"/>
  <c r="K278" i="10"/>
  <c r="D278" i="10"/>
  <c r="BM278" i="10"/>
  <c r="I278" i="10"/>
  <c r="CN278" i="10"/>
  <c r="CM278" i="10"/>
  <c r="BZ278" i="10"/>
  <c r="N278" i="10"/>
  <c r="AD278" i="10"/>
  <c r="CY278" i="10"/>
  <c r="CS278" i="10"/>
  <c r="DG278" i="10"/>
  <c r="CC278" i="10"/>
  <c r="M278" i="10"/>
  <c r="AR278" i="10"/>
  <c r="U278" i="10"/>
  <c r="CJ278" i="10"/>
  <c r="BV278" i="10"/>
  <c r="BH278" i="10"/>
  <c r="BT278" i="10"/>
  <c r="AL278" i="10"/>
  <c r="CG278" i="10"/>
  <c r="T278" i="10"/>
  <c r="G278" i="10"/>
  <c r="CO278" i="10"/>
  <c r="DB278" i="10"/>
  <c r="BE278" i="10"/>
  <c r="DC278" i="10"/>
  <c r="J278" i="10"/>
  <c r="V278" i="10"/>
  <c r="DK278" i="10"/>
  <c r="BP278" i="10"/>
  <c r="BW278" i="10"/>
  <c r="F278" i="10"/>
  <c r="BR278" i="10"/>
  <c r="AE278" i="10"/>
  <c r="BB278" i="10"/>
  <c r="AN278" i="10"/>
  <c r="CX278" i="10"/>
  <c r="BK278" i="10"/>
  <c r="CA278" i="10"/>
  <c r="DI278" i="10"/>
  <c r="AX278" i="10"/>
  <c r="X278" i="10"/>
  <c r="E278" i="10"/>
  <c r="P278" i="10"/>
  <c r="BI278" i="10"/>
  <c r="CH278" i="10"/>
  <c r="CR278" i="10"/>
  <c r="DD278" i="10"/>
  <c r="AI278" i="10"/>
  <c r="BN278" i="10"/>
  <c r="BO278" i="10"/>
  <c r="CT278" i="10"/>
  <c r="DE278" i="10"/>
  <c r="CB278" i="10"/>
  <c r="BJ278" i="10"/>
  <c r="BA278" i="10"/>
  <c r="CD278" i="10"/>
  <c r="CE278" i="10"/>
  <c r="CV278" i="10"/>
  <c r="BL278" i="10"/>
  <c r="AH278" i="10"/>
  <c r="AT278" i="10"/>
  <c r="AF278" i="10"/>
  <c r="AQ278" i="10"/>
  <c r="AM278" i="10"/>
  <c r="BS278" i="10"/>
  <c r="O278" i="10"/>
  <c r="S278" i="10"/>
  <c r="AP278" i="10"/>
  <c r="AA278" i="10"/>
  <c r="AY278" i="10"/>
  <c r="Q278" i="10"/>
  <c r="BX278" i="10"/>
  <c r="AJ278" i="10"/>
  <c r="CQ278" i="10"/>
  <c r="CK278" i="10"/>
  <c r="AU278" i="10"/>
  <c r="DA278" i="10"/>
  <c r="W278" i="10"/>
  <c r="BY278" i="10"/>
  <c r="C278" i="10"/>
  <c r="BG278" i="10"/>
  <c r="AS278" i="10"/>
  <c r="DF278" i="10"/>
  <c r="AO278" i="10"/>
  <c r="CI278" i="10"/>
  <c r="BU278" i="10"/>
  <c r="Y278" i="10"/>
  <c r="AG278" i="10"/>
  <c r="BC278" i="10"/>
  <c r="H278" i="10"/>
  <c r="AC278" i="10"/>
  <c r="CU278" i="10"/>
  <c r="BD278" i="10"/>
  <c r="DH278" i="10"/>
  <c r="CZ278" i="10"/>
  <c r="AK278" i="10"/>
  <c r="AV278" i="10"/>
  <c r="Z278" i="10"/>
  <c r="DJ278" i="10"/>
  <c r="R278" i="10"/>
  <c r="AZ278" i="10"/>
  <c r="CP278" i="10"/>
  <c r="AB278" i="10"/>
  <c r="CW278" i="10"/>
  <c r="CL278" i="10"/>
  <c r="CF278" i="10"/>
  <c r="AW278" i="10"/>
  <c r="L278" i="10"/>
  <c r="BF278" i="10"/>
  <c r="B279" i="10" l="1"/>
  <c r="JS8" i="1"/>
  <c r="JT6" i="1"/>
  <c r="JT2" i="1"/>
  <c r="JT10" i="1" s="1"/>
  <c r="JT5" i="1" l="1"/>
  <c r="JT9" i="1" s="1"/>
  <c r="CT279" i="10"/>
  <c r="R279" i="10"/>
  <c r="BM279" i="10"/>
  <c r="AK279" i="10"/>
  <c r="BQ279" i="10"/>
  <c r="J279" i="10"/>
  <c r="Q279" i="10"/>
  <c r="BT279" i="10"/>
  <c r="BZ279" i="10"/>
  <c r="CS279" i="10"/>
  <c r="CZ279" i="10"/>
  <c r="S279" i="10"/>
  <c r="AP279" i="10"/>
  <c r="I279" i="10"/>
  <c r="BY279" i="10"/>
  <c r="DG279" i="10"/>
  <c r="BO279" i="10"/>
  <c r="BR279" i="10"/>
  <c r="E279" i="10"/>
  <c r="AF279" i="10"/>
  <c r="BI279" i="10"/>
  <c r="D279" i="10"/>
  <c r="BC279" i="10"/>
  <c r="AL279" i="10"/>
  <c r="CB279" i="10"/>
  <c r="BV279" i="10"/>
  <c r="W279" i="10"/>
  <c r="Z279" i="10"/>
  <c r="BK279" i="10"/>
  <c r="BS279" i="10"/>
  <c r="DI279" i="10"/>
  <c r="DH279" i="10"/>
  <c r="DJ279" i="10"/>
  <c r="AB279" i="10"/>
  <c r="AN279" i="10"/>
  <c r="Y279" i="10"/>
  <c r="CD279" i="10"/>
  <c r="AA279" i="10"/>
  <c r="AD279" i="10"/>
  <c r="K279" i="10"/>
  <c r="P279" i="10"/>
  <c r="BX279" i="10"/>
  <c r="BH279" i="10"/>
  <c r="CX279" i="10"/>
  <c r="BU279" i="10"/>
  <c r="DK279" i="10"/>
  <c r="AV279" i="10"/>
  <c r="CH279" i="10"/>
  <c r="DE279" i="10"/>
  <c r="CU279" i="10"/>
  <c r="CP279" i="10"/>
  <c r="CA279" i="10"/>
  <c r="CM279" i="10"/>
  <c r="CN279" i="10"/>
  <c r="CL279" i="10"/>
  <c r="AC279" i="10"/>
  <c r="CC279" i="10"/>
  <c r="AR279" i="10"/>
  <c r="T279" i="10"/>
  <c r="F279" i="10"/>
  <c r="BP279" i="10"/>
  <c r="V279" i="10"/>
  <c r="AM279" i="10"/>
  <c r="BW279" i="10"/>
  <c r="AO279" i="10"/>
  <c r="DD279" i="10"/>
  <c r="CJ279" i="10"/>
  <c r="U279" i="10"/>
  <c r="AH279" i="10"/>
  <c r="C279" i="10"/>
  <c r="CK279" i="10"/>
  <c r="CV279" i="10"/>
  <c r="AT279" i="10"/>
  <c r="AU279" i="10"/>
  <c r="BA279" i="10"/>
  <c r="BG279" i="10"/>
  <c r="AJ279" i="10"/>
  <c r="CY279" i="10"/>
  <c r="CR279" i="10"/>
  <c r="BL279" i="10"/>
  <c r="AZ279" i="10"/>
  <c r="M279" i="10"/>
  <c r="G279" i="10"/>
  <c r="BD279" i="10"/>
  <c r="AX279" i="10"/>
  <c r="DA279" i="10"/>
  <c r="L279" i="10"/>
  <c r="CI279" i="10"/>
  <c r="AY279" i="10"/>
  <c r="DB279" i="10"/>
  <c r="CO279" i="10"/>
  <c r="BB279" i="10"/>
  <c r="CF279" i="10"/>
  <c r="BF279" i="10"/>
  <c r="AI279" i="10"/>
  <c r="N279" i="10"/>
  <c r="BE279" i="10"/>
  <c r="AW279" i="10"/>
  <c r="BN279" i="10"/>
  <c r="O279" i="10"/>
  <c r="AE279" i="10"/>
  <c r="CG279" i="10"/>
  <c r="AS279" i="10"/>
  <c r="CQ279" i="10"/>
  <c r="X279" i="10"/>
  <c r="AG279" i="10"/>
  <c r="BJ279" i="10"/>
  <c r="AQ279" i="10"/>
  <c r="DC279" i="10"/>
  <c r="CE279" i="10"/>
  <c r="DF279" i="10"/>
  <c r="H279" i="10"/>
  <c r="CW279" i="10"/>
  <c r="JT7" i="1" l="1"/>
  <c r="B280" i="10" l="1"/>
  <c r="JT8" i="1"/>
  <c r="JU6" i="1"/>
  <c r="JU2" i="1"/>
  <c r="JU10" i="1" s="1"/>
  <c r="JU5" i="1" l="1"/>
  <c r="JU9" i="1" s="1"/>
  <c r="V280" i="10"/>
  <c r="BQ280" i="10"/>
  <c r="CT280" i="10"/>
  <c r="AL280" i="10"/>
  <c r="AY280" i="10"/>
  <c r="AR280" i="10"/>
  <c r="AD280" i="10"/>
  <c r="BR280" i="10"/>
  <c r="CU280" i="10"/>
  <c r="DA280" i="10"/>
  <c r="O280" i="10"/>
  <c r="BE280" i="10"/>
  <c r="BC280" i="10"/>
  <c r="Z280" i="10"/>
  <c r="BZ280" i="10"/>
  <c r="BM280" i="10"/>
  <c r="CO280" i="10"/>
  <c r="CG280" i="10"/>
  <c r="BS280" i="10"/>
  <c r="CI280" i="10"/>
  <c r="N280" i="10"/>
  <c r="DC280" i="10"/>
  <c r="AN280" i="10"/>
  <c r="DF280" i="10"/>
  <c r="AU280" i="10"/>
  <c r="BK280" i="10"/>
  <c r="CB280" i="10"/>
  <c r="CL280" i="10"/>
  <c r="X280" i="10"/>
  <c r="AA280" i="10"/>
  <c r="F280" i="10"/>
  <c r="CS280" i="10"/>
  <c r="AB280" i="10"/>
  <c r="AM280" i="10"/>
  <c r="CZ280" i="10"/>
  <c r="DI280" i="10"/>
  <c r="CR280" i="10"/>
  <c r="AO280" i="10"/>
  <c r="AK280" i="10"/>
  <c r="DD280" i="10"/>
  <c r="P280" i="10"/>
  <c r="AC280" i="10"/>
  <c r="BL280" i="10"/>
  <c r="DB280" i="10"/>
  <c r="T280" i="10"/>
  <c r="J280" i="10"/>
  <c r="CD280" i="10"/>
  <c r="W280" i="10"/>
  <c r="C280" i="10"/>
  <c r="BD280" i="10"/>
  <c r="AG280" i="10"/>
  <c r="BU280" i="10"/>
  <c r="CN280" i="10"/>
  <c r="BX280" i="10"/>
  <c r="BN280" i="10"/>
  <c r="AQ280" i="10"/>
  <c r="AT280" i="10"/>
  <c r="H280" i="10"/>
  <c r="I280" i="10"/>
  <c r="AZ280" i="10"/>
  <c r="DJ280" i="10"/>
  <c r="D280" i="10"/>
  <c r="BT280" i="10"/>
  <c r="BA280" i="10"/>
  <c r="K280" i="10"/>
  <c r="BV280" i="10"/>
  <c r="DE280" i="10"/>
  <c r="BG280" i="10"/>
  <c r="BY280" i="10"/>
  <c r="AH280" i="10"/>
  <c r="AP280" i="10"/>
  <c r="M280" i="10"/>
  <c r="CP280" i="10"/>
  <c r="CE280" i="10"/>
  <c r="CQ280" i="10"/>
  <c r="CJ280" i="10"/>
  <c r="Y280" i="10"/>
  <c r="L280" i="10"/>
  <c r="DG280" i="10"/>
  <c r="DK280" i="10"/>
  <c r="AS280" i="10"/>
  <c r="CY280" i="10"/>
  <c r="BP280" i="10"/>
  <c r="R280" i="10"/>
  <c r="BW280" i="10"/>
  <c r="BJ280" i="10"/>
  <c r="CM280" i="10"/>
  <c r="AJ280" i="10"/>
  <c r="U280" i="10"/>
  <c r="AI280" i="10"/>
  <c r="CC280" i="10"/>
  <c r="Q280" i="10"/>
  <c r="E280" i="10"/>
  <c r="BF280" i="10"/>
  <c r="CV280" i="10"/>
  <c r="AF280" i="10"/>
  <c r="BB280" i="10"/>
  <c r="CH280" i="10"/>
  <c r="BO280" i="10"/>
  <c r="DH280" i="10"/>
  <c r="S280" i="10"/>
  <c r="BI280" i="10"/>
  <c r="CA280" i="10"/>
  <c r="G280" i="10"/>
  <c r="AX280" i="10"/>
  <c r="CF280" i="10"/>
  <c r="BH280" i="10"/>
  <c r="CW280" i="10"/>
  <c r="CK280" i="10"/>
  <c r="AE280" i="10"/>
  <c r="AV280" i="10"/>
  <c r="AW280" i="10"/>
  <c r="CX280" i="10"/>
  <c r="JU7" i="1" l="1"/>
  <c r="B281" i="10" l="1"/>
  <c r="JU8" i="1"/>
  <c r="JV6" i="1"/>
  <c r="JV2" i="1"/>
  <c r="JV10" i="1" s="1"/>
  <c r="JV5" i="1" l="1"/>
  <c r="JV9" i="1" s="1"/>
  <c r="CD281" i="10"/>
  <c r="AF281" i="10"/>
  <c r="AP281" i="10"/>
  <c r="CH281" i="10"/>
  <c r="DH281" i="10"/>
  <c r="J281" i="10"/>
  <c r="BT281" i="10"/>
  <c r="AR281" i="10"/>
  <c r="E281" i="10"/>
  <c r="BP281" i="10"/>
  <c r="AW281" i="10"/>
  <c r="T281" i="10"/>
  <c r="AZ281" i="10"/>
  <c r="BZ281" i="10"/>
  <c r="DJ281" i="10"/>
  <c r="AE281" i="10"/>
  <c r="AA281" i="10"/>
  <c r="BW281" i="10"/>
  <c r="CS281" i="10"/>
  <c r="BI281" i="10"/>
  <c r="AX281" i="10"/>
  <c r="BE281" i="10"/>
  <c r="AT281" i="10"/>
  <c r="P281" i="10"/>
  <c r="CN281" i="10"/>
  <c r="Z281" i="10"/>
  <c r="AN281" i="10"/>
  <c r="CB281" i="10"/>
  <c r="DE281" i="10"/>
  <c r="CM281" i="10"/>
  <c r="AC281" i="10"/>
  <c r="I281" i="10"/>
  <c r="X281" i="10"/>
  <c r="CA281" i="10"/>
  <c r="G281" i="10"/>
  <c r="BO281" i="10"/>
  <c r="DK281" i="10"/>
  <c r="BN281" i="10"/>
  <c r="D281" i="10"/>
  <c r="AI281" i="10"/>
  <c r="AV281" i="10"/>
  <c r="BJ281" i="10"/>
  <c r="CJ281" i="10"/>
  <c r="M281" i="10"/>
  <c r="CI281" i="10"/>
  <c r="CR281" i="10"/>
  <c r="DD281" i="10"/>
  <c r="DG281" i="10"/>
  <c r="CK281" i="10"/>
  <c r="BD281" i="10"/>
  <c r="AY281" i="10"/>
  <c r="S281" i="10"/>
  <c r="CX281" i="10"/>
  <c r="CL281" i="10"/>
  <c r="CE281" i="10"/>
  <c r="BA281" i="10"/>
  <c r="AU281" i="10"/>
  <c r="BG281" i="10"/>
  <c r="CV281" i="10"/>
  <c r="AJ281" i="10"/>
  <c r="BU281" i="10"/>
  <c r="V281" i="10"/>
  <c r="BY281" i="10"/>
  <c r="BL281" i="10"/>
  <c r="R281" i="10"/>
  <c r="DF281" i="10"/>
  <c r="W281" i="10"/>
  <c r="CQ281" i="10"/>
  <c r="AH281" i="10"/>
  <c r="CO281" i="10"/>
  <c r="CU281" i="10"/>
  <c r="CP281" i="10"/>
  <c r="BH281" i="10"/>
  <c r="CZ281" i="10"/>
  <c r="BX281" i="10"/>
  <c r="N281" i="10"/>
  <c r="Y281" i="10"/>
  <c r="AB281" i="10"/>
  <c r="BR281" i="10"/>
  <c r="DB281" i="10"/>
  <c r="BC281" i="10"/>
  <c r="AL281" i="10"/>
  <c r="BB281" i="10"/>
  <c r="O281" i="10"/>
  <c r="AG281" i="10"/>
  <c r="BK281" i="10"/>
  <c r="BM281" i="10"/>
  <c r="U281" i="10"/>
  <c r="DC281" i="10"/>
  <c r="AS281" i="10"/>
  <c r="CT281" i="10"/>
  <c r="K281" i="10"/>
  <c r="AO281" i="10"/>
  <c r="AQ281" i="10"/>
  <c r="C281" i="10"/>
  <c r="CY281" i="10"/>
  <c r="BQ281" i="10"/>
  <c r="BV281" i="10"/>
  <c r="AK281" i="10"/>
  <c r="BF281" i="10"/>
  <c r="BS281" i="10"/>
  <c r="AD281" i="10"/>
  <c r="CC281" i="10"/>
  <c r="L281" i="10"/>
  <c r="F281" i="10"/>
  <c r="Q281" i="10"/>
  <c r="AM281" i="10"/>
  <c r="DI281" i="10"/>
  <c r="CF281" i="10"/>
  <c r="CG281" i="10"/>
  <c r="H281" i="10"/>
  <c r="DA281" i="10"/>
  <c r="CW281" i="10"/>
  <c r="JV7" i="1" l="1"/>
  <c r="JW6" i="1" s="1"/>
  <c r="B282" i="10"/>
  <c r="JW2" i="1"/>
  <c r="JW10" i="1" s="1"/>
  <c r="JV8" i="1" l="1"/>
  <c r="JW5" i="1"/>
  <c r="JW9" i="1" s="1"/>
  <c r="CM282" i="10"/>
  <c r="AB282" i="10"/>
  <c r="AE282" i="10"/>
  <c r="AN282" i="10"/>
  <c r="BZ282" i="10"/>
  <c r="BL282" i="10"/>
  <c r="W282" i="10"/>
  <c r="AO282" i="10"/>
  <c r="BK282" i="10"/>
  <c r="CK282" i="10"/>
  <c r="AZ282" i="10"/>
  <c r="CO282" i="10"/>
  <c r="DK282" i="10"/>
  <c r="DG282" i="10"/>
  <c r="I282" i="10"/>
  <c r="CR282" i="10"/>
  <c r="Q282" i="10"/>
  <c r="U282" i="10"/>
  <c r="S282" i="10"/>
  <c r="AA282" i="10"/>
  <c r="AF282" i="10"/>
  <c r="AR282" i="10"/>
  <c r="T282" i="10"/>
  <c r="BP282" i="10"/>
  <c r="C282" i="10"/>
  <c r="CW282" i="10"/>
  <c r="E282" i="10"/>
  <c r="BU282" i="10"/>
  <c r="BF282" i="10"/>
  <c r="F282" i="10"/>
  <c r="CI282" i="10"/>
  <c r="CG282" i="10"/>
  <c r="AQ282" i="10"/>
  <c r="DD282" i="10"/>
  <c r="G282" i="10"/>
  <c r="BN282" i="10"/>
  <c r="DJ282" i="10"/>
  <c r="BY282" i="10"/>
  <c r="N282" i="10"/>
  <c r="BS282" i="10"/>
  <c r="V282" i="10"/>
  <c r="BT282" i="10"/>
  <c r="AT282" i="10"/>
  <c r="AJ282" i="10"/>
  <c r="DA282" i="10"/>
  <c r="CV282" i="10"/>
  <c r="BC282" i="10"/>
  <c r="D282" i="10"/>
  <c r="BG282" i="10"/>
  <c r="Y282" i="10"/>
  <c r="DH282" i="10"/>
  <c r="H282" i="10"/>
  <c r="AC282" i="10"/>
  <c r="BV282" i="10"/>
  <c r="BI282" i="10"/>
  <c r="CY282" i="10"/>
  <c r="AU282" i="10"/>
  <c r="BH282" i="10"/>
  <c r="CA282" i="10"/>
  <c r="P282" i="10"/>
  <c r="AG282" i="10"/>
  <c r="BQ282" i="10"/>
  <c r="CB282" i="10"/>
  <c r="AI282" i="10"/>
  <c r="BX282" i="10"/>
  <c r="CL282" i="10"/>
  <c r="CE282" i="10"/>
  <c r="AY282" i="10"/>
  <c r="AP282" i="10"/>
  <c r="DC282" i="10"/>
  <c r="CP282" i="10"/>
  <c r="BB282" i="10"/>
  <c r="AK282" i="10"/>
  <c r="BD282" i="10"/>
  <c r="AL282" i="10"/>
  <c r="J282" i="10"/>
  <c r="CJ282" i="10"/>
  <c r="BE282" i="10"/>
  <c r="K282" i="10"/>
  <c r="R282" i="10"/>
  <c r="DE282" i="10"/>
  <c r="BJ282" i="10"/>
  <c r="Z282" i="10"/>
  <c r="CH282" i="10"/>
  <c r="CD282" i="10"/>
  <c r="AS282" i="10"/>
  <c r="CQ282" i="10"/>
  <c r="AX282" i="10"/>
  <c r="AM282" i="10"/>
  <c r="BA282" i="10"/>
  <c r="X282" i="10"/>
  <c r="DB282" i="10"/>
  <c r="AV282" i="10"/>
  <c r="CC282" i="10"/>
  <c r="CN282" i="10"/>
  <c r="DI282" i="10"/>
  <c r="CZ282" i="10"/>
  <c r="CT282" i="10"/>
  <c r="M282" i="10"/>
  <c r="L282" i="10"/>
  <c r="CU282" i="10"/>
  <c r="AH282" i="10"/>
  <c r="BO282" i="10"/>
  <c r="BW282" i="10"/>
  <c r="CS282" i="10"/>
  <c r="AD282" i="10"/>
  <c r="BR282" i="10"/>
  <c r="O282" i="10"/>
  <c r="BM282" i="10"/>
  <c r="DF282" i="10"/>
  <c r="CF282" i="10"/>
  <c r="CX282" i="10"/>
  <c r="AW282" i="10"/>
  <c r="JW7" i="1" l="1"/>
  <c r="B283" i="10" l="1"/>
  <c r="JW8" i="1"/>
  <c r="JX6" i="1"/>
  <c r="JX2" i="1"/>
  <c r="JX10" i="1" s="1"/>
  <c r="JX5" i="1" l="1"/>
  <c r="JX9" i="1" s="1"/>
  <c r="V283" i="10"/>
  <c r="Z283" i="10"/>
  <c r="BI283" i="10"/>
  <c r="BV283" i="10"/>
  <c r="X283" i="10"/>
  <c r="CJ283" i="10"/>
  <c r="AL283" i="10"/>
  <c r="H283" i="10"/>
  <c r="CB283" i="10"/>
  <c r="CA283" i="10"/>
  <c r="AU283" i="10"/>
  <c r="BF283" i="10"/>
  <c r="DE283" i="10"/>
  <c r="M283" i="10"/>
  <c r="BS283" i="10"/>
  <c r="BD283" i="10"/>
  <c r="CV283" i="10"/>
  <c r="BN283" i="10"/>
  <c r="AJ283" i="10"/>
  <c r="AF283" i="10"/>
  <c r="CQ283" i="10"/>
  <c r="CU283" i="10"/>
  <c r="DD283" i="10"/>
  <c r="CF283" i="10"/>
  <c r="AK283" i="10"/>
  <c r="AN283" i="10"/>
  <c r="R283" i="10"/>
  <c r="AI283" i="10"/>
  <c r="DA283" i="10"/>
  <c r="U283" i="10"/>
  <c r="AR283" i="10"/>
  <c r="L283" i="10"/>
  <c r="CP283" i="10"/>
  <c r="BQ283" i="10"/>
  <c r="CX283" i="10"/>
  <c r="AP283" i="10"/>
  <c r="BR283" i="10"/>
  <c r="AW283" i="10"/>
  <c r="AA283" i="10"/>
  <c r="CZ283" i="10"/>
  <c r="CS283" i="10"/>
  <c r="O283" i="10"/>
  <c r="AY283" i="10"/>
  <c r="D283" i="10"/>
  <c r="BB283" i="10"/>
  <c r="Y283" i="10"/>
  <c r="BL283" i="10"/>
  <c r="CE283" i="10"/>
  <c r="AV283" i="10"/>
  <c r="BG283" i="10"/>
  <c r="CM283" i="10"/>
  <c r="DC283" i="10"/>
  <c r="AB283" i="10"/>
  <c r="AC283" i="10"/>
  <c r="CI283" i="10"/>
  <c r="CW283" i="10"/>
  <c r="DB283" i="10"/>
  <c r="DI283" i="10"/>
  <c r="CC283" i="10"/>
  <c r="Q283" i="10"/>
  <c r="P283" i="10"/>
  <c r="BJ283" i="10"/>
  <c r="AS283" i="10"/>
  <c r="BK283" i="10"/>
  <c r="N283" i="10"/>
  <c r="AE283" i="10"/>
  <c r="W283" i="10"/>
  <c r="AT283" i="10"/>
  <c r="CR283" i="10"/>
  <c r="CN283" i="10"/>
  <c r="AD283" i="10"/>
  <c r="AM283" i="10"/>
  <c r="DF283" i="10"/>
  <c r="DJ283" i="10"/>
  <c r="BY283" i="10"/>
  <c r="DH283" i="10"/>
  <c r="CT283" i="10"/>
  <c r="E283" i="10"/>
  <c r="CK283" i="10"/>
  <c r="C283" i="10"/>
  <c r="AO283" i="10"/>
  <c r="S283" i="10"/>
  <c r="BM283" i="10"/>
  <c r="AH283" i="10"/>
  <c r="CO283" i="10"/>
  <c r="DK283" i="10"/>
  <c r="BA283" i="10"/>
  <c r="BW283" i="10"/>
  <c r="DG283" i="10"/>
  <c r="CH283" i="10"/>
  <c r="AZ283" i="10"/>
  <c r="BC283" i="10"/>
  <c r="AX283" i="10"/>
  <c r="BP283" i="10"/>
  <c r="AG283" i="10"/>
  <c r="BH283" i="10"/>
  <c r="K283" i="10"/>
  <c r="CL283" i="10"/>
  <c r="CY283" i="10"/>
  <c r="J283" i="10"/>
  <c r="I283" i="10"/>
  <c r="T283" i="10"/>
  <c r="AQ283" i="10"/>
  <c r="BZ283" i="10"/>
  <c r="BX283" i="10"/>
  <c r="G283" i="10"/>
  <c r="CD283" i="10"/>
  <c r="BO283" i="10"/>
  <c r="F283" i="10"/>
  <c r="BT283" i="10"/>
  <c r="CG283" i="10"/>
  <c r="BE283" i="10"/>
  <c r="BU283" i="10"/>
  <c r="JX7" i="1" l="1"/>
  <c r="B284" i="10" l="1"/>
  <c r="JY6" i="1"/>
  <c r="JX8" i="1"/>
  <c r="JY2" i="1"/>
  <c r="JY10" i="1" s="1"/>
  <c r="JY5" i="1" l="1"/>
  <c r="JY9" i="1" s="1"/>
  <c r="CH284" i="10"/>
  <c r="BB284" i="10"/>
  <c r="BR284" i="10"/>
  <c r="BN284" i="10"/>
  <c r="CS284" i="10"/>
  <c r="CK284" i="10"/>
  <c r="U284" i="10"/>
  <c r="AU284" i="10"/>
  <c r="BO284" i="10"/>
  <c r="Y284" i="10"/>
  <c r="AR284" i="10"/>
  <c r="BE284" i="10"/>
  <c r="CO284" i="10"/>
  <c r="G284" i="10"/>
  <c r="F284" i="10"/>
  <c r="BG284" i="10"/>
  <c r="W284" i="10"/>
  <c r="AP284" i="10"/>
  <c r="BK284" i="10"/>
  <c r="BQ284" i="10"/>
  <c r="X284" i="10"/>
  <c r="O284" i="10"/>
  <c r="BZ284" i="10"/>
  <c r="BC284" i="10"/>
  <c r="AZ284" i="10"/>
  <c r="CR284" i="10"/>
  <c r="BH284" i="10"/>
  <c r="DG284" i="10"/>
  <c r="K284" i="10"/>
  <c r="AX284" i="10"/>
  <c r="AV284" i="10"/>
  <c r="J284" i="10"/>
  <c r="AO284" i="10"/>
  <c r="E284" i="10"/>
  <c r="BJ284" i="10"/>
  <c r="CQ284" i="10"/>
  <c r="AS284" i="10"/>
  <c r="AN284" i="10"/>
  <c r="BT284" i="10"/>
  <c r="AK284" i="10"/>
  <c r="L284" i="10"/>
  <c r="N284" i="10"/>
  <c r="D284" i="10"/>
  <c r="AW284" i="10"/>
  <c r="BP284" i="10"/>
  <c r="BI284" i="10"/>
  <c r="DB284" i="10"/>
  <c r="BY284" i="10"/>
  <c r="DJ284" i="10"/>
  <c r="I284" i="10"/>
  <c r="CN284" i="10"/>
  <c r="CI284" i="10"/>
  <c r="CW284" i="10"/>
  <c r="BL284" i="10"/>
  <c r="AT284" i="10"/>
  <c r="AH284" i="10"/>
  <c r="AQ284" i="10"/>
  <c r="BU284" i="10"/>
  <c r="DC284" i="10"/>
  <c r="CA284" i="10"/>
  <c r="R284" i="10"/>
  <c r="AB284" i="10"/>
  <c r="CZ284" i="10"/>
  <c r="CC284" i="10"/>
  <c r="CE284" i="10"/>
  <c r="AI284" i="10"/>
  <c r="BF284" i="10"/>
  <c r="DF284" i="10"/>
  <c r="CM284" i="10"/>
  <c r="V284" i="10"/>
  <c r="CG284" i="10"/>
  <c r="T284" i="10"/>
  <c r="AE284" i="10"/>
  <c r="CD284" i="10"/>
  <c r="H284" i="10"/>
  <c r="AF284" i="10"/>
  <c r="CL284" i="10"/>
  <c r="BM284" i="10"/>
  <c r="CJ284" i="10"/>
  <c r="AL284" i="10"/>
  <c r="CV284" i="10"/>
  <c r="BA284" i="10"/>
  <c r="P284" i="10"/>
  <c r="AJ284" i="10"/>
  <c r="M284" i="10"/>
  <c r="AG284" i="10"/>
  <c r="Z284" i="10"/>
  <c r="AA284" i="10"/>
  <c r="CY284" i="10"/>
  <c r="CU284" i="10"/>
  <c r="S284" i="10"/>
  <c r="CB284" i="10"/>
  <c r="CF284" i="10"/>
  <c r="BD284" i="10"/>
  <c r="BV284" i="10"/>
  <c r="Q284" i="10"/>
  <c r="AM284" i="10"/>
  <c r="AD284" i="10"/>
  <c r="DE284" i="10"/>
  <c r="DH284" i="10"/>
  <c r="DK284" i="10"/>
  <c r="BX284" i="10"/>
  <c r="AC284" i="10"/>
  <c r="DA284" i="10"/>
  <c r="CT284" i="10"/>
  <c r="BS284" i="10"/>
  <c r="C284" i="10"/>
  <c r="CP284" i="10"/>
  <c r="DD284" i="10"/>
  <c r="DI284" i="10"/>
  <c r="BW284" i="10"/>
  <c r="AY284" i="10"/>
  <c r="CX284" i="10"/>
  <c r="JY7" i="1" l="1"/>
  <c r="JZ2" i="1" l="1"/>
  <c r="JZ5" i="1" s="1"/>
  <c r="JZ9" i="1" s="1"/>
  <c r="B285" i="10"/>
  <c r="JZ10" i="1"/>
  <c r="JY8" i="1"/>
  <c r="JZ6" i="1"/>
  <c r="JZ7" i="1" l="1"/>
  <c r="CL285" i="10"/>
  <c r="AU285" i="10"/>
  <c r="BU285" i="10"/>
  <c r="CC285" i="10"/>
  <c r="Q285" i="10"/>
  <c r="AP285" i="10"/>
  <c r="P285" i="10"/>
  <c r="AH285" i="10"/>
  <c r="AS285" i="10"/>
  <c r="CY285" i="10"/>
  <c r="CH285" i="10"/>
  <c r="AE285" i="10"/>
  <c r="O285" i="10"/>
  <c r="CD285" i="10"/>
  <c r="CV285" i="10"/>
  <c r="CA285" i="10"/>
  <c r="AT285" i="10"/>
  <c r="J285" i="10"/>
  <c r="AM285" i="10"/>
  <c r="BT285" i="10"/>
  <c r="N285" i="10"/>
  <c r="R285" i="10"/>
  <c r="E285" i="10"/>
  <c r="DK285" i="10"/>
  <c r="AL285" i="10"/>
  <c r="CJ285" i="10"/>
  <c r="CO285" i="10"/>
  <c r="CX285" i="10"/>
  <c r="BL285" i="10"/>
  <c r="AB285" i="10"/>
  <c r="S285" i="10"/>
  <c r="AI285" i="10"/>
  <c r="DB285" i="10"/>
  <c r="AC285" i="10"/>
  <c r="AX285" i="10"/>
  <c r="BX285" i="10"/>
  <c r="H285" i="10"/>
  <c r="BI285" i="10"/>
  <c r="AQ285" i="10"/>
  <c r="V285" i="10"/>
  <c r="CQ285" i="10"/>
  <c r="CR285" i="10"/>
  <c r="D285" i="10"/>
  <c r="BK285" i="10"/>
  <c r="DC285" i="10"/>
  <c r="BC285" i="10"/>
  <c r="CF285" i="10"/>
  <c r="AO285" i="10"/>
  <c r="AN285" i="10"/>
  <c r="C285" i="10"/>
  <c r="BY285" i="10"/>
  <c r="BD285" i="10"/>
  <c r="BB285" i="10"/>
  <c r="DE285" i="10"/>
  <c r="BE285" i="10"/>
  <c r="AY285" i="10"/>
  <c r="F285" i="10"/>
  <c r="AW285" i="10"/>
  <c r="DA285" i="10"/>
  <c r="Z285" i="10"/>
  <c r="DJ285" i="10"/>
  <c r="AD285" i="10"/>
  <c r="T285" i="10"/>
  <c r="CE285" i="10"/>
  <c r="CS285" i="10"/>
  <c r="BA285" i="10"/>
  <c r="CU285" i="10"/>
  <c r="AV285" i="10"/>
  <c r="DD285" i="10"/>
  <c r="BF285" i="10"/>
  <c r="BV285" i="10"/>
  <c r="CI285" i="10"/>
  <c r="BS285" i="10"/>
  <c r="BR285" i="10"/>
  <c r="M285" i="10"/>
  <c r="CN285" i="10"/>
  <c r="CB285" i="10"/>
  <c r="U285" i="10"/>
  <c r="CZ285" i="10"/>
  <c r="BQ285" i="10"/>
  <c r="W285" i="10"/>
  <c r="BH285" i="10"/>
  <c r="BP285" i="10"/>
  <c r="BM285" i="10"/>
  <c r="DH285" i="10"/>
  <c r="DG285" i="10"/>
  <c r="AR285" i="10"/>
  <c r="BJ285" i="10"/>
  <c r="AZ285" i="10"/>
  <c r="CM285" i="10"/>
  <c r="G285" i="10"/>
  <c r="BO285" i="10"/>
  <c r="BN285" i="10"/>
  <c r="AK285" i="10"/>
  <c r="AJ285" i="10"/>
  <c r="BZ285" i="10"/>
  <c r="CK285" i="10"/>
  <c r="X285" i="10"/>
  <c r="CW285" i="10"/>
  <c r="K285" i="10"/>
  <c r="DI285" i="10"/>
  <c r="BW285" i="10"/>
  <c r="AF285" i="10"/>
  <c r="Y285" i="10"/>
  <c r="I285" i="10"/>
  <c r="DF285" i="10"/>
  <c r="AG285" i="10"/>
  <c r="CT285" i="10"/>
  <c r="CG285" i="10"/>
  <c r="L285" i="10"/>
  <c r="AA285" i="10"/>
  <c r="CP285" i="10"/>
  <c r="BG285" i="10"/>
  <c r="JZ8" i="1" l="1"/>
  <c r="B286" i="10"/>
  <c r="KA6" i="1"/>
  <c r="KA2" i="1"/>
  <c r="KA5" i="1" s="1"/>
  <c r="KA7" i="1" l="1"/>
  <c r="KA9" i="1"/>
  <c r="KB6" i="1"/>
  <c r="B287" i="10"/>
  <c r="CJ287" i="10" s="1"/>
  <c r="KA8" i="1"/>
  <c r="KA10" i="1"/>
  <c r="AM286" i="10"/>
  <c r="BL286" i="10"/>
  <c r="G286" i="10"/>
  <c r="AP286" i="10"/>
  <c r="CJ286" i="10"/>
  <c r="E286" i="10"/>
  <c r="CG286" i="10"/>
  <c r="BR286" i="10"/>
  <c r="DK286" i="10"/>
  <c r="AD286" i="10"/>
  <c r="CR286" i="10"/>
  <c r="DE286" i="10"/>
  <c r="BA286" i="10"/>
  <c r="AE286" i="10"/>
  <c r="CA286" i="10"/>
  <c r="AG286" i="10"/>
  <c r="D286" i="10"/>
  <c r="AX286" i="10"/>
  <c r="S286" i="10"/>
  <c r="BG286" i="10"/>
  <c r="DA286" i="10"/>
  <c r="N286" i="10"/>
  <c r="CW286" i="10"/>
  <c r="AC286" i="10"/>
  <c r="CV286" i="10"/>
  <c r="BB286" i="10"/>
  <c r="CC286" i="10"/>
  <c r="BC286" i="10"/>
  <c r="P286" i="10"/>
  <c r="BO286" i="10"/>
  <c r="CI286" i="10"/>
  <c r="CS286" i="10"/>
  <c r="CM286" i="10"/>
  <c r="AJ286" i="10"/>
  <c r="AQ286" i="10"/>
  <c r="W286" i="10"/>
  <c r="V286" i="10"/>
  <c r="AI286" i="10"/>
  <c r="BQ286" i="10"/>
  <c r="AN286" i="10"/>
  <c r="AS286" i="10"/>
  <c r="BD286" i="10"/>
  <c r="CN286" i="10"/>
  <c r="DH286" i="10"/>
  <c r="AU286" i="10"/>
  <c r="BP286" i="10"/>
  <c r="L286" i="10"/>
  <c r="BX286" i="10"/>
  <c r="CO286" i="10"/>
  <c r="AW286" i="10"/>
  <c r="DF286" i="10"/>
  <c r="DD286" i="10"/>
  <c r="AV286" i="10"/>
  <c r="BE286" i="10"/>
  <c r="M286" i="10"/>
  <c r="CK286" i="10"/>
  <c r="AO286" i="10"/>
  <c r="X286" i="10"/>
  <c r="AF286" i="10"/>
  <c r="O286" i="10"/>
  <c r="H286" i="10"/>
  <c r="CQ286" i="10"/>
  <c r="BW286" i="10"/>
  <c r="AK286" i="10"/>
  <c r="R286" i="10"/>
  <c r="CZ286" i="10"/>
  <c r="CX286" i="10"/>
  <c r="BY286" i="10"/>
  <c r="AR286" i="10"/>
  <c r="BV286" i="10"/>
  <c r="BZ286" i="10"/>
  <c r="CL286" i="10"/>
  <c r="AB286" i="10"/>
  <c r="BK286" i="10"/>
  <c r="C286" i="10"/>
  <c r="DC286" i="10"/>
  <c r="CP286" i="10"/>
  <c r="BS286" i="10"/>
  <c r="CY286" i="10"/>
  <c r="AY286" i="10"/>
  <c r="BT286" i="10"/>
  <c r="BN286" i="10"/>
  <c r="BH286" i="10"/>
  <c r="BJ286" i="10"/>
  <c r="CD286" i="10"/>
  <c r="J286" i="10"/>
  <c r="BU286" i="10"/>
  <c r="AL286" i="10"/>
  <c r="AT286" i="10"/>
  <c r="DB286" i="10"/>
  <c r="BM286" i="10"/>
  <c r="AZ286" i="10"/>
  <c r="DG286" i="10"/>
  <c r="DI286" i="10"/>
  <c r="CF286" i="10"/>
  <c r="Q286" i="10"/>
  <c r="Z286" i="10"/>
  <c r="K286" i="10"/>
  <c r="CU286" i="10"/>
  <c r="CT286" i="10"/>
  <c r="BF286" i="10"/>
  <c r="AH286" i="10"/>
  <c r="CB286" i="10"/>
  <c r="U286" i="10"/>
  <c r="T286" i="10"/>
  <c r="AA286" i="10"/>
  <c r="CH286" i="10"/>
  <c r="CE286" i="10"/>
  <c r="BI286" i="10"/>
  <c r="DJ286" i="10"/>
  <c r="I286" i="10"/>
  <c r="F286" i="10"/>
  <c r="Y286" i="10"/>
  <c r="AF287" i="10" l="1"/>
  <c r="CZ287" i="10"/>
  <c r="R287" i="10"/>
  <c r="AU287" i="10"/>
  <c r="BY287" i="10"/>
  <c r="K287" i="10"/>
  <c r="CN287" i="10"/>
  <c r="AQ287" i="10"/>
  <c r="L287" i="10"/>
  <c r="DJ287" i="10"/>
  <c r="S287" i="10"/>
  <c r="AP287" i="10"/>
  <c r="CU287" i="10"/>
  <c r="CE287" i="10"/>
  <c r="AW287" i="10"/>
  <c r="M287" i="10"/>
  <c r="BM287" i="10"/>
  <c r="BZ287" i="10"/>
  <c r="P287" i="10"/>
  <c r="C287" i="10"/>
  <c r="BL287" i="10"/>
  <c r="DE287" i="10"/>
  <c r="BC287" i="10"/>
  <c r="DB287" i="10"/>
  <c r="BV287" i="10"/>
  <c r="AH287" i="10"/>
  <c r="AT287" i="10"/>
  <c r="DF287" i="10"/>
  <c r="DA287" i="10"/>
  <c r="BP287" i="10"/>
  <c r="BI287" i="10"/>
  <c r="BN287" i="10"/>
  <c r="U287" i="10"/>
  <c r="BQ287" i="10"/>
  <c r="CM287" i="10"/>
  <c r="CT287" i="10"/>
  <c r="BF287" i="10"/>
  <c r="AB287" i="10"/>
  <c r="AV287" i="10"/>
  <c r="BJ287" i="10"/>
  <c r="AI287" i="10"/>
  <c r="DG287" i="10"/>
  <c r="CO287" i="10"/>
  <c r="AC287" i="10"/>
  <c r="Y287" i="10"/>
  <c r="DH287" i="10"/>
  <c r="AY287" i="10"/>
  <c r="AR287" i="10"/>
  <c r="BS287" i="10"/>
  <c r="BO287" i="10"/>
  <c r="Q287" i="10"/>
  <c r="BE287" i="10"/>
  <c r="AZ287" i="10"/>
  <c r="AO287" i="10"/>
  <c r="T287" i="10"/>
  <c r="D287" i="10"/>
  <c r="DK287" i="10"/>
  <c r="CH287" i="10"/>
  <c r="N287" i="10"/>
  <c r="CY287" i="10"/>
  <c r="CX287" i="10"/>
  <c r="BH287" i="10"/>
  <c r="CS287" i="10"/>
  <c r="CB287" i="10"/>
  <c r="CD287" i="10"/>
  <c r="H287" i="10"/>
  <c r="BW287" i="10"/>
  <c r="Z287" i="10"/>
  <c r="E287" i="10"/>
  <c r="BG287" i="10"/>
  <c r="I287" i="10"/>
  <c r="CP287" i="10"/>
  <c r="J287" i="10"/>
  <c r="W287" i="10"/>
  <c r="F287" i="10"/>
  <c r="X287" i="10"/>
  <c r="BB287" i="10"/>
  <c r="AX287" i="10"/>
  <c r="BX287" i="10"/>
  <c r="AL287" i="10"/>
  <c r="BT287" i="10"/>
  <c r="DI287" i="10"/>
  <c r="CQ287" i="10"/>
  <c r="O287" i="10"/>
  <c r="CA287" i="10"/>
  <c r="CI287" i="10"/>
  <c r="CF287" i="10"/>
  <c r="CV287" i="10"/>
  <c r="AS287" i="10"/>
  <c r="AN287" i="10"/>
  <c r="AD287" i="10"/>
  <c r="BD287" i="10"/>
  <c r="CK287" i="10"/>
  <c r="DC287" i="10"/>
  <c r="KB2" i="1"/>
  <c r="KB10" i="1" s="1"/>
  <c r="AJ287" i="10"/>
  <c r="AA287" i="10"/>
  <c r="BU287" i="10"/>
  <c r="G287" i="10"/>
  <c r="V287" i="10"/>
  <c r="CW287" i="10"/>
  <c r="CC287" i="10"/>
  <c r="AE287" i="10"/>
  <c r="BK287" i="10"/>
  <c r="CG287" i="10"/>
  <c r="AK287" i="10"/>
  <c r="BR287" i="10"/>
  <c r="DD287" i="10"/>
  <c r="AM287" i="10"/>
  <c r="BA287" i="10"/>
  <c r="CL287" i="10"/>
  <c r="AG287" i="10"/>
  <c r="CR287" i="10"/>
  <c r="KB5" i="1" l="1"/>
  <c r="KB9" i="1" s="1"/>
  <c r="KB7" i="1" l="1"/>
  <c r="KC6" i="1" s="1"/>
  <c r="B288" i="10"/>
  <c r="KC2" i="1"/>
  <c r="KC10" i="1" s="1"/>
  <c r="KB8" i="1" l="1"/>
  <c r="AG288" i="10"/>
  <c r="CG288" i="10"/>
  <c r="BA288" i="10"/>
  <c r="AV288" i="10"/>
  <c r="Z288" i="10"/>
  <c r="BE288" i="10"/>
  <c r="BI288" i="10"/>
  <c r="AW288" i="10"/>
  <c r="BZ288" i="10"/>
  <c r="W288" i="10"/>
  <c r="AK288" i="10"/>
  <c r="DD288" i="10"/>
  <c r="CP288" i="10"/>
  <c r="L288" i="10"/>
  <c r="F288" i="10"/>
  <c r="BJ288" i="10"/>
  <c r="E288" i="10"/>
  <c r="DI288" i="10"/>
  <c r="Q288" i="10"/>
  <c r="AL288" i="10"/>
  <c r="CR288" i="10"/>
  <c r="CD288" i="10"/>
  <c r="CO288" i="10"/>
  <c r="CL288" i="10"/>
  <c r="CW288" i="10"/>
  <c r="BV288" i="10"/>
  <c r="AR288" i="10"/>
  <c r="BU288" i="10"/>
  <c r="BT288" i="10"/>
  <c r="T288" i="10"/>
  <c r="AP288" i="10"/>
  <c r="BQ288" i="10"/>
  <c r="CY288" i="10"/>
  <c r="CM288" i="10"/>
  <c r="P288" i="10"/>
  <c r="CK288" i="10"/>
  <c r="DG288" i="10"/>
  <c r="BD288" i="10"/>
  <c r="AH288" i="10"/>
  <c r="CZ288" i="10"/>
  <c r="H288" i="10"/>
  <c r="D288" i="10"/>
  <c r="AQ288" i="10"/>
  <c r="CB288" i="10"/>
  <c r="K288" i="10"/>
  <c r="BB288" i="10"/>
  <c r="AA288" i="10"/>
  <c r="BK288" i="10"/>
  <c r="BW288" i="10"/>
  <c r="BX288" i="10"/>
  <c r="BP288" i="10"/>
  <c r="CA288" i="10"/>
  <c r="AX288" i="10"/>
  <c r="O288" i="10"/>
  <c r="AS288" i="10"/>
  <c r="V288" i="10"/>
  <c r="DJ288" i="10"/>
  <c r="BN288" i="10"/>
  <c r="AC288" i="10"/>
  <c r="CS288" i="10"/>
  <c r="AI288" i="10"/>
  <c r="DE288" i="10"/>
  <c r="AU288" i="10"/>
  <c r="CN288" i="10"/>
  <c r="CX288" i="10"/>
  <c r="CV288" i="10"/>
  <c r="CH288" i="10"/>
  <c r="CI288" i="10"/>
  <c r="CT288" i="10"/>
  <c r="AF288" i="10"/>
  <c r="AE288" i="10"/>
  <c r="AM288" i="10"/>
  <c r="BF288" i="10"/>
  <c r="C288" i="10"/>
  <c r="CF288" i="10"/>
  <c r="AT288" i="10"/>
  <c r="BM288" i="10"/>
  <c r="AD288" i="10"/>
  <c r="BG288" i="10"/>
  <c r="G288" i="10"/>
  <c r="BL288" i="10"/>
  <c r="BC288" i="10"/>
  <c r="DC288" i="10"/>
  <c r="DH288" i="10"/>
  <c r="DK288" i="10"/>
  <c r="CQ288" i="10"/>
  <c r="CE288" i="10"/>
  <c r="BY288" i="10"/>
  <c r="AY288" i="10"/>
  <c r="AJ288" i="10"/>
  <c r="Y288" i="10"/>
  <c r="AB288" i="10"/>
  <c r="AZ288" i="10"/>
  <c r="BO288" i="10"/>
  <c r="AO288" i="10"/>
  <c r="AN288" i="10"/>
  <c r="U288" i="10"/>
  <c r="M288" i="10"/>
  <c r="BH288" i="10"/>
  <c r="BR288" i="10"/>
  <c r="CU288" i="10"/>
  <c r="CJ288" i="10"/>
  <c r="DA288" i="10"/>
  <c r="N288" i="10"/>
  <c r="CC288" i="10"/>
  <c r="BS288" i="10"/>
  <c r="DF288" i="10"/>
  <c r="J288" i="10"/>
  <c r="I288" i="10"/>
  <c r="R288" i="10"/>
  <c r="S288" i="10"/>
  <c r="X288" i="10"/>
  <c r="DB288" i="10"/>
  <c r="KC5" i="1"/>
  <c r="KC9" i="1" s="1"/>
  <c r="KC7" i="1" l="1"/>
  <c r="B289" i="10" l="1"/>
  <c r="KD6" i="1"/>
  <c r="KC8" i="1"/>
  <c r="KD2" i="1" s="1"/>
  <c r="KD5" i="1" s="1"/>
  <c r="KD9" i="1" s="1"/>
  <c r="KD10" i="1" l="1"/>
  <c r="KE2" i="1"/>
  <c r="KE5" i="1" s="1"/>
  <c r="KE9" i="1" s="1"/>
  <c r="KD7" i="1"/>
  <c r="CE289" i="10"/>
  <c r="X289" i="10"/>
  <c r="BE289" i="10"/>
  <c r="CX289" i="10"/>
  <c r="AY289" i="10"/>
  <c r="D289" i="10"/>
  <c r="AW289" i="10"/>
  <c r="BM289" i="10"/>
  <c r="CW289" i="10"/>
  <c r="BC289" i="10"/>
  <c r="CZ289" i="10"/>
  <c r="CL289" i="10"/>
  <c r="CS289" i="10"/>
  <c r="L289" i="10"/>
  <c r="CA289" i="10"/>
  <c r="AM289" i="10"/>
  <c r="CG289" i="10"/>
  <c r="CU289" i="10"/>
  <c r="S289" i="10"/>
  <c r="BR289" i="10"/>
  <c r="DE289" i="10"/>
  <c r="Z289" i="10"/>
  <c r="I289" i="10"/>
  <c r="U289" i="10"/>
  <c r="CO289" i="10"/>
  <c r="AG289" i="10"/>
  <c r="BU289" i="10"/>
  <c r="AC289" i="10"/>
  <c r="DF289" i="10"/>
  <c r="BA289" i="10"/>
  <c r="BD289" i="10"/>
  <c r="CV289" i="10"/>
  <c r="E289" i="10"/>
  <c r="BP289" i="10"/>
  <c r="BT289" i="10"/>
  <c r="AN289" i="10"/>
  <c r="BG289" i="10"/>
  <c r="H289" i="10"/>
  <c r="BH289" i="10"/>
  <c r="CQ289" i="10"/>
  <c r="AQ289" i="10"/>
  <c r="AB289" i="10"/>
  <c r="AT289" i="10"/>
  <c r="AI289" i="10"/>
  <c r="BI289" i="10"/>
  <c r="DB289" i="10"/>
  <c r="AR289" i="10"/>
  <c r="BQ289" i="10"/>
  <c r="AV289" i="10"/>
  <c r="AH289" i="10"/>
  <c r="AU289" i="10"/>
  <c r="CR289" i="10"/>
  <c r="CP289" i="10"/>
  <c r="AD289" i="10"/>
  <c r="N289" i="10"/>
  <c r="O289" i="10"/>
  <c r="G289" i="10"/>
  <c r="DD289" i="10"/>
  <c r="Q289" i="10"/>
  <c r="J289" i="10"/>
  <c r="BK289" i="10"/>
  <c r="DJ289" i="10"/>
  <c r="K289" i="10"/>
  <c r="DH289" i="10"/>
  <c r="F289" i="10"/>
  <c r="BO289" i="10"/>
  <c r="AX289" i="10"/>
  <c r="DC289" i="10"/>
  <c r="AA289" i="10"/>
  <c r="CM289" i="10"/>
  <c r="AZ289" i="10"/>
  <c r="DI289" i="10"/>
  <c r="CD289" i="10"/>
  <c r="AE289" i="10"/>
  <c r="BV289" i="10"/>
  <c r="BS289" i="10"/>
  <c r="BL289" i="10"/>
  <c r="CY289" i="10"/>
  <c r="AK289" i="10"/>
  <c r="BZ289" i="10"/>
  <c r="CI289" i="10"/>
  <c r="AL289" i="10"/>
  <c r="R289" i="10"/>
  <c r="DK289" i="10"/>
  <c r="AO289" i="10"/>
  <c r="BF289" i="10"/>
  <c r="BX289" i="10"/>
  <c r="V289" i="10"/>
  <c r="BJ289" i="10"/>
  <c r="AJ289" i="10"/>
  <c r="DG289" i="10"/>
  <c r="AS289" i="10"/>
  <c r="CJ289" i="10"/>
  <c r="CB289" i="10"/>
  <c r="AP289" i="10"/>
  <c r="T289" i="10"/>
  <c r="CF289" i="10"/>
  <c r="CN289" i="10"/>
  <c r="M289" i="10"/>
  <c r="BW289" i="10"/>
  <c r="CC289" i="10"/>
  <c r="W289" i="10"/>
  <c r="CH289" i="10"/>
  <c r="AF289" i="10"/>
  <c r="BN289" i="10"/>
  <c r="BY289" i="10"/>
  <c r="CK289" i="10"/>
  <c r="P289" i="10"/>
  <c r="DA289" i="10"/>
  <c r="BB289" i="10"/>
  <c r="C289" i="10"/>
  <c r="CT289" i="10"/>
  <c r="Y289" i="10"/>
  <c r="KE6" i="1" l="1"/>
  <c r="KD8" i="1"/>
  <c r="B290" i="10"/>
  <c r="KE10" i="1"/>
  <c r="KF2" i="1"/>
  <c r="KF5" i="1" s="1"/>
  <c r="KF9" i="1" s="1"/>
  <c r="KE7" i="1"/>
  <c r="KE8" i="1" l="1"/>
  <c r="KF6" i="1"/>
  <c r="B291" i="10"/>
  <c r="KF10" i="1"/>
  <c r="KG2" i="1"/>
  <c r="KG5" i="1" s="1"/>
  <c r="KG9" i="1" s="1"/>
  <c r="KF7" i="1"/>
  <c r="V290" i="10"/>
  <c r="CY290" i="10"/>
  <c r="BF290" i="10"/>
  <c r="AR290" i="10"/>
  <c r="Q290" i="10"/>
  <c r="CS290" i="10"/>
  <c r="BK290" i="10"/>
  <c r="DB290" i="10"/>
  <c r="BU290" i="10"/>
  <c r="CE290" i="10"/>
  <c r="W290" i="10"/>
  <c r="X290" i="10"/>
  <c r="DE290" i="10"/>
  <c r="T290" i="10"/>
  <c r="CZ290" i="10"/>
  <c r="BX290" i="10"/>
  <c r="P290" i="10"/>
  <c r="C290" i="10"/>
  <c r="N290" i="10"/>
  <c r="BR290" i="10"/>
  <c r="DH290" i="10"/>
  <c r="G290" i="10"/>
  <c r="AQ290" i="10"/>
  <c r="BL290" i="10"/>
  <c r="AC290" i="10"/>
  <c r="BA290" i="10"/>
  <c r="CI290" i="10"/>
  <c r="BV290" i="10"/>
  <c r="AH290" i="10"/>
  <c r="AI290" i="10"/>
  <c r="F290" i="10"/>
  <c r="AJ290" i="10"/>
  <c r="DG290" i="10"/>
  <c r="H290" i="10"/>
  <c r="CW290" i="10"/>
  <c r="CM290" i="10"/>
  <c r="CK290" i="10"/>
  <c r="BB290" i="10"/>
  <c r="AX290" i="10"/>
  <c r="DC290" i="10"/>
  <c r="J290" i="10"/>
  <c r="CN290" i="10"/>
  <c r="CA290" i="10"/>
  <c r="AZ290" i="10"/>
  <c r="DD290" i="10"/>
  <c r="CB290" i="10"/>
  <c r="CQ290" i="10"/>
  <c r="CV290" i="10"/>
  <c r="BM290" i="10"/>
  <c r="M290" i="10"/>
  <c r="CG290" i="10"/>
  <c r="CH290" i="10"/>
  <c r="CX290" i="10"/>
  <c r="BC290" i="10"/>
  <c r="DK290" i="10"/>
  <c r="BO290" i="10"/>
  <c r="AK290" i="10"/>
  <c r="AN290" i="10"/>
  <c r="CJ290" i="10"/>
  <c r="CR290" i="10"/>
  <c r="AM290" i="10"/>
  <c r="DF290" i="10"/>
  <c r="CP290" i="10"/>
  <c r="BS290" i="10"/>
  <c r="BQ290" i="10"/>
  <c r="Y290" i="10"/>
  <c r="BE290" i="10"/>
  <c r="CL290" i="10"/>
  <c r="S290" i="10"/>
  <c r="AF290" i="10"/>
  <c r="AE290" i="10"/>
  <c r="AW290" i="10"/>
  <c r="BN290" i="10"/>
  <c r="Z290" i="10"/>
  <c r="AL290" i="10"/>
  <c r="AD290" i="10"/>
  <c r="AU290" i="10"/>
  <c r="K290" i="10"/>
  <c r="BH290" i="10"/>
  <c r="DA290" i="10"/>
  <c r="AS290" i="10"/>
  <c r="AG290" i="10"/>
  <c r="BJ290" i="10"/>
  <c r="AA290" i="10"/>
  <c r="O290" i="10"/>
  <c r="E290" i="10"/>
  <c r="DJ290" i="10"/>
  <c r="AV290" i="10"/>
  <c r="AB290" i="10"/>
  <c r="CF290" i="10"/>
  <c r="AO290" i="10"/>
  <c r="L290" i="10"/>
  <c r="CC290" i="10"/>
  <c r="U290" i="10"/>
  <c r="DI290" i="10"/>
  <c r="CO290" i="10"/>
  <c r="BD290" i="10"/>
  <c r="BY290" i="10"/>
  <c r="AT290" i="10"/>
  <c r="AY290" i="10"/>
  <c r="BT290" i="10"/>
  <c r="BW290" i="10"/>
  <c r="CD290" i="10"/>
  <c r="D290" i="10"/>
  <c r="CU290" i="10"/>
  <c r="BZ290" i="10"/>
  <c r="I290" i="10"/>
  <c r="BI290" i="10"/>
  <c r="CT290" i="10"/>
  <c r="AP290" i="10"/>
  <c r="BG290" i="10"/>
  <c r="R290" i="10"/>
  <c r="BP290" i="10"/>
  <c r="AR291" i="10" l="1"/>
  <c r="AB291" i="10"/>
  <c r="CU291" i="10"/>
  <c r="BT291" i="10"/>
  <c r="T291" i="10"/>
  <c r="CM291" i="10"/>
  <c r="BG291" i="10"/>
  <c r="CT291" i="10"/>
  <c r="CQ291" i="10"/>
  <c r="P291" i="10"/>
  <c r="CX291" i="10"/>
  <c r="R291" i="10"/>
  <c r="BJ291" i="10"/>
  <c r="Z291" i="10"/>
  <c r="M291" i="10"/>
  <c r="CG291" i="10"/>
  <c r="J291" i="10"/>
  <c r="AF291" i="10"/>
  <c r="BR291" i="10"/>
  <c r="CB291" i="10"/>
  <c r="C291" i="10"/>
  <c r="O291" i="10"/>
  <c r="S291" i="10"/>
  <c r="CI291" i="10"/>
  <c r="AH291" i="10"/>
  <c r="BM291" i="10"/>
  <c r="CL291" i="10"/>
  <c r="AZ291" i="10"/>
  <c r="AQ291" i="10"/>
  <c r="BW291" i="10"/>
  <c r="BI291" i="10"/>
  <c r="I291" i="10"/>
  <c r="DD291" i="10"/>
  <c r="DE291" i="10"/>
  <c r="AW291" i="10"/>
  <c r="BD291" i="10"/>
  <c r="CS291" i="10"/>
  <c r="BV291" i="10"/>
  <c r="CW291" i="10"/>
  <c r="AJ291" i="10"/>
  <c r="CZ291" i="10"/>
  <c r="N291" i="10"/>
  <c r="AY291" i="10"/>
  <c r="DG291" i="10"/>
  <c r="KG6" i="1"/>
  <c r="B292" i="10"/>
  <c r="KF8" i="1"/>
  <c r="KG10" i="1"/>
  <c r="DF291" i="10"/>
  <c r="DH291" i="10"/>
  <c r="AP291" i="10"/>
  <c r="CK291" i="10"/>
  <c r="Q291" i="10"/>
  <c r="BH291" i="10"/>
  <c r="E291" i="10"/>
  <c r="AS291" i="10"/>
  <c r="F291" i="10"/>
  <c r="Y291" i="10"/>
  <c r="CE291" i="10"/>
  <c r="DI291" i="10"/>
  <c r="DJ291" i="10"/>
  <c r="BC291" i="10"/>
  <c r="KH2" i="1"/>
  <c r="KH5" i="1" s="1"/>
  <c r="KH9" i="1" s="1"/>
  <c r="KG7" i="1"/>
  <c r="G291" i="10"/>
  <c r="AG291" i="10"/>
  <c r="BF291" i="10"/>
  <c r="BU291" i="10"/>
  <c r="CV291" i="10"/>
  <c r="AU291" i="10"/>
  <c r="BZ291" i="10"/>
  <c r="K291" i="10"/>
  <c r="BB291" i="10"/>
  <c r="CC291" i="10"/>
  <c r="CF291" i="10"/>
  <c r="AX291" i="10"/>
  <c r="AI291" i="10"/>
  <c r="V291" i="10"/>
  <c r="AM291" i="10"/>
  <c r="AO291" i="10"/>
  <c r="W291" i="10"/>
  <c r="DK291" i="10"/>
  <c r="DC291" i="10"/>
  <c r="CJ291" i="10"/>
  <c r="AK291" i="10"/>
  <c r="DB291" i="10"/>
  <c r="CA291" i="10"/>
  <c r="BS291" i="10"/>
  <c r="BX291" i="10"/>
  <c r="CP291" i="10"/>
  <c r="AD291" i="10"/>
  <c r="BA291" i="10"/>
  <c r="CO291" i="10"/>
  <c r="AV291" i="10"/>
  <c r="AC291" i="10"/>
  <c r="AA291" i="10"/>
  <c r="CY291" i="10"/>
  <c r="AN291" i="10"/>
  <c r="H291" i="10"/>
  <c r="CN291" i="10"/>
  <c r="BP291" i="10"/>
  <c r="BL291" i="10"/>
  <c r="CR291" i="10"/>
  <c r="D291" i="10"/>
  <c r="BO291" i="10"/>
  <c r="AE291" i="10"/>
  <c r="DA291" i="10"/>
  <c r="AT291" i="10"/>
  <c r="L291" i="10"/>
  <c r="BQ291" i="10"/>
  <c r="X291" i="10"/>
  <c r="AL291" i="10"/>
  <c r="U291" i="10"/>
  <c r="BY291" i="10"/>
  <c r="BK291" i="10"/>
  <c r="BN291" i="10"/>
  <c r="CH291" i="10"/>
  <c r="CD291" i="10"/>
  <c r="BE291" i="10"/>
  <c r="AX292" i="10" l="1"/>
  <c r="F292" i="10"/>
  <c r="DH292" i="10"/>
  <c r="I292" i="10"/>
  <c r="BN292" i="10"/>
  <c r="CK292" i="10"/>
  <c r="AI292" i="10"/>
  <c r="BT292" i="10"/>
  <c r="BR292" i="10"/>
  <c r="O292" i="10"/>
  <c r="K292" i="10"/>
  <c r="BS292" i="10"/>
  <c r="AK292" i="10"/>
  <c r="AC292" i="10"/>
  <c r="W292" i="10"/>
  <c r="CV292" i="10"/>
  <c r="V292" i="10"/>
  <c r="BJ292" i="10"/>
  <c r="CL292" i="10"/>
  <c r="BU292" i="10"/>
  <c r="AL292" i="10"/>
  <c r="CD292" i="10"/>
  <c r="CE292" i="10"/>
  <c r="AN292" i="10"/>
  <c r="DD292" i="10"/>
  <c r="AO292" i="10"/>
  <c r="CB292" i="10"/>
  <c r="BC292" i="10"/>
  <c r="AT292" i="10"/>
  <c r="DK292" i="10"/>
  <c r="KG8" i="1"/>
  <c r="B293" i="10"/>
  <c r="DH293" i="10" s="1"/>
  <c r="KH6" i="1"/>
  <c r="KH10" i="1"/>
  <c r="CM292" i="10"/>
  <c r="Q292" i="10"/>
  <c r="P292" i="10"/>
  <c r="J292" i="10"/>
  <c r="DG292" i="10"/>
  <c r="AR292" i="10"/>
  <c r="Z292" i="10"/>
  <c r="L292" i="10"/>
  <c r="BH292" i="10"/>
  <c r="CJ292" i="10"/>
  <c r="AB292" i="10"/>
  <c r="AV292" i="10"/>
  <c r="H292" i="10"/>
  <c r="KH7" i="1"/>
  <c r="DI292" i="10"/>
  <c r="BX292" i="10"/>
  <c r="DF292" i="10"/>
  <c r="CN292" i="10"/>
  <c r="C292" i="10"/>
  <c r="CG292" i="10"/>
  <c r="CF292" i="10"/>
  <c r="BZ292" i="10"/>
  <c r="BI292" i="10"/>
  <c r="CX292" i="10"/>
  <c r="AW292" i="10"/>
  <c r="AP292" i="10"/>
  <c r="AH292" i="10"/>
  <c r="AY292" i="10"/>
  <c r="DA292" i="10"/>
  <c r="G292" i="10"/>
  <c r="CI292" i="10"/>
  <c r="DJ292" i="10"/>
  <c r="CA292" i="10"/>
  <c r="AG292" i="10"/>
  <c r="T292" i="10"/>
  <c r="CZ292" i="10"/>
  <c r="Y292" i="10"/>
  <c r="BP292" i="10"/>
  <c r="CR292" i="10"/>
  <c r="AU292" i="10"/>
  <c r="U292" i="10"/>
  <c r="BG292" i="10"/>
  <c r="DB292" i="10"/>
  <c r="AE292" i="10"/>
  <c r="BK292" i="10"/>
  <c r="AJ292" i="10"/>
  <c r="AZ292" i="10"/>
  <c r="BW292" i="10"/>
  <c r="BF292" i="10"/>
  <c r="CQ292" i="10"/>
  <c r="AS292" i="10"/>
  <c r="AD292" i="10"/>
  <c r="CS292" i="10"/>
  <c r="CO292" i="10"/>
  <c r="BV292" i="10"/>
  <c r="BO292" i="10"/>
  <c r="CC292" i="10"/>
  <c r="BQ292" i="10"/>
  <c r="S292" i="10"/>
  <c r="BM292" i="10"/>
  <c r="BD292" i="10"/>
  <c r="CW292" i="10"/>
  <c r="CT292" i="10"/>
  <c r="AA292" i="10"/>
  <c r="CP292" i="10"/>
  <c r="BB292" i="10"/>
  <c r="AM292" i="10"/>
  <c r="CU292" i="10"/>
  <c r="AQ292" i="10"/>
  <c r="M292" i="10"/>
  <c r="BA292" i="10"/>
  <c r="BY292" i="10"/>
  <c r="AF292" i="10"/>
  <c r="CH292" i="10"/>
  <c r="DE292" i="10"/>
  <c r="BL292" i="10"/>
  <c r="X292" i="10"/>
  <c r="D292" i="10"/>
  <c r="BE292" i="10"/>
  <c r="E292" i="10"/>
  <c r="CY292" i="10"/>
  <c r="DC292" i="10"/>
  <c r="R292" i="10"/>
  <c r="N292" i="10"/>
  <c r="AD293" i="10" l="1"/>
  <c r="S293" i="10"/>
  <c r="DB293" i="10"/>
  <c r="DG293" i="10"/>
  <c r="L293" i="10"/>
  <c r="CT293" i="10"/>
  <c r="Q293" i="10"/>
  <c r="AZ293" i="10"/>
  <c r="CE293" i="10"/>
  <c r="BM293" i="10"/>
  <c r="BD293" i="10"/>
  <c r="AJ293" i="10"/>
  <c r="CZ293" i="10"/>
  <c r="B294" i="10"/>
  <c r="KI6" i="1"/>
  <c r="KH8" i="1"/>
  <c r="DK293" i="10"/>
  <c r="Y293" i="10"/>
  <c r="AA293" i="10"/>
  <c r="CH293" i="10"/>
  <c r="CV293" i="10"/>
  <c r="BK293" i="10"/>
  <c r="AU293" i="10"/>
  <c r="P293" i="10"/>
  <c r="I293" i="10"/>
  <c r="BJ293" i="10"/>
  <c r="BP293" i="10"/>
  <c r="AG293" i="10"/>
  <c r="BF293" i="10"/>
  <c r="AN293" i="10"/>
  <c r="AE293" i="10"/>
  <c r="DI293" i="10"/>
  <c r="T293" i="10"/>
  <c r="AM293" i="10"/>
  <c r="CU293" i="10"/>
  <c r="BA293" i="10"/>
  <c r="BI293" i="10"/>
  <c r="AP293" i="10"/>
  <c r="CN293" i="10"/>
  <c r="BO293" i="10"/>
  <c r="CB293" i="10"/>
  <c r="BX293" i="10"/>
  <c r="O293" i="10"/>
  <c r="CA293" i="10"/>
  <c r="D293" i="10"/>
  <c r="CG293" i="10"/>
  <c r="BL293" i="10"/>
  <c r="CD293" i="10"/>
  <c r="BG293" i="10"/>
  <c r="BH293" i="10"/>
  <c r="BN293" i="10"/>
  <c r="V293" i="10"/>
  <c r="BB293" i="10"/>
  <c r="DF293" i="10"/>
  <c r="N293" i="10"/>
  <c r="C293" i="10"/>
  <c r="CW293" i="10"/>
  <c r="CF293" i="10"/>
  <c r="AL293" i="10"/>
  <c r="W293" i="10"/>
  <c r="CL293" i="10"/>
  <c r="AQ293" i="10"/>
  <c r="BU293" i="10"/>
  <c r="CJ293" i="10"/>
  <c r="DD293" i="10"/>
  <c r="G293" i="10"/>
  <c r="BC293" i="10"/>
  <c r="CY293" i="10"/>
  <c r="E293" i="10"/>
  <c r="BV293" i="10"/>
  <c r="AI293" i="10"/>
  <c r="K293" i="10"/>
  <c r="DE293" i="10"/>
  <c r="J293" i="10"/>
  <c r="AC293" i="10"/>
  <c r="U293" i="10"/>
  <c r="R293" i="10"/>
  <c r="AX293" i="10"/>
  <c r="DC293" i="10"/>
  <c r="BW293" i="10"/>
  <c r="BT293" i="10"/>
  <c r="H293" i="10"/>
  <c r="Z293" i="10"/>
  <c r="KI2" i="1"/>
  <c r="KI10" i="1" s="1"/>
  <c r="AT293" i="10"/>
  <c r="DA293" i="10"/>
  <c r="BQ293" i="10"/>
  <c r="CR293" i="10"/>
  <c r="CS293" i="10"/>
  <c r="BE293" i="10"/>
  <c r="CO293" i="10"/>
  <c r="CM293" i="10"/>
  <c r="F293" i="10"/>
  <c r="CP293" i="10"/>
  <c r="AH293" i="10"/>
  <c r="BY293" i="10"/>
  <c r="AO293" i="10"/>
  <c r="BR293" i="10"/>
  <c r="BZ293" i="10"/>
  <c r="AS293" i="10"/>
  <c r="AY293" i="10"/>
  <c r="X293" i="10"/>
  <c r="AW293" i="10"/>
  <c r="CQ293" i="10"/>
  <c r="AV293" i="10"/>
  <c r="M293" i="10"/>
  <c r="CI293" i="10"/>
  <c r="AB293" i="10"/>
  <c r="AK293" i="10"/>
  <c r="CX293" i="10"/>
  <c r="AR293" i="10"/>
  <c r="BS293" i="10"/>
  <c r="DJ293" i="10"/>
  <c r="CK293" i="10"/>
  <c r="AF293" i="10"/>
  <c r="CC293" i="10"/>
  <c r="AV294" i="10" l="1"/>
  <c r="KI5" i="1"/>
  <c r="KI9" i="1" s="1"/>
  <c r="DI294" i="10"/>
  <c r="AT294" i="10"/>
  <c r="X294" i="10"/>
  <c r="AO294" i="10"/>
  <c r="BP294" i="10"/>
  <c r="CV294" i="10"/>
  <c r="CJ294" i="10"/>
  <c r="AM294" i="10"/>
  <c r="AF294" i="10"/>
  <c r="CE294" i="10"/>
  <c r="DA294" i="10"/>
  <c r="DH294" i="10"/>
  <c r="AB294" i="10"/>
  <c r="K294" i="10"/>
  <c r="AS294" i="10"/>
  <c r="CK294" i="10"/>
  <c r="C294" i="10"/>
  <c r="Y294" i="10"/>
  <c r="BO294" i="10"/>
  <c r="BY294" i="10"/>
  <c r="DE294" i="10"/>
  <c r="AZ294" i="10"/>
  <c r="CP294" i="10"/>
  <c r="BK294" i="10"/>
  <c r="BN294" i="10"/>
  <c r="M294" i="10"/>
  <c r="CF294" i="10"/>
  <c r="BD294" i="10"/>
  <c r="D294" i="10"/>
  <c r="AE294" i="10"/>
  <c r="BE294" i="10"/>
  <c r="CO294" i="10"/>
  <c r="DB294" i="10"/>
  <c r="L294" i="10"/>
  <c r="F294" i="10"/>
  <c r="BS294" i="10"/>
  <c r="G294" i="10"/>
  <c r="DJ294" i="10"/>
  <c r="DC294" i="10"/>
  <c r="BV294" i="10"/>
  <c r="J294" i="10"/>
  <c r="BJ294" i="10"/>
  <c r="BL294" i="10"/>
  <c r="BG294" i="10"/>
  <c r="BQ294" i="10"/>
  <c r="T294" i="10"/>
  <c r="AQ294" i="10"/>
  <c r="AP294" i="10"/>
  <c r="CI294" i="10"/>
  <c r="AK294" i="10"/>
  <c r="BR294" i="10"/>
  <c r="E294" i="10"/>
  <c r="Z294" i="10"/>
  <c r="CU294" i="10"/>
  <c r="BH294" i="10"/>
  <c r="BB294" i="10"/>
  <c r="R294" i="10"/>
  <c r="AL294" i="10"/>
  <c r="CT294" i="10"/>
  <c r="CS294" i="10"/>
  <c r="CQ294" i="10"/>
  <c r="AN294" i="10"/>
  <c r="CZ294" i="10"/>
  <c r="N294" i="10"/>
  <c r="DD294" i="10"/>
  <c r="CR294" i="10"/>
  <c r="BC294" i="10"/>
  <c r="AX294" i="10"/>
  <c r="BI294" i="10"/>
  <c r="CM294" i="10"/>
  <c r="AU294" i="10"/>
  <c r="AW294" i="10"/>
  <c r="CN294" i="10"/>
  <c r="CB294" i="10"/>
  <c r="AC294" i="10"/>
  <c r="DG294" i="10"/>
  <c r="CD294" i="10"/>
  <c r="BT294" i="10"/>
  <c r="DF294" i="10"/>
  <c r="AJ294" i="10"/>
  <c r="BM294" i="10"/>
  <c r="CL294" i="10"/>
  <c r="CH294" i="10"/>
  <c r="BW294" i="10"/>
  <c r="BZ294" i="10"/>
  <c r="Q294" i="10"/>
  <c r="AG294" i="10"/>
  <c r="H294" i="10"/>
  <c r="BU294" i="10"/>
  <c r="DK294" i="10"/>
  <c r="CW294" i="10"/>
  <c r="AY294" i="10"/>
  <c r="S294" i="10"/>
  <c r="V294" i="10"/>
  <c r="AI294" i="10"/>
  <c r="CX294" i="10"/>
  <c r="CC294" i="10"/>
  <c r="CA294" i="10"/>
  <c r="BF294" i="10"/>
  <c r="U294" i="10"/>
  <c r="CG294" i="10"/>
  <c r="BX294" i="10"/>
  <c r="AD294" i="10"/>
  <c r="W294" i="10"/>
  <c r="BA294" i="10"/>
  <c r="AA294" i="10"/>
  <c r="P294" i="10"/>
  <c r="I294" i="10"/>
  <c r="AR294" i="10"/>
  <c r="AH294" i="10"/>
  <c r="O294" i="10"/>
  <c r="CY294" i="10"/>
  <c r="KI7" i="1" l="1"/>
  <c r="B295" i="10"/>
  <c r="KI8" i="1"/>
  <c r="KJ6" i="1"/>
  <c r="KJ2" i="1"/>
  <c r="KJ10" i="1" s="1"/>
  <c r="KJ5" i="1" l="1"/>
  <c r="KJ9" i="1" s="1"/>
  <c r="CD295" i="10"/>
  <c r="DE295" i="10"/>
  <c r="CN295" i="10"/>
  <c r="AO295" i="10"/>
  <c r="BY295" i="10"/>
  <c r="AJ295" i="10"/>
  <c r="CM295" i="10"/>
  <c r="CK295" i="10"/>
  <c r="BS295" i="10"/>
  <c r="D295" i="10"/>
  <c r="CL295" i="10"/>
  <c r="Q295" i="10"/>
  <c r="DI295" i="10"/>
  <c r="CU295" i="10"/>
  <c r="BT295" i="10"/>
  <c r="BD295" i="10"/>
  <c r="BZ295" i="10"/>
  <c r="F295" i="10"/>
  <c r="S295" i="10"/>
  <c r="AX295" i="10"/>
  <c r="AA295" i="10"/>
  <c r="AG295" i="10"/>
  <c r="N295" i="10"/>
  <c r="CQ295" i="10"/>
  <c r="BF295" i="10"/>
  <c r="CR295" i="10"/>
  <c r="BU295" i="10"/>
  <c r="AC295" i="10"/>
  <c r="AU295" i="10"/>
  <c r="CA295" i="10"/>
  <c r="L295" i="10"/>
  <c r="BL295" i="10"/>
  <c r="E295" i="10"/>
  <c r="DJ295" i="10"/>
  <c r="BJ295" i="10"/>
  <c r="K295" i="10"/>
  <c r="BE295" i="10"/>
  <c r="BX295" i="10"/>
  <c r="M295" i="10"/>
  <c r="CE295" i="10"/>
  <c r="AV295" i="10"/>
  <c r="DC295" i="10"/>
  <c r="DK295" i="10"/>
  <c r="CV295" i="10"/>
  <c r="AY295" i="10"/>
  <c r="CC295" i="10"/>
  <c r="BB295" i="10"/>
  <c r="V295" i="10"/>
  <c r="BA295" i="10"/>
  <c r="X295" i="10"/>
  <c r="CY295" i="10"/>
  <c r="CP295" i="10"/>
  <c r="AZ295" i="10"/>
  <c r="BR295" i="10"/>
  <c r="BN295" i="10"/>
  <c r="CJ295" i="10"/>
  <c r="BG295" i="10"/>
  <c r="AK295" i="10"/>
  <c r="BM295" i="10"/>
  <c r="CG295" i="10"/>
  <c r="BQ295" i="10"/>
  <c r="DB295" i="10"/>
  <c r="DA295" i="10"/>
  <c r="DH295" i="10"/>
  <c r="AF295" i="10"/>
  <c r="C295" i="10"/>
  <c r="BO295" i="10"/>
  <c r="AB295" i="10"/>
  <c r="Z295" i="10"/>
  <c r="DF295" i="10"/>
  <c r="T295" i="10"/>
  <c r="BV295" i="10"/>
  <c r="BC295" i="10"/>
  <c r="CS295" i="10"/>
  <c r="CT295" i="10"/>
  <c r="AD295" i="10"/>
  <c r="Y295" i="10"/>
  <c r="G295" i="10"/>
  <c r="AQ295" i="10"/>
  <c r="CX295" i="10"/>
  <c r="AI295" i="10"/>
  <c r="CI295" i="10"/>
  <c r="AT295" i="10"/>
  <c r="BK295" i="10"/>
  <c r="CB295" i="10"/>
  <c r="AS295" i="10"/>
  <c r="W295" i="10"/>
  <c r="DD295" i="10"/>
  <c r="I295" i="10"/>
  <c r="P295" i="10"/>
  <c r="AM295" i="10"/>
  <c r="AR295" i="10"/>
  <c r="H295" i="10"/>
  <c r="J295" i="10"/>
  <c r="AH295" i="10"/>
  <c r="BH295" i="10"/>
  <c r="R295" i="10"/>
  <c r="O295" i="10"/>
  <c r="CW295" i="10"/>
  <c r="CO295" i="10"/>
  <c r="CZ295" i="10"/>
  <c r="AL295" i="10"/>
  <c r="AW295" i="10"/>
  <c r="CF295" i="10"/>
  <c r="AP295" i="10"/>
  <c r="DG295" i="10"/>
  <c r="U295" i="10"/>
  <c r="BP295" i="10"/>
  <c r="AE295" i="10"/>
  <c r="BW295" i="10"/>
  <c r="AN295" i="10"/>
  <c r="CH295" i="10"/>
  <c r="BI295" i="10"/>
  <c r="KJ7" i="1" l="1"/>
  <c r="B296" i="10" l="1"/>
  <c r="KJ8" i="1"/>
  <c r="KK6" i="1"/>
  <c r="KK2" i="1"/>
  <c r="KK10" i="1" s="1"/>
  <c r="KK5" i="1" l="1"/>
  <c r="KK9" i="1" s="1"/>
  <c r="DG296" i="10"/>
  <c r="T296" i="10"/>
  <c r="BD296" i="10"/>
  <c r="Q296" i="10"/>
  <c r="J296" i="10"/>
  <c r="CJ296" i="10"/>
  <c r="DI296" i="10"/>
  <c r="AS296" i="10"/>
  <c r="AH296" i="10"/>
  <c r="DA296" i="10"/>
  <c r="BK296" i="10"/>
  <c r="CE296" i="10"/>
  <c r="CF296" i="10"/>
  <c r="AX296" i="10"/>
  <c r="L296" i="10"/>
  <c r="AD296" i="10"/>
  <c r="BI296" i="10"/>
  <c r="AB296" i="10"/>
  <c r="AE296" i="10"/>
  <c r="DF296" i="10"/>
  <c r="AU296" i="10"/>
  <c r="H296" i="10"/>
  <c r="AI296" i="10"/>
  <c r="CW296" i="10"/>
  <c r="BG296" i="10"/>
  <c r="G296" i="10"/>
  <c r="CK296" i="10"/>
  <c r="CQ296" i="10"/>
  <c r="BW296" i="10"/>
  <c r="F296" i="10"/>
  <c r="AW296" i="10"/>
  <c r="BO296" i="10"/>
  <c r="BE296" i="10"/>
  <c r="BA296" i="10"/>
  <c r="CN296" i="10"/>
  <c r="AA296" i="10"/>
  <c r="C296" i="10"/>
  <c r="AR296" i="10"/>
  <c r="DB296" i="10"/>
  <c r="BM296" i="10"/>
  <c r="CM296" i="10"/>
  <c r="CO296" i="10"/>
  <c r="DE296" i="10"/>
  <c r="AJ296" i="10"/>
  <c r="P296" i="10"/>
  <c r="CX296" i="10"/>
  <c r="W296" i="10"/>
  <c r="D296" i="10"/>
  <c r="CG296" i="10"/>
  <c r="M296" i="10"/>
  <c r="Z296" i="10"/>
  <c r="N296" i="10"/>
  <c r="Y296" i="10"/>
  <c r="BX296" i="10"/>
  <c r="AV296" i="10"/>
  <c r="CT296" i="10"/>
  <c r="BP296" i="10"/>
  <c r="AZ296" i="10"/>
  <c r="CC296" i="10"/>
  <c r="BZ296" i="10"/>
  <c r="AM296" i="10"/>
  <c r="K296" i="10"/>
  <c r="BJ296" i="10"/>
  <c r="CY296" i="10"/>
  <c r="CB296" i="10"/>
  <c r="AC296" i="10"/>
  <c r="BS296" i="10"/>
  <c r="BY296" i="10"/>
  <c r="O296" i="10"/>
  <c r="DH296" i="10"/>
  <c r="BT296" i="10"/>
  <c r="E296" i="10"/>
  <c r="U296" i="10"/>
  <c r="CZ296" i="10"/>
  <c r="BB296" i="10"/>
  <c r="AL296" i="10"/>
  <c r="CR296" i="10"/>
  <c r="BQ296" i="10"/>
  <c r="CS296" i="10"/>
  <c r="CU296" i="10"/>
  <c r="CI296" i="10"/>
  <c r="AK296" i="10"/>
  <c r="CA296" i="10"/>
  <c r="AP296" i="10"/>
  <c r="BU296" i="10"/>
  <c r="X296" i="10"/>
  <c r="CD296" i="10"/>
  <c r="BF296" i="10"/>
  <c r="AG296" i="10"/>
  <c r="CH296" i="10"/>
  <c r="DD296" i="10"/>
  <c r="AT296" i="10"/>
  <c r="CL296" i="10"/>
  <c r="BL296" i="10"/>
  <c r="BC296" i="10"/>
  <c r="AN296" i="10"/>
  <c r="DC296" i="10"/>
  <c r="DK296" i="10"/>
  <c r="BV296" i="10"/>
  <c r="AF296" i="10"/>
  <c r="CP296" i="10"/>
  <c r="BN296" i="10"/>
  <c r="AY296" i="10"/>
  <c r="V296" i="10"/>
  <c r="DJ296" i="10"/>
  <c r="BR296" i="10"/>
  <c r="I296" i="10"/>
  <c r="CV296" i="10"/>
  <c r="BH296" i="10"/>
  <c r="AO296" i="10"/>
  <c r="R296" i="10"/>
  <c r="S296" i="10"/>
  <c r="AQ296" i="10"/>
  <c r="KK7" i="1" l="1"/>
  <c r="KL2" i="1" l="1"/>
  <c r="KL5" i="1" s="1"/>
  <c r="B297" i="10"/>
  <c r="KL6" i="1"/>
  <c r="KL10" i="1"/>
  <c r="KK8" i="1"/>
  <c r="KL7" i="1" l="1"/>
  <c r="KL9" i="1"/>
  <c r="KL8" i="1"/>
  <c r="B298" i="10"/>
  <c r="AT298" i="10" s="1"/>
  <c r="KM6" i="1"/>
  <c r="AY297" i="10"/>
  <c r="AD297" i="10"/>
  <c r="CH297" i="10"/>
  <c r="AT297" i="10"/>
  <c r="BU297" i="10"/>
  <c r="CX297" i="10"/>
  <c r="BB297" i="10"/>
  <c r="CD297" i="10"/>
  <c r="AI297" i="10"/>
  <c r="AE297" i="10"/>
  <c r="C297" i="10"/>
  <c r="H297" i="10"/>
  <c r="AS297" i="10"/>
  <c r="BV297" i="10"/>
  <c r="AH297" i="10"/>
  <c r="DK297" i="10"/>
  <c r="AJ297" i="10"/>
  <c r="CE297" i="10"/>
  <c r="AA297" i="10"/>
  <c r="BY297" i="10"/>
  <c r="BP297" i="10"/>
  <c r="DG297" i="10"/>
  <c r="CQ297" i="10"/>
  <c r="BQ297" i="10"/>
  <c r="CK297" i="10"/>
  <c r="DF297" i="10"/>
  <c r="DH297" i="10"/>
  <c r="CC297" i="10"/>
  <c r="BX297" i="10"/>
  <c r="CW297" i="10"/>
  <c r="BO297" i="10"/>
  <c r="AN297" i="10"/>
  <c r="CR297" i="10"/>
  <c r="CL297" i="10"/>
  <c r="AP297" i="10"/>
  <c r="AC297" i="10"/>
  <c r="CB297" i="10"/>
  <c r="DC297" i="10"/>
  <c r="G297" i="10"/>
  <c r="Y297" i="10"/>
  <c r="N297" i="10"/>
  <c r="AL297" i="10"/>
  <c r="BD297" i="10"/>
  <c r="V297" i="10"/>
  <c r="CA297" i="10"/>
  <c r="Q297" i="10"/>
  <c r="AK297" i="10"/>
  <c r="DJ297" i="10"/>
  <c r="DI297" i="10"/>
  <c r="AZ297" i="10"/>
  <c r="P297" i="10"/>
  <c r="BM297" i="10"/>
  <c r="CP297" i="10"/>
  <c r="CU297" i="10"/>
  <c r="BL297" i="10"/>
  <c r="CM297" i="10"/>
  <c r="BC297" i="10"/>
  <c r="BF297" i="10"/>
  <c r="CG297" i="10"/>
  <c r="CO297" i="10"/>
  <c r="O297" i="10"/>
  <c r="K297" i="10"/>
  <c r="CI297" i="10"/>
  <c r="AF297" i="10"/>
  <c r="CJ297" i="10"/>
  <c r="R297" i="10"/>
  <c r="Z297" i="10"/>
  <c r="AV297" i="10"/>
  <c r="AU297" i="10"/>
  <c r="CZ297" i="10"/>
  <c r="BR297" i="10"/>
  <c r="BK297" i="10"/>
  <c r="BZ297" i="10"/>
  <c r="CT297" i="10"/>
  <c r="BE297" i="10"/>
  <c r="BA297" i="10"/>
  <c r="CF297" i="10"/>
  <c r="I297" i="10"/>
  <c r="DE297" i="10"/>
  <c r="DD297" i="10"/>
  <c r="AG297" i="10"/>
  <c r="AW297" i="10"/>
  <c r="BG297" i="10"/>
  <c r="BH297" i="10"/>
  <c r="AB297" i="10"/>
  <c r="X297" i="10"/>
  <c r="U297" i="10"/>
  <c r="S297" i="10"/>
  <c r="W297" i="10"/>
  <c r="AQ297" i="10"/>
  <c r="AX297" i="10"/>
  <c r="BJ297" i="10"/>
  <c r="T297" i="10"/>
  <c r="D297" i="10"/>
  <c r="AO297" i="10"/>
  <c r="L297" i="10"/>
  <c r="AM297" i="10"/>
  <c r="F297" i="10"/>
  <c r="DA297" i="10"/>
  <c r="J297" i="10"/>
  <c r="E297" i="10"/>
  <c r="DB297" i="10"/>
  <c r="AR297" i="10"/>
  <c r="BT297" i="10"/>
  <c r="BN297" i="10"/>
  <c r="M297" i="10"/>
  <c r="CN297" i="10"/>
  <c r="BS297" i="10"/>
  <c r="CY297" i="10"/>
  <c r="CV297" i="10"/>
  <c r="CS297" i="10"/>
  <c r="BI297" i="10"/>
  <c r="BW297" i="10"/>
  <c r="AF298" i="10" l="1"/>
  <c r="CP298" i="10"/>
  <c r="AP298" i="10"/>
  <c r="AY298" i="10"/>
  <c r="M298" i="10"/>
  <c r="T298" i="10"/>
  <c r="DA298" i="10"/>
  <c r="CG298" i="10"/>
  <c r="CO298" i="10"/>
  <c r="CL298" i="10"/>
  <c r="BD298" i="10"/>
  <c r="BQ298" i="10"/>
  <c r="X298" i="10"/>
  <c r="BG298" i="10"/>
  <c r="AQ298" i="10"/>
  <c r="AH298" i="10"/>
  <c r="N298" i="10"/>
  <c r="W298" i="10"/>
  <c r="CV298" i="10"/>
  <c r="CK298" i="10"/>
  <c r="CR298" i="10"/>
  <c r="BM298" i="10"/>
  <c r="BZ298" i="10"/>
  <c r="L298" i="10"/>
  <c r="G298" i="10"/>
  <c r="DI298" i="10"/>
  <c r="AU298" i="10"/>
  <c r="CB298" i="10"/>
  <c r="BW298" i="10"/>
  <c r="C298" i="10"/>
  <c r="O298" i="10"/>
  <c r="CM298" i="10"/>
  <c r="BF298" i="10"/>
  <c r="DH298" i="10"/>
  <c r="Q298" i="10"/>
  <c r="E298" i="10"/>
  <c r="AN298" i="10"/>
  <c r="BP298" i="10"/>
  <c r="V298" i="10"/>
  <c r="Y298" i="10"/>
  <c r="H298" i="10"/>
  <c r="CA298" i="10"/>
  <c r="AM298" i="10"/>
  <c r="CC298" i="10"/>
  <c r="BL298" i="10"/>
  <c r="DD298" i="10"/>
  <c r="BI298" i="10"/>
  <c r="U298" i="10"/>
  <c r="CJ298" i="10"/>
  <c r="AL298" i="10"/>
  <c r="CH298" i="10"/>
  <c r="BY298" i="10"/>
  <c r="BX298" i="10"/>
  <c r="BB298" i="10"/>
  <c r="BT298" i="10"/>
  <c r="BA298" i="10"/>
  <c r="BU298" i="10"/>
  <c r="DJ298" i="10"/>
  <c r="CZ298" i="10"/>
  <c r="AR298" i="10"/>
  <c r="DG298" i="10"/>
  <c r="AC298" i="10"/>
  <c r="AE298" i="10"/>
  <c r="AD298" i="10"/>
  <c r="BK298" i="10"/>
  <c r="CE298" i="10"/>
  <c r="BO298" i="10"/>
  <c r="BH298" i="10"/>
  <c r="J298" i="10"/>
  <c r="DE298" i="10"/>
  <c r="Z298" i="10"/>
  <c r="BV298" i="10"/>
  <c r="CU298" i="10"/>
  <c r="BE298" i="10"/>
  <c r="BC298" i="10"/>
  <c r="K298" i="10"/>
  <c r="AZ298" i="10"/>
  <c r="AO298" i="10"/>
  <c r="AS298" i="10"/>
  <c r="F298" i="10"/>
  <c r="BN298" i="10"/>
  <c r="R298" i="10"/>
  <c r="P298" i="10"/>
  <c r="CQ298" i="10"/>
  <c r="DF298" i="10"/>
  <c r="BJ298" i="10"/>
  <c r="AV298" i="10"/>
  <c r="CD298" i="10"/>
  <c r="AG298" i="10"/>
  <c r="AJ298" i="10"/>
  <c r="BS298" i="10"/>
  <c r="AK298" i="10"/>
  <c r="CW298" i="10"/>
  <c r="CI298" i="10"/>
  <c r="DB298" i="10"/>
  <c r="CT298" i="10"/>
  <c r="DK298" i="10"/>
  <c r="D298" i="10"/>
  <c r="AX298" i="10"/>
  <c r="AI298" i="10"/>
  <c r="CN298" i="10"/>
  <c r="AW298" i="10"/>
  <c r="BR298" i="10"/>
  <c r="CY298" i="10"/>
  <c r="CS298" i="10"/>
  <c r="AA298" i="10"/>
  <c r="CX298" i="10"/>
  <c r="I298" i="10"/>
  <c r="S298" i="10"/>
  <c r="DC298" i="10"/>
  <c r="CF298" i="10"/>
  <c r="AB298" i="10"/>
  <c r="KM2" i="1"/>
  <c r="KM10" i="1" s="1"/>
  <c r="KM5" i="1" l="1"/>
  <c r="KM9" i="1" s="1"/>
  <c r="KM7" i="1" l="1"/>
  <c r="B299" i="10" l="1"/>
  <c r="KM8" i="1"/>
  <c r="KN6" i="1"/>
  <c r="KN2" i="1"/>
  <c r="KN10" i="1" s="1"/>
  <c r="KN5" i="1" l="1"/>
  <c r="KN9" i="1" s="1"/>
  <c r="S299" i="10"/>
  <c r="CI299" i="10"/>
  <c r="Q299" i="10"/>
  <c r="CA299" i="10"/>
  <c r="BV299" i="10"/>
  <c r="BZ299" i="10"/>
  <c r="Y299" i="10"/>
  <c r="BX299" i="10"/>
  <c r="AS299" i="10"/>
  <c r="AN299" i="10"/>
  <c r="AV299" i="10"/>
  <c r="N299" i="10"/>
  <c r="CX299" i="10"/>
  <c r="BR299" i="10"/>
  <c r="DB299" i="10"/>
  <c r="BL299" i="10"/>
  <c r="CZ299" i="10"/>
  <c r="BC299" i="10"/>
  <c r="AT299" i="10"/>
  <c r="J299" i="10"/>
  <c r="BB299" i="10"/>
  <c r="BO299" i="10"/>
  <c r="BD299" i="10"/>
  <c r="DI299" i="10"/>
  <c r="AY299" i="10"/>
  <c r="AP299" i="10"/>
  <c r="K299" i="10"/>
  <c r="CB299" i="10"/>
  <c r="DF299" i="10"/>
  <c r="DG299" i="10"/>
  <c r="CD299" i="10"/>
  <c r="CK299" i="10"/>
  <c r="CF299" i="10"/>
  <c r="DE299" i="10"/>
  <c r="X299" i="10"/>
  <c r="I299" i="10"/>
  <c r="AJ299" i="10"/>
  <c r="AD299" i="10"/>
  <c r="R299" i="10"/>
  <c r="CE299" i="10"/>
  <c r="H299" i="10"/>
  <c r="AM299" i="10"/>
  <c r="C299" i="10"/>
  <c r="M299" i="10"/>
  <c r="BF299" i="10"/>
  <c r="G299" i="10"/>
  <c r="BN299" i="10"/>
  <c r="BP299" i="10"/>
  <c r="O299" i="10"/>
  <c r="CJ299" i="10"/>
  <c r="CV299" i="10"/>
  <c r="U299" i="10"/>
  <c r="BT299" i="10"/>
  <c r="AQ299" i="10"/>
  <c r="CR299" i="10"/>
  <c r="AI299" i="10"/>
  <c r="CT299" i="10"/>
  <c r="BW299" i="10"/>
  <c r="BY299" i="10"/>
  <c r="CC299" i="10"/>
  <c r="BQ299" i="10"/>
  <c r="DC299" i="10"/>
  <c r="AZ299" i="10"/>
  <c r="AR299" i="10"/>
  <c r="CQ299" i="10"/>
  <c r="P299" i="10"/>
  <c r="DJ299" i="10"/>
  <c r="D299" i="10"/>
  <c r="L299" i="10"/>
  <c r="BJ299" i="10"/>
  <c r="BH299" i="10"/>
  <c r="AL299" i="10"/>
  <c r="DD299" i="10"/>
  <c r="E299" i="10"/>
  <c r="DK299" i="10"/>
  <c r="V299" i="10"/>
  <c r="BK299" i="10"/>
  <c r="F299" i="10"/>
  <c r="AX299" i="10"/>
  <c r="AO299" i="10"/>
  <c r="CU299" i="10"/>
  <c r="BE299" i="10"/>
  <c r="CL299" i="10"/>
  <c r="CW299" i="10"/>
  <c r="DA299" i="10"/>
  <c r="CN299" i="10"/>
  <c r="BS299" i="10"/>
  <c r="AK299" i="10"/>
  <c r="CP299" i="10"/>
  <c r="AB299" i="10"/>
  <c r="BA299" i="10"/>
  <c r="BG299" i="10"/>
  <c r="AW299" i="10"/>
  <c r="BI299" i="10"/>
  <c r="DH299" i="10"/>
  <c r="CY299" i="10"/>
  <c r="Z299" i="10"/>
  <c r="AA299" i="10"/>
  <c r="AF299" i="10"/>
  <c r="W299" i="10"/>
  <c r="AU299" i="10"/>
  <c r="AE299" i="10"/>
  <c r="BU299" i="10"/>
  <c r="CO299" i="10"/>
  <c r="AG299" i="10"/>
  <c r="CG299" i="10"/>
  <c r="T299" i="10"/>
  <c r="AH299" i="10"/>
  <c r="AC299" i="10"/>
  <c r="BM299" i="10"/>
  <c r="CM299" i="10"/>
  <c r="CS299" i="10"/>
  <c r="CH299" i="10"/>
  <c r="KN7" i="1" l="1"/>
  <c r="KO2" i="1" l="1"/>
  <c r="KO5" i="1" s="1"/>
  <c r="KO9" i="1" s="1"/>
  <c r="B300" i="10"/>
  <c r="KO10" i="1"/>
  <c r="KN8" i="1"/>
  <c r="KO6" i="1"/>
  <c r="KO7" i="1" l="1"/>
  <c r="CS300" i="10"/>
  <c r="BF300" i="10"/>
  <c r="BM300" i="10"/>
  <c r="AI300" i="10"/>
  <c r="BS300" i="10"/>
  <c r="DC300" i="10"/>
  <c r="E300" i="10"/>
  <c r="M300" i="10"/>
  <c r="BZ300" i="10"/>
  <c r="CE300" i="10"/>
  <c r="BD300" i="10"/>
  <c r="K300" i="10"/>
  <c r="AP300" i="10"/>
  <c r="BT300" i="10"/>
  <c r="CP300" i="10"/>
  <c r="DI300" i="10"/>
  <c r="G300" i="10"/>
  <c r="AT300" i="10"/>
  <c r="AO300" i="10"/>
  <c r="CI300" i="10"/>
  <c r="BW300" i="10"/>
  <c r="CV300" i="10"/>
  <c r="BA300" i="10"/>
  <c r="DF300" i="10"/>
  <c r="BR300" i="10"/>
  <c r="AU300" i="10"/>
  <c r="U300" i="10"/>
  <c r="CB300" i="10"/>
  <c r="V300" i="10"/>
  <c r="BI300" i="10"/>
  <c r="BE300" i="10"/>
  <c r="DH300" i="10"/>
  <c r="BU300" i="10"/>
  <c r="AQ300" i="10"/>
  <c r="DJ300" i="10"/>
  <c r="DD300" i="10"/>
  <c r="BV300" i="10"/>
  <c r="R300" i="10"/>
  <c r="DE300" i="10"/>
  <c r="CL300" i="10"/>
  <c r="D300" i="10"/>
  <c r="DA300" i="10"/>
  <c r="BJ300" i="10"/>
  <c r="AC300" i="10"/>
  <c r="CA300" i="10"/>
  <c r="AN300" i="10"/>
  <c r="AS300" i="10"/>
  <c r="CT300" i="10"/>
  <c r="H300" i="10"/>
  <c r="BN300" i="10"/>
  <c r="C300" i="10"/>
  <c r="DB300" i="10"/>
  <c r="AV300" i="10"/>
  <c r="AH300" i="10"/>
  <c r="CK300" i="10"/>
  <c r="AR300" i="10"/>
  <c r="CY300" i="10"/>
  <c r="O300" i="10"/>
  <c r="P300" i="10"/>
  <c r="AW300" i="10"/>
  <c r="S300" i="10"/>
  <c r="CF300" i="10"/>
  <c r="BH300" i="10"/>
  <c r="W300" i="10"/>
  <c r="CQ300" i="10"/>
  <c r="T300" i="10"/>
  <c r="CN300" i="10"/>
  <c r="AD300" i="10"/>
  <c r="CG300" i="10"/>
  <c r="Q300" i="10"/>
  <c r="AA300" i="10"/>
  <c r="CR300" i="10"/>
  <c r="X300" i="10"/>
  <c r="BB300" i="10"/>
  <c r="F300" i="10"/>
  <c r="CJ300" i="10"/>
  <c r="AL300" i="10"/>
  <c r="CC300" i="10"/>
  <c r="Z300" i="10"/>
  <c r="AM300" i="10"/>
  <c r="CZ300" i="10"/>
  <c r="BK300" i="10"/>
  <c r="AB300" i="10"/>
  <c r="DG300" i="10"/>
  <c r="AJ300" i="10"/>
  <c r="AF300" i="10"/>
  <c r="J300" i="10"/>
  <c r="DK300" i="10"/>
  <c r="AZ300" i="10"/>
  <c r="CU300" i="10"/>
  <c r="AE300" i="10"/>
  <c r="CW300" i="10"/>
  <c r="I300" i="10"/>
  <c r="BC300" i="10"/>
  <c r="BX300" i="10"/>
  <c r="BL300" i="10"/>
  <c r="CD300" i="10"/>
  <c r="CO300" i="10"/>
  <c r="Y300" i="10"/>
  <c r="CM300" i="10"/>
  <c r="BO300" i="10"/>
  <c r="CX300" i="10"/>
  <c r="AG300" i="10"/>
  <c r="BP300" i="10"/>
  <c r="L300" i="10"/>
  <c r="AX300" i="10"/>
  <c r="AK300" i="10"/>
  <c r="BG300" i="10"/>
  <c r="BY300" i="10"/>
  <c r="AY300" i="10"/>
  <c r="BQ300" i="10"/>
  <c r="N300" i="10"/>
  <c r="CH300" i="10"/>
  <c r="B301" i="10" l="1"/>
  <c r="KO8" i="1"/>
  <c r="KP6" i="1"/>
  <c r="KP2" i="1"/>
  <c r="KP10" i="1" s="1"/>
  <c r="KP5" i="1" l="1"/>
  <c r="KP9" i="1" s="1"/>
  <c r="CI301" i="10"/>
  <c r="CB301" i="10"/>
  <c r="Q301" i="10"/>
  <c r="U301" i="10"/>
  <c r="BM301" i="10"/>
  <c r="BI301" i="10"/>
  <c r="BV301" i="10"/>
  <c r="CV301" i="10"/>
  <c r="AZ301" i="10"/>
  <c r="CA301" i="10"/>
  <c r="L301" i="10"/>
  <c r="BF301" i="10"/>
  <c r="CU301" i="10"/>
  <c r="AL301" i="10"/>
  <c r="BS301" i="10"/>
  <c r="BX301" i="10"/>
  <c r="I301" i="10"/>
  <c r="DI301" i="10"/>
  <c r="AX301" i="10"/>
  <c r="AY301" i="10"/>
  <c r="DD301" i="10"/>
  <c r="BY301" i="10"/>
  <c r="AE301" i="10"/>
  <c r="AV301" i="10"/>
  <c r="BH301" i="10"/>
  <c r="CH301" i="10"/>
  <c r="CY301" i="10"/>
  <c r="AT301" i="10"/>
  <c r="O301" i="10"/>
  <c r="AK301" i="10"/>
  <c r="T301" i="10"/>
  <c r="AB301" i="10"/>
  <c r="F301" i="10"/>
  <c r="CO301" i="10"/>
  <c r="AM301" i="10"/>
  <c r="Z301" i="10"/>
  <c r="BB301" i="10"/>
  <c r="BU301" i="10"/>
  <c r="P301" i="10"/>
  <c r="S301" i="10"/>
  <c r="DC301" i="10"/>
  <c r="BQ301" i="10"/>
  <c r="BL301" i="10"/>
  <c r="DJ301" i="10"/>
  <c r="BZ301" i="10"/>
  <c r="BJ301" i="10"/>
  <c r="CR301" i="10"/>
  <c r="BR301" i="10"/>
  <c r="C301" i="10"/>
  <c r="BN301" i="10"/>
  <c r="Y301" i="10"/>
  <c r="DA301" i="10"/>
  <c r="AJ301" i="10"/>
  <c r="CJ301" i="10"/>
  <c r="AA301" i="10"/>
  <c r="DG301" i="10"/>
  <c r="D301" i="10"/>
  <c r="CL301" i="10"/>
  <c r="AF301" i="10"/>
  <c r="CG301" i="10"/>
  <c r="AO301" i="10"/>
  <c r="CT301" i="10"/>
  <c r="BO301" i="10"/>
  <c r="DH301" i="10"/>
  <c r="AN301" i="10"/>
  <c r="CF301" i="10"/>
  <c r="G301" i="10"/>
  <c r="AS301" i="10"/>
  <c r="CK301" i="10"/>
  <c r="DE301" i="10"/>
  <c r="AU301" i="10"/>
  <c r="AQ301" i="10"/>
  <c r="W301" i="10"/>
  <c r="AI301" i="10"/>
  <c r="BK301" i="10"/>
  <c r="M301" i="10"/>
  <c r="CM301" i="10"/>
  <c r="H301" i="10"/>
  <c r="CC301" i="10"/>
  <c r="CS301" i="10"/>
  <c r="R301" i="10"/>
  <c r="AC301" i="10"/>
  <c r="BW301" i="10"/>
  <c r="AR301" i="10"/>
  <c r="CZ301" i="10"/>
  <c r="AD301" i="10"/>
  <c r="BT301" i="10"/>
  <c r="CX301" i="10"/>
  <c r="J301" i="10"/>
  <c r="E301" i="10"/>
  <c r="AW301" i="10"/>
  <c r="BG301" i="10"/>
  <c r="AG301" i="10"/>
  <c r="BP301" i="10"/>
  <c r="V301" i="10"/>
  <c r="BE301" i="10"/>
  <c r="CE301" i="10"/>
  <c r="DB301" i="10"/>
  <c r="BC301" i="10"/>
  <c r="DK301" i="10"/>
  <c r="CN301" i="10"/>
  <c r="CW301" i="10"/>
  <c r="AH301" i="10"/>
  <c r="X301" i="10"/>
  <c r="BA301" i="10"/>
  <c r="K301" i="10"/>
  <c r="BD301" i="10"/>
  <c r="CD301" i="10"/>
  <c r="AP301" i="10"/>
  <c r="CP301" i="10"/>
  <c r="CQ301" i="10"/>
  <c r="N301" i="10"/>
  <c r="DF301" i="10"/>
  <c r="KP7" i="1" l="1"/>
  <c r="KQ6" i="1" l="1"/>
  <c r="B302" i="10"/>
  <c r="KP8" i="1"/>
  <c r="KQ2" i="1"/>
  <c r="KQ10" i="1" s="1"/>
  <c r="KQ5" i="1" l="1"/>
  <c r="KQ9" i="1" s="1"/>
  <c r="Q302" i="10"/>
  <c r="CB302" i="10"/>
  <c r="AP302" i="10"/>
  <c r="AT302" i="10"/>
  <c r="DE302" i="10"/>
  <c r="BE302" i="10"/>
  <c r="CN302" i="10"/>
  <c r="CL302" i="10"/>
  <c r="CI302" i="10"/>
  <c r="AC302" i="10"/>
  <c r="BV302" i="10"/>
  <c r="AR302" i="10"/>
  <c r="P302" i="10"/>
  <c r="CP302" i="10"/>
  <c r="AM302" i="10"/>
  <c r="CJ302" i="10"/>
  <c r="AS302" i="10"/>
  <c r="BA302" i="10"/>
  <c r="BT302" i="10"/>
  <c r="CK302" i="10"/>
  <c r="BI302" i="10"/>
  <c r="BS302" i="10"/>
  <c r="CR302" i="10"/>
  <c r="CC302" i="10"/>
  <c r="AD302" i="10"/>
  <c r="BG302" i="10"/>
  <c r="D302" i="10"/>
  <c r="BC302" i="10"/>
  <c r="BP302" i="10"/>
  <c r="CD302" i="10"/>
  <c r="BO302" i="10"/>
  <c r="AF302" i="10"/>
  <c r="BK302" i="10"/>
  <c r="CH302" i="10"/>
  <c r="Y302" i="10"/>
  <c r="AQ302" i="10"/>
  <c r="DD302" i="10"/>
  <c r="I302" i="10"/>
  <c r="F302" i="10"/>
  <c r="CV302" i="10"/>
  <c r="DI302" i="10"/>
  <c r="K302" i="10"/>
  <c r="CQ302" i="10"/>
  <c r="O302" i="10"/>
  <c r="BY302" i="10"/>
  <c r="BZ302" i="10"/>
  <c r="AY302" i="10"/>
  <c r="AO302" i="10"/>
  <c r="CT302" i="10"/>
  <c r="AG302" i="10"/>
  <c r="M302" i="10"/>
  <c r="AI302" i="10"/>
  <c r="W302" i="10"/>
  <c r="BW302" i="10"/>
  <c r="AA302" i="10"/>
  <c r="BM302" i="10"/>
  <c r="AJ302" i="10"/>
  <c r="BQ302" i="10"/>
  <c r="BU302" i="10"/>
  <c r="CU302" i="10"/>
  <c r="CM302" i="10"/>
  <c r="AH302" i="10"/>
  <c r="CG302" i="10"/>
  <c r="CO302" i="10"/>
  <c r="BB302" i="10"/>
  <c r="DF302" i="10"/>
  <c r="S302" i="10"/>
  <c r="N302" i="10"/>
  <c r="DH302" i="10"/>
  <c r="H302" i="10"/>
  <c r="Z302" i="10"/>
  <c r="AW302" i="10"/>
  <c r="L302" i="10"/>
  <c r="DC302" i="10"/>
  <c r="T302" i="10"/>
  <c r="CW302" i="10"/>
  <c r="DG302" i="10"/>
  <c r="CF302" i="10"/>
  <c r="V302" i="10"/>
  <c r="AX302" i="10"/>
  <c r="AN302" i="10"/>
  <c r="J302" i="10"/>
  <c r="AE302" i="10"/>
  <c r="DK302" i="10"/>
  <c r="CS302" i="10"/>
  <c r="BF302" i="10"/>
  <c r="BN302" i="10"/>
  <c r="DB302" i="10"/>
  <c r="BD302" i="10"/>
  <c r="CE302" i="10"/>
  <c r="BH302" i="10"/>
  <c r="BX302" i="10"/>
  <c r="G302" i="10"/>
  <c r="R302" i="10"/>
  <c r="CY302" i="10"/>
  <c r="AV302" i="10"/>
  <c r="BR302" i="10"/>
  <c r="CX302" i="10"/>
  <c r="AU302" i="10"/>
  <c r="AL302" i="10"/>
  <c r="E302" i="10"/>
  <c r="AZ302" i="10"/>
  <c r="DJ302" i="10"/>
  <c r="BL302" i="10"/>
  <c r="X302" i="10"/>
  <c r="BJ302" i="10"/>
  <c r="CA302" i="10"/>
  <c r="AK302" i="10"/>
  <c r="CZ302" i="10"/>
  <c r="AB302" i="10"/>
  <c r="U302" i="10"/>
  <c r="C302" i="10"/>
  <c r="DA302" i="10"/>
  <c r="KQ7" i="1" l="1"/>
  <c r="KR6" i="1" l="1"/>
  <c r="B303" i="10"/>
  <c r="KQ8" i="1"/>
  <c r="KR2" i="1"/>
  <c r="KR10" i="1" s="1"/>
  <c r="KR5" i="1" l="1"/>
  <c r="CD303" i="10"/>
  <c r="O303" i="10"/>
  <c r="DF303" i="10"/>
  <c r="AJ303" i="10"/>
  <c r="BL303" i="10"/>
  <c r="CM303" i="10"/>
  <c r="AP303" i="10"/>
  <c r="CY303" i="10"/>
  <c r="BN303" i="10"/>
  <c r="AG303" i="10"/>
  <c r="Z303" i="10"/>
  <c r="CK303" i="10"/>
  <c r="BJ303" i="10"/>
  <c r="CP303" i="10"/>
  <c r="CJ303" i="10"/>
  <c r="AB303" i="10"/>
  <c r="N303" i="10"/>
  <c r="G303" i="10"/>
  <c r="CQ303" i="10"/>
  <c r="DG303" i="10"/>
  <c r="CF303" i="10"/>
  <c r="F303" i="10"/>
  <c r="CN303" i="10"/>
  <c r="BH303" i="10"/>
  <c r="BP303" i="10"/>
  <c r="X303" i="10"/>
  <c r="BM303" i="10"/>
  <c r="BE303" i="10"/>
  <c r="CR303" i="10"/>
  <c r="AM303" i="10"/>
  <c r="AY303" i="10"/>
  <c r="DI303" i="10"/>
  <c r="V303" i="10"/>
  <c r="CC303" i="10"/>
  <c r="AU303" i="10"/>
  <c r="AH303" i="10"/>
  <c r="P303" i="10"/>
  <c r="BV303" i="10"/>
  <c r="AT303" i="10"/>
  <c r="CL303" i="10"/>
  <c r="BS303" i="10"/>
  <c r="I303" i="10"/>
  <c r="AF303" i="10"/>
  <c r="DK303" i="10"/>
  <c r="AA303" i="10"/>
  <c r="CZ303" i="10"/>
  <c r="AX303" i="10"/>
  <c r="C303" i="10"/>
  <c r="CO303" i="10"/>
  <c r="AO303" i="10"/>
  <c r="DA303" i="10"/>
  <c r="K303" i="10"/>
  <c r="AD303" i="10"/>
  <c r="E303" i="10"/>
  <c r="BT303" i="10"/>
  <c r="Y303" i="10"/>
  <c r="J303" i="10"/>
  <c r="CG303" i="10"/>
  <c r="CI303" i="10"/>
  <c r="CU303" i="10"/>
  <c r="DH303" i="10"/>
  <c r="AZ303" i="10"/>
  <c r="W303" i="10"/>
  <c r="BI303" i="10"/>
  <c r="CA303" i="10"/>
  <c r="BY303" i="10"/>
  <c r="L303" i="10"/>
  <c r="BG303" i="10"/>
  <c r="S303" i="10"/>
  <c r="AL303" i="10"/>
  <c r="AC303" i="10"/>
  <c r="U303" i="10"/>
  <c r="BO303" i="10"/>
  <c r="CH303" i="10"/>
  <c r="BQ303" i="10"/>
  <c r="BW303" i="10"/>
  <c r="CW303" i="10"/>
  <c r="Q303" i="10"/>
  <c r="CT303" i="10"/>
  <c r="DD303" i="10"/>
  <c r="AR303" i="10"/>
  <c r="BU303" i="10"/>
  <c r="BR303" i="10"/>
  <c r="D303" i="10"/>
  <c r="DC303" i="10"/>
  <c r="AV303" i="10"/>
  <c r="R303" i="10"/>
  <c r="BC303" i="10"/>
  <c r="H303" i="10"/>
  <c r="BK303" i="10"/>
  <c r="BB303" i="10"/>
  <c r="BD303" i="10"/>
  <c r="BF303" i="10"/>
  <c r="CS303" i="10"/>
  <c r="BX303" i="10"/>
  <c r="AS303" i="10"/>
  <c r="T303" i="10"/>
  <c r="AW303" i="10"/>
  <c r="AQ303" i="10"/>
  <c r="AK303" i="10"/>
  <c r="M303" i="10"/>
  <c r="CX303" i="10"/>
  <c r="CB303" i="10"/>
  <c r="AI303" i="10"/>
  <c r="DJ303" i="10"/>
  <c r="CE303" i="10"/>
  <c r="DB303" i="10"/>
  <c r="BZ303" i="10"/>
  <c r="BA303" i="10"/>
  <c r="CV303" i="10"/>
  <c r="AE303" i="10"/>
  <c r="AN303" i="10"/>
  <c r="DE303" i="10"/>
  <c r="KR7" i="1" l="1"/>
  <c r="KR9" i="1"/>
  <c r="KS2" i="1" s="1"/>
  <c r="KS10" i="1" l="1"/>
  <c r="B304" i="10"/>
  <c r="KS6" i="1"/>
  <c r="KR8" i="1"/>
  <c r="KS5" i="1"/>
  <c r="KS9" i="1" s="1"/>
  <c r="BD304" i="10" l="1"/>
  <c r="AM304" i="10"/>
  <c r="G304" i="10"/>
  <c r="AT304" i="10"/>
  <c r="DK304" i="10"/>
  <c r="L304" i="10"/>
  <c r="AW304" i="10"/>
  <c r="AG304" i="10"/>
  <c r="AB304" i="10"/>
  <c r="BT304" i="10"/>
  <c r="DA304" i="10"/>
  <c r="BX304" i="10"/>
  <c r="BW304" i="10"/>
  <c r="BQ304" i="10"/>
  <c r="CD304" i="10"/>
  <c r="BK304" i="10"/>
  <c r="AZ304" i="10"/>
  <c r="CQ304" i="10"/>
  <c r="AX304" i="10"/>
  <c r="BH304" i="10"/>
  <c r="DC304" i="10"/>
  <c r="AK304" i="10"/>
  <c r="CW304" i="10"/>
  <c r="BA304" i="10"/>
  <c r="M304" i="10"/>
  <c r="CA304" i="10"/>
  <c r="BO304" i="10"/>
  <c r="DJ304" i="10"/>
  <c r="BM304" i="10"/>
  <c r="AH304" i="10"/>
  <c r="BN304" i="10"/>
  <c r="AC304" i="10"/>
  <c r="CJ304" i="10"/>
  <c r="H304" i="10"/>
  <c r="BU304" i="10"/>
  <c r="DF304" i="10"/>
  <c r="S304" i="10"/>
  <c r="J304" i="10"/>
  <c r="CV304" i="10"/>
  <c r="AU304" i="10"/>
  <c r="AL304" i="10"/>
  <c r="AQ304" i="10"/>
  <c r="CX304" i="10"/>
  <c r="DG304" i="10"/>
  <c r="O304" i="10"/>
  <c r="AJ304" i="10"/>
  <c r="DH304" i="10"/>
  <c r="AI304" i="10"/>
  <c r="F304" i="10"/>
  <c r="C304" i="10"/>
  <c r="AE304" i="10"/>
  <c r="N304" i="10"/>
  <c r="T304" i="10"/>
  <c r="Y304" i="10"/>
  <c r="CR304" i="10"/>
  <c r="CP304" i="10"/>
  <c r="V304" i="10"/>
  <c r="AR304" i="10"/>
  <c r="CN304" i="10"/>
  <c r="CI304" i="10"/>
  <c r="BS304" i="10"/>
  <c r="DB304" i="10"/>
  <c r="CG304" i="10"/>
  <c r="CC304" i="10"/>
  <c r="BE304" i="10"/>
  <c r="AA304" i="10"/>
  <c r="AD304" i="10"/>
  <c r="DI304" i="10"/>
  <c r="BZ304" i="10"/>
  <c r="Q304" i="10"/>
  <c r="CM304" i="10"/>
  <c r="AS304" i="10"/>
  <c r="E304" i="10"/>
  <c r="CS304" i="10"/>
  <c r="BJ304" i="10"/>
  <c r="BR304" i="10"/>
  <c r="W304" i="10"/>
  <c r="BV304" i="10"/>
  <c r="BI304" i="10"/>
  <c r="R304" i="10"/>
  <c r="CY304" i="10"/>
  <c r="CZ304" i="10"/>
  <c r="CB304" i="10"/>
  <c r="AN304" i="10"/>
  <c r="Z304" i="10"/>
  <c r="I304" i="10"/>
  <c r="AP304" i="10"/>
  <c r="CE304" i="10"/>
  <c r="BC304" i="10"/>
  <c r="CO304" i="10"/>
  <c r="AO304" i="10"/>
  <c r="BB304" i="10"/>
  <c r="CT304" i="10"/>
  <c r="BF304" i="10"/>
  <c r="DE304" i="10"/>
  <c r="DD304" i="10"/>
  <c r="BY304" i="10"/>
  <c r="AV304" i="10"/>
  <c r="CL304" i="10"/>
  <c r="P304" i="10"/>
  <c r="U304" i="10"/>
  <c r="CH304" i="10"/>
  <c r="CF304" i="10"/>
  <c r="BG304" i="10"/>
  <c r="X304" i="10"/>
  <c r="D304" i="10"/>
  <c r="BP304" i="10"/>
  <c r="K304" i="10"/>
  <c r="BL304" i="10"/>
  <c r="CU304" i="10"/>
  <c r="AF304" i="10"/>
  <c r="AY304" i="10"/>
  <c r="CK304" i="10"/>
  <c r="KS7" i="1"/>
  <c r="KT2" i="1" l="1"/>
  <c r="KT5" i="1" s="1"/>
  <c r="KT9" i="1" s="1"/>
  <c r="B305" i="10"/>
  <c r="KS8" i="1"/>
  <c r="KT10" i="1"/>
  <c r="KT6" i="1"/>
  <c r="KT7" i="1" l="1"/>
  <c r="J305" i="10"/>
  <c r="BB305" i="10"/>
  <c r="BE305" i="10"/>
  <c r="Q305" i="10"/>
  <c r="R305" i="10"/>
  <c r="DK305" i="10"/>
  <c r="L305" i="10"/>
  <c r="AY305" i="10"/>
  <c r="BM305" i="10"/>
  <c r="AG305" i="10"/>
  <c r="BL305" i="10"/>
  <c r="AQ305" i="10"/>
  <c r="CD305" i="10"/>
  <c r="CX305" i="10"/>
  <c r="AW305" i="10"/>
  <c r="O305" i="10"/>
  <c r="W305" i="10"/>
  <c r="C305" i="10"/>
  <c r="AL305" i="10"/>
  <c r="CT305" i="10"/>
  <c r="M305" i="10"/>
  <c r="H305" i="10"/>
  <c r="AX305" i="10"/>
  <c r="BW305" i="10"/>
  <c r="BY305" i="10"/>
  <c r="BC305" i="10"/>
  <c r="K305" i="10"/>
  <c r="BN305" i="10"/>
  <c r="CR305" i="10"/>
  <c r="P305" i="10"/>
  <c r="AA305" i="10"/>
  <c r="AB305" i="10"/>
  <c r="BJ305" i="10"/>
  <c r="DI305" i="10"/>
  <c r="CH305" i="10"/>
  <c r="BT305" i="10"/>
  <c r="BG305" i="10"/>
  <c r="AV305" i="10"/>
  <c r="BS305" i="10"/>
  <c r="DC305" i="10"/>
  <c r="BF305" i="10"/>
  <c r="BU305" i="10"/>
  <c r="DG305" i="10"/>
  <c r="CV305" i="10"/>
  <c r="AS305" i="10"/>
  <c r="CZ305" i="10"/>
  <c r="N305" i="10"/>
  <c r="BQ305" i="10"/>
  <c r="CM305" i="10"/>
  <c r="Y305" i="10"/>
  <c r="CF305" i="10"/>
  <c r="BV305" i="10"/>
  <c r="DB305" i="10"/>
  <c r="CA305" i="10"/>
  <c r="BH305" i="10"/>
  <c r="AD305" i="10"/>
  <c r="BO305" i="10"/>
  <c r="CP305" i="10"/>
  <c r="DE305" i="10"/>
  <c r="AF305" i="10"/>
  <c r="CY305" i="10"/>
  <c r="F305" i="10"/>
  <c r="E305" i="10"/>
  <c r="Z305" i="10"/>
  <c r="CS305" i="10"/>
  <c r="BP305" i="10"/>
  <c r="CE305" i="10"/>
  <c r="DD305" i="10"/>
  <c r="AR305" i="10"/>
  <c r="AK305" i="10"/>
  <c r="U305" i="10"/>
  <c r="CL305" i="10"/>
  <c r="G305" i="10"/>
  <c r="AU305" i="10"/>
  <c r="BZ305" i="10"/>
  <c r="AT305" i="10"/>
  <c r="S305" i="10"/>
  <c r="D305" i="10"/>
  <c r="AH305" i="10"/>
  <c r="DJ305" i="10"/>
  <c r="CB305" i="10"/>
  <c r="AP305" i="10"/>
  <c r="AE305" i="10"/>
  <c r="CJ305" i="10"/>
  <c r="AN305" i="10"/>
  <c r="X305" i="10"/>
  <c r="CC305" i="10"/>
  <c r="AO305" i="10"/>
  <c r="BK305" i="10"/>
  <c r="DA305" i="10"/>
  <c r="AC305" i="10"/>
  <c r="CN305" i="10"/>
  <c r="T305" i="10"/>
  <c r="CW305" i="10"/>
  <c r="CI305" i="10"/>
  <c r="AI305" i="10"/>
  <c r="AZ305" i="10"/>
  <c r="CU305" i="10"/>
  <c r="BA305" i="10"/>
  <c r="I305" i="10"/>
  <c r="AJ305" i="10"/>
  <c r="CG305" i="10"/>
  <c r="BX305" i="10"/>
  <c r="AM305" i="10"/>
  <c r="BD305" i="10"/>
  <c r="V305" i="10"/>
  <c r="BR305" i="10"/>
  <c r="DF305" i="10"/>
  <c r="BI305" i="10"/>
  <c r="CO305" i="10"/>
  <c r="CQ305" i="10"/>
  <c r="CK305" i="10"/>
  <c r="DH305" i="10"/>
  <c r="B306" i="10" l="1"/>
  <c r="KU6" i="1"/>
  <c r="KT8" i="1"/>
  <c r="KU2" i="1"/>
  <c r="KU10" i="1" s="1"/>
  <c r="KU5" i="1" l="1"/>
  <c r="KU9" i="1" s="1"/>
  <c r="CE306" i="10"/>
  <c r="CI306" i="10"/>
  <c r="BV306" i="10"/>
  <c r="CF306" i="10"/>
  <c r="CK306" i="10"/>
  <c r="BF306" i="10"/>
  <c r="CB306" i="10"/>
  <c r="BQ306" i="10"/>
  <c r="U306" i="10"/>
  <c r="AC306" i="10"/>
  <c r="D306" i="10"/>
  <c r="X306" i="10"/>
  <c r="G306" i="10"/>
  <c r="BX306" i="10"/>
  <c r="AR306" i="10"/>
  <c r="AB306" i="10"/>
  <c r="AK306" i="10"/>
  <c r="CS306" i="10"/>
  <c r="CU306" i="10"/>
  <c r="DF306" i="10"/>
  <c r="CH306" i="10"/>
  <c r="F306" i="10"/>
  <c r="M306" i="10"/>
  <c r="H306" i="10"/>
  <c r="BC306" i="10"/>
  <c r="DD306" i="10"/>
  <c r="AU306" i="10"/>
  <c r="DG306" i="10"/>
  <c r="AS306" i="10"/>
  <c r="BZ306" i="10"/>
  <c r="CP306" i="10"/>
  <c r="BB306" i="10"/>
  <c r="DI306" i="10"/>
  <c r="R306" i="10"/>
  <c r="T306" i="10"/>
  <c r="CL306" i="10"/>
  <c r="CT306" i="10"/>
  <c r="CW306" i="10"/>
  <c r="CM306" i="10"/>
  <c r="E306" i="10"/>
  <c r="K306" i="10"/>
  <c r="BI306" i="10"/>
  <c r="DJ306" i="10"/>
  <c r="BG306" i="10"/>
  <c r="BR306" i="10"/>
  <c r="V306" i="10"/>
  <c r="BM306" i="10"/>
  <c r="CA306" i="10"/>
  <c r="AT306" i="10"/>
  <c r="CV306" i="10"/>
  <c r="BO306" i="10"/>
  <c r="BD306" i="10"/>
  <c r="CC306" i="10"/>
  <c r="CN306" i="10"/>
  <c r="AW306" i="10"/>
  <c r="AO306" i="10"/>
  <c r="BW306" i="10"/>
  <c r="C306" i="10"/>
  <c r="DH306" i="10"/>
  <c r="BY306" i="10"/>
  <c r="AM306" i="10"/>
  <c r="BS306" i="10"/>
  <c r="AP306" i="10"/>
  <c r="CJ306" i="10"/>
  <c r="BK306" i="10"/>
  <c r="CD306" i="10"/>
  <c r="O306" i="10"/>
  <c r="P306" i="10"/>
  <c r="AX306" i="10"/>
  <c r="BE306" i="10"/>
  <c r="AL306" i="10"/>
  <c r="DA306" i="10"/>
  <c r="AH306" i="10"/>
  <c r="BL306" i="10"/>
  <c r="BJ306" i="10"/>
  <c r="DC306" i="10"/>
  <c r="I306" i="10"/>
  <c r="AE306" i="10"/>
  <c r="J306" i="10"/>
  <c r="AA306" i="10"/>
  <c r="CG306" i="10"/>
  <c r="BA306" i="10"/>
  <c r="AJ306" i="10"/>
  <c r="BN306" i="10"/>
  <c r="CQ306" i="10"/>
  <c r="AQ306" i="10"/>
  <c r="Y306" i="10"/>
  <c r="AY306" i="10"/>
  <c r="CO306" i="10"/>
  <c r="CX306" i="10"/>
  <c r="AN306" i="10"/>
  <c r="DB306" i="10"/>
  <c r="W306" i="10"/>
  <c r="N306" i="10"/>
  <c r="BT306" i="10"/>
  <c r="AZ306" i="10"/>
  <c r="CZ306" i="10"/>
  <c r="CR306" i="10"/>
  <c r="BU306" i="10"/>
  <c r="S306" i="10"/>
  <c r="AD306" i="10"/>
  <c r="Z306" i="10"/>
  <c r="AG306" i="10"/>
  <c r="BH306" i="10"/>
  <c r="BP306" i="10"/>
  <c r="AI306" i="10"/>
  <c r="AF306" i="10"/>
  <c r="AV306" i="10"/>
  <c r="Q306" i="10"/>
  <c r="DE306" i="10"/>
  <c r="CY306" i="10"/>
  <c r="DK306" i="10"/>
  <c r="L306" i="10"/>
  <c r="KU7" i="1" l="1"/>
  <c r="B307" i="10" l="1"/>
  <c r="KV6" i="1"/>
  <c r="KU8" i="1"/>
  <c r="KV2" i="1"/>
  <c r="KV10" i="1" s="1"/>
  <c r="KV5" i="1" l="1"/>
  <c r="KV9" i="1" s="1"/>
  <c r="J307" i="10"/>
  <c r="DA307" i="10"/>
  <c r="BE307" i="10"/>
  <c r="CY307" i="10"/>
  <c r="Z307" i="10"/>
  <c r="N307" i="10"/>
  <c r="CT307" i="10"/>
  <c r="BV307" i="10"/>
  <c r="AI307" i="10"/>
  <c r="E307" i="10"/>
  <c r="CJ307" i="10"/>
  <c r="AJ307" i="10"/>
  <c r="CB307" i="10"/>
  <c r="CF307" i="10"/>
  <c r="AU307" i="10"/>
  <c r="O307" i="10"/>
  <c r="CS307" i="10"/>
  <c r="DB307" i="10"/>
  <c r="BU307" i="10"/>
  <c r="CG307" i="10"/>
  <c r="CZ307" i="10"/>
  <c r="U307" i="10"/>
  <c r="BB307" i="10"/>
  <c r="V307" i="10"/>
  <c r="CH307" i="10"/>
  <c r="AY307" i="10"/>
  <c r="AE307" i="10"/>
  <c r="CM307" i="10"/>
  <c r="DI307" i="10"/>
  <c r="P307" i="10"/>
  <c r="DK307" i="10"/>
  <c r="AV307" i="10"/>
  <c r="AO307" i="10"/>
  <c r="W307" i="10"/>
  <c r="I307" i="10"/>
  <c r="AX307" i="10"/>
  <c r="BM307" i="10"/>
  <c r="CV307" i="10"/>
  <c r="BX307" i="10"/>
  <c r="BY307" i="10"/>
  <c r="BJ307" i="10"/>
  <c r="R307" i="10"/>
  <c r="CL307" i="10"/>
  <c r="DE307" i="10"/>
  <c r="BW307" i="10"/>
  <c r="BA307" i="10"/>
  <c r="BH307" i="10"/>
  <c r="AK307" i="10"/>
  <c r="CO307" i="10"/>
  <c r="BR307" i="10"/>
  <c r="BN307" i="10"/>
  <c r="L307" i="10"/>
  <c r="CP307" i="10"/>
  <c r="AN307" i="10"/>
  <c r="CC307" i="10"/>
  <c r="BC307" i="10"/>
  <c r="BL307" i="10"/>
  <c r="DG307" i="10"/>
  <c r="CA307" i="10"/>
  <c r="AD307" i="10"/>
  <c r="AF307" i="10"/>
  <c r="F307" i="10"/>
  <c r="BO307" i="10"/>
  <c r="BS307" i="10"/>
  <c r="H307" i="10"/>
  <c r="Q307" i="10"/>
  <c r="AL307" i="10"/>
  <c r="CE307" i="10"/>
  <c r="AR307" i="10"/>
  <c r="BD307" i="10"/>
  <c r="BP307" i="10"/>
  <c r="D307" i="10"/>
  <c r="Y307" i="10"/>
  <c r="AC307" i="10"/>
  <c r="AW307" i="10"/>
  <c r="BG307" i="10"/>
  <c r="DF307" i="10"/>
  <c r="T307" i="10"/>
  <c r="BQ307" i="10"/>
  <c r="CD307" i="10"/>
  <c r="CI307" i="10"/>
  <c r="AG307" i="10"/>
  <c r="CX307" i="10"/>
  <c r="BK307" i="10"/>
  <c r="CK307" i="10"/>
  <c r="X307" i="10"/>
  <c r="BT307" i="10"/>
  <c r="CN307" i="10"/>
  <c r="CW307" i="10"/>
  <c r="AQ307" i="10"/>
  <c r="DH307" i="10"/>
  <c r="S307" i="10"/>
  <c r="DJ307" i="10"/>
  <c r="AH307" i="10"/>
  <c r="AT307" i="10"/>
  <c r="G307" i="10"/>
  <c r="K307" i="10"/>
  <c r="AP307" i="10"/>
  <c r="CU307" i="10"/>
  <c r="AA307" i="10"/>
  <c r="DC307" i="10"/>
  <c r="DD307" i="10"/>
  <c r="AB307" i="10"/>
  <c r="AZ307" i="10"/>
  <c r="C307" i="10"/>
  <c r="CQ307" i="10"/>
  <c r="M307" i="10"/>
  <c r="AM307" i="10"/>
  <c r="CR307" i="10"/>
  <c r="AS307" i="10"/>
  <c r="BF307" i="10"/>
  <c r="BI307" i="10"/>
  <c r="BZ307" i="10"/>
  <c r="KV7" i="1" l="1"/>
  <c r="B308" i="10" l="1"/>
  <c r="KW6" i="1"/>
  <c r="KV8" i="1"/>
  <c r="KW2" i="1"/>
  <c r="KW10" i="1" s="1"/>
  <c r="KW5" i="1" l="1"/>
  <c r="KW9" i="1" s="1"/>
  <c r="AI308" i="10"/>
  <c r="AN308" i="10"/>
  <c r="BJ308" i="10"/>
  <c r="AX308" i="10"/>
  <c r="BY308" i="10"/>
  <c r="BN308" i="10"/>
  <c r="BX308" i="10"/>
  <c r="DG308" i="10"/>
  <c r="Y308" i="10"/>
  <c r="CO308" i="10"/>
  <c r="AH308" i="10"/>
  <c r="CI308" i="10"/>
  <c r="CC308" i="10"/>
  <c r="BH308" i="10"/>
  <c r="AM308" i="10"/>
  <c r="BC308" i="10"/>
  <c r="CD308" i="10"/>
  <c r="BF308" i="10"/>
  <c r="F308" i="10"/>
  <c r="BV308" i="10"/>
  <c r="BA308" i="10"/>
  <c r="BP308" i="10"/>
  <c r="AK308" i="10"/>
  <c r="DJ308" i="10"/>
  <c r="J308" i="10"/>
  <c r="BM308" i="10"/>
  <c r="BR308" i="10"/>
  <c r="AD308" i="10"/>
  <c r="BE308" i="10"/>
  <c r="CR308" i="10"/>
  <c r="I308" i="10"/>
  <c r="CV308" i="10"/>
  <c r="W308" i="10"/>
  <c r="CS308" i="10"/>
  <c r="AZ308" i="10"/>
  <c r="G308" i="10"/>
  <c r="AO308" i="10"/>
  <c r="BO308" i="10"/>
  <c r="AV308" i="10"/>
  <c r="Q308" i="10"/>
  <c r="AP308" i="10"/>
  <c r="DC308" i="10"/>
  <c r="CA308" i="10"/>
  <c r="C308" i="10"/>
  <c r="DA308" i="10"/>
  <c r="S308" i="10"/>
  <c r="U308" i="10"/>
  <c r="CP308" i="10"/>
  <c r="DB308" i="10"/>
  <c r="AC308" i="10"/>
  <c r="DF308" i="10"/>
  <c r="CK308" i="10"/>
  <c r="AL308" i="10"/>
  <c r="BB308" i="10"/>
  <c r="N308" i="10"/>
  <c r="X308" i="10"/>
  <c r="BU308" i="10"/>
  <c r="AT308" i="10"/>
  <c r="CX308" i="10"/>
  <c r="DK308" i="10"/>
  <c r="K308" i="10"/>
  <c r="E308" i="10"/>
  <c r="CT308" i="10"/>
  <c r="CL308" i="10"/>
  <c r="Z308" i="10"/>
  <c r="CH308" i="10"/>
  <c r="BG308" i="10"/>
  <c r="BK308" i="10"/>
  <c r="AS308" i="10"/>
  <c r="CJ308" i="10"/>
  <c r="DD308" i="10"/>
  <c r="H308" i="10"/>
  <c r="CW308" i="10"/>
  <c r="AB308" i="10"/>
  <c r="CM308" i="10"/>
  <c r="CY308" i="10"/>
  <c r="CN308" i="10"/>
  <c r="AE308" i="10"/>
  <c r="R308" i="10"/>
  <c r="CQ308" i="10"/>
  <c r="BQ308" i="10"/>
  <c r="AA308" i="10"/>
  <c r="AQ308" i="10"/>
  <c r="P308" i="10"/>
  <c r="L308" i="10"/>
  <c r="CU308" i="10"/>
  <c r="CB308" i="10"/>
  <c r="AU308" i="10"/>
  <c r="AR308" i="10"/>
  <c r="AF308" i="10"/>
  <c r="BW308" i="10"/>
  <c r="BI308" i="10"/>
  <c r="CE308" i="10"/>
  <c r="D308" i="10"/>
  <c r="BL308" i="10"/>
  <c r="BS308" i="10"/>
  <c r="CZ308" i="10"/>
  <c r="M308" i="10"/>
  <c r="BZ308" i="10"/>
  <c r="T308" i="10"/>
  <c r="CG308" i="10"/>
  <c r="AY308" i="10"/>
  <c r="BD308" i="10"/>
  <c r="AJ308" i="10"/>
  <c r="AG308" i="10"/>
  <c r="DH308" i="10"/>
  <c r="O308" i="10"/>
  <c r="AW308" i="10"/>
  <c r="BT308" i="10"/>
  <c r="DE308" i="10"/>
  <c r="CF308" i="10"/>
  <c r="DI308" i="10"/>
  <c r="V308" i="10"/>
  <c r="KW7" i="1" l="1"/>
  <c r="KW8" i="1" l="1"/>
  <c r="KX6" i="1"/>
  <c r="B309" i="10"/>
  <c r="KX2" i="1"/>
  <c r="KX10" i="1" s="1"/>
  <c r="N309" i="10" l="1"/>
  <c r="CB309" i="10"/>
  <c r="DJ309" i="10"/>
  <c r="AK309" i="10"/>
  <c r="O309" i="10"/>
  <c r="K309" i="10"/>
  <c r="CP309" i="10"/>
  <c r="AY309" i="10"/>
  <c r="DG309" i="10"/>
  <c r="H309" i="10"/>
  <c r="AS309" i="10"/>
  <c r="AE309" i="10"/>
  <c r="S309" i="10"/>
  <c r="CM309" i="10"/>
  <c r="DH309" i="10"/>
  <c r="V309" i="10"/>
  <c r="AZ309" i="10"/>
  <c r="T309" i="10"/>
  <c r="CG309" i="10"/>
  <c r="BC309" i="10"/>
  <c r="AL309" i="10"/>
  <c r="BX309" i="10"/>
  <c r="I309" i="10"/>
  <c r="BI309" i="10"/>
  <c r="BZ309" i="10"/>
  <c r="CR309" i="10"/>
  <c r="CH309" i="10"/>
  <c r="BV309" i="10"/>
  <c r="AG309" i="10"/>
  <c r="DE309" i="10"/>
  <c r="CQ309" i="10"/>
  <c r="M309" i="10"/>
  <c r="DB309" i="10"/>
  <c r="BE309" i="10"/>
  <c r="BN309" i="10"/>
  <c r="AH309" i="10"/>
  <c r="L309" i="10"/>
  <c r="CL309" i="10"/>
  <c r="CO309" i="10"/>
  <c r="AO309" i="10"/>
  <c r="BM309" i="10"/>
  <c r="AQ309" i="10"/>
  <c r="C309" i="10"/>
  <c r="BS309" i="10"/>
  <c r="CD309" i="10"/>
  <c r="BB309" i="10"/>
  <c r="AU309" i="10"/>
  <c r="X309" i="10"/>
  <c r="CZ309" i="10"/>
  <c r="BJ309" i="10"/>
  <c r="AA309" i="10"/>
  <c r="CN309" i="10"/>
  <c r="BQ309" i="10"/>
  <c r="BP309" i="10"/>
  <c r="DD309" i="10"/>
  <c r="CA309" i="10"/>
  <c r="BA309" i="10"/>
  <c r="AD309" i="10"/>
  <c r="AR309" i="10"/>
  <c r="AC309" i="10"/>
  <c r="CV309" i="10"/>
  <c r="DC309" i="10"/>
  <c r="Y309" i="10"/>
  <c r="D309" i="10"/>
  <c r="AX309" i="10"/>
  <c r="DA309" i="10"/>
  <c r="CE309" i="10"/>
  <c r="CI309" i="10"/>
  <c r="BR309" i="10"/>
  <c r="DK309" i="10"/>
  <c r="E309" i="10"/>
  <c r="R309" i="10"/>
  <c r="CC309" i="10"/>
  <c r="AF309" i="10"/>
  <c r="CU309" i="10"/>
  <c r="DF309" i="10"/>
  <c r="AN309" i="10"/>
  <c r="AJ309" i="10"/>
  <c r="F309" i="10"/>
  <c r="G309" i="10"/>
  <c r="BF309" i="10"/>
  <c r="AI309" i="10"/>
  <c r="BU309" i="10"/>
  <c r="CS309" i="10"/>
  <c r="AB309" i="10"/>
  <c r="Q309" i="10"/>
  <c r="CF309" i="10"/>
  <c r="CY309" i="10"/>
  <c r="AV309" i="10"/>
  <c r="CT309" i="10"/>
  <c r="CW309" i="10"/>
  <c r="CJ309" i="10"/>
  <c r="BW309" i="10"/>
  <c r="J309" i="10"/>
  <c r="BK309" i="10"/>
  <c r="AW309" i="10"/>
  <c r="W309" i="10"/>
  <c r="BD309" i="10"/>
  <c r="DI309" i="10"/>
  <c r="AT309" i="10"/>
  <c r="P309" i="10"/>
  <c r="CK309" i="10"/>
  <c r="CX309" i="10"/>
  <c r="BT309" i="10"/>
  <c r="BG309" i="10"/>
  <c r="AM309" i="10"/>
  <c r="Z309" i="10"/>
  <c r="U309" i="10"/>
  <c r="BO309" i="10"/>
  <c r="BH309" i="10"/>
  <c r="BL309" i="10"/>
  <c r="AP309" i="10"/>
  <c r="BY309" i="10"/>
  <c r="KX5" i="1"/>
  <c r="KX9" i="1" s="1"/>
  <c r="KX7" i="1" l="1"/>
  <c r="KX8" i="1" l="1"/>
  <c r="B310" i="10"/>
  <c r="KY6" i="1"/>
  <c r="KY2" i="1"/>
  <c r="KY10" i="1" s="1"/>
  <c r="KY5" i="1" l="1"/>
  <c r="KY9" i="1" s="1"/>
  <c r="X310" i="10"/>
  <c r="AY310" i="10"/>
  <c r="CS310" i="10"/>
  <c r="CP310" i="10"/>
  <c r="AJ310" i="10"/>
  <c r="AN310" i="10"/>
  <c r="CY310" i="10"/>
  <c r="O310" i="10"/>
  <c r="DI310" i="10"/>
  <c r="CA310" i="10"/>
  <c r="BQ310" i="10"/>
  <c r="AZ310" i="10"/>
  <c r="CU310" i="10"/>
  <c r="DB310" i="10"/>
  <c r="CC310" i="10"/>
  <c r="DD310" i="10"/>
  <c r="BN310" i="10"/>
  <c r="BF310" i="10"/>
  <c r="F310" i="10"/>
  <c r="AQ310" i="10"/>
  <c r="AV310" i="10"/>
  <c r="AU310" i="10"/>
  <c r="CN310" i="10"/>
  <c r="BO310" i="10"/>
  <c r="CB310" i="10"/>
  <c r="DA310" i="10"/>
  <c r="M310" i="10"/>
  <c r="AL310" i="10"/>
  <c r="H310" i="10"/>
  <c r="CR310" i="10"/>
  <c r="BL310" i="10"/>
  <c r="CX310" i="10"/>
  <c r="BZ310" i="10"/>
  <c r="CQ310" i="10"/>
  <c r="AX310" i="10"/>
  <c r="DE310" i="10"/>
  <c r="AG310" i="10"/>
  <c r="CZ310" i="10"/>
  <c r="K310" i="10"/>
  <c r="BD310" i="10"/>
  <c r="V310" i="10"/>
  <c r="DC310" i="10"/>
  <c r="BJ310" i="10"/>
  <c r="AF310" i="10"/>
  <c r="CO310" i="10"/>
  <c r="AM310" i="10"/>
  <c r="AE310" i="10"/>
  <c r="CH310" i="10"/>
  <c r="AR310" i="10"/>
  <c r="DJ310" i="10"/>
  <c r="S310" i="10"/>
  <c r="BV310" i="10"/>
  <c r="P310" i="10"/>
  <c r="DF310" i="10"/>
  <c r="AC310" i="10"/>
  <c r="BE310" i="10"/>
  <c r="AT310" i="10"/>
  <c r="AI310" i="10"/>
  <c r="AK310" i="10"/>
  <c r="CE310" i="10"/>
  <c r="AO310" i="10"/>
  <c r="BK310" i="10"/>
  <c r="L310" i="10"/>
  <c r="AP310" i="10"/>
  <c r="BR310" i="10"/>
  <c r="AB310" i="10"/>
  <c r="CL310" i="10"/>
  <c r="BP310" i="10"/>
  <c r="G310" i="10"/>
  <c r="DG310" i="10"/>
  <c r="CW310" i="10"/>
  <c r="C310" i="10"/>
  <c r="BB310" i="10"/>
  <c r="T310" i="10"/>
  <c r="CD310" i="10"/>
  <c r="BH310" i="10"/>
  <c r="DK310" i="10"/>
  <c r="AS310" i="10"/>
  <c r="W310" i="10"/>
  <c r="AD310" i="10"/>
  <c r="CK310" i="10"/>
  <c r="AA310" i="10"/>
  <c r="E310" i="10"/>
  <c r="CG310" i="10"/>
  <c r="BT310" i="10"/>
  <c r="CV310" i="10"/>
  <c r="BU310" i="10"/>
  <c r="BW310" i="10"/>
  <c r="R310" i="10"/>
  <c r="CM310" i="10"/>
  <c r="CI310" i="10"/>
  <c r="BC310" i="10"/>
  <c r="Q310" i="10"/>
  <c r="BG310" i="10"/>
  <c r="DH310" i="10"/>
  <c r="BA310" i="10"/>
  <c r="D310" i="10"/>
  <c r="Y310" i="10"/>
  <c r="Z310" i="10"/>
  <c r="U310" i="10"/>
  <c r="BS310" i="10"/>
  <c r="N310" i="10"/>
  <c r="CT310" i="10"/>
  <c r="J310" i="10"/>
  <c r="BX310" i="10"/>
  <c r="AH310" i="10"/>
  <c r="AW310" i="10"/>
  <c r="BM310" i="10"/>
  <c r="CJ310" i="10"/>
  <c r="CF310" i="10"/>
  <c r="BY310" i="10"/>
  <c r="I310" i="10"/>
  <c r="BI310" i="10"/>
  <c r="KY7" i="1" l="1"/>
  <c r="KY8" i="1" l="1"/>
  <c r="KZ6" i="1"/>
  <c r="B311" i="10"/>
  <c r="KZ2" i="1"/>
  <c r="KZ5" i="1" s="1"/>
  <c r="KZ9" i="1" s="1"/>
  <c r="KZ7" i="1" l="1"/>
  <c r="KZ10" i="1"/>
  <c r="AV311" i="10"/>
  <c r="CF311" i="10"/>
  <c r="G311" i="10"/>
  <c r="CH311" i="10"/>
  <c r="AC311" i="10"/>
  <c r="BQ311" i="10"/>
  <c r="DE311" i="10"/>
  <c r="AP311" i="10"/>
  <c r="BR311" i="10"/>
  <c r="AR311" i="10"/>
  <c r="DG311" i="10"/>
  <c r="CO311" i="10"/>
  <c r="AS311" i="10"/>
  <c r="CQ311" i="10"/>
  <c r="CY311" i="10"/>
  <c r="CZ311" i="10"/>
  <c r="BD311" i="10"/>
  <c r="CX311" i="10"/>
  <c r="V311" i="10"/>
  <c r="AY311" i="10"/>
  <c r="BK311" i="10"/>
  <c r="O311" i="10"/>
  <c r="CB311" i="10"/>
  <c r="BF311" i="10"/>
  <c r="BX311" i="10"/>
  <c r="N311" i="10"/>
  <c r="F311" i="10"/>
  <c r="BJ311" i="10"/>
  <c r="CL311" i="10"/>
  <c r="BO311" i="10"/>
  <c r="CK311" i="10"/>
  <c r="AL311" i="10"/>
  <c r="R311" i="10"/>
  <c r="BM311" i="10"/>
  <c r="AZ311" i="10"/>
  <c r="CC311" i="10"/>
  <c r="CW311" i="10"/>
  <c r="M311" i="10"/>
  <c r="K311" i="10"/>
  <c r="DH311" i="10"/>
  <c r="AK311" i="10"/>
  <c r="Z311" i="10"/>
  <c r="AH311" i="10"/>
  <c r="BV311" i="10"/>
  <c r="CS311" i="10"/>
  <c r="AO311" i="10"/>
  <c r="CD311" i="10"/>
  <c r="CM311" i="10"/>
  <c r="P311" i="10"/>
  <c r="DK311" i="10"/>
  <c r="U311" i="10"/>
  <c r="CG311" i="10"/>
  <c r="CV311" i="10"/>
  <c r="CA311" i="10"/>
  <c r="W311" i="10"/>
  <c r="AN311" i="10"/>
  <c r="AI311" i="10"/>
  <c r="AW311" i="10"/>
  <c r="BS311" i="10"/>
  <c r="CR311" i="10"/>
  <c r="BC311" i="10"/>
  <c r="AQ311" i="10"/>
  <c r="DA311" i="10"/>
  <c r="BI311" i="10"/>
  <c r="CT311" i="10"/>
  <c r="CN311" i="10"/>
  <c r="I311" i="10"/>
  <c r="J311" i="10"/>
  <c r="E311" i="10"/>
  <c r="AM311" i="10"/>
  <c r="BH311" i="10"/>
  <c r="AX311" i="10"/>
  <c r="AF311" i="10"/>
  <c r="DC311" i="10"/>
  <c r="CJ311" i="10"/>
  <c r="AU311" i="10"/>
  <c r="BT311" i="10"/>
  <c r="C311" i="10"/>
  <c r="BE311" i="10"/>
  <c r="CU311" i="10"/>
  <c r="BG311" i="10"/>
  <c r="BN311" i="10"/>
  <c r="BP311" i="10"/>
  <c r="AB311" i="10"/>
  <c r="DF311" i="10"/>
  <c r="Y311" i="10"/>
  <c r="DJ311" i="10"/>
  <c r="BU311" i="10"/>
  <c r="AJ311" i="10"/>
  <c r="BZ311" i="10"/>
  <c r="DI311" i="10"/>
  <c r="DD311" i="10"/>
  <c r="DB311" i="10"/>
  <c r="CI311" i="10"/>
  <c r="AD311" i="10"/>
  <c r="X311" i="10"/>
  <c r="AG311" i="10"/>
  <c r="AE311" i="10"/>
  <c r="BY311" i="10"/>
  <c r="CE311" i="10"/>
  <c r="AA311" i="10"/>
  <c r="BL311" i="10"/>
  <c r="BA311" i="10"/>
  <c r="BB311" i="10"/>
  <c r="Q311" i="10"/>
  <c r="S311" i="10"/>
  <c r="BW311" i="10"/>
  <c r="AT311" i="10"/>
  <c r="CP311" i="10"/>
  <c r="T311" i="10"/>
  <c r="H311" i="10"/>
  <c r="L311" i="10"/>
  <c r="D311" i="10"/>
  <c r="B312" i="10" l="1"/>
  <c r="LA6" i="1"/>
  <c r="KZ8" i="1"/>
  <c r="LA2" i="1"/>
  <c r="LA10" i="1" s="1"/>
  <c r="LA5" i="1" l="1"/>
  <c r="X312" i="10"/>
  <c r="BZ312" i="10"/>
  <c r="CL312" i="10"/>
  <c r="J312" i="10"/>
  <c r="I312" i="10"/>
  <c r="O312" i="10"/>
  <c r="AB312" i="10"/>
  <c r="BH312" i="10"/>
  <c r="AH312" i="10"/>
  <c r="H312" i="10"/>
  <c r="BA312" i="10"/>
  <c r="AL312" i="10"/>
  <c r="T312" i="10"/>
  <c r="AR312" i="10"/>
  <c r="BR312" i="10"/>
  <c r="K312" i="10"/>
  <c r="BP312" i="10"/>
  <c r="M312" i="10"/>
  <c r="BQ312" i="10"/>
  <c r="BN312" i="10"/>
  <c r="AU312" i="10"/>
  <c r="BG312" i="10"/>
  <c r="V312" i="10"/>
  <c r="DC312" i="10"/>
  <c r="DI312" i="10"/>
  <c r="BB312" i="10"/>
  <c r="AT312" i="10"/>
  <c r="U312" i="10"/>
  <c r="AJ312" i="10"/>
  <c r="BW312" i="10"/>
  <c r="AS312" i="10"/>
  <c r="DD312" i="10"/>
  <c r="AW312" i="10"/>
  <c r="Y312" i="10"/>
  <c r="CD312" i="10"/>
  <c r="BL312" i="10"/>
  <c r="BY312" i="10"/>
  <c r="CA312" i="10"/>
  <c r="AC312" i="10"/>
  <c r="AZ312" i="10"/>
  <c r="AI312" i="10"/>
  <c r="CG312" i="10"/>
  <c r="CY312" i="10"/>
  <c r="DG312" i="10"/>
  <c r="AK312" i="10"/>
  <c r="BI312" i="10"/>
  <c r="AD312" i="10"/>
  <c r="W312" i="10"/>
  <c r="CS312" i="10"/>
  <c r="AV312" i="10"/>
  <c r="CW312" i="10"/>
  <c r="CF312" i="10"/>
  <c r="CO312" i="10"/>
  <c r="Z312" i="10"/>
  <c r="BU312" i="10"/>
  <c r="CC312" i="10"/>
  <c r="D312" i="10"/>
  <c r="DH312" i="10"/>
  <c r="AQ312" i="10"/>
  <c r="DJ312" i="10"/>
  <c r="CV312" i="10"/>
  <c r="BS312" i="10"/>
  <c r="S312" i="10"/>
  <c r="BE312" i="10"/>
  <c r="AE312" i="10"/>
  <c r="N312" i="10"/>
  <c r="F312" i="10"/>
  <c r="CK312" i="10"/>
  <c r="AX312" i="10"/>
  <c r="AO312" i="10"/>
  <c r="AY312" i="10"/>
  <c r="DA312" i="10"/>
  <c r="AM312" i="10"/>
  <c r="DE312" i="10"/>
  <c r="AG312" i="10"/>
  <c r="CI312" i="10"/>
  <c r="BX312" i="10"/>
  <c r="BD312" i="10"/>
  <c r="CM312" i="10"/>
  <c r="CJ312" i="10"/>
  <c r="BT312" i="10"/>
  <c r="CZ312" i="10"/>
  <c r="CT312" i="10"/>
  <c r="BC312" i="10"/>
  <c r="CH312" i="10"/>
  <c r="BF312" i="10"/>
  <c r="CU312" i="10"/>
  <c r="CN312" i="10"/>
  <c r="DB312" i="10"/>
  <c r="BK312" i="10"/>
  <c r="CB312" i="10"/>
  <c r="CP312" i="10"/>
  <c r="P312" i="10"/>
  <c r="E312" i="10"/>
  <c r="R312" i="10"/>
  <c r="AF312" i="10"/>
  <c r="BM312" i="10"/>
  <c r="DF312" i="10"/>
  <c r="C312" i="10"/>
  <c r="BJ312" i="10"/>
  <c r="DK312" i="10"/>
  <c r="CX312" i="10"/>
  <c r="BO312" i="10"/>
  <c r="Q312" i="10"/>
  <c r="CE312" i="10"/>
  <c r="AN312" i="10"/>
  <c r="AA312" i="10"/>
  <c r="AP312" i="10"/>
  <c r="L312" i="10"/>
  <c r="G312" i="10"/>
  <c r="BV312" i="10"/>
  <c r="CQ312" i="10"/>
  <c r="CR312" i="10"/>
  <c r="LA7" i="1" l="1"/>
  <c r="LA8" i="1" s="1"/>
  <c r="LA9" i="1"/>
  <c r="B313" i="10"/>
  <c r="LB6" i="1"/>
  <c r="LB2" i="1" l="1"/>
  <c r="Q313" i="10"/>
  <c r="DF313" i="10"/>
  <c r="I313" i="10"/>
  <c r="CU313" i="10"/>
  <c r="DG313" i="10"/>
  <c r="W313" i="10"/>
  <c r="DB313" i="10"/>
  <c r="AC313" i="10"/>
  <c r="AR313" i="10"/>
  <c r="CX313" i="10"/>
  <c r="C313" i="10"/>
  <c r="BM313" i="10"/>
  <c r="AU313" i="10"/>
  <c r="CC313" i="10"/>
  <c r="BS313" i="10"/>
  <c r="AF313" i="10"/>
  <c r="CK313" i="10"/>
  <c r="AD313" i="10"/>
  <c r="T313" i="10"/>
  <c r="BU313" i="10"/>
  <c r="AA313" i="10"/>
  <c r="BL313" i="10"/>
  <c r="BA313" i="10"/>
  <c r="J313" i="10"/>
  <c r="CQ313" i="10"/>
  <c r="CN313" i="10"/>
  <c r="CB313" i="10"/>
  <c r="BO313" i="10"/>
  <c r="L313" i="10"/>
  <c r="X313" i="10"/>
  <c r="K313" i="10"/>
  <c r="AB313" i="10"/>
  <c r="AZ313" i="10"/>
  <c r="BQ313" i="10"/>
  <c r="CM313" i="10"/>
  <c r="DJ313" i="10"/>
  <c r="AJ313" i="10"/>
  <c r="CV313" i="10"/>
  <c r="CJ313" i="10"/>
  <c r="AX313" i="10"/>
  <c r="BT313" i="10"/>
  <c r="AE313" i="10"/>
  <c r="AV313" i="10"/>
  <c r="BR313" i="10"/>
  <c r="AP313" i="10"/>
  <c r="BG313" i="10"/>
  <c r="AQ313" i="10"/>
  <c r="CI313" i="10"/>
  <c r="AG313" i="10"/>
  <c r="AO313" i="10"/>
  <c r="AN313" i="10"/>
  <c r="CR313" i="10"/>
  <c r="DC313" i="10"/>
  <c r="BV313" i="10"/>
  <c r="AK313" i="10"/>
  <c r="CH313" i="10"/>
  <c r="CY313" i="10"/>
  <c r="BI313" i="10"/>
  <c r="BC313" i="10"/>
  <c r="BH313" i="10"/>
  <c r="CS313" i="10"/>
  <c r="N313" i="10"/>
  <c r="BX313" i="10"/>
  <c r="BZ313" i="10"/>
  <c r="BN313" i="10"/>
  <c r="DD313" i="10"/>
  <c r="S313" i="10"/>
  <c r="BF313" i="10"/>
  <c r="CO313" i="10"/>
  <c r="CD313" i="10"/>
  <c r="BW313" i="10"/>
  <c r="DK313" i="10"/>
  <c r="H313" i="10"/>
  <c r="DA313" i="10"/>
  <c r="G313" i="10"/>
  <c r="AM313" i="10"/>
  <c r="DE313" i="10"/>
  <c r="BB313" i="10"/>
  <c r="CZ313" i="10"/>
  <c r="AW313" i="10"/>
  <c r="CW313" i="10"/>
  <c r="CL313" i="10"/>
  <c r="R313" i="10"/>
  <c r="BP313" i="10"/>
  <c r="F313" i="10"/>
  <c r="U313" i="10"/>
  <c r="Y313" i="10"/>
  <c r="CA313" i="10"/>
  <c r="BJ313" i="10"/>
  <c r="Z313" i="10"/>
  <c r="AI313" i="10"/>
  <c r="DH313" i="10"/>
  <c r="AH313" i="10"/>
  <c r="CT313" i="10"/>
  <c r="AT313" i="10"/>
  <c r="BY313" i="10"/>
  <c r="CF313" i="10"/>
  <c r="AL313" i="10"/>
  <c r="CG313" i="10"/>
  <c r="BK313" i="10"/>
  <c r="P313" i="10"/>
  <c r="AS313" i="10"/>
  <c r="O313" i="10"/>
  <c r="V313" i="10"/>
  <c r="D313" i="10"/>
  <c r="M313" i="10"/>
  <c r="DI313" i="10"/>
  <c r="AY313" i="10"/>
  <c r="BD313" i="10"/>
  <c r="CE313" i="10"/>
  <c r="CP313" i="10"/>
  <c r="E313" i="10"/>
  <c r="BE313" i="10"/>
  <c r="LB5" i="1" l="1"/>
  <c r="LB10" i="1"/>
  <c r="LB9" i="1" l="1"/>
  <c r="LC2" i="1" s="1"/>
  <c r="LB7" i="1"/>
  <c r="LC6" i="1" l="1"/>
  <c r="LB8" i="1"/>
  <c r="B314" i="10"/>
  <c r="LC10" i="1"/>
  <c r="LC5" i="1"/>
  <c r="J314" i="10" l="1"/>
  <c r="BU314" i="10"/>
  <c r="DJ314" i="10"/>
  <c r="CI314" i="10"/>
  <c r="DA314" i="10"/>
  <c r="BR314" i="10"/>
  <c r="BK314" i="10"/>
  <c r="BI314" i="10"/>
  <c r="AC314" i="10"/>
  <c r="DK314" i="10"/>
  <c r="AP314" i="10"/>
  <c r="BE314" i="10"/>
  <c r="K314" i="10"/>
  <c r="AJ314" i="10"/>
  <c r="CX314" i="10"/>
  <c r="V314" i="10"/>
  <c r="BB314" i="10"/>
  <c r="BS314" i="10"/>
  <c r="CV314" i="10"/>
  <c r="BG314" i="10"/>
  <c r="CE314" i="10"/>
  <c r="DB314" i="10"/>
  <c r="BN314" i="10"/>
  <c r="AV314" i="10"/>
  <c r="T314" i="10"/>
  <c r="AZ314" i="10"/>
  <c r="DE314" i="10"/>
  <c r="AF314" i="10"/>
  <c r="AU314" i="10"/>
  <c r="CW314" i="10"/>
  <c r="C314" i="10"/>
  <c r="CY314" i="10"/>
  <c r="N314" i="10"/>
  <c r="CN314" i="10"/>
  <c r="AE314" i="10"/>
  <c r="P314" i="10"/>
  <c r="O314" i="10"/>
  <c r="L314" i="10"/>
  <c r="AI314" i="10"/>
  <c r="BX314" i="10"/>
  <c r="BV314" i="10"/>
  <c r="Y314" i="10"/>
  <c r="BH314" i="10"/>
  <c r="CD314" i="10"/>
  <c r="CQ314" i="10"/>
  <c r="AQ314" i="10"/>
  <c r="BA314" i="10"/>
  <c r="DF314" i="10"/>
  <c r="AW314" i="10"/>
  <c r="BC314" i="10"/>
  <c r="DI314" i="10"/>
  <c r="R314" i="10"/>
  <c r="CT314" i="10"/>
  <c r="BQ314" i="10"/>
  <c r="AN314" i="10"/>
  <c r="CF314" i="10"/>
  <c r="CM314" i="10"/>
  <c r="BP314" i="10"/>
  <c r="CR314" i="10"/>
  <c r="CL314" i="10"/>
  <c r="CP314" i="10"/>
  <c r="CZ314" i="10"/>
  <c r="U314" i="10"/>
  <c r="BF314" i="10"/>
  <c r="DG314" i="10"/>
  <c r="AH314" i="10"/>
  <c r="DD314" i="10"/>
  <c r="CA314" i="10"/>
  <c r="AM314" i="10"/>
  <c r="DC314" i="10"/>
  <c r="D314" i="10"/>
  <c r="AT314" i="10"/>
  <c r="CB314" i="10"/>
  <c r="AR314" i="10"/>
  <c r="CJ314" i="10"/>
  <c r="Z314" i="10"/>
  <c r="AY314" i="10"/>
  <c r="BL314" i="10"/>
  <c r="BJ314" i="10"/>
  <c r="CU314" i="10"/>
  <c r="AB314" i="10"/>
  <c r="W314" i="10"/>
  <c r="E314" i="10"/>
  <c r="AL314" i="10"/>
  <c r="AA314" i="10"/>
  <c r="AD314" i="10"/>
  <c r="BY314" i="10"/>
  <c r="BD314" i="10"/>
  <c r="Q314" i="10"/>
  <c r="I314" i="10"/>
  <c r="CG314" i="10"/>
  <c r="H314" i="10"/>
  <c r="F314" i="10"/>
  <c r="DH314" i="10"/>
  <c r="CS314" i="10"/>
  <c r="CH314" i="10"/>
  <c r="AX314" i="10"/>
  <c r="BO314" i="10"/>
  <c r="G314" i="10"/>
  <c r="BT314" i="10"/>
  <c r="CK314" i="10"/>
  <c r="BW314" i="10"/>
  <c r="AG314" i="10"/>
  <c r="M314" i="10"/>
  <c r="X314" i="10"/>
  <c r="BM314" i="10"/>
  <c r="AS314" i="10"/>
  <c r="CC314" i="10"/>
  <c r="S314" i="10"/>
  <c r="CO314" i="10"/>
  <c r="AO314" i="10"/>
  <c r="AK314" i="10"/>
  <c r="BZ314" i="10"/>
  <c r="LC9" i="1"/>
  <c r="LD2" i="1" s="1"/>
  <c r="LD5" i="1" s="1"/>
  <c r="LD9" i="1" s="1"/>
  <c r="LC7" i="1"/>
  <c r="LD7" i="1" l="1"/>
  <c r="LE6" i="1" s="1"/>
  <c r="LD10" i="1"/>
  <c r="LD6" i="1"/>
  <c r="B315" i="10"/>
  <c r="LC8" i="1"/>
  <c r="LD8" i="1" s="1"/>
  <c r="B316" i="10"/>
  <c r="LE2" i="1"/>
  <c r="LE10" i="1" s="1"/>
  <c r="M315" i="10" l="1"/>
  <c r="CA315" i="10"/>
  <c r="AY315" i="10"/>
  <c r="AR315" i="10"/>
  <c r="K315" i="10"/>
  <c r="BU315" i="10"/>
  <c r="BR315" i="10"/>
  <c r="BR316" i="10" s="1"/>
  <c r="AU315" i="10"/>
  <c r="AU316" i="10" s="1"/>
  <c r="U315" i="10"/>
  <c r="U316" i="10" s="1"/>
  <c r="CW315" i="10"/>
  <c r="CW316" i="10" s="1"/>
  <c r="BQ315" i="10"/>
  <c r="BQ316" i="10" s="1"/>
  <c r="DA315" i="10"/>
  <c r="DA316" i="10" s="1"/>
  <c r="AK315" i="10"/>
  <c r="AK316" i="10" s="1"/>
  <c r="BV315" i="10"/>
  <c r="BV316" i="10" s="1"/>
  <c r="BF315" i="10"/>
  <c r="BF316" i="10" s="1"/>
  <c r="CE315" i="10"/>
  <c r="CE316" i="10" s="1"/>
  <c r="BD315" i="10"/>
  <c r="T315" i="10"/>
  <c r="AF315" i="10"/>
  <c r="P315" i="10"/>
  <c r="BT315" i="10"/>
  <c r="DI315" i="10"/>
  <c r="DI316" i="10" s="1"/>
  <c r="CD315" i="10"/>
  <c r="CD316" i="10" s="1"/>
  <c r="AM315" i="10"/>
  <c r="AM316" i="10" s="1"/>
  <c r="J315" i="10"/>
  <c r="J316" i="10" s="1"/>
  <c r="CY315" i="10"/>
  <c r="CY316" i="10" s="1"/>
  <c r="Z315" i="10"/>
  <c r="Z316" i="10" s="1"/>
  <c r="DJ315" i="10"/>
  <c r="DJ316" i="10" s="1"/>
  <c r="AV315" i="10"/>
  <c r="AV316" i="10" s="1"/>
  <c r="V315" i="10"/>
  <c r="V316" i="10" s="1"/>
  <c r="AZ315" i="10"/>
  <c r="AZ316" i="10" s="1"/>
  <c r="DC315" i="10"/>
  <c r="DC316" i="10" s="1"/>
  <c r="CM315" i="10"/>
  <c r="CI315" i="10"/>
  <c r="CL315" i="10"/>
  <c r="CZ315" i="10"/>
  <c r="AQ315" i="10"/>
  <c r="G315" i="10"/>
  <c r="G316" i="10" s="1"/>
  <c r="BI315" i="10"/>
  <c r="BI316" i="10" s="1"/>
  <c r="CT315" i="10"/>
  <c r="CT316" i="10" s="1"/>
  <c r="AT315" i="10"/>
  <c r="AT316" i="10" s="1"/>
  <c r="CU315" i="10"/>
  <c r="CU316" i="10" s="1"/>
  <c r="AL315" i="10"/>
  <c r="AL316" i="10" s="1"/>
  <c r="BY315" i="10"/>
  <c r="BY316" i="10" s="1"/>
  <c r="I315" i="10"/>
  <c r="I316" i="10" s="1"/>
  <c r="AX315" i="10"/>
  <c r="AX316" i="10" s="1"/>
  <c r="BW315" i="10"/>
  <c r="BW316" i="10" s="1"/>
  <c r="AG315" i="10"/>
  <c r="AG316" i="10" s="1"/>
  <c r="BK315" i="10"/>
  <c r="BH315" i="10"/>
  <c r="BB315" i="10"/>
  <c r="DE315" i="10"/>
  <c r="O315" i="10"/>
  <c r="CO315" i="10"/>
  <c r="CO316" i="10" s="1"/>
  <c r="E315" i="10"/>
  <c r="E316" i="10" s="1"/>
  <c r="BC315" i="10"/>
  <c r="BC316" i="10" s="1"/>
  <c r="CP315" i="10"/>
  <c r="CP316" i="10" s="1"/>
  <c r="DB315" i="10"/>
  <c r="DB316" i="10" s="1"/>
  <c r="CX315" i="10"/>
  <c r="CX316" i="10" s="1"/>
  <c r="AB315" i="10"/>
  <c r="AB316" i="10" s="1"/>
  <c r="BL315" i="10"/>
  <c r="BL316" i="10" s="1"/>
  <c r="AO315" i="10"/>
  <c r="AO316" i="10" s="1"/>
  <c r="C315" i="10"/>
  <c r="C316" i="10" s="1"/>
  <c r="BM315" i="10"/>
  <c r="BM316" i="10" s="1"/>
  <c r="Q315" i="10"/>
  <c r="CH315" i="10"/>
  <c r="AW315" i="10"/>
  <c r="AW316" i="10" s="1"/>
  <c r="H315" i="10"/>
  <c r="H316" i="10" s="1"/>
  <c r="W315" i="10"/>
  <c r="W316" i="10" s="1"/>
  <c r="CF315" i="10"/>
  <c r="DH315" i="10"/>
  <c r="DH316" i="10" s="1"/>
  <c r="D315" i="10"/>
  <c r="D316" i="10" s="1"/>
  <c r="CQ315" i="10"/>
  <c r="CQ316" i="10" s="1"/>
  <c r="AD315" i="10"/>
  <c r="AD316" i="10" s="1"/>
  <c r="BJ315" i="10"/>
  <c r="BJ316" i="10" s="1"/>
  <c r="BO315" i="10"/>
  <c r="BO316" i="10" s="1"/>
  <c r="S315" i="10"/>
  <c r="S316" i="10" s="1"/>
  <c r="DK315" i="10"/>
  <c r="DK316" i="10" s="1"/>
  <c r="F315" i="10"/>
  <c r="F316" i="10" s="1"/>
  <c r="AH315" i="10"/>
  <c r="AH316" i="10" s="1"/>
  <c r="CV315" i="10"/>
  <c r="AC315" i="10"/>
  <c r="CC315" i="10"/>
  <c r="CB315" i="10"/>
  <c r="CB316" i="10" s="1"/>
  <c r="X315" i="10"/>
  <c r="X316" i="10" s="1"/>
  <c r="DD315" i="10"/>
  <c r="DD316" i="10" s="1"/>
  <c r="CN315" i="10"/>
  <c r="CN316" i="10" s="1"/>
  <c r="AA315" i="10"/>
  <c r="AA316" i="10" s="1"/>
  <c r="BA315" i="10"/>
  <c r="BA316" i="10" s="1"/>
  <c r="AJ315" i="10"/>
  <c r="AJ316" i="10" s="1"/>
  <c r="L315" i="10"/>
  <c r="L316" i="10" s="1"/>
  <c r="BP315" i="10"/>
  <c r="BP316" i="10" s="1"/>
  <c r="BX315" i="10"/>
  <c r="BX316" i="10" s="1"/>
  <c r="CR315" i="10"/>
  <c r="CR316" i="10" s="1"/>
  <c r="BZ315" i="10"/>
  <c r="BZ316" i="10" s="1"/>
  <c r="CS315" i="10"/>
  <c r="CS316" i="10" s="1"/>
  <c r="BG315" i="10"/>
  <c r="R315" i="10"/>
  <c r="AS315" i="10"/>
  <c r="AS316" i="10" s="1"/>
  <c r="BS315" i="10"/>
  <c r="AN315" i="10"/>
  <c r="AN316" i="10" s="1"/>
  <c r="BN315" i="10"/>
  <c r="BN316" i="10" s="1"/>
  <c r="BE315" i="10"/>
  <c r="BE316" i="10" s="1"/>
  <c r="AI315" i="10"/>
  <c r="AI316" i="10" s="1"/>
  <c r="DF315" i="10"/>
  <c r="DF316" i="10" s="1"/>
  <c r="CG315" i="10"/>
  <c r="CG316" i="10" s="1"/>
  <c r="AP315" i="10"/>
  <c r="AP316" i="10" s="1"/>
  <c r="CK315" i="10"/>
  <c r="CK316" i="10" s="1"/>
  <c r="DG315" i="10"/>
  <c r="DG316" i="10" s="1"/>
  <c r="N315" i="10"/>
  <c r="N316" i="10" s="1"/>
  <c r="CJ315" i="10"/>
  <c r="CJ316" i="10" s="1"/>
  <c r="Y315" i="10"/>
  <c r="Y316" i="10" s="1"/>
  <c r="AE315" i="10"/>
  <c r="LE5" i="1"/>
  <c r="LE9" i="1" s="1"/>
  <c r="DE316" i="10"/>
  <c r="CM316" i="10"/>
  <c r="M316" i="10"/>
  <c r="P316" i="10"/>
  <c r="CI316" i="10"/>
  <c r="K316" i="10"/>
  <c r="AR316" i="10"/>
  <c r="CC316" i="10"/>
  <c r="BD316" i="10"/>
  <c r="BG316" i="10"/>
  <c r="CV316" i="10"/>
  <c r="BH316" i="10"/>
  <c r="BU316" i="10"/>
  <c r="AE316" i="10"/>
  <c r="R316" i="10"/>
  <c r="BT316" i="10"/>
  <c r="CA316" i="10"/>
  <c r="AY316" i="10"/>
  <c r="BS316" i="10"/>
  <c r="CF316" i="10"/>
  <c r="BK316" i="10"/>
  <c r="Q316" i="10"/>
  <c r="O316" i="10"/>
  <c r="AF316" i="10"/>
  <c r="AC316" i="10"/>
  <c r="AQ316" i="10"/>
  <c r="CL316" i="10"/>
  <c r="T316" i="10"/>
  <c r="CH316" i="10"/>
  <c r="CZ316" i="10"/>
  <c r="BB316" i="10"/>
  <c r="LE7" i="1" l="1"/>
  <c r="LE8" i="1" l="1"/>
  <c r="LF6" i="1"/>
  <c r="B317" i="10"/>
  <c r="LF2" i="1"/>
  <c r="LF10" i="1" s="1"/>
  <c r="DH317" i="10" l="1"/>
  <c r="CH317" i="10"/>
  <c r="AK317" i="10"/>
  <c r="AV317" i="10"/>
  <c r="BR317" i="10"/>
  <c r="AO317" i="10"/>
  <c r="CU317" i="10"/>
  <c r="BX317" i="10"/>
  <c r="DA317" i="10"/>
  <c r="CS317" i="10"/>
  <c r="BW317" i="10"/>
  <c r="AF317" i="10"/>
  <c r="AC317" i="10"/>
  <c r="O317" i="10"/>
  <c r="CP317" i="10"/>
  <c r="AA317" i="10"/>
  <c r="CN317" i="10"/>
  <c r="AH317" i="10"/>
  <c r="AJ317" i="10"/>
  <c r="BP317" i="10"/>
  <c r="CG317" i="10"/>
  <c r="L317" i="10"/>
  <c r="BK317" i="10"/>
  <c r="CR317" i="10"/>
  <c r="BV317" i="10"/>
  <c r="DI317" i="10"/>
  <c r="BQ317" i="10"/>
  <c r="BB317" i="10"/>
  <c r="W317" i="10"/>
  <c r="BU317" i="10"/>
  <c r="Z317" i="10"/>
  <c r="AZ317" i="10"/>
  <c r="K317" i="10"/>
  <c r="I317" i="10"/>
  <c r="AU317" i="10"/>
  <c r="X317" i="10"/>
  <c r="DJ317" i="10"/>
  <c r="BC317" i="10"/>
  <c r="CM317" i="10"/>
  <c r="AX317" i="10"/>
  <c r="CC317" i="10"/>
  <c r="CQ317" i="10"/>
  <c r="BA317" i="10"/>
  <c r="BJ317" i="10"/>
  <c r="AB317" i="10"/>
  <c r="DB317" i="10"/>
  <c r="AD317" i="10"/>
  <c r="AP317" i="10"/>
  <c r="R317" i="10"/>
  <c r="AN317" i="10"/>
  <c r="S317" i="10"/>
  <c r="CD317" i="10"/>
  <c r="Y317" i="10"/>
  <c r="AS317" i="10"/>
  <c r="CJ317" i="10"/>
  <c r="CF317" i="10"/>
  <c r="AG317" i="10"/>
  <c r="U317" i="10"/>
  <c r="CY317" i="10"/>
  <c r="AM317" i="10"/>
  <c r="M317" i="10"/>
  <c r="AI317" i="10"/>
  <c r="CT317" i="10"/>
  <c r="T317" i="10"/>
  <c r="BZ317" i="10"/>
  <c r="AE317" i="10"/>
  <c r="CI317" i="10"/>
  <c r="BY317" i="10"/>
  <c r="CE317" i="10"/>
  <c r="AR317" i="10"/>
  <c r="H317" i="10"/>
  <c r="C317" i="10"/>
  <c r="BG317" i="10"/>
  <c r="BI317" i="10"/>
  <c r="BM317" i="10"/>
  <c r="F317" i="10"/>
  <c r="BS317" i="10"/>
  <c r="AL317" i="10"/>
  <c r="AT317" i="10"/>
  <c r="BF317" i="10"/>
  <c r="N317" i="10"/>
  <c r="BN317" i="10"/>
  <c r="BD317" i="10"/>
  <c r="AQ317" i="10"/>
  <c r="AW317" i="10"/>
  <c r="CK317" i="10"/>
  <c r="J317" i="10"/>
  <c r="DK317" i="10"/>
  <c r="DE317" i="10"/>
  <c r="P317" i="10"/>
  <c r="DG317" i="10"/>
  <c r="BH317" i="10"/>
  <c r="CW317" i="10"/>
  <c r="CL317" i="10"/>
  <c r="BL317" i="10"/>
  <c r="BO317" i="10"/>
  <c r="G317" i="10"/>
  <c r="CX317" i="10"/>
  <c r="D317" i="10"/>
  <c r="DD317" i="10"/>
  <c r="CB317" i="10"/>
  <c r="DC317" i="10"/>
  <c r="CO317" i="10"/>
  <c r="V317" i="10"/>
  <c r="CZ317" i="10"/>
  <c r="CV317" i="10"/>
  <c r="AY317" i="10"/>
  <c r="BT317" i="10"/>
  <c r="Q317" i="10"/>
  <c r="BE317" i="10"/>
  <c r="DF317" i="10"/>
  <c r="CA317" i="10"/>
  <c r="E317" i="10"/>
  <c r="LF5" i="1"/>
  <c r="LF9" i="1" s="1"/>
  <c r="LF7" i="1" l="1"/>
  <c r="B318" i="10" l="1"/>
  <c r="LG6" i="1"/>
  <c r="LF8" i="1"/>
  <c r="LG2" i="1"/>
  <c r="LG10" i="1" s="1"/>
  <c r="LG5" i="1" l="1"/>
  <c r="LG9" i="1" s="1"/>
  <c r="Z318" i="10"/>
  <c r="AK318" i="10"/>
  <c r="AX318" i="10"/>
  <c r="BP318" i="10"/>
  <c r="CT318" i="10"/>
  <c r="CN318" i="10"/>
  <c r="BE318" i="10"/>
  <c r="BY318" i="10"/>
  <c r="AQ318" i="10"/>
  <c r="G318" i="10"/>
  <c r="DH318" i="10"/>
  <c r="AC318" i="10"/>
  <c r="CA318" i="10"/>
  <c r="CK318" i="10"/>
  <c r="BX318" i="10"/>
  <c r="AZ318" i="10"/>
  <c r="CC318" i="10"/>
  <c r="BI318" i="10"/>
  <c r="CV318" i="10"/>
  <c r="O318" i="10"/>
  <c r="CM318" i="10"/>
  <c r="BB318" i="10"/>
  <c r="BW318" i="10"/>
  <c r="BR318" i="10"/>
  <c r="CJ318" i="10"/>
  <c r="CW318" i="10"/>
  <c r="DD318" i="10"/>
  <c r="CP318" i="10"/>
  <c r="BM318" i="10"/>
  <c r="CQ318" i="10"/>
  <c r="BF318" i="10"/>
  <c r="DI318" i="10"/>
  <c r="BG318" i="10"/>
  <c r="BA318" i="10"/>
  <c r="BS318" i="10"/>
  <c r="CB318" i="10"/>
  <c r="P318" i="10"/>
  <c r="BU318" i="10"/>
  <c r="C318" i="10"/>
  <c r="BC318" i="10"/>
  <c r="H318" i="10"/>
  <c r="BN318" i="10"/>
  <c r="AT318" i="10"/>
  <c r="I318" i="10"/>
  <c r="M318" i="10"/>
  <c r="T318" i="10"/>
  <c r="CD318" i="10"/>
  <c r="AS318" i="10"/>
  <c r="CU318" i="10"/>
  <c r="BV318" i="10"/>
  <c r="CR318" i="10"/>
  <c r="AW318" i="10"/>
  <c r="AE318" i="10"/>
  <c r="CL318" i="10"/>
  <c r="DJ318" i="10"/>
  <c r="AN318" i="10"/>
  <c r="AL318" i="10"/>
  <c r="BD318" i="10"/>
  <c r="AH318" i="10"/>
  <c r="D318" i="10"/>
  <c r="DE318" i="10"/>
  <c r="AJ318" i="10"/>
  <c r="J318" i="10"/>
  <c r="AI318" i="10"/>
  <c r="CE318" i="10"/>
  <c r="W318" i="10"/>
  <c r="BZ318" i="10"/>
  <c r="AY318" i="10"/>
  <c r="AB318" i="10"/>
  <c r="BH318" i="10"/>
  <c r="BJ318" i="10"/>
  <c r="DC318" i="10"/>
  <c r="CS318" i="10"/>
  <c r="CF318" i="10"/>
  <c r="CO318" i="10"/>
  <c r="DB318" i="10"/>
  <c r="V318" i="10"/>
  <c r="U318" i="10"/>
  <c r="S318" i="10"/>
  <c r="CY318" i="10"/>
  <c r="CZ318" i="10"/>
  <c r="BO318" i="10"/>
  <c r="E318" i="10"/>
  <c r="DF318" i="10"/>
  <c r="AG318" i="10"/>
  <c r="AP318" i="10"/>
  <c r="BQ318" i="10"/>
  <c r="K318" i="10"/>
  <c r="AF318" i="10"/>
  <c r="AR318" i="10"/>
  <c r="L318" i="10"/>
  <c r="CH318" i="10"/>
  <c r="AM318" i="10"/>
  <c r="BT318" i="10"/>
  <c r="AU318" i="10"/>
  <c r="AV318" i="10"/>
  <c r="DA318" i="10"/>
  <c r="BK318" i="10"/>
  <c r="CI318" i="10"/>
  <c r="F318" i="10"/>
  <c r="R318" i="10"/>
  <c r="CX318" i="10"/>
  <c r="DG318" i="10"/>
  <c r="Y318" i="10"/>
  <c r="CG318" i="10"/>
  <c r="BL318" i="10"/>
  <c r="AD318" i="10"/>
  <c r="AO318" i="10"/>
  <c r="DK318" i="10"/>
  <c r="Q318" i="10"/>
  <c r="AA318" i="10"/>
  <c r="N318" i="10"/>
  <c r="X318" i="10"/>
  <c r="LG7" i="1" l="1"/>
  <c r="LH6" i="1" l="1"/>
  <c r="LG8" i="1"/>
  <c r="B319" i="10"/>
  <c r="LH2" i="1"/>
  <c r="LH5" i="1" s="1"/>
  <c r="LH9" i="1" s="1"/>
  <c r="LH7" i="1" l="1"/>
  <c r="LH10" i="1"/>
  <c r="S319" i="10"/>
  <c r="CB319" i="10"/>
  <c r="C319" i="10"/>
  <c r="AN319" i="10"/>
  <c r="O319" i="10"/>
  <c r="BD319" i="10"/>
  <c r="AI319" i="10"/>
  <c r="DB319" i="10"/>
  <c r="BT319" i="10"/>
  <c r="AB319" i="10"/>
  <c r="CX319" i="10"/>
  <c r="DJ319" i="10"/>
  <c r="AU319" i="10"/>
  <c r="CA319" i="10"/>
  <c r="AP319" i="10"/>
  <c r="BC319" i="10"/>
  <c r="J319" i="10"/>
  <c r="CY319" i="10"/>
  <c r="BR319" i="10"/>
  <c r="BI319" i="10"/>
  <c r="AK319" i="10"/>
  <c r="AM319" i="10"/>
  <c r="CI319" i="10"/>
  <c r="Z319" i="10"/>
  <c r="U319" i="10"/>
  <c r="AZ319" i="10"/>
  <c r="W319" i="10"/>
  <c r="BE319" i="10"/>
  <c r="BF319" i="10"/>
  <c r="DC319" i="10"/>
  <c r="CS319" i="10"/>
  <c r="M319" i="10"/>
  <c r="CF319" i="10"/>
  <c r="BZ319" i="10"/>
  <c r="K319" i="10"/>
  <c r="BS319" i="10"/>
  <c r="DG319" i="10"/>
  <c r="P319" i="10"/>
  <c r="BU319" i="10"/>
  <c r="CV319" i="10"/>
  <c r="T319" i="10"/>
  <c r="DD319" i="10"/>
  <c r="AR319" i="10"/>
  <c r="L319" i="10"/>
  <c r="DE319" i="10"/>
  <c r="BX319" i="10"/>
  <c r="AQ319" i="10"/>
  <c r="AF319" i="10"/>
  <c r="CQ319" i="10"/>
  <c r="CK319" i="10"/>
  <c r="DI319" i="10"/>
  <c r="AD319" i="10"/>
  <c r="DK319" i="10"/>
  <c r="AV319" i="10"/>
  <c r="D319" i="10"/>
  <c r="AY319" i="10"/>
  <c r="CG319" i="10"/>
  <c r="BB319" i="10"/>
  <c r="CN319" i="10"/>
  <c r="CU319" i="10"/>
  <c r="CR319" i="10"/>
  <c r="N319" i="10"/>
  <c r="I319" i="10"/>
  <c r="E319" i="10"/>
  <c r="CD319" i="10"/>
  <c r="BG319" i="10"/>
  <c r="BQ319" i="10"/>
  <c r="AO319" i="10"/>
  <c r="BJ319" i="10"/>
  <c r="R319" i="10"/>
  <c r="BW319" i="10"/>
  <c r="AH319" i="10"/>
  <c r="AW319" i="10"/>
  <c r="AT319" i="10"/>
  <c r="CW319" i="10"/>
  <c r="AE319" i="10"/>
  <c r="BH319" i="10"/>
  <c r="DF319" i="10"/>
  <c r="AL319" i="10"/>
  <c r="AX319" i="10"/>
  <c r="F319" i="10"/>
  <c r="BO319" i="10"/>
  <c r="G319" i="10"/>
  <c r="DH319" i="10"/>
  <c r="CH319" i="10"/>
  <c r="DA319" i="10"/>
  <c r="Y319" i="10"/>
  <c r="CL319" i="10"/>
  <c r="AJ319" i="10"/>
  <c r="CJ319" i="10"/>
  <c r="BN319" i="10"/>
  <c r="BK319" i="10"/>
  <c r="BA319" i="10"/>
  <c r="BY319" i="10"/>
  <c r="BL319" i="10"/>
  <c r="CE319" i="10"/>
  <c r="X319" i="10"/>
  <c r="AG319" i="10"/>
  <c r="Q319" i="10"/>
  <c r="CP319" i="10"/>
  <c r="BM319" i="10"/>
  <c r="CC319" i="10"/>
  <c r="BP319" i="10"/>
  <c r="CO319" i="10"/>
  <c r="AA319" i="10"/>
  <c r="CM319" i="10"/>
  <c r="CT319" i="10"/>
  <c r="H319" i="10"/>
  <c r="BV319" i="10"/>
  <c r="V319" i="10"/>
  <c r="CZ319" i="10"/>
  <c r="AS319" i="10"/>
  <c r="AC319" i="10"/>
  <c r="LH8" i="1" l="1"/>
  <c r="B320" i="10"/>
  <c r="LI6" i="1"/>
  <c r="LI2" i="1"/>
  <c r="LI5" i="1" s="1"/>
  <c r="LI9" i="1" s="1"/>
  <c r="LI7" i="1" l="1"/>
  <c r="LI10" i="1"/>
  <c r="DE320" i="10"/>
  <c r="M320" i="10"/>
  <c r="CU320" i="10"/>
  <c r="BV320" i="10"/>
  <c r="BW320" i="10"/>
  <c r="BE320" i="10"/>
  <c r="AF320" i="10"/>
  <c r="CE320" i="10"/>
  <c r="BU320" i="10"/>
  <c r="BH320" i="10"/>
  <c r="F320" i="10"/>
  <c r="BB320" i="10"/>
  <c r="BA320" i="10"/>
  <c r="Z320" i="10"/>
  <c r="AZ320" i="10"/>
  <c r="AM320" i="10"/>
  <c r="D320" i="10"/>
  <c r="BY320" i="10"/>
  <c r="AG320" i="10"/>
  <c r="BJ320" i="10"/>
  <c r="BP320" i="10"/>
  <c r="DG320" i="10"/>
  <c r="AX320" i="10"/>
  <c r="CW320" i="10"/>
  <c r="BC320" i="10"/>
  <c r="CT320" i="10"/>
  <c r="DC320" i="10"/>
  <c r="I320" i="10"/>
  <c r="CG320" i="10"/>
  <c r="AS320" i="10"/>
  <c r="CV320" i="10"/>
  <c r="AN320" i="10"/>
  <c r="S320" i="10"/>
  <c r="AI320" i="10"/>
  <c r="C320" i="10"/>
  <c r="CF320" i="10"/>
  <c r="O320" i="10"/>
  <c r="BL320" i="10"/>
  <c r="AV320" i="10"/>
  <c r="AD320" i="10"/>
  <c r="CL320" i="10"/>
  <c r="H320" i="10"/>
  <c r="DB320" i="10"/>
  <c r="U320" i="10"/>
  <c r="AT320" i="10"/>
  <c r="CZ320" i="10"/>
  <c r="AY320" i="10"/>
  <c r="DH320" i="10"/>
  <c r="AA320" i="10"/>
  <c r="AE320" i="10"/>
  <c r="CJ320" i="10"/>
  <c r="BG320" i="10"/>
  <c r="BD320" i="10"/>
  <c r="P320" i="10"/>
  <c r="BI320" i="10"/>
  <c r="DD320" i="10"/>
  <c r="BS320" i="10"/>
  <c r="BZ320" i="10"/>
  <c r="AJ320" i="10"/>
  <c r="CH320" i="10"/>
  <c r="W320" i="10"/>
  <c r="BX320" i="10"/>
  <c r="AW320" i="10"/>
  <c r="DI320" i="10"/>
  <c r="CN320" i="10"/>
  <c r="CB320" i="10"/>
  <c r="N320" i="10"/>
  <c r="CC320" i="10"/>
  <c r="Q320" i="10"/>
  <c r="DK320" i="10"/>
  <c r="T320" i="10"/>
  <c r="X320" i="10"/>
  <c r="AB320" i="10"/>
  <c r="CS320" i="10"/>
  <c r="BT320" i="10"/>
  <c r="AU320" i="10"/>
  <c r="CY320" i="10"/>
  <c r="AL320" i="10"/>
  <c r="CR320" i="10"/>
  <c r="BK320" i="10"/>
  <c r="Y320" i="10"/>
  <c r="BF320" i="10"/>
  <c r="AC320" i="10"/>
  <c r="CP320" i="10"/>
  <c r="DF320" i="10"/>
  <c r="G320" i="10"/>
  <c r="CM320" i="10"/>
  <c r="BM320" i="10"/>
  <c r="AP320" i="10"/>
  <c r="V320" i="10"/>
  <c r="CQ320" i="10"/>
  <c r="L320" i="10"/>
  <c r="AR320" i="10"/>
  <c r="BR320" i="10"/>
  <c r="CA320" i="10"/>
  <c r="CD320" i="10"/>
  <c r="AH320" i="10"/>
  <c r="DA320" i="10"/>
  <c r="AO320" i="10"/>
  <c r="AQ320" i="10"/>
  <c r="BN320" i="10"/>
  <c r="CX320" i="10"/>
  <c r="BQ320" i="10"/>
  <c r="CI320" i="10"/>
  <c r="J320" i="10"/>
  <c r="K320" i="10"/>
  <c r="CK320" i="10"/>
  <c r="CO320" i="10"/>
  <c r="AK320" i="10"/>
  <c r="E320" i="10"/>
  <c r="R320" i="10"/>
  <c r="BO320" i="10"/>
  <c r="DJ320" i="10"/>
  <c r="B321" i="10" l="1"/>
  <c r="LJ6" i="1"/>
  <c r="LI8" i="1"/>
  <c r="LJ2" i="1"/>
  <c r="LJ5" i="1" s="1"/>
  <c r="LJ9" i="1" s="1"/>
  <c r="LJ7" i="1" l="1"/>
  <c r="LJ10" i="1"/>
  <c r="AZ321" i="10"/>
  <c r="AV321" i="10"/>
  <c r="CQ321" i="10"/>
  <c r="CD321" i="10"/>
  <c r="BT321" i="10"/>
  <c r="DG321" i="10"/>
  <c r="BP321" i="10"/>
  <c r="N321" i="10"/>
  <c r="U321" i="10"/>
  <c r="CK321" i="10"/>
  <c r="BZ321" i="10"/>
  <c r="AU321" i="10"/>
  <c r="F321" i="10"/>
  <c r="DF321" i="10"/>
  <c r="DJ321" i="10"/>
  <c r="BQ321" i="10"/>
  <c r="BR321" i="10"/>
  <c r="BC321" i="10"/>
  <c r="BB321" i="10"/>
  <c r="DE321" i="10"/>
  <c r="W321" i="10"/>
  <c r="AX321" i="10"/>
  <c r="BV321" i="10"/>
  <c r="X321" i="10"/>
  <c r="P321" i="10"/>
  <c r="CL321" i="10"/>
  <c r="K321" i="10"/>
  <c r="CU321" i="10"/>
  <c r="I321" i="10"/>
  <c r="D321" i="10"/>
  <c r="AA321" i="10"/>
  <c r="BG321" i="10"/>
  <c r="DA321" i="10"/>
  <c r="AK321" i="10"/>
  <c r="BX321" i="10"/>
  <c r="CH321" i="10"/>
  <c r="CI321" i="10"/>
  <c r="R321" i="10"/>
  <c r="BF321" i="10"/>
  <c r="AQ321" i="10"/>
  <c r="AW321" i="10"/>
  <c r="DK321" i="10"/>
  <c r="AB321" i="10"/>
  <c r="BU321" i="10"/>
  <c r="C321" i="10"/>
  <c r="BM321" i="10"/>
  <c r="AY321" i="10"/>
  <c r="DI321" i="10"/>
  <c r="CF321" i="10"/>
  <c r="CW321" i="10"/>
  <c r="CY321" i="10"/>
  <c r="AR321" i="10"/>
  <c r="J321" i="10"/>
  <c r="S321" i="10"/>
  <c r="CE321" i="10"/>
  <c r="BN321" i="10"/>
  <c r="CX321" i="10"/>
  <c r="CV321" i="10"/>
  <c r="AF321" i="10"/>
  <c r="O321" i="10"/>
  <c r="BS321" i="10"/>
  <c r="T321" i="10"/>
  <c r="AO321" i="10"/>
  <c r="CJ321" i="10"/>
  <c r="V321" i="10"/>
  <c r="AG321" i="10"/>
  <c r="CA321" i="10"/>
  <c r="AJ321" i="10"/>
  <c r="Z321" i="10"/>
  <c r="DD321" i="10"/>
  <c r="E321" i="10"/>
  <c r="CZ321" i="10"/>
  <c r="BL321" i="10"/>
  <c r="BK321" i="10"/>
  <c r="Q321" i="10"/>
  <c r="CP321" i="10"/>
  <c r="AP321" i="10"/>
  <c r="CN321" i="10"/>
  <c r="BH321" i="10"/>
  <c r="CG321" i="10"/>
  <c r="BY321" i="10"/>
  <c r="DH321" i="10"/>
  <c r="AL321" i="10"/>
  <c r="AM321" i="10"/>
  <c r="CB321" i="10"/>
  <c r="AI321" i="10"/>
  <c r="AH321" i="10"/>
  <c r="AD321" i="10"/>
  <c r="AE321" i="10"/>
  <c r="L321" i="10"/>
  <c r="BO321" i="10"/>
  <c r="CR321" i="10"/>
  <c r="CT321" i="10"/>
  <c r="CC321" i="10"/>
  <c r="Y321" i="10"/>
  <c r="BE321" i="10"/>
  <c r="AS321" i="10"/>
  <c r="DB321" i="10"/>
  <c r="BW321" i="10"/>
  <c r="BI321" i="10"/>
  <c r="DC321" i="10"/>
  <c r="CM321" i="10"/>
  <c r="H321" i="10"/>
  <c r="BA321" i="10"/>
  <c r="BD321" i="10"/>
  <c r="AT321" i="10"/>
  <c r="BJ321" i="10"/>
  <c r="CO321" i="10"/>
  <c r="CS321" i="10"/>
  <c r="M321" i="10"/>
  <c r="G321" i="10"/>
  <c r="AC321" i="10"/>
  <c r="AN321" i="10"/>
  <c r="LK2" i="1" l="1"/>
  <c r="LK5" i="1" s="1"/>
  <c r="LK9" i="1" s="1"/>
  <c r="B322" i="10"/>
  <c r="LJ8" i="1"/>
  <c r="LK6" i="1"/>
  <c r="LK10" i="1"/>
  <c r="LK7" i="1" l="1"/>
  <c r="T322" i="10"/>
  <c r="AD322" i="10"/>
  <c r="X322" i="10"/>
  <c r="DH322" i="10"/>
  <c r="DI322" i="10"/>
  <c r="AS322" i="10"/>
  <c r="AA322" i="10"/>
  <c r="AB322" i="10"/>
  <c r="AJ322" i="10"/>
  <c r="BG322" i="10"/>
  <c r="BR322" i="10"/>
  <c r="AG322" i="10"/>
  <c r="BQ322" i="10"/>
  <c r="DF322" i="10"/>
  <c r="BI322" i="10"/>
  <c r="BM322" i="10"/>
  <c r="DG322" i="10"/>
  <c r="AO322" i="10"/>
  <c r="AZ322" i="10"/>
  <c r="BS322" i="10"/>
  <c r="AH322" i="10"/>
  <c r="AK322" i="10"/>
  <c r="Z322" i="10"/>
  <c r="L322" i="10"/>
  <c r="AF322" i="10"/>
  <c r="AC322" i="10"/>
  <c r="F322" i="10"/>
  <c r="BD322" i="10"/>
  <c r="CS322" i="10"/>
  <c r="G322" i="10"/>
  <c r="BJ322" i="10"/>
  <c r="Q322" i="10"/>
  <c r="CM322" i="10"/>
  <c r="CH322" i="10"/>
  <c r="H322" i="10"/>
  <c r="E322" i="10"/>
  <c r="CG322" i="10"/>
  <c r="AI322" i="10"/>
  <c r="CY322" i="10"/>
  <c r="AX322" i="10"/>
  <c r="P322" i="10"/>
  <c r="CJ322" i="10"/>
  <c r="CP322" i="10"/>
  <c r="AQ322" i="10"/>
  <c r="BL322" i="10"/>
  <c r="K322" i="10"/>
  <c r="CZ322" i="10"/>
  <c r="CT322" i="10"/>
  <c r="AE322" i="10"/>
  <c r="Y322" i="10"/>
  <c r="BN322" i="10"/>
  <c r="M322" i="10"/>
  <c r="AT322" i="10"/>
  <c r="BV322" i="10"/>
  <c r="CR322" i="10"/>
  <c r="CU322" i="10"/>
  <c r="DB322" i="10"/>
  <c r="V322" i="10"/>
  <c r="CD322" i="10"/>
  <c r="AL322" i="10"/>
  <c r="CC322" i="10"/>
  <c r="CF322" i="10"/>
  <c r="AR322" i="10"/>
  <c r="BW322" i="10"/>
  <c r="AU322" i="10"/>
  <c r="DK322" i="10"/>
  <c r="J322" i="10"/>
  <c r="BP322" i="10"/>
  <c r="U322" i="10"/>
  <c r="DC322" i="10"/>
  <c r="BH322" i="10"/>
  <c r="W322" i="10"/>
  <c r="CI322" i="10"/>
  <c r="BA322" i="10"/>
  <c r="CL322" i="10"/>
  <c r="CW322" i="10"/>
  <c r="AV322" i="10"/>
  <c r="CQ322" i="10"/>
  <c r="AM322" i="10"/>
  <c r="DJ322" i="10"/>
  <c r="AY322" i="10"/>
  <c r="BC322" i="10"/>
  <c r="CK322" i="10"/>
  <c r="CV322" i="10"/>
  <c r="CN322" i="10"/>
  <c r="CO322" i="10"/>
  <c r="R322" i="10"/>
  <c r="D322" i="10"/>
  <c r="BB322" i="10"/>
  <c r="O322" i="10"/>
  <c r="N322" i="10"/>
  <c r="BE322" i="10"/>
  <c r="CE322" i="10"/>
  <c r="BX322" i="10"/>
  <c r="S322" i="10"/>
  <c r="AP322" i="10"/>
  <c r="CA322" i="10"/>
  <c r="BU322" i="10"/>
  <c r="BF322" i="10"/>
  <c r="BZ322" i="10"/>
  <c r="BO322" i="10"/>
  <c r="BY322" i="10"/>
  <c r="CX322" i="10"/>
  <c r="C322" i="10"/>
  <c r="BT322" i="10"/>
  <c r="DA322" i="10"/>
  <c r="CB322" i="10"/>
  <c r="DD322" i="10"/>
  <c r="BK322" i="10"/>
  <c r="AW322" i="10"/>
  <c r="I322" i="10"/>
  <c r="DE322" i="10"/>
  <c r="AN322" i="10"/>
  <c r="B323" i="10" l="1"/>
  <c r="LK8" i="1"/>
  <c r="LL6" i="1"/>
  <c r="LL2" i="1"/>
  <c r="LL10" i="1" s="1"/>
  <c r="LL5" i="1" l="1"/>
  <c r="LL9" i="1" s="1"/>
  <c r="Z323" i="10"/>
  <c r="BQ323" i="10"/>
  <c r="I323" i="10"/>
  <c r="CT323" i="10"/>
  <c r="AS323" i="10"/>
  <c r="AW323" i="10"/>
  <c r="AR323" i="10"/>
  <c r="AU323" i="10"/>
  <c r="P323" i="10"/>
  <c r="BP323" i="10"/>
  <c r="AQ323" i="10"/>
  <c r="DD323" i="10"/>
  <c r="Y323" i="10"/>
  <c r="BA323" i="10"/>
  <c r="CV323" i="10"/>
  <c r="CS323" i="10"/>
  <c r="CX323" i="10"/>
  <c r="BK323" i="10"/>
  <c r="BF323" i="10"/>
  <c r="BG323" i="10"/>
  <c r="CK323" i="10"/>
  <c r="CU323" i="10"/>
  <c r="BS323" i="10"/>
  <c r="CF323" i="10"/>
  <c r="AO323" i="10"/>
  <c r="BX323" i="10"/>
  <c r="CI323" i="10"/>
  <c r="X323" i="10"/>
  <c r="DE323" i="10"/>
  <c r="CP323" i="10"/>
  <c r="BM323" i="10"/>
  <c r="CM323" i="10"/>
  <c r="DH323" i="10"/>
  <c r="N323" i="10"/>
  <c r="BB323" i="10"/>
  <c r="CQ323" i="10"/>
  <c r="S323" i="10"/>
  <c r="CG323" i="10"/>
  <c r="BD323" i="10"/>
  <c r="W323" i="10"/>
  <c r="BJ323" i="10"/>
  <c r="CC323" i="10"/>
  <c r="BR323" i="10"/>
  <c r="AA323" i="10"/>
  <c r="DB323" i="10"/>
  <c r="U323" i="10"/>
  <c r="L323" i="10"/>
  <c r="AJ323" i="10"/>
  <c r="AL323" i="10"/>
  <c r="AY323" i="10"/>
  <c r="AV323" i="10"/>
  <c r="CN323" i="10"/>
  <c r="C323" i="10"/>
  <c r="G323" i="10"/>
  <c r="AH323" i="10"/>
  <c r="AI323" i="10"/>
  <c r="BV323" i="10"/>
  <c r="CA323" i="10"/>
  <c r="M323" i="10"/>
  <c r="BZ323" i="10"/>
  <c r="AP323" i="10"/>
  <c r="DC323" i="10"/>
  <c r="AF323" i="10"/>
  <c r="DI323" i="10"/>
  <c r="K323" i="10"/>
  <c r="CZ323" i="10"/>
  <c r="CJ323" i="10"/>
  <c r="CD323" i="10"/>
  <c r="AN323" i="10"/>
  <c r="DK323" i="10"/>
  <c r="CL323" i="10"/>
  <c r="BT323" i="10"/>
  <c r="BU323" i="10"/>
  <c r="Q323" i="10"/>
  <c r="AX323" i="10"/>
  <c r="AE323" i="10"/>
  <c r="CY323" i="10"/>
  <c r="R323" i="10"/>
  <c r="AB323" i="10"/>
  <c r="F323" i="10"/>
  <c r="AM323" i="10"/>
  <c r="BW323" i="10"/>
  <c r="BE323" i="10"/>
  <c r="DA323" i="10"/>
  <c r="AK323" i="10"/>
  <c r="AC323" i="10"/>
  <c r="BL323" i="10"/>
  <c r="AG323" i="10"/>
  <c r="BN323" i="10"/>
  <c r="T323" i="10"/>
  <c r="O323" i="10"/>
  <c r="AD323" i="10"/>
  <c r="D323" i="10"/>
  <c r="J323" i="10"/>
  <c r="CO323" i="10"/>
  <c r="CR323" i="10"/>
  <c r="AT323" i="10"/>
  <c r="BH323" i="10"/>
  <c r="DJ323" i="10"/>
  <c r="BC323" i="10"/>
  <c r="E323" i="10"/>
  <c r="CB323" i="10"/>
  <c r="BY323" i="10"/>
  <c r="AZ323" i="10"/>
  <c r="DF323" i="10"/>
  <c r="DG323" i="10"/>
  <c r="V323" i="10"/>
  <c r="CH323" i="10"/>
  <c r="BI323" i="10"/>
  <c r="CE323" i="10"/>
  <c r="BO323" i="10"/>
  <c r="CW323" i="10"/>
  <c r="H323" i="10"/>
  <c r="LL7" i="1" l="1"/>
  <c r="B324" i="10"/>
  <c r="LL8" i="1"/>
  <c r="LM6" i="1"/>
  <c r="LM2" i="1"/>
  <c r="LM5" i="1" s="1"/>
  <c r="LM9" i="1" s="1"/>
  <c r="LM7" i="1" l="1"/>
  <c r="LM10" i="1"/>
  <c r="DF324" i="10"/>
  <c r="BI324" i="10"/>
  <c r="DB324" i="10"/>
  <c r="AE324" i="10"/>
  <c r="CX324" i="10"/>
  <c r="CT324" i="10"/>
  <c r="P324" i="10"/>
  <c r="CY324" i="10"/>
  <c r="CL324" i="10"/>
  <c r="BP324" i="10"/>
  <c r="N324" i="10"/>
  <c r="D324" i="10"/>
  <c r="AM324" i="10"/>
  <c r="AU324" i="10"/>
  <c r="X324" i="10"/>
  <c r="Z324" i="10"/>
  <c r="AY324" i="10"/>
  <c r="DG324" i="10"/>
  <c r="AD324" i="10"/>
  <c r="DJ324" i="10"/>
  <c r="BW324" i="10"/>
  <c r="CA324" i="10"/>
  <c r="AO324" i="10"/>
  <c r="AX324" i="10"/>
  <c r="BT324" i="10"/>
  <c r="AT324" i="10"/>
  <c r="CN324" i="10"/>
  <c r="CG324" i="10"/>
  <c r="AL324" i="10"/>
  <c r="BS324" i="10"/>
  <c r="CQ324" i="10"/>
  <c r="AH324" i="10"/>
  <c r="CW324" i="10"/>
  <c r="BQ324" i="10"/>
  <c r="CB324" i="10"/>
  <c r="S324" i="10"/>
  <c r="BA324" i="10"/>
  <c r="BR324" i="10"/>
  <c r="AB324" i="10"/>
  <c r="AP324" i="10"/>
  <c r="CK324" i="10"/>
  <c r="Y324" i="10"/>
  <c r="DD324" i="10"/>
  <c r="DI324" i="10"/>
  <c r="M324" i="10"/>
  <c r="DC324" i="10"/>
  <c r="BB324" i="10"/>
  <c r="AI324" i="10"/>
  <c r="CU324" i="10"/>
  <c r="BD324" i="10"/>
  <c r="E324" i="10"/>
  <c r="AJ324" i="10"/>
  <c r="AC324" i="10"/>
  <c r="K324" i="10"/>
  <c r="AQ324" i="10"/>
  <c r="AK324" i="10"/>
  <c r="CO324" i="10"/>
  <c r="C324" i="10"/>
  <c r="DK324" i="10"/>
  <c r="H324" i="10"/>
  <c r="AW324" i="10"/>
  <c r="W324" i="10"/>
  <c r="BX324" i="10"/>
  <c r="DE324" i="10"/>
  <c r="AN324" i="10"/>
  <c r="V324" i="10"/>
  <c r="BO324" i="10"/>
  <c r="O324" i="10"/>
  <c r="AR324" i="10"/>
  <c r="AS324" i="10"/>
  <c r="Q324" i="10"/>
  <c r="BC324" i="10"/>
  <c r="T324" i="10"/>
  <c r="AG324" i="10"/>
  <c r="G324" i="10"/>
  <c r="L324" i="10"/>
  <c r="BE324" i="10"/>
  <c r="BM324" i="10"/>
  <c r="CH324" i="10"/>
  <c r="CI324" i="10"/>
  <c r="DA324" i="10"/>
  <c r="BU324" i="10"/>
  <c r="U324" i="10"/>
  <c r="AZ324" i="10"/>
  <c r="CV324" i="10"/>
  <c r="CJ324" i="10"/>
  <c r="CC324" i="10"/>
  <c r="CR324" i="10"/>
  <c r="CP324" i="10"/>
  <c r="BY324" i="10"/>
  <c r="CZ324" i="10"/>
  <c r="BV324" i="10"/>
  <c r="CE324" i="10"/>
  <c r="R324" i="10"/>
  <c r="BN324" i="10"/>
  <c r="CS324" i="10"/>
  <c r="AF324" i="10"/>
  <c r="BG324" i="10"/>
  <c r="BF324" i="10"/>
  <c r="BL324" i="10"/>
  <c r="DH324" i="10"/>
  <c r="AA324" i="10"/>
  <c r="CD324" i="10"/>
  <c r="J324" i="10"/>
  <c r="AV324" i="10"/>
  <c r="BZ324" i="10"/>
  <c r="CM324" i="10"/>
  <c r="BH324" i="10"/>
  <c r="BJ324" i="10"/>
  <c r="BK324" i="10"/>
  <c r="CF324" i="10"/>
  <c r="F324" i="10"/>
  <c r="I324" i="10"/>
  <c r="LN2" i="1" l="1"/>
  <c r="LN5" i="1" s="1"/>
  <c r="LN9" i="1" s="1"/>
  <c r="B325" i="10"/>
  <c r="LN10" i="1"/>
  <c r="LM8" i="1"/>
  <c r="LN6" i="1"/>
  <c r="LN7" i="1" l="1"/>
  <c r="AJ325" i="10"/>
  <c r="V325" i="10"/>
  <c r="Y325" i="10"/>
  <c r="CF325" i="10"/>
  <c r="X325" i="10"/>
  <c r="CI325" i="10"/>
  <c r="CR325" i="10"/>
  <c r="AA325" i="10"/>
  <c r="AU325" i="10"/>
  <c r="U325" i="10"/>
  <c r="AY325" i="10"/>
  <c r="CS325" i="10"/>
  <c r="BJ325" i="10"/>
  <c r="CX325" i="10"/>
  <c r="CW325" i="10"/>
  <c r="AV325" i="10"/>
  <c r="P325" i="10"/>
  <c r="CZ325" i="10"/>
  <c r="AQ325" i="10"/>
  <c r="BG325" i="10"/>
  <c r="DD325" i="10"/>
  <c r="C325" i="10"/>
  <c r="AH325" i="10"/>
  <c r="BR325" i="10"/>
  <c r="AC325" i="10"/>
  <c r="AD325" i="10"/>
  <c r="BE325" i="10"/>
  <c r="CD325" i="10"/>
  <c r="O325" i="10"/>
  <c r="AX325" i="10"/>
  <c r="AO325" i="10"/>
  <c r="AG325" i="10"/>
  <c r="CH325" i="10"/>
  <c r="BP325" i="10"/>
  <c r="AN325" i="10"/>
  <c r="AR325" i="10"/>
  <c r="D325" i="10"/>
  <c r="CN325" i="10"/>
  <c r="S325" i="10"/>
  <c r="CT325" i="10"/>
  <c r="N325" i="10"/>
  <c r="BC325" i="10"/>
  <c r="BI325" i="10"/>
  <c r="AK325" i="10"/>
  <c r="CL325" i="10"/>
  <c r="BD325" i="10"/>
  <c r="CQ325" i="10"/>
  <c r="G325" i="10"/>
  <c r="BK325" i="10"/>
  <c r="AE325" i="10"/>
  <c r="DF325" i="10"/>
  <c r="DK325" i="10"/>
  <c r="AB325" i="10"/>
  <c r="BB325" i="10"/>
  <c r="BH325" i="10"/>
  <c r="DA325" i="10"/>
  <c r="W325" i="10"/>
  <c r="CJ325" i="10"/>
  <c r="DH325" i="10"/>
  <c r="BQ325" i="10"/>
  <c r="DJ325" i="10"/>
  <c r="CP325" i="10"/>
  <c r="BA325" i="10"/>
  <c r="CK325" i="10"/>
  <c r="BY325" i="10"/>
  <c r="CM325" i="10"/>
  <c r="AF325" i="10"/>
  <c r="AM325" i="10"/>
  <c r="AP325" i="10"/>
  <c r="AL325" i="10"/>
  <c r="F325" i="10"/>
  <c r="BM325" i="10"/>
  <c r="DI325" i="10"/>
  <c r="CB325" i="10"/>
  <c r="AI325" i="10"/>
  <c r="M325" i="10"/>
  <c r="DC325" i="10"/>
  <c r="CO325" i="10"/>
  <c r="H325" i="10"/>
  <c r="BF325" i="10"/>
  <c r="DG325" i="10"/>
  <c r="AS325" i="10"/>
  <c r="CG325" i="10"/>
  <c r="BN325" i="10"/>
  <c r="BL325" i="10"/>
  <c r="CE325" i="10"/>
  <c r="K325" i="10"/>
  <c r="AT325" i="10"/>
  <c r="BT325" i="10"/>
  <c r="CA325" i="10"/>
  <c r="L325" i="10"/>
  <c r="BZ325" i="10"/>
  <c r="I325" i="10"/>
  <c r="CU325" i="10"/>
  <c r="CC325" i="10"/>
  <c r="E325" i="10"/>
  <c r="CV325" i="10"/>
  <c r="Z325" i="10"/>
  <c r="AZ325" i="10"/>
  <c r="BS325" i="10"/>
  <c r="DE325" i="10"/>
  <c r="BO325" i="10"/>
  <c r="R325" i="10"/>
  <c r="T325" i="10"/>
  <c r="AW325" i="10"/>
  <c r="BU325" i="10"/>
  <c r="CY325" i="10"/>
  <c r="Q325" i="10"/>
  <c r="J325" i="10"/>
  <c r="DB325" i="10"/>
  <c r="BV325" i="10"/>
  <c r="BX325" i="10"/>
  <c r="BW325" i="10"/>
  <c r="LN8" i="1" l="1"/>
  <c r="B326" i="10"/>
  <c r="LO6" i="1"/>
  <c r="LO2" i="1"/>
  <c r="LO5" i="1" s="1"/>
  <c r="LO7" i="1" l="1"/>
  <c r="LO9" i="1"/>
  <c r="LO8" i="1"/>
  <c r="LP6" i="1"/>
  <c r="B327" i="10"/>
  <c r="CC327" i="10" s="1"/>
  <c r="LO10" i="1"/>
  <c r="AC326" i="10"/>
  <c r="CR326" i="10"/>
  <c r="AG326" i="10"/>
  <c r="AN326" i="10"/>
  <c r="AM326" i="10"/>
  <c r="BS326" i="10"/>
  <c r="BO326" i="10"/>
  <c r="AE326" i="10"/>
  <c r="DD326" i="10"/>
  <c r="AT326" i="10"/>
  <c r="DI326" i="10"/>
  <c r="N326" i="10"/>
  <c r="BR326" i="10"/>
  <c r="CT326" i="10"/>
  <c r="BH326" i="10"/>
  <c r="AS326" i="10"/>
  <c r="AY326" i="10"/>
  <c r="M326" i="10"/>
  <c r="AK326" i="10"/>
  <c r="DJ326" i="10"/>
  <c r="F326" i="10"/>
  <c r="CS326" i="10"/>
  <c r="DH326" i="10"/>
  <c r="DB326" i="10"/>
  <c r="BJ326" i="10"/>
  <c r="CQ326" i="10"/>
  <c r="W326" i="10"/>
  <c r="T326" i="10"/>
  <c r="BA326" i="10"/>
  <c r="BG326" i="10"/>
  <c r="V326" i="10"/>
  <c r="AI326" i="10"/>
  <c r="BF326" i="10"/>
  <c r="AX326" i="10"/>
  <c r="AA326" i="10"/>
  <c r="CF326" i="10"/>
  <c r="CX326" i="10"/>
  <c r="AB326" i="10"/>
  <c r="BT326" i="10"/>
  <c r="BU326" i="10"/>
  <c r="I326" i="10"/>
  <c r="R326" i="10"/>
  <c r="CU326" i="10"/>
  <c r="BN326" i="10"/>
  <c r="BB326" i="10"/>
  <c r="CB326" i="10"/>
  <c r="L326" i="10"/>
  <c r="DG326" i="10"/>
  <c r="DK326" i="10"/>
  <c r="AV326" i="10"/>
  <c r="U326" i="10"/>
  <c r="AL326" i="10"/>
  <c r="E326" i="10"/>
  <c r="S326" i="10"/>
  <c r="CY326" i="10"/>
  <c r="AW326" i="10"/>
  <c r="CI326" i="10"/>
  <c r="CH326" i="10"/>
  <c r="CN326" i="10"/>
  <c r="C326" i="10"/>
  <c r="BD326" i="10"/>
  <c r="AO326" i="10"/>
  <c r="CG326" i="10"/>
  <c r="CV326" i="10"/>
  <c r="CC326" i="10"/>
  <c r="BC326" i="10"/>
  <c r="BI326" i="10"/>
  <c r="CZ326" i="10"/>
  <c r="CA326" i="10"/>
  <c r="AP326" i="10"/>
  <c r="CP326" i="10"/>
  <c r="D326" i="10"/>
  <c r="BM326" i="10"/>
  <c r="Q326" i="10"/>
  <c r="BX326" i="10"/>
  <c r="CE326" i="10"/>
  <c r="AR326" i="10"/>
  <c r="AQ326" i="10"/>
  <c r="DC326" i="10"/>
  <c r="X326" i="10"/>
  <c r="Y326" i="10"/>
  <c r="DE326" i="10"/>
  <c r="BQ326" i="10"/>
  <c r="K326" i="10"/>
  <c r="AH326" i="10"/>
  <c r="BZ326" i="10"/>
  <c r="CL326" i="10"/>
  <c r="DF326" i="10"/>
  <c r="CM326" i="10"/>
  <c r="BV326" i="10"/>
  <c r="AF326" i="10"/>
  <c r="CO326" i="10"/>
  <c r="BY326" i="10"/>
  <c r="AZ326" i="10"/>
  <c r="CK326" i="10"/>
  <c r="H326" i="10"/>
  <c r="P326" i="10"/>
  <c r="O326" i="10"/>
  <c r="CD326" i="10"/>
  <c r="J326" i="10"/>
  <c r="BL326" i="10"/>
  <c r="BP326" i="10"/>
  <c r="BW326" i="10"/>
  <c r="CJ326" i="10"/>
  <c r="AD326" i="10"/>
  <c r="BK326" i="10"/>
  <c r="AJ326" i="10"/>
  <c r="Z326" i="10"/>
  <c r="BE326" i="10"/>
  <c r="CW326" i="10"/>
  <c r="DA326" i="10"/>
  <c r="AU326" i="10"/>
  <c r="G326" i="10"/>
  <c r="G327" i="10" l="1"/>
  <c r="BW327" i="10"/>
  <c r="CH327" i="10"/>
  <c r="BI327" i="10"/>
  <c r="Y327" i="10"/>
  <c r="CG327" i="10"/>
  <c r="AQ327" i="10"/>
  <c r="BK327" i="10"/>
  <c r="R327" i="10"/>
  <c r="AT327" i="10"/>
  <c r="K327" i="10"/>
  <c r="DF327" i="10"/>
  <c r="BU327" i="10"/>
  <c r="AR327" i="10"/>
  <c r="C327" i="10"/>
  <c r="AF327" i="10"/>
  <c r="CN327" i="10"/>
  <c r="BD327" i="10"/>
  <c r="CU327" i="10"/>
  <c r="AL327" i="10"/>
  <c r="DB327" i="10"/>
  <c r="DH327" i="10"/>
  <c r="AG327" i="10"/>
  <c r="DD327" i="10"/>
  <c r="DK327" i="10"/>
  <c r="CT327" i="10"/>
  <c r="DJ327" i="10"/>
  <c r="AH327" i="10"/>
  <c r="AB327" i="10"/>
  <c r="DA327" i="10"/>
  <c r="DC327" i="10"/>
  <c r="AY327" i="10"/>
  <c r="AA327" i="10"/>
  <c r="AE327" i="10"/>
  <c r="AZ327" i="10"/>
  <c r="CK327" i="10"/>
  <c r="CX327" i="10"/>
  <c r="BT327" i="10"/>
  <c r="H327" i="10"/>
  <c r="CE327" i="10"/>
  <c r="CV327" i="10"/>
  <c r="BJ327" i="10"/>
  <c r="Q327" i="10"/>
  <c r="CA327" i="10"/>
  <c r="CS327" i="10"/>
  <c r="CP327" i="10"/>
  <c r="CY327" i="10"/>
  <c r="I327" i="10"/>
  <c r="F327" i="10"/>
  <c r="AD327" i="10"/>
  <c r="CQ327" i="10"/>
  <c r="Z327" i="10"/>
  <c r="CL327" i="10"/>
  <c r="X327" i="10"/>
  <c r="AK327" i="10"/>
  <c r="CZ327" i="10"/>
  <c r="CB327" i="10"/>
  <c r="BL327" i="10"/>
  <c r="BY327" i="10"/>
  <c r="AM327" i="10"/>
  <c r="BM327" i="10"/>
  <c r="DI327" i="10"/>
  <c r="CJ327" i="10"/>
  <c r="BZ327" i="10"/>
  <c r="AW327" i="10"/>
  <c r="L327" i="10"/>
  <c r="D327" i="10"/>
  <c r="CO327" i="10"/>
  <c r="N327" i="10"/>
  <c r="S327" i="10"/>
  <c r="BA327" i="10"/>
  <c r="AS327" i="10"/>
  <c r="CM327" i="10"/>
  <c r="CF327" i="10"/>
  <c r="AC327" i="10"/>
  <c r="DE327" i="10"/>
  <c r="CD327" i="10"/>
  <c r="BP327" i="10"/>
  <c r="BX327" i="10"/>
  <c r="BF327" i="10"/>
  <c r="BS327" i="10"/>
  <c r="BO327" i="10"/>
  <c r="BN327" i="10"/>
  <c r="CW327" i="10"/>
  <c r="BC327" i="10"/>
  <c r="M327" i="10"/>
  <c r="AX327" i="10"/>
  <c r="BV327" i="10"/>
  <c r="CI327" i="10"/>
  <c r="BE327" i="10"/>
  <c r="AI327" i="10"/>
  <c r="E327" i="10"/>
  <c r="CR327" i="10"/>
  <c r="BR327" i="10"/>
  <c r="AO327" i="10"/>
  <c r="AU327" i="10"/>
  <c r="AN327" i="10"/>
  <c r="J327" i="10"/>
  <c r="AJ327" i="10"/>
  <c r="U327" i="10"/>
  <c r="W327" i="10"/>
  <c r="AP327" i="10"/>
  <c r="O327" i="10"/>
  <c r="AV327" i="10"/>
  <c r="BG327" i="10"/>
  <c r="BB327" i="10"/>
  <c r="BH327" i="10"/>
  <c r="DG327" i="10"/>
  <c r="BQ327" i="10"/>
  <c r="P327" i="10"/>
  <c r="V327" i="10"/>
  <c r="T327" i="10"/>
  <c r="LP2" i="1"/>
  <c r="LP10" i="1" s="1"/>
  <c r="LP5" i="1" l="1"/>
  <c r="LP9" i="1" s="1"/>
  <c r="LP7" i="1" l="1"/>
  <c r="LQ6" i="1" l="1"/>
  <c r="B328" i="10"/>
  <c r="LP8" i="1"/>
  <c r="LQ2" i="1"/>
  <c r="LQ10" i="1" s="1"/>
  <c r="CN328" i="10" l="1"/>
  <c r="AH328" i="10"/>
  <c r="G328" i="10"/>
  <c r="AC328" i="10"/>
  <c r="CL328" i="10"/>
  <c r="AV328" i="10"/>
  <c r="BW328" i="10"/>
  <c r="BH328" i="10"/>
  <c r="DH328" i="10"/>
  <c r="BE328" i="10"/>
  <c r="C328" i="10"/>
  <c r="BF328" i="10"/>
  <c r="BQ328" i="10"/>
  <c r="CD328" i="10"/>
  <c r="BK328" i="10"/>
  <c r="BX328" i="10"/>
  <c r="BR328" i="10"/>
  <c r="AQ328" i="10"/>
  <c r="BP328" i="10"/>
  <c r="AN328" i="10"/>
  <c r="CT328" i="10"/>
  <c r="AX328" i="10"/>
  <c r="CO328" i="10"/>
  <c r="CU328" i="10"/>
  <c r="CP328" i="10"/>
  <c r="AD328" i="10"/>
  <c r="DG328" i="10"/>
  <c r="DF328" i="10"/>
  <c r="AF328" i="10"/>
  <c r="DI328" i="10"/>
  <c r="BN328" i="10"/>
  <c r="E328" i="10"/>
  <c r="V328" i="10"/>
  <c r="R328" i="10"/>
  <c r="AA328" i="10"/>
  <c r="J328" i="10"/>
  <c r="CZ328" i="10"/>
  <c r="Z328" i="10"/>
  <c r="W328" i="10"/>
  <c r="CV328" i="10"/>
  <c r="BO328" i="10"/>
  <c r="CX328" i="10"/>
  <c r="S328" i="10"/>
  <c r="BB328" i="10"/>
  <c r="BM328" i="10"/>
  <c r="CS328" i="10"/>
  <c r="DA328" i="10"/>
  <c r="CH328" i="10"/>
  <c r="AI328" i="10"/>
  <c r="DJ328" i="10"/>
  <c r="CR328" i="10"/>
  <c r="CC328" i="10"/>
  <c r="U328" i="10"/>
  <c r="BT328" i="10"/>
  <c r="X328" i="10"/>
  <c r="M328" i="10"/>
  <c r="CK328" i="10"/>
  <c r="CY328" i="10"/>
  <c r="DC328" i="10"/>
  <c r="Y328" i="10"/>
  <c r="CJ328" i="10"/>
  <c r="P328" i="10"/>
  <c r="F328" i="10"/>
  <c r="DB328" i="10"/>
  <c r="AT328" i="10"/>
  <c r="AJ328" i="10"/>
  <c r="AY328" i="10"/>
  <c r="AM328" i="10"/>
  <c r="AL328" i="10"/>
  <c r="CI328" i="10"/>
  <c r="I328" i="10"/>
  <c r="L328" i="10"/>
  <c r="BI328" i="10"/>
  <c r="AR328" i="10"/>
  <c r="BL328" i="10"/>
  <c r="BU328" i="10"/>
  <c r="BS328" i="10"/>
  <c r="K328" i="10"/>
  <c r="BY328" i="10"/>
  <c r="BZ328" i="10"/>
  <c r="BA328" i="10"/>
  <c r="H328" i="10"/>
  <c r="AE328" i="10"/>
  <c r="CB328" i="10"/>
  <c r="BG328" i="10"/>
  <c r="DK328" i="10"/>
  <c r="BV328" i="10"/>
  <c r="AG328" i="10"/>
  <c r="AB328" i="10"/>
  <c r="BD328" i="10"/>
  <c r="BC328" i="10"/>
  <c r="D328" i="10"/>
  <c r="Q328" i="10"/>
  <c r="CW328" i="10"/>
  <c r="AK328" i="10"/>
  <c r="O328" i="10"/>
  <c r="AO328" i="10"/>
  <c r="N328" i="10"/>
  <c r="CA328" i="10"/>
  <c r="CQ328" i="10"/>
  <c r="BJ328" i="10"/>
  <c r="CG328" i="10"/>
  <c r="AU328" i="10"/>
  <c r="AP328" i="10"/>
  <c r="DD328" i="10"/>
  <c r="CM328" i="10"/>
  <c r="DE328" i="10"/>
  <c r="AZ328" i="10"/>
  <c r="AS328" i="10"/>
  <c r="CF328" i="10"/>
  <c r="CE328" i="10"/>
  <c r="T328" i="10"/>
  <c r="AW328" i="10"/>
  <c r="LQ5" i="1"/>
  <c r="LQ9" i="1" s="1"/>
  <c r="LQ7" i="1" l="1"/>
  <c r="LR2" i="1" l="1"/>
  <c r="LR5" i="1" s="1"/>
  <c r="LR9" i="1" s="1"/>
  <c r="LR6" i="1"/>
  <c r="LR10" i="1"/>
  <c r="B329" i="10"/>
  <c r="LQ8" i="1"/>
  <c r="LR7" i="1" l="1"/>
  <c r="CT329" i="10"/>
  <c r="DJ329" i="10"/>
  <c r="DD329" i="10"/>
  <c r="AO329" i="10"/>
  <c r="AJ329" i="10"/>
  <c r="BN329" i="10"/>
  <c r="BC329" i="10"/>
  <c r="AK329" i="10"/>
  <c r="CA329" i="10"/>
  <c r="CN329" i="10"/>
  <c r="CM329" i="10"/>
  <c r="CF329" i="10"/>
  <c r="CQ329" i="10"/>
  <c r="BO329" i="10"/>
  <c r="CB329" i="10"/>
  <c r="CS329" i="10"/>
  <c r="CJ329" i="10"/>
  <c r="AH329" i="10"/>
  <c r="V329" i="10"/>
  <c r="AX329" i="10"/>
  <c r="J329" i="10"/>
  <c r="AY329" i="10"/>
  <c r="F329" i="10"/>
  <c r="X329" i="10"/>
  <c r="CI329" i="10"/>
  <c r="AF329" i="10"/>
  <c r="AP329" i="10"/>
  <c r="Q329" i="10"/>
  <c r="BV329" i="10"/>
  <c r="DI329" i="10"/>
  <c r="AB329" i="10"/>
  <c r="CH329" i="10"/>
  <c r="BL329" i="10"/>
  <c r="AL329" i="10"/>
  <c r="AZ329" i="10"/>
  <c r="AV329" i="10"/>
  <c r="CR329" i="10"/>
  <c r="DA329" i="10"/>
  <c r="BF329" i="10"/>
  <c r="BU329" i="10"/>
  <c r="AA329" i="10"/>
  <c r="I329" i="10"/>
  <c r="AC329" i="10"/>
  <c r="AI329" i="10"/>
  <c r="BY329" i="10"/>
  <c r="AD329" i="10"/>
  <c r="CL329" i="10"/>
  <c r="AM329" i="10"/>
  <c r="BZ329" i="10"/>
  <c r="AN329" i="10"/>
  <c r="K329" i="10"/>
  <c r="AG329" i="10"/>
  <c r="AT329" i="10"/>
  <c r="DE329" i="10"/>
  <c r="BD329" i="10"/>
  <c r="S329" i="10"/>
  <c r="BB329" i="10"/>
  <c r="BQ329" i="10"/>
  <c r="DK329" i="10"/>
  <c r="CP329" i="10"/>
  <c r="BK329" i="10"/>
  <c r="CO329" i="10"/>
  <c r="BW329" i="10"/>
  <c r="BH329" i="10"/>
  <c r="DC329" i="10"/>
  <c r="AR329" i="10"/>
  <c r="AW329" i="10"/>
  <c r="M329" i="10"/>
  <c r="CK329" i="10"/>
  <c r="P329" i="10"/>
  <c r="E329" i="10"/>
  <c r="CX329" i="10"/>
  <c r="CW329" i="10"/>
  <c r="CC329" i="10"/>
  <c r="DB329" i="10"/>
  <c r="CD329" i="10"/>
  <c r="AQ329" i="10"/>
  <c r="BG329" i="10"/>
  <c r="CY329" i="10"/>
  <c r="BX329" i="10"/>
  <c r="W329" i="10"/>
  <c r="U329" i="10"/>
  <c r="T329" i="10"/>
  <c r="C329" i="10"/>
  <c r="Z329" i="10"/>
  <c r="BR329" i="10"/>
  <c r="CV329" i="10"/>
  <c r="N329" i="10"/>
  <c r="BE329" i="10"/>
  <c r="AE329" i="10"/>
  <c r="BM329" i="10"/>
  <c r="G329" i="10"/>
  <c r="DF329" i="10"/>
  <c r="BT329" i="10"/>
  <c r="AU329" i="10"/>
  <c r="BJ329" i="10"/>
  <c r="BA329" i="10"/>
  <c r="CZ329" i="10"/>
  <c r="L329" i="10"/>
  <c r="BI329" i="10"/>
  <c r="O329" i="10"/>
  <c r="CG329" i="10"/>
  <c r="Y329" i="10"/>
  <c r="H329" i="10"/>
  <c r="CU329" i="10"/>
  <c r="DG329" i="10"/>
  <c r="DH329" i="10"/>
  <c r="BS329" i="10"/>
  <c r="R329" i="10"/>
  <c r="CE329" i="10"/>
  <c r="AS329" i="10"/>
  <c r="D329" i="10"/>
  <c r="BP329" i="10"/>
  <c r="LR8" i="1" l="1"/>
  <c r="LS6" i="1"/>
  <c r="B330" i="10"/>
  <c r="LS2" i="1"/>
  <c r="LS5" i="1" s="1"/>
  <c r="LS9" i="1" s="1"/>
  <c r="LS7" i="1" l="1"/>
  <c r="V330" i="10"/>
  <c r="Z330" i="10"/>
  <c r="W330" i="10"/>
  <c r="BI330" i="10"/>
  <c r="CN330" i="10"/>
  <c r="AA330" i="10"/>
  <c r="DJ330" i="10"/>
  <c r="BL330" i="10"/>
  <c r="AI330" i="10"/>
  <c r="BY330" i="10"/>
  <c r="P330" i="10"/>
  <c r="AL330" i="10"/>
  <c r="CW330" i="10"/>
  <c r="AC330" i="10"/>
  <c r="BB330" i="10"/>
  <c r="AR330" i="10"/>
  <c r="AP330" i="10"/>
  <c r="BD330" i="10"/>
  <c r="I330" i="10"/>
  <c r="CB330" i="10"/>
  <c r="AW330" i="10"/>
  <c r="BX330" i="10"/>
  <c r="AS330" i="10"/>
  <c r="DD330" i="10"/>
  <c r="BJ330" i="10"/>
  <c r="BM330" i="10"/>
  <c r="L330" i="10"/>
  <c r="DG330" i="10"/>
  <c r="BH330" i="10"/>
  <c r="C330" i="10"/>
  <c r="AT330" i="10"/>
  <c r="BP330" i="10"/>
  <c r="BV330" i="10"/>
  <c r="CJ330" i="10"/>
  <c r="Y330" i="10"/>
  <c r="CO330" i="10"/>
  <c r="BR330" i="10"/>
  <c r="X330" i="10"/>
  <c r="BW330" i="10"/>
  <c r="CU330" i="10"/>
  <c r="CR330" i="10"/>
  <c r="AJ330" i="10"/>
  <c r="BG330" i="10"/>
  <c r="U330" i="10"/>
  <c r="CE330" i="10"/>
  <c r="BC330" i="10"/>
  <c r="BZ330" i="10"/>
  <c r="AU330" i="10"/>
  <c r="CX330" i="10"/>
  <c r="DK330" i="10"/>
  <c r="DA330" i="10"/>
  <c r="DI330" i="10"/>
  <c r="AV330" i="10"/>
  <c r="AK330" i="10"/>
  <c r="CV330" i="10"/>
  <c r="AF330" i="10"/>
  <c r="BU330" i="10"/>
  <c r="DE330" i="10"/>
  <c r="CZ330" i="10"/>
  <c r="BO330" i="10"/>
  <c r="AG330" i="10"/>
  <c r="DC330" i="10"/>
  <c r="BA330" i="10"/>
  <c r="BQ330" i="10"/>
  <c r="H330" i="10"/>
  <c r="CD330" i="10"/>
  <c r="AY330" i="10"/>
  <c r="BS330" i="10"/>
  <c r="DB330" i="10"/>
  <c r="CI330" i="10"/>
  <c r="CT330" i="10"/>
  <c r="AZ330" i="10"/>
  <c r="K330" i="10"/>
  <c r="BK330" i="10"/>
  <c r="CY330" i="10"/>
  <c r="BE330" i="10"/>
  <c r="AX330" i="10"/>
  <c r="BT330" i="10"/>
  <c r="J330" i="10"/>
  <c r="AH330" i="10"/>
  <c r="D330" i="10"/>
  <c r="CF330" i="10"/>
  <c r="AO330" i="10"/>
  <c r="CP330" i="10"/>
  <c r="F330" i="10"/>
  <c r="CG330" i="10"/>
  <c r="CQ330" i="10"/>
  <c r="BF330" i="10"/>
  <c r="AN330" i="10"/>
  <c r="AM330" i="10"/>
  <c r="CC330" i="10"/>
  <c r="BN330" i="10"/>
  <c r="T330" i="10"/>
  <c r="CK330" i="10"/>
  <c r="DH330" i="10"/>
  <c r="O330" i="10"/>
  <c r="N330" i="10"/>
  <c r="CA330" i="10"/>
  <c r="AE330" i="10"/>
  <c r="S330" i="10"/>
  <c r="E330" i="10"/>
  <c r="M330" i="10"/>
  <c r="G330" i="10"/>
  <c r="AD330" i="10"/>
  <c r="CM330" i="10"/>
  <c r="Q330" i="10"/>
  <c r="AB330" i="10"/>
  <c r="R330" i="10"/>
  <c r="DF330" i="10"/>
  <c r="CS330" i="10"/>
  <c r="CH330" i="10"/>
  <c r="CL330" i="10"/>
  <c r="AQ330" i="10"/>
  <c r="LS10" i="1"/>
  <c r="B331" i="10" l="1"/>
  <c r="LT6" i="1"/>
  <c r="LS8" i="1"/>
  <c r="LT2" i="1"/>
  <c r="LT10" i="1" s="1"/>
  <c r="LT5" i="1" l="1"/>
  <c r="CM331" i="10"/>
  <c r="AH331" i="10"/>
  <c r="BB331" i="10"/>
  <c r="BI331" i="10"/>
  <c r="DK331" i="10"/>
  <c r="AR331" i="10"/>
  <c r="DC331" i="10"/>
  <c r="X331" i="10"/>
  <c r="CZ331" i="10"/>
  <c r="Q331" i="10"/>
  <c r="T331" i="10"/>
  <c r="BM331" i="10"/>
  <c r="DD331" i="10"/>
  <c r="BL331" i="10"/>
  <c r="BT331" i="10"/>
  <c r="BZ331" i="10"/>
  <c r="CG331" i="10"/>
  <c r="S331" i="10"/>
  <c r="R331" i="10"/>
  <c r="AK331" i="10"/>
  <c r="AE331" i="10"/>
  <c r="BS331" i="10"/>
  <c r="BR331" i="10"/>
  <c r="V331" i="10"/>
  <c r="AS331" i="10"/>
  <c r="DA331" i="10"/>
  <c r="BO331" i="10"/>
  <c r="J331" i="10"/>
  <c r="BK331" i="10"/>
  <c r="BF331" i="10"/>
  <c r="AT331" i="10"/>
  <c r="CA331" i="10"/>
  <c r="W331" i="10"/>
  <c r="H331" i="10"/>
  <c r="BU331" i="10"/>
  <c r="BD331" i="10"/>
  <c r="C331" i="10"/>
  <c r="AO331" i="10"/>
  <c r="AI331" i="10"/>
  <c r="DJ331" i="10"/>
  <c r="AX331" i="10"/>
  <c r="CI331" i="10"/>
  <c r="Y331" i="10"/>
  <c r="CH331" i="10"/>
  <c r="L331" i="10"/>
  <c r="AV331" i="10"/>
  <c r="AU331" i="10"/>
  <c r="D331" i="10"/>
  <c r="BX331" i="10"/>
  <c r="AZ331" i="10"/>
  <c r="CR331" i="10"/>
  <c r="CX331" i="10"/>
  <c r="O331" i="10"/>
  <c r="CY331" i="10"/>
  <c r="BQ331" i="10"/>
  <c r="CU331" i="10"/>
  <c r="AF331" i="10"/>
  <c r="CD331" i="10"/>
  <c r="CB331" i="10"/>
  <c r="BJ331" i="10"/>
  <c r="CN331" i="10"/>
  <c r="CS331" i="10"/>
  <c r="N331" i="10"/>
  <c r="AJ331" i="10"/>
  <c r="AG331" i="10"/>
  <c r="DB331" i="10"/>
  <c r="CL331" i="10"/>
  <c r="AN331" i="10"/>
  <c r="BY331" i="10"/>
  <c r="BP331" i="10"/>
  <c r="Z331" i="10"/>
  <c r="AC331" i="10"/>
  <c r="AD331" i="10"/>
  <c r="BG331" i="10"/>
  <c r="DH331" i="10"/>
  <c r="BC331" i="10"/>
  <c r="BA331" i="10"/>
  <c r="P331" i="10"/>
  <c r="AQ331" i="10"/>
  <c r="DG331" i="10"/>
  <c r="AA331" i="10"/>
  <c r="G331" i="10"/>
  <c r="CP331" i="10"/>
  <c r="BE331" i="10"/>
  <c r="CO331" i="10"/>
  <c r="CV331" i="10"/>
  <c r="AM331" i="10"/>
  <c r="I331" i="10"/>
  <c r="AB331" i="10"/>
  <c r="BW331" i="10"/>
  <c r="CJ331" i="10"/>
  <c r="CE331" i="10"/>
  <c r="DE331" i="10"/>
  <c r="CW331" i="10"/>
  <c r="F331" i="10"/>
  <c r="M331" i="10"/>
  <c r="CT331" i="10"/>
  <c r="BN331" i="10"/>
  <c r="CC331" i="10"/>
  <c r="BH331" i="10"/>
  <c r="K331" i="10"/>
  <c r="AW331" i="10"/>
  <c r="DF331" i="10"/>
  <c r="U331" i="10"/>
  <c r="AP331" i="10"/>
  <c r="DI331" i="10"/>
  <c r="CF331" i="10"/>
  <c r="CK331" i="10"/>
  <c r="E331" i="10"/>
  <c r="AL331" i="10"/>
  <c r="CQ331" i="10"/>
  <c r="AY331" i="10"/>
  <c r="BV331" i="10"/>
  <c r="LT7" i="1" l="1"/>
  <c r="LT9" i="1"/>
  <c r="LU2" i="1" s="1"/>
  <c r="LU6" i="1"/>
  <c r="B332" i="10"/>
  <c r="LT8" i="1"/>
  <c r="LU5" i="1" l="1"/>
  <c r="LU9" i="1" s="1"/>
  <c r="LU10" i="1"/>
  <c r="LU7" i="1"/>
  <c r="C332" i="10"/>
  <c r="T332" i="10"/>
  <c r="DB332" i="10"/>
  <c r="BB332" i="10"/>
  <c r="BR332" i="10"/>
  <c r="BC332" i="10"/>
  <c r="AA332" i="10"/>
  <c r="CJ332" i="10"/>
  <c r="AQ332" i="10"/>
  <c r="Q332" i="10"/>
  <c r="BJ332" i="10"/>
  <c r="Y332" i="10"/>
  <c r="M332" i="10"/>
  <c r="BH332" i="10"/>
  <c r="BK332" i="10"/>
  <c r="BN332" i="10"/>
  <c r="CV332" i="10"/>
  <c r="BP332" i="10"/>
  <c r="DJ332" i="10"/>
  <c r="CH332" i="10"/>
  <c r="BT332" i="10"/>
  <c r="I332" i="10"/>
  <c r="CR332" i="10"/>
  <c r="DK332" i="10"/>
  <c r="CL332" i="10"/>
  <c r="DC332" i="10"/>
  <c r="BG332" i="10"/>
  <c r="DH332" i="10"/>
  <c r="DA332" i="10"/>
  <c r="BU332" i="10"/>
  <c r="AC332" i="10"/>
  <c r="S332" i="10"/>
  <c r="D332" i="10"/>
  <c r="AY332" i="10"/>
  <c r="H332" i="10"/>
  <c r="R332" i="10"/>
  <c r="DF332" i="10"/>
  <c r="CA332" i="10"/>
  <c r="CD332" i="10"/>
  <c r="BL332" i="10"/>
  <c r="AB332" i="10"/>
  <c r="AL332" i="10"/>
  <c r="AD332" i="10"/>
  <c r="BF332" i="10"/>
  <c r="AX332" i="10"/>
  <c r="AR332" i="10"/>
  <c r="AE332" i="10"/>
  <c r="CS332" i="10"/>
  <c r="CK332" i="10"/>
  <c r="X332" i="10"/>
  <c r="G332" i="10"/>
  <c r="CE332" i="10"/>
  <c r="CC332" i="10"/>
  <c r="AH332" i="10"/>
  <c r="BS332" i="10"/>
  <c r="AT332" i="10"/>
  <c r="K332" i="10"/>
  <c r="AN332" i="10"/>
  <c r="CU332" i="10"/>
  <c r="BV332" i="10"/>
  <c r="AS332" i="10"/>
  <c r="AI332" i="10"/>
  <c r="V332" i="10"/>
  <c r="L332" i="10"/>
  <c r="CB332" i="10"/>
  <c r="DE332" i="10"/>
  <c r="BE332" i="10"/>
  <c r="N332" i="10"/>
  <c r="BO332" i="10"/>
  <c r="CT332" i="10"/>
  <c r="CZ332" i="10"/>
  <c r="O332" i="10"/>
  <c r="CG332" i="10"/>
  <c r="DD332" i="10"/>
  <c r="U332" i="10"/>
  <c r="AZ332" i="10"/>
  <c r="AG332" i="10"/>
  <c r="AW332" i="10"/>
  <c r="AK332" i="10"/>
  <c r="AV332" i="10"/>
  <c r="BX332" i="10"/>
  <c r="CY332" i="10"/>
  <c r="F332" i="10"/>
  <c r="DI332" i="10"/>
  <c r="W332" i="10"/>
  <c r="BM332" i="10"/>
  <c r="BD332" i="10"/>
  <c r="Z332" i="10"/>
  <c r="BY332" i="10"/>
  <c r="BI332" i="10"/>
  <c r="E332" i="10"/>
  <c r="BZ332" i="10"/>
  <c r="CN332" i="10"/>
  <c r="CM332" i="10"/>
  <c r="J332" i="10"/>
  <c r="CX332" i="10"/>
  <c r="P332" i="10"/>
  <c r="CW332" i="10"/>
  <c r="CF332" i="10"/>
  <c r="BA332" i="10"/>
  <c r="CO332" i="10"/>
  <c r="DG332" i="10"/>
  <c r="AU332" i="10"/>
  <c r="AJ332" i="10"/>
  <c r="CQ332" i="10"/>
  <c r="AM332" i="10"/>
  <c r="AO332" i="10"/>
  <c r="AF332" i="10"/>
  <c r="CP332" i="10"/>
  <c r="AP332" i="10"/>
  <c r="BW332" i="10"/>
  <c r="BQ332" i="10"/>
  <c r="CI332" i="10"/>
  <c r="B333" i="10" l="1"/>
  <c r="LV6" i="1"/>
  <c r="LU8" i="1"/>
  <c r="LV2" i="1"/>
  <c r="LV10" i="1" s="1"/>
  <c r="LV5" i="1" l="1"/>
  <c r="DK333" i="10"/>
  <c r="DB333" i="10"/>
  <c r="N333" i="10"/>
  <c r="G333" i="10"/>
  <c r="AG333" i="10"/>
  <c r="BV333" i="10"/>
  <c r="BT333" i="10"/>
  <c r="CG333" i="10"/>
  <c r="H333" i="10"/>
  <c r="AA333" i="10"/>
  <c r="CO333" i="10"/>
  <c r="BW333" i="10"/>
  <c r="CY333" i="10"/>
  <c r="AU333" i="10"/>
  <c r="CA333" i="10"/>
  <c r="BO333" i="10"/>
  <c r="BN333" i="10"/>
  <c r="AL333" i="10"/>
  <c r="BC333" i="10"/>
  <c r="CS333" i="10"/>
  <c r="AN333" i="10"/>
  <c r="BY333" i="10"/>
  <c r="CW333" i="10"/>
  <c r="L333" i="10"/>
  <c r="AI333" i="10"/>
  <c r="BQ333" i="10"/>
  <c r="DJ333" i="10"/>
  <c r="CE333" i="10"/>
  <c r="BP333" i="10"/>
  <c r="CJ333" i="10"/>
  <c r="BK333" i="10"/>
  <c r="CT333" i="10"/>
  <c r="AP333" i="10"/>
  <c r="AC333" i="10"/>
  <c r="M333" i="10"/>
  <c r="BB333" i="10"/>
  <c r="BI333" i="10"/>
  <c r="BA333" i="10"/>
  <c r="V333" i="10"/>
  <c r="O333" i="10"/>
  <c r="CK333" i="10"/>
  <c r="BZ333" i="10"/>
  <c r="U333" i="10"/>
  <c r="CN333" i="10"/>
  <c r="BX333" i="10"/>
  <c r="W333" i="10"/>
  <c r="T333" i="10"/>
  <c r="BR333" i="10"/>
  <c r="CL333" i="10"/>
  <c r="K333" i="10"/>
  <c r="CQ333" i="10"/>
  <c r="DF333" i="10"/>
  <c r="CI333" i="10"/>
  <c r="CU333" i="10"/>
  <c r="CX333" i="10"/>
  <c r="D333" i="10"/>
  <c r="AS333" i="10"/>
  <c r="R333" i="10"/>
  <c r="CV333" i="10"/>
  <c r="BU333" i="10"/>
  <c r="Y333" i="10"/>
  <c r="AM333" i="10"/>
  <c r="BF333" i="10"/>
  <c r="DA333" i="10"/>
  <c r="AY333" i="10"/>
  <c r="DG333" i="10"/>
  <c r="DE333" i="10"/>
  <c r="AT333" i="10"/>
  <c r="AV333" i="10"/>
  <c r="BD333" i="10"/>
  <c r="CF333" i="10"/>
  <c r="X333" i="10"/>
  <c r="C333" i="10"/>
  <c r="J333" i="10"/>
  <c r="I333" i="10"/>
  <c r="DH333" i="10"/>
  <c r="CH333" i="10"/>
  <c r="CR333" i="10"/>
  <c r="AE333" i="10"/>
  <c r="BM333" i="10"/>
  <c r="AR333" i="10"/>
  <c r="S333" i="10"/>
  <c r="BL333" i="10"/>
  <c r="DI333" i="10"/>
  <c r="AO333" i="10"/>
  <c r="AF333" i="10"/>
  <c r="CD333" i="10"/>
  <c r="BE333" i="10"/>
  <c r="Z333" i="10"/>
  <c r="AZ333" i="10"/>
  <c r="BJ333" i="10"/>
  <c r="AX333" i="10"/>
  <c r="F333" i="10"/>
  <c r="CP333" i="10"/>
  <c r="DD333" i="10"/>
  <c r="AQ333" i="10"/>
  <c r="P333" i="10"/>
  <c r="AJ333" i="10"/>
  <c r="AW333" i="10"/>
  <c r="AK333" i="10"/>
  <c r="CB333" i="10"/>
  <c r="AB333" i="10"/>
  <c r="BH333" i="10"/>
  <c r="DC333" i="10"/>
  <c r="CM333" i="10"/>
  <c r="E333" i="10"/>
  <c r="CZ333" i="10"/>
  <c r="BG333" i="10"/>
  <c r="CC333" i="10"/>
  <c r="BS333" i="10"/>
  <c r="Q333" i="10"/>
  <c r="AH333" i="10"/>
  <c r="AD333" i="10"/>
  <c r="LV7" i="1" l="1"/>
  <c r="LW6" i="1" s="1"/>
  <c r="LX6" i="1" s="1"/>
  <c r="LV9" i="1"/>
  <c r="B334" i="10"/>
  <c r="LV8" i="1" l="1"/>
  <c r="CR334" i="10"/>
  <c r="CI334" i="10"/>
  <c r="AV334" i="10"/>
  <c r="AF334" i="10"/>
  <c r="DF334" i="10"/>
  <c r="AP334" i="10"/>
  <c r="BI334" i="10"/>
  <c r="DG334" i="10"/>
  <c r="AR334" i="10"/>
  <c r="BB334" i="10"/>
  <c r="L334" i="10"/>
  <c r="AZ334" i="10"/>
  <c r="AB334" i="10"/>
  <c r="CB334" i="10"/>
  <c r="CY334" i="10"/>
  <c r="CG334" i="10"/>
  <c r="CM334" i="10"/>
  <c r="AK334" i="10"/>
  <c r="DD334" i="10"/>
  <c r="AS334" i="10"/>
  <c r="CL334" i="10"/>
  <c r="T334" i="10"/>
  <c r="BC334" i="10"/>
  <c r="P334" i="10"/>
  <c r="E334" i="10"/>
  <c r="W334" i="10"/>
  <c r="BS334" i="10"/>
  <c r="DC334" i="10"/>
  <c r="CV334" i="10"/>
  <c r="G334" i="10"/>
  <c r="DA334" i="10"/>
  <c r="BX334" i="10"/>
  <c r="AG334" i="10"/>
  <c r="AH334" i="10"/>
  <c r="BP334" i="10"/>
  <c r="AD334" i="10"/>
  <c r="BN334" i="10"/>
  <c r="CX334" i="10"/>
  <c r="N334" i="10"/>
  <c r="J334" i="10"/>
  <c r="CW334" i="10"/>
  <c r="CD334" i="10"/>
  <c r="Q334" i="10"/>
  <c r="DH334" i="10"/>
  <c r="BF334" i="10"/>
  <c r="AU334" i="10"/>
  <c r="M334" i="10"/>
  <c r="AY334" i="10"/>
  <c r="F334" i="10"/>
  <c r="K334" i="10"/>
  <c r="X334" i="10"/>
  <c r="CQ334" i="10"/>
  <c r="Y334" i="10"/>
  <c r="S334" i="10"/>
  <c r="AJ334" i="10"/>
  <c r="AT334" i="10"/>
  <c r="BL334" i="10"/>
  <c r="BM334" i="10"/>
  <c r="DK334" i="10"/>
  <c r="H334" i="10"/>
  <c r="CH334" i="10"/>
  <c r="BK334" i="10"/>
  <c r="I334" i="10"/>
  <c r="DI334" i="10"/>
  <c r="AO334" i="10"/>
  <c r="AX334" i="10"/>
  <c r="AN334" i="10"/>
  <c r="CN334" i="10"/>
  <c r="CJ334" i="10"/>
  <c r="BO334" i="10"/>
  <c r="DE334" i="10"/>
  <c r="CA334" i="10"/>
  <c r="Z334" i="10"/>
  <c r="U334" i="10"/>
  <c r="AE334" i="10"/>
  <c r="AM334" i="10"/>
  <c r="BG334" i="10"/>
  <c r="D334" i="10"/>
  <c r="BZ334" i="10"/>
  <c r="BQ334" i="10"/>
  <c r="R334" i="10"/>
  <c r="CS334" i="10"/>
  <c r="CU334" i="10"/>
  <c r="C334" i="10"/>
  <c r="CZ334" i="10"/>
  <c r="BH334" i="10"/>
  <c r="AL334" i="10"/>
  <c r="BW334" i="10"/>
  <c r="CF334" i="10"/>
  <c r="CO334" i="10"/>
  <c r="CK334" i="10"/>
  <c r="CP334" i="10"/>
  <c r="DJ334" i="10"/>
  <c r="CE334" i="10"/>
  <c r="BU334" i="10"/>
  <c r="BT334" i="10"/>
  <c r="AA334" i="10"/>
  <c r="AW334" i="10"/>
  <c r="CC334" i="10"/>
  <c r="V334" i="10"/>
  <c r="AI334" i="10"/>
  <c r="BR334" i="10"/>
  <c r="O334" i="10"/>
  <c r="BY334" i="10"/>
  <c r="DB334" i="10"/>
  <c r="CT334" i="10"/>
  <c r="BA334" i="10"/>
  <c r="BD334" i="10"/>
  <c r="BV334" i="10"/>
  <c r="BJ334" i="10"/>
  <c r="BE334" i="10"/>
  <c r="AQ334" i="10"/>
  <c r="AC334" i="10"/>
  <c r="LW2" i="1"/>
  <c r="LX2" i="1" s="1"/>
  <c r="LW10" i="1" l="1"/>
  <c r="LW5" i="1"/>
  <c r="LX5" i="1" s="1"/>
  <c r="LW9" i="1" l="1"/>
  <c r="LX9" i="1" s="1"/>
  <c r="LW7" i="1"/>
  <c r="LX7" i="1" s="1"/>
  <c r="B335" i="10"/>
  <c r="LW8" i="1" l="1"/>
  <c r="LX8" i="1" s="1"/>
  <c r="BP335" i="10"/>
  <c r="AW335" i="10"/>
  <c r="AZ335" i="10"/>
  <c r="CT335" i="10"/>
  <c r="AF335" i="10"/>
  <c r="BY335" i="10"/>
  <c r="BQ335" i="10"/>
  <c r="AD335" i="10"/>
  <c r="CW335" i="10"/>
  <c r="AU335" i="10"/>
  <c r="BV335" i="10"/>
  <c r="DH335" i="10"/>
  <c r="CZ335" i="10"/>
  <c r="BS335" i="10"/>
  <c r="BC335" i="10"/>
  <c r="AR335" i="10"/>
  <c r="CF335" i="10"/>
  <c r="BN335" i="10"/>
  <c r="O335" i="10"/>
  <c r="U335" i="10"/>
  <c r="AT335" i="10"/>
  <c r="DJ335" i="10"/>
  <c r="BR335" i="10"/>
  <c r="DI335" i="10"/>
  <c r="CB335" i="10"/>
  <c r="CP335" i="10"/>
  <c r="AY335" i="10"/>
  <c r="CL335" i="10"/>
  <c r="L335" i="10"/>
  <c r="J335" i="10"/>
  <c r="CX335" i="10"/>
  <c r="Q335" i="10"/>
  <c r="AA335" i="10"/>
  <c r="AM335" i="10"/>
  <c r="BF335" i="10"/>
  <c r="BI335" i="10"/>
  <c r="AX335" i="10"/>
  <c r="CC335" i="10"/>
  <c r="M335" i="10"/>
  <c r="AL335" i="10"/>
  <c r="G335" i="10"/>
  <c r="BZ335" i="10"/>
  <c r="AV335" i="10"/>
  <c r="CU335" i="10"/>
  <c r="AQ335" i="10"/>
  <c r="AN335" i="10"/>
  <c r="H335" i="10"/>
  <c r="AC335" i="10"/>
  <c r="CA335" i="10"/>
  <c r="AJ335" i="10"/>
  <c r="R335" i="10"/>
  <c r="E335" i="10"/>
  <c r="AG335" i="10"/>
  <c r="AP335" i="10"/>
  <c r="T335" i="10"/>
  <c r="Y335" i="10"/>
  <c r="DD335" i="10"/>
  <c r="AK335" i="10"/>
  <c r="AI335" i="10"/>
  <c r="CG335" i="10"/>
  <c r="CN335" i="10"/>
  <c r="BD335" i="10"/>
  <c r="BW335" i="10"/>
  <c r="Z335" i="10"/>
  <c r="BH335" i="10"/>
  <c r="DA335" i="10"/>
  <c r="BM335" i="10"/>
  <c r="D335" i="10"/>
  <c r="CM335" i="10"/>
  <c r="BX335" i="10"/>
  <c r="CQ335" i="10"/>
  <c r="CE335" i="10"/>
  <c r="DK335" i="10"/>
  <c r="I335" i="10"/>
  <c r="DB335" i="10"/>
  <c r="BT335" i="10"/>
  <c r="X335" i="10"/>
  <c r="DC335" i="10"/>
  <c r="BU335" i="10"/>
  <c r="AS335" i="10"/>
  <c r="CD335" i="10"/>
  <c r="DG335" i="10"/>
  <c r="DE335" i="10"/>
  <c r="CJ335" i="10"/>
  <c r="BL335" i="10"/>
  <c r="K335" i="10"/>
  <c r="BB335" i="10"/>
  <c r="S335" i="10"/>
  <c r="BJ335" i="10"/>
  <c r="AH335" i="10"/>
  <c r="CO335" i="10"/>
  <c r="AE335" i="10"/>
  <c r="C335" i="10"/>
  <c r="DF335" i="10"/>
  <c r="CI335" i="10"/>
  <c r="P335" i="10"/>
  <c r="CR335" i="10"/>
  <c r="AO335" i="10"/>
  <c r="BO335" i="10"/>
  <c r="CH335" i="10"/>
  <c r="F335" i="10"/>
  <c r="CK335" i="10"/>
  <c r="W335" i="10"/>
  <c r="CY335" i="10"/>
  <c r="CS335" i="10"/>
  <c r="BA335" i="10"/>
  <c r="BE335" i="10"/>
  <c r="N335" i="10"/>
  <c r="AB335" i="10"/>
  <c r="V335" i="10"/>
  <c r="BG335" i="10"/>
  <c r="BK335" i="10"/>
  <c r="CV33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1250" authorId="0" shapeId="0" xr:uid="{5B56476C-9DC0-439D-95A9-7545CBD21665}">
      <text>
        <r>
          <rPr>
            <sz val="11"/>
            <color theme="1"/>
            <rFont val="Aptos Narrow"/>
            <family val="2"/>
            <scheme val="minor"/>
          </rPr>
          <t xml:space="preserve">Usuario desconocido: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<sst xmlns="http://schemas.openxmlformats.org/spreadsheetml/2006/main" count="10530" uniqueCount="2354">
  <si>
    <t>ESCENARIO 1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</si>
  <si>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</si>
  <si>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</si>
  <si>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</si>
  <si>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</si>
  <si>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</si>
  <si>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</si>
  <si>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</si>
  <si>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</si>
  <si>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</si>
  <si>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</si>
  <si>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</si>
  <si>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</si>
  <si>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</si>
  <si>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</si>
  <si>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</si>
  <si>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</si>
  <si>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</si>
  <si>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</si>
  <si>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</si>
  <si>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</si>
  <si>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</si>
  <si>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</si>
  <si>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</si>
  <si>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</si>
  <si>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</si>
  <si>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</si>
  <si>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</si>
  <si>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</si>
  <si>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</si>
  <si>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</si>
  <si>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</si>
  <si>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</si>
  <si>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</si>
  <si>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</si>
  <si>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</si>
  <si>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</si>
  <si>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</si>
  <si>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</si>
  <si>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</si>
  <si>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</si>
  <si>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</si>
  <si>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</si>
  <si>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</si>
  <si>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</si>
  <si>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</si>
  <si>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</si>
  <si>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</si>
  <si>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</si>
  <si>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</si>
  <si>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</si>
  <si>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</si>
  <si>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</si>
  <si>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</si>
  <si>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</si>
  <si>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</si>
  <si>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</si>
  <si>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</si>
  <si>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</si>
  <si>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</si>
  <si>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01-abr</t>
  </si>
  <si>
    <t>02-abr</t>
  </si>
  <si>
    <t>03-abr</t>
  </si>
  <si>
    <t>04-abr</t>
  </si>
  <si>
    <t>05-abr</t>
  </si>
  <si>
    <t>06-abr</t>
  </si>
  <si>
    <t>07-abr</t>
  </si>
  <si>
    <t>08-abr</t>
  </si>
  <si>
    <t>09-abr</t>
  </si>
  <si>
    <t>10-abr</t>
  </si>
  <si>
    <t>11-abr</t>
  </si>
  <si>
    <t>12-abr</t>
  </si>
  <si>
    <t>13-abr</t>
  </si>
  <si>
    <t>14-abr</t>
  </si>
  <si>
    <t>15-abr</t>
  </si>
  <si>
    <t>16-abr</t>
  </si>
  <si>
    <t>17-abr</t>
  </si>
  <si>
    <t>18-abr</t>
  </si>
  <si>
    <t>19-abr</t>
  </si>
  <si>
    <t>20-abr</t>
  </si>
  <si>
    <t>21-abr</t>
  </si>
  <si>
    <t>22-abr</t>
  </si>
  <si>
    <t>23-abr</t>
  </si>
  <si>
    <t>24-abr</t>
  </si>
  <si>
    <t>25-abr</t>
  </si>
  <si>
    <t>26-abr</t>
  </si>
  <si>
    <t>27-abr</t>
  </si>
  <si>
    <t>28-abr</t>
  </si>
  <si>
    <t>29-abr</t>
  </si>
  <si>
    <t>30-abr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</si>
  <si>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</si>
  <si>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</si>
  <si>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</si>
  <si>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</si>
  <si>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</si>
  <si>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</si>
  <si>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</si>
  <si>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</si>
  <si>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</si>
  <si>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</si>
  <si>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</si>
  <si>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</si>
  <si>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</si>
  <si>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</si>
  <si>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</si>
  <si>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</si>
  <si>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</si>
  <si>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</si>
  <si>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</si>
  <si>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</si>
  <si>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</si>
  <si>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</si>
  <si>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</si>
  <si>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</si>
  <si>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</si>
  <si>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</si>
  <si>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</si>
  <si>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</si>
  <si>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</si>
  <si>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</si>
  <si>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</si>
  <si>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</si>
  <si>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</si>
  <si>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</si>
  <si>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</si>
  <si>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</si>
  <si>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</si>
  <si>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</si>
  <si>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</si>
  <si>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</si>
  <si>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</si>
  <si>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</si>
  <si>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</si>
  <si>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</si>
  <si>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</si>
  <si>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</si>
  <si>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</si>
  <si>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</si>
  <si>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</si>
  <si>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</si>
  <si>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</si>
  <si>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</si>
  <si>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</si>
  <si>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</si>
  <si>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</si>
  <si>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</si>
  <si>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</si>
  <si>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</si>
  <si>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</si>
  <si>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</si>
  <si>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</si>
  <si>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</si>
  <si>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</si>
  <si>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</si>
  <si>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</si>
  <si>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</si>
  <si>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</si>
  <si>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</si>
  <si>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</si>
  <si>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</si>
  <si>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</si>
  <si>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</si>
  <si>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</si>
  <si>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</si>
  <si>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</si>
  <si>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</si>
  <si>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</si>
  <si>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</si>
  <si>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</si>
  <si>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</si>
  <si>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</si>
  <si>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</si>
  <si>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</si>
  <si>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</si>
  <si>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</si>
  <si>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</si>
  <si>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</si>
  <si>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</si>
  <si>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</si>
  <si>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</si>
  <si>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</si>
  <si>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</si>
  <si>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01-ago</t>
  </si>
  <si>
    <t>02-ago</t>
  </si>
  <si>
    <t>03-ago</t>
  </si>
  <si>
    <t>04-ago</t>
  </si>
  <si>
    <t>05-ago</t>
  </si>
  <si>
    <t>06-ago</t>
  </si>
  <si>
    <t>07-ago</t>
  </si>
  <si>
    <t>08-ago</t>
  </si>
  <si>
    <t>09-ago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</si>
  <si>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</si>
  <si>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</si>
  <si>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</si>
  <si>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</si>
  <si>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</si>
  <si>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</si>
  <si>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</si>
  <si>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</si>
  <si>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</si>
  <si>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</si>
  <si>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</si>
  <si>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21-ago</t>
  </si>
  <si>
    <t>22-ago</t>
  </si>
  <si>
    <t>23-ago</t>
  </si>
  <si>
    <t>24-ago</t>
  </si>
  <si>
    <t>25-ago</t>
  </si>
  <si>
    <t>26-ago</t>
  </si>
  <si>
    <t>27-ago</t>
  </si>
  <si>
    <t>28-ago</t>
  </si>
  <si>
    <t>29-ago</t>
  </si>
  <si>
    <t>30-ago</t>
  </si>
  <si>
    <t>31-ago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</si>
  <si>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</si>
  <si>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</si>
  <si>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</si>
  <si>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</si>
  <si>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</si>
  <si>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</si>
  <si>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</si>
  <si>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</si>
  <si>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</si>
  <si>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</si>
  <si>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</si>
  <si>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</si>
  <si>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</si>
  <si>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</si>
  <si>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</si>
  <si>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</si>
  <si>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</si>
  <si>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</si>
  <si>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</si>
  <si>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</si>
  <si>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</si>
  <si>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</si>
  <si>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</si>
  <si>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</si>
  <si>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</si>
  <si>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</si>
  <si>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</si>
  <si>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</si>
  <si>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</si>
  <si>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</si>
  <si>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</si>
  <si>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</si>
  <si>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</si>
  <si>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</si>
  <si>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</si>
  <si>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</si>
  <si>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</si>
  <si>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</si>
  <si>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</si>
  <si>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</si>
  <si>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</si>
  <si>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</si>
  <si>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</si>
  <si>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</si>
  <si>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</si>
  <si>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</si>
  <si>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</si>
  <si>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</si>
  <si>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</si>
  <si>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</si>
  <si>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</si>
  <si>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</si>
  <si>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</si>
  <si>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</si>
  <si>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</si>
  <si>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</si>
  <si>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</si>
  <si>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</si>
  <si>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</si>
  <si>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</si>
  <si>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</si>
  <si>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</si>
  <si>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</si>
  <si>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</si>
  <si>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</si>
  <si>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</si>
  <si>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</si>
  <si>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</si>
  <si>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</si>
  <si>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</si>
  <si>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</si>
  <si>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</si>
  <si>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</si>
  <si>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</si>
  <si>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</si>
  <si>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</si>
  <si>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</si>
  <si>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</si>
  <si>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</si>
  <si>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</si>
  <si>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</si>
  <si>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</si>
  <si>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</si>
  <si>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</si>
  <si>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</si>
  <si>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</si>
  <si>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</si>
  <si>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</si>
  <si>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</si>
  <si>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</si>
  <si>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</si>
  <si>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01-dic</t>
  </si>
  <si>
    <t>02-dic</t>
  </si>
  <si>
    <t>03-dic</t>
  </si>
  <si>
    <t>04-dic</t>
  </si>
  <si>
    <t>05-dic</t>
  </si>
  <si>
    <t>06-dic</t>
  </si>
  <si>
    <t>07-dic</t>
  </si>
  <si>
    <t>08-dic</t>
  </si>
  <si>
    <t>09-dic</t>
  </si>
  <si>
    <t>10-dic</t>
  </si>
  <si>
    <t>11-dic</t>
  </si>
  <si>
    <t>12-dic</t>
  </si>
  <si>
    <t>13-dic</t>
  </si>
  <si>
    <t>14-dic</t>
  </si>
  <si>
    <t>15-dic</t>
  </si>
  <si>
    <t>16-dic</t>
  </si>
  <si>
    <t>17-dic</t>
  </si>
  <si>
    <t>18-dic</t>
  </si>
  <si>
    <t>19-dic</t>
  </si>
  <si>
    <t>20-dic</t>
  </si>
  <si>
    <t>21-dic</t>
  </si>
  <si>
    <t>22-dic</t>
  </si>
  <si>
    <t>23-dic</t>
  </si>
  <si>
    <t>24-dic</t>
  </si>
  <si>
    <t>25-dic</t>
  </si>
  <si>
    <t>26-dic</t>
  </si>
  <si>
    <t>27-dic</t>
  </si>
  <si>
    <t>28-dic</t>
  </si>
  <si>
    <t>29-dic</t>
  </si>
  <si>
    <t>30-dic</t>
  </si>
  <si>
    <t>31-dic</t>
  </si>
  <si>
    <t>TOTAL</t>
  </si>
  <si>
    <t>CAJA INICIAL</t>
  </si>
  <si>
    <t>GASTOS PROYECTADOS</t>
  </si>
  <si>
    <t>INGRESOS FINANCIEROS PROYECTADOS</t>
  </si>
  <si>
    <t>RESCATE DE FCI</t>
  </si>
  <si>
    <t>INTERES DIARIO (0.0967%)</t>
  </si>
  <si>
    <t>INVERSIONES FCI</t>
  </si>
  <si>
    <t>INTERESES ACUMULADOS</t>
  </si>
  <si>
    <t>INTERESES RECUPERADO</t>
  </si>
  <si>
    <t>Total</t>
  </si>
  <si>
    <t>FEBRERO</t>
  </si>
  <si>
    <t>MARZO</t>
  </si>
  <si>
    <t>ABRIL</t>
  </si>
  <si>
    <t>MAYO</t>
  </si>
  <si>
    <t>JUNIO</t>
  </si>
  <si>
    <t>JULIO</t>
  </si>
  <si>
    <t>AGOSTO</t>
  </si>
  <si>
    <t>SEP</t>
  </si>
  <si>
    <t>OCTUBRE</t>
  </si>
  <si>
    <t>NOV</t>
  </si>
  <si>
    <t>DIC</t>
  </si>
  <si>
    <t>FCI</t>
  </si>
  <si>
    <t>FCI1</t>
  </si>
  <si>
    <t>FCI2</t>
  </si>
  <si>
    <t>FCI3</t>
  </si>
  <si>
    <t>FCI7</t>
  </si>
  <si>
    <t>FCI4</t>
  </si>
  <si>
    <t>FCI8</t>
  </si>
  <si>
    <t>FCI5</t>
  </si>
  <si>
    <t>FCI9</t>
  </si>
  <si>
    <t>FCI6</t>
  </si>
  <si>
    <t>FCI62</t>
  </si>
  <si>
    <t>FCI63</t>
  </si>
  <si>
    <t>FCI64</t>
  </si>
  <si>
    <t>FCI65</t>
  </si>
  <si>
    <t>FCI66</t>
  </si>
  <si>
    <t>FCI67</t>
  </si>
  <si>
    <t>FCI68</t>
  </si>
  <si>
    <t>FCI69</t>
  </si>
  <si>
    <t>FCI70</t>
  </si>
  <si>
    <t>FCI71</t>
  </si>
  <si>
    <t>FCI72</t>
  </si>
  <si>
    <t>FCI73</t>
  </si>
  <si>
    <t>FCI74</t>
  </si>
  <si>
    <t>FCI75</t>
  </si>
  <si>
    <t>FCI76</t>
  </si>
  <si>
    <t>FCI77</t>
  </si>
  <si>
    <t>FCI78</t>
  </si>
  <si>
    <t>FCI79</t>
  </si>
  <si>
    <t>FCI80</t>
  </si>
  <si>
    <t>FCI81</t>
  </si>
  <si>
    <t>FCI82</t>
  </si>
  <si>
    <t>FCI83</t>
  </si>
  <si>
    <t>FCI84</t>
  </si>
  <si>
    <t>FCI85</t>
  </si>
  <si>
    <t>FCI86</t>
  </si>
  <si>
    <t>FCI87</t>
  </si>
  <si>
    <t>FCI88</t>
  </si>
  <si>
    <t>FCI89</t>
  </si>
  <si>
    <t>FCI90</t>
  </si>
  <si>
    <t>FCI91</t>
  </si>
  <si>
    <t>FCI92</t>
  </si>
  <si>
    <t>FCI93</t>
  </si>
  <si>
    <t>FCI94</t>
  </si>
  <si>
    <t>FCI95</t>
  </si>
  <si>
    <t>FCI96</t>
  </si>
  <si>
    <t>FCI97</t>
  </si>
  <si>
    <t>FCI98</t>
  </si>
  <si>
    <t>FCI99</t>
  </si>
  <si>
    <t>FCI100</t>
  </si>
  <si>
    <t>FCI101</t>
  </si>
  <si>
    <t>FCI102</t>
  </si>
  <si>
    <t>FCI103</t>
  </si>
  <si>
    <t>FCI104</t>
  </si>
  <si>
    <t>FCI105</t>
  </si>
  <si>
    <t>FCI106</t>
  </si>
  <si>
    <t>FCI107</t>
  </si>
  <si>
    <t>FCI108</t>
  </si>
  <si>
    <t>FCI109</t>
  </si>
  <si>
    <t>FCI110</t>
  </si>
  <si>
    <t>FCI111</t>
  </si>
  <si>
    <t>FCI112</t>
  </si>
  <si>
    <t>FCI113</t>
  </si>
  <si>
    <t>FCI114</t>
  </si>
  <si>
    <t>FCI115</t>
  </si>
  <si>
    <t>FCI116</t>
  </si>
  <si>
    <t>FCI117</t>
  </si>
  <si>
    <t>FCI118</t>
  </si>
  <si>
    <t>FCI119</t>
  </si>
  <si>
    <t>FCI120</t>
  </si>
  <si>
    <t>FCI121</t>
  </si>
  <si>
    <t>FCI122</t>
  </si>
  <si>
    <t>FCI123</t>
  </si>
  <si>
    <t>FCI124</t>
  </si>
  <si>
    <t>FCI125</t>
  </si>
  <si>
    <t>FCI126</t>
  </si>
  <si>
    <t>FCI127</t>
  </si>
  <si>
    <t>FCI128</t>
  </si>
  <si>
    <t>FCI129</t>
  </si>
  <si>
    <t>FCI130</t>
  </si>
  <si>
    <t>FCI131</t>
  </si>
  <si>
    <t>FCI132</t>
  </si>
  <si>
    <t>FCI133</t>
  </si>
  <si>
    <t>FCI134</t>
  </si>
  <si>
    <t>FCI135</t>
  </si>
  <si>
    <t>FCI136</t>
  </si>
  <si>
    <t>FCI137</t>
  </si>
  <si>
    <t>FCI138</t>
  </si>
  <si>
    <t>FCI139</t>
  </si>
  <si>
    <t>FCI140</t>
  </si>
  <si>
    <t>FCI141</t>
  </si>
  <si>
    <t>FCI142</t>
  </si>
  <si>
    <t>FCI143</t>
  </si>
  <si>
    <t>FCI144</t>
  </si>
  <si>
    <t>FCI145</t>
  </si>
  <si>
    <t>FCI146</t>
  </si>
  <si>
    <t>FCI147</t>
  </si>
  <si>
    <t>FCI148</t>
  </si>
  <si>
    <t>FCI149</t>
  </si>
  <si>
    <t>FCI150</t>
  </si>
  <si>
    <t>FCI151</t>
  </si>
  <si>
    <t>FCI152</t>
  </si>
  <si>
    <t>FCI153</t>
  </si>
  <si>
    <t>FCI154</t>
  </si>
  <si>
    <t>FCI155</t>
  </si>
  <si>
    <t>FCI156</t>
  </si>
  <si>
    <t>FCI157</t>
  </si>
  <si>
    <t>FCI158</t>
  </si>
  <si>
    <t>FCI159</t>
  </si>
  <si>
    <t>FCI160</t>
  </si>
  <si>
    <t>FCI161</t>
  </si>
  <si>
    <t>FCI162</t>
  </si>
  <si>
    <t>FCI163</t>
  </si>
  <si>
    <t>FCI164</t>
  </si>
  <si>
    <t>FCI165</t>
  </si>
  <si>
    <t>FCI166</t>
  </si>
  <si>
    <t>FCI167</t>
  </si>
  <si>
    <t>FCI168</t>
  </si>
  <si>
    <t>FCI169</t>
  </si>
  <si>
    <t>FCI170</t>
  </si>
  <si>
    <t>ID</t>
  </si>
  <si>
    <t>Cod. Financiero</t>
  </si>
  <si>
    <t>Nueva Clasificación</t>
  </si>
  <si>
    <t>Clasif. Cash</t>
  </si>
  <si>
    <t>Proveedor</t>
  </si>
  <si>
    <t>PAGO DIA</t>
  </si>
  <si>
    <t>OC</t>
  </si>
  <si>
    <t>Feb 2026</t>
  </si>
  <si>
    <t>Mar 2026</t>
  </si>
  <si>
    <t>ESCENARIO 12</t>
  </si>
  <si>
    <t>Abr 2026</t>
  </si>
  <si>
    <t>ESCENARIO 13</t>
  </si>
  <si>
    <t>May 2026</t>
  </si>
  <si>
    <t>ESCENARIO 14</t>
  </si>
  <si>
    <t>Jun 2026</t>
  </si>
  <si>
    <t>ESCENARIO 15</t>
  </si>
  <si>
    <t>Jul 2026</t>
  </si>
  <si>
    <t>ESCENARIO 16</t>
  </si>
  <si>
    <t>Ago 2026</t>
  </si>
  <si>
    <t>ESCENARIO 17</t>
  </si>
  <si>
    <t>Sep 2026</t>
  </si>
  <si>
    <t>ESCENARIO 18</t>
  </si>
  <si>
    <t>Oct 2026</t>
  </si>
  <si>
    <t>ESCENARIO 19</t>
  </si>
  <si>
    <t>Nov 2026</t>
  </si>
  <si>
    <t>ESCENARIO 110</t>
  </si>
  <si>
    <t>Dic 2026</t>
  </si>
  <si>
    <t>ESCENARIO 111</t>
  </si>
  <si>
    <t>ESCENARIO 112</t>
  </si>
  <si>
    <t>FFGCAL536</t>
  </si>
  <si>
    <t>OBRAS Y ESPACIOS VERDES</t>
  </si>
  <si>
    <t>PROYECTO OBRAS</t>
  </si>
  <si>
    <t>10-100193 COOPERATIVA DE TRABAJO CONSTRUBER LIMITADA</t>
  </si>
  <si>
    <t>CHEQUE-10-100193 COOPERATIVA DE TRABAJO CONSTRUBER LIMITADA</t>
  </si>
  <si>
    <t>15-2025-10185</t>
  </si>
  <si>
    <t>FFGCALVAR</t>
  </si>
  <si>
    <t>PUESTA EN VALOR DEL EDIFICIO DEL COM - EXPTE. 3522/25 - SOLPE 3-476-755 PDP KRUSE</t>
  </si>
  <si>
    <t>1-11825 MALEMAX S.A -</t>
  </si>
  <si>
    <t>CHEQUE-1-11825 MALEMAX S.A -</t>
  </si>
  <si>
    <t>15-2025-7315</t>
  </si>
  <si>
    <t>PUESTA EN VALOR PORTICOS PARA LPR - PDP KRUSE - EXPTE 2846 - 3-476-726 CHEQUE DIF DESDE SEP</t>
  </si>
  <si>
    <t>15-2025-6591</t>
  </si>
  <si>
    <t>PDP KRUSE - ADQUISICION DE 4 PORTICOS PARA LPR - DESVIO AGOSTO</t>
  </si>
  <si>
    <t>1-12070 GLOBAL TMD SRL</t>
  </si>
  <si>
    <t>CHEQUE-1-12070 GLOBAL TMD SRL</t>
  </si>
  <si>
    <t>15-2025-6593</t>
  </si>
  <si>
    <t>FFGCALRES</t>
  </si>
  <si>
    <t>RESIDUOS Y LUMINARIAS</t>
  </si>
  <si>
    <t>RESIDUOS</t>
  </si>
  <si>
    <t>1-331 TRANSUR S.A.</t>
  </si>
  <si>
    <t>CHEQUE-1-331 TRANSUR S.A.</t>
  </si>
  <si>
    <t>BONFANTE - PAVIMENTACION - 480 cuadras 30.000 M total</t>
  </si>
  <si>
    <t>2-10259 PIUTERRA S.A.</t>
  </si>
  <si>
    <t>CHEQUE-2-10259 PIUTERRA S.A.</t>
  </si>
  <si>
    <t>15-2025-4534</t>
  </si>
  <si>
    <t>PROYECTO PAVIMENTACION 2025</t>
  </si>
  <si>
    <t>2-1724 VIAL-TEC SA</t>
  </si>
  <si>
    <t>CHEQUE-2-1724 VIAL-TEC SA</t>
  </si>
  <si>
    <t>15-2025-5007</t>
  </si>
  <si>
    <t>FFGCALSUE</t>
  </si>
  <si>
    <t>GASTOS EN PERSONAL</t>
  </si>
  <si>
    <t>S-COMPLEMENTARIA</t>
  </si>
  <si>
    <t>COMPLEMENTARIA</t>
  </si>
  <si>
    <t>FFGCAL685</t>
  </si>
  <si>
    <t>FUNCIONAMIENTO DEPENDENCIAS</t>
  </si>
  <si>
    <t>MBL</t>
  </si>
  <si>
    <t>10-100201  COOPERATIVA DE TRABAJO ITA CONSTRUCCIONES LIMITADA</t>
  </si>
  <si>
    <t>PRIMER MARTES</t>
  </si>
  <si>
    <t>15-2025-10648</t>
  </si>
  <si>
    <t>FFGCAL617</t>
  </si>
  <si>
    <t>SERVICIOS PUBLICOS - LAURA</t>
  </si>
  <si>
    <t>1-10041 VOLQUETES PILAR SA</t>
  </si>
  <si>
    <t>15-2025-9833</t>
  </si>
  <si>
    <t>FFGOBLIGA</t>
  </si>
  <si>
    <t>COOPERATIVAS</t>
  </si>
  <si>
    <t>10-100194 COOPERATIVA DE TRABAJO MUNDO RECICLADO LTDA</t>
  </si>
  <si>
    <t>SEGUNDO MARTES</t>
  </si>
  <si>
    <t>PROFESIONALES</t>
  </si>
  <si>
    <t>SERVICIO DE ANESTESIA</t>
  </si>
  <si>
    <t>1-1479 ASOCIACION DE ANESTESIA ANALGESIA Y REANIMACION DE BUENOS AIRES</t>
  </si>
  <si>
    <t>1-10509  GIORGINI CLAUDIO MARTIN</t>
  </si>
  <si>
    <t>15-2025-4189</t>
  </si>
  <si>
    <t>FFGCAL937</t>
  </si>
  <si>
    <t>PRENSA</t>
  </si>
  <si>
    <t>SERVICIOS PUBLICOS</t>
  </si>
  <si>
    <t>EDENOR</t>
  </si>
  <si>
    <t>4-5008 EDENOR SA</t>
  </si>
  <si>
    <t>CUARTO MARTES</t>
  </si>
  <si>
    <t>15-2025-5634</t>
  </si>
  <si>
    <t>LEASING</t>
  </si>
  <si>
    <t>12-9000 PROVINCIA LEASING SA</t>
  </si>
  <si>
    <t>COMBUSTIBLE</t>
  </si>
  <si>
    <t>1-161 YPF SA</t>
  </si>
  <si>
    <t>MITAD DE MES-YPF</t>
  </si>
  <si>
    <t>PRIMER DIA HABIL</t>
  </si>
  <si>
    <t>1-11205 HERRERA ALDO ARIEL</t>
  </si>
  <si>
    <t>15-2025-7668</t>
  </si>
  <si>
    <t>1-11342 TECMAVIAL SRL</t>
  </si>
  <si>
    <t>15-2025-2219</t>
  </si>
  <si>
    <t>15-2025-1599</t>
  </si>
  <si>
    <t>FFGCAL377</t>
  </si>
  <si>
    <t>EVENTOS</t>
  </si>
  <si>
    <t>1-11783  GONZALEZ KAREN ANDREA</t>
  </si>
  <si>
    <t>15-2025-4646</t>
  </si>
  <si>
    <t>1-11786  CIGNONI TOMAS -</t>
  </si>
  <si>
    <t>15-2025-10527</t>
  </si>
  <si>
    <t>1-11978 PERLO GONZALO</t>
  </si>
  <si>
    <t>15-2025-10200</t>
  </si>
  <si>
    <t>1-12108 JUAN CARLOS BARSI Y NAHUEL OSVALDO BARSI SH</t>
  </si>
  <si>
    <t>15-2025-8330</t>
  </si>
  <si>
    <t>ALQUILERES</t>
  </si>
  <si>
    <t>1-12176   TAPIA PABLO FERNANDO</t>
  </si>
  <si>
    <t>1-12176 TAPIA PABLO FERNANDO</t>
  </si>
  <si>
    <t>1-12307  ARG EVENTOS SRL -</t>
  </si>
  <si>
    <t>15-2025-9376</t>
  </si>
  <si>
    <t>1-12309 IRANZO JOSE OSCAR Y TREVISAN RODOLFO SH</t>
  </si>
  <si>
    <t>15-2025-9944</t>
  </si>
  <si>
    <t>1-12361  CORVALAN MARCELO JAVIER</t>
  </si>
  <si>
    <t>15-2024-4093</t>
  </si>
  <si>
    <t>15-2025-8938</t>
  </si>
  <si>
    <t>1-12365  DUMORTIER JORGE ARIEL</t>
  </si>
  <si>
    <t>15-2025-7513</t>
  </si>
  <si>
    <t>58-2025-2024159737</t>
  </si>
  <si>
    <t>1-12537  GRAFICA RAMLIL S.A. -</t>
  </si>
  <si>
    <t>15-2025-9562</t>
  </si>
  <si>
    <t>1-12558 CONSTRUCCIONES Y SERVICIOS EL PAMPA SRL</t>
  </si>
  <si>
    <t>15-2025-11113</t>
  </si>
  <si>
    <t>1-12645 OBRAS GFA S.R.L.</t>
  </si>
  <si>
    <t>15-2025-10937</t>
  </si>
  <si>
    <t>FFGCAL394</t>
  </si>
  <si>
    <t>FUNCIONAMIENTO SALUD</t>
  </si>
  <si>
    <t>1-12686  LUSAIL S.R.L.</t>
  </si>
  <si>
    <t>15-2025-6400</t>
  </si>
  <si>
    <t>15-2025-6934</t>
  </si>
  <si>
    <t>15-2025-8720</t>
  </si>
  <si>
    <t>1-12744 MANSILLA EDUARDO CEFERINO</t>
  </si>
  <si>
    <t>15-2025-9490</t>
  </si>
  <si>
    <t>TERCER MARTES</t>
  </si>
  <si>
    <t>FFGOBL424</t>
  </si>
  <si>
    <t>TELEFONIA E INTERNET</t>
  </si>
  <si>
    <t>SEGUROS</t>
  </si>
  <si>
    <t>SEGUROS VARIOS</t>
  </si>
  <si>
    <t>12-120022 PROVINCIA SEGUROS S.A.</t>
  </si>
  <si>
    <t>HORAS ADICIONALES POLICIA</t>
  </si>
  <si>
    <t>12-120131 MINISTERIO DE SEGURIDAD DE LA PCIA.BS.AS</t>
  </si>
  <si>
    <t>SERVICIOS PÚBLICOS</t>
  </si>
  <si>
    <t>SUBSIDIOS</t>
  </si>
  <si>
    <t>PROGRAMA AYUDA ECONOMICA A JUBILADOS EX MUNICIPALES</t>
  </si>
  <si>
    <t>SUBSIDIO BOMBEROS</t>
  </si>
  <si>
    <t>SUBSIDIOS - PROG MARIA ROMERO</t>
  </si>
  <si>
    <t>SEGURO DE MALA PRAXIS</t>
  </si>
  <si>
    <t>1-10517 NOBLE SEGUROS SA -</t>
  </si>
  <si>
    <t>SUBSIDIOS VARIOS</t>
  </si>
  <si>
    <t>FFGCAL162</t>
  </si>
  <si>
    <t>FUNCIONAMIENTO DE SEGURIDAD</t>
  </si>
  <si>
    <t>PENDIENTE DE DISTRIBUIR MBL</t>
  </si>
  <si>
    <t>ULTIMO DIA HABIL</t>
  </si>
  <si>
    <t>REINTEGRO DE TASA</t>
  </si>
  <si>
    <t>12-120043 REINTEGRO DE TASA</t>
  </si>
  <si>
    <t>1-10140   B.A.SANI SOCIEDAD ANONIMA</t>
  </si>
  <si>
    <t>DESVIO SEPTIEMBRE PAGO</t>
  </si>
  <si>
    <t>1-10481   ASTUDILLO HUGO ROGELIO</t>
  </si>
  <si>
    <t>1-10484   CALDERON MARCELA NORMA</t>
  </si>
  <si>
    <t>1-10559   COPYLINE S.R.L -</t>
  </si>
  <si>
    <t>DESVIO SEPTIEMBRE</t>
  </si>
  <si>
    <t>1-10559  COPYLINE S.R.L -</t>
  </si>
  <si>
    <t>15-2025-5956</t>
  </si>
  <si>
    <t>1-10676   CAMACHO EMMANUEL NICOLAS</t>
  </si>
  <si>
    <t>1-10676  CAMACHO EMMANUEL NICOLAS</t>
  </si>
  <si>
    <t>15-2025-10352</t>
  </si>
  <si>
    <t>GASTOS BANCARIOS</t>
  </si>
  <si>
    <t>15-2025-10470</t>
  </si>
  <si>
    <t>1-10676 CAMACHO EMMANUEL NICOLAS</t>
  </si>
  <si>
    <t>15-2025-8212</t>
  </si>
  <si>
    <t>DESCUENTO COPA</t>
  </si>
  <si>
    <t>DESCUENTO COPA.- CEAMSE</t>
  </si>
  <si>
    <t>1-3052 COORDINACION ECOLOGICA AREA METROPOLITANA S.E.</t>
  </si>
  <si>
    <t>1-10694  LA NUEVA DEL NORTE S.A.</t>
  </si>
  <si>
    <t>15-2025-6923</t>
  </si>
  <si>
    <t>15-2025-9259</t>
  </si>
  <si>
    <t>MBL.- VER</t>
  </si>
  <si>
    <t>1-10694 LA NUEVA DEL NORTE S.A.</t>
  </si>
  <si>
    <t>1-10738   TRANSPORTE PILAR SRL</t>
  </si>
  <si>
    <t>1-10756  CRISTALES MITRE S.A</t>
  </si>
  <si>
    <t>15-2025-10065</t>
  </si>
  <si>
    <t>15-2025-5152</t>
  </si>
  <si>
    <t>1-10756 CRISTALES MITRE S.A</t>
  </si>
  <si>
    <t>15-2025-7345</t>
  </si>
  <si>
    <t>15-2025-5866</t>
  </si>
  <si>
    <t>1-10973 NEC ARGENTINA S.A</t>
  </si>
  <si>
    <t>15-2025-3563</t>
  </si>
  <si>
    <t>1-10997 MATERIALES VIALES ARGENTINA S.R.L</t>
  </si>
  <si>
    <t>15-2025-5889</t>
  </si>
  <si>
    <t>15-2025-6178</t>
  </si>
  <si>
    <t>1-11066   VERDI NOELIA CRISTINA</t>
  </si>
  <si>
    <t>1-1110 HAUSWAGEN PILAR SA</t>
  </si>
  <si>
    <t>15-2025-8666</t>
  </si>
  <si>
    <t>1-11320   IGARRETA SACI</t>
  </si>
  <si>
    <t>1-11320  IGARRETA SACI</t>
  </si>
  <si>
    <t>15-2025-10359</t>
  </si>
  <si>
    <t>1-11341   RIPARI LUIS DANIEL</t>
  </si>
  <si>
    <t>1-11341  RIPARI LUIS DANIEL</t>
  </si>
  <si>
    <t>15-2025-10156</t>
  </si>
  <si>
    <t>10-100177 COOPERATIVA DE TRABAJO ESPACIOS VERDES LIMITADA</t>
  </si>
  <si>
    <t>15-2025-10335</t>
  </si>
  <si>
    <t>15-2025-10960</t>
  </si>
  <si>
    <t>1-11354  MIRICH SEGURIDAD ELECTRONICA SA</t>
  </si>
  <si>
    <t>15-2025-6473</t>
  </si>
  <si>
    <t>15-2025-5614</t>
  </si>
  <si>
    <t>15-2025-4861</t>
  </si>
  <si>
    <t>15-2025-4621</t>
  </si>
  <si>
    <t>15-2025-6599</t>
  </si>
  <si>
    <t>15-2025-5042</t>
  </si>
  <si>
    <t>1-11364  DS SAFETY SA</t>
  </si>
  <si>
    <t>15-2025-9210</t>
  </si>
  <si>
    <t>1-11364 DS SAFETY SA</t>
  </si>
  <si>
    <t>15-2025-8530</t>
  </si>
  <si>
    <t>COMISIONES</t>
  </si>
  <si>
    <t>COMISIONES ESTACIONAMIENTO</t>
  </si>
  <si>
    <t>PEAJES</t>
  </si>
  <si>
    <t>15-2025-8230</t>
  </si>
  <si>
    <t>1-11506   ROCHA RICARDO RUBEN</t>
  </si>
  <si>
    <t>1-11506  ROCHA RICARDO RUBEN</t>
  </si>
  <si>
    <t>15-2025-9932</t>
  </si>
  <si>
    <t>1-11604 INTEGRALTEK S.A -</t>
  </si>
  <si>
    <t>15-2025-1856</t>
  </si>
  <si>
    <t>15-2025-1320</t>
  </si>
  <si>
    <t>15-2025-1860</t>
  </si>
  <si>
    <t>15-2025-7663</t>
  </si>
  <si>
    <t>15-2025-5940</t>
  </si>
  <si>
    <t>15-2025-1793</t>
  </si>
  <si>
    <t>15-2025-2658</t>
  </si>
  <si>
    <t>15-2025-595</t>
  </si>
  <si>
    <t>15-2025-2698</t>
  </si>
  <si>
    <t>15-2025-128</t>
  </si>
  <si>
    <t>15-2025-1823</t>
  </si>
  <si>
    <t>15-2025-1907</t>
  </si>
  <si>
    <t>15-2025-2694</t>
  </si>
  <si>
    <t>15-2025-1707</t>
  </si>
  <si>
    <t>15-2025-2575</t>
  </si>
  <si>
    <t>1-11629 GARCIA STEFANIA GRISELDA</t>
  </si>
  <si>
    <t>15-2025-5413</t>
  </si>
  <si>
    <t>15-2025-6430</t>
  </si>
  <si>
    <t>15-2025-5076</t>
  </si>
  <si>
    <t>15-2025-5067</t>
  </si>
  <si>
    <t>10-100203 COOPERATIVA DE TRABAJO JOVENES PRODUCTOR ES ARGENTINOS LTDA</t>
  </si>
  <si>
    <t>15-2025-4140</t>
  </si>
  <si>
    <t>BAÑOS QUIMICOS</t>
  </si>
  <si>
    <t>1-10768 RENTA PLAST S.A.</t>
  </si>
  <si>
    <t>1-11637   QUINTAS DAMIAN ALEJANDRO</t>
  </si>
  <si>
    <t>1-11637  QUINTAS DAMIAN ALEJANDRO</t>
  </si>
  <si>
    <t>15-2025-7391</t>
  </si>
  <si>
    <t>10-100197   COOPERATIVA DE TRABAJO HERRERIA ATUEL LTDA</t>
  </si>
  <si>
    <t>15-2025-9289</t>
  </si>
  <si>
    <t>1-11643   GUARPOIC SA</t>
  </si>
  <si>
    <t>1-11647  ANDRE ADOLFO IVO ALEXIS</t>
  </si>
  <si>
    <t>15-2025-10362</t>
  </si>
  <si>
    <t>OBRAS</t>
  </si>
  <si>
    <t>2-10239 AREDEX S.A.</t>
  </si>
  <si>
    <t>15-2025-11296</t>
  </si>
  <si>
    <t>15-2025-8542</t>
  </si>
  <si>
    <t>1-11647 ANDRE ADOLFO IVO ALEXIS</t>
  </si>
  <si>
    <t>15-2025-8532</t>
  </si>
  <si>
    <t>1-11671  BUCCELLO Y ASOCIADOS SRL</t>
  </si>
  <si>
    <t>15-2025-9270</t>
  </si>
  <si>
    <t>1-11671 BUCCELLO Y ASOCIADOS SRL</t>
  </si>
  <si>
    <t>15-2025-5593</t>
  </si>
  <si>
    <t>RIL</t>
  </si>
  <si>
    <t>1-11726 SUDAMERICANTRAIL S.A.</t>
  </si>
  <si>
    <t>15-2025-6385</t>
  </si>
  <si>
    <t>1-11730 OLEIROS S.A.</t>
  </si>
  <si>
    <t>1-12034 DOBLE 5 PRODUCCIONES SRL -</t>
  </si>
  <si>
    <t>1-12751 GONZALEZ RUBEN ANGEL</t>
  </si>
  <si>
    <t>1-11752   SUPPA NICOLAS HERNAN</t>
  </si>
  <si>
    <t>1-11752 SUPPA NICOLAS HERNAN</t>
  </si>
  <si>
    <t>15-2025-5054</t>
  </si>
  <si>
    <t>1-11775   ELCA  SEGURIDAD ELECTRONICA SRL</t>
  </si>
  <si>
    <t>1-11775  ELCA  SEGURIDAD ELECTRONICA SRL</t>
  </si>
  <si>
    <t>15-2025-6535</t>
  </si>
  <si>
    <t>1-11776 TTC AUTO ARGENTINA S.A.</t>
  </si>
  <si>
    <t>15-2025-8238</t>
  </si>
  <si>
    <t>1-11825  MALEMAX S.A -</t>
  </si>
  <si>
    <t>15-2025-5057</t>
  </si>
  <si>
    <t>15-2025-5098</t>
  </si>
  <si>
    <t>15-2025-5032</t>
  </si>
  <si>
    <t>1-11834   SOFLEX S.A</t>
  </si>
  <si>
    <t>1-11836  AGROBIKES SRL</t>
  </si>
  <si>
    <t>15-2025-9547</t>
  </si>
  <si>
    <t>15-2025-9852</t>
  </si>
  <si>
    <t>1-11836 AGROBIKES SRL</t>
  </si>
  <si>
    <t>15-2025-5462</t>
  </si>
  <si>
    <t>15-2025-5891</t>
  </si>
  <si>
    <t>15-2025-5967</t>
  </si>
  <si>
    <t>15-2025-5968</t>
  </si>
  <si>
    <t>15-2025-6126</t>
  </si>
  <si>
    <t>15-2025-4920</t>
  </si>
  <si>
    <t>15-2025-5458</t>
  </si>
  <si>
    <t>15-2025-5034</t>
  </si>
  <si>
    <t>15-2025-5472</t>
  </si>
  <si>
    <t>15-2025-3342</t>
  </si>
  <si>
    <t>1-12059 PARISE MARTIN JOSE</t>
  </si>
  <si>
    <t>15-2025-882</t>
  </si>
  <si>
    <t>15-2025-873</t>
  </si>
  <si>
    <t>15-2024-11125</t>
  </si>
  <si>
    <t>1-12063   VILENI SRL -</t>
  </si>
  <si>
    <t>1-12063  VILENI SRL -</t>
  </si>
  <si>
    <t>15-2025-10103</t>
  </si>
  <si>
    <t>1-12067   DIGIP SOLUCIONES INTEGRALES SRL -</t>
  </si>
  <si>
    <t>1-12067  DIGIP SOLUCIONES INTEGRALES SRL -</t>
  </si>
  <si>
    <t>15-2025-10918</t>
  </si>
  <si>
    <t>15-2025-4629</t>
  </si>
  <si>
    <t>58-2025-20241510258</t>
  </si>
  <si>
    <t>1-12067 DIGIP SOLUCIONES INTEGRALES SRL -</t>
  </si>
  <si>
    <t>1-12212   GAROBI CHRISTIAN DANIEL</t>
  </si>
  <si>
    <t>1-12212  GAROBI CHRISTIAN DANIEL</t>
  </si>
  <si>
    <t>15-2025-10330</t>
  </si>
  <si>
    <t>1-12212 GAROBI CHRISTIAN DANIEL</t>
  </si>
  <si>
    <t>15-2025-6277</t>
  </si>
  <si>
    <t>15-2025-6248</t>
  </si>
  <si>
    <t>15-2025-6289</t>
  </si>
  <si>
    <t>1-12232   PEREZ JORGE AGUSTIN</t>
  </si>
  <si>
    <t>1-12232  PEREZ JORGE AGUSTIN</t>
  </si>
  <si>
    <t>15-2025-7976</t>
  </si>
  <si>
    <t>1-12232 PEREZ JORGE AGUSTIN</t>
  </si>
  <si>
    <t>1-12294 BENITEZ MARIA PABLA</t>
  </si>
  <si>
    <t>15-2025-5954</t>
  </si>
  <si>
    <t>15-2025-11444</t>
  </si>
  <si>
    <t>1-12346  BIG DIPPER S.R.L.</t>
  </si>
  <si>
    <t>15-2025-6076</t>
  </si>
  <si>
    <t>1-12424 CABRAL CARLOS ALEJANDRO</t>
  </si>
  <si>
    <t>15-2025-8209</t>
  </si>
  <si>
    <t>1-12455 AUDITECH S.R.L.</t>
  </si>
  <si>
    <t>15-2025-1557</t>
  </si>
  <si>
    <t>15-2025-7096</t>
  </si>
  <si>
    <t>15-2025-6156</t>
  </si>
  <si>
    <t>1-12510  MARENNA MATIAS RUBEN</t>
  </si>
  <si>
    <t>15-2025-10025</t>
  </si>
  <si>
    <t>15-2025-10112</t>
  </si>
  <si>
    <t>15-2025-10160</t>
  </si>
  <si>
    <t>15-2025-10288</t>
  </si>
  <si>
    <t>15-2025-10357</t>
  </si>
  <si>
    <t>15-2025-10380</t>
  </si>
  <si>
    <t>15-2025-10491</t>
  </si>
  <si>
    <t>15-2025-8736</t>
  </si>
  <si>
    <t>15-2025-9880</t>
  </si>
  <si>
    <t>15-2025-9913</t>
  </si>
  <si>
    <t>15-2025-9915</t>
  </si>
  <si>
    <t>15-2025-9923</t>
  </si>
  <si>
    <t>1-12510 MARENNA MATIAS RUBEN</t>
  </si>
  <si>
    <t>15-2025-6138</t>
  </si>
  <si>
    <t>15-2025-6077</t>
  </si>
  <si>
    <t>15-2025-4228</t>
  </si>
  <si>
    <t>15-2025-6184</t>
  </si>
  <si>
    <t>15-2025-6242</t>
  </si>
  <si>
    <t>15-2025-6512</t>
  </si>
  <si>
    <t>15-2025-4046</t>
  </si>
  <si>
    <t>15-2025-4298</t>
  </si>
  <si>
    <t>15-2025-6520</t>
  </si>
  <si>
    <t>15-2025-6396</t>
  </si>
  <si>
    <t>15-2025-6113</t>
  </si>
  <si>
    <t>15-2025-5128</t>
  </si>
  <si>
    <t>15-2025-6122</t>
  </si>
  <si>
    <t>1-12517 HCJ S.R.L.</t>
  </si>
  <si>
    <t>15-2025-8630</t>
  </si>
  <si>
    <t>1-12537 GRAFICA RAMLIL S.A. -</t>
  </si>
  <si>
    <t>15-2025-6667</t>
  </si>
  <si>
    <t>15-2025-4570</t>
  </si>
  <si>
    <t>15-2025-4569</t>
  </si>
  <si>
    <t>15-2025-4586</t>
  </si>
  <si>
    <t>15-2025-4553</t>
  </si>
  <si>
    <t>15-2025-5939</t>
  </si>
  <si>
    <t>15-2025-5045</t>
  </si>
  <si>
    <t>15-2025-5941</t>
  </si>
  <si>
    <t>1-12563  RERDA S.A.</t>
  </si>
  <si>
    <t>15-2025-10096</t>
  </si>
  <si>
    <t>15-2025-10172</t>
  </si>
  <si>
    <t>1-12568 PEDRO LAGRAVE 145 S.R.L.</t>
  </si>
  <si>
    <t>15-2025-5550</t>
  </si>
  <si>
    <t>15-2025-6736</t>
  </si>
  <si>
    <t>15-2025-7752</t>
  </si>
  <si>
    <t>1-12575 MENDOZA MAURICIO ANTONIO</t>
  </si>
  <si>
    <t>15-2025-3657</t>
  </si>
  <si>
    <t>1-12605 TORRESSI PABLO BENINGO</t>
  </si>
  <si>
    <t>15-2025-5975</t>
  </si>
  <si>
    <t>1-12634  AGUIRRE IBARRA ESTEBAN JOSE</t>
  </si>
  <si>
    <t>15-2025-10340</t>
  </si>
  <si>
    <t>15-2025-8715</t>
  </si>
  <si>
    <t>1-12634 AGUIRRE IBARRA ESTEBAN JOSE</t>
  </si>
  <si>
    <t>15-2025-8174</t>
  </si>
  <si>
    <t>1-12719 LEONE JUAN PABLO</t>
  </si>
  <si>
    <t>15-2025-7921</t>
  </si>
  <si>
    <t>1-12749  THE ARMORED POINT S.A.</t>
  </si>
  <si>
    <t>15-2025-10965</t>
  </si>
  <si>
    <t>1-1409   IMBELLONE ARMANDO ROBERTO ERICO</t>
  </si>
  <si>
    <t>1-1647   FGG S.A.</t>
  </si>
  <si>
    <t>1-1647  FGG S.A.</t>
  </si>
  <si>
    <t>15-2025-10265</t>
  </si>
  <si>
    <t>15-2025-8727</t>
  </si>
  <si>
    <t>1-1647 FGG S.A.</t>
  </si>
  <si>
    <t>15-2025-7968</t>
  </si>
  <si>
    <t>15-2025-8669</t>
  </si>
  <si>
    <t>1-257 BULONERA TORCUATO SRL</t>
  </si>
  <si>
    <t>15-2025-7452</t>
  </si>
  <si>
    <t>15-2025-4532</t>
  </si>
  <si>
    <t>15-2025-7964</t>
  </si>
  <si>
    <t>15-2025-8324</t>
  </si>
  <si>
    <t>15-2025-8193</t>
  </si>
  <si>
    <t>1-4042 RICCIARDI SERGIO FRANCISCO</t>
  </si>
  <si>
    <t>15-2025-5860</t>
  </si>
  <si>
    <t>1-4111  AUTONORT SA</t>
  </si>
  <si>
    <t>15-2025-10434</t>
  </si>
  <si>
    <t>15-2025-6788</t>
  </si>
  <si>
    <t>1-4111 AUTONORT SA</t>
  </si>
  <si>
    <t>15-2025-6791</t>
  </si>
  <si>
    <t>15-2025-6792</t>
  </si>
  <si>
    <t>15-2025-6654</t>
  </si>
  <si>
    <t>15-2025-8709</t>
  </si>
  <si>
    <t>1-70337 PICCIONE SERGIO RENE</t>
  </si>
  <si>
    <t>15-2025-4417</t>
  </si>
  <si>
    <t>2-10226   T-COM S.A.</t>
  </si>
  <si>
    <t>15-2025-7507</t>
  </si>
  <si>
    <t>2-10331   MOYA HERNAN ANTONIO</t>
  </si>
  <si>
    <t>2-10331  MOYA HERNAN ANTONIO</t>
  </si>
  <si>
    <t>15-2025-10264</t>
  </si>
  <si>
    <t>2-10331 MOYA HERNAN ANTONIO</t>
  </si>
  <si>
    <t>15-2025-4631</t>
  </si>
  <si>
    <t>15-2025-6533</t>
  </si>
  <si>
    <t>DESVIO KRUSE A AUTORIZAR</t>
  </si>
  <si>
    <t>PENDIENTE DE ASIGNAR S/ CUPO ASIGNADO ORIGINALMENTE</t>
  </si>
  <si>
    <t>SECRETARÍA GENERAL - CEREMONIAL Y PROTOCOLO - SP</t>
  </si>
  <si>
    <t>1-11445  ILINCHETA MATIAS HERNAN</t>
  </si>
  <si>
    <t>15-2025-7458</t>
  </si>
  <si>
    <t>15-2025-8526</t>
  </si>
  <si>
    <t>15-2025-9151</t>
  </si>
  <si>
    <t>15-2025-9235</t>
  </si>
  <si>
    <t>15-2025-9514</t>
  </si>
  <si>
    <t>15-2025-9690</t>
  </si>
  <si>
    <t>15-2025-9897</t>
  </si>
  <si>
    <t>15-2025-9903</t>
  </si>
  <si>
    <t>1-11445 ILINCHETA MATIAS HERNAN</t>
  </si>
  <si>
    <t>15-2024-10584</t>
  </si>
  <si>
    <t>15-2024-10946</t>
  </si>
  <si>
    <t>15-2024-10324</t>
  </si>
  <si>
    <t>15-2025-5476</t>
  </si>
  <si>
    <t>15-2025-6053</t>
  </si>
  <si>
    <t>15-2025-1260</t>
  </si>
  <si>
    <t>15-2025-5255</t>
  </si>
  <si>
    <t>1-11458  TIEMPO BETA S.R.L.</t>
  </si>
  <si>
    <t>15-2025-8284</t>
  </si>
  <si>
    <t>1-11462  GENOMA PRODUCCIONES SRL</t>
  </si>
  <si>
    <t>15-2025-9727</t>
  </si>
  <si>
    <t>15-2025-9898</t>
  </si>
  <si>
    <t>1-11462 GENOMA PRODUCCIONES SRL</t>
  </si>
  <si>
    <t>15-2025-7651</t>
  </si>
  <si>
    <t>15-2025-7638</t>
  </si>
  <si>
    <t>1-11476  DELICHOTTI JAVIER LEANDRO</t>
  </si>
  <si>
    <t>15-2025-9638</t>
  </si>
  <si>
    <t>15-2025-11003</t>
  </si>
  <si>
    <t>15-2025-6448</t>
  </si>
  <si>
    <t>15-2025-6907</t>
  </si>
  <si>
    <t>15-2025-7475</t>
  </si>
  <si>
    <t>15-2025-7639</t>
  </si>
  <si>
    <t>15-2025-7983</t>
  </si>
  <si>
    <t>15-2025-8278</t>
  </si>
  <si>
    <t>15-2025-8304</t>
  </si>
  <si>
    <t>15-2025-8699</t>
  </si>
  <si>
    <t>1-11796  TEACSA S.A.</t>
  </si>
  <si>
    <t>15-2025-3489</t>
  </si>
  <si>
    <t>15-2025-3753</t>
  </si>
  <si>
    <t>15-2025-7379</t>
  </si>
  <si>
    <t>1-12037  TOTAL PRODUCCIONES S.A.</t>
  </si>
  <si>
    <t>15-2025-7731</t>
  </si>
  <si>
    <t>1-12137  RIGGER S.R.L -</t>
  </si>
  <si>
    <t>15-2025-7837</t>
  </si>
  <si>
    <t>15-2025-7842</t>
  </si>
  <si>
    <t>15-2025-10424</t>
  </si>
  <si>
    <t>15-2025-10657</t>
  </si>
  <si>
    <t>15-2025-11076</t>
  </si>
  <si>
    <t>15-2025-11216</t>
  </si>
  <si>
    <t>1-12307 ARG EVENTOS SRL -</t>
  </si>
  <si>
    <t>15-2025-6657</t>
  </si>
  <si>
    <t>1-12438  TIKI S.R.L.</t>
  </si>
  <si>
    <t>15-2025-11224</t>
  </si>
  <si>
    <t>1-12438 TIKI S.R.L.</t>
  </si>
  <si>
    <t>15-2025-6712</t>
  </si>
  <si>
    <t>15-2025-5217</t>
  </si>
  <si>
    <t>1-12469  NET FOCUS S.R.L.</t>
  </si>
  <si>
    <t>15-2025-9635</t>
  </si>
  <si>
    <t>1-1977  FERRARI DANIEL AXEL</t>
  </si>
  <si>
    <t>15-2025-7202</t>
  </si>
  <si>
    <t>15-2025-7251</t>
  </si>
  <si>
    <t>15-2025-7526</t>
  </si>
  <si>
    <t>15-2025-7586</t>
  </si>
  <si>
    <t>15-2025-7616</t>
  </si>
  <si>
    <t>15-2025-7839</t>
  </si>
  <si>
    <t>15-2025-8063</t>
  </si>
  <si>
    <t>15-2025-8072</t>
  </si>
  <si>
    <t>15-2025-8279</t>
  </si>
  <si>
    <t>15-2025-8611</t>
  </si>
  <si>
    <t>15-2025-8766</t>
  </si>
  <si>
    <t>15-2025-9094</t>
  </si>
  <si>
    <t>1-1977 FERRARI DANIEL AXEL</t>
  </si>
  <si>
    <t>15-2025-55</t>
  </si>
  <si>
    <t>15-2024-9908</t>
  </si>
  <si>
    <t>1-10455   BINCO S.R.L.</t>
  </si>
  <si>
    <t>1-10615  MASSARO SERGIO OMAR</t>
  </si>
  <si>
    <t>15-2025-9228</t>
  </si>
  <si>
    <t>15-2025-9740</t>
  </si>
  <si>
    <t>1-10657   PONTORIERO MARIANGELES</t>
  </si>
  <si>
    <t>1-10657  PONTORIERO MARIANGELES</t>
  </si>
  <si>
    <t>15-2025-5187</t>
  </si>
  <si>
    <t>15-2025-5789</t>
  </si>
  <si>
    <t>15-2025-7517</t>
  </si>
  <si>
    <t>15-2025-7577</t>
  </si>
  <si>
    <t>15-2025-7609</t>
  </si>
  <si>
    <t>15-2025-7758</t>
  </si>
  <si>
    <t>15-2024-4413</t>
  </si>
  <si>
    <t>15-2024-4831</t>
  </si>
  <si>
    <t>15-2024-4757</t>
  </si>
  <si>
    <t>15-2024-5245</t>
  </si>
  <si>
    <t>15-2024-7297</t>
  </si>
  <si>
    <t>1-11109  ELECTRO PERBE S.A.</t>
  </si>
  <si>
    <t>15-2025-10122</t>
  </si>
  <si>
    <t>15-2025-4973</t>
  </si>
  <si>
    <t>15-2025-9454</t>
  </si>
  <si>
    <t>1-11109 ELECTRO PERBE S.A.</t>
  </si>
  <si>
    <t>15-2025-3858</t>
  </si>
  <si>
    <t>15-2025-3278</t>
  </si>
  <si>
    <t>15-2025-2471</t>
  </si>
  <si>
    <t>15-2025-3816</t>
  </si>
  <si>
    <t>15-2025-4566</t>
  </si>
  <si>
    <t>58-2025-20241510284</t>
  </si>
  <si>
    <t>15-2025-3752</t>
  </si>
  <si>
    <t>15-2025-3756</t>
  </si>
  <si>
    <t>1-11289  OSTEOMEDIC GROUP SRL</t>
  </si>
  <si>
    <t>15-2025-1814</t>
  </si>
  <si>
    <t>15-2025-1981</t>
  </si>
  <si>
    <t>15-2025-1571</t>
  </si>
  <si>
    <t>15-2025-2409</t>
  </si>
  <si>
    <t>15-2025-960</t>
  </si>
  <si>
    <t>15-2025-224</t>
  </si>
  <si>
    <t>15-2025-6016</t>
  </si>
  <si>
    <t>15-2025-966</t>
  </si>
  <si>
    <t>15-2025-2234</t>
  </si>
  <si>
    <t>15-2025-5920</t>
  </si>
  <si>
    <t>15-2025-5919</t>
  </si>
  <si>
    <t>15-2025-5917</t>
  </si>
  <si>
    <t>15-2025-10192</t>
  </si>
  <si>
    <t>15-2025-10461</t>
  </si>
  <si>
    <t>15-2025-10490</t>
  </si>
  <si>
    <t>15-2025-8444</t>
  </si>
  <si>
    <t>15-2025-8781</t>
  </si>
  <si>
    <t>15-2025-8833</t>
  </si>
  <si>
    <t>15-2025-8947</t>
  </si>
  <si>
    <t>15-2025-9496</t>
  </si>
  <si>
    <t>15-2025-9606</t>
  </si>
  <si>
    <t>1-11545  ASISTHOS SRL</t>
  </si>
  <si>
    <t>15-2025-9360</t>
  </si>
  <si>
    <t>15-2025-9429</t>
  </si>
  <si>
    <t>15-2025-9435</t>
  </si>
  <si>
    <t>15-2025-9488</t>
  </si>
  <si>
    <t>1-11570   ADDITIVE SRL</t>
  </si>
  <si>
    <t>1-11826   ABELAIRA SOFIA ANTONELLA</t>
  </si>
  <si>
    <t>1-11924   ORTOPEDIA BERNAT SRL</t>
  </si>
  <si>
    <t>1-12261   BIONICS INGENIERIA SAS</t>
  </si>
  <si>
    <t>1-12267   DROGUERIA RIBERA DEL PARANA SA</t>
  </si>
  <si>
    <t>1-12267  DROGUERIA RIBERA DEL PARANA SA</t>
  </si>
  <si>
    <t>15-2025-5193</t>
  </si>
  <si>
    <t>15-2025-3822</t>
  </si>
  <si>
    <t>15-2025-4808</t>
  </si>
  <si>
    <t>15-2025-5148</t>
  </si>
  <si>
    <t>15-2025-10404</t>
  </si>
  <si>
    <t>15-2025-10468</t>
  </si>
  <si>
    <t>15-2025-7354</t>
  </si>
  <si>
    <t>15-2025-8197</t>
  </si>
  <si>
    <t>15-2025-8204</t>
  </si>
  <si>
    <t>15-2025-8508</t>
  </si>
  <si>
    <t>15-2025-8636</t>
  </si>
  <si>
    <t>15-2025-8832</t>
  </si>
  <si>
    <t>15-2025-9260</t>
  </si>
  <si>
    <t>15-2025-9494</t>
  </si>
  <si>
    <t>1-12344  VOLTAICA S.A.S.</t>
  </si>
  <si>
    <t>15-2025-9158</t>
  </si>
  <si>
    <t>15-2025-9433</t>
  </si>
  <si>
    <t>1-12344 VOLTAICA S.A.S.</t>
  </si>
  <si>
    <t>15-2025-6626</t>
  </si>
  <si>
    <t>15-2025-7151</t>
  </si>
  <si>
    <t>15-2025-7601</t>
  </si>
  <si>
    <t>15-2025-6258</t>
  </si>
  <si>
    <t>15-2025-7290</t>
  </si>
  <si>
    <t>15-2025-3853</t>
  </si>
  <si>
    <t>15-2025-6475</t>
  </si>
  <si>
    <t>15-2025-3748</t>
  </si>
  <si>
    <t>1-12417   MATURANA AGUSTINA AYLEN</t>
  </si>
  <si>
    <t>1-12417  MATURANA AGUSTINA AYLEN</t>
  </si>
  <si>
    <t>15-2025-8549</t>
  </si>
  <si>
    <t>15-2025-8571</t>
  </si>
  <si>
    <t>1-12475   EDICBA SAS</t>
  </si>
  <si>
    <t>1-12475  EDICBA SAS</t>
  </si>
  <si>
    <t>15-2025-6936</t>
  </si>
  <si>
    <t>15-2025-8148</t>
  </si>
  <si>
    <t>15-2025-8149</t>
  </si>
  <si>
    <t>15-2025-8156</t>
  </si>
  <si>
    <t>1-12512 CONSULTORA AIS S.R.L.</t>
  </si>
  <si>
    <t>15-2025-7228</t>
  </si>
  <si>
    <t>15-2025-4732</t>
  </si>
  <si>
    <t>15-2025-5824</t>
  </si>
  <si>
    <t>15-2025-5801</t>
  </si>
  <si>
    <t>15-2025-5806</t>
  </si>
  <si>
    <t>15-2025-5796</t>
  </si>
  <si>
    <t>15-2025-5788</t>
  </si>
  <si>
    <t>15-2025-6515</t>
  </si>
  <si>
    <t>1-12517  HCJ S.R.L.</t>
  </si>
  <si>
    <t>15-2025-8676</t>
  </si>
  <si>
    <t>15-2025-8690</t>
  </si>
  <si>
    <t>15-2025-8710</t>
  </si>
  <si>
    <t>15-2025-8711</t>
  </si>
  <si>
    <t>15-2025-8808</t>
  </si>
  <si>
    <t>15-2025-8791</t>
  </si>
  <si>
    <t>15-2025-8674</t>
  </si>
  <si>
    <t>1-12601 ESPINOSA PABLO DAVID</t>
  </si>
  <si>
    <t>58-2025-2024159068</t>
  </si>
  <si>
    <t>1-12632   MACEK NICOLAS</t>
  </si>
  <si>
    <t>1-12632 MACEK NICOLAS</t>
  </si>
  <si>
    <t>15-2025-6705</t>
  </si>
  <si>
    <t>15-2025-914</t>
  </si>
  <si>
    <t>15-2025-6412</t>
  </si>
  <si>
    <t>15-2025-7230</t>
  </si>
  <si>
    <t>15-2025-7628</t>
  </si>
  <si>
    <t>15-2025-3515</t>
  </si>
  <si>
    <t>15-2025-6018</t>
  </si>
  <si>
    <t>1-12666   GRUPO URBANO DESARROLLOS Y EMP. S.A.</t>
  </si>
  <si>
    <t>1-12755  POMA LEON PAULA SOLEDAD</t>
  </si>
  <si>
    <t>15-2025-10231</t>
  </si>
  <si>
    <t>15-2025-10243</t>
  </si>
  <si>
    <t>15-2025-5963</t>
  </si>
  <si>
    <t>15-2025-6182</t>
  </si>
  <si>
    <t>15-2025-6477</t>
  </si>
  <si>
    <t>15-2025-6493</t>
  </si>
  <si>
    <t>15-2025-6575</t>
  </si>
  <si>
    <t>15-2024-10663</t>
  </si>
  <si>
    <t>2-10337   RAISE SERVICIOS S.R.L.</t>
  </si>
  <si>
    <t>2-10074 SMITH MOLINA SAICI Y A -</t>
  </si>
  <si>
    <t>15-2025-7925</t>
  </si>
  <si>
    <t>2-1900 WAY MAKER SA</t>
  </si>
  <si>
    <t>15-2025-5994</t>
  </si>
  <si>
    <t>2-10269 DUORUM DESARROLLOS S,A,</t>
  </si>
  <si>
    <t>15-2025-1124</t>
  </si>
  <si>
    <t>15-2024-9668</t>
  </si>
  <si>
    <t>2-10314 ALPHALESA SA -</t>
  </si>
  <si>
    <t>ESPERANDO OC</t>
  </si>
  <si>
    <t>10-100069 COOPERATIVA DE TRABAJO SAN JOSE OBRERO DE ZELAYA LTDA</t>
  </si>
  <si>
    <t>15-2025-4249</t>
  </si>
  <si>
    <t>EN PROCESO</t>
  </si>
  <si>
    <t>15-2025-6455</t>
  </si>
  <si>
    <t>15-2025-11059</t>
  </si>
  <si>
    <t>15-2025-10368</t>
  </si>
  <si>
    <t>15-2025-11197</t>
  </si>
  <si>
    <t>15-2025-6435</t>
  </si>
  <si>
    <t>15-2025-3720</t>
  </si>
  <si>
    <t>10-100205 COOPERATIVA DE TRABAJO HACER LDTA</t>
  </si>
  <si>
    <t>15-2025-10364</t>
  </si>
  <si>
    <t>15-2025-10522</t>
  </si>
  <si>
    <t>15-2025-1606</t>
  </si>
  <si>
    <t>15-2025-10871</t>
  </si>
  <si>
    <t>SERVICIOS E INSUMOS INFORMATICOS</t>
  </si>
  <si>
    <t>MESA DE AYUDA</t>
  </si>
  <si>
    <t>15-2025-6317</t>
  </si>
  <si>
    <t>58-2025-20241510114</t>
  </si>
  <si>
    <t>FUNCIONAMIENTO INNOVACION</t>
  </si>
  <si>
    <t>1-120188 BIBOP S.A.</t>
  </si>
  <si>
    <t>15-2025-8861</t>
  </si>
  <si>
    <t>SERVICIOS DE SALUD</t>
  </si>
  <si>
    <t>MANTENIMIENTO Y ALQUILER DE EQUIPOS MEDICOS</t>
  </si>
  <si>
    <t>1-12319 GISBERT PEDRO ALEJANDRO</t>
  </si>
  <si>
    <t>15-2025-700</t>
  </si>
  <si>
    <t>1-12457 AGLIONI OMAR ALBERTO</t>
  </si>
  <si>
    <t>15-2025-697</t>
  </si>
  <si>
    <t>1-12460 NVM TECNOLOGIAS Y PROYECTOS S.R.L.</t>
  </si>
  <si>
    <t>1-12526 AL GENER S.R.L.</t>
  </si>
  <si>
    <t>15-2025-8208</t>
  </si>
  <si>
    <t>15-2025-6534</t>
  </si>
  <si>
    <t>15-2025-9846</t>
  </si>
  <si>
    <t>1-12623 CONTROL CLIM S.A.</t>
  </si>
  <si>
    <t>15-2025-10463</t>
  </si>
  <si>
    <t>15-2025-10544</t>
  </si>
  <si>
    <t>PAGO</t>
  </si>
  <si>
    <t>15-2025-3718</t>
  </si>
  <si>
    <t>1-12645 OBRAS GFA SRL</t>
  </si>
  <si>
    <t>2-10109   PILVIAL S.R.L</t>
  </si>
  <si>
    <t>15-2025-7522</t>
  </si>
  <si>
    <t>2-10268   AVISTAR SRL</t>
  </si>
  <si>
    <t>15-2025-2191</t>
  </si>
  <si>
    <t>15-2025-265</t>
  </si>
  <si>
    <t>15-2025-2966</t>
  </si>
  <si>
    <t>15-2025-5393</t>
  </si>
  <si>
    <t>2-1900  WAY MAKER SA</t>
  </si>
  <si>
    <t>15-2025-1598</t>
  </si>
  <si>
    <t>15-2025-400</t>
  </si>
  <si>
    <t>15-2025-6519</t>
  </si>
  <si>
    <t>DIRECTAS</t>
  </si>
  <si>
    <t>15-2025-VS</t>
  </si>
  <si>
    <t>PENDIENTE DE DISTRIBUIR</t>
  </si>
  <si>
    <t>FFGCAL603</t>
  </si>
  <si>
    <t>MANTENIMIENTO Y REPARACIÓN VEHICULAR</t>
  </si>
  <si>
    <t>MANT Y REP DE VEHICULOS - LEGAL Y TECNICA</t>
  </si>
  <si>
    <t>15-2025-123</t>
  </si>
  <si>
    <t>15-2025-122</t>
  </si>
  <si>
    <t>15-2025-1879</t>
  </si>
  <si>
    <t>15-2025-7612</t>
  </si>
  <si>
    <t>1-12362  MEYRIN S.A.</t>
  </si>
  <si>
    <t>15-2025-7578</t>
  </si>
  <si>
    <t>1-12405  LOEMSA SERVICIOS INTEGRALES S.A.</t>
  </si>
  <si>
    <t>58-2025-20241510040</t>
  </si>
  <si>
    <t>1-12405 LOEMSA SERVICIOS INTEGRALES S.A.</t>
  </si>
  <si>
    <t>15-2025-3528</t>
  </si>
  <si>
    <t>15-2025-2398</t>
  </si>
  <si>
    <t>PIEDRAS</t>
  </si>
  <si>
    <t>MAQUINAS CON Y SIN BATEAS</t>
  </si>
  <si>
    <t>1-1579 BULACIO CRISTIAN JAVIER</t>
  </si>
  <si>
    <t>15-2025-3695</t>
  </si>
  <si>
    <t>SERVICIO DE PODA</t>
  </si>
  <si>
    <t>1-12064 BIOSUR AMBIENTACION ECOLOGICA S.R.L</t>
  </si>
  <si>
    <t>15-2025-9246</t>
  </si>
  <si>
    <t>10-100190 COOPERATIVA DE TRABAJO ARBOLEDA LIMITADA -</t>
  </si>
  <si>
    <t>PLAZAS LAURA</t>
  </si>
  <si>
    <t>15-2025-5636</t>
  </si>
  <si>
    <t>PLAZAS LAURA (10)</t>
  </si>
  <si>
    <t>10-100206  COOPERATIVA DE TRABAJO UNIDOS POR EL JAGÜEL LTDA</t>
  </si>
  <si>
    <t>10-100206 COOPERATIVA DE TRABAJO UNIDOS POR EL JAGÜEL LTDA</t>
  </si>
  <si>
    <t>1-10037  ELECTROPELBA SA</t>
  </si>
  <si>
    <t>15-2025-7547</t>
  </si>
  <si>
    <t>15-2025-7889</t>
  </si>
  <si>
    <t>1-10037 ELECTROPELBA SA</t>
  </si>
  <si>
    <t>15-2025-7462</t>
  </si>
  <si>
    <t>15-2025-6946</t>
  </si>
  <si>
    <t>15-2025-1304</t>
  </si>
  <si>
    <t>1-10041  VOLQUETES PILAR SA</t>
  </si>
  <si>
    <t>15-2025-5149</t>
  </si>
  <si>
    <t>1-10131  LATIN PLAY SRL</t>
  </si>
  <si>
    <t>15-2025-8282</t>
  </si>
  <si>
    <t>1-10361  PILCHE MARIA ANGELICA</t>
  </si>
  <si>
    <t>15-2025-11040</t>
  </si>
  <si>
    <t>1-10738  TRANSPORTE PILAR SRL</t>
  </si>
  <si>
    <t>15-2025-8840</t>
  </si>
  <si>
    <t>15-2025-9451</t>
  </si>
  <si>
    <t>15-2025-9530</t>
  </si>
  <si>
    <t>1-10738 TRANSPORTE PILAR SRL</t>
  </si>
  <si>
    <t>15-2025-5018</t>
  </si>
  <si>
    <t>15-2025-7483</t>
  </si>
  <si>
    <t>15-2025-7674</t>
  </si>
  <si>
    <t>15-2025-3017</t>
  </si>
  <si>
    <t>15-2025-3754</t>
  </si>
  <si>
    <t>1-10761 CRUCI S.R.L.</t>
  </si>
  <si>
    <t>15-2025-8233</t>
  </si>
  <si>
    <t>15-2025-7537</t>
  </si>
  <si>
    <t>1-11059  BLANCH MATIAS</t>
  </si>
  <si>
    <t>15-2025-4112</t>
  </si>
  <si>
    <t>15-2025-10232</t>
  </si>
  <si>
    <t>15-2025-8587</t>
  </si>
  <si>
    <t>15-2025-8559</t>
  </si>
  <si>
    <t>1-11162  EQUIPCO SRL</t>
  </si>
  <si>
    <t>15-2025-5861</t>
  </si>
  <si>
    <t>1-11162 EQUIPCO SRL</t>
  </si>
  <si>
    <t>15-2025-4757</t>
  </si>
  <si>
    <t>1-11205  HERRERA ALDO ARIEL</t>
  </si>
  <si>
    <t>BATEAS ( REUNION LAURA 21.02.25) Expte. 9508-24</t>
  </si>
  <si>
    <t>1-11288   SERGIO MARINI E HIJOS SRL</t>
  </si>
  <si>
    <t>15-2025-1745</t>
  </si>
  <si>
    <t>MAQUINAS SIN BATEAS (REUNION LAURA 21.02.25)</t>
  </si>
  <si>
    <t>15-2025-3697</t>
  </si>
  <si>
    <t>1-11322   PANAMERICAN VIAL S.R.L</t>
  </si>
  <si>
    <t>15-2025-3698</t>
  </si>
  <si>
    <t>15-2025-5411</t>
  </si>
  <si>
    <t>1-11322  PANAMERICAN VIAL S.R.L</t>
  </si>
  <si>
    <t>1-11322 PANAMERICAN VIAL S.R.L</t>
  </si>
  <si>
    <t>15-2025-9870</t>
  </si>
  <si>
    <t>15-2025-7747</t>
  </si>
  <si>
    <t>15-2025-7890</t>
  </si>
  <si>
    <t>15-2025-1614</t>
  </si>
  <si>
    <t>15-2025-3939</t>
  </si>
  <si>
    <t>1-11473  CIA EL COATI S.A.</t>
  </si>
  <si>
    <t>15-2025-4533</t>
  </si>
  <si>
    <t>1-11473 CIA EL COATI S.A.</t>
  </si>
  <si>
    <t>1-11660  MONTES MAXIMILIANO GASTON</t>
  </si>
  <si>
    <t>15-2025-10897</t>
  </si>
  <si>
    <t>15-2025-11012</t>
  </si>
  <si>
    <t>1-11660 MONTES MAXIMILIANO GASTON</t>
  </si>
  <si>
    <t>15-2025-6625</t>
  </si>
  <si>
    <t>1-11978  PERLO GONZALO</t>
  </si>
  <si>
    <t>15-2025-10128</t>
  </si>
  <si>
    <t>15-2025-9986</t>
  </si>
  <si>
    <t>15-2025-8434</t>
  </si>
  <si>
    <t>15-2025-1835</t>
  </si>
  <si>
    <t>1-11990 JORDAN MATERIALES S.R.L.</t>
  </si>
  <si>
    <t>15-2025-7450</t>
  </si>
  <si>
    <t>1-11999 ROLCI S.A</t>
  </si>
  <si>
    <t>15-2025-7556</t>
  </si>
  <si>
    <t>1-12061 MICANA VIAL SRL</t>
  </si>
  <si>
    <t>15-2025-5414</t>
  </si>
  <si>
    <t>1-12064 BIOSUR AMBIENTACION ECOLOGICA S.R.L (poda)</t>
  </si>
  <si>
    <t>1-12108   JUAN CARLOS BARSI Y NAHUEL OSVALDO BARSI SH</t>
  </si>
  <si>
    <t>1-12108  JUAN CARLOS BARSI Y NAHUEL OSVALDO BARSI SH</t>
  </si>
  <si>
    <t>1-12158 ALAMBRADOS &amp; TAPIALES PREYALAM SRL</t>
  </si>
  <si>
    <t>15-2025-7449</t>
  </si>
  <si>
    <t>1-12309   IRANZO JOSE OSCAR  Y TREVISAN RODOLFO SH</t>
  </si>
  <si>
    <t>1-12372 IRON GROUP S.A.</t>
  </si>
  <si>
    <t>15-2025-4870</t>
  </si>
  <si>
    <t>15-2025-6809</t>
  </si>
  <si>
    <t>1-12399 FIGUEROA ROBERTO JAVIER</t>
  </si>
  <si>
    <t>1-12402  TEXTUM S.A.</t>
  </si>
  <si>
    <t>15-2025-10796</t>
  </si>
  <si>
    <t>15-2026-116</t>
  </si>
  <si>
    <t>1-12402 TEXTUM S.A.</t>
  </si>
  <si>
    <t>15-2025-10079</t>
  </si>
  <si>
    <t>15-2025-8205</t>
  </si>
  <si>
    <t>15-2025-8195</t>
  </si>
  <si>
    <t>15-2025-8621</t>
  </si>
  <si>
    <t>15-2025-3791</t>
  </si>
  <si>
    <t>15-2025-6945</t>
  </si>
  <si>
    <t>15-2025-10170</t>
  </si>
  <si>
    <t>1-12633   MAX TRUCKS WEST S.R.L.</t>
  </si>
  <si>
    <t>15-2025-1746</t>
  </si>
  <si>
    <t>1-12633 MAX TRUCKS WEST S.R.L.</t>
  </si>
  <si>
    <t>1-12642  DISTRIBUIDORA ALVA S.A.</t>
  </si>
  <si>
    <t>15-2025-10797</t>
  </si>
  <si>
    <t>15-2025-10881</t>
  </si>
  <si>
    <t>15-2025-10926</t>
  </si>
  <si>
    <t>15-2026-148</t>
  </si>
  <si>
    <t>15-2026-19</t>
  </si>
  <si>
    <t>1-12642 DISTRIBUIDORA ALVA S.A.</t>
  </si>
  <si>
    <t>15-2025-10397</t>
  </si>
  <si>
    <t>15-2025-10400</t>
  </si>
  <si>
    <t>15-2025-8800</t>
  </si>
  <si>
    <t>15-2025-9134</t>
  </si>
  <si>
    <t>1-12644   NUVA SACIFI -</t>
  </si>
  <si>
    <t>1-12644 NUVA SACIFI -</t>
  </si>
  <si>
    <t>15-2025-3264</t>
  </si>
  <si>
    <t>1-12681   NOTO LUCIANO</t>
  </si>
  <si>
    <t>1-12681  NOTO LUCIANO</t>
  </si>
  <si>
    <t>15-2025-10439</t>
  </si>
  <si>
    <t>15-2025-10509</t>
  </si>
  <si>
    <t>15-2025-7226</t>
  </si>
  <si>
    <t>1-12681 NOTO LUCIANO</t>
  </si>
  <si>
    <t>15-2025-7428</t>
  </si>
  <si>
    <t>15-2025-7468</t>
  </si>
  <si>
    <t>15-2025-7178</t>
  </si>
  <si>
    <t>1-12689 MAXIMO ESFUERZO S.A.</t>
  </si>
  <si>
    <t>15-2025-7451</t>
  </si>
  <si>
    <t>1-12704  VAZQUEZ CARDOZO RUBEN EMIGDIO</t>
  </si>
  <si>
    <t>15-2025-8182</t>
  </si>
  <si>
    <t>1-12704 VAZQUEZ CARDOZO RUBEN EMIGDIO</t>
  </si>
  <si>
    <t>15-2025-8183</t>
  </si>
  <si>
    <t>15-2025-8556</t>
  </si>
  <si>
    <t>1-1363   JP VIAL SA</t>
  </si>
  <si>
    <t>15-2025-1743</t>
  </si>
  <si>
    <t>15-2025-3694</t>
  </si>
  <si>
    <t>RECONOCIMIENTO DEUDA</t>
  </si>
  <si>
    <t>1-1363 JP VIAL SA</t>
  </si>
  <si>
    <t>19-2024-3997</t>
  </si>
  <si>
    <t>15-2025-4617</t>
  </si>
  <si>
    <t>1-1400 MARANO RICARDO MIGUEL</t>
  </si>
  <si>
    <t>15-2025-4214</t>
  </si>
  <si>
    <t>15-2025-2927</t>
  </si>
  <si>
    <t>1-1579   BULACIO CRISTIAN JAVIER</t>
  </si>
  <si>
    <t>1-235 ABRAFER SRL</t>
  </si>
  <si>
    <t>15-2025-6231</t>
  </si>
  <si>
    <t>1-5155  TECNOTRANS SRL</t>
  </si>
  <si>
    <t>15-2025-7583</t>
  </si>
  <si>
    <t>1-9354   ZAMVIAL SRL</t>
  </si>
  <si>
    <t>15-2025-3696</t>
  </si>
  <si>
    <t>15-2025-1744</t>
  </si>
  <si>
    <t>1-9354  ZAMVIAL SRL</t>
  </si>
  <si>
    <t>1-9354 ZAMVIAL SRL</t>
  </si>
  <si>
    <t>15-2025-9856</t>
  </si>
  <si>
    <t>2-10074   SMITH MOLINA SAICI Y A -</t>
  </si>
  <si>
    <t>15-2025-3700</t>
  </si>
  <si>
    <t>15-2025-1748</t>
  </si>
  <si>
    <t>58-2025-2024159858</t>
  </si>
  <si>
    <t>58-2025-2024159872</t>
  </si>
  <si>
    <t>2-10074 SMITH MOLINA</t>
  </si>
  <si>
    <t>15-2024-4629</t>
  </si>
  <si>
    <t>2-10234 MACROINDUSTRIA MONTADORA S.A.</t>
  </si>
  <si>
    <t>15-2025-5150</t>
  </si>
  <si>
    <t>15-2025-4213</t>
  </si>
  <si>
    <t>2-10236  CONCRETUS S.A -</t>
  </si>
  <si>
    <t>15-2025-3399</t>
  </si>
  <si>
    <t>15-2025-6802</t>
  </si>
  <si>
    <t>2-10241   PILMABIA SA</t>
  </si>
  <si>
    <t>15-2025-3701</t>
  </si>
  <si>
    <t>15-2025-5412</t>
  </si>
  <si>
    <t>2-10241  PILMABIA SA</t>
  </si>
  <si>
    <t>2-10241 PILMABIA</t>
  </si>
  <si>
    <t>2-10241 PILMABIA SA</t>
  </si>
  <si>
    <t>15-2025-7788</t>
  </si>
  <si>
    <t>15-2025-2818</t>
  </si>
  <si>
    <t>58-2025-2024154517</t>
  </si>
  <si>
    <t>58-2025-2024159873</t>
  </si>
  <si>
    <t>2-10338   ECO MOV S.R.L.</t>
  </si>
  <si>
    <t>15-2025-3702</t>
  </si>
  <si>
    <t>2-10338 ECO MOV S.R.L.</t>
  </si>
  <si>
    <t>15-2025-3699</t>
  </si>
  <si>
    <t>BATEAS</t>
  </si>
  <si>
    <t>15-2025-1747</t>
  </si>
  <si>
    <t>ASFALTO</t>
  </si>
  <si>
    <t>15-2025-2817</t>
  </si>
  <si>
    <t>FIGUEROA - ALQUICLARCK</t>
  </si>
  <si>
    <t>15-2025-8646</t>
  </si>
  <si>
    <t>PENDIENTE DISTRIBUIR</t>
  </si>
  <si>
    <t>2-1724   VIAL-TEC SA</t>
  </si>
  <si>
    <t>AJUSTE CIERRE - REU SOLOS FGG</t>
  </si>
  <si>
    <t>DEUDA LICITACION DICIEMBRE - OC N° 11087 - VIAL - TEC (CHEQUES DIFERIDOS)</t>
  </si>
  <si>
    <t>MATERIAL CALIENTE</t>
  </si>
  <si>
    <t>NUEVAS CUADRAS LAURA (300*40M)</t>
  </si>
  <si>
    <t>10-100201 COOPERATIVA DE TRABAJO ITA CONSTRUCCIONES LIMITADA</t>
  </si>
  <si>
    <t>58-2025-2024159371</t>
  </si>
  <si>
    <t>15-2024-7314</t>
  </si>
  <si>
    <t>15-2024-8099</t>
  </si>
  <si>
    <t>15-2024-7003</t>
  </si>
  <si>
    <t>15-2024-7154</t>
  </si>
  <si>
    <t>1-10455 BINCO S.R.L.</t>
  </si>
  <si>
    <t>1-10481 ASTUDILLO HUGO ROGELIO</t>
  </si>
  <si>
    <t>1-10484 CALDERON MARCELA NORMA</t>
  </si>
  <si>
    <t>15-2025-6160</t>
  </si>
  <si>
    <t>1-10529  MARIN MAXIMILIANO</t>
  </si>
  <si>
    <t>15-2025-1089</t>
  </si>
  <si>
    <t>58-2025-2024159578</t>
  </si>
  <si>
    <t>1-10536 PAGIRYS MAURICIO HUGO ANTONIO</t>
  </si>
  <si>
    <t>15-2025-7518</t>
  </si>
  <si>
    <t>15-2025-4728</t>
  </si>
  <si>
    <t>15-2025-4850</t>
  </si>
  <si>
    <t>15-2025-7417</t>
  </si>
  <si>
    <t>15-2025-4848</t>
  </si>
  <si>
    <t>15-2025-6940</t>
  </si>
  <si>
    <t>15-2025-7454</t>
  </si>
  <si>
    <t>15-2025-7559</t>
  </si>
  <si>
    <t>15-2025-8229</t>
  </si>
  <si>
    <t>15-2025-5790</t>
  </si>
  <si>
    <t>15-2024-10262</t>
  </si>
  <si>
    <t>15-2025-1087</t>
  </si>
  <si>
    <t>1-10841 LAGLAIVE CARLOS</t>
  </si>
  <si>
    <t>1-1094  SUPER COMERCIAL S.A.</t>
  </si>
  <si>
    <t>15-2025-2383</t>
  </si>
  <si>
    <t>15-2025-6770</t>
  </si>
  <si>
    <t>15-2025-7905</t>
  </si>
  <si>
    <t>15-2025-7935</t>
  </si>
  <si>
    <t>15-2025-8751</t>
  </si>
  <si>
    <t>15-2025-9825</t>
  </si>
  <si>
    <t>1-1094 SUPER COMERCIAL S.A.</t>
  </si>
  <si>
    <t>15-2025-3970</t>
  </si>
  <si>
    <t>15-2025-3920</t>
  </si>
  <si>
    <t>15-2025-4860</t>
  </si>
  <si>
    <t>15-2025-4245</t>
  </si>
  <si>
    <t>15-2025-3713</t>
  </si>
  <si>
    <t>1-11066  VERDI NOELIA CRISTINA</t>
  </si>
  <si>
    <t>15-2025-5395</t>
  </si>
  <si>
    <t>15-2025-8657</t>
  </si>
  <si>
    <t>1-11066 VERDI NOELIA CRISTINA</t>
  </si>
  <si>
    <t>15-2025-1004</t>
  </si>
  <si>
    <t>15-2025-4217</t>
  </si>
  <si>
    <t>15-2025-2514</t>
  </si>
  <si>
    <t>15-2025-4088</t>
  </si>
  <si>
    <t>15-2025-4700</t>
  </si>
  <si>
    <t>15-2025-3995</t>
  </si>
  <si>
    <t>15-2025-7488</t>
  </si>
  <si>
    <t>1-11341 RIPARI LUIS DANIEL</t>
  </si>
  <si>
    <t>1-11458 TIEMPO BETA S.R.L.</t>
  </si>
  <si>
    <t>1-11472 CASTILLO DIEGO ALEJANDRO</t>
  </si>
  <si>
    <t>1-11545 ASISTHOS SRL</t>
  </si>
  <si>
    <t>1-11570 ADDITIVE SRL</t>
  </si>
  <si>
    <t>1-11602 PULSO PRODUCCIONES SRL</t>
  </si>
  <si>
    <t>15-2025-1009</t>
  </si>
  <si>
    <t>15-2025-714</t>
  </si>
  <si>
    <t>15-2025-56</t>
  </si>
  <si>
    <t>15-2025-921</t>
  </si>
  <si>
    <t>15-2025-961</t>
  </si>
  <si>
    <t>15-2025-1022</t>
  </si>
  <si>
    <t>15-2025-3219</t>
  </si>
  <si>
    <t>15-2025-763</t>
  </si>
  <si>
    <t>58-2022-2021159692</t>
  </si>
  <si>
    <t>15-2024-8131</t>
  </si>
  <si>
    <t>1-11790 RODRARA SRL</t>
  </si>
  <si>
    <t>1-11791 ADEA ADMINISTRADORA DE ARCHIVOS S.A.</t>
  </si>
  <si>
    <t>15-2024-110</t>
  </si>
  <si>
    <t>58-2024-20231514340</t>
  </si>
  <si>
    <t>58-2024-20231514273</t>
  </si>
  <si>
    <t>1-11810  PARGA LUIS ENRIQUE</t>
  </si>
  <si>
    <t>15-2025-10665</t>
  </si>
  <si>
    <t>15-2025-9142</t>
  </si>
  <si>
    <t>15-2025-9593</t>
  </si>
  <si>
    <t>1-11810 PARGA LUIS ENRIQUE</t>
  </si>
  <si>
    <t>15-2025-6690</t>
  </si>
  <si>
    <t>15-2025-7445</t>
  </si>
  <si>
    <t>1-11827  SEPELIOS CARRUEGA SAS -</t>
  </si>
  <si>
    <t>15-2025-10338</t>
  </si>
  <si>
    <t>15-2025-10607</t>
  </si>
  <si>
    <t>15-2025-10627</t>
  </si>
  <si>
    <t>15-2025-6311</t>
  </si>
  <si>
    <t>15-2025-7867</t>
  </si>
  <si>
    <t>15-2025-8703</t>
  </si>
  <si>
    <t>15-2025-9526</t>
  </si>
  <si>
    <t>15-2025-9617</t>
  </si>
  <si>
    <t>1-11827 SEPELIOS CARRUEGA SAS -</t>
  </si>
  <si>
    <t>15-2025-6612</t>
  </si>
  <si>
    <t>15-2025-6082</t>
  </si>
  <si>
    <t>15-2025-6772</t>
  </si>
  <si>
    <t>15-2025-6617</t>
  </si>
  <si>
    <t>1-11829 NEWCOM LCS SA</t>
  </si>
  <si>
    <t>1-11842 ACOSTA NATALIA BELEN</t>
  </si>
  <si>
    <t>1-11924 ORTOPEDIA BERNAT SRL</t>
  </si>
  <si>
    <t>15-2025-10929</t>
  </si>
  <si>
    <t>1-12063 VILENI SRL -</t>
  </si>
  <si>
    <t>1-12109 FAST SERVICES S.R.L.</t>
  </si>
  <si>
    <t>15-2025-10839</t>
  </si>
  <si>
    <t>1-12250 ZUCCOLIN CARLOS DANIEL</t>
  </si>
  <si>
    <t>1-12261 BIONICS INGENIERIA SAS</t>
  </si>
  <si>
    <t>1-12277 MISIGOJ MARIA PIA</t>
  </si>
  <si>
    <t>UNIFORMES AL PERSONAL</t>
  </si>
  <si>
    <t>15-2025-4151</t>
  </si>
  <si>
    <t>1-12359  MARTINEZ JORGE MARCELO</t>
  </si>
  <si>
    <t>15-2024-3772</t>
  </si>
  <si>
    <t>15-2025-7440</t>
  </si>
  <si>
    <t>15-2025-7442</t>
  </si>
  <si>
    <t>15-2025-7605</t>
  </si>
  <si>
    <t>15-2025-7608</t>
  </si>
  <si>
    <t>15-2025-7755</t>
  </si>
  <si>
    <t>15-2025-8640</t>
  </si>
  <si>
    <t>15-2025-8677</t>
  </si>
  <si>
    <t>15-2025-8693</t>
  </si>
  <si>
    <t>15-2025-8716</t>
  </si>
  <si>
    <t>15-2025-8717</t>
  </si>
  <si>
    <t>15-2025-8837</t>
  </si>
  <si>
    <t>15-2025-8866</t>
  </si>
  <si>
    <t>1-12359 MARTINEZ JORGE MARCELO</t>
  </si>
  <si>
    <t>15-2025-4671</t>
  </si>
  <si>
    <t>15-2025-5955</t>
  </si>
  <si>
    <t>15-2025-5712</t>
  </si>
  <si>
    <t>15-2025-5689</t>
  </si>
  <si>
    <t>15-2025-5575</t>
  </si>
  <si>
    <t>15-2025-5877</t>
  </si>
  <si>
    <t>15-2025-5951</t>
  </si>
  <si>
    <t>15-2025-6080</t>
  </si>
  <si>
    <t>15-2025-5875</t>
  </si>
  <si>
    <t>15-2025-4766</t>
  </si>
  <si>
    <t>15-2025-5063</t>
  </si>
  <si>
    <t>15-2025-4559</t>
  </si>
  <si>
    <t>15-2025-5867</t>
  </si>
  <si>
    <t>15-2025-4717</t>
  </si>
  <si>
    <t>15-2025-5946</t>
  </si>
  <si>
    <t>15-2025-4746</t>
  </si>
  <si>
    <t>15-2025-6004</t>
  </si>
  <si>
    <t>15-2025-5972</t>
  </si>
  <si>
    <t>15-2025-5985</t>
  </si>
  <si>
    <t>15-2025-5644</t>
  </si>
  <si>
    <t>15-2025-5981</t>
  </si>
  <si>
    <t>15-2025-4668</t>
  </si>
  <si>
    <t>15-2024-6294</t>
  </si>
  <si>
    <t>15-2025-5323</t>
  </si>
  <si>
    <t>15-2025-6425</t>
  </si>
  <si>
    <t>15-2025-6600</t>
  </si>
  <si>
    <t>15-2025-7346</t>
  </si>
  <si>
    <t>15-2025-7727</t>
  </si>
  <si>
    <t>15-2025-8784</t>
  </si>
  <si>
    <t>15-2025-8923</t>
  </si>
  <si>
    <t>15-2025-8939</t>
  </si>
  <si>
    <t>15-2025-9106</t>
  </si>
  <si>
    <t>15-2025-9107</t>
  </si>
  <si>
    <t>15-2025-9108</t>
  </si>
  <si>
    <t>15-2025-9139</t>
  </si>
  <si>
    <t>15-2025-9163</t>
  </si>
  <si>
    <t>15-2025-9308</t>
  </si>
  <si>
    <t>15-2025-9336</t>
  </si>
  <si>
    <t>15-2025-9492</t>
  </si>
  <si>
    <t>15-2025-9835</t>
  </si>
  <si>
    <t>15-2025-9840</t>
  </si>
  <si>
    <t>1-12361 CORVALAN MARCELO JAVIER</t>
  </si>
  <si>
    <t>15-2025-5038</t>
  </si>
  <si>
    <t>15-2025-5322</t>
  </si>
  <si>
    <t>15-2025-5192</t>
  </si>
  <si>
    <t>15-2025-5278</t>
  </si>
  <si>
    <t>15-2025-2432</t>
  </si>
  <si>
    <t>15-2025-5285</t>
  </si>
  <si>
    <t>15-2024-6165</t>
  </si>
  <si>
    <t>15-2025-5164</t>
  </si>
  <si>
    <t>15-2025-4900</t>
  </si>
  <si>
    <t>15-2025-5330</t>
  </si>
  <si>
    <t>15-2023-6472</t>
  </si>
  <si>
    <t>15-2023-6482</t>
  </si>
  <si>
    <t>15-2023-6936</t>
  </si>
  <si>
    <t>15-2023-7503</t>
  </si>
  <si>
    <t>15-2025-4985</t>
  </si>
  <si>
    <t>15-2025-4992</t>
  </si>
  <si>
    <t>15-2025-6950</t>
  </si>
  <si>
    <t>15-2025-7351</t>
  </si>
  <si>
    <t>15-2025-7460</t>
  </si>
  <si>
    <t>15-2025-7499</t>
  </si>
  <si>
    <t>15-2025-7531</t>
  </si>
  <si>
    <t>15-2025-7536</t>
  </si>
  <si>
    <t>15-2025-7613</t>
  </si>
  <si>
    <t>15-2025-8280</t>
  </si>
  <si>
    <t>15-2025-8332</t>
  </si>
  <si>
    <t>15-2025-8446</t>
  </si>
  <si>
    <t>15-2025-8679</t>
  </si>
  <si>
    <t>15-2025-8796</t>
  </si>
  <si>
    <t>15-2025-9649</t>
  </si>
  <si>
    <t>15-2025-9684</t>
  </si>
  <si>
    <t>1-12365 DUMORTIER JORGE ARIEL</t>
  </si>
  <si>
    <t>58-2025-2024159810</t>
  </si>
  <si>
    <t>15-2025-7295</t>
  </si>
  <si>
    <t>15-2025-4255</t>
  </si>
  <si>
    <t>15-2025-4428</t>
  </si>
  <si>
    <t>15-2025-4122</t>
  </si>
  <si>
    <t>1-12378 DOMBRECHT SRL</t>
  </si>
  <si>
    <t>1-12398 GIRONELLI MARIA GLORIA</t>
  </si>
  <si>
    <t>1-12418  FARMACIA ROMO S.C.S.</t>
  </si>
  <si>
    <t>15-2025-4066</t>
  </si>
  <si>
    <t>1-12421  CINE GROUP S.R.L.</t>
  </si>
  <si>
    <t>15-2025-5234</t>
  </si>
  <si>
    <t>1-12447  DALT IMAGEN CORPORATIVA S.R.L.</t>
  </si>
  <si>
    <t>15-2025-7548</t>
  </si>
  <si>
    <t>15-2025-7549</t>
  </si>
  <si>
    <t>1-12475 EDICBA SAS</t>
  </si>
  <si>
    <t>15-2025-7809</t>
  </si>
  <si>
    <t>15-2025-6366</t>
  </si>
  <si>
    <t>15-2025-6190</t>
  </si>
  <si>
    <t>15-2025-6117</t>
  </si>
  <si>
    <t>15-2025-6588</t>
  </si>
  <si>
    <t>15-2025-8798</t>
  </si>
  <si>
    <t>15-2025-8920</t>
  </si>
  <si>
    <t>15-2025-8288</t>
  </si>
  <si>
    <t>15-2025-8535</t>
  </si>
  <si>
    <t>15-2025-9320</t>
  </si>
  <si>
    <t>15-2025-9575</t>
  </si>
  <si>
    <t>15-2025-8845</t>
  </si>
  <si>
    <t>15-2025-7924</t>
  </si>
  <si>
    <t>15-2025-7971</t>
  </si>
  <si>
    <t>15-2025-6051</t>
  </si>
  <si>
    <t>15-2025-6833</t>
  </si>
  <si>
    <t>15-2025-8155</t>
  </si>
  <si>
    <t>15-2025-8928</t>
  </si>
  <si>
    <t>1-12520 FP3 SAS</t>
  </si>
  <si>
    <t>15-2025-289</t>
  </si>
  <si>
    <t>15-2025-182</t>
  </si>
  <si>
    <t>15-2025-10080</t>
  </si>
  <si>
    <t>15-2025-10081</t>
  </si>
  <si>
    <t>15-2025-10563</t>
  </si>
  <si>
    <t>15-2025-10567</t>
  </si>
  <si>
    <t>15-2025-10568</t>
  </si>
  <si>
    <t>15-2025-6885</t>
  </si>
  <si>
    <t>15-2025-9559</t>
  </si>
  <si>
    <t>15-2025-9560</t>
  </si>
  <si>
    <t>15-2025-9561</t>
  </si>
  <si>
    <t>15-2025-9563</t>
  </si>
  <si>
    <t>15-2025-9564</t>
  </si>
  <si>
    <t>15-2025-9565</t>
  </si>
  <si>
    <t>15-2025-9566</t>
  </si>
  <si>
    <t>15-2025-9570</t>
  </si>
  <si>
    <t>15-2025-9573</t>
  </si>
  <si>
    <t>15-2025-9576</t>
  </si>
  <si>
    <t>15-2025-9590</t>
  </si>
  <si>
    <t>15-2025-9615</t>
  </si>
  <si>
    <t>15-2025-6228</t>
  </si>
  <si>
    <t>15-2025-6870</t>
  </si>
  <si>
    <t>15-2025-6306</t>
  </si>
  <si>
    <t>15-2025-6304</t>
  </si>
  <si>
    <t>15-2025-6897</t>
  </si>
  <si>
    <t>15-2025-6300</t>
  </si>
  <si>
    <t>15-2025-7381</t>
  </si>
  <si>
    <t>15-2025-6280</t>
  </si>
  <si>
    <t>15-2025-6299</t>
  </si>
  <si>
    <t>15-2025-6889</t>
  </si>
  <si>
    <t>15-2025-6899</t>
  </si>
  <si>
    <t>15-2025-6310</t>
  </si>
  <si>
    <t>15-2025-6867</t>
  </si>
  <si>
    <t>15-2025-6729</t>
  </si>
  <si>
    <t>15-2025-6865</t>
  </si>
  <si>
    <t>1-12538  PRANA ARGENTINA S.A.</t>
  </si>
  <si>
    <t>15-2025-8719</t>
  </si>
  <si>
    <t>15-2025-9004</t>
  </si>
  <si>
    <t>15-2025-9698</t>
  </si>
  <si>
    <t>15-2025-9927</t>
  </si>
  <si>
    <t>1-12538 PRANA ARGENTINA S.A.</t>
  </si>
  <si>
    <t>15-2025-916</t>
  </si>
  <si>
    <t>15-2025-2497</t>
  </si>
  <si>
    <t>15-2025-663</t>
  </si>
  <si>
    <t>15-2025-1221</t>
  </si>
  <si>
    <t>15-2025-1684</t>
  </si>
  <si>
    <t>1-12590  SANCHEZ LUCAS MAXIMILIANO</t>
  </si>
  <si>
    <t>15-2025-10561</t>
  </si>
  <si>
    <t>15-2025-10787</t>
  </si>
  <si>
    <t>15-2025-10885</t>
  </si>
  <si>
    <t>1-12590 SANCHEZ LUCAS MAXIMILIANO</t>
  </si>
  <si>
    <t>15-2025-9351</t>
  </si>
  <si>
    <t>15-2025-8200</t>
  </si>
  <si>
    <t>15-2025-8023</t>
  </si>
  <si>
    <t>1-12606 ECO GO S.A.</t>
  </si>
  <si>
    <t>1-12666 GRUPO URBANO DESARROLLOS Y EMP. S.A.</t>
  </si>
  <si>
    <t>1-12698 DE CURTIS MARCELO DANIEL</t>
  </si>
  <si>
    <t>1-12706 ALMA DEPORTIVA S.A.</t>
  </si>
  <si>
    <t>1-12736 BRAVA CANITAS S.A.S.</t>
  </si>
  <si>
    <t>1-12749 THE ARMORED POINT S.A.</t>
  </si>
  <si>
    <t>1-12764  BRERA RODRIGUEZ MARIA BELEN</t>
  </si>
  <si>
    <t>15-2025-10862</t>
  </si>
  <si>
    <t>15-2025-11052</t>
  </si>
  <si>
    <t>1-132  JEANNOT MARTIN MIGUEL</t>
  </si>
  <si>
    <t>15-2025-19</t>
  </si>
  <si>
    <t>15-2025-3679</t>
  </si>
  <si>
    <t>15-2025-3188</t>
  </si>
  <si>
    <t>15-2025-3226</t>
  </si>
  <si>
    <t>1-1409 IMBELLONE ARMANDO ROBERTO ERICO</t>
  </si>
  <si>
    <t>15-2025-1729</t>
  </si>
  <si>
    <t>15-2025-1257</t>
  </si>
  <si>
    <t>15-2025-1645</t>
  </si>
  <si>
    <t>15-2025-397</t>
  </si>
  <si>
    <t>15-2025-1184</t>
  </si>
  <si>
    <t>15-2025-1646</t>
  </si>
  <si>
    <t>15-2025-1562</t>
  </si>
  <si>
    <t>15-2025-2402</t>
  </si>
  <si>
    <t>15-2025-1187</t>
  </si>
  <si>
    <t>15-2025-272</t>
  </si>
  <si>
    <t>15-2025-855</t>
  </si>
  <si>
    <t>15-2025-1284</t>
  </si>
  <si>
    <t>1-1828 DOLORES GAS SA</t>
  </si>
  <si>
    <t>SERVICIO DE PROVISIÓN DE ROPERIA</t>
  </si>
  <si>
    <t>1-1968 TEX CARE ARG SA</t>
  </si>
  <si>
    <t>15-2025-5874</t>
  </si>
  <si>
    <t>1-751 DIAS RICARDO LUIS</t>
  </si>
  <si>
    <t>2-10226 T-COM S.A.</t>
  </si>
  <si>
    <t>58-2025-20241510208</t>
  </si>
  <si>
    <t>15-2024-4842</t>
  </si>
  <si>
    <t>58-2025-20241510518</t>
  </si>
  <si>
    <t>58-2025-2024158977</t>
  </si>
  <si>
    <t>15-2023-6920</t>
  </si>
  <si>
    <t>15-2023-8141</t>
  </si>
  <si>
    <t>15-2024-5068</t>
  </si>
  <si>
    <t>15-2024-874</t>
  </si>
  <si>
    <t>15-2024-962</t>
  </si>
  <si>
    <t>15-2024-5258</t>
  </si>
  <si>
    <t>15-2024-8933</t>
  </si>
  <si>
    <t>2-10340  SANCHEZ ANGEL MAXIMILIANO</t>
  </si>
  <si>
    <t>15-2025-10117</t>
  </si>
  <si>
    <t>15-2025-10444</t>
  </si>
  <si>
    <t>15-2025-10518</t>
  </si>
  <si>
    <t>15-2025-10553</t>
  </si>
  <si>
    <t>15-2025-10739</t>
  </si>
  <si>
    <t>15-2025-10761</t>
  </si>
  <si>
    <t>15-2025-10781</t>
  </si>
  <si>
    <t>15-2025-10799</t>
  </si>
  <si>
    <t>15-2025-10865</t>
  </si>
  <si>
    <t>15-2025-9282</t>
  </si>
  <si>
    <t>15-2025-9910</t>
  </si>
  <si>
    <t>2-10340 SANCHEZ ANGEL MAXIMILIANO</t>
  </si>
  <si>
    <t>15-2025-8097</t>
  </si>
  <si>
    <t>15-2025-8671</t>
  </si>
  <si>
    <t>15-2025-8672</t>
  </si>
  <si>
    <t>15-2025-8913</t>
  </si>
  <si>
    <t>15-2025-8232</t>
  </si>
  <si>
    <t>15-2025-8605</t>
  </si>
  <si>
    <t>15-2025-8255</t>
  </si>
  <si>
    <t>15-2025-8247</t>
  </si>
  <si>
    <t>15-2025-7897</t>
  </si>
  <si>
    <t>6-60615 GASPARINI LUANA BELEN</t>
  </si>
  <si>
    <t>ADELANTO PILETAS</t>
  </si>
  <si>
    <t>HCJ</t>
  </si>
  <si>
    <t>SEPELIOS</t>
  </si>
  <si>
    <t>THE ARMORED POINT</t>
  </si>
  <si>
    <t>VARIOS</t>
  </si>
  <si>
    <t>FFGCAL724</t>
  </si>
  <si>
    <t>ALIMENTOS</t>
  </si>
  <si>
    <t>ALIMENTOS - PROGRAMAS MUNICIPALES</t>
  </si>
  <si>
    <t>1-11837   TECSALIM EFICACIA SRL</t>
  </si>
  <si>
    <t>AJUSTE CIERRE - BORRADO EL 24.07 - FUE REEMPLAZADO POR LINEA AJUSTE FGG</t>
  </si>
  <si>
    <t>ALIMENTOS - AJUSTE FGG</t>
  </si>
  <si>
    <t>FFGCALCOOP</t>
  </si>
  <si>
    <t>10-100203   COOPERATIVA DE TRABAJO JOVENES PRODUCTOR ES ARGENTINOS LTDA</t>
  </si>
  <si>
    <t>FFGCALLED</t>
  </si>
  <si>
    <t>2-10295   TRANSUR S.A. - ILED (SERV MENSUAL)</t>
  </si>
  <si>
    <t>1-331   TRANSUR S.A.  LUCES - SERVICIO</t>
  </si>
  <si>
    <t>1-331   TRANSUR S.A.  RESIDUOS - REFUERZO FG</t>
  </si>
  <si>
    <t>1-331   TRANSUR S.A. LUCES - OC 3788</t>
  </si>
  <si>
    <t>1-331   TRANSUR S.A.  RESIDUOS</t>
  </si>
  <si>
    <t>RETENCIONES CHEQUES DIFERIDOS</t>
  </si>
  <si>
    <t>1-331 TRANSUR S.A.  RESIDUOS</t>
  </si>
  <si>
    <t>1-331   TRANSUR S.A.  - REDETERMINACIONES DE PRECIO SALTOS - SEP. OCT. NOV. 2024</t>
  </si>
  <si>
    <t>ADELANTO TRANSUR</t>
  </si>
  <si>
    <t>S-SUELDOS</t>
  </si>
  <si>
    <t>BONO (JULIO 60 - AGOSTO 100 - OCTUBRE 150 - DICIEMBRE 200) X(6600 AGENTES)</t>
  </si>
  <si>
    <t>S-AGUINALDOS</t>
  </si>
  <si>
    <t>BONO EMERGENCIA CLIMATICA</t>
  </si>
  <si>
    <t>agregado calendario septiembre - 10-100069   COOPERATIVA DE TRABAJO SAN JOSE OBRERO DE ZELAYA LTDA</t>
  </si>
  <si>
    <t>FARMACIA</t>
  </si>
  <si>
    <t>1-10464 DROGUERIA VARADERO S.A.</t>
  </si>
  <si>
    <t>SERVICIO DE IMÁGENES HCP</t>
  </si>
  <si>
    <t>1-11729 ENRIQUE MARTIN ROSSI SA</t>
  </si>
  <si>
    <t>ALQUIER TOMOGRAFO  Y SERVICIO DE TOMOGRAFIA DERQUI</t>
  </si>
  <si>
    <t>1-11727 MILBET S.A.</t>
  </si>
  <si>
    <t>15-2025-5339</t>
  </si>
  <si>
    <t>SERVICIO DE LABORATORIO</t>
  </si>
  <si>
    <t>1-11683 LABORATORIO HIDALGO SA</t>
  </si>
  <si>
    <t>SERVICIO DE TOMOGRAFIA  HCP</t>
  </si>
  <si>
    <t>15-2025-5334</t>
  </si>
  <si>
    <t>SERVICIO ONMICANAL.- MI MUNI</t>
  </si>
  <si>
    <t>1-11757 OLUM SRL</t>
  </si>
  <si>
    <t>ALQUILER DE IMPRESORAS Y SERVICIO DE IMPRESIÓN</t>
  </si>
  <si>
    <t>1-11587 GRUPO GRANDES CUENTAS SRL</t>
  </si>
  <si>
    <t>SERVICIO DE HEMODINAMIA</t>
  </si>
  <si>
    <t>1-12508 IMMI PILAR S.A.</t>
  </si>
  <si>
    <t>15-2025-5331</t>
  </si>
  <si>
    <t>SERVICIO DE LIMPIEZA HCP</t>
  </si>
  <si>
    <t>1-12385 SERVICIOS TECNOLIMP S.R.L.</t>
  </si>
  <si>
    <t>ASERRADERO - JORDAN MATERIALES - AMIN AIEK</t>
  </si>
  <si>
    <t>CORREO</t>
  </si>
  <si>
    <t>PROVISION Y DISTRIBUCION DE BOLETAS</t>
  </si>
  <si>
    <t>1-37 BLUE MAIL SA</t>
  </si>
  <si>
    <t>INSUMOS PARENTERALES</t>
  </si>
  <si>
    <t>1-12133 POGGI RAUL JORGE LEON</t>
  </si>
  <si>
    <t>INSUMOS HEMODINAMIA</t>
  </si>
  <si>
    <t>1-11701 DROGUERIA ATLANTIDA ARGENTINA S.A -</t>
  </si>
  <si>
    <t>15-2025-1354</t>
  </si>
  <si>
    <t>ADQUISICION DE 870 LICENCIAS MILESTONE - EXPTE. 3422/25 PDP KRUSE</t>
  </si>
  <si>
    <t>15-2025-7407</t>
  </si>
  <si>
    <t>SERVICIO E INSUMOS HEMODIALISIS</t>
  </si>
  <si>
    <t>1-11954 STORING INSUMOS MEDICOS SRL -</t>
  </si>
  <si>
    <t>PDP KRUSE - ADQUISICION DE EQUIPO DE VIDEO VIGILANCIA</t>
  </si>
  <si>
    <t>15-2025-2482</t>
  </si>
  <si>
    <t>1-12318 ALCAT S.A.</t>
  </si>
  <si>
    <t>SERVICIO DE TELEMEDICINA</t>
  </si>
  <si>
    <t>1-12290 PORTAL SALUD S.A.</t>
  </si>
  <si>
    <t>SERVICIO DE OXIGENO</t>
  </si>
  <si>
    <t>1-110 AIR LIQUIDE ARGENTINA SA</t>
  </si>
  <si>
    <t>SERVICIO DE SALUD</t>
  </si>
  <si>
    <t>PROTESIS - INSUMOS QUIRURGICOS</t>
  </si>
  <si>
    <t>1-12069 PRORAM S.A .</t>
  </si>
  <si>
    <t>PDP KRUSE</t>
  </si>
  <si>
    <t>SIN OC</t>
  </si>
  <si>
    <t>1-12519 DROGUERIA MEDI-CROSS S.R.L.</t>
  </si>
  <si>
    <t>SERVICIO DE RECOLECCIÓN DE RESIDUOS PATOGENICOS</t>
  </si>
  <si>
    <t>1-718 SOMA S.A</t>
  </si>
  <si>
    <t>ALQUILER Y MANTENIMIENTO DE EQUIPOS</t>
  </si>
  <si>
    <t>1-10396 RAYOS PIMAX SRL -</t>
  </si>
  <si>
    <t>SERVICIO DE OXIGENO DOMICILIARIO</t>
  </si>
  <si>
    <t>1-11933 AVIL SALUD S.R.L.</t>
  </si>
  <si>
    <t>SISTEMA DE HISTORIA CLINICA</t>
  </si>
  <si>
    <t>1-12282 DIAGNOSTICA TELEMEDICINA SA -</t>
  </si>
  <si>
    <t>15-2025-395</t>
  </si>
  <si>
    <t>Servicio de Reparación de Vehiculos - 6253/25 - PDP KRUSE 17.10.25</t>
  </si>
  <si>
    <t>SISTEMA DE FARMACIA</t>
  </si>
  <si>
    <t>1-12389 INTEGRANDO SALUD S.A.S.</t>
  </si>
  <si>
    <t>BIDONES DE AGUA</t>
  </si>
  <si>
    <t>15-2025-VSDESTINOS</t>
  </si>
  <si>
    <t>1-11579   NOMERO SA</t>
  </si>
  <si>
    <t>1-11579 NOMERO SA</t>
  </si>
  <si>
    <t>MANTENIMIENTO APP + LOGIN MI MUNI</t>
  </si>
  <si>
    <t>1-12286 PLAY GROUP S.A. -</t>
  </si>
  <si>
    <t>15-2025-26</t>
  </si>
  <si>
    <t>SERVICIO LICENCIA DE SOFTWARE</t>
  </si>
  <si>
    <t>1-6555 COMPUBECCAR SA</t>
  </si>
  <si>
    <t>58-2025-510877</t>
  </si>
  <si>
    <t>GUARDA VEHICULOS MUNICIPALES</t>
  </si>
  <si>
    <t>IMPLEMENTACION Y MANTENIMIENTO CORRECTIVO MODULO SALUD</t>
  </si>
  <si>
    <t>15-2025-259</t>
  </si>
  <si>
    <t>SERVICIO GPS</t>
  </si>
  <si>
    <t>1-11834 SOFLEX S.A</t>
  </si>
  <si>
    <t>15-2025-167</t>
  </si>
  <si>
    <t>15-2025-3715</t>
  </si>
  <si>
    <t>SERVICIO INTEGRAL DE GESTION Y ASISTENCIA DE PERSONAL - DESVIO AGOSTO pago</t>
  </si>
  <si>
    <t>1-11058 TECNOLOGIA EN SEGURIDAD Y SERVICIOS SRL</t>
  </si>
  <si>
    <t>15-2025-5631</t>
  </si>
  <si>
    <t>GRAFICA</t>
  </si>
  <si>
    <t>FLYERS</t>
  </si>
  <si>
    <t>1-12620 SALAZAR EMILIANO SEBASTIAN</t>
  </si>
  <si>
    <t>1-12560   HERRERO PABLO MIGUEL</t>
  </si>
  <si>
    <t>1-12560 HERRERO PABLO MIGUEL</t>
  </si>
  <si>
    <t>PAQUETE DE LICENCIAS CITAS ONLINE</t>
  </si>
  <si>
    <t>1-11967 DEBTECH S.A.</t>
  </si>
  <si>
    <t>15-2025-7733</t>
  </si>
  <si>
    <t>1-11834    SOFLEX</t>
  </si>
  <si>
    <t>15-2025-3633</t>
  </si>
  <si>
    <t>10-100205  COOPERATIVA DE TRABAJO HACER LDTA</t>
  </si>
  <si>
    <t>FLUJO INTEGRACION</t>
  </si>
  <si>
    <t>1-11523 VILLARREAL CLAUDIO ANDRES</t>
  </si>
  <si>
    <t>1-11661   LA TORTUGA AREA DEPORTIVA S.R.L.</t>
  </si>
  <si>
    <t>1-12173   FIDIAS ENERGIA SRL</t>
  </si>
  <si>
    <t>1-11715 TRANSPORTE NORBUS SAS</t>
  </si>
  <si>
    <t>1-12656 PAZ VALERIA VANINA</t>
  </si>
  <si>
    <t>1-11796 TEACSA S.A.</t>
  </si>
  <si>
    <t>10-100180  COOPERATIVA DE TRABAJO CONSTRUIR TRABAJO LIMITADA</t>
  </si>
  <si>
    <t>15-2025-7580</t>
  </si>
  <si>
    <t>agregado calendario septiembre</t>
  </si>
  <si>
    <t>agregado calendario septiembre.-MATERIALES ELECTRICOS SSPP</t>
  </si>
  <si>
    <t>1-10146 ENLUZ SA .</t>
  </si>
  <si>
    <t>DESVIO OCTUBRE</t>
  </si>
  <si>
    <t>1-10549   OCAMPO JESUS LUIS MARTIN</t>
  </si>
  <si>
    <t>VACACIONES DE INVIERNO</t>
  </si>
  <si>
    <t>1-10768   RENTA PLAST S.A.</t>
  </si>
  <si>
    <t>15-2025-6516</t>
  </si>
  <si>
    <t>15-2025-6824</t>
  </si>
  <si>
    <t>15-2025-6321</t>
  </si>
  <si>
    <t>15-2025-7275</t>
  </si>
  <si>
    <t>15-2025-7854</t>
  </si>
  <si>
    <t>15-2025-6462</t>
  </si>
  <si>
    <t>15-2025-2538</t>
  </si>
  <si>
    <t>15-2025-6266</t>
  </si>
  <si>
    <t>SERVICIO DE BLINDAJE Y PLOTEO DE CAMIONETAS - PDP KRUSE - EXPE 2455/2025</t>
  </si>
  <si>
    <t>1-10859   ASP BLINDAJES S.A.</t>
  </si>
  <si>
    <t>15-2025-6585</t>
  </si>
  <si>
    <t>EQUIPAMIENTO MOVILES SEGURIDAD CON FONDO AFECTADO COLCHON - PDP KRUSE EXPE 2823/2025</t>
  </si>
  <si>
    <t>15-2025-6595</t>
  </si>
  <si>
    <t>CAMARAS DE SEGURIDAD</t>
  </si>
  <si>
    <t>1-10891 EXANET S.A</t>
  </si>
  <si>
    <t>15-2025-7298</t>
  </si>
  <si>
    <t>PDP KRUSE - ADQUISICION DE LICENCIA Y EQUIPAMIENTO SIST. LPR</t>
  </si>
  <si>
    <t>15-2025-3421</t>
  </si>
  <si>
    <t>SERVICIO DE VIDEOVIGILANCIA URBANA EXPTE 1464/2025.- ADQUISICION DE 870 LICENCIAS MILESTONE -  ADQUISICION DE EQUIPO DE VIDEO VIGILANCIA</t>
  </si>
  <si>
    <t>SERVICIO INTEGRAL DE GESTION Y ASISTENCIA DE PERSONAL - DESVIO AGOSTO</t>
  </si>
  <si>
    <t>1-11058 TECNOLOGIA EN SEGURIDAD Y SERVICIOS S.R.L.</t>
  </si>
  <si>
    <t>15-2025-2826</t>
  </si>
  <si>
    <t>SERVICIO INTEGRAL DE GESTION Y ASISTENCIA DE PERSONAL</t>
  </si>
  <si>
    <t>SERVICIO INTEGRAL MARATON</t>
  </si>
  <si>
    <t>1-11239 M2R S.A</t>
  </si>
  <si>
    <t>ADQUISICION 40 CAMARAS LPR Y AMPLIACION STORAGE 128TB - EXPTE. 2972/25 - SOLPE 3-476-727 PDP KRUSE</t>
  </si>
  <si>
    <t>1-11354 MIRICH SEGURIDAD ELECTRONICA SA</t>
  </si>
  <si>
    <t>15-2025-6567</t>
  </si>
  <si>
    <t>ADQUISICION 40 CAMARAS LPR Y AMPLIACION STORAGE 128TB - EXPTE. 2972/25 - SOLPE 3-476-727 PDP KRUSE - DESVIO AGOSTO</t>
  </si>
  <si>
    <t>INSUMOS HOSP. ODONTOLOGICO</t>
  </si>
  <si>
    <t>1-11489   FERRARI HERNAN CARLOS</t>
  </si>
  <si>
    <t>1-11489 FERRARI HERNAN CARLOS</t>
  </si>
  <si>
    <t>GRAFICA S</t>
  </si>
  <si>
    <t>1-11532 SCHULDBERG RODRIGO EZEQUIEL</t>
  </si>
  <si>
    <t>1-11532   SCHULDBERG RODRIGO EZEQUIEL</t>
  </si>
  <si>
    <t>15-2025-4509</t>
  </si>
  <si>
    <t>REFUERZO ALIMENTARIO</t>
  </si>
  <si>
    <t>ADQUISICION DE 12 PCS PARA SALA DE MONITOREO - OC. 4927 - EXPTE. 1680/25 PDP KRUSE</t>
  </si>
  <si>
    <t>15-2025-4927</t>
  </si>
  <si>
    <t>ADQUISICION DE 20 EQUIPOS DVR PARA PATRULLEROS - PDP KRUSE - OC. 2883 - EXPTE. 1014/25</t>
  </si>
  <si>
    <t>15-2025-2883</t>
  </si>
  <si>
    <t>ADQUISICION DE 12 PCS PARA SALA DE MONITOREO - OC. 4927 - EXPTE. 1680/25 PDP KRUSE - DESVIO AGOSTO PAGO</t>
  </si>
  <si>
    <t>ADQUISICION DE 20 EQUIPOS DVR PARA PATRULLEROS - PDP KRUSE - OC. 2883 - EXPTE. 1014/25 - DESVIO AGOSTO PAGO</t>
  </si>
  <si>
    <t>58-2025-20241510681</t>
  </si>
  <si>
    <t>1-11647   ANDRE ADOLFO IVO ALEXIS</t>
  </si>
  <si>
    <t>15-2025-8175</t>
  </si>
  <si>
    <t>15-2025-9646</t>
  </si>
  <si>
    <t>15-2025-9668</t>
  </si>
  <si>
    <t>MANTENIMIENTO DE PREDIOS DEPORTIVOS</t>
  </si>
  <si>
    <t>TOMOGRAFIA</t>
  </si>
  <si>
    <t>1-11727   MILBET S.A. - DESVIO AGOSTO</t>
  </si>
  <si>
    <t>15-2025-169</t>
  </si>
  <si>
    <t>ALQUIER TOMOGRAFO  Y SERVICIO DE TOMOGRAFIA FALCON</t>
  </si>
  <si>
    <t>15-2025-8024</t>
  </si>
  <si>
    <t>CARTELES DE CHAPA Y LONA - DESVIO AGOSTO VER</t>
  </si>
  <si>
    <t>1-11786   CIGNONI TOMAS</t>
  </si>
  <si>
    <t>15-2025-5259</t>
  </si>
  <si>
    <t>15-2025-5272</t>
  </si>
  <si>
    <t>15-2025-5317</t>
  </si>
  <si>
    <t>15-2025-4251</t>
  </si>
  <si>
    <t>15-2025-4280</t>
  </si>
  <si>
    <t>15-2025-5219</t>
  </si>
  <si>
    <t>15-2025-5600</t>
  </si>
  <si>
    <t>15-2025-7188</t>
  </si>
  <si>
    <t>15-2025-5993</t>
  </si>
  <si>
    <t>15-2025-6446</t>
  </si>
  <si>
    <t>15-2025-6632</t>
  </si>
  <si>
    <t>PUESTA EN VALOR DEL EDIFICIO DEL COM - EXPTE. 3522/25 - SOLPE 3-476-755 PDP KRUSE - DESVIO AGOSTO PAGO</t>
  </si>
  <si>
    <t>VER LUIS</t>
  </si>
  <si>
    <t>1-11834    SOFLEX - DESVIO MAYO</t>
  </si>
  <si>
    <t>1-11834    SOFLEX - DESVIO AGOSTO</t>
  </si>
  <si>
    <t>ODONTOLOGICO</t>
  </si>
  <si>
    <t>1-11839  AMELOTTI JOSE LUIS</t>
  </si>
  <si>
    <t>15-2025-9434</t>
  </si>
  <si>
    <t>1-11839 AMELOTTI JOSE LUIS</t>
  </si>
  <si>
    <t>15-2025-5950</t>
  </si>
  <si>
    <t>1-11930 ZIGGIOTTO LUCIANO DANIEL</t>
  </si>
  <si>
    <t>PAQUETE DE LICENCIAS CITAS ONLINE - DESVIO AGOSTO</t>
  </si>
  <si>
    <t>15-2025-2241</t>
  </si>
  <si>
    <t>Servicio de Colocación y cambio de Neumáticos - 6815/25 - PDP KRUSE 17.10.25</t>
  </si>
  <si>
    <t>PERLO - COLOCACION Y CAMBIO DE NEUMATICOS - PDP KRUSE -EXPTE. 3935/25 - SOLPE 3-476-678</t>
  </si>
  <si>
    <t>15-2025-7538</t>
  </si>
  <si>
    <t>15-2026-1529</t>
  </si>
  <si>
    <t>PERLO - COLOCACION Y CAMBIO DE NEUMATICOS - PDP KRUSE -EXPTE. 3935/25 - SOLPE 3-476-678 - DESVIO AGOSTO PAGO</t>
  </si>
  <si>
    <t>INSUMOS PROGRAMA PILAR ROCK</t>
  </si>
  <si>
    <t>1-120193 ARREDONDO ANA MARIA</t>
  </si>
  <si>
    <t>ARTISTAS PARA PATRONALES</t>
  </si>
  <si>
    <t>VACACIONES DE INVIERNO - PLAZAS</t>
  </si>
  <si>
    <t>1-12037   TOTAL PRODUCCIONES S.A.</t>
  </si>
  <si>
    <t>1-12037 TOTAL PRODUCCIONES S.A.</t>
  </si>
  <si>
    <t>PDP KRUSE - ADQUISICION DE 4 PORTICOS PARA LPR - DESVIO AGOSTO PAGO</t>
  </si>
  <si>
    <t>ADQUISICION DE ENTRADAS</t>
  </si>
  <si>
    <t>ENTRADAS</t>
  </si>
  <si>
    <t>1-12105 REAL PILAR FUTBOL CLUB ASOCIACION CIVIL</t>
  </si>
  <si>
    <t>1-12173 FIDIAS ENERGIA S.R.L.</t>
  </si>
  <si>
    <t>1-12173 FIDIAS ENERGIA SRL</t>
  </si>
  <si>
    <t>15-2025-6495</t>
  </si>
  <si>
    <t>1-12250  ZUCCOLIN CARLOS DANIEL</t>
  </si>
  <si>
    <t>15-2025.9938</t>
  </si>
  <si>
    <t>1-12269   POWERGEN S.R.L. -</t>
  </si>
  <si>
    <t>1-12269 POWERGEN S.R.L. -</t>
  </si>
  <si>
    <t>1-12282 DIAGNOSTICA TELEMEDICINA -</t>
  </si>
  <si>
    <t>MANTENIMIENTO APP + LOGIN MI MUNI - DESVIO AGOSTO</t>
  </si>
  <si>
    <t>1-12301 BERNI DEL ZOTTO DARWIE JOB</t>
  </si>
  <si>
    <t>DIA DE LAS INFANCIAS</t>
  </si>
  <si>
    <t>15-2025-7775</t>
  </si>
  <si>
    <t>1-12385   TECNOLIMP   - LIMPIEZA HCP - DESVIO AGOSTO</t>
  </si>
  <si>
    <t>1-12385   TECNOLIMP   - LIMPIEZA HCP -  - DESVIO ABRIL</t>
  </si>
  <si>
    <t>INSUMOS RECREATIVOS POLIDEPORTIVOS</t>
  </si>
  <si>
    <t>1-12397   FERNANDEZ ROBERTO CARLOS</t>
  </si>
  <si>
    <t>1-12405   LOEMSA SERVICIOS INTEGRALES S.A.</t>
  </si>
  <si>
    <t>1-12405 LOEMSA</t>
  </si>
  <si>
    <t>15-2025-3552</t>
  </si>
  <si>
    <t>GUARDA VEHICULOS MUNICIPALES - DESVIO AGOSTO + JULIO</t>
  </si>
  <si>
    <t>15-2025-7447</t>
  </si>
  <si>
    <t>PDP KRUSE - SERVICIO DE REPARACION DE VEHICULOS</t>
  </si>
  <si>
    <t>EXPTE. 414/25 - REPARACION DE VEHICULOS - CABRAL - PDP KRUSE - OC 2295</t>
  </si>
  <si>
    <t>EXPTE. 414/25 - REPARACION DE VEHICULOS - CABRAL - PDP KRUSE - OC 2295 - DESVIO MAYO</t>
  </si>
  <si>
    <t>PDP KRUSE - SERVICIO DE REPARACION DE VEHICULOS - DESVIO AGOSTO PAGO</t>
  </si>
  <si>
    <t>PDP KRUSE - REPARACION DE VEHICULOS - DESVIO AGOSTO PAGO</t>
  </si>
  <si>
    <t>15-2025-2295</t>
  </si>
  <si>
    <t>1-12444  CORPO MEDICA S.A.</t>
  </si>
  <si>
    <t>15-2025-8500</t>
  </si>
  <si>
    <t>1-12444 CORPO MEDICA S.A.</t>
  </si>
  <si>
    <t>PDP KRUSE - ADQUISICION DE INFRAESTRUCTURA Y CONECTIVIDAD  DE CAMARAS</t>
  </si>
  <si>
    <t>15-2025-7409</t>
  </si>
  <si>
    <t>ADQUISICION DE INFRAESTRUCTURA Y CONECTIVIDAD  DE CAMARAS - EXPTE. 3420/25 - SOLPE 3-476- 828 PDP KRUSE - DESVIO AGOSTO PAGO</t>
  </si>
  <si>
    <t>1-12463 OLOZAGA PEDRO ANIBAL</t>
  </si>
  <si>
    <t>1-12474 CLYNA S.A.</t>
  </si>
  <si>
    <t>15-2025-4507</t>
  </si>
  <si>
    <t>1-12478   IMPLANTES BIO CORP S.A.</t>
  </si>
  <si>
    <t>INSUMOS QUIRURGICOS</t>
  </si>
  <si>
    <t>1-12478 IMPLANTES BIO CORP S.A.</t>
  </si>
  <si>
    <t>Contratación de Servicio de Reparación de vehículos) PDP KRUSE - EXPE 482/2025</t>
  </si>
  <si>
    <t>SERVICIO DE PLOTEO - EXPTE.2456/25.- PDP KRUSE</t>
  </si>
  <si>
    <t>15-2025-9178</t>
  </si>
  <si>
    <t>PDP KRUSE - Adqsuisición de uniformes 2024 - DESVIO AGOSTO PAGO</t>
  </si>
  <si>
    <t>1-12563   RERDA S.A.</t>
  </si>
  <si>
    <t>15-2024-10312</t>
  </si>
  <si>
    <t>SERVICIO DE HOSPEDAJE BONAERENSES</t>
  </si>
  <si>
    <t>1-12583   CENTRALES ASOCIADAS DE TURISMO S.A.</t>
  </si>
  <si>
    <t>GAS ENVASADO</t>
  </si>
  <si>
    <t>1-12590   SANCHEZ LUCAS MAXIMILIANO</t>
  </si>
  <si>
    <t>CONSULTORIA</t>
  </si>
  <si>
    <t>1-12634   AGUIRRE IBARRA ESTEBAN JOSE</t>
  </si>
  <si>
    <t>SERVICIO DE TRANSPORTE PERSONAS</t>
  </si>
  <si>
    <t>SERVICIO DE TRANSPORTE PERSONAS - DESVIO AGOSTO</t>
  </si>
  <si>
    <t>1-12649 GARAVETTI ALEJANDRO MATIAS</t>
  </si>
  <si>
    <t>15-2025-1548</t>
  </si>
  <si>
    <t>15-2025-7834</t>
  </si>
  <si>
    <t>INDUMENTARIA</t>
  </si>
  <si>
    <t>1-12695 INDUTECH GROUP S.R.L.</t>
  </si>
  <si>
    <t>15-2025-7631</t>
  </si>
  <si>
    <t>INDUMENTARIA MARATON</t>
  </si>
  <si>
    <t>1-12706  ALMA DEPORTIVA S.A.</t>
  </si>
  <si>
    <t>EQUIPOS Y MAQUINARIAS</t>
  </si>
  <si>
    <t>ICALP EAGLE - ADQUISICIÓN DE HIDROELEVADOR .- ECPE 3460/2025 .- SOLPE 3-476-  - PDP KRUSE</t>
  </si>
  <si>
    <t>1-12707   ED SERVICIOS SA</t>
  </si>
  <si>
    <t>15-2025-6586</t>
  </si>
  <si>
    <t>1-12724 VILLALBA VERONICA PAULA</t>
  </si>
  <si>
    <t>15-2025-7776</t>
  </si>
  <si>
    <t>15-2025-6494</t>
  </si>
  <si>
    <t>15-2025-6686</t>
  </si>
  <si>
    <t>SERVICIO LICENCIA DE SOFTWARE - DESVIO AGOSTO</t>
  </si>
  <si>
    <t>15-2026-0000</t>
  </si>
  <si>
    <t>PDP KRUSE - NUEVO CENTRO DE MONITOREO ZONAL</t>
  </si>
  <si>
    <t>15-2025-7625</t>
  </si>
  <si>
    <t>2-10333 NUEVOS AIRES PRODUCCIONES S.R.L.</t>
  </si>
  <si>
    <t>2-10336 LEIVA CARLOS ALBERTO</t>
  </si>
  <si>
    <t>15-2025-7777</t>
  </si>
  <si>
    <t>ADQUISICIÓN DE VEHÍCULOS</t>
  </si>
  <si>
    <t>GALANTE D'ANTONIO SA</t>
  </si>
  <si>
    <t>PERLO (Contratación de Servicio de Reparación de vehículos - EXPTE. 6959/24) PDP KRUSE</t>
  </si>
  <si>
    <t>1-12105   REAL PILAR FUTBOL CLUB ASOCIACION CIVIL</t>
  </si>
  <si>
    <t>1-11729   ROSSI ENRIQUE MARTIN - SERVICIO DE IMÁGENES HCP - DESVIO AGOSTO</t>
  </si>
  <si>
    <t>LABORATORIO HIDALGO (OC 1356) - SERVICIO DE LABORATORIO - DESVIO AGOSTO</t>
  </si>
  <si>
    <t>1-11587   GRUPO GRANDES CUENTAS SRL - DESVIO AGOSTO</t>
  </si>
  <si>
    <t>1-11757   OLUM SRL - DESVIO AGOSTO</t>
  </si>
  <si>
    <t>1-12508   IMMI PILAR S.A. - DESVIO AGOSTO PAGO</t>
  </si>
  <si>
    <t>1-12133   POGGI RAUL JORGE LEON - DESVIO AGOSTO</t>
  </si>
  <si>
    <t>1-11701   DROGUERIA ATLANTIDA - DESVIO AGOSTO</t>
  </si>
  <si>
    <t>1-11954   STORING INSUMOS MEDICOS SRL - DESVIO AGOSTO</t>
  </si>
  <si>
    <t>1-12318   ALCAT S.A. - DESVIO AGOSTO VER</t>
  </si>
  <si>
    <t>1-12069   PRORAM S.A . (PROTESIS - INSUMOS QUIRURGICOS) - DESVIO AGOSTO VER</t>
  </si>
  <si>
    <t>1-12519   DROGUERIA MEDI-CROSS S.R.L. - DESVIO AGOSTO</t>
  </si>
  <si>
    <t>1-718   SOMA S.A - DESVIO AGOSTO PAGO</t>
  </si>
  <si>
    <t>1-10396   RAYOS PIMAX SRL - DESVIO AGOSTO</t>
  </si>
  <si>
    <t>1-11933   AVIL SALUD S.R.L. - DESVIO AGOSTO</t>
  </si>
  <si>
    <t>1-110   AIR LIQUIDE ARGENTINA SA - DESVIO AGOSTO</t>
  </si>
  <si>
    <t>1-11794   ALIMENTOS FRANSRO S.R.L. .</t>
  </si>
  <si>
    <t>1-12282 DIAGNOSTICA TELEMEDICINA - DESVIO AGOSTO PAGO</t>
  </si>
  <si>
    <t>10-100069   COOPERATIVA DE TRABAJO SAN JOSE OBRERO DE ZELAYA LTDA</t>
  </si>
  <si>
    <t>1-12389   INTEGRANDO SALUD - DESVIO AGOSTO PAGO</t>
  </si>
  <si>
    <t>10-100185 COOPERATIVA DE TRABAJO ECOOP LIMITADA</t>
  </si>
  <si>
    <t>10-100192   COOPERATIVA DE TRABAJO AUTENTICO PILAR LTDA</t>
  </si>
  <si>
    <t>10-100195   COOPERATIVA DE TRABAJO TRATADO DEL PILAR II</t>
  </si>
  <si>
    <t>10-100196   COOPERATIVA DE TRABAJO DE CONSTUCCION INTEGRAR</t>
  </si>
  <si>
    <t>10-100196   COOPERATIVA DE TRABAJO DE CONSTUCCION INTEGRAR - DESVIO ENERO</t>
  </si>
  <si>
    <t>10-100201   COOPERATIVA DE TRABAJO ITA CONSTRUCCIONES LIMITADA</t>
  </si>
  <si>
    <t>1-10450   KOPRIVSEK VICTOR HUGO</t>
  </si>
  <si>
    <t>1-10973   NEC</t>
  </si>
  <si>
    <t>1-10973   NEC ( Pc industriales, discos de memoria, serv. De ing. De red - OC 8259) PDP KRUSE</t>
  </si>
  <si>
    <t>1-10973   NEC (Adquisición de 1388 Licencias Care de Milestone - EXPTE. 5667/24 - OC - 9697) PDP KRUSE</t>
  </si>
  <si>
    <t>1-10973   NEC (Adquisición de 1388 Licencias Care de Milestone - EXPTE. 5667/24 - OC - 9697) PDP KRUSE - DESVIO ABRIL</t>
  </si>
  <si>
    <t>1-10973   NEC (Adquisición de 1388 Licencias Care de Milestone - EXPTE. 5667/24 - OC - 9697) PDP KRUSE - DESVIO ENERO</t>
  </si>
  <si>
    <t>1-110   AIR LIQUIDE ARGENTINA SA  - DESVIO ABRIL</t>
  </si>
  <si>
    <t>1-110   AIR LIQUIDE ARGENTINA SA  - DESVIO ENERO</t>
  </si>
  <si>
    <t>1-110   AIR LIQUIDE ARGENTINA SA  - DESVIO FEBRERO</t>
  </si>
  <si>
    <t>1-110   AIR LIQUIDE ARGENTINA SA  - DESVIO JULIO</t>
  </si>
  <si>
    <t>1-110   AIR LIQUIDE ARGENTINA SA  - DESVIO MAYO</t>
  </si>
  <si>
    <t>1-11100   PALACIOS NORA SILVIA</t>
  </si>
  <si>
    <t>1-11476   DELICHOTTI JAVIER LEANDRO</t>
  </si>
  <si>
    <t>1-11532   SCHULDBERG RODRIGO EZEQUIEL - DESVIO ABRIL</t>
  </si>
  <si>
    <t>1-11532   SCHULDBERG RODRIGO EZEQUIEL - DESVIO ENERO</t>
  </si>
  <si>
    <t>1-11532   SCHULDBERG RODRIGO EZEQUIEL - DESVIO FEBRERO</t>
  </si>
  <si>
    <t>1-11556   CARBALLIDO CALATAYUD RAMIRO</t>
  </si>
  <si>
    <t>1-11560   AGORA CONSULTORES SRL</t>
  </si>
  <si>
    <t>1-11587   GRUPO GRANDES CUENTAS SRL  - DESVIO ABRIL</t>
  </si>
  <si>
    <t>1-11587   GRUPO GRANDES CUENTAS SRL  - DESVIO MAYO</t>
  </si>
  <si>
    <t>1-11715   TRANSPORTE NORBUS SAS  - DESVIO ABRIL</t>
  </si>
  <si>
    <t>1-11715   TRANSPORTE NORBUS SAS  - DESVIO ENERO</t>
  </si>
  <si>
    <t>1-11715   TRANSPORTE NORBUS SAS  - DESVIO FEBRERO</t>
  </si>
  <si>
    <t>1-11715   TRANSPORTE NORBUS SAS - DESVIO JULIO</t>
  </si>
  <si>
    <t>1-11727   MILBET S.A.  - DESVIO ABRIL</t>
  </si>
  <si>
    <t>1-11727   MILBET S.A.  - DESVIO ENERO</t>
  </si>
  <si>
    <t>1-11727   MILBET S.A.  - DESVIO FEBRERO</t>
  </si>
  <si>
    <t>1-11727   MILBET S.A.  - DESVIO MAYO</t>
  </si>
  <si>
    <t>1-11729   ROSSI ENRIQUE MARTIN - SERVICIO DE IMÁGENES HCP - DESVIO ENERO</t>
  </si>
  <si>
    <t>1-11729   ROSSI ENRIQUE MARTIN - SERVICIO DE IMÁGENES HCP - DESVIO FEBRERO</t>
  </si>
  <si>
    <t>1-11745   LUCARELLA GNARRA GUIDO</t>
  </si>
  <si>
    <t>1-11757   OLUM SRL  - DESVIO ENERO</t>
  </si>
  <si>
    <t>1-11757   OLUM SRL  - DESVIO MAYO</t>
  </si>
  <si>
    <t>1-11790   RODRARA SRL  - DESVIO ENERO</t>
  </si>
  <si>
    <t>1-11796   TEACSA</t>
  </si>
  <si>
    <t>1-11827   SEPELIOS CARRUEGA SAS -</t>
  </si>
  <si>
    <t>1-11828   ELEVEN MEDIA S.R.L.</t>
  </si>
  <si>
    <t>1-11829   NEWCOM LCS SA</t>
  </si>
  <si>
    <t>1-11829   NEWCOM LCS SA  - DESVIO ABRIL</t>
  </si>
  <si>
    <t>1-11829   NEWCOM LCS SA  - DESVIO ENERO</t>
  </si>
  <si>
    <t>1-11829   NEWCOM LCS SA  - DESVIO FEBRERO</t>
  </si>
  <si>
    <t>1-11829   NEWCOM LCS SA  - DESVIO MAYO</t>
  </si>
  <si>
    <t>1-11930   ZIGGIOTTO LUCIANO DANIEL</t>
  </si>
  <si>
    <t>1-11933   AVIL SALUD S.R.L.  - DESVIO ENERO</t>
  </si>
  <si>
    <t>1-11954   STORING INSUMOS MEDICOS SRL - - DESVIO ABRIL</t>
  </si>
  <si>
    <t>1-11954   STORING INSUMOS MEDICOS SRL - - DESVIO FEBRERO</t>
  </si>
  <si>
    <t>1-11967   DEBTECH S.A.  - DESVIO ABRIL</t>
  </si>
  <si>
    <t>1-11967   DEBTECH S.A.  - DESVIO MAYO</t>
  </si>
  <si>
    <t>1-11990   JORDAN MATERIALES S.R.L.</t>
  </si>
  <si>
    <t>1-12017   MENDOZA JUAN PABLO (OC 10730-8129)</t>
  </si>
  <si>
    <t>1-12017   MENDOZA JUAN PABLO (OC 10730-8129) - DESVIO ABRIL</t>
  </si>
  <si>
    <t>1-12017   MENDOZA JUAN PABLO (OC 10730-8129) - DESVIO ENERO</t>
  </si>
  <si>
    <t>1-12017   MENDOZA JUAN PABLO (OC 10730-8129) - DESVIO FEBRERO</t>
  </si>
  <si>
    <t>1-12069   PRORAM S.A . (PROTESIS - INSUMOS QUIRURGICOS) - DESVIO ABRIL</t>
  </si>
  <si>
    <t>1-12069   PRORAM S.A . (PROTESIS - INSUMOS QUIRURGICOS) - DESVIO ENERO</t>
  </si>
  <si>
    <t>1-12069   PRORAM S.A . (PROTESIS - INSUMOS QUIRURGICOS) - DESVIO FEBRERO</t>
  </si>
  <si>
    <t>1-12089   HIDROMEC S.A.</t>
  </si>
  <si>
    <t>1-12089   HIDROMEC S.A.  - DESVIO ABRIL</t>
  </si>
  <si>
    <t>1-12089   HIDROMEC S.A.  - DESVIO ENERO</t>
  </si>
  <si>
    <t>1-12109   FAST SERVICES S.R.L.</t>
  </si>
  <si>
    <t>1-12133   POGGI RAUL JORGE LEON - DESVIO FEBRERO</t>
  </si>
  <si>
    <t>1-12137   RIGGER S.R.L -</t>
  </si>
  <si>
    <t>1-12194   BANFI ALEJANDRO DANIEL (PDP KRUSE) - OC.10971 - EXPTE. 8961/27</t>
  </si>
  <si>
    <t>1-12250   ZUCCOLIN CARLOS DANIEL</t>
  </si>
  <si>
    <t>1-12282 DIAGNOSTICA TELEMEDICINA -  - DESVIO ABRIL</t>
  </si>
  <si>
    <t>1-12282 DIAGNOSTICA TELEMEDICINA -  - DESVIO ENERO</t>
  </si>
  <si>
    <t>1-12282 DIAGNOSTICA TELEMEDICINA -  - DESVIO FEBRERO</t>
  </si>
  <si>
    <t>1-12286   PLAY GROUP SA - MANTENIMIENTO APP + LOGIN MI MUNI - DESVIO ABRIL</t>
  </si>
  <si>
    <t>1-12286   PLAY GROUP SA - MANTENIMIENTO APP + LOGIN MI MUNI - DESVIO ENERO</t>
  </si>
  <si>
    <t>1-12286   PLAY GROUP SA - MANTENIMIENTO APP + LOGIN MI MUNI - DESVIO MAYO</t>
  </si>
  <si>
    <t>1-12318   ALCAT S.A.  - DESVIO ABRIL</t>
  </si>
  <si>
    <t>1-12344   VOLTAICA S.A.S.</t>
  </si>
  <si>
    <t>1-12389   INTEGRANDO SALUD - DESVIO ENERO</t>
  </si>
  <si>
    <t>1-12399   FIGUEROA ROBERTO JAVIER</t>
  </si>
  <si>
    <t>1-12405   LOEMSA</t>
  </si>
  <si>
    <t>1-12405   LOEMSA - GUARDA VEHICULOS MUNICIPALES - DESVIO MAYO</t>
  </si>
  <si>
    <t>1-12463   OLOZAGA PEDRO ANIBAL</t>
  </si>
  <si>
    <t>1-12469   NET FOCUS S.R.L.</t>
  </si>
  <si>
    <t>1-12474   CLYNA S.A.</t>
  </si>
  <si>
    <t>1-12485   HERRERO GONZALEZ CARMELA</t>
  </si>
  <si>
    <t>1-12488   DAFMIX SOUND S.R.L</t>
  </si>
  <si>
    <t>1-12508   IMMI PILAR S.A. -  - DESVIO ABRIL</t>
  </si>
  <si>
    <t>1-12512   CONSULTORA AIS S.R.L.</t>
  </si>
  <si>
    <t>1-12526   AL GENER S.R.L.</t>
  </si>
  <si>
    <t>1-12526   AL GENER S.R.L.  - DESVIO ABRIL</t>
  </si>
  <si>
    <t>1-12560   HERRERO PABLO MIGUEL - DESVIO ABRIL</t>
  </si>
  <si>
    <t>1-12560   HERRERO PABLO MIGUEL - DESVIO FEBRERO</t>
  </si>
  <si>
    <t>1-12560   HERRERO PABLO MIGUEL - DESVIO MAYO</t>
  </si>
  <si>
    <t>1-12656   PAZ VALERIA VANINA</t>
  </si>
  <si>
    <t>1-12665   INGESERV SAS</t>
  </si>
  <si>
    <t>10-100194   COOPERATIVA DE TRABAJO MUNDO RECICLADO LTDA</t>
  </si>
  <si>
    <t>1-235   ABRAFER SRL</t>
  </si>
  <si>
    <t>1-37   BLUE MAIL SA  - DESVIO ABRIL</t>
  </si>
  <si>
    <t>1-37   BLUE MAIL SA  - DESVIO ENERO</t>
  </si>
  <si>
    <t>1-37   BLUE MAIL SA  - DESVIO FEBRERO</t>
  </si>
  <si>
    <t>1-37   BLUE MAIL SA  - DESVIO JULIO</t>
  </si>
  <si>
    <t>1-6555   COMPUBECCAR SA  - DESVIO ABRIL</t>
  </si>
  <si>
    <t>1-6555   COMPUBECCAR SA  - DESVIO FEBRERO</t>
  </si>
  <si>
    <t>1-6555   COMPUBECCAR SA - DESVIO JULIO</t>
  </si>
  <si>
    <t>1-671   ASERRADERO VILLA ROSA SRL</t>
  </si>
  <si>
    <t>1-761   OSCAR BRITOS SRL</t>
  </si>
  <si>
    <t>2-10333   NUEVOS AIRES PRODUCCIONES S.R.L. (ALQUILER DE ESCENARIO)</t>
  </si>
  <si>
    <t>2-10333   NUEVOS AIRES PRODUCCIONES S.R.L. (ALQUILER DE ESCENARIO) - DESVIO ABRIL</t>
  </si>
  <si>
    <t>2-10333   NUEVOS AIRES PRODUCCIONES S.R.L. (ALQUILER DE ESCENARIO) - DESVIO ENERO</t>
  </si>
  <si>
    <t>2-10333   NUEVOS AIRES PRODUCCIONES S.R.L. (ALQUILER DE ESCENARIO) - DESVIO FEBRERO</t>
  </si>
  <si>
    <t>2-10333   NUEVOS AIRES PRODUCCIONES S.R.L. (ALQUILER DE ESCENARIO) - DESVIO JULIO</t>
  </si>
  <si>
    <t>1-1977   FERRARI DANIEL AXEL</t>
  </si>
  <si>
    <t>ADQUISICION DE 20 EQUIPOS DVR PARA PATRULLEROS - PDP KRUSE - DESVIO MAYO</t>
  </si>
  <si>
    <t>1-12447   DALT IMAGEN CORPORATIVA S.R.L. - DESVIO AGOSTO</t>
  </si>
  <si>
    <t>AREDEX (Remodelación y Refuncionalización Destacamento de Infanteria - EXPTE. 7523/24) PDP KRUSE - OC 11078</t>
  </si>
  <si>
    <t>AREDEX (Remodelación y Refuncionalización Destacamento de Infanteria - EXPTE. 7523/24) PDP KRUSE - OC 11078 - DESVIO ABRIL</t>
  </si>
  <si>
    <t>BIG DIPER - ADQUISICION DE BYRNAS - PDP KRUSE</t>
  </si>
  <si>
    <t>BLINDAJE Y PLOTEO DE CAMIONETAS - PDP KRUSE</t>
  </si>
  <si>
    <t>BLINDAJE Y PLOTEO DE CAMIONETAS - PDP KRUSE - DESVIO MAYO</t>
  </si>
  <si>
    <t>CABRAL - PDP KRUSE - OC. 11005 - EXPTE. 8822/24</t>
  </si>
  <si>
    <t>CABRAL - PDP KRUSE - OC. 11005 - EXPTE. 8822/24 - DESVIO ABRIL</t>
  </si>
  <si>
    <t>CABRAL - PDP KRUSE - OC. 11005 - EXPTE. 8822/24 - DESVIO ENERO</t>
  </si>
  <si>
    <t>DEUDA LICITACION DICIEMBRE - OC N° 11087 - VIAL - TEC (CHEQUES DIFERIDOS) - DESVIO ABRIL</t>
  </si>
  <si>
    <t>ELCA (OC 9401 - PDP KRUSE) - DESVIO ABRIL</t>
  </si>
  <si>
    <t>ELCA (OC 9401 - PDP KRUSE) - DESVIO FEBRERO</t>
  </si>
  <si>
    <t>ELCA (OC 9401 - PDP KRUSE) INSUMOS PARA EL SISTEMA DE ALARMAS</t>
  </si>
  <si>
    <t>EXPTE. 8962/24 - ADQUISICION DE LICENCIA Y EQUIPAMIENTO SIST. LPR - PDP KRUSE - DESVIO MAYO</t>
  </si>
  <si>
    <t>FARMACIA - DESVIO ABRIL</t>
  </si>
  <si>
    <t>FARMACIA - DESVIO ENERO</t>
  </si>
  <si>
    <t>FARMACIA - DESVIO FEBRERO - eliminado reu 23/07/25 FGG</t>
  </si>
  <si>
    <t>FARMACIA - DESVIO MAYO</t>
  </si>
  <si>
    <t>GENOMA</t>
  </si>
  <si>
    <t>HUEVOS PASCUAS.- OKS GLOBAL</t>
  </si>
  <si>
    <t>INTEGRALTEK</t>
  </si>
  <si>
    <t>INTEGRALTEK  - MESA DE AYUDA 10651 - DESVIO ABRIL</t>
  </si>
  <si>
    <t>INTEGRALTEK  - MESA DE AYUDA 10651 - DESVIO FEBRERO</t>
  </si>
  <si>
    <t>INTEGRALTEK  - MESA DE AYUDA 10651 - DESVIO MAYO</t>
  </si>
  <si>
    <t>INTEGRALTEK (OC 8048) - MESA DE AYUDA - DESVIO ENERO</t>
  </si>
  <si>
    <t>LABORATORIO HIDALGO (OC 1356) - SERVICIO DE LABORATORIO - DESVIO ABRIL</t>
  </si>
  <si>
    <t>LABORATORIO HIDALGO (OC 8937) - SERVICIO DE LABORATORIO NOVIEMBRE Y DICIEMBRE 2024 - DESVIO ENERO</t>
  </si>
  <si>
    <t>MARENNA MATIAS (Contratación de Servicio de Reparación de vehículos CHAPA Y PINTURA) PDP KRUSE - OC 235</t>
  </si>
  <si>
    <t>MARENNA MATIAS (Contratación de Servicio de Reparación de vehículos) PDP KRUSE - OC 496</t>
  </si>
  <si>
    <t>MARENNA MATIAS (Contratación de Servicio de Reparación de vehículos) PDP KRUSE - OC 8840</t>
  </si>
  <si>
    <t>MIRICH SEGURIDAD ELECTRONICA (PDP KRUSE) -EXPTE. 8140/24 - OC. 11034</t>
  </si>
  <si>
    <t>MIRICH SEGURIDAD ELECTRONICA (PDP KRUSE) -EXPTE. 8140/24 - OC. 11034 - DESVIO FEBRERO</t>
  </si>
  <si>
    <t>MIRICH SEGURIDAD ELECTRONICA (PDP KRUSE) -OC 10112 - EXPTE. 5868/24</t>
  </si>
  <si>
    <t>MIRICH SEGURIDAD ELECTRONICA (PDP KRUSE) -OC 10112 - EXPTE. 5868/24 - DESVIO ENERO</t>
  </si>
  <si>
    <t>MIRICH SEGURIDAD ELECTRONICA (PDP KRUSE) -OC 10112 - EXPTE. 5868/24 - DESVIO FEBRERO</t>
  </si>
  <si>
    <t>NEC - EXPTE. 8696/24 - ADQUISICION DE EQUIPO DE VIDEO VIGILANCIA - PDP KRUSE - OC 2482 - DESVIO ABRIL</t>
  </si>
  <si>
    <t>NUEVA PROYECCION SEGURIDAD - KRUSE</t>
  </si>
  <si>
    <t>PARISE (Contratación de Servicio de Reparación de vehículos - OC.9227) PDP KRUSE</t>
  </si>
  <si>
    <t>PARISE (Contratación de Servicio de Reparación de vehículos - OC.9227) PDP KRUSE - DESVIO ABRIL</t>
  </si>
  <si>
    <t>PARISE (Contratación de Servicio de Reparación de vehículos - OC.9227) PDP KRUSE - DESVIO MAYO</t>
  </si>
  <si>
    <t>INFORMES CREDITICIOS</t>
  </si>
  <si>
    <t>1-10159 NOSIS LABORATORIO S.A.</t>
  </si>
  <si>
    <t>SERV. ALARMAS</t>
  </si>
  <si>
    <t>1-10540 AGASPOD S.A.</t>
  </si>
  <si>
    <t>1-1479 ASOCIACION DE ANESTESIA ANALGESIA Y REANIMACION</t>
  </si>
  <si>
    <t>TASACIONES</t>
  </si>
  <si>
    <t>12-120004 BANCO PCIA. DE BS.AS.</t>
  </si>
  <si>
    <t>SENTENCIAS JUDICIALES</t>
  </si>
  <si>
    <t>12-120014 SENTENCIAS JUDICIALES</t>
  </si>
  <si>
    <t>INFORMES CASTASTRALES</t>
  </si>
  <si>
    <t>12-120201   REGISTRO DE LA PROPIEDAD PCIA. BS. AS.</t>
  </si>
  <si>
    <t>CORREO OFICIAL</t>
  </si>
  <si>
    <t>1-3121 CORREO OFICIAL REPUBLICA ARGENTINA S.A.</t>
  </si>
  <si>
    <t>APORTE SOLIDARIO</t>
  </si>
  <si>
    <t>BOLETIN OFICIAL</t>
  </si>
  <si>
    <t>CAJAS CHICAS</t>
  </si>
  <si>
    <t>1-161   YPF SA  - DESVIO ABRIL</t>
  </si>
  <si>
    <t>1-161   YPF SA  - DESVIO FEBRERO</t>
  </si>
  <si>
    <t>1-161   YPF SA  - DESVIO MAYO</t>
  </si>
  <si>
    <t>12-120060   CTRO. DE ADMINIST. TRIB. SUBNAC.-CEATS-</t>
  </si>
  <si>
    <t>12-120131   MINISTERIO DE SEGURIDAD DE LA PCIABSAS  (POLAD) - DESVIO ABRIL</t>
  </si>
  <si>
    <t>12-120131   MINISTERIO DE SEGURIDAD DE LA PCIABSAS  (POLAD) - DESVIO ENERO</t>
  </si>
  <si>
    <t>12-120131   MINISTERIO DE SEGURIDAD DE LA PCIABSAS  (POLAD) - DESVIO FEBRERO</t>
  </si>
  <si>
    <t>ALQUILERES - DESVIO ENERO</t>
  </si>
  <si>
    <t>ALQUILERES - DESVIO FEBRERO</t>
  </si>
  <si>
    <t>ALQUILERES - DESVIO JULIO</t>
  </si>
  <si>
    <t>ALQUILERES - DESVIO MAYO</t>
  </si>
  <si>
    <t>EDENOR - DESVIO FEBRERO</t>
  </si>
  <si>
    <t>LEASING - DESVIO FEBRERO</t>
  </si>
  <si>
    <t>MANTENIMIENTO DE MATAFUEGOS</t>
  </si>
  <si>
    <t>PROFESIONALES - DESVIO MAYO</t>
  </si>
  <si>
    <t>PROFESIONALES MEDICOS (VER VIGENTES)</t>
  </si>
  <si>
    <t>PROGRAMA AYUDA ECONOMICA A JUBILADOS EX MUNICIPALES - BONO</t>
  </si>
  <si>
    <t>SAPEM</t>
  </si>
  <si>
    <t>SEGUROS VARIOS - DESVIO ENERO</t>
  </si>
  <si>
    <t>SERV. ALARMAS - DESVIO FEBRERO</t>
  </si>
  <si>
    <t>SERVICIOS PÚBLICOS - DESVIO ABRIL</t>
  </si>
  <si>
    <t>SERVICIOS PÚBLICOS - DESVIO ENERO</t>
  </si>
  <si>
    <t>SERVICIOS PÚBLICOS - DESVIO FEBRERO</t>
  </si>
  <si>
    <t>SUBSIDIO BOMBEROS - DESVIO ENERO</t>
  </si>
  <si>
    <t>SUBSIDIO BOMBEROS - DESVIO FEBRERO</t>
  </si>
  <si>
    <t>SUBSIDIOS - PROG MARIA ROMERO  - DESVIO ABRIL</t>
  </si>
  <si>
    <t>SUBSIDIOS - PROG MARIA ROMERO  - DESVIO ENERO</t>
  </si>
  <si>
    <t>UNIVERSIDADES</t>
  </si>
  <si>
    <t>UNIVERSIDADES - DESVIO FEBRERO</t>
  </si>
  <si>
    <t>UNIVERSIDADES - DESVIO MAYO</t>
  </si>
  <si>
    <t>INVERSION</t>
  </si>
  <si>
    <t>PARCIAL004</t>
  </si>
  <si>
    <t>1-11715   TRANSPORTE NORBUS SAS</t>
  </si>
  <si>
    <t>PRESTAMO</t>
  </si>
  <si>
    <t>1-12515   MOZZATE SOLUCIONES S.A.</t>
  </si>
  <si>
    <t>2-10239   AREDEX S.A.</t>
  </si>
  <si>
    <t>2-10245   PRV S.A.</t>
  </si>
  <si>
    <t>vacia</t>
  </si>
  <si>
    <t>COMPENSA</t>
  </si>
  <si>
    <t>COMPENSACION</t>
  </si>
  <si>
    <t>MANT Y REP DE VEHICULOS - LEGAL Y TECNICA - DESVIO AGOSTO VER</t>
  </si>
  <si>
    <t>1-331   TRANSUR S.A.  LUCES - SERVICIO  -  DESVIO AGOSTO</t>
  </si>
  <si>
    <t>1-331   TRANSUR S.A.  LUCES - DESVIO ENERO</t>
  </si>
  <si>
    <t>1-331   TRANSUR S.A.  LUCES - SERVICIO  - DESVIO MAYO</t>
  </si>
  <si>
    <t>1-331   TRANSUR S.A.  RESIDUOS - DESVIO ENERO</t>
  </si>
  <si>
    <t>MBL - DESVIO AGOSTO PAGO</t>
  </si>
  <si>
    <t>SECRETARÍA GENERAL - CEREMONIAL Y PROTOCOLO - SP - DESVIO AGOSTO PAGO</t>
  </si>
  <si>
    <t>SECRETARÍA GENERAL - CEREMONIAL Y PROTOCOLO - SP - DESVIO AGOSTO</t>
  </si>
  <si>
    <t>MANT Y REP DE VEHICULOS - LEGAL Y TECNICA - DESVIO AGOSTO pago</t>
  </si>
  <si>
    <t>ALIMENTOS - PROGRAMAS MUNICIPALES - DESVIO AGOSTO PAGO</t>
  </si>
  <si>
    <t>FUNCIONAMIENTO DE SEGURIDAD- DESVIO AGOSTO PAGO</t>
  </si>
  <si>
    <t>BATEAS ( REUNION LAURA 21.02.25) Expte. 9508-24 - DESVIO AGOSTO</t>
  </si>
  <si>
    <t>BATEAS ( REUNION LAURA 21.02.25) Expte. 9508-24 - DESVIO MAYO</t>
  </si>
  <si>
    <t>MAQUINAS SIN BATEAS (REUNION LAURA 21.02.25) - DESVIO MAYO</t>
  </si>
  <si>
    <t>PLAZAS LAURA (10) - DESVIO MAYO</t>
  </si>
  <si>
    <t>PROYECTO PAVIMENTACION 2025 (35.000.000 X CUADRA X 200 CUADRAS MENSUALES A PARTIR DE MARZO) 10.12 - LB - DESVIO ABRIL</t>
  </si>
  <si>
    <t>FUNCIONAMIENTO SALUD - DESVIO AGOSTO PAGO</t>
  </si>
  <si>
    <t>PROYECTO OBRAS - DESVIO ABRIL</t>
  </si>
  <si>
    <t>PROYECTO OBRAS - DESVIO FEBRERO</t>
  </si>
  <si>
    <t>PROYECTO OBRAS - DESVIO JULIO</t>
  </si>
  <si>
    <t>MANT Y REP DE VEHICULOS - LEGAL Y TECNICA - DESVIO ABRIL</t>
  </si>
  <si>
    <t>MANT Y REP DE VEHICULOS - LEGAL Y TECNICA - DESVIO ENERO</t>
  </si>
  <si>
    <t>MANT Y REP DE VEHICULOS - LEGAL Y TECNICA - DESVIO FEBRERO</t>
  </si>
  <si>
    <t>MANT Y REP DE VEHICULOS - LEGAL Y TECNICA - DESVIO JULIO</t>
  </si>
  <si>
    <t>MANT Y REP DE VEHICULOS - LEGAL Y TECNICA - DESVIO MAYO</t>
  </si>
  <si>
    <t>ALIMENTOS - PROGRAMAS MUNICIPALES - DESVIO ABRIL</t>
  </si>
  <si>
    <t>ALIMENTOS - PROGRAMAS MUNICIPALES - DESVIO ENERO</t>
  </si>
  <si>
    <t>ALIMENTOS - PROGRAMAS MUNICIPALES - DESVIO FEBRERO</t>
  </si>
  <si>
    <t>ALIMENTOS - PROGRAMAS MUNICIPALES - DESVIO JUNIO</t>
  </si>
  <si>
    <t>ALIMENTOS - PROGRAMAS MUNICIPALES - DESVIO MAYO</t>
  </si>
  <si>
    <t>ALIMENTOS - PROGRAMAS MUNICIPALES- DESVIO JULIO</t>
  </si>
  <si>
    <t>PRENSA - DESVIO ABRIL</t>
  </si>
  <si>
    <t>PRENSA - DESVIO ENERO</t>
  </si>
  <si>
    <t>PRENSA - DESVIO FEBRERO</t>
  </si>
  <si>
    <t>10-100177   COOPERATIVA DE TRABAJO ESPACIOS VERDES LIMITADA - DESVIO AGOSTO pago</t>
  </si>
  <si>
    <t>10-100190   COOPERATIVA DE TRABAJO ARBOLEDA LIMITADA - DESVIO AGOSTO PAGO</t>
  </si>
  <si>
    <t>10-100206   COOPERATIVA DE TRABAJO UNIDOS POR EL JAGÜEL LTDA - DESVIO AGOSTO PAGO</t>
  </si>
  <si>
    <t>2-10295   TRANSUR S.A. - ILED (SERV MENSUAL) - DESVIO ENERO</t>
  </si>
  <si>
    <t>BONO SALUD - DESVIO JULIO</t>
  </si>
  <si>
    <t>S-SUELDOS  - DESVIO FEBRERO</t>
  </si>
  <si>
    <t>MBL - DESVIO ABRIL</t>
  </si>
  <si>
    <t>MBL - DESVIO ENERO</t>
  </si>
  <si>
    <t>MBL - DESVIO FEBRERO</t>
  </si>
  <si>
    <t>MBL - DESVIO MAYO</t>
  </si>
  <si>
    <t>PROYECTO OBRAS - DESVIO MAYO</t>
  </si>
  <si>
    <t>SECRETARÍA GENERAL - CEREMONIAL Y PROTOCOLO - SP - DESVIO SEPTIEMBRE AUTORIZAR</t>
  </si>
  <si>
    <t>FUNCIONAMIENTO DE SEGURIDAD  - DESVIO FEBRERO</t>
  </si>
  <si>
    <t>10-100203   COOPERATIVA DE TRABAJO JOVENES PRODUCTOR ES ARGENTINOS LTDA - DESVIO AGOSTO PAGO</t>
  </si>
  <si>
    <t>FUNCIONAMIENTO DE SEGURIDAD  - DESVIO MAYO - KRUSE</t>
  </si>
  <si>
    <t>BORRAR</t>
  </si>
  <si>
    <t>EMULSION ASFALTICA</t>
  </si>
  <si>
    <t>1-12748 ENJOYLOGY SRL SRL</t>
  </si>
  <si>
    <t>EQUIPAMIENTO HCP</t>
  </si>
  <si>
    <t>2-10268 AVISTAR SRL</t>
  </si>
  <si>
    <t>ETIQUETA</t>
  </si>
  <si>
    <t>SEPTIEMBRE</t>
  </si>
  <si>
    <t>NOVIEMBRE</t>
  </si>
  <si>
    <t>DICIEMBRE</t>
  </si>
  <si>
    <t>ENERO</t>
  </si>
  <si>
    <t>AGUINALDO</t>
  </si>
  <si>
    <t>DECIMO DIA HABIL</t>
  </si>
  <si>
    <t xml:space="preserve">DECIMO DIA HABIL </t>
  </si>
  <si>
    <t>DECIMOQUINTO DIA HABIL</t>
  </si>
  <si>
    <t>DECIMOTERCER DIA HABIL</t>
  </si>
  <si>
    <t>QUINTO DIA HABIL</t>
  </si>
  <si>
    <t xml:space="preserve">TERCER DIA HABIL </t>
  </si>
  <si>
    <t>INGRESO PROYECTADO APP</t>
  </si>
  <si>
    <t>DIA HABIAL</t>
  </si>
  <si>
    <t>%%</t>
  </si>
  <si>
    <t>FEBRERO-DIA</t>
  </si>
  <si>
    <t>FEBRERO2</t>
  </si>
  <si>
    <t>MARZO - DIA</t>
  </si>
  <si>
    <t>ABRIL-DIA</t>
  </si>
  <si>
    <t>MAYO-DIA</t>
  </si>
  <si>
    <t>JUNIO-DIA</t>
  </si>
  <si>
    <t>JULIO-DIA</t>
  </si>
  <si>
    <t>AGOSTO-DIA</t>
  </si>
  <si>
    <t>SEPTIEMBRE-DIA</t>
  </si>
  <si>
    <t>OCTUBRE-DIA</t>
  </si>
  <si>
    <t>NOVIEMBRE-DIA</t>
  </si>
  <si>
    <t>DICIEMBRE-DIA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</si>
</sst>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0.0%"/>
    <numFmt numFmtId="166" formatCode="0.00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09090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53FD0"/>
        <bgColor rgb="FF353FD0"/>
      </patternFill>
    </fill>
    <fill>
      <patternFill patternType="solid">
        <fgColor rgb="FFFFF93D"/>
        <bgColor rgb="FFFFF93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164" fontId="0" fillId="0" borderId="0" xfId="1" applyFont="1"/>
    <xf numFmtId="164" fontId="4" fillId="0" borderId="0" xfId="1" applyFont="1" applyBorder="1" applyAlignment="1">
      <alignment horizontal="center" vertical="center"/>
    </xf>
    <xf numFmtId="164" fontId="4" fillId="0" borderId="0" xfId="1" applyFont="1" applyFill="1" applyBorder="1" applyAlignment="1">
      <alignment horizontal="center" vertical="center"/>
    </xf>
    <xf numFmtId="164" fontId="4" fillId="2" borderId="0" xfId="1" applyFont="1" applyFill="1" applyBorder="1" applyAlignment="1">
      <alignment horizontal="center" vertical="center"/>
    </xf>
    <xf numFmtId="164" fontId="4" fillId="3" borderId="0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2" fillId="0" borderId="0" xfId="1" applyFont="1" applyAlignment="1">
      <alignment horizontal="center"/>
    </xf>
    <xf numFmtId="0" fontId="2" fillId="0" borderId="0" xfId="0" applyFont="1"/>
    <xf numFmtId="164" fontId="0" fillId="0" borderId="0" xfId="2" applyNumberFormat="1" applyFont="1" applyAlignment="1">
      <alignment horizontal="center" vertical="center"/>
    </xf>
    <xf numFmtId="14" fontId="2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 vertical="center"/>
    </xf>
    <xf numFmtId="14" fontId="0" fillId="0" borderId="0" xfId="2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14" fontId="0" fillId="0" borderId="0" xfId="1" applyNumberFormat="1" applyFont="1"/>
    <xf numFmtId="14" fontId="0" fillId="0" borderId="0" xfId="0" applyNumberFormat="1"/>
    <xf numFmtId="164" fontId="7" fillId="0" borderId="0" xfId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0" xfId="0" applyFont="1"/>
    <xf numFmtId="164" fontId="8" fillId="0" borderId="0" xfId="1" applyFon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4" fontId="4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/>
    <xf numFmtId="164" fontId="5" fillId="0" borderId="0" xfId="1" applyFont="1"/>
    <xf numFmtId="0" fontId="11" fillId="0" borderId="0" xfId="1" applyNumberFormat="1" applyFont="1"/>
    <xf numFmtId="164" fontId="1" fillId="0" borderId="0" xfId="0" applyNumberFormat="1" applyFont="1"/>
    <xf numFmtId="0" fontId="9" fillId="4" borderId="0" xfId="0" applyFont="1" applyFill="1" applyAlignment="1">
      <alignment horizontal="center" vertical="center"/>
    </xf>
    <xf numFmtId="14" fontId="9" fillId="4" borderId="0" xfId="0" applyNumberFormat="1" applyFont="1" applyFill="1" applyAlignment="1">
      <alignment horizontal="center" vertical="center"/>
    </xf>
    <xf numFmtId="0" fontId="10" fillId="4" borderId="0" xfId="0" applyFont="1" applyFill="1"/>
    <xf numFmtId="9" fontId="5" fillId="0" borderId="0" xfId="2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9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dd/mm/yyyy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dd/mm/\y\y\y\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7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dd\-mmm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8EFD4-5AE3-44D9-863E-FE84DE32EBF9}" name="ESCENARIO" displayName="ESCENARIO" ref="A1:LX10" totalsRowCount="1" headerRowDxfId="927" dataDxfId="926">
  <autoFilter ref="A1:LX9" xr:uid="{BA58EFD4-5AE3-44D9-863E-FE84DE32EBF9}"/>
  <tableColumns count="336">
    <tableColumn id="1" xr3:uid="{E6D1136B-7958-4C19-ADF6-F2DBD73D7F15}" name="ESCENARIO 1" totalsRowLabel="Total" dataDxfId="671" totalsRowDxfId="335"/>
    <tableColumn id="2" xr3:uid="{E9428C5B-729C-45D3-8194-8519AFD71714}" name="01-feb" totalsRowFunction="custom" dataDxfId="670" totalsRowDxfId="334">
      <totalsRowFormula>+B8-B3</totalsRowFormula>
    </tableColumn>
    <tableColumn id="3" xr3:uid="{14ECB467-ADF3-4CEB-929F-BE3E3E2E3494}" name="02-feb" totalsRowFunction="custom" dataDxfId="669" totalsRowDxfId="333">
      <totalsRowFormula>+B7-C3+C2</totalsRowFormula>
    </tableColumn>
    <tableColumn id="4" xr3:uid="{D00262D9-1A41-42DE-A700-7479382D989E}" name="03-feb" totalsRowFunction="custom" dataDxfId="668" totalsRowDxfId="332">
      <totalsRowFormula>+C7-D3+D2</totalsRowFormula>
    </tableColumn>
    <tableColumn id="5" xr3:uid="{84E68F7C-3AB4-4160-B3F1-E5283A11C955}" name="04-feb" totalsRowFunction="custom" dataDxfId="667" totalsRowDxfId="331">
      <totalsRowFormula>+D7-E3+E2</totalsRowFormula>
    </tableColumn>
    <tableColumn id="6" xr3:uid="{B198A159-0C7D-4384-9E09-642F9DCA7AB1}" name="05-feb" totalsRowFunction="custom" dataDxfId="666" totalsRowDxfId="330">
      <totalsRowFormula>+E7-F3+F2</totalsRowFormula>
    </tableColumn>
    <tableColumn id="7" xr3:uid="{66BB0C85-ACF4-459B-B468-CCB2C07D9FB7}" name="06-feb" totalsRowFunction="custom" dataDxfId="665" totalsRowDxfId="329">
      <totalsRowFormula>+F7-G3+G2</totalsRowFormula>
    </tableColumn>
    <tableColumn id="8" xr3:uid="{458FA8B0-117B-4FC3-959F-DB90D106D480}" name="07-feb" totalsRowFunction="custom" dataDxfId="664" totalsRowDxfId="328">
      <totalsRowFormula>+G7-H3+H2</totalsRowFormula>
    </tableColumn>
    <tableColumn id="9" xr3:uid="{7B748A9C-EAC0-43AA-9054-21CAAB58B7F2}" name="08-feb" totalsRowFunction="custom" dataDxfId="663" totalsRowDxfId="327">
      <totalsRowFormula>+H7-I3+I2</totalsRowFormula>
    </tableColumn>
    <tableColumn id="10" xr3:uid="{33FE68AF-E06C-4BF3-A8B0-23CB3344CC27}" name="09-feb" totalsRowFunction="custom" dataDxfId="662" totalsRowDxfId="326">
      <totalsRowFormula>+I7-J3+J2</totalsRowFormula>
    </tableColumn>
    <tableColumn id="11" xr3:uid="{4D96B95F-A50B-493A-A0FE-3C2534258E9E}" name="10-feb" totalsRowFunction="custom" dataDxfId="661" totalsRowDxfId="325">
      <totalsRowFormula>+J7-K3+K2</totalsRowFormula>
    </tableColumn>
    <tableColumn id="12" xr3:uid="{863794AB-CE07-4105-B713-61B195DE82CF}" name="11-feb" totalsRowFunction="custom" dataDxfId="660" totalsRowDxfId="324">
      <totalsRowFormula>+K7-L3+L2</totalsRowFormula>
    </tableColumn>
    <tableColumn id="13" xr3:uid="{685A24C1-2CB6-4531-997A-8CCE59499DA6}" name="12-feb" totalsRowFunction="custom" dataDxfId="659" totalsRowDxfId="323">
      <totalsRowFormula>+L7-M3+M2</totalsRowFormula>
    </tableColumn>
    <tableColumn id="14" xr3:uid="{2FBD2762-5E79-44AC-A42C-0C7E565A94D9}" name="13-feb" totalsRowFunction="custom" dataDxfId="658" totalsRowDxfId="322">
      <totalsRowFormula>+M7-N3+N2</totalsRowFormula>
    </tableColumn>
    <tableColumn id="15" xr3:uid="{E66EDA25-DA1D-4764-956A-4C01F63A44AB}" name="14-feb" totalsRowFunction="custom" dataDxfId="657" totalsRowDxfId="321">
      <totalsRowFormula>+N7-O3+O2</totalsRowFormula>
    </tableColumn>
    <tableColumn id="16" xr3:uid="{EBAFDD7D-B47E-46BB-8CE8-8752CBD32A8D}" name="15-feb" totalsRowFunction="custom" dataDxfId="656" totalsRowDxfId="320">
      <totalsRowFormula>+O7-P3+P2</totalsRowFormula>
    </tableColumn>
    <tableColumn id="17" xr3:uid="{43D7F6C1-A99E-408F-ACE7-A7ABEF122D46}" name="16-feb" totalsRowFunction="custom" dataDxfId="655" totalsRowDxfId="319">
      <totalsRowFormula>+P7-Q3+Q2</totalsRowFormula>
    </tableColumn>
    <tableColumn id="18" xr3:uid="{95850E0C-D851-4F23-9789-1F8053A5B698}" name="17-feb" totalsRowFunction="custom" dataDxfId="654" totalsRowDxfId="318">
      <totalsRowFormula>+Q7-R3+R2</totalsRowFormula>
    </tableColumn>
    <tableColumn id="19" xr3:uid="{B0352356-CBAB-4BDD-BEF7-82F0FB8B078D}" name="18-feb" totalsRowFunction="custom" dataDxfId="653" totalsRowDxfId="317">
      <totalsRowFormula>+R7-S3+S2</totalsRowFormula>
    </tableColumn>
    <tableColumn id="20" xr3:uid="{4CEBDD91-2FEF-4B68-B397-C88830D61B31}" name="19-feb" totalsRowFunction="custom" dataDxfId="652" totalsRowDxfId="316">
      <totalsRowFormula>+S7-T3+T2</totalsRowFormula>
    </tableColumn>
    <tableColumn id="21" xr3:uid="{9194B490-1166-427D-8352-928B64D330FE}" name="20-feb" totalsRowFunction="custom" dataDxfId="651" totalsRowDxfId="315">
      <totalsRowFormula>+T7-U3+U2</totalsRowFormula>
    </tableColumn>
    <tableColumn id="22" xr3:uid="{20B218D8-B0BD-4665-B04C-B1AB318D5AF3}" name="21-feb" totalsRowFunction="custom" dataDxfId="650" totalsRowDxfId="314">
      <totalsRowFormula>+U7-V3+V2</totalsRowFormula>
    </tableColumn>
    <tableColumn id="23" xr3:uid="{A4991C98-CFC6-4F34-8819-EE701A3D627F}" name="22-feb" totalsRowFunction="custom" dataDxfId="649" totalsRowDxfId="313">
      <totalsRowFormula>+V7-W3+W2</totalsRowFormula>
    </tableColumn>
    <tableColumn id="24" xr3:uid="{A17141D3-E0D2-4DEF-8503-3DCADC81972C}" name="23-feb" totalsRowFunction="custom" dataDxfId="648" totalsRowDxfId="312">
      <totalsRowFormula>+W7-X3+X2</totalsRowFormula>
    </tableColumn>
    <tableColumn id="25" xr3:uid="{5474ECA0-093A-4A97-83FC-04E6CBA55E43}" name="24-feb" totalsRowFunction="custom" dataDxfId="647" totalsRowDxfId="311">
      <totalsRowFormula>+X7-Y3+Y2</totalsRowFormula>
    </tableColumn>
    <tableColumn id="26" xr3:uid="{D8B7EACF-F7B8-4B72-B4C1-59CF0AF97272}" name="25-feb" totalsRowFunction="custom" dataDxfId="646" totalsRowDxfId="310">
      <totalsRowFormula>+Y7-Z3+Z2</totalsRowFormula>
    </tableColumn>
    <tableColumn id="27" xr3:uid="{6EFDCEDA-8E42-44DC-B453-01F976D3E7A0}" name="26-feb" totalsRowFunction="custom" dataDxfId="645" totalsRowDxfId="309">
      <totalsRowFormula>+Z7-AA3+AA2</totalsRowFormula>
    </tableColumn>
    <tableColumn id="28" xr3:uid="{6EBAE340-8556-4C0C-BCD5-3B1556832D38}" name="27-feb" totalsRowFunction="custom" dataDxfId="644" totalsRowDxfId="308">
      <totalsRowFormula>+AA7-AB3+AB2</totalsRowFormula>
    </tableColumn>
    <tableColumn id="29" xr3:uid="{76D73F58-C2E3-4459-B0DE-D9EA31DAEC9D}" name="28-feb" totalsRowFunction="custom" dataDxfId="643" totalsRowDxfId="307">
      <totalsRowFormula>+AB7-AC3+AC2</totalsRowFormula>
    </tableColumn>
    <tableColumn id="30" xr3:uid="{D05C547B-CB89-4F20-9209-BACA0CB760F2}" name="01-mar" totalsRowFunction="custom" dataDxfId="642" totalsRowDxfId="306">
      <totalsRowFormula>+AC7-AD3+AD2</totalsRowFormula>
    </tableColumn>
    <tableColumn id="31" xr3:uid="{69EE74FA-99C0-4641-AD8F-FCC583A724F1}" name="02-mar" totalsRowFunction="custom" dataDxfId="641" totalsRowDxfId="305">
      <totalsRowFormula>+AD7-AE3+AE2</totalsRowFormula>
    </tableColumn>
    <tableColumn id="32" xr3:uid="{D2B263FF-3714-4B00-BA36-4EFEC76E3E81}" name="03-mar" totalsRowFunction="custom" dataDxfId="640" totalsRowDxfId="304">
      <totalsRowFormula>+AE7-AF3+AF2</totalsRowFormula>
    </tableColumn>
    <tableColumn id="33" xr3:uid="{A492029B-996E-4D1D-9587-7170559D71A7}" name="04-mar" totalsRowFunction="custom" dataDxfId="639" totalsRowDxfId="303">
      <totalsRowFormula>+AF7-AG3+AG2</totalsRowFormula>
    </tableColumn>
    <tableColumn id="34" xr3:uid="{57736470-AC3A-4E77-99F6-0A86DEA95182}" name="05-mar" totalsRowFunction="custom" dataDxfId="638" totalsRowDxfId="302">
      <totalsRowFormula>+AG7-AH3+AH2</totalsRowFormula>
    </tableColumn>
    <tableColumn id="35" xr3:uid="{4B48A506-426F-4BE2-95B2-CB9D459EB77B}" name="06-mar" totalsRowFunction="custom" dataDxfId="637" totalsRowDxfId="301">
      <totalsRowFormula>+AH7-AI3+AI2</totalsRowFormula>
    </tableColumn>
    <tableColumn id="36" xr3:uid="{83744004-9E02-4A50-932F-0577DF39232F}" name="07-mar" totalsRowFunction="custom" dataDxfId="636" totalsRowDxfId="300">
      <totalsRowFormula>+AI7-AJ3+AJ2</totalsRowFormula>
    </tableColumn>
    <tableColumn id="37" xr3:uid="{264DE7A9-841E-4922-9DAA-C0A3EEE9ACDE}" name="08-mar" totalsRowFunction="custom" dataDxfId="635" totalsRowDxfId="299">
      <totalsRowFormula>+AJ7-AK3+AK2</totalsRowFormula>
    </tableColumn>
    <tableColumn id="38" xr3:uid="{F5E03E37-D6A5-496E-B3F1-F29021A1E710}" name="09-mar" totalsRowFunction="custom" dataDxfId="634" totalsRowDxfId="298">
      <totalsRowFormula>+AK7-AL3+AL2</totalsRowFormula>
    </tableColumn>
    <tableColumn id="39" xr3:uid="{9B301E61-8820-41A6-9A67-D8490479826F}" name="10-mar" totalsRowFunction="custom" dataDxfId="633" totalsRowDxfId="297">
      <totalsRowFormula>+AL7-AM3+AM2</totalsRowFormula>
    </tableColumn>
    <tableColumn id="40" xr3:uid="{2932CCB3-28A4-4F4E-9D75-21934F123B87}" name="11-mar" totalsRowFunction="custom" dataDxfId="632" totalsRowDxfId="296">
      <totalsRowFormula>+AM7-AN3+AN2</totalsRowFormula>
    </tableColumn>
    <tableColumn id="41" xr3:uid="{C14C8EB9-36BD-4E37-B320-5A5E287BAB26}" name="12-mar" totalsRowFunction="custom" dataDxfId="631" totalsRowDxfId="295">
      <totalsRowFormula>+AN7-AO3+AO2</totalsRowFormula>
    </tableColumn>
    <tableColumn id="42" xr3:uid="{6EEBAECD-7F63-473F-B210-49E9474E72ED}" name="13-mar" totalsRowFunction="custom" dataDxfId="630" totalsRowDxfId="294">
      <totalsRowFormula>+AO7-AP3+AP2</totalsRowFormula>
    </tableColumn>
    <tableColumn id="43" xr3:uid="{DF6903C7-5637-4E1E-9ED8-3324447554DE}" name="14-mar" totalsRowFunction="custom" dataDxfId="629" totalsRowDxfId="293">
      <totalsRowFormula>+AP7-AQ3+AQ2</totalsRowFormula>
    </tableColumn>
    <tableColumn id="44" xr3:uid="{1FF95C13-CAF8-42F9-861A-547264EFD07D}" name="15-mar" totalsRowFunction="custom" dataDxfId="628" totalsRowDxfId="292">
      <totalsRowFormula>+AQ7-AR3+AR2</totalsRowFormula>
    </tableColumn>
    <tableColumn id="45" xr3:uid="{272F0F51-EEF1-46F7-90B2-E580199DCFFA}" name="16-mar" totalsRowFunction="custom" dataDxfId="627" totalsRowDxfId="291">
      <totalsRowFormula>+AR7-AS3+AS2</totalsRowFormula>
    </tableColumn>
    <tableColumn id="46" xr3:uid="{7F4571E9-15AA-4B7A-A15C-5BE6D0B5B740}" name="17-mar" totalsRowFunction="custom" dataDxfId="626" totalsRowDxfId="290">
      <totalsRowFormula>+AS7-AT3+AT2</totalsRowFormula>
    </tableColumn>
    <tableColumn id="47" xr3:uid="{ED0909B2-39E9-4463-B705-5DD3BD7E99DE}" name="18-mar" totalsRowFunction="custom" dataDxfId="625" totalsRowDxfId="289">
      <totalsRowFormula>+AT7-AU3+AU2</totalsRowFormula>
    </tableColumn>
    <tableColumn id="48" xr3:uid="{DEA27C18-8346-43B6-AE5D-6C3BEDAC41C1}" name="19-mar" totalsRowFunction="custom" dataDxfId="624" totalsRowDxfId="288">
      <totalsRowFormula>+AU7-AV3+AV2</totalsRowFormula>
    </tableColumn>
    <tableColumn id="49" xr3:uid="{D15FC92D-3834-453F-AA74-6C4A6BF8E413}" name="20-mar" totalsRowFunction="custom" dataDxfId="623" totalsRowDxfId="287">
      <totalsRowFormula>+AV7-AW3+AW2</totalsRowFormula>
    </tableColumn>
    <tableColumn id="50" xr3:uid="{85B32CDF-21AB-4753-A700-E5229619D845}" name="21-mar" totalsRowFunction="custom" dataDxfId="622" totalsRowDxfId="286">
      <totalsRowFormula>+AW7-AX3+AX2</totalsRowFormula>
    </tableColumn>
    <tableColumn id="51" xr3:uid="{7D235614-E376-4003-B39A-72D439157AA4}" name="22-mar" totalsRowFunction="custom" dataDxfId="621" totalsRowDxfId="285">
      <totalsRowFormula>+AX7-AY3+AY2</totalsRowFormula>
    </tableColumn>
    <tableColumn id="52" xr3:uid="{60AB122C-5173-4476-823C-CD1C019EF4B7}" name="23-mar" totalsRowFunction="custom" dataDxfId="620" totalsRowDxfId="284">
      <totalsRowFormula>+AY7-AZ3+AZ2</totalsRowFormula>
    </tableColumn>
    <tableColumn id="53" xr3:uid="{1139EA7B-DBBC-4C83-87CA-1FB0C47138FD}" name="24-mar" totalsRowFunction="custom" dataDxfId="619" totalsRowDxfId="283">
      <totalsRowFormula>+AZ7-BA3+BA2</totalsRowFormula>
    </tableColumn>
    <tableColumn id="54" xr3:uid="{0CEFE745-AE84-4D78-953F-C3C0F3FD330E}" name="25-mar" totalsRowFunction="custom" dataDxfId="618" totalsRowDxfId="282">
      <totalsRowFormula>+BA7-BB3+BB2</totalsRowFormula>
    </tableColumn>
    <tableColumn id="55" xr3:uid="{AF9B519A-0335-4044-9C47-AFFBDCEBF911}" name="26-mar" totalsRowFunction="custom" dataDxfId="617" totalsRowDxfId="281">
      <totalsRowFormula>+BB7-BC3+BC2</totalsRowFormula>
    </tableColumn>
    <tableColumn id="56" xr3:uid="{4AB0E7D2-D923-4AAA-9340-E3127DFD55FD}" name="27-mar" totalsRowFunction="custom" dataDxfId="616" totalsRowDxfId="280">
      <totalsRowFormula>+BC7-BD3+BD2</totalsRowFormula>
    </tableColumn>
    <tableColumn id="57" xr3:uid="{58CAC293-6117-4CDD-A9CE-770CD2666682}" name="28-mar" totalsRowFunction="custom" dataDxfId="615" totalsRowDxfId="279">
      <totalsRowFormula>+BD7-BE3+BE2</totalsRowFormula>
    </tableColumn>
    <tableColumn id="58" xr3:uid="{2ADD66D9-D16F-4D88-A9DE-03F9806688B3}" name="29-mar" totalsRowFunction="custom" dataDxfId="614" totalsRowDxfId="278">
      <totalsRowFormula>+BE7-BF3+BF2</totalsRowFormula>
    </tableColumn>
    <tableColumn id="59" xr3:uid="{F2D1B886-F0A6-486A-87C3-0C1193C628A0}" name="30-mar" totalsRowFunction="custom" dataDxfId="613" totalsRowDxfId="277">
      <totalsRowFormula>+BF7-BG3+BG2</totalsRowFormula>
    </tableColumn>
    <tableColumn id="60" xr3:uid="{5086F2F8-6D3C-4F59-81C9-C5AFF868B3D8}" name="31-mar" totalsRowFunction="custom" dataDxfId="612" totalsRowDxfId="276">
      <totalsRowFormula>+BG7-BH3+BH2</totalsRowFormula>
    </tableColumn>
    <tableColumn id="61" xr3:uid="{A2D9E736-D2E0-40AE-9884-B017C088E6C9}" name="01-abr" totalsRowFunction="custom" dataDxfId="611" totalsRowDxfId="275">
      <totalsRowFormula>+BH7-BI3+BI2</totalsRowFormula>
    </tableColumn>
    <tableColumn id="62" xr3:uid="{D1412606-0122-4520-834E-01AAE0283B4B}" name="02-abr" totalsRowFunction="custom" dataDxfId="610" totalsRowDxfId="274">
      <totalsRowFormula>+BI7-BJ3+BJ2</totalsRowFormula>
    </tableColumn>
    <tableColumn id="63" xr3:uid="{847776DF-13BB-4469-AE62-E666C99166E3}" name="03-abr" totalsRowFunction="custom" dataDxfId="609" totalsRowDxfId="273">
      <totalsRowFormula>+BJ7-BK3+BK2</totalsRowFormula>
    </tableColumn>
    <tableColumn id="64" xr3:uid="{4C61C69F-B3C5-467D-95ED-44F5B7B2579A}" name="04-abr" totalsRowFunction="custom" dataDxfId="608" totalsRowDxfId="272">
      <totalsRowFormula>+BK7-BL3+BL2</totalsRowFormula>
    </tableColumn>
    <tableColumn id="65" xr3:uid="{6C7131B6-421C-47FE-86B4-D712543AB574}" name="05-abr" totalsRowFunction="custom" dataDxfId="607" totalsRowDxfId="271">
      <totalsRowFormula>+BL7-BM3+BM2</totalsRowFormula>
    </tableColumn>
    <tableColumn id="66" xr3:uid="{3C367543-B488-4450-A59E-E055406DB926}" name="06-abr" totalsRowFunction="custom" dataDxfId="606" totalsRowDxfId="270">
      <totalsRowFormula>+BM7-BN3+BN2</totalsRowFormula>
    </tableColumn>
    <tableColumn id="67" xr3:uid="{56F594BD-AB44-4C71-9689-821549A5E00C}" name="07-abr" totalsRowFunction="custom" dataDxfId="605" totalsRowDxfId="269">
      <totalsRowFormula>+BN7-BO3+BO2</totalsRowFormula>
    </tableColumn>
    <tableColumn id="68" xr3:uid="{F740087E-D6FC-4FAF-86BD-008CFD62B4DB}" name="08-abr" totalsRowFunction="custom" dataDxfId="604" totalsRowDxfId="268">
      <totalsRowFormula>+BO7-BP3+BP2</totalsRowFormula>
    </tableColumn>
    <tableColumn id="69" xr3:uid="{6E094720-1F84-4EA9-84B1-D50E227CF551}" name="09-abr" totalsRowFunction="custom" dataDxfId="603" totalsRowDxfId="267">
      <totalsRowFormula>+BP7-BQ3+BQ2</totalsRowFormula>
    </tableColumn>
    <tableColumn id="70" xr3:uid="{8BF096DE-12CA-44E3-8939-D586BD121674}" name="10-abr" totalsRowFunction="custom" dataDxfId="602" totalsRowDxfId="266">
      <totalsRowFormula>+BQ7-BR3+BR2</totalsRowFormula>
    </tableColumn>
    <tableColumn id="71" xr3:uid="{548B3CA0-AB2F-48C7-A8B6-A1DB24D08D89}" name="11-abr" totalsRowFunction="custom" dataDxfId="601" totalsRowDxfId="265">
      <totalsRowFormula>+BR7-BS3+BS2</totalsRowFormula>
    </tableColumn>
    <tableColumn id="72" xr3:uid="{C2F8D416-6B6A-4ACE-BE16-B3ACEDA5639E}" name="12-abr" totalsRowFunction="custom" dataDxfId="600" totalsRowDxfId="264">
      <totalsRowFormula>+BS7-BT3+BT2</totalsRowFormula>
    </tableColumn>
    <tableColumn id="73" xr3:uid="{12FF23E1-1D6C-4F9A-89BC-67D5618EE053}" name="13-abr" totalsRowFunction="custom" dataDxfId="599" totalsRowDxfId="263">
      <totalsRowFormula>+BT7-BU3+BU2</totalsRowFormula>
    </tableColumn>
    <tableColumn id="74" xr3:uid="{327D38AA-E517-4B6A-A848-E0E23B2BA028}" name="14-abr" totalsRowFunction="custom" dataDxfId="598" totalsRowDxfId="262">
      <totalsRowFormula>+BU7-BV3+BV2</totalsRowFormula>
    </tableColumn>
    <tableColumn id="75" xr3:uid="{485AC4FB-932F-44D3-90D6-22E8FC831E04}" name="15-abr" totalsRowFunction="custom" dataDxfId="597" totalsRowDxfId="261">
      <totalsRowFormula>+BV7-BW3+BW2</totalsRowFormula>
    </tableColumn>
    <tableColumn id="76" xr3:uid="{FBF650CF-0743-4E55-8BA6-49C7BB44F282}" name="16-abr" totalsRowFunction="custom" dataDxfId="596" totalsRowDxfId="260">
      <totalsRowFormula>+BW7-BX3+BX2</totalsRowFormula>
    </tableColumn>
    <tableColumn id="77" xr3:uid="{90434FE0-CE2F-49D1-88D4-096270374B5F}" name="17-abr" totalsRowFunction="custom" dataDxfId="595" totalsRowDxfId="259">
      <totalsRowFormula>+BX7-BY3+BY2</totalsRowFormula>
    </tableColumn>
    <tableColumn id="78" xr3:uid="{33BFEF57-58F8-469A-9C4D-19C1D2E885EB}" name="18-abr" totalsRowFunction="custom" dataDxfId="594" totalsRowDxfId="258">
      <totalsRowFormula>+BY7-BZ3+BZ2</totalsRowFormula>
    </tableColumn>
    <tableColumn id="79" xr3:uid="{902F85F6-FD54-40FB-98D6-C8F9B8EC6121}" name="19-abr" totalsRowFunction="custom" dataDxfId="593" totalsRowDxfId="257">
      <totalsRowFormula>+BZ7-CA3+CA2</totalsRowFormula>
    </tableColumn>
    <tableColumn id="80" xr3:uid="{08C017FE-2AD8-49B9-A3DD-A969988639DD}" name="20-abr" totalsRowFunction="custom" dataDxfId="592" totalsRowDxfId="256">
      <totalsRowFormula>+CA7-CB3+CB2</totalsRowFormula>
    </tableColumn>
    <tableColumn id="81" xr3:uid="{FFA35A9B-C428-46E8-9AA7-590F9695EA08}" name="21-abr" totalsRowFunction="custom" dataDxfId="591" totalsRowDxfId="255">
      <totalsRowFormula>+CB7-CC3+CC2</totalsRowFormula>
    </tableColumn>
    <tableColumn id="82" xr3:uid="{B883FE6C-D221-4415-AF08-D5459D2C481F}" name="22-abr" totalsRowFunction="custom" dataDxfId="590" totalsRowDxfId="254">
      <totalsRowFormula>+CC7-CD3+CD2</totalsRowFormula>
    </tableColumn>
    <tableColumn id="83" xr3:uid="{6485E730-FF11-42EC-B210-3C74E38841F5}" name="23-abr" totalsRowFunction="custom" dataDxfId="589" totalsRowDxfId="253">
      <totalsRowFormula>+CD7-CE3+CE2</totalsRowFormula>
    </tableColumn>
    <tableColumn id="84" xr3:uid="{4B6A8F18-4768-4160-BF87-2F80437FD819}" name="24-abr" totalsRowFunction="custom" dataDxfId="588" totalsRowDxfId="252">
      <totalsRowFormula>+CE7-CF3+CF2</totalsRowFormula>
    </tableColumn>
    <tableColumn id="85" xr3:uid="{C0B9B029-4171-431F-A4C9-3EF87B24D20E}" name="25-abr" totalsRowFunction="custom" dataDxfId="587" totalsRowDxfId="251">
      <totalsRowFormula>+CF7-CG3+CG2</totalsRowFormula>
    </tableColumn>
    <tableColumn id="86" xr3:uid="{54349B85-14A8-441C-A5FB-DAAEFD535651}" name="26-abr" totalsRowFunction="custom" dataDxfId="586" totalsRowDxfId="250">
      <totalsRowFormula>+CG7-CH3+CH2</totalsRowFormula>
    </tableColumn>
    <tableColumn id="87" xr3:uid="{FB2AA616-1892-4ABF-9FE9-34578AE93148}" name="27-abr" totalsRowFunction="custom" dataDxfId="585" totalsRowDxfId="249">
      <totalsRowFormula>+CH7-CI3+CI2</totalsRowFormula>
    </tableColumn>
    <tableColumn id="88" xr3:uid="{E2458658-03B4-4234-B652-ED051BF8B215}" name="28-abr" totalsRowFunction="custom" dataDxfId="584" totalsRowDxfId="248">
      <totalsRowFormula>+CI7-CJ3+CJ2</totalsRowFormula>
    </tableColumn>
    <tableColumn id="89" xr3:uid="{89BB57A8-0BD2-43C5-BFBA-E1AC5A7E9CCA}" name="29-abr" totalsRowFunction="custom" dataDxfId="583" totalsRowDxfId="247">
      <totalsRowFormula>+CJ7-CK3+CK2</totalsRowFormula>
    </tableColumn>
    <tableColumn id="90" xr3:uid="{2E7FC284-434B-40D7-9B2B-6F03A7DC662D}" name="30-abr" totalsRowFunction="custom" dataDxfId="582" totalsRowDxfId="246">
      <totalsRowFormula>+CK7-CL3+CL2</totalsRowFormula>
    </tableColumn>
    <tableColumn id="91" xr3:uid="{E71EDBAA-265B-4EAB-8A21-8C0252B9833F}" name="01-may" totalsRowFunction="custom" dataDxfId="581" totalsRowDxfId="245">
      <totalsRowFormula>+CL7-CM3+CM2</totalsRowFormula>
    </tableColumn>
    <tableColumn id="92" xr3:uid="{AED0AF5B-153B-4A58-943F-E1D5BAB5C479}" name="02-may" totalsRowFunction="custom" dataDxfId="580" totalsRowDxfId="244">
      <totalsRowFormula>+CM7-CN3+CN2</totalsRowFormula>
    </tableColumn>
    <tableColumn id="93" xr3:uid="{1D3C8E60-DF17-42C2-A9FE-894F12187A16}" name="03-may" totalsRowFunction="custom" dataDxfId="579" totalsRowDxfId="243">
      <totalsRowFormula>+CN7-CO3+CO2</totalsRowFormula>
    </tableColumn>
    <tableColumn id="94" xr3:uid="{1F0059D8-D032-49AB-A3E7-F37204B02B0B}" name="04-may" totalsRowFunction="custom" dataDxfId="578" totalsRowDxfId="242">
      <totalsRowFormula>+CO7-CP3+CP2</totalsRowFormula>
    </tableColumn>
    <tableColumn id="95" xr3:uid="{4FBE0293-C848-4D2E-9001-A272C5B1E627}" name="05-may" totalsRowFunction="custom" dataDxfId="577" totalsRowDxfId="241">
      <totalsRowFormula>+CP7-CQ3+CQ2</totalsRowFormula>
    </tableColumn>
    <tableColumn id="96" xr3:uid="{6D319C04-7C41-4730-946C-07B4AEE0481F}" name="06-may" totalsRowFunction="custom" dataDxfId="576" totalsRowDxfId="240">
      <totalsRowFormula>+CQ7-CR3+CR2</totalsRowFormula>
    </tableColumn>
    <tableColumn id="97" xr3:uid="{1E0106CC-65B5-4E8D-9C11-E11F0CD3C4D2}" name="07-may" totalsRowFunction="custom" dataDxfId="575" totalsRowDxfId="239">
      <totalsRowFormula>+CR7-CS3+CS2</totalsRowFormula>
    </tableColumn>
    <tableColumn id="98" xr3:uid="{D45BF09A-AE4D-4889-B663-02C18EC71B42}" name="08-may" totalsRowFunction="custom" dataDxfId="574" totalsRowDxfId="238">
      <totalsRowFormula>+CS7-CT3+CT2</totalsRowFormula>
    </tableColumn>
    <tableColumn id="99" xr3:uid="{4349F915-E2E9-4BD2-98BC-3EC8BBDCE795}" name="09-may" totalsRowFunction="custom" dataDxfId="573" totalsRowDxfId="237">
      <totalsRowFormula>+CT7-CU3+CU2</totalsRowFormula>
    </tableColumn>
    <tableColumn id="100" xr3:uid="{030F67D7-D55E-4A22-81BF-82B0949B30E3}" name="10-may" totalsRowFunction="custom" dataDxfId="572" totalsRowDxfId="236">
      <totalsRowFormula>+CU7-CV3+CV2</totalsRowFormula>
    </tableColumn>
    <tableColumn id="101" xr3:uid="{18A6AC7F-E327-4477-BDD6-59C765AE267E}" name="11-may" totalsRowFunction="custom" dataDxfId="571" totalsRowDxfId="235">
      <totalsRowFormula>+CV7-CW3+CW2</totalsRowFormula>
    </tableColumn>
    <tableColumn id="102" xr3:uid="{E1090F0A-0847-4C2A-8B60-0A690EBE3727}" name="12-may" totalsRowFunction="custom" dataDxfId="570" totalsRowDxfId="234">
      <totalsRowFormula>+CW7-CX3+CX2</totalsRowFormula>
    </tableColumn>
    <tableColumn id="103" xr3:uid="{1ACADA65-FD60-4A8E-8858-1E1A71C2B503}" name="13-may" totalsRowFunction="custom" dataDxfId="569" totalsRowDxfId="233">
      <totalsRowFormula>+CX7-CY3+CY2</totalsRowFormula>
    </tableColumn>
    <tableColumn id="104" xr3:uid="{B88E6A0D-1410-4477-8491-A4B07DFEEB71}" name="14-may" totalsRowFunction="custom" dataDxfId="568" totalsRowDxfId="232">
      <totalsRowFormula>+CY7-CZ3+CZ2</totalsRowFormula>
    </tableColumn>
    <tableColumn id="105" xr3:uid="{B2499AF2-4504-423F-B037-58A4A99183ED}" name="15-may" totalsRowFunction="custom" dataDxfId="567" totalsRowDxfId="231">
      <totalsRowFormula>+CZ7-DA3+DA2</totalsRowFormula>
    </tableColumn>
    <tableColumn id="106" xr3:uid="{16C768DE-90F9-4647-B076-52D7361318EC}" name="16-may" totalsRowFunction="custom" dataDxfId="566" totalsRowDxfId="230">
      <totalsRowFormula>+DA7-DB3+DB2</totalsRowFormula>
    </tableColumn>
    <tableColumn id="107" xr3:uid="{16A8D729-EEF8-473C-A1E0-DB642A6F474F}" name="17-may" totalsRowFunction="custom" dataDxfId="565" totalsRowDxfId="229">
      <totalsRowFormula>+DB7-DC3+DC2</totalsRowFormula>
    </tableColumn>
    <tableColumn id="108" xr3:uid="{488D18D3-B929-477D-B33E-9BECD9BFB61A}" name="18-may" totalsRowFunction="custom" dataDxfId="564" totalsRowDxfId="228">
      <totalsRowFormula>+DC7-DD3+DD2</totalsRowFormula>
    </tableColumn>
    <tableColumn id="109" xr3:uid="{F3AB36A7-AE3C-4376-A396-40EDAE582B15}" name="19-may" totalsRowFunction="custom" dataDxfId="563" totalsRowDxfId="227">
      <totalsRowFormula>+DD7-DE3+DE2</totalsRowFormula>
    </tableColumn>
    <tableColumn id="110" xr3:uid="{F02AF20C-5255-4E6C-B44F-970E5FDCC99A}" name="20-may" totalsRowFunction="custom" dataDxfId="562" totalsRowDxfId="226">
      <totalsRowFormula>+DE7-DF3+DF2</totalsRowFormula>
    </tableColumn>
    <tableColumn id="111" xr3:uid="{12C39046-12A3-40E2-91D2-F73679CA3918}" name="21-may" totalsRowFunction="custom" dataDxfId="561" totalsRowDxfId="225">
      <totalsRowFormula>+DF7-DG3+DG2</totalsRowFormula>
    </tableColumn>
    <tableColumn id="112" xr3:uid="{A52B20EF-D89D-4090-BE26-0D201EC7B9BA}" name="22-may" totalsRowFunction="custom" dataDxfId="560" totalsRowDxfId="224">
      <totalsRowFormula>+DG7-DH3+DH2</totalsRowFormula>
    </tableColumn>
    <tableColumn id="113" xr3:uid="{4BFF1501-93FB-472D-A900-6EEC0730A035}" name="23-may" totalsRowFunction="custom" dataDxfId="559" totalsRowDxfId="223">
      <totalsRowFormula>+DH7-DI3+DI2</totalsRowFormula>
    </tableColumn>
    <tableColumn id="114" xr3:uid="{A7D5EABF-A368-4C16-985B-ACADAEF63766}" name="24-may" totalsRowFunction="custom" dataDxfId="558" totalsRowDxfId="222">
      <totalsRowFormula>+DI7-DJ3+DJ2</totalsRowFormula>
    </tableColumn>
    <tableColumn id="115" xr3:uid="{F77880E7-1373-4F28-9D9C-272B9A3C9EDF}" name="25-may" totalsRowFunction="custom" dataDxfId="557" totalsRowDxfId="221">
      <totalsRowFormula>+DJ7-DK3+DK2</totalsRowFormula>
    </tableColumn>
    <tableColumn id="116" xr3:uid="{9F72E439-02B1-4DEA-9405-49FDBFA4DC21}" name="26-may" totalsRowFunction="custom" dataDxfId="556" totalsRowDxfId="220">
      <totalsRowFormula>+DK7-DL3+DL2</totalsRowFormula>
    </tableColumn>
    <tableColumn id="117" xr3:uid="{2652E48E-F733-44A6-8327-9F80B3D708B5}" name="27-may" totalsRowFunction="custom" dataDxfId="555" totalsRowDxfId="219">
      <totalsRowFormula>+DL7-DM3+DM2</totalsRowFormula>
    </tableColumn>
    <tableColumn id="118" xr3:uid="{D786214F-2F1B-4F6A-A2DF-937F1421F39B}" name="28-may" totalsRowFunction="custom" dataDxfId="554" totalsRowDxfId="218">
      <totalsRowFormula>+DM7-DN3+DN2</totalsRowFormula>
    </tableColumn>
    <tableColumn id="119" xr3:uid="{035B1B61-13B7-4FCB-B103-7C56A085050D}" name="29-may" totalsRowFunction="custom" dataDxfId="553" totalsRowDxfId="217">
      <totalsRowFormula>+DN7-DO3+DO2</totalsRowFormula>
    </tableColumn>
    <tableColumn id="120" xr3:uid="{C63B0B52-C6BD-46A5-8F53-C5AC807FD829}" name="30-may" totalsRowFunction="custom" dataDxfId="552" totalsRowDxfId="216">
      <totalsRowFormula>+DO7-DP3+DP2</totalsRowFormula>
    </tableColumn>
    <tableColumn id="121" xr3:uid="{37C20188-9255-4CBA-BDC8-E742F9822581}" name="31-may" totalsRowFunction="custom" dataDxfId="551" totalsRowDxfId="215">
      <totalsRowFormula>+DP7-DQ3+DQ2</totalsRowFormula>
    </tableColumn>
    <tableColumn id="122" xr3:uid="{5FCDC942-365F-4502-BEDD-174AA31AFA4F}" name="01-jun" totalsRowFunction="custom" dataDxfId="550" totalsRowDxfId="214">
      <totalsRowFormula>+DQ7-DR3+DR2</totalsRowFormula>
    </tableColumn>
    <tableColumn id="123" xr3:uid="{D32D77C8-311B-43DD-915E-8AAA7A8DAFC6}" name="02-jun" totalsRowFunction="custom" dataDxfId="549" totalsRowDxfId="213">
      <totalsRowFormula>+DR7-DS3+DS2</totalsRowFormula>
    </tableColumn>
    <tableColumn id="124" xr3:uid="{AE560E79-7265-4AA4-A856-A9FFCE758C33}" name="03-jun" totalsRowFunction="custom" dataDxfId="548" totalsRowDxfId="212">
      <totalsRowFormula>+DS7-DT3+DT2</totalsRowFormula>
    </tableColumn>
    <tableColumn id="125" xr3:uid="{318A64E5-1468-4B47-80CD-DC106C39C7D3}" name="04-jun" totalsRowFunction="custom" dataDxfId="547" totalsRowDxfId="211">
      <totalsRowFormula>+DT7-DU3+DU2</totalsRowFormula>
    </tableColumn>
    <tableColumn id="126" xr3:uid="{A675D5B8-80BE-4B24-821F-D63F8C2AEFDD}" name="05-jun" totalsRowFunction="custom" dataDxfId="546" totalsRowDxfId="210">
      <totalsRowFormula>+DU7-DV3+DV2</totalsRowFormula>
    </tableColumn>
    <tableColumn id="127" xr3:uid="{38557295-55C3-4F97-8D63-1F4AC2D9AF55}" name="06-jun" totalsRowFunction="custom" dataDxfId="545" totalsRowDxfId="209">
      <totalsRowFormula>+DV7-DW3+DW2</totalsRowFormula>
    </tableColumn>
    <tableColumn id="128" xr3:uid="{AE6AA78C-EA87-465E-9790-9A80D36C6BF3}" name="07-jun" totalsRowFunction="custom" dataDxfId="544" totalsRowDxfId="208">
      <totalsRowFormula>+DW7-DX3+DX2</totalsRowFormula>
    </tableColumn>
    <tableColumn id="129" xr3:uid="{F275A5AA-1F8C-440A-A23D-CD3A97089617}" name="08-jun" totalsRowFunction="custom" dataDxfId="543" totalsRowDxfId="207">
      <totalsRowFormula>+DX7-DY3+DY2</totalsRowFormula>
    </tableColumn>
    <tableColumn id="130" xr3:uid="{C75E9429-C019-43A5-9B42-4FB6D8E70EAC}" name="09-jun" totalsRowFunction="custom" dataDxfId="542" totalsRowDxfId="206">
      <totalsRowFormula>+DY7-DZ3+DZ2</totalsRowFormula>
    </tableColumn>
    <tableColumn id="131" xr3:uid="{8D065154-6B0B-40BF-8892-F7A00266C227}" name="10-jun" totalsRowFunction="custom" dataDxfId="541" totalsRowDxfId="205">
      <totalsRowFormula>+DZ7-EA3+EA2</totalsRowFormula>
    </tableColumn>
    <tableColumn id="132" xr3:uid="{DE70CDB5-500D-46F7-8280-83772520F6E5}" name="11-jun" totalsRowFunction="custom" dataDxfId="540" totalsRowDxfId="204">
      <totalsRowFormula>+EA7-EB3+EB2</totalsRowFormula>
    </tableColumn>
    <tableColumn id="133" xr3:uid="{13B64777-0CC8-41B5-8B30-B89254057247}" name="12-jun" totalsRowFunction="custom" dataDxfId="539" totalsRowDxfId="203">
      <totalsRowFormula>+EB7-EC3+EC2</totalsRowFormula>
    </tableColumn>
    <tableColumn id="134" xr3:uid="{367DCD7F-B16B-454E-B0DF-9F7CDBDE6B35}" name="13-jun" totalsRowFunction="custom" dataDxfId="538" totalsRowDxfId="202">
      <totalsRowFormula>+EC7-ED3+ED2</totalsRowFormula>
    </tableColumn>
    <tableColumn id="135" xr3:uid="{E31A6B8C-DF99-4E9E-81D8-E34D46E31463}" name="14-jun" totalsRowFunction="custom" dataDxfId="537" totalsRowDxfId="201">
      <totalsRowFormula>+ED7-EE3+EE2</totalsRowFormula>
    </tableColumn>
    <tableColumn id="136" xr3:uid="{9307FBA0-81C4-49C8-A9C8-68E954B14F6D}" name="15-jun" totalsRowFunction="custom" dataDxfId="536" totalsRowDxfId="200">
      <totalsRowFormula>+EE7-EF3+EF2</totalsRowFormula>
    </tableColumn>
    <tableColumn id="137" xr3:uid="{D61EF1AB-9831-4627-9D65-59F43D8CE9D0}" name="16-jun" totalsRowFunction="custom" dataDxfId="535" totalsRowDxfId="199">
      <totalsRowFormula>+EF7-EG3+EG2</totalsRowFormula>
    </tableColumn>
    <tableColumn id="138" xr3:uid="{0C9AA6FD-DEDD-413C-BF80-7D8575CF1AF1}" name="17-jun" totalsRowFunction="custom" dataDxfId="534" totalsRowDxfId="198">
      <totalsRowFormula>+EG7-EH3+EH2</totalsRowFormula>
    </tableColumn>
    <tableColumn id="139" xr3:uid="{73A0C6E2-CF53-479F-9063-AB64920F209F}" name="18-jun" totalsRowFunction="custom" dataDxfId="533" totalsRowDxfId="197">
      <totalsRowFormula>+EH7-EI3+EI2</totalsRowFormula>
    </tableColumn>
    <tableColumn id="140" xr3:uid="{FD765983-188D-474F-9BDD-39E1CFA815C0}" name="19-jun" totalsRowFunction="custom" dataDxfId="532" totalsRowDxfId="196">
      <totalsRowFormula>+EI7-EJ3+EJ2</totalsRowFormula>
    </tableColumn>
    <tableColumn id="141" xr3:uid="{58A569B6-8842-4B87-AA6F-985F44012920}" name="20-jun" totalsRowFunction="custom" dataDxfId="531" totalsRowDxfId="195">
      <totalsRowFormula>+EJ7-EK3+EK2</totalsRowFormula>
    </tableColumn>
    <tableColumn id="142" xr3:uid="{99D340E6-D5DB-41FB-B5B3-EE7D910EEC65}" name="21-jun" totalsRowFunction="custom" dataDxfId="530" totalsRowDxfId="194">
      <totalsRowFormula>+EK7-EL3+EL2</totalsRowFormula>
    </tableColumn>
    <tableColumn id="143" xr3:uid="{AD4DDE92-3C02-4E38-BE50-700AB50460DD}" name="22-jun" totalsRowFunction="custom" dataDxfId="529" totalsRowDxfId="193">
      <totalsRowFormula>+EL7-EM3+EM2</totalsRowFormula>
    </tableColumn>
    <tableColumn id="144" xr3:uid="{20EEDE48-7BDE-408A-A6C9-079E57BC75C1}" name="23-jun" totalsRowFunction="custom" dataDxfId="528" totalsRowDxfId="192">
      <totalsRowFormula>+EM7-EN3+EN2</totalsRowFormula>
    </tableColumn>
    <tableColumn id="145" xr3:uid="{53840FEB-1347-4B18-8C92-956D275828BC}" name="24-jun" totalsRowFunction="custom" dataDxfId="527" totalsRowDxfId="191">
      <totalsRowFormula>+EN7-EO3+EO2</totalsRowFormula>
    </tableColumn>
    <tableColumn id="146" xr3:uid="{62734D82-5976-4367-8207-91EC4E4193DF}" name="25-jun" totalsRowFunction="custom" dataDxfId="526" totalsRowDxfId="190">
      <totalsRowFormula>+EO7-EP3+EP2</totalsRowFormula>
    </tableColumn>
    <tableColumn id="147" xr3:uid="{AA1CCCC2-B606-4221-88D5-F7F8207CB7B7}" name="26-jun" totalsRowFunction="custom" dataDxfId="525" totalsRowDxfId="189">
      <totalsRowFormula>+EP7-EQ3+EQ2</totalsRowFormula>
    </tableColumn>
    <tableColumn id="148" xr3:uid="{71578BAD-ED7C-4CB2-9B2A-86A610F778F2}" name="27-jun" totalsRowFunction="custom" dataDxfId="524" totalsRowDxfId="188">
      <totalsRowFormula>+EQ7-ER3+ER2</totalsRowFormula>
    </tableColumn>
    <tableColumn id="149" xr3:uid="{8487FE93-0A79-4164-B14C-E01A7C58B04E}" name="28-jun" totalsRowFunction="custom" dataDxfId="523" totalsRowDxfId="187">
      <totalsRowFormula>+ER7-ES3+ES2</totalsRowFormula>
    </tableColumn>
    <tableColumn id="150" xr3:uid="{CAE6929B-6F91-459F-852A-0ADD9A15FADC}" name="29-jun" totalsRowFunction="custom" dataDxfId="522" totalsRowDxfId="186">
      <totalsRowFormula>+ES7-ET3+ET2</totalsRowFormula>
    </tableColumn>
    <tableColumn id="151" xr3:uid="{A25BFD98-4FB0-4977-A368-BC713F977180}" name="30-jun" totalsRowFunction="custom" dataDxfId="521" totalsRowDxfId="185">
      <totalsRowFormula>+ET7-EU3+EU2</totalsRowFormula>
    </tableColumn>
    <tableColumn id="152" xr3:uid="{7A0BFA3F-457E-45AA-A5FC-2B54F48C7FDB}" name="01-jul" totalsRowFunction="custom" dataDxfId="520" totalsRowDxfId="184">
      <totalsRowFormula>+EU7-EV3+EV2</totalsRowFormula>
    </tableColumn>
    <tableColumn id="153" xr3:uid="{514C611A-3EDE-470C-B393-467618CD292C}" name="02-jul" totalsRowFunction="custom" dataDxfId="519" totalsRowDxfId="183">
      <totalsRowFormula>+EV7-EW3+EW2</totalsRowFormula>
    </tableColumn>
    <tableColumn id="154" xr3:uid="{8646ABE7-4FE1-4CA5-97AF-22CFBE058E62}" name="03-jul" totalsRowFunction="custom" dataDxfId="518" totalsRowDxfId="182">
      <totalsRowFormula>+EW7-EX3+EX2</totalsRowFormula>
    </tableColumn>
    <tableColumn id="155" xr3:uid="{8817222D-9D48-4A26-8D48-375EE9169715}" name="04-jul" totalsRowFunction="custom" dataDxfId="517" totalsRowDxfId="181">
      <totalsRowFormula>+EX7-EY3+EY2</totalsRowFormula>
    </tableColumn>
    <tableColumn id="156" xr3:uid="{BC25AB22-DD6F-4095-ABAD-6F551A13EA6F}" name="05-jul" totalsRowFunction="custom" dataDxfId="516" totalsRowDxfId="180">
      <totalsRowFormula>+EY7-EZ3+EZ2</totalsRowFormula>
    </tableColumn>
    <tableColumn id="157" xr3:uid="{AE69F87D-6799-48A5-937C-A3F73D503F78}" name="06-jul" totalsRowFunction="custom" dataDxfId="515" totalsRowDxfId="179">
      <totalsRowFormula>+EZ7-FA3+FA2</totalsRowFormula>
    </tableColumn>
    <tableColumn id="158" xr3:uid="{8290B990-E46C-4C5B-9E3A-5589B315103A}" name="07-jul" totalsRowFunction="custom" dataDxfId="514" totalsRowDxfId="178">
      <totalsRowFormula>+FA7-FB3+FB2</totalsRowFormula>
    </tableColumn>
    <tableColumn id="159" xr3:uid="{3E8D4C0E-BF8D-4FDE-9976-1FD61AC94B8D}" name="08-jul" totalsRowFunction="custom" dataDxfId="513" totalsRowDxfId="177">
      <totalsRowFormula>+FB7-FC3+FC2</totalsRowFormula>
    </tableColumn>
    <tableColumn id="160" xr3:uid="{C762367B-0A15-4345-8323-9392C10255FD}" name="09-jul" totalsRowFunction="custom" dataDxfId="512" totalsRowDxfId="176">
      <totalsRowFormula>+FC7-FD3+FD2</totalsRowFormula>
    </tableColumn>
    <tableColumn id="161" xr3:uid="{76810C20-0406-4060-B494-D5A84121E10D}" name="10-jul" totalsRowFunction="custom" dataDxfId="511" totalsRowDxfId="175">
      <totalsRowFormula>+FD7-FE3+FE2</totalsRowFormula>
    </tableColumn>
    <tableColumn id="162" xr3:uid="{C97E4013-68BB-4A6A-B1D9-AD2236CC4A53}" name="11-jul" totalsRowFunction="custom" dataDxfId="510" totalsRowDxfId="174">
      <totalsRowFormula>+FE7-FF3+FF2</totalsRowFormula>
    </tableColumn>
    <tableColumn id="163" xr3:uid="{E9FEE9AF-A846-4D4A-ACA7-221AABC9DDE2}" name="12-jul" totalsRowFunction="custom" dataDxfId="509" totalsRowDxfId="173">
      <totalsRowFormula>+FF7-FG3+FG2</totalsRowFormula>
    </tableColumn>
    <tableColumn id="164" xr3:uid="{269983FD-5D9F-4A18-BC81-1632BE5F6E10}" name="13-jul" totalsRowFunction="custom" dataDxfId="508" totalsRowDxfId="172">
      <totalsRowFormula>+FG7-FH3+FH2</totalsRowFormula>
    </tableColumn>
    <tableColumn id="165" xr3:uid="{358A854B-ECF5-4261-89CC-A7F42E71CFDB}" name="14-jul" totalsRowFunction="custom" dataDxfId="507" totalsRowDxfId="171">
      <totalsRowFormula>+FH7-FI3+FI2</totalsRowFormula>
    </tableColumn>
    <tableColumn id="166" xr3:uid="{F60F4F4D-80F0-4FD6-B822-C57561B04464}" name="15-jul" totalsRowFunction="custom" dataDxfId="506" totalsRowDxfId="170">
      <totalsRowFormula>+FI7-FJ3+FJ2</totalsRowFormula>
    </tableColumn>
    <tableColumn id="167" xr3:uid="{F425353E-B6AF-4FAF-9B07-E08DF5FB973B}" name="16-jul" totalsRowFunction="custom" dataDxfId="505" totalsRowDxfId="169">
      <totalsRowFormula>+FJ7-FK3+FK2</totalsRowFormula>
    </tableColumn>
    <tableColumn id="168" xr3:uid="{AFA597AD-16C8-4DAA-81BB-0E9E68260D79}" name="17-jul" totalsRowFunction="custom" dataDxfId="504" totalsRowDxfId="168">
      <totalsRowFormula>+FK7-FL3+FL2</totalsRowFormula>
    </tableColumn>
    <tableColumn id="169" xr3:uid="{0502D9F2-3AB5-4BB3-8173-A94AAD51C0CB}" name="18-jul" totalsRowFunction="custom" dataDxfId="503" totalsRowDxfId="167">
      <totalsRowFormula>+FL7-FM3+FM2</totalsRowFormula>
    </tableColumn>
    <tableColumn id="170" xr3:uid="{CD4DC710-9F84-478D-8109-47051EEDD912}" name="19-jul" totalsRowFunction="custom" dataDxfId="502" totalsRowDxfId="166">
      <totalsRowFormula>+FM7-FN3+FN2</totalsRowFormula>
    </tableColumn>
    <tableColumn id="171" xr3:uid="{E65C32BF-0456-4BF0-BA5A-804925057595}" name="20-jul" totalsRowFunction="custom" dataDxfId="501" totalsRowDxfId="165">
      <totalsRowFormula>+FN7-FO3+FO2</totalsRowFormula>
    </tableColumn>
    <tableColumn id="172" xr3:uid="{5C2782BF-B72D-466A-8FC0-2641B45EC4F0}" name="21-jul" totalsRowFunction="custom" dataDxfId="500" totalsRowDxfId="164">
      <totalsRowFormula>+FO7-FP3+FP2</totalsRowFormula>
    </tableColumn>
    <tableColumn id="173" xr3:uid="{0AC02A3C-19D2-4FA5-81B8-944D864E08A4}" name="22-jul" totalsRowFunction="custom" dataDxfId="499" totalsRowDxfId="163">
      <totalsRowFormula>+FP7-FQ3+FQ2</totalsRowFormula>
    </tableColumn>
    <tableColumn id="174" xr3:uid="{D5BE74D6-C1B5-4B1C-B012-7B92410DE22D}" name="23-jul" totalsRowFunction="custom" dataDxfId="498" totalsRowDxfId="162">
      <totalsRowFormula>+FQ7-FR3+FR2</totalsRowFormula>
    </tableColumn>
    <tableColumn id="175" xr3:uid="{DADC9591-6FA5-4BA7-B8EC-F22198388A7D}" name="24-jul" totalsRowFunction="custom" dataDxfId="497" totalsRowDxfId="161">
      <totalsRowFormula>+FR7-FS3+FS2</totalsRowFormula>
    </tableColumn>
    <tableColumn id="176" xr3:uid="{763FF775-D50E-4F70-8B08-1CB95E373BF4}" name="25-jul" totalsRowFunction="custom" dataDxfId="496" totalsRowDxfId="160">
      <totalsRowFormula>+FS7-FT3+FT2</totalsRowFormula>
    </tableColumn>
    <tableColumn id="177" xr3:uid="{4CDA5555-0CC6-4C4F-8066-959C5C46AA00}" name="26-jul" totalsRowFunction="custom" dataDxfId="495" totalsRowDxfId="159">
      <totalsRowFormula>+FT7-FU3+FU2</totalsRowFormula>
    </tableColumn>
    <tableColumn id="178" xr3:uid="{FA8E01E5-FA85-4C9E-9A21-E7DCFBC0A39F}" name="27-jul" totalsRowFunction="custom" dataDxfId="494" totalsRowDxfId="158">
      <totalsRowFormula>+FU7-FV3+FV2</totalsRowFormula>
    </tableColumn>
    <tableColumn id="179" xr3:uid="{B84E3D84-5117-4A8A-89B5-06DD224BB9CF}" name="28-jul" totalsRowFunction="custom" dataDxfId="493" totalsRowDxfId="157">
      <totalsRowFormula>+FV7-FW3+FW2</totalsRowFormula>
    </tableColumn>
    <tableColumn id="180" xr3:uid="{11A7DE84-8A1F-4A40-92BA-7A63C5B9A6F4}" name="29-jul" totalsRowFunction="custom" dataDxfId="492" totalsRowDxfId="156">
      <totalsRowFormula>+FW7-FX3+FX2</totalsRowFormula>
    </tableColumn>
    <tableColumn id="181" xr3:uid="{F7187A9A-A3A0-407C-9E52-411ECFCB3021}" name="30-jul" totalsRowFunction="custom" dataDxfId="491" totalsRowDxfId="155">
      <totalsRowFormula>+FX7-FY3+FY2</totalsRowFormula>
    </tableColumn>
    <tableColumn id="182" xr3:uid="{9F14D0A6-A244-494F-BCC5-43D2E424CB2A}" name="31-jul" totalsRowFunction="custom" dataDxfId="490" totalsRowDxfId="154">
      <totalsRowFormula>+FY7-FZ3+FZ2</totalsRowFormula>
    </tableColumn>
    <tableColumn id="183" xr3:uid="{AA0E5132-7BCF-47BB-AC83-E68E87E39C8E}" name="01-ago" totalsRowFunction="custom" dataDxfId="489" totalsRowDxfId="153">
      <totalsRowFormula>+FZ7-GA3+GA2</totalsRowFormula>
    </tableColumn>
    <tableColumn id="184" xr3:uid="{5B61B6CA-0494-4DC2-8161-DB5E7852E27E}" name="02-ago" totalsRowFunction="custom" dataDxfId="488" totalsRowDxfId="152">
      <totalsRowFormula>+GA7-GB3+GB2</totalsRowFormula>
    </tableColumn>
    <tableColumn id="185" xr3:uid="{AFBF88F1-5D11-47D1-9D2F-B84505663788}" name="03-ago" totalsRowFunction="custom" dataDxfId="487" totalsRowDxfId="151">
      <totalsRowFormula>+GB7-GC3+GC2</totalsRowFormula>
    </tableColumn>
    <tableColumn id="186" xr3:uid="{12461163-4D27-4B21-8B7E-1F445F8B9355}" name="04-ago" totalsRowFunction="custom" dataDxfId="486" totalsRowDxfId="150">
      <totalsRowFormula>+GC7-GD3+GD2</totalsRowFormula>
    </tableColumn>
    <tableColumn id="187" xr3:uid="{9ED110CC-78A8-4EC5-B99B-EC9BA21C9CFC}" name="05-ago" totalsRowFunction="custom" dataDxfId="485" totalsRowDxfId="149">
      <totalsRowFormula>+GD7-GE3+GE2</totalsRowFormula>
    </tableColumn>
    <tableColumn id="188" xr3:uid="{1D2AB492-EC3E-4662-9F5B-7520D469995E}" name="06-ago" totalsRowFunction="custom" dataDxfId="484" totalsRowDxfId="148">
      <totalsRowFormula>+GE7-GF3+GF2</totalsRowFormula>
    </tableColumn>
    <tableColumn id="189" xr3:uid="{DB83E935-1BFC-4F02-AB6A-91B082F6EE82}" name="07-ago" totalsRowFunction="custom" dataDxfId="483" totalsRowDxfId="147">
      <totalsRowFormula>+GF7-GG3+GG2</totalsRowFormula>
    </tableColumn>
    <tableColumn id="190" xr3:uid="{21CBEF97-4820-4FF0-B9BD-906B2473B640}" name="08-ago" totalsRowFunction="custom" dataDxfId="482" totalsRowDxfId="146">
      <totalsRowFormula>+GG7-GH3+GH2</totalsRowFormula>
    </tableColumn>
    <tableColumn id="191" xr3:uid="{42545BA9-C84D-4240-9201-557D3120828D}" name="09-ago" totalsRowFunction="custom" dataDxfId="481" totalsRowDxfId="145">
      <totalsRowFormula>+GH7-GI3+GI2</totalsRowFormula>
    </tableColumn>
    <tableColumn id="192" xr3:uid="{C8A1517A-6847-4945-ABF2-6DA595A8614C}" name="10-ago" totalsRowFunction="custom" dataDxfId="480" totalsRowDxfId="144">
      <totalsRowFormula>+GI7-GJ3+GJ2</totalsRowFormula>
    </tableColumn>
    <tableColumn id="193" xr3:uid="{EE67D3D7-B853-4E67-AC08-28BC2834D443}" name="11-ago" totalsRowFunction="custom" dataDxfId="479" totalsRowDxfId="143">
      <totalsRowFormula>+GJ7-GK3+GK2</totalsRowFormula>
    </tableColumn>
    <tableColumn id="194" xr3:uid="{3EBAEA40-74CD-4D6E-ABDE-A2E0B7AF9D55}" name="12-ago" totalsRowFunction="custom" dataDxfId="478" totalsRowDxfId="142">
      <totalsRowFormula>+GK7-GL3+GL2</totalsRowFormula>
    </tableColumn>
    <tableColumn id="195" xr3:uid="{525A3338-17E4-4BB4-80CF-22F252F97589}" name="13-ago" totalsRowFunction="custom" dataDxfId="477" totalsRowDxfId="141">
      <totalsRowFormula>+GL7-GM3+GM2</totalsRowFormula>
    </tableColumn>
    <tableColumn id="196" xr3:uid="{B78A3FFA-FFB8-423B-B48C-E44165FD06D2}" name="14-ago" totalsRowFunction="custom" dataDxfId="476" totalsRowDxfId="140">
      <totalsRowFormula>+GM7-GN3+GN2</totalsRowFormula>
    </tableColumn>
    <tableColumn id="197" xr3:uid="{CF40F745-3D20-480A-ADC4-E48943B17498}" name="15-ago" totalsRowFunction="custom" dataDxfId="475" totalsRowDxfId="139">
      <totalsRowFormula>+GN7-GO3+GO2</totalsRowFormula>
    </tableColumn>
    <tableColumn id="198" xr3:uid="{616856D2-9A0C-4066-B72E-61E5BAF36BEA}" name="16-ago" totalsRowFunction="custom" dataDxfId="474" totalsRowDxfId="138">
      <totalsRowFormula>+GO7-GP3+GP2</totalsRowFormula>
    </tableColumn>
    <tableColumn id="199" xr3:uid="{7E4F0C14-FB7A-4F61-AECD-11B0ADFBBFB1}" name="17-ago" totalsRowFunction="custom" dataDxfId="473" totalsRowDxfId="137">
      <totalsRowFormula>+GP7-GQ3+GQ2</totalsRowFormula>
    </tableColumn>
    <tableColumn id="200" xr3:uid="{A2F3DCAC-638A-4450-A59C-53937276959D}" name="18-ago" totalsRowFunction="custom" dataDxfId="472" totalsRowDxfId="136">
      <totalsRowFormula>+GQ7-GR3+GR2</totalsRowFormula>
    </tableColumn>
    <tableColumn id="201" xr3:uid="{68FEF783-3582-4548-A404-3DD4C3B04CD5}" name="19-ago" totalsRowFunction="custom" dataDxfId="471" totalsRowDxfId="135">
      <totalsRowFormula>+GR7-GS3+GS2</totalsRowFormula>
    </tableColumn>
    <tableColumn id="202" xr3:uid="{18BCCBD2-C4B6-4F2F-B635-D61DE6855027}" name="20-ago" totalsRowFunction="custom" dataDxfId="470" totalsRowDxfId="134">
      <totalsRowFormula>+GS7-GT3+GT2</totalsRowFormula>
    </tableColumn>
    <tableColumn id="203" xr3:uid="{FFEB875D-1CF2-463C-939C-60552DD25934}" name="21-ago" totalsRowFunction="custom" dataDxfId="469" totalsRowDxfId="133">
      <totalsRowFormula>+GT7-GU3+GU2</totalsRowFormula>
    </tableColumn>
    <tableColumn id="204" xr3:uid="{75CFE5EA-C032-40F9-9098-7FCF7244DF0B}" name="22-ago" totalsRowFunction="custom" dataDxfId="468" totalsRowDxfId="132">
      <totalsRowFormula>+GU7-GV3+GV2</totalsRowFormula>
    </tableColumn>
    <tableColumn id="205" xr3:uid="{0841AA4B-A62C-4C67-8482-C6B8809C18D2}" name="23-ago" totalsRowFunction="custom" dataDxfId="467" totalsRowDxfId="131">
      <totalsRowFormula>+GV7-GW3+GW2</totalsRowFormula>
    </tableColumn>
    <tableColumn id="206" xr3:uid="{7A97EDD2-71F6-4317-A4C1-F2343032ECBC}" name="24-ago" totalsRowFunction="custom" dataDxfId="466" totalsRowDxfId="130">
      <totalsRowFormula>+GW7-GX3+GX2</totalsRowFormula>
    </tableColumn>
    <tableColumn id="207" xr3:uid="{19594DC9-CA1E-4B09-B632-54271ADD341A}" name="25-ago" totalsRowFunction="custom" dataDxfId="465" totalsRowDxfId="129">
      <totalsRowFormula>+GX7-GY3+GY2</totalsRowFormula>
    </tableColumn>
    <tableColumn id="208" xr3:uid="{83F86502-A7DE-4C22-A01E-4F28A749DD7A}" name="26-ago" totalsRowFunction="custom" dataDxfId="464" totalsRowDxfId="128">
      <totalsRowFormula>+GY7-GZ3+GZ2</totalsRowFormula>
    </tableColumn>
    <tableColumn id="209" xr3:uid="{3C051B48-CA03-4485-8322-C0C4E643C374}" name="27-ago" totalsRowFunction="custom" dataDxfId="463" totalsRowDxfId="127">
      <totalsRowFormula>+GZ7-HA3+HA2</totalsRowFormula>
    </tableColumn>
    <tableColumn id="210" xr3:uid="{07275C48-80D8-47AD-A4CA-2A434A524ECB}" name="28-ago" totalsRowFunction="custom" dataDxfId="462" totalsRowDxfId="126">
      <totalsRowFormula>+HA7-HB3+HB2</totalsRowFormula>
    </tableColumn>
    <tableColumn id="211" xr3:uid="{5993BC68-8371-4E5C-9734-7C7D1B3EEFEC}" name="29-ago" totalsRowFunction="custom" dataDxfId="461" totalsRowDxfId="125">
      <totalsRowFormula>+HB7-HC3+HC2</totalsRowFormula>
    </tableColumn>
    <tableColumn id="212" xr3:uid="{3A9B133C-FCB0-4E62-8E18-9EBA4D007E32}" name="30-ago" totalsRowFunction="custom" dataDxfId="460" totalsRowDxfId="124">
      <totalsRowFormula>+HC7-HD3+HD2</totalsRowFormula>
    </tableColumn>
    <tableColumn id="213" xr3:uid="{0BB748FF-2A4C-4978-A3B1-D7B9241D3099}" name="31-ago" totalsRowFunction="custom" dataDxfId="459" totalsRowDxfId="123">
      <totalsRowFormula>+HD7-HE3+HE2</totalsRowFormula>
    </tableColumn>
    <tableColumn id="214" xr3:uid="{7CE752C8-E2CC-4261-9608-B594AFFE781F}" name="01-sep" totalsRowFunction="custom" dataDxfId="458" totalsRowDxfId="122">
      <totalsRowFormula>+HE7-HF3+HF2</totalsRowFormula>
    </tableColumn>
    <tableColumn id="215" xr3:uid="{274A4971-5020-4479-9276-771B7D24AF75}" name="02-sep" totalsRowFunction="custom" dataDxfId="457" totalsRowDxfId="121">
      <totalsRowFormula>+HF7-HG3+HG2</totalsRowFormula>
    </tableColumn>
    <tableColumn id="216" xr3:uid="{D8ED16B2-7CD7-432B-A216-B3B3FAAA323F}" name="03-sep" totalsRowFunction="custom" dataDxfId="456" totalsRowDxfId="120">
      <totalsRowFormula>+HG7-HH3+HH2</totalsRowFormula>
    </tableColumn>
    <tableColumn id="217" xr3:uid="{9A6E1D68-743A-4706-836D-C9B0E7B28C78}" name="04-sep" totalsRowFunction="custom" dataDxfId="455" totalsRowDxfId="119">
      <totalsRowFormula>+HH7-HI3+HI2</totalsRowFormula>
    </tableColumn>
    <tableColumn id="218" xr3:uid="{2E6B5CCF-075B-479D-9840-D7043F4D8496}" name="05-sep" totalsRowFunction="custom" dataDxfId="454" totalsRowDxfId="118">
      <totalsRowFormula>+HI7-HJ3+HJ2</totalsRowFormula>
    </tableColumn>
    <tableColumn id="219" xr3:uid="{C1EA9543-FECE-4174-9CCC-6DA81092833C}" name="06-sep" totalsRowFunction="custom" dataDxfId="453" totalsRowDxfId="117">
      <totalsRowFormula>+HJ7-HK3+HK2</totalsRowFormula>
    </tableColumn>
    <tableColumn id="220" xr3:uid="{B2D03176-D7CF-4417-975A-5EB1D2B82A83}" name="07-sep" totalsRowFunction="custom" dataDxfId="452" totalsRowDxfId="116">
      <totalsRowFormula>+HK7-HL3+HL2</totalsRowFormula>
    </tableColumn>
    <tableColumn id="221" xr3:uid="{950B6977-3C6B-4F5E-808C-B5CB8351B8D9}" name="08-sep" totalsRowFunction="custom" dataDxfId="451" totalsRowDxfId="115">
      <totalsRowFormula>+HL7-HM3+HM2</totalsRowFormula>
    </tableColumn>
    <tableColumn id="222" xr3:uid="{70A0C082-77E4-41B5-9BBF-78546E47628A}" name="09-sep" totalsRowFunction="custom" dataDxfId="450" totalsRowDxfId="114">
      <totalsRowFormula>+HM7-HN3+HN2</totalsRowFormula>
    </tableColumn>
    <tableColumn id="223" xr3:uid="{75C2701B-44FD-413E-9EF2-3A7535C3AF6D}" name="10-sep" totalsRowFunction="custom" dataDxfId="449" totalsRowDxfId="113">
      <totalsRowFormula>+HN7-HO3+HO2</totalsRowFormula>
    </tableColumn>
    <tableColumn id="224" xr3:uid="{3623A8D7-438B-4A45-A8E6-5B8C2CB0CC47}" name="11-sep" totalsRowFunction="custom" dataDxfId="448" totalsRowDxfId="112">
      <totalsRowFormula>+HO7-HP3+HP2</totalsRowFormula>
    </tableColumn>
    <tableColumn id="225" xr3:uid="{979C52C0-09FB-4116-9066-25B4219C9711}" name="12-sep" totalsRowFunction="custom" dataDxfId="447" totalsRowDxfId="111">
      <totalsRowFormula>+HP7-HQ3+HQ2</totalsRowFormula>
    </tableColumn>
    <tableColumn id="226" xr3:uid="{6DD97DE8-F30F-4043-A8D7-83DF3F8E1F53}" name="13-sep" totalsRowFunction="custom" dataDxfId="446" totalsRowDxfId="110">
      <totalsRowFormula>+HQ7-HR3+HR2</totalsRowFormula>
    </tableColumn>
    <tableColumn id="227" xr3:uid="{3ECA2698-4B14-4B6C-B444-29F0B3D49BD7}" name="14-sep" totalsRowFunction="custom" dataDxfId="445" totalsRowDxfId="109">
      <totalsRowFormula>+HR7-HS3+HS2</totalsRowFormula>
    </tableColumn>
    <tableColumn id="228" xr3:uid="{45C2835E-D240-49C1-BC50-29B625116829}" name="15-sep" totalsRowFunction="custom" dataDxfId="444" totalsRowDxfId="108">
      <totalsRowFormula>+HS7-HT3+HT2</totalsRowFormula>
    </tableColumn>
    <tableColumn id="229" xr3:uid="{B98DB078-3319-4BB9-97E4-E40CAA0AA606}" name="16-sep" totalsRowFunction="custom" dataDxfId="443" totalsRowDxfId="107">
      <totalsRowFormula>+HT7-HU3+HU2</totalsRowFormula>
    </tableColumn>
    <tableColumn id="230" xr3:uid="{CED634EE-6430-4DAD-8E93-24C932992A12}" name="17-sep" totalsRowFunction="custom" dataDxfId="442" totalsRowDxfId="106">
      <totalsRowFormula>+HU7-HV3+HV2</totalsRowFormula>
    </tableColumn>
    <tableColumn id="231" xr3:uid="{3ABF203D-7608-40E2-9D65-B45F0A1BF6ED}" name="18-sep" totalsRowFunction="custom" dataDxfId="441" totalsRowDxfId="105">
      <totalsRowFormula>+HV7-HW3+HW2</totalsRowFormula>
    </tableColumn>
    <tableColumn id="232" xr3:uid="{14C6403E-14C0-4190-B8E0-95A22191424C}" name="19-sep" totalsRowFunction="custom" dataDxfId="440" totalsRowDxfId="104">
      <totalsRowFormula>+HW7-HX3+HX2</totalsRowFormula>
    </tableColumn>
    <tableColumn id="233" xr3:uid="{F7C6E644-F9C5-4FE2-B268-FDF3FB77ED93}" name="20-sep" totalsRowFunction="custom" dataDxfId="439" totalsRowDxfId="103">
      <totalsRowFormula>+HX7-HY3+HY2</totalsRowFormula>
    </tableColumn>
    <tableColumn id="234" xr3:uid="{23906E18-B53D-4809-8946-C3130A93FCE4}" name="21-sep" totalsRowFunction="custom" dataDxfId="438" totalsRowDxfId="102">
      <totalsRowFormula>+HY7-HZ3+HZ2</totalsRowFormula>
    </tableColumn>
    <tableColumn id="235" xr3:uid="{1738D016-40D0-4413-B5CF-5C197B81DA2C}" name="22-sep" totalsRowFunction="custom" dataDxfId="437" totalsRowDxfId="101">
      <totalsRowFormula>+HZ7-IA3+IA2</totalsRowFormula>
    </tableColumn>
    <tableColumn id="236" xr3:uid="{B0F0CFD2-5246-4DE5-8C55-7852A705B2F3}" name="23-sep" totalsRowFunction="custom" dataDxfId="436" totalsRowDxfId="100">
      <totalsRowFormula>+IA7-IB3+IB2</totalsRowFormula>
    </tableColumn>
    <tableColumn id="237" xr3:uid="{3DE3AFD7-D71F-4D07-B954-196EA929235A}" name="24-sep" totalsRowFunction="custom" dataDxfId="435" totalsRowDxfId="99">
      <totalsRowFormula>+IB7-IC3+IC2</totalsRowFormula>
    </tableColumn>
    <tableColumn id="238" xr3:uid="{10DA5E44-9EF6-466D-AEDF-4FDD9AC5996C}" name="25-sep" totalsRowFunction="custom" dataDxfId="434" totalsRowDxfId="98">
      <totalsRowFormula>+IC7-ID3+ID2</totalsRowFormula>
    </tableColumn>
    <tableColumn id="239" xr3:uid="{9F9AACB2-CDCF-4D8A-91C4-F10B4F6130D8}" name="26-sep" totalsRowFunction="custom" dataDxfId="433" totalsRowDxfId="97">
      <totalsRowFormula>+ID7-IE3+IE2</totalsRowFormula>
    </tableColumn>
    <tableColumn id="240" xr3:uid="{5DB3A70E-8BB6-4AFE-AD1A-09F4EDC99BE2}" name="27-sep" totalsRowFunction="custom" dataDxfId="432" totalsRowDxfId="96">
      <totalsRowFormula>+IE7-IF3+IF2</totalsRowFormula>
    </tableColumn>
    <tableColumn id="241" xr3:uid="{FC4328BE-FD8C-4D13-A616-545A9CC129F0}" name="28-sep" totalsRowFunction="custom" dataDxfId="431" totalsRowDxfId="95">
      <totalsRowFormula>+IF7-IG3+IG2</totalsRowFormula>
    </tableColumn>
    <tableColumn id="242" xr3:uid="{37D8D98C-CF94-481B-9D67-83E304B8ED36}" name="29-sep" totalsRowFunction="custom" dataDxfId="430" totalsRowDxfId="94">
      <totalsRowFormula>+IG7-IH3+IH2</totalsRowFormula>
    </tableColumn>
    <tableColumn id="243" xr3:uid="{076CC383-BE39-4D74-91FE-76BF1E277052}" name="30-sep" totalsRowFunction="custom" dataDxfId="429" totalsRowDxfId="93">
      <totalsRowFormula>+IH7-II3+II2</totalsRowFormula>
    </tableColumn>
    <tableColumn id="244" xr3:uid="{E39BB3A5-8981-4C13-86CF-CE5B4FF00FC9}" name="01-oct" totalsRowFunction="custom" dataDxfId="428" totalsRowDxfId="92">
      <totalsRowFormula>+II7-IJ3+IJ2</totalsRowFormula>
    </tableColumn>
    <tableColumn id="245" xr3:uid="{CC2B0D9D-39B9-4DB6-A700-ABA00DEC946A}" name="02-oct" totalsRowFunction="custom" dataDxfId="427" totalsRowDxfId="91">
      <totalsRowFormula>+IJ7-IK3+IK2</totalsRowFormula>
    </tableColumn>
    <tableColumn id="246" xr3:uid="{F636DC26-9303-48A0-BF77-271786B328E0}" name="03-oct" totalsRowFunction="custom" dataDxfId="426" totalsRowDxfId="90">
      <totalsRowFormula>+IK7-IL3+IL2</totalsRowFormula>
    </tableColumn>
    <tableColumn id="247" xr3:uid="{986555EB-38C5-4595-B2CB-95F31303D2FA}" name="04-oct" totalsRowFunction="custom" dataDxfId="425" totalsRowDxfId="89">
      <totalsRowFormula>+IL7-IM3+IM2</totalsRowFormula>
    </tableColumn>
    <tableColumn id="248" xr3:uid="{4607FF10-BFC1-47F7-BEF2-E72B26475151}" name="05-oct" totalsRowFunction="custom" dataDxfId="424" totalsRowDxfId="88">
      <totalsRowFormula>+IM7-IN3+IN2</totalsRowFormula>
    </tableColumn>
    <tableColumn id="249" xr3:uid="{F8037FB2-3A21-4C47-BA4C-50502288D72E}" name="06-oct" totalsRowFunction="custom" dataDxfId="423" totalsRowDxfId="87">
      <totalsRowFormula>+IN7-IO3+IO2</totalsRowFormula>
    </tableColumn>
    <tableColumn id="250" xr3:uid="{88AD6BA5-5AE1-4A8F-8264-4F4F93CADCCB}" name="07-oct" totalsRowFunction="custom" dataDxfId="422" totalsRowDxfId="86">
      <totalsRowFormula>+IO7-IP3+IP2</totalsRowFormula>
    </tableColumn>
    <tableColumn id="251" xr3:uid="{E8D01662-50B9-4825-82A3-DCC5826571DF}" name="08-oct" totalsRowFunction="custom" dataDxfId="421" totalsRowDxfId="85">
      <totalsRowFormula>+IP7-IQ3+IQ2</totalsRowFormula>
    </tableColumn>
    <tableColumn id="252" xr3:uid="{B3A3A483-0042-4981-82E4-D71959FB26BD}" name="09-oct" totalsRowFunction="custom" dataDxfId="420" totalsRowDxfId="84">
      <totalsRowFormula>+IQ7-IR3+IR2</totalsRowFormula>
    </tableColumn>
    <tableColumn id="253" xr3:uid="{80D1FBA8-CB68-4BF6-8CED-DE9AD951CC73}" name="10-oct" totalsRowFunction="custom" dataDxfId="419" totalsRowDxfId="83">
      <totalsRowFormula>+IR7-IS3+IS2</totalsRowFormula>
    </tableColumn>
    <tableColumn id="254" xr3:uid="{6869D500-E492-45E2-B5AD-6E5C16F2E8D9}" name="11-oct" totalsRowFunction="custom" dataDxfId="418" totalsRowDxfId="82">
      <totalsRowFormula>+IS7-IT3+IT2</totalsRowFormula>
    </tableColumn>
    <tableColumn id="255" xr3:uid="{EAD8329E-2FDC-4528-92DF-838B64552585}" name="12-oct" totalsRowFunction="custom" dataDxfId="417" totalsRowDxfId="81">
      <totalsRowFormula>+IT7-IU3+IU2</totalsRowFormula>
    </tableColumn>
    <tableColumn id="256" xr3:uid="{337BE6CA-ECD1-4997-96FE-307727DB869E}" name="13-oct" totalsRowFunction="custom" dataDxfId="416" totalsRowDxfId="80">
      <totalsRowFormula>+IU7-IV3+IV2</totalsRowFormula>
    </tableColumn>
    <tableColumn id="257" xr3:uid="{68CB1CCD-4FBD-403B-AF2D-88B7C9B911B1}" name="14-oct" totalsRowFunction="custom" dataDxfId="415" totalsRowDxfId="79">
      <totalsRowFormula>+IV7-IW3+IW2</totalsRowFormula>
    </tableColumn>
    <tableColumn id="258" xr3:uid="{E5116CA6-4E18-4A25-97D4-3F38572C95C3}" name="15-oct" totalsRowFunction="custom" dataDxfId="414" totalsRowDxfId="78">
      <totalsRowFormula>+IW7-IX3+IX2</totalsRowFormula>
    </tableColumn>
    <tableColumn id="259" xr3:uid="{16819D78-7053-42CC-A5F2-31B8966FC953}" name="16-oct" totalsRowFunction="custom" dataDxfId="413" totalsRowDxfId="77">
      <totalsRowFormula>+IX7-IY3+IY2</totalsRowFormula>
    </tableColumn>
    <tableColumn id="260" xr3:uid="{B915C785-76A5-43C8-8DEB-3E3CAEAF2893}" name="17-oct" totalsRowFunction="custom" dataDxfId="412" totalsRowDxfId="76">
      <totalsRowFormula>+IY7-IZ3+IZ2</totalsRowFormula>
    </tableColumn>
    <tableColumn id="261" xr3:uid="{15C12873-4A56-471C-AE97-AAD6B4CE15D9}" name="18-oct" totalsRowFunction="custom" dataDxfId="411" totalsRowDxfId="75">
      <totalsRowFormula>+IZ7-JA3+JA2</totalsRowFormula>
    </tableColumn>
    <tableColumn id="262" xr3:uid="{DD33C6F8-0212-4E2D-8F1D-8D69DC8C8DFB}" name="19-oct" totalsRowFunction="custom" dataDxfId="410" totalsRowDxfId="74">
      <totalsRowFormula>+JA7-JB3+JB2</totalsRowFormula>
    </tableColumn>
    <tableColumn id="263" xr3:uid="{1A019F2F-2CA0-49A3-BABD-4D1A85965037}" name="20-oct" totalsRowFunction="custom" dataDxfId="409" totalsRowDxfId="73">
      <totalsRowFormula>+JB7-JC3+JC2</totalsRowFormula>
    </tableColumn>
    <tableColumn id="264" xr3:uid="{40146EC3-B58C-42A5-8716-CD8325D60EDB}" name="21-oct" totalsRowFunction="custom" dataDxfId="408" totalsRowDxfId="72">
      <totalsRowFormula>+JC7-JD3+JD2</totalsRowFormula>
    </tableColumn>
    <tableColumn id="265" xr3:uid="{CCBAB1C8-31D2-4DC7-8FA3-6CCA5E6F8DE1}" name="22-oct" totalsRowFunction="custom" dataDxfId="407" totalsRowDxfId="71">
      <totalsRowFormula>+JD7-JE3+JE2</totalsRowFormula>
    </tableColumn>
    <tableColumn id="266" xr3:uid="{DEC20CBB-093C-452C-888B-C0603C53D742}" name="23-oct" totalsRowFunction="custom" dataDxfId="406" totalsRowDxfId="70">
      <totalsRowFormula>+JE7-JF3+JF2</totalsRowFormula>
    </tableColumn>
    <tableColumn id="267" xr3:uid="{AB4EF79C-8D7F-46BF-B2ED-B2470C87865C}" name="24-oct" totalsRowFunction="custom" dataDxfId="405" totalsRowDxfId="69">
      <totalsRowFormula>+JF7-JG3+JG2</totalsRowFormula>
    </tableColumn>
    <tableColumn id="268" xr3:uid="{71E9F2A4-6340-4E5C-B544-221AB7C45FD9}" name="25-oct" totalsRowFunction="custom" dataDxfId="404" totalsRowDxfId="68">
      <totalsRowFormula>+JG7-JH3+JH2</totalsRowFormula>
    </tableColumn>
    <tableColumn id="269" xr3:uid="{5E3590D5-A106-4C28-B693-0EBCA533CB0E}" name="26-oct" totalsRowFunction="custom" dataDxfId="403" totalsRowDxfId="67">
      <totalsRowFormula>+JH7-JI3+JI2</totalsRowFormula>
    </tableColumn>
    <tableColumn id="270" xr3:uid="{1A3B65AA-5F95-4A38-A8F2-BC7501803798}" name="27-oct" totalsRowFunction="custom" dataDxfId="402" totalsRowDxfId="66">
      <totalsRowFormula>+JI7-JJ3+JJ2</totalsRowFormula>
    </tableColumn>
    <tableColumn id="271" xr3:uid="{12B944C8-5408-4996-8522-8258E811DEE7}" name="28-oct" totalsRowFunction="custom" dataDxfId="401" totalsRowDxfId="65">
      <totalsRowFormula>+JJ7-JK3+JK2</totalsRowFormula>
    </tableColumn>
    <tableColumn id="272" xr3:uid="{32472372-C092-4809-B7DC-3BDE0BA40605}" name="29-oct" totalsRowFunction="custom" dataDxfId="400" totalsRowDxfId="64">
      <totalsRowFormula>+JK7-JL3+JL2</totalsRowFormula>
    </tableColumn>
    <tableColumn id="273" xr3:uid="{80CE9703-FD2A-430D-8431-2F0C2B4AF6FE}" name="30-oct" totalsRowFunction="custom" dataDxfId="399" totalsRowDxfId="63">
      <totalsRowFormula>+JL7-JM3+JM2</totalsRowFormula>
    </tableColumn>
    <tableColumn id="274" xr3:uid="{8E9589EF-03D7-4250-804C-2991D65E2141}" name="31-oct" totalsRowFunction="custom" dataDxfId="398" totalsRowDxfId="62">
      <totalsRowFormula>+JM7-JN3+JN2</totalsRowFormula>
    </tableColumn>
    <tableColumn id="275" xr3:uid="{162F37D3-2421-4409-944A-BCB3760B227F}" name="01-nov" totalsRowFunction="custom" dataDxfId="397" totalsRowDxfId="61">
      <totalsRowFormula>+JN7-JO3+JO2</totalsRowFormula>
    </tableColumn>
    <tableColumn id="276" xr3:uid="{45CCC92F-B302-40D7-B853-D47189AF96D7}" name="02-nov" totalsRowFunction="custom" dataDxfId="396" totalsRowDxfId="60">
      <totalsRowFormula>+JO7-JP3+JP2</totalsRowFormula>
    </tableColumn>
    <tableColumn id="277" xr3:uid="{DE8668F9-87F3-4AE6-83AE-57C3EF66BB20}" name="03-nov" totalsRowFunction="custom" dataDxfId="395" totalsRowDxfId="59">
      <totalsRowFormula>+JP7-JQ3+JQ2</totalsRowFormula>
    </tableColumn>
    <tableColumn id="278" xr3:uid="{F3C9474D-13C3-4070-9ACB-D3C053E3660E}" name="04-nov" totalsRowFunction="custom" dataDxfId="394" totalsRowDxfId="58">
      <totalsRowFormula>+JQ7-JR3+JR2</totalsRowFormula>
    </tableColumn>
    <tableColumn id="279" xr3:uid="{B2B96279-23C4-4D6C-9B29-21F4CCBA9C22}" name="05-nov" totalsRowFunction="custom" dataDxfId="393" totalsRowDxfId="57">
      <totalsRowFormula>+JR7-JS3+JS2</totalsRowFormula>
    </tableColumn>
    <tableColumn id="280" xr3:uid="{506A19ED-A279-4796-BF6E-F52AAAD729F1}" name="06-nov" totalsRowFunction="custom" dataDxfId="392" totalsRowDxfId="56">
      <totalsRowFormula>+JS7-JT3+JT2</totalsRowFormula>
    </tableColumn>
    <tableColumn id="281" xr3:uid="{F19125A2-FA22-48A9-83A7-AEED12160947}" name="07-nov" totalsRowFunction="custom" dataDxfId="391" totalsRowDxfId="55">
      <totalsRowFormula>+JT7-JU3+JU2</totalsRowFormula>
    </tableColumn>
    <tableColumn id="282" xr3:uid="{DB9FCA23-60CA-4D35-A171-544CAAF5642D}" name="08-nov" totalsRowFunction="custom" dataDxfId="390" totalsRowDxfId="54">
      <totalsRowFormula>+JU7-JV3+JV2</totalsRowFormula>
    </tableColumn>
    <tableColumn id="283" xr3:uid="{CA13A228-0CED-4B73-A941-14782202F74E}" name="09-nov" totalsRowFunction="custom" dataDxfId="389" totalsRowDxfId="53">
      <totalsRowFormula>+JV7-JW3+JW2</totalsRowFormula>
    </tableColumn>
    <tableColumn id="284" xr3:uid="{5D81323B-F34A-4BB4-9700-172793957F1A}" name="10-nov" totalsRowFunction="custom" dataDxfId="388" totalsRowDxfId="52">
      <totalsRowFormula>+JW7-JX3+JX2</totalsRowFormula>
    </tableColumn>
    <tableColumn id="285" xr3:uid="{1D8D0443-3B69-480F-B139-C09DBEDC4F1A}" name="11-nov" totalsRowFunction="custom" dataDxfId="387" totalsRowDxfId="51">
      <totalsRowFormula>+JX7-JY3+JY2</totalsRowFormula>
    </tableColumn>
    <tableColumn id="286" xr3:uid="{1AAA2EA6-DFB3-4353-9DFD-12252ED4B88D}" name="12-nov" totalsRowFunction="custom" dataDxfId="386" totalsRowDxfId="50">
      <totalsRowFormula>+JY7-JZ3+JZ2</totalsRowFormula>
    </tableColumn>
    <tableColumn id="287" xr3:uid="{0F6ADE83-B1C9-4874-A2BA-8E5B48DE1E26}" name="13-nov" totalsRowFunction="custom" dataDxfId="385" totalsRowDxfId="49">
      <totalsRowFormula>+JZ7-KA3+KA2</totalsRowFormula>
    </tableColumn>
    <tableColumn id="288" xr3:uid="{FA144A41-B23C-43A9-8F9C-DA6133EA0D0E}" name="14-nov" totalsRowFunction="custom" dataDxfId="384" totalsRowDxfId="48">
      <totalsRowFormula>+KA7-KB3+KB2</totalsRowFormula>
    </tableColumn>
    <tableColumn id="289" xr3:uid="{8C5AA7B0-16AA-4CE5-9874-B5B9D7CA4F6F}" name="15-nov" totalsRowFunction="custom" dataDxfId="383" totalsRowDxfId="47">
      <totalsRowFormula>+KB7-KC3+KC2</totalsRowFormula>
    </tableColumn>
    <tableColumn id="290" xr3:uid="{6FCC88AD-CBAD-412B-B1CE-7CF72FEDB422}" name="16-nov" totalsRowFunction="custom" dataDxfId="382" totalsRowDxfId="46">
      <totalsRowFormula>+KC7-KD3+KD2</totalsRowFormula>
    </tableColumn>
    <tableColumn id="291" xr3:uid="{BF175A4D-46C0-46C5-A2EF-422D0828A32C}" name="17-nov" totalsRowFunction="custom" dataDxfId="381" totalsRowDxfId="45">
      <totalsRowFormula>+KD7-KE3+KE2</totalsRowFormula>
    </tableColumn>
    <tableColumn id="292" xr3:uid="{DF45D864-7A53-432E-AB36-C28C7D7B38FB}" name="18-nov" totalsRowFunction="custom" dataDxfId="380" totalsRowDxfId="44">
      <totalsRowFormula>+KE7-KF3+KF2</totalsRowFormula>
    </tableColumn>
    <tableColumn id="293" xr3:uid="{241968D0-2231-4BF7-8A33-A4A62852969A}" name="19-nov" totalsRowFunction="custom" dataDxfId="379" totalsRowDxfId="43">
      <totalsRowFormula>+KF7-KG3+KG2</totalsRowFormula>
    </tableColumn>
    <tableColumn id="294" xr3:uid="{3F8A3195-A87C-4F44-AD9D-01318389CD09}" name="20-nov" totalsRowFunction="custom" dataDxfId="378" totalsRowDxfId="42">
      <totalsRowFormula>+KG7-KH3+KH2</totalsRowFormula>
    </tableColumn>
    <tableColumn id="295" xr3:uid="{3D4BE061-0F94-445B-86CA-470A4E574915}" name="21-nov" totalsRowFunction="custom" dataDxfId="377" totalsRowDxfId="41">
      <totalsRowFormula>+KH7-KI3+KI2</totalsRowFormula>
    </tableColumn>
    <tableColumn id="296" xr3:uid="{4E054C32-2A92-494E-A487-A495C1CBD36E}" name="22-nov" totalsRowFunction="custom" dataDxfId="376" totalsRowDxfId="40">
      <totalsRowFormula>+KI7-KJ3+KJ2</totalsRowFormula>
    </tableColumn>
    <tableColumn id="297" xr3:uid="{7F9DE7DA-755E-4298-8BE7-518F07F57EC5}" name="23-nov" totalsRowFunction="custom" dataDxfId="375" totalsRowDxfId="39">
      <totalsRowFormula>+KJ7-KK3+KK2</totalsRowFormula>
    </tableColumn>
    <tableColumn id="298" xr3:uid="{76B8FAF4-0748-4B65-BB08-CF4509F3AD56}" name="24-nov" totalsRowFunction="custom" dataDxfId="374" totalsRowDxfId="38">
      <totalsRowFormula>+KK7-KL3+KL2</totalsRowFormula>
    </tableColumn>
    <tableColumn id="299" xr3:uid="{36D037D9-76E9-46CB-B1FE-BA7342D7BBD7}" name="25-nov" totalsRowFunction="custom" dataDxfId="373" totalsRowDxfId="37">
      <totalsRowFormula>+KL7-KM3+KM2</totalsRowFormula>
    </tableColumn>
    <tableColumn id="300" xr3:uid="{101EB1A3-21FF-4EDD-A266-C63301B768C9}" name="26-nov" totalsRowFunction="custom" dataDxfId="372" totalsRowDxfId="36">
      <totalsRowFormula>+KM7-KN3+KN2</totalsRowFormula>
    </tableColumn>
    <tableColumn id="301" xr3:uid="{649580A5-7499-4622-A7B5-4F0660BD95AE}" name="27-nov" totalsRowFunction="custom" dataDxfId="371" totalsRowDxfId="35">
      <totalsRowFormula>+KN7-KO3+KO2</totalsRowFormula>
    </tableColumn>
    <tableColumn id="302" xr3:uid="{D9AB7787-92AA-47FE-A296-0BE503170D4B}" name="28-nov" totalsRowFunction="custom" dataDxfId="370" totalsRowDxfId="34">
      <totalsRowFormula>+KO7-KP3+KP2</totalsRowFormula>
    </tableColumn>
    <tableColumn id="303" xr3:uid="{89CF5F84-B776-4826-AABA-F8D25A71AFA7}" name="29-nov" totalsRowFunction="custom" dataDxfId="369" totalsRowDxfId="33">
      <totalsRowFormula>+KP7-KQ3+KQ2</totalsRowFormula>
    </tableColumn>
    <tableColumn id="304" xr3:uid="{FF945E0B-5652-422C-9290-BC413D5A6E32}" name="30-nov" totalsRowFunction="custom" dataDxfId="368" totalsRowDxfId="32">
      <totalsRowFormula>+KQ7-KR3+KR2</totalsRowFormula>
    </tableColumn>
    <tableColumn id="305" xr3:uid="{791CBB49-BBA0-433E-BB60-A1F5A2BCBC6A}" name="01-dic" totalsRowFunction="custom" dataDxfId="367" totalsRowDxfId="31">
      <totalsRowFormula>+KR7-KS3+KS2</totalsRowFormula>
    </tableColumn>
    <tableColumn id="306" xr3:uid="{D48A137D-7ABB-42A6-B9EE-F6B38527F360}" name="02-dic" totalsRowFunction="custom" dataDxfId="366" totalsRowDxfId="30">
      <totalsRowFormula>+KS7-KT3+KT2</totalsRowFormula>
    </tableColumn>
    <tableColumn id="307" xr3:uid="{41AA1326-EFB5-4D36-BC63-BDE7417E9E9B}" name="03-dic" totalsRowFunction="custom" dataDxfId="365" totalsRowDxfId="29">
      <totalsRowFormula>+KT7-KU3+KU2</totalsRowFormula>
    </tableColumn>
    <tableColumn id="308" xr3:uid="{1E942125-57EA-493D-BF84-0885BA2B4B98}" name="04-dic" totalsRowFunction="custom" dataDxfId="364" totalsRowDxfId="28">
      <totalsRowFormula>+KU7-KV3+KV2</totalsRowFormula>
    </tableColumn>
    <tableColumn id="309" xr3:uid="{935B6E35-E4AF-4D8A-90A1-282E5B3C2079}" name="05-dic" totalsRowFunction="custom" dataDxfId="363" totalsRowDxfId="27">
      <totalsRowFormula>+KV7-KW3+KW2</totalsRowFormula>
    </tableColumn>
    <tableColumn id="310" xr3:uid="{3752E61E-C49F-4D2C-8920-D577FFB89C95}" name="06-dic" totalsRowFunction="custom" dataDxfId="362" totalsRowDxfId="26">
      <totalsRowFormula>+KW7-KX3+KX2</totalsRowFormula>
    </tableColumn>
    <tableColumn id="311" xr3:uid="{133A2991-950A-4AB4-BEB0-9FD5C8A99957}" name="07-dic" totalsRowFunction="custom" dataDxfId="361" totalsRowDxfId="25">
      <totalsRowFormula>+KX7-KY3+KY2</totalsRowFormula>
    </tableColumn>
    <tableColumn id="312" xr3:uid="{4612B55F-CAD1-4C00-ADB1-EC35E18AC201}" name="08-dic" totalsRowFunction="custom" dataDxfId="360" totalsRowDxfId="24">
      <totalsRowFormula>+KY7-KZ3+KZ2</totalsRowFormula>
    </tableColumn>
    <tableColumn id="313" xr3:uid="{4C89ECF4-50CB-4468-9751-B1FC296C0935}" name="09-dic" totalsRowFunction="custom" dataDxfId="359" totalsRowDxfId="23">
      <totalsRowFormula>+KZ7-LA3+LA2</totalsRowFormula>
    </tableColumn>
    <tableColumn id="314" xr3:uid="{64CF3E91-E006-4D85-A2B5-83E1D8609DD5}" name="10-dic" totalsRowFunction="custom" dataDxfId="358" totalsRowDxfId="22">
      <totalsRowFormula>+LA7-LB3+LB2</totalsRowFormula>
    </tableColumn>
    <tableColumn id="315" xr3:uid="{F794E09F-65FF-47B4-AAAB-93302F2AA5C4}" name="11-dic" totalsRowFunction="custom" dataDxfId="357" totalsRowDxfId="21">
      <totalsRowFormula>+LB7-LC3+LC2</totalsRowFormula>
    </tableColumn>
    <tableColumn id="316" xr3:uid="{DD424E5D-3B73-466A-9B43-4BF3E3C1E1D8}" name="12-dic" totalsRowFunction="custom" dataDxfId="356" totalsRowDxfId="20">
      <totalsRowFormula>+LC7-LD3+LD2</totalsRowFormula>
    </tableColumn>
    <tableColumn id="317" xr3:uid="{984B34C9-DA77-4AFC-888D-99DEE1748DF7}" name="13-dic" totalsRowFunction="custom" dataDxfId="355" totalsRowDxfId="19">
      <totalsRowFormula>+LD7-LE3+LE2</totalsRowFormula>
    </tableColumn>
    <tableColumn id="318" xr3:uid="{EE7C4590-DECF-4290-8C23-B7E9FDF84F67}" name="14-dic" totalsRowFunction="custom" dataDxfId="354" totalsRowDxfId="18">
      <totalsRowFormula>+LE7-LF3+LF2</totalsRowFormula>
    </tableColumn>
    <tableColumn id="319" xr3:uid="{E998BCD2-C748-403A-B479-E5A4A52885CA}" name="15-dic" totalsRowFunction="custom" dataDxfId="353" totalsRowDxfId="17">
      <totalsRowFormula>+LF7-LG3+LG2</totalsRowFormula>
    </tableColumn>
    <tableColumn id="320" xr3:uid="{CDD09182-1F16-439E-A720-5FFEEECDAD71}" name="16-dic" totalsRowFunction="custom" dataDxfId="352" totalsRowDxfId="16">
      <totalsRowFormula>+LG7-LH3+LH2</totalsRowFormula>
    </tableColumn>
    <tableColumn id="321" xr3:uid="{BAB9A427-27B0-40D2-BF06-A8398EE6FA82}" name="17-dic" totalsRowFunction="custom" dataDxfId="351" totalsRowDxfId="15">
      <totalsRowFormula>+LH7-LI3+LI2</totalsRowFormula>
    </tableColumn>
    <tableColumn id="322" xr3:uid="{BDBAA1DE-12B0-4D70-85D9-C32E537833F9}" name="18-dic" totalsRowFunction="custom" dataDxfId="350" totalsRowDxfId="14">
      <totalsRowFormula>+LI7-LJ3+LJ2</totalsRowFormula>
    </tableColumn>
    <tableColumn id="323" xr3:uid="{B8A8FB0E-B5F5-4F7D-82C6-297942AF8986}" name="19-dic" totalsRowFunction="custom" dataDxfId="349" totalsRowDxfId="13">
      <totalsRowFormula>+LJ7-LK3+LK2</totalsRowFormula>
    </tableColumn>
    <tableColumn id="324" xr3:uid="{3A5EB031-21AF-4CA7-8B30-F99E430DB7D7}" name="20-dic" totalsRowFunction="custom" dataDxfId="348" totalsRowDxfId="12">
      <totalsRowFormula>+LK7-LL3+LL2</totalsRowFormula>
    </tableColumn>
    <tableColumn id="325" xr3:uid="{B29268AB-06A3-4EF9-B75D-B01DAEB61DA6}" name="21-dic" totalsRowFunction="custom" dataDxfId="347" totalsRowDxfId="11">
      <totalsRowFormula>+LL7-LM3+LM2</totalsRowFormula>
    </tableColumn>
    <tableColumn id="326" xr3:uid="{22E77F83-BB96-47DE-AD6D-DBC042A6239B}" name="22-dic" totalsRowFunction="custom" dataDxfId="346" totalsRowDxfId="10">
      <totalsRowFormula>+LM7-LN3+LN2</totalsRowFormula>
    </tableColumn>
    <tableColumn id="327" xr3:uid="{192C129E-10DD-4387-9BF1-2D05FCAC52B2}" name="23-dic" totalsRowFunction="custom" dataDxfId="345" totalsRowDxfId="9">
      <totalsRowFormula>+LN7-LO3+LO2</totalsRowFormula>
    </tableColumn>
    <tableColumn id="328" xr3:uid="{C139DBCE-A051-4293-91D1-6A87D38AF69A}" name="24-dic" totalsRowFunction="custom" dataDxfId="344" totalsRowDxfId="8">
      <totalsRowFormula>+LO7-LP3+LP2</totalsRowFormula>
    </tableColumn>
    <tableColumn id="329" xr3:uid="{CBD1A258-BF6A-4993-8E31-4B20692F459C}" name="25-dic" totalsRowFunction="custom" dataDxfId="343" totalsRowDxfId="7">
      <totalsRowFormula>+LP7-LQ3+LQ2</totalsRowFormula>
    </tableColumn>
    <tableColumn id="330" xr3:uid="{AA8DED6B-267D-484F-B5CA-D05B26BD23E0}" name="26-dic" totalsRowFunction="custom" dataDxfId="342" totalsRowDxfId="6">
      <totalsRowFormula>+LQ7-LR3+LR2</totalsRowFormula>
    </tableColumn>
    <tableColumn id="331" xr3:uid="{876167E9-46B9-4A50-9892-65FA5FE416E7}" name="27-dic" totalsRowFunction="custom" dataDxfId="341" totalsRowDxfId="5">
      <totalsRowFormula>+LR7-LS3+LS2</totalsRowFormula>
    </tableColumn>
    <tableColumn id="332" xr3:uid="{C83718F9-3290-4354-9068-93E4980BF419}" name="28-dic" totalsRowFunction="custom" dataDxfId="340" totalsRowDxfId="4">
      <totalsRowFormula>+LS7-LT3+LT2</totalsRowFormula>
    </tableColumn>
    <tableColumn id="333" xr3:uid="{75BEACEA-C45B-4874-8615-206E640D5EE6}" name="29-dic" totalsRowFunction="custom" dataDxfId="339" totalsRowDxfId="3">
      <totalsRowFormula>+LT7-LU3+LU2</totalsRowFormula>
    </tableColumn>
    <tableColumn id="334" xr3:uid="{29F8AD05-727F-4442-9B22-DF3C4D85370B}" name="30-dic" totalsRowFunction="custom" dataDxfId="338" totalsRowDxfId="2">
      <totalsRowFormula>+LU7-LV3+LV2</totalsRowFormula>
    </tableColumn>
    <tableColumn id="335" xr3:uid="{4BB7F3E1-425F-4B2D-9B91-5EC7B13641CF}" name="31-dic" totalsRowFunction="custom" dataDxfId="337" totalsRowDxfId="1">
      <totalsRowFormula>+LV7-LW3+LW2</totalsRowFormula>
    </tableColumn>
    <tableColumn id="336" xr3:uid="{263BD411-5E48-44C5-8FF0-3DA36BDC10F1}" name="TOTAL" dataDxfId="336" totalsRowDxfId="0">
      <calculatedColumnFormula>SUM(ESCENARIO[[#This Row],[01-mar]:[31-dic]])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711F72-FFA7-4396-B7B1-62AEA536284A}" name="Tabla5" displayName="Tabla5" ref="A1:DQ336" totalsRowCount="1">
  <autoFilter ref="A1:DQ335" xr:uid="{8B711F72-FFA7-4396-B7B1-62AEA536284A}"/>
  <tableColumns count="121">
    <tableColumn id="1" xr3:uid="{B4D8182B-1225-416B-B05C-85FA7D424B36}" name="ESCENARIO 1" dataDxfId="925" totalsRowDxfId="924"/>
    <tableColumn id="2" xr3:uid="{F57B50FA-2695-4602-9838-CBD85E585972}" name="INVERSIONES FCI" dataDxfId="923" totalsRowDxfId="922" dataCellStyle="Moneda">
      <calculatedColumnFormula>HLOOKUP($A2,ESCENARIO[#All],7,FALSE)</calculatedColumnFormula>
    </tableColumn>
    <tableColumn id="14" xr3:uid="{B93E4B7D-E8E9-40AD-9F09-13B50F20B7E2}" name="FCI" totalsRowFunction="custom" dataDxfId="921" totalsRowDxfId="920" dataCellStyle="Moneda">
      <totalsRowFormula>C2</totalsRowFormula>
    </tableColumn>
    <tableColumn id="15" xr3:uid="{13491C7A-9769-46BD-8CDB-DDBAFC958617}" name="FCI1" totalsRowFunction="custom" dataDxfId="919" totalsRowDxfId="918" dataCellStyle="Moneda">
      <totalsRowFormula>D3</totalsRowFormula>
    </tableColumn>
    <tableColumn id="5" xr3:uid="{980F0E2B-57F3-4E7C-9F68-198A5EA92BCE}" name="FCI2" totalsRowFunction="custom" totalsRowDxfId="917" dataCellStyle="Moneda">
      <totalsRowFormula>E4</totalsRowFormula>
    </tableColumn>
    <tableColumn id="6" xr3:uid="{D298A2E4-C7DE-40E5-9B44-E5313FF21903}" name="FCI3" totalsRowDxfId="916" dataCellStyle="Moneda"/>
    <tableColumn id="7" xr3:uid="{150EA74E-D8DA-439E-801B-E2C2A357A8F9}" name="FCI7" totalsRowDxfId="915" dataCellStyle="Moneda"/>
    <tableColumn id="8" xr3:uid="{C4B521DB-6F15-4CBB-A2CB-3DDDAE79AD42}" name="FCI4" totalsRowDxfId="914" dataCellStyle="Moneda"/>
    <tableColumn id="9" xr3:uid="{E3ADBB84-0D7A-4680-AEAE-6C2A3D825DE0}" name="FCI8" totalsRowDxfId="913" dataCellStyle="Moneda"/>
    <tableColumn id="10" xr3:uid="{C5329CBB-75D9-42CF-B1F7-C864A0D5AA61}" name="FCI5" totalsRowDxfId="912" dataCellStyle="Moneda"/>
    <tableColumn id="11" xr3:uid="{0EE99B2D-6C3A-43DE-B004-68E55ECF6CB6}" name="FCI9" totalsRowDxfId="911" dataCellStyle="Moneda"/>
    <tableColumn id="12" xr3:uid="{DBD77E6D-B2C0-4EB5-BC43-CECE29875A84}" name="FCI6" totalsRowDxfId="910" dataCellStyle="Moneda"/>
    <tableColumn id="16" xr3:uid="{E3759568-CFF4-4508-9CFA-FBAC08711A87}" name="FCI62" totalsRowDxfId="909" dataCellStyle="Moneda"/>
    <tableColumn id="17" xr3:uid="{1A572746-D059-418E-93A5-D88FFDC56798}" name="FCI63" totalsRowDxfId="908" dataCellStyle="Moneda"/>
    <tableColumn id="18" xr3:uid="{B680BE8C-C4F1-45A2-9CF7-A6904DBDE56F}" name="FCI64" totalsRowDxfId="907" dataCellStyle="Moneda"/>
    <tableColumn id="19" xr3:uid="{B15D0E8D-0BD5-41F3-BA8E-F6E86AC8F73F}" name="FCI65" totalsRowDxfId="906" dataCellStyle="Moneda"/>
    <tableColumn id="20" xr3:uid="{518A8AAF-F85E-4F57-AA95-E7AF7E589A3B}" name="FCI66" totalsRowDxfId="905" dataCellStyle="Moneda"/>
    <tableColumn id="21" xr3:uid="{224E20D2-4715-4556-8692-8E772E78564C}" name="FCI67" totalsRowDxfId="904" dataCellStyle="Moneda"/>
    <tableColumn id="22" xr3:uid="{2EC2668E-9044-448B-9368-B1547F607DDA}" name="FCI68" totalsRowDxfId="903" dataCellStyle="Moneda"/>
    <tableColumn id="23" xr3:uid="{BEAAA08F-E5E9-4874-984D-E8ECB162F88C}" name="FCI69" totalsRowDxfId="902" dataCellStyle="Moneda"/>
    <tableColumn id="24" xr3:uid="{2B7217E3-7D10-47F5-9BC6-AD2E28B2FE2D}" name="FCI70" totalsRowDxfId="901" dataCellStyle="Moneda"/>
    <tableColumn id="25" xr3:uid="{3F933723-DB79-419B-AB0A-24B5A27C18C3}" name="FCI71" totalsRowDxfId="900" dataCellStyle="Moneda"/>
    <tableColumn id="26" xr3:uid="{2FAA1DBF-5D87-406F-B9CB-6CEA386610B9}" name="FCI72" totalsRowDxfId="899" dataCellStyle="Moneda"/>
    <tableColumn id="27" xr3:uid="{76A8AF01-D5A8-4785-9228-8C3101521575}" name="FCI73" totalsRowDxfId="898" dataCellStyle="Moneda"/>
    <tableColumn id="28" xr3:uid="{FA946BA9-E873-49C7-9CFD-22D2436942FE}" name="FCI74" totalsRowDxfId="897" dataCellStyle="Moneda"/>
    <tableColumn id="29" xr3:uid="{FFB86815-0617-4F32-B3FA-4FBDD1AF932D}" name="FCI75" totalsRowDxfId="896" dataCellStyle="Moneda"/>
    <tableColumn id="30" xr3:uid="{3717258F-4AE3-4F80-A5FF-3CA2E605D503}" name="FCI76" totalsRowDxfId="895" dataCellStyle="Moneda"/>
    <tableColumn id="31" xr3:uid="{CEE02C05-8710-43A2-BC2C-B218CD964CA4}" name="FCI77" totalsRowDxfId="894" dataCellStyle="Moneda"/>
    <tableColumn id="32" xr3:uid="{8276195F-2711-456E-A235-50B42441F867}" name="FCI78" totalsRowDxfId="893" dataCellStyle="Moneda"/>
    <tableColumn id="33" xr3:uid="{34857116-0304-4CD0-A7AA-363AE351383A}" name="FCI79" totalsRowDxfId="892" dataCellStyle="Moneda"/>
    <tableColumn id="34" xr3:uid="{B8221FBF-5C08-485B-A09B-5220EB583EF5}" name="FCI80" totalsRowDxfId="891" dataCellStyle="Moneda"/>
    <tableColumn id="35" xr3:uid="{18FEA0C1-3F76-4C37-9A14-059CB22C647A}" name="FCI81" totalsRowDxfId="890" dataCellStyle="Moneda"/>
    <tableColumn id="36" xr3:uid="{4F273D9C-C474-47A4-8DA4-827A52512489}" name="FCI82" totalsRowDxfId="889" dataCellStyle="Moneda"/>
    <tableColumn id="37" xr3:uid="{B638FA05-73DD-4EAB-8962-8E97FED7A567}" name="FCI83" totalsRowDxfId="888" dataCellStyle="Moneda"/>
    <tableColumn id="38" xr3:uid="{55D9CC5F-D52E-4476-B0F9-0989AAED61C7}" name="FCI84" totalsRowDxfId="887" dataCellStyle="Moneda"/>
    <tableColumn id="39" xr3:uid="{07892688-C509-4AC5-BA9E-2FE339620BEC}" name="FCI85" totalsRowDxfId="886" dataCellStyle="Moneda"/>
    <tableColumn id="40" xr3:uid="{EB198BC0-F513-479F-B5BF-E06F3344CB74}" name="FCI86" totalsRowDxfId="885" dataCellStyle="Moneda"/>
    <tableColumn id="41" xr3:uid="{3CF7549F-C173-4C41-B68A-D503BC540534}" name="FCI87" totalsRowDxfId="884" dataCellStyle="Moneda"/>
    <tableColumn id="42" xr3:uid="{5BB88D05-81A3-4A98-A00E-28F27B0B86F0}" name="FCI88" totalsRowDxfId="883" dataCellStyle="Moneda"/>
    <tableColumn id="43" xr3:uid="{B5D86BC6-E1CF-440C-8D24-D28316298600}" name="FCI89" totalsRowDxfId="882" dataCellStyle="Moneda"/>
    <tableColumn id="44" xr3:uid="{1FD9892C-4BE0-4801-AB09-FC2F6497ECAE}" name="FCI90" totalsRowDxfId="881" dataCellStyle="Moneda"/>
    <tableColumn id="45" xr3:uid="{B727FC63-8AF5-43F8-AD77-9D3AD6F27C84}" name="FCI91" totalsRowDxfId="880" dataCellStyle="Moneda"/>
    <tableColumn id="46" xr3:uid="{FFF743E9-24B6-4E58-89BB-8A8DF682AB99}" name="FCI92" totalsRowDxfId="879" dataCellStyle="Moneda"/>
    <tableColumn id="47" xr3:uid="{B3E495A6-DB95-4D44-88AA-641433E0CE1E}" name="FCI93" totalsRowDxfId="878" dataCellStyle="Moneda"/>
    <tableColumn id="48" xr3:uid="{576B5B0F-0D6A-4A50-9050-902040B2B815}" name="FCI94" totalsRowDxfId="877" dataCellStyle="Moneda"/>
    <tableColumn id="49" xr3:uid="{0D7A3522-559B-468C-8F09-8E577003D1D0}" name="FCI95" totalsRowDxfId="876" dataCellStyle="Moneda"/>
    <tableColumn id="50" xr3:uid="{95FA207E-C5D1-4FAB-94C9-6141123FEDDF}" name="FCI96" totalsRowDxfId="875" dataCellStyle="Moneda"/>
    <tableColumn id="51" xr3:uid="{76035E25-2482-42A0-A3CF-9926A7E3B11A}" name="FCI97" totalsRowDxfId="874" dataCellStyle="Moneda"/>
    <tableColumn id="52" xr3:uid="{39CBBDB9-3797-41CE-92BC-CC53561F9BA5}" name="FCI98" totalsRowDxfId="873" dataCellStyle="Moneda"/>
    <tableColumn id="53" xr3:uid="{3AC3ECB5-18EE-48F5-A55D-EC7184ABE79C}" name="FCI99" totalsRowDxfId="872" dataCellStyle="Moneda"/>
    <tableColumn id="54" xr3:uid="{586C32DF-6B64-45BC-B8BF-D38BBA01E422}" name="FCI100" totalsRowDxfId="871" dataCellStyle="Moneda"/>
    <tableColumn id="55" xr3:uid="{DDDFDBC3-E3CB-4939-B38A-8AD1E8C5D68D}" name="FCI101" totalsRowDxfId="870" dataCellStyle="Moneda"/>
    <tableColumn id="56" xr3:uid="{D506A661-6619-4939-ABB7-6EF596708A3A}" name="FCI102" totalsRowDxfId="869" dataCellStyle="Moneda"/>
    <tableColumn id="57" xr3:uid="{582A3F53-036E-40F2-BB84-BC85B3CD5995}" name="FCI103" totalsRowDxfId="868" dataCellStyle="Moneda"/>
    <tableColumn id="58" xr3:uid="{82906DE6-E6B7-4E89-A57F-3CE4402728EF}" name="FCI104" totalsRowDxfId="867" dataCellStyle="Moneda"/>
    <tableColumn id="59" xr3:uid="{4EC77447-14AE-43BA-AC6B-49823987D484}" name="FCI105" totalsRowDxfId="866" dataCellStyle="Moneda"/>
    <tableColumn id="60" xr3:uid="{4C3A1C36-6EB7-4DFC-82A9-0B2F12CEE3D9}" name="FCI106" totalsRowDxfId="865" dataCellStyle="Moneda"/>
    <tableColumn id="61" xr3:uid="{F4559F12-EDF9-4B1D-B3DF-0A3D84F4EAA7}" name="FCI107" totalsRowDxfId="864" dataCellStyle="Moneda"/>
    <tableColumn id="62" xr3:uid="{39D05D5A-EB38-4DF4-BBCA-EB1BAF7069C9}" name="FCI108" totalsRowDxfId="863" dataCellStyle="Moneda"/>
    <tableColumn id="63" xr3:uid="{33172644-84ED-4F65-BD23-31980D4E7C9F}" name="FCI109" totalsRowDxfId="862" dataCellStyle="Moneda"/>
    <tableColumn id="64" xr3:uid="{F96EE099-D9C8-4512-96DD-FAC68F94A0D1}" name="FCI110" totalsRowDxfId="861" dataCellStyle="Moneda"/>
    <tableColumn id="65" xr3:uid="{A9324A63-D89E-44AA-BEDF-2CC1116DF99F}" name="FCI111" totalsRowDxfId="860" dataCellStyle="Moneda"/>
    <tableColumn id="66" xr3:uid="{DC34E3F0-0EE4-4B7D-A516-7BF9BEEF538B}" name="FCI112" totalsRowDxfId="859" dataCellStyle="Moneda"/>
    <tableColumn id="67" xr3:uid="{BB6B3E86-5079-445B-8213-E659D70CE50C}" name="FCI113" totalsRowDxfId="858" dataCellStyle="Moneda"/>
    <tableColumn id="68" xr3:uid="{82EF1241-BC23-4105-A43C-4F2127BAB860}" name="FCI114" totalsRowDxfId="857" dataCellStyle="Moneda"/>
    <tableColumn id="69" xr3:uid="{951872D7-4AF7-4F7D-B197-C4463D506E23}" name="FCI115" totalsRowDxfId="856" dataCellStyle="Moneda"/>
    <tableColumn id="70" xr3:uid="{FDCDBB51-44BD-4CF2-82BC-9CF4D1A40247}" name="FCI116" totalsRowDxfId="855" dataCellStyle="Moneda"/>
    <tableColumn id="71" xr3:uid="{0E2A63C4-818B-487D-856F-D5CF4EC466D5}" name="FCI117" totalsRowDxfId="854" dataCellStyle="Moneda"/>
    <tableColumn id="72" xr3:uid="{21D732DE-18F3-4CCC-AB64-7E3670EB95FF}" name="FCI118" totalsRowDxfId="853" dataCellStyle="Moneda"/>
    <tableColumn id="73" xr3:uid="{5D9BEB50-9898-450D-8CDC-C4E843666703}" name="FCI119" totalsRowDxfId="852" dataCellStyle="Moneda"/>
    <tableColumn id="74" xr3:uid="{6E58D811-A4E7-4B51-BFC7-CA3711084112}" name="FCI120" totalsRowDxfId="851" dataCellStyle="Moneda"/>
    <tableColumn id="75" xr3:uid="{EA40CA5B-B45A-4E65-BD5A-401333BC3BC0}" name="FCI121" totalsRowDxfId="850" dataCellStyle="Moneda"/>
    <tableColumn id="76" xr3:uid="{F553DDC0-6F12-466B-BE86-098A3CD8B718}" name="FCI122" totalsRowDxfId="849" dataCellStyle="Moneda"/>
    <tableColumn id="77" xr3:uid="{C929009E-0A1F-45BE-9AFF-A390A031817B}" name="FCI123" totalsRowDxfId="848" dataCellStyle="Moneda"/>
    <tableColumn id="78" xr3:uid="{F9DA1D04-CDC9-428D-A19D-4633433F6BE5}" name="FCI124" totalsRowDxfId="847" dataCellStyle="Moneda"/>
    <tableColumn id="79" xr3:uid="{EEA46BE5-E84C-4FF5-94B2-5EBE9C209380}" name="FCI125" totalsRowDxfId="846" dataCellStyle="Moneda"/>
    <tableColumn id="80" xr3:uid="{AEC0ECD7-8396-4462-BF25-175E280E4FFC}" name="FCI126" totalsRowDxfId="845" dataCellStyle="Moneda"/>
    <tableColumn id="81" xr3:uid="{7E742935-46F7-4FEE-BCBE-1B5EE787EB18}" name="FCI127" totalsRowDxfId="844" dataCellStyle="Moneda"/>
    <tableColumn id="82" xr3:uid="{5BE83AE8-3EE0-4CBF-A073-6E3D2B3F547D}" name="FCI128" totalsRowDxfId="843" dataCellStyle="Moneda"/>
    <tableColumn id="83" xr3:uid="{843E83FF-5F7C-480D-BBFA-F52C42B064B4}" name="FCI129" totalsRowDxfId="842" dataCellStyle="Moneda"/>
    <tableColumn id="84" xr3:uid="{D3B730EE-04EF-4233-8566-3822F762471C}" name="FCI130" totalsRowDxfId="841" dataCellStyle="Moneda"/>
    <tableColumn id="85" xr3:uid="{F936D35C-6965-459B-9A43-EC5F4D863050}" name="FCI131" totalsRowDxfId="840" dataCellStyle="Moneda"/>
    <tableColumn id="86" xr3:uid="{84686CB5-1A44-4BD3-89A0-8E0EF565BCDD}" name="FCI132" totalsRowDxfId="839" dataCellStyle="Moneda"/>
    <tableColumn id="87" xr3:uid="{E8C375FB-348D-487E-9549-AB3D20CFB545}" name="FCI133" totalsRowDxfId="838" dataCellStyle="Moneda"/>
    <tableColumn id="88" xr3:uid="{9AE5C305-1531-4BBF-85DD-637C3AA53ADE}" name="FCI134" totalsRowDxfId="837" dataCellStyle="Moneda"/>
    <tableColumn id="89" xr3:uid="{E3FB9643-D0C7-4F20-973E-01B51FC9CE15}" name="FCI135" totalsRowDxfId="836" dataCellStyle="Moneda"/>
    <tableColumn id="90" xr3:uid="{0F42B11D-DC1A-4C07-9B70-48CD3F00DF55}" name="FCI136" totalsRowDxfId="835" dataCellStyle="Moneda"/>
    <tableColumn id="91" xr3:uid="{6000888D-8661-4D6F-8B80-F4D6D61FD2C6}" name="FCI137" totalsRowDxfId="834" dataCellStyle="Moneda"/>
    <tableColumn id="92" xr3:uid="{76B4B5A4-30E0-4711-A193-EDAD08DEB56B}" name="FCI138" totalsRowDxfId="833" dataCellStyle="Moneda"/>
    <tableColumn id="93" xr3:uid="{899C54B8-9FC5-4110-8E8C-C9DD642A6704}" name="FCI139" totalsRowDxfId="832" dataCellStyle="Moneda"/>
    <tableColumn id="94" xr3:uid="{45D883E7-0088-4678-B273-7602AAC0A3C8}" name="FCI140" totalsRowDxfId="831" dataCellStyle="Moneda"/>
    <tableColumn id="95" xr3:uid="{676B7F8C-ADE6-4521-BB26-3C53737CA2F1}" name="FCI141" totalsRowDxfId="830" dataCellStyle="Moneda"/>
    <tableColumn id="96" xr3:uid="{BFD32E67-8B70-4A02-9327-7174CA492E2F}" name="FCI142" totalsRowDxfId="829" dataCellStyle="Moneda"/>
    <tableColumn id="97" xr3:uid="{0C2EE700-4674-492F-8EE6-FF6E5E769F3A}" name="FCI143" totalsRowDxfId="828" dataCellStyle="Moneda"/>
    <tableColumn id="98" xr3:uid="{6BE41BA3-F72C-4194-8A15-49D9AD1440CB}" name="FCI144" totalsRowDxfId="827" dataCellStyle="Moneda"/>
    <tableColumn id="99" xr3:uid="{EABB9DF1-8877-41E5-A737-616CA48B0AC2}" name="FCI145" totalsRowDxfId="826" dataCellStyle="Moneda"/>
    <tableColumn id="100" xr3:uid="{FA691E78-07B6-41C9-9EFF-E5949BC251A6}" name="FCI146" totalsRowDxfId="825" dataCellStyle="Moneda"/>
    <tableColumn id="101" xr3:uid="{B5947E5C-FFD8-45BA-B486-FB1A47B73488}" name="FCI147" totalsRowDxfId="824" dataCellStyle="Moneda"/>
    <tableColumn id="102" xr3:uid="{3654C82D-EAE5-47CE-A763-A55E8BBD4270}" name="FCI148" totalsRowDxfId="823" dataCellStyle="Moneda"/>
    <tableColumn id="103" xr3:uid="{3A689C0D-1126-4FA7-B915-8BE8E67C5737}" name="FCI149" totalsRowDxfId="822" dataCellStyle="Moneda"/>
    <tableColumn id="104" xr3:uid="{2CF212BA-E9DB-4A96-819C-3BFFB1FC3AA4}" name="FCI150" totalsRowDxfId="821" dataCellStyle="Moneda"/>
    <tableColumn id="105" xr3:uid="{EB0064A9-C975-4DC6-9560-EA100018D70E}" name="FCI151" totalsRowDxfId="820" dataCellStyle="Moneda"/>
    <tableColumn id="106" xr3:uid="{A06D0A35-C3B8-4A1A-AD5A-3634927360E0}" name="FCI152" totalsRowDxfId="819" dataCellStyle="Moneda"/>
    <tableColumn id="107" xr3:uid="{A5FD8384-21E3-4C8B-9FA3-D50377D54970}" name="FCI153" totalsRowDxfId="818" dataCellStyle="Moneda"/>
    <tableColumn id="108" xr3:uid="{EDC68371-0B12-452C-8467-8D554517958D}" name="FCI154" totalsRowDxfId="817" dataCellStyle="Moneda"/>
    <tableColumn id="109" xr3:uid="{45F090E1-6C7D-4FEF-9E38-21393BBB5817}" name="FCI155" totalsRowDxfId="816" dataCellStyle="Moneda"/>
    <tableColumn id="110" xr3:uid="{3087E073-6CE1-4483-8F16-80CCAD53A24C}" name="FCI156" totalsRowDxfId="815" dataCellStyle="Moneda"/>
    <tableColumn id="111" xr3:uid="{D97B15EB-B107-44F7-8A65-16AFCC756D44}" name="FCI157" totalsRowDxfId="814" dataCellStyle="Moneda"/>
    <tableColumn id="112" xr3:uid="{DB30861E-C73E-4EF4-AB37-7FD1E5F2BDDC}" name="FCI158" totalsRowDxfId="813" dataCellStyle="Moneda"/>
    <tableColumn id="113" xr3:uid="{EEBA651F-FB79-4DF6-9B52-33D2CFCE79D7}" name="FCI159" totalsRowDxfId="812" dataCellStyle="Moneda"/>
    <tableColumn id="114" xr3:uid="{432AE7EB-D311-4D53-BA97-5147EC666DE1}" name="FCI160" totalsRowDxfId="811" dataCellStyle="Moneda"/>
    <tableColumn id="115" xr3:uid="{36CA157F-F8BC-4986-A4C2-03501D3E3BA1}" name="FCI161" totalsRowDxfId="810" dataCellStyle="Moneda"/>
    <tableColumn id="116" xr3:uid="{BDA5362B-DDA8-4DC1-9AAE-9D8E65B907F4}" name="FCI162" totalsRowDxfId="809" dataCellStyle="Moneda"/>
    <tableColumn id="117" xr3:uid="{E145284C-15DB-451A-B481-1DC751ECED75}" name="FCI163" totalsRowDxfId="808" dataCellStyle="Moneda"/>
    <tableColumn id="118" xr3:uid="{D1F2EA9F-CA47-49D7-A1D4-357E3F6A1BBD}" name="FCI164" totalsRowDxfId="807" dataCellStyle="Moneda"/>
    <tableColumn id="119" xr3:uid="{ADC68C23-8C48-4B83-9593-7ECB12291236}" name="FCI165" totalsRowDxfId="806" dataCellStyle="Moneda"/>
    <tableColumn id="120" xr3:uid="{5A5914FF-3666-49B9-A667-48903FD6FB41}" name="FCI166" totalsRowDxfId="805" dataCellStyle="Moneda"/>
    <tableColumn id="121" xr3:uid="{99F5E0C7-7ECA-42FA-9861-65CAAA9D464B}" name="FCI167" totalsRowDxfId="804" dataCellStyle="Moneda"/>
    <tableColumn id="122" xr3:uid="{A360C480-2AA8-400F-8308-CA9EDE463291}" name="FCI168" totalsRowDxfId="803" dataCellStyle="Moneda"/>
    <tableColumn id="123" xr3:uid="{1F3115CB-2551-4695-A621-8BD1652DDFF9}" name="FCI169" totalsRowDxfId="802" dataCellStyle="Moneda"/>
    <tableColumn id="124" xr3:uid="{992843CE-1F8D-432F-A796-1945D0F2DDEC}" name="FCI170" totalsRowDxfId="801" dataCellStyle="Mon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73B2F-C62E-4783-B1DC-DC7C51C6DCFC}" name="Tabla1" displayName="Tabla1" ref="A1:AD1843" totalsRowCount="1" headerRowDxfId="800" dataDxfId="799">
  <autoFilter ref="A1:AD1842" xr:uid="{E8473B2F-C62E-4783-B1DC-DC7C51C6DCFC}"/>
  <tableColumns count="30">
    <tableColumn id="1" xr3:uid="{99565496-924B-466C-8588-434CAF44B94C}" name="ID" totalsRowLabel="Total" dataDxfId="798" totalsRowDxfId="797"/>
    <tableColumn id="2" xr3:uid="{39666D5E-D90D-4562-B99F-E676105C52AB}" name="Cod. Financiero" dataDxfId="796" totalsRowDxfId="795"/>
    <tableColumn id="3" xr3:uid="{44D3FE9B-5F0D-46CC-85A5-A9304DAAF8FA}" name="Nueva Clasificación" dataDxfId="794" totalsRowDxfId="793"/>
    <tableColumn id="4" xr3:uid="{74F2723E-0ED7-4767-94BB-ED8DABE11486}" name="Clasif. Cash" dataDxfId="792" totalsRowDxfId="791"/>
    <tableColumn id="5" xr3:uid="{11B9E2C9-A000-474F-BF8D-53DAD3079841}" name="Proveedor" dataDxfId="790" totalsRowDxfId="789"/>
    <tableColumn id="30" xr3:uid="{F7A7B004-F534-4488-8C7C-1231D8B93CDC}" name="PAGO DIA" dataDxfId="788" totalsRowDxfId="787"/>
    <tableColumn id="6" xr3:uid="{0E65CBFB-104A-4194-B585-BAFE36E7E82A}" name="OC" dataDxfId="786" totalsRowDxfId="785"/>
    <tableColumn id="7" xr3:uid="{C97BC460-DFDB-449E-9154-9B212F01ABCA}" name="Feb 2026" totalsRowFunction="sum" dataDxfId="784" totalsRowDxfId="783"/>
    <tableColumn id="8" xr3:uid="{99A1D5B3-D36F-4FD9-B1E3-A52C16B9A19B}" name="ESCENARIO 1" dataDxfId="782" totalsRowDxfId="781">
      <calculatedColumnFormula>VLOOKUP(Tabla1[[#This Row],[PAGO DIA]],DIAS!A:B,2,0)</calculatedColumnFormula>
    </tableColumn>
    <tableColumn id="10" xr3:uid="{F342AD6A-B5DF-4A90-9F53-610233D3C061}" name="Mar 2026" totalsRowFunction="sum" dataDxfId="780" totalsRowDxfId="779"/>
    <tableColumn id="11" xr3:uid="{A3B5A6AC-8477-4668-BA6A-991CCE8A831A}" name="ESCENARIO 12" dataDxfId="778" totalsRowDxfId="777">
      <calculatedColumnFormula>VLOOKUP(Tabla1[[#This Row],[PAGO DIA]],DIAS!A:C,3,0)</calculatedColumnFormula>
    </tableColumn>
    <tableColumn id="12" xr3:uid="{C4467775-10C6-476B-AF09-32D0325C36E9}" name="Abr 2026" totalsRowFunction="sum" dataDxfId="776" totalsRowDxfId="775"/>
    <tableColumn id="13" xr3:uid="{A5E97386-BFB1-4F79-A220-6ADAFC3E8FBA}" name="ESCENARIO 13" dataDxfId="774" totalsRowDxfId="773">
      <calculatedColumnFormula>VLOOKUP(Tabla1[[#This Row],[PAGO DIA]],DIAS!A:D,4,0)</calculatedColumnFormula>
    </tableColumn>
    <tableColumn id="14" xr3:uid="{701DEB5C-0B06-478A-B5CD-71EECB002C9C}" name="May 2026" totalsRowFunction="sum" dataDxfId="772" totalsRowDxfId="771"/>
    <tableColumn id="15" xr3:uid="{A0794985-B239-49E3-AA71-9370FE144FE1}" name="ESCENARIO 14" dataDxfId="770" totalsRowDxfId="769">
      <calculatedColumnFormula>VLOOKUP(Tabla1[[#This Row],[PAGO DIA]],DIAS!A:E,5,0)</calculatedColumnFormula>
    </tableColumn>
    <tableColumn id="16" xr3:uid="{F368D9CA-66C3-4D36-A715-B542EB2E7450}" name="Jun 2026" totalsRowFunction="sum" dataDxfId="768" totalsRowDxfId="767"/>
    <tableColumn id="17" xr3:uid="{FB705F86-9B63-418B-818B-98E695F3830D}" name="ESCENARIO 15" dataDxfId="766" totalsRowDxfId="765">
      <calculatedColumnFormula>VLOOKUP(Tabla1[[#This Row],[PAGO DIA]],DIAS!A:F,6,0)</calculatedColumnFormula>
    </tableColumn>
    <tableColumn id="18" xr3:uid="{3A4BC7A2-A7F0-4C43-9253-4D1A3A35E5DA}" name="Jul 2026" totalsRowFunction="sum" dataDxfId="764" totalsRowDxfId="763"/>
    <tableColumn id="19" xr3:uid="{DBD4A15B-712B-498B-8255-2C6AD4576B54}" name="ESCENARIO 16" dataDxfId="762" totalsRowDxfId="761">
      <calculatedColumnFormula>VLOOKUP(Tabla1[[#This Row],[PAGO DIA]],DIAS!A:G,7,0)</calculatedColumnFormula>
    </tableColumn>
    <tableColumn id="20" xr3:uid="{80439377-F401-4E81-81BD-A7663B9DDE84}" name="Ago 2026" totalsRowFunction="sum" dataDxfId="760" totalsRowDxfId="759"/>
    <tableColumn id="21" xr3:uid="{2418C3CA-0A0F-453E-8F18-97F2474FB27A}" name="ESCENARIO 17" dataDxfId="758" totalsRowDxfId="757">
      <calculatedColumnFormula>VLOOKUP(Tabla1[[#This Row],[PAGO DIA]],DIAS!A:H,8,0)</calculatedColumnFormula>
    </tableColumn>
    <tableColumn id="22" xr3:uid="{62266799-8CA3-4D02-A10E-A7DD1266086D}" name="Sep 2026" totalsRowFunction="sum" dataDxfId="756" totalsRowDxfId="755"/>
    <tableColumn id="23" xr3:uid="{80028186-347A-4F22-9CF0-F65430F6EA51}" name="ESCENARIO 18" dataDxfId="754" totalsRowDxfId="753">
      <calculatedColumnFormula>VLOOKUP(Tabla1[[#This Row],[PAGO DIA]],DIAS!A:I,9,0)</calculatedColumnFormula>
    </tableColumn>
    <tableColumn id="24" xr3:uid="{843985EA-7D1F-4F88-8D43-A3592ED5A0F4}" name="Oct 2026" totalsRowFunction="sum" dataDxfId="752" totalsRowDxfId="751"/>
    <tableColumn id="25" xr3:uid="{9397842E-62A6-44DF-8662-E56945574E39}" name="ESCENARIO 19" dataDxfId="750" totalsRowDxfId="749">
      <calculatedColumnFormula>VLOOKUP(Tabla1[[#This Row],[PAGO DIA]],DIAS!A:J,10,0)</calculatedColumnFormula>
    </tableColumn>
    <tableColumn id="26" xr3:uid="{975EE634-E2B6-4880-B3D8-8C53E63C641A}" name="Nov 2026" totalsRowFunction="sum" dataDxfId="748" totalsRowDxfId="747"/>
    <tableColumn id="27" xr3:uid="{720F4714-8189-4083-9C76-8AFFD3518720}" name="ESCENARIO 110" dataDxfId="746" totalsRowDxfId="745">
      <calculatedColumnFormula>VLOOKUP(Tabla1[[#This Row],[PAGO DIA]],DIAS!A:K,11,0)</calculatedColumnFormula>
    </tableColumn>
    <tableColumn id="28" xr3:uid="{C37B15DF-07D4-4843-AD14-B18994288EC3}" name="Dic 2026" totalsRowFunction="sum" dataDxfId="744" totalsRowDxfId="743"/>
    <tableColumn id="29" xr3:uid="{AF207B5D-B3AB-4C9E-99BF-3C74C9A91276}" name="ESCENARIO 111" dataDxfId="742" totalsRowDxfId="741">
      <calculatedColumnFormula>VLOOKUP(Tabla1[[#This Row],[PAGO DIA]],DIAS!A:M,12,0)</calculatedColumnFormula>
    </tableColumn>
    <tableColumn id="9" xr3:uid="{96FEC51D-E58A-4AD6-86D4-7E984FF16222}" name="ESCENARIO 112" totalsRowFunction="custom" dataDxfId="740" totalsRowDxfId="739">
      <calculatedColumnFormula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calculatedColumnFormula>
      <totalsRowFormula>SUM(Tabla1[[#Totals],[Feb 2026]:[ESCENARIO 111]])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A71A7F-DD32-4BD9-B665-1C851BEE3FA6}" name="Tabla3" displayName="Tabla3" ref="A1:M22" totalsRowShown="0" headerRowDxfId="738" dataDxfId="737">
  <autoFilter ref="A1:M22" xr:uid="{D7A71A7F-DD32-4BD9-B665-1C851BEE3FA6}"/>
  <sortState xmlns:xlrd2="http://schemas.microsoft.com/office/spreadsheetml/2017/richdata2" ref="A2:M22">
    <sortCondition ref="A1:A22"/>
  </sortState>
  <tableColumns count="13">
    <tableColumn id="1" xr3:uid="{AB1246F5-7303-4E09-BF8F-010D614002A4}" name="ETIQUETA" dataDxfId="736"/>
    <tableColumn id="2" xr3:uid="{0D847DEB-DDF8-40D7-9848-E1957D37DB3E}" name="FEBRERO" dataDxfId="735"/>
    <tableColumn id="3" xr3:uid="{A2A05175-F1D7-4BD7-B69A-AAFBB45AD905}" name="MARZO" dataDxfId="734"/>
    <tableColumn id="4" xr3:uid="{E6E8F4E3-496A-43AC-A74A-CBCAD93A22F8}" name="ABRIL" dataDxfId="733"/>
    <tableColumn id="5" xr3:uid="{AF1FC6A3-8B74-4B2B-90FB-DB57672CCAF4}" name="MAYO" dataDxfId="732"/>
    <tableColumn id="6" xr3:uid="{58280564-506D-402C-9445-364DF2ED5F8C}" name="JUNIO" dataDxfId="731"/>
    <tableColumn id="7" xr3:uid="{74C3C88F-0EED-459C-8478-76AB33403CF7}" name="JULIO" dataDxfId="730"/>
    <tableColumn id="8" xr3:uid="{A1AA3B35-3815-46E6-8987-6CAD72ED4FC0}" name="AGOSTO" dataDxfId="729"/>
    <tableColumn id="9" xr3:uid="{FC184F1E-5E4B-4D2E-8526-461EB32BE730}" name="SEPTIEMBRE" dataDxfId="728"/>
    <tableColumn id="10" xr3:uid="{3AFEDE27-43E4-450A-9F63-7D53E1E69F52}" name="OCTUBRE" dataDxfId="727"/>
    <tableColumn id="11" xr3:uid="{806A6A7E-3BDA-4ED7-8490-63805BD31ED4}" name="NOVIEMBRE" dataDxfId="726"/>
    <tableColumn id="12" xr3:uid="{98636CDB-C987-4C37-A2F7-EF9F65641419}" name="DICIEMBRE" dataDxfId="725"/>
    <tableColumn id="13" xr3:uid="{825BC3EA-1C57-48D9-855F-A86F38B459D3}" name="ENERO" dataDxfId="724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E565F0-87A2-447E-A296-213C3540C0A4}" name="Tabla6" displayName="Tabla6" ref="A2:Y26" totalsRowCount="1" headerRowDxfId="723" dataDxfId="722">
  <autoFilter ref="A2:Y25" xr:uid="{F82AF08F-EF66-4E59-8813-EAA0195EF156}"/>
  <tableColumns count="25">
    <tableColumn id="1" xr3:uid="{763CBC5F-C119-4833-AA9B-DBC0E511AB9E}" name="DIA HABIAL" totalsRowLabel="Total" dataDxfId="721" totalsRowDxfId="720"/>
    <tableColumn id="4" xr3:uid="{4629DEF8-2DBA-4AE7-91AD-444AF09EF4C4}" name="%%" totalsRowFunction="sum" dataDxfId="719" totalsRowDxfId="718"/>
    <tableColumn id="17" xr3:uid="{FC6F6451-DC14-4B61-A2A2-D391CD3E6B6F}" name="FEBRERO-DIA" dataDxfId="717" totalsRowDxfId="716"/>
    <tableColumn id="5" xr3:uid="{CA63D133-7C5B-4F3F-84AA-A3CD9D54D7E0}" name="FEBRERO2" totalsRowFunction="sum" dataDxfId="715" totalsRowDxfId="714">
      <calculatedColumnFormula>+$D$1*Tabla6[[#This Row],[%%]]</calculatedColumnFormula>
    </tableColumn>
    <tableColumn id="16" xr3:uid="{DB1448F5-02E9-481D-A645-5BA39FB22B22}" name="MARZO - DIA" totalsRowFunction="custom" dataDxfId="713" totalsRowDxfId="712">
      <totalsRowFormula>+Tabla6[[#Totals],[FEBRERO2]]-D1</totalsRowFormula>
    </tableColumn>
    <tableColumn id="2" xr3:uid="{89A17AD0-A9CC-4FF3-A534-2EAC41055396}" name="MARZO" totalsRowFunction="sum" dataDxfId="711" totalsRowDxfId="710">
      <calculatedColumnFormula>+$F$1*Tabla6[[#This Row],[%%]]</calculatedColumnFormula>
    </tableColumn>
    <tableColumn id="3" xr3:uid="{EC7DEA5B-5D4F-4C59-8904-0C8E61EA7AFD}" name="ABRIL-DIA" totalsRowFunction="custom" dataDxfId="709" totalsRowDxfId="708">
      <totalsRowFormula>+Tabla6[[#Totals],[MARZO]]-F1</totalsRowFormula>
    </tableColumn>
    <tableColumn id="6" xr3:uid="{E31DE80B-51EA-4F67-A155-41E1194D65AC}" name="ABRIL" totalsRowFunction="sum" dataDxfId="707" totalsRowDxfId="706">
      <calculatedColumnFormula>+$H$1*Tabla6[[#This Row],[%%]]</calculatedColumnFormula>
    </tableColumn>
    <tableColumn id="15" xr3:uid="{0E384B78-666F-493D-AD0A-2501AE6F377D}" name="MAYO-DIA" totalsRowFunction="custom" dataDxfId="705" totalsRowDxfId="704">
      <totalsRowFormula>+Tabla6[[#Totals],[ABRIL]]-H1</totalsRowFormula>
    </tableColumn>
    <tableColumn id="7" xr3:uid="{60727D9D-3FA9-452A-981D-ECAF06F9C5CC}" name="MAYO" totalsRowFunction="sum" dataDxfId="703" totalsRowDxfId="702">
      <calculatedColumnFormula>+$J$1*B4</calculatedColumnFormula>
    </tableColumn>
    <tableColumn id="18" xr3:uid="{D2D5E477-6077-4612-9344-E8A15B8063CA}" name="JUNIO-DIA" totalsRowFunction="custom" dataDxfId="701" totalsRowDxfId="700">
      <totalsRowFormula>+Tabla6[[#Totals],[MAYO]]-J1</totalsRowFormula>
    </tableColumn>
    <tableColumn id="8" xr3:uid="{E4F558C2-9A2C-4E73-9B10-C72E11EA216D}" name="JUNIO" totalsRowFunction="sum" dataDxfId="699" totalsRowDxfId="698">
      <calculatedColumnFormula>+$L$1*B2</calculatedColumnFormula>
    </tableColumn>
    <tableColumn id="19" xr3:uid="{6718348A-FFBA-4ECC-B3A0-E8FF262D9BF6}" name="JULIO-DIA" totalsRowFunction="custom" dataDxfId="697" totalsRowDxfId="696" dataCellStyle="Moneda">
      <totalsRowFormula>+L1-Tabla6[[#Totals],[JUNIO]]</totalsRowFormula>
    </tableColumn>
    <tableColumn id="9" xr3:uid="{84684D5C-7995-4DBF-9970-2E66D32C588C}" name="JULIO" totalsRowFunction="sum" dataDxfId="695" totalsRowDxfId="694">
      <calculatedColumnFormula>+$N$1*Tabla6[[#This Row],[%%]]</calculatedColumnFormula>
    </tableColumn>
    <tableColumn id="20" xr3:uid="{76A5805E-9180-4226-AA80-874EE392FB12}" name="AGOSTO-DIA" totalsRowFunction="custom" dataDxfId="693" totalsRowDxfId="692">
      <totalsRowFormula>+Tabla6[[#Totals],[JULIO]]-N1</totalsRowFormula>
    </tableColumn>
    <tableColumn id="10" xr3:uid="{A5246A38-09BA-460C-B529-2B57300CAE42}" name="AGOSTO" totalsRowFunction="sum" dataDxfId="691" totalsRowDxfId="690">
      <calculatedColumnFormula>+$P$1*B4</calculatedColumnFormula>
    </tableColumn>
    <tableColumn id="21" xr3:uid="{D2805F71-6472-4D6B-A456-FB4E227094AB}" name="SEPTIEMBRE-DIA" totalsRowFunction="custom" dataDxfId="689" totalsRowDxfId="688">
      <totalsRowFormula>+Tabla6[[#Totals],[AGOSTO]]-P1</totalsRowFormula>
    </tableColumn>
    <tableColumn id="11" xr3:uid="{37D7FC6E-3486-441C-8FFF-FE13CB168A02}" name="SEPTIEMBRE" totalsRowFunction="sum" dataDxfId="687" totalsRowDxfId="686">
      <calculatedColumnFormula>+$R$1*B2</calculatedColumnFormula>
    </tableColumn>
    <tableColumn id="23" xr3:uid="{BB6342EF-0A61-46D3-B469-547F9D4811F9}" name="OCTUBRE-DIA" totalsRowFunction="custom" dataDxfId="685" totalsRowDxfId="684">
      <totalsRowFormula>+Tabla6[[#Totals],[SEPTIEMBRE]]-R1</totalsRowFormula>
    </tableColumn>
    <tableColumn id="12" xr3:uid="{03CF3EBE-E75F-40D2-98DE-843008DC8537}" name="OCTUBRE" totalsRowFunction="sum" dataDxfId="683" totalsRowDxfId="682">
      <calculatedColumnFormula>+$T$1*Tabla6[[#This Row],[%%]]</calculatedColumnFormula>
    </tableColumn>
    <tableColumn id="24" xr3:uid="{92E51C69-2938-4455-BADB-02BF6DF0DE9F}" name="NOVIEMBRE-DIA" totalsRowFunction="custom" dataDxfId="681" totalsRowDxfId="680">
      <totalsRowFormula>+Tabla6[[#Totals],[OCTUBRE]]-T1</totalsRowFormula>
    </tableColumn>
    <tableColumn id="13" xr3:uid="{BDAC3808-35A6-419D-A66E-489240EDB3CC}" name="NOVIEMBRE" totalsRowFunction="sum" dataDxfId="679" totalsRowDxfId="678">
      <calculatedColumnFormula>+$V$1*Tabla6[[#This Row],[%%]]</calculatedColumnFormula>
    </tableColumn>
    <tableColumn id="25" xr3:uid="{E964B423-0645-4974-A55A-7DB3CAB09A20}" name="DICIEMBRE-DIA" totalsRowFunction="custom" dataDxfId="677" totalsRowDxfId="676">
      <totalsRowFormula>+V1-Tabla6[[#Totals],[NOVIEMBRE]]</totalsRowFormula>
    </tableColumn>
    <tableColumn id="14" xr3:uid="{0835415C-34BE-4329-AE79-9FA23243441B}" name="DICIEMBRE" totalsRowFunction="sum" dataDxfId="675" totalsRowDxfId="674">
      <calculatedColumnFormula>+$X$1*Tabla6[[#This Row],[%%]]</calculatedColumnFormula>
    </tableColumn>
    <tableColumn id="22" xr3:uid="{FB1F246E-31F9-447E-B6FB-D78F429CF9A2}" name="ENERO" totalsRowFunction="custom" dataDxfId="673" totalsRowDxfId="672">
      <totalsRowFormula>SUM(Tabla6[[#Totals],[FEBRERO2]:[DICIEMBRE]])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C2C2-CD62-4EA6-8B3D-A3648D26176B}">
  <dimension ref="A1:LX17"/>
  <sheetViews>
    <sheetView showGridLines="0" tabSelected="1" workbookViewId="0">
      <pane xSplit="1" topLeftCell="LR1" activePane="topRight" state="frozen"/>
      <selection pane="topRight" activeCell="LU16" sqref="LU16"/>
    </sheetView>
  </sheetViews>
  <sheetFormatPr baseColWidth="10" defaultColWidth="11.3984375" defaultRowHeight="14.4"/>
  <cols>
    <col min="1" max="1" width="37.69921875" style="11" bestFit="1" customWidth="1"/>
    <col min="2" max="11" width="17.8984375" style="11" bestFit="1" customWidth="1"/>
    <col min="12" max="28" width="18.8984375" style="11" bestFit="1" customWidth="1"/>
    <col min="29" max="38" width="17.8984375" style="11" bestFit="1" customWidth="1"/>
    <col min="39" max="60" width="18.8984375" style="11" bestFit="1" customWidth="1"/>
    <col min="61" max="68" width="17.8984375" style="11" bestFit="1" customWidth="1"/>
    <col min="69" max="199" width="18.8984375" style="11" bestFit="1" customWidth="1"/>
    <col min="200" max="212" width="19.8984375" style="11" bestFit="1" customWidth="1"/>
    <col min="213" max="213" width="18.8984375" style="11" bestFit="1" customWidth="1"/>
    <col min="214" max="335" width="19.8984375" style="11" bestFit="1" customWidth="1"/>
    <col min="336" max="336" width="22.59765625" style="11" bestFit="1" customWidth="1"/>
    <col min="337" max="16384" width="11.3984375" style="11"/>
  </cols>
  <sheetData>
    <row r="1" spans="1:336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12" t="s">
        <v>105</v>
      </c>
      <c r="DC1" s="12" t="s">
        <v>106</v>
      </c>
      <c r="DD1" s="12" t="s">
        <v>107</v>
      </c>
      <c r="DE1" s="12" t="s">
        <v>108</v>
      </c>
      <c r="DF1" s="12" t="s">
        <v>109</v>
      </c>
      <c r="DG1" s="12" t="s">
        <v>110</v>
      </c>
      <c r="DH1" s="12" t="s">
        <v>111</v>
      </c>
      <c r="DI1" s="12" t="s">
        <v>112</v>
      </c>
      <c r="DJ1" s="12" t="s">
        <v>113</v>
      </c>
      <c r="DK1" s="12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2" t="s">
        <v>123</v>
      </c>
      <c r="DU1" s="12" t="s">
        <v>124</v>
      </c>
      <c r="DV1" s="12" t="s">
        <v>125</v>
      </c>
      <c r="DW1" s="12" t="s">
        <v>126</v>
      </c>
      <c r="DX1" s="12" t="s">
        <v>127</v>
      </c>
      <c r="DY1" s="12" t="s">
        <v>128</v>
      </c>
      <c r="DZ1" s="12" t="s">
        <v>129</v>
      </c>
      <c r="EA1" s="12" t="s">
        <v>130</v>
      </c>
      <c r="EB1" s="12" t="s">
        <v>131</v>
      </c>
      <c r="EC1" s="12" t="s">
        <v>132</v>
      </c>
      <c r="ED1" s="12" t="s">
        <v>133</v>
      </c>
      <c r="EE1" s="12" t="s">
        <v>134</v>
      </c>
      <c r="EF1" s="12" t="s">
        <v>135</v>
      </c>
      <c r="EG1" s="12" t="s">
        <v>136</v>
      </c>
      <c r="EH1" s="12" t="s">
        <v>137</v>
      </c>
      <c r="EI1" s="12" t="s">
        <v>138</v>
      </c>
      <c r="EJ1" s="12" t="s">
        <v>139</v>
      </c>
      <c r="EK1" s="12" t="s">
        <v>140</v>
      </c>
      <c r="EL1" s="12" t="s">
        <v>141</v>
      </c>
      <c r="EM1" s="12" t="s">
        <v>142</v>
      </c>
      <c r="EN1" s="12" t="s">
        <v>143</v>
      </c>
      <c r="EO1" s="12" t="s">
        <v>144</v>
      </c>
      <c r="EP1" s="12" t="s">
        <v>145</v>
      </c>
      <c r="EQ1" s="12" t="s">
        <v>146</v>
      </c>
      <c r="ER1" s="12" t="s">
        <v>147</v>
      </c>
      <c r="ES1" s="12" t="s">
        <v>148</v>
      </c>
      <c r="ET1" s="12" t="s">
        <v>149</v>
      </c>
      <c r="EU1" s="12" t="s">
        <v>150</v>
      </c>
      <c r="EV1" s="12" t="s">
        <v>151</v>
      </c>
      <c r="EW1" s="12" t="s">
        <v>152</v>
      </c>
      <c r="EX1" s="12" t="s">
        <v>153</v>
      </c>
      <c r="EY1" s="12" t="s">
        <v>154</v>
      </c>
      <c r="EZ1" s="12" t="s">
        <v>155</v>
      </c>
      <c r="FA1" s="12" t="s">
        <v>156</v>
      </c>
      <c r="FB1" s="12" t="s">
        <v>157</v>
      </c>
      <c r="FC1" s="12" t="s">
        <v>158</v>
      </c>
      <c r="FD1" s="12" t="s">
        <v>159</v>
      </c>
      <c r="FE1" s="12" t="s">
        <v>160</v>
      </c>
      <c r="FF1" s="12" t="s">
        <v>161</v>
      </c>
      <c r="FG1" s="12" t="s">
        <v>162</v>
      </c>
      <c r="FH1" s="12" t="s">
        <v>163</v>
      </c>
      <c r="FI1" s="12" t="s">
        <v>164</v>
      </c>
      <c r="FJ1" s="12" t="s">
        <v>165</v>
      </c>
      <c r="FK1" s="12" t="s">
        <v>166</v>
      </c>
      <c r="FL1" s="12" t="s">
        <v>167</v>
      </c>
      <c r="FM1" s="12" t="s">
        <v>168</v>
      </c>
      <c r="FN1" s="12" t="s">
        <v>169</v>
      </c>
      <c r="FO1" s="12" t="s">
        <v>170</v>
      </c>
      <c r="FP1" s="12" t="s">
        <v>171</v>
      </c>
      <c r="FQ1" s="12" t="s">
        <v>172</v>
      </c>
      <c r="FR1" s="12" t="s">
        <v>173</v>
      </c>
      <c r="FS1" s="12" t="s">
        <v>174</v>
      </c>
      <c r="FT1" s="12" t="s">
        <v>175</v>
      </c>
      <c r="FU1" s="12" t="s">
        <v>176</v>
      </c>
      <c r="FV1" s="12" t="s">
        <v>177</v>
      </c>
      <c r="FW1" s="12" t="s">
        <v>178</v>
      </c>
      <c r="FX1" s="12" t="s">
        <v>179</v>
      </c>
      <c r="FY1" s="12" t="s">
        <v>180</v>
      </c>
      <c r="FZ1" s="12" t="s">
        <v>181</v>
      </c>
      <c r="GA1" s="12" t="s">
        <v>182</v>
      </c>
      <c r="GB1" s="12" t="s">
        <v>183</v>
      </c>
      <c r="GC1" s="12" t="s">
        <v>184</v>
      </c>
      <c r="GD1" s="12" t="s">
        <v>185</v>
      </c>
      <c r="GE1" s="12" t="s">
        <v>186</v>
      </c>
      <c r="GF1" s="12" t="s">
        <v>187</v>
      </c>
      <c r="GG1" s="12" t="s">
        <v>188</v>
      </c>
      <c r="GH1" s="12" t="s">
        <v>189</v>
      </c>
      <c r="GI1" s="12" t="s">
        <v>190</v>
      </c>
      <c r="GJ1" s="12" t="s">
        <v>191</v>
      </c>
      <c r="GK1" s="12" t="s">
        <v>192</v>
      </c>
      <c r="GL1" s="12" t="s">
        <v>193</v>
      </c>
      <c r="GM1" s="12" t="s">
        <v>194</v>
      </c>
      <c r="GN1" s="12" t="s">
        <v>195</v>
      </c>
      <c r="GO1" s="12" t="s">
        <v>196</v>
      </c>
      <c r="GP1" s="12" t="s">
        <v>197</v>
      </c>
      <c r="GQ1" s="12" t="s">
        <v>198</v>
      </c>
      <c r="GR1" s="12" t="s">
        <v>199</v>
      </c>
      <c r="GS1" s="12" t="s">
        <v>200</v>
      </c>
      <c r="GT1" s="12" t="s">
        <v>201</v>
      </c>
      <c r="GU1" s="12" t="s">
        <v>202</v>
      </c>
      <c r="GV1" s="12" t="s">
        <v>203</v>
      </c>
      <c r="GW1" s="12" t="s">
        <v>204</v>
      </c>
      <c r="GX1" s="12" t="s">
        <v>205</v>
      </c>
      <c r="GY1" s="12" t="s">
        <v>206</v>
      </c>
      <c r="GZ1" s="12" t="s">
        <v>207</v>
      </c>
      <c r="HA1" s="12" t="s">
        <v>208</v>
      </c>
      <c r="HB1" s="12" t="s">
        <v>209</v>
      </c>
      <c r="HC1" s="12" t="s">
        <v>210</v>
      </c>
      <c r="HD1" s="12" t="s">
        <v>211</v>
      </c>
      <c r="HE1" s="12" t="s">
        <v>212</v>
      </c>
      <c r="HF1" s="12" t="s">
        <v>213</v>
      </c>
      <c r="HG1" s="12" t="s">
        <v>214</v>
      </c>
      <c r="HH1" s="12" t="s">
        <v>215</v>
      </c>
      <c r="HI1" s="12" t="s">
        <v>216</v>
      </c>
      <c r="HJ1" s="12" t="s">
        <v>217</v>
      </c>
      <c r="HK1" s="12" t="s">
        <v>218</v>
      </c>
      <c r="HL1" s="12" t="s">
        <v>219</v>
      </c>
      <c r="HM1" s="12" t="s">
        <v>220</v>
      </c>
      <c r="HN1" s="12" t="s">
        <v>221</v>
      </c>
      <c r="HO1" s="12" t="s">
        <v>222</v>
      </c>
      <c r="HP1" s="12" t="s">
        <v>223</v>
      </c>
      <c r="HQ1" s="12" t="s">
        <v>224</v>
      </c>
      <c r="HR1" s="12" t="s">
        <v>225</v>
      </c>
      <c r="HS1" s="12" t="s">
        <v>226</v>
      </c>
      <c r="HT1" s="12" t="s">
        <v>227</v>
      </c>
      <c r="HU1" s="12" t="s">
        <v>228</v>
      </c>
      <c r="HV1" s="12" t="s">
        <v>229</v>
      </c>
      <c r="HW1" s="12" t="s">
        <v>230</v>
      </c>
      <c r="HX1" s="12" t="s">
        <v>231</v>
      </c>
      <c r="HY1" s="12" t="s">
        <v>232</v>
      </c>
      <c r="HZ1" s="12" t="s">
        <v>233</v>
      </c>
      <c r="IA1" s="12" t="s">
        <v>234</v>
      </c>
      <c r="IB1" s="12" t="s">
        <v>235</v>
      </c>
      <c r="IC1" s="12" t="s">
        <v>236</v>
      </c>
      <c r="ID1" s="12" t="s">
        <v>237</v>
      </c>
      <c r="IE1" s="12" t="s">
        <v>238</v>
      </c>
      <c r="IF1" s="12" t="s">
        <v>239</v>
      </c>
      <c r="IG1" s="12" t="s">
        <v>240</v>
      </c>
      <c r="IH1" s="12" t="s">
        <v>241</v>
      </c>
      <c r="II1" s="12" t="s">
        <v>242</v>
      </c>
      <c r="IJ1" s="12" t="s">
        <v>243</v>
      </c>
      <c r="IK1" s="12" t="s">
        <v>244</v>
      </c>
      <c r="IL1" s="12" t="s">
        <v>245</v>
      </c>
      <c r="IM1" s="12" t="s">
        <v>246</v>
      </c>
      <c r="IN1" s="12" t="s">
        <v>247</v>
      </c>
      <c r="IO1" s="12" t="s">
        <v>248</v>
      </c>
      <c r="IP1" s="12" t="s">
        <v>249</v>
      </c>
      <c r="IQ1" s="12" t="s">
        <v>250</v>
      </c>
      <c r="IR1" s="12" t="s">
        <v>251</v>
      </c>
      <c r="IS1" s="12" t="s">
        <v>252</v>
      </c>
      <c r="IT1" s="12" t="s">
        <v>253</v>
      </c>
      <c r="IU1" s="12" t="s">
        <v>254</v>
      </c>
      <c r="IV1" s="12" t="s">
        <v>255</v>
      </c>
      <c r="IW1" s="12" t="s">
        <v>256</v>
      </c>
      <c r="IX1" s="12" t="s">
        <v>257</v>
      </c>
      <c r="IY1" s="12" t="s">
        <v>258</v>
      </c>
      <c r="IZ1" s="12" t="s">
        <v>259</v>
      </c>
      <c r="JA1" s="12" t="s">
        <v>260</v>
      </c>
      <c r="JB1" s="12" t="s">
        <v>261</v>
      </c>
      <c r="JC1" s="12" t="s">
        <v>262</v>
      </c>
      <c r="JD1" s="12" t="s">
        <v>263</v>
      </c>
      <c r="JE1" s="12" t="s">
        <v>264</v>
      </c>
      <c r="JF1" s="12" t="s">
        <v>265</v>
      </c>
      <c r="JG1" s="12" t="s">
        <v>266</v>
      </c>
      <c r="JH1" s="12" t="s">
        <v>267</v>
      </c>
      <c r="JI1" s="12" t="s">
        <v>268</v>
      </c>
      <c r="JJ1" s="12" t="s">
        <v>269</v>
      </c>
      <c r="JK1" s="12" t="s">
        <v>270</v>
      </c>
      <c r="JL1" s="12" t="s">
        <v>271</v>
      </c>
      <c r="JM1" s="12" t="s">
        <v>272</v>
      </c>
      <c r="JN1" s="12" t="s">
        <v>273</v>
      </c>
      <c r="JO1" s="12" t="s">
        <v>274</v>
      </c>
      <c r="JP1" s="12" t="s">
        <v>275</v>
      </c>
      <c r="JQ1" s="12" t="s">
        <v>276</v>
      </c>
      <c r="JR1" s="12" t="s">
        <v>277</v>
      </c>
      <c r="JS1" s="12" t="s">
        <v>278</v>
      </c>
      <c r="JT1" s="12" t="s">
        <v>279</v>
      </c>
      <c r="JU1" s="12" t="s">
        <v>280</v>
      </c>
      <c r="JV1" s="12" t="s">
        <v>281</v>
      </c>
      <c r="JW1" s="12" t="s">
        <v>282</v>
      </c>
      <c r="JX1" s="12" t="s">
        <v>283</v>
      </c>
      <c r="JY1" s="12" t="s">
        <v>284</v>
      </c>
      <c r="JZ1" s="12" t="s">
        <v>285</v>
      </c>
      <c r="KA1" s="12" t="s">
        <v>286</v>
      </c>
      <c r="KB1" s="12" t="s">
        <v>287</v>
      </c>
      <c r="KC1" s="12" t="s">
        <v>288</v>
      </c>
      <c r="KD1" s="12" t="s">
        <v>289</v>
      </c>
      <c r="KE1" s="12" t="s">
        <v>290</v>
      </c>
      <c r="KF1" s="12" t="s">
        <v>291</v>
      </c>
      <c r="KG1" s="12" t="s">
        <v>292</v>
      </c>
      <c r="KH1" s="12" t="s">
        <v>293</v>
      </c>
      <c r="KI1" s="12" t="s">
        <v>294</v>
      </c>
      <c r="KJ1" s="12" t="s">
        <v>295</v>
      </c>
      <c r="KK1" s="12" t="s">
        <v>296</v>
      </c>
      <c r="KL1" s="12" t="s">
        <v>297</v>
      </c>
      <c r="KM1" s="12" t="s">
        <v>298</v>
      </c>
      <c r="KN1" s="12" t="s">
        <v>299</v>
      </c>
      <c r="KO1" s="12" t="s">
        <v>300</v>
      </c>
      <c r="KP1" s="12" t="s">
        <v>301</v>
      </c>
      <c r="KQ1" s="12" t="s">
        <v>302</v>
      </c>
      <c r="KR1" s="12" t="s">
        <v>303</v>
      </c>
      <c r="KS1" s="12" t="s">
        <v>304</v>
      </c>
      <c r="KT1" s="12" t="s">
        <v>305</v>
      </c>
      <c r="KU1" s="12" t="s">
        <v>306</v>
      </c>
      <c r="KV1" s="12" t="s">
        <v>307</v>
      </c>
      <c r="KW1" s="12" t="s">
        <v>308</v>
      </c>
      <c r="KX1" s="12" t="s">
        <v>309</v>
      </c>
      <c r="KY1" s="12" t="s">
        <v>310</v>
      </c>
      <c r="KZ1" s="12" t="s">
        <v>311</v>
      </c>
      <c r="LA1" s="12" t="s">
        <v>312</v>
      </c>
      <c r="LB1" s="12" t="s">
        <v>313</v>
      </c>
      <c r="LC1" s="12" t="s">
        <v>314</v>
      </c>
      <c r="LD1" s="12" t="s">
        <v>315</v>
      </c>
      <c r="LE1" s="12" t="s">
        <v>316</v>
      </c>
      <c r="LF1" s="12" t="s">
        <v>317</v>
      </c>
      <c r="LG1" s="12" t="s">
        <v>318</v>
      </c>
      <c r="LH1" s="12" t="s">
        <v>319</v>
      </c>
      <c r="LI1" s="12" t="s">
        <v>320</v>
      </c>
      <c r="LJ1" s="12" t="s">
        <v>321</v>
      </c>
      <c r="LK1" s="12" t="s">
        <v>322</v>
      </c>
      <c r="LL1" s="12" t="s">
        <v>323</v>
      </c>
      <c r="LM1" s="12" t="s">
        <v>324</v>
      </c>
      <c r="LN1" s="12" t="s">
        <v>325</v>
      </c>
      <c r="LO1" s="12" t="s">
        <v>326</v>
      </c>
      <c r="LP1" s="12" t="s">
        <v>327</v>
      </c>
      <c r="LQ1" s="12" t="s">
        <v>328</v>
      </c>
      <c r="LR1" s="12" t="s">
        <v>329</v>
      </c>
      <c r="LS1" s="12" t="s">
        <v>330</v>
      </c>
      <c r="LT1" s="12" t="s">
        <v>331</v>
      </c>
      <c r="LU1" s="12" t="s">
        <v>332</v>
      </c>
      <c r="LV1" s="12" t="s">
        <v>333</v>
      </c>
      <c r="LW1" s="12" t="s">
        <v>334</v>
      </c>
      <c r="LX1" s="12" t="s">
        <v>335</v>
      </c>
    </row>
    <row r="2" spans="1:336" s="13" customFormat="1">
      <c r="A2" s="13" t="s">
        <v>336</v>
      </c>
      <c r="B2" s="13">
        <v>2376100989.5700002</v>
      </c>
      <c r="C2" s="13">
        <f>B4</f>
        <v>0</v>
      </c>
      <c r="D2" s="13">
        <f>C4</f>
        <v>639945277.95740092</v>
      </c>
      <c r="E2" s="13">
        <f t="shared" ref="E2:BP2" si="0">D4+D9</f>
        <v>873808193.24893713</v>
      </c>
      <c r="F2" s="13">
        <f t="shared" si="0"/>
        <v>497311414.51141286</v>
      </c>
      <c r="G2" s="13">
        <f t="shared" si="0"/>
        <v>628149171.99649477</v>
      </c>
      <c r="H2" s="13">
        <f t="shared" si="0"/>
        <v>815793026.53008676</v>
      </c>
      <c r="I2" s="13">
        <f t="shared" si="0"/>
        <v>0</v>
      </c>
      <c r="J2" s="13">
        <f t="shared" si="0"/>
        <v>0</v>
      </c>
      <c r="K2" s="13">
        <f t="shared" si="0"/>
        <v>1423324379.7555845</v>
      </c>
      <c r="L2" s="13">
        <f t="shared" si="0"/>
        <v>7239911237.5887289</v>
      </c>
      <c r="M2" s="13">
        <f t="shared" si="0"/>
        <v>1402284366.6007483</v>
      </c>
      <c r="N2" s="13">
        <f t="shared" si="0"/>
        <v>940602947.63159418</v>
      </c>
      <c r="O2" s="13">
        <f t="shared" si="0"/>
        <v>2645479086.2742867</v>
      </c>
      <c r="P2" s="13">
        <f t="shared" si="0"/>
        <v>0</v>
      </c>
      <c r="Q2" s="13">
        <f t="shared" si="0"/>
        <v>227245</v>
      </c>
      <c r="R2" s="13">
        <f t="shared" si="0"/>
        <v>2418025334.4963679</v>
      </c>
      <c r="S2" s="13">
        <f t="shared" si="0"/>
        <v>1289099698.2032521</v>
      </c>
      <c r="T2" s="13">
        <f t="shared" si="0"/>
        <v>1588621422.7717245</v>
      </c>
      <c r="U2" s="13">
        <f t="shared" si="0"/>
        <v>2593907273.744379</v>
      </c>
      <c r="V2" s="13">
        <f t="shared" si="0"/>
        <v>2687811867.2121367</v>
      </c>
      <c r="W2" s="13">
        <f t="shared" si="0"/>
        <v>0</v>
      </c>
      <c r="X2" s="13">
        <f t="shared" si="0"/>
        <v>0</v>
      </c>
      <c r="Y2" s="13">
        <f t="shared" si="0"/>
        <v>1512564266.0554116</v>
      </c>
      <c r="Z2" s="13">
        <f t="shared" si="0"/>
        <v>2873261876.3615394</v>
      </c>
      <c r="AA2" s="13">
        <f t="shared" si="0"/>
        <v>1178366766.3309505</v>
      </c>
      <c r="AB2" s="13">
        <f t="shared" si="0"/>
        <v>1625114473.6708062</v>
      </c>
      <c r="AC2" s="13">
        <f>AB4+AB9</f>
        <v>561004024.07560647</v>
      </c>
      <c r="AD2" s="13">
        <v>538000000</v>
      </c>
      <c r="AE2" s="13">
        <f t="shared" si="0"/>
        <v>0</v>
      </c>
      <c r="AF2" s="13">
        <f t="shared" si="0"/>
        <v>652032713.35250401</v>
      </c>
      <c r="AG2" s="13">
        <f t="shared" si="0"/>
        <v>889957769.78067386</v>
      </c>
      <c r="AH2" s="13">
        <f t="shared" si="0"/>
        <v>506704748.28729582</v>
      </c>
      <c r="AI2" s="13">
        <f t="shared" si="0"/>
        <v>640013799.79596817</v>
      </c>
      <c r="AJ2" s="13">
        <f t="shared" si="0"/>
        <v>831201915.13917565</v>
      </c>
      <c r="AK2" s="13">
        <f t="shared" si="0"/>
        <v>0</v>
      </c>
      <c r="AL2" s="13">
        <f t="shared" si="0"/>
        <v>0</v>
      </c>
      <c r="AM2" s="13">
        <f t="shared" si="0"/>
        <v>1450208462.0031857</v>
      </c>
      <c r="AN2" s="13">
        <f t="shared" si="0"/>
        <v>7376660366.5610666</v>
      </c>
      <c r="AO2" s="13">
        <f t="shared" si="0"/>
        <v>1428771040.1815758</v>
      </c>
      <c r="AP2" s="13">
        <f t="shared" si="0"/>
        <v>958369275.08732593</v>
      </c>
      <c r="AQ2" s="13">
        <f t="shared" si="0"/>
        <v>2695335035.3163223</v>
      </c>
      <c r="AR2" s="13">
        <f t="shared" si="0"/>
        <v>0</v>
      </c>
      <c r="AS2" s="13">
        <f t="shared" si="0"/>
        <v>241750</v>
      </c>
      <c r="AT2" s="13">
        <f t="shared" si="0"/>
        <v>2463697559.9524841</v>
      </c>
      <c r="AU2" s="13">
        <f t="shared" si="0"/>
        <v>1313448513.4169741</v>
      </c>
      <c r="AV2" s="13">
        <f t="shared" si="0"/>
        <v>1618627674.0504601</v>
      </c>
      <c r="AW2" s="13">
        <f t="shared" si="0"/>
        <v>2643270385.2551098</v>
      </c>
      <c r="AX2" s="13">
        <f t="shared" si="0"/>
        <v>2738579883.5069313</v>
      </c>
      <c r="AY2" s="13">
        <f t="shared" si="0"/>
        <v>1541133932.051296</v>
      </c>
      <c r="AZ2" s="13">
        <f t="shared" si="0"/>
        <v>2927532715.6035857</v>
      </c>
      <c r="BA2" s="13">
        <f t="shared" si="0"/>
        <v>0</v>
      </c>
      <c r="BB2" s="13">
        <f t="shared" si="0"/>
        <v>7427764.3870023694</v>
      </c>
      <c r="BC2" s="13">
        <f t="shared" si="0"/>
        <v>1196404502.2629528</v>
      </c>
      <c r="BD2" s="13">
        <f t="shared" si="0"/>
        <v>1652594176.3464758</v>
      </c>
      <c r="BE2" s="13">
        <f t="shared" si="0"/>
        <v>554631611.17575443</v>
      </c>
      <c r="BF2" s="13">
        <f t="shared" si="0"/>
        <v>0</v>
      </c>
      <c r="BG2" s="13">
        <f t="shared" si="0"/>
        <v>0</v>
      </c>
      <c r="BH2" s="13">
        <f t="shared" si="0"/>
        <v>1120372862.3236918</v>
      </c>
      <c r="BI2" s="13">
        <f t="shared" si="0"/>
        <v>18352746.818826251</v>
      </c>
      <c r="BJ2" s="13">
        <f t="shared" si="0"/>
        <v>661956860.85332763</v>
      </c>
      <c r="BK2" s="13">
        <f t="shared" si="0"/>
        <v>0</v>
      </c>
      <c r="BL2" s="13">
        <f t="shared" si="0"/>
        <v>0</v>
      </c>
      <c r="BM2" s="13">
        <f t="shared" si="0"/>
        <v>0</v>
      </c>
      <c r="BN2" s="13">
        <f t="shared" si="0"/>
        <v>0</v>
      </c>
      <c r="BO2" s="13">
        <f t="shared" si="0"/>
        <v>903056465.35449243</v>
      </c>
      <c r="BP2" s="13">
        <f t="shared" si="0"/>
        <v>514614267.54044247</v>
      </c>
      <c r="BQ2" s="13">
        <f t="shared" ref="BQ2:EB2" si="1">BP4+BP9</f>
        <v>649755015.56883991</v>
      </c>
      <c r="BR2" s="13">
        <f t="shared" si="1"/>
        <v>843853075.48724353</v>
      </c>
      <c r="BS2" s="13">
        <f t="shared" si="1"/>
        <v>1472281100.981472</v>
      </c>
      <c r="BT2" s="13">
        <f t="shared" si="1"/>
        <v>0</v>
      </c>
      <c r="BU2" s="13">
        <f t="shared" si="1"/>
        <v>0</v>
      </c>
      <c r="BV2" s="13">
        <f t="shared" si="1"/>
        <v>7488935508.6545191</v>
      </c>
      <c r="BW2" s="13">
        <f t="shared" si="1"/>
        <v>1450517394.7084253</v>
      </c>
      <c r="BX2" s="13">
        <f t="shared" si="1"/>
        <v>972955963.53325081</v>
      </c>
      <c r="BY2" s="13">
        <f t="shared" si="1"/>
        <v>2736121687.7567549</v>
      </c>
      <c r="BZ2" s="13">
        <f t="shared" si="1"/>
        <v>2501195828.799571</v>
      </c>
      <c r="CA2" s="13">
        <f t="shared" si="1"/>
        <v>0</v>
      </c>
      <c r="CB2" s="13">
        <f t="shared" si="1"/>
        <v>0</v>
      </c>
      <c r="CC2" s="13">
        <f t="shared" si="1"/>
        <v>1335373622.0146813</v>
      </c>
      <c r="CD2" s="13">
        <f t="shared" si="1"/>
        <v>1643263707.5764461</v>
      </c>
      <c r="CE2" s="13">
        <f t="shared" si="1"/>
        <v>2683127410.1326227</v>
      </c>
      <c r="CF2" s="13">
        <f t="shared" si="1"/>
        <v>2780261949.6826787</v>
      </c>
      <c r="CG2" s="13">
        <f t="shared" si="1"/>
        <v>1564590485.9127781</v>
      </c>
      <c r="CH2" s="13">
        <f t="shared" si="1"/>
        <v>0</v>
      </c>
      <c r="CI2" s="13">
        <f t="shared" si="1"/>
        <v>0</v>
      </c>
      <c r="CJ2" s="13">
        <f t="shared" si="1"/>
        <v>2972090704.6249585</v>
      </c>
      <c r="CK2" s="13">
        <f t="shared" si="1"/>
        <v>1218049106.2555466</v>
      </c>
      <c r="CL2" s="13">
        <f t="shared" si="1"/>
        <v>1677747190.9563396</v>
      </c>
      <c r="CM2" s="13">
        <f t="shared" si="1"/>
        <v>1715269756.6435993</v>
      </c>
      <c r="CN2" s="13">
        <f t="shared" si="1"/>
        <v>0</v>
      </c>
      <c r="CO2" s="13">
        <f t="shared" si="1"/>
        <v>0</v>
      </c>
      <c r="CP2" s="13">
        <f t="shared" si="1"/>
        <v>0</v>
      </c>
      <c r="CQ2" s="13">
        <f t="shared" si="1"/>
        <v>701089571.9335506</v>
      </c>
      <c r="CR2" s="13">
        <f t="shared" si="1"/>
        <v>956834803.66580224</v>
      </c>
      <c r="CS2" s="13">
        <f t="shared" si="1"/>
        <v>544827594.99427724</v>
      </c>
      <c r="CT2" s="13">
        <f t="shared" si="1"/>
        <v>688166393.71273243</v>
      </c>
      <c r="CU2" s="13">
        <f t="shared" si="1"/>
        <v>893738892.14700437</v>
      </c>
      <c r="CV2" s="13">
        <f t="shared" si="1"/>
        <v>0</v>
      </c>
      <c r="CW2" s="13">
        <f t="shared" si="1"/>
        <v>0</v>
      </c>
      <c r="CX2" s="13">
        <f t="shared" si="1"/>
        <v>1559317514.3201146</v>
      </c>
      <c r="CY2" s="13">
        <f t="shared" si="1"/>
        <v>7931656729.4615879</v>
      </c>
      <c r="CZ2" s="13">
        <f t="shared" si="1"/>
        <v>1536267209.3576608</v>
      </c>
      <c r="DA2" s="13">
        <f t="shared" si="1"/>
        <v>1030473918.0501736</v>
      </c>
      <c r="DB2" s="13">
        <f t="shared" si="1"/>
        <v>2898277878.9436641</v>
      </c>
      <c r="DC2" s="13">
        <f t="shared" si="1"/>
        <v>0</v>
      </c>
      <c r="DD2" s="13">
        <f t="shared" si="1"/>
        <v>0</v>
      </c>
      <c r="DE2" s="13">
        <f t="shared" si="1"/>
        <v>2649058294.6365404</v>
      </c>
      <c r="DF2" s="13">
        <f t="shared" si="1"/>
        <v>1412268184.0511193</v>
      </c>
      <c r="DG2" s="13">
        <f t="shared" si="1"/>
        <v>1740408049.904599</v>
      </c>
      <c r="DH2" s="13">
        <f t="shared" si="1"/>
        <v>2841745072.3119888</v>
      </c>
      <c r="DI2" s="13">
        <f t="shared" si="1"/>
        <v>2944621886.1655741</v>
      </c>
      <c r="DJ2" s="13">
        <f t="shared" si="1"/>
        <v>0</v>
      </c>
      <c r="DK2" s="13">
        <f t="shared" si="1"/>
        <v>0</v>
      </c>
      <c r="DL2" s="13">
        <f t="shared" si="1"/>
        <v>0</v>
      </c>
      <c r="DM2" s="13">
        <f t="shared" si="1"/>
        <v>1663646341.2449164</v>
      </c>
      <c r="DN2" s="13">
        <f t="shared" si="1"/>
        <v>3147790925.7819309</v>
      </c>
      <c r="DO2" s="13">
        <f t="shared" si="1"/>
        <v>1286418155.3685923</v>
      </c>
      <c r="DP2" s="13">
        <f t="shared" si="1"/>
        <v>1800069441.0402081</v>
      </c>
      <c r="DQ2" s="13">
        <f t="shared" si="1"/>
        <v>596360321.95489836</v>
      </c>
      <c r="DR2" s="13">
        <f t="shared" si="1"/>
        <v>1197437852.1246231</v>
      </c>
      <c r="DS2" s="13">
        <f t="shared" si="1"/>
        <v>0</v>
      </c>
      <c r="DT2" s="13">
        <f t="shared" si="1"/>
        <v>682949081.24238086</v>
      </c>
      <c r="DU2" s="13">
        <f t="shared" si="1"/>
        <v>930234035.5730679</v>
      </c>
      <c r="DV2" s="13">
        <f t="shared" si="1"/>
        <v>529898384.7051639</v>
      </c>
      <c r="DW2" s="13">
        <f t="shared" si="1"/>
        <v>669309454.56348455</v>
      </c>
      <c r="DX2" s="13">
        <f t="shared" si="1"/>
        <v>0</v>
      </c>
      <c r="DY2" s="13">
        <f t="shared" si="1"/>
        <v>0</v>
      </c>
      <c r="DZ2" s="13">
        <f t="shared" si="1"/>
        <v>869248914.05666542</v>
      </c>
      <c r="EA2" s="13">
        <f t="shared" si="1"/>
        <v>1516814611.0508449</v>
      </c>
      <c r="EB2" s="13">
        <f t="shared" si="1"/>
        <v>7714315735.0935669</v>
      </c>
      <c r="EC2" s="13">
        <f t="shared" ref="EC2:GN2" si="2">EB4+EB9</f>
        <v>1494170853.6673605</v>
      </c>
      <c r="ED2" s="13">
        <f t="shared" si="2"/>
        <v>1002237165.7979695</v>
      </c>
      <c r="EE2" s="13">
        <f t="shared" si="2"/>
        <v>0</v>
      </c>
      <c r="EF2" s="13">
        <f t="shared" si="2"/>
        <v>0</v>
      </c>
      <c r="EG2" s="13">
        <f t="shared" si="2"/>
        <v>241750</v>
      </c>
      <c r="EH2" s="13">
        <f t="shared" si="2"/>
        <v>2818465530.1945434</v>
      </c>
      <c r="EI2" s="13">
        <f t="shared" si="2"/>
        <v>2576469555.1671958</v>
      </c>
      <c r="EJ2" s="13">
        <f t="shared" si="2"/>
        <v>1373569614.2686086</v>
      </c>
      <c r="EK2" s="13">
        <f t="shared" si="2"/>
        <v>1692717885.1541066</v>
      </c>
      <c r="EL2" s="13">
        <f t="shared" si="2"/>
        <v>0</v>
      </c>
      <c r="EM2" s="13">
        <f t="shared" si="2"/>
        <v>0</v>
      </c>
      <c r="EN2" s="13">
        <f t="shared" si="2"/>
        <v>2763876384.7447906</v>
      </c>
      <c r="EO2" s="13">
        <f t="shared" si="2"/>
        <v>2867419631.6186566</v>
      </c>
      <c r="EP2" s="13">
        <f t="shared" si="2"/>
        <v>1611676985.4015093</v>
      </c>
      <c r="EQ2" s="13">
        <f t="shared" si="2"/>
        <v>3061536057.0694623</v>
      </c>
      <c r="ER2" s="13">
        <f t="shared" si="2"/>
        <v>1251168092.1601882</v>
      </c>
      <c r="ES2" s="13">
        <f t="shared" si="2"/>
        <v>0</v>
      </c>
      <c r="ET2" s="13">
        <f t="shared" si="2"/>
        <v>0</v>
      </c>
      <c r="EU2" s="13">
        <f t="shared" si="2"/>
        <v>1728239152.246196</v>
      </c>
      <c r="EV2" s="13">
        <f t="shared" si="2"/>
        <v>1770208986.2300026</v>
      </c>
      <c r="EW2" s="13">
        <f t="shared" si="2"/>
        <v>684151358.1872561</v>
      </c>
      <c r="EX2" s="13">
        <f t="shared" si="2"/>
        <v>933334698.72284186</v>
      </c>
      <c r="EY2" s="13">
        <f t="shared" si="2"/>
        <v>531664646.02408874</v>
      </c>
      <c r="EZ2" s="13">
        <f t="shared" si="2"/>
        <v>0</v>
      </c>
      <c r="FA2" s="13">
        <f t="shared" si="2"/>
        <v>0</v>
      </c>
      <c r="FB2" s="13">
        <f t="shared" si="2"/>
        <v>671540401.91887975</v>
      </c>
      <c r="FC2" s="13">
        <f t="shared" si="2"/>
        <v>872567487.26774216</v>
      </c>
      <c r="FD2" s="13">
        <f t="shared" si="2"/>
        <v>1521644648.522022</v>
      </c>
      <c r="FE2" s="13">
        <f t="shared" si="2"/>
        <v>0</v>
      </c>
      <c r="FF2" s="13">
        <f t="shared" si="2"/>
        <v>0</v>
      </c>
      <c r="FG2" s="13">
        <f t="shared" si="2"/>
        <v>0</v>
      </c>
      <c r="FH2" s="13">
        <f t="shared" si="2"/>
        <v>0</v>
      </c>
      <c r="FI2" s="13">
        <f t="shared" si="2"/>
        <v>7740029150.8694048</v>
      </c>
      <c r="FJ2" s="13">
        <f t="shared" si="2"/>
        <v>1499151235.3006542</v>
      </c>
      <c r="FK2" s="13">
        <f t="shared" si="2"/>
        <v>1005577830.3280618</v>
      </c>
      <c r="FL2" s="13">
        <f t="shared" si="2"/>
        <v>2827860060.8977752</v>
      </c>
      <c r="FM2" s="13">
        <f t="shared" si="2"/>
        <v>2585057463.0492163</v>
      </c>
      <c r="FN2" s="13">
        <f t="shared" si="2"/>
        <v>0</v>
      </c>
      <c r="FO2" s="13">
        <f t="shared" si="2"/>
        <v>0</v>
      </c>
      <c r="FP2" s="13">
        <f t="shared" si="2"/>
        <v>1378148006.9351254</v>
      </c>
      <c r="FQ2" s="13">
        <f t="shared" si="2"/>
        <v>1698360065.2601349</v>
      </c>
      <c r="FR2" s="13">
        <f t="shared" si="2"/>
        <v>2773088958.4939647</v>
      </c>
      <c r="FS2" s="13">
        <f t="shared" si="2"/>
        <v>2873480284.7118058</v>
      </c>
      <c r="FT2" s="13">
        <f t="shared" si="2"/>
        <v>1617049039.3652139</v>
      </c>
      <c r="FU2" s="13">
        <f t="shared" si="2"/>
        <v>0</v>
      </c>
      <c r="FV2" s="13">
        <f t="shared" si="2"/>
        <v>0</v>
      </c>
      <c r="FW2" s="13">
        <f t="shared" si="2"/>
        <v>3071740792.2982821</v>
      </c>
      <c r="FX2" s="13">
        <f t="shared" si="2"/>
        <v>1258560069.3789794</v>
      </c>
      <c r="FY2" s="13">
        <f t="shared" si="2"/>
        <v>1733999732.1093757</v>
      </c>
      <c r="FZ2" s="13">
        <f t="shared" si="2"/>
        <v>581952350.40966117</v>
      </c>
      <c r="GA2" s="13">
        <f t="shared" si="2"/>
        <v>1191816216.8241498</v>
      </c>
      <c r="GB2" s="13">
        <f t="shared" si="2"/>
        <v>0</v>
      </c>
      <c r="GC2" s="13">
        <f t="shared" si="2"/>
        <v>0</v>
      </c>
      <c r="GD2" s="13">
        <f t="shared" si="2"/>
        <v>692308682.03713858</v>
      </c>
      <c r="GE2" s="13">
        <f t="shared" si="2"/>
        <v>944864206.9311223</v>
      </c>
      <c r="GF2" s="13">
        <f t="shared" si="2"/>
        <v>538003829.07949173</v>
      </c>
      <c r="GG2" s="13">
        <f t="shared" si="2"/>
        <v>679547361.8864038</v>
      </c>
      <c r="GH2" s="13">
        <f t="shared" si="2"/>
        <v>882545140.13263559</v>
      </c>
      <c r="GI2" s="13">
        <f t="shared" si="2"/>
        <v>0</v>
      </c>
      <c r="GJ2" s="13">
        <f t="shared" si="2"/>
        <v>0</v>
      </c>
      <c r="GK2" s="13">
        <f t="shared" si="2"/>
        <v>1539787634.038156</v>
      </c>
      <c r="GL2" s="13">
        <f t="shared" si="2"/>
        <v>7832315636.3606634</v>
      </c>
      <c r="GM2" s="13">
        <f t="shared" si="2"/>
        <v>1517026025.6960154</v>
      </c>
      <c r="GN2" s="13">
        <f t="shared" si="2"/>
        <v>1017567609.9580879</v>
      </c>
      <c r="GO2" s="13">
        <f t="shared" ref="GO2:IZ2" si="3">GN4+GN9</f>
        <v>2861753822.320148</v>
      </c>
      <c r="GP2" s="13">
        <f t="shared" si="3"/>
        <v>0</v>
      </c>
      <c r="GQ2" s="13">
        <f t="shared" si="3"/>
        <v>0</v>
      </c>
      <c r="GR2" s="13">
        <f t="shared" si="3"/>
        <v>2615879810.537528</v>
      </c>
      <c r="GS2" s="13">
        <f t="shared" si="3"/>
        <v>1394580042.7282383</v>
      </c>
      <c r="GT2" s="13">
        <f t="shared" si="3"/>
        <v>1718610077.0451624</v>
      </c>
      <c r="GU2" s="13">
        <f t="shared" si="3"/>
        <v>2806153256.9540391</v>
      </c>
      <c r="GV2" s="13">
        <f t="shared" si="3"/>
        <v>2907741576.4247303</v>
      </c>
      <c r="GW2" s="13">
        <f t="shared" si="3"/>
        <v>0</v>
      </c>
      <c r="GX2" s="13">
        <f t="shared" si="3"/>
        <v>0</v>
      </c>
      <c r="GY2" s="13">
        <f t="shared" si="3"/>
        <v>1636329557.5391369</v>
      </c>
      <c r="GZ2" s="13">
        <f t="shared" si="3"/>
        <v>3112956275.1927867</v>
      </c>
      <c r="HA2" s="13">
        <f t="shared" si="3"/>
        <v>1270306239.5232546</v>
      </c>
      <c r="HB2" s="13">
        <f t="shared" si="3"/>
        <v>1754674685.3944266</v>
      </c>
      <c r="HC2" s="13">
        <f t="shared" si="3"/>
        <v>588891127.52481604</v>
      </c>
      <c r="HD2" s="13">
        <f t="shared" si="3"/>
        <v>0</v>
      </c>
      <c r="HE2" s="13">
        <f t="shared" si="3"/>
        <v>0</v>
      </c>
      <c r="HF2" s="13">
        <f t="shared" si="3"/>
        <v>1203504458.6175313</v>
      </c>
      <c r="HG2" s="13">
        <f t="shared" si="3"/>
        <v>0</v>
      </c>
      <c r="HH2" s="13">
        <f t="shared" si="3"/>
        <v>715432207.36651421</v>
      </c>
      <c r="HI2" s="13">
        <f t="shared" si="3"/>
        <v>976008738.02004445</v>
      </c>
      <c r="HJ2" s="13">
        <f t="shared" si="3"/>
        <v>555973479.74516594</v>
      </c>
      <c r="HK2" s="13">
        <f t="shared" si="3"/>
        <v>0</v>
      </c>
      <c r="HL2" s="13">
        <f t="shared" si="3"/>
        <v>0</v>
      </c>
      <c r="HM2" s="13">
        <f t="shared" si="3"/>
        <v>702244651.46661389</v>
      </c>
      <c r="HN2" s="13">
        <f t="shared" si="3"/>
        <v>912409240.71644962</v>
      </c>
      <c r="HO2" s="13">
        <f t="shared" si="3"/>
        <v>1591217464.807822</v>
      </c>
      <c r="HP2" s="13">
        <f t="shared" si="3"/>
        <v>8093919677.5986366</v>
      </c>
      <c r="HQ2" s="13">
        <f t="shared" si="3"/>
        <v>1567695605.0912683</v>
      </c>
      <c r="HR2" s="13">
        <f t="shared" si="3"/>
        <v>0</v>
      </c>
      <c r="HS2" s="13">
        <f t="shared" si="3"/>
        <v>0</v>
      </c>
      <c r="HT2" s="13">
        <f t="shared" si="3"/>
        <v>1051554978.6185256</v>
      </c>
      <c r="HU2" s="13">
        <f t="shared" si="3"/>
        <v>2957541108.8334637</v>
      </c>
      <c r="HV2" s="13">
        <f t="shared" si="3"/>
        <v>2703251765.6018181</v>
      </c>
      <c r="HW2" s="13">
        <f t="shared" si="3"/>
        <v>1441159852.8311229</v>
      </c>
      <c r="HX2" s="13">
        <f t="shared" si="3"/>
        <v>1776012684.695462</v>
      </c>
      <c r="HY2" s="13">
        <f t="shared" si="3"/>
        <v>0</v>
      </c>
      <c r="HZ2" s="13">
        <f t="shared" si="3"/>
        <v>0</v>
      </c>
      <c r="IA2" s="13">
        <f t="shared" si="3"/>
        <v>2899880459.2828484</v>
      </c>
      <c r="IB2" s="13">
        <f t="shared" si="3"/>
        <v>3008209210.8746619</v>
      </c>
      <c r="IC2" s="13">
        <f t="shared" si="3"/>
        <v>1690983946.4738872</v>
      </c>
      <c r="ID2" s="13">
        <f t="shared" si="3"/>
        <v>3212187287.4952669</v>
      </c>
      <c r="IE2" s="13">
        <f t="shared" si="3"/>
        <v>1312735230.0412502</v>
      </c>
      <c r="IF2" s="13">
        <f t="shared" si="3"/>
        <v>0</v>
      </c>
      <c r="IG2" s="13">
        <f t="shared" si="3"/>
        <v>0</v>
      </c>
      <c r="IH2" s="13">
        <f t="shared" si="3"/>
        <v>1813281872.6004879</v>
      </c>
      <c r="II2" s="13">
        <f t="shared" si="3"/>
        <v>608560444.48830628</v>
      </c>
      <c r="IJ2" s="13">
        <f t="shared" si="3"/>
        <v>1241811448.8550496</v>
      </c>
      <c r="IK2" s="13">
        <f t="shared" si="3"/>
        <v>745311865.45423591</v>
      </c>
      <c r="IL2" s="13">
        <f t="shared" si="3"/>
        <v>1016771240.8573366</v>
      </c>
      <c r="IM2" s="13">
        <f t="shared" si="3"/>
        <v>0</v>
      </c>
      <c r="IN2" s="13">
        <f t="shared" si="3"/>
        <v>0</v>
      </c>
      <c r="IO2" s="13">
        <f t="shared" si="3"/>
        <v>579193426.10706639</v>
      </c>
      <c r="IP2" s="13">
        <f t="shared" si="3"/>
        <v>732084023.72344756</v>
      </c>
      <c r="IQ2" s="13">
        <f t="shared" si="3"/>
        <v>950112835.22302961</v>
      </c>
      <c r="IR2" s="13">
        <f t="shared" si="3"/>
        <v>1657673843.6262722</v>
      </c>
      <c r="IS2" s="13">
        <f t="shared" si="3"/>
        <v>8431958069.0296707</v>
      </c>
      <c r="IT2" s="13">
        <f t="shared" si="3"/>
        <v>0</v>
      </c>
      <c r="IU2" s="13">
        <f t="shared" si="3"/>
        <v>0</v>
      </c>
      <c r="IV2" s="13">
        <f t="shared" si="3"/>
        <v>0</v>
      </c>
      <c r="IW2" s="13">
        <f t="shared" si="3"/>
        <v>1634235239.5394394</v>
      </c>
      <c r="IX2" s="13">
        <f t="shared" si="3"/>
        <v>1095472631.3297722</v>
      </c>
      <c r="IY2" s="13">
        <f t="shared" si="3"/>
        <v>3081002731.6682429</v>
      </c>
      <c r="IZ2" s="13">
        <f t="shared" si="3"/>
        <v>2816151684.9086843</v>
      </c>
      <c r="JA2" s="13">
        <f t="shared" ref="JA2:LL2" si="4">IZ4+IZ9</f>
        <v>0</v>
      </c>
      <c r="JB2" s="13">
        <f t="shared" si="4"/>
        <v>0</v>
      </c>
      <c r="JC2" s="13">
        <f t="shared" si="4"/>
        <v>1501349152.6822617</v>
      </c>
      <c r="JD2" s="13">
        <f t="shared" si="4"/>
        <v>1850186940.8049181</v>
      </c>
      <c r="JE2" s="13">
        <f t="shared" si="4"/>
        <v>3020992474.8259897</v>
      </c>
      <c r="JF2" s="13">
        <f t="shared" si="4"/>
        <v>3130358400.5432124</v>
      </c>
      <c r="JG2" s="13">
        <f t="shared" si="4"/>
        <v>1761607021.0744159</v>
      </c>
      <c r="JH2" s="13">
        <f t="shared" si="4"/>
        <v>0</v>
      </c>
      <c r="JI2" s="13">
        <f t="shared" si="4"/>
        <v>0</v>
      </c>
      <c r="JJ2" s="13">
        <f t="shared" si="4"/>
        <v>3346342637.052958</v>
      </c>
      <c r="JK2" s="13">
        <f t="shared" si="4"/>
        <v>1370468625.840579</v>
      </c>
      <c r="JL2" s="13">
        <f t="shared" si="4"/>
        <v>1889012657.1697237</v>
      </c>
      <c r="JM2" s="13">
        <f t="shared" si="4"/>
        <v>633976658.37942505</v>
      </c>
      <c r="JN2" s="13">
        <f t="shared" si="4"/>
        <v>1292168336.2549653</v>
      </c>
      <c r="JO2" s="13">
        <f t="shared" si="4"/>
        <v>0</v>
      </c>
      <c r="JP2" s="13">
        <f t="shared" si="4"/>
        <v>0</v>
      </c>
      <c r="JQ2" s="13">
        <f t="shared" si="4"/>
        <v>756255705.04359436</v>
      </c>
      <c r="JR2" s="13">
        <f t="shared" si="4"/>
        <v>1032040339.8543198</v>
      </c>
      <c r="JS2" s="13">
        <f t="shared" si="4"/>
        <v>587698053.82108176</v>
      </c>
      <c r="JT2" s="13">
        <f t="shared" si="4"/>
        <v>742315649.95215273</v>
      </c>
      <c r="JU2" s="13">
        <f t="shared" si="4"/>
        <v>964063884.36422944</v>
      </c>
      <c r="JV2" s="13">
        <f t="shared" si="4"/>
        <v>0</v>
      </c>
      <c r="JW2" s="13">
        <f t="shared" si="4"/>
        <v>0</v>
      </c>
      <c r="JX2" s="13">
        <f t="shared" si="4"/>
        <v>1682014414.9722884</v>
      </c>
      <c r="JY2" s="13">
        <f t="shared" si="4"/>
        <v>8555769322.8266525</v>
      </c>
      <c r="JZ2" s="13">
        <f t="shared" si="4"/>
        <v>1657150367.1691318</v>
      </c>
      <c r="KA2" s="13">
        <f t="shared" si="4"/>
        <v>1111558081.3373322</v>
      </c>
      <c r="KB2" s="13">
        <f t="shared" si="4"/>
        <v>3125980515.0303359</v>
      </c>
      <c r="KC2" s="13">
        <f t="shared" si="4"/>
        <v>0</v>
      </c>
      <c r="KD2" s="13">
        <f t="shared" si="4"/>
        <v>241750</v>
      </c>
      <c r="KE2" s="13">
        <f t="shared" si="4"/>
        <v>2857502847.7271628</v>
      </c>
      <c r="KF2" s="13">
        <f t="shared" si="4"/>
        <v>1523394319.3515997</v>
      </c>
      <c r="KG2" s="13">
        <f t="shared" si="4"/>
        <v>1877354291.8548765</v>
      </c>
      <c r="KH2" s="13">
        <f t="shared" si="4"/>
        <v>3065351431.8982821</v>
      </c>
      <c r="KI2" s="13">
        <f t="shared" si="4"/>
        <v>3176323239.9354663</v>
      </c>
      <c r="KJ2" s="13">
        <f t="shared" si="4"/>
        <v>0</v>
      </c>
      <c r="KK2" s="13">
        <f t="shared" si="4"/>
        <v>0</v>
      </c>
      <c r="KL2" s="13">
        <f t="shared" si="4"/>
        <v>0</v>
      </c>
      <c r="KM2" s="13">
        <f t="shared" si="4"/>
        <v>1793617300.1774189</v>
      </c>
      <c r="KN2" s="13">
        <f t="shared" si="4"/>
        <v>3395478896.2866931</v>
      </c>
      <c r="KO2" s="13">
        <f t="shared" si="4"/>
        <v>1387641619.5809038</v>
      </c>
      <c r="KP2" s="13">
        <f t="shared" si="4"/>
        <v>1916750108.3771238</v>
      </c>
      <c r="KQ2" s="13">
        <f t="shared" si="4"/>
        <v>0</v>
      </c>
      <c r="KR2" s="13">
        <f t="shared" si="4"/>
        <v>0</v>
      </c>
      <c r="KS2" s="13">
        <f t="shared" si="4"/>
        <v>1954816497.8507271</v>
      </c>
      <c r="KT2" s="13">
        <f t="shared" si="4"/>
        <v>791404856.54736161</v>
      </c>
      <c r="KU2" s="13">
        <f t="shared" si="4"/>
        <v>1079652337.9132926</v>
      </c>
      <c r="KV2" s="13">
        <f t="shared" si="4"/>
        <v>615013005.35726309</v>
      </c>
      <c r="KW2" s="13">
        <f t="shared" si="4"/>
        <v>776816897.43997383</v>
      </c>
      <c r="KX2" s="13">
        <f t="shared" si="4"/>
        <v>0</v>
      </c>
      <c r="KY2" s="13">
        <f t="shared" si="4"/>
        <v>0</v>
      </c>
      <c r="KZ2" s="13">
        <f t="shared" si="4"/>
        <v>0</v>
      </c>
      <c r="LA2" s="13">
        <f t="shared" si="4"/>
        <v>0</v>
      </c>
      <c r="LB2" s="13">
        <f t="shared" si="4"/>
        <v>1009937150.6304551</v>
      </c>
      <c r="LC2" s="13">
        <f t="shared" si="4"/>
        <v>1760190855.9684899</v>
      </c>
      <c r="LD2" s="13">
        <f t="shared" si="4"/>
        <v>8953423225.010416</v>
      </c>
      <c r="LE2" s="13">
        <f t="shared" si="4"/>
        <v>0</v>
      </c>
      <c r="LF2" s="13">
        <f t="shared" si="4"/>
        <v>0</v>
      </c>
      <c r="LG2" s="13">
        <f t="shared" si="4"/>
        <v>1734171180.2773035</v>
      </c>
      <c r="LH2" s="13">
        <f t="shared" si="4"/>
        <v>1163220929.1619453</v>
      </c>
      <c r="LI2" s="13">
        <f t="shared" si="4"/>
        <v>3271179921.0055337</v>
      </c>
      <c r="LJ2" s="13">
        <f t="shared" si="4"/>
        <v>2990313482.869966</v>
      </c>
      <c r="LK2" s="13">
        <f t="shared" si="4"/>
        <v>1594198436.7602494</v>
      </c>
      <c r="LL2" s="13">
        <f t="shared" si="4"/>
        <v>0</v>
      </c>
      <c r="LM2" s="13">
        <f t="shared" ref="LM2:LW2" si="5">LL4+LL9</f>
        <v>0</v>
      </c>
      <c r="LN2" s="13">
        <f t="shared" si="5"/>
        <v>1964609713.5205562</v>
      </c>
      <c r="LO2" s="13">
        <f t="shared" si="5"/>
        <v>3207822425.7347803</v>
      </c>
      <c r="LP2" s="13">
        <f t="shared" si="5"/>
        <v>3326993599.9180641</v>
      </c>
      <c r="LQ2" s="13">
        <f t="shared" si="5"/>
        <v>1870551666.2565827</v>
      </c>
      <c r="LR2" s="13">
        <f t="shared" si="5"/>
        <v>0</v>
      </c>
      <c r="LS2" s="13">
        <f t="shared" si="5"/>
        <v>0</v>
      </c>
      <c r="LT2" s="13">
        <f t="shared" si="5"/>
        <v>0</v>
      </c>
      <c r="LU2" s="13">
        <f t="shared" si="5"/>
        <v>3553293510.2558475</v>
      </c>
      <c r="LV2" s="13">
        <f t="shared" si="5"/>
        <v>1452136241.1676204</v>
      </c>
      <c r="LW2" s="13">
        <f t="shared" si="5"/>
        <v>2028009438.5126092</v>
      </c>
      <c r="LX2" s="13">
        <f>SUM(ESCENARIO[[#This Row],[01-mar]:[31-dic]])</f>
        <v>402734712112.98822</v>
      </c>
    </row>
    <row r="3" spans="1:336" s="13" customFormat="1">
      <c r="A3" s="13" t="s">
        <v>337</v>
      </c>
      <c r="B3" s="13">
        <f>SUMIFS(Gastos!$H:$H,Gastos!$I:$I,'ESCENARIO 1'!B$1)</f>
        <v>0</v>
      </c>
      <c r="C3" s="13">
        <f>SUMIFS(Gastos!$H:$H,Gastos!$I:$I,'ESCENARIO 1'!C$1)</f>
        <v>235000000</v>
      </c>
      <c r="D3" s="13">
        <f>SUMIFS(Gastos!$H:$H,Gastos!$I:$I,'ESCENARIO 1'!D$1)</f>
        <v>1447003462.95</v>
      </c>
      <c r="E3" s="13">
        <f>SUMIFS(Gastos!$H:$H,Gastos!$I:$I,'ESCENARIO 1'!E$1)</f>
        <v>0</v>
      </c>
      <c r="F3" s="13">
        <f>SUMIFS(Gastos!$H:$H,Gastos!$I:$I,'ESCENARIO 1'!F$1)</f>
        <v>0</v>
      </c>
      <c r="G3" s="13">
        <f>SUMIFS(Gastos!$H:$H,Gastos!$I:$I,'ESCENARIO 1'!G$1)</f>
        <v>0</v>
      </c>
      <c r="H3" s="13">
        <f>SUMIFS(Gastos!$H:$H,Gastos!$I:$I,'ESCENARIO 1'!H$1)</f>
        <v>0</v>
      </c>
      <c r="I3" s="13">
        <f>SUMIFS(Gastos!$H:$H,Gastos!$I:$I,'ESCENARIO 1'!I$1)</f>
        <v>0</v>
      </c>
      <c r="J3" s="13">
        <f>SUMIFS(Gastos!$H:$H,Gastos!$I:$I,'ESCENARIO 1'!J$1)</f>
        <v>0</v>
      </c>
      <c r="K3" s="13">
        <f>SUMIFS(Gastos!$H:$H,Gastos!$I:$I,'ESCENARIO 1'!K$1)</f>
        <v>1236893613.0500002</v>
      </c>
      <c r="L3" s="13">
        <f>SUMIFS(Gastos!$H:$H,Gastos!$I:$I,'ESCENARIO 1'!L$1)</f>
        <v>0</v>
      </c>
      <c r="M3" s="13">
        <f>SUMIFS(Gastos!$H:$H,Gastos!$I:$I,'ESCENARIO 1'!M$1)</f>
        <v>0</v>
      </c>
      <c r="N3" s="13">
        <f>SUMIFS(Gastos!$H:$H,Gastos!$I:$I,'ESCENARIO 1'!N$1)</f>
        <v>1291912260</v>
      </c>
      <c r="O3" s="13">
        <f>SUMIFS(Gastos!$H:$H,Gastos!$I:$I,'ESCENARIO 1'!O$1)</f>
        <v>0</v>
      </c>
      <c r="P3" s="13">
        <f>SUMIFS(Gastos!$H:$H,Gastos!$I:$I,'ESCENARIO 1'!P$1)</f>
        <v>235000000</v>
      </c>
      <c r="Q3" s="13">
        <f>SUMIFS(Gastos!$H:$H,Gastos!$I:$I,'ESCENARIO 1'!Q$1)</f>
        <v>0</v>
      </c>
      <c r="R3" s="13">
        <f>SUMIFS(Gastos!$H:$H,Gastos!$I:$I,'ESCENARIO 1'!R$1)</f>
        <v>0</v>
      </c>
      <c r="S3" s="13">
        <f>SUMIFS(Gastos!$H:$H,Gastos!$I:$I,'ESCENARIO 1'!S$1)</f>
        <v>563860966</v>
      </c>
      <c r="T3" s="13">
        <f>SUMIFS(Gastos!$H:$H,Gastos!$I:$I,'ESCENARIO 1'!T$1)</f>
        <v>598317589.33000004</v>
      </c>
      <c r="U3" s="13">
        <f>SUMIFS(Gastos!$H:$H,Gastos!$I:$I,'ESCENARIO 1'!U$1)</f>
        <v>0</v>
      </c>
      <c r="V3" s="13">
        <f>SUMIFS(Gastos!$H:$H,Gastos!$I:$I,'ESCENARIO 1'!V$1)</f>
        <v>0</v>
      </c>
      <c r="W3" s="13">
        <f>SUMIFS(Gastos!$H:$H,Gastos!$I:$I,'ESCENARIO 1'!W$1)</f>
        <v>0</v>
      </c>
      <c r="X3" s="13">
        <f>SUMIFS(Gastos!$H:$H,Gastos!$I:$I,'ESCENARIO 1'!X$1)</f>
        <v>0</v>
      </c>
      <c r="Y3" s="13">
        <f>SUMIFS(Gastos!$H:$H,Gastos!$I:$I,'ESCENARIO 1'!Y$1)</f>
        <v>0</v>
      </c>
      <c r="Z3" s="13">
        <f>SUMIFS(Gastos!$H:$H,Gastos!$I:$I,'ESCENARIO 1'!Z$1)</f>
        <v>7155896723.5100002</v>
      </c>
      <c r="AA3" s="13">
        <f>SUMIFS(Gastos!$H:$H,Gastos!$I:$I,'ESCENARIO 1'!AA$1)</f>
        <v>4442298908.2399998</v>
      </c>
      <c r="AB3" s="13">
        <f>SUMIFS(Gastos!$H:$H,Gastos!$I:$I,'ESCENARIO 1'!AB$1)</f>
        <v>18847677816.330002</v>
      </c>
      <c r="AC3" s="13">
        <f>SUMIFS(Gastos!$H:$H,Gastos!$I:$I,'ESCENARIO 1'!AC$1)</f>
        <v>514502017.27999997</v>
      </c>
      <c r="AD3" s="13">
        <f>SUMIFS(Gastos!$J:$J,Gastos!$K:$K,'ESCENARIO 1'!AD$1)</f>
        <v>0</v>
      </c>
      <c r="AE3" s="13">
        <f>SUMIFS(Gastos!$J:$J,Gastos!$K:$K,'ESCENARIO 1'!AE$1)</f>
        <v>0</v>
      </c>
      <c r="AF3" s="13">
        <f>SUMIFS(Gastos!$J:$J,Gastos!$K:$K,'ESCENARIO 1'!AF$1)</f>
        <v>1107100000</v>
      </c>
      <c r="AG3" s="13">
        <f>SUMIFS(Gastos!$J:$J,Gastos!$K:$K,'ESCENARIO 1'!AG$1)</f>
        <v>0</v>
      </c>
      <c r="AH3" s="13">
        <f>SUMIFS(Gastos!$J:$J,Gastos!$K:$K,'ESCENARIO 1'!AH$1)</f>
        <v>0</v>
      </c>
      <c r="AI3" s="13">
        <f>SUMIFS(Gastos!$J:$J,Gastos!$K:$K,'ESCENARIO 1'!AI$1)</f>
        <v>0</v>
      </c>
      <c r="AJ3" s="13">
        <f>SUMIFS(Gastos!$J:$J,Gastos!$K:$K,'ESCENARIO 1'!AJ$1)</f>
        <v>0</v>
      </c>
      <c r="AK3" s="13">
        <f>SUMIFS(Gastos!$J:$J,Gastos!$K:$K,'ESCENARIO 1'!AK$1)</f>
        <v>0</v>
      </c>
      <c r="AL3" s="13">
        <f>SUMIFS(Gastos!$J:$J,Gastos!$K:$K,'ESCENARIO 1'!AL$1)</f>
        <v>0</v>
      </c>
      <c r="AM3" s="13">
        <f>SUMIFS(Gastos!$J:$J,Gastos!$K:$K,'ESCENARIO 1'!AM$1)</f>
        <v>1118672014.9300001</v>
      </c>
      <c r="AN3" s="13">
        <f>SUMIFS(Gastos!$J:$J,Gastos!$K:$K,'ESCENARIO 1'!AN$1)</f>
        <v>0</v>
      </c>
      <c r="AO3" s="13">
        <f>SUMIFS(Gastos!$J:$J,Gastos!$K:$K,'ESCENARIO 1'!AO$1)</f>
        <v>0</v>
      </c>
      <c r="AP3" s="13">
        <f>SUMIFS(Gastos!$J:$J,Gastos!$K:$K,'ESCENARIO 1'!AP$1)</f>
        <v>1200000000</v>
      </c>
      <c r="AQ3" s="13">
        <f>SUMIFS(Gastos!$J:$J,Gastos!$K:$K,'ESCENARIO 1'!AQ$1)</f>
        <v>0</v>
      </c>
      <c r="AR3" s="13">
        <f>SUMIFS(Gastos!$J:$J,Gastos!$K:$K,'ESCENARIO 1'!AR$1)</f>
        <v>250000000</v>
      </c>
      <c r="AS3" s="13">
        <f>SUMIFS(Gastos!$J:$J,Gastos!$K:$K,'ESCENARIO 1'!AS$1)</f>
        <v>0</v>
      </c>
      <c r="AT3" s="13">
        <f>SUMIFS(Gastos!$J:$J,Gastos!$K:$K,'ESCENARIO 1'!AT$1)</f>
        <v>0</v>
      </c>
      <c r="AU3" s="13">
        <f>SUMIFS(Gastos!$J:$J,Gastos!$K:$K,'ESCENARIO 1'!AU$1)</f>
        <v>0</v>
      </c>
      <c r="AV3" s="13">
        <f>SUMIFS(Gastos!$J:$J,Gastos!$K:$K,'ESCENARIO 1'!AV$1)</f>
        <v>2000000000</v>
      </c>
      <c r="AW3" s="13">
        <f>SUMIFS(Gastos!$J:$J,Gastos!$K:$K,'ESCENARIO 1'!AW$1)</f>
        <v>0</v>
      </c>
      <c r="AX3" s="13">
        <f>SUMIFS(Gastos!$J:$J,Gastos!$K:$K,'ESCENARIO 1'!AX$1)</f>
        <v>0</v>
      </c>
      <c r="AY3" s="13">
        <f>SUMIFS(Gastos!$J:$J,Gastos!$K:$K,'ESCENARIO 1'!AY$1)</f>
        <v>0</v>
      </c>
      <c r="AZ3" s="13">
        <f>SUMIFS(Gastos!$J:$J,Gastos!$K:$K,'ESCENARIO 1'!AZ$1)</f>
        <v>0</v>
      </c>
      <c r="BA3" s="13">
        <f>SUMIFS(Gastos!$J:$J,Gastos!$K:$K,'ESCENARIO 1'!BA$1)</f>
        <v>7681245488.1099997</v>
      </c>
      <c r="BB3" s="13">
        <f>SUMIFS(Gastos!$J:$J,Gastos!$K:$K,'ESCENARIO 1'!BB$1)</f>
        <v>0</v>
      </c>
      <c r="BC3" s="13">
        <f>SUMIFS(Gastos!$J:$J,Gastos!$K:$K,'ESCENARIO 1'!BC$1)</f>
        <v>0</v>
      </c>
      <c r="BD3" s="13">
        <f>SUMIFS(Gastos!$J:$J,Gastos!$K:$K,'ESCENARIO 1'!BD$1)</f>
        <v>0</v>
      </c>
      <c r="BE3" s="13">
        <f>SUMIFS(Gastos!$J:$J,Gastos!$K:$K,'ESCENARIO 1'!BE$1)</f>
        <v>0</v>
      </c>
      <c r="BF3" s="13">
        <f>SUMIFS(Gastos!$J:$J,Gastos!$K:$K,'ESCENARIO 1'!BF$1)</f>
        <v>0</v>
      </c>
      <c r="BG3" s="13">
        <f>SUMIFS(Gastos!$J:$J,Gastos!$K:$K,'ESCENARIO 1'!BG$1)</f>
        <v>6951919053.1999998</v>
      </c>
      <c r="BH3" s="13">
        <f>SUMIFS(Gastos!$J:$J,Gastos!$K:$K,'ESCENARIO 1'!BH$1)</f>
        <v>20099428517.780003</v>
      </c>
      <c r="BI3" s="13">
        <f>SUMIFS(Gastos!$L:$L,Gastos!$M:$M,'ESCENARIO 1'!BI$1)</f>
        <v>0</v>
      </c>
      <c r="BJ3" s="13">
        <f>SUMIFS(Gastos!$L:$L,Gastos!$M:$M,'ESCENARIO 1'!BJ$1)</f>
        <v>0</v>
      </c>
      <c r="BK3" s="13">
        <f>SUMIFS(Gastos!$L:$L,Gastos!$M:$M,'ESCENARIO 1'!BK$1)</f>
        <v>0</v>
      </c>
      <c r="BL3" s="13">
        <f>SUMIFS(Gastos!$L:$L,Gastos!$M:$M,'ESCENARIO 1'!BL$1)</f>
        <v>0</v>
      </c>
      <c r="BM3" s="13">
        <f>SUMIFS(Gastos!$L:$L,Gastos!$M:$M,'ESCENARIO 1'!BM$1)</f>
        <v>0</v>
      </c>
      <c r="BN3" s="13">
        <f>SUMIFS(Gastos!$L:$L,Gastos!$M:$M,'ESCENARIO 1'!BN$1)</f>
        <v>0</v>
      </c>
      <c r="BO3" s="13">
        <f>SUMIFS(Gastos!$L:$L,Gastos!$M:$M,'ESCENARIO 1'!BO$1)</f>
        <v>1107100000</v>
      </c>
      <c r="BP3" s="13">
        <f>SUMIFS(Gastos!$L:$L,Gastos!$M:$M,'ESCENARIO 1'!BP$1)</f>
        <v>0</v>
      </c>
      <c r="BQ3" s="13">
        <f>SUMIFS(Gastos!$L:$L,Gastos!$M:$M,'ESCENARIO 1'!BQ$1)</f>
        <v>0</v>
      </c>
      <c r="BR3" s="13">
        <f>SUMIFS(Gastos!$L:$L,Gastos!$M:$M,'ESCENARIO 1'!BR$1)</f>
        <v>0</v>
      </c>
      <c r="BS3" s="13">
        <f>SUMIFS(Gastos!$L:$L,Gastos!$M:$M,'ESCENARIO 1'!BS$1)</f>
        <v>0</v>
      </c>
      <c r="BT3" s="13">
        <f>SUMIFS(Gastos!$L:$L,Gastos!$M:$M,'ESCENARIO 1'!BT$1)</f>
        <v>0</v>
      </c>
      <c r="BU3" s="13">
        <f>SUMIFS(Gastos!$L:$L,Gastos!$M:$M,'ESCENARIO 1'!BU$1)</f>
        <v>0</v>
      </c>
      <c r="BV3" s="13">
        <f>SUMIFS(Gastos!$L:$L,Gastos!$M:$M,'ESCENARIO 1'!BV$1)</f>
        <v>1102000000</v>
      </c>
      <c r="BW3" s="13">
        <f>SUMIFS(Gastos!$L:$L,Gastos!$M:$M,'ESCENARIO 1'!BW$1)</f>
        <v>1450000000</v>
      </c>
      <c r="BX3" s="13">
        <f>SUMIFS(Gastos!$L:$L,Gastos!$M:$M,'ESCENARIO 1'!BX$1)</f>
        <v>0</v>
      </c>
      <c r="BY3" s="13">
        <f>SUMIFS(Gastos!$L:$L,Gastos!$M:$M,'ESCENARIO 1'!BY$1)</f>
        <v>0</v>
      </c>
      <c r="BZ3" s="13">
        <f>SUMIFS(Gastos!$L:$L,Gastos!$M:$M,'ESCENARIO 1'!BZ$1)</f>
        <v>0</v>
      </c>
      <c r="CA3" s="13">
        <f>SUMIFS(Gastos!$L:$L,Gastos!$M:$M,'ESCENARIO 1'!CA$1)</f>
        <v>0</v>
      </c>
      <c r="CB3" s="13">
        <f>SUMIFS(Gastos!$L:$L,Gastos!$M:$M,'ESCENARIO 1'!CB$1)</f>
        <v>2000000000</v>
      </c>
      <c r="CC3" s="13">
        <f>SUMIFS(Gastos!$L:$L,Gastos!$M:$M,'ESCENARIO 1'!CC$1)</f>
        <v>0</v>
      </c>
      <c r="CD3" s="13">
        <f>SUMIFS(Gastos!$L:$L,Gastos!$M:$M,'ESCENARIO 1'!CD$1)</f>
        <v>0</v>
      </c>
      <c r="CE3" s="13">
        <f>SUMIFS(Gastos!$L:$L,Gastos!$M:$M,'ESCENARIO 1'!CE$1)</f>
        <v>0</v>
      </c>
      <c r="CF3" s="13">
        <f>SUMIFS(Gastos!$L:$L,Gastos!$M:$M,'ESCENARIO 1'!CF$1)</f>
        <v>0</v>
      </c>
      <c r="CG3" s="13">
        <f>SUMIFS(Gastos!$L:$L,Gastos!$M:$M,'ESCENARIO 1'!CG$1)</f>
        <v>0</v>
      </c>
      <c r="CH3" s="13">
        <f>SUMIFS(Gastos!$L:$L,Gastos!$M:$M,'ESCENARIO 1'!CH$1)</f>
        <v>0</v>
      </c>
      <c r="CI3" s="13">
        <f>SUMIFS(Gastos!$L:$L,Gastos!$M:$M,'ESCENARIO 1'!CI$1)</f>
        <v>0</v>
      </c>
      <c r="CJ3" s="13">
        <f>SUMIFS(Gastos!$L:$L,Gastos!$M:$M,'ESCENARIO 1'!CJ$1)</f>
        <v>6524254996.0699997</v>
      </c>
      <c r="CK3" s="13">
        <f>SUMIFS(Gastos!$L:$L,Gastos!$M:$M,'ESCENARIO 1'!CK$1)</f>
        <v>351972090.40999997</v>
      </c>
      <c r="CL3" s="13">
        <f>SUMIFS(Gastos!$L:$L,Gastos!$M:$M,'ESCENARIO 1'!CL$1)</f>
        <v>24010736880.889999</v>
      </c>
      <c r="CM3" s="13">
        <f>SUMIFS(Gastos!$N:$N,Gastos!$O:$O,'ESCENARIO 1'!CM$1)</f>
        <v>0</v>
      </c>
      <c r="CN3" s="13">
        <f>SUMIFS(Gastos!$N:$N,Gastos!$O:$O,'ESCENARIO 1'!CN$1)</f>
        <v>0</v>
      </c>
      <c r="CO3" s="13">
        <f>SUMIFS(Gastos!$N:$N,Gastos!$O:$O,'ESCENARIO 1'!CO$1)</f>
        <v>0</v>
      </c>
      <c r="CP3" s="13">
        <f>SUMIFS(Gastos!$N:$N,Gastos!$O:$O,'ESCENARIO 1'!CP$1)</f>
        <v>0</v>
      </c>
      <c r="CQ3" s="13">
        <f>SUMIFS(Gastos!$N:$N,Gastos!$O:$O,'ESCENARIO 1'!CQ$1)</f>
        <v>1107100000</v>
      </c>
      <c r="CR3" s="13">
        <f>SUMIFS(Gastos!$N:$N,Gastos!$O:$O,'ESCENARIO 1'!CR$1)</f>
        <v>0</v>
      </c>
      <c r="CS3" s="13">
        <f>SUMIFS(Gastos!$N:$N,Gastos!$O:$O,'ESCENARIO 1'!CS$1)</f>
        <v>0</v>
      </c>
      <c r="CT3" s="13">
        <f>SUMIFS(Gastos!$N:$N,Gastos!$O:$O,'ESCENARIO 1'!CT$1)</f>
        <v>0</v>
      </c>
      <c r="CU3" s="13">
        <f>SUMIFS(Gastos!$N:$N,Gastos!$O:$O,'ESCENARIO 1'!CU$1)</f>
        <v>0</v>
      </c>
      <c r="CV3" s="13">
        <f>SUMIFS(Gastos!$N:$N,Gastos!$O:$O,'ESCENARIO 1'!CV$1)</f>
        <v>0</v>
      </c>
      <c r="CW3" s="13">
        <f>SUMIFS(Gastos!$N:$N,Gastos!$O:$O,'ESCENARIO 1'!CW$1)</f>
        <v>0</v>
      </c>
      <c r="CX3" s="13">
        <f>SUMIFS(Gastos!$N:$N,Gastos!$O:$O,'ESCENARIO 1'!CX$1)</f>
        <v>1102000000</v>
      </c>
      <c r="CY3" s="13">
        <f>SUMIFS(Gastos!$N:$N,Gastos!$O:$O,'ESCENARIO 1'!CY$1)</f>
        <v>0</v>
      </c>
      <c r="CZ3" s="13">
        <f>SUMIFS(Gastos!$N:$N,Gastos!$O:$O,'ESCENARIO 1'!CZ$1)</f>
        <v>0</v>
      </c>
      <c r="DA3" s="13">
        <f>SUMIFS(Gastos!$N:$N,Gastos!$O:$O,'ESCENARIO 1'!DA$1)</f>
        <v>1450000000</v>
      </c>
      <c r="DB3" s="13">
        <f>SUMIFS(Gastos!$N:$N,Gastos!$O:$O,'ESCENARIO 1'!DB$1)</f>
        <v>0</v>
      </c>
      <c r="DC3" s="13">
        <f>SUMIFS(Gastos!$N:$N,Gastos!$O:$O,'ESCENARIO 1'!DC$1)</f>
        <v>0</v>
      </c>
      <c r="DD3" s="13">
        <f>SUMIFS(Gastos!$N:$N,Gastos!$O:$O,'ESCENARIO 1'!DD$1)</f>
        <v>0</v>
      </c>
      <c r="DE3" s="13">
        <f>SUMIFS(Gastos!$N:$N,Gastos!$O:$O,'ESCENARIO 1'!DE$1)</f>
        <v>0</v>
      </c>
      <c r="DF3" s="13">
        <f>SUMIFS(Gastos!$N:$N,Gastos!$O:$O,'ESCENARIO 1'!DF$1)</f>
        <v>0</v>
      </c>
      <c r="DG3" s="13">
        <f>SUMIFS(Gastos!$N:$N,Gastos!$O:$O,'ESCENARIO 1'!DG$1)</f>
        <v>0</v>
      </c>
      <c r="DH3" s="13">
        <f>SUMIFS(Gastos!$N:$N,Gastos!$O:$O,'ESCENARIO 1'!DH$1)</f>
        <v>0</v>
      </c>
      <c r="DI3" s="13">
        <f>SUMIFS(Gastos!$N:$N,Gastos!$O:$O,'ESCENARIO 1'!DI$1)</f>
        <v>0</v>
      </c>
      <c r="DJ3" s="13">
        <f>SUMIFS(Gastos!$N:$N,Gastos!$O:$O,'ESCENARIO 1'!DJ$1)</f>
        <v>0</v>
      </c>
      <c r="DK3" s="13">
        <f>SUMIFS(Gastos!$N:$N,Gastos!$O:$O,'ESCENARIO 1'!DK$1)</f>
        <v>0</v>
      </c>
      <c r="DL3" s="13">
        <f>SUMIFS(Gastos!$N:$N,Gastos!$O:$O,'ESCENARIO 1'!DL$1)</f>
        <v>6786364996.0699997</v>
      </c>
      <c r="DM3" s="13">
        <f>SUMIFS(Gastos!$N:$N,Gastos!$O:$O,'ESCENARIO 1'!DM$1)</f>
        <v>0</v>
      </c>
      <c r="DN3" s="13">
        <f>SUMIFS(Gastos!$N:$N,Gastos!$O:$O,'ESCENARIO 1'!DN$1)</f>
        <v>0</v>
      </c>
      <c r="DO3" s="13">
        <f>SUMIFS(Gastos!$N:$N,Gastos!$O:$O,'ESCENARIO 1'!DO$1)</f>
        <v>25215433362.379997</v>
      </c>
      <c r="DP3" s="13">
        <f>SUMIFS(Gastos!$N:$N,Gastos!$O:$O,'ESCENARIO 1'!DP$1)</f>
        <v>0</v>
      </c>
      <c r="DQ3" s="13">
        <f>SUMIFS(Gastos!$N:$N,Gastos!$O:$O,'ESCENARIO 1'!DQ$1)</f>
        <v>0</v>
      </c>
      <c r="DR3" s="13">
        <f>SUMIFS(Gastos!$P:$P,Gastos!$Q:$Q,'ESCENARIO 1'!DR$1)</f>
        <v>0</v>
      </c>
      <c r="DS3" s="13">
        <f>SUMIFS(Gastos!$P:$P,Gastos!$Q:$Q,'ESCENARIO 1'!DS$1)</f>
        <v>1107100000</v>
      </c>
      <c r="DT3" s="13">
        <f>SUMIFS(Gastos!$P:$P,Gastos!$Q:$Q,'ESCENARIO 1'!DT$1)</f>
        <v>0</v>
      </c>
      <c r="DU3" s="13">
        <f>SUMIFS(Gastos!$P:$P,Gastos!$Q:$Q,'ESCENARIO 1'!DU$1)</f>
        <v>0</v>
      </c>
      <c r="DV3" s="13">
        <f>SUMIFS(Gastos!$P:$P,Gastos!$Q:$Q,'ESCENARIO 1'!DV$1)</f>
        <v>0</v>
      </c>
      <c r="DW3" s="13">
        <f>SUMIFS(Gastos!$P:$P,Gastos!$Q:$Q,'ESCENARIO 1'!DW$1)</f>
        <v>0</v>
      </c>
      <c r="DX3" s="13">
        <f>SUMIFS(Gastos!$P:$P,Gastos!$Q:$Q,'ESCENARIO 1'!DX$1)</f>
        <v>0</v>
      </c>
      <c r="DY3" s="13">
        <f>SUMIFS(Gastos!$P:$P,Gastos!$Q:$Q,'ESCENARIO 1'!DY$1)</f>
        <v>0</v>
      </c>
      <c r="DZ3" s="13">
        <f>SUMIFS(Gastos!$P:$P,Gastos!$Q:$Q,'ESCENARIO 1'!DZ$1)</f>
        <v>1102000000</v>
      </c>
      <c r="EA3" s="13">
        <f>SUMIFS(Gastos!$P:$P,Gastos!$Q:$Q,'ESCENARIO 1'!EA$1)</f>
        <v>0</v>
      </c>
      <c r="EB3" s="13">
        <f>SUMIFS(Gastos!$P:$P,Gastos!$Q:$Q,'ESCENARIO 1'!EB$1)</f>
        <v>0</v>
      </c>
      <c r="EC3" s="13">
        <f>SUMIFS(Gastos!$P:$P,Gastos!$Q:$Q,'ESCENARIO 1'!EC$1)</f>
        <v>1200000000</v>
      </c>
      <c r="ED3" s="13">
        <f>SUMIFS(Gastos!$P:$P,Gastos!$Q:$Q,'ESCENARIO 1'!ED$1)</f>
        <v>0</v>
      </c>
      <c r="EE3" s="13">
        <f>SUMIFS(Gastos!$P:$P,Gastos!$Q:$Q,'ESCENARIO 1'!EE$1)</f>
        <v>0</v>
      </c>
      <c r="EF3" s="13">
        <f>SUMIFS(Gastos!$P:$P,Gastos!$Q:$Q,'ESCENARIO 1'!EF$1)</f>
        <v>250000000</v>
      </c>
      <c r="EG3" s="13">
        <f>SUMIFS(Gastos!$P:$P,Gastos!$Q:$Q,'ESCENARIO 1'!EG$1)</f>
        <v>0</v>
      </c>
      <c r="EH3" s="13">
        <f>SUMIFS(Gastos!$P:$P,Gastos!$Q:$Q,'ESCENARIO 1'!EH$1)</f>
        <v>0</v>
      </c>
      <c r="EI3" s="13">
        <f>SUMIFS(Gastos!$P:$P,Gastos!$Q:$Q,'ESCENARIO 1'!EI$1)</f>
        <v>0</v>
      </c>
      <c r="EJ3" s="13">
        <f>SUMIFS(Gastos!$P:$P,Gastos!$Q:$Q,'ESCENARIO 1'!EJ$1)</f>
        <v>0</v>
      </c>
      <c r="EK3" s="13">
        <f>SUMIFS(Gastos!$P:$P,Gastos!$Q:$Q,'ESCENARIO 1'!EK$1)</f>
        <v>0</v>
      </c>
      <c r="EL3" s="13">
        <f>SUMIFS(Gastos!$P:$P,Gastos!$Q:$Q,'ESCENARIO 1'!EL$1)</f>
        <v>0</v>
      </c>
      <c r="EM3" s="13">
        <f>SUMIFS(Gastos!$P:$P,Gastos!$Q:$Q,'ESCENARIO 1'!EM$1)</f>
        <v>0</v>
      </c>
      <c r="EN3" s="13">
        <f>SUMIFS(Gastos!$P:$P,Gastos!$Q:$Q,'ESCENARIO 1'!EN$1)</f>
        <v>6368254996.0699997</v>
      </c>
      <c r="EO3" s="13">
        <f>SUMIFS(Gastos!$P:$P,Gastos!$Q:$Q,'ESCENARIO 1'!EO$1)</f>
        <v>0</v>
      </c>
      <c r="EP3" s="13">
        <f>SUMIFS(Gastos!$P:$P,Gastos!$Q:$Q,'ESCENARIO 1'!EP$1)</f>
        <v>0</v>
      </c>
      <c r="EQ3" s="13">
        <f>SUMIFS(Gastos!$P:$P,Gastos!$Q:$Q,'ESCENARIO 1'!EQ$1)</f>
        <v>0</v>
      </c>
      <c r="ER3" s="13">
        <f>SUMIFS(Gastos!$P:$P,Gastos!$Q:$Q,'ESCENARIO 1'!ER$1)</f>
        <v>0</v>
      </c>
      <c r="ES3" s="13">
        <f>SUMIFS(Gastos!$P:$P,Gastos!$Q:$Q,'ESCENARIO 1'!ES$1)</f>
        <v>0</v>
      </c>
      <c r="ET3" s="13">
        <f>SUMIFS(Gastos!$P:$P,Gastos!$Q:$Q,'ESCENARIO 1'!ET$1)</f>
        <v>0</v>
      </c>
      <c r="EU3" s="13">
        <f>SUMIFS(Gastos!$P:$P,Gastos!$Q:$Q,'ESCENARIO 1'!EU$1)</f>
        <v>28164596803.239998</v>
      </c>
      <c r="EV3" s="13">
        <f>SUMIFS(Gastos!$R:$R,Gastos!$S:$S,'ESCENARIO 1'!EV$1)</f>
        <v>0</v>
      </c>
      <c r="EW3" s="13">
        <f>SUMIFS(Gastos!$R:$R,Gastos!$S:$S,'ESCENARIO 1'!EW$1)</f>
        <v>0</v>
      </c>
      <c r="EX3" s="13">
        <f>SUMIFS(Gastos!$R:$R,Gastos!$S:$S,'ESCENARIO 1'!EX$1)</f>
        <v>0</v>
      </c>
      <c r="EY3" s="13">
        <f>SUMIFS(Gastos!$R:$R,Gastos!$S:$S,'ESCENARIO 1'!EY$1)</f>
        <v>0</v>
      </c>
      <c r="EZ3" s="13">
        <f>SUMIFS(Gastos!$R:$R,Gastos!$S:$S,'ESCENARIO 1'!EZ$1)</f>
        <v>0</v>
      </c>
      <c r="FA3" s="13">
        <f>SUMIFS(Gastos!$R:$R,Gastos!$S:$S,'ESCENARIO 1'!FA$1)</f>
        <v>0</v>
      </c>
      <c r="FB3" s="13">
        <f>SUMIFS(Gastos!$R:$R,Gastos!$S:$S,'ESCENARIO 1'!FB$1)</f>
        <v>1107100000</v>
      </c>
      <c r="FC3" s="13">
        <f>SUMIFS(Gastos!$R:$R,Gastos!$S:$S,'ESCENARIO 1'!FC$1)</f>
        <v>0</v>
      </c>
      <c r="FD3" s="13">
        <f>SUMIFS(Gastos!$R:$R,Gastos!$S:$S,'ESCENARIO 1'!FD$1)</f>
        <v>0</v>
      </c>
      <c r="FE3" s="13">
        <f>SUMIFS(Gastos!$R:$R,Gastos!$S:$S,'ESCENARIO 1'!FE$1)</f>
        <v>0</v>
      </c>
      <c r="FF3" s="13">
        <f>SUMIFS(Gastos!$R:$R,Gastos!$S:$S,'ESCENARIO 1'!FF$1)</f>
        <v>0</v>
      </c>
      <c r="FG3" s="13">
        <f>SUMIFS(Gastos!$R:$R,Gastos!$S:$S,'ESCENARIO 1'!FG$1)</f>
        <v>0</v>
      </c>
      <c r="FH3" s="13">
        <f>SUMIFS(Gastos!$R:$R,Gastos!$S:$S,'ESCENARIO 1'!FH$1)</f>
        <v>0</v>
      </c>
      <c r="FI3" s="13">
        <f>SUMIFS(Gastos!$R:$R,Gastos!$S:$S,'ESCENARIO 1'!FI$1)</f>
        <v>1102000000</v>
      </c>
      <c r="FJ3" s="13">
        <f>SUMIFS(Gastos!$R:$R,Gastos!$S:$S,'ESCENARIO 1'!FJ$1)</f>
        <v>1450000000</v>
      </c>
      <c r="FK3" s="13">
        <f>SUMIFS(Gastos!$R:$R,Gastos!$S:$S,'ESCENARIO 1'!FK$1)</f>
        <v>0</v>
      </c>
      <c r="FL3" s="13">
        <f>SUMIFS(Gastos!$R:$R,Gastos!$S:$S,'ESCENARIO 1'!FL$1)</f>
        <v>0</v>
      </c>
      <c r="FM3" s="13">
        <f>SUMIFS(Gastos!$R:$R,Gastos!$S:$S,'ESCENARIO 1'!FM$1)</f>
        <v>0</v>
      </c>
      <c r="FN3" s="13">
        <f>SUMIFS(Gastos!$R:$R,Gastos!$S:$S,'ESCENARIO 1'!FN$1)</f>
        <v>0</v>
      </c>
      <c r="FO3" s="13">
        <f>SUMIFS(Gastos!$R:$R,Gastos!$S:$S,'ESCENARIO 1'!FO$1)</f>
        <v>0</v>
      </c>
      <c r="FP3" s="13">
        <f>SUMIFS(Gastos!$R:$R,Gastos!$S:$S,'ESCENARIO 1'!FP$1)</f>
        <v>0</v>
      </c>
      <c r="FQ3" s="13">
        <f>SUMIFS(Gastos!$R:$R,Gastos!$S:$S,'ESCENARIO 1'!FQ$1)</f>
        <v>0</v>
      </c>
      <c r="FR3" s="13">
        <f>SUMIFS(Gastos!$R:$R,Gastos!$S:$S,'ESCENARIO 1'!FR$1)</f>
        <v>0</v>
      </c>
      <c r="FS3" s="13">
        <f>SUMIFS(Gastos!$R:$R,Gastos!$S:$S,'ESCENARIO 1'!FS$1)</f>
        <v>0</v>
      </c>
      <c r="FT3" s="13">
        <f>SUMIFS(Gastos!$R:$R,Gastos!$S:$S,'ESCENARIO 1'!FT$1)</f>
        <v>0</v>
      </c>
      <c r="FU3" s="13">
        <f>SUMIFS(Gastos!$R:$R,Gastos!$S:$S,'ESCENARIO 1'!FU$1)</f>
        <v>0</v>
      </c>
      <c r="FV3" s="13">
        <f>SUMIFS(Gastos!$R:$R,Gastos!$S:$S,'ESCENARIO 1'!FV$1)</f>
        <v>0</v>
      </c>
      <c r="FW3" s="13">
        <f>SUMIFS(Gastos!$R:$R,Gastos!$S:$S,'ESCENARIO 1'!FW$1)</f>
        <v>6403254996.0699997</v>
      </c>
      <c r="FX3" s="13">
        <f>SUMIFS(Gastos!$R:$R,Gastos!$S:$S,'ESCENARIO 1'!FX$1)</f>
        <v>0</v>
      </c>
      <c r="FY3" s="13">
        <f>SUMIFS(Gastos!$R:$R,Gastos!$S:$S,'ESCENARIO 1'!FY$1)</f>
        <v>0</v>
      </c>
      <c r="FZ3" s="13">
        <f>SUMIFS(Gastos!$R:$R,Gastos!$S:$S,'ESCENARIO 1'!FZ$1)</f>
        <v>24685649142.810001</v>
      </c>
      <c r="GA3" s="13">
        <f>SUMIFS(Gastos!$T:$T,Gastos!$U:$U,'ESCENARIO 1'!GA$1)</f>
        <v>0</v>
      </c>
      <c r="GB3" s="13">
        <f>SUMIFS(Gastos!$T:$T,Gastos!$U:$U,'ESCENARIO 1'!GB$1)</f>
        <v>0</v>
      </c>
      <c r="GC3" s="13">
        <f>SUMIFS(Gastos!$T:$T,Gastos!$U:$U,'ESCENARIO 1'!GC$1)</f>
        <v>0</v>
      </c>
      <c r="GD3" s="13">
        <f>SUMIFS(Gastos!$T:$T,Gastos!$U:$U,'ESCENARIO 1'!GD$1)</f>
        <v>1107100000</v>
      </c>
      <c r="GE3" s="13">
        <f>SUMIFS(Gastos!$T:$T,Gastos!$U:$U,'ESCENARIO 1'!GE$1)</f>
        <v>0</v>
      </c>
      <c r="GF3" s="13">
        <f>SUMIFS(Gastos!$T:$T,Gastos!$U:$U,'ESCENARIO 1'!GF$1)</f>
        <v>0</v>
      </c>
      <c r="GG3" s="13">
        <f>SUMIFS(Gastos!$T:$T,Gastos!$U:$U,'ESCENARIO 1'!GG$1)</f>
        <v>0</v>
      </c>
      <c r="GH3" s="13">
        <f>SUMIFS(Gastos!$T:$T,Gastos!$U:$U,'ESCENARIO 1'!GH$1)</f>
        <v>0</v>
      </c>
      <c r="GI3" s="13">
        <f>SUMIFS(Gastos!$T:$T,Gastos!$U:$U,'ESCENARIO 1'!GI$1)</f>
        <v>0</v>
      </c>
      <c r="GJ3" s="13">
        <f>SUMIFS(Gastos!$T:$T,Gastos!$U:$U,'ESCENARIO 1'!GJ$1)</f>
        <v>0</v>
      </c>
      <c r="GK3" s="13">
        <f>SUMIFS(Gastos!$T:$T,Gastos!$U:$U,'ESCENARIO 1'!GK$1)</f>
        <v>1102000000</v>
      </c>
      <c r="GL3" s="13">
        <f>SUMIFS(Gastos!$T:$T,Gastos!$U:$U,'ESCENARIO 1'!GL$1)</f>
        <v>0</v>
      </c>
      <c r="GM3" s="13">
        <f>SUMIFS(Gastos!$T:$T,Gastos!$U:$U,'ESCENARIO 1'!GM$1)</f>
        <v>0</v>
      </c>
      <c r="GN3" s="13">
        <f>SUMIFS(Gastos!$T:$T,Gastos!$U:$U,'ESCENARIO 1'!GN$1)</f>
        <v>1200000000</v>
      </c>
      <c r="GO3" s="13">
        <f>SUMIFS(Gastos!$T:$T,Gastos!$U:$U,'ESCENARIO 1'!GO$1)</f>
        <v>250000000</v>
      </c>
      <c r="GP3" s="13">
        <f>SUMIFS(Gastos!$T:$T,Gastos!$U:$U,'ESCENARIO 1'!GP$1)</f>
        <v>0</v>
      </c>
      <c r="GQ3" s="13">
        <f>SUMIFS(Gastos!$T:$T,Gastos!$U:$U,'ESCENARIO 1'!GQ$1)</f>
        <v>0</v>
      </c>
      <c r="GR3" s="13">
        <f>SUMIFS(Gastos!$T:$T,Gastos!$U:$U,'ESCENARIO 1'!GR$1)</f>
        <v>0</v>
      </c>
      <c r="GS3" s="13">
        <f>SUMIFS(Gastos!$T:$T,Gastos!$U:$U,'ESCENARIO 1'!GS$1)</f>
        <v>0</v>
      </c>
      <c r="GT3" s="13">
        <f>SUMIFS(Gastos!$T:$T,Gastos!$U:$U,'ESCENARIO 1'!GT$1)</f>
        <v>0</v>
      </c>
      <c r="GU3" s="13">
        <f>SUMIFS(Gastos!$T:$T,Gastos!$U:$U,'ESCENARIO 1'!GU$1)</f>
        <v>0</v>
      </c>
      <c r="GV3" s="13">
        <f>SUMIFS(Gastos!$T:$T,Gastos!$U:$U,'ESCENARIO 1'!GV$1)</f>
        <v>0</v>
      </c>
      <c r="GW3" s="13">
        <f>SUMIFS(Gastos!$T:$T,Gastos!$U:$U,'ESCENARIO 1'!GW$1)</f>
        <v>0</v>
      </c>
      <c r="GX3" s="13">
        <f>SUMIFS(Gastos!$T:$T,Gastos!$U:$U,'ESCENARIO 1'!GX$1)</f>
        <v>0</v>
      </c>
      <c r="GY3" s="13">
        <f>SUMIFS(Gastos!$T:$T,Gastos!$U:$U,'ESCENARIO 1'!GY$1)</f>
        <v>6383254996.0699997</v>
      </c>
      <c r="GZ3" s="13">
        <f>SUMIFS(Gastos!$T:$T,Gastos!$U:$U,'ESCENARIO 1'!GZ$1)</f>
        <v>0</v>
      </c>
      <c r="HA3" s="13">
        <f>SUMIFS(Gastos!$T:$T,Gastos!$U:$U,'ESCENARIO 1'!HA$1)</f>
        <v>0</v>
      </c>
      <c r="HB3" s="13">
        <f>SUMIFS(Gastos!$T:$T,Gastos!$U:$U,'ESCENARIO 1'!HB$1)</f>
        <v>0</v>
      </c>
      <c r="HC3" s="13">
        <f>SUMIFS(Gastos!$T:$T,Gastos!$U:$U,'ESCENARIO 1'!HC$1)</f>
        <v>0</v>
      </c>
      <c r="HD3" s="13">
        <f>SUMIFS(Gastos!$T:$T,Gastos!$U:$U,'ESCENARIO 1'!HD$1)</f>
        <v>0</v>
      </c>
      <c r="HE3" s="13">
        <f>SUMIFS(Gastos!$T:$T,Gastos!$U:$U,'ESCENARIO 1'!HE$1)</f>
        <v>21782912778.509998</v>
      </c>
      <c r="HF3" s="13">
        <f>SUMIFS(Gastos!$V:$V,Gastos!$W:$W,'ESCENARIO 1'!HF$1)</f>
        <v>1107100000</v>
      </c>
      <c r="HG3" s="13">
        <f>SUMIFS(Gastos!$V:$V,Gastos!$W:$W,'ESCENARIO 1'!HG$1)</f>
        <v>0</v>
      </c>
      <c r="HH3" s="13">
        <f>SUMIFS(Gastos!$V:$V,Gastos!$W:$W,'ESCENARIO 1'!HH$1)</f>
        <v>0</v>
      </c>
      <c r="HI3" s="13">
        <f>SUMIFS(Gastos!$V:$V,Gastos!$W:$W,'ESCENARIO 1'!HI$1)</f>
        <v>0</v>
      </c>
      <c r="HJ3" s="13">
        <f>SUMIFS(Gastos!$V:$V,Gastos!$W:$W,'ESCENARIO 1'!HJ$1)</f>
        <v>0</v>
      </c>
      <c r="HK3" s="13">
        <f>SUMIFS(Gastos!$V:$V,Gastos!$W:$W,'ESCENARIO 1'!HK$1)</f>
        <v>0</v>
      </c>
      <c r="HL3" s="13">
        <f>SUMIFS(Gastos!$V:$V,Gastos!$W:$W,'ESCENARIO 1'!HL$1)</f>
        <v>0</v>
      </c>
      <c r="HM3" s="13">
        <f>SUMIFS(Gastos!$V:$V,Gastos!$W:$W,'ESCENARIO 1'!HM$1)</f>
        <v>1102000000</v>
      </c>
      <c r="HN3" s="13">
        <f>SUMIFS(Gastos!$V:$V,Gastos!$W:$W,'ESCENARIO 1'!HN$1)</f>
        <v>0</v>
      </c>
      <c r="HO3" s="13">
        <f>SUMIFS(Gastos!$V:$V,Gastos!$W:$W,'ESCENARIO 1'!HO$1)</f>
        <v>0</v>
      </c>
      <c r="HP3" s="13">
        <f>SUMIFS(Gastos!$V:$V,Gastos!$W:$W,'ESCENARIO 1'!HP$1)</f>
        <v>0</v>
      </c>
      <c r="HQ3" s="13">
        <f>SUMIFS(Gastos!$V:$V,Gastos!$W:$W,'ESCENARIO 1'!HQ$1)</f>
        <v>0</v>
      </c>
      <c r="HR3" s="13">
        <f>SUMIFS(Gastos!$V:$V,Gastos!$W:$W,'ESCENARIO 1'!HR$1)</f>
        <v>0</v>
      </c>
      <c r="HS3" s="13">
        <f>SUMIFS(Gastos!$V:$V,Gastos!$W:$W,'ESCENARIO 1'!HS$1)</f>
        <v>0</v>
      </c>
      <c r="HT3" s="13">
        <f>SUMIFS(Gastos!$V:$V,Gastos!$W:$W,'ESCENARIO 1'!HT$1)</f>
        <v>1450000000</v>
      </c>
      <c r="HU3" s="13">
        <f>SUMIFS(Gastos!$V:$V,Gastos!$W:$W,'ESCENARIO 1'!HU$1)</f>
        <v>0</v>
      </c>
      <c r="HV3" s="13">
        <f>SUMIFS(Gastos!$V:$V,Gastos!$W:$W,'ESCENARIO 1'!HV$1)</f>
        <v>0</v>
      </c>
      <c r="HW3" s="13">
        <f>SUMIFS(Gastos!$V:$V,Gastos!$W:$W,'ESCENARIO 1'!HW$1)</f>
        <v>0</v>
      </c>
      <c r="HX3" s="13">
        <f>SUMIFS(Gastos!$V:$V,Gastos!$W:$W,'ESCENARIO 1'!HX$1)</f>
        <v>0</v>
      </c>
      <c r="HY3" s="13">
        <f>SUMIFS(Gastos!$V:$V,Gastos!$W:$W,'ESCENARIO 1'!HY$1)</f>
        <v>0</v>
      </c>
      <c r="HZ3" s="13">
        <f>SUMIFS(Gastos!$V:$V,Gastos!$W:$W,'ESCENARIO 1'!HZ$1)</f>
        <v>0</v>
      </c>
      <c r="IA3" s="13">
        <f>SUMIFS(Gastos!$V:$V,Gastos!$W:$W,'ESCENARIO 1'!IA$1)</f>
        <v>6361432996.0699997</v>
      </c>
      <c r="IB3" s="13">
        <f>SUMIFS(Gastos!$V:$V,Gastos!$W:$W,'ESCENARIO 1'!IB$1)</f>
        <v>0</v>
      </c>
      <c r="IC3" s="13">
        <f>SUMIFS(Gastos!$V:$V,Gastos!$W:$W,'ESCENARIO 1'!IC$1)</f>
        <v>0</v>
      </c>
      <c r="ID3" s="13">
        <f>SUMIFS(Gastos!$V:$V,Gastos!$W:$W,'ESCENARIO 1'!ID$1)</f>
        <v>0</v>
      </c>
      <c r="IE3" s="13">
        <f>SUMIFS(Gastos!$V:$V,Gastos!$W:$W,'ESCENARIO 1'!IE$1)</f>
        <v>0</v>
      </c>
      <c r="IF3" s="13">
        <f>SUMIFS(Gastos!$V:$V,Gastos!$W:$W,'ESCENARIO 1'!IF$1)</f>
        <v>0</v>
      </c>
      <c r="IG3" s="13">
        <f>SUMIFS(Gastos!$V:$V,Gastos!$W:$W,'ESCENARIO 1'!IG$1)</f>
        <v>0</v>
      </c>
      <c r="IH3" s="13">
        <f>SUMIFS(Gastos!$V:$V,Gastos!$W:$W,'ESCENARIO 1'!IH$1)</f>
        <v>0</v>
      </c>
      <c r="II3" s="13">
        <f>SUMIFS(Gastos!$V:$V,Gastos!$W:$W,'ESCENARIO 1'!II$1)</f>
        <v>21163729765.990002</v>
      </c>
      <c r="IJ3" s="13">
        <f>SUMIFS(Gastos!$X:$X,Gastos!$Y:$Y,'ESCENARIO 1'!IJ$1)</f>
        <v>0</v>
      </c>
      <c r="IK3" s="13">
        <f>SUMIFS(Gastos!$X:$X,Gastos!$Y:$Y,'ESCENARIO 1'!IK$1)</f>
        <v>0</v>
      </c>
      <c r="IL3" s="13">
        <f>SUMIFS(Gastos!$X:$X,Gastos!$Y:$Y,'ESCENARIO 1'!IL$1)</f>
        <v>0</v>
      </c>
      <c r="IM3" s="13">
        <f>SUMIFS(Gastos!$X:$X,Gastos!$Y:$Y,'ESCENARIO 1'!IM$1)</f>
        <v>0</v>
      </c>
      <c r="IN3" s="13">
        <f>SUMIFS(Gastos!$X:$X,Gastos!$Y:$Y,'ESCENARIO 1'!IN$1)</f>
        <v>0</v>
      </c>
      <c r="IO3" s="13">
        <f>SUMIFS(Gastos!$X:$X,Gastos!$Y:$Y,'ESCENARIO 1'!IO$1)</f>
        <v>1107100000</v>
      </c>
      <c r="IP3" s="13">
        <f>SUMIFS(Gastos!$X:$X,Gastos!$Y:$Y,'ESCENARIO 1'!IP$1)</f>
        <v>0</v>
      </c>
      <c r="IQ3" s="13">
        <f>SUMIFS(Gastos!$X:$X,Gastos!$Y:$Y,'ESCENARIO 1'!IQ$1)</f>
        <v>0</v>
      </c>
      <c r="IR3" s="13">
        <f>SUMIFS(Gastos!$X:$X,Gastos!$Y:$Y,'ESCENARIO 1'!IR$1)</f>
        <v>0</v>
      </c>
      <c r="IS3" s="13">
        <f>SUMIFS(Gastos!$X:$X,Gastos!$Y:$Y,'ESCENARIO 1'!IS$1)</f>
        <v>0</v>
      </c>
      <c r="IT3" s="13">
        <f>SUMIFS(Gastos!$X:$X,Gastos!$Y:$Y,'ESCENARIO 1'!IT$1)</f>
        <v>0</v>
      </c>
      <c r="IU3" s="13">
        <f>SUMIFS(Gastos!$X:$X,Gastos!$Y:$Y,'ESCENARIO 1'!IU$1)</f>
        <v>0</v>
      </c>
      <c r="IV3" s="13">
        <f>SUMIFS(Gastos!$X:$X,Gastos!$Y:$Y,'ESCENARIO 1'!IV$1)</f>
        <v>1102000000</v>
      </c>
      <c r="IW3" s="13">
        <f>SUMIFS(Gastos!$X:$X,Gastos!$Y:$Y,'ESCENARIO 1'!IW$1)</f>
        <v>0</v>
      </c>
      <c r="IX3" s="13">
        <f>SUMIFS(Gastos!$X:$X,Gastos!$Y:$Y,'ESCENARIO 1'!IX$1)</f>
        <v>1450000000</v>
      </c>
      <c r="IY3" s="13">
        <f>SUMIFS(Gastos!$X:$X,Gastos!$Y:$Y,'ESCENARIO 1'!IY$1)</f>
        <v>0</v>
      </c>
      <c r="IZ3" s="13">
        <f>SUMIFS(Gastos!$X:$X,Gastos!$Y:$Y,'ESCENARIO 1'!IZ$1)</f>
        <v>0</v>
      </c>
      <c r="JA3" s="13">
        <f>SUMIFS(Gastos!$X:$X,Gastos!$Y:$Y,'ESCENARIO 1'!JA$1)</f>
        <v>0</v>
      </c>
      <c r="JB3" s="13">
        <f>SUMIFS(Gastos!$X:$X,Gastos!$Y:$Y,'ESCENARIO 1'!JB$1)</f>
        <v>0</v>
      </c>
      <c r="JC3" s="13">
        <f>SUMIFS(Gastos!$X:$X,Gastos!$Y:$Y,'ESCENARIO 1'!JC$1)</f>
        <v>0</v>
      </c>
      <c r="JD3" s="13">
        <f>SUMIFS(Gastos!$X:$X,Gastos!$Y:$Y,'ESCENARIO 1'!JD$1)</f>
        <v>0</v>
      </c>
      <c r="JE3" s="13">
        <f>SUMIFS(Gastos!$X:$X,Gastos!$Y:$Y,'ESCENARIO 1'!JE$1)</f>
        <v>0</v>
      </c>
      <c r="JF3" s="13">
        <f>SUMIFS(Gastos!$X:$X,Gastos!$Y:$Y,'ESCENARIO 1'!JF$1)</f>
        <v>0</v>
      </c>
      <c r="JG3" s="13">
        <f>SUMIFS(Gastos!$X:$X,Gastos!$Y:$Y,'ESCENARIO 1'!JG$1)</f>
        <v>0</v>
      </c>
      <c r="JH3" s="13">
        <f>SUMIFS(Gastos!$X:$X,Gastos!$Y:$Y,'ESCENARIO 1'!JH$1)</f>
        <v>0</v>
      </c>
      <c r="JI3" s="13">
        <f>SUMIFS(Gastos!$X:$X,Gastos!$Y:$Y,'ESCENARIO 1'!JI$1)</f>
        <v>0</v>
      </c>
      <c r="JJ3" s="13">
        <f>SUMIFS(Gastos!$X:$X,Gastos!$Y:$Y,'ESCENARIO 1'!JJ$1)</f>
        <v>6353254996.0699997</v>
      </c>
      <c r="JK3" s="13">
        <f>SUMIFS(Gastos!$X:$X,Gastos!$Y:$Y,'ESCENARIO 1'!JK$1)</f>
        <v>0</v>
      </c>
      <c r="JL3" s="13">
        <f>SUMIFS(Gastos!$X:$X,Gastos!$Y:$Y,'ESCENARIO 1'!JL$1)</f>
        <v>0</v>
      </c>
      <c r="JM3" s="13">
        <f>SUMIFS(Gastos!$X:$X,Gastos!$Y:$Y,'ESCENARIO 1'!JM$1)</f>
        <v>20489474261.300003</v>
      </c>
      <c r="JN3" s="13">
        <f>SUMIFS(Gastos!$X:$X,Gastos!$Y:$Y,'ESCENARIO 1'!JN$1)</f>
        <v>0</v>
      </c>
      <c r="JO3" s="13">
        <f>SUMIFS(Gastos!$Z:$Z,Gastos!$AA:$AA,'ESCENARIO 1'!JO$1)</f>
        <v>0</v>
      </c>
      <c r="JP3" s="13">
        <f>SUMIFS(Gastos!$Z:$Z,Gastos!$AA:$AA,'ESCENARIO 1'!JP$1)</f>
        <v>0</v>
      </c>
      <c r="JQ3" s="13">
        <f>SUMIFS(Gastos!$Z:$Z,Gastos!$AA:$AA,'ESCENARIO 1'!JQ$1)</f>
        <v>1107100000</v>
      </c>
      <c r="JR3" s="13">
        <f>SUMIFS(Gastos!$Z:$Z,Gastos!$AA:$AA,'ESCENARIO 1'!JR$1)</f>
        <v>0</v>
      </c>
      <c r="JS3" s="13">
        <f>SUMIFS(Gastos!$Z:$Z,Gastos!$AA:$AA,'ESCENARIO 1'!JS$1)</f>
        <v>0</v>
      </c>
      <c r="JT3" s="13">
        <f>SUMIFS(Gastos!$Z:$Z,Gastos!$AA:$AA,'ESCENARIO 1'!JT$1)</f>
        <v>0</v>
      </c>
      <c r="JU3" s="13">
        <f>SUMIFS(Gastos!$Z:$Z,Gastos!$AA:$AA,'ESCENARIO 1'!JU$1)</f>
        <v>0</v>
      </c>
      <c r="JV3" s="13">
        <f>SUMIFS(Gastos!$Z:$Z,Gastos!$AA:$AA,'ESCENARIO 1'!JV$1)</f>
        <v>0</v>
      </c>
      <c r="JW3" s="13">
        <f>SUMIFS(Gastos!$Z:$Z,Gastos!$AA:$AA,'ESCENARIO 1'!JW$1)</f>
        <v>0</v>
      </c>
      <c r="JX3" s="13">
        <f>SUMIFS(Gastos!$Z:$Z,Gastos!$AA:$AA,'ESCENARIO 1'!JX$1)</f>
        <v>1102000000</v>
      </c>
      <c r="JY3" s="13">
        <f>SUMIFS(Gastos!$Z:$Z,Gastos!$AA:$AA,'ESCENARIO 1'!JY$1)</f>
        <v>0</v>
      </c>
      <c r="JZ3" s="13">
        <f>SUMIFS(Gastos!$Z:$Z,Gastos!$AA:$AA,'ESCENARIO 1'!JZ$1)</f>
        <v>0</v>
      </c>
      <c r="KA3" s="13">
        <f>SUMIFS(Gastos!$Z:$Z,Gastos!$AA:$AA,'ESCENARIO 1'!KA$1)</f>
        <v>1200000000</v>
      </c>
      <c r="KB3" s="13">
        <f>SUMIFS(Gastos!$Z:$Z,Gastos!$AA:$AA,'ESCENARIO 1'!KB$1)</f>
        <v>0</v>
      </c>
      <c r="KC3" s="13">
        <f>SUMIFS(Gastos!$Z:$Z,Gastos!$AA:$AA,'ESCENARIO 1'!KC$1)</f>
        <v>250000000</v>
      </c>
      <c r="KD3" s="13">
        <f>SUMIFS(Gastos!$Z:$Z,Gastos!$AA:$AA,'ESCENARIO 1'!KD$1)</f>
        <v>0</v>
      </c>
      <c r="KE3" s="13">
        <f>SUMIFS(Gastos!$Z:$Z,Gastos!$AA:$AA,'ESCENARIO 1'!KE$1)</f>
        <v>0</v>
      </c>
      <c r="KF3" s="13">
        <f>SUMIFS(Gastos!$Z:$Z,Gastos!$AA:$AA,'ESCENARIO 1'!KF$1)</f>
        <v>0</v>
      </c>
      <c r="KG3" s="13">
        <f>SUMIFS(Gastos!$Z:$Z,Gastos!$AA:$AA,'ESCENARIO 1'!KG$1)</f>
        <v>0</v>
      </c>
      <c r="KH3" s="13">
        <f>SUMIFS(Gastos!$Z:$Z,Gastos!$AA:$AA,'ESCENARIO 1'!KH$1)</f>
        <v>0</v>
      </c>
      <c r="KI3" s="13">
        <f>SUMIFS(Gastos!$Z:$Z,Gastos!$AA:$AA,'ESCENARIO 1'!KI$1)</f>
        <v>0</v>
      </c>
      <c r="KJ3" s="13">
        <f>SUMIFS(Gastos!$Z:$Z,Gastos!$AA:$AA,'ESCENARIO 1'!KJ$1)</f>
        <v>0</v>
      </c>
      <c r="KK3" s="13">
        <f>SUMIFS(Gastos!$Z:$Z,Gastos!$AA:$AA,'ESCENARIO 1'!KK$1)</f>
        <v>0</v>
      </c>
      <c r="KL3" s="13">
        <f>SUMIFS(Gastos!$Z:$Z,Gastos!$AA:$AA,'ESCENARIO 1'!KL$1)</f>
        <v>6353254996.0699997</v>
      </c>
      <c r="KM3" s="13">
        <f>SUMIFS(Gastos!$Z:$Z,Gastos!$AA:$AA,'ESCENARIO 1'!KM$1)</f>
        <v>0</v>
      </c>
      <c r="KN3" s="13">
        <f>SUMIFS(Gastos!$Z:$Z,Gastos!$AA:$AA,'ESCENARIO 1'!KN$1)</f>
        <v>0</v>
      </c>
      <c r="KO3" s="13">
        <f>SUMIFS(Gastos!$Z:$Z,Gastos!$AA:$AA,'ESCENARIO 1'!KO$1)</f>
        <v>0</v>
      </c>
      <c r="KP3" s="13">
        <f>SUMIFS(Gastos!$Z:$Z,Gastos!$AA:$AA,'ESCENARIO 1'!KP$1)</f>
        <v>0</v>
      </c>
      <c r="KQ3" s="13">
        <f>SUMIFS(Gastos!$Z:$Z,Gastos!$AA:$AA,'ESCENARIO 1'!KQ$1)</f>
        <v>0</v>
      </c>
      <c r="KR3" s="13">
        <f>SUMIFS(Gastos!$Z:$Z,Gastos!$AA:$AA,'ESCENARIO 1'!KR$1)</f>
        <v>20549132731.760002</v>
      </c>
      <c r="KS3" s="13">
        <f>SUMIFS(Gastos!$AB:$AB,Gastos!$AC:$AC,'ESCENARIO 1'!KS$1)</f>
        <v>1107100000</v>
      </c>
      <c r="KT3" s="13">
        <f>SUMIFS(Gastos!$AB:$AB,Gastos!$AC:$AC,'ESCENARIO 1'!KT$1)</f>
        <v>0</v>
      </c>
      <c r="KU3" s="13">
        <f>SUMIFS(Gastos!$AB:$AB,Gastos!$AC:$AC,'ESCENARIO 1'!KU$1)</f>
        <v>0</v>
      </c>
      <c r="KV3" s="13">
        <f>SUMIFS(Gastos!$AB:$AB,Gastos!$AC:$AC,'ESCENARIO 1'!KV$1)</f>
        <v>0</v>
      </c>
      <c r="KW3" s="13">
        <f>SUMIFS(Gastos!$AB:$AB,Gastos!$AC:$AC,'ESCENARIO 1'!KW$1)</f>
        <v>0</v>
      </c>
      <c r="KX3" s="13">
        <f>SUMIFS(Gastos!$AB:$AB,Gastos!$AC:$AC,'ESCENARIO 1'!KX$1)</f>
        <v>0</v>
      </c>
      <c r="KY3" s="13">
        <f>SUMIFS(Gastos!$AB:$AB,Gastos!$AC:$AC,'ESCENARIO 1'!KY$1)</f>
        <v>0</v>
      </c>
      <c r="KZ3" s="13">
        <f>SUMIFS(Gastos!$AB:$AB,Gastos!$AC:$AC,'ESCENARIO 1'!KZ$1)</f>
        <v>0</v>
      </c>
      <c r="LA3" s="13">
        <f>SUMIFS(Gastos!$AB:$AB,Gastos!$AC:$AC,'ESCENARIO 1'!LA$1)</f>
        <v>1102000000</v>
      </c>
      <c r="LB3" s="13">
        <f>SUMIFS(Gastos!$AB:$AB,Gastos!$AC:$AC,'ESCENARIO 1'!LB$1)</f>
        <v>0</v>
      </c>
      <c r="LC3" s="13">
        <f>SUMIFS(Gastos!$AB:$AB,Gastos!$AC:$AC,'ESCENARIO 1'!LC$1)</f>
        <v>0</v>
      </c>
      <c r="LD3" s="13">
        <f>SUMIFS(Gastos!$AB:$AB,Gastos!$AC:$AC,'ESCENARIO 1'!LD$1)</f>
        <v>0</v>
      </c>
      <c r="LE3" s="13">
        <f>SUMIFS(Gastos!$AB:$AB,Gastos!$AC:$AC,'ESCENARIO 1'!LE$1)</f>
        <v>0</v>
      </c>
      <c r="LF3" s="13">
        <f>SUMIFS(Gastos!$AB:$AB,Gastos!$AC:$AC,'ESCENARIO 1'!LF$1)</f>
        <v>0</v>
      </c>
      <c r="LG3" s="13">
        <f>SUMIFS(Gastos!$AB:$AB,Gastos!$AC:$AC,'ESCENARIO 1'!LG$1)</f>
        <v>1450000000</v>
      </c>
      <c r="LH3" s="13">
        <f>SUMIFS(Gastos!$AB:$AB,Gastos!$AC:$AC,'ESCENARIO 1'!LH$1)</f>
        <v>0</v>
      </c>
      <c r="LI3" s="13">
        <f>SUMIFS(Gastos!$AB:$AB,Gastos!$AC:$AC,'ESCENARIO 1'!LI$1)</f>
        <v>0</v>
      </c>
      <c r="LJ3" s="13">
        <f>SUMIFS(Gastos!$AB:$AB,Gastos!$AC:$AC,'ESCENARIO 1'!LJ$1)</f>
        <v>0</v>
      </c>
      <c r="LK3" s="13">
        <f>SUMIFS(Gastos!$AB:$AB,Gastos!$AC:$AC,'ESCENARIO 1'!LK$1)</f>
        <v>0</v>
      </c>
      <c r="LL3" s="13">
        <f>SUMIFS(Gastos!$AB:$AB,Gastos!$AC:$AC,'ESCENARIO 1'!LL$1)</f>
        <v>0</v>
      </c>
      <c r="LM3" s="13">
        <f>SUMIFS(Gastos!$AB:$AB,Gastos!$AC:$AC,'ESCENARIO 1'!LM$1)</f>
        <v>0</v>
      </c>
      <c r="LN3" s="13">
        <f>SUMIFS(Gastos!$AB:$AB,Gastos!$AC:$AC,'ESCENARIO 1'!LN$1)</f>
        <v>0</v>
      </c>
      <c r="LO3" s="13">
        <f>SUMIFS(Gastos!$AB:$AB,Gastos!$AC:$AC,'ESCENARIO 1'!LO$1)</f>
        <v>6353254996.0699997</v>
      </c>
      <c r="LP3" s="13">
        <f>SUMIFS(Gastos!$AB:$AB,Gastos!$AC:$AC,'ESCENARIO 1'!LP$1)</f>
        <v>0</v>
      </c>
      <c r="LQ3" s="13">
        <f>SUMIFS(Gastos!$AB:$AB,Gastos!$AC:$AC,'ESCENARIO 1'!LQ$1)</f>
        <v>0</v>
      </c>
      <c r="LR3" s="13">
        <f>SUMIFS(Gastos!$AB:$AB,Gastos!$AC:$AC,'ESCENARIO 1'!LR$1)</f>
        <v>0</v>
      </c>
      <c r="LS3" s="13">
        <f>SUMIFS(Gastos!$AB:$AB,Gastos!$AC:$AC,'ESCENARIO 1'!LS$1)</f>
        <v>0</v>
      </c>
      <c r="LT3" s="13">
        <f>SUMIFS(Gastos!$AB:$AB,Gastos!$AC:$AC,'ESCENARIO 1'!LT$1)</f>
        <v>0</v>
      </c>
      <c r="LU3" s="13">
        <f>SUMIFS(Gastos!$AB:$AB,Gastos!$AC:$AC,'ESCENARIO 1'!LU$1)</f>
        <v>0</v>
      </c>
      <c r="LV3" s="13">
        <f>SUMIFS(Gastos!$AB:$AB,Gastos!$AC:$AC,'ESCENARIO 1'!LV$1)</f>
        <v>24381686374.560001</v>
      </c>
      <c r="LW3" s="13">
        <f>SUMIFS(Gastos!$AB:$AB,Gastos!$AC:$AC,'ESCENARIO 1'!LW$1)</f>
        <v>0</v>
      </c>
      <c r="LX3" s="13">
        <f>SUM(ESCENARIO[[#This Row],[01-mar]:[31-dic]])</f>
        <v>344022172230.50006</v>
      </c>
    </row>
    <row r="4" spans="1:336" s="13" customFormat="1">
      <c r="A4" s="13" t="s">
        <v>338</v>
      </c>
      <c r="B4" s="13">
        <f>SUMIFS('INGRESOSXDIA-HABIL'!$D:$D,'INGRESOSXDIA-HABIL'!$C:$C,ESCENARIO[[#Headers],[01-feb]])</f>
        <v>0</v>
      </c>
      <c r="C4" s="13">
        <f>SUMIFS('INGRESOSXDIA-HABIL'!$D:$D,'INGRESOSXDIA-HABIL'!$C:$C,ESCENARIO[[#Headers],[02-feb]])</f>
        <v>639945277.95740092</v>
      </c>
      <c r="D4" s="13">
        <f>SUMIFS('INGRESOSXDIA-HABIL'!$D:$D,'INGRESOSXDIA-HABIL'!$C:$C,ESCENARIO[[#Headers],[03-feb]])</f>
        <v>873027767.98404932</v>
      </c>
      <c r="E4" s="13">
        <f>SUMIFS('INGRESOSXDIA-HABIL'!$D:$D,'INGRESOSXDIA-HABIL'!$C:$C,ESCENARIO[[#Headers],[04-feb]])</f>
        <v>497311414.51141286</v>
      </c>
      <c r="F4" s="13">
        <f>SUMIFS('INGRESOSXDIA-HABIL'!$D:$D,'INGRESOSXDIA-HABIL'!$C:$C,ESCENARIO[[#Headers],[05-feb]])</f>
        <v>628149171.99649477</v>
      </c>
      <c r="G4" s="13">
        <f>SUMIFS('INGRESOSXDIA-HABIL'!$D:$D,'INGRESOSXDIA-HABIL'!$C:$C,ESCENARIO[[#Headers],[06-feb]])</f>
        <v>815793026.53008676</v>
      </c>
      <c r="H4" s="13">
        <f>SUMIFS('INGRESOSXDIA-HABIL'!$D:$D,'INGRESOSXDIA-HABIL'!$C:$C,ESCENARIO[[#Headers],[07-feb]])</f>
        <v>0</v>
      </c>
      <c r="I4" s="13">
        <f>SUMIFS('INGRESOSXDIA-HABIL'!$D:$D,'INGRESOSXDIA-HABIL'!$C:$C,ESCENARIO[[#Headers],[08-feb]])</f>
        <v>0</v>
      </c>
      <c r="J4" s="13">
        <f>SUMIFS('INGRESOSXDIA-HABIL'!$D:$D,'INGRESOSXDIA-HABIL'!$C:$C,ESCENARIO[[#Headers],[09-feb]])</f>
        <v>1423324379.7555845</v>
      </c>
      <c r="K4" s="13">
        <f>SUMIFS('INGRESOSXDIA-HABIL'!$D:$D,'INGRESOSXDIA-HABIL'!$C:$C,ESCENARIO[[#Headers],[10-feb]])</f>
        <v>7239911237.5887289</v>
      </c>
      <c r="L4" s="13">
        <f>SUMIFS('INGRESOSXDIA-HABIL'!$D:$D,'INGRESOSXDIA-HABIL'!$C:$C,ESCENARIO[[#Headers],[11-feb]])</f>
        <v>1402284366.6007483</v>
      </c>
      <c r="M4" s="13">
        <f>SUMIFS('INGRESOSXDIA-HABIL'!$D:$D,'INGRESOSXDIA-HABIL'!$C:$C,ESCENARIO[[#Headers],[12-feb]])</f>
        <v>940602947.63159418</v>
      </c>
      <c r="N4" s="13">
        <f>SUMIFS('INGRESOSXDIA-HABIL'!$D:$D,'INGRESOSXDIA-HABIL'!$C:$C,ESCENARIO[[#Headers],[13-feb]])</f>
        <v>2645139370.1692266</v>
      </c>
      <c r="O4" s="13">
        <f>SUMIFS('INGRESOSXDIA-HABIL'!$D:$D,'INGRESOSXDIA-HABIL'!$C:$C,ESCENARIO[[#Headers],[14-feb]])</f>
        <v>0</v>
      </c>
      <c r="P4" s="13">
        <f>SUMIFS('INGRESOSXDIA-HABIL'!$D:$D,'INGRESOSXDIA-HABIL'!$C:$C,ESCENARIO[[#Headers],[15-feb]])</f>
        <v>0</v>
      </c>
      <c r="Q4" s="13">
        <f>SUMIFS('INGRESOSXDIA-HABIL'!$D:$D,'INGRESOSXDIA-HABIL'!$C:$C,ESCENARIO[[#Headers],[16-feb]])</f>
        <v>2418025334.4963679</v>
      </c>
      <c r="R4" s="13">
        <f>SUMIFS('INGRESOSXDIA-HABIL'!$D:$D,'INGRESOSXDIA-HABIL'!$C:$C,ESCENARIO[[#Headers],[17-feb]])</f>
        <v>1289099698.2032521</v>
      </c>
      <c r="S4" s="13">
        <f>SUMIFS('INGRESOSXDIA-HABIL'!$D:$D,'INGRESOSXDIA-HABIL'!$C:$C,ESCENARIO[[#Headers],[18-feb]])</f>
        <v>1588621422.7717245</v>
      </c>
      <c r="T4" s="13">
        <f>SUMIFS('INGRESOSXDIA-HABIL'!$D:$D,'INGRESOSXDIA-HABIL'!$C:$C,ESCENARIO[[#Headers],[19-feb]])</f>
        <v>2593907273.744379</v>
      </c>
      <c r="U4" s="13">
        <f>SUMIFS('INGRESOSXDIA-HABIL'!$D:$D,'INGRESOSXDIA-HABIL'!$C:$C,ESCENARIO[[#Headers],[20-feb]])</f>
        <v>2687811867.2121367</v>
      </c>
      <c r="V4" s="13">
        <f>SUMIFS('INGRESOSXDIA-HABIL'!$D:$D,'INGRESOSXDIA-HABIL'!$C:$C,ESCENARIO[[#Headers],[21-feb]])</f>
        <v>0</v>
      </c>
      <c r="W4" s="13">
        <f>SUMIFS('INGRESOSXDIA-HABIL'!$D:$D,'INGRESOSXDIA-HABIL'!$C:$C,ESCENARIO[[#Headers],[22-feb]])</f>
        <v>0</v>
      </c>
      <c r="X4" s="13">
        <f>SUMIFS('INGRESOSXDIA-HABIL'!$D:$D,'INGRESOSXDIA-HABIL'!$C:$C,ESCENARIO[[#Headers],[23-feb]])</f>
        <v>1512564266.0554116</v>
      </c>
      <c r="Y4" s="13">
        <f>SUMIFS('INGRESOSXDIA-HABIL'!$D:$D,'INGRESOSXDIA-HABIL'!$C:$C,ESCENARIO[[#Headers],[24-feb]])</f>
        <v>2873261876.3615394</v>
      </c>
      <c r="Z4" s="13">
        <f>SUMIFS('INGRESOSXDIA-HABIL'!$D:$D,'INGRESOSXDIA-HABIL'!$C:$C,ESCENARIO[[#Headers],[25-feb]])</f>
        <v>1174225458.433758</v>
      </c>
      <c r="AA4" s="13">
        <f>SUMIFS('INGRESOSXDIA-HABIL'!$D:$D,'INGRESOSXDIA-HABIL'!$C:$C,ESCENARIO[[#Headers],[26-feb]])</f>
        <v>1621958251.2895801</v>
      </c>
      <c r="AB4" s="13">
        <f>SUMIFS('INGRESOSXDIA-HABIL'!$D:$D,'INGRESOSXDIA-HABIL'!$C:$C,ESCENARIO[[#Headers],[27-feb]])</f>
        <v>544349805.32325506</v>
      </c>
      <c r="AC4" s="13">
        <f>SUMIFS('INGRESOSXDIA-HABIL'!$D:$D,'INGRESOSXDIA-HABIL'!$C:$C,ESCENARIO[[#Headers],[28-feb]])</f>
        <v>1093005415.843262</v>
      </c>
      <c r="AD4" s="13">
        <f>SUMIFS('INGRESOSXDIA-HABIL'!$F$4:$F$25,'INGRESOSXDIA-HABIL'!$E$4:$E$25,ESCENARIO[[#Headers],[01-mar]])</f>
        <v>0</v>
      </c>
      <c r="AE4" s="13">
        <f>SUMIFS('INGRESOSXDIA-HABIL'!$F$4:$F$25,'INGRESOSXDIA-HABIL'!$E$4:$E$25,ESCENARIO[[#Headers],[02-mar]])</f>
        <v>652032713.35250401</v>
      </c>
      <c r="AF4" s="13">
        <f>SUMIFS('INGRESOSXDIA-HABIL'!$F$4:$F$25,'INGRESOSXDIA-HABIL'!$E$4:$E$25,ESCENARIO[[#Headers],[03-mar]])</f>
        <v>889517719.71448576</v>
      </c>
      <c r="AG4" s="13">
        <f>SUMIFS('INGRESOSXDIA-HABIL'!$F$4:$F$25,'INGRESOSXDIA-HABIL'!$E$4:$E$25,ESCENARIO[[#Headers],[04-mar]])</f>
        <v>506704748.28729582</v>
      </c>
      <c r="AH4" s="13">
        <f>SUMIFS('INGRESOSXDIA-HABIL'!$F$4:$F$25,'INGRESOSXDIA-HABIL'!$E$4:$E$25,ESCENARIO[[#Headers],[05-mar]])</f>
        <v>640013799.79596817</v>
      </c>
      <c r="AI4" s="13">
        <f>SUMIFS('INGRESOSXDIA-HABIL'!$F$4:$F$25,'INGRESOSXDIA-HABIL'!$E$4:$E$25,ESCENARIO[[#Headers],[06-mar]])</f>
        <v>831201915.13917565</v>
      </c>
      <c r="AJ4" s="13">
        <f>SUMIFS('INGRESOSXDIA-HABIL'!$F$4:$F$25,'INGRESOSXDIA-HABIL'!$E$4:$E$25,ESCENARIO[[#Headers],[07-mar]])</f>
        <v>0</v>
      </c>
      <c r="AK4" s="13">
        <f>SUMIFS('INGRESOSXDIA-HABIL'!$F$4:$F$25,'INGRESOSXDIA-HABIL'!$E$4:$E$25,ESCENARIO[[#Headers],[08-mar]])</f>
        <v>0</v>
      </c>
      <c r="AL4" s="13">
        <f>SUMIFS('INGRESOSXDIA-HABIL'!$F$4:$F$25,'INGRESOSXDIA-HABIL'!$E$4:$E$25,ESCENARIO[[#Headers],[09-mar]])</f>
        <v>1450208462.0031857</v>
      </c>
      <c r="AM4" s="13">
        <f>SUMIFS('INGRESOSXDIA-HABIL'!$F$4:$F$25,'INGRESOSXDIA-HABIL'!$E$4:$E$25,ESCENARIO[[#Headers],[10-mar]])</f>
        <v>7376660366.5610666</v>
      </c>
      <c r="AN4" s="13">
        <f>SUMIFS('INGRESOSXDIA-HABIL'!$F$4:$F$25,'INGRESOSXDIA-HABIL'!$E$4:$E$25,ESCENARIO[[#Headers],[11-mar]])</f>
        <v>1428771040.1815758</v>
      </c>
      <c r="AO4" s="13">
        <f>SUMIFS('INGRESOSXDIA-HABIL'!$F$4:$F$25,'INGRESOSXDIA-HABIL'!$E$4:$E$25,ESCENARIO[[#Headers],[12-mar]])</f>
        <v>958369275.08732593</v>
      </c>
      <c r="AP4" s="13">
        <f>SUMIFS('INGRESOSXDIA-HABIL'!$F$4:$F$25,'INGRESOSXDIA-HABIL'!$E$4:$E$25,ESCENARIO[[#Headers],[13-mar]])</f>
        <v>2695101378.4053316</v>
      </c>
      <c r="AQ4" s="13">
        <f>SUMIFS('INGRESOSXDIA-HABIL'!$F$4:$F$25,'INGRESOSXDIA-HABIL'!$E$4:$E$25,ESCENARIO[[#Headers],[14-mar]])</f>
        <v>0</v>
      </c>
      <c r="AR4" s="13">
        <f>SUMIFS('INGRESOSXDIA-HABIL'!$F$4:$F$25,'INGRESOSXDIA-HABIL'!$E$4:$E$25,ESCENARIO[[#Headers],[15-mar]])</f>
        <v>0</v>
      </c>
      <c r="AS4" s="13">
        <f>SUMIFS('INGRESOSXDIA-HABIL'!$F$4:$F$25,'INGRESOSXDIA-HABIL'!$E$4:$E$25,ESCENARIO[[#Headers],[16-mar]])</f>
        <v>2463697559.9524841</v>
      </c>
      <c r="AT4" s="13">
        <f>SUMIFS('INGRESOSXDIA-HABIL'!$F$4:$F$25,'INGRESOSXDIA-HABIL'!$E$4:$E$25,ESCENARIO[[#Headers],[17-mar]])</f>
        <v>1313448513.4169741</v>
      </c>
      <c r="AU4" s="13">
        <f>SUMIFS('INGRESOSXDIA-HABIL'!$F$4:$F$25,'INGRESOSXDIA-HABIL'!$E$4:$E$25,ESCENARIO[[#Headers],[18-mar]])</f>
        <v>1618627674.0504601</v>
      </c>
      <c r="AV4" s="13">
        <f>SUMIFS('INGRESOSXDIA-HABIL'!$F$4:$F$25,'INGRESOSXDIA-HABIL'!$E$4:$E$25,ESCENARIO[[#Headers],[19-mar]])</f>
        <v>2642901598.2159166</v>
      </c>
      <c r="AW4" s="13">
        <f>SUMIFS('INGRESOSXDIA-HABIL'!$F$4:$F$25,'INGRESOSXDIA-HABIL'!$E$4:$E$25,ESCENARIO[[#Headers],[20-mar]])</f>
        <v>2738579883.5069313</v>
      </c>
      <c r="AX4" s="13">
        <f>SUMIFS('INGRESOSXDIA-HABIL'!$F$4:$F$25,'INGRESOSXDIA-HABIL'!$E$4:$E$25,ESCENARIO[[#Headers],[21-mar]])</f>
        <v>1541133932.051296</v>
      </c>
      <c r="AY4" s="13">
        <f>SUMIFS('INGRESOSXDIA-HABIL'!$F$4:$F$25,'INGRESOSXDIA-HABIL'!$E$4:$E$25,ESCENARIO[[#Headers],[22-mar]])</f>
        <v>2927532715.6035857</v>
      </c>
      <c r="AZ4" s="13">
        <f>SUMIFS('INGRESOSXDIA-HABIL'!$F$4:$F$25,'INGRESOSXDIA-HABIL'!$E$4:$E$25,ESCENARIO[[#Headers],[23-mar]])</f>
        <v>0</v>
      </c>
      <c r="BA4" s="13">
        <f>SUMIFS('INGRESOSXDIA-HABIL'!$F$4:$F$25,'INGRESOSXDIA-HABIL'!$E$4:$E$25,ESCENARIO[[#Headers],[24-mar]])</f>
        <v>0</v>
      </c>
      <c r="BB4" s="13">
        <f>SUMIFS('INGRESOSXDIA-HABIL'!$F$4:$F$25,'INGRESOSXDIA-HABIL'!$E$4:$E$25,ESCENARIO[[#Headers],[25-mar]])</f>
        <v>1196404502.2629528</v>
      </c>
      <c r="BC4" s="13">
        <f>SUMIFS('INGRESOSXDIA-HABIL'!$F$4:$F$25,'INGRESOSXDIA-HABIL'!$E$4:$E$25,ESCENARIO[[#Headers],[26-mar]])</f>
        <v>1652594176.3464758</v>
      </c>
      <c r="BD4" s="13">
        <f>SUMIFS('INGRESOSXDIA-HABIL'!$F$4:$F$25,'INGRESOSXDIA-HABIL'!$E$4:$E$25,ESCENARIO[[#Headers],[27-mar]])</f>
        <v>554631611.17575443</v>
      </c>
      <c r="BE4" s="13">
        <f>SUMIFS('INGRESOSXDIA-HABIL'!$F$4:$F$25,'INGRESOSXDIA-HABIL'!$E$4:$E$25,ESCENARIO[[#Headers],[28-mar]])</f>
        <v>0</v>
      </c>
      <c r="BF4" s="13">
        <f>SUMIFS('INGRESOSXDIA-HABIL'!$F$4:$F$25,'INGRESOSXDIA-HABIL'!$E$4:$E$25,ESCENARIO[[#Headers],[29-mar]])</f>
        <v>0</v>
      </c>
      <c r="BG4" s="13">
        <f>SUMIFS('INGRESOSXDIA-HABIL'!$F$4:$F$25,'INGRESOSXDIA-HABIL'!$E$4:$E$25,ESCENARIO[[#Headers],[30-mar]])</f>
        <v>1113650356.5992475</v>
      </c>
      <c r="BH4" s="13">
        <f>SUMIFS('INGRESOSXDIA-HABIL'!$F$4:$F$25,'INGRESOSXDIA-HABIL'!$E$4:$E$25,ESCENARIO[[#Headers],[31-mar]])</f>
        <v>0</v>
      </c>
      <c r="BI4" s="13">
        <f>SUMIFS('INGRESOSXDIA-HABIL'!$H$4:$H$25,'INGRESOSXDIA-HABIL'!$G$4:$G$25,ESCENARIO[[#Headers],[01-abr]])</f>
        <v>661956860.85332763</v>
      </c>
      <c r="BJ4" s="13">
        <f>SUMIFS('INGRESOSXDIA-HABIL'!$H$4:$H$25,'INGRESOSXDIA-HABIL'!$G$4:$G$25,ESCENARIO[[#Headers],[02-abr]])</f>
        <v>0</v>
      </c>
      <c r="BK4" s="13">
        <f>SUMIFS('INGRESOSXDIA-HABIL'!$H$4:$H$25,'INGRESOSXDIA-HABIL'!$G$4:$G$25,ESCENARIO[[#Headers],[03-abr]])</f>
        <v>0</v>
      </c>
      <c r="BL4" s="13">
        <f>SUMIFS('INGRESOSXDIA-HABIL'!$H$4:$H$25,'INGRESOSXDIA-HABIL'!$G$4:$G$25,ESCENARIO[[#Headers],[04-abr]])</f>
        <v>0</v>
      </c>
      <c r="BM4" s="13">
        <f>SUMIFS('INGRESOSXDIA-HABIL'!$H$4:$H$25,'INGRESOSXDIA-HABIL'!$G$4:$G$25,ESCENARIO[[#Headers],[05-abr]])</f>
        <v>0</v>
      </c>
      <c r="BN4" s="13">
        <f>SUMIFS('INGRESOSXDIA-HABIL'!$H$4:$H$25,'INGRESOSXDIA-HABIL'!$G$4:$G$25,ESCENARIO[[#Headers],[06-abr]])</f>
        <v>903056465.35449243</v>
      </c>
      <c r="BO4" s="13">
        <f>SUMIFS('INGRESOSXDIA-HABIL'!$H$4:$H$25,'INGRESOSXDIA-HABIL'!$G$4:$G$25,ESCENARIO[[#Headers],[07-abr]])</f>
        <v>514416957.44244027</v>
      </c>
      <c r="BP4" s="13">
        <f>SUMIFS('INGRESOSXDIA-HABIL'!$H$4:$H$25,'INGRESOSXDIA-HABIL'!$G$4:$G$25,ESCENARIO[[#Headers],[08-abr]])</f>
        <v>649755015.56883991</v>
      </c>
      <c r="BQ4" s="13">
        <f>SUMIFS('INGRESOSXDIA-HABIL'!$H$4:$H$25,'INGRESOSXDIA-HABIL'!$G$4:$G$25,ESCENARIO[[#Headers],[09-abr]])</f>
        <v>843853075.48724353</v>
      </c>
      <c r="BR4" s="13">
        <f>SUMIFS('INGRESOSXDIA-HABIL'!$H$4:$H$25,'INGRESOSXDIA-HABIL'!$G$4:$G$25,ESCENARIO[[#Headers],[10-abr]])</f>
        <v>1472281100.981472</v>
      </c>
      <c r="BS4" s="13">
        <f>SUMIFS('INGRESOSXDIA-HABIL'!$H$4:$H$25,'INGRESOSXDIA-HABIL'!$G$4:$G$25,ESCENARIO[[#Headers],[11-abr]])</f>
        <v>0</v>
      </c>
      <c r="BT4" s="13">
        <f>SUMIFS('INGRESOSXDIA-HABIL'!$H$4:$H$25,'INGRESOSXDIA-HABIL'!$G$4:$G$25,ESCENARIO[[#Headers],[12-abr]])</f>
        <v>0</v>
      </c>
      <c r="BU4" s="13">
        <f>SUMIFS('INGRESOSXDIA-HABIL'!$H$4:$H$25,'INGRESOSXDIA-HABIL'!$G$4:$G$25,ESCENARIO[[#Headers],[13-abr]])</f>
        <v>7488935508.6545191</v>
      </c>
      <c r="BV4" s="13">
        <f>SUMIFS('INGRESOSXDIA-HABIL'!$H$4:$H$25,'INGRESOSXDIA-HABIL'!$G$4:$G$25,ESCENARIO[[#Headers],[14-abr]])</f>
        <v>1450517394.7084253</v>
      </c>
      <c r="BW4" s="13">
        <f>SUMIFS('INGRESOSXDIA-HABIL'!$H$4:$H$25,'INGRESOSXDIA-HABIL'!$G$4:$G$25,ESCENARIO[[#Headers],[15-abr]])</f>
        <v>972955963.53325081</v>
      </c>
      <c r="BX4" s="13">
        <f>SUMIFS('INGRESOSXDIA-HABIL'!$H$4:$H$25,'INGRESOSXDIA-HABIL'!$G$4:$G$25,ESCENARIO[[#Headers],[16-abr]])</f>
        <v>2736121687.7567549</v>
      </c>
      <c r="BY4" s="13">
        <f>SUMIFS('INGRESOSXDIA-HABIL'!$H$4:$H$25,'INGRESOSXDIA-HABIL'!$G$4:$G$25,ESCENARIO[[#Headers],[17-abr]])</f>
        <v>2501195828.799571</v>
      </c>
      <c r="BZ4" s="13">
        <f>SUMIFS('INGRESOSXDIA-HABIL'!$H$4:$H$25,'INGRESOSXDIA-HABIL'!$G$4:$G$25,ESCENARIO[[#Headers],[18-abr]])</f>
        <v>0</v>
      </c>
      <c r="CA4" s="13">
        <f>SUMIFS('INGRESOSXDIA-HABIL'!$H$4:$H$25,'INGRESOSXDIA-HABIL'!$G$4:$G$25,ESCENARIO[[#Headers],[19-abr]])</f>
        <v>0</v>
      </c>
      <c r="CB4" s="13">
        <f>SUMIFS('INGRESOSXDIA-HABIL'!$H$4:$H$25,'INGRESOSXDIA-HABIL'!$G$4:$G$25,ESCENARIO[[#Headers],[20-abr]])</f>
        <v>1333439622.0146813</v>
      </c>
      <c r="CC4" s="13">
        <f>SUMIFS('INGRESOSXDIA-HABIL'!$H$4:$H$25,'INGRESOSXDIA-HABIL'!$G$4:$G$25,ESCENARIO[[#Headers],[21-abr]])</f>
        <v>1643263707.5764461</v>
      </c>
      <c r="CD4" s="13">
        <f>SUMIFS('INGRESOSXDIA-HABIL'!$H$4:$H$25,'INGRESOSXDIA-HABIL'!$G$4:$G$25,ESCENARIO[[#Headers],[22-abr]])</f>
        <v>2683127410.1326227</v>
      </c>
      <c r="CE4" s="13">
        <f>SUMIFS('INGRESOSXDIA-HABIL'!$H$4:$H$25,'INGRESOSXDIA-HABIL'!$G$4:$G$25,ESCENARIO[[#Headers],[23-abr]])</f>
        <v>2780261949.6826787</v>
      </c>
      <c r="CF4" s="13">
        <f>SUMIFS('INGRESOSXDIA-HABIL'!$H$4:$H$25,'INGRESOSXDIA-HABIL'!$G$4:$G$25,ESCENARIO[[#Headers],[24-abr]])</f>
        <v>1564590485.9127781</v>
      </c>
      <c r="CG4" s="13">
        <f>SUMIFS('INGRESOSXDIA-HABIL'!$H$4:$H$25,'INGRESOSXDIA-HABIL'!$G$4:$G$25,ESCENARIO[[#Headers],[25-abr]])</f>
        <v>0</v>
      </c>
      <c r="CH4" s="13">
        <f>SUMIFS('INGRESOSXDIA-HABIL'!$H$4:$H$25,'INGRESOSXDIA-HABIL'!$G$4:$G$25,ESCENARIO[[#Headers],[26-abr]])</f>
        <v>0</v>
      </c>
      <c r="CI4" s="13">
        <f>SUMIFS('INGRESOSXDIA-HABIL'!$H$4:$H$25,'INGRESOSXDIA-HABIL'!$G$4:$G$25,ESCENARIO[[#Headers],[27-abr]])</f>
        <v>2972090704.6249585</v>
      </c>
      <c r="CJ4" s="13">
        <f>SUMIFS('INGRESOSXDIA-HABIL'!$H$4:$H$25,'INGRESOSXDIA-HABIL'!$G$4:$G$25,ESCENARIO[[#Headers],[28-abr]])</f>
        <v>1214614163.3857193</v>
      </c>
      <c r="CK4" s="13">
        <f>SUMIFS('INGRESOSXDIA-HABIL'!$H$4:$H$25,'INGRESOSXDIA-HABIL'!$G$4:$G$25,ESCENARIO[[#Headers],[29-abr]])</f>
        <v>1677747190.9563396</v>
      </c>
      <c r="CL4" s="13">
        <f>SUMIFS('INGRESOSXDIA-HABIL'!$H$4:$H$25,'INGRESOSXDIA-HABIL'!$G$4:$G$25,ESCENARIO[[#Headers],[30-abr]])</f>
        <v>1693673755.6134334</v>
      </c>
      <c r="CM4" s="13">
        <f>SUMIFS('INGRESOSXDIA-HABIL'!$J$4:$J$25,'INGRESOSXDIA-HABIL'!$I$4:$I$25,ESCENARIO[[#Headers],[01-may]])</f>
        <v>0</v>
      </c>
      <c r="CN4" s="13">
        <f>SUMIFS('INGRESOSXDIA-HABIL'!$J$4:$J$25,'INGRESOSXDIA-HABIL'!$I$4:$I$25,ESCENARIO[[#Headers],[02-may]])</f>
        <v>0</v>
      </c>
      <c r="CO4" s="13">
        <f>SUMIFS('INGRESOSXDIA-HABIL'!$J$4:$J$25,'INGRESOSXDIA-HABIL'!$I$4:$I$25,ESCENARIO[[#Headers],[03-may]])</f>
        <v>0</v>
      </c>
      <c r="CP4" s="13">
        <f>SUMIFS('INGRESOSXDIA-HABIL'!$J$4:$J$25,'INGRESOSXDIA-HABIL'!$I$4:$I$25,ESCENARIO[[#Headers],[04-may]])</f>
        <v>701089571.9335506</v>
      </c>
      <c r="CQ4" s="13">
        <f>SUMIFS('INGRESOSXDIA-HABIL'!$J$4:$J$25,'INGRESOSXDIA-HABIL'!$I$4:$I$25,ESCENARIO[[#Headers],[05-may]])</f>
        <v>956442191.58186197</v>
      </c>
      <c r="CR4" s="13">
        <f>SUMIFS('INGRESOSXDIA-HABIL'!$J$4:$J$25,'INGRESOSXDIA-HABIL'!$I$4:$I$25,ESCENARIO[[#Headers],[06-may]])</f>
        <v>544827594.99427724</v>
      </c>
      <c r="CS4" s="13">
        <f>SUMIFS('INGRESOSXDIA-HABIL'!$J$4:$J$25,'INGRESOSXDIA-HABIL'!$I$4:$I$25,ESCENARIO[[#Headers],[07-may]])</f>
        <v>688166393.71273243</v>
      </c>
      <c r="CT4" s="13">
        <f>SUMIFS('INGRESOSXDIA-HABIL'!$J$4:$J$25,'INGRESOSXDIA-HABIL'!$I$4:$I$25,ESCENARIO[[#Headers],[08-may]])</f>
        <v>893738892.14700437</v>
      </c>
      <c r="CU4" s="13">
        <f>SUMIFS('INGRESOSXDIA-HABIL'!$J$4:$J$25,'INGRESOSXDIA-HABIL'!$I$4:$I$25,ESCENARIO[[#Headers],[09-may]])</f>
        <v>0</v>
      </c>
      <c r="CV4" s="13">
        <f>SUMIFS('INGRESOSXDIA-HABIL'!$J$4:$J$25,'INGRESOSXDIA-HABIL'!$I$4:$I$25,ESCENARIO[[#Headers],[10-may]])</f>
        <v>0</v>
      </c>
      <c r="CW4" s="13">
        <f>SUMIFS('INGRESOSXDIA-HABIL'!$J$4:$J$25,'INGRESOSXDIA-HABIL'!$I$4:$I$25,ESCENARIO[[#Headers],[11-may]])</f>
        <v>1559317514.3201146</v>
      </c>
      <c r="CX4" s="13">
        <f>SUMIFS('INGRESOSXDIA-HABIL'!$J$4:$J$25,'INGRESOSXDIA-HABIL'!$I$4:$I$25,ESCENARIO[[#Headers],[12-may]])</f>
        <v>7931656729.4615879</v>
      </c>
      <c r="CY4" s="13">
        <f>SUMIFS('INGRESOSXDIA-HABIL'!$J$4:$J$25,'INGRESOSXDIA-HABIL'!$I$4:$I$25,ESCENARIO[[#Headers],[13-may]])</f>
        <v>1536267209.3576608</v>
      </c>
      <c r="CZ4" s="13">
        <f>SUMIFS('INGRESOSXDIA-HABIL'!$J$4:$J$25,'INGRESOSXDIA-HABIL'!$I$4:$I$25,ESCENARIO[[#Headers],[14-may]])</f>
        <v>1030473918.0501736</v>
      </c>
      <c r="DA4" s="13">
        <f>SUMIFS('INGRESOSXDIA-HABIL'!$J$4:$J$25,'INGRESOSXDIA-HABIL'!$I$4:$I$25,ESCENARIO[[#Headers],[15-may]])</f>
        <v>2897872197.2224188</v>
      </c>
      <c r="DB4" s="13">
        <f>SUMIFS('INGRESOSXDIA-HABIL'!$J$4:$J$25,'INGRESOSXDIA-HABIL'!$I$4:$I$25,ESCENARIO[[#Headers],[16-may]])</f>
        <v>0</v>
      </c>
      <c r="DC4" s="13">
        <f>SUMIFS('INGRESOSXDIA-HABIL'!$J$4:$J$25,'INGRESOSXDIA-HABIL'!$I$4:$I$25,ESCENARIO[[#Headers],[17-may]])</f>
        <v>0</v>
      </c>
      <c r="DD4" s="13">
        <f>SUMIFS('INGRESOSXDIA-HABIL'!$J$4:$J$25,'INGRESOSXDIA-HABIL'!$I$4:$I$25,ESCENARIO[[#Headers],[18-may]])</f>
        <v>2649058294.6365404</v>
      </c>
      <c r="DE4" s="13">
        <f>SUMIFS('INGRESOSXDIA-HABIL'!$J$4:$J$25,'INGRESOSXDIA-HABIL'!$I$4:$I$25,ESCENARIO[[#Headers],[19-may]])</f>
        <v>1412268184.0511193</v>
      </c>
      <c r="DF4" s="13">
        <f>SUMIFS('INGRESOSXDIA-HABIL'!$J$4:$J$25,'INGRESOSXDIA-HABIL'!$I$4:$I$25,ESCENARIO[[#Headers],[20-may]])</f>
        <v>1740408049.904599</v>
      </c>
      <c r="DG4" s="13">
        <f>SUMIFS('INGRESOSXDIA-HABIL'!$J$4:$J$25,'INGRESOSXDIA-HABIL'!$I$4:$I$25,ESCENARIO[[#Headers],[21-may]])</f>
        <v>2841745072.3119888</v>
      </c>
      <c r="DH4" s="13">
        <f>SUMIFS('INGRESOSXDIA-HABIL'!$J$4:$J$25,'INGRESOSXDIA-HABIL'!$I$4:$I$25,ESCENARIO[[#Headers],[22-may]])</f>
        <v>2944621886.1655741</v>
      </c>
      <c r="DI4" s="13">
        <f>SUMIFS('INGRESOSXDIA-HABIL'!$J$4:$J$25,'INGRESOSXDIA-HABIL'!$I$4:$I$25,ESCENARIO[[#Headers],[23-may]])</f>
        <v>0</v>
      </c>
      <c r="DJ4" s="13">
        <f>SUMIFS('INGRESOSXDIA-HABIL'!$J$4:$J$25,'INGRESOSXDIA-HABIL'!$I$4:$I$25,ESCENARIO[[#Headers],[24-may]])</f>
        <v>0</v>
      </c>
      <c r="DK4" s="13">
        <f>SUMIFS('INGRESOSXDIA-HABIL'!$J$4:$J$25,'INGRESOSXDIA-HABIL'!$I$4:$I$25,ESCENARIO[[#Headers],[25-may]])</f>
        <v>0</v>
      </c>
      <c r="DL4" s="13">
        <f>SUMIFS('INGRESOSXDIA-HABIL'!$J$4:$J$25,'INGRESOSXDIA-HABIL'!$I$4:$I$25,ESCENARIO[[#Headers],[26-may]])</f>
        <v>1657083926.2937167</v>
      </c>
      <c r="DM4" s="13">
        <f>SUMIFS('INGRESOSXDIA-HABIL'!$J$4:$J$25,'INGRESOSXDIA-HABIL'!$I$4:$I$25,ESCENARIO[[#Headers],[27-may]])</f>
        <v>3147790925.7819309</v>
      </c>
      <c r="DN4" s="13">
        <f>SUMIFS('INGRESOSXDIA-HABIL'!$J$4:$J$25,'INGRESOSXDIA-HABIL'!$I$4:$I$25,ESCENARIO[[#Headers],[28-may]])</f>
        <v>1286418155.3685923</v>
      </c>
      <c r="DO4" s="13">
        <f>SUMIFS('INGRESOSXDIA-HABIL'!$J$4:$J$25,'INGRESOSXDIA-HABIL'!$I$4:$I$25,ESCENARIO[[#Headers],[29-may]])</f>
        <v>1776930083.3350282</v>
      </c>
      <c r="DP4" s="13">
        <f>SUMIFS('INGRESOSXDIA-HABIL'!$J$4:$J$25,'INGRESOSXDIA-HABIL'!$I$4:$I$25,ESCENARIO[[#Headers],[30-may]])</f>
        <v>596360321.95489836</v>
      </c>
      <c r="DQ4" s="13">
        <f>SUMIFS('INGRESOSXDIA-HABIL'!$J$4:$J$25,'INGRESOSXDIA-HABIL'!$I$4:$I$25,ESCENARIO[[#Headers],[31-may]])</f>
        <v>1197437852.1246231</v>
      </c>
      <c r="DR4" s="13">
        <f>SUMIFS('INGRESOSXDIA-HABIL'!$L$4:$L$25,'INGRESOSXDIA-HABIL'!$K$4:$K$25,ESCENARIO[[#Headers],[01-jun]])</f>
        <v>0</v>
      </c>
      <c r="DS4" s="13">
        <f>SUMIFS('INGRESOSXDIA-HABIL'!$L$4:$L$25,'INGRESOSXDIA-HABIL'!$K$4:$K$25,ESCENARIO[[#Headers],[02-jun]])</f>
        <v>681878515.54238081</v>
      </c>
      <c r="DT4" s="13">
        <f>SUMIFS('INGRESOSXDIA-HABIL'!$L$4:$L$25,'INGRESOSXDIA-HABIL'!$K$4:$K$25,ESCENARIO[[#Headers],[03-jun]])</f>
        <v>930234035.5730679</v>
      </c>
      <c r="DU4" s="13">
        <f>SUMIFS('INGRESOSXDIA-HABIL'!$L$4:$L$25,'INGRESOSXDIA-HABIL'!$K$4:$K$25,ESCENARIO[[#Headers],[04-jun]])</f>
        <v>529898384.7051639</v>
      </c>
      <c r="DV4" s="13">
        <f>SUMIFS('INGRESOSXDIA-HABIL'!$L$4:$L$25,'INGRESOSXDIA-HABIL'!$K$4:$K$25,ESCENARIO[[#Headers],[05-jun]])</f>
        <v>669309454.56348455</v>
      </c>
      <c r="DW4" s="13">
        <f>SUMIFS('INGRESOSXDIA-HABIL'!$L$4:$L$25,'INGRESOSXDIA-HABIL'!$K$4:$K$25,ESCENARIO[[#Headers],[06-jun]])</f>
        <v>0</v>
      </c>
      <c r="DX4" s="13">
        <f>SUMIFS('INGRESOSXDIA-HABIL'!$L$4:$L$25,'INGRESOSXDIA-HABIL'!$K$4:$K$25,ESCENARIO[[#Headers],[07-jun]])</f>
        <v>0</v>
      </c>
      <c r="DY4" s="13">
        <f>SUMIFS('INGRESOSXDIA-HABIL'!$L$4:$L$25,'INGRESOSXDIA-HABIL'!$K$4:$K$25,ESCENARIO[[#Headers],[08-jun]])</f>
        <v>869248914.05666542</v>
      </c>
      <c r="DZ4" s="13">
        <f>SUMIFS('INGRESOSXDIA-HABIL'!$L$4:$L$25,'INGRESOSXDIA-HABIL'!$K$4:$K$25,ESCENARIO[[#Headers],[09-jun]])</f>
        <v>1516589540.7507377</v>
      </c>
      <c r="EA4" s="13">
        <f>SUMIFS('INGRESOSXDIA-HABIL'!$L$4:$L$25,'INGRESOSXDIA-HABIL'!$K$4:$K$25,ESCENARIO[[#Headers],[10-jun]])</f>
        <v>7714315735.0935669</v>
      </c>
      <c r="EB4" s="13">
        <f>SUMIFS('INGRESOSXDIA-HABIL'!$L$4:$L$25,'INGRESOSXDIA-HABIL'!$K$4:$K$25,ESCENARIO[[#Headers],[11-jun]])</f>
        <v>1494170853.6673605</v>
      </c>
      <c r="EC4" s="13">
        <f>SUMIFS('INGRESOSXDIA-HABIL'!$L$4:$L$25,'INGRESOSXDIA-HABIL'!$K$4:$K$25,ESCENARIO[[#Headers],[12-jun]])</f>
        <v>1002237165.7979695</v>
      </c>
      <c r="ED4" s="13">
        <f>SUMIFS('INGRESOSXDIA-HABIL'!$L$4:$L$25,'INGRESOSXDIA-HABIL'!$K$4:$K$25,ESCENARIO[[#Headers],[13-jun]])</f>
        <v>0</v>
      </c>
      <c r="EE4" s="13">
        <f>SUMIFS('INGRESOSXDIA-HABIL'!$L$4:$L$25,'INGRESOSXDIA-HABIL'!$K$4:$K$25,ESCENARIO[[#Headers],[14-jun]])</f>
        <v>0</v>
      </c>
      <c r="EF4" s="13">
        <f>SUMIFS('INGRESOSXDIA-HABIL'!$L$4:$L$25,'INGRESOSXDIA-HABIL'!$K$4:$K$25,ESCENARIO[[#Headers],[15-jun]])</f>
        <v>0</v>
      </c>
      <c r="EG4" s="13">
        <f>SUMIFS('INGRESOSXDIA-HABIL'!$L$4:$L$25,'INGRESOSXDIA-HABIL'!$K$4:$K$25,ESCENARIO[[#Headers],[16-jun]])</f>
        <v>2818465530.1945434</v>
      </c>
      <c r="EH4" s="13">
        <f>SUMIFS('INGRESOSXDIA-HABIL'!$L$4:$L$25,'INGRESOSXDIA-HABIL'!$K$4:$K$25,ESCENARIO[[#Headers],[17-jun]])</f>
        <v>2576469555.1671958</v>
      </c>
      <c r="EI4" s="13">
        <f>SUMIFS('INGRESOSXDIA-HABIL'!$L$4:$L$25,'INGRESOSXDIA-HABIL'!$K$4:$K$25,ESCENARIO[[#Headers],[18-jun]])</f>
        <v>1373569614.2686086</v>
      </c>
      <c r="EJ4" s="13">
        <f>SUMIFS('INGRESOSXDIA-HABIL'!$L$4:$L$25,'INGRESOSXDIA-HABIL'!$K$4:$K$25,ESCENARIO[[#Headers],[19-jun]])</f>
        <v>1692717885.1541066</v>
      </c>
      <c r="EK4" s="13">
        <f>SUMIFS('INGRESOSXDIA-HABIL'!$L$4:$L$25,'INGRESOSXDIA-HABIL'!$K$4:$K$25,ESCENARIO[[#Headers],[20-jun]])</f>
        <v>0</v>
      </c>
      <c r="EL4" s="13">
        <f>SUMIFS('INGRESOSXDIA-HABIL'!$L$4:$L$25,'INGRESOSXDIA-HABIL'!$K$4:$K$25,ESCENARIO[[#Headers],[21-jun]])</f>
        <v>0</v>
      </c>
      <c r="EM4" s="13">
        <f>SUMIFS('INGRESOSXDIA-HABIL'!$L$4:$L$25,'INGRESOSXDIA-HABIL'!$K$4:$K$25,ESCENARIO[[#Headers],[22-jun]])</f>
        <v>2763876384.7447906</v>
      </c>
      <c r="EN4" s="13">
        <f>SUMIFS('INGRESOSXDIA-HABIL'!$L$4:$L$25,'INGRESOSXDIA-HABIL'!$K$4:$K$25,ESCENARIO[[#Headers],[23-jun]])</f>
        <v>2863934197.5015054</v>
      </c>
      <c r="EO4" s="13">
        <f>SUMIFS('INGRESOSXDIA-HABIL'!$L$4:$L$25,'INGRESOSXDIA-HABIL'!$K$4:$K$25,ESCENARIO[[#Headers],[24-jun]])</f>
        <v>1611676985.4015093</v>
      </c>
      <c r="EP4" s="13">
        <f>SUMIFS('INGRESOSXDIA-HABIL'!$L$4:$L$25,'INGRESOSXDIA-HABIL'!$K$4:$K$25,ESCENARIO[[#Headers],[25-jun]])</f>
        <v>3061536057.0694623</v>
      </c>
      <c r="EQ4" s="13">
        <f>SUMIFS('INGRESOSXDIA-HABIL'!$L$4:$L$25,'INGRESOSXDIA-HABIL'!$K$4:$K$25,ESCENARIO[[#Headers],[26-jun]])</f>
        <v>1251168092.1601882</v>
      </c>
      <c r="ER4" s="13">
        <f>SUMIFS('INGRESOSXDIA-HABIL'!$L$4:$L$25,'INGRESOSXDIA-HABIL'!$K$4:$K$25,ESCENARIO[[#Headers],[27-jun]])</f>
        <v>0</v>
      </c>
      <c r="ES4" s="13">
        <f>SUMIFS('INGRESOSXDIA-HABIL'!$L$4:$L$25,'INGRESOSXDIA-HABIL'!$K$4:$K$25,ESCENARIO[[#Headers],[28-jun]])</f>
        <v>0</v>
      </c>
      <c r="ET4" s="13">
        <f>SUMIFS('INGRESOSXDIA-HABIL'!$L$4:$L$25,'INGRESOSXDIA-HABIL'!$K$4:$K$25,ESCENARIO[[#Headers],[29-jun]])</f>
        <v>1728239152.246196</v>
      </c>
      <c r="EU4" s="13">
        <f>SUMIFS('INGRESOSXDIA-HABIL'!$L$4:$L$25,'INGRESOSXDIA-HABIL'!$K$4:$K$25,ESCENARIO[[#Headers],[30-jun]])</f>
        <v>1744645028.3814917</v>
      </c>
      <c r="EV4" s="13">
        <f>SUMIFS('INGRESOSXDIA-HABIL'!$N$4:$N$25,'INGRESOSXDIA-HABIL'!$M$4:$M$25,ESCENARIO[[#Headers],[01-jul]])</f>
        <v>684151358.1872561</v>
      </c>
      <c r="EW4" s="13">
        <f>SUMIFS('INGRESOSXDIA-HABIL'!$N$4:$N$25,'INGRESOSXDIA-HABIL'!$M$4:$M$25,ESCENARIO[[#Headers],[02-jul]])</f>
        <v>933334698.72284186</v>
      </c>
      <c r="EX4" s="13">
        <f>SUMIFS('INGRESOSXDIA-HABIL'!$N$4:$N$25,'INGRESOSXDIA-HABIL'!$M$4:$M$25,ESCENARIO[[#Headers],[03-jul]])</f>
        <v>531664646.02408874</v>
      </c>
      <c r="EY4" s="13">
        <f>SUMIFS('INGRESOSXDIA-HABIL'!$N$4:$N$25,'INGRESOSXDIA-HABIL'!$M$4:$M$25,ESCENARIO[[#Headers],[04-jul]])</f>
        <v>0</v>
      </c>
      <c r="EZ4" s="13">
        <f>SUMIFS('INGRESOSXDIA-HABIL'!$N$4:$N$25,'INGRESOSXDIA-HABIL'!$M$4:$M$25,ESCENARIO[[#Headers],[05-jul]])</f>
        <v>0</v>
      </c>
      <c r="FA4" s="13">
        <f>SUMIFS('INGRESOSXDIA-HABIL'!$N$4:$N$25,'INGRESOSXDIA-HABIL'!$M$4:$M$25,ESCENARIO[[#Headers],[06-jul]])</f>
        <v>671540401.91887975</v>
      </c>
      <c r="FB4" s="13">
        <f>SUMIFS('INGRESOSXDIA-HABIL'!$N$4:$N$25,'INGRESOSXDIA-HABIL'!$M$4:$M$25,ESCENARIO[[#Headers],[07-jul]])</f>
        <v>872146301.13639772</v>
      </c>
      <c r="FC4" s="13">
        <f>SUMIFS('INGRESOSXDIA-HABIL'!$N$4:$N$25,'INGRESOSXDIA-HABIL'!$M$4:$M$25,ESCENARIO[[#Headers],[08-jul]])</f>
        <v>1521644648.522022</v>
      </c>
      <c r="FD4" s="13">
        <f>SUMIFS('INGRESOSXDIA-HABIL'!$N$4:$N$25,'INGRESOSXDIA-HABIL'!$M$4:$M$25,ESCENARIO[[#Headers],[09-jul]])</f>
        <v>0</v>
      </c>
      <c r="FE4" s="13">
        <f>SUMIFS('INGRESOSXDIA-HABIL'!$N$4:$N$25,'INGRESOSXDIA-HABIL'!$M$4:$M$25,ESCENARIO[[#Headers],[10-jul]])</f>
        <v>0</v>
      </c>
      <c r="FF4" s="13">
        <f>SUMIFS('INGRESOSXDIA-HABIL'!$N$4:$N$25,'INGRESOSXDIA-HABIL'!$M$4:$M$25,ESCENARIO[[#Headers],[11-jul]])</f>
        <v>0</v>
      </c>
      <c r="FG4" s="13">
        <f>SUMIFS('INGRESOSXDIA-HABIL'!$N$4:$N$25,'INGRESOSXDIA-HABIL'!$M$4:$M$25,ESCENARIO[[#Headers],[12-jul]])</f>
        <v>0</v>
      </c>
      <c r="FH4" s="13">
        <f>SUMIFS('INGRESOSXDIA-HABIL'!$N$4:$N$25,'INGRESOSXDIA-HABIL'!$M$4:$M$25,ESCENARIO[[#Headers],[13-jul]])</f>
        <v>7740029150.8694048</v>
      </c>
      <c r="FI4" s="13">
        <f>SUMIFS('INGRESOSXDIA-HABIL'!$N$4:$N$25,'INGRESOSXDIA-HABIL'!$M$4:$M$25,ESCENARIO[[#Headers],[14-jul]])</f>
        <v>1499151235.3006542</v>
      </c>
      <c r="FJ4" s="13">
        <f>SUMIFS('INGRESOSXDIA-HABIL'!$N$4:$N$25,'INGRESOSXDIA-HABIL'!$M$4:$M$25,ESCENARIO[[#Headers],[15-jul]])</f>
        <v>1005577830.3280618</v>
      </c>
      <c r="FK4" s="13">
        <f>SUMIFS('INGRESOSXDIA-HABIL'!$N$4:$N$25,'INGRESOSXDIA-HABIL'!$M$4:$M$25,ESCENARIO[[#Headers],[16-jul]])</f>
        <v>2827860060.8977752</v>
      </c>
      <c r="FL4" s="13">
        <f>SUMIFS('INGRESOSXDIA-HABIL'!$N$4:$N$25,'INGRESOSXDIA-HABIL'!$M$4:$M$25,ESCENARIO[[#Headers],[17-jul]])</f>
        <v>2585057463.0492163</v>
      </c>
      <c r="FM4" s="13">
        <f>SUMIFS('INGRESOSXDIA-HABIL'!$N$4:$N$25,'INGRESOSXDIA-HABIL'!$M$4:$M$25,ESCENARIO[[#Headers],[18-jul]])</f>
        <v>0</v>
      </c>
      <c r="FN4" s="13">
        <f>SUMIFS('INGRESOSXDIA-HABIL'!$N$4:$N$25,'INGRESOSXDIA-HABIL'!$M$4:$M$25,ESCENARIO[[#Headers],[19-jul]])</f>
        <v>0</v>
      </c>
      <c r="FO4" s="13">
        <f>SUMIFS('INGRESOSXDIA-HABIL'!$N$4:$N$25,'INGRESOSXDIA-HABIL'!$M$4:$M$25,ESCENARIO[[#Headers],[20-jul]])</f>
        <v>1378148006.9351254</v>
      </c>
      <c r="FP4" s="13">
        <f>SUMIFS('INGRESOSXDIA-HABIL'!$N$4:$N$25,'INGRESOSXDIA-HABIL'!$M$4:$M$25,ESCENARIO[[#Headers],[21-jul]])</f>
        <v>1698360065.2601349</v>
      </c>
      <c r="FQ4" s="13">
        <f>SUMIFS('INGRESOSXDIA-HABIL'!$N$4:$N$25,'INGRESOSXDIA-HABIL'!$M$4:$M$25,ESCENARIO[[#Headers],[22-jul]])</f>
        <v>2773088958.4939647</v>
      </c>
      <c r="FR4" s="13">
        <f>SUMIFS('INGRESOSXDIA-HABIL'!$N$4:$N$25,'INGRESOSXDIA-HABIL'!$M$4:$M$25,ESCENARIO[[#Headers],[23-jul]])</f>
        <v>2873480284.7118058</v>
      </c>
      <c r="FS4" s="13">
        <f>SUMIFS('INGRESOSXDIA-HABIL'!$N$4:$N$25,'INGRESOSXDIA-HABIL'!$M$4:$M$25,ESCENARIO[[#Headers],[24-jul]])</f>
        <v>1617049039.3652139</v>
      </c>
      <c r="FT4" s="13">
        <f>SUMIFS('INGRESOSXDIA-HABIL'!$N$4:$N$25,'INGRESOSXDIA-HABIL'!$M$4:$M$25,ESCENARIO[[#Headers],[25-jul]])</f>
        <v>0</v>
      </c>
      <c r="FU4" s="13">
        <f>SUMIFS('INGRESOSXDIA-HABIL'!$N$4:$N$25,'INGRESOSXDIA-HABIL'!$M$4:$M$25,ESCENARIO[[#Headers],[26-jul]])</f>
        <v>0</v>
      </c>
      <c r="FV4" s="13">
        <f>SUMIFS('INGRESOSXDIA-HABIL'!$N$4:$N$25,'INGRESOSXDIA-HABIL'!$M$4:$M$25,ESCENARIO[[#Headers],[27-jul]])</f>
        <v>3071740792.2982821</v>
      </c>
      <c r="FW4" s="13">
        <f>SUMIFS('INGRESOSXDIA-HABIL'!$N$4:$N$25,'INGRESOSXDIA-HABIL'!$M$4:$M$25,ESCENARIO[[#Headers],[28-jul]])</f>
        <v>1255338495.1439321</v>
      </c>
      <c r="FX4" s="13">
        <f>SUMIFS('INGRESOSXDIA-HABIL'!$N$4:$N$25,'INGRESOSXDIA-HABIL'!$M$4:$M$25,ESCENARIO[[#Headers],[29-jul]])</f>
        <v>1733999732.1093757</v>
      </c>
      <c r="FY4" s="13">
        <f>SUMIFS('INGRESOSXDIA-HABIL'!$N$4:$N$25,'INGRESOSXDIA-HABIL'!$M$4:$M$25,ESCENARIO[[#Headers],[30-jul]])</f>
        <v>581952350.40966117</v>
      </c>
      <c r="FZ4" s="13">
        <f>SUMIFS('INGRESOSXDIA-HABIL'!$N$4:$N$25,'INGRESOSXDIA-HABIL'!$M$4:$M$25,ESCENARIO[[#Headers],[31-jul]])</f>
        <v>1168507942.0258987</v>
      </c>
      <c r="GA4" s="13">
        <f>SUMIFS('INGRESOSXDIA-HABIL'!$P$4:$P$25,'INGRESOSXDIA-HABIL'!$O$4:$O$25,ESCENARIO[[#Headers],[01-ago]])</f>
        <v>0</v>
      </c>
      <c r="GB4" s="13">
        <f>SUMIFS('INGRESOSXDIA-HABIL'!$P$4:$P$25,'INGRESOSXDIA-HABIL'!$O$4:$O$25,ESCENARIO[[#Headers],[02-ago]])</f>
        <v>0</v>
      </c>
      <c r="GC4" s="13">
        <f>SUMIFS('INGRESOSXDIA-HABIL'!$P$4:$P$25,'INGRESOSXDIA-HABIL'!$O$4:$O$25,ESCENARIO[[#Headers],[03-ago]])</f>
        <v>692308682.03713858</v>
      </c>
      <c r="GD4" s="13">
        <f>SUMIFS('INGRESOSXDIA-HABIL'!$P$4:$P$25,'INGRESOSXDIA-HABIL'!$O$4:$O$25,ESCENARIO[[#Headers],[04-ago]])</f>
        <v>944463103.72665226</v>
      </c>
      <c r="GE4" s="13">
        <f>SUMIFS('INGRESOSXDIA-HABIL'!$P$4:$P$25,'INGRESOSXDIA-HABIL'!$O$4:$O$25,ESCENARIO[[#Headers],[05-ago]])</f>
        <v>538003829.07949173</v>
      </c>
      <c r="GF4" s="13">
        <f>SUMIFS('INGRESOSXDIA-HABIL'!$P$4:$P$25,'INGRESOSXDIA-HABIL'!$O$4:$O$25,ESCENARIO[[#Headers],[06-ago]])</f>
        <v>679547361.8864038</v>
      </c>
      <c r="GG4" s="13">
        <f>SUMIFS('INGRESOSXDIA-HABIL'!$P$4:$P$25,'INGRESOSXDIA-HABIL'!$O$4:$O$25,ESCENARIO[[#Headers],[07-ago]])</f>
        <v>882545140.13263559</v>
      </c>
      <c r="GH4" s="13">
        <f>SUMIFS('INGRESOSXDIA-HABIL'!$P$4:$P$25,'INGRESOSXDIA-HABIL'!$O$4:$O$25,ESCENARIO[[#Headers],[08-ago]])</f>
        <v>0</v>
      </c>
      <c r="GI4" s="13">
        <f>SUMIFS('INGRESOSXDIA-HABIL'!$P$4:$P$25,'INGRESOSXDIA-HABIL'!$O$4:$O$25,ESCENARIO[[#Headers],[09-ago]])</f>
        <v>0</v>
      </c>
      <c r="GJ4" s="13">
        <f>SUMIFS('INGRESOSXDIA-HABIL'!$P$4:$P$25,'INGRESOSXDIA-HABIL'!$O$4:$O$25,ESCENARIO[[#Headers],[10-ago]])</f>
        <v>1539787634.038156</v>
      </c>
      <c r="GK4" s="13">
        <f>SUMIFS('INGRESOSXDIA-HABIL'!$P$4:$P$25,'INGRESOSXDIA-HABIL'!$O$4:$O$25,ESCENARIO[[#Headers],[11-ago]])</f>
        <v>7832315636.3606634</v>
      </c>
      <c r="GL4" s="13">
        <f>SUMIFS('INGRESOSXDIA-HABIL'!$P$4:$P$25,'INGRESOSXDIA-HABIL'!$O$4:$O$25,ESCENARIO[[#Headers],[12-ago]])</f>
        <v>1517026025.6960154</v>
      </c>
      <c r="GM4" s="13">
        <f>SUMIFS('INGRESOSXDIA-HABIL'!$P$4:$P$25,'INGRESOSXDIA-HABIL'!$O$4:$O$25,ESCENARIO[[#Headers],[13-ago]])</f>
        <v>1017567609.9580879</v>
      </c>
      <c r="GN4" s="13">
        <f>SUMIFS('INGRESOSXDIA-HABIL'!$P$4:$P$25,'INGRESOSXDIA-HABIL'!$O$4:$O$25,ESCENARIO[[#Headers],[14-ago]])</f>
        <v>2861577410.1989775</v>
      </c>
      <c r="GO4" s="13">
        <f>SUMIFS('INGRESOSXDIA-HABIL'!$P$4:$P$25,'INGRESOSXDIA-HABIL'!$O$4:$O$25,ESCENARIO[[#Headers],[15-ago]])</f>
        <v>0</v>
      </c>
      <c r="GP4" s="13">
        <f>SUMIFS('INGRESOSXDIA-HABIL'!$P$4:$P$25,'INGRESOSXDIA-HABIL'!$O$4:$O$25,ESCENARIO[[#Headers],[16-ago]])</f>
        <v>0</v>
      </c>
      <c r="GQ4" s="13">
        <f>SUMIFS('INGRESOSXDIA-HABIL'!$P$4:$P$25,'INGRESOSXDIA-HABIL'!$O$4:$O$25,ESCENARIO[[#Headers],[17-ago]])</f>
        <v>2615879810.537528</v>
      </c>
      <c r="GR4" s="13">
        <f>SUMIFS('INGRESOSXDIA-HABIL'!$P$4:$P$25,'INGRESOSXDIA-HABIL'!$O$4:$O$25,ESCENARIO[[#Headers],[18-ago]])</f>
        <v>1394580042.7282383</v>
      </c>
      <c r="GS4" s="13">
        <f>SUMIFS('INGRESOSXDIA-HABIL'!$P$4:$P$25,'INGRESOSXDIA-HABIL'!$O$4:$O$25,ESCENARIO[[#Headers],[19-ago]])</f>
        <v>1718610077.0451624</v>
      </c>
      <c r="GT4" s="13">
        <f>SUMIFS('INGRESOSXDIA-HABIL'!$P$4:$P$25,'INGRESOSXDIA-HABIL'!$O$4:$O$25,ESCENARIO[[#Headers],[20-ago]])</f>
        <v>2806153256.9540391</v>
      </c>
      <c r="GU4" s="13">
        <f>SUMIFS('INGRESOSXDIA-HABIL'!$P$4:$P$25,'INGRESOSXDIA-HABIL'!$O$4:$O$25,ESCENARIO[[#Headers],[21-ago]])</f>
        <v>2907741576.4247303</v>
      </c>
      <c r="GV4" s="13">
        <f>SUMIFS('INGRESOSXDIA-HABIL'!$P$4:$P$25,'INGRESOSXDIA-HABIL'!$O$4:$O$25,ESCENARIO[[#Headers],[22-ago]])</f>
        <v>0</v>
      </c>
      <c r="GW4" s="13">
        <f>SUMIFS('INGRESOSXDIA-HABIL'!$P$4:$P$25,'INGRESOSXDIA-HABIL'!$O$4:$O$25,ESCENARIO[[#Headers],[23-ago]])</f>
        <v>0</v>
      </c>
      <c r="GX4" s="13">
        <f>SUMIFS('INGRESOSXDIA-HABIL'!$P$4:$P$25,'INGRESOSXDIA-HABIL'!$O$4:$O$25,ESCENARIO[[#Headers],[24-ago]])</f>
        <v>1636329557.5391369</v>
      </c>
      <c r="GY4" s="13">
        <f>SUMIFS('INGRESOSXDIA-HABIL'!$P$4:$P$25,'INGRESOSXDIA-HABIL'!$O$4:$O$25,ESCENARIO[[#Headers],[25-ago]])</f>
        <v>3108365998.2937274</v>
      </c>
      <c r="GZ4" s="13">
        <f>SUMIFS('INGRESOSXDIA-HABIL'!$P$4:$P$25,'INGRESOSXDIA-HABIL'!$O$4:$O$25,ESCENARIO[[#Headers],[26-ago]])</f>
        <v>1270306239.5232546</v>
      </c>
      <c r="HA4" s="13">
        <f>SUMIFS('INGRESOSXDIA-HABIL'!$P$4:$P$25,'INGRESOSXDIA-HABIL'!$O$4:$O$25,ESCENARIO[[#Headers],[27-ago]])</f>
        <v>1754674685.3944266</v>
      </c>
      <c r="HB4" s="13">
        <f>SUMIFS('INGRESOSXDIA-HABIL'!$P$4:$P$25,'INGRESOSXDIA-HABIL'!$O$4:$O$25,ESCENARIO[[#Headers],[28-ago]])</f>
        <v>588891127.52481604</v>
      </c>
      <c r="HC4" s="13">
        <f>SUMIFS('INGRESOSXDIA-HABIL'!$P$4:$P$25,'INGRESOSXDIA-HABIL'!$O$4:$O$25,ESCENARIO[[#Headers],[29-ago]])</f>
        <v>0</v>
      </c>
      <c r="HD4" s="13">
        <f>SUMIFS('INGRESOSXDIA-HABIL'!$P$4:$P$25,'INGRESOSXDIA-HABIL'!$O$4:$O$25,ESCENARIO[[#Headers],[30-ago]])</f>
        <v>0</v>
      </c>
      <c r="HE4" s="13">
        <f>SUMIFS('INGRESOSXDIA-HABIL'!$P$4:$P$25,'INGRESOSXDIA-HABIL'!$O$4:$O$25,ESCENARIO[[#Headers],[31-ago]])</f>
        <v>1182440381.9607122</v>
      </c>
      <c r="HF4" s="13">
        <f>SUMIFS('INGRESOSXDIA-HABIL'!$R$4:$R$25,'INGRESOSXDIA-HABIL'!$Q$4:$Q$25,ESCENARIO[[#Headers],[01-sep]])</f>
        <v>0</v>
      </c>
      <c r="HG4" s="13">
        <f>SUMIFS('INGRESOSXDIA-HABIL'!$R$4:$R$25,'INGRESOSXDIA-HABIL'!$Q$4:$Q$25,ESCENARIO[[#Headers],[02-sep]])</f>
        <v>715432207.36651421</v>
      </c>
      <c r="HH4" s="13">
        <f>SUMIFS('INGRESOSXDIA-HABIL'!$R$4:$R$25,'INGRESOSXDIA-HABIL'!$Q$4:$Q$25,ESCENARIO[[#Headers],[03-sep]])</f>
        <v>976008738.02004445</v>
      </c>
      <c r="HI4" s="13">
        <f>SUMIFS('INGRESOSXDIA-HABIL'!$R$4:$R$25,'INGRESOSXDIA-HABIL'!$Q$4:$Q$25,ESCENARIO[[#Headers],[04-sep]])</f>
        <v>555973479.74516594</v>
      </c>
      <c r="HJ4" s="13">
        <f>SUMIFS('INGRESOSXDIA-HABIL'!$R$4:$R$25,'INGRESOSXDIA-HABIL'!$Q$4:$Q$25,ESCENARIO[[#Headers],[05-sep]])</f>
        <v>0</v>
      </c>
      <c r="HK4" s="13">
        <f>SUMIFS('INGRESOSXDIA-HABIL'!$R$4:$R$25,'INGRESOSXDIA-HABIL'!$Q$4:$Q$25,ESCENARIO[[#Headers],[06-sep]])</f>
        <v>0</v>
      </c>
      <c r="HL4" s="13">
        <f>SUMIFS('INGRESOSXDIA-HABIL'!$R$4:$R$25,'INGRESOSXDIA-HABIL'!$Q$4:$Q$25,ESCENARIO[[#Headers],[07-sep]])</f>
        <v>702244651.46661389</v>
      </c>
      <c r="HM4" s="13">
        <f>SUMIFS('INGRESOSXDIA-HABIL'!$R$4:$R$25,'INGRESOSXDIA-HABIL'!$Q$4:$Q$25,ESCENARIO[[#Headers],[08-sep]])</f>
        <v>912022677.29441786</v>
      </c>
      <c r="HN4" s="13">
        <f>SUMIFS('INGRESOSXDIA-HABIL'!$R$4:$R$25,'INGRESOSXDIA-HABIL'!$Q$4:$Q$25,ESCENARIO[[#Headers],[09-sep]])</f>
        <v>1591217464.807822</v>
      </c>
      <c r="HO4" s="13">
        <f>SUMIFS('INGRESOSXDIA-HABIL'!$R$4:$R$25,'INGRESOSXDIA-HABIL'!$Q$4:$Q$25,ESCENARIO[[#Headers],[10-sep]])</f>
        <v>8093919677.5986366</v>
      </c>
      <c r="HP4" s="13">
        <f>SUMIFS('INGRESOSXDIA-HABIL'!$R$4:$R$25,'INGRESOSXDIA-HABIL'!$Q$4:$Q$25,ESCENARIO[[#Headers],[11-sep]])</f>
        <v>1567695605.0912683</v>
      </c>
      <c r="HQ4" s="13">
        <f>SUMIFS('INGRESOSXDIA-HABIL'!$R$4:$R$25,'INGRESOSXDIA-HABIL'!$Q$4:$Q$25,ESCENARIO[[#Headers],[12-sep]])</f>
        <v>0</v>
      </c>
      <c r="HR4" s="13">
        <f>SUMIFS('INGRESOSXDIA-HABIL'!$R$4:$R$25,'INGRESOSXDIA-HABIL'!$Q$4:$Q$25,ESCENARIO[[#Headers],[13-sep]])</f>
        <v>0</v>
      </c>
      <c r="HS4" s="13">
        <f>SUMIFS('INGRESOSXDIA-HABIL'!$R$4:$R$25,'INGRESOSXDIA-HABIL'!$Q$4:$Q$25,ESCENARIO[[#Headers],[14-sep]])</f>
        <v>1051554978.6185256</v>
      </c>
      <c r="HT4" s="13">
        <f>SUMIFS('INGRESOSXDIA-HABIL'!$R$4:$R$25,'INGRESOSXDIA-HABIL'!$Q$4:$Q$25,ESCENARIO[[#Headers],[15-sep]])</f>
        <v>2957155812.497788</v>
      </c>
      <c r="HU4" s="13">
        <f>SUMIFS('INGRESOSXDIA-HABIL'!$R$4:$R$25,'INGRESOSXDIA-HABIL'!$Q$4:$Q$25,ESCENARIO[[#Headers],[16-sep]])</f>
        <v>2703251765.6018181</v>
      </c>
      <c r="HV4" s="13">
        <f>SUMIFS('INGRESOSXDIA-HABIL'!$R$4:$R$25,'INGRESOSXDIA-HABIL'!$Q$4:$Q$25,ESCENARIO[[#Headers],[17-sep]])</f>
        <v>1441159852.8311229</v>
      </c>
      <c r="HW4" s="13">
        <f>SUMIFS('INGRESOSXDIA-HABIL'!$R$4:$R$25,'INGRESOSXDIA-HABIL'!$Q$4:$Q$25,ESCENARIO[[#Headers],[18-sep]])</f>
        <v>1776012684.695462</v>
      </c>
      <c r="HX4" s="13">
        <f>SUMIFS('INGRESOSXDIA-HABIL'!$R$4:$R$25,'INGRESOSXDIA-HABIL'!$Q$4:$Q$25,ESCENARIO[[#Headers],[19-sep]])</f>
        <v>0</v>
      </c>
      <c r="HY4" s="13">
        <f>SUMIFS('INGRESOSXDIA-HABIL'!$R$4:$R$25,'INGRESOSXDIA-HABIL'!$Q$4:$Q$25,ESCENARIO[[#Headers],[20-sep]])</f>
        <v>0</v>
      </c>
      <c r="HZ4" s="13">
        <f>SUMIFS('INGRESOSXDIA-HABIL'!$R$4:$R$25,'INGRESOSXDIA-HABIL'!$Q$4:$Q$25,ESCENARIO[[#Headers],[21-sep]])</f>
        <v>2899880459.2828484</v>
      </c>
      <c r="IA4" s="13">
        <f>SUMIFS('INGRESOSXDIA-HABIL'!$R$4:$R$25,'INGRESOSXDIA-HABIL'!$Q$4:$Q$25,ESCENARIO[[#Headers],[22-sep]])</f>
        <v>3004861889.5715885</v>
      </c>
      <c r="IB4" s="13">
        <f>SUMIFS('INGRESOSXDIA-HABIL'!$R$4:$R$25,'INGRESOSXDIA-HABIL'!$Q$4:$Q$25,ESCENARIO[[#Headers],[23-sep]])</f>
        <v>1690983946.4738872</v>
      </c>
      <c r="IC4" s="13">
        <f>SUMIFS('INGRESOSXDIA-HABIL'!$R$4:$R$25,'INGRESOSXDIA-HABIL'!$Q$4:$Q$25,ESCENARIO[[#Headers],[24-sep]])</f>
        <v>3212187287.4952669</v>
      </c>
      <c r="ID4" s="13">
        <f>SUMIFS('INGRESOSXDIA-HABIL'!$R$4:$R$25,'INGRESOSXDIA-HABIL'!$Q$4:$Q$25,ESCENARIO[[#Headers],[25-sep]])</f>
        <v>1312735230.0412502</v>
      </c>
      <c r="IE4" s="13">
        <f>SUMIFS('INGRESOSXDIA-HABIL'!$R$4:$R$25,'INGRESOSXDIA-HABIL'!$Q$4:$Q$25,ESCENARIO[[#Headers],[26-sep]])</f>
        <v>0</v>
      </c>
      <c r="IF4" s="13">
        <f>SUMIFS('INGRESOSXDIA-HABIL'!$R$4:$R$25,'INGRESOSXDIA-HABIL'!$Q$4:$Q$25,ESCENARIO[[#Headers],[27-sep]])</f>
        <v>0</v>
      </c>
      <c r="IG4" s="13">
        <f>SUMIFS('INGRESOSXDIA-HABIL'!$R$4:$R$25,'INGRESOSXDIA-HABIL'!$Q$4:$Q$25,ESCENARIO[[#Headers],[28-sep]])</f>
        <v>1813281872.6004879</v>
      </c>
      <c r="IH4" s="13">
        <f>SUMIFS('INGRESOSXDIA-HABIL'!$R$4:$R$25,'INGRESOSXDIA-HABIL'!$Q$4:$Q$25,ESCENARIO[[#Headers],[29-sep]])</f>
        <v>608560444.48830628</v>
      </c>
      <c r="II4" s="13">
        <f>SUMIFS('INGRESOSXDIA-HABIL'!$R$4:$R$25,'INGRESOSXDIA-HABIL'!$Q$4:$Q$25,ESCENARIO[[#Headers],[30-sep]])</f>
        <v>1221934600.1211574</v>
      </c>
      <c r="IJ4" s="13">
        <f>SUMIFS('INGRESOSXDIA-HABIL'!$T$4:$T$25,'INGRESOSXDIA-HABIL'!$S$4:$S$25,ESCENARIO[[#Headers],[01-oct]])</f>
        <v>745311865.45423591</v>
      </c>
      <c r="IK4" s="13">
        <f>SUMIFS('INGRESOSXDIA-HABIL'!$T$4:$T$25,'INGRESOSXDIA-HABIL'!$S$4:$S$25,ESCENARIO[[#Headers],[02-oct]])</f>
        <v>1016771240.8573366</v>
      </c>
      <c r="IL4" s="13">
        <f>SUMIFS('INGRESOSXDIA-HABIL'!$T$4:$T$25,'INGRESOSXDIA-HABIL'!$S$4:$S$25,ESCENARIO[[#Headers],[03-oct]])</f>
        <v>0</v>
      </c>
      <c r="IM4" s="13">
        <f>SUMIFS('INGRESOSXDIA-HABIL'!$T$4:$T$25,'INGRESOSXDIA-HABIL'!$S$4:$S$25,ESCENARIO[[#Headers],[04-oct]])</f>
        <v>0</v>
      </c>
      <c r="IN4" s="13">
        <f>SUMIFS('INGRESOSXDIA-HABIL'!$T$4:$T$25,'INGRESOSXDIA-HABIL'!$S$4:$S$25,ESCENARIO[[#Headers],[05-oct]])</f>
        <v>579193426.10706639</v>
      </c>
      <c r="IO4" s="13">
        <f>SUMIFS('INGRESOSXDIA-HABIL'!$T$4:$T$25,'INGRESOSXDIA-HABIL'!$S$4:$S$25,ESCENARIO[[#Headers],[06-oct]])</f>
        <v>731573538.06649315</v>
      </c>
      <c r="IP4" s="13">
        <f>SUMIFS('INGRESOSXDIA-HABIL'!$T$4:$T$25,'INGRESOSXDIA-HABIL'!$S$4:$S$25,ESCENARIO[[#Headers],[07-oct]])</f>
        <v>950112835.22302961</v>
      </c>
      <c r="IQ4" s="13">
        <f>SUMIFS('INGRESOSXDIA-HABIL'!$T$4:$T$25,'INGRESOSXDIA-HABIL'!$S$4:$S$25,ESCENARIO[[#Headers],[08-oct]])</f>
        <v>1657673843.6262722</v>
      </c>
      <c r="IR4" s="13">
        <f>SUMIFS('INGRESOSXDIA-HABIL'!$T$4:$T$25,'INGRESOSXDIA-HABIL'!$S$4:$S$25,ESCENARIO[[#Headers],[09-oct]])</f>
        <v>8431958069.0296707</v>
      </c>
      <c r="IS4" s="13">
        <f>SUMIFS('INGRESOSXDIA-HABIL'!$T$4:$T$25,'INGRESOSXDIA-HABIL'!$S$4:$S$25,ESCENARIO[[#Headers],[10-oct]])</f>
        <v>0</v>
      </c>
      <c r="IT4" s="13">
        <f>SUMIFS('INGRESOSXDIA-HABIL'!$T$4:$T$25,'INGRESOSXDIA-HABIL'!$S$4:$S$25,ESCENARIO[[#Headers],[11-oct]])</f>
        <v>0</v>
      </c>
      <c r="IU4" s="13">
        <f>SUMIFS('INGRESOSXDIA-HABIL'!$T$4:$T$25,'INGRESOSXDIA-HABIL'!$S$4:$S$25,ESCENARIO[[#Headers],[12-oct]])</f>
        <v>0</v>
      </c>
      <c r="IV4" s="13">
        <f>SUMIFS('INGRESOSXDIA-HABIL'!$T$4:$T$25,'INGRESOSXDIA-HABIL'!$S$4:$S$25,ESCENARIO[[#Headers],[13-oct]])</f>
        <v>1633169605.5394394</v>
      </c>
      <c r="IW4" s="13">
        <f>SUMIFS('INGRESOSXDIA-HABIL'!$T$4:$T$25,'INGRESOSXDIA-HABIL'!$S$4:$S$25,ESCENARIO[[#Headers],[14-oct]])</f>
        <v>1095472631.3297722</v>
      </c>
      <c r="IX4" s="13">
        <f>SUMIFS('INGRESOSXDIA-HABIL'!$T$4:$T$25,'INGRESOSXDIA-HABIL'!$S$4:$S$25,ESCENARIO[[#Headers],[15-oct]])</f>
        <v>3080659903.7027388</v>
      </c>
      <c r="IY4" s="13">
        <f>SUMIFS('INGRESOSXDIA-HABIL'!$T$4:$T$25,'INGRESOSXDIA-HABIL'!$S$4:$S$25,ESCENARIO[[#Headers],[16-oct]])</f>
        <v>2816151684.9086843</v>
      </c>
      <c r="IZ4" s="13">
        <f>SUMIFS('INGRESOSXDIA-HABIL'!$T$4:$T$25,'INGRESOSXDIA-HABIL'!$S$4:$S$25,ESCENARIO[[#Headers],[17-oct]])</f>
        <v>0</v>
      </c>
      <c r="JA4" s="13">
        <f>SUMIFS('INGRESOSXDIA-HABIL'!$T$4:$T$25,'INGRESOSXDIA-HABIL'!$S$4:$S$25,ESCENARIO[[#Headers],[18-oct]])</f>
        <v>0</v>
      </c>
      <c r="JB4" s="13">
        <f>SUMIFS('INGRESOSXDIA-HABIL'!$T$4:$T$25,'INGRESOSXDIA-HABIL'!$S$4:$S$25,ESCENARIO[[#Headers],[19-oct]])</f>
        <v>1501349152.6822617</v>
      </c>
      <c r="JC4" s="13">
        <f>SUMIFS('INGRESOSXDIA-HABIL'!$T$4:$T$25,'INGRESOSXDIA-HABIL'!$S$4:$S$25,ESCENARIO[[#Headers],[20-oct]])</f>
        <v>1850186940.8049181</v>
      </c>
      <c r="JD4" s="13">
        <f>SUMIFS('INGRESOSXDIA-HABIL'!$T$4:$T$25,'INGRESOSXDIA-HABIL'!$S$4:$S$25,ESCENARIO[[#Headers],[21-oct]])</f>
        <v>3020992474.8259897</v>
      </c>
      <c r="JE4" s="13">
        <f>SUMIFS('INGRESOSXDIA-HABIL'!$T$4:$T$25,'INGRESOSXDIA-HABIL'!$S$4:$S$25,ESCENARIO[[#Headers],[22-oct]])</f>
        <v>3130358400.5432124</v>
      </c>
      <c r="JF4" s="13">
        <f>SUMIFS('INGRESOSXDIA-HABIL'!$T$4:$T$25,'INGRESOSXDIA-HABIL'!$S$4:$S$25,ESCENARIO[[#Headers],[23-oct]])</f>
        <v>1761607021.0744159</v>
      </c>
      <c r="JG4" s="13">
        <f>SUMIFS('INGRESOSXDIA-HABIL'!$T$4:$T$25,'INGRESOSXDIA-HABIL'!$S$4:$S$25,ESCENARIO[[#Headers],[24-oct]])</f>
        <v>0</v>
      </c>
      <c r="JH4" s="13">
        <f>SUMIFS('INGRESOSXDIA-HABIL'!$T$4:$T$25,'INGRESOSXDIA-HABIL'!$S$4:$S$25,ESCENARIO[[#Headers],[25-oct]])</f>
        <v>0</v>
      </c>
      <c r="JI4" s="13">
        <f>SUMIFS('INGRESOSXDIA-HABIL'!$T$4:$T$25,'INGRESOSXDIA-HABIL'!$S$4:$S$25,ESCENARIO[[#Headers],[26-oct]])</f>
        <v>3346342637.052958</v>
      </c>
      <c r="JJ4" s="13">
        <f>SUMIFS('INGRESOSXDIA-HABIL'!$T$4:$T$25,'INGRESOSXDIA-HABIL'!$S$4:$S$25,ESCENARIO[[#Headers],[27-oct]])</f>
        <v>1367560941.5894096</v>
      </c>
      <c r="JK4" s="13">
        <f>SUMIFS('INGRESOSXDIA-HABIL'!$T$4:$T$25,'INGRESOSXDIA-HABIL'!$S$4:$S$25,ESCENARIO[[#Headers],[28-oct]])</f>
        <v>1889012657.1697237</v>
      </c>
      <c r="JL4" s="13">
        <f>SUMIFS('INGRESOSXDIA-HABIL'!$T$4:$T$25,'INGRESOSXDIA-HABIL'!$S$4:$S$25,ESCENARIO[[#Headers],[29-oct]])</f>
        <v>633976658.37942505</v>
      </c>
      <c r="JM4" s="13">
        <f>SUMIFS('INGRESOSXDIA-HABIL'!$T$4:$T$25,'INGRESOSXDIA-HABIL'!$S$4:$S$25,ESCENARIO[[#Headers],[30-oct]])</f>
        <v>1272968070.0729411</v>
      </c>
      <c r="JN4" s="13">
        <f>SUMIFS('INGRESOSXDIA-HABIL'!$T$4:$T$25,'INGRESOSXDIA-HABIL'!$S$4:$S$25,ESCENARIO[[#Headers],[31-oct]])</f>
        <v>0</v>
      </c>
      <c r="JO4" s="13">
        <f>SUMIFS('INGRESOSXDIA-HABIL'!$V$4:$V$23,'INGRESOSXDIA-HABIL'!$U$4:$U$23,ESCENARIO[[#Headers],[01-nov]])</f>
        <v>0</v>
      </c>
      <c r="JP4" s="13">
        <f>SUMIFS('INGRESOSXDIA-HABIL'!$V$4:$V$23,'INGRESOSXDIA-HABIL'!$U$4:$U$23,ESCENARIO[[#Headers],[02-nov]])</f>
        <v>756255705.04359436</v>
      </c>
      <c r="JQ4" s="13">
        <f>SUMIFS('INGRESOSXDIA-HABIL'!$V$4:$V$23,'INGRESOSXDIA-HABIL'!$U$4:$U$23,ESCENARIO[[#Headers],[03-nov]])</f>
        <v>1031701073.4210969</v>
      </c>
      <c r="JR4" s="13">
        <f>SUMIFS('INGRESOSXDIA-HABIL'!$V$4:$V$23,'INGRESOSXDIA-HABIL'!$U$4:$U$23,ESCENARIO[[#Headers],[04-nov]])</f>
        <v>587698053.82108176</v>
      </c>
      <c r="JS4" s="13">
        <f>SUMIFS('INGRESOSXDIA-HABIL'!$V$4:$V$23,'INGRESOSXDIA-HABIL'!$U$4:$U$23,ESCENARIO[[#Headers],[05-nov]])</f>
        <v>742315649.95215273</v>
      </c>
      <c r="JT4" s="13">
        <f>SUMIFS('INGRESOSXDIA-HABIL'!$V$4:$V$23,'INGRESOSXDIA-HABIL'!$U$4:$U$23,ESCENARIO[[#Headers],[06-nov]])</f>
        <v>964063884.36422944</v>
      </c>
      <c r="JU4" s="13">
        <f>SUMIFS('INGRESOSXDIA-HABIL'!$V$4:$V$23,'INGRESOSXDIA-HABIL'!$U$4:$U$23,ESCENARIO[[#Headers],[07-nov]])</f>
        <v>0</v>
      </c>
      <c r="JV4" s="13">
        <f>SUMIFS('INGRESOSXDIA-HABIL'!$V$4:$V$23,'INGRESOSXDIA-HABIL'!$U$4:$U$23,ESCENARIO[[#Headers],[08-nov]])</f>
        <v>0</v>
      </c>
      <c r="JW4" s="13">
        <f>SUMIFS('INGRESOSXDIA-HABIL'!$V$4:$V$23,'INGRESOSXDIA-HABIL'!$U$4:$U$23,ESCENARIO[[#Headers],[09-nov]])</f>
        <v>1682014414.9722884</v>
      </c>
      <c r="JX4" s="13">
        <f>SUMIFS('INGRESOSXDIA-HABIL'!$V$4:$V$23,'INGRESOSXDIA-HABIL'!$U$4:$U$23,ESCENARIO[[#Headers],[10-nov]])</f>
        <v>8555769322.8266525</v>
      </c>
      <c r="JY4" s="13">
        <f>SUMIFS('INGRESOSXDIA-HABIL'!$V$4:$V$23,'INGRESOSXDIA-HABIL'!$U$4:$U$23,ESCENARIO[[#Headers],[11-nov]])</f>
        <v>1657150367.1691318</v>
      </c>
      <c r="JZ4" s="13">
        <f>SUMIFS('INGRESOSXDIA-HABIL'!$V$4:$V$23,'INGRESOSXDIA-HABIL'!$U$4:$U$23,ESCENARIO[[#Headers],[12-nov]])</f>
        <v>1111558081.3373322</v>
      </c>
      <c r="KA4" s="13">
        <f>SUMIFS('INGRESOSXDIA-HABIL'!$V$4:$V$23,'INGRESOSXDIA-HABIL'!$U$4:$U$23,ESCENARIO[[#Headers],[13-nov]])</f>
        <v>3125894991.6949892</v>
      </c>
      <c r="KB4" s="13">
        <f>SUMIFS('INGRESOSXDIA-HABIL'!$V$4:$V$23,'INGRESOSXDIA-HABIL'!$U$4:$U$23,ESCENARIO[[#Headers],[14-nov]])</f>
        <v>0</v>
      </c>
      <c r="KC4" s="13">
        <f>SUMIFS('INGRESOSXDIA-HABIL'!$V$4:$V$23,'INGRESOSXDIA-HABIL'!$U$4:$U$23,ESCENARIO[[#Headers],[15-nov]])</f>
        <v>0</v>
      </c>
      <c r="KD4" s="13">
        <f>SUMIFS('INGRESOSXDIA-HABIL'!$V$4:$V$23,'INGRESOSXDIA-HABIL'!$U$4:$U$23,ESCENARIO[[#Headers],[16-nov]])</f>
        <v>2857502847.7271628</v>
      </c>
      <c r="KE4" s="13">
        <f>SUMIFS('INGRESOSXDIA-HABIL'!$V$4:$V$23,'INGRESOSXDIA-HABIL'!$U$4:$U$23,ESCENARIO[[#Headers],[17-nov]])</f>
        <v>1523394319.3515997</v>
      </c>
      <c r="KF4" s="13">
        <f>SUMIFS('INGRESOSXDIA-HABIL'!$V$4:$V$23,'INGRESOSXDIA-HABIL'!$U$4:$U$23,ESCENARIO[[#Headers],[18-nov]])</f>
        <v>1877354291.8548765</v>
      </c>
      <c r="KG4" s="13">
        <f>SUMIFS('INGRESOSXDIA-HABIL'!$V$4:$V$23,'INGRESOSXDIA-HABIL'!$U$4:$U$23,ESCENARIO[[#Headers],[19-nov]])</f>
        <v>3065351431.8982821</v>
      </c>
      <c r="KH4" s="13">
        <f>SUMIFS('INGRESOSXDIA-HABIL'!$V$4:$V$23,'INGRESOSXDIA-HABIL'!$U$4:$U$23,ESCENARIO[[#Headers],[20-nov]])</f>
        <v>3176323239.9354663</v>
      </c>
      <c r="KI4" s="13">
        <f>SUMIFS('INGRESOSXDIA-HABIL'!$V$4:$V$23,'INGRESOSXDIA-HABIL'!$U$4:$U$23,ESCENARIO[[#Headers],[21-nov]])</f>
        <v>0</v>
      </c>
      <c r="KJ4" s="13">
        <f>SUMIFS('INGRESOSXDIA-HABIL'!$V$4:$V$23,'INGRESOSXDIA-HABIL'!$U$4:$U$23,ESCENARIO[[#Headers],[22-nov]])</f>
        <v>0</v>
      </c>
      <c r="KK4" s="13">
        <f>SUMIFS('INGRESOSXDIA-HABIL'!$V$4:$V$23,'INGRESOSXDIA-HABIL'!$U$4:$U$23,ESCENARIO[[#Headers],[23-nov]])</f>
        <v>0</v>
      </c>
      <c r="KL4" s="13">
        <f>SUMIFS('INGRESOSXDIA-HABIL'!$V$4:$V$23,'INGRESOSXDIA-HABIL'!$U$4:$U$23,ESCENARIO[[#Headers],[24-nov]])</f>
        <v>1787473702.5962193</v>
      </c>
      <c r="KM4" s="13">
        <f>SUMIFS('INGRESOSXDIA-HABIL'!$V$4:$V$23,'INGRESOSXDIA-HABIL'!$U$4:$U$23,ESCENARIO[[#Headers],[25-nov]])</f>
        <v>3395478896.2866931</v>
      </c>
      <c r="KN4" s="13">
        <f>SUMIFS('INGRESOSXDIA-HABIL'!$V$4:$V$23,'INGRESOSXDIA-HABIL'!$U$4:$U$23,ESCENARIO[[#Headers],[26-nov]])</f>
        <v>1387641619.5809038</v>
      </c>
      <c r="KO4" s="13">
        <f>SUMIFS('INGRESOSXDIA-HABIL'!$V$4:$V$23,'INGRESOSXDIA-HABIL'!$U$4:$U$23,ESCENARIO[[#Headers],[27-nov]])</f>
        <v>1916750108.3771238</v>
      </c>
      <c r="KP4" s="13">
        <f>SUMIFS('INGRESOSXDIA-HABIL'!$V$4:$V$23,'INGRESOSXDIA-HABIL'!$U$4:$U$23,ESCENARIO[[#Headers],[28-nov]])</f>
        <v>0</v>
      </c>
      <c r="KQ4" s="13">
        <f>SUMIFS('INGRESOSXDIA-HABIL'!$V$4:$V$23,'INGRESOSXDIA-HABIL'!$U$4:$U$23,ESCENARIO[[#Headers],[29-nov]])</f>
        <v>0</v>
      </c>
      <c r="KR4" s="13">
        <f>SUMIFS('INGRESOSXDIA-HABIL'!$V$4:$V$23,'INGRESOSXDIA-HABIL'!$U$4:$U$23,ESCENARIO[[#Headers],[30-nov]])</f>
        <v>1934945486.4991152</v>
      </c>
      <c r="KS4" s="13">
        <f>SUMIFS('INGRESOSXDIA-HABIL'!$X$4:$X$25,'INGRESOSXDIA-HABIL'!$W$4:$W$25,ESCENARIO[[#Headers],[01-dic]])</f>
        <v>791404856.54736161</v>
      </c>
      <c r="KT4" s="13">
        <f>SUMIFS('INGRESOSXDIA-HABIL'!$X$4:$X$25,'INGRESOSXDIA-HABIL'!$W$4:$W$25,ESCENARIO[[#Headers],[02-dic]])</f>
        <v>1079652337.9132926</v>
      </c>
      <c r="KU4" s="13">
        <f>SUMIFS('INGRESOSXDIA-HABIL'!$X$4:$X$25,'INGRESOSXDIA-HABIL'!$W$4:$W$25,ESCENARIO[[#Headers],[03-dic]])</f>
        <v>615013005.35726309</v>
      </c>
      <c r="KV4" s="13">
        <f>SUMIFS('INGRESOSXDIA-HABIL'!$X$4:$X$25,'INGRESOSXDIA-HABIL'!$W$4:$W$25,ESCENARIO[[#Headers],[04-dic]])</f>
        <v>776816897.43997383</v>
      </c>
      <c r="KW4" s="13">
        <f>SUMIFS('INGRESOSXDIA-HABIL'!$X$4:$X$25,'INGRESOSXDIA-HABIL'!$W$4:$W$25,ESCENARIO[[#Headers],[05-dic]])</f>
        <v>0</v>
      </c>
      <c r="KX4" s="13">
        <f>SUMIFS('INGRESOSXDIA-HABIL'!$X$4:$X$25,'INGRESOSXDIA-HABIL'!$W$4:$W$25,ESCENARIO[[#Headers],[06-dic]])</f>
        <v>0</v>
      </c>
      <c r="KY4" s="13">
        <f>SUMIFS('INGRESOSXDIA-HABIL'!$X$4:$X$25,'INGRESOSXDIA-HABIL'!$W$4:$W$25,ESCENARIO[[#Headers],[07-dic]])</f>
        <v>0</v>
      </c>
      <c r="KZ4" s="13">
        <f>SUMIFS('INGRESOSXDIA-HABIL'!$X$4:$X$25,'INGRESOSXDIA-HABIL'!$W$4:$W$25,ESCENARIO[[#Headers],[08-dic]])</f>
        <v>0</v>
      </c>
      <c r="LA4" s="13">
        <f>SUMIFS('INGRESOSXDIA-HABIL'!$X$4:$X$25,'INGRESOSXDIA-HABIL'!$W$4:$W$25,ESCENARIO[[#Headers],[09-dic]])</f>
        <v>1008871516.6304551</v>
      </c>
      <c r="LB4" s="13">
        <f>SUMIFS('INGRESOSXDIA-HABIL'!$X$4:$X$25,'INGRESOSXDIA-HABIL'!$W$4:$W$25,ESCENARIO[[#Headers],[10-dic]])</f>
        <v>1760190855.9684899</v>
      </c>
      <c r="LC4" s="13">
        <f>SUMIFS('INGRESOSXDIA-HABIL'!$X$4:$X$25,'INGRESOSXDIA-HABIL'!$W$4:$W$25,ESCENARIO[[#Headers],[11-dic]])</f>
        <v>8953423225.010416</v>
      </c>
      <c r="LD4" s="13">
        <f>SUMIFS('INGRESOSXDIA-HABIL'!$X$4:$X$25,'INGRESOSXDIA-HABIL'!$W$4:$W$25,ESCENARIO[[#Headers],[12-dic]])</f>
        <v>0</v>
      </c>
      <c r="LE4" s="13">
        <f>SUMIFS('INGRESOSXDIA-HABIL'!$X$4:$X$25,'INGRESOSXDIA-HABIL'!$W$4:$W$25,ESCENARIO[[#Headers],[13-dic]])</f>
        <v>0</v>
      </c>
      <c r="LF4" s="13">
        <f>SUMIFS('INGRESOSXDIA-HABIL'!$X$4:$X$25,'INGRESOSXDIA-HABIL'!$W$4:$W$25,ESCENARIO[[#Headers],[14-dic]])</f>
        <v>1734171180.2773035</v>
      </c>
      <c r="LG4" s="13">
        <f>SUMIFS('INGRESOSXDIA-HABIL'!$X$4:$X$25,'INGRESOSXDIA-HABIL'!$W$4:$W$25,ESCENARIO[[#Headers],[15-dic]])</f>
        <v>1163220929.1619453</v>
      </c>
      <c r="LH4" s="13">
        <f>SUMIFS('INGRESOSXDIA-HABIL'!$X$4:$X$25,'INGRESOSXDIA-HABIL'!$W$4:$W$25,ESCENARIO[[#Headers],[16-dic]])</f>
        <v>3271179921.0055337</v>
      </c>
      <c r="LI4" s="13">
        <f>SUMIFS('INGRESOSXDIA-HABIL'!$X$4:$X$25,'INGRESOSXDIA-HABIL'!$W$4:$W$25,ESCENARIO[[#Headers],[17-dic]])</f>
        <v>2990313482.869966</v>
      </c>
      <c r="LJ4" s="13">
        <f>SUMIFS('INGRESOSXDIA-HABIL'!$X$4:$X$25,'INGRESOSXDIA-HABIL'!$W$4:$W$25,ESCENARIO[[#Headers],[18-dic]])</f>
        <v>1594198436.7602494</v>
      </c>
      <c r="LK4" s="13">
        <f>SUMIFS('INGRESOSXDIA-HABIL'!$X$4:$X$25,'INGRESOSXDIA-HABIL'!$W$4:$W$25,ESCENARIO[[#Headers],[19-dic]])</f>
        <v>0</v>
      </c>
      <c r="LL4" s="13">
        <f>SUMIFS('INGRESOSXDIA-HABIL'!$X$4:$X$25,'INGRESOSXDIA-HABIL'!$W$4:$W$25,ESCENARIO[[#Headers],[20-dic]])</f>
        <v>0</v>
      </c>
      <c r="LM4" s="13">
        <f>SUMIFS('INGRESOSXDIA-HABIL'!$X$4:$X$25,'INGRESOSXDIA-HABIL'!$W$4:$W$25,ESCENARIO[[#Headers],[21-dic]])</f>
        <v>1964609713.5205562</v>
      </c>
      <c r="LN4" s="13">
        <f>SUMIFS('INGRESOSXDIA-HABIL'!$X$4:$X$25,'INGRESOSXDIA-HABIL'!$W$4:$W$25,ESCENARIO[[#Headers],[22-dic]])</f>
        <v>3207822425.7347803</v>
      </c>
      <c r="LO4" s="13">
        <f>SUMIFS('INGRESOSXDIA-HABIL'!$X$4:$X$25,'INGRESOSXDIA-HABIL'!$W$4:$W$25,ESCENARIO[[#Headers],[23-dic]])</f>
        <v>3323951966.62255</v>
      </c>
      <c r="LP4" s="13">
        <f>SUMIFS('INGRESOSXDIA-HABIL'!$X$4:$X$25,'INGRESOSXDIA-HABIL'!$W$4:$W$25,ESCENARIO[[#Headers],[24-dic]])</f>
        <v>1870551666.2565827</v>
      </c>
      <c r="LQ4" s="13">
        <f>SUMIFS('INGRESOSXDIA-HABIL'!$X$4:$X$25,'INGRESOSXDIA-HABIL'!$W$4:$W$25,ESCENARIO[[#Headers],[25-dic]])</f>
        <v>0</v>
      </c>
      <c r="LR4" s="13">
        <f>SUMIFS('INGRESOSXDIA-HABIL'!$X$4:$X$25,'INGRESOSXDIA-HABIL'!$W$4:$W$25,ESCENARIO[[#Headers],[26-dic]])</f>
        <v>0</v>
      </c>
      <c r="LS4" s="13">
        <f>SUMIFS('INGRESOSXDIA-HABIL'!$X$4:$X$25,'INGRESOSXDIA-HABIL'!$W$4:$W$25,ESCENARIO[[#Headers],[27-dic]])</f>
        <v>0</v>
      </c>
      <c r="LT4" s="13">
        <f>SUMIFS('INGRESOSXDIA-HABIL'!$X$4:$X$25,'INGRESOSXDIA-HABIL'!$W$4:$W$25,ESCENARIO[[#Headers],[28-dic]])</f>
        <v>3553293510.2558475</v>
      </c>
      <c r="LU4" s="13">
        <f>SUMIFS('INGRESOSXDIA-HABIL'!$X$4:$X$25,'INGRESOSXDIA-HABIL'!$W$4:$W$25,ESCENARIO[[#Headers],[29-dic]])</f>
        <v>1452136241.1676204</v>
      </c>
      <c r="LV4" s="13">
        <f>SUMIFS('INGRESOSXDIA-HABIL'!$X$4:$X$25,'INGRESOSXDIA-HABIL'!$W$4:$W$25,ESCENARIO[[#Headers],[30-dic]])</f>
        <v>2005836563.5336189</v>
      </c>
      <c r="LW4" s="13">
        <f>SUMIFS('INGRESOSXDIA-HABIL'!$X$4:$X$25,'INGRESOSXDIA-HABIL'!$W$4:$W$25,ESCENARIO[[#Headers],[31-dic]])</f>
        <v>2024877624.006187</v>
      </c>
      <c r="LX4" s="13">
        <f>SUM(ESCENARIO[[#This Row],[01-mar]:[31-dic]])</f>
        <v>403945386254.75006</v>
      </c>
    </row>
    <row r="5" spans="1:336" s="13" customFormat="1">
      <c r="A5" s="13" t="s">
        <v>339</v>
      </c>
      <c r="B5" s="13">
        <f>IF(B2&gt;B3,0,B2-B3)</f>
        <v>0</v>
      </c>
      <c r="C5" s="13">
        <f>IF(C2&gt;C3,0,C2-C3)</f>
        <v>-235000000</v>
      </c>
      <c r="D5" s="13">
        <f>IF(D2&gt;D3,0,D2-D3)</f>
        <v>-807058184.99259913</v>
      </c>
      <c r="E5" s="13">
        <f t="shared" ref="E5:F5" si="6">IF(E2&gt;E3,0,E2-E3)</f>
        <v>0</v>
      </c>
      <c r="F5" s="13">
        <f t="shared" si="6"/>
        <v>0</v>
      </c>
      <c r="G5" s="13">
        <f t="shared" ref="G5:BO5" si="7">IF(G2&gt;G3,0,G2-G3)</f>
        <v>0</v>
      </c>
      <c r="H5" s="13">
        <f t="shared" si="7"/>
        <v>0</v>
      </c>
      <c r="I5" s="13">
        <f t="shared" si="7"/>
        <v>0</v>
      </c>
      <c r="J5" s="13">
        <f t="shared" si="7"/>
        <v>0</v>
      </c>
      <c r="K5" s="13">
        <f t="shared" si="7"/>
        <v>0</v>
      </c>
      <c r="L5" s="13">
        <f t="shared" si="7"/>
        <v>0</v>
      </c>
      <c r="M5" s="13">
        <f t="shared" si="7"/>
        <v>0</v>
      </c>
      <c r="N5" s="13">
        <f t="shared" si="7"/>
        <v>-351309312.36840582</v>
      </c>
      <c r="O5" s="13">
        <f t="shared" si="7"/>
        <v>0</v>
      </c>
      <c r="P5" s="13">
        <f t="shared" si="7"/>
        <v>-235000000</v>
      </c>
      <c r="Q5" s="13">
        <f t="shared" si="7"/>
        <v>0</v>
      </c>
      <c r="R5" s="13">
        <f t="shared" si="7"/>
        <v>0</v>
      </c>
      <c r="S5" s="13">
        <f t="shared" si="7"/>
        <v>0</v>
      </c>
      <c r="T5" s="13">
        <f t="shared" si="7"/>
        <v>0</v>
      </c>
      <c r="U5" s="13">
        <f t="shared" si="7"/>
        <v>0</v>
      </c>
      <c r="V5" s="13">
        <f t="shared" si="7"/>
        <v>0</v>
      </c>
      <c r="W5" s="13">
        <f t="shared" si="7"/>
        <v>0</v>
      </c>
      <c r="X5" s="13">
        <f t="shared" si="7"/>
        <v>0</v>
      </c>
      <c r="Y5" s="13">
        <f t="shared" si="7"/>
        <v>0</v>
      </c>
      <c r="Z5" s="13">
        <f t="shared" si="7"/>
        <v>-4282634847.1484609</v>
      </c>
      <c r="AA5" s="13">
        <f t="shared" si="7"/>
        <v>-3263932141.909049</v>
      </c>
      <c r="AB5" s="13">
        <f t="shared" si="7"/>
        <v>-17222563342.659195</v>
      </c>
      <c r="AC5" s="13">
        <f t="shared" si="7"/>
        <v>0</v>
      </c>
      <c r="AD5" s="13">
        <f t="shared" si="7"/>
        <v>0</v>
      </c>
      <c r="AE5" s="13">
        <f t="shared" si="7"/>
        <v>0</v>
      </c>
      <c r="AF5" s="13">
        <f t="shared" si="7"/>
        <v>-455067286.64749599</v>
      </c>
      <c r="AG5" s="13">
        <f t="shared" si="7"/>
        <v>0</v>
      </c>
      <c r="AH5" s="13">
        <f t="shared" si="7"/>
        <v>0</v>
      </c>
      <c r="AI5" s="13">
        <f t="shared" si="7"/>
        <v>0</v>
      </c>
      <c r="AJ5" s="13">
        <f t="shared" si="7"/>
        <v>0</v>
      </c>
      <c r="AK5" s="13">
        <f t="shared" si="7"/>
        <v>0</v>
      </c>
      <c r="AL5" s="13">
        <f t="shared" si="7"/>
        <v>0</v>
      </c>
      <c r="AM5" s="13">
        <f t="shared" si="7"/>
        <v>0</v>
      </c>
      <c r="AN5" s="13">
        <f t="shared" si="7"/>
        <v>0</v>
      </c>
      <c r="AO5" s="13">
        <f t="shared" si="7"/>
        <v>0</v>
      </c>
      <c r="AP5" s="13">
        <f t="shared" si="7"/>
        <v>-241630724.91267407</v>
      </c>
      <c r="AQ5" s="13">
        <f t="shared" si="7"/>
        <v>0</v>
      </c>
      <c r="AR5" s="13">
        <f t="shared" si="7"/>
        <v>-250000000</v>
      </c>
      <c r="AS5" s="13">
        <f t="shared" si="7"/>
        <v>0</v>
      </c>
      <c r="AT5" s="13">
        <f t="shared" si="7"/>
        <v>0</v>
      </c>
      <c r="AU5" s="13">
        <f t="shared" si="7"/>
        <v>0</v>
      </c>
      <c r="AV5" s="13">
        <f t="shared" si="7"/>
        <v>-381372325.9495399</v>
      </c>
      <c r="AW5" s="13">
        <f t="shared" si="7"/>
        <v>0</v>
      </c>
      <c r="AX5" s="13">
        <f t="shared" si="7"/>
        <v>0</v>
      </c>
      <c r="AY5" s="13">
        <f t="shared" si="7"/>
        <v>0</v>
      </c>
      <c r="AZ5" s="13">
        <f t="shared" si="7"/>
        <v>0</v>
      </c>
      <c r="BA5" s="13">
        <f t="shared" si="7"/>
        <v>-7681245488.1099997</v>
      </c>
      <c r="BB5" s="13">
        <f t="shared" si="7"/>
        <v>0</v>
      </c>
      <c r="BC5" s="13">
        <f t="shared" si="7"/>
        <v>0</v>
      </c>
      <c r="BD5" s="13">
        <f t="shared" si="7"/>
        <v>0</v>
      </c>
      <c r="BE5" s="13">
        <f t="shared" si="7"/>
        <v>0</v>
      </c>
      <c r="BF5" s="13">
        <f t="shared" si="7"/>
        <v>0</v>
      </c>
      <c r="BG5" s="13">
        <f t="shared" si="7"/>
        <v>-6951919053.1999998</v>
      </c>
      <c r="BH5" s="13">
        <f t="shared" si="7"/>
        <v>-18979055655.45631</v>
      </c>
      <c r="BI5" s="13">
        <f t="shared" si="7"/>
        <v>0</v>
      </c>
      <c r="BJ5" s="13">
        <f t="shared" si="7"/>
        <v>0</v>
      </c>
      <c r="BK5" s="13">
        <f t="shared" si="7"/>
        <v>0</v>
      </c>
      <c r="BL5" s="13">
        <f t="shared" si="7"/>
        <v>0</v>
      </c>
      <c r="BM5" s="13">
        <f t="shared" si="7"/>
        <v>0</v>
      </c>
      <c r="BN5" s="13">
        <f t="shared" si="7"/>
        <v>0</v>
      </c>
      <c r="BO5" s="13">
        <f t="shared" si="7"/>
        <v>-204043534.64550757</v>
      </c>
      <c r="BP5" s="13">
        <f t="shared" ref="BP5:EA5" si="8">IF(BP2&gt;BP3,0,BP2-BP3)</f>
        <v>0</v>
      </c>
      <c r="BQ5" s="13">
        <f t="shared" si="8"/>
        <v>0</v>
      </c>
      <c r="BR5" s="13">
        <f t="shared" si="8"/>
        <v>0</v>
      </c>
      <c r="BS5" s="13">
        <f t="shared" si="8"/>
        <v>0</v>
      </c>
      <c r="BT5" s="13">
        <f t="shared" si="8"/>
        <v>0</v>
      </c>
      <c r="BU5" s="13">
        <f t="shared" si="8"/>
        <v>0</v>
      </c>
      <c r="BV5" s="13">
        <f t="shared" si="8"/>
        <v>0</v>
      </c>
      <c r="BW5" s="13">
        <f t="shared" si="8"/>
        <v>0</v>
      </c>
      <c r="BX5" s="13">
        <f t="shared" si="8"/>
        <v>0</v>
      </c>
      <c r="BY5" s="13">
        <f t="shared" si="8"/>
        <v>0</v>
      </c>
      <c r="BZ5" s="13">
        <f t="shared" si="8"/>
        <v>0</v>
      </c>
      <c r="CA5" s="13">
        <f t="shared" si="8"/>
        <v>0</v>
      </c>
      <c r="CB5" s="13">
        <f t="shared" si="8"/>
        <v>-2000000000</v>
      </c>
      <c r="CC5" s="13">
        <f t="shared" si="8"/>
        <v>0</v>
      </c>
      <c r="CD5" s="13">
        <f t="shared" si="8"/>
        <v>0</v>
      </c>
      <c r="CE5" s="13">
        <f t="shared" si="8"/>
        <v>0</v>
      </c>
      <c r="CF5" s="13">
        <f t="shared" si="8"/>
        <v>0</v>
      </c>
      <c r="CG5" s="13">
        <f t="shared" si="8"/>
        <v>0</v>
      </c>
      <c r="CH5" s="13">
        <f t="shared" si="8"/>
        <v>0</v>
      </c>
      <c r="CI5" s="13">
        <f t="shared" si="8"/>
        <v>0</v>
      </c>
      <c r="CJ5" s="13">
        <f t="shared" si="8"/>
        <v>-3552164291.4450412</v>
      </c>
      <c r="CK5" s="13">
        <f t="shared" si="8"/>
        <v>0</v>
      </c>
      <c r="CL5" s="13">
        <f t="shared" si="8"/>
        <v>-22332989689.933659</v>
      </c>
      <c r="CM5" s="13">
        <f t="shared" si="8"/>
        <v>0</v>
      </c>
      <c r="CN5" s="13">
        <f t="shared" si="8"/>
        <v>0</v>
      </c>
      <c r="CO5" s="13">
        <f t="shared" si="8"/>
        <v>0</v>
      </c>
      <c r="CP5" s="13">
        <f t="shared" si="8"/>
        <v>0</v>
      </c>
      <c r="CQ5" s="13">
        <f t="shared" si="8"/>
        <v>-406010428.0664494</v>
      </c>
      <c r="CR5" s="13">
        <f t="shared" si="8"/>
        <v>0</v>
      </c>
      <c r="CS5" s="13">
        <f t="shared" si="8"/>
        <v>0</v>
      </c>
      <c r="CT5" s="13">
        <f t="shared" si="8"/>
        <v>0</v>
      </c>
      <c r="CU5" s="13">
        <f t="shared" si="8"/>
        <v>0</v>
      </c>
      <c r="CV5" s="13">
        <f t="shared" si="8"/>
        <v>0</v>
      </c>
      <c r="CW5" s="13">
        <f t="shared" si="8"/>
        <v>0</v>
      </c>
      <c r="CX5" s="13">
        <f t="shared" si="8"/>
        <v>0</v>
      </c>
      <c r="CY5" s="13">
        <f t="shared" si="8"/>
        <v>0</v>
      </c>
      <c r="CZ5" s="13">
        <f t="shared" si="8"/>
        <v>0</v>
      </c>
      <c r="DA5" s="13">
        <f t="shared" si="8"/>
        <v>-419526081.94982636</v>
      </c>
      <c r="DB5" s="13">
        <f t="shared" si="8"/>
        <v>0</v>
      </c>
      <c r="DC5" s="13">
        <f t="shared" si="8"/>
        <v>0</v>
      </c>
      <c r="DD5" s="13">
        <f t="shared" si="8"/>
        <v>0</v>
      </c>
      <c r="DE5" s="13">
        <f t="shared" si="8"/>
        <v>0</v>
      </c>
      <c r="DF5" s="13">
        <f t="shared" si="8"/>
        <v>0</v>
      </c>
      <c r="DG5" s="13">
        <f t="shared" si="8"/>
        <v>0</v>
      </c>
      <c r="DH5" s="13">
        <f t="shared" si="8"/>
        <v>0</v>
      </c>
      <c r="DI5" s="13">
        <f t="shared" si="8"/>
        <v>0</v>
      </c>
      <c r="DJ5" s="13">
        <f t="shared" si="8"/>
        <v>0</v>
      </c>
      <c r="DK5" s="13">
        <f t="shared" si="8"/>
        <v>0</v>
      </c>
      <c r="DL5" s="13">
        <f t="shared" si="8"/>
        <v>-6786364996.0699997</v>
      </c>
      <c r="DM5" s="13">
        <f t="shared" si="8"/>
        <v>0</v>
      </c>
      <c r="DN5" s="13">
        <f t="shared" si="8"/>
        <v>0</v>
      </c>
      <c r="DO5" s="13">
        <f t="shared" si="8"/>
        <v>-23929015207.011406</v>
      </c>
      <c r="DP5" s="13">
        <f t="shared" si="8"/>
        <v>0</v>
      </c>
      <c r="DQ5" s="13">
        <f t="shared" si="8"/>
        <v>0</v>
      </c>
      <c r="DR5" s="13">
        <f t="shared" si="8"/>
        <v>0</v>
      </c>
      <c r="DS5" s="13">
        <f t="shared" si="8"/>
        <v>-1107100000</v>
      </c>
      <c r="DT5" s="13">
        <f t="shared" si="8"/>
        <v>0</v>
      </c>
      <c r="DU5" s="13">
        <f t="shared" si="8"/>
        <v>0</v>
      </c>
      <c r="DV5" s="13">
        <f t="shared" si="8"/>
        <v>0</v>
      </c>
      <c r="DW5" s="13">
        <f t="shared" si="8"/>
        <v>0</v>
      </c>
      <c r="DX5" s="13">
        <f t="shared" si="8"/>
        <v>0</v>
      </c>
      <c r="DY5" s="13">
        <f t="shared" si="8"/>
        <v>0</v>
      </c>
      <c r="DZ5" s="13">
        <f t="shared" si="8"/>
        <v>-232751085.94333458</v>
      </c>
      <c r="EA5" s="13">
        <f t="shared" si="8"/>
        <v>0</v>
      </c>
      <c r="EB5" s="13">
        <f t="shared" ref="EB5:GM5" si="9">IF(EB2&gt;EB3,0,EB2-EB3)</f>
        <v>0</v>
      </c>
      <c r="EC5" s="13">
        <f t="shared" si="9"/>
        <v>0</v>
      </c>
      <c r="ED5" s="13">
        <f t="shared" si="9"/>
        <v>0</v>
      </c>
      <c r="EE5" s="13">
        <f t="shared" si="9"/>
        <v>0</v>
      </c>
      <c r="EF5" s="13">
        <f t="shared" si="9"/>
        <v>-250000000</v>
      </c>
      <c r="EG5" s="13">
        <f t="shared" si="9"/>
        <v>0</v>
      </c>
      <c r="EH5" s="13">
        <f t="shared" si="9"/>
        <v>0</v>
      </c>
      <c r="EI5" s="13">
        <f t="shared" si="9"/>
        <v>0</v>
      </c>
      <c r="EJ5" s="13">
        <f t="shared" si="9"/>
        <v>0</v>
      </c>
      <c r="EK5" s="13">
        <f t="shared" si="9"/>
        <v>0</v>
      </c>
      <c r="EL5" s="13">
        <f t="shared" si="9"/>
        <v>0</v>
      </c>
      <c r="EM5" s="13">
        <f t="shared" si="9"/>
        <v>0</v>
      </c>
      <c r="EN5" s="13">
        <f t="shared" si="9"/>
        <v>-3604378611.3252091</v>
      </c>
      <c r="EO5" s="13">
        <f t="shared" si="9"/>
        <v>0</v>
      </c>
      <c r="EP5" s="13">
        <f t="shared" si="9"/>
        <v>0</v>
      </c>
      <c r="EQ5" s="13">
        <f t="shared" si="9"/>
        <v>0</v>
      </c>
      <c r="ER5" s="13">
        <f t="shared" si="9"/>
        <v>0</v>
      </c>
      <c r="ES5" s="13">
        <f t="shared" si="9"/>
        <v>0</v>
      </c>
      <c r="ET5" s="13">
        <f t="shared" si="9"/>
        <v>0</v>
      </c>
      <c r="EU5" s="13">
        <f t="shared" si="9"/>
        <v>-26436357650.993801</v>
      </c>
      <c r="EV5" s="13">
        <f t="shared" si="9"/>
        <v>0</v>
      </c>
      <c r="EW5" s="13">
        <f t="shared" si="9"/>
        <v>0</v>
      </c>
      <c r="EX5" s="13">
        <f t="shared" si="9"/>
        <v>0</v>
      </c>
      <c r="EY5" s="13">
        <f t="shared" si="9"/>
        <v>0</v>
      </c>
      <c r="EZ5" s="13">
        <f t="shared" si="9"/>
        <v>0</v>
      </c>
      <c r="FA5" s="13">
        <f t="shared" si="9"/>
        <v>0</v>
      </c>
      <c r="FB5" s="13">
        <f t="shared" si="9"/>
        <v>-435559598.08112025</v>
      </c>
      <c r="FC5" s="13">
        <f t="shared" si="9"/>
        <v>0</v>
      </c>
      <c r="FD5" s="13">
        <f t="shared" si="9"/>
        <v>0</v>
      </c>
      <c r="FE5" s="13">
        <f t="shared" si="9"/>
        <v>0</v>
      </c>
      <c r="FF5" s="13">
        <f t="shared" si="9"/>
        <v>0</v>
      </c>
      <c r="FG5" s="13">
        <f t="shared" si="9"/>
        <v>0</v>
      </c>
      <c r="FH5" s="13">
        <f t="shared" si="9"/>
        <v>0</v>
      </c>
      <c r="FI5" s="13">
        <f t="shared" si="9"/>
        <v>0</v>
      </c>
      <c r="FJ5" s="13">
        <f t="shared" si="9"/>
        <v>0</v>
      </c>
      <c r="FK5" s="13">
        <f t="shared" si="9"/>
        <v>0</v>
      </c>
      <c r="FL5" s="13">
        <f t="shared" si="9"/>
        <v>0</v>
      </c>
      <c r="FM5" s="13">
        <f t="shared" si="9"/>
        <v>0</v>
      </c>
      <c r="FN5" s="13">
        <f t="shared" si="9"/>
        <v>0</v>
      </c>
      <c r="FO5" s="13">
        <f t="shared" si="9"/>
        <v>0</v>
      </c>
      <c r="FP5" s="13">
        <f t="shared" si="9"/>
        <v>0</v>
      </c>
      <c r="FQ5" s="13">
        <f t="shared" si="9"/>
        <v>0</v>
      </c>
      <c r="FR5" s="13">
        <f t="shared" si="9"/>
        <v>0</v>
      </c>
      <c r="FS5" s="13">
        <f t="shared" si="9"/>
        <v>0</v>
      </c>
      <c r="FT5" s="13">
        <f t="shared" si="9"/>
        <v>0</v>
      </c>
      <c r="FU5" s="13">
        <f t="shared" si="9"/>
        <v>0</v>
      </c>
      <c r="FV5" s="13">
        <f t="shared" si="9"/>
        <v>0</v>
      </c>
      <c r="FW5" s="13">
        <f t="shared" si="9"/>
        <v>-3331514203.7717175</v>
      </c>
      <c r="FX5" s="13">
        <f t="shared" si="9"/>
        <v>0</v>
      </c>
      <c r="FY5" s="13">
        <f t="shared" si="9"/>
        <v>0</v>
      </c>
      <c r="FZ5" s="13">
        <f t="shared" si="9"/>
        <v>-24103696792.400341</v>
      </c>
      <c r="GA5" s="13">
        <f t="shared" si="9"/>
        <v>0</v>
      </c>
      <c r="GB5" s="13">
        <f t="shared" si="9"/>
        <v>0</v>
      </c>
      <c r="GC5" s="13">
        <f t="shared" si="9"/>
        <v>0</v>
      </c>
      <c r="GD5" s="13">
        <f t="shared" si="9"/>
        <v>-414791317.96286142</v>
      </c>
      <c r="GE5" s="13">
        <f t="shared" si="9"/>
        <v>0</v>
      </c>
      <c r="GF5" s="13">
        <f t="shared" si="9"/>
        <v>0</v>
      </c>
      <c r="GG5" s="13">
        <f t="shared" si="9"/>
        <v>0</v>
      </c>
      <c r="GH5" s="13">
        <f t="shared" si="9"/>
        <v>0</v>
      </c>
      <c r="GI5" s="13">
        <f t="shared" si="9"/>
        <v>0</v>
      </c>
      <c r="GJ5" s="13">
        <f t="shared" si="9"/>
        <v>0</v>
      </c>
      <c r="GK5" s="13">
        <f t="shared" si="9"/>
        <v>0</v>
      </c>
      <c r="GL5" s="13">
        <f t="shared" si="9"/>
        <v>0</v>
      </c>
      <c r="GM5" s="13">
        <f t="shared" si="9"/>
        <v>0</v>
      </c>
      <c r="GN5" s="13">
        <f t="shared" ref="GN5:IY5" si="10">IF(GN2&gt;GN3,0,GN2-GN3)</f>
        <v>-182432390.04191208</v>
      </c>
      <c r="GO5" s="13">
        <f t="shared" si="10"/>
        <v>0</v>
      </c>
      <c r="GP5" s="13">
        <f t="shared" si="10"/>
        <v>0</v>
      </c>
      <c r="GQ5" s="13">
        <f t="shared" si="10"/>
        <v>0</v>
      </c>
      <c r="GR5" s="13">
        <f t="shared" si="10"/>
        <v>0</v>
      </c>
      <c r="GS5" s="13">
        <f t="shared" si="10"/>
        <v>0</v>
      </c>
      <c r="GT5" s="13">
        <f t="shared" si="10"/>
        <v>0</v>
      </c>
      <c r="GU5" s="13">
        <f t="shared" si="10"/>
        <v>0</v>
      </c>
      <c r="GV5" s="13">
        <f t="shared" si="10"/>
        <v>0</v>
      </c>
      <c r="GW5" s="13">
        <f t="shared" si="10"/>
        <v>0</v>
      </c>
      <c r="GX5" s="13">
        <f t="shared" si="10"/>
        <v>0</v>
      </c>
      <c r="GY5" s="13">
        <f t="shared" si="10"/>
        <v>-4746925438.5308628</v>
      </c>
      <c r="GZ5" s="13">
        <f t="shared" si="10"/>
        <v>0</v>
      </c>
      <c r="HA5" s="13">
        <f t="shared" si="10"/>
        <v>0</v>
      </c>
      <c r="HB5" s="13">
        <f t="shared" si="10"/>
        <v>0</v>
      </c>
      <c r="HC5" s="13">
        <f t="shared" si="10"/>
        <v>0</v>
      </c>
      <c r="HD5" s="13">
        <f t="shared" si="10"/>
        <v>0</v>
      </c>
      <c r="HE5" s="13">
        <f t="shared" si="10"/>
        <v>-21782912778.509998</v>
      </c>
      <c r="HF5" s="13">
        <f t="shared" si="10"/>
        <v>0</v>
      </c>
      <c r="HG5" s="13">
        <f t="shared" si="10"/>
        <v>0</v>
      </c>
      <c r="HH5" s="13">
        <f t="shared" si="10"/>
        <v>0</v>
      </c>
      <c r="HI5" s="13">
        <f t="shared" si="10"/>
        <v>0</v>
      </c>
      <c r="HJ5" s="13">
        <f t="shared" si="10"/>
        <v>0</v>
      </c>
      <c r="HK5" s="13">
        <f t="shared" si="10"/>
        <v>0</v>
      </c>
      <c r="HL5" s="13">
        <f t="shared" si="10"/>
        <v>0</v>
      </c>
      <c r="HM5" s="13">
        <f t="shared" si="10"/>
        <v>-399755348.53338611</v>
      </c>
      <c r="HN5" s="13">
        <f t="shared" si="10"/>
        <v>0</v>
      </c>
      <c r="HO5" s="13">
        <f t="shared" si="10"/>
        <v>0</v>
      </c>
      <c r="HP5" s="13">
        <f t="shared" si="10"/>
        <v>0</v>
      </c>
      <c r="HQ5" s="13">
        <f t="shared" si="10"/>
        <v>0</v>
      </c>
      <c r="HR5" s="13">
        <f t="shared" si="10"/>
        <v>0</v>
      </c>
      <c r="HS5" s="13">
        <f t="shared" si="10"/>
        <v>0</v>
      </c>
      <c r="HT5" s="13">
        <f t="shared" si="10"/>
        <v>-398445021.38147438</v>
      </c>
      <c r="HU5" s="13">
        <f t="shared" si="10"/>
        <v>0</v>
      </c>
      <c r="HV5" s="13">
        <f t="shared" si="10"/>
        <v>0</v>
      </c>
      <c r="HW5" s="13">
        <f t="shared" si="10"/>
        <v>0</v>
      </c>
      <c r="HX5" s="13">
        <f t="shared" si="10"/>
        <v>0</v>
      </c>
      <c r="HY5" s="13">
        <f t="shared" si="10"/>
        <v>0</v>
      </c>
      <c r="HZ5" s="13">
        <f t="shared" si="10"/>
        <v>0</v>
      </c>
      <c r="IA5" s="13">
        <f t="shared" si="10"/>
        <v>-3461552536.7871513</v>
      </c>
      <c r="IB5" s="13">
        <f t="shared" si="10"/>
        <v>0</v>
      </c>
      <c r="IC5" s="13">
        <f t="shared" si="10"/>
        <v>0</v>
      </c>
      <c r="ID5" s="13">
        <f t="shared" si="10"/>
        <v>0</v>
      </c>
      <c r="IE5" s="13">
        <f t="shared" si="10"/>
        <v>0</v>
      </c>
      <c r="IF5" s="13">
        <f t="shared" si="10"/>
        <v>0</v>
      </c>
      <c r="IG5" s="13">
        <f t="shared" si="10"/>
        <v>0</v>
      </c>
      <c r="IH5" s="13">
        <f t="shared" si="10"/>
        <v>0</v>
      </c>
      <c r="II5" s="13">
        <f t="shared" si="10"/>
        <v>-20555169321.501694</v>
      </c>
      <c r="IJ5" s="13">
        <f t="shared" si="10"/>
        <v>0</v>
      </c>
      <c r="IK5" s="13">
        <f t="shared" si="10"/>
        <v>0</v>
      </c>
      <c r="IL5" s="13">
        <f t="shared" si="10"/>
        <v>0</v>
      </c>
      <c r="IM5" s="13">
        <f t="shared" si="10"/>
        <v>0</v>
      </c>
      <c r="IN5" s="13">
        <f t="shared" si="10"/>
        <v>0</v>
      </c>
      <c r="IO5" s="13">
        <f t="shared" si="10"/>
        <v>-527906573.89293361</v>
      </c>
      <c r="IP5" s="13">
        <f t="shared" si="10"/>
        <v>0</v>
      </c>
      <c r="IQ5" s="13">
        <f t="shared" si="10"/>
        <v>0</v>
      </c>
      <c r="IR5" s="13">
        <f t="shared" si="10"/>
        <v>0</v>
      </c>
      <c r="IS5" s="13">
        <f t="shared" si="10"/>
        <v>0</v>
      </c>
      <c r="IT5" s="13">
        <f t="shared" si="10"/>
        <v>0</v>
      </c>
      <c r="IU5" s="13">
        <f t="shared" si="10"/>
        <v>0</v>
      </c>
      <c r="IV5" s="13">
        <f t="shared" si="10"/>
        <v>-1102000000</v>
      </c>
      <c r="IW5" s="13">
        <f t="shared" si="10"/>
        <v>0</v>
      </c>
      <c r="IX5" s="13">
        <f t="shared" si="10"/>
        <v>-354527368.67022777</v>
      </c>
      <c r="IY5" s="13">
        <f t="shared" si="10"/>
        <v>0</v>
      </c>
      <c r="IZ5" s="13">
        <f t="shared" ref="IZ5:LK5" si="11">IF(IZ2&gt;IZ3,0,IZ2-IZ3)</f>
        <v>0</v>
      </c>
      <c r="JA5" s="13">
        <f t="shared" si="11"/>
        <v>0</v>
      </c>
      <c r="JB5" s="13">
        <f t="shared" si="11"/>
        <v>0</v>
      </c>
      <c r="JC5" s="13">
        <f t="shared" si="11"/>
        <v>0</v>
      </c>
      <c r="JD5" s="13">
        <f t="shared" si="11"/>
        <v>0</v>
      </c>
      <c r="JE5" s="13">
        <f t="shared" si="11"/>
        <v>0</v>
      </c>
      <c r="JF5" s="13">
        <f t="shared" si="11"/>
        <v>0</v>
      </c>
      <c r="JG5" s="13">
        <f t="shared" si="11"/>
        <v>0</v>
      </c>
      <c r="JH5" s="13">
        <f t="shared" si="11"/>
        <v>0</v>
      </c>
      <c r="JI5" s="13">
        <f t="shared" si="11"/>
        <v>0</v>
      </c>
      <c r="JJ5" s="13">
        <f t="shared" si="11"/>
        <v>-3006912359.0170417</v>
      </c>
      <c r="JK5" s="13">
        <f t="shared" si="11"/>
        <v>0</v>
      </c>
      <c r="JL5" s="13">
        <f t="shared" si="11"/>
        <v>0</v>
      </c>
      <c r="JM5" s="13">
        <f t="shared" si="11"/>
        <v>-19855497602.920578</v>
      </c>
      <c r="JN5" s="13">
        <f t="shared" si="11"/>
        <v>0</v>
      </c>
      <c r="JO5" s="13">
        <f t="shared" si="11"/>
        <v>0</v>
      </c>
      <c r="JP5" s="13">
        <f t="shared" si="11"/>
        <v>0</v>
      </c>
      <c r="JQ5" s="13">
        <f t="shared" si="11"/>
        <v>-350844294.95640564</v>
      </c>
      <c r="JR5" s="13">
        <f t="shared" si="11"/>
        <v>0</v>
      </c>
      <c r="JS5" s="13">
        <f t="shared" si="11"/>
        <v>0</v>
      </c>
      <c r="JT5" s="13">
        <f t="shared" si="11"/>
        <v>0</v>
      </c>
      <c r="JU5" s="13">
        <f t="shared" si="11"/>
        <v>0</v>
      </c>
      <c r="JV5" s="13">
        <f t="shared" si="11"/>
        <v>0</v>
      </c>
      <c r="JW5" s="13">
        <f t="shared" si="11"/>
        <v>0</v>
      </c>
      <c r="JX5" s="13">
        <f t="shared" si="11"/>
        <v>0</v>
      </c>
      <c r="JY5" s="13">
        <f t="shared" si="11"/>
        <v>0</v>
      </c>
      <c r="JZ5" s="13">
        <f t="shared" si="11"/>
        <v>0</v>
      </c>
      <c r="KA5" s="13">
        <f t="shared" si="11"/>
        <v>-88441918.662667751</v>
      </c>
      <c r="KB5" s="13">
        <f t="shared" si="11"/>
        <v>0</v>
      </c>
      <c r="KC5" s="13">
        <f t="shared" si="11"/>
        <v>-250000000</v>
      </c>
      <c r="KD5" s="13">
        <f t="shared" si="11"/>
        <v>0</v>
      </c>
      <c r="KE5" s="13">
        <f t="shared" si="11"/>
        <v>0</v>
      </c>
      <c r="KF5" s="13">
        <f t="shared" si="11"/>
        <v>0</v>
      </c>
      <c r="KG5" s="13">
        <f t="shared" si="11"/>
        <v>0</v>
      </c>
      <c r="KH5" s="13">
        <f t="shared" si="11"/>
        <v>0</v>
      </c>
      <c r="KI5" s="13">
        <f t="shared" si="11"/>
        <v>0</v>
      </c>
      <c r="KJ5" s="13">
        <f t="shared" si="11"/>
        <v>0</v>
      </c>
      <c r="KK5" s="13">
        <f t="shared" si="11"/>
        <v>0</v>
      </c>
      <c r="KL5" s="13">
        <f t="shared" si="11"/>
        <v>-6353254996.0699997</v>
      </c>
      <c r="KM5" s="13">
        <f t="shared" si="11"/>
        <v>0</v>
      </c>
      <c r="KN5" s="13">
        <f t="shared" si="11"/>
        <v>0</v>
      </c>
      <c r="KO5" s="13">
        <f t="shared" si="11"/>
        <v>0</v>
      </c>
      <c r="KP5" s="13">
        <f t="shared" si="11"/>
        <v>0</v>
      </c>
      <c r="KQ5" s="13">
        <f t="shared" si="11"/>
        <v>0</v>
      </c>
      <c r="KR5" s="13">
        <f t="shared" si="11"/>
        <v>-20549132731.760002</v>
      </c>
      <c r="KS5" s="13">
        <f t="shared" si="11"/>
        <v>0</v>
      </c>
      <c r="KT5" s="13">
        <f t="shared" si="11"/>
        <v>0</v>
      </c>
      <c r="KU5" s="13">
        <f t="shared" si="11"/>
        <v>0</v>
      </c>
      <c r="KV5" s="13">
        <f t="shared" si="11"/>
        <v>0</v>
      </c>
      <c r="KW5" s="13">
        <f t="shared" si="11"/>
        <v>0</v>
      </c>
      <c r="KX5" s="13">
        <f t="shared" si="11"/>
        <v>0</v>
      </c>
      <c r="KY5" s="13">
        <f t="shared" si="11"/>
        <v>0</v>
      </c>
      <c r="KZ5" s="13">
        <f t="shared" si="11"/>
        <v>0</v>
      </c>
      <c r="LA5" s="13">
        <f t="shared" si="11"/>
        <v>-1102000000</v>
      </c>
      <c r="LB5" s="13">
        <f t="shared" si="11"/>
        <v>0</v>
      </c>
      <c r="LC5" s="13">
        <f t="shared" si="11"/>
        <v>0</v>
      </c>
      <c r="LD5" s="13">
        <f t="shared" si="11"/>
        <v>0</v>
      </c>
      <c r="LE5" s="13">
        <f t="shared" si="11"/>
        <v>0</v>
      </c>
      <c r="LF5" s="13">
        <f t="shared" si="11"/>
        <v>0</v>
      </c>
      <c r="LG5" s="13">
        <f t="shared" si="11"/>
        <v>0</v>
      </c>
      <c r="LH5" s="13">
        <f t="shared" si="11"/>
        <v>0</v>
      </c>
      <c r="LI5" s="13">
        <f t="shared" si="11"/>
        <v>0</v>
      </c>
      <c r="LJ5" s="13">
        <f t="shared" si="11"/>
        <v>0</v>
      </c>
      <c r="LK5" s="13">
        <f t="shared" si="11"/>
        <v>0</v>
      </c>
      <c r="LL5" s="13">
        <f t="shared" ref="LL5:LW5" si="12">IF(LL2&gt;LL3,0,LL2-LL3)</f>
        <v>0</v>
      </c>
      <c r="LM5" s="13">
        <f t="shared" si="12"/>
        <v>0</v>
      </c>
      <c r="LN5" s="13">
        <f t="shared" si="12"/>
        <v>0</v>
      </c>
      <c r="LO5" s="13">
        <f t="shared" si="12"/>
        <v>-3145432570.3352194</v>
      </c>
      <c r="LP5" s="13">
        <f t="shared" si="12"/>
        <v>0</v>
      </c>
      <c r="LQ5" s="13">
        <f t="shared" si="12"/>
        <v>0</v>
      </c>
      <c r="LR5" s="13">
        <f t="shared" si="12"/>
        <v>0</v>
      </c>
      <c r="LS5" s="13">
        <f t="shared" si="12"/>
        <v>0</v>
      </c>
      <c r="LT5" s="13">
        <f t="shared" si="12"/>
        <v>0</v>
      </c>
      <c r="LU5" s="13">
        <f t="shared" si="12"/>
        <v>0</v>
      </c>
      <c r="LV5" s="13">
        <f t="shared" si="12"/>
        <v>-22929550133.39238</v>
      </c>
      <c r="LW5" s="13">
        <f t="shared" si="12"/>
        <v>0</v>
      </c>
      <c r="LX5" s="13">
        <f>SUM(ESCENARIO[[#This Row],[01-mar]:[31-dic]])</f>
        <v>-285629247408.84021</v>
      </c>
    </row>
    <row r="6" spans="1:336" s="13" customFormat="1">
      <c r="A6" s="13" t="s">
        <v>340</v>
      </c>
      <c r="C6" s="13">
        <f>+B7*0.0967%</f>
        <v>2297689.6569141899</v>
      </c>
      <c r="D6" s="13">
        <f t="shared" ref="D6:BO6" si="13">+C7*0.0967%</f>
        <v>2070444.6569141902</v>
      </c>
      <c r="E6" s="13">
        <f t="shared" si="13"/>
        <v>1290019.3920263469</v>
      </c>
      <c r="F6" s="13">
        <f t="shared" si="13"/>
        <v>2134991.9148980691</v>
      </c>
      <c r="G6" s="13">
        <f t="shared" si="13"/>
        <v>2615892.0527306055</v>
      </c>
      <c r="H6" s="13">
        <f t="shared" si="13"/>
        <v>3223312.3020512159</v>
      </c>
      <c r="I6" s="13">
        <f t="shared" si="13"/>
        <v>4012184.1587058101</v>
      </c>
      <c r="J6" s="13">
        <f t="shared" si="13"/>
        <v>4012184.1587058101</v>
      </c>
      <c r="K6" s="13">
        <f t="shared" si="13"/>
        <v>4012184.1587058101</v>
      </c>
      <c r="L6" s="13">
        <f t="shared" si="13"/>
        <v>5388538.8339294605</v>
      </c>
      <c r="M6" s="13">
        <f t="shared" si="13"/>
        <v>12389533.000677761</v>
      </c>
      <c r="N6" s="13">
        <f t="shared" si="13"/>
        <v>13745541.983180685</v>
      </c>
      <c r="O6" s="13">
        <f t="shared" si="13"/>
        <v>13405825.878120435</v>
      </c>
      <c r="P6" s="13">
        <f t="shared" si="13"/>
        <v>15964004.154547671</v>
      </c>
      <c r="Q6" s="13">
        <f t="shared" si="13"/>
        <v>15736759.154547671</v>
      </c>
      <c r="R6" s="13">
        <f t="shared" si="13"/>
        <v>15736978.90046267</v>
      </c>
      <c r="S6" s="13">
        <f t="shared" si="13"/>
        <v>18075209.398920659</v>
      </c>
      <c r="T6" s="13">
        <f t="shared" si="13"/>
        <v>19321768.807083201</v>
      </c>
      <c r="U6" s="13">
        <f t="shared" si="13"/>
        <v>20857965.72290346</v>
      </c>
      <c r="V6" s="13">
        <f t="shared" si="13"/>
        <v>23366274.056614276</v>
      </c>
      <c r="W6" s="13">
        <f t="shared" si="13"/>
        <v>25965388.132208411</v>
      </c>
      <c r="X6" s="13">
        <f t="shared" si="13"/>
        <v>25965388.132208411</v>
      </c>
      <c r="Y6" s="13">
        <f t="shared" si="13"/>
        <v>25965388.132208411</v>
      </c>
      <c r="Z6" s="13">
        <f t="shared" si="13"/>
        <v>27428037.777483996</v>
      </c>
      <c r="AA6" s="13">
        <f t="shared" si="13"/>
        <v>23286729.880291432</v>
      </c>
      <c r="AB6" s="13">
        <f t="shared" si="13"/>
        <v>20130507.499065381</v>
      </c>
      <c r="AC6" s="13">
        <f>+AB7*0.0967%</f>
        <v>3476288.746713941</v>
      </c>
      <c r="AD6" s="13">
        <f>+AC7*0.0967%</f>
        <v>1779280</v>
      </c>
      <c r="AE6" s="13">
        <f t="shared" si="13"/>
        <v>2299526</v>
      </c>
      <c r="AF6" s="13">
        <f t="shared" si="13"/>
        <v>2299526</v>
      </c>
      <c r="AG6" s="13">
        <f t="shared" si="13"/>
        <v>1859475.9338118713</v>
      </c>
      <c r="AH6" s="13">
        <f t="shared" si="13"/>
        <v>2720065.0971897827</v>
      </c>
      <c r="AI6" s="13">
        <f t="shared" si="13"/>
        <v>3210048.588783598</v>
      </c>
      <c r="AJ6" s="13">
        <f t="shared" si="13"/>
        <v>3828941.9331862992</v>
      </c>
      <c r="AK6" s="13">
        <f t="shared" si="13"/>
        <v>4632714.1851258818</v>
      </c>
      <c r="AL6" s="13">
        <f t="shared" si="13"/>
        <v>4632714.1851258818</v>
      </c>
      <c r="AM6" s="13">
        <f t="shared" si="13"/>
        <v>4632714.1851258818</v>
      </c>
      <c r="AN6" s="13">
        <f t="shared" si="13"/>
        <v>6035065.7678829618</v>
      </c>
      <c r="AO6" s="13">
        <f t="shared" si="13"/>
        <v>13168296.342347512</v>
      </c>
      <c r="AP6" s="13">
        <f t="shared" si="13"/>
        <v>14549917.938203096</v>
      </c>
      <c r="AQ6" s="13">
        <f t="shared" si="13"/>
        <v>14316261.02721254</v>
      </c>
      <c r="AR6" s="13">
        <f t="shared" si="13"/>
        <v>16922650.006363425</v>
      </c>
      <c r="AS6" s="13">
        <f t="shared" si="13"/>
        <v>16680900.006363424</v>
      </c>
      <c r="AT6" s="13">
        <f t="shared" si="13"/>
        <v>16681133.778613424</v>
      </c>
      <c r="AU6" s="13">
        <f t="shared" si="13"/>
        <v>19063529.319087476</v>
      </c>
      <c r="AV6" s="13">
        <f t="shared" si="13"/>
        <v>20333634.031561688</v>
      </c>
      <c r="AW6" s="13">
        <f t="shared" si="13"/>
        <v>19964846.992368486</v>
      </c>
      <c r="AX6" s="13">
        <f t="shared" si="13"/>
        <v>22520889.454910178</v>
      </c>
      <c r="AY6" s="13">
        <f t="shared" si="13"/>
        <v>25169096.202261381</v>
      </c>
      <c r="AZ6" s="13">
        <f t="shared" si="13"/>
        <v>26659372.714554984</v>
      </c>
      <c r="BA6" s="13">
        <f t="shared" si="13"/>
        <v>29490296.850543648</v>
      </c>
      <c r="BB6" s="13">
        <f t="shared" si="13"/>
        <v>22062532.46354128</v>
      </c>
      <c r="BC6" s="13">
        <f t="shared" si="13"/>
        <v>22069715.111703508</v>
      </c>
      <c r="BD6" s="13">
        <f t="shared" si="13"/>
        <v>23226638.265391786</v>
      </c>
      <c r="BE6" s="13">
        <f t="shared" si="13"/>
        <v>24824696.833918829</v>
      </c>
      <c r="BF6" s="13">
        <f t="shared" si="13"/>
        <v>25361025.601925787</v>
      </c>
      <c r="BG6" s="13">
        <f t="shared" si="13"/>
        <v>25361025.601925787</v>
      </c>
      <c r="BH6" s="13">
        <f t="shared" si="13"/>
        <v>18638519.877481386</v>
      </c>
      <c r="BI6" s="13">
        <f t="shared" si="13"/>
        <v>285773.0586551326</v>
      </c>
      <c r="BJ6" s="13">
        <f t="shared" si="13"/>
        <v>303520.16482893762</v>
      </c>
      <c r="BK6" s="13">
        <f t="shared" si="13"/>
        <v>943632.44927410549</v>
      </c>
      <c r="BL6" s="13">
        <f t="shared" si="13"/>
        <v>943632.44927410549</v>
      </c>
      <c r="BM6" s="13">
        <f t="shared" si="13"/>
        <v>943632.44927410549</v>
      </c>
      <c r="BN6" s="13">
        <f t="shared" si="13"/>
        <v>943632.44927410549</v>
      </c>
      <c r="BO6" s="13">
        <f t="shared" si="13"/>
        <v>943632.44927410549</v>
      </c>
      <c r="BP6" s="13">
        <f t="shared" ref="BP6:EA6" si="14">+BO7*0.0967%</f>
        <v>746322.35127189965</v>
      </c>
      <c r="BQ6" s="13">
        <f t="shared" si="14"/>
        <v>1243954.3479835074</v>
      </c>
      <c r="BR6" s="13">
        <f t="shared" si="14"/>
        <v>1872267.4480385755</v>
      </c>
      <c r="BS6" s="13">
        <f t="shared" si="14"/>
        <v>2688273.3720347402</v>
      </c>
      <c r="BT6" s="13">
        <f t="shared" si="14"/>
        <v>4111969.1966838236</v>
      </c>
      <c r="BU6" s="13">
        <f t="shared" si="14"/>
        <v>4111969.1966838236</v>
      </c>
      <c r="BV6" s="13">
        <f t="shared" si="14"/>
        <v>4111969.1966838236</v>
      </c>
      <c r="BW6" s="13">
        <f t="shared" si="14"/>
        <v>11353769.833552742</v>
      </c>
      <c r="BX6" s="13">
        <f t="shared" si="14"/>
        <v>12756420.15423579</v>
      </c>
      <c r="BY6" s="13">
        <f t="shared" si="14"/>
        <v>13697268.570972444</v>
      </c>
      <c r="BZ6" s="13">
        <f t="shared" si="14"/>
        <v>16343098.243033227</v>
      </c>
      <c r="CA6" s="13">
        <f t="shared" si="14"/>
        <v>18761754.609482411</v>
      </c>
      <c r="CB6" s="13">
        <f t="shared" si="14"/>
        <v>18761754.609482411</v>
      </c>
      <c r="CC6" s="13">
        <f t="shared" si="14"/>
        <v>16827754.609482411</v>
      </c>
      <c r="CD6" s="13">
        <f t="shared" si="14"/>
        <v>18119060.90197061</v>
      </c>
      <c r="CE6" s="13">
        <f t="shared" si="14"/>
        <v>19708096.907197036</v>
      </c>
      <c r="CF6" s="13">
        <f t="shared" si="14"/>
        <v>22302681.112795278</v>
      </c>
      <c r="CG6" s="13">
        <f t="shared" si="14"/>
        <v>24991194.41813843</v>
      </c>
      <c r="CH6" s="13">
        <f t="shared" si="14"/>
        <v>26504153.418016084</v>
      </c>
      <c r="CI6" s="13">
        <f t="shared" si="14"/>
        <v>26504153.418016084</v>
      </c>
      <c r="CJ6" s="13">
        <f t="shared" si="14"/>
        <v>26504153.418016084</v>
      </c>
      <c r="CK6" s="13">
        <f t="shared" si="14"/>
        <v>23069210.548188731</v>
      </c>
      <c r="CL6" s="13">
        <f t="shared" si="14"/>
        <v>24247064.033937842</v>
      </c>
      <c r="CM6" s="13">
        <f t="shared" si="14"/>
        <v>2651063.0037719961</v>
      </c>
      <c r="CN6" s="13">
        <f t="shared" si="14"/>
        <v>4309728.8584463568</v>
      </c>
      <c r="CO6" s="13">
        <f t="shared" si="14"/>
        <v>4309728.8584463568</v>
      </c>
      <c r="CP6" s="13">
        <f t="shared" si="14"/>
        <v>4309728.8584463568</v>
      </c>
      <c r="CQ6" s="13">
        <f t="shared" si="14"/>
        <v>4309728.8584463568</v>
      </c>
      <c r="CR6" s="13">
        <f t="shared" si="14"/>
        <v>3917116.7745061005</v>
      </c>
      <c r="CS6" s="13">
        <f t="shared" si="14"/>
        <v>4842376.0296509312</v>
      </c>
      <c r="CT6" s="13">
        <f t="shared" si="14"/>
        <v>5369224.3140103966</v>
      </c>
      <c r="CU6" s="13">
        <f t="shared" si="14"/>
        <v>6034681.2167306086</v>
      </c>
      <c r="CV6" s="13">
        <f t="shared" si="14"/>
        <v>6898926.725436762</v>
      </c>
      <c r="CW6" s="13">
        <f t="shared" si="14"/>
        <v>6898926.725436762</v>
      </c>
      <c r="CX6" s="13">
        <f t="shared" si="14"/>
        <v>6898926.725436762</v>
      </c>
      <c r="CY6" s="13">
        <f t="shared" si="14"/>
        <v>8406786.7617843114</v>
      </c>
      <c r="CZ6" s="13">
        <f t="shared" si="14"/>
        <v>16076698.819173668</v>
      </c>
      <c r="DA6" s="13">
        <f t="shared" si="14"/>
        <v>17562269.210622527</v>
      </c>
      <c r="DB6" s="13">
        <f t="shared" si="14"/>
        <v>17156587.489377044</v>
      </c>
      <c r="DC6" s="13">
        <f t="shared" si="14"/>
        <v>19959222.198315568</v>
      </c>
      <c r="DD6" s="13">
        <f t="shared" si="14"/>
        <v>19959222.198315568</v>
      </c>
      <c r="DE6" s="13">
        <f t="shared" si="14"/>
        <v>19959222.198315568</v>
      </c>
      <c r="DF6" s="13">
        <f t="shared" si="14"/>
        <v>22520861.5692291</v>
      </c>
      <c r="DG6" s="13">
        <f t="shared" si="14"/>
        <v>23886524.903206535</v>
      </c>
      <c r="DH6" s="13">
        <f t="shared" si="14"/>
        <v>25569499.487464283</v>
      </c>
      <c r="DI6" s="13">
        <f t="shared" si="14"/>
        <v>28317466.972389974</v>
      </c>
      <c r="DJ6" s="13">
        <f t="shared" si="14"/>
        <v>31164916.336312082</v>
      </c>
      <c r="DK6" s="13">
        <f t="shared" si="14"/>
        <v>31164916.336312082</v>
      </c>
      <c r="DL6" s="13">
        <f t="shared" si="14"/>
        <v>31164916.336312082</v>
      </c>
      <c r="DM6" s="13">
        <f t="shared" si="14"/>
        <v>24602501.385112394</v>
      </c>
      <c r="DN6" s="13">
        <f t="shared" si="14"/>
        <v>26211247.397096228</v>
      </c>
      <c r="DO6" s="13">
        <f t="shared" si="14"/>
        <v>29255161.222327355</v>
      </c>
      <c r="DP6" s="13">
        <f t="shared" si="14"/>
        <v>6115803.5171473268</v>
      </c>
      <c r="DQ6" s="13">
        <f t="shared" si="14"/>
        <v>7856470.6666332074</v>
      </c>
      <c r="DR6" s="13">
        <f t="shared" si="14"/>
        <v>8433151.0979635939</v>
      </c>
      <c r="DS6" s="13">
        <f t="shared" si="14"/>
        <v>9591073.5009681042</v>
      </c>
      <c r="DT6" s="13">
        <f t="shared" si="14"/>
        <v>8520507.8009681031</v>
      </c>
      <c r="DU6" s="13">
        <f t="shared" si="14"/>
        <v>9180919.5625294857</v>
      </c>
      <c r="DV6" s="13">
        <f t="shared" si="14"/>
        <v>10080455.874928642</v>
      </c>
      <c r="DW6" s="13">
        <f t="shared" si="14"/>
        <v>10592867.612938536</v>
      </c>
      <c r="DX6" s="13">
        <f t="shared" si="14"/>
        <v>11240089.855501425</v>
      </c>
      <c r="DY6" s="13">
        <f t="shared" si="14"/>
        <v>11240089.855501425</v>
      </c>
      <c r="DZ6" s="13">
        <f t="shared" si="14"/>
        <v>11240089.855501425</v>
      </c>
      <c r="EA6" s="13">
        <f t="shared" si="14"/>
        <v>11015019.555394221</v>
      </c>
      <c r="EB6" s="13">
        <f t="shared" ref="EB6:GM6" si="15">+EA7*0.0967%</f>
        <v>12481779.284280388</v>
      </c>
      <c r="EC6" s="13">
        <f t="shared" si="15"/>
        <v>19941522.600115865</v>
      </c>
      <c r="ED6" s="13">
        <f t="shared" si="15"/>
        <v>21386385.815612204</v>
      </c>
      <c r="EE6" s="13">
        <f t="shared" si="15"/>
        <v>22355549.154938839</v>
      </c>
      <c r="EF6" s="13">
        <f t="shared" si="15"/>
        <v>22355549.154938839</v>
      </c>
      <c r="EG6" s="13">
        <f t="shared" si="15"/>
        <v>22113799.154938839</v>
      </c>
      <c r="EH6" s="13">
        <f t="shared" si="15"/>
        <v>22114032.92718884</v>
      </c>
      <c r="EI6" s="13">
        <f t="shared" si="15"/>
        <v>24839489.094886962</v>
      </c>
      <c r="EJ6" s="13">
        <f t="shared" si="15"/>
        <v>27330935.154733639</v>
      </c>
      <c r="EK6" s="13">
        <f t="shared" si="15"/>
        <v>28659176.971731383</v>
      </c>
      <c r="EL6" s="13">
        <f t="shared" si="15"/>
        <v>30296035.166675404</v>
      </c>
      <c r="EM6" s="13">
        <f t="shared" si="15"/>
        <v>30296035.166675404</v>
      </c>
      <c r="EN6" s="13">
        <f t="shared" si="15"/>
        <v>30296035.166675404</v>
      </c>
      <c r="EO6" s="13">
        <f t="shared" si="15"/>
        <v>26810601.049523924</v>
      </c>
      <c r="EP6" s="13">
        <f t="shared" si="15"/>
        <v>29583395.833299167</v>
      </c>
      <c r="EQ6" s="13">
        <f t="shared" si="15"/>
        <v>31141887.478182424</v>
      </c>
      <c r="ER6" s="13">
        <f t="shared" si="15"/>
        <v>34102392.845368594</v>
      </c>
      <c r="ES6" s="13">
        <f t="shared" si="15"/>
        <v>35312272.390487492</v>
      </c>
      <c r="ET6" s="13">
        <f t="shared" si="15"/>
        <v>35312272.390487492</v>
      </c>
      <c r="EU6" s="13">
        <f t="shared" si="15"/>
        <v>35312272.390487492</v>
      </c>
      <c r="EV6" s="13">
        <f t="shared" si="15"/>
        <v>9748314.5419764891</v>
      </c>
      <c r="EW6" s="13">
        <f t="shared" si="15"/>
        <v>11460106.631660903</v>
      </c>
      <c r="EX6" s="13">
        <f t="shared" si="15"/>
        <v>12121680.995027978</v>
      </c>
      <c r="EY6" s="13">
        <f t="shared" si="15"/>
        <v>13024215.648692966</v>
      </c>
      <c r="EZ6" s="13">
        <f t="shared" si="15"/>
        <v>13538335.361398259</v>
      </c>
      <c r="FA6" s="13">
        <f t="shared" si="15"/>
        <v>13538335.361398259</v>
      </c>
      <c r="FB6" s="13">
        <f t="shared" si="15"/>
        <v>13538335.361398259</v>
      </c>
      <c r="FC6" s="13">
        <f t="shared" si="15"/>
        <v>13117149.230053816</v>
      </c>
      <c r="FD6" s="13">
        <f t="shared" si="15"/>
        <v>13960921.990241723</v>
      </c>
      <c r="FE6" s="13">
        <f t="shared" si="15"/>
        <v>15432352.365362519</v>
      </c>
      <c r="FF6" s="13">
        <f t="shared" si="15"/>
        <v>15432352.365362519</v>
      </c>
      <c r="FG6" s="13">
        <f t="shared" si="15"/>
        <v>15432352.365362519</v>
      </c>
      <c r="FH6" s="13">
        <f t="shared" si="15"/>
        <v>15432352.365362519</v>
      </c>
      <c r="FI6" s="13">
        <f t="shared" si="15"/>
        <v>15432352.365362519</v>
      </c>
      <c r="FJ6" s="13">
        <f t="shared" si="15"/>
        <v>22916960.554253232</v>
      </c>
      <c r="FK6" s="13">
        <f t="shared" si="15"/>
        <v>24366639.798788965</v>
      </c>
      <c r="FL6" s="13">
        <f t="shared" si="15"/>
        <v>25339033.560716201</v>
      </c>
      <c r="FM6" s="13">
        <f t="shared" si="15"/>
        <v>28073574.239604346</v>
      </c>
      <c r="FN6" s="13">
        <f t="shared" si="15"/>
        <v>30573324.806372941</v>
      </c>
      <c r="FO6" s="13">
        <f t="shared" si="15"/>
        <v>30573324.806372941</v>
      </c>
      <c r="FP6" s="13">
        <f t="shared" si="15"/>
        <v>30573324.806372941</v>
      </c>
      <c r="FQ6" s="13">
        <f t="shared" si="15"/>
        <v>31905993.929079209</v>
      </c>
      <c r="FR6" s="13">
        <f t="shared" si="15"/>
        <v>33548308.112185754</v>
      </c>
      <c r="FS6" s="13">
        <f t="shared" si="15"/>
        <v>36229885.135049418</v>
      </c>
      <c r="FT6" s="13">
        <f t="shared" si="15"/>
        <v>39008540.570365734</v>
      </c>
      <c r="FU6" s="13">
        <f t="shared" si="15"/>
        <v>40572226.991431899</v>
      </c>
      <c r="FV6" s="13">
        <f t="shared" si="15"/>
        <v>40572226.991431899</v>
      </c>
      <c r="FW6" s="13">
        <f t="shared" si="15"/>
        <v>40572226.991431899</v>
      </c>
      <c r="FX6" s="13">
        <f t="shared" si="15"/>
        <v>37350652.756384641</v>
      </c>
      <c r="FY6" s="13">
        <f t="shared" si="15"/>
        <v>38567680.34347412</v>
      </c>
      <c r="FZ6" s="13">
        <f t="shared" si="15"/>
        <v>40244458.084423885</v>
      </c>
      <c r="GA6" s="13">
        <f t="shared" si="15"/>
        <v>16936183.286172755</v>
      </c>
      <c r="GB6" s="13">
        <f t="shared" si="15"/>
        <v>18088669.567841709</v>
      </c>
      <c r="GC6" s="13">
        <f t="shared" si="15"/>
        <v>18088669.567841709</v>
      </c>
      <c r="GD6" s="13">
        <f t="shared" si="15"/>
        <v>18088669.567841709</v>
      </c>
      <c r="GE6" s="13">
        <f t="shared" si="15"/>
        <v>17687566.363371622</v>
      </c>
      <c r="GF6" s="13">
        <f t="shared" si="15"/>
        <v>18601250.051474016</v>
      </c>
      <c r="GG6" s="13">
        <f t="shared" si="15"/>
        <v>19121499.754193883</v>
      </c>
      <c r="GH6" s="13">
        <f t="shared" si="15"/>
        <v>19778622.053138036</v>
      </c>
      <c r="GI6" s="13">
        <f t="shared" si="15"/>
        <v>20632043.203646295</v>
      </c>
      <c r="GJ6" s="13">
        <f t="shared" si="15"/>
        <v>20632043.203646295</v>
      </c>
      <c r="GK6" s="13">
        <f t="shared" si="15"/>
        <v>20632043.203646295</v>
      </c>
      <c r="GL6" s="13">
        <f t="shared" si="15"/>
        <v>22121017.845761191</v>
      </c>
      <c r="GM6" s="13">
        <f t="shared" si="15"/>
        <v>29694867.066121954</v>
      </c>
      <c r="GN6" s="13">
        <f t="shared" ref="GN6:IY6" si="16">+GM7*0.0967%</f>
        <v>31161831.232969999</v>
      </c>
      <c r="GO6" s="13">
        <f t="shared" si="16"/>
        <v>30985419.111799471</v>
      </c>
      <c r="GP6" s="13">
        <f t="shared" si="16"/>
        <v>33752735.057983056</v>
      </c>
      <c r="GQ6" s="13">
        <f t="shared" si="16"/>
        <v>33752735.057983056</v>
      </c>
      <c r="GR6" s="13">
        <f t="shared" si="16"/>
        <v>33752735.057983056</v>
      </c>
      <c r="GS6" s="13">
        <f t="shared" si="16"/>
        <v>36282290.834772848</v>
      </c>
      <c r="GT6" s="13">
        <f t="shared" si="16"/>
        <v>37630849.736091055</v>
      </c>
      <c r="GU6" s="13">
        <f t="shared" si="16"/>
        <v>39292745.680593729</v>
      </c>
      <c r="GV6" s="13">
        <f t="shared" si="16"/>
        <v>42006295.880068287</v>
      </c>
      <c r="GW6" s="13">
        <f t="shared" si="16"/>
        <v>44818081.984471001</v>
      </c>
      <c r="GX6" s="13">
        <f t="shared" si="16"/>
        <v>44818081.984471001</v>
      </c>
      <c r="GY6" s="13">
        <f t="shared" si="16"/>
        <v>44818081.984471001</v>
      </c>
      <c r="GZ6" s="13">
        <f t="shared" si="16"/>
        <v>40227805.085411653</v>
      </c>
      <c r="HA6" s="13">
        <f t="shared" si="16"/>
        <v>43238033.803523079</v>
      </c>
      <c r="HB6" s="13">
        <f t="shared" si="16"/>
        <v>44466419.937142067</v>
      </c>
      <c r="HC6" s="13">
        <f t="shared" si="16"/>
        <v>46163190.357918479</v>
      </c>
      <c r="HD6" s="13">
        <f t="shared" si="16"/>
        <v>46732648.078234978</v>
      </c>
      <c r="HE6" s="13">
        <f t="shared" si="16"/>
        <v>46732648.078234978</v>
      </c>
      <c r="HF6" s="13">
        <f t="shared" si="16"/>
        <v>25668571.42141581</v>
      </c>
      <c r="HG6" s="13">
        <f t="shared" si="16"/>
        <v>26832360.232898962</v>
      </c>
      <c r="HH6" s="13">
        <f t="shared" si="16"/>
        <v>26832360.232898962</v>
      </c>
      <c r="HI6" s="13">
        <f t="shared" si="16"/>
        <v>27524183.177422378</v>
      </c>
      <c r="HJ6" s="13">
        <f t="shared" si="16"/>
        <v>28467983.627087761</v>
      </c>
      <c r="HK6" s="13">
        <f t="shared" si="16"/>
        <v>29005609.982001338</v>
      </c>
      <c r="HL6" s="13">
        <f t="shared" si="16"/>
        <v>29005609.982001338</v>
      </c>
      <c r="HM6" s="13">
        <f t="shared" si="16"/>
        <v>29005609.982001338</v>
      </c>
      <c r="HN6" s="13">
        <f t="shared" si="16"/>
        <v>28619046.559969556</v>
      </c>
      <c r="HO6" s="13">
        <f t="shared" si="16"/>
        <v>29501346.295742359</v>
      </c>
      <c r="HP6" s="13">
        <f t="shared" si="16"/>
        <v>31040053.584211525</v>
      </c>
      <c r="HQ6" s="13">
        <f t="shared" si="16"/>
        <v>38866873.912449405</v>
      </c>
      <c r="HR6" s="13">
        <f t="shared" si="16"/>
        <v>40382835.562572666</v>
      </c>
      <c r="HS6" s="13">
        <f t="shared" si="16"/>
        <v>40382835.562572666</v>
      </c>
      <c r="HT6" s="13">
        <f t="shared" si="16"/>
        <v>40382835.562572666</v>
      </c>
      <c r="HU6" s="13">
        <f t="shared" si="16"/>
        <v>39997539.226896778</v>
      </c>
      <c r="HV6" s="13">
        <f t="shared" si="16"/>
        <v>42857481.479138739</v>
      </c>
      <c r="HW6" s="13">
        <f t="shared" si="16"/>
        <v>45471525.936475694</v>
      </c>
      <c r="HX6" s="13">
        <f t="shared" si="16"/>
        <v>46865127.51416339</v>
      </c>
      <c r="HY6" s="13">
        <f t="shared" si="16"/>
        <v>48582531.780263901</v>
      </c>
      <c r="HZ6" s="13">
        <f t="shared" si="16"/>
        <v>48582531.780263901</v>
      </c>
      <c r="IA6" s="13">
        <f t="shared" si="16"/>
        <v>48582531.780263901</v>
      </c>
      <c r="IB6" s="13">
        <f t="shared" si="16"/>
        <v>45235210.477190733</v>
      </c>
      <c r="IC6" s="13">
        <f t="shared" si="16"/>
        <v>48144148.78410653</v>
      </c>
      <c r="ID6" s="13">
        <f t="shared" si="16"/>
        <v>49779330.260346778</v>
      </c>
      <c r="IE6" s="13">
        <f t="shared" si="16"/>
        <v>52885515.367354706</v>
      </c>
      <c r="IF6" s="13">
        <f t="shared" si="16"/>
        <v>54154930.334804595</v>
      </c>
      <c r="IG6" s="13">
        <f t="shared" si="16"/>
        <v>54154930.334804595</v>
      </c>
      <c r="IH6" s="13">
        <f t="shared" si="16"/>
        <v>54154930.334804595</v>
      </c>
      <c r="II6" s="13">
        <f t="shared" si="16"/>
        <v>55908373.905609265</v>
      </c>
      <c r="IJ6" s="13">
        <f t="shared" si="16"/>
        <v>36031525.17171713</v>
      </c>
      <c r="IK6" s="13">
        <f t="shared" si="16"/>
        <v>37232356.842759959</v>
      </c>
      <c r="IL6" s="13">
        <f t="shared" si="16"/>
        <v>37953073.416654207</v>
      </c>
      <c r="IM6" s="13">
        <f t="shared" si="16"/>
        <v>38936291.206563257</v>
      </c>
      <c r="IN6" s="13">
        <f t="shared" si="16"/>
        <v>38936291.206563257</v>
      </c>
      <c r="IO6" s="13">
        <f t="shared" si="16"/>
        <v>38936291.206563257</v>
      </c>
      <c r="IP6" s="13">
        <f t="shared" si="16"/>
        <v>38425805.549608789</v>
      </c>
      <c r="IQ6" s="13">
        <f t="shared" si="16"/>
        <v>39133730.800549366</v>
      </c>
      <c r="IR6" s="13">
        <f t="shared" si="16"/>
        <v>40052489.912210032</v>
      </c>
      <c r="IS6" s="13">
        <f t="shared" si="16"/>
        <v>41655460.518996641</v>
      </c>
      <c r="IT6" s="13">
        <f t="shared" si="16"/>
        <v>49809163.97174833</v>
      </c>
      <c r="IU6" s="13">
        <f t="shared" si="16"/>
        <v>49809163.97174833</v>
      </c>
      <c r="IV6" s="13">
        <f t="shared" si="16"/>
        <v>49809163.97174833</v>
      </c>
      <c r="IW6" s="13">
        <f t="shared" si="16"/>
        <v>48743529.97174833</v>
      </c>
      <c r="IX6" s="13">
        <f t="shared" si="16"/>
        <v>50323835.448382966</v>
      </c>
      <c r="IY6" s="13">
        <f t="shared" si="16"/>
        <v>49981007.482878856</v>
      </c>
      <c r="IZ6" s="13">
        <f t="shared" ref="IZ6:LK6" si="17">+IY7*0.0967%</f>
        <v>52960337.124402046</v>
      </c>
      <c r="JA6" s="13">
        <f t="shared" si="17"/>
        <v>55683555.803708747</v>
      </c>
      <c r="JB6" s="13">
        <f t="shared" si="17"/>
        <v>55683555.803708747</v>
      </c>
      <c r="JC6" s="13">
        <f t="shared" si="17"/>
        <v>55683555.803708747</v>
      </c>
      <c r="JD6" s="13">
        <f t="shared" si="17"/>
        <v>57135360.434352487</v>
      </c>
      <c r="JE6" s="13">
        <f t="shared" si="17"/>
        <v>58924491.206110843</v>
      </c>
      <c r="JF6" s="13">
        <f t="shared" si="17"/>
        <v>61845790.92926757</v>
      </c>
      <c r="JG6" s="13">
        <f t="shared" si="17"/>
        <v>64872847.502592862</v>
      </c>
      <c r="JH6" s="13">
        <f t="shared" si="17"/>
        <v>66576321.491971821</v>
      </c>
      <c r="JI6" s="13">
        <f t="shared" si="17"/>
        <v>66576321.491971821</v>
      </c>
      <c r="JJ6" s="13">
        <f t="shared" si="17"/>
        <v>66576321.491971821</v>
      </c>
      <c r="JK6" s="13">
        <f t="shared" si="17"/>
        <v>63668637.24080234</v>
      </c>
      <c r="JL6" s="13">
        <f t="shared" si="17"/>
        <v>64993880.401990175</v>
      </c>
      <c r="JM6" s="13">
        <f t="shared" si="17"/>
        <v>66820555.641473301</v>
      </c>
      <c r="JN6" s="13">
        <f t="shared" si="17"/>
        <v>47620289.459449098</v>
      </c>
      <c r="JO6" s="13">
        <f t="shared" si="17"/>
        <v>48869816.240607657</v>
      </c>
      <c r="JP6" s="13">
        <f t="shared" si="17"/>
        <v>48869816.240607657</v>
      </c>
      <c r="JQ6" s="13">
        <f t="shared" si="17"/>
        <v>48869816.240607657</v>
      </c>
      <c r="JR6" s="13">
        <f t="shared" si="17"/>
        <v>48530549.807384811</v>
      </c>
      <c r="JS6" s="13">
        <f t="shared" si="17"/>
        <v>49528532.816023931</v>
      </c>
      <c r="JT6" s="13">
        <f t="shared" si="17"/>
        <v>50096836.834068924</v>
      </c>
      <c r="JU6" s="13">
        <f t="shared" si="17"/>
        <v>50814656.067572653</v>
      </c>
      <c r="JV6" s="13">
        <f t="shared" si="17"/>
        <v>51746905.843752861</v>
      </c>
      <c r="JW6" s="13">
        <f t="shared" si="17"/>
        <v>51746905.843752861</v>
      </c>
      <c r="JX6" s="13">
        <f t="shared" si="17"/>
        <v>51746905.843752861</v>
      </c>
      <c r="JY6" s="13">
        <f t="shared" si="17"/>
        <v>53373413.783031069</v>
      </c>
      <c r="JZ6" s="13">
        <f t="shared" si="17"/>
        <v>61646842.718204439</v>
      </c>
      <c r="KA6" s="13">
        <f t="shared" si="17"/>
        <v>63249307.123256989</v>
      </c>
      <c r="KB6" s="13">
        <f t="shared" si="17"/>
        <v>63163783.787910193</v>
      </c>
      <c r="KC6" s="13">
        <f t="shared" si="17"/>
        <v>66186606.945944525</v>
      </c>
      <c r="KD6" s="13">
        <f t="shared" si="17"/>
        <v>65944856.945944525</v>
      </c>
      <c r="KE6" s="13">
        <f t="shared" si="17"/>
        <v>65945090.718194522</v>
      </c>
      <c r="KF6" s="13">
        <f t="shared" si="17"/>
        <v>68708295.971946687</v>
      </c>
      <c r="KG6" s="13">
        <f t="shared" si="17"/>
        <v>70181418.278759673</v>
      </c>
      <c r="KH6" s="13">
        <f t="shared" si="17"/>
        <v>71996819.878983334</v>
      </c>
      <c r="KI6" s="13">
        <f t="shared" si="17"/>
        <v>74961014.713628978</v>
      </c>
      <c r="KJ6" s="13">
        <f t="shared" si="17"/>
        <v>78032519.286646575</v>
      </c>
      <c r="KK6" s="13">
        <f t="shared" si="17"/>
        <v>78032519.286646575</v>
      </c>
      <c r="KL6" s="13">
        <f t="shared" si="17"/>
        <v>78032519.286646575</v>
      </c>
      <c r="KM6" s="13">
        <f t="shared" si="17"/>
        <v>71888921.705446884</v>
      </c>
      <c r="KN6" s="13">
        <f t="shared" si="17"/>
        <v>73623349.634718448</v>
      </c>
      <c r="KO6" s="13">
        <f t="shared" si="17"/>
        <v>76906777.727427676</v>
      </c>
      <c r="KP6" s="13">
        <f t="shared" si="17"/>
        <v>78248627.173562407</v>
      </c>
      <c r="KQ6" s="13">
        <f t="shared" si="17"/>
        <v>80102124.528363079</v>
      </c>
      <c r="KR6" s="13">
        <f t="shared" si="17"/>
        <v>80102124.528363079</v>
      </c>
      <c r="KS6" s="13">
        <f t="shared" si="17"/>
        <v>60231113.176751167</v>
      </c>
      <c r="KT6" s="13">
        <f t="shared" si="17"/>
        <v>62121420.73017282</v>
      </c>
      <c r="KU6" s="13">
        <f t="shared" si="17"/>
        <v>62886709.226454124</v>
      </c>
      <c r="KV6" s="13">
        <f t="shared" si="17"/>
        <v>63930733.037216276</v>
      </c>
      <c r="KW6" s="13">
        <f t="shared" si="17"/>
        <v>64525450.613396749</v>
      </c>
      <c r="KX6" s="13">
        <f t="shared" si="17"/>
        <v>65276632.553221203</v>
      </c>
      <c r="KY6" s="13">
        <f t="shared" si="17"/>
        <v>65276632.553221203</v>
      </c>
      <c r="KZ6" s="13">
        <f t="shared" si="17"/>
        <v>65276632.553221203</v>
      </c>
      <c r="LA6" s="13">
        <f t="shared" si="17"/>
        <v>65276632.553221203</v>
      </c>
      <c r="LB6" s="13">
        <f t="shared" si="17"/>
        <v>64210998.553221203</v>
      </c>
      <c r="LC6" s="13">
        <f t="shared" si="17"/>
        <v>65187607.777880847</v>
      </c>
      <c r="LD6" s="13">
        <f t="shared" si="17"/>
        <v>66889712.335602373</v>
      </c>
      <c r="LE6" s="13">
        <f t="shared" si="17"/>
        <v>75547672.594187453</v>
      </c>
      <c r="LF6" s="13">
        <f t="shared" si="17"/>
        <v>75547672.594187453</v>
      </c>
      <c r="LG6" s="13">
        <f t="shared" si="17"/>
        <v>75547672.594187453</v>
      </c>
      <c r="LH6" s="13">
        <f t="shared" si="17"/>
        <v>77224616.125515595</v>
      </c>
      <c r="LI6" s="13">
        <f t="shared" si="17"/>
        <v>78349450.764015198</v>
      </c>
      <c r="LJ6" s="13">
        <f t="shared" si="17"/>
        <v>81512681.747627556</v>
      </c>
      <c r="LK6" s="13">
        <f t="shared" si="17"/>
        <v>84404314.885562807</v>
      </c>
      <c r="LL6" s="13">
        <f t="shared" ref="LL6:LW6" si="18">+LK7*0.0967%</f>
        <v>85945904.773909971</v>
      </c>
      <c r="LM6" s="13">
        <f t="shared" si="18"/>
        <v>85945904.773909971</v>
      </c>
      <c r="LN6" s="13">
        <f t="shared" si="18"/>
        <v>85945904.773909971</v>
      </c>
      <c r="LO6" s="13">
        <f t="shared" si="18"/>
        <v>87845682.366884351</v>
      </c>
      <c r="LP6" s="13">
        <f t="shared" si="18"/>
        <v>84804049.071370184</v>
      </c>
      <c r="LQ6" s="13">
        <f t="shared" si="18"/>
        <v>88021251.882490948</v>
      </c>
      <c r="LR6" s="13">
        <f t="shared" si="18"/>
        <v>89830075.343761057</v>
      </c>
      <c r="LS6" s="13">
        <f t="shared" si="18"/>
        <v>89830075.343761057</v>
      </c>
      <c r="LT6" s="13">
        <f t="shared" si="18"/>
        <v>89830075.343761057</v>
      </c>
      <c r="LU6" s="13">
        <f t="shared" si="18"/>
        <v>89830075.343761057</v>
      </c>
      <c r="LV6" s="13">
        <f t="shared" si="18"/>
        <v>93266110.168178469</v>
      </c>
      <c r="LW6" s="13">
        <f t="shared" si="18"/>
        <v>71093235.189188033</v>
      </c>
      <c r="LX6" s="13">
        <f>SUM(ESCENARIO[[#This Row],[01-mar]:[31-dic]])</f>
        <v>10734236403.102861</v>
      </c>
    </row>
    <row r="7" spans="1:336" s="13" customFormat="1">
      <c r="A7" s="13" t="s">
        <v>341</v>
      </c>
      <c r="B7" s="13">
        <f>+B2-B3+B5</f>
        <v>2376100989.5700002</v>
      </c>
      <c r="C7" s="13">
        <f>IF(C5&lt;0,ESCENARIO[[#This Row],[01-feb]]+C5,IF(C5=0,ESCENARIO[[#This Row],[01-feb]]+C5+C2))</f>
        <v>2141100989.5700002</v>
      </c>
      <c r="D7" s="13">
        <f>IF(D5&lt;0,ESCENARIO[[#This Row],[02-feb]]+D5,IF(D5=0,ESCENARIO[[#This Row],[02-feb]]+D5+D2))</f>
        <v>1334042804.5774012</v>
      </c>
      <c r="E7" s="13">
        <f>IF(E5&lt;0,ESCENARIO[[#This Row],[03-feb]]+E5,IF(E5=0,ESCENARIO[[#This Row],[03-feb]]+E5+E2))</f>
        <v>2207850997.8263383</v>
      </c>
      <c r="F7" s="13">
        <f>IF(F5&lt;0,ESCENARIO[[#This Row],[04-feb]]+F5,IF(F5=0,ESCENARIO[[#This Row],[04-feb]]+F5+F2))</f>
        <v>2705162412.3377514</v>
      </c>
      <c r="G7" s="13">
        <f>IF(G5&lt;0,ESCENARIO[[#This Row],[05-feb]]+G5,IF(G5=0,ESCENARIO[[#This Row],[05-feb]]+G5+G2))</f>
        <v>3333311584.3342462</v>
      </c>
      <c r="H7" s="13">
        <f>IF(H5&lt;0,ESCENARIO[[#This Row],[06-feb]]+H5,IF(H5=0,ESCENARIO[[#This Row],[06-feb]]+H5+H2))</f>
        <v>4149104610.8643332</v>
      </c>
      <c r="I7" s="13">
        <f>IF(I5&lt;0,ESCENARIO[[#This Row],[07-feb]]+I5,IF(I5=0,ESCENARIO[[#This Row],[07-feb]]+I5+I2))</f>
        <v>4149104610.8643332</v>
      </c>
      <c r="J7" s="13">
        <f>IF(J5&lt;0,ESCENARIO[[#This Row],[08-feb]]+J5,IF(J5=0,ESCENARIO[[#This Row],[08-feb]]+J5+J2))</f>
        <v>4149104610.8643332</v>
      </c>
      <c r="K7" s="13">
        <f>IF(K5&lt;0,ESCENARIO[[#This Row],[09-feb]]+K5,IF(K5=0,ESCENARIO[[#This Row],[09-feb]]+K5+K2))</f>
        <v>5572428990.6199179</v>
      </c>
      <c r="L7" s="13">
        <f>IF(L5&lt;0,ESCENARIO[[#This Row],[10-feb]]+L5,IF(L5=0,ESCENARIO[[#This Row],[10-feb]]+L5+L2))</f>
        <v>12812340228.208647</v>
      </c>
      <c r="M7" s="13">
        <f>IF(M5&lt;0,ESCENARIO[[#This Row],[11-feb]]+M5,IF(M5=0,ESCENARIO[[#This Row],[11-feb]]+M5+M2))</f>
        <v>14214624594.809395</v>
      </c>
      <c r="N7" s="13">
        <f>IF(N5&lt;0,ESCENARIO[[#This Row],[12-feb]]+N5,IF(N5=0,ESCENARIO[[#This Row],[12-feb]]+N5+N2))</f>
        <v>13863315282.440989</v>
      </c>
      <c r="O7" s="13">
        <f>IF(O5&lt;0,ESCENARIO[[#This Row],[13-feb]]+O5,IF(O5=0,ESCENARIO[[#This Row],[13-feb]]+O5+O2))</f>
        <v>16508794368.715275</v>
      </c>
      <c r="P7" s="13">
        <f>IF(P5&lt;0,ESCENARIO[[#This Row],[14-feb]]+P5,IF(P5=0,ESCENARIO[[#This Row],[14-feb]]+P5+P2))</f>
        <v>16273794368.715275</v>
      </c>
      <c r="Q7" s="13">
        <f>IF(Q5&lt;0,ESCENARIO[[#This Row],[15-feb]]+Q5,IF(Q5=0,ESCENARIO[[#This Row],[15-feb]]+Q5+Q2))</f>
        <v>16274021613.715275</v>
      </c>
      <c r="R7" s="13">
        <f>IF(R5&lt;0,ESCENARIO[[#This Row],[16-feb]]+R5,IF(R5=0,ESCENARIO[[#This Row],[16-feb]]+R5+R2))</f>
        <v>18692046948.211643</v>
      </c>
      <c r="S7" s="13">
        <f>IF(S5&lt;0,ESCENARIO[[#This Row],[17-feb]]+S5,IF(S5=0,ESCENARIO[[#This Row],[17-feb]]+S5+S2))</f>
        <v>19981146646.414894</v>
      </c>
      <c r="T7" s="13">
        <f>IF(T5&lt;0,ESCENARIO[[#This Row],[18-feb]]+T5,IF(T5=0,ESCENARIO[[#This Row],[18-feb]]+T5+T2))</f>
        <v>21569768069.186619</v>
      </c>
      <c r="U7" s="13">
        <f>IF(U5&lt;0,ESCENARIO[[#This Row],[19-feb]]+U5,IF(U5=0,ESCENARIO[[#This Row],[19-feb]]+U5+U2))</f>
        <v>24163675342.931</v>
      </c>
      <c r="V7" s="13">
        <f>IF(V5&lt;0,ESCENARIO[[#This Row],[20-feb]]+V5,IF(V5=0,ESCENARIO[[#This Row],[20-feb]]+V5+V2))</f>
        <v>26851487210.143135</v>
      </c>
      <c r="W7" s="13">
        <f>IF(W5&lt;0,ESCENARIO[[#This Row],[21-feb]]+W5,IF(W5=0,ESCENARIO[[#This Row],[21-feb]]+W5+W2))</f>
        <v>26851487210.143135</v>
      </c>
      <c r="X7" s="13">
        <f>IF(X5&lt;0,ESCENARIO[[#This Row],[22-feb]]+X5,IF(X5=0,ESCENARIO[[#This Row],[22-feb]]+X5+X2))</f>
        <v>26851487210.143135</v>
      </c>
      <c r="Y7" s="13">
        <f>IF(Y5&lt;0,ESCENARIO[[#This Row],[23-feb]]+Y5,IF(Y5=0,ESCENARIO[[#This Row],[23-feb]]+Y5+Y2))</f>
        <v>28364051476.198547</v>
      </c>
      <c r="Z7" s="13">
        <f>IF(Z5&lt;0,ESCENARIO[[#This Row],[24-feb]]+Z5,IF(Z5=0,ESCENARIO[[#This Row],[24-feb]]+Z5+Z2))</f>
        <v>24081416629.050087</v>
      </c>
      <c r="AA7" s="13">
        <f>IF(AA5&lt;0,ESCENARIO[[#This Row],[25-feb]]+AA5,IF(AA5=0,ESCENARIO[[#This Row],[25-feb]]+AA5+AA2))</f>
        <v>20817484487.141037</v>
      </c>
      <c r="AB7" s="13">
        <f>IF(AB5&lt;0,ESCENARIO[[#This Row],[26-feb]]+AB5,IF(AB5=0,ESCENARIO[[#This Row],[26-feb]]+AB5+AB2))</f>
        <v>3594921144.481842</v>
      </c>
      <c r="AC7" s="13">
        <v>1840000000</v>
      </c>
      <c r="AD7" s="13">
        <f>IF(AD5&lt;0,ESCENARIO[[#This Row],[28-feb]]+AD5,IF(AD5=0,ESCENARIO[[#This Row],[28-feb]]+AD5+AD2))</f>
        <v>2378000000</v>
      </c>
      <c r="AE7" s="13">
        <f>IF(AE5&lt;0,ESCENARIO[[#This Row],[01-mar]]+AE5,IF(AE5=0,ESCENARIO[[#This Row],[01-mar]]+AE5+AE2))</f>
        <v>2378000000</v>
      </c>
      <c r="AF7" s="13">
        <f>IF(AF5&lt;0,ESCENARIO[[#This Row],[02-mar]]+AF5,IF(AF5=0,ESCENARIO[[#This Row],[02-mar]]+AF5+AF2))</f>
        <v>1922932713.352504</v>
      </c>
      <c r="AG7" s="13">
        <f>IF(AG5&lt;0,ESCENARIO[[#This Row],[03-mar]]+AG5,IF(AG5=0,ESCENARIO[[#This Row],[03-mar]]+AG5+AG2))</f>
        <v>2812890483.1331778</v>
      </c>
      <c r="AH7" s="13">
        <f>IF(AH5&lt;0,ESCENARIO[[#This Row],[04-mar]]+AH5,IF(AH5=0,ESCENARIO[[#This Row],[04-mar]]+AH5+AH2))</f>
        <v>3319595231.4204736</v>
      </c>
      <c r="AI7" s="13">
        <f>IF(AI5&lt;0,ESCENARIO[[#This Row],[05-mar]]+AI5,IF(AI5=0,ESCENARIO[[#This Row],[05-mar]]+AI5+AI2))</f>
        <v>3959609031.2164416</v>
      </c>
      <c r="AJ7" s="13">
        <f>IF(AJ5&lt;0,ESCENARIO[[#This Row],[06-mar]]+AJ5,IF(AJ5=0,ESCENARIO[[#This Row],[06-mar]]+AJ5+AJ2))</f>
        <v>4790810946.3556175</v>
      </c>
      <c r="AK7" s="13">
        <f>IF(AK5&lt;0,ESCENARIO[[#This Row],[07-mar]]+AK5,IF(AK5=0,ESCENARIO[[#This Row],[07-mar]]+AK5+AK2))</f>
        <v>4790810946.3556175</v>
      </c>
      <c r="AL7" s="13">
        <f>IF(AL5&lt;0,ESCENARIO[[#This Row],[08-mar]]+AL5,IF(AL5=0,ESCENARIO[[#This Row],[08-mar]]+AL5+AL2))</f>
        <v>4790810946.3556175</v>
      </c>
      <c r="AM7" s="13">
        <f>IF(AM5&lt;0,ESCENARIO[[#This Row],[09-mar]]+AM5,IF(AM5=0,ESCENARIO[[#This Row],[09-mar]]+AM5+AM2))</f>
        <v>6241019408.3588028</v>
      </c>
      <c r="AN7" s="13">
        <f>IF(AN5&lt;0,ESCENARIO[[#This Row],[10-mar]]+AN5,IF(AN5=0,ESCENARIO[[#This Row],[10-mar]]+AN5+AN2))</f>
        <v>13617679774.919868</v>
      </c>
      <c r="AO7" s="13">
        <f>IF(AO5&lt;0,ESCENARIO[[#This Row],[11-mar]]+AO5,IF(AO5=0,ESCENARIO[[#This Row],[11-mar]]+AO5+AO2))</f>
        <v>15046450815.101444</v>
      </c>
      <c r="AP7" s="13">
        <f>IF(AP5&lt;0,ESCENARIO[[#This Row],[12-mar]]+AP5,IF(AP5=0,ESCENARIO[[#This Row],[12-mar]]+AP5+AP2))</f>
        <v>14804820090.18877</v>
      </c>
      <c r="AQ7" s="13">
        <f>IF(AQ5&lt;0,ESCENARIO[[#This Row],[13-mar]]+AQ5,IF(AQ5=0,ESCENARIO[[#This Row],[13-mar]]+AQ5+AQ2))</f>
        <v>17500155125.505093</v>
      </c>
      <c r="AR7" s="13">
        <f>IF(AR5&lt;0,ESCENARIO[[#This Row],[14-mar]]+AR5,IF(AR5=0,ESCENARIO[[#This Row],[14-mar]]+AR5+AR2))</f>
        <v>17250155125.505093</v>
      </c>
      <c r="AS7" s="13">
        <f>IF(AS5&lt;0,ESCENARIO[[#This Row],[15-mar]]+AS5,IF(AS5=0,ESCENARIO[[#This Row],[15-mar]]+AS5+AS2))</f>
        <v>17250396875.505093</v>
      </c>
      <c r="AT7" s="13">
        <f>IF(AT5&lt;0,ESCENARIO[[#This Row],[16-mar]]+AT5,IF(AT5=0,ESCENARIO[[#This Row],[16-mar]]+AT5+AT2))</f>
        <v>19714094435.457577</v>
      </c>
      <c r="AU7" s="13">
        <f>IF(AU5&lt;0,ESCENARIO[[#This Row],[17-mar]]+AU5,IF(AU5=0,ESCENARIO[[#This Row],[17-mar]]+AU5+AU2))</f>
        <v>21027542948.87455</v>
      </c>
      <c r="AV7" s="13">
        <f>IF(AV5&lt;0,ESCENARIO[[#This Row],[18-mar]]+AV5,IF(AV5=0,ESCENARIO[[#This Row],[18-mar]]+AV5+AV2))</f>
        <v>20646170622.925011</v>
      </c>
      <c r="AW7" s="13">
        <f>IF(AW5&lt;0,ESCENARIO[[#This Row],[19-mar]]+AW5,IF(AW5=0,ESCENARIO[[#This Row],[19-mar]]+AW5+AW2))</f>
        <v>23289441008.180122</v>
      </c>
      <c r="AX7" s="13">
        <f>IF(AX5&lt;0,ESCENARIO[[#This Row],[20-mar]]+AX5,IF(AX5=0,ESCENARIO[[#This Row],[20-mar]]+AX5+AX2))</f>
        <v>26028020891.687054</v>
      </c>
      <c r="AY7" s="13">
        <f>IF(AY5&lt;0,ESCENARIO[[#This Row],[21-mar]]+AY5,IF(AY5=0,ESCENARIO[[#This Row],[21-mar]]+AY5+AY2))</f>
        <v>27569154823.73835</v>
      </c>
      <c r="AZ7" s="13">
        <f>IF(AZ5&lt;0,ESCENARIO[[#This Row],[22-mar]]+AZ5,IF(AZ5=0,ESCENARIO[[#This Row],[22-mar]]+AZ5+AZ2))</f>
        <v>30496687539.341934</v>
      </c>
      <c r="BA7" s="13">
        <f>IF(BA5&lt;0,ESCENARIO[[#This Row],[23-mar]]+BA5,IF(BA5=0,ESCENARIO[[#This Row],[23-mar]]+BA5+BA2))</f>
        <v>22815442051.231934</v>
      </c>
      <c r="BB7" s="13">
        <f>IF(BB5&lt;0,ESCENARIO[[#This Row],[24-mar]]+BB5,IF(BB5=0,ESCENARIO[[#This Row],[24-mar]]+BB5+BB2))</f>
        <v>22822869815.618935</v>
      </c>
      <c r="BC7" s="13">
        <f>IF(BC5&lt;0,ESCENARIO[[#This Row],[25-mar]]+BC5,IF(BC5=0,ESCENARIO[[#This Row],[25-mar]]+BC5+BC2))</f>
        <v>24019274317.881889</v>
      </c>
      <c r="BD7" s="13">
        <f>IF(BD5&lt;0,ESCENARIO[[#This Row],[26-mar]]+BD5,IF(BD5=0,ESCENARIO[[#This Row],[26-mar]]+BD5+BD2))</f>
        <v>25671868494.228367</v>
      </c>
      <c r="BE7" s="13">
        <f>IF(BE5&lt;0,ESCENARIO[[#This Row],[27-mar]]+BE5,IF(BE5=0,ESCENARIO[[#This Row],[27-mar]]+BE5+BE2))</f>
        <v>26226500105.404121</v>
      </c>
      <c r="BF7" s="13">
        <f>IF(BF5&lt;0,ESCENARIO[[#This Row],[28-mar]]+BF5,IF(BF5=0,ESCENARIO[[#This Row],[28-mar]]+BF5+BF2))</f>
        <v>26226500105.404121</v>
      </c>
      <c r="BG7" s="13">
        <f>IF(BG5&lt;0,ESCENARIO[[#This Row],[29-mar]]+BG5,IF(BG5=0,ESCENARIO[[#This Row],[29-mar]]+BG5+BG2))</f>
        <v>19274581052.204121</v>
      </c>
      <c r="BH7" s="13">
        <f>IF(BH5&lt;0,ESCENARIO[[#This Row],[30-mar]]+BH5,IF(BH5=0,ESCENARIO[[#This Row],[30-mar]]+BH5+BH2))</f>
        <v>295525396.74781036</v>
      </c>
      <c r="BI7" s="13">
        <f>IF(BI5&lt;0,ESCENARIO[[#This Row],[31-mar]]+BI5,IF(BI5=0,ESCENARIO[[#This Row],[31-mar]]+BI5+BI2))</f>
        <v>313878143.56663662</v>
      </c>
      <c r="BJ7" s="13">
        <f>IF(BJ5&lt;0,ESCENARIO[[#This Row],[01-abr]]+BJ5,IF(BJ5=0,ESCENARIO[[#This Row],[01-abr]]+BJ5+BJ2))</f>
        <v>975835004.41996431</v>
      </c>
      <c r="BK7" s="13">
        <f>IF(BK5&lt;0,ESCENARIO[[#This Row],[02-abr]]+BK5,IF(BK5=0,ESCENARIO[[#This Row],[02-abr]]+BK5+BK2))</f>
        <v>975835004.41996431</v>
      </c>
      <c r="BL7" s="13">
        <f>IF(BL5&lt;0,ESCENARIO[[#This Row],[03-abr]]+BL5,IF(BL5=0,ESCENARIO[[#This Row],[03-abr]]+BL5+BL2))</f>
        <v>975835004.41996431</v>
      </c>
      <c r="BM7" s="13">
        <f>IF(BM5&lt;0,ESCENARIO[[#This Row],[04-abr]]+BM5,IF(BM5=0,ESCENARIO[[#This Row],[04-abr]]+BM5+BM2))</f>
        <v>975835004.41996431</v>
      </c>
      <c r="BN7" s="13">
        <f>IF(BN5&lt;0,ESCENARIO[[#This Row],[05-abr]]+BN5,IF(BN5=0,ESCENARIO[[#This Row],[05-abr]]+BN5+BN2))</f>
        <v>975835004.41996431</v>
      </c>
      <c r="BO7" s="13">
        <f>IF(BO5&lt;0,ESCENARIO[[#This Row],[06-abr]]+BO5,IF(BO5=0,ESCENARIO[[#This Row],[06-abr]]+BO5+BO2))</f>
        <v>771791469.77445674</v>
      </c>
      <c r="BP7" s="13">
        <f>IF(BP5&lt;0,ESCENARIO[[#This Row],[07-abr]]+BP5,IF(BP5=0,ESCENARIO[[#This Row],[07-abr]]+BP5+BP2))</f>
        <v>1286405737.3148992</v>
      </c>
      <c r="BQ7" s="13">
        <f>IF(BQ5&lt;0,ESCENARIO[[#This Row],[08-abr]]+BQ5,IF(BQ5=0,ESCENARIO[[#This Row],[08-abr]]+BQ5+BQ2))</f>
        <v>1936160752.883739</v>
      </c>
      <c r="BR7" s="13">
        <f>IF(BR5&lt;0,ESCENARIO[[#This Row],[09-abr]]+BR5,IF(BR5=0,ESCENARIO[[#This Row],[09-abr]]+BR5+BR2))</f>
        <v>2780013828.3709826</v>
      </c>
      <c r="BS7" s="13">
        <f>IF(BS5&lt;0,ESCENARIO[[#This Row],[10-abr]]+BS5,IF(BS5=0,ESCENARIO[[#This Row],[10-abr]]+BS5+BS2))</f>
        <v>4252294929.3524547</v>
      </c>
      <c r="BT7" s="13">
        <f>IF(BT5&lt;0,ESCENARIO[[#This Row],[11-abr]]+BT5,IF(BT5=0,ESCENARIO[[#This Row],[11-abr]]+BT5+BT2))</f>
        <v>4252294929.3524547</v>
      </c>
      <c r="BU7" s="13">
        <f>IF(BU5&lt;0,ESCENARIO[[#This Row],[12-abr]]+BU5,IF(BU5=0,ESCENARIO[[#This Row],[12-abr]]+BU5+BU2))</f>
        <v>4252294929.3524547</v>
      </c>
      <c r="BV7" s="13">
        <f>IF(BV5&lt;0,ESCENARIO[[#This Row],[13-abr]]+BV5,IF(BV5=0,ESCENARIO[[#This Row],[13-abr]]+BV5+BV2))</f>
        <v>11741230438.006973</v>
      </c>
      <c r="BW7" s="13">
        <f>IF(BW5&lt;0,ESCENARIO[[#This Row],[14-abr]]+BW5,IF(BW5=0,ESCENARIO[[#This Row],[14-abr]]+BW5+BW2))</f>
        <v>13191747832.715399</v>
      </c>
      <c r="BX7" s="13">
        <f>IF(BX5&lt;0,ESCENARIO[[#This Row],[15-abr]]+BX5,IF(BX5=0,ESCENARIO[[#This Row],[15-abr]]+BX5+BX2))</f>
        <v>14164703796.24865</v>
      </c>
      <c r="BY7" s="13">
        <f>IF(BY5&lt;0,ESCENARIO[[#This Row],[16-abr]]+BY5,IF(BY5=0,ESCENARIO[[#This Row],[16-abr]]+BY5+BY2))</f>
        <v>16900825484.005405</v>
      </c>
      <c r="BZ7" s="13">
        <f>IF(BZ5&lt;0,ESCENARIO[[#This Row],[17-abr]]+BZ5,IF(BZ5=0,ESCENARIO[[#This Row],[17-abr]]+BZ5+BZ2))</f>
        <v>19402021312.804977</v>
      </c>
      <c r="CA7" s="13">
        <f>IF(CA5&lt;0,ESCENARIO[[#This Row],[18-abr]]+CA5,IF(CA5=0,ESCENARIO[[#This Row],[18-abr]]+CA5+CA2))</f>
        <v>19402021312.804977</v>
      </c>
      <c r="CB7" s="13">
        <f>IF(CB5&lt;0,ESCENARIO[[#This Row],[19-abr]]+CB5,IF(CB5=0,ESCENARIO[[#This Row],[19-abr]]+CB5+CB2))</f>
        <v>17402021312.804977</v>
      </c>
      <c r="CC7" s="13">
        <f>IF(CC5&lt;0,ESCENARIO[[#This Row],[20-abr]]+CC5,IF(CC5=0,ESCENARIO[[#This Row],[20-abr]]+CC5+CC2))</f>
        <v>18737394934.81966</v>
      </c>
      <c r="CD7" s="13">
        <f>IF(CD5&lt;0,ESCENARIO[[#This Row],[21-abr]]+CD5,IF(CD5=0,ESCENARIO[[#This Row],[21-abr]]+CD5+CD2))</f>
        <v>20380658642.396107</v>
      </c>
      <c r="CE7" s="13">
        <f>IF(CE5&lt;0,ESCENARIO[[#This Row],[22-abr]]+CE5,IF(CE5=0,ESCENARIO[[#This Row],[22-abr]]+CE5+CE2))</f>
        <v>23063786052.528728</v>
      </c>
      <c r="CF7" s="13">
        <f>IF(CF5&lt;0,ESCENARIO[[#This Row],[23-abr]]+CF5,IF(CF5=0,ESCENARIO[[#This Row],[23-abr]]+CF5+CF2))</f>
        <v>25844048002.211407</v>
      </c>
      <c r="CG7" s="13">
        <f>IF(CG5&lt;0,ESCENARIO[[#This Row],[24-abr]]+CG5,IF(CG5=0,ESCENARIO[[#This Row],[24-abr]]+CG5+CG2))</f>
        <v>27408638488.124184</v>
      </c>
      <c r="CH7" s="13">
        <f>IF(CH5&lt;0,ESCENARIO[[#This Row],[25-abr]]+CH5,IF(CH5=0,ESCENARIO[[#This Row],[25-abr]]+CH5+CH2))</f>
        <v>27408638488.124184</v>
      </c>
      <c r="CI7" s="13">
        <f>IF(CI5&lt;0,ESCENARIO[[#This Row],[26-abr]]+CI5,IF(CI5=0,ESCENARIO[[#This Row],[26-abr]]+CI5+CI2))</f>
        <v>27408638488.124184</v>
      </c>
      <c r="CJ7" s="13">
        <f>IF(CJ5&lt;0,ESCENARIO[[#This Row],[27-abr]]+CJ5,IF(CJ5=0,ESCENARIO[[#This Row],[27-abr]]+CJ5+CJ2))</f>
        <v>23856474196.679142</v>
      </c>
      <c r="CK7" s="13">
        <f>IF(CK5&lt;0,ESCENARIO[[#This Row],[28-abr]]+CK5,IF(CK5=0,ESCENARIO[[#This Row],[28-abr]]+CK5+CK2))</f>
        <v>25074523302.934689</v>
      </c>
      <c r="CL7" s="13">
        <f>IF(CL5&lt;0,ESCENARIO[[#This Row],[29-abr]]+CL5,IF(CL5=0,ESCENARIO[[#This Row],[29-abr]]+CL5+CL2))</f>
        <v>2741533613.00103</v>
      </c>
      <c r="CM7" s="13">
        <f>IF(CM5&lt;0,ESCENARIO[[#This Row],[30-abr]]+CM5,IF(CM5=0,ESCENARIO[[#This Row],[30-abr]]+CM5+CM2))</f>
        <v>4456803369.6446295</v>
      </c>
      <c r="CN7" s="13">
        <f>IF(CN5&lt;0,ESCENARIO[[#This Row],[01-may]]+CN5,IF(CN5=0,ESCENARIO[[#This Row],[01-may]]+CN5+CN2))</f>
        <v>4456803369.6446295</v>
      </c>
      <c r="CO7" s="13">
        <f>IF(CO5&lt;0,ESCENARIO[[#This Row],[02-may]]+CO5,IF(CO5=0,ESCENARIO[[#This Row],[02-may]]+CO5+CO2))</f>
        <v>4456803369.6446295</v>
      </c>
      <c r="CP7" s="13">
        <f>IF(CP5&lt;0,ESCENARIO[[#This Row],[03-may]]+CP5,IF(CP5=0,ESCENARIO[[#This Row],[03-may]]+CP5+CP2))</f>
        <v>4456803369.6446295</v>
      </c>
      <c r="CQ7" s="13">
        <f>IF(CQ5&lt;0,ESCENARIO[[#This Row],[04-may]]+CQ5,IF(CQ5=0,ESCENARIO[[#This Row],[04-may]]+CQ5+CQ2))</f>
        <v>4050792941.5781803</v>
      </c>
      <c r="CR7" s="13">
        <f>IF(CR5&lt;0,ESCENARIO[[#This Row],[05-may]]+CR5,IF(CR5=0,ESCENARIO[[#This Row],[05-may]]+CR5+CR2))</f>
        <v>5007627745.2439823</v>
      </c>
      <c r="CS7" s="13">
        <f>IF(CS5&lt;0,ESCENARIO[[#This Row],[06-may]]+CS5,IF(CS5=0,ESCENARIO[[#This Row],[06-may]]+CS5+CS2))</f>
        <v>5552455340.2382593</v>
      </c>
      <c r="CT7" s="13">
        <f>IF(CT5&lt;0,ESCENARIO[[#This Row],[07-may]]+CT5,IF(CT5=0,ESCENARIO[[#This Row],[07-may]]+CT5+CT2))</f>
        <v>6240621733.9509916</v>
      </c>
      <c r="CU7" s="13">
        <f>IF(CU5&lt;0,ESCENARIO[[#This Row],[08-may]]+CU5,IF(CU5=0,ESCENARIO[[#This Row],[08-may]]+CU5+CU2))</f>
        <v>7134360626.0979958</v>
      </c>
      <c r="CV7" s="13">
        <f>IF(CV5&lt;0,ESCENARIO[[#This Row],[09-may]]+CV5,IF(CV5=0,ESCENARIO[[#This Row],[09-may]]+CV5+CV2))</f>
        <v>7134360626.0979958</v>
      </c>
      <c r="CW7" s="13">
        <f>IF(CW5&lt;0,ESCENARIO[[#This Row],[10-may]]+CW5,IF(CW5=0,ESCENARIO[[#This Row],[10-may]]+CW5+CW2))</f>
        <v>7134360626.0979958</v>
      </c>
      <c r="CX7" s="13">
        <f>IF(CX5&lt;0,ESCENARIO[[#This Row],[11-may]]+CX5,IF(CX5=0,ESCENARIO[[#This Row],[11-may]]+CX5+CX2))</f>
        <v>8693678140.4181099</v>
      </c>
      <c r="CY7" s="13">
        <f>IF(CY5&lt;0,ESCENARIO[[#This Row],[12-may]]+CY5,IF(CY5=0,ESCENARIO[[#This Row],[12-may]]+CY5+CY2))</f>
        <v>16625334869.879698</v>
      </c>
      <c r="CZ7" s="13">
        <f>IF(CZ5&lt;0,ESCENARIO[[#This Row],[13-may]]+CZ5,IF(CZ5=0,ESCENARIO[[#This Row],[13-may]]+CZ5+CZ2))</f>
        <v>18161602079.237358</v>
      </c>
      <c r="DA7" s="13">
        <f>IF(DA5&lt;0,ESCENARIO[[#This Row],[14-may]]+DA5,IF(DA5=0,ESCENARIO[[#This Row],[14-may]]+DA5+DA2))</f>
        <v>17742075997.287533</v>
      </c>
      <c r="DB7" s="13">
        <f>IF(DB5&lt;0,ESCENARIO[[#This Row],[15-may]]+DB5,IF(DB5=0,ESCENARIO[[#This Row],[15-may]]+DB5+DB2))</f>
        <v>20640353876.231197</v>
      </c>
      <c r="DC7" s="13">
        <f>IF(DC5&lt;0,ESCENARIO[[#This Row],[16-may]]+DC5,IF(DC5=0,ESCENARIO[[#This Row],[16-may]]+DC5+DC2))</f>
        <v>20640353876.231197</v>
      </c>
      <c r="DD7" s="13">
        <f>IF(DD5&lt;0,ESCENARIO[[#This Row],[17-may]]+DD5,IF(DD5=0,ESCENARIO[[#This Row],[17-may]]+DD5+DD2))</f>
        <v>20640353876.231197</v>
      </c>
      <c r="DE7" s="13">
        <f>IF(DE5&lt;0,ESCENARIO[[#This Row],[18-may]]+DE5,IF(DE5=0,ESCENARIO[[#This Row],[18-may]]+DE5+DE2))</f>
        <v>23289412170.867737</v>
      </c>
      <c r="DF7" s="13">
        <f>IF(DF5&lt;0,ESCENARIO[[#This Row],[19-may]]+DF5,IF(DF5=0,ESCENARIO[[#This Row],[19-may]]+DF5+DF2))</f>
        <v>24701680354.918858</v>
      </c>
      <c r="DG7" s="13">
        <f>IF(DG5&lt;0,ESCENARIO[[#This Row],[20-may]]+DG5,IF(DG5=0,ESCENARIO[[#This Row],[20-may]]+DG5+DG2))</f>
        <v>26442088404.823456</v>
      </c>
      <c r="DH7" s="13">
        <f>IF(DH5&lt;0,ESCENARIO[[#This Row],[21-may]]+DH5,IF(DH5=0,ESCENARIO[[#This Row],[21-may]]+DH5+DH2))</f>
        <v>29283833477.135445</v>
      </c>
      <c r="DI7" s="13">
        <f>IF(DI5&lt;0,ESCENARIO[[#This Row],[22-may]]+DI5,IF(DI5=0,ESCENARIO[[#This Row],[22-may]]+DI5+DI2))</f>
        <v>32228455363.301018</v>
      </c>
      <c r="DJ7" s="13">
        <f>IF(DJ5&lt;0,ESCENARIO[[#This Row],[23-may]]+DJ5,IF(DJ5=0,ESCENARIO[[#This Row],[23-may]]+DJ5+DJ2))</f>
        <v>32228455363.301018</v>
      </c>
      <c r="DK7" s="13">
        <f>IF(DK5&lt;0,ESCENARIO[[#This Row],[24-may]]+DK5,IF(DK5=0,ESCENARIO[[#This Row],[24-may]]+DK5+DK2))</f>
        <v>32228455363.301018</v>
      </c>
      <c r="DL7" s="13">
        <f>IF(DL5&lt;0,ESCENARIO[[#This Row],[25-may]]+DL5,IF(DL5=0,ESCENARIO[[#This Row],[25-may]]+DL5+DL2))</f>
        <v>25442090367.231018</v>
      </c>
      <c r="DM7" s="13">
        <f>IF(DM5&lt;0,ESCENARIO[[#This Row],[26-may]]+DM5,IF(DM5=0,ESCENARIO[[#This Row],[26-may]]+DM5+DM2))</f>
        <v>27105736708.475933</v>
      </c>
      <c r="DN7" s="13">
        <f>IF(DN5&lt;0,ESCENARIO[[#This Row],[27-may]]+DN5,IF(DN5=0,ESCENARIO[[#This Row],[27-may]]+DN5+DN2))</f>
        <v>30253527634.257866</v>
      </c>
      <c r="DO7" s="13">
        <f>IF(DO5&lt;0,ESCENARIO[[#This Row],[28-may]]+DO5,IF(DO5=0,ESCENARIO[[#This Row],[28-may]]+DO5+DO2))</f>
        <v>6324512427.24646</v>
      </c>
      <c r="DP7" s="13">
        <f>IF(DP5&lt;0,ESCENARIO[[#This Row],[29-may]]+DP5,IF(DP5=0,ESCENARIO[[#This Row],[29-may]]+DP5+DP2))</f>
        <v>8124581868.2866678</v>
      </c>
      <c r="DQ7" s="13">
        <f>IF(DQ5&lt;0,ESCENARIO[[#This Row],[30-may]]+DQ5,IF(DQ5=0,ESCENARIO[[#This Row],[30-may]]+DQ5+DQ2))</f>
        <v>8720942190.2415657</v>
      </c>
      <c r="DR7" s="13">
        <f>IF(DR5&lt;0,ESCENARIO[[#This Row],[31-may]]+DR5,IF(DR5=0,ESCENARIO[[#This Row],[31-may]]+DR5+DR2))</f>
        <v>9918380042.366188</v>
      </c>
      <c r="DS7" s="13">
        <f>IF(DS5&lt;0,ESCENARIO[[#This Row],[01-jun]]+DS5,IF(DS5=0,ESCENARIO[[#This Row],[01-jun]]+DS5+DS2))</f>
        <v>8811280042.366188</v>
      </c>
      <c r="DT7" s="13">
        <f>IF(DT5&lt;0,ESCENARIO[[#This Row],[02-jun]]+DT5,IF(DT5=0,ESCENARIO[[#This Row],[02-jun]]+DT5+DT2))</f>
        <v>9494229123.6085682</v>
      </c>
      <c r="DU7" s="13">
        <f>IF(DU5&lt;0,ESCENARIO[[#This Row],[03-jun]]+DU5,IF(DU5=0,ESCENARIO[[#This Row],[03-jun]]+DU5+DU2))</f>
        <v>10424463159.181637</v>
      </c>
      <c r="DV7" s="13">
        <f>IF(DV5&lt;0,ESCENARIO[[#This Row],[04-jun]]+DV5,IF(DV5=0,ESCENARIO[[#This Row],[04-jun]]+DV5+DV2))</f>
        <v>10954361543.886801</v>
      </c>
      <c r="DW7" s="13">
        <f>IF(DW5&lt;0,ESCENARIO[[#This Row],[05-jun]]+DW5,IF(DW5=0,ESCENARIO[[#This Row],[05-jun]]+DW5+DW2))</f>
        <v>11623670998.450285</v>
      </c>
      <c r="DX7" s="13">
        <f>IF(DX5&lt;0,ESCENARIO[[#This Row],[06-jun]]+DX5,IF(DX5=0,ESCENARIO[[#This Row],[06-jun]]+DX5+DX2))</f>
        <v>11623670998.450285</v>
      </c>
      <c r="DY7" s="13">
        <f>IF(DY5&lt;0,ESCENARIO[[#This Row],[07-jun]]+DY5,IF(DY5=0,ESCENARIO[[#This Row],[07-jun]]+DY5+DY2))</f>
        <v>11623670998.450285</v>
      </c>
      <c r="DZ7" s="13">
        <f>IF(DZ5&lt;0,ESCENARIO[[#This Row],[08-jun]]+DZ5,IF(DZ5=0,ESCENARIO[[#This Row],[08-jun]]+DZ5+DZ2))</f>
        <v>11390919912.50695</v>
      </c>
      <c r="EA7" s="13">
        <f>IF(EA5&lt;0,ESCENARIO[[#This Row],[09-jun]]+EA5,IF(EA5=0,ESCENARIO[[#This Row],[09-jun]]+EA5+EA2))</f>
        <v>12907734523.557795</v>
      </c>
      <c r="EB7" s="13">
        <f>IF(EB5&lt;0,ESCENARIO[[#This Row],[10-jun]]+EB5,IF(EB5=0,ESCENARIO[[#This Row],[10-jun]]+EB5+EB2))</f>
        <v>20622050258.65136</v>
      </c>
      <c r="EC7" s="13">
        <f>IF(EC5&lt;0,ESCENARIO[[#This Row],[11-jun]]+EC5,IF(EC5=0,ESCENARIO[[#This Row],[11-jun]]+EC5+EC2))</f>
        <v>22116221112.318722</v>
      </c>
      <c r="ED7" s="13">
        <f>IF(ED5&lt;0,ESCENARIO[[#This Row],[12-jun]]+ED5,IF(ED5=0,ESCENARIO[[#This Row],[12-jun]]+ED5+ED2))</f>
        <v>23118458278.116692</v>
      </c>
      <c r="EE7" s="13">
        <f>IF(EE5&lt;0,ESCENARIO[[#This Row],[13-jun]]+EE5,IF(EE5=0,ESCENARIO[[#This Row],[13-jun]]+EE5+EE2))</f>
        <v>23118458278.116692</v>
      </c>
      <c r="EF7" s="13">
        <f>IF(EF5&lt;0,ESCENARIO[[#This Row],[14-jun]]+EF5,IF(EF5=0,ESCENARIO[[#This Row],[14-jun]]+EF5+EF2))</f>
        <v>22868458278.116692</v>
      </c>
      <c r="EG7" s="13">
        <f>IF(EG5&lt;0,ESCENARIO[[#This Row],[15-jun]]+EG5,IF(EG5=0,ESCENARIO[[#This Row],[15-jun]]+EG5+EG2))</f>
        <v>22868700028.116692</v>
      </c>
      <c r="EH7" s="13">
        <f>IF(EH5&lt;0,ESCENARIO[[#This Row],[16-jun]]+EH5,IF(EH5=0,ESCENARIO[[#This Row],[16-jun]]+EH5+EH2))</f>
        <v>25687165558.311234</v>
      </c>
      <c r="EI7" s="13">
        <f>IF(EI5&lt;0,ESCENARIO[[#This Row],[17-jun]]+EI5,IF(EI5=0,ESCENARIO[[#This Row],[17-jun]]+EI5+EI2))</f>
        <v>28263635113.478428</v>
      </c>
      <c r="EJ7" s="13">
        <f>IF(EJ5&lt;0,ESCENARIO[[#This Row],[18-jun]]+EJ5,IF(EJ5=0,ESCENARIO[[#This Row],[18-jun]]+EJ5+EJ2))</f>
        <v>29637204727.747036</v>
      </c>
      <c r="EK7" s="13">
        <f>IF(EK5&lt;0,ESCENARIO[[#This Row],[19-jun]]+EK5,IF(EK5=0,ESCENARIO[[#This Row],[19-jun]]+EK5+EK2))</f>
        <v>31329922612.901142</v>
      </c>
      <c r="EL7" s="13">
        <f>IF(EL5&lt;0,ESCENARIO[[#This Row],[20-jun]]+EL5,IF(EL5=0,ESCENARIO[[#This Row],[20-jun]]+EL5+EL2))</f>
        <v>31329922612.901142</v>
      </c>
      <c r="EM7" s="13">
        <f>IF(EM5&lt;0,ESCENARIO[[#This Row],[21-jun]]+EM5,IF(EM5=0,ESCENARIO[[#This Row],[21-jun]]+EM5+EM2))</f>
        <v>31329922612.901142</v>
      </c>
      <c r="EN7" s="13">
        <f>IF(EN5&lt;0,ESCENARIO[[#This Row],[22-jun]]+EN5,IF(EN5=0,ESCENARIO[[#This Row],[22-jun]]+EN5+EN2))</f>
        <v>27725544001.575932</v>
      </c>
      <c r="EO7" s="13">
        <f>IF(EO5&lt;0,ESCENARIO[[#This Row],[23-jun]]+EO5,IF(EO5=0,ESCENARIO[[#This Row],[23-jun]]+EO5+EO2))</f>
        <v>30592963633.194588</v>
      </c>
      <c r="EP7" s="13">
        <f>IF(EP5&lt;0,ESCENARIO[[#This Row],[24-jun]]+EP5,IF(EP5=0,ESCENARIO[[#This Row],[24-jun]]+EP5+EP2))</f>
        <v>32204640618.596096</v>
      </c>
      <c r="EQ7" s="13">
        <f>IF(EQ5&lt;0,ESCENARIO[[#This Row],[25-jun]]+EQ5,IF(EQ5=0,ESCENARIO[[#This Row],[25-jun]]+EQ5+EQ2))</f>
        <v>35266176675.665558</v>
      </c>
      <c r="ER7" s="13">
        <f>IF(ER5&lt;0,ESCENARIO[[#This Row],[26-jun]]+ER5,IF(ER5=0,ESCENARIO[[#This Row],[26-jun]]+ER5+ER2))</f>
        <v>36517344767.825745</v>
      </c>
      <c r="ES7" s="13">
        <f>IF(ES5&lt;0,ESCENARIO[[#This Row],[27-jun]]+ES5,IF(ES5=0,ESCENARIO[[#This Row],[27-jun]]+ES5+ES2))</f>
        <v>36517344767.825745</v>
      </c>
      <c r="ET7" s="13">
        <f>IF(ET5&lt;0,ESCENARIO[[#This Row],[28-jun]]+ET5,IF(ET5=0,ESCENARIO[[#This Row],[28-jun]]+ET5+ET2))</f>
        <v>36517344767.825745</v>
      </c>
      <c r="EU7" s="13">
        <f>IF(EU5&lt;0,ESCENARIO[[#This Row],[29-jun]]+EU5,IF(EU5=0,ESCENARIO[[#This Row],[29-jun]]+EU5+EU2))</f>
        <v>10080987116.831944</v>
      </c>
      <c r="EV7" s="13">
        <f>IF(EV5&lt;0,ESCENARIO[[#This Row],[30-jun]]+EV5,IF(EV5=0,ESCENARIO[[#This Row],[30-jun]]+EV5+EV2))</f>
        <v>11851196103.061947</v>
      </c>
      <c r="EW7" s="13">
        <f>IF(EW5&lt;0,ESCENARIO[[#This Row],[01-jul]]+EW5,IF(EW5=0,ESCENARIO[[#This Row],[01-jul]]+EW5+EW2))</f>
        <v>12535347461.249203</v>
      </c>
      <c r="EX7" s="13">
        <f>IF(EX5&lt;0,ESCENARIO[[#This Row],[02-jul]]+EX5,IF(EX5=0,ESCENARIO[[#This Row],[02-jul]]+EX5+EX2))</f>
        <v>13468682159.972044</v>
      </c>
      <c r="EY7" s="13">
        <f>IF(EY5&lt;0,ESCENARIO[[#This Row],[03-jul]]+EY5,IF(EY5=0,ESCENARIO[[#This Row],[03-jul]]+EY5+EY2))</f>
        <v>14000346805.996132</v>
      </c>
      <c r="EZ7" s="13">
        <f>IF(EZ5&lt;0,ESCENARIO[[#This Row],[04-jul]]+EZ5,IF(EZ5=0,ESCENARIO[[#This Row],[04-jul]]+EZ5+EZ2))</f>
        <v>14000346805.996132</v>
      </c>
      <c r="FA7" s="13">
        <f>IF(FA5&lt;0,ESCENARIO[[#This Row],[05-jul]]+FA5,IF(FA5=0,ESCENARIO[[#This Row],[05-jul]]+FA5+FA2))</f>
        <v>14000346805.996132</v>
      </c>
      <c r="FB7" s="13">
        <f>IF(FB5&lt;0,ESCENARIO[[#This Row],[06-jul]]+FB5,IF(FB5=0,ESCENARIO[[#This Row],[06-jul]]+FB5+FB2))</f>
        <v>13564787207.915012</v>
      </c>
      <c r="FC7" s="13">
        <f>IF(FC5&lt;0,ESCENARIO[[#This Row],[07-jul]]+FC5,IF(FC5=0,ESCENARIO[[#This Row],[07-jul]]+FC5+FC2))</f>
        <v>14437354695.182755</v>
      </c>
      <c r="FD7" s="13">
        <f>IF(FD5&lt;0,ESCENARIO[[#This Row],[08-jul]]+FD5,IF(FD5=0,ESCENARIO[[#This Row],[08-jul]]+FD5+FD2))</f>
        <v>15958999343.704777</v>
      </c>
      <c r="FE7" s="13">
        <f>IF(FE5&lt;0,ESCENARIO[[#This Row],[09-jul]]+FE5,IF(FE5=0,ESCENARIO[[#This Row],[09-jul]]+FE5+FE2))</f>
        <v>15958999343.704777</v>
      </c>
      <c r="FF7" s="13">
        <f>IF(FF5&lt;0,ESCENARIO[[#This Row],[10-jul]]+FF5,IF(FF5=0,ESCENARIO[[#This Row],[10-jul]]+FF5+FF2))</f>
        <v>15958999343.704777</v>
      </c>
      <c r="FG7" s="13">
        <f>IF(FG5&lt;0,ESCENARIO[[#This Row],[11-jul]]+FG5,IF(FG5=0,ESCENARIO[[#This Row],[11-jul]]+FG5+FG2))</f>
        <v>15958999343.704777</v>
      </c>
      <c r="FH7" s="13">
        <f>IF(FH5&lt;0,ESCENARIO[[#This Row],[12-jul]]+FH5,IF(FH5=0,ESCENARIO[[#This Row],[12-jul]]+FH5+FH2))</f>
        <v>15958999343.704777</v>
      </c>
      <c r="FI7" s="13">
        <f>IF(FI5&lt;0,ESCENARIO[[#This Row],[13-jul]]+FI5,IF(FI5=0,ESCENARIO[[#This Row],[13-jul]]+FI5+FI2))</f>
        <v>23699028494.574181</v>
      </c>
      <c r="FJ7" s="13">
        <f>IF(FJ5&lt;0,ESCENARIO[[#This Row],[14-jul]]+FJ5,IF(FJ5=0,ESCENARIO[[#This Row],[14-jul]]+FJ5+FJ2))</f>
        <v>25198179729.874836</v>
      </c>
      <c r="FK7" s="13">
        <f>IF(FK5&lt;0,ESCENARIO[[#This Row],[15-jul]]+FK5,IF(FK5=0,ESCENARIO[[#This Row],[15-jul]]+FK5+FK2))</f>
        <v>26203757560.202896</v>
      </c>
      <c r="FL7" s="13">
        <f>IF(FL5&lt;0,ESCENARIO[[#This Row],[16-jul]]+FL5,IF(FL5=0,ESCENARIO[[#This Row],[16-jul]]+FL5+FL2))</f>
        <v>29031617621.10067</v>
      </c>
      <c r="FM7" s="13">
        <f>IF(FM5&lt;0,ESCENARIO[[#This Row],[17-jul]]+FM5,IF(FM5=0,ESCENARIO[[#This Row],[17-jul]]+FM5+FM2))</f>
        <v>31616675084.149887</v>
      </c>
      <c r="FN7" s="13">
        <f>IF(FN5&lt;0,ESCENARIO[[#This Row],[18-jul]]+FN5,IF(FN5=0,ESCENARIO[[#This Row],[18-jul]]+FN5+FN2))</f>
        <v>31616675084.149887</v>
      </c>
      <c r="FO7" s="13">
        <f>IF(FO5&lt;0,ESCENARIO[[#This Row],[19-jul]]+FO5,IF(FO5=0,ESCENARIO[[#This Row],[19-jul]]+FO5+FO2))</f>
        <v>31616675084.149887</v>
      </c>
      <c r="FP7" s="13">
        <f>IF(FP5&lt;0,ESCENARIO[[#This Row],[20-jul]]+FP5,IF(FP5=0,ESCENARIO[[#This Row],[20-jul]]+FP5+FP2))</f>
        <v>32994823091.085014</v>
      </c>
      <c r="FQ7" s="13">
        <f>IF(FQ5&lt;0,ESCENARIO[[#This Row],[21-jul]]+FQ5,IF(FQ5=0,ESCENARIO[[#This Row],[21-jul]]+FQ5+FQ2))</f>
        <v>34693183156.345146</v>
      </c>
      <c r="FR7" s="13">
        <f>IF(FR5&lt;0,ESCENARIO[[#This Row],[22-jul]]+FR5,IF(FR5=0,ESCENARIO[[#This Row],[22-jul]]+FR5+FR2))</f>
        <v>37466272114.839111</v>
      </c>
      <c r="FS7" s="13">
        <f>IF(FS5&lt;0,ESCENARIO[[#This Row],[23-jul]]+FS5,IF(FS5=0,ESCENARIO[[#This Row],[23-jul]]+FS5+FS2))</f>
        <v>40339752399.550919</v>
      </c>
      <c r="FT7" s="13">
        <f>IF(FT5&lt;0,ESCENARIO[[#This Row],[24-jul]]+FT5,IF(FT5=0,ESCENARIO[[#This Row],[24-jul]]+FT5+FT2))</f>
        <v>41956801438.91613</v>
      </c>
      <c r="FU7" s="13">
        <f>IF(FU5&lt;0,ESCENARIO[[#This Row],[25-jul]]+FU5,IF(FU5=0,ESCENARIO[[#This Row],[25-jul]]+FU5+FU2))</f>
        <v>41956801438.91613</v>
      </c>
      <c r="FV7" s="13">
        <f>IF(FV5&lt;0,ESCENARIO[[#This Row],[26-jul]]+FV5,IF(FV5=0,ESCENARIO[[#This Row],[26-jul]]+FV5+FV2))</f>
        <v>41956801438.91613</v>
      </c>
      <c r="FW7" s="13">
        <f>IF(FW5&lt;0,ESCENARIO[[#This Row],[27-jul]]+FW5,IF(FW5=0,ESCENARIO[[#This Row],[27-jul]]+FW5+FW2))</f>
        <v>38625287235.144409</v>
      </c>
      <c r="FX7" s="13">
        <f>IF(FX5&lt;0,ESCENARIO[[#This Row],[28-jul]]+FX5,IF(FX5=0,ESCENARIO[[#This Row],[28-jul]]+FX5+FX2))</f>
        <v>39883847304.523392</v>
      </c>
      <c r="FY7" s="13">
        <f>IF(FY5&lt;0,ESCENARIO[[#This Row],[29-jul]]+FY5,IF(FY5=0,ESCENARIO[[#This Row],[29-jul]]+FY5+FY2))</f>
        <v>41617847036.632767</v>
      </c>
      <c r="FZ7" s="13">
        <f>IF(FZ5&lt;0,ESCENARIO[[#This Row],[30-jul]]+FZ5,IF(FZ5=0,ESCENARIO[[#This Row],[30-jul]]+FZ5+FZ2))</f>
        <v>17514150244.232426</v>
      </c>
      <c r="GA7" s="13">
        <f>IF(GA5&lt;0,ESCENARIO[[#This Row],[31-jul]]+GA5,IF(GA5=0,ESCENARIO[[#This Row],[31-jul]]+GA5+GA2))</f>
        <v>18705966461.056576</v>
      </c>
      <c r="GB7" s="13">
        <f>IF(GB5&lt;0,ESCENARIO[[#This Row],[01-ago]]+GB5,IF(GB5=0,ESCENARIO[[#This Row],[01-ago]]+GB5+GB2))</f>
        <v>18705966461.056576</v>
      </c>
      <c r="GC7" s="13">
        <f>IF(GC5&lt;0,ESCENARIO[[#This Row],[02-ago]]+GC5,IF(GC5=0,ESCENARIO[[#This Row],[02-ago]]+GC5+GC2))</f>
        <v>18705966461.056576</v>
      </c>
      <c r="GD7" s="13">
        <f>IF(GD5&lt;0,ESCENARIO[[#This Row],[03-ago]]+GD5,IF(GD5=0,ESCENARIO[[#This Row],[03-ago]]+GD5+GD2))</f>
        <v>18291175143.093716</v>
      </c>
      <c r="GE7" s="13">
        <f>IF(GE5&lt;0,ESCENARIO[[#This Row],[04-ago]]+GE5,IF(GE5=0,ESCENARIO[[#This Row],[04-ago]]+GE5+GE2))</f>
        <v>19236039350.024837</v>
      </c>
      <c r="GF7" s="13">
        <f>IF(GF5&lt;0,ESCENARIO[[#This Row],[05-ago]]+GF5,IF(GF5=0,ESCENARIO[[#This Row],[05-ago]]+GF5+GF2))</f>
        <v>19774043179.104328</v>
      </c>
      <c r="GG7" s="13">
        <f>IF(GG5&lt;0,ESCENARIO[[#This Row],[06-ago]]+GG5,IF(GG5=0,ESCENARIO[[#This Row],[06-ago]]+GG5+GG2))</f>
        <v>20453590540.99073</v>
      </c>
      <c r="GH7" s="13">
        <f>IF(GH5&lt;0,ESCENARIO[[#This Row],[07-ago]]+GH5,IF(GH5=0,ESCENARIO[[#This Row],[07-ago]]+GH5+GH2))</f>
        <v>21336135681.123367</v>
      </c>
      <c r="GI7" s="13">
        <f>IF(GI5&lt;0,ESCENARIO[[#This Row],[08-ago]]+GI5,IF(GI5=0,ESCENARIO[[#This Row],[08-ago]]+GI5+GI2))</f>
        <v>21336135681.123367</v>
      </c>
      <c r="GJ7" s="13">
        <f>IF(GJ5&lt;0,ESCENARIO[[#This Row],[09-ago]]+GJ5,IF(GJ5=0,ESCENARIO[[#This Row],[09-ago]]+GJ5+GJ2))</f>
        <v>21336135681.123367</v>
      </c>
      <c r="GK7" s="13">
        <f>IF(GK5&lt;0,ESCENARIO[[#This Row],[10-ago]]+GK5,IF(GK5=0,ESCENARIO[[#This Row],[10-ago]]+GK5+GK2))</f>
        <v>22875923315.161522</v>
      </c>
      <c r="GL7" s="13">
        <f>IF(GL5&lt;0,ESCENARIO[[#This Row],[11-ago]]+GL5,IF(GL5=0,ESCENARIO[[#This Row],[11-ago]]+GL5+GL2))</f>
        <v>30708238951.522186</v>
      </c>
      <c r="GM7" s="13">
        <f>IF(GM5&lt;0,ESCENARIO[[#This Row],[12-ago]]+GM5,IF(GM5=0,ESCENARIO[[#This Row],[12-ago]]+GM5+GM2))</f>
        <v>32225264977.218201</v>
      </c>
      <c r="GN7" s="13">
        <f>IF(GN5&lt;0,ESCENARIO[[#This Row],[13-ago]]+GN5,IF(GN5=0,ESCENARIO[[#This Row],[13-ago]]+GN5+GN2))</f>
        <v>32042832587.176289</v>
      </c>
      <c r="GO7" s="13">
        <f>IF(GO5&lt;0,ESCENARIO[[#This Row],[14-ago]]+GO5,IF(GO5=0,ESCENARIO[[#This Row],[14-ago]]+GO5+GO2))</f>
        <v>34904586409.496437</v>
      </c>
      <c r="GP7" s="13">
        <f>IF(GP5&lt;0,ESCENARIO[[#This Row],[15-ago]]+GP5,IF(GP5=0,ESCENARIO[[#This Row],[15-ago]]+GP5+GP2))</f>
        <v>34904586409.496437</v>
      </c>
      <c r="GQ7" s="13">
        <f>IF(GQ5&lt;0,ESCENARIO[[#This Row],[16-ago]]+GQ5,IF(GQ5=0,ESCENARIO[[#This Row],[16-ago]]+GQ5+GQ2))</f>
        <v>34904586409.496437</v>
      </c>
      <c r="GR7" s="13">
        <f>IF(GR5&lt;0,ESCENARIO[[#This Row],[17-ago]]+GR5,IF(GR5=0,ESCENARIO[[#This Row],[17-ago]]+GR5+GR2))</f>
        <v>37520466220.033966</v>
      </c>
      <c r="GS7" s="13">
        <f>IF(GS5&lt;0,ESCENARIO[[#This Row],[18-ago]]+GS5,IF(GS5=0,ESCENARIO[[#This Row],[18-ago]]+GS5+GS2))</f>
        <v>38915046262.762207</v>
      </c>
      <c r="GT7" s="13">
        <f>IF(GT5&lt;0,ESCENARIO[[#This Row],[19-ago]]+GT5,IF(GT5=0,ESCENARIO[[#This Row],[19-ago]]+GT5+GT2))</f>
        <v>40633656339.807373</v>
      </c>
      <c r="GU7" s="13">
        <f>IF(GU5&lt;0,ESCENARIO[[#This Row],[20-ago]]+GU5,IF(GU5=0,ESCENARIO[[#This Row],[20-ago]]+GU5+GU2))</f>
        <v>43439809596.761414</v>
      </c>
      <c r="GV7" s="13">
        <f>IF(GV5&lt;0,ESCENARIO[[#This Row],[21-ago]]+GV5,IF(GV5=0,ESCENARIO[[#This Row],[21-ago]]+GV5+GV2))</f>
        <v>46347551173.186142</v>
      </c>
      <c r="GW7" s="13">
        <f>IF(GW5&lt;0,ESCENARIO[[#This Row],[22-ago]]+GW5,IF(GW5=0,ESCENARIO[[#This Row],[22-ago]]+GW5+GW2))</f>
        <v>46347551173.186142</v>
      </c>
      <c r="GX7" s="13">
        <f>IF(GX5&lt;0,ESCENARIO[[#This Row],[23-ago]]+GX5,IF(GX5=0,ESCENARIO[[#This Row],[23-ago]]+GX5+GX2))</f>
        <v>46347551173.186142</v>
      </c>
      <c r="GY7" s="13">
        <f>IF(GY5&lt;0,ESCENARIO[[#This Row],[24-ago]]+GY5,IF(GY5=0,ESCENARIO[[#This Row],[24-ago]]+GY5+GY2))</f>
        <v>41600625734.655281</v>
      </c>
      <c r="GZ7" s="13">
        <f>IF(GZ5&lt;0,ESCENARIO[[#This Row],[25-ago]]+GZ5,IF(GZ5=0,ESCENARIO[[#This Row],[25-ago]]+GZ5+GZ2))</f>
        <v>44713582009.848068</v>
      </c>
      <c r="HA7" s="13">
        <f>IF(HA5&lt;0,ESCENARIO[[#This Row],[26-ago]]+HA5,IF(HA5=0,ESCENARIO[[#This Row],[26-ago]]+HA5+HA2))</f>
        <v>45983888249.371323</v>
      </c>
      <c r="HB7" s="13">
        <f>IF(HB5&lt;0,ESCENARIO[[#This Row],[27-ago]]+HB5,IF(HB5=0,ESCENARIO[[#This Row],[27-ago]]+HB5+HB2))</f>
        <v>47738562934.765747</v>
      </c>
      <c r="HC7" s="13">
        <f>IF(HC5&lt;0,ESCENARIO[[#This Row],[28-ago]]+HC5,IF(HC5=0,ESCENARIO[[#This Row],[28-ago]]+HC5+HC2))</f>
        <v>48327454062.290565</v>
      </c>
      <c r="HD7" s="13">
        <f>IF(HD5&lt;0,ESCENARIO[[#This Row],[29-ago]]+HD5,IF(HD5=0,ESCENARIO[[#This Row],[29-ago]]+HD5+HD2))</f>
        <v>48327454062.290565</v>
      </c>
      <c r="HE7" s="13">
        <f>IF(HE5&lt;0,ESCENARIO[[#This Row],[30-ago]]+HE5,IF(HE5=0,ESCENARIO[[#This Row],[30-ago]]+HE5+HE2))</f>
        <v>26544541283.780567</v>
      </c>
      <c r="HF7" s="13">
        <f>IF(HF5&lt;0,ESCENARIO[[#This Row],[31-ago]]+HF5,IF(HF5=0,ESCENARIO[[#This Row],[31-ago]]+HF5+HF2))</f>
        <v>27748045742.398098</v>
      </c>
      <c r="HG7" s="13">
        <f>IF(HG5&lt;0,ESCENARIO[[#This Row],[01-sep]]+HG5,IF(HG5=0,ESCENARIO[[#This Row],[01-sep]]+HG5+HG2))</f>
        <v>27748045742.398098</v>
      </c>
      <c r="HH7" s="13">
        <f>IF(HH5&lt;0,ESCENARIO[[#This Row],[02-sep]]+HH5,IF(HH5=0,ESCENARIO[[#This Row],[02-sep]]+HH5+HH2))</f>
        <v>28463477949.76461</v>
      </c>
      <c r="HI7" s="13">
        <f>IF(HI5&lt;0,ESCENARIO[[#This Row],[03-sep]]+HI5,IF(HI5=0,ESCENARIO[[#This Row],[03-sep]]+HI5+HI2))</f>
        <v>29439486687.784657</v>
      </c>
      <c r="HJ7" s="13">
        <f>IF(HJ5&lt;0,ESCENARIO[[#This Row],[04-sep]]+HJ5,IF(HJ5=0,ESCENARIO[[#This Row],[04-sep]]+HJ5+HJ2))</f>
        <v>29995460167.529823</v>
      </c>
      <c r="HK7" s="13">
        <f>IF(HK5&lt;0,ESCENARIO[[#This Row],[05-sep]]+HK5,IF(HK5=0,ESCENARIO[[#This Row],[05-sep]]+HK5+HK2))</f>
        <v>29995460167.529823</v>
      </c>
      <c r="HL7" s="13">
        <f>IF(HL5&lt;0,ESCENARIO[[#This Row],[06-sep]]+HL5,IF(HL5=0,ESCENARIO[[#This Row],[06-sep]]+HL5+HL2))</f>
        <v>29995460167.529823</v>
      </c>
      <c r="HM7" s="13">
        <f>IF(HM5&lt;0,ESCENARIO[[#This Row],[07-sep]]+HM5,IF(HM5=0,ESCENARIO[[#This Row],[07-sep]]+HM5+HM2))</f>
        <v>29595704818.996437</v>
      </c>
      <c r="HN7" s="13">
        <f>IF(HN5&lt;0,ESCENARIO[[#This Row],[08-sep]]+HN5,IF(HN5=0,ESCENARIO[[#This Row],[08-sep]]+HN5+HN2))</f>
        <v>30508114059.712887</v>
      </c>
      <c r="HO7" s="13">
        <f>IF(HO5&lt;0,ESCENARIO[[#This Row],[09-sep]]+HO5,IF(HO5=0,ESCENARIO[[#This Row],[09-sep]]+HO5+HO2))</f>
        <v>32099331524.52071</v>
      </c>
      <c r="HP7" s="13">
        <f>IF(HP5&lt;0,ESCENARIO[[#This Row],[10-sep]]+HP5,IF(HP5=0,ESCENARIO[[#This Row],[10-sep]]+HP5+HP2))</f>
        <v>40193251202.119347</v>
      </c>
      <c r="HQ7" s="13">
        <f>IF(HQ5&lt;0,ESCENARIO[[#This Row],[11-sep]]+HQ5,IF(HQ5=0,ESCENARIO[[#This Row],[11-sep]]+HQ5+HQ2))</f>
        <v>41760946807.210617</v>
      </c>
      <c r="HR7" s="13">
        <f>IF(HR5&lt;0,ESCENARIO[[#This Row],[12-sep]]+HR5,IF(HR5=0,ESCENARIO[[#This Row],[12-sep]]+HR5+HR2))</f>
        <v>41760946807.210617</v>
      </c>
      <c r="HS7" s="13">
        <f>IF(HS5&lt;0,ESCENARIO[[#This Row],[13-sep]]+HS5,IF(HS5=0,ESCENARIO[[#This Row],[13-sep]]+HS5+HS2))</f>
        <v>41760946807.210617</v>
      </c>
      <c r="HT7" s="13">
        <f>IF(HT5&lt;0,ESCENARIO[[#This Row],[14-sep]]+HT5,IF(HT5=0,ESCENARIO[[#This Row],[14-sep]]+HT5+HT2))</f>
        <v>41362501785.82914</v>
      </c>
      <c r="HU7" s="13">
        <f>IF(HU5&lt;0,ESCENARIO[[#This Row],[15-sep]]+HU5,IF(HU5=0,ESCENARIO[[#This Row],[15-sep]]+HU5+HU2))</f>
        <v>44320042894.662605</v>
      </c>
      <c r="HV7" s="13">
        <f>IF(HV5&lt;0,ESCENARIO[[#This Row],[16-sep]]+HV5,IF(HV5=0,ESCENARIO[[#This Row],[16-sep]]+HV5+HV2))</f>
        <v>47023294660.26442</v>
      </c>
      <c r="HW7" s="13">
        <f>IF(HW5&lt;0,ESCENARIO[[#This Row],[17-sep]]+HW5,IF(HW5=0,ESCENARIO[[#This Row],[17-sep]]+HW5+HW2))</f>
        <v>48464454513.095543</v>
      </c>
      <c r="HX7" s="13">
        <f>IF(HX5&lt;0,ESCENARIO[[#This Row],[18-sep]]+HX5,IF(HX5=0,ESCENARIO[[#This Row],[18-sep]]+HX5+HX2))</f>
        <v>50240467197.791008</v>
      </c>
      <c r="HY7" s="13">
        <f>IF(HY5&lt;0,ESCENARIO[[#This Row],[19-sep]]+HY5,IF(HY5=0,ESCENARIO[[#This Row],[19-sep]]+HY5+HY2))</f>
        <v>50240467197.791008</v>
      </c>
      <c r="HZ7" s="13">
        <f>IF(HZ5&lt;0,ESCENARIO[[#This Row],[20-sep]]+HZ5,IF(HZ5=0,ESCENARIO[[#This Row],[20-sep]]+HZ5+HZ2))</f>
        <v>50240467197.791008</v>
      </c>
      <c r="IA7" s="13">
        <f>IF(IA5&lt;0,ESCENARIO[[#This Row],[21-sep]]+IA5,IF(IA5=0,ESCENARIO[[#This Row],[21-sep]]+IA5+IA2))</f>
        <v>46778914661.00386</v>
      </c>
      <c r="IB7" s="13">
        <f>IF(IB5&lt;0,ESCENARIO[[#This Row],[22-sep]]+IB5,IF(IB5=0,ESCENARIO[[#This Row],[22-sep]]+IB5+IB2))</f>
        <v>49787123871.878525</v>
      </c>
      <c r="IC7" s="13">
        <f>IF(IC5&lt;0,ESCENARIO[[#This Row],[23-sep]]+IC5,IF(IC5=0,ESCENARIO[[#This Row],[23-sep]]+IC5+IC2))</f>
        <v>51478107818.352409</v>
      </c>
      <c r="ID7" s="13">
        <f>IF(ID5&lt;0,ESCENARIO[[#This Row],[24-sep]]+ID5,IF(ID5=0,ESCENARIO[[#This Row],[24-sep]]+ID5+ID2))</f>
        <v>54690295105.847679</v>
      </c>
      <c r="IE7" s="13">
        <f>IF(IE5&lt;0,ESCENARIO[[#This Row],[25-sep]]+IE5,IF(IE5=0,ESCENARIO[[#This Row],[25-sep]]+IE5+IE2))</f>
        <v>56003030335.888931</v>
      </c>
      <c r="IF7" s="13">
        <f>IF(IF5&lt;0,ESCENARIO[[#This Row],[26-sep]]+IF5,IF(IF5=0,ESCENARIO[[#This Row],[26-sep]]+IF5+IF2))</f>
        <v>56003030335.888931</v>
      </c>
      <c r="IG7" s="13">
        <f>IF(IG5&lt;0,ESCENARIO[[#This Row],[27-sep]]+IG5,IF(IG5=0,ESCENARIO[[#This Row],[27-sep]]+IG5+IG2))</f>
        <v>56003030335.888931</v>
      </c>
      <c r="IH7" s="13">
        <f>IF(IH5&lt;0,ESCENARIO[[#This Row],[28-sep]]+IH5,IF(IH5=0,ESCENARIO[[#This Row],[28-sep]]+IH5+IH2))</f>
        <v>57816312208.489418</v>
      </c>
      <c r="II7" s="13">
        <f>IF(II5&lt;0,ESCENARIO[[#This Row],[29-sep]]+II5,IF(II5=0,ESCENARIO[[#This Row],[29-sep]]+II5+II2))</f>
        <v>37261142886.987724</v>
      </c>
      <c r="IJ7" s="13">
        <f>IF(IJ5&lt;0,ESCENARIO[[#This Row],[30-sep]]+IJ5,IF(IJ5=0,ESCENARIO[[#This Row],[30-sep]]+IJ5+IJ2))</f>
        <v>38502954335.842773</v>
      </c>
      <c r="IK7" s="13">
        <f>IF(IK5&lt;0,ESCENARIO[[#This Row],[01-oct]]+IK5,IF(IK5=0,ESCENARIO[[#This Row],[01-oct]]+IK5+IK2))</f>
        <v>39248266201.297012</v>
      </c>
      <c r="IL7" s="13">
        <f>IF(IL5&lt;0,ESCENARIO[[#This Row],[02-oct]]+IL5,IF(IL5=0,ESCENARIO[[#This Row],[02-oct]]+IL5+IL2))</f>
        <v>40265037442.15435</v>
      </c>
      <c r="IM7" s="13">
        <f>IF(IM5&lt;0,ESCENARIO[[#This Row],[03-oct]]+IM5,IF(IM5=0,ESCENARIO[[#This Row],[03-oct]]+IM5+IM2))</f>
        <v>40265037442.15435</v>
      </c>
      <c r="IN7" s="13">
        <f>IF(IN5&lt;0,ESCENARIO[[#This Row],[04-oct]]+IN5,IF(IN5=0,ESCENARIO[[#This Row],[04-oct]]+IN5+IN2))</f>
        <v>40265037442.15435</v>
      </c>
      <c r="IO7" s="13">
        <f>IF(IO5&lt;0,ESCENARIO[[#This Row],[05-oct]]+IO5,IF(IO5=0,ESCENARIO[[#This Row],[05-oct]]+IO5+IO2))</f>
        <v>39737130868.261414</v>
      </c>
      <c r="IP7" s="13">
        <f>IF(IP5&lt;0,ESCENARIO[[#This Row],[06-oct]]+IP5,IF(IP5=0,ESCENARIO[[#This Row],[06-oct]]+IP5+IP2))</f>
        <v>40469214891.984863</v>
      </c>
      <c r="IQ7" s="13">
        <f>IF(IQ5&lt;0,ESCENARIO[[#This Row],[07-oct]]+IQ5,IF(IQ5=0,ESCENARIO[[#This Row],[07-oct]]+IQ5+IQ2))</f>
        <v>41419327727.207893</v>
      </c>
      <c r="IR7" s="13">
        <f>IF(IR5&lt;0,ESCENARIO[[#This Row],[08-oct]]+IR5,IF(IR5=0,ESCENARIO[[#This Row],[08-oct]]+IR5+IR2))</f>
        <v>43077001570.834167</v>
      </c>
      <c r="IS7" s="13">
        <f>IF(IS5&lt;0,ESCENARIO[[#This Row],[09-oct]]+IS5,IF(IS5=0,ESCENARIO[[#This Row],[09-oct]]+IS5+IS2))</f>
        <v>51508959639.863838</v>
      </c>
      <c r="IT7" s="13">
        <f>IF(IT5&lt;0,ESCENARIO[[#This Row],[10-oct]]+IT5,IF(IT5=0,ESCENARIO[[#This Row],[10-oct]]+IT5+IT2))</f>
        <v>51508959639.863838</v>
      </c>
      <c r="IU7" s="13">
        <f>IF(IU5&lt;0,ESCENARIO[[#This Row],[11-oct]]+IU5,IF(IU5=0,ESCENARIO[[#This Row],[11-oct]]+IU5+IU2))</f>
        <v>51508959639.863838</v>
      </c>
      <c r="IV7" s="13">
        <f>IF(IV5&lt;0,ESCENARIO[[#This Row],[12-oct]]+IV5,IF(IV5=0,ESCENARIO[[#This Row],[12-oct]]+IV5+IV2))</f>
        <v>50406959639.863838</v>
      </c>
      <c r="IW7" s="13">
        <f>IF(IW5&lt;0,ESCENARIO[[#This Row],[13-oct]]+IW5,IF(IW5=0,ESCENARIO[[#This Row],[13-oct]]+IW5+IW2))</f>
        <v>52041194879.403275</v>
      </c>
      <c r="IX7" s="13">
        <f>IF(IX5&lt;0,ESCENARIO[[#This Row],[14-oct]]+IX5,IF(IX5=0,ESCENARIO[[#This Row],[14-oct]]+IX5+IX2))</f>
        <v>51686667510.733047</v>
      </c>
      <c r="IY7" s="13">
        <f>IF(IY5&lt;0,ESCENARIO[[#This Row],[15-oct]]+IY5,IF(IY5=0,ESCENARIO[[#This Row],[15-oct]]+IY5+IY2))</f>
        <v>54767670242.401291</v>
      </c>
      <c r="IZ7" s="13">
        <f>IF(IZ5&lt;0,ESCENARIO[[#This Row],[16-oct]]+IZ5,IF(IZ5=0,ESCENARIO[[#This Row],[16-oct]]+IZ5+IZ2))</f>
        <v>57583821927.309975</v>
      </c>
      <c r="JA7" s="13">
        <f>IF(JA5&lt;0,ESCENARIO[[#This Row],[17-oct]]+JA5,IF(JA5=0,ESCENARIO[[#This Row],[17-oct]]+JA5+JA2))</f>
        <v>57583821927.309975</v>
      </c>
      <c r="JB7" s="13">
        <f>IF(JB5&lt;0,ESCENARIO[[#This Row],[18-oct]]+JB5,IF(JB5=0,ESCENARIO[[#This Row],[18-oct]]+JB5+JB2))</f>
        <v>57583821927.309975</v>
      </c>
      <c r="JC7" s="13">
        <f>IF(JC5&lt;0,ESCENARIO[[#This Row],[19-oct]]+JC5,IF(JC5=0,ESCENARIO[[#This Row],[19-oct]]+JC5+JC2))</f>
        <v>59085171079.992233</v>
      </c>
      <c r="JD7" s="13">
        <f>IF(JD5&lt;0,ESCENARIO[[#This Row],[20-oct]]+JD5,IF(JD5=0,ESCENARIO[[#This Row],[20-oct]]+JD5+JD2))</f>
        <v>60935358020.79715</v>
      </c>
      <c r="JE7" s="13">
        <f>IF(JE5&lt;0,ESCENARIO[[#This Row],[21-oct]]+JE5,IF(JE5=0,ESCENARIO[[#This Row],[21-oct]]+JE5+JE2))</f>
        <v>63956350495.623138</v>
      </c>
      <c r="JF7" s="13">
        <f>IF(JF5&lt;0,ESCENARIO[[#This Row],[22-oct]]+JF5,IF(JF5=0,ESCENARIO[[#This Row],[22-oct]]+JF5+JF2))</f>
        <v>67086708896.166351</v>
      </c>
      <c r="JG7" s="13">
        <f>IF(JG5&lt;0,ESCENARIO[[#This Row],[23-oct]]+JG5,IF(JG5=0,ESCENARIO[[#This Row],[23-oct]]+JG5+JG2))</f>
        <v>68848315917.240768</v>
      </c>
      <c r="JH7" s="13">
        <f>IF(JH5&lt;0,ESCENARIO[[#This Row],[24-oct]]+JH5,IF(JH5=0,ESCENARIO[[#This Row],[24-oct]]+JH5+JH2))</f>
        <v>68848315917.240768</v>
      </c>
      <c r="JI7" s="13">
        <f>IF(JI5&lt;0,ESCENARIO[[#This Row],[25-oct]]+JI5,IF(JI5=0,ESCENARIO[[#This Row],[25-oct]]+JI5+JI2))</f>
        <v>68848315917.240768</v>
      </c>
      <c r="JJ7" s="13">
        <f>IF(JJ5&lt;0,ESCENARIO[[#This Row],[26-oct]]+JJ5,IF(JJ5=0,ESCENARIO[[#This Row],[26-oct]]+JJ5+JJ2))</f>
        <v>65841403558.223724</v>
      </c>
      <c r="JK7" s="13">
        <f>IF(JK5&lt;0,ESCENARIO[[#This Row],[27-oct]]+JK5,IF(JK5=0,ESCENARIO[[#This Row],[27-oct]]+JK5+JK2))</f>
        <v>67211872184.064301</v>
      </c>
      <c r="JL7" s="13">
        <f>IF(JL5&lt;0,ESCENARIO[[#This Row],[28-oct]]+JL5,IF(JL5=0,ESCENARIO[[#This Row],[28-oct]]+JL5+JL2))</f>
        <v>69100884841.234024</v>
      </c>
      <c r="JM7" s="13">
        <f>IF(JM5&lt;0,ESCENARIO[[#This Row],[29-oct]]+JM5,IF(JM5=0,ESCENARIO[[#This Row],[29-oct]]+JM5+JM2))</f>
        <v>49245387238.313446</v>
      </c>
      <c r="JN7" s="13">
        <f>IF(JN5&lt;0,ESCENARIO[[#This Row],[30-oct]]+JN5,IF(JN5=0,ESCENARIO[[#This Row],[30-oct]]+JN5+JN2))</f>
        <v>50537555574.568413</v>
      </c>
      <c r="JO7" s="13">
        <f>IF(JO5&lt;0,ESCENARIO[[#This Row],[31-oct]]+JO5,IF(JO5=0,ESCENARIO[[#This Row],[31-oct]]+JO5+JO2))</f>
        <v>50537555574.568413</v>
      </c>
      <c r="JP7" s="13">
        <f>IF(JP5&lt;0,ESCENARIO[[#This Row],[01-nov]]+JP5,IF(JP5=0,ESCENARIO[[#This Row],[01-nov]]+JP5+JP2))</f>
        <v>50537555574.568413</v>
      </c>
      <c r="JQ7" s="13">
        <f>IF(JQ5&lt;0,ESCENARIO[[#This Row],[02-nov]]+JQ5,IF(JQ5=0,ESCENARIO[[#This Row],[02-nov]]+JQ5+JQ2))</f>
        <v>50186711279.612007</v>
      </c>
      <c r="JR7" s="13">
        <f>IF(JR5&lt;0,ESCENARIO[[#This Row],[03-nov]]+JR5,IF(JR5=0,ESCENARIO[[#This Row],[03-nov]]+JR5+JR2))</f>
        <v>51218751619.466324</v>
      </c>
      <c r="JS7" s="13">
        <f>IF(JS5&lt;0,ESCENARIO[[#This Row],[04-nov]]+JS5,IF(JS5=0,ESCENARIO[[#This Row],[04-nov]]+JS5+JS2))</f>
        <v>51806449673.287407</v>
      </c>
      <c r="JT7" s="13">
        <f>IF(JT5&lt;0,ESCENARIO[[#This Row],[05-nov]]+JT5,IF(JT5=0,ESCENARIO[[#This Row],[05-nov]]+JT5+JT2))</f>
        <v>52548765323.239563</v>
      </c>
      <c r="JU7" s="13">
        <f>IF(JU5&lt;0,ESCENARIO[[#This Row],[06-nov]]+JU5,IF(JU5=0,ESCENARIO[[#This Row],[06-nov]]+JU5+JU2))</f>
        <v>53512829207.60379</v>
      </c>
      <c r="JV7" s="13">
        <f>IF(JV5&lt;0,ESCENARIO[[#This Row],[07-nov]]+JV5,IF(JV5=0,ESCENARIO[[#This Row],[07-nov]]+JV5+JV2))</f>
        <v>53512829207.60379</v>
      </c>
      <c r="JW7" s="13">
        <f>IF(JW5&lt;0,ESCENARIO[[#This Row],[08-nov]]+JW5,IF(JW5=0,ESCENARIO[[#This Row],[08-nov]]+JW5+JW2))</f>
        <v>53512829207.60379</v>
      </c>
      <c r="JX7" s="13">
        <f>IF(JX5&lt;0,ESCENARIO[[#This Row],[09-nov]]+JX5,IF(JX5=0,ESCENARIO[[#This Row],[09-nov]]+JX5+JX2))</f>
        <v>55194843622.57608</v>
      </c>
      <c r="JY7" s="13">
        <f>IF(JY5&lt;0,ESCENARIO[[#This Row],[10-nov]]+JY5,IF(JY5=0,ESCENARIO[[#This Row],[10-nov]]+JY5+JY2))</f>
        <v>63750612945.402733</v>
      </c>
      <c r="JZ7" s="13">
        <f>IF(JZ5&lt;0,ESCENARIO[[#This Row],[11-nov]]+JZ5,IF(JZ5=0,ESCENARIO[[#This Row],[11-nov]]+JZ5+JZ2))</f>
        <v>65407763312.571861</v>
      </c>
      <c r="KA7" s="13">
        <f>IF(KA5&lt;0,ESCENARIO[[#This Row],[12-nov]]+KA5,IF(KA5=0,ESCENARIO[[#This Row],[12-nov]]+KA5+KA2))</f>
        <v>65319321393.909195</v>
      </c>
      <c r="KB7" s="13">
        <f>IF(KB5&lt;0,ESCENARIO[[#This Row],[13-nov]]+KB5,IF(KB5=0,ESCENARIO[[#This Row],[13-nov]]+KB5+KB2))</f>
        <v>68445301908.939529</v>
      </c>
      <c r="KC7" s="13">
        <f>IF(KC5&lt;0,ESCENARIO[[#This Row],[14-nov]]+KC5,IF(KC5=0,ESCENARIO[[#This Row],[14-nov]]+KC5+KC2))</f>
        <v>68195301908.939529</v>
      </c>
      <c r="KD7" s="13">
        <f>IF(KD5&lt;0,ESCENARIO[[#This Row],[15-nov]]+KD5,IF(KD5=0,ESCENARIO[[#This Row],[15-nov]]+KD5+KD2))</f>
        <v>68195543658.939529</v>
      </c>
      <c r="KE7" s="13">
        <f>IF(KE5&lt;0,ESCENARIO[[#This Row],[16-nov]]+KE5,IF(KE5=0,ESCENARIO[[#This Row],[16-nov]]+KE5+KE2))</f>
        <v>71053046506.666687</v>
      </c>
      <c r="KF7" s="13">
        <f>IF(KF5&lt;0,ESCENARIO[[#This Row],[17-nov]]+KF5,IF(KF5=0,ESCENARIO[[#This Row],[17-nov]]+KF5+KF2))</f>
        <v>72576440826.01828</v>
      </c>
      <c r="KG7" s="13">
        <f>IF(KG5&lt;0,ESCENARIO[[#This Row],[18-nov]]+KG5,IF(KG5=0,ESCENARIO[[#This Row],[18-nov]]+KG5+KG2))</f>
        <v>74453795117.873154</v>
      </c>
      <c r="KH7" s="13">
        <f>IF(KH5&lt;0,ESCENARIO[[#This Row],[19-nov]]+KH5,IF(KH5=0,ESCENARIO[[#This Row],[19-nov]]+KH5+KH2))</f>
        <v>77519146549.771439</v>
      </c>
      <c r="KI7" s="13">
        <f>IF(KI5&lt;0,ESCENARIO[[#This Row],[20-nov]]+KI5,IF(KI5=0,ESCENARIO[[#This Row],[20-nov]]+KI5+KI2))</f>
        <v>80695469789.706909</v>
      </c>
      <c r="KJ7" s="13">
        <f>IF(KJ5&lt;0,ESCENARIO[[#This Row],[21-nov]]+KJ5,IF(KJ5=0,ESCENARIO[[#This Row],[21-nov]]+KJ5+KJ2))</f>
        <v>80695469789.706909</v>
      </c>
      <c r="KK7" s="13">
        <f>IF(KK5&lt;0,ESCENARIO[[#This Row],[22-nov]]+KK5,IF(KK5=0,ESCENARIO[[#This Row],[22-nov]]+KK5+KK2))</f>
        <v>80695469789.706909</v>
      </c>
      <c r="KL7" s="13">
        <f>IF(KL5&lt;0,ESCENARIO[[#This Row],[23-nov]]+KL5,IF(KL5=0,ESCENARIO[[#This Row],[23-nov]]+KL5+KL2))</f>
        <v>74342214793.636902</v>
      </c>
      <c r="KM7" s="13">
        <f>IF(KM5&lt;0,ESCENARIO[[#This Row],[24-nov]]+KM5,IF(KM5=0,ESCENARIO[[#This Row],[24-nov]]+KM5+KM2))</f>
        <v>76135832093.814316</v>
      </c>
      <c r="KN7" s="13">
        <f>IF(KN5&lt;0,ESCENARIO[[#This Row],[25-nov]]+KN5,IF(KN5=0,ESCENARIO[[#This Row],[25-nov]]+KN5+KN2))</f>
        <v>79531310990.101013</v>
      </c>
      <c r="KO7" s="13">
        <f>IF(KO5&lt;0,ESCENARIO[[#This Row],[26-nov]]+KO5,IF(KO5=0,ESCENARIO[[#This Row],[26-nov]]+KO5+KO2))</f>
        <v>80918952609.681915</v>
      </c>
      <c r="KP7" s="13">
        <f>IF(KP5&lt;0,ESCENARIO[[#This Row],[27-nov]]+KP5,IF(KP5=0,ESCENARIO[[#This Row],[27-nov]]+KP5+KP2))</f>
        <v>82835702718.059036</v>
      </c>
      <c r="KQ7" s="13">
        <f>IF(KQ5&lt;0,ESCENARIO[[#This Row],[28-nov]]+KQ5,IF(KQ5=0,ESCENARIO[[#This Row],[28-nov]]+KQ5+KQ2))</f>
        <v>82835702718.059036</v>
      </c>
      <c r="KR7" s="13">
        <f>IF(KR5&lt;0,ESCENARIO[[#This Row],[29-nov]]+KR5,IF(KR5=0,ESCENARIO[[#This Row],[29-nov]]+KR5+KR2))</f>
        <v>62286569986.299034</v>
      </c>
      <c r="KS7" s="13">
        <f>IF(KS5&lt;0,ESCENARIO[[#This Row],[30-nov]]+KS5,IF(KS5=0,ESCENARIO[[#This Row],[30-nov]]+KS5+KS2))</f>
        <v>64241386484.149765</v>
      </c>
      <c r="KT7" s="13">
        <f>IF(KT5&lt;0,ESCENARIO[[#This Row],[01-dic]]+KT5,IF(KT5=0,ESCENARIO[[#This Row],[01-dic]]+KT5+KT2))</f>
        <v>65032791340.697128</v>
      </c>
      <c r="KU7" s="13">
        <f>IF(KU5&lt;0,ESCENARIO[[#This Row],[02-dic]]+KU5,IF(KU5=0,ESCENARIO[[#This Row],[02-dic]]+KU5+KU2))</f>
        <v>66112443678.61042</v>
      </c>
      <c r="KV7" s="13">
        <f>IF(KV5&lt;0,ESCENARIO[[#This Row],[03-dic]]+KV5,IF(KV5=0,ESCENARIO[[#This Row],[03-dic]]+KV5+KV2))</f>
        <v>66727456683.967682</v>
      </c>
      <c r="KW7" s="13">
        <f>IF(KW5&lt;0,ESCENARIO[[#This Row],[04-dic]]+KW5,IF(KW5=0,ESCENARIO[[#This Row],[04-dic]]+KW5+KW2))</f>
        <v>67504273581.407654</v>
      </c>
      <c r="KX7" s="13">
        <f>IF(KX5&lt;0,ESCENARIO[[#This Row],[05-dic]]+KX5,IF(KX5=0,ESCENARIO[[#This Row],[05-dic]]+KX5+KX2))</f>
        <v>67504273581.407654</v>
      </c>
      <c r="KY7" s="13">
        <f>IF(KY5&lt;0,ESCENARIO[[#This Row],[06-dic]]+KY5,IF(KY5=0,ESCENARIO[[#This Row],[06-dic]]+KY5+KY2))</f>
        <v>67504273581.407654</v>
      </c>
      <c r="KZ7" s="13">
        <f>IF(KZ5&lt;0,ESCENARIO[[#This Row],[07-dic]]+KZ5,IF(KZ5=0,ESCENARIO[[#This Row],[07-dic]]+KZ5+KZ2))</f>
        <v>67504273581.407654</v>
      </c>
      <c r="LA7" s="13">
        <f>IF(LA5&lt;0,ESCENARIO[[#This Row],[08-dic]]+LA5,IF(LA5=0,ESCENARIO[[#This Row],[08-dic]]+LA5+LA2))</f>
        <v>66402273581.407654</v>
      </c>
      <c r="LB7" s="13">
        <f>IF(LB5&lt;0,ESCENARIO[[#This Row],[09-dic]]+LB5,IF(LB5=0,ESCENARIO[[#This Row],[09-dic]]+LB5+LB2))</f>
        <v>67412210732.038109</v>
      </c>
      <c r="LC7" s="13">
        <f>IF(LC5&lt;0,ESCENARIO[[#This Row],[10-dic]]+LC5,IF(LC5=0,ESCENARIO[[#This Row],[10-dic]]+LC5+LC2))</f>
        <v>69172401588.006592</v>
      </c>
      <c r="LD7" s="13">
        <f>IF(LD5&lt;0,ESCENARIO[[#This Row],[11-dic]]+LD5,IF(LD5=0,ESCENARIO[[#This Row],[11-dic]]+LD5+LD2))</f>
        <v>78125824813.017014</v>
      </c>
      <c r="LE7" s="13">
        <f>IF(LE5&lt;0,ESCENARIO[[#This Row],[12-dic]]+LE5,IF(LE5=0,ESCENARIO[[#This Row],[12-dic]]+LE5+LE2))</f>
        <v>78125824813.017014</v>
      </c>
      <c r="LF7" s="13">
        <f>IF(LF5&lt;0,ESCENARIO[[#This Row],[13-dic]]+LF5,IF(LF5=0,ESCENARIO[[#This Row],[13-dic]]+LF5+LF2))</f>
        <v>78125824813.017014</v>
      </c>
      <c r="LG7" s="13">
        <f>IF(LG5&lt;0,ESCENARIO[[#This Row],[14-dic]]+LG5,IF(LG5=0,ESCENARIO[[#This Row],[14-dic]]+LG5+LG2))</f>
        <v>79859995993.294312</v>
      </c>
      <c r="LH7" s="13">
        <f>IF(LH5&lt;0,ESCENARIO[[#This Row],[15-dic]]+LH5,IF(LH5=0,ESCENARIO[[#This Row],[15-dic]]+LH5+LH2))</f>
        <v>81023216922.456253</v>
      </c>
      <c r="LI7" s="13">
        <f>IF(LI5&lt;0,ESCENARIO[[#This Row],[16-dic]]+LI5,IF(LI5=0,ESCENARIO[[#This Row],[16-dic]]+LI5+LI2))</f>
        <v>84294396843.461792</v>
      </c>
      <c r="LJ7" s="13">
        <f>IF(LJ5&lt;0,ESCENARIO[[#This Row],[17-dic]]+LJ5,IF(LJ5=0,ESCENARIO[[#This Row],[17-dic]]+LJ5+LJ2))</f>
        <v>87284710326.331757</v>
      </c>
      <c r="LK7" s="13">
        <f>IF(LK5&lt;0,ESCENARIO[[#This Row],[18-dic]]+LK5,IF(LK5=0,ESCENARIO[[#This Row],[18-dic]]+LK5+LK2))</f>
        <v>88878908763.09201</v>
      </c>
      <c r="LL7" s="13">
        <f>IF(LL5&lt;0,ESCENARIO[[#This Row],[19-dic]]+LL5,IF(LL5=0,ESCENARIO[[#This Row],[19-dic]]+LL5+LL2))</f>
        <v>88878908763.09201</v>
      </c>
      <c r="LM7" s="13">
        <f>IF(LM5&lt;0,ESCENARIO[[#This Row],[20-dic]]+LM5,IF(LM5=0,ESCENARIO[[#This Row],[20-dic]]+LM5+LM2))</f>
        <v>88878908763.09201</v>
      </c>
      <c r="LN7" s="13">
        <f>IF(LN5&lt;0,ESCENARIO[[#This Row],[21-dic]]+LN5,IF(LN5=0,ESCENARIO[[#This Row],[21-dic]]+LN5+LN2))</f>
        <v>90843518476.612564</v>
      </c>
      <c r="LO7" s="13">
        <f>IF(LO5&lt;0,ESCENARIO[[#This Row],[22-dic]]+LO5,IF(LO5=0,ESCENARIO[[#This Row],[22-dic]]+LO5+LO2))</f>
        <v>87698085906.277344</v>
      </c>
      <c r="LP7" s="13">
        <f>IF(LP5&lt;0,ESCENARIO[[#This Row],[23-dic]]+LP5,IF(LP5=0,ESCENARIO[[#This Row],[23-dic]]+LP5+LP2))</f>
        <v>91025079506.195404</v>
      </c>
      <c r="LQ7" s="13">
        <f>IF(LQ5&lt;0,ESCENARIO[[#This Row],[24-dic]]+LQ5,IF(LQ5=0,ESCENARIO[[#This Row],[24-dic]]+LQ5+LQ2))</f>
        <v>92895631172.451981</v>
      </c>
      <c r="LR7" s="13">
        <f>IF(LR5&lt;0,ESCENARIO[[#This Row],[25-dic]]+LR5,IF(LR5=0,ESCENARIO[[#This Row],[25-dic]]+LR5+LR2))</f>
        <v>92895631172.451981</v>
      </c>
      <c r="LS7" s="13">
        <f>IF(LS5&lt;0,ESCENARIO[[#This Row],[26-dic]]+LS5,IF(LS5=0,ESCENARIO[[#This Row],[26-dic]]+LS5+LS2))</f>
        <v>92895631172.451981</v>
      </c>
      <c r="LT7" s="13">
        <f>IF(LT5&lt;0,ESCENARIO[[#This Row],[27-dic]]+LT5,IF(LT5=0,ESCENARIO[[#This Row],[27-dic]]+LT5+LT2))</f>
        <v>92895631172.451981</v>
      </c>
      <c r="LU7" s="13">
        <f>IF(LU5&lt;0,ESCENARIO[[#This Row],[28-dic]]+LU5,IF(LU5=0,ESCENARIO[[#This Row],[28-dic]]+LU5+LU2))</f>
        <v>96448924682.707825</v>
      </c>
      <c r="LV7" s="13">
        <f>IF(LV5&lt;0,ESCENARIO[[#This Row],[29-dic]]+LV5,IF(LV5=0,ESCENARIO[[#This Row],[29-dic]]+LV5+LV2))</f>
        <v>73519374549.315445</v>
      </c>
      <c r="LW7" s="13">
        <f>IF(LW5&lt;0,ESCENARIO[[#This Row],[30-dic]]+LW5,IF(LW5=0,ESCENARIO[[#This Row],[30-dic]]+LW5+LW2))</f>
        <v>75547383987.828049</v>
      </c>
      <c r="LX7" s="13">
        <f>SUM(ESCENARIO[[#This Row],[01-mar]:[31-dic]])</f>
        <v>11174262092470.621</v>
      </c>
    </row>
    <row r="8" spans="1:336" s="13" customFormat="1">
      <c r="A8" s="13" t="s">
        <v>342</v>
      </c>
      <c r="B8" s="13">
        <f>+B6</f>
        <v>0</v>
      </c>
      <c r="C8" s="13">
        <f>+C6-C9</f>
        <v>2070444.6569141899</v>
      </c>
      <c r="D8" s="13">
        <f>(IF(D7&gt;0,+ESCENARIO[[#This Row],[02-feb]]+D6,0))-D9</f>
        <v>3360464.0489405366</v>
      </c>
      <c r="E8" s="13">
        <f>IF(E7&gt;0,+ESCENARIO[[#This Row],[03-feb]]+E6,0)</f>
        <v>4650483.4409668837</v>
      </c>
      <c r="F8" s="13">
        <f>IF(F7&gt;0,+ESCENARIO[[#This Row],[04-feb]]+F6,0)</f>
        <v>6785475.3558649532</v>
      </c>
      <c r="G8" s="13">
        <f>IF(G7&gt;0,+ESCENARIO[[#This Row],[05-feb]]+G6,0)</f>
        <v>9401367.4085955583</v>
      </c>
      <c r="H8" s="13">
        <f>IF(H7&gt;0,+ESCENARIO[[#This Row],[06-feb]]+H6,0)</f>
        <v>12624679.710646775</v>
      </c>
      <c r="I8" s="13">
        <f>IF(I7&gt;0,+ESCENARIO[[#This Row],[07-feb]]+I6,0)</f>
        <v>16636863.869352585</v>
      </c>
      <c r="J8" s="13">
        <f>IF(J7&gt;0,+ESCENARIO[[#This Row],[08-feb]]+J6,0)</f>
        <v>20649048.028058395</v>
      </c>
      <c r="K8" s="13">
        <f>IF(K7&gt;0,+ESCENARIO[[#This Row],[09-feb]]+K6,0)</f>
        <v>24661232.186764203</v>
      </c>
      <c r="L8" s="13">
        <f>IF(L7&gt;0,+ESCENARIO[[#This Row],[10-feb]]+L6,0)</f>
        <v>30049771.020693664</v>
      </c>
      <c r="M8" s="13">
        <f>IF(M7&gt;0,+ESCENARIO[[#This Row],[11-feb]]+M6,0)</f>
        <v>42439304.021371424</v>
      </c>
      <c r="N8" s="13">
        <f>IF(N7&gt;0,+ESCENARIO[[#This Row],[12-feb]]+N6,0)</f>
        <v>56184846.004552111</v>
      </c>
      <c r="O8" s="13">
        <f>IF(O7&gt;0,+ESCENARIO[[#This Row],[13-feb]]+O6,0)</f>
        <v>69590671.882672548</v>
      </c>
      <c r="P8" s="13">
        <f>IF(P7&gt;0,+ESCENARIO[[#This Row],[14-feb]]+P6,0)</f>
        <v>85554676.037220225</v>
      </c>
      <c r="Q8" s="13">
        <f>IF(Q7&gt;0,+ESCENARIO[[#This Row],[15-feb]]+Q6,0)</f>
        <v>101291435.1917679</v>
      </c>
      <c r="R8" s="13">
        <f>IF(R7&gt;0,+ESCENARIO[[#This Row],[16-feb]]+R6,0)</f>
        <v>117028414.09223057</v>
      </c>
      <c r="S8" s="13">
        <f>IF(S7&gt;0,+ESCENARIO[[#This Row],[17-feb]]+S6,0)</f>
        <v>135103623.49115124</v>
      </c>
      <c r="T8" s="13">
        <f>IF(T7&gt;0,+ESCENARIO[[#This Row],[18-feb]]+T6,0)</f>
        <v>154425392.29823443</v>
      </c>
      <c r="U8" s="13">
        <f>IF(U7&gt;0,+ESCENARIO[[#This Row],[19-feb]]+U6,0)</f>
        <v>175283358.02113789</v>
      </c>
      <c r="V8" s="13">
        <f>IF(V7&gt;0,+ESCENARIO[[#This Row],[20-feb]]+V6,0)</f>
        <v>198649632.07775217</v>
      </c>
      <c r="W8" s="13">
        <f>IF(W7&gt;0,+ESCENARIO[[#This Row],[21-feb]]+W6,0)</f>
        <v>224615020.20996058</v>
      </c>
      <c r="X8" s="13">
        <f>IF(X7&gt;0,+ESCENARIO[[#This Row],[22-feb]]+X6,0)</f>
        <v>250580408.34216899</v>
      </c>
      <c r="Y8" s="13">
        <f>IF(Y7&gt;0,+ESCENARIO[[#This Row],[23-feb]]+Y6,0)</f>
        <v>276545796.47437739</v>
      </c>
      <c r="Z8" s="13">
        <f>IF(Z7&gt;0,+ESCENARIO[[#This Row],[24-feb]]+Z6,0)</f>
        <v>303973834.25186139</v>
      </c>
      <c r="AA8" s="13">
        <f>IF(AA7&gt;0,+ESCENARIO[[#This Row],[25-feb]]+AA6,0)</f>
        <v>327260564.1321528</v>
      </c>
      <c r="AB8" s="13">
        <f>IF(AB7&gt;0,+ESCENARIO[[#This Row],[26-feb]]+AB6,0)</f>
        <v>347391071.63121819</v>
      </c>
      <c r="AC8" s="13">
        <f>IF(AC7&gt;0,+ESCENARIO[[#This Row],[27-feb]]+AC6,0)</f>
        <v>350867360.37793213</v>
      </c>
      <c r="AD8" s="13">
        <f>IF(AD7&gt;0,+ESCENARIO[[#This Row],[28-feb]]+AD6,0)</f>
        <v>352646640.37793213</v>
      </c>
      <c r="AE8" s="13">
        <f>IF(AE7&gt;0,+ESCENARIO[[#This Row],[01-mar]]+AE6,0)</f>
        <v>354946166.37793213</v>
      </c>
      <c r="AF8" s="13">
        <f>IF(AF7&gt;0,+ESCENARIO[[#This Row],[02-mar]]+AF6,0)</f>
        <v>357245692.37793213</v>
      </c>
      <c r="AG8" s="13">
        <f>IF(AG7&gt;0,+ESCENARIO[[#This Row],[03-mar]]+AG6,0)</f>
        <v>359105168.31174397</v>
      </c>
      <c r="AH8" s="13">
        <f>IF(AH7&gt;0,+ESCENARIO[[#This Row],[04-mar]]+AH6,0)</f>
        <v>361825233.40893376</v>
      </c>
      <c r="AI8" s="13">
        <f>IF(AI7&gt;0,+ESCENARIO[[#This Row],[05-mar]]+AI6,0)</f>
        <v>365035281.99771738</v>
      </c>
      <c r="AJ8" s="13">
        <f>IF(AJ7&gt;0,+ESCENARIO[[#This Row],[06-mar]]+AJ6,0)</f>
        <v>368864223.93090367</v>
      </c>
      <c r="AK8" s="13">
        <f>IF(AK7&gt;0,+ESCENARIO[[#This Row],[07-mar]]+AK6,0)</f>
        <v>373496938.11602956</v>
      </c>
      <c r="AL8" s="13">
        <f>IF(AL7&gt;0,+ESCENARIO[[#This Row],[08-mar]]+AL6,0)</f>
        <v>378129652.30115545</v>
      </c>
      <c r="AM8" s="13">
        <f>IF(AM7&gt;0,+ESCENARIO[[#This Row],[09-mar]]+AM6,0)</f>
        <v>382762366.48628134</v>
      </c>
      <c r="AN8" s="13">
        <f>IF(AN7&gt;0,+ESCENARIO[[#This Row],[10-mar]]+AN6,0)</f>
        <v>388797432.25416428</v>
      </c>
      <c r="AO8" s="13">
        <f>IF(AO7&gt;0,+ESCENARIO[[#This Row],[11-mar]]+AO6,0)</f>
        <v>401965728.59651178</v>
      </c>
      <c r="AP8" s="13">
        <f>IF(AP7&gt;0,+ESCENARIO[[#This Row],[12-mar]]+AP6,0)</f>
        <v>416515646.53471488</v>
      </c>
      <c r="AQ8" s="13">
        <f>IF(AQ7&gt;0,+ESCENARIO[[#This Row],[13-mar]]+AQ6,0)</f>
        <v>430831907.56192744</v>
      </c>
      <c r="AR8" s="13">
        <f>IF(AR7&gt;0,+ESCENARIO[[#This Row],[14-mar]]+AR6,0)</f>
        <v>447754557.56829089</v>
      </c>
      <c r="AS8" s="13">
        <f>IF(AS7&gt;0,+ESCENARIO[[#This Row],[15-mar]]+AS6,0)</f>
        <v>464435457.57465434</v>
      </c>
      <c r="AT8" s="13">
        <f>IF(AT7&gt;0,+ESCENARIO[[#This Row],[16-mar]]+AT6,0)</f>
        <v>481116591.35326779</v>
      </c>
      <c r="AU8" s="13">
        <f>IF(AU7&gt;0,+ESCENARIO[[#This Row],[17-mar]]+AU6,0)</f>
        <v>500180120.67235529</v>
      </c>
      <c r="AV8" s="13">
        <f>IF(AV7&gt;0,+ESCENARIO[[#This Row],[18-mar]]+AV6,0)</f>
        <v>520513754.70391697</v>
      </c>
      <c r="AW8" s="13">
        <f>IF(AW7&gt;0,+ESCENARIO[[#This Row],[19-mar]]+AW6,0)</f>
        <v>540478601.69628549</v>
      </c>
      <c r="AX8" s="13">
        <f>IF(AX7&gt;0,+ESCENARIO[[#This Row],[20-mar]]+AX6,0)</f>
        <v>562999491.15119565</v>
      </c>
      <c r="AY8" s="13">
        <f>IF(AY7&gt;0,+ESCENARIO[[#This Row],[21-mar]]+AY6,0)</f>
        <v>588168587.35345697</v>
      </c>
      <c r="AZ8" s="13">
        <f>IF(AZ7&gt;0,+ESCENARIO[[#This Row],[22-mar]]+AZ6,0)</f>
        <v>614827960.068012</v>
      </c>
      <c r="BA8" s="13">
        <f>IF(BA7&gt;0,+ESCENARIO[[#This Row],[23-mar]]+BA6,0)</f>
        <v>644318256.91855562</v>
      </c>
      <c r="BB8" s="13">
        <f>IF(BB7&gt;0,+ESCENARIO[[#This Row],[24-mar]]+BB6,0)</f>
        <v>666380789.38209689</v>
      </c>
      <c r="BC8" s="13">
        <f>IF(BC7&gt;0,+ESCENARIO[[#This Row],[25-mar]]+BC6,0)</f>
        <v>688450504.4938004</v>
      </c>
      <c r="BD8" s="13">
        <f>IF(BD7&gt;0,+ESCENARIO[[#This Row],[26-mar]]+BD6,0)</f>
        <v>711677142.75919223</v>
      </c>
      <c r="BE8" s="13">
        <f>IF(BE7&gt;0,+ESCENARIO[[#This Row],[27-mar]]+BE6,0)</f>
        <v>736501839.59311104</v>
      </c>
      <c r="BF8" s="13">
        <f>IF(BF7&gt;0,+ESCENARIO[[#This Row],[28-mar]]+BF6,0)</f>
        <v>761862865.19503677</v>
      </c>
      <c r="BG8" s="13">
        <f>IF(BG7&gt;0,+ESCENARIO[[#This Row],[29-mar]]+BG6,0)</f>
        <v>787223890.7969625</v>
      </c>
      <c r="BH8" s="13">
        <f>IF(BH7&gt;0,+ESCENARIO[[#This Row],[30-mar]]+BH6,0)</f>
        <v>805862410.67444384</v>
      </c>
      <c r="BI8" s="13">
        <f>IF(BI7&gt;0,+ESCENARIO[[#This Row],[31-mar]]+BI6,0)</f>
        <v>806148183.73309898</v>
      </c>
      <c r="BJ8" s="13">
        <f>IF(BJ7&gt;0,+ESCENARIO[[#This Row],[01-abr]]+BJ6,0)</f>
        <v>806451703.89792788</v>
      </c>
      <c r="BK8" s="13">
        <f>IF(BK7&gt;0,+ESCENARIO[[#This Row],[02-abr]]+BK6,0)</f>
        <v>807395336.34720194</v>
      </c>
      <c r="BL8" s="13">
        <f>IF(BL7&gt;0,+ESCENARIO[[#This Row],[03-abr]]+BL6,0)</f>
        <v>808338968.79647601</v>
      </c>
      <c r="BM8" s="13">
        <f>IF(BM7&gt;0,+ESCENARIO[[#This Row],[04-abr]]+BM6,0)</f>
        <v>809282601.24575007</v>
      </c>
      <c r="BN8" s="13">
        <f>IF(BN7&gt;0,+ESCENARIO[[#This Row],[05-abr]]+BN6,0)</f>
        <v>810226233.69502413</v>
      </c>
      <c r="BO8" s="13">
        <f>IF(BO7&gt;0,+ESCENARIO[[#This Row],[06-abr]]+BO6,0)</f>
        <v>811169866.1442982</v>
      </c>
      <c r="BP8" s="13">
        <f>IF(BP7&gt;0,+ESCENARIO[[#This Row],[07-abr]]+BP6,0)</f>
        <v>811916188.49557006</v>
      </c>
      <c r="BQ8" s="13">
        <f>IF(BQ7&gt;0,+ESCENARIO[[#This Row],[08-abr]]+BQ6,0)</f>
        <v>813160142.84355354</v>
      </c>
      <c r="BR8" s="13">
        <f>IF(BR7&gt;0,+ESCENARIO[[#This Row],[09-abr]]+BR6,0)</f>
        <v>815032410.29159212</v>
      </c>
      <c r="BS8" s="13">
        <f>IF(BS7&gt;0,+ESCENARIO[[#This Row],[10-abr]]+BS6,0)</f>
        <v>817720683.66362691</v>
      </c>
      <c r="BT8" s="13">
        <f>IF(BT7&gt;0,+ESCENARIO[[#This Row],[11-abr]]+BT6,0)</f>
        <v>821832652.86031067</v>
      </c>
      <c r="BU8" s="13">
        <f>IF(BU7&gt;0,+ESCENARIO[[#This Row],[12-abr]]+BU6,0)</f>
        <v>825944622.05699444</v>
      </c>
      <c r="BV8" s="13">
        <f>IF(BV7&gt;0,+ESCENARIO[[#This Row],[13-abr]]+BV6,0)</f>
        <v>830056591.2536782</v>
      </c>
      <c r="BW8" s="13">
        <f>IF(BW7&gt;0,+ESCENARIO[[#This Row],[14-abr]]+BW6,0)</f>
        <v>841410361.08723092</v>
      </c>
      <c r="BX8" s="13">
        <f>IF(BX7&gt;0,+ESCENARIO[[#This Row],[15-abr]]+BX6,0)</f>
        <v>854166781.24146676</v>
      </c>
      <c r="BY8" s="13">
        <f>IF(BY7&gt;0,+ESCENARIO[[#This Row],[16-abr]]+BY6,0)</f>
        <v>867864049.8124392</v>
      </c>
      <c r="BZ8" s="13">
        <f>IF(BZ7&gt;0,+ESCENARIO[[#This Row],[17-abr]]+BZ6,0)</f>
        <v>884207148.05547237</v>
      </c>
      <c r="CA8" s="13">
        <f>IF(CA7&gt;0,+ESCENARIO[[#This Row],[18-abr]]+CA6,0)</f>
        <v>902968902.66495478</v>
      </c>
      <c r="CB8" s="13">
        <f>IF(CB7&gt;0,+ESCENARIO[[#This Row],[19-abr]]+CB6,0)</f>
        <v>921730657.27443719</v>
      </c>
      <c r="CC8" s="13">
        <f>IF(CC7&gt;0,+ESCENARIO[[#This Row],[20-abr]]+CC6,0)</f>
        <v>938558411.8839196</v>
      </c>
      <c r="CD8" s="13">
        <f>IF(CD7&gt;0,+ESCENARIO[[#This Row],[21-abr]]+CD6,0)</f>
        <v>956677472.78589022</v>
      </c>
      <c r="CE8" s="13">
        <f>IF(CE7&gt;0,+ESCENARIO[[#This Row],[22-abr]]+CE6,0)</f>
        <v>976385569.69308722</v>
      </c>
      <c r="CF8" s="13">
        <f>IF(CF7&gt;0,+ESCENARIO[[#This Row],[23-abr]]+CF6,0)</f>
        <v>998688250.80588245</v>
      </c>
      <c r="CG8" s="13">
        <f>IF(CG7&gt;0,+ESCENARIO[[#This Row],[24-abr]]+CG6,0)</f>
        <v>1023679445.2240208</v>
      </c>
      <c r="CH8" s="13">
        <f>IF(CH7&gt;0,+ESCENARIO[[#This Row],[25-abr]]+CH6,0)</f>
        <v>1050183598.6420369</v>
      </c>
      <c r="CI8" s="13">
        <f>IF(CI7&gt;0,+ESCENARIO[[#This Row],[26-abr]]+CI6,0)</f>
        <v>1076687752.0600531</v>
      </c>
      <c r="CJ8" s="13">
        <f>IF(CJ7&gt;0,+ESCENARIO[[#This Row],[27-abr]]+CJ6,0)</f>
        <v>1103191905.4780693</v>
      </c>
      <c r="CK8" s="13">
        <f>IF(CK7&gt;0,+ESCENARIO[[#This Row],[28-abr]]+CK6,0)</f>
        <v>1126261116.026258</v>
      </c>
      <c r="CL8" s="13">
        <f>IF(CL7&gt;0,+ESCENARIO[[#This Row],[29-abr]]+CL6,0)</f>
        <v>1150508180.0601959</v>
      </c>
      <c r="CM8" s="13">
        <f>IF(CM7&gt;0,+ESCENARIO[[#This Row],[30-abr]]+CM6,0)</f>
        <v>1153159243.0639679</v>
      </c>
      <c r="CN8" s="13">
        <f>IF(CN7&gt;0,+ESCENARIO[[#This Row],[01-may]]+CN6,0)</f>
        <v>1157468971.9224143</v>
      </c>
      <c r="CO8" s="13">
        <f>IF(CO7&gt;0,+ESCENARIO[[#This Row],[02-may]]+CO6,0)</f>
        <v>1161778700.7808607</v>
      </c>
      <c r="CP8" s="13">
        <f>IF(CP7&gt;0,+ESCENARIO[[#This Row],[03-may]]+CP6,0)</f>
        <v>1166088429.639307</v>
      </c>
      <c r="CQ8" s="13">
        <f>IF(CQ7&gt;0,+ESCENARIO[[#This Row],[04-may]]+CQ6,0)</f>
        <v>1170398158.4977534</v>
      </c>
      <c r="CR8" s="13">
        <f>IF(CR7&gt;0,+ESCENARIO[[#This Row],[05-may]]+CR6,0)</f>
        <v>1174315275.2722595</v>
      </c>
      <c r="CS8" s="13">
        <f>IF(CS7&gt;0,+ESCENARIO[[#This Row],[06-may]]+CS6,0)</f>
        <v>1179157651.3019104</v>
      </c>
      <c r="CT8" s="13">
        <f>IF(CT7&gt;0,+ESCENARIO[[#This Row],[07-may]]+CT6,0)</f>
        <v>1184526875.6159208</v>
      </c>
      <c r="CU8" s="13">
        <f>IF(CU7&gt;0,+ESCENARIO[[#This Row],[08-may]]+CU6,0)</f>
        <v>1190561556.8326514</v>
      </c>
      <c r="CV8" s="13">
        <f>IF(CV7&gt;0,+ESCENARIO[[#This Row],[09-may]]+CV6,0)</f>
        <v>1197460483.5580881</v>
      </c>
      <c r="CW8" s="13">
        <f>IF(CW7&gt;0,+ESCENARIO[[#This Row],[10-may]]+CW6,0)</f>
        <v>1204359410.2835248</v>
      </c>
      <c r="CX8" s="13">
        <f>IF(CX7&gt;0,+ESCENARIO[[#This Row],[11-may]]+CX6,0)</f>
        <v>1211258337.0089614</v>
      </c>
      <c r="CY8" s="13">
        <f>IF(CY7&gt;0,+ESCENARIO[[#This Row],[12-may]]+CY6,0)</f>
        <v>1219665123.7707458</v>
      </c>
      <c r="CZ8" s="13">
        <f>IF(CZ7&gt;0,+ESCENARIO[[#This Row],[13-may]]+CZ6,0)</f>
        <v>1235741822.5899193</v>
      </c>
      <c r="DA8" s="13">
        <f>IF(DA7&gt;0,+ESCENARIO[[#This Row],[14-may]]+DA6,0)</f>
        <v>1253304091.8005419</v>
      </c>
      <c r="DB8" s="13">
        <f>IF(DB7&gt;0,+ESCENARIO[[#This Row],[15-may]]+DB6,0)</f>
        <v>1270460679.2899189</v>
      </c>
      <c r="DC8" s="13">
        <f>IF(DC7&gt;0,+ESCENARIO[[#This Row],[16-may]]+DC6,0)</f>
        <v>1290419901.4882345</v>
      </c>
      <c r="DD8" s="13">
        <f>IF(DD7&gt;0,+ESCENARIO[[#This Row],[17-may]]+DD6,0)</f>
        <v>1310379123.6865501</v>
      </c>
      <c r="DE8" s="13">
        <f>IF(DE7&gt;0,+ESCENARIO[[#This Row],[18-may]]+DE6,0)</f>
        <v>1330338345.8848658</v>
      </c>
      <c r="DF8" s="13">
        <f>IF(DF7&gt;0,+ESCENARIO[[#This Row],[19-may]]+DF6,0)</f>
        <v>1352859207.4540949</v>
      </c>
      <c r="DG8" s="13">
        <f>IF(DG7&gt;0,+ESCENARIO[[#This Row],[20-may]]+DG6,0)</f>
        <v>1376745732.3573015</v>
      </c>
      <c r="DH8" s="13">
        <f>IF(DH7&gt;0,+ESCENARIO[[#This Row],[21-may]]+DH6,0)</f>
        <v>1402315231.8447657</v>
      </c>
      <c r="DI8" s="13">
        <f>IF(DI7&gt;0,+ESCENARIO[[#This Row],[22-may]]+DI6,0)</f>
        <v>1430632698.8171556</v>
      </c>
      <c r="DJ8" s="13">
        <f>IF(DJ7&gt;0,+ESCENARIO[[#This Row],[23-may]]+DJ6,0)</f>
        <v>1461797615.1534677</v>
      </c>
      <c r="DK8" s="13">
        <f>IF(DK7&gt;0,+ESCENARIO[[#This Row],[24-may]]+DK6,0)</f>
        <v>1492962531.4897797</v>
      </c>
      <c r="DL8" s="13">
        <f>IF(DL7&gt;0,+ESCENARIO[[#This Row],[25-may]]+DL6,0)</f>
        <v>1524127447.8260918</v>
      </c>
      <c r="DM8" s="13">
        <f>IF(DM7&gt;0,+ESCENARIO[[#This Row],[26-may]]+DM6,0)</f>
        <v>1548729949.2112041</v>
      </c>
      <c r="DN8" s="13">
        <f>IF(DN7&gt;0,+ESCENARIO[[#This Row],[27-may]]+DN6,0)</f>
        <v>1574941196.6083002</v>
      </c>
      <c r="DO8" s="13">
        <f>IF(DO7&gt;0,+ESCENARIO[[#This Row],[28-may]]+DO6,0)</f>
        <v>1604196357.8306277</v>
      </c>
      <c r="DP8" s="13">
        <f>IF(DP7&gt;0,+ESCENARIO[[#This Row],[29-may]]+DP6,0)</f>
        <v>1610312161.347775</v>
      </c>
      <c r="DQ8" s="13">
        <f>IF(DQ7&gt;0,+ESCENARIO[[#This Row],[30-may]]+DQ6,0)</f>
        <v>1618168632.0144081</v>
      </c>
      <c r="DR8" s="13">
        <f>IF(DR7&gt;0,+ESCENARIO[[#This Row],[31-may]]+DR6,0)</f>
        <v>1626601783.1123717</v>
      </c>
      <c r="DS8" s="13">
        <f>IF(DS7&gt;0,+ESCENARIO[[#This Row],[01-jun]]+DS6,0)</f>
        <v>1636192856.6133399</v>
      </c>
      <c r="DT8" s="13">
        <f>IF(DT7&gt;0,+ESCENARIO[[#This Row],[02-jun]]+DT6,0)</f>
        <v>1644713364.4143081</v>
      </c>
      <c r="DU8" s="13">
        <f>IF(DU7&gt;0,+ESCENARIO[[#This Row],[03-jun]]+DU6,0)</f>
        <v>1653894283.9768376</v>
      </c>
      <c r="DV8" s="13">
        <f>IF(DV7&gt;0,+ESCENARIO[[#This Row],[04-jun]]+DV6,0)</f>
        <v>1663974739.8517663</v>
      </c>
      <c r="DW8" s="13">
        <f>IF(DW7&gt;0,+ESCENARIO[[#This Row],[05-jun]]+DW6,0)</f>
        <v>1674567607.464705</v>
      </c>
      <c r="DX8" s="13">
        <f>IF(DX7&gt;0,+ESCENARIO[[#This Row],[06-jun]]+DX6,0)</f>
        <v>1685807697.3202064</v>
      </c>
      <c r="DY8" s="13">
        <f>IF(DY7&gt;0,+ESCENARIO[[#This Row],[07-jun]]+DY6,0)</f>
        <v>1697047787.1757078</v>
      </c>
      <c r="DZ8" s="13">
        <f>IF(DZ7&gt;0,+ESCENARIO[[#This Row],[08-jun]]+DZ6,0)</f>
        <v>1708287877.0312092</v>
      </c>
      <c r="EA8" s="13">
        <f>IF(EA7&gt;0,+ESCENARIO[[#This Row],[09-jun]]+EA6,0)</f>
        <v>1719302896.5866034</v>
      </c>
      <c r="EB8" s="13">
        <f>IF(EB7&gt;0,+ESCENARIO[[#This Row],[10-jun]]+EB6,0)</f>
        <v>1731784675.8708837</v>
      </c>
      <c r="EC8" s="13">
        <f>IF(EC7&gt;0,+ESCENARIO[[#This Row],[11-jun]]+EC6,0)</f>
        <v>1751726198.4709995</v>
      </c>
      <c r="ED8" s="13">
        <f>IF(ED7&gt;0,+ESCENARIO[[#This Row],[12-jun]]+ED6,0)</f>
        <v>1773112584.2866118</v>
      </c>
      <c r="EE8" s="13">
        <f>IF(EE7&gt;0,+ESCENARIO[[#This Row],[13-jun]]+EE6,0)</f>
        <v>1795468133.4415507</v>
      </c>
      <c r="EF8" s="13">
        <f>IF(EF7&gt;0,+ESCENARIO[[#This Row],[14-jun]]+EF6,0)</f>
        <v>1817823682.5964897</v>
      </c>
      <c r="EG8" s="13">
        <f>IF(EG7&gt;0,+ESCENARIO[[#This Row],[15-jun]]+EG6,0)</f>
        <v>1839937481.7514286</v>
      </c>
      <c r="EH8" s="13">
        <f>IF(EH7&gt;0,+ESCENARIO[[#This Row],[16-jun]]+EH6,0)</f>
        <v>1862051514.6786175</v>
      </c>
      <c r="EI8" s="13">
        <f>IF(EI7&gt;0,+ESCENARIO[[#This Row],[17-jun]]+EI6,0)</f>
        <v>1886891003.7735045</v>
      </c>
      <c r="EJ8" s="13">
        <f>IF(EJ7&gt;0,+ESCENARIO[[#This Row],[18-jun]]+EJ6,0)</f>
        <v>1914221938.9282382</v>
      </c>
      <c r="EK8" s="13">
        <f>IF(EK7&gt;0,+ESCENARIO[[#This Row],[19-jun]]+EK6,0)</f>
        <v>1942881115.8999696</v>
      </c>
      <c r="EL8" s="13">
        <f>IF(EL7&gt;0,+ESCENARIO[[#This Row],[20-jun]]+EL6,0)</f>
        <v>1973177151.0666449</v>
      </c>
      <c r="EM8" s="13">
        <f>IF(EM7&gt;0,+ESCENARIO[[#This Row],[21-jun]]+EM6,0)</f>
        <v>2003473186.2333202</v>
      </c>
      <c r="EN8" s="13">
        <f>IF(EN7&gt;0,+ESCENARIO[[#This Row],[22-jun]]+EN6,0)</f>
        <v>2033769221.3999956</v>
      </c>
      <c r="EO8" s="13">
        <f>IF(EO7&gt;0,+ESCENARIO[[#This Row],[23-jun]]+EO6,0)</f>
        <v>2060579822.4495194</v>
      </c>
      <c r="EP8" s="13">
        <f>IF(EP7&gt;0,+ESCENARIO[[#This Row],[24-jun]]+EP6,0)</f>
        <v>2090163218.2828186</v>
      </c>
      <c r="EQ8" s="13">
        <f>IF(EQ7&gt;0,+ESCENARIO[[#This Row],[25-jun]]+EQ6,0)</f>
        <v>2121305105.7610009</v>
      </c>
      <c r="ER8" s="13">
        <f>IF(ER7&gt;0,+ESCENARIO[[#This Row],[26-jun]]+ER6,0)</f>
        <v>2155407498.6063695</v>
      </c>
      <c r="ES8" s="13">
        <f>IF(ES7&gt;0,+ESCENARIO[[#This Row],[27-jun]]+ES6,0)</f>
        <v>2190719770.9968572</v>
      </c>
      <c r="ET8" s="13">
        <f>IF(ET7&gt;0,+ESCENARIO[[#This Row],[28-jun]]+ET6,0)</f>
        <v>2226032043.3873448</v>
      </c>
      <c r="EU8" s="13">
        <f>IF(EU7&gt;0,+ESCENARIO[[#This Row],[29-jun]]+EU6,0)</f>
        <v>2261344315.7778325</v>
      </c>
      <c r="EV8" s="13">
        <f>IF(EV7&gt;0,+ESCENARIO[[#This Row],[30-jun]]+EV6,0)</f>
        <v>2271092630.319809</v>
      </c>
      <c r="EW8" s="13">
        <f>IF(EW7&gt;0,+ESCENARIO[[#This Row],[01-jul]]+EW6,0)</f>
        <v>2282552736.9514699</v>
      </c>
      <c r="EX8" s="13">
        <f>IF(EX7&gt;0,+ESCENARIO[[#This Row],[02-jul]]+EX6,0)</f>
        <v>2294674417.9464979</v>
      </c>
      <c r="EY8" s="13">
        <f>IF(EY7&gt;0,+ESCENARIO[[#This Row],[03-jul]]+EY6,0)</f>
        <v>2307698633.595191</v>
      </c>
      <c r="EZ8" s="13">
        <f>IF(EZ7&gt;0,+ESCENARIO[[#This Row],[04-jul]]+EZ6,0)</f>
        <v>2321236968.9565892</v>
      </c>
      <c r="FA8" s="13">
        <f>IF(FA7&gt;0,+ESCENARIO[[#This Row],[05-jul]]+FA6,0)</f>
        <v>2334775304.3179874</v>
      </c>
      <c r="FB8" s="13">
        <f>IF(FB7&gt;0,+ESCENARIO[[#This Row],[06-jul]]+FB6,0)</f>
        <v>2348313639.6793857</v>
      </c>
      <c r="FC8" s="13">
        <f>IF(FC7&gt;0,+ESCENARIO[[#This Row],[07-jul]]+FC6,0)</f>
        <v>2361430788.9094396</v>
      </c>
      <c r="FD8" s="13">
        <f>IF(FD7&gt;0,+ESCENARIO[[#This Row],[08-jul]]+FD6,0)</f>
        <v>2375391710.8996811</v>
      </c>
      <c r="FE8" s="13">
        <f>IF(FE7&gt;0,+ESCENARIO[[#This Row],[09-jul]]+FE6,0)</f>
        <v>2390824063.2650437</v>
      </c>
      <c r="FF8" s="13">
        <f>IF(FF7&gt;0,+ESCENARIO[[#This Row],[10-jul]]+FF6,0)</f>
        <v>2406256415.6304064</v>
      </c>
      <c r="FG8" s="13">
        <f>IF(FG7&gt;0,+ESCENARIO[[#This Row],[11-jul]]+FG6,0)</f>
        <v>2421688767.995769</v>
      </c>
      <c r="FH8" s="13">
        <f>IF(FH7&gt;0,+ESCENARIO[[#This Row],[12-jul]]+FH6,0)</f>
        <v>2437121120.3611317</v>
      </c>
      <c r="FI8" s="13">
        <f>IF(FI7&gt;0,+ESCENARIO[[#This Row],[13-jul]]+FI6,0)</f>
        <v>2452553472.7264943</v>
      </c>
      <c r="FJ8" s="13">
        <f>IF(FJ7&gt;0,+ESCENARIO[[#This Row],[14-jul]]+FJ6,0)</f>
        <v>2475470433.2807474</v>
      </c>
      <c r="FK8" s="13">
        <f>IF(FK7&gt;0,+ESCENARIO[[#This Row],[15-jul]]+FK6,0)</f>
        <v>2499837073.0795364</v>
      </c>
      <c r="FL8" s="13">
        <f>IF(FL7&gt;0,+ESCENARIO[[#This Row],[16-jul]]+FL6,0)</f>
        <v>2525176106.6402526</v>
      </c>
      <c r="FM8" s="13">
        <f>IF(FM7&gt;0,+ESCENARIO[[#This Row],[17-jul]]+FM6,0)</f>
        <v>2553249680.8798571</v>
      </c>
      <c r="FN8" s="13">
        <f>IF(FN7&gt;0,+ESCENARIO[[#This Row],[18-jul]]+FN6,0)</f>
        <v>2583823005.6862302</v>
      </c>
      <c r="FO8" s="13">
        <f>IF(FO7&gt;0,+ESCENARIO[[#This Row],[19-jul]]+FO6,0)</f>
        <v>2614396330.4926033</v>
      </c>
      <c r="FP8" s="13">
        <f>IF(FP7&gt;0,+ESCENARIO[[#This Row],[20-jul]]+FP6,0)</f>
        <v>2644969655.2989764</v>
      </c>
      <c r="FQ8" s="13">
        <f>IF(FQ7&gt;0,+ESCENARIO[[#This Row],[21-jul]]+FQ6,0)</f>
        <v>2676875649.2280555</v>
      </c>
      <c r="FR8" s="13">
        <f>IF(FR7&gt;0,+ESCENARIO[[#This Row],[22-jul]]+FR6,0)</f>
        <v>2710423957.3402414</v>
      </c>
      <c r="FS8" s="13">
        <f>IF(FS7&gt;0,+ESCENARIO[[#This Row],[23-jul]]+FS6,0)</f>
        <v>2746653842.4752908</v>
      </c>
      <c r="FT8" s="13">
        <f>IF(FT7&gt;0,+ESCENARIO[[#This Row],[24-jul]]+FT6,0)</f>
        <v>2785662383.0456567</v>
      </c>
      <c r="FU8" s="13">
        <f>IF(FU7&gt;0,+ESCENARIO[[#This Row],[25-jul]]+FU6,0)</f>
        <v>2826234610.0370884</v>
      </c>
      <c r="FV8" s="13">
        <f>IF(FV7&gt;0,+ESCENARIO[[#This Row],[26-jul]]+FV6,0)</f>
        <v>2866806837.0285201</v>
      </c>
      <c r="FW8" s="13">
        <f>IF(FW7&gt;0,+ESCENARIO[[#This Row],[27-jul]]+FW6,0)</f>
        <v>2907379064.0199518</v>
      </c>
      <c r="FX8" s="13">
        <f>IF(FX7&gt;0,+ESCENARIO[[#This Row],[28-jul]]+FX6,0)</f>
        <v>2944729716.7763367</v>
      </c>
      <c r="FY8" s="13">
        <f>IF(FY7&gt;0,+ESCENARIO[[#This Row],[29-jul]]+FY6,0)</f>
        <v>2983297397.1198106</v>
      </c>
      <c r="FZ8" s="13">
        <f>IF(FZ7&gt;0,+ESCENARIO[[#This Row],[30-jul]]+FZ6,0)</f>
        <v>3023541855.2042346</v>
      </c>
      <c r="GA8" s="13">
        <f>IF(GA7&gt;0,+ESCENARIO[[#This Row],[31-jul]]+GA6,0)</f>
        <v>3040478038.4904075</v>
      </c>
      <c r="GB8" s="13">
        <f>IF(GB7&gt;0,+ESCENARIO[[#This Row],[01-ago]]+GB6,0)</f>
        <v>3058566708.058249</v>
      </c>
      <c r="GC8" s="13">
        <f>IF(GC7&gt;0,+ESCENARIO[[#This Row],[02-ago]]+GC6,0)</f>
        <v>3076655377.6260905</v>
      </c>
      <c r="GD8" s="13">
        <f>IF(GD7&gt;0,+ESCENARIO[[#This Row],[03-ago]]+GD6,0)</f>
        <v>3094744047.1939321</v>
      </c>
      <c r="GE8" s="13">
        <f>IF(GE7&gt;0,+ESCENARIO[[#This Row],[04-ago]]+GE6,0)</f>
        <v>3112431613.5573039</v>
      </c>
      <c r="GF8" s="13">
        <f>IF(GF7&gt;0,+ESCENARIO[[#This Row],[05-ago]]+GF6,0)</f>
        <v>3131032863.608778</v>
      </c>
      <c r="GG8" s="13">
        <f>IF(GG7&gt;0,+ESCENARIO[[#This Row],[06-ago]]+GG6,0)</f>
        <v>3150154363.3629718</v>
      </c>
      <c r="GH8" s="13">
        <f>IF(GH7&gt;0,+ESCENARIO[[#This Row],[07-ago]]+GH6,0)</f>
        <v>3169932985.41611</v>
      </c>
      <c r="GI8" s="13">
        <f>IF(GI7&gt;0,+ESCENARIO[[#This Row],[08-ago]]+GI6,0)</f>
        <v>3190565028.6197562</v>
      </c>
      <c r="GJ8" s="13">
        <f>IF(GJ7&gt;0,+ESCENARIO[[#This Row],[09-ago]]+GJ6,0)</f>
        <v>3211197071.8234024</v>
      </c>
      <c r="GK8" s="13">
        <f>IF(GK7&gt;0,+ESCENARIO[[#This Row],[10-ago]]+GK6,0)</f>
        <v>3231829115.0270486</v>
      </c>
      <c r="GL8" s="13">
        <f>IF(GL7&gt;0,+ESCENARIO[[#This Row],[11-ago]]+GL6,0)</f>
        <v>3253950132.8728099</v>
      </c>
      <c r="GM8" s="13">
        <f>IF(GM7&gt;0,+ESCENARIO[[#This Row],[12-ago]]+GM6,0)</f>
        <v>3283644999.9389319</v>
      </c>
      <c r="GN8" s="13">
        <f>IF(GN7&gt;0,+ESCENARIO[[#This Row],[13-ago]]+GN6,0)</f>
        <v>3314806831.1719017</v>
      </c>
      <c r="GO8" s="13">
        <f>IF(GO7&gt;0,+ESCENARIO[[#This Row],[14-ago]]+GO6,0)</f>
        <v>3345792250.2837009</v>
      </c>
      <c r="GP8" s="13">
        <f>IF(GP7&gt;0,+ESCENARIO[[#This Row],[15-ago]]+GP6,0)</f>
        <v>3379544985.3416839</v>
      </c>
      <c r="GQ8" s="13">
        <f>IF(GQ7&gt;0,+ESCENARIO[[#This Row],[16-ago]]+GQ6,0)</f>
        <v>3413297720.3996668</v>
      </c>
      <c r="GR8" s="13">
        <f>IF(GR7&gt;0,+ESCENARIO[[#This Row],[17-ago]]+GR6,0)</f>
        <v>3447050455.4576497</v>
      </c>
      <c r="GS8" s="13">
        <f>IF(GS7&gt;0,+ESCENARIO[[#This Row],[18-ago]]+GS6,0)</f>
        <v>3483332746.2924228</v>
      </c>
      <c r="GT8" s="13">
        <f>IF(GT7&gt;0,+ESCENARIO[[#This Row],[19-ago]]+GT6,0)</f>
        <v>3520963596.0285139</v>
      </c>
      <c r="GU8" s="13">
        <f>IF(GU7&gt;0,+ESCENARIO[[#This Row],[20-ago]]+GU6,0)</f>
        <v>3560256341.7091074</v>
      </c>
      <c r="GV8" s="13">
        <f>IF(GV7&gt;0,+ESCENARIO[[#This Row],[21-ago]]+GV6,0)</f>
        <v>3602262637.5891757</v>
      </c>
      <c r="GW8" s="13">
        <f>IF(GW7&gt;0,+ESCENARIO[[#This Row],[22-ago]]+GW6,0)</f>
        <v>3647080719.5736465</v>
      </c>
      <c r="GX8" s="13">
        <f>IF(GX7&gt;0,+ESCENARIO[[#This Row],[23-ago]]+GX6,0)</f>
        <v>3691898801.5581174</v>
      </c>
      <c r="GY8" s="13">
        <f>IF(GY7&gt;0,+ESCENARIO[[#This Row],[24-ago]]+GY6,0)</f>
        <v>3736716883.5425882</v>
      </c>
      <c r="GZ8" s="13">
        <f>IF(GZ7&gt;0,+ESCENARIO[[#This Row],[25-ago]]+GZ6,0)</f>
        <v>3776944688.6279998</v>
      </c>
      <c r="HA8" s="13">
        <f>IF(HA7&gt;0,+ESCENARIO[[#This Row],[26-ago]]+HA6,0)</f>
        <v>3820182722.4315228</v>
      </c>
      <c r="HB8" s="13">
        <f>IF(HB7&gt;0,+ESCENARIO[[#This Row],[27-ago]]+HB6,0)</f>
        <v>3864649142.3686647</v>
      </c>
      <c r="HC8" s="13">
        <f>IF(HC7&gt;0,+ESCENARIO[[#This Row],[28-ago]]+HC6,0)</f>
        <v>3910812332.726583</v>
      </c>
      <c r="HD8" s="13">
        <f>IF(HD7&gt;0,+ESCENARIO[[#This Row],[29-ago]]+HD6,0)</f>
        <v>3957544980.8048182</v>
      </c>
      <c r="HE8" s="13">
        <f>IF(HE7&gt;0,+ESCENARIO[[#This Row],[30-ago]]+HE6,0)</f>
        <v>4004277628.8830533</v>
      </c>
      <c r="HF8" s="13">
        <f>IF(HF7&gt;0,+ESCENARIO[[#This Row],[31-ago]]+HF6,0)</f>
        <v>4029946200.3044691</v>
      </c>
      <c r="HG8" s="13">
        <f>IF(HG7&gt;0,+ESCENARIO[[#This Row],[01-sep]]+HG6,0)</f>
        <v>4056778560.5373683</v>
      </c>
      <c r="HH8" s="13">
        <f>IF(HH7&gt;0,+ESCENARIO[[#This Row],[02-sep]]+HH6,0)</f>
        <v>4083610920.7702675</v>
      </c>
      <c r="HI8" s="13">
        <f>IF(HI7&gt;0,+ESCENARIO[[#This Row],[03-sep]]+HI6,0)</f>
        <v>4111135103.94769</v>
      </c>
      <c r="HJ8" s="13">
        <f>IF(HJ7&gt;0,+ESCENARIO[[#This Row],[04-sep]]+HJ6,0)</f>
        <v>4139603087.5747776</v>
      </c>
      <c r="HK8" s="13">
        <f>IF(HK7&gt;0,+ESCENARIO[[#This Row],[05-sep]]+HK6,0)</f>
        <v>4168608697.5567789</v>
      </c>
      <c r="HL8" s="13">
        <f>IF(HL7&gt;0,+ESCENARIO[[#This Row],[06-sep]]+HL6,0)</f>
        <v>4197614307.5387802</v>
      </c>
      <c r="HM8" s="13">
        <f>IF(HM7&gt;0,+ESCENARIO[[#This Row],[07-sep]]+HM6,0)</f>
        <v>4226619917.5207815</v>
      </c>
      <c r="HN8" s="13">
        <f>IF(HN7&gt;0,+ESCENARIO[[#This Row],[08-sep]]+HN6,0)</f>
        <v>4255238964.0807509</v>
      </c>
      <c r="HO8" s="13">
        <f>IF(HO7&gt;0,+ESCENARIO[[#This Row],[09-sep]]+HO6,0)</f>
        <v>4284740310.3764935</v>
      </c>
      <c r="HP8" s="13">
        <f>IF(HP7&gt;0,+ESCENARIO[[#This Row],[10-sep]]+HP6,0)</f>
        <v>4315780363.9607048</v>
      </c>
      <c r="HQ8" s="13">
        <f>IF(HQ7&gt;0,+ESCENARIO[[#This Row],[11-sep]]+HQ6,0)</f>
        <v>4354647237.8731546</v>
      </c>
      <c r="HR8" s="13">
        <f>IF(HR7&gt;0,+ESCENARIO[[#This Row],[12-sep]]+HR6,0)</f>
        <v>4395030073.4357271</v>
      </c>
      <c r="HS8" s="13">
        <f>IF(HS7&gt;0,+ESCENARIO[[#This Row],[13-sep]]+HS6,0)</f>
        <v>4435412908.9982996</v>
      </c>
      <c r="HT8" s="13">
        <f>IF(HT7&gt;0,+ESCENARIO[[#This Row],[14-sep]]+HT6,0)</f>
        <v>4475795744.5608721</v>
      </c>
      <c r="HU8" s="13">
        <f>IF(HU7&gt;0,+ESCENARIO[[#This Row],[15-sep]]+HU6,0)</f>
        <v>4515793283.7877693</v>
      </c>
      <c r="HV8" s="13">
        <f>IF(HV7&gt;0,+ESCENARIO[[#This Row],[16-sep]]+HV6,0)</f>
        <v>4558650765.2669077</v>
      </c>
      <c r="HW8" s="13">
        <f>IF(HW7&gt;0,+ESCENARIO[[#This Row],[17-sep]]+HW6,0)</f>
        <v>4604122291.2033834</v>
      </c>
      <c r="HX8" s="13">
        <f>IF(HX7&gt;0,+ESCENARIO[[#This Row],[18-sep]]+HX6,0)</f>
        <v>4650987418.7175465</v>
      </c>
      <c r="HY8" s="13">
        <f>IF(HY7&gt;0,+ESCENARIO[[#This Row],[19-sep]]+HY6,0)</f>
        <v>4699569950.4978104</v>
      </c>
      <c r="HZ8" s="13">
        <f>IF(HZ7&gt;0,+ESCENARIO[[#This Row],[20-sep]]+HZ6,0)</f>
        <v>4748152482.2780743</v>
      </c>
      <c r="IA8" s="13">
        <f>IF(IA7&gt;0,+ESCENARIO[[#This Row],[21-sep]]+IA6,0)</f>
        <v>4796735014.0583382</v>
      </c>
      <c r="IB8" s="13">
        <f>IF(IB7&gt;0,+ESCENARIO[[#This Row],[22-sep]]+IB6,0)</f>
        <v>4841970224.5355291</v>
      </c>
      <c r="IC8" s="13">
        <f>IF(IC7&gt;0,+ESCENARIO[[#This Row],[23-sep]]+IC6,0)</f>
        <v>4890114373.3196354</v>
      </c>
      <c r="ID8" s="13">
        <f>IF(ID7&gt;0,+ESCENARIO[[#This Row],[24-sep]]+ID6,0)</f>
        <v>4939893703.5799818</v>
      </c>
      <c r="IE8" s="13">
        <f>IF(IE7&gt;0,+ESCENARIO[[#This Row],[25-sep]]+IE6,0)</f>
        <v>4992779218.9473362</v>
      </c>
      <c r="IF8" s="13">
        <f>IF(IF7&gt;0,+ESCENARIO[[#This Row],[26-sep]]+IF6,0)</f>
        <v>5046934149.2821407</v>
      </c>
      <c r="IG8" s="13">
        <f>IF(IG7&gt;0,+ESCENARIO[[#This Row],[27-sep]]+IG6,0)</f>
        <v>5101089079.6169453</v>
      </c>
      <c r="IH8" s="13">
        <f>IF(IH7&gt;0,+ESCENARIO[[#This Row],[28-sep]]+IH6,0)</f>
        <v>5155244009.9517498</v>
      </c>
      <c r="II8" s="13">
        <f>IF(II7&gt;0,+ESCENARIO[[#This Row],[29-sep]]+II6,0)</f>
        <v>5211152383.8573589</v>
      </c>
      <c r="IJ8" s="13">
        <f>IF(IJ7&gt;0,+ESCENARIO[[#This Row],[30-sep]]+IJ6,0)</f>
        <v>5247183909.0290756</v>
      </c>
      <c r="IK8" s="13">
        <f>IF(IK7&gt;0,+ESCENARIO[[#This Row],[01-oct]]+IK6,0)</f>
        <v>5284416265.8718357</v>
      </c>
      <c r="IL8" s="13">
        <f>IF(IL7&gt;0,+ESCENARIO[[#This Row],[02-oct]]+IL6,0)</f>
        <v>5322369339.2884903</v>
      </c>
      <c r="IM8" s="13">
        <f>IF(IM7&gt;0,+ESCENARIO[[#This Row],[03-oct]]+IM6,0)</f>
        <v>5361305630.4950533</v>
      </c>
      <c r="IN8" s="13">
        <f>IF(IN7&gt;0,+ESCENARIO[[#This Row],[04-oct]]+IN6,0)</f>
        <v>5400241921.7016163</v>
      </c>
      <c r="IO8" s="13">
        <f>IF(IO7&gt;0,+ESCENARIO[[#This Row],[05-oct]]+IO6,0)</f>
        <v>5439178212.9081793</v>
      </c>
      <c r="IP8" s="13">
        <f>IF(IP7&gt;0,+ESCENARIO[[#This Row],[06-oct]]+IP6,0)</f>
        <v>5477604018.4577885</v>
      </c>
      <c r="IQ8" s="13">
        <f>IF(IQ7&gt;0,+ESCENARIO[[#This Row],[07-oct]]+IQ6,0)</f>
        <v>5516737749.258338</v>
      </c>
      <c r="IR8" s="13">
        <f>IF(IR7&gt;0,+ESCENARIO[[#This Row],[08-oct]]+IR6,0)</f>
        <v>5556790239.1705484</v>
      </c>
      <c r="IS8" s="13">
        <f>IF(IS7&gt;0,+ESCENARIO[[#This Row],[09-oct]]+IS6,0)</f>
        <v>5598445699.6895447</v>
      </c>
      <c r="IT8" s="13">
        <f>IF(IT7&gt;0,+ESCENARIO[[#This Row],[10-oct]]+IT6,0)</f>
        <v>5648254863.661293</v>
      </c>
      <c r="IU8" s="13">
        <f>IF(IU7&gt;0,+ESCENARIO[[#This Row],[11-oct]]+IU6,0)</f>
        <v>5698064027.6330414</v>
      </c>
      <c r="IV8" s="13">
        <f>IF(IV7&gt;0,+ESCENARIO[[#This Row],[12-oct]]+IV6,0)</f>
        <v>5747873191.6047897</v>
      </c>
      <c r="IW8" s="13">
        <f>IF(IW7&gt;0,+ESCENARIO[[#This Row],[13-oct]]+IW6,0)</f>
        <v>5796616721.5765381</v>
      </c>
      <c r="IX8" s="13">
        <f>IF(IX7&gt;0,+ESCENARIO[[#This Row],[14-oct]]+IX6,0)</f>
        <v>5846940557.0249214</v>
      </c>
      <c r="IY8" s="13">
        <f>IF(IY7&gt;0,+ESCENARIO[[#This Row],[15-oct]]+IY6,0)</f>
        <v>5896921564.5078001</v>
      </c>
      <c r="IZ8" s="13">
        <f>IF(IZ7&gt;0,+ESCENARIO[[#This Row],[16-oct]]+IZ6,0)</f>
        <v>5949881901.6322021</v>
      </c>
      <c r="JA8" s="13">
        <f>IF(JA7&gt;0,+ESCENARIO[[#This Row],[17-oct]]+JA6,0)</f>
        <v>6005565457.4359112</v>
      </c>
      <c r="JB8" s="13">
        <f>IF(JB7&gt;0,+ESCENARIO[[#This Row],[18-oct]]+JB6,0)</f>
        <v>6061249013.2396202</v>
      </c>
      <c r="JC8" s="13">
        <f>IF(JC7&gt;0,+ESCENARIO[[#This Row],[19-oct]]+JC6,0)</f>
        <v>6116932569.0433292</v>
      </c>
      <c r="JD8" s="13">
        <f>IF(JD7&gt;0,+ESCENARIO[[#This Row],[20-oct]]+JD6,0)</f>
        <v>6174067929.4776821</v>
      </c>
      <c r="JE8" s="13">
        <f>IF(JE7&gt;0,+ESCENARIO[[#This Row],[21-oct]]+JE6,0)</f>
        <v>6232992420.6837931</v>
      </c>
      <c r="JF8" s="13">
        <f>IF(JF7&gt;0,+ESCENARIO[[#This Row],[22-oct]]+JF6,0)</f>
        <v>6294838211.613061</v>
      </c>
      <c r="JG8" s="13">
        <f>IF(JG7&gt;0,+ESCENARIO[[#This Row],[23-oct]]+JG6,0)</f>
        <v>6359711059.115654</v>
      </c>
      <c r="JH8" s="13">
        <f>IF(JH7&gt;0,+ESCENARIO[[#This Row],[24-oct]]+JH6,0)</f>
        <v>6426287380.607626</v>
      </c>
      <c r="JI8" s="13">
        <f>IF(JI7&gt;0,+ESCENARIO[[#This Row],[25-oct]]+JI6,0)</f>
        <v>6492863702.0995979</v>
      </c>
      <c r="JJ8" s="13">
        <f>IF(JJ7&gt;0,+ESCENARIO[[#This Row],[26-oct]]+JJ6,0)</f>
        <v>6559440023.5915699</v>
      </c>
      <c r="JK8" s="13">
        <f>IF(JK7&gt;0,+ESCENARIO[[#This Row],[27-oct]]+JK6,0)</f>
        <v>6623108660.8323727</v>
      </c>
      <c r="JL8" s="13">
        <f>IF(JL7&gt;0,+ESCENARIO[[#This Row],[28-oct]]+JL6,0)</f>
        <v>6688102541.2343626</v>
      </c>
      <c r="JM8" s="13">
        <f>IF(JM7&gt;0,+ESCENARIO[[#This Row],[29-oct]]+JM6,0)</f>
        <v>6754923096.8758364</v>
      </c>
      <c r="JN8" s="13">
        <f>IF(JN7&gt;0,+ESCENARIO[[#This Row],[30-oct]]+JN6,0)</f>
        <v>6802543386.3352852</v>
      </c>
      <c r="JO8" s="13">
        <f>IF(JO7&gt;0,+ESCENARIO[[#This Row],[31-oct]]+JO6,0)</f>
        <v>6851413202.5758924</v>
      </c>
      <c r="JP8" s="13">
        <f>IF(JP7&gt;0,+ESCENARIO[[#This Row],[01-nov]]+JP6,0)</f>
        <v>6900283018.8164997</v>
      </c>
      <c r="JQ8" s="13">
        <f>IF(JQ7&gt;0,+ESCENARIO[[#This Row],[02-nov]]+JQ6,0)</f>
        <v>6949152835.057107</v>
      </c>
      <c r="JR8" s="13">
        <f>IF(JR7&gt;0,+ESCENARIO[[#This Row],[03-nov]]+JR6,0)</f>
        <v>6997683384.8644915</v>
      </c>
      <c r="JS8" s="13">
        <f>IF(JS7&gt;0,+ESCENARIO[[#This Row],[04-nov]]+JS6,0)</f>
        <v>7047211917.6805153</v>
      </c>
      <c r="JT8" s="13">
        <f>IF(JT7&gt;0,+ESCENARIO[[#This Row],[05-nov]]+JT6,0)</f>
        <v>7097308754.5145845</v>
      </c>
      <c r="JU8" s="13">
        <f>IF(JU7&gt;0,+ESCENARIO[[#This Row],[06-nov]]+JU6,0)</f>
        <v>7148123410.5821571</v>
      </c>
      <c r="JV8" s="13">
        <f>IF(JV7&gt;0,+ESCENARIO[[#This Row],[07-nov]]+JV6,0)</f>
        <v>7199870316.42591</v>
      </c>
      <c r="JW8" s="13">
        <f>IF(JW7&gt;0,+ESCENARIO[[#This Row],[08-nov]]+JW6,0)</f>
        <v>7251617222.2696629</v>
      </c>
      <c r="JX8" s="13">
        <f>IF(JX7&gt;0,+ESCENARIO[[#This Row],[09-nov]]+JX6,0)</f>
        <v>7303364128.1134157</v>
      </c>
      <c r="JY8" s="13">
        <f>IF(JY7&gt;0,+ESCENARIO[[#This Row],[10-nov]]+JY6,0)</f>
        <v>7356737541.8964472</v>
      </c>
      <c r="JZ8" s="13">
        <f>IF(JZ7&gt;0,+ESCENARIO[[#This Row],[11-nov]]+JZ6,0)</f>
        <v>7418384384.6146517</v>
      </c>
      <c r="KA8" s="13">
        <f>IF(KA7&gt;0,+ESCENARIO[[#This Row],[12-nov]]+KA6,0)</f>
        <v>7481633691.7379084</v>
      </c>
      <c r="KB8" s="13">
        <f>IF(KB7&gt;0,+ESCENARIO[[#This Row],[13-nov]]+KB6,0)</f>
        <v>7544797475.5258188</v>
      </c>
      <c r="KC8" s="13">
        <f>IF(KC7&gt;0,+ESCENARIO[[#This Row],[14-nov]]+KC6,0)</f>
        <v>7610984082.4717636</v>
      </c>
      <c r="KD8" s="13">
        <f>IF(KD7&gt;0,+ESCENARIO[[#This Row],[15-nov]]+KD6,0)</f>
        <v>7676928939.4177084</v>
      </c>
      <c r="KE8" s="13">
        <f>IF(KE7&gt;0,+ESCENARIO[[#This Row],[16-nov]]+KE6,0)</f>
        <v>7742874030.1359034</v>
      </c>
      <c r="KF8" s="13">
        <f>IF(KF7&gt;0,+ESCENARIO[[#This Row],[17-nov]]+KF6,0)</f>
        <v>7811582326.1078501</v>
      </c>
      <c r="KG8" s="13">
        <f>IF(KG7&gt;0,+ESCENARIO[[#This Row],[18-nov]]+KG6,0)</f>
        <v>7881763744.38661</v>
      </c>
      <c r="KH8" s="13">
        <f>IF(KH7&gt;0,+ESCENARIO[[#This Row],[19-nov]]+KH6,0)</f>
        <v>7953760564.2655935</v>
      </c>
      <c r="KI8" s="13">
        <f>IF(KI7&gt;0,+ESCENARIO[[#This Row],[20-nov]]+KI6,0)</f>
        <v>8028721578.9792223</v>
      </c>
      <c r="KJ8" s="13">
        <f>IF(KJ7&gt;0,+ESCENARIO[[#This Row],[21-nov]]+KJ6,0)</f>
        <v>8106754098.2658691</v>
      </c>
      <c r="KK8" s="13">
        <f>IF(KK7&gt;0,+ESCENARIO[[#This Row],[22-nov]]+KK6,0)</f>
        <v>8184786617.552516</v>
      </c>
      <c r="KL8" s="13">
        <f>IF(KL7&gt;0,+ESCENARIO[[#This Row],[23-nov]]+KL6,0)</f>
        <v>8262819136.8391628</v>
      </c>
      <c r="KM8" s="13">
        <f>IF(KM7&gt;0,+ESCENARIO[[#This Row],[24-nov]]+KM6,0)</f>
        <v>8334708058.54461</v>
      </c>
      <c r="KN8" s="13">
        <f>IF(KN7&gt;0,+ESCENARIO[[#This Row],[25-nov]]+KN6,0)</f>
        <v>8408331408.1793289</v>
      </c>
      <c r="KO8" s="13">
        <f>IF(KO7&gt;0,+ESCENARIO[[#This Row],[26-nov]]+KO6,0)</f>
        <v>8485238185.9067564</v>
      </c>
      <c r="KP8" s="13">
        <f>IF(KP7&gt;0,+ESCENARIO[[#This Row],[27-nov]]+KP6,0)</f>
        <v>8563486813.0803185</v>
      </c>
      <c r="KQ8" s="13">
        <f>IF(KQ7&gt;0,+ESCENARIO[[#This Row],[28-nov]]+KQ6,0)</f>
        <v>8643588937.6086807</v>
      </c>
      <c r="KR8" s="13">
        <f>IF(KR7&gt;0,+ESCENARIO[[#This Row],[29-nov]]+KR6,0)</f>
        <v>8723691062.137043</v>
      </c>
      <c r="KS8" s="13">
        <f>IF(KS7&gt;0,+ESCENARIO[[#This Row],[30-nov]]+KS6,0)</f>
        <v>8783922175.3137951</v>
      </c>
      <c r="KT8" s="13">
        <f>IF(KT7&gt;0,+ESCENARIO[[#This Row],[01-dic]]+KT6,0)</f>
        <v>8846043596.0439682</v>
      </c>
      <c r="KU8" s="13">
        <f>IF(KU7&gt;0,+ESCENARIO[[#This Row],[02-dic]]+KU6,0)</f>
        <v>8908930305.270422</v>
      </c>
      <c r="KV8" s="13">
        <f>IF(KV7&gt;0,+ESCENARIO[[#This Row],[03-dic]]+KV6,0)</f>
        <v>8972861038.3076382</v>
      </c>
      <c r="KW8" s="13">
        <f>IF(KW7&gt;0,+ESCENARIO[[#This Row],[04-dic]]+KW6,0)</f>
        <v>9037386488.9210358</v>
      </c>
      <c r="KX8" s="13">
        <f>IF(KX7&gt;0,+ESCENARIO[[#This Row],[05-dic]]+KX6,0)</f>
        <v>9102663121.4742565</v>
      </c>
      <c r="KY8" s="13">
        <f>IF(KY7&gt;0,+ESCENARIO[[#This Row],[06-dic]]+KY6,0)</f>
        <v>9167939754.0274773</v>
      </c>
      <c r="KZ8" s="13">
        <f>IF(KZ7&gt;0,+ESCENARIO[[#This Row],[07-dic]]+KZ6,0)</f>
        <v>9233216386.580698</v>
      </c>
      <c r="LA8" s="13">
        <f>IF(LA7&gt;0,+ESCENARIO[[#This Row],[08-dic]]+LA6,0)</f>
        <v>9298493019.1339188</v>
      </c>
      <c r="LB8" s="13">
        <f>IF(LB7&gt;0,+ESCENARIO[[#This Row],[09-dic]]+LB6,0)</f>
        <v>9362704017.6871395</v>
      </c>
      <c r="LC8" s="13">
        <f>IF(LC7&gt;0,+ESCENARIO[[#This Row],[10-dic]]+LC6,0)</f>
        <v>9427891625.4650211</v>
      </c>
      <c r="LD8" s="13">
        <f>IF(LD7&gt;0,+ESCENARIO[[#This Row],[11-dic]]+LD6,0)</f>
        <v>9494781337.8006229</v>
      </c>
      <c r="LE8" s="13">
        <f>IF(LE7&gt;0,+ESCENARIO[[#This Row],[12-dic]]+LE6,0)</f>
        <v>9570329010.3948097</v>
      </c>
      <c r="LF8" s="13">
        <f>IF(LF7&gt;0,+ESCENARIO[[#This Row],[13-dic]]+LF6,0)</f>
        <v>9645876682.9889965</v>
      </c>
      <c r="LG8" s="13">
        <f>IF(LG7&gt;0,+ESCENARIO[[#This Row],[14-dic]]+LG6,0)</f>
        <v>9721424355.5831833</v>
      </c>
      <c r="LH8" s="13">
        <f>IF(LH7&gt;0,+ESCENARIO[[#This Row],[15-dic]]+LH6,0)</f>
        <v>9798648971.7086983</v>
      </c>
      <c r="LI8" s="13">
        <f>IF(LI7&gt;0,+ESCENARIO[[#This Row],[16-dic]]+LI6,0)</f>
        <v>9876998422.4727135</v>
      </c>
      <c r="LJ8" s="13">
        <f>IF(LJ7&gt;0,+ESCENARIO[[#This Row],[17-dic]]+LJ6,0)</f>
        <v>9958511104.2203407</v>
      </c>
      <c r="LK8" s="13">
        <f>IF(LK7&gt;0,+ESCENARIO[[#This Row],[18-dic]]+LK6,0)</f>
        <v>10042915419.105904</v>
      </c>
      <c r="LL8" s="13">
        <f>IF(LL7&gt;0,+ESCENARIO[[#This Row],[19-dic]]+LL6,0)</f>
        <v>10128861323.879814</v>
      </c>
      <c r="LM8" s="13">
        <f>IF(LM7&gt;0,+ESCENARIO[[#This Row],[20-dic]]+LM6,0)</f>
        <v>10214807228.653725</v>
      </c>
      <c r="LN8" s="13">
        <f>IF(LN7&gt;0,+ESCENARIO[[#This Row],[21-dic]]+LN6,0)</f>
        <v>10300753133.427635</v>
      </c>
      <c r="LO8" s="13">
        <f>IF(LO7&gt;0,+ESCENARIO[[#This Row],[22-dic]]+LO6,0)</f>
        <v>10388598815.794519</v>
      </c>
      <c r="LP8" s="13">
        <f>IF(LP7&gt;0,+ESCENARIO[[#This Row],[23-dic]]+LP6,0)</f>
        <v>10473402864.865891</v>
      </c>
      <c r="LQ8" s="13">
        <f>IF(LQ7&gt;0,+ESCENARIO[[#This Row],[24-dic]]+LQ6,0)</f>
        <v>10561424116.748381</v>
      </c>
      <c r="LR8" s="13">
        <f>IF(LR7&gt;0,+ESCENARIO[[#This Row],[25-dic]]+LR6,0)</f>
        <v>10651254192.092142</v>
      </c>
      <c r="LS8" s="13">
        <f>IF(LS7&gt;0,+ESCENARIO[[#This Row],[26-dic]]+LS6,0)</f>
        <v>10741084267.435904</v>
      </c>
      <c r="LT8" s="13">
        <f>IF(LT7&gt;0,+ESCENARIO[[#This Row],[27-dic]]+LT6,0)</f>
        <v>10830914342.779665</v>
      </c>
      <c r="LU8" s="13">
        <f>IF(LU7&gt;0,+ESCENARIO[[#This Row],[28-dic]]+LU6,0)</f>
        <v>10920744418.123426</v>
      </c>
      <c r="LV8" s="13">
        <f>IF(LV7&gt;0,+ESCENARIO[[#This Row],[29-dic]]+LV6,0)</f>
        <v>11014010528.291605</v>
      </c>
      <c r="LW8" s="13">
        <f>IF(LW7&gt;0,+ESCENARIO[[#This Row],[30-dic]]+LW6,0)</f>
        <v>11085103763.480793</v>
      </c>
      <c r="LX8" s="13">
        <f>SUM(ESCENARIO[[#This Row],[01-mar]:[31-dic]])</f>
        <v>1183135692979.9961</v>
      </c>
    </row>
    <row r="9" spans="1:336" s="13" customFormat="1">
      <c r="A9" s="13" t="s">
        <v>343</v>
      </c>
      <c r="C9" s="13">
        <f>IF(C5&lt;0,-C5*(0.0967%),0)</f>
        <v>227245</v>
      </c>
      <c r="D9" s="13">
        <f t="shared" ref="D9:BO9" si="19">IF(D5&lt;0,-D5*(0.0967%),0)</f>
        <v>780425.2648878434</v>
      </c>
      <c r="E9" s="13">
        <f t="shared" si="19"/>
        <v>0</v>
      </c>
      <c r="F9" s="13">
        <f t="shared" si="19"/>
        <v>0</v>
      </c>
      <c r="G9" s="13">
        <f t="shared" si="19"/>
        <v>0</v>
      </c>
      <c r="H9" s="13">
        <f t="shared" si="19"/>
        <v>0</v>
      </c>
      <c r="I9" s="13">
        <f t="shared" si="19"/>
        <v>0</v>
      </c>
      <c r="J9" s="13">
        <f t="shared" si="19"/>
        <v>0</v>
      </c>
      <c r="K9" s="13">
        <f t="shared" si="19"/>
        <v>0</v>
      </c>
      <c r="L9" s="13">
        <f t="shared" si="19"/>
        <v>0</v>
      </c>
      <c r="M9" s="13">
        <f t="shared" si="19"/>
        <v>0</v>
      </c>
      <c r="N9" s="13">
        <f t="shared" si="19"/>
        <v>339716.1050602484</v>
      </c>
      <c r="O9" s="13">
        <f t="shared" si="19"/>
        <v>0</v>
      </c>
      <c r="P9" s="13">
        <f t="shared" si="19"/>
        <v>227245</v>
      </c>
      <c r="Q9" s="13">
        <f t="shared" si="19"/>
        <v>0</v>
      </c>
      <c r="R9" s="13">
        <f t="shared" si="19"/>
        <v>0</v>
      </c>
      <c r="S9" s="13">
        <f t="shared" si="19"/>
        <v>0</v>
      </c>
      <c r="T9" s="13">
        <f t="shared" si="19"/>
        <v>0</v>
      </c>
      <c r="U9" s="13">
        <f t="shared" si="19"/>
        <v>0</v>
      </c>
      <c r="V9" s="13">
        <f t="shared" si="19"/>
        <v>0</v>
      </c>
      <c r="W9" s="13">
        <f t="shared" si="19"/>
        <v>0</v>
      </c>
      <c r="X9" s="13">
        <f t="shared" si="19"/>
        <v>0</v>
      </c>
      <c r="Y9" s="13">
        <f t="shared" si="19"/>
        <v>0</v>
      </c>
      <c r="Z9" s="13">
        <f t="shared" si="19"/>
        <v>4141307.8971925615</v>
      </c>
      <c r="AA9" s="13">
        <f t="shared" si="19"/>
        <v>3156222.3812260502</v>
      </c>
      <c r="AB9" s="13">
        <f t="shared" si="19"/>
        <v>16654218.75235144</v>
      </c>
      <c r="AC9" s="13">
        <f t="shared" si="19"/>
        <v>0</v>
      </c>
      <c r="AD9" s="13">
        <f t="shared" si="19"/>
        <v>0</v>
      </c>
      <c r="AE9" s="13">
        <f t="shared" si="19"/>
        <v>0</v>
      </c>
      <c r="AF9" s="13">
        <f t="shared" si="19"/>
        <v>440050.06618812861</v>
      </c>
      <c r="AG9" s="13">
        <f t="shared" si="19"/>
        <v>0</v>
      </c>
      <c r="AH9" s="13">
        <f t="shared" si="19"/>
        <v>0</v>
      </c>
      <c r="AI9" s="13">
        <f t="shared" si="19"/>
        <v>0</v>
      </c>
      <c r="AJ9" s="13">
        <f t="shared" si="19"/>
        <v>0</v>
      </c>
      <c r="AK9" s="13">
        <f t="shared" si="19"/>
        <v>0</v>
      </c>
      <c r="AL9" s="13">
        <f t="shared" si="19"/>
        <v>0</v>
      </c>
      <c r="AM9" s="13">
        <f t="shared" si="19"/>
        <v>0</v>
      </c>
      <c r="AN9" s="13">
        <f t="shared" si="19"/>
        <v>0</v>
      </c>
      <c r="AO9" s="13">
        <f t="shared" si="19"/>
        <v>0</v>
      </c>
      <c r="AP9" s="13">
        <f t="shared" si="19"/>
        <v>233656.91099055583</v>
      </c>
      <c r="AQ9" s="13">
        <f t="shared" si="19"/>
        <v>0</v>
      </c>
      <c r="AR9" s="13">
        <f t="shared" si="19"/>
        <v>241750</v>
      </c>
      <c r="AS9" s="13">
        <f t="shared" si="19"/>
        <v>0</v>
      </c>
      <c r="AT9" s="13">
        <f t="shared" si="19"/>
        <v>0</v>
      </c>
      <c r="AU9" s="13">
        <f t="shared" si="19"/>
        <v>0</v>
      </c>
      <c r="AV9" s="13">
        <f t="shared" si="19"/>
        <v>368787.03919320507</v>
      </c>
      <c r="AW9" s="13">
        <f t="shared" si="19"/>
        <v>0</v>
      </c>
      <c r="AX9" s="13">
        <f t="shared" si="19"/>
        <v>0</v>
      </c>
      <c r="AY9" s="13">
        <f t="shared" si="19"/>
        <v>0</v>
      </c>
      <c r="AZ9" s="13">
        <f t="shared" si="19"/>
        <v>0</v>
      </c>
      <c r="BA9" s="13">
        <f t="shared" si="19"/>
        <v>7427764.3870023694</v>
      </c>
      <c r="BB9" s="13">
        <f t="shared" si="19"/>
        <v>0</v>
      </c>
      <c r="BC9" s="13">
        <f t="shared" si="19"/>
        <v>0</v>
      </c>
      <c r="BD9" s="13">
        <f t="shared" si="19"/>
        <v>0</v>
      </c>
      <c r="BE9" s="13">
        <f t="shared" si="19"/>
        <v>0</v>
      </c>
      <c r="BF9" s="13">
        <f t="shared" si="19"/>
        <v>0</v>
      </c>
      <c r="BG9" s="13">
        <f t="shared" si="19"/>
        <v>6722505.7244443996</v>
      </c>
      <c r="BH9" s="13">
        <f t="shared" si="19"/>
        <v>18352746.818826251</v>
      </c>
      <c r="BI9" s="13">
        <f t="shared" si="19"/>
        <v>0</v>
      </c>
      <c r="BJ9" s="13">
        <f t="shared" si="19"/>
        <v>0</v>
      </c>
      <c r="BK9" s="13">
        <f t="shared" si="19"/>
        <v>0</v>
      </c>
      <c r="BL9" s="13">
        <f t="shared" si="19"/>
        <v>0</v>
      </c>
      <c r="BM9" s="13">
        <f t="shared" si="19"/>
        <v>0</v>
      </c>
      <c r="BN9" s="13">
        <f t="shared" si="19"/>
        <v>0</v>
      </c>
      <c r="BO9" s="13">
        <f t="shared" si="19"/>
        <v>197310.09800220581</v>
      </c>
      <c r="BP9" s="13">
        <f t="shared" ref="BP9:EA9" si="20">IF(BP5&lt;0,-BP5*(0.0967%),0)</f>
        <v>0</v>
      </c>
      <c r="BQ9" s="13">
        <f t="shared" si="20"/>
        <v>0</v>
      </c>
      <c r="BR9" s="13">
        <f t="shared" si="20"/>
        <v>0</v>
      </c>
      <c r="BS9" s="13">
        <f t="shared" si="20"/>
        <v>0</v>
      </c>
      <c r="BT9" s="13">
        <f t="shared" si="20"/>
        <v>0</v>
      </c>
      <c r="BU9" s="13">
        <f t="shared" si="20"/>
        <v>0</v>
      </c>
      <c r="BV9" s="13">
        <f t="shared" si="20"/>
        <v>0</v>
      </c>
      <c r="BW9" s="13">
        <f t="shared" si="20"/>
        <v>0</v>
      </c>
      <c r="BX9" s="13">
        <f t="shared" si="20"/>
        <v>0</v>
      </c>
      <c r="BY9" s="13">
        <f t="shared" si="20"/>
        <v>0</v>
      </c>
      <c r="BZ9" s="13">
        <f t="shared" si="20"/>
        <v>0</v>
      </c>
      <c r="CA9" s="13">
        <f t="shared" si="20"/>
        <v>0</v>
      </c>
      <c r="CB9" s="13">
        <f t="shared" si="20"/>
        <v>1934000</v>
      </c>
      <c r="CC9" s="13">
        <f t="shared" si="20"/>
        <v>0</v>
      </c>
      <c r="CD9" s="13">
        <f t="shared" si="20"/>
        <v>0</v>
      </c>
      <c r="CE9" s="13">
        <f t="shared" si="20"/>
        <v>0</v>
      </c>
      <c r="CF9" s="13">
        <f t="shared" si="20"/>
        <v>0</v>
      </c>
      <c r="CG9" s="13">
        <f t="shared" si="20"/>
        <v>0</v>
      </c>
      <c r="CH9" s="13">
        <f t="shared" si="20"/>
        <v>0</v>
      </c>
      <c r="CI9" s="13">
        <f t="shared" si="20"/>
        <v>0</v>
      </c>
      <c r="CJ9" s="13">
        <f t="shared" si="20"/>
        <v>3434942.8698273548</v>
      </c>
      <c r="CK9" s="13">
        <f t="shared" si="20"/>
        <v>0</v>
      </c>
      <c r="CL9" s="13">
        <f t="shared" si="20"/>
        <v>21596001.030165847</v>
      </c>
      <c r="CM9" s="13">
        <f t="shared" si="20"/>
        <v>0</v>
      </c>
      <c r="CN9" s="13">
        <f t="shared" si="20"/>
        <v>0</v>
      </c>
      <c r="CO9" s="13">
        <f t="shared" si="20"/>
        <v>0</v>
      </c>
      <c r="CP9" s="13">
        <f t="shared" si="20"/>
        <v>0</v>
      </c>
      <c r="CQ9" s="13">
        <f t="shared" si="20"/>
        <v>392612.08394025656</v>
      </c>
      <c r="CR9" s="13">
        <f t="shared" si="20"/>
        <v>0</v>
      </c>
      <c r="CS9" s="13">
        <f t="shared" si="20"/>
        <v>0</v>
      </c>
      <c r="CT9" s="13">
        <f t="shared" si="20"/>
        <v>0</v>
      </c>
      <c r="CU9" s="13">
        <f t="shared" si="20"/>
        <v>0</v>
      </c>
      <c r="CV9" s="13">
        <f t="shared" si="20"/>
        <v>0</v>
      </c>
      <c r="CW9" s="13">
        <f t="shared" si="20"/>
        <v>0</v>
      </c>
      <c r="CX9" s="13">
        <f t="shared" si="20"/>
        <v>0</v>
      </c>
      <c r="CY9" s="13">
        <f t="shared" si="20"/>
        <v>0</v>
      </c>
      <c r="CZ9" s="13">
        <f t="shared" si="20"/>
        <v>0</v>
      </c>
      <c r="DA9" s="13">
        <f t="shared" si="20"/>
        <v>405681.7212454821</v>
      </c>
      <c r="DB9" s="13">
        <f t="shared" si="20"/>
        <v>0</v>
      </c>
      <c r="DC9" s="13">
        <f t="shared" si="20"/>
        <v>0</v>
      </c>
      <c r="DD9" s="13">
        <f t="shared" si="20"/>
        <v>0</v>
      </c>
      <c r="DE9" s="13">
        <f t="shared" si="20"/>
        <v>0</v>
      </c>
      <c r="DF9" s="13">
        <f t="shared" si="20"/>
        <v>0</v>
      </c>
      <c r="DG9" s="13">
        <f t="shared" si="20"/>
        <v>0</v>
      </c>
      <c r="DH9" s="13">
        <f t="shared" si="20"/>
        <v>0</v>
      </c>
      <c r="DI9" s="13">
        <f t="shared" si="20"/>
        <v>0</v>
      </c>
      <c r="DJ9" s="13">
        <f t="shared" si="20"/>
        <v>0</v>
      </c>
      <c r="DK9" s="13">
        <f t="shared" si="20"/>
        <v>0</v>
      </c>
      <c r="DL9" s="13">
        <f t="shared" si="20"/>
        <v>6562414.9511996899</v>
      </c>
      <c r="DM9" s="13">
        <f t="shared" si="20"/>
        <v>0</v>
      </c>
      <c r="DN9" s="13">
        <f t="shared" si="20"/>
        <v>0</v>
      </c>
      <c r="DO9" s="13">
        <f t="shared" si="20"/>
        <v>23139357.70518003</v>
      </c>
      <c r="DP9" s="13">
        <f t="shared" si="20"/>
        <v>0</v>
      </c>
      <c r="DQ9" s="13">
        <f t="shared" si="20"/>
        <v>0</v>
      </c>
      <c r="DR9" s="13">
        <f t="shared" si="20"/>
        <v>0</v>
      </c>
      <c r="DS9" s="13">
        <f t="shared" si="20"/>
        <v>1070565.7</v>
      </c>
      <c r="DT9" s="13">
        <f t="shared" si="20"/>
        <v>0</v>
      </c>
      <c r="DU9" s="13">
        <f t="shared" si="20"/>
        <v>0</v>
      </c>
      <c r="DV9" s="13">
        <f t="shared" si="20"/>
        <v>0</v>
      </c>
      <c r="DW9" s="13">
        <f t="shared" si="20"/>
        <v>0</v>
      </c>
      <c r="DX9" s="13">
        <f t="shared" si="20"/>
        <v>0</v>
      </c>
      <c r="DY9" s="13">
        <f t="shared" si="20"/>
        <v>0</v>
      </c>
      <c r="DZ9" s="13">
        <f t="shared" si="20"/>
        <v>225070.30010720453</v>
      </c>
      <c r="EA9" s="13">
        <f t="shared" si="20"/>
        <v>0</v>
      </c>
      <c r="EB9" s="13">
        <f t="shared" ref="EB9:GM9" si="21">IF(EB5&lt;0,-EB5*(0.0967%),0)</f>
        <v>0</v>
      </c>
      <c r="EC9" s="13">
        <f t="shared" si="21"/>
        <v>0</v>
      </c>
      <c r="ED9" s="13">
        <f t="shared" si="21"/>
        <v>0</v>
      </c>
      <c r="EE9" s="13">
        <f t="shared" si="21"/>
        <v>0</v>
      </c>
      <c r="EF9" s="13">
        <f t="shared" si="21"/>
        <v>241750</v>
      </c>
      <c r="EG9" s="13">
        <f t="shared" si="21"/>
        <v>0</v>
      </c>
      <c r="EH9" s="13">
        <f t="shared" si="21"/>
        <v>0</v>
      </c>
      <c r="EI9" s="13">
        <f t="shared" si="21"/>
        <v>0</v>
      </c>
      <c r="EJ9" s="13">
        <f t="shared" si="21"/>
        <v>0</v>
      </c>
      <c r="EK9" s="13">
        <f t="shared" si="21"/>
        <v>0</v>
      </c>
      <c r="EL9" s="13">
        <f t="shared" si="21"/>
        <v>0</v>
      </c>
      <c r="EM9" s="13">
        <f t="shared" si="21"/>
        <v>0</v>
      </c>
      <c r="EN9" s="13">
        <f t="shared" si="21"/>
        <v>3485434.1171514774</v>
      </c>
      <c r="EO9" s="13">
        <f t="shared" si="21"/>
        <v>0</v>
      </c>
      <c r="EP9" s="13">
        <f t="shared" si="21"/>
        <v>0</v>
      </c>
      <c r="EQ9" s="13">
        <f t="shared" si="21"/>
        <v>0</v>
      </c>
      <c r="ER9" s="13">
        <f t="shared" si="21"/>
        <v>0</v>
      </c>
      <c r="ES9" s="13">
        <f t="shared" si="21"/>
        <v>0</v>
      </c>
      <c r="ET9" s="13">
        <f t="shared" si="21"/>
        <v>0</v>
      </c>
      <c r="EU9" s="13">
        <f t="shared" si="21"/>
        <v>25563957.848511007</v>
      </c>
      <c r="EV9" s="13">
        <f t="shared" si="21"/>
        <v>0</v>
      </c>
      <c r="EW9" s="13">
        <f t="shared" si="21"/>
        <v>0</v>
      </c>
      <c r="EX9" s="13">
        <f t="shared" si="21"/>
        <v>0</v>
      </c>
      <c r="EY9" s="13">
        <f t="shared" si="21"/>
        <v>0</v>
      </c>
      <c r="EZ9" s="13">
        <f t="shared" si="21"/>
        <v>0</v>
      </c>
      <c r="FA9" s="13">
        <f t="shared" si="21"/>
        <v>0</v>
      </c>
      <c r="FB9" s="13">
        <f t="shared" si="21"/>
        <v>421186.1313444433</v>
      </c>
      <c r="FC9" s="13">
        <f t="shared" si="21"/>
        <v>0</v>
      </c>
      <c r="FD9" s="13">
        <f t="shared" si="21"/>
        <v>0</v>
      </c>
      <c r="FE9" s="13">
        <f t="shared" si="21"/>
        <v>0</v>
      </c>
      <c r="FF9" s="13">
        <f t="shared" si="21"/>
        <v>0</v>
      </c>
      <c r="FG9" s="13">
        <f t="shared" si="21"/>
        <v>0</v>
      </c>
      <c r="FH9" s="13">
        <f t="shared" si="21"/>
        <v>0</v>
      </c>
      <c r="FI9" s="13">
        <f t="shared" si="21"/>
        <v>0</v>
      </c>
      <c r="FJ9" s="13">
        <f t="shared" si="21"/>
        <v>0</v>
      </c>
      <c r="FK9" s="13">
        <f t="shared" si="21"/>
        <v>0</v>
      </c>
      <c r="FL9" s="13">
        <f t="shared" si="21"/>
        <v>0</v>
      </c>
      <c r="FM9" s="13">
        <f t="shared" si="21"/>
        <v>0</v>
      </c>
      <c r="FN9" s="13">
        <f t="shared" si="21"/>
        <v>0</v>
      </c>
      <c r="FO9" s="13">
        <f t="shared" si="21"/>
        <v>0</v>
      </c>
      <c r="FP9" s="13">
        <f t="shared" si="21"/>
        <v>0</v>
      </c>
      <c r="FQ9" s="13">
        <f t="shared" si="21"/>
        <v>0</v>
      </c>
      <c r="FR9" s="13">
        <f t="shared" si="21"/>
        <v>0</v>
      </c>
      <c r="FS9" s="13">
        <f t="shared" si="21"/>
        <v>0</v>
      </c>
      <c r="FT9" s="13">
        <f t="shared" si="21"/>
        <v>0</v>
      </c>
      <c r="FU9" s="13">
        <f t="shared" si="21"/>
        <v>0</v>
      </c>
      <c r="FV9" s="13">
        <f t="shared" si="21"/>
        <v>0</v>
      </c>
      <c r="FW9" s="13">
        <f t="shared" si="21"/>
        <v>3221574.235047251</v>
      </c>
      <c r="FX9" s="13">
        <f t="shared" si="21"/>
        <v>0</v>
      </c>
      <c r="FY9" s="13">
        <f t="shared" si="21"/>
        <v>0</v>
      </c>
      <c r="FZ9" s="13">
        <f t="shared" si="21"/>
        <v>23308274.79825113</v>
      </c>
      <c r="GA9" s="13">
        <f t="shared" si="21"/>
        <v>0</v>
      </c>
      <c r="GB9" s="13">
        <f t="shared" si="21"/>
        <v>0</v>
      </c>
      <c r="GC9" s="13">
        <f t="shared" si="21"/>
        <v>0</v>
      </c>
      <c r="GD9" s="13">
        <f t="shared" si="21"/>
        <v>401103.20447008696</v>
      </c>
      <c r="GE9" s="13">
        <f t="shared" si="21"/>
        <v>0</v>
      </c>
      <c r="GF9" s="13">
        <f t="shared" si="21"/>
        <v>0</v>
      </c>
      <c r="GG9" s="13">
        <f t="shared" si="21"/>
        <v>0</v>
      </c>
      <c r="GH9" s="13">
        <f t="shared" si="21"/>
        <v>0</v>
      </c>
      <c r="GI9" s="13">
        <f t="shared" si="21"/>
        <v>0</v>
      </c>
      <c r="GJ9" s="13">
        <f t="shared" si="21"/>
        <v>0</v>
      </c>
      <c r="GK9" s="13">
        <f t="shared" si="21"/>
        <v>0</v>
      </c>
      <c r="GL9" s="13">
        <f t="shared" si="21"/>
        <v>0</v>
      </c>
      <c r="GM9" s="13">
        <f t="shared" si="21"/>
        <v>0</v>
      </c>
      <c r="GN9" s="13">
        <f t="shared" ref="GN9:IY9" si="22">IF(GN5&lt;0,-GN5*(0.0967%),0)</f>
        <v>176412.12117052899</v>
      </c>
      <c r="GO9" s="13">
        <f t="shared" si="22"/>
        <v>0</v>
      </c>
      <c r="GP9" s="13">
        <f t="shared" si="22"/>
        <v>0</v>
      </c>
      <c r="GQ9" s="13">
        <f t="shared" si="22"/>
        <v>0</v>
      </c>
      <c r="GR9" s="13">
        <f t="shared" si="22"/>
        <v>0</v>
      </c>
      <c r="GS9" s="13">
        <f t="shared" si="22"/>
        <v>0</v>
      </c>
      <c r="GT9" s="13">
        <f t="shared" si="22"/>
        <v>0</v>
      </c>
      <c r="GU9" s="13">
        <f t="shared" si="22"/>
        <v>0</v>
      </c>
      <c r="GV9" s="13">
        <f t="shared" si="22"/>
        <v>0</v>
      </c>
      <c r="GW9" s="13">
        <f t="shared" si="22"/>
        <v>0</v>
      </c>
      <c r="GX9" s="13">
        <f t="shared" si="22"/>
        <v>0</v>
      </c>
      <c r="GY9" s="13">
        <f t="shared" si="22"/>
        <v>4590276.8990593441</v>
      </c>
      <c r="GZ9" s="13">
        <f t="shared" si="22"/>
        <v>0</v>
      </c>
      <c r="HA9" s="13">
        <f t="shared" si="22"/>
        <v>0</v>
      </c>
      <c r="HB9" s="13">
        <f t="shared" si="22"/>
        <v>0</v>
      </c>
      <c r="HC9" s="13">
        <f t="shared" si="22"/>
        <v>0</v>
      </c>
      <c r="HD9" s="13">
        <f t="shared" si="22"/>
        <v>0</v>
      </c>
      <c r="HE9" s="13">
        <f t="shared" si="22"/>
        <v>21064076.656819168</v>
      </c>
      <c r="HF9" s="13">
        <f t="shared" si="22"/>
        <v>0</v>
      </c>
      <c r="HG9" s="13">
        <f t="shared" si="22"/>
        <v>0</v>
      </c>
      <c r="HH9" s="13">
        <f t="shared" si="22"/>
        <v>0</v>
      </c>
      <c r="HI9" s="13">
        <f t="shared" si="22"/>
        <v>0</v>
      </c>
      <c r="HJ9" s="13">
        <f t="shared" si="22"/>
        <v>0</v>
      </c>
      <c r="HK9" s="13">
        <f t="shared" si="22"/>
        <v>0</v>
      </c>
      <c r="HL9" s="13">
        <f t="shared" si="22"/>
        <v>0</v>
      </c>
      <c r="HM9" s="13">
        <f t="shared" si="22"/>
        <v>386563.42203178437</v>
      </c>
      <c r="HN9" s="13">
        <f t="shared" si="22"/>
        <v>0</v>
      </c>
      <c r="HO9" s="13">
        <f t="shared" si="22"/>
        <v>0</v>
      </c>
      <c r="HP9" s="13">
        <f t="shared" si="22"/>
        <v>0</v>
      </c>
      <c r="HQ9" s="13">
        <f t="shared" si="22"/>
        <v>0</v>
      </c>
      <c r="HR9" s="13">
        <f t="shared" si="22"/>
        <v>0</v>
      </c>
      <c r="HS9" s="13">
        <f t="shared" si="22"/>
        <v>0</v>
      </c>
      <c r="HT9" s="13">
        <f t="shared" si="22"/>
        <v>385296.33567588573</v>
      </c>
      <c r="HU9" s="13">
        <f t="shared" si="22"/>
        <v>0</v>
      </c>
      <c r="HV9" s="13">
        <f t="shared" si="22"/>
        <v>0</v>
      </c>
      <c r="HW9" s="13">
        <f t="shared" si="22"/>
        <v>0</v>
      </c>
      <c r="HX9" s="13">
        <f t="shared" si="22"/>
        <v>0</v>
      </c>
      <c r="HY9" s="13">
        <f t="shared" si="22"/>
        <v>0</v>
      </c>
      <c r="HZ9" s="13">
        <f t="shared" si="22"/>
        <v>0</v>
      </c>
      <c r="IA9" s="13">
        <f t="shared" si="22"/>
        <v>3347321.3030731753</v>
      </c>
      <c r="IB9" s="13">
        <f t="shared" si="22"/>
        <v>0</v>
      </c>
      <c r="IC9" s="13">
        <f t="shared" si="22"/>
        <v>0</v>
      </c>
      <c r="ID9" s="13">
        <f t="shared" si="22"/>
        <v>0</v>
      </c>
      <c r="IE9" s="13">
        <f t="shared" si="22"/>
        <v>0</v>
      </c>
      <c r="IF9" s="13">
        <f t="shared" si="22"/>
        <v>0</v>
      </c>
      <c r="IG9" s="13">
        <f t="shared" si="22"/>
        <v>0</v>
      </c>
      <c r="IH9" s="13">
        <f t="shared" si="22"/>
        <v>0</v>
      </c>
      <c r="II9" s="13">
        <f t="shared" si="22"/>
        <v>19876848.733892139</v>
      </c>
      <c r="IJ9" s="13">
        <f t="shared" si="22"/>
        <v>0</v>
      </c>
      <c r="IK9" s="13">
        <f t="shared" si="22"/>
        <v>0</v>
      </c>
      <c r="IL9" s="13">
        <f t="shared" si="22"/>
        <v>0</v>
      </c>
      <c r="IM9" s="13">
        <f t="shared" si="22"/>
        <v>0</v>
      </c>
      <c r="IN9" s="13">
        <f t="shared" si="22"/>
        <v>0</v>
      </c>
      <c r="IO9" s="13">
        <f t="shared" si="22"/>
        <v>510485.65695446677</v>
      </c>
      <c r="IP9" s="13">
        <f t="shared" si="22"/>
        <v>0</v>
      </c>
      <c r="IQ9" s="13">
        <f t="shared" si="22"/>
        <v>0</v>
      </c>
      <c r="IR9" s="13">
        <f t="shared" si="22"/>
        <v>0</v>
      </c>
      <c r="IS9" s="13">
        <f t="shared" si="22"/>
        <v>0</v>
      </c>
      <c r="IT9" s="13">
        <f t="shared" si="22"/>
        <v>0</v>
      </c>
      <c r="IU9" s="13">
        <f t="shared" si="22"/>
        <v>0</v>
      </c>
      <c r="IV9" s="13">
        <f t="shared" si="22"/>
        <v>1065634</v>
      </c>
      <c r="IW9" s="13">
        <f t="shared" si="22"/>
        <v>0</v>
      </c>
      <c r="IX9" s="13">
        <f t="shared" si="22"/>
        <v>342827.96550411027</v>
      </c>
      <c r="IY9" s="13">
        <f t="shared" si="22"/>
        <v>0</v>
      </c>
      <c r="IZ9" s="13">
        <f t="shared" ref="IZ9:LK9" si="23">IF(IZ5&lt;0,-IZ5*(0.0967%),0)</f>
        <v>0</v>
      </c>
      <c r="JA9" s="13">
        <f t="shared" si="23"/>
        <v>0</v>
      </c>
      <c r="JB9" s="13">
        <f t="shared" si="23"/>
        <v>0</v>
      </c>
      <c r="JC9" s="13">
        <f t="shared" si="23"/>
        <v>0</v>
      </c>
      <c r="JD9" s="13">
        <f t="shared" si="23"/>
        <v>0</v>
      </c>
      <c r="JE9" s="13">
        <f t="shared" si="23"/>
        <v>0</v>
      </c>
      <c r="JF9" s="13">
        <f t="shared" si="23"/>
        <v>0</v>
      </c>
      <c r="JG9" s="13">
        <f t="shared" si="23"/>
        <v>0</v>
      </c>
      <c r="JH9" s="13">
        <f t="shared" si="23"/>
        <v>0</v>
      </c>
      <c r="JI9" s="13">
        <f t="shared" si="23"/>
        <v>0</v>
      </c>
      <c r="JJ9" s="13">
        <f t="shared" si="23"/>
        <v>2907684.2511694795</v>
      </c>
      <c r="JK9" s="13">
        <f t="shared" si="23"/>
        <v>0</v>
      </c>
      <c r="JL9" s="13">
        <f t="shared" si="23"/>
        <v>0</v>
      </c>
      <c r="JM9" s="13">
        <f t="shared" si="23"/>
        <v>19200266.1820242</v>
      </c>
      <c r="JN9" s="13">
        <f t="shared" si="23"/>
        <v>0</v>
      </c>
      <c r="JO9" s="13">
        <f t="shared" si="23"/>
        <v>0</v>
      </c>
      <c r="JP9" s="13">
        <f t="shared" si="23"/>
        <v>0</v>
      </c>
      <c r="JQ9" s="13">
        <f t="shared" si="23"/>
        <v>339266.43322284427</v>
      </c>
      <c r="JR9" s="13">
        <f t="shared" si="23"/>
        <v>0</v>
      </c>
      <c r="JS9" s="13">
        <f t="shared" si="23"/>
        <v>0</v>
      </c>
      <c r="JT9" s="13">
        <f t="shared" si="23"/>
        <v>0</v>
      </c>
      <c r="JU9" s="13">
        <f t="shared" si="23"/>
        <v>0</v>
      </c>
      <c r="JV9" s="13">
        <f t="shared" si="23"/>
        <v>0</v>
      </c>
      <c r="JW9" s="13">
        <f t="shared" si="23"/>
        <v>0</v>
      </c>
      <c r="JX9" s="13">
        <f t="shared" si="23"/>
        <v>0</v>
      </c>
      <c r="JY9" s="13">
        <f t="shared" si="23"/>
        <v>0</v>
      </c>
      <c r="JZ9" s="13">
        <f t="shared" si="23"/>
        <v>0</v>
      </c>
      <c r="KA9" s="13">
        <f t="shared" si="23"/>
        <v>85523.335346799708</v>
      </c>
      <c r="KB9" s="13">
        <f t="shared" si="23"/>
        <v>0</v>
      </c>
      <c r="KC9" s="13">
        <f t="shared" si="23"/>
        <v>241750</v>
      </c>
      <c r="KD9" s="13">
        <f t="shared" si="23"/>
        <v>0</v>
      </c>
      <c r="KE9" s="13">
        <f t="shared" si="23"/>
        <v>0</v>
      </c>
      <c r="KF9" s="13">
        <f t="shared" si="23"/>
        <v>0</v>
      </c>
      <c r="KG9" s="13">
        <f t="shared" si="23"/>
        <v>0</v>
      </c>
      <c r="KH9" s="13">
        <f t="shared" si="23"/>
        <v>0</v>
      </c>
      <c r="KI9" s="13">
        <f t="shared" si="23"/>
        <v>0</v>
      </c>
      <c r="KJ9" s="13">
        <f t="shared" si="23"/>
        <v>0</v>
      </c>
      <c r="KK9" s="13">
        <f t="shared" si="23"/>
        <v>0</v>
      </c>
      <c r="KL9" s="13">
        <f t="shared" si="23"/>
        <v>6143597.5811996898</v>
      </c>
      <c r="KM9" s="13">
        <f t="shared" si="23"/>
        <v>0</v>
      </c>
      <c r="KN9" s="13">
        <f t="shared" si="23"/>
        <v>0</v>
      </c>
      <c r="KO9" s="13">
        <f t="shared" si="23"/>
        <v>0</v>
      </c>
      <c r="KP9" s="13">
        <f t="shared" si="23"/>
        <v>0</v>
      </c>
      <c r="KQ9" s="13">
        <f t="shared" si="23"/>
        <v>0</v>
      </c>
      <c r="KR9" s="13">
        <f t="shared" si="23"/>
        <v>19871011.351611923</v>
      </c>
      <c r="KS9" s="13">
        <f t="shared" si="23"/>
        <v>0</v>
      </c>
      <c r="KT9" s="13">
        <f t="shared" si="23"/>
        <v>0</v>
      </c>
      <c r="KU9" s="13">
        <f t="shared" si="23"/>
        <v>0</v>
      </c>
      <c r="KV9" s="13">
        <f t="shared" si="23"/>
        <v>0</v>
      </c>
      <c r="KW9" s="13">
        <f t="shared" si="23"/>
        <v>0</v>
      </c>
      <c r="KX9" s="13">
        <f t="shared" si="23"/>
        <v>0</v>
      </c>
      <c r="KY9" s="13">
        <f t="shared" si="23"/>
        <v>0</v>
      </c>
      <c r="KZ9" s="13">
        <f t="shared" si="23"/>
        <v>0</v>
      </c>
      <c r="LA9" s="13">
        <f t="shared" si="23"/>
        <v>1065634</v>
      </c>
      <c r="LB9" s="13">
        <f t="shared" si="23"/>
        <v>0</v>
      </c>
      <c r="LC9" s="13">
        <f t="shared" si="23"/>
        <v>0</v>
      </c>
      <c r="LD9" s="13">
        <f t="shared" si="23"/>
        <v>0</v>
      </c>
      <c r="LE9" s="13">
        <f t="shared" si="23"/>
        <v>0</v>
      </c>
      <c r="LF9" s="13">
        <f t="shared" si="23"/>
        <v>0</v>
      </c>
      <c r="LG9" s="13">
        <f t="shared" si="23"/>
        <v>0</v>
      </c>
      <c r="LH9" s="13">
        <f t="shared" si="23"/>
        <v>0</v>
      </c>
      <c r="LI9" s="13">
        <f t="shared" si="23"/>
        <v>0</v>
      </c>
      <c r="LJ9" s="13">
        <f t="shared" si="23"/>
        <v>0</v>
      </c>
      <c r="LK9" s="13">
        <f t="shared" si="23"/>
        <v>0</v>
      </c>
      <c r="LL9" s="13">
        <f t="shared" ref="LL9:LW9" si="24">IF(LL5&lt;0,-LL5*(0.0967%),0)</f>
        <v>0</v>
      </c>
      <c r="LM9" s="13">
        <f t="shared" si="24"/>
        <v>0</v>
      </c>
      <c r="LN9" s="13">
        <f t="shared" si="24"/>
        <v>0</v>
      </c>
      <c r="LO9" s="13">
        <f t="shared" si="24"/>
        <v>3041633.295514157</v>
      </c>
      <c r="LP9" s="13">
        <f t="shared" si="24"/>
        <v>0</v>
      </c>
      <c r="LQ9" s="13">
        <f t="shared" si="24"/>
        <v>0</v>
      </c>
      <c r="LR9" s="13">
        <f t="shared" si="24"/>
        <v>0</v>
      </c>
      <c r="LS9" s="13">
        <f t="shared" si="24"/>
        <v>0</v>
      </c>
      <c r="LT9" s="13">
        <f t="shared" si="24"/>
        <v>0</v>
      </c>
      <c r="LU9" s="13">
        <f t="shared" si="24"/>
        <v>0</v>
      </c>
      <c r="LV9" s="13">
        <f t="shared" si="24"/>
        <v>22172874.978990432</v>
      </c>
      <c r="LW9" s="13">
        <f t="shared" si="24"/>
        <v>0</v>
      </c>
      <c r="LX9" s="13">
        <f>SUM(ESCENARIO[[#This Row],[01-mar]:[31-dic]])</f>
        <v>276203482.24434847</v>
      </c>
    </row>
    <row r="10" spans="1:336" s="13" customFormat="1">
      <c r="A10" s="11" t="s">
        <v>344</v>
      </c>
      <c r="B10" s="27">
        <f>+B8-B3</f>
        <v>0</v>
      </c>
      <c r="C10" s="27">
        <f>+B7-C3+C2</f>
        <v>2141100989.5700002</v>
      </c>
      <c r="D10" s="27">
        <f t="shared" ref="D10:BO10" si="25">+C7-D3+D2</f>
        <v>1334042804.5774012</v>
      </c>
      <c r="E10" s="27">
        <f t="shared" si="25"/>
        <v>2207850997.8263383</v>
      </c>
      <c r="F10" s="27">
        <f t="shared" si="25"/>
        <v>2705162412.3377514</v>
      </c>
      <c r="G10" s="27">
        <f t="shared" si="25"/>
        <v>3333311584.3342462</v>
      </c>
      <c r="H10" s="27">
        <f t="shared" si="25"/>
        <v>4149104610.8643332</v>
      </c>
      <c r="I10" s="27">
        <f t="shared" si="25"/>
        <v>4149104610.8643332</v>
      </c>
      <c r="J10" s="27">
        <f t="shared" si="25"/>
        <v>4149104610.8643332</v>
      </c>
      <c r="K10" s="27">
        <f t="shared" si="25"/>
        <v>4335535377.5699177</v>
      </c>
      <c r="L10" s="27">
        <f t="shared" si="25"/>
        <v>12812340228.208647</v>
      </c>
      <c r="M10" s="27">
        <f t="shared" si="25"/>
        <v>14214624594.809395</v>
      </c>
      <c r="N10" s="27">
        <f t="shared" si="25"/>
        <v>13863315282.440989</v>
      </c>
      <c r="O10" s="27">
        <f t="shared" si="25"/>
        <v>16508794368.715275</v>
      </c>
      <c r="P10" s="27">
        <f t="shared" si="25"/>
        <v>16273794368.715275</v>
      </c>
      <c r="Q10" s="27">
        <f t="shared" si="25"/>
        <v>16274021613.715275</v>
      </c>
      <c r="R10" s="27">
        <f t="shared" si="25"/>
        <v>18692046948.211643</v>
      </c>
      <c r="S10" s="27">
        <f t="shared" si="25"/>
        <v>19417285680.414894</v>
      </c>
      <c r="T10" s="27">
        <f t="shared" si="25"/>
        <v>20971450479.856617</v>
      </c>
      <c r="U10" s="27">
        <f t="shared" si="25"/>
        <v>24163675342.931</v>
      </c>
      <c r="V10" s="27">
        <f t="shared" si="25"/>
        <v>26851487210.143135</v>
      </c>
      <c r="W10" s="27">
        <f t="shared" si="25"/>
        <v>26851487210.143135</v>
      </c>
      <c r="X10" s="27">
        <f t="shared" si="25"/>
        <v>26851487210.143135</v>
      </c>
      <c r="Y10" s="27">
        <f t="shared" si="25"/>
        <v>28364051476.198547</v>
      </c>
      <c r="Z10" s="27">
        <f t="shared" si="25"/>
        <v>24081416629.050083</v>
      </c>
      <c r="AA10" s="27">
        <f t="shared" si="25"/>
        <v>20817484487.141041</v>
      </c>
      <c r="AB10" s="27">
        <f t="shared" si="25"/>
        <v>3594921144.4818411</v>
      </c>
      <c r="AC10" s="27">
        <f>+AB7-AC3+AC2</f>
        <v>3641423151.2774487</v>
      </c>
      <c r="AD10" s="27">
        <f>+AC7-AD3+AD2</f>
        <v>2378000000</v>
      </c>
      <c r="AE10" s="27">
        <f t="shared" si="25"/>
        <v>2378000000</v>
      </c>
      <c r="AF10" s="27">
        <f t="shared" si="25"/>
        <v>1922932713.352504</v>
      </c>
      <c r="AG10" s="27">
        <f t="shared" si="25"/>
        <v>2812890483.1331778</v>
      </c>
      <c r="AH10" s="27">
        <f t="shared" si="25"/>
        <v>3319595231.4204736</v>
      </c>
      <c r="AI10" s="27">
        <f t="shared" si="25"/>
        <v>3959609031.2164416</v>
      </c>
      <c r="AJ10" s="27">
        <f t="shared" si="25"/>
        <v>4790810946.3556175</v>
      </c>
      <c r="AK10" s="27">
        <f t="shared" si="25"/>
        <v>4790810946.3556175</v>
      </c>
      <c r="AL10" s="27">
        <f t="shared" si="25"/>
        <v>4790810946.3556175</v>
      </c>
      <c r="AM10" s="27">
        <f t="shared" si="25"/>
        <v>5122347393.4288025</v>
      </c>
      <c r="AN10" s="27">
        <f t="shared" si="25"/>
        <v>13617679774.919868</v>
      </c>
      <c r="AO10" s="27">
        <f t="shared" si="25"/>
        <v>15046450815.101444</v>
      </c>
      <c r="AP10" s="27">
        <f t="shared" si="25"/>
        <v>14804820090.18877</v>
      </c>
      <c r="AQ10" s="27">
        <f t="shared" si="25"/>
        <v>17500155125.505093</v>
      </c>
      <c r="AR10" s="27">
        <f t="shared" si="25"/>
        <v>17250155125.505093</v>
      </c>
      <c r="AS10" s="27">
        <f t="shared" si="25"/>
        <v>17250396875.505093</v>
      </c>
      <c r="AT10" s="27">
        <f t="shared" si="25"/>
        <v>19714094435.457577</v>
      </c>
      <c r="AU10" s="27">
        <f t="shared" si="25"/>
        <v>21027542948.87455</v>
      </c>
      <c r="AV10" s="27">
        <f t="shared" si="25"/>
        <v>20646170622.925011</v>
      </c>
      <c r="AW10" s="27">
        <f t="shared" si="25"/>
        <v>23289441008.180122</v>
      </c>
      <c r="AX10" s="27">
        <f t="shared" si="25"/>
        <v>26028020891.687054</v>
      </c>
      <c r="AY10" s="27">
        <f t="shared" si="25"/>
        <v>27569154823.73835</v>
      </c>
      <c r="AZ10" s="27">
        <f t="shared" si="25"/>
        <v>30496687539.341934</v>
      </c>
      <c r="BA10" s="27">
        <f t="shared" si="25"/>
        <v>22815442051.231934</v>
      </c>
      <c r="BB10" s="27">
        <f t="shared" si="25"/>
        <v>22822869815.618935</v>
      </c>
      <c r="BC10" s="27">
        <f t="shared" si="25"/>
        <v>24019274317.881889</v>
      </c>
      <c r="BD10" s="27">
        <f t="shared" si="25"/>
        <v>25671868494.228367</v>
      </c>
      <c r="BE10" s="27">
        <f t="shared" si="25"/>
        <v>26226500105.404121</v>
      </c>
      <c r="BF10" s="27">
        <f t="shared" si="25"/>
        <v>26226500105.404121</v>
      </c>
      <c r="BG10" s="27">
        <f t="shared" si="25"/>
        <v>19274581052.204121</v>
      </c>
      <c r="BH10" s="27">
        <f t="shared" si="25"/>
        <v>295525396.74780989</v>
      </c>
      <c r="BI10" s="27">
        <f t="shared" si="25"/>
        <v>313878143.56663662</v>
      </c>
      <c r="BJ10" s="27">
        <f t="shared" si="25"/>
        <v>975835004.41996431</v>
      </c>
      <c r="BK10" s="27">
        <f t="shared" si="25"/>
        <v>975835004.41996431</v>
      </c>
      <c r="BL10" s="27">
        <f t="shared" si="25"/>
        <v>975835004.41996431</v>
      </c>
      <c r="BM10" s="27">
        <f t="shared" si="25"/>
        <v>975835004.41996431</v>
      </c>
      <c r="BN10" s="27">
        <f t="shared" si="25"/>
        <v>975835004.41996431</v>
      </c>
      <c r="BO10" s="27">
        <f t="shared" si="25"/>
        <v>771791469.77445674</v>
      </c>
      <c r="BP10" s="27">
        <f t="shared" ref="BP10:EA10" si="26">+BO7-BP3+BP2</f>
        <v>1286405737.3148992</v>
      </c>
      <c r="BQ10" s="27">
        <f t="shared" si="26"/>
        <v>1936160752.883739</v>
      </c>
      <c r="BR10" s="27">
        <f t="shared" si="26"/>
        <v>2780013828.3709826</v>
      </c>
      <c r="BS10" s="27">
        <f t="shared" si="26"/>
        <v>4252294929.3524547</v>
      </c>
      <c r="BT10" s="27">
        <f t="shared" si="26"/>
        <v>4252294929.3524547</v>
      </c>
      <c r="BU10" s="27">
        <f t="shared" si="26"/>
        <v>4252294929.3524547</v>
      </c>
      <c r="BV10" s="27">
        <f t="shared" si="26"/>
        <v>10639230438.006973</v>
      </c>
      <c r="BW10" s="27">
        <f t="shared" si="26"/>
        <v>11741747832.715399</v>
      </c>
      <c r="BX10" s="27">
        <f t="shared" si="26"/>
        <v>14164703796.24865</v>
      </c>
      <c r="BY10" s="27">
        <f t="shared" si="26"/>
        <v>16900825484.005405</v>
      </c>
      <c r="BZ10" s="27">
        <f t="shared" si="26"/>
        <v>19402021312.804977</v>
      </c>
      <c r="CA10" s="27">
        <f t="shared" si="26"/>
        <v>19402021312.804977</v>
      </c>
      <c r="CB10" s="27">
        <f t="shared" si="26"/>
        <v>17402021312.804977</v>
      </c>
      <c r="CC10" s="27">
        <f t="shared" si="26"/>
        <v>18737394934.81966</v>
      </c>
      <c r="CD10" s="27">
        <f t="shared" si="26"/>
        <v>20380658642.396107</v>
      </c>
      <c r="CE10" s="27">
        <f t="shared" si="26"/>
        <v>23063786052.528728</v>
      </c>
      <c r="CF10" s="27">
        <f t="shared" si="26"/>
        <v>25844048002.211407</v>
      </c>
      <c r="CG10" s="27">
        <f t="shared" si="26"/>
        <v>27408638488.124184</v>
      </c>
      <c r="CH10" s="27">
        <f t="shared" si="26"/>
        <v>27408638488.124184</v>
      </c>
      <c r="CI10" s="27">
        <f t="shared" si="26"/>
        <v>27408638488.124184</v>
      </c>
      <c r="CJ10" s="27">
        <f t="shared" si="26"/>
        <v>23856474196.679142</v>
      </c>
      <c r="CK10" s="27">
        <f t="shared" si="26"/>
        <v>24722551212.524689</v>
      </c>
      <c r="CL10" s="27">
        <f t="shared" si="26"/>
        <v>2741533613.001029</v>
      </c>
      <c r="CM10" s="27">
        <f t="shared" si="26"/>
        <v>4456803369.6446295</v>
      </c>
      <c r="CN10" s="27">
        <f t="shared" si="26"/>
        <v>4456803369.6446295</v>
      </c>
      <c r="CO10" s="27">
        <f t="shared" si="26"/>
        <v>4456803369.6446295</v>
      </c>
      <c r="CP10" s="27">
        <f t="shared" si="26"/>
        <v>4456803369.6446295</v>
      </c>
      <c r="CQ10" s="27">
        <f t="shared" si="26"/>
        <v>4050792941.5781803</v>
      </c>
      <c r="CR10" s="27">
        <f t="shared" si="26"/>
        <v>5007627745.2439823</v>
      </c>
      <c r="CS10" s="27">
        <f t="shared" si="26"/>
        <v>5552455340.2382593</v>
      </c>
      <c r="CT10" s="27">
        <f t="shared" si="26"/>
        <v>6240621733.9509916</v>
      </c>
      <c r="CU10" s="27">
        <f t="shared" si="26"/>
        <v>7134360626.0979958</v>
      </c>
      <c r="CV10" s="27">
        <f t="shared" si="26"/>
        <v>7134360626.0979958</v>
      </c>
      <c r="CW10" s="27">
        <f t="shared" si="26"/>
        <v>7134360626.0979958</v>
      </c>
      <c r="CX10" s="27">
        <f t="shared" si="26"/>
        <v>7591678140.4181099</v>
      </c>
      <c r="CY10" s="27">
        <f t="shared" si="26"/>
        <v>16625334869.879698</v>
      </c>
      <c r="CZ10" s="27">
        <f t="shared" si="26"/>
        <v>18161602079.237358</v>
      </c>
      <c r="DA10" s="27">
        <f t="shared" si="26"/>
        <v>17742075997.287533</v>
      </c>
      <c r="DB10" s="27">
        <f t="shared" si="26"/>
        <v>20640353876.231197</v>
      </c>
      <c r="DC10" s="27">
        <f t="shared" si="26"/>
        <v>20640353876.231197</v>
      </c>
      <c r="DD10" s="27">
        <f t="shared" si="26"/>
        <v>20640353876.231197</v>
      </c>
      <c r="DE10" s="27">
        <f t="shared" si="26"/>
        <v>23289412170.867737</v>
      </c>
      <c r="DF10" s="27">
        <f t="shared" si="26"/>
        <v>24701680354.918858</v>
      </c>
      <c r="DG10" s="27">
        <f t="shared" si="26"/>
        <v>26442088404.823456</v>
      </c>
      <c r="DH10" s="27">
        <f t="shared" si="26"/>
        <v>29283833477.135445</v>
      </c>
      <c r="DI10" s="27">
        <f t="shared" si="26"/>
        <v>32228455363.301018</v>
      </c>
      <c r="DJ10" s="27">
        <f t="shared" si="26"/>
        <v>32228455363.301018</v>
      </c>
      <c r="DK10" s="27">
        <f t="shared" si="26"/>
        <v>32228455363.301018</v>
      </c>
      <c r="DL10" s="27">
        <f t="shared" si="26"/>
        <v>25442090367.231018</v>
      </c>
      <c r="DM10" s="27">
        <f t="shared" si="26"/>
        <v>27105736708.475933</v>
      </c>
      <c r="DN10" s="27">
        <f t="shared" si="26"/>
        <v>30253527634.257866</v>
      </c>
      <c r="DO10" s="27">
        <f t="shared" si="26"/>
        <v>6324512427.2464609</v>
      </c>
      <c r="DP10" s="27">
        <f t="shared" si="26"/>
        <v>8124581868.2866678</v>
      </c>
      <c r="DQ10" s="27">
        <f t="shared" si="26"/>
        <v>8720942190.2415657</v>
      </c>
      <c r="DR10" s="27">
        <f t="shared" si="26"/>
        <v>9918380042.366188</v>
      </c>
      <c r="DS10" s="27">
        <f t="shared" si="26"/>
        <v>8811280042.366188</v>
      </c>
      <c r="DT10" s="27">
        <f t="shared" si="26"/>
        <v>9494229123.6085682</v>
      </c>
      <c r="DU10" s="27">
        <f t="shared" si="26"/>
        <v>10424463159.181637</v>
      </c>
      <c r="DV10" s="27">
        <f t="shared" si="26"/>
        <v>10954361543.886801</v>
      </c>
      <c r="DW10" s="27">
        <f t="shared" si="26"/>
        <v>11623670998.450285</v>
      </c>
      <c r="DX10" s="27">
        <f t="shared" si="26"/>
        <v>11623670998.450285</v>
      </c>
      <c r="DY10" s="27">
        <f t="shared" si="26"/>
        <v>11623670998.450285</v>
      </c>
      <c r="DZ10" s="27">
        <f t="shared" si="26"/>
        <v>11390919912.50695</v>
      </c>
      <c r="EA10" s="27">
        <f t="shared" si="26"/>
        <v>12907734523.557795</v>
      </c>
      <c r="EB10" s="27">
        <f t="shared" ref="EB10:GM10" si="27">+EA7-EB3+EB2</f>
        <v>20622050258.65136</v>
      </c>
      <c r="EC10" s="27">
        <f t="shared" si="27"/>
        <v>20916221112.318722</v>
      </c>
      <c r="ED10" s="27">
        <f t="shared" si="27"/>
        <v>23118458278.116692</v>
      </c>
      <c r="EE10" s="27">
        <f t="shared" si="27"/>
        <v>23118458278.116692</v>
      </c>
      <c r="EF10" s="27">
        <f t="shared" si="27"/>
        <v>22868458278.116692</v>
      </c>
      <c r="EG10" s="27">
        <f t="shared" si="27"/>
        <v>22868700028.116692</v>
      </c>
      <c r="EH10" s="27">
        <f t="shared" si="27"/>
        <v>25687165558.311234</v>
      </c>
      <c r="EI10" s="27">
        <f t="shared" si="27"/>
        <v>28263635113.478428</v>
      </c>
      <c r="EJ10" s="27">
        <f t="shared" si="27"/>
        <v>29637204727.747036</v>
      </c>
      <c r="EK10" s="27">
        <f t="shared" si="27"/>
        <v>31329922612.901142</v>
      </c>
      <c r="EL10" s="27">
        <f t="shared" si="27"/>
        <v>31329922612.901142</v>
      </c>
      <c r="EM10" s="27">
        <f t="shared" si="27"/>
        <v>31329922612.901142</v>
      </c>
      <c r="EN10" s="27">
        <f t="shared" si="27"/>
        <v>27725544001.575932</v>
      </c>
      <c r="EO10" s="27">
        <f t="shared" si="27"/>
        <v>30592963633.194588</v>
      </c>
      <c r="EP10" s="27">
        <f t="shared" si="27"/>
        <v>32204640618.596096</v>
      </c>
      <c r="EQ10" s="27">
        <f t="shared" si="27"/>
        <v>35266176675.665558</v>
      </c>
      <c r="ER10" s="27">
        <f t="shared" si="27"/>
        <v>36517344767.825745</v>
      </c>
      <c r="ES10" s="27">
        <f t="shared" si="27"/>
        <v>36517344767.825745</v>
      </c>
      <c r="ET10" s="27">
        <f t="shared" si="27"/>
        <v>36517344767.825745</v>
      </c>
      <c r="EU10" s="27">
        <f t="shared" si="27"/>
        <v>10080987116.831944</v>
      </c>
      <c r="EV10" s="27">
        <f t="shared" si="27"/>
        <v>11851196103.061947</v>
      </c>
      <c r="EW10" s="27">
        <f t="shared" si="27"/>
        <v>12535347461.249203</v>
      </c>
      <c r="EX10" s="27">
        <f t="shared" si="27"/>
        <v>13468682159.972044</v>
      </c>
      <c r="EY10" s="27">
        <f t="shared" si="27"/>
        <v>14000346805.996132</v>
      </c>
      <c r="EZ10" s="27">
        <f t="shared" si="27"/>
        <v>14000346805.996132</v>
      </c>
      <c r="FA10" s="27">
        <f t="shared" si="27"/>
        <v>14000346805.996132</v>
      </c>
      <c r="FB10" s="27">
        <f t="shared" si="27"/>
        <v>13564787207.915012</v>
      </c>
      <c r="FC10" s="27">
        <f t="shared" si="27"/>
        <v>14437354695.182755</v>
      </c>
      <c r="FD10" s="27">
        <f t="shared" si="27"/>
        <v>15958999343.704777</v>
      </c>
      <c r="FE10" s="27">
        <f t="shared" si="27"/>
        <v>15958999343.704777</v>
      </c>
      <c r="FF10" s="27">
        <f t="shared" si="27"/>
        <v>15958999343.704777</v>
      </c>
      <c r="FG10" s="27">
        <f t="shared" si="27"/>
        <v>15958999343.704777</v>
      </c>
      <c r="FH10" s="27">
        <f t="shared" si="27"/>
        <v>15958999343.704777</v>
      </c>
      <c r="FI10" s="27">
        <f t="shared" si="27"/>
        <v>22597028494.574181</v>
      </c>
      <c r="FJ10" s="27">
        <f t="shared" si="27"/>
        <v>23748179729.874836</v>
      </c>
      <c r="FK10" s="27">
        <f t="shared" si="27"/>
        <v>26203757560.202896</v>
      </c>
      <c r="FL10" s="27">
        <f t="shared" si="27"/>
        <v>29031617621.10067</v>
      </c>
      <c r="FM10" s="27">
        <f t="shared" si="27"/>
        <v>31616675084.149887</v>
      </c>
      <c r="FN10" s="27">
        <f t="shared" si="27"/>
        <v>31616675084.149887</v>
      </c>
      <c r="FO10" s="27">
        <f t="shared" si="27"/>
        <v>31616675084.149887</v>
      </c>
      <c r="FP10" s="27">
        <f t="shared" si="27"/>
        <v>32994823091.085014</v>
      </c>
      <c r="FQ10" s="27">
        <f t="shared" si="27"/>
        <v>34693183156.345146</v>
      </c>
      <c r="FR10" s="27">
        <f t="shared" si="27"/>
        <v>37466272114.839111</v>
      </c>
      <c r="FS10" s="27">
        <f t="shared" si="27"/>
        <v>40339752399.550919</v>
      </c>
      <c r="FT10" s="27">
        <f t="shared" si="27"/>
        <v>41956801438.91613</v>
      </c>
      <c r="FU10" s="27">
        <f t="shared" si="27"/>
        <v>41956801438.91613</v>
      </c>
      <c r="FV10" s="27">
        <f t="shared" si="27"/>
        <v>41956801438.91613</v>
      </c>
      <c r="FW10" s="27">
        <f t="shared" si="27"/>
        <v>38625287235.144409</v>
      </c>
      <c r="FX10" s="27">
        <f t="shared" si="27"/>
        <v>39883847304.523392</v>
      </c>
      <c r="FY10" s="27">
        <f t="shared" si="27"/>
        <v>41617847036.632767</v>
      </c>
      <c r="FZ10" s="27">
        <f t="shared" si="27"/>
        <v>17514150244.232426</v>
      </c>
      <c r="GA10" s="27">
        <f t="shared" si="27"/>
        <v>18705966461.056576</v>
      </c>
      <c r="GB10" s="27">
        <f t="shared" si="27"/>
        <v>18705966461.056576</v>
      </c>
      <c r="GC10" s="27">
        <f t="shared" si="27"/>
        <v>18705966461.056576</v>
      </c>
      <c r="GD10" s="27">
        <f t="shared" si="27"/>
        <v>18291175143.093716</v>
      </c>
      <c r="GE10" s="27">
        <f t="shared" si="27"/>
        <v>19236039350.024837</v>
      </c>
      <c r="GF10" s="27">
        <f t="shared" si="27"/>
        <v>19774043179.104328</v>
      </c>
      <c r="GG10" s="27">
        <f t="shared" si="27"/>
        <v>20453590540.99073</v>
      </c>
      <c r="GH10" s="27">
        <f t="shared" si="27"/>
        <v>21336135681.123367</v>
      </c>
      <c r="GI10" s="27">
        <f t="shared" si="27"/>
        <v>21336135681.123367</v>
      </c>
      <c r="GJ10" s="27">
        <f t="shared" si="27"/>
        <v>21336135681.123367</v>
      </c>
      <c r="GK10" s="27">
        <f t="shared" si="27"/>
        <v>21773923315.161522</v>
      </c>
      <c r="GL10" s="27">
        <f t="shared" si="27"/>
        <v>30708238951.522186</v>
      </c>
      <c r="GM10" s="27">
        <f t="shared" si="27"/>
        <v>32225264977.218201</v>
      </c>
      <c r="GN10" s="27">
        <f t="shared" ref="GN10:IY10" si="28">+GM7-GN3+GN2</f>
        <v>32042832587.176289</v>
      </c>
      <c r="GO10" s="27">
        <f t="shared" si="28"/>
        <v>34654586409.496437</v>
      </c>
      <c r="GP10" s="27">
        <f t="shared" si="28"/>
        <v>34904586409.496437</v>
      </c>
      <c r="GQ10" s="27">
        <f t="shared" si="28"/>
        <v>34904586409.496437</v>
      </c>
      <c r="GR10" s="27">
        <f t="shared" si="28"/>
        <v>37520466220.033966</v>
      </c>
      <c r="GS10" s="27">
        <f t="shared" si="28"/>
        <v>38915046262.762207</v>
      </c>
      <c r="GT10" s="27">
        <f t="shared" si="28"/>
        <v>40633656339.807373</v>
      </c>
      <c r="GU10" s="27">
        <f t="shared" si="28"/>
        <v>43439809596.761414</v>
      </c>
      <c r="GV10" s="27">
        <f t="shared" si="28"/>
        <v>46347551173.186142</v>
      </c>
      <c r="GW10" s="27">
        <f t="shared" si="28"/>
        <v>46347551173.186142</v>
      </c>
      <c r="GX10" s="27">
        <f t="shared" si="28"/>
        <v>46347551173.186142</v>
      </c>
      <c r="GY10" s="27">
        <f t="shared" si="28"/>
        <v>41600625734.655281</v>
      </c>
      <c r="GZ10" s="27">
        <f t="shared" si="28"/>
        <v>44713582009.848068</v>
      </c>
      <c r="HA10" s="27">
        <f t="shared" si="28"/>
        <v>45983888249.371323</v>
      </c>
      <c r="HB10" s="27">
        <f t="shared" si="28"/>
        <v>47738562934.765747</v>
      </c>
      <c r="HC10" s="27">
        <f t="shared" si="28"/>
        <v>48327454062.290565</v>
      </c>
      <c r="HD10" s="27">
        <f t="shared" si="28"/>
        <v>48327454062.290565</v>
      </c>
      <c r="HE10" s="27">
        <f t="shared" si="28"/>
        <v>26544541283.780567</v>
      </c>
      <c r="HF10" s="27">
        <f t="shared" si="28"/>
        <v>26640945742.398098</v>
      </c>
      <c r="HG10" s="27">
        <f t="shared" si="28"/>
        <v>27748045742.398098</v>
      </c>
      <c r="HH10" s="27">
        <f t="shared" si="28"/>
        <v>28463477949.76461</v>
      </c>
      <c r="HI10" s="27">
        <f t="shared" si="28"/>
        <v>29439486687.784657</v>
      </c>
      <c r="HJ10" s="27">
        <f t="shared" si="28"/>
        <v>29995460167.529823</v>
      </c>
      <c r="HK10" s="27">
        <f t="shared" si="28"/>
        <v>29995460167.529823</v>
      </c>
      <c r="HL10" s="27">
        <f t="shared" si="28"/>
        <v>29995460167.529823</v>
      </c>
      <c r="HM10" s="27">
        <f t="shared" si="28"/>
        <v>29595704818.996437</v>
      </c>
      <c r="HN10" s="27">
        <f t="shared" si="28"/>
        <v>30508114059.712887</v>
      </c>
      <c r="HO10" s="27">
        <f t="shared" si="28"/>
        <v>32099331524.52071</v>
      </c>
      <c r="HP10" s="27">
        <f t="shared" si="28"/>
        <v>40193251202.119347</v>
      </c>
      <c r="HQ10" s="27">
        <f t="shared" si="28"/>
        <v>41760946807.210617</v>
      </c>
      <c r="HR10" s="27">
        <f t="shared" si="28"/>
        <v>41760946807.210617</v>
      </c>
      <c r="HS10" s="27">
        <f t="shared" si="28"/>
        <v>41760946807.210617</v>
      </c>
      <c r="HT10" s="27">
        <f t="shared" si="28"/>
        <v>41362501785.82914</v>
      </c>
      <c r="HU10" s="27">
        <f t="shared" si="28"/>
        <v>44320042894.662605</v>
      </c>
      <c r="HV10" s="27">
        <f t="shared" si="28"/>
        <v>47023294660.26442</v>
      </c>
      <c r="HW10" s="27">
        <f t="shared" si="28"/>
        <v>48464454513.095543</v>
      </c>
      <c r="HX10" s="27">
        <f t="shared" si="28"/>
        <v>50240467197.791008</v>
      </c>
      <c r="HY10" s="27">
        <f t="shared" si="28"/>
        <v>50240467197.791008</v>
      </c>
      <c r="HZ10" s="27">
        <f t="shared" si="28"/>
        <v>50240467197.791008</v>
      </c>
      <c r="IA10" s="27">
        <f t="shared" si="28"/>
        <v>46778914661.00386</v>
      </c>
      <c r="IB10" s="27">
        <f t="shared" si="28"/>
        <v>49787123871.878525</v>
      </c>
      <c r="IC10" s="27">
        <f t="shared" si="28"/>
        <v>51478107818.352409</v>
      </c>
      <c r="ID10" s="27">
        <f t="shared" si="28"/>
        <v>54690295105.847679</v>
      </c>
      <c r="IE10" s="27">
        <f t="shared" si="28"/>
        <v>56003030335.888931</v>
      </c>
      <c r="IF10" s="27">
        <f t="shared" si="28"/>
        <v>56003030335.888931</v>
      </c>
      <c r="IG10" s="27">
        <f t="shared" si="28"/>
        <v>56003030335.888931</v>
      </c>
      <c r="IH10" s="27">
        <f t="shared" si="28"/>
        <v>57816312208.489418</v>
      </c>
      <c r="II10" s="27">
        <f t="shared" si="28"/>
        <v>37261142886.987724</v>
      </c>
      <c r="IJ10" s="27">
        <f t="shared" si="28"/>
        <v>38502954335.842773</v>
      </c>
      <c r="IK10" s="27">
        <f t="shared" si="28"/>
        <v>39248266201.297012</v>
      </c>
      <c r="IL10" s="27">
        <f t="shared" si="28"/>
        <v>40265037442.15435</v>
      </c>
      <c r="IM10" s="27">
        <f t="shared" si="28"/>
        <v>40265037442.15435</v>
      </c>
      <c r="IN10" s="27">
        <f t="shared" si="28"/>
        <v>40265037442.15435</v>
      </c>
      <c r="IO10" s="27">
        <f t="shared" si="28"/>
        <v>39737130868.261414</v>
      </c>
      <c r="IP10" s="27">
        <f t="shared" si="28"/>
        <v>40469214891.984863</v>
      </c>
      <c r="IQ10" s="27">
        <f t="shared" si="28"/>
        <v>41419327727.207893</v>
      </c>
      <c r="IR10" s="27">
        <f t="shared" si="28"/>
        <v>43077001570.834167</v>
      </c>
      <c r="IS10" s="27">
        <f t="shared" si="28"/>
        <v>51508959639.863838</v>
      </c>
      <c r="IT10" s="27">
        <f t="shared" si="28"/>
        <v>51508959639.863838</v>
      </c>
      <c r="IU10" s="27">
        <f t="shared" si="28"/>
        <v>51508959639.863838</v>
      </c>
      <c r="IV10" s="27">
        <f t="shared" si="28"/>
        <v>50406959639.863838</v>
      </c>
      <c r="IW10" s="27">
        <f t="shared" si="28"/>
        <v>52041194879.403275</v>
      </c>
      <c r="IX10" s="27">
        <f t="shared" si="28"/>
        <v>51686667510.733047</v>
      </c>
      <c r="IY10" s="27">
        <f t="shared" si="28"/>
        <v>54767670242.401291</v>
      </c>
      <c r="IZ10" s="27">
        <f t="shared" ref="IZ10:LK10" si="29">+IY7-IZ3+IZ2</f>
        <v>57583821927.309975</v>
      </c>
      <c r="JA10" s="27">
        <f t="shared" si="29"/>
        <v>57583821927.309975</v>
      </c>
      <c r="JB10" s="27">
        <f t="shared" si="29"/>
        <v>57583821927.309975</v>
      </c>
      <c r="JC10" s="27">
        <f t="shared" si="29"/>
        <v>59085171079.992233</v>
      </c>
      <c r="JD10" s="27">
        <f t="shared" si="29"/>
        <v>60935358020.79715</v>
      </c>
      <c r="JE10" s="27">
        <f t="shared" si="29"/>
        <v>63956350495.623138</v>
      </c>
      <c r="JF10" s="27">
        <f t="shared" si="29"/>
        <v>67086708896.166351</v>
      </c>
      <c r="JG10" s="27">
        <f t="shared" si="29"/>
        <v>68848315917.240768</v>
      </c>
      <c r="JH10" s="27">
        <f t="shared" si="29"/>
        <v>68848315917.240768</v>
      </c>
      <c r="JI10" s="27">
        <f t="shared" si="29"/>
        <v>68848315917.240768</v>
      </c>
      <c r="JJ10" s="27">
        <f t="shared" si="29"/>
        <v>65841403558.223724</v>
      </c>
      <c r="JK10" s="27">
        <f t="shared" si="29"/>
        <v>67211872184.064301</v>
      </c>
      <c r="JL10" s="27">
        <f t="shared" si="29"/>
        <v>69100884841.234024</v>
      </c>
      <c r="JM10" s="27">
        <f t="shared" si="29"/>
        <v>49245387238.313446</v>
      </c>
      <c r="JN10" s="27">
        <f t="shared" si="29"/>
        <v>50537555574.568413</v>
      </c>
      <c r="JO10" s="27">
        <f t="shared" si="29"/>
        <v>50537555574.568413</v>
      </c>
      <c r="JP10" s="27">
        <f t="shared" si="29"/>
        <v>50537555574.568413</v>
      </c>
      <c r="JQ10" s="27">
        <f t="shared" si="29"/>
        <v>50186711279.612007</v>
      </c>
      <c r="JR10" s="27">
        <f t="shared" si="29"/>
        <v>51218751619.466324</v>
      </c>
      <c r="JS10" s="27">
        <f t="shared" si="29"/>
        <v>51806449673.287407</v>
      </c>
      <c r="JT10" s="27">
        <f t="shared" si="29"/>
        <v>52548765323.239563</v>
      </c>
      <c r="JU10" s="27">
        <f t="shared" si="29"/>
        <v>53512829207.60379</v>
      </c>
      <c r="JV10" s="27">
        <f t="shared" si="29"/>
        <v>53512829207.60379</v>
      </c>
      <c r="JW10" s="27">
        <f t="shared" si="29"/>
        <v>53512829207.60379</v>
      </c>
      <c r="JX10" s="27">
        <f t="shared" si="29"/>
        <v>54092843622.57608</v>
      </c>
      <c r="JY10" s="27">
        <f t="shared" si="29"/>
        <v>63750612945.402733</v>
      </c>
      <c r="JZ10" s="27">
        <f t="shared" si="29"/>
        <v>65407763312.571861</v>
      </c>
      <c r="KA10" s="27">
        <f t="shared" si="29"/>
        <v>65319321393.909195</v>
      </c>
      <c r="KB10" s="27">
        <f t="shared" si="29"/>
        <v>68445301908.939529</v>
      </c>
      <c r="KC10" s="27">
        <f t="shared" si="29"/>
        <v>68195301908.939529</v>
      </c>
      <c r="KD10" s="27">
        <f t="shared" si="29"/>
        <v>68195543658.939529</v>
      </c>
      <c r="KE10" s="27">
        <f t="shared" si="29"/>
        <v>71053046506.666687</v>
      </c>
      <c r="KF10" s="27">
        <f t="shared" si="29"/>
        <v>72576440826.01828</v>
      </c>
      <c r="KG10" s="27">
        <f t="shared" si="29"/>
        <v>74453795117.873154</v>
      </c>
      <c r="KH10" s="27">
        <f t="shared" si="29"/>
        <v>77519146549.771439</v>
      </c>
      <c r="KI10" s="27">
        <f t="shared" si="29"/>
        <v>80695469789.706909</v>
      </c>
      <c r="KJ10" s="27">
        <f t="shared" si="29"/>
        <v>80695469789.706909</v>
      </c>
      <c r="KK10" s="27">
        <f t="shared" si="29"/>
        <v>80695469789.706909</v>
      </c>
      <c r="KL10" s="27">
        <f t="shared" si="29"/>
        <v>74342214793.636902</v>
      </c>
      <c r="KM10" s="27">
        <f t="shared" si="29"/>
        <v>76135832093.814316</v>
      </c>
      <c r="KN10" s="27">
        <f t="shared" si="29"/>
        <v>79531310990.101013</v>
      </c>
      <c r="KO10" s="27">
        <f t="shared" si="29"/>
        <v>80918952609.681915</v>
      </c>
      <c r="KP10" s="27">
        <f t="shared" si="29"/>
        <v>82835702718.059036</v>
      </c>
      <c r="KQ10" s="27">
        <f t="shared" si="29"/>
        <v>82835702718.059036</v>
      </c>
      <c r="KR10" s="27">
        <f t="shared" si="29"/>
        <v>62286569986.299034</v>
      </c>
      <c r="KS10" s="27">
        <f t="shared" si="29"/>
        <v>63134286484.149765</v>
      </c>
      <c r="KT10" s="27">
        <f t="shared" si="29"/>
        <v>65032791340.697128</v>
      </c>
      <c r="KU10" s="27">
        <f t="shared" si="29"/>
        <v>66112443678.61042</v>
      </c>
      <c r="KV10" s="27">
        <f t="shared" si="29"/>
        <v>66727456683.967682</v>
      </c>
      <c r="KW10" s="27">
        <f t="shared" si="29"/>
        <v>67504273581.407654</v>
      </c>
      <c r="KX10" s="27">
        <f t="shared" si="29"/>
        <v>67504273581.407654</v>
      </c>
      <c r="KY10" s="27">
        <f t="shared" si="29"/>
        <v>67504273581.407654</v>
      </c>
      <c r="KZ10" s="27">
        <f t="shared" si="29"/>
        <v>67504273581.407654</v>
      </c>
      <c r="LA10" s="27">
        <f t="shared" si="29"/>
        <v>66402273581.407654</v>
      </c>
      <c r="LB10" s="27">
        <f t="shared" si="29"/>
        <v>67412210732.038109</v>
      </c>
      <c r="LC10" s="27">
        <f t="shared" si="29"/>
        <v>69172401588.006592</v>
      </c>
      <c r="LD10" s="27">
        <f t="shared" si="29"/>
        <v>78125824813.017014</v>
      </c>
      <c r="LE10" s="27">
        <f t="shared" si="29"/>
        <v>78125824813.017014</v>
      </c>
      <c r="LF10" s="27">
        <f t="shared" si="29"/>
        <v>78125824813.017014</v>
      </c>
      <c r="LG10" s="27">
        <f t="shared" si="29"/>
        <v>78409995993.294312</v>
      </c>
      <c r="LH10" s="27">
        <f t="shared" si="29"/>
        <v>81023216922.456253</v>
      </c>
      <c r="LI10" s="27">
        <f t="shared" si="29"/>
        <v>84294396843.461792</v>
      </c>
      <c r="LJ10" s="27">
        <f t="shared" si="29"/>
        <v>87284710326.331757</v>
      </c>
      <c r="LK10" s="27">
        <f t="shared" si="29"/>
        <v>88878908763.09201</v>
      </c>
      <c r="LL10" s="27">
        <f t="shared" ref="LL10:LW10" si="30">+LK7-LL3+LL2</f>
        <v>88878908763.09201</v>
      </c>
      <c r="LM10" s="27">
        <f t="shared" si="30"/>
        <v>88878908763.09201</v>
      </c>
      <c r="LN10" s="27">
        <f t="shared" si="30"/>
        <v>90843518476.612564</v>
      </c>
      <c r="LO10" s="27">
        <f t="shared" si="30"/>
        <v>87698085906.277359</v>
      </c>
      <c r="LP10" s="27">
        <f t="shared" si="30"/>
        <v>91025079506.195404</v>
      </c>
      <c r="LQ10" s="27">
        <f t="shared" si="30"/>
        <v>92895631172.451981</v>
      </c>
      <c r="LR10" s="27">
        <f t="shared" si="30"/>
        <v>92895631172.451981</v>
      </c>
      <c r="LS10" s="27">
        <f t="shared" si="30"/>
        <v>92895631172.451981</v>
      </c>
      <c r="LT10" s="27">
        <f t="shared" si="30"/>
        <v>92895631172.451981</v>
      </c>
      <c r="LU10" s="27">
        <f t="shared" si="30"/>
        <v>96448924682.707825</v>
      </c>
      <c r="LV10" s="27">
        <f t="shared" si="30"/>
        <v>73519374549.315445</v>
      </c>
      <c r="LW10" s="27">
        <f t="shared" si="30"/>
        <v>75547383987.828049</v>
      </c>
      <c r="LX10" s="11"/>
    </row>
    <row r="11" spans="1:336" s="13" customFormat="1"/>
    <row r="12" spans="1:336" s="13" customFormat="1">
      <c r="A12" s="40"/>
    </row>
    <row r="13" spans="1:336" s="13" customFormat="1"/>
    <row r="14" spans="1:336" s="13" customFormat="1"/>
    <row r="15" spans="1:336" s="13" customFormat="1"/>
    <row r="16" spans="1:33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56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</row>
    <row r="17" spans="4:5">
      <c r="D17" s="40"/>
      <c r="E17" s="2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763B-0339-4AE0-93F5-8B6ED3EAD72E}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7F4C-2DAD-4DE9-93E6-2898F3529E63}">
  <dimension ref="A1:L6"/>
  <sheetViews>
    <sheetView workbookViewId="0">
      <selection activeCell="C15" sqref="C15"/>
    </sheetView>
  </sheetViews>
  <sheetFormatPr baseColWidth="10" defaultColWidth="11.3984375" defaultRowHeight="13.8"/>
  <cols>
    <col min="1" max="1" width="11.3984375" style="5"/>
    <col min="2" max="12" width="18.8984375" style="5" bestFit="1" customWidth="1"/>
  </cols>
  <sheetData>
    <row r="1" spans="1:12">
      <c r="A1" s="5" t="s">
        <v>0</v>
      </c>
      <c r="B1" s="5" t="s">
        <v>345</v>
      </c>
      <c r="C1" s="5" t="s">
        <v>346</v>
      </c>
      <c r="D1" s="5" t="s">
        <v>347</v>
      </c>
      <c r="E1" s="5" t="s">
        <v>348</v>
      </c>
      <c r="F1" s="5" t="s">
        <v>349</v>
      </c>
      <c r="G1" s="5" t="s">
        <v>350</v>
      </c>
      <c r="H1" s="5" t="s">
        <v>351</v>
      </c>
      <c r="I1" s="5" t="s">
        <v>352</v>
      </c>
      <c r="J1" s="5" t="s">
        <v>353</v>
      </c>
      <c r="K1" s="5" t="s">
        <v>354</v>
      </c>
      <c r="L1" s="5" t="s">
        <v>355</v>
      </c>
    </row>
    <row r="2" spans="1:12">
      <c r="C2" s="5">
        <f>B6</f>
        <v>2325297930.3799896</v>
      </c>
      <c r="D2" s="5">
        <f t="shared" ref="D2:L2" si="0">C6</f>
        <v>-891283201.93002319</v>
      </c>
      <c r="E2" s="5">
        <f t="shared" si="0"/>
        <v>320507679.73997498</v>
      </c>
      <c r="F2" s="5">
        <f t="shared" si="0"/>
        <v>4649584285.9999695</v>
      </c>
      <c r="G2" s="5">
        <f t="shared" si="0"/>
        <v>5351813568.7299576</v>
      </c>
      <c r="H2" s="5">
        <f t="shared" si="0"/>
        <v>9627632891.5599518</v>
      </c>
      <c r="I2" s="5">
        <f t="shared" si="0"/>
        <v>17291480304.019947</v>
      </c>
      <c r="J2" s="5">
        <f t="shared" si="0"/>
        <v>26915292867.669937</v>
      </c>
      <c r="K2" s="5">
        <f t="shared" si="0"/>
        <v>38925867208.339935</v>
      </c>
      <c r="L2" s="5">
        <f t="shared" si="0"/>
        <v>51501016969.219917</v>
      </c>
    </row>
    <row r="3" spans="1:12">
      <c r="A3" s="5" t="s">
        <v>337</v>
      </c>
      <c r="B3" s="5">
        <v>36568363356.690002</v>
      </c>
      <c r="C3" s="5">
        <v>40408365074.020004</v>
      </c>
      <c r="D3" s="5">
        <v>36546063967.369995</v>
      </c>
      <c r="E3" s="5">
        <v>35660898358.449997</v>
      </c>
      <c r="F3" s="5">
        <v>38191951799.309998</v>
      </c>
      <c r="G3" s="5">
        <v>34748004138.880005</v>
      </c>
      <c r="H3" s="5">
        <v>31825267774.579998</v>
      </c>
      <c r="I3" s="5">
        <v>31184262762.060001</v>
      </c>
      <c r="J3" s="5">
        <v>30501829257.370003</v>
      </c>
      <c r="K3" s="5">
        <v>30561487727.830002</v>
      </c>
      <c r="L3" s="5">
        <v>34394041370.630005</v>
      </c>
    </row>
    <row r="4" spans="1:12">
      <c r="A4" s="5" t="s">
        <v>338</v>
      </c>
      <c r="B4" s="5">
        <v>36502319630.459991</v>
      </c>
      <c r="C4" s="5">
        <v>37191783941.709991</v>
      </c>
      <c r="D4" s="5">
        <v>37757854849.039993</v>
      </c>
      <c r="E4" s="5">
        <v>39989974964.709991</v>
      </c>
      <c r="F4" s="5">
        <v>38894181082.039986</v>
      </c>
      <c r="G4" s="5">
        <v>39023823461.709999</v>
      </c>
      <c r="H4" s="5">
        <v>39489115187.039993</v>
      </c>
      <c r="I4" s="5">
        <v>40808075325.709991</v>
      </c>
      <c r="J4" s="5">
        <v>42512403598.040001</v>
      </c>
      <c r="K4" s="5">
        <v>43136637488.709984</v>
      </c>
      <c r="L4" s="5">
        <v>45141536356.039986</v>
      </c>
    </row>
    <row r="5" spans="1:12">
      <c r="B5" s="5">
        <v>2391341656.6100001</v>
      </c>
    </row>
    <row r="6" spans="1:12">
      <c r="B6" s="5">
        <f>+B5+B4-B3</f>
        <v>2325297930.3799896</v>
      </c>
      <c r="C6" s="5">
        <f>+C5+C4-C3+C2</f>
        <v>-891283201.93002319</v>
      </c>
      <c r="D6" s="5">
        <f t="shared" ref="D6:L6" si="1">+D5+D4-D3+D2</f>
        <v>320507679.73997498</v>
      </c>
      <c r="E6" s="5">
        <f t="shared" si="1"/>
        <v>4649584285.9999695</v>
      </c>
      <c r="F6" s="5">
        <f t="shared" si="1"/>
        <v>5351813568.7299576</v>
      </c>
      <c r="G6" s="5">
        <f t="shared" si="1"/>
        <v>9627632891.5599518</v>
      </c>
      <c r="H6" s="5">
        <f t="shared" si="1"/>
        <v>17291480304.019947</v>
      </c>
      <c r="I6" s="5">
        <f t="shared" si="1"/>
        <v>26915292867.669937</v>
      </c>
      <c r="J6" s="5">
        <f t="shared" si="1"/>
        <v>38925867208.339935</v>
      </c>
      <c r="K6" s="5">
        <f t="shared" si="1"/>
        <v>51501016969.219917</v>
      </c>
      <c r="L6" s="5">
        <f t="shared" si="1"/>
        <v>62248511954.629898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247D-567D-4DDC-A111-3765DE47A256}">
  <dimension ref="A1:DQ16384"/>
  <sheetViews>
    <sheetView workbookViewId="0">
      <selection activeCell="D3" sqref="D3"/>
    </sheetView>
  </sheetViews>
  <sheetFormatPr baseColWidth="10" defaultColWidth="11.3984375" defaultRowHeight="13.8"/>
  <cols>
    <col min="1" max="1" width="17" style="31" bestFit="1" customWidth="1"/>
    <col min="2" max="14" width="19.8984375" style="5" bestFit="1" customWidth="1"/>
    <col min="15" max="78" width="19.8984375" bestFit="1" customWidth="1"/>
    <col min="79" max="79" width="18.8984375" bestFit="1" customWidth="1"/>
    <col min="80" max="83" width="19.8984375" bestFit="1" customWidth="1"/>
    <col min="84" max="85" width="18.8984375" bestFit="1" customWidth="1"/>
    <col min="86" max="113" width="19.8984375" bestFit="1" customWidth="1"/>
    <col min="114" max="114" width="9.296875" bestFit="1" customWidth="1"/>
  </cols>
  <sheetData>
    <row r="1" spans="1:121" ht="14.4">
      <c r="A1" s="11" t="s">
        <v>0</v>
      </c>
      <c r="B1" s="50" t="s">
        <v>341</v>
      </c>
      <c r="C1" s="50" t="s">
        <v>356</v>
      </c>
      <c r="D1" s="50" t="s">
        <v>357</v>
      </c>
      <c r="E1" s="5" t="s">
        <v>358</v>
      </c>
      <c r="F1" s="5" t="s">
        <v>359</v>
      </c>
      <c r="G1" s="5" t="s">
        <v>360</v>
      </c>
      <c r="H1" s="5" t="s">
        <v>361</v>
      </c>
      <c r="I1" s="5" t="s">
        <v>362</v>
      </c>
      <c r="J1" s="5" t="s">
        <v>363</v>
      </c>
      <c r="K1" s="5" t="s">
        <v>364</v>
      </c>
      <c r="L1" s="5" t="s">
        <v>365</v>
      </c>
      <c r="M1" s="5" t="s">
        <v>366</v>
      </c>
      <c r="N1" s="5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374</v>
      </c>
      <c r="V1" t="s">
        <v>375</v>
      </c>
      <c r="W1" t="s">
        <v>376</v>
      </c>
      <c r="X1" t="s">
        <v>377</v>
      </c>
      <c r="Y1" t="s">
        <v>378</v>
      </c>
      <c r="Z1" t="s">
        <v>379</v>
      </c>
      <c r="AA1" t="s">
        <v>380</v>
      </c>
      <c r="AB1" t="s">
        <v>381</v>
      </c>
      <c r="AC1" t="s">
        <v>382</v>
      </c>
      <c r="AD1" t="s">
        <v>383</v>
      </c>
      <c r="AE1" t="s">
        <v>384</v>
      </c>
      <c r="AF1" t="s">
        <v>385</v>
      </c>
      <c r="AG1" t="s">
        <v>386</v>
      </c>
      <c r="AH1" t="s">
        <v>387</v>
      </c>
      <c r="AI1" t="s">
        <v>388</v>
      </c>
      <c r="AJ1" t="s">
        <v>389</v>
      </c>
      <c r="AK1" t="s">
        <v>390</v>
      </c>
      <c r="AL1" t="s">
        <v>391</v>
      </c>
      <c r="AM1" t="s">
        <v>392</v>
      </c>
      <c r="AN1" t="s">
        <v>393</v>
      </c>
      <c r="AO1" t="s">
        <v>394</v>
      </c>
      <c r="AP1" t="s">
        <v>395</v>
      </c>
      <c r="AQ1" t="s">
        <v>396</v>
      </c>
      <c r="AR1" t="s">
        <v>397</v>
      </c>
      <c r="AS1" t="s">
        <v>398</v>
      </c>
      <c r="AT1" t="s">
        <v>399</v>
      </c>
      <c r="AU1" t="s">
        <v>400</v>
      </c>
      <c r="AV1" t="s">
        <v>401</v>
      </c>
      <c r="AW1" t="s">
        <v>402</v>
      </c>
      <c r="AX1" t="s">
        <v>403</v>
      </c>
      <c r="AY1" t="s">
        <v>404</v>
      </c>
      <c r="AZ1" t="s">
        <v>405</v>
      </c>
      <c r="BA1" t="s">
        <v>406</v>
      </c>
      <c r="BB1" t="s">
        <v>407</v>
      </c>
      <c r="BC1" t="s">
        <v>408</v>
      </c>
      <c r="BD1" t="s">
        <v>409</v>
      </c>
      <c r="BE1" t="s">
        <v>410</v>
      </c>
      <c r="BF1" t="s">
        <v>411</v>
      </c>
      <c r="BG1" t="s">
        <v>412</v>
      </c>
      <c r="BH1" t="s">
        <v>413</v>
      </c>
      <c r="BI1" t="s">
        <v>414</v>
      </c>
      <c r="BJ1" t="s">
        <v>415</v>
      </c>
      <c r="BK1" t="s">
        <v>416</v>
      </c>
      <c r="BL1" t="s">
        <v>417</v>
      </c>
      <c r="BM1" t="s">
        <v>418</v>
      </c>
      <c r="BN1" t="s">
        <v>419</v>
      </c>
      <c r="BO1" t="s">
        <v>420</v>
      </c>
      <c r="BP1" t="s">
        <v>421</v>
      </c>
      <c r="BQ1" t="s">
        <v>422</v>
      </c>
      <c r="BR1" t="s">
        <v>423</v>
      </c>
      <c r="BS1" t="s">
        <v>424</v>
      </c>
      <c r="BT1" t="s">
        <v>425</v>
      </c>
      <c r="BU1" t="s">
        <v>426</v>
      </c>
      <c r="BV1" t="s">
        <v>427</v>
      </c>
      <c r="BW1" t="s">
        <v>428</v>
      </c>
      <c r="BX1" t="s">
        <v>429</v>
      </c>
      <c r="BY1" t="s">
        <v>430</v>
      </c>
      <c r="BZ1" t="s">
        <v>431</v>
      </c>
      <c r="CA1" t="s">
        <v>432</v>
      </c>
      <c r="CB1" t="s">
        <v>433</v>
      </c>
      <c r="CC1" t="s">
        <v>434</v>
      </c>
      <c r="CD1" t="s">
        <v>435</v>
      </c>
      <c r="CE1" t="s">
        <v>436</v>
      </c>
      <c r="CF1" t="s">
        <v>437</v>
      </c>
      <c r="CG1" t="s">
        <v>438</v>
      </c>
      <c r="CH1" t="s">
        <v>439</v>
      </c>
      <c r="CI1" t="s">
        <v>440</v>
      </c>
      <c r="CJ1" t="s">
        <v>441</v>
      </c>
      <c r="CK1" t="s">
        <v>442</v>
      </c>
      <c r="CL1" t="s">
        <v>443</v>
      </c>
      <c r="CM1" t="s">
        <v>444</v>
      </c>
      <c r="CN1" t="s">
        <v>445</v>
      </c>
      <c r="CO1" t="s">
        <v>446</v>
      </c>
      <c r="CP1" t="s">
        <v>447</v>
      </c>
      <c r="CQ1" t="s">
        <v>448</v>
      </c>
      <c r="CR1" t="s">
        <v>449</v>
      </c>
      <c r="CS1" t="s">
        <v>450</v>
      </c>
      <c r="CT1" t="s">
        <v>451</v>
      </c>
      <c r="CU1" t="s">
        <v>452</v>
      </c>
      <c r="CV1" t="s">
        <v>453</v>
      </c>
      <c r="CW1" t="s">
        <v>454</v>
      </c>
      <c r="CX1" t="s">
        <v>455</v>
      </c>
      <c r="CY1" t="s">
        <v>456</v>
      </c>
      <c r="CZ1" t="s">
        <v>457</v>
      </c>
      <c r="DA1" t="s">
        <v>458</v>
      </c>
      <c r="DB1" t="s">
        <v>459</v>
      </c>
      <c r="DC1" t="s">
        <v>460</v>
      </c>
      <c r="DD1" t="s">
        <v>461</v>
      </c>
      <c r="DE1" t="s">
        <v>462</v>
      </c>
      <c r="DF1" t="s">
        <v>463</v>
      </c>
      <c r="DG1" t="s">
        <v>464</v>
      </c>
      <c r="DH1" t="s">
        <v>465</v>
      </c>
      <c r="DI1" t="s">
        <v>466</v>
      </c>
      <c r="DJ1" t="s">
        <v>467</v>
      </c>
      <c r="DK1" t="s">
        <v>468</v>
      </c>
      <c r="DL1" t="s">
        <v>469</v>
      </c>
      <c r="DM1" t="s">
        <v>470</v>
      </c>
      <c r="DN1" t="s">
        <v>471</v>
      </c>
      <c r="DO1" t="s">
        <v>472</v>
      </c>
      <c r="DP1" t="s">
        <v>473</v>
      </c>
      <c r="DQ1" t="s">
        <v>474</v>
      </c>
    </row>
    <row r="2" spans="1:121" ht="14.4">
      <c r="A2" s="12" t="s">
        <v>1</v>
      </c>
      <c r="B2" s="5">
        <f>HLOOKUP($A2,ESCENARIO[#All],7,FALSE)</f>
        <v>2376100989.5700002</v>
      </c>
      <c r="C2" s="5">
        <f>HLOOKUP($A2,ESCENARIO[#All],7,FALSE)</f>
        <v>2376100989.5700002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</row>
    <row r="3" spans="1:121" ht="14.4">
      <c r="A3" s="12" t="s">
        <v>2</v>
      </c>
      <c r="B3" s="5">
        <f>HLOOKUP($A3,ESCENARIO[#All],7,FALSE)</f>
        <v>2141100989.5700002</v>
      </c>
      <c r="C3" s="5">
        <f>IF($B2&lt;=Tabla5[[#This Row],[INVERSIONES FCI]],+Tabla5[[#This Row],[INVERSIONES FCI]]-C2,Tabla5[[#This Row],[INVERSIONES FCI]])</f>
        <v>2141100989.5700002</v>
      </c>
      <c r="D3" s="5" cm="1">
        <f t="array" ref="D3">IF(Tabla5[[#This Row],[FCI]]=0,0,_xlfn.XLOOKUP(TRUE,$B3:C3&gt;0,$B3:C3,"",0,-1))</f>
        <v>2141100989.5700002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</row>
    <row r="4" spans="1:121" ht="14.4">
      <c r="A4" s="12" t="s">
        <v>3</v>
      </c>
      <c r="B4" s="5">
        <f>HLOOKUP($A4,ESCENARIO[#All],7,FALSE)</f>
        <v>1334042804.5774012</v>
      </c>
      <c r="C4" s="5">
        <f>IF($B3&lt;=Tabla5[[#This Row],[INVERSIONES FCI]],+Tabla5[[#This Row],[INVERSIONES FCI]]-C3,Tabla5[[#This Row],[INVERSIONES FCI]])</f>
        <v>1334042804.5774012</v>
      </c>
      <c r="D4" s="5">
        <f>IF($B3&lt;=Tabla5[[#This Row],[INVERSIONES FCI]],+Tabla5[[#This Row],[INVERSIONES FCI]]-D3,Tabla5[[#This Row],[INVERSIONES FCI]])</f>
        <v>1334042804.5774012</v>
      </c>
      <c r="E4" s="5" cm="1">
        <f t="array" ref="E4">IF(Tabla5[[#This Row],[FCI]]=0,0,_xlfn.XLOOKUP(TRUE,$B4:D4&gt;0,$B4:D4,"",0,-1))</f>
        <v>1334042804.5774012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</row>
    <row r="5" spans="1:121" ht="14.4">
      <c r="A5" s="12" t="s">
        <v>4</v>
      </c>
      <c r="B5" s="5">
        <f>HLOOKUP($A5,ESCENARIO[#All],7,FALSE)</f>
        <v>2207850997.8263383</v>
      </c>
      <c r="C5" s="5">
        <f>IF($B4&lt;=Tabla5[[#This Row],[INVERSIONES FCI]],+Tabla5[[#This Row],[INVERSIONES FCI]]-C4,Tabla5[[#This Row],[INVERSIONES FCI]])</f>
        <v>873808193.24893713</v>
      </c>
      <c r="D5" s="5">
        <f>IF($B4&lt;=Tabla5[[#This Row],[INVERSIONES FCI]],+Tabla5[[#This Row],[INVERSIONES FCI]]-D4,Tabla5[[#This Row],[INVERSIONES FCI]])</f>
        <v>873808193.24893713</v>
      </c>
      <c r="E5" s="5">
        <f>IF($B4&lt;=Tabla5[[#This Row],[INVERSIONES FCI]],+Tabla5[[#This Row],[INVERSIONES FCI]]-E4,Tabla5[[#This Row],[INVERSIONES FCI]])</f>
        <v>873808193.24893713</v>
      </c>
      <c r="F5" s="5" cm="1">
        <f t="array" ref="F5">IF(Tabla5[[#This Row],[FCI]]=0,0,_xlfn.XLOOKUP(TRUE,$B5:E5&gt;0,$B5:E5,"",0,-1))</f>
        <v>873808193.24893713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ht="14.4">
      <c r="A6" s="12" t="s">
        <v>5</v>
      </c>
      <c r="B6" s="5">
        <f>HLOOKUP($A6,ESCENARIO[#All],7,FALSE)</f>
        <v>2705162412.3377514</v>
      </c>
      <c r="C6" s="5">
        <f>IF($B5&lt;=Tabla5[[#This Row],[INVERSIONES FCI]],+Tabla5[[#This Row],[INVERSIONES FCI]]-C5,Tabla5[[#This Row],[INVERSIONES FCI]])</f>
        <v>1831354219.0888143</v>
      </c>
      <c r="D6" s="5">
        <f>IF($B5&lt;=Tabla5[[#This Row],[INVERSIONES FCI]],+Tabla5[[#This Row],[INVERSIONES FCI]]-D5,Tabla5[[#This Row],[INVERSIONES FCI]])</f>
        <v>1831354219.0888143</v>
      </c>
      <c r="E6" s="5">
        <f>IF($B5&lt;=Tabla5[[#This Row],[INVERSIONES FCI]],+Tabla5[[#This Row],[INVERSIONES FCI]]-E5,Tabla5[[#This Row],[INVERSIONES FCI]])</f>
        <v>1831354219.0888143</v>
      </c>
      <c r="F6" s="5">
        <f>IF($B5&lt;=Tabla5[[#This Row],[INVERSIONES FCI]],+Tabla5[[#This Row],[INVERSIONES FCI]]-F5,Tabla5[[#This Row],[INVERSIONES FCI]])</f>
        <v>1831354219.0888143</v>
      </c>
      <c r="G6" s="5" cm="1">
        <f t="array" ref="G6">IF(Tabla5[[#This Row],[FCI]]=0,0,_xlfn.XLOOKUP(TRUE,$B6:F6&gt;0,$B6:F6,"",0,-1))</f>
        <v>1831354219.0888143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ht="14.4">
      <c r="A7" s="12" t="s">
        <v>6</v>
      </c>
      <c r="B7" s="5">
        <f>HLOOKUP($A7,ESCENARIO[#All],7,FALSE)</f>
        <v>3333311584.3342462</v>
      </c>
      <c r="C7" s="5">
        <f>IF($B6&lt;=Tabla5[[#This Row],[INVERSIONES FCI]],+Tabla5[[#This Row],[INVERSIONES FCI]]-C6,Tabla5[[#This Row],[INVERSIONES FCI]])</f>
        <v>1501957365.2454319</v>
      </c>
      <c r="D7" s="5">
        <f>IF($B6&lt;=Tabla5[[#This Row],[INVERSIONES FCI]],+Tabla5[[#This Row],[INVERSIONES FCI]]-D6,Tabla5[[#This Row],[INVERSIONES FCI]])</f>
        <v>1501957365.2454319</v>
      </c>
      <c r="E7" s="5">
        <f>IF($B6&lt;=Tabla5[[#This Row],[INVERSIONES FCI]],+Tabla5[[#This Row],[INVERSIONES FCI]]-E6,Tabla5[[#This Row],[INVERSIONES FCI]])</f>
        <v>1501957365.2454319</v>
      </c>
      <c r="F7" s="5">
        <f>IF($B6&lt;=Tabla5[[#This Row],[INVERSIONES FCI]],+Tabla5[[#This Row],[INVERSIONES FCI]]-F6,Tabla5[[#This Row],[INVERSIONES FCI]])</f>
        <v>1501957365.2454319</v>
      </c>
      <c r="G7" s="5">
        <f>IF($B6&lt;=Tabla5[[#This Row],[INVERSIONES FCI]],+Tabla5[[#This Row],[INVERSIONES FCI]]-G6,Tabla5[[#This Row],[INVERSIONES FCI]])</f>
        <v>1501957365.2454319</v>
      </c>
      <c r="H7" s="5" cm="1">
        <f t="array" ref="H7">IF(Tabla5[[#This Row],[FCI]]=0,0,_xlfn.XLOOKUP(TRUE,$B7:G7&gt;0,$B7:G7,"",0,-1))</f>
        <v>1501957365.2454319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ht="14.4">
      <c r="A8" s="12" t="s">
        <v>7</v>
      </c>
      <c r="B8" s="5">
        <f>HLOOKUP($A8,ESCENARIO[#All],7,FALSE)</f>
        <v>4149104610.8643332</v>
      </c>
      <c r="C8" s="5">
        <f>IF($B7&lt;=Tabla5[[#This Row],[INVERSIONES FCI]],+Tabla5[[#This Row],[INVERSIONES FCI]]-C7,Tabla5[[#This Row],[INVERSIONES FCI]])</f>
        <v>2647147245.6189013</v>
      </c>
      <c r="D8" s="5">
        <f>IF($B7&lt;=Tabla5[[#This Row],[INVERSIONES FCI]],+Tabla5[[#This Row],[INVERSIONES FCI]]-D7,Tabla5[[#This Row],[INVERSIONES FCI]])</f>
        <v>2647147245.6189013</v>
      </c>
      <c r="E8" s="5">
        <f>IF($B7&lt;=Tabla5[[#This Row],[INVERSIONES FCI]],+Tabla5[[#This Row],[INVERSIONES FCI]]-E7,Tabla5[[#This Row],[INVERSIONES FCI]])</f>
        <v>2647147245.6189013</v>
      </c>
      <c r="F8" s="5">
        <f>IF($B7&lt;=Tabla5[[#This Row],[INVERSIONES FCI]],+Tabla5[[#This Row],[INVERSIONES FCI]]-F7,Tabla5[[#This Row],[INVERSIONES FCI]])</f>
        <v>2647147245.6189013</v>
      </c>
      <c r="G8" s="5">
        <f>IF($B7&lt;=Tabla5[[#This Row],[INVERSIONES FCI]],+Tabla5[[#This Row],[INVERSIONES FCI]]-G7,Tabla5[[#This Row],[INVERSIONES FCI]])</f>
        <v>2647147245.6189013</v>
      </c>
      <c r="H8" s="5">
        <f>IF($B7&lt;=Tabla5[[#This Row],[INVERSIONES FCI]],+Tabla5[[#This Row],[INVERSIONES FCI]]-H7,Tabla5[[#This Row],[INVERSIONES FCI]])</f>
        <v>2647147245.6189013</v>
      </c>
      <c r="I8" s="5" cm="1">
        <f t="array" ref="I8">IF(Tabla5[[#This Row],[FCI]]=0,0,_xlfn.XLOOKUP(TRUE,$B8:H8&gt;0,$B8:H8,"",0,-1))</f>
        <v>2647147245.6189013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ht="14.4">
      <c r="A9" s="12" t="s">
        <v>8</v>
      </c>
      <c r="B9" s="5">
        <f>HLOOKUP($A9,ESCENARIO[#All],7,FALSE)</f>
        <v>4149104610.8643332</v>
      </c>
      <c r="C9" s="5">
        <f>IF($B8&lt;=Tabla5[[#This Row],[INVERSIONES FCI]],+Tabla5[[#This Row],[INVERSIONES FCI]]-C8,Tabla5[[#This Row],[INVERSIONES FCI]])</f>
        <v>1501957365.2454319</v>
      </c>
      <c r="D9" s="5">
        <f>IF($B8&lt;=Tabla5[[#This Row],[INVERSIONES FCI]],+Tabla5[[#This Row],[INVERSIONES FCI]]-D8,Tabla5[[#This Row],[INVERSIONES FCI]])</f>
        <v>1501957365.2454319</v>
      </c>
      <c r="E9" s="5">
        <f>IF($B8&lt;=Tabla5[[#This Row],[INVERSIONES FCI]],+Tabla5[[#This Row],[INVERSIONES FCI]]-E8,Tabla5[[#This Row],[INVERSIONES FCI]])</f>
        <v>1501957365.2454319</v>
      </c>
      <c r="F9" s="5">
        <f>IF($B8&lt;=Tabla5[[#This Row],[INVERSIONES FCI]],+Tabla5[[#This Row],[INVERSIONES FCI]]-F8,Tabla5[[#This Row],[INVERSIONES FCI]])</f>
        <v>1501957365.2454319</v>
      </c>
      <c r="G9" s="5">
        <f>IF($B8&lt;=Tabla5[[#This Row],[INVERSIONES FCI]],+Tabla5[[#This Row],[INVERSIONES FCI]]-G8,Tabla5[[#This Row],[INVERSIONES FCI]])</f>
        <v>1501957365.2454319</v>
      </c>
      <c r="H9" s="5">
        <f>IF($B8&lt;=Tabla5[[#This Row],[INVERSIONES FCI]],+Tabla5[[#This Row],[INVERSIONES FCI]]-H8,Tabla5[[#This Row],[INVERSIONES FCI]])</f>
        <v>1501957365.2454319</v>
      </c>
      <c r="I9" s="5">
        <f>IF($B8&lt;=Tabla5[[#This Row],[INVERSIONES FCI]],+Tabla5[[#This Row],[INVERSIONES FCI]]-I8,Tabla5[[#This Row],[INVERSIONES FCI]])</f>
        <v>1501957365.2454319</v>
      </c>
      <c r="J9" s="5" cm="1">
        <f t="array" ref="J9">IF(Tabla5[[#This Row],[FCI]]=0,0,_xlfn.XLOOKUP(TRUE,$B9:I9&gt;0,$B9:I9,"",0,-1))</f>
        <v>1501957365.2454319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</row>
    <row r="10" spans="1:121" ht="14.4">
      <c r="A10" s="12" t="s">
        <v>9</v>
      </c>
      <c r="B10" s="5">
        <f>HLOOKUP($A10,ESCENARIO[#All],7,FALSE)</f>
        <v>4149104610.8643332</v>
      </c>
      <c r="C10" s="5">
        <f>IF($B9&lt;=Tabla5[[#This Row],[INVERSIONES FCI]],+Tabla5[[#This Row],[INVERSIONES FCI]]-C9,Tabla5[[#This Row],[INVERSIONES FCI]])</f>
        <v>2647147245.6189013</v>
      </c>
      <c r="D10" s="5">
        <f>IF($B9&lt;=Tabla5[[#This Row],[INVERSIONES FCI]],+Tabla5[[#This Row],[INVERSIONES FCI]]-D9,Tabla5[[#This Row],[INVERSIONES FCI]])</f>
        <v>2647147245.6189013</v>
      </c>
      <c r="E10" s="5">
        <f>IF($B9&lt;=Tabla5[[#This Row],[INVERSIONES FCI]],+Tabla5[[#This Row],[INVERSIONES FCI]]-E9,Tabla5[[#This Row],[INVERSIONES FCI]])</f>
        <v>2647147245.6189013</v>
      </c>
      <c r="F10" s="5">
        <f>IF($B9&lt;=Tabla5[[#This Row],[INVERSIONES FCI]],+Tabla5[[#This Row],[INVERSIONES FCI]]-F9,Tabla5[[#This Row],[INVERSIONES FCI]])</f>
        <v>2647147245.6189013</v>
      </c>
      <c r="G10" s="5">
        <f>IF($B9&lt;=Tabla5[[#This Row],[INVERSIONES FCI]],+Tabla5[[#This Row],[INVERSIONES FCI]]-G9,Tabla5[[#This Row],[INVERSIONES FCI]])</f>
        <v>2647147245.6189013</v>
      </c>
      <c r="H10" s="5">
        <f>IF($B9&lt;=Tabla5[[#This Row],[INVERSIONES FCI]],+Tabla5[[#This Row],[INVERSIONES FCI]]-H9,Tabla5[[#This Row],[INVERSIONES FCI]])</f>
        <v>2647147245.6189013</v>
      </c>
      <c r="I10" s="5">
        <f>IF($B9&lt;=Tabla5[[#This Row],[INVERSIONES FCI]],+Tabla5[[#This Row],[INVERSIONES FCI]]-I9,Tabla5[[#This Row],[INVERSIONES FCI]])</f>
        <v>2647147245.6189013</v>
      </c>
      <c r="J10" s="5">
        <f>IF($B9&lt;=Tabla5[[#This Row],[INVERSIONES FCI]],+Tabla5[[#This Row],[INVERSIONES FCI]]-J9,Tabla5[[#This Row],[INVERSIONES FCI]])</f>
        <v>2647147245.6189013</v>
      </c>
      <c r="K10" s="5" cm="1">
        <f t="array" ref="K10">IF(Tabla5[[#This Row],[FCI]]=0,0,_xlfn.XLOOKUP(TRUE,$B10:J10&gt;0,$B10:J10,"",0,-1))</f>
        <v>2647147245.6189013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</row>
    <row r="11" spans="1:121" ht="14.4">
      <c r="A11" s="12" t="s">
        <v>10</v>
      </c>
      <c r="B11" s="5">
        <f>HLOOKUP($A11,ESCENARIO[#All],7,FALSE)</f>
        <v>5572428990.6199179</v>
      </c>
      <c r="C11" s="5">
        <f>IF($B10&lt;=Tabla5[[#This Row],[INVERSIONES FCI]],+Tabla5[[#This Row],[INVERSIONES FCI]]-C10,Tabla5[[#This Row],[INVERSIONES FCI]])</f>
        <v>2925281745.0010166</v>
      </c>
      <c r="D11" s="5">
        <f>IF($B10&lt;=Tabla5[[#This Row],[INVERSIONES FCI]],+Tabla5[[#This Row],[INVERSIONES FCI]]-D10,Tabla5[[#This Row],[INVERSIONES FCI]])</f>
        <v>2925281745.0010166</v>
      </c>
      <c r="E11" s="5">
        <f>IF($B10&lt;=Tabla5[[#This Row],[INVERSIONES FCI]],+Tabla5[[#This Row],[INVERSIONES FCI]]-E10,Tabla5[[#This Row],[INVERSIONES FCI]])</f>
        <v>2925281745.0010166</v>
      </c>
      <c r="F11" s="5">
        <f>IF($B10&lt;=Tabla5[[#This Row],[INVERSIONES FCI]],+Tabla5[[#This Row],[INVERSIONES FCI]]-F10,Tabla5[[#This Row],[INVERSIONES FCI]])</f>
        <v>2925281745.0010166</v>
      </c>
      <c r="G11" s="5">
        <f>IF($B10&lt;=Tabla5[[#This Row],[INVERSIONES FCI]],+Tabla5[[#This Row],[INVERSIONES FCI]]-G10,Tabla5[[#This Row],[INVERSIONES FCI]])</f>
        <v>2925281745.0010166</v>
      </c>
      <c r="H11" s="5">
        <f>IF($B10&lt;=Tabla5[[#This Row],[INVERSIONES FCI]],+Tabla5[[#This Row],[INVERSIONES FCI]]-H10,Tabla5[[#This Row],[INVERSIONES FCI]])</f>
        <v>2925281745.0010166</v>
      </c>
      <c r="I11" s="5">
        <f>IF($B10&lt;=Tabla5[[#This Row],[INVERSIONES FCI]],+Tabla5[[#This Row],[INVERSIONES FCI]]-I10,Tabla5[[#This Row],[INVERSIONES FCI]])</f>
        <v>2925281745.0010166</v>
      </c>
      <c r="J11" s="5">
        <f>IF($B10&lt;=Tabla5[[#This Row],[INVERSIONES FCI]],+Tabla5[[#This Row],[INVERSIONES FCI]]-J10,Tabla5[[#This Row],[INVERSIONES FCI]])</f>
        <v>2925281745.0010166</v>
      </c>
      <c r="K11" s="5">
        <f>IF($B10&lt;=Tabla5[[#This Row],[INVERSIONES FCI]],+Tabla5[[#This Row],[INVERSIONES FCI]]-K10,Tabla5[[#This Row],[INVERSIONES FCI]])</f>
        <v>2925281745.0010166</v>
      </c>
      <c r="L11" s="5" cm="1">
        <f t="array" ref="L11">IF(Tabla5[[#This Row],[FCI]]=0,0,_xlfn.XLOOKUP(TRUE,$B11:K11&gt;0,$B11:K11,"",0,-1))</f>
        <v>2925281745.0010166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</row>
    <row r="12" spans="1:121" ht="14.4">
      <c r="A12" s="12" t="s">
        <v>11</v>
      </c>
      <c r="B12" s="5">
        <f>HLOOKUP($A12,ESCENARIO[#All],7,FALSE)</f>
        <v>12812340228.208647</v>
      </c>
      <c r="C12" s="5">
        <f>IF($B11&lt;=Tabla5[[#This Row],[INVERSIONES FCI]],+Tabla5[[#This Row],[INVERSIONES FCI]]-C11,Tabla5[[#This Row],[INVERSIONES FCI]])</f>
        <v>9887058483.2076302</v>
      </c>
      <c r="D12" s="5">
        <f>IF($B11&lt;=Tabla5[[#This Row],[INVERSIONES FCI]],+Tabla5[[#This Row],[INVERSIONES FCI]]-D11,Tabla5[[#This Row],[INVERSIONES FCI]])</f>
        <v>9887058483.2076302</v>
      </c>
      <c r="E12" s="5">
        <f>IF($B11&lt;=Tabla5[[#This Row],[INVERSIONES FCI]],+Tabla5[[#This Row],[INVERSIONES FCI]]-E11,Tabla5[[#This Row],[INVERSIONES FCI]])</f>
        <v>9887058483.2076302</v>
      </c>
      <c r="F12" s="5">
        <f>IF($B11&lt;=Tabla5[[#This Row],[INVERSIONES FCI]],+Tabla5[[#This Row],[INVERSIONES FCI]]-F11,Tabla5[[#This Row],[INVERSIONES FCI]])</f>
        <v>9887058483.2076302</v>
      </c>
      <c r="G12" s="5">
        <f>IF($B11&lt;=Tabla5[[#This Row],[INVERSIONES FCI]],+Tabla5[[#This Row],[INVERSIONES FCI]]-G11,Tabla5[[#This Row],[INVERSIONES FCI]])</f>
        <v>9887058483.2076302</v>
      </c>
      <c r="H12" s="5">
        <f>IF($B11&lt;=Tabla5[[#This Row],[INVERSIONES FCI]],+Tabla5[[#This Row],[INVERSIONES FCI]]-H11,Tabla5[[#This Row],[INVERSIONES FCI]])</f>
        <v>9887058483.2076302</v>
      </c>
      <c r="I12" s="5">
        <f>IF($B11&lt;=Tabla5[[#This Row],[INVERSIONES FCI]],+Tabla5[[#This Row],[INVERSIONES FCI]]-I11,Tabla5[[#This Row],[INVERSIONES FCI]])</f>
        <v>9887058483.2076302</v>
      </c>
      <c r="J12" s="5">
        <f>IF($B11&lt;=Tabla5[[#This Row],[INVERSIONES FCI]],+Tabla5[[#This Row],[INVERSIONES FCI]]-J11,Tabla5[[#This Row],[INVERSIONES FCI]])</f>
        <v>9887058483.2076302</v>
      </c>
      <c r="K12" s="5">
        <f>IF($B11&lt;=Tabla5[[#This Row],[INVERSIONES FCI]],+Tabla5[[#This Row],[INVERSIONES FCI]]-K11,Tabla5[[#This Row],[INVERSIONES FCI]])</f>
        <v>9887058483.2076302</v>
      </c>
      <c r="L12" s="5">
        <f>IF($B11&lt;=Tabla5[[#This Row],[INVERSIONES FCI]],+Tabla5[[#This Row],[INVERSIONES FCI]]-L11,Tabla5[[#This Row],[INVERSIONES FCI]])</f>
        <v>9887058483.2076302</v>
      </c>
      <c r="M12" s="5" cm="1">
        <f t="array" ref="M12">IF(Tabla5[[#This Row],[FCI]]=0,0,_xlfn.XLOOKUP(TRUE,$B12:L12&gt;0,$B12:L12,"",0,-1))</f>
        <v>9887058483.2076302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</row>
    <row r="13" spans="1:121" ht="14.4">
      <c r="A13" s="12" t="s">
        <v>12</v>
      </c>
      <c r="B13" s="5">
        <f>HLOOKUP($A13,ESCENARIO[#All],7,FALSE)</f>
        <v>14214624594.809395</v>
      </c>
      <c r="C13" s="5">
        <f>IF($B12&lt;=Tabla5[[#This Row],[INVERSIONES FCI]],+Tabla5[[#This Row],[INVERSIONES FCI]]-C12,Tabla5[[#This Row],[INVERSIONES FCI]])</f>
        <v>4327566111.6017647</v>
      </c>
      <c r="D13" s="5">
        <f>IF($B12&lt;=Tabla5[[#This Row],[INVERSIONES FCI]],+Tabla5[[#This Row],[INVERSIONES FCI]]-D12,Tabla5[[#This Row],[INVERSIONES FCI]])</f>
        <v>4327566111.6017647</v>
      </c>
      <c r="E13" s="5">
        <f>IF($B12&lt;=Tabla5[[#This Row],[INVERSIONES FCI]],+Tabla5[[#This Row],[INVERSIONES FCI]]-E12,Tabla5[[#This Row],[INVERSIONES FCI]])</f>
        <v>4327566111.6017647</v>
      </c>
      <c r="F13" s="5">
        <f>IF($B12&lt;=Tabla5[[#This Row],[INVERSIONES FCI]],+Tabla5[[#This Row],[INVERSIONES FCI]]-F12,Tabla5[[#This Row],[INVERSIONES FCI]])</f>
        <v>4327566111.6017647</v>
      </c>
      <c r="G13" s="5">
        <f>IF($B12&lt;=Tabla5[[#This Row],[INVERSIONES FCI]],+Tabla5[[#This Row],[INVERSIONES FCI]]-G12,Tabla5[[#This Row],[INVERSIONES FCI]])</f>
        <v>4327566111.6017647</v>
      </c>
      <c r="H13" s="5">
        <f>IF($B12&lt;=Tabla5[[#This Row],[INVERSIONES FCI]],+Tabla5[[#This Row],[INVERSIONES FCI]]-H12,Tabla5[[#This Row],[INVERSIONES FCI]])</f>
        <v>4327566111.6017647</v>
      </c>
      <c r="I13" s="5">
        <f>IF($B12&lt;=Tabla5[[#This Row],[INVERSIONES FCI]],+Tabla5[[#This Row],[INVERSIONES FCI]]-I12,Tabla5[[#This Row],[INVERSIONES FCI]])</f>
        <v>4327566111.6017647</v>
      </c>
      <c r="J13" s="5">
        <f>IF($B12&lt;=Tabla5[[#This Row],[INVERSIONES FCI]],+Tabla5[[#This Row],[INVERSIONES FCI]]-J12,Tabla5[[#This Row],[INVERSIONES FCI]])</f>
        <v>4327566111.6017647</v>
      </c>
      <c r="K13" s="5">
        <f>IF($B12&lt;=Tabla5[[#This Row],[INVERSIONES FCI]],+Tabla5[[#This Row],[INVERSIONES FCI]]-K12,Tabla5[[#This Row],[INVERSIONES FCI]])</f>
        <v>4327566111.6017647</v>
      </c>
      <c r="L13" s="5">
        <f>IF($B12&lt;=Tabla5[[#This Row],[INVERSIONES FCI]],+Tabla5[[#This Row],[INVERSIONES FCI]]-L12,Tabla5[[#This Row],[INVERSIONES FCI]])</f>
        <v>4327566111.6017647</v>
      </c>
      <c r="M13" s="5">
        <f>IF($B12&lt;=Tabla5[[#This Row],[INVERSIONES FCI]],+Tabla5[[#This Row],[INVERSIONES FCI]]-M12,Tabla5[[#This Row],[INVERSIONES FCI]])</f>
        <v>4327566111.6017647</v>
      </c>
      <c r="N13" s="5" cm="1">
        <f t="array" ref="N13">IF(Tabla5[[#This Row],[FCI]]=0,0,_xlfn.XLOOKUP(TRUE,$B13:M13&gt;0,$B13:M13,"",0,-1))</f>
        <v>4327566111.6017647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</row>
    <row r="14" spans="1:121" ht="14.4">
      <c r="A14" s="12" t="s">
        <v>13</v>
      </c>
      <c r="B14" s="5">
        <f>HLOOKUP($A14,ESCENARIO[#All],7,FALSE)</f>
        <v>13863315282.440989</v>
      </c>
      <c r="C14" s="5">
        <f>IF($B13&lt;=Tabla5[[#This Row],[INVERSIONES FCI]],+Tabla5[[#This Row],[INVERSIONES FCI]]-C13,Tabla5[[#This Row],[INVERSIONES FCI]])</f>
        <v>13863315282.440989</v>
      </c>
      <c r="D14" s="5">
        <f>IF($B13&lt;=Tabla5[[#This Row],[INVERSIONES FCI]],+Tabla5[[#This Row],[INVERSIONES FCI]]-D13,Tabla5[[#This Row],[INVERSIONES FCI]])</f>
        <v>13863315282.440989</v>
      </c>
      <c r="E14" s="5">
        <f>IF($B13&lt;=Tabla5[[#This Row],[INVERSIONES FCI]],+Tabla5[[#This Row],[INVERSIONES FCI]]-E13,Tabla5[[#This Row],[INVERSIONES FCI]])</f>
        <v>13863315282.440989</v>
      </c>
      <c r="F14" s="5">
        <f>IF($B13&lt;=Tabla5[[#This Row],[INVERSIONES FCI]],+Tabla5[[#This Row],[INVERSIONES FCI]]-F13,Tabla5[[#This Row],[INVERSIONES FCI]])</f>
        <v>13863315282.440989</v>
      </c>
      <c r="G14" s="5">
        <f>IF($B13&lt;=Tabla5[[#This Row],[INVERSIONES FCI]],+Tabla5[[#This Row],[INVERSIONES FCI]]-G13,Tabla5[[#This Row],[INVERSIONES FCI]])</f>
        <v>13863315282.440989</v>
      </c>
      <c r="H14" s="5">
        <f>IF($B13&lt;=Tabla5[[#This Row],[INVERSIONES FCI]],+Tabla5[[#This Row],[INVERSIONES FCI]]-H13,Tabla5[[#This Row],[INVERSIONES FCI]])</f>
        <v>13863315282.440989</v>
      </c>
      <c r="I14" s="5">
        <f>IF($B13&lt;=Tabla5[[#This Row],[INVERSIONES FCI]],+Tabla5[[#This Row],[INVERSIONES FCI]]-I13,Tabla5[[#This Row],[INVERSIONES FCI]])</f>
        <v>13863315282.440989</v>
      </c>
      <c r="J14" s="5">
        <f>IF($B13&lt;=Tabla5[[#This Row],[INVERSIONES FCI]],+Tabla5[[#This Row],[INVERSIONES FCI]]-J13,Tabla5[[#This Row],[INVERSIONES FCI]])</f>
        <v>13863315282.440989</v>
      </c>
      <c r="K14" s="5">
        <f>IF($B13&lt;=Tabla5[[#This Row],[INVERSIONES FCI]],+Tabla5[[#This Row],[INVERSIONES FCI]]-K13,Tabla5[[#This Row],[INVERSIONES FCI]])</f>
        <v>13863315282.440989</v>
      </c>
      <c r="L14" s="5">
        <f>IF($B13&lt;=Tabla5[[#This Row],[INVERSIONES FCI]],+Tabla5[[#This Row],[INVERSIONES FCI]]-L13,Tabla5[[#This Row],[INVERSIONES FCI]])</f>
        <v>13863315282.440989</v>
      </c>
      <c r="M14" s="5">
        <f>IF($B13&lt;=Tabla5[[#This Row],[INVERSIONES FCI]],+Tabla5[[#This Row],[INVERSIONES FCI]]-M13,Tabla5[[#This Row],[INVERSIONES FCI]])</f>
        <v>13863315282.440989</v>
      </c>
      <c r="N14" s="5">
        <f>IF($B13&lt;=Tabla5[[#This Row],[INVERSIONES FCI]],+Tabla5[[#This Row],[INVERSIONES FCI]]-N13,Tabla5[[#This Row],[INVERSIONES FCI]])</f>
        <v>13863315282.440989</v>
      </c>
      <c r="O14" s="5" cm="1">
        <f t="array" ref="O14">IF(Tabla5[[#This Row],[FCI]]=0,0,_xlfn.XLOOKUP(TRUE,$B14:N14&gt;0,$B14:N14,"",0,-1))</f>
        <v>13863315282.440989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</row>
    <row r="15" spans="1:121" ht="14.4">
      <c r="A15" s="12" t="s">
        <v>14</v>
      </c>
      <c r="B15" s="5">
        <f>HLOOKUP($A15,ESCENARIO[#All],7,FALSE)</f>
        <v>16508794368.715275</v>
      </c>
      <c r="C15" s="5">
        <f>IF($B14&lt;=Tabla5[[#This Row],[INVERSIONES FCI]],+Tabla5[[#This Row],[INVERSIONES FCI]]-C14,Tabla5[[#This Row],[INVERSIONES FCI]])</f>
        <v>2645479086.2742863</v>
      </c>
      <c r="D15" s="5">
        <f>IF($B14&lt;=Tabla5[[#This Row],[INVERSIONES FCI]],+Tabla5[[#This Row],[INVERSIONES FCI]]-D14,Tabla5[[#This Row],[INVERSIONES FCI]])</f>
        <v>2645479086.2742863</v>
      </c>
      <c r="E15" s="5">
        <f>IF($B14&lt;=Tabla5[[#This Row],[INVERSIONES FCI]],+Tabla5[[#This Row],[INVERSIONES FCI]]-E14,Tabla5[[#This Row],[INVERSIONES FCI]])</f>
        <v>2645479086.2742863</v>
      </c>
      <c r="F15" s="5">
        <f>IF($B14&lt;=Tabla5[[#This Row],[INVERSIONES FCI]],+Tabla5[[#This Row],[INVERSIONES FCI]]-F14,Tabla5[[#This Row],[INVERSIONES FCI]])</f>
        <v>2645479086.2742863</v>
      </c>
      <c r="G15" s="5">
        <f>IF($B14&lt;=Tabla5[[#This Row],[INVERSIONES FCI]],+Tabla5[[#This Row],[INVERSIONES FCI]]-G14,Tabla5[[#This Row],[INVERSIONES FCI]])</f>
        <v>2645479086.2742863</v>
      </c>
      <c r="H15" s="5">
        <f>IF($B14&lt;=Tabla5[[#This Row],[INVERSIONES FCI]],+Tabla5[[#This Row],[INVERSIONES FCI]]-H14,Tabla5[[#This Row],[INVERSIONES FCI]])</f>
        <v>2645479086.2742863</v>
      </c>
      <c r="I15" s="5">
        <f>IF($B14&lt;=Tabla5[[#This Row],[INVERSIONES FCI]],+Tabla5[[#This Row],[INVERSIONES FCI]]-I14,Tabla5[[#This Row],[INVERSIONES FCI]])</f>
        <v>2645479086.2742863</v>
      </c>
      <c r="J15" s="5">
        <f>IF($B14&lt;=Tabla5[[#This Row],[INVERSIONES FCI]],+Tabla5[[#This Row],[INVERSIONES FCI]]-J14,Tabla5[[#This Row],[INVERSIONES FCI]])</f>
        <v>2645479086.2742863</v>
      </c>
      <c r="K15" s="5">
        <f>IF($B14&lt;=Tabla5[[#This Row],[INVERSIONES FCI]],+Tabla5[[#This Row],[INVERSIONES FCI]]-K14,Tabla5[[#This Row],[INVERSIONES FCI]])</f>
        <v>2645479086.2742863</v>
      </c>
      <c r="L15" s="5">
        <f>IF($B14&lt;=Tabla5[[#This Row],[INVERSIONES FCI]],+Tabla5[[#This Row],[INVERSIONES FCI]]-L14,Tabla5[[#This Row],[INVERSIONES FCI]])</f>
        <v>2645479086.2742863</v>
      </c>
      <c r="M15" s="5">
        <f>IF($B14&lt;=Tabla5[[#This Row],[INVERSIONES FCI]],+Tabla5[[#This Row],[INVERSIONES FCI]]-M14,Tabla5[[#This Row],[INVERSIONES FCI]])</f>
        <v>2645479086.2742863</v>
      </c>
      <c r="N15" s="5">
        <f>IF($B14&lt;=Tabla5[[#This Row],[INVERSIONES FCI]],+Tabla5[[#This Row],[INVERSIONES FCI]]-N14,Tabla5[[#This Row],[INVERSIONES FCI]])</f>
        <v>2645479086.2742863</v>
      </c>
      <c r="O15" s="5">
        <f>IF($B14&lt;=Tabla5[[#This Row],[INVERSIONES FCI]],+Tabla5[[#This Row],[INVERSIONES FCI]]-O14,Tabla5[[#This Row],[INVERSIONES FCI]])</f>
        <v>2645479086.2742863</v>
      </c>
      <c r="P15" s="5" cm="1">
        <f t="array" ref="P15">IF(Tabla5[[#This Row],[FCI]]=0,0,_xlfn.XLOOKUP(TRUE,$B15:O15&gt;0,$B15:O15,"",0,-1))</f>
        <v>2645479086.2742863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</row>
    <row r="16" spans="1:121" ht="14.4">
      <c r="A16" s="12" t="s">
        <v>15</v>
      </c>
      <c r="B16" s="5">
        <f>HLOOKUP($A16,ESCENARIO[#All],7,FALSE)</f>
        <v>16273794368.715275</v>
      </c>
      <c r="C16" s="5">
        <f>IF($B15&lt;=Tabla5[[#This Row],[INVERSIONES FCI]],+Tabla5[[#This Row],[INVERSIONES FCI]]-C15,Tabla5[[#This Row],[INVERSIONES FCI]])</f>
        <v>16273794368.715275</v>
      </c>
      <c r="D16" s="5">
        <f>IF($B15&lt;=Tabla5[[#This Row],[INVERSIONES FCI]],+Tabla5[[#This Row],[INVERSIONES FCI]]-D15,Tabla5[[#This Row],[INVERSIONES FCI]])</f>
        <v>16273794368.715275</v>
      </c>
      <c r="E16" s="5">
        <f>IF($B15&lt;=Tabla5[[#This Row],[INVERSIONES FCI]],+Tabla5[[#This Row],[INVERSIONES FCI]]-E15,Tabla5[[#This Row],[INVERSIONES FCI]])</f>
        <v>16273794368.715275</v>
      </c>
      <c r="F16" s="5">
        <f>IF($B15&lt;=Tabla5[[#This Row],[INVERSIONES FCI]],+Tabla5[[#This Row],[INVERSIONES FCI]]-F15,Tabla5[[#This Row],[INVERSIONES FCI]])</f>
        <v>16273794368.715275</v>
      </c>
      <c r="G16" s="5">
        <f>IF($B15&lt;=Tabla5[[#This Row],[INVERSIONES FCI]],+Tabla5[[#This Row],[INVERSIONES FCI]]-G15,Tabla5[[#This Row],[INVERSIONES FCI]])</f>
        <v>16273794368.715275</v>
      </c>
      <c r="H16" s="5">
        <f>IF($B15&lt;=Tabla5[[#This Row],[INVERSIONES FCI]],+Tabla5[[#This Row],[INVERSIONES FCI]]-H15,Tabla5[[#This Row],[INVERSIONES FCI]])</f>
        <v>16273794368.715275</v>
      </c>
      <c r="I16" s="5">
        <f>IF($B15&lt;=Tabla5[[#This Row],[INVERSIONES FCI]],+Tabla5[[#This Row],[INVERSIONES FCI]]-I15,Tabla5[[#This Row],[INVERSIONES FCI]])</f>
        <v>16273794368.715275</v>
      </c>
      <c r="J16" s="5">
        <f>IF($B15&lt;=Tabla5[[#This Row],[INVERSIONES FCI]],+Tabla5[[#This Row],[INVERSIONES FCI]]-J15,Tabla5[[#This Row],[INVERSIONES FCI]])</f>
        <v>16273794368.715275</v>
      </c>
      <c r="K16" s="5">
        <f>IF($B15&lt;=Tabla5[[#This Row],[INVERSIONES FCI]],+Tabla5[[#This Row],[INVERSIONES FCI]]-K15,Tabla5[[#This Row],[INVERSIONES FCI]])</f>
        <v>16273794368.715275</v>
      </c>
      <c r="L16" s="5">
        <f>IF($B15&lt;=Tabla5[[#This Row],[INVERSIONES FCI]],+Tabla5[[#This Row],[INVERSIONES FCI]]-L15,Tabla5[[#This Row],[INVERSIONES FCI]])</f>
        <v>16273794368.715275</v>
      </c>
      <c r="M16" s="5">
        <f>IF($B15&lt;=Tabla5[[#This Row],[INVERSIONES FCI]],+Tabla5[[#This Row],[INVERSIONES FCI]]-M15,Tabla5[[#This Row],[INVERSIONES FCI]])</f>
        <v>16273794368.715275</v>
      </c>
      <c r="N16" s="5">
        <f>IF($B15&lt;=Tabla5[[#This Row],[INVERSIONES FCI]],+Tabla5[[#This Row],[INVERSIONES FCI]]-N15,Tabla5[[#This Row],[INVERSIONES FCI]])</f>
        <v>16273794368.715275</v>
      </c>
      <c r="O16" s="5">
        <f>IF($B15&lt;=Tabla5[[#This Row],[INVERSIONES FCI]],+Tabla5[[#This Row],[INVERSIONES FCI]]-O15,Tabla5[[#This Row],[INVERSIONES FCI]])</f>
        <v>16273794368.715275</v>
      </c>
      <c r="P16" s="5">
        <f>IF($B15&lt;=Tabla5[[#This Row],[INVERSIONES FCI]],+Tabla5[[#This Row],[INVERSIONES FCI]]-P15,Tabla5[[#This Row],[INVERSIONES FCI]])</f>
        <v>16273794368.715275</v>
      </c>
      <c r="Q16" s="5" cm="1">
        <f t="array" ref="Q16">IF(Tabla5[[#This Row],[FCI]]=0,0,_xlfn.XLOOKUP(TRUE,$B16:P16&gt;0,$B16:P16,"",0,-1))</f>
        <v>16273794368.715275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</row>
    <row r="17" spans="1:121" ht="14.4">
      <c r="A17" s="12" t="s">
        <v>16</v>
      </c>
      <c r="B17" s="5">
        <f>HLOOKUP($A17,ESCENARIO[#All],7,FALSE)</f>
        <v>16274021613.715275</v>
      </c>
      <c r="C17" s="5">
        <f>IF($B16&lt;=Tabla5[[#This Row],[INVERSIONES FCI]],+Tabla5[[#This Row],[INVERSIONES FCI]]-C16,Tabla5[[#This Row],[INVERSIONES FCI]])</f>
        <v>227245</v>
      </c>
      <c r="D17" s="5">
        <f>IF($B16&lt;=Tabla5[[#This Row],[INVERSIONES FCI]],+Tabla5[[#This Row],[INVERSIONES FCI]]-D16,Tabla5[[#This Row],[INVERSIONES FCI]])</f>
        <v>227245</v>
      </c>
      <c r="E17" s="5">
        <f>IF($B16&lt;=Tabla5[[#This Row],[INVERSIONES FCI]],+Tabla5[[#This Row],[INVERSIONES FCI]]-E16,Tabla5[[#This Row],[INVERSIONES FCI]])</f>
        <v>227245</v>
      </c>
      <c r="F17" s="5">
        <f>IF($B16&lt;=Tabla5[[#This Row],[INVERSIONES FCI]],+Tabla5[[#This Row],[INVERSIONES FCI]]-F16,Tabla5[[#This Row],[INVERSIONES FCI]])</f>
        <v>227245</v>
      </c>
      <c r="G17" s="5">
        <f>IF($B16&lt;=Tabla5[[#This Row],[INVERSIONES FCI]],+Tabla5[[#This Row],[INVERSIONES FCI]]-G16,Tabla5[[#This Row],[INVERSIONES FCI]])</f>
        <v>227245</v>
      </c>
      <c r="H17" s="5">
        <f>IF($B16&lt;=Tabla5[[#This Row],[INVERSIONES FCI]],+Tabla5[[#This Row],[INVERSIONES FCI]]-H16,Tabla5[[#This Row],[INVERSIONES FCI]])</f>
        <v>227245</v>
      </c>
      <c r="I17" s="5">
        <f>IF($B16&lt;=Tabla5[[#This Row],[INVERSIONES FCI]],+Tabla5[[#This Row],[INVERSIONES FCI]]-I16,Tabla5[[#This Row],[INVERSIONES FCI]])</f>
        <v>227245</v>
      </c>
      <c r="J17" s="5">
        <f>IF($B16&lt;=Tabla5[[#This Row],[INVERSIONES FCI]],+Tabla5[[#This Row],[INVERSIONES FCI]]-J16,Tabla5[[#This Row],[INVERSIONES FCI]])</f>
        <v>227245</v>
      </c>
      <c r="K17" s="5">
        <f>IF($B16&lt;=Tabla5[[#This Row],[INVERSIONES FCI]],+Tabla5[[#This Row],[INVERSIONES FCI]]-K16,Tabla5[[#This Row],[INVERSIONES FCI]])</f>
        <v>227245</v>
      </c>
      <c r="L17" s="5">
        <f>IF($B16&lt;=Tabla5[[#This Row],[INVERSIONES FCI]],+Tabla5[[#This Row],[INVERSIONES FCI]]-L16,Tabla5[[#This Row],[INVERSIONES FCI]])</f>
        <v>227245</v>
      </c>
      <c r="M17" s="5">
        <f>IF($B16&lt;=Tabla5[[#This Row],[INVERSIONES FCI]],+Tabla5[[#This Row],[INVERSIONES FCI]]-M16,Tabla5[[#This Row],[INVERSIONES FCI]])</f>
        <v>227245</v>
      </c>
      <c r="N17" s="5">
        <f>IF($B16&lt;=Tabla5[[#This Row],[INVERSIONES FCI]],+Tabla5[[#This Row],[INVERSIONES FCI]]-N16,Tabla5[[#This Row],[INVERSIONES FCI]])</f>
        <v>227245</v>
      </c>
      <c r="O17" s="5">
        <f>IF($B16&lt;=Tabla5[[#This Row],[INVERSIONES FCI]],+Tabla5[[#This Row],[INVERSIONES FCI]]-O16,Tabla5[[#This Row],[INVERSIONES FCI]])</f>
        <v>227245</v>
      </c>
      <c r="P17" s="5">
        <f>IF($B16&lt;=Tabla5[[#This Row],[INVERSIONES FCI]],+Tabla5[[#This Row],[INVERSIONES FCI]]-P16,Tabla5[[#This Row],[INVERSIONES FCI]])</f>
        <v>227245</v>
      </c>
      <c r="Q17" s="5">
        <f>IF($B16&lt;=Tabla5[[#This Row],[INVERSIONES FCI]],+Tabla5[[#This Row],[INVERSIONES FCI]]-Q16,Tabla5[[#This Row],[INVERSIONES FCI]])</f>
        <v>227245</v>
      </c>
      <c r="R17" s="5" cm="1">
        <f t="array" ref="R17">IF(Tabla5[[#This Row],[FCI]]=0,0,_xlfn.XLOOKUP(TRUE,$B17:Q17&gt;0,$B17:Q17,"",0,-1))</f>
        <v>227245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</row>
    <row r="18" spans="1:121" ht="14.4">
      <c r="A18" s="12" t="s">
        <v>17</v>
      </c>
      <c r="B18" s="5">
        <f>HLOOKUP($A18,ESCENARIO[#All],7,FALSE)</f>
        <v>18692046948.211643</v>
      </c>
      <c r="C18" s="5">
        <f>IF($B17&lt;=Tabla5[[#This Row],[INVERSIONES FCI]],+Tabla5[[#This Row],[INVERSIONES FCI]]-C17,Tabla5[[#This Row],[INVERSIONES FCI]])</f>
        <v>18691819703.211643</v>
      </c>
      <c r="D18" s="5">
        <f>IF($B17&lt;=Tabla5[[#This Row],[INVERSIONES FCI]],+Tabla5[[#This Row],[INVERSIONES FCI]]-D17,Tabla5[[#This Row],[INVERSIONES FCI]])</f>
        <v>18691819703.211643</v>
      </c>
      <c r="E18" s="5">
        <f>IF($B17&lt;=Tabla5[[#This Row],[INVERSIONES FCI]],+Tabla5[[#This Row],[INVERSIONES FCI]]-E17,Tabla5[[#This Row],[INVERSIONES FCI]])</f>
        <v>18691819703.211643</v>
      </c>
      <c r="F18" s="5">
        <f>IF($B17&lt;=Tabla5[[#This Row],[INVERSIONES FCI]],+Tabla5[[#This Row],[INVERSIONES FCI]]-F17,Tabla5[[#This Row],[INVERSIONES FCI]])</f>
        <v>18691819703.211643</v>
      </c>
      <c r="G18" s="5">
        <f>IF($B17&lt;=Tabla5[[#This Row],[INVERSIONES FCI]],+Tabla5[[#This Row],[INVERSIONES FCI]]-G17,Tabla5[[#This Row],[INVERSIONES FCI]])</f>
        <v>18691819703.211643</v>
      </c>
      <c r="H18" s="5">
        <f>IF($B17&lt;=Tabla5[[#This Row],[INVERSIONES FCI]],+Tabla5[[#This Row],[INVERSIONES FCI]]-H17,Tabla5[[#This Row],[INVERSIONES FCI]])</f>
        <v>18691819703.211643</v>
      </c>
      <c r="I18" s="5">
        <f>IF($B17&lt;=Tabla5[[#This Row],[INVERSIONES FCI]],+Tabla5[[#This Row],[INVERSIONES FCI]]-I17,Tabla5[[#This Row],[INVERSIONES FCI]])</f>
        <v>18691819703.211643</v>
      </c>
      <c r="J18" s="5">
        <f>IF($B17&lt;=Tabla5[[#This Row],[INVERSIONES FCI]],+Tabla5[[#This Row],[INVERSIONES FCI]]-J17,Tabla5[[#This Row],[INVERSIONES FCI]])</f>
        <v>18691819703.211643</v>
      </c>
      <c r="K18" s="5">
        <f>IF($B17&lt;=Tabla5[[#This Row],[INVERSIONES FCI]],+Tabla5[[#This Row],[INVERSIONES FCI]]-K17,Tabla5[[#This Row],[INVERSIONES FCI]])</f>
        <v>18691819703.211643</v>
      </c>
      <c r="L18" s="5">
        <f>IF($B17&lt;=Tabla5[[#This Row],[INVERSIONES FCI]],+Tabla5[[#This Row],[INVERSIONES FCI]]-L17,Tabla5[[#This Row],[INVERSIONES FCI]])</f>
        <v>18691819703.211643</v>
      </c>
      <c r="M18" s="5">
        <f>IF($B17&lt;=Tabla5[[#This Row],[INVERSIONES FCI]],+Tabla5[[#This Row],[INVERSIONES FCI]]-M17,Tabla5[[#This Row],[INVERSIONES FCI]])</f>
        <v>18691819703.211643</v>
      </c>
      <c r="N18" s="5">
        <f>IF($B17&lt;=Tabla5[[#This Row],[INVERSIONES FCI]],+Tabla5[[#This Row],[INVERSIONES FCI]]-N17,Tabla5[[#This Row],[INVERSIONES FCI]])</f>
        <v>18691819703.211643</v>
      </c>
      <c r="O18" s="5">
        <f>IF($B17&lt;=Tabla5[[#This Row],[INVERSIONES FCI]],+Tabla5[[#This Row],[INVERSIONES FCI]]-O17,Tabla5[[#This Row],[INVERSIONES FCI]])</f>
        <v>18691819703.211643</v>
      </c>
      <c r="P18" s="5">
        <f>IF($B17&lt;=Tabla5[[#This Row],[INVERSIONES FCI]],+Tabla5[[#This Row],[INVERSIONES FCI]]-P17,Tabla5[[#This Row],[INVERSIONES FCI]])</f>
        <v>18691819703.211643</v>
      </c>
      <c r="Q18" s="5">
        <f>IF($B17&lt;=Tabla5[[#This Row],[INVERSIONES FCI]],+Tabla5[[#This Row],[INVERSIONES FCI]]-Q17,Tabla5[[#This Row],[INVERSIONES FCI]])</f>
        <v>18691819703.211643</v>
      </c>
      <c r="R18" s="5">
        <f>IF($B17&lt;=Tabla5[[#This Row],[INVERSIONES FCI]],+Tabla5[[#This Row],[INVERSIONES FCI]]-R17,Tabla5[[#This Row],[INVERSIONES FCI]])</f>
        <v>18691819703.211643</v>
      </c>
      <c r="S18" s="5" cm="1">
        <f t="array" ref="S18">IF(Tabla5[[#This Row],[FCI]]=0,0,_xlfn.XLOOKUP(TRUE,$B18:R18&gt;0,$B18:R18,"",0,-1))</f>
        <v>18691819703.211643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</row>
    <row r="19" spans="1:121" ht="14.4">
      <c r="A19" s="12" t="s">
        <v>18</v>
      </c>
      <c r="B19" s="5">
        <f>HLOOKUP($A19,ESCENARIO[#All],7,FALSE)</f>
        <v>19981146646.414894</v>
      </c>
      <c r="C19" s="5">
        <f>IF($B18&lt;=Tabla5[[#This Row],[INVERSIONES FCI]],+Tabla5[[#This Row],[INVERSIONES FCI]]-C18,Tabla5[[#This Row],[INVERSIONES FCI]])</f>
        <v>1289326943.2032509</v>
      </c>
      <c r="D19" s="5">
        <f>IF($B18&lt;=Tabla5[[#This Row],[INVERSIONES FCI]],+Tabla5[[#This Row],[INVERSIONES FCI]]-D18,Tabla5[[#This Row],[INVERSIONES FCI]])</f>
        <v>1289326943.2032509</v>
      </c>
      <c r="E19" s="5">
        <f>IF($B18&lt;=Tabla5[[#This Row],[INVERSIONES FCI]],+Tabla5[[#This Row],[INVERSIONES FCI]]-E18,Tabla5[[#This Row],[INVERSIONES FCI]])</f>
        <v>1289326943.2032509</v>
      </c>
      <c r="F19" s="5">
        <f>IF($B18&lt;=Tabla5[[#This Row],[INVERSIONES FCI]],+Tabla5[[#This Row],[INVERSIONES FCI]]-F18,Tabla5[[#This Row],[INVERSIONES FCI]])</f>
        <v>1289326943.2032509</v>
      </c>
      <c r="G19" s="5">
        <f>IF($B18&lt;=Tabla5[[#This Row],[INVERSIONES FCI]],+Tabla5[[#This Row],[INVERSIONES FCI]]-G18,Tabla5[[#This Row],[INVERSIONES FCI]])</f>
        <v>1289326943.2032509</v>
      </c>
      <c r="H19" s="5">
        <f>IF($B18&lt;=Tabla5[[#This Row],[INVERSIONES FCI]],+Tabla5[[#This Row],[INVERSIONES FCI]]-H18,Tabla5[[#This Row],[INVERSIONES FCI]])</f>
        <v>1289326943.2032509</v>
      </c>
      <c r="I19" s="5">
        <f>IF($B18&lt;=Tabla5[[#This Row],[INVERSIONES FCI]],+Tabla5[[#This Row],[INVERSIONES FCI]]-I18,Tabla5[[#This Row],[INVERSIONES FCI]])</f>
        <v>1289326943.2032509</v>
      </c>
      <c r="J19" s="5">
        <f>IF($B18&lt;=Tabla5[[#This Row],[INVERSIONES FCI]],+Tabla5[[#This Row],[INVERSIONES FCI]]-J18,Tabla5[[#This Row],[INVERSIONES FCI]])</f>
        <v>1289326943.2032509</v>
      </c>
      <c r="K19" s="5">
        <f>IF($B18&lt;=Tabla5[[#This Row],[INVERSIONES FCI]],+Tabla5[[#This Row],[INVERSIONES FCI]]-K18,Tabla5[[#This Row],[INVERSIONES FCI]])</f>
        <v>1289326943.2032509</v>
      </c>
      <c r="L19" s="5">
        <f>IF($B18&lt;=Tabla5[[#This Row],[INVERSIONES FCI]],+Tabla5[[#This Row],[INVERSIONES FCI]]-L18,Tabla5[[#This Row],[INVERSIONES FCI]])</f>
        <v>1289326943.2032509</v>
      </c>
      <c r="M19" s="5">
        <f>IF($B18&lt;=Tabla5[[#This Row],[INVERSIONES FCI]],+Tabla5[[#This Row],[INVERSIONES FCI]]-M18,Tabla5[[#This Row],[INVERSIONES FCI]])</f>
        <v>1289326943.2032509</v>
      </c>
      <c r="N19" s="5">
        <f>IF($B18&lt;=Tabla5[[#This Row],[INVERSIONES FCI]],+Tabla5[[#This Row],[INVERSIONES FCI]]-N18,Tabla5[[#This Row],[INVERSIONES FCI]])</f>
        <v>1289326943.2032509</v>
      </c>
      <c r="O19" s="5">
        <f>IF($B18&lt;=Tabla5[[#This Row],[INVERSIONES FCI]],+Tabla5[[#This Row],[INVERSIONES FCI]]-O18,Tabla5[[#This Row],[INVERSIONES FCI]])</f>
        <v>1289326943.2032509</v>
      </c>
      <c r="P19" s="5">
        <f>IF($B18&lt;=Tabla5[[#This Row],[INVERSIONES FCI]],+Tabla5[[#This Row],[INVERSIONES FCI]]-P18,Tabla5[[#This Row],[INVERSIONES FCI]])</f>
        <v>1289326943.2032509</v>
      </c>
      <c r="Q19" s="5">
        <f>IF($B18&lt;=Tabla5[[#This Row],[INVERSIONES FCI]],+Tabla5[[#This Row],[INVERSIONES FCI]]-Q18,Tabla5[[#This Row],[INVERSIONES FCI]])</f>
        <v>1289326943.2032509</v>
      </c>
      <c r="R19" s="5">
        <f>IF($B18&lt;=Tabla5[[#This Row],[INVERSIONES FCI]],+Tabla5[[#This Row],[INVERSIONES FCI]]-R18,Tabla5[[#This Row],[INVERSIONES FCI]])</f>
        <v>1289326943.2032509</v>
      </c>
      <c r="S19" s="5">
        <f>IF($B18&lt;=Tabla5[[#This Row],[INVERSIONES FCI]],+Tabla5[[#This Row],[INVERSIONES FCI]]-S18,Tabla5[[#This Row],[INVERSIONES FCI]])</f>
        <v>1289326943.2032509</v>
      </c>
      <c r="T19" s="5" cm="1">
        <f t="array" ref="T19">IF(Tabla5[[#This Row],[FCI]]=0,0,_xlfn.XLOOKUP(TRUE,$B19:S19&gt;0,$B19:S19,"",0,-1))</f>
        <v>1289326943.2032509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</row>
    <row r="20" spans="1:121" ht="14.4">
      <c r="A20" s="12" t="s">
        <v>19</v>
      </c>
      <c r="B20" s="5">
        <f>HLOOKUP($A20,ESCENARIO[#All],7,FALSE)</f>
        <v>21569768069.186619</v>
      </c>
      <c r="C20" s="5">
        <f>IF($B19&lt;=Tabla5[[#This Row],[INVERSIONES FCI]],+Tabla5[[#This Row],[INVERSIONES FCI]]-C19,Tabla5[[#This Row],[INVERSIONES FCI]])</f>
        <v>20280441125.983368</v>
      </c>
      <c r="D20" s="5">
        <f>IF($B19&lt;=Tabla5[[#This Row],[INVERSIONES FCI]],+Tabla5[[#This Row],[INVERSIONES FCI]]-D19,Tabla5[[#This Row],[INVERSIONES FCI]])</f>
        <v>20280441125.983368</v>
      </c>
      <c r="E20" s="5">
        <f>IF($B19&lt;=Tabla5[[#This Row],[INVERSIONES FCI]],+Tabla5[[#This Row],[INVERSIONES FCI]]-E19,Tabla5[[#This Row],[INVERSIONES FCI]])</f>
        <v>20280441125.983368</v>
      </c>
      <c r="F20" s="5">
        <f>IF($B19&lt;=Tabla5[[#This Row],[INVERSIONES FCI]],+Tabla5[[#This Row],[INVERSIONES FCI]]-F19,Tabla5[[#This Row],[INVERSIONES FCI]])</f>
        <v>20280441125.983368</v>
      </c>
      <c r="G20" s="5">
        <f>IF($B19&lt;=Tabla5[[#This Row],[INVERSIONES FCI]],+Tabla5[[#This Row],[INVERSIONES FCI]]-G19,Tabla5[[#This Row],[INVERSIONES FCI]])</f>
        <v>20280441125.983368</v>
      </c>
      <c r="H20" s="5">
        <f>IF($B19&lt;=Tabla5[[#This Row],[INVERSIONES FCI]],+Tabla5[[#This Row],[INVERSIONES FCI]]-H19,Tabla5[[#This Row],[INVERSIONES FCI]])</f>
        <v>20280441125.983368</v>
      </c>
      <c r="I20" s="5">
        <f>IF($B19&lt;=Tabla5[[#This Row],[INVERSIONES FCI]],+Tabla5[[#This Row],[INVERSIONES FCI]]-I19,Tabla5[[#This Row],[INVERSIONES FCI]])</f>
        <v>20280441125.983368</v>
      </c>
      <c r="J20" s="5">
        <f>IF($B19&lt;=Tabla5[[#This Row],[INVERSIONES FCI]],+Tabla5[[#This Row],[INVERSIONES FCI]]-J19,Tabla5[[#This Row],[INVERSIONES FCI]])</f>
        <v>20280441125.983368</v>
      </c>
      <c r="K20" s="5">
        <f>IF($B19&lt;=Tabla5[[#This Row],[INVERSIONES FCI]],+Tabla5[[#This Row],[INVERSIONES FCI]]-K19,Tabla5[[#This Row],[INVERSIONES FCI]])</f>
        <v>20280441125.983368</v>
      </c>
      <c r="L20" s="5">
        <f>IF($B19&lt;=Tabla5[[#This Row],[INVERSIONES FCI]],+Tabla5[[#This Row],[INVERSIONES FCI]]-L19,Tabla5[[#This Row],[INVERSIONES FCI]])</f>
        <v>20280441125.983368</v>
      </c>
      <c r="M20" s="5">
        <f>IF($B19&lt;=Tabla5[[#This Row],[INVERSIONES FCI]],+Tabla5[[#This Row],[INVERSIONES FCI]]-M19,Tabla5[[#This Row],[INVERSIONES FCI]])</f>
        <v>20280441125.983368</v>
      </c>
      <c r="N20" s="5">
        <f>IF($B19&lt;=Tabla5[[#This Row],[INVERSIONES FCI]],+Tabla5[[#This Row],[INVERSIONES FCI]]-N19,Tabla5[[#This Row],[INVERSIONES FCI]])</f>
        <v>20280441125.983368</v>
      </c>
      <c r="O20" s="5">
        <f>IF($B19&lt;=Tabla5[[#This Row],[INVERSIONES FCI]],+Tabla5[[#This Row],[INVERSIONES FCI]]-O19,Tabla5[[#This Row],[INVERSIONES FCI]])</f>
        <v>20280441125.983368</v>
      </c>
      <c r="P20" s="5">
        <f>IF($B19&lt;=Tabla5[[#This Row],[INVERSIONES FCI]],+Tabla5[[#This Row],[INVERSIONES FCI]]-P19,Tabla5[[#This Row],[INVERSIONES FCI]])</f>
        <v>20280441125.983368</v>
      </c>
      <c r="Q20" s="5">
        <f>IF($B19&lt;=Tabla5[[#This Row],[INVERSIONES FCI]],+Tabla5[[#This Row],[INVERSIONES FCI]]-Q19,Tabla5[[#This Row],[INVERSIONES FCI]])</f>
        <v>20280441125.983368</v>
      </c>
      <c r="R20" s="5">
        <f>IF($B19&lt;=Tabla5[[#This Row],[INVERSIONES FCI]],+Tabla5[[#This Row],[INVERSIONES FCI]]-R19,Tabla5[[#This Row],[INVERSIONES FCI]])</f>
        <v>20280441125.983368</v>
      </c>
      <c r="S20" s="5">
        <f>IF($B19&lt;=Tabla5[[#This Row],[INVERSIONES FCI]],+Tabla5[[#This Row],[INVERSIONES FCI]]-S19,Tabla5[[#This Row],[INVERSIONES FCI]])</f>
        <v>20280441125.983368</v>
      </c>
      <c r="T20" s="5">
        <f>IF($B19&lt;=Tabla5[[#This Row],[INVERSIONES FCI]],+Tabla5[[#This Row],[INVERSIONES FCI]]-T19,Tabla5[[#This Row],[INVERSIONES FCI]])</f>
        <v>20280441125.983368</v>
      </c>
      <c r="U20" s="5" cm="1">
        <f t="array" ref="U20">IF(Tabla5[[#This Row],[FCI]]=0,0,_xlfn.XLOOKUP(TRUE,$B20:T20&gt;0,$B20:T20,"",0,-1))</f>
        <v>20280441125.983368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</row>
    <row r="21" spans="1:121" ht="14.4">
      <c r="A21" s="12" t="s">
        <v>20</v>
      </c>
      <c r="B21" s="5">
        <f>HLOOKUP($A21,ESCENARIO[#All],7,FALSE)</f>
        <v>24163675342.931</v>
      </c>
      <c r="C21" s="5">
        <f>IF($B20&lt;=Tabla5[[#This Row],[INVERSIONES FCI]],+Tabla5[[#This Row],[INVERSIONES FCI]]-C20,Tabla5[[#This Row],[INVERSIONES FCI]])</f>
        <v>3883234216.9476318</v>
      </c>
      <c r="D21" s="5">
        <f>IF($B20&lt;=Tabla5[[#This Row],[INVERSIONES FCI]],+Tabla5[[#This Row],[INVERSIONES FCI]]-D20,Tabla5[[#This Row],[INVERSIONES FCI]])</f>
        <v>3883234216.9476318</v>
      </c>
      <c r="E21" s="5">
        <f>IF($B20&lt;=Tabla5[[#This Row],[INVERSIONES FCI]],+Tabla5[[#This Row],[INVERSIONES FCI]]-E20,Tabla5[[#This Row],[INVERSIONES FCI]])</f>
        <v>3883234216.9476318</v>
      </c>
      <c r="F21" s="5">
        <f>IF($B20&lt;=Tabla5[[#This Row],[INVERSIONES FCI]],+Tabla5[[#This Row],[INVERSIONES FCI]]-F20,Tabla5[[#This Row],[INVERSIONES FCI]])</f>
        <v>3883234216.9476318</v>
      </c>
      <c r="G21" s="5">
        <f>IF($B20&lt;=Tabla5[[#This Row],[INVERSIONES FCI]],+Tabla5[[#This Row],[INVERSIONES FCI]]-G20,Tabla5[[#This Row],[INVERSIONES FCI]])</f>
        <v>3883234216.9476318</v>
      </c>
      <c r="H21" s="5">
        <f>IF($B20&lt;=Tabla5[[#This Row],[INVERSIONES FCI]],+Tabla5[[#This Row],[INVERSIONES FCI]]-H20,Tabla5[[#This Row],[INVERSIONES FCI]])</f>
        <v>3883234216.9476318</v>
      </c>
      <c r="I21" s="5">
        <f>IF($B20&lt;=Tabla5[[#This Row],[INVERSIONES FCI]],+Tabla5[[#This Row],[INVERSIONES FCI]]-I20,Tabla5[[#This Row],[INVERSIONES FCI]])</f>
        <v>3883234216.9476318</v>
      </c>
      <c r="J21" s="5">
        <f>IF($B20&lt;=Tabla5[[#This Row],[INVERSIONES FCI]],+Tabla5[[#This Row],[INVERSIONES FCI]]-J20,Tabla5[[#This Row],[INVERSIONES FCI]])</f>
        <v>3883234216.9476318</v>
      </c>
      <c r="K21" s="5">
        <f>IF($B20&lt;=Tabla5[[#This Row],[INVERSIONES FCI]],+Tabla5[[#This Row],[INVERSIONES FCI]]-K20,Tabla5[[#This Row],[INVERSIONES FCI]])</f>
        <v>3883234216.9476318</v>
      </c>
      <c r="L21" s="5">
        <f>IF($B20&lt;=Tabla5[[#This Row],[INVERSIONES FCI]],+Tabla5[[#This Row],[INVERSIONES FCI]]-L20,Tabla5[[#This Row],[INVERSIONES FCI]])</f>
        <v>3883234216.9476318</v>
      </c>
      <c r="M21" s="5">
        <f>IF($B20&lt;=Tabla5[[#This Row],[INVERSIONES FCI]],+Tabla5[[#This Row],[INVERSIONES FCI]]-M20,Tabla5[[#This Row],[INVERSIONES FCI]])</f>
        <v>3883234216.9476318</v>
      </c>
      <c r="N21" s="5">
        <f>IF($B20&lt;=Tabla5[[#This Row],[INVERSIONES FCI]],+Tabla5[[#This Row],[INVERSIONES FCI]]-N20,Tabla5[[#This Row],[INVERSIONES FCI]])</f>
        <v>3883234216.9476318</v>
      </c>
      <c r="O21" s="5">
        <f>IF($B20&lt;=Tabla5[[#This Row],[INVERSIONES FCI]],+Tabla5[[#This Row],[INVERSIONES FCI]]-O20,Tabla5[[#This Row],[INVERSIONES FCI]])</f>
        <v>3883234216.9476318</v>
      </c>
      <c r="P21" s="5">
        <f>IF($B20&lt;=Tabla5[[#This Row],[INVERSIONES FCI]],+Tabla5[[#This Row],[INVERSIONES FCI]]-P20,Tabla5[[#This Row],[INVERSIONES FCI]])</f>
        <v>3883234216.9476318</v>
      </c>
      <c r="Q21" s="5">
        <f>IF($B20&lt;=Tabla5[[#This Row],[INVERSIONES FCI]],+Tabla5[[#This Row],[INVERSIONES FCI]]-Q20,Tabla5[[#This Row],[INVERSIONES FCI]])</f>
        <v>3883234216.9476318</v>
      </c>
      <c r="R21" s="5">
        <f>IF($B20&lt;=Tabla5[[#This Row],[INVERSIONES FCI]],+Tabla5[[#This Row],[INVERSIONES FCI]]-R20,Tabla5[[#This Row],[INVERSIONES FCI]])</f>
        <v>3883234216.9476318</v>
      </c>
      <c r="S21" s="5">
        <f>IF($B20&lt;=Tabla5[[#This Row],[INVERSIONES FCI]],+Tabla5[[#This Row],[INVERSIONES FCI]]-S20,Tabla5[[#This Row],[INVERSIONES FCI]])</f>
        <v>3883234216.9476318</v>
      </c>
      <c r="T21" s="5">
        <f>IF($B20&lt;=Tabla5[[#This Row],[INVERSIONES FCI]],+Tabla5[[#This Row],[INVERSIONES FCI]]-T20,Tabla5[[#This Row],[INVERSIONES FCI]])</f>
        <v>3883234216.9476318</v>
      </c>
      <c r="U21" s="5">
        <f>IF($B20&lt;=Tabla5[[#This Row],[INVERSIONES FCI]],+Tabla5[[#This Row],[INVERSIONES FCI]]-U20,Tabla5[[#This Row],[INVERSIONES FCI]])</f>
        <v>3883234216.9476318</v>
      </c>
      <c r="V21" s="5" cm="1">
        <f t="array" ref="V21">IF(Tabla5[[#This Row],[FCI]]=0,0,_xlfn.XLOOKUP(TRUE,$B21:U21&gt;0,$B21:U21,"",0,-1))</f>
        <v>3883234216.9476318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</row>
    <row r="22" spans="1:121" ht="14.4">
      <c r="A22" s="12" t="s">
        <v>21</v>
      </c>
      <c r="B22" s="5">
        <f>HLOOKUP($A22,ESCENARIO[#All],7,FALSE)</f>
        <v>26851487210.143135</v>
      </c>
      <c r="C22" s="5">
        <f>IF($B21&lt;=Tabla5[[#This Row],[INVERSIONES FCI]],+Tabla5[[#This Row],[INVERSIONES FCI]]-C21,Tabla5[[#This Row],[INVERSIONES FCI]])</f>
        <v>22968252993.195503</v>
      </c>
      <c r="D22" s="5">
        <f>IF($B21&lt;=Tabla5[[#This Row],[INVERSIONES FCI]],+Tabla5[[#This Row],[INVERSIONES FCI]]-D21,Tabla5[[#This Row],[INVERSIONES FCI]])</f>
        <v>22968252993.195503</v>
      </c>
      <c r="E22" s="5">
        <f>IF($B21&lt;=Tabla5[[#This Row],[INVERSIONES FCI]],+Tabla5[[#This Row],[INVERSIONES FCI]]-E21,Tabla5[[#This Row],[INVERSIONES FCI]])</f>
        <v>22968252993.195503</v>
      </c>
      <c r="F22" s="5">
        <f>IF($B21&lt;=Tabla5[[#This Row],[INVERSIONES FCI]],+Tabla5[[#This Row],[INVERSIONES FCI]]-F21,Tabla5[[#This Row],[INVERSIONES FCI]])</f>
        <v>22968252993.195503</v>
      </c>
      <c r="G22" s="5">
        <f>IF($B21&lt;=Tabla5[[#This Row],[INVERSIONES FCI]],+Tabla5[[#This Row],[INVERSIONES FCI]]-G21,Tabla5[[#This Row],[INVERSIONES FCI]])</f>
        <v>22968252993.195503</v>
      </c>
      <c r="H22" s="5">
        <f>IF($B21&lt;=Tabla5[[#This Row],[INVERSIONES FCI]],+Tabla5[[#This Row],[INVERSIONES FCI]]-H21,Tabla5[[#This Row],[INVERSIONES FCI]])</f>
        <v>22968252993.195503</v>
      </c>
      <c r="I22" s="5">
        <f>IF($B21&lt;=Tabla5[[#This Row],[INVERSIONES FCI]],+Tabla5[[#This Row],[INVERSIONES FCI]]-I21,Tabla5[[#This Row],[INVERSIONES FCI]])</f>
        <v>22968252993.195503</v>
      </c>
      <c r="J22" s="5">
        <f>IF($B21&lt;=Tabla5[[#This Row],[INVERSIONES FCI]],+Tabla5[[#This Row],[INVERSIONES FCI]]-J21,Tabla5[[#This Row],[INVERSIONES FCI]])</f>
        <v>22968252993.195503</v>
      </c>
      <c r="K22" s="5">
        <f>IF($B21&lt;=Tabla5[[#This Row],[INVERSIONES FCI]],+Tabla5[[#This Row],[INVERSIONES FCI]]-K21,Tabla5[[#This Row],[INVERSIONES FCI]])</f>
        <v>22968252993.195503</v>
      </c>
      <c r="L22" s="5">
        <f>IF($B21&lt;=Tabla5[[#This Row],[INVERSIONES FCI]],+Tabla5[[#This Row],[INVERSIONES FCI]]-L21,Tabla5[[#This Row],[INVERSIONES FCI]])</f>
        <v>22968252993.195503</v>
      </c>
      <c r="M22" s="5">
        <f>IF($B21&lt;=Tabla5[[#This Row],[INVERSIONES FCI]],+Tabla5[[#This Row],[INVERSIONES FCI]]-M21,Tabla5[[#This Row],[INVERSIONES FCI]])</f>
        <v>22968252993.195503</v>
      </c>
      <c r="N22" s="5">
        <f>IF($B21&lt;=Tabla5[[#This Row],[INVERSIONES FCI]],+Tabla5[[#This Row],[INVERSIONES FCI]]-N21,Tabla5[[#This Row],[INVERSIONES FCI]])</f>
        <v>22968252993.195503</v>
      </c>
      <c r="O22" s="5">
        <f>IF($B21&lt;=Tabla5[[#This Row],[INVERSIONES FCI]],+Tabla5[[#This Row],[INVERSIONES FCI]]-O21,Tabla5[[#This Row],[INVERSIONES FCI]])</f>
        <v>22968252993.195503</v>
      </c>
      <c r="P22" s="5">
        <f>IF($B21&lt;=Tabla5[[#This Row],[INVERSIONES FCI]],+Tabla5[[#This Row],[INVERSIONES FCI]]-P21,Tabla5[[#This Row],[INVERSIONES FCI]])</f>
        <v>22968252993.195503</v>
      </c>
      <c r="Q22" s="5">
        <f>IF($B21&lt;=Tabla5[[#This Row],[INVERSIONES FCI]],+Tabla5[[#This Row],[INVERSIONES FCI]]-Q21,Tabla5[[#This Row],[INVERSIONES FCI]])</f>
        <v>22968252993.195503</v>
      </c>
      <c r="R22" s="5">
        <f>IF($B21&lt;=Tabla5[[#This Row],[INVERSIONES FCI]],+Tabla5[[#This Row],[INVERSIONES FCI]]-R21,Tabla5[[#This Row],[INVERSIONES FCI]])</f>
        <v>22968252993.195503</v>
      </c>
      <c r="S22" s="5">
        <f>IF($B21&lt;=Tabla5[[#This Row],[INVERSIONES FCI]],+Tabla5[[#This Row],[INVERSIONES FCI]]-S21,Tabla5[[#This Row],[INVERSIONES FCI]])</f>
        <v>22968252993.195503</v>
      </c>
      <c r="T22" s="5">
        <f>IF($B21&lt;=Tabla5[[#This Row],[INVERSIONES FCI]],+Tabla5[[#This Row],[INVERSIONES FCI]]-T21,Tabla5[[#This Row],[INVERSIONES FCI]])</f>
        <v>22968252993.195503</v>
      </c>
      <c r="U22" s="5">
        <f>IF($B21&lt;=Tabla5[[#This Row],[INVERSIONES FCI]],+Tabla5[[#This Row],[INVERSIONES FCI]]-U21,Tabla5[[#This Row],[INVERSIONES FCI]])</f>
        <v>22968252993.195503</v>
      </c>
      <c r="V22" s="5">
        <f>IF($B21&lt;=Tabla5[[#This Row],[INVERSIONES FCI]],+Tabla5[[#This Row],[INVERSIONES FCI]]-V21,Tabla5[[#This Row],[INVERSIONES FCI]])</f>
        <v>22968252993.195503</v>
      </c>
      <c r="W22" s="5" cm="1">
        <f t="array" ref="W22">IF(Tabla5[[#This Row],[FCI]]=0,0,_xlfn.XLOOKUP(TRUE,$B22:V22&gt;0,$B22:V22,"",0,-1))</f>
        <v>22968252993.195503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</row>
    <row r="23" spans="1:121" ht="14.4">
      <c r="A23" s="12" t="s">
        <v>22</v>
      </c>
      <c r="B23" s="5">
        <f>HLOOKUP($A23,ESCENARIO[#All],7,FALSE)</f>
        <v>26851487210.143135</v>
      </c>
      <c r="C23" s="5">
        <f>IF($B22&lt;=Tabla5[[#This Row],[INVERSIONES FCI]],+Tabla5[[#This Row],[INVERSIONES FCI]]-C22,Tabla5[[#This Row],[INVERSIONES FCI]])</f>
        <v>3883234216.9476318</v>
      </c>
      <c r="D23" s="5">
        <f>IF($B22&lt;=Tabla5[[#This Row],[INVERSIONES FCI]],+Tabla5[[#This Row],[INVERSIONES FCI]]-D22,Tabla5[[#This Row],[INVERSIONES FCI]])</f>
        <v>3883234216.9476318</v>
      </c>
      <c r="E23" s="5">
        <f>IF($B22&lt;=Tabla5[[#This Row],[INVERSIONES FCI]],+Tabla5[[#This Row],[INVERSIONES FCI]]-E22,Tabla5[[#This Row],[INVERSIONES FCI]])</f>
        <v>3883234216.9476318</v>
      </c>
      <c r="F23" s="5">
        <f>IF($B22&lt;=Tabla5[[#This Row],[INVERSIONES FCI]],+Tabla5[[#This Row],[INVERSIONES FCI]]-F22,Tabla5[[#This Row],[INVERSIONES FCI]])</f>
        <v>3883234216.9476318</v>
      </c>
      <c r="G23" s="5">
        <f>IF($B22&lt;=Tabla5[[#This Row],[INVERSIONES FCI]],+Tabla5[[#This Row],[INVERSIONES FCI]]-G22,Tabla5[[#This Row],[INVERSIONES FCI]])</f>
        <v>3883234216.9476318</v>
      </c>
      <c r="H23" s="5">
        <f>IF($B22&lt;=Tabla5[[#This Row],[INVERSIONES FCI]],+Tabla5[[#This Row],[INVERSIONES FCI]]-H22,Tabla5[[#This Row],[INVERSIONES FCI]])</f>
        <v>3883234216.9476318</v>
      </c>
      <c r="I23" s="5">
        <f>IF($B22&lt;=Tabla5[[#This Row],[INVERSIONES FCI]],+Tabla5[[#This Row],[INVERSIONES FCI]]-I22,Tabla5[[#This Row],[INVERSIONES FCI]])</f>
        <v>3883234216.9476318</v>
      </c>
      <c r="J23" s="5">
        <f>IF($B22&lt;=Tabla5[[#This Row],[INVERSIONES FCI]],+Tabla5[[#This Row],[INVERSIONES FCI]]-J22,Tabla5[[#This Row],[INVERSIONES FCI]])</f>
        <v>3883234216.9476318</v>
      </c>
      <c r="K23" s="5">
        <f>IF($B22&lt;=Tabla5[[#This Row],[INVERSIONES FCI]],+Tabla5[[#This Row],[INVERSIONES FCI]]-K22,Tabla5[[#This Row],[INVERSIONES FCI]])</f>
        <v>3883234216.9476318</v>
      </c>
      <c r="L23" s="5">
        <f>IF($B22&lt;=Tabla5[[#This Row],[INVERSIONES FCI]],+Tabla5[[#This Row],[INVERSIONES FCI]]-L22,Tabla5[[#This Row],[INVERSIONES FCI]])</f>
        <v>3883234216.9476318</v>
      </c>
      <c r="M23" s="5">
        <f>IF($B22&lt;=Tabla5[[#This Row],[INVERSIONES FCI]],+Tabla5[[#This Row],[INVERSIONES FCI]]-M22,Tabla5[[#This Row],[INVERSIONES FCI]])</f>
        <v>3883234216.9476318</v>
      </c>
      <c r="N23" s="5">
        <f>IF($B22&lt;=Tabla5[[#This Row],[INVERSIONES FCI]],+Tabla5[[#This Row],[INVERSIONES FCI]]-N22,Tabla5[[#This Row],[INVERSIONES FCI]])</f>
        <v>3883234216.9476318</v>
      </c>
      <c r="O23" s="5">
        <f>IF($B22&lt;=Tabla5[[#This Row],[INVERSIONES FCI]],+Tabla5[[#This Row],[INVERSIONES FCI]]-O22,Tabla5[[#This Row],[INVERSIONES FCI]])</f>
        <v>3883234216.9476318</v>
      </c>
      <c r="P23" s="5">
        <f>IF($B22&lt;=Tabla5[[#This Row],[INVERSIONES FCI]],+Tabla5[[#This Row],[INVERSIONES FCI]]-P22,Tabla5[[#This Row],[INVERSIONES FCI]])</f>
        <v>3883234216.9476318</v>
      </c>
      <c r="Q23" s="5">
        <f>IF($B22&lt;=Tabla5[[#This Row],[INVERSIONES FCI]],+Tabla5[[#This Row],[INVERSIONES FCI]]-Q22,Tabla5[[#This Row],[INVERSIONES FCI]])</f>
        <v>3883234216.9476318</v>
      </c>
      <c r="R23" s="5">
        <f>IF($B22&lt;=Tabla5[[#This Row],[INVERSIONES FCI]],+Tabla5[[#This Row],[INVERSIONES FCI]]-R22,Tabla5[[#This Row],[INVERSIONES FCI]])</f>
        <v>3883234216.9476318</v>
      </c>
      <c r="S23" s="5">
        <f>IF($B22&lt;=Tabla5[[#This Row],[INVERSIONES FCI]],+Tabla5[[#This Row],[INVERSIONES FCI]]-S22,Tabla5[[#This Row],[INVERSIONES FCI]])</f>
        <v>3883234216.9476318</v>
      </c>
      <c r="T23" s="5">
        <f>IF($B22&lt;=Tabla5[[#This Row],[INVERSIONES FCI]],+Tabla5[[#This Row],[INVERSIONES FCI]]-T22,Tabla5[[#This Row],[INVERSIONES FCI]])</f>
        <v>3883234216.9476318</v>
      </c>
      <c r="U23" s="5">
        <f>IF($B22&lt;=Tabla5[[#This Row],[INVERSIONES FCI]],+Tabla5[[#This Row],[INVERSIONES FCI]]-U22,Tabla5[[#This Row],[INVERSIONES FCI]])</f>
        <v>3883234216.9476318</v>
      </c>
      <c r="V23" s="5">
        <f>IF($B22&lt;=Tabla5[[#This Row],[INVERSIONES FCI]],+Tabla5[[#This Row],[INVERSIONES FCI]]-V22,Tabla5[[#This Row],[INVERSIONES FCI]])</f>
        <v>3883234216.9476318</v>
      </c>
      <c r="W23" s="5">
        <f>IF($B22&lt;=Tabla5[[#This Row],[INVERSIONES FCI]],+Tabla5[[#This Row],[INVERSIONES FCI]]-W22,Tabla5[[#This Row],[INVERSIONES FCI]])</f>
        <v>3883234216.9476318</v>
      </c>
      <c r="X23" s="5" cm="1">
        <f t="array" ref="X23">IF(Tabla5[[#This Row],[FCI]]=0,0,_xlfn.XLOOKUP(TRUE,$B23:W23&gt;0,$B23:W23,"",0,-1))</f>
        <v>3883234216.9476318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</row>
    <row r="24" spans="1:121" ht="14.4">
      <c r="A24" s="12" t="s">
        <v>23</v>
      </c>
      <c r="B24" s="5">
        <f>HLOOKUP($A24,ESCENARIO[#All],7,FALSE)</f>
        <v>26851487210.143135</v>
      </c>
      <c r="C24" s="5">
        <f>IF($B23&lt;=Tabla5[[#This Row],[INVERSIONES FCI]],+Tabla5[[#This Row],[INVERSIONES FCI]]-C23,Tabla5[[#This Row],[INVERSIONES FCI]])</f>
        <v>22968252993.195503</v>
      </c>
      <c r="D24" s="5">
        <f>IF($B23&lt;=Tabla5[[#This Row],[INVERSIONES FCI]],+Tabla5[[#This Row],[INVERSIONES FCI]]-D23,Tabla5[[#This Row],[INVERSIONES FCI]])</f>
        <v>22968252993.195503</v>
      </c>
      <c r="E24" s="5">
        <f>IF($B23&lt;=Tabla5[[#This Row],[INVERSIONES FCI]],+Tabla5[[#This Row],[INVERSIONES FCI]]-E23,Tabla5[[#This Row],[INVERSIONES FCI]])</f>
        <v>22968252993.195503</v>
      </c>
      <c r="F24" s="5">
        <f>IF($B23&lt;=Tabla5[[#This Row],[INVERSIONES FCI]],+Tabla5[[#This Row],[INVERSIONES FCI]]-F23,Tabla5[[#This Row],[INVERSIONES FCI]])</f>
        <v>22968252993.195503</v>
      </c>
      <c r="G24" s="5">
        <f>IF($B23&lt;=Tabla5[[#This Row],[INVERSIONES FCI]],+Tabla5[[#This Row],[INVERSIONES FCI]]-G23,Tabla5[[#This Row],[INVERSIONES FCI]])</f>
        <v>22968252993.195503</v>
      </c>
      <c r="H24" s="5">
        <f>IF($B23&lt;=Tabla5[[#This Row],[INVERSIONES FCI]],+Tabla5[[#This Row],[INVERSIONES FCI]]-H23,Tabla5[[#This Row],[INVERSIONES FCI]])</f>
        <v>22968252993.195503</v>
      </c>
      <c r="I24" s="5">
        <f>IF($B23&lt;=Tabla5[[#This Row],[INVERSIONES FCI]],+Tabla5[[#This Row],[INVERSIONES FCI]]-I23,Tabla5[[#This Row],[INVERSIONES FCI]])</f>
        <v>22968252993.195503</v>
      </c>
      <c r="J24" s="5">
        <f>IF($B23&lt;=Tabla5[[#This Row],[INVERSIONES FCI]],+Tabla5[[#This Row],[INVERSIONES FCI]]-J23,Tabla5[[#This Row],[INVERSIONES FCI]])</f>
        <v>22968252993.195503</v>
      </c>
      <c r="K24" s="5">
        <f>IF($B23&lt;=Tabla5[[#This Row],[INVERSIONES FCI]],+Tabla5[[#This Row],[INVERSIONES FCI]]-K23,Tabla5[[#This Row],[INVERSIONES FCI]])</f>
        <v>22968252993.195503</v>
      </c>
      <c r="L24" s="5">
        <f>IF($B23&lt;=Tabla5[[#This Row],[INVERSIONES FCI]],+Tabla5[[#This Row],[INVERSIONES FCI]]-L23,Tabla5[[#This Row],[INVERSIONES FCI]])</f>
        <v>22968252993.195503</v>
      </c>
      <c r="M24" s="5">
        <f>IF($B23&lt;=Tabla5[[#This Row],[INVERSIONES FCI]],+Tabla5[[#This Row],[INVERSIONES FCI]]-M23,Tabla5[[#This Row],[INVERSIONES FCI]])</f>
        <v>22968252993.195503</v>
      </c>
      <c r="N24" s="5">
        <f>IF($B23&lt;=Tabla5[[#This Row],[INVERSIONES FCI]],+Tabla5[[#This Row],[INVERSIONES FCI]]-N23,Tabla5[[#This Row],[INVERSIONES FCI]])</f>
        <v>22968252993.195503</v>
      </c>
      <c r="O24" s="5">
        <f>IF($B23&lt;=Tabla5[[#This Row],[INVERSIONES FCI]],+Tabla5[[#This Row],[INVERSIONES FCI]]-O23,Tabla5[[#This Row],[INVERSIONES FCI]])</f>
        <v>22968252993.195503</v>
      </c>
      <c r="P24" s="5">
        <f>IF($B23&lt;=Tabla5[[#This Row],[INVERSIONES FCI]],+Tabla5[[#This Row],[INVERSIONES FCI]]-P23,Tabla5[[#This Row],[INVERSIONES FCI]])</f>
        <v>22968252993.195503</v>
      </c>
      <c r="Q24" s="5">
        <f>IF($B23&lt;=Tabla5[[#This Row],[INVERSIONES FCI]],+Tabla5[[#This Row],[INVERSIONES FCI]]-Q23,Tabla5[[#This Row],[INVERSIONES FCI]])</f>
        <v>22968252993.195503</v>
      </c>
      <c r="R24" s="5">
        <f>IF($B23&lt;=Tabla5[[#This Row],[INVERSIONES FCI]],+Tabla5[[#This Row],[INVERSIONES FCI]]-R23,Tabla5[[#This Row],[INVERSIONES FCI]])</f>
        <v>22968252993.195503</v>
      </c>
      <c r="S24" s="5">
        <f>IF($B23&lt;=Tabla5[[#This Row],[INVERSIONES FCI]],+Tabla5[[#This Row],[INVERSIONES FCI]]-S23,Tabla5[[#This Row],[INVERSIONES FCI]])</f>
        <v>22968252993.195503</v>
      </c>
      <c r="T24" s="5">
        <f>IF($B23&lt;=Tabla5[[#This Row],[INVERSIONES FCI]],+Tabla5[[#This Row],[INVERSIONES FCI]]-T23,Tabla5[[#This Row],[INVERSIONES FCI]])</f>
        <v>22968252993.195503</v>
      </c>
      <c r="U24" s="5">
        <f>IF($B23&lt;=Tabla5[[#This Row],[INVERSIONES FCI]],+Tabla5[[#This Row],[INVERSIONES FCI]]-U23,Tabla5[[#This Row],[INVERSIONES FCI]])</f>
        <v>22968252993.195503</v>
      </c>
      <c r="V24" s="5">
        <f>IF($B23&lt;=Tabla5[[#This Row],[INVERSIONES FCI]],+Tabla5[[#This Row],[INVERSIONES FCI]]-V23,Tabla5[[#This Row],[INVERSIONES FCI]])</f>
        <v>22968252993.195503</v>
      </c>
      <c r="W24" s="5">
        <f>IF($B23&lt;=Tabla5[[#This Row],[INVERSIONES FCI]],+Tabla5[[#This Row],[INVERSIONES FCI]]-W23,Tabla5[[#This Row],[INVERSIONES FCI]])</f>
        <v>22968252993.195503</v>
      </c>
      <c r="X24" s="5">
        <f>IF($B23&lt;=Tabla5[[#This Row],[INVERSIONES FCI]],+Tabla5[[#This Row],[INVERSIONES FCI]]-X23,Tabla5[[#This Row],[INVERSIONES FCI]])</f>
        <v>22968252993.195503</v>
      </c>
      <c r="Y24" s="5" cm="1">
        <f t="array" ref="Y24">IF(Tabla5[[#This Row],[FCI]]=0,0,_xlfn.XLOOKUP(TRUE,$B24:X24&gt;0,$B24:X24,"",0,-1))</f>
        <v>22968252993.195503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</row>
    <row r="25" spans="1:121" ht="14.4">
      <c r="A25" s="12" t="s">
        <v>24</v>
      </c>
      <c r="B25" s="5">
        <f>HLOOKUP($A25,ESCENARIO[#All],7,FALSE)</f>
        <v>28364051476.198547</v>
      </c>
      <c r="C25" s="5">
        <f>IF($B24&lt;=Tabla5[[#This Row],[INVERSIONES FCI]],+Tabla5[[#This Row],[INVERSIONES FCI]]-C24,Tabla5[[#This Row],[INVERSIONES FCI]])</f>
        <v>5395798483.0030441</v>
      </c>
      <c r="D25" s="5">
        <f>IF($B24&lt;=Tabla5[[#This Row],[INVERSIONES FCI]],+Tabla5[[#This Row],[INVERSIONES FCI]]-D24,Tabla5[[#This Row],[INVERSIONES FCI]])</f>
        <v>5395798483.0030441</v>
      </c>
      <c r="E25" s="5">
        <f>IF($B24&lt;=Tabla5[[#This Row],[INVERSIONES FCI]],+Tabla5[[#This Row],[INVERSIONES FCI]]-E24,Tabla5[[#This Row],[INVERSIONES FCI]])</f>
        <v>5395798483.0030441</v>
      </c>
      <c r="F25" s="5">
        <f>IF($B24&lt;=Tabla5[[#This Row],[INVERSIONES FCI]],+Tabla5[[#This Row],[INVERSIONES FCI]]-F24,Tabla5[[#This Row],[INVERSIONES FCI]])</f>
        <v>5395798483.0030441</v>
      </c>
      <c r="G25" s="5">
        <f>IF($B24&lt;=Tabla5[[#This Row],[INVERSIONES FCI]],+Tabla5[[#This Row],[INVERSIONES FCI]]-G24,Tabla5[[#This Row],[INVERSIONES FCI]])</f>
        <v>5395798483.0030441</v>
      </c>
      <c r="H25" s="5">
        <f>IF($B24&lt;=Tabla5[[#This Row],[INVERSIONES FCI]],+Tabla5[[#This Row],[INVERSIONES FCI]]-H24,Tabla5[[#This Row],[INVERSIONES FCI]])</f>
        <v>5395798483.0030441</v>
      </c>
      <c r="I25" s="5">
        <f>IF($B24&lt;=Tabla5[[#This Row],[INVERSIONES FCI]],+Tabla5[[#This Row],[INVERSIONES FCI]]-I24,Tabla5[[#This Row],[INVERSIONES FCI]])</f>
        <v>5395798483.0030441</v>
      </c>
      <c r="J25" s="5">
        <f>IF($B24&lt;=Tabla5[[#This Row],[INVERSIONES FCI]],+Tabla5[[#This Row],[INVERSIONES FCI]]-J24,Tabla5[[#This Row],[INVERSIONES FCI]])</f>
        <v>5395798483.0030441</v>
      </c>
      <c r="K25" s="5">
        <f>IF($B24&lt;=Tabla5[[#This Row],[INVERSIONES FCI]],+Tabla5[[#This Row],[INVERSIONES FCI]]-K24,Tabla5[[#This Row],[INVERSIONES FCI]])</f>
        <v>5395798483.0030441</v>
      </c>
      <c r="L25" s="5">
        <f>IF($B24&lt;=Tabla5[[#This Row],[INVERSIONES FCI]],+Tabla5[[#This Row],[INVERSIONES FCI]]-L24,Tabla5[[#This Row],[INVERSIONES FCI]])</f>
        <v>5395798483.0030441</v>
      </c>
      <c r="M25" s="5">
        <f>IF($B24&lt;=Tabla5[[#This Row],[INVERSIONES FCI]],+Tabla5[[#This Row],[INVERSIONES FCI]]-M24,Tabla5[[#This Row],[INVERSIONES FCI]])</f>
        <v>5395798483.0030441</v>
      </c>
      <c r="N25" s="5">
        <f>IF($B24&lt;=Tabla5[[#This Row],[INVERSIONES FCI]],+Tabla5[[#This Row],[INVERSIONES FCI]]-N24,Tabla5[[#This Row],[INVERSIONES FCI]])</f>
        <v>5395798483.0030441</v>
      </c>
      <c r="O25" s="5">
        <f>IF($B24&lt;=Tabla5[[#This Row],[INVERSIONES FCI]],+Tabla5[[#This Row],[INVERSIONES FCI]]-O24,Tabla5[[#This Row],[INVERSIONES FCI]])</f>
        <v>5395798483.0030441</v>
      </c>
      <c r="P25" s="5">
        <f>IF($B24&lt;=Tabla5[[#This Row],[INVERSIONES FCI]],+Tabla5[[#This Row],[INVERSIONES FCI]]-P24,Tabla5[[#This Row],[INVERSIONES FCI]])</f>
        <v>5395798483.0030441</v>
      </c>
      <c r="Q25" s="5">
        <f>IF($B24&lt;=Tabla5[[#This Row],[INVERSIONES FCI]],+Tabla5[[#This Row],[INVERSIONES FCI]]-Q24,Tabla5[[#This Row],[INVERSIONES FCI]])</f>
        <v>5395798483.0030441</v>
      </c>
      <c r="R25" s="5">
        <f>IF($B24&lt;=Tabla5[[#This Row],[INVERSIONES FCI]],+Tabla5[[#This Row],[INVERSIONES FCI]]-R24,Tabla5[[#This Row],[INVERSIONES FCI]])</f>
        <v>5395798483.0030441</v>
      </c>
      <c r="S25" s="5">
        <f>IF($B24&lt;=Tabla5[[#This Row],[INVERSIONES FCI]],+Tabla5[[#This Row],[INVERSIONES FCI]]-S24,Tabla5[[#This Row],[INVERSIONES FCI]])</f>
        <v>5395798483.0030441</v>
      </c>
      <c r="T25" s="5">
        <f>IF($B24&lt;=Tabla5[[#This Row],[INVERSIONES FCI]],+Tabla5[[#This Row],[INVERSIONES FCI]]-T24,Tabla5[[#This Row],[INVERSIONES FCI]])</f>
        <v>5395798483.0030441</v>
      </c>
      <c r="U25" s="5">
        <f>IF($B24&lt;=Tabla5[[#This Row],[INVERSIONES FCI]],+Tabla5[[#This Row],[INVERSIONES FCI]]-U24,Tabla5[[#This Row],[INVERSIONES FCI]])</f>
        <v>5395798483.0030441</v>
      </c>
      <c r="V25" s="5">
        <f>IF($B24&lt;=Tabla5[[#This Row],[INVERSIONES FCI]],+Tabla5[[#This Row],[INVERSIONES FCI]]-V24,Tabla5[[#This Row],[INVERSIONES FCI]])</f>
        <v>5395798483.0030441</v>
      </c>
      <c r="W25" s="5">
        <f>IF($B24&lt;=Tabla5[[#This Row],[INVERSIONES FCI]],+Tabla5[[#This Row],[INVERSIONES FCI]]-W24,Tabla5[[#This Row],[INVERSIONES FCI]])</f>
        <v>5395798483.0030441</v>
      </c>
      <c r="X25" s="5">
        <f>IF($B24&lt;=Tabla5[[#This Row],[INVERSIONES FCI]],+Tabla5[[#This Row],[INVERSIONES FCI]]-X24,Tabla5[[#This Row],[INVERSIONES FCI]])</f>
        <v>5395798483.0030441</v>
      </c>
      <c r="Y25" s="5">
        <f>IF($B24&lt;=Tabla5[[#This Row],[INVERSIONES FCI]],+Tabla5[[#This Row],[INVERSIONES FCI]]-Y24,Tabla5[[#This Row],[INVERSIONES FCI]])</f>
        <v>5395798483.0030441</v>
      </c>
      <c r="Z25" s="5" cm="1">
        <f t="array" ref="Z25">IF(Tabla5[[#This Row],[FCI]]=0,0,_xlfn.XLOOKUP(TRUE,$B25:Y25&gt;0,$B25:Y25,"",0,-1))</f>
        <v>5395798483.0030441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</row>
    <row r="26" spans="1:121" ht="14.4">
      <c r="A26" s="12" t="s">
        <v>25</v>
      </c>
      <c r="B26" s="5">
        <f>HLOOKUP($A26,ESCENARIO[#All],7,FALSE)</f>
        <v>24081416629.050087</v>
      </c>
      <c r="C26" s="5">
        <f>IF($B25&lt;=Tabla5[[#This Row],[INVERSIONES FCI]],+Tabla5[[#This Row],[INVERSIONES FCI]]-C25,Tabla5[[#This Row],[INVERSIONES FCI]])</f>
        <v>24081416629.050087</v>
      </c>
      <c r="D26" s="5">
        <f>IF($B25&lt;=Tabla5[[#This Row],[INVERSIONES FCI]],+Tabla5[[#This Row],[INVERSIONES FCI]]-D25,Tabla5[[#This Row],[INVERSIONES FCI]])</f>
        <v>24081416629.050087</v>
      </c>
      <c r="E26" s="5">
        <f>IF($B25&lt;=Tabla5[[#This Row],[INVERSIONES FCI]],+Tabla5[[#This Row],[INVERSIONES FCI]]-E25,Tabla5[[#This Row],[INVERSIONES FCI]])</f>
        <v>24081416629.050087</v>
      </c>
      <c r="F26" s="5">
        <f>IF($B25&lt;=Tabla5[[#This Row],[INVERSIONES FCI]],+Tabla5[[#This Row],[INVERSIONES FCI]]-F25,Tabla5[[#This Row],[INVERSIONES FCI]])</f>
        <v>24081416629.050087</v>
      </c>
      <c r="G26" s="5">
        <f>IF($B25&lt;=Tabla5[[#This Row],[INVERSIONES FCI]],+Tabla5[[#This Row],[INVERSIONES FCI]]-G25,Tabla5[[#This Row],[INVERSIONES FCI]])</f>
        <v>24081416629.050087</v>
      </c>
      <c r="H26" s="5">
        <f>IF($B25&lt;=Tabla5[[#This Row],[INVERSIONES FCI]],+Tabla5[[#This Row],[INVERSIONES FCI]]-H25,Tabla5[[#This Row],[INVERSIONES FCI]])</f>
        <v>24081416629.050087</v>
      </c>
      <c r="I26" s="5">
        <f>IF($B25&lt;=Tabla5[[#This Row],[INVERSIONES FCI]],+Tabla5[[#This Row],[INVERSIONES FCI]]-I25,Tabla5[[#This Row],[INVERSIONES FCI]])</f>
        <v>24081416629.050087</v>
      </c>
      <c r="J26" s="5">
        <f>IF($B25&lt;=Tabla5[[#This Row],[INVERSIONES FCI]],+Tabla5[[#This Row],[INVERSIONES FCI]]-J25,Tabla5[[#This Row],[INVERSIONES FCI]])</f>
        <v>24081416629.050087</v>
      </c>
      <c r="K26" s="5">
        <f>IF($B25&lt;=Tabla5[[#This Row],[INVERSIONES FCI]],+Tabla5[[#This Row],[INVERSIONES FCI]]-K25,Tabla5[[#This Row],[INVERSIONES FCI]])</f>
        <v>24081416629.050087</v>
      </c>
      <c r="L26" s="5">
        <f>IF($B25&lt;=Tabla5[[#This Row],[INVERSIONES FCI]],+Tabla5[[#This Row],[INVERSIONES FCI]]-L25,Tabla5[[#This Row],[INVERSIONES FCI]])</f>
        <v>24081416629.050087</v>
      </c>
      <c r="M26" s="5">
        <f>IF($B25&lt;=Tabla5[[#This Row],[INVERSIONES FCI]],+Tabla5[[#This Row],[INVERSIONES FCI]]-M25,Tabla5[[#This Row],[INVERSIONES FCI]])</f>
        <v>24081416629.050087</v>
      </c>
      <c r="N26" s="5">
        <f>IF($B25&lt;=Tabla5[[#This Row],[INVERSIONES FCI]],+Tabla5[[#This Row],[INVERSIONES FCI]]-N25,Tabla5[[#This Row],[INVERSIONES FCI]])</f>
        <v>24081416629.050087</v>
      </c>
      <c r="O26" s="5">
        <f>IF($B25&lt;=Tabla5[[#This Row],[INVERSIONES FCI]],+Tabla5[[#This Row],[INVERSIONES FCI]]-O25,Tabla5[[#This Row],[INVERSIONES FCI]])</f>
        <v>24081416629.050087</v>
      </c>
      <c r="P26" s="5">
        <f>IF($B25&lt;=Tabla5[[#This Row],[INVERSIONES FCI]],+Tabla5[[#This Row],[INVERSIONES FCI]]-P25,Tabla5[[#This Row],[INVERSIONES FCI]])</f>
        <v>24081416629.050087</v>
      </c>
      <c r="Q26" s="5">
        <f>IF($B25&lt;=Tabla5[[#This Row],[INVERSIONES FCI]],+Tabla5[[#This Row],[INVERSIONES FCI]]-Q25,Tabla5[[#This Row],[INVERSIONES FCI]])</f>
        <v>24081416629.050087</v>
      </c>
      <c r="R26" s="5">
        <f>IF($B25&lt;=Tabla5[[#This Row],[INVERSIONES FCI]],+Tabla5[[#This Row],[INVERSIONES FCI]]-R25,Tabla5[[#This Row],[INVERSIONES FCI]])</f>
        <v>24081416629.050087</v>
      </c>
      <c r="S26" s="5">
        <f>IF($B25&lt;=Tabla5[[#This Row],[INVERSIONES FCI]],+Tabla5[[#This Row],[INVERSIONES FCI]]-S25,Tabla5[[#This Row],[INVERSIONES FCI]])</f>
        <v>24081416629.050087</v>
      </c>
      <c r="T26" s="5">
        <f>IF($B25&lt;=Tabla5[[#This Row],[INVERSIONES FCI]],+Tabla5[[#This Row],[INVERSIONES FCI]]-T25,Tabla5[[#This Row],[INVERSIONES FCI]])</f>
        <v>24081416629.050087</v>
      </c>
      <c r="U26" s="5">
        <f>IF($B25&lt;=Tabla5[[#This Row],[INVERSIONES FCI]],+Tabla5[[#This Row],[INVERSIONES FCI]]-U25,Tabla5[[#This Row],[INVERSIONES FCI]])</f>
        <v>24081416629.050087</v>
      </c>
      <c r="V26" s="5">
        <f>IF($B25&lt;=Tabla5[[#This Row],[INVERSIONES FCI]],+Tabla5[[#This Row],[INVERSIONES FCI]]-V25,Tabla5[[#This Row],[INVERSIONES FCI]])</f>
        <v>24081416629.050087</v>
      </c>
      <c r="W26" s="5">
        <f>IF($B25&lt;=Tabla5[[#This Row],[INVERSIONES FCI]],+Tabla5[[#This Row],[INVERSIONES FCI]]-W25,Tabla5[[#This Row],[INVERSIONES FCI]])</f>
        <v>24081416629.050087</v>
      </c>
      <c r="X26" s="5">
        <f>IF($B25&lt;=Tabla5[[#This Row],[INVERSIONES FCI]],+Tabla5[[#This Row],[INVERSIONES FCI]]-X25,Tabla5[[#This Row],[INVERSIONES FCI]])</f>
        <v>24081416629.050087</v>
      </c>
      <c r="Y26" s="5">
        <f>IF($B25&lt;=Tabla5[[#This Row],[INVERSIONES FCI]],+Tabla5[[#This Row],[INVERSIONES FCI]]-Y25,Tabla5[[#This Row],[INVERSIONES FCI]])</f>
        <v>24081416629.050087</v>
      </c>
      <c r="Z26" s="5">
        <f>IF($B25&lt;=Tabla5[[#This Row],[INVERSIONES FCI]],+Tabla5[[#This Row],[INVERSIONES FCI]]-Z25,Tabla5[[#This Row],[INVERSIONES FCI]])</f>
        <v>24081416629.050087</v>
      </c>
      <c r="AA26" s="5" cm="1">
        <f t="array" ref="AA26">IF(Tabla5[[#This Row],[FCI]]=0,0,_xlfn.XLOOKUP(TRUE,$B26:Z26&gt;0,$B26:Z26,"",0,-1))</f>
        <v>24081416629.050087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</row>
    <row r="27" spans="1:121" ht="14.4">
      <c r="A27" s="12" t="s">
        <v>26</v>
      </c>
      <c r="B27" s="5">
        <f>HLOOKUP($A27,ESCENARIO[#All],7,FALSE)</f>
        <v>20817484487.141037</v>
      </c>
      <c r="C27" s="5">
        <f>IF($B26&lt;=Tabla5[[#This Row],[INVERSIONES FCI]],+Tabla5[[#This Row],[INVERSIONES FCI]]-C26,Tabla5[[#This Row],[INVERSIONES FCI]])</f>
        <v>20817484487.141037</v>
      </c>
      <c r="D27" s="5">
        <f>IF($B26&lt;=Tabla5[[#This Row],[INVERSIONES FCI]],+Tabla5[[#This Row],[INVERSIONES FCI]]-D26,Tabla5[[#This Row],[INVERSIONES FCI]])</f>
        <v>20817484487.141037</v>
      </c>
      <c r="E27" s="5">
        <f>IF($B26&lt;=Tabla5[[#This Row],[INVERSIONES FCI]],+Tabla5[[#This Row],[INVERSIONES FCI]]-E26,Tabla5[[#This Row],[INVERSIONES FCI]])</f>
        <v>20817484487.141037</v>
      </c>
      <c r="F27" s="5">
        <f>IF($B26&lt;=Tabla5[[#This Row],[INVERSIONES FCI]],+Tabla5[[#This Row],[INVERSIONES FCI]]-F26,Tabla5[[#This Row],[INVERSIONES FCI]])</f>
        <v>20817484487.141037</v>
      </c>
      <c r="G27" s="5">
        <f>IF($B26&lt;=Tabla5[[#This Row],[INVERSIONES FCI]],+Tabla5[[#This Row],[INVERSIONES FCI]]-G26,Tabla5[[#This Row],[INVERSIONES FCI]])</f>
        <v>20817484487.141037</v>
      </c>
      <c r="H27" s="5">
        <f>IF($B26&lt;=Tabla5[[#This Row],[INVERSIONES FCI]],+Tabla5[[#This Row],[INVERSIONES FCI]]-H26,Tabla5[[#This Row],[INVERSIONES FCI]])</f>
        <v>20817484487.141037</v>
      </c>
      <c r="I27" s="5">
        <f>IF($B26&lt;=Tabla5[[#This Row],[INVERSIONES FCI]],+Tabla5[[#This Row],[INVERSIONES FCI]]-I26,Tabla5[[#This Row],[INVERSIONES FCI]])</f>
        <v>20817484487.141037</v>
      </c>
      <c r="J27" s="5">
        <f>IF($B26&lt;=Tabla5[[#This Row],[INVERSIONES FCI]],+Tabla5[[#This Row],[INVERSIONES FCI]]-J26,Tabla5[[#This Row],[INVERSIONES FCI]])</f>
        <v>20817484487.141037</v>
      </c>
      <c r="K27" s="5">
        <f>IF($B26&lt;=Tabla5[[#This Row],[INVERSIONES FCI]],+Tabla5[[#This Row],[INVERSIONES FCI]]-K26,Tabla5[[#This Row],[INVERSIONES FCI]])</f>
        <v>20817484487.141037</v>
      </c>
      <c r="L27" s="5">
        <f>IF($B26&lt;=Tabla5[[#This Row],[INVERSIONES FCI]],+Tabla5[[#This Row],[INVERSIONES FCI]]-L26,Tabla5[[#This Row],[INVERSIONES FCI]])</f>
        <v>20817484487.141037</v>
      </c>
      <c r="M27" s="5">
        <f>IF($B26&lt;=Tabla5[[#This Row],[INVERSIONES FCI]],+Tabla5[[#This Row],[INVERSIONES FCI]]-M26,Tabla5[[#This Row],[INVERSIONES FCI]])</f>
        <v>20817484487.141037</v>
      </c>
      <c r="N27" s="5">
        <f>IF($B26&lt;=Tabla5[[#This Row],[INVERSIONES FCI]],+Tabla5[[#This Row],[INVERSIONES FCI]]-N26,Tabla5[[#This Row],[INVERSIONES FCI]])</f>
        <v>20817484487.141037</v>
      </c>
      <c r="O27" s="5">
        <f>IF($B26&lt;=Tabla5[[#This Row],[INVERSIONES FCI]],+Tabla5[[#This Row],[INVERSIONES FCI]]-O26,Tabla5[[#This Row],[INVERSIONES FCI]])</f>
        <v>20817484487.141037</v>
      </c>
      <c r="P27" s="5">
        <f>IF($B26&lt;=Tabla5[[#This Row],[INVERSIONES FCI]],+Tabla5[[#This Row],[INVERSIONES FCI]]-P26,Tabla5[[#This Row],[INVERSIONES FCI]])</f>
        <v>20817484487.141037</v>
      </c>
      <c r="Q27" s="5">
        <f>IF($B26&lt;=Tabla5[[#This Row],[INVERSIONES FCI]],+Tabla5[[#This Row],[INVERSIONES FCI]]-Q26,Tabla5[[#This Row],[INVERSIONES FCI]])</f>
        <v>20817484487.141037</v>
      </c>
      <c r="R27" s="5">
        <f>IF($B26&lt;=Tabla5[[#This Row],[INVERSIONES FCI]],+Tabla5[[#This Row],[INVERSIONES FCI]]-R26,Tabla5[[#This Row],[INVERSIONES FCI]])</f>
        <v>20817484487.141037</v>
      </c>
      <c r="S27" s="5">
        <f>IF($B26&lt;=Tabla5[[#This Row],[INVERSIONES FCI]],+Tabla5[[#This Row],[INVERSIONES FCI]]-S26,Tabla5[[#This Row],[INVERSIONES FCI]])</f>
        <v>20817484487.141037</v>
      </c>
      <c r="T27" s="5">
        <f>IF($B26&lt;=Tabla5[[#This Row],[INVERSIONES FCI]],+Tabla5[[#This Row],[INVERSIONES FCI]]-T26,Tabla5[[#This Row],[INVERSIONES FCI]])</f>
        <v>20817484487.141037</v>
      </c>
      <c r="U27" s="5">
        <f>IF($B26&lt;=Tabla5[[#This Row],[INVERSIONES FCI]],+Tabla5[[#This Row],[INVERSIONES FCI]]-U26,Tabla5[[#This Row],[INVERSIONES FCI]])</f>
        <v>20817484487.141037</v>
      </c>
      <c r="V27" s="5">
        <f>IF($B26&lt;=Tabla5[[#This Row],[INVERSIONES FCI]],+Tabla5[[#This Row],[INVERSIONES FCI]]-V26,Tabla5[[#This Row],[INVERSIONES FCI]])</f>
        <v>20817484487.141037</v>
      </c>
      <c r="W27" s="5">
        <f>IF($B26&lt;=Tabla5[[#This Row],[INVERSIONES FCI]],+Tabla5[[#This Row],[INVERSIONES FCI]]-W26,Tabla5[[#This Row],[INVERSIONES FCI]])</f>
        <v>20817484487.141037</v>
      </c>
      <c r="X27" s="5">
        <f>IF($B26&lt;=Tabla5[[#This Row],[INVERSIONES FCI]],+Tabla5[[#This Row],[INVERSIONES FCI]]-X26,Tabla5[[#This Row],[INVERSIONES FCI]])</f>
        <v>20817484487.141037</v>
      </c>
      <c r="Y27" s="5">
        <f>IF($B26&lt;=Tabla5[[#This Row],[INVERSIONES FCI]],+Tabla5[[#This Row],[INVERSIONES FCI]]-Y26,Tabla5[[#This Row],[INVERSIONES FCI]])</f>
        <v>20817484487.141037</v>
      </c>
      <c r="Z27" s="5">
        <f>IF($B26&lt;=Tabla5[[#This Row],[INVERSIONES FCI]],+Tabla5[[#This Row],[INVERSIONES FCI]]-Z26,Tabla5[[#This Row],[INVERSIONES FCI]])</f>
        <v>20817484487.141037</v>
      </c>
      <c r="AA27" s="5">
        <f>IF($B26&lt;=Tabla5[[#This Row],[INVERSIONES FCI]],+Tabla5[[#This Row],[INVERSIONES FCI]]-AA26,Tabla5[[#This Row],[INVERSIONES FCI]])</f>
        <v>20817484487.141037</v>
      </c>
      <c r="AB27" s="5" cm="1">
        <f t="array" ref="AB27">IF(Tabla5[[#This Row],[FCI]]=0,0,_xlfn.XLOOKUP(TRUE,$B27:AA27&gt;0,$B27:AA27,"",0,-1))</f>
        <v>20817484487.141037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</row>
    <row r="28" spans="1:121" ht="14.4">
      <c r="A28" s="12" t="s">
        <v>27</v>
      </c>
      <c r="B28" s="5">
        <f>HLOOKUP($A28,ESCENARIO[#All],7,FALSE)</f>
        <v>3594921144.481842</v>
      </c>
      <c r="C28" s="5">
        <f>IF($B27&lt;=Tabla5[[#This Row],[INVERSIONES FCI]],+Tabla5[[#This Row],[INVERSIONES FCI]]-C27,Tabla5[[#This Row],[INVERSIONES FCI]])</f>
        <v>3594921144.481842</v>
      </c>
      <c r="D28" s="5">
        <f>IF($B27&lt;=Tabla5[[#This Row],[INVERSIONES FCI]],+Tabla5[[#This Row],[INVERSIONES FCI]]-D27,Tabla5[[#This Row],[INVERSIONES FCI]])</f>
        <v>3594921144.481842</v>
      </c>
      <c r="E28" s="5">
        <f>IF($B27&lt;=Tabla5[[#This Row],[INVERSIONES FCI]],+Tabla5[[#This Row],[INVERSIONES FCI]]-E27,Tabla5[[#This Row],[INVERSIONES FCI]])</f>
        <v>3594921144.481842</v>
      </c>
      <c r="F28" s="5">
        <f>IF($B27&lt;=Tabla5[[#This Row],[INVERSIONES FCI]],+Tabla5[[#This Row],[INVERSIONES FCI]]-F27,Tabla5[[#This Row],[INVERSIONES FCI]])</f>
        <v>3594921144.481842</v>
      </c>
      <c r="G28" s="5">
        <f>IF($B27&lt;=Tabla5[[#This Row],[INVERSIONES FCI]],+Tabla5[[#This Row],[INVERSIONES FCI]]-G27,Tabla5[[#This Row],[INVERSIONES FCI]])</f>
        <v>3594921144.481842</v>
      </c>
      <c r="H28" s="5">
        <f>IF($B27&lt;=Tabla5[[#This Row],[INVERSIONES FCI]],+Tabla5[[#This Row],[INVERSIONES FCI]]-H27,Tabla5[[#This Row],[INVERSIONES FCI]])</f>
        <v>3594921144.481842</v>
      </c>
      <c r="I28" s="5">
        <f>IF($B27&lt;=Tabla5[[#This Row],[INVERSIONES FCI]],+Tabla5[[#This Row],[INVERSIONES FCI]]-I27,Tabla5[[#This Row],[INVERSIONES FCI]])</f>
        <v>3594921144.481842</v>
      </c>
      <c r="J28" s="5">
        <f>IF($B27&lt;=Tabla5[[#This Row],[INVERSIONES FCI]],+Tabla5[[#This Row],[INVERSIONES FCI]]-J27,Tabla5[[#This Row],[INVERSIONES FCI]])</f>
        <v>3594921144.481842</v>
      </c>
      <c r="K28" s="5">
        <f>IF($B27&lt;=Tabla5[[#This Row],[INVERSIONES FCI]],+Tabla5[[#This Row],[INVERSIONES FCI]]-K27,Tabla5[[#This Row],[INVERSIONES FCI]])</f>
        <v>3594921144.481842</v>
      </c>
      <c r="L28" s="5">
        <f>IF($B27&lt;=Tabla5[[#This Row],[INVERSIONES FCI]],+Tabla5[[#This Row],[INVERSIONES FCI]]-L27,Tabla5[[#This Row],[INVERSIONES FCI]])</f>
        <v>3594921144.481842</v>
      </c>
      <c r="M28" s="5">
        <f>IF($B27&lt;=Tabla5[[#This Row],[INVERSIONES FCI]],+Tabla5[[#This Row],[INVERSIONES FCI]]-M27,Tabla5[[#This Row],[INVERSIONES FCI]])</f>
        <v>3594921144.481842</v>
      </c>
      <c r="N28" s="5">
        <f>IF($B27&lt;=Tabla5[[#This Row],[INVERSIONES FCI]],+Tabla5[[#This Row],[INVERSIONES FCI]]-N27,Tabla5[[#This Row],[INVERSIONES FCI]])</f>
        <v>3594921144.481842</v>
      </c>
      <c r="O28" s="5">
        <f>IF($B27&lt;=Tabla5[[#This Row],[INVERSIONES FCI]],+Tabla5[[#This Row],[INVERSIONES FCI]]-O27,Tabla5[[#This Row],[INVERSIONES FCI]])</f>
        <v>3594921144.481842</v>
      </c>
      <c r="P28" s="5">
        <f>IF($B27&lt;=Tabla5[[#This Row],[INVERSIONES FCI]],+Tabla5[[#This Row],[INVERSIONES FCI]]-P27,Tabla5[[#This Row],[INVERSIONES FCI]])</f>
        <v>3594921144.481842</v>
      </c>
      <c r="Q28" s="5">
        <f>IF($B27&lt;=Tabla5[[#This Row],[INVERSIONES FCI]],+Tabla5[[#This Row],[INVERSIONES FCI]]-Q27,Tabla5[[#This Row],[INVERSIONES FCI]])</f>
        <v>3594921144.481842</v>
      </c>
      <c r="R28" s="5">
        <f>IF($B27&lt;=Tabla5[[#This Row],[INVERSIONES FCI]],+Tabla5[[#This Row],[INVERSIONES FCI]]-R27,Tabla5[[#This Row],[INVERSIONES FCI]])</f>
        <v>3594921144.481842</v>
      </c>
      <c r="S28" s="5">
        <f>IF($B27&lt;=Tabla5[[#This Row],[INVERSIONES FCI]],+Tabla5[[#This Row],[INVERSIONES FCI]]-S27,Tabla5[[#This Row],[INVERSIONES FCI]])</f>
        <v>3594921144.481842</v>
      </c>
      <c r="T28" s="5">
        <f>IF($B27&lt;=Tabla5[[#This Row],[INVERSIONES FCI]],+Tabla5[[#This Row],[INVERSIONES FCI]]-T27,Tabla5[[#This Row],[INVERSIONES FCI]])</f>
        <v>3594921144.481842</v>
      </c>
      <c r="U28" s="5">
        <f>IF($B27&lt;=Tabla5[[#This Row],[INVERSIONES FCI]],+Tabla5[[#This Row],[INVERSIONES FCI]]-U27,Tabla5[[#This Row],[INVERSIONES FCI]])</f>
        <v>3594921144.481842</v>
      </c>
      <c r="V28" s="5">
        <f>IF($B27&lt;=Tabla5[[#This Row],[INVERSIONES FCI]],+Tabla5[[#This Row],[INVERSIONES FCI]]-V27,Tabla5[[#This Row],[INVERSIONES FCI]])</f>
        <v>3594921144.481842</v>
      </c>
      <c r="W28" s="5">
        <f>IF($B27&lt;=Tabla5[[#This Row],[INVERSIONES FCI]],+Tabla5[[#This Row],[INVERSIONES FCI]]-W27,Tabla5[[#This Row],[INVERSIONES FCI]])</f>
        <v>3594921144.481842</v>
      </c>
      <c r="X28" s="5">
        <f>IF($B27&lt;=Tabla5[[#This Row],[INVERSIONES FCI]],+Tabla5[[#This Row],[INVERSIONES FCI]]-X27,Tabla5[[#This Row],[INVERSIONES FCI]])</f>
        <v>3594921144.481842</v>
      </c>
      <c r="Y28" s="5">
        <f>IF($B27&lt;=Tabla5[[#This Row],[INVERSIONES FCI]],+Tabla5[[#This Row],[INVERSIONES FCI]]-Y27,Tabla5[[#This Row],[INVERSIONES FCI]])</f>
        <v>3594921144.481842</v>
      </c>
      <c r="Z28" s="5">
        <f>IF($B27&lt;=Tabla5[[#This Row],[INVERSIONES FCI]],+Tabla5[[#This Row],[INVERSIONES FCI]]-Z27,Tabla5[[#This Row],[INVERSIONES FCI]])</f>
        <v>3594921144.481842</v>
      </c>
      <c r="AA28" s="5">
        <f>IF($B27&lt;=Tabla5[[#This Row],[INVERSIONES FCI]],+Tabla5[[#This Row],[INVERSIONES FCI]]-AA27,Tabla5[[#This Row],[INVERSIONES FCI]])</f>
        <v>3594921144.481842</v>
      </c>
      <c r="AB28" s="5">
        <f>IF($B27&lt;=Tabla5[[#This Row],[INVERSIONES FCI]],+Tabla5[[#This Row],[INVERSIONES FCI]]-AB27,Tabla5[[#This Row],[INVERSIONES FCI]])</f>
        <v>3594921144.481842</v>
      </c>
      <c r="AC28" s="5" cm="1">
        <f t="array" ref="AC28">IF(Tabla5[[#This Row],[FCI]]=0,0,_xlfn.XLOOKUP(TRUE,$B28:AB28&gt;0,$B28:AB28,"",0,-1))</f>
        <v>3594921144.481842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</row>
    <row r="29" spans="1:121" ht="14.4">
      <c r="A29" s="12" t="s">
        <v>28</v>
      </c>
      <c r="B29" s="5">
        <f>HLOOKUP($A29,ESCENARIO[#All],7,FALSE)</f>
        <v>1840000000</v>
      </c>
      <c r="C29" s="5">
        <f>IF($B28&lt;=Tabla5[[#This Row],[INVERSIONES FCI]],+Tabla5[[#This Row],[INVERSIONES FCI]]-C28,Tabla5[[#This Row],[INVERSIONES FCI]])</f>
        <v>1840000000</v>
      </c>
      <c r="D29" s="5">
        <f>IF($B28&lt;=Tabla5[[#This Row],[INVERSIONES FCI]],+Tabla5[[#This Row],[INVERSIONES FCI]]-D28,Tabla5[[#This Row],[INVERSIONES FCI]])</f>
        <v>1840000000</v>
      </c>
      <c r="E29" s="5">
        <f>IF($B28&lt;=Tabla5[[#This Row],[INVERSIONES FCI]],+Tabla5[[#This Row],[INVERSIONES FCI]]-E28,Tabla5[[#This Row],[INVERSIONES FCI]])</f>
        <v>1840000000</v>
      </c>
      <c r="F29" s="5">
        <f>IF($B28&lt;=Tabla5[[#This Row],[INVERSIONES FCI]],+Tabla5[[#This Row],[INVERSIONES FCI]]-F28,Tabla5[[#This Row],[INVERSIONES FCI]])</f>
        <v>1840000000</v>
      </c>
      <c r="G29" s="5">
        <f>IF($B28&lt;=Tabla5[[#This Row],[INVERSIONES FCI]],+Tabla5[[#This Row],[INVERSIONES FCI]]-G28,Tabla5[[#This Row],[INVERSIONES FCI]])</f>
        <v>1840000000</v>
      </c>
      <c r="H29" s="5">
        <f>IF($B28&lt;=Tabla5[[#This Row],[INVERSIONES FCI]],+Tabla5[[#This Row],[INVERSIONES FCI]]-H28,Tabla5[[#This Row],[INVERSIONES FCI]])</f>
        <v>1840000000</v>
      </c>
      <c r="I29" s="5">
        <f>IF($B28&lt;=Tabla5[[#This Row],[INVERSIONES FCI]],+Tabla5[[#This Row],[INVERSIONES FCI]]-I28,Tabla5[[#This Row],[INVERSIONES FCI]])</f>
        <v>1840000000</v>
      </c>
      <c r="J29" s="5">
        <f>IF($B28&lt;=Tabla5[[#This Row],[INVERSIONES FCI]],+Tabla5[[#This Row],[INVERSIONES FCI]]-J28,Tabla5[[#This Row],[INVERSIONES FCI]])</f>
        <v>1840000000</v>
      </c>
      <c r="K29" s="5">
        <f>IF($B28&lt;=Tabla5[[#This Row],[INVERSIONES FCI]],+Tabla5[[#This Row],[INVERSIONES FCI]]-K28,Tabla5[[#This Row],[INVERSIONES FCI]])</f>
        <v>1840000000</v>
      </c>
      <c r="L29" s="5">
        <f>IF($B28&lt;=Tabla5[[#This Row],[INVERSIONES FCI]],+Tabla5[[#This Row],[INVERSIONES FCI]]-L28,Tabla5[[#This Row],[INVERSIONES FCI]])</f>
        <v>1840000000</v>
      </c>
      <c r="M29" s="5">
        <f>IF($B28&lt;=Tabla5[[#This Row],[INVERSIONES FCI]],+Tabla5[[#This Row],[INVERSIONES FCI]]-M28,Tabla5[[#This Row],[INVERSIONES FCI]])</f>
        <v>1840000000</v>
      </c>
      <c r="N29" s="5">
        <f>IF($B28&lt;=Tabla5[[#This Row],[INVERSIONES FCI]],+Tabla5[[#This Row],[INVERSIONES FCI]]-N28,Tabla5[[#This Row],[INVERSIONES FCI]])</f>
        <v>1840000000</v>
      </c>
      <c r="O29" s="5">
        <f>IF($B28&lt;=Tabla5[[#This Row],[INVERSIONES FCI]],+Tabla5[[#This Row],[INVERSIONES FCI]]-O28,Tabla5[[#This Row],[INVERSIONES FCI]])</f>
        <v>1840000000</v>
      </c>
      <c r="P29" s="5">
        <f>IF($B28&lt;=Tabla5[[#This Row],[INVERSIONES FCI]],+Tabla5[[#This Row],[INVERSIONES FCI]]-P28,Tabla5[[#This Row],[INVERSIONES FCI]])</f>
        <v>1840000000</v>
      </c>
      <c r="Q29" s="5">
        <f>IF($B28&lt;=Tabla5[[#This Row],[INVERSIONES FCI]],+Tabla5[[#This Row],[INVERSIONES FCI]]-Q28,Tabla5[[#This Row],[INVERSIONES FCI]])</f>
        <v>1840000000</v>
      </c>
      <c r="R29" s="5">
        <f>IF($B28&lt;=Tabla5[[#This Row],[INVERSIONES FCI]],+Tabla5[[#This Row],[INVERSIONES FCI]]-R28,Tabla5[[#This Row],[INVERSIONES FCI]])</f>
        <v>1840000000</v>
      </c>
      <c r="S29" s="5">
        <f>IF($B28&lt;=Tabla5[[#This Row],[INVERSIONES FCI]],+Tabla5[[#This Row],[INVERSIONES FCI]]-S28,Tabla5[[#This Row],[INVERSIONES FCI]])</f>
        <v>1840000000</v>
      </c>
      <c r="T29" s="5">
        <f>IF($B28&lt;=Tabla5[[#This Row],[INVERSIONES FCI]],+Tabla5[[#This Row],[INVERSIONES FCI]]-T28,Tabla5[[#This Row],[INVERSIONES FCI]])</f>
        <v>1840000000</v>
      </c>
      <c r="U29" s="5">
        <f>IF($B28&lt;=Tabla5[[#This Row],[INVERSIONES FCI]],+Tabla5[[#This Row],[INVERSIONES FCI]]-U28,Tabla5[[#This Row],[INVERSIONES FCI]])</f>
        <v>1840000000</v>
      </c>
      <c r="V29" s="5">
        <f>IF($B28&lt;=Tabla5[[#This Row],[INVERSIONES FCI]],+Tabla5[[#This Row],[INVERSIONES FCI]]-V28,Tabla5[[#This Row],[INVERSIONES FCI]])</f>
        <v>1840000000</v>
      </c>
      <c r="W29" s="5">
        <f>IF($B28&lt;=Tabla5[[#This Row],[INVERSIONES FCI]],+Tabla5[[#This Row],[INVERSIONES FCI]]-W28,Tabla5[[#This Row],[INVERSIONES FCI]])</f>
        <v>1840000000</v>
      </c>
      <c r="X29" s="5">
        <f>IF($B28&lt;=Tabla5[[#This Row],[INVERSIONES FCI]],+Tabla5[[#This Row],[INVERSIONES FCI]]-X28,Tabla5[[#This Row],[INVERSIONES FCI]])</f>
        <v>1840000000</v>
      </c>
      <c r="Y29" s="5">
        <f>IF($B28&lt;=Tabla5[[#This Row],[INVERSIONES FCI]],+Tabla5[[#This Row],[INVERSIONES FCI]]-Y28,Tabla5[[#This Row],[INVERSIONES FCI]])</f>
        <v>1840000000</v>
      </c>
      <c r="Z29" s="5">
        <f>IF($B28&lt;=Tabla5[[#This Row],[INVERSIONES FCI]],+Tabla5[[#This Row],[INVERSIONES FCI]]-Z28,Tabla5[[#This Row],[INVERSIONES FCI]])</f>
        <v>1840000000</v>
      </c>
      <c r="AA29" s="5">
        <f>IF($B28&lt;=Tabla5[[#This Row],[INVERSIONES FCI]],+Tabla5[[#This Row],[INVERSIONES FCI]]-AA28,Tabla5[[#This Row],[INVERSIONES FCI]])</f>
        <v>1840000000</v>
      </c>
      <c r="AB29" s="5">
        <f>IF($B28&lt;=Tabla5[[#This Row],[INVERSIONES FCI]],+Tabla5[[#This Row],[INVERSIONES FCI]]-AB28,Tabla5[[#This Row],[INVERSIONES FCI]])</f>
        <v>1840000000</v>
      </c>
      <c r="AC29" s="5">
        <f>IF($B28&lt;=Tabla5[[#This Row],[INVERSIONES FCI]],+Tabla5[[#This Row],[INVERSIONES FCI]]-AC28,Tabla5[[#This Row],[INVERSIONES FCI]])</f>
        <v>1840000000</v>
      </c>
      <c r="AD29" s="5" cm="1">
        <f t="array" ref="AD29">IF(Tabla5[[#This Row],[FCI]]=0,0,_xlfn.XLOOKUP(TRUE,$B29:AC29&gt;0,$B29:AC29,"",0,-1))</f>
        <v>1840000000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</row>
    <row r="30" spans="1:121" ht="14.4">
      <c r="A30" s="12" t="s">
        <v>29</v>
      </c>
      <c r="B30" s="5">
        <f>HLOOKUP($A30,ESCENARIO[#All],7,FALSE)</f>
        <v>2378000000</v>
      </c>
      <c r="C30" s="5">
        <f>IF($B29&lt;=Tabla5[[#This Row],[INVERSIONES FCI]],+Tabla5[[#This Row],[INVERSIONES FCI]]-C29,Tabla5[[#This Row],[INVERSIONES FCI]])</f>
        <v>538000000</v>
      </c>
      <c r="D30" s="5">
        <f>IF($B29&lt;=Tabla5[[#This Row],[INVERSIONES FCI]],+Tabla5[[#This Row],[INVERSIONES FCI]]-D29,Tabla5[[#This Row],[INVERSIONES FCI]])</f>
        <v>538000000</v>
      </c>
      <c r="E30" s="5">
        <f>IF($B29&lt;=Tabla5[[#This Row],[INVERSIONES FCI]],+Tabla5[[#This Row],[INVERSIONES FCI]]-E29,Tabla5[[#This Row],[INVERSIONES FCI]])</f>
        <v>538000000</v>
      </c>
      <c r="F30" s="5">
        <f>IF($B29&lt;=Tabla5[[#This Row],[INVERSIONES FCI]],+Tabla5[[#This Row],[INVERSIONES FCI]]-F29,Tabla5[[#This Row],[INVERSIONES FCI]])</f>
        <v>538000000</v>
      </c>
      <c r="G30" s="5">
        <f>IF($B29&lt;=Tabla5[[#This Row],[INVERSIONES FCI]],+Tabla5[[#This Row],[INVERSIONES FCI]]-G29,Tabla5[[#This Row],[INVERSIONES FCI]])</f>
        <v>538000000</v>
      </c>
      <c r="H30" s="5">
        <f>IF($B29&lt;=Tabla5[[#This Row],[INVERSIONES FCI]],+Tabla5[[#This Row],[INVERSIONES FCI]]-H29,Tabla5[[#This Row],[INVERSIONES FCI]])</f>
        <v>538000000</v>
      </c>
      <c r="I30" s="5">
        <f>IF($B29&lt;=Tabla5[[#This Row],[INVERSIONES FCI]],+Tabla5[[#This Row],[INVERSIONES FCI]]-I29,Tabla5[[#This Row],[INVERSIONES FCI]])</f>
        <v>538000000</v>
      </c>
      <c r="J30" s="5">
        <f>IF($B29&lt;=Tabla5[[#This Row],[INVERSIONES FCI]],+Tabla5[[#This Row],[INVERSIONES FCI]]-J29,Tabla5[[#This Row],[INVERSIONES FCI]])</f>
        <v>538000000</v>
      </c>
      <c r="K30" s="5">
        <f>IF($B29&lt;=Tabla5[[#This Row],[INVERSIONES FCI]],+Tabla5[[#This Row],[INVERSIONES FCI]]-K29,Tabla5[[#This Row],[INVERSIONES FCI]])</f>
        <v>538000000</v>
      </c>
      <c r="L30" s="5">
        <f>IF($B29&lt;=Tabla5[[#This Row],[INVERSIONES FCI]],+Tabla5[[#This Row],[INVERSIONES FCI]]-L29,Tabla5[[#This Row],[INVERSIONES FCI]])</f>
        <v>538000000</v>
      </c>
      <c r="M30" s="5">
        <f>IF($B29&lt;=Tabla5[[#This Row],[INVERSIONES FCI]],+Tabla5[[#This Row],[INVERSIONES FCI]]-M29,Tabla5[[#This Row],[INVERSIONES FCI]])</f>
        <v>538000000</v>
      </c>
      <c r="N30" s="5">
        <f>IF($B29&lt;=Tabla5[[#This Row],[INVERSIONES FCI]],+Tabla5[[#This Row],[INVERSIONES FCI]]-N29,Tabla5[[#This Row],[INVERSIONES FCI]])</f>
        <v>538000000</v>
      </c>
      <c r="O30" s="5">
        <f>IF($B29&lt;=Tabla5[[#This Row],[INVERSIONES FCI]],+Tabla5[[#This Row],[INVERSIONES FCI]]-O29,Tabla5[[#This Row],[INVERSIONES FCI]])</f>
        <v>538000000</v>
      </c>
      <c r="P30" s="5">
        <f>IF($B29&lt;=Tabla5[[#This Row],[INVERSIONES FCI]],+Tabla5[[#This Row],[INVERSIONES FCI]]-P29,Tabla5[[#This Row],[INVERSIONES FCI]])</f>
        <v>538000000</v>
      </c>
      <c r="Q30" s="5">
        <f>IF($B29&lt;=Tabla5[[#This Row],[INVERSIONES FCI]],+Tabla5[[#This Row],[INVERSIONES FCI]]-Q29,Tabla5[[#This Row],[INVERSIONES FCI]])</f>
        <v>538000000</v>
      </c>
      <c r="R30" s="5">
        <f>IF($B29&lt;=Tabla5[[#This Row],[INVERSIONES FCI]],+Tabla5[[#This Row],[INVERSIONES FCI]]-R29,Tabla5[[#This Row],[INVERSIONES FCI]])</f>
        <v>538000000</v>
      </c>
      <c r="S30" s="5">
        <f>IF($B29&lt;=Tabla5[[#This Row],[INVERSIONES FCI]],+Tabla5[[#This Row],[INVERSIONES FCI]]-S29,Tabla5[[#This Row],[INVERSIONES FCI]])</f>
        <v>538000000</v>
      </c>
      <c r="T30" s="5">
        <f>IF($B29&lt;=Tabla5[[#This Row],[INVERSIONES FCI]],+Tabla5[[#This Row],[INVERSIONES FCI]]-T29,Tabla5[[#This Row],[INVERSIONES FCI]])</f>
        <v>538000000</v>
      </c>
      <c r="U30" s="5">
        <f>IF($B29&lt;=Tabla5[[#This Row],[INVERSIONES FCI]],+Tabla5[[#This Row],[INVERSIONES FCI]]-U29,Tabla5[[#This Row],[INVERSIONES FCI]])</f>
        <v>538000000</v>
      </c>
      <c r="V30" s="5">
        <f>IF($B29&lt;=Tabla5[[#This Row],[INVERSIONES FCI]],+Tabla5[[#This Row],[INVERSIONES FCI]]-V29,Tabla5[[#This Row],[INVERSIONES FCI]])</f>
        <v>538000000</v>
      </c>
      <c r="W30" s="5">
        <f>IF($B29&lt;=Tabla5[[#This Row],[INVERSIONES FCI]],+Tabla5[[#This Row],[INVERSIONES FCI]]-W29,Tabla5[[#This Row],[INVERSIONES FCI]])</f>
        <v>538000000</v>
      </c>
      <c r="X30" s="5">
        <f>IF($B29&lt;=Tabla5[[#This Row],[INVERSIONES FCI]],+Tabla5[[#This Row],[INVERSIONES FCI]]-X29,Tabla5[[#This Row],[INVERSIONES FCI]])</f>
        <v>538000000</v>
      </c>
      <c r="Y30" s="5">
        <f>IF($B29&lt;=Tabla5[[#This Row],[INVERSIONES FCI]],+Tabla5[[#This Row],[INVERSIONES FCI]]-Y29,Tabla5[[#This Row],[INVERSIONES FCI]])</f>
        <v>538000000</v>
      </c>
      <c r="Z30" s="5">
        <f>IF($B29&lt;=Tabla5[[#This Row],[INVERSIONES FCI]],+Tabla5[[#This Row],[INVERSIONES FCI]]-Z29,Tabla5[[#This Row],[INVERSIONES FCI]])</f>
        <v>538000000</v>
      </c>
      <c r="AA30" s="5">
        <f>IF($B29&lt;=Tabla5[[#This Row],[INVERSIONES FCI]],+Tabla5[[#This Row],[INVERSIONES FCI]]-AA29,Tabla5[[#This Row],[INVERSIONES FCI]])</f>
        <v>538000000</v>
      </c>
      <c r="AB30" s="5">
        <f>IF($B29&lt;=Tabla5[[#This Row],[INVERSIONES FCI]],+Tabla5[[#This Row],[INVERSIONES FCI]]-AB29,Tabla5[[#This Row],[INVERSIONES FCI]])</f>
        <v>538000000</v>
      </c>
      <c r="AC30" s="5">
        <f>IF($B29&lt;=Tabla5[[#This Row],[INVERSIONES FCI]],+Tabla5[[#This Row],[INVERSIONES FCI]]-AC29,Tabla5[[#This Row],[INVERSIONES FCI]])</f>
        <v>538000000</v>
      </c>
      <c r="AD30" s="5">
        <f>IF($B29&lt;=Tabla5[[#This Row],[INVERSIONES FCI]],+Tabla5[[#This Row],[INVERSIONES FCI]]-AD29,Tabla5[[#This Row],[INVERSIONES FCI]])</f>
        <v>538000000</v>
      </c>
      <c r="AE30" s="5" cm="1">
        <f t="array" ref="AE30">IF(Tabla5[[#This Row],[FCI]]=0,0,_xlfn.XLOOKUP(TRUE,$B30:AD30&gt;0,$B30:AD30,"",0,-1))</f>
        <v>538000000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</row>
    <row r="31" spans="1:121" ht="14.4">
      <c r="A31" s="12" t="s">
        <v>30</v>
      </c>
      <c r="B31" s="5">
        <f>HLOOKUP($A31,ESCENARIO[#All],7,FALSE)</f>
        <v>2378000000</v>
      </c>
      <c r="C31" s="5">
        <f>IF($B30&lt;=Tabla5[[#This Row],[INVERSIONES FCI]],+Tabla5[[#This Row],[INVERSIONES FCI]]-C30,Tabla5[[#This Row],[INVERSIONES FCI]])</f>
        <v>1840000000</v>
      </c>
      <c r="D31" s="5">
        <f>IF($B30&lt;=Tabla5[[#This Row],[INVERSIONES FCI]],+Tabla5[[#This Row],[INVERSIONES FCI]]-D30,Tabla5[[#This Row],[INVERSIONES FCI]])</f>
        <v>1840000000</v>
      </c>
      <c r="E31" s="5">
        <f>IF($B30&lt;=Tabla5[[#This Row],[INVERSIONES FCI]],+Tabla5[[#This Row],[INVERSIONES FCI]]-E30,Tabla5[[#This Row],[INVERSIONES FCI]])</f>
        <v>1840000000</v>
      </c>
      <c r="F31" s="5">
        <f>IF($B30&lt;=Tabla5[[#This Row],[INVERSIONES FCI]],+Tabla5[[#This Row],[INVERSIONES FCI]]-F30,Tabla5[[#This Row],[INVERSIONES FCI]])</f>
        <v>1840000000</v>
      </c>
      <c r="G31" s="5">
        <f>IF($B30&lt;=Tabla5[[#This Row],[INVERSIONES FCI]],+Tabla5[[#This Row],[INVERSIONES FCI]]-G30,Tabla5[[#This Row],[INVERSIONES FCI]])</f>
        <v>1840000000</v>
      </c>
      <c r="H31" s="5">
        <f>IF($B30&lt;=Tabla5[[#This Row],[INVERSIONES FCI]],+Tabla5[[#This Row],[INVERSIONES FCI]]-H30,Tabla5[[#This Row],[INVERSIONES FCI]])</f>
        <v>1840000000</v>
      </c>
      <c r="I31" s="5">
        <f>IF($B30&lt;=Tabla5[[#This Row],[INVERSIONES FCI]],+Tabla5[[#This Row],[INVERSIONES FCI]]-I30,Tabla5[[#This Row],[INVERSIONES FCI]])</f>
        <v>1840000000</v>
      </c>
      <c r="J31" s="5">
        <f>IF($B30&lt;=Tabla5[[#This Row],[INVERSIONES FCI]],+Tabla5[[#This Row],[INVERSIONES FCI]]-J30,Tabla5[[#This Row],[INVERSIONES FCI]])</f>
        <v>1840000000</v>
      </c>
      <c r="K31" s="5">
        <f>IF($B30&lt;=Tabla5[[#This Row],[INVERSIONES FCI]],+Tabla5[[#This Row],[INVERSIONES FCI]]-K30,Tabla5[[#This Row],[INVERSIONES FCI]])</f>
        <v>1840000000</v>
      </c>
      <c r="L31" s="5">
        <f>IF($B30&lt;=Tabla5[[#This Row],[INVERSIONES FCI]],+Tabla5[[#This Row],[INVERSIONES FCI]]-L30,Tabla5[[#This Row],[INVERSIONES FCI]])</f>
        <v>1840000000</v>
      </c>
      <c r="M31" s="5">
        <f>IF($B30&lt;=Tabla5[[#This Row],[INVERSIONES FCI]],+Tabla5[[#This Row],[INVERSIONES FCI]]-M30,Tabla5[[#This Row],[INVERSIONES FCI]])</f>
        <v>1840000000</v>
      </c>
      <c r="N31" s="5">
        <f>IF($B30&lt;=Tabla5[[#This Row],[INVERSIONES FCI]],+Tabla5[[#This Row],[INVERSIONES FCI]]-N30,Tabla5[[#This Row],[INVERSIONES FCI]])</f>
        <v>1840000000</v>
      </c>
      <c r="O31" s="5">
        <f>IF($B30&lt;=Tabla5[[#This Row],[INVERSIONES FCI]],+Tabla5[[#This Row],[INVERSIONES FCI]]-O30,Tabla5[[#This Row],[INVERSIONES FCI]])</f>
        <v>1840000000</v>
      </c>
      <c r="P31" s="5">
        <f>IF($B30&lt;=Tabla5[[#This Row],[INVERSIONES FCI]],+Tabla5[[#This Row],[INVERSIONES FCI]]-P30,Tabla5[[#This Row],[INVERSIONES FCI]])</f>
        <v>1840000000</v>
      </c>
      <c r="Q31" s="5">
        <f>IF($B30&lt;=Tabla5[[#This Row],[INVERSIONES FCI]],+Tabla5[[#This Row],[INVERSIONES FCI]]-Q30,Tabla5[[#This Row],[INVERSIONES FCI]])</f>
        <v>1840000000</v>
      </c>
      <c r="R31" s="5">
        <f>IF($B30&lt;=Tabla5[[#This Row],[INVERSIONES FCI]],+Tabla5[[#This Row],[INVERSIONES FCI]]-R30,Tabla5[[#This Row],[INVERSIONES FCI]])</f>
        <v>1840000000</v>
      </c>
      <c r="S31" s="5">
        <f>IF($B30&lt;=Tabla5[[#This Row],[INVERSIONES FCI]],+Tabla5[[#This Row],[INVERSIONES FCI]]-S30,Tabla5[[#This Row],[INVERSIONES FCI]])</f>
        <v>1840000000</v>
      </c>
      <c r="T31" s="5">
        <f>IF($B30&lt;=Tabla5[[#This Row],[INVERSIONES FCI]],+Tabla5[[#This Row],[INVERSIONES FCI]]-T30,Tabla5[[#This Row],[INVERSIONES FCI]])</f>
        <v>1840000000</v>
      </c>
      <c r="U31" s="5">
        <f>IF($B30&lt;=Tabla5[[#This Row],[INVERSIONES FCI]],+Tabla5[[#This Row],[INVERSIONES FCI]]-U30,Tabla5[[#This Row],[INVERSIONES FCI]])</f>
        <v>1840000000</v>
      </c>
      <c r="V31" s="5">
        <f>IF($B30&lt;=Tabla5[[#This Row],[INVERSIONES FCI]],+Tabla5[[#This Row],[INVERSIONES FCI]]-V30,Tabla5[[#This Row],[INVERSIONES FCI]])</f>
        <v>1840000000</v>
      </c>
      <c r="W31" s="5">
        <f>IF($B30&lt;=Tabla5[[#This Row],[INVERSIONES FCI]],+Tabla5[[#This Row],[INVERSIONES FCI]]-W30,Tabla5[[#This Row],[INVERSIONES FCI]])</f>
        <v>1840000000</v>
      </c>
      <c r="X31" s="5">
        <f>IF($B30&lt;=Tabla5[[#This Row],[INVERSIONES FCI]],+Tabla5[[#This Row],[INVERSIONES FCI]]-X30,Tabla5[[#This Row],[INVERSIONES FCI]])</f>
        <v>1840000000</v>
      </c>
      <c r="Y31" s="5">
        <f>IF($B30&lt;=Tabla5[[#This Row],[INVERSIONES FCI]],+Tabla5[[#This Row],[INVERSIONES FCI]]-Y30,Tabla5[[#This Row],[INVERSIONES FCI]])</f>
        <v>1840000000</v>
      </c>
      <c r="Z31" s="5">
        <f>IF($B30&lt;=Tabla5[[#This Row],[INVERSIONES FCI]],+Tabla5[[#This Row],[INVERSIONES FCI]]-Z30,Tabla5[[#This Row],[INVERSIONES FCI]])</f>
        <v>1840000000</v>
      </c>
      <c r="AA31" s="5">
        <f>IF($B30&lt;=Tabla5[[#This Row],[INVERSIONES FCI]],+Tabla5[[#This Row],[INVERSIONES FCI]]-AA30,Tabla5[[#This Row],[INVERSIONES FCI]])</f>
        <v>1840000000</v>
      </c>
      <c r="AB31" s="5">
        <f>IF($B30&lt;=Tabla5[[#This Row],[INVERSIONES FCI]],+Tabla5[[#This Row],[INVERSIONES FCI]]-AB30,Tabla5[[#This Row],[INVERSIONES FCI]])</f>
        <v>1840000000</v>
      </c>
      <c r="AC31" s="5">
        <f>IF($B30&lt;=Tabla5[[#This Row],[INVERSIONES FCI]],+Tabla5[[#This Row],[INVERSIONES FCI]]-AC30,Tabla5[[#This Row],[INVERSIONES FCI]])</f>
        <v>1840000000</v>
      </c>
      <c r="AD31" s="5">
        <f>IF($B30&lt;=Tabla5[[#This Row],[INVERSIONES FCI]],+Tabla5[[#This Row],[INVERSIONES FCI]]-AD30,Tabla5[[#This Row],[INVERSIONES FCI]])</f>
        <v>1840000000</v>
      </c>
      <c r="AE31" s="5">
        <f>IF($B30&lt;=Tabla5[[#This Row],[INVERSIONES FCI]],+Tabla5[[#This Row],[INVERSIONES FCI]]-AE30,Tabla5[[#This Row],[INVERSIONES FCI]])</f>
        <v>1840000000</v>
      </c>
      <c r="AF31" s="5" cm="1">
        <f t="array" ref="AF31">IF(Tabla5[[#This Row],[FCI]]=0,0,_xlfn.XLOOKUP(TRUE,$B31:AE31&gt;0,$B31:AE31,"",0,-1))</f>
        <v>1840000000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</row>
    <row r="32" spans="1:121" ht="14.4">
      <c r="A32" s="12" t="s">
        <v>31</v>
      </c>
      <c r="B32" s="5">
        <f>HLOOKUP($A32,ESCENARIO[#All],7,FALSE)</f>
        <v>1922932713.352504</v>
      </c>
      <c r="C32" s="5">
        <f>IF($B31&lt;=Tabla5[[#This Row],[INVERSIONES FCI]],+Tabla5[[#This Row],[INVERSIONES FCI]]-C31,Tabla5[[#This Row],[INVERSIONES FCI]])</f>
        <v>1922932713.352504</v>
      </c>
      <c r="D32" s="5">
        <f>IF($B31&lt;=Tabla5[[#This Row],[INVERSIONES FCI]],+Tabla5[[#This Row],[INVERSIONES FCI]]-D31,Tabla5[[#This Row],[INVERSIONES FCI]])</f>
        <v>1922932713.352504</v>
      </c>
      <c r="E32" s="5">
        <f>IF($B31&lt;=Tabla5[[#This Row],[INVERSIONES FCI]],+Tabla5[[#This Row],[INVERSIONES FCI]]-E31,Tabla5[[#This Row],[INVERSIONES FCI]])</f>
        <v>1922932713.352504</v>
      </c>
      <c r="F32" s="5">
        <f>IF($B31&lt;=Tabla5[[#This Row],[INVERSIONES FCI]],+Tabla5[[#This Row],[INVERSIONES FCI]]-F31,Tabla5[[#This Row],[INVERSIONES FCI]])</f>
        <v>1922932713.352504</v>
      </c>
      <c r="G32" s="5">
        <f>IF($B31&lt;=Tabla5[[#This Row],[INVERSIONES FCI]],+Tabla5[[#This Row],[INVERSIONES FCI]]-G31,Tabla5[[#This Row],[INVERSIONES FCI]])</f>
        <v>1922932713.352504</v>
      </c>
      <c r="H32" s="5">
        <f>IF($B31&lt;=Tabla5[[#This Row],[INVERSIONES FCI]],+Tabla5[[#This Row],[INVERSIONES FCI]]-H31,Tabla5[[#This Row],[INVERSIONES FCI]])</f>
        <v>1922932713.352504</v>
      </c>
      <c r="I32" s="5">
        <f>IF($B31&lt;=Tabla5[[#This Row],[INVERSIONES FCI]],+Tabla5[[#This Row],[INVERSIONES FCI]]-I31,Tabla5[[#This Row],[INVERSIONES FCI]])</f>
        <v>1922932713.352504</v>
      </c>
      <c r="J32" s="5">
        <f>IF($B31&lt;=Tabla5[[#This Row],[INVERSIONES FCI]],+Tabla5[[#This Row],[INVERSIONES FCI]]-J31,Tabla5[[#This Row],[INVERSIONES FCI]])</f>
        <v>1922932713.352504</v>
      </c>
      <c r="K32" s="5">
        <f>IF($B31&lt;=Tabla5[[#This Row],[INVERSIONES FCI]],+Tabla5[[#This Row],[INVERSIONES FCI]]-K31,Tabla5[[#This Row],[INVERSIONES FCI]])</f>
        <v>1922932713.352504</v>
      </c>
      <c r="L32" s="5">
        <f>IF($B31&lt;=Tabla5[[#This Row],[INVERSIONES FCI]],+Tabla5[[#This Row],[INVERSIONES FCI]]-L31,Tabla5[[#This Row],[INVERSIONES FCI]])</f>
        <v>1922932713.352504</v>
      </c>
      <c r="M32" s="5">
        <f>IF($B31&lt;=Tabla5[[#This Row],[INVERSIONES FCI]],+Tabla5[[#This Row],[INVERSIONES FCI]]-M31,Tabla5[[#This Row],[INVERSIONES FCI]])</f>
        <v>1922932713.352504</v>
      </c>
      <c r="N32" s="5">
        <f>IF($B31&lt;=Tabla5[[#This Row],[INVERSIONES FCI]],+Tabla5[[#This Row],[INVERSIONES FCI]]-N31,Tabla5[[#This Row],[INVERSIONES FCI]])</f>
        <v>1922932713.352504</v>
      </c>
      <c r="O32" s="5">
        <f>IF($B31&lt;=Tabla5[[#This Row],[INVERSIONES FCI]],+Tabla5[[#This Row],[INVERSIONES FCI]]-O31,Tabla5[[#This Row],[INVERSIONES FCI]])</f>
        <v>1922932713.352504</v>
      </c>
      <c r="P32" s="5">
        <f>IF($B31&lt;=Tabla5[[#This Row],[INVERSIONES FCI]],+Tabla5[[#This Row],[INVERSIONES FCI]]-P31,Tabla5[[#This Row],[INVERSIONES FCI]])</f>
        <v>1922932713.352504</v>
      </c>
      <c r="Q32" s="5">
        <f>IF($B31&lt;=Tabla5[[#This Row],[INVERSIONES FCI]],+Tabla5[[#This Row],[INVERSIONES FCI]]-Q31,Tabla5[[#This Row],[INVERSIONES FCI]])</f>
        <v>1922932713.352504</v>
      </c>
      <c r="R32" s="5">
        <f>IF($B31&lt;=Tabla5[[#This Row],[INVERSIONES FCI]],+Tabla5[[#This Row],[INVERSIONES FCI]]-R31,Tabla5[[#This Row],[INVERSIONES FCI]])</f>
        <v>1922932713.352504</v>
      </c>
      <c r="S32" s="5">
        <f>IF($B31&lt;=Tabla5[[#This Row],[INVERSIONES FCI]],+Tabla5[[#This Row],[INVERSIONES FCI]]-S31,Tabla5[[#This Row],[INVERSIONES FCI]])</f>
        <v>1922932713.352504</v>
      </c>
      <c r="T32" s="5">
        <f>IF($B31&lt;=Tabla5[[#This Row],[INVERSIONES FCI]],+Tabla5[[#This Row],[INVERSIONES FCI]]-T31,Tabla5[[#This Row],[INVERSIONES FCI]])</f>
        <v>1922932713.352504</v>
      </c>
      <c r="U32" s="5">
        <f>IF($B31&lt;=Tabla5[[#This Row],[INVERSIONES FCI]],+Tabla5[[#This Row],[INVERSIONES FCI]]-U31,Tabla5[[#This Row],[INVERSIONES FCI]])</f>
        <v>1922932713.352504</v>
      </c>
      <c r="V32" s="5">
        <f>IF($B31&lt;=Tabla5[[#This Row],[INVERSIONES FCI]],+Tabla5[[#This Row],[INVERSIONES FCI]]-V31,Tabla5[[#This Row],[INVERSIONES FCI]])</f>
        <v>1922932713.352504</v>
      </c>
      <c r="W32" s="5">
        <f>IF($B31&lt;=Tabla5[[#This Row],[INVERSIONES FCI]],+Tabla5[[#This Row],[INVERSIONES FCI]]-W31,Tabla5[[#This Row],[INVERSIONES FCI]])</f>
        <v>1922932713.352504</v>
      </c>
      <c r="X32" s="5">
        <f>IF($B31&lt;=Tabla5[[#This Row],[INVERSIONES FCI]],+Tabla5[[#This Row],[INVERSIONES FCI]]-X31,Tabla5[[#This Row],[INVERSIONES FCI]])</f>
        <v>1922932713.352504</v>
      </c>
      <c r="Y32" s="5">
        <f>IF($B31&lt;=Tabla5[[#This Row],[INVERSIONES FCI]],+Tabla5[[#This Row],[INVERSIONES FCI]]-Y31,Tabla5[[#This Row],[INVERSIONES FCI]])</f>
        <v>1922932713.352504</v>
      </c>
      <c r="Z32" s="5">
        <f>IF($B31&lt;=Tabla5[[#This Row],[INVERSIONES FCI]],+Tabla5[[#This Row],[INVERSIONES FCI]]-Z31,Tabla5[[#This Row],[INVERSIONES FCI]])</f>
        <v>1922932713.352504</v>
      </c>
      <c r="AA32" s="5">
        <f>IF($B31&lt;=Tabla5[[#This Row],[INVERSIONES FCI]],+Tabla5[[#This Row],[INVERSIONES FCI]]-AA31,Tabla5[[#This Row],[INVERSIONES FCI]])</f>
        <v>1922932713.352504</v>
      </c>
      <c r="AB32" s="5">
        <f>IF($B31&lt;=Tabla5[[#This Row],[INVERSIONES FCI]],+Tabla5[[#This Row],[INVERSIONES FCI]]-AB31,Tabla5[[#This Row],[INVERSIONES FCI]])</f>
        <v>1922932713.352504</v>
      </c>
      <c r="AC32" s="5">
        <f>IF($B31&lt;=Tabla5[[#This Row],[INVERSIONES FCI]],+Tabla5[[#This Row],[INVERSIONES FCI]]-AC31,Tabla5[[#This Row],[INVERSIONES FCI]])</f>
        <v>1922932713.352504</v>
      </c>
      <c r="AD32" s="5">
        <f>IF($B31&lt;=Tabla5[[#This Row],[INVERSIONES FCI]],+Tabla5[[#This Row],[INVERSIONES FCI]]-AD31,Tabla5[[#This Row],[INVERSIONES FCI]])</f>
        <v>1922932713.352504</v>
      </c>
      <c r="AE32" s="5">
        <f>IF($B31&lt;=Tabla5[[#This Row],[INVERSIONES FCI]],+Tabla5[[#This Row],[INVERSIONES FCI]]-AE31,Tabla5[[#This Row],[INVERSIONES FCI]])</f>
        <v>1922932713.352504</v>
      </c>
      <c r="AF32" s="5">
        <f>IF($B31&lt;=Tabla5[[#This Row],[INVERSIONES FCI]],+Tabla5[[#This Row],[INVERSIONES FCI]]-AF31,Tabla5[[#This Row],[INVERSIONES FCI]])</f>
        <v>1922932713.352504</v>
      </c>
      <c r="AG32" s="5" cm="1">
        <f t="array" ref="AG32">IF(Tabla5[[#This Row],[FCI]]=0,0,_xlfn.XLOOKUP(TRUE,$B32:AF32&gt;0,$B32:AF32,"",0,-1))</f>
        <v>1922932713.352504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</row>
    <row r="33" spans="1:121" ht="14.4">
      <c r="A33" s="12" t="s">
        <v>32</v>
      </c>
      <c r="B33" s="5">
        <f>HLOOKUP($A33,ESCENARIO[#All],7,FALSE)</f>
        <v>2812890483.1331778</v>
      </c>
      <c r="C33" s="5">
        <f>IF($B32&lt;=Tabla5[[#This Row],[INVERSIONES FCI]],+Tabla5[[#This Row],[INVERSIONES FCI]]-C32,Tabla5[[#This Row],[INVERSIONES FCI]])</f>
        <v>889957769.78067374</v>
      </c>
      <c r="D33" s="5">
        <f>IF($B32&lt;=Tabla5[[#This Row],[INVERSIONES FCI]],+Tabla5[[#This Row],[INVERSIONES FCI]]-D32,Tabla5[[#This Row],[INVERSIONES FCI]])</f>
        <v>889957769.78067374</v>
      </c>
      <c r="E33" s="5">
        <f>IF($B32&lt;=Tabla5[[#This Row],[INVERSIONES FCI]],+Tabla5[[#This Row],[INVERSIONES FCI]]-E32,Tabla5[[#This Row],[INVERSIONES FCI]])</f>
        <v>889957769.78067374</v>
      </c>
      <c r="F33" s="5">
        <f>IF($B32&lt;=Tabla5[[#This Row],[INVERSIONES FCI]],+Tabla5[[#This Row],[INVERSIONES FCI]]-F32,Tabla5[[#This Row],[INVERSIONES FCI]])</f>
        <v>889957769.78067374</v>
      </c>
      <c r="G33" s="5">
        <f>IF($B32&lt;=Tabla5[[#This Row],[INVERSIONES FCI]],+Tabla5[[#This Row],[INVERSIONES FCI]]-G32,Tabla5[[#This Row],[INVERSIONES FCI]])</f>
        <v>889957769.78067374</v>
      </c>
      <c r="H33" s="5">
        <f>IF($B32&lt;=Tabla5[[#This Row],[INVERSIONES FCI]],+Tabla5[[#This Row],[INVERSIONES FCI]]-H32,Tabla5[[#This Row],[INVERSIONES FCI]])</f>
        <v>889957769.78067374</v>
      </c>
      <c r="I33" s="5">
        <f>IF($B32&lt;=Tabla5[[#This Row],[INVERSIONES FCI]],+Tabla5[[#This Row],[INVERSIONES FCI]]-I32,Tabla5[[#This Row],[INVERSIONES FCI]])</f>
        <v>889957769.78067374</v>
      </c>
      <c r="J33" s="5">
        <f>IF($B32&lt;=Tabla5[[#This Row],[INVERSIONES FCI]],+Tabla5[[#This Row],[INVERSIONES FCI]]-J32,Tabla5[[#This Row],[INVERSIONES FCI]])</f>
        <v>889957769.78067374</v>
      </c>
      <c r="K33" s="5">
        <f>IF($B32&lt;=Tabla5[[#This Row],[INVERSIONES FCI]],+Tabla5[[#This Row],[INVERSIONES FCI]]-K32,Tabla5[[#This Row],[INVERSIONES FCI]])</f>
        <v>889957769.78067374</v>
      </c>
      <c r="L33" s="5">
        <f>IF($B32&lt;=Tabla5[[#This Row],[INVERSIONES FCI]],+Tabla5[[#This Row],[INVERSIONES FCI]]-L32,Tabla5[[#This Row],[INVERSIONES FCI]])</f>
        <v>889957769.78067374</v>
      </c>
      <c r="M33" s="5">
        <f>IF($B32&lt;=Tabla5[[#This Row],[INVERSIONES FCI]],+Tabla5[[#This Row],[INVERSIONES FCI]]-M32,Tabla5[[#This Row],[INVERSIONES FCI]])</f>
        <v>889957769.78067374</v>
      </c>
      <c r="N33" s="5">
        <f>IF($B32&lt;=Tabla5[[#This Row],[INVERSIONES FCI]],+Tabla5[[#This Row],[INVERSIONES FCI]]-N32,Tabla5[[#This Row],[INVERSIONES FCI]])</f>
        <v>889957769.78067374</v>
      </c>
      <c r="O33" s="5">
        <f>IF($B32&lt;=Tabla5[[#This Row],[INVERSIONES FCI]],+Tabla5[[#This Row],[INVERSIONES FCI]]-O32,Tabla5[[#This Row],[INVERSIONES FCI]])</f>
        <v>889957769.78067374</v>
      </c>
      <c r="P33" s="5">
        <f>IF($B32&lt;=Tabla5[[#This Row],[INVERSIONES FCI]],+Tabla5[[#This Row],[INVERSIONES FCI]]-P32,Tabla5[[#This Row],[INVERSIONES FCI]])</f>
        <v>889957769.78067374</v>
      </c>
      <c r="Q33" s="5">
        <f>IF($B32&lt;=Tabla5[[#This Row],[INVERSIONES FCI]],+Tabla5[[#This Row],[INVERSIONES FCI]]-Q32,Tabla5[[#This Row],[INVERSIONES FCI]])</f>
        <v>889957769.78067374</v>
      </c>
      <c r="R33" s="5">
        <f>IF($B32&lt;=Tabla5[[#This Row],[INVERSIONES FCI]],+Tabla5[[#This Row],[INVERSIONES FCI]]-R32,Tabla5[[#This Row],[INVERSIONES FCI]])</f>
        <v>889957769.78067374</v>
      </c>
      <c r="S33" s="5">
        <f>IF($B32&lt;=Tabla5[[#This Row],[INVERSIONES FCI]],+Tabla5[[#This Row],[INVERSIONES FCI]]-S32,Tabla5[[#This Row],[INVERSIONES FCI]])</f>
        <v>889957769.78067374</v>
      </c>
      <c r="T33" s="5">
        <f>IF($B32&lt;=Tabla5[[#This Row],[INVERSIONES FCI]],+Tabla5[[#This Row],[INVERSIONES FCI]]-T32,Tabla5[[#This Row],[INVERSIONES FCI]])</f>
        <v>889957769.78067374</v>
      </c>
      <c r="U33" s="5">
        <f>IF($B32&lt;=Tabla5[[#This Row],[INVERSIONES FCI]],+Tabla5[[#This Row],[INVERSIONES FCI]]-U32,Tabla5[[#This Row],[INVERSIONES FCI]])</f>
        <v>889957769.78067374</v>
      </c>
      <c r="V33" s="5">
        <f>IF($B32&lt;=Tabla5[[#This Row],[INVERSIONES FCI]],+Tabla5[[#This Row],[INVERSIONES FCI]]-V32,Tabla5[[#This Row],[INVERSIONES FCI]])</f>
        <v>889957769.78067374</v>
      </c>
      <c r="W33" s="5">
        <f>IF($B32&lt;=Tabla5[[#This Row],[INVERSIONES FCI]],+Tabla5[[#This Row],[INVERSIONES FCI]]-W32,Tabla5[[#This Row],[INVERSIONES FCI]])</f>
        <v>889957769.78067374</v>
      </c>
      <c r="X33" s="5">
        <f>IF($B32&lt;=Tabla5[[#This Row],[INVERSIONES FCI]],+Tabla5[[#This Row],[INVERSIONES FCI]]-X32,Tabla5[[#This Row],[INVERSIONES FCI]])</f>
        <v>889957769.78067374</v>
      </c>
      <c r="Y33" s="5">
        <f>IF($B32&lt;=Tabla5[[#This Row],[INVERSIONES FCI]],+Tabla5[[#This Row],[INVERSIONES FCI]]-Y32,Tabla5[[#This Row],[INVERSIONES FCI]])</f>
        <v>889957769.78067374</v>
      </c>
      <c r="Z33" s="5">
        <f>IF($B32&lt;=Tabla5[[#This Row],[INVERSIONES FCI]],+Tabla5[[#This Row],[INVERSIONES FCI]]-Z32,Tabla5[[#This Row],[INVERSIONES FCI]])</f>
        <v>889957769.78067374</v>
      </c>
      <c r="AA33" s="5">
        <f>IF($B32&lt;=Tabla5[[#This Row],[INVERSIONES FCI]],+Tabla5[[#This Row],[INVERSIONES FCI]]-AA32,Tabla5[[#This Row],[INVERSIONES FCI]])</f>
        <v>889957769.78067374</v>
      </c>
      <c r="AB33" s="5">
        <f>IF($B32&lt;=Tabla5[[#This Row],[INVERSIONES FCI]],+Tabla5[[#This Row],[INVERSIONES FCI]]-AB32,Tabla5[[#This Row],[INVERSIONES FCI]])</f>
        <v>889957769.78067374</v>
      </c>
      <c r="AC33" s="5">
        <f>IF($B32&lt;=Tabla5[[#This Row],[INVERSIONES FCI]],+Tabla5[[#This Row],[INVERSIONES FCI]]-AC32,Tabla5[[#This Row],[INVERSIONES FCI]])</f>
        <v>889957769.78067374</v>
      </c>
      <c r="AD33" s="5">
        <f>IF($B32&lt;=Tabla5[[#This Row],[INVERSIONES FCI]],+Tabla5[[#This Row],[INVERSIONES FCI]]-AD32,Tabla5[[#This Row],[INVERSIONES FCI]])</f>
        <v>889957769.78067374</v>
      </c>
      <c r="AE33" s="5">
        <f>IF($B32&lt;=Tabla5[[#This Row],[INVERSIONES FCI]],+Tabla5[[#This Row],[INVERSIONES FCI]]-AE32,Tabla5[[#This Row],[INVERSIONES FCI]])</f>
        <v>889957769.78067374</v>
      </c>
      <c r="AF33" s="5">
        <f>IF($B32&lt;=Tabla5[[#This Row],[INVERSIONES FCI]],+Tabla5[[#This Row],[INVERSIONES FCI]]-AF32,Tabla5[[#This Row],[INVERSIONES FCI]])</f>
        <v>889957769.78067374</v>
      </c>
      <c r="AG33" s="5">
        <f>IF($B32&lt;=Tabla5[[#This Row],[INVERSIONES FCI]],+Tabla5[[#This Row],[INVERSIONES FCI]]-AG32,Tabla5[[#This Row],[INVERSIONES FCI]])</f>
        <v>889957769.78067374</v>
      </c>
      <c r="AH33" s="5" cm="1">
        <f t="array" ref="AH33">IF(Tabla5[[#This Row],[FCI]]=0,0,_xlfn.XLOOKUP(TRUE,$B33:AG33&gt;0,$B33:AG33,"",0,-1))</f>
        <v>889957769.78067374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</row>
    <row r="34" spans="1:121" ht="14.4">
      <c r="A34" s="12" t="s">
        <v>33</v>
      </c>
      <c r="B34" s="5">
        <f>HLOOKUP($A34,ESCENARIO[#All],7,FALSE)</f>
        <v>3319595231.4204736</v>
      </c>
      <c r="C34" s="5">
        <f>IF($B33&lt;=Tabla5[[#This Row],[INVERSIONES FCI]],+Tabla5[[#This Row],[INVERSIONES FCI]]-C33,Tabla5[[#This Row],[INVERSIONES FCI]])</f>
        <v>2429637461.6398001</v>
      </c>
      <c r="D34" s="5">
        <f>IF($B33&lt;=Tabla5[[#This Row],[INVERSIONES FCI]],+Tabla5[[#This Row],[INVERSIONES FCI]]-D33,Tabla5[[#This Row],[INVERSIONES FCI]])</f>
        <v>2429637461.6398001</v>
      </c>
      <c r="E34" s="5">
        <f>IF($B33&lt;=Tabla5[[#This Row],[INVERSIONES FCI]],+Tabla5[[#This Row],[INVERSIONES FCI]]-E33,Tabla5[[#This Row],[INVERSIONES FCI]])</f>
        <v>2429637461.6398001</v>
      </c>
      <c r="F34" s="5">
        <f>IF($B33&lt;=Tabla5[[#This Row],[INVERSIONES FCI]],+Tabla5[[#This Row],[INVERSIONES FCI]]-F33,Tabla5[[#This Row],[INVERSIONES FCI]])</f>
        <v>2429637461.6398001</v>
      </c>
      <c r="G34" s="5">
        <f>IF($B33&lt;=Tabla5[[#This Row],[INVERSIONES FCI]],+Tabla5[[#This Row],[INVERSIONES FCI]]-G33,Tabla5[[#This Row],[INVERSIONES FCI]])</f>
        <v>2429637461.6398001</v>
      </c>
      <c r="H34" s="5">
        <f>IF($B33&lt;=Tabla5[[#This Row],[INVERSIONES FCI]],+Tabla5[[#This Row],[INVERSIONES FCI]]-H33,Tabla5[[#This Row],[INVERSIONES FCI]])</f>
        <v>2429637461.6398001</v>
      </c>
      <c r="I34" s="5">
        <f>IF($B33&lt;=Tabla5[[#This Row],[INVERSIONES FCI]],+Tabla5[[#This Row],[INVERSIONES FCI]]-I33,Tabla5[[#This Row],[INVERSIONES FCI]])</f>
        <v>2429637461.6398001</v>
      </c>
      <c r="J34" s="5">
        <f>IF($B33&lt;=Tabla5[[#This Row],[INVERSIONES FCI]],+Tabla5[[#This Row],[INVERSIONES FCI]]-J33,Tabla5[[#This Row],[INVERSIONES FCI]])</f>
        <v>2429637461.6398001</v>
      </c>
      <c r="K34" s="5">
        <f>IF($B33&lt;=Tabla5[[#This Row],[INVERSIONES FCI]],+Tabla5[[#This Row],[INVERSIONES FCI]]-K33,Tabla5[[#This Row],[INVERSIONES FCI]])</f>
        <v>2429637461.6398001</v>
      </c>
      <c r="L34" s="5">
        <f>IF($B33&lt;=Tabla5[[#This Row],[INVERSIONES FCI]],+Tabla5[[#This Row],[INVERSIONES FCI]]-L33,Tabla5[[#This Row],[INVERSIONES FCI]])</f>
        <v>2429637461.6398001</v>
      </c>
      <c r="M34" s="5">
        <f>IF($B33&lt;=Tabla5[[#This Row],[INVERSIONES FCI]],+Tabla5[[#This Row],[INVERSIONES FCI]]-M33,Tabla5[[#This Row],[INVERSIONES FCI]])</f>
        <v>2429637461.6398001</v>
      </c>
      <c r="N34" s="5">
        <f>IF($B33&lt;=Tabla5[[#This Row],[INVERSIONES FCI]],+Tabla5[[#This Row],[INVERSIONES FCI]]-N33,Tabla5[[#This Row],[INVERSIONES FCI]])</f>
        <v>2429637461.6398001</v>
      </c>
      <c r="O34" s="5">
        <f>IF($B33&lt;=Tabla5[[#This Row],[INVERSIONES FCI]],+Tabla5[[#This Row],[INVERSIONES FCI]]-O33,Tabla5[[#This Row],[INVERSIONES FCI]])</f>
        <v>2429637461.6398001</v>
      </c>
      <c r="P34" s="5">
        <f>IF($B33&lt;=Tabla5[[#This Row],[INVERSIONES FCI]],+Tabla5[[#This Row],[INVERSIONES FCI]]-P33,Tabla5[[#This Row],[INVERSIONES FCI]])</f>
        <v>2429637461.6398001</v>
      </c>
      <c r="Q34" s="5">
        <f>IF($B33&lt;=Tabla5[[#This Row],[INVERSIONES FCI]],+Tabla5[[#This Row],[INVERSIONES FCI]]-Q33,Tabla5[[#This Row],[INVERSIONES FCI]])</f>
        <v>2429637461.6398001</v>
      </c>
      <c r="R34" s="5">
        <f>IF($B33&lt;=Tabla5[[#This Row],[INVERSIONES FCI]],+Tabla5[[#This Row],[INVERSIONES FCI]]-R33,Tabla5[[#This Row],[INVERSIONES FCI]])</f>
        <v>2429637461.6398001</v>
      </c>
      <c r="S34" s="5">
        <f>IF($B33&lt;=Tabla5[[#This Row],[INVERSIONES FCI]],+Tabla5[[#This Row],[INVERSIONES FCI]]-S33,Tabla5[[#This Row],[INVERSIONES FCI]])</f>
        <v>2429637461.6398001</v>
      </c>
      <c r="T34" s="5">
        <f>IF($B33&lt;=Tabla5[[#This Row],[INVERSIONES FCI]],+Tabla5[[#This Row],[INVERSIONES FCI]]-T33,Tabla5[[#This Row],[INVERSIONES FCI]])</f>
        <v>2429637461.6398001</v>
      </c>
      <c r="U34" s="5">
        <f>IF($B33&lt;=Tabla5[[#This Row],[INVERSIONES FCI]],+Tabla5[[#This Row],[INVERSIONES FCI]]-U33,Tabla5[[#This Row],[INVERSIONES FCI]])</f>
        <v>2429637461.6398001</v>
      </c>
      <c r="V34" s="5">
        <f>IF($B33&lt;=Tabla5[[#This Row],[INVERSIONES FCI]],+Tabla5[[#This Row],[INVERSIONES FCI]]-V33,Tabla5[[#This Row],[INVERSIONES FCI]])</f>
        <v>2429637461.6398001</v>
      </c>
      <c r="W34" s="5">
        <f>IF($B33&lt;=Tabla5[[#This Row],[INVERSIONES FCI]],+Tabla5[[#This Row],[INVERSIONES FCI]]-W33,Tabla5[[#This Row],[INVERSIONES FCI]])</f>
        <v>2429637461.6398001</v>
      </c>
      <c r="X34" s="5">
        <f>IF($B33&lt;=Tabla5[[#This Row],[INVERSIONES FCI]],+Tabla5[[#This Row],[INVERSIONES FCI]]-X33,Tabla5[[#This Row],[INVERSIONES FCI]])</f>
        <v>2429637461.6398001</v>
      </c>
      <c r="Y34" s="5">
        <f>IF($B33&lt;=Tabla5[[#This Row],[INVERSIONES FCI]],+Tabla5[[#This Row],[INVERSIONES FCI]]-Y33,Tabla5[[#This Row],[INVERSIONES FCI]])</f>
        <v>2429637461.6398001</v>
      </c>
      <c r="Z34" s="5">
        <f>IF($B33&lt;=Tabla5[[#This Row],[INVERSIONES FCI]],+Tabla5[[#This Row],[INVERSIONES FCI]]-Z33,Tabla5[[#This Row],[INVERSIONES FCI]])</f>
        <v>2429637461.6398001</v>
      </c>
      <c r="AA34" s="5">
        <f>IF($B33&lt;=Tabla5[[#This Row],[INVERSIONES FCI]],+Tabla5[[#This Row],[INVERSIONES FCI]]-AA33,Tabla5[[#This Row],[INVERSIONES FCI]])</f>
        <v>2429637461.6398001</v>
      </c>
      <c r="AB34" s="5">
        <f>IF($B33&lt;=Tabla5[[#This Row],[INVERSIONES FCI]],+Tabla5[[#This Row],[INVERSIONES FCI]]-AB33,Tabla5[[#This Row],[INVERSIONES FCI]])</f>
        <v>2429637461.6398001</v>
      </c>
      <c r="AC34" s="5">
        <f>IF($B33&lt;=Tabla5[[#This Row],[INVERSIONES FCI]],+Tabla5[[#This Row],[INVERSIONES FCI]]-AC33,Tabla5[[#This Row],[INVERSIONES FCI]])</f>
        <v>2429637461.6398001</v>
      </c>
      <c r="AD34" s="5">
        <f>IF($B33&lt;=Tabla5[[#This Row],[INVERSIONES FCI]],+Tabla5[[#This Row],[INVERSIONES FCI]]-AD33,Tabla5[[#This Row],[INVERSIONES FCI]])</f>
        <v>2429637461.6398001</v>
      </c>
      <c r="AE34" s="5">
        <f>IF($B33&lt;=Tabla5[[#This Row],[INVERSIONES FCI]],+Tabla5[[#This Row],[INVERSIONES FCI]]-AE33,Tabla5[[#This Row],[INVERSIONES FCI]])</f>
        <v>2429637461.6398001</v>
      </c>
      <c r="AF34" s="5">
        <f>IF($B33&lt;=Tabla5[[#This Row],[INVERSIONES FCI]],+Tabla5[[#This Row],[INVERSIONES FCI]]-AF33,Tabla5[[#This Row],[INVERSIONES FCI]])</f>
        <v>2429637461.6398001</v>
      </c>
      <c r="AG34" s="5">
        <f>IF($B33&lt;=Tabla5[[#This Row],[INVERSIONES FCI]],+Tabla5[[#This Row],[INVERSIONES FCI]]-AG33,Tabla5[[#This Row],[INVERSIONES FCI]])</f>
        <v>2429637461.6398001</v>
      </c>
      <c r="AH34" s="5">
        <f>IF($B33&lt;=Tabla5[[#This Row],[INVERSIONES FCI]],+Tabla5[[#This Row],[INVERSIONES FCI]]-AH33,Tabla5[[#This Row],[INVERSIONES FCI]])</f>
        <v>2429637461.6398001</v>
      </c>
      <c r="AI34" s="5" cm="1">
        <f t="array" ref="AI34">IF(Tabla5[[#This Row],[FCI]]=0,0,_xlfn.XLOOKUP(TRUE,$B34:AH34&gt;0,$B34:AH34,"",0,-1))</f>
        <v>2429637461.6398001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</row>
    <row r="35" spans="1:121" ht="14.4">
      <c r="A35" s="12" t="s">
        <v>34</v>
      </c>
      <c r="B35" s="5">
        <f>HLOOKUP($A35,ESCENARIO[#All],7,FALSE)</f>
        <v>3959609031.2164416</v>
      </c>
      <c r="C35" s="5">
        <f>IF($B34&lt;=Tabla5[[#This Row],[INVERSIONES FCI]],+Tabla5[[#This Row],[INVERSIONES FCI]]-C34,Tabla5[[#This Row],[INVERSIONES FCI]])</f>
        <v>1529971569.5766416</v>
      </c>
      <c r="D35" s="5">
        <f>IF($B34&lt;=Tabla5[[#This Row],[INVERSIONES FCI]],+Tabla5[[#This Row],[INVERSIONES FCI]]-D34,Tabla5[[#This Row],[INVERSIONES FCI]])</f>
        <v>1529971569.5766416</v>
      </c>
      <c r="E35" s="5">
        <f>IF($B34&lt;=Tabla5[[#This Row],[INVERSIONES FCI]],+Tabla5[[#This Row],[INVERSIONES FCI]]-E34,Tabla5[[#This Row],[INVERSIONES FCI]])</f>
        <v>1529971569.5766416</v>
      </c>
      <c r="F35" s="5">
        <f>IF($B34&lt;=Tabla5[[#This Row],[INVERSIONES FCI]],+Tabla5[[#This Row],[INVERSIONES FCI]]-F34,Tabla5[[#This Row],[INVERSIONES FCI]])</f>
        <v>1529971569.5766416</v>
      </c>
      <c r="G35" s="5">
        <f>IF($B34&lt;=Tabla5[[#This Row],[INVERSIONES FCI]],+Tabla5[[#This Row],[INVERSIONES FCI]]-G34,Tabla5[[#This Row],[INVERSIONES FCI]])</f>
        <v>1529971569.5766416</v>
      </c>
      <c r="H35" s="5">
        <f>IF($B34&lt;=Tabla5[[#This Row],[INVERSIONES FCI]],+Tabla5[[#This Row],[INVERSIONES FCI]]-H34,Tabla5[[#This Row],[INVERSIONES FCI]])</f>
        <v>1529971569.5766416</v>
      </c>
      <c r="I35" s="5">
        <f>IF($B34&lt;=Tabla5[[#This Row],[INVERSIONES FCI]],+Tabla5[[#This Row],[INVERSIONES FCI]]-I34,Tabla5[[#This Row],[INVERSIONES FCI]])</f>
        <v>1529971569.5766416</v>
      </c>
      <c r="J35" s="5">
        <f>IF($B34&lt;=Tabla5[[#This Row],[INVERSIONES FCI]],+Tabla5[[#This Row],[INVERSIONES FCI]]-J34,Tabla5[[#This Row],[INVERSIONES FCI]])</f>
        <v>1529971569.5766416</v>
      </c>
      <c r="K35" s="5">
        <f>IF($B34&lt;=Tabla5[[#This Row],[INVERSIONES FCI]],+Tabla5[[#This Row],[INVERSIONES FCI]]-K34,Tabla5[[#This Row],[INVERSIONES FCI]])</f>
        <v>1529971569.5766416</v>
      </c>
      <c r="L35" s="5">
        <f>IF($B34&lt;=Tabla5[[#This Row],[INVERSIONES FCI]],+Tabla5[[#This Row],[INVERSIONES FCI]]-L34,Tabla5[[#This Row],[INVERSIONES FCI]])</f>
        <v>1529971569.5766416</v>
      </c>
      <c r="M35" s="5">
        <f>IF($B34&lt;=Tabla5[[#This Row],[INVERSIONES FCI]],+Tabla5[[#This Row],[INVERSIONES FCI]]-M34,Tabla5[[#This Row],[INVERSIONES FCI]])</f>
        <v>1529971569.5766416</v>
      </c>
      <c r="N35" s="5">
        <f>IF($B34&lt;=Tabla5[[#This Row],[INVERSIONES FCI]],+Tabla5[[#This Row],[INVERSIONES FCI]]-N34,Tabla5[[#This Row],[INVERSIONES FCI]])</f>
        <v>1529971569.5766416</v>
      </c>
      <c r="O35" s="5">
        <f>IF($B34&lt;=Tabla5[[#This Row],[INVERSIONES FCI]],+Tabla5[[#This Row],[INVERSIONES FCI]]-O34,Tabla5[[#This Row],[INVERSIONES FCI]])</f>
        <v>1529971569.5766416</v>
      </c>
      <c r="P35" s="5">
        <f>IF($B34&lt;=Tabla5[[#This Row],[INVERSIONES FCI]],+Tabla5[[#This Row],[INVERSIONES FCI]]-P34,Tabla5[[#This Row],[INVERSIONES FCI]])</f>
        <v>1529971569.5766416</v>
      </c>
      <c r="Q35" s="5">
        <f>IF($B34&lt;=Tabla5[[#This Row],[INVERSIONES FCI]],+Tabla5[[#This Row],[INVERSIONES FCI]]-Q34,Tabla5[[#This Row],[INVERSIONES FCI]])</f>
        <v>1529971569.5766416</v>
      </c>
      <c r="R35" s="5">
        <f>IF($B34&lt;=Tabla5[[#This Row],[INVERSIONES FCI]],+Tabla5[[#This Row],[INVERSIONES FCI]]-R34,Tabla5[[#This Row],[INVERSIONES FCI]])</f>
        <v>1529971569.5766416</v>
      </c>
      <c r="S35" s="5">
        <f>IF($B34&lt;=Tabla5[[#This Row],[INVERSIONES FCI]],+Tabla5[[#This Row],[INVERSIONES FCI]]-S34,Tabla5[[#This Row],[INVERSIONES FCI]])</f>
        <v>1529971569.5766416</v>
      </c>
      <c r="T35" s="5">
        <f>IF($B34&lt;=Tabla5[[#This Row],[INVERSIONES FCI]],+Tabla5[[#This Row],[INVERSIONES FCI]]-T34,Tabla5[[#This Row],[INVERSIONES FCI]])</f>
        <v>1529971569.5766416</v>
      </c>
      <c r="U35" s="5">
        <f>IF($B34&lt;=Tabla5[[#This Row],[INVERSIONES FCI]],+Tabla5[[#This Row],[INVERSIONES FCI]]-U34,Tabla5[[#This Row],[INVERSIONES FCI]])</f>
        <v>1529971569.5766416</v>
      </c>
      <c r="V35" s="5">
        <f>IF($B34&lt;=Tabla5[[#This Row],[INVERSIONES FCI]],+Tabla5[[#This Row],[INVERSIONES FCI]]-V34,Tabla5[[#This Row],[INVERSIONES FCI]])</f>
        <v>1529971569.5766416</v>
      </c>
      <c r="W35" s="5">
        <f>IF($B34&lt;=Tabla5[[#This Row],[INVERSIONES FCI]],+Tabla5[[#This Row],[INVERSIONES FCI]]-W34,Tabla5[[#This Row],[INVERSIONES FCI]])</f>
        <v>1529971569.5766416</v>
      </c>
      <c r="X35" s="5">
        <f>IF($B34&lt;=Tabla5[[#This Row],[INVERSIONES FCI]],+Tabla5[[#This Row],[INVERSIONES FCI]]-X34,Tabla5[[#This Row],[INVERSIONES FCI]])</f>
        <v>1529971569.5766416</v>
      </c>
      <c r="Y35" s="5">
        <f>IF($B34&lt;=Tabla5[[#This Row],[INVERSIONES FCI]],+Tabla5[[#This Row],[INVERSIONES FCI]]-Y34,Tabla5[[#This Row],[INVERSIONES FCI]])</f>
        <v>1529971569.5766416</v>
      </c>
      <c r="Z35" s="5">
        <f>IF($B34&lt;=Tabla5[[#This Row],[INVERSIONES FCI]],+Tabla5[[#This Row],[INVERSIONES FCI]]-Z34,Tabla5[[#This Row],[INVERSIONES FCI]])</f>
        <v>1529971569.5766416</v>
      </c>
      <c r="AA35" s="5">
        <f>IF($B34&lt;=Tabla5[[#This Row],[INVERSIONES FCI]],+Tabla5[[#This Row],[INVERSIONES FCI]]-AA34,Tabla5[[#This Row],[INVERSIONES FCI]])</f>
        <v>1529971569.5766416</v>
      </c>
      <c r="AB35" s="5">
        <f>IF($B34&lt;=Tabla5[[#This Row],[INVERSIONES FCI]],+Tabla5[[#This Row],[INVERSIONES FCI]]-AB34,Tabla5[[#This Row],[INVERSIONES FCI]])</f>
        <v>1529971569.5766416</v>
      </c>
      <c r="AC35" s="5">
        <f>IF($B34&lt;=Tabla5[[#This Row],[INVERSIONES FCI]],+Tabla5[[#This Row],[INVERSIONES FCI]]-AC34,Tabla5[[#This Row],[INVERSIONES FCI]])</f>
        <v>1529971569.5766416</v>
      </c>
      <c r="AD35" s="5">
        <f>IF($B34&lt;=Tabla5[[#This Row],[INVERSIONES FCI]],+Tabla5[[#This Row],[INVERSIONES FCI]]-AD34,Tabla5[[#This Row],[INVERSIONES FCI]])</f>
        <v>1529971569.5766416</v>
      </c>
      <c r="AE35" s="5">
        <f>IF($B34&lt;=Tabla5[[#This Row],[INVERSIONES FCI]],+Tabla5[[#This Row],[INVERSIONES FCI]]-AE34,Tabla5[[#This Row],[INVERSIONES FCI]])</f>
        <v>1529971569.5766416</v>
      </c>
      <c r="AF35" s="5">
        <f>IF($B34&lt;=Tabla5[[#This Row],[INVERSIONES FCI]],+Tabla5[[#This Row],[INVERSIONES FCI]]-AF34,Tabla5[[#This Row],[INVERSIONES FCI]])</f>
        <v>1529971569.5766416</v>
      </c>
      <c r="AG35" s="5">
        <f>IF($B34&lt;=Tabla5[[#This Row],[INVERSIONES FCI]],+Tabla5[[#This Row],[INVERSIONES FCI]]-AG34,Tabla5[[#This Row],[INVERSIONES FCI]])</f>
        <v>1529971569.5766416</v>
      </c>
      <c r="AH35" s="5">
        <f>IF($B34&lt;=Tabla5[[#This Row],[INVERSIONES FCI]],+Tabla5[[#This Row],[INVERSIONES FCI]]-AH34,Tabla5[[#This Row],[INVERSIONES FCI]])</f>
        <v>1529971569.5766416</v>
      </c>
      <c r="AI35" s="5">
        <f>IF($B34&lt;=Tabla5[[#This Row],[INVERSIONES FCI]],+Tabla5[[#This Row],[INVERSIONES FCI]]-AI34,Tabla5[[#This Row],[INVERSIONES FCI]])</f>
        <v>1529971569.5766416</v>
      </c>
      <c r="AJ35" s="5" cm="1">
        <f t="array" ref="AJ35">IF(Tabla5[[#This Row],[FCI]]=0,0,_xlfn.XLOOKUP(TRUE,$B35:AI35&gt;0,$B35:AI35,"",0,-1))</f>
        <v>1529971569.5766416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</row>
    <row r="36" spans="1:121" ht="14.4">
      <c r="A36" s="12" t="s">
        <v>35</v>
      </c>
      <c r="B36" s="5">
        <f>HLOOKUP($A36,ESCENARIO[#All],7,FALSE)</f>
        <v>4790810946.3556175</v>
      </c>
      <c r="C36" s="5">
        <f>IF($B35&lt;=Tabla5[[#This Row],[INVERSIONES FCI]],+Tabla5[[#This Row],[INVERSIONES FCI]]-C35,Tabla5[[#This Row],[INVERSIONES FCI]])</f>
        <v>3260839376.778976</v>
      </c>
      <c r="D36" s="5">
        <f>IF($B35&lt;=Tabla5[[#This Row],[INVERSIONES FCI]],+Tabla5[[#This Row],[INVERSIONES FCI]]-D35,Tabla5[[#This Row],[INVERSIONES FCI]])</f>
        <v>3260839376.778976</v>
      </c>
      <c r="E36" s="5">
        <f>IF($B35&lt;=Tabla5[[#This Row],[INVERSIONES FCI]],+Tabla5[[#This Row],[INVERSIONES FCI]]-E35,Tabla5[[#This Row],[INVERSIONES FCI]])</f>
        <v>3260839376.778976</v>
      </c>
      <c r="F36" s="5">
        <f>IF($B35&lt;=Tabla5[[#This Row],[INVERSIONES FCI]],+Tabla5[[#This Row],[INVERSIONES FCI]]-F35,Tabla5[[#This Row],[INVERSIONES FCI]])</f>
        <v>3260839376.778976</v>
      </c>
      <c r="G36" s="5">
        <f>IF($B35&lt;=Tabla5[[#This Row],[INVERSIONES FCI]],+Tabla5[[#This Row],[INVERSIONES FCI]]-G35,Tabla5[[#This Row],[INVERSIONES FCI]])</f>
        <v>3260839376.778976</v>
      </c>
      <c r="H36" s="5">
        <f>IF($B35&lt;=Tabla5[[#This Row],[INVERSIONES FCI]],+Tabla5[[#This Row],[INVERSIONES FCI]]-H35,Tabla5[[#This Row],[INVERSIONES FCI]])</f>
        <v>3260839376.778976</v>
      </c>
      <c r="I36" s="5">
        <f>IF($B35&lt;=Tabla5[[#This Row],[INVERSIONES FCI]],+Tabla5[[#This Row],[INVERSIONES FCI]]-I35,Tabla5[[#This Row],[INVERSIONES FCI]])</f>
        <v>3260839376.778976</v>
      </c>
      <c r="J36" s="5">
        <f>IF($B35&lt;=Tabla5[[#This Row],[INVERSIONES FCI]],+Tabla5[[#This Row],[INVERSIONES FCI]]-J35,Tabla5[[#This Row],[INVERSIONES FCI]])</f>
        <v>3260839376.778976</v>
      </c>
      <c r="K36" s="5">
        <f>IF($B35&lt;=Tabla5[[#This Row],[INVERSIONES FCI]],+Tabla5[[#This Row],[INVERSIONES FCI]]-K35,Tabla5[[#This Row],[INVERSIONES FCI]])</f>
        <v>3260839376.778976</v>
      </c>
      <c r="L36" s="5">
        <f>IF($B35&lt;=Tabla5[[#This Row],[INVERSIONES FCI]],+Tabla5[[#This Row],[INVERSIONES FCI]]-L35,Tabla5[[#This Row],[INVERSIONES FCI]])</f>
        <v>3260839376.778976</v>
      </c>
      <c r="M36" s="5">
        <f>IF($B35&lt;=Tabla5[[#This Row],[INVERSIONES FCI]],+Tabla5[[#This Row],[INVERSIONES FCI]]-M35,Tabla5[[#This Row],[INVERSIONES FCI]])</f>
        <v>3260839376.778976</v>
      </c>
      <c r="N36" s="5">
        <f>IF($B35&lt;=Tabla5[[#This Row],[INVERSIONES FCI]],+Tabla5[[#This Row],[INVERSIONES FCI]]-N35,Tabla5[[#This Row],[INVERSIONES FCI]])</f>
        <v>3260839376.778976</v>
      </c>
      <c r="O36" s="5">
        <f>IF($B35&lt;=Tabla5[[#This Row],[INVERSIONES FCI]],+Tabla5[[#This Row],[INVERSIONES FCI]]-O35,Tabla5[[#This Row],[INVERSIONES FCI]])</f>
        <v>3260839376.778976</v>
      </c>
      <c r="P36" s="5">
        <f>IF($B35&lt;=Tabla5[[#This Row],[INVERSIONES FCI]],+Tabla5[[#This Row],[INVERSIONES FCI]]-P35,Tabla5[[#This Row],[INVERSIONES FCI]])</f>
        <v>3260839376.778976</v>
      </c>
      <c r="Q36" s="5">
        <f>IF($B35&lt;=Tabla5[[#This Row],[INVERSIONES FCI]],+Tabla5[[#This Row],[INVERSIONES FCI]]-Q35,Tabla5[[#This Row],[INVERSIONES FCI]])</f>
        <v>3260839376.778976</v>
      </c>
      <c r="R36" s="5">
        <f>IF($B35&lt;=Tabla5[[#This Row],[INVERSIONES FCI]],+Tabla5[[#This Row],[INVERSIONES FCI]]-R35,Tabla5[[#This Row],[INVERSIONES FCI]])</f>
        <v>3260839376.778976</v>
      </c>
      <c r="S36" s="5">
        <f>IF($B35&lt;=Tabla5[[#This Row],[INVERSIONES FCI]],+Tabla5[[#This Row],[INVERSIONES FCI]]-S35,Tabla5[[#This Row],[INVERSIONES FCI]])</f>
        <v>3260839376.778976</v>
      </c>
      <c r="T36" s="5">
        <f>IF($B35&lt;=Tabla5[[#This Row],[INVERSIONES FCI]],+Tabla5[[#This Row],[INVERSIONES FCI]]-T35,Tabla5[[#This Row],[INVERSIONES FCI]])</f>
        <v>3260839376.778976</v>
      </c>
      <c r="U36" s="5">
        <f>IF($B35&lt;=Tabla5[[#This Row],[INVERSIONES FCI]],+Tabla5[[#This Row],[INVERSIONES FCI]]-U35,Tabla5[[#This Row],[INVERSIONES FCI]])</f>
        <v>3260839376.778976</v>
      </c>
      <c r="V36" s="5">
        <f>IF($B35&lt;=Tabla5[[#This Row],[INVERSIONES FCI]],+Tabla5[[#This Row],[INVERSIONES FCI]]-V35,Tabla5[[#This Row],[INVERSIONES FCI]])</f>
        <v>3260839376.778976</v>
      </c>
      <c r="W36" s="5">
        <f>IF($B35&lt;=Tabla5[[#This Row],[INVERSIONES FCI]],+Tabla5[[#This Row],[INVERSIONES FCI]]-W35,Tabla5[[#This Row],[INVERSIONES FCI]])</f>
        <v>3260839376.778976</v>
      </c>
      <c r="X36" s="5">
        <f>IF($B35&lt;=Tabla5[[#This Row],[INVERSIONES FCI]],+Tabla5[[#This Row],[INVERSIONES FCI]]-X35,Tabla5[[#This Row],[INVERSIONES FCI]])</f>
        <v>3260839376.778976</v>
      </c>
      <c r="Y36" s="5">
        <f>IF($B35&lt;=Tabla5[[#This Row],[INVERSIONES FCI]],+Tabla5[[#This Row],[INVERSIONES FCI]]-Y35,Tabla5[[#This Row],[INVERSIONES FCI]])</f>
        <v>3260839376.778976</v>
      </c>
      <c r="Z36" s="5">
        <f>IF($B35&lt;=Tabla5[[#This Row],[INVERSIONES FCI]],+Tabla5[[#This Row],[INVERSIONES FCI]]-Z35,Tabla5[[#This Row],[INVERSIONES FCI]])</f>
        <v>3260839376.778976</v>
      </c>
      <c r="AA36" s="5">
        <f>IF($B35&lt;=Tabla5[[#This Row],[INVERSIONES FCI]],+Tabla5[[#This Row],[INVERSIONES FCI]]-AA35,Tabla5[[#This Row],[INVERSIONES FCI]])</f>
        <v>3260839376.778976</v>
      </c>
      <c r="AB36" s="5">
        <f>IF($B35&lt;=Tabla5[[#This Row],[INVERSIONES FCI]],+Tabla5[[#This Row],[INVERSIONES FCI]]-AB35,Tabla5[[#This Row],[INVERSIONES FCI]])</f>
        <v>3260839376.778976</v>
      </c>
      <c r="AC36" s="5">
        <f>IF($B35&lt;=Tabla5[[#This Row],[INVERSIONES FCI]],+Tabla5[[#This Row],[INVERSIONES FCI]]-AC35,Tabla5[[#This Row],[INVERSIONES FCI]])</f>
        <v>3260839376.778976</v>
      </c>
      <c r="AD36" s="5">
        <f>IF($B35&lt;=Tabla5[[#This Row],[INVERSIONES FCI]],+Tabla5[[#This Row],[INVERSIONES FCI]]-AD35,Tabla5[[#This Row],[INVERSIONES FCI]])</f>
        <v>3260839376.778976</v>
      </c>
      <c r="AE36" s="5">
        <f>IF($B35&lt;=Tabla5[[#This Row],[INVERSIONES FCI]],+Tabla5[[#This Row],[INVERSIONES FCI]]-AE35,Tabla5[[#This Row],[INVERSIONES FCI]])</f>
        <v>3260839376.778976</v>
      </c>
      <c r="AF36" s="5">
        <f>IF($B35&lt;=Tabla5[[#This Row],[INVERSIONES FCI]],+Tabla5[[#This Row],[INVERSIONES FCI]]-AF35,Tabla5[[#This Row],[INVERSIONES FCI]])</f>
        <v>3260839376.778976</v>
      </c>
      <c r="AG36" s="5">
        <f>IF($B35&lt;=Tabla5[[#This Row],[INVERSIONES FCI]],+Tabla5[[#This Row],[INVERSIONES FCI]]-AG35,Tabla5[[#This Row],[INVERSIONES FCI]])</f>
        <v>3260839376.778976</v>
      </c>
      <c r="AH36" s="5">
        <f>IF($B35&lt;=Tabla5[[#This Row],[INVERSIONES FCI]],+Tabla5[[#This Row],[INVERSIONES FCI]]-AH35,Tabla5[[#This Row],[INVERSIONES FCI]])</f>
        <v>3260839376.778976</v>
      </c>
      <c r="AI36" s="5">
        <f>IF($B35&lt;=Tabla5[[#This Row],[INVERSIONES FCI]],+Tabla5[[#This Row],[INVERSIONES FCI]]-AI35,Tabla5[[#This Row],[INVERSIONES FCI]])</f>
        <v>3260839376.778976</v>
      </c>
      <c r="AJ36" s="5">
        <f>IF($B35&lt;=Tabla5[[#This Row],[INVERSIONES FCI]],+Tabla5[[#This Row],[INVERSIONES FCI]]-AJ35,Tabla5[[#This Row],[INVERSIONES FCI]])</f>
        <v>3260839376.778976</v>
      </c>
      <c r="AK36" s="5" cm="1">
        <f t="array" ref="AK36">IF(Tabla5[[#This Row],[FCI]]=0,0,_xlfn.XLOOKUP(TRUE,$B36:AJ36&gt;0,$B36:AJ36,"",0,-1))</f>
        <v>3260839376.778976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</row>
    <row r="37" spans="1:121" ht="14.4">
      <c r="A37" s="12" t="s">
        <v>36</v>
      </c>
      <c r="B37" s="5">
        <f>HLOOKUP($A37,ESCENARIO[#All],7,FALSE)</f>
        <v>4790810946.3556175</v>
      </c>
      <c r="C37" s="5">
        <f>IF($B36&lt;=Tabla5[[#This Row],[INVERSIONES FCI]],+Tabla5[[#This Row],[INVERSIONES FCI]]-C36,Tabla5[[#This Row],[INVERSIONES FCI]])</f>
        <v>1529971569.5766416</v>
      </c>
      <c r="D37" s="5">
        <f>IF($B36&lt;=Tabla5[[#This Row],[INVERSIONES FCI]],+Tabla5[[#This Row],[INVERSIONES FCI]]-D36,Tabla5[[#This Row],[INVERSIONES FCI]])</f>
        <v>1529971569.5766416</v>
      </c>
      <c r="E37" s="5">
        <f>IF($B36&lt;=Tabla5[[#This Row],[INVERSIONES FCI]],+Tabla5[[#This Row],[INVERSIONES FCI]]-E36,Tabla5[[#This Row],[INVERSIONES FCI]])</f>
        <v>1529971569.5766416</v>
      </c>
      <c r="F37" s="5">
        <f>IF($B36&lt;=Tabla5[[#This Row],[INVERSIONES FCI]],+Tabla5[[#This Row],[INVERSIONES FCI]]-F36,Tabla5[[#This Row],[INVERSIONES FCI]])</f>
        <v>1529971569.5766416</v>
      </c>
      <c r="G37" s="5">
        <f>IF($B36&lt;=Tabla5[[#This Row],[INVERSIONES FCI]],+Tabla5[[#This Row],[INVERSIONES FCI]]-G36,Tabla5[[#This Row],[INVERSIONES FCI]])</f>
        <v>1529971569.5766416</v>
      </c>
      <c r="H37" s="5">
        <f>IF($B36&lt;=Tabla5[[#This Row],[INVERSIONES FCI]],+Tabla5[[#This Row],[INVERSIONES FCI]]-H36,Tabla5[[#This Row],[INVERSIONES FCI]])</f>
        <v>1529971569.5766416</v>
      </c>
      <c r="I37" s="5">
        <f>IF($B36&lt;=Tabla5[[#This Row],[INVERSIONES FCI]],+Tabla5[[#This Row],[INVERSIONES FCI]]-I36,Tabla5[[#This Row],[INVERSIONES FCI]])</f>
        <v>1529971569.5766416</v>
      </c>
      <c r="J37" s="5">
        <f>IF($B36&lt;=Tabla5[[#This Row],[INVERSIONES FCI]],+Tabla5[[#This Row],[INVERSIONES FCI]]-J36,Tabla5[[#This Row],[INVERSIONES FCI]])</f>
        <v>1529971569.5766416</v>
      </c>
      <c r="K37" s="5">
        <f>IF($B36&lt;=Tabla5[[#This Row],[INVERSIONES FCI]],+Tabla5[[#This Row],[INVERSIONES FCI]]-K36,Tabla5[[#This Row],[INVERSIONES FCI]])</f>
        <v>1529971569.5766416</v>
      </c>
      <c r="L37" s="5">
        <f>IF($B36&lt;=Tabla5[[#This Row],[INVERSIONES FCI]],+Tabla5[[#This Row],[INVERSIONES FCI]]-L36,Tabla5[[#This Row],[INVERSIONES FCI]])</f>
        <v>1529971569.5766416</v>
      </c>
      <c r="M37" s="5">
        <f>IF($B36&lt;=Tabla5[[#This Row],[INVERSIONES FCI]],+Tabla5[[#This Row],[INVERSIONES FCI]]-M36,Tabla5[[#This Row],[INVERSIONES FCI]])</f>
        <v>1529971569.5766416</v>
      </c>
      <c r="N37" s="5">
        <f>IF($B36&lt;=Tabla5[[#This Row],[INVERSIONES FCI]],+Tabla5[[#This Row],[INVERSIONES FCI]]-N36,Tabla5[[#This Row],[INVERSIONES FCI]])</f>
        <v>1529971569.5766416</v>
      </c>
      <c r="O37" s="5">
        <f>IF($B36&lt;=Tabla5[[#This Row],[INVERSIONES FCI]],+Tabla5[[#This Row],[INVERSIONES FCI]]-O36,Tabla5[[#This Row],[INVERSIONES FCI]])</f>
        <v>1529971569.5766416</v>
      </c>
      <c r="P37" s="5">
        <f>IF($B36&lt;=Tabla5[[#This Row],[INVERSIONES FCI]],+Tabla5[[#This Row],[INVERSIONES FCI]]-P36,Tabla5[[#This Row],[INVERSIONES FCI]])</f>
        <v>1529971569.5766416</v>
      </c>
      <c r="Q37" s="5">
        <f>IF($B36&lt;=Tabla5[[#This Row],[INVERSIONES FCI]],+Tabla5[[#This Row],[INVERSIONES FCI]]-Q36,Tabla5[[#This Row],[INVERSIONES FCI]])</f>
        <v>1529971569.5766416</v>
      </c>
      <c r="R37" s="5">
        <f>IF($B36&lt;=Tabla5[[#This Row],[INVERSIONES FCI]],+Tabla5[[#This Row],[INVERSIONES FCI]]-R36,Tabla5[[#This Row],[INVERSIONES FCI]])</f>
        <v>1529971569.5766416</v>
      </c>
      <c r="S37" s="5">
        <f>IF($B36&lt;=Tabla5[[#This Row],[INVERSIONES FCI]],+Tabla5[[#This Row],[INVERSIONES FCI]]-S36,Tabla5[[#This Row],[INVERSIONES FCI]])</f>
        <v>1529971569.5766416</v>
      </c>
      <c r="T37" s="5">
        <f>IF($B36&lt;=Tabla5[[#This Row],[INVERSIONES FCI]],+Tabla5[[#This Row],[INVERSIONES FCI]]-T36,Tabla5[[#This Row],[INVERSIONES FCI]])</f>
        <v>1529971569.5766416</v>
      </c>
      <c r="U37" s="5">
        <f>IF($B36&lt;=Tabla5[[#This Row],[INVERSIONES FCI]],+Tabla5[[#This Row],[INVERSIONES FCI]]-U36,Tabla5[[#This Row],[INVERSIONES FCI]])</f>
        <v>1529971569.5766416</v>
      </c>
      <c r="V37" s="5">
        <f>IF($B36&lt;=Tabla5[[#This Row],[INVERSIONES FCI]],+Tabla5[[#This Row],[INVERSIONES FCI]]-V36,Tabla5[[#This Row],[INVERSIONES FCI]])</f>
        <v>1529971569.5766416</v>
      </c>
      <c r="W37" s="5">
        <f>IF($B36&lt;=Tabla5[[#This Row],[INVERSIONES FCI]],+Tabla5[[#This Row],[INVERSIONES FCI]]-W36,Tabla5[[#This Row],[INVERSIONES FCI]])</f>
        <v>1529971569.5766416</v>
      </c>
      <c r="X37" s="5">
        <f>IF($B36&lt;=Tabla5[[#This Row],[INVERSIONES FCI]],+Tabla5[[#This Row],[INVERSIONES FCI]]-X36,Tabla5[[#This Row],[INVERSIONES FCI]])</f>
        <v>1529971569.5766416</v>
      </c>
      <c r="Y37" s="5">
        <f>IF($B36&lt;=Tabla5[[#This Row],[INVERSIONES FCI]],+Tabla5[[#This Row],[INVERSIONES FCI]]-Y36,Tabla5[[#This Row],[INVERSIONES FCI]])</f>
        <v>1529971569.5766416</v>
      </c>
      <c r="Z37" s="5">
        <f>IF($B36&lt;=Tabla5[[#This Row],[INVERSIONES FCI]],+Tabla5[[#This Row],[INVERSIONES FCI]]-Z36,Tabla5[[#This Row],[INVERSIONES FCI]])</f>
        <v>1529971569.5766416</v>
      </c>
      <c r="AA37" s="5">
        <f>IF($B36&lt;=Tabla5[[#This Row],[INVERSIONES FCI]],+Tabla5[[#This Row],[INVERSIONES FCI]]-AA36,Tabla5[[#This Row],[INVERSIONES FCI]])</f>
        <v>1529971569.5766416</v>
      </c>
      <c r="AB37" s="5">
        <f>IF($B36&lt;=Tabla5[[#This Row],[INVERSIONES FCI]],+Tabla5[[#This Row],[INVERSIONES FCI]]-AB36,Tabla5[[#This Row],[INVERSIONES FCI]])</f>
        <v>1529971569.5766416</v>
      </c>
      <c r="AC37" s="5">
        <f>IF($B36&lt;=Tabla5[[#This Row],[INVERSIONES FCI]],+Tabla5[[#This Row],[INVERSIONES FCI]]-AC36,Tabla5[[#This Row],[INVERSIONES FCI]])</f>
        <v>1529971569.5766416</v>
      </c>
      <c r="AD37" s="5">
        <f>IF($B36&lt;=Tabla5[[#This Row],[INVERSIONES FCI]],+Tabla5[[#This Row],[INVERSIONES FCI]]-AD36,Tabla5[[#This Row],[INVERSIONES FCI]])</f>
        <v>1529971569.5766416</v>
      </c>
      <c r="AE37" s="5">
        <f>IF($B36&lt;=Tabla5[[#This Row],[INVERSIONES FCI]],+Tabla5[[#This Row],[INVERSIONES FCI]]-AE36,Tabla5[[#This Row],[INVERSIONES FCI]])</f>
        <v>1529971569.5766416</v>
      </c>
      <c r="AF37" s="5">
        <f>IF($B36&lt;=Tabla5[[#This Row],[INVERSIONES FCI]],+Tabla5[[#This Row],[INVERSIONES FCI]]-AF36,Tabla5[[#This Row],[INVERSIONES FCI]])</f>
        <v>1529971569.5766416</v>
      </c>
      <c r="AG37" s="5">
        <f>IF($B36&lt;=Tabla5[[#This Row],[INVERSIONES FCI]],+Tabla5[[#This Row],[INVERSIONES FCI]]-AG36,Tabla5[[#This Row],[INVERSIONES FCI]])</f>
        <v>1529971569.5766416</v>
      </c>
      <c r="AH37" s="5">
        <f>IF($B36&lt;=Tabla5[[#This Row],[INVERSIONES FCI]],+Tabla5[[#This Row],[INVERSIONES FCI]]-AH36,Tabla5[[#This Row],[INVERSIONES FCI]])</f>
        <v>1529971569.5766416</v>
      </c>
      <c r="AI37" s="5">
        <f>IF($B36&lt;=Tabla5[[#This Row],[INVERSIONES FCI]],+Tabla5[[#This Row],[INVERSIONES FCI]]-AI36,Tabla5[[#This Row],[INVERSIONES FCI]])</f>
        <v>1529971569.5766416</v>
      </c>
      <c r="AJ37" s="5">
        <f>IF($B36&lt;=Tabla5[[#This Row],[INVERSIONES FCI]],+Tabla5[[#This Row],[INVERSIONES FCI]]-AJ36,Tabla5[[#This Row],[INVERSIONES FCI]])</f>
        <v>1529971569.5766416</v>
      </c>
      <c r="AK37" s="5">
        <f>IF($B36&lt;=Tabla5[[#This Row],[INVERSIONES FCI]],+Tabla5[[#This Row],[INVERSIONES FCI]]-AK36,Tabla5[[#This Row],[INVERSIONES FCI]])</f>
        <v>1529971569.5766416</v>
      </c>
      <c r="AL37" s="5" cm="1">
        <f t="array" ref="AL37">IF(Tabla5[[#This Row],[FCI]]=0,0,_xlfn.XLOOKUP(TRUE,$B37:AK37&gt;0,$B37:AK37,"",0,-1))</f>
        <v>1529971569.5766416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</row>
    <row r="38" spans="1:121" ht="14.4">
      <c r="A38" s="12" t="s">
        <v>37</v>
      </c>
      <c r="B38" s="5">
        <f>HLOOKUP($A38,ESCENARIO[#All],7,FALSE)</f>
        <v>4790810946.3556175</v>
      </c>
      <c r="C38" s="5">
        <f>IF($B37&lt;=Tabla5[[#This Row],[INVERSIONES FCI]],+Tabla5[[#This Row],[INVERSIONES FCI]]-C37,Tabla5[[#This Row],[INVERSIONES FCI]])</f>
        <v>3260839376.778976</v>
      </c>
      <c r="D38" s="5">
        <f>IF($B37&lt;=Tabla5[[#This Row],[INVERSIONES FCI]],+Tabla5[[#This Row],[INVERSIONES FCI]]-D37,Tabla5[[#This Row],[INVERSIONES FCI]])</f>
        <v>3260839376.778976</v>
      </c>
      <c r="E38" s="5">
        <f>IF($B37&lt;=Tabla5[[#This Row],[INVERSIONES FCI]],+Tabla5[[#This Row],[INVERSIONES FCI]]-E37,Tabla5[[#This Row],[INVERSIONES FCI]])</f>
        <v>3260839376.778976</v>
      </c>
      <c r="F38" s="5">
        <f>IF($B37&lt;=Tabla5[[#This Row],[INVERSIONES FCI]],+Tabla5[[#This Row],[INVERSIONES FCI]]-F37,Tabla5[[#This Row],[INVERSIONES FCI]])</f>
        <v>3260839376.778976</v>
      </c>
      <c r="G38" s="5">
        <f>IF($B37&lt;=Tabla5[[#This Row],[INVERSIONES FCI]],+Tabla5[[#This Row],[INVERSIONES FCI]]-G37,Tabla5[[#This Row],[INVERSIONES FCI]])</f>
        <v>3260839376.778976</v>
      </c>
      <c r="H38" s="5">
        <f>IF($B37&lt;=Tabla5[[#This Row],[INVERSIONES FCI]],+Tabla5[[#This Row],[INVERSIONES FCI]]-H37,Tabla5[[#This Row],[INVERSIONES FCI]])</f>
        <v>3260839376.778976</v>
      </c>
      <c r="I38" s="5">
        <f>IF($B37&lt;=Tabla5[[#This Row],[INVERSIONES FCI]],+Tabla5[[#This Row],[INVERSIONES FCI]]-I37,Tabla5[[#This Row],[INVERSIONES FCI]])</f>
        <v>3260839376.778976</v>
      </c>
      <c r="J38" s="5">
        <f>IF($B37&lt;=Tabla5[[#This Row],[INVERSIONES FCI]],+Tabla5[[#This Row],[INVERSIONES FCI]]-J37,Tabla5[[#This Row],[INVERSIONES FCI]])</f>
        <v>3260839376.778976</v>
      </c>
      <c r="K38" s="5">
        <f>IF($B37&lt;=Tabla5[[#This Row],[INVERSIONES FCI]],+Tabla5[[#This Row],[INVERSIONES FCI]]-K37,Tabla5[[#This Row],[INVERSIONES FCI]])</f>
        <v>3260839376.778976</v>
      </c>
      <c r="L38" s="5">
        <f>IF($B37&lt;=Tabla5[[#This Row],[INVERSIONES FCI]],+Tabla5[[#This Row],[INVERSIONES FCI]]-L37,Tabla5[[#This Row],[INVERSIONES FCI]])</f>
        <v>3260839376.778976</v>
      </c>
      <c r="M38" s="5">
        <f>IF($B37&lt;=Tabla5[[#This Row],[INVERSIONES FCI]],+Tabla5[[#This Row],[INVERSIONES FCI]]-M37,Tabla5[[#This Row],[INVERSIONES FCI]])</f>
        <v>3260839376.778976</v>
      </c>
      <c r="N38" s="5">
        <f>IF($B37&lt;=Tabla5[[#This Row],[INVERSIONES FCI]],+Tabla5[[#This Row],[INVERSIONES FCI]]-N37,Tabla5[[#This Row],[INVERSIONES FCI]])</f>
        <v>3260839376.778976</v>
      </c>
      <c r="O38" s="5">
        <f>IF($B37&lt;=Tabla5[[#This Row],[INVERSIONES FCI]],+Tabla5[[#This Row],[INVERSIONES FCI]]-O37,Tabla5[[#This Row],[INVERSIONES FCI]])</f>
        <v>3260839376.778976</v>
      </c>
      <c r="P38" s="5">
        <f>IF($B37&lt;=Tabla5[[#This Row],[INVERSIONES FCI]],+Tabla5[[#This Row],[INVERSIONES FCI]]-P37,Tabla5[[#This Row],[INVERSIONES FCI]])</f>
        <v>3260839376.778976</v>
      </c>
      <c r="Q38" s="5">
        <f>IF($B37&lt;=Tabla5[[#This Row],[INVERSIONES FCI]],+Tabla5[[#This Row],[INVERSIONES FCI]]-Q37,Tabla5[[#This Row],[INVERSIONES FCI]])</f>
        <v>3260839376.778976</v>
      </c>
      <c r="R38" s="5">
        <f>IF($B37&lt;=Tabla5[[#This Row],[INVERSIONES FCI]],+Tabla5[[#This Row],[INVERSIONES FCI]]-R37,Tabla5[[#This Row],[INVERSIONES FCI]])</f>
        <v>3260839376.778976</v>
      </c>
      <c r="S38" s="5">
        <f>IF($B37&lt;=Tabla5[[#This Row],[INVERSIONES FCI]],+Tabla5[[#This Row],[INVERSIONES FCI]]-S37,Tabla5[[#This Row],[INVERSIONES FCI]])</f>
        <v>3260839376.778976</v>
      </c>
      <c r="T38" s="5">
        <f>IF($B37&lt;=Tabla5[[#This Row],[INVERSIONES FCI]],+Tabla5[[#This Row],[INVERSIONES FCI]]-T37,Tabla5[[#This Row],[INVERSIONES FCI]])</f>
        <v>3260839376.778976</v>
      </c>
      <c r="U38" s="5">
        <f>IF($B37&lt;=Tabla5[[#This Row],[INVERSIONES FCI]],+Tabla5[[#This Row],[INVERSIONES FCI]]-U37,Tabla5[[#This Row],[INVERSIONES FCI]])</f>
        <v>3260839376.778976</v>
      </c>
      <c r="V38" s="5">
        <f>IF($B37&lt;=Tabla5[[#This Row],[INVERSIONES FCI]],+Tabla5[[#This Row],[INVERSIONES FCI]]-V37,Tabla5[[#This Row],[INVERSIONES FCI]])</f>
        <v>3260839376.778976</v>
      </c>
      <c r="W38" s="5">
        <f>IF($B37&lt;=Tabla5[[#This Row],[INVERSIONES FCI]],+Tabla5[[#This Row],[INVERSIONES FCI]]-W37,Tabla5[[#This Row],[INVERSIONES FCI]])</f>
        <v>3260839376.778976</v>
      </c>
      <c r="X38" s="5">
        <f>IF($B37&lt;=Tabla5[[#This Row],[INVERSIONES FCI]],+Tabla5[[#This Row],[INVERSIONES FCI]]-X37,Tabla5[[#This Row],[INVERSIONES FCI]])</f>
        <v>3260839376.778976</v>
      </c>
      <c r="Y38" s="5">
        <f>IF($B37&lt;=Tabla5[[#This Row],[INVERSIONES FCI]],+Tabla5[[#This Row],[INVERSIONES FCI]]-Y37,Tabla5[[#This Row],[INVERSIONES FCI]])</f>
        <v>3260839376.778976</v>
      </c>
      <c r="Z38" s="5">
        <f>IF($B37&lt;=Tabla5[[#This Row],[INVERSIONES FCI]],+Tabla5[[#This Row],[INVERSIONES FCI]]-Z37,Tabla5[[#This Row],[INVERSIONES FCI]])</f>
        <v>3260839376.778976</v>
      </c>
      <c r="AA38" s="5">
        <f>IF($B37&lt;=Tabla5[[#This Row],[INVERSIONES FCI]],+Tabla5[[#This Row],[INVERSIONES FCI]]-AA37,Tabla5[[#This Row],[INVERSIONES FCI]])</f>
        <v>3260839376.778976</v>
      </c>
      <c r="AB38" s="5">
        <f>IF($B37&lt;=Tabla5[[#This Row],[INVERSIONES FCI]],+Tabla5[[#This Row],[INVERSIONES FCI]]-AB37,Tabla5[[#This Row],[INVERSIONES FCI]])</f>
        <v>3260839376.778976</v>
      </c>
      <c r="AC38" s="5">
        <f>IF($B37&lt;=Tabla5[[#This Row],[INVERSIONES FCI]],+Tabla5[[#This Row],[INVERSIONES FCI]]-AC37,Tabla5[[#This Row],[INVERSIONES FCI]])</f>
        <v>3260839376.778976</v>
      </c>
      <c r="AD38" s="5">
        <f>IF($B37&lt;=Tabla5[[#This Row],[INVERSIONES FCI]],+Tabla5[[#This Row],[INVERSIONES FCI]]-AD37,Tabla5[[#This Row],[INVERSIONES FCI]])</f>
        <v>3260839376.778976</v>
      </c>
      <c r="AE38" s="5">
        <f>IF($B37&lt;=Tabla5[[#This Row],[INVERSIONES FCI]],+Tabla5[[#This Row],[INVERSIONES FCI]]-AE37,Tabla5[[#This Row],[INVERSIONES FCI]])</f>
        <v>3260839376.778976</v>
      </c>
      <c r="AF38" s="5">
        <f>IF($B37&lt;=Tabla5[[#This Row],[INVERSIONES FCI]],+Tabla5[[#This Row],[INVERSIONES FCI]]-AF37,Tabla5[[#This Row],[INVERSIONES FCI]])</f>
        <v>3260839376.778976</v>
      </c>
      <c r="AG38" s="5">
        <f>IF($B37&lt;=Tabla5[[#This Row],[INVERSIONES FCI]],+Tabla5[[#This Row],[INVERSIONES FCI]]-AG37,Tabla5[[#This Row],[INVERSIONES FCI]])</f>
        <v>3260839376.778976</v>
      </c>
      <c r="AH38" s="5">
        <f>IF($B37&lt;=Tabla5[[#This Row],[INVERSIONES FCI]],+Tabla5[[#This Row],[INVERSIONES FCI]]-AH37,Tabla5[[#This Row],[INVERSIONES FCI]])</f>
        <v>3260839376.778976</v>
      </c>
      <c r="AI38" s="5">
        <f>IF($B37&lt;=Tabla5[[#This Row],[INVERSIONES FCI]],+Tabla5[[#This Row],[INVERSIONES FCI]]-AI37,Tabla5[[#This Row],[INVERSIONES FCI]])</f>
        <v>3260839376.778976</v>
      </c>
      <c r="AJ38" s="5">
        <f>IF($B37&lt;=Tabla5[[#This Row],[INVERSIONES FCI]],+Tabla5[[#This Row],[INVERSIONES FCI]]-AJ37,Tabla5[[#This Row],[INVERSIONES FCI]])</f>
        <v>3260839376.778976</v>
      </c>
      <c r="AK38" s="5">
        <f>IF($B37&lt;=Tabla5[[#This Row],[INVERSIONES FCI]],+Tabla5[[#This Row],[INVERSIONES FCI]]-AK37,Tabla5[[#This Row],[INVERSIONES FCI]])</f>
        <v>3260839376.778976</v>
      </c>
      <c r="AL38" s="5">
        <f>IF($B37&lt;=Tabla5[[#This Row],[INVERSIONES FCI]],+Tabla5[[#This Row],[INVERSIONES FCI]]-AL37,Tabla5[[#This Row],[INVERSIONES FCI]])</f>
        <v>3260839376.778976</v>
      </c>
      <c r="AM38" s="5" cm="1">
        <f t="array" ref="AM38">IF(Tabla5[[#This Row],[FCI]]=0,0,_xlfn.XLOOKUP(TRUE,$B38:AL38&gt;0,$B38:AL38,"",0,-1))</f>
        <v>3260839376.778976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</row>
    <row r="39" spans="1:121" ht="14.4">
      <c r="A39" s="12" t="s">
        <v>38</v>
      </c>
      <c r="B39" s="5">
        <f>HLOOKUP($A39,ESCENARIO[#All],7,FALSE)</f>
        <v>6241019408.3588028</v>
      </c>
      <c r="C39" s="5">
        <f>IF($B38&lt;=Tabla5[[#This Row],[INVERSIONES FCI]],+Tabla5[[#This Row],[INVERSIONES FCI]]-C38,Tabla5[[#This Row],[INVERSIONES FCI]])</f>
        <v>2980180031.5798268</v>
      </c>
      <c r="D39" s="5">
        <f>IF($B38&lt;=Tabla5[[#This Row],[INVERSIONES FCI]],+Tabla5[[#This Row],[INVERSIONES FCI]]-D38,Tabla5[[#This Row],[INVERSIONES FCI]])</f>
        <v>2980180031.5798268</v>
      </c>
      <c r="E39" s="5">
        <f>IF($B38&lt;=Tabla5[[#This Row],[INVERSIONES FCI]],+Tabla5[[#This Row],[INVERSIONES FCI]]-E38,Tabla5[[#This Row],[INVERSIONES FCI]])</f>
        <v>2980180031.5798268</v>
      </c>
      <c r="F39" s="5">
        <f>IF($B38&lt;=Tabla5[[#This Row],[INVERSIONES FCI]],+Tabla5[[#This Row],[INVERSIONES FCI]]-F38,Tabla5[[#This Row],[INVERSIONES FCI]])</f>
        <v>2980180031.5798268</v>
      </c>
      <c r="G39" s="5">
        <f>IF($B38&lt;=Tabla5[[#This Row],[INVERSIONES FCI]],+Tabla5[[#This Row],[INVERSIONES FCI]]-G38,Tabla5[[#This Row],[INVERSIONES FCI]])</f>
        <v>2980180031.5798268</v>
      </c>
      <c r="H39" s="5">
        <f>IF($B38&lt;=Tabla5[[#This Row],[INVERSIONES FCI]],+Tabla5[[#This Row],[INVERSIONES FCI]]-H38,Tabla5[[#This Row],[INVERSIONES FCI]])</f>
        <v>2980180031.5798268</v>
      </c>
      <c r="I39" s="5">
        <f>IF($B38&lt;=Tabla5[[#This Row],[INVERSIONES FCI]],+Tabla5[[#This Row],[INVERSIONES FCI]]-I38,Tabla5[[#This Row],[INVERSIONES FCI]])</f>
        <v>2980180031.5798268</v>
      </c>
      <c r="J39" s="5">
        <f>IF($B38&lt;=Tabla5[[#This Row],[INVERSIONES FCI]],+Tabla5[[#This Row],[INVERSIONES FCI]]-J38,Tabla5[[#This Row],[INVERSIONES FCI]])</f>
        <v>2980180031.5798268</v>
      </c>
      <c r="K39" s="5">
        <f>IF($B38&lt;=Tabla5[[#This Row],[INVERSIONES FCI]],+Tabla5[[#This Row],[INVERSIONES FCI]]-K38,Tabla5[[#This Row],[INVERSIONES FCI]])</f>
        <v>2980180031.5798268</v>
      </c>
      <c r="L39" s="5">
        <f>IF($B38&lt;=Tabla5[[#This Row],[INVERSIONES FCI]],+Tabla5[[#This Row],[INVERSIONES FCI]]-L38,Tabla5[[#This Row],[INVERSIONES FCI]])</f>
        <v>2980180031.5798268</v>
      </c>
      <c r="M39" s="5">
        <f>IF($B38&lt;=Tabla5[[#This Row],[INVERSIONES FCI]],+Tabla5[[#This Row],[INVERSIONES FCI]]-M38,Tabla5[[#This Row],[INVERSIONES FCI]])</f>
        <v>2980180031.5798268</v>
      </c>
      <c r="N39" s="5">
        <f>IF($B38&lt;=Tabla5[[#This Row],[INVERSIONES FCI]],+Tabla5[[#This Row],[INVERSIONES FCI]]-N38,Tabla5[[#This Row],[INVERSIONES FCI]])</f>
        <v>2980180031.5798268</v>
      </c>
      <c r="O39" s="5">
        <f>IF($B38&lt;=Tabla5[[#This Row],[INVERSIONES FCI]],+Tabla5[[#This Row],[INVERSIONES FCI]]-O38,Tabla5[[#This Row],[INVERSIONES FCI]])</f>
        <v>2980180031.5798268</v>
      </c>
      <c r="P39" s="5">
        <f>IF($B38&lt;=Tabla5[[#This Row],[INVERSIONES FCI]],+Tabla5[[#This Row],[INVERSIONES FCI]]-P38,Tabla5[[#This Row],[INVERSIONES FCI]])</f>
        <v>2980180031.5798268</v>
      </c>
      <c r="Q39" s="5">
        <f>IF($B38&lt;=Tabla5[[#This Row],[INVERSIONES FCI]],+Tabla5[[#This Row],[INVERSIONES FCI]]-Q38,Tabla5[[#This Row],[INVERSIONES FCI]])</f>
        <v>2980180031.5798268</v>
      </c>
      <c r="R39" s="5">
        <f>IF($B38&lt;=Tabla5[[#This Row],[INVERSIONES FCI]],+Tabla5[[#This Row],[INVERSIONES FCI]]-R38,Tabla5[[#This Row],[INVERSIONES FCI]])</f>
        <v>2980180031.5798268</v>
      </c>
      <c r="S39" s="5">
        <f>IF($B38&lt;=Tabla5[[#This Row],[INVERSIONES FCI]],+Tabla5[[#This Row],[INVERSIONES FCI]]-S38,Tabla5[[#This Row],[INVERSIONES FCI]])</f>
        <v>2980180031.5798268</v>
      </c>
      <c r="T39" s="5">
        <f>IF($B38&lt;=Tabla5[[#This Row],[INVERSIONES FCI]],+Tabla5[[#This Row],[INVERSIONES FCI]]-T38,Tabla5[[#This Row],[INVERSIONES FCI]])</f>
        <v>2980180031.5798268</v>
      </c>
      <c r="U39" s="5">
        <f>IF($B38&lt;=Tabla5[[#This Row],[INVERSIONES FCI]],+Tabla5[[#This Row],[INVERSIONES FCI]]-U38,Tabla5[[#This Row],[INVERSIONES FCI]])</f>
        <v>2980180031.5798268</v>
      </c>
      <c r="V39" s="5">
        <f>IF($B38&lt;=Tabla5[[#This Row],[INVERSIONES FCI]],+Tabla5[[#This Row],[INVERSIONES FCI]]-V38,Tabla5[[#This Row],[INVERSIONES FCI]])</f>
        <v>2980180031.5798268</v>
      </c>
      <c r="W39" s="5">
        <f>IF($B38&lt;=Tabla5[[#This Row],[INVERSIONES FCI]],+Tabla5[[#This Row],[INVERSIONES FCI]]-W38,Tabla5[[#This Row],[INVERSIONES FCI]])</f>
        <v>2980180031.5798268</v>
      </c>
      <c r="X39" s="5">
        <f>IF($B38&lt;=Tabla5[[#This Row],[INVERSIONES FCI]],+Tabla5[[#This Row],[INVERSIONES FCI]]-X38,Tabla5[[#This Row],[INVERSIONES FCI]])</f>
        <v>2980180031.5798268</v>
      </c>
      <c r="Y39" s="5">
        <f>IF($B38&lt;=Tabla5[[#This Row],[INVERSIONES FCI]],+Tabla5[[#This Row],[INVERSIONES FCI]]-Y38,Tabla5[[#This Row],[INVERSIONES FCI]])</f>
        <v>2980180031.5798268</v>
      </c>
      <c r="Z39" s="5">
        <f>IF($B38&lt;=Tabla5[[#This Row],[INVERSIONES FCI]],+Tabla5[[#This Row],[INVERSIONES FCI]]-Z38,Tabla5[[#This Row],[INVERSIONES FCI]])</f>
        <v>2980180031.5798268</v>
      </c>
      <c r="AA39" s="5">
        <f>IF($B38&lt;=Tabla5[[#This Row],[INVERSIONES FCI]],+Tabla5[[#This Row],[INVERSIONES FCI]]-AA38,Tabla5[[#This Row],[INVERSIONES FCI]])</f>
        <v>2980180031.5798268</v>
      </c>
      <c r="AB39" s="5">
        <f>IF($B38&lt;=Tabla5[[#This Row],[INVERSIONES FCI]],+Tabla5[[#This Row],[INVERSIONES FCI]]-AB38,Tabla5[[#This Row],[INVERSIONES FCI]])</f>
        <v>2980180031.5798268</v>
      </c>
      <c r="AC39" s="5">
        <f>IF($B38&lt;=Tabla5[[#This Row],[INVERSIONES FCI]],+Tabla5[[#This Row],[INVERSIONES FCI]]-AC38,Tabla5[[#This Row],[INVERSIONES FCI]])</f>
        <v>2980180031.5798268</v>
      </c>
      <c r="AD39" s="5">
        <f>IF($B38&lt;=Tabla5[[#This Row],[INVERSIONES FCI]],+Tabla5[[#This Row],[INVERSIONES FCI]]-AD38,Tabla5[[#This Row],[INVERSIONES FCI]])</f>
        <v>2980180031.5798268</v>
      </c>
      <c r="AE39" s="5">
        <f>IF($B38&lt;=Tabla5[[#This Row],[INVERSIONES FCI]],+Tabla5[[#This Row],[INVERSIONES FCI]]-AE38,Tabla5[[#This Row],[INVERSIONES FCI]])</f>
        <v>2980180031.5798268</v>
      </c>
      <c r="AF39" s="5">
        <f>IF($B38&lt;=Tabla5[[#This Row],[INVERSIONES FCI]],+Tabla5[[#This Row],[INVERSIONES FCI]]-AF38,Tabla5[[#This Row],[INVERSIONES FCI]])</f>
        <v>2980180031.5798268</v>
      </c>
      <c r="AG39" s="5">
        <f>IF($B38&lt;=Tabla5[[#This Row],[INVERSIONES FCI]],+Tabla5[[#This Row],[INVERSIONES FCI]]-AG38,Tabla5[[#This Row],[INVERSIONES FCI]])</f>
        <v>2980180031.5798268</v>
      </c>
      <c r="AH39" s="5">
        <f>IF($B38&lt;=Tabla5[[#This Row],[INVERSIONES FCI]],+Tabla5[[#This Row],[INVERSIONES FCI]]-AH38,Tabla5[[#This Row],[INVERSIONES FCI]])</f>
        <v>2980180031.5798268</v>
      </c>
      <c r="AI39" s="5">
        <f>IF($B38&lt;=Tabla5[[#This Row],[INVERSIONES FCI]],+Tabla5[[#This Row],[INVERSIONES FCI]]-AI38,Tabla5[[#This Row],[INVERSIONES FCI]])</f>
        <v>2980180031.5798268</v>
      </c>
      <c r="AJ39" s="5">
        <f>IF($B38&lt;=Tabla5[[#This Row],[INVERSIONES FCI]],+Tabla5[[#This Row],[INVERSIONES FCI]]-AJ38,Tabla5[[#This Row],[INVERSIONES FCI]])</f>
        <v>2980180031.5798268</v>
      </c>
      <c r="AK39" s="5">
        <f>IF($B38&lt;=Tabla5[[#This Row],[INVERSIONES FCI]],+Tabla5[[#This Row],[INVERSIONES FCI]]-AK38,Tabla5[[#This Row],[INVERSIONES FCI]])</f>
        <v>2980180031.5798268</v>
      </c>
      <c r="AL39" s="5">
        <f>IF($B38&lt;=Tabla5[[#This Row],[INVERSIONES FCI]],+Tabla5[[#This Row],[INVERSIONES FCI]]-AL38,Tabla5[[#This Row],[INVERSIONES FCI]])</f>
        <v>2980180031.5798268</v>
      </c>
      <c r="AM39" s="5">
        <f>IF($B38&lt;=Tabla5[[#This Row],[INVERSIONES FCI]],+Tabla5[[#This Row],[INVERSIONES FCI]]-AM38,Tabla5[[#This Row],[INVERSIONES FCI]])</f>
        <v>2980180031.5798268</v>
      </c>
      <c r="AN39" s="5" cm="1">
        <f t="array" ref="AN39">IF(Tabla5[[#This Row],[FCI]]=0,0,_xlfn.XLOOKUP(TRUE,$B39:AM39&gt;0,$B39:AM39,"",0,-1))</f>
        <v>2980180031.5798268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</row>
    <row r="40" spans="1:121" ht="14.4">
      <c r="A40" s="12" t="s">
        <v>39</v>
      </c>
      <c r="B40" s="5">
        <f>HLOOKUP($A40,ESCENARIO[#All],7,FALSE)</f>
        <v>13617679774.919868</v>
      </c>
      <c r="C40" s="5">
        <f>IF($B39&lt;=Tabla5[[#This Row],[INVERSIONES FCI]],+Tabla5[[#This Row],[INVERSIONES FCI]]-C39,Tabla5[[#This Row],[INVERSIONES FCI]])</f>
        <v>10637499743.340042</v>
      </c>
      <c r="D40" s="5">
        <f>IF($B39&lt;=Tabla5[[#This Row],[INVERSIONES FCI]],+Tabla5[[#This Row],[INVERSIONES FCI]]-D39,Tabla5[[#This Row],[INVERSIONES FCI]])</f>
        <v>10637499743.340042</v>
      </c>
      <c r="E40" s="5">
        <f>IF($B39&lt;=Tabla5[[#This Row],[INVERSIONES FCI]],+Tabla5[[#This Row],[INVERSIONES FCI]]-E39,Tabla5[[#This Row],[INVERSIONES FCI]])</f>
        <v>10637499743.340042</v>
      </c>
      <c r="F40" s="5">
        <f>IF($B39&lt;=Tabla5[[#This Row],[INVERSIONES FCI]],+Tabla5[[#This Row],[INVERSIONES FCI]]-F39,Tabla5[[#This Row],[INVERSIONES FCI]])</f>
        <v>10637499743.340042</v>
      </c>
      <c r="G40" s="5">
        <f>IF($B39&lt;=Tabla5[[#This Row],[INVERSIONES FCI]],+Tabla5[[#This Row],[INVERSIONES FCI]]-G39,Tabla5[[#This Row],[INVERSIONES FCI]])</f>
        <v>10637499743.340042</v>
      </c>
      <c r="H40" s="5">
        <f>IF($B39&lt;=Tabla5[[#This Row],[INVERSIONES FCI]],+Tabla5[[#This Row],[INVERSIONES FCI]]-H39,Tabla5[[#This Row],[INVERSIONES FCI]])</f>
        <v>10637499743.340042</v>
      </c>
      <c r="I40" s="5">
        <f>IF($B39&lt;=Tabla5[[#This Row],[INVERSIONES FCI]],+Tabla5[[#This Row],[INVERSIONES FCI]]-I39,Tabla5[[#This Row],[INVERSIONES FCI]])</f>
        <v>10637499743.340042</v>
      </c>
      <c r="J40" s="5">
        <f>IF($B39&lt;=Tabla5[[#This Row],[INVERSIONES FCI]],+Tabla5[[#This Row],[INVERSIONES FCI]]-J39,Tabla5[[#This Row],[INVERSIONES FCI]])</f>
        <v>10637499743.340042</v>
      </c>
      <c r="K40" s="5">
        <f>IF($B39&lt;=Tabla5[[#This Row],[INVERSIONES FCI]],+Tabla5[[#This Row],[INVERSIONES FCI]]-K39,Tabla5[[#This Row],[INVERSIONES FCI]])</f>
        <v>10637499743.340042</v>
      </c>
      <c r="L40" s="5">
        <f>IF($B39&lt;=Tabla5[[#This Row],[INVERSIONES FCI]],+Tabla5[[#This Row],[INVERSIONES FCI]]-L39,Tabla5[[#This Row],[INVERSIONES FCI]])</f>
        <v>10637499743.340042</v>
      </c>
      <c r="M40" s="5">
        <f>IF($B39&lt;=Tabla5[[#This Row],[INVERSIONES FCI]],+Tabla5[[#This Row],[INVERSIONES FCI]]-M39,Tabla5[[#This Row],[INVERSIONES FCI]])</f>
        <v>10637499743.340042</v>
      </c>
      <c r="N40" s="5">
        <f>IF($B39&lt;=Tabla5[[#This Row],[INVERSIONES FCI]],+Tabla5[[#This Row],[INVERSIONES FCI]]-N39,Tabla5[[#This Row],[INVERSIONES FCI]])</f>
        <v>10637499743.340042</v>
      </c>
      <c r="O40" s="5">
        <f>IF($B39&lt;=Tabla5[[#This Row],[INVERSIONES FCI]],+Tabla5[[#This Row],[INVERSIONES FCI]]-O39,Tabla5[[#This Row],[INVERSIONES FCI]])</f>
        <v>10637499743.340042</v>
      </c>
      <c r="P40" s="5">
        <f>IF($B39&lt;=Tabla5[[#This Row],[INVERSIONES FCI]],+Tabla5[[#This Row],[INVERSIONES FCI]]-P39,Tabla5[[#This Row],[INVERSIONES FCI]])</f>
        <v>10637499743.340042</v>
      </c>
      <c r="Q40" s="5">
        <f>IF($B39&lt;=Tabla5[[#This Row],[INVERSIONES FCI]],+Tabla5[[#This Row],[INVERSIONES FCI]]-Q39,Tabla5[[#This Row],[INVERSIONES FCI]])</f>
        <v>10637499743.340042</v>
      </c>
      <c r="R40" s="5">
        <f>IF($B39&lt;=Tabla5[[#This Row],[INVERSIONES FCI]],+Tabla5[[#This Row],[INVERSIONES FCI]]-R39,Tabla5[[#This Row],[INVERSIONES FCI]])</f>
        <v>10637499743.340042</v>
      </c>
      <c r="S40" s="5">
        <f>IF($B39&lt;=Tabla5[[#This Row],[INVERSIONES FCI]],+Tabla5[[#This Row],[INVERSIONES FCI]]-S39,Tabla5[[#This Row],[INVERSIONES FCI]])</f>
        <v>10637499743.340042</v>
      </c>
      <c r="T40" s="5">
        <f>IF($B39&lt;=Tabla5[[#This Row],[INVERSIONES FCI]],+Tabla5[[#This Row],[INVERSIONES FCI]]-T39,Tabla5[[#This Row],[INVERSIONES FCI]])</f>
        <v>10637499743.340042</v>
      </c>
      <c r="U40" s="5">
        <f>IF($B39&lt;=Tabla5[[#This Row],[INVERSIONES FCI]],+Tabla5[[#This Row],[INVERSIONES FCI]]-U39,Tabla5[[#This Row],[INVERSIONES FCI]])</f>
        <v>10637499743.340042</v>
      </c>
      <c r="V40" s="5">
        <f>IF($B39&lt;=Tabla5[[#This Row],[INVERSIONES FCI]],+Tabla5[[#This Row],[INVERSIONES FCI]]-V39,Tabla5[[#This Row],[INVERSIONES FCI]])</f>
        <v>10637499743.340042</v>
      </c>
      <c r="W40" s="5">
        <f>IF($B39&lt;=Tabla5[[#This Row],[INVERSIONES FCI]],+Tabla5[[#This Row],[INVERSIONES FCI]]-W39,Tabla5[[#This Row],[INVERSIONES FCI]])</f>
        <v>10637499743.340042</v>
      </c>
      <c r="X40" s="5">
        <f>IF($B39&lt;=Tabla5[[#This Row],[INVERSIONES FCI]],+Tabla5[[#This Row],[INVERSIONES FCI]]-X39,Tabla5[[#This Row],[INVERSIONES FCI]])</f>
        <v>10637499743.340042</v>
      </c>
      <c r="Y40" s="5">
        <f>IF($B39&lt;=Tabla5[[#This Row],[INVERSIONES FCI]],+Tabla5[[#This Row],[INVERSIONES FCI]]-Y39,Tabla5[[#This Row],[INVERSIONES FCI]])</f>
        <v>10637499743.340042</v>
      </c>
      <c r="Z40" s="5">
        <f>IF($B39&lt;=Tabla5[[#This Row],[INVERSIONES FCI]],+Tabla5[[#This Row],[INVERSIONES FCI]]-Z39,Tabla5[[#This Row],[INVERSIONES FCI]])</f>
        <v>10637499743.340042</v>
      </c>
      <c r="AA40" s="5">
        <f>IF($B39&lt;=Tabla5[[#This Row],[INVERSIONES FCI]],+Tabla5[[#This Row],[INVERSIONES FCI]]-AA39,Tabla5[[#This Row],[INVERSIONES FCI]])</f>
        <v>10637499743.340042</v>
      </c>
      <c r="AB40" s="5">
        <f>IF($B39&lt;=Tabla5[[#This Row],[INVERSIONES FCI]],+Tabla5[[#This Row],[INVERSIONES FCI]]-AB39,Tabla5[[#This Row],[INVERSIONES FCI]])</f>
        <v>10637499743.340042</v>
      </c>
      <c r="AC40" s="5">
        <f>IF($B39&lt;=Tabla5[[#This Row],[INVERSIONES FCI]],+Tabla5[[#This Row],[INVERSIONES FCI]]-AC39,Tabla5[[#This Row],[INVERSIONES FCI]])</f>
        <v>10637499743.340042</v>
      </c>
      <c r="AD40" s="5">
        <f>IF($B39&lt;=Tabla5[[#This Row],[INVERSIONES FCI]],+Tabla5[[#This Row],[INVERSIONES FCI]]-AD39,Tabla5[[#This Row],[INVERSIONES FCI]])</f>
        <v>10637499743.340042</v>
      </c>
      <c r="AE40" s="5">
        <f>IF($B39&lt;=Tabla5[[#This Row],[INVERSIONES FCI]],+Tabla5[[#This Row],[INVERSIONES FCI]]-AE39,Tabla5[[#This Row],[INVERSIONES FCI]])</f>
        <v>10637499743.340042</v>
      </c>
      <c r="AF40" s="5">
        <f>IF($B39&lt;=Tabla5[[#This Row],[INVERSIONES FCI]],+Tabla5[[#This Row],[INVERSIONES FCI]]-AF39,Tabla5[[#This Row],[INVERSIONES FCI]])</f>
        <v>10637499743.340042</v>
      </c>
      <c r="AG40" s="5">
        <f>IF($B39&lt;=Tabla5[[#This Row],[INVERSIONES FCI]],+Tabla5[[#This Row],[INVERSIONES FCI]]-AG39,Tabla5[[#This Row],[INVERSIONES FCI]])</f>
        <v>10637499743.340042</v>
      </c>
      <c r="AH40" s="5">
        <f>IF($B39&lt;=Tabla5[[#This Row],[INVERSIONES FCI]],+Tabla5[[#This Row],[INVERSIONES FCI]]-AH39,Tabla5[[#This Row],[INVERSIONES FCI]])</f>
        <v>10637499743.340042</v>
      </c>
      <c r="AI40" s="5">
        <f>IF($B39&lt;=Tabla5[[#This Row],[INVERSIONES FCI]],+Tabla5[[#This Row],[INVERSIONES FCI]]-AI39,Tabla5[[#This Row],[INVERSIONES FCI]])</f>
        <v>10637499743.340042</v>
      </c>
      <c r="AJ40" s="5">
        <f>IF($B39&lt;=Tabla5[[#This Row],[INVERSIONES FCI]],+Tabla5[[#This Row],[INVERSIONES FCI]]-AJ39,Tabla5[[#This Row],[INVERSIONES FCI]])</f>
        <v>10637499743.340042</v>
      </c>
      <c r="AK40" s="5">
        <f>IF($B39&lt;=Tabla5[[#This Row],[INVERSIONES FCI]],+Tabla5[[#This Row],[INVERSIONES FCI]]-AK39,Tabla5[[#This Row],[INVERSIONES FCI]])</f>
        <v>10637499743.340042</v>
      </c>
      <c r="AL40" s="5">
        <f>IF($B39&lt;=Tabla5[[#This Row],[INVERSIONES FCI]],+Tabla5[[#This Row],[INVERSIONES FCI]]-AL39,Tabla5[[#This Row],[INVERSIONES FCI]])</f>
        <v>10637499743.340042</v>
      </c>
      <c r="AM40" s="5">
        <f>IF($B39&lt;=Tabla5[[#This Row],[INVERSIONES FCI]],+Tabla5[[#This Row],[INVERSIONES FCI]]-AM39,Tabla5[[#This Row],[INVERSIONES FCI]])</f>
        <v>10637499743.340042</v>
      </c>
      <c r="AN40" s="5">
        <f>IF($B39&lt;=Tabla5[[#This Row],[INVERSIONES FCI]],+Tabla5[[#This Row],[INVERSIONES FCI]]-AN39,Tabla5[[#This Row],[INVERSIONES FCI]])</f>
        <v>10637499743.340042</v>
      </c>
      <c r="AO40" s="5" cm="1">
        <f t="array" ref="AO40">IF(Tabla5[[#This Row],[FCI]]=0,0,_xlfn.XLOOKUP(TRUE,$B40:AN40&gt;0,$B40:AN40,"",0,-1))</f>
        <v>10637499743.340042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</row>
    <row r="41" spans="1:121" ht="14.4">
      <c r="A41" s="12" t="s">
        <v>40</v>
      </c>
      <c r="B41" s="5">
        <f>HLOOKUP($A41,ESCENARIO[#All],7,FALSE)</f>
        <v>15046450815.101444</v>
      </c>
      <c r="C41" s="5">
        <f>IF($B40&lt;=Tabla5[[#This Row],[INVERSIONES FCI]],+Tabla5[[#This Row],[INVERSIONES FCI]]-C40,Tabla5[[#This Row],[INVERSIONES FCI]])</f>
        <v>4408951071.7614021</v>
      </c>
      <c r="D41" s="5">
        <f>IF($B40&lt;=Tabla5[[#This Row],[INVERSIONES FCI]],+Tabla5[[#This Row],[INVERSIONES FCI]]-D40,Tabla5[[#This Row],[INVERSIONES FCI]])</f>
        <v>4408951071.7614021</v>
      </c>
      <c r="E41" s="5">
        <f>IF($B40&lt;=Tabla5[[#This Row],[INVERSIONES FCI]],+Tabla5[[#This Row],[INVERSIONES FCI]]-E40,Tabla5[[#This Row],[INVERSIONES FCI]])</f>
        <v>4408951071.7614021</v>
      </c>
      <c r="F41" s="5">
        <f>IF($B40&lt;=Tabla5[[#This Row],[INVERSIONES FCI]],+Tabla5[[#This Row],[INVERSIONES FCI]]-F40,Tabla5[[#This Row],[INVERSIONES FCI]])</f>
        <v>4408951071.7614021</v>
      </c>
      <c r="G41" s="5">
        <f>IF($B40&lt;=Tabla5[[#This Row],[INVERSIONES FCI]],+Tabla5[[#This Row],[INVERSIONES FCI]]-G40,Tabla5[[#This Row],[INVERSIONES FCI]])</f>
        <v>4408951071.7614021</v>
      </c>
      <c r="H41" s="5">
        <f>IF($B40&lt;=Tabla5[[#This Row],[INVERSIONES FCI]],+Tabla5[[#This Row],[INVERSIONES FCI]]-H40,Tabla5[[#This Row],[INVERSIONES FCI]])</f>
        <v>4408951071.7614021</v>
      </c>
      <c r="I41" s="5">
        <f>IF($B40&lt;=Tabla5[[#This Row],[INVERSIONES FCI]],+Tabla5[[#This Row],[INVERSIONES FCI]]-I40,Tabla5[[#This Row],[INVERSIONES FCI]])</f>
        <v>4408951071.7614021</v>
      </c>
      <c r="J41" s="5">
        <f>IF($B40&lt;=Tabla5[[#This Row],[INVERSIONES FCI]],+Tabla5[[#This Row],[INVERSIONES FCI]]-J40,Tabla5[[#This Row],[INVERSIONES FCI]])</f>
        <v>4408951071.7614021</v>
      </c>
      <c r="K41" s="5">
        <f>IF($B40&lt;=Tabla5[[#This Row],[INVERSIONES FCI]],+Tabla5[[#This Row],[INVERSIONES FCI]]-K40,Tabla5[[#This Row],[INVERSIONES FCI]])</f>
        <v>4408951071.7614021</v>
      </c>
      <c r="L41" s="5">
        <f>IF($B40&lt;=Tabla5[[#This Row],[INVERSIONES FCI]],+Tabla5[[#This Row],[INVERSIONES FCI]]-L40,Tabla5[[#This Row],[INVERSIONES FCI]])</f>
        <v>4408951071.7614021</v>
      </c>
      <c r="M41" s="5">
        <f>IF($B40&lt;=Tabla5[[#This Row],[INVERSIONES FCI]],+Tabla5[[#This Row],[INVERSIONES FCI]]-M40,Tabla5[[#This Row],[INVERSIONES FCI]])</f>
        <v>4408951071.7614021</v>
      </c>
      <c r="N41" s="5">
        <f>IF($B40&lt;=Tabla5[[#This Row],[INVERSIONES FCI]],+Tabla5[[#This Row],[INVERSIONES FCI]]-N40,Tabla5[[#This Row],[INVERSIONES FCI]])</f>
        <v>4408951071.7614021</v>
      </c>
      <c r="O41" s="5">
        <f>IF($B40&lt;=Tabla5[[#This Row],[INVERSIONES FCI]],+Tabla5[[#This Row],[INVERSIONES FCI]]-O40,Tabla5[[#This Row],[INVERSIONES FCI]])</f>
        <v>4408951071.7614021</v>
      </c>
      <c r="P41" s="5">
        <f>IF($B40&lt;=Tabla5[[#This Row],[INVERSIONES FCI]],+Tabla5[[#This Row],[INVERSIONES FCI]]-P40,Tabla5[[#This Row],[INVERSIONES FCI]])</f>
        <v>4408951071.7614021</v>
      </c>
      <c r="Q41" s="5">
        <f>IF($B40&lt;=Tabla5[[#This Row],[INVERSIONES FCI]],+Tabla5[[#This Row],[INVERSIONES FCI]]-Q40,Tabla5[[#This Row],[INVERSIONES FCI]])</f>
        <v>4408951071.7614021</v>
      </c>
      <c r="R41" s="5">
        <f>IF($B40&lt;=Tabla5[[#This Row],[INVERSIONES FCI]],+Tabla5[[#This Row],[INVERSIONES FCI]]-R40,Tabla5[[#This Row],[INVERSIONES FCI]])</f>
        <v>4408951071.7614021</v>
      </c>
      <c r="S41" s="5">
        <f>IF($B40&lt;=Tabla5[[#This Row],[INVERSIONES FCI]],+Tabla5[[#This Row],[INVERSIONES FCI]]-S40,Tabla5[[#This Row],[INVERSIONES FCI]])</f>
        <v>4408951071.7614021</v>
      </c>
      <c r="T41" s="5">
        <f>IF($B40&lt;=Tabla5[[#This Row],[INVERSIONES FCI]],+Tabla5[[#This Row],[INVERSIONES FCI]]-T40,Tabla5[[#This Row],[INVERSIONES FCI]])</f>
        <v>4408951071.7614021</v>
      </c>
      <c r="U41" s="5">
        <f>IF($B40&lt;=Tabla5[[#This Row],[INVERSIONES FCI]],+Tabla5[[#This Row],[INVERSIONES FCI]]-U40,Tabla5[[#This Row],[INVERSIONES FCI]])</f>
        <v>4408951071.7614021</v>
      </c>
      <c r="V41" s="5">
        <f>IF($B40&lt;=Tabla5[[#This Row],[INVERSIONES FCI]],+Tabla5[[#This Row],[INVERSIONES FCI]]-V40,Tabla5[[#This Row],[INVERSIONES FCI]])</f>
        <v>4408951071.7614021</v>
      </c>
      <c r="W41" s="5">
        <f>IF($B40&lt;=Tabla5[[#This Row],[INVERSIONES FCI]],+Tabla5[[#This Row],[INVERSIONES FCI]]-W40,Tabla5[[#This Row],[INVERSIONES FCI]])</f>
        <v>4408951071.7614021</v>
      </c>
      <c r="X41" s="5">
        <f>IF($B40&lt;=Tabla5[[#This Row],[INVERSIONES FCI]],+Tabla5[[#This Row],[INVERSIONES FCI]]-X40,Tabla5[[#This Row],[INVERSIONES FCI]])</f>
        <v>4408951071.7614021</v>
      </c>
      <c r="Y41" s="5">
        <f>IF($B40&lt;=Tabla5[[#This Row],[INVERSIONES FCI]],+Tabla5[[#This Row],[INVERSIONES FCI]]-Y40,Tabla5[[#This Row],[INVERSIONES FCI]])</f>
        <v>4408951071.7614021</v>
      </c>
      <c r="Z41" s="5">
        <f>IF($B40&lt;=Tabla5[[#This Row],[INVERSIONES FCI]],+Tabla5[[#This Row],[INVERSIONES FCI]]-Z40,Tabla5[[#This Row],[INVERSIONES FCI]])</f>
        <v>4408951071.7614021</v>
      </c>
      <c r="AA41" s="5">
        <f>IF($B40&lt;=Tabla5[[#This Row],[INVERSIONES FCI]],+Tabla5[[#This Row],[INVERSIONES FCI]]-AA40,Tabla5[[#This Row],[INVERSIONES FCI]])</f>
        <v>4408951071.7614021</v>
      </c>
      <c r="AB41" s="5">
        <f>IF($B40&lt;=Tabla5[[#This Row],[INVERSIONES FCI]],+Tabla5[[#This Row],[INVERSIONES FCI]]-AB40,Tabla5[[#This Row],[INVERSIONES FCI]])</f>
        <v>4408951071.7614021</v>
      </c>
      <c r="AC41" s="5">
        <f>IF($B40&lt;=Tabla5[[#This Row],[INVERSIONES FCI]],+Tabla5[[#This Row],[INVERSIONES FCI]]-AC40,Tabla5[[#This Row],[INVERSIONES FCI]])</f>
        <v>4408951071.7614021</v>
      </c>
      <c r="AD41" s="5">
        <f>IF($B40&lt;=Tabla5[[#This Row],[INVERSIONES FCI]],+Tabla5[[#This Row],[INVERSIONES FCI]]-AD40,Tabla5[[#This Row],[INVERSIONES FCI]])</f>
        <v>4408951071.7614021</v>
      </c>
      <c r="AE41" s="5">
        <f>IF($B40&lt;=Tabla5[[#This Row],[INVERSIONES FCI]],+Tabla5[[#This Row],[INVERSIONES FCI]]-AE40,Tabla5[[#This Row],[INVERSIONES FCI]])</f>
        <v>4408951071.7614021</v>
      </c>
      <c r="AF41" s="5">
        <f>IF($B40&lt;=Tabla5[[#This Row],[INVERSIONES FCI]],+Tabla5[[#This Row],[INVERSIONES FCI]]-AF40,Tabla5[[#This Row],[INVERSIONES FCI]])</f>
        <v>4408951071.7614021</v>
      </c>
      <c r="AG41" s="5">
        <f>IF($B40&lt;=Tabla5[[#This Row],[INVERSIONES FCI]],+Tabla5[[#This Row],[INVERSIONES FCI]]-AG40,Tabla5[[#This Row],[INVERSIONES FCI]])</f>
        <v>4408951071.7614021</v>
      </c>
      <c r="AH41" s="5">
        <f>IF($B40&lt;=Tabla5[[#This Row],[INVERSIONES FCI]],+Tabla5[[#This Row],[INVERSIONES FCI]]-AH40,Tabla5[[#This Row],[INVERSIONES FCI]])</f>
        <v>4408951071.7614021</v>
      </c>
      <c r="AI41" s="5">
        <f>IF($B40&lt;=Tabla5[[#This Row],[INVERSIONES FCI]],+Tabla5[[#This Row],[INVERSIONES FCI]]-AI40,Tabla5[[#This Row],[INVERSIONES FCI]])</f>
        <v>4408951071.7614021</v>
      </c>
      <c r="AJ41" s="5">
        <f>IF($B40&lt;=Tabla5[[#This Row],[INVERSIONES FCI]],+Tabla5[[#This Row],[INVERSIONES FCI]]-AJ40,Tabla5[[#This Row],[INVERSIONES FCI]])</f>
        <v>4408951071.7614021</v>
      </c>
      <c r="AK41" s="5">
        <f>IF($B40&lt;=Tabla5[[#This Row],[INVERSIONES FCI]],+Tabla5[[#This Row],[INVERSIONES FCI]]-AK40,Tabla5[[#This Row],[INVERSIONES FCI]])</f>
        <v>4408951071.7614021</v>
      </c>
      <c r="AL41" s="5">
        <f>IF($B40&lt;=Tabla5[[#This Row],[INVERSIONES FCI]],+Tabla5[[#This Row],[INVERSIONES FCI]]-AL40,Tabla5[[#This Row],[INVERSIONES FCI]])</f>
        <v>4408951071.7614021</v>
      </c>
      <c r="AM41" s="5">
        <f>IF($B40&lt;=Tabla5[[#This Row],[INVERSIONES FCI]],+Tabla5[[#This Row],[INVERSIONES FCI]]-AM40,Tabla5[[#This Row],[INVERSIONES FCI]])</f>
        <v>4408951071.7614021</v>
      </c>
      <c r="AN41" s="5">
        <f>IF($B40&lt;=Tabla5[[#This Row],[INVERSIONES FCI]],+Tabla5[[#This Row],[INVERSIONES FCI]]-AN40,Tabla5[[#This Row],[INVERSIONES FCI]])</f>
        <v>4408951071.7614021</v>
      </c>
      <c r="AO41" s="5">
        <f>IF($B40&lt;=Tabla5[[#This Row],[INVERSIONES FCI]],+Tabla5[[#This Row],[INVERSIONES FCI]]-AO40,Tabla5[[#This Row],[INVERSIONES FCI]])</f>
        <v>4408951071.7614021</v>
      </c>
      <c r="AP41" s="5" cm="1">
        <f t="array" ref="AP41">IF(Tabla5[[#This Row],[FCI]]=0,0,_xlfn.XLOOKUP(TRUE,$B41:AO41&gt;0,$B41:AO41,"",0,-1))</f>
        <v>4408951071.7614021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</row>
    <row r="42" spans="1:121" ht="14.4">
      <c r="A42" s="12" t="s">
        <v>41</v>
      </c>
      <c r="B42" s="5">
        <f>HLOOKUP($A42,ESCENARIO[#All],7,FALSE)</f>
        <v>14804820090.18877</v>
      </c>
      <c r="C42" s="5">
        <f>IF($B41&lt;=Tabla5[[#This Row],[INVERSIONES FCI]],+Tabla5[[#This Row],[INVERSIONES FCI]]-C41,Tabla5[[#This Row],[INVERSIONES FCI]])</f>
        <v>14804820090.18877</v>
      </c>
      <c r="D42" s="5">
        <f>IF($B41&lt;=Tabla5[[#This Row],[INVERSIONES FCI]],+Tabla5[[#This Row],[INVERSIONES FCI]]-D41,Tabla5[[#This Row],[INVERSIONES FCI]])</f>
        <v>14804820090.18877</v>
      </c>
      <c r="E42" s="5">
        <f>IF($B41&lt;=Tabla5[[#This Row],[INVERSIONES FCI]],+Tabla5[[#This Row],[INVERSIONES FCI]]-E41,Tabla5[[#This Row],[INVERSIONES FCI]])</f>
        <v>14804820090.18877</v>
      </c>
      <c r="F42" s="5">
        <f>IF($B41&lt;=Tabla5[[#This Row],[INVERSIONES FCI]],+Tabla5[[#This Row],[INVERSIONES FCI]]-F41,Tabla5[[#This Row],[INVERSIONES FCI]])</f>
        <v>14804820090.18877</v>
      </c>
      <c r="G42" s="5">
        <f>IF($B41&lt;=Tabla5[[#This Row],[INVERSIONES FCI]],+Tabla5[[#This Row],[INVERSIONES FCI]]-G41,Tabla5[[#This Row],[INVERSIONES FCI]])</f>
        <v>14804820090.18877</v>
      </c>
      <c r="H42" s="5">
        <f>IF($B41&lt;=Tabla5[[#This Row],[INVERSIONES FCI]],+Tabla5[[#This Row],[INVERSIONES FCI]]-H41,Tabla5[[#This Row],[INVERSIONES FCI]])</f>
        <v>14804820090.18877</v>
      </c>
      <c r="I42" s="5">
        <f>IF($B41&lt;=Tabla5[[#This Row],[INVERSIONES FCI]],+Tabla5[[#This Row],[INVERSIONES FCI]]-I41,Tabla5[[#This Row],[INVERSIONES FCI]])</f>
        <v>14804820090.18877</v>
      </c>
      <c r="J42" s="5">
        <f>IF($B41&lt;=Tabla5[[#This Row],[INVERSIONES FCI]],+Tabla5[[#This Row],[INVERSIONES FCI]]-J41,Tabla5[[#This Row],[INVERSIONES FCI]])</f>
        <v>14804820090.18877</v>
      </c>
      <c r="K42" s="5">
        <f>IF($B41&lt;=Tabla5[[#This Row],[INVERSIONES FCI]],+Tabla5[[#This Row],[INVERSIONES FCI]]-K41,Tabla5[[#This Row],[INVERSIONES FCI]])</f>
        <v>14804820090.18877</v>
      </c>
      <c r="L42" s="5">
        <f>IF($B41&lt;=Tabla5[[#This Row],[INVERSIONES FCI]],+Tabla5[[#This Row],[INVERSIONES FCI]]-L41,Tabla5[[#This Row],[INVERSIONES FCI]])</f>
        <v>14804820090.18877</v>
      </c>
      <c r="M42" s="5">
        <f>IF($B41&lt;=Tabla5[[#This Row],[INVERSIONES FCI]],+Tabla5[[#This Row],[INVERSIONES FCI]]-M41,Tabla5[[#This Row],[INVERSIONES FCI]])</f>
        <v>14804820090.18877</v>
      </c>
      <c r="N42" s="5">
        <f>IF($B41&lt;=Tabla5[[#This Row],[INVERSIONES FCI]],+Tabla5[[#This Row],[INVERSIONES FCI]]-N41,Tabla5[[#This Row],[INVERSIONES FCI]])</f>
        <v>14804820090.18877</v>
      </c>
      <c r="O42" s="5">
        <f>IF($B41&lt;=Tabla5[[#This Row],[INVERSIONES FCI]],+Tabla5[[#This Row],[INVERSIONES FCI]]-O41,Tabla5[[#This Row],[INVERSIONES FCI]])</f>
        <v>14804820090.18877</v>
      </c>
      <c r="P42" s="5">
        <f>IF($B41&lt;=Tabla5[[#This Row],[INVERSIONES FCI]],+Tabla5[[#This Row],[INVERSIONES FCI]]-P41,Tabla5[[#This Row],[INVERSIONES FCI]])</f>
        <v>14804820090.18877</v>
      </c>
      <c r="Q42" s="5">
        <f>IF($B41&lt;=Tabla5[[#This Row],[INVERSIONES FCI]],+Tabla5[[#This Row],[INVERSIONES FCI]]-Q41,Tabla5[[#This Row],[INVERSIONES FCI]])</f>
        <v>14804820090.18877</v>
      </c>
      <c r="R42" s="5">
        <f>IF($B41&lt;=Tabla5[[#This Row],[INVERSIONES FCI]],+Tabla5[[#This Row],[INVERSIONES FCI]]-R41,Tabla5[[#This Row],[INVERSIONES FCI]])</f>
        <v>14804820090.18877</v>
      </c>
      <c r="S42" s="5">
        <f>IF($B41&lt;=Tabla5[[#This Row],[INVERSIONES FCI]],+Tabla5[[#This Row],[INVERSIONES FCI]]-S41,Tabla5[[#This Row],[INVERSIONES FCI]])</f>
        <v>14804820090.18877</v>
      </c>
      <c r="T42" s="5">
        <f>IF($B41&lt;=Tabla5[[#This Row],[INVERSIONES FCI]],+Tabla5[[#This Row],[INVERSIONES FCI]]-T41,Tabla5[[#This Row],[INVERSIONES FCI]])</f>
        <v>14804820090.18877</v>
      </c>
      <c r="U42" s="5">
        <f>IF($B41&lt;=Tabla5[[#This Row],[INVERSIONES FCI]],+Tabla5[[#This Row],[INVERSIONES FCI]]-U41,Tabla5[[#This Row],[INVERSIONES FCI]])</f>
        <v>14804820090.18877</v>
      </c>
      <c r="V42" s="5">
        <f>IF($B41&lt;=Tabla5[[#This Row],[INVERSIONES FCI]],+Tabla5[[#This Row],[INVERSIONES FCI]]-V41,Tabla5[[#This Row],[INVERSIONES FCI]])</f>
        <v>14804820090.18877</v>
      </c>
      <c r="W42" s="5">
        <f>IF($B41&lt;=Tabla5[[#This Row],[INVERSIONES FCI]],+Tabla5[[#This Row],[INVERSIONES FCI]]-W41,Tabla5[[#This Row],[INVERSIONES FCI]])</f>
        <v>14804820090.18877</v>
      </c>
      <c r="X42" s="5">
        <f>IF($B41&lt;=Tabla5[[#This Row],[INVERSIONES FCI]],+Tabla5[[#This Row],[INVERSIONES FCI]]-X41,Tabla5[[#This Row],[INVERSIONES FCI]])</f>
        <v>14804820090.18877</v>
      </c>
      <c r="Y42" s="5">
        <f>IF($B41&lt;=Tabla5[[#This Row],[INVERSIONES FCI]],+Tabla5[[#This Row],[INVERSIONES FCI]]-Y41,Tabla5[[#This Row],[INVERSIONES FCI]])</f>
        <v>14804820090.18877</v>
      </c>
      <c r="Z42" s="5">
        <f>IF($B41&lt;=Tabla5[[#This Row],[INVERSIONES FCI]],+Tabla5[[#This Row],[INVERSIONES FCI]]-Z41,Tabla5[[#This Row],[INVERSIONES FCI]])</f>
        <v>14804820090.18877</v>
      </c>
      <c r="AA42" s="5">
        <f>IF($B41&lt;=Tabla5[[#This Row],[INVERSIONES FCI]],+Tabla5[[#This Row],[INVERSIONES FCI]]-AA41,Tabla5[[#This Row],[INVERSIONES FCI]])</f>
        <v>14804820090.18877</v>
      </c>
      <c r="AB42" s="5">
        <f>IF($B41&lt;=Tabla5[[#This Row],[INVERSIONES FCI]],+Tabla5[[#This Row],[INVERSIONES FCI]]-AB41,Tabla5[[#This Row],[INVERSIONES FCI]])</f>
        <v>14804820090.18877</v>
      </c>
      <c r="AC42" s="5">
        <f>IF($B41&lt;=Tabla5[[#This Row],[INVERSIONES FCI]],+Tabla5[[#This Row],[INVERSIONES FCI]]-AC41,Tabla5[[#This Row],[INVERSIONES FCI]])</f>
        <v>14804820090.18877</v>
      </c>
      <c r="AD42" s="5">
        <f>IF($B41&lt;=Tabla5[[#This Row],[INVERSIONES FCI]],+Tabla5[[#This Row],[INVERSIONES FCI]]-AD41,Tabla5[[#This Row],[INVERSIONES FCI]])</f>
        <v>14804820090.18877</v>
      </c>
      <c r="AE42" s="5">
        <f>IF($B41&lt;=Tabla5[[#This Row],[INVERSIONES FCI]],+Tabla5[[#This Row],[INVERSIONES FCI]]-AE41,Tabla5[[#This Row],[INVERSIONES FCI]])</f>
        <v>14804820090.18877</v>
      </c>
      <c r="AF42" s="5">
        <f>IF($B41&lt;=Tabla5[[#This Row],[INVERSIONES FCI]],+Tabla5[[#This Row],[INVERSIONES FCI]]-AF41,Tabla5[[#This Row],[INVERSIONES FCI]])</f>
        <v>14804820090.18877</v>
      </c>
      <c r="AG42" s="5">
        <f>IF($B41&lt;=Tabla5[[#This Row],[INVERSIONES FCI]],+Tabla5[[#This Row],[INVERSIONES FCI]]-AG41,Tabla5[[#This Row],[INVERSIONES FCI]])</f>
        <v>14804820090.18877</v>
      </c>
      <c r="AH42" s="5">
        <f>IF($B41&lt;=Tabla5[[#This Row],[INVERSIONES FCI]],+Tabla5[[#This Row],[INVERSIONES FCI]]-AH41,Tabla5[[#This Row],[INVERSIONES FCI]])</f>
        <v>14804820090.18877</v>
      </c>
      <c r="AI42" s="5">
        <f>IF($B41&lt;=Tabla5[[#This Row],[INVERSIONES FCI]],+Tabla5[[#This Row],[INVERSIONES FCI]]-AI41,Tabla5[[#This Row],[INVERSIONES FCI]])</f>
        <v>14804820090.18877</v>
      </c>
      <c r="AJ42" s="5">
        <f>IF($B41&lt;=Tabla5[[#This Row],[INVERSIONES FCI]],+Tabla5[[#This Row],[INVERSIONES FCI]]-AJ41,Tabla5[[#This Row],[INVERSIONES FCI]])</f>
        <v>14804820090.18877</v>
      </c>
      <c r="AK42" s="5">
        <f>IF($B41&lt;=Tabla5[[#This Row],[INVERSIONES FCI]],+Tabla5[[#This Row],[INVERSIONES FCI]]-AK41,Tabla5[[#This Row],[INVERSIONES FCI]])</f>
        <v>14804820090.18877</v>
      </c>
      <c r="AL42" s="5">
        <f>IF($B41&lt;=Tabla5[[#This Row],[INVERSIONES FCI]],+Tabla5[[#This Row],[INVERSIONES FCI]]-AL41,Tabla5[[#This Row],[INVERSIONES FCI]])</f>
        <v>14804820090.18877</v>
      </c>
      <c r="AM42" s="5">
        <f>IF($B41&lt;=Tabla5[[#This Row],[INVERSIONES FCI]],+Tabla5[[#This Row],[INVERSIONES FCI]]-AM41,Tabla5[[#This Row],[INVERSIONES FCI]])</f>
        <v>14804820090.18877</v>
      </c>
      <c r="AN42" s="5">
        <f>IF($B41&lt;=Tabla5[[#This Row],[INVERSIONES FCI]],+Tabla5[[#This Row],[INVERSIONES FCI]]-AN41,Tabla5[[#This Row],[INVERSIONES FCI]])</f>
        <v>14804820090.18877</v>
      </c>
      <c r="AO42" s="5">
        <f>IF($B41&lt;=Tabla5[[#This Row],[INVERSIONES FCI]],+Tabla5[[#This Row],[INVERSIONES FCI]]-AO41,Tabla5[[#This Row],[INVERSIONES FCI]])</f>
        <v>14804820090.18877</v>
      </c>
      <c r="AP42" s="5">
        <f>IF($B41&lt;=Tabla5[[#This Row],[INVERSIONES FCI]],+Tabla5[[#This Row],[INVERSIONES FCI]]-AP41,Tabla5[[#This Row],[INVERSIONES FCI]])</f>
        <v>14804820090.18877</v>
      </c>
      <c r="AQ42" s="5" cm="1">
        <f t="array" ref="AQ42">IF(Tabla5[[#This Row],[FCI]]=0,0,_xlfn.XLOOKUP(TRUE,$B42:AP42&gt;0,$B42:AP42,"",0,-1))</f>
        <v>14804820090.18877</v>
      </c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</row>
    <row r="43" spans="1:121" ht="14.4">
      <c r="A43" s="12" t="s">
        <v>42</v>
      </c>
      <c r="B43" s="5">
        <f>HLOOKUP($A43,ESCENARIO[#All],7,FALSE)</f>
        <v>17500155125.505093</v>
      </c>
      <c r="C43" s="5">
        <f>IF($B42&lt;=Tabla5[[#This Row],[INVERSIONES FCI]],+Tabla5[[#This Row],[INVERSIONES FCI]]-C42,Tabla5[[#This Row],[INVERSIONES FCI]])</f>
        <v>2695335035.3163223</v>
      </c>
      <c r="D43" s="5">
        <f>IF($B42&lt;=Tabla5[[#This Row],[INVERSIONES FCI]],+Tabla5[[#This Row],[INVERSIONES FCI]]-D42,Tabla5[[#This Row],[INVERSIONES FCI]])</f>
        <v>2695335035.3163223</v>
      </c>
      <c r="E43" s="5">
        <f>IF($B42&lt;=Tabla5[[#This Row],[INVERSIONES FCI]],+Tabla5[[#This Row],[INVERSIONES FCI]]-E42,Tabla5[[#This Row],[INVERSIONES FCI]])</f>
        <v>2695335035.3163223</v>
      </c>
      <c r="F43" s="5">
        <f>IF($B42&lt;=Tabla5[[#This Row],[INVERSIONES FCI]],+Tabla5[[#This Row],[INVERSIONES FCI]]-F42,Tabla5[[#This Row],[INVERSIONES FCI]])</f>
        <v>2695335035.3163223</v>
      </c>
      <c r="G43" s="5">
        <f>IF($B42&lt;=Tabla5[[#This Row],[INVERSIONES FCI]],+Tabla5[[#This Row],[INVERSIONES FCI]]-G42,Tabla5[[#This Row],[INVERSIONES FCI]])</f>
        <v>2695335035.3163223</v>
      </c>
      <c r="H43" s="5">
        <f>IF($B42&lt;=Tabla5[[#This Row],[INVERSIONES FCI]],+Tabla5[[#This Row],[INVERSIONES FCI]]-H42,Tabla5[[#This Row],[INVERSIONES FCI]])</f>
        <v>2695335035.3163223</v>
      </c>
      <c r="I43" s="5">
        <f>IF($B42&lt;=Tabla5[[#This Row],[INVERSIONES FCI]],+Tabla5[[#This Row],[INVERSIONES FCI]]-I42,Tabla5[[#This Row],[INVERSIONES FCI]])</f>
        <v>2695335035.3163223</v>
      </c>
      <c r="J43" s="5">
        <f>IF($B42&lt;=Tabla5[[#This Row],[INVERSIONES FCI]],+Tabla5[[#This Row],[INVERSIONES FCI]]-J42,Tabla5[[#This Row],[INVERSIONES FCI]])</f>
        <v>2695335035.3163223</v>
      </c>
      <c r="K43" s="5">
        <f>IF($B42&lt;=Tabla5[[#This Row],[INVERSIONES FCI]],+Tabla5[[#This Row],[INVERSIONES FCI]]-K42,Tabla5[[#This Row],[INVERSIONES FCI]])</f>
        <v>2695335035.3163223</v>
      </c>
      <c r="L43" s="5">
        <f>IF($B42&lt;=Tabla5[[#This Row],[INVERSIONES FCI]],+Tabla5[[#This Row],[INVERSIONES FCI]]-L42,Tabla5[[#This Row],[INVERSIONES FCI]])</f>
        <v>2695335035.3163223</v>
      </c>
      <c r="M43" s="5">
        <f>IF($B42&lt;=Tabla5[[#This Row],[INVERSIONES FCI]],+Tabla5[[#This Row],[INVERSIONES FCI]]-M42,Tabla5[[#This Row],[INVERSIONES FCI]])</f>
        <v>2695335035.3163223</v>
      </c>
      <c r="N43" s="5">
        <f>IF($B42&lt;=Tabla5[[#This Row],[INVERSIONES FCI]],+Tabla5[[#This Row],[INVERSIONES FCI]]-N42,Tabla5[[#This Row],[INVERSIONES FCI]])</f>
        <v>2695335035.3163223</v>
      </c>
      <c r="O43" s="5">
        <f>IF($B42&lt;=Tabla5[[#This Row],[INVERSIONES FCI]],+Tabla5[[#This Row],[INVERSIONES FCI]]-O42,Tabla5[[#This Row],[INVERSIONES FCI]])</f>
        <v>2695335035.3163223</v>
      </c>
      <c r="P43" s="5">
        <f>IF($B42&lt;=Tabla5[[#This Row],[INVERSIONES FCI]],+Tabla5[[#This Row],[INVERSIONES FCI]]-P42,Tabla5[[#This Row],[INVERSIONES FCI]])</f>
        <v>2695335035.3163223</v>
      </c>
      <c r="Q43" s="5">
        <f>IF($B42&lt;=Tabla5[[#This Row],[INVERSIONES FCI]],+Tabla5[[#This Row],[INVERSIONES FCI]]-Q42,Tabla5[[#This Row],[INVERSIONES FCI]])</f>
        <v>2695335035.3163223</v>
      </c>
      <c r="R43" s="5">
        <f>IF($B42&lt;=Tabla5[[#This Row],[INVERSIONES FCI]],+Tabla5[[#This Row],[INVERSIONES FCI]]-R42,Tabla5[[#This Row],[INVERSIONES FCI]])</f>
        <v>2695335035.3163223</v>
      </c>
      <c r="S43" s="5">
        <f>IF($B42&lt;=Tabla5[[#This Row],[INVERSIONES FCI]],+Tabla5[[#This Row],[INVERSIONES FCI]]-S42,Tabla5[[#This Row],[INVERSIONES FCI]])</f>
        <v>2695335035.3163223</v>
      </c>
      <c r="T43" s="5">
        <f>IF($B42&lt;=Tabla5[[#This Row],[INVERSIONES FCI]],+Tabla5[[#This Row],[INVERSIONES FCI]]-T42,Tabla5[[#This Row],[INVERSIONES FCI]])</f>
        <v>2695335035.3163223</v>
      </c>
      <c r="U43" s="5">
        <f>IF($B42&lt;=Tabla5[[#This Row],[INVERSIONES FCI]],+Tabla5[[#This Row],[INVERSIONES FCI]]-U42,Tabla5[[#This Row],[INVERSIONES FCI]])</f>
        <v>2695335035.3163223</v>
      </c>
      <c r="V43" s="5">
        <f>IF($B42&lt;=Tabla5[[#This Row],[INVERSIONES FCI]],+Tabla5[[#This Row],[INVERSIONES FCI]]-V42,Tabla5[[#This Row],[INVERSIONES FCI]])</f>
        <v>2695335035.3163223</v>
      </c>
      <c r="W43" s="5">
        <f>IF($B42&lt;=Tabla5[[#This Row],[INVERSIONES FCI]],+Tabla5[[#This Row],[INVERSIONES FCI]]-W42,Tabla5[[#This Row],[INVERSIONES FCI]])</f>
        <v>2695335035.3163223</v>
      </c>
      <c r="X43" s="5">
        <f>IF($B42&lt;=Tabla5[[#This Row],[INVERSIONES FCI]],+Tabla5[[#This Row],[INVERSIONES FCI]]-X42,Tabla5[[#This Row],[INVERSIONES FCI]])</f>
        <v>2695335035.3163223</v>
      </c>
      <c r="Y43" s="5">
        <f>IF($B42&lt;=Tabla5[[#This Row],[INVERSIONES FCI]],+Tabla5[[#This Row],[INVERSIONES FCI]]-Y42,Tabla5[[#This Row],[INVERSIONES FCI]])</f>
        <v>2695335035.3163223</v>
      </c>
      <c r="Z43" s="5">
        <f>IF($B42&lt;=Tabla5[[#This Row],[INVERSIONES FCI]],+Tabla5[[#This Row],[INVERSIONES FCI]]-Z42,Tabla5[[#This Row],[INVERSIONES FCI]])</f>
        <v>2695335035.3163223</v>
      </c>
      <c r="AA43" s="5">
        <f>IF($B42&lt;=Tabla5[[#This Row],[INVERSIONES FCI]],+Tabla5[[#This Row],[INVERSIONES FCI]]-AA42,Tabla5[[#This Row],[INVERSIONES FCI]])</f>
        <v>2695335035.3163223</v>
      </c>
      <c r="AB43" s="5">
        <f>IF($B42&lt;=Tabla5[[#This Row],[INVERSIONES FCI]],+Tabla5[[#This Row],[INVERSIONES FCI]]-AB42,Tabla5[[#This Row],[INVERSIONES FCI]])</f>
        <v>2695335035.3163223</v>
      </c>
      <c r="AC43" s="5">
        <f>IF($B42&lt;=Tabla5[[#This Row],[INVERSIONES FCI]],+Tabla5[[#This Row],[INVERSIONES FCI]]-AC42,Tabla5[[#This Row],[INVERSIONES FCI]])</f>
        <v>2695335035.3163223</v>
      </c>
      <c r="AD43" s="5">
        <f>IF($B42&lt;=Tabla5[[#This Row],[INVERSIONES FCI]],+Tabla5[[#This Row],[INVERSIONES FCI]]-AD42,Tabla5[[#This Row],[INVERSIONES FCI]])</f>
        <v>2695335035.3163223</v>
      </c>
      <c r="AE43" s="5">
        <f>IF($B42&lt;=Tabla5[[#This Row],[INVERSIONES FCI]],+Tabla5[[#This Row],[INVERSIONES FCI]]-AE42,Tabla5[[#This Row],[INVERSIONES FCI]])</f>
        <v>2695335035.3163223</v>
      </c>
      <c r="AF43" s="5">
        <f>IF($B42&lt;=Tabla5[[#This Row],[INVERSIONES FCI]],+Tabla5[[#This Row],[INVERSIONES FCI]]-AF42,Tabla5[[#This Row],[INVERSIONES FCI]])</f>
        <v>2695335035.3163223</v>
      </c>
      <c r="AG43" s="5">
        <f>IF($B42&lt;=Tabla5[[#This Row],[INVERSIONES FCI]],+Tabla5[[#This Row],[INVERSIONES FCI]]-AG42,Tabla5[[#This Row],[INVERSIONES FCI]])</f>
        <v>2695335035.3163223</v>
      </c>
      <c r="AH43" s="5">
        <f>IF($B42&lt;=Tabla5[[#This Row],[INVERSIONES FCI]],+Tabla5[[#This Row],[INVERSIONES FCI]]-AH42,Tabla5[[#This Row],[INVERSIONES FCI]])</f>
        <v>2695335035.3163223</v>
      </c>
      <c r="AI43" s="5">
        <f>IF($B42&lt;=Tabla5[[#This Row],[INVERSIONES FCI]],+Tabla5[[#This Row],[INVERSIONES FCI]]-AI42,Tabla5[[#This Row],[INVERSIONES FCI]])</f>
        <v>2695335035.3163223</v>
      </c>
      <c r="AJ43" s="5">
        <f>IF($B42&lt;=Tabla5[[#This Row],[INVERSIONES FCI]],+Tabla5[[#This Row],[INVERSIONES FCI]]-AJ42,Tabla5[[#This Row],[INVERSIONES FCI]])</f>
        <v>2695335035.3163223</v>
      </c>
      <c r="AK43" s="5">
        <f>IF($B42&lt;=Tabla5[[#This Row],[INVERSIONES FCI]],+Tabla5[[#This Row],[INVERSIONES FCI]]-AK42,Tabla5[[#This Row],[INVERSIONES FCI]])</f>
        <v>2695335035.3163223</v>
      </c>
      <c r="AL43" s="5">
        <f>IF($B42&lt;=Tabla5[[#This Row],[INVERSIONES FCI]],+Tabla5[[#This Row],[INVERSIONES FCI]]-AL42,Tabla5[[#This Row],[INVERSIONES FCI]])</f>
        <v>2695335035.3163223</v>
      </c>
      <c r="AM43" s="5">
        <f>IF($B42&lt;=Tabla5[[#This Row],[INVERSIONES FCI]],+Tabla5[[#This Row],[INVERSIONES FCI]]-AM42,Tabla5[[#This Row],[INVERSIONES FCI]])</f>
        <v>2695335035.3163223</v>
      </c>
      <c r="AN43" s="5">
        <f>IF($B42&lt;=Tabla5[[#This Row],[INVERSIONES FCI]],+Tabla5[[#This Row],[INVERSIONES FCI]]-AN42,Tabla5[[#This Row],[INVERSIONES FCI]])</f>
        <v>2695335035.3163223</v>
      </c>
      <c r="AO43" s="5">
        <f>IF($B42&lt;=Tabla5[[#This Row],[INVERSIONES FCI]],+Tabla5[[#This Row],[INVERSIONES FCI]]-AO42,Tabla5[[#This Row],[INVERSIONES FCI]])</f>
        <v>2695335035.3163223</v>
      </c>
      <c r="AP43" s="5">
        <f>IF($B42&lt;=Tabla5[[#This Row],[INVERSIONES FCI]],+Tabla5[[#This Row],[INVERSIONES FCI]]-AP42,Tabla5[[#This Row],[INVERSIONES FCI]])</f>
        <v>2695335035.3163223</v>
      </c>
      <c r="AQ43" s="5">
        <f>IF($B42&lt;=Tabla5[[#This Row],[INVERSIONES FCI]],+Tabla5[[#This Row],[INVERSIONES FCI]]-AQ42,Tabla5[[#This Row],[INVERSIONES FCI]])</f>
        <v>2695335035.3163223</v>
      </c>
      <c r="AR43" s="5" cm="1">
        <f t="array" ref="AR43">IF(Tabla5[[#This Row],[FCI]]=0,0,_xlfn.XLOOKUP(TRUE,$B43:AQ43&gt;0,$B43:AQ43,"",0,-1))</f>
        <v>2695335035.3163223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</row>
    <row r="44" spans="1:121" ht="14.4">
      <c r="A44" s="12" t="s">
        <v>43</v>
      </c>
      <c r="B44" s="5">
        <f>HLOOKUP($A44,ESCENARIO[#All],7,FALSE)</f>
        <v>17250155125.505093</v>
      </c>
      <c r="C44" s="5">
        <f>IF($B43&lt;=Tabla5[[#This Row],[INVERSIONES FCI]],+Tabla5[[#This Row],[INVERSIONES FCI]]-C43,Tabla5[[#This Row],[INVERSIONES FCI]])</f>
        <v>17250155125.505093</v>
      </c>
      <c r="D44" s="5">
        <f>IF($B43&lt;=Tabla5[[#This Row],[INVERSIONES FCI]],+Tabla5[[#This Row],[INVERSIONES FCI]]-D43,Tabla5[[#This Row],[INVERSIONES FCI]])</f>
        <v>17250155125.505093</v>
      </c>
      <c r="E44" s="5">
        <f>IF($B43&lt;=Tabla5[[#This Row],[INVERSIONES FCI]],+Tabla5[[#This Row],[INVERSIONES FCI]]-E43,Tabla5[[#This Row],[INVERSIONES FCI]])</f>
        <v>17250155125.505093</v>
      </c>
      <c r="F44" s="5">
        <f>IF($B43&lt;=Tabla5[[#This Row],[INVERSIONES FCI]],+Tabla5[[#This Row],[INVERSIONES FCI]]-F43,Tabla5[[#This Row],[INVERSIONES FCI]])</f>
        <v>17250155125.505093</v>
      </c>
      <c r="G44" s="5">
        <f>IF($B43&lt;=Tabla5[[#This Row],[INVERSIONES FCI]],+Tabla5[[#This Row],[INVERSIONES FCI]]-G43,Tabla5[[#This Row],[INVERSIONES FCI]])</f>
        <v>17250155125.505093</v>
      </c>
      <c r="H44" s="5">
        <f>IF($B43&lt;=Tabla5[[#This Row],[INVERSIONES FCI]],+Tabla5[[#This Row],[INVERSIONES FCI]]-H43,Tabla5[[#This Row],[INVERSIONES FCI]])</f>
        <v>17250155125.505093</v>
      </c>
      <c r="I44" s="5">
        <f>IF($B43&lt;=Tabla5[[#This Row],[INVERSIONES FCI]],+Tabla5[[#This Row],[INVERSIONES FCI]]-I43,Tabla5[[#This Row],[INVERSIONES FCI]])</f>
        <v>17250155125.505093</v>
      </c>
      <c r="J44" s="5">
        <f>IF($B43&lt;=Tabla5[[#This Row],[INVERSIONES FCI]],+Tabla5[[#This Row],[INVERSIONES FCI]]-J43,Tabla5[[#This Row],[INVERSIONES FCI]])</f>
        <v>17250155125.505093</v>
      </c>
      <c r="K44" s="5">
        <f>IF($B43&lt;=Tabla5[[#This Row],[INVERSIONES FCI]],+Tabla5[[#This Row],[INVERSIONES FCI]]-K43,Tabla5[[#This Row],[INVERSIONES FCI]])</f>
        <v>17250155125.505093</v>
      </c>
      <c r="L44" s="5">
        <f>IF($B43&lt;=Tabla5[[#This Row],[INVERSIONES FCI]],+Tabla5[[#This Row],[INVERSIONES FCI]]-L43,Tabla5[[#This Row],[INVERSIONES FCI]])</f>
        <v>17250155125.505093</v>
      </c>
      <c r="M44" s="5">
        <f>IF($B43&lt;=Tabla5[[#This Row],[INVERSIONES FCI]],+Tabla5[[#This Row],[INVERSIONES FCI]]-M43,Tabla5[[#This Row],[INVERSIONES FCI]])</f>
        <v>17250155125.505093</v>
      </c>
      <c r="N44" s="5">
        <f>IF($B43&lt;=Tabla5[[#This Row],[INVERSIONES FCI]],+Tabla5[[#This Row],[INVERSIONES FCI]]-N43,Tabla5[[#This Row],[INVERSIONES FCI]])</f>
        <v>17250155125.505093</v>
      </c>
      <c r="O44" s="5">
        <f>IF($B43&lt;=Tabla5[[#This Row],[INVERSIONES FCI]],+Tabla5[[#This Row],[INVERSIONES FCI]]-O43,Tabla5[[#This Row],[INVERSIONES FCI]])</f>
        <v>17250155125.505093</v>
      </c>
      <c r="P44" s="5">
        <f>IF($B43&lt;=Tabla5[[#This Row],[INVERSIONES FCI]],+Tabla5[[#This Row],[INVERSIONES FCI]]-P43,Tabla5[[#This Row],[INVERSIONES FCI]])</f>
        <v>17250155125.505093</v>
      </c>
      <c r="Q44" s="5">
        <f>IF($B43&lt;=Tabla5[[#This Row],[INVERSIONES FCI]],+Tabla5[[#This Row],[INVERSIONES FCI]]-Q43,Tabla5[[#This Row],[INVERSIONES FCI]])</f>
        <v>17250155125.505093</v>
      </c>
      <c r="R44" s="5">
        <f>IF($B43&lt;=Tabla5[[#This Row],[INVERSIONES FCI]],+Tabla5[[#This Row],[INVERSIONES FCI]]-R43,Tabla5[[#This Row],[INVERSIONES FCI]])</f>
        <v>17250155125.505093</v>
      </c>
      <c r="S44" s="5">
        <f>IF($B43&lt;=Tabla5[[#This Row],[INVERSIONES FCI]],+Tabla5[[#This Row],[INVERSIONES FCI]]-S43,Tabla5[[#This Row],[INVERSIONES FCI]])</f>
        <v>17250155125.505093</v>
      </c>
      <c r="T44" s="5">
        <f>IF($B43&lt;=Tabla5[[#This Row],[INVERSIONES FCI]],+Tabla5[[#This Row],[INVERSIONES FCI]]-T43,Tabla5[[#This Row],[INVERSIONES FCI]])</f>
        <v>17250155125.505093</v>
      </c>
      <c r="U44" s="5">
        <f>IF($B43&lt;=Tabla5[[#This Row],[INVERSIONES FCI]],+Tabla5[[#This Row],[INVERSIONES FCI]]-U43,Tabla5[[#This Row],[INVERSIONES FCI]])</f>
        <v>17250155125.505093</v>
      </c>
      <c r="V44" s="5">
        <f>IF($B43&lt;=Tabla5[[#This Row],[INVERSIONES FCI]],+Tabla5[[#This Row],[INVERSIONES FCI]]-V43,Tabla5[[#This Row],[INVERSIONES FCI]])</f>
        <v>17250155125.505093</v>
      </c>
      <c r="W44" s="5">
        <f>IF($B43&lt;=Tabla5[[#This Row],[INVERSIONES FCI]],+Tabla5[[#This Row],[INVERSIONES FCI]]-W43,Tabla5[[#This Row],[INVERSIONES FCI]])</f>
        <v>17250155125.505093</v>
      </c>
      <c r="X44" s="5">
        <f>IF($B43&lt;=Tabla5[[#This Row],[INVERSIONES FCI]],+Tabla5[[#This Row],[INVERSIONES FCI]]-X43,Tabla5[[#This Row],[INVERSIONES FCI]])</f>
        <v>17250155125.505093</v>
      </c>
      <c r="Y44" s="5">
        <f>IF($B43&lt;=Tabla5[[#This Row],[INVERSIONES FCI]],+Tabla5[[#This Row],[INVERSIONES FCI]]-Y43,Tabla5[[#This Row],[INVERSIONES FCI]])</f>
        <v>17250155125.505093</v>
      </c>
      <c r="Z44" s="5">
        <f>IF($B43&lt;=Tabla5[[#This Row],[INVERSIONES FCI]],+Tabla5[[#This Row],[INVERSIONES FCI]]-Z43,Tabla5[[#This Row],[INVERSIONES FCI]])</f>
        <v>17250155125.505093</v>
      </c>
      <c r="AA44" s="5">
        <f>IF($B43&lt;=Tabla5[[#This Row],[INVERSIONES FCI]],+Tabla5[[#This Row],[INVERSIONES FCI]]-AA43,Tabla5[[#This Row],[INVERSIONES FCI]])</f>
        <v>17250155125.505093</v>
      </c>
      <c r="AB44" s="5">
        <f>IF($B43&lt;=Tabla5[[#This Row],[INVERSIONES FCI]],+Tabla5[[#This Row],[INVERSIONES FCI]]-AB43,Tabla5[[#This Row],[INVERSIONES FCI]])</f>
        <v>17250155125.505093</v>
      </c>
      <c r="AC44" s="5">
        <f>IF($B43&lt;=Tabla5[[#This Row],[INVERSIONES FCI]],+Tabla5[[#This Row],[INVERSIONES FCI]]-AC43,Tabla5[[#This Row],[INVERSIONES FCI]])</f>
        <v>17250155125.505093</v>
      </c>
      <c r="AD44" s="5">
        <f>IF($B43&lt;=Tabla5[[#This Row],[INVERSIONES FCI]],+Tabla5[[#This Row],[INVERSIONES FCI]]-AD43,Tabla5[[#This Row],[INVERSIONES FCI]])</f>
        <v>17250155125.505093</v>
      </c>
      <c r="AE44" s="5">
        <f>IF($B43&lt;=Tabla5[[#This Row],[INVERSIONES FCI]],+Tabla5[[#This Row],[INVERSIONES FCI]]-AE43,Tabla5[[#This Row],[INVERSIONES FCI]])</f>
        <v>17250155125.505093</v>
      </c>
      <c r="AF44" s="5">
        <f>IF($B43&lt;=Tabla5[[#This Row],[INVERSIONES FCI]],+Tabla5[[#This Row],[INVERSIONES FCI]]-AF43,Tabla5[[#This Row],[INVERSIONES FCI]])</f>
        <v>17250155125.505093</v>
      </c>
      <c r="AG44" s="5">
        <f>IF($B43&lt;=Tabla5[[#This Row],[INVERSIONES FCI]],+Tabla5[[#This Row],[INVERSIONES FCI]]-AG43,Tabla5[[#This Row],[INVERSIONES FCI]])</f>
        <v>17250155125.505093</v>
      </c>
      <c r="AH44" s="5">
        <f>IF($B43&lt;=Tabla5[[#This Row],[INVERSIONES FCI]],+Tabla5[[#This Row],[INVERSIONES FCI]]-AH43,Tabla5[[#This Row],[INVERSIONES FCI]])</f>
        <v>17250155125.505093</v>
      </c>
      <c r="AI44" s="5">
        <f>IF($B43&lt;=Tabla5[[#This Row],[INVERSIONES FCI]],+Tabla5[[#This Row],[INVERSIONES FCI]]-AI43,Tabla5[[#This Row],[INVERSIONES FCI]])</f>
        <v>17250155125.505093</v>
      </c>
      <c r="AJ44" s="5">
        <f>IF($B43&lt;=Tabla5[[#This Row],[INVERSIONES FCI]],+Tabla5[[#This Row],[INVERSIONES FCI]]-AJ43,Tabla5[[#This Row],[INVERSIONES FCI]])</f>
        <v>17250155125.505093</v>
      </c>
      <c r="AK44" s="5">
        <f>IF($B43&lt;=Tabla5[[#This Row],[INVERSIONES FCI]],+Tabla5[[#This Row],[INVERSIONES FCI]]-AK43,Tabla5[[#This Row],[INVERSIONES FCI]])</f>
        <v>17250155125.505093</v>
      </c>
      <c r="AL44" s="5">
        <f>IF($B43&lt;=Tabla5[[#This Row],[INVERSIONES FCI]],+Tabla5[[#This Row],[INVERSIONES FCI]]-AL43,Tabla5[[#This Row],[INVERSIONES FCI]])</f>
        <v>17250155125.505093</v>
      </c>
      <c r="AM44" s="5">
        <f>IF($B43&lt;=Tabla5[[#This Row],[INVERSIONES FCI]],+Tabla5[[#This Row],[INVERSIONES FCI]]-AM43,Tabla5[[#This Row],[INVERSIONES FCI]])</f>
        <v>17250155125.505093</v>
      </c>
      <c r="AN44" s="5">
        <f>IF($B43&lt;=Tabla5[[#This Row],[INVERSIONES FCI]],+Tabla5[[#This Row],[INVERSIONES FCI]]-AN43,Tabla5[[#This Row],[INVERSIONES FCI]])</f>
        <v>17250155125.505093</v>
      </c>
      <c r="AO44" s="5">
        <f>IF($B43&lt;=Tabla5[[#This Row],[INVERSIONES FCI]],+Tabla5[[#This Row],[INVERSIONES FCI]]-AO43,Tabla5[[#This Row],[INVERSIONES FCI]])</f>
        <v>17250155125.505093</v>
      </c>
      <c r="AP44" s="5">
        <f>IF($B43&lt;=Tabla5[[#This Row],[INVERSIONES FCI]],+Tabla5[[#This Row],[INVERSIONES FCI]]-AP43,Tabla5[[#This Row],[INVERSIONES FCI]])</f>
        <v>17250155125.505093</v>
      </c>
      <c r="AQ44" s="5">
        <f>IF($B43&lt;=Tabla5[[#This Row],[INVERSIONES FCI]],+Tabla5[[#This Row],[INVERSIONES FCI]]-AQ43,Tabla5[[#This Row],[INVERSIONES FCI]])</f>
        <v>17250155125.505093</v>
      </c>
      <c r="AR44" s="5">
        <f>IF($B43&lt;=Tabla5[[#This Row],[INVERSIONES FCI]],+Tabla5[[#This Row],[INVERSIONES FCI]]-AR43,Tabla5[[#This Row],[INVERSIONES FCI]])</f>
        <v>17250155125.505093</v>
      </c>
      <c r="AS44" s="5" cm="1">
        <f t="array" ref="AS44">IF(Tabla5[[#This Row],[FCI]]=0,0,_xlfn.XLOOKUP(TRUE,$B44:AR44&gt;0,$B44:AR44,"",0,-1))</f>
        <v>17250155125.505093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</row>
    <row r="45" spans="1:121" ht="14.4">
      <c r="A45" s="12" t="s">
        <v>44</v>
      </c>
      <c r="B45" s="5">
        <f>HLOOKUP($A45,ESCENARIO[#All],7,FALSE)</f>
        <v>17250396875.505093</v>
      </c>
      <c r="C45" s="5">
        <f>IF($B44&lt;=Tabla5[[#This Row],[INVERSIONES FCI]],+Tabla5[[#This Row],[INVERSIONES FCI]]-C44,Tabla5[[#This Row],[INVERSIONES FCI]])</f>
        <v>241750</v>
      </c>
      <c r="D45" s="5">
        <f>IF($B44&lt;=Tabla5[[#This Row],[INVERSIONES FCI]],+Tabla5[[#This Row],[INVERSIONES FCI]]-D44,Tabla5[[#This Row],[INVERSIONES FCI]])</f>
        <v>241750</v>
      </c>
      <c r="E45" s="5">
        <f>IF($B44&lt;=Tabla5[[#This Row],[INVERSIONES FCI]],+Tabla5[[#This Row],[INVERSIONES FCI]]-E44,Tabla5[[#This Row],[INVERSIONES FCI]])</f>
        <v>241750</v>
      </c>
      <c r="F45" s="5">
        <f>IF($B44&lt;=Tabla5[[#This Row],[INVERSIONES FCI]],+Tabla5[[#This Row],[INVERSIONES FCI]]-F44,Tabla5[[#This Row],[INVERSIONES FCI]])</f>
        <v>241750</v>
      </c>
      <c r="G45" s="5">
        <f>IF($B44&lt;=Tabla5[[#This Row],[INVERSIONES FCI]],+Tabla5[[#This Row],[INVERSIONES FCI]]-G44,Tabla5[[#This Row],[INVERSIONES FCI]])</f>
        <v>241750</v>
      </c>
      <c r="H45" s="5">
        <f>IF($B44&lt;=Tabla5[[#This Row],[INVERSIONES FCI]],+Tabla5[[#This Row],[INVERSIONES FCI]]-H44,Tabla5[[#This Row],[INVERSIONES FCI]])</f>
        <v>241750</v>
      </c>
      <c r="I45" s="5">
        <f>IF($B44&lt;=Tabla5[[#This Row],[INVERSIONES FCI]],+Tabla5[[#This Row],[INVERSIONES FCI]]-I44,Tabla5[[#This Row],[INVERSIONES FCI]])</f>
        <v>241750</v>
      </c>
      <c r="J45" s="5">
        <f>IF($B44&lt;=Tabla5[[#This Row],[INVERSIONES FCI]],+Tabla5[[#This Row],[INVERSIONES FCI]]-J44,Tabla5[[#This Row],[INVERSIONES FCI]])</f>
        <v>241750</v>
      </c>
      <c r="K45" s="5">
        <f>IF($B44&lt;=Tabla5[[#This Row],[INVERSIONES FCI]],+Tabla5[[#This Row],[INVERSIONES FCI]]-K44,Tabla5[[#This Row],[INVERSIONES FCI]])</f>
        <v>241750</v>
      </c>
      <c r="L45" s="5">
        <f>IF($B44&lt;=Tabla5[[#This Row],[INVERSIONES FCI]],+Tabla5[[#This Row],[INVERSIONES FCI]]-L44,Tabla5[[#This Row],[INVERSIONES FCI]])</f>
        <v>241750</v>
      </c>
      <c r="M45" s="5">
        <f>IF($B44&lt;=Tabla5[[#This Row],[INVERSIONES FCI]],+Tabla5[[#This Row],[INVERSIONES FCI]]-M44,Tabla5[[#This Row],[INVERSIONES FCI]])</f>
        <v>241750</v>
      </c>
      <c r="N45" s="5">
        <f>IF($B44&lt;=Tabla5[[#This Row],[INVERSIONES FCI]],+Tabla5[[#This Row],[INVERSIONES FCI]]-N44,Tabla5[[#This Row],[INVERSIONES FCI]])</f>
        <v>241750</v>
      </c>
      <c r="O45" s="5">
        <f>IF($B44&lt;=Tabla5[[#This Row],[INVERSIONES FCI]],+Tabla5[[#This Row],[INVERSIONES FCI]]-O44,Tabla5[[#This Row],[INVERSIONES FCI]])</f>
        <v>241750</v>
      </c>
      <c r="P45" s="5">
        <f>IF($B44&lt;=Tabla5[[#This Row],[INVERSIONES FCI]],+Tabla5[[#This Row],[INVERSIONES FCI]]-P44,Tabla5[[#This Row],[INVERSIONES FCI]])</f>
        <v>241750</v>
      </c>
      <c r="Q45" s="5">
        <f>IF($B44&lt;=Tabla5[[#This Row],[INVERSIONES FCI]],+Tabla5[[#This Row],[INVERSIONES FCI]]-Q44,Tabla5[[#This Row],[INVERSIONES FCI]])</f>
        <v>241750</v>
      </c>
      <c r="R45" s="5">
        <f>IF($B44&lt;=Tabla5[[#This Row],[INVERSIONES FCI]],+Tabla5[[#This Row],[INVERSIONES FCI]]-R44,Tabla5[[#This Row],[INVERSIONES FCI]])</f>
        <v>241750</v>
      </c>
      <c r="S45" s="5">
        <f>IF($B44&lt;=Tabla5[[#This Row],[INVERSIONES FCI]],+Tabla5[[#This Row],[INVERSIONES FCI]]-S44,Tabla5[[#This Row],[INVERSIONES FCI]])</f>
        <v>241750</v>
      </c>
      <c r="T45" s="5">
        <f>IF($B44&lt;=Tabla5[[#This Row],[INVERSIONES FCI]],+Tabla5[[#This Row],[INVERSIONES FCI]]-T44,Tabla5[[#This Row],[INVERSIONES FCI]])</f>
        <v>241750</v>
      </c>
      <c r="U45" s="5">
        <f>IF($B44&lt;=Tabla5[[#This Row],[INVERSIONES FCI]],+Tabla5[[#This Row],[INVERSIONES FCI]]-U44,Tabla5[[#This Row],[INVERSIONES FCI]])</f>
        <v>241750</v>
      </c>
      <c r="V45" s="5">
        <f>IF($B44&lt;=Tabla5[[#This Row],[INVERSIONES FCI]],+Tabla5[[#This Row],[INVERSIONES FCI]]-V44,Tabla5[[#This Row],[INVERSIONES FCI]])</f>
        <v>241750</v>
      </c>
      <c r="W45" s="5">
        <f>IF($B44&lt;=Tabla5[[#This Row],[INVERSIONES FCI]],+Tabla5[[#This Row],[INVERSIONES FCI]]-W44,Tabla5[[#This Row],[INVERSIONES FCI]])</f>
        <v>241750</v>
      </c>
      <c r="X45" s="5">
        <f>IF($B44&lt;=Tabla5[[#This Row],[INVERSIONES FCI]],+Tabla5[[#This Row],[INVERSIONES FCI]]-X44,Tabla5[[#This Row],[INVERSIONES FCI]])</f>
        <v>241750</v>
      </c>
      <c r="Y45" s="5">
        <f>IF($B44&lt;=Tabla5[[#This Row],[INVERSIONES FCI]],+Tabla5[[#This Row],[INVERSIONES FCI]]-Y44,Tabla5[[#This Row],[INVERSIONES FCI]])</f>
        <v>241750</v>
      </c>
      <c r="Z45" s="5">
        <f>IF($B44&lt;=Tabla5[[#This Row],[INVERSIONES FCI]],+Tabla5[[#This Row],[INVERSIONES FCI]]-Z44,Tabla5[[#This Row],[INVERSIONES FCI]])</f>
        <v>241750</v>
      </c>
      <c r="AA45" s="5">
        <f>IF($B44&lt;=Tabla5[[#This Row],[INVERSIONES FCI]],+Tabla5[[#This Row],[INVERSIONES FCI]]-AA44,Tabla5[[#This Row],[INVERSIONES FCI]])</f>
        <v>241750</v>
      </c>
      <c r="AB45" s="5">
        <f>IF($B44&lt;=Tabla5[[#This Row],[INVERSIONES FCI]],+Tabla5[[#This Row],[INVERSIONES FCI]]-AB44,Tabla5[[#This Row],[INVERSIONES FCI]])</f>
        <v>241750</v>
      </c>
      <c r="AC45" s="5">
        <f>IF($B44&lt;=Tabla5[[#This Row],[INVERSIONES FCI]],+Tabla5[[#This Row],[INVERSIONES FCI]]-AC44,Tabla5[[#This Row],[INVERSIONES FCI]])</f>
        <v>241750</v>
      </c>
      <c r="AD45" s="5">
        <f>IF($B44&lt;=Tabla5[[#This Row],[INVERSIONES FCI]],+Tabla5[[#This Row],[INVERSIONES FCI]]-AD44,Tabla5[[#This Row],[INVERSIONES FCI]])</f>
        <v>241750</v>
      </c>
      <c r="AE45" s="5">
        <f>IF($B44&lt;=Tabla5[[#This Row],[INVERSIONES FCI]],+Tabla5[[#This Row],[INVERSIONES FCI]]-AE44,Tabla5[[#This Row],[INVERSIONES FCI]])</f>
        <v>241750</v>
      </c>
      <c r="AF45" s="5">
        <f>IF($B44&lt;=Tabla5[[#This Row],[INVERSIONES FCI]],+Tabla5[[#This Row],[INVERSIONES FCI]]-AF44,Tabla5[[#This Row],[INVERSIONES FCI]])</f>
        <v>241750</v>
      </c>
      <c r="AG45" s="5">
        <f>IF($B44&lt;=Tabla5[[#This Row],[INVERSIONES FCI]],+Tabla5[[#This Row],[INVERSIONES FCI]]-AG44,Tabla5[[#This Row],[INVERSIONES FCI]])</f>
        <v>241750</v>
      </c>
      <c r="AH45" s="5">
        <f>IF($B44&lt;=Tabla5[[#This Row],[INVERSIONES FCI]],+Tabla5[[#This Row],[INVERSIONES FCI]]-AH44,Tabla5[[#This Row],[INVERSIONES FCI]])</f>
        <v>241750</v>
      </c>
      <c r="AI45" s="5">
        <f>IF($B44&lt;=Tabla5[[#This Row],[INVERSIONES FCI]],+Tabla5[[#This Row],[INVERSIONES FCI]]-AI44,Tabla5[[#This Row],[INVERSIONES FCI]])</f>
        <v>241750</v>
      </c>
      <c r="AJ45" s="5">
        <f>IF($B44&lt;=Tabla5[[#This Row],[INVERSIONES FCI]],+Tabla5[[#This Row],[INVERSIONES FCI]]-AJ44,Tabla5[[#This Row],[INVERSIONES FCI]])</f>
        <v>241750</v>
      </c>
      <c r="AK45" s="5">
        <f>IF($B44&lt;=Tabla5[[#This Row],[INVERSIONES FCI]],+Tabla5[[#This Row],[INVERSIONES FCI]]-AK44,Tabla5[[#This Row],[INVERSIONES FCI]])</f>
        <v>241750</v>
      </c>
      <c r="AL45" s="5">
        <f>IF($B44&lt;=Tabla5[[#This Row],[INVERSIONES FCI]],+Tabla5[[#This Row],[INVERSIONES FCI]]-AL44,Tabla5[[#This Row],[INVERSIONES FCI]])</f>
        <v>241750</v>
      </c>
      <c r="AM45" s="5">
        <f>IF($B44&lt;=Tabla5[[#This Row],[INVERSIONES FCI]],+Tabla5[[#This Row],[INVERSIONES FCI]]-AM44,Tabla5[[#This Row],[INVERSIONES FCI]])</f>
        <v>241750</v>
      </c>
      <c r="AN45" s="5">
        <f>IF($B44&lt;=Tabla5[[#This Row],[INVERSIONES FCI]],+Tabla5[[#This Row],[INVERSIONES FCI]]-AN44,Tabla5[[#This Row],[INVERSIONES FCI]])</f>
        <v>241750</v>
      </c>
      <c r="AO45" s="5">
        <f>IF($B44&lt;=Tabla5[[#This Row],[INVERSIONES FCI]],+Tabla5[[#This Row],[INVERSIONES FCI]]-AO44,Tabla5[[#This Row],[INVERSIONES FCI]])</f>
        <v>241750</v>
      </c>
      <c r="AP45" s="5">
        <f>IF($B44&lt;=Tabla5[[#This Row],[INVERSIONES FCI]],+Tabla5[[#This Row],[INVERSIONES FCI]]-AP44,Tabla5[[#This Row],[INVERSIONES FCI]])</f>
        <v>241750</v>
      </c>
      <c r="AQ45" s="5">
        <f>IF($B44&lt;=Tabla5[[#This Row],[INVERSIONES FCI]],+Tabla5[[#This Row],[INVERSIONES FCI]]-AQ44,Tabla5[[#This Row],[INVERSIONES FCI]])</f>
        <v>241750</v>
      </c>
      <c r="AR45" s="5">
        <f>IF($B44&lt;=Tabla5[[#This Row],[INVERSIONES FCI]],+Tabla5[[#This Row],[INVERSIONES FCI]]-AR44,Tabla5[[#This Row],[INVERSIONES FCI]])</f>
        <v>241750</v>
      </c>
      <c r="AS45" s="5">
        <f>IF($B44&lt;=Tabla5[[#This Row],[INVERSIONES FCI]],+Tabla5[[#This Row],[INVERSIONES FCI]]-AS44,Tabla5[[#This Row],[INVERSIONES FCI]])</f>
        <v>241750</v>
      </c>
      <c r="AT45" s="5" cm="1">
        <f t="array" ref="AT45">IF(Tabla5[[#This Row],[FCI]]=0,0,_xlfn.XLOOKUP(TRUE,$B45:AS45&gt;0,$B45:AS45,"",0,-1))</f>
        <v>241750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</row>
    <row r="46" spans="1:121" ht="14.4">
      <c r="A46" s="12" t="s">
        <v>45</v>
      </c>
      <c r="B46" s="5">
        <f>HLOOKUP($A46,ESCENARIO[#All],7,FALSE)</f>
        <v>19714094435.457577</v>
      </c>
      <c r="C46" s="5">
        <f>IF($B45&lt;=Tabla5[[#This Row],[INVERSIONES FCI]],+Tabla5[[#This Row],[INVERSIONES FCI]]-C45,Tabla5[[#This Row],[INVERSIONES FCI]])</f>
        <v>19713852685.457577</v>
      </c>
      <c r="D46" s="5">
        <f>IF($B45&lt;=Tabla5[[#This Row],[INVERSIONES FCI]],+Tabla5[[#This Row],[INVERSIONES FCI]]-D45,Tabla5[[#This Row],[INVERSIONES FCI]])</f>
        <v>19713852685.457577</v>
      </c>
      <c r="E46" s="5">
        <f>IF($B45&lt;=Tabla5[[#This Row],[INVERSIONES FCI]],+Tabla5[[#This Row],[INVERSIONES FCI]]-E45,Tabla5[[#This Row],[INVERSIONES FCI]])</f>
        <v>19713852685.457577</v>
      </c>
      <c r="F46" s="5">
        <f>IF($B45&lt;=Tabla5[[#This Row],[INVERSIONES FCI]],+Tabla5[[#This Row],[INVERSIONES FCI]]-F45,Tabla5[[#This Row],[INVERSIONES FCI]])</f>
        <v>19713852685.457577</v>
      </c>
      <c r="G46" s="5">
        <f>IF($B45&lt;=Tabla5[[#This Row],[INVERSIONES FCI]],+Tabla5[[#This Row],[INVERSIONES FCI]]-G45,Tabla5[[#This Row],[INVERSIONES FCI]])</f>
        <v>19713852685.457577</v>
      </c>
      <c r="H46" s="5">
        <f>IF($B45&lt;=Tabla5[[#This Row],[INVERSIONES FCI]],+Tabla5[[#This Row],[INVERSIONES FCI]]-H45,Tabla5[[#This Row],[INVERSIONES FCI]])</f>
        <v>19713852685.457577</v>
      </c>
      <c r="I46" s="5">
        <f>IF($B45&lt;=Tabla5[[#This Row],[INVERSIONES FCI]],+Tabla5[[#This Row],[INVERSIONES FCI]]-I45,Tabla5[[#This Row],[INVERSIONES FCI]])</f>
        <v>19713852685.457577</v>
      </c>
      <c r="J46" s="5">
        <f>IF($B45&lt;=Tabla5[[#This Row],[INVERSIONES FCI]],+Tabla5[[#This Row],[INVERSIONES FCI]]-J45,Tabla5[[#This Row],[INVERSIONES FCI]])</f>
        <v>19713852685.457577</v>
      </c>
      <c r="K46" s="5">
        <f>IF($B45&lt;=Tabla5[[#This Row],[INVERSIONES FCI]],+Tabla5[[#This Row],[INVERSIONES FCI]]-K45,Tabla5[[#This Row],[INVERSIONES FCI]])</f>
        <v>19713852685.457577</v>
      </c>
      <c r="L46" s="5">
        <f>IF($B45&lt;=Tabla5[[#This Row],[INVERSIONES FCI]],+Tabla5[[#This Row],[INVERSIONES FCI]]-L45,Tabla5[[#This Row],[INVERSIONES FCI]])</f>
        <v>19713852685.457577</v>
      </c>
      <c r="M46" s="5">
        <f>IF($B45&lt;=Tabla5[[#This Row],[INVERSIONES FCI]],+Tabla5[[#This Row],[INVERSIONES FCI]]-M45,Tabla5[[#This Row],[INVERSIONES FCI]])</f>
        <v>19713852685.457577</v>
      </c>
      <c r="N46" s="5">
        <f>IF($B45&lt;=Tabla5[[#This Row],[INVERSIONES FCI]],+Tabla5[[#This Row],[INVERSIONES FCI]]-N45,Tabla5[[#This Row],[INVERSIONES FCI]])</f>
        <v>19713852685.457577</v>
      </c>
      <c r="O46" s="5">
        <f>IF($B45&lt;=Tabla5[[#This Row],[INVERSIONES FCI]],+Tabla5[[#This Row],[INVERSIONES FCI]]-O45,Tabla5[[#This Row],[INVERSIONES FCI]])</f>
        <v>19713852685.457577</v>
      </c>
      <c r="P46" s="5">
        <f>IF($B45&lt;=Tabla5[[#This Row],[INVERSIONES FCI]],+Tabla5[[#This Row],[INVERSIONES FCI]]-P45,Tabla5[[#This Row],[INVERSIONES FCI]])</f>
        <v>19713852685.457577</v>
      </c>
      <c r="Q46" s="5">
        <f>IF($B45&lt;=Tabla5[[#This Row],[INVERSIONES FCI]],+Tabla5[[#This Row],[INVERSIONES FCI]]-Q45,Tabla5[[#This Row],[INVERSIONES FCI]])</f>
        <v>19713852685.457577</v>
      </c>
      <c r="R46" s="5">
        <f>IF($B45&lt;=Tabla5[[#This Row],[INVERSIONES FCI]],+Tabla5[[#This Row],[INVERSIONES FCI]]-R45,Tabla5[[#This Row],[INVERSIONES FCI]])</f>
        <v>19713852685.457577</v>
      </c>
      <c r="S46" s="5">
        <f>IF($B45&lt;=Tabla5[[#This Row],[INVERSIONES FCI]],+Tabla5[[#This Row],[INVERSIONES FCI]]-S45,Tabla5[[#This Row],[INVERSIONES FCI]])</f>
        <v>19713852685.457577</v>
      </c>
      <c r="T46" s="5">
        <f>IF($B45&lt;=Tabla5[[#This Row],[INVERSIONES FCI]],+Tabla5[[#This Row],[INVERSIONES FCI]]-T45,Tabla5[[#This Row],[INVERSIONES FCI]])</f>
        <v>19713852685.457577</v>
      </c>
      <c r="U46" s="5">
        <f>IF($B45&lt;=Tabla5[[#This Row],[INVERSIONES FCI]],+Tabla5[[#This Row],[INVERSIONES FCI]]-U45,Tabla5[[#This Row],[INVERSIONES FCI]])</f>
        <v>19713852685.457577</v>
      </c>
      <c r="V46" s="5">
        <f>IF($B45&lt;=Tabla5[[#This Row],[INVERSIONES FCI]],+Tabla5[[#This Row],[INVERSIONES FCI]]-V45,Tabla5[[#This Row],[INVERSIONES FCI]])</f>
        <v>19713852685.457577</v>
      </c>
      <c r="W46" s="5">
        <f>IF($B45&lt;=Tabla5[[#This Row],[INVERSIONES FCI]],+Tabla5[[#This Row],[INVERSIONES FCI]]-W45,Tabla5[[#This Row],[INVERSIONES FCI]])</f>
        <v>19713852685.457577</v>
      </c>
      <c r="X46" s="5">
        <f>IF($B45&lt;=Tabla5[[#This Row],[INVERSIONES FCI]],+Tabla5[[#This Row],[INVERSIONES FCI]]-X45,Tabla5[[#This Row],[INVERSIONES FCI]])</f>
        <v>19713852685.457577</v>
      </c>
      <c r="Y46" s="5">
        <f>IF($B45&lt;=Tabla5[[#This Row],[INVERSIONES FCI]],+Tabla5[[#This Row],[INVERSIONES FCI]]-Y45,Tabla5[[#This Row],[INVERSIONES FCI]])</f>
        <v>19713852685.457577</v>
      </c>
      <c r="Z46" s="5">
        <f>IF($B45&lt;=Tabla5[[#This Row],[INVERSIONES FCI]],+Tabla5[[#This Row],[INVERSIONES FCI]]-Z45,Tabla5[[#This Row],[INVERSIONES FCI]])</f>
        <v>19713852685.457577</v>
      </c>
      <c r="AA46" s="5">
        <f>IF($B45&lt;=Tabla5[[#This Row],[INVERSIONES FCI]],+Tabla5[[#This Row],[INVERSIONES FCI]]-AA45,Tabla5[[#This Row],[INVERSIONES FCI]])</f>
        <v>19713852685.457577</v>
      </c>
      <c r="AB46" s="5">
        <f>IF($B45&lt;=Tabla5[[#This Row],[INVERSIONES FCI]],+Tabla5[[#This Row],[INVERSIONES FCI]]-AB45,Tabla5[[#This Row],[INVERSIONES FCI]])</f>
        <v>19713852685.457577</v>
      </c>
      <c r="AC46" s="5">
        <f>IF($B45&lt;=Tabla5[[#This Row],[INVERSIONES FCI]],+Tabla5[[#This Row],[INVERSIONES FCI]]-AC45,Tabla5[[#This Row],[INVERSIONES FCI]])</f>
        <v>19713852685.457577</v>
      </c>
      <c r="AD46" s="5">
        <f>IF($B45&lt;=Tabla5[[#This Row],[INVERSIONES FCI]],+Tabla5[[#This Row],[INVERSIONES FCI]]-AD45,Tabla5[[#This Row],[INVERSIONES FCI]])</f>
        <v>19713852685.457577</v>
      </c>
      <c r="AE46" s="5">
        <f>IF($B45&lt;=Tabla5[[#This Row],[INVERSIONES FCI]],+Tabla5[[#This Row],[INVERSIONES FCI]]-AE45,Tabla5[[#This Row],[INVERSIONES FCI]])</f>
        <v>19713852685.457577</v>
      </c>
      <c r="AF46" s="5">
        <f>IF($B45&lt;=Tabla5[[#This Row],[INVERSIONES FCI]],+Tabla5[[#This Row],[INVERSIONES FCI]]-AF45,Tabla5[[#This Row],[INVERSIONES FCI]])</f>
        <v>19713852685.457577</v>
      </c>
      <c r="AG46" s="5">
        <f>IF($B45&lt;=Tabla5[[#This Row],[INVERSIONES FCI]],+Tabla5[[#This Row],[INVERSIONES FCI]]-AG45,Tabla5[[#This Row],[INVERSIONES FCI]])</f>
        <v>19713852685.457577</v>
      </c>
      <c r="AH46" s="5">
        <f>IF($B45&lt;=Tabla5[[#This Row],[INVERSIONES FCI]],+Tabla5[[#This Row],[INVERSIONES FCI]]-AH45,Tabla5[[#This Row],[INVERSIONES FCI]])</f>
        <v>19713852685.457577</v>
      </c>
      <c r="AI46" s="5">
        <f>IF($B45&lt;=Tabla5[[#This Row],[INVERSIONES FCI]],+Tabla5[[#This Row],[INVERSIONES FCI]]-AI45,Tabla5[[#This Row],[INVERSIONES FCI]])</f>
        <v>19713852685.457577</v>
      </c>
      <c r="AJ46" s="5">
        <f>IF($B45&lt;=Tabla5[[#This Row],[INVERSIONES FCI]],+Tabla5[[#This Row],[INVERSIONES FCI]]-AJ45,Tabla5[[#This Row],[INVERSIONES FCI]])</f>
        <v>19713852685.457577</v>
      </c>
      <c r="AK46" s="5">
        <f>IF($B45&lt;=Tabla5[[#This Row],[INVERSIONES FCI]],+Tabla5[[#This Row],[INVERSIONES FCI]]-AK45,Tabla5[[#This Row],[INVERSIONES FCI]])</f>
        <v>19713852685.457577</v>
      </c>
      <c r="AL46" s="5">
        <f>IF($B45&lt;=Tabla5[[#This Row],[INVERSIONES FCI]],+Tabla5[[#This Row],[INVERSIONES FCI]]-AL45,Tabla5[[#This Row],[INVERSIONES FCI]])</f>
        <v>19713852685.457577</v>
      </c>
      <c r="AM46" s="5">
        <f>IF($B45&lt;=Tabla5[[#This Row],[INVERSIONES FCI]],+Tabla5[[#This Row],[INVERSIONES FCI]]-AM45,Tabla5[[#This Row],[INVERSIONES FCI]])</f>
        <v>19713852685.457577</v>
      </c>
      <c r="AN46" s="5">
        <f>IF($B45&lt;=Tabla5[[#This Row],[INVERSIONES FCI]],+Tabla5[[#This Row],[INVERSIONES FCI]]-AN45,Tabla5[[#This Row],[INVERSIONES FCI]])</f>
        <v>19713852685.457577</v>
      </c>
      <c r="AO46" s="5">
        <f>IF($B45&lt;=Tabla5[[#This Row],[INVERSIONES FCI]],+Tabla5[[#This Row],[INVERSIONES FCI]]-AO45,Tabla5[[#This Row],[INVERSIONES FCI]])</f>
        <v>19713852685.457577</v>
      </c>
      <c r="AP46" s="5">
        <f>IF($B45&lt;=Tabla5[[#This Row],[INVERSIONES FCI]],+Tabla5[[#This Row],[INVERSIONES FCI]]-AP45,Tabla5[[#This Row],[INVERSIONES FCI]])</f>
        <v>19713852685.457577</v>
      </c>
      <c r="AQ46" s="5">
        <f>IF($B45&lt;=Tabla5[[#This Row],[INVERSIONES FCI]],+Tabla5[[#This Row],[INVERSIONES FCI]]-AQ45,Tabla5[[#This Row],[INVERSIONES FCI]])</f>
        <v>19713852685.457577</v>
      </c>
      <c r="AR46" s="5">
        <f>IF($B45&lt;=Tabla5[[#This Row],[INVERSIONES FCI]],+Tabla5[[#This Row],[INVERSIONES FCI]]-AR45,Tabla5[[#This Row],[INVERSIONES FCI]])</f>
        <v>19713852685.457577</v>
      </c>
      <c r="AS46" s="5">
        <f>IF($B45&lt;=Tabla5[[#This Row],[INVERSIONES FCI]],+Tabla5[[#This Row],[INVERSIONES FCI]]-AS45,Tabla5[[#This Row],[INVERSIONES FCI]])</f>
        <v>19713852685.457577</v>
      </c>
      <c r="AT46" s="5">
        <f>IF($B45&lt;=Tabla5[[#This Row],[INVERSIONES FCI]],+Tabla5[[#This Row],[INVERSIONES FCI]]-AT45,Tabla5[[#This Row],[INVERSIONES FCI]])</f>
        <v>19713852685.457577</v>
      </c>
      <c r="AU46" s="5" cm="1">
        <f t="array" ref="AU46">IF(Tabla5[[#This Row],[FCI]]=0,0,_xlfn.XLOOKUP(TRUE,$B46:AT46&gt;0,$B46:AT46,"",0,-1))</f>
        <v>19713852685.457577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</row>
    <row r="47" spans="1:121" ht="14.4">
      <c r="A47" s="12" t="s">
        <v>46</v>
      </c>
      <c r="B47" s="5">
        <f>HLOOKUP($A47,ESCENARIO[#All],7,FALSE)</f>
        <v>21027542948.87455</v>
      </c>
      <c r="C47" s="5">
        <f>IF($B46&lt;=Tabla5[[#This Row],[INVERSIONES FCI]],+Tabla5[[#This Row],[INVERSIONES FCI]]-C46,Tabla5[[#This Row],[INVERSIONES FCI]])</f>
        <v>1313690263.4169731</v>
      </c>
      <c r="D47" s="5">
        <f>IF($B46&lt;=Tabla5[[#This Row],[INVERSIONES FCI]],+Tabla5[[#This Row],[INVERSIONES FCI]]-D46,Tabla5[[#This Row],[INVERSIONES FCI]])</f>
        <v>1313690263.4169731</v>
      </c>
      <c r="E47" s="5">
        <f>IF($B46&lt;=Tabla5[[#This Row],[INVERSIONES FCI]],+Tabla5[[#This Row],[INVERSIONES FCI]]-E46,Tabla5[[#This Row],[INVERSIONES FCI]])</f>
        <v>1313690263.4169731</v>
      </c>
      <c r="F47" s="5">
        <f>IF($B46&lt;=Tabla5[[#This Row],[INVERSIONES FCI]],+Tabla5[[#This Row],[INVERSIONES FCI]]-F46,Tabla5[[#This Row],[INVERSIONES FCI]])</f>
        <v>1313690263.4169731</v>
      </c>
      <c r="G47" s="5">
        <f>IF($B46&lt;=Tabla5[[#This Row],[INVERSIONES FCI]],+Tabla5[[#This Row],[INVERSIONES FCI]]-G46,Tabla5[[#This Row],[INVERSIONES FCI]])</f>
        <v>1313690263.4169731</v>
      </c>
      <c r="H47" s="5">
        <f>IF($B46&lt;=Tabla5[[#This Row],[INVERSIONES FCI]],+Tabla5[[#This Row],[INVERSIONES FCI]]-H46,Tabla5[[#This Row],[INVERSIONES FCI]])</f>
        <v>1313690263.4169731</v>
      </c>
      <c r="I47" s="5">
        <f>IF($B46&lt;=Tabla5[[#This Row],[INVERSIONES FCI]],+Tabla5[[#This Row],[INVERSIONES FCI]]-I46,Tabla5[[#This Row],[INVERSIONES FCI]])</f>
        <v>1313690263.4169731</v>
      </c>
      <c r="J47" s="5">
        <f>IF($B46&lt;=Tabla5[[#This Row],[INVERSIONES FCI]],+Tabla5[[#This Row],[INVERSIONES FCI]]-J46,Tabla5[[#This Row],[INVERSIONES FCI]])</f>
        <v>1313690263.4169731</v>
      </c>
      <c r="K47" s="5">
        <f>IF($B46&lt;=Tabla5[[#This Row],[INVERSIONES FCI]],+Tabla5[[#This Row],[INVERSIONES FCI]]-K46,Tabla5[[#This Row],[INVERSIONES FCI]])</f>
        <v>1313690263.4169731</v>
      </c>
      <c r="L47" s="5">
        <f>IF($B46&lt;=Tabla5[[#This Row],[INVERSIONES FCI]],+Tabla5[[#This Row],[INVERSIONES FCI]]-L46,Tabla5[[#This Row],[INVERSIONES FCI]])</f>
        <v>1313690263.4169731</v>
      </c>
      <c r="M47" s="5">
        <f>IF($B46&lt;=Tabla5[[#This Row],[INVERSIONES FCI]],+Tabla5[[#This Row],[INVERSIONES FCI]]-M46,Tabla5[[#This Row],[INVERSIONES FCI]])</f>
        <v>1313690263.4169731</v>
      </c>
      <c r="N47" s="5">
        <f>IF($B46&lt;=Tabla5[[#This Row],[INVERSIONES FCI]],+Tabla5[[#This Row],[INVERSIONES FCI]]-N46,Tabla5[[#This Row],[INVERSIONES FCI]])</f>
        <v>1313690263.4169731</v>
      </c>
      <c r="O47" s="5">
        <f>IF($B46&lt;=Tabla5[[#This Row],[INVERSIONES FCI]],+Tabla5[[#This Row],[INVERSIONES FCI]]-O46,Tabla5[[#This Row],[INVERSIONES FCI]])</f>
        <v>1313690263.4169731</v>
      </c>
      <c r="P47" s="5">
        <f>IF($B46&lt;=Tabla5[[#This Row],[INVERSIONES FCI]],+Tabla5[[#This Row],[INVERSIONES FCI]]-P46,Tabla5[[#This Row],[INVERSIONES FCI]])</f>
        <v>1313690263.4169731</v>
      </c>
      <c r="Q47" s="5">
        <f>IF($B46&lt;=Tabla5[[#This Row],[INVERSIONES FCI]],+Tabla5[[#This Row],[INVERSIONES FCI]]-Q46,Tabla5[[#This Row],[INVERSIONES FCI]])</f>
        <v>1313690263.4169731</v>
      </c>
      <c r="R47" s="5">
        <f>IF($B46&lt;=Tabla5[[#This Row],[INVERSIONES FCI]],+Tabla5[[#This Row],[INVERSIONES FCI]]-R46,Tabla5[[#This Row],[INVERSIONES FCI]])</f>
        <v>1313690263.4169731</v>
      </c>
      <c r="S47" s="5">
        <f>IF($B46&lt;=Tabla5[[#This Row],[INVERSIONES FCI]],+Tabla5[[#This Row],[INVERSIONES FCI]]-S46,Tabla5[[#This Row],[INVERSIONES FCI]])</f>
        <v>1313690263.4169731</v>
      </c>
      <c r="T47" s="5">
        <f>IF($B46&lt;=Tabla5[[#This Row],[INVERSIONES FCI]],+Tabla5[[#This Row],[INVERSIONES FCI]]-T46,Tabla5[[#This Row],[INVERSIONES FCI]])</f>
        <v>1313690263.4169731</v>
      </c>
      <c r="U47" s="5">
        <f>IF($B46&lt;=Tabla5[[#This Row],[INVERSIONES FCI]],+Tabla5[[#This Row],[INVERSIONES FCI]]-U46,Tabla5[[#This Row],[INVERSIONES FCI]])</f>
        <v>1313690263.4169731</v>
      </c>
      <c r="V47" s="5">
        <f>IF($B46&lt;=Tabla5[[#This Row],[INVERSIONES FCI]],+Tabla5[[#This Row],[INVERSIONES FCI]]-V46,Tabla5[[#This Row],[INVERSIONES FCI]])</f>
        <v>1313690263.4169731</v>
      </c>
      <c r="W47" s="5">
        <f>IF($B46&lt;=Tabla5[[#This Row],[INVERSIONES FCI]],+Tabla5[[#This Row],[INVERSIONES FCI]]-W46,Tabla5[[#This Row],[INVERSIONES FCI]])</f>
        <v>1313690263.4169731</v>
      </c>
      <c r="X47" s="5">
        <f>IF($B46&lt;=Tabla5[[#This Row],[INVERSIONES FCI]],+Tabla5[[#This Row],[INVERSIONES FCI]]-X46,Tabla5[[#This Row],[INVERSIONES FCI]])</f>
        <v>1313690263.4169731</v>
      </c>
      <c r="Y47" s="5">
        <f>IF($B46&lt;=Tabla5[[#This Row],[INVERSIONES FCI]],+Tabla5[[#This Row],[INVERSIONES FCI]]-Y46,Tabla5[[#This Row],[INVERSIONES FCI]])</f>
        <v>1313690263.4169731</v>
      </c>
      <c r="Z47" s="5">
        <f>IF($B46&lt;=Tabla5[[#This Row],[INVERSIONES FCI]],+Tabla5[[#This Row],[INVERSIONES FCI]]-Z46,Tabla5[[#This Row],[INVERSIONES FCI]])</f>
        <v>1313690263.4169731</v>
      </c>
      <c r="AA47" s="5">
        <f>IF($B46&lt;=Tabla5[[#This Row],[INVERSIONES FCI]],+Tabla5[[#This Row],[INVERSIONES FCI]]-AA46,Tabla5[[#This Row],[INVERSIONES FCI]])</f>
        <v>1313690263.4169731</v>
      </c>
      <c r="AB47" s="5">
        <f>IF($B46&lt;=Tabla5[[#This Row],[INVERSIONES FCI]],+Tabla5[[#This Row],[INVERSIONES FCI]]-AB46,Tabla5[[#This Row],[INVERSIONES FCI]])</f>
        <v>1313690263.4169731</v>
      </c>
      <c r="AC47" s="5">
        <f>IF($B46&lt;=Tabla5[[#This Row],[INVERSIONES FCI]],+Tabla5[[#This Row],[INVERSIONES FCI]]-AC46,Tabla5[[#This Row],[INVERSIONES FCI]])</f>
        <v>1313690263.4169731</v>
      </c>
      <c r="AD47" s="5">
        <f>IF($B46&lt;=Tabla5[[#This Row],[INVERSIONES FCI]],+Tabla5[[#This Row],[INVERSIONES FCI]]-AD46,Tabla5[[#This Row],[INVERSIONES FCI]])</f>
        <v>1313690263.4169731</v>
      </c>
      <c r="AE47" s="5">
        <f>IF($B46&lt;=Tabla5[[#This Row],[INVERSIONES FCI]],+Tabla5[[#This Row],[INVERSIONES FCI]]-AE46,Tabla5[[#This Row],[INVERSIONES FCI]])</f>
        <v>1313690263.4169731</v>
      </c>
      <c r="AF47" s="5">
        <f>IF($B46&lt;=Tabla5[[#This Row],[INVERSIONES FCI]],+Tabla5[[#This Row],[INVERSIONES FCI]]-AF46,Tabla5[[#This Row],[INVERSIONES FCI]])</f>
        <v>1313690263.4169731</v>
      </c>
      <c r="AG47" s="5">
        <f>IF($B46&lt;=Tabla5[[#This Row],[INVERSIONES FCI]],+Tabla5[[#This Row],[INVERSIONES FCI]]-AG46,Tabla5[[#This Row],[INVERSIONES FCI]])</f>
        <v>1313690263.4169731</v>
      </c>
      <c r="AH47" s="5">
        <f>IF($B46&lt;=Tabla5[[#This Row],[INVERSIONES FCI]],+Tabla5[[#This Row],[INVERSIONES FCI]]-AH46,Tabla5[[#This Row],[INVERSIONES FCI]])</f>
        <v>1313690263.4169731</v>
      </c>
      <c r="AI47" s="5">
        <f>IF($B46&lt;=Tabla5[[#This Row],[INVERSIONES FCI]],+Tabla5[[#This Row],[INVERSIONES FCI]]-AI46,Tabla5[[#This Row],[INVERSIONES FCI]])</f>
        <v>1313690263.4169731</v>
      </c>
      <c r="AJ47" s="5">
        <f>IF($B46&lt;=Tabla5[[#This Row],[INVERSIONES FCI]],+Tabla5[[#This Row],[INVERSIONES FCI]]-AJ46,Tabla5[[#This Row],[INVERSIONES FCI]])</f>
        <v>1313690263.4169731</v>
      </c>
      <c r="AK47" s="5">
        <f>IF($B46&lt;=Tabla5[[#This Row],[INVERSIONES FCI]],+Tabla5[[#This Row],[INVERSIONES FCI]]-AK46,Tabla5[[#This Row],[INVERSIONES FCI]])</f>
        <v>1313690263.4169731</v>
      </c>
      <c r="AL47" s="5">
        <f>IF($B46&lt;=Tabla5[[#This Row],[INVERSIONES FCI]],+Tabla5[[#This Row],[INVERSIONES FCI]]-AL46,Tabla5[[#This Row],[INVERSIONES FCI]])</f>
        <v>1313690263.4169731</v>
      </c>
      <c r="AM47" s="5">
        <f>IF($B46&lt;=Tabla5[[#This Row],[INVERSIONES FCI]],+Tabla5[[#This Row],[INVERSIONES FCI]]-AM46,Tabla5[[#This Row],[INVERSIONES FCI]])</f>
        <v>1313690263.4169731</v>
      </c>
      <c r="AN47" s="5">
        <f>IF($B46&lt;=Tabla5[[#This Row],[INVERSIONES FCI]],+Tabla5[[#This Row],[INVERSIONES FCI]]-AN46,Tabla5[[#This Row],[INVERSIONES FCI]])</f>
        <v>1313690263.4169731</v>
      </c>
      <c r="AO47" s="5">
        <f>IF($B46&lt;=Tabla5[[#This Row],[INVERSIONES FCI]],+Tabla5[[#This Row],[INVERSIONES FCI]]-AO46,Tabla5[[#This Row],[INVERSIONES FCI]])</f>
        <v>1313690263.4169731</v>
      </c>
      <c r="AP47" s="5">
        <f>IF($B46&lt;=Tabla5[[#This Row],[INVERSIONES FCI]],+Tabla5[[#This Row],[INVERSIONES FCI]]-AP46,Tabla5[[#This Row],[INVERSIONES FCI]])</f>
        <v>1313690263.4169731</v>
      </c>
      <c r="AQ47" s="5">
        <f>IF($B46&lt;=Tabla5[[#This Row],[INVERSIONES FCI]],+Tabla5[[#This Row],[INVERSIONES FCI]]-AQ46,Tabla5[[#This Row],[INVERSIONES FCI]])</f>
        <v>1313690263.4169731</v>
      </c>
      <c r="AR47" s="5">
        <f>IF($B46&lt;=Tabla5[[#This Row],[INVERSIONES FCI]],+Tabla5[[#This Row],[INVERSIONES FCI]]-AR46,Tabla5[[#This Row],[INVERSIONES FCI]])</f>
        <v>1313690263.4169731</v>
      </c>
      <c r="AS47" s="5">
        <f>IF($B46&lt;=Tabla5[[#This Row],[INVERSIONES FCI]],+Tabla5[[#This Row],[INVERSIONES FCI]]-AS46,Tabla5[[#This Row],[INVERSIONES FCI]])</f>
        <v>1313690263.4169731</v>
      </c>
      <c r="AT47" s="5">
        <f>IF($B46&lt;=Tabla5[[#This Row],[INVERSIONES FCI]],+Tabla5[[#This Row],[INVERSIONES FCI]]-AT46,Tabla5[[#This Row],[INVERSIONES FCI]])</f>
        <v>1313690263.4169731</v>
      </c>
      <c r="AU47" s="5">
        <f>IF($B46&lt;=Tabla5[[#This Row],[INVERSIONES FCI]],+Tabla5[[#This Row],[INVERSIONES FCI]]-AU46,Tabla5[[#This Row],[INVERSIONES FCI]])</f>
        <v>1313690263.4169731</v>
      </c>
      <c r="AV47" s="5" cm="1">
        <f t="array" ref="AV47">IF(Tabla5[[#This Row],[FCI]]=0,0,_xlfn.XLOOKUP(TRUE,$B47:AU47&gt;0,$B47:AU47,"",0,-1))</f>
        <v>1313690263.4169731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</row>
    <row r="48" spans="1:121" ht="14.4">
      <c r="A48" s="12" t="s">
        <v>47</v>
      </c>
      <c r="B48" s="5">
        <f>HLOOKUP($A48,ESCENARIO[#All],7,FALSE)</f>
        <v>20646170622.925011</v>
      </c>
      <c r="C48" s="5">
        <f>IF($B47&lt;=Tabla5[[#This Row],[INVERSIONES FCI]],+Tabla5[[#This Row],[INVERSIONES FCI]]-C47,Tabla5[[#This Row],[INVERSIONES FCI]])</f>
        <v>20646170622.925011</v>
      </c>
      <c r="D48" s="5">
        <f>IF($B47&lt;=Tabla5[[#This Row],[INVERSIONES FCI]],+Tabla5[[#This Row],[INVERSIONES FCI]]-D47,Tabla5[[#This Row],[INVERSIONES FCI]])</f>
        <v>20646170622.925011</v>
      </c>
      <c r="E48" s="5">
        <f>IF($B47&lt;=Tabla5[[#This Row],[INVERSIONES FCI]],+Tabla5[[#This Row],[INVERSIONES FCI]]-E47,Tabla5[[#This Row],[INVERSIONES FCI]])</f>
        <v>20646170622.925011</v>
      </c>
      <c r="F48" s="5">
        <f>IF($B47&lt;=Tabla5[[#This Row],[INVERSIONES FCI]],+Tabla5[[#This Row],[INVERSIONES FCI]]-F47,Tabla5[[#This Row],[INVERSIONES FCI]])</f>
        <v>20646170622.925011</v>
      </c>
      <c r="G48" s="5">
        <f>IF($B47&lt;=Tabla5[[#This Row],[INVERSIONES FCI]],+Tabla5[[#This Row],[INVERSIONES FCI]]-G47,Tabla5[[#This Row],[INVERSIONES FCI]])</f>
        <v>20646170622.925011</v>
      </c>
      <c r="H48" s="5">
        <f>IF($B47&lt;=Tabla5[[#This Row],[INVERSIONES FCI]],+Tabla5[[#This Row],[INVERSIONES FCI]]-H47,Tabla5[[#This Row],[INVERSIONES FCI]])</f>
        <v>20646170622.925011</v>
      </c>
      <c r="I48" s="5">
        <f>IF($B47&lt;=Tabla5[[#This Row],[INVERSIONES FCI]],+Tabla5[[#This Row],[INVERSIONES FCI]]-I47,Tabla5[[#This Row],[INVERSIONES FCI]])</f>
        <v>20646170622.925011</v>
      </c>
      <c r="J48" s="5">
        <f>IF($B47&lt;=Tabla5[[#This Row],[INVERSIONES FCI]],+Tabla5[[#This Row],[INVERSIONES FCI]]-J47,Tabla5[[#This Row],[INVERSIONES FCI]])</f>
        <v>20646170622.925011</v>
      </c>
      <c r="K48" s="5">
        <f>IF($B47&lt;=Tabla5[[#This Row],[INVERSIONES FCI]],+Tabla5[[#This Row],[INVERSIONES FCI]]-K47,Tabla5[[#This Row],[INVERSIONES FCI]])</f>
        <v>20646170622.925011</v>
      </c>
      <c r="L48" s="5">
        <f>IF($B47&lt;=Tabla5[[#This Row],[INVERSIONES FCI]],+Tabla5[[#This Row],[INVERSIONES FCI]]-L47,Tabla5[[#This Row],[INVERSIONES FCI]])</f>
        <v>20646170622.925011</v>
      </c>
      <c r="M48" s="5">
        <f>IF($B47&lt;=Tabla5[[#This Row],[INVERSIONES FCI]],+Tabla5[[#This Row],[INVERSIONES FCI]]-M47,Tabla5[[#This Row],[INVERSIONES FCI]])</f>
        <v>20646170622.925011</v>
      </c>
      <c r="N48" s="5">
        <f>IF($B47&lt;=Tabla5[[#This Row],[INVERSIONES FCI]],+Tabla5[[#This Row],[INVERSIONES FCI]]-N47,Tabla5[[#This Row],[INVERSIONES FCI]])</f>
        <v>20646170622.925011</v>
      </c>
      <c r="O48" s="5">
        <f>IF($B47&lt;=Tabla5[[#This Row],[INVERSIONES FCI]],+Tabla5[[#This Row],[INVERSIONES FCI]]-O47,Tabla5[[#This Row],[INVERSIONES FCI]])</f>
        <v>20646170622.925011</v>
      </c>
      <c r="P48" s="5">
        <f>IF($B47&lt;=Tabla5[[#This Row],[INVERSIONES FCI]],+Tabla5[[#This Row],[INVERSIONES FCI]]-P47,Tabla5[[#This Row],[INVERSIONES FCI]])</f>
        <v>20646170622.925011</v>
      </c>
      <c r="Q48" s="5">
        <f>IF($B47&lt;=Tabla5[[#This Row],[INVERSIONES FCI]],+Tabla5[[#This Row],[INVERSIONES FCI]]-Q47,Tabla5[[#This Row],[INVERSIONES FCI]])</f>
        <v>20646170622.925011</v>
      </c>
      <c r="R48" s="5">
        <f>IF($B47&lt;=Tabla5[[#This Row],[INVERSIONES FCI]],+Tabla5[[#This Row],[INVERSIONES FCI]]-R47,Tabla5[[#This Row],[INVERSIONES FCI]])</f>
        <v>20646170622.925011</v>
      </c>
      <c r="S48" s="5">
        <f>IF($B47&lt;=Tabla5[[#This Row],[INVERSIONES FCI]],+Tabla5[[#This Row],[INVERSIONES FCI]]-S47,Tabla5[[#This Row],[INVERSIONES FCI]])</f>
        <v>20646170622.925011</v>
      </c>
      <c r="T48" s="5">
        <f>IF($B47&lt;=Tabla5[[#This Row],[INVERSIONES FCI]],+Tabla5[[#This Row],[INVERSIONES FCI]]-T47,Tabla5[[#This Row],[INVERSIONES FCI]])</f>
        <v>20646170622.925011</v>
      </c>
      <c r="U48" s="5">
        <f>IF($B47&lt;=Tabla5[[#This Row],[INVERSIONES FCI]],+Tabla5[[#This Row],[INVERSIONES FCI]]-U47,Tabla5[[#This Row],[INVERSIONES FCI]])</f>
        <v>20646170622.925011</v>
      </c>
      <c r="V48" s="5">
        <f>IF($B47&lt;=Tabla5[[#This Row],[INVERSIONES FCI]],+Tabla5[[#This Row],[INVERSIONES FCI]]-V47,Tabla5[[#This Row],[INVERSIONES FCI]])</f>
        <v>20646170622.925011</v>
      </c>
      <c r="W48" s="5">
        <f>IF($B47&lt;=Tabla5[[#This Row],[INVERSIONES FCI]],+Tabla5[[#This Row],[INVERSIONES FCI]]-W47,Tabla5[[#This Row],[INVERSIONES FCI]])</f>
        <v>20646170622.925011</v>
      </c>
      <c r="X48" s="5">
        <f>IF($B47&lt;=Tabla5[[#This Row],[INVERSIONES FCI]],+Tabla5[[#This Row],[INVERSIONES FCI]]-X47,Tabla5[[#This Row],[INVERSIONES FCI]])</f>
        <v>20646170622.925011</v>
      </c>
      <c r="Y48" s="5">
        <f>IF($B47&lt;=Tabla5[[#This Row],[INVERSIONES FCI]],+Tabla5[[#This Row],[INVERSIONES FCI]]-Y47,Tabla5[[#This Row],[INVERSIONES FCI]])</f>
        <v>20646170622.925011</v>
      </c>
      <c r="Z48" s="5">
        <f>IF($B47&lt;=Tabla5[[#This Row],[INVERSIONES FCI]],+Tabla5[[#This Row],[INVERSIONES FCI]]-Z47,Tabla5[[#This Row],[INVERSIONES FCI]])</f>
        <v>20646170622.925011</v>
      </c>
      <c r="AA48" s="5">
        <f>IF($B47&lt;=Tabla5[[#This Row],[INVERSIONES FCI]],+Tabla5[[#This Row],[INVERSIONES FCI]]-AA47,Tabla5[[#This Row],[INVERSIONES FCI]])</f>
        <v>20646170622.925011</v>
      </c>
      <c r="AB48" s="5">
        <f>IF($B47&lt;=Tabla5[[#This Row],[INVERSIONES FCI]],+Tabla5[[#This Row],[INVERSIONES FCI]]-AB47,Tabla5[[#This Row],[INVERSIONES FCI]])</f>
        <v>20646170622.925011</v>
      </c>
      <c r="AC48" s="5">
        <f>IF($B47&lt;=Tabla5[[#This Row],[INVERSIONES FCI]],+Tabla5[[#This Row],[INVERSIONES FCI]]-AC47,Tabla5[[#This Row],[INVERSIONES FCI]])</f>
        <v>20646170622.925011</v>
      </c>
      <c r="AD48" s="5">
        <f>IF($B47&lt;=Tabla5[[#This Row],[INVERSIONES FCI]],+Tabla5[[#This Row],[INVERSIONES FCI]]-AD47,Tabla5[[#This Row],[INVERSIONES FCI]])</f>
        <v>20646170622.925011</v>
      </c>
      <c r="AE48" s="5">
        <f>IF($B47&lt;=Tabla5[[#This Row],[INVERSIONES FCI]],+Tabla5[[#This Row],[INVERSIONES FCI]]-AE47,Tabla5[[#This Row],[INVERSIONES FCI]])</f>
        <v>20646170622.925011</v>
      </c>
      <c r="AF48" s="5">
        <f>IF($B47&lt;=Tabla5[[#This Row],[INVERSIONES FCI]],+Tabla5[[#This Row],[INVERSIONES FCI]]-AF47,Tabla5[[#This Row],[INVERSIONES FCI]])</f>
        <v>20646170622.925011</v>
      </c>
      <c r="AG48" s="5">
        <f>IF($B47&lt;=Tabla5[[#This Row],[INVERSIONES FCI]],+Tabla5[[#This Row],[INVERSIONES FCI]]-AG47,Tabla5[[#This Row],[INVERSIONES FCI]])</f>
        <v>20646170622.925011</v>
      </c>
      <c r="AH48" s="5">
        <f>IF($B47&lt;=Tabla5[[#This Row],[INVERSIONES FCI]],+Tabla5[[#This Row],[INVERSIONES FCI]]-AH47,Tabla5[[#This Row],[INVERSIONES FCI]])</f>
        <v>20646170622.925011</v>
      </c>
      <c r="AI48" s="5">
        <f>IF($B47&lt;=Tabla5[[#This Row],[INVERSIONES FCI]],+Tabla5[[#This Row],[INVERSIONES FCI]]-AI47,Tabla5[[#This Row],[INVERSIONES FCI]])</f>
        <v>20646170622.925011</v>
      </c>
      <c r="AJ48" s="5">
        <f>IF($B47&lt;=Tabla5[[#This Row],[INVERSIONES FCI]],+Tabla5[[#This Row],[INVERSIONES FCI]]-AJ47,Tabla5[[#This Row],[INVERSIONES FCI]])</f>
        <v>20646170622.925011</v>
      </c>
      <c r="AK48" s="5">
        <f>IF($B47&lt;=Tabla5[[#This Row],[INVERSIONES FCI]],+Tabla5[[#This Row],[INVERSIONES FCI]]-AK47,Tabla5[[#This Row],[INVERSIONES FCI]])</f>
        <v>20646170622.925011</v>
      </c>
      <c r="AL48" s="5">
        <f>IF($B47&lt;=Tabla5[[#This Row],[INVERSIONES FCI]],+Tabla5[[#This Row],[INVERSIONES FCI]]-AL47,Tabla5[[#This Row],[INVERSIONES FCI]])</f>
        <v>20646170622.925011</v>
      </c>
      <c r="AM48" s="5">
        <f>IF($B47&lt;=Tabla5[[#This Row],[INVERSIONES FCI]],+Tabla5[[#This Row],[INVERSIONES FCI]]-AM47,Tabla5[[#This Row],[INVERSIONES FCI]])</f>
        <v>20646170622.925011</v>
      </c>
      <c r="AN48" s="5">
        <f>IF($B47&lt;=Tabla5[[#This Row],[INVERSIONES FCI]],+Tabla5[[#This Row],[INVERSIONES FCI]]-AN47,Tabla5[[#This Row],[INVERSIONES FCI]])</f>
        <v>20646170622.925011</v>
      </c>
      <c r="AO48" s="5">
        <f>IF($B47&lt;=Tabla5[[#This Row],[INVERSIONES FCI]],+Tabla5[[#This Row],[INVERSIONES FCI]]-AO47,Tabla5[[#This Row],[INVERSIONES FCI]])</f>
        <v>20646170622.925011</v>
      </c>
      <c r="AP48" s="5">
        <f>IF($B47&lt;=Tabla5[[#This Row],[INVERSIONES FCI]],+Tabla5[[#This Row],[INVERSIONES FCI]]-AP47,Tabla5[[#This Row],[INVERSIONES FCI]])</f>
        <v>20646170622.925011</v>
      </c>
      <c r="AQ48" s="5">
        <f>IF($B47&lt;=Tabla5[[#This Row],[INVERSIONES FCI]],+Tabla5[[#This Row],[INVERSIONES FCI]]-AQ47,Tabla5[[#This Row],[INVERSIONES FCI]])</f>
        <v>20646170622.925011</v>
      </c>
      <c r="AR48" s="5">
        <f>IF($B47&lt;=Tabla5[[#This Row],[INVERSIONES FCI]],+Tabla5[[#This Row],[INVERSIONES FCI]]-AR47,Tabla5[[#This Row],[INVERSIONES FCI]])</f>
        <v>20646170622.925011</v>
      </c>
      <c r="AS48" s="5">
        <f>IF($B47&lt;=Tabla5[[#This Row],[INVERSIONES FCI]],+Tabla5[[#This Row],[INVERSIONES FCI]]-AS47,Tabla5[[#This Row],[INVERSIONES FCI]])</f>
        <v>20646170622.925011</v>
      </c>
      <c r="AT48" s="5">
        <f>IF($B47&lt;=Tabla5[[#This Row],[INVERSIONES FCI]],+Tabla5[[#This Row],[INVERSIONES FCI]]-AT47,Tabla5[[#This Row],[INVERSIONES FCI]])</f>
        <v>20646170622.925011</v>
      </c>
      <c r="AU48" s="5">
        <f>IF($B47&lt;=Tabla5[[#This Row],[INVERSIONES FCI]],+Tabla5[[#This Row],[INVERSIONES FCI]]-AU47,Tabla5[[#This Row],[INVERSIONES FCI]])</f>
        <v>20646170622.925011</v>
      </c>
      <c r="AV48" s="5">
        <f>IF($B47&lt;=Tabla5[[#This Row],[INVERSIONES FCI]],+Tabla5[[#This Row],[INVERSIONES FCI]]-AV47,Tabla5[[#This Row],[INVERSIONES FCI]])</f>
        <v>20646170622.925011</v>
      </c>
      <c r="AW48" s="5" cm="1">
        <f t="array" ref="AW48">IF(Tabla5[[#This Row],[FCI]]=0,0,_xlfn.XLOOKUP(TRUE,$B48:AV48&gt;0,$B48:AV48,"",0,-1))</f>
        <v>20646170622.925011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</row>
    <row r="49" spans="1:121" ht="14.4">
      <c r="A49" s="12" t="s">
        <v>48</v>
      </c>
      <c r="B49" s="5">
        <f>HLOOKUP($A49,ESCENARIO[#All],7,FALSE)</f>
        <v>23289441008.180122</v>
      </c>
      <c r="C49" s="5">
        <f>IF($B48&lt;=Tabla5[[#This Row],[INVERSIONES FCI]],+Tabla5[[#This Row],[INVERSIONES FCI]]-C48,Tabla5[[#This Row],[INVERSIONES FCI]])</f>
        <v>2643270385.2551117</v>
      </c>
      <c r="D49" s="5">
        <f>IF($B48&lt;=Tabla5[[#This Row],[INVERSIONES FCI]],+Tabla5[[#This Row],[INVERSIONES FCI]]-D48,Tabla5[[#This Row],[INVERSIONES FCI]])</f>
        <v>2643270385.2551117</v>
      </c>
      <c r="E49" s="5">
        <f>IF($B48&lt;=Tabla5[[#This Row],[INVERSIONES FCI]],+Tabla5[[#This Row],[INVERSIONES FCI]]-E48,Tabla5[[#This Row],[INVERSIONES FCI]])</f>
        <v>2643270385.2551117</v>
      </c>
      <c r="F49" s="5">
        <f>IF($B48&lt;=Tabla5[[#This Row],[INVERSIONES FCI]],+Tabla5[[#This Row],[INVERSIONES FCI]]-F48,Tabla5[[#This Row],[INVERSIONES FCI]])</f>
        <v>2643270385.2551117</v>
      </c>
      <c r="G49" s="5">
        <f>IF($B48&lt;=Tabla5[[#This Row],[INVERSIONES FCI]],+Tabla5[[#This Row],[INVERSIONES FCI]]-G48,Tabla5[[#This Row],[INVERSIONES FCI]])</f>
        <v>2643270385.2551117</v>
      </c>
      <c r="H49" s="5">
        <f>IF($B48&lt;=Tabla5[[#This Row],[INVERSIONES FCI]],+Tabla5[[#This Row],[INVERSIONES FCI]]-H48,Tabla5[[#This Row],[INVERSIONES FCI]])</f>
        <v>2643270385.2551117</v>
      </c>
      <c r="I49" s="5">
        <f>IF($B48&lt;=Tabla5[[#This Row],[INVERSIONES FCI]],+Tabla5[[#This Row],[INVERSIONES FCI]]-I48,Tabla5[[#This Row],[INVERSIONES FCI]])</f>
        <v>2643270385.2551117</v>
      </c>
      <c r="J49" s="5">
        <f>IF($B48&lt;=Tabla5[[#This Row],[INVERSIONES FCI]],+Tabla5[[#This Row],[INVERSIONES FCI]]-J48,Tabla5[[#This Row],[INVERSIONES FCI]])</f>
        <v>2643270385.2551117</v>
      </c>
      <c r="K49" s="5">
        <f>IF($B48&lt;=Tabla5[[#This Row],[INVERSIONES FCI]],+Tabla5[[#This Row],[INVERSIONES FCI]]-K48,Tabla5[[#This Row],[INVERSIONES FCI]])</f>
        <v>2643270385.2551117</v>
      </c>
      <c r="L49" s="5">
        <f>IF($B48&lt;=Tabla5[[#This Row],[INVERSIONES FCI]],+Tabla5[[#This Row],[INVERSIONES FCI]]-L48,Tabla5[[#This Row],[INVERSIONES FCI]])</f>
        <v>2643270385.2551117</v>
      </c>
      <c r="M49" s="5">
        <f>IF($B48&lt;=Tabla5[[#This Row],[INVERSIONES FCI]],+Tabla5[[#This Row],[INVERSIONES FCI]]-M48,Tabla5[[#This Row],[INVERSIONES FCI]])</f>
        <v>2643270385.2551117</v>
      </c>
      <c r="N49" s="5">
        <f>IF($B48&lt;=Tabla5[[#This Row],[INVERSIONES FCI]],+Tabla5[[#This Row],[INVERSIONES FCI]]-N48,Tabla5[[#This Row],[INVERSIONES FCI]])</f>
        <v>2643270385.2551117</v>
      </c>
      <c r="O49" s="5">
        <f>IF($B48&lt;=Tabla5[[#This Row],[INVERSIONES FCI]],+Tabla5[[#This Row],[INVERSIONES FCI]]-O48,Tabla5[[#This Row],[INVERSIONES FCI]])</f>
        <v>2643270385.2551117</v>
      </c>
      <c r="P49" s="5">
        <f>IF($B48&lt;=Tabla5[[#This Row],[INVERSIONES FCI]],+Tabla5[[#This Row],[INVERSIONES FCI]]-P48,Tabla5[[#This Row],[INVERSIONES FCI]])</f>
        <v>2643270385.2551117</v>
      </c>
      <c r="Q49" s="5">
        <f>IF($B48&lt;=Tabla5[[#This Row],[INVERSIONES FCI]],+Tabla5[[#This Row],[INVERSIONES FCI]]-Q48,Tabla5[[#This Row],[INVERSIONES FCI]])</f>
        <v>2643270385.2551117</v>
      </c>
      <c r="R49" s="5">
        <f>IF($B48&lt;=Tabla5[[#This Row],[INVERSIONES FCI]],+Tabla5[[#This Row],[INVERSIONES FCI]]-R48,Tabla5[[#This Row],[INVERSIONES FCI]])</f>
        <v>2643270385.2551117</v>
      </c>
      <c r="S49" s="5">
        <f>IF($B48&lt;=Tabla5[[#This Row],[INVERSIONES FCI]],+Tabla5[[#This Row],[INVERSIONES FCI]]-S48,Tabla5[[#This Row],[INVERSIONES FCI]])</f>
        <v>2643270385.2551117</v>
      </c>
      <c r="T49" s="5">
        <f>IF($B48&lt;=Tabla5[[#This Row],[INVERSIONES FCI]],+Tabla5[[#This Row],[INVERSIONES FCI]]-T48,Tabla5[[#This Row],[INVERSIONES FCI]])</f>
        <v>2643270385.2551117</v>
      </c>
      <c r="U49" s="5">
        <f>IF($B48&lt;=Tabla5[[#This Row],[INVERSIONES FCI]],+Tabla5[[#This Row],[INVERSIONES FCI]]-U48,Tabla5[[#This Row],[INVERSIONES FCI]])</f>
        <v>2643270385.2551117</v>
      </c>
      <c r="V49" s="5">
        <f>IF($B48&lt;=Tabla5[[#This Row],[INVERSIONES FCI]],+Tabla5[[#This Row],[INVERSIONES FCI]]-V48,Tabla5[[#This Row],[INVERSIONES FCI]])</f>
        <v>2643270385.2551117</v>
      </c>
      <c r="W49" s="5">
        <f>IF($B48&lt;=Tabla5[[#This Row],[INVERSIONES FCI]],+Tabla5[[#This Row],[INVERSIONES FCI]]-W48,Tabla5[[#This Row],[INVERSIONES FCI]])</f>
        <v>2643270385.2551117</v>
      </c>
      <c r="X49" s="5">
        <f>IF($B48&lt;=Tabla5[[#This Row],[INVERSIONES FCI]],+Tabla5[[#This Row],[INVERSIONES FCI]]-X48,Tabla5[[#This Row],[INVERSIONES FCI]])</f>
        <v>2643270385.2551117</v>
      </c>
      <c r="Y49" s="5">
        <f>IF($B48&lt;=Tabla5[[#This Row],[INVERSIONES FCI]],+Tabla5[[#This Row],[INVERSIONES FCI]]-Y48,Tabla5[[#This Row],[INVERSIONES FCI]])</f>
        <v>2643270385.2551117</v>
      </c>
      <c r="Z49" s="5">
        <f>IF($B48&lt;=Tabla5[[#This Row],[INVERSIONES FCI]],+Tabla5[[#This Row],[INVERSIONES FCI]]-Z48,Tabla5[[#This Row],[INVERSIONES FCI]])</f>
        <v>2643270385.2551117</v>
      </c>
      <c r="AA49" s="5">
        <f>IF($B48&lt;=Tabla5[[#This Row],[INVERSIONES FCI]],+Tabla5[[#This Row],[INVERSIONES FCI]]-AA48,Tabla5[[#This Row],[INVERSIONES FCI]])</f>
        <v>2643270385.2551117</v>
      </c>
      <c r="AB49" s="5">
        <f>IF($B48&lt;=Tabla5[[#This Row],[INVERSIONES FCI]],+Tabla5[[#This Row],[INVERSIONES FCI]]-AB48,Tabla5[[#This Row],[INVERSIONES FCI]])</f>
        <v>2643270385.2551117</v>
      </c>
      <c r="AC49" s="5">
        <f>IF($B48&lt;=Tabla5[[#This Row],[INVERSIONES FCI]],+Tabla5[[#This Row],[INVERSIONES FCI]]-AC48,Tabla5[[#This Row],[INVERSIONES FCI]])</f>
        <v>2643270385.2551117</v>
      </c>
      <c r="AD49" s="5">
        <f>IF($B48&lt;=Tabla5[[#This Row],[INVERSIONES FCI]],+Tabla5[[#This Row],[INVERSIONES FCI]]-AD48,Tabla5[[#This Row],[INVERSIONES FCI]])</f>
        <v>2643270385.2551117</v>
      </c>
      <c r="AE49" s="5">
        <f>IF($B48&lt;=Tabla5[[#This Row],[INVERSIONES FCI]],+Tabla5[[#This Row],[INVERSIONES FCI]]-AE48,Tabla5[[#This Row],[INVERSIONES FCI]])</f>
        <v>2643270385.2551117</v>
      </c>
      <c r="AF49" s="5">
        <f>IF($B48&lt;=Tabla5[[#This Row],[INVERSIONES FCI]],+Tabla5[[#This Row],[INVERSIONES FCI]]-AF48,Tabla5[[#This Row],[INVERSIONES FCI]])</f>
        <v>2643270385.2551117</v>
      </c>
      <c r="AG49" s="5">
        <f>IF($B48&lt;=Tabla5[[#This Row],[INVERSIONES FCI]],+Tabla5[[#This Row],[INVERSIONES FCI]]-AG48,Tabla5[[#This Row],[INVERSIONES FCI]])</f>
        <v>2643270385.2551117</v>
      </c>
      <c r="AH49" s="5">
        <f>IF($B48&lt;=Tabla5[[#This Row],[INVERSIONES FCI]],+Tabla5[[#This Row],[INVERSIONES FCI]]-AH48,Tabla5[[#This Row],[INVERSIONES FCI]])</f>
        <v>2643270385.2551117</v>
      </c>
      <c r="AI49" s="5">
        <f>IF($B48&lt;=Tabla5[[#This Row],[INVERSIONES FCI]],+Tabla5[[#This Row],[INVERSIONES FCI]]-AI48,Tabla5[[#This Row],[INVERSIONES FCI]])</f>
        <v>2643270385.2551117</v>
      </c>
      <c r="AJ49" s="5">
        <f>IF($B48&lt;=Tabla5[[#This Row],[INVERSIONES FCI]],+Tabla5[[#This Row],[INVERSIONES FCI]]-AJ48,Tabla5[[#This Row],[INVERSIONES FCI]])</f>
        <v>2643270385.2551117</v>
      </c>
      <c r="AK49" s="5">
        <f>IF($B48&lt;=Tabla5[[#This Row],[INVERSIONES FCI]],+Tabla5[[#This Row],[INVERSIONES FCI]]-AK48,Tabla5[[#This Row],[INVERSIONES FCI]])</f>
        <v>2643270385.2551117</v>
      </c>
      <c r="AL49" s="5">
        <f>IF($B48&lt;=Tabla5[[#This Row],[INVERSIONES FCI]],+Tabla5[[#This Row],[INVERSIONES FCI]]-AL48,Tabla5[[#This Row],[INVERSIONES FCI]])</f>
        <v>2643270385.2551117</v>
      </c>
      <c r="AM49" s="5">
        <f>IF($B48&lt;=Tabla5[[#This Row],[INVERSIONES FCI]],+Tabla5[[#This Row],[INVERSIONES FCI]]-AM48,Tabla5[[#This Row],[INVERSIONES FCI]])</f>
        <v>2643270385.2551117</v>
      </c>
      <c r="AN49" s="5">
        <f>IF($B48&lt;=Tabla5[[#This Row],[INVERSIONES FCI]],+Tabla5[[#This Row],[INVERSIONES FCI]]-AN48,Tabla5[[#This Row],[INVERSIONES FCI]])</f>
        <v>2643270385.2551117</v>
      </c>
      <c r="AO49" s="5">
        <f>IF($B48&lt;=Tabla5[[#This Row],[INVERSIONES FCI]],+Tabla5[[#This Row],[INVERSIONES FCI]]-AO48,Tabla5[[#This Row],[INVERSIONES FCI]])</f>
        <v>2643270385.2551117</v>
      </c>
      <c r="AP49" s="5">
        <f>IF($B48&lt;=Tabla5[[#This Row],[INVERSIONES FCI]],+Tabla5[[#This Row],[INVERSIONES FCI]]-AP48,Tabla5[[#This Row],[INVERSIONES FCI]])</f>
        <v>2643270385.2551117</v>
      </c>
      <c r="AQ49" s="5">
        <f>IF($B48&lt;=Tabla5[[#This Row],[INVERSIONES FCI]],+Tabla5[[#This Row],[INVERSIONES FCI]]-AQ48,Tabla5[[#This Row],[INVERSIONES FCI]])</f>
        <v>2643270385.2551117</v>
      </c>
      <c r="AR49" s="5">
        <f>IF($B48&lt;=Tabla5[[#This Row],[INVERSIONES FCI]],+Tabla5[[#This Row],[INVERSIONES FCI]]-AR48,Tabla5[[#This Row],[INVERSIONES FCI]])</f>
        <v>2643270385.2551117</v>
      </c>
      <c r="AS49" s="5">
        <f>IF($B48&lt;=Tabla5[[#This Row],[INVERSIONES FCI]],+Tabla5[[#This Row],[INVERSIONES FCI]]-AS48,Tabla5[[#This Row],[INVERSIONES FCI]])</f>
        <v>2643270385.2551117</v>
      </c>
      <c r="AT49" s="5">
        <f>IF($B48&lt;=Tabla5[[#This Row],[INVERSIONES FCI]],+Tabla5[[#This Row],[INVERSIONES FCI]]-AT48,Tabla5[[#This Row],[INVERSIONES FCI]])</f>
        <v>2643270385.2551117</v>
      </c>
      <c r="AU49" s="5">
        <f>IF($B48&lt;=Tabla5[[#This Row],[INVERSIONES FCI]],+Tabla5[[#This Row],[INVERSIONES FCI]]-AU48,Tabla5[[#This Row],[INVERSIONES FCI]])</f>
        <v>2643270385.2551117</v>
      </c>
      <c r="AV49" s="5">
        <f>IF($B48&lt;=Tabla5[[#This Row],[INVERSIONES FCI]],+Tabla5[[#This Row],[INVERSIONES FCI]]-AV48,Tabla5[[#This Row],[INVERSIONES FCI]])</f>
        <v>2643270385.2551117</v>
      </c>
      <c r="AW49" s="5">
        <f>IF($B48&lt;=Tabla5[[#This Row],[INVERSIONES FCI]],+Tabla5[[#This Row],[INVERSIONES FCI]]-AW48,Tabla5[[#This Row],[INVERSIONES FCI]])</f>
        <v>2643270385.2551117</v>
      </c>
      <c r="AX49" s="5" cm="1">
        <f t="array" ref="AX49">IF(Tabla5[[#This Row],[FCI]]=0,0,_xlfn.XLOOKUP(TRUE,$B49:AW49&gt;0,$B49:AW49,"",0,-1))</f>
        <v>2643270385.2551117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</row>
    <row r="50" spans="1:121" ht="14.4">
      <c r="A50" s="12" t="s">
        <v>49</v>
      </c>
      <c r="B50" s="5">
        <f>HLOOKUP($A50,ESCENARIO[#All],7,FALSE)</f>
        <v>26028020891.687054</v>
      </c>
      <c r="C50" s="5">
        <f>IF($B49&lt;=Tabla5[[#This Row],[INVERSIONES FCI]],+Tabla5[[#This Row],[INVERSIONES FCI]]-C49,Tabla5[[#This Row],[INVERSIONES FCI]])</f>
        <v>23384750506.431942</v>
      </c>
      <c r="D50" s="5">
        <f>IF($B49&lt;=Tabla5[[#This Row],[INVERSIONES FCI]],+Tabla5[[#This Row],[INVERSIONES FCI]]-D49,Tabla5[[#This Row],[INVERSIONES FCI]])</f>
        <v>23384750506.431942</v>
      </c>
      <c r="E50" s="5">
        <f>IF($B49&lt;=Tabla5[[#This Row],[INVERSIONES FCI]],+Tabla5[[#This Row],[INVERSIONES FCI]]-E49,Tabla5[[#This Row],[INVERSIONES FCI]])</f>
        <v>23384750506.431942</v>
      </c>
      <c r="F50" s="5">
        <f>IF($B49&lt;=Tabla5[[#This Row],[INVERSIONES FCI]],+Tabla5[[#This Row],[INVERSIONES FCI]]-F49,Tabla5[[#This Row],[INVERSIONES FCI]])</f>
        <v>23384750506.431942</v>
      </c>
      <c r="G50" s="5">
        <f>IF($B49&lt;=Tabla5[[#This Row],[INVERSIONES FCI]],+Tabla5[[#This Row],[INVERSIONES FCI]]-G49,Tabla5[[#This Row],[INVERSIONES FCI]])</f>
        <v>23384750506.431942</v>
      </c>
      <c r="H50" s="5">
        <f>IF($B49&lt;=Tabla5[[#This Row],[INVERSIONES FCI]],+Tabla5[[#This Row],[INVERSIONES FCI]]-H49,Tabla5[[#This Row],[INVERSIONES FCI]])</f>
        <v>23384750506.431942</v>
      </c>
      <c r="I50" s="5">
        <f>IF($B49&lt;=Tabla5[[#This Row],[INVERSIONES FCI]],+Tabla5[[#This Row],[INVERSIONES FCI]]-I49,Tabla5[[#This Row],[INVERSIONES FCI]])</f>
        <v>23384750506.431942</v>
      </c>
      <c r="J50" s="5">
        <f>IF($B49&lt;=Tabla5[[#This Row],[INVERSIONES FCI]],+Tabla5[[#This Row],[INVERSIONES FCI]]-J49,Tabla5[[#This Row],[INVERSIONES FCI]])</f>
        <v>23384750506.431942</v>
      </c>
      <c r="K50" s="5">
        <f>IF($B49&lt;=Tabla5[[#This Row],[INVERSIONES FCI]],+Tabla5[[#This Row],[INVERSIONES FCI]]-K49,Tabla5[[#This Row],[INVERSIONES FCI]])</f>
        <v>23384750506.431942</v>
      </c>
      <c r="L50" s="5">
        <f>IF($B49&lt;=Tabla5[[#This Row],[INVERSIONES FCI]],+Tabla5[[#This Row],[INVERSIONES FCI]]-L49,Tabla5[[#This Row],[INVERSIONES FCI]])</f>
        <v>23384750506.431942</v>
      </c>
      <c r="M50" s="5">
        <f>IF($B49&lt;=Tabla5[[#This Row],[INVERSIONES FCI]],+Tabla5[[#This Row],[INVERSIONES FCI]]-M49,Tabla5[[#This Row],[INVERSIONES FCI]])</f>
        <v>23384750506.431942</v>
      </c>
      <c r="N50" s="5">
        <f>IF($B49&lt;=Tabla5[[#This Row],[INVERSIONES FCI]],+Tabla5[[#This Row],[INVERSIONES FCI]]-N49,Tabla5[[#This Row],[INVERSIONES FCI]])</f>
        <v>23384750506.431942</v>
      </c>
      <c r="O50" s="5">
        <f>IF($B49&lt;=Tabla5[[#This Row],[INVERSIONES FCI]],+Tabla5[[#This Row],[INVERSIONES FCI]]-O49,Tabla5[[#This Row],[INVERSIONES FCI]])</f>
        <v>23384750506.431942</v>
      </c>
      <c r="P50" s="5">
        <f>IF($B49&lt;=Tabla5[[#This Row],[INVERSIONES FCI]],+Tabla5[[#This Row],[INVERSIONES FCI]]-P49,Tabla5[[#This Row],[INVERSIONES FCI]])</f>
        <v>23384750506.431942</v>
      </c>
      <c r="Q50" s="5">
        <f>IF($B49&lt;=Tabla5[[#This Row],[INVERSIONES FCI]],+Tabla5[[#This Row],[INVERSIONES FCI]]-Q49,Tabla5[[#This Row],[INVERSIONES FCI]])</f>
        <v>23384750506.431942</v>
      </c>
      <c r="R50" s="5">
        <f>IF($B49&lt;=Tabla5[[#This Row],[INVERSIONES FCI]],+Tabla5[[#This Row],[INVERSIONES FCI]]-R49,Tabla5[[#This Row],[INVERSIONES FCI]])</f>
        <v>23384750506.431942</v>
      </c>
      <c r="S50" s="5">
        <f>IF($B49&lt;=Tabla5[[#This Row],[INVERSIONES FCI]],+Tabla5[[#This Row],[INVERSIONES FCI]]-S49,Tabla5[[#This Row],[INVERSIONES FCI]])</f>
        <v>23384750506.431942</v>
      </c>
      <c r="T50" s="5">
        <f>IF($B49&lt;=Tabla5[[#This Row],[INVERSIONES FCI]],+Tabla5[[#This Row],[INVERSIONES FCI]]-T49,Tabla5[[#This Row],[INVERSIONES FCI]])</f>
        <v>23384750506.431942</v>
      </c>
      <c r="U50" s="5">
        <f>IF($B49&lt;=Tabla5[[#This Row],[INVERSIONES FCI]],+Tabla5[[#This Row],[INVERSIONES FCI]]-U49,Tabla5[[#This Row],[INVERSIONES FCI]])</f>
        <v>23384750506.431942</v>
      </c>
      <c r="V50" s="5">
        <f>IF($B49&lt;=Tabla5[[#This Row],[INVERSIONES FCI]],+Tabla5[[#This Row],[INVERSIONES FCI]]-V49,Tabla5[[#This Row],[INVERSIONES FCI]])</f>
        <v>23384750506.431942</v>
      </c>
      <c r="W50" s="5">
        <f>IF($B49&lt;=Tabla5[[#This Row],[INVERSIONES FCI]],+Tabla5[[#This Row],[INVERSIONES FCI]]-W49,Tabla5[[#This Row],[INVERSIONES FCI]])</f>
        <v>23384750506.431942</v>
      </c>
      <c r="X50" s="5">
        <f>IF($B49&lt;=Tabla5[[#This Row],[INVERSIONES FCI]],+Tabla5[[#This Row],[INVERSIONES FCI]]-X49,Tabla5[[#This Row],[INVERSIONES FCI]])</f>
        <v>23384750506.431942</v>
      </c>
      <c r="Y50" s="5">
        <f>IF($B49&lt;=Tabla5[[#This Row],[INVERSIONES FCI]],+Tabla5[[#This Row],[INVERSIONES FCI]]-Y49,Tabla5[[#This Row],[INVERSIONES FCI]])</f>
        <v>23384750506.431942</v>
      </c>
      <c r="Z50" s="5">
        <f>IF($B49&lt;=Tabla5[[#This Row],[INVERSIONES FCI]],+Tabla5[[#This Row],[INVERSIONES FCI]]-Z49,Tabla5[[#This Row],[INVERSIONES FCI]])</f>
        <v>23384750506.431942</v>
      </c>
      <c r="AA50" s="5">
        <f>IF($B49&lt;=Tabla5[[#This Row],[INVERSIONES FCI]],+Tabla5[[#This Row],[INVERSIONES FCI]]-AA49,Tabla5[[#This Row],[INVERSIONES FCI]])</f>
        <v>23384750506.431942</v>
      </c>
      <c r="AB50" s="5">
        <f>IF($B49&lt;=Tabla5[[#This Row],[INVERSIONES FCI]],+Tabla5[[#This Row],[INVERSIONES FCI]]-AB49,Tabla5[[#This Row],[INVERSIONES FCI]])</f>
        <v>23384750506.431942</v>
      </c>
      <c r="AC50" s="5">
        <f>IF($B49&lt;=Tabla5[[#This Row],[INVERSIONES FCI]],+Tabla5[[#This Row],[INVERSIONES FCI]]-AC49,Tabla5[[#This Row],[INVERSIONES FCI]])</f>
        <v>23384750506.431942</v>
      </c>
      <c r="AD50" s="5">
        <f>IF($B49&lt;=Tabla5[[#This Row],[INVERSIONES FCI]],+Tabla5[[#This Row],[INVERSIONES FCI]]-AD49,Tabla5[[#This Row],[INVERSIONES FCI]])</f>
        <v>23384750506.431942</v>
      </c>
      <c r="AE50" s="5">
        <f>IF($B49&lt;=Tabla5[[#This Row],[INVERSIONES FCI]],+Tabla5[[#This Row],[INVERSIONES FCI]]-AE49,Tabla5[[#This Row],[INVERSIONES FCI]])</f>
        <v>23384750506.431942</v>
      </c>
      <c r="AF50" s="5">
        <f>IF($B49&lt;=Tabla5[[#This Row],[INVERSIONES FCI]],+Tabla5[[#This Row],[INVERSIONES FCI]]-AF49,Tabla5[[#This Row],[INVERSIONES FCI]])</f>
        <v>23384750506.431942</v>
      </c>
      <c r="AG50" s="5">
        <f>IF($B49&lt;=Tabla5[[#This Row],[INVERSIONES FCI]],+Tabla5[[#This Row],[INVERSIONES FCI]]-AG49,Tabla5[[#This Row],[INVERSIONES FCI]])</f>
        <v>23384750506.431942</v>
      </c>
      <c r="AH50" s="5">
        <f>IF($B49&lt;=Tabla5[[#This Row],[INVERSIONES FCI]],+Tabla5[[#This Row],[INVERSIONES FCI]]-AH49,Tabla5[[#This Row],[INVERSIONES FCI]])</f>
        <v>23384750506.431942</v>
      </c>
      <c r="AI50" s="5">
        <f>IF($B49&lt;=Tabla5[[#This Row],[INVERSIONES FCI]],+Tabla5[[#This Row],[INVERSIONES FCI]]-AI49,Tabla5[[#This Row],[INVERSIONES FCI]])</f>
        <v>23384750506.431942</v>
      </c>
      <c r="AJ50" s="5">
        <f>IF($B49&lt;=Tabla5[[#This Row],[INVERSIONES FCI]],+Tabla5[[#This Row],[INVERSIONES FCI]]-AJ49,Tabla5[[#This Row],[INVERSIONES FCI]])</f>
        <v>23384750506.431942</v>
      </c>
      <c r="AK50" s="5">
        <f>IF($B49&lt;=Tabla5[[#This Row],[INVERSIONES FCI]],+Tabla5[[#This Row],[INVERSIONES FCI]]-AK49,Tabla5[[#This Row],[INVERSIONES FCI]])</f>
        <v>23384750506.431942</v>
      </c>
      <c r="AL50" s="5">
        <f>IF($B49&lt;=Tabla5[[#This Row],[INVERSIONES FCI]],+Tabla5[[#This Row],[INVERSIONES FCI]]-AL49,Tabla5[[#This Row],[INVERSIONES FCI]])</f>
        <v>23384750506.431942</v>
      </c>
      <c r="AM50" s="5">
        <f>IF($B49&lt;=Tabla5[[#This Row],[INVERSIONES FCI]],+Tabla5[[#This Row],[INVERSIONES FCI]]-AM49,Tabla5[[#This Row],[INVERSIONES FCI]])</f>
        <v>23384750506.431942</v>
      </c>
      <c r="AN50" s="5">
        <f>IF($B49&lt;=Tabla5[[#This Row],[INVERSIONES FCI]],+Tabla5[[#This Row],[INVERSIONES FCI]]-AN49,Tabla5[[#This Row],[INVERSIONES FCI]])</f>
        <v>23384750506.431942</v>
      </c>
      <c r="AO50" s="5">
        <f>IF($B49&lt;=Tabla5[[#This Row],[INVERSIONES FCI]],+Tabla5[[#This Row],[INVERSIONES FCI]]-AO49,Tabla5[[#This Row],[INVERSIONES FCI]])</f>
        <v>23384750506.431942</v>
      </c>
      <c r="AP50" s="5">
        <f>IF($B49&lt;=Tabla5[[#This Row],[INVERSIONES FCI]],+Tabla5[[#This Row],[INVERSIONES FCI]]-AP49,Tabla5[[#This Row],[INVERSIONES FCI]])</f>
        <v>23384750506.431942</v>
      </c>
      <c r="AQ50" s="5">
        <f>IF($B49&lt;=Tabla5[[#This Row],[INVERSIONES FCI]],+Tabla5[[#This Row],[INVERSIONES FCI]]-AQ49,Tabla5[[#This Row],[INVERSIONES FCI]])</f>
        <v>23384750506.431942</v>
      </c>
      <c r="AR50" s="5">
        <f>IF($B49&lt;=Tabla5[[#This Row],[INVERSIONES FCI]],+Tabla5[[#This Row],[INVERSIONES FCI]]-AR49,Tabla5[[#This Row],[INVERSIONES FCI]])</f>
        <v>23384750506.431942</v>
      </c>
      <c r="AS50" s="5">
        <f>IF($B49&lt;=Tabla5[[#This Row],[INVERSIONES FCI]],+Tabla5[[#This Row],[INVERSIONES FCI]]-AS49,Tabla5[[#This Row],[INVERSIONES FCI]])</f>
        <v>23384750506.431942</v>
      </c>
      <c r="AT50" s="5">
        <f>IF($B49&lt;=Tabla5[[#This Row],[INVERSIONES FCI]],+Tabla5[[#This Row],[INVERSIONES FCI]]-AT49,Tabla5[[#This Row],[INVERSIONES FCI]])</f>
        <v>23384750506.431942</v>
      </c>
      <c r="AU50" s="5">
        <f>IF($B49&lt;=Tabla5[[#This Row],[INVERSIONES FCI]],+Tabla5[[#This Row],[INVERSIONES FCI]]-AU49,Tabla5[[#This Row],[INVERSIONES FCI]])</f>
        <v>23384750506.431942</v>
      </c>
      <c r="AV50" s="5">
        <f>IF($B49&lt;=Tabla5[[#This Row],[INVERSIONES FCI]],+Tabla5[[#This Row],[INVERSIONES FCI]]-AV49,Tabla5[[#This Row],[INVERSIONES FCI]])</f>
        <v>23384750506.431942</v>
      </c>
      <c r="AW50" s="5">
        <f>IF($B49&lt;=Tabla5[[#This Row],[INVERSIONES FCI]],+Tabla5[[#This Row],[INVERSIONES FCI]]-AW49,Tabla5[[#This Row],[INVERSIONES FCI]])</f>
        <v>23384750506.431942</v>
      </c>
      <c r="AX50" s="5">
        <f>IF($B49&lt;=Tabla5[[#This Row],[INVERSIONES FCI]],+Tabla5[[#This Row],[INVERSIONES FCI]]-AX49,Tabla5[[#This Row],[INVERSIONES FCI]])</f>
        <v>23384750506.431942</v>
      </c>
      <c r="AY50" s="5" cm="1">
        <f t="array" ref="AY50">IF(Tabla5[[#This Row],[FCI]]=0,0,_xlfn.XLOOKUP(TRUE,$B50:AX50&gt;0,$B50:AX50,"",0,-1))</f>
        <v>23384750506.431942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</row>
    <row r="51" spans="1:121" ht="14.4">
      <c r="A51" s="12" t="s">
        <v>50</v>
      </c>
      <c r="B51" s="5">
        <f>HLOOKUP($A51,ESCENARIO[#All],7,FALSE)</f>
        <v>27569154823.73835</v>
      </c>
      <c r="C51" s="5">
        <f>IF($B50&lt;=Tabla5[[#This Row],[INVERSIONES FCI]],+Tabla5[[#This Row],[INVERSIONES FCI]]-C50,Tabla5[[#This Row],[INVERSIONES FCI]])</f>
        <v>4184404317.3064079</v>
      </c>
      <c r="D51" s="5">
        <f>IF($B50&lt;=Tabla5[[#This Row],[INVERSIONES FCI]],+Tabla5[[#This Row],[INVERSIONES FCI]]-D50,Tabla5[[#This Row],[INVERSIONES FCI]])</f>
        <v>4184404317.3064079</v>
      </c>
      <c r="E51" s="5">
        <f>IF($B50&lt;=Tabla5[[#This Row],[INVERSIONES FCI]],+Tabla5[[#This Row],[INVERSIONES FCI]]-E50,Tabla5[[#This Row],[INVERSIONES FCI]])</f>
        <v>4184404317.3064079</v>
      </c>
      <c r="F51" s="5">
        <f>IF($B50&lt;=Tabla5[[#This Row],[INVERSIONES FCI]],+Tabla5[[#This Row],[INVERSIONES FCI]]-F50,Tabla5[[#This Row],[INVERSIONES FCI]])</f>
        <v>4184404317.3064079</v>
      </c>
      <c r="G51" s="5">
        <f>IF($B50&lt;=Tabla5[[#This Row],[INVERSIONES FCI]],+Tabla5[[#This Row],[INVERSIONES FCI]]-G50,Tabla5[[#This Row],[INVERSIONES FCI]])</f>
        <v>4184404317.3064079</v>
      </c>
      <c r="H51" s="5">
        <f>IF($B50&lt;=Tabla5[[#This Row],[INVERSIONES FCI]],+Tabla5[[#This Row],[INVERSIONES FCI]]-H50,Tabla5[[#This Row],[INVERSIONES FCI]])</f>
        <v>4184404317.3064079</v>
      </c>
      <c r="I51" s="5">
        <f>IF($B50&lt;=Tabla5[[#This Row],[INVERSIONES FCI]],+Tabla5[[#This Row],[INVERSIONES FCI]]-I50,Tabla5[[#This Row],[INVERSIONES FCI]])</f>
        <v>4184404317.3064079</v>
      </c>
      <c r="J51" s="5">
        <f>IF($B50&lt;=Tabla5[[#This Row],[INVERSIONES FCI]],+Tabla5[[#This Row],[INVERSIONES FCI]]-J50,Tabla5[[#This Row],[INVERSIONES FCI]])</f>
        <v>4184404317.3064079</v>
      </c>
      <c r="K51" s="5">
        <f>IF($B50&lt;=Tabla5[[#This Row],[INVERSIONES FCI]],+Tabla5[[#This Row],[INVERSIONES FCI]]-K50,Tabla5[[#This Row],[INVERSIONES FCI]])</f>
        <v>4184404317.3064079</v>
      </c>
      <c r="L51" s="5">
        <f>IF($B50&lt;=Tabla5[[#This Row],[INVERSIONES FCI]],+Tabla5[[#This Row],[INVERSIONES FCI]]-L50,Tabla5[[#This Row],[INVERSIONES FCI]])</f>
        <v>4184404317.3064079</v>
      </c>
      <c r="M51" s="5">
        <f>IF($B50&lt;=Tabla5[[#This Row],[INVERSIONES FCI]],+Tabla5[[#This Row],[INVERSIONES FCI]]-M50,Tabla5[[#This Row],[INVERSIONES FCI]])</f>
        <v>4184404317.3064079</v>
      </c>
      <c r="N51" s="5">
        <f>IF($B50&lt;=Tabla5[[#This Row],[INVERSIONES FCI]],+Tabla5[[#This Row],[INVERSIONES FCI]]-N50,Tabla5[[#This Row],[INVERSIONES FCI]])</f>
        <v>4184404317.3064079</v>
      </c>
      <c r="O51" s="5">
        <f>IF($B50&lt;=Tabla5[[#This Row],[INVERSIONES FCI]],+Tabla5[[#This Row],[INVERSIONES FCI]]-O50,Tabla5[[#This Row],[INVERSIONES FCI]])</f>
        <v>4184404317.3064079</v>
      </c>
      <c r="P51" s="5">
        <f>IF($B50&lt;=Tabla5[[#This Row],[INVERSIONES FCI]],+Tabla5[[#This Row],[INVERSIONES FCI]]-P50,Tabla5[[#This Row],[INVERSIONES FCI]])</f>
        <v>4184404317.3064079</v>
      </c>
      <c r="Q51" s="5">
        <f>IF($B50&lt;=Tabla5[[#This Row],[INVERSIONES FCI]],+Tabla5[[#This Row],[INVERSIONES FCI]]-Q50,Tabla5[[#This Row],[INVERSIONES FCI]])</f>
        <v>4184404317.3064079</v>
      </c>
      <c r="R51" s="5">
        <f>IF($B50&lt;=Tabla5[[#This Row],[INVERSIONES FCI]],+Tabla5[[#This Row],[INVERSIONES FCI]]-R50,Tabla5[[#This Row],[INVERSIONES FCI]])</f>
        <v>4184404317.3064079</v>
      </c>
      <c r="S51" s="5">
        <f>IF($B50&lt;=Tabla5[[#This Row],[INVERSIONES FCI]],+Tabla5[[#This Row],[INVERSIONES FCI]]-S50,Tabla5[[#This Row],[INVERSIONES FCI]])</f>
        <v>4184404317.3064079</v>
      </c>
      <c r="T51" s="5">
        <f>IF($B50&lt;=Tabla5[[#This Row],[INVERSIONES FCI]],+Tabla5[[#This Row],[INVERSIONES FCI]]-T50,Tabla5[[#This Row],[INVERSIONES FCI]])</f>
        <v>4184404317.3064079</v>
      </c>
      <c r="U51" s="5">
        <f>IF($B50&lt;=Tabla5[[#This Row],[INVERSIONES FCI]],+Tabla5[[#This Row],[INVERSIONES FCI]]-U50,Tabla5[[#This Row],[INVERSIONES FCI]])</f>
        <v>4184404317.3064079</v>
      </c>
      <c r="V51" s="5">
        <f>IF($B50&lt;=Tabla5[[#This Row],[INVERSIONES FCI]],+Tabla5[[#This Row],[INVERSIONES FCI]]-V50,Tabla5[[#This Row],[INVERSIONES FCI]])</f>
        <v>4184404317.3064079</v>
      </c>
      <c r="W51" s="5">
        <f>IF($B50&lt;=Tabla5[[#This Row],[INVERSIONES FCI]],+Tabla5[[#This Row],[INVERSIONES FCI]]-W50,Tabla5[[#This Row],[INVERSIONES FCI]])</f>
        <v>4184404317.3064079</v>
      </c>
      <c r="X51" s="5">
        <f>IF($B50&lt;=Tabla5[[#This Row],[INVERSIONES FCI]],+Tabla5[[#This Row],[INVERSIONES FCI]]-X50,Tabla5[[#This Row],[INVERSIONES FCI]])</f>
        <v>4184404317.3064079</v>
      </c>
      <c r="Y51" s="5">
        <f>IF($B50&lt;=Tabla5[[#This Row],[INVERSIONES FCI]],+Tabla5[[#This Row],[INVERSIONES FCI]]-Y50,Tabla5[[#This Row],[INVERSIONES FCI]])</f>
        <v>4184404317.3064079</v>
      </c>
      <c r="Z51" s="5">
        <f>IF($B50&lt;=Tabla5[[#This Row],[INVERSIONES FCI]],+Tabla5[[#This Row],[INVERSIONES FCI]]-Z50,Tabla5[[#This Row],[INVERSIONES FCI]])</f>
        <v>4184404317.3064079</v>
      </c>
      <c r="AA51" s="5">
        <f>IF($B50&lt;=Tabla5[[#This Row],[INVERSIONES FCI]],+Tabla5[[#This Row],[INVERSIONES FCI]]-AA50,Tabla5[[#This Row],[INVERSIONES FCI]])</f>
        <v>4184404317.3064079</v>
      </c>
      <c r="AB51" s="5">
        <f>IF($B50&lt;=Tabla5[[#This Row],[INVERSIONES FCI]],+Tabla5[[#This Row],[INVERSIONES FCI]]-AB50,Tabla5[[#This Row],[INVERSIONES FCI]])</f>
        <v>4184404317.3064079</v>
      </c>
      <c r="AC51" s="5">
        <f>IF($B50&lt;=Tabla5[[#This Row],[INVERSIONES FCI]],+Tabla5[[#This Row],[INVERSIONES FCI]]-AC50,Tabla5[[#This Row],[INVERSIONES FCI]])</f>
        <v>4184404317.3064079</v>
      </c>
      <c r="AD51" s="5">
        <f>IF($B50&lt;=Tabla5[[#This Row],[INVERSIONES FCI]],+Tabla5[[#This Row],[INVERSIONES FCI]]-AD50,Tabla5[[#This Row],[INVERSIONES FCI]])</f>
        <v>4184404317.3064079</v>
      </c>
      <c r="AE51" s="5">
        <f>IF($B50&lt;=Tabla5[[#This Row],[INVERSIONES FCI]],+Tabla5[[#This Row],[INVERSIONES FCI]]-AE50,Tabla5[[#This Row],[INVERSIONES FCI]])</f>
        <v>4184404317.3064079</v>
      </c>
      <c r="AF51" s="5">
        <f>IF($B50&lt;=Tabla5[[#This Row],[INVERSIONES FCI]],+Tabla5[[#This Row],[INVERSIONES FCI]]-AF50,Tabla5[[#This Row],[INVERSIONES FCI]])</f>
        <v>4184404317.3064079</v>
      </c>
      <c r="AG51" s="5">
        <f>IF($B50&lt;=Tabla5[[#This Row],[INVERSIONES FCI]],+Tabla5[[#This Row],[INVERSIONES FCI]]-AG50,Tabla5[[#This Row],[INVERSIONES FCI]])</f>
        <v>4184404317.3064079</v>
      </c>
      <c r="AH51" s="5">
        <f>IF($B50&lt;=Tabla5[[#This Row],[INVERSIONES FCI]],+Tabla5[[#This Row],[INVERSIONES FCI]]-AH50,Tabla5[[#This Row],[INVERSIONES FCI]])</f>
        <v>4184404317.3064079</v>
      </c>
      <c r="AI51" s="5">
        <f>IF($B50&lt;=Tabla5[[#This Row],[INVERSIONES FCI]],+Tabla5[[#This Row],[INVERSIONES FCI]]-AI50,Tabla5[[#This Row],[INVERSIONES FCI]])</f>
        <v>4184404317.3064079</v>
      </c>
      <c r="AJ51" s="5">
        <f>IF($B50&lt;=Tabla5[[#This Row],[INVERSIONES FCI]],+Tabla5[[#This Row],[INVERSIONES FCI]]-AJ50,Tabla5[[#This Row],[INVERSIONES FCI]])</f>
        <v>4184404317.3064079</v>
      </c>
      <c r="AK51" s="5">
        <f>IF($B50&lt;=Tabla5[[#This Row],[INVERSIONES FCI]],+Tabla5[[#This Row],[INVERSIONES FCI]]-AK50,Tabla5[[#This Row],[INVERSIONES FCI]])</f>
        <v>4184404317.3064079</v>
      </c>
      <c r="AL51" s="5">
        <f>IF($B50&lt;=Tabla5[[#This Row],[INVERSIONES FCI]],+Tabla5[[#This Row],[INVERSIONES FCI]]-AL50,Tabla5[[#This Row],[INVERSIONES FCI]])</f>
        <v>4184404317.3064079</v>
      </c>
      <c r="AM51" s="5">
        <f>IF($B50&lt;=Tabla5[[#This Row],[INVERSIONES FCI]],+Tabla5[[#This Row],[INVERSIONES FCI]]-AM50,Tabla5[[#This Row],[INVERSIONES FCI]])</f>
        <v>4184404317.3064079</v>
      </c>
      <c r="AN51" s="5">
        <f>IF($B50&lt;=Tabla5[[#This Row],[INVERSIONES FCI]],+Tabla5[[#This Row],[INVERSIONES FCI]]-AN50,Tabla5[[#This Row],[INVERSIONES FCI]])</f>
        <v>4184404317.3064079</v>
      </c>
      <c r="AO51" s="5">
        <f>IF($B50&lt;=Tabla5[[#This Row],[INVERSIONES FCI]],+Tabla5[[#This Row],[INVERSIONES FCI]]-AO50,Tabla5[[#This Row],[INVERSIONES FCI]])</f>
        <v>4184404317.3064079</v>
      </c>
      <c r="AP51" s="5">
        <f>IF($B50&lt;=Tabla5[[#This Row],[INVERSIONES FCI]],+Tabla5[[#This Row],[INVERSIONES FCI]]-AP50,Tabla5[[#This Row],[INVERSIONES FCI]])</f>
        <v>4184404317.3064079</v>
      </c>
      <c r="AQ51" s="5">
        <f>IF($B50&lt;=Tabla5[[#This Row],[INVERSIONES FCI]],+Tabla5[[#This Row],[INVERSIONES FCI]]-AQ50,Tabla5[[#This Row],[INVERSIONES FCI]])</f>
        <v>4184404317.3064079</v>
      </c>
      <c r="AR51" s="5">
        <f>IF($B50&lt;=Tabla5[[#This Row],[INVERSIONES FCI]],+Tabla5[[#This Row],[INVERSIONES FCI]]-AR50,Tabla5[[#This Row],[INVERSIONES FCI]])</f>
        <v>4184404317.3064079</v>
      </c>
      <c r="AS51" s="5">
        <f>IF($B50&lt;=Tabla5[[#This Row],[INVERSIONES FCI]],+Tabla5[[#This Row],[INVERSIONES FCI]]-AS50,Tabla5[[#This Row],[INVERSIONES FCI]])</f>
        <v>4184404317.3064079</v>
      </c>
      <c r="AT51" s="5">
        <f>IF($B50&lt;=Tabla5[[#This Row],[INVERSIONES FCI]],+Tabla5[[#This Row],[INVERSIONES FCI]]-AT50,Tabla5[[#This Row],[INVERSIONES FCI]])</f>
        <v>4184404317.3064079</v>
      </c>
      <c r="AU51" s="5">
        <f>IF($B50&lt;=Tabla5[[#This Row],[INVERSIONES FCI]],+Tabla5[[#This Row],[INVERSIONES FCI]]-AU50,Tabla5[[#This Row],[INVERSIONES FCI]])</f>
        <v>4184404317.3064079</v>
      </c>
      <c r="AV51" s="5">
        <f>IF($B50&lt;=Tabla5[[#This Row],[INVERSIONES FCI]],+Tabla5[[#This Row],[INVERSIONES FCI]]-AV50,Tabla5[[#This Row],[INVERSIONES FCI]])</f>
        <v>4184404317.3064079</v>
      </c>
      <c r="AW51" s="5">
        <f>IF($B50&lt;=Tabla5[[#This Row],[INVERSIONES FCI]],+Tabla5[[#This Row],[INVERSIONES FCI]]-AW50,Tabla5[[#This Row],[INVERSIONES FCI]])</f>
        <v>4184404317.3064079</v>
      </c>
      <c r="AX51" s="5">
        <f>IF($B50&lt;=Tabla5[[#This Row],[INVERSIONES FCI]],+Tabla5[[#This Row],[INVERSIONES FCI]]-AX50,Tabla5[[#This Row],[INVERSIONES FCI]])</f>
        <v>4184404317.3064079</v>
      </c>
      <c r="AY51" s="5">
        <f>IF($B50&lt;=Tabla5[[#This Row],[INVERSIONES FCI]],+Tabla5[[#This Row],[INVERSIONES FCI]]-AY50,Tabla5[[#This Row],[INVERSIONES FCI]])</f>
        <v>4184404317.3064079</v>
      </c>
      <c r="AZ51" s="5" cm="1">
        <f t="array" ref="AZ51">IF(Tabla5[[#This Row],[FCI]]=0,0,_xlfn.XLOOKUP(TRUE,$B51:AY51&gt;0,$B51:AY51,"",0,-1))</f>
        <v>4184404317.3064079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</row>
    <row r="52" spans="1:121" ht="14.4">
      <c r="A52" s="12" t="s">
        <v>51</v>
      </c>
      <c r="B52" s="5">
        <f>HLOOKUP($A52,ESCENARIO[#All],7,FALSE)</f>
        <v>30496687539.341934</v>
      </c>
      <c r="C52" s="5">
        <f>IF($B51&lt;=Tabla5[[#This Row],[INVERSIONES FCI]],+Tabla5[[#This Row],[INVERSIONES FCI]]-C51,Tabla5[[#This Row],[INVERSIONES FCI]])</f>
        <v>26312283222.035526</v>
      </c>
      <c r="D52" s="5">
        <f>IF($B51&lt;=Tabla5[[#This Row],[INVERSIONES FCI]],+Tabla5[[#This Row],[INVERSIONES FCI]]-D51,Tabla5[[#This Row],[INVERSIONES FCI]])</f>
        <v>26312283222.035526</v>
      </c>
      <c r="E52" s="5">
        <f>IF($B51&lt;=Tabla5[[#This Row],[INVERSIONES FCI]],+Tabla5[[#This Row],[INVERSIONES FCI]]-E51,Tabla5[[#This Row],[INVERSIONES FCI]])</f>
        <v>26312283222.035526</v>
      </c>
      <c r="F52" s="5">
        <f>IF($B51&lt;=Tabla5[[#This Row],[INVERSIONES FCI]],+Tabla5[[#This Row],[INVERSIONES FCI]]-F51,Tabla5[[#This Row],[INVERSIONES FCI]])</f>
        <v>26312283222.035526</v>
      </c>
      <c r="G52" s="5">
        <f>IF($B51&lt;=Tabla5[[#This Row],[INVERSIONES FCI]],+Tabla5[[#This Row],[INVERSIONES FCI]]-G51,Tabla5[[#This Row],[INVERSIONES FCI]])</f>
        <v>26312283222.035526</v>
      </c>
      <c r="H52" s="5">
        <f>IF($B51&lt;=Tabla5[[#This Row],[INVERSIONES FCI]],+Tabla5[[#This Row],[INVERSIONES FCI]]-H51,Tabla5[[#This Row],[INVERSIONES FCI]])</f>
        <v>26312283222.035526</v>
      </c>
      <c r="I52" s="5">
        <f>IF($B51&lt;=Tabla5[[#This Row],[INVERSIONES FCI]],+Tabla5[[#This Row],[INVERSIONES FCI]]-I51,Tabla5[[#This Row],[INVERSIONES FCI]])</f>
        <v>26312283222.035526</v>
      </c>
      <c r="J52" s="5">
        <f>IF($B51&lt;=Tabla5[[#This Row],[INVERSIONES FCI]],+Tabla5[[#This Row],[INVERSIONES FCI]]-J51,Tabla5[[#This Row],[INVERSIONES FCI]])</f>
        <v>26312283222.035526</v>
      </c>
      <c r="K52" s="5">
        <f>IF($B51&lt;=Tabla5[[#This Row],[INVERSIONES FCI]],+Tabla5[[#This Row],[INVERSIONES FCI]]-K51,Tabla5[[#This Row],[INVERSIONES FCI]])</f>
        <v>26312283222.035526</v>
      </c>
      <c r="L52" s="5">
        <f>IF($B51&lt;=Tabla5[[#This Row],[INVERSIONES FCI]],+Tabla5[[#This Row],[INVERSIONES FCI]]-L51,Tabla5[[#This Row],[INVERSIONES FCI]])</f>
        <v>26312283222.035526</v>
      </c>
      <c r="M52" s="5">
        <f>IF($B51&lt;=Tabla5[[#This Row],[INVERSIONES FCI]],+Tabla5[[#This Row],[INVERSIONES FCI]]-M51,Tabla5[[#This Row],[INVERSIONES FCI]])</f>
        <v>26312283222.035526</v>
      </c>
      <c r="N52" s="5">
        <f>IF($B51&lt;=Tabla5[[#This Row],[INVERSIONES FCI]],+Tabla5[[#This Row],[INVERSIONES FCI]]-N51,Tabla5[[#This Row],[INVERSIONES FCI]])</f>
        <v>26312283222.035526</v>
      </c>
      <c r="O52" s="5">
        <f>IF($B51&lt;=Tabla5[[#This Row],[INVERSIONES FCI]],+Tabla5[[#This Row],[INVERSIONES FCI]]-O51,Tabla5[[#This Row],[INVERSIONES FCI]])</f>
        <v>26312283222.035526</v>
      </c>
      <c r="P52" s="5">
        <f>IF($B51&lt;=Tabla5[[#This Row],[INVERSIONES FCI]],+Tabla5[[#This Row],[INVERSIONES FCI]]-P51,Tabla5[[#This Row],[INVERSIONES FCI]])</f>
        <v>26312283222.035526</v>
      </c>
      <c r="Q52" s="5">
        <f>IF($B51&lt;=Tabla5[[#This Row],[INVERSIONES FCI]],+Tabla5[[#This Row],[INVERSIONES FCI]]-Q51,Tabla5[[#This Row],[INVERSIONES FCI]])</f>
        <v>26312283222.035526</v>
      </c>
      <c r="R52" s="5">
        <f>IF($B51&lt;=Tabla5[[#This Row],[INVERSIONES FCI]],+Tabla5[[#This Row],[INVERSIONES FCI]]-R51,Tabla5[[#This Row],[INVERSIONES FCI]])</f>
        <v>26312283222.035526</v>
      </c>
      <c r="S52" s="5">
        <f>IF($B51&lt;=Tabla5[[#This Row],[INVERSIONES FCI]],+Tabla5[[#This Row],[INVERSIONES FCI]]-S51,Tabla5[[#This Row],[INVERSIONES FCI]])</f>
        <v>26312283222.035526</v>
      </c>
      <c r="T52" s="5">
        <f>IF($B51&lt;=Tabla5[[#This Row],[INVERSIONES FCI]],+Tabla5[[#This Row],[INVERSIONES FCI]]-T51,Tabla5[[#This Row],[INVERSIONES FCI]])</f>
        <v>26312283222.035526</v>
      </c>
      <c r="U52" s="5">
        <f>IF($B51&lt;=Tabla5[[#This Row],[INVERSIONES FCI]],+Tabla5[[#This Row],[INVERSIONES FCI]]-U51,Tabla5[[#This Row],[INVERSIONES FCI]])</f>
        <v>26312283222.035526</v>
      </c>
      <c r="V52" s="5">
        <f>IF($B51&lt;=Tabla5[[#This Row],[INVERSIONES FCI]],+Tabla5[[#This Row],[INVERSIONES FCI]]-V51,Tabla5[[#This Row],[INVERSIONES FCI]])</f>
        <v>26312283222.035526</v>
      </c>
      <c r="W52" s="5">
        <f>IF($B51&lt;=Tabla5[[#This Row],[INVERSIONES FCI]],+Tabla5[[#This Row],[INVERSIONES FCI]]-W51,Tabla5[[#This Row],[INVERSIONES FCI]])</f>
        <v>26312283222.035526</v>
      </c>
      <c r="X52" s="5">
        <f>IF($B51&lt;=Tabla5[[#This Row],[INVERSIONES FCI]],+Tabla5[[#This Row],[INVERSIONES FCI]]-X51,Tabla5[[#This Row],[INVERSIONES FCI]])</f>
        <v>26312283222.035526</v>
      </c>
      <c r="Y52" s="5">
        <f>IF($B51&lt;=Tabla5[[#This Row],[INVERSIONES FCI]],+Tabla5[[#This Row],[INVERSIONES FCI]]-Y51,Tabla5[[#This Row],[INVERSIONES FCI]])</f>
        <v>26312283222.035526</v>
      </c>
      <c r="Z52" s="5">
        <f>IF($B51&lt;=Tabla5[[#This Row],[INVERSIONES FCI]],+Tabla5[[#This Row],[INVERSIONES FCI]]-Z51,Tabla5[[#This Row],[INVERSIONES FCI]])</f>
        <v>26312283222.035526</v>
      </c>
      <c r="AA52" s="5">
        <f>IF($B51&lt;=Tabla5[[#This Row],[INVERSIONES FCI]],+Tabla5[[#This Row],[INVERSIONES FCI]]-AA51,Tabla5[[#This Row],[INVERSIONES FCI]])</f>
        <v>26312283222.035526</v>
      </c>
      <c r="AB52" s="5">
        <f>IF($B51&lt;=Tabla5[[#This Row],[INVERSIONES FCI]],+Tabla5[[#This Row],[INVERSIONES FCI]]-AB51,Tabla5[[#This Row],[INVERSIONES FCI]])</f>
        <v>26312283222.035526</v>
      </c>
      <c r="AC52" s="5">
        <f>IF($B51&lt;=Tabla5[[#This Row],[INVERSIONES FCI]],+Tabla5[[#This Row],[INVERSIONES FCI]]-AC51,Tabla5[[#This Row],[INVERSIONES FCI]])</f>
        <v>26312283222.035526</v>
      </c>
      <c r="AD52" s="5">
        <f>IF($B51&lt;=Tabla5[[#This Row],[INVERSIONES FCI]],+Tabla5[[#This Row],[INVERSIONES FCI]]-AD51,Tabla5[[#This Row],[INVERSIONES FCI]])</f>
        <v>26312283222.035526</v>
      </c>
      <c r="AE52" s="5">
        <f>IF($B51&lt;=Tabla5[[#This Row],[INVERSIONES FCI]],+Tabla5[[#This Row],[INVERSIONES FCI]]-AE51,Tabla5[[#This Row],[INVERSIONES FCI]])</f>
        <v>26312283222.035526</v>
      </c>
      <c r="AF52" s="5">
        <f>IF($B51&lt;=Tabla5[[#This Row],[INVERSIONES FCI]],+Tabla5[[#This Row],[INVERSIONES FCI]]-AF51,Tabla5[[#This Row],[INVERSIONES FCI]])</f>
        <v>26312283222.035526</v>
      </c>
      <c r="AG52" s="5">
        <f>IF($B51&lt;=Tabla5[[#This Row],[INVERSIONES FCI]],+Tabla5[[#This Row],[INVERSIONES FCI]]-AG51,Tabla5[[#This Row],[INVERSIONES FCI]])</f>
        <v>26312283222.035526</v>
      </c>
      <c r="AH52" s="5">
        <f>IF($B51&lt;=Tabla5[[#This Row],[INVERSIONES FCI]],+Tabla5[[#This Row],[INVERSIONES FCI]]-AH51,Tabla5[[#This Row],[INVERSIONES FCI]])</f>
        <v>26312283222.035526</v>
      </c>
      <c r="AI52" s="5">
        <f>IF($B51&lt;=Tabla5[[#This Row],[INVERSIONES FCI]],+Tabla5[[#This Row],[INVERSIONES FCI]]-AI51,Tabla5[[#This Row],[INVERSIONES FCI]])</f>
        <v>26312283222.035526</v>
      </c>
      <c r="AJ52" s="5">
        <f>IF($B51&lt;=Tabla5[[#This Row],[INVERSIONES FCI]],+Tabla5[[#This Row],[INVERSIONES FCI]]-AJ51,Tabla5[[#This Row],[INVERSIONES FCI]])</f>
        <v>26312283222.035526</v>
      </c>
      <c r="AK52" s="5">
        <f>IF($B51&lt;=Tabla5[[#This Row],[INVERSIONES FCI]],+Tabla5[[#This Row],[INVERSIONES FCI]]-AK51,Tabla5[[#This Row],[INVERSIONES FCI]])</f>
        <v>26312283222.035526</v>
      </c>
      <c r="AL52" s="5">
        <f>IF($B51&lt;=Tabla5[[#This Row],[INVERSIONES FCI]],+Tabla5[[#This Row],[INVERSIONES FCI]]-AL51,Tabla5[[#This Row],[INVERSIONES FCI]])</f>
        <v>26312283222.035526</v>
      </c>
      <c r="AM52" s="5">
        <f>IF($B51&lt;=Tabla5[[#This Row],[INVERSIONES FCI]],+Tabla5[[#This Row],[INVERSIONES FCI]]-AM51,Tabla5[[#This Row],[INVERSIONES FCI]])</f>
        <v>26312283222.035526</v>
      </c>
      <c r="AN52" s="5">
        <f>IF($B51&lt;=Tabla5[[#This Row],[INVERSIONES FCI]],+Tabla5[[#This Row],[INVERSIONES FCI]]-AN51,Tabla5[[#This Row],[INVERSIONES FCI]])</f>
        <v>26312283222.035526</v>
      </c>
      <c r="AO52" s="5">
        <f>IF($B51&lt;=Tabla5[[#This Row],[INVERSIONES FCI]],+Tabla5[[#This Row],[INVERSIONES FCI]]-AO51,Tabla5[[#This Row],[INVERSIONES FCI]])</f>
        <v>26312283222.035526</v>
      </c>
      <c r="AP52" s="5">
        <f>IF($B51&lt;=Tabla5[[#This Row],[INVERSIONES FCI]],+Tabla5[[#This Row],[INVERSIONES FCI]]-AP51,Tabla5[[#This Row],[INVERSIONES FCI]])</f>
        <v>26312283222.035526</v>
      </c>
      <c r="AQ52" s="5">
        <f>IF($B51&lt;=Tabla5[[#This Row],[INVERSIONES FCI]],+Tabla5[[#This Row],[INVERSIONES FCI]]-AQ51,Tabla5[[#This Row],[INVERSIONES FCI]])</f>
        <v>26312283222.035526</v>
      </c>
      <c r="AR52" s="5">
        <f>IF($B51&lt;=Tabla5[[#This Row],[INVERSIONES FCI]],+Tabla5[[#This Row],[INVERSIONES FCI]]-AR51,Tabla5[[#This Row],[INVERSIONES FCI]])</f>
        <v>26312283222.035526</v>
      </c>
      <c r="AS52" s="5">
        <f>IF($B51&lt;=Tabla5[[#This Row],[INVERSIONES FCI]],+Tabla5[[#This Row],[INVERSIONES FCI]]-AS51,Tabla5[[#This Row],[INVERSIONES FCI]])</f>
        <v>26312283222.035526</v>
      </c>
      <c r="AT52" s="5">
        <f>IF($B51&lt;=Tabla5[[#This Row],[INVERSIONES FCI]],+Tabla5[[#This Row],[INVERSIONES FCI]]-AT51,Tabla5[[#This Row],[INVERSIONES FCI]])</f>
        <v>26312283222.035526</v>
      </c>
      <c r="AU52" s="5">
        <f>IF($B51&lt;=Tabla5[[#This Row],[INVERSIONES FCI]],+Tabla5[[#This Row],[INVERSIONES FCI]]-AU51,Tabla5[[#This Row],[INVERSIONES FCI]])</f>
        <v>26312283222.035526</v>
      </c>
      <c r="AV52" s="5">
        <f>IF($B51&lt;=Tabla5[[#This Row],[INVERSIONES FCI]],+Tabla5[[#This Row],[INVERSIONES FCI]]-AV51,Tabla5[[#This Row],[INVERSIONES FCI]])</f>
        <v>26312283222.035526</v>
      </c>
      <c r="AW52" s="5">
        <f>IF($B51&lt;=Tabla5[[#This Row],[INVERSIONES FCI]],+Tabla5[[#This Row],[INVERSIONES FCI]]-AW51,Tabla5[[#This Row],[INVERSIONES FCI]])</f>
        <v>26312283222.035526</v>
      </c>
      <c r="AX52" s="5">
        <f>IF($B51&lt;=Tabla5[[#This Row],[INVERSIONES FCI]],+Tabla5[[#This Row],[INVERSIONES FCI]]-AX51,Tabla5[[#This Row],[INVERSIONES FCI]])</f>
        <v>26312283222.035526</v>
      </c>
      <c r="AY52" s="5">
        <f>IF($B51&lt;=Tabla5[[#This Row],[INVERSIONES FCI]],+Tabla5[[#This Row],[INVERSIONES FCI]]-AY51,Tabla5[[#This Row],[INVERSIONES FCI]])</f>
        <v>26312283222.035526</v>
      </c>
      <c r="AZ52" s="5">
        <f>IF($B51&lt;=Tabla5[[#This Row],[INVERSIONES FCI]],+Tabla5[[#This Row],[INVERSIONES FCI]]-AZ51,Tabla5[[#This Row],[INVERSIONES FCI]])</f>
        <v>26312283222.035526</v>
      </c>
      <c r="BA52" s="5" cm="1">
        <f t="array" ref="BA52">IF(Tabla5[[#This Row],[FCI]]=0,0,_xlfn.XLOOKUP(TRUE,$B52:AZ52&gt;0,$B52:AZ52,"",0,-1))</f>
        <v>26312283222.035526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</row>
    <row r="53" spans="1:121" ht="14.4">
      <c r="A53" s="12" t="s">
        <v>52</v>
      </c>
      <c r="B53" s="5">
        <f>HLOOKUP($A53,ESCENARIO[#All],7,FALSE)</f>
        <v>22815442051.231934</v>
      </c>
      <c r="C53" s="5">
        <f>IF($B52&lt;=Tabla5[[#This Row],[INVERSIONES FCI]],+Tabla5[[#This Row],[INVERSIONES FCI]]-C52,Tabla5[[#This Row],[INVERSIONES FCI]])</f>
        <v>22815442051.231934</v>
      </c>
      <c r="D53" s="5">
        <f>IF($B52&lt;=Tabla5[[#This Row],[INVERSIONES FCI]],+Tabla5[[#This Row],[INVERSIONES FCI]]-D52,Tabla5[[#This Row],[INVERSIONES FCI]])</f>
        <v>22815442051.231934</v>
      </c>
      <c r="E53" s="5">
        <f>IF($B52&lt;=Tabla5[[#This Row],[INVERSIONES FCI]],+Tabla5[[#This Row],[INVERSIONES FCI]]-E52,Tabla5[[#This Row],[INVERSIONES FCI]])</f>
        <v>22815442051.231934</v>
      </c>
      <c r="F53" s="5">
        <f>IF($B52&lt;=Tabla5[[#This Row],[INVERSIONES FCI]],+Tabla5[[#This Row],[INVERSIONES FCI]]-F52,Tabla5[[#This Row],[INVERSIONES FCI]])</f>
        <v>22815442051.231934</v>
      </c>
      <c r="G53" s="5">
        <f>IF($B52&lt;=Tabla5[[#This Row],[INVERSIONES FCI]],+Tabla5[[#This Row],[INVERSIONES FCI]]-G52,Tabla5[[#This Row],[INVERSIONES FCI]])</f>
        <v>22815442051.231934</v>
      </c>
      <c r="H53" s="5">
        <f>IF($B52&lt;=Tabla5[[#This Row],[INVERSIONES FCI]],+Tabla5[[#This Row],[INVERSIONES FCI]]-H52,Tabla5[[#This Row],[INVERSIONES FCI]])</f>
        <v>22815442051.231934</v>
      </c>
      <c r="I53" s="5">
        <f>IF($B52&lt;=Tabla5[[#This Row],[INVERSIONES FCI]],+Tabla5[[#This Row],[INVERSIONES FCI]]-I52,Tabla5[[#This Row],[INVERSIONES FCI]])</f>
        <v>22815442051.231934</v>
      </c>
      <c r="J53" s="5">
        <f>IF($B52&lt;=Tabla5[[#This Row],[INVERSIONES FCI]],+Tabla5[[#This Row],[INVERSIONES FCI]]-J52,Tabla5[[#This Row],[INVERSIONES FCI]])</f>
        <v>22815442051.231934</v>
      </c>
      <c r="K53" s="5">
        <f>IF($B52&lt;=Tabla5[[#This Row],[INVERSIONES FCI]],+Tabla5[[#This Row],[INVERSIONES FCI]]-K52,Tabla5[[#This Row],[INVERSIONES FCI]])</f>
        <v>22815442051.231934</v>
      </c>
      <c r="L53" s="5">
        <f>IF($B52&lt;=Tabla5[[#This Row],[INVERSIONES FCI]],+Tabla5[[#This Row],[INVERSIONES FCI]]-L52,Tabla5[[#This Row],[INVERSIONES FCI]])</f>
        <v>22815442051.231934</v>
      </c>
      <c r="M53" s="5">
        <f>IF($B52&lt;=Tabla5[[#This Row],[INVERSIONES FCI]],+Tabla5[[#This Row],[INVERSIONES FCI]]-M52,Tabla5[[#This Row],[INVERSIONES FCI]])</f>
        <v>22815442051.231934</v>
      </c>
      <c r="N53" s="5">
        <f>IF($B52&lt;=Tabla5[[#This Row],[INVERSIONES FCI]],+Tabla5[[#This Row],[INVERSIONES FCI]]-N52,Tabla5[[#This Row],[INVERSIONES FCI]])</f>
        <v>22815442051.231934</v>
      </c>
      <c r="O53" s="5">
        <f>IF($B52&lt;=Tabla5[[#This Row],[INVERSIONES FCI]],+Tabla5[[#This Row],[INVERSIONES FCI]]-O52,Tabla5[[#This Row],[INVERSIONES FCI]])</f>
        <v>22815442051.231934</v>
      </c>
      <c r="P53" s="5">
        <f>IF($B52&lt;=Tabla5[[#This Row],[INVERSIONES FCI]],+Tabla5[[#This Row],[INVERSIONES FCI]]-P52,Tabla5[[#This Row],[INVERSIONES FCI]])</f>
        <v>22815442051.231934</v>
      </c>
      <c r="Q53" s="5">
        <f>IF($B52&lt;=Tabla5[[#This Row],[INVERSIONES FCI]],+Tabla5[[#This Row],[INVERSIONES FCI]]-Q52,Tabla5[[#This Row],[INVERSIONES FCI]])</f>
        <v>22815442051.231934</v>
      </c>
      <c r="R53" s="5">
        <f>IF($B52&lt;=Tabla5[[#This Row],[INVERSIONES FCI]],+Tabla5[[#This Row],[INVERSIONES FCI]]-R52,Tabla5[[#This Row],[INVERSIONES FCI]])</f>
        <v>22815442051.231934</v>
      </c>
      <c r="S53" s="5">
        <f>IF($B52&lt;=Tabla5[[#This Row],[INVERSIONES FCI]],+Tabla5[[#This Row],[INVERSIONES FCI]]-S52,Tabla5[[#This Row],[INVERSIONES FCI]])</f>
        <v>22815442051.231934</v>
      </c>
      <c r="T53" s="5">
        <f>IF($B52&lt;=Tabla5[[#This Row],[INVERSIONES FCI]],+Tabla5[[#This Row],[INVERSIONES FCI]]-T52,Tabla5[[#This Row],[INVERSIONES FCI]])</f>
        <v>22815442051.231934</v>
      </c>
      <c r="U53" s="5">
        <f>IF($B52&lt;=Tabla5[[#This Row],[INVERSIONES FCI]],+Tabla5[[#This Row],[INVERSIONES FCI]]-U52,Tabla5[[#This Row],[INVERSIONES FCI]])</f>
        <v>22815442051.231934</v>
      </c>
      <c r="V53" s="5">
        <f>IF($B52&lt;=Tabla5[[#This Row],[INVERSIONES FCI]],+Tabla5[[#This Row],[INVERSIONES FCI]]-V52,Tabla5[[#This Row],[INVERSIONES FCI]])</f>
        <v>22815442051.231934</v>
      </c>
      <c r="W53" s="5">
        <f>IF($B52&lt;=Tabla5[[#This Row],[INVERSIONES FCI]],+Tabla5[[#This Row],[INVERSIONES FCI]]-W52,Tabla5[[#This Row],[INVERSIONES FCI]])</f>
        <v>22815442051.231934</v>
      </c>
      <c r="X53" s="5">
        <f>IF($B52&lt;=Tabla5[[#This Row],[INVERSIONES FCI]],+Tabla5[[#This Row],[INVERSIONES FCI]]-X52,Tabla5[[#This Row],[INVERSIONES FCI]])</f>
        <v>22815442051.231934</v>
      </c>
      <c r="Y53" s="5">
        <f>IF($B52&lt;=Tabla5[[#This Row],[INVERSIONES FCI]],+Tabla5[[#This Row],[INVERSIONES FCI]]-Y52,Tabla5[[#This Row],[INVERSIONES FCI]])</f>
        <v>22815442051.231934</v>
      </c>
      <c r="Z53" s="5">
        <f>IF($B52&lt;=Tabla5[[#This Row],[INVERSIONES FCI]],+Tabla5[[#This Row],[INVERSIONES FCI]]-Z52,Tabla5[[#This Row],[INVERSIONES FCI]])</f>
        <v>22815442051.231934</v>
      </c>
      <c r="AA53" s="5">
        <f>IF($B52&lt;=Tabla5[[#This Row],[INVERSIONES FCI]],+Tabla5[[#This Row],[INVERSIONES FCI]]-AA52,Tabla5[[#This Row],[INVERSIONES FCI]])</f>
        <v>22815442051.231934</v>
      </c>
      <c r="AB53" s="5">
        <f>IF($B52&lt;=Tabla5[[#This Row],[INVERSIONES FCI]],+Tabla5[[#This Row],[INVERSIONES FCI]]-AB52,Tabla5[[#This Row],[INVERSIONES FCI]])</f>
        <v>22815442051.231934</v>
      </c>
      <c r="AC53" s="5">
        <f>IF($B52&lt;=Tabla5[[#This Row],[INVERSIONES FCI]],+Tabla5[[#This Row],[INVERSIONES FCI]]-AC52,Tabla5[[#This Row],[INVERSIONES FCI]])</f>
        <v>22815442051.231934</v>
      </c>
      <c r="AD53" s="5">
        <f>IF($B52&lt;=Tabla5[[#This Row],[INVERSIONES FCI]],+Tabla5[[#This Row],[INVERSIONES FCI]]-AD52,Tabla5[[#This Row],[INVERSIONES FCI]])</f>
        <v>22815442051.231934</v>
      </c>
      <c r="AE53" s="5">
        <f>IF($B52&lt;=Tabla5[[#This Row],[INVERSIONES FCI]],+Tabla5[[#This Row],[INVERSIONES FCI]]-AE52,Tabla5[[#This Row],[INVERSIONES FCI]])</f>
        <v>22815442051.231934</v>
      </c>
      <c r="AF53" s="5">
        <f>IF($B52&lt;=Tabla5[[#This Row],[INVERSIONES FCI]],+Tabla5[[#This Row],[INVERSIONES FCI]]-AF52,Tabla5[[#This Row],[INVERSIONES FCI]])</f>
        <v>22815442051.231934</v>
      </c>
      <c r="AG53" s="5">
        <f>IF($B52&lt;=Tabla5[[#This Row],[INVERSIONES FCI]],+Tabla5[[#This Row],[INVERSIONES FCI]]-AG52,Tabla5[[#This Row],[INVERSIONES FCI]])</f>
        <v>22815442051.231934</v>
      </c>
      <c r="AH53" s="5">
        <f>IF($B52&lt;=Tabla5[[#This Row],[INVERSIONES FCI]],+Tabla5[[#This Row],[INVERSIONES FCI]]-AH52,Tabla5[[#This Row],[INVERSIONES FCI]])</f>
        <v>22815442051.231934</v>
      </c>
      <c r="AI53" s="5">
        <f>IF($B52&lt;=Tabla5[[#This Row],[INVERSIONES FCI]],+Tabla5[[#This Row],[INVERSIONES FCI]]-AI52,Tabla5[[#This Row],[INVERSIONES FCI]])</f>
        <v>22815442051.231934</v>
      </c>
      <c r="AJ53" s="5">
        <f>IF($B52&lt;=Tabla5[[#This Row],[INVERSIONES FCI]],+Tabla5[[#This Row],[INVERSIONES FCI]]-AJ52,Tabla5[[#This Row],[INVERSIONES FCI]])</f>
        <v>22815442051.231934</v>
      </c>
      <c r="AK53" s="5">
        <f>IF($B52&lt;=Tabla5[[#This Row],[INVERSIONES FCI]],+Tabla5[[#This Row],[INVERSIONES FCI]]-AK52,Tabla5[[#This Row],[INVERSIONES FCI]])</f>
        <v>22815442051.231934</v>
      </c>
      <c r="AL53" s="5">
        <f>IF($B52&lt;=Tabla5[[#This Row],[INVERSIONES FCI]],+Tabla5[[#This Row],[INVERSIONES FCI]]-AL52,Tabla5[[#This Row],[INVERSIONES FCI]])</f>
        <v>22815442051.231934</v>
      </c>
      <c r="AM53" s="5">
        <f>IF($B52&lt;=Tabla5[[#This Row],[INVERSIONES FCI]],+Tabla5[[#This Row],[INVERSIONES FCI]]-AM52,Tabla5[[#This Row],[INVERSIONES FCI]])</f>
        <v>22815442051.231934</v>
      </c>
      <c r="AN53" s="5">
        <f>IF($B52&lt;=Tabla5[[#This Row],[INVERSIONES FCI]],+Tabla5[[#This Row],[INVERSIONES FCI]]-AN52,Tabla5[[#This Row],[INVERSIONES FCI]])</f>
        <v>22815442051.231934</v>
      </c>
      <c r="AO53" s="5">
        <f>IF($B52&lt;=Tabla5[[#This Row],[INVERSIONES FCI]],+Tabla5[[#This Row],[INVERSIONES FCI]]-AO52,Tabla5[[#This Row],[INVERSIONES FCI]])</f>
        <v>22815442051.231934</v>
      </c>
      <c r="AP53" s="5">
        <f>IF($B52&lt;=Tabla5[[#This Row],[INVERSIONES FCI]],+Tabla5[[#This Row],[INVERSIONES FCI]]-AP52,Tabla5[[#This Row],[INVERSIONES FCI]])</f>
        <v>22815442051.231934</v>
      </c>
      <c r="AQ53" s="5">
        <f>IF($B52&lt;=Tabla5[[#This Row],[INVERSIONES FCI]],+Tabla5[[#This Row],[INVERSIONES FCI]]-AQ52,Tabla5[[#This Row],[INVERSIONES FCI]])</f>
        <v>22815442051.231934</v>
      </c>
      <c r="AR53" s="5">
        <f>IF($B52&lt;=Tabla5[[#This Row],[INVERSIONES FCI]],+Tabla5[[#This Row],[INVERSIONES FCI]]-AR52,Tabla5[[#This Row],[INVERSIONES FCI]])</f>
        <v>22815442051.231934</v>
      </c>
      <c r="AS53" s="5">
        <f>IF($B52&lt;=Tabla5[[#This Row],[INVERSIONES FCI]],+Tabla5[[#This Row],[INVERSIONES FCI]]-AS52,Tabla5[[#This Row],[INVERSIONES FCI]])</f>
        <v>22815442051.231934</v>
      </c>
      <c r="AT53" s="5">
        <f>IF($B52&lt;=Tabla5[[#This Row],[INVERSIONES FCI]],+Tabla5[[#This Row],[INVERSIONES FCI]]-AT52,Tabla5[[#This Row],[INVERSIONES FCI]])</f>
        <v>22815442051.231934</v>
      </c>
      <c r="AU53" s="5">
        <f>IF($B52&lt;=Tabla5[[#This Row],[INVERSIONES FCI]],+Tabla5[[#This Row],[INVERSIONES FCI]]-AU52,Tabla5[[#This Row],[INVERSIONES FCI]])</f>
        <v>22815442051.231934</v>
      </c>
      <c r="AV53" s="5">
        <f>IF($B52&lt;=Tabla5[[#This Row],[INVERSIONES FCI]],+Tabla5[[#This Row],[INVERSIONES FCI]]-AV52,Tabla5[[#This Row],[INVERSIONES FCI]])</f>
        <v>22815442051.231934</v>
      </c>
      <c r="AW53" s="5">
        <f>IF($B52&lt;=Tabla5[[#This Row],[INVERSIONES FCI]],+Tabla5[[#This Row],[INVERSIONES FCI]]-AW52,Tabla5[[#This Row],[INVERSIONES FCI]])</f>
        <v>22815442051.231934</v>
      </c>
      <c r="AX53" s="5">
        <f>IF($B52&lt;=Tabla5[[#This Row],[INVERSIONES FCI]],+Tabla5[[#This Row],[INVERSIONES FCI]]-AX52,Tabla5[[#This Row],[INVERSIONES FCI]])</f>
        <v>22815442051.231934</v>
      </c>
      <c r="AY53" s="5">
        <f>IF($B52&lt;=Tabla5[[#This Row],[INVERSIONES FCI]],+Tabla5[[#This Row],[INVERSIONES FCI]]-AY52,Tabla5[[#This Row],[INVERSIONES FCI]])</f>
        <v>22815442051.231934</v>
      </c>
      <c r="AZ53" s="5">
        <f>IF($B52&lt;=Tabla5[[#This Row],[INVERSIONES FCI]],+Tabla5[[#This Row],[INVERSIONES FCI]]-AZ52,Tabla5[[#This Row],[INVERSIONES FCI]])</f>
        <v>22815442051.231934</v>
      </c>
      <c r="BA53" s="5">
        <f>IF($B52&lt;=Tabla5[[#This Row],[INVERSIONES FCI]],+Tabla5[[#This Row],[INVERSIONES FCI]]-BA52,Tabla5[[#This Row],[INVERSIONES FCI]])</f>
        <v>22815442051.231934</v>
      </c>
      <c r="BB53" s="5" cm="1">
        <f t="array" ref="BB53">IF(Tabla5[[#This Row],[FCI]]=0,0,_xlfn.XLOOKUP(TRUE,$B53:BA53&gt;0,$B53:BA53,"",0,-1))</f>
        <v>22815442051.231934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</row>
    <row r="54" spans="1:121" ht="14.4">
      <c r="A54" s="12" t="s">
        <v>53</v>
      </c>
      <c r="B54" s="5">
        <f>HLOOKUP($A54,ESCENARIO[#All],7,FALSE)</f>
        <v>22822869815.618935</v>
      </c>
      <c r="C54" s="5">
        <f>IF($B53&lt;=Tabla5[[#This Row],[INVERSIONES FCI]],+Tabla5[[#This Row],[INVERSIONES FCI]]-C53,Tabla5[[#This Row],[INVERSIONES FCI]])</f>
        <v>7427764.3870010376</v>
      </c>
      <c r="D54" s="5">
        <f>IF($B53&lt;=Tabla5[[#This Row],[INVERSIONES FCI]],+Tabla5[[#This Row],[INVERSIONES FCI]]-D53,Tabla5[[#This Row],[INVERSIONES FCI]])</f>
        <v>7427764.3870010376</v>
      </c>
      <c r="E54" s="5">
        <f>IF($B53&lt;=Tabla5[[#This Row],[INVERSIONES FCI]],+Tabla5[[#This Row],[INVERSIONES FCI]]-E53,Tabla5[[#This Row],[INVERSIONES FCI]])</f>
        <v>7427764.3870010376</v>
      </c>
      <c r="F54" s="5">
        <f>IF($B53&lt;=Tabla5[[#This Row],[INVERSIONES FCI]],+Tabla5[[#This Row],[INVERSIONES FCI]]-F53,Tabla5[[#This Row],[INVERSIONES FCI]])</f>
        <v>7427764.3870010376</v>
      </c>
      <c r="G54" s="5">
        <f>IF($B53&lt;=Tabla5[[#This Row],[INVERSIONES FCI]],+Tabla5[[#This Row],[INVERSIONES FCI]]-G53,Tabla5[[#This Row],[INVERSIONES FCI]])</f>
        <v>7427764.3870010376</v>
      </c>
      <c r="H54" s="5">
        <f>IF($B53&lt;=Tabla5[[#This Row],[INVERSIONES FCI]],+Tabla5[[#This Row],[INVERSIONES FCI]]-H53,Tabla5[[#This Row],[INVERSIONES FCI]])</f>
        <v>7427764.3870010376</v>
      </c>
      <c r="I54" s="5">
        <f>IF($B53&lt;=Tabla5[[#This Row],[INVERSIONES FCI]],+Tabla5[[#This Row],[INVERSIONES FCI]]-I53,Tabla5[[#This Row],[INVERSIONES FCI]])</f>
        <v>7427764.3870010376</v>
      </c>
      <c r="J54" s="5">
        <f>IF($B53&lt;=Tabla5[[#This Row],[INVERSIONES FCI]],+Tabla5[[#This Row],[INVERSIONES FCI]]-J53,Tabla5[[#This Row],[INVERSIONES FCI]])</f>
        <v>7427764.3870010376</v>
      </c>
      <c r="K54" s="5">
        <f>IF($B53&lt;=Tabla5[[#This Row],[INVERSIONES FCI]],+Tabla5[[#This Row],[INVERSIONES FCI]]-K53,Tabla5[[#This Row],[INVERSIONES FCI]])</f>
        <v>7427764.3870010376</v>
      </c>
      <c r="L54" s="5">
        <f>IF($B53&lt;=Tabla5[[#This Row],[INVERSIONES FCI]],+Tabla5[[#This Row],[INVERSIONES FCI]]-L53,Tabla5[[#This Row],[INVERSIONES FCI]])</f>
        <v>7427764.3870010376</v>
      </c>
      <c r="M54" s="5">
        <f>IF($B53&lt;=Tabla5[[#This Row],[INVERSIONES FCI]],+Tabla5[[#This Row],[INVERSIONES FCI]]-M53,Tabla5[[#This Row],[INVERSIONES FCI]])</f>
        <v>7427764.3870010376</v>
      </c>
      <c r="N54" s="5">
        <f>IF($B53&lt;=Tabla5[[#This Row],[INVERSIONES FCI]],+Tabla5[[#This Row],[INVERSIONES FCI]]-N53,Tabla5[[#This Row],[INVERSIONES FCI]])</f>
        <v>7427764.3870010376</v>
      </c>
      <c r="O54" s="5">
        <f>IF($B53&lt;=Tabla5[[#This Row],[INVERSIONES FCI]],+Tabla5[[#This Row],[INVERSIONES FCI]]-O53,Tabla5[[#This Row],[INVERSIONES FCI]])</f>
        <v>7427764.3870010376</v>
      </c>
      <c r="P54" s="5">
        <f>IF($B53&lt;=Tabla5[[#This Row],[INVERSIONES FCI]],+Tabla5[[#This Row],[INVERSIONES FCI]]-P53,Tabla5[[#This Row],[INVERSIONES FCI]])</f>
        <v>7427764.3870010376</v>
      </c>
      <c r="Q54" s="5">
        <f>IF($B53&lt;=Tabla5[[#This Row],[INVERSIONES FCI]],+Tabla5[[#This Row],[INVERSIONES FCI]]-Q53,Tabla5[[#This Row],[INVERSIONES FCI]])</f>
        <v>7427764.3870010376</v>
      </c>
      <c r="R54" s="5">
        <f>IF($B53&lt;=Tabla5[[#This Row],[INVERSIONES FCI]],+Tabla5[[#This Row],[INVERSIONES FCI]]-R53,Tabla5[[#This Row],[INVERSIONES FCI]])</f>
        <v>7427764.3870010376</v>
      </c>
      <c r="S54" s="5">
        <f>IF($B53&lt;=Tabla5[[#This Row],[INVERSIONES FCI]],+Tabla5[[#This Row],[INVERSIONES FCI]]-S53,Tabla5[[#This Row],[INVERSIONES FCI]])</f>
        <v>7427764.3870010376</v>
      </c>
      <c r="T54" s="5">
        <f>IF($B53&lt;=Tabla5[[#This Row],[INVERSIONES FCI]],+Tabla5[[#This Row],[INVERSIONES FCI]]-T53,Tabla5[[#This Row],[INVERSIONES FCI]])</f>
        <v>7427764.3870010376</v>
      </c>
      <c r="U54" s="5">
        <f>IF($B53&lt;=Tabla5[[#This Row],[INVERSIONES FCI]],+Tabla5[[#This Row],[INVERSIONES FCI]]-U53,Tabla5[[#This Row],[INVERSIONES FCI]])</f>
        <v>7427764.3870010376</v>
      </c>
      <c r="V54" s="5">
        <f>IF($B53&lt;=Tabla5[[#This Row],[INVERSIONES FCI]],+Tabla5[[#This Row],[INVERSIONES FCI]]-V53,Tabla5[[#This Row],[INVERSIONES FCI]])</f>
        <v>7427764.3870010376</v>
      </c>
      <c r="W54" s="5">
        <f>IF($B53&lt;=Tabla5[[#This Row],[INVERSIONES FCI]],+Tabla5[[#This Row],[INVERSIONES FCI]]-W53,Tabla5[[#This Row],[INVERSIONES FCI]])</f>
        <v>7427764.3870010376</v>
      </c>
      <c r="X54" s="5">
        <f>IF($B53&lt;=Tabla5[[#This Row],[INVERSIONES FCI]],+Tabla5[[#This Row],[INVERSIONES FCI]]-X53,Tabla5[[#This Row],[INVERSIONES FCI]])</f>
        <v>7427764.3870010376</v>
      </c>
      <c r="Y54" s="5">
        <f>IF($B53&lt;=Tabla5[[#This Row],[INVERSIONES FCI]],+Tabla5[[#This Row],[INVERSIONES FCI]]-Y53,Tabla5[[#This Row],[INVERSIONES FCI]])</f>
        <v>7427764.3870010376</v>
      </c>
      <c r="Z54" s="5">
        <f>IF($B53&lt;=Tabla5[[#This Row],[INVERSIONES FCI]],+Tabla5[[#This Row],[INVERSIONES FCI]]-Z53,Tabla5[[#This Row],[INVERSIONES FCI]])</f>
        <v>7427764.3870010376</v>
      </c>
      <c r="AA54" s="5">
        <f>IF($B53&lt;=Tabla5[[#This Row],[INVERSIONES FCI]],+Tabla5[[#This Row],[INVERSIONES FCI]]-AA53,Tabla5[[#This Row],[INVERSIONES FCI]])</f>
        <v>7427764.3870010376</v>
      </c>
      <c r="AB54" s="5">
        <f>IF($B53&lt;=Tabla5[[#This Row],[INVERSIONES FCI]],+Tabla5[[#This Row],[INVERSIONES FCI]]-AB53,Tabla5[[#This Row],[INVERSIONES FCI]])</f>
        <v>7427764.3870010376</v>
      </c>
      <c r="AC54" s="5">
        <f>IF($B53&lt;=Tabla5[[#This Row],[INVERSIONES FCI]],+Tabla5[[#This Row],[INVERSIONES FCI]]-AC53,Tabla5[[#This Row],[INVERSIONES FCI]])</f>
        <v>7427764.3870010376</v>
      </c>
      <c r="AD54" s="5">
        <f>IF($B53&lt;=Tabla5[[#This Row],[INVERSIONES FCI]],+Tabla5[[#This Row],[INVERSIONES FCI]]-AD53,Tabla5[[#This Row],[INVERSIONES FCI]])</f>
        <v>7427764.3870010376</v>
      </c>
      <c r="AE54" s="5">
        <f>IF($B53&lt;=Tabla5[[#This Row],[INVERSIONES FCI]],+Tabla5[[#This Row],[INVERSIONES FCI]]-AE53,Tabla5[[#This Row],[INVERSIONES FCI]])</f>
        <v>7427764.3870010376</v>
      </c>
      <c r="AF54" s="5">
        <f>IF($B53&lt;=Tabla5[[#This Row],[INVERSIONES FCI]],+Tabla5[[#This Row],[INVERSIONES FCI]]-AF53,Tabla5[[#This Row],[INVERSIONES FCI]])</f>
        <v>7427764.3870010376</v>
      </c>
      <c r="AG54" s="5">
        <f>IF($B53&lt;=Tabla5[[#This Row],[INVERSIONES FCI]],+Tabla5[[#This Row],[INVERSIONES FCI]]-AG53,Tabla5[[#This Row],[INVERSIONES FCI]])</f>
        <v>7427764.3870010376</v>
      </c>
      <c r="AH54" s="5">
        <f>IF($B53&lt;=Tabla5[[#This Row],[INVERSIONES FCI]],+Tabla5[[#This Row],[INVERSIONES FCI]]-AH53,Tabla5[[#This Row],[INVERSIONES FCI]])</f>
        <v>7427764.3870010376</v>
      </c>
      <c r="AI54" s="5">
        <f>IF($B53&lt;=Tabla5[[#This Row],[INVERSIONES FCI]],+Tabla5[[#This Row],[INVERSIONES FCI]]-AI53,Tabla5[[#This Row],[INVERSIONES FCI]])</f>
        <v>7427764.3870010376</v>
      </c>
      <c r="AJ54" s="5">
        <f>IF($B53&lt;=Tabla5[[#This Row],[INVERSIONES FCI]],+Tabla5[[#This Row],[INVERSIONES FCI]]-AJ53,Tabla5[[#This Row],[INVERSIONES FCI]])</f>
        <v>7427764.3870010376</v>
      </c>
      <c r="AK54" s="5">
        <f>IF($B53&lt;=Tabla5[[#This Row],[INVERSIONES FCI]],+Tabla5[[#This Row],[INVERSIONES FCI]]-AK53,Tabla5[[#This Row],[INVERSIONES FCI]])</f>
        <v>7427764.3870010376</v>
      </c>
      <c r="AL54" s="5">
        <f>IF($B53&lt;=Tabla5[[#This Row],[INVERSIONES FCI]],+Tabla5[[#This Row],[INVERSIONES FCI]]-AL53,Tabla5[[#This Row],[INVERSIONES FCI]])</f>
        <v>7427764.3870010376</v>
      </c>
      <c r="AM54" s="5">
        <f>IF($B53&lt;=Tabla5[[#This Row],[INVERSIONES FCI]],+Tabla5[[#This Row],[INVERSIONES FCI]]-AM53,Tabla5[[#This Row],[INVERSIONES FCI]])</f>
        <v>7427764.3870010376</v>
      </c>
      <c r="AN54" s="5">
        <f>IF($B53&lt;=Tabla5[[#This Row],[INVERSIONES FCI]],+Tabla5[[#This Row],[INVERSIONES FCI]]-AN53,Tabla5[[#This Row],[INVERSIONES FCI]])</f>
        <v>7427764.3870010376</v>
      </c>
      <c r="AO54" s="5">
        <f>IF($B53&lt;=Tabla5[[#This Row],[INVERSIONES FCI]],+Tabla5[[#This Row],[INVERSIONES FCI]]-AO53,Tabla5[[#This Row],[INVERSIONES FCI]])</f>
        <v>7427764.3870010376</v>
      </c>
      <c r="AP54" s="5">
        <f>IF($B53&lt;=Tabla5[[#This Row],[INVERSIONES FCI]],+Tabla5[[#This Row],[INVERSIONES FCI]]-AP53,Tabla5[[#This Row],[INVERSIONES FCI]])</f>
        <v>7427764.3870010376</v>
      </c>
      <c r="AQ54" s="5">
        <f>IF($B53&lt;=Tabla5[[#This Row],[INVERSIONES FCI]],+Tabla5[[#This Row],[INVERSIONES FCI]]-AQ53,Tabla5[[#This Row],[INVERSIONES FCI]])</f>
        <v>7427764.3870010376</v>
      </c>
      <c r="AR54" s="5">
        <f>IF($B53&lt;=Tabla5[[#This Row],[INVERSIONES FCI]],+Tabla5[[#This Row],[INVERSIONES FCI]]-AR53,Tabla5[[#This Row],[INVERSIONES FCI]])</f>
        <v>7427764.3870010376</v>
      </c>
      <c r="AS54" s="5">
        <f>IF($B53&lt;=Tabla5[[#This Row],[INVERSIONES FCI]],+Tabla5[[#This Row],[INVERSIONES FCI]]-AS53,Tabla5[[#This Row],[INVERSIONES FCI]])</f>
        <v>7427764.3870010376</v>
      </c>
      <c r="AT54" s="5">
        <f>IF($B53&lt;=Tabla5[[#This Row],[INVERSIONES FCI]],+Tabla5[[#This Row],[INVERSIONES FCI]]-AT53,Tabla5[[#This Row],[INVERSIONES FCI]])</f>
        <v>7427764.3870010376</v>
      </c>
      <c r="AU54" s="5">
        <f>IF($B53&lt;=Tabla5[[#This Row],[INVERSIONES FCI]],+Tabla5[[#This Row],[INVERSIONES FCI]]-AU53,Tabla5[[#This Row],[INVERSIONES FCI]])</f>
        <v>7427764.3870010376</v>
      </c>
      <c r="AV54" s="5">
        <f>IF($B53&lt;=Tabla5[[#This Row],[INVERSIONES FCI]],+Tabla5[[#This Row],[INVERSIONES FCI]]-AV53,Tabla5[[#This Row],[INVERSIONES FCI]])</f>
        <v>7427764.3870010376</v>
      </c>
      <c r="AW54" s="5">
        <f>IF($B53&lt;=Tabla5[[#This Row],[INVERSIONES FCI]],+Tabla5[[#This Row],[INVERSIONES FCI]]-AW53,Tabla5[[#This Row],[INVERSIONES FCI]])</f>
        <v>7427764.3870010376</v>
      </c>
      <c r="AX54" s="5">
        <f>IF($B53&lt;=Tabla5[[#This Row],[INVERSIONES FCI]],+Tabla5[[#This Row],[INVERSIONES FCI]]-AX53,Tabla5[[#This Row],[INVERSIONES FCI]])</f>
        <v>7427764.3870010376</v>
      </c>
      <c r="AY54" s="5">
        <f>IF($B53&lt;=Tabla5[[#This Row],[INVERSIONES FCI]],+Tabla5[[#This Row],[INVERSIONES FCI]]-AY53,Tabla5[[#This Row],[INVERSIONES FCI]])</f>
        <v>7427764.3870010376</v>
      </c>
      <c r="AZ54" s="5">
        <f>IF($B53&lt;=Tabla5[[#This Row],[INVERSIONES FCI]],+Tabla5[[#This Row],[INVERSIONES FCI]]-AZ53,Tabla5[[#This Row],[INVERSIONES FCI]])</f>
        <v>7427764.3870010376</v>
      </c>
      <c r="BA54" s="5">
        <f>IF($B53&lt;=Tabla5[[#This Row],[INVERSIONES FCI]],+Tabla5[[#This Row],[INVERSIONES FCI]]-BA53,Tabla5[[#This Row],[INVERSIONES FCI]])</f>
        <v>7427764.3870010376</v>
      </c>
      <c r="BB54" s="5">
        <f>IF($B53&lt;=Tabla5[[#This Row],[INVERSIONES FCI]],+Tabla5[[#This Row],[INVERSIONES FCI]]-BB53,Tabla5[[#This Row],[INVERSIONES FCI]])</f>
        <v>7427764.3870010376</v>
      </c>
      <c r="BC54" s="5" cm="1">
        <f t="array" ref="BC54">IF(Tabla5[[#This Row],[FCI]]=0,0,_xlfn.XLOOKUP(TRUE,$B54:BB54&gt;0,$B54:BB54,"",0,-1))</f>
        <v>7427764.3870010376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</row>
    <row r="55" spans="1:121" ht="14.4">
      <c r="A55" s="12" t="s">
        <v>54</v>
      </c>
      <c r="B55" s="5">
        <f>HLOOKUP($A55,ESCENARIO[#All],7,FALSE)</f>
        <v>24019274317.881889</v>
      </c>
      <c r="C55" s="5">
        <f>IF($B54&lt;=Tabla5[[#This Row],[INVERSIONES FCI]],+Tabla5[[#This Row],[INVERSIONES FCI]]-C54,Tabla5[[#This Row],[INVERSIONES FCI]])</f>
        <v>24011846553.494888</v>
      </c>
      <c r="D55" s="5">
        <f>IF($B54&lt;=Tabla5[[#This Row],[INVERSIONES FCI]],+Tabla5[[#This Row],[INVERSIONES FCI]]-D54,Tabla5[[#This Row],[INVERSIONES FCI]])</f>
        <v>24011846553.494888</v>
      </c>
      <c r="E55" s="5">
        <f>IF($B54&lt;=Tabla5[[#This Row],[INVERSIONES FCI]],+Tabla5[[#This Row],[INVERSIONES FCI]]-E54,Tabla5[[#This Row],[INVERSIONES FCI]])</f>
        <v>24011846553.494888</v>
      </c>
      <c r="F55" s="5">
        <f>IF($B54&lt;=Tabla5[[#This Row],[INVERSIONES FCI]],+Tabla5[[#This Row],[INVERSIONES FCI]]-F54,Tabla5[[#This Row],[INVERSIONES FCI]])</f>
        <v>24011846553.494888</v>
      </c>
      <c r="G55" s="5">
        <f>IF($B54&lt;=Tabla5[[#This Row],[INVERSIONES FCI]],+Tabla5[[#This Row],[INVERSIONES FCI]]-G54,Tabla5[[#This Row],[INVERSIONES FCI]])</f>
        <v>24011846553.494888</v>
      </c>
      <c r="H55" s="5">
        <f>IF($B54&lt;=Tabla5[[#This Row],[INVERSIONES FCI]],+Tabla5[[#This Row],[INVERSIONES FCI]]-H54,Tabla5[[#This Row],[INVERSIONES FCI]])</f>
        <v>24011846553.494888</v>
      </c>
      <c r="I55" s="5">
        <f>IF($B54&lt;=Tabla5[[#This Row],[INVERSIONES FCI]],+Tabla5[[#This Row],[INVERSIONES FCI]]-I54,Tabla5[[#This Row],[INVERSIONES FCI]])</f>
        <v>24011846553.494888</v>
      </c>
      <c r="J55" s="5">
        <f>IF($B54&lt;=Tabla5[[#This Row],[INVERSIONES FCI]],+Tabla5[[#This Row],[INVERSIONES FCI]]-J54,Tabla5[[#This Row],[INVERSIONES FCI]])</f>
        <v>24011846553.494888</v>
      </c>
      <c r="K55" s="5">
        <f>IF($B54&lt;=Tabla5[[#This Row],[INVERSIONES FCI]],+Tabla5[[#This Row],[INVERSIONES FCI]]-K54,Tabla5[[#This Row],[INVERSIONES FCI]])</f>
        <v>24011846553.494888</v>
      </c>
      <c r="L55" s="5">
        <f>IF($B54&lt;=Tabla5[[#This Row],[INVERSIONES FCI]],+Tabla5[[#This Row],[INVERSIONES FCI]]-L54,Tabla5[[#This Row],[INVERSIONES FCI]])</f>
        <v>24011846553.494888</v>
      </c>
      <c r="M55" s="5">
        <f>IF($B54&lt;=Tabla5[[#This Row],[INVERSIONES FCI]],+Tabla5[[#This Row],[INVERSIONES FCI]]-M54,Tabla5[[#This Row],[INVERSIONES FCI]])</f>
        <v>24011846553.494888</v>
      </c>
      <c r="N55" s="5">
        <f>IF($B54&lt;=Tabla5[[#This Row],[INVERSIONES FCI]],+Tabla5[[#This Row],[INVERSIONES FCI]]-N54,Tabla5[[#This Row],[INVERSIONES FCI]])</f>
        <v>24011846553.494888</v>
      </c>
      <c r="O55" s="5">
        <f>IF($B54&lt;=Tabla5[[#This Row],[INVERSIONES FCI]],+Tabla5[[#This Row],[INVERSIONES FCI]]-O54,Tabla5[[#This Row],[INVERSIONES FCI]])</f>
        <v>24011846553.494888</v>
      </c>
      <c r="P55" s="5">
        <f>IF($B54&lt;=Tabla5[[#This Row],[INVERSIONES FCI]],+Tabla5[[#This Row],[INVERSIONES FCI]]-P54,Tabla5[[#This Row],[INVERSIONES FCI]])</f>
        <v>24011846553.494888</v>
      </c>
      <c r="Q55" s="5">
        <f>IF($B54&lt;=Tabla5[[#This Row],[INVERSIONES FCI]],+Tabla5[[#This Row],[INVERSIONES FCI]]-Q54,Tabla5[[#This Row],[INVERSIONES FCI]])</f>
        <v>24011846553.494888</v>
      </c>
      <c r="R55" s="5">
        <f>IF($B54&lt;=Tabla5[[#This Row],[INVERSIONES FCI]],+Tabla5[[#This Row],[INVERSIONES FCI]]-R54,Tabla5[[#This Row],[INVERSIONES FCI]])</f>
        <v>24011846553.494888</v>
      </c>
      <c r="S55" s="5">
        <f>IF($B54&lt;=Tabla5[[#This Row],[INVERSIONES FCI]],+Tabla5[[#This Row],[INVERSIONES FCI]]-S54,Tabla5[[#This Row],[INVERSIONES FCI]])</f>
        <v>24011846553.494888</v>
      </c>
      <c r="T55" s="5">
        <f>IF($B54&lt;=Tabla5[[#This Row],[INVERSIONES FCI]],+Tabla5[[#This Row],[INVERSIONES FCI]]-T54,Tabla5[[#This Row],[INVERSIONES FCI]])</f>
        <v>24011846553.494888</v>
      </c>
      <c r="U55" s="5">
        <f>IF($B54&lt;=Tabla5[[#This Row],[INVERSIONES FCI]],+Tabla5[[#This Row],[INVERSIONES FCI]]-U54,Tabla5[[#This Row],[INVERSIONES FCI]])</f>
        <v>24011846553.494888</v>
      </c>
      <c r="V55" s="5">
        <f>IF($B54&lt;=Tabla5[[#This Row],[INVERSIONES FCI]],+Tabla5[[#This Row],[INVERSIONES FCI]]-V54,Tabla5[[#This Row],[INVERSIONES FCI]])</f>
        <v>24011846553.494888</v>
      </c>
      <c r="W55" s="5">
        <f>IF($B54&lt;=Tabla5[[#This Row],[INVERSIONES FCI]],+Tabla5[[#This Row],[INVERSIONES FCI]]-W54,Tabla5[[#This Row],[INVERSIONES FCI]])</f>
        <v>24011846553.494888</v>
      </c>
      <c r="X55" s="5">
        <f>IF($B54&lt;=Tabla5[[#This Row],[INVERSIONES FCI]],+Tabla5[[#This Row],[INVERSIONES FCI]]-X54,Tabla5[[#This Row],[INVERSIONES FCI]])</f>
        <v>24011846553.494888</v>
      </c>
      <c r="Y55" s="5">
        <f>IF($B54&lt;=Tabla5[[#This Row],[INVERSIONES FCI]],+Tabla5[[#This Row],[INVERSIONES FCI]]-Y54,Tabla5[[#This Row],[INVERSIONES FCI]])</f>
        <v>24011846553.494888</v>
      </c>
      <c r="Z55" s="5">
        <f>IF($B54&lt;=Tabla5[[#This Row],[INVERSIONES FCI]],+Tabla5[[#This Row],[INVERSIONES FCI]]-Z54,Tabla5[[#This Row],[INVERSIONES FCI]])</f>
        <v>24011846553.494888</v>
      </c>
      <c r="AA55" s="5">
        <f>IF($B54&lt;=Tabla5[[#This Row],[INVERSIONES FCI]],+Tabla5[[#This Row],[INVERSIONES FCI]]-AA54,Tabla5[[#This Row],[INVERSIONES FCI]])</f>
        <v>24011846553.494888</v>
      </c>
      <c r="AB55" s="5">
        <f>IF($B54&lt;=Tabla5[[#This Row],[INVERSIONES FCI]],+Tabla5[[#This Row],[INVERSIONES FCI]]-AB54,Tabla5[[#This Row],[INVERSIONES FCI]])</f>
        <v>24011846553.494888</v>
      </c>
      <c r="AC55" s="5">
        <f>IF($B54&lt;=Tabla5[[#This Row],[INVERSIONES FCI]],+Tabla5[[#This Row],[INVERSIONES FCI]]-AC54,Tabla5[[#This Row],[INVERSIONES FCI]])</f>
        <v>24011846553.494888</v>
      </c>
      <c r="AD55" s="5">
        <f>IF($B54&lt;=Tabla5[[#This Row],[INVERSIONES FCI]],+Tabla5[[#This Row],[INVERSIONES FCI]]-AD54,Tabla5[[#This Row],[INVERSIONES FCI]])</f>
        <v>24011846553.494888</v>
      </c>
      <c r="AE55" s="5">
        <f>IF($B54&lt;=Tabla5[[#This Row],[INVERSIONES FCI]],+Tabla5[[#This Row],[INVERSIONES FCI]]-AE54,Tabla5[[#This Row],[INVERSIONES FCI]])</f>
        <v>24011846553.494888</v>
      </c>
      <c r="AF55" s="5">
        <f>IF($B54&lt;=Tabla5[[#This Row],[INVERSIONES FCI]],+Tabla5[[#This Row],[INVERSIONES FCI]]-AF54,Tabla5[[#This Row],[INVERSIONES FCI]])</f>
        <v>24011846553.494888</v>
      </c>
      <c r="AG55" s="5">
        <f>IF($B54&lt;=Tabla5[[#This Row],[INVERSIONES FCI]],+Tabla5[[#This Row],[INVERSIONES FCI]]-AG54,Tabla5[[#This Row],[INVERSIONES FCI]])</f>
        <v>24011846553.494888</v>
      </c>
      <c r="AH55" s="5">
        <f>IF($B54&lt;=Tabla5[[#This Row],[INVERSIONES FCI]],+Tabla5[[#This Row],[INVERSIONES FCI]]-AH54,Tabla5[[#This Row],[INVERSIONES FCI]])</f>
        <v>24011846553.494888</v>
      </c>
      <c r="AI55" s="5">
        <f>IF($B54&lt;=Tabla5[[#This Row],[INVERSIONES FCI]],+Tabla5[[#This Row],[INVERSIONES FCI]]-AI54,Tabla5[[#This Row],[INVERSIONES FCI]])</f>
        <v>24011846553.494888</v>
      </c>
      <c r="AJ55" s="5">
        <f>IF($B54&lt;=Tabla5[[#This Row],[INVERSIONES FCI]],+Tabla5[[#This Row],[INVERSIONES FCI]]-AJ54,Tabla5[[#This Row],[INVERSIONES FCI]])</f>
        <v>24011846553.494888</v>
      </c>
      <c r="AK55" s="5">
        <f>IF($B54&lt;=Tabla5[[#This Row],[INVERSIONES FCI]],+Tabla5[[#This Row],[INVERSIONES FCI]]-AK54,Tabla5[[#This Row],[INVERSIONES FCI]])</f>
        <v>24011846553.494888</v>
      </c>
      <c r="AL55" s="5">
        <f>IF($B54&lt;=Tabla5[[#This Row],[INVERSIONES FCI]],+Tabla5[[#This Row],[INVERSIONES FCI]]-AL54,Tabla5[[#This Row],[INVERSIONES FCI]])</f>
        <v>24011846553.494888</v>
      </c>
      <c r="AM55" s="5">
        <f>IF($B54&lt;=Tabla5[[#This Row],[INVERSIONES FCI]],+Tabla5[[#This Row],[INVERSIONES FCI]]-AM54,Tabla5[[#This Row],[INVERSIONES FCI]])</f>
        <v>24011846553.494888</v>
      </c>
      <c r="AN55" s="5">
        <f>IF($B54&lt;=Tabla5[[#This Row],[INVERSIONES FCI]],+Tabla5[[#This Row],[INVERSIONES FCI]]-AN54,Tabla5[[#This Row],[INVERSIONES FCI]])</f>
        <v>24011846553.494888</v>
      </c>
      <c r="AO55" s="5">
        <f>IF($B54&lt;=Tabla5[[#This Row],[INVERSIONES FCI]],+Tabla5[[#This Row],[INVERSIONES FCI]]-AO54,Tabla5[[#This Row],[INVERSIONES FCI]])</f>
        <v>24011846553.494888</v>
      </c>
      <c r="AP55" s="5">
        <f>IF($B54&lt;=Tabla5[[#This Row],[INVERSIONES FCI]],+Tabla5[[#This Row],[INVERSIONES FCI]]-AP54,Tabla5[[#This Row],[INVERSIONES FCI]])</f>
        <v>24011846553.494888</v>
      </c>
      <c r="AQ55" s="5">
        <f>IF($B54&lt;=Tabla5[[#This Row],[INVERSIONES FCI]],+Tabla5[[#This Row],[INVERSIONES FCI]]-AQ54,Tabla5[[#This Row],[INVERSIONES FCI]])</f>
        <v>24011846553.494888</v>
      </c>
      <c r="AR55" s="5">
        <f>IF($B54&lt;=Tabla5[[#This Row],[INVERSIONES FCI]],+Tabla5[[#This Row],[INVERSIONES FCI]]-AR54,Tabla5[[#This Row],[INVERSIONES FCI]])</f>
        <v>24011846553.494888</v>
      </c>
      <c r="AS55" s="5">
        <f>IF($B54&lt;=Tabla5[[#This Row],[INVERSIONES FCI]],+Tabla5[[#This Row],[INVERSIONES FCI]]-AS54,Tabla5[[#This Row],[INVERSIONES FCI]])</f>
        <v>24011846553.494888</v>
      </c>
      <c r="AT55" s="5">
        <f>IF($B54&lt;=Tabla5[[#This Row],[INVERSIONES FCI]],+Tabla5[[#This Row],[INVERSIONES FCI]]-AT54,Tabla5[[#This Row],[INVERSIONES FCI]])</f>
        <v>24011846553.494888</v>
      </c>
      <c r="AU55" s="5">
        <f>IF($B54&lt;=Tabla5[[#This Row],[INVERSIONES FCI]],+Tabla5[[#This Row],[INVERSIONES FCI]]-AU54,Tabla5[[#This Row],[INVERSIONES FCI]])</f>
        <v>24011846553.494888</v>
      </c>
      <c r="AV55" s="5">
        <f>IF($B54&lt;=Tabla5[[#This Row],[INVERSIONES FCI]],+Tabla5[[#This Row],[INVERSIONES FCI]]-AV54,Tabla5[[#This Row],[INVERSIONES FCI]])</f>
        <v>24011846553.494888</v>
      </c>
      <c r="AW55" s="5">
        <f>IF($B54&lt;=Tabla5[[#This Row],[INVERSIONES FCI]],+Tabla5[[#This Row],[INVERSIONES FCI]]-AW54,Tabla5[[#This Row],[INVERSIONES FCI]])</f>
        <v>24011846553.494888</v>
      </c>
      <c r="AX55" s="5">
        <f>IF($B54&lt;=Tabla5[[#This Row],[INVERSIONES FCI]],+Tabla5[[#This Row],[INVERSIONES FCI]]-AX54,Tabla5[[#This Row],[INVERSIONES FCI]])</f>
        <v>24011846553.494888</v>
      </c>
      <c r="AY55" s="5">
        <f>IF($B54&lt;=Tabla5[[#This Row],[INVERSIONES FCI]],+Tabla5[[#This Row],[INVERSIONES FCI]]-AY54,Tabla5[[#This Row],[INVERSIONES FCI]])</f>
        <v>24011846553.494888</v>
      </c>
      <c r="AZ55" s="5">
        <f>IF($B54&lt;=Tabla5[[#This Row],[INVERSIONES FCI]],+Tabla5[[#This Row],[INVERSIONES FCI]]-AZ54,Tabla5[[#This Row],[INVERSIONES FCI]])</f>
        <v>24011846553.494888</v>
      </c>
      <c r="BA55" s="5">
        <f>IF($B54&lt;=Tabla5[[#This Row],[INVERSIONES FCI]],+Tabla5[[#This Row],[INVERSIONES FCI]]-BA54,Tabla5[[#This Row],[INVERSIONES FCI]])</f>
        <v>24011846553.494888</v>
      </c>
      <c r="BB55" s="5">
        <f>IF($B54&lt;=Tabla5[[#This Row],[INVERSIONES FCI]],+Tabla5[[#This Row],[INVERSIONES FCI]]-BB54,Tabla5[[#This Row],[INVERSIONES FCI]])</f>
        <v>24011846553.494888</v>
      </c>
      <c r="BC55" s="5">
        <f>IF($B54&lt;=Tabla5[[#This Row],[INVERSIONES FCI]],+Tabla5[[#This Row],[INVERSIONES FCI]]-BC54,Tabla5[[#This Row],[INVERSIONES FCI]])</f>
        <v>24011846553.494888</v>
      </c>
      <c r="BD55" s="5" cm="1">
        <f t="array" ref="BD55">IF(Tabla5[[#This Row],[FCI]]=0,0,_xlfn.XLOOKUP(TRUE,$B55:BC55&gt;0,$B55:BC55,"",0,-1))</f>
        <v>24011846553.494888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</row>
    <row r="56" spans="1:121" ht="14.4">
      <c r="A56" s="12" t="s">
        <v>55</v>
      </c>
      <c r="B56" s="5">
        <f>HLOOKUP($A56,ESCENARIO[#All],7,FALSE)</f>
        <v>25671868494.228367</v>
      </c>
      <c r="C56" s="5">
        <f>IF($B55&lt;=Tabla5[[#This Row],[INVERSIONES FCI]],+Tabla5[[#This Row],[INVERSIONES FCI]]-C55,Tabla5[[#This Row],[INVERSIONES FCI]])</f>
        <v>1660021940.7334785</v>
      </c>
      <c r="D56" s="5">
        <f>IF($B55&lt;=Tabla5[[#This Row],[INVERSIONES FCI]],+Tabla5[[#This Row],[INVERSIONES FCI]]-D55,Tabla5[[#This Row],[INVERSIONES FCI]])</f>
        <v>1660021940.7334785</v>
      </c>
      <c r="E56" s="5">
        <f>IF($B55&lt;=Tabla5[[#This Row],[INVERSIONES FCI]],+Tabla5[[#This Row],[INVERSIONES FCI]]-E55,Tabla5[[#This Row],[INVERSIONES FCI]])</f>
        <v>1660021940.7334785</v>
      </c>
      <c r="F56" s="5">
        <f>IF($B55&lt;=Tabla5[[#This Row],[INVERSIONES FCI]],+Tabla5[[#This Row],[INVERSIONES FCI]]-F55,Tabla5[[#This Row],[INVERSIONES FCI]])</f>
        <v>1660021940.7334785</v>
      </c>
      <c r="G56" s="5">
        <f>IF($B55&lt;=Tabla5[[#This Row],[INVERSIONES FCI]],+Tabla5[[#This Row],[INVERSIONES FCI]]-G55,Tabla5[[#This Row],[INVERSIONES FCI]])</f>
        <v>1660021940.7334785</v>
      </c>
      <c r="H56" s="5">
        <f>IF($B55&lt;=Tabla5[[#This Row],[INVERSIONES FCI]],+Tabla5[[#This Row],[INVERSIONES FCI]]-H55,Tabla5[[#This Row],[INVERSIONES FCI]])</f>
        <v>1660021940.7334785</v>
      </c>
      <c r="I56" s="5">
        <f>IF($B55&lt;=Tabla5[[#This Row],[INVERSIONES FCI]],+Tabla5[[#This Row],[INVERSIONES FCI]]-I55,Tabla5[[#This Row],[INVERSIONES FCI]])</f>
        <v>1660021940.7334785</v>
      </c>
      <c r="J56" s="5">
        <f>IF($B55&lt;=Tabla5[[#This Row],[INVERSIONES FCI]],+Tabla5[[#This Row],[INVERSIONES FCI]]-J55,Tabla5[[#This Row],[INVERSIONES FCI]])</f>
        <v>1660021940.7334785</v>
      </c>
      <c r="K56" s="5">
        <f>IF($B55&lt;=Tabla5[[#This Row],[INVERSIONES FCI]],+Tabla5[[#This Row],[INVERSIONES FCI]]-K55,Tabla5[[#This Row],[INVERSIONES FCI]])</f>
        <v>1660021940.7334785</v>
      </c>
      <c r="L56" s="5">
        <f>IF($B55&lt;=Tabla5[[#This Row],[INVERSIONES FCI]],+Tabla5[[#This Row],[INVERSIONES FCI]]-L55,Tabla5[[#This Row],[INVERSIONES FCI]])</f>
        <v>1660021940.7334785</v>
      </c>
      <c r="M56" s="5">
        <f>IF($B55&lt;=Tabla5[[#This Row],[INVERSIONES FCI]],+Tabla5[[#This Row],[INVERSIONES FCI]]-M55,Tabla5[[#This Row],[INVERSIONES FCI]])</f>
        <v>1660021940.7334785</v>
      </c>
      <c r="N56" s="5">
        <f>IF($B55&lt;=Tabla5[[#This Row],[INVERSIONES FCI]],+Tabla5[[#This Row],[INVERSIONES FCI]]-N55,Tabla5[[#This Row],[INVERSIONES FCI]])</f>
        <v>1660021940.7334785</v>
      </c>
      <c r="O56" s="5">
        <f>IF($B55&lt;=Tabla5[[#This Row],[INVERSIONES FCI]],+Tabla5[[#This Row],[INVERSIONES FCI]]-O55,Tabla5[[#This Row],[INVERSIONES FCI]])</f>
        <v>1660021940.7334785</v>
      </c>
      <c r="P56" s="5">
        <f>IF($B55&lt;=Tabla5[[#This Row],[INVERSIONES FCI]],+Tabla5[[#This Row],[INVERSIONES FCI]]-P55,Tabla5[[#This Row],[INVERSIONES FCI]])</f>
        <v>1660021940.7334785</v>
      </c>
      <c r="Q56" s="5">
        <f>IF($B55&lt;=Tabla5[[#This Row],[INVERSIONES FCI]],+Tabla5[[#This Row],[INVERSIONES FCI]]-Q55,Tabla5[[#This Row],[INVERSIONES FCI]])</f>
        <v>1660021940.7334785</v>
      </c>
      <c r="R56" s="5">
        <f>IF($B55&lt;=Tabla5[[#This Row],[INVERSIONES FCI]],+Tabla5[[#This Row],[INVERSIONES FCI]]-R55,Tabla5[[#This Row],[INVERSIONES FCI]])</f>
        <v>1660021940.7334785</v>
      </c>
      <c r="S56" s="5">
        <f>IF($B55&lt;=Tabla5[[#This Row],[INVERSIONES FCI]],+Tabla5[[#This Row],[INVERSIONES FCI]]-S55,Tabla5[[#This Row],[INVERSIONES FCI]])</f>
        <v>1660021940.7334785</v>
      </c>
      <c r="T56" s="5">
        <f>IF($B55&lt;=Tabla5[[#This Row],[INVERSIONES FCI]],+Tabla5[[#This Row],[INVERSIONES FCI]]-T55,Tabla5[[#This Row],[INVERSIONES FCI]])</f>
        <v>1660021940.7334785</v>
      </c>
      <c r="U56" s="5">
        <f>IF($B55&lt;=Tabla5[[#This Row],[INVERSIONES FCI]],+Tabla5[[#This Row],[INVERSIONES FCI]]-U55,Tabla5[[#This Row],[INVERSIONES FCI]])</f>
        <v>1660021940.7334785</v>
      </c>
      <c r="V56" s="5">
        <f>IF($B55&lt;=Tabla5[[#This Row],[INVERSIONES FCI]],+Tabla5[[#This Row],[INVERSIONES FCI]]-V55,Tabla5[[#This Row],[INVERSIONES FCI]])</f>
        <v>1660021940.7334785</v>
      </c>
      <c r="W56" s="5">
        <f>IF($B55&lt;=Tabla5[[#This Row],[INVERSIONES FCI]],+Tabla5[[#This Row],[INVERSIONES FCI]]-W55,Tabla5[[#This Row],[INVERSIONES FCI]])</f>
        <v>1660021940.7334785</v>
      </c>
      <c r="X56" s="5">
        <f>IF($B55&lt;=Tabla5[[#This Row],[INVERSIONES FCI]],+Tabla5[[#This Row],[INVERSIONES FCI]]-X55,Tabla5[[#This Row],[INVERSIONES FCI]])</f>
        <v>1660021940.7334785</v>
      </c>
      <c r="Y56" s="5">
        <f>IF($B55&lt;=Tabla5[[#This Row],[INVERSIONES FCI]],+Tabla5[[#This Row],[INVERSIONES FCI]]-Y55,Tabla5[[#This Row],[INVERSIONES FCI]])</f>
        <v>1660021940.7334785</v>
      </c>
      <c r="Z56" s="5">
        <f>IF($B55&lt;=Tabla5[[#This Row],[INVERSIONES FCI]],+Tabla5[[#This Row],[INVERSIONES FCI]]-Z55,Tabla5[[#This Row],[INVERSIONES FCI]])</f>
        <v>1660021940.7334785</v>
      </c>
      <c r="AA56" s="5">
        <f>IF($B55&lt;=Tabla5[[#This Row],[INVERSIONES FCI]],+Tabla5[[#This Row],[INVERSIONES FCI]]-AA55,Tabla5[[#This Row],[INVERSIONES FCI]])</f>
        <v>1660021940.7334785</v>
      </c>
      <c r="AB56" s="5">
        <f>IF($B55&lt;=Tabla5[[#This Row],[INVERSIONES FCI]],+Tabla5[[#This Row],[INVERSIONES FCI]]-AB55,Tabla5[[#This Row],[INVERSIONES FCI]])</f>
        <v>1660021940.7334785</v>
      </c>
      <c r="AC56" s="5">
        <f>IF($B55&lt;=Tabla5[[#This Row],[INVERSIONES FCI]],+Tabla5[[#This Row],[INVERSIONES FCI]]-AC55,Tabla5[[#This Row],[INVERSIONES FCI]])</f>
        <v>1660021940.7334785</v>
      </c>
      <c r="AD56" s="5">
        <f>IF($B55&lt;=Tabla5[[#This Row],[INVERSIONES FCI]],+Tabla5[[#This Row],[INVERSIONES FCI]]-AD55,Tabla5[[#This Row],[INVERSIONES FCI]])</f>
        <v>1660021940.7334785</v>
      </c>
      <c r="AE56" s="5">
        <f>IF($B55&lt;=Tabla5[[#This Row],[INVERSIONES FCI]],+Tabla5[[#This Row],[INVERSIONES FCI]]-AE55,Tabla5[[#This Row],[INVERSIONES FCI]])</f>
        <v>1660021940.7334785</v>
      </c>
      <c r="AF56" s="5">
        <f>IF($B55&lt;=Tabla5[[#This Row],[INVERSIONES FCI]],+Tabla5[[#This Row],[INVERSIONES FCI]]-AF55,Tabla5[[#This Row],[INVERSIONES FCI]])</f>
        <v>1660021940.7334785</v>
      </c>
      <c r="AG56" s="5">
        <f>IF($B55&lt;=Tabla5[[#This Row],[INVERSIONES FCI]],+Tabla5[[#This Row],[INVERSIONES FCI]]-AG55,Tabla5[[#This Row],[INVERSIONES FCI]])</f>
        <v>1660021940.7334785</v>
      </c>
      <c r="AH56" s="5">
        <f>IF($B55&lt;=Tabla5[[#This Row],[INVERSIONES FCI]],+Tabla5[[#This Row],[INVERSIONES FCI]]-AH55,Tabla5[[#This Row],[INVERSIONES FCI]])</f>
        <v>1660021940.7334785</v>
      </c>
      <c r="AI56" s="5">
        <f>IF($B55&lt;=Tabla5[[#This Row],[INVERSIONES FCI]],+Tabla5[[#This Row],[INVERSIONES FCI]]-AI55,Tabla5[[#This Row],[INVERSIONES FCI]])</f>
        <v>1660021940.7334785</v>
      </c>
      <c r="AJ56" s="5">
        <f>IF($B55&lt;=Tabla5[[#This Row],[INVERSIONES FCI]],+Tabla5[[#This Row],[INVERSIONES FCI]]-AJ55,Tabla5[[#This Row],[INVERSIONES FCI]])</f>
        <v>1660021940.7334785</v>
      </c>
      <c r="AK56" s="5">
        <f>IF($B55&lt;=Tabla5[[#This Row],[INVERSIONES FCI]],+Tabla5[[#This Row],[INVERSIONES FCI]]-AK55,Tabla5[[#This Row],[INVERSIONES FCI]])</f>
        <v>1660021940.7334785</v>
      </c>
      <c r="AL56" s="5">
        <f>IF($B55&lt;=Tabla5[[#This Row],[INVERSIONES FCI]],+Tabla5[[#This Row],[INVERSIONES FCI]]-AL55,Tabla5[[#This Row],[INVERSIONES FCI]])</f>
        <v>1660021940.7334785</v>
      </c>
      <c r="AM56" s="5">
        <f>IF($B55&lt;=Tabla5[[#This Row],[INVERSIONES FCI]],+Tabla5[[#This Row],[INVERSIONES FCI]]-AM55,Tabla5[[#This Row],[INVERSIONES FCI]])</f>
        <v>1660021940.7334785</v>
      </c>
      <c r="AN56" s="5">
        <f>IF($B55&lt;=Tabla5[[#This Row],[INVERSIONES FCI]],+Tabla5[[#This Row],[INVERSIONES FCI]]-AN55,Tabla5[[#This Row],[INVERSIONES FCI]])</f>
        <v>1660021940.7334785</v>
      </c>
      <c r="AO56" s="5">
        <f>IF($B55&lt;=Tabla5[[#This Row],[INVERSIONES FCI]],+Tabla5[[#This Row],[INVERSIONES FCI]]-AO55,Tabla5[[#This Row],[INVERSIONES FCI]])</f>
        <v>1660021940.7334785</v>
      </c>
      <c r="AP56" s="5">
        <f>IF($B55&lt;=Tabla5[[#This Row],[INVERSIONES FCI]],+Tabla5[[#This Row],[INVERSIONES FCI]]-AP55,Tabla5[[#This Row],[INVERSIONES FCI]])</f>
        <v>1660021940.7334785</v>
      </c>
      <c r="AQ56" s="5">
        <f>IF($B55&lt;=Tabla5[[#This Row],[INVERSIONES FCI]],+Tabla5[[#This Row],[INVERSIONES FCI]]-AQ55,Tabla5[[#This Row],[INVERSIONES FCI]])</f>
        <v>1660021940.7334785</v>
      </c>
      <c r="AR56" s="5">
        <f>IF($B55&lt;=Tabla5[[#This Row],[INVERSIONES FCI]],+Tabla5[[#This Row],[INVERSIONES FCI]]-AR55,Tabla5[[#This Row],[INVERSIONES FCI]])</f>
        <v>1660021940.7334785</v>
      </c>
      <c r="AS56" s="5">
        <f>IF($B55&lt;=Tabla5[[#This Row],[INVERSIONES FCI]],+Tabla5[[#This Row],[INVERSIONES FCI]]-AS55,Tabla5[[#This Row],[INVERSIONES FCI]])</f>
        <v>1660021940.7334785</v>
      </c>
      <c r="AT56" s="5">
        <f>IF($B55&lt;=Tabla5[[#This Row],[INVERSIONES FCI]],+Tabla5[[#This Row],[INVERSIONES FCI]]-AT55,Tabla5[[#This Row],[INVERSIONES FCI]])</f>
        <v>1660021940.7334785</v>
      </c>
      <c r="AU56" s="5">
        <f>IF($B55&lt;=Tabla5[[#This Row],[INVERSIONES FCI]],+Tabla5[[#This Row],[INVERSIONES FCI]]-AU55,Tabla5[[#This Row],[INVERSIONES FCI]])</f>
        <v>1660021940.7334785</v>
      </c>
      <c r="AV56" s="5">
        <f>IF($B55&lt;=Tabla5[[#This Row],[INVERSIONES FCI]],+Tabla5[[#This Row],[INVERSIONES FCI]]-AV55,Tabla5[[#This Row],[INVERSIONES FCI]])</f>
        <v>1660021940.7334785</v>
      </c>
      <c r="AW56" s="5">
        <f>IF($B55&lt;=Tabla5[[#This Row],[INVERSIONES FCI]],+Tabla5[[#This Row],[INVERSIONES FCI]]-AW55,Tabla5[[#This Row],[INVERSIONES FCI]])</f>
        <v>1660021940.7334785</v>
      </c>
      <c r="AX56" s="5">
        <f>IF($B55&lt;=Tabla5[[#This Row],[INVERSIONES FCI]],+Tabla5[[#This Row],[INVERSIONES FCI]]-AX55,Tabla5[[#This Row],[INVERSIONES FCI]])</f>
        <v>1660021940.7334785</v>
      </c>
      <c r="AY56" s="5">
        <f>IF($B55&lt;=Tabla5[[#This Row],[INVERSIONES FCI]],+Tabla5[[#This Row],[INVERSIONES FCI]]-AY55,Tabla5[[#This Row],[INVERSIONES FCI]])</f>
        <v>1660021940.7334785</v>
      </c>
      <c r="AZ56" s="5">
        <f>IF($B55&lt;=Tabla5[[#This Row],[INVERSIONES FCI]],+Tabla5[[#This Row],[INVERSIONES FCI]]-AZ55,Tabla5[[#This Row],[INVERSIONES FCI]])</f>
        <v>1660021940.7334785</v>
      </c>
      <c r="BA56" s="5">
        <f>IF($B55&lt;=Tabla5[[#This Row],[INVERSIONES FCI]],+Tabla5[[#This Row],[INVERSIONES FCI]]-BA55,Tabla5[[#This Row],[INVERSIONES FCI]])</f>
        <v>1660021940.7334785</v>
      </c>
      <c r="BB56" s="5">
        <f>IF($B55&lt;=Tabla5[[#This Row],[INVERSIONES FCI]],+Tabla5[[#This Row],[INVERSIONES FCI]]-BB55,Tabla5[[#This Row],[INVERSIONES FCI]])</f>
        <v>1660021940.7334785</v>
      </c>
      <c r="BC56" s="5">
        <f>IF($B55&lt;=Tabla5[[#This Row],[INVERSIONES FCI]],+Tabla5[[#This Row],[INVERSIONES FCI]]-BC55,Tabla5[[#This Row],[INVERSIONES FCI]])</f>
        <v>1660021940.7334785</v>
      </c>
      <c r="BD56" s="5">
        <f>IF($B55&lt;=Tabla5[[#This Row],[INVERSIONES FCI]],+Tabla5[[#This Row],[INVERSIONES FCI]]-BD55,Tabla5[[#This Row],[INVERSIONES FCI]])</f>
        <v>1660021940.7334785</v>
      </c>
      <c r="BE56" s="5" cm="1">
        <f t="array" ref="BE56">IF(Tabla5[[#This Row],[FCI]]=0,0,_xlfn.XLOOKUP(TRUE,$B56:BD56&gt;0,$B56:BD56,"",0,-1))</f>
        <v>1660021940.7334785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</row>
    <row r="57" spans="1:121" ht="14.4">
      <c r="A57" s="12" t="s">
        <v>56</v>
      </c>
      <c r="B57" s="5">
        <f>HLOOKUP($A57,ESCENARIO[#All],7,FALSE)</f>
        <v>26226500105.404121</v>
      </c>
      <c r="C57" s="5">
        <f>IF($B56&lt;=Tabla5[[#This Row],[INVERSIONES FCI]],+Tabla5[[#This Row],[INVERSIONES FCI]]-C56,Tabla5[[#This Row],[INVERSIONES FCI]])</f>
        <v>24566478164.670643</v>
      </c>
      <c r="D57" s="5">
        <f>IF($B56&lt;=Tabla5[[#This Row],[INVERSIONES FCI]],+Tabla5[[#This Row],[INVERSIONES FCI]]-D56,Tabla5[[#This Row],[INVERSIONES FCI]])</f>
        <v>24566478164.670643</v>
      </c>
      <c r="E57" s="5">
        <f>IF($B56&lt;=Tabla5[[#This Row],[INVERSIONES FCI]],+Tabla5[[#This Row],[INVERSIONES FCI]]-E56,Tabla5[[#This Row],[INVERSIONES FCI]])</f>
        <v>24566478164.670643</v>
      </c>
      <c r="F57" s="5">
        <f>IF($B56&lt;=Tabla5[[#This Row],[INVERSIONES FCI]],+Tabla5[[#This Row],[INVERSIONES FCI]]-F56,Tabla5[[#This Row],[INVERSIONES FCI]])</f>
        <v>24566478164.670643</v>
      </c>
      <c r="G57" s="5">
        <f>IF($B56&lt;=Tabla5[[#This Row],[INVERSIONES FCI]],+Tabla5[[#This Row],[INVERSIONES FCI]]-G56,Tabla5[[#This Row],[INVERSIONES FCI]])</f>
        <v>24566478164.670643</v>
      </c>
      <c r="H57" s="5">
        <f>IF($B56&lt;=Tabla5[[#This Row],[INVERSIONES FCI]],+Tabla5[[#This Row],[INVERSIONES FCI]]-H56,Tabla5[[#This Row],[INVERSIONES FCI]])</f>
        <v>24566478164.670643</v>
      </c>
      <c r="I57" s="5">
        <f>IF($B56&lt;=Tabla5[[#This Row],[INVERSIONES FCI]],+Tabla5[[#This Row],[INVERSIONES FCI]]-I56,Tabla5[[#This Row],[INVERSIONES FCI]])</f>
        <v>24566478164.670643</v>
      </c>
      <c r="J57" s="5">
        <f>IF($B56&lt;=Tabla5[[#This Row],[INVERSIONES FCI]],+Tabla5[[#This Row],[INVERSIONES FCI]]-J56,Tabla5[[#This Row],[INVERSIONES FCI]])</f>
        <v>24566478164.670643</v>
      </c>
      <c r="K57" s="5">
        <f>IF($B56&lt;=Tabla5[[#This Row],[INVERSIONES FCI]],+Tabla5[[#This Row],[INVERSIONES FCI]]-K56,Tabla5[[#This Row],[INVERSIONES FCI]])</f>
        <v>24566478164.670643</v>
      </c>
      <c r="L57" s="5">
        <f>IF($B56&lt;=Tabla5[[#This Row],[INVERSIONES FCI]],+Tabla5[[#This Row],[INVERSIONES FCI]]-L56,Tabla5[[#This Row],[INVERSIONES FCI]])</f>
        <v>24566478164.670643</v>
      </c>
      <c r="M57" s="5">
        <f>IF($B56&lt;=Tabla5[[#This Row],[INVERSIONES FCI]],+Tabla5[[#This Row],[INVERSIONES FCI]]-M56,Tabla5[[#This Row],[INVERSIONES FCI]])</f>
        <v>24566478164.670643</v>
      </c>
      <c r="N57" s="5">
        <f>IF($B56&lt;=Tabla5[[#This Row],[INVERSIONES FCI]],+Tabla5[[#This Row],[INVERSIONES FCI]]-N56,Tabla5[[#This Row],[INVERSIONES FCI]])</f>
        <v>24566478164.670643</v>
      </c>
      <c r="O57" s="5">
        <f>IF($B56&lt;=Tabla5[[#This Row],[INVERSIONES FCI]],+Tabla5[[#This Row],[INVERSIONES FCI]]-O56,Tabla5[[#This Row],[INVERSIONES FCI]])</f>
        <v>24566478164.670643</v>
      </c>
      <c r="P57" s="5">
        <f>IF($B56&lt;=Tabla5[[#This Row],[INVERSIONES FCI]],+Tabla5[[#This Row],[INVERSIONES FCI]]-P56,Tabla5[[#This Row],[INVERSIONES FCI]])</f>
        <v>24566478164.670643</v>
      </c>
      <c r="Q57" s="5">
        <f>IF($B56&lt;=Tabla5[[#This Row],[INVERSIONES FCI]],+Tabla5[[#This Row],[INVERSIONES FCI]]-Q56,Tabla5[[#This Row],[INVERSIONES FCI]])</f>
        <v>24566478164.670643</v>
      </c>
      <c r="R57" s="5">
        <f>IF($B56&lt;=Tabla5[[#This Row],[INVERSIONES FCI]],+Tabla5[[#This Row],[INVERSIONES FCI]]-R56,Tabla5[[#This Row],[INVERSIONES FCI]])</f>
        <v>24566478164.670643</v>
      </c>
      <c r="S57" s="5">
        <f>IF($B56&lt;=Tabla5[[#This Row],[INVERSIONES FCI]],+Tabla5[[#This Row],[INVERSIONES FCI]]-S56,Tabla5[[#This Row],[INVERSIONES FCI]])</f>
        <v>24566478164.670643</v>
      </c>
      <c r="T57" s="5">
        <f>IF($B56&lt;=Tabla5[[#This Row],[INVERSIONES FCI]],+Tabla5[[#This Row],[INVERSIONES FCI]]-T56,Tabla5[[#This Row],[INVERSIONES FCI]])</f>
        <v>24566478164.670643</v>
      </c>
      <c r="U57" s="5">
        <f>IF($B56&lt;=Tabla5[[#This Row],[INVERSIONES FCI]],+Tabla5[[#This Row],[INVERSIONES FCI]]-U56,Tabla5[[#This Row],[INVERSIONES FCI]])</f>
        <v>24566478164.670643</v>
      </c>
      <c r="V57" s="5">
        <f>IF($B56&lt;=Tabla5[[#This Row],[INVERSIONES FCI]],+Tabla5[[#This Row],[INVERSIONES FCI]]-V56,Tabla5[[#This Row],[INVERSIONES FCI]])</f>
        <v>24566478164.670643</v>
      </c>
      <c r="W57" s="5">
        <f>IF($B56&lt;=Tabla5[[#This Row],[INVERSIONES FCI]],+Tabla5[[#This Row],[INVERSIONES FCI]]-W56,Tabla5[[#This Row],[INVERSIONES FCI]])</f>
        <v>24566478164.670643</v>
      </c>
      <c r="X57" s="5">
        <f>IF($B56&lt;=Tabla5[[#This Row],[INVERSIONES FCI]],+Tabla5[[#This Row],[INVERSIONES FCI]]-X56,Tabla5[[#This Row],[INVERSIONES FCI]])</f>
        <v>24566478164.670643</v>
      </c>
      <c r="Y57" s="5">
        <f>IF($B56&lt;=Tabla5[[#This Row],[INVERSIONES FCI]],+Tabla5[[#This Row],[INVERSIONES FCI]]-Y56,Tabla5[[#This Row],[INVERSIONES FCI]])</f>
        <v>24566478164.670643</v>
      </c>
      <c r="Z57" s="5">
        <f>IF($B56&lt;=Tabla5[[#This Row],[INVERSIONES FCI]],+Tabla5[[#This Row],[INVERSIONES FCI]]-Z56,Tabla5[[#This Row],[INVERSIONES FCI]])</f>
        <v>24566478164.670643</v>
      </c>
      <c r="AA57" s="5">
        <f>IF($B56&lt;=Tabla5[[#This Row],[INVERSIONES FCI]],+Tabla5[[#This Row],[INVERSIONES FCI]]-AA56,Tabla5[[#This Row],[INVERSIONES FCI]])</f>
        <v>24566478164.670643</v>
      </c>
      <c r="AB57" s="5">
        <f>IF($B56&lt;=Tabla5[[#This Row],[INVERSIONES FCI]],+Tabla5[[#This Row],[INVERSIONES FCI]]-AB56,Tabla5[[#This Row],[INVERSIONES FCI]])</f>
        <v>24566478164.670643</v>
      </c>
      <c r="AC57" s="5">
        <f>IF($B56&lt;=Tabla5[[#This Row],[INVERSIONES FCI]],+Tabla5[[#This Row],[INVERSIONES FCI]]-AC56,Tabla5[[#This Row],[INVERSIONES FCI]])</f>
        <v>24566478164.670643</v>
      </c>
      <c r="AD57" s="5">
        <f>IF($B56&lt;=Tabla5[[#This Row],[INVERSIONES FCI]],+Tabla5[[#This Row],[INVERSIONES FCI]]-AD56,Tabla5[[#This Row],[INVERSIONES FCI]])</f>
        <v>24566478164.670643</v>
      </c>
      <c r="AE57" s="5">
        <f>IF($B56&lt;=Tabla5[[#This Row],[INVERSIONES FCI]],+Tabla5[[#This Row],[INVERSIONES FCI]]-AE56,Tabla5[[#This Row],[INVERSIONES FCI]])</f>
        <v>24566478164.670643</v>
      </c>
      <c r="AF57" s="5">
        <f>IF($B56&lt;=Tabla5[[#This Row],[INVERSIONES FCI]],+Tabla5[[#This Row],[INVERSIONES FCI]]-AF56,Tabla5[[#This Row],[INVERSIONES FCI]])</f>
        <v>24566478164.670643</v>
      </c>
      <c r="AG57" s="5">
        <f>IF($B56&lt;=Tabla5[[#This Row],[INVERSIONES FCI]],+Tabla5[[#This Row],[INVERSIONES FCI]]-AG56,Tabla5[[#This Row],[INVERSIONES FCI]])</f>
        <v>24566478164.670643</v>
      </c>
      <c r="AH57" s="5">
        <f>IF($B56&lt;=Tabla5[[#This Row],[INVERSIONES FCI]],+Tabla5[[#This Row],[INVERSIONES FCI]]-AH56,Tabla5[[#This Row],[INVERSIONES FCI]])</f>
        <v>24566478164.670643</v>
      </c>
      <c r="AI57" s="5">
        <f>IF($B56&lt;=Tabla5[[#This Row],[INVERSIONES FCI]],+Tabla5[[#This Row],[INVERSIONES FCI]]-AI56,Tabla5[[#This Row],[INVERSIONES FCI]])</f>
        <v>24566478164.670643</v>
      </c>
      <c r="AJ57" s="5">
        <f>IF($B56&lt;=Tabla5[[#This Row],[INVERSIONES FCI]],+Tabla5[[#This Row],[INVERSIONES FCI]]-AJ56,Tabla5[[#This Row],[INVERSIONES FCI]])</f>
        <v>24566478164.670643</v>
      </c>
      <c r="AK57" s="5">
        <f>IF($B56&lt;=Tabla5[[#This Row],[INVERSIONES FCI]],+Tabla5[[#This Row],[INVERSIONES FCI]]-AK56,Tabla5[[#This Row],[INVERSIONES FCI]])</f>
        <v>24566478164.670643</v>
      </c>
      <c r="AL57" s="5">
        <f>IF($B56&lt;=Tabla5[[#This Row],[INVERSIONES FCI]],+Tabla5[[#This Row],[INVERSIONES FCI]]-AL56,Tabla5[[#This Row],[INVERSIONES FCI]])</f>
        <v>24566478164.670643</v>
      </c>
      <c r="AM57" s="5">
        <f>IF($B56&lt;=Tabla5[[#This Row],[INVERSIONES FCI]],+Tabla5[[#This Row],[INVERSIONES FCI]]-AM56,Tabla5[[#This Row],[INVERSIONES FCI]])</f>
        <v>24566478164.670643</v>
      </c>
      <c r="AN57" s="5">
        <f>IF($B56&lt;=Tabla5[[#This Row],[INVERSIONES FCI]],+Tabla5[[#This Row],[INVERSIONES FCI]]-AN56,Tabla5[[#This Row],[INVERSIONES FCI]])</f>
        <v>24566478164.670643</v>
      </c>
      <c r="AO57" s="5">
        <f>IF($B56&lt;=Tabla5[[#This Row],[INVERSIONES FCI]],+Tabla5[[#This Row],[INVERSIONES FCI]]-AO56,Tabla5[[#This Row],[INVERSIONES FCI]])</f>
        <v>24566478164.670643</v>
      </c>
      <c r="AP57" s="5">
        <f>IF($B56&lt;=Tabla5[[#This Row],[INVERSIONES FCI]],+Tabla5[[#This Row],[INVERSIONES FCI]]-AP56,Tabla5[[#This Row],[INVERSIONES FCI]])</f>
        <v>24566478164.670643</v>
      </c>
      <c r="AQ57" s="5">
        <f>IF($B56&lt;=Tabla5[[#This Row],[INVERSIONES FCI]],+Tabla5[[#This Row],[INVERSIONES FCI]]-AQ56,Tabla5[[#This Row],[INVERSIONES FCI]])</f>
        <v>24566478164.670643</v>
      </c>
      <c r="AR57" s="5">
        <f>IF($B56&lt;=Tabla5[[#This Row],[INVERSIONES FCI]],+Tabla5[[#This Row],[INVERSIONES FCI]]-AR56,Tabla5[[#This Row],[INVERSIONES FCI]])</f>
        <v>24566478164.670643</v>
      </c>
      <c r="AS57" s="5">
        <f>IF($B56&lt;=Tabla5[[#This Row],[INVERSIONES FCI]],+Tabla5[[#This Row],[INVERSIONES FCI]]-AS56,Tabla5[[#This Row],[INVERSIONES FCI]])</f>
        <v>24566478164.670643</v>
      </c>
      <c r="AT57" s="5">
        <f>IF($B56&lt;=Tabla5[[#This Row],[INVERSIONES FCI]],+Tabla5[[#This Row],[INVERSIONES FCI]]-AT56,Tabla5[[#This Row],[INVERSIONES FCI]])</f>
        <v>24566478164.670643</v>
      </c>
      <c r="AU57" s="5">
        <f>IF($B56&lt;=Tabla5[[#This Row],[INVERSIONES FCI]],+Tabla5[[#This Row],[INVERSIONES FCI]]-AU56,Tabla5[[#This Row],[INVERSIONES FCI]])</f>
        <v>24566478164.670643</v>
      </c>
      <c r="AV57" s="5">
        <f>IF($B56&lt;=Tabla5[[#This Row],[INVERSIONES FCI]],+Tabla5[[#This Row],[INVERSIONES FCI]]-AV56,Tabla5[[#This Row],[INVERSIONES FCI]])</f>
        <v>24566478164.670643</v>
      </c>
      <c r="AW57" s="5">
        <f>IF($B56&lt;=Tabla5[[#This Row],[INVERSIONES FCI]],+Tabla5[[#This Row],[INVERSIONES FCI]]-AW56,Tabla5[[#This Row],[INVERSIONES FCI]])</f>
        <v>24566478164.670643</v>
      </c>
      <c r="AX57" s="5">
        <f>IF($B56&lt;=Tabla5[[#This Row],[INVERSIONES FCI]],+Tabla5[[#This Row],[INVERSIONES FCI]]-AX56,Tabla5[[#This Row],[INVERSIONES FCI]])</f>
        <v>24566478164.670643</v>
      </c>
      <c r="AY57" s="5">
        <f>IF($B56&lt;=Tabla5[[#This Row],[INVERSIONES FCI]],+Tabla5[[#This Row],[INVERSIONES FCI]]-AY56,Tabla5[[#This Row],[INVERSIONES FCI]])</f>
        <v>24566478164.670643</v>
      </c>
      <c r="AZ57" s="5">
        <f>IF($B56&lt;=Tabla5[[#This Row],[INVERSIONES FCI]],+Tabla5[[#This Row],[INVERSIONES FCI]]-AZ56,Tabla5[[#This Row],[INVERSIONES FCI]])</f>
        <v>24566478164.670643</v>
      </c>
      <c r="BA57" s="5">
        <f>IF($B56&lt;=Tabla5[[#This Row],[INVERSIONES FCI]],+Tabla5[[#This Row],[INVERSIONES FCI]]-BA56,Tabla5[[#This Row],[INVERSIONES FCI]])</f>
        <v>24566478164.670643</v>
      </c>
      <c r="BB57" s="5">
        <f>IF($B56&lt;=Tabla5[[#This Row],[INVERSIONES FCI]],+Tabla5[[#This Row],[INVERSIONES FCI]]-BB56,Tabla5[[#This Row],[INVERSIONES FCI]])</f>
        <v>24566478164.670643</v>
      </c>
      <c r="BC57" s="5">
        <f>IF($B56&lt;=Tabla5[[#This Row],[INVERSIONES FCI]],+Tabla5[[#This Row],[INVERSIONES FCI]]-BC56,Tabla5[[#This Row],[INVERSIONES FCI]])</f>
        <v>24566478164.670643</v>
      </c>
      <c r="BD57" s="5">
        <f>IF($B56&lt;=Tabla5[[#This Row],[INVERSIONES FCI]],+Tabla5[[#This Row],[INVERSIONES FCI]]-BD56,Tabla5[[#This Row],[INVERSIONES FCI]])</f>
        <v>24566478164.670643</v>
      </c>
      <c r="BE57" s="5">
        <f>IF($B56&lt;=Tabla5[[#This Row],[INVERSIONES FCI]],+Tabla5[[#This Row],[INVERSIONES FCI]]-BE56,Tabla5[[#This Row],[INVERSIONES FCI]])</f>
        <v>24566478164.670643</v>
      </c>
      <c r="BF57" s="5" cm="1">
        <f t="array" ref="BF57">IF(Tabla5[[#This Row],[FCI]]=0,0,_xlfn.XLOOKUP(TRUE,$B57:BE57&gt;0,$B57:BE57,"",0,-1))</f>
        <v>24566478164.670643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</row>
    <row r="58" spans="1:121" ht="14.4">
      <c r="A58" s="12" t="s">
        <v>57</v>
      </c>
      <c r="B58" s="5">
        <f>HLOOKUP($A58,ESCENARIO[#All],7,FALSE)</f>
        <v>26226500105.404121</v>
      </c>
      <c r="C58" s="5">
        <f>IF($B57&lt;=Tabla5[[#This Row],[INVERSIONES FCI]],+Tabla5[[#This Row],[INVERSIONES FCI]]-C57,Tabla5[[#This Row],[INVERSIONES FCI]])</f>
        <v>1660021940.7334785</v>
      </c>
      <c r="D58" s="5">
        <f>IF($B57&lt;=Tabla5[[#This Row],[INVERSIONES FCI]],+Tabla5[[#This Row],[INVERSIONES FCI]]-D57,Tabla5[[#This Row],[INVERSIONES FCI]])</f>
        <v>1660021940.7334785</v>
      </c>
      <c r="E58" s="5">
        <f>IF($B57&lt;=Tabla5[[#This Row],[INVERSIONES FCI]],+Tabla5[[#This Row],[INVERSIONES FCI]]-E57,Tabla5[[#This Row],[INVERSIONES FCI]])</f>
        <v>1660021940.7334785</v>
      </c>
      <c r="F58" s="5">
        <f>IF($B57&lt;=Tabla5[[#This Row],[INVERSIONES FCI]],+Tabla5[[#This Row],[INVERSIONES FCI]]-F57,Tabla5[[#This Row],[INVERSIONES FCI]])</f>
        <v>1660021940.7334785</v>
      </c>
      <c r="G58" s="5">
        <f>IF($B57&lt;=Tabla5[[#This Row],[INVERSIONES FCI]],+Tabla5[[#This Row],[INVERSIONES FCI]]-G57,Tabla5[[#This Row],[INVERSIONES FCI]])</f>
        <v>1660021940.7334785</v>
      </c>
      <c r="H58" s="5">
        <f>IF($B57&lt;=Tabla5[[#This Row],[INVERSIONES FCI]],+Tabla5[[#This Row],[INVERSIONES FCI]]-H57,Tabla5[[#This Row],[INVERSIONES FCI]])</f>
        <v>1660021940.7334785</v>
      </c>
      <c r="I58" s="5">
        <f>IF($B57&lt;=Tabla5[[#This Row],[INVERSIONES FCI]],+Tabla5[[#This Row],[INVERSIONES FCI]]-I57,Tabla5[[#This Row],[INVERSIONES FCI]])</f>
        <v>1660021940.7334785</v>
      </c>
      <c r="J58" s="5">
        <f>IF($B57&lt;=Tabla5[[#This Row],[INVERSIONES FCI]],+Tabla5[[#This Row],[INVERSIONES FCI]]-J57,Tabla5[[#This Row],[INVERSIONES FCI]])</f>
        <v>1660021940.7334785</v>
      </c>
      <c r="K58" s="5">
        <f>IF($B57&lt;=Tabla5[[#This Row],[INVERSIONES FCI]],+Tabla5[[#This Row],[INVERSIONES FCI]]-K57,Tabla5[[#This Row],[INVERSIONES FCI]])</f>
        <v>1660021940.7334785</v>
      </c>
      <c r="L58" s="5">
        <f>IF($B57&lt;=Tabla5[[#This Row],[INVERSIONES FCI]],+Tabla5[[#This Row],[INVERSIONES FCI]]-L57,Tabla5[[#This Row],[INVERSIONES FCI]])</f>
        <v>1660021940.7334785</v>
      </c>
      <c r="M58" s="5">
        <f>IF($B57&lt;=Tabla5[[#This Row],[INVERSIONES FCI]],+Tabla5[[#This Row],[INVERSIONES FCI]]-M57,Tabla5[[#This Row],[INVERSIONES FCI]])</f>
        <v>1660021940.7334785</v>
      </c>
      <c r="N58" s="5">
        <f>IF($B57&lt;=Tabla5[[#This Row],[INVERSIONES FCI]],+Tabla5[[#This Row],[INVERSIONES FCI]]-N57,Tabla5[[#This Row],[INVERSIONES FCI]])</f>
        <v>1660021940.7334785</v>
      </c>
      <c r="O58" s="5">
        <f>IF($B57&lt;=Tabla5[[#This Row],[INVERSIONES FCI]],+Tabla5[[#This Row],[INVERSIONES FCI]]-O57,Tabla5[[#This Row],[INVERSIONES FCI]])</f>
        <v>1660021940.7334785</v>
      </c>
      <c r="P58" s="5">
        <f>IF($B57&lt;=Tabla5[[#This Row],[INVERSIONES FCI]],+Tabla5[[#This Row],[INVERSIONES FCI]]-P57,Tabla5[[#This Row],[INVERSIONES FCI]])</f>
        <v>1660021940.7334785</v>
      </c>
      <c r="Q58" s="5">
        <f>IF($B57&lt;=Tabla5[[#This Row],[INVERSIONES FCI]],+Tabla5[[#This Row],[INVERSIONES FCI]]-Q57,Tabla5[[#This Row],[INVERSIONES FCI]])</f>
        <v>1660021940.7334785</v>
      </c>
      <c r="R58" s="5">
        <f>IF($B57&lt;=Tabla5[[#This Row],[INVERSIONES FCI]],+Tabla5[[#This Row],[INVERSIONES FCI]]-R57,Tabla5[[#This Row],[INVERSIONES FCI]])</f>
        <v>1660021940.7334785</v>
      </c>
      <c r="S58" s="5">
        <f>IF($B57&lt;=Tabla5[[#This Row],[INVERSIONES FCI]],+Tabla5[[#This Row],[INVERSIONES FCI]]-S57,Tabla5[[#This Row],[INVERSIONES FCI]])</f>
        <v>1660021940.7334785</v>
      </c>
      <c r="T58" s="5">
        <f>IF($B57&lt;=Tabla5[[#This Row],[INVERSIONES FCI]],+Tabla5[[#This Row],[INVERSIONES FCI]]-T57,Tabla5[[#This Row],[INVERSIONES FCI]])</f>
        <v>1660021940.7334785</v>
      </c>
      <c r="U58" s="5">
        <f>IF($B57&lt;=Tabla5[[#This Row],[INVERSIONES FCI]],+Tabla5[[#This Row],[INVERSIONES FCI]]-U57,Tabla5[[#This Row],[INVERSIONES FCI]])</f>
        <v>1660021940.7334785</v>
      </c>
      <c r="V58" s="5">
        <f>IF($B57&lt;=Tabla5[[#This Row],[INVERSIONES FCI]],+Tabla5[[#This Row],[INVERSIONES FCI]]-V57,Tabla5[[#This Row],[INVERSIONES FCI]])</f>
        <v>1660021940.7334785</v>
      </c>
      <c r="W58" s="5">
        <f>IF($B57&lt;=Tabla5[[#This Row],[INVERSIONES FCI]],+Tabla5[[#This Row],[INVERSIONES FCI]]-W57,Tabla5[[#This Row],[INVERSIONES FCI]])</f>
        <v>1660021940.7334785</v>
      </c>
      <c r="X58" s="5">
        <f>IF($B57&lt;=Tabla5[[#This Row],[INVERSIONES FCI]],+Tabla5[[#This Row],[INVERSIONES FCI]]-X57,Tabla5[[#This Row],[INVERSIONES FCI]])</f>
        <v>1660021940.7334785</v>
      </c>
      <c r="Y58" s="5">
        <f>IF($B57&lt;=Tabla5[[#This Row],[INVERSIONES FCI]],+Tabla5[[#This Row],[INVERSIONES FCI]]-Y57,Tabla5[[#This Row],[INVERSIONES FCI]])</f>
        <v>1660021940.7334785</v>
      </c>
      <c r="Z58" s="5">
        <f>IF($B57&lt;=Tabla5[[#This Row],[INVERSIONES FCI]],+Tabla5[[#This Row],[INVERSIONES FCI]]-Z57,Tabla5[[#This Row],[INVERSIONES FCI]])</f>
        <v>1660021940.7334785</v>
      </c>
      <c r="AA58" s="5">
        <f>IF($B57&lt;=Tabla5[[#This Row],[INVERSIONES FCI]],+Tabla5[[#This Row],[INVERSIONES FCI]]-AA57,Tabla5[[#This Row],[INVERSIONES FCI]])</f>
        <v>1660021940.7334785</v>
      </c>
      <c r="AB58" s="5">
        <f>IF($B57&lt;=Tabla5[[#This Row],[INVERSIONES FCI]],+Tabla5[[#This Row],[INVERSIONES FCI]]-AB57,Tabla5[[#This Row],[INVERSIONES FCI]])</f>
        <v>1660021940.7334785</v>
      </c>
      <c r="AC58" s="5">
        <f>IF($B57&lt;=Tabla5[[#This Row],[INVERSIONES FCI]],+Tabla5[[#This Row],[INVERSIONES FCI]]-AC57,Tabla5[[#This Row],[INVERSIONES FCI]])</f>
        <v>1660021940.7334785</v>
      </c>
      <c r="AD58" s="5">
        <f>IF($B57&lt;=Tabla5[[#This Row],[INVERSIONES FCI]],+Tabla5[[#This Row],[INVERSIONES FCI]]-AD57,Tabla5[[#This Row],[INVERSIONES FCI]])</f>
        <v>1660021940.7334785</v>
      </c>
      <c r="AE58" s="5">
        <f>IF($B57&lt;=Tabla5[[#This Row],[INVERSIONES FCI]],+Tabla5[[#This Row],[INVERSIONES FCI]]-AE57,Tabla5[[#This Row],[INVERSIONES FCI]])</f>
        <v>1660021940.7334785</v>
      </c>
      <c r="AF58" s="5">
        <f>IF($B57&lt;=Tabla5[[#This Row],[INVERSIONES FCI]],+Tabla5[[#This Row],[INVERSIONES FCI]]-AF57,Tabla5[[#This Row],[INVERSIONES FCI]])</f>
        <v>1660021940.7334785</v>
      </c>
      <c r="AG58" s="5">
        <f>IF($B57&lt;=Tabla5[[#This Row],[INVERSIONES FCI]],+Tabla5[[#This Row],[INVERSIONES FCI]]-AG57,Tabla5[[#This Row],[INVERSIONES FCI]])</f>
        <v>1660021940.7334785</v>
      </c>
      <c r="AH58" s="5">
        <f>IF($B57&lt;=Tabla5[[#This Row],[INVERSIONES FCI]],+Tabla5[[#This Row],[INVERSIONES FCI]]-AH57,Tabla5[[#This Row],[INVERSIONES FCI]])</f>
        <v>1660021940.7334785</v>
      </c>
      <c r="AI58" s="5">
        <f>IF($B57&lt;=Tabla5[[#This Row],[INVERSIONES FCI]],+Tabla5[[#This Row],[INVERSIONES FCI]]-AI57,Tabla5[[#This Row],[INVERSIONES FCI]])</f>
        <v>1660021940.7334785</v>
      </c>
      <c r="AJ58" s="5">
        <f>IF($B57&lt;=Tabla5[[#This Row],[INVERSIONES FCI]],+Tabla5[[#This Row],[INVERSIONES FCI]]-AJ57,Tabla5[[#This Row],[INVERSIONES FCI]])</f>
        <v>1660021940.7334785</v>
      </c>
      <c r="AK58" s="5">
        <f>IF($B57&lt;=Tabla5[[#This Row],[INVERSIONES FCI]],+Tabla5[[#This Row],[INVERSIONES FCI]]-AK57,Tabla5[[#This Row],[INVERSIONES FCI]])</f>
        <v>1660021940.7334785</v>
      </c>
      <c r="AL58" s="5">
        <f>IF($B57&lt;=Tabla5[[#This Row],[INVERSIONES FCI]],+Tabla5[[#This Row],[INVERSIONES FCI]]-AL57,Tabla5[[#This Row],[INVERSIONES FCI]])</f>
        <v>1660021940.7334785</v>
      </c>
      <c r="AM58" s="5">
        <f>IF($B57&lt;=Tabla5[[#This Row],[INVERSIONES FCI]],+Tabla5[[#This Row],[INVERSIONES FCI]]-AM57,Tabla5[[#This Row],[INVERSIONES FCI]])</f>
        <v>1660021940.7334785</v>
      </c>
      <c r="AN58" s="5">
        <f>IF($B57&lt;=Tabla5[[#This Row],[INVERSIONES FCI]],+Tabla5[[#This Row],[INVERSIONES FCI]]-AN57,Tabla5[[#This Row],[INVERSIONES FCI]])</f>
        <v>1660021940.7334785</v>
      </c>
      <c r="AO58" s="5">
        <f>IF($B57&lt;=Tabla5[[#This Row],[INVERSIONES FCI]],+Tabla5[[#This Row],[INVERSIONES FCI]]-AO57,Tabla5[[#This Row],[INVERSIONES FCI]])</f>
        <v>1660021940.7334785</v>
      </c>
      <c r="AP58" s="5">
        <f>IF($B57&lt;=Tabla5[[#This Row],[INVERSIONES FCI]],+Tabla5[[#This Row],[INVERSIONES FCI]]-AP57,Tabla5[[#This Row],[INVERSIONES FCI]])</f>
        <v>1660021940.7334785</v>
      </c>
      <c r="AQ58" s="5">
        <f>IF($B57&lt;=Tabla5[[#This Row],[INVERSIONES FCI]],+Tabla5[[#This Row],[INVERSIONES FCI]]-AQ57,Tabla5[[#This Row],[INVERSIONES FCI]])</f>
        <v>1660021940.7334785</v>
      </c>
      <c r="AR58" s="5">
        <f>IF($B57&lt;=Tabla5[[#This Row],[INVERSIONES FCI]],+Tabla5[[#This Row],[INVERSIONES FCI]]-AR57,Tabla5[[#This Row],[INVERSIONES FCI]])</f>
        <v>1660021940.7334785</v>
      </c>
      <c r="AS58" s="5">
        <f>IF($B57&lt;=Tabla5[[#This Row],[INVERSIONES FCI]],+Tabla5[[#This Row],[INVERSIONES FCI]]-AS57,Tabla5[[#This Row],[INVERSIONES FCI]])</f>
        <v>1660021940.7334785</v>
      </c>
      <c r="AT58" s="5">
        <f>IF($B57&lt;=Tabla5[[#This Row],[INVERSIONES FCI]],+Tabla5[[#This Row],[INVERSIONES FCI]]-AT57,Tabla5[[#This Row],[INVERSIONES FCI]])</f>
        <v>1660021940.7334785</v>
      </c>
      <c r="AU58" s="5">
        <f>IF($B57&lt;=Tabla5[[#This Row],[INVERSIONES FCI]],+Tabla5[[#This Row],[INVERSIONES FCI]]-AU57,Tabla5[[#This Row],[INVERSIONES FCI]])</f>
        <v>1660021940.7334785</v>
      </c>
      <c r="AV58" s="5">
        <f>IF($B57&lt;=Tabla5[[#This Row],[INVERSIONES FCI]],+Tabla5[[#This Row],[INVERSIONES FCI]]-AV57,Tabla5[[#This Row],[INVERSIONES FCI]])</f>
        <v>1660021940.7334785</v>
      </c>
      <c r="AW58" s="5">
        <f>IF($B57&lt;=Tabla5[[#This Row],[INVERSIONES FCI]],+Tabla5[[#This Row],[INVERSIONES FCI]]-AW57,Tabla5[[#This Row],[INVERSIONES FCI]])</f>
        <v>1660021940.7334785</v>
      </c>
      <c r="AX58" s="5">
        <f>IF($B57&lt;=Tabla5[[#This Row],[INVERSIONES FCI]],+Tabla5[[#This Row],[INVERSIONES FCI]]-AX57,Tabla5[[#This Row],[INVERSIONES FCI]])</f>
        <v>1660021940.7334785</v>
      </c>
      <c r="AY58" s="5">
        <f>IF($B57&lt;=Tabla5[[#This Row],[INVERSIONES FCI]],+Tabla5[[#This Row],[INVERSIONES FCI]]-AY57,Tabla5[[#This Row],[INVERSIONES FCI]])</f>
        <v>1660021940.7334785</v>
      </c>
      <c r="AZ58" s="5">
        <f>IF($B57&lt;=Tabla5[[#This Row],[INVERSIONES FCI]],+Tabla5[[#This Row],[INVERSIONES FCI]]-AZ57,Tabla5[[#This Row],[INVERSIONES FCI]])</f>
        <v>1660021940.7334785</v>
      </c>
      <c r="BA58" s="5">
        <f>IF($B57&lt;=Tabla5[[#This Row],[INVERSIONES FCI]],+Tabla5[[#This Row],[INVERSIONES FCI]]-BA57,Tabla5[[#This Row],[INVERSIONES FCI]])</f>
        <v>1660021940.7334785</v>
      </c>
      <c r="BB58" s="5">
        <f>IF($B57&lt;=Tabla5[[#This Row],[INVERSIONES FCI]],+Tabla5[[#This Row],[INVERSIONES FCI]]-BB57,Tabla5[[#This Row],[INVERSIONES FCI]])</f>
        <v>1660021940.7334785</v>
      </c>
      <c r="BC58" s="5">
        <f>IF($B57&lt;=Tabla5[[#This Row],[INVERSIONES FCI]],+Tabla5[[#This Row],[INVERSIONES FCI]]-BC57,Tabla5[[#This Row],[INVERSIONES FCI]])</f>
        <v>1660021940.7334785</v>
      </c>
      <c r="BD58" s="5">
        <f>IF($B57&lt;=Tabla5[[#This Row],[INVERSIONES FCI]],+Tabla5[[#This Row],[INVERSIONES FCI]]-BD57,Tabla5[[#This Row],[INVERSIONES FCI]])</f>
        <v>1660021940.7334785</v>
      </c>
      <c r="BE58" s="5">
        <f>IF($B57&lt;=Tabla5[[#This Row],[INVERSIONES FCI]],+Tabla5[[#This Row],[INVERSIONES FCI]]-BE57,Tabla5[[#This Row],[INVERSIONES FCI]])</f>
        <v>1660021940.7334785</v>
      </c>
      <c r="BF58" s="5">
        <f>IF($B57&lt;=Tabla5[[#This Row],[INVERSIONES FCI]],+Tabla5[[#This Row],[INVERSIONES FCI]]-BF57,Tabla5[[#This Row],[INVERSIONES FCI]])</f>
        <v>1660021940.7334785</v>
      </c>
      <c r="BG58" s="5" cm="1">
        <f t="array" ref="BG58">IF(Tabla5[[#This Row],[FCI]]=0,0,_xlfn.XLOOKUP(TRUE,$B58:BF58&gt;0,$B58:BF58,"",0,-1))</f>
        <v>1660021940.7334785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</row>
    <row r="59" spans="1:121" ht="14.4">
      <c r="A59" s="12" t="s">
        <v>58</v>
      </c>
      <c r="B59" s="5">
        <f>HLOOKUP($A59,ESCENARIO[#All],7,FALSE)</f>
        <v>19274581052.204121</v>
      </c>
      <c r="C59" s="5">
        <f>IF($B58&lt;=Tabla5[[#This Row],[INVERSIONES FCI]],+Tabla5[[#This Row],[INVERSIONES FCI]]-C58,Tabla5[[#This Row],[INVERSIONES FCI]])</f>
        <v>19274581052.204121</v>
      </c>
      <c r="D59" s="5">
        <f>IF($B58&lt;=Tabla5[[#This Row],[INVERSIONES FCI]],+Tabla5[[#This Row],[INVERSIONES FCI]]-D58,Tabla5[[#This Row],[INVERSIONES FCI]])</f>
        <v>19274581052.204121</v>
      </c>
      <c r="E59" s="5">
        <f>IF($B58&lt;=Tabla5[[#This Row],[INVERSIONES FCI]],+Tabla5[[#This Row],[INVERSIONES FCI]]-E58,Tabla5[[#This Row],[INVERSIONES FCI]])</f>
        <v>19274581052.204121</v>
      </c>
      <c r="F59" s="5">
        <f>IF($B58&lt;=Tabla5[[#This Row],[INVERSIONES FCI]],+Tabla5[[#This Row],[INVERSIONES FCI]]-F58,Tabla5[[#This Row],[INVERSIONES FCI]])</f>
        <v>19274581052.204121</v>
      </c>
      <c r="G59" s="5">
        <f>IF($B58&lt;=Tabla5[[#This Row],[INVERSIONES FCI]],+Tabla5[[#This Row],[INVERSIONES FCI]]-G58,Tabla5[[#This Row],[INVERSIONES FCI]])</f>
        <v>19274581052.204121</v>
      </c>
      <c r="H59" s="5">
        <f>IF($B58&lt;=Tabla5[[#This Row],[INVERSIONES FCI]],+Tabla5[[#This Row],[INVERSIONES FCI]]-H58,Tabla5[[#This Row],[INVERSIONES FCI]])</f>
        <v>19274581052.204121</v>
      </c>
      <c r="I59" s="5">
        <f>IF($B58&lt;=Tabla5[[#This Row],[INVERSIONES FCI]],+Tabla5[[#This Row],[INVERSIONES FCI]]-I58,Tabla5[[#This Row],[INVERSIONES FCI]])</f>
        <v>19274581052.204121</v>
      </c>
      <c r="J59" s="5">
        <f>IF($B58&lt;=Tabla5[[#This Row],[INVERSIONES FCI]],+Tabla5[[#This Row],[INVERSIONES FCI]]-J58,Tabla5[[#This Row],[INVERSIONES FCI]])</f>
        <v>19274581052.204121</v>
      </c>
      <c r="K59" s="5">
        <f>IF($B58&lt;=Tabla5[[#This Row],[INVERSIONES FCI]],+Tabla5[[#This Row],[INVERSIONES FCI]]-K58,Tabla5[[#This Row],[INVERSIONES FCI]])</f>
        <v>19274581052.204121</v>
      </c>
      <c r="L59" s="5">
        <f>IF($B58&lt;=Tabla5[[#This Row],[INVERSIONES FCI]],+Tabla5[[#This Row],[INVERSIONES FCI]]-L58,Tabla5[[#This Row],[INVERSIONES FCI]])</f>
        <v>19274581052.204121</v>
      </c>
      <c r="M59" s="5">
        <f>IF($B58&lt;=Tabla5[[#This Row],[INVERSIONES FCI]],+Tabla5[[#This Row],[INVERSIONES FCI]]-M58,Tabla5[[#This Row],[INVERSIONES FCI]])</f>
        <v>19274581052.204121</v>
      </c>
      <c r="N59" s="5">
        <f>IF($B58&lt;=Tabla5[[#This Row],[INVERSIONES FCI]],+Tabla5[[#This Row],[INVERSIONES FCI]]-N58,Tabla5[[#This Row],[INVERSIONES FCI]])</f>
        <v>19274581052.204121</v>
      </c>
      <c r="O59" s="5">
        <f>IF($B58&lt;=Tabla5[[#This Row],[INVERSIONES FCI]],+Tabla5[[#This Row],[INVERSIONES FCI]]-O58,Tabla5[[#This Row],[INVERSIONES FCI]])</f>
        <v>19274581052.204121</v>
      </c>
      <c r="P59" s="5">
        <f>IF($B58&lt;=Tabla5[[#This Row],[INVERSIONES FCI]],+Tabla5[[#This Row],[INVERSIONES FCI]]-P58,Tabla5[[#This Row],[INVERSIONES FCI]])</f>
        <v>19274581052.204121</v>
      </c>
      <c r="Q59" s="5">
        <f>IF($B58&lt;=Tabla5[[#This Row],[INVERSIONES FCI]],+Tabla5[[#This Row],[INVERSIONES FCI]]-Q58,Tabla5[[#This Row],[INVERSIONES FCI]])</f>
        <v>19274581052.204121</v>
      </c>
      <c r="R59" s="5">
        <f>IF($B58&lt;=Tabla5[[#This Row],[INVERSIONES FCI]],+Tabla5[[#This Row],[INVERSIONES FCI]]-R58,Tabla5[[#This Row],[INVERSIONES FCI]])</f>
        <v>19274581052.204121</v>
      </c>
      <c r="S59" s="5">
        <f>IF($B58&lt;=Tabla5[[#This Row],[INVERSIONES FCI]],+Tabla5[[#This Row],[INVERSIONES FCI]]-S58,Tabla5[[#This Row],[INVERSIONES FCI]])</f>
        <v>19274581052.204121</v>
      </c>
      <c r="T59" s="5">
        <f>IF($B58&lt;=Tabla5[[#This Row],[INVERSIONES FCI]],+Tabla5[[#This Row],[INVERSIONES FCI]]-T58,Tabla5[[#This Row],[INVERSIONES FCI]])</f>
        <v>19274581052.204121</v>
      </c>
      <c r="U59" s="5">
        <f>IF($B58&lt;=Tabla5[[#This Row],[INVERSIONES FCI]],+Tabla5[[#This Row],[INVERSIONES FCI]]-U58,Tabla5[[#This Row],[INVERSIONES FCI]])</f>
        <v>19274581052.204121</v>
      </c>
      <c r="V59" s="5">
        <f>IF($B58&lt;=Tabla5[[#This Row],[INVERSIONES FCI]],+Tabla5[[#This Row],[INVERSIONES FCI]]-V58,Tabla5[[#This Row],[INVERSIONES FCI]])</f>
        <v>19274581052.204121</v>
      </c>
      <c r="W59" s="5">
        <f>IF($B58&lt;=Tabla5[[#This Row],[INVERSIONES FCI]],+Tabla5[[#This Row],[INVERSIONES FCI]]-W58,Tabla5[[#This Row],[INVERSIONES FCI]])</f>
        <v>19274581052.204121</v>
      </c>
      <c r="X59" s="5">
        <f>IF($B58&lt;=Tabla5[[#This Row],[INVERSIONES FCI]],+Tabla5[[#This Row],[INVERSIONES FCI]]-X58,Tabla5[[#This Row],[INVERSIONES FCI]])</f>
        <v>19274581052.204121</v>
      </c>
      <c r="Y59" s="5">
        <f>IF($B58&lt;=Tabla5[[#This Row],[INVERSIONES FCI]],+Tabla5[[#This Row],[INVERSIONES FCI]]-Y58,Tabla5[[#This Row],[INVERSIONES FCI]])</f>
        <v>19274581052.204121</v>
      </c>
      <c r="Z59" s="5">
        <f>IF($B58&lt;=Tabla5[[#This Row],[INVERSIONES FCI]],+Tabla5[[#This Row],[INVERSIONES FCI]]-Z58,Tabla5[[#This Row],[INVERSIONES FCI]])</f>
        <v>19274581052.204121</v>
      </c>
      <c r="AA59" s="5">
        <f>IF($B58&lt;=Tabla5[[#This Row],[INVERSIONES FCI]],+Tabla5[[#This Row],[INVERSIONES FCI]]-AA58,Tabla5[[#This Row],[INVERSIONES FCI]])</f>
        <v>19274581052.204121</v>
      </c>
      <c r="AB59" s="5">
        <f>IF($B58&lt;=Tabla5[[#This Row],[INVERSIONES FCI]],+Tabla5[[#This Row],[INVERSIONES FCI]]-AB58,Tabla5[[#This Row],[INVERSIONES FCI]])</f>
        <v>19274581052.204121</v>
      </c>
      <c r="AC59" s="5">
        <f>IF($B58&lt;=Tabla5[[#This Row],[INVERSIONES FCI]],+Tabla5[[#This Row],[INVERSIONES FCI]]-AC58,Tabla5[[#This Row],[INVERSIONES FCI]])</f>
        <v>19274581052.204121</v>
      </c>
      <c r="AD59" s="5">
        <f>IF($B58&lt;=Tabla5[[#This Row],[INVERSIONES FCI]],+Tabla5[[#This Row],[INVERSIONES FCI]]-AD58,Tabla5[[#This Row],[INVERSIONES FCI]])</f>
        <v>19274581052.204121</v>
      </c>
      <c r="AE59" s="5">
        <f>IF($B58&lt;=Tabla5[[#This Row],[INVERSIONES FCI]],+Tabla5[[#This Row],[INVERSIONES FCI]]-AE58,Tabla5[[#This Row],[INVERSIONES FCI]])</f>
        <v>19274581052.204121</v>
      </c>
      <c r="AF59" s="5">
        <f>IF($B58&lt;=Tabla5[[#This Row],[INVERSIONES FCI]],+Tabla5[[#This Row],[INVERSIONES FCI]]-AF58,Tabla5[[#This Row],[INVERSIONES FCI]])</f>
        <v>19274581052.204121</v>
      </c>
      <c r="AG59" s="5">
        <f>IF($B58&lt;=Tabla5[[#This Row],[INVERSIONES FCI]],+Tabla5[[#This Row],[INVERSIONES FCI]]-AG58,Tabla5[[#This Row],[INVERSIONES FCI]])</f>
        <v>19274581052.204121</v>
      </c>
      <c r="AH59" s="5">
        <f>IF($B58&lt;=Tabla5[[#This Row],[INVERSIONES FCI]],+Tabla5[[#This Row],[INVERSIONES FCI]]-AH58,Tabla5[[#This Row],[INVERSIONES FCI]])</f>
        <v>19274581052.204121</v>
      </c>
      <c r="AI59" s="5">
        <f>IF($B58&lt;=Tabla5[[#This Row],[INVERSIONES FCI]],+Tabla5[[#This Row],[INVERSIONES FCI]]-AI58,Tabla5[[#This Row],[INVERSIONES FCI]])</f>
        <v>19274581052.204121</v>
      </c>
      <c r="AJ59" s="5">
        <f>IF($B58&lt;=Tabla5[[#This Row],[INVERSIONES FCI]],+Tabla5[[#This Row],[INVERSIONES FCI]]-AJ58,Tabla5[[#This Row],[INVERSIONES FCI]])</f>
        <v>19274581052.204121</v>
      </c>
      <c r="AK59" s="5">
        <f>IF($B58&lt;=Tabla5[[#This Row],[INVERSIONES FCI]],+Tabla5[[#This Row],[INVERSIONES FCI]]-AK58,Tabla5[[#This Row],[INVERSIONES FCI]])</f>
        <v>19274581052.204121</v>
      </c>
      <c r="AL59" s="5">
        <f>IF($B58&lt;=Tabla5[[#This Row],[INVERSIONES FCI]],+Tabla5[[#This Row],[INVERSIONES FCI]]-AL58,Tabla5[[#This Row],[INVERSIONES FCI]])</f>
        <v>19274581052.204121</v>
      </c>
      <c r="AM59" s="5">
        <f>IF($B58&lt;=Tabla5[[#This Row],[INVERSIONES FCI]],+Tabla5[[#This Row],[INVERSIONES FCI]]-AM58,Tabla5[[#This Row],[INVERSIONES FCI]])</f>
        <v>19274581052.204121</v>
      </c>
      <c r="AN59" s="5">
        <f>IF($B58&lt;=Tabla5[[#This Row],[INVERSIONES FCI]],+Tabla5[[#This Row],[INVERSIONES FCI]]-AN58,Tabla5[[#This Row],[INVERSIONES FCI]])</f>
        <v>19274581052.204121</v>
      </c>
      <c r="AO59" s="5">
        <f>IF($B58&lt;=Tabla5[[#This Row],[INVERSIONES FCI]],+Tabla5[[#This Row],[INVERSIONES FCI]]-AO58,Tabla5[[#This Row],[INVERSIONES FCI]])</f>
        <v>19274581052.204121</v>
      </c>
      <c r="AP59" s="5">
        <f>IF($B58&lt;=Tabla5[[#This Row],[INVERSIONES FCI]],+Tabla5[[#This Row],[INVERSIONES FCI]]-AP58,Tabla5[[#This Row],[INVERSIONES FCI]])</f>
        <v>19274581052.204121</v>
      </c>
      <c r="AQ59" s="5">
        <f>IF($B58&lt;=Tabla5[[#This Row],[INVERSIONES FCI]],+Tabla5[[#This Row],[INVERSIONES FCI]]-AQ58,Tabla5[[#This Row],[INVERSIONES FCI]])</f>
        <v>19274581052.204121</v>
      </c>
      <c r="AR59" s="5">
        <f>IF($B58&lt;=Tabla5[[#This Row],[INVERSIONES FCI]],+Tabla5[[#This Row],[INVERSIONES FCI]]-AR58,Tabla5[[#This Row],[INVERSIONES FCI]])</f>
        <v>19274581052.204121</v>
      </c>
      <c r="AS59" s="5">
        <f>IF($B58&lt;=Tabla5[[#This Row],[INVERSIONES FCI]],+Tabla5[[#This Row],[INVERSIONES FCI]]-AS58,Tabla5[[#This Row],[INVERSIONES FCI]])</f>
        <v>19274581052.204121</v>
      </c>
      <c r="AT59" s="5">
        <f>IF($B58&lt;=Tabla5[[#This Row],[INVERSIONES FCI]],+Tabla5[[#This Row],[INVERSIONES FCI]]-AT58,Tabla5[[#This Row],[INVERSIONES FCI]])</f>
        <v>19274581052.204121</v>
      </c>
      <c r="AU59" s="5">
        <f>IF($B58&lt;=Tabla5[[#This Row],[INVERSIONES FCI]],+Tabla5[[#This Row],[INVERSIONES FCI]]-AU58,Tabla5[[#This Row],[INVERSIONES FCI]])</f>
        <v>19274581052.204121</v>
      </c>
      <c r="AV59" s="5">
        <f>IF($B58&lt;=Tabla5[[#This Row],[INVERSIONES FCI]],+Tabla5[[#This Row],[INVERSIONES FCI]]-AV58,Tabla5[[#This Row],[INVERSIONES FCI]])</f>
        <v>19274581052.204121</v>
      </c>
      <c r="AW59" s="5">
        <f>IF($B58&lt;=Tabla5[[#This Row],[INVERSIONES FCI]],+Tabla5[[#This Row],[INVERSIONES FCI]]-AW58,Tabla5[[#This Row],[INVERSIONES FCI]])</f>
        <v>19274581052.204121</v>
      </c>
      <c r="AX59" s="5">
        <f>IF($B58&lt;=Tabla5[[#This Row],[INVERSIONES FCI]],+Tabla5[[#This Row],[INVERSIONES FCI]]-AX58,Tabla5[[#This Row],[INVERSIONES FCI]])</f>
        <v>19274581052.204121</v>
      </c>
      <c r="AY59" s="5">
        <f>IF($B58&lt;=Tabla5[[#This Row],[INVERSIONES FCI]],+Tabla5[[#This Row],[INVERSIONES FCI]]-AY58,Tabla5[[#This Row],[INVERSIONES FCI]])</f>
        <v>19274581052.204121</v>
      </c>
      <c r="AZ59" s="5">
        <f>IF($B58&lt;=Tabla5[[#This Row],[INVERSIONES FCI]],+Tabla5[[#This Row],[INVERSIONES FCI]]-AZ58,Tabla5[[#This Row],[INVERSIONES FCI]])</f>
        <v>19274581052.204121</v>
      </c>
      <c r="BA59" s="5">
        <f>IF($B58&lt;=Tabla5[[#This Row],[INVERSIONES FCI]],+Tabla5[[#This Row],[INVERSIONES FCI]]-BA58,Tabla5[[#This Row],[INVERSIONES FCI]])</f>
        <v>19274581052.204121</v>
      </c>
      <c r="BB59" s="5">
        <f>IF($B58&lt;=Tabla5[[#This Row],[INVERSIONES FCI]],+Tabla5[[#This Row],[INVERSIONES FCI]]-BB58,Tabla5[[#This Row],[INVERSIONES FCI]])</f>
        <v>19274581052.204121</v>
      </c>
      <c r="BC59" s="5">
        <f>IF($B58&lt;=Tabla5[[#This Row],[INVERSIONES FCI]],+Tabla5[[#This Row],[INVERSIONES FCI]]-BC58,Tabla5[[#This Row],[INVERSIONES FCI]])</f>
        <v>19274581052.204121</v>
      </c>
      <c r="BD59" s="5">
        <f>IF($B58&lt;=Tabla5[[#This Row],[INVERSIONES FCI]],+Tabla5[[#This Row],[INVERSIONES FCI]]-BD58,Tabla5[[#This Row],[INVERSIONES FCI]])</f>
        <v>19274581052.204121</v>
      </c>
      <c r="BE59" s="5">
        <f>IF($B58&lt;=Tabla5[[#This Row],[INVERSIONES FCI]],+Tabla5[[#This Row],[INVERSIONES FCI]]-BE58,Tabla5[[#This Row],[INVERSIONES FCI]])</f>
        <v>19274581052.204121</v>
      </c>
      <c r="BF59" s="5">
        <f>IF($B58&lt;=Tabla5[[#This Row],[INVERSIONES FCI]],+Tabla5[[#This Row],[INVERSIONES FCI]]-BF58,Tabla5[[#This Row],[INVERSIONES FCI]])</f>
        <v>19274581052.204121</v>
      </c>
      <c r="BG59" s="5">
        <f>IF($B58&lt;=Tabla5[[#This Row],[INVERSIONES FCI]],+Tabla5[[#This Row],[INVERSIONES FCI]]-BG58,Tabla5[[#This Row],[INVERSIONES FCI]])</f>
        <v>19274581052.204121</v>
      </c>
      <c r="BH59" s="5" cm="1">
        <f t="array" ref="BH59">IF(Tabla5[[#This Row],[FCI]]=0,0,_xlfn.XLOOKUP(TRUE,$B59:BG59&gt;0,$B59:BG59,"",0,-1))</f>
        <v>19274581052.204121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</row>
    <row r="60" spans="1:121" ht="14.4">
      <c r="A60" s="12" t="s">
        <v>59</v>
      </c>
      <c r="B60" s="5">
        <f>HLOOKUP($A60,ESCENARIO[#All],7,FALSE)</f>
        <v>295525396.74781036</v>
      </c>
      <c r="C60" s="5">
        <f>IF($B59&lt;=Tabla5[[#This Row],[INVERSIONES FCI]],+Tabla5[[#This Row],[INVERSIONES FCI]]-C59,Tabla5[[#This Row],[INVERSIONES FCI]])</f>
        <v>295525396.74781036</v>
      </c>
      <c r="D60" s="5">
        <f>IF($B59&lt;=Tabla5[[#This Row],[INVERSIONES FCI]],+Tabla5[[#This Row],[INVERSIONES FCI]]-D59,Tabla5[[#This Row],[INVERSIONES FCI]])</f>
        <v>295525396.74781036</v>
      </c>
      <c r="E60" s="5">
        <f>IF($B59&lt;=Tabla5[[#This Row],[INVERSIONES FCI]],+Tabla5[[#This Row],[INVERSIONES FCI]]-E59,Tabla5[[#This Row],[INVERSIONES FCI]])</f>
        <v>295525396.74781036</v>
      </c>
      <c r="F60" s="5">
        <f>IF($B59&lt;=Tabla5[[#This Row],[INVERSIONES FCI]],+Tabla5[[#This Row],[INVERSIONES FCI]]-F59,Tabla5[[#This Row],[INVERSIONES FCI]])</f>
        <v>295525396.74781036</v>
      </c>
      <c r="G60" s="5">
        <f>IF($B59&lt;=Tabla5[[#This Row],[INVERSIONES FCI]],+Tabla5[[#This Row],[INVERSIONES FCI]]-G59,Tabla5[[#This Row],[INVERSIONES FCI]])</f>
        <v>295525396.74781036</v>
      </c>
      <c r="H60" s="5">
        <f>IF($B59&lt;=Tabla5[[#This Row],[INVERSIONES FCI]],+Tabla5[[#This Row],[INVERSIONES FCI]]-H59,Tabla5[[#This Row],[INVERSIONES FCI]])</f>
        <v>295525396.74781036</v>
      </c>
      <c r="I60" s="5">
        <f>IF($B59&lt;=Tabla5[[#This Row],[INVERSIONES FCI]],+Tabla5[[#This Row],[INVERSIONES FCI]]-I59,Tabla5[[#This Row],[INVERSIONES FCI]])</f>
        <v>295525396.74781036</v>
      </c>
      <c r="J60" s="5">
        <f>IF($B59&lt;=Tabla5[[#This Row],[INVERSIONES FCI]],+Tabla5[[#This Row],[INVERSIONES FCI]]-J59,Tabla5[[#This Row],[INVERSIONES FCI]])</f>
        <v>295525396.74781036</v>
      </c>
      <c r="K60" s="5">
        <f>IF($B59&lt;=Tabla5[[#This Row],[INVERSIONES FCI]],+Tabla5[[#This Row],[INVERSIONES FCI]]-K59,Tabla5[[#This Row],[INVERSIONES FCI]])</f>
        <v>295525396.74781036</v>
      </c>
      <c r="L60" s="5">
        <f>IF($B59&lt;=Tabla5[[#This Row],[INVERSIONES FCI]],+Tabla5[[#This Row],[INVERSIONES FCI]]-L59,Tabla5[[#This Row],[INVERSIONES FCI]])</f>
        <v>295525396.74781036</v>
      </c>
      <c r="M60" s="5">
        <f>IF($B59&lt;=Tabla5[[#This Row],[INVERSIONES FCI]],+Tabla5[[#This Row],[INVERSIONES FCI]]-M59,Tabla5[[#This Row],[INVERSIONES FCI]])</f>
        <v>295525396.74781036</v>
      </c>
      <c r="N60" s="5">
        <f>IF($B59&lt;=Tabla5[[#This Row],[INVERSIONES FCI]],+Tabla5[[#This Row],[INVERSIONES FCI]]-N59,Tabla5[[#This Row],[INVERSIONES FCI]])</f>
        <v>295525396.74781036</v>
      </c>
      <c r="O60" s="5">
        <f>IF($B59&lt;=Tabla5[[#This Row],[INVERSIONES FCI]],+Tabla5[[#This Row],[INVERSIONES FCI]]-O59,Tabla5[[#This Row],[INVERSIONES FCI]])</f>
        <v>295525396.74781036</v>
      </c>
      <c r="P60" s="5">
        <f>IF($B59&lt;=Tabla5[[#This Row],[INVERSIONES FCI]],+Tabla5[[#This Row],[INVERSIONES FCI]]-P59,Tabla5[[#This Row],[INVERSIONES FCI]])</f>
        <v>295525396.74781036</v>
      </c>
      <c r="Q60" s="5">
        <f>IF($B59&lt;=Tabla5[[#This Row],[INVERSIONES FCI]],+Tabla5[[#This Row],[INVERSIONES FCI]]-Q59,Tabla5[[#This Row],[INVERSIONES FCI]])</f>
        <v>295525396.74781036</v>
      </c>
      <c r="R60" s="5">
        <f>IF($B59&lt;=Tabla5[[#This Row],[INVERSIONES FCI]],+Tabla5[[#This Row],[INVERSIONES FCI]]-R59,Tabla5[[#This Row],[INVERSIONES FCI]])</f>
        <v>295525396.74781036</v>
      </c>
      <c r="S60" s="5">
        <f>IF($B59&lt;=Tabla5[[#This Row],[INVERSIONES FCI]],+Tabla5[[#This Row],[INVERSIONES FCI]]-S59,Tabla5[[#This Row],[INVERSIONES FCI]])</f>
        <v>295525396.74781036</v>
      </c>
      <c r="T60" s="5">
        <f>IF($B59&lt;=Tabla5[[#This Row],[INVERSIONES FCI]],+Tabla5[[#This Row],[INVERSIONES FCI]]-T59,Tabla5[[#This Row],[INVERSIONES FCI]])</f>
        <v>295525396.74781036</v>
      </c>
      <c r="U60" s="5">
        <f>IF($B59&lt;=Tabla5[[#This Row],[INVERSIONES FCI]],+Tabla5[[#This Row],[INVERSIONES FCI]]-U59,Tabla5[[#This Row],[INVERSIONES FCI]])</f>
        <v>295525396.74781036</v>
      </c>
      <c r="V60" s="5">
        <f>IF($B59&lt;=Tabla5[[#This Row],[INVERSIONES FCI]],+Tabla5[[#This Row],[INVERSIONES FCI]]-V59,Tabla5[[#This Row],[INVERSIONES FCI]])</f>
        <v>295525396.74781036</v>
      </c>
      <c r="W60" s="5">
        <f>IF($B59&lt;=Tabla5[[#This Row],[INVERSIONES FCI]],+Tabla5[[#This Row],[INVERSIONES FCI]]-W59,Tabla5[[#This Row],[INVERSIONES FCI]])</f>
        <v>295525396.74781036</v>
      </c>
      <c r="X60" s="5">
        <f>IF($B59&lt;=Tabla5[[#This Row],[INVERSIONES FCI]],+Tabla5[[#This Row],[INVERSIONES FCI]]-X59,Tabla5[[#This Row],[INVERSIONES FCI]])</f>
        <v>295525396.74781036</v>
      </c>
      <c r="Y60" s="5">
        <f>IF($B59&lt;=Tabla5[[#This Row],[INVERSIONES FCI]],+Tabla5[[#This Row],[INVERSIONES FCI]]-Y59,Tabla5[[#This Row],[INVERSIONES FCI]])</f>
        <v>295525396.74781036</v>
      </c>
      <c r="Z60" s="5">
        <f>IF($B59&lt;=Tabla5[[#This Row],[INVERSIONES FCI]],+Tabla5[[#This Row],[INVERSIONES FCI]]-Z59,Tabla5[[#This Row],[INVERSIONES FCI]])</f>
        <v>295525396.74781036</v>
      </c>
      <c r="AA60" s="5">
        <f>IF($B59&lt;=Tabla5[[#This Row],[INVERSIONES FCI]],+Tabla5[[#This Row],[INVERSIONES FCI]]-AA59,Tabla5[[#This Row],[INVERSIONES FCI]])</f>
        <v>295525396.74781036</v>
      </c>
      <c r="AB60" s="5">
        <f>IF($B59&lt;=Tabla5[[#This Row],[INVERSIONES FCI]],+Tabla5[[#This Row],[INVERSIONES FCI]]-AB59,Tabla5[[#This Row],[INVERSIONES FCI]])</f>
        <v>295525396.74781036</v>
      </c>
      <c r="AC60" s="5">
        <f>IF($B59&lt;=Tabla5[[#This Row],[INVERSIONES FCI]],+Tabla5[[#This Row],[INVERSIONES FCI]]-AC59,Tabla5[[#This Row],[INVERSIONES FCI]])</f>
        <v>295525396.74781036</v>
      </c>
      <c r="AD60" s="5">
        <f>IF($B59&lt;=Tabla5[[#This Row],[INVERSIONES FCI]],+Tabla5[[#This Row],[INVERSIONES FCI]]-AD59,Tabla5[[#This Row],[INVERSIONES FCI]])</f>
        <v>295525396.74781036</v>
      </c>
      <c r="AE60" s="5">
        <f>IF($B59&lt;=Tabla5[[#This Row],[INVERSIONES FCI]],+Tabla5[[#This Row],[INVERSIONES FCI]]-AE59,Tabla5[[#This Row],[INVERSIONES FCI]])</f>
        <v>295525396.74781036</v>
      </c>
      <c r="AF60" s="5">
        <f>IF($B59&lt;=Tabla5[[#This Row],[INVERSIONES FCI]],+Tabla5[[#This Row],[INVERSIONES FCI]]-AF59,Tabla5[[#This Row],[INVERSIONES FCI]])</f>
        <v>295525396.74781036</v>
      </c>
      <c r="AG60" s="5">
        <f>IF($B59&lt;=Tabla5[[#This Row],[INVERSIONES FCI]],+Tabla5[[#This Row],[INVERSIONES FCI]]-AG59,Tabla5[[#This Row],[INVERSIONES FCI]])</f>
        <v>295525396.74781036</v>
      </c>
      <c r="AH60" s="5">
        <f>IF($B59&lt;=Tabla5[[#This Row],[INVERSIONES FCI]],+Tabla5[[#This Row],[INVERSIONES FCI]]-AH59,Tabla5[[#This Row],[INVERSIONES FCI]])</f>
        <v>295525396.74781036</v>
      </c>
      <c r="AI60" s="5">
        <f>IF($B59&lt;=Tabla5[[#This Row],[INVERSIONES FCI]],+Tabla5[[#This Row],[INVERSIONES FCI]]-AI59,Tabla5[[#This Row],[INVERSIONES FCI]])</f>
        <v>295525396.74781036</v>
      </c>
      <c r="AJ60" s="5">
        <f>IF($B59&lt;=Tabla5[[#This Row],[INVERSIONES FCI]],+Tabla5[[#This Row],[INVERSIONES FCI]]-AJ59,Tabla5[[#This Row],[INVERSIONES FCI]])</f>
        <v>295525396.74781036</v>
      </c>
      <c r="AK60" s="5">
        <f>IF($B59&lt;=Tabla5[[#This Row],[INVERSIONES FCI]],+Tabla5[[#This Row],[INVERSIONES FCI]]-AK59,Tabla5[[#This Row],[INVERSIONES FCI]])</f>
        <v>295525396.74781036</v>
      </c>
      <c r="AL60" s="5">
        <f>IF($B59&lt;=Tabla5[[#This Row],[INVERSIONES FCI]],+Tabla5[[#This Row],[INVERSIONES FCI]]-AL59,Tabla5[[#This Row],[INVERSIONES FCI]])</f>
        <v>295525396.74781036</v>
      </c>
      <c r="AM60" s="5">
        <f>IF($B59&lt;=Tabla5[[#This Row],[INVERSIONES FCI]],+Tabla5[[#This Row],[INVERSIONES FCI]]-AM59,Tabla5[[#This Row],[INVERSIONES FCI]])</f>
        <v>295525396.74781036</v>
      </c>
      <c r="AN60" s="5">
        <f>IF($B59&lt;=Tabla5[[#This Row],[INVERSIONES FCI]],+Tabla5[[#This Row],[INVERSIONES FCI]]-AN59,Tabla5[[#This Row],[INVERSIONES FCI]])</f>
        <v>295525396.74781036</v>
      </c>
      <c r="AO60" s="5">
        <f>IF($B59&lt;=Tabla5[[#This Row],[INVERSIONES FCI]],+Tabla5[[#This Row],[INVERSIONES FCI]]-AO59,Tabla5[[#This Row],[INVERSIONES FCI]])</f>
        <v>295525396.74781036</v>
      </c>
      <c r="AP60" s="5">
        <f>IF($B59&lt;=Tabla5[[#This Row],[INVERSIONES FCI]],+Tabla5[[#This Row],[INVERSIONES FCI]]-AP59,Tabla5[[#This Row],[INVERSIONES FCI]])</f>
        <v>295525396.74781036</v>
      </c>
      <c r="AQ60" s="5">
        <f>IF($B59&lt;=Tabla5[[#This Row],[INVERSIONES FCI]],+Tabla5[[#This Row],[INVERSIONES FCI]]-AQ59,Tabla5[[#This Row],[INVERSIONES FCI]])</f>
        <v>295525396.74781036</v>
      </c>
      <c r="AR60" s="5">
        <f>IF($B59&lt;=Tabla5[[#This Row],[INVERSIONES FCI]],+Tabla5[[#This Row],[INVERSIONES FCI]]-AR59,Tabla5[[#This Row],[INVERSIONES FCI]])</f>
        <v>295525396.74781036</v>
      </c>
      <c r="AS60" s="5">
        <f>IF($B59&lt;=Tabla5[[#This Row],[INVERSIONES FCI]],+Tabla5[[#This Row],[INVERSIONES FCI]]-AS59,Tabla5[[#This Row],[INVERSIONES FCI]])</f>
        <v>295525396.74781036</v>
      </c>
      <c r="AT60" s="5">
        <f>IF($B59&lt;=Tabla5[[#This Row],[INVERSIONES FCI]],+Tabla5[[#This Row],[INVERSIONES FCI]]-AT59,Tabla5[[#This Row],[INVERSIONES FCI]])</f>
        <v>295525396.74781036</v>
      </c>
      <c r="AU60" s="5">
        <f>IF($B59&lt;=Tabla5[[#This Row],[INVERSIONES FCI]],+Tabla5[[#This Row],[INVERSIONES FCI]]-AU59,Tabla5[[#This Row],[INVERSIONES FCI]])</f>
        <v>295525396.74781036</v>
      </c>
      <c r="AV60" s="5">
        <f>IF($B59&lt;=Tabla5[[#This Row],[INVERSIONES FCI]],+Tabla5[[#This Row],[INVERSIONES FCI]]-AV59,Tabla5[[#This Row],[INVERSIONES FCI]])</f>
        <v>295525396.74781036</v>
      </c>
      <c r="AW60" s="5">
        <f>IF($B59&lt;=Tabla5[[#This Row],[INVERSIONES FCI]],+Tabla5[[#This Row],[INVERSIONES FCI]]-AW59,Tabla5[[#This Row],[INVERSIONES FCI]])</f>
        <v>295525396.74781036</v>
      </c>
      <c r="AX60" s="5">
        <f>IF($B59&lt;=Tabla5[[#This Row],[INVERSIONES FCI]],+Tabla5[[#This Row],[INVERSIONES FCI]]-AX59,Tabla5[[#This Row],[INVERSIONES FCI]])</f>
        <v>295525396.74781036</v>
      </c>
      <c r="AY60" s="5">
        <f>IF($B59&lt;=Tabla5[[#This Row],[INVERSIONES FCI]],+Tabla5[[#This Row],[INVERSIONES FCI]]-AY59,Tabla5[[#This Row],[INVERSIONES FCI]])</f>
        <v>295525396.74781036</v>
      </c>
      <c r="AZ60" s="5">
        <f>IF($B59&lt;=Tabla5[[#This Row],[INVERSIONES FCI]],+Tabla5[[#This Row],[INVERSIONES FCI]]-AZ59,Tabla5[[#This Row],[INVERSIONES FCI]])</f>
        <v>295525396.74781036</v>
      </c>
      <c r="BA60" s="5">
        <f>IF($B59&lt;=Tabla5[[#This Row],[INVERSIONES FCI]],+Tabla5[[#This Row],[INVERSIONES FCI]]-BA59,Tabla5[[#This Row],[INVERSIONES FCI]])</f>
        <v>295525396.74781036</v>
      </c>
      <c r="BB60" s="5">
        <f>IF($B59&lt;=Tabla5[[#This Row],[INVERSIONES FCI]],+Tabla5[[#This Row],[INVERSIONES FCI]]-BB59,Tabla5[[#This Row],[INVERSIONES FCI]])</f>
        <v>295525396.74781036</v>
      </c>
      <c r="BC60" s="5">
        <f>IF($B59&lt;=Tabla5[[#This Row],[INVERSIONES FCI]],+Tabla5[[#This Row],[INVERSIONES FCI]]-BC59,Tabla5[[#This Row],[INVERSIONES FCI]])</f>
        <v>295525396.74781036</v>
      </c>
      <c r="BD60" s="5">
        <f>IF($B59&lt;=Tabla5[[#This Row],[INVERSIONES FCI]],+Tabla5[[#This Row],[INVERSIONES FCI]]-BD59,Tabla5[[#This Row],[INVERSIONES FCI]])</f>
        <v>295525396.74781036</v>
      </c>
      <c r="BE60" s="5">
        <f>IF($B59&lt;=Tabla5[[#This Row],[INVERSIONES FCI]],+Tabla5[[#This Row],[INVERSIONES FCI]]-BE59,Tabla5[[#This Row],[INVERSIONES FCI]])</f>
        <v>295525396.74781036</v>
      </c>
      <c r="BF60" s="5">
        <f>IF($B59&lt;=Tabla5[[#This Row],[INVERSIONES FCI]],+Tabla5[[#This Row],[INVERSIONES FCI]]-BF59,Tabla5[[#This Row],[INVERSIONES FCI]])</f>
        <v>295525396.74781036</v>
      </c>
      <c r="BG60" s="5">
        <f>IF($B59&lt;=Tabla5[[#This Row],[INVERSIONES FCI]],+Tabla5[[#This Row],[INVERSIONES FCI]]-BG59,Tabla5[[#This Row],[INVERSIONES FCI]])</f>
        <v>295525396.74781036</v>
      </c>
      <c r="BH60" s="5">
        <f>IF($B59&lt;=Tabla5[[#This Row],[INVERSIONES FCI]],+Tabla5[[#This Row],[INVERSIONES FCI]]-BH59,Tabla5[[#This Row],[INVERSIONES FCI]])</f>
        <v>295525396.74781036</v>
      </c>
      <c r="BI60" s="5" cm="1">
        <f t="array" ref="BI60">IF(Tabla5[[#This Row],[FCI]]=0,0,_xlfn.XLOOKUP(TRUE,$B60:BH60&gt;0,$B60:BH60,"",0,-1))</f>
        <v>295525396.74781036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</row>
    <row r="61" spans="1:121" ht="14.4">
      <c r="A61" s="12" t="s">
        <v>60</v>
      </c>
      <c r="B61" s="5">
        <f>HLOOKUP($A61,ESCENARIO[#All],7,FALSE)</f>
        <v>313878143.56663662</v>
      </c>
      <c r="C61" s="5">
        <f>IF($B60&lt;=Tabla5[[#This Row],[INVERSIONES FCI]],+Tabla5[[#This Row],[INVERSIONES FCI]]-C60,Tabla5[[#This Row],[INVERSIONES FCI]])</f>
        <v>18352746.818826258</v>
      </c>
      <c r="D61" s="5">
        <f>IF($B60&lt;=Tabla5[[#This Row],[INVERSIONES FCI]],+Tabla5[[#This Row],[INVERSIONES FCI]]-D60,Tabla5[[#This Row],[INVERSIONES FCI]])</f>
        <v>18352746.818826258</v>
      </c>
      <c r="E61" s="5">
        <f>IF($B60&lt;=Tabla5[[#This Row],[INVERSIONES FCI]],+Tabla5[[#This Row],[INVERSIONES FCI]]-E60,Tabla5[[#This Row],[INVERSIONES FCI]])</f>
        <v>18352746.818826258</v>
      </c>
      <c r="F61" s="5">
        <f>IF($B60&lt;=Tabla5[[#This Row],[INVERSIONES FCI]],+Tabla5[[#This Row],[INVERSIONES FCI]]-F60,Tabla5[[#This Row],[INVERSIONES FCI]])</f>
        <v>18352746.818826258</v>
      </c>
      <c r="G61" s="5">
        <f>IF($B60&lt;=Tabla5[[#This Row],[INVERSIONES FCI]],+Tabla5[[#This Row],[INVERSIONES FCI]]-G60,Tabla5[[#This Row],[INVERSIONES FCI]])</f>
        <v>18352746.818826258</v>
      </c>
      <c r="H61" s="5">
        <f>IF($B60&lt;=Tabla5[[#This Row],[INVERSIONES FCI]],+Tabla5[[#This Row],[INVERSIONES FCI]]-H60,Tabla5[[#This Row],[INVERSIONES FCI]])</f>
        <v>18352746.818826258</v>
      </c>
      <c r="I61" s="5">
        <f>IF($B60&lt;=Tabla5[[#This Row],[INVERSIONES FCI]],+Tabla5[[#This Row],[INVERSIONES FCI]]-I60,Tabla5[[#This Row],[INVERSIONES FCI]])</f>
        <v>18352746.818826258</v>
      </c>
      <c r="J61" s="5">
        <f>IF($B60&lt;=Tabla5[[#This Row],[INVERSIONES FCI]],+Tabla5[[#This Row],[INVERSIONES FCI]]-J60,Tabla5[[#This Row],[INVERSIONES FCI]])</f>
        <v>18352746.818826258</v>
      </c>
      <c r="K61" s="5">
        <f>IF($B60&lt;=Tabla5[[#This Row],[INVERSIONES FCI]],+Tabla5[[#This Row],[INVERSIONES FCI]]-K60,Tabla5[[#This Row],[INVERSIONES FCI]])</f>
        <v>18352746.818826258</v>
      </c>
      <c r="L61" s="5">
        <f>IF($B60&lt;=Tabla5[[#This Row],[INVERSIONES FCI]],+Tabla5[[#This Row],[INVERSIONES FCI]]-L60,Tabla5[[#This Row],[INVERSIONES FCI]])</f>
        <v>18352746.818826258</v>
      </c>
      <c r="M61" s="5">
        <f>IF($B60&lt;=Tabla5[[#This Row],[INVERSIONES FCI]],+Tabla5[[#This Row],[INVERSIONES FCI]]-M60,Tabla5[[#This Row],[INVERSIONES FCI]])</f>
        <v>18352746.818826258</v>
      </c>
      <c r="N61" s="5">
        <f>IF($B60&lt;=Tabla5[[#This Row],[INVERSIONES FCI]],+Tabla5[[#This Row],[INVERSIONES FCI]]-N60,Tabla5[[#This Row],[INVERSIONES FCI]])</f>
        <v>18352746.818826258</v>
      </c>
      <c r="O61" s="5">
        <f>IF($B60&lt;=Tabla5[[#This Row],[INVERSIONES FCI]],+Tabla5[[#This Row],[INVERSIONES FCI]]-O60,Tabla5[[#This Row],[INVERSIONES FCI]])</f>
        <v>18352746.818826258</v>
      </c>
      <c r="P61" s="5">
        <f>IF($B60&lt;=Tabla5[[#This Row],[INVERSIONES FCI]],+Tabla5[[#This Row],[INVERSIONES FCI]]-P60,Tabla5[[#This Row],[INVERSIONES FCI]])</f>
        <v>18352746.818826258</v>
      </c>
      <c r="Q61" s="5">
        <f>IF($B60&lt;=Tabla5[[#This Row],[INVERSIONES FCI]],+Tabla5[[#This Row],[INVERSIONES FCI]]-Q60,Tabla5[[#This Row],[INVERSIONES FCI]])</f>
        <v>18352746.818826258</v>
      </c>
      <c r="R61" s="5">
        <f>IF($B60&lt;=Tabla5[[#This Row],[INVERSIONES FCI]],+Tabla5[[#This Row],[INVERSIONES FCI]]-R60,Tabla5[[#This Row],[INVERSIONES FCI]])</f>
        <v>18352746.818826258</v>
      </c>
      <c r="S61" s="5">
        <f>IF($B60&lt;=Tabla5[[#This Row],[INVERSIONES FCI]],+Tabla5[[#This Row],[INVERSIONES FCI]]-S60,Tabla5[[#This Row],[INVERSIONES FCI]])</f>
        <v>18352746.818826258</v>
      </c>
      <c r="T61" s="5">
        <f>IF($B60&lt;=Tabla5[[#This Row],[INVERSIONES FCI]],+Tabla5[[#This Row],[INVERSIONES FCI]]-T60,Tabla5[[#This Row],[INVERSIONES FCI]])</f>
        <v>18352746.818826258</v>
      </c>
      <c r="U61" s="5">
        <f>IF($B60&lt;=Tabla5[[#This Row],[INVERSIONES FCI]],+Tabla5[[#This Row],[INVERSIONES FCI]]-U60,Tabla5[[#This Row],[INVERSIONES FCI]])</f>
        <v>18352746.818826258</v>
      </c>
      <c r="V61" s="5">
        <f>IF($B60&lt;=Tabla5[[#This Row],[INVERSIONES FCI]],+Tabla5[[#This Row],[INVERSIONES FCI]]-V60,Tabla5[[#This Row],[INVERSIONES FCI]])</f>
        <v>18352746.818826258</v>
      </c>
      <c r="W61" s="5">
        <f>IF($B60&lt;=Tabla5[[#This Row],[INVERSIONES FCI]],+Tabla5[[#This Row],[INVERSIONES FCI]]-W60,Tabla5[[#This Row],[INVERSIONES FCI]])</f>
        <v>18352746.818826258</v>
      </c>
      <c r="X61" s="5">
        <f>IF($B60&lt;=Tabla5[[#This Row],[INVERSIONES FCI]],+Tabla5[[#This Row],[INVERSIONES FCI]]-X60,Tabla5[[#This Row],[INVERSIONES FCI]])</f>
        <v>18352746.818826258</v>
      </c>
      <c r="Y61" s="5">
        <f>IF($B60&lt;=Tabla5[[#This Row],[INVERSIONES FCI]],+Tabla5[[#This Row],[INVERSIONES FCI]]-Y60,Tabla5[[#This Row],[INVERSIONES FCI]])</f>
        <v>18352746.818826258</v>
      </c>
      <c r="Z61" s="5">
        <f>IF($B60&lt;=Tabla5[[#This Row],[INVERSIONES FCI]],+Tabla5[[#This Row],[INVERSIONES FCI]]-Z60,Tabla5[[#This Row],[INVERSIONES FCI]])</f>
        <v>18352746.818826258</v>
      </c>
      <c r="AA61" s="5">
        <f>IF($B60&lt;=Tabla5[[#This Row],[INVERSIONES FCI]],+Tabla5[[#This Row],[INVERSIONES FCI]]-AA60,Tabla5[[#This Row],[INVERSIONES FCI]])</f>
        <v>18352746.818826258</v>
      </c>
      <c r="AB61" s="5">
        <f>IF($B60&lt;=Tabla5[[#This Row],[INVERSIONES FCI]],+Tabla5[[#This Row],[INVERSIONES FCI]]-AB60,Tabla5[[#This Row],[INVERSIONES FCI]])</f>
        <v>18352746.818826258</v>
      </c>
      <c r="AC61" s="5">
        <f>IF($B60&lt;=Tabla5[[#This Row],[INVERSIONES FCI]],+Tabla5[[#This Row],[INVERSIONES FCI]]-AC60,Tabla5[[#This Row],[INVERSIONES FCI]])</f>
        <v>18352746.818826258</v>
      </c>
      <c r="AD61" s="5">
        <f>IF($B60&lt;=Tabla5[[#This Row],[INVERSIONES FCI]],+Tabla5[[#This Row],[INVERSIONES FCI]]-AD60,Tabla5[[#This Row],[INVERSIONES FCI]])</f>
        <v>18352746.818826258</v>
      </c>
      <c r="AE61" s="5">
        <f>IF($B60&lt;=Tabla5[[#This Row],[INVERSIONES FCI]],+Tabla5[[#This Row],[INVERSIONES FCI]]-AE60,Tabla5[[#This Row],[INVERSIONES FCI]])</f>
        <v>18352746.818826258</v>
      </c>
      <c r="AF61" s="5">
        <f>IF($B60&lt;=Tabla5[[#This Row],[INVERSIONES FCI]],+Tabla5[[#This Row],[INVERSIONES FCI]]-AF60,Tabla5[[#This Row],[INVERSIONES FCI]])</f>
        <v>18352746.818826258</v>
      </c>
      <c r="AG61" s="5">
        <f>IF($B60&lt;=Tabla5[[#This Row],[INVERSIONES FCI]],+Tabla5[[#This Row],[INVERSIONES FCI]]-AG60,Tabla5[[#This Row],[INVERSIONES FCI]])</f>
        <v>18352746.818826258</v>
      </c>
      <c r="AH61" s="5">
        <f>IF($B60&lt;=Tabla5[[#This Row],[INVERSIONES FCI]],+Tabla5[[#This Row],[INVERSIONES FCI]]-AH60,Tabla5[[#This Row],[INVERSIONES FCI]])</f>
        <v>18352746.818826258</v>
      </c>
      <c r="AI61" s="5">
        <f>IF($B60&lt;=Tabla5[[#This Row],[INVERSIONES FCI]],+Tabla5[[#This Row],[INVERSIONES FCI]]-AI60,Tabla5[[#This Row],[INVERSIONES FCI]])</f>
        <v>18352746.818826258</v>
      </c>
      <c r="AJ61" s="5">
        <f>IF($B60&lt;=Tabla5[[#This Row],[INVERSIONES FCI]],+Tabla5[[#This Row],[INVERSIONES FCI]]-AJ60,Tabla5[[#This Row],[INVERSIONES FCI]])</f>
        <v>18352746.818826258</v>
      </c>
      <c r="AK61" s="5">
        <f>IF($B60&lt;=Tabla5[[#This Row],[INVERSIONES FCI]],+Tabla5[[#This Row],[INVERSIONES FCI]]-AK60,Tabla5[[#This Row],[INVERSIONES FCI]])</f>
        <v>18352746.818826258</v>
      </c>
      <c r="AL61" s="5">
        <f>IF($B60&lt;=Tabla5[[#This Row],[INVERSIONES FCI]],+Tabla5[[#This Row],[INVERSIONES FCI]]-AL60,Tabla5[[#This Row],[INVERSIONES FCI]])</f>
        <v>18352746.818826258</v>
      </c>
      <c r="AM61" s="5">
        <f>IF($B60&lt;=Tabla5[[#This Row],[INVERSIONES FCI]],+Tabla5[[#This Row],[INVERSIONES FCI]]-AM60,Tabla5[[#This Row],[INVERSIONES FCI]])</f>
        <v>18352746.818826258</v>
      </c>
      <c r="AN61" s="5">
        <f>IF($B60&lt;=Tabla5[[#This Row],[INVERSIONES FCI]],+Tabla5[[#This Row],[INVERSIONES FCI]]-AN60,Tabla5[[#This Row],[INVERSIONES FCI]])</f>
        <v>18352746.818826258</v>
      </c>
      <c r="AO61" s="5">
        <f>IF($B60&lt;=Tabla5[[#This Row],[INVERSIONES FCI]],+Tabla5[[#This Row],[INVERSIONES FCI]]-AO60,Tabla5[[#This Row],[INVERSIONES FCI]])</f>
        <v>18352746.818826258</v>
      </c>
      <c r="AP61" s="5">
        <f>IF($B60&lt;=Tabla5[[#This Row],[INVERSIONES FCI]],+Tabla5[[#This Row],[INVERSIONES FCI]]-AP60,Tabla5[[#This Row],[INVERSIONES FCI]])</f>
        <v>18352746.818826258</v>
      </c>
      <c r="AQ61" s="5">
        <f>IF($B60&lt;=Tabla5[[#This Row],[INVERSIONES FCI]],+Tabla5[[#This Row],[INVERSIONES FCI]]-AQ60,Tabla5[[#This Row],[INVERSIONES FCI]])</f>
        <v>18352746.818826258</v>
      </c>
      <c r="AR61" s="5">
        <f>IF($B60&lt;=Tabla5[[#This Row],[INVERSIONES FCI]],+Tabla5[[#This Row],[INVERSIONES FCI]]-AR60,Tabla5[[#This Row],[INVERSIONES FCI]])</f>
        <v>18352746.818826258</v>
      </c>
      <c r="AS61" s="5">
        <f>IF($B60&lt;=Tabla5[[#This Row],[INVERSIONES FCI]],+Tabla5[[#This Row],[INVERSIONES FCI]]-AS60,Tabla5[[#This Row],[INVERSIONES FCI]])</f>
        <v>18352746.818826258</v>
      </c>
      <c r="AT61" s="5">
        <f>IF($B60&lt;=Tabla5[[#This Row],[INVERSIONES FCI]],+Tabla5[[#This Row],[INVERSIONES FCI]]-AT60,Tabla5[[#This Row],[INVERSIONES FCI]])</f>
        <v>18352746.818826258</v>
      </c>
      <c r="AU61" s="5">
        <f>IF($B60&lt;=Tabla5[[#This Row],[INVERSIONES FCI]],+Tabla5[[#This Row],[INVERSIONES FCI]]-AU60,Tabla5[[#This Row],[INVERSIONES FCI]])</f>
        <v>18352746.818826258</v>
      </c>
      <c r="AV61" s="5">
        <f>IF($B60&lt;=Tabla5[[#This Row],[INVERSIONES FCI]],+Tabla5[[#This Row],[INVERSIONES FCI]]-AV60,Tabla5[[#This Row],[INVERSIONES FCI]])</f>
        <v>18352746.818826258</v>
      </c>
      <c r="AW61" s="5">
        <f>IF($B60&lt;=Tabla5[[#This Row],[INVERSIONES FCI]],+Tabla5[[#This Row],[INVERSIONES FCI]]-AW60,Tabla5[[#This Row],[INVERSIONES FCI]])</f>
        <v>18352746.818826258</v>
      </c>
      <c r="AX61" s="5">
        <f>IF($B60&lt;=Tabla5[[#This Row],[INVERSIONES FCI]],+Tabla5[[#This Row],[INVERSIONES FCI]]-AX60,Tabla5[[#This Row],[INVERSIONES FCI]])</f>
        <v>18352746.818826258</v>
      </c>
      <c r="AY61" s="5">
        <f>IF($B60&lt;=Tabla5[[#This Row],[INVERSIONES FCI]],+Tabla5[[#This Row],[INVERSIONES FCI]]-AY60,Tabla5[[#This Row],[INVERSIONES FCI]])</f>
        <v>18352746.818826258</v>
      </c>
      <c r="AZ61" s="5">
        <f>IF($B60&lt;=Tabla5[[#This Row],[INVERSIONES FCI]],+Tabla5[[#This Row],[INVERSIONES FCI]]-AZ60,Tabla5[[#This Row],[INVERSIONES FCI]])</f>
        <v>18352746.818826258</v>
      </c>
      <c r="BA61" s="5">
        <f>IF($B60&lt;=Tabla5[[#This Row],[INVERSIONES FCI]],+Tabla5[[#This Row],[INVERSIONES FCI]]-BA60,Tabla5[[#This Row],[INVERSIONES FCI]])</f>
        <v>18352746.818826258</v>
      </c>
      <c r="BB61" s="5">
        <f>IF($B60&lt;=Tabla5[[#This Row],[INVERSIONES FCI]],+Tabla5[[#This Row],[INVERSIONES FCI]]-BB60,Tabla5[[#This Row],[INVERSIONES FCI]])</f>
        <v>18352746.818826258</v>
      </c>
      <c r="BC61" s="5">
        <f>IF($B60&lt;=Tabla5[[#This Row],[INVERSIONES FCI]],+Tabla5[[#This Row],[INVERSIONES FCI]]-BC60,Tabla5[[#This Row],[INVERSIONES FCI]])</f>
        <v>18352746.818826258</v>
      </c>
      <c r="BD61" s="5">
        <f>IF($B60&lt;=Tabla5[[#This Row],[INVERSIONES FCI]],+Tabla5[[#This Row],[INVERSIONES FCI]]-BD60,Tabla5[[#This Row],[INVERSIONES FCI]])</f>
        <v>18352746.818826258</v>
      </c>
      <c r="BE61" s="5">
        <f>IF($B60&lt;=Tabla5[[#This Row],[INVERSIONES FCI]],+Tabla5[[#This Row],[INVERSIONES FCI]]-BE60,Tabla5[[#This Row],[INVERSIONES FCI]])</f>
        <v>18352746.818826258</v>
      </c>
      <c r="BF61" s="5">
        <f>IF($B60&lt;=Tabla5[[#This Row],[INVERSIONES FCI]],+Tabla5[[#This Row],[INVERSIONES FCI]]-BF60,Tabla5[[#This Row],[INVERSIONES FCI]])</f>
        <v>18352746.818826258</v>
      </c>
      <c r="BG61" s="5">
        <f>IF($B60&lt;=Tabla5[[#This Row],[INVERSIONES FCI]],+Tabla5[[#This Row],[INVERSIONES FCI]]-BG60,Tabla5[[#This Row],[INVERSIONES FCI]])</f>
        <v>18352746.818826258</v>
      </c>
      <c r="BH61" s="5">
        <f>IF($B60&lt;=Tabla5[[#This Row],[INVERSIONES FCI]],+Tabla5[[#This Row],[INVERSIONES FCI]]-BH60,Tabla5[[#This Row],[INVERSIONES FCI]])</f>
        <v>18352746.818826258</v>
      </c>
      <c r="BI61" s="5">
        <f>IF($B60&lt;=Tabla5[[#This Row],[INVERSIONES FCI]],+Tabla5[[#This Row],[INVERSIONES FCI]]-BI60,Tabla5[[#This Row],[INVERSIONES FCI]])</f>
        <v>18352746.818826258</v>
      </c>
      <c r="BJ61" s="5" cm="1">
        <f t="array" ref="BJ61">IF(Tabla5[[#This Row],[FCI]]=0,0,_xlfn.XLOOKUP(TRUE,$B61:BI61&gt;0,$B61:BI61,"",0,-1))</f>
        <v>18352746.818826258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</row>
    <row r="62" spans="1:121" ht="14.4">
      <c r="A62" s="12" t="s">
        <v>61</v>
      </c>
      <c r="B62" s="5">
        <f>HLOOKUP($A62,ESCENARIO[#All],7,FALSE)</f>
        <v>975835004.41996431</v>
      </c>
      <c r="C62" s="5">
        <f>IF($B61&lt;=Tabla5[[#This Row],[INVERSIONES FCI]],+Tabla5[[#This Row],[INVERSIONES FCI]]-C61,Tabla5[[#This Row],[INVERSIONES FCI]])</f>
        <v>957482257.60113811</v>
      </c>
      <c r="D62" s="5">
        <f>IF($B61&lt;=Tabla5[[#This Row],[INVERSIONES FCI]],+Tabla5[[#This Row],[INVERSIONES FCI]]-D61,Tabla5[[#This Row],[INVERSIONES FCI]])</f>
        <v>957482257.60113811</v>
      </c>
      <c r="E62" s="5">
        <f>IF($B61&lt;=Tabla5[[#This Row],[INVERSIONES FCI]],+Tabla5[[#This Row],[INVERSIONES FCI]]-E61,Tabla5[[#This Row],[INVERSIONES FCI]])</f>
        <v>957482257.60113811</v>
      </c>
      <c r="F62" s="5">
        <f>IF($B61&lt;=Tabla5[[#This Row],[INVERSIONES FCI]],+Tabla5[[#This Row],[INVERSIONES FCI]]-F61,Tabla5[[#This Row],[INVERSIONES FCI]])</f>
        <v>957482257.60113811</v>
      </c>
      <c r="G62" s="5">
        <f>IF($B61&lt;=Tabla5[[#This Row],[INVERSIONES FCI]],+Tabla5[[#This Row],[INVERSIONES FCI]]-G61,Tabla5[[#This Row],[INVERSIONES FCI]])</f>
        <v>957482257.60113811</v>
      </c>
      <c r="H62" s="5">
        <f>IF($B61&lt;=Tabla5[[#This Row],[INVERSIONES FCI]],+Tabla5[[#This Row],[INVERSIONES FCI]]-H61,Tabla5[[#This Row],[INVERSIONES FCI]])</f>
        <v>957482257.60113811</v>
      </c>
      <c r="I62" s="5">
        <f>IF($B61&lt;=Tabla5[[#This Row],[INVERSIONES FCI]],+Tabla5[[#This Row],[INVERSIONES FCI]]-I61,Tabla5[[#This Row],[INVERSIONES FCI]])</f>
        <v>957482257.60113811</v>
      </c>
      <c r="J62" s="5">
        <f>IF($B61&lt;=Tabla5[[#This Row],[INVERSIONES FCI]],+Tabla5[[#This Row],[INVERSIONES FCI]]-J61,Tabla5[[#This Row],[INVERSIONES FCI]])</f>
        <v>957482257.60113811</v>
      </c>
      <c r="K62" s="5">
        <f>IF($B61&lt;=Tabla5[[#This Row],[INVERSIONES FCI]],+Tabla5[[#This Row],[INVERSIONES FCI]]-K61,Tabla5[[#This Row],[INVERSIONES FCI]])</f>
        <v>957482257.60113811</v>
      </c>
      <c r="L62" s="5">
        <f>IF($B61&lt;=Tabla5[[#This Row],[INVERSIONES FCI]],+Tabla5[[#This Row],[INVERSIONES FCI]]-L61,Tabla5[[#This Row],[INVERSIONES FCI]])</f>
        <v>957482257.60113811</v>
      </c>
      <c r="M62" s="5">
        <f>IF($B61&lt;=Tabla5[[#This Row],[INVERSIONES FCI]],+Tabla5[[#This Row],[INVERSIONES FCI]]-M61,Tabla5[[#This Row],[INVERSIONES FCI]])</f>
        <v>957482257.60113811</v>
      </c>
      <c r="N62" s="5">
        <f>IF($B61&lt;=Tabla5[[#This Row],[INVERSIONES FCI]],+Tabla5[[#This Row],[INVERSIONES FCI]]-N61,Tabla5[[#This Row],[INVERSIONES FCI]])</f>
        <v>957482257.60113811</v>
      </c>
      <c r="O62" s="5">
        <f>IF($B61&lt;=Tabla5[[#This Row],[INVERSIONES FCI]],+Tabla5[[#This Row],[INVERSIONES FCI]]-O61,Tabla5[[#This Row],[INVERSIONES FCI]])</f>
        <v>957482257.60113811</v>
      </c>
      <c r="P62" s="5">
        <f>IF($B61&lt;=Tabla5[[#This Row],[INVERSIONES FCI]],+Tabla5[[#This Row],[INVERSIONES FCI]]-P61,Tabla5[[#This Row],[INVERSIONES FCI]])</f>
        <v>957482257.60113811</v>
      </c>
      <c r="Q62" s="5">
        <f>IF($B61&lt;=Tabla5[[#This Row],[INVERSIONES FCI]],+Tabla5[[#This Row],[INVERSIONES FCI]]-Q61,Tabla5[[#This Row],[INVERSIONES FCI]])</f>
        <v>957482257.60113811</v>
      </c>
      <c r="R62" s="5">
        <f>IF($B61&lt;=Tabla5[[#This Row],[INVERSIONES FCI]],+Tabla5[[#This Row],[INVERSIONES FCI]]-R61,Tabla5[[#This Row],[INVERSIONES FCI]])</f>
        <v>957482257.60113811</v>
      </c>
      <c r="S62" s="5">
        <f>IF($B61&lt;=Tabla5[[#This Row],[INVERSIONES FCI]],+Tabla5[[#This Row],[INVERSIONES FCI]]-S61,Tabla5[[#This Row],[INVERSIONES FCI]])</f>
        <v>957482257.60113811</v>
      </c>
      <c r="T62" s="5">
        <f>IF($B61&lt;=Tabla5[[#This Row],[INVERSIONES FCI]],+Tabla5[[#This Row],[INVERSIONES FCI]]-T61,Tabla5[[#This Row],[INVERSIONES FCI]])</f>
        <v>957482257.60113811</v>
      </c>
      <c r="U62" s="5">
        <f>IF($B61&lt;=Tabla5[[#This Row],[INVERSIONES FCI]],+Tabla5[[#This Row],[INVERSIONES FCI]]-U61,Tabla5[[#This Row],[INVERSIONES FCI]])</f>
        <v>957482257.60113811</v>
      </c>
      <c r="V62" s="5">
        <f>IF($B61&lt;=Tabla5[[#This Row],[INVERSIONES FCI]],+Tabla5[[#This Row],[INVERSIONES FCI]]-V61,Tabla5[[#This Row],[INVERSIONES FCI]])</f>
        <v>957482257.60113811</v>
      </c>
      <c r="W62" s="5">
        <f>IF($B61&lt;=Tabla5[[#This Row],[INVERSIONES FCI]],+Tabla5[[#This Row],[INVERSIONES FCI]]-W61,Tabla5[[#This Row],[INVERSIONES FCI]])</f>
        <v>957482257.60113811</v>
      </c>
      <c r="X62" s="5">
        <f>IF($B61&lt;=Tabla5[[#This Row],[INVERSIONES FCI]],+Tabla5[[#This Row],[INVERSIONES FCI]]-X61,Tabla5[[#This Row],[INVERSIONES FCI]])</f>
        <v>957482257.60113811</v>
      </c>
      <c r="Y62" s="5">
        <f>IF($B61&lt;=Tabla5[[#This Row],[INVERSIONES FCI]],+Tabla5[[#This Row],[INVERSIONES FCI]]-Y61,Tabla5[[#This Row],[INVERSIONES FCI]])</f>
        <v>957482257.60113811</v>
      </c>
      <c r="Z62" s="5">
        <f>IF($B61&lt;=Tabla5[[#This Row],[INVERSIONES FCI]],+Tabla5[[#This Row],[INVERSIONES FCI]]-Z61,Tabla5[[#This Row],[INVERSIONES FCI]])</f>
        <v>957482257.60113811</v>
      </c>
      <c r="AA62" s="5">
        <f>IF($B61&lt;=Tabla5[[#This Row],[INVERSIONES FCI]],+Tabla5[[#This Row],[INVERSIONES FCI]]-AA61,Tabla5[[#This Row],[INVERSIONES FCI]])</f>
        <v>957482257.60113811</v>
      </c>
      <c r="AB62" s="5">
        <f>IF($B61&lt;=Tabla5[[#This Row],[INVERSIONES FCI]],+Tabla5[[#This Row],[INVERSIONES FCI]]-AB61,Tabla5[[#This Row],[INVERSIONES FCI]])</f>
        <v>957482257.60113811</v>
      </c>
      <c r="AC62" s="5">
        <f>IF($B61&lt;=Tabla5[[#This Row],[INVERSIONES FCI]],+Tabla5[[#This Row],[INVERSIONES FCI]]-AC61,Tabla5[[#This Row],[INVERSIONES FCI]])</f>
        <v>957482257.60113811</v>
      </c>
      <c r="AD62" s="5">
        <f>IF($B61&lt;=Tabla5[[#This Row],[INVERSIONES FCI]],+Tabla5[[#This Row],[INVERSIONES FCI]]-AD61,Tabla5[[#This Row],[INVERSIONES FCI]])</f>
        <v>957482257.60113811</v>
      </c>
      <c r="AE62" s="5">
        <f>IF($B61&lt;=Tabla5[[#This Row],[INVERSIONES FCI]],+Tabla5[[#This Row],[INVERSIONES FCI]]-AE61,Tabla5[[#This Row],[INVERSIONES FCI]])</f>
        <v>957482257.60113811</v>
      </c>
      <c r="AF62" s="5">
        <f>IF($B61&lt;=Tabla5[[#This Row],[INVERSIONES FCI]],+Tabla5[[#This Row],[INVERSIONES FCI]]-AF61,Tabla5[[#This Row],[INVERSIONES FCI]])</f>
        <v>957482257.60113811</v>
      </c>
      <c r="AG62" s="5">
        <f>IF($B61&lt;=Tabla5[[#This Row],[INVERSIONES FCI]],+Tabla5[[#This Row],[INVERSIONES FCI]]-AG61,Tabla5[[#This Row],[INVERSIONES FCI]])</f>
        <v>957482257.60113811</v>
      </c>
      <c r="AH62" s="5">
        <f>IF($B61&lt;=Tabla5[[#This Row],[INVERSIONES FCI]],+Tabla5[[#This Row],[INVERSIONES FCI]]-AH61,Tabla5[[#This Row],[INVERSIONES FCI]])</f>
        <v>957482257.60113811</v>
      </c>
      <c r="AI62" s="5">
        <f>IF($B61&lt;=Tabla5[[#This Row],[INVERSIONES FCI]],+Tabla5[[#This Row],[INVERSIONES FCI]]-AI61,Tabla5[[#This Row],[INVERSIONES FCI]])</f>
        <v>957482257.60113811</v>
      </c>
      <c r="AJ62" s="5">
        <f>IF($B61&lt;=Tabla5[[#This Row],[INVERSIONES FCI]],+Tabla5[[#This Row],[INVERSIONES FCI]]-AJ61,Tabla5[[#This Row],[INVERSIONES FCI]])</f>
        <v>957482257.60113811</v>
      </c>
      <c r="AK62" s="5">
        <f>IF($B61&lt;=Tabla5[[#This Row],[INVERSIONES FCI]],+Tabla5[[#This Row],[INVERSIONES FCI]]-AK61,Tabla5[[#This Row],[INVERSIONES FCI]])</f>
        <v>957482257.60113811</v>
      </c>
      <c r="AL62" s="5">
        <f>IF($B61&lt;=Tabla5[[#This Row],[INVERSIONES FCI]],+Tabla5[[#This Row],[INVERSIONES FCI]]-AL61,Tabla5[[#This Row],[INVERSIONES FCI]])</f>
        <v>957482257.60113811</v>
      </c>
      <c r="AM62" s="5">
        <f>IF($B61&lt;=Tabla5[[#This Row],[INVERSIONES FCI]],+Tabla5[[#This Row],[INVERSIONES FCI]]-AM61,Tabla5[[#This Row],[INVERSIONES FCI]])</f>
        <v>957482257.60113811</v>
      </c>
      <c r="AN62" s="5">
        <f>IF($B61&lt;=Tabla5[[#This Row],[INVERSIONES FCI]],+Tabla5[[#This Row],[INVERSIONES FCI]]-AN61,Tabla5[[#This Row],[INVERSIONES FCI]])</f>
        <v>957482257.60113811</v>
      </c>
      <c r="AO62" s="5">
        <f>IF($B61&lt;=Tabla5[[#This Row],[INVERSIONES FCI]],+Tabla5[[#This Row],[INVERSIONES FCI]]-AO61,Tabla5[[#This Row],[INVERSIONES FCI]])</f>
        <v>957482257.60113811</v>
      </c>
      <c r="AP62" s="5">
        <f>IF($B61&lt;=Tabla5[[#This Row],[INVERSIONES FCI]],+Tabla5[[#This Row],[INVERSIONES FCI]]-AP61,Tabla5[[#This Row],[INVERSIONES FCI]])</f>
        <v>957482257.60113811</v>
      </c>
      <c r="AQ62" s="5">
        <f>IF($B61&lt;=Tabla5[[#This Row],[INVERSIONES FCI]],+Tabla5[[#This Row],[INVERSIONES FCI]]-AQ61,Tabla5[[#This Row],[INVERSIONES FCI]])</f>
        <v>957482257.60113811</v>
      </c>
      <c r="AR62" s="5">
        <f>IF($B61&lt;=Tabla5[[#This Row],[INVERSIONES FCI]],+Tabla5[[#This Row],[INVERSIONES FCI]]-AR61,Tabla5[[#This Row],[INVERSIONES FCI]])</f>
        <v>957482257.60113811</v>
      </c>
      <c r="AS62" s="5">
        <f>IF($B61&lt;=Tabla5[[#This Row],[INVERSIONES FCI]],+Tabla5[[#This Row],[INVERSIONES FCI]]-AS61,Tabla5[[#This Row],[INVERSIONES FCI]])</f>
        <v>957482257.60113811</v>
      </c>
      <c r="AT62" s="5">
        <f>IF($B61&lt;=Tabla5[[#This Row],[INVERSIONES FCI]],+Tabla5[[#This Row],[INVERSIONES FCI]]-AT61,Tabla5[[#This Row],[INVERSIONES FCI]])</f>
        <v>957482257.60113811</v>
      </c>
      <c r="AU62" s="5">
        <f>IF($B61&lt;=Tabla5[[#This Row],[INVERSIONES FCI]],+Tabla5[[#This Row],[INVERSIONES FCI]]-AU61,Tabla5[[#This Row],[INVERSIONES FCI]])</f>
        <v>957482257.60113811</v>
      </c>
      <c r="AV62" s="5">
        <f>IF($B61&lt;=Tabla5[[#This Row],[INVERSIONES FCI]],+Tabla5[[#This Row],[INVERSIONES FCI]]-AV61,Tabla5[[#This Row],[INVERSIONES FCI]])</f>
        <v>957482257.60113811</v>
      </c>
      <c r="AW62" s="5">
        <f>IF($B61&lt;=Tabla5[[#This Row],[INVERSIONES FCI]],+Tabla5[[#This Row],[INVERSIONES FCI]]-AW61,Tabla5[[#This Row],[INVERSIONES FCI]])</f>
        <v>957482257.60113811</v>
      </c>
      <c r="AX62" s="5">
        <f>IF($B61&lt;=Tabla5[[#This Row],[INVERSIONES FCI]],+Tabla5[[#This Row],[INVERSIONES FCI]]-AX61,Tabla5[[#This Row],[INVERSIONES FCI]])</f>
        <v>957482257.60113811</v>
      </c>
      <c r="AY62" s="5">
        <f>IF($B61&lt;=Tabla5[[#This Row],[INVERSIONES FCI]],+Tabla5[[#This Row],[INVERSIONES FCI]]-AY61,Tabla5[[#This Row],[INVERSIONES FCI]])</f>
        <v>957482257.60113811</v>
      </c>
      <c r="AZ62" s="5">
        <f>IF($B61&lt;=Tabla5[[#This Row],[INVERSIONES FCI]],+Tabla5[[#This Row],[INVERSIONES FCI]]-AZ61,Tabla5[[#This Row],[INVERSIONES FCI]])</f>
        <v>957482257.60113811</v>
      </c>
      <c r="BA62" s="5">
        <f>IF($B61&lt;=Tabla5[[#This Row],[INVERSIONES FCI]],+Tabla5[[#This Row],[INVERSIONES FCI]]-BA61,Tabla5[[#This Row],[INVERSIONES FCI]])</f>
        <v>957482257.60113811</v>
      </c>
      <c r="BB62" s="5">
        <f>IF($B61&lt;=Tabla5[[#This Row],[INVERSIONES FCI]],+Tabla5[[#This Row],[INVERSIONES FCI]]-BB61,Tabla5[[#This Row],[INVERSIONES FCI]])</f>
        <v>957482257.60113811</v>
      </c>
      <c r="BC62" s="5">
        <f>IF($B61&lt;=Tabla5[[#This Row],[INVERSIONES FCI]],+Tabla5[[#This Row],[INVERSIONES FCI]]-BC61,Tabla5[[#This Row],[INVERSIONES FCI]])</f>
        <v>957482257.60113811</v>
      </c>
      <c r="BD62" s="5">
        <f>IF($B61&lt;=Tabla5[[#This Row],[INVERSIONES FCI]],+Tabla5[[#This Row],[INVERSIONES FCI]]-BD61,Tabla5[[#This Row],[INVERSIONES FCI]])</f>
        <v>957482257.60113811</v>
      </c>
      <c r="BE62" s="5">
        <f>IF($B61&lt;=Tabla5[[#This Row],[INVERSIONES FCI]],+Tabla5[[#This Row],[INVERSIONES FCI]]-BE61,Tabla5[[#This Row],[INVERSIONES FCI]])</f>
        <v>957482257.60113811</v>
      </c>
      <c r="BF62" s="5">
        <f>IF($B61&lt;=Tabla5[[#This Row],[INVERSIONES FCI]],+Tabla5[[#This Row],[INVERSIONES FCI]]-BF61,Tabla5[[#This Row],[INVERSIONES FCI]])</f>
        <v>957482257.60113811</v>
      </c>
      <c r="BG62" s="5">
        <f>IF($B61&lt;=Tabla5[[#This Row],[INVERSIONES FCI]],+Tabla5[[#This Row],[INVERSIONES FCI]]-BG61,Tabla5[[#This Row],[INVERSIONES FCI]])</f>
        <v>957482257.60113811</v>
      </c>
      <c r="BH62" s="5">
        <f>IF($B61&lt;=Tabla5[[#This Row],[INVERSIONES FCI]],+Tabla5[[#This Row],[INVERSIONES FCI]]-BH61,Tabla5[[#This Row],[INVERSIONES FCI]])</f>
        <v>957482257.60113811</v>
      </c>
      <c r="BI62" s="5">
        <f>IF($B61&lt;=Tabla5[[#This Row],[INVERSIONES FCI]],+Tabla5[[#This Row],[INVERSIONES FCI]]-BI61,Tabla5[[#This Row],[INVERSIONES FCI]])</f>
        <v>957482257.60113811</v>
      </c>
      <c r="BJ62" s="5">
        <f>IF($B61&lt;=Tabla5[[#This Row],[INVERSIONES FCI]],+Tabla5[[#This Row],[INVERSIONES FCI]]-BJ61,Tabla5[[#This Row],[INVERSIONES FCI]])</f>
        <v>957482257.60113811</v>
      </c>
      <c r="BK62" s="5" cm="1">
        <f t="array" ref="BK62">IF(Tabla5[[#This Row],[FCI]]=0,0,_xlfn.XLOOKUP(TRUE,$B62:BJ62&gt;0,$B62:BJ62,"",0,-1))</f>
        <v>957482257.60113811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</row>
    <row r="63" spans="1:121" ht="14.4">
      <c r="A63" s="12" t="s">
        <v>62</v>
      </c>
      <c r="B63" s="5">
        <f>HLOOKUP($A63,ESCENARIO[#All],7,FALSE)</f>
        <v>975835004.41996431</v>
      </c>
      <c r="C63" s="5">
        <f>IF($B62&lt;=Tabla5[[#This Row],[INVERSIONES FCI]],+Tabla5[[#This Row],[INVERSIONES FCI]]-C62,Tabla5[[#This Row],[INVERSIONES FCI]])</f>
        <v>18352746.818826199</v>
      </c>
      <c r="D63" s="5">
        <f>IF($B62&lt;=Tabla5[[#This Row],[INVERSIONES FCI]],+Tabla5[[#This Row],[INVERSIONES FCI]]-D62,Tabla5[[#This Row],[INVERSIONES FCI]])</f>
        <v>18352746.818826199</v>
      </c>
      <c r="E63" s="5">
        <f>IF($B62&lt;=Tabla5[[#This Row],[INVERSIONES FCI]],+Tabla5[[#This Row],[INVERSIONES FCI]]-E62,Tabla5[[#This Row],[INVERSIONES FCI]])</f>
        <v>18352746.818826199</v>
      </c>
      <c r="F63" s="5">
        <f>IF($B62&lt;=Tabla5[[#This Row],[INVERSIONES FCI]],+Tabla5[[#This Row],[INVERSIONES FCI]]-F62,Tabla5[[#This Row],[INVERSIONES FCI]])</f>
        <v>18352746.818826199</v>
      </c>
      <c r="G63" s="5">
        <f>IF($B62&lt;=Tabla5[[#This Row],[INVERSIONES FCI]],+Tabla5[[#This Row],[INVERSIONES FCI]]-G62,Tabla5[[#This Row],[INVERSIONES FCI]])</f>
        <v>18352746.818826199</v>
      </c>
      <c r="H63" s="5">
        <f>IF($B62&lt;=Tabla5[[#This Row],[INVERSIONES FCI]],+Tabla5[[#This Row],[INVERSIONES FCI]]-H62,Tabla5[[#This Row],[INVERSIONES FCI]])</f>
        <v>18352746.818826199</v>
      </c>
      <c r="I63" s="5">
        <f>IF($B62&lt;=Tabla5[[#This Row],[INVERSIONES FCI]],+Tabla5[[#This Row],[INVERSIONES FCI]]-I62,Tabla5[[#This Row],[INVERSIONES FCI]])</f>
        <v>18352746.818826199</v>
      </c>
      <c r="J63" s="5">
        <f>IF($B62&lt;=Tabla5[[#This Row],[INVERSIONES FCI]],+Tabla5[[#This Row],[INVERSIONES FCI]]-J62,Tabla5[[#This Row],[INVERSIONES FCI]])</f>
        <v>18352746.818826199</v>
      </c>
      <c r="K63" s="5">
        <f>IF($B62&lt;=Tabla5[[#This Row],[INVERSIONES FCI]],+Tabla5[[#This Row],[INVERSIONES FCI]]-K62,Tabla5[[#This Row],[INVERSIONES FCI]])</f>
        <v>18352746.818826199</v>
      </c>
      <c r="L63" s="5">
        <f>IF($B62&lt;=Tabla5[[#This Row],[INVERSIONES FCI]],+Tabla5[[#This Row],[INVERSIONES FCI]]-L62,Tabla5[[#This Row],[INVERSIONES FCI]])</f>
        <v>18352746.818826199</v>
      </c>
      <c r="M63" s="5">
        <f>IF($B62&lt;=Tabla5[[#This Row],[INVERSIONES FCI]],+Tabla5[[#This Row],[INVERSIONES FCI]]-M62,Tabla5[[#This Row],[INVERSIONES FCI]])</f>
        <v>18352746.818826199</v>
      </c>
      <c r="N63" s="5">
        <f>IF($B62&lt;=Tabla5[[#This Row],[INVERSIONES FCI]],+Tabla5[[#This Row],[INVERSIONES FCI]]-N62,Tabla5[[#This Row],[INVERSIONES FCI]])</f>
        <v>18352746.818826199</v>
      </c>
      <c r="O63" s="5">
        <f>IF($B62&lt;=Tabla5[[#This Row],[INVERSIONES FCI]],+Tabla5[[#This Row],[INVERSIONES FCI]]-O62,Tabla5[[#This Row],[INVERSIONES FCI]])</f>
        <v>18352746.818826199</v>
      </c>
      <c r="P63" s="5">
        <f>IF($B62&lt;=Tabla5[[#This Row],[INVERSIONES FCI]],+Tabla5[[#This Row],[INVERSIONES FCI]]-P62,Tabla5[[#This Row],[INVERSIONES FCI]])</f>
        <v>18352746.818826199</v>
      </c>
      <c r="Q63" s="5">
        <f>IF($B62&lt;=Tabla5[[#This Row],[INVERSIONES FCI]],+Tabla5[[#This Row],[INVERSIONES FCI]]-Q62,Tabla5[[#This Row],[INVERSIONES FCI]])</f>
        <v>18352746.818826199</v>
      </c>
      <c r="R63" s="5">
        <f>IF($B62&lt;=Tabla5[[#This Row],[INVERSIONES FCI]],+Tabla5[[#This Row],[INVERSIONES FCI]]-R62,Tabla5[[#This Row],[INVERSIONES FCI]])</f>
        <v>18352746.818826199</v>
      </c>
      <c r="S63" s="5">
        <f>IF($B62&lt;=Tabla5[[#This Row],[INVERSIONES FCI]],+Tabla5[[#This Row],[INVERSIONES FCI]]-S62,Tabla5[[#This Row],[INVERSIONES FCI]])</f>
        <v>18352746.818826199</v>
      </c>
      <c r="T63" s="5">
        <f>IF($B62&lt;=Tabla5[[#This Row],[INVERSIONES FCI]],+Tabla5[[#This Row],[INVERSIONES FCI]]-T62,Tabla5[[#This Row],[INVERSIONES FCI]])</f>
        <v>18352746.818826199</v>
      </c>
      <c r="U63" s="5">
        <f>IF($B62&lt;=Tabla5[[#This Row],[INVERSIONES FCI]],+Tabla5[[#This Row],[INVERSIONES FCI]]-U62,Tabla5[[#This Row],[INVERSIONES FCI]])</f>
        <v>18352746.818826199</v>
      </c>
      <c r="V63" s="5">
        <f>IF($B62&lt;=Tabla5[[#This Row],[INVERSIONES FCI]],+Tabla5[[#This Row],[INVERSIONES FCI]]-V62,Tabla5[[#This Row],[INVERSIONES FCI]])</f>
        <v>18352746.818826199</v>
      </c>
      <c r="W63" s="5">
        <f>IF($B62&lt;=Tabla5[[#This Row],[INVERSIONES FCI]],+Tabla5[[#This Row],[INVERSIONES FCI]]-W62,Tabla5[[#This Row],[INVERSIONES FCI]])</f>
        <v>18352746.818826199</v>
      </c>
      <c r="X63" s="5">
        <f>IF($B62&lt;=Tabla5[[#This Row],[INVERSIONES FCI]],+Tabla5[[#This Row],[INVERSIONES FCI]]-X62,Tabla5[[#This Row],[INVERSIONES FCI]])</f>
        <v>18352746.818826199</v>
      </c>
      <c r="Y63" s="5">
        <f>IF($B62&lt;=Tabla5[[#This Row],[INVERSIONES FCI]],+Tabla5[[#This Row],[INVERSIONES FCI]]-Y62,Tabla5[[#This Row],[INVERSIONES FCI]])</f>
        <v>18352746.818826199</v>
      </c>
      <c r="Z63" s="5">
        <f>IF($B62&lt;=Tabla5[[#This Row],[INVERSIONES FCI]],+Tabla5[[#This Row],[INVERSIONES FCI]]-Z62,Tabla5[[#This Row],[INVERSIONES FCI]])</f>
        <v>18352746.818826199</v>
      </c>
      <c r="AA63" s="5">
        <f>IF($B62&lt;=Tabla5[[#This Row],[INVERSIONES FCI]],+Tabla5[[#This Row],[INVERSIONES FCI]]-AA62,Tabla5[[#This Row],[INVERSIONES FCI]])</f>
        <v>18352746.818826199</v>
      </c>
      <c r="AB63" s="5">
        <f>IF($B62&lt;=Tabla5[[#This Row],[INVERSIONES FCI]],+Tabla5[[#This Row],[INVERSIONES FCI]]-AB62,Tabla5[[#This Row],[INVERSIONES FCI]])</f>
        <v>18352746.818826199</v>
      </c>
      <c r="AC63" s="5">
        <f>IF($B62&lt;=Tabla5[[#This Row],[INVERSIONES FCI]],+Tabla5[[#This Row],[INVERSIONES FCI]]-AC62,Tabla5[[#This Row],[INVERSIONES FCI]])</f>
        <v>18352746.818826199</v>
      </c>
      <c r="AD63" s="5">
        <f>IF($B62&lt;=Tabla5[[#This Row],[INVERSIONES FCI]],+Tabla5[[#This Row],[INVERSIONES FCI]]-AD62,Tabla5[[#This Row],[INVERSIONES FCI]])</f>
        <v>18352746.818826199</v>
      </c>
      <c r="AE63" s="5">
        <f>IF($B62&lt;=Tabla5[[#This Row],[INVERSIONES FCI]],+Tabla5[[#This Row],[INVERSIONES FCI]]-AE62,Tabla5[[#This Row],[INVERSIONES FCI]])</f>
        <v>18352746.818826199</v>
      </c>
      <c r="AF63" s="5">
        <f>IF($B62&lt;=Tabla5[[#This Row],[INVERSIONES FCI]],+Tabla5[[#This Row],[INVERSIONES FCI]]-AF62,Tabla5[[#This Row],[INVERSIONES FCI]])</f>
        <v>18352746.818826199</v>
      </c>
      <c r="AG63" s="5">
        <f>IF($B62&lt;=Tabla5[[#This Row],[INVERSIONES FCI]],+Tabla5[[#This Row],[INVERSIONES FCI]]-AG62,Tabla5[[#This Row],[INVERSIONES FCI]])</f>
        <v>18352746.818826199</v>
      </c>
      <c r="AH63" s="5">
        <f>IF($B62&lt;=Tabla5[[#This Row],[INVERSIONES FCI]],+Tabla5[[#This Row],[INVERSIONES FCI]]-AH62,Tabla5[[#This Row],[INVERSIONES FCI]])</f>
        <v>18352746.818826199</v>
      </c>
      <c r="AI63" s="5">
        <f>IF($B62&lt;=Tabla5[[#This Row],[INVERSIONES FCI]],+Tabla5[[#This Row],[INVERSIONES FCI]]-AI62,Tabla5[[#This Row],[INVERSIONES FCI]])</f>
        <v>18352746.818826199</v>
      </c>
      <c r="AJ63" s="5">
        <f>IF($B62&lt;=Tabla5[[#This Row],[INVERSIONES FCI]],+Tabla5[[#This Row],[INVERSIONES FCI]]-AJ62,Tabla5[[#This Row],[INVERSIONES FCI]])</f>
        <v>18352746.818826199</v>
      </c>
      <c r="AK63" s="5">
        <f>IF($B62&lt;=Tabla5[[#This Row],[INVERSIONES FCI]],+Tabla5[[#This Row],[INVERSIONES FCI]]-AK62,Tabla5[[#This Row],[INVERSIONES FCI]])</f>
        <v>18352746.818826199</v>
      </c>
      <c r="AL63" s="5">
        <f>IF($B62&lt;=Tabla5[[#This Row],[INVERSIONES FCI]],+Tabla5[[#This Row],[INVERSIONES FCI]]-AL62,Tabla5[[#This Row],[INVERSIONES FCI]])</f>
        <v>18352746.818826199</v>
      </c>
      <c r="AM63" s="5">
        <f>IF($B62&lt;=Tabla5[[#This Row],[INVERSIONES FCI]],+Tabla5[[#This Row],[INVERSIONES FCI]]-AM62,Tabla5[[#This Row],[INVERSIONES FCI]])</f>
        <v>18352746.818826199</v>
      </c>
      <c r="AN63" s="5">
        <f>IF($B62&lt;=Tabla5[[#This Row],[INVERSIONES FCI]],+Tabla5[[#This Row],[INVERSIONES FCI]]-AN62,Tabla5[[#This Row],[INVERSIONES FCI]])</f>
        <v>18352746.818826199</v>
      </c>
      <c r="AO63" s="5">
        <f>IF($B62&lt;=Tabla5[[#This Row],[INVERSIONES FCI]],+Tabla5[[#This Row],[INVERSIONES FCI]]-AO62,Tabla5[[#This Row],[INVERSIONES FCI]])</f>
        <v>18352746.818826199</v>
      </c>
      <c r="AP63" s="5">
        <f>IF($B62&lt;=Tabla5[[#This Row],[INVERSIONES FCI]],+Tabla5[[#This Row],[INVERSIONES FCI]]-AP62,Tabla5[[#This Row],[INVERSIONES FCI]])</f>
        <v>18352746.818826199</v>
      </c>
      <c r="AQ63" s="5">
        <f>IF($B62&lt;=Tabla5[[#This Row],[INVERSIONES FCI]],+Tabla5[[#This Row],[INVERSIONES FCI]]-AQ62,Tabla5[[#This Row],[INVERSIONES FCI]])</f>
        <v>18352746.818826199</v>
      </c>
      <c r="AR63" s="5">
        <f>IF($B62&lt;=Tabla5[[#This Row],[INVERSIONES FCI]],+Tabla5[[#This Row],[INVERSIONES FCI]]-AR62,Tabla5[[#This Row],[INVERSIONES FCI]])</f>
        <v>18352746.818826199</v>
      </c>
      <c r="AS63" s="5">
        <f>IF($B62&lt;=Tabla5[[#This Row],[INVERSIONES FCI]],+Tabla5[[#This Row],[INVERSIONES FCI]]-AS62,Tabla5[[#This Row],[INVERSIONES FCI]])</f>
        <v>18352746.818826199</v>
      </c>
      <c r="AT63" s="5">
        <f>IF($B62&lt;=Tabla5[[#This Row],[INVERSIONES FCI]],+Tabla5[[#This Row],[INVERSIONES FCI]]-AT62,Tabla5[[#This Row],[INVERSIONES FCI]])</f>
        <v>18352746.818826199</v>
      </c>
      <c r="AU63" s="5">
        <f>IF($B62&lt;=Tabla5[[#This Row],[INVERSIONES FCI]],+Tabla5[[#This Row],[INVERSIONES FCI]]-AU62,Tabla5[[#This Row],[INVERSIONES FCI]])</f>
        <v>18352746.818826199</v>
      </c>
      <c r="AV63" s="5">
        <f>IF($B62&lt;=Tabla5[[#This Row],[INVERSIONES FCI]],+Tabla5[[#This Row],[INVERSIONES FCI]]-AV62,Tabla5[[#This Row],[INVERSIONES FCI]])</f>
        <v>18352746.818826199</v>
      </c>
      <c r="AW63" s="5">
        <f>IF($B62&lt;=Tabla5[[#This Row],[INVERSIONES FCI]],+Tabla5[[#This Row],[INVERSIONES FCI]]-AW62,Tabla5[[#This Row],[INVERSIONES FCI]])</f>
        <v>18352746.818826199</v>
      </c>
      <c r="AX63" s="5">
        <f>IF($B62&lt;=Tabla5[[#This Row],[INVERSIONES FCI]],+Tabla5[[#This Row],[INVERSIONES FCI]]-AX62,Tabla5[[#This Row],[INVERSIONES FCI]])</f>
        <v>18352746.818826199</v>
      </c>
      <c r="AY63" s="5">
        <f>IF($B62&lt;=Tabla5[[#This Row],[INVERSIONES FCI]],+Tabla5[[#This Row],[INVERSIONES FCI]]-AY62,Tabla5[[#This Row],[INVERSIONES FCI]])</f>
        <v>18352746.818826199</v>
      </c>
      <c r="AZ63" s="5">
        <f>IF($B62&lt;=Tabla5[[#This Row],[INVERSIONES FCI]],+Tabla5[[#This Row],[INVERSIONES FCI]]-AZ62,Tabla5[[#This Row],[INVERSIONES FCI]])</f>
        <v>18352746.818826199</v>
      </c>
      <c r="BA63" s="5">
        <f>IF($B62&lt;=Tabla5[[#This Row],[INVERSIONES FCI]],+Tabla5[[#This Row],[INVERSIONES FCI]]-BA62,Tabla5[[#This Row],[INVERSIONES FCI]])</f>
        <v>18352746.818826199</v>
      </c>
      <c r="BB63" s="5">
        <f>IF($B62&lt;=Tabla5[[#This Row],[INVERSIONES FCI]],+Tabla5[[#This Row],[INVERSIONES FCI]]-BB62,Tabla5[[#This Row],[INVERSIONES FCI]])</f>
        <v>18352746.818826199</v>
      </c>
      <c r="BC63" s="5">
        <f>IF($B62&lt;=Tabla5[[#This Row],[INVERSIONES FCI]],+Tabla5[[#This Row],[INVERSIONES FCI]]-BC62,Tabla5[[#This Row],[INVERSIONES FCI]])</f>
        <v>18352746.818826199</v>
      </c>
      <c r="BD63" s="5">
        <f>IF($B62&lt;=Tabla5[[#This Row],[INVERSIONES FCI]],+Tabla5[[#This Row],[INVERSIONES FCI]]-BD62,Tabla5[[#This Row],[INVERSIONES FCI]])</f>
        <v>18352746.818826199</v>
      </c>
      <c r="BE63" s="5">
        <f>IF($B62&lt;=Tabla5[[#This Row],[INVERSIONES FCI]],+Tabla5[[#This Row],[INVERSIONES FCI]]-BE62,Tabla5[[#This Row],[INVERSIONES FCI]])</f>
        <v>18352746.818826199</v>
      </c>
      <c r="BF63" s="5">
        <f>IF($B62&lt;=Tabla5[[#This Row],[INVERSIONES FCI]],+Tabla5[[#This Row],[INVERSIONES FCI]]-BF62,Tabla5[[#This Row],[INVERSIONES FCI]])</f>
        <v>18352746.818826199</v>
      </c>
      <c r="BG63" s="5">
        <f>IF($B62&lt;=Tabla5[[#This Row],[INVERSIONES FCI]],+Tabla5[[#This Row],[INVERSIONES FCI]]-BG62,Tabla5[[#This Row],[INVERSIONES FCI]])</f>
        <v>18352746.818826199</v>
      </c>
      <c r="BH63" s="5">
        <f>IF($B62&lt;=Tabla5[[#This Row],[INVERSIONES FCI]],+Tabla5[[#This Row],[INVERSIONES FCI]]-BH62,Tabla5[[#This Row],[INVERSIONES FCI]])</f>
        <v>18352746.818826199</v>
      </c>
      <c r="BI63" s="5">
        <f>IF($B62&lt;=Tabla5[[#This Row],[INVERSIONES FCI]],+Tabla5[[#This Row],[INVERSIONES FCI]]-BI62,Tabla5[[#This Row],[INVERSIONES FCI]])</f>
        <v>18352746.818826199</v>
      </c>
      <c r="BJ63" s="5">
        <f>IF($B62&lt;=Tabla5[[#This Row],[INVERSIONES FCI]],+Tabla5[[#This Row],[INVERSIONES FCI]]-BJ62,Tabla5[[#This Row],[INVERSIONES FCI]])</f>
        <v>18352746.818826199</v>
      </c>
      <c r="BK63" s="5">
        <f>IF($B62&lt;=Tabla5[[#This Row],[INVERSIONES FCI]],+Tabla5[[#This Row],[INVERSIONES FCI]]-BK62,Tabla5[[#This Row],[INVERSIONES FCI]])</f>
        <v>18352746.818826199</v>
      </c>
      <c r="BL63" s="5" cm="1">
        <f t="array" ref="BL63">IF(Tabla5[[#This Row],[FCI]]=0,0,_xlfn.XLOOKUP(TRUE,$B63:BK63&gt;0,$B63:BK63,"",0,-1))</f>
        <v>18352746.818826199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</row>
    <row r="64" spans="1:121" ht="14.4">
      <c r="A64" s="12" t="s">
        <v>63</v>
      </c>
      <c r="B64" s="5">
        <f>HLOOKUP($A64,ESCENARIO[#All],7,FALSE)</f>
        <v>975835004.41996431</v>
      </c>
      <c r="C64" s="5">
        <f>IF($B63&lt;=Tabla5[[#This Row],[INVERSIONES FCI]],+Tabla5[[#This Row],[INVERSIONES FCI]]-C63,Tabla5[[#This Row],[INVERSIONES FCI]])</f>
        <v>957482257.60113811</v>
      </c>
      <c r="D64" s="5">
        <f>IF($B63&lt;=Tabla5[[#This Row],[INVERSIONES FCI]],+Tabla5[[#This Row],[INVERSIONES FCI]]-D63,Tabla5[[#This Row],[INVERSIONES FCI]])</f>
        <v>957482257.60113811</v>
      </c>
      <c r="E64" s="5">
        <f>IF($B63&lt;=Tabla5[[#This Row],[INVERSIONES FCI]],+Tabla5[[#This Row],[INVERSIONES FCI]]-E63,Tabla5[[#This Row],[INVERSIONES FCI]])</f>
        <v>957482257.60113811</v>
      </c>
      <c r="F64" s="5">
        <f>IF($B63&lt;=Tabla5[[#This Row],[INVERSIONES FCI]],+Tabla5[[#This Row],[INVERSIONES FCI]]-F63,Tabla5[[#This Row],[INVERSIONES FCI]])</f>
        <v>957482257.60113811</v>
      </c>
      <c r="G64" s="5">
        <f>IF($B63&lt;=Tabla5[[#This Row],[INVERSIONES FCI]],+Tabla5[[#This Row],[INVERSIONES FCI]]-G63,Tabla5[[#This Row],[INVERSIONES FCI]])</f>
        <v>957482257.60113811</v>
      </c>
      <c r="H64" s="5">
        <f>IF($B63&lt;=Tabla5[[#This Row],[INVERSIONES FCI]],+Tabla5[[#This Row],[INVERSIONES FCI]]-H63,Tabla5[[#This Row],[INVERSIONES FCI]])</f>
        <v>957482257.60113811</v>
      </c>
      <c r="I64" s="5">
        <f>IF($B63&lt;=Tabla5[[#This Row],[INVERSIONES FCI]],+Tabla5[[#This Row],[INVERSIONES FCI]]-I63,Tabla5[[#This Row],[INVERSIONES FCI]])</f>
        <v>957482257.60113811</v>
      </c>
      <c r="J64" s="5">
        <f>IF($B63&lt;=Tabla5[[#This Row],[INVERSIONES FCI]],+Tabla5[[#This Row],[INVERSIONES FCI]]-J63,Tabla5[[#This Row],[INVERSIONES FCI]])</f>
        <v>957482257.60113811</v>
      </c>
      <c r="K64" s="5">
        <f>IF($B63&lt;=Tabla5[[#This Row],[INVERSIONES FCI]],+Tabla5[[#This Row],[INVERSIONES FCI]]-K63,Tabla5[[#This Row],[INVERSIONES FCI]])</f>
        <v>957482257.60113811</v>
      </c>
      <c r="L64" s="5">
        <f>IF($B63&lt;=Tabla5[[#This Row],[INVERSIONES FCI]],+Tabla5[[#This Row],[INVERSIONES FCI]]-L63,Tabla5[[#This Row],[INVERSIONES FCI]])</f>
        <v>957482257.60113811</v>
      </c>
      <c r="M64" s="5">
        <f>IF($B63&lt;=Tabla5[[#This Row],[INVERSIONES FCI]],+Tabla5[[#This Row],[INVERSIONES FCI]]-M63,Tabla5[[#This Row],[INVERSIONES FCI]])</f>
        <v>957482257.60113811</v>
      </c>
      <c r="N64" s="5">
        <f>IF($B63&lt;=Tabla5[[#This Row],[INVERSIONES FCI]],+Tabla5[[#This Row],[INVERSIONES FCI]]-N63,Tabla5[[#This Row],[INVERSIONES FCI]])</f>
        <v>957482257.60113811</v>
      </c>
      <c r="O64" s="5">
        <f>IF($B63&lt;=Tabla5[[#This Row],[INVERSIONES FCI]],+Tabla5[[#This Row],[INVERSIONES FCI]]-O63,Tabla5[[#This Row],[INVERSIONES FCI]])</f>
        <v>957482257.60113811</v>
      </c>
      <c r="P64" s="5">
        <f>IF($B63&lt;=Tabla5[[#This Row],[INVERSIONES FCI]],+Tabla5[[#This Row],[INVERSIONES FCI]]-P63,Tabla5[[#This Row],[INVERSIONES FCI]])</f>
        <v>957482257.60113811</v>
      </c>
      <c r="Q64" s="5">
        <f>IF($B63&lt;=Tabla5[[#This Row],[INVERSIONES FCI]],+Tabla5[[#This Row],[INVERSIONES FCI]]-Q63,Tabla5[[#This Row],[INVERSIONES FCI]])</f>
        <v>957482257.60113811</v>
      </c>
      <c r="R64" s="5">
        <f>IF($B63&lt;=Tabla5[[#This Row],[INVERSIONES FCI]],+Tabla5[[#This Row],[INVERSIONES FCI]]-R63,Tabla5[[#This Row],[INVERSIONES FCI]])</f>
        <v>957482257.60113811</v>
      </c>
      <c r="S64" s="5">
        <f>IF($B63&lt;=Tabla5[[#This Row],[INVERSIONES FCI]],+Tabla5[[#This Row],[INVERSIONES FCI]]-S63,Tabla5[[#This Row],[INVERSIONES FCI]])</f>
        <v>957482257.60113811</v>
      </c>
      <c r="T64" s="5">
        <f>IF($B63&lt;=Tabla5[[#This Row],[INVERSIONES FCI]],+Tabla5[[#This Row],[INVERSIONES FCI]]-T63,Tabla5[[#This Row],[INVERSIONES FCI]])</f>
        <v>957482257.60113811</v>
      </c>
      <c r="U64" s="5">
        <f>IF($B63&lt;=Tabla5[[#This Row],[INVERSIONES FCI]],+Tabla5[[#This Row],[INVERSIONES FCI]]-U63,Tabla5[[#This Row],[INVERSIONES FCI]])</f>
        <v>957482257.60113811</v>
      </c>
      <c r="V64" s="5">
        <f>IF($B63&lt;=Tabla5[[#This Row],[INVERSIONES FCI]],+Tabla5[[#This Row],[INVERSIONES FCI]]-V63,Tabla5[[#This Row],[INVERSIONES FCI]])</f>
        <v>957482257.60113811</v>
      </c>
      <c r="W64" s="5">
        <f>IF($B63&lt;=Tabla5[[#This Row],[INVERSIONES FCI]],+Tabla5[[#This Row],[INVERSIONES FCI]]-W63,Tabla5[[#This Row],[INVERSIONES FCI]])</f>
        <v>957482257.60113811</v>
      </c>
      <c r="X64" s="5">
        <f>IF($B63&lt;=Tabla5[[#This Row],[INVERSIONES FCI]],+Tabla5[[#This Row],[INVERSIONES FCI]]-X63,Tabla5[[#This Row],[INVERSIONES FCI]])</f>
        <v>957482257.60113811</v>
      </c>
      <c r="Y64" s="5">
        <f>IF($B63&lt;=Tabla5[[#This Row],[INVERSIONES FCI]],+Tabla5[[#This Row],[INVERSIONES FCI]]-Y63,Tabla5[[#This Row],[INVERSIONES FCI]])</f>
        <v>957482257.60113811</v>
      </c>
      <c r="Z64" s="5">
        <f>IF($B63&lt;=Tabla5[[#This Row],[INVERSIONES FCI]],+Tabla5[[#This Row],[INVERSIONES FCI]]-Z63,Tabla5[[#This Row],[INVERSIONES FCI]])</f>
        <v>957482257.60113811</v>
      </c>
      <c r="AA64" s="5">
        <f>IF($B63&lt;=Tabla5[[#This Row],[INVERSIONES FCI]],+Tabla5[[#This Row],[INVERSIONES FCI]]-AA63,Tabla5[[#This Row],[INVERSIONES FCI]])</f>
        <v>957482257.60113811</v>
      </c>
      <c r="AB64" s="5">
        <f>IF($B63&lt;=Tabla5[[#This Row],[INVERSIONES FCI]],+Tabla5[[#This Row],[INVERSIONES FCI]]-AB63,Tabla5[[#This Row],[INVERSIONES FCI]])</f>
        <v>957482257.60113811</v>
      </c>
      <c r="AC64" s="5">
        <f>IF($B63&lt;=Tabla5[[#This Row],[INVERSIONES FCI]],+Tabla5[[#This Row],[INVERSIONES FCI]]-AC63,Tabla5[[#This Row],[INVERSIONES FCI]])</f>
        <v>957482257.60113811</v>
      </c>
      <c r="AD64" s="5">
        <f>IF($B63&lt;=Tabla5[[#This Row],[INVERSIONES FCI]],+Tabla5[[#This Row],[INVERSIONES FCI]]-AD63,Tabla5[[#This Row],[INVERSIONES FCI]])</f>
        <v>957482257.60113811</v>
      </c>
      <c r="AE64" s="5">
        <f>IF($B63&lt;=Tabla5[[#This Row],[INVERSIONES FCI]],+Tabla5[[#This Row],[INVERSIONES FCI]]-AE63,Tabla5[[#This Row],[INVERSIONES FCI]])</f>
        <v>957482257.60113811</v>
      </c>
      <c r="AF64" s="5">
        <f>IF($B63&lt;=Tabla5[[#This Row],[INVERSIONES FCI]],+Tabla5[[#This Row],[INVERSIONES FCI]]-AF63,Tabla5[[#This Row],[INVERSIONES FCI]])</f>
        <v>957482257.60113811</v>
      </c>
      <c r="AG64" s="5">
        <f>IF($B63&lt;=Tabla5[[#This Row],[INVERSIONES FCI]],+Tabla5[[#This Row],[INVERSIONES FCI]]-AG63,Tabla5[[#This Row],[INVERSIONES FCI]])</f>
        <v>957482257.60113811</v>
      </c>
      <c r="AH64" s="5">
        <f>IF($B63&lt;=Tabla5[[#This Row],[INVERSIONES FCI]],+Tabla5[[#This Row],[INVERSIONES FCI]]-AH63,Tabla5[[#This Row],[INVERSIONES FCI]])</f>
        <v>957482257.60113811</v>
      </c>
      <c r="AI64" s="5">
        <f>IF($B63&lt;=Tabla5[[#This Row],[INVERSIONES FCI]],+Tabla5[[#This Row],[INVERSIONES FCI]]-AI63,Tabla5[[#This Row],[INVERSIONES FCI]])</f>
        <v>957482257.60113811</v>
      </c>
      <c r="AJ64" s="5">
        <f>IF($B63&lt;=Tabla5[[#This Row],[INVERSIONES FCI]],+Tabla5[[#This Row],[INVERSIONES FCI]]-AJ63,Tabla5[[#This Row],[INVERSIONES FCI]])</f>
        <v>957482257.60113811</v>
      </c>
      <c r="AK64" s="5">
        <f>IF($B63&lt;=Tabla5[[#This Row],[INVERSIONES FCI]],+Tabla5[[#This Row],[INVERSIONES FCI]]-AK63,Tabla5[[#This Row],[INVERSIONES FCI]])</f>
        <v>957482257.60113811</v>
      </c>
      <c r="AL64" s="5">
        <f>IF($B63&lt;=Tabla5[[#This Row],[INVERSIONES FCI]],+Tabla5[[#This Row],[INVERSIONES FCI]]-AL63,Tabla5[[#This Row],[INVERSIONES FCI]])</f>
        <v>957482257.60113811</v>
      </c>
      <c r="AM64" s="5">
        <f>IF($B63&lt;=Tabla5[[#This Row],[INVERSIONES FCI]],+Tabla5[[#This Row],[INVERSIONES FCI]]-AM63,Tabla5[[#This Row],[INVERSIONES FCI]])</f>
        <v>957482257.60113811</v>
      </c>
      <c r="AN64" s="5">
        <f>IF($B63&lt;=Tabla5[[#This Row],[INVERSIONES FCI]],+Tabla5[[#This Row],[INVERSIONES FCI]]-AN63,Tabla5[[#This Row],[INVERSIONES FCI]])</f>
        <v>957482257.60113811</v>
      </c>
      <c r="AO64" s="5">
        <f>IF($B63&lt;=Tabla5[[#This Row],[INVERSIONES FCI]],+Tabla5[[#This Row],[INVERSIONES FCI]]-AO63,Tabla5[[#This Row],[INVERSIONES FCI]])</f>
        <v>957482257.60113811</v>
      </c>
      <c r="AP64" s="5">
        <f>IF($B63&lt;=Tabla5[[#This Row],[INVERSIONES FCI]],+Tabla5[[#This Row],[INVERSIONES FCI]]-AP63,Tabla5[[#This Row],[INVERSIONES FCI]])</f>
        <v>957482257.60113811</v>
      </c>
      <c r="AQ64" s="5">
        <f>IF($B63&lt;=Tabla5[[#This Row],[INVERSIONES FCI]],+Tabla5[[#This Row],[INVERSIONES FCI]]-AQ63,Tabla5[[#This Row],[INVERSIONES FCI]])</f>
        <v>957482257.60113811</v>
      </c>
      <c r="AR64" s="5">
        <f>IF($B63&lt;=Tabla5[[#This Row],[INVERSIONES FCI]],+Tabla5[[#This Row],[INVERSIONES FCI]]-AR63,Tabla5[[#This Row],[INVERSIONES FCI]])</f>
        <v>957482257.60113811</v>
      </c>
      <c r="AS64" s="5">
        <f>IF($B63&lt;=Tabla5[[#This Row],[INVERSIONES FCI]],+Tabla5[[#This Row],[INVERSIONES FCI]]-AS63,Tabla5[[#This Row],[INVERSIONES FCI]])</f>
        <v>957482257.60113811</v>
      </c>
      <c r="AT64" s="5">
        <f>IF($B63&lt;=Tabla5[[#This Row],[INVERSIONES FCI]],+Tabla5[[#This Row],[INVERSIONES FCI]]-AT63,Tabla5[[#This Row],[INVERSIONES FCI]])</f>
        <v>957482257.60113811</v>
      </c>
      <c r="AU64" s="5">
        <f>IF($B63&lt;=Tabla5[[#This Row],[INVERSIONES FCI]],+Tabla5[[#This Row],[INVERSIONES FCI]]-AU63,Tabla5[[#This Row],[INVERSIONES FCI]])</f>
        <v>957482257.60113811</v>
      </c>
      <c r="AV64" s="5">
        <f>IF($B63&lt;=Tabla5[[#This Row],[INVERSIONES FCI]],+Tabla5[[#This Row],[INVERSIONES FCI]]-AV63,Tabla5[[#This Row],[INVERSIONES FCI]])</f>
        <v>957482257.60113811</v>
      </c>
      <c r="AW64" s="5">
        <f>IF($B63&lt;=Tabla5[[#This Row],[INVERSIONES FCI]],+Tabla5[[#This Row],[INVERSIONES FCI]]-AW63,Tabla5[[#This Row],[INVERSIONES FCI]])</f>
        <v>957482257.60113811</v>
      </c>
      <c r="AX64" s="5">
        <f>IF($B63&lt;=Tabla5[[#This Row],[INVERSIONES FCI]],+Tabla5[[#This Row],[INVERSIONES FCI]]-AX63,Tabla5[[#This Row],[INVERSIONES FCI]])</f>
        <v>957482257.60113811</v>
      </c>
      <c r="AY64" s="5">
        <f>IF($B63&lt;=Tabla5[[#This Row],[INVERSIONES FCI]],+Tabla5[[#This Row],[INVERSIONES FCI]]-AY63,Tabla5[[#This Row],[INVERSIONES FCI]])</f>
        <v>957482257.60113811</v>
      </c>
      <c r="AZ64" s="5">
        <f>IF($B63&lt;=Tabla5[[#This Row],[INVERSIONES FCI]],+Tabla5[[#This Row],[INVERSIONES FCI]]-AZ63,Tabla5[[#This Row],[INVERSIONES FCI]])</f>
        <v>957482257.60113811</v>
      </c>
      <c r="BA64" s="5">
        <f>IF($B63&lt;=Tabla5[[#This Row],[INVERSIONES FCI]],+Tabla5[[#This Row],[INVERSIONES FCI]]-BA63,Tabla5[[#This Row],[INVERSIONES FCI]])</f>
        <v>957482257.60113811</v>
      </c>
      <c r="BB64" s="5">
        <f>IF($B63&lt;=Tabla5[[#This Row],[INVERSIONES FCI]],+Tabla5[[#This Row],[INVERSIONES FCI]]-BB63,Tabla5[[#This Row],[INVERSIONES FCI]])</f>
        <v>957482257.60113811</v>
      </c>
      <c r="BC64" s="5">
        <f>IF($B63&lt;=Tabla5[[#This Row],[INVERSIONES FCI]],+Tabla5[[#This Row],[INVERSIONES FCI]]-BC63,Tabla5[[#This Row],[INVERSIONES FCI]])</f>
        <v>957482257.60113811</v>
      </c>
      <c r="BD64" s="5">
        <f>IF($B63&lt;=Tabla5[[#This Row],[INVERSIONES FCI]],+Tabla5[[#This Row],[INVERSIONES FCI]]-BD63,Tabla5[[#This Row],[INVERSIONES FCI]])</f>
        <v>957482257.60113811</v>
      </c>
      <c r="BE64" s="5">
        <f>IF($B63&lt;=Tabla5[[#This Row],[INVERSIONES FCI]],+Tabla5[[#This Row],[INVERSIONES FCI]]-BE63,Tabla5[[#This Row],[INVERSIONES FCI]])</f>
        <v>957482257.60113811</v>
      </c>
      <c r="BF64" s="5">
        <f>IF($B63&lt;=Tabla5[[#This Row],[INVERSIONES FCI]],+Tabla5[[#This Row],[INVERSIONES FCI]]-BF63,Tabla5[[#This Row],[INVERSIONES FCI]])</f>
        <v>957482257.60113811</v>
      </c>
      <c r="BG64" s="5">
        <f>IF($B63&lt;=Tabla5[[#This Row],[INVERSIONES FCI]],+Tabla5[[#This Row],[INVERSIONES FCI]]-BG63,Tabla5[[#This Row],[INVERSIONES FCI]])</f>
        <v>957482257.60113811</v>
      </c>
      <c r="BH64" s="5">
        <f>IF($B63&lt;=Tabla5[[#This Row],[INVERSIONES FCI]],+Tabla5[[#This Row],[INVERSIONES FCI]]-BH63,Tabla5[[#This Row],[INVERSIONES FCI]])</f>
        <v>957482257.60113811</v>
      </c>
      <c r="BI64" s="5">
        <f>IF($B63&lt;=Tabla5[[#This Row],[INVERSIONES FCI]],+Tabla5[[#This Row],[INVERSIONES FCI]]-BI63,Tabla5[[#This Row],[INVERSIONES FCI]])</f>
        <v>957482257.60113811</v>
      </c>
      <c r="BJ64" s="5">
        <f>IF($B63&lt;=Tabla5[[#This Row],[INVERSIONES FCI]],+Tabla5[[#This Row],[INVERSIONES FCI]]-BJ63,Tabla5[[#This Row],[INVERSIONES FCI]])</f>
        <v>957482257.60113811</v>
      </c>
      <c r="BK64" s="5">
        <f>IF($B63&lt;=Tabla5[[#This Row],[INVERSIONES FCI]],+Tabla5[[#This Row],[INVERSIONES FCI]]-BK63,Tabla5[[#This Row],[INVERSIONES FCI]])</f>
        <v>957482257.60113811</v>
      </c>
      <c r="BL64" s="5">
        <f>IF($B63&lt;=Tabla5[[#This Row],[INVERSIONES FCI]],+Tabla5[[#This Row],[INVERSIONES FCI]]-BL63,Tabla5[[#This Row],[INVERSIONES FCI]])</f>
        <v>957482257.60113811</v>
      </c>
      <c r="BM64" s="5" cm="1">
        <f t="array" ref="BM64">IF(Tabla5[[#This Row],[FCI]]=0,0,_xlfn.XLOOKUP(TRUE,$B64:BL64&gt;0,$B64:BL64,"",0,-1))</f>
        <v>957482257.60113811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</row>
    <row r="65" spans="1:121" ht="14.4">
      <c r="A65" s="12" t="s">
        <v>64</v>
      </c>
      <c r="B65" s="5">
        <f>HLOOKUP($A65,ESCENARIO[#All],7,FALSE)</f>
        <v>975835004.41996431</v>
      </c>
      <c r="C65" s="5">
        <f>IF($B64&lt;=Tabla5[[#This Row],[INVERSIONES FCI]],+Tabla5[[#This Row],[INVERSIONES FCI]]-C64,Tabla5[[#This Row],[INVERSIONES FCI]])</f>
        <v>18352746.818826199</v>
      </c>
      <c r="D65" s="5">
        <f>IF($B64&lt;=Tabla5[[#This Row],[INVERSIONES FCI]],+Tabla5[[#This Row],[INVERSIONES FCI]]-D64,Tabla5[[#This Row],[INVERSIONES FCI]])</f>
        <v>18352746.818826199</v>
      </c>
      <c r="E65" s="5">
        <f>IF($B64&lt;=Tabla5[[#This Row],[INVERSIONES FCI]],+Tabla5[[#This Row],[INVERSIONES FCI]]-E64,Tabla5[[#This Row],[INVERSIONES FCI]])</f>
        <v>18352746.818826199</v>
      </c>
      <c r="F65" s="5">
        <f>IF($B64&lt;=Tabla5[[#This Row],[INVERSIONES FCI]],+Tabla5[[#This Row],[INVERSIONES FCI]]-F64,Tabla5[[#This Row],[INVERSIONES FCI]])</f>
        <v>18352746.818826199</v>
      </c>
      <c r="G65" s="5">
        <f>IF($B64&lt;=Tabla5[[#This Row],[INVERSIONES FCI]],+Tabla5[[#This Row],[INVERSIONES FCI]]-G64,Tabla5[[#This Row],[INVERSIONES FCI]])</f>
        <v>18352746.818826199</v>
      </c>
      <c r="H65" s="5">
        <f>IF($B64&lt;=Tabla5[[#This Row],[INVERSIONES FCI]],+Tabla5[[#This Row],[INVERSIONES FCI]]-H64,Tabla5[[#This Row],[INVERSIONES FCI]])</f>
        <v>18352746.818826199</v>
      </c>
      <c r="I65" s="5">
        <f>IF($B64&lt;=Tabla5[[#This Row],[INVERSIONES FCI]],+Tabla5[[#This Row],[INVERSIONES FCI]]-I64,Tabla5[[#This Row],[INVERSIONES FCI]])</f>
        <v>18352746.818826199</v>
      </c>
      <c r="J65" s="5">
        <f>IF($B64&lt;=Tabla5[[#This Row],[INVERSIONES FCI]],+Tabla5[[#This Row],[INVERSIONES FCI]]-J64,Tabla5[[#This Row],[INVERSIONES FCI]])</f>
        <v>18352746.818826199</v>
      </c>
      <c r="K65" s="5">
        <f>IF($B64&lt;=Tabla5[[#This Row],[INVERSIONES FCI]],+Tabla5[[#This Row],[INVERSIONES FCI]]-K64,Tabla5[[#This Row],[INVERSIONES FCI]])</f>
        <v>18352746.818826199</v>
      </c>
      <c r="L65" s="5">
        <f>IF($B64&lt;=Tabla5[[#This Row],[INVERSIONES FCI]],+Tabla5[[#This Row],[INVERSIONES FCI]]-L64,Tabla5[[#This Row],[INVERSIONES FCI]])</f>
        <v>18352746.818826199</v>
      </c>
      <c r="M65" s="5">
        <f>IF($B64&lt;=Tabla5[[#This Row],[INVERSIONES FCI]],+Tabla5[[#This Row],[INVERSIONES FCI]]-M64,Tabla5[[#This Row],[INVERSIONES FCI]])</f>
        <v>18352746.818826199</v>
      </c>
      <c r="N65" s="5">
        <f>IF($B64&lt;=Tabla5[[#This Row],[INVERSIONES FCI]],+Tabla5[[#This Row],[INVERSIONES FCI]]-N64,Tabla5[[#This Row],[INVERSIONES FCI]])</f>
        <v>18352746.818826199</v>
      </c>
      <c r="O65" s="5">
        <f>IF($B64&lt;=Tabla5[[#This Row],[INVERSIONES FCI]],+Tabla5[[#This Row],[INVERSIONES FCI]]-O64,Tabla5[[#This Row],[INVERSIONES FCI]])</f>
        <v>18352746.818826199</v>
      </c>
      <c r="P65" s="5">
        <f>IF($B64&lt;=Tabla5[[#This Row],[INVERSIONES FCI]],+Tabla5[[#This Row],[INVERSIONES FCI]]-P64,Tabla5[[#This Row],[INVERSIONES FCI]])</f>
        <v>18352746.818826199</v>
      </c>
      <c r="Q65" s="5">
        <f>IF($B64&lt;=Tabla5[[#This Row],[INVERSIONES FCI]],+Tabla5[[#This Row],[INVERSIONES FCI]]-Q64,Tabla5[[#This Row],[INVERSIONES FCI]])</f>
        <v>18352746.818826199</v>
      </c>
      <c r="R65" s="5">
        <f>IF($B64&lt;=Tabla5[[#This Row],[INVERSIONES FCI]],+Tabla5[[#This Row],[INVERSIONES FCI]]-R64,Tabla5[[#This Row],[INVERSIONES FCI]])</f>
        <v>18352746.818826199</v>
      </c>
      <c r="S65" s="5">
        <f>IF($B64&lt;=Tabla5[[#This Row],[INVERSIONES FCI]],+Tabla5[[#This Row],[INVERSIONES FCI]]-S64,Tabla5[[#This Row],[INVERSIONES FCI]])</f>
        <v>18352746.818826199</v>
      </c>
      <c r="T65" s="5">
        <f>IF($B64&lt;=Tabla5[[#This Row],[INVERSIONES FCI]],+Tabla5[[#This Row],[INVERSIONES FCI]]-T64,Tabla5[[#This Row],[INVERSIONES FCI]])</f>
        <v>18352746.818826199</v>
      </c>
      <c r="U65" s="5">
        <f>IF($B64&lt;=Tabla5[[#This Row],[INVERSIONES FCI]],+Tabla5[[#This Row],[INVERSIONES FCI]]-U64,Tabla5[[#This Row],[INVERSIONES FCI]])</f>
        <v>18352746.818826199</v>
      </c>
      <c r="V65" s="5">
        <f>IF($B64&lt;=Tabla5[[#This Row],[INVERSIONES FCI]],+Tabla5[[#This Row],[INVERSIONES FCI]]-V64,Tabla5[[#This Row],[INVERSIONES FCI]])</f>
        <v>18352746.818826199</v>
      </c>
      <c r="W65" s="5">
        <f>IF($B64&lt;=Tabla5[[#This Row],[INVERSIONES FCI]],+Tabla5[[#This Row],[INVERSIONES FCI]]-W64,Tabla5[[#This Row],[INVERSIONES FCI]])</f>
        <v>18352746.818826199</v>
      </c>
      <c r="X65" s="5">
        <f>IF($B64&lt;=Tabla5[[#This Row],[INVERSIONES FCI]],+Tabla5[[#This Row],[INVERSIONES FCI]]-X64,Tabla5[[#This Row],[INVERSIONES FCI]])</f>
        <v>18352746.818826199</v>
      </c>
      <c r="Y65" s="5">
        <f>IF($B64&lt;=Tabla5[[#This Row],[INVERSIONES FCI]],+Tabla5[[#This Row],[INVERSIONES FCI]]-Y64,Tabla5[[#This Row],[INVERSIONES FCI]])</f>
        <v>18352746.818826199</v>
      </c>
      <c r="Z65" s="5">
        <f>IF($B64&lt;=Tabla5[[#This Row],[INVERSIONES FCI]],+Tabla5[[#This Row],[INVERSIONES FCI]]-Z64,Tabla5[[#This Row],[INVERSIONES FCI]])</f>
        <v>18352746.818826199</v>
      </c>
      <c r="AA65" s="5">
        <f>IF($B64&lt;=Tabla5[[#This Row],[INVERSIONES FCI]],+Tabla5[[#This Row],[INVERSIONES FCI]]-AA64,Tabla5[[#This Row],[INVERSIONES FCI]])</f>
        <v>18352746.818826199</v>
      </c>
      <c r="AB65" s="5">
        <f>IF($B64&lt;=Tabla5[[#This Row],[INVERSIONES FCI]],+Tabla5[[#This Row],[INVERSIONES FCI]]-AB64,Tabla5[[#This Row],[INVERSIONES FCI]])</f>
        <v>18352746.818826199</v>
      </c>
      <c r="AC65" s="5">
        <f>IF($B64&lt;=Tabla5[[#This Row],[INVERSIONES FCI]],+Tabla5[[#This Row],[INVERSIONES FCI]]-AC64,Tabla5[[#This Row],[INVERSIONES FCI]])</f>
        <v>18352746.818826199</v>
      </c>
      <c r="AD65" s="5">
        <f>IF($B64&lt;=Tabla5[[#This Row],[INVERSIONES FCI]],+Tabla5[[#This Row],[INVERSIONES FCI]]-AD64,Tabla5[[#This Row],[INVERSIONES FCI]])</f>
        <v>18352746.818826199</v>
      </c>
      <c r="AE65" s="5">
        <f>IF($B64&lt;=Tabla5[[#This Row],[INVERSIONES FCI]],+Tabla5[[#This Row],[INVERSIONES FCI]]-AE64,Tabla5[[#This Row],[INVERSIONES FCI]])</f>
        <v>18352746.818826199</v>
      </c>
      <c r="AF65" s="5">
        <f>IF($B64&lt;=Tabla5[[#This Row],[INVERSIONES FCI]],+Tabla5[[#This Row],[INVERSIONES FCI]]-AF64,Tabla5[[#This Row],[INVERSIONES FCI]])</f>
        <v>18352746.818826199</v>
      </c>
      <c r="AG65" s="5">
        <f>IF($B64&lt;=Tabla5[[#This Row],[INVERSIONES FCI]],+Tabla5[[#This Row],[INVERSIONES FCI]]-AG64,Tabla5[[#This Row],[INVERSIONES FCI]])</f>
        <v>18352746.818826199</v>
      </c>
      <c r="AH65" s="5">
        <f>IF($B64&lt;=Tabla5[[#This Row],[INVERSIONES FCI]],+Tabla5[[#This Row],[INVERSIONES FCI]]-AH64,Tabla5[[#This Row],[INVERSIONES FCI]])</f>
        <v>18352746.818826199</v>
      </c>
      <c r="AI65" s="5">
        <f>IF($B64&lt;=Tabla5[[#This Row],[INVERSIONES FCI]],+Tabla5[[#This Row],[INVERSIONES FCI]]-AI64,Tabla5[[#This Row],[INVERSIONES FCI]])</f>
        <v>18352746.818826199</v>
      </c>
      <c r="AJ65" s="5">
        <f>IF($B64&lt;=Tabla5[[#This Row],[INVERSIONES FCI]],+Tabla5[[#This Row],[INVERSIONES FCI]]-AJ64,Tabla5[[#This Row],[INVERSIONES FCI]])</f>
        <v>18352746.818826199</v>
      </c>
      <c r="AK65" s="5">
        <f>IF($B64&lt;=Tabla5[[#This Row],[INVERSIONES FCI]],+Tabla5[[#This Row],[INVERSIONES FCI]]-AK64,Tabla5[[#This Row],[INVERSIONES FCI]])</f>
        <v>18352746.818826199</v>
      </c>
      <c r="AL65" s="5">
        <f>IF($B64&lt;=Tabla5[[#This Row],[INVERSIONES FCI]],+Tabla5[[#This Row],[INVERSIONES FCI]]-AL64,Tabla5[[#This Row],[INVERSIONES FCI]])</f>
        <v>18352746.818826199</v>
      </c>
      <c r="AM65" s="5">
        <f>IF($B64&lt;=Tabla5[[#This Row],[INVERSIONES FCI]],+Tabla5[[#This Row],[INVERSIONES FCI]]-AM64,Tabla5[[#This Row],[INVERSIONES FCI]])</f>
        <v>18352746.818826199</v>
      </c>
      <c r="AN65" s="5">
        <f>IF($B64&lt;=Tabla5[[#This Row],[INVERSIONES FCI]],+Tabla5[[#This Row],[INVERSIONES FCI]]-AN64,Tabla5[[#This Row],[INVERSIONES FCI]])</f>
        <v>18352746.818826199</v>
      </c>
      <c r="AO65" s="5">
        <f>IF($B64&lt;=Tabla5[[#This Row],[INVERSIONES FCI]],+Tabla5[[#This Row],[INVERSIONES FCI]]-AO64,Tabla5[[#This Row],[INVERSIONES FCI]])</f>
        <v>18352746.818826199</v>
      </c>
      <c r="AP65" s="5">
        <f>IF($B64&lt;=Tabla5[[#This Row],[INVERSIONES FCI]],+Tabla5[[#This Row],[INVERSIONES FCI]]-AP64,Tabla5[[#This Row],[INVERSIONES FCI]])</f>
        <v>18352746.818826199</v>
      </c>
      <c r="AQ65" s="5">
        <f>IF($B64&lt;=Tabla5[[#This Row],[INVERSIONES FCI]],+Tabla5[[#This Row],[INVERSIONES FCI]]-AQ64,Tabla5[[#This Row],[INVERSIONES FCI]])</f>
        <v>18352746.818826199</v>
      </c>
      <c r="AR65" s="5">
        <f>IF($B64&lt;=Tabla5[[#This Row],[INVERSIONES FCI]],+Tabla5[[#This Row],[INVERSIONES FCI]]-AR64,Tabla5[[#This Row],[INVERSIONES FCI]])</f>
        <v>18352746.818826199</v>
      </c>
      <c r="AS65" s="5">
        <f>IF($B64&lt;=Tabla5[[#This Row],[INVERSIONES FCI]],+Tabla5[[#This Row],[INVERSIONES FCI]]-AS64,Tabla5[[#This Row],[INVERSIONES FCI]])</f>
        <v>18352746.818826199</v>
      </c>
      <c r="AT65" s="5">
        <f>IF($B64&lt;=Tabla5[[#This Row],[INVERSIONES FCI]],+Tabla5[[#This Row],[INVERSIONES FCI]]-AT64,Tabla5[[#This Row],[INVERSIONES FCI]])</f>
        <v>18352746.818826199</v>
      </c>
      <c r="AU65" s="5">
        <f>IF($B64&lt;=Tabla5[[#This Row],[INVERSIONES FCI]],+Tabla5[[#This Row],[INVERSIONES FCI]]-AU64,Tabla5[[#This Row],[INVERSIONES FCI]])</f>
        <v>18352746.818826199</v>
      </c>
      <c r="AV65" s="5">
        <f>IF($B64&lt;=Tabla5[[#This Row],[INVERSIONES FCI]],+Tabla5[[#This Row],[INVERSIONES FCI]]-AV64,Tabla5[[#This Row],[INVERSIONES FCI]])</f>
        <v>18352746.818826199</v>
      </c>
      <c r="AW65" s="5">
        <f>IF($B64&lt;=Tabla5[[#This Row],[INVERSIONES FCI]],+Tabla5[[#This Row],[INVERSIONES FCI]]-AW64,Tabla5[[#This Row],[INVERSIONES FCI]])</f>
        <v>18352746.818826199</v>
      </c>
      <c r="AX65" s="5">
        <f>IF($B64&lt;=Tabla5[[#This Row],[INVERSIONES FCI]],+Tabla5[[#This Row],[INVERSIONES FCI]]-AX64,Tabla5[[#This Row],[INVERSIONES FCI]])</f>
        <v>18352746.818826199</v>
      </c>
      <c r="AY65" s="5">
        <f>IF($B64&lt;=Tabla5[[#This Row],[INVERSIONES FCI]],+Tabla5[[#This Row],[INVERSIONES FCI]]-AY64,Tabla5[[#This Row],[INVERSIONES FCI]])</f>
        <v>18352746.818826199</v>
      </c>
      <c r="AZ65" s="5">
        <f>IF($B64&lt;=Tabla5[[#This Row],[INVERSIONES FCI]],+Tabla5[[#This Row],[INVERSIONES FCI]]-AZ64,Tabla5[[#This Row],[INVERSIONES FCI]])</f>
        <v>18352746.818826199</v>
      </c>
      <c r="BA65" s="5">
        <f>IF($B64&lt;=Tabla5[[#This Row],[INVERSIONES FCI]],+Tabla5[[#This Row],[INVERSIONES FCI]]-BA64,Tabla5[[#This Row],[INVERSIONES FCI]])</f>
        <v>18352746.818826199</v>
      </c>
      <c r="BB65" s="5">
        <f>IF($B64&lt;=Tabla5[[#This Row],[INVERSIONES FCI]],+Tabla5[[#This Row],[INVERSIONES FCI]]-BB64,Tabla5[[#This Row],[INVERSIONES FCI]])</f>
        <v>18352746.818826199</v>
      </c>
      <c r="BC65" s="5">
        <f>IF($B64&lt;=Tabla5[[#This Row],[INVERSIONES FCI]],+Tabla5[[#This Row],[INVERSIONES FCI]]-BC64,Tabla5[[#This Row],[INVERSIONES FCI]])</f>
        <v>18352746.818826199</v>
      </c>
      <c r="BD65" s="5">
        <f>IF($B64&lt;=Tabla5[[#This Row],[INVERSIONES FCI]],+Tabla5[[#This Row],[INVERSIONES FCI]]-BD64,Tabla5[[#This Row],[INVERSIONES FCI]])</f>
        <v>18352746.818826199</v>
      </c>
      <c r="BE65" s="5">
        <f>IF($B64&lt;=Tabla5[[#This Row],[INVERSIONES FCI]],+Tabla5[[#This Row],[INVERSIONES FCI]]-BE64,Tabla5[[#This Row],[INVERSIONES FCI]])</f>
        <v>18352746.818826199</v>
      </c>
      <c r="BF65" s="5">
        <f>IF($B64&lt;=Tabla5[[#This Row],[INVERSIONES FCI]],+Tabla5[[#This Row],[INVERSIONES FCI]]-BF64,Tabla5[[#This Row],[INVERSIONES FCI]])</f>
        <v>18352746.818826199</v>
      </c>
      <c r="BG65" s="5">
        <f>IF($B64&lt;=Tabla5[[#This Row],[INVERSIONES FCI]],+Tabla5[[#This Row],[INVERSIONES FCI]]-BG64,Tabla5[[#This Row],[INVERSIONES FCI]])</f>
        <v>18352746.818826199</v>
      </c>
      <c r="BH65" s="5">
        <f>IF($B64&lt;=Tabla5[[#This Row],[INVERSIONES FCI]],+Tabla5[[#This Row],[INVERSIONES FCI]]-BH64,Tabla5[[#This Row],[INVERSIONES FCI]])</f>
        <v>18352746.818826199</v>
      </c>
      <c r="BI65" s="5">
        <f>IF($B64&lt;=Tabla5[[#This Row],[INVERSIONES FCI]],+Tabla5[[#This Row],[INVERSIONES FCI]]-BI64,Tabla5[[#This Row],[INVERSIONES FCI]])</f>
        <v>18352746.818826199</v>
      </c>
      <c r="BJ65" s="5">
        <f>IF($B64&lt;=Tabla5[[#This Row],[INVERSIONES FCI]],+Tabla5[[#This Row],[INVERSIONES FCI]]-BJ64,Tabla5[[#This Row],[INVERSIONES FCI]])</f>
        <v>18352746.818826199</v>
      </c>
      <c r="BK65" s="5">
        <f>IF($B64&lt;=Tabla5[[#This Row],[INVERSIONES FCI]],+Tabla5[[#This Row],[INVERSIONES FCI]]-BK64,Tabla5[[#This Row],[INVERSIONES FCI]])</f>
        <v>18352746.818826199</v>
      </c>
      <c r="BL65" s="5">
        <f>IF($B64&lt;=Tabla5[[#This Row],[INVERSIONES FCI]],+Tabla5[[#This Row],[INVERSIONES FCI]]-BL64,Tabla5[[#This Row],[INVERSIONES FCI]])</f>
        <v>18352746.818826199</v>
      </c>
      <c r="BM65" s="5">
        <f>IF($B64&lt;=Tabla5[[#This Row],[INVERSIONES FCI]],+Tabla5[[#This Row],[INVERSIONES FCI]]-BM64,Tabla5[[#This Row],[INVERSIONES FCI]])</f>
        <v>18352746.818826199</v>
      </c>
      <c r="BN65" s="5" cm="1">
        <f t="array" ref="BN65">IF(Tabla5[[#This Row],[FCI]]=0,0,_xlfn.XLOOKUP(TRUE,$B65:BM65&gt;0,$B65:BM65,"",0,-1))</f>
        <v>18352746.818826199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</row>
    <row r="66" spans="1:121" ht="14.4">
      <c r="A66" s="12" t="s">
        <v>65</v>
      </c>
      <c r="B66" s="5">
        <f>HLOOKUP($A66,ESCENARIO[#All],7,FALSE)</f>
        <v>975835004.41996431</v>
      </c>
      <c r="C66" s="5">
        <f>IF($B65&lt;=Tabla5[[#This Row],[INVERSIONES FCI]],+Tabla5[[#This Row],[INVERSIONES FCI]]-C65,Tabla5[[#This Row],[INVERSIONES FCI]])</f>
        <v>957482257.60113811</v>
      </c>
      <c r="D66" s="5">
        <f>IF($B65&lt;=Tabla5[[#This Row],[INVERSIONES FCI]],+Tabla5[[#This Row],[INVERSIONES FCI]]-D65,Tabla5[[#This Row],[INVERSIONES FCI]])</f>
        <v>957482257.60113811</v>
      </c>
      <c r="E66" s="5">
        <f>IF($B65&lt;=Tabla5[[#This Row],[INVERSIONES FCI]],+Tabla5[[#This Row],[INVERSIONES FCI]]-E65,Tabla5[[#This Row],[INVERSIONES FCI]])</f>
        <v>957482257.60113811</v>
      </c>
      <c r="F66" s="5">
        <f>IF($B65&lt;=Tabla5[[#This Row],[INVERSIONES FCI]],+Tabla5[[#This Row],[INVERSIONES FCI]]-F65,Tabla5[[#This Row],[INVERSIONES FCI]])</f>
        <v>957482257.60113811</v>
      </c>
      <c r="G66" s="5">
        <f>IF($B65&lt;=Tabla5[[#This Row],[INVERSIONES FCI]],+Tabla5[[#This Row],[INVERSIONES FCI]]-G65,Tabla5[[#This Row],[INVERSIONES FCI]])</f>
        <v>957482257.60113811</v>
      </c>
      <c r="H66" s="5">
        <f>IF($B65&lt;=Tabla5[[#This Row],[INVERSIONES FCI]],+Tabla5[[#This Row],[INVERSIONES FCI]]-H65,Tabla5[[#This Row],[INVERSIONES FCI]])</f>
        <v>957482257.60113811</v>
      </c>
      <c r="I66" s="5">
        <f>IF($B65&lt;=Tabla5[[#This Row],[INVERSIONES FCI]],+Tabla5[[#This Row],[INVERSIONES FCI]]-I65,Tabla5[[#This Row],[INVERSIONES FCI]])</f>
        <v>957482257.60113811</v>
      </c>
      <c r="J66" s="5">
        <f>IF($B65&lt;=Tabla5[[#This Row],[INVERSIONES FCI]],+Tabla5[[#This Row],[INVERSIONES FCI]]-J65,Tabla5[[#This Row],[INVERSIONES FCI]])</f>
        <v>957482257.60113811</v>
      </c>
      <c r="K66" s="5">
        <f>IF($B65&lt;=Tabla5[[#This Row],[INVERSIONES FCI]],+Tabla5[[#This Row],[INVERSIONES FCI]]-K65,Tabla5[[#This Row],[INVERSIONES FCI]])</f>
        <v>957482257.60113811</v>
      </c>
      <c r="L66" s="5">
        <f>IF($B65&lt;=Tabla5[[#This Row],[INVERSIONES FCI]],+Tabla5[[#This Row],[INVERSIONES FCI]]-L65,Tabla5[[#This Row],[INVERSIONES FCI]])</f>
        <v>957482257.60113811</v>
      </c>
      <c r="M66" s="5">
        <f>IF($B65&lt;=Tabla5[[#This Row],[INVERSIONES FCI]],+Tabla5[[#This Row],[INVERSIONES FCI]]-M65,Tabla5[[#This Row],[INVERSIONES FCI]])</f>
        <v>957482257.60113811</v>
      </c>
      <c r="N66" s="5">
        <f>IF($B65&lt;=Tabla5[[#This Row],[INVERSIONES FCI]],+Tabla5[[#This Row],[INVERSIONES FCI]]-N65,Tabla5[[#This Row],[INVERSIONES FCI]])</f>
        <v>957482257.60113811</v>
      </c>
      <c r="O66" s="5">
        <f>IF($B65&lt;=Tabla5[[#This Row],[INVERSIONES FCI]],+Tabla5[[#This Row],[INVERSIONES FCI]]-O65,Tabla5[[#This Row],[INVERSIONES FCI]])</f>
        <v>957482257.60113811</v>
      </c>
      <c r="P66" s="5">
        <f>IF($B65&lt;=Tabla5[[#This Row],[INVERSIONES FCI]],+Tabla5[[#This Row],[INVERSIONES FCI]]-P65,Tabla5[[#This Row],[INVERSIONES FCI]])</f>
        <v>957482257.60113811</v>
      </c>
      <c r="Q66" s="5">
        <f>IF($B65&lt;=Tabla5[[#This Row],[INVERSIONES FCI]],+Tabla5[[#This Row],[INVERSIONES FCI]]-Q65,Tabla5[[#This Row],[INVERSIONES FCI]])</f>
        <v>957482257.60113811</v>
      </c>
      <c r="R66" s="5">
        <f>IF($B65&lt;=Tabla5[[#This Row],[INVERSIONES FCI]],+Tabla5[[#This Row],[INVERSIONES FCI]]-R65,Tabla5[[#This Row],[INVERSIONES FCI]])</f>
        <v>957482257.60113811</v>
      </c>
      <c r="S66" s="5">
        <f>IF($B65&lt;=Tabla5[[#This Row],[INVERSIONES FCI]],+Tabla5[[#This Row],[INVERSIONES FCI]]-S65,Tabla5[[#This Row],[INVERSIONES FCI]])</f>
        <v>957482257.60113811</v>
      </c>
      <c r="T66" s="5">
        <f>IF($B65&lt;=Tabla5[[#This Row],[INVERSIONES FCI]],+Tabla5[[#This Row],[INVERSIONES FCI]]-T65,Tabla5[[#This Row],[INVERSIONES FCI]])</f>
        <v>957482257.60113811</v>
      </c>
      <c r="U66" s="5">
        <f>IF($B65&lt;=Tabla5[[#This Row],[INVERSIONES FCI]],+Tabla5[[#This Row],[INVERSIONES FCI]]-U65,Tabla5[[#This Row],[INVERSIONES FCI]])</f>
        <v>957482257.60113811</v>
      </c>
      <c r="V66" s="5">
        <f>IF($B65&lt;=Tabla5[[#This Row],[INVERSIONES FCI]],+Tabla5[[#This Row],[INVERSIONES FCI]]-V65,Tabla5[[#This Row],[INVERSIONES FCI]])</f>
        <v>957482257.60113811</v>
      </c>
      <c r="W66" s="5">
        <f>IF($B65&lt;=Tabla5[[#This Row],[INVERSIONES FCI]],+Tabla5[[#This Row],[INVERSIONES FCI]]-W65,Tabla5[[#This Row],[INVERSIONES FCI]])</f>
        <v>957482257.60113811</v>
      </c>
      <c r="X66" s="5">
        <f>IF($B65&lt;=Tabla5[[#This Row],[INVERSIONES FCI]],+Tabla5[[#This Row],[INVERSIONES FCI]]-X65,Tabla5[[#This Row],[INVERSIONES FCI]])</f>
        <v>957482257.60113811</v>
      </c>
      <c r="Y66" s="5">
        <f>IF($B65&lt;=Tabla5[[#This Row],[INVERSIONES FCI]],+Tabla5[[#This Row],[INVERSIONES FCI]]-Y65,Tabla5[[#This Row],[INVERSIONES FCI]])</f>
        <v>957482257.60113811</v>
      </c>
      <c r="Z66" s="5">
        <f>IF($B65&lt;=Tabla5[[#This Row],[INVERSIONES FCI]],+Tabla5[[#This Row],[INVERSIONES FCI]]-Z65,Tabla5[[#This Row],[INVERSIONES FCI]])</f>
        <v>957482257.60113811</v>
      </c>
      <c r="AA66" s="5">
        <f>IF($B65&lt;=Tabla5[[#This Row],[INVERSIONES FCI]],+Tabla5[[#This Row],[INVERSIONES FCI]]-AA65,Tabla5[[#This Row],[INVERSIONES FCI]])</f>
        <v>957482257.60113811</v>
      </c>
      <c r="AB66" s="5">
        <f>IF($B65&lt;=Tabla5[[#This Row],[INVERSIONES FCI]],+Tabla5[[#This Row],[INVERSIONES FCI]]-AB65,Tabla5[[#This Row],[INVERSIONES FCI]])</f>
        <v>957482257.60113811</v>
      </c>
      <c r="AC66" s="5">
        <f>IF($B65&lt;=Tabla5[[#This Row],[INVERSIONES FCI]],+Tabla5[[#This Row],[INVERSIONES FCI]]-AC65,Tabla5[[#This Row],[INVERSIONES FCI]])</f>
        <v>957482257.60113811</v>
      </c>
      <c r="AD66" s="5">
        <f>IF($B65&lt;=Tabla5[[#This Row],[INVERSIONES FCI]],+Tabla5[[#This Row],[INVERSIONES FCI]]-AD65,Tabla5[[#This Row],[INVERSIONES FCI]])</f>
        <v>957482257.60113811</v>
      </c>
      <c r="AE66" s="5">
        <f>IF($B65&lt;=Tabla5[[#This Row],[INVERSIONES FCI]],+Tabla5[[#This Row],[INVERSIONES FCI]]-AE65,Tabla5[[#This Row],[INVERSIONES FCI]])</f>
        <v>957482257.60113811</v>
      </c>
      <c r="AF66" s="5">
        <f>IF($B65&lt;=Tabla5[[#This Row],[INVERSIONES FCI]],+Tabla5[[#This Row],[INVERSIONES FCI]]-AF65,Tabla5[[#This Row],[INVERSIONES FCI]])</f>
        <v>957482257.60113811</v>
      </c>
      <c r="AG66" s="5">
        <f>IF($B65&lt;=Tabla5[[#This Row],[INVERSIONES FCI]],+Tabla5[[#This Row],[INVERSIONES FCI]]-AG65,Tabla5[[#This Row],[INVERSIONES FCI]])</f>
        <v>957482257.60113811</v>
      </c>
      <c r="AH66" s="5">
        <f>IF($B65&lt;=Tabla5[[#This Row],[INVERSIONES FCI]],+Tabla5[[#This Row],[INVERSIONES FCI]]-AH65,Tabla5[[#This Row],[INVERSIONES FCI]])</f>
        <v>957482257.60113811</v>
      </c>
      <c r="AI66" s="5">
        <f>IF($B65&lt;=Tabla5[[#This Row],[INVERSIONES FCI]],+Tabla5[[#This Row],[INVERSIONES FCI]]-AI65,Tabla5[[#This Row],[INVERSIONES FCI]])</f>
        <v>957482257.60113811</v>
      </c>
      <c r="AJ66" s="5">
        <f>IF($B65&lt;=Tabla5[[#This Row],[INVERSIONES FCI]],+Tabla5[[#This Row],[INVERSIONES FCI]]-AJ65,Tabla5[[#This Row],[INVERSIONES FCI]])</f>
        <v>957482257.60113811</v>
      </c>
      <c r="AK66" s="5">
        <f>IF($B65&lt;=Tabla5[[#This Row],[INVERSIONES FCI]],+Tabla5[[#This Row],[INVERSIONES FCI]]-AK65,Tabla5[[#This Row],[INVERSIONES FCI]])</f>
        <v>957482257.60113811</v>
      </c>
      <c r="AL66" s="5">
        <f>IF($B65&lt;=Tabla5[[#This Row],[INVERSIONES FCI]],+Tabla5[[#This Row],[INVERSIONES FCI]]-AL65,Tabla5[[#This Row],[INVERSIONES FCI]])</f>
        <v>957482257.60113811</v>
      </c>
      <c r="AM66" s="5">
        <f>IF($B65&lt;=Tabla5[[#This Row],[INVERSIONES FCI]],+Tabla5[[#This Row],[INVERSIONES FCI]]-AM65,Tabla5[[#This Row],[INVERSIONES FCI]])</f>
        <v>957482257.60113811</v>
      </c>
      <c r="AN66" s="5">
        <f>IF($B65&lt;=Tabla5[[#This Row],[INVERSIONES FCI]],+Tabla5[[#This Row],[INVERSIONES FCI]]-AN65,Tabla5[[#This Row],[INVERSIONES FCI]])</f>
        <v>957482257.60113811</v>
      </c>
      <c r="AO66" s="5">
        <f>IF($B65&lt;=Tabla5[[#This Row],[INVERSIONES FCI]],+Tabla5[[#This Row],[INVERSIONES FCI]]-AO65,Tabla5[[#This Row],[INVERSIONES FCI]])</f>
        <v>957482257.60113811</v>
      </c>
      <c r="AP66" s="5">
        <f>IF($B65&lt;=Tabla5[[#This Row],[INVERSIONES FCI]],+Tabla5[[#This Row],[INVERSIONES FCI]]-AP65,Tabla5[[#This Row],[INVERSIONES FCI]])</f>
        <v>957482257.60113811</v>
      </c>
      <c r="AQ66" s="5">
        <f>IF($B65&lt;=Tabla5[[#This Row],[INVERSIONES FCI]],+Tabla5[[#This Row],[INVERSIONES FCI]]-AQ65,Tabla5[[#This Row],[INVERSIONES FCI]])</f>
        <v>957482257.60113811</v>
      </c>
      <c r="AR66" s="5">
        <f>IF($B65&lt;=Tabla5[[#This Row],[INVERSIONES FCI]],+Tabla5[[#This Row],[INVERSIONES FCI]]-AR65,Tabla5[[#This Row],[INVERSIONES FCI]])</f>
        <v>957482257.60113811</v>
      </c>
      <c r="AS66" s="5">
        <f>IF($B65&lt;=Tabla5[[#This Row],[INVERSIONES FCI]],+Tabla5[[#This Row],[INVERSIONES FCI]]-AS65,Tabla5[[#This Row],[INVERSIONES FCI]])</f>
        <v>957482257.60113811</v>
      </c>
      <c r="AT66" s="5">
        <f>IF($B65&lt;=Tabla5[[#This Row],[INVERSIONES FCI]],+Tabla5[[#This Row],[INVERSIONES FCI]]-AT65,Tabla5[[#This Row],[INVERSIONES FCI]])</f>
        <v>957482257.60113811</v>
      </c>
      <c r="AU66" s="5">
        <f>IF($B65&lt;=Tabla5[[#This Row],[INVERSIONES FCI]],+Tabla5[[#This Row],[INVERSIONES FCI]]-AU65,Tabla5[[#This Row],[INVERSIONES FCI]])</f>
        <v>957482257.60113811</v>
      </c>
      <c r="AV66" s="5">
        <f>IF($B65&lt;=Tabla5[[#This Row],[INVERSIONES FCI]],+Tabla5[[#This Row],[INVERSIONES FCI]]-AV65,Tabla5[[#This Row],[INVERSIONES FCI]])</f>
        <v>957482257.60113811</v>
      </c>
      <c r="AW66" s="5">
        <f>IF($B65&lt;=Tabla5[[#This Row],[INVERSIONES FCI]],+Tabla5[[#This Row],[INVERSIONES FCI]]-AW65,Tabla5[[#This Row],[INVERSIONES FCI]])</f>
        <v>957482257.60113811</v>
      </c>
      <c r="AX66" s="5">
        <f>IF($B65&lt;=Tabla5[[#This Row],[INVERSIONES FCI]],+Tabla5[[#This Row],[INVERSIONES FCI]]-AX65,Tabla5[[#This Row],[INVERSIONES FCI]])</f>
        <v>957482257.60113811</v>
      </c>
      <c r="AY66" s="5">
        <f>IF($B65&lt;=Tabla5[[#This Row],[INVERSIONES FCI]],+Tabla5[[#This Row],[INVERSIONES FCI]]-AY65,Tabla5[[#This Row],[INVERSIONES FCI]])</f>
        <v>957482257.60113811</v>
      </c>
      <c r="AZ66" s="5">
        <f>IF($B65&lt;=Tabla5[[#This Row],[INVERSIONES FCI]],+Tabla5[[#This Row],[INVERSIONES FCI]]-AZ65,Tabla5[[#This Row],[INVERSIONES FCI]])</f>
        <v>957482257.60113811</v>
      </c>
      <c r="BA66" s="5">
        <f>IF($B65&lt;=Tabla5[[#This Row],[INVERSIONES FCI]],+Tabla5[[#This Row],[INVERSIONES FCI]]-BA65,Tabla5[[#This Row],[INVERSIONES FCI]])</f>
        <v>957482257.60113811</v>
      </c>
      <c r="BB66" s="5">
        <f>IF($B65&lt;=Tabla5[[#This Row],[INVERSIONES FCI]],+Tabla5[[#This Row],[INVERSIONES FCI]]-BB65,Tabla5[[#This Row],[INVERSIONES FCI]])</f>
        <v>957482257.60113811</v>
      </c>
      <c r="BC66" s="5">
        <f>IF($B65&lt;=Tabla5[[#This Row],[INVERSIONES FCI]],+Tabla5[[#This Row],[INVERSIONES FCI]]-BC65,Tabla5[[#This Row],[INVERSIONES FCI]])</f>
        <v>957482257.60113811</v>
      </c>
      <c r="BD66" s="5">
        <f>IF($B65&lt;=Tabla5[[#This Row],[INVERSIONES FCI]],+Tabla5[[#This Row],[INVERSIONES FCI]]-BD65,Tabla5[[#This Row],[INVERSIONES FCI]])</f>
        <v>957482257.60113811</v>
      </c>
      <c r="BE66" s="5">
        <f>IF($B65&lt;=Tabla5[[#This Row],[INVERSIONES FCI]],+Tabla5[[#This Row],[INVERSIONES FCI]]-BE65,Tabla5[[#This Row],[INVERSIONES FCI]])</f>
        <v>957482257.60113811</v>
      </c>
      <c r="BF66" s="5">
        <f>IF($B65&lt;=Tabla5[[#This Row],[INVERSIONES FCI]],+Tabla5[[#This Row],[INVERSIONES FCI]]-BF65,Tabla5[[#This Row],[INVERSIONES FCI]])</f>
        <v>957482257.60113811</v>
      </c>
      <c r="BG66" s="5">
        <f>IF($B65&lt;=Tabla5[[#This Row],[INVERSIONES FCI]],+Tabla5[[#This Row],[INVERSIONES FCI]]-BG65,Tabla5[[#This Row],[INVERSIONES FCI]])</f>
        <v>957482257.60113811</v>
      </c>
      <c r="BH66" s="5">
        <f>IF($B65&lt;=Tabla5[[#This Row],[INVERSIONES FCI]],+Tabla5[[#This Row],[INVERSIONES FCI]]-BH65,Tabla5[[#This Row],[INVERSIONES FCI]])</f>
        <v>957482257.60113811</v>
      </c>
      <c r="BI66" s="5">
        <f>IF($B65&lt;=Tabla5[[#This Row],[INVERSIONES FCI]],+Tabla5[[#This Row],[INVERSIONES FCI]]-BI65,Tabla5[[#This Row],[INVERSIONES FCI]])</f>
        <v>957482257.60113811</v>
      </c>
      <c r="BJ66" s="5">
        <f>IF($B65&lt;=Tabla5[[#This Row],[INVERSIONES FCI]],+Tabla5[[#This Row],[INVERSIONES FCI]]-BJ65,Tabla5[[#This Row],[INVERSIONES FCI]])</f>
        <v>957482257.60113811</v>
      </c>
      <c r="BK66" s="5">
        <f>IF($B65&lt;=Tabla5[[#This Row],[INVERSIONES FCI]],+Tabla5[[#This Row],[INVERSIONES FCI]]-BK65,Tabla5[[#This Row],[INVERSIONES FCI]])</f>
        <v>957482257.60113811</v>
      </c>
      <c r="BL66" s="5">
        <f>IF($B65&lt;=Tabla5[[#This Row],[INVERSIONES FCI]],+Tabla5[[#This Row],[INVERSIONES FCI]]-BL65,Tabla5[[#This Row],[INVERSIONES FCI]])</f>
        <v>957482257.60113811</v>
      </c>
      <c r="BM66" s="5">
        <f>IF($B65&lt;=Tabla5[[#This Row],[INVERSIONES FCI]],+Tabla5[[#This Row],[INVERSIONES FCI]]-BM65,Tabla5[[#This Row],[INVERSIONES FCI]])</f>
        <v>957482257.60113811</v>
      </c>
      <c r="BN66" s="5">
        <f>IF($B65&lt;=Tabla5[[#This Row],[INVERSIONES FCI]],+Tabla5[[#This Row],[INVERSIONES FCI]]-BN65,Tabla5[[#This Row],[INVERSIONES FCI]])</f>
        <v>957482257.60113811</v>
      </c>
      <c r="BO66" s="5" cm="1">
        <f t="array" ref="BO66">IF(Tabla5[[#This Row],[FCI]]=0,0,_xlfn.XLOOKUP(TRUE,$B66:BN66&gt;0,$B66:BN66,"",0,-1))</f>
        <v>957482257.60113811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</row>
    <row r="67" spans="1:121" ht="14.4">
      <c r="A67" s="12" t="s">
        <v>66</v>
      </c>
      <c r="B67" s="5">
        <f>HLOOKUP($A67,ESCENARIO[#All],7,FALSE)</f>
        <v>771791469.77445674</v>
      </c>
      <c r="C67" s="5">
        <f>IF($B66&lt;=Tabla5[[#This Row],[INVERSIONES FCI]],+Tabla5[[#This Row],[INVERSIONES FCI]]-C66,Tabla5[[#This Row],[INVERSIONES FCI]])</f>
        <v>771791469.77445674</v>
      </c>
      <c r="D67" s="5">
        <f>IF($B66&lt;=Tabla5[[#This Row],[INVERSIONES FCI]],+Tabla5[[#This Row],[INVERSIONES FCI]]-D66,Tabla5[[#This Row],[INVERSIONES FCI]])</f>
        <v>771791469.77445674</v>
      </c>
      <c r="E67" s="5">
        <f>IF($B66&lt;=Tabla5[[#This Row],[INVERSIONES FCI]],+Tabla5[[#This Row],[INVERSIONES FCI]]-E66,Tabla5[[#This Row],[INVERSIONES FCI]])</f>
        <v>771791469.77445674</v>
      </c>
      <c r="F67" s="5">
        <f>IF($B66&lt;=Tabla5[[#This Row],[INVERSIONES FCI]],+Tabla5[[#This Row],[INVERSIONES FCI]]-F66,Tabla5[[#This Row],[INVERSIONES FCI]])</f>
        <v>771791469.77445674</v>
      </c>
      <c r="G67" s="5">
        <f>IF($B66&lt;=Tabla5[[#This Row],[INVERSIONES FCI]],+Tabla5[[#This Row],[INVERSIONES FCI]]-G66,Tabla5[[#This Row],[INVERSIONES FCI]])</f>
        <v>771791469.77445674</v>
      </c>
      <c r="H67" s="5">
        <f>IF($B66&lt;=Tabla5[[#This Row],[INVERSIONES FCI]],+Tabla5[[#This Row],[INVERSIONES FCI]]-H66,Tabla5[[#This Row],[INVERSIONES FCI]])</f>
        <v>771791469.77445674</v>
      </c>
      <c r="I67" s="5">
        <f>IF($B66&lt;=Tabla5[[#This Row],[INVERSIONES FCI]],+Tabla5[[#This Row],[INVERSIONES FCI]]-I66,Tabla5[[#This Row],[INVERSIONES FCI]])</f>
        <v>771791469.77445674</v>
      </c>
      <c r="J67" s="5">
        <f>IF($B66&lt;=Tabla5[[#This Row],[INVERSIONES FCI]],+Tabla5[[#This Row],[INVERSIONES FCI]]-J66,Tabla5[[#This Row],[INVERSIONES FCI]])</f>
        <v>771791469.77445674</v>
      </c>
      <c r="K67" s="5">
        <f>IF($B66&lt;=Tabla5[[#This Row],[INVERSIONES FCI]],+Tabla5[[#This Row],[INVERSIONES FCI]]-K66,Tabla5[[#This Row],[INVERSIONES FCI]])</f>
        <v>771791469.77445674</v>
      </c>
      <c r="L67" s="5">
        <f>IF($B66&lt;=Tabla5[[#This Row],[INVERSIONES FCI]],+Tabla5[[#This Row],[INVERSIONES FCI]]-L66,Tabla5[[#This Row],[INVERSIONES FCI]])</f>
        <v>771791469.77445674</v>
      </c>
      <c r="M67" s="5">
        <f>IF($B66&lt;=Tabla5[[#This Row],[INVERSIONES FCI]],+Tabla5[[#This Row],[INVERSIONES FCI]]-M66,Tabla5[[#This Row],[INVERSIONES FCI]])</f>
        <v>771791469.77445674</v>
      </c>
      <c r="N67" s="5">
        <f>IF($B66&lt;=Tabla5[[#This Row],[INVERSIONES FCI]],+Tabla5[[#This Row],[INVERSIONES FCI]]-N66,Tabla5[[#This Row],[INVERSIONES FCI]])</f>
        <v>771791469.77445674</v>
      </c>
      <c r="O67" s="5">
        <f>IF($B66&lt;=Tabla5[[#This Row],[INVERSIONES FCI]],+Tabla5[[#This Row],[INVERSIONES FCI]]-O66,Tabla5[[#This Row],[INVERSIONES FCI]])</f>
        <v>771791469.77445674</v>
      </c>
      <c r="P67" s="5">
        <f>IF($B66&lt;=Tabla5[[#This Row],[INVERSIONES FCI]],+Tabla5[[#This Row],[INVERSIONES FCI]]-P66,Tabla5[[#This Row],[INVERSIONES FCI]])</f>
        <v>771791469.77445674</v>
      </c>
      <c r="Q67" s="5">
        <f>IF($B66&lt;=Tabla5[[#This Row],[INVERSIONES FCI]],+Tabla5[[#This Row],[INVERSIONES FCI]]-Q66,Tabla5[[#This Row],[INVERSIONES FCI]])</f>
        <v>771791469.77445674</v>
      </c>
      <c r="R67" s="5">
        <f>IF($B66&lt;=Tabla5[[#This Row],[INVERSIONES FCI]],+Tabla5[[#This Row],[INVERSIONES FCI]]-R66,Tabla5[[#This Row],[INVERSIONES FCI]])</f>
        <v>771791469.77445674</v>
      </c>
      <c r="S67" s="5">
        <f>IF($B66&lt;=Tabla5[[#This Row],[INVERSIONES FCI]],+Tabla5[[#This Row],[INVERSIONES FCI]]-S66,Tabla5[[#This Row],[INVERSIONES FCI]])</f>
        <v>771791469.77445674</v>
      </c>
      <c r="T67" s="5">
        <f>IF($B66&lt;=Tabla5[[#This Row],[INVERSIONES FCI]],+Tabla5[[#This Row],[INVERSIONES FCI]]-T66,Tabla5[[#This Row],[INVERSIONES FCI]])</f>
        <v>771791469.77445674</v>
      </c>
      <c r="U67" s="5">
        <f>IF($B66&lt;=Tabla5[[#This Row],[INVERSIONES FCI]],+Tabla5[[#This Row],[INVERSIONES FCI]]-U66,Tabla5[[#This Row],[INVERSIONES FCI]])</f>
        <v>771791469.77445674</v>
      </c>
      <c r="V67" s="5">
        <f>IF($B66&lt;=Tabla5[[#This Row],[INVERSIONES FCI]],+Tabla5[[#This Row],[INVERSIONES FCI]]-V66,Tabla5[[#This Row],[INVERSIONES FCI]])</f>
        <v>771791469.77445674</v>
      </c>
      <c r="W67" s="5">
        <f>IF($B66&lt;=Tabla5[[#This Row],[INVERSIONES FCI]],+Tabla5[[#This Row],[INVERSIONES FCI]]-W66,Tabla5[[#This Row],[INVERSIONES FCI]])</f>
        <v>771791469.77445674</v>
      </c>
      <c r="X67" s="5">
        <f>IF($B66&lt;=Tabla5[[#This Row],[INVERSIONES FCI]],+Tabla5[[#This Row],[INVERSIONES FCI]]-X66,Tabla5[[#This Row],[INVERSIONES FCI]])</f>
        <v>771791469.77445674</v>
      </c>
      <c r="Y67" s="5">
        <f>IF($B66&lt;=Tabla5[[#This Row],[INVERSIONES FCI]],+Tabla5[[#This Row],[INVERSIONES FCI]]-Y66,Tabla5[[#This Row],[INVERSIONES FCI]])</f>
        <v>771791469.77445674</v>
      </c>
      <c r="Z67" s="5">
        <f>IF($B66&lt;=Tabla5[[#This Row],[INVERSIONES FCI]],+Tabla5[[#This Row],[INVERSIONES FCI]]-Z66,Tabla5[[#This Row],[INVERSIONES FCI]])</f>
        <v>771791469.77445674</v>
      </c>
      <c r="AA67" s="5">
        <f>IF($B66&lt;=Tabla5[[#This Row],[INVERSIONES FCI]],+Tabla5[[#This Row],[INVERSIONES FCI]]-AA66,Tabla5[[#This Row],[INVERSIONES FCI]])</f>
        <v>771791469.77445674</v>
      </c>
      <c r="AB67" s="5">
        <f>IF($B66&lt;=Tabla5[[#This Row],[INVERSIONES FCI]],+Tabla5[[#This Row],[INVERSIONES FCI]]-AB66,Tabla5[[#This Row],[INVERSIONES FCI]])</f>
        <v>771791469.77445674</v>
      </c>
      <c r="AC67" s="5">
        <f>IF($B66&lt;=Tabla5[[#This Row],[INVERSIONES FCI]],+Tabla5[[#This Row],[INVERSIONES FCI]]-AC66,Tabla5[[#This Row],[INVERSIONES FCI]])</f>
        <v>771791469.77445674</v>
      </c>
      <c r="AD67" s="5">
        <f>IF($B66&lt;=Tabla5[[#This Row],[INVERSIONES FCI]],+Tabla5[[#This Row],[INVERSIONES FCI]]-AD66,Tabla5[[#This Row],[INVERSIONES FCI]])</f>
        <v>771791469.77445674</v>
      </c>
      <c r="AE67" s="5">
        <f>IF($B66&lt;=Tabla5[[#This Row],[INVERSIONES FCI]],+Tabla5[[#This Row],[INVERSIONES FCI]]-AE66,Tabla5[[#This Row],[INVERSIONES FCI]])</f>
        <v>771791469.77445674</v>
      </c>
      <c r="AF67" s="5">
        <f>IF($B66&lt;=Tabla5[[#This Row],[INVERSIONES FCI]],+Tabla5[[#This Row],[INVERSIONES FCI]]-AF66,Tabla5[[#This Row],[INVERSIONES FCI]])</f>
        <v>771791469.77445674</v>
      </c>
      <c r="AG67" s="5">
        <f>IF($B66&lt;=Tabla5[[#This Row],[INVERSIONES FCI]],+Tabla5[[#This Row],[INVERSIONES FCI]]-AG66,Tabla5[[#This Row],[INVERSIONES FCI]])</f>
        <v>771791469.77445674</v>
      </c>
      <c r="AH67" s="5">
        <f>IF($B66&lt;=Tabla5[[#This Row],[INVERSIONES FCI]],+Tabla5[[#This Row],[INVERSIONES FCI]]-AH66,Tabla5[[#This Row],[INVERSIONES FCI]])</f>
        <v>771791469.77445674</v>
      </c>
      <c r="AI67" s="5">
        <f>IF($B66&lt;=Tabla5[[#This Row],[INVERSIONES FCI]],+Tabla5[[#This Row],[INVERSIONES FCI]]-AI66,Tabla5[[#This Row],[INVERSIONES FCI]])</f>
        <v>771791469.77445674</v>
      </c>
      <c r="AJ67" s="5">
        <f>IF($B66&lt;=Tabla5[[#This Row],[INVERSIONES FCI]],+Tabla5[[#This Row],[INVERSIONES FCI]]-AJ66,Tabla5[[#This Row],[INVERSIONES FCI]])</f>
        <v>771791469.77445674</v>
      </c>
      <c r="AK67" s="5">
        <f>IF($B66&lt;=Tabla5[[#This Row],[INVERSIONES FCI]],+Tabla5[[#This Row],[INVERSIONES FCI]]-AK66,Tabla5[[#This Row],[INVERSIONES FCI]])</f>
        <v>771791469.77445674</v>
      </c>
      <c r="AL67" s="5">
        <f>IF($B66&lt;=Tabla5[[#This Row],[INVERSIONES FCI]],+Tabla5[[#This Row],[INVERSIONES FCI]]-AL66,Tabla5[[#This Row],[INVERSIONES FCI]])</f>
        <v>771791469.77445674</v>
      </c>
      <c r="AM67" s="5">
        <f>IF($B66&lt;=Tabla5[[#This Row],[INVERSIONES FCI]],+Tabla5[[#This Row],[INVERSIONES FCI]]-AM66,Tabla5[[#This Row],[INVERSIONES FCI]])</f>
        <v>771791469.77445674</v>
      </c>
      <c r="AN67" s="5">
        <f>IF($B66&lt;=Tabla5[[#This Row],[INVERSIONES FCI]],+Tabla5[[#This Row],[INVERSIONES FCI]]-AN66,Tabla5[[#This Row],[INVERSIONES FCI]])</f>
        <v>771791469.77445674</v>
      </c>
      <c r="AO67" s="5">
        <f>IF($B66&lt;=Tabla5[[#This Row],[INVERSIONES FCI]],+Tabla5[[#This Row],[INVERSIONES FCI]]-AO66,Tabla5[[#This Row],[INVERSIONES FCI]])</f>
        <v>771791469.77445674</v>
      </c>
      <c r="AP67" s="5">
        <f>IF($B66&lt;=Tabla5[[#This Row],[INVERSIONES FCI]],+Tabla5[[#This Row],[INVERSIONES FCI]]-AP66,Tabla5[[#This Row],[INVERSIONES FCI]])</f>
        <v>771791469.77445674</v>
      </c>
      <c r="AQ67" s="5">
        <f>IF($B66&lt;=Tabla5[[#This Row],[INVERSIONES FCI]],+Tabla5[[#This Row],[INVERSIONES FCI]]-AQ66,Tabla5[[#This Row],[INVERSIONES FCI]])</f>
        <v>771791469.77445674</v>
      </c>
      <c r="AR67" s="5">
        <f>IF($B66&lt;=Tabla5[[#This Row],[INVERSIONES FCI]],+Tabla5[[#This Row],[INVERSIONES FCI]]-AR66,Tabla5[[#This Row],[INVERSIONES FCI]])</f>
        <v>771791469.77445674</v>
      </c>
      <c r="AS67" s="5">
        <f>IF($B66&lt;=Tabla5[[#This Row],[INVERSIONES FCI]],+Tabla5[[#This Row],[INVERSIONES FCI]]-AS66,Tabla5[[#This Row],[INVERSIONES FCI]])</f>
        <v>771791469.77445674</v>
      </c>
      <c r="AT67" s="5">
        <f>IF($B66&lt;=Tabla5[[#This Row],[INVERSIONES FCI]],+Tabla5[[#This Row],[INVERSIONES FCI]]-AT66,Tabla5[[#This Row],[INVERSIONES FCI]])</f>
        <v>771791469.77445674</v>
      </c>
      <c r="AU67" s="5">
        <f>IF($B66&lt;=Tabla5[[#This Row],[INVERSIONES FCI]],+Tabla5[[#This Row],[INVERSIONES FCI]]-AU66,Tabla5[[#This Row],[INVERSIONES FCI]])</f>
        <v>771791469.77445674</v>
      </c>
      <c r="AV67" s="5">
        <f>IF($B66&lt;=Tabla5[[#This Row],[INVERSIONES FCI]],+Tabla5[[#This Row],[INVERSIONES FCI]]-AV66,Tabla5[[#This Row],[INVERSIONES FCI]])</f>
        <v>771791469.77445674</v>
      </c>
      <c r="AW67" s="5">
        <f>IF($B66&lt;=Tabla5[[#This Row],[INVERSIONES FCI]],+Tabla5[[#This Row],[INVERSIONES FCI]]-AW66,Tabla5[[#This Row],[INVERSIONES FCI]])</f>
        <v>771791469.77445674</v>
      </c>
      <c r="AX67" s="5">
        <f>IF($B66&lt;=Tabla5[[#This Row],[INVERSIONES FCI]],+Tabla5[[#This Row],[INVERSIONES FCI]]-AX66,Tabla5[[#This Row],[INVERSIONES FCI]])</f>
        <v>771791469.77445674</v>
      </c>
      <c r="AY67" s="5">
        <f>IF($B66&lt;=Tabla5[[#This Row],[INVERSIONES FCI]],+Tabla5[[#This Row],[INVERSIONES FCI]]-AY66,Tabla5[[#This Row],[INVERSIONES FCI]])</f>
        <v>771791469.77445674</v>
      </c>
      <c r="AZ67" s="5">
        <f>IF($B66&lt;=Tabla5[[#This Row],[INVERSIONES FCI]],+Tabla5[[#This Row],[INVERSIONES FCI]]-AZ66,Tabla5[[#This Row],[INVERSIONES FCI]])</f>
        <v>771791469.77445674</v>
      </c>
      <c r="BA67" s="5">
        <f>IF($B66&lt;=Tabla5[[#This Row],[INVERSIONES FCI]],+Tabla5[[#This Row],[INVERSIONES FCI]]-BA66,Tabla5[[#This Row],[INVERSIONES FCI]])</f>
        <v>771791469.77445674</v>
      </c>
      <c r="BB67" s="5">
        <f>IF($B66&lt;=Tabla5[[#This Row],[INVERSIONES FCI]],+Tabla5[[#This Row],[INVERSIONES FCI]]-BB66,Tabla5[[#This Row],[INVERSIONES FCI]])</f>
        <v>771791469.77445674</v>
      </c>
      <c r="BC67" s="5">
        <f>IF($B66&lt;=Tabla5[[#This Row],[INVERSIONES FCI]],+Tabla5[[#This Row],[INVERSIONES FCI]]-BC66,Tabla5[[#This Row],[INVERSIONES FCI]])</f>
        <v>771791469.77445674</v>
      </c>
      <c r="BD67" s="5">
        <f>IF($B66&lt;=Tabla5[[#This Row],[INVERSIONES FCI]],+Tabla5[[#This Row],[INVERSIONES FCI]]-BD66,Tabla5[[#This Row],[INVERSIONES FCI]])</f>
        <v>771791469.77445674</v>
      </c>
      <c r="BE67" s="5">
        <f>IF($B66&lt;=Tabla5[[#This Row],[INVERSIONES FCI]],+Tabla5[[#This Row],[INVERSIONES FCI]]-BE66,Tabla5[[#This Row],[INVERSIONES FCI]])</f>
        <v>771791469.77445674</v>
      </c>
      <c r="BF67" s="5">
        <f>IF($B66&lt;=Tabla5[[#This Row],[INVERSIONES FCI]],+Tabla5[[#This Row],[INVERSIONES FCI]]-BF66,Tabla5[[#This Row],[INVERSIONES FCI]])</f>
        <v>771791469.77445674</v>
      </c>
      <c r="BG67" s="5">
        <f>IF($B66&lt;=Tabla5[[#This Row],[INVERSIONES FCI]],+Tabla5[[#This Row],[INVERSIONES FCI]]-BG66,Tabla5[[#This Row],[INVERSIONES FCI]])</f>
        <v>771791469.77445674</v>
      </c>
      <c r="BH67" s="5">
        <f>IF($B66&lt;=Tabla5[[#This Row],[INVERSIONES FCI]],+Tabla5[[#This Row],[INVERSIONES FCI]]-BH66,Tabla5[[#This Row],[INVERSIONES FCI]])</f>
        <v>771791469.77445674</v>
      </c>
      <c r="BI67" s="5">
        <f>IF($B66&lt;=Tabla5[[#This Row],[INVERSIONES FCI]],+Tabla5[[#This Row],[INVERSIONES FCI]]-BI66,Tabla5[[#This Row],[INVERSIONES FCI]])</f>
        <v>771791469.77445674</v>
      </c>
      <c r="BJ67" s="5">
        <f>IF($B66&lt;=Tabla5[[#This Row],[INVERSIONES FCI]],+Tabla5[[#This Row],[INVERSIONES FCI]]-BJ66,Tabla5[[#This Row],[INVERSIONES FCI]])</f>
        <v>771791469.77445674</v>
      </c>
      <c r="BK67" s="5">
        <f>IF($B66&lt;=Tabla5[[#This Row],[INVERSIONES FCI]],+Tabla5[[#This Row],[INVERSIONES FCI]]-BK66,Tabla5[[#This Row],[INVERSIONES FCI]])</f>
        <v>771791469.77445674</v>
      </c>
      <c r="BL67" s="5">
        <f>IF($B66&lt;=Tabla5[[#This Row],[INVERSIONES FCI]],+Tabla5[[#This Row],[INVERSIONES FCI]]-BL66,Tabla5[[#This Row],[INVERSIONES FCI]])</f>
        <v>771791469.77445674</v>
      </c>
      <c r="BM67" s="5">
        <f>IF($B66&lt;=Tabla5[[#This Row],[INVERSIONES FCI]],+Tabla5[[#This Row],[INVERSIONES FCI]]-BM66,Tabla5[[#This Row],[INVERSIONES FCI]])</f>
        <v>771791469.77445674</v>
      </c>
      <c r="BN67" s="5">
        <f>IF($B66&lt;=Tabla5[[#This Row],[INVERSIONES FCI]],+Tabla5[[#This Row],[INVERSIONES FCI]]-BN66,Tabla5[[#This Row],[INVERSIONES FCI]])</f>
        <v>771791469.77445674</v>
      </c>
      <c r="BO67" s="5">
        <f>IF($B66&lt;=Tabla5[[#This Row],[INVERSIONES FCI]],+Tabla5[[#This Row],[INVERSIONES FCI]]-BO66,Tabla5[[#This Row],[INVERSIONES FCI]])</f>
        <v>771791469.77445674</v>
      </c>
      <c r="BP67" s="5" cm="1">
        <f t="array" ref="BP67">IF(Tabla5[[#This Row],[FCI]]=0,0,_xlfn.XLOOKUP(TRUE,$B67:BO67&gt;0,$B67:BO67,"",0,-1))</f>
        <v>771791469.77445674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</row>
    <row r="68" spans="1:121" ht="14.4">
      <c r="A68" s="12" t="s">
        <v>67</v>
      </c>
      <c r="B68" s="5">
        <f>HLOOKUP($A68,ESCENARIO[#All],7,FALSE)</f>
        <v>1286405737.3148992</v>
      </c>
      <c r="C68" s="5">
        <f>IF($B67&lt;=Tabla5[[#This Row],[INVERSIONES FCI]],+Tabla5[[#This Row],[INVERSIONES FCI]]-C67,Tabla5[[#This Row],[INVERSIONES FCI]])</f>
        <v>514614267.54044247</v>
      </c>
      <c r="D68" s="5">
        <f>IF($B67&lt;=Tabla5[[#This Row],[INVERSIONES FCI]],+Tabla5[[#This Row],[INVERSIONES FCI]]-D67,Tabla5[[#This Row],[INVERSIONES FCI]])</f>
        <v>514614267.54044247</v>
      </c>
      <c r="E68" s="5">
        <f>IF($B67&lt;=Tabla5[[#This Row],[INVERSIONES FCI]],+Tabla5[[#This Row],[INVERSIONES FCI]]-E67,Tabla5[[#This Row],[INVERSIONES FCI]])</f>
        <v>514614267.54044247</v>
      </c>
      <c r="F68" s="5">
        <f>IF($B67&lt;=Tabla5[[#This Row],[INVERSIONES FCI]],+Tabla5[[#This Row],[INVERSIONES FCI]]-F67,Tabla5[[#This Row],[INVERSIONES FCI]])</f>
        <v>514614267.54044247</v>
      </c>
      <c r="G68" s="5">
        <f>IF($B67&lt;=Tabla5[[#This Row],[INVERSIONES FCI]],+Tabla5[[#This Row],[INVERSIONES FCI]]-G67,Tabla5[[#This Row],[INVERSIONES FCI]])</f>
        <v>514614267.54044247</v>
      </c>
      <c r="H68" s="5">
        <f>IF($B67&lt;=Tabla5[[#This Row],[INVERSIONES FCI]],+Tabla5[[#This Row],[INVERSIONES FCI]]-H67,Tabla5[[#This Row],[INVERSIONES FCI]])</f>
        <v>514614267.54044247</v>
      </c>
      <c r="I68" s="5">
        <f>IF($B67&lt;=Tabla5[[#This Row],[INVERSIONES FCI]],+Tabla5[[#This Row],[INVERSIONES FCI]]-I67,Tabla5[[#This Row],[INVERSIONES FCI]])</f>
        <v>514614267.54044247</v>
      </c>
      <c r="J68" s="5">
        <f>IF($B67&lt;=Tabla5[[#This Row],[INVERSIONES FCI]],+Tabla5[[#This Row],[INVERSIONES FCI]]-J67,Tabla5[[#This Row],[INVERSIONES FCI]])</f>
        <v>514614267.54044247</v>
      </c>
      <c r="K68" s="5">
        <f>IF($B67&lt;=Tabla5[[#This Row],[INVERSIONES FCI]],+Tabla5[[#This Row],[INVERSIONES FCI]]-K67,Tabla5[[#This Row],[INVERSIONES FCI]])</f>
        <v>514614267.54044247</v>
      </c>
      <c r="L68" s="5">
        <f>IF($B67&lt;=Tabla5[[#This Row],[INVERSIONES FCI]],+Tabla5[[#This Row],[INVERSIONES FCI]]-L67,Tabla5[[#This Row],[INVERSIONES FCI]])</f>
        <v>514614267.54044247</v>
      </c>
      <c r="M68" s="5">
        <f>IF($B67&lt;=Tabla5[[#This Row],[INVERSIONES FCI]],+Tabla5[[#This Row],[INVERSIONES FCI]]-M67,Tabla5[[#This Row],[INVERSIONES FCI]])</f>
        <v>514614267.54044247</v>
      </c>
      <c r="N68" s="5">
        <f>IF($B67&lt;=Tabla5[[#This Row],[INVERSIONES FCI]],+Tabla5[[#This Row],[INVERSIONES FCI]]-N67,Tabla5[[#This Row],[INVERSIONES FCI]])</f>
        <v>514614267.54044247</v>
      </c>
      <c r="O68" s="5">
        <f>IF($B67&lt;=Tabla5[[#This Row],[INVERSIONES FCI]],+Tabla5[[#This Row],[INVERSIONES FCI]]-O67,Tabla5[[#This Row],[INVERSIONES FCI]])</f>
        <v>514614267.54044247</v>
      </c>
      <c r="P68" s="5">
        <f>IF($B67&lt;=Tabla5[[#This Row],[INVERSIONES FCI]],+Tabla5[[#This Row],[INVERSIONES FCI]]-P67,Tabla5[[#This Row],[INVERSIONES FCI]])</f>
        <v>514614267.54044247</v>
      </c>
      <c r="Q68" s="5">
        <f>IF($B67&lt;=Tabla5[[#This Row],[INVERSIONES FCI]],+Tabla5[[#This Row],[INVERSIONES FCI]]-Q67,Tabla5[[#This Row],[INVERSIONES FCI]])</f>
        <v>514614267.54044247</v>
      </c>
      <c r="R68" s="5">
        <f>IF($B67&lt;=Tabla5[[#This Row],[INVERSIONES FCI]],+Tabla5[[#This Row],[INVERSIONES FCI]]-R67,Tabla5[[#This Row],[INVERSIONES FCI]])</f>
        <v>514614267.54044247</v>
      </c>
      <c r="S68" s="5">
        <f>IF($B67&lt;=Tabla5[[#This Row],[INVERSIONES FCI]],+Tabla5[[#This Row],[INVERSIONES FCI]]-S67,Tabla5[[#This Row],[INVERSIONES FCI]])</f>
        <v>514614267.54044247</v>
      </c>
      <c r="T68" s="5">
        <f>IF($B67&lt;=Tabla5[[#This Row],[INVERSIONES FCI]],+Tabla5[[#This Row],[INVERSIONES FCI]]-T67,Tabla5[[#This Row],[INVERSIONES FCI]])</f>
        <v>514614267.54044247</v>
      </c>
      <c r="U68" s="5">
        <f>IF($B67&lt;=Tabla5[[#This Row],[INVERSIONES FCI]],+Tabla5[[#This Row],[INVERSIONES FCI]]-U67,Tabla5[[#This Row],[INVERSIONES FCI]])</f>
        <v>514614267.54044247</v>
      </c>
      <c r="V68" s="5">
        <f>IF($B67&lt;=Tabla5[[#This Row],[INVERSIONES FCI]],+Tabla5[[#This Row],[INVERSIONES FCI]]-V67,Tabla5[[#This Row],[INVERSIONES FCI]])</f>
        <v>514614267.54044247</v>
      </c>
      <c r="W68" s="5">
        <f>IF($B67&lt;=Tabla5[[#This Row],[INVERSIONES FCI]],+Tabla5[[#This Row],[INVERSIONES FCI]]-W67,Tabla5[[#This Row],[INVERSIONES FCI]])</f>
        <v>514614267.54044247</v>
      </c>
      <c r="X68" s="5">
        <f>IF($B67&lt;=Tabla5[[#This Row],[INVERSIONES FCI]],+Tabla5[[#This Row],[INVERSIONES FCI]]-X67,Tabla5[[#This Row],[INVERSIONES FCI]])</f>
        <v>514614267.54044247</v>
      </c>
      <c r="Y68" s="5">
        <f>IF($B67&lt;=Tabla5[[#This Row],[INVERSIONES FCI]],+Tabla5[[#This Row],[INVERSIONES FCI]]-Y67,Tabla5[[#This Row],[INVERSIONES FCI]])</f>
        <v>514614267.54044247</v>
      </c>
      <c r="Z68" s="5">
        <f>IF($B67&lt;=Tabla5[[#This Row],[INVERSIONES FCI]],+Tabla5[[#This Row],[INVERSIONES FCI]]-Z67,Tabla5[[#This Row],[INVERSIONES FCI]])</f>
        <v>514614267.54044247</v>
      </c>
      <c r="AA68" s="5">
        <f>IF($B67&lt;=Tabla5[[#This Row],[INVERSIONES FCI]],+Tabla5[[#This Row],[INVERSIONES FCI]]-AA67,Tabla5[[#This Row],[INVERSIONES FCI]])</f>
        <v>514614267.54044247</v>
      </c>
      <c r="AB68" s="5">
        <f>IF($B67&lt;=Tabla5[[#This Row],[INVERSIONES FCI]],+Tabla5[[#This Row],[INVERSIONES FCI]]-AB67,Tabla5[[#This Row],[INVERSIONES FCI]])</f>
        <v>514614267.54044247</v>
      </c>
      <c r="AC68" s="5">
        <f>IF($B67&lt;=Tabla5[[#This Row],[INVERSIONES FCI]],+Tabla5[[#This Row],[INVERSIONES FCI]]-AC67,Tabla5[[#This Row],[INVERSIONES FCI]])</f>
        <v>514614267.54044247</v>
      </c>
      <c r="AD68" s="5">
        <f>IF($B67&lt;=Tabla5[[#This Row],[INVERSIONES FCI]],+Tabla5[[#This Row],[INVERSIONES FCI]]-AD67,Tabla5[[#This Row],[INVERSIONES FCI]])</f>
        <v>514614267.54044247</v>
      </c>
      <c r="AE68" s="5">
        <f>IF($B67&lt;=Tabla5[[#This Row],[INVERSIONES FCI]],+Tabla5[[#This Row],[INVERSIONES FCI]]-AE67,Tabla5[[#This Row],[INVERSIONES FCI]])</f>
        <v>514614267.54044247</v>
      </c>
      <c r="AF68" s="5">
        <f>IF($B67&lt;=Tabla5[[#This Row],[INVERSIONES FCI]],+Tabla5[[#This Row],[INVERSIONES FCI]]-AF67,Tabla5[[#This Row],[INVERSIONES FCI]])</f>
        <v>514614267.54044247</v>
      </c>
      <c r="AG68" s="5">
        <f>IF($B67&lt;=Tabla5[[#This Row],[INVERSIONES FCI]],+Tabla5[[#This Row],[INVERSIONES FCI]]-AG67,Tabla5[[#This Row],[INVERSIONES FCI]])</f>
        <v>514614267.54044247</v>
      </c>
      <c r="AH68" s="5">
        <f>IF($B67&lt;=Tabla5[[#This Row],[INVERSIONES FCI]],+Tabla5[[#This Row],[INVERSIONES FCI]]-AH67,Tabla5[[#This Row],[INVERSIONES FCI]])</f>
        <v>514614267.54044247</v>
      </c>
      <c r="AI68" s="5">
        <f>IF($B67&lt;=Tabla5[[#This Row],[INVERSIONES FCI]],+Tabla5[[#This Row],[INVERSIONES FCI]]-AI67,Tabla5[[#This Row],[INVERSIONES FCI]])</f>
        <v>514614267.54044247</v>
      </c>
      <c r="AJ68" s="5">
        <f>IF($B67&lt;=Tabla5[[#This Row],[INVERSIONES FCI]],+Tabla5[[#This Row],[INVERSIONES FCI]]-AJ67,Tabla5[[#This Row],[INVERSIONES FCI]])</f>
        <v>514614267.54044247</v>
      </c>
      <c r="AK68" s="5">
        <f>IF($B67&lt;=Tabla5[[#This Row],[INVERSIONES FCI]],+Tabla5[[#This Row],[INVERSIONES FCI]]-AK67,Tabla5[[#This Row],[INVERSIONES FCI]])</f>
        <v>514614267.54044247</v>
      </c>
      <c r="AL68" s="5">
        <f>IF($B67&lt;=Tabla5[[#This Row],[INVERSIONES FCI]],+Tabla5[[#This Row],[INVERSIONES FCI]]-AL67,Tabla5[[#This Row],[INVERSIONES FCI]])</f>
        <v>514614267.54044247</v>
      </c>
      <c r="AM68" s="5">
        <f>IF($B67&lt;=Tabla5[[#This Row],[INVERSIONES FCI]],+Tabla5[[#This Row],[INVERSIONES FCI]]-AM67,Tabla5[[#This Row],[INVERSIONES FCI]])</f>
        <v>514614267.54044247</v>
      </c>
      <c r="AN68" s="5">
        <f>IF($B67&lt;=Tabla5[[#This Row],[INVERSIONES FCI]],+Tabla5[[#This Row],[INVERSIONES FCI]]-AN67,Tabla5[[#This Row],[INVERSIONES FCI]])</f>
        <v>514614267.54044247</v>
      </c>
      <c r="AO68" s="5">
        <f>IF($B67&lt;=Tabla5[[#This Row],[INVERSIONES FCI]],+Tabla5[[#This Row],[INVERSIONES FCI]]-AO67,Tabla5[[#This Row],[INVERSIONES FCI]])</f>
        <v>514614267.54044247</v>
      </c>
      <c r="AP68" s="5">
        <f>IF($B67&lt;=Tabla5[[#This Row],[INVERSIONES FCI]],+Tabla5[[#This Row],[INVERSIONES FCI]]-AP67,Tabla5[[#This Row],[INVERSIONES FCI]])</f>
        <v>514614267.54044247</v>
      </c>
      <c r="AQ68" s="5">
        <f>IF($B67&lt;=Tabla5[[#This Row],[INVERSIONES FCI]],+Tabla5[[#This Row],[INVERSIONES FCI]]-AQ67,Tabla5[[#This Row],[INVERSIONES FCI]])</f>
        <v>514614267.54044247</v>
      </c>
      <c r="AR68" s="5">
        <f>IF($B67&lt;=Tabla5[[#This Row],[INVERSIONES FCI]],+Tabla5[[#This Row],[INVERSIONES FCI]]-AR67,Tabla5[[#This Row],[INVERSIONES FCI]])</f>
        <v>514614267.54044247</v>
      </c>
      <c r="AS68" s="5">
        <f>IF($B67&lt;=Tabla5[[#This Row],[INVERSIONES FCI]],+Tabla5[[#This Row],[INVERSIONES FCI]]-AS67,Tabla5[[#This Row],[INVERSIONES FCI]])</f>
        <v>514614267.54044247</v>
      </c>
      <c r="AT68" s="5">
        <f>IF($B67&lt;=Tabla5[[#This Row],[INVERSIONES FCI]],+Tabla5[[#This Row],[INVERSIONES FCI]]-AT67,Tabla5[[#This Row],[INVERSIONES FCI]])</f>
        <v>514614267.54044247</v>
      </c>
      <c r="AU68" s="5">
        <f>IF($B67&lt;=Tabla5[[#This Row],[INVERSIONES FCI]],+Tabla5[[#This Row],[INVERSIONES FCI]]-AU67,Tabla5[[#This Row],[INVERSIONES FCI]])</f>
        <v>514614267.54044247</v>
      </c>
      <c r="AV68" s="5">
        <f>IF($B67&lt;=Tabla5[[#This Row],[INVERSIONES FCI]],+Tabla5[[#This Row],[INVERSIONES FCI]]-AV67,Tabla5[[#This Row],[INVERSIONES FCI]])</f>
        <v>514614267.54044247</v>
      </c>
      <c r="AW68" s="5">
        <f>IF($B67&lt;=Tabla5[[#This Row],[INVERSIONES FCI]],+Tabla5[[#This Row],[INVERSIONES FCI]]-AW67,Tabla5[[#This Row],[INVERSIONES FCI]])</f>
        <v>514614267.54044247</v>
      </c>
      <c r="AX68" s="5">
        <f>IF($B67&lt;=Tabla5[[#This Row],[INVERSIONES FCI]],+Tabla5[[#This Row],[INVERSIONES FCI]]-AX67,Tabla5[[#This Row],[INVERSIONES FCI]])</f>
        <v>514614267.54044247</v>
      </c>
      <c r="AY68" s="5">
        <f>IF($B67&lt;=Tabla5[[#This Row],[INVERSIONES FCI]],+Tabla5[[#This Row],[INVERSIONES FCI]]-AY67,Tabla5[[#This Row],[INVERSIONES FCI]])</f>
        <v>514614267.54044247</v>
      </c>
      <c r="AZ68" s="5">
        <f>IF($B67&lt;=Tabla5[[#This Row],[INVERSIONES FCI]],+Tabla5[[#This Row],[INVERSIONES FCI]]-AZ67,Tabla5[[#This Row],[INVERSIONES FCI]])</f>
        <v>514614267.54044247</v>
      </c>
      <c r="BA68" s="5">
        <f>IF($B67&lt;=Tabla5[[#This Row],[INVERSIONES FCI]],+Tabla5[[#This Row],[INVERSIONES FCI]]-BA67,Tabla5[[#This Row],[INVERSIONES FCI]])</f>
        <v>514614267.54044247</v>
      </c>
      <c r="BB68" s="5">
        <f>IF($B67&lt;=Tabla5[[#This Row],[INVERSIONES FCI]],+Tabla5[[#This Row],[INVERSIONES FCI]]-BB67,Tabla5[[#This Row],[INVERSIONES FCI]])</f>
        <v>514614267.54044247</v>
      </c>
      <c r="BC68" s="5">
        <f>IF($B67&lt;=Tabla5[[#This Row],[INVERSIONES FCI]],+Tabla5[[#This Row],[INVERSIONES FCI]]-BC67,Tabla5[[#This Row],[INVERSIONES FCI]])</f>
        <v>514614267.54044247</v>
      </c>
      <c r="BD68" s="5">
        <f>IF($B67&lt;=Tabla5[[#This Row],[INVERSIONES FCI]],+Tabla5[[#This Row],[INVERSIONES FCI]]-BD67,Tabla5[[#This Row],[INVERSIONES FCI]])</f>
        <v>514614267.54044247</v>
      </c>
      <c r="BE68" s="5">
        <f>IF($B67&lt;=Tabla5[[#This Row],[INVERSIONES FCI]],+Tabla5[[#This Row],[INVERSIONES FCI]]-BE67,Tabla5[[#This Row],[INVERSIONES FCI]])</f>
        <v>514614267.54044247</v>
      </c>
      <c r="BF68" s="5">
        <f>IF($B67&lt;=Tabla5[[#This Row],[INVERSIONES FCI]],+Tabla5[[#This Row],[INVERSIONES FCI]]-BF67,Tabla5[[#This Row],[INVERSIONES FCI]])</f>
        <v>514614267.54044247</v>
      </c>
      <c r="BG68" s="5">
        <f>IF($B67&lt;=Tabla5[[#This Row],[INVERSIONES FCI]],+Tabla5[[#This Row],[INVERSIONES FCI]]-BG67,Tabla5[[#This Row],[INVERSIONES FCI]])</f>
        <v>514614267.54044247</v>
      </c>
      <c r="BH68" s="5">
        <f>IF($B67&lt;=Tabla5[[#This Row],[INVERSIONES FCI]],+Tabla5[[#This Row],[INVERSIONES FCI]]-BH67,Tabla5[[#This Row],[INVERSIONES FCI]])</f>
        <v>514614267.54044247</v>
      </c>
      <c r="BI68" s="5">
        <f>IF($B67&lt;=Tabla5[[#This Row],[INVERSIONES FCI]],+Tabla5[[#This Row],[INVERSIONES FCI]]-BI67,Tabla5[[#This Row],[INVERSIONES FCI]])</f>
        <v>514614267.54044247</v>
      </c>
      <c r="BJ68" s="5">
        <f>IF($B67&lt;=Tabla5[[#This Row],[INVERSIONES FCI]],+Tabla5[[#This Row],[INVERSIONES FCI]]-BJ67,Tabla5[[#This Row],[INVERSIONES FCI]])</f>
        <v>514614267.54044247</v>
      </c>
      <c r="BK68" s="5">
        <f>IF($B67&lt;=Tabla5[[#This Row],[INVERSIONES FCI]],+Tabla5[[#This Row],[INVERSIONES FCI]]-BK67,Tabla5[[#This Row],[INVERSIONES FCI]])</f>
        <v>514614267.54044247</v>
      </c>
      <c r="BL68" s="5">
        <f>IF($B67&lt;=Tabla5[[#This Row],[INVERSIONES FCI]],+Tabla5[[#This Row],[INVERSIONES FCI]]-BL67,Tabla5[[#This Row],[INVERSIONES FCI]])</f>
        <v>514614267.54044247</v>
      </c>
      <c r="BM68" s="5">
        <f>IF($B67&lt;=Tabla5[[#This Row],[INVERSIONES FCI]],+Tabla5[[#This Row],[INVERSIONES FCI]]-BM67,Tabla5[[#This Row],[INVERSIONES FCI]])</f>
        <v>514614267.54044247</v>
      </c>
      <c r="BN68" s="5">
        <f>IF($B67&lt;=Tabla5[[#This Row],[INVERSIONES FCI]],+Tabla5[[#This Row],[INVERSIONES FCI]]-BN67,Tabla5[[#This Row],[INVERSIONES FCI]])</f>
        <v>514614267.54044247</v>
      </c>
      <c r="BO68" s="5">
        <f>IF($B67&lt;=Tabla5[[#This Row],[INVERSIONES FCI]],+Tabla5[[#This Row],[INVERSIONES FCI]]-BO67,Tabla5[[#This Row],[INVERSIONES FCI]])</f>
        <v>514614267.54044247</v>
      </c>
      <c r="BP68" s="5">
        <f>IF($B67&lt;=Tabla5[[#This Row],[INVERSIONES FCI]],+Tabla5[[#This Row],[INVERSIONES FCI]]-BP67,Tabla5[[#This Row],[INVERSIONES FCI]])</f>
        <v>514614267.54044247</v>
      </c>
      <c r="BQ68" s="5" cm="1">
        <f t="array" ref="BQ68">IF(Tabla5[[#This Row],[FCI]]=0,0,_xlfn.XLOOKUP(TRUE,$B68:BP68&gt;0,$B68:BP68,"",0,-1))</f>
        <v>514614267.54044247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</row>
    <row r="69" spans="1:121" ht="14.4">
      <c r="A69" s="12" t="s">
        <v>68</v>
      </c>
      <c r="B69" s="5">
        <f>HLOOKUP($A69,ESCENARIO[#All],7,FALSE)</f>
        <v>1936160752.883739</v>
      </c>
      <c r="C69" s="5">
        <f>IF($B68&lt;=Tabla5[[#This Row],[INVERSIONES FCI]],+Tabla5[[#This Row],[INVERSIONES FCI]]-C68,Tabla5[[#This Row],[INVERSIONES FCI]])</f>
        <v>1421546485.3432965</v>
      </c>
      <c r="D69" s="5">
        <f>IF($B68&lt;=Tabla5[[#This Row],[INVERSIONES FCI]],+Tabla5[[#This Row],[INVERSIONES FCI]]-D68,Tabla5[[#This Row],[INVERSIONES FCI]])</f>
        <v>1421546485.3432965</v>
      </c>
      <c r="E69" s="5">
        <f>IF($B68&lt;=Tabla5[[#This Row],[INVERSIONES FCI]],+Tabla5[[#This Row],[INVERSIONES FCI]]-E68,Tabla5[[#This Row],[INVERSIONES FCI]])</f>
        <v>1421546485.3432965</v>
      </c>
      <c r="F69" s="5">
        <f>IF($B68&lt;=Tabla5[[#This Row],[INVERSIONES FCI]],+Tabla5[[#This Row],[INVERSIONES FCI]]-F68,Tabla5[[#This Row],[INVERSIONES FCI]])</f>
        <v>1421546485.3432965</v>
      </c>
      <c r="G69" s="5">
        <f>IF($B68&lt;=Tabla5[[#This Row],[INVERSIONES FCI]],+Tabla5[[#This Row],[INVERSIONES FCI]]-G68,Tabla5[[#This Row],[INVERSIONES FCI]])</f>
        <v>1421546485.3432965</v>
      </c>
      <c r="H69" s="5">
        <f>IF($B68&lt;=Tabla5[[#This Row],[INVERSIONES FCI]],+Tabla5[[#This Row],[INVERSIONES FCI]]-H68,Tabla5[[#This Row],[INVERSIONES FCI]])</f>
        <v>1421546485.3432965</v>
      </c>
      <c r="I69" s="5">
        <f>IF($B68&lt;=Tabla5[[#This Row],[INVERSIONES FCI]],+Tabla5[[#This Row],[INVERSIONES FCI]]-I68,Tabla5[[#This Row],[INVERSIONES FCI]])</f>
        <v>1421546485.3432965</v>
      </c>
      <c r="J69" s="5">
        <f>IF($B68&lt;=Tabla5[[#This Row],[INVERSIONES FCI]],+Tabla5[[#This Row],[INVERSIONES FCI]]-J68,Tabla5[[#This Row],[INVERSIONES FCI]])</f>
        <v>1421546485.3432965</v>
      </c>
      <c r="K69" s="5">
        <f>IF($B68&lt;=Tabla5[[#This Row],[INVERSIONES FCI]],+Tabla5[[#This Row],[INVERSIONES FCI]]-K68,Tabla5[[#This Row],[INVERSIONES FCI]])</f>
        <v>1421546485.3432965</v>
      </c>
      <c r="L69" s="5">
        <f>IF($B68&lt;=Tabla5[[#This Row],[INVERSIONES FCI]],+Tabla5[[#This Row],[INVERSIONES FCI]]-L68,Tabla5[[#This Row],[INVERSIONES FCI]])</f>
        <v>1421546485.3432965</v>
      </c>
      <c r="M69" s="5">
        <f>IF($B68&lt;=Tabla5[[#This Row],[INVERSIONES FCI]],+Tabla5[[#This Row],[INVERSIONES FCI]]-M68,Tabla5[[#This Row],[INVERSIONES FCI]])</f>
        <v>1421546485.3432965</v>
      </c>
      <c r="N69" s="5">
        <f>IF($B68&lt;=Tabla5[[#This Row],[INVERSIONES FCI]],+Tabla5[[#This Row],[INVERSIONES FCI]]-N68,Tabla5[[#This Row],[INVERSIONES FCI]])</f>
        <v>1421546485.3432965</v>
      </c>
      <c r="O69" s="5">
        <f>IF($B68&lt;=Tabla5[[#This Row],[INVERSIONES FCI]],+Tabla5[[#This Row],[INVERSIONES FCI]]-O68,Tabla5[[#This Row],[INVERSIONES FCI]])</f>
        <v>1421546485.3432965</v>
      </c>
      <c r="P69" s="5">
        <f>IF($B68&lt;=Tabla5[[#This Row],[INVERSIONES FCI]],+Tabla5[[#This Row],[INVERSIONES FCI]]-P68,Tabla5[[#This Row],[INVERSIONES FCI]])</f>
        <v>1421546485.3432965</v>
      </c>
      <c r="Q69" s="5">
        <f>IF($B68&lt;=Tabla5[[#This Row],[INVERSIONES FCI]],+Tabla5[[#This Row],[INVERSIONES FCI]]-Q68,Tabla5[[#This Row],[INVERSIONES FCI]])</f>
        <v>1421546485.3432965</v>
      </c>
      <c r="R69" s="5">
        <f>IF($B68&lt;=Tabla5[[#This Row],[INVERSIONES FCI]],+Tabla5[[#This Row],[INVERSIONES FCI]]-R68,Tabla5[[#This Row],[INVERSIONES FCI]])</f>
        <v>1421546485.3432965</v>
      </c>
      <c r="S69" s="5">
        <f>IF($B68&lt;=Tabla5[[#This Row],[INVERSIONES FCI]],+Tabla5[[#This Row],[INVERSIONES FCI]]-S68,Tabla5[[#This Row],[INVERSIONES FCI]])</f>
        <v>1421546485.3432965</v>
      </c>
      <c r="T69" s="5">
        <f>IF($B68&lt;=Tabla5[[#This Row],[INVERSIONES FCI]],+Tabla5[[#This Row],[INVERSIONES FCI]]-T68,Tabla5[[#This Row],[INVERSIONES FCI]])</f>
        <v>1421546485.3432965</v>
      </c>
      <c r="U69" s="5">
        <f>IF($B68&lt;=Tabla5[[#This Row],[INVERSIONES FCI]],+Tabla5[[#This Row],[INVERSIONES FCI]]-U68,Tabla5[[#This Row],[INVERSIONES FCI]])</f>
        <v>1421546485.3432965</v>
      </c>
      <c r="V69" s="5">
        <f>IF($B68&lt;=Tabla5[[#This Row],[INVERSIONES FCI]],+Tabla5[[#This Row],[INVERSIONES FCI]]-V68,Tabla5[[#This Row],[INVERSIONES FCI]])</f>
        <v>1421546485.3432965</v>
      </c>
      <c r="W69" s="5">
        <f>IF($B68&lt;=Tabla5[[#This Row],[INVERSIONES FCI]],+Tabla5[[#This Row],[INVERSIONES FCI]]-W68,Tabla5[[#This Row],[INVERSIONES FCI]])</f>
        <v>1421546485.3432965</v>
      </c>
      <c r="X69" s="5">
        <f>IF($B68&lt;=Tabla5[[#This Row],[INVERSIONES FCI]],+Tabla5[[#This Row],[INVERSIONES FCI]]-X68,Tabla5[[#This Row],[INVERSIONES FCI]])</f>
        <v>1421546485.3432965</v>
      </c>
      <c r="Y69" s="5">
        <f>IF($B68&lt;=Tabla5[[#This Row],[INVERSIONES FCI]],+Tabla5[[#This Row],[INVERSIONES FCI]]-Y68,Tabla5[[#This Row],[INVERSIONES FCI]])</f>
        <v>1421546485.3432965</v>
      </c>
      <c r="Z69" s="5">
        <f>IF($B68&lt;=Tabla5[[#This Row],[INVERSIONES FCI]],+Tabla5[[#This Row],[INVERSIONES FCI]]-Z68,Tabla5[[#This Row],[INVERSIONES FCI]])</f>
        <v>1421546485.3432965</v>
      </c>
      <c r="AA69" s="5">
        <f>IF($B68&lt;=Tabla5[[#This Row],[INVERSIONES FCI]],+Tabla5[[#This Row],[INVERSIONES FCI]]-AA68,Tabla5[[#This Row],[INVERSIONES FCI]])</f>
        <v>1421546485.3432965</v>
      </c>
      <c r="AB69" s="5">
        <f>IF($B68&lt;=Tabla5[[#This Row],[INVERSIONES FCI]],+Tabla5[[#This Row],[INVERSIONES FCI]]-AB68,Tabla5[[#This Row],[INVERSIONES FCI]])</f>
        <v>1421546485.3432965</v>
      </c>
      <c r="AC69" s="5">
        <f>IF($B68&lt;=Tabla5[[#This Row],[INVERSIONES FCI]],+Tabla5[[#This Row],[INVERSIONES FCI]]-AC68,Tabla5[[#This Row],[INVERSIONES FCI]])</f>
        <v>1421546485.3432965</v>
      </c>
      <c r="AD69" s="5">
        <f>IF($B68&lt;=Tabla5[[#This Row],[INVERSIONES FCI]],+Tabla5[[#This Row],[INVERSIONES FCI]]-AD68,Tabla5[[#This Row],[INVERSIONES FCI]])</f>
        <v>1421546485.3432965</v>
      </c>
      <c r="AE69" s="5">
        <f>IF($B68&lt;=Tabla5[[#This Row],[INVERSIONES FCI]],+Tabla5[[#This Row],[INVERSIONES FCI]]-AE68,Tabla5[[#This Row],[INVERSIONES FCI]])</f>
        <v>1421546485.3432965</v>
      </c>
      <c r="AF69" s="5">
        <f>IF($B68&lt;=Tabla5[[#This Row],[INVERSIONES FCI]],+Tabla5[[#This Row],[INVERSIONES FCI]]-AF68,Tabla5[[#This Row],[INVERSIONES FCI]])</f>
        <v>1421546485.3432965</v>
      </c>
      <c r="AG69" s="5">
        <f>IF($B68&lt;=Tabla5[[#This Row],[INVERSIONES FCI]],+Tabla5[[#This Row],[INVERSIONES FCI]]-AG68,Tabla5[[#This Row],[INVERSIONES FCI]])</f>
        <v>1421546485.3432965</v>
      </c>
      <c r="AH69" s="5">
        <f>IF($B68&lt;=Tabla5[[#This Row],[INVERSIONES FCI]],+Tabla5[[#This Row],[INVERSIONES FCI]]-AH68,Tabla5[[#This Row],[INVERSIONES FCI]])</f>
        <v>1421546485.3432965</v>
      </c>
      <c r="AI69" s="5">
        <f>IF($B68&lt;=Tabla5[[#This Row],[INVERSIONES FCI]],+Tabla5[[#This Row],[INVERSIONES FCI]]-AI68,Tabla5[[#This Row],[INVERSIONES FCI]])</f>
        <v>1421546485.3432965</v>
      </c>
      <c r="AJ69" s="5">
        <f>IF($B68&lt;=Tabla5[[#This Row],[INVERSIONES FCI]],+Tabla5[[#This Row],[INVERSIONES FCI]]-AJ68,Tabla5[[#This Row],[INVERSIONES FCI]])</f>
        <v>1421546485.3432965</v>
      </c>
      <c r="AK69" s="5">
        <f>IF($B68&lt;=Tabla5[[#This Row],[INVERSIONES FCI]],+Tabla5[[#This Row],[INVERSIONES FCI]]-AK68,Tabla5[[#This Row],[INVERSIONES FCI]])</f>
        <v>1421546485.3432965</v>
      </c>
      <c r="AL69" s="5">
        <f>IF($B68&lt;=Tabla5[[#This Row],[INVERSIONES FCI]],+Tabla5[[#This Row],[INVERSIONES FCI]]-AL68,Tabla5[[#This Row],[INVERSIONES FCI]])</f>
        <v>1421546485.3432965</v>
      </c>
      <c r="AM69" s="5">
        <f>IF($B68&lt;=Tabla5[[#This Row],[INVERSIONES FCI]],+Tabla5[[#This Row],[INVERSIONES FCI]]-AM68,Tabla5[[#This Row],[INVERSIONES FCI]])</f>
        <v>1421546485.3432965</v>
      </c>
      <c r="AN69" s="5">
        <f>IF($B68&lt;=Tabla5[[#This Row],[INVERSIONES FCI]],+Tabla5[[#This Row],[INVERSIONES FCI]]-AN68,Tabla5[[#This Row],[INVERSIONES FCI]])</f>
        <v>1421546485.3432965</v>
      </c>
      <c r="AO69" s="5">
        <f>IF($B68&lt;=Tabla5[[#This Row],[INVERSIONES FCI]],+Tabla5[[#This Row],[INVERSIONES FCI]]-AO68,Tabla5[[#This Row],[INVERSIONES FCI]])</f>
        <v>1421546485.3432965</v>
      </c>
      <c r="AP69" s="5">
        <f>IF($B68&lt;=Tabla5[[#This Row],[INVERSIONES FCI]],+Tabla5[[#This Row],[INVERSIONES FCI]]-AP68,Tabla5[[#This Row],[INVERSIONES FCI]])</f>
        <v>1421546485.3432965</v>
      </c>
      <c r="AQ69" s="5">
        <f>IF($B68&lt;=Tabla5[[#This Row],[INVERSIONES FCI]],+Tabla5[[#This Row],[INVERSIONES FCI]]-AQ68,Tabla5[[#This Row],[INVERSIONES FCI]])</f>
        <v>1421546485.3432965</v>
      </c>
      <c r="AR69" s="5">
        <f>IF($B68&lt;=Tabla5[[#This Row],[INVERSIONES FCI]],+Tabla5[[#This Row],[INVERSIONES FCI]]-AR68,Tabla5[[#This Row],[INVERSIONES FCI]])</f>
        <v>1421546485.3432965</v>
      </c>
      <c r="AS69" s="5">
        <f>IF($B68&lt;=Tabla5[[#This Row],[INVERSIONES FCI]],+Tabla5[[#This Row],[INVERSIONES FCI]]-AS68,Tabla5[[#This Row],[INVERSIONES FCI]])</f>
        <v>1421546485.3432965</v>
      </c>
      <c r="AT69" s="5">
        <f>IF($B68&lt;=Tabla5[[#This Row],[INVERSIONES FCI]],+Tabla5[[#This Row],[INVERSIONES FCI]]-AT68,Tabla5[[#This Row],[INVERSIONES FCI]])</f>
        <v>1421546485.3432965</v>
      </c>
      <c r="AU69" s="5">
        <f>IF($B68&lt;=Tabla5[[#This Row],[INVERSIONES FCI]],+Tabla5[[#This Row],[INVERSIONES FCI]]-AU68,Tabla5[[#This Row],[INVERSIONES FCI]])</f>
        <v>1421546485.3432965</v>
      </c>
      <c r="AV69" s="5">
        <f>IF($B68&lt;=Tabla5[[#This Row],[INVERSIONES FCI]],+Tabla5[[#This Row],[INVERSIONES FCI]]-AV68,Tabla5[[#This Row],[INVERSIONES FCI]])</f>
        <v>1421546485.3432965</v>
      </c>
      <c r="AW69" s="5">
        <f>IF($B68&lt;=Tabla5[[#This Row],[INVERSIONES FCI]],+Tabla5[[#This Row],[INVERSIONES FCI]]-AW68,Tabla5[[#This Row],[INVERSIONES FCI]])</f>
        <v>1421546485.3432965</v>
      </c>
      <c r="AX69" s="5">
        <f>IF($B68&lt;=Tabla5[[#This Row],[INVERSIONES FCI]],+Tabla5[[#This Row],[INVERSIONES FCI]]-AX68,Tabla5[[#This Row],[INVERSIONES FCI]])</f>
        <v>1421546485.3432965</v>
      </c>
      <c r="AY69" s="5">
        <f>IF($B68&lt;=Tabla5[[#This Row],[INVERSIONES FCI]],+Tabla5[[#This Row],[INVERSIONES FCI]]-AY68,Tabla5[[#This Row],[INVERSIONES FCI]])</f>
        <v>1421546485.3432965</v>
      </c>
      <c r="AZ69" s="5">
        <f>IF($B68&lt;=Tabla5[[#This Row],[INVERSIONES FCI]],+Tabla5[[#This Row],[INVERSIONES FCI]]-AZ68,Tabla5[[#This Row],[INVERSIONES FCI]])</f>
        <v>1421546485.3432965</v>
      </c>
      <c r="BA69" s="5">
        <f>IF($B68&lt;=Tabla5[[#This Row],[INVERSIONES FCI]],+Tabla5[[#This Row],[INVERSIONES FCI]]-BA68,Tabla5[[#This Row],[INVERSIONES FCI]])</f>
        <v>1421546485.3432965</v>
      </c>
      <c r="BB69" s="5">
        <f>IF($B68&lt;=Tabla5[[#This Row],[INVERSIONES FCI]],+Tabla5[[#This Row],[INVERSIONES FCI]]-BB68,Tabla5[[#This Row],[INVERSIONES FCI]])</f>
        <v>1421546485.3432965</v>
      </c>
      <c r="BC69" s="5">
        <f>IF($B68&lt;=Tabla5[[#This Row],[INVERSIONES FCI]],+Tabla5[[#This Row],[INVERSIONES FCI]]-BC68,Tabla5[[#This Row],[INVERSIONES FCI]])</f>
        <v>1421546485.3432965</v>
      </c>
      <c r="BD69" s="5">
        <f>IF($B68&lt;=Tabla5[[#This Row],[INVERSIONES FCI]],+Tabla5[[#This Row],[INVERSIONES FCI]]-BD68,Tabla5[[#This Row],[INVERSIONES FCI]])</f>
        <v>1421546485.3432965</v>
      </c>
      <c r="BE69" s="5">
        <f>IF($B68&lt;=Tabla5[[#This Row],[INVERSIONES FCI]],+Tabla5[[#This Row],[INVERSIONES FCI]]-BE68,Tabla5[[#This Row],[INVERSIONES FCI]])</f>
        <v>1421546485.3432965</v>
      </c>
      <c r="BF69" s="5">
        <f>IF($B68&lt;=Tabla5[[#This Row],[INVERSIONES FCI]],+Tabla5[[#This Row],[INVERSIONES FCI]]-BF68,Tabla5[[#This Row],[INVERSIONES FCI]])</f>
        <v>1421546485.3432965</v>
      </c>
      <c r="BG69" s="5">
        <f>IF($B68&lt;=Tabla5[[#This Row],[INVERSIONES FCI]],+Tabla5[[#This Row],[INVERSIONES FCI]]-BG68,Tabla5[[#This Row],[INVERSIONES FCI]])</f>
        <v>1421546485.3432965</v>
      </c>
      <c r="BH69" s="5">
        <f>IF($B68&lt;=Tabla5[[#This Row],[INVERSIONES FCI]],+Tabla5[[#This Row],[INVERSIONES FCI]]-BH68,Tabla5[[#This Row],[INVERSIONES FCI]])</f>
        <v>1421546485.3432965</v>
      </c>
      <c r="BI69" s="5">
        <f>IF($B68&lt;=Tabla5[[#This Row],[INVERSIONES FCI]],+Tabla5[[#This Row],[INVERSIONES FCI]]-BI68,Tabla5[[#This Row],[INVERSIONES FCI]])</f>
        <v>1421546485.3432965</v>
      </c>
      <c r="BJ69" s="5">
        <f>IF($B68&lt;=Tabla5[[#This Row],[INVERSIONES FCI]],+Tabla5[[#This Row],[INVERSIONES FCI]]-BJ68,Tabla5[[#This Row],[INVERSIONES FCI]])</f>
        <v>1421546485.3432965</v>
      </c>
      <c r="BK69" s="5">
        <f>IF($B68&lt;=Tabla5[[#This Row],[INVERSIONES FCI]],+Tabla5[[#This Row],[INVERSIONES FCI]]-BK68,Tabla5[[#This Row],[INVERSIONES FCI]])</f>
        <v>1421546485.3432965</v>
      </c>
      <c r="BL69" s="5">
        <f>IF($B68&lt;=Tabla5[[#This Row],[INVERSIONES FCI]],+Tabla5[[#This Row],[INVERSIONES FCI]]-BL68,Tabla5[[#This Row],[INVERSIONES FCI]])</f>
        <v>1421546485.3432965</v>
      </c>
      <c r="BM69" s="5">
        <f>IF($B68&lt;=Tabla5[[#This Row],[INVERSIONES FCI]],+Tabla5[[#This Row],[INVERSIONES FCI]]-BM68,Tabla5[[#This Row],[INVERSIONES FCI]])</f>
        <v>1421546485.3432965</v>
      </c>
      <c r="BN69" s="5">
        <f>IF($B68&lt;=Tabla5[[#This Row],[INVERSIONES FCI]],+Tabla5[[#This Row],[INVERSIONES FCI]]-BN68,Tabla5[[#This Row],[INVERSIONES FCI]])</f>
        <v>1421546485.3432965</v>
      </c>
      <c r="BO69" s="5">
        <f>IF($B68&lt;=Tabla5[[#This Row],[INVERSIONES FCI]],+Tabla5[[#This Row],[INVERSIONES FCI]]-BO68,Tabla5[[#This Row],[INVERSIONES FCI]])</f>
        <v>1421546485.3432965</v>
      </c>
      <c r="BP69" s="5">
        <f>IF($B68&lt;=Tabla5[[#This Row],[INVERSIONES FCI]],+Tabla5[[#This Row],[INVERSIONES FCI]]-BP68,Tabla5[[#This Row],[INVERSIONES FCI]])</f>
        <v>1421546485.3432965</v>
      </c>
      <c r="BQ69" s="5">
        <f>IF($B68&lt;=Tabla5[[#This Row],[INVERSIONES FCI]],+Tabla5[[#This Row],[INVERSIONES FCI]]-BQ68,Tabla5[[#This Row],[INVERSIONES FCI]])</f>
        <v>1421546485.3432965</v>
      </c>
      <c r="BR69" s="5" cm="1">
        <f t="array" ref="BR69">IF(Tabla5[[#This Row],[FCI]]=0,0,_xlfn.XLOOKUP(TRUE,$B69:BQ69&gt;0,$B69:BQ69,"",0,-1))</f>
        <v>1421546485.3432965</v>
      </c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</row>
    <row r="70" spans="1:121" ht="14.4">
      <c r="A70" s="12" t="s">
        <v>69</v>
      </c>
      <c r="B70" s="5">
        <f>HLOOKUP($A70,ESCENARIO[#All],7,FALSE)</f>
        <v>2780013828.3709826</v>
      </c>
      <c r="C70" s="5">
        <f>IF($B69&lt;=Tabla5[[#This Row],[INVERSIONES FCI]],+Tabla5[[#This Row],[INVERSIONES FCI]]-C69,Tabla5[[#This Row],[INVERSIONES FCI]])</f>
        <v>1358467343.0276861</v>
      </c>
      <c r="D70" s="5">
        <f>IF($B69&lt;=Tabla5[[#This Row],[INVERSIONES FCI]],+Tabla5[[#This Row],[INVERSIONES FCI]]-D69,Tabla5[[#This Row],[INVERSIONES FCI]])</f>
        <v>1358467343.0276861</v>
      </c>
      <c r="E70" s="5">
        <f>IF($B69&lt;=Tabla5[[#This Row],[INVERSIONES FCI]],+Tabla5[[#This Row],[INVERSIONES FCI]]-E69,Tabla5[[#This Row],[INVERSIONES FCI]])</f>
        <v>1358467343.0276861</v>
      </c>
      <c r="F70" s="5">
        <f>IF($B69&lt;=Tabla5[[#This Row],[INVERSIONES FCI]],+Tabla5[[#This Row],[INVERSIONES FCI]]-F69,Tabla5[[#This Row],[INVERSIONES FCI]])</f>
        <v>1358467343.0276861</v>
      </c>
      <c r="G70" s="5">
        <f>IF($B69&lt;=Tabla5[[#This Row],[INVERSIONES FCI]],+Tabla5[[#This Row],[INVERSIONES FCI]]-G69,Tabla5[[#This Row],[INVERSIONES FCI]])</f>
        <v>1358467343.0276861</v>
      </c>
      <c r="H70" s="5">
        <f>IF($B69&lt;=Tabla5[[#This Row],[INVERSIONES FCI]],+Tabla5[[#This Row],[INVERSIONES FCI]]-H69,Tabla5[[#This Row],[INVERSIONES FCI]])</f>
        <v>1358467343.0276861</v>
      </c>
      <c r="I70" s="5">
        <f>IF($B69&lt;=Tabla5[[#This Row],[INVERSIONES FCI]],+Tabla5[[#This Row],[INVERSIONES FCI]]-I69,Tabla5[[#This Row],[INVERSIONES FCI]])</f>
        <v>1358467343.0276861</v>
      </c>
      <c r="J70" s="5">
        <f>IF($B69&lt;=Tabla5[[#This Row],[INVERSIONES FCI]],+Tabla5[[#This Row],[INVERSIONES FCI]]-J69,Tabla5[[#This Row],[INVERSIONES FCI]])</f>
        <v>1358467343.0276861</v>
      </c>
      <c r="K70" s="5">
        <f>IF($B69&lt;=Tabla5[[#This Row],[INVERSIONES FCI]],+Tabla5[[#This Row],[INVERSIONES FCI]]-K69,Tabla5[[#This Row],[INVERSIONES FCI]])</f>
        <v>1358467343.0276861</v>
      </c>
      <c r="L70" s="5">
        <f>IF($B69&lt;=Tabla5[[#This Row],[INVERSIONES FCI]],+Tabla5[[#This Row],[INVERSIONES FCI]]-L69,Tabla5[[#This Row],[INVERSIONES FCI]])</f>
        <v>1358467343.0276861</v>
      </c>
      <c r="M70" s="5">
        <f>IF($B69&lt;=Tabla5[[#This Row],[INVERSIONES FCI]],+Tabla5[[#This Row],[INVERSIONES FCI]]-M69,Tabla5[[#This Row],[INVERSIONES FCI]])</f>
        <v>1358467343.0276861</v>
      </c>
      <c r="N70" s="5">
        <f>IF($B69&lt;=Tabla5[[#This Row],[INVERSIONES FCI]],+Tabla5[[#This Row],[INVERSIONES FCI]]-N69,Tabla5[[#This Row],[INVERSIONES FCI]])</f>
        <v>1358467343.0276861</v>
      </c>
      <c r="O70" s="5">
        <f>IF($B69&lt;=Tabla5[[#This Row],[INVERSIONES FCI]],+Tabla5[[#This Row],[INVERSIONES FCI]]-O69,Tabla5[[#This Row],[INVERSIONES FCI]])</f>
        <v>1358467343.0276861</v>
      </c>
      <c r="P70" s="5">
        <f>IF($B69&lt;=Tabla5[[#This Row],[INVERSIONES FCI]],+Tabla5[[#This Row],[INVERSIONES FCI]]-P69,Tabla5[[#This Row],[INVERSIONES FCI]])</f>
        <v>1358467343.0276861</v>
      </c>
      <c r="Q70" s="5">
        <f>IF($B69&lt;=Tabla5[[#This Row],[INVERSIONES FCI]],+Tabla5[[#This Row],[INVERSIONES FCI]]-Q69,Tabla5[[#This Row],[INVERSIONES FCI]])</f>
        <v>1358467343.0276861</v>
      </c>
      <c r="R70" s="5">
        <f>IF($B69&lt;=Tabla5[[#This Row],[INVERSIONES FCI]],+Tabla5[[#This Row],[INVERSIONES FCI]]-R69,Tabla5[[#This Row],[INVERSIONES FCI]])</f>
        <v>1358467343.0276861</v>
      </c>
      <c r="S70" s="5">
        <f>IF($B69&lt;=Tabla5[[#This Row],[INVERSIONES FCI]],+Tabla5[[#This Row],[INVERSIONES FCI]]-S69,Tabla5[[#This Row],[INVERSIONES FCI]])</f>
        <v>1358467343.0276861</v>
      </c>
      <c r="T70" s="5">
        <f>IF($B69&lt;=Tabla5[[#This Row],[INVERSIONES FCI]],+Tabla5[[#This Row],[INVERSIONES FCI]]-T69,Tabla5[[#This Row],[INVERSIONES FCI]])</f>
        <v>1358467343.0276861</v>
      </c>
      <c r="U70" s="5">
        <f>IF($B69&lt;=Tabla5[[#This Row],[INVERSIONES FCI]],+Tabla5[[#This Row],[INVERSIONES FCI]]-U69,Tabla5[[#This Row],[INVERSIONES FCI]])</f>
        <v>1358467343.0276861</v>
      </c>
      <c r="V70" s="5">
        <f>IF($B69&lt;=Tabla5[[#This Row],[INVERSIONES FCI]],+Tabla5[[#This Row],[INVERSIONES FCI]]-V69,Tabla5[[#This Row],[INVERSIONES FCI]])</f>
        <v>1358467343.0276861</v>
      </c>
      <c r="W70" s="5">
        <f>IF($B69&lt;=Tabla5[[#This Row],[INVERSIONES FCI]],+Tabla5[[#This Row],[INVERSIONES FCI]]-W69,Tabla5[[#This Row],[INVERSIONES FCI]])</f>
        <v>1358467343.0276861</v>
      </c>
      <c r="X70" s="5">
        <f>IF($B69&lt;=Tabla5[[#This Row],[INVERSIONES FCI]],+Tabla5[[#This Row],[INVERSIONES FCI]]-X69,Tabla5[[#This Row],[INVERSIONES FCI]])</f>
        <v>1358467343.0276861</v>
      </c>
      <c r="Y70" s="5">
        <f>IF($B69&lt;=Tabla5[[#This Row],[INVERSIONES FCI]],+Tabla5[[#This Row],[INVERSIONES FCI]]-Y69,Tabla5[[#This Row],[INVERSIONES FCI]])</f>
        <v>1358467343.0276861</v>
      </c>
      <c r="Z70" s="5">
        <f>IF($B69&lt;=Tabla5[[#This Row],[INVERSIONES FCI]],+Tabla5[[#This Row],[INVERSIONES FCI]]-Z69,Tabla5[[#This Row],[INVERSIONES FCI]])</f>
        <v>1358467343.0276861</v>
      </c>
      <c r="AA70" s="5">
        <f>IF($B69&lt;=Tabla5[[#This Row],[INVERSIONES FCI]],+Tabla5[[#This Row],[INVERSIONES FCI]]-AA69,Tabla5[[#This Row],[INVERSIONES FCI]])</f>
        <v>1358467343.0276861</v>
      </c>
      <c r="AB70" s="5">
        <f>IF($B69&lt;=Tabla5[[#This Row],[INVERSIONES FCI]],+Tabla5[[#This Row],[INVERSIONES FCI]]-AB69,Tabla5[[#This Row],[INVERSIONES FCI]])</f>
        <v>1358467343.0276861</v>
      </c>
      <c r="AC70" s="5">
        <f>IF($B69&lt;=Tabla5[[#This Row],[INVERSIONES FCI]],+Tabla5[[#This Row],[INVERSIONES FCI]]-AC69,Tabla5[[#This Row],[INVERSIONES FCI]])</f>
        <v>1358467343.0276861</v>
      </c>
      <c r="AD70" s="5">
        <f>IF($B69&lt;=Tabla5[[#This Row],[INVERSIONES FCI]],+Tabla5[[#This Row],[INVERSIONES FCI]]-AD69,Tabla5[[#This Row],[INVERSIONES FCI]])</f>
        <v>1358467343.0276861</v>
      </c>
      <c r="AE70" s="5">
        <f>IF($B69&lt;=Tabla5[[#This Row],[INVERSIONES FCI]],+Tabla5[[#This Row],[INVERSIONES FCI]]-AE69,Tabla5[[#This Row],[INVERSIONES FCI]])</f>
        <v>1358467343.0276861</v>
      </c>
      <c r="AF70" s="5">
        <f>IF($B69&lt;=Tabla5[[#This Row],[INVERSIONES FCI]],+Tabla5[[#This Row],[INVERSIONES FCI]]-AF69,Tabla5[[#This Row],[INVERSIONES FCI]])</f>
        <v>1358467343.0276861</v>
      </c>
      <c r="AG70" s="5">
        <f>IF($B69&lt;=Tabla5[[#This Row],[INVERSIONES FCI]],+Tabla5[[#This Row],[INVERSIONES FCI]]-AG69,Tabla5[[#This Row],[INVERSIONES FCI]])</f>
        <v>1358467343.0276861</v>
      </c>
      <c r="AH70" s="5">
        <f>IF($B69&lt;=Tabla5[[#This Row],[INVERSIONES FCI]],+Tabla5[[#This Row],[INVERSIONES FCI]]-AH69,Tabla5[[#This Row],[INVERSIONES FCI]])</f>
        <v>1358467343.0276861</v>
      </c>
      <c r="AI70" s="5">
        <f>IF($B69&lt;=Tabla5[[#This Row],[INVERSIONES FCI]],+Tabla5[[#This Row],[INVERSIONES FCI]]-AI69,Tabla5[[#This Row],[INVERSIONES FCI]])</f>
        <v>1358467343.0276861</v>
      </c>
      <c r="AJ70" s="5">
        <f>IF($B69&lt;=Tabla5[[#This Row],[INVERSIONES FCI]],+Tabla5[[#This Row],[INVERSIONES FCI]]-AJ69,Tabla5[[#This Row],[INVERSIONES FCI]])</f>
        <v>1358467343.0276861</v>
      </c>
      <c r="AK70" s="5">
        <f>IF($B69&lt;=Tabla5[[#This Row],[INVERSIONES FCI]],+Tabla5[[#This Row],[INVERSIONES FCI]]-AK69,Tabla5[[#This Row],[INVERSIONES FCI]])</f>
        <v>1358467343.0276861</v>
      </c>
      <c r="AL70" s="5">
        <f>IF($B69&lt;=Tabla5[[#This Row],[INVERSIONES FCI]],+Tabla5[[#This Row],[INVERSIONES FCI]]-AL69,Tabla5[[#This Row],[INVERSIONES FCI]])</f>
        <v>1358467343.0276861</v>
      </c>
      <c r="AM70" s="5">
        <f>IF($B69&lt;=Tabla5[[#This Row],[INVERSIONES FCI]],+Tabla5[[#This Row],[INVERSIONES FCI]]-AM69,Tabla5[[#This Row],[INVERSIONES FCI]])</f>
        <v>1358467343.0276861</v>
      </c>
      <c r="AN70" s="5">
        <f>IF($B69&lt;=Tabla5[[#This Row],[INVERSIONES FCI]],+Tabla5[[#This Row],[INVERSIONES FCI]]-AN69,Tabla5[[#This Row],[INVERSIONES FCI]])</f>
        <v>1358467343.0276861</v>
      </c>
      <c r="AO70" s="5">
        <f>IF($B69&lt;=Tabla5[[#This Row],[INVERSIONES FCI]],+Tabla5[[#This Row],[INVERSIONES FCI]]-AO69,Tabla5[[#This Row],[INVERSIONES FCI]])</f>
        <v>1358467343.0276861</v>
      </c>
      <c r="AP70" s="5">
        <f>IF($B69&lt;=Tabla5[[#This Row],[INVERSIONES FCI]],+Tabla5[[#This Row],[INVERSIONES FCI]]-AP69,Tabla5[[#This Row],[INVERSIONES FCI]])</f>
        <v>1358467343.0276861</v>
      </c>
      <c r="AQ70" s="5">
        <f>IF($B69&lt;=Tabla5[[#This Row],[INVERSIONES FCI]],+Tabla5[[#This Row],[INVERSIONES FCI]]-AQ69,Tabla5[[#This Row],[INVERSIONES FCI]])</f>
        <v>1358467343.0276861</v>
      </c>
      <c r="AR70" s="5">
        <f>IF($B69&lt;=Tabla5[[#This Row],[INVERSIONES FCI]],+Tabla5[[#This Row],[INVERSIONES FCI]]-AR69,Tabla5[[#This Row],[INVERSIONES FCI]])</f>
        <v>1358467343.0276861</v>
      </c>
      <c r="AS70" s="5">
        <f>IF($B69&lt;=Tabla5[[#This Row],[INVERSIONES FCI]],+Tabla5[[#This Row],[INVERSIONES FCI]]-AS69,Tabla5[[#This Row],[INVERSIONES FCI]])</f>
        <v>1358467343.0276861</v>
      </c>
      <c r="AT70" s="5">
        <f>IF($B69&lt;=Tabla5[[#This Row],[INVERSIONES FCI]],+Tabla5[[#This Row],[INVERSIONES FCI]]-AT69,Tabla5[[#This Row],[INVERSIONES FCI]])</f>
        <v>1358467343.0276861</v>
      </c>
      <c r="AU70" s="5">
        <f>IF($B69&lt;=Tabla5[[#This Row],[INVERSIONES FCI]],+Tabla5[[#This Row],[INVERSIONES FCI]]-AU69,Tabla5[[#This Row],[INVERSIONES FCI]])</f>
        <v>1358467343.0276861</v>
      </c>
      <c r="AV70" s="5">
        <f>IF($B69&lt;=Tabla5[[#This Row],[INVERSIONES FCI]],+Tabla5[[#This Row],[INVERSIONES FCI]]-AV69,Tabla5[[#This Row],[INVERSIONES FCI]])</f>
        <v>1358467343.0276861</v>
      </c>
      <c r="AW70" s="5">
        <f>IF($B69&lt;=Tabla5[[#This Row],[INVERSIONES FCI]],+Tabla5[[#This Row],[INVERSIONES FCI]]-AW69,Tabla5[[#This Row],[INVERSIONES FCI]])</f>
        <v>1358467343.0276861</v>
      </c>
      <c r="AX70" s="5">
        <f>IF($B69&lt;=Tabla5[[#This Row],[INVERSIONES FCI]],+Tabla5[[#This Row],[INVERSIONES FCI]]-AX69,Tabla5[[#This Row],[INVERSIONES FCI]])</f>
        <v>1358467343.0276861</v>
      </c>
      <c r="AY70" s="5">
        <f>IF($B69&lt;=Tabla5[[#This Row],[INVERSIONES FCI]],+Tabla5[[#This Row],[INVERSIONES FCI]]-AY69,Tabla5[[#This Row],[INVERSIONES FCI]])</f>
        <v>1358467343.0276861</v>
      </c>
      <c r="AZ70" s="5">
        <f>IF($B69&lt;=Tabla5[[#This Row],[INVERSIONES FCI]],+Tabla5[[#This Row],[INVERSIONES FCI]]-AZ69,Tabla5[[#This Row],[INVERSIONES FCI]])</f>
        <v>1358467343.0276861</v>
      </c>
      <c r="BA70" s="5">
        <f>IF($B69&lt;=Tabla5[[#This Row],[INVERSIONES FCI]],+Tabla5[[#This Row],[INVERSIONES FCI]]-BA69,Tabla5[[#This Row],[INVERSIONES FCI]])</f>
        <v>1358467343.0276861</v>
      </c>
      <c r="BB70" s="5">
        <f>IF($B69&lt;=Tabla5[[#This Row],[INVERSIONES FCI]],+Tabla5[[#This Row],[INVERSIONES FCI]]-BB69,Tabla5[[#This Row],[INVERSIONES FCI]])</f>
        <v>1358467343.0276861</v>
      </c>
      <c r="BC70" s="5">
        <f>IF($B69&lt;=Tabla5[[#This Row],[INVERSIONES FCI]],+Tabla5[[#This Row],[INVERSIONES FCI]]-BC69,Tabla5[[#This Row],[INVERSIONES FCI]])</f>
        <v>1358467343.0276861</v>
      </c>
      <c r="BD70" s="5">
        <f>IF($B69&lt;=Tabla5[[#This Row],[INVERSIONES FCI]],+Tabla5[[#This Row],[INVERSIONES FCI]]-BD69,Tabla5[[#This Row],[INVERSIONES FCI]])</f>
        <v>1358467343.0276861</v>
      </c>
      <c r="BE70" s="5">
        <f>IF($B69&lt;=Tabla5[[#This Row],[INVERSIONES FCI]],+Tabla5[[#This Row],[INVERSIONES FCI]]-BE69,Tabla5[[#This Row],[INVERSIONES FCI]])</f>
        <v>1358467343.0276861</v>
      </c>
      <c r="BF70" s="5">
        <f>IF($B69&lt;=Tabla5[[#This Row],[INVERSIONES FCI]],+Tabla5[[#This Row],[INVERSIONES FCI]]-BF69,Tabla5[[#This Row],[INVERSIONES FCI]])</f>
        <v>1358467343.0276861</v>
      </c>
      <c r="BG70" s="5">
        <f>IF($B69&lt;=Tabla5[[#This Row],[INVERSIONES FCI]],+Tabla5[[#This Row],[INVERSIONES FCI]]-BG69,Tabla5[[#This Row],[INVERSIONES FCI]])</f>
        <v>1358467343.0276861</v>
      </c>
      <c r="BH70" s="5">
        <f>IF($B69&lt;=Tabla5[[#This Row],[INVERSIONES FCI]],+Tabla5[[#This Row],[INVERSIONES FCI]]-BH69,Tabla5[[#This Row],[INVERSIONES FCI]])</f>
        <v>1358467343.0276861</v>
      </c>
      <c r="BI70" s="5">
        <f>IF($B69&lt;=Tabla5[[#This Row],[INVERSIONES FCI]],+Tabla5[[#This Row],[INVERSIONES FCI]]-BI69,Tabla5[[#This Row],[INVERSIONES FCI]])</f>
        <v>1358467343.0276861</v>
      </c>
      <c r="BJ70" s="5">
        <f>IF($B69&lt;=Tabla5[[#This Row],[INVERSIONES FCI]],+Tabla5[[#This Row],[INVERSIONES FCI]]-BJ69,Tabla5[[#This Row],[INVERSIONES FCI]])</f>
        <v>1358467343.0276861</v>
      </c>
      <c r="BK70" s="5">
        <f>IF($B69&lt;=Tabla5[[#This Row],[INVERSIONES FCI]],+Tabla5[[#This Row],[INVERSIONES FCI]]-BK69,Tabla5[[#This Row],[INVERSIONES FCI]])</f>
        <v>1358467343.0276861</v>
      </c>
      <c r="BL70" s="5">
        <f>IF($B69&lt;=Tabla5[[#This Row],[INVERSIONES FCI]],+Tabla5[[#This Row],[INVERSIONES FCI]]-BL69,Tabla5[[#This Row],[INVERSIONES FCI]])</f>
        <v>1358467343.0276861</v>
      </c>
      <c r="BM70" s="5">
        <f>IF($B69&lt;=Tabla5[[#This Row],[INVERSIONES FCI]],+Tabla5[[#This Row],[INVERSIONES FCI]]-BM69,Tabla5[[#This Row],[INVERSIONES FCI]])</f>
        <v>1358467343.0276861</v>
      </c>
      <c r="BN70" s="5">
        <f>IF($B69&lt;=Tabla5[[#This Row],[INVERSIONES FCI]],+Tabla5[[#This Row],[INVERSIONES FCI]]-BN69,Tabla5[[#This Row],[INVERSIONES FCI]])</f>
        <v>1358467343.0276861</v>
      </c>
      <c r="BO70" s="5">
        <f>IF($B69&lt;=Tabla5[[#This Row],[INVERSIONES FCI]],+Tabla5[[#This Row],[INVERSIONES FCI]]-BO69,Tabla5[[#This Row],[INVERSIONES FCI]])</f>
        <v>1358467343.0276861</v>
      </c>
      <c r="BP70" s="5">
        <f>IF($B69&lt;=Tabla5[[#This Row],[INVERSIONES FCI]],+Tabla5[[#This Row],[INVERSIONES FCI]]-BP69,Tabla5[[#This Row],[INVERSIONES FCI]])</f>
        <v>1358467343.0276861</v>
      </c>
      <c r="BQ70" s="5">
        <f>IF($B69&lt;=Tabla5[[#This Row],[INVERSIONES FCI]],+Tabla5[[#This Row],[INVERSIONES FCI]]-BQ69,Tabla5[[#This Row],[INVERSIONES FCI]])</f>
        <v>1358467343.0276861</v>
      </c>
      <c r="BR70" s="5">
        <f>IF($B69&lt;=Tabla5[[#This Row],[INVERSIONES FCI]],+Tabla5[[#This Row],[INVERSIONES FCI]]-BR69,Tabla5[[#This Row],[INVERSIONES FCI]])</f>
        <v>1358467343.0276861</v>
      </c>
      <c r="BS70" s="5" cm="1">
        <f t="array" ref="BS70">IF(Tabla5[[#This Row],[FCI]]=0,0,_xlfn.XLOOKUP(TRUE,$B70:BR70&gt;0,$B70:BR70,"",0,-1))</f>
        <v>1358467343.0276861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</row>
    <row r="71" spans="1:121" ht="14.4">
      <c r="A71" s="12" t="s">
        <v>70</v>
      </c>
      <c r="B71" s="5">
        <f>HLOOKUP($A71,ESCENARIO[#All],7,FALSE)</f>
        <v>4252294929.3524547</v>
      </c>
      <c r="C71" s="5">
        <f>IF($B70&lt;=Tabla5[[#This Row],[INVERSIONES FCI]],+Tabla5[[#This Row],[INVERSIONES FCI]]-C70,Tabla5[[#This Row],[INVERSIONES FCI]])</f>
        <v>2893827586.3247685</v>
      </c>
      <c r="D71" s="5">
        <f>IF($B70&lt;=Tabla5[[#This Row],[INVERSIONES FCI]],+Tabla5[[#This Row],[INVERSIONES FCI]]-D70,Tabla5[[#This Row],[INVERSIONES FCI]])</f>
        <v>2893827586.3247685</v>
      </c>
      <c r="E71" s="5">
        <f>IF($B70&lt;=Tabla5[[#This Row],[INVERSIONES FCI]],+Tabla5[[#This Row],[INVERSIONES FCI]]-E70,Tabla5[[#This Row],[INVERSIONES FCI]])</f>
        <v>2893827586.3247685</v>
      </c>
      <c r="F71" s="5">
        <f>IF($B70&lt;=Tabla5[[#This Row],[INVERSIONES FCI]],+Tabla5[[#This Row],[INVERSIONES FCI]]-F70,Tabla5[[#This Row],[INVERSIONES FCI]])</f>
        <v>2893827586.3247685</v>
      </c>
      <c r="G71" s="5">
        <f>IF($B70&lt;=Tabla5[[#This Row],[INVERSIONES FCI]],+Tabla5[[#This Row],[INVERSIONES FCI]]-G70,Tabla5[[#This Row],[INVERSIONES FCI]])</f>
        <v>2893827586.3247685</v>
      </c>
      <c r="H71" s="5">
        <f>IF($B70&lt;=Tabla5[[#This Row],[INVERSIONES FCI]],+Tabla5[[#This Row],[INVERSIONES FCI]]-H70,Tabla5[[#This Row],[INVERSIONES FCI]])</f>
        <v>2893827586.3247685</v>
      </c>
      <c r="I71" s="5">
        <f>IF($B70&lt;=Tabla5[[#This Row],[INVERSIONES FCI]],+Tabla5[[#This Row],[INVERSIONES FCI]]-I70,Tabla5[[#This Row],[INVERSIONES FCI]])</f>
        <v>2893827586.3247685</v>
      </c>
      <c r="J71" s="5">
        <f>IF($B70&lt;=Tabla5[[#This Row],[INVERSIONES FCI]],+Tabla5[[#This Row],[INVERSIONES FCI]]-J70,Tabla5[[#This Row],[INVERSIONES FCI]])</f>
        <v>2893827586.3247685</v>
      </c>
      <c r="K71" s="5">
        <f>IF($B70&lt;=Tabla5[[#This Row],[INVERSIONES FCI]],+Tabla5[[#This Row],[INVERSIONES FCI]]-K70,Tabla5[[#This Row],[INVERSIONES FCI]])</f>
        <v>2893827586.3247685</v>
      </c>
      <c r="L71" s="5">
        <f>IF($B70&lt;=Tabla5[[#This Row],[INVERSIONES FCI]],+Tabla5[[#This Row],[INVERSIONES FCI]]-L70,Tabla5[[#This Row],[INVERSIONES FCI]])</f>
        <v>2893827586.3247685</v>
      </c>
      <c r="M71" s="5">
        <f>IF($B70&lt;=Tabla5[[#This Row],[INVERSIONES FCI]],+Tabla5[[#This Row],[INVERSIONES FCI]]-M70,Tabla5[[#This Row],[INVERSIONES FCI]])</f>
        <v>2893827586.3247685</v>
      </c>
      <c r="N71" s="5">
        <f>IF($B70&lt;=Tabla5[[#This Row],[INVERSIONES FCI]],+Tabla5[[#This Row],[INVERSIONES FCI]]-N70,Tabla5[[#This Row],[INVERSIONES FCI]])</f>
        <v>2893827586.3247685</v>
      </c>
      <c r="O71" s="5">
        <f>IF($B70&lt;=Tabla5[[#This Row],[INVERSIONES FCI]],+Tabla5[[#This Row],[INVERSIONES FCI]]-O70,Tabla5[[#This Row],[INVERSIONES FCI]])</f>
        <v>2893827586.3247685</v>
      </c>
      <c r="P71" s="5">
        <f>IF($B70&lt;=Tabla5[[#This Row],[INVERSIONES FCI]],+Tabla5[[#This Row],[INVERSIONES FCI]]-P70,Tabla5[[#This Row],[INVERSIONES FCI]])</f>
        <v>2893827586.3247685</v>
      </c>
      <c r="Q71" s="5">
        <f>IF($B70&lt;=Tabla5[[#This Row],[INVERSIONES FCI]],+Tabla5[[#This Row],[INVERSIONES FCI]]-Q70,Tabla5[[#This Row],[INVERSIONES FCI]])</f>
        <v>2893827586.3247685</v>
      </c>
      <c r="R71" s="5">
        <f>IF($B70&lt;=Tabla5[[#This Row],[INVERSIONES FCI]],+Tabla5[[#This Row],[INVERSIONES FCI]]-R70,Tabla5[[#This Row],[INVERSIONES FCI]])</f>
        <v>2893827586.3247685</v>
      </c>
      <c r="S71" s="5">
        <f>IF($B70&lt;=Tabla5[[#This Row],[INVERSIONES FCI]],+Tabla5[[#This Row],[INVERSIONES FCI]]-S70,Tabla5[[#This Row],[INVERSIONES FCI]])</f>
        <v>2893827586.3247685</v>
      </c>
      <c r="T71" s="5">
        <f>IF($B70&lt;=Tabla5[[#This Row],[INVERSIONES FCI]],+Tabla5[[#This Row],[INVERSIONES FCI]]-T70,Tabla5[[#This Row],[INVERSIONES FCI]])</f>
        <v>2893827586.3247685</v>
      </c>
      <c r="U71" s="5">
        <f>IF($B70&lt;=Tabla5[[#This Row],[INVERSIONES FCI]],+Tabla5[[#This Row],[INVERSIONES FCI]]-U70,Tabla5[[#This Row],[INVERSIONES FCI]])</f>
        <v>2893827586.3247685</v>
      </c>
      <c r="V71" s="5">
        <f>IF($B70&lt;=Tabla5[[#This Row],[INVERSIONES FCI]],+Tabla5[[#This Row],[INVERSIONES FCI]]-V70,Tabla5[[#This Row],[INVERSIONES FCI]])</f>
        <v>2893827586.3247685</v>
      </c>
      <c r="W71" s="5">
        <f>IF($B70&lt;=Tabla5[[#This Row],[INVERSIONES FCI]],+Tabla5[[#This Row],[INVERSIONES FCI]]-W70,Tabla5[[#This Row],[INVERSIONES FCI]])</f>
        <v>2893827586.3247685</v>
      </c>
      <c r="X71" s="5">
        <f>IF($B70&lt;=Tabla5[[#This Row],[INVERSIONES FCI]],+Tabla5[[#This Row],[INVERSIONES FCI]]-X70,Tabla5[[#This Row],[INVERSIONES FCI]])</f>
        <v>2893827586.3247685</v>
      </c>
      <c r="Y71" s="5">
        <f>IF($B70&lt;=Tabla5[[#This Row],[INVERSIONES FCI]],+Tabla5[[#This Row],[INVERSIONES FCI]]-Y70,Tabla5[[#This Row],[INVERSIONES FCI]])</f>
        <v>2893827586.3247685</v>
      </c>
      <c r="Z71" s="5">
        <f>IF($B70&lt;=Tabla5[[#This Row],[INVERSIONES FCI]],+Tabla5[[#This Row],[INVERSIONES FCI]]-Z70,Tabla5[[#This Row],[INVERSIONES FCI]])</f>
        <v>2893827586.3247685</v>
      </c>
      <c r="AA71" s="5">
        <f>IF($B70&lt;=Tabla5[[#This Row],[INVERSIONES FCI]],+Tabla5[[#This Row],[INVERSIONES FCI]]-AA70,Tabla5[[#This Row],[INVERSIONES FCI]])</f>
        <v>2893827586.3247685</v>
      </c>
      <c r="AB71" s="5">
        <f>IF($B70&lt;=Tabla5[[#This Row],[INVERSIONES FCI]],+Tabla5[[#This Row],[INVERSIONES FCI]]-AB70,Tabla5[[#This Row],[INVERSIONES FCI]])</f>
        <v>2893827586.3247685</v>
      </c>
      <c r="AC71" s="5">
        <f>IF($B70&lt;=Tabla5[[#This Row],[INVERSIONES FCI]],+Tabla5[[#This Row],[INVERSIONES FCI]]-AC70,Tabla5[[#This Row],[INVERSIONES FCI]])</f>
        <v>2893827586.3247685</v>
      </c>
      <c r="AD71" s="5">
        <f>IF($B70&lt;=Tabla5[[#This Row],[INVERSIONES FCI]],+Tabla5[[#This Row],[INVERSIONES FCI]]-AD70,Tabla5[[#This Row],[INVERSIONES FCI]])</f>
        <v>2893827586.3247685</v>
      </c>
      <c r="AE71" s="5">
        <f>IF($B70&lt;=Tabla5[[#This Row],[INVERSIONES FCI]],+Tabla5[[#This Row],[INVERSIONES FCI]]-AE70,Tabla5[[#This Row],[INVERSIONES FCI]])</f>
        <v>2893827586.3247685</v>
      </c>
      <c r="AF71" s="5">
        <f>IF($B70&lt;=Tabla5[[#This Row],[INVERSIONES FCI]],+Tabla5[[#This Row],[INVERSIONES FCI]]-AF70,Tabla5[[#This Row],[INVERSIONES FCI]])</f>
        <v>2893827586.3247685</v>
      </c>
      <c r="AG71" s="5">
        <f>IF($B70&lt;=Tabla5[[#This Row],[INVERSIONES FCI]],+Tabla5[[#This Row],[INVERSIONES FCI]]-AG70,Tabla5[[#This Row],[INVERSIONES FCI]])</f>
        <v>2893827586.3247685</v>
      </c>
      <c r="AH71" s="5">
        <f>IF($B70&lt;=Tabla5[[#This Row],[INVERSIONES FCI]],+Tabla5[[#This Row],[INVERSIONES FCI]]-AH70,Tabla5[[#This Row],[INVERSIONES FCI]])</f>
        <v>2893827586.3247685</v>
      </c>
      <c r="AI71" s="5">
        <f>IF($B70&lt;=Tabla5[[#This Row],[INVERSIONES FCI]],+Tabla5[[#This Row],[INVERSIONES FCI]]-AI70,Tabla5[[#This Row],[INVERSIONES FCI]])</f>
        <v>2893827586.3247685</v>
      </c>
      <c r="AJ71" s="5">
        <f>IF($B70&lt;=Tabla5[[#This Row],[INVERSIONES FCI]],+Tabla5[[#This Row],[INVERSIONES FCI]]-AJ70,Tabla5[[#This Row],[INVERSIONES FCI]])</f>
        <v>2893827586.3247685</v>
      </c>
      <c r="AK71" s="5">
        <f>IF($B70&lt;=Tabla5[[#This Row],[INVERSIONES FCI]],+Tabla5[[#This Row],[INVERSIONES FCI]]-AK70,Tabla5[[#This Row],[INVERSIONES FCI]])</f>
        <v>2893827586.3247685</v>
      </c>
      <c r="AL71" s="5">
        <f>IF($B70&lt;=Tabla5[[#This Row],[INVERSIONES FCI]],+Tabla5[[#This Row],[INVERSIONES FCI]]-AL70,Tabla5[[#This Row],[INVERSIONES FCI]])</f>
        <v>2893827586.3247685</v>
      </c>
      <c r="AM71" s="5">
        <f>IF($B70&lt;=Tabla5[[#This Row],[INVERSIONES FCI]],+Tabla5[[#This Row],[INVERSIONES FCI]]-AM70,Tabla5[[#This Row],[INVERSIONES FCI]])</f>
        <v>2893827586.3247685</v>
      </c>
      <c r="AN71" s="5">
        <f>IF($B70&lt;=Tabla5[[#This Row],[INVERSIONES FCI]],+Tabla5[[#This Row],[INVERSIONES FCI]]-AN70,Tabla5[[#This Row],[INVERSIONES FCI]])</f>
        <v>2893827586.3247685</v>
      </c>
      <c r="AO71" s="5">
        <f>IF($B70&lt;=Tabla5[[#This Row],[INVERSIONES FCI]],+Tabla5[[#This Row],[INVERSIONES FCI]]-AO70,Tabla5[[#This Row],[INVERSIONES FCI]])</f>
        <v>2893827586.3247685</v>
      </c>
      <c r="AP71" s="5">
        <f>IF($B70&lt;=Tabla5[[#This Row],[INVERSIONES FCI]],+Tabla5[[#This Row],[INVERSIONES FCI]]-AP70,Tabla5[[#This Row],[INVERSIONES FCI]])</f>
        <v>2893827586.3247685</v>
      </c>
      <c r="AQ71" s="5">
        <f>IF($B70&lt;=Tabla5[[#This Row],[INVERSIONES FCI]],+Tabla5[[#This Row],[INVERSIONES FCI]]-AQ70,Tabla5[[#This Row],[INVERSIONES FCI]])</f>
        <v>2893827586.3247685</v>
      </c>
      <c r="AR71" s="5">
        <f>IF($B70&lt;=Tabla5[[#This Row],[INVERSIONES FCI]],+Tabla5[[#This Row],[INVERSIONES FCI]]-AR70,Tabla5[[#This Row],[INVERSIONES FCI]])</f>
        <v>2893827586.3247685</v>
      </c>
      <c r="AS71" s="5">
        <f>IF($B70&lt;=Tabla5[[#This Row],[INVERSIONES FCI]],+Tabla5[[#This Row],[INVERSIONES FCI]]-AS70,Tabla5[[#This Row],[INVERSIONES FCI]])</f>
        <v>2893827586.3247685</v>
      </c>
      <c r="AT71" s="5">
        <f>IF($B70&lt;=Tabla5[[#This Row],[INVERSIONES FCI]],+Tabla5[[#This Row],[INVERSIONES FCI]]-AT70,Tabla5[[#This Row],[INVERSIONES FCI]])</f>
        <v>2893827586.3247685</v>
      </c>
      <c r="AU71" s="5">
        <f>IF($B70&lt;=Tabla5[[#This Row],[INVERSIONES FCI]],+Tabla5[[#This Row],[INVERSIONES FCI]]-AU70,Tabla5[[#This Row],[INVERSIONES FCI]])</f>
        <v>2893827586.3247685</v>
      </c>
      <c r="AV71" s="5">
        <f>IF($B70&lt;=Tabla5[[#This Row],[INVERSIONES FCI]],+Tabla5[[#This Row],[INVERSIONES FCI]]-AV70,Tabla5[[#This Row],[INVERSIONES FCI]])</f>
        <v>2893827586.3247685</v>
      </c>
      <c r="AW71" s="5">
        <f>IF($B70&lt;=Tabla5[[#This Row],[INVERSIONES FCI]],+Tabla5[[#This Row],[INVERSIONES FCI]]-AW70,Tabla5[[#This Row],[INVERSIONES FCI]])</f>
        <v>2893827586.3247685</v>
      </c>
      <c r="AX71" s="5">
        <f>IF($B70&lt;=Tabla5[[#This Row],[INVERSIONES FCI]],+Tabla5[[#This Row],[INVERSIONES FCI]]-AX70,Tabla5[[#This Row],[INVERSIONES FCI]])</f>
        <v>2893827586.3247685</v>
      </c>
      <c r="AY71" s="5">
        <f>IF($B70&lt;=Tabla5[[#This Row],[INVERSIONES FCI]],+Tabla5[[#This Row],[INVERSIONES FCI]]-AY70,Tabla5[[#This Row],[INVERSIONES FCI]])</f>
        <v>2893827586.3247685</v>
      </c>
      <c r="AZ71" s="5">
        <f>IF($B70&lt;=Tabla5[[#This Row],[INVERSIONES FCI]],+Tabla5[[#This Row],[INVERSIONES FCI]]-AZ70,Tabla5[[#This Row],[INVERSIONES FCI]])</f>
        <v>2893827586.3247685</v>
      </c>
      <c r="BA71" s="5">
        <f>IF($B70&lt;=Tabla5[[#This Row],[INVERSIONES FCI]],+Tabla5[[#This Row],[INVERSIONES FCI]]-BA70,Tabla5[[#This Row],[INVERSIONES FCI]])</f>
        <v>2893827586.3247685</v>
      </c>
      <c r="BB71" s="5">
        <f>IF($B70&lt;=Tabla5[[#This Row],[INVERSIONES FCI]],+Tabla5[[#This Row],[INVERSIONES FCI]]-BB70,Tabla5[[#This Row],[INVERSIONES FCI]])</f>
        <v>2893827586.3247685</v>
      </c>
      <c r="BC71" s="5">
        <f>IF($B70&lt;=Tabla5[[#This Row],[INVERSIONES FCI]],+Tabla5[[#This Row],[INVERSIONES FCI]]-BC70,Tabla5[[#This Row],[INVERSIONES FCI]])</f>
        <v>2893827586.3247685</v>
      </c>
      <c r="BD71" s="5">
        <f>IF($B70&lt;=Tabla5[[#This Row],[INVERSIONES FCI]],+Tabla5[[#This Row],[INVERSIONES FCI]]-BD70,Tabla5[[#This Row],[INVERSIONES FCI]])</f>
        <v>2893827586.3247685</v>
      </c>
      <c r="BE71" s="5">
        <f>IF($B70&lt;=Tabla5[[#This Row],[INVERSIONES FCI]],+Tabla5[[#This Row],[INVERSIONES FCI]]-BE70,Tabla5[[#This Row],[INVERSIONES FCI]])</f>
        <v>2893827586.3247685</v>
      </c>
      <c r="BF71" s="5">
        <f>IF($B70&lt;=Tabla5[[#This Row],[INVERSIONES FCI]],+Tabla5[[#This Row],[INVERSIONES FCI]]-BF70,Tabla5[[#This Row],[INVERSIONES FCI]])</f>
        <v>2893827586.3247685</v>
      </c>
      <c r="BG71" s="5">
        <f>IF($B70&lt;=Tabla5[[#This Row],[INVERSIONES FCI]],+Tabla5[[#This Row],[INVERSIONES FCI]]-BG70,Tabla5[[#This Row],[INVERSIONES FCI]])</f>
        <v>2893827586.3247685</v>
      </c>
      <c r="BH71" s="5">
        <f>IF($B70&lt;=Tabla5[[#This Row],[INVERSIONES FCI]],+Tabla5[[#This Row],[INVERSIONES FCI]]-BH70,Tabla5[[#This Row],[INVERSIONES FCI]])</f>
        <v>2893827586.3247685</v>
      </c>
      <c r="BI71" s="5">
        <f>IF($B70&lt;=Tabla5[[#This Row],[INVERSIONES FCI]],+Tabla5[[#This Row],[INVERSIONES FCI]]-BI70,Tabla5[[#This Row],[INVERSIONES FCI]])</f>
        <v>2893827586.3247685</v>
      </c>
      <c r="BJ71" s="5">
        <f>IF($B70&lt;=Tabla5[[#This Row],[INVERSIONES FCI]],+Tabla5[[#This Row],[INVERSIONES FCI]]-BJ70,Tabla5[[#This Row],[INVERSIONES FCI]])</f>
        <v>2893827586.3247685</v>
      </c>
      <c r="BK71" s="5">
        <f>IF($B70&lt;=Tabla5[[#This Row],[INVERSIONES FCI]],+Tabla5[[#This Row],[INVERSIONES FCI]]-BK70,Tabla5[[#This Row],[INVERSIONES FCI]])</f>
        <v>2893827586.3247685</v>
      </c>
      <c r="BL71" s="5">
        <f>IF($B70&lt;=Tabla5[[#This Row],[INVERSIONES FCI]],+Tabla5[[#This Row],[INVERSIONES FCI]]-BL70,Tabla5[[#This Row],[INVERSIONES FCI]])</f>
        <v>2893827586.3247685</v>
      </c>
      <c r="BM71" s="5">
        <f>IF($B70&lt;=Tabla5[[#This Row],[INVERSIONES FCI]],+Tabla5[[#This Row],[INVERSIONES FCI]]-BM70,Tabla5[[#This Row],[INVERSIONES FCI]])</f>
        <v>2893827586.3247685</v>
      </c>
      <c r="BN71" s="5">
        <f>IF($B70&lt;=Tabla5[[#This Row],[INVERSIONES FCI]],+Tabla5[[#This Row],[INVERSIONES FCI]]-BN70,Tabla5[[#This Row],[INVERSIONES FCI]])</f>
        <v>2893827586.3247685</v>
      </c>
      <c r="BO71" s="5">
        <f>IF($B70&lt;=Tabla5[[#This Row],[INVERSIONES FCI]],+Tabla5[[#This Row],[INVERSIONES FCI]]-BO70,Tabla5[[#This Row],[INVERSIONES FCI]])</f>
        <v>2893827586.3247685</v>
      </c>
      <c r="BP71" s="5">
        <f>IF($B70&lt;=Tabla5[[#This Row],[INVERSIONES FCI]],+Tabla5[[#This Row],[INVERSIONES FCI]]-BP70,Tabla5[[#This Row],[INVERSIONES FCI]])</f>
        <v>2893827586.3247685</v>
      </c>
      <c r="BQ71" s="5">
        <f>IF($B70&lt;=Tabla5[[#This Row],[INVERSIONES FCI]],+Tabla5[[#This Row],[INVERSIONES FCI]]-BQ70,Tabla5[[#This Row],[INVERSIONES FCI]])</f>
        <v>2893827586.3247685</v>
      </c>
      <c r="BR71" s="5">
        <f>IF($B70&lt;=Tabla5[[#This Row],[INVERSIONES FCI]],+Tabla5[[#This Row],[INVERSIONES FCI]]-BR70,Tabla5[[#This Row],[INVERSIONES FCI]])</f>
        <v>2893827586.3247685</v>
      </c>
      <c r="BS71" s="5">
        <f>IF($B70&lt;=Tabla5[[#This Row],[INVERSIONES FCI]],+Tabla5[[#This Row],[INVERSIONES FCI]]-BS70,Tabla5[[#This Row],[INVERSIONES FCI]])</f>
        <v>2893827586.3247685</v>
      </c>
      <c r="BT71" s="5" cm="1">
        <f t="array" ref="BT71">IF(Tabla5[[#This Row],[FCI]]=0,0,_xlfn.XLOOKUP(TRUE,$B71:BS71&gt;0,$B71:BS71,"",0,-1))</f>
        <v>2893827586.3247685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</row>
    <row r="72" spans="1:121" ht="14.4">
      <c r="A72" s="12" t="s">
        <v>71</v>
      </c>
      <c r="B72" s="5">
        <f>HLOOKUP($A72,ESCENARIO[#All],7,FALSE)</f>
        <v>4252294929.3524547</v>
      </c>
      <c r="C72" s="5">
        <f>IF($B71&lt;=Tabla5[[#This Row],[INVERSIONES FCI]],+Tabla5[[#This Row],[INVERSIONES FCI]]-C71,Tabla5[[#This Row],[INVERSIONES FCI]])</f>
        <v>1358467343.0276861</v>
      </c>
      <c r="D72" s="5">
        <f>IF($B71&lt;=Tabla5[[#This Row],[INVERSIONES FCI]],+Tabla5[[#This Row],[INVERSIONES FCI]]-D71,Tabla5[[#This Row],[INVERSIONES FCI]])</f>
        <v>1358467343.0276861</v>
      </c>
      <c r="E72" s="5">
        <f>IF($B71&lt;=Tabla5[[#This Row],[INVERSIONES FCI]],+Tabla5[[#This Row],[INVERSIONES FCI]]-E71,Tabla5[[#This Row],[INVERSIONES FCI]])</f>
        <v>1358467343.0276861</v>
      </c>
      <c r="F72" s="5">
        <f>IF($B71&lt;=Tabla5[[#This Row],[INVERSIONES FCI]],+Tabla5[[#This Row],[INVERSIONES FCI]]-F71,Tabla5[[#This Row],[INVERSIONES FCI]])</f>
        <v>1358467343.0276861</v>
      </c>
      <c r="G72" s="5">
        <f>IF($B71&lt;=Tabla5[[#This Row],[INVERSIONES FCI]],+Tabla5[[#This Row],[INVERSIONES FCI]]-G71,Tabla5[[#This Row],[INVERSIONES FCI]])</f>
        <v>1358467343.0276861</v>
      </c>
      <c r="H72" s="5">
        <f>IF($B71&lt;=Tabla5[[#This Row],[INVERSIONES FCI]],+Tabla5[[#This Row],[INVERSIONES FCI]]-H71,Tabla5[[#This Row],[INVERSIONES FCI]])</f>
        <v>1358467343.0276861</v>
      </c>
      <c r="I72" s="5">
        <f>IF($B71&lt;=Tabla5[[#This Row],[INVERSIONES FCI]],+Tabla5[[#This Row],[INVERSIONES FCI]]-I71,Tabla5[[#This Row],[INVERSIONES FCI]])</f>
        <v>1358467343.0276861</v>
      </c>
      <c r="J72" s="5">
        <f>IF($B71&lt;=Tabla5[[#This Row],[INVERSIONES FCI]],+Tabla5[[#This Row],[INVERSIONES FCI]]-J71,Tabla5[[#This Row],[INVERSIONES FCI]])</f>
        <v>1358467343.0276861</v>
      </c>
      <c r="K72" s="5">
        <f>IF($B71&lt;=Tabla5[[#This Row],[INVERSIONES FCI]],+Tabla5[[#This Row],[INVERSIONES FCI]]-K71,Tabla5[[#This Row],[INVERSIONES FCI]])</f>
        <v>1358467343.0276861</v>
      </c>
      <c r="L72" s="5">
        <f>IF($B71&lt;=Tabla5[[#This Row],[INVERSIONES FCI]],+Tabla5[[#This Row],[INVERSIONES FCI]]-L71,Tabla5[[#This Row],[INVERSIONES FCI]])</f>
        <v>1358467343.0276861</v>
      </c>
      <c r="M72" s="5">
        <f>IF($B71&lt;=Tabla5[[#This Row],[INVERSIONES FCI]],+Tabla5[[#This Row],[INVERSIONES FCI]]-M71,Tabla5[[#This Row],[INVERSIONES FCI]])</f>
        <v>1358467343.0276861</v>
      </c>
      <c r="N72" s="5">
        <f>IF($B71&lt;=Tabla5[[#This Row],[INVERSIONES FCI]],+Tabla5[[#This Row],[INVERSIONES FCI]]-N71,Tabla5[[#This Row],[INVERSIONES FCI]])</f>
        <v>1358467343.0276861</v>
      </c>
      <c r="O72" s="5">
        <f>IF($B71&lt;=Tabla5[[#This Row],[INVERSIONES FCI]],+Tabla5[[#This Row],[INVERSIONES FCI]]-O71,Tabla5[[#This Row],[INVERSIONES FCI]])</f>
        <v>1358467343.0276861</v>
      </c>
      <c r="P72" s="5">
        <f>IF($B71&lt;=Tabla5[[#This Row],[INVERSIONES FCI]],+Tabla5[[#This Row],[INVERSIONES FCI]]-P71,Tabla5[[#This Row],[INVERSIONES FCI]])</f>
        <v>1358467343.0276861</v>
      </c>
      <c r="Q72" s="5">
        <f>IF($B71&lt;=Tabla5[[#This Row],[INVERSIONES FCI]],+Tabla5[[#This Row],[INVERSIONES FCI]]-Q71,Tabla5[[#This Row],[INVERSIONES FCI]])</f>
        <v>1358467343.0276861</v>
      </c>
      <c r="R72" s="5">
        <f>IF($B71&lt;=Tabla5[[#This Row],[INVERSIONES FCI]],+Tabla5[[#This Row],[INVERSIONES FCI]]-R71,Tabla5[[#This Row],[INVERSIONES FCI]])</f>
        <v>1358467343.0276861</v>
      </c>
      <c r="S72" s="5">
        <f>IF($B71&lt;=Tabla5[[#This Row],[INVERSIONES FCI]],+Tabla5[[#This Row],[INVERSIONES FCI]]-S71,Tabla5[[#This Row],[INVERSIONES FCI]])</f>
        <v>1358467343.0276861</v>
      </c>
      <c r="T72" s="5">
        <f>IF($B71&lt;=Tabla5[[#This Row],[INVERSIONES FCI]],+Tabla5[[#This Row],[INVERSIONES FCI]]-T71,Tabla5[[#This Row],[INVERSIONES FCI]])</f>
        <v>1358467343.0276861</v>
      </c>
      <c r="U72" s="5">
        <f>IF($B71&lt;=Tabla5[[#This Row],[INVERSIONES FCI]],+Tabla5[[#This Row],[INVERSIONES FCI]]-U71,Tabla5[[#This Row],[INVERSIONES FCI]])</f>
        <v>1358467343.0276861</v>
      </c>
      <c r="V72" s="5">
        <f>IF($B71&lt;=Tabla5[[#This Row],[INVERSIONES FCI]],+Tabla5[[#This Row],[INVERSIONES FCI]]-V71,Tabla5[[#This Row],[INVERSIONES FCI]])</f>
        <v>1358467343.0276861</v>
      </c>
      <c r="W72" s="5">
        <f>IF($B71&lt;=Tabla5[[#This Row],[INVERSIONES FCI]],+Tabla5[[#This Row],[INVERSIONES FCI]]-W71,Tabla5[[#This Row],[INVERSIONES FCI]])</f>
        <v>1358467343.0276861</v>
      </c>
      <c r="X72" s="5">
        <f>IF($B71&lt;=Tabla5[[#This Row],[INVERSIONES FCI]],+Tabla5[[#This Row],[INVERSIONES FCI]]-X71,Tabla5[[#This Row],[INVERSIONES FCI]])</f>
        <v>1358467343.0276861</v>
      </c>
      <c r="Y72" s="5">
        <f>IF($B71&lt;=Tabla5[[#This Row],[INVERSIONES FCI]],+Tabla5[[#This Row],[INVERSIONES FCI]]-Y71,Tabla5[[#This Row],[INVERSIONES FCI]])</f>
        <v>1358467343.0276861</v>
      </c>
      <c r="Z72" s="5">
        <f>IF($B71&lt;=Tabla5[[#This Row],[INVERSIONES FCI]],+Tabla5[[#This Row],[INVERSIONES FCI]]-Z71,Tabla5[[#This Row],[INVERSIONES FCI]])</f>
        <v>1358467343.0276861</v>
      </c>
      <c r="AA72" s="5">
        <f>IF($B71&lt;=Tabla5[[#This Row],[INVERSIONES FCI]],+Tabla5[[#This Row],[INVERSIONES FCI]]-AA71,Tabla5[[#This Row],[INVERSIONES FCI]])</f>
        <v>1358467343.0276861</v>
      </c>
      <c r="AB72" s="5">
        <f>IF($B71&lt;=Tabla5[[#This Row],[INVERSIONES FCI]],+Tabla5[[#This Row],[INVERSIONES FCI]]-AB71,Tabla5[[#This Row],[INVERSIONES FCI]])</f>
        <v>1358467343.0276861</v>
      </c>
      <c r="AC72" s="5">
        <f>IF($B71&lt;=Tabla5[[#This Row],[INVERSIONES FCI]],+Tabla5[[#This Row],[INVERSIONES FCI]]-AC71,Tabla5[[#This Row],[INVERSIONES FCI]])</f>
        <v>1358467343.0276861</v>
      </c>
      <c r="AD72" s="5">
        <f>IF($B71&lt;=Tabla5[[#This Row],[INVERSIONES FCI]],+Tabla5[[#This Row],[INVERSIONES FCI]]-AD71,Tabla5[[#This Row],[INVERSIONES FCI]])</f>
        <v>1358467343.0276861</v>
      </c>
      <c r="AE72" s="5">
        <f>IF($B71&lt;=Tabla5[[#This Row],[INVERSIONES FCI]],+Tabla5[[#This Row],[INVERSIONES FCI]]-AE71,Tabla5[[#This Row],[INVERSIONES FCI]])</f>
        <v>1358467343.0276861</v>
      </c>
      <c r="AF72" s="5">
        <f>IF($B71&lt;=Tabla5[[#This Row],[INVERSIONES FCI]],+Tabla5[[#This Row],[INVERSIONES FCI]]-AF71,Tabla5[[#This Row],[INVERSIONES FCI]])</f>
        <v>1358467343.0276861</v>
      </c>
      <c r="AG72" s="5">
        <f>IF($B71&lt;=Tabla5[[#This Row],[INVERSIONES FCI]],+Tabla5[[#This Row],[INVERSIONES FCI]]-AG71,Tabla5[[#This Row],[INVERSIONES FCI]])</f>
        <v>1358467343.0276861</v>
      </c>
      <c r="AH72" s="5">
        <f>IF($B71&lt;=Tabla5[[#This Row],[INVERSIONES FCI]],+Tabla5[[#This Row],[INVERSIONES FCI]]-AH71,Tabla5[[#This Row],[INVERSIONES FCI]])</f>
        <v>1358467343.0276861</v>
      </c>
      <c r="AI72" s="5">
        <f>IF($B71&lt;=Tabla5[[#This Row],[INVERSIONES FCI]],+Tabla5[[#This Row],[INVERSIONES FCI]]-AI71,Tabla5[[#This Row],[INVERSIONES FCI]])</f>
        <v>1358467343.0276861</v>
      </c>
      <c r="AJ72" s="5">
        <f>IF($B71&lt;=Tabla5[[#This Row],[INVERSIONES FCI]],+Tabla5[[#This Row],[INVERSIONES FCI]]-AJ71,Tabla5[[#This Row],[INVERSIONES FCI]])</f>
        <v>1358467343.0276861</v>
      </c>
      <c r="AK72" s="5">
        <f>IF($B71&lt;=Tabla5[[#This Row],[INVERSIONES FCI]],+Tabla5[[#This Row],[INVERSIONES FCI]]-AK71,Tabla5[[#This Row],[INVERSIONES FCI]])</f>
        <v>1358467343.0276861</v>
      </c>
      <c r="AL72" s="5">
        <f>IF($B71&lt;=Tabla5[[#This Row],[INVERSIONES FCI]],+Tabla5[[#This Row],[INVERSIONES FCI]]-AL71,Tabla5[[#This Row],[INVERSIONES FCI]])</f>
        <v>1358467343.0276861</v>
      </c>
      <c r="AM72" s="5">
        <f>IF($B71&lt;=Tabla5[[#This Row],[INVERSIONES FCI]],+Tabla5[[#This Row],[INVERSIONES FCI]]-AM71,Tabla5[[#This Row],[INVERSIONES FCI]])</f>
        <v>1358467343.0276861</v>
      </c>
      <c r="AN72" s="5">
        <f>IF($B71&lt;=Tabla5[[#This Row],[INVERSIONES FCI]],+Tabla5[[#This Row],[INVERSIONES FCI]]-AN71,Tabla5[[#This Row],[INVERSIONES FCI]])</f>
        <v>1358467343.0276861</v>
      </c>
      <c r="AO72" s="5">
        <f>IF($B71&lt;=Tabla5[[#This Row],[INVERSIONES FCI]],+Tabla5[[#This Row],[INVERSIONES FCI]]-AO71,Tabla5[[#This Row],[INVERSIONES FCI]])</f>
        <v>1358467343.0276861</v>
      </c>
      <c r="AP72" s="5">
        <f>IF($B71&lt;=Tabla5[[#This Row],[INVERSIONES FCI]],+Tabla5[[#This Row],[INVERSIONES FCI]]-AP71,Tabla5[[#This Row],[INVERSIONES FCI]])</f>
        <v>1358467343.0276861</v>
      </c>
      <c r="AQ72" s="5">
        <f>IF($B71&lt;=Tabla5[[#This Row],[INVERSIONES FCI]],+Tabla5[[#This Row],[INVERSIONES FCI]]-AQ71,Tabla5[[#This Row],[INVERSIONES FCI]])</f>
        <v>1358467343.0276861</v>
      </c>
      <c r="AR72" s="5">
        <f>IF($B71&lt;=Tabla5[[#This Row],[INVERSIONES FCI]],+Tabla5[[#This Row],[INVERSIONES FCI]]-AR71,Tabla5[[#This Row],[INVERSIONES FCI]])</f>
        <v>1358467343.0276861</v>
      </c>
      <c r="AS72" s="5">
        <f>IF($B71&lt;=Tabla5[[#This Row],[INVERSIONES FCI]],+Tabla5[[#This Row],[INVERSIONES FCI]]-AS71,Tabla5[[#This Row],[INVERSIONES FCI]])</f>
        <v>1358467343.0276861</v>
      </c>
      <c r="AT72" s="5">
        <f>IF($B71&lt;=Tabla5[[#This Row],[INVERSIONES FCI]],+Tabla5[[#This Row],[INVERSIONES FCI]]-AT71,Tabla5[[#This Row],[INVERSIONES FCI]])</f>
        <v>1358467343.0276861</v>
      </c>
      <c r="AU72" s="5">
        <f>IF($B71&lt;=Tabla5[[#This Row],[INVERSIONES FCI]],+Tabla5[[#This Row],[INVERSIONES FCI]]-AU71,Tabla5[[#This Row],[INVERSIONES FCI]])</f>
        <v>1358467343.0276861</v>
      </c>
      <c r="AV72" s="5">
        <f>IF($B71&lt;=Tabla5[[#This Row],[INVERSIONES FCI]],+Tabla5[[#This Row],[INVERSIONES FCI]]-AV71,Tabla5[[#This Row],[INVERSIONES FCI]])</f>
        <v>1358467343.0276861</v>
      </c>
      <c r="AW72" s="5">
        <f>IF($B71&lt;=Tabla5[[#This Row],[INVERSIONES FCI]],+Tabla5[[#This Row],[INVERSIONES FCI]]-AW71,Tabla5[[#This Row],[INVERSIONES FCI]])</f>
        <v>1358467343.0276861</v>
      </c>
      <c r="AX72" s="5">
        <f>IF($B71&lt;=Tabla5[[#This Row],[INVERSIONES FCI]],+Tabla5[[#This Row],[INVERSIONES FCI]]-AX71,Tabla5[[#This Row],[INVERSIONES FCI]])</f>
        <v>1358467343.0276861</v>
      </c>
      <c r="AY72" s="5">
        <f>IF($B71&lt;=Tabla5[[#This Row],[INVERSIONES FCI]],+Tabla5[[#This Row],[INVERSIONES FCI]]-AY71,Tabla5[[#This Row],[INVERSIONES FCI]])</f>
        <v>1358467343.0276861</v>
      </c>
      <c r="AZ72" s="5">
        <f>IF($B71&lt;=Tabla5[[#This Row],[INVERSIONES FCI]],+Tabla5[[#This Row],[INVERSIONES FCI]]-AZ71,Tabla5[[#This Row],[INVERSIONES FCI]])</f>
        <v>1358467343.0276861</v>
      </c>
      <c r="BA72" s="5">
        <f>IF($B71&lt;=Tabla5[[#This Row],[INVERSIONES FCI]],+Tabla5[[#This Row],[INVERSIONES FCI]]-BA71,Tabla5[[#This Row],[INVERSIONES FCI]])</f>
        <v>1358467343.0276861</v>
      </c>
      <c r="BB72" s="5">
        <f>IF($B71&lt;=Tabla5[[#This Row],[INVERSIONES FCI]],+Tabla5[[#This Row],[INVERSIONES FCI]]-BB71,Tabla5[[#This Row],[INVERSIONES FCI]])</f>
        <v>1358467343.0276861</v>
      </c>
      <c r="BC72" s="5">
        <f>IF($B71&lt;=Tabla5[[#This Row],[INVERSIONES FCI]],+Tabla5[[#This Row],[INVERSIONES FCI]]-BC71,Tabla5[[#This Row],[INVERSIONES FCI]])</f>
        <v>1358467343.0276861</v>
      </c>
      <c r="BD72" s="5">
        <f>IF($B71&lt;=Tabla5[[#This Row],[INVERSIONES FCI]],+Tabla5[[#This Row],[INVERSIONES FCI]]-BD71,Tabla5[[#This Row],[INVERSIONES FCI]])</f>
        <v>1358467343.0276861</v>
      </c>
      <c r="BE72" s="5">
        <f>IF($B71&lt;=Tabla5[[#This Row],[INVERSIONES FCI]],+Tabla5[[#This Row],[INVERSIONES FCI]]-BE71,Tabla5[[#This Row],[INVERSIONES FCI]])</f>
        <v>1358467343.0276861</v>
      </c>
      <c r="BF72" s="5">
        <f>IF($B71&lt;=Tabla5[[#This Row],[INVERSIONES FCI]],+Tabla5[[#This Row],[INVERSIONES FCI]]-BF71,Tabla5[[#This Row],[INVERSIONES FCI]])</f>
        <v>1358467343.0276861</v>
      </c>
      <c r="BG72" s="5">
        <f>IF($B71&lt;=Tabla5[[#This Row],[INVERSIONES FCI]],+Tabla5[[#This Row],[INVERSIONES FCI]]-BG71,Tabla5[[#This Row],[INVERSIONES FCI]])</f>
        <v>1358467343.0276861</v>
      </c>
      <c r="BH72" s="5">
        <f>IF($B71&lt;=Tabla5[[#This Row],[INVERSIONES FCI]],+Tabla5[[#This Row],[INVERSIONES FCI]]-BH71,Tabla5[[#This Row],[INVERSIONES FCI]])</f>
        <v>1358467343.0276861</v>
      </c>
      <c r="BI72" s="5">
        <f>IF($B71&lt;=Tabla5[[#This Row],[INVERSIONES FCI]],+Tabla5[[#This Row],[INVERSIONES FCI]]-BI71,Tabla5[[#This Row],[INVERSIONES FCI]])</f>
        <v>1358467343.0276861</v>
      </c>
      <c r="BJ72" s="5">
        <f>IF($B71&lt;=Tabla5[[#This Row],[INVERSIONES FCI]],+Tabla5[[#This Row],[INVERSIONES FCI]]-BJ71,Tabla5[[#This Row],[INVERSIONES FCI]])</f>
        <v>1358467343.0276861</v>
      </c>
      <c r="BK72" s="5">
        <f>IF($B71&lt;=Tabla5[[#This Row],[INVERSIONES FCI]],+Tabla5[[#This Row],[INVERSIONES FCI]]-BK71,Tabla5[[#This Row],[INVERSIONES FCI]])</f>
        <v>1358467343.0276861</v>
      </c>
      <c r="BL72" s="5">
        <f>IF($B71&lt;=Tabla5[[#This Row],[INVERSIONES FCI]],+Tabla5[[#This Row],[INVERSIONES FCI]]-BL71,Tabla5[[#This Row],[INVERSIONES FCI]])</f>
        <v>1358467343.0276861</v>
      </c>
      <c r="BM72" s="5">
        <f>IF($B71&lt;=Tabla5[[#This Row],[INVERSIONES FCI]],+Tabla5[[#This Row],[INVERSIONES FCI]]-BM71,Tabla5[[#This Row],[INVERSIONES FCI]])</f>
        <v>1358467343.0276861</v>
      </c>
      <c r="BN72" s="5">
        <f>IF($B71&lt;=Tabla5[[#This Row],[INVERSIONES FCI]],+Tabla5[[#This Row],[INVERSIONES FCI]]-BN71,Tabla5[[#This Row],[INVERSIONES FCI]])</f>
        <v>1358467343.0276861</v>
      </c>
      <c r="BO72" s="5">
        <f>IF($B71&lt;=Tabla5[[#This Row],[INVERSIONES FCI]],+Tabla5[[#This Row],[INVERSIONES FCI]]-BO71,Tabla5[[#This Row],[INVERSIONES FCI]])</f>
        <v>1358467343.0276861</v>
      </c>
      <c r="BP72" s="5">
        <f>IF($B71&lt;=Tabla5[[#This Row],[INVERSIONES FCI]],+Tabla5[[#This Row],[INVERSIONES FCI]]-BP71,Tabla5[[#This Row],[INVERSIONES FCI]])</f>
        <v>1358467343.0276861</v>
      </c>
      <c r="BQ72" s="5">
        <f>IF($B71&lt;=Tabla5[[#This Row],[INVERSIONES FCI]],+Tabla5[[#This Row],[INVERSIONES FCI]]-BQ71,Tabla5[[#This Row],[INVERSIONES FCI]])</f>
        <v>1358467343.0276861</v>
      </c>
      <c r="BR72" s="5">
        <f>IF($B71&lt;=Tabla5[[#This Row],[INVERSIONES FCI]],+Tabla5[[#This Row],[INVERSIONES FCI]]-BR71,Tabla5[[#This Row],[INVERSIONES FCI]])</f>
        <v>1358467343.0276861</v>
      </c>
      <c r="BS72" s="5">
        <f>IF($B71&lt;=Tabla5[[#This Row],[INVERSIONES FCI]],+Tabla5[[#This Row],[INVERSIONES FCI]]-BS71,Tabla5[[#This Row],[INVERSIONES FCI]])</f>
        <v>1358467343.0276861</v>
      </c>
      <c r="BT72" s="5">
        <f>IF($B71&lt;=Tabla5[[#This Row],[INVERSIONES FCI]],+Tabla5[[#This Row],[INVERSIONES FCI]]-BT71,Tabla5[[#This Row],[INVERSIONES FCI]])</f>
        <v>1358467343.0276861</v>
      </c>
      <c r="BU72" s="5" cm="1">
        <f t="array" ref="BU72">IF(Tabla5[[#This Row],[FCI]]=0,0,_xlfn.XLOOKUP(TRUE,$B72:BT72&gt;0,$B72:BT72,"",0,-1))</f>
        <v>1358467343.0276861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</row>
    <row r="73" spans="1:121" ht="14.4">
      <c r="A73" s="12" t="s">
        <v>72</v>
      </c>
      <c r="B73" s="5">
        <f>HLOOKUP($A73,ESCENARIO[#All],7,FALSE)</f>
        <v>4252294929.3524547</v>
      </c>
      <c r="C73" s="5">
        <f>IF($B72&lt;=Tabla5[[#This Row],[INVERSIONES FCI]],+Tabla5[[#This Row],[INVERSIONES FCI]]-C72,Tabla5[[#This Row],[INVERSIONES FCI]])</f>
        <v>2893827586.3247685</v>
      </c>
      <c r="D73" s="5">
        <f>IF($B72&lt;=Tabla5[[#This Row],[INVERSIONES FCI]],+Tabla5[[#This Row],[INVERSIONES FCI]]-D72,Tabla5[[#This Row],[INVERSIONES FCI]])</f>
        <v>2893827586.3247685</v>
      </c>
      <c r="E73" s="5">
        <f>IF($B72&lt;=Tabla5[[#This Row],[INVERSIONES FCI]],+Tabla5[[#This Row],[INVERSIONES FCI]]-E72,Tabla5[[#This Row],[INVERSIONES FCI]])</f>
        <v>2893827586.3247685</v>
      </c>
      <c r="F73" s="5">
        <f>IF($B72&lt;=Tabla5[[#This Row],[INVERSIONES FCI]],+Tabla5[[#This Row],[INVERSIONES FCI]]-F72,Tabla5[[#This Row],[INVERSIONES FCI]])</f>
        <v>2893827586.3247685</v>
      </c>
      <c r="G73" s="5">
        <f>IF($B72&lt;=Tabla5[[#This Row],[INVERSIONES FCI]],+Tabla5[[#This Row],[INVERSIONES FCI]]-G72,Tabla5[[#This Row],[INVERSIONES FCI]])</f>
        <v>2893827586.3247685</v>
      </c>
      <c r="H73" s="5">
        <f>IF($B72&lt;=Tabla5[[#This Row],[INVERSIONES FCI]],+Tabla5[[#This Row],[INVERSIONES FCI]]-H72,Tabla5[[#This Row],[INVERSIONES FCI]])</f>
        <v>2893827586.3247685</v>
      </c>
      <c r="I73" s="5">
        <f>IF($B72&lt;=Tabla5[[#This Row],[INVERSIONES FCI]],+Tabla5[[#This Row],[INVERSIONES FCI]]-I72,Tabla5[[#This Row],[INVERSIONES FCI]])</f>
        <v>2893827586.3247685</v>
      </c>
      <c r="J73" s="5">
        <f>IF($B72&lt;=Tabla5[[#This Row],[INVERSIONES FCI]],+Tabla5[[#This Row],[INVERSIONES FCI]]-J72,Tabla5[[#This Row],[INVERSIONES FCI]])</f>
        <v>2893827586.3247685</v>
      </c>
      <c r="K73" s="5">
        <f>IF($B72&lt;=Tabla5[[#This Row],[INVERSIONES FCI]],+Tabla5[[#This Row],[INVERSIONES FCI]]-K72,Tabla5[[#This Row],[INVERSIONES FCI]])</f>
        <v>2893827586.3247685</v>
      </c>
      <c r="L73" s="5">
        <f>IF($B72&lt;=Tabla5[[#This Row],[INVERSIONES FCI]],+Tabla5[[#This Row],[INVERSIONES FCI]]-L72,Tabla5[[#This Row],[INVERSIONES FCI]])</f>
        <v>2893827586.3247685</v>
      </c>
      <c r="M73" s="5">
        <f>IF($B72&lt;=Tabla5[[#This Row],[INVERSIONES FCI]],+Tabla5[[#This Row],[INVERSIONES FCI]]-M72,Tabla5[[#This Row],[INVERSIONES FCI]])</f>
        <v>2893827586.3247685</v>
      </c>
      <c r="N73" s="5">
        <f>IF($B72&lt;=Tabla5[[#This Row],[INVERSIONES FCI]],+Tabla5[[#This Row],[INVERSIONES FCI]]-N72,Tabla5[[#This Row],[INVERSIONES FCI]])</f>
        <v>2893827586.3247685</v>
      </c>
      <c r="O73" s="5">
        <f>IF($B72&lt;=Tabla5[[#This Row],[INVERSIONES FCI]],+Tabla5[[#This Row],[INVERSIONES FCI]]-O72,Tabla5[[#This Row],[INVERSIONES FCI]])</f>
        <v>2893827586.3247685</v>
      </c>
      <c r="P73" s="5">
        <f>IF($B72&lt;=Tabla5[[#This Row],[INVERSIONES FCI]],+Tabla5[[#This Row],[INVERSIONES FCI]]-P72,Tabla5[[#This Row],[INVERSIONES FCI]])</f>
        <v>2893827586.3247685</v>
      </c>
      <c r="Q73" s="5">
        <f>IF($B72&lt;=Tabla5[[#This Row],[INVERSIONES FCI]],+Tabla5[[#This Row],[INVERSIONES FCI]]-Q72,Tabla5[[#This Row],[INVERSIONES FCI]])</f>
        <v>2893827586.3247685</v>
      </c>
      <c r="R73" s="5">
        <f>IF($B72&lt;=Tabla5[[#This Row],[INVERSIONES FCI]],+Tabla5[[#This Row],[INVERSIONES FCI]]-R72,Tabla5[[#This Row],[INVERSIONES FCI]])</f>
        <v>2893827586.3247685</v>
      </c>
      <c r="S73" s="5">
        <f>IF($B72&lt;=Tabla5[[#This Row],[INVERSIONES FCI]],+Tabla5[[#This Row],[INVERSIONES FCI]]-S72,Tabla5[[#This Row],[INVERSIONES FCI]])</f>
        <v>2893827586.3247685</v>
      </c>
      <c r="T73" s="5">
        <f>IF($B72&lt;=Tabla5[[#This Row],[INVERSIONES FCI]],+Tabla5[[#This Row],[INVERSIONES FCI]]-T72,Tabla5[[#This Row],[INVERSIONES FCI]])</f>
        <v>2893827586.3247685</v>
      </c>
      <c r="U73" s="5">
        <f>IF($B72&lt;=Tabla5[[#This Row],[INVERSIONES FCI]],+Tabla5[[#This Row],[INVERSIONES FCI]]-U72,Tabla5[[#This Row],[INVERSIONES FCI]])</f>
        <v>2893827586.3247685</v>
      </c>
      <c r="V73" s="5">
        <f>IF($B72&lt;=Tabla5[[#This Row],[INVERSIONES FCI]],+Tabla5[[#This Row],[INVERSIONES FCI]]-V72,Tabla5[[#This Row],[INVERSIONES FCI]])</f>
        <v>2893827586.3247685</v>
      </c>
      <c r="W73" s="5">
        <f>IF($B72&lt;=Tabla5[[#This Row],[INVERSIONES FCI]],+Tabla5[[#This Row],[INVERSIONES FCI]]-W72,Tabla5[[#This Row],[INVERSIONES FCI]])</f>
        <v>2893827586.3247685</v>
      </c>
      <c r="X73" s="5">
        <f>IF($B72&lt;=Tabla5[[#This Row],[INVERSIONES FCI]],+Tabla5[[#This Row],[INVERSIONES FCI]]-X72,Tabla5[[#This Row],[INVERSIONES FCI]])</f>
        <v>2893827586.3247685</v>
      </c>
      <c r="Y73" s="5">
        <f>IF($B72&lt;=Tabla5[[#This Row],[INVERSIONES FCI]],+Tabla5[[#This Row],[INVERSIONES FCI]]-Y72,Tabla5[[#This Row],[INVERSIONES FCI]])</f>
        <v>2893827586.3247685</v>
      </c>
      <c r="Z73" s="5">
        <f>IF($B72&lt;=Tabla5[[#This Row],[INVERSIONES FCI]],+Tabla5[[#This Row],[INVERSIONES FCI]]-Z72,Tabla5[[#This Row],[INVERSIONES FCI]])</f>
        <v>2893827586.3247685</v>
      </c>
      <c r="AA73" s="5">
        <f>IF($B72&lt;=Tabla5[[#This Row],[INVERSIONES FCI]],+Tabla5[[#This Row],[INVERSIONES FCI]]-AA72,Tabla5[[#This Row],[INVERSIONES FCI]])</f>
        <v>2893827586.3247685</v>
      </c>
      <c r="AB73" s="5">
        <f>IF($B72&lt;=Tabla5[[#This Row],[INVERSIONES FCI]],+Tabla5[[#This Row],[INVERSIONES FCI]]-AB72,Tabla5[[#This Row],[INVERSIONES FCI]])</f>
        <v>2893827586.3247685</v>
      </c>
      <c r="AC73" s="5">
        <f>IF($B72&lt;=Tabla5[[#This Row],[INVERSIONES FCI]],+Tabla5[[#This Row],[INVERSIONES FCI]]-AC72,Tabla5[[#This Row],[INVERSIONES FCI]])</f>
        <v>2893827586.3247685</v>
      </c>
      <c r="AD73" s="5">
        <f>IF($B72&lt;=Tabla5[[#This Row],[INVERSIONES FCI]],+Tabla5[[#This Row],[INVERSIONES FCI]]-AD72,Tabla5[[#This Row],[INVERSIONES FCI]])</f>
        <v>2893827586.3247685</v>
      </c>
      <c r="AE73" s="5">
        <f>IF($B72&lt;=Tabla5[[#This Row],[INVERSIONES FCI]],+Tabla5[[#This Row],[INVERSIONES FCI]]-AE72,Tabla5[[#This Row],[INVERSIONES FCI]])</f>
        <v>2893827586.3247685</v>
      </c>
      <c r="AF73" s="5">
        <f>IF($B72&lt;=Tabla5[[#This Row],[INVERSIONES FCI]],+Tabla5[[#This Row],[INVERSIONES FCI]]-AF72,Tabla5[[#This Row],[INVERSIONES FCI]])</f>
        <v>2893827586.3247685</v>
      </c>
      <c r="AG73" s="5">
        <f>IF($B72&lt;=Tabla5[[#This Row],[INVERSIONES FCI]],+Tabla5[[#This Row],[INVERSIONES FCI]]-AG72,Tabla5[[#This Row],[INVERSIONES FCI]])</f>
        <v>2893827586.3247685</v>
      </c>
      <c r="AH73" s="5">
        <f>IF($B72&lt;=Tabla5[[#This Row],[INVERSIONES FCI]],+Tabla5[[#This Row],[INVERSIONES FCI]]-AH72,Tabla5[[#This Row],[INVERSIONES FCI]])</f>
        <v>2893827586.3247685</v>
      </c>
      <c r="AI73" s="5">
        <f>IF($B72&lt;=Tabla5[[#This Row],[INVERSIONES FCI]],+Tabla5[[#This Row],[INVERSIONES FCI]]-AI72,Tabla5[[#This Row],[INVERSIONES FCI]])</f>
        <v>2893827586.3247685</v>
      </c>
      <c r="AJ73" s="5">
        <f>IF($B72&lt;=Tabla5[[#This Row],[INVERSIONES FCI]],+Tabla5[[#This Row],[INVERSIONES FCI]]-AJ72,Tabla5[[#This Row],[INVERSIONES FCI]])</f>
        <v>2893827586.3247685</v>
      </c>
      <c r="AK73" s="5">
        <f>IF($B72&lt;=Tabla5[[#This Row],[INVERSIONES FCI]],+Tabla5[[#This Row],[INVERSIONES FCI]]-AK72,Tabla5[[#This Row],[INVERSIONES FCI]])</f>
        <v>2893827586.3247685</v>
      </c>
      <c r="AL73" s="5">
        <f>IF($B72&lt;=Tabla5[[#This Row],[INVERSIONES FCI]],+Tabla5[[#This Row],[INVERSIONES FCI]]-AL72,Tabla5[[#This Row],[INVERSIONES FCI]])</f>
        <v>2893827586.3247685</v>
      </c>
      <c r="AM73" s="5">
        <f>IF($B72&lt;=Tabla5[[#This Row],[INVERSIONES FCI]],+Tabla5[[#This Row],[INVERSIONES FCI]]-AM72,Tabla5[[#This Row],[INVERSIONES FCI]])</f>
        <v>2893827586.3247685</v>
      </c>
      <c r="AN73" s="5">
        <f>IF($B72&lt;=Tabla5[[#This Row],[INVERSIONES FCI]],+Tabla5[[#This Row],[INVERSIONES FCI]]-AN72,Tabla5[[#This Row],[INVERSIONES FCI]])</f>
        <v>2893827586.3247685</v>
      </c>
      <c r="AO73" s="5">
        <f>IF($B72&lt;=Tabla5[[#This Row],[INVERSIONES FCI]],+Tabla5[[#This Row],[INVERSIONES FCI]]-AO72,Tabla5[[#This Row],[INVERSIONES FCI]])</f>
        <v>2893827586.3247685</v>
      </c>
      <c r="AP73" s="5">
        <f>IF($B72&lt;=Tabla5[[#This Row],[INVERSIONES FCI]],+Tabla5[[#This Row],[INVERSIONES FCI]]-AP72,Tabla5[[#This Row],[INVERSIONES FCI]])</f>
        <v>2893827586.3247685</v>
      </c>
      <c r="AQ73" s="5">
        <f>IF($B72&lt;=Tabla5[[#This Row],[INVERSIONES FCI]],+Tabla5[[#This Row],[INVERSIONES FCI]]-AQ72,Tabla5[[#This Row],[INVERSIONES FCI]])</f>
        <v>2893827586.3247685</v>
      </c>
      <c r="AR73" s="5">
        <f>IF($B72&lt;=Tabla5[[#This Row],[INVERSIONES FCI]],+Tabla5[[#This Row],[INVERSIONES FCI]]-AR72,Tabla5[[#This Row],[INVERSIONES FCI]])</f>
        <v>2893827586.3247685</v>
      </c>
      <c r="AS73" s="5">
        <f>IF($B72&lt;=Tabla5[[#This Row],[INVERSIONES FCI]],+Tabla5[[#This Row],[INVERSIONES FCI]]-AS72,Tabla5[[#This Row],[INVERSIONES FCI]])</f>
        <v>2893827586.3247685</v>
      </c>
      <c r="AT73" s="5">
        <f>IF($B72&lt;=Tabla5[[#This Row],[INVERSIONES FCI]],+Tabla5[[#This Row],[INVERSIONES FCI]]-AT72,Tabla5[[#This Row],[INVERSIONES FCI]])</f>
        <v>2893827586.3247685</v>
      </c>
      <c r="AU73" s="5">
        <f>IF($B72&lt;=Tabla5[[#This Row],[INVERSIONES FCI]],+Tabla5[[#This Row],[INVERSIONES FCI]]-AU72,Tabla5[[#This Row],[INVERSIONES FCI]])</f>
        <v>2893827586.3247685</v>
      </c>
      <c r="AV73" s="5">
        <f>IF($B72&lt;=Tabla5[[#This Row],[INVERSIONES FCI]],+Tabla5[[#This Row],[INVERSIONES FCI]]-AV72,Tabla5[[#This Row],[INVERSIONES FCI]])</f>
        <v>2893827586.3247685</v>
      </c>
      <c r="AW73" s="5">
        <f>IF($B72&lt;=Tabla5[[#This Row],[INVERSIONES FCI]],+Tabla5[[#This Row],[INVERSIONES FCI]]-AW72,Tabla5[[#This Row],[INVERSIONES FCI]])</f>
        <v>2893827586.3247685</v>
      </c>
      <c r="AX73" s="5">
        <f>IF($B72&lt;=Tabla5[[#This Row],[INVERSIONES FCI]],+Tabla5[[#This Row],[INVERSIONES FCI]]-AX72,Tabla5[[#This Row],[INVERSIONES FCI]])</f>
        <v>2893827586.3247685</v>
      </c>
      <c r="AY73" s="5">
        <f>IF($B72&lt;=Tabla5[[#This Row],[INVERSIONES FCI]],+Tabla5[[#This Row],[INVERSIONES FCI]]-AY72,Tabla5[[#This Row],[INVERSIONES FCI]])</f>
        <v>2893827586.3247685</v>
      </c>
      <c r="AZ73" s="5">
        <f>IF($B72&lt;=Tabla5[[#This Row],[INVERSIONES FCI]],+Tabla5[[#This Row],[INVERSIONES FCI]]-AZ72,Tabla5[[#This Row],[INVERSIONES FCI]])</f>
        <v>2893827586.3247685</v>
      </c>
      <c r="BA73" s="5">
        <f>IF($B72&lt;=Tabla5[[#This Row],[INVERSIONES FCI]],+Tabla5[[#This Row],[INVERSIONES FCI]]-BA72,Tabla5[[#This Row],[INVERSIONES FCI]])</f>
        <v>2893827586.3247685</v>
      </c>
      <c r="BB73" s="5">
        <f>IF($B72&lt;=Tabla5[[#This Row],[INVERSIONES FCI]],+Tabla5[[#This Row],[INVERSIONES FCI]]-BB72,Tabla5[[#This Row],[INVERSIONES FCI]])</f>
        <v>2893827586.3247685</v>
      </c>
      <c r="BC73" s="5">
        <f>IF($B72&lt;=Tabla5[[#This Row],[INVERSIONES FCI]],+Tabla5[[#This Row],[INVERSIONES FCI]]-BC72,Tabla5[[#This Row],[INVERSIONES FCI]])</f>
        <v>2893827586.3247685</v>
      </c>
      <c r="BD73" s="5">
        <f>IF($B72&lt;=Tabla5[[#This Row],[INVERSIONES FCI]],+Tabla5[[#This Row],[INVERSIONES FCI]]-BD72,Tabla5[[#This Row],[INVERSIONES FCI]])</f>
        <v>2893827586.3247685</v>
      </c>
      <c r="BE73" s="5">
        <f>IF($B72&lt;=Tabla5[[#This Row],[INVERSIONES FCI]],+Tabla5[[#This Row],[INVERSIONES FCI]]-BE72,Tabla5[[#This Row],[INVERSIONES FCI]])</f>
        <v>2893827586.3247685</v>
      </c>
      <c r="BF73" s="5">
        <f>IF($B72&lt;=Tabla5[[#This Row],[INVERSIONES FCI]],+Tabla5[[#This Row],[INVERSIONES FCI]]-BF72,Tabla5[[#This Row],[INVERSIONES FCI]])</f>
        <v>2893827586.3247685</v>
      </c>
      <c r="BG73" s="5">
        <f>IF($B72&lt;=Tabla5[[#This Row],[INVERSIONES FCI]],+Tabla5[[#This Row],[INVERSIONES FCI]]-BG72,Tabla5[[#This Row],[INVERSIONES FCI]])</f>
        <v>2893827586.3247685</v>
      </c>
      <c r="BH73" s="5">
        <f>IF($B72&lt;=Tabla5[[#This Row],[INVERSIONES FCI]],+Tabla5[[#This Row],[INVERSIONES FCI]]-BH72,Tabla5[[#This Row],[INVERSIONES FCI]])</f>
        <v>2893827586.3247685</v>
      </c>
      <c r="BI73" s="5">
        <f>IF($B72&lt;=Tabla5[[#This Row],[INVERSIONES FCI]],+Tabla5[[#This Row],[INVERSIONES FCI]]-BI72,Tabla5[[#This Row],[INVERSIONES FCI]])</f>
        <v>2893827586.3247685</v>
      </c>
      <c r="BJ73" s="5">
        <f>IF($B72&lt;=Tabla5[[#This Row],[INVERSIONES FCI]],+Tabla5[[#This Row],[INVERSIONES FCI]]-BJ72,Tabla5[[#This Row],[INVERSIONES FCI]])</f>
        <v>2893827586.3247685</v>
      </c>
      <c r="BK73" s="5">
        <f>IF($B72&lt;=Tabla5[[#This Row],[INVERSIONES FCI]],+Tabla5[[#This Row],[INVERSIONES FCI]]-BK72,Tabla5[[#This Row],[INVERSIONES FCI]])</f>
        <v>2893827586.3247685</v>
      </c>
      <c r="BL73" s="5">
        <f>IF($B72&lt;=Tabla5[[#This Row],[INVERSIONES FCI]],+Tabla5[[#This Row],[INVERSIONES FCI]]-BL72,Tabla5[[#This Row],[INVERSIONES FCI]])</f>
        <v>2893827586.3247685</v>
      </c>
      <c r="BM73" s="5">
        <f>IF($B72&lt;=Tabla5[[#This Row],[INVERSIONES FCI]],+Tabla5[[#This Row],[INVERSIONES FCI]]-BM72,Tabla5[[#This Row],[INVERSIONES FCI]])</f>
        <v>2893827586.3247685</v>
      </c>
      <c r="BN73" s="5">
        <f>IF($B72&lt;=Tabla5[[#This Row],[INVERSIONES FCI]],+Tabla5[[#This Row],[INVERSIONES FCI]]-BN72,Tabla5[[#This Row],[INVERSIONES FCI]])</f>
        <v>2893827586.3247685</v>
      </c>
      <c r="BO73" s="5">
        <f>IF($B72&lt;=Tabla5[[#This Row],[INVERSIONES FCI]],+Tabla5[[#This Row],[INVERSIONES FCI]]-BO72,Tabla5[[#This Row],[INVERSIONES FCI]])</f>
        <v>2893827586.3247685</v>
      </c>
      <c r="BP73" s="5">
        <f>IF($B72&lt;=Tabla5[[#This Row],[INVERSIONES FCI]],+Tabla5[[#This Row],[INVERSIONES FCI]]-BP72,Tabla5[[#This Row],[INVERSIONES FCI]])</f>
        <v>2893827586.3247685</v>
      </c>
      <c r="BQ73" s="5">
        <f>IF($B72&lt;=Tabla5[[#This Row],[INVERSIONES FCI]],+Tabla5[[#This Row],[INVERSIONES FCI]]-BQ72,Tabla5[[#This Row],[INVERSIONES FCI]])</f>
        <v>2893827586.3247685</v>
      </c>
      <c r="BR73" s="5">
        <f>IF($B72&lt;=Tabla5[[#This Row],[INVERSIONES FCI]],+Tabla5[[#This Row],[INVERSIONES FCI]]-BR72,Tabla5[[#This Row],[INVERSIONES FCI]])</f>
        <v>2893827586.3247685</v>
      </c>
      <c r="BS73" s="5">
        <f>IF($B72&lt;=Tabla5[[#This Row],[INVERSIONES FCI]],+Tabla5[[#This Row],[INVERSIONES FCI]]-BS72,Tabla5[[#This Row],[INVERSIONES FCI]])</f>
        <v>2893827586.3247685</v>
      </c>
      <c r="BT73" s="5">
        <f>IF($B72&lt;=Tabla5[[#This Row],[INVERSIONES FCI]],+Tabla5[[#This Row],[INVERSIONES FCI]]-BT72,Tabla5[[#This Row],[INVERSIONES FCI]])</f>
        <v>2893827586.3247685</v>
      </c>
      <c r="BU73" s="5">
        <f>IF($B72&lt;=Tabla5[[#This Row],[INVERSIONES FCI]],+Tabla5[[#This Row],[INVERSIONES FCI]]-BU72,Tabla5[[#This Row],[INVERSIONES FCI]])</f>
        <v>2893827586.3247685</v>
      </c>
      <c r="BV73" s="5" cm="1">
        <f t="array" ref="BV73">IF(Tabla5[[#This Row],[FCI]]=0,0,_xlfn.XLOOKUP(TRUE,$B73:BU73&gt;0,$B73:BU73,"",0,-1))</f>
        <v>2893827586.3247685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</row>
    <row r="74" spans="1:121" ht="14.4">
      <c r="A74" s="12" t="s">
        <v>73</v>
      </c>
      <c r="B74" s="5">
        <f>HLOOKUP($A74,ESCENARIO[#All],7,FALSE)</f>
        <v>11741230438.006973</v>
      </c>
      <c r="C74" s="5">
        <f>IF($B73&lt;=Tabla5[[#This Row],[INVERSIONES FCI]],+Tabla5[[#This Row],[INVERSIONES FCI]]-C73,Tabla5[[#This Row],[INVERSIONES FCI]])</f>
        <v>8847402851.6822052</v>
      </c>
      <c r="D74" s="5">
        <f>IF($B73&lt;=Tabla5[[#This Row],[INVERSIONES FCI]],+Tabla5[[#This Row],[INVERSIONES FCI]]-D73,Tabla5[[#This Row],[INVERSIONES FCI]])</f>
        <v>8847402851.6822052</v>
      </c>
      <c r="E74" s="5">
        <f>IF($B73&lt;=Tabla5[[#This Row],[INVERSIONES FCI]],+Tabla5[[#This Row],[INVERSIONES FCI]]-E73,Tabla5[[#This Row],[INVERSIONES FCI]])</f>
        <v>8847402851.6822052</v>
      </c>
      <c r="F74" s="5">
        <f>IF($B73&lt;=Tabla5[[#This Row],[INVERSIONES FCI]],+Tabla5[[#This Row],[INVERSIONES FCI]]-F73,Tabla5[[#This Row],[INVERSIONES FCI]])</f>
        <v>8847402851.6822052</v>
      </c>
      <c r="G74" s="5">
        <f>IF($B73&lt;=Tabla5[[#This Row],[INVERSIONES FCI]],+Tabla5[[#This Row],[INVERSIONES FCI]]-G73,Tabla5[[#This Row],[INVERSIONES FCI]])</f>
        <v>8847402851.6822052</v>
      </c>
      <c r="H74" s="5">
        <f>IF($B73&lt;=Tabla5[[#This Row],[INVERSIONES FCI]],+Tabla5[[#This Row],[INVERSIONES FCI]]-H73,Tabla5[[#This Row],[INVERSIONES FCI]])</f>
        <v>8847402851.6822052</v>
      </c>
      <c r="I74" s="5">
        <f>IF($B73&lt;=Tabla5[[#This Row],[INVERSIONES FCI]],+Tabla5[[#This Row],[INVERSIONES FCI]]-I73,Tabla5[[#This Row],[INVERSIONES FCI]])</f>
        <v>8847402851.6822052</v>
      </c>
      <c r="J74" s="5">
        <f>IF($B73&lt;=Tabla5[[#This Row],[INVERSIONES FCI]],+Tabla5[[#This Row],[INVERSIONES FCI]]-J73,Tabla5[[#This Row],[INVERSIONES FCI]])</f>
        <v>8847402851.6822052</v>
      </c>
      <c r="K74" s="5">
        <f>IF($B73&lt;=Tabla5[[#This Row],[INVERSIONES FCI]],+Tabla5[[#This Row],[INVERSIONES FCI]]-K73,Tabla5[[#This Row],[INVERSIONES FCI]])</f>
        <v>8847402851.6822052</v>
      </c>
      <c r="L74" s="5">
        <f>IF($B73&lt;=Tabla5[[#This Row],[INVERSIONES FCI]],+Tabla5[[#This Row],[INVERSIONES FCI]]-L73,Tabla5[[#This Row],[INVERSIONES FCI]])</f>
        <v>8847402851.6822052</v>
      </c>
      <c r="M74" s="5">
        <f>IF($B73&lt;=Tabla5[[#This Row],[INVERSIONES FCI]],+Tabla5[[#This Row],[INVERSIONES FCI]]-M73,Tabla5[[#This Row],[INVERSIONES FCI]])</f>
        <v>8847402851.6822052</v>
      </c>
      <c r="N74" s="5">
        <f>IF($B73&lt;=Tabla5[[#This Row],[INVERSIONES FCI]],+Tabla5[[#This Row],[INVERSIONES FCI]]-N73,Tabla5[[#This Row],[INVERSIONES FCI]])</f>
        <v>8847402851.6822052</v>
      </c>
      <c r="O74" s="5">
        <f>IF($B73&lt;=Tabla5[[#This Row],[INVERSIONES FCI]],+Tabla5[[#This Row],[INVERSIONES FCI]]-O73,Tabla5[[#This Row],[INVERSIONES FCI]])</f>
        <v>8847402851.6822052</v>
      </c>
      <c r="P74" s="5">
        <f>IF($B73&lt;=Tabla5[[#This Row],[INVERSIONES FCI]],+Tabla5[[#This Row],[INVERSIONES FCI]]-P73,Tabla5[[#This Row],[INVERSIONES FCI]])</f>
        <v>8847402851.6822052</v>
      </c>
      <c r="Q74" s="5">
        <f>IF($B73&lt;=Tabla5[[#This Row],[INVERSIONES FCI]],+Tabla5[[#This Row],[INVERSIONES FCI]]-Q73,Tabla5[[#This Row],[INVERSIONES FCI]])</f>
        <v>8847402851.6822052</v>
      </c>
      <c r="R74" s="5">
        <f>IF($B73&lt;=Tabla5[[#This Row],[INVERSIONES FCI]],+Tabla5[[#This Row],[INVERSIONES FCI]]-R73,Tabla5[[#This Row],[INVERSIONES FCI]])</f>
        <v>8847402851.6822052</v>
      </c>
      <c r="S74" s="5">
        <f>IF($B73&lt;=Tabla5[[#This Row],[INVERSIONES FCI]],+Tabla5[[#This Row],[INVERSIONES FCI]]-S73,Tabla5[[#This Row],[INVERSIONES FCI]])</f>
        <v>8847402851.6822052</v>
      </c>
      <c r="T74" s="5">
        <f>IF($B73&lt;=Tabla5[[#This Row],[INVERSIONES FCI]],+Tabla5[[#This Row],[INVERSIONES FCI]]-T73,Tabla5[[#This Row],[INVERSIONES FCI]])</f>
        <v>8847402851.6822052</v>
      </c>
      <c r="U74" s="5">
        <f>IF($B73&lt;=Tabla5[[#This Row],[INVERSIONES FCI]],+Tabla5[[#This Row],[INVERSIONES FCI]]-U73,Tabla5[[#This Row],[INVERSIONES FCI]])</f>
        <v>8847402851.6822052</v>
      </c>
      <c r="V74" s="5">
        <f>IF($B73&lt;=Tabla5[[#This Row],[INVERSIONES FCI]],+Tabla5[[#This Row],[INVERSIONES FCI]]-V73,Tabla5[[#This Row],[INVERSIONES FCI]])</f>
        <v>8847402851.6822052</v>
      </c>
      <c r="W74" s="5">
        <f>IF($B73&lt;=Tabla5[[#This Row],[INVERSIONES FCI]],+Tabla5[[#This Row],[INVERSIONES FCI]]-W73,Tabla5[[#This Row],[INVERSIONES FCI]])</f>
        <v>8847402851.6822052</v>
      </c>
      <c r="X74" s="5">
        <f>IF($B73&lt;=Tabla5[[#This Row],[INVERSIONES FCI]],+Tabla5[[#This Row],[INVERSIONES FCI]]-X73,Tabla5[[#This Row],[INVERSIONES FCI]])</f>
        <v>8847402851.6822052</v>
      </c>
      <c r="Y74" s="5">
        <f>IF($B73&lt;=Tabla5[[#This Row],[INVERSIONES FCI]],+Tabla5[[#This Row],[INVERSIONES FCI]]-Y73,Tabla5[[#This Row],[INVERSIONES FCI]])</f>
        <v>8847402851.6822052</v>
      </c>
      <c r="Z74" s="5">
        <f>IF($B73&lt;=Tabla5[[#This Row],[INVERSIONES FCI]],+Tabla5[[#This Row],[INVERSIONES FCI]]-Z73,Tabla5[[#This Row],[INVERSIONES FCI]])</f>
        <v>8847402851.6822052</v>
      </c>
      <c r="AA74" s="5">
        <f>IF($B73&lt;=Tabla5[[#This Row],[INVERSIONES FCI]],+Tabla5[[#This Row],[INVERSIONES FCI]]-AA73,Tabla5[[#This Row],[INVERSIONES FCI]])</f>
        <v>8847402851.6822052</v>
      </c>
      <c r="AB74" s="5">
        <f>IF($B73&lt;=Tabla5[[#This Row],[INVERSIONES FCI]],+Tabla5[[#This Row],[INVERSIONES FCI]]-AB73,Tabla5[[#This Row],[INVERSIONES FCI]])</f>
        <v>8847402851.6822052</v>
      </c>
      <c r="AC74" s="5">
        <f>IF($B73&lt;=Tabla5[[#This Row],[INVERSIONES FCI]],+Tabla5[[#This Row],[INVERSIONES FCI]]-AC73,Tabla5[[#This Row],[INVERSIONES FCI]])</f>
        <v>8847402851.6822052</v>
      </c>
      <c r="AD74" s="5">
        <f>IF($B73&lt;=Tabla5[[#This Row],[INVERSIONES FCI]],+Tabla5[[#This Row],[INVERSIONES FCI]]-AD73,Tabla5[[#This Row],[INVERSIONES FCI]])</f>
        <v>8847402851.6822052</v>
      </c>
      <c r="AE74" s="5">
        <f>IF($B73&lt;=Tabla5[[#This Row],[INVERSIONES FCI]],+Tabla5[[#This Row],[INVERSIONES FCI]]-AE73,Tabla5[[#This Row],[INVERSIONES FCI]])</f>
        <v>8847402851.6822052</v>
      </c>
      <c r="AF74" s="5">
        <f>IF($B73&lt;=Tabla5[[#This Row],[INVERSIONES FCI]],+Tabla5[[#This Row],[INVERSIONES FCI]]-AF73,Tabla5[[#This Row],[INVERSIONES FCI]])</f>
        <v>8847402851.6822052</v>
      </c>
      <c r="AG74" s="5">
        <f>IF($B73&lt;=Tabla5[[#This Row],[INVERSIONES FCI]],+Tabla5[[#This Row],[INVERSIONES FCI]]-AG73,Tabla5[[#This Row],[INVERSIONES FCI]])</f>
        <v>8847402851.6822052</v>
      </c>
      <c r="AH74" s="5">
        <f>IF($B73&lt;=Tabla5[[#This Row],[INVERSIONES FCI]],+Tabla5[[#This Row],[INVERSIONES FCI]]-AH73,Tabla5[[#This Row],[INVERSIONES FCI]])</f>
        <v>8847402851.6822052</v>
      </c>
      <c r="AI74" s="5">
        <f>IF($B73&lt;=Tabla5[[#This Row],[INVERSIONES FCI]],+Tabla5[[#This Row],[INVERSIONES FCI]]-AI73,Tabla5[[#This Row],[INVERSIONES FCI]])</f>
        <v>8847402851.6822052</v>
      </c>
      <c r="AJ74" s="5">
        <f>IF($B73&lt;=Tabla5[[#This Row],[INVERSIONES FCI]],+Tabla5[[#This Row],[INVERSIONES FCI]]-AJ73,Tabla5[[#This Row],[INVERSIONES FCI]])</f>
        <v>8847402851.6822052</v>
      </c>
      <c r="AK74" s="5">
        <f>IF($B73&lt;=Tabla5[[#This Row],[INVERSIONES FCI]],+Tabla5[[#This Row],[INVERSIONES FCI]]-AK73,Tabla5[[#This Row],[INVERSIONES FCI]])</f>
        <v>8847402851.6822052</v>
      </c>
      <c r="AL74" s="5">
        <f>IF($B73&lt;=Tabla5[[#This Row],[INVERSIONES FCI]],+Tabla5[[#This Row],[INVERSIONES FCI]]-AL73,Tabla5[[#This Row],[INVERSIONES FCI]])</f>
        <v>8847402851.6822052</v>
      </c>
      <c r="AM74" s="5">
        <f>IF($B73&lt;=Tabla5[[#This Row],[INVERSIONES FCI]],+Tabla5[[#This Row],[INVERSIONES FCI]]-AM73,Tabla5[[#This Row],[INVERSIONES FCI]])</f>
        <v>8847402851.6822052</v>
      </c>
      <c r="AN74" s="5">
        <f>IF($B73&lt;=Tabla5[[#This Row],[INVERSIONES FCI]],+Tabla5[[#This Row],[INVERSIONES FCI]]-AN73,Tabla5[[#This Row],[INVERSIONES FCI]])</f>
        <v>8847402851.6822052</v>
      </c>
      <c r="AO74" s="5">
        <f>IF($B73&lt;=Tabla5[[#This Row],[INVERSIONES FCI]],+Tabla5[[#This Row],[INVERSIONES FCI]]-AO73,Tabla5[[#This Row],[INVERSIONES FCI]])</f>
        <v>8847402851.6822052</v>
      </c>
      <c r="AP74" s="5">
        <f>IF($B73&lt;=Tabla5[[#This Row],[INVERSIONES FCI]],+Tabla5[[#This Row],[INVERSIONES FCI]]-AP73,Tabla5[[#This Row],[INVERSIONES FCI]])</f>
        <v>8847402851.6822052</v>
      </c>
      <c r="AQ74" s="5">
        <f>IF($B73&lt;=Tabla5[[#This Row],[INVERSIONES FCI]],+Tabla5[[#This Row],[INVERSIONES FCI]]-AQ73,Tabla5[[#This Row],[INVERSIONES FCI]])</f>
        <v>8847402851.6822052</v>
      </c>
      <c r="AR74" s="5">
        <f>IF($B73&lt;=Tabla5[[#This Row],[INVERSIONES FCI]],+Tabla5[[#This Row],[INVERSIONES FCI]]-AR73,Tabla5[[#This Row],[INVERSIONES FCI]])</f>
        <v>8847402851.6822052</v>
      </c>
      <c r="AS74" s="5">
        <f>IF($B73&lt;=Tabla5[[#This Row],[INVERSIONES FCI]],+Tabla5[[#This Row],[INVERSIONES FCI]]-AS73,Tabla5[[#This Row],[INVERSIONES FCI]])</f>
        <v>8847402851.6822052</v>
      </c>
      <c r="AT74" s="5">
        <f>IF($B73&lt;=Tabla5[[#This Row],[INVERSIONES FCI]],+Tabla5[[#This Row],[INVERSIONES FCI]]-AT73,Tabla5[[#This Row],[INVERSIONES FCI]])</f>
        <v>8847402851.6822052</v>
      </c>
      <c r="AU74" s="5">
        <f>IF($B73&lt;=Tabla5[[#This Row],[INVERSIONES FCI]],+Tabla5[[#This Row],[INVERSIONES FCI]]-AU73,Tabla5[[#This Row],[INVERSIONES FCI]])</f>
        <v>8847402851.6822052</v>
      </c>
      <c r="AV74" s="5">
        <f>IF($B73&lt;=Tabla5[[#This Row],[INVERSIONES FCI]],+Tabla5[[#This Row],[INVERSIONES FCI]]-AV73,Tabla5[[#This Row],[INVERSIONES FCI]])</f>
        <v>8847402851.6822052</v>
      </c>
      <c r="AW74" s="5">
        <f>IF($B73&lt;=Tabla5[[#This Row],[INVERSIONES FCI]],+Tabla5[[#This Row],[INVERSIONES FCI]]-AW73,Tabla5[[#This Row],[INVERSIONES FCI]])</f>
        <v>8847402851.6822052</v>
      </c>
      <c r="AX74" s="5">
        <f>IF($B73&lt;=Tabla5[[#This Row],[INVERSIONES FCI]],+Tabla5[[#This Row],[INVERSIONES FCI]]-AX73,Tabla5[[#This Row],[INVERSIONES FCI]])</f>
        <v>8847402851.6822052</v>
      </c>
      <c r="AY74" s="5">
        <f>IF($B73&lt;=Tabla5[[#This Row],[INVERSIONES FCI]],+Tabla5[[#This Row],[INVERSIONES FCI]]-AY73,Tabla5[[#This Row],[INVERSIONES FCI]])</f>
        <v>8847402851.6822052</v>
      </c>
      <c r="AZ74" s="5">
        <f>IF($B73&lt;=Tabla5[[#This Row],[INVERSIONES FCI]],+Tabla5[[#This Row],[INVERSIONES FCI]]-AZ73,Tabla5[[#This Row],[INVERSIONES FCI]])</f>
        <v>8847402851.6822052</v>
      </c>
      <c r="BA74" s="5">
        <f>IF($B73&lt;=Tabla5[[#This Row],[INVERSIONES FCI]],+Tabla5[[#This Row],[INVERSIONES FCI]]-BA73,Tabla5[[#This Row],[INVERSIONES FCI]])</f>
        <v>8847402851.6822052</v>
      </c>
      <c r="BB74" s="5">
        <f>IF($B73&lt;=Tabla5[[#This Row],[INVERSIONES FCI]],+Tabla5[[#This Row],[INVERSIONES FCI]]-BB73,Tabla5[[#This Row],[INVERSIONES FCI]])</f>
        <v>8847402851.6822052</v>
      </c>
      <c r="BC74" s="5">
        <f>IF($B73&lt;=Tabla5[[#This Row],[INVERSIONES FCI]],+Tabla5[[#This Row],[INVERSIONES FCI]]-BC73,Tabla5[[#This Row],[INVERSIONES FCI]])</f>
        <v>8847402851.6822052</v>
      </c>
      <c r="BD74" s="5">
        <f>IF($B73&lt;=Tabla5[[#This Row],[INVERSIONES FCI]],+Tabla5[[#This Row],[INVERSIONES FCI]]-BD73,Tabla5[[#This Row],[INVERSIONES FCI]])</f>
        <v>8847402851.6822052</v>
      </c>
      <c r="BE74" s="5">
        <f>IF($B73&lt;=Tabla5[[#This Row],[INVERSIONES FCI]],+Tabla5[[#This Row],[INVERSIONES FCI]]-BE73,Tabla5[[#This Row],[INVERSIONES FCI]])</f>
        <v>8847402851.6822052</v>
      </c>
      <c r="BF74" s="5">
        <f>IF($B73&lt;=Tabla5[[#This Row],[INVERSIONES FCI]],+Tabla5[[#This Row],[INVERSIONES FCI]]-BF73,Tabla5[[#This Row],[INVERSIONES FCI]])</f>
        <v>8847402851.6822052</v>
      </c>
      <c r="BG74" s="5">
        <f>IF($B73&lt;=Tabla5[[#This Row],[INVERSIONES FCI]],+Tabla5[[#This Row],[INVERSIONES FCI]]-BG73,Tabla5[[#This Row],[INVERSIONES FCI]])</f>
        <v>8847402851.6822052</v>
      </c>
      <c r="BH74" s="5">
        <f>IF($B73&lt;=Tabla5[[#This Row],[INVERSIONES FCI]],+Tabla5[[#This Row],[INVERSIONES FCI]]-BH73,Tabla5[[#This Row],[INVERSIONES FCI]])</f>
        <v>8847402851.6822052</v>
      </c>
      <c r="BI74" s="5">
        <f>IF($B73&lt;=Tabla5[[#This Row],[INVERSIONES FCI]],+Tabla5[[#This Row],[INVERSIONES FCI]]-BI73,Tabla5[[#This Row],[INVERSIONES FCI]])</f>
        <v>8847402851.6822052</v>
      </c>
      <c r="BJ74" s="5">
        <f>IF($B73&lt;=Tabla5[[#This Row],[INVERSIONES FCI]],+Tabla5[[#This Row],[INVERSIONES FCI]]-BJ73,Tabla5[[#This Row],[INVERSIONES FCI]])</f>
        <v>8847402851.6822052</v>
      </c>
      <c r="BK74" s="5">
        <f>IF($B73&lt;=Tabla5[[#This Row],[INVERSIONES FCI]],+Tabla5[[#This Row],[INVERSIONES FCI]]-BK73,Tabla5[[#This Row],[INVERSIONES FCI]])</f>
        <v>8847402851.6822052</v>
      </c>
      <c r="BL74" s="5">
        <f>IF($B73&lt;=Tabla5[[#This Row],[INVERSIONES FCI]],+Tabla5[[#This Row],[INVERSIONES FCI]]-BL73,Tabla5[[#This Row],[INVERSIONES FCI]])</f>
        <v>8847402851.6822052</v>
      </c>
      <c r="BM74" s="5">
        <f>IF($B73&lt;=Tabla5[[#This Row],[INVERSIONES FCI]],+Tabla5[[#This Row],[INVERSIONES FCI]]-BM73,Tabla5[[#This Row],[INVERSIONES FCI]])</f>
        <v>8847402851.6822052</v>
      </c>
      <c r="BN74" s="5">
        <f>IF($B73&lt;=Tabla5[[#This Row],[INVERSIONES FCI]],+Tabla5[[#This Row],[INVERSIONES FCI]]-BN73,Tabla5[[#This Row],[INVERSIONES FCI]])</f>
        <v>8847402851.6822052</v>
      </c>
      <c r="BO74" s="5">
        <f>IF($B73&lt;=Tabla5[[#This Row],[INVERSIONES FCI]],+Tabla5[[#This Row],[INVERSIONES FCI]]-BO73,Tabla5[[#This Row],[INVERSIONES FCI]])</f>
        <v>8847402851.6822052</v>
      </c>
      <c r="BP74" s="5">
        <f>IF($B73&lt;=Tabla5[[#This Row],[INVERSIONES FCI]],+Tabla5[[#This Row],[INVERSIONES FCI]]-BP73,Tabla5[[#This Row],[INVERSIONES FCI]])</f>
        <v>8847402851.6822052</v>
      </c>
      <c r="BQ74" s="5">
        <f>IF($B73&lt;=Tabla5[[#This Row],[INVERSIONES FCI]],+Tabla5[[#This Row],[INVERSIONES FCI]]-BQ73,Tabla5[[#This Row],[INVERSIONES FCI]])</f>
        <v>8847402851.6822052</v>
      </c>
      <c r="BR74" s="5">
        <f>IF($B73&lt;=Tabla5[[#This Row],[INVERSIONES FCI]],+Tabla5[[#This Row],[INVERSIONES FCI]]-BR73,Tabla5[[#This Row],[INVERSIONES FCI]])</f>
        <v>8847402851.6822052</v>
      </c>
      <c r="BS74" s="5">
        <f>IF($B73&lt;=Tabla5[[#This Row],[INVERSIONES FCI]],+Tabla5[[#This Row],[INVERSIONES FCI]]-BS73,Tabla5[[#This Row],[INVERSIONES FCI]])</f>
        <v>8847402851.6822052</v>
      </c>
      <c r="BT74" s="5">
        <f>IF($B73&lt;=Tabla5[[#This Row],[INVERSIONES FCI]],+Tabla5[[#This Row],[INVERSIONES FCI]]-BT73,Tabla5[[#This Row],[INVERSIONES FCI]])</f>
        <v>8847402851.6822052</v>
      </c>
      <c r="BU74" s="5">
        <f>IF($B73&lt;=Tabla5[[#This Row],[INVERSIONES FCI]],+Tabla5[[#This Row],[INVERSIONES FCI]]-BU73,Tabla5[[#This Row],[INVERSIONES FCI]])</f>
        <v>8847402851.6822052</v>
      </c>
      <c r="BV74" s="5">
        <f>IF($B73&lt;=Tabla5[[#This Row],[INVERSIONES FCI]],+Tabla5[[#This Row],[INVERSIONES FCI]]-BV73,Tabla5[[#This Row],[INVERSIONES FCI]])</f>
        <v>8847402851.6822052</v>
      </c>
      <c r="BW74" s="5" cm="1">
        <f t="array" ref="BW74">IF(Tabla5[[#This Row],[FCI]]=0,0,_xlfn.XLOOKUP(TRUE,$B74:BV74&gt;0,$B74:BV74,"",0,-1))</f>
        <v>8847402851.6822052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</row>
    <row r="75" spans="1:121" ht="14.4">
      <c r="A75" s="12" t="s">
        <v>74</v>
      </c>
      <c r="B75" s="5">
        <f>HLOOKUP($A75,ESCENARIO[#All],7,FALSE)</f>
        <v>13191747832.715399</v>
      </c>
      <c r="C75" s="5">
        <f>IF($B74&lt;=Tabla5[[#This Row],[INVERSIONES FCI]],+Tabla5[[#This Row],[INVERSIONES FCI]]-C74,Tabla5[[#This Row],[INVERSIONES FCI]])</f>
        <v>4344344981.0331936</v>
      </c>
      <c r="D75" s="5">
        <f>IF($B74&lt;=Tabla5[[#This Row],[INVERSIONES FCI]],+Tabla5[[#This Row],[INVERSIONES FCI]]-D74,Tabla5[[#This Row],[INVERSIONES FCI]])</f>
        <v>4344344981.0331936</v>
      </c>
      <c r="E75" s="5">
        <f>IF($B74&lt;=Tabla5[[#This Row],[INVERSIONES FCI]],+Tabla5[[#This Row],[INVERSIONES FCI]]-E74,Tabla5[[#This Row],[INVERSIONES FCI]])</f>
        <v>4344344981.0331936</v>
      </c>
      <c r="F75" s="5">
        <f>IF($B74&lt;=Tabla5[[#This Row],[INVERSIONES FCI]],+Tabla5[[#This Row],[INVERSIONES FCI]]-F74,Tabla5[[#This Row],[INVERSIONES FCI]])</f>
        <v>4344344981.0331936</v>
      </c>
      <c r="G75" s="5">
        <f>IF($B74&lt;=Tabla5[[#This Row],[INVERSIONES FCI]],+Tabla5[[#This Row],[INVERSIONES FCI]]-G74,Tabla5[[#This Row],[INVERSIONES FCI]])</f>
        <v>4344344981.0331936</v>
      </c>
      <c r="H75" s="5">
        <f>IF($B74&lt;=Tabla5[[#This Row],[INVERSIONES FCI]],+Tabla5[[#This Row],[INVERSIONES FCI]]-H74,Tabla5[[#This Row],[INVERSIONES FCI]])</f>
        <v>4344344981.0331936</v>
      </c>
      <c r="I75" s="5">
        <f>IF($B74&lt;=Tabla5[[#This Row],[INVERSIONES FCI]],+Tabla5[[#This Row],[INVERSIONES FCI]]-I74,Tabla5[[#This Row],[INVERSIONES FCI]])</f>
        <v>4344344981.0331936</v>
      </c>
      <c r="J75" s="5">
        <f>IF($B74&lt;=Tabla5[[#This Row],[INVERSIONES FCI]],+Tabla5[[#This Row],[INVERSIONES FCI]]-J74,Tabla5[[#This Row],[INVERSIONES FCI]])</f>
        <v>4344344981.0331936</v>
      </c>
      <c r="K75" s="5">
        <f>IF($B74&lt;=Tabla5[[#This Row],[INVERSIONES FCI]],+Tabla5[[#This Row],[INVERSIONES FCI]]-K74,Tabla5[[#This Row],[INVERSIONES FCI]])</f>
        <v>4344344981.0331936</v>
      </c>
      <c r="L75" s="5">
        <f>IF($B74&lt;=Tabla5[[#This Row],[INVERSIONES FCI]],+Tabla5[[#This Row],[INVERSIONES FCI]]-L74,Tabla5[[#This Row],[INVERSIONES FCI]])</f>
        <v>4344344981.0331936</v>
      </c>
      <c r="M75" s="5">
        <f>IF($B74&lt;=Tabla5[[#This Row],[INVERSIONES FCI]],+Tabla5[[#This Row],[INVERSIONES FCI]]-M74,Tabla5[[#This Row],[INVERSIONES FCI]])</f>
        <v>4344344981.0331936</v>
      </c>
      <c r="N75" s="5">
        <f>IF($B74&lt;=Tabla5[[#This Row],[INVERSIONES FCI]],+Tabla5[[#This Row],[INVERSIONES FCI]]-N74,Tabla5[[#This Row],[INVERSIONES FCI]])</f>
        <v>4344344981.0331936</v>
      </c>
      <c r="O75" s="5">
        <f>IF($B74&lt;=Tabla5[[#This Row],[INVERSIONES FCI]],+Tabla5[[#This Row],[INVERSIONES FCI]]-O74,Tabla5[[#This Row],[INVERSIONES FCI]])</f>
        <v>4344344981.0331936</v>
      </c>
      <c r="P75" s="5">
        <f>IF($B74&lt;=Tabla5[[#This Row],[INVERSIONES FCI]],+Tabla5[[#This Row],[INVERSIONES FCI]]-P74,Tabla5[[#This Row],[INVERSIONES FCI]])</f>
        <v>4344344981.0331936</v>
      </c>
      <c r="Q75" s="5">
        <f>IF($B74&lt;=Tabla5[[#This Row],[INVERSIONES FCI]],+Tabla5[[#This Row],[INVERSIONES FCI]]-Q74,Tabla5[[#This Row],[INVERSIONES FCI]])</f>
        <v>4344344981.0331936</v>
      </c>
      <c r="R75" s="5">
        <f>IF($B74&lt;=Tabla5[[#This Row],[INVERSIONES FCI]],+Tabla5[[#This Row],[INVERSIONES FCI]]-R74,Tabla5[[#This Row],[INVERSIONES FCI]])</f>
        <v>4344344981.0331936</v>
      </c>
      <c r="S75" s="5">
        <f>IF($B74&lt;=Tabla5[[#This Row],[INVERSIONES FCI]],+Tabla5[[#This Row],[INVERSIONES FCI]]-S74,Tabla5[[#This Row],[INVERSIONES FCI]])</f>
        <v>4344344981.0331936</v>
      </c>
      <c r="T75" s="5">
        <f>IF($B74&lt;=Tabla5[[#This Row],[INVERSIONES FCI]],+Tabla5[[#This Row],[INVERSIONES FCI]]-T74,Tabla5[[#This Row],[INVERSIONES FCI]])</f>
        <v>4344344981.0331936</v>
      </c>
      <c r="U75" s="5">
        <f>IF($B74&lt;=Tabla5[[#This Row],[INVERSIONES FCI]],+Tabla5[[#This Row],[INVERSIONES FCI]]-U74,Tabla5[[#This Row],[INVERSIONES FCI]])</f>
        <v>4344344981.0331936</v>
      </c>
      <c r="V75" s="5">
        <f>IF($B74&lt;=Tabla5[[#This Row],[INVERSIONES FCI]],+Tabla5[[#This Row],[INVERSIONES FCI]]-V74,Tabla5[[#This Row],[INVERSIONES FCI]])</f>
        <v>4344344981.0331936</v>
      </c>
      <c r="W75" s="5">
        <f>IF($B74&lt;=Tabla5[[#This Row],[INVERSIONES FCI]],+Tabla5[[#This Row],[INVERSIONES FCI]]-W74,Tabla5[[#This Row],[INVERSIONES FCI]])</f>
        <v>4344344981.0331936</v>
      </c>
      <c r="X75" s="5">
        <f>IF($B74&lt;=Tabla5[[#This Row],[INVERSIONES FCI]],+Tabla5[[#This Row],[INVERSIONES FCI]]-X74,Tabla5[[#This Row],[INVERSIONES FCI]])</f>
        <v>4344344981.0331936</v>
      </c>
      <c r="Y75" s="5">
        <f>IF($B74&lt;=Tabla5[[#This Row],[INVERSIONES FCI]],+Tabla5[[#This Row],[INVERSIONES FCI]]-Y74,Tabla5[[#This Row],[INVERSIONES FCI]])</f>
        <v>4344344981.0331936</v>
      </c>
      <c r="Z75" s="5">
        <f>IF($B74&lt;=Tabla5[[#This Row],[INVERSIONES FCI]],+Tabla5[[#This Row],[INVERSIONES FCI]]-Z74,Tabla5[[#This Row],[INVERSIONES FCI]])</f>
        <v>4344344981.0331936</v>
      </c>
      <c r="AA75" s="5">
        <f>IF($B74&lt;=Tabla5[[#This Row],[INVERSIONES FCI]],+Tabla5[[#This Row],[INVERSIONES FCI]]-AA74,Tabla5[[#This Row],[INVERSIONES FCI]])</f>
        <v>4344344981.0331936</v>
      </c>
      <c r="AB75" s="5">
        <f>IF($B74&lt;=Tabla5[[#This Row],[INVERSIONES FCI]],+Tabla5[[#This Row],[INVERSIONES FCI]]-AB74,Tabla5[[#This Row],[INVERSIONES FCI]])</f>
        <v>4344344981.0331936</v>
      </c>
      <c r="AC75" s="5">
        <f>IF($B74&lt;=Tabla5[[#This Row],[INVERSIONES FCI]],+Tabla5[[#This Row],[INVERSIONES FCI]]-AC74,Tabla5[[#This Row],[INVERSIONES FCI]])</f>
        <v>4344344981.0331936</v>
      </c>
      <c r="AD75" s="5">
        <f>IF($B74&lt;=Tabla5[[#This Row],[INVERSIONES FCI]],+Tabla5[[#This Row],[INVERSIONES FCI]]-AD74,Tabla5[[#This Row],[INVERSIONES FCI]])</f>
        <v>4344344981.0331936</v>
      </c>
      <c r="AE75" s="5">
        <f>IF($B74&lt;=Tabla5[[#This Row],[INVERSIONES FCI]],+Tabla5[[#This Row],[INVERSIONES FCI]]-AE74,Tabla5[[#This Row],[INVERSIONES FCI]])</f>
        <v>4344344981.0331936</v>
      </c>
      <c r="AF75" s="5">
        <f>IF($B74&lt;=Tabla5[[#This Row],[INVERSIONES FCI]],+Tabla5[[#This Row],[INVERSIONES FCI]]-AF74,Tabla5[[#This Row],[INVERSIONES FCI]])</f>
        <v>4344344981.0331936</v>
      </c>
      <c r="AG75" s="5">
        <f>IF($B74&lt;=Tabla5[[#This Row],[INVERSIONES FCI]],+Tabla5[[#This Row],[INVERSIONES FCI]]-AG74,Tabla5[[#This Row],[INVERSIONES FCI]])</f>
        <v>4344344981.0331936</v>
      </c>
      <c r="AH75" s="5">
        <f>IF($B74&lt;=Tabla5[[#This Row],[INVERSIONES FCI]],+Tabla5[[#This Row],[INVERSIONES FCI]]-AH74,Tabla5[[#This Row],[INVERSIONES FCI]])</f>
        <v>4344344981.0331936</v>
      </c>
      <c r="AI75" s="5">
        <f>IF($B74&lt;=Tabla5[[#This Row],[INVERSIONES FCI]],+Tabla5[[#This Row],[INVERSIONES FCI]]-AI74,Tabla5[[#This Row],[INVERSIONES FCI]])</f>
        <v>4344344981.0331936</v>
      </c>
      <c r="AJ75" s="5">
        <f>IF($B74&lt;=Tabla5[[#This Row],[INVERSIONES FCI]],+Tabla5[[#This Row],[INVERSIONES FCI]]-AJ74,Tabla5[[#This Row],[INVERSIONES FCI]])</f>
        <v>4344344981.0331936</v>
      </c>
      <c r="AK75" s="5">
        <f>IF($B74&lt;=Tabla5[[#This Row],[INVERSIONES FCI]],+Tabla5[[#This Row],[INVERSIONES FCI]]-AK74,Tabla5[[#This Row],[INVERSIONES FCI]])</f>
        <v>4344344981.0331936</v>
      </c>
      <c r="AL75" s="5">
        <f>IF($B74&lt;=Tabla5[[#This Row],[INVERSIONES FCI]],+Tabla5[[#This Row],[INVERSIONES FCI]]-AL74,Tabla5[[#This Row],[INVERSIONES FCI]])</f>
        <v>4344344981.0331936</v>
      </c>
      <c r="AM75" s="5">
        <f>IF($B74&lt;=Tabla5[[#This Row],[INVERSIONES FCI]],+Tabla5[[#This Row],[INVERSIONES FCI]]-AM74,Tabla5[[#This Row],[INVERSIONES FCI]])</f>
        <v>4344344981.0331936</v>
      </c>
      <c r="AN75" s="5">
        <f>IF($B74&lt;=Tabla5[[#This Row],[INVERSIONES FCI]],+Tabla5[[#This Row],[INVERSIONES FCI]]-AN74,Tabla5[[#This Row],[INVERSIONES FCI]])</f>
        <v>4344344981.0331936</v>
      </c>
      <c r="AO75" s="5">
        <f>IF($B74&lt;=Tabla5[[#This Row],[INVERSIONES FCI]],+Tabla5[[#This Row],[INVERSIONES FCI]]-AO74,Tabla5[[#This Row],[INVERSIONES FCI]])</f>
        <v>4344344981.0331936</v>
      </c>
      <c r="AP75" s="5">
        <f>IF($B74&lt;=Tabla5[[#This Row],[INVERSIONES FCI]],+Tabla5[[#This Row],[INVERSIONES FCI]]-AP74,Tabla5[[#This Row],[INVERSIONES FCI]])</f>
        <v>4344344981.0331936</v>
      </c>
      <c r="AQ75" s="5">
        <f>IF($B74&lt;=Tabla5[[#This Row],[INVERSIONES FCI]],+Tabla5[[#This Row],[INVERSIONES FCI]]-AQ74,Tabla5[[#This Row],[INVERSIONES FCI]])</f>
        <v>4344344981.0331936</v>
      </c>
      <c r="AR75" s="5">
        <f>IF($B74&lt;=Tabla5[[#This Row],[INVERSIONES FCI]],+Tabla5[[#This Row],[INVERSIONES FCI]]-AR74,Tabla5[[#This Row],[INVERSIONES FCI]])</f>
        <v>4344344981.0331936</v>
      </c>
      <c r="AS75" s="5">
        <f>IF($B74&lt;=Tabla5[[#This Row],[INVERSIONES FCI]],+Tabla5[[#This Row],[INVERSIONES FCI]]-AS74,Tabla5[[#This Row],[INVERSIONES FCI]])</f>
        <v>4344344981.0331936</v>
      </c>
      <c r="AT75" s="5">
        <f>IF($B74&lt;=Tabla5[[#This Row],[INVERSIONES FCI]],+Tabla5[[#This Row],[INVERSIONES FCI]]-AT74,Tabla5[[#This Row],[INVERSIONES FCI]])</f>
        <v>4344344981.0331936</v>
      </c>
      <c r="AU75" s="5">
        <f>IF($B74&lt;=Tabla5[[#This Row],[INVERSIONES FCI]],+Tabla5[[#This Row],[INVERSIONES FCI]]-AU74,Tabla5[[#This Row],[INVERSIONES FCI]])</f>
        <v>4344344981.0331936</v>
      </c>
      <c r="AV75" s="5">
        <f>IF($B74&lt;=Tabla5[[#This Row],[INVERSIONES FCI]],+Tabla5[[#This Row],[INVERSIONES FCI]]-AV74,Tabla5[[#This Row],[INVERSIONES FCI]])</f>
        <v>4344344981.0331936</v>
      </c>
      <c r="AW75" s="5">
        <f>IF($B74&lt;=Tabla5[[#This Row],[INVERSIONES FCI]],+Tabla5[[#This Row],[INVERSIONES FCI]]-AW74,Tabla5[[#This Row],[INVERSIONES FCI]])</f>
        <v>4344344981.0331936</v>
      </c>
      <c r="AX75" s="5">
        <f>IF($B74&lt;=Tabla5[[#This Row],[INVERSIONES FCI]],+Tabla5[[#This Row],[INVERSIONES FCI]]-AX74,Tabla5[[#This Row],[INVERSIONES FCI]])</f>
        <v>4344344981.0331936</v>
      </c>
      <c r="AY75" s="5">
        <f>IF($B74&lt;=Tabla5[[#This Row],[INVERSIONES FCI]],+Tabla5[[#This Row],[INVERSIONES FCI]]-AY74,Tabla5[[#This Row],[INVERSIONES FCI]])</f>
        <v>4344344981.0331936</v>
      </c>
      <c r="AZ75" s="5">
        <f>IF($B74&lt;=Tabla5[[#This Row],[INVERSIONES FCI]],+Tabla5[[#This Row],[INVERSIONES FCI]]-AZ74,Tabla5[[#This Row],[INVERSIONES FCI]])</f>
        <v>4344344981.0331936</v>
      </c>
      <c r="BA75" s="5">
        <f>IF($B74&lt;=Tabla5[[#This Row],[INVERSIONES FCI]],+Tabla5[[#This Row],[INVERSIONES FCI]]-BA74,Tabla5[[#This Row],[INVERSIONES FCI]])</f>
        <v>4344344981.0331936</v>
      </c>
      <c r="BB75" s="5">
        <f>IF($B74&lt;=Tabla5[[#This Row],[INVERSIONES FCI]],+Tabla5[[#This Row],[INVERSIONES FCI]]-BB74,Tabla5[[#This Row],[INVERSIONES FCI]])</f>
        <v>4344344981.0331936</v>
      </c>
      <c r="BC75" s="5">
        <f>IF($B74&lt;=Tabla5[[#This Row],[INVERSIONES FCI]],+Tabla5[[#This Row],[INVERSIONES FCI]]-BC74,Tabla5[[#This Row],[INVERSIONES FCI]])</f>
        <v>4344344981.0331936</v>
      </c>
      <c r="BD75" s="5">
        <f>IF($B74&lt;=Tabla5[[#This Row],[INVERSIONES FCI]],+Tabla5[[#This Row],[INVERSIONES FCI]]-BD74,Tabla5[[#This Row],[INVERSIONES FCI]])</f>
        <v>4344344981.0331936</v>
      </c>
      <c r="BE75" s="5">
        <f>IF($B74&lt;=Tabla5[[#This Row],[INVERSIONES FCI]],+Tabla5[[#This Row],[INVERSIONES FCI]]-BE74,Tabla5[[#This Row],[INVERSIONES FCI]])</f>
        <v>4344344981.0331936</v>
      </c>
      <c r="BF75" s="5">
        <f>IF($B74&lt;=Tabla5[[#This Row],[INVERSIONES FCI]],+Tabla5[[#This Row],[INVERSIONES FCI]]-BF74,Tabla5[[#This Row],[INVERSIONES FCI]])</f>
        <v>4344344981.0331936</v>
      </c>
      <c r="BG75" s="5">
        <f>IF($B74&lt;=Tabla5[[#This Row],[INVERSIONES FCI]],+Tabla5[[#This Row],[INVERSIONES FCI]]-BG74,Tabla5[[#This Row],[INVERSIONES FCI]])</f>
        <v>4344344981.0331936</v>
      </c>
      <c r="BH75" s="5">
        <f>IF($B74&lt;=Tabla5[[#This Row],[INVERSIONES FCI]],+Tabla5[[#This Row],[INVERSIONES FCI]]-BH74,Tabla5[[#This Row],[INVERSIONES FCI]])</f>
        <v>4344344981.0331936</v>
      </c>
      <c r="BI75" s="5">
        <f>IF($B74&lt;=Tabla5[[#This Row],[INVERSIONES FCI]],+Tabla5[[#This Row],[INVERSIONES FCI]]-BI74,Tabla5[[#This Row],[INVERSIONES FCI]])</f>
        <v>4344344981.0331936</v>
      </c>
      <c r="BJ75" s="5">
        <f>IF($B74&lt;=Tabla5[[#This Row],[INVERSIONES FCI]],+Tabla5[[#This Row],[INVERSIONES FCI]]-BJ74,Tabla5[[#This Row],[INVERSIONES FCI]])</f>
        <v>4344344981.0331936</v>
      </c>
      <c r="BK75" s="5">
        <f>IF($B74&lt;=Tabla5[[#This Row],[INVERSIONES FCI]],+Tabla5[[#This Row],[INVERSIONES FCI]]-BK74,Tabla5[[#This Row],[INVERSIONES FCI]])</f>
        <v>4344344981.0331936</v>
      </c>
      <c r="BL75" s="5">
        <f>IF($B74&lt;=Tabla5[[#This Row],[INVERSIONES FCI]],+Tabla5[[#This Row],[INVERSIONES FCI]]-BL74,Tabla5[[#This Row],[INVERSIONES FCI]])</f>
        <v>4344344981.0331936</v>
      </c>
      <c r="BM75" s="5">
        <f>IF($B74&lt;=Tabla5[[#This Row],[INVERSIONES FCI]],+Tabla5[[#This Row],[INVERSIONES FCI]]-BM74,Tabla5[[#This Row],[INVERSIONES FCI]])</f>
        <v>4344344981.0331936</v>
      </c>
      <c r="BN75" s="5">
        <f>IF($B74&lt;=Tabla5[[#This Row],[INVERSIONES FCI]],+Tabla5[[#This Row],[INVERSIONES FCI]]-BN74,Tabla5[[#This Row],[INVERSIONES FCI]])</f>
        <v>4344344981.0331936</v>
      </c>
      <c r="BO75" s="5">
        <f>IF($B74&lt;=Tabla5[[#This Row],[INVERSIONES FCI]],+Tabla5[[#This Row],[INVERSIONES FCI]]-BO74,Tabla5[[#This Row],[INVERSIONES FCI]])</f>
        <v>4344344981.0331936</v>
      </c>
      <c r="BP75" s="5">
        <f>IF($B74&lt;=Tabla5[[#This Row],[INVERSIONES FCI]],+Tabla5[[#This Row],[INVERSIONES FCI]]-BP74,Tabla5[[#This Row],[INVERSIONES FCI]])</f>
        <v>4344344981.0331936</v>
      </c>
      <c r="BQ75" s="5">
        <f>IF($B74&lt;=Tabla5[[#This Row],[INVERSIONES FCI]],+Tabla5[[#This Row],[INVERSIONES FCI]]-BQ74,Tabla5[[#This Row],[INVERSIONES FCI]])</f>
        <v>4344344981.0331936</v>
      </c>
      <c r="BR75" s="5">
        <f>IF($B74&lt;=Tabla5[[#This Row],[INVERSIONES FCI]],+Tabla5[[#This Row],[INVERSIONES FCI]]-BR74,Tabla5[[#This Row],[INVERSIONES FCI]])</f>
        <v>4344344981.0331936</v>
      </c>
      <c r="BS75" s="5">
        <f>IF($B74&lt;=Tabla5[[#This Row],[INVERSIONES FCI]],+Tabla5[[#This Row],[INVERSIONES FCI]]-BS74,Tabla5[[#This Row],[INVERSIONES FCI]])</f>
        <v>4344344981.0331936</v>
      </c>
      <c r="BT75" s="5">
        <f>IF($B74&lt;=Tabla5[[#This Row],[INVERSIONES FCI]],+Tabla5[[#This Row],[INVERSIONES FCI]]-BT74,Tabla5[[#This Row],[INVERSIONES FCI]])</f>
        <v>4344344981.0331936</v>
      </c>
      <c r="BU75" s="5">
        <f>IF($B74&lt;=Tabla5[[#This Row],[INVERSIONES FCI]],+Tabla5[[#This Row],[INVERSIONES FCI]]-BU74,Tabla5[[#This Row],[INVERSIONES FCI]])</f>
        <v>4344344981.0331936</v>
      </c>
      <c r="BV75" s="5">
        <f>IF($B74&lt;=Tabla5[[#This Row],[INVERSIONES FCI]],+Tabla5[[#This Row],[INVERSIONES FCI]]-BV74,Tabla5[[#This Row],[INVERSIONES FCI]])</f>
        <v>4344344981.0331936</v>
      </c>
      <c r="BW75" s="5">
        <f>IF($B74&lt;=Tabla5[[#This Row],[INVERSIONES FCI]],+Tabla5[[#This Row],[INVERSIONES FCI]]-BW74,Tabla5[[#This Row],[INVERSIONES FCI]])</f>
        <v>4344344981.0331936</v>
      </c>
      <c r="BX75" s="5" cm="1">
        <f t="array" ref="BX75">IF(Tabla5[[#This Row],[FCI]]=0,0,_xlfn.XLOOKUP(TRUE,$B75:BW75&gt;0,$B75:BW75,"",0,-1))</f>
        <v>4344344981.0331936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</row>
    <row r="76" spans="1:121" ht="14.4">
      <c r="A76" s="12" t="s">
        <v>75</v>
      </c>
      <c r="B76" s="5">
        <f>HLOOKUP($A76,ESCENARIO[#All],7,FALSE)</f>
        <v>14164703796.24865</v>
      </c>
      <c r="C76" s="5">
        <f>IF($B75&lt;=Tabla5[[#This Row],[INVERSIONES FCI]],+Tabla5[[#This Row],[INVERSIONES FCI]]-C75,Tabla5[[#This Row],[INVERSIONES FCI]])</f>
        <v>9820358815.215456</v>
      </c>
      <c r="D76" s="5">
        <f>IF($B75&lt;=Tabla5[[#This Row],[INVERSIONES FCI]],+Tabla5[[#This Row],[INVERSIONES FCI]]-D75,Tabla5[[#This Row],[INVERSIONES FCI]])</f>
        <v>9820358815.215456</v>
      </c>
      <c r="E76" s="5">
        <f>IF($B75&lt;=Tabla5[[#This Row],[INVERSIONES FCI]],+Tabla5[[#This Row],[INVERSIONES FCI]]-E75,Tabla5[[#This Row],[INVERSIONES FCI]])</f>
        <v>9820358815.215456</v>
      </c>
      <c r="F76" s="5">
        <f>IF($B75&lt;=Tabla5[[#This Row],[INVERSIONES FCI]],+Tabla5[[#This Row],[INVERSIONES FCI]]-F75,Tabla5[[#This Row],[INVERSIONES FCI]])</f>
        <v>9820358815.215456</v>
      </c>
      <c r="G76" s="5">
        <f>IF($B75&lt;=Tabla5[[#This Row],[INVERSIONES FCI]],+Tabla5[[#This Row],[INVERSIONES FCI]]-G75,Tabla5[[#This Row],[INVERSIONES FCI]])</f>
        <v>9820358815.215456</v>
      </c>
      <c r="H76" s="5">
        <f>IF($B75&lt;=Tabla5[[#This Row],[INVERSIONES FCI]],+Tabla5[[#This Row],[INVERSIONES FCI]]-H75,Tabla5[[#This Row],[INVERSIONES FCI]])</f>
        <v>9820358815.215456</v>
      </c>
      <c r="I76" s="5">
        <f>IF($B75&lt;=Tabla5[[#This Row],[INVERSIONES FCI]],+Tabla5[[#This Row],[INVERSIONES FCI]]-I75,Tabla5[[#This Row],[INVERSIONES FCI]])</f>
        <v>9820358815.215456</v>
      </c>
      <c r="J76" s="5">
        <f>IF($B75&lt;=Tabla5[[#This Row],[INVERSIONES FCI]],+Tabla5[[#This Row],[INVERSIONES FCI]]-J75,Tabla5[[#This Row],[INVERSIONES FCI]])</f>
        <v>9820358815.215456</v>
      </c>
      <c r="K76" s="5">
        <f>IF($B75&lt;=Tabla5[[#This Row],[INVERSIONES FCI]],+Tabla5[[#This Row],[INVERSIONES FCI]]-K75,Tabla5[[#This Row],[INVERSIONES FCI]])</f>
        <v>9820358815.215456</v>
      </c>
      <c r="L76" s="5">
        <f>IF($B75&lt;=Tabla5[[#This Row],[INVERSIONES FCI]],+Tabla5[[#This Row],[INVERSIONES FCI]]-L75,Tabla5[[#This Row],[INVERSIONES FCI]])</f>
        <v>9820358815.215456</v>
      </c>
      <c r="M76" s="5">
        <f>IF($B75&lt;=Tabla5[[#This Row],[INVERSIONES FCI]],+Tabla5[[#This Row],[INVERSIONES FCI]]-M75,Tabla5[[#This Row],[INVERSIONES FCI]])</f>
        <v>9820358815.215456</v>
      </c>
      <c r="N76" s="5">
        <f>IF($B75&lt;=Tabla5[[#This Row],[INVERSIONES FCI]],+Tabla5[[#This Row],[INVERSIONES FCI]]-N75,Tabla5[[#This Row],[INVERSIONES FCI]])</f>
        <v>9820358815.215456</v>
      </c>
      <c r="O76" s="5">
        <f>IF($B75&lt;=Tabla5[[#This Row],[INVERSIONES FCI]],+Tabla5[[#This Row],[INVERSIONES FCI]]-O75,Tabla5[[#This Row],[INVERSIONES FCI]])</f>
        <v>9820358815.215456</v>
      </c>
      <c r="P76" s="5">
        <f>IF($B75&lt;=Tabla5[[#This Row],[INVERSIONES FCI]],+Tabla5[[#This Row],[INVERSIONES FCI]]-P75,Tabla5[[#This Row],[INVERSIONES FCI]])</f>
        <v>9820358815.215456</v>
      </c>
      <c r="Q76" s="5">
        <f>IF($B75&lt;=Tabla5[[#This Row],[INVERSIONES FCI]],+Tabla5[[#This Row],[INVERSIONES FCI]]-Q75,Tabla5[[#This Row],[INVERSIONES FCI]])</f>
        <v>9820358815.215456</v>
      </c>
      <c r="R76" s="5">
        <f>IF($B75&lt;=Tabla5[[#This Row],[INVERSIONES FCI]],+Tabla5[[#This Row],[INVERSIONES FCI]]-R75,Tabla5[[#This Row],[INVERSIONES FCI]])</f>
        <v>9820358815.215456</v>
      </c>
      <c r="S76" s="5">
        <f>IF($B75&lt;=Tabla5[[#This Row],[INVERSIONES FCI]],+Tabla5[[#This Row],[INVERSIONES FCI]]-S75,Tabla5[[#This Row],[INVERSIONES FCI]])</f>
        <v>9820358815.215456</v>
      </c>
      <c r="T76" s="5">
        <f>IF($B75&lt;=Tabla5[[#This Row],[INVERSIONES FCI]],+Tabla5[[#This Row],[INVERSIONES FCI]]-T75,Tabla5[[#This Row],[INVERSIONES FCI]])</f>
        <v>9820358815.215456</v>
      </c>
      <c r="U76" s="5">
        <f>IF($B75&lt;=Tabla5[[#This Row],[INVERSIONES FCI]],+Tabla5[[#This Row],[INVERSIONES FCI]]-U75,Tabla5[[#This Row],[INVERSIONES FCI]])</f>
        <v>9820358815.215456</v>
      </c>
      <c r="V76" s="5">
        <f>IF($B75&lt;=Tabla5[[#This Row],[INVERSIONES FCI]],+Tabla5[[#This Row],[INVERSIONES FCI]]-V75,Tabla5[[#This Row],[INVERSIONES FCI]])</f>
        <v>9820358815.215456</v>
      </c>
      <c r="W76" s="5">
        <f>IF($B75&lt;=Tabla5[[#This Row],[INVERSIONES FCI]],+Tabla5[[#This Row],[INVERSIONES FCI]]-W75,Tabla5[[#This Row],[INVERSIONES FCI]])</f>
        <v>9820358815.215456</v>
      </c>
      <c r="X76" s="5">
        <f>IF($B75&lt;=Tabla5[[#This Row],[INVERSIONES FCI]],+Tabla5[[#This Row],[INVERSIONES FCI]]-X75,Tabla5[[#This Row],[INVERSIONES FCI]])</f>
        <v>9820358815.215456</v>
      </c>
      <c r="Y76" s="5">
        <f>IF($B75&lt;=Tabla5[[#This Row],[INVERSIONES FCI]],+Tabla5[[#This Row],[INVERSIONES FCI]]-Y75,Tabla5[[#This Row],[INVERSIONES FCI]])</f>
        <v>9820358815.215456</v>
      </c>
      <c r="Z76" s="5">
        <f>IF($B75&lt;=Tabla5[[#This Row],[INVERSIONES FCI]],+Tabla5[[#This Row],[INVERSIONES FCI]]-Z75,Tabla5[[#This Row],[INVERSIONES FCI]])</f>
        <v>9820358815.215456</v>
      </c>
      <c r="AA76" s="5">
        <f>IF($B75&lt;=Tabla5[[#This Row],[INVERSIONES FCI]],+Tabla5[[#This Row],[INVERSIONES FCI]]-AA75,Tabla5[[#This Row],[INVERSIONES FCI]])</f>
        <v>9820358815.215456</v>
      </c>
      <c r="AB76" s="5">
        <f>IF($B75&lt;=Tabla5[[#This Row],[INVERSIONES FCI]],+Tabla5[[#This Row],[INVERSIONES FCI]]-AB75,Tabla5[[#This Row],[INVERSIONES FCI]])</f>
        <v>9820358815.215456</v>
      </c>
      <c r="AC76" s="5">
        <f>IF($B75&lt;=Tabla5[[#This Row],[INVERSIONES FCI]],+Tabla5[[#This Row],[INVERSIONES FCI]]-AC75,Tabla5[[#This Row],[INVERSIONES FCI]])</f>
        <v>9820358815.215456</v>
      </c>
      <c r="AD76" s="5">
        <f>IF($B75&lt;=Tabla5[[#This Row],[INVERSIONES FCI]],+Tabla5[[#This Row],[INVERSIONES FCI]]-AD75,Tabla5[[#This Row],[INVERSIONES FCI]])</f>
        <v>9820358815.215456</v>
      </c>
      <c r="AE76" s="5">
        <f>IF($B75&lt;=Tabla5[[#This Row],[INVERSIONES FCI]],+Tabla5[[#This Row],[INVERSIONES FCI]]-AE75,Tabla5[[#This Row],[INVERSIONES FCI]])</f>
        <v>9820358815.215456</v>
      </c>
      <c r="AF76" s="5">
        <f>IF($B75&lt;=Tabla5[[#This Row],[INVERSIONES FCI]],+Tabla5[[#This Row],[INVERSIONES FCI]]-AF75,Tabla5[[#This Row],[INVERSIONES FCI]])</f>
        <v>9820358815.215456</v>
      </c>
      <c r="AG76" s="5">
        <f>IF($B75&lt;=Tabla5[[#This Row],[INVERSIONES FCI]],+Tabla5[[#This Row],[INVERSIONES FCI]]-AG75,Tabla5[[#This Row],[INVERSIONES FCI]])</f>
        <v>9820358815.215456</v>
      </c>
      <c r="AH76" s="5">
        <f>IF($B75&lt;=Tabla5[[#This Row],[INVERSIONES FCI]],+Tabla5[[#This Row],[INVERSIONES FCI]]-AH75,Tabla5[[#This Row],[INVERSIONES FCI]])</f>
        <v>9820358815.215456</v>
      </c>
      <c r="AI76" s="5">
        <f>IF($B75&lt;=Tabla5[[#This Row],[INVERSIONES FCI]],+Tabla5[[#This Row],[INVERSIONES FCI]]-AI75,Tabla5[[#This Row],[INVERSIONES FCI]])</f>
        <v>9820358815.215456</v>
      </c>
      <c r="AJ76" s="5">
        <f>IF($B75&lt;=Tabla5[[#This Row],[INVERSIONES FCI]],+Tabla5[[#This Row],[INVERSIONES FCI]]-AJ75,Tabla5[[#This Row],[INVERSIONES FCI]])</f>
        <v>9820358815.215456</v>
      </c>
      <c r="AK76" s="5">
        <f>IF($B75&lt;=Tabla5[[#This Row],[INVERSIONES FCI]],+Tabla5[[#This Row],[INVERSIONES FCI]]-AK75,Tabla5[[#This Row],[INVERSIONES FCI]])</f>
        <v>9820358815.215456</v>
      </c>
      <c r="AL76" s="5">
        <f>IF($B75&lt;=Tabla5[[#This Row],[INVERSIONES FCI]],+Tabla5[[#This Row],[INVERSIONES FCI]]-AL75,Tabla5[[#This Row],[INVERSIONES FCI]])</f>
        <v>9820358815.215456</v>
      </c>
      <c r="AM76" s="5">
        <f>IF($B75&lt;=Tabla5[[#This Row],[INVERSIONES FCI]],+Tabla5[[#This Row],[INVERSIONES FCI]]-AM75,Tabla5[[#This Row],[INVERSIONES FCI]])</f>
        <v>9820358815.215456</v>
      </c>
      <c r="AN76" s="5">
        <f>IF($B75&lt;=Tabla5[[#This Row],[INVERSIONES FCI]],+Tabla5[[#This Row],[INVERSIONES FCI]]-AN75,Tabla5[[#This Row],[INVERSIONES FCI]])</f>
        <v>9820358815.215456</v>
      </c>
      <c r="AO76" s="5">
        <f>IF($B75&lt;=Tabla5[[#This Row],[INVERSIONES FCI]],+Tabla5[[#This Row],[INVERSIONES FCI]]-AO75,Tabla5[[#This Row],[INVERSIONES FCI]])</f>
        <v>9820358815.215456</v>
      </c>
      <c r="AP76" s="5">
        <f>IF($B75&lt;=Tabla5[[#This Row],[INVERSIONES FCI]],+Tabla5[[#This Row],[INVERSIONES FCI]]-AP75,Tabla5[[#This Row],[INVERSIONES FCI]])</f>
        <v>9820358815.215456</v>
      </c>
      <c r="AQ76" s="5">
        <f>IF($B75&lt;=Tabla5[[#This Row],[INVERSIONES FCI]],+Tabla5[[#This Row],[INVERSIONES FCI]]-AQ75,Tabla5[[#This Row],[INVERSIONES FCI]])</f>
        <v>9820358815.215456</v>
      </c>
      <c r="AR76" s="5">
        <f>IF($B75&lt;=Tabla5[[#This Row],[INVERSIONES FCI]],+Tabla5[[#This Row],[INVERSIONES FCI]]-AR75,Tabla5[[#This Row],[INVERSIONES FCI]])</f>
        <v>9820358815.215456</v>
      </c>
      <c r="AS76" s="5">
        <f>IF($B75&lt;=Tabla5[[#This Row],[INVERSIONES FCI]],+Tabla5[[#This Row],[INVERSIONES FCI]]-AS75,Tabla5[[#This Row],[INVERSIONES FCI]])</f>
        <v>9820358815.215456</v>
      </c>
      <c r="AT76" s="5">
        <f>IF($B75&lt;=Tabla5[[#This Row],[INVERSIONES FCI]],+Tabla5[[#This Row],[INVERSIONES FCI]]-AT75,Tabla5[[#This Row],[INVERSIONES FCI]])</f>
        <v>9820358815.215456</v>
      </c>
      <c r="AU76" s="5">
        <f>IF($B75&lt;=Tabla5[[#This Row],[INVERSIONES FCI]],+Tabla5[[#This Row],[INVERSIONES FCI]]-AU75,Tabla5[[#This Row],[INVERSIONES FCI]])</f>
        <v>9820358815.215456</v>
      </c>
      <c r="AV76" s="5">
        <f>IF($B75&lt;=Tabla5[[#This Row],[INVERSIONES FCI]],+Tabla5[[#This Row],[INVERSIONES FCI]]-AV75,Tabla5[[#This Row],[INVERSIONES FCI]])</f>
        <v>9820358815.215456</v>
      </c>
      <c r="AW76" s="5">
        <f>IF($B75&lt;=Tabla5[[#This Row],[INVERSIONES FCI]],+Tabla5[[#This Row],[INVERSIONES FCI]]-AW75,Tabla5[[#This Row],[INVERSIONES FCI]])</f>
        <v>9820358815.215456</v>
      </c>
      <c r="AX76" s="5">
        <f>IF($B75&lt;=Tabla5[[#This Row],[INVERSIONES FCI]],+Tabla5[[#This Row],[INVERSIONES FCI]]-AX75,Tabla5[[#This Row],[INVERSIONES FCI]])</f>
        <v>9820358815.215456</v>
      </c>
      <c r="AY76" s="5">
        <f>IF($B75&lt;=Tabla5[[#This Row],[INVERSIONES FCI]],+Tabla5[[#This Row],[INVERSIONES FCI]]-AY75,Tabla5[[#This Row],[INVERSIONES FCI]])</f>
        <v>9820358815.215456</v>
      </c>
      <c r="AZ76" s="5">
        <f>IF($B75&lt;=Tabla5[[#This Row],[INVERSIONES FCI]],+Tabla5[[#This Row],[INVERSIONES FCI]]-AZ75,Tabla5[[#This Row],[INVERSIONES FCI]])</f>
        <v>9820358815.215456</v>
      </c>
      <c r="BA76" s="5">
        <f>IF($B75&lt;=Tabla5[[#This Row],[INVERSIONES FCI]],+Tabla5[[#This Row],[INVERSIONES FCI]]-BA75,Tabla5[[#This Row],[INVERSIONES FCI]])</f>
        <v>9820358815.215456</v>
      </c>
      <c r="BB76" s="5">
        <f>IF($B75&lt;=Tabla5[[#This Row],[INVERSIONES FCI]],+Tabla5[[#This Row],[INVERSIONES FCI]]-BB75,Tabla5[[#This Row],[INVERSIONES FCI]])</f>
        <v>9820358815.215456</v>
      </c>
      <c r="BC76" s="5">
        <f>IF($B75&lt;=Tabla5[[#This Row],[INVERSIONES FCI]],+Tabla5[[#This Row],[INVERSIONES FCI]]-BC75,Tabla5[[#This Row],[INVERSIONES FCI]])</f>
        <v>9820358815.215456</v>
      </c>
      <c r="BD76" s="5">
        <f>IF($B75&lt;=Tabla5[[#This Row],[INVERSIONES FCI]],+Tabla5[[#This Row],[INVERSIONES FCI]]-BD75,Tabla5[[#This Row],[INVERSIONES FCI]])</f>
        <v>9820358815.215456</v>
      </c>
      <c r="BE76" s="5">
        <f>IF($B75&lt;=Tabla5[[#This Row],[INVERSIONES FCI]],+Tabla5[[#This Row],[INVERSIONES FCI]]-BE75,Tabla5[[#This Row],[INVERSIONES FCI]])</f>
        <v>9820358815.215456</v>
      </c>
      <c r="BF76" s="5">
        <f>IF($B75&lt;=Tabla5[[#This Row],[INVERSIONES FCI]],+Tabla5[[#This Row],[INVERSIONES FCI]]-BF75,Tabla5[[#This Row],[INVERSIONES FCI]])</f>
        <v>9820358815.215456</v>
      </c>
      <c r="BG76" s="5">
        <f>IF($B75&lt;=Tabla5[[#This Row],[INVERSIONES FCI]],+Tabla5[[#This Row],[INVERSIONES FCI]]-BG75,Tabla5[[#This Row],[INVERSIONES FCI]])</f>
        <v>9820358815.215456</v>
      </c>
      <c r="BH76" s="5">
        <f>IF($B75&lt;=Tabla5[[#This Row],[INVERSIONES FCI]],+Tabla5[[#This Row],[INVERSIONES FCI]]-BH75,Tabla5[[#This Row],[INVERSIONES FCI]])</f>
        <v>9820358815.215456</v>
      </c>
      <c r="BI76" s="5">
        <f>IF($B75&lt;=Tabla5[[#This Row],[INVERSIONES FCI]],+Tabla5[[#This Row],[INVERSIONES FCI]]-BI75,Tabla5[[#This Row],[INVERSIONES FCI]])</f>
        <v>9820358815.215456</v>
      </c>
      <c r="BJ76" s="5">
        <f>IF($B75&lt;=Tabla5[[#This Row],[INVERSIONES FCI]],+Tabla5[[#This Row],[INVERSIONES FCI]]-BJ75,Tabla5[[#This Row],[INVERSIONES FCI]])</f>
        <v>9820358815.215456</v>
      </c>
      <c r="BK76" s="5">
        <f>IF($B75&lt;=Tabla5[[#This Row],[INVERSIONES FCI]],+Tabla5[[#This Row],[INVERSIONES FCI]]-BK75,Tabla5[[#This Row],[INVERSIONES FCI]])</f>
        <v>9820358815.215456</v>
      </c>
      <c r="BL76" s="5">
        <f>IF($B75&lt;=Tabla5[[#This Row],[INVERSIONES FCI]],+Tabla5[[#This Row],[INVERSIONES FCI]]-BL75,Tabla5[[#This Row],[INVERSIONES FCI]])</f>
        <v>9820358815.215456</v>
      </c>
      <c r="BM76" s="5">
        <f>IF($B75&lt;=Tabla5[[#This Row],[INVERSIONES FCI]],+Tabla5[[#This Row],[INVERSIONES FCI]]-BM75,Tabla5[[#This Row],[INVERSIONES FCI]])</f>
        <v>9820358815.215456</v>
      </c>
      <c r="BN76" s="5">
        <f>IF($B75&lt;=Tabla5[[#This Row],[INVERSIONES FCI]],+Tabla5[[#This Row],[INVERSIONES FCI]]-BN75,Tabla5[[#This Row],[INVERSIONES FCI]])</f>
        <v>9820358815.215456</v>
      </c>
      <c r="BO76" s="5">
        <f>IF($B75&lt;=Tabla5[[#This Row],[INVERSIONES FCI]],+Tabla5[[#This Row],[INVERSIONES FCI]]-BO75,Tabla5[[#This Row],[INVERSIONES FCI]])</f>
        <v>9820358815.215456</v>
      </c>
      <c r="BP76" s="5">
        <f>IF($B75&lt;=Tabla5[[#This Row],[INVERSIONES FCI]],+Tabla5[[#This Row],[INVERSIONES FCI]]-BP75,Tabla5[[#This Row],[INVERSIONES FCI]])</f>
        <v>9820358815.215456</v>
      </c>
      <c r="BQ76" s="5">
        <f>IF($B75&lt;=Tabla5[[#This Row],[INVERSIONES FCI]],+Tabla5[[#This Row],[INVERSIONES FCI]]-BQ75,Tabla5[[#This Row],[INVERSIONES FCI]])</f>
        <v>9820358815.215456</v>
      </c>
      <c r="BR76" s="5">
        <f>IF($B75&lt;=Tabla5[[#This Row],[INVERSIONES FCI]],+Tabla5[[#This Row],[INVERSIONES FCI]]-BR75,Tabla5[[#This Row],[INVERSIONES FCI]])</f>
        <v>9820358815.215456</v>
      </c>
      <c r="BS76" s="5">
        <f>IF($B75&lt;=Tabla5[[#This Row],[INVERSIONES FCI]],+Tabla5[[#This Row],[INVERSIONES FCI]]-BS75,Tabla5[[#This Row],[INVERSIONES FCI]])</f>
        <v>9820358815.215456</v>
      </c>
      <c r="BT76" s="5">
        <f>IF($B75&lt;=Tabla5[[#This Row],[INVERSIONES FCI]],+Tabla5[[#This Row],[INVERSIONES FCI]]-BT75,Tabla5[[#This Row],[INVERSIONES FCI]])</f>
        <v>9820358815.215456</v>
      </c>
      <c r="BU76" s="5">
        <f>IF($B75&lt;=Tabla5[[#This Row],[INVERSIONES FCI]],+Tabla5[[#This Row],[INVERSIONES FCI]]-BU75,Tabla5[[#This Row],[INVERSIONES FCI]])</f>
        <v>9820358815.215456</v>
      </c>
      <c r="BV76" s="5">
        <f>IF($B75&lt;=Tabla5[[#This Row],[INVERSIONES FCI]],+Tabla5[[#This Row],[INVERSIONES FCI]]-BV75,Tabla5[[#This Row],[INVERSIONES FCI]])</f>
        <v>9820358815.215456</v>
      </c>
      <c r="BW76" s="5">
        <f>IF($B75&lt;=Tabla5[[#This Row],[INVERSIONES FCI]],+Tabla5[[#This Row],[INVERSIONES FCI]]-BW75,Tabla5[[#This Row],[INVERSIONES FCI]])</f>
        <v>9820358815.215456</v>
      </c>
      <c r="BX76" s="5">
        <f>IF($B75&lt;=Tabla5[[#This Row],[INVERSIONES FCI]],+Tabla5[[#This Row],[INVERSIONES FCI]]-BX75,Tabla5[[#This Row],[INVERSIONES FCI]])</f>
        <v>9820358815.215456</v>
      </c>
      <c r="BY76" s="5" cm="1">
        <f t="array" ref="BY76">IF(Tabla5[[#This Row],[FCI]]=0,0,_xlfn.XLOOKUP(TRUE,$B76:BX76&gt;0,$B76:BX76,"",0,-1))</f>
        <v>9820358815.215456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</row>
    <row r="77" spans="1:121" ht="14.4">
      <c r="A77" s="12" t="s">
        <v>76</v>
      </c>
      <c r="B77" s="5">
        <f>HLOOKUP($A77,ESCENARIO[#All],7,FALSE)</f>
        <v>16900825484.005405</v>
      </c>
      <c r="C77" s="5">
        <f>IF($B76&lt;=Tabla5[[#This Row],[INVERSIONES FCI]],+Tabla5[[#This Row],[INVERSIONES FCI]]-C76,Tabla5[[#This Row],[INVERSIONES FCI]])</f>
        <v>7080466668.7899494</v>
      </c>
      <c r="D77" s="5">
        <f>IF($B76&lt;=Tabla5[[#This Row],[INVERSIONES FCI]],+Tabla5[[#This Row],[INVERSIONES FCI]]-D76,Tabla5[[#This Row],[INVERSIONES FCI]])</f>
        <v>7080466668.7899494</v>
      </c>
      <c r="E77" s="5">
        <f>IF($B76&lt;=Tabla5[[#This Row],[INVERSIONES FCI]],+Tabla5[[#This Row],[INVERSIONES FCI]]-E76,Tabla5[[#This Row],[INVERSIONES FCI]])</f>
        <v>7080466668.7899494</v>
      </c>
      <c r="F77" s="5">
        <f>IF($B76&lt;=Tabla5[[#This Row],[INVERSIONES FCI]],+Tabla5[[#This Row],[INVERSIONES FCI]]-F76,Tabla5[[#This Row],[INVERSIONES FCI]])</f>
        <v>7080466668.7899494</v>
      </c>
      <c r="G77" s="5">
        <f>IF($B76&lt;=Tabla5[[#This Row],[INVERSIONES FCI]],+Tabla5[[#This Row],[INVERSIONES FCI]]-G76,Tabla5[[#This Row],[INVERSIONES FCI]])</f>
        <v>7080466668.7899494</v>
      </c>
      <c r="H77" s="5">
        <f>IF($B76&lt;=Tabla5[[#This Row],[INVERSIONES FCI]],+Tabla5[[#This Row],[INVERSIONES FCI]]-H76,Tabla5[[#This Row],[INVERSIONES FCI]])</f>
        <v>7080466668.7899494</v>
      </c>
      <c r="I77" s="5">
        <f>IF($B76&lt;=Tabla5[[#This Row],[INVERSIONES FCI]],+Tabla5[[#This Row],[INVERSIONES FCI]]-I76,Tabla5[[#This Row],[INVERSIONES FCI]])</f>
        <v>7080466668.7899494</v>
      </c>
      <c r="J77" s="5">
        <f>IF($B76&lt;=Tabla5[[#This Row],[INVERSIONES FCI]],+Tabla5[[#This Row],[INVERSIONES FCI]]-J76,Tabla5[[#This Row],[INVERSIONES FCI]])</f>
        <v>7080466668.7899494</v>
      </c>
      <c r="K77" s="5">
        <f>IF($B76&lt;=Tabla5[[#This Row],[INVERSIONES FCI]],+Tabla5[[#This Row],[INVERSIONES FCI]]-K76,Tabla5[[#This Row],[INVERSIONES FCI]])</f>
        <v>7080466668.7899494</v>
      </c>
      <c r="L77" s="5">
        <f>IF($B76&lt;=Tabla5[[#This Row],[INVERSIONES FCI]],+Tabla5[[#This Row],[INVERSIONES FCI]]-L76,Tabla5[[#This Row],[INVERSIONES FCI]])</f>
        <v>7080466668.7899494</v>
      </c>
      <c r="M77" s="5">
        <f>IF($B76&lt;=Tabla5[[#This Row],[INVERSIONES FCI]],+Tabla5[[#This Row],[INVERSIONES FCI]]-M76,Tabla5[[#This Row],[INVERSIONES FCI]])</f>
        <v>7080466668.7899494</v>
      </c>
      <c r="N77" s="5">
        <f>IF($B76&lt;=Tabla5[[#This Row],[INVERSIONES FCI]],+Tabla5[[#This Row],[INVERSIONES FCI]]-N76,Tabla5[[#This Row],[INVERSIONES FCI]])</f>
        <v>7080466668.7899494</v>
      </c>
      <c r="O77" s="5">
        <f>IF($B76&lt;=Tabla5[[#This Row],[INVERSIONES FCI]],+Tabla5[[#This Row],[INVERSIONES FCI]]-O76,Tabla5[[#This Row],[INVERSIONES FCI]])</f>
        <v>7080466668.7899494</v>
      </c>
      <c r="P77" s="5">
        <f>IF($B76&lt;=Tabla5[[#This Row],[INVERSIONES FCI]],+Tabla5[[#This Row],[INVERSIONES FCI]]-P76,Tabla5[[#This Row],[INVERSIONES FCI]])</f>
        <v>7080466668.7899494</v>
      </c>
      <c r="Q77" s="5">
        <f>IF($B76&lt;=Tabla5[[#This Row],[INVERSIONES FCI]],+Tabla5[[#This Row],[INVERSIONES FCI]]-Q76,Tabla5[[#This Row],[INVERSIONES FCI]])</f>
        <v>7080466668.7899494</v>
      </c>
      <c r="R77" s="5">
        <f>IF($B76&lt;=Tabla5[[#This Row],[INVERSIONES FCI]],+Tabla5[[#This Row],[INVERSIONES FCI]]-R76,Tabla5[[#This Row],[INVERSIONES FCI]])</f>
        <v>7080466668.7899494</v>
      </c>
      <c r="S77" s="5">
        <f>IF($B76&lt;=Tabla5[[#This Row],[INVERSIONES FCI]],+Tabla5[[#This Row],[INVERSIONES FCI]]-S76,Tabla5[[#This Row],[INVERSIONES FCI]])</f>
        <v>7080466668.7899494</v>
      </c>
      <c r="T77" s="5">
        <f>IF($B76&lt;=Tabla5[[#This Row],[INVERSIONES FCI]],+Tabla5[[#This Row],[INVERSIONES FCI]]-T76,Tabla5[[#This Row],[INVERSIONES FCI]])</f>
        <v>7080466668.7899494</v>
      </c>
      <c r="U77" s="5">
        <f>IF($B76&lt;=Tabla5[[#This Row],[INVERSIONES FCI]],+Tabla5[[#This Row],[INVERSIONES FCI]]-U76,Tabla5[[#This Row],[INVERSIONES FCI]])</f>
        <v>7080466668.7899494</v>
      </c>
      <c r="V77" s="5">
        <f>IF($B76&lt;=Tabla5[[#This Row],[INVERSIONES FCI]],+Tabla5[[#This Row],[INVERSIONES FCI]]-V76,Tabla5[[#This Row],[INVERSIONES FCI]])</f>
        <v>7080466668.7899494</v>
      </c>
      <c r="W77" s="5">
        <f>IF($B76&lt;=Tabla5[[#This Row],[INVERSIONES FCI]],+Tabla5[[#This Row],[INVERSIONES FCI]]-W76,Tabla5[[#This Row],[INVERSIONES FCI]])</f>
        <v>7080466668.7899494</v>
      </c>
      <c r="X77" s="5">
        <f>IF($B76&lt;=Tabla5[[#This Row],[INVERSIONES FCI]],+Tabla5[[#This Row],[INVERSIONES FCI]]-X76,Tabla5[[#This Row],[INVERSIONES FCI]])</f>
        <v>7080466668.7899494</v>
      </c>
      <c r="Y77" s="5">
        <f>IF($B76&lt;=Tabla5[[#This Row],[INVERSIONES FCI]],+Tabla5[[#This Row],[INVERSIONES FCI]]-Y76,Tabla5[[#This Row],[INVERSIONES FCI]])</f>
        <v>7080466668.7899494</v>
      </c>
      <c r="Z77" s="5">
        <f>IF($B76&lt;=Tabla5[[#This Row],[INVERSIONES FCI]],+Tabla5[[#This Row],[INVERSIONES FCI]]-Z76,Tabla5[[#This Row],[INVERSIONES FCI]])</f>
        <v>7080466668.7899494</v>
      </c>
      <c r="AA77" s="5">
        <f>IF($B76&lt;=Tabla5[[#This Row],[INVERSIONES FCI]],+Tabla5[[#This Row],[INVERSIONES FCI]]-AA76,Tabla5[[#This Row],[INVERSIONES FCI]])</f>
        <v>7080466668.7899494</v>
      </c>
      <c r="AB77" s="5">
        <f>IF($B76&lt;=Tabla5[[#This Row],[INVERSIONES FCI]],+Tabla5[[#This Row],[INVERSIONES FCI]]-AB76,Tabla5[[#This Row],[INVERSIONES FCI]])</f>
        <v>7080466668.7899494</v>
      </c>
      <c r="AC77" s="5">
        <f>IF($B76&lt;=Tabla5[[#This Row],[INVERSIONES FCI]],+Tabla5[[#This Row],[INVERSIONES FCI]]-AC76,Tabla5[[#This Row],[INVERSIONES FCI]])</f>
        <v>7080466668.7899494</v>
      </c>
      <c r="AD77" s="5">
        <f>IF($B76&lt;=Tabla5[[#This Row],[INVERSIONES FCI]],+Tabla5[[#This Row],[INVERSIONES FCI]]-AD76,Tabla5[[#This Row],[INVERSIONES FCI]])</f>
        <v>7080466668.7899494</v>
      </c>
      <c r="AE77" s="5">
        <f>IF($B76&lt;=Tabla5[[#This Row],[INVERSIONES FCI]],+Tabla5[[#This Row],[INVERSIONES FCI]]-AE76,Tabla5[[#This Row],[INVERSIONES FCI]])</f>
        <v>7080466668.7899494</v>
      </c>
      <c r="AF77" s="5">
        <f>IF($B76&lt;=Tabla5[[#This Row],[INVERSIONES FCI]],+Tabla5[[#This Row],[INVERSIONES FCI]]-AF76,Tabla5[[#This Row],[INVERSIONES FCI]])</f>
        <v>7080466668.7899494</v>
      </c>
      <c r="AG77" s="5">
        <f>IF($B76&lt;=Tabla5[[#This Row],[INVERSIONES FCI]],+Tabla5[[#This Row],[INVERSIONES FCI]]-AG76,Tabla5[[#This Row],[INVERSIONES FCI]])</f>
        <v>7080466668.7899494</v>
      </c>
      <c r="AH77" s="5">
        <f>IF($B76&lt;=Tabla5[[#This Row],[INVERSIONES FCI]],+Tabla5[[#This Row],[INVERSIONES FCI]]-AH76,Tabla5[[#This Row],[INVERSIONES FCI]])</f>
        <v>7080466668.7899494</v>
      </c>
      <c r="AI77" s="5">
        <f>IF($B76&lt;=Tabla5[[#This Row],[INVERSIONES FCI]],+Tabla5[[#This Row],[INVERSIONES FCI]]-AI76,Tabla5[[#This Row],[INVERSIONES FCI]])</f>
        <v>7080466668.7899494</v>
      </c>
      <c r="AJ77" s="5">
        <f>IF($B76&lt;=Tabla5[[#This Row],[INVERSIONES FCI]],+Tabla5[[#This Row],[INVERSIONES FCI]]-AJ76,Tabla5[[#This Row],[INVERSIONES FCI]])</f>
        <v>7080466668.7899494</v>
      </c>
      <c r="AK77" s="5">
        <f>IF($B76&lt;=Tabla5[[#This Row],[INVERSIONES FCI]],+Tabla5[[#This Row],[INVERSIONES FCI]]-AK76,Tabla5[[#This Row],[INVERSIONES FCI]])</f>
        <v>7080466668.7899494</v>
      </c>
      <c r="AL77" s="5">
        <f>IF($B76&lt;=Tabla5[[#This Row],[INVERSIONES FCI]],+Tabla5[[#This Row],[INVERSIONES FCI]]-AL76,Tabla5[[#This Row],[INVERSIONES FCI]])</f>
        <v>7080466668.7899494</v>
      </c>
      <c r="AM77" s="5">
        <f>IF($B76&lt;=Tabla5[[#This Row],[INVERSIONES FCI]],+Tabla5[[#This Row],[INVERSIONES FCI]]-AM76,Tabla5[[#This Row],[INVERSIONES FCI]])</f>
        <v>7080466668.7899494</v>
      </c>
      <c r="AN77" s="5">
        <f>IF($B76&lt;=Tabla5[[#This Row],[INVERSIONES FCI]],+Tabla5[[#This Row],[INVERSIONES FCI]]-AN76,Tabla5[[#This Row],[INVERSIONES FCI]])</f>
        <v>7080466668.7899494</v>
      </c>
      <c r="AO77" s="5">
        <f>IF($B76&lt;=Tabla5[[#This Row],[INVERSIONES FCI]],+Tabla5[[#This Row],[INVERSIONES FCI]]-AO76,Tabla5[[#This Row],[INVERSIONES FCI]])</f>
        <v>7080466668.7899494</v>
      </c>
      <c r="AP77" s="5">
        <f>IF($B76&lt;=Tabla5[[#This Row],[INVERSIONES FCI]],+Tabla5[[#This Row],[INVERSIONES FCI]]-AP76,Tabla5[[#This Row],[INVERSIONES FCI]])</f>
        <v>7080466668.7899494</v>
      </c>
      <c r="AQ77" s="5">
        <f>IF($B76&lt;=Tabla5[[#This Row],[INVERSIONES FCI]],+Tabla5[[#This Row],[INVERSIONES FCI]]-AQ76,Tabla5[[#This Row],[INVERSIONES FCI]])</f>
        <v>7080466668.7899494</v>
      </c>
      <c r="AR77" s="5">
        <f>IF($B76&lt;=Tabla5[[#This Row],[INVERSIONES FCI]],+Tabla5[[#This Row],[INVERSIONES FCI]]-AR76,Tabla5[[#This Row],[INVERSIONES FCI]])</f>
        <v>7080466668.7899494</v>
      </c>
      <c r="AS77" s="5">
        <f>IF($B76&lt;=Tabla5[[#This Row],[INVERSIONES FCI]],+Tabla5[[#This Row],[INVERSIONES FCI]]-AS76,Tabla5[[#This Row],[INVERSIONES FCI]])</f>
        <v>7080466668.7899494</v>
      </c>
      <c r="AT77" s="5">
        <f>IF($B76&lt;=Tabla5[[#This Row],[INVERSIONES FCI]],+Tabla5[[#This Row],[INVERSIONES FCI]]-AT76,Tabla5[[#This Row],[INVERSIONES FCI]])</f>
        <v>7080466668.7899494</v>
      </c>
      <c r="AU77" s="5">
        <f>IF($B76&lt;=Tabla5[[#This Row],[INVERSIONES FCI]],+Tabla5[[#This Row],[INVERSIONES FCI]]-AU76,Tabla5[[#This Row],[INVERSIONES FCI]])</f>
        <v>7080466668.7899494</v>
      </c>
      <c r="AV77" s="5">
        <f>IF($B76&lt;=Tabla5[[#This Row],[INVERSIONES FCI]],+Tabla5[[#This Row],[INVERSIONES FCI]]-AV76,Tabla5[[#This Row],[INVERSIONES FCI]])</f>
        <v>7080466668.7899494</v>
      </c>
      <c r="AW77" s="5">
        <f>IF($B76&lt;=Tabla5[[#This Row],[INVERSIONES FCI]],+Tabla5[[#This Row],[INVERSIONES FCI]]-AW76,Tabla5[[#This Row],[INVERSIONES FCI]])</f>
        <v>7080466668.7899494</v>
      </c>
      <c r="AX77" s="5">
        <f>IF($B76&lt;=Tabla5[[#This Row],[INVERSIONES FCI]],+Tabla5[[#This Row],[INVERSIONES FCI]]-AX76,Tabla5[[#This Row],[INVERSIONES FCI]])</f>
        <v>7080466668.7899494</v>
      </c>
      <c r="AY77" s="5">
        <f>IF($B76&lt;=Tabla5[[#This Row],[INVERSIONES FCI]],+Tabla5[[#This Row],[INVERSIONES FCI]]-AY76,Tabla5[[#This Row],[INVERSIONES FCI]])</f>
        <v>7080466668.7899494</v>
      </c>
      <c r="AZ77" s="5">
        <f>IF($B76&lt;=Tabla5[[#This Row],[INVERSIONES FCI]],+Tabla5[[#This Row],[INVERSIONES FCI]]-AZ76,Tabla5[[#This Row],[INVERSIONES FCI]])</f>
        <v>7080466668.7899494</v>
      </c>
      <c r="BA77" s="5">
        <f>IF($B76&lt;=Tabla5[[#This Row],[INVERSIONES FCI]],+Tabla5[[#This Row],[INVERSIONES FCI]]-BA76,Tabla5[[#This Row],[INVERSIONES FCI]])</f>
        <v>7080466668.7899494</v>
      </c>
      <c r="BB77" s="5">
        <f>IF($B76&lt;=Tabla5[[#This Row],[INVERSIONES FCI]],+Tabla5[[#This Row],[INVERSIONES FCI]]-BB76,Tabla5[[#This Row],[INVERSIONES FCI]])</f>
        <v>7080466668.7899494</v>
      </c>
      <c r="BC77" s="5">
        <f>IF($B76&lt;=Tabla5[[#This Row],[INVERSIONES FCI]],+Tabla5[[#This Row],[INVERSIONES FCI]]-BC76,Tabla5[[#This Row],[INVERSIONES FCI]])</f>
        <v>7080466668.7899494</v>
      </c>
      <c r="BD77" s="5">
        <f>IF($B76&lt;=Tabla5[[#This Row],[INVERSIONES FCI]],+Tabla5[[#This Row],[INVERSIONES FCI]]-BD76,Tabla5[[#This Row],[INVERSIONES FCI]])</f>
        <v>7080466668.7899494</v>
      </c>
      <c r="BE77" s="5">
        <f>IF($B76&lt;=Tabla5[[#This Row],[INVERSIONES FCI]],+Tabla5[[#This Row],[INVERSIONES FCI]]-BE76,Tabla5[[#This Row],[INVERSIONES FCI]])</f>
        <v>7080466668.7899494</v>
      </c>
      <c r="BF77" s="5">
        <f>IF($B76&lt;=Tabla5[[#This Row],[INVERSIONES FCI]],+Tabla5[[#This Row],[INVERSIONES FCI]]-BF76,Tabla5[[#This Row],[INVERSIONES FCI]])</f>
        <v>7080466668.7899494</v>
      </c>
      <c r="BG77" s="5">
        <f>IF($B76&lt;=Tabla5[[#This Row],[INVERSIONES FCI]],+Tabla5[[#This Row],[INVERSIONES FCI]]-BG76,Tabla5[[#This Row],[INVERSIONES FCI]])</f>
        <v>7080466668.7899494</v>
      </c>
      <c r="BH77" s="5">
        <f>IF($B76&lt;=Tabla5[[#This Row],[INVERSIONES FCI]],+Tabla5[[#This Row],[INVERSIONES FCI]]-BH76,Tabla5[[#This Row],[INVERSIONES FCI]])</f>
        <v>7080466668.7899494</v>
      </c>
      <c r="BI77" s="5">
        <f>IF($B76&lt;=Tabla5[[#This Row],[INVERSIONES FCI]],+Tabla5[[#This Row],[INVERSIONES FCI]]-BI76,Tabla5[[#This Row],[INVERSIONES FCI]])</f>
        <v>7080466668.7899494</v>
      </c>
      <c r="BJ77" s="5">
        <f>IF($B76&lt;=Tabla5[[#This Row],[INVERSIONES FCI]],+Tabla5[[#This Row],[INVERSIONES FCI]]-BJ76,Tabla5[[#This Row],[INVERSIONES FCI]])</f>
        <v>7080466668.7899494</v>
      </c>
      <c r="BK77" s="5">
        <f>IF($B76&lt;=Tabla5[[#This Row],[INVERSIONES FCI]],+Tabla5[[#This Row],[INVERSIONES FCI]]-BK76,Tabla5[[#This Row],[INVERSIONES FCI]])</f>
        <v>7080466668.7899494</v>
      </c>
      <c r="BL77" s="5">
        <f>IF($B76&lt;=Tabla5[[#This Row],[INVERSIONES FCI]],+Tabla5[[#This Row],[INVERSIONES FCI]]-BL76,Tabla5[[#This Row],[INVERSIONES FCI]])</f>
        <v>7080466668.7899494</v>
      </c>
      <c r="BM77" s="5">
        <f>IF($B76&lt;=Tabla5[[#This Row],[INVERSIONES FCI]],+Tabla5[[#This Row],[INVERSIONES FCI]]-BM76,Tabla5[[#This Row],[INVERSIONES FCI]])</f>
        <v>7080466668.7899494</v>
      </c>
      <c r="BN77" s="5">
        <f>IF($B76&lt;=Tabla5[[#This Row],[INVERSIONES FCI]],+Tabla5[[#This Row],[INVERSIONES FCI]]-BN76,Tabla5[[#This Row],[INVERSIONES FCI]])</f>
        <v>7080466668.7899494</v>
      </c>
      <c r="BO77" s="5">
        <f>IF($B76&lt;=Tabla5[[#This Row],[INVERSIONES FCI]],+Tabla5[[#This Row],[INVERSIONES FCI]]-BO76,Tabla5[[#This Row],[INVERSIONES FCI]])</f>
        <v>7080466668.7899494</v>
      </c>
      <c r="BP77" s="5">
        <f>IF($B76&lt;=Tabla5[[#This Row],[INVERSIONES FCI]],+Tabla5[[#This Row],[INVERSIONES FCI]]-BP76,Tabla5[[#This Row],[INVERSIONES FCI]])</f>
        <v>7080466668.7899494</v>
      </c>
      <c r="BQ77" s="5">
        <f>IF($B76&lt;=Tabla5[[#This Row],[INVERSIONES FCI]],+Tabla5[[#This Row],[INVERSIONES FCI]]-BQ76,Tabla5[[#This Row],[INVERSIONES FCI]])</f>
        <v>7080466668.7899494</v>
      </c>
      <c r="BR77" s="5">
        <f>IF($B76&lt;=Tabla5[[#This Row],[INVERSIONES FCI]],+Tabla5[[#This Row],[INVERSIONES FCI]]-BR76,Tabla5[[#This Row],[INVERSIONES FCI]])</f>
        <v>7080466668.7899494</v>
      </c>
      <c r="BS77" s="5">
        <f>IF($B76&lt;=Tabla5[[#This Row],[INVERSIONES FCI]],+Tabla5[[#This Row],[INVERSIONES FCI]]-BS76,Tabla5[[#This Row],[INVERSIONES FCI]])</f>
        <v>7080466668.7899494</v>
      </c>
      <c r="BT77" s="5">
        <f>IF($B76&lt;=Tabla5[[#This Row],[INVERSIONES FCI]],+Tabla5[[#This Row],[INVERSIONES FCI]]-BT76,Tabla5[[#This Row],[INVERSIONES FCI]])</f>
        <v>7080466668.7899494</v>
      </c>
      <c r="BU77" s="5">
        <f>IF($B76&lt;=Tabla5[[#This Row],[INVERSIONES FCI]],+Tabla5[[#This Row],[INVERSIONES FCI]]-BU76,Tabla5[[#This Row],[INVERSIONES FCI]])</f>
        <v>7080466668.7899494</v>
      </c>
      <c r="BV77" s="5">
        <f>IF($B76&lt;=Tabla5[[#This Row],[INVERSIONES FCI]],+Tabla5[[#This Row],[INVERSIONES FCI]]-BV76,Tabla5[[#This Row],[INVERSIONES FCI]])</f>
        <v>7080466668.7899494</v>
      </c>
      <c r="BW77" s="5">
        <f>IF($B76&lt;=Tabla5[[#This Row],[INVERSIONES FCI]],+Tabla5[[#This Row],[INVERSIONES FCI]]-BW76,Tabla5[[#This Row],[INVERSIONES FCI]])</f>
        <v>7080466668.7899494</v>
      </c>
      <c r="BX77" s="5">
        <f>IF($B76&lt;=Tabla5[[#This Row],[INVERSIONES FCI]],+Tabla5[[#This Row],[INVERSIONES FCI]]-BX76,Tabla5[[#This Row],[INVERSIONES FCI]])</f>
        <v>7080466668.7899494</v>
      </c>
      <c r="BY77" s="5">
        <f>IF($B76&lt;=Tabla5[[#This Row],[INVERSIONES FCI]],+Tabla5[[#This Row],[INVERSIONES FCI]]-BY76,Tabla5[[#This Row],[INVERSIONES FCI]])</f>
        <v>7080466668.7899494</v>
      </c>
      <c r="BZ77" s="5" cm="1">
        <f t="array" ref="BZ77">IF(Tabla5[[#This Row],[FCI]]=0,0,_xlfn.XLOOKUP(TRUE,$B77:BY77&gt;0,$B77:BY77,"",0,-1))</f>
        <v>7080466668.7899494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</row>
    <row r="78" spans="1:121" ht="14.4">
      <c r="A78" s="12" t="s">
        <v>77</v>
      </c>
      <c r="B78" s="5">
        <f>HLOOKUP($A78,ESCENARIO[#All],7,FALSE)</f>
        <v>19402021312.804977</v>
      </c>
      <c r="C78" s="5">
        <f>IF($B77&lt;=Tabla5[[#This Row],[INVERSIONES FCI]],+Tabla5[[#This Row],[INVERSIONES FCI]]-C77,Tabla5[[#This Row],[INVERSIONES FCI]])</f>
        <v>12321554644.015028</v>
      </c>
      <c r="D78" s="5">
        <f>IF($B77&lt;=Tabla5[[#This Row],[INVERSIONES FCI]],+Tabla5[[#This Row],[INVERSIONES FCI]]-D77,Tabla5[[#This Row],[INVERSIONES FCI]])</f>
        <v>12321554644.015028</v>
      </c>
      <c r="E78" s="5">
        <f>IF($B77&lt;=Tabla5[[#This Row],[INVERSIONES FCI]],+Tabla5[[#This Row],[INVERSIONES FCI]]-E77,Tabla5[[#This Row],[INVERSIONES FCI]])</f>
        <v>12321554644.015028</v>
      </c>
      <c r="F78" s="5">
        <f>IF($B77&lt;=Tabla5[[#This Row],[INVERSIONES FCI]],+Tabla5[[#This Row],[INVERSIONES FCI]]-F77,Tabla5[[#This Row],[INVERSIONES FCI]])</f>
        <v>12321554644.015028</v>
      </c>
      <c r="G78" s="5">
        <f>IF($B77&lt;=Tabla5[[#This Row],[INVERSIONES FCI]],+Tabla5[[#This Row],[INVERSIONES FCI]]-G77,Tabla5[[#This Row],[INVERSIONES FCI]])</f>
        <v>12321554644.015028</v>
      </c>
      <c r="H78" s="5">
        <f>IF($B77&lt;=Tabla5[[#This Row],[INVERSIONES FCI]],+Tabla5[[#This Row],[INVERSIONES FCI]]-H77,Tabla5[[#This Row],[INVERSIONES FCI]])</f>
        <v>12321554644.015028</v>
      </c>
      <c r="I78" s="5">
        <f>IF($B77&lt;=Tabla5[[#This Row],[INVERSIONES FCI]],+Tabla5[[#This Row],[INVERSIONES FCI]]-I77,Tabla5[[#This Row],[INVERSIONES FCI]])</f>
        <v>12321554644.015028</v>
      </c>
      <c r="J78" s="5">
        <f>IF($B77&lt;=Tabla5[[#This Row],[INVERSIONES FCI]],+Tabla5[[#This Row],[INVERSIONES FCI]]-J77,Tabla5[[#This Row],[INVERSIONES FCI]])</f>
        <v>12321554644.015028</v>
      </c>
      <c r="K78" s="5">
        <f>IF($B77&lt;=Tabla5[[#This Row],[INVERSIONES FCI]],+Tabla5[[#This Row],[INVERSIONES FCI]]-K77,Tabla5[[#This Row],[INVERSIONES FCI]])</f>
        <v>12321554644.015028</v>
      </c>
      <c r="L78" s="5">
        <f>IF($B77&lt;=Tabla5[[#This Row],[INVERSIONES FCI]],+Tabla5[[#This Row],[INVERSIONES FCI]]-L77,Tabla5[[#This Row],[INVERSIONES FCI]])</f>
        <v>12321554644.015028</v>
      </c>
      <c r="M78" s="5">
        <f>IF($B77&lt;=Tabla5[[#This Row],[INVERSIONES FCI]],+Tabla5[[#This Row],[INVERSIONES FCI]]-M77,Tabla5[[#This Row],[INVERSIONES FCI]])</f>
        <v>12321554644.015028</v>
      </c>
      <c r="N78" s="5">
        <f>IF($B77&lt;=Tabla5[[#This Row],[INVERSIONES FCI]],+Tabla5[[#This Row],[INVERSIONES FCI]]-N77,Tabla5[[#This Row],[INVERSIONES FCI]])</f>
        <v>12321554644.015028</v>
      </c>
      <c r="O78" s="5">
        <f>IF($B77&lt;=Tabla5[[#This Row],[INVERSIONES FCI]],+Tabla5[[#This Row],[INVERSIONES FCI]]-O77,Tabla5[[#This Row],[INVERSIONES FCI]])</f>
        <v>12321554644.015028</v>
      </c>
      <c r="P78" s="5">
        <f>IF($B77&lt;=Tabla5[[#This Row],[INVERSIONES FCI]],+Tabla5[[#This Row],[INVERSIONES FCI]]-P77,Tabla5[[#This Row],[INVERSIONES FCI]])</f>
        <v>12321554644.015028</v>
      </c>
      <c r="Q78" s="5">
        <f>IF($B77&lt;=Tabla5[[#This Row],[INVERSIONES FCI]],+Tabla5[[#This Row],[INVERSIONES FCI]]-Q77,Tabla5[[#This Row],[INVERSIONES FCI]])</f>
        <v>12321554644.015028</v>
      </c>
      <c r="R78" s="5">
        <f>IF($B77&lt;=Tabla5[[#This Row],[INVERSIONES FCI]],+Tabla5[[#This Row],[INVERSIONES FCI]]-R77,Tabla5[[#This Row],[INVERSIONES FCI]])</f>
        <v>12321554644.015028</v>
      </c>
      <c r="S78" s="5">
        <f>IF($B77&lt;=Tabla5[[#This Row],[INVERSIONES FCI]],+Tabla5[[#This Row],[INVERSIONES FCI]]-S77,Tabla5[[#This Row],[INVERSIONES FCI]])</f>
        <v>12321554644.015028</v>
      </c>
      <c r="T78" s="5">
        <f>IF($B77&lt;=Tabla5[[#This Row],[INVERSIONES FCI]],+Tabla5[[#This Row],[INVERSIONES FCI]]-T77,Tabla5[[#This Row],[INVERSIONES FCI]])</f>
        <v>12321554644.015028</v>
      </c>
      <c r="U78" s="5">
        <f>IF($B77&lt;=Tabla5[[#This Row],[INVERSIONES FCI]],+Tabla5[[#This Row],[INVERSIONES FCI]]-U77,Tabla5[[#This Row],[INVERSIONES FCI]])</f>
        <v>12321554644.015028</v>
      </c>
      <c r="V78" s="5">
        <f>IF($B77&lt;=Tabla5[[#This Row],[INVERSIONES FCI]],+Tabla5[[#This Row],[INVERSIONES FCI]]-V77,Tabla5[[#This Row],[INVERSIONES FCI]])</f>
        <v>12321554644.015028</v>
      </c>
      <c r="W78" s="5">
        <f>IF($B77&lt;=Tabla5[[#This Row],[INVERSIONES FCI]],+Tabla5[[#This Row],[INVERSIONES FCI]]-W77,Tabla5[[#This Row],[INVERSIONES FCI]])</f>
        <v>12321554644.015028</v>
      </c>
      <c r="X78" s="5">
        <f>IF($B77&lt;=Tabla5[[#This Row],[INVERSIONES FCI]],+Tabla5[[#This Row],[INVERSIONES FCI]]-X77,Tabla5[[#This Row],[INVERSIONES FCI]])</f>
        <v>12321554644.015028</v>
      </c>
      <c r="Y78" s="5">
        <f>IF($B77&lt;=Tabla5[[#This Row],[INVERSIONES FCI]],+Tabla5[[#This Row],[INVERSIONES FCI]]-Y77,Tabla5[[#This Row],[INVERSIONES FCI]])</f>
        <v>12321554644.015028</v>
      </c>
      <c r="Z78" s="5">
        <f>IF($B77&lt;=Tabla5[[#This Row],[INVERSIONES FCI]],+Tabla5[[#This Row],[INVERSIONES FCI]]-Z77,Tabla5[[#This Row],[INVERSIONES FCI]])</f>
        <v>12321554644.015028</v>
      </c>
      <c r="AA78" s="5">
        <f>IF($B77&lt;=Tabla5[[#This Row],[INVERSIONES FCI]],+Tabla5[[#This Row],[INVERSIONES FCI]]-AA77,Tabla5[[#This Row],[INVERSIONES FCI]])</f>
        <v>12321554644.015028</v>
      </c>
      <c r="AB78" s="5">
        <f>IF($B77&lt;=Tabla5[[#This Row],[INVERSIONES FCI]],+Tabla5[[#This Row],[INVERSIONES FCI]]-AB77,Tabla5[[#This Row],[INVERSIONES FCI]])</f>
        <v>12321554644.015028</v>
      </c>
      <c r="AC78" s="5">
        <f>IF($B77&lt;=Tabla5[[#This Row],[INVERSIONES FCI]],+Tabla5[[#This Row],[INVERSIONES FCI]]-AC77,Tabla5[[#This Row],[INVERSIONES FCI]])</f>
        <v>12321554644.015028</v>
      </c>
      <c r="AD78" s="5">
        <f>IF($B77&lt;=Tabla5[[#This Row],[INVERSIONES FCI]],+Tabla5[[#This Row],[INVERSIONES FCI]]-AD77,Tabla5[[#This Row],[INVERSIONES FCI]])</f>
        <v>12321554644.015028</v>
      </c>
      <c r="AE78" s="5">
        <f>IF($B77&lt;=Tabla5[[#This Row],[INVERSIONES FCI]],+Tabla5[[#This Row],[INVERSIONES FCI]]-AE77,Tabla5[[#This Row],[INVERSIONES FCI]])</f>
        <v>12321554644.015028</v>
      </c>
      <c r="AF78" s="5">
        <f>IF($B77&lt;=Tabla5[[#This Row],[INVERSIONES FCI]],+Tabla5[[#This Row],[INVERSIONES FCI]]-AF77,Tabla5[[#This Row],[INVERSIONES FCI]])</f>
        <v>12321554644.015028</v>
      </c>
      <c r="AG78" s="5">
        <f>IF($B77&lt;=Tabla5[[#This Row],[INVERSIONES FCI]],+Tabla5[[#This Row],[INVERSIONES FCI]]-AG77,Tabla5[[#This Row],[INVERSIONES FCI]])</f>
        <v>12321554644.015028</v>
      </c>
      <c r="AH78" s="5">
        <f>IF($B77&lt;=Tabla5[[#This Row],[INVERSIONES FCI]],+Tabla5[[#This Row],[INVERSIONES FCI]]-AH77,Tabla5[[#This Row],[INVERSIONES FCI]])</f>
        <v>12321554644.015028</v>
      </c>
      <c r="AI78" s="5">
        <f>IF($B77&lt;=Tabla5[[#This Row],[INVERSIONES FCI]],+Tabla5[[#This Row],[INVERSIONES FCI]]-AI77,Tabla5[[#This Row],[INVERSIONES FCI]])</f>
        <v>12321554644.015028</v>
      </c>
      <c r="AJ78" s="5">
        <f>IF($B77&lt;=Tabla5[[#This Row],[INVERSIONES FCI]],+Tabla5[[#This Row],[INVERSIONES FCI]]-AJ77,Tabla5[[#This Row],[INVERSIONES FCI]])</f>
        <v>12321554644.015028</v>
      </c>
      <c r="AK78" s="5">
        <f>IF($B77&lt;=Tabla5[[#This Row],[INVERSIONES FCI]],+Tabla5[[#This Row],[INVERSIONES FCI]]-AK77,Tabla5[[#This Row],[INVERSIONES FCI]])</f>
        <v>12321554644.015028</v>
      </c>
      <c r="AL78" s="5">
        <f>IF($B77&lt;=Tabla5[[#This Row],[INVERSIONES FCI]],+Tabla5[[#This Row],[INVERSIONES FCI]]-AL77,Tabla5[[#This Row],[INVERSIONES FCI]])</f>
        <v>12321554644.015028</v>
      </c>
      <c r="AM78" s="5">
        <f>IF($B77&lt;=Tabla5[[#This Row],[INVERSIONES FCI]],+Tabla5[[#This Row],[INVERSIONES FCI]]-AM77,Tabla5[[#This Row],[INVERSIONES FCI]])</f>
        <v>12321554644.015028</v>
      </c>
      <c r="AN78" s="5">
        <f>IF($B77&lt;=Tabla5[[#This Row],[INVERSIONES FCI]],+Tabla5[[#This Row],[INVERSIONES FCI]]-AN77,Tabla5[[#This Row],[INVERSIONES FCI]])</f>
        <v>12321554644.015028</v>
      </c>
      <c r="AO78" s="5">
        <f>IF($B77&lt;=Tabla5[[#This Row],[INVERSIONES FCI]],+Tabla5[[#This Row],[INVERSIONES FCI]]-AO77,Tabla5[[#This Row],[INVERSIONES FCI]])</f>
        <v>12321554644.015028</v>
      </c>
      <c r="AP78" s="5">
        <f>IF($B77&lt;=Tabla5[[#This Row],[INVERSIONES FCI]],+Tabla5[[#This Row],[INVERSIONES FCI]]-AP77,Tabla5[[#This Row],[INVERSIONES FCI]])</f>
        <v>12321554644.015028</v>
      </c>
      <c r="AQ78" s="5">
        <f>IF($B77&lt;=Tabla5[[#This Row],[INVERSIONES FCI]],+Tabla5[[#This Row],[INVERSIONES FCI]]-AQ77,Tabla5[[#This Row],[INVERSIONES FCI]])</f>
        <v>12321554644.015028</v>
      </c>
      <c r="AR78" s="5">
        <f>IF($B77&lt;=Tabla5[[#This Row],[INVERSIONES FCI]],+Tabla5[[#This Row],[INVERSIONES FCI]]-AR77,Tabla5[[#This Row],[INVERSIONES FCI]])</f>
        <v>12321554644.015028</v>
      </c>
      <c r="AS78" s="5">
        <f>IF($B77&lt;=Tabla5[[#This Row],[INVERSIONES FCI]],+Tabla5[[#This Row],[INVERSIONES FCI]]-AS77,Tabla5[[#This Row],[INVERSIONES FCI]])</f>
        <v>12321554644.015028</v>
      </c>
      <c r="AT78" s="5">
        <f>IF($B77&lt;=Tabla5[[#This Row],[INVERSIONES FCI]],+Tabla5[[#This Row],[INVERSIONES FCI]]-AT77,Tabla5[[#This Row],[INVERSIONES FCI]])</f>
        <v>12321554644.015028</v>
      </c>
      <c r="AU78" s="5">
        <f>IF($B77&lt;=Tabla5[[#This Row],[INVERSIONES FCI]],+Tabla5[[#This Row],[INVERSIONES FCI]]-AU77,Tabla5[[#This Row],[INVERSIONES FCI]])</f>
        <v>12321554644.015028</v>
      </c>
      <c r="AV78" s="5">
        <f>IF($B77&lt;=Tabla5[[#This Row],[INVERSIONES FCI]],+Tabla5[[#This Row],[INVERSIONES FCI]]-AV77,Tabla5[[#This Row],[INVERSIONES FCI]])</f>
        <v>12321554644.015028</v>
      </c>
      <c r="AW78" s="5">
        <f>IF($B77&lt;=Tabla5[[#This Row],[INVERSIONES FCI]],+Tabla5[[#This Row],[INVERSIONES FCI]]-AW77,Tabla5[[#This Row],[INVERSIONES FCI]])</f>
        <v>12321554644.015028</v>
      </c>
      <c r="AX78" s="5">
        <f>IF($B77&lt;=Tabla5[[#This Row],[INVERSIONES FCI]],+Tabla5[[#This Row],[INVERSIONES FCI]]-AX77,Tabla5[[#This Row],[INVERSIONES FCI]])</f>
        <v>12321554644.015028</v>
      </c>
      <c r="AY78" s="5">
        <f>IF($B77&lt;=Tabla5[[#This Row],[INVERSIONES FCI]],+Tabla5[[#This Row],[INVERSIONES FCI]]-AY77,Tabla5[[#This Row],[INVERSIONES FCI]])</f>
        <v>12321554644.015028</v>
      </c>
      <c r="AZ78" s="5">
        <f>IF($B77&lt;=Tabla5[[#This Row],[INVERSIONES FCI]],+Tabla5[[#This Row],[INVERSIONES FCI]]-AZ77,Tabla5[[#This Row],[INVERSIONES FCI]])</f>
        <v>12321554644.015028</v>
      </c>
      <c r="BA78" s="5">
        <f>IF($B77&lt;=Tabla5[[#This Row],[INVERSIONES FCI]],+Tabla5[[#This Row],[INVERSIONES FCI]]-BA77,Tabla5[[#This Row],[INVERSIONES FCI]])</f>
        <v>12321554644.015028</v>
      </c>
      <c r="BB78" s="5">
        <f>IF($B77&lt;=Tabla5[[#This Row],[INVERSIONES FCI]],+Tabla5[[#This Row],[INVERSIONES FCI]]-BB77,Tabla5[[#This Row],[INVERSIONES FCI]])</f>
        <v>12321554644.015028</v>
      </c>
      <c r="BC78" s="5">
        <f>IF($B77&lt;=Tabla5[[#This Row],[INVERSIONES FCI]],+Tabla5[[#This Row],[INVERSIONES FCI]]-BC77,Tabla5[[#This Row],[INVERSIONES FCI]])</f>
        <v>12321554644.015028</v>
      </c>
      <c r="BD78" s="5">
        <f>IF($B77&lt;=Tabla5[[#This Row],[INVERSIONES FCI]],+Tabla5[[#This Row],[INVERSIONES FCI]]-BD77,Tabla5[[#This Row],[INVERSIONES FCI]])</f>
        <v>12321554644.015028</v>
      </c>
      <c r="BE78" s="5">
        <f>IF($B77&lt;=Tabla5[[#This Row],[INVERSIONES FCI]],+Tabla5[[#This Row],[INVERSIONES FCI]]-BE77,Tabla5[[#This Row],[INVERSIONES FCI]])</f>
        <v>12321554644.015028</v>
      </c>
      <c r="BF78" s="5">
        <f>IF($B77&lt;=Tabla5[[#This Row],[INVERSIONES FCI]],+Tabla5[[#This Row],[INVERSIONES FCI]]-BF77,Tabla5[[#This Row],[INVERSIONES FCI]])</f>
        <v>12321554644.015028</v>
      </c>
      <c r="BG78" s="5">
        <f>IF($B77&lt;=Tabla5[[#This Row],[INVERSIONES FCI]],+Tabla5[[#This Row],[INVERSIONES FCI]]-BG77,Tabla5[[#This Row],[INVERSIONES FCI]])</f>
        <v>12321554644.015028</v>
      </c>
      <c r="BH78" s="5">
        <f>IF($B77&lt;=Tabla5[[#This Row],[INVERSIONES FCI]],+Tabla5[[#This Row],[INVERSIONES FCI]]-BH77,Tabla5[[#This Row],[INVERSIONES FCI]])</f>
        <v>12321554644.015028</v>
      </c>
      <c r="BI78" s="5">
        <f>IF($B77&lt;=Tabla5[[#This Row],[INVERSIONES FCI]],+Tabla5[[#This Row],[INVERSIONES FCI]]-BI77,Tabla5[[#This Row],[INVERSIONES FCI]])</f>
        <v>12321554644.015028</v>
      </c>
      <c r="BJ78" s="5">
        <f>IF($B77&lt;=Tabla5[[#This Row],[INVERSIONES FCI]],+Tabla5[[#This Row],[INVERSIONES FCI]]-BJ77,Tabla5[[#This Row],[INVERSIONES FCI]])</f>
        <v>12321554644.015028</v>
      </c>
      <c r="BK78" s="5">
        <f>IF($B77&lt;=Tabla5[[#This Row],[INVERSIONES FCI]],+Tabla5[[#This Row],[INVERSIONES FCI]]-BK77,Tabla5[[#This Row],[INVERSIONES FCI]])</f>
        <v>12321554644.015028</v>
      </c>
      <c r="BL78" s="5">
        <f>IF($B77&lt;=Tabla5[[#This Row],[INVERSIONES FCI]],+Tabla5[[#This Row],[INVERSIONES FCI]]-BL77,Tabla5[[#This Row],[INVERSIONES FCI]])</f>
        <v>12321554644.015028</v>
      </c>
      <c r="BM78" s="5">
        <f>IF($B77&lt;=Tabla5[[#This Row],[INVERSIONES FCI]],+Tabla5[[#This Row],[INVERSIONES FCI]]-BM77,Tabla5[[#This Row],[INVERSIONES FCI]])</f>
        <v>12321554644.015028</v>
      </c>
      <c r="BN78" s="5">
        <f>IF($B77&lt;=Tabla5[[#This Row],[INVERSIONES FCI]],+Tabla5[[#This Row],[INVERSIONES FCI]]-BN77,Tabla5[[#This Row],[INVERSIONES FCI]])</f>
        <v>12321554644.015028</v>
      </c>
      <c r="BO78" s="5">
        <f>IF($B77&lt;=Tabla5[[#This Row],[INVERSIONES FCI]],+Tabla5[[#This Row],[INVERSIONES FCI]]-BO77,Tabla5[[#This Row],[INVERSIONES FCI]])</f>
        <v>12321554644.015028</v>
      </c>
      <c r="BP78" s="5">
        <f>IF($B77&lt;=Tabla5[[#This Row],[INVERSIONES FCI]],+Tabla5[[#This Row],[INVERSIONES FCI]]-BP77,Tabla5[[#This Row],[INVERSIONES FCI]])</f>
        <v>12321554644.015028</v>
      </c>
      <c r="BQ78" s="5">
        <f>IF($B77&lt;=Tabla5[[#This Row],[INVERSIONES FCI]],+Tabla5[[#This Row],[INVERSIONES FCI]]-BQ77,Tabla5[[#This Row],[INVERSIONES FCI]])</f>
        <v>12321554644.015028</v>
      </c>
      <c r="BR78" s="5">
        <f>IF($B77&lt;=Tabla5[[#This Row],[INVERSIONES FCI]],+Tabla5[[#This Row],[INVERSIONES FCI]]-BR77,Tabla5[[#This Row],[INVERSIONES FCI]])</f>
        <v>12321554644.015028</v>
      </c>
      <c r="BS78" s="5">
        <f>IF($B77&lt;=Tabla5[[#This Row],[INVERSIONES FCI]],+Tabla5[[#This Row],[INVERSIONES FCI]]-BS77,Tabla5[[#This Row],[INVERSIONES FCI]])</f>
        <v>12321554644.015028</v>
      </c>
      <c r="BT78" s="5">
        <f>IF($B77&lt;=Tabla5[[#This Row],[INVERSIONES FCI]],+Tabla5[[#This Row],[INVERSIONES FCI]]-BT77,Tabla5[[#This Row],[INVERSIONES FCI]])</f>
        <v>12321554644.015028</v>
      </c>
      <c r="BU78" s="5">
        <f>IF($B77&lt;=Tabla5[[#This Row],[INVERSIONES FCI]],+Tabla5[[#This Row],[INVERSIONES FCI]]-BU77,Tabla5[[#This Row],[INVERSIONES FCI]])</f>
        <v>12321554644.015028</v>
      </c>
      <c r="BV78" s="5">
        <f>IF($B77&lt;=Tabla5[[#This Row],[INVERSIONES FCI]],+Tabla5[[#This Row],[INVERSIONES FCI]]-BV77,Tabla5[[#This Row],[INVERSIONES FCI]])</f>
        <v>12321554644.015028</v>
      </c>
      <c r="BW78" s="5">
        <f>IF($B77&lt;=Tabla5[[#This Row],[INVERSIONES FCI]],+Tabla5[[#This Row],[INVERSIONES FCI]]-BW77,Tabla5[[#This Row],[INVERSIONES FCI]])</f>
        <v>12321554644.015028</v>
      </c>
      <c r="BX78" s="5">
        <f>IF($B77&lt;=Tabla5[[#This Row],[INVERSIONES FCI]],+Tabla5[[#This Row],[INVERSIONES FCI]]-BX77,Tabla5[[#This Row],[INVERSIONES FCI]])</f>
        <v>12321554644.015028</v>
      </c>
      <c r="BY78" s="5">
        <f>IF($B77&lt;=Tabla5[[#This Row],[INVERSIONES FCI]],+Tabla5[[#This Row],[INVERSIONES FCI]]-BY77,Tabla5[[#This Row],[INVERSIONES FCI]])</f>
        <v>12321554644.015028</v>
      </c>
      <c r="BZ78" s="5">
        <f>IF($B77&lt;=Tabla5[[#This Row],[INVERSIONES FCI]],+Tabla5[[#This Row],[INVERSIONES FCI]]-BZ77,Tabla5[[#This Row],[INVERSIONES FCI]])</f>
        <v>12321554644.015028</v>
      </c>
      <c r="CA78" s="5" cm="1">
        <f t="array" ref="CA78">IF(Tabla5[[#This Row],[FCI]]=0,0,_xlfn.XLOOKUP(TRUE,$B78:BZ78&gt;0,$B78:BZ78,"",0,-1))</f>
        <v>12321554644.015028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</row>
    <row r="79" spans="1:121" ht="14.4">
      <c r="A79" s="12" t="s">
        <v>78</v>
      </c>
      <c r="B79" s="5">
        <f>HLOOKUP($A79,ESCENARIO[#All],7,FALSE)</f>
        <v>19402021312.804977</v>
      </c>
      <c r="C79" s="5">
        <f>IF($B78&lt;=Tabla5[[#This Row],[INVERSIONES FCI]],+Tabla5[[#This Row],[INVERSIONES FCI]]-C78,Tabla5[[#This Row],[INVERSIONES FCI]])</f>
        <v>7080466668.7899494</v>
      </c>
      <c r="D79" s="5">
        <f>IF($B78&lt;=Tabla5[[#This Row],[INVERSIONES FCI]],+Tabla5[[#This Row],[INVERSIONES FCI]]-D78,Tabla5[[#This Row],[INVERSIONES FCI]])</f>
        <v>7080466668.7899494</v>
      </c>
      <c r="E79" s="5">
        <f>IF($B78&lt;=Tabla5[[#This Row],[INVERSIONES FCI]],+Tabla5[[#This Row],[INVERSIONES FCI]]-E78,Tabla5[[#This Row],[INVERSIONES FCI]])</f>
        <v>7080466668.7899494</v>
      </c>
      <c r="F79" s="5">
        <f>IF($B78&lt;=Tabla5[[#This Row],[INVERSIONES FCI]],+Tabla5[[#This Row],[INVERSIONES FCI]]-F78,Tabla5[[#This Row],[INVERSIONES FCI]])</f>
        <v>7080466668.7899494</v>
      </c>
      <c r="G79" s="5">
        <f>IF($B78&lt;=Tabla5[[#This Row],[INVERSIONES FCI]],+Tabla5[[#This Row],[INVERSIONES FCI]]-G78,Tabla5[[#This Row],[INVERSIONES FCI]])</f>
        <v>7080466668.7899494</v>
      </c>
      <c r="H79" s="5">
        <f>IF($B78&lt;=Tabla5[[#This Row],[INVERSIONES FCI]],+Tabla5[[#This Row],[INVERSIONES FCI]]-H78,Tabla5[[#This Row],[INVERSIONES FCI]])</f>
        <v>7080466668.7899494</v>
      </c>
      <c r="I79" s="5">
        <f>IF($B78&lt;=Tabla5[[#This Row],[INVERSIONES FCI]],+Tabla5[[#This Row],[INVERSIONES FCI]]-I78,Tabla5[[#This Row],[INVERSIONES FCI]])</f>
        <v>7080466668.7899494</v>
      </c>
      <c r="J79" s="5">
        <f>IF($B78&lt;=Tabla5[[#This Row],[INVERSIONES FCI]],+Tabla5[[#This Row],[INVERSIONES FCI]]-J78,Tabla5[[#This Row],[INVERSIONES FCI]])</f>
        <v>7080466668.7899494</v>
      </c>
      <c r="K79" s="5">
        <f>IF($B78&lt;=Tabla5[[#This Row],[INVERSIONES FCI]],+Tabla5[[#This Row],[INVERSIONES FCI]]-K78,Tabla5[[#This Row],[INVERSIONES FCI]])</f>
        <v>7080466668.7899494</v>
      </c>
      <c r="L79" s="5">
        <f>IF($B78&lt;=Tabla5[[#This Row],[INVERSIONES FCI]],+Tabla5[[#This Row],[INVERSIONES FCI]]-L78,Tabla5[[#This Row],[INVERSIONES FCI]])</f>
        <v>7080466668.7899494</v>
      </c>
      <c r="M79" s="5">
        <f>IF($B78&lt;=Tabla5[[#This Row],[INVERSIONES FCI]],+Tabla5[[#This Row],[INVERSIONES FCI]]-M78,Tabla5[[#This Row],[INVERSIONES FCI]])</f>
        <v>7080466668.7899494</v>
      </c>
      <c r="N79" s="5">
        <f>IF($B78&lt;=Tabla5[[#This Row],[INVERSIONES FCI]],+Tabla5[[#This Row],[INVERSIONES FCI]]-N78,Tabla5[[#This Row],[INVERSIONES FCI]])</f>
        <v>7080466668.7899494</v>
      </c>
      <c r="O79" s="5">
        <f>IF($B78&lt;=Tabla5[[#This Row],[INVERSIONES FCI]],+Tabla5[[#This Row],[INVERSIONES FCI]]-O78,Tabla5[[#This Row],[INVERSIONES FCI]])</f>
        <v>7080466668.7899494</v>
      </c>
      <c r="P79" s="5">
        <f>IF($B78&lt;=Tabla5[[#This Row],[INVERSIONES FCI]],+Tabla5[[#This Row],[INVERSIONES FCI]]-P78,Tabla5[[#This Row],[INVERSIONES FCI]])</f>
        <v>7080466668.7899494</v>
      </c>
      <c r="Q79" s="5">
        <f>IF($B78&lt;=Tabla5[[#This Row],[INVERSIONES FCI]],+Tabla5[[#This Row],[INVERSIONES FCI]]-Q78,Tabla5[[#This Row],[INVERSIONES FCI]])</f>
        <v>7080466668.7899494</v>
      </c>
      <c r="R79" s="5">
        <f>IF($B78&lt;=Tabla5[[#This Row],[INVERSIONES FCI]],+Tabla5[[#This Row],[INVERSIONES FCI]]-R78,Tabla5[[#This Row],[INVERSIONES FCI]])</f>
        <v>7080466668.7899494</v>
      </c>
      <c r="S79" s="5">
        <f>IF($B78&lt;=Tabla5[[#This Row],[INVERSIONES FCI]],+Tabla5[[#This Row],[INVERSIONES FCI]]-S78,Tabla5[[#This Row],[INVERSIONES FCI]])</f>
        <v>7080466668.7899494</v>
      </c>
      <c r="T79" s="5">
        <f>IF($B78&lt;=Tabla5[[#This Row],[INVERSIONES FCI]],+Tabla5[[#This Row],[INVERSIONES FCI]]-T78,Tabla5[[#This Row],[INVERSIONES FCI]])</f>
        <v>7080466668.7899494</v>
      </c>
      <c r="U79" s="5">
        <f>IF($B78&lt;=Tabla5[[#This Row],[INVERSIONES FCI]],+Tabla5[[#This Row],[INVERSIONES FCI]]-U78,Tabla5[[#This Row],[INVERSIONES FCI]])</f>
        <v>7080466668.7899494</v>
      </c>
      <c r="V79" s="5">
        <f>IF($B78&lt;=Tabla5[[#This Row],[INVERSIONES FCI]],+Tabla5[[#This Row],[INVERSIONES FCI]]-V78,Tabla5[[#This Row],[INVERSIONES FCI]])</f>
        <v>7080466668.7899494</v>
      </c>
      <c r="W79" s="5">
        <f>IF($B78&lt;=Tabla5[[#This Row],[INVERSIONES FCI]],+Tabla5[[#This Row],[INVERSIONES FCI]]-W78,Tabla5[[#This Row],[INVERSIONES FCI]])</f>
        <v>7080466668.7899494</v>
      </c>
      <c r="X79" s="5">
        <f>IF($B78&lt;=Tabla5[[#This Row],[INVERSIONES FCI]],+Tabla5[[#This Row],[INVERSIONES FCI]]-X78,Tabla5[[#This Row],[INVERSIONES FCI]])</f>
        <v>7080466668.7899494</v>
      </c>
      <c r="Y79" s="5">
        <f>IF($B78&lt;=Tabla5[[#This Row],[INVERSIONES FCI]],+Tabla5[[#This Row],[INVERSIONES FCI]]-Y78,Tabla5[[#This Row],[INVERSIONES FCI]])</f>
        <v>7080466668.7899494</v>
      </c>
      <c r="Z79" s="5">
        <f>IF($B78&lt;=Tabla5[[#This Row],[INVERSIONES FCI]],+Tabla5[[#This Row],[INVERSIONES FCI]]-Z78,Tabla5[[#This Row],[INVERSIONES FCI]])</f>
        <v>7080466668.7899494</v>
      </c>
      <c r="AA79" s="5">
        <f>IF($B78&lt;=Tabla5[[#This Row],[INVERSIONES FCI]],+Tabla5[[#This Row],[INVERSIONES FCI]]-AA78,Tabla5[[#This Row],[INVERSIONES FCI]])</f>
        <v>7080466668.7899494</v>
      </c>
      <c r="AB79" s="5">
        <f>IF($B78&lt;=Tabla5[[#This Row],[INVERSIONES FCI]],+Tabla5[[#This Row],[INVERSIONES FCI]]-AB78,Tabla5[[#This Row],[INVERSIONES FCI]])</f>
        <v>7080466668.7899494</v>
      </c>
      <c r="AC79" s="5">
        <f>IF($B78&lt;=Tabla5[[#This Row],[INVERSIONES FCI]],+Tabla5[[#This Row],[INVERSIONES FCI]]-AC78,Tabla5[[#This Row],[INVERSIONES FCI]])</f>
        <v>7080466668.7899494</v>
      </c>
      <c r="AD79" s="5">
        <f>IF($B78&lt;=Tabla5[[#This Row],[INVERSIONES FCI]],+Tabla5[[#This Row],[INVERSIONES FCI]]-AD78,Tabla5[[#This Row],[INVERSIONES FCI]])</f>
        <v>7080466668.7899494</v>
      </c>
      <c r="AE79" s="5">
        <f>IF($B78&lt;=Tabla5[[#This Row],[INVERSIONES FCI]],+Tabla5[[#This Row],[INVERSIONES FCI]]-AE78,Tabla5[[#This Row],[INVERSIONES FCI]])</f>
        <v>7080466668.7899494</v>
      </c>
      <c r="AF79" s="5">
        <f>IF($B78&lt;=Tabla5[[#This Row],[INVERSIONES FCI]],+Tabla5[[#This Row],[INVERSIONES FCI]]-AF78,Tabla5[[#This Row],[INVERSIONES FCI]])</f>
        <v>7080466668.7899494</v>
      </c>
      <c r="AG79" s="5">
        <f>IF($B78&lt;=Tabla5[[#This Row],[INVERSIONES FCI]],+Tabla5[[#This Row],[INVERSIONES FCI]]-AG78,Tabla5[[#This Row],[INVERSIONES FCI]])</f>
        <v>7080466668.7899494</v>
      </c>
      <c r="AH79" s="5">
        <f>IF($B78&lt;=Tabla5[[#This Row],[INVERSIONES FCI]],+Tabla5[[#This Row],[INVERSIONES FCI]]-AH78,Tabla5[[#This Row],[INVERSIONES FCI]])</f>
        <v>7080466668.7899494</v>
      </c>
      <c r="AI79" s="5">
        <f>IF($B78&lt;=Tabla5[[#This Row],[INVERSIONES FCI]],+Tabla5[[#This Row],[INVERSIONES FCI]]-AI78,Tabla5[[#This Row],[INVERSIONES FCI]])</f>
        <v>7080466668.7899494</v>
      </c>
      <c r="AJ79" s="5">
        <f>IF($B78&lt;=Tabla5[[#This Row],[INVERSIONES FCI]],+Tabla5[[#This Row],[INVERSIONES FCI]]-AJ78,Tabla5[[#This Row],[INVERSIONES FCI]])</f>
        <v>7080466668.7899494</v>
      </c>
      <c r="AK79" s="5">
        <f>IF($B78&lt;=Tabla5[[#This Row],[INVERSIONES FCI]],+Tabla5[[#This Row],[INVERSIONES FCI]]-AK78,Tabla5[[#This Row],[INVERSIONES FCI]])</f>
        <v>7080466668.7899494</v>
      </c>
      <c r="AL79" s="5">
        <f>IF($B78&lt;=Tabla5[[#This Row],[INVERSIONES FCI]],+Tabla5[[#This Row],[INVERSIONES FCI]]-AL78,Tabla5[[#This Row],[INVERSIONES FCI]])</f>
        <v>7080466668.7899494</v>
      </c>
      <c r="AM79" s="5">
        <f>IF($B78&lt;=Tabla5[[#This Row],[INVERSIONES FCI]],+Tabla5[[#This Row],[INVERSIONES FCI]]-AM78,Tabla5[[#This Row],[INVERSIONES FCI]])</f>
        <v>7080466668.7899494</v>
      </c>
      <c r="AN79" s="5">
        <f>IF($B78&lt;=Tabla5[[#This Row],[INVERSIONES FCI]],+Tabla5[[#This Row],[INVERSIONES FCI]]-AN78,Tabla5[[#This Row],[INVERSIONES FCI]])</f>
        <v>7080466668.7899494</v>
      </c>
      <c r="AO79" s="5">
        <f>IF($B78&lt;=Tabla5[[#This Row],[INVERSIONES FCI]],+Tabla5[[#This Row],[INVERSIONES FCI]]-AO78,Tabla5[[#This Row],[INVERSIONES FCI]])</f>
        <v>7080466668.7899494</v>
      </c>
      <c r="AP79" s="5">
        <f>IF($B78&lt;=Tabla5[[#This Row],[INVERSIONES FCI]],+Tabla5[[#This Row],[INVERSIONES FCI]]-AP78,Tabla5[[#This Row],[INVERSIONES FCI]])</f>
        <v>7080466668.7899494</v>
      </c>
      <c r="AQ79" s="5">
        <f>IF($B78&lt;=Tabla5[[#This Row],[INVERSIONES FCI]],+Tabla5[[#This Row],[INVERSIONES FCI]]-AQ78,Tabla5[[#This Row],[INVERSIONES FCI]])</f>
        <v>7080466668.7899494</v>
      </c>
      <c r="AR79" s="5">
        <f>IF($B78&lt;=Tabla5[[#This Row],[INVERSIONES FCI]],+Tabla5[[#This Row],[INVERSIONES FCI]]-AR78,Tabla5[[#This Row],[INVERSIONES FCI]])</f>
        <v>7080466668.7899494</v>
      </c>
      <c r="AS79" s="5">
        <f>IF($B78&lt;=Tabla5[[#This Row],[INVERSIONES FCI]],+Tabla5[[#This Row],[INVERSIONES FCI]]-AS78,Tabla5[[#This Row],[INVERSIONES FCI]])</f>
        <v>7080466668.7899494</v>
      </c>
      <c r="AT79" s="5">
        <f>IF($B78&lt;=Tabla5[[#This Row],[INVERSIONES FCI]],+Tabla5[[#This Row],[INVERSIONES FCI]]-AT78,Tabla5[[#This Row],[INVERSIONES FCI]])</f>
        <v>7080466668.7899494</v>
      </c>
      <c r="AU79" s="5">
        <f>IF($B78&lt;=Tabla5[[#This Row],[INVERSIONES FCI]],+Tabla5[[#This Row],[INVERSIONES FCI]]-AU78,Tabla5[[#This Row],[INVERSIONES FCI]])</f>
        <v>7080466668.7899494</v>
      </c>
      <c r="AV79" s="5">
        <f>IF($B78&lt;=Tabla5[[#This Row],[INVERSIONES FCI]],+Tabla5[[#This Row],[INVERSIONES FCI]]-AV78,Tabla5[[#This Row],[INVERSIONES FCI]])</f>
        <v>7080466668.7899494</v>
      </c>
      <c r="AW79" s="5">
        <f>IF($B78&lt;=Tabla5[[#This Row],[INVERSIONES FCI]],+Tabla5[[#This Row],[INVERSIONES FCI]]-AW78,Tabla5[[#This Row],[INVERSIONES FCI]])</f>
        <v>7080466668.7899494</v>
      </c>
      <c r="AX79" s="5">
        <f>IF($B78&lt;=Tabla5[[#This Row],[INVERSIONES FCI]],+Tabla5[[#This Row],[INVERSIONES FCI]]-AX78,Tabla5[[#This Row],[INVERSIONES FCI]])</f>
        <v>7080466668.7899494</v>
      </c>
      <c r="AY79" s="5">
        <f>IF($B78&lt;=Tabla5[[#This Row],[INVERSIONES FCI]],+Tabla5[[#This Row],[INVERSIONES FCI]]-AY78,Tabla5[[#This Row],[INVERSIONES FCI]])</f>
        <v>7080466668.7899494</v>
      </c>
      <c r="AZ79" s="5">
        <f>IF($B78&lt;=Tabla5[[#This Row],[INVERSIONES FCI]],+Tabla5[[#This Row],[INVERSIONES FCI]]-AZ78,Tabla5[[#This Row],[INVERSIONES FCI]])</f>
        <v>7080466668.7899494</v>
      </c>
      <c r="BA79" s="5">
        <f>IF($B78&lt;=Tabla5[[#This Row],[INVERSIONES FCI]],+Tabla5[[#This Row],[INVERSIONES FCI]]-BA78,Tabla5[[#This Row],[INVERSIONES FCI]])</f>
        <v>7080466668.7899494</v>
      </c>
      <c r="BB79" s="5">
        <f>IF($B78&lt;=Tabla5[[#This Row],[INVERSIONES FCI]],+Tabla5[[#This Row],[INVERSIONES FCI]]-BB78,Tabla5[[#This Row],[INVERSIONES FCI]])</f>
        <v>7080466668.7899494</v>
      </c>
      <c r="BC79" s="5">
        <f>IF($B78&lt;=Tabla5[[#This Row],[INVERSIONES FCI]],+Tabla5[[#This Row],[INVERSIONES FCI]]-BC78,Tabla5[[#This Row],[INVERSIONES FCI]])</f>
        <v>7080466668.7899494</v>
      </c>
      <c r="BD79" s="5">
        <f>IF($B78&lt;=Tabla5[[#This Row],[INVERSIONES FCI]],+Tabla5[[#This Row],[INVERSIONES FCI]]-BD78,Tabla5[[#This Row],[INVERSIONES FCI]])</f>
        <v>7080466668.7899494</v>
      </c>
      <c r="BE79" s="5">
        <f>IF($B78&lt;=Tabla5[[#This Row],[INVERSIONES FCI]],+Tabla5[[#This Row],[INVERSIONES FCI]]-BE78,Tabla5[[#This Row],[INVERSIONES FCI]])</f>
        <v>7080466668.7899494</v>
      </c>
      <c r="BF79" s="5">
        <f>IF($B78&lt;=Tabla5[[#This Row],[INVERSIONES FCI]],+Tabla5[[#This Row],[INVERSIONES FCI]]-BF78,Tabla5[[#This Row],[INVERSIONES FCI]])</f>
        <v>7080466668.7899494</v>
      </c>
      <c r="BG79" s="5">
        <f>IF($B78&lt;=Tabla5[[#This Row],[INVERSIONES FCI]],+Tabla5[[#This Row],[INVERSIONES FCI]]-BG78,Tabla5[[#This Row],[INVERSIONES FCI]])</f>
        <v>7080466668.7899494</v>
      </c>
      <c r="BH79" s="5">
        <f>IF($B78&lt;=Tabla5[[#This Row],[INVERSIONES FCI]],+Tabla5[[#This Row],[INVERSIONES FCI]]-BH78,Tabla5[[#This Row],[INVERSIONES FCI]])</f>
        <v>7080466668.7899494</v>
      </c>
      <c r="BI79" s="5">
        <f>IF($B78&lt;=Tabla5[[#This Row],[INVERSIONES FCI]],+Tabla5[[#This Row],[INVERSIONES FCI]]-BI78,Tabla5[[#This Row],[INVERSIONES FCI]])</f>
        <v>7080466668.7899494</v>
      </c>
      <c r="BJ79" s="5">
        <f>IF($B78&lt;=Tabla5[[#This Row],[INVERSIONES FCI]],+Tabla5[[#This Row],[INVERSIONES FCI]]-BJ78,Tabla5[[#This Row],[INVERSIONES FCI]])</f>
        <v>7080466668.7899494</v>
      </c>
      <c r="BK79" s="5">
        <f>IF($B78&lt;=Tabla5[[#This Row],[INVERSIONES FCI]],+Tabla5[[#This Row],[INVERSIONES FCI]]-BK78,Tabla5[[#This Row],[INVERSIONES FCI]])</f>
        <v>7080466668.7899494</v>
      </c>
      <c r="BL79" s="5">
        <f>IF($B78&lt;=Tabla5[[#This Row],[INVERSIONES FCI]],+Tabla5[[#This Row],[INVERSIONES FCI]]-BL78,Tabla5[[#This Row],[INVERSIONES FCI]])</f>
        <v>7080466668.7899494</v>
      </c>
      <c r="BM79" s="5">
        <f>IF($B78&lt;=Tabla5[[#This Row],[INVERSIONES FCI]],+Tabla5[[#This Row],[INVERSIONES FCI]]-BM78,Tabla5[[#This Row],[INVERSIONES FCI]])</f>
        <v>7080466668.7899494</v>
      </c>
      <c r="BN79" s="5">
        <f>IF($B78&lt;=Tabla5[[#This Row],[INVERSIONES FCI]],+Tabla5[[#This Row],[INVERSIONES FCI]]-BN78,Tabla5[[#This Row],[INVERSIONES FCI]])</f>
        <v>7080466668.7899494</v>
      </c>
      <c r="BO79" s="5">
        <f>IF($B78&lt;=Tabla5[[#This Row],[INVERSIONES FCI]],+Tabla5[[#This Row],[INVERSIONES FCI]]-BO78,Tabla5[[#This Row],[INVERSIONES FCI]])</f>
        <v>7080466668.7899494</v>
      </c>
      <c r="BP79" s="5">
        <f>IF($B78&lt;=Tabla5[[#This Row],[INVERSIONES FCI]],+Tabla5[[#This Row],[INVERSIONES FCI]]-BP78,Tabla5[[#This Row],[INVERSIONES FCI]])</f>
        <v>7080466668.7899494</v>
      </c>
      <c r="BQ79" s="5">
        <f>IF($B78&lt;=Tabla5[[#This Row],[INVERSIONES FCI]],+Tabla5[[#This Row],[INVERSIONES FCI]]-BQ78,Tabla5[[#This Row],[INVERSIONES FCI]])</f>
        <v>7080466668.7899494</v>
      </c>
      <c r="BR79" s="5">
        <f>IF($B78&lt;=Tabla5[[#This Row],[INVERSIONES FCI]],+Tabla5[[#This Row],[INVERSIONES FCI]]-BR78,Tabla5[[#This Row],[INVERSIONES FCI]])</f>
        <v>7080466668.7899494</v>
      </c>
      <c r="BS79" s="5">
        <f>IF($B78&lt;=Tabla5[[#This Row],[INVERSIONES FCI]],+Tabla5[[#This Row],[INVERSIONES FCI]]-BS78,Tabla5[[#This Row],[INVERSIONES FCI]])</f>
        <v>7080466668.7899494</v>
      </c>
      <c r="BT79" s="5">
        <f>IF($B78&lt;=Tabla5[[#This Row],[INVERSIONES FCI]],+Tabla5[[#This Row],[INVERSIONES FCI]]-BT78,Tabla5[[#This Row],[INVERSIONES FCI]])</f>
        <v>7080466668.7899494</v>
      </c>
      <c r="BU79" s="5">
        <f>IF($B78&lt;=Tabla5[[#This Row],[INVERSIONES FCI]],+Tabla5[[#This Row],[INVERSIONES FCI]]-BU78,Tabla5[[#This Row],[INVERSIONES FCI]])</f>
        <v>7080466668.7899494</v>
      </c>
      <c r="BV79" s="5">
        <f>IF($B78&lt;=Tabla5[[#This Row],[INVERSIONES FCI]],+Tabla5[[#This Row],[INVERSIONES FCI]]-BV78,Tabla5[[#This Row],[INVERSIONES FCI]])</f>
        <v>7080466668.7899494</v>
      </c>
      <c r="BW79" s="5">
        <f>IF($B78&lt;=Tabla5[[#This Row],[INVERSIONES FCI]],+Tabla5[[#This Row],[INVERSIONES FCI]]-BW78,Tabla5[[#This Row],[INVERSIONES FCI]])</f>
        <v>7080466668.7899494</v>
      </c>
      <c r="BX79" s="5">
        <f>IF($B78&lt;=Tabla5[[#This Row],[INVERSIONES FCI]],+Tabla5[[#This Row],[INVERSIONES FCI]]-BX78,Tabla5[[#This Row],[INVERSIONES FCI]])</f>
        <v>7080466668.7899494</v>
      </c>
      <c r="BY79" s="5">
        <f>IF($B78&lt;=Tabla5[[#This Row],[INVERSIONES FCI]],+Tabla5[[#This Row],[INVERSIONES FCI]]-BY78,Tabla5[[#This Row],[INVERSIONES FCI]])</f>
        <v>7080466668.7899494</v>
      </c>
      <c r="BZ79" s="5">
        <f>IF($B78&lt;=Tabla5[[#This Row],[INVERSIONES FCI]],+Tabla5[[#This Row],[INVERSIONES FCI]]-BZ78,Tabla5[[#This Row],[INVERSIONES FCI]])</f>
        <v>7080466668.7899494</v>
      </c>
      <c r="CA79" s="5">
        <f>IF($B78&lt;=Tabla5[[#This Row],[INVERSIONES FCI]],+Tabla5[[#This Row],[INVERSIONES FCI]]-CA78,Tabla5[[#This Row],[INVERSIONES FCI]])</f>
        <v>7080466668.7899494</v>
      </c>
      <c r="CB79" s="5" cm="1">
        <f t="array" ref="CB79">IF(Tabla5[[#This Row],[FCI]]=0,0,_xlfn.XLOOKUP(TRUE,$B79:CA79&gt;0,$B79:CA79,"",0,-1))</f>
        <v>7080466668.7899494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</row>
    <row r="80" spans="1:121" ht="14.4">
      <c r="A80" s="12" t="s">
        <v>79</v>
      </c>
      <c r="B80" s="5">
        <f>HLOOKUP($A80,ESCENARIO[#All],7,FALSE)</f>
        <v>17402021312.804977</v>
      </c>
      <c r="C80" s="5">
        <f>IF($B79&lt;=Tabla5[[#This Row],[INVERSIONES FCI]],+Tabla5[[#This Row],[INVERSIONES FCI]]-C79,Tabla5[[#This Row],[INVERSIONES FCI]])</f>
        <v>17402021312.804977</v>
      </c>
      <c r="D80" s="5">
        <f>IF($B79&lt;=Tabla5[[#This Row],[INVERSIONES FCI]],+Tabla5[[#This Row],[INVERSIONES FCI]]-D79,Tabla5[[#This Row],[INVERSIONES FCI]])</f>
        <v>17402021312.804977</v>
      </c>
      <c r="E80" s="5">
        <f>IF($B79&lt;=Tabla5[[#This Row],[INVERSIONES FCI]],+Tabla5[[#This Row],[INVERSIONES FCI]]-E79,Tabla5[[#This Row],[INVERSIONES FCI]])</f>
        <v>17402021312.804977</v>
      </c>
      <c r="F80" s="5">
        <f>IF($B79&lt;=Tabla5[[#This Row],[INVERSIONES FCI]],+Tabla5[[#This Row],[INVERSIONES FCI]]-F79,Tabla5[[#This Row],[INVERSIONES FCI]])</f>
        <v>17402021312.804977</v>
      </c>
      <c r="G80" s="5">
        <f>IF($B79&lt;=Tabla5[[#This Row],[INVERSIONES FCI]],+Tabla5[[#This Row],[INVERSIONES FCI]]-G79,Tabla5[[#This Row],[INVERSIONES FCI]])</f>
        <v>17402021312.804977</v>
      </c>
      <c r="H80" s="5">
        <f>IF($B79&lt;=Tabla5[[#This Row],[INVERSIONES FCI]],+Tabla5[[#This Row],[INVERSIONES FCI]]-H79,Tabla5[[#This Row],[INVERSIONES FCI]])</f>
        <v>17402021312.804977</v>
      </c>
      <c r="I80" s="5">
        <f>IF($B79&lt;=Tabla5[[#This Row],[INVERSIONES FCI]],+Tabla5[[#This Row],[INVERSIONES FCI]]-I79,Tabla5[[#This Row],[INVERSIONES FCI]])</f>
        <v>17402021312.804977</v>
      </c>
      <c r="J80" s="5">
        <f>IF($B79&lt;=Tabla5[[#This Row],[INVERSIONES FCI]],+Tabla5[[#This Row],[INVERSIONES FCI]]-J79,Tabla5[[#This Row],[INVERSIONES FCI]])</f>
        <v>17402021312.804977</v>
      </c>
      <c r="K80" s="5">
        <f>IF($B79&lt;=Tabla5[[#This Row],[INVERSIONES FCI]],+Tabla5[[#This Row],[INVERSIONES FCI]]-K79,Tabla5[[#This Row],[INVERSIONES FCI]])</f>
        <v>17402021312.804977</v>
      </c>
      <c r="L80" s="5">
        <f>IF($B79&lt;=Tabla5[[#This Row],[INVERSIONES FCI]],+Tabla5[[#This Row],[INVERSIONES FCI]]-L79,Tabla5[[#This Row],[INVERSIONES FCI]])</f>
        <v>17402021312.804977</v>
      </c>
      <c r="M80" s="5">
        <f>IF($B79&lt;=Tabla5[[#This Row],[INVERSIONES FCI]],+Tabla5[[#This Row],[INVERSIONES FCI]]-M79,Tabla5[[#This Row],[INVERSIONES FCI]])</f>
        <v>17402021312.804977</v>
      </c>
      <c r="N80" s="5">
        <f>IF($B79&lt;=Tabla5[[#This Row],[INVERSIONES FCI]],+Tabla5[[#This Row],[INVERSIONES FCI]]-N79,Tabla5[[#This Row],[INVERSIONES FCI]])</f>
        <v>17402021312.804977</v>
      </c>
      <c r="O80" s="5">
        <f>IF($B79&lt;=Tabla5[[#This Row],[INVERSIONES FCI]],+Tabla5[[#This Row],[INVERSIONES FCI]]-O79,Tabla5[[#This Row],[INVERSIONES FCI]])</f>
        <v>17402021312.804977</v>
      </c>
      <c r="P80" s="5">
        <f>IF($B79&lt;=Tabla5[[#This Row],[INVERSIONES FCI]],+Tabla5[[#This Row],[INVERSIONES FCI]]-P79,Tabla5[[#This Row],[INVERSIONES FCI]])</f>
        <v>17402021312.804977</v>
      </c>
      <c r="Q80" s="5">
        <f>IF($B79&lt;=Tabla5[[#This Row],[INVERSIONES FCI]],+Tabla5[[#This Row],[INVERSIONES FCI]]-Q79,Tabla5[[#This Row],[INVERSIONES FCI]])</f>
        <v>17402021312.804977</v>
      </c>
      <c r="R80" s="5">
        <f>IF($B79&lt;=Tabla5[[#This Row],[INVERSIONES FCI]],+Tabla5[[#This Row],[INVERSIONES FCI]]-R79,Tabla5[[#This Row],[INVERSIONES FCI]])</f>
        <v>17402021312.804977</v>
      </c>
      <c r="S80" s="5">
        <f>IF($B79&lt;=Tabla5[[#This Row],[INVERSIONES FCI]],+Tabla5[[#This Row],[INVERSIONES FCI]]-S79,Tabla5[[#This Row],[INVERSIONES FCI]])</f>
        <v>17402021312.804977</v>
      </c>
      <c r="T80" s="5">
        <f>IF($B79&lt;=Tabla5[[#This Row],[INVERSIONES FCI]],+Tabla5[[#This Row],[INVERSIONES FCI]]-T79,Tabla5[[#This Row],[INVERSIONES FCI]])</f>
        <v>17402021312.804977</v>
      </c>
      <c r="U80" s="5">
        <f>IF($B79&lt;=Tabla5[[#This Row],[INVERSIONES FCI]],+Tabla5[[#This Row],[INVERSIONES FCI]]-U79,Tabla5[[#This Row],[INVERSIONES FCI]])</f>
        <v>17402021312.804977</v>
      </c>
      <c r="V80" s="5">
        <f>IF($B79&lt;=Tabla5[[#This Row],[INVERSIONES FCI]],+Tabla5[[#This Row],[INVERSIONES FCI]]-V79,Tabla5[[#This Row],[INVERSIONES FCI]])</f>
        <v>17402021312.804977</v>
      </c>
      <c r="W80" s="5">
        <f>IF($B79&lt;=Tabla5[[#This Row],[INVERSIONES FCI]],+Tabla5[[#This Row],[INVERSIONES FCI]]-W79,Tabla5[[#This Row],[INVERSIONES FCI]])</f>
        <v>17402021312.804977</v>
      </c>
      <c r="X80" s="5">
        <f>IF($B79&lt;=Tabla5[[#This Row],[INVERSIONES FCI]],+Tabla5[[#This Row],[INVERSIONES FCI]]-X79,Tabla5[[#This Row],[INVERSIONES FCI]])</f>
        <v>17402021312.804977</v>
      </c>
      <c r="Y80" s="5">
        <f>IF($B79&lt;=Tabla5[[#This Row],[INVERSIONES FCI]],+Tabla5[[#This Row],[INVERSIONES FCI]]-Y79,Tabla5[[#This Row],[INVERSIONES FCI]])</f>
        <v>17402021312.804977</v>
      </c>
      <c r="Z80" s="5">
        <f>IF($B79&lt;=Tabla5[[#This Row],[INVERSIONES FCI]],+Tabla5[[#This Row],[INVERSIONES FCI]]-Z79,Tabla5[[#This Row],[INVERSIONES FCI]])</f>
        <v>17402021312.804977</v>
      </c>
      <c r="AA80" s="5">
        <f>IF($B79&lt;=Tabla5[[#This Row],[INVERSIONES FCI]],+Tabla5[[#This Row],[INVERSIONES FCI]]-AA79,Tabla5[[#This Row],[INVERSIONES FCI]])</f>
        <v>17402021312.804977</v>
      </c>
      <c r="AB80" s="5">
        <f>IF($B79&lt;=Tabla5[[#This Row],[INVERSIONES FCI]],+Tabla5[[#This Row],[INVERSIONES FCI]]-AB79,Tabla5[[#This Row],[INVERSIONES FCI]])</f>
        <v>17402021312.804977</v>
      </c>
      <c r="AC80" s="5">
        <f>IF($B79&lt;=Tabla5[[#This Row],[INVERSIONES FCI]],+Tabla5[[#This Row],[INVERSIONES FCI]]-AC79,Tabla5[[#This Row],[INVERSIONES FCI]])</f>
        <v>17402021312.804977</v>
      </c>
      <c r="AD80" s="5">
        <f>IF($B79&lt;=Tabla5[[#This Row],[INVERSIONES FCI]],+Tabla5[[#This Row],[INVERSIONES FCI]]-AD79,Tabla5[[#This Row],[INVERSIONES FCI]])</f>
        <v>17402021312.804977</v>
      </c>
      <c r="AE80" s="5">
        <f>IF($B79&lt;=Tabla5[[#This Row],[INVERSIONES FCI]],+Tabla5[[#This Row],[INVERSIONES FCI]]-AE79,Tabla5[[#This Row],[INVERSIONES FCI]])</f>
        <v>17402021312.804977</v>
      </c>
      <c r="AF80" s="5">
        <f>IF($B79&lt;=Tabla5[[#This Row],[INVERSIONES FCI]],+Tabla5[[#This Row],[INVERSIONES FCI]]-AF79,Tabla5[[#This Row],[INVERSIONES FCI]])</f>
        <v>17402021312.804977</v>
      </c>
      <c r="AG80" s="5">
        <f>IF($B79&lt;=Tabla5[[#This Row],[INVERSIONES FCI]],+Tabla5[[#This Row],[INVERSIONES FCI]]-AG79,Tabla5[[#This Row],[INVERSIONES FCI]])</f>
        <v>17402021312.804977</v>
      </c>
      <c r="AH80" s="5">
        <f>IF($B79&lt;=Tabla5[[#This Row],[INVERSIONES FCI]],+Tabla5[[#This Row],[INVERSIONES FCI]]-AH79,Tabla5[[#This Row],[INVERSIONES FCI]])</f>
        <v>17402021312.804977</v>
      </c>
      <c r="AI80" s="5">
        <f>IF($B79&lt;=Tabla5[[#This Row],[INVERSIONES FCI]],+Tabla5[[#This Row],[INVERSIONES FCI]]-AI79,Tabla5[[#This Row],[INVERSIONES FCI]])</f>
        <v>17402021312.804977</v>
      </c>
      <c r="AJ80" s="5">
        <f>IF($B79&lt;=Tabla5[[#This Row],[INVERSIONES FCI]],+Tabla5[[#This Row],[INVERSIONES FCI]]-AJ79,Tabla5[[#This Row],[INVERSIONES FCI]])</f>
        <v>17402021312.804977</v>
      </c>
      <c r="AK80" s="5">
        <f>IF($B79&lt;=Tabla5[[#This Row],[INVERSIONES FCI]],+Tabla5[[#This Row],[INVERSIONES FCI]]-AK79,Tabla5[[#This Row],[INVERSIONES FCI]])</f>
        <v>17402021312.804977</v>
      </c>
      <c r="AL80" s="5">
        <f>IF($B79&lt;=Tabla5[[#This Row],[INVERSIONES FCI]],+Tabla5[[#This Row],[INVERSIONES FCI]]-AL79,Tabla5[[#This Row],[INVERSIONES FCI]])</f>
        <v>17402021312.804977</v>
      </c>
      <c r="AM80" s="5">
        <f>IF($B79&lt;=Tabla5[[#This Row],[INVERSIONES FCI]],+Tabla5[[#This Row],[INVERSIONES FCI]]-AM79,Tabla5[[#This Row],[INVERSIONES FCI]])</f>
        <v>17402021312.804977</v>
      </c>
      <c r="AN80" s="5">
        <f>IF($B79&lt;=Tabla5[[#This Row],[INVERSIONES FCI]],+Tabla5[[#This Row],[INVERSIONES FCI]]-AN79,Tabla5[[#This Row],[INVERSIONES FCI]])</f>
        <v>17402021312.804977</v>
      </c>
      <c r="AO80" s="5">
        <f>IF($B79&lt;=Tabla5[[#This Row],[INVERSIONES FCI]],+Tabla5[[#This Row],[INVERSIONES FCI]]-AO79,Tabla5[[#This Row],[INVERSIONES FCI]])</f>
        <v>17402021312.804977</v>
      </c>
      <c r="AP80" s="5">
        <f>IF($B79&lt;=Tabla5[[#This Row],[INVERSIONES FCI]],+Tabla5[[#This Row],[INVERSIONES FCI]]-AP79,Tabla5[[#This Row],[INVERSIONES FCI]])</f>
        <v>17402021312.804977</v>
      </c>
      <c r="AQ80" s="5">
        <f>IF($B79&lt;=Tabla5[[#This Row],[INVERSIONES FCI]],+Tabla5[[#This Row],[INVERSIONES FCI]]-AQ79,Tabla5[[#This Row],[INVERSIONES FCI]])</f>
        <v>17402021312.804977</v>
      </c>
      <c r="AR80" s="5">
        <f>IF($B79&lt;=Tabla5[[#This Row],[INVERSIONES FCI]],+Tabla5[[#This Row],[INVERSIONES FCI]]-AR79,Tabla5[[#This Row],[INVERSIONES FCI]])</f>
        <v>17402021312.804977</v>
      </c>
      <c r="AS80" s="5">
        <f>IF($B79&lt;=Tabla5[[#This Row],[INVERSIONES FCI]],+Tabla5[[#This Row],[INVERSIONES FCI]]-AS79,Tabla5[[#This Row],[INVERSIONES FCI]])</f>
        <v>17402021312.804977</v>
      </c>
      <c r="AT80" s="5">
        <f>IF($B79&lt;=Tabla5[[#This Row],[INVERSIONES FCI]],+Tabla5[[#This Row],[INVERSIONES FCI]]-AT79,Tabla5[[#This Row],[INVERSIONES FCI]])</f>
        <v>17402021312.804977</v>
      </c>
      <c r="AU80" s="5">
        <f>IF($B79&lt;=Tabla5[[#This Row],[INVERSIONES FCI]],+Tabla5[[#This Row],[INVERSIONES FCI]]-AU79,Tabla5[[#This Row],[INVERSIONES FCI]])</f>
        <v>17402021312.804977</v>
      </c>
      <c r="AV80" s="5">
        <f>IF($B79&lt;=Tabla5[[#This Row],[INVERSIONES FCI]],+Tabla5[[#This Row],[INVERSIONES FCI]]-AV79,Tabla5[[#This Row],[INVERSIONES FCI]])</f>
        <v>17402021312.804977</v>
      </c>
      <c r="AW80" s="5">
        <f>IF($B79&lt;=Tabla5[[#This Row],[INVERSIONES FCI]],+Tabla5[[#This Row],[INVERSIONES FCI]]-AW79,Tabla5[[#This Row],[INVERSIONES FCI]])</f>
        <v>17402021312.804977</v>
      </c>
      <c r="AX80" s="5">
        <f>IF($B79&lt;=Tabla5[[#This Row],[INVERSIONES FCI]],+Tabla5[[#This Row],[INVERSIONES FCI]]-AX79,Tabla5[[#This Row],[INVERSIONES FCI]])</f>
        <v>17402021312.804977</v>
      </c>
      <c r="AY80" s="5">
        <f>IF($B79&lt;=Tabla5[[#This Row],[INVERSIONES FCI]],+Tabla5[[#This Row],[INVERSIONES FCI]]-AY79,Tabla5[[#This Row],[INVERSIONES FCI]])</f>
        <v>17402021312.804977</v>
      </c>
      <c r="AZ80" s="5">
        <f>IF($B79&lt;=Tabla5[[#This Row],[INVERSIONES FCI]],+Tabla5[[#This Row],[INVERSIONES FCI]]-AZ79,Tabla5[[#This Row],[INVERSIONES FCI]])</f>
        <v>17402021312.804977</v>
      </c>
      <c r="BA80" s="5">
        <f>IF($B79&lt;=Tabla5[[#This Row],[INVERSIONES FCI]],+Tabla5[[#This Row],[INVERSIONES FCI]]-BA79,Tabla5[[#This Row],[INVERSIONES FCI]])</f>
        <v>17402021312.804977</v>
      </c>
      <c r="BB80" s="5">
        <f>IF($B79&lt;=Tabla5[[#This Row],[INVERSIONES FCI]],+Tabla5[[#This Row],[INVERSIONES FCI]]-BB79,Tabla5[[#This Row],[INVERSIONES FCI]])</f>
        <v>17402021312.804977</v>
      </c>
      <c r="BC80" s="5">
        <f>IF($B79&lt;=Tabla5[[#This Row],[INVERSIONES FCI]],+Tabla5[[#This Row],[INVERSIONES FCI]]-BC79,Tabla5[[#This Row],[INVERSIONES FCI]])</f>
        <v>17402021312.804977</v>
      </c>
      <c r="BD80" s="5">
        <f>IF($B79&lt;=Tabla5[[#This Row],[INVERSIONES FCI]],+Tabla5[[#This Row],[INVERSIONES FCI]]-BD79,Tabla5[[#This Row],[INVERSIONES FCI]])</f>
        <v>17402021312.804977</v>
      </c>
      <c r="BE80" s="5">
        <f>IF($B79&lt;=Tabla5[[#This Row],[INVERSIONES FCI]],+Tabla5[[#This Row],[INVERSIONES FCI]]-BE79,Tabla5[[#This Row],[INVERSIONES FCI]])</f>
        <v>17402021312.804977</v>
      </c>
      <c r="BF80" s="5">
        <f>IF($B79&lt;=Tabla5[[#This Row],[INVERSIONES FCI]],+Tabla5[[#This Row],[INVERSIONES FCI]]-BF79,Tabla5[[#This Row],[INVERSIONES FCI]])</f>
        <v>17402021312.804977</v>
      </c>
      <c r="BG80" s="5">
        <f>IF($B79&lt;=Tabla5[[#This Row],[INVERSIONES FCI]],+Tabla5[[#This Row],[INVERSIONES FCI]]-BG79,Tabla5[[#This Row],[INVERSIONES FCI]])</f>
        <v>17402021312.804977</v>
      </c>
      <c r="BH80" s="5">
        <f>IF($B79&lt;=Tabla5[[#This Row],[INVERSIONES FCI]],+Tabla5[[#This Row],[INVERSIONES FCI]]-BH79,Tabla5[[#This Row],[INVERSIONES FCI]])</f>
        <v>17402021312.804977</v>
      </c>
      <c r="BI80" s="5">
        <f>IF($B79&lt;=Tabla5[[#This Row],[INVERSIONES FCI]],+Tabla5[[#This Row],[INVERSIONES FCI]]-BI79,Tabla5[[#This Row],[INVERSIONES FCI]])</f>
        <v>17402021312.804977</v>
      </c>
      <c r="BJ80" s="5">
        <f>IF($B79&lt;=Tabla5[[#This Row],[INVERSIONES FCI]],+Tabla5[[#This Row],[INVERSIONES FCI]]-BJ79,Tabla5[[#This Row],[INVERSIONES FCI]])</f>
        <v>17402021312.804977</v>
      </c>
      <c r="BK80" s="5">
        <f>IF($B79&lt;=Tabla5[[#This Row],[INVERSIONES FCI]],+Tabla5[[#This Row],[INVERSIONES FCI]]-BK79,Tabla5[[#This Row],[INVERSIONES FCI]])</f>
        <v>17402021312.804977</v>
      </c>
      <c r="BL80" s="5">
        <f>IF($B79&lt;=Tabla5[[#This Row],[INVERSIONES FCI]],+Tabla5[[#This Row],[INVERSIONES FCI]]-BL79,Tabla5[[#This Row],[INVERSIONES FCI]])</f>
        <v>17402021312.804977</v>
      </c>
      <c r="BM80" s="5">
        <f>IF($B79&lt;=Tabla5[[#This Row],[INVERSIONES FCI]],+Tabla5[[#This Row],[INVERSIONES FCI]]-BM79,Tabla5[[#This Row],[INVERSIONES FCI]])</f>
        <v>17402021312.804977</v>
      </c>
      <c r="BN80" s="5">
        <f>IF($B79&lt;=Tabla5[[#This Row],[INVERSIONES FCI]],+Tabla5[[#This Row],[INVERSIONES FCI]]-BN79,Tabla5[[#This Row],[INVERSIONES FCI]])</f>
        <v>17402021312.804977</v>
      </c>
      <c r="BO80" s="5">
        <f>IF($B79&lt;=Tabla5[[#This Row],[INVERSIONES FCI]],+Tabla5[[#This Row],[INVERSIONES FCI]]-BO79,Tabla5[[#This Row],[INVERSIONES FCI]])</f>
        <v>17402021312.804977</v>
      </c>
      <c r="BP80" s="5">
        <f>IF($B79&lt;=Tabla5[[#This Row],[INVERSIONES FCI]],+Tabla5[[#This Row],[INVERSIONES FCI]]-BP79,Tabla5[[#This Row],[INVERSIONES FCI]])</f>
        <v>17402021312.804977</v>
      </c>
      <c r="BQ80" s="5">
        <f>IF($B79&lt;=Tabla5[[#This Row],[INVERSIONES FCI]],+Tabla5[[#This Row],[INVERSIONES FCI]]-BQ79,Tabla5[[#This Row],[INVERSIONES FCI]])</f>
        <v>17402021312.804977</v>
      </c>
      <c r="BR80" s="5">
        <f>IF($B79&lt;=Tabla5[[#This Row],[INVERSIONES FCI]],+Tabla5[[#This Row],[INVERSIONES FCI]]-BR79,Tabla5[[#This Row],[INVERSIONES FCI]])</f>
        <v>17402021312.804977</v>
      </c>
      <c r="BS80" s="5">
        <f>IF($B79&lt;=Tabla5[[#This Row],[INVERSIONES FCI]],+Tabla5[[#This Row],[INVERSIONES FCI]]-BS79,Tabla5[[#This Row],[INVERSIONES FCI]])</f>
        <v>17402021312.804977</v>
      </c>
      <c r="BT80" s="5">
        <f>IF($B79&lt;=Tabla5[[#This Row],[INVERSIONES FCI]],+Tabla5[[#This Row],[INVERSIONES FCI]]-BT79,Tabla5[[#This Row],[INVERSIONES FCI]])</f>
        <v>17402021312.804977</v>
      </c>
      <c r="BU80" s="5">
        <f>IF($B79&lt;=Tabla5[[#This Row],[INVERSIONES FCI]],+Tabla5[[#This Row],[INVERSIONES FCI]]-BU79,Tabla5[[#This Row],[INVERSIONES FCI]])</f>
        <v>17402021312.804977</v>
      </c>
      <c r="BV80" s="5">
        <f>IF($B79&lt;=Tabla5[[#This Row],[INVERSIONES FCI]],+Tabla5[[#This Row],[INVERSIONES FCI]]-BV79,Tabla5[[#This Row],[INVERSIONES FCI]])</f>
        <v>17402021312.804977</v>
      </c>
      <c r="BW80" s="5">
        <f>IF($B79&lt;=Tabla5[[#This Row],[INVERSIONES FCI]],+Tabla5[[#This Row],[INVERSIONES FCI]]-BW79,Tabla5[[#This Row],[INVERSIONES FCI]])</f>
        <v>17402021312.804977</v>
      </c>
      <c r="BX80" s="5">
        <f>IF($B79&lt;=Tabla5[[#This Row],[INVERSIONES FCI]],+Tabla5[[#This Row],[INVERSIONES FCI]]-BX79,Tabla5[[#This Row],[INVERSIONES FCI]])</f>
        <v>17402021312.804977</v>
      </c>
      <c r="BY80" s="5">
        <f>IF($B79&lt;=Tabla5[[#This Row],[INVERSIONES FCI]],+Tabla5[[#This Row],[INVERSIONES FCI]]-BY79,Tabla5[[#This Row],[INVERSIONES FCI]])</f>
        <v>17402021312.804977</v>
      </c>
      <c r="BZ80" s="5">
        <f>IF($B79&lt;=Tabla5[[#This Row],[INVERSIONES FCI]],+Tabla5[[#This Row],[INVERSIONES FCI]]-BZ79,Tabla5[[#This Row],[INVERSIONES FCI]])</f>
        <v>17402021312.804977</v>
      </c>
      <c r="CA80" s="5">
        <f>IF($B79&lt;=Tabla5[[#This Row],[INVERSIONES FCI]],+Tabla5[[#This Row],[INVERSIONES FCI]]-CA79,Tabla5[[#This Row],[INVERSIONES FCI]])</f>
        <v>17402021312.804977</v>
      </c>
      <c r="CB80" s="5">
        <f>IF($B79&lt;=Tabla5[[#This Row],[INVERSIONES FCI]],+Tabla5[[#This Row],[INVERSIONES FCI]]-CB79,Tabla5[[#This Row],[INVERSIONES FCI]])</f>
        <v>17402021312.804977</v>
      </c>
      <c r="CC80" s="5" cm="1">
        <f t="array" ref="CC80">IF(Tabla5[[#This Row],[FCI]]=0,0,_xlfn.XLOOKUP(TRUE,$B80:CB80&gt;0,$B80:CB80,"",0,-1))</f>
        <v>17402021312.804977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</row>
    <row r="81" spans="1:121" ht="14.4">
      <c r="A81" s="12" t="s">
        <v>80</v>
      </c>
      <c r="B81" s="5">
        <f>HLOOKUP($A81,ESCENARIO[#All],7,FALSE)</f>
        <v>18737394934.81966</v>
      </c>
      <c r="C81" s="5">
        <f>IF($B80&lt;=Tabla5[[#This Row],[INVERSIONES FCI]],+Tabla5[[#This Row],[INVERSIONES FCI]]-C80,Tabla5[[#This Row],[INVERSIONES FCI]])</f>
        <v>1335373622.0146828</v>
      </c>
      <c r="D81" s="5">
        <f>IF($B80&lt;=Tabla5[[#This Row],[INVERSIONES FCI]],+Tabla5[[#This Row],[INVERSIONES FCI]]-D80,Tabla5[[#This Row],[INVERSIONES FCI]])</f>
        <v>1335373622.0146828</v>
      </c>
      <c r="E81" s="5">
        <f>IF($B80&lt;=Tabla5[[#This Row],[INVERSIONES FCI]],+Tabla5[[#This Row],[INVERSIONES FCI]]-E80,Tabla5[[#This Row],[INVERSIONES FCI]])</f>
        <v>1335373622.0146828</v>
      </c>
      <c r="F81" s="5">
        <f>IF($B80&lt;=Tabla5[[#This Row],[INVERSIONES FCI]],+Tabla5[[#This Row],[INVERSIONES FCI]]-F80,Tabla5[[#This Row],[INVERSIONES FCI]])</f>
        <v>1335373622.0146828</v>
      </c>
      <c r="G81" s="5">
        <f>IF($B80&lt;=Tabla5[[#This Row],[INVERSIONES FCI]],+Tabla5[[#This Row],[INVERSIONES FCI]]-G80,Tabla5[[#This Row],[INVERSIONES FCI]])</f>
        <v>1335373622.0146828</v>
      </c>
      <c r="H81" s="5">
        <f>IF($B80&lt;=Tabla5[[#This Row],[INVERSIONES FCI]],+Tabla5[[#This Row],[INVERSIONES FCI]]-H80,Tabla5[[#This Row],[INVERSIONES FCI]])</f>
        <v>1335373622.0146828</v>
      </c>
      <c r="I81" s="5">
        <f>IF($B80&lt;=Tabla5[[#This Row],[INVERSIONES FCI]],+Tabla5[[#This Row],[INVERSIONES FCI]]-I80,Tabla5[[#This Row],[INVERSIONES FCI]])</f>
        <v>1335373622.0146828</v>
      </c>
      <c r="J81" s="5">
        <f>IF($B80&lt;=Tabla5[[#This Row],[INVERSIONES FCI]],+Tabla5[[#This Row],[INVERSIONES FCI]]-J80,Tabla5[[#This Row],[INVERSIONES FCI]])</f>
        <v>1335373622.0146828</v>
      </c>
      <c r="K81" s="5">
        <f>IF($B80&lt;=Tabla5[[#This Row],[INVERSIONES FCI]],+Tabla5[[#This Row],[INVERSIONES FCI]]-K80,Tabla5[[#This Row],[INVERSIONES FCI]])</f>
        <v>1335373622.0146828</v>
      </c>
      <c r="L81" s="5">
        <f>IF($B80&lt;=Tabla5[[#This Row],[INVERSIONES FCI]],+Tabla5[[#This Row],[INVERSIONES FCI]]-L80,Tabla5[[#This Row],[INVERSIONES FCI]])</f>
        <v>1335373622.0146828</v>
      </c>
      <c r="M81" s="5">
        <f>IF($B80&lt;=Tabla5[[#This Row],[INVERSIONES FCI]],+Tabla5[[#This Row],[INVERSIONES FCI]]-M80,Tabla5[[#This Row],[INVERSIONES FCI]])</f>
        <v>1335373622.0146828</v>
      </c>
      <c r="N81" s="5">
        <f>IF($B80&lt;=Tabla5[[#This Row],[INVERSIONES FCI]],+Tabla5[[#This Row],[INVERSIONES FCI]]-N80,Tabla5[[#This Row],[INVERSIONES FCI]])</f>
        <v>1335373622.0146828</v>
      </c>
      <c r="O81" s="5">
        <f>IF($B80&lt;=Tabla5[[#This Row],[INVERSIONES FCI]],+Tabla5[[#This Row],[INVERSIONES FCI]]-O80,Tabla5[[#This Row],[INVERSIONES FCI]])</f>
        <v>1335373622.0146828</v>
      </c>
      <c r="P81" s="5">
        <f>IF($B80&lt;=Tabla5[[#This Row],[INVERSIONES FCI]],+Tabla5[[#This Row],[INVERSIONES FCI]]-P80,Tabla5[[#This Row],[INVERSIONES FCI]])</f>
        <v>1335373622.0146828</v>
      </c>
      <c r="Q81" s="5">
        <f>IF($B80&lt;=Tabla5[[#This Row],[INVERSIONES FCI]],+Tabla5[[#This Row],[INVERSIONES FCI]]-Q80,Tabla5[[#This Row],[INVERSIONES FCI]])</f>
        <v>1335373622.0146828</v>
      </c>
      <c r="R81" s="5">
        <f>IF($B80&lt;=Tabla5[[#This Row],[INVERSIONES FCI]],+Tabla5[[#This Row],[INVERSIONES FCI]]-R80,Tabla5[[#This Row],[INVERSIONES FCI]])</f>
        <v>1335373622.0146828</v>
      </c>
      <c r="S81" s="5">
        <f>IF($B80&lt;=Tabla5[[#This Row],[INVERSIONES FCI]],+Tabla5[[#This Row],[INVERSIONES FCI]]-S80,Tabla5[[#This Row],[INVERSIONES FCI]])</f>
        <v>1335373622.0146828</v>
      </c>
      <c r="T81" s="5">
        <f>IF($B80&lt;=Tabla5[[#This Row],[INVERSIONES FCI]],+Tabla5[[#This Row],[INVERSIONES FCI]]-T80,Tabla5[[#This Row],[INVERSIONES FCI]])</f>
        <v>1335373622.0146828</v>
      </c>
      <c r="U81" s="5">
        <f>IF($B80&lt;=Tabla5[[#This Row],[INVERSIONES FCI]],+Tabla5[[#This Row],[INVERSIONES FCI]]-U80,Tabla5[[#This Row],[INVERSIONES FCI]])</f>
        <v>1335373622.0146828</v>
      </c>
      <c r="V81" s="5">
        <f>IF($B80&lt;=Tabla5[[#This Row],[INVERSIONES FCI]],+Tabla5[[#This Row],[INVERSIONES FCI]]-V80,Tabla5[[#This Row],[INVERSIONES FCI]])</f>
        <v>1335373622.0146828</v>
      </c>
      <c r="W81" s="5">
        <f>IF($B80&lt;=Tabla5[[#This Row],[INVERSIONES FCI]],+Tabla5[[#This Row],[INVERSIONES FCI]]-W80,Tabla5[[#This Row],[INVERSIONES FCI]])</f>
        <v>1335373622.0146828</v>
      </c>
      <c r="X81" s="5">
        <f>IF($B80&lt;=Tabla5[[#This Row],[INVERSIONES FCI]],+Tabla5[[#This Row],[INVERSIONES FCI]]-X80,Tabla5[[#This Row],[INVERSIONES FCI]])</f>
        <v>1335373622.0146828</v>
      </c>
      <c r="Y81" s="5">
        <f>IF($B80&lt;=Tabla5[[#This Row],[INVERSIONES FCI]],+Tabla5[[#This Row],[INVERSIONES FCI]]-Y80,Tabla5[[#This Row],[INVERSIONES FCI]])</f>
        <v>1335373622.0146828</v>
      </c>
      <c r="Z81" s="5">
        <f>IF($B80&lt;=Tabla5[[#This Row],[INVERSIONES FCI]],+Tabla5[[#This Row],[INVERSIONES FCI]]-Z80,Tabla5[[#This Row],[INVERSIONES FCI]])</f>
        <v>1335373622.0146828</v>
      </c>
      <c r="AA81" s="5">
        <f>IF($B80&lt;=Tabla5[[#This Row],[INVERSIONES FCI]],+Tabla5[[#This Row],[INVERSIONES FCI]]-AA80,Tabla5[[#This Row],[INVERSIONES FCI]])</f>
        <v>1335373622.0146828</v>
      </c>
      <c r="AB81" s="5">
        <f>IF($B80&lt;=Tabla5[[#This Row],[INVERSIONES FCI]],+Tabla5[[#This Row],[INVERSIONES FCI]]-AB80,Tabla5[[#This Row],[INVERSIONES FCI]])</f>
        <v>1335373622.0146828</v>
      </c>
      <c r="AC81" s="5">
        <f>IF($B80&lt;=Tabla5[[#This Row],[INVERSIONES FCI]],+Tabla5[[#This Row],[INVERSIONES FCI]]-AC80,Tabla5[[#This Row],[INVERSIONES FCI]])</f>
        <v>1335373622.0146828</v>
      </c>
      <c r="AD81" s="5">
        <f>IF($B80&lt;=Tabla5[[#This Row],[INVERSIONES FCI]],+Tabla5[[#This Row],[INVERSIONES FCI]]-AD80,Tabla5[[#This Row],[INVERSIONES FCI]])</f>
        <v>1335373622.0146828</v>
      </c>
      <c r="AE81" s="5">
        <f>IF($B80&lt;=Tabla5[[#This Row],[INVERSIONES FCI]],+Tabla5[[#This Row],[INVERSIONES FCI]]-AE80,Tabla5[[#This Row],[INVERSIONES FCI]])</f>
        <v>1335373622.0146828</v>
      </c>
      <c r="AF81" s="5">
        <f>IF($B80&lt;=Tabla5[[#This Row],[INVERSIONES FCI]],+Tabla5[[#This Row],[INVERSIONES FCI]]-AF80,Tabla5[[#This Row],[INVERSIONES FCI]])</f>
        <v>1335373622.0146828</v>
      </c>
      <c r="AG81" s="5">
        <f>IF($B80&lt;=Tabla5[[#This Row],[INVERSIONES FCI]],+Tabla5[[#This Row],[INVERSIONES FCI]]-AG80,Tabla5[[#This Row],[INVERSIONES FCI]])</f>
        <v>1335373622.0146828</v>
      </c>
      <c r="AH81" s="5">
        <f>IF($B80&lt;=Tabla5[[#This Row],[INVERSIONES FCI]],+Tabla5[[#This Row],[INVERSIONES FCI]]-AH80,Tabla5[[#This Row],[INVERSIONES FCI]])</f>
        <v>1335373622.0146828</v>
      </c>
      <c r="AI81" s="5">
        <f>IF($B80&lt;=Tabla5[[#This Row],[INVERSIONES FCI]],+Tabla5[[#This Row],[INVERSIONES FCI]]-AI80,Tabla5[[#This Row],[INVERSIONES FCI]])</f>
        <v>1335373622.0146828</v>
      </c>
      <c r="AJ81" s="5">
        <f>IF($B80&lt;=Tabla5[[#This Row],[INVERSIONES FCI]],+Tabla5[[#This Row],[INVERSIONES FCI]]-AJ80,Tabla5[[#This Row],[INVERSIONES FCI]])</f>
        <v>1335373622.0146828</v>
      </c>
      <c r="AK81" s="5">
        <f>IF($B80&lt;=Tabla5[[#This Row],[INVERSIONES FCI]],+Tabla5[[#This Row],[INVERSIONES FCI]]-AK80,Tabla5[[#This Row],[INVERSIONES FCI]])</f>
        <v>1335373622.0146828</v>
      </c>
      <c r="AL81" s="5">
        <f>IF($B80&lt;=Tabla5[[#This Row],[INVERSIONES FCI]],+Tabla5[[#This Row],[INVERSIONES FCI]]-AL80,Tabla5[[#This Row],[INVERSIONES FCI]])</f>
        <v>1335373622.0146828</v>
      </c>
      <c r="AM81" s="5">
        <f>IF($B80&lt;=Tabla5[[#This Row],[INVERSIONES FCI]],+Tabla5[[#This Row],[INVERSIONES FCI]]-AM80,Tabla5[[#This Row],[INVERSIONES FCI]])</f>
        <v>1335373622.0146828</v>
      </c>
      <c r="AN81" s="5">
        <f>IF($B80&lt;=Tabla5[[#This Row],[INVERSIONES FCI]],+Tabla5[[#This Row],[INVERSIONES FCI]]-AN80,Tabla5[[#This Row],[INVERSIONES FCI]])</f>
        <v>1335373622.0146828</v>
      </c>
      <c r="AO81" s="5">
        <f>IF($B80&lt;=Tabla5[[#This Row],[INVERSIONES FCI]],+Tabla5[[#This Row],[INVERSIONES FCI]]-AO80,Tabla5[[#This Row],[INVERSIONES FCI]])</f>
        <v>1335373622.0146828</v>
      </c>
      <c r="AP81" s="5">
        <f>IF($B80&lt;=Tabla5[[#This Row],[INVERSIONES FCI]],+Tabla5[[#This Row],[INVERSIONES FCI]]-AP80,Tabla5[[#This Row],[INVERSIONES FCI]])</f>
        <v>1335373622.0146828</v>
      </c>
      <c r="AQ81" s="5">
        <f>IF($B80&lt;=Tabla5[[#This Row],[INVERSIONES FCI]],+Tabla5[[#This Row],[INVERSIONES FCI]]-AQ80,Tabla5[[#This Row],[INVERSIONES FCI]])</f>
        <v>1335373622.0146828</v>
      </c>
      <c r="AR81" s="5">
        <f>IF($B80&lt;=Tabla5[[#This Row],[INVERSIONES FCI]],+Tabla5[[#This Row],[INVERSIONES FCI]]-AR80,Tabla5[[#This Row],[INVERSIONES FCI]])</f>
        <v>1335373622.0146828</v>
      </c>
      <c r="AS81" s="5">
        <f>IF($B80&lt;=Tabla5[[#This Row],[INVERSIONES FCI]],+Tabla5[[#This Row],[INVERSIONES FCI]]-AS80,Tabla5[[#This Row],[INVERSIONES FCI]])</f>
        <v>1335373622.0146828</v>
      </c>
      <c r="AT81" s="5">
        <f>IF($B80&lt;=Tabla5[[#This Row],[INVERSIONES FCI]],+Tabla5[[#This Row],[INVERSIONES FCI]]-AT80,Tabla5[[#This Row],[INVERSIONES FCI]])</f>
        <v>1335373622.0146828</v>
      </c>
      <c r="AU81" s="5">
        <f>IF($B80&lt;=Tabla5[[#This Row],[INVERSIONES FCI]],+Tabla5[[#This Row],[INVERSIONES FCI]]-AU80,Tabla5[[#This Row],[INVERSIONES FCI]])</f>
        <v>1335373622.0146828</v>
      </c>
      <c r="AV81" s="5">
        <f>IF($B80&lt;=Tabla5[[#This Row],[INVERSIONES FCI]],+Tabla5[[#This Row],[INVERSIONES FCI]]-AV80,Tabla5[[#This Row],[INVERSIONES FCI]])</f>
        <v>1335373622.0146828</v>
      </c>
      <c r="AW81" s="5">
        <f>IF($B80&lt;=Tabla5[[#This Row],[INVERSIONES FCI]],+Tabla5[[#This Row],[INVERSIONES FCI]]-AW80,Tabla5[[#This Row],[INVERSIONES FCI]])</f>
        <v>1335373622.0146828</v>
      </c>
      <c r="AX81" s="5">
        <f>IF($B80&lt;=Tabla5[[#This Row],[INVERSIONES FCI]],+Tabla5[[#This Row],[INVERSIONES FCI]]-AX80,Tabla5[[#This Row],[INVERSIONES FCI]])</f>
        <v>1335373622.0146828</v>
      </c>
      <c r="AY81" s="5">
        <f>IF($B80&lt;=Tabla5[[#This Row],[INVERSIONES FCI]],+Tabla5[[#This Row],[INVERSIONES FCI]]-AY80,Tabla5[[#This Row],[INVERSIONES FCI]])</f>
        <v>1335373622.0146828</v>
      </c>
      <c r="AZ81" s="5">
        <f>IF($B80&lt;=Tabla5[[#This Row],[INVERSIONES FCI]],+Tabla5[[#This Row],[INVERSIONES FCI]]-AZ80,Tabla5[[#This Row],[INVERSIONES FCI]])</f>
        <v>1335373622.0146828</v>
      </c>
      <c r="BA81" s="5">
        <f>IF($B80&lt;=Tabla5[[#This Row],[INVERSIONES FCI]],+Tabla5[[#This Row],[INVERSIONES FCI]]-BA80,Tabla5[[#This Row],[INVERSIONES FCI]])</f>
        <v>1335373622.0146828</v>
      </c>
      <c r="BB81" s="5">
        <f>IF($B80&lt;=Tabla5[[#This Row],[INVERSIONES FCI]],+Tabla5[[#This Row],[INVERSIONES FCI]]-BB80,Tabla5[[#This Row],[INVERSIONES FCI]])</f>
        <v>1335373622.0146828</v>
      </c>
      <c r="BC81" s="5">
        <f>IF($B80&lt;=Tabla5[[#This Row],[INVERSIONES FCI]],+Tabla5[[#This Row],[INVERSIONES FCI]]-BC80,Tabla5[[#This Row],[INVERSIONES FCI]])</f>
        <v>1335373622.0146828</v>
      </c>
      <c r="BD81" s="5">
        <f>IF($B80&lt;=Tabla5[[#This Row],[INVERSIONES FCI]],+Tabla5[[#This Row],[INVERSIONES FCI]]-BD80,Tabla5[[#This Row],[INVERSIONES FCI]])</f>
        <v>1335373622.0146828</v>
      </c>
      <c r="BE81" s="5">
        <f>IF($B80&lt;=Tabla5[[#This Row],[INVERSIONES FCI]],+Tabla5[[#This Row],[INVERSIONES FCI]]-BE80,Tabla5[[#This Row],[INVERSIONES FCI]])</f>
        <v>1335373622.0146828</v>
      </c>
      <c r="BF81" s="5">
        <f>IF($B80&lt;=Tabla5[[#This Row],[INVERSIONES FCI]],+Tabla5[[#This Row],[INVERSIONES FCI]]-BF80,Tabla5[[#This Row],[INVERSIONES FCI]])</f>
        <v>1335373622.0146828</v>
      </c>
      <c r="BG81" s="5">
        <f>IF($B80&lt;=Tabla5[[#This Row],[INVERSIONES FCI]],+Tabla5[[#This Row],[INVERSIONES FCI]]-BG80,Tabla5[[#This Row],[INVERSIONES FCI]])</f>
        <v>1335373622.0146828</v>
      </c>
      <c r="BH81" s="5">
        <f>IF($B80&lt;=Tabla5[[#This Row],[INVERSIONES FCI]],+Tabla5[[#This Row],[INVERSIONES FCI]]-BH80,Tabla5[[#This Row],[INVERSIONES FCI]])</f>
        <v>1335373622.0146828</v>
      </c>
      <c r="BI81" s="5">
        <f>IF($B80&lt;=Tabla5[[#This Row],[INVERSIONES FCI]],+Tabla5[[#This Row],[INVERSIONES FCI]]-BI80,Tabla5[[#This Row],[INVERSIONES FCI]])</f>
        <v>1335373622.0146828</v>
      </c>
      <c r="BJ81" s="5">
        <f>IF($B80&lt;=Tabla5[[#This Row],[INVERSIONES FCI]],+Tabla5[[#This Row],[INVERSIONES FCI]]-BJ80,Tabla5[[#This Row],[INVERSIONES FCI]])</f>
        <v>1335373622.0146828</v>
      </c>
      <c r="BK81" s="5">
        <f>IF($B80&lt;=Tabla5[[#This Row],[INVERSIONES FCI]],+Tabla5[[#This Row],[INVERSIONES FCI]]-BK80,Tabla5[[#This Row],[INVERSIONES FCI]])</f>
        <v>1335373622.0146828</v>
      </c>
      <c r="BL81" s="5">
        <f>IF($B80&lt;=Tabla5[[#This Row],[INVERSIONES FCI]],+Tabla5[[#This Row],[INVERSIONES FCI]]-BL80,Tabla5[[#This Row],[INVERSIONES FCI]])</f>
        <v>1335373622.0146828</v>
      </c>
      <c r="BM81" s="5">
        <f>IF($B80&lt;=Tabla5[[#This Row],[INVERSIONES FCI]],+Tabla5[[#This Row],[INVERSIONES FCI]]-BM80,Tabla5[[#This Row],[INVERSIONES FCI]])</f>
        <v>1335373622.0146828</v>
      </c>
      <c r="BN81" s="5">
        <f>IF($B80&lt;=Tabla5[[#This Row],[INVERSIONES FCI]],+Tabla5[[#This Row],[INVERSIONES FCI]]-BN80,Tabla5[[#This Row],[INVERSIONES FCI]])</f>
        <v>1335373622.0146828</v>
      </c>
      <c r="BO81" s="5">
        <f>IF($B80&lt;=Tabla5[[#This Row],[INVERSIONES FCI]],+Tabla5[[#This Row],[INVERSIONES FCI]]-BO80,Tabla5[[#This Row],[INVERSIONES FCI]])</f>
        <v>1335373622.0146828</v>
      </c>
      <c r="BP81" s="5">
        <f>IF($B80&lt;=Tabla5[[#This Row],[INVERSIONES FCI]],+Tabla5[[#This Row],[INVERSIONES FCI]]-BP80,Tabla5[[#This Row],[INVERSIONES FCI]])</f>
        <v>1335373622.0146828</v>
      </c>
      <c r="BQ81" s="5">
        <f>IF($B80&lt;=Tabla5[[#This Row],[INVERSIONES FCI]],+Tabla5[[#This Row],[INVERSIONES FCI]]-BQ80,Tabla5[[#This Row],[INVERSIONES FCI]])</f>
        <v>1335373622.0146828</v>
      </c>
      <c r="BR81" s="5">
        <f>IF($B80&lt;=Tabla5[[#This Row],[INVERSIONES FCI]],+Tabla5[[#This Row],[INVERSIONES FCI]]-BR80,Tabla5[[#This Row],[INVERSIONES FCI]])</f>
        <v>1335373622.0146828</v>
      </c>
      <c r="BS81" s="5">
        <f>IF($B80&lt;=Tabla5[[#This Row],[INVERSIONES FCI]],+Tabla5[[#This Row],[INVERSIONES FCI]]-BS80,Tabla5[[#This Row],[INVERSIONES FCI]])</f>
        <v>1335373622.0146828</v>
      </c>
      <c r="BT81" s="5">
        <f>IF($B80&lt;=Tabla5[[#This Row],[INVERSIONES FCI]],+Tabla5[[#This Row],[INVERSIONES FCI]]-BT80,Tabla5[[#This Row],[INVERSIONES FCI]])</f>
        <v>1335373622.0146828</v>
      </c>
      <c r="BU81" s="5">
        <f>IF($B80&lt;=Tabla5[[#This Row],[INVERSIONES FCI]],+Tabla5[[#This Row],[INVERSIONES FCI]]-BU80,Tabla5[[#This Row],[INVERSIONES FCI]])</f>
        <v>1335373622.0146828</v>
      </c>
      <c r="BV81" s="5">
        <f>IF($B80&lt;=Tabla5[[#This Row],[INVERSIONES FCI]],+Tabla5[[#This Row],[INVERSIONES FCI]]-BV80,Tabla5[[#This Row],[INVERSIONES FCI]])</f>
        <v>1335373622.0146828</v>
      </c>
      <c r="BW81" s="5">
        <f>IF($B80&lt;=Tabla5[[#This Row],[INVERSIONES FCI]],+Tabla5[[#This Row],[INVERSIONES FCI]]-BW80,Tabla5[[#This Row],[INVERSIONES FCI]])</f>
        <v>1335373622.0146828</v>
      </c>
      <c r="BX81" s="5">
        <f>IF($B80&lt;=Tabla5[[#This Row],[INVERSIONES FCI]],+Tabla5[[#This Row],[INVERSIONES FCI]]-BX80,Tabla5[[#This Row],[INVERSIONES FCI]])</f>
        <v>1335373622.0146828</v>
      </c>
      <c r="BY81" s="5">
        <f>IF($B80&lt;=Tabla5[[#This Row],[INVERSIONES FCI]],+Tabla5[[#This Row],[INVERSIONES FCI]]-BY80,Tabla5[[#This Row],[INVERSIONES FCI]])</f>
        <v>1335373622.0146828</v>
      </c>
      <c r="BZ81" s="5">
        <f>IF($B80&lt;=Tabla5[[#This Row],[INVERSIONES FCI]],+Tabla5[[#This Row],[INVERSIONES FCI]]-BZ80,Tabla5[[#This Row],[INVERSIONES FCI]])</f>
        <v>1335373622.0146828</v>
      </c>
      <c r="CA81" s="5">
        <f>IF($B80&lt;=Tabla5[[#This Row],[INVERSIONES FCI]],+Tabla5[[#This Row],[INVERSIONES FCI]]-CA80,Tabla5[[#This Row],[INVERSIONES FCI]])</f>
        <v>1335373622.0146828</v>
      </c>
      <c r="CB81" s="5">
        <f>IF($B80&lt;=Tabla5[[#This Row],[INVERSIONES FCI]],+Tabla5[[#This Row],[INVERSIONES FCI]]-CB80,Tabla5[[#This Row],[INVERSIONES FCI]])</f>
        <v>1335373622.0146828</v>
      </c>
      <c r="CC81" s="5">
        <f>IF($B80&lt;=Tabla5[[#This Row],[INVERSIONES FCI]],+Tabla5[[#This Row],[INVERSIONES FCI]]-CC80,Tabla5[[#This Row],[INVERSIONES FCI]])</f>
        <v>1335373622.0146828</v>
      </c>
      <c r="CD81" s="5" cm="1">
        <f t="array" ref="CD81">IF(Tabla5[[#This Row],[FCI]]=0,0,_xlfn.XLOOKUP(TRUE,$B81:CC81&gt;0,$B81:CC81,"",0,-1))</f>
        <v>1335373622.0146828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</row>
    <row r="82" spans="1:121" ht="14.4">
      <c r="A82" s="12" t="s">
        <v>81</v>
      </c>
      <c r="B82" s="5">
        <f>HLOOKUP($A82,ESCENARIO[#All],7,FALSE)</f>
        <v>20380658642.396107</v>
      </c>
      <c r="C82" s="5">
        <f>IF($B81&lt;=Tabla5[[#This Row],[INVERSIONES FCI]],+Tabla5[[#This Row],[INVERSIONES FCI]]-C81,Tabla5[[#This Row],[INVERSIONES FCI]])</f>
        <v>19045285020.381424</v>
      </c>
      <c r="D82" s="5">
        <f>IF($B81&lt;=Tabla5[[#This Row],[INVERSIONES FCI]],+Tabla5[[#This Row],[INVERSIONES FCI]]-D81,Tabla5[[#This Row],[INVERSIONES FCI]])</f>
        <v>19045285020.381424</v>
      </c>
      <c r="E82" s="5">
        <f>IF($B81&lt;=Tabla5[[#This Row],[INVERSIONES FCI]],+Tabla5[[#This Row],[INVERSIONES FCI]]-E81,Tabla5[[#This Row],[INVERSIONES FCI]])</f>
        <v>19045285020.381424</v>
      </c>
      <c r="F82" s="5">
        <f>IF($B81&lt;=Tabla5[[#This Row],[INVERSIONES FCI]],+Tabla5[[#This Row],[INVERSIONES FCI]]-F81,Tabla5[[#This Row],[INVERSIONES FCI]])</f>
        <v>19045285020.381424</v>
      </c>
      <c r="G82" s="5">
        <f>IF($B81&lt;=Tabla5[[#This Row],[INVERSIONES FCI]],+Tabla5[[#This Row],[INVERSIONES FCI]]-G81,Tabla5[[#This Row],[INVERSIONES FCI]])</f>
        <v>19045285020.381424</v>
      </c>
      <c r="H82" s="5">
        <f>IF($B81&lt;=Tabla5[[#This Row],[INVERSIONES FCI]],+Tabla5[[#This Row],[INVERSIONES FCI]]-H81,Tabla5[[#This Row],[INVERSIONES FCI]])</f>
        <v>19045285020.381424</v>
      </c>
      <c r="I82" s="5">
        <f>IF($B81&lt;=Tabla5[[#This Row],[INVERSIONES FCI]],+Tabla5[[#This Row],[INVERSIONES FCI]]-I81,Tabla5[[#This Row],[INVERSIONES FCI]])</f>
        <v>19045285020.381424</v>
      </c>
      <c r="J82" s="5">
        <f>IF($B81&lt;=Tabla5[[#This Row],[INVERSIONES FCI]],+Tabla5[[#This Row],[INVERSIONES FCI]]-J81,Tabla5[[#This Row],[INVERSIONES FCI]])</f>
        <v>19045285020.381424</v>
      </c>
      <c r="K82" s="5">
        <f>IF($B81&lt;=Tabla5[[#This Row],[INVERSIONES FCI]],+Tabla5[[#This Row],[INVERSIONES FCI]]-K81,Tabla5[[#This Row],[INVERSIONES FCI]])</f>
        <v>19045285020.381424</v>
      </c>
      <c r="L82" s="5">
        <f>IF($B81&lt;=Tabla5[[#This Row],[INVERSIONES FCI]],+Tabla5[[#This Row],[INVERSIONES FCI]]-L81,Tabla5[[#This Row],[INVERSIONES FCI]])</f>
        <v>19045285020.381424</v>
      </c>
      <c r="M82" s="5">
        <f>IF($B81&lt;=Tabla5[[#This Row],[INVERSIONES FCI]],+Tabla5[[#This Row],[INVERSIONES FCI]]-M81,Tabla5[[#This Row],[INVERSIONES FCI]])</f>
        <v>19045285020.381424</v>
      </c>
      <c r="N82" s="5">
        <f>IF($B81&lt;=Tabla5[[#This Row],[INVERSIONES FCI]],+Tabla5[[#This Row],[INVERSIONES FCI]]-N81,Tabla5[[#This Row],[INVERSIONES FCI]])</f>
        <v>19045285020.381424</v>
      </c>
      <c r="O82" s="5">
        <f>IF($B81&lt;=Tabla5[[#This Row],[INVERSIONES FCI]],+Tabla5[[#This Row],[INVERSIONES FCI]]-O81,Tabla5[[#This Row],[INVERSIONES FCI]])</f>
        <v>19045285020.381424</v>
      </c>
      <c r="P82" s="5">
        <f>IF($B81&lt;=Tabla5[[#This Row],[INVERSIONES FCI]],+Tabla5[[#This Row],[INVERSIONES FCI]]-P81,Tabla5[[#This Row],[INVERSIONES FCI]])</f>
        <v>19045285020.381424</v>
      </c>
      <c r="Q82" s="5">
        <f>IF($B81&lt;=Tabla5[[#This Row],[INVERSIONES FCI]],+Tabla5[[#This Row],[INVERSIONES FCI]]-Q81,Tabla5[[#This Row],[INVERSIONES FCI]])</f>
        <v>19045285020.381424</v>
      </c>
      <c r="R82" s="5">
        <f>IF($B81&lt;=Tabla5[[#This Row],[INVERSIONES FCI]],+Tabla5[[#This Row],[INVERSIONES FCI]]-R81,Tabla5[[#This Row],[INVERSIONES FCI]])</f>
        <v>19045285020.381424</v>
      </c>
      <c r="S82" s="5">
        <f>IF($B81&lt;=Tabla5[[#This Row],[INVERSIONES FCI]],+Tabla5[[#This Row],[INVERSIONES FCI]]-S81,Tabla5[[#This Row],[INVERSIONES FCI]])</f>
        <v>19045285020.381424</v>
      </c>
      <c r="T82" s="5">
        <f>IF($B81&lt;=Tabla5[[#This Row],[INVERSIONES FCI]],+Tabla5[[#This Row],[INVERSIONES FCI]]-T81,Tabla5[[#This Row],[INVERSIONES FCI]])</f>
        <v>19045285020.381424</v>
      </c>
      <c r="U82" s="5">
        <f>IF($B81&lt;=Tabla5[[#This Row],[INVERSIONES FCI]],+Tabla5[[#This Row],[INVERSIONES FCI]]-U81,Tabla5[[#This Row],[INVERSIONES FCI]])</f>
        <v>19045285020.381424</v>
      </c>
      <c r="V82" s="5">
        <f>IF($B81&lt;=Tabla5[[#This Row],[INVERSIONES FCI]],+Tabla5[[#This Row],[INVERSIONES FCI]]-V81,Tabla5[[#This Row],[INVERSIONES FCI]])</f>
        <v>19045285020.381424</v>
      </c>
      <c r="W82" s="5">
        <f>IF($B81&lt;=Tabla5[[#This Row],[INVERSIONES FCI]],+Tabla5[[#This Row],[INVERSIONES FCI]]-W81,Tabla5[[#This Row],[INVERSIONES FCI]])</f>
        <v>19045285020.381424</v>
      </c>
      <c r="X82" s="5">
        <f>IF($B81&lt;=Tabla5[[#This Row],[INVERSIONES FCI]],+Tabla5[[#This Row],[INVERSIONES FCI]]-X81,Tabla5[[#This Row],[INVERSIONES FCI]])</f>
        <v>19045285020.381424</v>
      </c>
      <c r="Y82" s="5">
        <f>IF($B81&lt;=Tabla5[[#This Row],[INVERSIONES FCI]],+Tabla5[[#This Row],[INVERSIONES FCI]]-Y81,Tabla5[[#This Row],[INVERSIONES FCI]])</f>
        <v>19045285020.381424</v>
      </c>
      <c r="Z82" s="5">
        <f>IF($B81&lt;=Tabla5[[#This Row],[INVERSIONES FCI]],+Tabla5[[#This Row],[INVERSIONES FCI]]-Z81,Tabla5[[#This Row],[INVERSIONES FCI]])</f>
        <v>19045285020.381424</v>
      </c>
      <c r="AA82" s="5">
        <f>IF($B81&lt;=Tabla5[[#This Row],[INVERSIONES FCI]],+Tabla5[[#This Row],[INVERSIONES FCI]]-AA81,Tabla5[[#This Row],[INVERSIONES FCI]])</f>
        <v>19045285020.381424</v>
      </c>
      <c r="AB82" s="5">
        <f>IF($B81&lt;=Tabla5[[#This Row],[INVERSIONES FCI]],+Tabla5[[#This Row],[INVERSIONES FCI]]-AB81,Tabla5[[#This Row],[INVERSIONES FCI]])</f>
        <v>19045285020.381424</v>
      </c>
      <c r="AC82" s="5">
        <f>IF($B81&lt;=Tabla5[[#This Row],[INVERSIONES FCI]],+Tabla5[[#This Row],[INVERSIONES FCI]]-AC81,Tabla5[[#This Row],[INVERSIONES FCI]])</f>
        <v>19045285020.381424</v>
      </c>
      <c r="AD82" s="5">
        <f>IF($B81&lt;=Tabla5[[#This Row],[INVERSIONES FCI]],+Tabla5[[#This Row],[INVERSIONES FCI]]-AD81,Tabla5[[#This Row],[INVERSIONES FCI]])</f>
        <v>19045285020.381424</v>
      </c>
      <c r="AE82" s="5">
        <f>IF($B81&lt;=Tabla5[[#This Row],[INVERSIONES FCI]],+Tabla5[[#This Row],[INVERSIONES FCI]]-AE81,Tabla5[[#This Row],[INVERSIONES FCI]])</f>
        <v>19045285020.381424</v>
      </c>
      <c r="AF82" s="5">
        <f>IF($B81&lt;=Tabla5[[#This Row],[INVERSIONES FCI]],+Tabla5[[#This Row],[INVERSIONES FCI]]-AF81,Tabla5[[#This Row],[INVERSIONES FCI]])</f>
        <v>19045285020.381424</v>
      </c>
      <c r="AG82" s="5">
        <f>IF($B81&lt;=Tabla5[[#This Row],[INVERSIONES FCI]],+Tabla5[[#This Row],[INVERSIONES FCI]]-AG81,Tabla5[[#This Row],[INVERSIONES FCI]])</f>
        <v>19045285020.381424</v>
      </c>
      <c r="AH82" s="5">
        <f>IF($B81&lt;=Tabla5[[#This Row],[INVERSIONES FCI]],+Tabla5[[#This Row],[INVERSIONES FCI]]-AH81,Tabla5[[#This Row],[INVERSIONES FCI]])</f>
        <v>19045285020.381424</v>
      </c>
      <c r="AI82" s="5">
        <f>IF($B81&lt;=Tabla5[[#This Row],[INVERSIONES FCI]],+Tabla5[[#This Row],[INVERSIONES FCI]]-AI81,Tabla5[[#This Row],[INVERSIONES FCI]])</f>
        <v>19045285020.381424</v>
      </c>
      <c r="AJ82" s="5">
        <f>IF($B81&lt;=Tabla5[[#This Row],[INVERSIONES FCI]],+Tabla5[[#This Row],[INVERSIONES FCI]]-AJ81,Tabla5[[#This Row],[INVERSIONES FCI]])</f>
        <v>19045285020.381424</v>
      </c>
      <c r="AK82" s="5">
        <f>IF($B81&lt;=Tabla5[[#This Row],[INVERSIONES FCI]],+Tabla5[[#This Row],[INVERSIONES FCI]]-AK81,Tabla5[[#This Row],[INVERSIONES FCI]])</f>
        <v>19045285020.381424</v>
      </c>
      <c r="AL82" s="5">
        <f>IF($B81&lt;=Tabla5[[#This Row],[INVERSIONES FCI]],+Tabla5[[#This Row],[INVERSIONES FCI]]-AL81,Tabla5[[#This Row],[INVERSIONES FCI]])</f>
        <v>19045285020.381424</v>
      </c>
      <c r="AM82" s="5">
        <f>IF($B81&lt;=Tabla5[[#This Row],[INVERSIONES FCI]],+Tabla5[[#This Row],[INVERSIONES FCI]]-AM81,Tabla5[[#This Row],[INVERSIONES FCI]])</f>
        <v>19045285020.381424</v>
      </c>
      <c r="AN82" s="5">
        <f>IF($B81&lt;=Tabla5[[#This Row],[INVERSIONES FCI]],+Tabla5[[#This Row],[INVERSIONES FCI]]-AN81,Tabla5[[#This Row],[INVERSIONES FCI]])</f>
        <v>19045285020.381424</v>
      </c>
      <c r="AO82" s="5">
        <f>IF($B81&lt;=Tabla5[[#This Row],[INVERSIONES FCI]],+Tabla5[[#This Row],[INVERSIONES FCI]]-AO81,Tabla5[[#This Row],[INVERSIONES FCI]])</f>
        <v>19045285020.381424</v>
      </c>
      <c r="AP82" s="5">
        <f>IF($B81&lt;=Tabla5[[#This Row],[INVERSIONES FCI]],+Tabla5[[#This Row],[INVERSIONES FCI]]-AP81,Tabla5[[#This Row],[INVERSIONES FCI]])</f>
        <v>19045285020.381424</v>
      </c>
      <c r="AQ82" s="5">
        <f>IF($B81&lt;=Tabla5[[#This Row],[INVERSIONES FCI]],+Tabla5[[#This Row],[INVERSIONES FCI]]-AQ81,Tabla5[[#This Row],[INVERSIONES FCI]])</f>
        <v>19045285020.381424</v>
      </c>
      <c r="AR82" s="5">
        <f>IF($B81&lt;=Tabla5[[#This Row],[INVERSIONES FCI]],+Tabla5[[#This Row],[INVERSIONES FCI]]-AR81,Tabla5[[#This Row],[INVERSIONES FCI]])</f>
        <v>19045285020.381424</v>
      </c>
      <c r="AS82" s="5">
        <f>IF($B81&lt;=Tabla5[[#This Row],[INVERSIONES FCI]],+Tabla5[[#This Row],[INVERSIONES FCI]]-AS81,Tabla5[[#This Row],[INVERSIONES FCI]])</f>
        <v>19045285020.381424</v>
      </c>
      <c r="AT82" s="5">
        <f>IF($B81&lt;=Tabla5[[#This Row],[INVERSIONES FCI]],+Tabla5[[#This Row],[INVERSIONES FCI]]-AT81,Tabla5[[#This Row],[INVERSIONES FCI]])</f>
        <v>19045285020.381424</v>
      </c>
      <c r="AU82" s="5">
        <f>IF($B81&lt;=Tabla5[[#This Row],[INVERSIONES FCI]],+Tabla5[[#This Row],[INVERSIONES FCI]]-AU81,Tabla5[[#This Row],[INVERSIONES FCI]])</f>
        <v>19045285020.381424</v>
      </c>
      <c r="AV82" s="5">
        <f>IF($B81&lt;=Tabla5[[#This Row],[INVERSIONES FCI]],+Tabla5[[#This Row],[INVERSIONES FCI]]-AV81,Tabla5[[#This Row],[INVERSIONES FCI]])</f>
        <v>19045285020.381424</v>
      </c>
      <c r="AW82" s="5">
        <f>IF($B81&lt;=Tabla5[[#This Row],[INVERSIONES FCI]],+Tabla5[[#This Row],[INVERSIONES FCI]]-AW81,Tabla5[[#This Row],[INVERSIONES FCI]])</f>
        <v>19045285020.381424</v>
      </c>
      <c r="AX82" s="5">
        <f>IF($B81&lt;=Tabla5[[#This Row],[INVERSIONES FCI]],+Tabla5[[#This Row],[INVERSIONES FCI]]-AX81,Tabla5[[#This Row],[INVERSIONES FCI]])</f>
        <v>19045285020.381424</v>
      </c>
      <c r="AY82" s="5">
        <f>IF($B81&lt;=Tabla5[[#This Row],[INVERSIONES FCI]],+Tabla5[[#This Row],[INVERSIONES FCI]]-AY81,Tabla5[[#This Row],[INVERSIONES FCI]])</f>
        <v>19045285020.381424</v>
      </c>
      <c r="AZ82" s="5">
        <f>IF($B81&lt;=Tabla5[[#This Row],[INVERSIONES FCI]],+Tabla5[[#This Row],[INVERSIONES FCI]]-AZ81,Tabla5[[#This Row],[INVERSIONES FCI]])</f>
        <v>19045285020.381424</v>
      </c>
      <c r="BA82" s="5">
        <f>IF($B81&lt;=Tabla5[[#This Row],[INVERSIONES FCI]],+Tabla5[[#This Row],[INVERSIONES FCI]]-BA81,Tabla5[[#This Row],[INVERSIONES FCI]])</f>
        <v>19045285020.381424</v>
      </c>
      <c r="BB82" s="5">
        <f>IF($B81&lt;=Tabla5[[#This Row],[INVERSIONES FCI]],+Tabla5[[#This Row],[INVERSIONES FCI]]-BB81,Tabla5[[#This Row],[INVERSIONES FCI]])</f>
        <v>19045285020.381424</v>
      </c>
      <c r="BC82" s="5">
        <f>IF($B81&lt;=Tabla5[[#This Row],[INVERSIONES FCI]],+Tabla5[[#This Row],[INVERSIONES FCI]]-BC81,Tabla5[[#This Row],[INVERSIONES FCI]])</f>
        <v>19045285020.381424</v>
      </c>
      <c r="BD82" s="5">
        <f>IF($B81&lt;=Tabla5[[#This Row],[INVERSIONES FCI]],+Tabla5[[#This Row],[INVERSIONES FCI]]-BD81,Tabla5[[#This Row],[INVERSIONES FCI]])</f>
        <v>19045285020.381424</v>
      </c>
      <c r="BE82" s="5">
        <f>IF($B81&lt;=Tabla5[[#This Row],[INVERSIONES FCI]],+Tabla5[[#This Row],[INVERSIONES FCI]]-BE81,Tabla5[[#This Row],[INVERSIONES FCI]])</f>
        <v>19045285020.381424</v>
      </c>
      <c r="BF82" s="5">
        <f>IF($B81&lt;=Tabla5[[#This Row],[INVERSIONES FCI]],+Tabla5[[#This Row],[INVERSIONES FCI]]-BF81,Tabla5[[#This Row],[INVERSIONES FCI]])</f>
        <v>19045285020.381424</v>
      </c>
      <c r="BG82" s="5">
        <f>IF($B81&lt;=Tabla5[[#This Row],[INVERSIONES FCI]],+Tabla5[[#This Row],[INVERSIONES FCI]]-BG81,Tabla5[[#This Row],[INVERSIONES FCI]])</f>
        <v>19045285020.381424</v>
      </c>
      <c r="BH82" s="5">
        <f>IF($B81&lt;=Tabla5[[#This Row],[INVERSIONES FCI]],+Tabla5[[#This Row],[INVERSIONES FCI]]-BH81,Tabla5[[#This Row],[INVERSIONES FCI]])</f>
        <v>19045285020.381424</v>
      </c>
      <c r="BI82" s="5">
        <f>IF($B81&lt;=Tabla5[[#This Row],[INVERSIONES FCI]],+Tabla5[[#This Row],[INVERSIONES FCI]]-BI81,Tabla5[[#This Row],[INVERSIONES FCI]])</f>
        <v>19045285020.381424</v>
      </c>
      <c r="BJ82" s="5">
        <f>IF($B81&lt;=Tabla5[[#This Row],[INVERSIONES FCI]],+Tabla5[[#This Row],[INVERSIONES FCI]]-BJ81,Tabla5[[#This Row],[INVERSIONES FCI]])</f>
        <v>19045285020.381424</v>
      </c>
      <c r="BK82" s="5">
        <f>IF($B81&lt;=Tabla5[[#This Row],[INVERSIONES FCI]],+Tabla5[[#This Row],[INVERSIONES FCI]]-BK81,Tabla5[[#This Row],[INVERSIONES FCI]])</f>
        <v>19045285020.381424</v>
      </c>
      <c r="BL82" s="5">
        <f>IF($B81&lt;=Tabla5[[#This Row],[INVERSIONES FCI]],+Tabla5[[#This Row],[INVERSIONES FCI]]-BL81,Tabla5[[#This Row],[INVERSIONES FCI]])</f>
        <v>19045285020.381424</v>
      </c>
      <c r="BM82" s="5">
        <f>IF($B81&lt;=Tabla5[[#This Row],[INVERSIONES FCI]],+Tabla5[[#This Row],[INVERSIONES FCI]]-BM81,Tabla5[[#This Row],[INVERSIONES FCI]])</f>
        <v>19045285020.381424</v>
      </c>
      <c r="BN82" s="5">
        <f>IF($B81&lt;=Tabla5[[#This Row],[INVERSIONES FCI]],+Tabla5[[#This Row],[INVERSIONES FCI]]-BN81,Tabla5[[#This Row],[INVERSIONES FCI]])</f>
        <v>19045285020.381424</v>
      </c>
      <c r="BO82" s="5">
        <f>IF($B81&lt;=Tabla5[[#This Row],[INVERSIONES FCI]],+Tabla5[[#This Row],[INVERSIONES FCI]]-BO81,Tabla5[[#This Row],[INVERSIONES FCI]])</f>
        <v>19045285020.381424</v>
      </c>
      <c r="BP82" s="5">
        <f>IF($B81&lt;=Tabla5[[#This Row],[INVERSIONES FCI]],+Tabla5[[#This Row],[INVERSIONES FCI]]-BP81,Tabla5[[#This Row],[INVERSIONES FCI]])</f>
        <v>19045285020.381424</v>
      </c>
      <c r="BQ82" s="5">
        <f>IF($B81&lt;=Tabla5[[#This Row],[INVERSIONES FCI]],+Tabla5[[#This Row],[INVERSIONES FCI]]-BQ81,Tabla5[[#This Row],[INVERSIONES FCI]])</f>
        <v>19045285020.381424</v>
      </c>
      <c r="BR82" s="5">
        <f>IF($B81&lt;=Tabla5[[#This Row],[INVERSIONES FCI]],+Tabla5[[#This Row],[INVERSIONES FCI]]-BR81,Tabla5[[#This Row],[INVERSIONES FCI]])</f>
        <v>19045285020.381424</v>
      </c>
      <c r="BS82" s="5">
        <f>IF($B81&lt;=Tabla5[[#This Row],[INVERSIONES FCI]],+Tabla5[[#This Row],[INVERSIONES FCI]]-BS81,Tabla5[[#This Row],[INVERSIONES FCI]])</f>
        <v>19045285020.381424</v>
      </c>
      <c r="BT82" s="5">
        <f>IF($B81&lt;=Tabla5[[#This Row],[INVERSIONES FCI]],+Tabla5[[#This Row],[INVERSIONES FCI]]-BT81,Tabla5[[#This Row],[INVERSIONES FCI]])</f>
        <v>19045285020.381424</v>
      </c>
      <c r="BU82" s="5">
        <f>IF($B81&lt;=Tabla5[[#This Row],[INVERSIONES FCI]],+Tabla5[[#This Row],[INVERSIONES FCI]]-BU81,Tabla5[[#This Row],[INVERSIONES FCI]])</f>
        <v>19045285020.381424</v>
      </c>
      <c r="BV82" s="5">
        <f>IF($B81&lt;=Tabla5[[#This Row],[INVERSIONES FCI]],+Tabla5[[#This Row],[INVERSIONES FCI]]-BV81,Tabla5[[#This Row],[INVERSIONES FCI]])</f>
        <v>19045285020.381424</v>
      </c>
      <c r="BW82" s="5">
        <f>IF($B81&lt;=Tabla5[[#This Row],[INVERSIONES FCI]],+Tabla5[[#This Row],[INVERSIONES FCI]]-BW81,Tabla5[[#This Row],[INVERSIONES FCI]])</f>
        <v>19045285020.381424</v>
      </c>
      <c r="BX82" s="5">
        <f>IF($B81&lt;=Tabla5[[#This Row],[INVERSIONES FCI]],+Tabla5[[#This Row],[INVERSIONES FCI]]-BX81,Tabla5[[#This Row],[INVERSIONES FCI]])</f>
        <v>19045285020.381424</v>
      </c>
      <c r="BY82" s="5">
        <f>IF($B81&lt;=Tabla5[[#This Row],[INVERSIONES FCI]],+Tabla5[[#This Row],[INVERSIONES FCI]]-BY81,Tabla5[[#This Row],[INVERSIONES FCI]])</f>
        <v>19045285020.381424</v>
      </c>
      <c r="BZ82" s="5">
        <f>IF($B81&lt;=Tabla5[[#This Row],[INVERSIONES FCI]],+Tabla5[[#This Row],[INVERSIONES FCI]]-BZ81,Tabla5[[#This Row],[INVERSIONES FCI]])</f>
        <v>19045285020.381424</v>
      </c>
      <c r="CA82" s="5">
        <f>IF($B81&lt;=Tabla5[[#This Row],[INVERSIONES FCI]],+Tabla5[[#This Row],[INVERSIONES FCI]]-CA81,Tabla5[[#This Row],[INVERSIONES FCI]])</f>
        <v>19045285020.381424</v>
      </c>
      <c r="CB82" s="5">
        <f>IF($B81&lt;=Tabla5[[#This Row],[INVERSIONES FCI]],+Tabla5[[#This Row],[INVERSIONES FCI]]-CB81,Tabla5[[#This Row],[INVERSIONES FCI]])</f>
        <v>19045285020.381424</v>
      </c>
      <c r="CC82" s="5">
        <f>IF($B81&lt;=Tabla5[[#This Row],[INVERSIONES FCI]],+Tabla5[[#This Row],[INVERSIONES FCI]]-CC81,Tabla5[[#This Row],[INVERSIONES FCI]])</f>
        <v>19045285020.381424</v>
      </c>
      <c r="CD82" s="5">
        <f>IF($B81&lt;=Tabla5[[#This Row],[INVERSIONES FCI]],+Tabla5[[#This Row],[INVERSIONES FCI]]-CD81,Tabla5[[#This Row],[INVERSIONES FCI]])</f>
        <v>19045285020.381424</v>
      </c>
      <c r="CE82" s="5" cm="1">
        <f t="array" ref="CE82">IF(Tabla5[[#This Row],[FCI]]=0,0,_xlfn.XLOOKUP(TRUE,$B82:CD82&gt;0,$B82:CD82,"",0,-1))</f>
        <v>19045285020.381424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</row>
    <row r="83" spans="1:121" ht="14.4">
      <c r="A83" s="12" t="s">
        <v>82</v>
      </c>
      <c r="B83" s="5">
        <f>HLOOKUP($A83,ESCENARIO[#All],7,FALSE)</f>
        <v>23063786052.528728</v>
      </c>
      <c r="C83" s="5">
        <f>IF($B82&lt;=Tabla5[[#This Row],[INVERSIONES FCI]],+Tabla5[[#This Row],[INVERSIONES FCI]]-C82,Tabla5[[#This Row],[INVERSIONES FCI]])</f>
        <v>4018501032.1473045</v>
      </c>
      <c r="D83" s="5">
        <f>IF($B82&lt;=Tabla5[[#This Row],[INVERSIONES FCI]],+Tabla5[[#This Row],[INVERSIONES FCI]]-D82,Tabla5[[#This Row],[INVERSIONES FCI]])</f>
        <v>4018501032.1473045</v>
      </c>
      <c r="E83" s="5">
        <f>IF($B82&lt;=Tabla5[[#This Row],[INVERSIONES FCI]],+Tabla5[[#This Row],[INVERSIONES FCI]]-E82,Tabla5[[#This Row],[INVERSIONES FCI]])</f>
        <v>4018501032.1473045</v>
      </c>
      <c r="F83" s="5">
        <f>IF($B82&lt;=Tabla5[[#This Row],[INVERSIONES FCI]],+Tabla5[[#This Row],[INVERSIONES FCI]]-F82,Tabla5[[#This Row],[INVERSIONES FCI]])</f>
        <v>4018501032.1473045</v>
      </c>
      <c r="G83" s="5">
        <f>IF($B82&lt;=Tabla5[[#This Row],[INVERSIONES FCI]],+Tabla5[[#This Row],[INVERSIONES FCI]]-G82,Tabla5[[#This Row],[INVERSIONES FCI]])</f>
        <v>4018501032.1473045</v>
      </c>
      <c r="H83" s="5">
        <f>IF($B82&lt;=Tabla5[[#This Row],[INVERSIONES FCI]],+Tabla5[[#This Row],[INVERSIONES FCI]]-H82,Tabla5[[#This Row],[INVERSIONES FCI]])</f>
        <v>4018501032.1473045</v>
      </c>
      <c r="I83" s="5">
        <f>IF($B82&lt;=Tabla5[[#This Row],[INVERSIONES FCI]],+Tabla5[[#This Row],[INVERSIONES FCI]]-I82,Tabla5[[#This Row],[INVERSIONES FCI]])</f>
        <v>4018501032.1473045</v>
      </c>
      <c r="J83" s="5">
        <f>IF($B82&lt;=Tabla5[[#This Row],[INVERSIONES FCI]],+Tabla5[[#This Row],[INVERSIONES FCI]]-J82,Tabla5[[#This Row],[INVERSIONES FCI]])</f>
        <v>4018501032.1473045</v>
      </c>
      <c r="K83" s="5">
        <f>IF($B82&lt;=Tabla5[[#This Row],[INVERSIONES FCI]],+Tabla5[[#This Row],[INVERSIONES FCI]]-K82,Tabla5[[#This Row],[INVERSIONES FCI]])</f>
        <v>4018501032.1473045</v>
      </c>
      <c r="L83" s="5">
        <f>IF($B82&lt;=Tabla5[[#This Row],[INVERSIONES FCI]],+Tabla5[[#This Row],[INVERSIONES FCI]]-L82,Tabla5[[#This Row],[INVERSIONES FCI]])</f>
        <v>4018501032.1473045</v>
      </c>
      <c r="M83" s="5">
        <f>IF($B82&lt;=Tabla5[[#This Row],[INVERSIONES FCI]],+Tabla5[[#This Row],[INVERSIONES FCI]]-M82,Tabla5[[#This Row],[INVERSIONES FCI]])</f>
        <v>4018501032.1473045</v>
      </c>
      <c r="N83" s="5">
        <f>IF($B82&lt;=Tabla5[[#This Row],[INVERSIONES FCI]],+Tabla5[[#This Row],[INVERSIONES FCI]]-N82,Tabla5[[#This Row],[INVERSIONES FCI]])</f>
        <v>4018501032.1473045</v>
      </c>
      <c r="O83" s="5">
        <f>IF($B82&lt;=Tabla5[[#This Row],[INVERSIONES FCI]],+Tabla5[[#This Row],[INVERSIONES FCI]]-O82,Tabla5[[#This Row],[INVERSIONES FCI]])</f>
        <v>4018501032.1473045</v>
      </c>
      <c r="P83" s="5">
        <f>IF($B82&lt;=Tabla5[[#This Row],[INVERSIONES FCI]],+Tabla5[[#This Row],[INVERSIONES FCI]]-P82,Tabla5[[#This Row],[INVERSIONES FCI]])</f>
        <v>4018501032.1473045</v>
      </c>
      <c r="Q83" s="5">
        <f>IF($B82&lt;=Tabla5[[#This Row],[INVERSIONES FCI]],+Tabla5[[#This Row],[INVERSIONES FCI]]-Q82,Tabla5[[#This Row],[INVERSIONES FCI]])</f>
        <v>4018501032.1473045</v>
      </c>
      <c r="R83" s="5">
        <f>IF($B82&lt;=Tabla5[[#This Row],[INVERSIONES FCI]],+Tabla5[[#This Row],[INVERSIONES FCI]]-R82,Tabla5[[#This Row],[INVERSIONES FCI]])</f>
        <v>4018501032.1473045</v>
      </c>
      <c r="S83" s="5">
        <f>IF($B82&lt;=Tabla5[[#This Row],[INVERSIONES FCI]],+Tabla5[[#This Row],[INVERSIONES FCI]]-S82,Tabla5[[#This Row],[INVERSIONES FCI]])</f>
        <v>4018501032.1473045</v>
      </c>
      <c r="T83" s="5">
        <f>IF($B82&lt;=Tabla5[[#This Row],[INVERSIONES FCI]],+Tabla5[[#This Row],[INVERSIONES FCI]]-T82,Tabla5[[#This Row],[INVERSIONES FCI]])</f>
        <v>4018501032.1473045</v>
      </c>
      <c r="U83" s="5">
        <f>IF($B82&lt;=Tabla5[[#This Row],[INVERSIONES FCI]],+Tabla5[[#This Row],[INVERSIONES FCI]]-U82,Tabla5[[#This Row],[INVERSIONES FCI]])</f>
        <v>4018501032.1473045</v>
      </c>
      <c r="V83" s="5">
        <f>IF($B82&lt;=Tabla5[[#This Row],[INVERSIONES FCI]],+Tabla5[[#This Row],[INVERSIONES FCI]]-V82,Tabla5[[#This Row],[INVERSIONES FCI]])</f>
        <v>4018501032.1473045</v>
      </c>
      <c r="W83" s="5">
        <f>IF($B82&lt;=Tabla5[[#This Row],[INVERSIONES FCI]],+Tabla5[[#This Row],[INVERSIONES FCI]]-W82,Tabla5[[#This Row],[INVERSIONES FCI]])</f>
        <v>4018501032.1473045</v>
      </c>
      <c r="X83" s="5">
        <f>IF($B82&lt;=Tabla5[[#This Row],[INVERSIONES FCI]],+Tabla5[[#This Row],[INVERSIONES FCI]]-X82,Tabla5[[#This Row],[INVERSIONES FCI]])</f>
        <v>4018501032.1473045</v>
      </c>
      <c r="Y83" s="5">
        <f>IF($B82&lt;=Tabla5[[#This Row],[INVERSIONES FCI]],+Tabla5[[#This Row],[INVERSIONES FCI]]-Y82,Tabla5[[#This Row],[INVERSIONES FCI]])</f>
        <v>4018501032.1473045</v>
      </c>
      <c r="Z83" s="5">
        <f>IF($B82&lt;=Tabla5[[#This Row],[INVERSIONES FCI]],+Tabla5[[#This Row],[INVERSIONES FCI]]-Z82,Tabla5[[#This Row],[INVERSIONES FCI]])</f>
        <v>4018501032.1473045</v>
      </c>
      <c r="AA83" s="5">
        <f>IF($B82&lt;=Tabla5[[#This Row],[INVERSIONES FCI]],+Tabla5[[#This Row],[INVERSIONES FCI]]-AA82,Tabla5[[#This Row],[INVERSIONES FCI]])</f>
        <v>4018501032.1473045</v>
      </c>
      <c r="AB83" s="5">
        <f>IF($B82&lt;=Tabla5[[#This Row],[INVERSIONES FCI]],+Tabla5[[#This Row],[INVERSIONES FCI]]-AB82,Tabla5[[#This Row],[INVERSIONES FCI]])</f>
        <v>4018501032.1473045</v>
      </c>
      <c r="AC83" s="5">
        <f>IF($B82&lt;=Tabla5[[#This Row],[INVERSIONES FCI]],+Tabla5[[#This Row],[INVERSIONES FCI]]-AC82,Tabla5[[#This Row],[INVERSIONES FCI]])</f>
        <v>4018501032.1473045</v>
      </c>
      <c r="AD83" s="5">
        <f>IF($B82&lt;=Tabla5[[#This Row],[INVERSIONES FCI]],+Tabla5[[#This Row],[INVERSIONES FCI]]-AD82,Tabla5[[#This Row],[INVERSIONES FCI]])</f>
        <v>4018501032.1473045</v>
      </c>
      <c r="AE83" s="5">
        <f>IF($B82&lt;=Tabla5[[#This Row],[INVERSIONES FCI]],+Tabla5[[#This Row],[INVERSIONES FCI]]-AE82,Tabla5[[#This Row],[INVERSIONES FCI]])</f>
        <v>4018501032.1473045</v>
      </c>
      <c r="AF83" s="5">
        <f>IF($B82&lt;=Tabla5[[#This Row],[INVERSIONES FCI]],+Tabla5[[#This Row],[INVERSIONES FCI]]-AF82,Tabla5[[#This Row],[INVERSIONES FCI]])</f>
        <v>4018501032.1473045</v>
      </c>
      <c r="AG83" s="5">
        <f>IF($B82&lt;=Tabla5[[#This Row],[INVERSIONES FCI]],+Tabla5[[#This Row],[INVERSIONES FCI]]-AG82,Tabla5[[#This Row],[INVERSIONES FCI]])</f>
        <v>4018501032.1473045</v>
      </c>
      <c r="AH83" s="5">
        <f>IF($B82&lt;=Tabla5[[#This Row],[INVERSIONES FCI]],+Tabla5[[#This Row],[INVERSIONES FCI]]-AH82,Tabla5[[#This Row],[INVERSIONES FCI]])</f>
        <v>4018501032.1473045</v>
      </c>
      <c r="AI83" s="5">
        <f>IF($B82&lt;=Tabla5[[#This Row],[INVERSIONES FCI]],+Tabla5[[#This Row],[INVERSIONES FCI]]-AI82,Tabla5[[#This Row],[INVERSIONES FCI]])</f>
        <v>4018501032.1473045</v>
      </c>
      <c r="AJ83" s="5">
        <f>IF($B82&lt;=Tabla5[[#This Row],[INVERSIONES FCI]],+Tabla5[[#This Row],[INVERSIONES FCI]]-AJ82,Tabla5[[#This Row],[INVERSIONES FCI]])</f>
        <v>4018501032.1473045</v>
      </c>
      <c r="AK83" s="5">
        <f>IF($B82&lt;=Tabla5[[#This Row],[INVERSIONES FCI]],+Tabla5[[#This Row],[INVERSIONES FCI]]-AK82,Tabla5[[#This Row],[INVERSIONES FCI]])</f>
        <v>4018501032.1473045</v>
      </c>
      <c r="AL83" s="5">
        <f>IF($B82&lt;=Tabla5[[#This Row],[INVERSIONES FCI]],+Tabla5[[#This Row],[INVERSIONES FCI]]-AL82,Tabla5[[#This Row],[INVERSIONES FCI]])</f>
        <v>4018501032.1473045</v>
      </c>
      <c r="AM83" s="5">
        <f>IF($B82&lt;=Tabla5[[#This Row],[INVERSIONES FCI]],+Tabla5[[#This Row],[INVERSIONES FCI]]-AM82,Tabla5[[#This Row],[INVERSIONES FCI]])</f>
        <v>4018501032.1473045</v>
      </c>
      <c r="AN83" s="5">
        <f>IF($B82&lt;=Tabla5[[#This Row],[INVERSIONES FCI]],+Tabla5[[#This Row],[INVERSIONES FCI]]-AN82,Tabla5[[#This Row],[INVERSIONES FCI]])</f>
        <v>4018501032.1473045</v>
      </c>
      <c r="AO83" s="5">
        <f>IF($B82&lt;=Tabla5[[#This Row],[INVERSIONES FCI]],+Tabla5[[#This Row],[INVERSIONES FCI]]-AO82,Tabla5[[#This Row],[INVERSIONES FCI]])</f>
        <v>4018501032.1473045</v>
      </c>
      <c r="AP83" s="5">
        <f>IF($B82&lt;=Tabla5[[#This Row],[INVERSIONES FCI]],+Tabla5[[#This Row],[INVERSIONES FCI]]-AP82,Tabla5[[#This Row],[INVERSIONES FCI]])</f>
        <v>4018501032.1473045</v>
      </c>
      <c r="AQ83" s="5">
        <f>IF($B82&lt;=Tabla5[[#This Row],[INVERSIONES FCI]],+Tabla5[[#This Row],[INVERSIONES FCI]]-AQ82,Tabla5[[#This Row],[INVERSIONES FCI]])</f>
        <v>4018501032.1473045</v>
      </c>
      <c r="AR83" s="5">
        <f>IF($B82&lt;=Tabla5[[#This Row],[INVERSIONES FCI]],+Tabla5[[#This Row],[INVERSIONES FCI]]-AR82,Tabla5[[#This Row],[INVERSIONES FCI]])</f>
        <v>4018501032.1473045</v>
      </c>
      <c r="AS83" s="5">
        <f>IF($B82&lt;=Tabla5[[#This Row],[INVERSIONES FCI]],+Tabla5[[#This Row],[INVERSIONES FCI]]-AS82,Tabla5[[#This Row],[INVERSIONES FCI]])</f>
        <v>4018501032.1473045</v>
      </c>
      <c r="AT83" s="5">
        <f>IF($B82&lt;=Tabla5[[#This Row],[INVERSIONES FCI]],+Tabla5[[#This Row],[INVERSIONES FCI]]-AT82,Tabla5[[#This Row],[INVERSIONES FCI]])</f>
        <v>4018501032.1473045</v>
      </c>
      <c r="AU83" s="5">
        <f>IF($B82&lt;=Tabla5[[#This Row],[INVERSIONES FCI]],+Tabla5[[#This Row],[INVERSIONES FCI]]-AU82,Tabla5[[#This Row],[INVERSIONES FCI]])</f>
        <v>4018501032.1473045</v>
      </c>
      <c r="AV83" s="5">
        <f>IF($B82&lt;=Tabla5[[#This Row],[INVERSIONES FCI]],+Tabla5[[#This Row],[INVERSIONES FCI]]-AV82,Tabla5[[#This Row],[INVERSIONES FCI]])</f>
        <v>4018501032.1473045</v>
      </c>
      <c r="AW83" s="5">
        <f>IF($B82&lt;=Tabla5[[#This Row],[INVERSIONES FCI]],+Tabla5[[#This Row],[INVERSIONES FCI]]-AW82,Tabla5[[#This Row],[INVERSIONES FCI]])</f>
        <v>4018501032.1473045</v>
      </c>
      <c r="AX83" s="5">
        <f>IF($B82&lt;=Tabla5[[#This Row],[INVERSIONES FCI]],+Tabla5[[#This Row],[INVERSIONES FCI]]-AX82,Tabla5[[#This Row],[INVERSIONES FCI]])</f>
        <v>4018501032.1473045</v>
      </c>
      <c r="AY83" s="5">
        <f>IF($B82&lt;=Tabla5[[#This Row],[INVERSIONES FCI]],+Tabla5[[#This Row],[INVERSIONES FCI]]-AY82,Tabla5[[#This Row],[INVERSIONES FCI]])</f>
        <v>4018501032.1473045</v>
      </c>
      <c r="AZ83" s="5">
        <f>IF($B82&lt;=Tabla5[[#This Row],[INVERSIONES FCI]],+Tabla5[[#This Row],[INVERSIONES FCI]]-AZ82,Tabla5[[#This Row],[INVERSIONES FCI]])</f>
        <v>4018501032.1473045</v>
      </c>
      <c r="BA83" s="5">
        <f>IF($B82&lt;=Tabla5[[#This Row],[INVERSIONES FCI]],+Tabla5[[#This Row],[INVERSIONES FCI]]-BA82,Tabla5[[#This Row],[INVERSIONES FCI]])</f>
        <v>4018501032.1473045</v>
      </c>
      <c r="BB83" s="5">
        <f>IF($B82&lt;=Tabla5[[#This Row],[INVERSIONES FCI]],+Tabla5[[#This Row],[INVERSIONES FCI]]-BB82,Tabla5[[#This Row],[INVERSIONES FCI]])</f>
        <v>4018501032.1473045</v>
      </c>
      <c r="BC83" s="5">
        <f>IF($B82&lt;=Tabla5[[#This Row],[INVERSIONES FCI]],+Tabla5[[#This Row],[INVERSIONES FCI]]-BC82,Tabla5[[#This Row],[INVERSIONES FCI]])</f>
        <v>4018501032.1473045</v>
      </c>
      <c r="BD83" s="5">
        <f>IF($B82&lt;=Tabla5[[#This Row],[INVERSIONES FCI]],+Tabla5[[#This Row],[INVERSIONES FCI]]-BD82,Tabla5[[#This Row],[INVERSIONES FCI]])</f>
        <v>4018501032.1473045</v>
      </c>
      <c r="BE83" s="5">
        <f>IF($B82&lt;=Tabla5[[#This Row],[INVERSIONES FCI]],+Tabla5[[#This Row],[INVERSIONES FCI]]-BE82,Tabla5[[#This Row],[INVERSIONES FCI]])</f>
        <v>4018501032.1473045</v>
      </c>
      <c r="BF83" s="5">
        <f>IF($B82&lt;=Tabla5[[#This Row],[INVERSIONES FCI]],+Tabla5[[#This Row],[INVERSIONES FCI]]-BF82,Tabla5[[#This Row],[INVERSIONES FCI]])</f>
        <v>4018501032.1473045</v>
      </c>
      <c r="BG83" s="5">
        <f>IF($B82&lt;=Tabla5[[#This Row],[INVERSIONES FCI]],+Tabla5[[#This Row],[INVERSIONES FCI]]-BG82,Tabla5[[#This Row],[INVERSIONES FCI]])</f>
        <v>4018501032.1473045</v>
      </c>
      <c r="BH83" s="5">
        <f>IF($B82&lt;=Tabla5[[#This Row],[INVERSIONES FCI]],+Tabla5[[#This Row],[INVERSIONES FCI]]-BH82,Tabla5[[#This Row],[INVERSIONES FCI]])</f>
        <v>4018501032.1473045</v>
      </c>
      <c r="BI83" s="5">
        <f>IF($B82&lt;=Tabla5[[#This Row],[INVERSIONES FCI]],+Tabla5[[#This Row],[INVERSIONES FCI]]-BI82,Tabla5[[#This Row],[INVERSIONES FCI]])</f>
        <v>4018501032.1473045</v>
      </c>
      <c r="BJ83" s="5">
        <f>IF($B82&lt;=Tabla5[[#This Row],[INVERSIONES FCI]],+Tabla5[[#This Row],[INVERSIONES FCI]]-BJ82,Tabla5[[#This Row],[INVERSIONES FCI]])</f>
        <v>4018501032.1473045</v>
      </c>
      <c r="BK83" s="5">
        <f>IF($B82&lt;=Tabla5[[#This Row],[INVERSIONES FCI]],+Tabla5[[#This Row],[INVERSIONES FCI]]-BK82,Tabla5[[#This Row],[INVERSIONES FCI]])</f>
        <v>4018501032.1473045</v>
      </c>
      <c r="BL83" s="5">
        <f>IF($B82&lt;=Tabla5[[#This Row],[INVERSIONES FCI]],+Tabla5[[#This Row],[INVERSIONES FCI]]-BL82,Tabla5[[#This Row],[INVERSIONES FCI]])</f>
        <v>4018501032.1473045</v>
      </c>
      <c r="BM83" s="5">
        <f>IF($B82&lt;=Tabla5[[#This Row],[INVERSIONES FCI]],+Tabla5[[#This Row],[INVERSIONES FCI]]-BM82,Tabla5[[#This Row],[INVERSIONES FCI]])</f>
        <v>4018501032.1473045</v>
      </c>
      <c r="BN83" s="5">
        <f>IF($B82&lt;=Tabla5[[#This Row],[INVERSIONES FCI]],+Tabla5[[#This Row],[INVERSIONES FCI]]-BN82,Tabla5[[#This Row],[INVERSIONES FCI]])</f>
        <v>4018501032.1473045</v>
      </c>
      <c r="BO83" s="5">
        <f>IF($B82&lt;=Tabla5[[#This Row],[INVERSIONES FCI]],+Tabla5[[#This Row],[INVERSIONES FCI]]-BO82,Tabla5[[#This Row],[INVERSIONES FCI]])</f>
        <v>4018501032.1473045</v>
      </c>
      <c r="BP83" s="5">
        <f>IF($B82&lt;=Tabla5[[#This Row],[INVERSIONES FCI]],+Tabla5[[#This Row],[INVERSIONES FCI]]-BP82,Tabla5[[#This Row],[INVERSIONES FCI]])</f>
        <v>4018501032.1473045</v>
      </c>
      <c r="BQ83" s="5">
        <f>IF($B82&lt;=Tabla5[[#This Row],[INVERSIONES FCI]],+Tabla5[[#This Row],[INVERSIONES FCI]]-BQ82,Tabla5[[#This Row],[INVERSIONES FCI]])</f>
        <v>4018501032.1473045</v>
      </c>
      <c r="BR83" s="5">
        <f>IF($B82&lt;=Tabla5[[#This Row],[INVERSIONES FCI]],+Tabla5[[#This Row],[INVERSIONES FCI]]-BR82,Tabla5[[#This Row],[INVERSIONES FCI]])</f>
        <v>4018501032.1473045</v>
      </c>
      <c r="BS83" s="5">
        <f>IF($B82&lt;=Tabla5[[#This Row],[INVERSIONES FCI]],+Tabla5[[#This Row],[INVERSIONES FCI]]-BS82,Tabla5[[#This Row],[INVERSIONES FCI]])</f>
        <v>4018501032.1473045</v>
      </c>
      <c r="BT83" s="5">
        <f>IF($B82&lt;=Tabla5[[#This Row],[INVERSIONES FCI]],+Tabla5[[#This Row],[INVERSIONES FCI]]-BT82,Tabla5[[#This Row],[INVERSIONES FCI]])</f>
        <v>4018501032.1473045</v>
      </c>
      <c r="BU83" s="5">
        <f>IF($B82&lt;=Tabla5[[#This Row],[INVERSIONES FCI]],+Tabla5[[#This Row],[INVERSIONES FCI]]-BU82,Tabla5[[#This Row],[INVERSIONES FCI]])</f>
        <v>4018501032.1473045</v>
      </c>
      <c r="BV83" s="5">
        <f>IF($B82&lt;=Tabla5[[#This Row],[INVERSIONES FCI]],+Tabla5[[#This Row],[INVERSIONES FCI]]-BV82,Tabla5[[#This Row],[INVERSIONES FCI]])</f>
        <v>4018501032.1473045</v>
      </c>
      <c r="BW83" s="5">
        <f>IF($B82&lt;=Tabla5[[#This Row],[INVERSIONES FCI]],+Tabla5[[#This Row],[INVERSIONES FCI]]-BW82,Tabla5[[#This Row],[INVERSIONES FCI]])</f>
        <v>4018501032.1473045</v>
      </c>
      <c r="BX83" s="5">
        <f>IF($B82&lt;=Tabla5[[#This Row],[INVERSIONES FCI]],+Tabla5[[#This Row],[INVERSIONES FCI]]-BX82,Tabla5[[#This Row],[INVERSIONES FCI]])</f>
        <v>4018501032.1473045</v>
      </c>
      <c r="BY83" s="5">
        <f>IF($B82&lt;=Tabla5[[#This Row],[INVERSIONES FCI]],+Tabla5[[#This Row],[INVERSIONES FCI]]-BY82,Tabla5[[#This Row],[INVERSIONES FCI]])</f>
        <v>4018501032.1473045</v>
      </c>
      <c r="BZ83" s="5">
        <f>IF($B82&lt;=Tabla5[[#This Row],[INVERSIONES FCI]],+Tabla5[[#This Row],[INVERSIONES FCI]]-BZ82,Tabla5[[#This Row],[INVERSIONES FCI]])</f>
        <v>4018501032.1473045</v>
      </c>
      <c r="CA83" s="5">
        <f>IF($B82&lt;=Tabla5[[#This Row],[INVERSIONES FCI]],+Tabla5[[#This Row],[INVERSIONES FCI]]-CA82,Tabla5[[#This Row],[INVERSIONES FCI]])</f>
        <v>4018501032.1473045</v>
      </c>
      <c r="CB83" s="5">
        <f>IF($B82&lt;=Tabla5[[#This Row],[INVERSIONES FCI]],+Tabla5[[#This Row],[INVERSIONES FCI]]-CB82,Tabla5[[#This Row],[INVERSIONES FCI]])</f>
        <v>4018501032.1473045</v>
      </c>
      <c r="CC83" s="5">
        <f>IF($B82&lt;=Tabla5[[#This Row],[INVERSIONES FCI]],+Tabla5[[#This Row],[INVERSIONES FCI]]-CC82,Tabla5[[#This Row],[INVERSIONES FCI]])</f>
        <v>4018501032.1473045</v>
      </c>
      <c r="CD83" s="5">
        <f>IF($B82&lt;=Tabla5[[#This Row],[INVERSIONES FCI]],+Tabla5[[#This Row],[INVERSIONES FCI]]-CD82,Tabla5[[#This Row],[INVERSIONES FCI]])</f>
        <v>4018501032.1473045</v>
      </c>
      <c r="CE83" s="5">
        <f>IF($B82&lt;=Tabla5[[#This Row],[INVERSIONES FCI]],+Tabla5[[#This Row],[INVERSIONES FCI]]-CE82,Tabla5[[#This Row],[INVERSIONES FCI]])</f>
        <v>4018501032.1473045</v>
      </c>
      <c r="CF83" s="5" cm="1">
        <f t="array" ref="CF83">IF(Tabla5[[#This Row],[FCI]]=0,0,_xlfn.XLOOKUP(TRUE,$B83:CE83&gt;0,$B83:CE83,"",0,-1))</f>
        <v>4018501032.1473045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</row>
    <row r="84" spans="1:121" ht="14.4">
      <c r="A84" s="12" t="s">
        <v>83</v>
      </c>
      <c r="B84" s="5">
        <f>HLOOKUP($A84,ESCENARIO[#All],7,FALSE)</f>
        <v>25844048002.211407</v>
      </c>
      <c r="C84" s="5">
        <f>IF($B83&lt;=Tabla5[[#This Row],[INVERSIONES FCI]],+Tabla5[[#This Row],[INVERSIONES FCI]]-C83,Tabla5[[#This Row],[INVERSIONES FCI]])</f>
        <v>21825546970.064102</v>
      </c>
      <c r="D84" s="5">
        <f>IF($B83&lt;=Tabla5[[#This Row],[INVERSIONES FCI]],+Tabla5[[#This Row],[INVERSIONES FCI]]-D83,Tabla5[[#This Row],[INVERSIONES FCI]])</f>
        <v>21825546970.064102</v>
      </c>
      <c r="E84" s="5">
        <f>IF($B83&lt;=Tabla5[[#This Row],[INVERSIONES FCI]],+Tabla5[[#This Row],[INVERSIONES FCI]]-E83,Tabla5[[#This Row],[INVERSIONES FCI]])</f>
        <v>21825546970.064102</v>
      </c>
      <c r="F84" s="5">
        <f>IF($B83&lt;=Tabla5[[#This Row],[INVERSIONES FCI]],+Tabla5[[#This Row],[INVERSIONES FCI]]-F83,Tabla5[[#This Row],[INVERSIONES FCI]])</f>
        <v>21825546970.064102</v>
      </c>
      <c r="G84" s="5">
        <f>IF($B83&lt;=Tabla5[[#This Row],[INVERSIONES FCI]],+Tabla5[[#This Row],[INVERSIONES FCI]]-G83,Tabla5[[#This Row],[INVERSIONES FCI]])</f>
        <v>21825546970.064102</v>
      </c>
      <c r="H84" s="5">
        <f>IF($B83&lt;=Tabla5[[#This Row],[INVERSIONES FCI]],+Tabla5[[#This Row],[INVERSIONES FCI]]-H83,Tabla5[[#This Row],[INVERSIONES FCI]])</f>
        <v>21825546970.064102</v>
      </c>
      <c r="I84" s="5">
        <f>IF($B83&lt;=Tabla5[[#This Row],[INVERSIONES FCI]],+Tabla5[[#This Row],[INVERSIONES FCI]]-I83,Tabla5[[#This Row],[INVERSIONES FCI]])</f>
        <v>21825546970.064102</v>
      </c>
      <c r="J84" s="5">
        <f>IF($B83&lt;=Tabla5[[#This Row],[INVERSIONES FCI]],+Tabla5[[#This Row],[INVERSIONES FCI]]-J83,Tabla5[[#This Row],[INVERSIONES FCI]])</f>
        <v>21825546970.064102</v>
      </c>
      <c r="K84" s="5">
        <f>IF($B83&lt;=Tabla5[[#This Row],[INVERSIONES FCI]],+Tabla5[[#This Row],[INVERSIONES FCI]]-K83,Tabla5[[#This Row],[INVERSIONES FCI]])</f>
        <v>21825546970.064102</v>
      </c>
      <c r="L84" s="5">
        <f>IF($B83&lt;=Tabla5[[#This Row],[INVERSIONES FCI]],+Tabla5[[#This Row],[INVERSIONES FCI]]-L83,Tabla5[[#This Row],[INVERSIONES FCI]])</f>
        <v>21825546970.064102</v>
      </c>
      <c r="M84" s="5">
        <f>IF($B83&lt;=Tabla5[[#This Row],[INVERSIONES FCI]],+Tabla5[[#This Row],[INVERSIONES FCI]]-M83,Tabla5[[#This Row],[INVERSIONES FCI]])</f>
        <v>21825546970.064102</v>
      </c>
      <c r="N84" s="5">
        <f>IF($B83&lt;=Tabla5[[#This Row],[INVERSIONES FCI]],+Tabla5[[#This Row],[INVERSIONES FCI]]-N83,Tabla5[[#This Row],[INVERSIONES FCI]])</f>
        <v>21825546970.064102</v>
      </c>
      <c r="O84" s="5">
        <f>IF($B83&lt;=Tabla5[[#This Row],[INVERSIONES FCI]],+Tabla5[[#This Row],[INVERSIONES FCI]]-O83,Tabla5[[#This Row],[INVERSIONES FCI]])</f>
        <v>21825546970.064102</v>
      </c>
      <c r="P84" s="5">
        <f>IF($B83&lt;=Tabla5[[#This Row],[INVERSIONES FCI]],+Tabla5[[#This Row],[INVERSIONES FCI]]-P83,Tabla5[[#This Row],[INVERSIONES FCI]])</f>
        <v>21825546970.064102</v>
      </c>
      <c r="Q84" s="5">
        <f>IF($B83&lt;=Tabla5[[#This Row],[INVERSIONES FCI]],+Tabla5[[#This Row],[INVERSIONES FCI]]-Q83,Tabla5[[#This Row],[INVERSIONES FCI]])</f>
        <v>21825546970.064102</v>
      </c>
      <c r="R84" s="5">
        <f>IF($B83&lt;=Tabla5[[#This Row],[INVERSIONES FCI]],+Tabla5[[#This Row],[INVERSIONES FCI]]-R83,Tabla5[[#This Row],[INVERSIONES FCI]])</f>
        <v>21825546970.064102</v>
      </c>
      <c r="S84" s="5">
        <f>IF($B83&lt;=Tabla5[[#This Row],[INVERSIONES FCI]],+Tabla5[[#This Row],[INVERSIONES FCI]]-S83,Tabla5[[#This Row],[INVERSIONES FCI]])</f>
        <v>21825546970.064102</v>
      </c>
      <c r="T84" s="5">
        <f>IF($B83&lt;=Tabla5[[#This Row],[INVERSIONES FCI]],+Tabla5[[#This Row],[INVERSIONES FCI]]-T83,Tabla5[[#This Row],[INVERSIONES FCI]])</f>
        <v>21825546970.064102</v>
      </c>
      <c r="U84" s="5">
        <f>IF($B83&lt;=Tabla5[[#This Row],[INVERSIONES FCI]],+Tabla5[[#This Row],[INVERSIONES FCI]]-U83,Tabla5[[#This Row],[INVERSIONES FCI]])</f>
        <v>21825546970.064102</v>
      </c>
      <c r="V84" s="5">
        <f>IF($B83&lt;=Tabla5[[#This Row],[INVERSIONES FCI]],+Tabla5[[#This Row],[INVERSIONES FCI]]-V83,Tabla5[[#This Row],[INVERSIONES FCI]])</f>
        <v>21825546970.064102</v>
      </c>
      <c r="W84" s="5">
        <f>IF($B83&lt;=Tabla5[[#This Row],[INVERSIONES FCI]],+Tabla5[[#This Row],[INVERSIONES FCI]]-W83,Tabla5[[#This Row],[INVERSIONES FCI]])</f>
        <v>21825546970.064102</v>
      </c>
      <c r="X84" s="5">
        <f>IF($B83&lt;=Tabla5[[#This Row],[INVERSIONES FCI]],+Tabla5[[#This Row],[INVERSIONES FCI]]-X83,Tabla5[[#This Row],[INVERSIONES FCI]])</f>
        <v>21825546970.064102</v>
      </c>
      <c r="Y84" s="5">
        <f>IF($B83&lt;=Tabla5[[#This Row],[INVERSIONES FCI]],+Tabla5[[#This Row],[INVERSIONES FCI]]-Y83,Tabla5[[#This Row],[INVERSIONES FCI]])</f>
        <v>21825546970.064102</v>
      </c>
      <c r="Z84" s="5">
        <f>IF($B83&lt;=Tabla5[[#This Row],[INVERSIONES FCI]],+Tabla5[[#This Row],[INVERSIONES FCI]]-Z83,Tabla5[[#This Row],[INVERSIONES FCI]])</f>
        <v>21825546970.064102</v>
      </c>
      <c r="AA84" s="5">
        <f>IF($B83&lt;=Tabla5[[#This Row],[INVERSIONES FCI]],+Tabla5[[#This Row],[INVERSIONES FCI]]-AA83,Tabla5[[#This Row],[INVERSIONES FCI]])</f>
        <v>21825546970.064102</v>
      </c>
      <c r="AB84" s="5">
        <f>IF($B83&lt;=Tabla5[[#This Row],[INVERSIONES FCI]],+Tabla5[[#This Row],[INVERSIONES FCI]]-AB83,Tabla5[[#This Row],[INVERSIONES FCI]])</f>
        <v>21825546970.064102</v>
      </c>
      <c r="AC84" s="5">
        <f>IF($B83&lt;=Tabla5[[#This Row],[INVERSIONES FCI]],+Tabla5[[#This Row],[INVERSIONES FCI]]-AC83,Tabla5[[#This Row],[INVERSIONES FCI]])</f>
        <v>21825546970.064102</v>
      </c>
      <c r="AD84" s="5">
        <f>IF($B83&lt;=Tabla5[[#This Row],[INVERSIONES FCI]],+Tabla5[[#This Row],[INVERSIONES FCI]]-AD83,Tabla5[[#This Row],[INVERSIONES FCI]])</f>
        <v>21825546970.064102</v>
      </c>
      <c r="AE84" s="5">
        <f>IF($B83&lt;=Tabla5[[#This Row],[INVERSIONES FCI]],+Tabla5[[#This Row],[INVERSIONES FCI]]-AE83,Tabla5[[#This Row],[INVERSIONES FCI]])</f>
        <v>21825546970.064102</v>
      </c>
      <c r="AF84" s="5">
        <f>IF($B83&lt;=Tabla5[[#This Row],[INVERSIONES FCI]],+Tabla5[[#This Row],[INVERSIONES FCI]]-AF83,Tabla5[[#This Row],[INVERSIONES FCI]])</f>
        <v>21825546970.064102</v>
      </c>
      <c r="AG84" s="5">
        <f>IF($B83&lt;=Tabla5[[#This Row],[INVERSIONES FCI]],+Tabla5[[#This Row],[INVERSIONES FCI]]-AG83,Tabla5[[#This Row],[INVERSIONES FCI]])</f>
        <v>21825546970.064102</v>
      </c>
      <c r="AH84" s="5">
        <f>IF($B83&lt;=Tabla5[[#This Row],[INVERSIONES FCI]],+Tabla5[[#This Row],[INVERSIONES FCI]]-AH83,Tabla5[[#This Row],[INVERSIONES FCI]])</f>
        <v>21825546970.064102</v>
      </c>
      <c r="AI84" s="5">
        <f>IF($B83&lt;=Tabla5[[#This Row],[INVERSIONES FCI]],+Tabla5[[#This Row],[INVERSIONES FCI]]-AI83,Tabla5[[#This Row],[INVERSIONES FCI]])</f>
        <v>21825546970.064102</v>
      </c>
      <c r="AJ84" s="5">
        <f>IF($B83&lt;=Tabla5[[#This Row],[INVERSIONES FCI]],+Tabla5[[#This Row],[INVERSIONES FCI]]-AJ83,Tabla5[[#This Row],[INVERSIONES FCI]])</f>
        <v>21825546970.064102</v>
      </c>
      <c r="AK84" s="5">
        <f>IF($B83&lt;=Tabla5[[#This Row],[INVERSIONES FCI]],+Tabla5[[#This Row],[INVERSIONES FCI]]-AK83,Tabla5[[#This Row],[INVERSIONES FCI]])</f>
        <v>21825546970.064102</v>
      </c>
      <c r="AL84" s="5">
        <f>IF($B83&lt;=Tabla5[[#This Row],[INVERSIONES FCI]],+Tabla5[[#This Row],[INVERSIONES FCI]]-AL83,Tabla5[[#This Row],[INVERSIONES FCI]])</f>
        <v>21825546970.064102</v>
      </c>
      <c r="AM84" s="5">
        <f>IF($B83&lt;=Tabla5[[#This Row],[INVERSIONES FCI]],+Tabla5[[#This Row],[INVERSIONES FCI]]-AM83,Tabla5[[#This Row],[INVERSIONES FCI]])</f>
        <v>21825546970.064102</v>
      </c>
      <c r="AN84" s="5">
        <f>IF($B83&lt;=Tabla5[[#This Row],[INVERSIONES FCI]],+Tabla5[[#This Row],[INVERSIONES FCI]]-AN83,Tabla5[[#This Row],[INVERSIONES FCI]])</f>
        <v>21825546970.064102</v>
      </c>
      <c r="AO84" s="5">
        <f>IF($B83&lt;=Tabla5[[#This Row],[INVERSIONES FCI]],+Tabla5[[#This Row],[INVERSIONES FCI]]-AO83,Tabla5[[#This Row],[INVERSIONES FCI]])</f>
        <v>21825546970.064102</v>
      </c>
      <c r="AP84" s="5">
        <f>IF($B83&lt;=Tabla5[[#This Row],[INVERSIONES FCI]],+Tabla5[[#This Row],[INVERSIONES FCI]]-AP83,Tabla5[[#This Row],[INVERSIONES FCI]])</f>
        <v>21825546970.064102</v>
      </c>
      <c r="AQ84" s="5">
        <f>IF($B83&lt;=Tabla5[[#This Row],[INVERSIONES FCI]],+Tabla5[[#This Row],[INVERSIONES FCI]]-AQ83,Tabla5[[#This Row],[INVERSIONES FCI]])</f>
        <v>21825546970.064102</v>
      </c>
      <c r="AR84" s="5">
        <f>IF($B83&lt;=Tabla5[[#This Row],[INVERSIONES FCI]],+Tabla5[[#This Row],[INVERSIONES FCI]]-AR83,Tabla5[[#This Row],[INVERSIONES FCI]])</f>
        <v>21825546970.064102</v>
      </c>
      <c r="AS84" s="5">
        <f>IF($B83&lt;=Tabla5[[#This Row],[INVERSIONES FCI]],+Tabla5[[#This Row],[INVERSIONES FCI]]-AS83,Tabla5[[#This Row],[INVERSIONES FCI]])</f>
        <v>21825546970.064102</v>
      </c>
      <c r="AT84" s="5">
        <f>IF($B83&lt;=Tabla5[[#This Row],[INVERSIONES FCI]],+Tabla5[[#This Row],[INVERSIONES FCI]]-AT83,Tabla5[[#This Row],[INVERSIONES FCI]])</f>
        <v>21825546970.064102</v>
      </c>
      <c r="AU84" s="5">
        <f>IF($B83&lt;=Tabla5[[#This Row],[INVERSIONES FCI]],+Tabla5[[#This Row],[INVERSIONES FCI]]-AU83,Tabla5[[#This Row],[INVERSIONES FCI]])</f>
        <v>21825546970.064102</v>
      </c>
      <c r="AV84" s="5">
        <f>IF($B83&lt;=Tabla5[[#This Row],[INVERSIONES FCI]],+Tabla5[[#This Row],[INVERSIONES FCI]]-AV83,Tabla5[[#This Row],[INVERSIONES FCI]])</f>
        <v>21825546970.064102</v>
      </c>
      <c r="AW84" s="5">
        <f>IF($B83&lt;=Tabla5[[#This Row],[INVERSIONES FCI]],+Tabla5[[#This Row],[INVERSIONES FCI]]-AW83,Tabla5[[#This Row],[INVERSIONES FCI]])</f>
        <v>21825546970.064102</v>
      </c>
      <c r="AX84" s="5">
        <f>IF($B83&lt;=Tabla5[[#This Row],[INVERSIONES FCI]],+Tabla5[[#This Row],[INVERSIONES FCI]]-AX83,Tabla5[[#This Row],[INVERSIONES FCI]])</f>
        <v>21825546970.064102</v>
      </c>
      <c r="AY84" s="5">
        <f>IF($B83&lt;=Tabla5[[#This Row],[INVERSIONES FCI]],+Tabla5[[#This Row],[INVERSIONES FCI]]-AY83,Tabla5[[#This Row],[INVERSIONES FCI]])</f>
        <v>21825546970.064102</v>
      </c>
      <c r="AZ84" s="5">
        <f>IF($B83&lt;=Tabla5[[#This Row],[INVERSIONES FCI]],+Tabla5[[#This Row],[INVERSIONES FCI]]-AZ83,Tabla5[[#This Row],[INVERSIONES FCI]])</f>
        <v>21825546970.064102</v>
      </c>
      <c r="BA84" s="5">
        <f>IF($B83&lt;=Tabla5[[#This Row],[INVERSIONES FCI]],+Tabla5[[#This Row],[INVERSIONES FCI]]-BA83,Tabla5[[#This Row],[INVERSIONES FCI]])</f>
        <v>21825546970.064102</v>
      </c>
      <c r="BB84" s="5">
        <f>IF($B83&lt;=Tabla5[[#This Row],[INVERSIONES FCI]],+Tabla5[[#This Row],[INVERSIONES FCI]]-BB83,Tabla5[[#This Row],[INVERSIONES FCI]])</f>
        <v>21825546970.064102</v>
      </c>
      <c r="BC84" s="5">
        <f>IF($B83&lt;=Tabla5[[#This Row],[INVERSIONES FCI]],+Tabla5[[#This Row],[INVERSIONES FCI]]-BC83,Tabla5[[#This Row],[INVERSIONES FCI]])</f>
        <v>21825546970.064102</v>
      </c>
      <c r="BD84" s="5">
        <f>IF($B83&lt;=Tabla5[[#This Row],[INVERSIONES FCI]],+Tabla5[[#This Row],[INVERSIONES FCI]]-BD83,Tabla5[[#This Row],[INVERSIONES FCI]])</f>
        <v>21825546970.064102</v>
      </c>
      <c r="BE84" s="5">
        <f>IF($B83&lt;=Tabla5[[#This Row],[INVERSIONES FCI]],+Tabla5[[#This Row],[INVERSIONES FCI]]-BE83,Tabla5[[#This Row],[INVERSIONES FCI]])</f>
        <v>21825546970.064102</v>
      </c>
      <c r="BF84" s="5">
        <f>IF($B83&lt;=Tabla5[[#This Row],[INVERSIONES FCI]],+Tabla5[[#This Row],[INVERSIONES FCI]]-BF83,Tabla5[[#This Row],[INVERSIONES FCI]])</f>
        <v>21825546970.064102</v>
      </c>
      <c r="BG84" s="5">
        <f>IF($B83&lt;=Tabla5[[#This Row],[INVERSIONES FCI]],+Tabla5[[#This Row],[INVERSIONES FCI]]-BG83,Tabla5[[#This Row],[INVERSIONES FCI]])</f>
        <v>21825546970.064102</v>
      </c>
      <c r="BH84" s="5">
        <f>IF($B83&lt;=Tabla5[[#This Row],[INVERSIONES FCI]],+Tabla5[[#This Row],[INVERSIONES FCI]]-BH83,Tabla5[[#This Row],[INVERSIONES FCI]])</f>
        <v>21825546970.064102</v>
      </c>
      <c r="BI84" s="5">
        <f>IF($B83&lt;=Tabla5[[#This Row],[INVERSIONES FCI]],+Tabla5[[#This Row],[INVERSIONES FCI]]-BI83,Tabla5[[#This Row],[INVERSIONES FCI]])</f>
        <v>21825546970.064102</v>
      </c>
      <c r="BJ84" s="5">
        <f>IF($B83&lt;=Tabla5[[#This Row],[INVERSIONES FCI]],+Tabla5[[#This Row],[INVERSIONES FCI]]-BJ83,Tabla5[[#This Row],[INVERSIONES FCI]])</f>
        <v>21825546970.064102</v>
      </c>
      <c r="BK84" s="5">
        <f>IF($B83&lt;=Tabla5[[#This Row],[INVERSIONES FCI]],+Tabla5[[#This Row],[INVERSIONES FCI]]-BK83,Tabla5[[#This Row],[INVERSIONES FCI]])</f>
        <v>21825546970.064102</v>
      </c>
      <c r="BL84" s="5">
        <f>IF($B83&lt;=Tabla5[[#This Row],[INVERSIONES FCI]],+Tabla5[[#This Row],[INVERSIONES FCI]]-BL83,Tabla5[[#This Row],[INVERSIONES FCI]])</f>
        <v>21825546970.064102</v>
      </c>
      <c r="BM84" s="5">
        <f>IF($B83&lt;=Tabla5[[#This Row],[INVERSIONES FCI]],+Tabla5[[#This Row],[INVERSIONES FCI]]-BM83,Tabla5[[#This Row],[INVERSIONES FCI]])</f>
        <v>21825546970.064102</v>
      </c>
      <c r="BN84" s="5">
        <f>IF($B83&lt;=Tabla5[[#This Row],[INVERSIONES FCI]],+Tabla5[[#This Row],[INVERSIONES FCI]]-BN83,Tabla5[[#This Row],[INVERSIONES FCI]])</f>
        <v>21825546970.064102</v>
      </c>
      <c r="BO84" s="5">
        <f>IF($B83&lt;=Tabla5[[#This Row],[INVERSIONES FCI]],+Tabla5[[#This Row],[INVERSIONES FCI]]-BO83,Tabla5[[#This Row],[INVERSIONES FCI]])</f>
        <v>21825546970.064102</v>
      </c>
      <c r="BP84" s="5">
        <f>IF($B83&lt;=Tabla5[[#This Row],[INVERSIONES FCI]],+Tabla5[[#This Row],[INVERSIONES FCI]]-BP83,Tabla5[[#This Row],[INVERSIONES FCI]])</f>
        <v>21825546970.064102</v>
      </c>
      <c r="BQ84" s="5">
        <f>IF($B83&lt;=Tabla5[[#This Row],[INVERSIONES FCI]],+Tabla5[[#This Row],[INVERSIONES FCI]]-BQ83,Tabla5[[#This Row],[INVERSIONES FCI]])</f>
        <v>21825546970.064102</v>
      </c>
      <c r="BR84" s="5">
        <f>IF($B83&lt;=Tabla5[[#This Row],[INVERSIONES FCI]],+Tabla5[[#This Row],[INVERSIONES FCI]]-BR83,Tabla5[[#This Row],[INVERSIONES FCI]])</f>
        <v>21825546970.064102</v>
      </c>
      <c r="BS84" s="5">
        <f>IF($B83&lt;=Tabla5[[#This Row],[INVERSIONES FCI]],+Tabla5[[#This Row],[INVERSIONES FCI]]-BS83,Tabla5[[#This Row],[INVERSIONES FCI]])</f>
        <v>21825546970.064102</v>
      </c>
      <c r="BT84" s="5">
        <f>IF($B83&lt;=Tabla5[[#This Row],[INVERSIONES FCI]],+Tabla5[[#This Row],[INVERSIONES FCI]]-BT83,Tabla5[[#This Row],[INVERSIONES FCI]])</f>
        <v>21825546970.064102</v>
      </c>
      <c r="BU84" s="5">
        <f>IF($B83&lt;=Tabla5[[#This Row],[INVERSIONES FCI]],+Tabla5[[#This Row],[INVERSIONES FCI]]-BU83,Tabla5[[#This Row],[INVERSIONES FCI]])</f>
        <v>21825546970.064102</v>
      </c>
      <c r="BV84" s="5">
        <f>IF($B83&lt;=Tabla5[[#This Row],[INVERSIONES FCI]],+Tabla5[[#This Row],[INVERSIONES FCI]]-BV83,Tabla5[[#This Row],[INVERSIONES FCI]])</f>
        <v>21825546970.064102</v>
      </c>
      <c r="BW84" s="5">
        <f>IF($B83&lt;=Tabla5[[#This Row],[INVERSIONES FCI]],+Tabla5[[#This Row],[INVERSIONES FCI]]-BW83,Tabla5[[#This Row],[INVERSIONES FCI]])</f>
        <v>21825546970.064102</v>
      </c>
      <c r="BX84" s="5">
        <f>IF($B83&lt;=Tabla5[[#This Row],[INVERSIONES FCI]],+Tabla5[[#This Row],[INVERSIONES FCI]]-BX83,Tabla5[[#This Row],[INVERSIONES FCI]])</f>
        <v>21825546970.064102</v>
      </c>
      <c r="BY84" s="5">
        <f>IF($B83&lt;=Tabla5[[#This Row],[INVERSIONES FCI]],+Tabla5[[#This Row],[INVERSIONES FCI]]-BY83,Tabla5[[#This Row],[INVERSIONES FCI]])</f>
        <v>21825546970.064102</v>
      </c>
      <c r="BZ84" s="5">
        <f>IF($B83&lt;=Tabla5[[#This Row],[INVERSIONES FCI]],+Tabla5[[#This Row],[INVERSIONES FCI]]-BZ83,Tabla5[[#This Row],[INVERSIONES FCI]])</f>
        <v>21825546970.064102</v>
      </c>
      <c r="CA84" s="5">
        <f>IF($B83&lt;=Tabla5[[#This Row],[INVERSIONES FCI]],+Tabla5[[#This Row],[INVERSIONES FCI]]-CA83,Tabla5[[#This Row],[INVERSIONES FCI]])</f>
        <v>21825546970.064102</v>
      </c>
      <c r="CB84" s="5">
        <f>IF($B83&lt;=Tabla5[[#This Row],[INVERSIONES FCI]],+Tabla5[[#This Row],[INVERSIONES FCI]]-CB83,Tabla5[[#This Row],[INVERSIONES FCI]])</f>
        <v>21825546970.064102</v>
      </c>
      <c r="CC84" s="5">
        <f>IF($B83&lt;=Tabla5[[#This Row],[INVERSIONES FCI]],+Tabla5[[#This Row],[INVERSIONES FCI]]-CC83,Tabla5[[#This Row],[INVERSIONES FCI]])</f>
        <v>21825546970.064102</v>
      </c>
      <c r="CD84" s="5">
        <f>IF($B83&lt;=Tabla5[[#This Row],[INVERSIONES FCI]],+Tabla5[[#This Row],[INVERSIONES FCI]]-CD83,Tabla5[[#This Row],[INVERSIONES FCI]])</f>
        <v>21825546970.064102</v>
      </c>
      <c r="CE84" s="5">
        <f>IF($B83&lt;=Tabla5[[#This Row],[INVERSIONES FCI]],+Tabla5[[#This Row],[INVERSIONES FCI]]-CE83,Tabla5[[#This Row],[INVERSIONES FCI]])</f>
        <v>21825546970.064102</v>
      </c>
      <c r="CF84" s="5">
        <f>IF($B83&lt;=Tabla5[[#This Row],[INVERSIONES FCI]],+Tabla5[[#This Row],[INVERSIONES FCI]]-CF83,Tabla5[[#This Row],[INVERSIONES FCI]])</f>
        <v>21825546970.064102</v>
      </c>
      <c r="CG84" s="5" cm="1">
        <f t="array" ref="CG84">IF(Tabla5[[#This Row],[FCI]]=0,0,_xlfn.XLOOKUP(TRUE,$B84:CF84&gt;0,$B84:CF84,"",0,-1))</f>
        <v>21825546970.064102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</row>
    <row r="85" spans="1:121" ht="14.4">
      <c r="A85" s="12" t="s">
        <v>84</v>
      </c>
      <c r="B85" s="5">
        <f>HLOOKUP($A85,ESCENARIO[#All],7,FALSE)</f>
        <v>27408638488.124184</v>
      </c>
      <c r="C85" s="5">
        <f>IF($B84&lt;=Tabla5[[#This Row],[INVERSIONES FCI]],+Tabla5[[#This Row],[INVERSIONES FCI]]-C84,Tabla5[[#This Row],[INVERSIONES FCI]])</f>
        <v>5583091518.0600815</v>
      </c>
      <c r="D85" s="5">
        <f>IF($B84&lt;=Tabla5[[#This Row],[INVERSIONES FCI]],+Tabla5[[#This Row],[INVERSIONES FCI]]-D84,Tabla5[[#This Row],[INVERSIONES FCI]])</f>
        <v>5583091518.0600815</v>
      </c>
      <c r="E85" s="5">
        <f>IF($B84&lt;=Tabla5[[#This Row],[INVERSIONES FCI]],+Tabla5[[#This Row],[INVERSIONES FCI]]-E84,Tabla5[[#This Row],[INVERSIONES FCI]])</f>
        <v>5583091518.0600815</v>
      </c>
      <c r="F85" s="5">
        <f>IF($B84&lt;=Tabla5[[#This Row],[INVERSIONES FCI]],+Tabla5[[#This Row],[INVERSIONES FCI]]-F84,Tabla5[[#This Row],[INVERSIONES FCI]])</f>
        <v>5583091518.0600815</v>
      </c>
      <c r="G85" s="5">
        <f>IF($B84&lt;=Tabla5[[#This Row],[INVERSIONES FCI]],+Tabla5[[#This Row],[INVERSIONES FCI]]-G84,Tabla5[[#This Row],[INVERSIONES FCI]])</f>
        <v>5583091518.0600815</v>
      </c>
      <c r="H85" s="5">
        <f>IF($B84&lt;=Tabla5[[#This Row],[INVERSIONES FCI]],+Tabla5[[#This Row],[INVERSIONES FCI]]-H84,Tabla5[[#This Row],[INVERSIONES FCI]])</f>
        <v>5583091518.0600815</v>
      </c>
      <c r="I85" s="5">
        <f>IF($B84&lt;=Tabla5[[#This Row],[INVERSIONES FCI]],+Tabla5[[#This Row],[INVERSIONES FCI]]-I84,Tabla5[[#This Row],[INVERSIONES FCI]])</f>
        <v>5583091518.0600815</v>
      </c>
      <c r="J85" s="5">
        <f>IF($B84&lt;=Tabla5[[#This Row],[INVERSIONES FCI]],+Tabla5[[#This Row],[INVERSIONES FCI]]-J84,Tabla5[[#This Row],[INVERSIONES FCI]])</f>
        <v>5583091518.0600815</v>
      </c>
      <c r="K85" s="5">
        <f>IF($B84&lt;=Tabla5[[#This Row],[INVERSIONES FCI]],+Tabla5[[#This Row],[INVERSIONES FCI]]-K84,Tabla5[[#This Row],[INVERSIONES FCI]])</f>
        <v>5583091518.0600815</v>
      </c>
      <c r="L85" s="5">
        <f>IF($B84&lt;=Tabla5[[#This Row],[INVERSIONES FCI]],+Tabla5[[#This Row],[INVERSIONES FCI]]-L84,Tabla5[[#This Row],[INVERSIONES FCI]])</f>
        <v>5583091518.0600815</v>
      </c>
      <c r="M85" s="5">
        <f>IF($B84&lt;=Tabla5[[#This Row],[INVERSIONES FCI]],+Tabla5[[#This Row],[INVERSIONES FCI]]-M84,Tabla5[[#This Row],[INVERSIONES FCI]])</f>
        <v>5583091518.0600815</v>
      </c>
      <c r="N85" s="5">
        <f>IF($B84&lt;=Tabla5[[#This Row],[INVERSIONES FCI]],+Tabla5[[#This Row],[INVERSIONES FCI]]-N84,Tabla5[[#This Row],[INVERSIONES FCI]])</f>
        <v>5583091518.0600815</v>
      </c>
      <c r="O85" s="5">
        <f>IF($B84&lt;=Tabla5[[#This Row],[INVERSIONES FCI]],+Tabla5[[#This Row],[INVERSIONES FCI]]-O84,Tabla5[[#This Row],[INVERSIONES FCI]])</f>
        <v>5583091518.0600815</v>
      </c>
      <c r="P85" s="5">
        <f>IF($B84&lt;=Tabla5[[#This Row],[INVERSIONES FCI]],+Tabla5[[#This Row],[INVERSIONES FCI]]-P84,Tabla5[[#This Row],[INVERSIONES FCI]])</f>
        <v>5583091518.0600815</v>
      </c>
      <c r="Q85" s="5">
        <f>IF($B84&lt;=Tabla5[[#This Row],[INVERSIONES FCI]],+Tabla5[[#This Row],[INVERSIONES FCI]]-Q84,Tabla5[[#This Row],[INVERSIONES FCI]])</f>
        <v>5583091518.0600815</v>
      </c>
      <c r="R85" s="5">
        <f>IF($B84&lt;=Tabla5[[#This Row],[INVERSIONES FCI]],+Tabla5[[#This Row],[INVERSIONES FCI]]-R84,Tabla5[[#This Row],[INVERSIONES FCI]])</f>
        <v>5583091518.0600815</v>
      </c>
      <c r="S85" s="5">
        <f>IF($B84&lt;=Tabla5[[#This Row],[INVERSIONES FCI]],+Tabla5[[#This Row],[INVERSIONES FCI]]-S84,Tabla5[[#This Row],[INVERSIONES FCI]])</f>
        <v>5583091518.0600815</v>
      </c>
      <c r="T85" s="5">
        <f>IF($B84&lt;=Tabla5[[#This Row],[INVERSIONES FCI]],+Tabla5[[#This Row],[INVERSIONES FCI]]-T84,Tabla5[[#This Row],[INVERSIONES FCI]])</f>
        <v>5583091518.0600815</v>
      </c>
      <c r="U85" s="5">
        <f>IF($B84&lt;=Tabla5[[#This Row],[INVERSIONES FCI]],+Tabla5[[#This Row],[INVERSIONES FCI]]-U84,Tabla5[[#This Row],[INVERSIONES FCI]])</f>
        <v>5583091518.0600815</v>
      </c>
      <c r="V85" s="5">
        <f>IF($B84&lt;=Tabla5[[#This Row],[INVERSIONES FCI]],+Tabla5[[#This Row],[INVERSIONES FCI]]-V84,Tabla5[[#This Row],[INVERSIONES FCI]])</f>
        <v>5583091518.0600815</v>
      </c>
      <c r="W85" s="5">
        <f>IF($B84&lt;=Tabla5[[#This Row],[INVERSIONES FCI]],+Tabla5[[#This Row],[INVERSIONES FCI]]-W84,Tabla5[[#This Row],[INVERSIONES FCI]])</f>
        <v>5583091518.0600815</v>
      </c>
      <c r="X85" s="5">
        <f>IF($B84&lt;=Tabla5[[#This Row],[INVERSIONES FCI]],+Tabla5[[#This Row],[INVERSIONES FCI]]-X84,Tabla5[[#This Row],[INVERSIONES FCI]])</f>
        <v>5583091518.0600815</v>
      </c>
      <c r="Y85" s="5">
        <f>IF($B84&lt;=Tabla5[[#This Row],[INVERSIONES FCI]],+Tabla5[[#This Row],[INVERSIONES FCI]]-Y84,Tabla5[[#This Row],[INVERSIONES FCI]])</f>
        <v>5583091518.0600815</v>
      </c>
      <c r="Z85" s="5">
        <f>IF($B84&lt;=Tabla5[[#This Row],[INVERSIONES FCI]],+Tabla5[[#This Row],[INVERSIONES FCI]]-Z84,Tabla5[[#This Row],[INVERSIONES FCI]])</f>
        <v>5583091518.0600815</v>
      </c>
      <c r="AA85" s="5">
        <f>IF($B84&lt;=Tabla5[[#This Row],[INVERSIONES FCI]],+Tabla5[[#This Row],[INVERSIONES FCI]]-AA84,Tabla5[[#This Row],[INVERSIONES FCI]])</f>
        <v>5583091518.0600815</v>
      </c>
      <c r="AB85" s="5">
        <f>IF($B84&lt;=Tabla5[[#This Row],[INVERSIONES FCI]],+Tabla5[[#This Row],[INVERSIONES FCI]]-AB84,Tabla5[[#This Row],[INVERSIONES FCI]])</f>
        <v>5583091518.0600815</v>
      </c>
      <c r="AC85" s="5">
        <f>IF($B84&lt;=Tabla5[[#This Row],[INVERSIONES FCI]],+Tabla5[[#This Row],[INVERSIONES FCI]]-AC84,Tabla5[[#This Row],[INVERSIONES FCI]])</f>
        <v>5583091518.0600815</v>
      </c>
      <c r="AD85" s="5">
        <f>IF($B84&lt;=Tabla5[[#This Row],[INVERSIONES FCI]],+Tabla5[[#This Row],[INVERSIONES FCI]]-AD84,Tabla5[[#This Row],[INVERSIONES FCI]])</f>
        <v>5583091518.0600815</v>
      </c>
      <c r="AE85" s="5">
        <f>IF($B84&lt;=Tabla5[[#This Row],[INVERSIONES FCI]],+Tabla5[[#This Row],[INVERSIONES FCI]]-AE84,Tabla5[[#This Row],[INVERSIONES FCI]])</f>
        <v>5583091518.0600815</v>
      </c>
      <c r="AF85" s="5">
        <f>IF($B84&lt;=Tabla5[[#This Row],[INVERSIONES FCI]],+Tabla5[[#This Row],[INVERSIONES FCI]]-AF84,Tabla5[[#This Row],[INVERSIONES FCI]])</f>
        <v>5583091518.0600815</v>
      </c>
      <c r="AG85" s="5">
        <f>IF($B84&lt;=Tabla5[[#This Row],[INVERSIONES FCI]],+Tabla5[[#This Row],[INVERSIONES FCI]]-AG84,Tabla5[[#This Row],[INVERSIONES FCI]])</f>
        <v>5583091518.0600815</v>
      </c>
      <c r="AH85" s="5">
        <f>IF($B84&lt;=Tabla5[[#This Row],[INVERSIONES FCI]],+Tabla5[[#This Row],[INVERSIONES FCI]]-AH84,Tabla5[[#This Row],[INVERSIONES FCI]])</f>
        <v>5583091518.0600815</v>
      </c>
      <c r="AI85" s="5">
        <f>IF($B84&lt;=Tabla5[[#This Row],[INVERSIONES FCI]],+Tabla5[[#This Row],[INVERSIONES FCI]]-AI84,Tabla5[[#This Row],[INVERSIONES FCI]])</f>
        <v>5583091518.0600815</v>
      </c>
      <c r="AJ85" s="5">
        <f>IF($B84&lt;=Tabla5[[#This Row],[INVERSIONES FCI]],+Tabla5[[#This Row],[INVERSIONES FCI]]-AJ84,Tabla5[[#This Row],[INVERSIONES FCI]])</f>
        <v>5583091518.0600815</v>
      </c>
      <c r="AK85" s="5">
        <f>IF($B84&lt;=Tabla5[[#This Row],[INVERSIONES FCI]],+Tabla5[[#This Row],[INVERSIONES FCI]]-AK84,Tabla5[[#This Row],[INVERSIONES FCI]])</f>
        <v>5583091518.0600815</v>
      </c>
      <c r="AL85" s="5">
        <f>IF($B84&lt;=Tabla5[[#This Row],[INVERSIONES FCI]],+Tabla5[[#This Row],[INVERSIONES FCI]]-AL84,Tabla5[[#This Row],[INVERSIONES FCI]])</f>
        <v>5583091518.0600815</v>
      </c>
      <c r="AM85" s="5">
        <f>IF($B84&lt;=Tabla5[[#This Row],[INVERSIONES FCI]],+Tabla5[[#This Row],[INVERSIONES FCI]]-AM84,Tabla5[[#This Row],[INVERSIONES FCI]])</f>
        <v>5583091518.0600815</v>
      </c>
      <c r="AN85" s="5">
        <f>IF($B84&lt;=Tabla5[[#This Row],[INVERSIONES FCI]],+Tabla5[[#This Row],[INVERSIONES FCI]]-AN84,Tabla5[[#This Row],[INVERSIONES FCI]])</f>
        <v>5583091518.0600815</v>
      </c>
      <c r="AO85" s="5">
        <f>IF($B84&lt;=Tabla5[[#This Row],[INVERSIONES FCI]],+Tabla5[[#This Row],[INVERSIONES FCI]]-AO84,Tabla5[[#This Row],[INVERSIONES FCI]])</f>
        <v>5583091518.0600815</v>
      </c>
      <c r="AP85" s="5">
        <f>IF($B84&lt;=Tabla5[[#This Row],[INVERSIONES FCI]],+Tabla5[[#This Row],[INVERSIONES FCI]]-AP84,Tabla5[[#This Row],[INVERSIONES FCI]])</f>
        <v>5583091518.0600815</v>
      </c>
      <c r="AQ85" s="5">
        <f>IF($B84&lt;=Tabla5[[#This Row],[INVERSIONES FCI]],+Tabla5[[#This Row],[INVERSIONES FCI]]-AQ84,Tabla5[[#This Row],[INVERSIONES FCI]])</f>
        <v>5583091518.0600815</v>
      </c>
      <c r="AR85" s="5">
        <f>IF($B84&lt;=Tabla5[[#This Row],[INVERSIONES FCI]],+Tabla5[[#This Row],[INVERSIONES FCI]]-AR84,Tabla5[[#This Row],[INVERSIONES FCI]])</f>
        <v>5583091518.0600815</v>
      </c>
      <c r="AS85" s="5">
        <f>IF($B84&lt;=Tabla5[[#This Row],[INVERSIONES FCI]],+Tabla5[[#This Row],[INVERSIONES FCI]]-AS84,Tabla5[[#This Row],[INVERSIONES FCI]])</f>
        <v>5583091518.0600815</v>
      </c>
      <c r="AT85" s="5">
        <f>IF($B84&lt;=Tabla5[[#This Row],[INVERSIONES FCI]],+Tabla5[[#This Row],[INVERSIONES FCI]]-AT84,Tabla5[[#This Row],[INVERSIONES FCI]])</f>
        <v>5583091518.0600815</v>
      </c>
      <c r="AU85" s="5">
        <f>IF($B84&lt;=Tabla5[[#This Row],[INVERSIONES FCI]],+Tabla5[[#This Row],[INVERSIONES FCI]]-AU84,Tabla5[[#This Row],[INVERSIONES FCI]])</f>
        <v>5583091518.0600815</v>
      </c>
      <c r="AV85" s="5">
        <f>IF($B84&lt;=Tabla5[[#This Row],[INVERSIONES FCI]],+Tabla5[[#This Row],[INVERSIONES FCI]]-AV84,Tabla5[[#This Row],[INVERSIONES FCI]])</f>
        <v>5583091518.0600815</v>
      </c>
      <c r="AW85" s="5">
        <f>IF($B84&lt;=Tabla5[[#This Row],[INVERSIONES FCI]],+Tabla5[[#This Row],[INVERSIONES FCI]]-AW84,Tabla5[[#This Row],[INVERSIONES FCI]])</f>
        <v>5583091518.0600815</v>
      </c>
      <c r="AX85" s="5">
        <f>IF($B84&lt;=Tabla5[[#This Row],[INVERSIONES FCI]],+Tabla5[[#This Row],[INVERSIONES FCI]]-AX84,Tabla5[[#This Row],[INVERSIONES FCI]])</f>
        <v>5583091518.0600815</v>
      </c>
      <c r="AY85" s="5">
        <f>IF($B84&lt;=Tabla5[[#This Row],[INVERSIONES FCI]],+Tabla5[[#This Row],[INVERSIONES FCI]]-AY84,Tabla5[[#This Row],[INVERSIONES FCI]])</f>
        <v>5583091518.0600815</v>
      </c>
      <c r="AZ85" s="5">
        <f>IF($B84&lt;=Tabla5[[#This Row],[INVERSIONES FCI]],+Tabla5[[#This Row],[INVERSIONES FCI]]-AZ84,Tabla5[[#This Row],[INVERSIONES FCI]])</f>
        <v>5583091518.0600815</v>
      </c>
      <c r="BA85" s="5">
        <f>IF($B84&lt;=Tabla5[[#This Row],[INVERSIONES FCI]],+Tabla5[[#This Row],[INVERSIONES FCI]]-BA84,Tabla5[[#This Row],[INVERSIONES FCI]])</f>
        <v>5583091518.0600815</v>
      </c>
      <c r="BB85" s="5">
        <f>IF($B84&lt;=Tabla5[[#This Row],[INVERSIONES FCI]],+Tabla5[[#This Row],[INVERSIONES FCI]]-BB84,Tabla5[[#This Row],[INVERSIONES FCI]])</f>
        <v>5583091518.0600815</v>
      </c>
      <c r="BC85" s="5">
        <f>IF($B84&lt;=Tabla5[[#This Row],[INVERSIONES FCI]],+Tabla5[[#This Row],[INVERSIONES FCI]]-BC84,Tabla5[[#This Row],[INVERSIONES FCI]])</f>
        <v>5583091518.0600815</v>
      </c>
      <c r="BD85" s="5">
        <f>IF($B84&lt;=Tabla5[[#This Row],[INVERSIONES FCI]],+Tabla5[[#This Row],[INVERSIONES FCI]]-BD84,Tabla5[[#This Row],[INVERSIONES FCI]])</f>
        <v>5583091518.0600815</v>
      </c>
      <c r="BE85" s="5">
        <f>IF($B84&lt;=Tabla5[[#This Row],[INVERSIONES FCI]],+Tabla5[[#This Row],[INVERSIONES FCI]]-BE84,Tabla5[[#This Row],[INVERSIONES FCI]])</f>
        <v>5583091518.0600815</v>
      </c>
      <c r="BF85" s="5">
        <f>IF($B84&lt;=Tabla5[[#This Row],[INVERSIONES FCI]],+Tabla5[[#This Row],[INVERSIONES FCI]]-BF84,Tabla5[[#This Row],[INVERSIONES FCI]])</f>
        <v>5583091518.0600815</v>
      </c>
      <c r="BG85" s="5">
        <f>IF($B84&lt;=Tabla5[[#This Row],[INVERSIONES FCI]],+Tabla5[[#This Row],[INVERSIONES FCI]]-BG84,Tabla5[[#This Row],[INVERSIONES FCI]])</f>
        <v>5583091518.0600815</v>
      </c>
      <c r="BH85" s="5">
        <f>IF($B84&lt;=Tabla5[[#This Row],[INVERSIONES FCI]],+Tabla5[[#This Row],[INVERSIONES FCI]]-BH84,Tabla5[[#This Row],[INVERSIONES FCI]])</f>
        <v>5583091518.0600815</v>
      </c>
      <c r="BI85" s="5">
        <f>IF($B84&lt;=Tabla5[[#This Row],[INVERSIONES FCI]],+Tabla5[[#This Row],[INVERSIONES FCI]]-BI84,Tabla5[[#This Row],[INVERSIONES FCI]])</f>
        <v>5583091518.0600815</v>
      </c>
      <c r="BJ85" s="5">
        <f>IF($B84&lt;=Tabla5[[#This Row],[INVERSIONES FCI]],+Tabla5[[#This Row],[INVERSIONES FCI]]-BJ84,Tabla5[[#This Row],[INVERSIONES FCI]])</f>
        <v>5583091518.0600815</v>
      </c>
      <c r="BK85" s="5">
        <f>IF($B84&lt;=Tabla5[[#This Row],[INVERSIONES FCI]],+Tabla5[[#This Row],[INVERSIONES FCI]]-BK84,Tabla5[[#This Row],[INVERSIONES FCI]])</f>
        <v>5583091518.0600815</v>
      </c>
      <c r="BL85" s="5">
        <f>IF($B84&lt;=Tabla5[[#This Row],[INVERSIONES FCI]],+Tabla5[[#This Row],[INVERSIONES FCI]]-BL84,Tabla5[[#This Row],[INVERSIONES FCI]])</f>
        <v>5583091518.0600815</v>
      </c>
      <c r="BM85" s="5">
        <f>IF($B84&lt;=Tabla5[[#This Row],[INVERSIONES FCI]],+Tabla5[[#This Row],[INVERSIONES FCI]]-BM84,Tabla5[[#This Row],[INVERSIONES FCI]])</f>
        <v>5583091518.0600815</v>
      </c>
      <c r="BN85" s="5">
        <f>IF($B84&lt;=Tabla5[[#This Row],[INVERSIONES FCI]],+Tabla5[[#This Row],[INVERSIONES FCI]]-BN84,Tabla5[[#This Row],[INVERSIONES FCI]])</f>
        <v>5583091518.0600815</v>
      </c>
      <c r="BO85" s="5">
        <f>IF($B84&lt;=Tabla5[[#This Row],[INVERSIONES FCI]],+Tabla5[[#This Row],[INVERSIONES FCI]]-BO84,Tabla5[[#This Row],[INVERSIONES FCI]])</f>
        <v>5583091518.0600815</v>
      </c>
      <c r="BP85" s="5">
        <f>IF($B84&lt;=Tabla5[[#This Row],[INVERSIONES FCI]],+Tabla5[[#This Row],[INVERSIONES FCI]]-BP84,Tabla5[[#This Row],[INVERSIONES FCI]])</f>
        <v>5583091518.0600815</v>
      </c>
      <c r="BQ85" s="5">
        <f>IF($B84&lt;=Tabla5[[#This Row],[INVERSIONES FCI]],+Tabla5[[#This Row],[INVERSIONES FCI]]-BQ84,Tabla5[[#This Row],[INVERSIONES FCI]])</f>
        <v>5583091518.0600815</v>
      </c>
      <c r="BR85" s="5">
        <f>IF($B84&lt;=Tabla5[[#This Row],[INVERSIONES FCI]],+Tabla5[[#This Row],[INVERSIONES FCI]]-BR84,Tabla5[[#This Row],[INVERSIONES FCI]])</f>
        <v>5583091518.0600815</v>
      </c>
      <c r="BS85" s="5">
        <f>IF($B84&lt;=Tabla5[[#This Row],[INVERSIONES FCI]],+Tabla5[[#This Row],[INVERSIONES FCI]]-BS84,Tabla5[[#This Row],[INVERSIONES FCI]])</f>
        <v>5583091518.0600815</v>
      </c>
      <c r="BT85" s="5">
        <f>IF($B84&lt;=Tabla5[[#This Row],[INVERSIONES FCI]],+Tabla5[[#This Row],[INVERSIONES FCI]]-BT84,Tabla5[[#This Row],[INVERSIONES FCI]])</f>
        <v>5583091518.0600815</v>
      </c>
      <c r="BU85" s="5">
        <f>IF($B84&lt;=Tabla5[[#This Row],[INVERSIONES FCI]],+Tabla5[[#This Row],[INVERSIONES FCI]]-BU84,Tabla5[[#This Row],[INVERSIONES FCI]])</f>
        <v>5583091518.0600815</v>
      </c>
      <c r="BV85" s="5">
        <f>IF($B84&lt;=Tabla5[[#This Row],[INVERSIONES FCI]],+Tabla5[[#This Row],[INVERSIONES FCI]]-BV84,Tabla5[[#This Row],[INVERSIONES FCI]])</f>
        <v>5583091518.0600815</v>
      </c>
      <c r="BW85" s="5">
        <f>IF($B84&lt;=Tabla5[[#This Row],[INVERSIONES FCI]],+Tabla5[[#This Row],[INVERSIONES FCI]]-BW84,Tabla5[[#This Row],[INVERSIONES FCI]])</f>
        <v>5583091518.0600815</v>
      </c>
      <c r="BX85" s="5">
        <f>IF($B84&lt;=Tabla5[[#This Row],[INVERSIONES FCI]],+Tabla5[[#This Row],[INVERSIONES FCI]]-BX84,Tabla5[[#This Row],[INVERSIONES FCI]])</f>
        <v>5583091518.0600815</v>
      </c>
      <c r="BY85" s="5">
        <f>IF($B84&lt;=Tabla5[[#This Row],[INVERSIONES FCI]],+Tabla5[[#This Row],[INVERSIONES FCI]]-BY84,Tabla5[[#This Row],[INVERSIONES FCI]])</f>
        <v>5583091518.0600815</v>
      </c>
      <c r="BZ85" s="5">
        <f>IF($B84&lt;=Tabla5[[#This Row],[INVERSIONES FCI]],+Tabla5[[#This Row],[INVERSIONES FCI]]-BZ84,Tabla5[[#This Row],[INVERSIONES FCI]])</f>
        <v>5583091518.0600815</v>
      </c>
      <c r="CA85" s="5">
        <f>IF($B84&lt;=Tabla5[[#This Row],[INVERSIONES FCI]],+Tabla5[[#This Row],[INVERSIONES FCI]]-CA84,Tabla5[[#This Row],[INVERSIONES FCI]])</f>
        <v>5583091518.0600815</v>
      </c>
      <c r="CB85" s="5">
        <f>IF($B84&lt;=Tabla5[[#This Row],[INVERSIONES FCI]],+Tabla5[[#This Row],[INVERSIONES FCI]]-CB84,Tabla5[[#This Row],[INVERSIONES FCI]])</f>
        <v>5583091518.0600815</v>
      </c>
      <c r="CC85" s="5">
        <f>IF($B84&lt;=Tabla5[[#This Row],[INVERSIONES FCI]],+Tabla5[[#This Row],[INVERSIONES FCI]]-CC84,Tabla5[[#This Row],[INVERSIONES FCI]])</f>
        <v>5583091518.0600815</v>
      </c>
      <c r="CD85" s="5">
        <f>IF($B84&lt;=Tabla5[[#This Row],[INVERSIONES FCI]],+Tabla5[[#This Row],[INVERSIONES FCI]]-CD84,Tabla5[[#This Row],[INVERSIONES FCI]])</f>
        <v>5583091518.0600815</v>
      </c>
      <c r="CE85" s="5">
        <f>IF($B84&lt;=Tabla5[[#This Row],[INVERSIONES FCI]],+Tabla5[[#This Row],[INVERSIONES FCI]]-CE84,Tabla5[[#This Row],[INVERSIONES FCI]])</f>
        <v>5583091518.0600815</v>
      </c>
      <c r="CF85" s="5">
        <f>IF($B84&lt;=Tabla5[[#This Row],[INVERSIONES FCI]],+Tabla5[[#This Row],[INVERSIONES FCI]]-CF84,Tabla5[[#This Row],[INVERSIONES FCI]])</f>
        <v>5583091518.0600815</v>
      </c>
      <c r="CG85" s="5">
        <f>IF($B84&lt;=Tabla5[[#This Row],[INVERSIONES FCI]],+Tabla5[[#This Row],[INVERSIONES FCI]]-CG84,Tabla5[[#This Row],[INVERSIONES FCI]])</f>
        <v>5583091518.0600815</v>
      </c>
      <c r="CH85" s="5" cm="1">
        <f t="array" ref="CH85">IF(Tabla5[[#This Row],[FCI]]=0,0,_xlfn.XLOOKUP(TRUE,$B85:CG85&gt;0,$B85:CG85,"",0,-1))</f>
        <v>5583091518.0600815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</row>
    <row r="86" spans="1:121" ht="14.4">
      <c r="A86" s="12" t="s">
        <v>85</v>
      </c>
      <c r="B86" s="5">
        <f>HLOOKUP($A86,ESCENARIO[#All],7,FALSE)</f>
        <v>27408638488.124184</v>
      </c>
      <c r="C86" s="5">
        <f>IF($B85&lt;=Tabla5[[#This Row],[INVERSIONES FCI]],+Tabla5[[#This Row],[INVERSIONES FCI]]-C85,Tabla5[[#This Row],[INVERSIONES FCI]])</f>
        <v>21825546970.064102</v>
      </c>
      <c r="D86" s="5">
        <f>IF($B85&lt;=Tabla5[[#This Row],[INVERSIONES FCI]],+Tabla5[[#This Row],[INVERSIONES FCI]]-D85,Tabla5[[#This Row],[INVERSIONES FCI]])</f>
        <v>21825546970.064102</v>
      </c>
      <c r="E86" s="5">
        <f>IF($B85&lt;=Tabla5[[#This Row],[INVERSIONES FCI]],+Tabla5[[#This Row],[INVERSIONES FCI]]-E85,Tabla5[[#This Row],[INVERSIONES FCI]])</f>
        <v>21825546970.064102</v>
      </c>
      <c r="F86" s="5">
        <f>IF($B85&lt;=Tabla5[[#This Row],[INVERSIONES FCI]],+Tabla5[[#This Row],[INVERSIONES FCI]]-F85,Tabla5[[#This Row],[INVERSIONES FCI]])</f>
        <v>21825546970.064102</v>
      </c>
      <c r="G86" s="5">
        <f>IF($B85&lt;=Tabla5[[#This Row],[INVERSIONES FCI]],+Tabla5[[#This Row],[INVERSIONES FCI]]-G85,Tabla5[[#This Row],[INVERSIONES FCI]])</f>
        <v>21825546970.064102</v>
      </c>
      <c r="H86" s="5">
        <f>IF($B85&lt;=Tabla5[[#This Row],[INVERSIONES FCI]],+Tabla5[[#This Row],[INVERSIONES FCI]]-H85,Tabla5[[#This Row],[INVERSIONES FCI]])</f>
        <v>21825546970.064102</v>
      </c>
      <c r="I86" s="5">
        <f>IF($B85&lt;=Tabla5[[#This Row],[INVERSIONES FCI]],+Tabla5[[#This Row],[INVERSIONES FCI]]-I85,Tabla5[[#This Row],[INVERSIONES FCI]])</f>
        <v>21825546970.064102</v>
      </c>
      <c r="J86" s="5">
        <f>IF($B85&lt;=Tabla5[[#This Row],[INVERSIONES FCI]],+Tabla5[[#This Row],[INVERSIONES FCI]]-J85,Tabla5[[#This Row],[INVERSIONES FCI]])</f>
        <v>21825546970.064102</v>
      </c>
      <c r="K86" s="5">
        <f>IF($B85&lt;=Tabla5[[#This Row],[INVERSIONES FCI]],+Tabla5[[#This Row],[INVERSIONES FCI]]-K85,Tabla5[[#This Row],[INVERSIONES FCI]])</f>
        <v>21825546970.064102</v>
      </c>
      <c r="L86" s="5">
        <f>IF($B85&lt;=Tabla5[[#This Row],[INVERSIONES FCI]],+Tabla5[[#This Row],[INVERSIONES FCI]]-L85,Tabla5[[#This Row],[INVERSIONES FCI]])</f>
        <v>21825546970.064102</v>
      </c>
      <c r="M86" s="5">
        <f>IF($B85&lt;=Tabla5[[#This Row],[INVERSIONES FCI]],+Tabla5[[#This Row],[INVERSIONES FCI]]-M85,Tabla5[[#This Row],[INVERSIONES FCI]])</f>
        <v>21825546970.064102</v>
      </c>
      <c r="N86" s="5">
        <f>IF($B85&lt;=Tabla5[[#This Row],[INVERSIONES FCI]],+Tabla5[[#This Row],[INVERSIONES FCI]]-N85,Tabla5[[#This Row],[INVERSIONES FCI]])</f>
        <v>21825546970.064102</v>
      </c>
      <c r="O86" s="5">
        <f>IF($B85&lt;=Tabla5[[#This Row],[INVERSIONES FCI]],+Tabla5[[#This Row],[INVERSIONES FCI]]-O85,Tabla5[[#This Row],[INVERSIONES FCI]])</f>
        <v>21825546970.064102</v>
      </c>
      <c r="P86" s="5">
        <f>IF($B85&lt;=Tabla5[[#This Row],[INVERSIONES FCI]],+Tabla5[[#This Row],[INVERSIONES FCI]]-P85,Tabla5[[#This Row],[INVERSIONES FCI]])</f>
        <v>21825546970.064102</v>
      </c>
      <c r="Q86" s="5">
        <f>IF($B85&lt;=Tabla5[[#This Row],[INVERSIONES FCI]],+Tabla5[[#This Row],[INVERSIONES FCI]]-Q85,Tabla5[[#This Row],[INVERSIONES FCI]])</f>
        <v>21825546970.064102</v>
      </c>
      <c r="R86" s="5">
        <f>IF($B85&lt;=Tabla5[[#This Row],[INVERSIONES FCI]],+Tabla5[[#This Row],[INVERSIONES FCI]]-R85,Tabla5[[#This Row],[INVERSIONES FCI]])</f>
        <v>21825546970.064102</v>
      </c>
      <c r="S86" s="5">
        <f>IF($B85&lt;=Tabla5[[#This Row],[INVERSIONES FCI]],+Tabla5[[#This Row],[INVERSIONES FCI]]-S85,Tabla5[[#This Row],[INVERSIONES FCI]])</f>
        <v>21825546970.064102</v>
      </c>
      <c r="T86" s="5">
        <f>IF($B85&lt;=Tabla5[[#This Row],[INVERSIONES FCI]],+Tabla5[[#This Row],[INVERSIONES FCI]]-T85,Tabla5[[#This Row],[INVERSIONES FCI]])</f>
        <v>21825546970.064102</v>
      </c>
      <c r="U86" s="5">
        <f>IF($B85&lt;=Tabla5[[#This Row],[INVERSIONES FCI]],+Tabla5[[#This Row],[INVERSIONES FCI]]-U85,Tabla5[[#This Row],[INVERSIONES FCI]])</f>
        <v>21825546970.064102</v>
      </c>
      <c r="V86" s="5">
        <f>IF($B85&lt;=Tabla5[[#This Row],[INVERSIONES FCI]],+Tabla5[[#This Row],[INVERSIONES FCI]]-V85,Tabla5[[#This Row],[INVERSIONES FCI]])</f>
        <v>21825546970.064102</v>
      </c>
      <c r="W86" s="5">
        <f>IF($B85&lt;=Tabla5[[#This Row],[INVERSIONES FCI]],+Tabla5[[#This Row],[INVERSIONES FCI]]-W85,Tabla5[[#This Row],[INVERSIONES FCI]])</f>
        <v>21825546970.064102</v>
      </c>
      <c r="X86" s="5">
        <f>IF($B85&lt;=Tabla5[[#This Row],[INVERSIONES FCI]],+Tabla5[[#This Row],[INVERSIONES FCI]]-X85,Tabla5[[#This Row],[INVERSIONES FCI]])</f>
        <v>21825546970.064102</v>
      </c>
      <c r="Y86" s="5">
        <f>IF($B85&lt;=Tabla5[[#This Row],[INVERSIONES FCI]],+Tabla5[[#This Row],[INVERSIONES FCI]]-Y85,Tabla5[[#This Row],[INVERSIONES FCI]])</f>
        <v>21825546970.064102</v>
      </c>
      <c r="Z86" s="5">
        <f>IF($B85&lt;=Tabla5[[#This Row],[INVERSIONES FCI]],+Tabla5[[#This Row],[INVERSIONES FCI]]-Z85,Tabla5[[#This Row],[INVERSIONES FCI]])</f>
        <v>21825546970.064102</v>
      </c>
      <c r="AA86" s="5">
        <f>IF($B85&lt;=Tabla5[[#This Row],[INVERSIONES FCI]],+Tabla5[[#This Row],[INVERSIONES FCI]]-AA85,Tabla5[[#This Row],[INVERSIONES FCI]])</f>
        <v>21825546970.064102</v>
      </c>
      <c r="AB86" s="5">
        <f>IF($B85&lt;=Tabla5[[#This Row],[INVERSIONES FCI]],+Tabla5[[#This Row],[INVERSIONES FCI]]-AB85,Tabla5[[#This Row],[INVERSIONES FCI]])</f>
        <v>21825546970.064102</v>
      </c>
      <c r="AC86" s="5">
        <f>IF($B85&lt;=Tabla5[[#This Row],[INVERSIONES FCI]],+Tabla5[[#This Row],[INVERSIONES FCI]]-AC85,Tabla5[[#This Row],[INVERSIONES FCI]])</f>
        <v>21825546970.064102</v>
      </c>
      <c r="AD86" s="5">
        <f>IF($B85&lt;=Tabla5[[#This Row],[INVERSIONES FCI]],+Tabla5[[#This Row],[INVERSIONES FCI]]-AD85,Tabla5[[#This Row],[INVERSIONES FCI]])</f>
        <v>21825546970.064102</v>
      </c>
      <c r="AE86" s="5">
        <f>IF($B85&lt;=Tabla5[[#This Row],[INVERSIONES FCI]],+Tabla5[[#This Row],[INVERSIONES FCI]]-AE85,Tabla5[[#This Row],[INVERSIONES FCI]])</f>
        <v>21825546970.064102</v>
      </c>
      <c r="AF86" s="5">
        <f>IF($B85&lt;=Tabla5[[#This Row],[INVERSIONES FCI]],+Tabla5[[#This Row],[INVERSIONES FCI]]-AF85,Tabla5[[#This Row],[INVERSIONES FCI]])</f>
        <v>21825546970.064102</v>
      </c>
      <c r="AG86" s="5">
        <f>IF($B85&lt;=Tabla5[[#This Row],[INVERSIONES FCI]],+Tabla5[[#This Row],[INVERSIONES FCI]]-AG85,Tabla5[[#This Row],[INVERSIONES FCI]])</f>
        <v>21825546970.064102</v>
      </c>
      <c r="AH86" s="5">
        <f>IF($B85&lt;=Tabla5[[#This Row],[INVERSIONES FCI]],+Tabla5[[#This Row],[INVERSIONES FCI]]-AH85,Tabla5[[#This Row],[INVERSIONES FCI]])</f>
        <v>21825546970.064102</v>
      </c>
      <c r="AI86" s="5">
        <f>IF($B85&lt;=Tabla5[[#This Row],[INVERSIONES FCI]],+Tabla5[[#This Row],[INVERSIONES FCI]]-AI85,Tabla5[[#This Row],[INVERSIONES FCI]])</f>
        <v>21825546970.064102</v>
      </c>
      <c r="AJ86" s="5">
        <f>IF($B85&lt;=Tabla5[[#This Row],[INVERSIONES FCI]],+Tabla5[[#This Row],[INVERSIONES FCI]]-AJ85,Tabla5[[#This Row],[INVERSIONES FCI]])</f>
        <v>21825546970.064102</v>
      </c>
      <c r="AK86" s="5">
        <f>IF($B85&lt;=Tabla5[[#This Row],[INVERSIONES FCI]],+Tabla5[[#This Row],[INVERSIONES FCI]]-AK85,Tabla5[[#This Row],[INVERSIONES FCI]])</f>
        <v>21825546970.064102</v>
      </c>
      <c r="AL86" s="5">
        <f>IF($B85&lt;=Tabla5[[#This Row],[INVERSIONES FCI]],+Tabla5[[#This Row],[INVERSIONES FCI]]-AL85,Tabla5[[#This Row],[INVERSIONES FCI]])</f>
        <v>21825546970.064102</v>
      </c>
      <c r="AM86" s="5">
        <f>IF($B85&lt;=Tabla5[[#This Row],[INVERSIONES FCI]],+Tabla5[[#This Row],[INVERSIONES FCI]]-AM85,Tabla5[[#This Row],[INVERSIONES FCI]])</f>
        <v>21825546970.064102</v>
      </c>
      <c r="AN86" s="5">
        <f>IF($B85&lt;=Tabla5[[#This Row],[INVERSIONES FCI]],+Tabla5[[#This Row],[INVERSIONES FCI]]-AN85,Tabla5[[#This Row],[INVERSIONES FCI]])</f>
        <v>21825546970.064102</v>
      </c>
      <c r="AO86" s="5">
        <f>IF($B85&lt;=Tabla5[[#This Row],[INVERSIONES FCI]],+Tabla5[[#This Row],[INVERSIONES FCI]]-AO85,Tabla5[[#This Row],[INVERSIONES FCI]])</f>
        <v>21825546970.064102</v>
      </c>
      <c r="AP86" s="5">
        <f>IF($B85&lt;=Tabla5[[#This Row],[INVERSIONES FCI]],+Tabla5[[#This Row],[INVERSIONES FCI]]-AP85,Tabla5[[#This Row],[INVERSIONES FCI]])</f>
        <v>21825546970.064102</v>
      </c>
      <c r="AQ86" s="5">
        <f>IF($B85&lt;=Tabla5[[#This Row],[INVERSIONES FCI]],+Tabla5[[#This Row],[INVERSIONES FCI]]-AQ85,Tabla5[[#This Row],[INVERSIONES FCI]])</f>
        <v>21825546970.064102</v>
      </c>
      <c r="AR86" s="5">
        <f>IF($B85&lt;=Tabla5[[#This Row],[INVERSIONES FCI]],+Tabla5[[#This Row],[INVERSIONES FCI]]-AR85,Tabla5[[#This Row],[INVERSIONES FCI]])</f>
        <v>21825546970.064102</v>
      </c>
      <c r="AS86" s="5">
        <f>IF($B85&lt;=Tabla5[[#This Row],[INVERSIONES FCI]],+Tabla5[[#This Row],[INVERSIONES FCI]]-AS85,Tabla5[[#This Row],[INVERSIONES FCI]])</f>
        <v>21825546970.064102</v>
      </c>
      <c r="AT86" s="5">
        <f>IF($B85&lt;=Tabla5[[#This Row],[INVERSIONES FCI]],+Tabla5[[#This Row],[INVERSIONES FCI]]-AT85,Tabla5[[#This Row],[INVERSIONES FCI]])</f>
        <v>21825546970.064102</v>
      </c>
      <c r="AU86" s="5">
        <f>IF($B85&lt;=Tabla5[[#This Row],[INVERSIONES FCI]],+Tabla5[[#This Row],[INVERSIONES FCI]]-AU85,Tabla5[[#This Row],[INVERSIONES FCI]])</f>
        <v>21825546970.064102</v>
      </c>
      <c r="AV86" s="5">
        <f>IF($B85&lt;=Tabla5[[#This Row],[INVERSIONES FCI]],+Tabla5[[#This Row],[INVERSIONES FCI]]-AV85,Tabla5[[#This Row],[INVERSIONES FCI]])</f>
        <v>21825546970.064102</v>
      </c>
      <c r="AW86" s="5">
        <f>IF($B85&lt;=Tabla5[[#This Row],[INVERSIONES FCI]],+Tabla5[[#This Row],[INVERSIONES FCI]]-AW85,Tabla5[[#This Row],[INVERSIONES FCI]])</f>
        <v>21825546970.064102</v>
      </c>
      <c r="AX86" s="5">
        <f>IF($B85&lt;=Tabla5[[#This Row],[INVERSIONES FCI]],+Tabla5[[#This Row],[INVERSIONES FCI]]-AX85,Tabla5[[#This Row],[INVERSIONES FCI]])</f>
        <v>21825546970.064102</v>
      </c>
      <c r="AY86" s="5">
        <f>IF($B85&lt;=Tabla5[[#This Row],[INVERSIONES FCI]],+Tabla5[[#This Row],[INVERSIONES FCI]]-AY85,Tabla5[[#This Row],[INVERSIONES FCI]])</f>
        <v>21825546970.064102</v>
      </c>
      <c r="AZ86" s="5">
        <f>IF($B85&lt;=Tabla5[[#This Row],[INVERSIONES FCI]],+Tabla5[[#This Row],[INVERSIONES FCI]]-AZ85,Tabla5[[#This Row],[INVERSIONES FCI]])</f>
        <v>21825546970.064102</v>
      </c>
      <c r="BA86" s="5">
        <f>IF($B85&lt;=Tabla5[[#This Row],[INVERSIONES FCI]],+Tabla5[[#This Row],[INVERSIONES FCI]]-BA85,Tabla5[[#This Row],[INVERSIONES FCI]])</f>
        <v>21825546970.064102</v>
      </c>
      <c r="BB86" s="5">
        <f>IF($B85&lt;=Tabla5[[#This Row],[INVERSIONES FCI]],+Tabla5[[#This Row],[INVERSIONES FCI]]-BB85,Tabla5[[#This Row],[INVERSIONES FCI]])</f>
        <v>21825546970.064102</v>
      </c>
      <c r="BC86" s="5">
        <f>IF($B85&lt;=Tabla5[[#This Row],[INVERSIONES FCI]],+Tabla5[[#This Row],[INVERSIONES FCI]]-BC85,Tabla5[[#This Row],[INVERSIONES FCI]])</f>
        <v>21825546970.064102</v>
      </c>
      <c r="BD86" s="5">
        <f>IF($B85&lt;=Tabla5[[#This Row],[INVERSIONES FCI]],+Tabla5[[#This Row],[INVERSIONES FCI]]-BD85,Tabla5[[#This Row],[INVERSIONES FCI]])</f>
        <v>21825546970.064102</v>
      </c>
      <c r="BE86" s="5">
        <f>IF($B85&lt;=Tabla5[[#This Row],[INVERSIONES FCI]],+Tabla5[[#This Row],[INVERSIONES FCI]]-BE85,Tabla5[[#This Row],[INVERSIONES FCI]])</f>
        <v>21825546970.064102</v>
      </c>
      <c r="BF86" s="5">
        <f>IF($B85&lt;=Tabla5[[#This Row],[INVERSIONES FCI]],+Tabla5[[#This Row],[INVERSIONES FCI]]-BF85,Tabla5[[#This Row],[INVERSIONES FCI]])</f>
        <v>21825546970.064102</v>
      </c>
      <c r="BG86" s="5">
        <f>IF($B85&lt;=Tabla5[[#This Row],[INVERSIONES FCI]],+Tabla5[[#This Row],[INVERSIONES FCI]]-BG85,Tabla5[[#This Row],[INVERSIONES FCI]])</f>
        <v>21825546970.064102</v>
      </c>
      <c r="BH86" s="5">
        <f>IF($B85&lt;=Tabla5[[#This Row],[INVERSIONES FCI]],+Tabla5[[#This Row],[INVERSIONES FCI]]-BH85,Tabla5[[#This Row],[INVERSIONES FCI]])</f>
        <v>21825546970.064102</v>
      </c>
      <c r="BI86" s="5">
        <f>IF($B85&lt;=Tabla5[[#This Row],[INVERSIONES FCI]],+Tabla5[[#This Row],[INVERSIONES FCI]]-BI85,Tabla5[[#This Row],[INVERSIONES FCI]])</f>
        <v>21825546970.064102</v>
      </c>
      <c r="BJ86" s="5">
        <f>IF($B85&lt;=Tabla5[[#This Row],[INVERSIONES FCI]],+Tabla5[[#This Row],[INVERSIONES FCI]]-BJ85,Tabla5[[#This Row],[INVERSIONES FCI]])</f>
        <v>21825546970.064102</v>
      </c>
      <c r="BK86" s="5">
        <f>IF($B85&lt;=Tabla5[[#This Row],[INVERSIONES FCI]],+Tabla5[[#This Row],[INVERSIONES FCI]]-BK85,Tabla5[[#This Row],[INVERSIONES FCI]])</f>
        <v>21825546970.064102</v>
      </c>
      <c r="BL86" s="5">
        <f>IF($B85&lt;=Tabla5[[#This Row],[INVERSIONES FCI]],+Tabla5[[#This Row],[INVERSIONES FCI]]-BL85,Tabla5[[#This Row],[INVERSIONES FCI]])</f>
        <v>21825546970.064102</v>
      </c>
      <c r="BM86" s="5">
        <f>IF($B85&lt;=Tabla5[[#This Row],[INVERSIONES FCI]],+Tabla5[[#This Row],[INVERSIONES FCI]]-BM85,Tabla5[[#This Row],[INVERSIONES FCI]])</f>
        <v>21825546970.064102</v>
      </c>
      <c r="BN86" s="5">
        <f>IF($B85&lt;=Tabla5[[#This Row],[INVERSIONES FCI]],+Tabla5[[#This Row],[INVERSIONES FCI]]-BN85,Tabla5[[#This Row],[INVERSIONES FCI]])</f>
        <v>21825546970.064102</v>
      </c>
      <c r="BO86" s="5">
        <f>IF($B85&lt;=Tabla5[[#This Row],[INVERSIONES FCI]],+Tabla5[[#This Row],[INVERSIONES FCI]]-BO85,Tabla5[[#This Row],[INVERSIONES FCI]])</f>
        <v>21825546970.064102</v>
      </c>
      <c r="BP86" s="5">
        <f>IF($B85&lt;=Tabla5[[#This Row],[INVERSIONES FCI]],+Tabla5[[#This Row],[INVERSIONES FCI]]-BP85,Tabla5[[#This Row],[INVERSIONES FCI]])</f>
        <v>21825546970.064102</v>
      </c>
      <c r="BQ86" s="5">
        <f>IF($B85&lt;=Tabla5[[#This Row],[INVERSIONES FCI]],+Tabla5[[#This Row],[INVERSIONES FCI]]-BQ85,Tabla5[[#This Row],[INVERSIONES FCI]])</f>
        <v>21825546970.064102</v>
      </c>
      <c r="BR86" s="5">
        <f>IF($B85&lt;=Tabla5[[#This Row],[INVERSIONES FCI]],+Tabla5[[#This Row],[INVERSIONES FCI]]-BR85,Tabla5[[#This Row],[INVERSIONES FCI]])</f>
        <v>21825546970.064102</v>
      </c>
      <c r="BS86" s="5">
        <f>IF($B85&lt;=Tabla5[[#This Row],[INVERSIONES FCI]],+Tabla5[[#This Row],[INVERSIONES FCI]]-BS85,Tabla5[[#This Row],[INVERSIONES FCI]])</f>
        <v>21825546970.064102</v>
      </c>
      <c r="BT86" s="5">
        <f>IF($B85&lt;=Tabla5[[#This Row],[INVERSIONES FCI]],+Tabla5[[#This Row],[INVERSIONES FCI]]-BT85,Tabla5[[#This Row],[INVERSIONES FCI]])</f>
        <v>21825546970.064102</v>
      </c>
      <c r="BU86" s="5">
        <f>IF($B85&lt;=Tabla5[[#This Row],[INVERSIONES FCI]],+Tabla5[[#This Row],[INVERSIONES FCI]]-BU85,Tabla5[[#This Row],[INVERSIONES FCI]])</f>
        <v>21825546970.064102</v>
      </c>
      <c r="BV86" s="5">
        <f>IF($B85&lt;=Tabla5[[#This Row],[INVERSIONES FCI]],+Tabla5[[#This Row],[INVERSIONES FCI]]-BV85,Tabla5[[#This Row],[INVERSIONES FCI]])</f>
        <v>21825546970.064102</v>
      </c>
      <c r="BW86" s="5">
        <f>IF($B85&lt;=Tabla5[[#This Row],[INVERSIONES FCI]],+Tabla5[[#This Row],[INVERSIONES FCI]]-BW85,Tabla5[[#This Row],[INVERSIONES FCI]])</f>
        <v>21825546970.064102</v>
      </c>
      <c r="BX86" s="5">
        <f>IF($B85&lt;=Tabla5[[#This Row],[INVERSIONES FCI]],+Tabla5[[#This Row],[INVERSIONES FCI]]-BX85,Tabla5[[#This Row],[INVERSIONES FCI]])</f>
        <v>21825546970.064102</v>
      </c>
      <c r="BY86" s="5">
        <f>IF($B85&lt;=Tabla5[[#This Row],[INVERSIONES FCI]],+Tabla5[[#This Row],[INVERSIONES FCI]]-BY85,Tabla5[[#This Row],[INVERSIONES FCI]])</f>
        <v>21825546970.064102</v>
      </c>
      <c r="BZ86" s="5">
        <f>IF($B85&lt;=Tabla5[[#This Row],[INVERSIONES FCI]],+Tabla5[[#This Row],[INVERSIONES FCI]]-BZ85,Tabla5[[#This Row],[INVERSIONES FCI]])</f>
        <v>21825546970.064102</v>
      </c>
      <c r="CA86" s="5">
        <f>IF($B85&lt;=Tabla5[[#This Row],[INVERSIONES FCI]],+Tabla5[[#This Row],[INVERSIONES FCI]]-CA85,Tabla5[[#This Row],[INVERSIONES FCI]])</f>
        <v>21825546970.064102</v>
      </c>
      <c r="CB86" s="5">
        <f>IF($B85&lt;=Tabla5[[#This Row],[INVERSIONES FCI]],+Tabla5[[#This Row],[INVERSIONES FCI]]-CB85,Tabla5[[#This Row],[INVERSIONES FCI]])</f>
        <v>21825546970.064102</v>
      </c>
      <c r="CC86" s="5">
        <f>IF($B85&lt;=Tabla5[[#This Row],[INVERSIONES FCI]],+Tabla5[[#This Row],[INVERSIONES FCI]]-CC85,Tabla5[[#This Row],[INVERSIONES FCI]])</f>
        <v>21825546970.064102</v>
      </c>
      <c r="CD86" s="5">
        <f>IF($B85&lt;=Tabla5[[#This Row],[INVERSIONES FCI]],+Tabla5[[#This Row],[INVERSIONES FCI]]-CD85,Tabla5[[#This Row],[INVERSIONES FCI]])</f>
        <v>21825546970.064102</v>
      </c>
      <c r="CE86" s="5">
        <f>IF($B85&lt;=Tabla5[[#This Row],[INVERSIONES FCI]],+Tabla5[[#This Row],[INVERSIONES FCI]]-CE85,Tabla5[[#This Row],[INVERSIONES FCI]])</f>
        <v>21825546970.064102</v>
      </c>
      <c r="CF86" s="5">
        <f>IF($B85&lt;=Tabla5[[#This Row],[INVERSIONES FCI]],+Tabla5[[#This Row],[INVERSIONES FCI]]-CF85,Tabla5[[#This Row],[INVERSIONES FCI]])</f>
        <v>21825546970.064102</v>
      </c>
      <c r="CG86" s="5">
        <f>IF($B85&lt;=Tabla5[[#This Row],[INVERSIONES FCI]],+Tabla5[[#This Row],[INVERSIONES FCI]]-CG85,Tabla5[[#This Row],[INVERSIONES FCI]])</f>
        <v>21825546970.064102</v>
      </c>
      <c r="CH86" s="5">
        <f>IF($B85&lt;=Tabla5[[#This Row],[INVERSIONES FCI]],+Tabla5[[#This Row],[INVERSIONES FCI]]-CH85,Tabla5[[#This Row],[INVERSIONES FCI]])</f>
        <v>21825546970.064102</v>
      </c>
      <c r="CI86" s="5" cm="1">
        <f t="array" ref="CI86">IF(Tabla5[[#This Row],[FCI]]=0,0,_xlfn.XLOOKUP(TRUE,$B86:CH86&gt;0,$B86:CH86,"",0,-1))</f>
        <v>21825546970.064102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</row>
    <row r="87" spans="1:121" ht="14.4">
      <c r="A87" s="12" t="s">
        <v>86</v>
      </c>
      <c r="B87" s="5">
        <f>HLOOKUP($A87,ESCENARIO[#All],7,FALSE)</f>
        <v>27408638488.124184</v>
      </c>
      <c r="C87" s="5">
        <f>IF($B86&lt;=Tabla5[[#This Row],[INVERSIONES FCI]],+Tabla5[[#This Row],[INVERSIONES FCI]]-C86,Tabla5[[#This Row],[INVERSIONES FCI]])</f>
        <v>5583091518.0600815</v>
      </c>
      <c r="D87" s="5">
        <f>IF($B86&lt;=Tabla5[[#This Row],[INVERSIONES FCI]],+Tabla5[[#This Row],[INVERSIONES FCI]]-D86,Tabla5[[#This Row],[INVERSIONES FCI]])</f>
        <v>5583091518.0600815</v>
      </c>
      <c r="E87" s="5">
        <f>IF($B86&lt;=Tabla5[[#This Row],[INVERSIONES FCI]],+Tabla5[[#This Row],[INVERSIONES FCI]]-E86,Tabla5[[#This Row],[INVERSIONES FCI]])</f>
        <v>5583091518.0600815</v>
      </c>
      <c r="F87" s="5">
        <f>IF($B86&lt;=Tabla5[[#This Row],[INVERSIONES FCI]],+Tabla5[[#This Row],[INVERSIONES FCI]]-F86,Tabla5[[#This Row],[INVERSIONES FCI]])</f>
        <v>5583091518.0600815</v>
      </c>
      <c r="G87" s="5">
        <f>IF($B86&lt;=Tabla5[[#This Row],[INVERSIONES FCI]],+Tabla5[[#This Row],[INVERSIONES FCI]]-G86,Tabla5[[#This Row],[INVERSIONES FCI]])</f>
        <v>5583091518.0600815</v>
      </c>
      <c r="H87" s="5">
        <f>IF($B86&lt;=Tabla5[[#This Row],[INVERSIONES FCI]],+Tabla5[[#This Row],[INVERSIONES FCI]]-H86,Tabla5[[#This Row],[INVERSIONES FCI]])</f>
        <v>5583091518.0600815</v>
      </c>
      <c r="I87" s="5">
        <f>IF($B86&lt;=Tabla5[[#This Row],[INVERSIONES FCI]],+Tabla5[[#This Row],[INVERSIONES FCI]]-I86,Tabla5[[#This Row],[INVERSIONES FCI]])</f>
        <v>5583091518.0600815</v>
      </c>
      <c r="J87" s="5">
        <f>IF($B86&lt;=Tabla5[[#This Row],[INVERSIONES FCI]],+Tabla5[[#This Row],[INVERSIONES FCI]]-J86,Tabla5[[#This Row],[INVERSIONES FCI]])</f>
        <v>5583091518.0600815</v>
      </c>
      <c r="K87" s="5">
        <f>IF($B86&lt;=Tabla5[[#This Row],[INVERSIONES FCI]],+Tabla5[[#This Row],[INVERSIONES FCI]]-K86,Tabla5[[#This Row],[INVERSIONES FCI]])</f>
        <v>5583091518.0600815</v>
      </c>
      <c r="L87" s="5">
        <f>IF($B86&lt;=Tabla5[[#This Row],[INVERSIONES FCI]],+Tabla5[[#This Row],[INVERSIONES FCI]]-L86,Tabla5[[#This Row],[INVERSIONES FCI]])</f>
        <v>5583091518.0600815</v>
      </c>
      <c r="M87" s="5">
        <f>IF($B86&lt;=Tabla5[[#This Row],[INVERSIONES FCI]],+Tabla5[[#This Row],[INVERSIONES FCI]]-M86,Tabla5[[#This Row],[INVERSIONES FCI]])</f>
        <v>5583091518.0600815</v>
      </c>
      <c r="N87" s="5">
        <f>IF($B86&lt;=Tabla5[[#This Row],[INVERSIONES FCI]],+Tabla5[[#This Row],[INVERSIONES FCI]]-N86,Tabla5[[#This Row],[INVERSIONES FCI]])</f>
        <v>5583091518.0600815</v>
      </c>
      <c r="O87" s="5">
        <f>IF($B86&lt;=Tabla5[[#This Row],[INVERSIONES FCI]],+Tabla5[[#This Row],[INVERSIONES FCI]]-O86,Tabla5[[#This Row],[INVERSIONES FCI]])</f>
        <v>5583091518.0600815</v>
      </c>
      <c r="P87" s="5">
        <f>IF($B86&lt;=Tabla5[[#This Row],[INVERSIONES FCI]],+Tabla5[[#This Row],[INVERSIONES FCI]]-P86,Tabla5[[#This Row],[INVERSIONES FCI]])</f>
        <v>5583091518.0600815</v>
      </c>
      <c r="Q87" s="5">
        <f>IF($B86&lt;=Tabla5[[#This Row],[INVERSIONES FCI]],+Tabla5[[#This Row],[INVERSIONES FCI]]-Q86,Tabla5[[#This Row],[INVERSIONES FCI]])</f>
        <v>5583091518.0600815</v>
      </c>
      <c r="R87" s="5">
        <f>IF($B86&lt;=Tabla5[[#This Row],[INVERSIONES FCI]],+Tabla5[[#This Row],[INVERSIONES FCI]]-R86,Tabla5[[#This Row],[INVERSIONES FCI]])</f>
        <v>5583091518.0600815</v>
      </c>
      <c r="S87" s="5">
        <f>IF($B86&lt;=Tabla5[[#This Row],[INVERSIONES FCI]],+Tabla5[[#This Row],[INVERSIONES FCI]]-S86,Tabla5[[#This Row],[INVERSIONES FCI]])</f>
        <v>5583091518.0600815</v>
      </c>
      <c r="T87" s="5">
        <f>IF($B86&lt;=Tabla5[[#This Row],[INVERSIONES FCI]],+Tabla5[[#This Row],[INVERSIONES FCI]]-T86,Tabla5[[#This Row],[INVERSIONES FCI]])</f>
        <v>5583091518.0600815</v>
      </c>
      <c r="U87" s="5">
        <f>IF($B86&lt;=Tabla5[[#This Row],[INVERSIONES FCI]],+Tabla5[[#This Row],[INVERSIONES FCI]]-U86,Tabla5[[#This Row],[INVERSIONES FCI]])</f>
        <v>5583091518.0600815</v>
      </c>
      <c r="V87" s="5">
        <f>IF($B86&lt;=Tabla5[[#This Row],[INVERSIONES FCI]],+Tabla5[[#This Row],[INVERSIONES FCI]]-V86,Tabla5[[#This Row],[INVERSIONES FCI]])</f>
        <v>5583091518.0600815</v>
      </c>
      <c r="W87" s="5">
        <f>IF($B86&lt;=Tabla5[[#This Row],[INVERSIONES FCI]],+Tabla5[[#This Row],[INVERSIONES FCI]]-W86,Tabla5[[#This Row],[INVERSIONES FCI]])</f>
        <v>5583091518.0600815</v>
      </c>
      <c r="X87" s="5">
        <f>IF($B86&lt;=Tabla5[[#This Row],[INVERSIONES FCI]],+Tabla5[[#This Row],[INVERSIONES FCI]]-X86,Tabla5[[#This Row],[INVERSIONES FCI]])</f>
        <v>5583091518.0600815</v>
      </c>
      <c r="Y87" s="5">
        <f>IF($B86&lt;=Tabla5[[#This Row],[INVERSIONES FCI]],+Tabla5[[#This Row],[INVERSIONES FCI]]-Y86,Tabla5[[#This Row],[INVERSIONES FCI]])</f>
        <v>5583091518.0600815</v>
      </c>
      <c r="Z87" s="5">
        <f>IF($B86&lt;=Tabla5[[#This Row],[INVERSIONES FCI]],+Tabla5[[#This Row],[INVERSIONES FCI]]-Z86,Tabla5[[#This Row],[INVERSIONES FCI]])</f>
        <v>5583091518.0600815</v>
      </c>
      <c r="AA87" s="5">
        <f>IF($B86&lt;=Tabla5[[#This Row],[INVERSIONES FCI]],+Tabla5[[#This Row],[INVERSIONES FCI]]-AA86,Tabla5[[#This Row],[INVERSIONES FCI]])</f>
        <v>5583091518.0600815</v>
      </c>
      <c r="AB87" s="5">
        <f>IF($B86&lt;=Tabla5[[#This Row],[INVERSIONES FCI]],+Tabla5[[#This Row],[INVERSIONES FCI]]-AB86,Tabla5[[#This Row],[INVERSIONES FCI]])</f>
        <v>5583091518.0600815</v>
      </c>
      <c r="AC87" s="5">
        <f>IF($B86&lt;=Tabla5[[#This Row],[INVERSIONES FCI]],+Tabla5[[#This Row],[INVERSIONES FCI]]-AC86,Tabla5[[#This Row],[INVERSIONES FCI]])</f>
        <v>5583091518.0600815</v>
      </c>
      <c r="AD87" s="5">
        <f>IF($B86&lt;=Tabla5[[#This Row],[INVERSIONES FCI]],+Tabla5[[#This Row],[INVERSIONES FCI]]-AD86,Tabla5[[#This Row],[INVERSIONES FCI]])</f>
        <v>5583091518.0600815</v>
      </c>
      <c r="AE87" s="5">
        <f>IF($B86&lt;=Tabla5[[#This Row],[INVERSIONES FCI]],+Tabla5[[#This Row],[INVERSIONES FCI]]-AE86,Tabla5[[#This Row],[INVERSIONES FCI]])</f>
        <v>5583091518.0600815</v>
      </c>
      <c r="AF87" s="5">
        <f>IF($B86&lt;=Tabla5[[#This Row],[INVERSIONES FCI]],+Tabla5[[#This Row],[INVERSIONES FCI]]-AF86,Tabla5[[#This Row],[INVERSIONES FCI]])</f>
        <v>5583091518.0600815</v>
      </c>
      <c r="AG87" s="5">
        <f>IF($B86&lt;=Tabla5[[#This Row],[INVERSIONES FCI]],+Tabla5[[#This Row],[INVERSIONES FCI]]-AG86,Tabla5[[#This Row],[INVERSIONES FCI]])</f>
        <v>5583091518.0600815</v>
      </c>
      <c r="AH87" s="5">
        <f>IF($B86&lt;=Tabla5[[#This Row],[INVERSIONES FCI]],+Tabla5[[#This Row],[INVERSIONES FCI]]-AH86,Tabla5[[#This Row],[INVERSIONES FCI]])</f>
        <v>5583091518.0600815</v>
      </c>
      <c r="AI87" s="5">
        <f>IF($B86&lt;=Tabla5[[#This Row],[INVERSIONES FCI]],+Tabla5[[#This Row],[INVERSIONES FCI]]-AI86,Tabla5[[#This Row],[INVERSIONES FCI]])</f>
        <v>5583091518.0600815</v>
      </c>
      <c r="AJ87" s="5">
        <f>IF($B86&lt;=Tabla5[[#This Row],[INVERSIONES FCI]],+Tabla5[[#This Row],[INVERSIONES FCI]]-AJ86,Tabla5[[#This Row],[INVERSIONES FCI]])</f>
        <v>5583091518.0600815</v>
      </c>
      <c r="AK87" s="5">
        <f>IF($B86&lt;=Tabla5[[#This Row],[INVERSIONES FCI]],+Tabla5[[#This Row],[INVERSIONES FCI]]-AK86,Tabla5[[#This Row],[INVERSIONES FCI]])</f>
        <v>5583091518.0600815</v>
      </c>
      <c r="AL87" s="5">
        <f>IF($B86&lt;=Tabla5[[#This Row],[INVERSIONES FCI]],+Tabla5[[#This Row],[INVERSIONES FCI]]-AL86,Tabla5[[#This Row],[INVERSIONES FCI]])</f>
        <v>5583091518.0600815</v>
      </c>
      <c r="AM87" s="5">
        <f>IF($B86&lt;=Tabla5[[#This Row],[INVERSIONES FCI]],+Tabla5[[#This Row],[INVERSIONES FCI]]-AM86,Tabla5[[#This Row],[INVERSIONES FCI]])</f>
        <v>5583091518.0600815</v>
      </c>
      <c r="AN87" s="5">
        <f>IF($B86&lt;=Tabla5[[#This Row],[INVERSIONES FCI]],+Tabla5[[#This Row],[INVERSIONES FCI]]-AN86,Tabla5[[#This Row],[INVERSIONES FCI]])</f>
        <v>5583091518.0600815</v>
      </c>
      <c r="AO87" s="5">
        <f>IF($B86&lt;=Tabla5[[#This Row],[INVERSIONES FCI]],+Tabla5[[#This Row],[INVERSIONES FCI]]-AO86,Tabla5[[#This Row],[INVERSIONES FCI]])</f>
        <v>5583091518.0600815</v>
      </c>
      <c r="AP87" s="5">
        <f>IF($B86&lt;=Tabla5[[#This Row],[INVERSIONES FCI]],+Tabla5[[#This Row],[INVERSIONES FCI]]-AP86,Tabla5[[#This Row],[INVERSIONES FCI]])</f>
        <v>5583091518.0600815</v>
      </c>
      <c r="AQ87" s="5">
        <f>IF($B86&lt;=Tabla5[[#This Row],[INVERSIONES FCI]],+Tabla5[[#This Row],[INVERSIONES FCI]]-AQ86,Tabla5[[#This Row],[INVERSIONES FCI]])</f>
        <v>5583091518.0600815</v>
      </c>
      <c r="AR87" s="5">
        <f>IF($B86&lt;=Tabla5[[#This Row],[INVERSIONES FCI]],+Tabla5[[#This Row],[INVERSIONES FCI]]-AR86,Tabla5[[#This Row],[INVERSIONES FCI]])</f>
        <v>5583091518.0600815</v>
      </c>
      <c r="AS87" s="5">
        <f>IF($B86&lt;=Tabla5[[#This Row],[INVERSIONES FCI]],+Tabla5[[#This Row],[INVERSIONES FCI]]-AS86,Tabla5[[#This Row],[INVERSIONES FCI]])</f>
        <v>5583091518.0600815</v>
      </c>
      <c r="AT87" s="5">
        <f>IF($B86&lt;=Tabla5[[#This Row],[INVERSIONES FCI]],+Tabla5[[#This Row],[INVERSIONES FCI]]-AT86,Tabla5[[#This Row],[INVERSIONES FCI]])</f>
        <v>5583091518.0600815</v>
      </c>
      <c r="AU87" s="5">
        <f>IF($B86&lt;=Tabla5[[#This Row],[INVERSIONES FCI]],+Tabla5[[#This Row],[INVERSIONES FCI]]-AU86,Tabla5[[#This Row],[INVERSIONES FCI]])</f>
        <v>5583091518.0600815</v>
      </c>
      <c r="AV87" s="5">
        <f>IF($B86&lt;=Tabla5[[#This Row],[INVERSIONES FCI]],+Tabla5[[#This Row],[INVERSIONES FCI]]-AV86,Tabla5[[#This Row],[INVERSIONES FCI]])</f>
        <v>5583091518.0600815</v>
      </c>
      <c r="AW87" s="5">
        <f>IF($B86&lt;=Tabla5[[#This Row],[INVERSIONES FCI]],+Tabla5[[#This Row],[INVERSIONES FCI]]-AW86,Tabla5[[#This Row],[INVERSIONES FCI]])</f>
        <v>5583091518.0600815</v>
      </c>
      <c r="AX87" s="5">
        <f>IF($B86&lt;=Tabla5[[#This Row],[INVERSIONES FCI]],+Tabla5[[#This Row],[INVERSIONES FCI]]-AX86,Tabla5[[#This Row],[INVERSIONES FCI]])</f>
        <v>5583091518.0600815</v>
      </c>
      <c r="AY87" s="5">
        <f>IF($B86&lt;=Tabla5[[#This Row],[INVERSIONES FCI]],+Tabla5[[#This Row],[INVERSIONES FCI]]-AY86,Tabla5[[#This Row],[INVERSIONES FCI]])</f>
        <v>5583091518.0600815</v>
      </c>
      <c r="AZ87" s="5">
        <f>IF($B86&lt;=Tabla5[[#This Row],[INVERSIONES FCI]],+Tabla5[[#This Row],[INVERSIONES FCI]]-AZ86,Tabla5[[#This Row],[INVERSIONES FCI]])</f>
        <v>5583091518.0600815</v>
      </c>
      <c r="BA87" s="5">
        <f>IF($B86&lt;=Tabla5[[#This Row],[INVERSIONES FCI]],+Tabla5[[#This Row],[INVERSIONES FCI]]-BA86,Tabla5[[#This Row],[INVERSIONES FCI]])</f>
        <v>5583091518.0600815</v>
      </c>
      <c r="BB87" s="5">
        <f>IF($B86&lt;=Tabla5[[#This Row],[INVERSIONES FCI]],+Tabla5[[#This Row],[INVERSIONES FCI]]-BB86,Tabla5[[#This Row],[INVERSIONES FCI]])</f>
        <v>5583091518.0600815</v>
      </c>
      <c r="BC87" s="5">
        <f>IF($B86&lt;=Tabla5[[#This Row],[INVERSIONES FCI]],+Tabla5[[#This Row],[INVERSIONES FCI]]-BC86,Tabla5[[#This Row],[INVERSIONES FCI]])</f>
        <v>5583091518.0600815</v>
      </c>
      <c r="BD87" s="5">
        <f>IF($B86&lt;=Tabla5[[#This Row],[INVERSIONES FCI]],+Tabla5[[#This Row],[INVERSIONES FCI]]-BD86,Tabla5[[#This Row],[INVERSIONES FCI]])</f>
        <v>5583091518.0600815</v>
      </c>
      <c r="BE87" s="5">
        <f>IF($B86&lt;=Tabla5[[#This Row],[INVERSIONES FCI]],+Tabla5[[#This Row],[INVERSIONES FCI]]-BE86,Tabla5[[#This Row],[INVERSIONES FCI]])</f>
        <v>5583091518.0600815</v>
      </c>
      <c r="BF87" s="5">
        <f>IF($B86&lt;=Tabla5[[#This Row],[INVERSIONES FCI]],+Tabla5[[#This Row],[INVERSIONES FCI]]-BF86,Tabla5[[#This Row],[INVERSIONES FCI]])</f>
        <v>5583091518.0600815</v>
      </c>
      <c r="BG87" s="5">
        <f>IF($B86&lt;=Tabla5[[#This Row],[INVERSIONES FCI]],+Tabla5[[#This Row],[INVERSIONES FCI]]-BG86,Tabla5[[#This Row],[INVERSIONES FCI]])</f>
        <v>5583091518.0600815</v>
      </c>
      <c r="BH87" s="5">
        <f>IF($B86&lt;=Tabla5[[#This Row],[INVERSIONES FCI]],+Tabla5[[#This Row],[INVERSIONES FCI]]-BH86,Tabla5[[#This Row],[INVERSIONES FCI]])</f>
        <v>5583091518.0600815</v>
      </c>
      <c r="BI87" s="5">
        <f>IF($B86&lt;=Tabla5[[#This Row],[INVERSIONES FCI]],+Tabla5[[#This Row],[INVERSIONES FCI]]-BI86,Tabla5[[#This Row],[INVERSIONES FCI]])</f>
        <v>5583091518.0600815</v>
      </c>
      <c r="BJ87" s="5">
        <f>IF($B86&lt;=Tabla5[[#This Row],[INVERSIONES FCI]],+Tabla5[[#This Row],[INVERSIONES FCI]]-BJ86,Tabla5[[#This Row],[INVERSIONES FCI]])</f>
        <v>5583091518.0600815</v>
      </c>
      <c r="BK87" s="5">
        <f>IF($B86&lt;=Tabla5[[#This Row],[INVERSIONES FCI]],+Tabla5[[#This Row],[INVERSIONES FCI]]-BK86,Tabla5[[#This Row],[INVERSIONES FCI]])</f>
        <v>5583091518.0600815</v>
      </c>
      <c r="BL87" s="5">
        <f>IF($B86&lt;=Tabla5[[#This Row],[INVERSIONES FCI]],+Tabla5[[#This Row],[INVERSIONES FCI]]-BL86,Tabla5[[#This Row],[INVERSIONES FCI]])</f>
        <v>5583091518.0600815</v>
      </c>
      <c r="BM87" s="5">
        <f>IF($B86&lt;=Tabla5[[#This Row],[INVERSIONES FCI]],+Tabla5[[#This Row],[INVERSIONES FCI]]-BM86,Tabla5[[#This Row],[INVERSIONES FCI]])</f>
        <v>5583091518.0600815</v>
      </c>
      <c r="BN87" s="5">
        <f>IF($B86&lt;=Tabla5[[#This Row],[INVERSIONES FCI]],+Tabla5[[#This Row],[INVERSIONES FCI]]-BN86,Tabla5[[#This Row],[INVERSIONES FCI]])</f>
        <v>5583091518.0600815</v>
      </c>
      <c r="BO87" s="5">
        <f>IF($B86&lt;=Tabla5[[#This Row],[INVERSIONES FCI]],+Tabla5[[#This Row],[INVERSIONES FCI]]-BO86,Tabla5[[#This Row],[INVERSIONES FCI]])</f>
        <v>5583091518.0600815</v>
      </c>
      <c r="BP87" s="5">
        <f>IF($B86&lt;=Tabla5[[#This Row],[INVERSIONES FCI]],+Tabla5[[#This Row],[INVERSIONES FCI]]-BP86,Tabla5[[#This Row],[INVERSIONES FCI]])</f>
        <v>5583091518.0600815</v>
      </c>
      <c r="BQ87" s="5">
        <f>IF($B86&lt;=Tabla5[[#This Row],[INVERSIONES FCI]],+Tabla5[[#This Row],[INVERSIONES FCI]]-BQ86,Tabla5[[#This Row],[INVERSIONES FCI]])</f>
        <v>5583091518.0600815</v>
      </c>
      <c r="BR87" s="5">
        <f>IF($B86&lt;=Tabla5[[#This Row],[INVERSIONES FCI]],+Tabla5[[#This Row],[INVERSIONES FCI]]-BR86,Tabla5[[#This Row],[INVERSIONES FCI]])</f>
        <v>5583091518.0600815</v>
      </c>
      <c r="BS87" s="5">
        <f>IF($B86&lt;=Tabla5[[#This Row],[INVERSIONES FCI]],+Tabla5[[#This Row],[INVERSIONES FCI]]-BS86,Tabla5[[#This Row],[INVERSIONES FCI]])</f>
        <v>5583091518.0600815</v>
      </c>
      <c r="BT87" s="5">
        <f>IF($B86&lt;=Tabla5[[#This Row],[INVERSIONES FCI]],+Tabla5[[#This Row],[INVERSIONES FCI]]-BT86,Tabla5[[#This Row],[INVERSIONES FCI]])</f>
        <v>5583091518.0600815</v>
      </c>
      <c r="BU87" s="5">
        <f>IF($B86&lt;=Tabla5[[#This Row],[INVERSIONES FCI]],+Tabla5[[#This Row],[INVERSIONES FCI]]-BU86,Tabla5[[#This Row],[INVERSIONES FCI]])</f>
        <v>5583091518.0600815</v>
      </c>
      <c r="BV87" s="5">
        <f>IF($B86&lt;=Tabla5[[#This Row],[INVERSIONES FCI]],+Tabla5[[#This Row],[INVERSIONES FCI]]-BV86,Tabla5[[#This Row],[INVERSIONES FCI]])</f>
        <v>5583091518.0600815</v>
      </c>
      <c r="BW87" s="5">
        <f>IF($B86&lt;=Tabla5[[#This Row],[INVERSIONES FCI]],+Tabla5[[#This Row],[INVERSIONES FCI]]-BW86,Tabla5[[#This Row],[INVERSIONES FCI]])</f>
        <v>5583091518.0600815</v>
      </c>
      <c r="BX87" s="5">
        <f>IF($B86&lt;=Tabla5[[#This Row],[INVERSIONES FCI]],+Tabla5[[#This Row],[INVERSIONES FCI]]-BX86,Tabla5[[#This Row],[INVERSIONES FCI]])</f>
        <v>5583091518.0600815</v>
      </c>
      <c r="BY87" s="5">
        <f>IF($B86&lt;=Tabla5[[#This Row],[INVERSIONES FCI]],+Tabla5[[#This Row],[INVERSIONES FCI]]-BY86,Tabla5[[#This Row],[INVERSIONES FCI]])</f>
        <v>5583091518.0600815</v>
      </c>
      <c r="BZ87" s="5">
        <f>IF($B86&lt;=Tabla5[[#This Row],[INVERSIONES FCI]],+Tabla5[[#This Row],[INVERSIONES FCI]]-BZ86,Tabla5[[#This Row],[INVERSIONES FCI]])</f>
        <v>5583091518.0600815</v>
      </c>
      <c r="CA87" s="5">
        <f>IF($B86&lt;=Tabla5[[#This Row],[INVERSIONES FCI]],+Tabla5[[#This Row],[INVERSIONES FCI]]-CA86,Tabla5[[#This Row],[INVERSIONES FCI]])</f>
        <v>5583091518.0600815</v>
      </c>
      <c r="CB87" s="5">
        <f>IF($B86&lt;=Tabla5[[#This Row],[INVERSIONES FCI]],+Tabla5[[#This Row],[INVERSIONES FCI]]-CB86,Tabla5[[#This Row],[INVERSIONES FCI]])</f>
        <v>5583091518.0600815</v>
      </c>
      <c r="CC87" s="5">
        <f>IF($B86&lt;=Tabla5[[#This Row],[INVERSIONES FCI]],+Tabla5[[#This Row],[INVERSIONES FCI]]-CC86,Tabla5[[#This Row],[INVERSIONES FCI]])</f>
        <v>5583091518.0600815</v>
      </c>
      <c r="CD87" s="5">
        <f>IF($B86&lt;=Tabla5[[#This Row],[INVERSIONES FCI]],+Tabla5[[#This Row],[INVERSIONES FCI]]-CD86,Tabla5[[#This Row],[INVERSIONES FCI]])</f>
        <v>5583091518.0600815</v>
      </c>
      <c r="CE87" s="5">
        <f>IF($B86&lt;=Tabla5[[#This Row],[INVERSIONES FCI]],+Tabla5[[#This Row],[INVERSIONES FCI]]-CE86,Tabla5[[#This Row],[INVERSIONES FCI]])</f>
        <v>5583091518.0600815</v>
      </c>
      <c r="CF87" s="5">
        <f>IF($B86&lt;=Tabla5[[#This Row],[INVERSIONES FCI]],+Tabla5[[#This Row],[INVERSIONES FCI]]-CF86,Tabla5[[#This Row],[INVERSIONES FCI]])</f>
        <v>5583091518.0600815</v>
      </c>
      <c r="CG87" s="5">
        <f>IF($B86&lt;=Tabla5[[#This Row],[INVERSIONES FCI]],+Tabla5[[#This Row],[INVERSIONES FCI]]-CG86,Tabla5[[#This Row],[INVERSIONES FCI]])</f>
        <v>5583091518.0600815</v>
      </c>
      <c r="CH87" s="5">
        <f>IF($B86&lt;=Tabla5[[#This Row],[INVERSIONES FCI]],+Tabla5[[#This Row],[INVERSIONES FCI]]-CH86,Tabla5[[#This Row],[INVERSIONES FCI]])</f>
        <v>5583091518.0600815</v>
      </c>
      <c r="CI87" s="5">
        <f>IF($B86&lt;=Tabla5[[#This Row],[INVERSIONES FCI]],+Tabla5[[#This Row],[INVERSIONES FCI]]-CI86,Tabla5[[#This Row],[INVERSIONES FCI]])</f>
        <v>5583091518.0600815</v>
      </c>
      <c r="CJ87" s="5" cm="1">
        <f t="array" ref="CJ87">IF(Tabla5[[#This Row],[FCI]]=0,0,_xlfn.XLOOKUP(TRUE,$B87:CI87&gt;0,$B87:CI87,"",0,-1))</f>
        <v>5583091518.0600815</v>
      </c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</row>
    <row r="88" spans="1:121" ht="14.4">
      <c r="A88" s="12" t="s">
        <v>87</v>
      </c>
      <c r="B88" s="5">
        <f>HLOOKUP($A88,ESCENARIO[#All],7,FALSE)</f>
        <v>23856474196.679142</v>
      </c>
      <c r="C88" s="5">
        <f>IF($B87&lt;=Tabla5[[#This Row],[INVERSIONES FCI]],+Tabla5[[#This Row],[INVERSIONES FCI]]-C87,Tabla5[[#This Row],[INVERSIONES FCI]])</f>
        <v>23856474196.679142</v>
      </c>
      <c r="D88" s="5">
        <f>IF($B87&lt;=Tabla5[[#This Row],[INVERSIONES FCI]],+Tabla5[[#This Row],[INVERSIONES FCI]]-D87,Tabla5[[#This Row],[INVERSIONES FCI]])</f>
        <v>23856474196.679142</v>
      </c>
      <c r="E88" s="5">
        <f>IF($B87&lt;=Tabla5[[#This Row],[INVERSIONES FCI]],+Tabla5[[#This Row],[INVERSIONES FCI]]-E87,Tabla5[[#This Row],[INVERSIONES FCI]])</f>
        <v>23856474196.679142</v>
      </c>
      <c r="F88" s="5">
        <f>IF($B87&lt;=Tabla5[[#This Row],[INVERSIONES FCI]],+Tabla5[[#This Row],[INVERSIONES FCI]]-F87,Tabla5[[#This Row],[INVERSIONES FCI]])</f>
        <v>23856474196.679142</v>
      </c>
      <c r="G88" s="5">
        <f>IF($B87&lt;=Tabla5[[#This Row],[INVERSIONES FCI]],+Tabla5[[#This Row],[INVERSIONES FCI]]-G87,Tabla5[[#This Row],[INVERSIONES FCI]])</f>
        <v>23856474196.679142</v>
      </c>
      <c r="H88" s="5">
        <f>IF($B87&lt;=Tabla5[[#This Row],[INVERSIONES FCI]],+Tabla5[[#This Row],[INVERSIONES FCI]]-H87,Tabla5[[#This Row],[INVERSIONES FCI]])</f>
        <v>23856474196.679142</v>
      </c>
      <c r="I88" s="5">
        <f>IF($B87&lt;=Tabla5[[#This Row],[INVERSIONES FCI]],+Tabla5[[#This Row],[INVERSIONES FCI]]-I87,Tabla5[[#This Row],[INVERSIONES FCI]])</f>
        <v>23856474196.679142</v>
      </c>
      <c r="J88" s="5">
        <f>IF($B87&lt;=Tabla5[[#This Row],[INVERSIONES FCI]],+Tabla5[[#This Row],[INVERSIONES FCI]]-J87,Tabla5[[#This Row],[INVERSIONES FCI]])</f>
        <v>23856474196.679142</v>
      </c>
      <c r="K88" s="5">
        <f>IF($B87&lt;=Tabla5[[#This Row],[INVERSIONES FCI]],+Tabla5[[#This Row],[INVERSIONES FCI]]-K87,Tabla5[[#This Row],[INVERSIONES FCI]])</f>
        <v>23856474196.679142</v>
      </c>
      <c r="L88" s="5">
        <f>IF($B87&lt;=Tabla5[[#This Row],[INVERSIONES FCI]],+Tabla5[[#This Row],[INVERSIONES FCI]]-L87,Tabla5[[#This Row],[INVERSIONES FCI]])</f>
        <v>23856474196.679142</v>
      </c>
      <c r="M88" s="5">
        <f>IF($B87&lt;=Tabla5[[#This Row],[INVERSIONES FCI]],+Tabla5[[#This Row],[INVERSIONES FCI]]-M87,Tabla5[[#This Row],[INVERSIONES FCI]])</f>
        <v>23856474196.679142</v>
      </c>
      <c r="N88" s="5">
        <f>IF($B87&lt;=Tabla5[[#This Row],[INVERSIONES FCI]],+Tabla5[[#This Row],[INVERSIONES FCI]]-N87,Tabla5[[#This Row],[INVERSIONES FCI]])</f>
        <v>23856474196.679142</v>
      </c>
      <c r="O88" s="5">
        <f>IF($B87&lt;=Tabla5[[#This Row],[INVERSIONES FCI]],+Tabla5[[#This Row],[INVERSIONES FCI]]-O87,Tabla5[[#This Row],[INVERSIONES FCI]])</f>
        <v>23856474196.679142</v>
      </c>
      <c r="P88" s="5">
        <f>IF($B87&lt;=Tabla5[[#This Row],[INVERSIONES FCI]],+Tabla5[[#This Row],[INVERSIONES FCI]]-P87,Tabla5[[#This Row],[INVERSIONES FCI]])</f>
        <v>23856474196.679142</v>
      </c>
      <c r="Q88" s="5">
        <f>IF($B87&lt;=Tabla5[[#This Row],[INVERSIONES FCI]],+Tabla5[[#This Row],[INVERSIONES FCI]]-Q87,Tabla5[[#This Row],[INVERSIONES FCI]])</f>
        <v>23856474196.679142</v>
      </c>
      <c r="R88" s="5">
        <f>IF($B87&lt;=Tabla5[[#This Row],[INVERSIONES FCI]],+Tabla5[[#This Row],[INVERSIONES FCI]]-R87,Tabla5[[#This Row],[INVERSIONES FCI]])</f>
        <v>23856474196.679142</v>
      </c>
      <c r="S88" s="5">
        <f>IF($B87&lt;=Tabla5[[#This Row],[INVERSIONES FCI]],+Tabla5[[#This Row],[INVERSIONES FCI]]-S87,Tabla5[[#This Row],[INVERSIONES FCI]])</f>
        <v>23856474196.679142</v>
      </c>
      <c r="T88" s="5">
        <f>IF($B87&lt;=Tabla5[[#This Row],[INVERSIONES FCI]],+Tabla5[[#This Row],[INVERSIONES FCI]]-T87,Tabla5[[#This Row],[INVERSIONES FCI]])</f>
        <v>23856474196.679142</v>
      </c>
      <c r="U88" s="5">
        <f>IF($B87&lt;=Tabla5[[#This Row],[INVERSIONES FCI]],+Tabla5[[#This Row],[INVERSIONES FCI]]-U87,Tabla5[[#This Row],[INVERSIONES FCI]])</f>
        <v>23856474196.679142</v>
      </c>
      <c r="V88" s="5">
        <f>IF($B87&lt;=Tabla5[[#This Row],[INVERSIONES FCI]],+Tabla5[[#This Row],[INVERSIONES FCI]]-V87,Tabla5[[#This Row],[INVERSIONES FCI]])</f>
        <v>23856474196.679142</v>
      </c>
      <c r="W88" s="5">
        <f>IF($B87&lt;=Tabla5[[#This Row],[INVERSIONES FCI]],+Tabla5[[#This Row],[INVERSIONES FCI]]-W87,Tabla5[[#This Row],[INVERSIONES FCI]])</f>
        <v>23856474196.679142</v>
      </c>
      <c r="X88" s="5">
        <f>IF($B87&lt;=Tabla5[[#This Row],[INVERSIONES FCI]],+Tabla5[[#This Row],[INVERSIONES FCI]]-X87,Tabla5[[#This Row],[INVERSIONES FCI]])</f>
        <v>23856474196.679142</v>
      </c>
      <c r="Y88" s="5">
        <f>IF($B87&lt;=Tabla5[[#This Row],[INVERSIONES FCI]],+Tabla5[[#This Row],[INVERSIONES FCI]]-Y87,Tabla5[[#This Row],[INVERSIONES FCI]])</f>
        <v>23856474196.679142</v>
      </c>
      <c r="Z88" s="5">
        <f>IF($B87&lt;=Tabla5[[#This Row],[INVERSIONES FCI]],+Tabla5[[#This Row],[INVERSIONES FCI]]-Z87,Tabla5[[#This Row],[INVERSIONES FCI]])</f>
        <v>23856474196.679142</v>
      </c>
      <c r="AA88" s="5">
        <f>IF($B87&lt;=Tabla5[[#This Row],[INVERSIONES FCI]],+Tabla5[[#This Row],[INVERSIONES FCI]]-AA87,Tabla5[[#This Row],[INVERSIONES FCI]])</f>
        <v>23856474196.679142</v>
      </c>
      <c r="AB88" s="5">
        <f>IF($B87&lt;=Tabla5[[#This Row],[INVERSIONES FCI]],+Tabla5[[#This Row],[INVERSIONES FCI]]-AB87,Tabla5[[#This Row],[INVERSIONES FCI]])</f>
        <v>23856474196.679142</v>
      </c>
      <c r="AC88" s="5">
        <f>IF($B87&lt;=Tabla5[[#This Row],[INVERSIONES FCI]],+Tabla5[[#This Row],[INVERSIONES FCI]]-AC87,Tabla5[[#This Row],[INVERSIONES FCI]])</f>
        <v>23856474196.679142</v>
      </c>
      <c r="AD88" s="5">
        <f>IF($B87&lt;=Tabla5[[#This Row],[INVERSIONES FCI]],+Tabla5[[#This Row],[INVERSIONES FCI]]-AD87,Tabla5[[#This Row],[INVERSIONES FCI]])</f>
        <v>23856474196.679142</v>
      </c>
      <c r="AE88" s="5">
        <f>IF($B87&lt;=Tabla5[[#This Row],[INVERSIONES FCI]],+Tabla5[[#This Row],[INVERSIONES FCI]]-AE87,Tabla5[[#This Row],[INVERSIONES FCI]])</f>
        <v>23856474196.679142</v>
      </c>
      <c r="AF88" s="5">
        <f>IF($B87&lt;=Tabla5[[#This Row],[INVERSIONES FCI]],+Tabla5[[#This Row],[INVERSIONES FCI]]-AF87,Tabla5[[#This Row],[INVERSIONES FCI]])</f>
        <v>23856474196.679142</v>
      </c>
      <c r="AG88" s="5">
        <f>IF($B87&lt;=Tabla5[[#This Row],[INVERSIONES FCI]],+Tabla5[[#This Row],[INVERSIONES FCI]]-AG87,Tabla5[[#This Row],[INVERSIONES FCI]])</f>
        <v>23856474196.679142</v>
      </c>
      <c r="AH88" s="5">
        <f>IF($B87&lt;=Tabla5[[#This Row],[INVERSIONES FCI]],+Tabla5[[#This Row],[INVERSIONES FCI]]-AH87,Tabla5[[#This Row],[INVERSIONES FCI]])</f>
        <v>23856474196.679142</v>
      </c>
      <c r="AI88" s="5">
        <f>IF($B87&lt;=Tabla5[[#This Row],[INVERSIONES FCI]],+Tabla5[[#This Row],[INVERSIONES FCI]]-AI87,Tabla5[[#This Row],[INVERSIONES FCI]])</f>
        <v>23856474196.679142</v>
      </c>
      <c r="AJ88" s="5">
        <f>IF($B87&lt;=Tabla5[[#This Row],[INVERSIONES FCI]],+Tabla5[[#This Row],[INVERSIONES FCI]]-AJ87,Tabla5[[#This Row],[INVERSIONES FCI]])</f>
        <v>23856474196.679142</v>
      </c>
      <c r="AK88" s="5">
        <f>IF($B87&lt;=Tabla5[[#This Row],[INVERSIONES FCI]],+Tabla5[[#This Row],[INVERSIONES FCI]]-AK87,Tabla5[[#This Row],[INVERSIONES FCI]])</f>
        <v>23856474196.679142</v>
      </c>
      <c r="AL88" s="5">
        <f>IF($B87&lt;=Tabla5[[#This Row],[INVERSIONES FCI]],+Tabla5[[#This Row],[INVERSIONES FCI]]-AL87,Tabla5[[#This Row],[INVERSIONES FCI]])</f>
        <v>23856474196.679142</v>
      </c>
      <c r="AM88" s="5">
        <f>IF($B87&lt;=Tabla5[[#This Row],[INVERSIONES FCI]],+Tabla5[[#This Row],[INVERSIONES FCI]]-AM87,Tabla5[[#This Row],[INVERSIONES FCI]])</f>
        <v>23856474196.679142</v>
      </c>
      <c r="AN88" s="5">
        <f>IF($B87&lt;=Tabla5[[#This Row],[INVERSIONES FCI]],+Tabla5[[#This Row],[INVERSIONES FCI]]-AN87,Tabla5[[#This Row],[INVERSIONES FCI]])</f>
        <v>23856474196.679142</v>
      </c>
      <c r="AO88" s="5">
        <f>IF($B87&lt;=Tabla5[[#This Row],[INVERSIONES FCI]],+Tabla5[[#This Row],[INVERSIONES FCI]]-AO87,Tabla5[[#This Row],[INVERSIONES FCI]])</f>
        <v>23856474196.679142</v>
      </c>
      <c r="AP88" s="5">
        <f>IF($B87&lt;=Tabla5[[#This Row],[INVERSIONES FCI]],+Tabla5[[#This Row],[INVERSIONES FCI]]-AP87,Tabla5[[#This Row],[INVERSIONES FCI]])</f>
        <v>23856474196.679142</v>
      </c>
      <c r="AQ88" s="5">
        <f>IF($B87&lt;=Tabla5[[#This Row],[INVERSIONES FCI]],+Tabla5[[#This Row],[INVERSIONES FCI]]-AQ87,Tabla5[[#This Row],[INVERSIONES FCI]])</f>
        <v>23856474196.679142</v>
      </c>
      <c r="AR88" s="5">
        <f>IF($B87&lt;=Tabla5[[#This Row],[INVERSIONES FCI]],+Tabla5[[#This Row],[INVERSIONES FCI]]-AR87,Tabla5[[#This Row],[INVERSIONES FCI]])</f>
        <v>23856474196.679142</v>
      </c>
      <c r="AS88" s="5">
        <f>IF($B87&lt;=Tabla5[[#This Row],[INVERSIONES FCI]],+Tabla5[[#This Row],[INVERSIONES FCI]]-AS87,Tabla5[[#This Row],[INVERSIONES FCI]])</f>
        <v>23856474196.679142</v>
      </c>
      <c r="AT88" s="5">
        <f>IF($B87&lt;=Tabla5[[#This Row],[INVERSIONES FCI]],+Tabla5[[#This Row],[INVERSIONES FCI]]-AT87,Tabla5[[#This Row],[INVERSIONES FCI]])</f>
        <v>23856474196.679142</v>
      </c>
      <c r="AU88" s="5">
        <f>IF($B87&lt;=Tabla5[[#This Row],[INVERSIONES FCI]],+Tabla5[[#This Row],[INVERSIONES FCI]]-AU87,Tabla5[[#This Row],[INVERSIONES FCI]])</f>
        <v>23856474196.679142</v>
      </c>
      <c r="AV88" s="5">
        <f>IF($B87&lt;=Tabla5[[#This Row],[INVERSIONES FCI]],+Tabla5[[#This Row],[INVERSIONES FCI]]-AV87,Tabla5[[#This Row],[INVERSIONES FCI]])</f>
        <v>23856474196.679142</v>
      </c>
      <c r="AW88" s="5">
        <f>IF($B87&lt;=Tabla5[[#This Row],[INVERSIONES FCI]],+Tabla5[[#This Row],[INVERSIONES FCI]]-AW87,Tabla5[[#This Row],[INVERSIONES FCI]])</f>
        <v>23856474196.679142</v>
      </c>
      <c r="AX88" s="5">
        <f>IF($B87&lt;=Tabla5[[#This Row],[INVERSIONES FCI]],+Tabla5[[#This Row],[INVERSIONES FCI]]-AX87,Tabla5[[#This Row],[INVERSIONES FCI]])</f>
        <v>23856474196.679142</v>
      </c>
      <c r="AY88" s="5">
        <f>IF($B87&lt;=Tabla5[[#This Row],[INVERSIONES FCI]],+Tabla5[[#This Row],[INVERSIONES FCI]]-AY87,Tabla5[[#This Row],[INVERSIONES FCI]])</f>
        <v>23856474196.679142</v>
      </c>
      <c r="AZ88" s="5">
        <f>IF($B87&lt;=Tabla5[[#This Row],[INVERSIONES FCI]],+Tabla5[[#This Row],[INVERSIONES FCI]]-AZ87,Tabla5[[#This Row],[INVERSIONES FCI]])</f>
        <v>23856474196.679142</v>
      </c>
      <c r="BA88" s="5">
        <f>IF($B87&lt;=Tabla5[[#This Row],[INVERSIONES FCI]],+Tabla5[[#This Row],[INVERSIONES FCI]]-BA87,Tabla5[[#This Row],[INVERSIONES FCI]])</f>
        <v>23856474196.679142</v>
      </c>
      <c r="BB88" s="5">
        <f>IF($B87&lt;=Tabla5[[#This Row],[INVERSIONES FCI]],+Tabla5[[#This Row],[INVERSIONES FCI]]-BB87,Tabla5[[#This Row],[INVERSIONES FCI]])</f>
        <v>23856474196.679142</v>
      </c>
      <c r="BC88" s="5">
        <f>IF($B87&lt;=Tabla5[[#This Row],[INVERSIONES FCI]],+Tabla5[[#This Row],[INVERSIONES FCI]]-BC87,Tabla5[[#This Row],[INVERSIONES FCI]])</f>
        <v>23856474196.679142</v>
      </c>
      <c r="BD88" s="5">
        <f>IF($B87&lt;=Tabla5[[#This Row],[INVERSIONES FCI]],+Tabla5[[#This Row],[INVERSIONES FCI]]-BD87,Tabla5[[#This Row],[INVERSIONES FCI]])</f>
        <v>23856474196.679142</v>
      </c>
      <c r="BE88" s="5">
        <f>IF($B87&lt;=Tabla5[[#This Row],[INVERSIONES FCI]],+Tabla5[[#This Row],[INVERSIONES FCI]]-BE87,Tabla5[[#This Row],[INVERSIONES FCI]])</f>
        <v>23856474196.679142</v>
      </c>
      <c r="BF88" s="5">
        <f>IF($B87&lt;=Tabla5[[#This Row],[INVERSIONES FCI]],+Tabla5[[#This Row],[INVERSIONES FCI]]-BF87,Tabla5[[#This Row],[INVERSIONES FCI]])</f>
        <v>23856474196.679142</v>
      </c>
      <c r="BG88" s="5">
        <f>IF($B87&lt;=Tabla5[[#This Row],[INVERSIONES FCI]],+Tabla5[[#This Row],[INVERSIONES FCI]]-BG87,Tabla5[[#This Row],[INVERSIONES FCI]])</f>
        <v>23856474196.679142</v>
      </c>
      <c r="BH88" s="5">
        <f>IF($B87&lt;=Tabla5[[#This Row],[INVERSIONES FCI]],+Tabla5[[#This Row],[INVERSIONES FCI]]-BH87,Tabla5[[#This Row],[INVERSIONES FCI]])</f>
        <v>23856474196.679142</v>
      </c>
      <c r="BI88" s="5">
        <f>IF($B87&lt;=Tabla5[[#This Row],[INVERSIONES FCI]],+Tabla5[[#This Row],[INVERSIONES FCI]]-BI87,Tabla5[[#This Row],[INVERSIONES FCI]])</f>
        <v>23856474196.679142</v>
      </c>
      <c r="BJ88" s="5">
        <f>IF($B87&lt;=Tabla5[[#This Row],[INVERSIONES FCI]],+Tabla5[[#This Row],[INVERSIONES FCI]]-BJ87,Tabla5[[#This Row],[INVERSIONES FCI]])</f>
        <v>23856474196.679142</v>
      </c>
      <c r="BK88" s="5">
        <f>IF($B87&lt;=Tabla5[[#This Row],[INVERSIONES FCI]],+Tabla5[[#This Row],[INVERSIONES FCI]]-BK87,Tabla5[[#This Row],[INVERSIONES FCI]])</f>
        <v>23856474196.679142</v>
      </c>
      <c r="BL88" s="5">
        <f>IF($B87&lt;=Tabla5[[#This Row],[INVERSIONES FCI]],+Tabla5[[#This Row],[INVERSIONES FCI]]-BL87,Tabla5[[#This Row],[INVERSIONES FCI]])</f>
        <v>23856474196.679142</v>
      </c>
      <c r="BM88" s="5">
        <f>IF($B87&lt;=Tabla5[[#This Row],[INVERSIONES FCI]],+Tabla5[[#This Row],[INVERSIONES FCI]]-BM87,Tabla5[[#This Row],[INVERSIONES FCI]])</f>
        <v>23856474196.679142</v>
      </c>
      <c r="BN88" s="5">
        <f>IF($B87&lt;=Tabla5[[#This Row],[INVERSIONES FCI]],+Tabla5[[#This Row],[INVERSIONES FCI]]-BN87,Tabla5[[#This Row],[INVERSIONES FCI]])</f>
        <v>23856474196.679142</v>
      </c>
      <c r="BO88" s="5">
        <f>IF($B87&lt;=Tabla5[[#This Row],[INVERSIONES FCI]],+Tabla5[[#This Row],[INVERSIONES FCI]]-BO87,Tabla5[[#This Row],[INVERSIONES FCI]])</f>
        <v>23856474196.679142</v>
      </c>
      <c r="BP88" s="5">
        <f>IF($B87&lt;=Tabla5[[#This Row],[INVERSIONES FCI]],+Tabla5[[#This Row],[INVERSIONES FCI]]-BP87,Tabla5[[#This Row],[INVERSIONES FCI]])</f>
        <v>23856474196.679142</v>
      </c>
      <c r="BQ88" s="5">
        <f>IF($B87&lt;=Tabla5[[#This Row],[INVERSIONES FCI]],+Tabla5[[#This Row],[INVERSIONES FCI]]-BQ87,Tabla5[[#This Row],[INVERSIONES FCI]])</f>
        <v>23856474196.679142</v>
      </c>
      <c r="BR88" s="5">
        <f>IF($B87&lt;=Tabla5[[#This Row],[INVERSIONES FCI]],+Tabla5[[#This Row],[INVERSIONES FCI]]-BR87,Tabla5[[#This Row],[INVERSIONES FCI]])</f>
        <v>23856474196.679142</v>
      </c>
      <c r="BS88" s="5">
        <f>IF($B87&lt;=Tabla5[[#This Row],[INVERSIONES FCI]],+Tabla5[[#This Row],[INVERSIONES FCI]]-BS87,Tabla5[[#This Row],[INVERSIONES FCI]])</f>
        <v>23856474196.679142</v>
      </c>
      <c r="BT88" s="5">
        <f>IF($B87&lt;=Tabla5[[#This Row],[INVERSIONES FCI]],+Tabla5[[#This Row],[INVERSIONES FCI]]-BT87,Tabla5[[#This Row],[INVERSIONES FCI]])</f>
        <v>23856474196.679142</v>
      </c>
      <c r="BU88" s="5">
        <f>IF($B87&lt;=Tabla5[[#This Row],[INVERSIONES FCI]],+Tabla5[[#This Row],[INVERSIONES FCI]]-BU87,Tabla5[[#This Row],[INVERSIONES FCI]])</f>
        <v>23856474196.679142</v>
      </c>
      <c r="BV88" s="5">
        <f>IF($B87&lt;=Tabla5[[#This Row],[INVERSIONES FCI]],+Tabla5[[#This Row],[INVERSIONES FCI]]-BV87,Tabla5[[#This Row],[INVERSIONES FCI]])</f>
        <v>23856474196.679142</v>
      </c>
      <c r="BW88" s="5">
        <f>IF($B87&lt;=Tabla5[[#This Row],[INVERSIONES FCI]],+Tabla5[[#This Row],[INVERSIONES FCI]]-BW87,Tabla5[[#This Row],[INVERSIONES FCI]])</f>
        <v>23856474196.679142</v>
      </c>
      <c r="BX88" s="5">
        <f>IF($B87&lt;=Tabla5[[#This Row],[INVERSIONES FCI]],+Tabla5[[#This Row],[INVERSIONES FCI]]-BX87,Tabla5[[#This Row],[INVERSIONES FCI]])</f>
        <v>23856474196.679142</v>
      </c>
      <c r="BY88" s="5">
        <f>IF($B87&lt;=Tabla5[[#This Row],[INVERSIONES FCI]],+Tabla5[[#This Row],[INVERSIONES FCI]]-BY87,Tabla5[[#This Row],[INVERSIONES FCI]])</f>
        <v>23856474196.679142</v>
      </c>
      <c r="BZ88" s="5">
        <f>IF($B87&lt;=Tabla5[[#This Row],[INVERSIONES FCI]],+Tabla5[[#This Row],[INVERSIONES FCI]]-BZ87,Tabla5[[#This Row],[INVERSIONES FCI]])</f>
        <v>23856474196.679142</v>
      </c>
      <c r="CA88" s="5">
        <f>IF($B87&lt;=Tabla5[[#This Row],[INVERSIONES FCI]],+Tabla5[[#This Row],[INVERSIONES FCI]]-CA87,Tabla5[[#This Row],[INVERSIONES FCI]])</f>
        <v>23856474196.679142</v>
      </c>
      <c r="CB88" s="5">
        <f>IF($B87&lt;=Tabla5[[#This Row],[INVERSIONES FCI]],+Tabla5[[#This Row],[INVERSIONES FCI]]-CB87,Tabla5[[#This Row],[INVERSIONES FCI]])</f>
        <v>23856474196.679142</v>
      </c>
      <c r="CC88" s="5">
        <f>IF($B87&lt;=Tabla5[[#This Row],[INVERSIONES FCI]],+Tabla5[[#This Row],[INVERSIONES FCI]]-CC87,Tabla5[[#This Row],[INVERSIONES FCI]])</f>
        <v>23856474196.679142</v>
      </c>
      <c r="CD88" s="5">
        <f>IF($B87&lt;=Tabla5[[#This Row],[INVERSIONES FCI]],+Tabla5[[#This Row],[INVERSIONES FCI]]-CD87,Tabla5[[#This Row],[INVERSIONES FCI]])</f>
        <v>23856474196.679142</v>
      </c>
      <c r="CE88" s="5">
        <f>IF($B87&lt;=Tabla5[[#This Row],[INVERSIONES FCI]],+Tabla5[[#This Row],[INVERSIONES FCI]]-CE87,Tabla5[[#This Row],[INVERSIONES FCI]])</f>
        <v>23856474196.679142</v>
      </c>
      <c r="CF88" s="5">
        <f>IF($B87&lt;=Tabla5[[#This Row],[INVERSIONES FCI]],+Tabla5[[#This Row],[INVERSIONES FCI]]-CF87,Tabla5[[#This Row],[INVERSIONES FCI]])</f>
        <v>23856474196.679142</v>
      </c>
      <c r="CG88" s="5">
        <f>IF($B87&lt;=Tabla5[[#This Row],[INVERSIONES FCI]],+Tabla5[[#This Row],[INVERSIONES FCI]]-CG87,Tabla5[[#This Row],[INVERSIONES FCI]])</f>
        <v>23856474196.679142</v>
      </c>
      <c r="CH88" s="5">
        <f>IF($B87&lt;=Tabla5[[#This Row],[INVERSIONES FCI]],+Tabla5[[#This Row],[INVERSIONES FCI]]-CH87,Tabla5[[#This Row],[INVERSIONES FCI]])</f>
        <v>23856474196.679142</v>
      </c>
      <c r="CI88" s="5">
        <f>IF($B87&lt;=Tabla5[[#This Row],[INVERSIONES FCI]],+Tabla5[[#This Row],[INVERSIONES FCI]]-CI87,Tabla5[[#This Row],[INVERSIONES FCI]])</f>
        <v>23856474196.679142</v>
      </c>
      <c r="CJ88" s="5">
        <f>IF($B87&lt;=Tabla5[[#This Row],[INVERSIONES FCI]],+Tabla5[[#This Row],[INVERSIONES FCI]]-CJ87,Tabla5[[#This Row],[INVERSIONES FCI]])</f>
        <v>23856474196.679142</v>
      </c>
      <c r="CK88" s="5" cm="1">
        <f t="array" ref="CK88">IF(Tabla5[[#This Row],[FCI]]=0,0,_xlfn.XLOOKUP(TRUE,$B88:CJ88&gt;0,$B88:CJ88,"",0,-1))</f>
        <v>23856474196.679142</v>
      </c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</row>
    <row r="89" spans="1:121" ht="14.4">
      <c r="A89" s="12" t="s">
        <v>88</v>
      </c>
      <c r="B89" s="5">
        <f>HLOOKUP($A89,ESCENARIO[#All],7,FALSE)</f>
        <v>25074523302.934689</v>
      </c>
      <c r="C89" s="5">
        <f>IF($B88&lt;=Tabla5[[#This Row],[INVERSIONES FCI]],+Tabla5[[#This Row],[INVERSIONES FCI]]-C88,Tabla5[[#This Row],[INVERSIONES FCI]])</f>
        <v>1218049106.2555466</v>
      </c>
      <c r="D89" s="5">
        <f>IF($B88&lt;=Tabla5[[#This Row],[INVERSIONES FCI]],+Tabla5[[#This Row],[INVERSIONES FCI]]-D88,Tabla5[[#This Row],[INVERSIONES FCI]])</f>
        <v>1218049106.2555466</v>
      </c>
      <c r="E89" s="5">
        <f>IF($B88&lt;=Tabla5[[#This Row],[INVERSIONES FCI]],+Tabla5[[#This Row],[INVERSIONES FCI]]-E88,Tabla5[[#This Row],[INVERSIONES FCI]])</f>
        <v>1218049106.2555466</v>
      </c>
      <c r="F89" s="5">
        <f>IF($B88&lt;=Tabla5[[#This Row],[INVERSIONES FCI]],+Tabla5[[#This Row],[INVERSIONES FCI]]-F88,Tabla5[[#This Row],[INVERSIONES FCI]])</f>
        <v>1218049106.2555466</v>
      </c>
      <c r="G89" s="5">
        <f>IF($B88&lt;=Tabla5[[#This Row],[INVERSIONES FCI]],+Tabla5[[#This Row],[INVERSIONES FCI]]-G88,Tabla5[[#This Row],[INVERSIONES FCI]])</f>
        <v>1218049106.2555466</v>
      </c>
      <c r="H89" s="5">
        <f>IF($B88&lt;=Tabla5[[#This Row],[INVERSIONES FCI]],+Tabla5[[#This Row],[INVERSIONES FCI]]-H88,Tabla5[[#This Row],[INVERSIONES FCI]])</f>
        <v>1218049106.2555466</v>
      </c>
      <c r="I89" s="5">
        <f>IF($B88&lt;=Tabla5[[#This Row],[INVERSIONES FCI]],+Tabla5[[#This Row],[INVERSIONES FCI]]-I88,Tabla5[[#This Row],[INVERSIONES FCI]])</f>
        <v>1218049106.2555466</v>
      </c>
      <c r="J89" s="5">
        <f>IF($B88&lt;=Tabla5[[#This Row],[INVERSIONES FCI]],+Tabla5[[#This Row],[INVERSIONES FCI]]-J88,Tabla5[[#This Row],[INVERSIONES FCI]])</f>
        <v>1218049106.2555466</v>
      </c>
      <c r="K89" s="5">
        <f>IF($B88&lt;=Tabla5[[#This Row],[INVERSIONES FCI]],+Tabla5[[#This Row],[INVERSIONES FCI]]-K88,Tabla5[[#This Row],[INVERSIONES FCI]])</f>
        <v>1218049106.2555466</v>
      </c>
      <c r="L89" s="5">
        <f>IF($B88&lt;=Tabla5[[#This Row],[INVERSIONES FCI]],+Tabla5[[#This Row],[INVERSIONES FCI]]-L88,Tabla5[[#This Row],[INVERSIONES FCI]])</f>
        <v>1218049106.2555466</v>
      </c>
      <c r="M89" s="5">
        <f>IF($B88&lt;=Tabla5[[#This Row],[INVERSIONES FCI]],+Tabla5[[#This Row],[INVERSIONES FCI]]-M88,Tabla5[[#This Row],[INVERSIONES FCI]])</f>
        <v>1218049106.2555466</v>
      </c>
      <c r="N89" s="5">
        <f>IF($B88&lt;=Tabla5[[#This Row],[INVERSIONES FCI]],+Tabla5[[#This Row],[INVERSIONES FCI]]-N88,Tabla5[[#This Row],[INVERSIONES FCI]])</f>
        <v>1218049106.2555466</v>
      </c>
      <c r="O89" s="5">
        <f>IF($B88&lt;=Tabla5[[#This Row],[INVERSIONES FCI]],+Tabla5[[#This Row],[INVERSIONES FCI]]-O88,Tabla5[[#This Row],[INVERSIONES FCI]])</f>
        <v>1218049106.2555466</v>
      </c>
      <c r="P89" s="5">
        <f>IF($B88&lt;=Tabla5[[#This Row],[INVERSIONES FCI]],+Tabla5[[#This Row],[INVERSIONES FCI]]-P88,Tabla5[[#This Row],[INVERSIONES FCI]])</f>
        <v>1218049106.2555466</v>
      </c>
      <c r="Q89" s="5">
        <f>IF($B88&lt;=Tabla5[[#This Row],[INVERSIONES FCI]],+Tabla5[[#This Row],[INVERSIONES FCI]]-Q88,Tabla5[[#This Row],[INVERSIONES FCI]])</f>
        <v>1218049106.2555466</v>
      </c>
      <c r="R89" s="5">
        <f>IF($B88&lt;=Tabla5[[#This Row],[INVERSIONES FCI]],+Tabla5[[#This Row],[INVERSIONES FCI]]-R88,Tabla5[[#This Row],[INVERSIONES FCI]])</f>
        <v>1218049106.2555466</v>
      </c>
      <c r="S89" s="5">
        <f>IF($B88&lt;=Tabla5[[#This Row],[INVERSIONES FCI]],+Tabla5[[#This Row],[INVERSIONES FCI]]-S88,Tabla5[[#This Row],[INVERSIONES FCI]])</f>
        <v>1218049106.2555466</v>
      </c>
      <c r="T89" s="5">
        <f>IF($B88&lt;=Tabla5[[#This Row],[INVERSIONES FCI]],+Tabla5[[#This Row],[INVERSIONES FCI]]-T88,Tabla5[[#This Row],[INVERSIONES FCI]])</f>
        <v>1218049106.2555466</v>
      </c>
      <c r="U89" s="5">
        <f>IF($B88&lt;=Tabla5[[#This Row],[INVERSIONES FCI]],+Tabla5[[#This Row],[INVERSIONES FCI]]-U88,Tabla5[[#This Row],[INVERSIONES FCI]])</f>
        <v>1218049106.2555466</v>
      </c>
      <c r="V89" s="5">
        <f>IF($B88&lt;=Tabla5[[#This Row],[INVERSIONES FCI]],+Tabla5[[#This Row],[INVERSIONES FCI]]-V88,Tabla5[[#This Row],[INVERSIONES FCI]])</f>
        <v>1218049106.2555466</v>
      </c>
      <c r="W89" s="5">
        <f>IF($B88&lt;=Tabla5[[#This Row],[INVERSIONES FCI]],+Tabla5[[#This Row],[INVERSIONES FCI]]-W88,Tabla5[[#This Row],[INVERSIONES FCI]])</f>
        <v>1218049106.2555466</v>
      </c>
      <c r="X89" s="5">
        <f>IF($B88&lt;=Tabla5[[#This Row],[INVERSIONES FCI]],+Tabla5[[#This Row],[INVERSIONES FCI]]-X88,Tabla5[[#This Row],[INVERSIONES FCI]])</f>
        <v>1218049106.2555466</v>
      </c>
      <c r="Y89" s="5">
        <f>IF($B88&lt;=Tabla5[[#This Row],[INVERSIONES FCI]],+Tabla5[[#This Row],[INVERSIONES FCI]]-Y88,Tabla5[[#This Row],[INVERSIONES FCI]])</f>
        <v>1218049106.2555466</v>
      </c>
      <c r="Z89" s="5">
        <f>IF($B88&lt;=Tabla5[[#This Row],[INVERSIONES FCI]],+Tabla5[[#This Row],[INVERSIONES FCI]]-Z88,Tabla5[[#This Row],[INVERSIONES FCI]])</f>
        <v>1218049106.2555466</v>
      </c>
      <c r="AA89" s="5">
        <f>IF($B88&lt;=Tabla5[[#This Row],[INVERSIONES FCI]],+Tabla5[[#This Row],[INVERSIONES FCI]]-AA88,Tabla5[[#This Row],[INVERSIONES FCI]])</f>
        <v>1218049106.2555466</v>
      </c>
      <c r="AB89" s="5">
        <f>IF($B88&lt;=Tabla5[[#This Row],[INVERSIONES FCI]],+Tabla5[[#This Row],[INVERSIONES FCI]]-AB88,Tabla5[[#This Row],[INVERSIONES FCI]])</f>
        <v>1218049106.2555466</v>
      </c>
      <c r="AC89" s="5">
        <f>IF($B88&lt;=Tabla5[[#This Row],[INVERSIONES FCI]],+Tabla5[[#This Row],[INVERSIONES FCI]]-AC88,Tabla5[[#This Row],[INVERSIONES FCI]])</f>
        <v>1218049106.2555466</v>
      </c>
      <c r="AD89" s="5">
        <f>IF($B88&lt;=Tabla5[[#This Row],[INVERSIONES FCI]],+Tabla5[[#This Row],[INVERSIONES FCI]]-AD88,Tabla5[[#This Row],[INVERSIONES FCI]])</f>
        <v>1218049106.2555466</v>
      </c>
      <c r="AE89" s="5">
        <f>IF($B88&lt;=Tabla5[[#This Row],[INVERSIONES FCI]],+Tabla5[[#This Row],[INVERSIONES FCI]]-AE88,Tabla5[[#This Row],[INVERSIONES FCI]])</f>
        <v>1218049106.2555466</v>
      </c>
      <c r="AF89" s="5">
        <f>IF($B88&lt;=Tabla5[[#This Row],[INVERSIONES FCI]],+Tabla5[[#This Row],[INVERSIONES FCI]]-AF88,Tabla5[[#This Row],[INVERSIONES FCI]])</f>
        <v>1218049106.2555466</v>
      </c>
      <c r="AG89" s="5">
        <f>IF($B88&lt;=Tabla5[[#This Row],[INVERSIONES FCI]],+Tabla5[[#This Row],[INVERSIONES FCI]]-AG88,Tabla5[[#This Row],[INVERSIONES FCI]])</f>
        <v>1218049106.2555466</v>
      </c>
      <c r="AH89" s="5">
        <f>IF($B88&lt;=Tabla5[[#This Row],[INVERSIONES FCI]],+Tabla5[[#This Row],[INVERSIONES FCI]]-AH88,Tabla5[[#This Row],[INVERSIONES FCI]])</f>
        <v>1218049106.2555466</v>
      </c>
      <c r="AI89" s="5">
        <f>IF($B88&lt;=Tabla5[[#This Row],[INVERSIONES FCI]],+Tabla5[[#This Row],[INVERSIONES FCI]]-AI88,Tabla5[[#This Row],[INVERSIONES FCI]])</f>
        <v>1218049106.2555466</v>
      </c>
      <c r="AJ89" s="5">
        <f>IF($B88&lt;=Tabla5[[#This Row],[INVERSIONES FCI]],+Tabla5[[#This Row],[INVERSIONES FCI]]-AJ88,Tabla5[[#This Row],[INVERSIONES FCI]])</f>
        <v>1218049106.2555466</v>
      </c>
      <c r="AK89" s="5">
        <f>IF($B88&lt;=Tabla5[[#This Row],[INVERSIONES FCI]],+Tabla5[[#This Row],[INVERSIONES FCI]]-AK88,Tabla5[[#This Row],[INVERSIONES FCI]])</f>
        <v>1218049106.2555466</v>
      </c>
      <c r="AL89" s="5">
        <f>IF($B88&lt;=Tabla5[[#This Row],[INVERSIONES FCI]],+Tabla5[[#This Row],[INVERSIONES FCI]]-AL88,Tabla5[[#This Row],[INVERSIONES FCI]])</f>
        <v>1218049106.2555466</v>
      </c>
      <c r="AM89" s="5">
        <f>IF($B88&lt;=Tabla5[[#This Row],[INVERSIONES FCI]],+Tabla5[[#This Row],[INVERSIONES FCI]]-AM88,Tabla5[[#This Row],[INVERSIONES FCI]])</f>
        <v>1218049106.2555466</v>
      </c>
      <c r="AN89" s="5">
        <f>IF($B88&lt;=Tabla5[[#This Row],[INVERSIONES FCI]],+Tabla5[[#This Row],[INVERSIONES FCI]]-AN88,Tabla5[[#This Row],[INVERSIONES FCI]])</f>
        <v>1218049106.2555466</v>
      </c>
      <c r="AO89" s="5">
        <f>IF($B88&lt;=Tabla5[[#This Row],[INVERSIONES FCI]],+Tabla5[[#This Row],[INVERSIONES FCI]]-AO88,Tabla5[[#This Row],[INVERSIONES FCI]])</f>
        <v>1218049106.2555466</v>
      </c>
      <c r="AP89" s="5">
        <f>IF($B88&lt;=Tabla5[[#This Row],[INVERSIONES FCI]],+Tabla5[[#This Row],[INVERSIONES FCI]]-AP88,Tabla5[[#This Row],[INVERSIONES FCI]])</f>
        <v>1218049106.2555466</v>
      </c>
      <c r="AQ89" s="5">
        <f>IF($B88&lt;=Tabla5[[#This Row],[INVERSIONES FCI]],+Tabla5[[#This Row],[INVERSIONES FCI]]-AQ88,Tabla5[[#This Row],[INVERSIONES FCI]])</f>
        <v>1218049106.2555466</v>
      </c>
      <c r="AR89" s="5">
        <f>IF($B88&lt;=Tabla5[[#This Row],[INVERSIONES FCI]],+Tabla5[[#This Row],[INVERSIONES FCI]]-AR88,Tabla5[[#This Row],[INVERSIONES FCI]])</f>
        <v>1218049106.2555466</v>
      </c>
      <c r="AS89" s="5">
        <f>IF($B88&lt;=Tabla5[[#This Row],[INVERSIONES FCI]],+Tabla5[[#This Row],[INVERSIONES FCI]]-AS88,Tabla5[[#This Row],[INVERSIONES FCI]])</f>
        <v>1218049106.2555466</v>
      </c>
      <c r="AT89" s="5">
        <f>IF($B88&lt;=Tabla5[[#This Row],[INVERSIONES FCI]],+Tabla5[[#This Row],[INVERSIONES FCI]]-AT88,Tabla5[[#This Row],[INVERSIONES FCI]])</f>
        <v>1218049106.2555466</v>
      </c>
      <c r="AU89" s="5">
        <f>IF($B88&lt;=Tabla5[[#This Row],[INVERSIONES FCI]],+Tabla5[[#This Row],[INVERSIONES FCI]]-AU88,Tabla5[[#This Row],[INVERSIONES FCI]])</f>
        <v>1218049106.2555466</v>
      </c>
      <c r="AV89" s="5">
        <f>IF($B88&lt;=Tabla5[[#This Row],[INVERSIONES FCI]],+Tabla5[[#This Row],[INVERSIONES FCI]]-AV88,Tabla5[[#This Row],[INVERSIONES FCI]])</f>
        <v>1218049106.2555466</v>
      </c>
      <c r="AW89" s="5">
        <f>IF($B88&lt;=Tabla5[[#This Row],[INVERSIONES FCI]],+Tabla5[[#This Row],[INVERSIONES FCI]]-AW88,Tabla5[[#This Row],[INVERSIONES FCI]])</f>
        <v>1218049106.2555466</v>
      </c>
      <c r="AX89" s="5">
        <f>IF($B88&lt;=Tabla5[[#This Row],[INVERSIONES FCI]],+Tabla5[[#This Row],[INVERSIONES FCI]]-AX88,Tabla5[[#This Row],[INVERSIONES FCI]])</f>
        <v>1218049106.2555466</v>
      </c>
      <c r="AY89" s="5">
        <f>IF($B88&lt;=Tabla5[[#This Row],[INVERSIONES FCI]],+Tabla5[[#This Row],[INVERSIONES FCI]]-AY88,Tabla5[[#This Row],[INVERSIONES FCI]])</f>
        <v>1218049106.2555466</v>
      </c>
      <c r="AZ89" s="5">
        <f>IF($B88&lt;=Tabla5[[#This Row],[INVERSIONES FCI]],+Tabla5[[#This Row],[INVERSIONES FCI]]-AZ88,Tabla5[[#This Row],[INVERSIONES FCI]])</f>
        <v>1218049106.2555466</v>
      </c>
      <c r="BA89" s="5">
        <f>IF($B88&lt;=Tabla5[[#This Row],[INVERSIONES FCI]],+Tabla5[[#This Row],[INVERSIONES FCI]]-BA88,Tabla5[[#This Row],[INVERSIONES FCI]])</f>
        <v>1218049106.2555466</v>
      </c>
      <c r="BB89" s="5">
        <f>IF($B88&lt;=Tabla5[[#This Row],[INVERSIONES FCI]],+Tabla5[[#This Row],[INVERSIONES FCI]]-BB88,Tabla5[[#This Row],[INVERSIONES FCI]])</f>
        <v>1218049106.2555466</v>
      </c>
      <c r="BC89" s="5">
        <f>IF($B88&lt;=Tabla5[[#This Row],[INVERSIONES FCI]],+Tabla5[[#This Row],[INVERSIONES FCI]]-BC88,Tabla5[[#This Row],[INVERSIONES FCI]])</f>
        <v>1218049106.2555466</v>
      </c>
      <c r="BD89" s="5">
        <f>IF($B88&lt;=Tabla5[[#This Row],[INVERSIONES FCI]],+Tabla5[[#This Row],[INVERSIONES FCI]]-BD88,Tabla5[[#This Row],[INVERSIONES FCI]])</f>
        <v>1218049106.2555466</v>
      </c>
      <c r="BE89" s="5">
        <f>IF($B88&lt;=Tabla5[[#This Row],[INVERSIONES FCI]],+Tabla5[[#This Row],[INVERSIONES FCI]]-BE88,Tabla5[[#This Row],[INVERSIONES FCI]])</f>
        <v>1218049106.2555466</v>
      </c>
      <c r="BF89" s="5">
        <f>IF($B88&lt;=Tabla5[[#This Row],[INVERSIONES FCI]],+Tabla5[[#This Row],[INVERSIONES FCI]]-BF88,Tabla5[[#This Row],[INVERSIONES FCI]])</f>
        <v>1218049106.2555466</v>
      </c>
      <c r="BG89" s="5">
        <f>IF($B88&lt;=Tabla5[[#This Row],[INVERSIONES FCI]],+Tabla5[[#This Row],[INVERSIONES FCI]]-BG88,Tabla5[[#This Row],[INVERSIONES FCI]])</f>
        <v>1218049106.2555466</v>
      </c>
      <c r="BH89" s="5">
        <f>IF($B88&lt;=Tabla5[[#This Row],[INVERSIONES FCI]],+Tabla5[[#This Row],[INVERSIONES FCI]]-BH88,Tabla5[[#This Row],[INVERSIONES FCI]])</f>
        <v>1218049106.2555466</v>
      </c>
      <c r="BI89" s="5">
        <f>IF($B88&lt;=Tabla5[[#This Row],[INVERSIONES FCI]],+Tabla5[[#This Row],[INVERSIONES FCI]]-BI88,Tabla5[[#This Row],[INVERSIONES FCI]])</f>
        <v>1218049106.2555466</v>
      </c>
      <c r="BJ89" s="5">
        <f>IF($B88&lt;=Tabla5[[#This Row],[INVERSIONES FCI]],+Tabla5[[#This Row],[INVERSIONES FCI]]-BJ88,Tabla5[[#This Row],[INVERSIONES FCI]])</f>
        <v>1218049106.2555466</v>
      </c>
      <c r="BK89" s="5">
        <f>IF($B88&lt;=Tabla5[[#This Row],[INVERSIONES FCI]],+Tabla5[[#This Row],[INVERSIONES FCI]]-BK88,Tabla5[[#This Row],[INVERSIONES FCI]])</f>
        <v>1218049106.2555466</v>
      </c>
      <c r="BL89" s="5">
        <f>IF($B88&lt;=Tabla5[[#This Row],[INVERSIONES FCI]],+Tabla5[[#This Row],[INVERSIONES FCI]]-BL88,Tabla5[[#This Row],[INVERSIONES FCI]])</f>
        <v>1218049106.2555466</v>
      </c>
      <c r="BM89" s="5">
        <f>IF($B88&lt;=Tabla5[[#This Row],[INVERSIONES FCI]],+Tabla5[[#This Row],[INVERSIONES FCI]]-BM88,Tabla5[[#This Row],[INVERSIONES FCI]])</f>
        <v>1218049106.2555466</v>
      </c>
      <c r="BN89" s="5">
        <f>IF($B88&lt;=Tabla5[[#This Row],[INVERSIONES FCI]],+Tabla5[[#This Row],[INVERSIONES FCI]]-BN88,Tabla5[[#This Row],[INVERSIONES FCI]])</f>
        <v>1218049106.2555466</v>
      </c>
      <c r="BO89" s="5">
        <f>IF($B88&lt;=Tabla5[[#This Row],[INVERSIONES FCI]],+Tabla5[[#This Row],[INVERSIONES FCI]]-BO88,Tabla5[[#This Row],[INVERSIONES FCI]])</f>
        <v>1218049106.2555466</v>
      </c>
      <c r="BP89" s="5">
        <f>IF($B88&lt;=Tabla5[[#This Row],[INVERSIONES FCI]],+Tabla5[[#This Row],[INVERSIONES FCI]]-BP88,Tabla5[[#This Row],[INVERSIONES FCI]])</f>
        <v>1218049106.2555466</v>
      </c>
      <c r="BQ89" s="5">
        <f>IF($B88&lt;=Tabla5[[#This Row],[INVERSIONES FCI]],+Tabla5[[#This Row],[INVERSIONES FCI]]-BQ88,Tabla5[[#This Row],[INVERSIONES FCI]])</f>
        <v>1218049106.2555466</v>
      </c>
      <c r="BR89" s="5">
        <f>IF($B88&lt;=Tabla5[[#This Row],[INVERSIONES FCI]],+Tabla5[[#This Row],[INVERSIONES FCI]]-BR88,Tabla5[[#This Row],[INVERSIONES FCI]])</f>
        <v>1218049106.2555466</v>
      </c>
      <c r="BS89" s="5">
        <f>IF($B88&lt;=Tabla5[[#This Row],[INVERSIONES FCI]],+Tabla5[[#This Row],[INVERSIONES FCI]]-BS88,Tabla5[[#This Row],[INVERSIONES FCI]])</f>
        <v>1218049106.2555466</v>
      </c>
      <c r="BT89" s="5">
        <f>IF($B88&lt;=Tabla5[[#This Row],[INVERSIONES FCI]],+Tabla5[[#This Row],[INVERSIONES FCI]]-BT88,Tabla5[[#This Row],[INVERSIONES FCI]])</f>
        <v>1218049106.2555466</v>
      </c>
      <c r="BU89" s="5">
        <f>IF($B88&lt;=Tabla5[[#This Row],[INVERSIONES FCI]],+Tabla5[[#This Row],[INVERSIONES FCI]]-BU88,Tabla5[[#This Row],[INVERSIONES FCI]])</f>
        <v>1218049106.2555466</v>
      </c>
      <c r="BV89" s="5">
        <f>IF($B88&lt;=Tabla5[[#This Row],[INVERSIONES FCI]],+Tabla5[[#This Row],[INVERSIONES FCI]]-BV88,Tabla5[[#This Row],[INVERSIONES FCI]])</f>
        <v>1218049106.2555466</v>
      </c>
      <c r="BW89" s="5">
        <f>IF($B88&lt;=Tabla5[[#This Row],[INVERSIONES FCI]],+Tabla5[[#This Row],[INVERSIONES FCI]]-BW88,Tabla5[[#This Row],[INVERSIONES FCI]])</f>
        <v>1218049106.2555466</v>
      </c>
      <c r="BX89" s="5">
        <f>IF($B88&lt;=Tabla5[[#This Row],[INVERSIONES FCI]],+Tabla5[[#This Row],[INVERSIONES FCI]]-BX88,Tabla5[[#This Row],[INVERSIONES FCI]])</f>
        <v>1218049106.2555466</v>
      </c>
      <c r="BY89" s="5">
        <f>IF($B88&lt;=Tabla5[[#This Row],[INVERSIONES FCI]],+Tabla5[[#This Row],[INVERSIONES FCI]]-BY88,Tabla5[[#This Row],[INVERSIONES FCI]])</f>
        <v>1218049106.2555466</v>
      </c>
      <c r="BZ89" s="5">
        <f>IF($B88&lt;=Tabla5[[#This Row],[INVERSIONES FCI]],+Tabla5[[#This Row],[INVERSIONES FCI]]-BZ88,Tabla5[[#This Row],[INVERSIONES FCI]])</f>
        <v>1218049106.2555466</v>
      </c>
      <c r="CA89" s="5">
        <f>IF($B88&lt;=Tabla5[[#This Row],[INVERSIONES FCI]],+Tabla5[[#This Row],[INVERSIONES FCI]]-CA88,Tabla5[[#This Row],[INVERSIONES FCI]])</f>
        <v>1218049106.2555466</v>
      </c>
      <c r="CB89" s="5">
        <f>IF($B88&lt;=Tabla5[[#This Row],[INVERSIONES FCI]],+Tabla5[[#This Row],[INVERSIONES FCI]]-CB88,Tabla5[[#This Row],[INVERSIONES FCI]])</f>
        <v>1218049106.2555466</v>
      </c>
      <c r="CC89" s="5">
        <f>IF($B88&lt;=Tabla5[[#This Row],[INVERSIONES FCI]],+Tabla5[[#This Row],[INVERSIONES FCI]]-CC88,Tabla5[[#This Row],[INVERSIONES FCI]])</f>
        <v>1218049106.2555466</v>
      </c>
      <c r="CD89" s="5">
        <f>IF($B88&lt;=Tabla5[[#This Row],[INVERSIONES FCI]],+Tabla5[[#This Row],[INVERSIONES FCI]]-CD88,Tabla5[[#This Row],[INVERSIONES FCI]])</f>
        <v>1218049106.2555466</v>
      </c>
      <c r="CE89" s="5">
        <f>IF($B88&lt;=Tabla5[[#This Row],[INVERSIONES FCI]],+Tabla5[[#This Row],[INVERSIONES FCI]]-CE88,Tabla5[[#This Row],[INVERSIONES FCI]])</f>
        <v>1218049106.2555466</v>
      </c>
      <c r="CF89" s="5">
        <f>IF($B88&lt;=Tabla5[[#This Row],[INVERSIONES FCI]],+Tabla5[[#This Row],[INVERSIONES FCI]]-CF88,Tabla5[[#This Row],[INVERSIONES FCI]])</f>
        <v>1218049106.2555466</v>
      </c>
      <c r="CG89" s="5">
        <f>IF($B88&lt;=Tabla5[[#This Row],[INVERSIONES FCI]],+Tabla5[[#This Row],[INVERSIONES FCI]]-CG88,Tabla5[[#This Row],[INVERSIONES FCI]])</f>
        <v>1218049106.2555466</v>
      </c>
      <c r="CH89" s="5">
        <f>IF($B88&lt;=Tabla5[[#This Row],[INVERSIONES FCI]],+Tabla5[[#This Row],[INVERSIONES FCI]]-CH88,Tabla5[[#This Row],[INVERSIONES FCI]])</f>
        <v>1218049106.2555466</v>
      </c>
      <c r="CI89" s="5">
        <f>IF($B88&lt;=Tabla5[[#This Row],[INVERSIONES FCI]],+Tabla5[[#This Row],[INVERSIONES FCI]]-CI88,Tabla5[[#This Row],[INVERSIONES FCI]])</f>
        <v>1218049106.2555466</v>
      </c>
      <c r="CJ89" s="5">
        <f>IF($B88&lt;=Tabla5[[#This Row],[INVERSIONES FCI]],+Tabla5[[#This Row],[INVERSIONES FCI]]-CJ88,Tabla5[[#This Row],[INVERSIONES FCI]])</f>
        <v>1218049106.2555466</v>
      </c>
      <c r="CK89" s="5">
        <f>IF($B88&lt;=Tabla5[[#This Row],[INVERSIONES FCI]],+Tabla5[[#This Row],[INVERSIONES FCI]]-CK88,Tabla5[[#This Row],[INVERSIONES FCI]])</f>
        <v>1218049106.2555466</v>
      </c>
      <c r="CL89" s="5" cm="1">
        <f t="array" ref="CL89">IF(Tabla5[[#This Row],[FCI]]=0,0,_xlfn.XLOOKUP(TRUE,$B89:CK89&gt;0,$B89:CK89,"",0,-1))</f>
        <v>1218049106.2555466</v>
      </c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</row>
    <row r="90" spans="1:121" ht="14.4">
      <c r="A90" s="12" t="s">
        <v>89</v>
      </c>
      <c r="B90" s="5">
        <f>HLOOKUP($A90,ESCENARIO[#All],7,FALSE)</f>
        <v>2741533613.00103</v>
      </c>
      <c r="C90" s="5">
        <f>IF($B89&lt;=Tabla5[[#This Row],[INVERSIONES FCI]],+Tabla5[[#This Row],[INVERSIONES FCI]]-C89,Tabla5[[#This Row],[INVERSIONES FCI]])</f>
        <v>2741533613.00103</v>
      </c>
      <c r="D90" s="5">
        <f>IF($B89&lt;=Tabla5[[#This Row],[INVERSIONES FCI]],+Tabla5[[#This Row],[INVERSIONES FCI]]-D89,Tabla5[[#This Row],[INVERSIONES FCI]])</f>
        <v>2741533613.00103</v>
      </c>
      <c r="E90" s="5">
        <f>IF($B89&lt;=Tabla5[[#This Row],[INVERSIONES FCI]],+Tabla5[[#This Row],[INVERSIONES FCI]]-E89,Tabla5[[#This Row],[INVERSIONES FCI]])</f>
        <v>2741533613.00103</v>
      </c>
      <c r="F90" s="5">
        <f>IF($B89&lt;=Tabla5[[#This Row],[INVERSIONES FCI]],+Tabla5[[#This Row],[INVERSIONES FCI]]-F89,Tabla5[[#This Row],[INVERSIONES FCI]])</f>
        <v>2741533613.00103</v>
      </c>
      <c r="G90" s="5">
        <f>IF($B89&lt;=Tabla5[[#This Row],[INVERSIONES FCI]],+Tabla5[[#This Row],[INVERSIONES FCI]]-G89,Tabla5[[#This Row],[INVERSIONES FCI]])</f>
        <v>2741533613.00103</v>
      </c>
      <c r="H90" s="5">
        <f>IF($B89&lt;=Tabla5[[#This Row],[INVERSIONES FCI]],+Tabla5[[#This Row],[INVERSIONES FCI]]-H89,Tabla5[[#This Row],[INVERSIONES FCI]])</f>
        <v>2741533613.00103</v>
      </c>
      <c r="I90" s="5">
        <f>IF($B89&lt;=Tabla5[[#This Row],[INVERSIONES FCI]],+Tabla5[[#This Row],[INVERSIONES FCI]]-I89,Tabla5[[#This Row],[INVERSIONES FCI]])</f>
        <v>2741533613.00103</v>
      </c>
      <c r="J90" s="5">
        <f>IF($B89&lt;=Tabla5[[#This Row],[INVERSIONES FCI]],+Tabla5[[#This Row],[INVERSIONES FCI]]-J89,Tabla5[[#This Row],[INVERSIONES FCI]])</f>
        <v>2741533613.00103</v>
      </c>
      <c r="K90" s="5">
        <f>IF($B89&lt;=Tabla5[[#This Row],[INVERSIONES FCI]],+Tabla5[[#This Row],[INVERSIONES FCI]]-K89,Tabla5[[#This Row],[INVERSIONES FCI]])</f>
        <v>2741533613.00103</v>
      </c>
      <c r="L90" s="5">
        <f>IF($B89&lt;=Tabla5[[#This Row],[INVERSIONES FCI]],+Tabla5[[#This Row],[INVERSIONES FCI]]-L89,Tabla5[[#This Row],[INVERSIONES FCI]])</f>
        <v>2741533613.00103</v>
      </c>
      <c r="M90" s="5">
        <f>IF($B89&lt;=Tabla5[[#This Row],[INVERSIONES FCI]],+Tabla5[[#This Row],[INVERSIONES FCI]]-M89,Tabla5[[#This Row],[INVERSIONES FCI]])</f>
        <v>2741533613.00103</v>
      </c>
      <c r="N90" s="5">
        <f>IF($B89&lt;=Tabla5[[#This Row],[INVERSIONES FCI]],+Tabla5[[#This Row],[INVERSIONES FCI]]-N89,Tabla5[[#This Row],[INVERSIONES FCI]])</f>
        <v>2741533613.00103</v>
      </c>
      <c r="O90" s="5">
        <f>IF($B89&lt;=Tabla5[[#This Row],[INVERSIONES FCI]],+Tabla5[[#This Row],[INVERSIONES FCI]]-O89,Tabla5[[#This Row],[INVERSIONES FCI]])</f>
        <v>2741533613.00103</v>
      </c>
      <c r="P90" s="5">
        <f>IF($B89&lt;=Tabla5[[#This Row],[INVERSIONES FCI]],+Tabla5[[#This Row],[INVERSIONES FCI]]-P89,Tabla5[[#This Row],[INVERSIONES FCI]])</f>
        <v>2741533613.00103</v>
      </c>
      <c r="Q90" s="5">
        <f>IF($B89&lt;=Tabla5[[#This Row],[INVERSIONES FCI]],+Tabla5[[#This Row],[INVERSIONES FCI]]-Q89,Tabla5[[#This Row],[INVERSIONES FCI]])</f>
        <v>2741533613.00103</v>
      </c>
      <c r="R90" s="5">
        <f>IF($B89&lt;=Tabla5[[#This Row],[INVERSIONES FCI]],+Tabla5[[#This Row],[INVERSIONES FCI]]-R89,Tabla5[[#This Row],[INVERSIONES FCI]])</f>
        <v>2741533613.00103</v>
      </c>
      <c r="S90" s="5">
        <f>IF($B89&lt;=Tabla5[[#This Row],[INVERSIONES FCI]],+Tabla5[[#This Row],[INVERSIONES FCI]]-S89,Tabla5[[#This Row],[INVERSIONES FCI]])</f>
        <v>2741533613.00103</v>
      </c>
      <c r="T90" s="5">
        <f>IF($B89&lt;=Tabla5[[#This Row],[INVERSIONES FCI]],+Tabla5[[#This Row],[INVERSIONES FCI]]-T89,Tabla5[[#This Row],[INVERSIONES FCI]])</f>
        <v>2741533613.00103</v>
      </c>
      <c r="U90" s="5">
        <f>IF($B89&lt;=Tabla5[[#This Row],[INVERSIONES FCI]],+Tabla5[[#This Row],[INVERSIONES FCI]]-U89,Tabla5[[#This Row],[INVERSIONES FCI]])</f>
        <v>2741533613.00103</v>
      </c>
      <c r="V90" s="5">
        <f>IF($B89&lt;=Tabla5[[#This Row],[INVERSIONES FCI]],+Tabla5[[#This Row],[INVERSIONES FCI]]-V89,Tabla5[[#This Row],[INVERSIONES FCI]])</f>
        <v>2741533613.00103</v>
      </c>
      <c r="W90" s="5">
        <f>IF($B89&lt;=Tabla5[[#This Row],[INVERSIONES FCI]],+Tabla5[[#This Row],[INVERSIONES FCI]]-W89,Tabla5[[#This Row],[INVERSIONES FCI]])</f>
        <v>2741533613.00103</v>
      </c>
      <c r="X90" s="5">
        <f>IF($B89&lt;=Tabla5[[#This Row],[INVERSIONES FCI]],+Tabla5[[#This Row],[INVERSIONES FCI]]-X89,Tabla5[[#This Row],[INVERSIONES FCI]])</f>
        <v>2741533613.00103</v>
      </c>
      <c r="Y90" s="5">
        <f>IF($B89&lt;=Tabla5[[#This Row],[INVERSIONES FCI]],+Tabla5[[#This Row],[INVERSIONES FCI]]-Y89,Tabla5[[#This Row],[INVERSIONES FCI]])</f>
        <v>2741533613.00103</v>
      </c>
      <c r="Z90" s="5">
        <f>IF($B89&lt;=Tabla5[[#This Row],[INVERSIONES FCI]],+Tabla5[[#This Row],[INVERSIONES FCI]]-Z89,Tabla5[[#This Row],[INVERSIONES FCI]])</f>
        <v>2741533613.00103</v>
      </c>
      <c r="AA90" s="5">
        <f>IF($B89&lt;=Tabla5[[#This Row],[INVERSIONES FCI]],+Tabla5[[#This Row],[INVERSIONES FCI]]-AA89,Tabla5[[#This Row],[INVERSIONES FCI]])</f>
        <v>2741533613.00103</v>
      </c>
      <c r="AB90" s="5">
        <f>IF($B89&lt;=Tabla5[[#This Row],[INVERSIONES FCI]],+Tabla5[[#This Row],[INVERSIONES FCI]]-AB89,Tabla5[[#This Row],[INVERSIONES FCI]])</f>
        <v>2741533613.00103</v>
      </c>
      <c r="AC90" s="5">
        <f>IF($B89&lt;=Tabla5[[#This Row],[INVERSIONES FCI]],+Tabla5[[#This Row],[INVERSIONES FCI]]-AC89,Tabla5[[#This Row],[INVERSIONES FCI]])</f>
        <v>2741533613.00103</v>
      </c>
      <c r="AD90" s="5">
        <f>IF($B89&lt;=Tabla5[[#This Row],[INVERSIONES FCI]],+Tabla5[[#This Row],[INVERSIONES FCI]]-AD89,Tabla5[[#This Row],[INVERSIONES FCI]])</f>
        <v>2741533613.00103</v>
      </c>
      <c r="AE90" s="5">
        <f>IF($B89&lt;=Tabla5[[#This Row],[INVERSIONES FCI]],+Tabla5[[#This Row],[INVERSIONES FCI]]-AE89,Tabla5[[#This Row],[INVERSIONES FCI]])</f>
        <v>2741533613.00103</v>
      </c>
      <c r="AF90" s="5">
        <f>IF($B89&lt;=Tabla5[[#This Row],[INVERSIONES FCI]],+Tabla5[[#This Row],[INVERSIONES FCI]]-AF89,Tabla5[[#This Row],[INVERSIONES FCI]])</f>
        <v>2741533613.00103</v>
      </c>
      <c r="AG90" s="5">
        <f>IF($B89&lt;=Tabla5[[#This Row],[INVERSIONES FCI]],+Tabla5[[#This Row],[INVERSIONES FCI]]-AG89,Tabla5[[#This Row],[INVERSIONES FCI]])</f>
        <v>2741533613.00103</v>
      </c>
      <c r="AH90" s="5">
        <f>IF($B89&lt;=Tabla5[[#This Row],[INVERSIONES FCI]],+Tabla5[[#This Row],[INVERSIONES FCI]]-AH89,Tabla5[[#This Row],[INVERSIONES FCI]])</f>
        <v>2741533613.00103</v>
      </c>
      <c r="AI90" s="5">
        <f>IF($B89&lt;=Tabla5[[#This Row],[INVERSIONES FCI]],+Tabla5[[#This Row],[INVERSIONES FCI]]-AI89,Tabla5[[#This Row],[INVERSIONES FCI]])</f>
        <v>2741533613.00103</v>
      </c>
      <c r="AJ90" s="5">
        <f>IF($B89&lt;=Tabla5[[#This Row],[INVERSIONES FCI]],+Tabla5[[#This Row],[INVERSIONES FCI]]-AJ89,Tabla5[[#This Row],[INVERSIONES FCI]])</f>
        <v>2741533613.00103</v>
      </c>
      <c r="AK90" s="5">
        <f>IF($B89&lt;=Tabla5[[#This Row],[INVERSIONES FCI]],+Tabla5[[#This Row],[INVERSIONES FCI]]-AK89,Tabla5[[#This Row],[INVERSIONES FCI]])</f>
        <v>2741533613.00103</v>
      </c>
      <c r="AL90" s="5">
        <f>IF($B89&lt;=Tabla5[[#This Row],[INVERSIONES FCI]],+Tabla5[[#This Row],[INVERSIONES FCI]]-AL89,Tabla5[[#This Row],[INVERSIONES FCI]])</f>
        <v>2741533613.00103</v>
      </c>
      <c r="AM90" s="5">
        <f>IF($B89&lt;=Tabla5[[#This Row],[INVERSIONES FCI]],+Tabla5[[#This Row],[INVERSIONES FCI]]-AM89,Tabla5[[#This Row],[INVERSIONES FCI]])</f>
        <v>2741533613.00103</v>
      </c>
      <c r="AN90" s="5">
        <f>IF($B89&lt;=Tabla5[[#This Row],[INVERSIONES FCI]],+Tabla5[[#This Row],[INVERSIONES FCI]]-AN89,Tabla5[[#This Row],[INVERSIONES FCI]])</f>
        <v>2741533613.00103</v>
      </c>
      <c r="AO90" s="5">
        <f>IF($B89&lt;=Tabla5[[#This Row],[INVERSIONES FCI]],+Tabla5[[#This Row],[INVERSIONES FCI]]-AO89,Tabla5[[#This Row],[INVERSIONES FCI]])</f>
        <v>2741533613.00103</v>
      </c>
      <c r="AP90" s="5">
        <f>IF($B89&lt;=Tabla5[[#This Row],[INVERSIONES FCI]],+Tabla5[[#This Row],[INVERSIONES FCI]]-AP89,Tabla5[[#This Row],[INVERSIONES FCI]])</f>
        <v>2741533613.00103</v>
      </c>
      <c r="AQ90" s="5">
        <f>IF($B89&lt;=Tabla5[[#This Row],[INVERSIONES FCI]],+Tabla5[[#This Row],[INVERSIONES FCI]]-AQ89,Tabla5[[#This Row],[INVERSIONES FCI]])</f>
        <v>2741533613.00103</v>
      </c>
      <c r="AR90" s="5">
        <f>IF($B89&lt;=Tabla5[[#This Row],[INVERSIONES FCI]],+Tabla5[[#This Row],[INVERSIONES FCI]]-AR89,Tabla5[[#This Row],[INVERSIONES FCI]])</f>
        <v>2741533613.00103</v>
      </c>
      <c r="AS90" s="5">
        <f>IF($B89&lt;=Tabla5[[#This Row],[INVERSIONES FCI]],+Tabla5[[#This Row],[INVERSIONES FCI]]-AS89,Tabla5[[#This Row],[INVERSIONES FCI]])</f>
        <v>2741533613.00103</v>
      </c>
      <c r="AT90" s="5">
        <f>IF($B89&lt;=Tabla5[[#This Row],[INVERSIONES FCI]],+Tabla5[[#This Row],[INVERSIONES FCI]]-AT89,Tabla5[[#This Row],[INVERSIONES FCI]])</f>
        <v>2741533613.00103</v>
      </c>
      <c r="AU90" s="5">
        <f>IF($B89&lt;=Tabla5[[#This Row],[INVERSIONES FCI]],+Tabla5[[#This Row],[INVERSIONES FCI]]-AU89,Tabla5[[#This Row],[INVERSIONES FCI]])</f>
        <v>2741533613.00103</v>
      </c>
      <c r="AV90" s="5">
        <f>IF($B89&lt;=Tabla5[[#This Row],[INVERSIONES FCI]],+Tabla5[[#This Row],[INVERSIONES FCI]]-AV89,Tabla5[[#This Row],[INVERSIONES FCI]])</f>
        <v>2741533613.00103</v>
      </c>
      <c r="AW90" s="5">
        <f>IF($B89&lt;=Tabla5[[#This Row],[INVERSIONES FCI]],+Tabla5[[#This Row],[INVERSIONES FCI]]-AW89,Tabla5[[#This Row],[INVERSIONES FCI]])</f>
        <v>2741533613.00103</v>
      </c>
      <c r="AX90" s="5">
        <f>IF($B89&lt;=Tabla5[[#This Row],[INVERSIONES FCI]],+Tabla5[[#This Row],[INVERSIONES FCI]]-AX89,Tabla5[[#This Row],[INVERSIONES FCI]])</f>
        <v>2741533613.00103</v>
      </c>
      <c r="AY90" s="5">
        <f>IF($B89&lt;=Tabla5[[#This Row],[INVERSIONES FCI]],+Tabla5[[#This Row],[INVERSIONES FCI]]-AY89,Tabla5[[#This Row],[INVERSIONES FCI]])</f>
        <v>2741533613.00103</v>
      </c>
      <c r="AZ90" s="5">
        <f>IF($B89&lt;=Tabla5[[#This Row],[INVERSIONES FCI]],+Tabla5[[#This Row],[INVERSIONES FCI]]-AZ89,Tabla5[[#This Row],[INVERSIONES FCI]])</f>
        <v>2741533613.00103</v>
      </c>
      <c r="BA90" s="5">
        <f>IF($B89&lt;=Tabla5[[#This Row],[INVERSIONES FCI]],+Tabla5[[#This Row],[INVERSIONES FCI]]-BA89,Tabla5[[#This Row],[INVERSIONES FCI]])</f>
        <v>2741533613.00103</v>
      </c>
      <c r="BB90" s="5">
        <f>IF($B89&lt;=Tabla5[[#This Row],[INVERSIONES FCI]],+Tabla5[[#This Row],[INVERSIONES FCI]]-BB89,Tabla5[[#This Row],[INVERSIONES FCI]])</f>
        <v>2741533613.00103</v>
      </c>
      <c r="BC90" s="5">
        <f>IF($B89&lt;=Tabla5[[#This Row],[INVERSIONES FCI]],+Tabla5[[#This Row],[INVERSIONES FCI]]-BC89,Tabla5[[#This Row],[INVERSIONES FCI]])</f>
        <v>2741533613.00103</v>
      </c>
      <c r="BD90" s="5">
        <f>IF($B89&lt;=Tabla5[[#This Row],[INVERSIONES FCI]],+Tabla5[[#This Row],[INVERSIONES FCI]]-BD89,Tabla5[[#This Row],[INVERSIONES FCI]])</f>
        <v>2741533613.00103</v>
      </c>
      <c r="BE90" s="5">
        <f>IF($B89&lt;=Tabla5[[#This Row],[INVERSIONES FCI]],+Tabla5[[#This Row],[INVERSIONES FCI]]-BE89,Tabla5[[#This Row],[INVERSIONES FCI]])</f>
        <v>2741533613.00103</v>
      </c>
      <c r="BF90" s="5">
        <f>IF($B89&lt;=Tabla5[[#This Row],[INVERSIONES FCI]],+Tabla5[[#This Row],[INVERSIONES FCI]]-BF89,Tabla5[[#This Row],[INVERSIONES FCI]])</f>
        <v>2741533613.00103</v>
      </c>
      <c r="BG90" s="5">
        <f>IF($B89&lt;=Tabla5[[#This Row],[INVERSIONES FCI]],+Tabla5[[#This Row],[INVERSIONES FCI]]-BG89,Tabla5[[#This Row],[INVERSIONES FCI]])</f>
        <v>2741533613.00103</v>
      </c>
      <c r="BH90" s="5">
        <f>IF($B89&lt;=Tabla5[[#This Row],[INVERSIONES FCI]],+Tabla5[[#This Row],[INVERSIONES FCI]]-BH89,Tabla5[[#This Row],[INVERSIONES FCI]])</f>
        <v>2741533613.00103</v>
      </c>
      <c r="BI90" s="5">
        <f>IF($B89&lt;=Tabla5[[#This Row],[INVERSIONES FCI]],+Tabla5[[#This Row],[INVERSIONES FCI]]-BI89,Tabla5[[#This Row],[INVERSIONES FCI]])</f>
        <v>2741533613.00103</v>
      </c>
      <c r="BJ90" s="5">
        <f>IF($B89&lt;=Tabla5[[#This Row],[INVERSIONES FCI]],+Tabla5[[#This Row],[INVERSIONES FCI]]-BJ89,Tabla5[[#This Row],[INVERSIONES FCI]])</f>
        <v>2741533613.00103</v>
      </c>
      <c r="BK90" s="5">
        <f>IF($B89&lt;=Tabla5[[#This Row],[INVERSIONES FCI]],+Tabla5[[#This Row],[INVERSIONES FCI]]-BK89,Tabla5[[#This Row],[INVERSIONES FCI]])</f>
        <v>2741533613.00103</v>
      </c>
      <c r="BL90" s="5">
        <f>IF($B89&lt;=Tabla5[[#This Row],[INVERSIONES FCI]],+Tabla5[[#This Row],[INVERSIONES FCI]]-BL89,Tabla5[[#This Row],[INVERSIONES FCI]])</f>
        <v>2741533613.00103</v>
      </c>
      <c r="BM90" s="5">
        <f>IF($B89&lt;=Tabla5[[#This Row],[INVERSIONES FCI]],+Tabla5[[#This Row],[INVERSIONES FCI]]-BM89,Tabla5[[#This Row],[INVERSIONES FCI]])</f>
        <v>2741533613.00103</v>
      </c>
      <c r="BN90" s="5">
        <f>IF($B89&lt;=Tabla5[[#This Row],[INVERSIONES FCI]],+Tabla5[[#This Row],[INVERSIONES FCI]]-BN89,Tabla5[[#This Row],[INVERSIONES FCI]])</f>
        <v>2741533613.00103</v>
      </c>
      <c r="BO90" s="5">
        <f>IF($B89&lt;=Tabla5[[#This Row],[INVERSIONES FCI]],+Tabla5[[#This Row],[INVERSIONES FCI]]-BO89,Tabla5[[#This Row],[INVERSIONES FCI]])</f>
        <v>2741533613.00103</v>
      </c>
      <c r="BP90" s="5">
        <f>IF($B89&lt;=Tabla5[[#This Row],[INVERSIONES FCI]],+Tabla5[[#This Row],[INVERSIONES FCI]]-BP89,Tabla5[[#This Row],[INVERSIONES FCI]])</f>
        <v>2741533613.00103</v>
      </c>
      <c r="BQ90" s="5">
        <f>IF($B89&lt;=Tabla5[[#This Row],[INVERSIONES FCI]],+Tabla5[[#This Row],[INVERSIONES FCI]]-BQ89,Tabla5[[#This Row],[INVERSIONES FCI]])</f>
        <v>2741533613.00103</v>
      </c>
      <c r="BR90" s="5">
        <f>IF($B89&lt;=Tabla5[[#This Row],[INVERSIONES FCI]],+Tabla5[[#This Row],[INVERSIONES FCI]]-BR89,Tabla5[[#This Row],[INVERSIONES FCI]])</f>
        <v>2741533613.00103</v>
      </c>
      <c r="BS90" s="5">
        <f>IF($B89&lt;=Tabla5[[#This Row],[INVERSIONES FCI]],+Tabla5[[#This Row],[INVERSIONES FCI]]-BS89,Tabla5[[#This Row],[INVERSIONES FCI]])</f>
        <v>2741533613.00103</v>
      </c>
      <c r="BT90" s="5">
        <f>IF($B89&lt;=Tabla5[[#This Row],[INVERSIONES FCI]],+Tabla5[[#This Row],[INVERSIONES FCI]]-BT89,Tabla5[[#This Row],[INVERSIONES FCI]])</f>
        <v>2741533613.00103</v>
      </c>
      <c r="BU90" s="5">
        <f>IF($B89&lt;=Tabla5[[#This Row],[INVERSIONES FCI]],+Tabla5[[#This Row],[INVERSIONES FCI]]-BU89,Tabla5[[#This Row],[INVERSIONES FCI]])</f>
        <v>2741533613.00103</v>
      </c>
      <c r="BV90" s="5">
        <f>IF($B89&lt;=Tabla5[[#This Row],[INVERSIONES FCI]],+Tabla5[[#This Row],[INVERSIONES FCI]]-BV89,Tabla5[[#This Row],[INVERSIONES FCI]])</f>
        <v>2741533613.00103</v>
      </c>
      <c r="BW90" s="5">
        <f>IF($B89&lt;=Tabla5[[#This Row],[INVERSIONES FCI]],+Tabla5[[#This Row],[INVERSIONES FCI]]-BW89,Tabla5[[#This Row],[INVERSIONES FCI]])</f>
        <v>2741533613.00103</v>
      </c>
      <c r="BX90" s="5">
        <f>IF($B89&lt;=Tabla5[[#This Row],[INVERSIONES FCI]],+Tabla5[[#This Row],[INVERSIONES FCI]]-BX89,Tabla5[[#This Row],[INVERSIONES FCI]])</f>
        <v>2741533613.00103</v>
      </c>
      <c r="BY90" s="5">
        <f>IF($B89&lt;=Tabla5[[#This Row],[INVERSIONES FCI]],+Tabla5[[#This Row],[INVERSIONES FCI]]-BY89,Tabla5[[#This Row],[INVERSIONES FCI]])</f>
        <v>2741533613.00103</v>
      </c>
      <c r="BZ90" s="5">
        <f>IF($B89&lt;=Tabla5[[#This Row],[INVERSIONES FCI]],+Tabla5[[#This Row],[INVERSIONES FCI]]-BZ89,Tabla5[[#This Row],[INVERSIONES FCI]])</f>
        <v>2741533613.00103</v>
      </c>
      <c r="CA90" s="5">
        <f>IF($B89&lt;=Tabla5[[#This Row],[INVERSIONES FCI]],+Tabla5[[#This Row],[INVERSIONES FCI]]-CA89,Tabla5[[#This Row],[INVERSIONES FCI]])</f>
        <v>2741533613.00103</v>
      </c>
      <c r="CB90" s="5">
        <f>IF($B89&lt;=Tabla5[[#This Row],[INVERSIONES FCI]],+Tabla5[[#This Row],[INVERSIONES FCI]]-CB89,Tabla5[[#This Row],[INVERSIONES FCI]])</f>
        <v>2741533613.00103</v>
      </c>
      <c r="CC90" s="5">
        <f>IF($B89&lt;=Tabla5[[#This Row],[INVERSIONES FCI]],+Tabla5[[#This Row],[INVERSIONES FCI]]-CC89,Tabla5[[#This Row],[INVERSIONES FCI]])</f>
        <v>2741533613.00103</v>
      </c>
      <c r="CD90" s="5">
        <f>IF($B89&lt;=Tabla5[[#This Row],[INVERSIONES FCI]],+Tabla5[[#This Row],[INVERSIONES FCI]]-CD89,Tabla5[[#This Row],[INVERSIONES FCI]])</f>
        <v>2741533613.00103</v>
      </c>
      <c r="CE90" s="5">
        <f>IF($B89&lt;=Tabla5[[#This Row],[INVERSIONES FCI]],+Tabla5[[#This Row],[INVERSIONES FCI]]-CE89,Tabla5[[#This Row],[INVERSIONES FCI]])</f>
        <v>2741533613.00103</v>
      </c>
      <c r="CF90" s="5">
        <f>IF($B89&lt;=Tabla5[[#This Row],[INVERSIONES FCI]],+Tabla5[[#This Row],[INVERSIONES FCI]]-CF89,Tabla5[[#This Row],[INVERSIONES FCI]])</f>
        <v>2741533613.00103</v>
      </c>
      <c r="CG90" s="5">
        <f>IF($B89&lt;=Tabla5[[#This Row],[INVERSIONES FCI]],+Tabla5[[#This Row],[INVERSIONES FCI]]-CG89,Tabla5[[#This Row],[INVERSIONES FCI]])</f>
        <v>2741533613.00103</v>
      </c>
      <c r="CH90" s="5">
        <f>IF($B89&lt;=Tabla5[[#This Row],[INVERSIONES FCI]],+Tabla5[[#This Row],[INVERSIONES FCI]]-CH89,Tabla5[[#This Row],[INVERSIONES FCI]])</f>
        <v>2741533613.00103</v>
      </c>
      <c r="CI90" s="5">
        <f>IF($B89&lt;=Tabla5[[#This Row],[INVERSIONES FCI]],+Tabla5[[#This Row],[INVERSIONES FCI]]-CI89,Tabla5[[#This Row],[INVERSIONES FCI]])</f>
        <v>2741533613.00103</v>
      </c>
      <c r="CJ90" s="5">
        <f>IF($B89&lt;=Tabla5[[#This Row],[INVERSIONES FCI]],+Tabla5[[#This Row],[INVERSIONES FCI]]-CJ89,Tabla5[[#This Row],[INVERSIONES FCI]])</f>
        <v>2741533613.00103</v>
      </c>
      <c r="CK90" s="5">
        <f>IF($B89&lt;=Tabla5[[#This Row],[INVERSIONES FCI]],+Tabla5[[#This Row],[INVERSIONES FCI]]-CK89,Tabla5[[#This Row],[INVERSIONES FCI]])</f>
        <v>2741533613.00103</v>
      </c>
      <c r="CL90" s="5">
        <f>IF($B89&lt;=Tabla5[[#This Row],[INVERSIONES FCI]],+Tabla5[[#This Row],[INVERSIONES FCI]]-CL89,Tabla5[[#This Row],[INVERSIONES FCI]])</f>
        <v>2741533613.00103</v>
      </c>
      <c r="CM90" s="5" cm="1">
        <f t="array" ref="CM90">IF(Tabla5[[#This Row],[FCI]]=0,0,_xlfn.XLOOKUP(TRUE,$B90:CL90&gt;0,$B90:CL90,"",0,-1))</f>
        <v>2741533613.00103</v>
      </c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</row>
    <row r="91" spans="1:121" ht="14.4">
      <c r="A91" s="12" t="s">
        <v>90</v>
      </c>
      <c r="B91" s="5">
        <f>HLOOKUP($A91,ESCENARIO[#All],7,FALSE)</f>
        <v>4456803369.6446295</v>
      </c>
      <c r="C91" s="5">
        <f>IF($B90&lt;=Tabla5[[#This Row],[INVERSIONES FCI]],+Tabla5[[#This Row],[INVERSIONES FCI]]-C90,Tabla5[[#This Row],[INVERSIONES FCI]])</f>
        <v>1715269756.6435995</v>
      </c>
      <c r="D91" s="5">
        <f>IF($B90&lt;=Tabla5[[#This Row],[INVERSIONES FCI]],+Tabla5[[#This Row],[INVERSIONES FCI]]-D90,Tabla5[[#This Row],[INVERSIONES FCI]])</f>
        <v>1715269756.6435995</v>
      </c>
      <c r="E91" s="5">
        <f>IF($B90&lt;=Tabla5[[#This Row],[INVERSIONES FCI]],+Tabla5[[#This Row],[INVERSIONES FCI]]-E90,Tabla5[[#This Row],[INVERSIONES FCI]])</f>
        <v>1715269756.6435995</v>
      </c>
      <c r="F91" s="5">
        <f>IF($B90&lt;=Tabla5[[#This Row],[INVERSIONES FCI]],+Tabla5[[#This Row],[INVERSIONES FCI]]-F90,Tabla5[[#This Row],[INVERSIONES FCI]])</f>
        <v>1715269756.6435995</v>
      </c>
      <c r="G91" s="5">
        <f>IF($B90&lt;=Tabla5[[#This Row],[INVERSIONES FCI]],+Tabla5[[#This Row],[INVERSIONES FCI]]-G90,Tabla5[[#This Row],[INVERSIONES FCI]])</f>
        <v>1715269756.6435995</v>
      </c>
      <c r="H91" s="5">
        <f>IF($B90&lt;=Tabla5[[#This Row],[INVERSIONES FCI]],+Tabla5[[#This Row],[INVERSIONES FCI]]-H90,Tabla5[[#This Row],[INVERSIONES FCI]])</f>
        <v>1715269756.6435995</v>
      </c>
      <c r="I91" s="5">
        <f>IF($B90&lt;=Tabla5[[#This Row],[INVERSIONES FCI]],+Tabla5[[#This Row],[INVERSIONES FCI]]-I90,Tabla5[[#This Row],[INVERSIONES FCI]])</f>
        <v>1715269756.6435995</v>
      </c>
      <c r="J91" s="5">
        <f>IF($B90&lt;=Tabla5[[#This Row],[INVERSIONES FCI]],+Tabla5[[#This Row],[INVERSIONES FCI]]-J90,Tabla5[[#This Row],[INVERSIONES FCI]])</f>
        <v>1715269756.6435995</v>
      </c>
      <c r="K91" s="5">
        <f>IF($B90&lt;=Tabla5[[#This Row],[INVERSIONES FCI]],+Tabla5[[#This Row],[INVERSIONES FCI]]-K90,Tabla5[[#This Row],[INVERSIONES FCI]])</f>
        <v>1715269756.6435995</v>
      </c>
      <c r="L91" s="5">
        <f>IF($B90&lt;=Tabla5[[#This Row],[INVERSIONES FCI]],+Tabla5[[#This Row],[INVERSIONES FCI]]-L90,Tabla5[[#This Row],[INVERSIONES FCI]])</f>
        <v>1715269756.6435995</v>
      </c>
      <c r="M91" s="5">
        <f>IF($B90&lt;=Tabla5[[#This Row],[INVERSIONES FCI]],+Tabla5[[#This Row],[INVERSIONES FCI]]-M90,Tabla5[[#This Row],[INVERSIONES FCI]])</f>
        <v>1715269756.6435995</v>
      </c>
      <c r="N91" s="5">
        <f>IF($B90&lt;=Tabla5[[#This Row],[INVERSIONES FCI]],+Tabla5[[#This Row],[INVERSIONES FCI]]-N90,Tabla5[[#This Row],[INVERSIONES FCI]])</f>
        <v>1715269756.6435995</v>
      </c>
      <c r="O91" s="5">
        <f>IF($B90&lt;=Tabla5[[#This Row],[INVERSIONES FCI]],+Tabla5[[#This Row],[INVERSIONES FCI]]-O90,Tabla5[[#This Row],[INVERSIONES FCI]])</f>
        <v>1715269756.6435995</v>
      </c>
      <c r="P91" s="5">
        <f>IF($B90&lt;=Tabla5[[#This Row],[INVERSIONES FCI]],+Tabla5[[#This Row],[INVERSIONES FCI]]-P90,Tabla5[[#This Row],[INVERSIONES FCI]])</f>
        <v>1715269756.6435995</v>
      </c>
      <c r="Q91" s="5">
        <f>IF($B90&lt;=Tabla5[[#This Row],[INVERSIONES FCI]],+Tabla5[[#This Row],[INVERSIONES FCI]]-Q90,Tabla5[[#This Row],[INVERSIONES FCI]])</f>
        <v>1715269756.6435995</v>
      </c>
      <c r="R91" s="5">
        <f>IF($B90&lt;=Tabla5[[#This Row],[INVERSIONES FCI]],+Tabla5[[#This Row],[INVERSIONES FCI]]-R90,Tabla5[[#This Row],[INVERSIONES FCI]])</f>
        <v>1715269756.6435995</v>
      </c>
      <c r="S91" s="5">
        <f>IF($B90&lt;=Tabla5[[#This Row],[INVERSIONES FCI]],+Tabla5[[#This Row],[INVERSIONES FCI]]-S90,Tabla5[[#This Row],[INVERSIONES FCI]])</f>
        <v>1715269756.6435995</v>
      </c>
      <c r="T91" s="5">
        <f>IF($B90&lt;=Tabla5[[#This Row],[INVERSIONES FCI]],+Tabla5[[#This Row],[INVERSIONES FCI]]-T90,Tabla5[[#This Row],[INVERSIONES FCI]])</f>
        <v>1715269756.6435995</v>
      </c>
      <c r="U91" s="5">
        <f>IF($B90&lt;=Tabla5[[#This Row],[INVERSIONES FCI]],+Tabla5[[#This Row],[INVERSIONES FCI]]-U90,Tabla5[[#This Row],[INVERSIONES FCI]])</f>
        <v>1715269756.6435995</v>
      </c>
      <c r="V91" s="5">
        <f>IF($B90&lt;=Tabla5[[#This Row],[INVERSIONES FCI]],+Tabla5[[#This Row],[INVERSIONES FCI]]-V90,Tabla5[[#This Row],[INVERSIONES FCI]])</f>
        <v>1715269756.6435995</v>
      </c>
      <c r="W91" s="5">
        <f>IF($B90&lt;=Tabla5[[#This Row],[INVERSIONES FCI]],+Tabla5[[#This Row],[INVERSIONES FCI]]-W90,Tabla5[[#This Row],[INVERSIONES FCI]])</f>
        <v>1715269756.6435995</v>
      </c>
      <c r="X91" s="5">
        <f>IF($B90&lt;=Tabla5[[#This Row],[INVERSIONES FCI]],+Tabla5[[#This Row],[INVERSIONES FCI]]-X90,Tabla5[[#This Row],[INVERSIONES FCI]])</f>
        <v>1715269756.6435995</v>
      </c>
      <c r="Y91" s="5">
        <f>IF($B90&lt;=Tabla5[[#This Row],[INVERSIONES FCI]],+Tabla5[[#This Row],[INVERSIONES FCI]]-Y90,Tabla5[[#This Row],[INVERSIONES FCI]])</f>
        <v>1715269756.6435995</v>
      </c>
      <c r="Z91" s="5">
        <f>IF($B90&lt;=Tabla5[[#This Row],[INVERSIONES FCI]],+Tabla5[[#This Row],[INVERSIONES FCI]]-Z90,Tabla5[[#This Row],[INVERSIONES FCI]])</f>
        <v>1715269756.6435995</v>
      </c>
      <c r="AA91" s="5">
        <f>IF($B90&lt;=Tabla5[[#This Row],[INVERSIONES FCI]],+Tabla5[[#This Row],[INVERSIONES FCI]]-AA90,Tabla5[[#This Row],[INVERSIONES FCI]])</f>
        <v>1715269756.6435995</v>
      </c>
      <c r="AB91" s="5">
        <f>IF($B90&lt;=Tabla5[[#This Row],[INVERSIONES FCI]],+Tabla5[[#This Row],[INVERSIONES FCI]]-AB90,Tabla5[[#This Row],[INVERSIONES FCI]])</f>
        <v>1715269756.6435995</v>
      </c>
      <c r="AC91" s="5">
        <f>IF($B90&lt;=Tabla5[[#This Row],[INVERSIONES FCI]],+Tabla5[[#This Row],[INVERSIONES FCI]]-AC90,Tabla5[[#This Row],[INVERSIONES FCI]])</f>
        <v>1715269756.6435995</v>
      </c>
      <c r="AD91" s="5">
        <f>IF($B90&lt;=Tabla5[[#This Row],[INVERSIONES FCI]],+Tabla5[[#This Row],[INVERSIONES FCI]]-AD90,Tabla5[[#This Row],[INVERSIONES FCI]])</f>
        <v>1715269756.6435995</v>
      </c>
      <c r="AE91" s="5">
        <f>IF($B90&lt;=Tabla5[[#This Row],[INVERSIONES FCI]],+Tabla5[[#This Row],[INVERSIONES FCI]]-AE90,Tabla5[[#This Row],[INVERSIONES FCI]])</f>
        <v>1715269756.6435995</v>
      </c>
      <c r="AF91" s="5">
        <f>IF($B90&lt;=Tabla5[[#This Row],[INVERSIONES FCI]],+Tabla5[[#This Row],[INVERSIONES FCI]]-AF90,Tabla5[[#This Row],[INVERSIONES FCI]])</f>
        <v>1715269756.6435995</v>
      </c>
      <c r="AG91" s="5">
        <f>IF($B90&lt;=Tabla5[[#This Row],[INVERSIONES FCI]],+Tabla5[[#This Row],[INVERSIONES FCI]]-AG90,Tabla5[[#This Row],[INVERSIONES FCI]])</f>
        <v>1715269756.6435995</v>
      </c>
      <c r="AH91" s="5">
        <f>IF($B90&lt;=Tabla5[[#This Row],[INVERSIONES FCI]],+Tabla5[[#This Row],[INVERSIONES FCI]]-AH90,Tabla5[[#This Row],[INVERSIONES FCI]])</f>
        <v>1715269756.6435995</v>
      </c>
      <c r="AI91" s="5">
        <f>IF($B90&lt;=Tabla5[[#This Row],[INVERSIONES FCI]],+Tabla5[[#This Row],[INVERSIONES FCI]]-AI90,Tabla5[[#This Row],[INVERSIONES FCI]])</f>
        <v>1715269756.6435995</v>
      </c>
      <c r="AJ91" s="5">
        <f>IF($B90&lt;=Tabla5[[#This Row],[INVERSIONES FCI]],+Tabla5[[#This Row],[INVERSIONES FCI]]-AJ90,Tabla5[[#This Row],[INVERSIONES FCI]])</f>
        <v>1715269756.6435995</v>
      </c>
      <c r="AK91" s="5">
        <f>IF($B90&lt;=Tabla5[[#This Row],[INVERSIONES FCI]],+Tabla5[[#This Row],[INVERSIONES FCI]]-AK90,Tabla5[[#This Row],[INVERSIONES FCI]])</f>
        <v>1715269756.6435995</v>
      </c>
      <c r="AL91" s="5">
        <f>IF($B90&lt;=Tabla5[[#This Row],[INVERSIONES FCI]],+Tabla5[[#This Row],[INVERSIONES FCI]]-AL90,Tabla5[[#This Row],[INVERSIONES FCI]])</f>
        <v>1715269756.6435995</v>
      </c>
      <c r="AM91" s="5">
        <f>IF($B90&lt;=Tabla5[[#This Row],[INVERSIONES FCI]],+Tabla5[[#This Row],[INVERSIONES FCI]]-AM90,Tabla5[[#This Row],[INVERSIONES FCI]])</f>
        <v>1715269756.6435995</v>
      </c>
      <c r="AN91" s="5">
        <f>IF($B90&lt;=Tabla5[[#This Row],[INVERSIONES FCI]],+Tabla5[[#This Row],[INVERSIONES FCI]]-AN90,Tabla5[[#This Row],[INVERSIONES FCI]])</f>
        <v>1715269756.6435995</v>
      </c>
      <c r="AO91" s="5">
        <f>IF($B90&lt;=Tabla5[[#This Row],[INVERSIONES FCI]],+Tabla5[[#This Row],[INVERSIONES FCI]]-AO90,Tabla5[[#This Row],[INVERSIONES FCI]])</f>
        <v>1715269756.6435995</v>
      </c>
      <c r="AP91" s="5">
        <f>IF($B90&lt;=Tabla5[[#This Row],[INVERSIONES FCI]],+Tabla5[[#This Row],[INVERSIONES FCI]]-AP90,Tabla5[[#This Row],[INVERSIONES FCI]])</f>
        <v>1715269756.6435995</v>
      </c>
      <c r="AQ91" s="5">
        <f>IF($B90&lt;=Tabla5[[#This Row],[INVERSIONES FCI]],+Tabla5[[#This Row],[INVERSIONES FCI]]-AQ90,Tabla5[[#This Row],[INVERSIONES FCI]])</f>
        <v>1715269756.6435995</v>
      </c>
      <c r="AR91" s="5">
        <f>IF($B90&lt;=Tabla5[[#This Row],[INVERSIONES FCI]],+Tabla5[[#This Row],[INVERSIONES FCI]]-AR90,Tabla5[[#This Row],[INVERSIONES FCI]])</f>
        <v>1715269756.6435995</v>
      </c>
      <c r="AS91" s="5">
        <f>IF($B90&lt;=Tabla5[[#This Row],[INVERSIONES FCI]],+Tabla5[[#This Row],[INVERSIONES FCI]]-AS90,Tabla5[[#This Row],[INVERSIONES FCI]])</f>
        <v>1715269756.6435995</v>
      </c>
      <c r="AT91" s="5">
        <f>IF($B90&lt;=Tabla5[[#This Row],[INVERSIONES FCI]],+Tabla5[[#This Row],[INVERSIONES FCI]]-AT90,Tabla5[[#This Row],[INVERSIONES FCI]])</f>
        <v>1715269756.6435995</v>
      </c>
      <c r="AU91" s="5">
        <f>IF($B90&lt;=Tabla5[[#This Row],[INVERSIONES FCI]],+Tabla5[[#This Row],[INVERSIONES FCI]]-AU90,Tabla5[[#This Row],[INVERSIONES FCI]])</f>
        <v>1715269756.6435995</v>
      </c>
      <c r="AV91" s="5">
        <f>IF($B90&lt;=Tabla5[[#This Row],[INVERSIONES FCI]],+Tabla5[[#This Row],[INVERSIONES FCI]]-AV90,Tabla5[[#This Row],[INVERSIONES FCI]])</f>
        <v>1715269756.6435995</v>
      </c>
      <c r="AW91" s="5">
        <f>IF($B90&lt;=Tabla5[[#This Row],[INVERSIONES FCI]],+Tabla5[[#This Row],[INVERSIONES FCI]]-AW90,Tabla5[[#This Row],[INVERSIONES FCI]])</f>
        <v>1715269756.6435995</v>
      </c>
      <c r="AX91" s="5">
        <f>IF($B90&lt;=Tabla5[[#This Row],[INVERSIONES FCI]],+Tabla5[[#This Row],[INVERSIONES FCI]]-AX90,Tabla5[[#This Row],[INVERSIONES FCI]])</f>
        <v>1715269756.6435995</v>
      </c>
      <c r="AY91" s="5">
        <f>IF($B90&lt;=Tabla5[[#This Row],[INVERSIONES FCI]],+Tabla5[[#This Row],[INVERSIONES FCI]]-AY90,Tabla5[[#This Row],[INVERSIONES FCI]])</f>
        <v>1715269756.6435995</v>
      </c>
      <c r="AZ91" s="5">
        <f>IF($B90&lt;=Tabla5[[#This Row],[INVERSIONES FCI]],+Tabla5[[#This Row],[INVERSIONES FCI]]-AZ90,Tabla5[[#This Row],[INVERSIONES FCI]])</f>
        <v>1715269756.6435995</v>
      </c>
      <c r="BA91" s="5">
        <f>IF($B90&lt;=Tabla5[[#This Row],[INVERSIONES FCI]],+Tabla5[[#This Row],[INVERSIONES FCI]]-BA90,Tabla5[[#This Row],[INVERSIONES FCI]])</f>
        <v>1715269756.6435995</v>
      </c>
      <c r="BB91" s="5">
        <f>IF($B90&lt;=Tabla5[[#This Row],[INVERSIONES FCI]],+Tabla5[[#This Row],[INVERSIONES FCI]]-BB90,Tabla5[[#This Row],[INVERSIONES FCI]])</f>
        <v>1715269756.6435995</v>
      </c>
      <c r="BC91" s="5">
        <f>IF($B90&lt;=Tabla5[[#This Row],[INVERSIONES FCI]],+Tabla5[[#This Row],[INVERSIONES FCI]]-BC90,Tabla5[[#This Row],[INVERSIONES FCI]])</f>
        <v>1715269756.6435995</v>
      </c>
      <c r="BD91" s="5">
        <f>IF($B90&lt;=Tabla5[[#This Row],[INVERSIONES FCI]],+Tabla5[[#This Row],[INVERSIONES FCI]]-BD90,Tabla5[[#This Row],[INVERSIONES FCI]])</f>
        <v>1715269756.6435995</v>
      </c>
      <c r="BE91" s="5">
        <f>IF($B90&lt;=Tabla5[[#This Row],[INVERSIONES FCI]],+Tabla5[[#This Row],[INVERSIONES FCI]]-BE90,Tabla5[[#This Row],[INVERSIONES FCI]])</f>
        <v>1715269756.6435995</v>
      </c>
      <c r="BF91" s="5">
        <f>IF($B90&lt;=Tabla5[[#This Row],[INVERSIONES FCI]],+Tabla5[[#This Row],[INVERSIONES FCI]]-BF90,Tabla5[[#This Row],[INVERSIONES FCI]])</f>
        <v>1715269756.6435995</v>
      </c>
      <c r="BG91" s="5">
        <f>IF($B90&lt;=Tabla5[[#This Row],[INVERSIONES FCI]],+Tabla5[[#This Row],[INVERSIONES FCI]]-BG90,Tabla5[[#This Row],[INVERSIONES FCI]])</f>
        <v>1715269756.6435995</v>
      </c>
      <c r="BH91" s="5">
        <f>IF($B90&lt;=Tabla5[[#This Row],[INVERSIONES FCI]],+Tabla5[[#This Row],[INVERSIONES FCI]]-BH90,Tabla5[[#This Row],[INVERSIONES FCI]])</f>
        <v>1715269756.6435995</v>
      </c>
      <c r="BI91" s="5">
        <f>IF($B90&lt;=Tabla5[[#This Row],[INVERSIONES FCI]],+Tabla5[[#This Row],[INVERSIONES FCI]]-BI90,Tabla5[[#This Row],[INVERSIONES FCI]])</f>
        <v>1715269756.6435995</v>
      </c>
      <c r="BJ91" s="5">
        <f>IF($B90&lt;=Tabla5[[#This Row],[INVERSIONES FCI]],+Tabla5[[#This Row],[INVERSIONES FCI]]-BJ90,Tabla5[[#This Row],[INVERSIONES FCI]])</f>
        <v>1715269756.6435995</v>
      </c>
      <c r="BK91" s="5">
        <f>IF($B90&lt;=Tabla5[[#This Row],[INVERSIONES FCI]],+Tabla5[[#This Row],[INVERSIONES FCI]]-BK90,Tabla5[[#This Row],[INVERSIONES FCI]])</f>
        <v>1715269756.6435995</v>
      </c>
      <c r="BL91" s="5">
        <f>IF($B90&lt;=Tabla5[[#This Row],[INVERSIONES FCI]],+Tabla5[[#This Row],[INVERSIONES FCI]]-BL90,Tabla5[[#This Row],[INVERSIONES FCI]])</f>
        <v>1715269756.6435995</v>
      </c>
      <c r="BM91" s="5">
        <f>IF($B90&lt;=Tabla5[[#This Row],[INVERSIONES FCI]],+Tabla5[[#This Row],[INVERSIONES FCI]]-BM90,Tabla5[[#This Row],[INVERSIONES FCI]])</f>
        <v>1715269756.6435995</v>
      </c>
      <c r="BN91" s="5">
        <f>IF($B90&lt;=Tabla5[[#This Row],[INVERSIONES FCI]],+Tabla5[[#This Row],[INVERSIONES FCI]]-BN90,Tabla5[[#This Row],[INVERSIONES FCI]])</f>
        <v>1715269756.6435995</v>
      </c>
      <c r="BO91" s="5">
        <f>IF($B90&lt;=Tabla5[[#This Row],[INVERSIONES FCI]],+Tabla5[[#This Row],[INVERSIONES FCI]]-BO90,Tabla5[[#This Row],[INVERSIONES FCI]])</f>
        <v>1715269756.6435995</v>
      </c>
      <c r="BP91" s="5">
        <f>IF($B90&lt;=Tabla5[[#This Row],[INVERSIONES FCI]],+Tabla5[[#This Row],[INVERSIONES FCI]]-BP90,Tabla5[[#This Row],[INVERSIONES FCI]])</f>
        <v>1715269756.6435995</v>
      </c>
      <c r="BQ91" s="5">
        <f>IF($B90&lt;=Tabla5[[#This Row],[INVERSIONES FCI]],+Tabla5[[#This Row],[INVERSIONES FCI]]-BQ90,Tabla5[[#This Row],[INVERSIONES FCI]])</f>
        <v>1715269756.6435995</v>
      </c>
      <c r="BR91" s="5">
        <f>IF($B90&lt;=Tabla5[[#This Row],[INVERSIONES FCI]],+Tabla5[[#This Row],[INVERSIONES FCI]]-BR90,Tabla5[[#This Row],[INVERSIONES FCI]])</f>
        <v>1715269756.6435995</v>
      </c>
      <c r="BS91" s="5">
        <f>IF($B90&lt;=Tabla5[[#This Row],[INVERSIONES FCI]],+Tabla5[[#This Row],[INVERSIONES FCI]]-BS90,Tabla5[[#This Row],[INVERSIONES FCI]])</f>
        <v>1715269756.6435995</v>
      </c>
      <c r="BT91" s="5">
        <f>IF($B90&lt;=Tabla5[[#This Row],[INVERSIONES FCI]],+Tabla5[[#This Row],[INVERSIONES FCI]]-BT90,Tabla5[[#This Row],[INVERSIONES FCI]])</f>
        <v>1715269756.6435995</v>
      </c>
      <c r="BU91" s="5">
        <f>IF($B90&lt;=Tabla5[[#This Row],[INVERSIONES FCI]],+Tabla5[[#This Row],[INVERSIONES FCI]]-BU90,Tabla5[[#This Row],[INVERSIONES FCI]])</f>
        <v>1715269756.6435995</v>
      </c>
      <c r="BV91" s="5">
        <f>IF($B90&lt;=Tabla5[[#This Row],[INVERSIONES FCI]],+Tabla5[[#This Row],[INVERSIONES FCI]]-BV90,Tabla5[[#This Row],[INVERSIONES FCI]])</f>
        <v>1715269756.6435995</v>
      </c>
      <c r="BW91" s="5">
        <f>IF($B90&lt;=Tabla5[[#This Row],[INVERSIONES FCI]],+Tabla5[[#This Row],[INVERSIONES FCI]]-BW90,Tabla5[[#This Row],[INVERSIONES FCI]])</f>
        <v>1715269756.6435995</v>
      </c>
      <c r="BX91" s="5">
        <f>IF($B90&lt;=Tabla5[[#This Row],[INVERSIONES FCI]],+Tabla5[[#This Row],[INVERSIONES FCI]]-BX90,Tabla5[[#This Row],[INVERSIONES FCI]])</f>
        <v>1715269756.6435995</v>
      </c>
      <c r="BY91" s="5">
        <f>IF($B90&lt;=Tabla5[[#This Row],[INVERSIONES FCI]],+Tabla5[[#This Row],[INVERSIONES FCI]]-BY90,Tabla5[[#This Row],[INVERSIONES FCI]])</f>
        <v>1715269756.6435995</v>
      </c>
      <c r="BZ91" s="5">
        <f>IF($B90&lt;=Tabla5[[#This Row],[INVERSIONES FCI]],+Tabla5[[#This Row],[INVERSIONES FCI]]-BZ90,Tabla5[[#This Row],[INVERSIONES FCI]])</f>
        <v>1715269756.6435995</v>
      </c>
      <c r="CA91" s="5">
        <f>IF($B90&lt;=Tabla5[[#This Row],[INVERSIONES FCI]],+Tabla5[[#This Row],[INVERSIONES FCI]]-CA90,Tabla5[[#This Row],[INVERSIONES FCI]])</f>
        <v>1715269756.6435995</v>
      </c>
      <c r="CB91" s="5">
        <f>IF($B90&lt;=Tabla5[[#This Row],[INVERSIONES FCI]],+Tabla5[[#This Row],[INVERSIONES FCI]]-CB90,Tabla5[[#This Row],[INVERSIONES FCI]])</f>
        <v>1715269756.6435995</v>
      </c>
      <c r="CC91" s="5">
        <f>IF($B90&lt;=Tabla5[[#This Row],[INVERSIONES FCI]],+Tabla5[[#This Row],[INVERSIONES FCI]]-CC90,Tabla5[[#This Row],[INVERSIONES FCI]])</f>
        <v>1715269756.6435995</v>
      </c>
      <c r="CD91" s="5">
        <f>IF($B90&lt;=Tabla5[[#This Row],[INVERSIONES FCI]],+Tabla5[[#This Row],[INVERSIONES FCI]]-CD90,Tabla5[[#This Row],[INVERSIONES FCI]])</f>
        <v>1715269756.6435995</v>
      </c>
      <c r="CE91" s="5">
        <f>IF($B90&lt;=Tabla5[[#This Row],[INVERSIONES FCI]],+Tabla5[[#This Row],[INVERSIONES FCI]]-CE90,Tabla5[[#This Row],[INVERSIONES FCI]])</f>
        <v>1715269756.6435995</v>
      </c>
      <c r="CF91" s="5">
        <f>IF($B90&lt;=Tabla5[[#This Row],[INVERSIONES FCI]],+Tabla5[[#This Row],[INVERSIONES FCI]]-CF90,Tabla5[[#This Row],[INVERSIONES FCI]])</f>
        <v>1715269756.6435995</v>
      </c>
      <c r="CG91" s="5">
        <f>IF($B90&lt;=Tabla5[[#This Row],[INVERSIONES FCI]],+Tabla5[[#This Row],[INVERSIONES FCI]]-CG90,Tabla5[[#This Row],[INVERSIONES FCI]])</f>
        <v>1715269756.6435995</v>
      </c>
      <c r="CH91" s="5">
        <f>IF($B90&lt;=Tabla5[[#This Row],[INVERSIONES FCI]],+Tabla5[[#This Row],[INVERSIONES FCI]]-CH90,Tabla5[[#This Row],[INVERSIONES FCI]])</f>
        <v>1715269756.6435995</v>
      </c>
      <c r="CI91" s="5">
        <f>IF($B90&lt;=Tabla5[[#This Row],[INVERSIONES FCI]],+Tabla5[[#This Row],[INVERSIONES FCI]]-CI90,Tabla5[[#This Row],[INVERSIONES FCI]])</f>
        <v>1715269756.6435995</v>
      </c>
      <c r="CJ91" s="5">
        <f>IF($B90&lt;=Tabla5[[#This Row],[INVERSIONES FCI]],+Tabla5[[#This Row],[INVERSIONES FCI]]-CJ90,Tabla5[[#This Row],[INVERSIONES FCI]])</f>
        <v>1715269756.6435995</v>
      </c>
      <c r="CK91" s="5">
        <f>IF($B90&lt;=Tabla5[[#This Row],[INVERSIONES FCI]],+Tabla5[[#This Row],[INVERSIONES FCI]]-CK90,Tabla5[[#This Row],[INVERSIONES FCI]])</f>
        <v>1715269756.6435995</v>
      </c>
      <c r="CL91" s="5">
        <f>IF($B90&lt;=Tabla5[[#This Row],[INVERSIONES FCI]],+Tabla5[[#This Row],[INVERSIONES FCI]]-CL90,Tabla5[[#This Row],[INVERSIONES FCI]])</f>
        <v>1715269756.6435995</v>
      </c>
      <c r="CM91" s="5">
        <f>IF($B90&lt;=Tabla5[[#This Row],[INVERSIONES FCI]],+Tabla5[[#This Row],[INVERSIONES FCI]]-CM90,Tabla5[[#This Row],[INVERSIONES FCI]])</f>
        <v>1715269756.6435995</v>
      </c>
      <c r="CN91" s="5" cm="1">
        <f t="array" ref="CN91">IF(Tabla5[[#This Row],[FCI]]=0,0,_xlfn.XLOOKUP(TRUE,$B91:CM91&gt;0,$B91:CM91,"",0,-1))</f>
        <v>1715269756.6435995</v>
      </c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</row>
    <row r="92" spans="1:121" ht="14.4">
      <c r="A92" s="12" t="s">
        <v>91</v>
      </c>
      <c r="B92" s="5">
        <f>HLOOKUP($A92,ESCENARIO[#All],7,FALSE)</f>
        <v>4456803369.6446295</v>
      </c>
      <c r="C92" s="5">
        <f>IF($B91&lt;=Tabla5[[#This Row],[INVERSIONES FCI]],+Tabla5[[#This Row],[INVERSIONES FCI]]-C91,Tabla5[[#This Row],[INVERSIONES FCI]])</f>
        <v>2741533613.00103</v>
      </c>
      <c r="D92" s="5">
        <f>IF($B91&lt;=Tabla5[[#This Row],[INVERSIONES FCI]],+Tabla5[[#This Row],[INVERSIONES FCI]]-D91,Tabla5[[#This Row],[INVERSIONES FCI]])</f>
        <v>2741533613.00103</v>
      </c>
      <c r="E92" s="5">
        <f>IF($B91&lt;=Tabla5[[#This Row],[INVERSIONES FCI]],+Tabla5[[#This Row],[INVERSIONES FCI]]-E91,Tabla5[[#This Row],[INVERSIONES FCI]])</f>
        <v>2741533613.00103</v>
      </c>
      <c r="F92" s="5">
        <f>IF($B91&lt;=Tabla5[[#This Row],[INVERSIONES FCI]],+Tabla5[[#This Row],[INVERSIONES FCI]]-F91,Tabla5[[#This Row],[INVERSIONES FCI]])</f>
        <v>2741533613.00103</v>
      </c>
      <c r="G92" s="5">
        <f>IF($B91&lt;=Tabla5[[#This Row],[INVERSIONES FCI]],+Tabla5[[#This Row],[INVERSIONES FCI]]-G91,Tabla5[[#This Row],[INVERSIONES FCI]])</f>
        <v>2741533613.00103</v>
      </c>
      <c r="H92" s="5">
        <f>IF($B91&lt;=Tabla5[[#This Row],[INVERSIONES FCI]],+Tabla5[[#This Row],[INVERSIONES FCI]]-H91,Tabla5[[#This Row],[INVERSIONES FCI]])</f>
        <v>2741533613.00103</v>
      </c>
      <c r="I92" s="5">
        <f>IF($B91&lt;=Tabla5[[#This Row],[INVERSIONES FCI]],+Tabla5[[#This Row],[INVERSIONES FCI]]-I91,Tabla5[[#This Row],[INVERSIONES FCI]])</f>
        <v>2741533613.00103</v>
      </c>
      <c r="J92" s="5">
        <f>IF($B91&lt;=Tabla5[[#This Row],[INVERSIONES FCI]],+Tabla5[[#This Row],[INVERSIONES FCI]]-J91,Tabla5[[#This Row],[INVERSIONES FCI]])</f>
        <v>2741533613.00103</v>
      </c>
      <c r="K92" s="5">
        <f>IF($B91&lt;=Tabla5[[#This Row],[INVERSIONES FCI]],+Tabla5[[#This Row],[INVERSIONES FCI]]-K91,Tabla5[[#This Row],[INVERSIONES FCI]])</f>
        <v>2741533613.00103</v>
      </c>
      <c r="L92" s="5">
        <f>IF($B91&lt;=Tabla5[[#This Row],[INVERSIONES FCI]],+Tabla5[[#This Row],[INVERSIONES FCI]]-L91,Tabla5[[#This Row],[INVERSIONES FCI]])</f>
        <v>2741533613.00103</v>
      </c>
      <c r="M92" s="5">
        <f>IF($B91&lt;=Tabla5[[#This Row],[INVERSIONES FCI]],+Tabla5[[#This Row],[INVERSIONES FCI]]-M91,Tabla5[[#This Row],[INVERSIONES FCI]])</f>
        <v>2741533613.00103</v>
      </c>
      <c r="N92" s="5">
        <f>IF($B91&lt;=Tabla5[[#This Row],[INVERSIONES FCI]],+Tabla5[[#This Row],[INVERSIONES FCI]]-N91,Tabla5[[#This Row],[INVERSIONES FCI]])</f>
        <v>2741533613.00103</v>
      </c>
      <c r="O92" s="5">
        <f>IF($B91&lt;=Tabla5[[#This Row],[INVERSIONES FCI]],+Tabla5[[#This Row],[INVERSIONES FCI]]-O91,Tabla5[[#This Row],[INVERSIONES FCI]])</f>
        <v>2741533613.00103</v>
      </c>
      <c r="P92" s="5">
        <f>IF($B91&lt;=Tabla5[[#This Row],[INVERSIONES FCI]],+Tabla5[[#This Row],[INVERSIONES FCI]]-P91,Tabla5[[#This Row],[INVERSIONES FCI]])</f>
        <v>2741533613.00103</v>
      </c>
      <c r="Q92" s="5">
        <f>IF($B91&lt;=Tabla5[[#This Row],[INVERSIONES FCI]],+Tabla5[[#This Row],[INVERSIONES FCI]]-Q91,Tabla5[[#This Row],[INVERSIONES FCI]])</f>
        <v>2741533613.00103</v>
      </c>
      <c r="R92" s="5">
        <f>IF($B91&lt;=Tabla5[[#This Row],[INVERSIONES FCI]],+Tabla5[[#This Row],[INVERSIONES FCI]]-R91,Tabla5[[#This Row],[INVERSIONES FCI]])</f>
        <v>2741533613.00103</v>
      </c>
      <c r="S92" s="5">
        <f>IF($B91&lt;=Tabla5[[#This Row],[INVERSIONES FCI]],+Tabla5[[#This Row],[INVERSIONES FCI]]-S91,Tabla5[[#This Row],[INVERSIONES FCI]])</f>
        <v>2741533613.00103</v>
      </c>
      <c r="T92" s="5">
        <f>IF($B91&lt;=Tabla5[[#This Row],[INVERSIONES FCI]],+Tabla5[[#This Row],[INVERSIONES FCI]]-T91,Tabla5[[#This Row],[INVERSIONES FCI]])</f>
        <v>2741533613.00103</v>
      </c>
      <c r="U92" s="5">
        <f>IF($B91&lt;=Tabla5[[#This Row],[INVERSIONES FCI]],+Tabla5[[#This Row],[INVERSIONES FCI]]-U91,Tabla5[[#This Row],[INVERSIONES FCI]])</f>
        <v>2741533613.00103</v>
      </c>
      <c r="V92" s="5">
        <f>IF($B91&lt;=Tabla5[[#This Row],[INVERSIONES FCI]],+Tabla5[[#This Row],[INVERSIONES FCI]]-V91,Tabla5[[#This Row],[INVERSIONES FCI]])</f>
        <v>2741533613.00103</v>
      </c>
      <c r="W92" s="5">
        <f>IF($B91&lt;=Tabla5[[#This Row],[INVERSIONES FCI]],+Tabla5[[#This Row],[INVERSIONES FCI]]-W91,Tabla5[[#This Row],[INVERSIONES FCI]])</f>
        <v>2741533613.00103</v>
      </c>
      <c r="X92" s="5">
        <f>IF($B91&lt;=Tabla5[[#This Row],[INVERSIONES FCI]],+Tabla5[[#This Row],[INVERSIONES FCI]]-X91,Tabla5[[#This Row],[INVERSIONES FCI]])</f>
        <v>2741533613.00103</v>
      </c>
      <c r="Y92" s="5">
        <f>IF($B91&lt;=Tabla5[[#This Row],[INVERSIONES FCI]],+Tabla5[[#This Row],[INVERSIONES FCI]]-Y91,Tabla5[[#This Row],[INVERSIONES FCI]])</f>
        <v>2741533613.00103</v>
      </c>
      <c r="Z92" s="5">
        <f>IF($B91&lt;=Tabla5[[#This Row],[INVERSIONES FCI]],+Tabla5[[#This Row],[INVERSIONES FCI]]-Z91,Tabla5[[#This Row],[INVERSIONES FCI]])</f>
        <v>2741533613.00103</v>
      </c>
      <c r="AA92" s="5">
        <f>IF($B91&lt;=Tabla5[[#This Row],[INVERSIONES FCI]],+Tabla5[[#This Row],[INVERSIONES FCI]]-AA91,Tabla5[[#This Row],[INVERSIONES FCI]])</f>
        <v>2741533613.00103</v>
      </c>
      <c r="AB92" s="5">
        <f>IF($B91&lt;=Tabla5[[#This Row],[INVERSIONES FCI]],+Tabla5[[#This Row],[INVERSIONES FCI]]-AB91,Tabla5[[#This Row],[INVERSIONES FCI]])</f>
        <v>2741533613.00103</v>
      </c>
      <c r="AC92" s="5">
        <f>IF($B91&lt;=Tabla5[[#This Row],[INVERSIONES FCI]],+Tabla5[[#This Row],[INVERSIONES FCI]]-AC91,Tabla5[[#This Row],[INVERSIONES FCI]])</f>
        <v>2741533613.00103</v>
      </c>
      <c r="AD92" s="5">
        <f>IF($B91&lt;=Tabla5[[#This Row],[INVERSIONES FCI]],+Tabla5[[#This Row],[INVERSIONES FCI]]-AD91,Tabla5[[#This Row],[INVERSIONES FCI]])</f>
        <v>2741533613.00103</v>
      </c>
      <c r="AE92" s="5">
        <f>IF($B91&lt;=Tabla5[[#This Row],[INVERSIONES FCI]],+Tabla5[[#This Row],[INVERSIONES FCI]]-AE91,Tabla5[[#This Row],[INVERSIONES FCI]])</f>
        <v>2741533613.00103</v>
      </c>
      <c r="AF92" s="5">
        <f>IF($B91&lt;=Tabla5[[#This Row],[INVERSIONES FCI]],+Tabla5[[#This Row],[INVERSIONES FCI]]-AF91,Tabla5[[#This Row],[INVERSIONES FCI]])</f>
        <v>2741533613.00103</v>
      </c>
      <c r="AG92" s="5">
        <f>IF($B91&lt;=Tabla5[[#This Row],[INVERSIONES FCI]],+Tabla5[[#This Row],[INVERSIONES FCI]]-AG91,Tabla5[[#This Row],[INVERSIONES FCI]])</f>
        <v>2741533613.00103</v>
      </c>
      <c r="AH92" s="5">
        <f>IF($B91&lt;=Tabla5[[#This Row],[INVERSIONES FCI]],+Tabla5[[#This Row],[INVERSIONES FCI]]-AH91,Tabla5[[#This Row],[INVERSIONES FCI]])</f>
        <v>2741533613.00103</v>
      </c>
      <c r="AI92" s="5">
        <f>IF($B91&lt;=Tabla5[[#This Row],[INVERSIONES FCI]],+Tabla5[[#This Row],[INVERSIONES FCI]]-AI91,Tabla5[[#This Row],[INVERSIONES FCI]])</f>
        <v>2741533613.00103</v>
      </c>
      <c r="AJ92" s="5">
        <f>IF($B91&lt;=Tabla5[[#This Row],[INVERSIONES FCI]],+Tabla5[[#This Row],[INVERSIONES FCI]]-AJ91,Tabla5[[#This Row],[INVERSIONES FCI]])</f>
        <v>2741533613.00103</v>
      </c>
      <c r="AK92" s="5">
        <f>IF($B91&lt;=Tabla5[[#This Row],[INVERSIONES FCI]],+Tabla5[[#This Row],[INVERSIONES FCI]]-AK91,Tabla5[[#This Row],[INVERSIONES FCI]])</f>
        <v>2741533613.00103</v>
      </c>
      <c r="AL92" s="5">
        <f>IF($B91&lt;=Tabla5[[#This Row],[INVERSIONES FCI]],+Tabla5[[#This Row],[INVERSIONES FCI]]-AL91,Tabla5[[#This Row],[INVERSIONES FCI]])</f>
        <v>2741533613.00103</v>
      </c>
      <c r="AM92" s="5">
        <f>IF($B91&lt;=Tabla5[[#This Row],[INVERSIONES FCI]],+Tabla5[[#This Row],[INVERSIONES FCI]]-AM91,Tabla5[[#This Row],[INVERSIONES FCI]])</f>
        <v>2741533613.00103</v>
      </c>
      <c r="AN92" s="5">
        <f>IF($B91&lt;=Tabla5[[#This Row],[INVERSIONES FCI]],+Tabla5[[#This Row],[INVERSIONES FCI]]-AN91,Tabla5[[#This Row],[INVERSIONES FCI]])</f>
        <v>2741533613.00103</v>
      </c>
      <c r="AO92" s="5">
        <f>IF($B91&lt;=Tabla5[[#This Row],[INVERSIONES FCI]],+Tabla5[[#This Row],[INVERSIONES FCI]]-AO91,Tabla5[[#This Row],[INVERSIONES FCI]])</f>
        <v>2741533613.00103</v>
      </c>
      <c r="AP92" s="5">
        <f>IF($B91&lt;=Tabla5[[#This Row],[INVERSIONES FCI]],+Tabla5[[#This Row],[INVERSIONES FCI]]-AP91,Tabla5[[#This Row],[INVERSIONES FCI]])</f>
        <v>2741533613.00103</v>
      </c>
      <c r="AQ92" s="5">
        <f>IF($B91&lt;=Tabla5[[#This Row],[INVERSIONES FCI]],+Tabla5[[#This Row],[INVERSIONES FCI]]-AQ91,Tabla5[[#This Row],[INVERSIONES FCI]])</f>
        <v>2741533613.00103</v>
      </c>
      <c r="AR92" s="5">
        <f>IF($B91&lt;=Tabla5[[#This Row],[INVERSIONES FCI]],+Tabla5[[#This Row],[INVERSIONES FCI]]-AR91,Tabla5[[#This Row],[INVERSIONES FCI]])</f>
        <v>2741533613.00103</v>
      </c>
      <c r="AS92" s="5">
        <f>IF($B91&lt;=Tabla5[[#This Row],[INVERSIONES FCI]],+Tabla5[[#This Row],[INVERSIONES FCI]]-AS91,Tabla5[[#This Row],[INVERSIONES FCI]])</f>
        <v>2741533613.00103</v>
      </c>
      <c r="AT92" s="5">
        <f>IF($B91&lt;=Tabla5[[#This Row],[INVERSIONES FCI]],+Tabla5[[#This Row],[INVERSIONES FCI]]-AT91,Tabla5[[#This Row],[INVERSIONES FCI]])</f>
        <v>2741533613.00103</v>
      </c>
      <c r="AU92" s="5">
        <f>IF($B91&lt;=Tabla5[[#This Row],[INVERSIONES FCI]],+Tabla5[[#This Row],[INVERSIONES FCI]]-AU91,Tabla5[[#This Row],[INVERSIONES FCI]])</f>
        <v>2741533613.00103</v>
      </c>
      <c r="AV92" s="5">
        <f>IF($B91&lt;=Tabla5[[#This Row],[INVERSIONES FCI]],+Tabla5[[#This Row],[INVERSIONES FCI]]-AV91,Tabla5[[#This Row],[INVERSIONES FCI]])</f>
        <v>2741533613.00103</v>
      </c>
      <c r="AW92" s="5">
        <f>IF($B91&lt;=Tabla5[[#This Row],[INVERSIONES FCI]],+Tabla5[[#This Row],[INVERSIONES FCI]]-AW91,Tabla5[[#This Row],[INVERSIONES FCI]])</f>
        <v>2741533613.00103</v>
      </c>
      <c r="AX92" s="5">
        <f>IF($B91&lt;=Tabla5[[#This Row],[INVERSIONES FCI]],+Tabla5[[#This Row],[INVERSIONES FCI]]-AX91,Tabla5[[#This Row],[INVERSIONES FCI]])</f>
        <v>2741533613.00103</v>
      </c>
      <c r="AY92" s="5">
        <f>IF($B91&lt;=Tabla5[[#This Row],[INVERSIONES FCI]],+Tabla5[[#This Row],[INVERSIONES FCI]]-AY91,Tabla5[[#This Row],[INVERSIONES FCI]])</f>
        <v>2741533613.00103</v>
      </c>
      <c r="AZ92" s="5">
        <f>IF($B91&lt;=Tabla5[[#This Row],[INVERSIONES FCI]],+Tabla5[[#This Row],[INVERSIONES FCI]]-AZ91,Tabla5[[#This Row],[INVERSIONES FCI]])</f>
        <v>2741533613.00103</v>
      </c>
      <c r="BA92" s="5">
        <f>IF($B91&lt;=Tabla5[[#This Row],[INVERSIONES FCI]],+Tabla5[[#This Row],[INVERSIONES FCI]]-BA91,Tabla5[[#This Row],[INVERSIONES FCI]])</f>
        <v>2741533613.00103</v>
      </c>
      <c r="BB92" s="5">
        <f>IF($B91&lt;=Tabla5[[#This Row],[INVERSIONES FCI]],+Tabla5[[#This Row],[INVERSIONES FCI]]-BB91,Tabla5[[#This Row],[INVERSIONES FCI]])</f>
        <v>2741533613.00103</v>
      </c>
      <c r="BC92" s="5">
        <f>IF($B91&lt;=Tabla5[[#This Row],[INVERSIONES FCI]],+Tabla5[[#This Row],[INVERSIONES FCI]]-BC91,Tabla5[[#This Row],[INVERSIONES FCI]])</f>
        <v>2741533613.00103</v>
      </c>
      <c r="BD92" s="5">
        <f>IF($B91&lt;=Tabla5[[#This Row],[INVERSIONES FCI]],+Tabla5[[#This Row],[INVERSIONES FCI]]-BD91,Tabla5[[#This Row],[INVERSIONES FCI]])</f>
        <v>2741533613.00103</v>
      </c>
      <c r="BE92" s="5">
        <f>IF($B91&lt;=Tabla5[[#This Row],[INVERSIONES FCI]],+Tabla5[[#This Row],[INVERSIONES FCI]]-BE91,Tabla5[[#This Row],[INVERSIONES FCI]])</f>
        <v>2741533613.00103</v>
      </c>
      <c r="BF92" s="5">
        <f>IF($B91&lt;=Tabla5[[#This Row],[INVERSIONES FCI]],+Tabla5[[#This Row],[INVERSIONES FCI]]-BF91,Tabla5[[#This Row],[INVERSIONES FCI]])</f>
        <v>2741533613.00103</v>
      </c>
      <c r="BG92" s="5">
        <f>IF($B91&lt;=Tabla5[[#This Row],[INVERSIONES FCI]],+Tabla5[[#This Row],[INVERSIONES FCI]]-BG91,Tabla5[[#This Row],[INVERSIONES FCI]])</f>
        <v>2741533613.00103</v>
      </c>
      <c r="BH92" s="5">
        <f>IF($B91&lt;=Tabla5[[#This Row],[INVERSIONES FCI]],+Tabla5[[#This Row],[INVERSIONES FCI]]-BH91,Tabla5[[#This Row],[INVERSIONES FCI]])</f>
        <v>2741533613.00103</v>
      </c>
      <c r="BI92" s="5">
        <f>IF($B91&lt;=Tabla5[[#This Row],[INVERSIONES FCI]],+Tabla5[[#This Row],[INVERSIONES FCI]]-BI91,Tabla5[[#This Row],[INVERSIONES FCI]])</f>
        <v>2741533613.00103</v>
      </c>
      <c r="BJ92" s="5">
        <f>IF($B91&lt;=Tabla5[[#This Row],[INVERSIONES FCI]],+Tabla5[[#This Row],[INVERSIONES FCI]]-BJ91,Tabla5[[#This Row],[INVERSIONES FCI]])</f>
        <v>2741533613.00103</v>
      </c>
      <c r="BK92" s="5">
        <f>IF($B91&lt;=Tabla5[[#This Row],[INVERSIONES FCI]],+Tabla5[[#This Row],[INVERSIONES FCI]]-BK91,Tabla5[[#This Row],[INVERSIONES FCI]])</f>
        <v>2741533613.00103</v>
      </c>
      <c r="BL92" s="5">
        <f>IF($B91&lt;=Tabla5[[#This Row],[INVERSIONES FCI]],+Tabla5[[#This Row],[INVERSIONES FCI]]-BL91,Tabla5[[#This Row],[INVERSIONES FCI]])</f>
        <v>2741533613.00103</v>
      </c>
      <c r="BM92" s="5">
        <f>IF($B91&lt;=Tabla5[[#This Row],[INVERSIONES FCI]],+Tabla5[[#This Row],[INVERSIONES FCI]]-BM91,Tabla5[[#This Row],[INVERSIONES FCI]])</f>
        <v>2741533613.00103</v>
      </c>
      <c r="BN92" s="5">
        <f>IF($B91&lt;=Tabla5[[#This Row],[INVERSIONES FCI]],+Tabla5[[#This Row],[INVERSIONES FCI]]-BN91,Tabla5[[#This Row],[INVERSIONES FCI]])</f>
        <v>2741533613.00103</v>
      </c>
      <c r="BO92" s="5">
        <f>IF($B91&lt;=Tabla5[[#This Row],[INVERSIONES FCI]],+Tabla5[[#This Row],[INVERSIONES FCI]]-BO91,Tabla5[[#This Row],[INVERSIONES FCI]])</f>
        <v>2741533613.00103</v>
      </c>
      <c r="BP92" s="5">
        <f>IF($B91&lt;=Tabla5[[#This Row],[INVERSIONES FCI]],+Tabla5[[#This Row],[INVERSIONES FCI]]-BP91,Tabla5[[#This Row],[INVERSIONES FCI]])</f>
        <v>2741533613.00103</v>
      </c>
      <c r="BQ92" s="5">
        <f>IF($B91&lt;=Tabla5[[#This Row],[INVERSIONES FCI]],+Tabla5[[#This Row],[INVERSIONES FCI]]-BQ91,Tabla5[[#This Row],[INVERSIONES FCI]])</f>
        <v>2741533613.00103</v>
      </c>
      <c r="BR92" s="5">
        <f>IF($B91&lt;=Tabla5[[#This Row],[INVERSIONES FCI]],+Tabla5[[#This Row],[INVERSIONES FCI]]-BR91,Tabla5[[#This Row],[INVERSIONES FCI]])</f>
        <v>2741533613.00103</v>
      </c>
      <c r="BS92" s="5">
        <f>IF($B91&lt;=Tabla5[[#This Row],[INVERSIONES FCI]],+Tabla5[[#This Row],[INVERSIONES FCI]]-BS91,Tabla5[[#This Row],[INVERSIONES FCI]])</f>
        <v>2741533613.00103</v>
      </c>
      <c r="BT92" s="5">
        <f>IF($B91&lt;=Tabla5[[#This Row],[INVERSIONES FCI]],+Tabla5[[#This Row],[INVERSIONES FCI]]-BT91,Tabla5[[#This Row],[INVERSIONES FCI]])</f>
        <v>2741533613.00103</v>
      </c>
      <c r="BU92" s="5">
        <f>IF($B91&lt;=Tabla5[[#This Row],[INVERSIONES FCI]],+Tabla5[[#This Row],[INVERSIONES FCI]]-BU91,Tabla5[[#This Row],[INVERSIONES FCI]])</f>
        <v>2741533613.00103</v>
      </c>
      <c r="BV92" s="5">
        <f>IF($B91&lt;=Tabla5[[#This Row],[INVERSIONES FCI]],+Tabla5[[#This Row],[INVERSIONES FCI]]-BV91,Tabla5[[#This Row],[INVERSIONES FCI]])</f>
        <v>2741533613.00103</v>
      </c>
      <c r="BW92" s="5">
        <f>IF($B91&lt;=Tabla5[[#This Row],[INVERSIONES FCI]],+Tabla5[[#This Row],[INVERSIONES FCI]]-BW91,Tabla5[[#This Row],[INVERSIONES FCI]])</f>
        <v>2741533613.00103</v>
      </c>
      <c r="BX92" s="5">
        <f>IF($B91&lt;=Tabla5[[#This Row],[INVERSIONES FCI]],+Tabla5[[#This Row],[INVERSIONES FCI]]-BX91,Tabla5[[#This Row],[INVERSIONES FCI]])</f>
        <v>2741533613.00103</v>
      </c>
      <c r="BY92" s="5">
        <f>IF($B91&lt;=Tabla5[[#This Row],[INVERSIONES FCI]],+Tabla5[[#This Row],[INVERSIONES FCI]]-BY91,Tabla5[[#This Row],[INVERSIONES FCI]])</f>
        <v>2741533613.00103</v>
      </c>
      <c r="BZ92" s="5">
        <f>IF($B91&lt;=Tabla5[[#This Row],[INVERSIONES FCI]],+Tabla5[[#This Row],[INVERSIONES FCI]]-BZ91,Tabla5[[#This Row],[INVERSIONES FCI]])</f>
        <v>2741533613.00103</v>
      </c>
      <c r="CA92" s="5">
        <f>IF($B91&lt;=Tabla5[[#This Row],[INVERSIONES FCI]],+Tabla5[[#This Row],[INVERSIONES FCI]]-CA91,Tabla5[[#This Row],[INVERSIONES FCI]])</f>
        <v>2741533613.00103</v>
      </c>
      <c r="CB92" s="5">
        <f>IF($B91&lt;=Tabla5[[#This Row],[INVERSIONES FCI]],+Tabla5[[#This Row],[INVERSIONES FCI]]-CB91,Tabla5[[#This Row],[INVERSIONES FCI]])</f>
        <v>2741533613.00103</v>
      </c>
      <c r="CC92" s="5">
        <f>IF($B91&lt;=Tabla5[[#This Row],[INVERSIONES FCI]],+Tabla5[[#This Row],[INVERSIONES FCI]]-CC91,Tabla5[[#This Row],[INVERSIONES FCI]])</f>
        <v>2741533613.00103</v>
      </c>
      <c r="CD92" s="5">
        <f>IF($B91&lt;=Tabla5[[#This Row],[INVERSIONES FCI]],+Tabla5[[#This Row],[INVERSIONES FCI]]-CD91,Tabla5[[#This Row],[INVERSIONES FCI]])</f>
        <v>2741533613.00103</v>
      </c>
      <c r="CE92" s="5">
        <f>IF($B91&lt;=Tabla5[[#This Row],[INVERSIONES FCI]],+Tabla5[[#This Row],[INVERSIONES FCI]]-CE91,Tabla5[[#This Row],[INVERSIONES FCI]])</f>
        <v>2741533613.00103</v>
      </c>
      <c r="CF92" s="5">
        <f>IF($B91&lt;=Tabla5[[#This Row],[INVERSIONES FCI]],+Tabla5[[#This Row],[INVERSIONES FCI]]-CF91,Tabla5[[#This Row],[INVERSIONES FCI]])</f>
        <v>2741533613.00103</v>
      </c>
      <c r="CG92" s="5">
        <f>IF($B91&lt;=Tabla5[[#This Row],[INVERSIONES FCI]],+Tabla5[[#This Row],[INVERSIONES FCI]]-CG91,Tabla5[[#This Row],[INVERSIONES FCI]])</f>
        <v>2741533613.00103</v>
      </c>
      <c r="CH92" s="5">
        <f>IF($B91&lt;=Tabla5[[#This Row],[INVERSIONES FCI]],+Tabla5[[#This Row],[INVERSIONES FCI]]-CH91,Tabla5[[#This Row],[INVERSIONES FCI]])</f>
        <v>2741533613.00103</v>
      </c>
      <c r="CI92" s="5">
        <f>IF($B91&lt;=Tabla5[[#This Row],[INVERSIONES FCI]],+Tabla5[[#This Row],[INVERSIONES FCI]]-CI91,Tabla5[[#This Row],[INVERSIONES FCI]])</f>
        <v>2741533613.00103</v>
      </c>
      <c r="CJ92" s="5">
        <f>IF($B91&lt;=Tabla5[[#This Row],[INVERSIONES FCI]],+Tabla5[[#This Row],[INVERSIONES FCI]]-CJ91,Tabla5[[#This Row],[INVERSIONES FCI]])</f>
        <v>2741533613.00103</v>
      </c>
      <c r="CK92" s="5">
        <f>IF($B91&lt;=Tabla5[[#This Row],[INVERSIONES FCI]],+Tabla5[[#This Row],[INVERSIONES FCI]]-CK91,Tabla5[[#This Row],[INVERSIONES FCI]])</f>
        <v>2741533613.00103</v>
      </c>
      <c r="CL92" s="5">
        <f>IF($B91&lt;=Tabla5[[#This Row],[INVERSIONES FCI]],+Tabla5[[#This Row],[INVERSIONES FCI]]-CL91,Tabla5[[#This Row],[INVERSIONES FCI]])</f>
        <v>2741533613.00103</v>
      </c>
      <c r="CM92" s="5">
        <f>IF($B91&lt;=Tabla5[[#This Row],[INVERSIONES FCI]],+Tabla5[[#This Row],[INVERSIONES FCI]]-CM91,Tabla5[[#This Row],[INVERSIONES FCI]])</f>
        <v>2741533613.00103</v>
      </c>
      <c r="CN92" s="5">
        <f>IF($B91&lt;=Tabla5[[#This Row],[INVERSIONES FCI]],+Tabla5[[#This Row],[INVERSIONES FCI]]-CN91,Tabla5[[#This Row],[INVERSIONES FCI]])</f>
        <v>2741533613.00103</v>
      </c>
      <c r="CO92" s="5" cm="1">
        <f t="array" ref="CO92">IF(Tabla5[[#This Row],[FCI]]=0,0,_xlfn.XLOOKUP(TRUE,$B92:CN92&gt;0,$B92:CN92,"",0,-1))</f>
        <v>2741533613.00103</v>
      </c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</row>
    <row r="93" spans="1:121" ht="14.4">
      <c r="A93" s="12" t="s">
        <v>92</v>
      </c>
      <c r="B93" s="5">
        <f>HLOOKUP($A93,ESCENARIO[#All],7,FALSE)</f>
        <v>4456803369.6446295</v>
      </c>
      <c r="C93" s="5">
        <f>IF($B92&lt;=Tabla5[[#This Row],[INVERSIONES FCI]],+Tabla5[[#This Row],[INVERSIONES FCI]]-C92,Tabla5[[#This Row],[INVERSIONES FCI]])</f>
        <v>1715269756.6435995</v>
      </c>
      <c r="D93" s="5">
        <f>IF($B92&lt;=Tabla5[[#This Row],[INVERSIONES FCI]],+Tabla5[[#This Row],[INVERSIONES FCI]]-D92,Tabla5[[#This Row],[INVERSIONES FCI]])</f>
        <v>1715269756.6435995</v>
      </c>
      <c r="E93" s="5">
        <f>IF($B92&lt;=Tabla5[[#This Row],[INVERSIONES FCI]],+Tabla5[[#This Row],[INVERSIONES FCI]]-E92,Tabla5[[#This Row],[INVERSIONES FCI]])</f>
        <v>1715269756.6435995</v>
      </c>
      <c r="F93" s="5">
        <f>IF($B92&lt;=Tabla5[[#This Row],[INVERSIONES FCI]],+Tabla5[[#This Row],[INVERSIONES FCI]]-F92,Tabla5[[#This Row],[INVERSIONES FCI]])</f>
        <v>1715269756.6435995</v>
      </c>
      <c r="G93" s="5">
        <f>IF($B92&lt;=Tabla5[[#This Row],[INVERSIONES FCI]],+Tabla5[[#This Row],[INVERSIONES FCI]]-G92,Tabla5[[#This Row],[INVERSIONES FCI]])</f>
        <v>1715269756.6435995</v>
      </c>
      <c r="H93" s="5">
        <f>IF($B92&lt;=Tabla5[[#This Row],[INVERSIONES FCI]],+Tabla5[[#This Row],[INVERSIONES FCI]]-H92,Tabla5[[#This Row],[INVERSIONES FCI]])</f>
        <v>1715269756.6435995</v>
      </c>
      <c r="I93" s="5">
        <f>IF($B92&lt;=Tabla5[[#This Row],[INVERSIONES FCI]],+Tabla5[[#This Row],[INVERSIONES FCI]]-I92,Tabla5[[#This Row],[INVERSIONES FCI]])</f>
        <v>1715269756.6435995</v>
      </c>
      <c r="J93" s="5">
        <f>IF($B92&lt;=Tabla5[[#This Row],[INVERSIONES FCI]],+Tabla5[[#This Row],[INVERSIONES FCI]]-J92,Tabla5[[#This Row],[INVERSIONES FCI]])</f>
        <v>1715269756.6435995</v>
      </c>
      <c r="K93" s="5">
        <f>IF($B92&lt;=Tabla5[[#This Row],[INVERSIONES FCI]],+Tabla5[[#This Row],[INVERSIONES FCI]]-K92,Tabla5[[#This Row],[INVERSIONES FCI]])</f>
        <v>1715269756.6435995</v>
      </c>
      <c r="L93" s="5">
        <f>IF($B92&lt;=Tabla5[[#This Row],[INVERSIONES FCI]],+Tabla5[[#This Row],[INVERSIONES FCI]]-L92,Tabla5[[#This Row],[INVERSIONES FCI]])</f>
        <v>1715269756.6435995</v>
      </c>
      <c r="M93" s="5">
        <f>IF($B92&lt;=Tabla5[[#This Row],[INVERSIONES FCI]],+Tabla5[[#This Row],[INVERSIONES FCI]]-M92,Tabla5[[#This Row],[INVERSIONES FCI]])</f>
        <v>1715269756.6435995</v>
      </c>
      <c r="N93" s="5">
        <f>IF($B92&lt;=Tabla5[[#This Row],[INVERSIONES FCI]],+Tabla5[[#This Row],[INVERSIONES FCI]]-N92,Tabla5[[#This Row],[INVERSIONES FCI]])</f>
        <v>1715269756.6435995</v>
      </c>
      <c r="O93" s="5">
        <f>IF($B92&lt;=Tabla5[[#This Row],[INVERSIONES FCI]],+Tabla5[[#This Row],[INVERSIONES FCI]]-O92,Tabla5[[#This Row],[INVERSIONES FCI]])</f>
        <v>1715269756.6435995</v>
      </c>
      <c r="P93" s="5">
        <f>IF($B92&lt;=Tabla5[[#This Row],[INVERSIONES FCI]],+Tabla5[[#This Row],[INVERSIONES FCI]]-P92,Tabla5[[#This Row],[INVERSIONES FCI]])</f>
        <v>1715269756.6435995</v>
      </c>
      <c r="Q93" s="5">
        <f>IF($B92&lt;=Tabla5[[#This Row],[INVERSIONES FCI]],+Tabla5[[#This Row],[INVERSIONES FCI]]-Q92,Tabla5[[#This Row],[INVERSIONES FCI]])</f>
        <v>1715269756.6435995</v>
      </c>
      <c r="R93" s="5">
        <f>IF($B92&lt;=Tabla5[[#This Row],[INVERSIONES FCI]],+Tabla5[[#This Row],[INVERSIONES FCI]]-R92,Tabla5[[#This Row],[INVERSIONES FCI]])</f>
        <v>1715269756.6435995</v>
      </c>
      <c r="S93" s="5">
        <f>IF($B92&lt;=Tabla5[[#This Row],[INVERSIONES FCI]],+Tabla5[[#This Row],[INVERSIONES FCI]]-S92,Tabla5[[#This Row],[INVERSIONES FCI]])</f>
        <v>1715269756.6435995</v>
      </c>
      <c r="T93" s="5">
        <f>IF($B92&lt;=Tabla5[[#This Row],[INVERSIONES FCI]],+Tabla5[[#This Row],[INVERSIONES FCI]]-T92,Tabla5[[#This Row],[INVERSIONES FCI]])</f>
        <v>1715269756.6435995</v>
      </c>
      <c r="U93" s="5">
        <f>IF($B92&lt;=Tabla5[[#This Row],[INVERSIONES FCI]],+Tabla5[[#This Row],[INVERSIONES FCI]]-U92,Tabla5[[#This Row],[INVERSIONES FCI]])</f>
        <v>1715269756.6435995</v>
      </c>
      <c r="V93" s="5">
        <f>IF($B92&lt;=Tabla5[[#This Row],[INVERSIONES FCI]],+Tabla5[[#This Row],[INVERSIONES FCI]]-V92,Tabla5[[#This Row],[INVERSIONES FCI]])</f>
        <v>1715269756.6435995</v>
      </c>
      <c r="W93" s="5">
        <f>IF($B92&lt;=Tabla5[[#This Row],[INVERSIONES FCI]],+Tabla5[[#This Row],[INVERSIONES FCI]]-W92,Tabla5[[#This Row],[INVERSIONES FCI]])</f>
        <v>1715269756.6435995</v>
      </c>
      <c r="X93" s="5">
        <f>IF($B92&lt;=Tabla5[[#This Row],[INVERSIONES FCI]],+Tabla5[[#This Row],[INVERSIONES FCI]]-X92,Tabla5[[#This Row],[INVERSIONES FCI]])</f>
        <v>1715269756.6435995</v>
      </c>
      <c r="Y93" s="5">
        <f>IF($B92&lt;=Tabla5[[#This Row],[INVERSIONES FCI]],+Tabla5[[#This Row],[INVERSIONES FCI]]-Y92,Tabla5[[#This Row],[INVERSIONES FCI]])</f>
        <v>1715269756.6435995</v>
      </c>
      <c r="Z93" s="5">
        <f>IF($B92&lt;=Tabla5[[#This Row],[INVERSIONES FCI]],+Tabla5[[#This Row],[INVERSIONES FCI]]-Z92,Tabla5[[#This Row],[INVERSIONES FCI]])</f>
        <v>1715269756.6435995</v>
      </c>
      <c r="AA93" s="5">
        <f>IF($B92&lt;=Tabla5[[#This Row],[INVERSIONES FCI]],+Tabla5[[#This Row],[INVERSIONES FCI]]-AA92,Tabla5[[#This Row],[INVERSIONES FCI]])</f>
        <v>1715269756.6435995</v>
      </c>
      <c r="AB93" s="5">
        <f>IF($B92&lt;=Tabla5[[#This Row],[INVERSIONES FCI]],+Tabla5[[#This Row],[INVERSIONES FCI]]-AB92,Tabla5[[#This Row],[INVERSIONES FCI]])</f>
        <v>1715269756.6435995</v>
      </c>
      <c r="AC93" s="5">
        <f>IF($B92&lt;=Tabla5[[#This Row],[INVERSIONES FCI]],+Tabla5[[#This Row],[INVERSIONES FCI]]-AC92,Tabla5[[#This Row],[INVERSIONES FCI]])</f>
        <v>1715269756.6435995</v>
      </c>
      <c r="AD93" s="5">
        <f>IF($B92&lt;=Tabla5[[#This Row],[INVERSIONES FCI]],+Tabla5[[#This Row],[INVERSIONES FCI]]-AD92,Tabla5[[#This Row],[INVERSIONES FCI]])</f>
        <v>1715269756.6435995</v>
      </c>
      <c r="AE93" s="5">
        <f>IF($B92&lt;=Tabla5[[#This Row],[INVERSIONES FCI]],+Tabla5[[#This Row],[INVERSIONES FCI]]-AE92,Tabla5[[#This Row],[INVERSIONES FCI]])</f>
        <v>1715269756.6435995</v>
      </c>
      <c r="AF93" s="5">
        <f>IF($B92&lt;=Tabla5[[#This Row],[INVERSIONES FCI]],+Tabla5[[#This Row],[INVERSIONES FCI]]-AF92,Tabla5[[#This Row],[INVERSIONES FCI]])</f>
        <v>1715269756.6435995</v>
      </c>
      <c r="AG93" s="5">
        <f>IF($B92&lt;=Tabla5[[#This Row],[INVERSIONES FCI]],+Tabla5[[#This Row],[INVERSIONES FCI]]-AG92,Tabla5[[#This Row],[INVERSIONES FCI]])</f>
        <v>1715269756.6435995</v>
      </c>
      <c r="AH93" s="5">
        <f>IF($B92&lt;=Tabla5[[#This Row],[INVERSIONES FCI]],+Tabla5[[#This Row],[INVERSIONES FCI]]-AH92,Tabla5[[#This Row],[INVERSIONES FCI]])</f>
        <v>1715269756.6435995</v>
      </c>
      <c r="AI93" s="5">
        <f>IF($B92&lt;=Tabla5[[#This Row],[INVERSIONES FCI]],+Tabla5[[#This Row],[INVERSIONES FCI]]-AI92,Tabla5[[#This Row],[INVERSIONES FCI]])</f>
        <v>1715269756.6435995</v>
      </c>
      <c r="AJ93" s="5">
        <f>IF($B92&lt;=Tabla5[[#This Row],[INVERSIONES FCI]],+Tabla5[[#This Row],[INVERSIONES FCI]]-AJ92,Tabla5[[#This Row],[INVERSIONES FCI]])</f>
        <v>1715269756.6435995</v>
      </c>
      <c r="AK93" s="5">
        <f>IF($B92&lt;=Tabla5[[#This Row],[INVERSIONES FCI]],+Tabla5[[#This Row],[INVERSIONES FCI]]-AK92,Tabla5[[#This Row],[INVERSIONES FCI]])</f>
        <v>1715269756.6435995</v>
      </c>
      <c r="AL93" s="5">
        <f>IF($B92&lt;=Tabla5[[#This Row],[INVERSIONES FCI]],+Tabla5[[#This Row],[INVERSIONES FCI]]-AL92,Tabla5[[#This Row],[INVERSIONES FCI]])</f>
        <v>1715269756.6435995</v>
      </c>
      <c r="AM93" s="5">
        <f>IF($B92&lt;=Tabla5[[#This Row],[INVERSIONES FCI]],+Tabla5[[#This Row],[INVERSIONES FCI]]-AM92,Tabla5[[#This Row],[INVERSIONES FCI]])</f>
        <v>1715269756.6435995</v>
      </c>
      <c r="AN93" s="5">
        <f>IF($B92&lt;=Tabla5[[#This Row],[INVERSIONES FCI]],+Tabla5[[#This Row],[INVERSIONES FCI]]-AN92,Tabla5[[#This Row],[INVERSIONES FCI]])</f>
        <v>1715269756.6435995</v>
      </c>
      <c r="AO93" s="5">
        <f>IF($B92&lt;=Tabla5[[#This Row],[INVERSIONES FCI]],+Tabla5[[#This Row],[INVERSIONES FCI]]-AO92,Tabla5[[#This Row],[INVERSIONES FCI]])</f>
        <v>1715269756.6435995</v>
      </c>
      <c r="AP93" s="5">
        <f>IF($B92&lt;=Tabla5[[#This Row],[INVERSIONES FCI]],+Tabla5[[#This Row],[INVERSIONES FCI]]-AP92,Tabla5[[#This Row],[INVERSIONES FCI]])</f>
        <v>1715269756.6435995</v>
      </c>
      <c r="AQ93" s="5">
        <f>IF($B92&lt;=Tabla5[[#This Row],[INVERSIONES FCI]],+Tabla5[[#This Row],[INVERSIONES FCI]]-AQ92,Tabla5[[#This Row],[INVERSIONES FCI]])</f>
        <v>1715269756.6435995</v>
      </c>
      <c r="AR93" s="5">
        <f>IF($B92&lt;=Tabla5[[#This Row],[INVERSIONES FCI]],+Tabla5[[#This Row],[INVERSIONES FCI]]-AR92,Tabla5[[#This Row],[INVERSIONES FCI]])</f>
        <v>1715269756.6435995</v>
      </c>
      <c r="AS93" s="5">
        <f>IF($B92&lt;=Tabla5[[#This Row],[INVERSIONES FCI]],+Tabla5[[#This Row],[INVERSIONES FCI]]-AS92,Tabla5[[#This Row],[INVERSIONES FCI]])</f>
        <v>1715269756.6435995</v>
      </c>
      <c r="AT93" s="5">
        <f>IF($B92&lt;=Tabla5[[#This Row],[INVERSIONES FCI]],+Tabla5[[#This Row],[INVERSIONES FCI]]-AT92,Tabla5[[#This Row],[INVERSIONES FCI]])</f>
        <v>1715269756.6435995</v>
      </c>
      <c r="AU93" s="5">
        <f>IF($B92&lt;=Tabla5[[#This Row],[INVERSIONES FCI]],+Tabla5[[#This Row],[INVERSIONES FCI]]-AU92,Tabla5[[#This Row],[INVERSIONES FCI]])</f>
        <v>1715269756.6435995</v>
      </c>
      <c r="AV93" s="5">
        <f>IF($B92&lt;=Tabla5[[#This Row],[INVERSIONES FCI]],+Tabla5[[#This Row],[INVERSIONES FCI]]-AV92,Tabla5[[#This Row],[INVERSIONES FCI]])</f>
        <v>1715269756.6435995</v>
      </c>
      <c r="AW93" s="5">
        <f>IF($B92&lt;=Tabla5[[#This Row],[INVERSIONES FCI]],+Tabla5[[#This Row],[INVERSIONES FCI]]-AW92,Tabla5[[#This Row],[INVERSIONES FCI]])</f>
        <v>1715269756.6435995</v>
      </c>
      <c r="AX93" s="5">
        <f>IF($B92&lt;=Tabla5[[#This Row],[INVERSIONES FCI]],+Tabla5[[#This Row],[INVERSIONES FCI]]-AX92,Tabla5[[#This Row],[INVERSIONES FCI]])</f>
        <v>1715269756.6435995</v>
      </c>
      <c r="AY93" s="5">
        <f>IF($B92&lt;=Tabla5[[#This Row],[INVERSIONES FCI]],+Tabla5[[#This Row],[INVERSIONES FCI]]-AY92,Tabla5[[#This Row],[INVERSIONES FCI]])</f>
        <v>1715269756.6435995</v>
      </c>
      <c r="AZ93" s="5">
        <f>IF($B92&lt;=Tabla5[[#This Row],[INVERSIONES FCI]],+Tabla5[[#This Row],[INVERSIONES FCI]]-AZ92,Tabla5[[#This Row],[INVERSIONES FCI]])</f>
        <v>1715269756.6435995</v>
      </c>
      <c r="BA93" s="5">
        <f>IF($B92&lt;=Tabla5[[#This Row],[INVERSIONES FCI]],+Tabla5[[#This Row],[INVERSIONES FCI]]-BA92,Tabla5[[#This Row],[INVERSIONES FCI]])</f>
        <v>1715269756.6435995</v>
      </c>
      <c r="BB93" s="5">
        <f>IF($B92&lt;=Tabla5[[#This Row],[INVERSIONES FCI]],+Tabla5[[#This Row],[INVERSIONES FCI]]-BB92,Tabla5[[#This Row],[INVERSIONES FCI]])</f>
        <v>1715269756.6435995</v>
      </c>
      <c r="BC93" s="5">
        <f>IF($B92&lt;=Tabla5[[#This Row],[INVERSIONES FCI]],+Tabla5[[#This Row],[INVERSIONES FCI]]-BC92,Tabla5[[#This Row],[INVERSIONES FCI]])</f>
        <v>1715269756.6435995</v>
      </c>
      <c r="BD93" s="5">
        <f>IF($B92&lt;=Tabla5[[#This Row],[INVERSIONES FCI]],+Tabla5[[#This Row],[INVERSIONES FCI]]-BD92,Tabla5[[#This Row],[INVERSIONES FCI]])</f>
        <v>1715269756.6435995</v>
      </c>
      <c r="BE93" s="5">
        <f>IF($B92&lt;=Tabla5[[#This Row],[INVERSIONES FCI]],+Tabla5[[#This Row],[INVERSIONES FCI]]-BE92,Tabla5[[#This Row],[INVERSIONES FCI]])</f>
        <v>1715269756.6435995</v>
      </c>
      <c r="BF93" s="5">
        <f>IF($B92&lt;=Tabla5[[#This Row],[INVERSIONES FCI]],+Tabla5[[#This Row],[INVERSIONES FCI]]-BF92,Tabla5[[#This Row],[INVERSIONES FCI]])</f>
        <v>1715269756.6435995</v>
      </c>
      <c r="BG93" s="5">
        <f>IF($B92&lt;=Tabla5[[#This Row],[INVERSIONES FCI]],+Tabla5[[#This Row],[INVERSIONES FCI]]-BG92,Tabla5[[#This Row],[INVERSIONES FCI]])</f>
        <v>1715269756.6435995</v>
      </c>
      <c r="BH93" s="5">
        <f>IF($B92&lt;=Tabla5[[#This Row],[INVERSIONES FCI]],+Tabla5[[#This Row],[INVERSIONES FCI]]-BH92,Tabla5[[#This Row],[INVERSIONES FCI]])</f>
        <v>1715269756.6435995</v>
      </c>
      <c r="BI93" s="5">
        <f>IF($B92&lt;=Tabla5[[#This Row],[INVERSIONES FCI]],+Tabla5[[#This Row],[INVERSIONES FCI]]-BI92,Tabla5[[#This Row],[INVERSIONES FCI]])</f>
        <v>1715269756.6435995</v>
      </c>
      <c r="BJ93" s="5">
        <f>IF($B92&lt;=Tabla5[[#This Row],[INVERSIONES FCI]],+Tabla5[[#This Row],[INVERSIONES FCI]]-BJ92,Tabla5[[#This Row],[INVERSIONES FCI]])</f>
        <v>1715269756.6435995</v>
      </c>
      <c r="BK93" s="5">
        <f>IF($B92&lt;=Tabla5[[#This Row],[INVERSIONES FCI]],+Tabla5[[#This Row],[INVERSIONES FCI]]-BK92,Tabla5[[#This Row],[INVERSIONES FCI]])</f>
        <v>1715269756.6435995</v>
      </c>
      <c r="BL93" s="5">
        <f>IF($B92&lt;=Tabla5[[#This Row],[INVERSIONES FCI]],+Tabla5[[#This Row],[INVERSIONES FCI]]-BL92,Tabla5[[#This Row],[INVERSIONES FCI]])</f>
        <v>1715269756.6435995</v>
      </c>
      <c r="BM93" s="5">
        <f>IF($B92&lt;=Tabla5[[#This Row],[INVERSIONES FCI]],+Tabla5[[#This Row],[INVERSIONES FCI]]-BM92,Tabla5[[#This Row],[INVERSIONES FCI]])</f>
        <v>1715269756.6435995</v>
      </c>
      <c r="BN93" s="5">
        <f>IF($B92&lt;=Tabla5[[#This Row],[INVERSIONES FCI]],+Tabla5[[#This Row],[INVERSIONES FCI]]-BN92,Tabla5[[#This Row],[INVERSIONES FCI]])</f>
        <v>1715269756.6435995</v>
      </c>
      <c r="BO93" s="5">
        <f>IF($B92&lt;=Tabla5[[#This Row],[INVERSIONES FCI]],+Tabla5[[#This Row],[INVERSIONES FCI]]-BO92,Tabla5[[#This Row],[INVERSIONES FCI]])</f>
        <v>1715269756.6435995</v>
      </c>
      <c r="BP93" s="5">
        <f>IF($B92&lt;=Tabla5[[#This Row],[INVERSIONES FCI]],+Tabla5[[#This Row],[INVERSIONES FCI]]-BP92,Tabla5[[#This Row],[INVERSIONES FCI]])</f>
        <v>1715269756.6435995</v>
      </c>
      <c r="BQ93" s="5">
        <f>IF($B92&lt;=Tabla5[[#This Row],[INVERSIONES FCI]],+Tabla5[[#This Row],[INVERSIONES FCI]]-BQ92,Tabla5[[#This Row],[INVERSIONES FCI]])</f>
        <v>1715269756.6435995</v>
      </c>
      <c r="BR93" s="5">
        <f>IF($B92&lt;=Tabla5[[#This Row],[INVERSIONES FCI]],+Tabla5[[#This Row],[INVERSIONES FCI]]-BR92,Tabla5[[#This Row],[INVERSIONES FCI]])</f>
        <v>1715269756.6435995</v>
      </c>
      <c r="BS93" s="5">
        <f>IF($B92&lt;=Tabla5[[#This Row],[INVERSIONES FCI]],+Tabla5[[#This Row],[INVERSIONES FCI]]-BS92,Tabla5[[#This Row],[INVERSIONES FCI]])</f>
        <v>1715269756.6435995</v>
      </c>
      <c r="BT93" s="5">
        <f>IF($B92&lt;=Tabla5[[#This Row],[INVERSIONES FCI]],+Tabla5[[#This Row],[INVERSIONES FCI]]-BT92,Tabla5[[#This Row],[INVERSIONES FCI]])</f>
        <v>1715269756.6435995</v>
      </c>
      <c r="BU93" s="5">
        <f>IF($B92&lt;=Tabla5[[#This Row],[INVERSIONES FCI]],+Tabla5[[#This Row],[INVERSIONES FCI]]-BU92,Tabla5[[#This Row],[INVERSIONES FCI]])</f>
        <v>1715269756.6435995</v>
      </c>
      <c r="BV93" s="5">
        <f>IF($B92&lt;=Tabla5[[#This Row],[INVERSIONES FCI]],+Tabla5[[#This Row],[INVERSIONES FCI]]-BV92,Tabla5[[#This Row],[INVERSIONES FCI]])</f>
        <v>1715269756.6435995</v>
      </c>
      <c r="BW93" s="5">
        <f>IF($B92&lt;=Tabla5[[#This Row],[INVERSIONES FCI]],+Tabla5[[#This Row],[INVERSIONES FCI]]-BW92,Tabla5[[#This Row],[INVERSIONES FCI]])</f>
        <v>1715269756.6435995</v>
      </c>
      <c r="BX93" s="5">
        <f>IF($B92&lt;=Tabla5[[#This Row],[INVERSIONES FCI]],+Tabla5[[#This Row],[INVERSIONES FCI]]-BX92,Tabla5[[#This Row],[INVERSIONES FCI]])</f>
        <v>1715269756.6435995</v>
      </c>
      <c r="BY93" s="5">
        <f>IF($B92&lt;=Tabla5[[#This Row],[INVERSIONES FCI]],+Tabla5[[#This Row],[INVERSIONES FCI]]-BY92,Tabla5[[#This Row],[INVERSIONES FCI]])</f>
        <v>1715269756.6435995</v>
      </c>
      <c r="BZ93" s="5">
        <f>IF($B92&lt;=Tabla5[[#This Row],[INVERSIONES FCI]],+Tabla5[[#This Row],[INVERSIONES FCI]]-BZ92,Tabla5[[#This Row],[INVERSIONES FCI]])</f>
        <v>1715269756.6435995</v>
      </c>
      <c r="CA93" s="5">
        <f>IF($B92&lt;=Tabla5[[#This Row],[INVERSIONES FCI]],+Tabla5[[#This Row],[INVERSIONES FCI]]-CA92,Tabla5[[#This Row],[INVERSIONES FCI]])</f>
        <v>1715269756.6435995</v>
      </c>
      <c r="CB93" s="5">
        <f>IF($B92&lt;=Tabla5[[#This Row],[INVERSIONES FCI]],+Tabla5[[#This Row],[INVERSIONES FCI]]-CB92,Tabla5[[#This Row],[INVERSIONES FCI]])</f>
        <v>1715269756.6435995</v>
      </c>
      <c r="CC93" s="5">
        <f>IF($B92&lt;=Tabla5[[#This Row],[INVERSIONES FCI]],+Tabla5[[#This Row],[INVERSIONES FCI]]-CC92,Tabla5[[#This Row],[INVERSIONES FCI]])</f>
        <v>1715269756.6435995</v>
      </c>
      <c r="CD93" s="5">
        <f>IF($B92&lt;=Tabla5[[#This Row],[INVERSIONES FCI]],+Tabla5[[#This Row],[INVERSIONES FCI]]-CD92,Tabla5[[#This Row],[INVERSIONES FCI]])</f>
        <v>1715269756.6435995</v>
      </c>
      <c r="CE93" s="5">
        <f>IF($B92&lt;=Tabla5[[#This Row],[INVERSIONES FCI]],+Tabla5[[#This Row],[INVERSIONES FCI]]-CE92,Tabla5[[#This Row],[INVERSIONES FCI]])</f>
        <v>1715269756.6435995</v>
      </c>
      <c r="CF93" s="5">
        <f>IF($B92&lt;=Tabla5[[#This Row],[INVERSIONES FCI]],+Tabla5[[#This Row],[INVERSIONES FCI]]-CF92,Tabla5[[#This Row],[INVERSIONES FCI]])</f>
        <v>1715269756.6435995</v>
      </c>
      <c r="CG93" s="5">
        <f>IF($B92&lt;=Tabla5[[#This Row],[INVERSIONES FCI]],+Tabla5[[#This Row],[INVERSIONES FCI]]-CG92,Tabla5[[#This Row],[INVERSIONES FCI]])</f>
        <v>1715269756.6435995</v>
      </c>
      <c r="CH93" s="5">
        <f>IF($B92&lt;=Tabla5[[#This Row],[INVERSIONES FCI]],+Tabla5[[#This Row],[INVERSIONES FCI]]-CH92,Tabla5[[#This Row],[INVERSIONES FCI]])</f>
        <v>1715269756.6435995</v>
      </c>
      <c r="CI93" s="5">
        <f>IF($B92&lt;=Tabla5[[#This Row],[INVERSIONES FCI]],+Tabla5[[#This Row],[INVERSIONES FCI]]-CI92,Tabla5[[#This Row],[INVERSIONES FCI]])</f>
        <v>1715269756.6435995</v>
      </c>
      <c r="CJ93" s="5">
        <f>IF($B92&lt;=Tabla5[[#This Row],[INVERSIONES FCI]],+Tabla5[[#This Row],[INVERSIONES FCI]]-CJ92,Tabla5[[#This Row],[INVERSIONES FCI]])</f>
        <v>1715269756.6435995</v>
      </c>
      <c r="CK93" s="5">
        <f>IF($B92&lt;=Tabla5[[#This Row],[INVERSIONES FCI]],+Tabla5[[#This Row],[INVERSIONES FCI]]-CK92,Tabla5[[#This Row],[INVERSIONES FCI]])</f>
        <v>1715269756.6435995</v>
      </c>
      <c r="CL93" s="5">
        <f>IF($B92&lt;=Tabla5[[#This Row],[INVERSIONES FCI]],+Tabla5[[#This Row],[INVERSIONES FCI]]-CL92,Tabla5[[#This Row],[INVERSIONES FCI]])</f>
        <v>1715269756.6435995</v>
      </c>
      <c r="CM93" s="5">
        <f>IF($B92&lt;=Tabla5[[#This Row],[INVERSIONES FCI]],+Tabla5[[#This Row],[INVERSIONES FCI]]-CM92,Tabla5[[#This Row],[INVERSIONES FCI]])</f>
        <v>1715269756.6435995</v>
      </c>
      <c r="CN93" s="5">
        <f>IF($B92&lt;=Tabla5[[#This Row],[INVERSIONES FCI]],+Tabla5[[#This Row],[INVERSIONES FCI]]-CN92,Tabla5[[#This Row],[INVERSIONES FCI]])</f>
        <v>1715269756.6435995</v>
      </c>
      <c r="CO93" s="5">
        <f>IF($B92&lt;=Tabla5[[#This Row],[INVERSIONES FCI]],+Tabla5[[#This Row],[INVERSIONES FCI]]-CO92,Tabla5[[#This Row],[INVERSIONES FCI]])</f>
        <v>1715269756.6435995</v>
      </c>
      <c r="CP93" s="5" cm="1">
        <f t="array" ref="CP93">IF(Tabla5[[#This Row],[FCI]]=0,0,_xlfn.XLOOKUP(TRUE,$B93:CO93&gt;0,$B93:CO93,"",0,-1))</f>
        <v>1715269756.6435995</v>
      </c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</row>
    <row r="94" spans="1:121" ht="14.4">
      <c r="A94" s="12" t="s">
        <v>93</v>
      </c>
      <c r="B94" s="5">
        <f>HLOOKUP($A94,ESCENARIO[#All],7,FALSE)</f>
        <v>4456803369.6446295</v>
      </c>
      <c r="C94" s="5">
        <f>IF($B93&lt;=Tabla5[[#This Row],[INVERSIONES FCI]],+Tabla5[[#This Row],[INVERSIONES FCI]]-C93,Tabla5[[#This Row],[INVERSIONES FCI]])</f>
        <v>2741533613.00103</v>
      </c>
      <c r="D94" s="5">
        <f>IF($B93&lt;=Tabla5[[#This Row],[INVERSIONES FCI]],+Tabla5[[#This Row],[INVERSIONES FCI]]-D93,Tabla5[[#This Row],[INVERSIONES FCI]])</f>
        <v>2741533613.00103</v>
      </c>
      <c r="E94" s="5">
        <f>IF($B93&lt;=Tabla5[[#This Row],[INVERSIONES FCI]],+Tabla5[[#This Row],[INVERSIONES FCI]]-E93,Tabla5[[#This Row],[INVERSIONES FCI]])</f>
        <v>2741533613.00103</v>
      </c>
      <c r="F94" s="5">
        <f>IF($B93&lt;=Tabla5[[#This Row],[INVERSIONES FCI]],+Tabla5[[#This Row],[INVERSIONES FCI]]-F93,Tabla5[[#This Row],[INVERSIONES FCI]])</f>
        <v>2741533613.00103</v>
      </c>
      <c r="G94" s="5">
        <f>IF($B93&lt;=Tabla5[[#This Row],[INVERSIONES FCI]],+Tabla5[[#This Row],[INVERSIONES FCI]]-G93,Tabla5[[#This Row],[INVERSIONES FCI]])</f>
        <v>2741533613.00103</v>
      </c>
      <c r="H94" s="5">
        <f>IF($B93&lt;=Tabla5[[#This Row],[INVERSIONES FCI]],+Tabla5[[#This Row],[INVERSIONES FCI]]-H93,Tabla5[[#This Row],[INVERSIONES FCI]])</f>
        <v>2741533613.00103</v>
      </c>
      <c r="I94" s="5">
        <f>IF($B93&lt;=Tabla5[[#This Row],[INVERSIONES FCI]],+Tabla5[[#This Row],[INVERSIONES FCI]]-I93,Tabla5[[#This Row],[INVERSIONES FCI]])</f>
        <v>2741533613.00103</v>
      </c>
      <c r="J94" s="5">
        <f>IF($B93&lt;=Tabla5[[#This Row],[INVERSIONES FCI]],+Tabla5[[#This Row],[INVERSIONES FCI]]-J93,Tabla5[[#This Row],[INVERSIONES FCI]])</f>
        <v>2741533613.00103</v>
      </c>
      <c r="K94" s="5">
        <f>IF($B93&lt;=Tabla5[[#This Row],[INVERSIONES FCI]],+Tabla5[[#This Row],[INVERSIONES FCI]]-K93,Tabla5[[#This Row],[INVERSIONES FCI]])</f>
        <v>2741533613.00103</v>
      </c>
      <c r="L94" s="5">
        <f>IF($B93&lt;=Tabla5[[#This Row],[INVERSIONES FCI]],+Tabla5[[#This Row],[INVERSIONES FCI]]-L93,Tabla5[[#This Row],[INVERSIONES FCI]])</f>
        <v>2741533613.00103</v>
      </c>
      <c r="M94" s="5">
        <f>IF($B93&lt;=Tabla5[[#This Row],[INVERSIONES FCI]],+Tabla5[[#This Row],[INVERSIONES FCI]]-M93,Tabla5[[#This Row],[INVERSIONES FCI]])</f>
        <v>2741533613.00103</v>
      </c>
      <c r="N94" s="5">
        <f>IF($B93&lt;=Tabla5[[#This Row],[INVERSIONES FCI]],+Tabla5[[#This Row],[INVERSIONES FCI]]-N93,Tabla5[[#This Row],[INVERSIONES FCI]])</f>
        <v>2741533613.00103</v>
      </c>
      <c r="O94" s="5">
        <f>IF($B93&lt;=Tabla5[[#This Row],[INVERSIONES FCI]],+Tabla5[[#This Row],[INVERSIONES FCI]]-O93,Tabla5[[#This Row],[INVERSIONES FCI]])</f>
        <v>2741533613.00103</v>
      </c>
      <c r="P94" s="5">
        <f>IF($B93&lt;=Tabla5[[#This Row],[INVERSIONES FCI]],+Tabla5[[#This Row],[INVERSIONES FCI]]-P93,Tabla5[[#This Row],[INVERSIONES FCI]])</f>
        <v>2741533613.00103</v>
      </c>
      <c r="Q94" s="5">
        <f>IF($B93&lt;=Tabla5[[#This Row],[INVERSIONES FCI]],+Tabla5[[#This Row],[INVERSIONES FCI]]-Q93,Tabla5[[#This Row],[INVERSIONES FCI]])</f>
        <v>2741533613.00103</v>
      </c>
      <c r="R94" s="5">
        <f>IF($B93&lt;=Tabla5[[#This Row],[INVERSIONES FCI]],+Tabla5[[#This Row],[INVERSIONES FCI]]-R93,Tabla5[[#This Row],[INVERSIONES FCI]])</f>
        <v>2741533613.00103</v>
      </c>
      <c r="S94" s="5">
        <f>IF($B93&lt;=Tabla5[[#This Row],[INVERSIONES FCI]],+Tabla5[[#This Row],[INVERSIONES FCI]]-S93,Tabla5[[#This Row],[INVERSIONES FCI]])</f>
        <v>2741533613.00103</v>
      </c>
      <c r="T94" s="5">
        <f>IF($B93&lt;=Tabla5[[#This Row],[INVERSIONES FCI]],+Tabla5[[#This Row],[INVERSIONES FCI]]-T93,Tabla5[[#This Row],[INVERSIONES FCI]])</f>
        <v>2741533613.00103</v>
      </c>
      <c r="U94" s="5">
        <f>IF($B93&lt;=Tabla5[[#This Row],[INVERSIONES FCI]],+Tabla5[[#This Row],[INVERSIONES FCI]]-U93,Tabla5[[#This Row],[INVERSIONES FCI]])</f>
        <v>2741533613.00103</v>
      </c>
      <c r="V94" s="5">
        <f>IF($B93&lt;=Tabla5[[#This Row],[INVERSIONES FCI]],+Tabla5[[#This Row],[INVERSIONES FCI]]-V93,Tabla5[[#This Row],[INVERSIONES FCI]])</f>
        <v>2741533613.00103</v>
      </c>
      <c r="W94" s="5">
        <f>IF($B93&lt;=Tabla5[[#This Row],[INVERSIONES FCI]],+Tabla5[[#This Row],[INVERSIONES FCI]]-W93,Tabla5[[#This Row],[INVERSIONES FCI]])</f>
        <v>2741533613.00103</v>
      </c>
      <c r="X94" s="5">
        <f>IF($B93&lt;=Tabla5[[#This Row],[INVERSIONES FCI]],+Tabla5[[#This Row],[INVERSIONES FCI]]-X93,Tabla5[[#This Row],[INVERSIONES FCI]])</f>
        <v>2741533613.00103</v>
      </c>
      <c r="Y94" s="5">
        <f>IF($B93&lt;=Tabla5[[#This Row],[INVERSIONES FCI]],+Tabla5[[#This Row],[INVERSIONES FCI]]-Y93,Tabla5[[#This Row],[INVERSIONES FCI]])</f>
        <v>2741533613.00103</v>
      </c>
      <c r="Z94" s="5">
        <f>IF($B93&lt;=Tabla5[[#This Row],[INVERSIONES FCI]],+Tabla5[[#This Row],[INVERSIONES FCI]]-Z93,Tabla5[[#This Row],[INVERSIONES FCI]])</f>
        <v>2741533613.00103</v>
      </c>
      <c r="AA94" s="5">
        <f>IF($B93&lt;=Tabla5[[#This Row],[INVERSIONES FCI]],+Tabla5[[#This Row],[INVERSIONES FCI]]-AA93,Tabla5[[#This Row],[INVERSIONES FCI]])</f>
        <v>2741533613.00103</v>
      </c>
      <c r="AB94" s="5">
        <f>IF($B93&lt;=Tabla5[[#This Row],[INVERSIONES FCI]],+Tabla5[[#This Row],[INVERSIONES FCI]]-AB93,Tabla5[[#This Row],[INVERSIONES FCI]])</f>
        <v>2741533613.00103</v>
      </c>
      <c r="AC94" s="5">
        <f>IF($B93&lt;=Tabla5[[#This Row],[INVERSIONES FCI]],+Tabla5[[#This Row],[INVERSIONES FCI]]-AC93,Tabla5[[#This Row],[INVERSIONES FCI]])</f>
        <v>2741533613.00103</v>
      </c>
      <c r="AD94" s="5">
        <f>IF($B93&lt;=Tabla5[[#This Row],[INVERSIONES FCI]],+Tabla5[[#This Row],[INVERSIONES FCI]]-AD93,Tabla5[[#This Row],[INVERSIONES FCI]])</f>
        <v>2741533613.00103</v>
      </c>
      <c r="AE94" s="5">
        <f>IF($B93&lt;=Tabla5[[#This Row],[INVERSIONES FCI]],+Tabla5[[#This Row],[INVERSIONES FCI]]-AE93,Tabla5[[#This Row],[INVERSIONES FCI]])</f>
        <v>2741533613.00103</v>
      </c>
      <c r="AF94" s="5">
        <f>IF($B93&lt;=Tabla5[[#This Row],[INVERSIONES FCI]],+Tabla5[[#This Row],[INVERSIONES FCI]]-AF93,Tabla5[[#This Row],[INVERSIONES FCI]])</f>
        <v>2741533613.00103</v>
      </c>
      <c r="AG94" s="5">
        <f>IF($B93&lt;=Tabla5[[#This Row],[INVERSIONES FCI]],+Tabla5[[#This Row],[INVERSIONES FCI]]-AG93,Tabla5[[#This Row],[INVERSIONES FCI]])</f>
        <v>2741533613.00103</v>
      </c>
      <c r="AH94" s="5">
        <f>IF($B93&lt;=Tabla5[[#This Row],[INVERSIONES FCI]],+Tabla5[[#This Row],[INVERSIONES FCI]]-AH93,Tabla5[[#This Row],[INVERSIONES FCI]])</f>
        <v>2741533613.00103</v>
      </c>
      <c r="AI94" s="5">
        <f>IF($B93&lt;=Tabla5[[#This Row],[INVERSIONES FCI]],+Tabla5[[#This Row],[INVERSIONES FCI]]-AI93,Tabla5[[#This Row],[INVERSIONES FCI]])</f>
        <v>2741533613.00103</v>
      </c>
      <c r="AJ94" s="5">
        <f>IF($B93&lt;=Tabla5[[#This Row],[INVERSIONES FCI]],+Tabla5[[#This Row],[INVERSIONES FCI]]-AJ93,Tabla5[[#This Row],[INVERSIONES FCI]])</f>
        <v>2741533613.00103</v>
      </c>
      <c r="AK94" s="5">
        <f>IF($B93&lt;=Tabla5[[#This Row],[INVERSIONES FCI]],+Tabla5[[#This Row],[INVERSIONES FCI]]-AK93,Tabla5[[#This Row],[INVERSIONES FCI]])</f>
        <v>2741533613.00103</v>
      </c>
      <c r="AL94" s="5">
        <f>IF($B93&lt;=Tabla5[[#This Row],[INVERSIONES FCI]],+Tabla5[[#This Row],[INVERSIONES FCI]]-AL93,Tabla5[[#This Row],[INVERSIONES FCI]])</f>
        <v>2741533613.00103</v>
      </c>
      <c r="AM94" s="5">
        <f>IF($B93&lt;=Tabla5[[#This Row],[INVERSIONES FCI]],+Tabla5[[#This Row],[INVERSIONES FCI]]-AM93,Tabla5[[#This Row],[INVERSIONES FCI]])</f>
        <v>2741533613.00103</v>
      </c>
      <c r="AN94" s="5">
        <f>IF($B93&lt;=Tabla5[[#This Row],[INVERSIONES FCI]],+Tabla5[[#This Row],[INVERSIONES FCI]]-AN93,Tabla5[[#This Row],[INVERSIONES FCI]])</f>
        <v>2741533613.00103</v>
      </c>
      <c r="AO94" s="5">
        <f>IF($B93&lt;=Tabla5[[#This Row],[INVERSIONES FCI]],+Tabla5[[#This Row],[INVERSIONES FCI]]-AO93,Tabla5[[#This Row],[INVERSIONES FCI]])</f>
        <v>2741533613.00103</v>
      </c>
      <c r="AP94" s="5">
        <f>IF($B93&lt;=Tabla5[[#This Row],[INVERSIONES FCI]],+Tabla5[[#This Row],[INVERSIONES FCI]]-AP93,Tabla5[[#This Row],[INVERSIONES FCI]])</f>
        <v>2741533613.00103</v>
      </c>
      <c r="AQ94" s="5">
        <f>IF($B93&lt;=Tabla5[[#This Row],[INVERSIONES FCI]],+Tabla5[[#This Row],[INVERSIONES FCI]]-AQ93,Tabla5[[#This Row],[INVERSIONES FCI]])</f>
        <v>2741533613.00103</v>
      </c>
      <c r="AR94" s="5">
        <f>IF($B93&lt;=Tabla5[[#This Row],[INVERSIONES FCI]],+Tabla5[[#This Row],[INVERSIONES FCI]]-AR93,Tabla5[[#This Row],[INVERSIONES FCI]])</f>
        <v>2741533613.00103</v>
      </c>
      <c r="AS94" s="5">
        <f>IF($B93&lt;=Tabla5[[#This Row],[INVERSIONES FCI]],+Tabla5[[#This Row],[INVERSIONES FCI]]-AS93,Tabla5[[#This Row],[INVERSIONES FCI]])</f>
        <v>2741533613.00103</v>
      </c>
      <c r="AT94" s="5">
        <f>IF($B93&lt;=Tabla5[[#This Row],[INVERSIONES FCI]],+Tabla5[[#This Row],[INVERSIONES FCI]]-AT93,Tabla5[[#This Row],[INVERSIONES FCI]])</f>
        <v>2741533613.00103</v>
      </c>
      <c r="AU94" s="5">
        <f>IF($B93&lt;=Tabla5[[#This Row],[INVERSIONES FCI]],+Tabla5[[#This Row],[INVERSIONES FCI]]-AU93,Tabla5[[#This Row],[INVERSIONES FCI]])</f>
        <v>2741533613.00103</v>
      </c>
      <c r="AV94" s="5">
        <f>IF($B93&lt;=Tabla5[[#This Row],[INVERSIONES FCI]],+Tabla5[[#This Row],[INVERSIONES FCI]]-AV93,Tabla5[[#This Row],[INVERSIONES FCI]])</f>
        <v>2741533613.00103</v>
      </c>
      <c r="AW94" s="5">
        <f>IF($B93&lt;=Tabla5[[#This Row],[INVERSIONES FCI]],+Tabla5[[#This Row],[INVERSIONES FCI]]-AW93,Tabla5[[#This Row],[INVERSIONES FCI]])</f>
        <v>2741533613.00103</v>
      </c>
      <c r="AX94" s="5">
        <f>IF($B93&lt;=Tabla5[[#This Row],[INVERSIONES FCI]],+Tabla5[[#This Row],[INVERSIONES FCI]]-AX93,Tabla5[[#This Row],[INVERSIONES FCI]])</f>
        <v>2741533613.00103</v>
      </c>
      <c r="AY94" s="5">
        <f>IF($B93&lt;=Tabla5[[#This Row],[INVERSIONES FCI]],+Tabla5[[#This Row],[INVERSIONES FCI]]-AY93,Tabla5[[#This Row],[INVERSIONES FCI]])</f>
        <v>2741533613.00103</v>
      </c>
      <c r="AZ94" s="5">
        <f>IF($B93&lt;=Tabla5[[#This Row],[INVERSIONES FCI]],+Tabla5[[#This Row],[INVERSIONES FCI]]-AZ93,Tabla5[[#This Row],[INVERSIONES FCI]])</f>
        <v>2741533613.00103</v>
      </c>
      <c r="BA94" s="5">
        <f>IF($B93&lt;=Tabla5[[#This Row],[INVERSIONES FCI]],+Tabla5[[#This Row],[INVERSIONES FCI]]-BA93,Tabla5[[#This Row],[INVERSIONES FCI]])</f>
        <v>2741533613.00103</v>
      </c>
      <c r="BB94" s="5">
        <f>IF($B93&lt;=Tabla5[[#This Row],[INVERSIONES FCI]],+Tabla5[[#This Row],[INVERSIONES FCI]]-BB93,Tabla5[[#This Row],[INVERSIONES FCI]])</f>
        <v>2741533613.00103</v>
      </c>
      <c r="BC94" s="5">
        <f>IF($B93&lt;=Tabla5[[#This Row],[INVERSIONES FCI]],+Tabla5[[#This Row],[INVERSIONES FCI]]-BC93,Tabla5[[#This Row],[INVERSIONES FCI]])</f>
        <v>2741533613.00103</v>
      </c>
      <c r="BD94" s="5">
        <f>IF($B93&lt;=Tabla5[[#This Row],[INVERSIONES FCI]],+Tabla5[[#This Row],[INVERSIONES FCI]]-BD93,Tabla5[[#This Row],[INVERSIONES FCI]])</f>
        <v>2741533613.00103</v>
      </c>
      <c r="BE94" s="5">
        <f>IF($B93&lt;=Tabla5[[#This Row],[INVERSIONES FCI]],+Tabla5[[#This Row],[INVERSIONES FCI]]-BE93,Tabla5[[#This Row],[INVERSIONES FCI]])</f>
        <v>2741533613.00103</v>
      </c>
      <c r="BF94" s="5">
        <f>IF($B93&lt;=Tabla5[[#This Row],[INVERSIONES FCI]],+Tabla5[[#This Row],[INVERSIONES FCI]]-BF93,Tabla5[[#This Row],[INVERSIONES FCI]])</f>
        <v>2741533613.00103</v>
      </c>
      <c r="BG94" s="5">
        <f>IF($B93&lt;=Tabla5[[#This Row],[INVERSIONES FCI]],+Tabla5[[#This Row],[INVERSIONES FCI]]-BG93,Tabla5[[#This Row],[INVERSIONES FCI]])</f>
        <v>2741533613.00103</v>
      </c>
      <c r="BH94" s="5">
        <f>IF($B93&lt;=Tabla5[[#This Row],[INVERSIONES FCI]],+Tabla5[[#This Row],[INVERSIONES FCI]]-BH93,Tabla5[[#This Row],[INVERSIONES FCI]])</f>
        <v>2741533613.00103</v>
      </c>
      <c r="BI94" s="5">
        <f>IF($B93&lt;=Tabla5[[#This Row],[INVERSIONES FCI]],+Tabla5[[#This Row],[INVERSIONES FCI]]-BI93,Tabla5[[#This Row],[INVERSIONES FCI]])</f>
        <v>2741533613.00103</v>
      </c>
      <c r="BJ94" s="5">
        <f>IF($B93&lt;=Tabla5[[#This Row],[INVERSIONES FCI]],+Tabla5[[#This Row],[INVERSIONES FCI]]-BJ93,Tabla5[[#This Row],[INVERSIONES FCI]])</f>
        <v>2741533613.00103</v>
      </c>
      <c r="BK94" s="5">
        <f>IF($B93&lt;=Tabla5[[#This Row],[INVERSIONES FCI]],+Tabla5[[#This Row],[INVERSIONES FCI]]-BK93,Tabla5[[#This Row],[INVERSIONES FCI]])</f>
        <v>2741533613.00103</v>
      </c>
      <c r="BL94" s="5">
        <f>IF($B93&lt;=Tabla5[[#This Row],[INVERSIONES FCI]],+Tabla5[[#This Row],[INVERSIONES FCI]]-BL93,Tabla5[[#This Row],[INVERSIONES FCI]])</f>
        <v>2741533613.00103</v>
      </c>
      <c r="BM94" s="5">
        <f>IF($B93&lt;=Tabla5[[#This Row],[INVERSIONES FCI]],+Tabla5[[#This Row],[INVERSIONES FCI]]-BM93,Tabla5[[#This Row],[INVERSIONES FCI]])</f>
        <v>2741533613.00103</v>
      </c>
      <c r="BN94" s="5">
        <f>IF($B93&lt;=Tabla5[[#This Row],[INVERSIONES FCI]],+Tabla5[[#This Row],[INVERSIONES FCI]]-BN93,Tabla5[[#This Row],[INVERSIONES FCI]])</f>
        <v>2741533613.00103</v>
      </c>
      <c r="BO94" s="5">
        <f>IF($B93&lt;=Tabla5[[#This Row],[INVERSIONES FCI]],+Tabla5[[#This Row],[INVERSIONES FCI]]-BO93,Tabla5[[#This Row],[INVERSIONES FCI]])</f>
        <v>2741533613.00103</v>
      </c>
      <c r="BP94" s="5">
        <f>IF($B93&lt;=Tabla5[[#This Row],[INVERSIONES FCI]],+Tabla5[[#This Row],[INVERSIONES FCI]]-BP93,Tabla5[[#This Row],[INVERSIONES FCI]])</f>
        <v>2741533613.00103</v>
      </c>
      <c r="BQ94" s="5">
        <f>IF($B93&lt;=Tabla5[[#This Row],[INVERSIONES FCI]],+Tabla5[[#This Row],[INVERSIONES FCI]]-BQ93,Tabla5[[#This Row],[INVERSIONES FCI]])</f>
        <v>2741533613.00103</v>
      </c>
      <c r="BR94" s="5">
        <f>IF($B93&lt;=Tabla5[[#This Row],[INVERSIONES FCI]],+Tabla5[[#This Row],[INVERSIONES FCI]]-BR93,Tabla5[[#This Row],[INVERSIONES FCI]])</f>
        <v>2741533613.00103</v>
      </c>
      <c r="BS94" s="5">
        <f>IF($B93&lt;=Tabla5[[#This Row],[INVERSIONES FCI]],+Tabla5[[#This Row],[INVERSIONES FCI]]-BS93,Tabla5[[#This Row],[INVERSIONES FCI]])</f>
        <v>2741533613.00103</v>
      </c>
      <c r="BT94" s="5">
        <f>IF($B93&lt;=Tabla5[[#This Row],[INVERSIONES FCI]],+Tabla5[[#This Row],[INVERSIONES FCI]]-BT93,Tabla5[[#This Row],[INVERSIONES FCI]])</f>
        <v>2741533613.00103</v>
      </c>
      <c r="BU94" s="5">
        <f>IF($B93&lt;=Tabla5[[#This Row],[INVERSIONES FCI]],+Tabla5[[#This Row],[INVERSIONES FCI]]-BU93,Tabla5[[#This Row],[INVERSIONES FCI]])</f>
        <v>2741533613.00103</v>
      </c>
      <c r="BV94" s="5">
        <f>IF($B93&lt;=Tabla5[[#This Row],[INVERSIONES FCI]],+Tabla5[[#This Row],[INVERSIONES FCI]]-BV93,Tabla5[[#This Row],[INVERSIONES FCI]])</f>
        <v>2741533613.00103</v>
      </c>
      <c r="BW94" s="5">
        <f>IF($B93&lt;=Tabla5[[#This Row],[INVERSIONES FCI]],+Tabla5[[#This Row],[INVERSIONES FCI]]-BW93,Tabla5[[#This Row],[INVERSIONES FCI]])</f>
        <v>2741533613.00103</v>
      </c>
      <c r="BX94" s="5">
        <f>IF($B93&lt;=Tabla5[[#This Row],[INVERSIONES FCI]],+Tabla5[[#This Row],[INVERSIONES FCI]]-BX93,Tabla5[[#This Row],[INVERSIONES FCI]])</f>
        <v>2741533613.00103</v>
      </c>
      <c r="BY94" s="5">
        <f>IF($B93&lt;=Tabla5[[#This Row],[INVERSIONES FCI]],+Tabla5[[#This Row],[INVERSIONES FCI]]-BY93,Tabla5[[#This Row],[INVERSIONES FCI]])</f>
        <v>2741533613.00103</v>
      </c>
      <c r="BZ94" s="5">
        <f>IF($B93&lt;=Tabla5[[#This Row],[INVERSIONES FCI]],+Tabla5[[#This Row],[INVERSIONES FCI]]-BZ93,Tabla5[[#This Row],[INVERSIONES FCI]])</f>
        <v>2741533613.00103</v>
      </c>
      <c r="CA94" s="5">
        <f>IF($B93&lt;=Tabla5[[#This Row],[INVERSIONES FCI]],+Tabla5[[#This Row],[INVERSIONES FCI]]-CA93,Tabla5[[#This Row],[INVERSIONES FCI]])</f>
        <v>2741533613.00103</v>
      </c>
      <c r="CB94" s="5">
        <f>IF($B93&lt;=Tabla5[[#This Row],[INVERSIONES FCI]],+Tabla5[[#This Row],[INVERSIONES FCI]]-CB93,Tabla5[[#This Row],[INVERSIONES FCI]])</f>
        <v>2741533613.00103</v>
      </c>
      <c r="CC94" s="5">
        <f>IF($B93&lt;=Tabla5[[#This Row],[INVERSIONES FCI]],+Tabla5[[#This Row],[INVERSIONES FCI]]-CC93,Tabla5[[#This Row],[INVERSIONES FCI]])</f>
        <v>2741533613.00103</v>
      </c>
      <c r="CD94" s="5">
        <f>IF($B93&lt;=Tabla5[[#This Row],[INVERSIONES FCI]],+Tabla5[[#This Row],[INVERSIONES FCI]]-CD93,Tabla5[[#This Row],[INVERSIONES FCI]])</f>
        <v>2741533613.00103</v>
      </c>
      <c r="CE94" s="5">
        <f>IF($B93&lt;=Tabla5[[#This Row],[INVERSIONES FCI]],+Tabla5[[#This Row],[INVERSIONES FCI]]-CE93,Tabla5[[#This Row],[INVERSIONES FCI]])</f>
        <v>2741533613.00103</v>
      </c>
      <c r="CF94" s="5">
        <f>IF($B93&lt;=Tabla5[[#This Row],[INVERSIONES FCI]],+Tabla5[[#This Row],[INVERSIONES FCI]]-CF93,Tabla5[[#This Row],[INVERSIONES FCI]])</f>
        <v>2741533613.00103</v>
      </c>
      <c r="CG94" s="5">
        <f>IF($B93&lt;=Tabla5[[#This Row],[INVERSIONES FCI]],+Tabla5[[#This Row],[INVERSIONES FCI]]-CG93,Tabla5[[#This Row],[INVERSIONES FCI]])</f>
        <v>2741533613.00103</v>
      </c>
      <c r="CH94" s="5">
        <f>IF($B93&lt;=Tabla5[[#This Row],[INVERSIONES FCI]],+Tabla5[[#This Row],[INVERSIONES FCI]]-CH93,Tabla5[[#This Row],[INVERSIONES FCI]])</f>
        <v>2741533613.00103</v>
      </c>
      <c r="CI94" s="5">
        <f>IF($B93&lt;=Tabla5[[#This Row],[INVERSIONES FCI]],+Tabla5[[#This Row],[INVERSIONES FCI]]-CI93,Tabla5[[#This Row],[INVERSIONES FCI]])</f>
        <v>2741533613.00103</v>
      </c>
      <c r="CJ94" s="5">
        <f>IF($B93&lt;=Tabla5[[#This Row],[INVERSIONES FCI]],+Tabla5[[#This Row],[INVERSIONES FCI]]-CJ93,Tabla5[[#This Row],[INVERSIONES FCI]])</f>
        <v>2741533613.00103</v>
      </c>
      <c r="CK94" s="5">
        <f>IF($B93&lt;=Tabla5[[#This Row],[INVERSIONES FCI]],+Tabla5[[#This Row],[INVERSIONES FCI]]-CK93,Tabla5[[#This Row],[INVERSIONES FCI]])</f>
        <v>2741533613.00103</v>
      </c>
      <c r="CL94" s="5">
        <f>IF($B93&lt;=Tabla5[[#This Row],[INVERSIONES FCI]],+Tabla5[[#This Row],[INVERSIONES FCI]]-CL93,Tabla5[[#This Row],[INVERSIONES FCI]])</f>
        <v>2741533613.00103</v>
      </c>
      <c r="CM94" s="5">
        <f>IF($B93&lt;=Tabla5[[#This Row],[INVERSIONES FCI]],+Tabla5[[#This Row],[INVERSIONES FCI]]-CM93,Tabla5[[#This Row],[INVERSIONES FCI]])</f>
        <v>2741533613.00103</v>
      </c>
      <c r="CN94" s="5">
        <f>IF($B93&lt;=Tabla5[[#This Row],[INVERSIONES FCI]],+Tabla5[[#This Row],[INVERSIONES FCI]]-CN93,Tabla5[[#This Row],[INVERSIONES FCI]])</f>
        <v>2741533613.00103</v>
      </c>
      <c r="CO94" s="5">
        <f>IF($B93&lt;=Tabla5[[#This Row],[INVERSIONES FCI]],+Tabla5[[#This Row],[INVERSIONES FCI]]-CO93,Tabla5[[#This Row],[INVERSIONES FCI]])</f>
        <v>2741533613.00103</v>
      </c>
      <c r="CP94" s="5">
        <f>IF($B93&lt;=Tabla5[[#This Row],[INVERSIONES FCI]],+Tabla5[[#This Row],[INVERSIONES FCI]]-CP93,Tabla5[[#This Row],[INVERSIONES FCI]])</f>
        <v>2741533613.00103</v>
      </c>
      <c r="CQ94" s="5" cm="1">
        <f t="array" ref="CQ94">IF(Tabla5[[#This Row],[FCI]]=0,0,_xlfn.XLOOKUP(TRUE,$B94:CP94&gt;0,$B94:CP94,"",0,-1))</f>
        <v>2741533613.00103</v>
      </c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</row>
    <row r="95" spans="1:121" ht="14.4">
      <c r="A95" s="12" t="s">
        <v>94</v>
      </c>
      <c r="B95" s="5">
        <f>HLOOKUP($A95,ESCENARIO[#All],7,FALSE)</f>
        <v>4050792941.5781803</v>
      </c>
      <c r="C95" s="5">
        <f>IF($B94&lt;=Tabla5[[#This Row],[INVERSIONES FCI]],+Tabla5[[#This Row],[INVERSIONES FCI]]-C94,Tabla5[[#This Row],[INVERSIONES FCI]])</f>
        <v>4050792941.5781803</v>
      </c>
      <c r="D95" s="5">
        <f>IF($B94&lt;=Tabla5[[#This Row],[INVERSIONES FCI]],+Tabla5[[#This Row],[INVERSIONES FCI]]-D94,Tabla5[[#This Row],[INVERSIONES FCI]])</f>
        <v>4050792941.5781803</v>
      </c>
      <c r="E95" s="5">
        <f>IF($B94&lt;=Tabla5[[#This Row],[INVERSIONES FCI]],+Tabla5[[#This Row],[INVERSIONES FCI]]-E94,Tabla5[[#This Row],[INVERSIONES FCI]])</f>
        <v>4050792941.5781803</v>
      </c>
      <c r="F95" s="5">
        <f>IF($B94&lt;=Tabla5[[#This Row],[INVERSIONES FCI]],+Tabla5[[#This Row],[INVERSIONES FCI]]-F94,Tabla5[[#This Row],[INVERSIONES FCI]])</f>
        <v>4050792941.5781803</v>
      </c>
      <c r="G95" s="5">
        <f>IF($B94&lt;=Tabla5[[#This Row],[INVERSIONES FCI]],+Tabla5[[#This Row],[INVERSIONES FCI]]-G94,Tabla5[[#This Row],[INVERSIONES FCI]])</f>
        <v>4050792941.5781803</v>
      </c>
      <c r="H95" s="5">
        <f>IF($B94&lt;=Tabla5[[#This Row],[INVERSIONES FCI]],+Tabla5[[#This Row],[INVERSIONES FCI]]-H94,Tabla5[[#This Row],[INVERSIONES FCI]])</f>
        <v>4050792941.5781803</v>
      </c>
      <c r="I95" s="5">
        <f>IF($B94&lt;=Tabla5[[#This Row],[INVERSIONES FCI]],+Tabla5[[#This Row],[INVERSIONES FCI]]-I94,Tabla5[[#This Row],[INVERSIONES FCI]])</f>
        <v>4050792941.5781803</v>
      </c>
      <c r="J95" s="5">
        <f>IF($B94&lt;=Tabla5[[#This Row],[INVERSIONES FCI]],+Tabla5[[#This Row],[INVERSIONES FCI]]-J94,Tabla5[[#This Row],[INVERSIONES FCI]])</f>
        <v>4050792941.5781803</v>
      </c>
      <c r="K95" s="5">
        <f>IF($B94&lt;=Tabla5[[#This Row],[INVERSIONES FCI]],+Tabla5[[#This Row],[INVERSIONES FCI]]-K94,Tabla5[[#This Row],[INVERSIONES FCI]])</f>
        <v>4050792941.5781803</v>
      </c>
      <c r="L95" s="5">
        <f>IF($B94&lt;=Tabla5[[#This Row],[INVERSIONES FCI]],+Tabla5[[#This Row],[INVERSIONES FCI]]-L94,Tabla5[[#This Row],[INVERSIONES FCI]])</f>
        <v>4050792941.5781803</v>
      </c>
      <c r="M95" s="5">
        <f>IF($B94&lt;=Tabla5[[#This Row],[INVERSIONES FCI]],+Tabla5[[#This Row],[INVERSIONES FCI]]-M94,Tabla5[[#This Row],[INVERSIONES FCI]])</f>
        <v>4050792941.5781803</v>
      </c>
      <c r="N95" s="5">
        <f>IF($B94&lt;=Tabla5[[#This Row],[INVERSIONES FCI]],+Tabla5[[#This Row],[INVERSIONES FCI]]-N94,Tabla5[[#This Row],[INVERSIONES FCI]])</f>
        <v>4050792941.5781803</v>
      </c>
      <c r="O95" s="5">
        <f>IF($B94&lt;=Tabla5[[#This Row],[INVERSIONES FCI]],+Tabla5[[#This Row],[INVERSIONES FCI]]-O94,Tabla5[[#This Row],[INVERSIONES FCI]])</f>
        <v>4050792941.5781803</v>
      </c>
      <c r="P95" s="5">
        <f>IF($B94&lt;=Tabla5[[#This Row],[INVERSIONES FCI]],+Tabla5[[#This Row],[INVERSIONES FCI]]-P94,Tabla5[[#This Row],[INVERSIONES FCI]])</f>
        <v>4050792941.5781803</v>
      </c>
      <c r="Q95" s="5">
        <f>IF($B94&lt;=Tabla5[[#This Row],[INVERSIONES FCI]],+Tabla5[[#This Row],[INVERSIONES FCI]]-Q94,Tabla5[[#This Row],[INVERSIONES FCI]])</f>
        <v>4050792941.5781803</v>
      </c>
      <c r="R95" s="5">
        <f>IF($B94&lt;=Tabla5[[#This Row],[INVERSIONES FCI]],+Tabla5[[#This Row],[INVERSIONES FCI]]-R94,Tabla5[[#This Row],[INVERSIONES FCI]])</f>
        <v>4050792941.5781803</v>
      </c>
      <c r="S95" s="5">
        <f>IF($B94&lt;=Tabla5[[#This Row],[INVERSIONES FCI]],+Tabla5[[#This Row],[INVERSIONES FCI]]-S94,Tabla5[[#This Row],[INVERSIONES FCI]])</f>
        <v>4050792941.5781803</v>
      </c>
      <c r="T95" s="5">
        <f>IF($B94&lt;=Tabla5[[#This Row],[INVERSIONES FCI]],+Tabla5[[#This Row],[INVERSIONES FCI]]-T94,Tabla5[[#This Row],[INVERSIONES FCI]])</f>
        <v>4050792941.5781803</v>
      </c>
      <c r="U95" s="5">
        <f>IF($B94&lt;=Tabla5[[#This Row],[INVERSIONES FCI]],+Tabla5[[#This Row],[INVERSIONES FCI]]-U94,Tabla5[[#This Row],[INVERSIONES FCI]])</f>
        <v>4050792941.5781803</v>
      </c>
      <c r="V95" s="5">
        <f>IF($B94&lt;=Tabla5[[#This Row],[INVERSIONES FCI]],+Tabla5[[#This Row],[INVERSIONES FCI]]-V94,Tabla5[[#This Row],[INVERSIONES FCI]])</f>
        <v>4050792941.5781803</v>
      </c>
      <c r="W95" s="5">
        <f>IF($B94&lt;=Tabla5[[#This Row],[INVERSIONES FCI]],+Tabla5[[#This Row],[INVERSIONES FCI]]-W94,Tabla5[[#This Row],[INVERSIONES FCI]])</f>
        <v>4050792941.5781803</v>
      </c>
      <c r="X95" s="5">
        <f>IF($B94&lt;=Tabla5[[#This Row],[INVERSIONES FCI]],+Tabla5[[#This Row],[INVERSIONES FCI]]-X94,Tabla5[[#This Row],[INVERSIONES FCI]])</f>
        <v>4050792941.5781803</v>
      </c>
      <c r="Y95" s="5">
        <f>IF($B94&lt;=Tabla5[[#This Row],[INVERSIONES FCI]],+Tabla5[[#This Row],[INVERSIONES FCI]]-Y94,Tabla5[[#This Row],[INVERSIONES FCI]])</f>
        <v>4050792941.5781803</v>
      </c>
      <c r="Z95" s="5">
        <f>IF($B94&lt;=Tabla5[[#This Row],[INVERSIONES FCI]],+Tabla5[[#This Row],[INVERSIONES FCI]]-Z94,Tabla5[[#This Row],[INVERSIONES FCI]])</f>
        <v>4050792941.5781803</v>
      </c>
      <c r="AA95" s="5">
        <f>IF($B94&lt;=Tabla5[[#This Row],[INVERSIONES FCI]],+Tabla5[[#This Row],[INVERSIONES FCI]]-AA94,Tabla5[[#This Row],[INVERSIONES FCI]])</f>
        <v>4050792941.5781803</v>
      </c>
      <c r="AB95" s="5">
        <f>IF($B94&lt;=Tabla5[[#This Row],[INVERSIONES FCI]],+Tabla5[[#This Row],[INVERSIONES FCI]]-AB94,Tabla5[[#This Row],[INVERSIONES FCI]])</f>
        <v>4050792941.5781803</v>
      </c>
      <c r="AC95" s="5">
        <f>IF($B94&lt;=Tabla5[[#This Row],[INVERSIONES FCI]],+Tabla5[[#This Row],[INVERSIONES FCI]]-AC94,Tabla5[[#This Row],[INVERSIONES FCI]])</f>
        <v>4050792941.5781803</v>
      </c>
      <c r="AD95" s="5">
        <f>IF($B94&lt;=Tabla5[[#This Row],[INVERSIONES FCI]],+Tabla5[[#This Row],[INVERSIONES FCI]]-AD94,Tabla5[[#This Row],[INVERSIONES FCI]])</f>
        <v>4050792941.5781803</v>
      </c>
      <c r="AE95" s="5">
        <f>IF($B94&lt;=Tabla5[[#This Row],[INVERSIONES FCI]],+Tabla5[[#This Row],[INVERSIONES FCI]]-AE94,Tabla5[[#This Row],[INVERSIONES FCI]])</f>
        <v>4050792941.5781803</v>
      </c>
      <c r="AF95" s="5">
        <f>IF($B94&lt;=Tabla5[[#This Row],[INVERSIONES FCI]],+Tabla5[[#This Row],[INVERSIONES FCI]]-AF94,Tabla5[[#This Row],[INVERSIONES FCI]])</f>
        <v>4050792941.5781803</v>
      </c>
      <c r="AG95" s="5">
        <f>IF($B94&lt;=Tabla5[[#This Row],[INVERSIONES FCI]],+Tabla5[[#This Row],[INVERSIONES FCI]]-AG94,Tabla5[[#This Row],[INVERSIONES FCI]])</f>
        <v>4050792941.5781803</v>
      </c>
      <c r="AH95" s="5">
        <f>IF($B94&lt;=Tabla5[[#This Row],[INVERSIONES FCI]],+Tabla5[[#This Row],[INVERSIONES FCI]]-AH94,Tabla5[[#This Row],[INVERSIONES FCI]])</f>
        <v>4050792941.5781803</v>
      </c>
      <c r="AI95" s="5">
        <f>IF($B94&lt;=Tabla5[[#This Row],[INVERSIONES FCI]],+Tabla5[[#This Row],[INVERSIONES FCI]]-AI94,Tabla5[[#This Row],[INVERSIONES FCI]])</f>
        <v>4050792941.5781803</v>
      </c>
      <c r="AJ95" s="5">
        <f>IF($B94&lt;=Tabla5[[#This Row],[INVERSIONES FCI]],+Tabla5[[#This Row],[INVERSIONES FCI]]-AJ94,Tabla5[[#This Row],[INVERSIONES FCI]])</f>
        <v>4050792941.5781803</v>
      </c>
      <c r="AK95" s="5">
        <f>IF($B94&lt;=Tabla5[[#This Row],[INVERSIONES FCI]],+Tabla5[[#This Row],[INVERSIONES FCI]]-AK94,Tabla5[[#This Row],[INVERSIONES FCI]])</f>
        <v>4050792941.5781803</v>
      </c>
      <c r="AL95" s="5">
        <f>IF($B94&lt;=Tabla5[[#This Row],[INVERSIONES FCI]],+Tabla5[[#This Row],[INVERSIONES FCI]]-AL94,Tabla5[[#This Row],[INVERSIONES FCI]])</f>
        <v>4050792941.5781803</v>
      </c>
      <c r="AM95" s="5">
        <f>IF($B94&lt;=Tabla5[[#This Row],[INVERSIONES FCI]],+Tabla5[[#This Row],[INVERSIONES FCI]]-AM94,Tabla5[[#This Row],[INVERSIONES FCI]])</f>
        <v>4050792941.5781803</v>
      </c>
      <c r="AN95" s="5">
        <f>IF($B94&lt;=Tabla5[[#This Row],[INVERSIONES FCI]],+Tabla5[[#This Row],[INVERSIONES FCI]]-AN94,Tabla5[[#This Row],[INVERSIONES FCI]])</f>
        <v>4050792941.5781803</v>
      </c>
      <c r="AO95" s="5">
        <f>IF($B94&lt;=Tabla5[[#This Row],[INVERSIONES FCI]],+Tabla5[[#This Row],[INVERSIONES FCI]]-AO94,Tabla5[[#This Row],[INVERSIONES FCI]])</f>
        <v>4050792941.5781803</v>
      </c>
      <c r="AP95" s="5">
        <f>IF($B94&lt;=Tabla5[[#This Row],[INVERSIONES FCI]],+Tabla5[[#This Row],[INVERSIONES FCI]]-AP94,Tabla5[[#This Row],[INVERSIONES FCI]])</f>
        <v>4050792941.5781803</v>
      </c>
      <c r="AQ95" s="5">
        <f>IF($B94&lt;=Tabla5[[#This Row],[INVERSIONES FCI]],+Tabla5[[#This Row],[INVERSIONES FCI]]-AQ94,Tabla5[[#This Row],[INVERSIONES FCI]])</f>
        <v>4050792941.5781803</v>
      </c>
      <c r="AR95" s="5">
        <f>IF($B94&lt;=Tabla5[[#This Row],[INVERSIONES FCI]],+Tabla5[[#This Row],[INVERSIONES FCI]]-AR94,Tabla5[[#This Row],[INVERSIONES FCI]])</f>
        <v>4050792941.5781803</v>
      </c>
      <c r="AS95" s="5">
        <f>IF($B94&lt;=Tabla5[[#This Row],[INVERSIONES FCI]],+Tabla5[[#This Row],[INVERSIONES FCI]]-AS94,Tabla5[[#This Row],[INVERSIONES FCI]])</f>
        <v>4050792941.5781803</v>
      </c>
      <c r="AT95" s="5">
        <f>IF($B94&lt;=Tabla5[[#This Row],[INVERSIONES FCI]],+Tabla5[[#This Row],[INVERSIONES FCI]]-AT94,Tabla5[[#This Row],[INVERSIONES FCI]])</f>
        <v>4050792941.5781803</v>
      </c>
      <c r="AU95" s="5">
        <f>IF($B94&lt;=Tabla5[[#This Row],[INVERSIONES FCI]],+Tabla5[[#This Row],[INVERSIONES FCI]]-AU94,Tabla5[[#This Row],[INVERSIONES FCI]])</f>
        <v>4050792941.5781803</v>
      </c>
      <c r="AV95" s="5">
        <f>IF($B94&lt;=Tabla5[[#This Row],[INVERSIONES FCI]],+Tabla5[[#This Row],[INVERSIONES FCI]]-AV94,Tabla5[[#This Row],[INVERSIONES FCI]])</f>
        <v>4050792941.5781803</v>
      </c>
      <c r="AW95" s="5">
        <f>IF($B94&lt;=Tabla5[[#This Row],[INVERSIONES FCI]],+Tabla5[[#This Row],[INVERSIONES FCI]]-AW94,Tabla5[[#This Row],[INVERSIONES FCI]])</f>
        <v>4050792941.5781803</v>
      </c>
      <c r="AX95" s="5">
        <f>IF($B94&lt;=Tabla5[[#This Row],[INVERSIONES FCI]],+Tabla5[[#This Row],[INVERSIONES FCI]]-AX94,Tabla5[[#This Row],[INVERSIONES FCI]])</f>
        <v>4050792941.5781803</v>
      </c>
      <c r="AY95" s="5">
        <f>IF($B94&lt;=Tabla5[[#This Row],[INVERSIONES FCI]],+Tabla5[[#This Row],[INVERSIONES FCI]]-AY94,Tabla5[[#This Row],[INVERSIONES FCI]])</f>
        <v>4050792941.5781803</v>
      </c>
      <c r="AZ95" s="5">
        <f>IF($B94&lt;=Tabla5[[#This Row],[INVERSIONES FCI]],+Tabla5[[#This Row],[INVERSIONES FCI]]-AZ94,Tabla5[[#This Row],[INVERSIONES FCI]])</f>
        <v>4050792941.5781803</v>
      </c>
      <c r="BA95" s="5">
        <f>IF($B94&lt;=Tabla5[[#This Row],[INVERSIONES FCI]],+Tabla5[[#This Row],[INVERSIONES FCI]]-BA94,Tabla5[[#This Row],[INVERSIONES FCI]])</f>
        <v>4050792941.5781803</v>
      </c>
      <c r="BB95" s="5">
        <f>IF($B94&lt;=Tabla5[[#This Row],[INVERSIONES FCI]],+Tabla5[[#This Row],[INVERSIONES FCI]]-BB94,Tabla5[[#This Row],[INVERSIONES FCI]])</f>
        <v>4050792941.5781803</v>
      </c>
      <c r="BC95" s="5">
        <f>IF($B94&lt;=Tabla5[[#This Row],[INVERSIONES FCI]],+Tabla5[[#This Row],[INVERSIONES FCI]]-BC94,Tabla5[[#This Row],[INVERSIONES FCI]])</f>
        <v>4050792941.5781803</v>
      </c>
      <c r="BD95" s="5">
        <f>IF($B94&lt;=Tabla5[[#This Row],[INVERSIONES FCI]],+Tabla5[[#This Row],[INVERSIONES FCI]]-BD94,Tabla5[[#This Row],[INVERSIONES FCI]])</f>
        <v>4050792941.5781803</v>
      </c>
      <c r="BE95" s="5">
        <f>IF($B94&lt;=Tabla5[[#This Row],[INVERSIONES FCI]],+Tabla5[[#This Row],[INVERSIONES FCI]]-BE94,Tabla5[[#This Row],[INVERSIONES FCI]])</f>
        <v>4050792941.5781803</v>
      </c>
      <c r="BF95" s="5">
        <f>IF($B94&lt;=Tabla5[[#This Row],[INVERSIONES FCI]],+Tabla5[[#This Row],[INVERSIONES FCI]]-BF94,Tabla5[[#This Row],[INVERSIONES FCI]])</f>
        <v>4050792941.5781803</v>
      </c>
      <c r="BG95" s="5">
        <f>IF($B94&lt;=Tabla5[[#This Row],[INVERSIONES FCI]],+Tabla5[[#This Row],[INVERSIONES FCI]]-BG94,Tabla5[[#This Row],[INVERSIONES FCI]])</f>
        <v>4050792941.5781803</v>
      </c>
      <c r="BH95" s="5">
        <f>IF($B94&lt;=Tabla5[[#This Row],[INVERSIONES FCI]],+Tabla5[[#This Row],[INVERSIONES FCI]]-BH94,Tabla5[[#This Row],[INVERSIONES FCI]])</f>
        <v>4050792941.5781803</v>
      </c>
      <c r="BI95" s="5">
        <f>IF($B94&lt;=Tabla5[[#This Row],[INVERSIONES FCI]],+Tabla5[[#This Row],[INVERSIONES FCI]]-BI94,Tabla5[[#This Row],[INVERSIONES FCI]])</f>
        <v>4050792941.5781803</v>
      </c>
      <c r="BJ95" s="5">
        <f>IF($B94&lt;=Tabla5[[#This Row],[INVERSIONES FCI]],+Tabla5[[#This Row],[INVERSIONES FCI]]-BJ94,Tabla5[[#This Row],[INVERSIONES FCI]])</f>
        <v>4050792941.5781803</v>
      </c>
      <c r="BK95" s="5">
        <f>IF($B94&lt;=Tabla5[[#This Row],[INVERSIONES FCI]],+Tabla5[[#This Row],[INVERSIONES FCI]]-BK94,Tabla5[[#This Row],[INVERSIONES FCI]])</f>
        <v>4050792941.5781803</v>
      </c>
      <c r="BL95" s="5">
        <f>IF($B94&lt;=Tabla5[[#This Row],[INVERSIONES FCI]],+Tabla5[[#This Row],[INVERSIONES FCI]]-BL94,Tabla5[[#This Row],[INVERSIONES FCI]])</f>
        <v>4050792941.5781803</v>
      </c>
      <c r="BM95" s="5">
        <f>IF($B94&lt;=Tabla5[[#This Row],[INVERSIONES FCI]],+Tabla5[[#This Row],[INVERSIONES FCI]]-BM94,Tabla5[[#This Row],[INVERSIONES FCI]])</f>
        <v>4050792941.5781803</v>
      </c>
      <c r="BN95" s="5">
        <f>IF($B94&lt;=Tabla5[[#This Row],[INVERSIONES FCI]],+Tabla5[[#This Row],[INVERSIONES FCI]]-BN94,Tabla5[[#This Row],[INVERSIONES FCI]])</f>
        <v>4050792941.5781803</v>
      </c>
      <c r="BO95" s="5">
        <f>IF($B94&lt;=Tabla5[[#This Row],[INVERSIONES FCI]],+Tabla5[[#This Row],[INVERSIONES FCI]]-BO94,Tabla5[[#This Row],[INVERSIONES FCI]])</f>
        <v>4050792941.5781803</v>
      </c>
      <c r="BP95" s="5">
        <f>IF($B94&lt;=Tabla5[[#This Row],[INVERSIONES FCI]],+Tabla5[[#This Row],[INVERSIONES FCI]]-BP94,Tabla5[[#This Row],[INVERSIONES FCI]])</f>
        <v>4050792941.5781803</v>
      </c>
      <c r="BQ95" s="5">
        <f>IF($B94&lt;=Tabla5[[#This Row],[INVERSIONES FCI]],+Tabla5[[#This Row],[INVERSIONES FCI]]-BQ94,Tabla5[[#This Row],[INVERSIONES FCI]])</f>
        <v>4050792941.5781803</v>
      </c>
      <c r="BR95" s="5">
        <f>IF($B94&lt;=Tabla5[[#This Row],[INVERSIONES FCI]],+Tabla5[[#This Row],[INVERSIONES FCI]]-BR94,Tabla5[[#This Row],[INVERSIONES FCI]])</f>
        <v>4050792941.5781803</v>
      </c>
      <c r="BS95" s="5">
        <f>IF($B94&lt;=Tabla5[[#This Row],[INVERSIONES FCI]],+Tabla5[[#This Row],[INVERSIONES FCI]]-BS94,Tabla5[[#This Row],[INVERSIONES FCI]])</f>
        <v>4050792941.5781803</v>
      </c>
      <c r="BT95" s="5">
        <f>IF($B94&lt;=Tabla5[[#This Row],[INVERSIONES FCI]],+Tabla5[[#This Row],[INVERSIONES FCI]]-BT94,Tabla5[[#This Row],[INVERSIONES FCI]])</f>
        <v>4050792941.5781803</v>
      </c>
      <c r="BU95" s="5">
        <f>IF($B94&lt;=Tabla5[[#This Row],[INVERSIONES FCI]],+Tabla5[[#This Row],[INVERSIONES FCI]]-BU94,Tabla5[[#This Row],[INVERSIONES FCI]])</f>
        <v>4050792941.5781803</v>
      </c>
      <c r="BV95" s="5">
        <f>IF($B94&lt;=Tabla5[[#This Row],[INVERSIONES FCI]],+Tabla5[[#This Row],[INVERSIONES FCI]]-BV94,Tabla5[[#This Row],[INVERSIONES FCI]])</f>
        <v>4050792941.5781803</v>
      </c>
      <c r="BW95" s="5">
        <f>IF($B94&lt;=Tabla5[[#This Row],[INVERSIONES FCI]],+Tabla5[[#This Row],[INVERSIONES FCI]]-BW94,Tabla5[[#This Row],[INVERSIONES FCI]])</f>
        <v>4050792941.5781803</v>
      </c>
      <c r="BX95" s="5">
        <f>IF($B94&lt;=Tabla5[[#This Row],[INVERSIONES FCI]],+Tabla5[[#This Row],[INVERSIONES FCI]]-BX94,Tabla5[[#This Row],[INVERSIONES FCI]])</f>
        <v>4050792941.5781803</v>
      </c>
      <c r="BY95" s="5">
        <f>IF($B94&lt;=Tabla5[[#This Row],[INVERSIONES FCI]],+Tabla5[[#This Row],[INVERSIONES FCI]]-BY94,Tabla5[[#This Row],[INVERSIONES FCI]])</f>
        <v>4050792941.5781803</v>
      </c>
      <c r="BZ95" s="5">
        <f>IF($B94&lt;=Tabla5[[#This Row],[INVERSIONES FCI]],+Tabla5[[#This Row],[INVERSIONES FCI]]-BZ94,Tabla5[[#This Row],[INVERSIONES FCI]])</f>
        <v>4050792941.5781803</v>
      </c>
      <c r="CA95" s="5">
        <f>IF($B94&lt;=Tabla5[[#This Row],[INVERSIONES FCI]],+Tabla5[[#This Row],[INVERSIONES FCI]]-CA94,Tabla5[[#This Row],[INVERSIONES FCI]])</f>
        <v>4050792941.5781803</v>
      </c>
      <c r="CB95" s="5">
        <f>IF($B94&lt;=Tabla5[[#This Row],[INVERSIONES FCI]],+Tabla5[[#This Row],[INVERSIONES FCI]]-CB94,Tabla5[[#This Row],[INVERSIONES FCI]])</f>
        <v>4050792941.5781803</v>
      </c>
      <c r="CC95" s="5">
        <f>IF($B94&lt;=Tabla5[[#This Row],[INVERSIONES FCI]],+Tabla5[[#This Row],[INVERSIONES FCI]]-CC94,Tabla5[[#This Row],[INVERSIONES FCI]])</f>
        <v>4050792941.5781803</v>
      </c>
      <c r="CD95" s="5">
        <f>IF($B94&lt;=Tabla5[[#This Row],[INVERSIONES FCI]],+Tabla5[[#This Row],[INVERSIONES FCI]]-CD94,Tabla5[[#This Row],[INVERSIONES FCI]])</f>
        <v>4050792941.5781803</v>
      </c>
      <c r="CE95" s="5">
        <f>IF($B94&lt;=Tabla5[[#This Row],[INVERSIONES FCI]],+Tabla5[[#This Row],[INVERSIONES FCI]]-CE94,Tabla5[[#This Row],[INVERSIONES FCI]])</f>
        <v>4050792941.5781803</v>
      </c>
      <c r="CF95" s="5">
        <f>IF($B94&lt;=Tabla5[[#This Row],[INVERSIONES FCI]],+Tabla5[[#This Row],[INVERSIONES FCI]]-CF94,Tabla5[[#This Row],[INVERSIONES FCI]])</f>
        <v>4050792941.5781803</v>
      </c>
      <c r="CG95" s="5">
        <f>IF($B94&lt;=Tabla5[[#This Row],[INVERSIONES FCI]],+Tabla5[[#This Row],[INVERSIONES FCI]]-CG94,Tabla5[[#This Row],[INVERSIONES FCI]])</f>
        <v>4050792941.5781803</v>
      </c>
      <c r="CH95" s="5">
        <f>IF($B94&lt;=Tabla5[[#This Row],[INVERSIONES FCI]],+Tabla5[[#This Row],[INVERSIONES FCI]]-CH94,Tabla5[[#This Row],[INVERSIONES FCI]])</f>
        <v>4050792941.5781803</v>
      </c>
      <c r="CI95" s="5">
        <f>IF($B94&lt;=Tabla5[[#This Row],[INVERSIONES FCI]],+Tabla5[[#This Row],[INVERSIONES FCI]]-CI94,Tabla5[[#This Row],[INVERSIONES FCI]])</f>
        <v>4050792941.5781803</v>
      </c>
      <c r="CJ95" s="5">
        <f>IF($B94&lt;=Tabla5[[#This Row],[INVERSIONES FCI]],+Tabla5[[#This Row],[INVERSIONES FCI]]-CJ94,Tabla5[[#This Row],[INVERSIONES FCI]])</f>
        <v>4050792941.5781803</v>
      </c>
      <c r="CK95" s="5">
        <f>IF($B94&lt;=Tabla5[[#This Row],[INVERSIONES FCI]],+Tabla5[[#This Row],[INVERSIONES FCI]]-CK94,Tabla5[[#This Row],[INVERSIONES FCI]])</f>
        <v>4050792941.5781803</v>
      </c>
      <c r="CL95" s="5">
        <f>IF($B94&lt;=Tabla5[[#This Row],[INVERSIONES FCI]],+Tabla5[[#This Row],[INVERSIONES FCI]]-CL94,Tabla5[[#This Row],[INVERSIONES FCI]])</f>
        <v>4050792941.5781803</v>
      </c>
      <c r="CM95" s="5">
        <f>IF($B94&lt;=Tabla5[[#This Row],[INVERSIONES FCI]],+Tabla5[[#This Row],[INVERSIONES FCI]]-CM94,Tabla5[[#This Row],[INVERSIONES FCI]])</f>
        <v>4050792941.5781803</v>
      </c>
      <c r="CN95" s="5">
        <f>IF($B94&lt;=Tabla5[[#This Row],[INVERSIONES FCI]],+Tabla5[[#This Row],[INVERSIONES FCI]]-CN94,Tabla5[[#This Row],[INVERSIONES FCI]])</f>
        <v>4050792941.5781803</v>
      </c>
      <c r="CO95" s="5">
        <f>IF($B94&lt;=Tabla5[[#This Row],[INVERSIONES FCI]],+Tabla5[[#This Row],[INVERSIONES FCI]]-CO94,Tabla5[[#This Row],[INVERSIONES FCI]])</f>
        <v>4050792941.5781803</v>
      </c>
      <c r="CP95" s="5">
        <f>IF($B94&lt;=Tabla5[[#This Row],[INVERSIONES FCI]],+Tabla5[[#This Row],[INVERSIONES FCI]]-CP94,Tabla5[[#This Row],[INVERSIONES FCI]])</f>
        <v>4050792941.5781803</v>
      </c>
      <c r="CQ95" s="5">
        <f>IF($B94&lt;=Tabla5[[#This Row],[INVERSIONES FCI]],+Tabla5[[#This Row],[INVERSIONES FCI]]-CQ94,Tabla5[[#This Row],[INVERSIONES FCI]])</f>
        <v>4050792941.5781803</v>
      </c>
      <c r="CR95" s="5" cm="1">
        <f t="array" ref="CR95">IF(Tabla5[[#This Row],[FCI]]=0,0,_xlfn.XLOOKUP(TRUE,$B95:CQ95&gt;0,$B95:CQ95,"",0,-1))</f>
        <v>4050792941.5781803</v>
      </c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</row>
    <row r="96" spans="1:121" ht="14.4">
      <c r="A96" s="12" t="s">
        <v>95</v>
      </c>
      <c r="B96" s="5">
        <f>HLOOKUP($A96,ESCENARIO[#All],7,FALSE)</f>
        <v>5007627745.2439823</v>
      </c>
      <c r="C96" s="5">
        <f>IF($B95&lt;=Tabla5[[#This Row],[INVERSIONES FCI]],+Tabla5[[#This Row],[INVERSIONES FCI]]-C95,Tabla5[[#This Row],[INVERSIONES FCI]])</f>
        <v>956834803.665802</v>
      </c>
      <c r="D96" s="5">
        <f>IF($B95&lt;=Tabla5[[#This Row],[INVERSIONES FCI]],+Tabla5[[#This Row],[INVERSIONES FCI]]-D95,Tabla5[[#This Row],[INVERSIONES FCI]])</f>
        <v>956834803.665802</v>
      </c>
      <c r="E96" s="5">
        <f>IF($B95&lt;=Tabla5[[#This Row],[INVERSIONES FCI]],+Tabla5[[#This Row],[INVERSIONES FCI]]-E95,Tabla5[[#This Row],[INVERSIONES FCI]])</f>
        <v>956834803.665802</v>
      </c>
      <c r="F96" s="5">
        <f>IF($B95&lt;=Tabla5[[#This Row],[INVERSIONES FCI]],+Tabla5[[#This Row],[INVERSIONES FCI]]-F95,Tabla5[[#This Row],[INVERSIONES FCI]])</f>
        <v>956834803.665802</v>
      </c>
      <c r="G96" s="5">
        <f>IF($B95&lt;=Tabla5[[#This Row],[INVERSIONES FCI]],+Tabla5[[#This Row],[INVERSIONES FCI]]-G95,Tabla5[[#This Row],[INVERSIONES FCI]])</f>
        <v>956834803.665802</v>
      </c>
      <c r="H96" s="5">
        <f>IF($B95&lt;=Tabla5[[#This Row],[INVERSIONES FCI]],+Tabla5[[#This Row],[INVERSIONES FCI]]-H95,Tabla5[[#This Row],[INVERSIONES FCI]])</f>
        <v>956834803.665802</v>
      </c>
      <c r="I96" s="5">
        <f>IF($B95&lt;=Tabla5[[#This Row],[INVERSIONES FCI]],+Tabla5[[#This Row],[INVERSIONES FCI]]-I95,Tabla5[[#This Row],[INVERSIONES FCI]])</f>
        <v>956834803.665802</v>
      </c>
      <c r="J96" s="5">
        <f>IF($B95&lt;=Tabla5[[#This Row],[INVERSIONES FCI]],+Tabla5[[#This Row],[INVERSIONES FCI]]-J95,Tabla5[[#This Row],[INVERSIONES FCI]])</f>
        <v>956834803.665802</v>
      </c>
      <c r="K96" s="5">
        <f>IF($B95&lt;=Tabla5[[#This Row],[INVERSIONES FCI]],+Tabla5[[#This Row],[INVERSIONES FCI]]-K95,Tabla5[[#This Row],[INVERSIONES FCI]])</f>
        <v>956834803.665802</v>
      </c>
      <c r="L96" s="5">
        <f>IF($B95&lt;=Tabla5[[#This Row],[INVERSIONES FCI]],+Tabla5[[#This Row],[INVERSIONES FCI]]-L95,Tabla5[[#This Row],[INVERSIONES FCI]])</f>
        <v>956834803.665802</v>
      </c>
      <c r="M96" s="5">
        <f>IF($B95&lt;=Tabla5[[#This Row],[INVERSIONES FCI]],+Tabla5[[#This Row],[INVERSIONES FCI]]-M95,Tabla5[[#This Row],[INVERSIONES FCI]])</f>
        <v>956834803.665802</v>
      </c>
      <c r="N96" s="5">
        <f>IF($B95&lt;=Tabla5[[#This Row],[INVERSIONES FCI]],+Tabla5[[#This Row],[INVERSIONES FCI]]-N95,Tabla5[[#This Row],[INVERSIONES FCI]])</f>
        <v>956834803.665802</v>
      </c>
      <c r="O96" s="5">
        <f>IF($B95&lt;=Tabla5[[#This Row],[INVERSIONES FCI]],+Tabla5[[#This Row],[INVERSIONES FCI]]-O95,Tabla5[[#This Row],[INVERSIONES FCI]])</f>
        <v>956834803.665802</v>
      </c>
      <c r="P96" s="5">
        <f>IF($B95&lt;=Tabla5[[#This Row],[INVERSIONES FCI]],+Tabla5[[#This Row],[INVERSIONES FCI]]-P95,Tabla5[[#This Row],[INVERSIONES FCI]])</f>
        <v>956834803.665802</v>
      </c>
      <c r="Q96" s="5">
        <f>IF($B95&lt;=Tabla5[[#This Row],[INVERSIONES FCI]],+Tabla5[[#This Row],[INVERSIONES FCI]]-Q95,Tabla5[[#This Row],[INVERSIONES FCI]])</f>
        <v>956834803.665802</v>
      </c>
      <c r="R96" s="5">
        <f>IF($B95&lt;=Tabla5[[#This Row],[INVERSIONES FCI]],+Tabla5[[#This Row],[INVERSIONES FCI]]-R95,Tabla5[[#This Row],[INVERSIONES FCI]])</f>
        <v>956834803.665802</v>
      </c>
      <c r="S96" s="5">
        <f>IF($B95&lt;=Tabla5[[#This Row],[INVERSIONES FCI]],+Tabla5[[#This Row],[INVERSIONES FCI]]-S95,Tabla5[[#This Row],[INVERSIONES FCI]])</f>
        <v>956834803.665802</v>
      </c>
      <c r="T96" s="5">
        <f>IF($B95&lt;=Tabla5[[#This Row],[INVERSIONES FCI]],+Tabla5[[#This Row],[INVERSIONES FCI]]-T95,Tabla5[[#This Row],[INVERSIONES FCI]])</f>
        <v>956834803.665802</v>
      </c>
      <c r="U96" s="5">
        <f>IF($B95&lt;=Tabla5[[#This Row],[INVERSIONES FCI]],+Tabla5[[#This Row],[INVERSIONES FCI]]-U95,Tabla5[[#This Row],[INVERSIONES FCI]])</f>
        <v>956834803.665802</v>
      </c>
      <c r="V96" s="5">
        <f>IF($B95&lt;=Tabla5[[#This Row],[INVERSIONES FCI]],+Tabla5[[#This Row],[INVERSIONES FCI]]-V95,Tabla5[[#This Row],[INVERSIONES FCI]])</f>
        <v>956834803.665802</v>
      </c>
      <c r="W96" s="5">
        <f>IF($B95&lt;=Tabla5[[#This Row],[INVERSIONES FCI]],+Tabla5[[#This Row],[INVERSIONES FCI]]-W95,Tabla5[[#This Row],[INVERSIONES FCI]])</f>
        <v>956834803.665802</v>
      </c>
      <c r="X96" s="5">
        <f>IF($B95&lt;=Tabla5[[#This Row],[INVERSIONES FCI]],+Tabla5[[#This Row],[INVERSIONES FCI]]-X95,Tabla5[[#This Row],[INVERSIONES FCI]])</f>
        <v>956834803.665802</v>
      </c>
      <c r="Y96" s="5">
        <f>IF($B95&lt;=Tabla5[[#This Row],[INVERSIONES FCI]],+Tabla5[[#This Row],[INVERSIONES FCI]]-Y95,Tabla5[[#This Row],[INVERSIONES FCI]])</f>
        <v>956834803.665802</v>
      </c>
      <c r="Z96" s="5">
        <f>IF($B95&lt;=Tabla5[[#This Row],[INVERSIONES FCI]],+Tabla5[[#This Row],[INVERSIONES FCI]]-Z95,Tabla5[[#This Row],[INVERSIONES FCI]])</f>
        <v>956834803.665802</v>
      </c>
      <c r="AA96" s="5">
        <f>IF($B95&lt;=Tabla5[[#This Row],[INVERSIONES FCI]],+Tabla5[[#This Row],[INVERSIONES FCI]]-AA95,Tabla5[[#This Row],[INVERSIONES FCI]])</f>
        <v>956834803.665802</v>
      </c>
      <c r="AB96" s="5">
        <f>IF($B95&lt;=Tabla5[[#This Row],[INVERSIONES FCI]],+Tabla5[[#This Row],[INVERSIONES FCI]]-AB95,Tabla5[[#This Row],[INVERSIONES FCI]])</f>
        <v>956834803.665802</v>
      </c>
      <c r="AC96" s="5">
        <f>IF($B95&lt;=Tabla5[[#This Row],[INVERSIONES FCI]],+Tabla5[[#This Row],[INVERSIONES FCI]]-AC95,Tabla5[[#This Row],[INVERSIONES FCI]])</f>
        <v>956834803.665802</v>
      </c>
      <c r="AD96" s="5">
        <f>IF($B95&lt;=Tabla5[[#This Row],[INVERSIONES FCI]],+Tabla5[[#This Row],[INVERSIONES FCI]]-AD95,Tabla5[[#This Row],[INVERSIONES FCI]])</f>
        <v>956834803.665802</v>
      </c>
      <c r="AE96" s="5">
        <f>IF($B95&lt;=Tabla5[[#This Row],[INVERSIONES FCI]],+Tabla5[[#This Row],[INVERSIONES FCI]]-AE95,Tabla5[[#This Row],[INVERSIONES FCI]])</f>
        <v>956834803.665802</v>
      </c>
      <c r="AF96" s="5">
        <f>IF($B95&lt;=Tabla5[[#This Row],[INVERSIONES FCI]],+Tabla5[[#This Row],[INVERSIONES FCI]]-AF95,Tabla5[[#This Row],[INVERSIONES FCI]])</f>
        <v>956834803.665802</v>
      </c>
      <c r="AG96" s="5">
        <f>IF($B95&lt;=Tabla5[[#This Row],[INVERSIONES FCI]],+Tabla5[[#This Row],[INVERSIONES FCI]]-AG95,Tabla5[[#This Row],[INVERSIONES FCI]])</f>
        <v>956834803.665802</v>
      </c>
      <c r="AH96" s="5">
        <f>IF($B95&lt;=Tabla5[[#This Row],[INVERSIONES FCI]],+Tabla5[[#This Row],[INVERSIONES FCI]]-AH95,Tabla5[[#This Row],[INVERSIONES FCI]])</f>
        <v>956834803.665802</v>
      </c>
      <c r="AI96" s="5">
        <f>IF($B95&lt;=Tabla5[[#This Row],[INVERSIONES FCI]],+Tabla5[[#This Row],[INVERSIONES FCI]]-AI95,Tabla5[[#This Row],[INVERSIONES FCI]])</f>
        <v>956834803.665802</v>
      </c>
      <c r="AJ96" s="5">
        <f>IF($B95&lt;=Tabla5[[#This Row],[INVERSIONES FCI]],+Tabla5[[#This Row],[INVERSIONES FCI]]-AJ95,Tabla5[[#This Row],[INVERSIONES FCI]])</f>
        <v>956834803.665802</v>
      </c>
      <c r="AK96" s="5">
        <f>IF($B95&lt;=Tabla5[[#This Row],[INVERSIONES FCI]],+Tabla5[[#This Row],[INVERSIONES FCI]]-AK95,Tabla5[[#This Row],[INVERSIONES FCI]])</f>
        <v>956834803.665802</v>
      </c>
      <c r="AL96" s="5">
        <f>IF($B95&lt;=Tabla5[[#This Row],[INVERSIONES FCI]],+Tabla5[[#This Row],[INVERSIONES FCI]]-AL95,Tabla5[[#This Row],[INVERSIONES FCI]])</f>
        <v>956834803.665802</v>
      </c>
      <c r="AM96" s="5">
        <f>IF($B95&lt;=Tabla5[[#This Row],[INVERSIONES FCI]],+Tabla5[[#This Row],[INVERSIONES FCI]]-AM95,Tabla5[[#This Row],[INVERSIONES FCI]])</f>
        <v>956834803.665802</v>
      </c>
      <c r="AN96" s="5">
        <f>IF($B95&lt;=Tabla5[[#This Row],[INVERSIONES FCI]],+Tabla5[[#This Row],[INVERSIONES FCI]]-AN95,Tabla5[[#This Row],[INVERSIONES FCI]])</f>
        <v>956834803.665802</v>
      </c>
      <c r="AO96" s="5">
        <f>IF($B95&lt;=Tabla5[[#This Row],[INVERSIONES FCI]],+Tabla5[[#This Row],[INVERSIONES FCI]]-AO95,Tabla5[[#This Row],[INVERSIONES FCI]])</f>
        <v>956834803.665802</v>
      </c>
      <c r="AP96" s="5">
        <f>IF($B95&lt;=Tabla5[[#This Row],[INVERSIONES FCI]],+Tabla5[[#This Row],[INVERSIONES FCI]]-AP95,Tabla5[[#This Row],[INVERSIONES FCI]])</f>
        <v>956834803.665802</v>
      </c>
      <c r="AQ96" s="5">
        <f>IF($B95&lt;=Tabla5[[#This Row],[INVERSIONES FCI]],+Tabla5[[#This Row],[INVERSIONES FCI]]-AQ95,Tabla5[[#This Row],[INVERSIONES FCI]])</f>
        <v>956834803.665802</v>
      </c>
      <c r="AR96" s="5">
        <f>IF($B95&lt;=Tabla5[[#This Row],[INVERSIONES FCI]],+Tabla5[[#This Row],[INVERSIONES FCI]]-AR95,Tabla5[[#This Row],[INVERSIONES FCI]])</f>
        <v>956834803.665802</v>
      </c>
      <c r="AS96" s="5">
        <f>IF($B95&lt;=Tabla5[[#This Row],[INVERSIONES FCI]],+Tabla5[[#This Row],[INVERSIONES FCI]]-AS95,Tabla5[[#This Row],[INVERSIONES FCI]])</f>
        <v>956834803.665802</v>
      </c>
      <c r="AT96" s="5">
        <f>IF($B95&lt;=Tabla5[[#This Row],[INVERSIONES FCI]],+Tabla5[[#This Row],[INVERSIONES FCI]]-AT95,Tabla5[[#This Row],[INVERSIONES FCI]])</f>
        <v>956834803.665802</v>
      </c>
      <c r="AU96" s="5">
        <f>IF($B95&lt;=Tabla5[[#This Row],[INVERSIONES FCI]],+Tabla5[[#This Row],[INVERSIONES FCI]]-AU95,Tabla5[[#This Row],[INVERSIONES FCI]])</f>
        <v>956834803.665802</v>
      </c>
      <c r="AV96" s="5">
        <f>IF($B95&lt;=Tabla5[[#This Row],[INVERSIONES FCI]],+Tabla5[[#This Row],[INVERSIONES FCI]]-AV95,Tabla5[[#This Row],[INVERSIONES FCI]])</f>
        <v>956834803.665802</v>
      </c>
      <c r="AW96" s="5">
        <f>IF($B95&lt;=Tabla5[[#This Row],[INVERSIONES FCI]],+Tabla5[[#This Row],[INVERSIONES FCI]]-AW95,Tabla5[[#This Row],[INVERSIONES FCI]])</f>
        <v>956834803.665802</v>
      </c>
      <c r="AX96" s="5">
        <f>IF($B95&lt;=Tabla5[[#This Row],[INVERSIONES FCI]],+Tabla5[[#This Row],[INVERSIONES FCI]]-AX95,Tabla5[[#This Row],[INVERSIONES FCI]])</f>
        <v>956834803.665802</v>
      </c>
      <c r="AY96" s="5">
        <f>IF($B95&lt;=Tabla5[[#This Row],[INVERSIONES FCI]],+Tabla5[[#This Row],[INVERSIONES FCI]]-AY95,Tabla5[[#This Row],[INVERSIONES FCI]])</f>
        <v>956834803.665802</v>
      </c>
      <c r="AZ96" s="5">
        <f>IF($B95&lt;=Tabla5[[#This Row],[INVERSIONES FCI]],+Tabla5[[#This Row],[INVERSIONES FCI]]-AZ95,Tabla5[[#This Row],[INVERSIONES FCI]])</f>
        <v>956834803.665802</v>
      </c>
      <c r="BA96" s="5">
        <f>IF($B95&lt;=Tabla5[[#This Row],[INVERSIONES FCI]],+Tabla5[[#This Row],[INVERSIONES FCI]]-BA95,Tabla5[[#This Row],[INVERSIONES FCI]])</f>
        <v>956834803.665802</v>
      </c>
      <c r="BB96" s="5">
        <f>IF($B95&lt;=Tabla5[[#This Row],[INVERSIONES FCI]],+Tabla5[[#This Row],[INVERSIONES FCI]]-BB95,Tabla5[[#This Row],[INVERSIONES FCI]])</f>
        <v>956834803.665802</v>
      </c>
      <c r="BC96" s="5">
        <f>IF($B95&lt;=Tabla5[[#This Row],[INVERSIONES FCI]],+Tabla5[[#This Row],[INVERSIONES FCI]]-BC95,Tabla5[[#This Row],[INVERSIONES FCI]])</f>
        <v>956834803.665802</v>
      </c>
      <c r="BD96" s="5">
        <f>IF($B95&lt;=Tabla5[[#This Row],[INVERSIONES FCI]],+Tabla5[[#This Row],[INVERSIONES FCI]]-BD95,Tabla5[[#This Row],[INVERSIONES FCI]])</f>
        <v>956834803.665802</v>
      </c>
      <c r="BE96" s="5">
        <f>IF($B95&lt;=Tabla5[[#This Row],[INVERSIONES FCI]],+Tabla5[[#This Row],[INVERSIONES FCI]]-BE95,Tabla5[[#This Row],[INVERSIONES FCI]])</f>
        <v>956834803.665802</v>
      </c>
      <c r="BF96" s="5">
        <f>IF($B95&lt;=Tabla5[[#This Row],[INVERSIONES FCI]],+Tabla5[[#This Row],[INVERSIONES FCI]]-BF95,Tabla5[[#This Row],[INVERSIONES FCI]])</f>
        <v>956834803.665802</v>
      </c>
      <c r="BG96" s="5">
        <f>IF($B95&lt;=Tabla5[[#This Row],[INVERSIONES FCI]],+Tabla5[[#This Row],[INVERSIONES FCI]]-BG95,Tabla5[[#This Row],[INVERSIONES FCI]])</f>
        <v>956834803.665802</v>
      </c>
      <c r="BH96" s="5">
        <f>IF($B95&lt;=Tabla5[[#This Row],[INVERSIONES FCI]],+Tabla5[[#This Row],[INVERSIONES FCI]]-BH95,Tabla5[[#This Row],[INVERSIONES FCI]])</f>
        <v>956834803.665802</v>
      </c>
      <c r="BI96" s="5">
        <f>IF($B95&lt;=Tabla5[[#This Row],[INVERSIONES FCI]],+Tabla5[[#This Row],[INVERSIONES FCI]]-BI95,Tabla5[[#This Row],[INVERSIONES FCI]])</f>
        <v>956834803.665802</v>
      </c>
      <c r="BJ96" s="5">
        <f>IF($B95&lt;=Tabla5[[#This Row],[INVERSIONES FCI]],+Tabla5[[#This Row],[INVERSIONES FCI]]-BJ95,Tabla5[[#This Row],[INVERSIONES FCI]])</f>
        <v>956834803.665802</v>
      </c>
      <c r="BK96" s="5">
        <f>IF($B95&lt;=Tabla5[[#This Row],[INVERSIONES FCI]],+Tabla5[[#This Row],[INVERSIONES FCI]]-BK95,Tabla5[[#This Row],[INVERSIONES FCI]])</f>
        <v>956834803.665802</v>
      </c>
      <c r="BL96" s="5">
        <f>IF($B95&lt;=Tabla5[[#This Row],[INVERSIONES FCI]],+Tabla5[[#This Row],[INVERSIONES FCI]]-BL95,Tabla5[[#This Row],[INVERSIONES FCI]])</f>
        <v>956834803.665802</v>
      </c>
      <c r="BM96" s="5">
        <f>IF($B95&lt;=Tabla5[[#This Row],[INVERSIONES FCI]],+Tabla5[[#This Row],[INVERSIONES FCI]]-BM95,Tabla5[[#This Row],[INVERSIONES FCI]])</f>
        <v>956834803.665802</v>
      </c>
      <c r="BN96" s="5">
        <f>IF($B95&lt;=Tabla5[[#This Row],[INVERSIONES FCI]],+Tabla5[[#This Row],[INVERSIONES FCI]]-BN95,Tabla5[[#This Row],[INVERSIONES FCI]])</f>
        <v>956834803.665802</v>
      </c>
      <c r="BO96" s="5">
        <f>IF($B95&lt;=Tabla5[[#This Row],[INVERSIONES FCI]],+Tabla5[[#This Row],[INVERSIONES FCI]]-BO95,Tabla5[[#This Row],[INVERSIONES FCI]])</f>
        <v>956834803.665802</v>
      </c>
      <c r="BP96" s="5">
        <f>IF($B95&lt;=Tabla5[[#This Row],[INVERSIONES FCI]],+Tabla5[[#This Row],[INVERSIONES FCI]]-BP95,Tabla5[[#This Row],[INVERSIONES FCI]])</f>
        <v>956834803.665802</v>
      </c>
      <c r="BQ96" s="5">
        <f>IF($B95&lt;=Tabla5[[#This Row],[INVERSIONES FCI]],+Tabla5[[#This Row],[INVERSIONES FCI]]-BQ95,Tabla5[[#This Row],[INVERSIONES FCI]])</f>
        <v>956834803.665802</v>
      </c>
      <c r="BR96" s="5">
        <f>IF($B95&lt;=Tabla5[[#This Row],[INVERSIONES FCI]],+Tabla5[[#This Row],[INVERSIONES FCI]]-BR95,Tabla5[[#This Row],[INVERSIONES FCI]])</f>
        <v>956834803.665802</v>
      </c>
      <c r="BS96" s="5">
        <f>IF($B95&lt;=Tabla5[[#This Row],[INVERSIONES FCI]],+Tabla5[[#This Row],[INVERSIONES FCI]]-BS95,Tabla5[[#This Row],[INVERSIONES FCI]])</f>
        <v>956834803.665802</v>
      </c>
      <c r="BT96" s="5">
        <f>IF($B95&lt;=Tabla5[[#This Row],[INVERSIONES FCI]],+Tabla5[[#This Row],[INVERSIONES FCI]]-BT95,Tabla5[[#This Row],[INVERSIONES FCI]])</f>
        <v>956834803.665802</v>
      </c>
      <c r="BU96" s="5">
        <f>IF($B95&lt;=Tabla5[[#This Row],[INVERSIONES FCI]],+Tabla5[[#This Row],[INVERSIONES FCI]]-BU95,Tabla5[[#This Row],[INVERSIONES FCI]])</f>
        <v>956834803.665802</v>
      </c>
      <c r="BV96" s="5">
        <f>IF($B95&lt;=Tabla5[[#This Row],[INVERSIONES FCI]],+Tabla5[[#This Row],[INVERSIONES FCI]]-BV95,Tabla5[[#This Row],[INVERSIONES FCI]])</f>
        <v>956834803.665802</v>
      </c>
      <c r="BW96" s="5">
        <f>IF($B95&lt;=Tabla5[[#This Row],[INVERSIONES FCI]],+Tabla5[[#This Row],[INVERSIONES FCI]]-BW95,Tabla5[[#This Row],[INVERSIONES FCI]])</f>
        <v>956834803.665802</v>
      </c>
      <c r="BX96" s="5">
        <f>IF($B95&lt;=Tabla5[[#This Row],[INVERSIONES FCI]],+Tabla5[[#This Row],[INVERSIONES FCI]]-BX95,Tabla5[[#This Row],[INVERSIONES FCI]])</f>
        <v>956834803.665802</v>
      </c>
      <c r="BY96" s="5">
        <f>IF($B95&lt;=Tabla5[[#This Row],[INVERSIONES FCI]],+Tabla5[[#This Row],[INVERSIONES FCI]]-BY95,Tabla5[[#This Row],[INVERSIONES FCI]])</f>
        <v>956834803.665802</v>
      </c>
      <c r="BZ96" s="5">
        <f>IF($B95&lt;=Tabla5[[#This Row],[INVERSIONES FCI]],+Tabla5[[#This Row],[INVERSIONES FCI]]-BZ95,Tabla5[[#This Row],[INVERSIONES FCI]])</f>
        <v>956834803.665802</v>
      </c>
      <c r="CA96" s="5">
        <f>IF($B95&lt;=Tabla5[[#This Row],[INVERSIONES FCI]],+Tabla5[[#This Row],[INVERSIONES FCI]]-CA95,Tabla5[[#This Row],[INVERSIONES FCI]])</f>
        <v>956834803.665802</v>
      </c>
      <c r="CB96" s="5">
        <f>IF($B95&lt;=Tabla5[[#This Row],[INVERSIONES FCI]],+Tabla5[[#This Row],[INVERSIONES FCI]]-CB95,Tabla5[[#This Row],[INVERSIONES FCI]])</f>
        <v>956834803.665802</v>
      </c>
      <c r="CC96" s="5">
        <f>IF($B95&lt;=Tabla5[[#This Row],[INVERSIONES FCI]],+Tabla5[[#This Row],[INVERSIONES FCI]]-CC95,Tabla5[[#This Row],[INVERSIONES FCI]])</f>
        <v>956834803.665802</v>
      </c>
      <c r="CD96" s="5">
        <f>IF($B95&lt;=Tabla5[[#This Row],[INVERSIONES FCI]],+Tabla5[[#This Row],[INVERSIONES FCI]]-CD95,Tabla5[[#This Row],[INVERSIONES FCI]])</f>
        <v>956834803.665802</v>
      </c>
      <c r="CE96" s="5">
        <f>IF($B95&lt;=Tabla5[[#This Row],[INVERSIONES FCI]],+Tabla5[[#This Row],[INVERSIONES FCI]]-CE95,Tabla5[[#This Row],[INVERSIONES FCI]])</f>
        <v>956834803.665802</v>
      </c>
      <c r="CF96" s="5">
        <f>IF($B95&lt;=Tabla5[[#This Row],[INVERSIONES FCI]],+Tabla5[[#This Row],[INVERSIONES FCI]]-CF95,Tabla5[[#This Row],[INVERSIONES FCI]])</f>
        <v>956834803.665802</v>
      </c>
      <c r="CG96" s="5">
        <f>IF($B95&lt;=Tabla5[[#This Row],[INVERSIONES FCI]],+Tabla5[[#This Row],[INVERSIONES FCI]]-CG95,Tabla5[[#This Row],[INVERSIONES FCI]])</f>
        <v>956834803.665802</v>
      </c>
      <c r="CH96" s="5">
        <f>IF($B95&lt;=Tabla5[[#This Row],[INVERSIONES FCI]],+Tabla5[[#This Row],[INVERSIONES FCI]]-CH95,Tabla5[[#This Row],[INVERSIONES FCI]])</f>
        <v>956834803.665802</v>
      </c>
      <c r="CI96" s="5">
        <f>IF($B95&lt;=Tabla5[[#This Row],[INVERSIONES FCI]],+Tabla5[[#This Row],[INVERSIONES FCI]]-CI95,Tabla5[[#This Row],[INVERSIONES FCI]])</f>
        <v>956834803.665802</v>
      </c>
      <c r="CJ96" s="5">
        <f>IF($B95&lt;=Tabla5[[#This Row],[INVERSIONES FCI]],+Tabla5[[#This Row],[INVERSIONES FCI]]-CJ95,Tabla5[[#This Row],[INVERSIONES FCI]])</f>
        <v>956834803.665802</v>
      </c>
      <c r="CK96" s="5">
        <f>IF($B95&lt;=Tabla5[[#This Row],[INVERSIONES FCI]],+Tabla5[[#This Row],[INVERSIONES FCI]]-CK95,Tabla5[[#This Row],[INVERSIONES FCI]])</f>
        <v>956834803.665802</v>
      </c>
      <c r="CL96" s="5">
        <f>IF($B95&lt;=Tabla5[[#This Row],[INVERSIONES FCI]],+Tabla5[[#This Row],[INVERSIONES FCI]]-CL95,Tabla5[[#This Row],[INVERSIONES FCI]])</f>
        <v>956834803.665802</v>
      </c>
      <c r="CM96" s="5">
        <f>IF($B95&lt;=Tabla5[[#This Row],[INVERSIONES FCI]],+Tabla5[[#This Row],[INVERSIONES FCI]]-CM95,Tabla5[[#This Row],[INVERSIONES FCI]])</f>
        <v>956834803.665802</v>
      </c>
      <c r="CN96" s="5">
        <f>IF($B95&lt;=Tabla5[[#This Row],[INVERSIONES FCI]],+Tabla5[[#This Row],[INVERSIONES FCI]]-CN95,Tabla5[[#This Row],[INVERSIONES FCI]])</f>
        <v>956834803.665802</v>
      </c>
      <c r="CO96" s="5">
        <f>IF($B95&lt;=Tabla5[[#This Row],[INVERSIONES FCI]],+Tabla5[[#This Row],[INVERSIONES FCI]]-CO95,Tabla5[[#This Row],[INVERSIONES FCI]])</f>
        <v>956834803.665802</v>
      </c>
      <c r="CP96" s="5">
        <f>IF($B95&lt;=Tabla5[[#This Row],[INVERSIONES FCI]],+Tabla5[[#This Row],[INVERSIONES FCI]]-CP95,Tabla5[[#This Row],[INVERSIONES FCI]])</f>
        <v>956834803.665802</v>
      </c>
      <c r="CQ96" s="5">
        <f>IF($B95&lt;=Tabla5[[#This Row],[INVERSIONES FCI]],+Tabla5[[#This Row],[INVERSIONES FCI]]-CQ95,Tabla5[[#This Row],[INVERSIONES FCI]])</f>
        <v>956834803.665802</v>
      </c>
      <c r="CR96" s="5">
        <f>IF($B95&lt;=Tabla5[[#This Row],[INVERSIONES FCI]],+Tabla5[[#This Row],[INVERSIONES FCI]]-CR95,Tabla5[[#This Row],[INVERSIONES FCI]])</f>
        <v>956834803.665802</v>
      </c>
      <c r="CS96" s="5" cm="1">
        <f t="array" ref="CS96">IF(Tabla5[[#This Row],[FCI]]=0,0,_xlfn.XLOOKUP(TRUE,$B96:CR96&gt;0,$B96:CR96,"",0,-1))</f>
        <v>956834803.665802</v>
      </c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</row>
    <row r="97" spans="1:121" ht="14.4">
      <c r="A97" s="12" t="s">
        <v>96</v>
      </c>
      <c r="B97" s="5">
        <f>HLOOKUP($A97,ESCENARIO[#All],7,FALSE)</f>
        <v>5552455340.2382593</v>
      </c>
      <c r="C97" s="5">
        <f>IF($B96&lt;=Tabla5[[#This Row],[INVERSIONES FCI]],+Tabla5[[#This Row],[INVERSIONES FCI]]-C96,Tabla5[[#This Row],[INVERSIONES FCI]])</f>
        <v>4595620536.5724573</v>
      </c>
      <c r="D97" s="5">
        <f>IF($B96&lt;=Tabla5[[#This Row],[INVERSIONES FCI]],+Tabla5[[#This Row],[INVERSIONES FCI]]-D96,Tabla5[[#This Row],[INVERSIONES FCI]])</f>
        <v>4595620536.5724573</v>
      </c>
      <c r="E97" s="5">
        <f>IF($B96&lt;=Tabla5[[#This Row],[INVERSIONES FCI]],+Tabla5[[#This Row],[INVERSIONES FCI]]-E96,Tabla5[[#This Row],[INVERSIONES FCI]])</f>
        <v>4595620536.5724573</v>
      </c>
      <c r="F97" s="5">
        <f>IF($B96&lt;=Tabla5[[#This Row],[INVERSIONES FCI]],+Tabla5[[#This Row],[INVERSIONES FCI]]-F96,Tabla5[[#This Row],[INVERSIONES FCI]])</f>
        <v>4595620536.5724573</v>
      </c>
      <c r="G97" s="5">
        <f>IF($B96&lt;=Tabla5[[#This Row],[INVERSIONES FCI]],+Tabla5[[#This Row],[INVERSIONES FCI]]-G96,Tabla5[[#This Row],[INVERSIONES FCI]])</f>
        <v>4595620536.5724573</v>
      </c>
      <c r="H97" s="5">
        <f>IF($B96&lt;=Tabla5[[#This Row],[INVERSIONES FCI]],+Tabla5[[#This Row],[INVERSIONES FCI]]-H96,Tabla5[[#This Row],[INVERSIONES FCI]])</f>
        <v>4595620536.5724573</v>
      </c>
      <c r="I97" s="5">
        <f>IF($B96&lt;=Tabla5[[#This Row],[INVERSIONES FCI]],+Tabla5[[#This Row],[INVERSIONES FCI]]-I96,Tabla5[[#This Row],[INVERSIONES FCI]])</f>
        <v>4595620536.5724573</v>
      </c>
      <c r="J97" s="5">
        <f>IF($B96&lt;=Tabla5[[#This Row],[INVERSIONES FCI]],+Tabla5[[#This Row],[INVERSIONES FCI]]-J96,Tabla5[[#This Row],[INVERSIONES FCI]])</f>
        <v>4595620536.5724573</v>
      </c>
      <c r="K97" s="5">
        <f>IF($B96&lt;=Tabla5[[#This Row],[INVERSIONES FCI]],+Tabla5[[#This Row],[INVERSIONES FCI]]-K96,Tabla5[[#This Row],[INVERSIONES FCI]])</f>
        <v>4595620536.5724573</v>
      </c>
      <c r="L97" s="5">
        <f>IF($B96&lt;=Tabla5[[#This Row],[INVERSIONES FCI]],+Tabla5[[#This Row],[INVERSIONES FCI]]-L96,Tabla5[[#This Row],[INVERSIONES FCI]])</f>
        <v>4595620536.5724573</v>
      </c>
      <c r="M97" s="5">
        <f>IF($B96&lt;=Tabla5[[#This Row],[INVERSIONES FCI]],+Tabla5[[#This Row],[INVERSIONES FCI]]-M96,Tabla5[[#This Row],[INVERSIONES FCI]])</f>
        <v>4595620536.5724573</v>
      </c>
      <c r="N97" s="5">
        <f>IF($B96&lt;=Tabla5[[#This Row],[INVERSIONES FCI]],+Tabla5[[#This Row],[INVERSIONES FCI]]-N96,Tabla5[[#This Row],[INVERSIONES FCI]])</f>
        <v>4595620536.5724573</v>
      </c>
      <c r="O97" s="5">
        <f>IF($B96&lt;=Tabla5[[#This Row],[INVERSIONES FCI]],+Tabla5[[#This Row],[INVERSIONES FCI]]-O96,Tabla5[[#This Row],[INVERSIONES FCI]])</f>
        <v>4595620536.5724573</v>
      </c>
      <c r="P97" s="5">
        <f>IF($B96&lt;=Tabla5[[#This Row],[INVERSIONES FCI]],+Tabla5[[#This Row],[INVERSIONES FCI]]-P96,Tabla5[[#This Row],[INVERSIONES FCI]])</f>
        <v>4595620536.5724573</v>
      </c>
      <c r="Q97" s="5">
        <f>IF($B96&lt;=Tabla5[[#This Row],[INVERSIONES FCI]],+Tabla5[[#This Row],[INVERSIONES FCI]]-Q96,Tabla5[[#This Row],[INVERSIONES FCI]])</f>
        <v>4595620536.5724573</v>
      </c>
      <c r="R97" s="5">
        <f>IF($B96&lt;=Tabla5[[#This Row],[INVERSIONES FCI]],+Tabla5[[#This Row],[INVERSIONES FCI]]-R96,Tabla5[[#This Row],[INVERSIONES FCI]])</f>
        <v>4595620536.5724573</v>
      </c>
      <c r="S97" s="5">
        <f>IF($B96&lt;=Tabla5[[#This Row],[INVERSIONES FCI]],+Tabla5[[#This Row],[INVERSIONES FCI]]-S96,Tabla5[[#This Row],[INVERSIONES FCI]])</f>
        <v>4595620536.5724573</v>
      </c>
      <c r="T97" s="5">
        <f>IF($B96&lt;=Tabla5[[#This Row],[INVERSIONES FCI]],+Tabla5[[#This Row],[INVERSIONES FCI]]-T96,Tabla5[[#This Row],[INVERSIONES FCI]])</f>
        <v>4595620536.5724573</v>
      </c>
      <c r="U97" s="5">
        <f>IF($B96&lt;=Tabla5[[#This Row],[INVERSIONES FCI]],+Tabla5[[#This Row],[INVERSIONES FCI]]-U96,Tabla5[[#This Row],[INVERSIONES FCI]])</f>
        <v>4595620536.5724573</v>
      </c>
      <c r="V97" s="5">
        <f>IF($B96&lt;=Tabla5[[#This Row],[INVERSIONES FCI]],+Tabla5[[#This Row],[INVERSIONES FCI]]-V96,Tabla5[[#This Row],[INVERSIONES FCI]])</f>
        <v>4595620536.5724573</v>
      </c>
      <c r="W97" s="5">
        <f>IF($B96&lt;=Tabla5[[#This Row],[INVERSIONES FCI]],+Tabla5[[#This Row],[INVERSIONES FCI]]-W96,Tabla5[[#This Row],[INVERSIONES FCI]])</f>
        <v>4595620536.5724573</v>
      </c>
      <c r="X97" s="5">
        <f>IF($B96&lt;=Tabla5[[#This Row],[INVERSIONES FCI]],+Tabla5[[#This Row],[INVERSIONES FCI]]-X96,Tabla5[[#This Row],[INVERSIONES FCI]])</f>
        <v>4595620536.5724573</v>
      </c>
      <c r="Y97" s="5">
        <f>IF($B96&lt;=Tabla5[[#This Row],[INVERSIONES FCI]],+Tabla5[[#This Row],[INVERSIONES FCI]]-Y96,Tabla5[[#This Row],[INVERSIONES FCI]])</f>
        <v>4595620536.5724573</v>
      </c>
      <c r="Z97" s="5">
        <f>IF($B96&lt;=Tabla5[[#This Row],[INVERSIONES FCI]],+Tabla5[[#This Row],[INVERSIONES FCI]]-Z96,Tabla5[[#This Row],[INVERSIONES FCI]])</f>
        <v>4595620536.5724573</v>
      </c>
      <c r="AA97" s="5">
        <f>IF($B96&lt;=Tabla5[[#This Row],[INVERSIONES FCI]],+Tabla5[[#This Row],[INVERSIONES FCI]]-AA96,Tabla5[[#This Row],[INVERSIONES FCI]])</f>
        <v>4595620536.5724573</v>
      </c>
      <c r="AB97" s="5">
        <f>IF($B96&lt;=Tabla5[[#This Row],[INVERSIONES FCI]],+Tabla5[[#This Row],[INVERSIONES FCI]]-AB96,Tabla5[[#This Row],[INVERSIONES FCI]])</f>
        <v>4595620536.5724573</v>
      </c>
      <c r="AC97" s="5">
        <f>IF($B96&lt;=Tabla5[[#This Row],[INVERSIONES FCI]],+Tabla5[[#This Row],[INVERSIONES FCI]]-AC96,Tabla5[[#This Row],[INVERSIONES FCI]])</f>
        <v>4595620536.5724573</v>
      </c>
      <c r="AD97" s="5">
        <f>IF($B96&lt;=Tabla5[[#This Row],[INVERSIONES FCI]],+Tabla5[[#This Row],[INVERSIONES FCI]]-AD96,Tabla5[[#This Row],[INVERSIONES FCI]])</f>
        <v>4595620536.5724573</v>
      </c>
      <c r="AE97" s="5">
        <f>IF($B96&lt;=Tabla5[[#This Row],[INVERSIONES FCI]],+Tabla5[[#This Row],[INVERSIONES FCI]]-AE96,Tabla5[[#This Row],[INVERSIONES FCI]])</f>
        <v>4595620536.5724573</v>
      </c>
      <c r="AF97" s="5">
        <f>IF($B96&lt;=Tabla5[[#This Row],[INVERSIONES FCI]],+Tabla5[[#This Row],[INVERSIONES FCI]]-AF96,Tabla5[[#This Row],[INVERSIONES FCI]])</f>
        <v>4595620536.5724573</v>
      </c>
      <c r="AG97" s="5">
        <f>IF($B96&lt;=Tabla5[[#This Row],[INVERSIONES FCI]],+Tabla5[[#This Row],[INVERSIONES FCI]]-AG96,Tabla5[[#This Row],[INVERSIONES FCI]])</f>
        <v>4595620536.5724573</v>
      </c>
      <c r="AH97" s="5">
        <f>IF($B96&lt;=Tabla5[[#This Row],[INVERSIONES FCI]],+Tabla5[[#This Row],[INVERSIONES FCI]]-AH96,Tabla5[[#This Row],[INVERSIONES FCI]])</f>
        <v>4595620536.5724573</v>
      </c>
      <c r="AI97" s="5">
        <f>IF($B96&lt;=Tabla5[[#This Row],[INVERSIONES FCI]],+Tabla5[[#This Row],[INVERSIONES FCI]]-AI96,Tabla5[[#This Row],[INVERSIONES FCI]])</f>
        <v>4595620536.5724573</v>
      </c>
      <c r="AJ97" s="5">
        <f>IF($B96&lt;=Tabla5[[#This Row],[INVERSIONES FCI]],+Tabla5[[#This Row],[INVERSIONES FCI]]-AJ96,Tabla5[[#This Row],[INVERSIONES FCI]])</f>
        <v>4595620536.5724573</v>
      </c>
      <c r="AK97" s="5">
        <f>IF($B96&lt;=Tabla5[[#This Row],[INVERSIONES FCI]],+Tabla5[[#This Row],[INVERSIONES FCI]]-AK96,Tabla5[[#This Row],[INVERSIONES FCI]])</f>
        <v>4595620536.5724573</v>
      </c>
      <c r="AL97" s="5">
        <f>IF($B96&lt;=Tabla5[[#This Row],[INVERSIONES FCI]],+Tabla5[[#This Row],[INVERSIONES FCI]]-AL96,Tabla5[[#This Row],[INVERSIONES FCI]])</f>
        <v>4595620536.5724573</v>
      </c>
      <c r="AM97" s="5">
        <f>IF($B96&lt;=Tabla5[[#This Row],[INVERSIONES FCI]],+Tabla5[[#This Row],[INVERSIONES FCI]]-AM96,Tabla5[[#This Row],[INVERSIONES FCI]])</f>
        <v>4595620536.5724573</v>
      </c>
      <c r="AN97" s="5">
        <f>IF($B96&lt;=Tabla5[[#This Row],[INVERSIONES FCI]],+Tabla5[[#This Row],[INVERSIONES FCI]]-AN96,Tabla5[[#This Row],[INVERSIONES FCI]])</f>
        <v>4595620536.5724573</v>
      </c>
      <c r="AO97" s="5">
        <f>IF($B96&lt;=Tabla5[[#This Row],[INVERSIONES FCI]],+Tabla5[[#This Row],[INVERSIONES FCI]]-AO96,Tabla5[[#This Row],[INVERSIONES FCI]])</f>
        <v>4595620536.5724573</v>
      </c>
      <c r="AP97" s="5">
        <f>IF($B96&lt;=Tabla5[[#This Row],[INVERSIONES FCI]],+Tabla5[[#This Row],[INVERSIONES FCI]]-AP96,Tabla5[[#This Row],[INVERSIONES FCI]])</f>
        <v>4595620536.5724573</v>
      </c>
      <c r="AQ97" s="5">
        <f>IF($B96&lt;=Tabla5[[#This Row],[INVERSIONES FCI]],+Tabla5[[#This Row],[INVERSIONES FCI]]-AQ96,Tabla5[[#This Row],[INVERSIONES FCI]])</f>
        <v>4595620536.5724573</v>
      </c>
      <c r="AR97" s="5">
        <f>IF($B96&lt;=Tabla5[[#This Row],[INVERSIONES FCI]],+Tabla5[[#This Row],[INVERSIONES FCI]]-AR96,Tabla5[[#This Row],[INVERSIONES FCI]])</f>
        <v>4595620536.5724573</v>
      </c>
      <c r="AS97" s="5">
        <f>IF($B96&lt;=Tabla5[[#This Row],[INVERSIONES FCI]],+Tabla5[[#This Row],[INVERSIONES FCI]]-AS96,Tabla5[[#This Row],[INVERSIONES FCI]])</f>
        <v>4595620536.5724573</v>
      </c>
      <c r="AT97" s="5">
        <f>IF($B96&lt;=Tabla5[[#This Row],[INVERSIONES FCI]],+Tabla5[[#This Row],[INVERSIONES FCI]]-AT96,Tabla5[[#This Row],[INVERSIONES FCI]])</f>
        <v>4595620536.5724573</v>
      </c>
      <c r="AU97" s="5">
        <f>IF($B96&lt;=Tabla5[[#This Row],[INVERSIONES FCI]],+Tabla5[[#This Row],[INVERSIONES FCI]]-AU96,Tabla5[[#This Row],[INVERSIONES FCI]])</f>
        <v>4595620536.5724573</v>
      </c>
      <c r="AV97" s="5">
        <f>IF($B96&lt;=Tabla5[[#This Row],[INVERSIONES FCI]],+Tabla5[[#This Row],[INVERSIONES FCI]]-AV96,Tabla5[[#This Row],[INVERSIONES FCI]])</f>
        <v>4595620536.5724573</v>
      </c>
      <c r="AW97" s="5">
        <f>IF($B96&lt;=Tabla5[[#This Row],[INVERSIONES FCI]],+Tabla5[[#This Row],[INVERSIONES FCI]]-AW96,Tabla5[[#This Row],[INVERSIONES FCI]])</f>
        <v>4595620536.5724573</v>
      </c>
      <c r="AX97" s="5">
        <f>IF($B96&lt;=Tabla5[[#This Row],[INVERSIONES FCI]],+Tabla5[[#This Row],[INVERSIONES FCI]]-AX96,Tabla5[[#This Row],[INVERSIONES FCI]])</f>
        <v>4595620536.5724573</v>
      </c>
      <c r="AY97" s="5">
        <f>IF($B96&lt;=Tabla5[[#This Row],[INVERSIONES FCI]],+Tabla5[[#This Row],[INVERSIONES FCI]]-AY96,Tabla5[[#This Row],[INVERSIONES FCI]])</f>
        <v>4595620536.5724573</v>
      </c>
      <c r="AZ97" s="5">
        <f>IF($B96&lt;=Tabla5[[#This Row],[INVERSIONES FCI]],+Tabla5[[#This Row],[INVERSIONES FCI]]-AZ96,Tabla5[[#This Row],[INVERSIONES FCI]])</f>
        <v>4595620536.5724573</v>
      </c>
      <c r="BA97" s="5">
        <f>IF($B96&lt;=Tabla5[[#This Row],[INVERSIONES FCI]],+Tabla5[[#This Row],[INVERSIONES FCI]]-BA96,Tabla5[[#This Row],[INVERSIONES FCI]])</f>
        <v>4595620536.5724573</v>
      </c>
      <c r="BB97" s="5">
        <f>IF($B96&lt;=Tabla5[[#This Row],[INVERSIONES FCI]],+Tabla5[[#This Row],[INVERSIONES FCI]]-BB96,Tabla5[[#This Row],[INVERSIONES FCI]])</f>
        <v>4595620536.5724573</v>
      </c>
      <c r="BC97" s="5">
        <f>IF($B96&lt;=Tabla5[[#This Row],[INVERSIONES FCI]],+Tabla5[[#This Row],[INVERSIONES FCI]]-BC96,Tabla5[[#This Row],[INVERSIONES FCI]])</f>
        <v>4595620536.5724573</v>
      </c>
      <c r="BD97" s="5">
        <f>IF($B96&lt;=Tabla5[[#This Row],[INVERSIONES FCI]],+Tabla5[[#This Row],[INVERSIONES FCI]]-BD96,Tabla5[[#This Row],[INVERSIONES FCI]])</f>
        <v>4595620536.5724573</v>
      </c>
      <c r="BE97" s="5">
        <f>IF($B96&lt;=Tabla5[[#This Row],[INVERSIONES FCI]],+Tabla5[[#This Row],[INVERSIONES FCI]]-BE96,Tabla5[[#This Row],[INVERSIONES FCI]])</f>
        <v>4595620536.5724573</v>
      </c>
      <c r="BF97" s="5">
        <f>IF($B96&lt;=Tabla5[[#This Row],[INVERSIONES FCI]],+Tabla5[[#This Row],[INVERSIONES FCI]]-BF96,Tabla5[[#This Row],[INVERSIONES FCI]])</f>
        <v>4595620536.5724573</v>
      </c>
      <c r="BG97" s="5">
        <f>IF($B96&lt;=Tabla5[[#This Row],[INVERSIONES FCI]],+Tabla5[[#This Row],[INVERSIONES FCI]]-BG96,Tabla5[[#This Row],[INVERSIONES FCI]])</f>
        <v>4595620536.5724573</v>
      </c>
      <c r="BH97" s="5">
        <f>IF($B96&lt;=Tabla5[[#This Row],[INVERSIONES FCI]],+Tabla5[[#This Row],[INVERSIONES FCI]]-BH96,Tabla5[[#This Row],[INVERSIONES FCI]])</f>
        <v>4595620536.5724573</v>
      </c>
      <c r="BI97" s="5">
        <f>IF($B96&lt;=Tabla5[[#This Row],[INVERSIONES FCI]],+Tabla5[[#This Row],[INVERSIONES FCI]]-BI96,Tabla5[[#This Row],[INVERSIONES FCI]])</f>
        <v>4595620536.5724573</v>
      </c>
      <c r="BJ97" s="5">
        <f>IF($B96&lt;=Tabla5[[#This Row],[INVERSIONES FCI]],+Tabla5[[#This Row],[INVERSIONES FCI]]-BJ96,Tabla5[[#This Row],[INVERSIONES FCI]])</f>
        <v>4595620536.5724573</v>
      </c>
      <c r="BK97" s="5">
        <f>IF($B96&lt;=Tabla5[[#This Row],[INVERSIONES FCI]],+Tabla5[[#This Row],[INVERSIONES FCI]]-BK96,Tabla5[[#This Row],[INVERSIONES FCI]])</f>
        <v>4595620536.5724573</v>
      </c>
      <c r="BL97" s="5">
        <f>IF($B96&lt;=Tabla5[[#This Row],[INVERSIONES FCI]],+Tabla5[[#This Row],[INVERSIONES FCI]]-BL96,Tabla5[[#This Row],[INVERSIONES FCI]])</f>
        <v>4595620536.5724573</v>
      </c>
      <c r="BM97" s="5">
        <f>IF($B96&lt;=Tabla5[[#This Row],[INVERSIONES FCI]],+Tabla5[[#This Row],[INVERSIONES FCI]]-BM96,Tabla5[[#This Row],[INVERSIONES FCI]])</f>
        <v>4595620536.5724573</v>
      </c>
      <c r="BN97" s="5">
        <f>IF($B96&lt;=Tabla5[[#This Row],[INVERSIONES FCI]],+Tabla5[[#This Row],[INVERSIONES FCI]]-BN96,Tabla5[[#This Row],[INVERSIONES FCI]])</f>
        <v>4595620536.5724573</v>
      </c>
      <c r="BO97" s="5">
        <f>IF($B96&lt;=Tabla5[[#This Row],[INVERSIONES FCI]],+Tabla5[[#This Row],[INVERSIONES FCI]]-BO96,Tabla5[[#This Row],[INVERSIONES FCI]])</f>
        <v>4595620536.5724573</v>
      </c>
      <c r="BP97" s="5">
        <f>IF($B96&lt;=Tabla5[[#This Row],[INVERSIONES FCI]],+Tabla5[[#This Row],[INVERSIONES FCI]]-BP96,Tabla5[[#This Row],[INVERSIONES FCI]])</f>
        <v>4595620536.5724573</v>
      </c>
      <c r="BQ97" s="5">
        <f>IF($B96&lt;=Tabla5[[#This Row],[INVERSIONES FCI]],+Tabla5[[#This Row],[INVERSIONES FCI]]-BQ96,Tabla5[[#This Row],[INVERSIONES FCI]])</f>
        <v>4595620536.5724573</v>
      </c>
      <c r="BR97" s="5">
        <f>IF($B96&lt;=Tabla5[[#This Row],[INVERSIONES FCI]],+Tabla5[[#This Row],[INVERSIONES FCI]]-BR96,Tabla5[[#This Row],[INVERSIONES FCI]])</f>
        <v>4595620536.5724573</v>
      </c>
      <c r="BS97" s="5">
        <f>IF($B96&lt;=Tabla5[[#This Row],[INVERSIONES FCI]],+Tabla5[[#This Row],[INVERSIONES FCI]]-BS96,Tabla5[[#This Row],[INVERSIONES FCI]])</f>
        <v>4595620536.5724573</v>
      </c>
      <c r="BT97" s="5">
        <f>IF($B96&lt;=Tabla5[[#This Row],[INVERSIONES FCI]],+Tabla5[[#This Row],[INVERSIONES FCI]]-BT96,Tabla5[[#This Row],[INVERSIONES FCI]])</f>
        <v>4595620536.5724573</v>
      </c>
      <c r="BU97" s="5">
        <f>IF($B96&lt;=Tabla5[[#This Row],[INVERSIONES FCI]],+Tabla5[[#This Row],[INVERSIONES FCI]]-BU96,Tabla5[[#This Row],[INVERSIONES FCI]])</f>
        <v>4595620536.5724573</v>
      </c>
      <c r="BV97" s="5">
        <f>IF($B96&lt;=Tabla5[[#This Row],[INVERSIONES FCI]],+Tabla5[[#This Row],[INVERSIONES FCI]]-BV96,Tabla5[[#This Row],[INVERSIONES FCI]])</f>
        <v>4595620536.5724573</v>
      </c>
      <c r="BW97" s="5">
        <f>IF($B96&lt;=Tabla5[[#This Row],[INVERSIONES FCI]],+Tabla5[[#This Row],[INVERSIONES FCI]]-BW96,Tabla5[[#This Row],[INVERSIONES FCI]])</f>
        <v>4595620536.5724573</v>
      </c>
      <c r="BX97" s="5">
        <f>IF($B96&lt;=Tabla5[[#This Row],[INVERSIONES FCI]],+Tabla5[[#This Row],[INVERSIONES FCI]]-BX96,Tabla5[[#This Row],[INVERSIONES FCI]])</f>
        <v>4595620536.5724573</v>
      </c>
      <c r="BY97" s="5">
        <f>IF($B96&lt;=Tabla5[[#This Row],[INVERSIONES FCI]],+Tabla5[[#This Row],[INVERSIONES FCI]]-BY96,Tabla5[[#This Row],[INVERSIONES FCI]])</f>
        <v>4595620536.5724573</v>
      </c>
      <c r="BZ97" s="5">
        <f>IF($B96&lt;=Tabla5[[#This Row],[INVERSIONES FCI]],+Tabla5[[#This Row],[INVERSIONES FCI]]-BZ96,Tabla5[[#This Row],[INVERSIONES FCI]])</f>
        <v>4595620536.5724573</v>
      </c>
      <c r="CA97" s="5">
        <f>IF($B96&lt;=Tabla5[[#This Row],[INVERSIONES FCI]],+Tabla5[[#This Row],[INVERSIONES FCI]]-CA96,Tabla5[[#This Row],[INVERSIONES FCI]])</f>
        <v>4595620536.5724573</v>
      </c>
      <c r="CB97" s="5">
        <f>IF($B96&lt;=Tabla5[[#This Row],[INVERSIONES FCI]],+Tabla5[[#This Row],[INVERSIONES FCI]]-CB96,Tabla5[[#This Row],[INVERSIONES FCI]])</f>
        <v>4595620536.5724573</v>
      </c>
      <c r="CC97" s="5">
        <f>IF($B96&lt;=Tabla5[[#This Row],[INVERSIONES FCI]],+Tabla5[[#This Row],[INVERSIONES FCI]]-CC96,Tabla5[[#This Row],[INVERSIONES FCI]])</f>
        <v>4595620536.5724573</v>
      </c>
      <c r="CD97" s="5">
        <f>IF($B96&lt;=Tabla5[[#This Row],[INVERSIONES FCI]],+Tabla5[[#This Row],[INVERSIONES FCI]]-CD96,Tabla5[[#This Row],[INVERSIONES FCI]])</f>
        <v>4595620536.5724573</v>
      </c>
      <c r="CE97" s="5">
        <f>IF($B96&lt;=Tabla5[[#This Row],[INVERSIONES FCI]],+Tabla5[[#This Row],[INVERSIONES FCI]]-CE96,Tabla5[[#This Row],[INVERSIONES FCI]])</f>
        <v>4595620536.5724573</v>
      </c>
      <c r="CF97" s="5">
        <f>IF($B96&lt;=Tabla5[[#This Row],[INVERSIONES FCI]],+Tabla5[[#This Row],[INVERSIONES FCI]]-CF96,Tabla5[[#This Row],[INVERSIONES FCI]])</f>
        <v>4595620536.5724573</v>
      </c>
      <c r="CG97" s="5">
        <f>IF($B96&lt;=Tabla5[[#This Row],[INVERSIONES FCI]],+Tabla5[[#This Row],[INVERSIONES FCI]]-CG96,Tabla5[[#This Row],[INVERSIONES FCI]])</f>
        <v>4595620536.5724573</v>
      </c>
      <c r="CH97" s="5">
        <f>IF($B96&lt;=Tabla5[[#This Row],[INVERSIONES FCI]],+Tabla5[[#This Row],[INVERSIONES FCI]]-CH96,Tabla5[[#This Row],[INVERSIONES FCI]])</f>
        <v>4595620536.5724573</v>
      </c>
      <c r="CI97" s="5">
        <f>IF($B96&lt;=Tabla5[[#This Row],[INVERSIONES FCI]],+Tabla5[[#This Row],[INVERSIONES FCI]]-CI96,Tabla5[[#This Row],[INVERSIONES FCI]])</f>
        <v>4595620536.5724573</v>
      </c>
      <c r="CJ97" s="5">
        <f>IF($B96&lt;=Tabla5[[#This Row],[INVERSIONES FCI]],+Tabla5[[#This Row],[INVERSIONES FCI]]-CJ96,Tabla5[[#This Row],[INVERSIONES FCI]])</f>
        <v>4595620536.5724573</v>
      </c>
      <c r="CK97" s="5">
        <f>IF($B96&lt;=Tabla5[[#This Row],[INVERSIONES FCI]],+Tabla5[[#This Row],[INVERSIONES FCI]]-CK96,Tabla5[[#This Row],[INVERSIONES FCI]])</f>
        <v>4595620536.5724573</v>
      </c>
      <c r="CL97" s="5">
        <f>IF($B96&lt;=Tabla5[[#This Row],[INVERSIONES FCI]],+Tabla5[[#This Row],[INVERSIONES FCI]]-CL96,Tabla5[[#This Row],[INVERSIONES FCI]])</f>
        <v>4595620536.5724573</v>
      </c>
      <c r="CM97" s="5">
        <f>IF($B96&lt;=Tabla5[[#This Row],[INVERSIONES FCI]],+Tabla5[[#This Row],[INVERSIONES FCI]]-CM96,Tabla5[[#This Row],[INVERSIONES FCI]])</f>
        <v>4595620536.5724573</v>
      </c>
      <c r="CN97" s="5">
        <f>IF($B96&lt;=Tabla5[[#This Row],[INVERSIONES FCI]],+Tabla5[[#This Row],[INVERSIONES FCI]]-CN96,Tabla5[[#This Row],[INVERSIONES FCI]])</f>
        <v>4595620536.5724573</v>
      </c>
      <c r="CO97" s="5">
        <f>IF($B96&lt;=Tabla5[[#This Row],[INVERSIONES FCI]],+Tabla5[[#This Row],[INVERSIONES FCI]]-CO96,Tabla5[[#This Row],[INVERSIONES FCI]])</f>
        <v>4595620536.5724573</v>
      </c>
      <c r="CP97" s="5">
        <f>IF($B96&lt;=Tabla5[[#This Row],[INVERSIONES FCI]],+Tabla5[[#This Row],[INVERSIONES FCI]]-CP96,Tabla5[[#This Row],[INVERSIONES FCI]])</f>
        <v>4595620536.5724573</v>
      </c>
      <c r="CQ97" s="5">
        <f>IF($B96&lt;=Tabla5[[#This Row],[INVERSIONES FCI]],+Tabla5[[#This Row],[INVERSIONES FCI]]-CQ96,Tabla5[[#This Row],[INVERSIONES FCI]])</f>
        <v>4595620536.5724573</v>
      </c>
      <c r="CR97" s="5">
        <f>IF($B96&lt;=Tabla5[[#This Row],[INVERSIONES FCI]],+Tabla5[[#This Row],[INVERSIONES FCI]]-CR96,Tabla5[[#This Row],[INVERSIONES FCI]])</f>
        <v>4595620536.5724573</v>
      </c>
      <c r="CS97" s="5">
        <f>IF($B96&lt;=Tabla5[[#This Row],[INVERSIONES FCI]],+Tabla5[[#This Row],[INVERSIONES FCI]]-CS96,Tabla5[[#This Row],[INVERSIONES FCI]])</f>
        <v>4595620536.5724573</v>
      </c>
      <c r="CT97" s="5" cm="1">
        <f t="array" ref="CT97">IF(Tabla5[[#This Row],[FCI]]=0,0,_xlfn.XLOOKUP(TRUE,$B97:CS97&gt;0,$B97:CS97,"",0,-1))</f>
        <v>4595620536.5724573</v>
      </c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</row>
    <row r="98" spans="1:121" ht="14.4">
      <c r="A98" s="12" t="s">
        <v>97</v>
      </c>
      <c r="B98" s="5">
        <f>HLOOKUP($A98,ESCENARIO[#All],7,FALSE)</f>
        <v>6240621733.9509916</v>
      </c>
      <c r="C98" s="5">
        <f>IF($B97&lt;=Tabla5[[#This Row],[INVERSIONES FCI]],+Tabla5[[#This Row],[INVERSIONES FCI]]-C97,Tabla5[[#This Row],[INVERSIONES FCI]])</f>
        <v>1645001197.3785343</v>
      </c>
      <c r="D98" s="5">
        <f>IF($B97&lt;=Tabla5[[#This Row],[INVERSIONES FCI]],+Tabla5[[#This Row],[INVERSIONES FCI]]-D97,Tabla5[[#This Row],[INVERSIONES FCI]])</f>
        <v>1645001197.3785343</v>
      </c>
      <c r="E98" s="5">
        <f>IF($B97&lt;=Tabla5[[#This Row],[INVERSIONES FCI]],+Tabla5[[#This Row],[INVERSIONES FCI]]-E97,Tabla5[[#This Row],[INVERSIONES FCI]])</f>
        <v>1645001197.3785343</v>
      </c>
      <c r="F98" s="5">
        <f>IF($B97&lt;=Tabla5[[#This Row],[INVERSIONES FCI]],+Tabla5[[#This Row],[INVERSIONES FCI]]-F97,Tabla5[[#This Row],[INVERSIONES FCI]])</f>
        <v>1645001197.3785343</v>
      </c>
      <c r="G98" s="5">
        <f>IF($B97&lt;=Tabla5[[#This Row],[INVERSIONES FCI]],+Tabla5[[#This Row],[INVERSIONES FCI]]-G97,Tabla5[[#This Row],[INVERSIONES FCI]])</f>
        <v>1645001197.3785343</v>
      </c>
      <c r="H98" s="5">
        <f>IF($B97&lt;=Tabla5[[#This Row],[INVERSIONES FCI]],+Tabla5[[#This Row],[INVERSIONES FCI]]-H97,Tabla5[[#This Row],[INVERSIONES FCI]])</f>
        <v>1645001197.3785343</v>
      </c>
      <c r="I98" s="5">
        <f>IF($B97&lt;=Tabla5[[#This Row],[INVERSIONES FCI]],+Tabla5[[#This Row],[INVERSIONES FCI]]-I97,Tabla5[[#This Row],[INVERSIONES FCI]])</f>
        <v>1645001197.3785343</v>
      </c>
      <c r="J98" s="5">
        <f>IF($B97&lt;=Tabla5[[#This Row],[INVERSIONES FCI]],+Tabla5[[#This Row],[INVERSIONES FCI]]-J97,Tabla5[[#This Row],[INVERSIONES FCI]])</f>
        <v>1645001197.3785343</v>
      </c>
      <c r="K98" s="5">
        <f>IF($B97&lt;=Tabla5[[#This Row],[INVERSIONES FCI]],+Tabla5[[#This Row],[INVERSIONES FCI]]-K97,Tabla5[[#This Row],[INVERSIONES FCI]])</f>
        <v>1645001197.3785343</v>
      </c>
      <c r="L98" s="5">
        <f>IF($B97&lt;=Tabla5[[#This Row],[INVERSIONES FCI]],+Tabla5[[#This Row],[INVERSIONES FCI]]-L97,Tabla5[[#This Row],[INVERSIONES FCI]])</f>
        <v>1645001197.3785343</v>
      </c>
      <c r="M98" s="5">
        <f>IF($B97&lt;=Tabla5[[#This Row],[INVERSIONES FCI]],+Tabla5[[#This Row],[INVERSIONES FCI]]-M97,Tabla5[[#This Row],[INVERSIONES FCI]])</f>
        <v>1645001197.3785343</v>
      </c>
      <c r="N98" s="5">
        <f>IF($B97&lt;=Tabla5[[#This Row],[INVERSIONES FCI]],+Tabla5[[#This Row],[INVERSIONES FCI]]-N97,Tabla5[[#This Row],[INVERSIONES FCI]])</f>
        <v>1645001197.3785343</v>
      </c>
      <c r="O98" s="5">
        <f>IF($B97&lt;=Tabla5[[#This Row],[INVERSIONES FCI]],+Tabla5[[#This Row],[INVERSIONES FCI]]-O97,Tabla5[[#This Row],[INVERSIONES FCI]])</f>
        <v>1645001197.3785343</v>
      </c>
      <c r="P98" s="5">
        <f>IF($B97&lt;=Tabla5[[#This Row],[INVERSIONES FCI]],+Tabla5[[#This Row],[INVERSIONES FCI]]-P97,Tabla5[[#This Row],[INVERSIONES FCI]])</f>
        <v>1645001197.3785343</v>
      </c>
      <c r="Q98" s="5">
        <f>IF($B97&lt;=Tabla5[[#This Row],[INVERSIONES FCI]],+Tabla5[[#This Row],[INVERSIONES FCI]]-Q97,Tabla5[[#This Row],[INVERSIONES FCI]])</f>
        <v>1645001197.3785343</v>
      </c>
      <c r="R98" s="5">
        <f>IF($B97&lt;=Tabla5[[#This Row],[INVERSIONES FCI]],+Tabla5[[#This Row],[INVERSIONES FCI]]-R97,Tabla5[[#This Row],[INVERSIONES FCI]])</f>
        <v>1645001197.3785343</v>
      </c>
      <c r="S98" s="5">
        <f>IF($B97&lt;=Tabla5[[#This Row],[INVERSIONES FCI]],+Tabla5[[#This Row],[INVERSIONES FCI]]-S97,Tabla5[[#This Row],[INVERSIONES FCI]])</f>
        <v>1645001197.3785343</v>
      </c>
      <c r="T98" s="5">
        <f>IF($B97&lt;=Tabla5[[#This Row],[INVERSIONES FCI]],+Tabla5[[#This Row],[INVERSIONES FCI]]-T97,Tabla5[[#This Row],[INVERSIONES FCI]])</f>
        <v>1645001197.3785343</v>
      </c>
      <c r="U98" s="5">
        <f>IF($B97&lt;=Tabla5[[#This Row],[INVERSIONES FCI]],+Tabla5[[#This Row],[INVERSIONES FCI]]-U97,Tabla5[[#This Row],[INVERSIONES FCI]])</f>
        <v>1645001197.3785343</v>
      </c>
      <c r="V98" s="5">
        <f>IF($B97&lt;=Tabla5[[#This Row],[INVERSIONES FCI]],+Tabla5[[#This Row],[INVERSIONES FCI]]-V97,Tabla5[[#This Row],[INVERSIONES FCI]])</f>
        <v>1645001197.3785343</v>
      </c>
      <c r="W98" s="5">
        <f>IF($B97&lt;=Tabla5[[#This Row],[INVERSIONES FCI]],+Tabla5[[#This Row],[INVERSIONES FCI]]-W97,Tabla5[[#This Row],[INVERSIONES FCI]])</f>
        <v>1645001197.3785343</v>
      </c>
      <c r="X98" s="5">
        <f>IF($B97&lt;=Tabla5[[#This Row],[INVERSIONES FCI]],+Tabla5[[#This Row],[INVERSIONES FCI]]-X97,Tabla5[[#This Row],[INVERSIONES FCI]])</f>
        <v>1645001197.3785343</v>
      </c>
      <c r="Y98" s="5">
        <f>IF($B97&lt;=Tabla5[[#This Row],[INVERSIONES FCI]],+Tabla5[[#This Row],[INVERSIONES FCI]]-Y97,Tabla5[[#This Row],[INVERSIONES FCI]])</f>
        <v>1645001197.3785343</v>
      </c>
      <c r="Z98" s="5">
        <f>IF($B97&lt;=Tabla5[[#This Row],[INVERSIONES FCI]],+Tabla5[[#This Row],[INVERSIONES FCI]]-Z97,Tabla5[[#This Row],[INVERSIONES FCI]])</f>
        <v>1645001197.3785343</v>
      </c>
      <c r="AA98" s="5">
        <f>IF($B97&lt;=Tabla5[[#This Row],[INVERSIONES FCI]],+Tabla5[[#This Row],[INVERSIONES FCI]]-AA97,Tabla5[[#This Row],[INVERSIONES FCI]])</f>
        <v>1645001197.3785343</v>
      </c>
      <c r="AB98" s="5">
        <f>IF($B97&lt;=Tabla5[[#This Row],[INVERSIONES FCI]],+Tabla5[[#This Row],[INVERSIONES FCI]]-AB97,Tabla5[[#This Row],[INVERSIONES FCI]])</f>
        <v>1645001197.3785343</v>
      </c>
      <c r="AC98" s="5">
        <f>IF($B97&lt;=Tabla5[[#This Row],[INVERSIONES FCI]],+Tabla5[[#This Row],[INVERSIONES FCI]]-AC97,Tabla5[[#This Row],[INVERSIONES FCI]])</f>
        <v>1645001197.3785343</v>
      </c>
      <c r="AD98" s="5">
        <f>IF($B97&lt;=Tabla5[[#This Row],[INVERSIONES FCI]],+Tabla5[[#This Row],[INVERSIONES FCI]]-AD97,Tabla5[[#This Row],[INVERSIONES FCI]])</f>
        <v>1645001197.3785343</v>
      </c>
      <c r="AE98" s="5">
        <f>IF($B97&lt;=Tabla5[[#This Row],[INVERSIONES FCI]],+Tabla5[[#This Row],[INVERSIONES FCI]]-AE97,Tabla5[[#This Row],[INVERSIONES FCI]])</f>
        <v>1645001197.3785343</v>
      </c>
      <c r="AF98" s="5">
        <f>IF($B97&lt;=Tabla5[[#This Row],[INVERSIONES FCI]],+Tabla5[[#This Row],[INVERSIONES FCI]]-AF97,Tabla5[[#This Row],[INVERSIONES FCI]])</f>
        <v>1645001197.3785343</v>
      </c>
      <c r="AG98" s="5">
        <f>IF($B97&lt;=Tabla5[[#This Row],[INVERSIONES FCI]],+Tabla5[[#This Row],[INVERSIONES FCI]]-AG97,Tabla5[[#This Row],[INVERSIONES FCI]])</f>
        <v>1645001197.3785343</v>
      </c>
      <c r="AH98" s="5">
        <f>IF($B97&lt;=Tabla5[[#This Row],[INVERSIONES FCI]],+Tabla5[[#This Row],[INVERSIONES FCI]]-AH97,Tabla5[[#This Row],[INVERSIONES FCI]])</f>
        <v>1645001197.3785343</v>
      </c>
      <c r="AI98" s="5">
        <f>IF($B97&lt;=Tabla5[[#This Row],[INVERSIONES FCI]],+Tabla5[[#This Row],[INVERSIONES FCI]]-AI97,Tabla5[[#This Row],[INVERSIONES FCI]])</f>
        <v>1645001197.3785343</v>
      </c>
      <c r="AJ98" s="5">
        <f>IF($B97&lt;=Tabla5[[#This Row],[INVERSIONES FCI]],+Tabla5[[#This Row],[INVERSIONES FCI]]-AJ97,Tabla5[[#This Row],[INVERSIONES FCI]])</f>
        <v>1645001197.3785343</v>
      </c>
      <c r="AK98" s="5">
        <f>IF($B97&lt;=Tabla5[[#This Row],[INVERSIONES FCI]],+Tabla5[[#This Row],[INVERSIONES FCI]]-AK97,Tabla5[[#This Row],[INVERSIONES FCI]])</f>
        <v>1645001197.3785343</v>
      </c>
      <c r="AL98" s="5">
        <f>IF($B97&lt;=Tabla5[[#This Row],[INVERSIONES FCI]],+Tabla5[[#This Row],[INVERSIONES FCI]]-AL97,Tabla5[[#This Row],[INVERSIONES FCI]])</f>
        <v>1645001197.3785343</v>
      </c>
      <c r="AM98" s="5">
        <f>IF($B97&lt;=Tabla5[[#This Row],[INVERSIONES FCI]],+Tabla5[[#This Row],[INVERSIONES FCI]]-AM97,Tabla5[[#This Row],[INVERSIONES FCI]])</f>
        <v>1645001197.3785343</v>
      </c>
      <c r="AN98" s="5">
        <f>IF($B97&lt;=Tabla5[[#This Row],[INVERSIONES FCI]],+Tabla5[[#This Row],[INVERSIONES FCI]]-AN97,Tabla5[[#This Row],[INVERSIONES FCI]])</f>
        <v>1645001197.3785343</v>
      </c>
      <c r="AO98" s="5">
        <f>IF($B97&lt;=Tabla5[[#This Row],[INVERSIONES FCI]],+Tabla5[[#This Row],[INVERSIONES FCI]]-AO97,Tabla5[[#This Row],[INVERSIONES FCI]])</f>
        <v>1645001197.3785343</v>
      </c>
      <c r="AP98" s="5">
        <f>IF($B97&lt;=Tabla5[[#This Row],[INVERSIONES FCI]],+Tabla5[[#This Row],[INVERSIONES FCI]]-AP97,Tabla5[[#This Row],[INVERSIONES FCI]])</f>
        <v>1645001197.3785343</v>
      </c>
      <c r="AQ98" s="5">
        <f>IF($B97&lt;=Tabla5[[#This Row],[INVERSIONES FCI]],+Tabla5[[#This Row],[INVERSIONES FCI]]-AQ97,Tabla5[[#This Row],[INVERSIONES FCI]])</f>
        <v>1645001197.3785343</v>
      </c>
      <c r="AR98" s="5">
        <f>IF($B97&lt;=Tabla5[[#This Row],[INVERSIONES FCI]],+Tabla5[[#This Row],[INVERSIONES FCI]]-AR97,Tabla5[[#This Row],[INVERSIONES FCI]])</f>
        <v>1645001197.3785343</v>
      </c>
      <c r="AS98" s="5">
        <f>IF($B97&lt;=Tabla5[[#This Row],[INVERSIONES FCI]],+Tabla5[[#This Row],[INVERSIONES FCI]]-AS97,Tabla5[[#This Row],[INVERSIONES FCI]])</f>
        <v>1645001197.3785343</v>
      </c>
      <c r="AT98" s="5">
        <f>IF($B97&lt;=Tabla5[[#This Row],[INVERSIONES FCI]],+Tabla5[[#This Row],[INVERSIONES FCI]]-AT97,Tabla5[[#This Row],[INVERSIONES FCI]])</f>
        <v>1645001197.3785343</v>
      </c>
      <c r="AU98" s="5">
        <f>IF($B97&lt;=Tabla5[[#This Row],[INVERSIONES FCI]],+Tabla5[[#This Row],[INVERSIONES FCI]]-AU97,Tabla5[[#This Row],[INVERSIONES FCI]])</f>
        <v>1645001197.3785343</v>
      </c>
      <c r="AV98" s="5">
        <f>IF($B97&lt;=Tabla5[[#This Row],[INVERSIONES FCI]],+Tabla5[[#This Row],[INVERSIONES FCI]]-AV97,Tabla5[[#This Row],[INVERSIONES FCI]])</f>
        <v>1645001197.3785343</v>
      </c>
      <c r="AW98" s="5">
        <f>IF($B97&lt;=Tabla5[[#This Row],[INVERSIONES FCI]],+Tabla5[[#This Row],[INVERSIONES FCI]]-AW97,Tabla5[[#This Row],[INVERSIONES FCI]])</f>
        <v>1645001197.3785343</v>
      </c>
      <c r="AX98" s="5">
        <f>IF($B97&lt;=Tabla5[[#This Row],[INVERSIONES FCI]],+Tabla5[[#This Row],[INVERSIONES FCI]]-AX97,Tabla5[[#This Row],[INVERSIONES FCI]])</f>
        <v>1645001197.3785343</v>
      </c>
      <c r="AY98" s="5">
        <f>IF($B97&lt;=Tabla5[[#This Row],[INVERSIONES FCI]],+Tabla5[[#This Row],[INVERSIONES FCI]]-AY97,Tabla5[[#This Row],[INVERSIONES FCI]])</f>
        <v>1645001197.3785343</v>
      </c>
      <c r="AZ98" s="5">
        <f>IF($B97&lt;=Tabla5[[#This Row],[INVERSIONES FCI]],+Tabla5[[#This Row],[INVERSIONES FCI]]-AZ97,Tabla5[[#This Row],[INVERSIONES FCI]])</f>
        <v>1645001197.3785343</v>
      </c>
      <c r="BA98" s="5">
        <f>IF($B97&lt;=Tabla5[[#This Row],[INVERSIONES FCI]],+Tabla5[[#This Row],[INVERSIONES FCI]]-BA97,Tabla5[[#This Row],[INVERSIONES FCI]])</f>
        <v>1645001197.3785343</v>
      </c>
      <c r="BB98" s="5">
        <f>IF($B97&lt;=Tabla5[[#This Row],[INVERSIONES FCI]],+Tabla5[[#This Row],[INVERSIONES FCI]]-BB97,Tabla5[[#This Row],[INVERSIONES FCI]])</f>
        <v>1645001197.3785343</v>
      </c>
      <c r="BC98" s="5">
        <f>IF($B97&lt;=Tabla5[[#This Row],[INVERSIONES FCI]],+Tabla5[[#This Row],[INVERSIONES FCI]]-BC97,Tabla5[[#This Row],[INVERSIONES FCI]])</f>
        <v>1645001197.3785343</v>
      </c>
      <c r="BD98" s="5">
        <f>IF($B97&lt;=Tabla5[[#This Row],[INVERSIONES FCI]],+Tabla5[[#This Row],[INVERSIONES FCI]]-BD97,Tabla5[[#This Row],[INVERSIONES FCI]])</f>
        <v>1645001197.3785343</v>
      </c>
      <c r="BE98" s="5">
        <f>IF($B97&lt;=Tabla5[[#This Row],[INVERSIONES FCI]],+Tabla5[[#This Row],[INVERSIONES FCI]]-BE97,Tabla5[[#This Row],[INVERSIONES FCI]])</f>
        <v>1645001197.3785343</v>
      </c>
      <c r="BF98" s="5">
        <f>IF($B97&lt;=Tabla5[[#This Row],[INVERSIONES FCI]],+Tabla5[[#This Row],[INVERSIONES FCI]]-BF97,Tabla5[[#This Row],[INVERSIONES FCI]])</f>
        <v>1645001197.3785343</v>
      </c>
      <c r="BG98" s="5">
        <f>IF($B97&lt;=Tabla5[[#This Row],[INVERSIONES FCI]],+Tabla5[[#This Row],[INVERSIONES FCI]]-BG97,Tabla5[[#This Row],[INVERSIONES FCI]])</f>
        <v>1645001197.3785343</v>
      </c>
      <c r="BH98" s="5">
        <f>IF($B97&lt;=Tabla5[[#This Row],[INVERSIONES FCI]],+Tabla5[[#This Row],[INVERSIONES FCI]]-BH97,Tabla5[[#This Row],[INVERSIONES FCI]])</f>
        <v>1645001197.3785343</v>
      </c>
      <c r="BI98" s="5">
        <f>IF($B97&lt;=Tabla5[[#This Row],[INVERSIONES FCI]],+Tabla5[[#This Row],[INVERSIONES FCI]]-BI97,Tabla5[[#This Row],[INVERSIONES FCI]])</f>
        <v>1645001197.3785343</v>
      </c>
      <c r="BJ98" s="5">
        <f>IF($B97&lt;=Tabla5[[#This Row],[INVERSIONES FCI]],+Tabla5[[#This Row],[INVERSIONES FCI]]-BJ97,Tabla5[[#This Row],[INVERSIONES FCI]])</f>
        <v>1645001197.3785343</v>
      </c>
      <c r="BK98" s="5">
        <f>IF($B97&lt;=Tabla5[[#This Row],[INVERSIONES FCI]],+Tabla5[[#This Row],[INVERSIONES FCI]]-BK97,Tabla5[[#This Row],[INVERSIONES FCI]])</f>
        <v>1645001197.3785343</v>
      </c>
      <c r="BL98" s="5">
        <f>IF($B97&lt;=Tabla5[[#This Row],[INVERSIONES FCI]],+Tabla5[[#This Row],[INVERSIONES FCI]]-BL97,Tabla5[[#This Row],[INVERSIONES FCI]])</f>
        <v>1645001197.3785343</v>
      </c>
      <c r="BM98" s="5">
        <f>IF($B97&lt;=Tabla5[[#This Row],[INVERSIONES FCI]],+Tabla5[[#This Row],[INVERSIONES FCI]]-BM97,Tabla5[[#This Row],[INVERSIONES FCI]])</f>
        <v>1645001197.3785343</v>
      </c>
      <c r="BN98" s="5">
        <f>IF($B97&lt;=Tabla5[[#This Row],[INVERSIONES FCI]],+Tabla5[[#This Row],[INVERSIONES FCI]]-BN97,Tabla5[[#This Row],[INVERSIONES FCI]])</f>
        <v>1645001197.3785343</v>
      </c>
      <c r="BO98" s="5">
        <f>IF($B97&lt;=Tabla5[[#This Row],[INVERSIONES FCI]],+Tabla5[[#This Row],[INVERSIONES FCI]]-BO97,Tabla5[[#This Row],[INVERSIONES FCI]])</f>
        <v>1645001197.3785343</v>
      </c>
      <c r="BP98" s="5">
        <f>IF($B97&lt;=Tabla5[[#This Row],[INVERSIONES FCI]],+Tabla5[[#This Row],[INVERSIONES FCI]]-BP97,Tabla5[[#This Row],[INVERSIONES FCI]])</f>
        <v>1645001197.3785343</v>
      </c>
      <c r="BQ98" s="5">
        <f>IF($B97&lt;=Tabla5[[#This Row],[INVERSIONES FCI]],+Tabla5[[#This Row],[INVERSIONES FCI]]-BQ97,Tabla5[[#This Row],[INVERSIONES FCI]])</f>
        <v>1645001197.3785343</v>
      </c>
      <c r="BR98" s="5">
        <f>IF($B97&lt;=Tabla5[[#This Row],[INVERSIONES FCI]],+Tabla5[[#This Row],[INVERSIONES FCI]]-BR97,Tabla5[[#This Row],[INVERSIONES FCI]])</f>
        <v>1645001197.3785343</v>
      </c>
      <c r="BS98" s="5">
        <f>IF($B97&lt;=Tabla5[[#This Row],[INVERSIONES FCI]],+Tabla5[[#This Row],[INVERSIONES FCI]]-BS97,Tabla5[[#This Row],[INVERSIONES FCI]])</f>
        <v>1645001197.3785343</v>
      </c>
      <c r="BT98" s="5">
        <f>IF($B97&lt;=Tabla5[[#This Row],[INVERSIONES FCI]],+Tabla5[[#This Row],[INVERSIONES FCI]]-BT97,Tabla5[[#This Row],[INVERSIONES FCI]])</f>
        <v>1645001197.3785343</v>
      </c>
      <c r="BU98" s="5">
        <f>IF($B97&lt;=Tabla5[[#This Row],[INVERSIONES FCI]],+Tabla5[[#This Row],[INVERSIONES FCI]]-BU97,Tabla5[[#This Row],[INVERSIONES FCI]])</f>
        <v>1645001197.3785343</v>
      </c>
      <c r="BV98" s="5">
        <f>IF($B97&lt;=Tabla5[[#This Row],[INVERSIONES FCI]],+Tabla5[[#This Row],[INVERSIONES FCI]]-BV97,Tabla5[[#This Row],[INVERSIONES FCI]])</f>
        <v>1645001197.3785343</v>
      </c>
      <c r="BW98" s="5">
        <f>IF($B97&lt;=Tabla5[[#This Row],[INVERSIONES FCI]],+Tabla5[[#This Row],[INVERSIONES FCI]]-BW97,Tabla5[[#This Row],[INVERSIONES FCI]])</f>
        <v>1645001197.3785343</v>
      </c>
      <c r="BX98" s="5">
        <f>IF($B97&lt;=Tabla5[[#This Row],[INVERSIONES FCI]],+Tabla5[[#This Row],[INVERSIONES FCI]]-BX97,Tabla5[[#This Row],[INVERSIONES FCI]])</f>
        <v>1645001197.3785343</v>
      </c>
      <c r="BY98" s="5">
        <f>IF($B97&lt;=Tabla5[[#This Row],[INVERSIONES FCI]],+Tabla5[[#This Row],[INVERSIONES FCI]]-BY97,Tabla5[[#This Row],[INVERSIONES FCI]])</f>
        <v>1645001197.3785343</v>
      </c>
      <c r="BZ98" s="5">
        <f>IF($B97&lt;=Tabla5[[#This Row],[INVERSIONES FCI]],+Tabla5[[#This Row],[INVERSIONES FCI]]-BZ97,Tabla5[[#This Row],[INVERSIONES FCI]])</f>
        <v>1645001197.3785343</v>
      </c>
      <c r="CA98" s="5">
        <f>IF($B97&lt;=Tabla5[[#This Row],[INVERSIONES FCI]],+Tabla5[[#This Row],[INVERSIONES FCI]]-CA97,Tabla5[[#This Row],[INVERSIONES FCI]])</f>
        <v>1645001197.3785343</v>
      </c>
      <c r="CB98" s="5">
        <f>IF($B97&lt;=Tabla5[[#This Row],[INVERSIONES FCI]],+Tabla5[[#This Row],[INVERSIONES FCI]]-CB97,Tabla5[[#This Row],[INVERSIONES FCI]])</f>
        <v>1645001197.3785343</v>
      </c>
      <c r="CC98" s="5">
        <f>IF($B97&lt;=Tabla5[[#This Row],[INVERSIONES FCI]],+Tabla5[[#This Row],[INVERSIONES FCI]]-CC97,Tabla5[[#This Row],[INVERSIONES FCI]])</f>
        <v>1645001197.3785343</v>
      </c>
      <c r="CD98" s="5">
        <f>IF($B97&lt;=Tabla5[[#This Row],[INVERSIONES FCI]],+Tabla5[[#This Row],[INVERSIONES FCI]]-CD97,Tabla5[[#This Row],[INVERSIONES FCI]])</f>
        <v>1645001197.3785343</v>
      </c>
      <c r="CE98" s="5">
        <f>IF($B97&lt;=Tabla5[[#This Row],[INVERSIONES FCI]],+Tabla5[[#This Row],[INVERSIONES FCI]]-CE97,Tabla5[[#This Row],[INVERSIONES FCI]])</f>
        <v>1645001197.3785343</v>
      </c>
      <c r="CF98" s="5">
        <f>IF($B97&lt;=Tabla5[[#This Row],[INVERSIONES FCI]],+Tabla5[[#This Row],[INVERSIONES FCI]]-CF97,Tabla5[[#This Row],[INVERSIONES FCI]])</f>
        <v>1645001197.3785343</v>
      </c>
      <c r="CG98" s="5">
        <f>IF($B97&lt;=Tabla5[[#This Row],[INVERSIONES FCI]],+Tabla5[[#This Row],[INVERSIONES FCI]]-CG97,Tabla5[[#This Row],[INVERSIONES FCI]])</f>
        <v>1645001197.3785343</v>
      </c>
      <c r="CH98" s="5">
        <f>IF($B97&lt;=Tabla5[[#This Row],[INVERSIONES FCI]],+Tabla5[[#This Row],[INVERSIONES FCI]]-CH97,Tabla5[[#This Row],[INVERSIONES FCI]])</f>
        <v>1645001197.3785343</v>
      </c>
      <c r="CI98" s="5">
        <f>IF($B97&lt;=Tabla5[[#This Row],[INVERSIONES FCI]],+Tabla5[[#This Row],[INVERSIONES FCI]]-CI97,Tabla5[[#This Row],[INVERSIONES FCI]])</f>
        <v>1645001197.3785343</v>
      </c>
      <c r="CJ98" s="5">
        <f>IF($B97&lt;=Tabla5[[#This Row],[INVERSIONES FCI]],+Tabla5[[#This Row],[INVERSIONES FCI]]-CJ97,Tabla5[[#This Row],[INVERSIONES FCI]])</f>
        <v>1645001197.3785343</v>
      </c>
      <c r="CK98" s="5">
        <f>IF($B97&lt;=Tabla5[[#This Row],[INVERSIONES FCI]],+Tabla5[[#This Row],[INVERSIONES FCI]]-CK97,Tabla5[[#This Row],[INVERSIONES FCI]])</f>
        <v>1645001197.3785343</v>
      </c>
      <c r="CL98" s="5">
        <f>IF($B97&lt;=Tabla5[[#This Row],[INVERSIONES FCI]],+Tabla5[[#This Row],[INVERSIONES FCI]]-CL97,Tabla5[[#This Row],[INVERSIONES FCI]])</f>
        <v>1645001197.3785343</v>
      </c>
      <c r="CM98" s="5">
        <f>IF($B97&lt;=Tabla5[[#This Row],[INVERSIONES FCI]],+Tabla5[[#This Row],[INVERSIONES FCI]]-CM97,Tabla5[[#This Row],[INVERSIONES FCI]])</f>
        <v>1645001197.3785343</v>
      </c>
      <c r="CN98" s="5">
        <f>IF($B97&lt;=Tabla5[[#This Row],[INVERSIONES FCI]],+Tabla5[[#This Row],[INVERSIONES FCI]]-CN97,Tabla5[[#This Row],[INVERSIONES FCI]])</f>
        <v>1645001197.3785343</v>
      </c>
      <c r="CO98" s="5">
        <f>IF($B97&lt;=Tabla5[[#This Row],[INVERSIONES FCI]],+Tabla5[[#This Row],[INVERSIONES FCI]]-CO97,Tabla5[[#This Row],[INVERSIONES FCI]])</f>
        <v>1645001197.3785343</v>
      </c>
      <c r="CP98" s="5">
        <f>IF($B97&lt;=Tabla5[[#This Row],[INVERSIONES FCI]],+Tabla5[[#This Row],[INVERSIONES FCI]]-CP97,Tabla5[[#This Row],[INVERSIONES FCI]])</f>
        <v>1645001197.3785343</v>
      </c>
      <c r="CQ98" s="5">
        <f>IF($B97&lt;=Tabla5[[#This Row],[INVERSIONES FCI]],+Tabla5[[#This Row],[INVERSIONES FCI]]-CQ97,Tabla5[[#This Row],[INVERSIONES FCI]])</f>
        <v>1645001197.3785343</v>
      </c>
      <c r="CR98" s="5">
        <f>IF($B97&lt;=Tabla5[[#This Row],[INVERSIONES FCI]],+Tabla5[[#This Row],[INVERSIONES FCI]]-CR97,Tabla5[[#This Row],[INVERSIONES FCI]])</f>
        <v>1645001197.3785343</v>
      </c>
      <c r="CS98" s="5">
        <f>IF($B97&lt;=Tabla5[[#This Row],[INVERSIONES FCI]],+Tabla5[[#This Row],[INVERSIONES FCI]]-CS97,Tabla5[[#This Row],[INVERSIONES FCI]])</f>
        <v>1645001197.3785343</v>
      </c>
      <c r="CT98" s="5">
        <f>IF($B97&lt;=Tabla5[[#This Row],[INVERSIONES FCI]],+Tabla5[[#This Row],[INVERSIONES FCI]]-CT97,Tabla5[[#This Row],[INVERSIONES FCI]])</f>
        <v>1645001197.3785343</v>
      </c>
      <c r="CU98" s="5" cm="1">
        <f t="array" ref="CU98">IF(Tabla5[[#This Row],[FCI]]=0,0,_xlfn.XLOOKUP(TRUE,$B98:CT98&gt;0,$B98:CT98,"",0,-1))</f>
        <v>1645001197.3785343</v>
      </c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</row>
    <row r="99" spans="1:121" ht="14.4">
      <c r="A99" s="12" t="s">
        <v>98</v>
      </c>
      <c r="B99" s="5">
        <f>HLOOKUP($A99,ESCENARIO[#All],7,FALSE)</f>
        <v>7134360626.0979958</v>
      </c>
      <c r="C99" s="5">
        <f>IF($B98&lt;=Tabla5[[#This Row],[INVERSIONES FCI]],+Tabla5[[#This Row],[INVERSIONES FCI]]-C98,Tabla5[[#This Row],[INVERSIONES FCI]])</f>
        <v>5489359428.7194614</v>
      </c>
      <c r="D99" s="5">
        <f>IF($B98&lt;=Tabla5[[#This Row],[INVERSIONES FCI]],+Tabla5[[#This Row],[INVERSIONES FCI]]-D98,Tabla5[[#This Row],[INVERSIONES FCI]])</f>
        <v>5489359428.7194614</v>
      </c>
      <c r="E99" s="5">
        <f>IF($B98&lt;=Tabla5[[#This Row],[INVERSIONES FCI]],+Tabla5[[#This Row],[INVERSIONES FCI]]-E98,Tabla5[[#This Row],[INVERSIONES FCI]])</f>
        <v>5489359428.7194614</v>
      </c>
      <c r="F99" s="5">
        <f>IF($B98&lt;=Tabla5[[#This Row],[INVERSIONES FCI]],+Tabla5[[#This Row],[INVERSIONES FCI]]-F98,Tabla5[[#This Row],[INVERSIONES FCI]])</f>
        <v>5489359428.7194614</v>
      </c>
      <c r="G99" s="5">
        <f>IF($B98&lt;=Tabla5[[#This Row],[INVERSIONES FCI]],+Tabla5[[#This Row],[INVERSIONES FCI]]-G98,Tabla5[[#This Row],[INVERSIONES FCI]])</f>
        <v>5489359428.7194614</v>
      </c>
      <c r="H99" s="5">
        <f>IF($B98&lt;=Tabla5[[#This Row],[INVERSIONES FCI]],+Tabla5[[#This Row],[INVERSIONES FCI]]-H98,Tabla5[[#This Row],[INVERSIONES FCI]])</f>
        <v>5489359428.7194614</v>
      </c>
      <c r="I99" s="5">
        <f>IF($B98&lt;=Tabla5[[#This Row],[INVERSIONES FCI]],+Tabla5[[#This Row],[INVERSIONES FCI]]-I98,Tabla5[[#This Row],[INVERSIONES FCI]])</f>
        <v>5489359428.7194614</v>
      </c>
      <c r="J99" s="5">
        <f>IF($B98&lt;=Tabla5[[#This Row],[INVERSIONES FCI]],+Tabla5[[#This Row],[INVERSIONES FCI]]-J98,Tabla5[[#This Row],[INVERSIONES FCI]])</f>
        <v>5489359428.7194614</v>
      </c>
      <c r="K99" s="5">
        <f>IF($B98&lt;=Tabla5[[#This Row],[INVERSIONES FCI]],+Tabla5[[#This Row],[INVERSIONES FCI]]-K98,Tabla5[[#This Row],[INVERSIONES FCI]])</f>
        <v>5489359428.7194614</v>
      </c>
      <c r="L99" s="5">
        <f>IF($B98&lt;=Tabla5[[#This Row],[INVERSIONES FCI]],+Tabla5[[#This Row],[INVERSIONES FCI]]-L98,Tabla5[[#This Row],[INVERSIONES FCI]])</f>
        <v>5489359428.7194614</v>
      </c>
      <c r="M99" s="5">
        <f>IF($B98&lt;=Tabla5[[#This Row],[INVERSIONES FCI]],+Tabla5[[#This Row],[INVERSIONES FCI]]-M98,Tabla5[[#This Row],[INVERSIONES FCI]])</f>
        <v>5489359428.7194614</v>
      </c>
      <c r="N99" s="5">
        <f>IF($B98&lt;=Tabla5[[#This Row],[INVERSIONES FCI]],+Tabla5[[#This Row],[INVERSIONES FCI]]-N98,Tabla5[[#This Row],[INVERSIONES FCI]])</f>
        <v>5489359428.7194614</v>
      </c>
      <c r="O99" s="5">
        <f>IF($B98&lt;=Tabla5[[#This Row],[INVERSIONES FCI]],+Tabla5[[#This Row],[INVERSIONES FCI]]-O98,Tabla5[[#This Row],[INVERSIONES FCI]])</f>
        <v>5489359428.7194614</v>
      </c>
      <c r="P99" s="5">
        <f>IF($B98&lt;=Tabla5[[#This Row],[INVERSIONES FCI]],+Tabla5[[#This Row],[INVERSIONES FCI]]-P98,Tabla5[[#This Row],[INVERSIONES FCI]])</f>
        <v>5489359428.7194614</v>
      </c>
      <c r="Q99" s="5">
        <f>IF($B98&lt;=Tabla5[[#This Row],[INVERSIONES FCI]],+Tabla5[[#This Row],[INVERSIONES FCI]]-Q98,Tabla5[[#This Row],[INVERSIONES FCI]])</f>
        <v>5489359428.7194614</v>
      </c>
      <c r="R99" s="5">
        <f>IF($B98&lt;=Tabla5[[#This Row],[INVERSIONES FCI]],+Tabla5[[#This Row],[INVERSIONES FCI]]-R98,Tabla5[[#This Row],[INVERSIONES FCI]])</f>
        <v>5489359428.7194614</v>
      </c>
      <c r="S99" s="5">
        <f>IF($B98&lt;=Tabla5[[#This Row],[INVERSIONES FCI]],+Tabla5[[#This Row],[INVERSIONES FCI]]-S98,Tabla5[[#This Row],[INVERSIONES FCI]])</f>
        <v>5489359428.7194614</v>
      </c>
      <c r="T99" s="5">
        <f>IF($B98&lt;=Tabla5[[#This Row],[INVERSIONES FCI]],+Tabla5[[#This Row],[INVERSIONES FCI]]-T98,Tabla5[[#This Row],[INVERSIONES FCI]])</f>
        <v>5489359428.7194614</v>
      </c>
      <c r="U99" s="5">
        <f>IF($B98&lt;=Tabla5[[#This Row],[INVERSIONES FCI]],+Tabla5[[#This Row],[INVERSIONES FCI]]-U98,Tabla5[[#This Row],[INVERSIONES FCI]])</f>
        <v>5489359428.7194614</v>
      </c>
      <c r="V99" s="5">
        <f>IF($B98&lt;=Tabla5[[#This Row],[INVERSIONES FCI]],+Tabla5[[#This Row],[INVERSIONES FCI]]-V98,Tabla5[[#This Row],[INVERSIONES FCI]])</f>
        <v>5489359428.7194614</v>
      </c>
      <c r="W99" s="5">
        <f>IF($B98&lt;=Tabla5[[#This Row],[INVERSIONES FCI]],+Tabla5[[#This Row],[INVERSIONES FCI]]-W98,Tabla5[[#This Row],[INVERSIONES FCI]])</f>
        <v>5489359428.7194614</v>
      </c>
      <c r="X99" s="5">
        <f>IF($B98&lt;=Tabla5[[#This Row],[INVERSIONES FCI]],+Tabla5[[#This Row],[INVERSIONES FCI]]-X98,Tabla5[[#This Row],[INVERSIONES FCI]])</f>
        <v>5489359428.7194614</v>
      </c>
      <c r="Y99" s="5">
        <f>IF($B98&lt;=Tabla5[[#This Row],[INVERSIONES FCI]],+Tabla5[[#This Row],[INVERSIONES FCI]]-Y98,Tabla5[[#This Row],[INVERSIONES FCI]])</f>
        <v>5489359428.7194614</v>
      </c>
      <c r="Z99" s="5">
        <f>IF($B98&lt;=Tabla5[[#This Row],[INVERSIONES FCI]],+Tabla5[[#This Row],[INVERSIONES FCI]]-Z98,Tabla5[[#This Row],[INVERSIONES FCI]])</f>
        <v>5489359428.7194614</v>
      </c>
      <c r="AA99" s="5">
        <f>IF($B98&lt;=Tabla5[[#This Row],[INVERSIONES FCI]],+Tabla5[[#This Row],[INVERSIONES FCI]]-AA98,Tabla5[[#This Row],[INVERSIONES FCI]])</f>
        <v>5489359428.7194614</v>
      </c>
      <c r="AB99" s="5">
        <f>IF($B98&lt;=Tabla5[[#This Row],[INVERSIONES FCI]],+Tabla5[[#This Row],[INVERSIONES FCI]]-AB98,Tabla5[[#This Row],[INVERSIONES FCI]])</f>
        <v>5489359428.7194614</v>
      </c>
      <c r="AC99" s="5">
        <f>IF($B98&lt;=Tabla5[[#This Row],[INVERSIONES FCI]],+Tabla5[[#This Row],[INVERSIONES FCI]]-AC98,Tabla5[[#This Row],[INVERSIONES FCI]])</f>
        <v>5489359428.7194614</v>
      </c>
      <c r="AD99" s="5">
        <f>IF($B98&lt;=Tabla5[[#This Row],[INVERSIONES FCI]],+Tabla5[[#This Row],[INVERSIONES FCI]]-AD98,Tabla5[[#This Row],[INVERSIONES FCI]])</f>
        <v>5489359428.7194614</v>
      </c>
      <c r="AE99" s="5">
        <f>IF($B98&lt;=Tabla5[[#This Row],[INVERSIONES FCI]],+Tabla5[[#This Row],[INVERSIONES FCI]]-AE98,Tabla5[[#This Row],[INVERSIONES FCI]])</f>
        <v>5489359428.7194614</v>
      </c>
      <c r="AF99" s="5">
        <f>IF($B98&lt;=Tabla5[[#This Row],[INVERSIONES FCI]],+Tabla5[[#This Row],[INVERSIONES FCI]]-AF98,Tabla5[[#This Row],[INVERSIONES FCI]])</f>
        <v>5489359428.7194614</v>
      </c>
      <c r="AG99" s="5">
        <f>IF($B98&lt;=Tabla5[[#This Row],[INVERSIONES FCI]],+Tabla5[[#This Row],[INVERSIONES FCI]]-AG98,Tabla5[[#This Row],[INVERSIONES FCI]])</f>
        <v>5489359428.7194614</v>
      </c>
      <c r="AH99" s="5">
        <f>IF($B98&lt;=Tabla5[[#This Row],[INVERSIONES FCI]],+Tabla5[[#This Row],[INVERSIONES FCI]]-AH98,Tabla5[[#This Row],[INVERSIONES FCI]])</f>
        <v>5489359428.7194614</v>
      </c>
      <c r="AI99" s="5">
        <f>IF($B98&lt;=Tabla5[[#This Row],[INVERSIONES FCI]],+Tabla5[[#This Row],[INVERSIONES FCI]]-AI98,Tabla5[[#This Row],[INVERSIONES FCI]])</f>
        <v>5489359428.7194614</v>
      </c>
      <c r="AJ99" s="5">
        <f>IF($B98&lt;=Tabla5[[#This Row],[INVERSIONES FCI]],+Tabla5[[#This Row],[INVERSIONES FCI]]-AJ98,Tabla5[[#This Row],[INVERSIONES FCI]])</f>
        <v>5489359428.7194614</v>
      </c>
      <c r="AK99" s="5">
        <f>IF($B98&lt;=Tabla5[[#This Row],[INVERSIONES FCI]],+Tabla5[[#This Row],[INVERSIONES FCI]]-AK98,Tabla5[[#This Row],[INVERSIONES FCI]])</f>
        <v>5489359428.7194614</v>
      </c>
      <c r="AL99" s="5">
        <f>IF($B98&lt;=Tabla5[[#This Row],[INVERSIONES FCI]],+Tabla5[[#This Row],[INVERSIONES FCI]]-AL98,Tabla5[[#This Row],[INVERSIONES FCI]])</f>
        <v>5489359428.7194614</v>
      </c>
      <c r="AM99" s="5">
        <f>IF($B98&lt;=Tabla5[[#This Row],[INVERSIONES FCI]],+Tabla5[[#This Row],[INVERSIONES FCI]]-AM98,Tabla5[[#This Row],[INVERSIONES FCI]])</f>
        <v>5489359428.7194614</v>
      </c>
      <c r="AN99" s="5">
        <f>IF($B98&lt;=Tabla5[[#This Row],[INVERSIONES FCI]],+Tabla5[[#This Row],[INVERSIONES FCI]]-AN98,Tabla5[[#This Row],[INVERSIONES FCI]])</f>
        <v>5489359428.7194614</v>
      </c>
      <c r="AO99" s="5">
        <f>IF($B98&lt;=Tabla5[[#This Row],[INVERSIONES FCI]],+Tabla5[[#This Row],[INVERSIONES FCI]]-AO98,Tabla5[[#This Row],[INVERSIONES FCI]])</f>
        <v>5489359428.7194614</v>
      </c>
      <c r="AP99" s="5">
        <f>IF($B98&lt;=Tabla5[[#This Row],[INVERSIONES FCI]],+Tabla5[[#This Row],[INVERSIONES FCI]]-AP98,Tabla5[[#This Row],[INVERSIONES FCI]])</f>
        <v>5489359428.7194614</v>
      </c>
      <c r="AQ99" s="5">
        <f>IF($B98&lt;=Tabla5[[#This Row],[INVERSIONES FCI]],+Tabla5[[#This Row],[INVERSIONES FCI]]-AQ98,Tabla5[[#This Row],[INVERSIONES FCI]])</f>
        <v>5489359428.7194614</v>
      </c>
      <c r="AR99" s="5">
        <f>IF($B98&lt;=Tabla5[[#This Row],[INVERSIONES FCI]],+Tabla5[[#This Row],[INVERSIONES FCI]]-AR98,Tabla5[[#This Row],[INVERSIONES FCI]])</f>
        <v>5489359428.7194614</v>
      </c>
      <c r="AS99" s="5">
        <f>IF($B98&lt;=Tabla5[[#This Row],[INVERSIONES FCI]],+Tabla5[[#This Row],[INVERSIONES FCI]]-AS98,Tabla5[[#This Row],[INVERSIONES FCI]])</f>
        <v>5489359428.7194614</v>
      </c>
      <c r="AT99" s="5">
        <f>IF($B98&lt;=Tabla5[[#This Row],[INVERSIONES FCI]],+Tabla5[[#This Row],[INVERSIONES FCI]]-AT98,Tabla5[[#This Row],[INVERSIONES FCI]])</f>
        <v>5489359428.7194614</v>
      </c>
      <c r="AU99" s="5">
        <f>IF($B98&lt;=Tabla5[[#This Row],[INVERSIONES FCI]],+Tabla5[[#This Row],[INVERSIONES FCI]]-AU98,Tabla5[[#This Row],[INVERSIONES FCI]])</f>
        <v>5489359428.7194614</v>
      </c>
      <c r="AV99" s="5">
        <f>IF($B98&lt;=Tabla5[[#This Row],[INVERSIONES FCI]],+Tabla5[[#This Row],[INVERSIONES FCI]]-AV98,Tabla5[[#This Row],[INVERSIONES FCI]])</f>
        <v>5489359428.7194614</v>
      </c>
      <c r="AW99" s="5">
        <f>IF($B98&lt;=Tabla5[[#This Row],[INVERSIONES FCI]],+Tabla5[[#This Row],[INVERSIONES FCI]]-AW98,Tabla5[[#This Row],[INVERSIONES FCI]])</f>
        <v>5489359428.7194614</v>
      </c>
      <c r="AX99" s="5">
        <f>IF($B98&lt;=Tabla5[[#This Row],[INVERSIONES FCI]],+Tabla5[[#This Row],[INVERSIONES FCI]]-AX98,Tabla5[[#This Row],[INVERSIONES FCI]])</f>
        <v>5489359428.7194614</v>
      </c>
      <c r="AY99" s="5">
        <f>IF($B98&lt;=Tabla5[[#This Row],[INVERSIONES FCI]],+Tabla5[[#This Row],[INVERSIONES FCI]]-AY98,Tabla5[[#This Row],[INVERSIONES FCI]])</f>
        <v>5489359428.7194614</v>
      </c>
      <c r="AZ99" s="5">
        <f>IF($B98&lt;=Tabla5[[#This Row],[INVERSIONES FCI]],+Tabla5[[#This Row],[INVERSIONES FCI]]-AZ98,Tabla5[[#This Row],[INVERSIONES FCI]])</f>
        <v>5489359428.7194614</v>
      </c>
      <c r="BA99" s="5">
        <f>IF($B98&lt;=Tabla5[[#This Row],[INVERSIONES FCI]],+Tabla5[[#This Row],[INVERSIONES FCI]]-BA98,Tabla5[[#This Row],[INVERSIONES FCI]])</f>
        <v>5489359428.7194614</v>
      </c>
      <c r="BB99" s="5">
        <f>IF($B98&lt;=Tabla5[[#This Row],[INVERSIONES FCI]],+Tabla5[[#This Row],[INVERSIONES FCI]]-BB98,Tabla5[[#This Row],[INVERSIONES FCI]])</f>
        <v>5489359428.7194614</v>
      </c>
      <c r="BC99" s="5">
        <f>IF($B98&lt;=Tabla5[[#This Row],[INVERSIONES FCI]],+Tabla5[[#This Row],[INVERSIONES FCI]]-BC98,Tabla5[[#This Row],[INVERSIONES FCI]])</f>
        <v>5489359428.7194614</v>
      </c>
      <c r="BD99" s="5">
        <f>IF($B98&lt;=Tabla5[[#This Row],[INVERSIONES FCI]],+Tabla5[[#This Row],[INVERSIONES FCI]]-BD98,Tabla5[[#This Row],[INVERSIONES FCI]])</f>
        <v>5489359428.7194614</v>
      </c>
      <c r="BE99" s="5">
        <f>IF($B98&lt;=Tabla5[[#This Row],[INVERSIONES FCI]],+Tabla5[[#This Row],[INVERSIONES FCI]]-BE98,Tabla5[[#This Row],[INVERSIONES FCI]])</f>
        <v>5489359428.7194614</v>
      </c>
      <c r="BF99" s="5">
        <f>IF($B98&lt;=Tabla5[[#This Row],[INVERSIONES FCI]],+Tabla5[[#This Row],[INVERSIONES FCI]]-BF98,Tabla5[[#This Row],[INVERSIONES FCI]])</f>
        <v>5489359428.7194614</v>
      </c>
      <c r="BG99" s="5">
        <f>IF($B98&lt;=Tabla5[[#This Row],[INVERSIONES FCI]],+Tabla5[[#This Row],[INVERSIONES FCI]]-BG98,Tabla5[[#This Row],[INVERSIONES FCI]])</f>
        <v>5489359428.7194614</v>
      </c>
      <c r="BH99" s="5">
        <f>IF($B98&lt;=Tabla5[[#This Row],[INVERSIONES FCI]],+Tabla5[[#This Row],[INVERSIONES FCI]]-BH98,Tabla5[[#This Row],[INVERSIONES FCI]])</f>
        <v>5489359428.7194614</v>
      </c>
      <c r="BI99" s="5">
        <f>IF($B98&lt;=Tabla5[[#This Row],[INVERSIONES FCI]],+Tabla5[[#This Row],[INVERSIONES FCI]]-BI98,Tabla5[[#This Row],[INVERSIONES FCI]])</f>
        <v>5489359428.7194614</v>
      </c>
      <c r="BJ99" s="5">
        <f>IF($B98&lt;=Tabla5[[#This Row],[INVERSIONES FCI]],+Tabla5[[#This Row],[INVERSIONES FCI]]-BJ98,Tabla5[[#This Row],[INVERSIONES FCI]])</f>
        <v>5489359428.7194614</v>
      </c>
      <c r="BK99" s="5">
        <f>IF($B98&lt;=Tabla5[[#This Row],[INVERSIONES FCI]],+Tabla5[[#This Row],[INVERSIONES FCI]]-BK98,Tabla5[[#This Row],[INVERSIONES FCI]])</f>
        <v>5489359428.7194614</v>
      </c>
      <c r="BL99" s="5">
        <f>IF($B98&lt;=Tabla5[[#This Row],[INVERSIONES FCI]],+Tabla5[[#This Row],[INVERSIONES FCI]]-BL98,Tabla5[[#This Row],[INVERSIONES FCI]])</f>
        <v>5489359428.7194614</v>
      </c>
      <c r="BM99" s="5">
        <f>IF($B98&lt;=Tabla5[[#This Row],[INVERSIONES FCI]],+Tabla5[[#This Row],[INVERSIONES FCI]]-BM98,Tabla5[[#This Row],[INVERSIONES FCI]])</f>
        <v>5489359428.7194614</v>
      </c>
      <c r="BN99" s="5">
        <f>IF($B98&lt;=Tabla5[[#This Row],[INVERSIONES FCI]],+Tabla5[[#This Row],[INVERSIONES FCI]]-BN98,Tabla5[[#This Row],[INVERSIONES FCI]])</f>
        <v>5489359428.7194614</v>
      </c>
      <c r="BO99" s="5">
        <f>IF($B98&lt;=Tabla5[[#This Row],[INVERSIONES FCI]],+Tabla5[[#This Row],[INVERSIONES FCI]]-BO98,Tabla5[[#This Row],[INVERSIONES FCI]])</f>
        <v>5489359428.7194614</v>
      </c>
      <c r="BP99" s="5">
        <f>IF($B98&lt;=Tabla5[[#This Row],[INVERSIONES FCI]],+Tabla5[[#This Row],[INVERSIONES FCI]]-BP98,Tabla5[[#This Row],[INVERSIONES FCI]])</f>
        <v>5489359428.7194614</v>
      </c>
      <c r="BQ99" s="5">
        <f>IF($B98&lt;=Tabla5[[#This Row],[INVERSIONES FCI]],+Tabla5[[#This Row],[INVERSIONES FCI]]-BQ98,Tabla5[[#This Row],[INVERSIONES FCI]])</f>
        <v>5489359428.7194614</v>
      </c>
      <c r="BR99" s="5">
        <f>IF($B98&lt;=Tabla5[[#This Row],[INVERSIONES FCI]],+Tabla5[[#This Row],[INVERSIONES FCI]]-BR98,Tabla5[[#This Row],[INVERSIONES FCI]])</f>
        <v>5489359428.7194614</v>
      </c>
      <c r="BS99" s="5">
        <f>IF($B98&lt;=Tabla5[[#This Row],[INVERSIONES FCI]],+Tabla5[[#This Row],[INVERSIONES FCI]]-BS98,Tabla5[[#This Row],[INVERSIONES FCI]])</f>
        <v>5489359428.7194614</v>
      </c>
      <c r="BT99" s="5">
        <f>IF($B98&lt;=Tabla5[[#This Row],[INVERSIONES FCI]],+Tabla5[[#This Row],[INVERSIONES FCI]]-BT98,Tabla5[[#This Row],[INVERSIONES FCI]])</f>
        <v>5489359428.7194614</v>
      </c>
      <c r="BU99" s="5">
        <f>IF($B98&lt;=Tabla5[[#This Row],[INVERSIONES FCI]],+Tabla5[[#This Row],[INVERSIONES FCI]]-BU98,Tabla5[[#This Row],[INVERSIONES FCI]])</f>
        <v>5489359428.7194614</v>
      </c>
      <c r="BV99" s="5">
        <f>IF($B98&lt;=Tabla5[[#This Row],[INVERSIONES FCI]],+Tabla5[[#This Row],[INVERSIONES FCI]]-BV98,Tabla5[[#This Row],[INVERSIONES FCI]])</f>
        <v>5489359428.7194614</v>
      </c>
      <c r="BW99" s="5">
        <f>IF($B98&lt;=Tabla5[[#This Row],[INVERSIONES FCI]],+Tabla5[[#This Row],[INVERSIONES FCI]]-BW98,Tabla5[[#This Row],[INVERSIONES FCI]])</f>
        <v>5489359428.7194614</v>
      </c>
      <c r="BX99" s="5">
        <f>IF($B98&lt;=Tabla5[[#This Row],[INVERSIONES FCI]],+Tabla5[[#This Row],[INVERSIONES FCI]]-BX98,Tabla5[[#This Row],[INVERSIONES FCI]])</f>
        <v>5489359428.7194614</v>
      </c>
      <c r="BY99" s="5">
        <f>IF($B98&lt;=Tabla5[[#This Row],[INVERSIONES FCI]],+Tabla5[[#This Row],[INVERSIONES FCI]]-BY98,Tabla5[[#This Row],[INVERSIONES FCI]])</f>
        <v>5489359428.7194614</v>
      </c>
      <c r="BZ99" s="5">
        <f>IF($B98&lt;=Tabla5[[#This Row],[INVERSIONES FCI]],+Tabla5[[#This Row],[INVERSIONES FCI]]-BZ98,Tabla5[[#This Row],[INVERSIONES FCI]])</f>
        <v>5489359428.7194614</v>
      </c>
      <c r="CA99" s="5">
        <f>IF($B98&lt;=Tabla5[[#This Row],[INVERSIONES FCI]],+Tabla5[[#This Row],[INVERSIONES FCI]]-CA98,Tabla5[[#This Row],[INVERSIONES FCI]])</f>
        <v>5489359428.7194614</v>
      </c>
      <c r="CB99" s="5">
        <f>IF($B98&lt;=Tabla5[[#This Row],[INVERSIONES FCI]],+Tabla5[[#This Row],[INVERSIONES FCI]]-CB98,Tabla5[[#This Row],[INVERSIONES FCI]])</f>
        <v>5489359428.7194614</v>
      </c>
      <c r="CC99" s="5">
        <f>IF($B98&lt;=Tabla5[[#This Row],[INVERSIONES FCI]],+Tabla5[[#This Row],[INVERSIONES FCI]]-CC98,Tabla5[[#This Row],[INVERSIONES FCI]])</f>
        <v>5489359428.7194614</v>
      </c>
      <c r="CD99" s="5">
        <f>IF($B98&lt;=Tabla5[[#This Row],[INVERSIONES FCI]],+Tabla5[[#This Row],[INVERSIONES FCI]]-CD98,Tabla5[[#This Row],[INVERSIONES FCI]])</f>
        <v>5489359428.7194614</v>
      </c>
      <c r="CE99" s="5">
        <f>IF($B98&lt;=Tabla5[[#This Row],[INVERSIONES FCI]],+Tabla5[[#This Row],[INVERSIONES FCI]]-CE98,Tabla5[[#This Row],[INVERSIONES FCI]])</f>
        <v>5489359428.7194614</v>
      </c>
      <c r="CF99" s="5">
        <f>IF($B98&lt;=Tabla5[[#This Row],[INVERSIONES FCI]],+Tabla5[[#This Row],[INVERSIONES FCI]]-CF98,Tabla5[[#This Row],[INVERSIONES FCI]])</f>
        <v>5489359428.7194614</v>
      </c>
      <c r="CG99" s="5">
        <f>IF($B98&lt;=Tabla5[[#This Row],[INVERSIONES FCI]],+Tabla5[[#This Row],[INVERSIONES FCI]]-CG98,Tabla5[[#This Row],[INVERSIONES FCI]])</f>
        <v>5489359428.7194614</v>
      </c>
      <c r="CH99" s="5">
        <f>IF($B98&lt;=Tabla5[[#This Row],[INVERSIONES FCI]],+Tabla5[[#This Row],[INVERSIONES FCI]]-CH98,Tabla5[[#This Row],[INVERSIONES FCI]])</f>
        <v>5489359428.7194614</v>
      </c>
      <c r="CI99" s="5">
        <f>IF($B98&lt;=Tabla5[[#This Row],[INVERSIONES FCI]],+Tabla5[[#This Row],[INVERSIONES FCI]]-CI98,Tabla5[[#This Row],[INVERSIONES FCI]])</f>
        <v>5489359428.7194614</v>
      </c>
      <c r="CJ99" s="5">
        <f>IF($B98&lt;=Tabla5[[#This Row],[INVERSIONES FCI]],+Tabla5[[#This Row],[INVERSIONES FCI]]-CJ98,Tabla5[[#This Row],[INVERSIONES FCI]])</f>
        <v>5489359428.7194614</v>
      </c>
      <c r="CK99" s="5">
        <f>IF($B98&lt;=Tabla5[[#This Row],[INVERSIONES FCI]],+Tabla5[[#This Row],[INVERSIONES FCI]]-CK98,Tabla5[[#This Row],[INVERSIONES FCI]])</f>
        <v>5489359428.7194614</v>
      </c>
      <c r="CL99" s="5">
        <f>IF($B98&lt;=Tabla5[[#This Row],[INVERSIONES FCI]],+Tabla5[[#This Row],[INVERSIONES FCI]]-CL98,Tabla5[[#This Row],[INVERSIONES FCI]])</f>
        <v>5489359428.7194614</v>
      </c>
      <c r="CM99" s="5">
        <f>IF($B98&lt;=Tabla5[[#This Row],[INVERSIONES FCI]],+Tabla5[[#This Row],[INVERSIONES FCI]]-CM98,Tabla5[[#This Row],[INVERSIONES FCI]])</f>
        <v>5489359428.7194614</v>
      </c>
      <c r="CN99" s="5">
        <f>IF($B98&lt;=Tabla5[[#This Row],[INVERSIONES FCI]],+Tabla5[[#This Row],[INVERSIONES FCI]]-CN98,Tabla5[[#This Row],[INVERSIONES FCI]])</f>
        <v>5489359428.7194614</v>
      </c>
      <c r="CO99" s="5">
        <f>IF($B98&lt;=Tabla5[[#This Row],[INVERSIONES FCI]],+Tabla5[[#This Row],[INVERSIONES FCI]]-CO98,Tabla5[[#This Row],[INVERSIONES FCI]])</f>
        <v>5489359428.7194614</v>
      </c>
      <c r="CP99" s="5">
        <f>IF($B98&lt;=Tabla5[[#This Row],[INVERSIONES FCI]],+Tabla5[[#This Row],[INVERSIONES FCI]]-CP98,Tabla5[[#This Row],[INVERSIONES FCI]])</f>
        <v>5489359428.7194614</v>
      </c>
      <c r="CQ99" s="5">
        <f>IF($B98&lt;=Tabla5[[#This Row],[INVERSIONES FCI]],+Tabla5[[#This Row],[INVERSIONES FCI]]-CQ98,Tabla5[[#This Row],[INVERSIONES FCI]])</f>
        <v>5489359428.7194614</v>
      </c>
      <c r="CR99" s="5">
        <f>IF($B98&lt;=Tabla5[[#This Row],[INVERSIONES FCI]],+Tabla5[[#This Row],[INVERSIONES FCI]]-CR98,Tabla5[[#This Row],[INVERSIONES FCI]])</f>
        <v>5489359428.7194614</v>
      </c>
      <c r="CS99" s="5">
        <f>IF($B98&lt;=Tabla5[[#This Row],[INVERSIONES FCI]],+Tabla5[[#This Row],[INVERSIONES FCI]]-CS98,Tabla5[[#This Row],[INVERSIONES FCI]])</f>
        <v>5489359428.7194614</v>
      </c>
      <c r="CT99" s="5">
        <f>IF($B98&lt;=Tabla5[[#This Row],[INVERSIONES FCI]],+Tabla5[[#This Row],[INVERSIONES FCI]]-CT98,Tabla5[[#This Row],[INVERSIONES FCI]])</f>
        <v>5489359428.7194614</v>
      </c>
      <c r="CU99" s="5">
        <f>IF($B98&lt;=Tabla5[[#This Row],[INVERSIONES FCI]],+Tabla5[[#This Row],[INVERSIONES FCI]]-CU98,Tabla5[[#This Row],[INVERSIONES FCI]])</f>
        <v>5489359428.7194614</v>
      </c>
      <c r="CV99" s="5" cm="1">
        <f t="array" ref="CV99">IF(Tabla5[[#This Row],[FCI]]=0,0,_xlfn.XLOOKUP(TRUE,$B99:CU99&gt;0,$B99:CU99,"",0,-1))</f>
        <v>5489359428.7194614</v>
      </c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</row>
    <row r="100" spans="1:121" ht="14.4">
      <c r="A100" s="12" t="s">
        <v>99</v>
      </c>
      <c r="B100" s="5">
        <f>HLOOKUP($A100,ESCENARIO[#All],7,FALSE)</f>
        <v>7134360626.0979958</v>
      </c>
      <c r="C100" s="5">
        <f>IF($B99&lt;=Tabla5[[#This Row],[INVERSIONES FCI]],+Tabla5[[#This Row],[INVERSIONES FCI]]-C99,Tabla5[[#This Row],[INVERSIONES FCI]])</f>
        <v>1645001197.3785343</v>
      </c>
      <c r="D100" s="5">
        <f>IF($B99&lt;=Tabla5[[#This Row],[INVERSIONES FCI]],+Tabla5[[#This Row],[INVERSIONES FCI]]-D99,Tabla5[[#This Row],[INVERSIONES FCI]])</f>
        <v>1645001197.3785343</v>
      </c>
      <c r="E100" s="5">
        <f>IF($B99&lt;=Tabla5[[#This Row],[INVERSIONES FCI]],+Tabla5[[#This Row],[INVERSIONES FCI]]-E99,Tabla5[[#This Row],[INVERSIONES FCI]])</f>
        <v>1645001197.3785343</v>
      </c>
      <c r="F100" s="5">
        <f>IF($B99&lt;=Tabla5[[#This Row],[INVERSIONES FCI]],+Tabla5[[#This Row],[INVERSIONES FCI]]-F99,Tabla5[[#This Row],[INVERSIONES FCI]])</f>
        <v>1645001197.3785343</v>
      </c>
      <c r="G100" s="5">
        <f>IF($B99&lt;=Tabla5[[#This Row],[INVERSIONES FCI]],+Tabla5[[#This Row],[INVERSIONES FCI]]-G99,Tabla5[[#This Row],[INVERSIONES FCI]])</f>
        <v>1645001197.3785343</v>
      </c>
      <c r="H100" s="5">
        <f>IF($B99&lt;=Tabla5[[#This Row],[INVERSIONES FCI]],+Tabla5[[#This Row],[INVERSIONES FCI]]-H99,Tabla5[[#This Row],[INVERSIONES FCI]])</f>
        <v>1645001197.3785343</v>
      </c>
      <c r="I100" s="5">
        <f>IF($B99&lt;=Tabla5[[#This Row],[INVERSIONES FCI]],+Tabla5[[#This Row],[INVERSIONES FCI]]-I99,Tabla5[[#This Row],[INVERSIONES FCI]])</f>
        <v>1645001197.3785343</v>
      </c>
      <c r="J100" s="5">
        <f>IF($B99&lt;=Tabla5[[#This Row],[INVERSIONES FCI]],+Tabla5[[#This Row],[INVERSIONES FCI]]-J99,Tabla5[[#This Row],[INVERSIONES FCI]])</f>
        <v>1645001197.3785343</v>
      </c>
      <c r="K100" s="5">
        <f>IF($B99&lt;=Tabla5[[#This Row],[INVERSIONES FCI]],+Tabla5[[#This Row],[INVERSIONES FCI]]-K99,Tabla5[[#This Row],[INVERSIONES FCI]])</f>
        <v>1645001197.3785343</v>
      </c>
      <c r="L100" s="5">
        <f>IF($B99&lt;=Tabla5[[#This Row],[INVERSIONES FCI]],+Tabla5[[#This Row],[INVERSIONES FCI]]-L99,Tabla5[[#This Row],[INVERSIONES FCI]])</f>
        <v>1645001197.3785343</v>
      </c>
      <c r="M100" s="5">
        <f>IF($B99&lt;=Tabla5[[#This Row],[INVERSIONES FCI]],+Tabla5[[#This Row],[INVERSIONES FCI]]-M99,Tabla5[[#This Row],[INVERSIONES FCI]])</f>
        <v>1645001197.3785343</v>
      </c>
      <c r="N100" s="5">
        <f>IF($B99&lt;=Tabla5[[#This Row],[INVERSIONES FCI]],+Tabla5[[#This Row],[INVERSIONES FCI]]-N99,Tabla5[[#This Row],[INVERSIONES FCI]])</f>
        <v>1645001197.3785343</v>
      </c>
      <c r="O100" s="5">
        <f>IF($B99&lt;=Tabla5[[#This Row],[INVERSIONES FCI]],+Tabla5[[#This Row],[INVERSIONES FCI]]-O99,Tabla5[[#This Row],[INVERSIONES FCI]])</f>
        <v>1645001197.3785343</v>
      </c>
      <c r="P100" s="5">
        <f>IF($B99&lt;=Tabla5[[#This Row],[INVERSIONES FCI]],+Tabla5[[#This Row],[INVERSIONES FCI]]-P99,Tabla5[[#This Row],[INVERSIONES FCI]])</f>
        <v>1645001197.3785343</v>
      </c>
      <c r="Q100" s="5">
        <f>IF($B99&lt;=Tabla5[[#This Row],[INVERSIONES FCI]],+Tabla5[[#This Row],[INVERSIONES FCI]]-Q99,Tabla5[[#This Row],[INVERSIONES FCI]])</f>
        <v>1645001197.3785343</v>
      </c>
      <c r="R100" s="5">
        <f>IF($B99&lt;=Tabla5[[#This Row],[INVERSIONES FCI]],+Tabla5[[#This Row],[INVERSIONES FCI]]-R99,Tabla5[[#This Row],[INVERSIONES FCI]])</f>
        <v>1645001197.3785343</v>
      </c>
      <c r="S100" s="5">
        <f>IF($B99&lt;=Tabla5[[#This Row],[INVERSIONES FCI]],+Tabla5[[#This Row],[INVERSIONES FCI]]-S99,Tabla5[[#This Row],[INVERSIONES FCI]])</f>
        <v>1645001197.3785343</v>
      </c>
      <c r="T100" s="5">
        <f>IF($B99&lt;=Tabla5[[#This Row],[INVERSIONES FCI]],+Tabla5[[#This Row],[INVERSIONES FCI]]-T99,Tabla5[[#This Row],[INVERSIONES FCI]])</f>
        <v>1645001197.3785343</v>
      </c>
      <c r="U100" s="5">
        <f>IF($B99&lt;=Tabla5[[#This Row],[INVERSIONES FCI]],+Tabla5[[#This Row],[INVERSIONES FCI]]-U99,Tabla5[[#This Row],[INVERSIONES FCI]])</f>
        <v>1645001197.3785343</v>
      </c>
      <c r="V100" s="5">
        <f>IF($B99&lt;=Tabla5[[#This Row],[INVERSIONES FCI]],+Tabla5[[#This Row],[INVERSIONES FCI]]-V99,Tabla5[[#This Row],[INVERSIONES FCI]])</f>
        <v>1645001197.3785343</v>
      </c>
      <c r="W100" s="5">
        <f>IF($B99&lt;=Tabla5[[#This Row],[INVERSIONES FCI]],+Tabla5[[#This Row],[INVERSIONES FCI]]-W99,Tabla5[[#This Row],[INVERSIONES FCI]])</f>
        <v>1645001197.3785343</v>
      </c>
      <c r="X100" s="5">
        <f>IF($B99&lt;=Tabla5[[#This Row],[INVERSIONES FCI]],+Tabla5[[#This Row],[INVERSIONES FCI]]-X99,Tabla5[[#This Row],[INVERSIONES FCI]])</f>
        <v>1645001197.3785343</v>
      </c>
      <c r="Y100" s="5">
        <f>IF($B99&lt;=Tabla5[[#This Row],[INVERSIONES FCI]],+Tabla5[[#This Row],[INVERSIONES FCI]]-Y99,Tabla5[[#This Row],[INVERSIONES FCI]])</f>
        <v>1645001197.3785343</v>
      </c>
      <c r="Z100" s="5">
        <f>IF($B99&lt;=Tabla5[[#This Row],[INVERSIONES FCI]],+Tabla5[[#This Row],[INVERSIONES FCI]]-Z99,Tabla5[[#This Row],[INVERSIONES FCI]])</f>
        <v>1645001197.3785343</v>
      </c>
      <c r="AA100" s="5">
        <f>IF($B99&lt;=Tabla5[[#This Row],[INVERSIONES FCI]],+Tabla5[[#This Row],[INVERSIONES FCI]]-AA99,Tabla5[[#This Row],[INVERSIONES FCI]])</f>
        <v>1645001197.3785343</v>
      </c>
      <c r="AB100" s="5">
        <f>IF($B99&lt;=Tabla5[[#This Row],[INVERSIONES FCI]],+Tabla5[[#This Row],[INVERSIONES FCI]]-AB99,Tabla5[[#This Row],[INVERSIONES FCI]])</f>
        <v>1645001197.3785343</v>
      </c>
      <c r="AC100" s="5">
        <f>IF($B99&lt;=Tabla5[[#This Row],[INVERSIONES FCI]],+Tabla5[[#This Row],[INVERSIONES FCI]]-AC99,Tabla5[[#This Row],[INVERSIONES FCI]])</f>
        <v>1645001197.3785343</v>
      </c>
      <c r="AD100" s="5">
        <f>IF($B99&lt;=Tabla5[[#This Row],[INVERSIONES FCI]],+Tabla5[[#This Row],[INVERSIONES FCI]]-AD99,Tabla5[[#This Row],[INVERSIONES FCI]])</f>
        <v>1645001197.3785343</v>
      </c>
      <c r="AE100" s="5">
        <f>IF($B99&lt;=Tabla5[[#This Row],[INVERSIONES FCI]],+Tabla5[[#This Row],[INVERSIONES FCI]]-AE99,Tabla5[[#This Row],[INVERSIONES FCI]])</f>
        <v>1645001197.3785343</v>
      </c>
      <c r="AF100" s="5">
        <f>IF($B99&lt;=Tabla5[[#This Row],[INVERSIONES FCI]],+Tabla5[[#This Row],[INVERSIONES FCI]]-AF99,Tabla5[[#This Row],[INVERSIONES FCI]])</f>
        <v>1645001197.3785343</v>
      </c>
      <c r="AG100" s="5">
        <f>IF($B99&lt;=Tabla5[[#This Row],[INVERSIONES FCI]],+Tabla5[[#This Row],[INVERSIONES FCI]]-AG99,Tabla5[[#This Row],[INVERSIONES FCI]])</f>
        <v>1645001197.3785343</v>
      </c>
      <c r="AH100" s="5">
        <f>IF($B99&lt;=Tabla5[[#This Row],[INVERSIONES FCI]],+Tabla5[[#This Row],[INVERSIONES FCI]]-AH99,Tabla5[[#This Row],[INVERSIONES FCI]])</f>
        <v>1645001197.3785343</v>
      </c>
      <c r="AI100" s="5">
        <f>IF($B99&lt;=Tabla5[[#This Row],[INVERSIONES FCI]],+Tabla5[[#This Row],[INVERSIONES FCI]]-AI99,Tabla5[[#This Row],[INVERSIONES FCI]])</f>
        <v>1645001197.3785343</v>
      </c>
      <c r="AJ100" s="5">
        <f>IF($B99&lt;=Tabla5[[#This Row],[INVERSIONES FCI]],+Tabla5[[#This Row],[INVERSIONES FCI]]-AJ99,Tabla5[[#This Row],[INVERSIONES FCI]])</f>
        <v>1645001197.3785343</v>
      </c>
      <c r="AK100" s="5">
        <f>IF($B99&lt;=Tabla5[[#This Row],[INVERSIONES FCI]],+Tabla5[[#This Row],[INVERSIONES FCI]]-AK99,Tabla5[[#This Row],[INVERSIONES FCI]])</f>
        <v>1645001197.3785343</v>
      </c>
      <c r="AL100" s="5">
        <f>IF($B99&lt;=Tabla5[[#This Row],[INVERSIONES FCI]],+Tabla5[[#This Row],[INVERSIONES FCI]]-AL99,Tabla5[[#This Row],[INVERSIONES FCI]])</f>
        <v>1645001197.3785343</v>
      </c>
      <c r="AM100" s="5">
        <f>IF($B99&lt;=Tabla5[[#This Row],[INVERSIONES FCI]],+Tabla5[[#This Row],[INVERSIONES FCI]]-AM99,Tabla5[[#This Row],[INVERSIONES FCI]])</f>
        <v>1645001197.3785343</v>
      </c>
      <c r="AN100" s="5">
        <f>IF($B99&lt;=Tabla5[[#This Row],[INVERSIONES FCI]],+Tabla5[[#This Row],[INVERSIONES FCI]]-AN99,Tabla5[[#This Row],[INVERSIONES FCI]])</f>
        <v>1645001197.3785343</v>
      </c>
      <c r="AO100" s="5">
        <f>IF($B99&lt;=Tabla5[[#This Row],[INVERSIONES FCI]],+Tabla5[[#This Row],[INVERSIONES FCI]]-AO99,Tabla5[[#This Row],[INVERSIONES FCI]])</f>
        <v>1645001197.3785343</v>
      </c>
      <c r="AP100" s="5">
        <f>IF($B99&lt;=Tabla5[[#This Row],[INVERSIONES FCI]],+Tabla5[[#This Row],[INVERSIONES FCI]]-AP99,Tabla5[[#This Row],[INVERSIONES FCI]])</f>
        <v>1645001197.3785343</v>
      </c>
      <c r="AQ100" s="5">
        <f>IF($B99&lt;=Tabla5[[#This Row],[INVERSIONES FCI]],+Tabla5[[#This Row],[INVERSIONES FCI]]-AQ99,Tabla5[[#This Row],[INVERSIONES FCI]])</f>
        <v>1645001197.3785343</v>
      </c>
      <c r="AR100" s="5">
        <f>IF($B99&lt;=Tabla5[[#This Row],[INVERSIONES FCI]],+Tabla5[[#This Row],[INVERSIONES FCI]]-AR99,Tabla5[[#This Row],[INVERSIONES FCI]])</f>
        <v>1645001197.3785343</v>
      </c>
      <c r="AS100" s="5">
        <f>IF($B99&lt;=Tabla5[[#This Row],[INVERSIONES FCI]],+Tabla5[[#This Row],[INVERSIONES FCI]]-AS99,Tabla5[[#This Row],[INVERSIONES FCI]])</f>
        <v>1645001197.3785343</v>
      </c>
      <c r="AT100" s="5">
        <f>IF($B99&lt;=Tabla5[[#This Row],[INVERSIONES FCI]],+Tabla5[[#This Row],[INVERSIONES FCI]]-AT99,Tabla5[[#This Row],[INVERSIONES FCI]])</f>
        <v>1645001197.3785343</v>
      </c>
      <c r="AU100" s="5">
        <f>IF($B99&lt;=Tabla5[[#This Row],[INVERSIONES FCI]],+Tabla5[[#This Row],[INVERSIONES FCI]]-AU99,Tabla5[[#This Row],[INVERSIONES FCI]])</f>
        <v>1645001197.3785343</v>
      </c>
      <c r="AV100" s="5">
        <f>IF($B99&lt;=Tabla5[[#This Row],[INVERSIONES FCI]],+Tabla5[[#This Row],[INVERSIONES FCI]]-AV99,Tabla5[[#This Row],[INVERSIONES FCI]])</f>
        <v>1645001197.3785343</v>
      </c>
      <c r="AW100" s="5">
        <f>IF($B99&lt;=Tabla5[[#This Row],[INVERSIONES FCI]],+Tabla5[[#This Row],[INVERSIONES FCI]]-AW99,Tabla5[[#This Row],[INVERSIONES FCI]])</f>
        <v>1645001197.3785343</v>
      </c>
      <c r="AX100" s="5">
        <f>IF($B99&lt;=Tabla5[[#This Row],[INVERSIONES FCI]],+Tabla5[[#This Row],[INVERSIONES FCI]]-AX99,Tabla5[[#This Row],[INVERSIONES FCI]])</f>
        <v>1645001197.3785343</v>
      </c>
      <c r="AY100" s="5">
        <f>IF($B99&lt;=Tabla5[[#This Row],[INVERSIONES FCI]],+Tabla5[[#This Row],[INVERSIONES FCI]]-AY99,Tabla5[[#This Row],[INVERSIONES FCI]])</f>
        <v>1645001197.3785343</v>
      </c>
      <c r="AZ100" s="5">
        <f>IF($B99&lt;=Tabla5[[#This Row],[INVERSIONES FCI]],+Tabla5[[#This Row],[INVERSIONES FCI]]-AZ99,Tabla5[[#This Row],[INVERSIONES FCI]])</f>
        <v>1645001197.3785343</v>
      </c>
      <c r="BA100" s="5">
        <f>IF($B99&lt;=Tabla5[[#This Row],[INVERSIONES FCI]],+Tabla5[[#This Row],[INVERSIONES FCI]]-BA99,Tabla5[[#This Row],[INVERSIONES FCI]])</f>
        <v>1645001197.3785343</v>
      </c>
      <c r="BB100" s="5">
        <f>IF($B99&lt;=Tabla5[[#This Row],[INVERSIONES FCI]],+Tabla5[[#This Row],[INVERSIONES FCI]]-BB99,Tabla5[[#This Row],[INVERSIONES FCI]])</f>
        <v>1645001197.3785343</v>
      </c>
      <c r="BC100" s="5">
        <f>IF($B99&lt;=Tabla5[[#This Row],[INVERSIONES FCI]],+Tabla5[[#This Row],[INVERSIONES FCI]]-BC99,Tabla5[[#This Row],[INVERSIONES FCI]])</f>
        <v>1645001197.3785343</v>
      </c>
      <c r="BD100" s="5">
        <f>IF($B99&lt;=Tabla5[[#This Row],[INVERSIONES FCI]],+Tabla5[[#This Row],[INVERSIONES FCI]]-BD99,Tabla5[[#This Row],[INVERSIONES FCI]])</f>
        <v>1645001197.3785343</v>
      </c>
      <c r="BE100" s="5">
        <f>IF($B99&lt;=Tabla5[[#This Row],[INVERSIONES FCI]],+Tabla5[[#This Row],[INVERSIONES FCI]]-BE99,Tabla5[[#This Row],[INVERSIONES FCI]])</f>
        <v>1645001197.3785343</v>
      </c>
      <c r="BF100" s="5">
        <f>IF($B99&lt;=Tabla5[[#This Row],[INVERSIONES FCI]],+Tabla5[[#This Row],[INVERSIONES FCI]]-BF99,Tabla5[[#This Row],[INVERSIONES FCI]])</f>
        <v>1645001197.3785343</v>
      </c>
      <c r="BG100" s="5">
        <f>IF($B99&lt;=Tabla5[[#This Row],[INVERSIONES FCI]],+Tabla5[[#This Row],[INVERSIONES FCI]]-BG99,Tabla5[[#This Row],[INVERSIONES FCI]])</f>
        <v>1645001197.3785343</v>
      </c>
      <c r="BH100" s="5">
        <f>IF($B99&lt;=Tabla5[[#This Row],[INVERSIONES FCI]],+Tabla5[[#This Row],[INVERSIONES FCI]]-BH99,Tabla5[[#This Row],[INVERSIONES FCI]])</f>
        <v>1645001197.3785343</v>
      </c>
      <c r="BI100" s="5">
        <f>IF($B99&lt;=Tabla5[[#This Row],[INVERSIONES FCI]],+Tabla5[[#This Row],[INVERSIONES FCI]]-BI99,Tabla5[[#This Row],[INVERSIONES FCI]])</f>
        <v>1645001197.3785343</v>
      </c>
      <c r="BJ100" s="5">
        <f>IF($B99&lt;=Tabla5[[#This Row],[INVERSIONES FCI]],+Tabla5[[#This Row],[INVERSIONES FCI]]-BJ99,Tabla5[[#This Row],[INVERSIONES FCI]])</f>
        <v>1645001197.3785343</v>
      </c>
      <c r="BK100" s="5">
        <f>IF($B99&lt;=Tabla5[[#This Row],[INVERSIONES FCI]],+Tabla5[[#This Row],[INVERSIONES FCI]]-BK99,Tabla5[[#This Row],[INVERSIONES FCI]])</f>
        <v>1645001197.3785343</v>
      </c>
      <c r="BL100" s="5">
        <f>IF($B99&lt;=Tabla5[[#This Row],[INVERSIONES FCI]],+Tabla5[[#This Row],[INVERSIONES FCI]]-BL99,Tabla5[[#This Row],[INVERSIONES FCI]])</f>
        <v>1645001197.3785343</v>
      </c>
      <c r="BM100" s="5">
        <f>IF($B99&lt;=Tabla5[[#This Row],[INVERSIONES FCI]],+Tabla5[[#This Row],[INVERSIONES FCI]]-BM99,Tabla5[[#This Row],[INVERSIONES FCI]])</f>
        <v>1645001197.3785343</v>
      </c>
      <c r="BN100" s="5">
        <f>IF($B99&lt;=Tabla5[[#This Row],[INVERSIONES FCI]],+Tabla5[[#This Row],[INVERSIONES FCI]]-BN99,Tabla5[[#This Row],[INVERSIONES FCI]])</f>
        <v>1645001197.3785343</v>
      </c>
      <c r="BO100" s="5">
        <f>IF($B99&lt;=Tabla5[[#This Row],[INVERSIONES FCI]],+Tabla5[[#This Row],[INVERSIONES FCI]]-BO99,Tabla5[[#This Row],[INVERSIONES FCI]])</f>
        <v>1645001197.3785343</v>
      </c>
      <c r="BP100" s="5">
        <f>IF($B99&lt;=Tabla5[[#This Row],[INVERSIONES FCI]],+Tabla5[[#This Row],[INVERSIONES FCI]]-BP99,Tabla5[[#This Row],[INVERSIONES FCI]])</f>
        <v>1645001197.3785343</v>
      </c>
      <c r="BQ100" s="5">
        <f>IF($B99&lt;=Tabla5[[#This Row],[INVERSIONES FCI]],+Tabla5[[#This Row],[INVERSIONES FCI]]-BQ99,Tabla5[[#This Row],[INVERSIONES FCI]])</f>
        <v>1645001197.3785343</v>
      </c>
      <c r="BR100" s="5">
        <f>IF($B99&lt;=Tabla5[[#This Row],[INVERSIONES FCI]],+Tabla5[[#This Row],[INVERSIONES FCI]]-BR99,Tabla5[[#This Row],[INVERSIONES FCI]])</f>
        <v>1645001197.3785343</v>
      </c>
      <c r="BS100" s="5">
        <f>IF($B99&lt;=Tabla5[[#This Row],[INVERSIONES FCI]],+Tabla5[[#This Row],[INVERSIONES FCI]]-BS99,Tabla5[[#This Row],[INVERSIONES FCI]])</f>
        <v>1645001197.3785343</v>
      </c>
      <c r="BT100" s="5">
        <f>IF($B99&lt;=Tabla5[[#This Row],[INVERSIONES FCI]],+Tabla5[[#This Row],[INVERSIONES FCI]]-BT99,Tabla5[[#This Row],[INVERSIONES FCI]])</f>
        <v>1645001197.3785343</v>
      </c>
      <c r="BU100" s="5">
        <f>IF($B99&lt;=Tabla5[[#This Row],[INVERSIONES FCI]],+Tabla5[[#This Row],[INVERSIONES FCI]]-BU99,Tabla5[[#This Row],[INVERSIONES FCI]])</f>
        <v>1645001197.3785343</v>
      </c>
      <c r="BV100" s="5">
        <f>IF($B99&lt;=Tabla5[[#This Row],[INVERSIONES FCI]],+Tabla5[[#This Row],[INVERSIONES FCI]]-BV99,Tabla5[[#This Row],[INVERSIONES FCI]])</f>
        <v>1645001197.3785343</v>
      </c>
      <c r="BW100" s="5">
        <f>IF($B99&lt;=Tabla5[[#This Row],[INVERSIONES FCI]],+Tabla5[[#This Row],[INVERSIONES FCI]]-BW99,Tabla5[[#This Row],[INVERSIONES FCI]])</f>
        <v>1645001197.3785343</v>
      </c>
      <c r="BX100" s="5">
        <f>IF($B99&lt;=Tabla5[[#This Row],[INVERSIONES FCI]],+Tabla5[[#This Row],[INVERSIONES FCI]]-BX99,Tabla5[[#This Row],[INVERSIONES FCI]])</f>
        <v>1645001197.3785343</v>
      </c>
      <c r="BY100" s="5">
        <f>IF($B99&lt;=Tabla5[[#This Row],[INVERSIONES FCI]],+Tabla5[[#This Row],[INVERSIONES FCI]]-BY99,Tabla5[[#This Row],[INVERSIONES FCI]])</f>
        <v>1645001197.3785343</v>
      </c>
      <c r="BZ100" s="5">
        <f>IF($B99&lt;=Tabla5[[#This Row],[INVERSIONES FCI]],+Tabla5[[#This Row],[INVERSIONES FCI]]-BZ99,Tabla5[[#This Row],[INVERSIONES FCI]])</f>
        <v>1645001197.3785343</v>
      </c>
      <c r="CA100" s="5">
        <f>IF($B99&lt;=Tabla5[[#This Row],[INVERSIONES FCI]],+Tabla5[[#This Row],[INVERSIONES FCI]]-CA99,Tabla5[[#This Row],[INVERSIONES FCI]])</f>
        <v>1645001197.3785343</v>
      </c>
      <c r="CB100" s="5">
        <f>IF($B99&lt;=Tabla5[[#This Row],[INVERSIONES FCI]],+Tabla5[[#This Row],[INVERSIONES FCI]]-CB99,Tabla5[[#This Row],[INVERSIONES FCI]])</f>
        <v>1645001197.3785343</v>
      </c>
      <c r="CC100" s="5">
        <f>IF($B99&lt;=Tabla5[[#This Row],[INVERSIONES FCI]],+Tabla5[[#This Row],[INVERSIONES FCI]]-CC99,Tabla5[[#This Row],[INVERSIONES FCI]])</f>
        <v>1645001197.3785343</v>
      </c>
      <c r="CD100" s="5">
        <f>IF($B99&lt;=Tabla5[[#This Row],[INVERSIONES FCI]],+Tabla5[[#This Row],[INVERSIONES FCI]]-CD99,Tabla5[[#This Row],[INVERSIONES FCI]])</f>
        <v>1645001197.3785343</v>
      </c>
      <c r="CE100" s="5">
        <f>IF($B99&lt;=Tabla5[[#This Row],[INVERSIONES FCI]],+Tabla5[[#This Row],[INVERSIONES FCI]]-CE99,Tabla5[[#This Row],[INVERSIONES FCI]])</f>
        <v>1645001197.3785343</v>
      </c>
      <c r="CF100" s="5">
        <f>IF($B99&lt;=Tabla5[[#This Row],[INVERSIONES FCI]],+Tabla5[[#This Row],[INVERSIONES FCI]]-CF99,Tabla5[[#This Row],[INVERSIONES FCI]])</f>
        <v>1645001197.3785343</v>
      </c>
      <c r="CG100" s="5">
        <f>IF($B99&lt;=Tabla5[[#This Row],[INVERSIONES FCI]],+Tabla5[[#This Row],[INVERSIONES FCI]]-CG99,Tabla5[[#This Row],[INVERSIONES FCI]])</f>
        <v>1645001197.3785343</v>
      </c>
      <c r="CH100" s="5">
        <f>IF($B99&lt;=Tabla5[[#This Row],[INVERSIONES FCI]],+Tabla5[[#This Row],[INVERSIONES FCI]]-CH99,Tabla5[[#This Row],[INVERSIONES FCI]])</f>
        <v>1645001197.3785343</v>
      </c>
      <c r="CI100" s="5">
        <f>IF($B99&lt;=Tabla5[[#This Row],[INVERSIONES FCI]],+Tabla5[[#This Row],[INVERSIONES FCI]]-CI99,Tabla5[[#This Row],[INVERSIONES FCI]])</f>
        <v>1645001197.3785343</v>
      </c>
      <c r="CJ100" s="5">
        <f>IF($B99&lt;=Tabla5[[#This Row],[INVERSIONES FCI]],+Tabla5[[#This Row],[INVERSIONES FCI]]-CJ99,Tabla5[[#This Row],[INVERSIONES FCI]])</f>
        <v>1645001197.3785343</v>
      </c>
      <c r="CK100" s="5">
        <f>IF($B99&lt;=Tabla5[[#This Row],[INVERSIONES FCI]],+Tabla5[[#This Row],[INVERSIONES FCI]]-CK99,Tabla5[[#This Row],[INVERSIONES FCI]])</f>
        <v>1645001197.3785343</v>
      </c>
      <c r="CL100" s="5">
        <f>IF($B99&lt;=Tabla5[[#This Row],[INVERSIONES FCI]],+Tabla5[[#This Row],[INVERSIONES FCI]]-CL99,Tabla5[[#This Row],[INVERSIONES FCI]])</f>
        <v>1645001197.3785343</v>
      </c>
      <c r="CM100" s="5">
        <f>IF($B99&lt;=Tabla5[[#This Row],[INVERSIONES FCI]],+Tabla5[[#This Row],[INVERSIONES FCI]]-CM99,Tabla5[[#This Row],[INVERSIONES FCI]])</f>
        <v>1645001197.3785343</v>
      </c>
      <c r="CN100" s="5">
        <f>IF($B99&lt;=Tabla5[[#This Row],[INVERSIONES FCI]],+Tabla5[[#This Row],[INVERSIONES FCI]]-CN99,Tabla5[[#This Row],[INVERSIONES FCI]])</f>
        <v>1645001197.3785343</v>
      </c>
      <c r="CO100" s="5">
        <f>IF($B99&lt;=Tabla5[[#This Row],[INVERSIONES FCI]],+Tabla5[[#This Row],[INVERSIONES FCI]]-CO99,Tabla5[[#This Row],[INVERSIONES FCI]])</f>
        <v>1645001197.3785343</v>
      </c>
      <c r="CP100" s="5">
        <f>IF($B99&lt;=Tabla5[[#This Row],[INVERSIONES FCI]],+Tabla5[[#This Row],[INVERSIONES FCI]]-CP99,Tabla5[[#This Row],[INVERSIONES FCI]])</f>
        <v>1645001197.3785343</v>
      </c>
      <c r="CQ100" s="5">
        <f>IF($B99&lt;=Tabla5[[#This Row],[INVERSIONES FCI]],+Tabla5[[#This Row],[INVERSIONES FCI]]-CQ99,Tabla5[[#This Row],[INVERSIONES FCI]])</f>
        <v>1645001197.3785343</v>
      </c>
      <c r="CR100" s="5">
        <f>IF($B99&lt;=Tabla5[[#This Row],[INVERSIONES FCI]],+Tabla5[[#This Row],[INVERSIONES FCI]]-CR99,Tabla5[[#This Row],[INVERSIONES FCI]])</f>
        <v>1645001197.3785343</v>
      </c>
      <c r="CS100" s="5">
        <f>IF($B99&lt;=Tabla5[[#This Row],[INVERSIONES FCI]],+Tabla5[[#This Row],[INVERSIONES FCI]]-CS99,Tabla5[[#This Row],[INVERSIONES FCI]])</f>
        <v>1645001197.3785343</v>
      </c>
      <c r="CT100" s="5">
        <f>IF($B99&lt;=Tabla5[[#This Row],[INVERSIONES FCI]],+Tabla5[[#This Row],[INVERSIONES FCI]]-CT99,Tabla5[[#This Row],[INVERSIONES FCI]])</f>
        <v>1645001197.3785343</v>
      </c>
      <c r="CU100" s="5">
        <f>IF($B99&lt;=Tabla5[[#This Row],[INVERSIONES FCI]],+Tabla5[[#This Row],[INVERSIONES FCI]]-CU99,Tabla5[[#This Row],[INVERSIONES FCI]])</f>
        <v>1645001197.3785343</v>
      </c>
      <c r="CV100" s="5">
        <f>IF($B99&lt;=Tabla5[[#This Row],[INVERSIONES FCI]],+Tabla5[[#This Row],[INVERSIONES FCI]]-CV99,Tabla5[[#This Row],[INVERSIONES FCI]])</f>
        <v>1645001197.3785343</v>
      </c>
      <c r="CW100" s="5" cm="1">
        <f t="array" ref="CW100">IF(Tabla5[[#This Row],[FCI]]=0,0,_xlfn.XLOOKUP(TRUE,$B100:CV100&gt;0,$B100:CV100,"",0,-1))</f>
        <v>1645001197.3785343</v>
      </c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</row>
    <row r="101" spans="1:121" ht="14.4">
      <c r="A101" s="12" t="s">
        <v>100</v>
      </c>
      <c r="B101" s="5">
        <f>HLOOKUP($A101,ESCENARIO[#All],7,FALSE)</f>
        <v>7134360626.0979958</v>
      </c>
      <c r="C101" s="5">
        <f>IF($B100&lt;=Tabla5[[#This Row],[INVERSIONES FCI]],+Tabla5[[#This Row],[INVERSIONES FCI]]-C100,Tabla5[[#This Row],[INVERSIONES FCI]])</f>
        <v>5489359428.7194614</v>
      </c>
      <c r="D101" s="5">
        <f>IF($B100&lt;=Tabla5[[#This Row],[INVERSIONES FCI]],+Tabla5[[#This Row],[INVERSIONES FCI]]-D100,Tabla5[[#This Row],[INVERSIONES FCI]])</f>
        <v>5489359428.7194614</v>
      </c>
      <c r="E101" s="5">
        <f>IF($B100&lt;=Tabla5[[#This Row],[INVERSIONES FCI]],+Tabla5[[#This Row],[INVERSIONES FCI]]-E100,Tabla5[[#This Row],[INVERSIONES FCI]])</f>
        <v>5489359428.7194614</v>
      </c>
      <c r="F101" s="5">
        <f>IF($B100&lt;=Tabla5[[#This Row],[INVERSIONES FCI]],+Tabla5[[#This Row],[INVERSIONES FCI]]-F100,Tabla5[[#This Row],[INVERSIONES FCI]])</f>
        <v>5489359428.7194614</v>
      </c>
      <c r="G101" s="5">
        <f>IF($B100&lt;=Tabla5[[#This Row],[INVERSIONES FCI]],+Tabla5[[#This Row],[INVERSIONES FCI]]-G100,Tabla5[[#This Row],[INVERSIONES FCI]])</f>
        <v>5489359428.7194614</v>
      </c>
      <c r="H101" s="5">
        <f>IF($B100&lt;=Tabla5[[#This Row],[INVERSIONES FCI]],+Tabla5[[#This Row],[INVERSIONES FCI]]-H100,Tabla5[[#This Row],[INVERSIONES FCI]])</f>
        <v>5489359428.7194614</v>
      </c>
      <c r="I101" s="5">
        <f>IF($B100&lt;=Tabla5[[#This Row],[INVERSIONES FCI]],+Tabla5[[#This Row],[INVERSIONES FCI]]-I100,Tabla5[[#This Row],[INVERSIONES FCI]])</f>
        <v>5489359428.7194614</v>
      </c>
      <c r="J101" s="5">
        <f>IF($B100&lt;=Tabla5[[#This Row],[INVERSIONES FCI]],+Tabla5[[#This Row],[INVERSIONES FCI]]-J100,Tabla5[[#This Row],[INVERSIONES FCI]])</f>
        <v>5489359428.7194614</v>
      </c>
      <c r="K101" s="5">
        <f>IF($B100&lt;=Tabla5[[#This Row],[INVERSIONES FCI]],+Tabla5[[#This Row],[INVERSIONES FCI]]-K100,Tabla5[[#This Row],[INVERSIONES FCI]])</f>
        <v>5489359428.7194614</v>
      </c>
      <c r="L101" s="5">
        <f>IF($B100&lt;=Tabla5[[#This Row],[INVERSIONES FCI]],+Tabla5[[#This Row],[INVERSIONES FCI]]-L100,Tabla5[[#This Row],[INVERSIONES FCI]])</f>
        <v>5489359428.7194614</v>
      </c>
      <c r="M101" s="5">
        <f>IF($B100&lt;=Tabla5[[#This Row],[INVERSIONES FCI]],+Tabla5[[#This Row],[INVERSIONES FCI]]-M100,Tabla5[[#This Row],[INVERSIONES FCI]])</f>
        <v>5489359428.7194614</v>
      </c>
      <c r="N101" s="5">
        <f>IF($B100&lt;=Tabla5[[#This Row],[INVERSIONES FCI]],+Tabla5[[#This Row],[INVERSIONES FCI]]-N100,Tabla5[[#This Row],[INVERSIONES FCI]])</f>
        <v>5489359428.7194614</v>
      </c>
      <c r="O101" s="5">
        <f>IF($B100&lt;=Tabla5[[#This Row],[INVERSIONES FCI]],+Tabla5[[#This Row],[INVERSIONES FCI]]-O100,Tabla5[[#This Row],[INVERSIONES FCI]])</f>
        <v>5489359428.7194614</v>
      </c>
      <c r="P101" s="5">
        <f>IF($B100&lt;=Tabla5[[#This Row],[INVERSIONES FCI]],+Tabla5[[#This Row],[INVERSIONES FCI]]-P100,Tabla5[[#This Row],[INVERSIONES FCI]])</f>
        <v>5489359428.7194614</v>
      </c>
      <c r="Q101" s="5">
        <f>IF($B100&lt;=Tabla5[[#This Row],[INVERSIONES FCI]],+Tabla5[[#This Row],[INVERSIONES FCI]]-Q100,Tabla5[[#This Row],[INVERSIONES FCI]])</f>
        <v>5489359428.7194614</v>
      </c>
      <c r="R101" s="5">
        <f>IF($B100&lt;=Tabla5[[#This Row],[INVERSIONES FCI]],+Tabla5[[#This Row],[INVERSIONES FCI]]-R100,Tabla5[[#This Row],[INVERSIONES FCI]])</f>
        <v>5489359428.7194614</v>
      </c>
      <c r="S101" s="5">
        <f>IF($B100&lt;=Tabla5[[#This Row],[INVERSIONES FCI]],+Tabla5[[#This Row],[INVERSIONES FCI]]-S100,Tabla5[[#This Row],[INVERSIONES FCI]])</f>
        <v>5489359428.7194614</v>
      </c>
      <c r="T101" s="5">
        <f>IF($B100&lt;=Tabla5[[#This Row],[INVERSIONES FCI]],+Tabla5[[#This Row],[INVERSIONES FCI]]-T100,Tabla5[[#This Row],[INVERSIONES FCI]])</f>
        <v>5489359428.7194614</v>
      </c>
      <c r="U101" s="5">
        <f>IF($B100&lt;=Tabla5[[#This Row],[INVERSIONES FCI]],+Tabla5[[#This Row],[INVERSIONES FCI]]-U100,Tabla5[[#This Row],[INVERSIONES FCI]])</f>
        <v>5489359428.7194614</v>
      </c>
      <c r="V101" s="5">
        <f>IF($B100&lt;=Tabla5[[#This Row],[INVERSIONES FCI]],+Tabla5[[#This Row],[INVERSIONES FCI]]-V100,Tabla5[[#This Row],[INVERSIONES FCI]])</f>
        <v>5489359428.7194614</v>
      </c>
      <c r="W101" s="5">
        <f>IF($B100&lt;=Tabla5[[#This Row],[INVERSIONES FCI]],+Tabla5[[#This Row],[INVERSIONES FCI]]-W100,Tabla5[[#This Row],[INVERSIONES FCI]])</f>
        <v>5489359428.7194614</v>
      </c>
      <c r="X101" s="5">
        <f>IF($B100&lt;=Tabla5[[#This Row],[INVERSIONES FCI]],+Tabla5[[#This Row],[INVERSIONES FCI]]-X100,Tabla5[[#This Row],[INVERSIONES FCI]])</f>
        <v>5489359428.7194614</v>
      </c>
      <c r="Y101" s="5">
        <f>IF($B100&lt;=Tabla5[[#This Row],[INVERSIONES FCI]],+Tabla5[[#This Row],[INVERSIONES FCI]]-Y100,Tabla5[[#This Row],[INVERSIONES FCI]])</f>
        <v>5489359428.7194614</v>
      </c>
      <c r="Z101" s="5">
        <f>IF($B100&lt;=Tabla5[[#This Row],[INVERSIONES FCI]],+Tabla5[[#This Row],[INVERSIONES FCI]]-Z100,Tabla5[[#This Row],[INVERSIONES FCI]])</f>
        <v>5489359428.7194614</v>
      </c>
      <c r="AA101" s="5">
        <f>IF($B100&lt;=Tabla5[[#This Row],[INVERSIONES FCI]],+Tabla5[[#This Row],[INVERSIONES FCI]]-AA100,Tabla5[[#This Row],[INVERSIONES FCI]])</f>
        <v>5489359428.7194614</v>
      </c>
      <c r="AB101" s="5">
        <f>IF($B100&lt;=Tabla5[[#This Row],[INVERSIONES FCI]],+Tabla5[[#This Row],[INVERSIONES FCI]]-AB100,Tabla5[[#This Row],[INVERSIONES FCI]])</f>
        <v>5489359428.7194614</v>
      </c>
      <c r="AC101" s="5">
        <f>IF($B100&lt;=Tabla5[[#This Row],[INVERSIONES FCI]],+Tabla5[[#This Row],[INVERSIONES FCI]]-AC100,Tabla5[[#This Row],[INVERSIONES FCI]])</f>
        <v>5489359428.7194614</v>
      </c>
      <c r="AD101" s="5">
        <f>IF($B100&lt;=Tabla5[[#This Row],[INVERSIONES FCI]],+Tabla5[[#This Row],[INVERSIONES FCI]]-AD100,Tabla5[[#This Row],[INVERSIONES FCI]])</f>
        <v>5489359428.7194614</v>
      </c>
      <c r="AE101" s="5">
        <f>IF($B100&lt;=Tabla5[[#This Row],[INVERSIONES FCI]],+Tabla5[[#This Row],[INVERSIONES FCI]]-AE100,Tabla5[[#This Row],[INVERSIONES FCI]])</f>
        <v>5489359428.7194614</v>
      </c>
      <c r="AF101" s="5">
        <f>IF($B100&lt;=Tabla5[[#This Row],[INVERSIONES FCI]],+Tabla5[[#This Row],[INVERSIONES FCI]]-AF100,Tabla5[[#This Row],[INVERSIONES FCI]])</f>
        <v>5489359428.7194614</v>
      </c>
      <c r="AG101" s="5">
        <f>IF($B100&lt;=Tabla5[[#This Row],[INVERSIONES FCI]],+Tabla5[[#This Row],[INVERSIONES FCI]]-AG100,Tabla5[[#This Row],[INVERSIONES FCI]])</f>
        <v>5489359428.7194614</v>
      </c>
      <c r="AH101" s="5">
        <f>IF($B100&lt;=Tabla5[[#This Row],[INVERSIONES FCI]],+Tabla5[[#This Row],[INVERSIONES FCI]]-AH100,Tabla5[[#This Row],[INVERSIONES FCI]])</f>
        <v>5489359428.7194614</v>
      </c>
      <c r="AI101" s="5">
        <f>IF($B100&lt;=Tabla5[[#This Row],[INVERSIONES FCI]],+Tabla5[[#This Row],[INVERSIONES FCI]]-AI100,Tabla5[[#This Row],[INVERSIONES FCI]])</f>
        <v>5489359428.7194614</v>
      </c>
      <c r="AJ101" s="5">
        <f>IF($B100&lt;=Tabla5[[#This Row],[INVERSIONES FCI]],+Tabla5[[#This Row],[INVERSIONES FCI]]-AJ100,Tabla5[[#This Row],[INVERSIONES FCI]])</f>
        <v>5489359428.7194614</v>
      </c>
      <c r="AK101" s="5">
        <f>IF($B100&lt;=Tabla5[[#This Row],[INVERSIONES FCI]],+Tabla5[[#This Row],[INVERSIONES FCI]]-AK100,Tabla5[[#This Row],[INVERSIONES FCI]])</f>
        <v>5489359428.7194614</v>
      </c>
      <c r="AL101" s="5">
        <f>IF($B100&lt;=Tabla5[[#This Row],[INVERSIONES FCI]],+Tabla5[[#This Row],[INVERSIONES FCI]]-AL100,Tabla5[[#This Row],[INVERSIONES FCI]])</f>
        <v>5489359428.7194614</v>
      </c>
      <c r="AM101" s="5">
        <f>IF($B100&lt;=Tabla5[[#This Row],[INVERSIONES FCI]],+Tabla5[[#This Row],[INVERSIONES FCI]]-AM100,Tabla5[[#This Row],[INVERSIONES FCI]])</f>
        <v>5489359428.7194614</v>
      </c>
      <c r="AN101" s="5">
        <f>IF($B100&lt;=Tabla5[[#This Row],[INVERSIONES FCI]],+Tabla5[[#This Row],[INVERSIONES FCI]]-AN100,Tabla5[[#This Row],[INVERSIONES FCI]])</f>
        <v>5489359428.7194614</v>
      </c>
      <c r="AO101" s="5">
        <f>IF($B100&lt;=Tabla5[[#This Row],[INVERSIONES FCI]],+Tabla5[[#This Row],[INVERSIONES FCI]]-AO100,Tabla5[[#This Row],[INVERSIONES FCI]])</f>
        <v>5489359428.7194614</v>
      </c>
      <c r="AP101" s="5">
        <f>IF($B100&lt;=Tabla5[[#This Row],[INVERSIONES FCI]],+Tabla5[[#This Row],[INVERSIONES FCI]]-AP100,Tabla5[[#This Row],[INVERSIONES FCI]])</f>
        <v>5489359428.7194614</v>
      </c>
      <c r="AQ101" s="5">
        <f>IF($B100&lt;=Tabla5[[#This Row],[INVERSIONES FCI]],+Tabla5[[#This Row],[INVERSIONES FCI]]-AQ100,Tabla5[[#This Row],[INVERSIONES FCI]])</f>
        <v>5489359428.7194614</v>
      </c>
      <c r="AR101" s="5">
        <f>IF($B100&lt;=Tabla5[[#This Row],[INVERSIONES FCI]],+Tabla5[[#This Row],[INVERSIONES FCI]]-AR100,Tabla5[[#This Row],[INVERSIONES FCI]])</f>
        <v>5489359428.7194614</v>
      </c>
      <c r="AS101" s="5">
        <f>IF($B100&lt;=Tabla5[[#This Row],[INVERSIONES FCI]],+Tabla5[[#This Row],[INVERSIONES FCI]]-AS100,Tabla5[[#This Row],[INVERSIONES FCI]])</f>
        <v>5489359428.7194614</v>
      </c>
      <c r="AT101" s="5">
        <f>IF($B100&lt;=Tabla5[[#This Row],[INVERSIONES FCI]],+Tabla5[[#This Row],[INVERSIONES FCI]]-AT100,Tabla5[[#This Row],[INVERSIONES FCI]])</f>
        <v>5489359428.7194614</v>
      </c>
      <c r="AU101" s="5">
        <f>IF($B100&lt;=Tabla5[[#This Row],[INVERSIONES FCI]],+Tabla5[[#This Row],[INVERSIONES FCI]]-AU100,Tabla5[[#This Row],[INVERSIONES FCI]])</f>
        <v>5489359428.7194614</v>
      </c>
      <c r="AV101" s="5">
        <f>IF($B100&lt;=Tabla5[[#This Row],[INVERSIONES FCI]],+Tabla5[[#This Row],[INVERSIONES FCI]]-AV100,Tabla5[[#This Row],[INVERSIONES FCI]])</f>
        <v>5489359428.7194614</v>
      </c>
      <c r="AW101" s="5">
        <f>IF($B100&lt;=Tabla5[[#This Row],[INVERSIONES FCI]],+Tabla5[[#This Row],[INVERSIONES FCI]]-AW100,Tabla5[[#This Row],[INVERSIONES FCI]])</f>
        <v>5489359428.7194614</v>
      </c>
      <c r="AX101" s="5">
        <f>IF($B100&lt;=Tabla5[[#This Row],[INVERSIONES FCI]],+Tabla5[[#This Row],[INVERSIONES FCI]]-AX100,Tabla5[[#This Row],[INVERSIONES FCI]])</f>
        <v>5489359428.7194614</v>
      </c>
      <c r="AY101" s="5">
        <f>IF($B100&lt;=Tabla5[[#This Row],[INVERSIONES FCI]],+Tabla5[[#This Row],[INVERSIONES FCI]]-AY100,Tabla5[[#This Row],[INVERSIONES FCI]])</f>
        <v>5489359428.7194614</v>
      </c>
      <c r="AZ101" s="5">
        <f>IF($B100&lt;=Tabla5[[#This Row],[INVERSIONES FCI]],+Tabla5[[#This Row],[INVERSIONES FCI]]-AZ100,Tabla5[[#This Row],[INVERSIONES FCI]])</f>
        <v>5489359428.7194614</v>
      </c>
      <c r="BA101" s="5">
        <f>IF($B100&lt;=Tabla5[[#This Row],[INVERSIONES FCI]],+Tabla5[[#This Row],[INVERSIONES FCI]]-BA100,Tabla5[[#This Row],[INVERSIONES FCI]])</f>
        <v>5489359428.7194614</v>
      </c>
      <c r="BB101" s="5">
        <f>IF($B100&lt;=Tabla5[[#This Row],[INVERSIONES FCI]],+Tabla5[[#This Row],[INVERSIONES FCI]]-BB100,Tabla5[[#This Row],[INVERSIONES FCI]])</f>
        <v>5489359428.7194614</v>
      </c>
      <c r="BC101" s="5">
        <f>IF($B100&lt;=Tabla5[[#This Row],[INVERSIONES FCI]],+Tabla5[[#This Row],[INVERSIONES FCI]]-BC100,Tabla5[[#This Row],[INVERSIONES FCI]])</f>
        <v>5489359428.7194614</v>
      </c>
      <c r="BD101" s="5">
        <f>IF($B100&lt;=Tabla5[[#This Row],[INVERSIONES FCI]],+Tabla5[[#This Row],[INVERSIONES FCI]]-BD100,Tabla5[[#This Row],[INVERSIONES FCI]])</f>
        <v>5489359428.7194614</v>
      </c>
      <c r="BE101" s="5">
        <f>IF($B100&lt;=Tabla5[[#This Row],[INVERSIONES FCI]],+Tabla5[[#This Row],[INVERSIONES FCI]]-BE100,Tabla5[[#This Row],[INVERSIONES FCI]])</f>
        <v>5489359428.7194614</v>
      </c>
      <c r="BF101" s="5">
        <f>IF($B100&lt;=Tabla5[[#This Row],[INVERSIONES FCI]],+Tabla5[[#This Row],[INVERSIONES FCI]]-BF100,Tabla5[[#This Row],[INVERSIONES FCI]])</f>
        <v>5489359428.7194614</v>
      </c>
      <c r="BG101" s="5">
        <f>IF($B100&lt;=Tabla5[[#This Row],[INVERSIONES FCI]],+Tabla5[[#This Row],[INVERSIONES FCI]]-BG100,Tabla5[[#This Row],[INVERSIONES FCI]])</f>
        <v>5489359428.7194614</v>
      </c>
      <c r="BH101" s="5">
        <f>IF($B100&lt;=Tabla5[[#This Row],[INVERSIONES FCI]],+Tabla5[[#This Row],[INVERSIONES FCI]]-BH100,Tabla5[[#This Row],[INVERSIONES FCI]])</f>
        <v>5489359428.7194614</v>
      </c>
      <c r="BI101" s="5">
        <f>IF($B100&lt;=Tabla5[[#This Row],[INVERSIONES FCI]],+Tabla5[[#This Row],[INVERSIONES FCI]]-BI100,Tabla5[[#This Row],[INVERSIONES FCI]])</f>
        <v>5489359428.7194614</v>
      </c>
      <c r="BJ101" s="5">
        <f>IF($B100&lt;=Tabla5[[#This Row],[INVERSIONES FCI]],+Tabla5[[#This Row],[INVERSIONES FCI]]-BJ100,Tabla5[[#This Row],[INVERSIONES FCI]])</f>
        <v>5489359428.7194614</v>
      </c>
      <c r="BK101" s="5">
        <f>IF($B100&lt;=Tabla5[[#This Row],[INVERSIONES FCI]],+Tabla5[[#This Row],[INVERSIONES FCI]]-BK100,Tabla5[[#This Row],[INVERSIONES FCI]])</f>
        <v>5489359428.7194614</v>
      </c>
      <c r="BL101" s="5">
        <f>IF($B100&lt;=Tabla5[[#This Row],[INVERSIONES FCI]],+Tabla5[[#This Row],[INVERSIONES FCI]]-BL100,Tabla5[[#This Row],[INVERSIONES FCI]])</f>
        <v>5489359428.7194614</v>
      </c>
      <c r="BM101" s="5">
        <f>IF($B100&lt;=Tabla5[[#This Row],[INVERSIONES FCI]],+Tabla5[[#This Row],[INVERSIONES FCI]]-BM100,Tabla5[[#This Row],[INVERSIONES FCI]])</f>
        <v>5489359428.7194614</v>
      </c>
      <c r="BN101" s="5">
        <f>IF($B100&lt;=Tabla5[[#This Row],[INVERSIONES FCI]],+Tabla5[[#This Row],[INVERSIONES FCI]]-BN100,Tabla5[[#This Row],[INVERSIONES FCI]])</f>
        <v>5489359428.7194614</v>
      </c>
      <c r="BO101" s="5">
        <f>IF($B100&lt;=Tabla5[[#This Row],[INVERSIONES FCI]],+Tabla5[[#This Row],[INVERSIONES FCI]]-BO100,Tabla5[[#This Row],[INVERSIONES FCI]])</f>
        <v>5489359428.7194614</v>
      </c>
      <c r="BP101" s="5">
        <f>IF($B100&lt;=Tabla5[[#This Row],[INVERSIONES FCI]],+Tabla5[[#This Row],[INVERSIONES FCI]]-BP100,Tabla5[[#This Row],[INVERSIONES FCI]])</f>
        <v>5489359428.7194614</v>
      </c>
      <c r="BQ101" s="5">
        <f>IF($B100&lt;=Tabla5[[#This Row],[INVERSIONES FCI]],+Tabla5[[#This Row],[INVERSIONES FCI]]-BQ100,Tabla5[[#This Row],[INVERSIONES FCI]])</f>
        <v>5489359428.7194614</v>
      </c>
      <c r="BR101" s="5">
        <f>IF($B100&lt;=Tabla5[[#This Row],[INVERSIONES FCI]],+Tabla5[[#This Row],[INVERSIONES FCI]]-BR100,Tabla5[[#This Row],[INVERSIONES FCI]])</f>
        <v>5489359428.7194614</v>
      </c>
      <c r="BS101" s="5">
        <f>IF($B100&lt;=Tabla5[[#This Row],[INVERSIONES FCI]],+Tabla5[[#This Row],[INVERSIONES FCI]]-BS100,Tabla5[[#This Row],[INVERSIONES FCI]])</f>
        <v>5489359428.7194614</v>
      </c>
      <c r="BT101" s="5">
        <f>IF($B100&lt;=Tabla5[[#This Row],[INVERSIONES FCI]],+Tabla5[[#This Row],[INVERSIONES FCI]]-BT100,Tabla5[[#This Row],[INVERSIONES FCI]])</f>
        <v>5489359428.7194614</v>
      </c>
      <c r="BU101" s="5">
        <f>IF($B100&lt;=Tabla5[[#This Row],[INVERSIONES FCI]],+Tabla5[[#This Row],[INVERSIONES FCI]]-BU100,Tabla5[[#This Row],[INVERSIONES FCI]])</f>
        <v>5489359428.7194614</v>
      </c>
      <c r="BV101" s="5">
        <f>IF($B100&lt;=Tabla5[[#This Row],[INVERSIONES FCI]],+Tabla5[[#This Row],[INVERSIONES FCI]]-BV100,Tabla5[[#This Row],[INVERSIONES FCI]])</f>
        <v>5489359428.7194614</v>
      </c>
      <c r="BW101" s="5">
        <f>IF($B100&lt;=Tabla5[[#This Row],[INVERSIONES FCI]],+Tabla5[[#This Row],[INVERSIONES FCI]]-BW100,Tabla5[[#This Row],[INVERSIONES FCI]])</f>
        <v>5489359428.7194614</v>
      </c>
      <c r="BX101" s="5">
        <f>IF($B100&lt;=Tabla5[[#This Row],[INVERSIONES FCI]],+Tabla5[[#This Row],[INVERSIONES FCI]]-BX100,Tabla5[[#This Row],[INVERSIONES FCI]])</f>
        <v>5489359428.7194614</v>
      </c>
      <c r="BY101" s="5">
        <f>IF($B100&lt;=Tabla5[[#This Row],[INVERSIONES FCI]],+Tabla5[[#This Row],[INVERSIONES FCI]]-BY100,Tabla5[[#This Row],[INVERSIONES FCI]])</f>
        <v>5489359428.7194614</v>
      </c>
      <c r="BZ101" s="5">
        <f>IF($B100&lt;=Tabla5[[#This Row],[INVERSIONES FCI]],+Tabla5[[#This Row],[INVERSIONES FCI]]-BZ100,Tabla5[[#This Row],[INVERSIONES FCI]])</f>
        <v>5489359428.7194614</v>
      </c>
      <c r="CA101" s="5">
        <f>IF($B100&lt;=Tabla5[[#This Row],[INVERSIONES FCI]],+Tabla5[[#This Row],[INVERSIONES FCI]]-CA100,Tabla5[[#This Row],[INVERSIONES FCI]])</f>
        <v>5489359428.7194614</v>
      </c>
      <c r="CB101" s="5">
        <f>IF($B100&lt;=Tabla5[[#This Row],[INVERSIONES FCI]],+Tabla5[[#This Row],[INVERSIONES FCI]]-CB100,Tabla5[[#This Row],[INVERSIONES FCI]])</f>
        <v>5489359428.7194614</v>
      </c>
      <c r="CC101" s="5">
        <f>IF($B100&lt;=Tabla5[[#This Row],[INVERSIONES FCI]],+Tabla5[[#This Row],[INVERSIONES FCI]]-CC100,Tabla5[[#This Row],[INVERSIONES FCI]])</f>
        <v>5489359428.7194614</v>
      </c>
      <c r="CD101" s="5">
        <f>IF($B100&lt;=Tabla5[[#This Row],[INVERSIONES FCI]],+Tabla5[[#This Row],[INVERSIONES FCI]]-CD100,Tabla5[[#This Row],[INVERSIONES FCI]])</f>
        <v>5489359428.7194614</v>
      </c>
      <c r="CE101" s="5">
        <f>IF($B100&lt;=Tabla5[[#This Row],[INVERSIONES FCI]],+Tabla5[[#This Row],[INVERSIONES FCI]]-CE100,Tabla5[[#This Row],[INVERSIONES FCI]])</f>
        <v>5489359428.7194614</v>
      </c>
      <c r="CF101" s="5">
        <f>IF($B100&lt;=Tabla5[[#This Row],[INVERSIONES FCI]],+Tabla5[[#This Row],[INVERSIONES FCI]]-CF100,Tabla5[[#This Row],[INVERSIONES FCI]])</f>
        <v>5489359428.7194614</v>
      </c>
      <c r="CG101" s="5">
        <f>IF($B100&lt;=Tabla5[[#This Row],[INVERSIONES FCI]],+Tabla5[[#This Row],[INVERSIONES FCI]]-CG100,Tabla5[[#This Row],[INVERSIONES FCI]])</f>
        <v>5489359428.7194614</v>
      </c>
      <c r="CH101" s="5">
        <f>IF($B100&lt;=Tabla5[[#This Row],[INVERSIONES FCI]],+Tabla5[[#This Row],[INVERSIONES FCI]]-CH100,Tabla5[[#This Row],[INVERSIONES FCI]])</f>
        <v>5489359428.7194614</v>
      </c>
      <c r="CI101" s="5">
        <f>IF($B100&lt;=Tabla5[[#This Row],[INVERSIONES FCI]],+Tabla5[[#This Row],[INVERSIONES FCI]]-CI100,Tabla5[[#This Row],[INVERSIONES FCI]])</f>
        <v>5489359428.7194614</v>
      </c>
      <c r="CJ101" s="5">
        <f>IF($B100&lt;=Tabla5[[#This Row],[INVERSIONES FCI]],+Tabla5[[#This Row],[INVERSIONES FCI]]-CJ100,Tabla5[[#This Row],[INVERSIONES FCI]])</f>
        <v>5489359428.7194614</v>
      </c>
      <c r="CK101" s="5">
        <f>IF($B100&lt;=Tabla5[[#This Row],[INVERSIONES FCI]],+Tabla5[[#This Row],[INVERSIONES FCI]]-CK100,Tabla5[[#This Row],[INVERSIONES FCI]])</f>
        <v>5489359428.7194614</v>
      </c>
      <c r="CL101" s="5">
        <f>IF($B100&lt;=Tabla5[[#This Row],[INVERSIONES FCI]],+Tabla5[[#This Row],[INVERSIONES FCI]]-CL100,Tabla5[[#This Row],[INVERSIONES FCI]])</f>
        <v>5489359428.7194614</v>
      </c>
      <c r="CM101" s="5">
        <f>IF($B100&lt;=Tabla5[[#This Row],[INVERSIONES FCI]],+Tabla5[[#This Row],[INVERSIONES FCI]]-CM100,Tabla5[[#This Row],[INVERSIONES FCI]])</f>
        <v>5489359428.7194614</v>
      </c>
      <c r="CN101" s="5">
        <f>IF($B100&lt;=Tabla5[[#This Row],[INVERSIONES FCI]],+Tabla5[[#This Row],[INVERSIONES FCI]]-CN100,Tabla5[[#This Row],[INVERSIONES FCI]])</f>
        <v>5489359428.7194614</v>
      </c>
      <c r="CO101" s="5">
        <f>IF($B100&lt;=Tabla5[[#This Row],[INVERSIONES FCI]],+Tabla5[[#This Row],[INVERSIONES FCI]]-CO100,Tabla5[[#This Row],[INVERSIONES FCI]])</f>
        <v>5489359428.7194614</v>
      </c>
      <c r="CP101" s="5">
        <f>IF($B100&lt;=Tabla5[[#This Row],[INVERSIONES FCI]],+Tabla5[[#This Row],[INVERSIONES FCI]]-CP100,Tabla5[[#This Row],[INVERSIONES FCI]])</f>
        <v>5489359428.7194614</v>
      </c>
      <c r="CQ101" s="5">
        <f>IF($B100&lt;=Tabla5[[#This Row],[INVERSIONES FCI]],+Tabla5[[#This Row],[INVERSIONES FCI]]-CQ100,Tabla5[[#This Row],[INVERSIONES FCI]])</f>
        <v>5489359428.7194614</v>
      </c>
      <c r="CR101" s="5">
        <f>IF($B100&lt;=Tabla5[[#This Row],[INVERSIONES FCI]],+Tabla5[[#This Row],[INVERSIONES FCI]]-CR100,Tabla5[[#This Row],[INVERSIONES FCI]])</f>
        <v>5489359428.7194614</v>
      </c>
      <c r="CS101" s="5">
        <f>IF($B100&lt;=Tabla5[[#This Row],[INVERSIONES FCI]],+Tabla5[[#This Row],[INVERSIONES FCI]]-CS100,Tabla5[[#This Row],[INVERSIONES FCI]])</f>
        <v>5489359428.7194614</v>
      </c>
      <c r="CT101" s="5">
        <f>IF($B100&lt;=Tabla5[[#This Row],[INVERSIONES FCI]],+Tabla5[[#This Row],[INVERSIONES FCI]]-CT100,Tabla5[[#This Row],[INVERSIONES FCI]])</f>
        <v>5489359428.7194614</v>
      </c>
      <c r="CU101" s="5">
        <f>IF($B100&lt;=Tabla5[[#This Row],[INVERSIONES FCI]],+Tabla5[[#This Row],[INVERSIONES FCI]]-CU100,Tabla5[[#This Row],[INVERSIONES FCI]])</f>
        <v>5489359428.7194614</v>
      </c>
      <c r="CV101" s="5">
        <f>IF($B100&lt;=Tabla5[[#This Row],[INVERSIONES FCI]],+Tabla5[[#This Row],[INVERSIONES FCI]]-CV100,Tabla5[[#This Row],[INVERSIONES FCI]])</f>
        <v>5489359428.7194614</v>
      </c>
      <c r="CW101" s="5">
        <f>IF($B100&lt;=Tabla5[[#This Row],[INVERSIONES FCI]],+Tabla5[[#This Row],[INVERSIONES FCI]]-CW100,Tabla5[[#This Row],[INVERSIONES FCI]])</f>
        <v>5489359428.7194614</v>
      </c>
      <c r="CX101" s="5" cm="1">
        <f t="array" ref="CX101">IF(Tabla5[[#This Row],[FCI]]=0,0,_xlfn.XLOOKUP(TRUE,$B101:CW101&gt;0,$B101:CW101,"",0,-1))</f>
        <v>5489359428.7194614</v>
      </c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</row>
    <row r="102" spans="1:121" ht="14.4">
      <c r="A102" s="12" t="s">
        <v>101</v>
      </c>
      <c r="B102" s="5">
        <f>HLOOKUP($A102,ESCENARIO[#All],7,FALSE)</f>
        <v>8693678140.4181099</v>
      </c>
      <c r="C102" s="5">
        <f>IF($B101&lt;=Tabla5[[#This Row],[INVERSIONES FCI]],+Tabla5[[#This Row],[INVERSIONES FCI]]-C101,Tabla5[[#This Row],[INVERSIONES FCI]])</f>
        <v>3204318711.6986485</v>
      </c>
      <c r="D102" s="5">
        <f>IF($B101&lt;=Tabla5[[#This Row],[INVERSIONES FCI]],+Tabla5[[#This Row],[INVERSIONES FCI]]-D101,Tabla5[[#This Row],[INVERSIONES FCI]])</f>
        <v>3204318711.6986485</v>
      </c>
      <c r="E102" s="5">
        <f>IF($B101&lt;=Tabla5[[#This Row],[INVERSIONES FCI]],+Tabla5[[#This Row],[INVERSIONES FCI]]-E101,Tabla5[[#This Row],[INVERSIONES FCI]])</f>
        <v>3204318711.6986485</v>
      </c>
      <c r="F102" s="5">
        <f>IF($B101&lt;=Tabla5[[#This Row],[INVERSIONES FCI]],+Tabla5[[#This Row],[INVERSIONES FCI]]-F101,Tabla5[[#This Row],[INVERSIONES FCI]])</f>
        <v>3204318711.6986485</v>
      </c>
      <c r="G102" s="5">
        <f>IF($B101&lt;=Tabla5[[#This Row],[INVERSIONES FCI]],+Tabla5[[#This Row],[INVERSIONES FCI]]-G101,Tabla5[[#This Row],[INVERSIONES FCI]])</f>
        <v>3204318711.6986485</v>
      </c>
      <c r="H102" s="5">
        <f>IF($B101&lt;=Tabla5[[#This Row],[INVERSIONES FCI]],+Tabla5[[#This Row],[INVERSIONES FCI]]-H101,Tabla5[[#This Row],[INVERSIONES FCI]])</f>
        <v>3204318711.6986485</v>
      </c>
      <c r="I102" s="5">
        <f>IF($B101&lt;=Tabla5[[#This Row],[INVERSIONES FCI]],+Tabla5[[#This Row],[INVERSIONES FCI]]-I101,Tabla5[[#This Row],[INVERSIONES FCI]])</f>
        <v>3204318711.6986485</v>
      </c>
      <c r="J102" s="5">
        <f>IF($B101&lt;=Tabla5[[#This Row],[INVERSIONES FCI]],+Tabla5[[#This Row],[INVERSIONES FCI]]-J101,Tabla5[[#This Row],[INVERSIONES FCI]])</f>
        <v>3204318711.6986485</v>
      </c>
      <c r="K102" s="5">
        <f>IF($B101&lt;=Tabla5[[#This Row],[INVERSIONES FCI]],+Tabla5[[#This Row],[INVERSIONES FCI]]-K101,Tabla5[[#This Row],[INVERSIONES FCI]])</f>
        <v>3204318711.6986485</v>
      </c>
      <c r="L102" s="5">
        <f>IF($B101&lt;=Tabla5[[#This Row],[INVERSIONES FCI]],+Tabla5[[#This Row],[INVERSIONES FCI]]-L101,Tabla5[[#This Row],[INVERSIONES FCI]])</f>
        <v>3204318711.6986485</v>
      </c>
      <c r="M102" s="5">
        <f>IF($B101&lt;=Tabla5[[#This Row],[INVERSIONES FCI]],+Tabla5[[#This Row],[INVERSIONES FCI]]-M101,Tabla5[[#This Row],[INVERSIONES FCI]])</f>
        <v>3204318711.6986485</v>
      </c>
      <c r="N102" s="5">
        <f>IF($B101&lt;=Tabla5[[#This Row],[INVERSIONES FCI]],+Tabla5[[#This Row],[INVERSIONES FCI]]-N101,Tabla5[[#This Row],[INVERSIONES FCI]])</f>
        <v>3204318711.6986485</v>
      </c>
      <c r="O102" s="5">
        <f>IF($B101&lt;=Tabla5[[#This Row],[INVERSIONES FCI]],+Tabla5[[#This Row],[INVERSIONES FCI]]-O101,Tabla5[[#This Row],[INVERSIONES FCI]])</f>
        <v>3204318711.6986485</v>
      </c>
      <c r="P102" s="5">
        <f>IF($B101&lt;=Tabla5[[#This Row],[INVERSIONES FCI]],+Tabla5[[#This Row],[INVERSIONES FCI]]-P101,Tabla5[[#This Row],[INVERSIONES FCI]])</f>
        <v>3204318711.6986485</v>
      </c>
      <c r="Q102" s="5">
        <f>IF($B101&lt;=Tabla5[[#This Row],[INVERSIONES FCI]],+Tabla5[[#This Row],[INVERSIONES FCI]]-Q101,Tabla5[[#This Row],[INVERSIONES FCI]])</f>
        <v>3204318711.6986485</v>
      </c>
      <c r="R102" s="5">
        <f>IF($B101&lt;=Tabla5[[#This Row],[INVERSIONES FCI]],+Tabla5[[#This Row],[INVERSIONES FCI]]-R101,Tabla5[[#This Row],[INVERSIONES FCI]])</f>
        <v>3204318711.6986485</v>
      </c>
      <c r="S102" s="5">
        <f>IF($B101&lt;=Tabla5[[#This Row],[INVERSIONES FCI]],+Tabla5[[#This Row],[INVERSIONES FCI]]-S101,Tabla5[[#This Row],[INVERSIONES FCI]])</f>
        <v>3204318711.6986485</v>
      </c>
      <c r="T102" s="5">
        <f>IF($B101&lt;=Tabla5[[#This Row],[INVERSIONES FCI]],+Tabla5[[#This Row],[INVERSIONES FCI]]-T101,Tabla5[[#This Row],[INVERSIONES FCI]])</f>
        <v>3204318711.6986485</v>
      </c>
      <c r="U102" s="5">
        <f>IF($B101&lt;=Tabla5[[#This Row],[INVERSIONES FCI]],+Tabla5[[#This Row],[INVERSIONES FCI]]-U101,Tabla5[[#This Row],[INVERSIONES FCI]])</f>
        <v>3204318711.6986485</v>
      </c>
      <c r="V102" s="5">
        <f>IF($B101&lt;=Tabla5[[#This Row],[INVERSIONES FCI]],+Tabla5[[#This Row],[INVERSIONES FCI]]-V101,Tabla5[[#This Row],[INVERSIONES FCI]])</f>
        <v>3204318711.6986485</v>
      </c>
      <c r="W102" s="5">
        <f>IF($B101&lt;=Tabla5[[#This Row],[INVERSIONES FCI]],+Tabla5[[#This Row],[INVERSIONES FCI]]-W101,Tabla5[[#This Row],[INVERSIONES FCI]])</f>
        <v>3204318711.6986485</v>
      </c>
      <c r="X102" s="5">
        <f>IF($B101&lt;=Tabla5[[#This Row],[INVERSIONES FCI]],+Tabla5[[#This Row],[INVERSIONES FCI]]-X101,Tabla5[[#This Row],[INVERSIONES FCI]])</f>
        <v>3204318711.6986485</v>
      </c>
      <c r="Y102" s="5">
        <f>IF($B101&lt;=Tabla5[[#This Row],[INVERSIONES FCI]],+Tabla5[[#This Row],[INVERSIONES FCI]]-Y101,Tabla5[[#This Row],[INVERSIONES FCI]])</f>
        <v>3204318711.6986485</v>
      </c>
      <c r="Z102" s="5">
        <f>IF($B101&lt;=Tabla5[[#This Row],[INVERSIONES FCI]],+Tabla5[[#This Row],[INVERSIONES FCI]]-Z101,Tabla5[[#This Row],[INVERSIONES FCI]])</f>
        <v>3204318711.6986485</v>
      </c>
      <c r="AA102" s="5">
        <f>IF($B101&lt;=Tabla5[[#This Row],[INVERSIONES FCI]],+Tabla5[[#This Row],[INVERSIONES FCI]]-AA101,Tabla5[[#This Row],[INVERSIONES FCI]])</f>
        <v>3204318711.6986485</v>
      </c>
      <c r="AB102" s="5">
        <f>IF($B101&lt;=Tabla5[[#This Row],[INVERSIONES FCI]],+Tabla5[[#This Row],[INVERSIONES FCI]]-AB101,Tabla5[[#This Row],[INVERSIONES FCI]])</f>
        <v>3204318711.6986485</v>
      </c>
      <c r="AC102" s="5">
        <f>IF($B101&lt;=Tabla5[[#This Row],[INVERSIONES FCI]],+Tabla5[[#This Row],[INVERSIONES FCI]]-AC101,Tabla5[[#This Row],[INVERSIONES FCI]])</f>
        <v>3204318711.6986485</v>
      </c>
      <c r="AD102" s="5">
        <f>IF($B101&lt;=Tabla5[[#This Row],[INVERSIONES FCI]],+Tabla5[[#This Row],[INVERSIONES FCI]]-AD101,Tabla5[[#This Row],[INVERSIONES FCI]])</f>
        <v>3204318711.6986485</v>
      </c>
      <c r="AE102" s="5">
        <f>IF($B101&lt;=Tabla5[[#This Row],[INVERSIONES FCI]],+Tabla5[[#This Row],[INVERSIONES FCI]]-AE101,Tabla5[[#This Row],[INVERSIONES FCI]])</f>
        <v>3204318711.6986485</v>
      </c>
      <c r="AF102" s="5">
        <f>IF($B101&lt;=Tabla5[[#This Row],[INVERSIONES FCI]],+Tabla5[[#This Row],[INVERSIONES FCI]]-AF101,Tabla5[[#This Row],[INVERSIONES FCI]])</f>
        <v>3204318711.6986485</v>
      </c>
      <c r="AG102" s="5">
        <f>IF($B101&lt;=Tabla5[[#This Row],[INVERSIONES FCI]],+Tabla5[[#This Row],[INVERSIONES FCI]]-AG101,Tabla5[[#This Row],[INVERSIONES FCI]])</f>
        <v>3204318711.6986485</v>
      </c>
      <c r="AH102" s="5">
        <f>IF($B101&lt;=Tabla5[[#This Row],[INVERSIONES FCI]],+Tabla5[[#This Row],[INVERSIONES FCI]]-AH101,Tabla5[[#This Row],[INVERSIONES FCI]])</f>
        <v>3204318711.6986485</v>
      </c>
      <c r="AI102" s="5">
        <f>IF($B101&lt;=Tabla5[[#This Row],[INVERSIONES FCI]],+Tabla5[[#This Row],[INVERSIONES FCI]]-AI101,Tabla5[[#This Row],[INVERSIONES FCI]])</f>
        <v>3204318711.6986485</v>
      </c>
      <c r="AJ102" s="5">
        <f>IF($B101&lt;=Tabla5[[#This Row],[INVERSIONES FCI]],+Tabla5[[#This Row],[INVERSIONES FCI]]-AJ101,Tabla5[[#This Row],[INVERSIONES FCI]])</f>
        <v>3204318711.6986485</v>
      </c>
      <c r="AK102" s="5">
        <f>IF($B101&lt;=Tabla5[[#This Row],[INVERSIONES FCI]],+Tabla5[[#This Row],[INVERSIONES FCI]]-AK101,Tabla5[[#This Row],[INVERSIONES FCI]])</f>
        <v>3204318711.6986485</v>
      </c>
      <c r="AL102" s="5">
        <f>IF($B101&lt;=Tabla5[[#This Row],[INVERSIONES FCI]],+Tabla5[[#This Row],[INVERSIONES FCI]]-AL101,Tabla5[[#This Row],[INVERSIONES FCI]])</f>
        <v>3204318711.6986485</v>
      </c>
      <c r="AM102" s="5">
        <f>IF($B101&lt;=Tabla5[[#This Row],[INVERSIONES FCI]],+Tabla5[[#This Row],[INVERSIONES FCI]]-AM101,Tabla5[[#This Row],[INVERSIONES FCI]])</f>
        <v>3204318711.6986485</v>
      </c>
      <c r="AN102" s="5">
        <f>IF($B101&lt;=Tabla5[[#This Row],[INVERSIONES FCI]],+Tabla5[[#This Row],[INVERSIONES FCI]]-AN101,Tabla5[[#This Row],[INVERSIONES FCI]])</f>
        <v>3204318711.6986485</v>
      </c>
      <c r="AO102" s="5">
        <f>IF($B101&lt;=Tabla5[[#This Row],[INVERSIONES FCI]],+Tabla5[[#This Row],[INVERSIONES FCI]]-AO101,Tabla5[[#This Row],[INVERSIONES FCI]])</f>
        <v>3204318711.6986485</v>
      </c>
      <c r="AP102" s="5">
        <f>IF($B101&lt;=Tabla5[[#This Row],[INVERSIONES FCI]],+Tabla5[[#This Row],[INVERSIONES FCI]]-AP101,Tabla5[[#This Row],[INVERSIONES FCI]])</f>
        <v>3204318711.6986485</v>
      </c>
      <c r="AQ102" s="5">
        <f>IF($B101&lt;=Tabla5[[#This Row],[INVERSIONES FCI]],+Tabla5[[#This Row],[INVERSIONES FCI]]-AQ101,Tabla5[[#This Row],[INVERSIONES FCI]])</f>
        <v>3204318711.6986485</v>
      </c>
      <c r="AR102" s="5">
        <f>IF($B101&lt;=Tabla5[[#This Row],[INVERSIONES FCI]],+Tabla5[[#This Row],[INVERSIONES FCI]]-AR101,Tabla5[[#This Row],[INVERSIONES FCI]])</f>
        <v>3204318711.6986485</v>
      </c>
      <c r="AS102" s="5">
        <f>IF($B101&lt;=Tabla5[[#This Row],[INVERSIONES FCI]],+Tabla5[[#This Row],[INVERSIONES FCI]]-AS101,Tabla5[[#This Row],[INVERSIONES FCI]])</f>
        <v>3204318711.6986485</v>
      </c>
      <c r="AT102" s="5">
        <f>IF($B101&lt;=Tabla5[[#This Row],[INVERSIONES FCI]],+Tabla5[[#This Row],[INVERSIONES FCI]]-AT101,Tabla5[[#This Row],[INVERSIONES FCI]])</f>
        <v>3204318711.6986485</v>
      </c>
      <c r="AU102" s="5">
        <f>IF($B101&lt;=Tabla5[[#This Row],[INVERSIONES FCI]],+Tabla5[[#This Row],[INVERSIONES FCI]]-AU101,Tabla5[[#This Row],[INVERSIONES FCI]])</f>
        <v>3204318711.6986485</v>
      </c>
      <c r="AV102" s="5">
        <f>IF($B101&lt;=Tabla5[[#This Row],[INVERSIONES FCI]],+Tabla5[[#This Row],[INVERSIONES FCI]]-AV101,Tabla5[[#This Row],[INVERSIONES FCI]])</f>
        <v>3204318711.6986485</v>
      </c>
      <c r="AW102" s="5">
        <f>IF($B101&lt;=Tabla5[[#This Row],[INVERSIONES FCI]],+Tabla5[[#This Row],[INVERSIONES FCI]]-AW101,Tabla5[[#This Row],[INVERSIONES FCI]])</f>
        <v>3204318711.6986485</v>
      </c>
      <c r="AX102" s="5">
        <f>IF($B101&lt;=Tabla5[[#This Row],[INVERSIONES FCI]],+Tabla5[[#This Row],[INVERSIONES FCI]]-AX101,Tabla5[[#This Row],[INVERSIONES FCI]])</f>
        <v>3204318711.6986485</v>
      </c>
      <c r="AY102" s="5">
        <f>IF($B101&lt;=Tabla5[[#This Row],[INVERSIONES FCI]],+Tabla5[[#This Row],[INVERSIONES FCI]]-AY101,Tabla5[[#This Row],[INVERSIONES FCI]])</f>
        <v>3204318711.6986485</v>
      </c>
      <c r="AZ102" s="5">
        <f>IF($B101&lt;=Tabla5[[#This Row],[INVERSIONES FCI]],+Tabla5[[#This Row],[INVERSIONES FCI]]-AZ101,Tabla5[[#This Row],[INVERSIONES FCI]])</f>
        <v>3204318711.6986485</v>
      </c>
      <c r="BA102" s="5">
        <f>IF($B101&lt;=Tabla5[[#This Row],[INVERSIONES FCI]],+Tabla5[[#This Row],[INVERSIONES FCI]]-BA101,Tabla5[[#This Row],[INVERSIONES FCI]])</f>
        <v>3204318711.6986485</v>
      </c>
      <c r="BB102" s="5">
        <f>IF($B101&lt;=Tabla5[[#This Row],[INVERSIONES FCI]],+Tabla5[[#This Row],[INVERSIONES FCI]]-BB101,Tabla5[[#This Row],[INVERSIONES FCI]])</f>
        <v>3204318711.6986485</v>
      </c>
      <c r="BC102" s="5">
        <f>IF($B101&lt;=Tabla5[[#This Row],[INVERSIONES FCI]],+Tabla5[[#This Row],[INVERSIONES FCI]]-BC101,Tabla5[[#This Row],[INVERSIONES FCI]])</f>
        <v>3204318711.6986485</v>
      </c>
      <c r="BD102" s="5">
        <f>IF($B101&lt;=Tabla5[[#This Row],[INVERSIONES FCI]],+Tabla5[[#This Row],[INVERSIONES FCI]]-BD101,Tabla5[[#This Row],[INVERSIONES FCI]])</f>
        <v>3204318711.6986485</v>
      </c>
      <c r="BE102" s="5">
        <f>IF($B101&lt;=Tabla5[[#This Row],[INVERSIONES FCI]],+Tabla5[[#This Row],[INVERSIONES FCI]]-BE101,Tabla5[[#This Row],[INVERSIONES FCI]])</f>
        <v>3204318711.6986485</v>
      </c>
      <c r="BF102" s="5">
        <f>IF($B101&lt;=Tabla5[[#This Row],[INVERSIONES FCI]],+Tabla5[[#This Row],[INVERSIONES FCI]]-BF101,Tabla5[[#This Row],[INVERSIONES FCI]])</f>
        <v>3204318711.6986485</v>
      </c>
      <c r="BG102" s="5">
        <f>IF($B101&lt;=Tabla5[[#This Row],[INVERSIONES FCI]],+Tabla5[[#This Row],[INVERSIONES FCI]]-BG101,Tabla5[[#This Row],[INVERSIONES FCI]])</f>
        <v>3204318711.6986485</v>
      </c>
      <c r="BH102" s="5">
        <f>IF($B101&lt;=Tabla5[[#This Row],[INVERSIONES FCI]],+Tabla5[[#This Row],[INVERSIONES FCI]]-BH101,Tabla5[[#This Row],[INVERSIONES FCI]])</f>
        <v>3204318711.6986485</v>
      </c>
      <c r="BI102" s="5">
        <f>IF($B101&lt;=Tabla5[[#This Row],[INVERSIONES FCI]],+Tabla5[[#This Row],[INVERSIONES FCI]]-BI101,Tabla5[[#This Row],[INVERSIONES FCI]])</f>
        <v>3204318711.6986485</v>
      </c>
      <c r="BJ102" s="5">
        <f>IF($B101&lt;=Tabla5[[#This Row],[INVERSIONES FCI]],+Tabla5[[#This Row],[INVERSIONES FCI]]-BJ101,Tabla5[[#This Row],[INVERSIONES FCI]])</f>
        <v>3204318711.6986485</v>
      </c>
      <c r="BK102" s="5">
        <f>IF($B101&lt;=Tabla5[[#This Row],[INVERSIONES FCI]],+Tabla5[[#This Row],[INVERSIONES FCI]]-BK101,Tabla5[[#This Row],[INVERSIONES FCI]])</f>
        <v>3204318711.6986485</v>
      </c>
      <c r="BL102" s="5">
        <f>IF($B101&lt;=Tabla5[[#This Row],[INVERSIONES FCI]],+Tabla5[[#This Row],[INVERSIONES FCI]]-BL101,Tabla5[[#This Row],[INVERSIONES FCI]])</f>
        <v>3204318711.6986485</v>
      </c>
      <c r="BM102" s="5">
        <f>IF($B101&lt;=Tabla5[[#This Row],[INVERSIONES FCI]],+Tabla5[[#This Row],[INVERSIONES FCI]]-BM101,Tabla5[[#This Row],[INVERSIONES FCI]])</f>
        <v>3204318711.6986485</v>
      </c>
      <c r="BN102" s="5">
        <f>IF($B101&lt;=Tabla5[[#This Row],[INVERSIONES FCI]],+Tabla5[[#This Row],[INVERSIONES FCI]]-BN101,Tabla5[[#This Row],[INVERSIONES FCI]])</f>
        <v>3204318711.6986485</v>
      </c>
      <c r="BO102" s="5">
        <f>IF($B101&lt;=Tabla5[[#This Row],[INVERSIONES FCI]],+Tabla5[[#This Row],[INVERSIONES FCI]]-BO101,Tabla5[[#This Row],[INVERSIONES FCI]])</f>
        <v>3204318711.6986485</v>
      </c>
      <c r="BP102" s="5">
        <f>IF($B101&lt;=Tabla5[[#This Row],[INVERSIONES FCI]],+Tabla5[[#This Row],[INVERSIONES FCI]]-BP101,Tabla5[[#This Row],[INVERSIONES FCI]])</f>
        <v>3204318711.6986485</v>
      </c>
      <c r="BQ102" s="5">
        <f>IF($B101&lt;=Tabla5[[#This Row],[INVERSIONES FCI]],+Tabla5[[#This Row],[INVERSIONES FCI]]-BQ101,Tabla5[[#This Row],[INVERSIONES FCI]])</f>
        <v>3204318711.6986485</v>
      </c>
      <c r="BR102" s="5">
        <f>IF($B101&lt;=Tabla5[[#This Row],[INVERSIONES FCI]],+Tabla5[[#This Row],[INVERSIONES FCI]]-BR101,Tabla5[[#This Row],[INVERSIONES FCI]])</f>
        <v>3204318711.6986485</v>
      </c>
      <c r="BS102" s="5">
        <f>IF($B101&lt;=Tabla5[[#This Row],[INVERSIONES FCI]],+Tabla5[[#This Row],[INVERSIONES FCI]]-BS101,Tabla5[[#This Row],[INVERSIONES FCI]])</f>
        <v>3204318711.6986485</v>
      </c>
      <c r="BT102" s="5">
        <f>IF($B101&lt;=Tabla5[[#This Row],[INVERSIONES FCI]],+Tabla5[[#This Row],[INVERSIONES FCI]]-BT101,Tabla5[[#This Row],[INVERSIONES FCI]])</f>
        <v>3204318711.6986485</v>
      </c>
      <c r="BU102" s="5">
        <f>IF($B101&lt;=Tabla5[[#This Row],[INVERSIONES FCI]],+Tabla5[[#This Row],[INVERSIONES FCI]]-BU101,Tabla5[[#This Row],[INVERSIONES FCI]])</f>
        <v>3204318711.6986485</v>
      </c>
      <c r="BV102" s="5">
        <f>IF($B101&lt;=Tabla5[[#This Row],[INVERSIONES FCI]],+Tabla5[[#This Row],[INVERSIONES FCI]]-BV101,Tabla5[[#This Row],[INVERSIONES FCI]])</f>
        <v>3204318711.6986485</v>
      </c>
      <c r="BW102" s="5">
        <f>IF($B101&lt;=Tabla5[[#This Row],[INVERSIONES FCI]],+Tabla5[[#This Row],[INVERSIONES FCI]]-BW101,Tabla5[[#This Row],[INVERSIONES FCI]])</f>
        <v>3204318711.6986485</v>
      </c>
      <c r="BX102" s="5">
        <f>IF($B101&lt;=Tabla5[[#This Row],[INVERSIONES FCI]],+Tabla5[[#This Row],[INVERSIONES FCI]]-BX101,Tabla5[[#This Row],[INVERSIONES FCI]])</f>
        <v>3204318711.6986485</v>
      </c>
      <c r="BY102" s="5">
        <f>IF($B101&lt;=Tabla5[[#This Row],[INVERSIONES FCI]],+Tabla5[[#This Row],[INVERSIONES FCI]]-BY101,Tabla5[[#This Row],[INVERSIONES FCI]])</f>
        <v>3204318711.6986485</v>
      </c>
      <c r="BZ102" s="5">
        <f>IF($B101&lt;=Tabla5[[#This Row],[INVERSIONES FCI]],+Tabla5[[#This Row],[INVERSIONES FCI]]-BZ101,Tabla5[[#This Row],[INVERSIONES FCI]])</f>
        <v>3204318711.6986485</v>
      </c>
      <c r="CA102" s="5">
        <f>IF($B101&lt;=Tabla5[[#This Row],[INVERSIONES FCI]],+Tabla5[[#This Row],[INVERSIONES FCI]]-CA101,Tabla5[[#This Row],[INVERSIONES FCI]])</f>
        <v>3204318711.6986485</v>
      </c>
      <c r="CB102" s="5">
        <f>IF($B101&lt;=Tabla5[[#This Row],[INVERSIONES FCI]],+Tabla5[[#This Row],[INVERSIONES FCI]]-CB101,Tabla5[[#This Row],[INVERSIONES FCI]])</f>
        <v>3204318711.6986485</v>
      </c>
      <c r="CC102" s="5">
        <f>IF($B101&lt;=Tabla5[[#This Row],[INVERSIONES FCI]],+Tabla5[[#This Row],[INVERSIONES FCI]]-CC101,Tabla5[[#This Row],[INVERSIONES FCI]])</f>
        <v>3204318711.6986485</v>
      </c>
      <c r="CD102" s="5">
        <f>IF($B101&lt;=Tabla5[[#This Row],[INVERSIONES FCI]],+Tabla5[[#This Row],[INVERSIONES FCI]]-CD101,Tabla5[[#This Row],[INVERSIONES FCI]])</f>
        <v>3204318711.6986485</v>
      </c>
      <c r="CE102" s="5">
        <f>IF($B101&lt;=Tabla5[[#This Row],[INVERSIONES FCI]],+Tabla5[[#This Row],[INVERSIONES FCI]]-CE101,Tabla5[[#This Row],[INVERSIONES FCI]])</f>
        <v>3204318711.6986485</v>
      </c>
      <c r="CF102" s="5">
        <f>IF($B101&lt;=Tabla5[[#This Row],[INVERSIONES FCI]],+Tabla5[[#This Row],[INVERSIONES FCI]]-CF101,Tabla5[[#This Row],[INVERSIONES FCI]])</f>
        <v>3204318711.6986485</v>
      </c>
      <c r="CG102" s="5">
        <f>IF($B101&lt;=Tabla5[[#This Row],[INVERSIONES FCI]],+Tabla5[[#This Row],[INVERSIONES FCI]]-CG101,Tabla5[[#This Row],[INVERSIONES FCI]])</f>
        <v>3204318711.6986485</v>
      </c>
      <c r="CH102" s="5">
        <f>IF($B101&lt;=Tabla5[[#This Row],[INVERSIONES FCI]],+Tabla5[[#This Row],[INVERSIONES FCI]]-CH101,Tabla5[[#This Row],[INVERSIONES FCI]])</f>
        <v>3204318711.6986485</v>
      </c>
      <c r="CI102" s="5">
        <f>IF($B101&lt;=Tabla5[[#This Row],[INVERSIONES FCI]],+Tabla5[[#This Row],[INVERSIONES FCI]]-CI101,Tabla5[[#This Row],[INVERSIONES FCI]])</f>
        <v>3204318711.6986485</v>
      </c>
      <c r="CJ102" s="5">
        <f>IF($B101&lt;=Tabla5[[#This Row],[INVERSIONES FCI]],+Tabla5[[#This Row],[INVERSIONES FCI]]-CJ101,Tabla5[[#This Row],[INVERSIONES FCI]])</f>
        <v>3204318711.6986485</v>
      </c>
      <c r="CK102" s="5">
        <f>IF($B101&lt;=Tabla5[[#This Row],[INVERSIONES FCI]],+Tabla5[[#This Row],[INVERSIONES FCI]]-CK101,Tabla5[[#This Row],[INVERSIONES FCI]])</f>
        <v>3204318711.6986485</v>
      </c>
      <c r="CL102" s="5">
        <f>IF($B101&lt;=Tabla5[[#This Row],[INVERSIONES FCI]],+Tabla5[[#This Row],[INVERSIONES FCI]]-CL101,Tabla5[[#This Row],[INVERSIONES FCI]])</f>
        <v>3204318711.6986485</v>
      </c>
      <c r="CM102" s="5">
        <f>IF($B101&lt;=Tabla5[[#This Row],[INVERSIONES FCI]],+Tabla5[[#This Row],[INVERSIONES FCI]]-CM101,Tabla5[[#This Row],[INVERSIONES FCI]])</f>
        <v>3204318711.6986485</v>
      </c>
      <c r="CN102" s="5">
        <f>IF($B101&lt;=Tabla5[[#This Row],[INVERSIONES FCI]],+Tabla5[[#This Row],[INVERSIONES FCI]]-CN101,Tabla5[[#This Row],[INVERSIONES FCI]])</f>
        <v>3204318711.6986485</v>
      </c>
      <c r="CO102" s="5">
        <f>IF($B101&lt;=Tabla5[[#This Row],[INVERSIONES FCI]],+Tabla5[[#This Row],[INVERSIONES FCI]]-CO101,Tabla5[[#This Row],[INVERSIONES FCI]])</f>
        <v>3204318711.6986485</v>
      </c>
      <c r="CP102" s="5">
        <f>IF($B101&lt;=Tabla5[[#This Row],[INVERSIONES FCI]],+Tabla5[[#This Row],[INVERSIONES FCI]]-CP101,Tabla5[[#This Row],[INVERSIONES FCI]])</f>
        <v>3204318711.6986485</v>
      </c>
      <c r="CQ102" s="5">
        <f>IF($B101&lt;=Tabla5[[#This Row],[INVERSIONES FCI]],+Tabla5[[#This Row],[INVERSIONES FCI]]-CQ101,Tabla5[[#This Row],[INVERSIONES FCI]])</f>
        <v>3204318711.6986485</v>
      </c>
      <c r="CR102" s="5">
        <f>IF($B101&lt;=Tabla5[[#This Row],[INVERSIONES FCI]],+Tabla5[[#This Row],[INVERSIONES FCI]]-CR101,Tabla5[[#This Row],[INVERSIONES FCI]])</f>
        <v>3204318711.6986485</v>
      </c>
      <c r="CS102" s="5">
        <f>IF($B101&lt;=Tabla5[[#This Row],[INVERSIONES FCI]],+Tabla5[[#This Row],[INVERSIONES FCI]]-CS101,Tabla5[[#This Row],[INVERSIONES FCI]])</f>
        <v>3204318711.6986485</v>
      </c>
      <c r="CT102" s="5">
        <f>IF($B101&lt;=Tabla5[[#This Row],[INVERSIONES FCI]],+Tabla5[[#This Row],[INVERSIONES FCI]]-CT101,Tabla5[[#This Row],[INVERSIONES FCI]])</f>
        <v>3204318711.6986485</v>
      </c>
      <c r="CU102" s="5">
        <f>IF($B101&lt;=Tabla5[[#This Row],[INVERSIONES FCI]],+Tabla5[[#This Row],[INVERSIONES FCI]]-CU101,Tabla5[[#This Row],[INVERSIONES FCI]])</f>
        <v>3204318711.6986485</v>
      </c>
      <c r="CV102" s="5">
        <f>IF($B101&lt;=Tabla5[[#This Row],[INVERSIONES FCI]],+Tabla5[[#This Row],[INVERSIONES FCI]]-CV101,Tabla5[[#This Row],[INVERSIONES FCI]])</f>
        <v>3204318711.6986485</v>
      </c>
      <c r="CW102" s="5">
        <f>IF($B101&lt;=Tabla5[[#This Row],[INVERSIONES FCI]],+Tabla5[[#This Row],[INVERSIONES FCI]]-CW101,Tabla5[[#This Row],[INVERSIONES FCI]])</f>
        <v>3204318711.6986485</v>
      </c>
      <c r="CX102" s="5">
        <f>IF($B101&lt;=Tabla5[[#This Row],[INVERSIONES FCI]],+Tabla5[[#This Row],[INVERSIONES FCI]]-CX101,Tabla5[[#This Row],[INVERSIONES FCI]])</f>
        <v>3204318711.6986485</v>
      </c>
      <c r="CY102" s="5" cm="1">
        <f t="array" ref="CY102">IF(Tabla5[[#This Row],[FCI]]=0,0,_xlfn.XLOOKUP(TRUE,$B102:CX102&gt;0,$B102:CX102,"",0,-1))</f>
        <v>3204318711.6986485</v>
      </c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</row>
    <row r="103" spans="1:121" ht="14.4">
      <c r="A103" s="12" t="s">
        <v>102</v>
      </c>
      <c r="B103" s="5">
        <f>HLOOKUP($A103,ESCENARIO[#All],7,FALSE)</f>
        <v>16625334869.879698</v>
      </c>
      <c r="C103" s="5">
        <f>IF($B102&lt;=Tabla5[[#This Row],[INVERSIONES FCI]],+Tabla5[[#This Row],[INVERSIONES FCI]]-C102,Tabla5[[#This Row],[INVERSIONES FCI]])</f>
        <v>13421016158.181049</v>
      </c>
      <c r="D103" s="5">
        <f>IF($B102&lt;=Tabla5[[#This Row],[INVERSIONES FCI]],+Tabla5[[#This Row],[INVERSIONES FCI]]-D102,Tabla5[[#This Row],[INVERSIONES FCI]])</f>
        <v>13421016158.181049</v>
      </c>
      <c r="E103" s="5">
        <f>IF($B102&lt;=Tabla5[[#This Row],[INVERSIONES FCI]],+Tabla5[[#This Row],[INVERSIONES FCI]]-E102,Tabla5[[#This Row],[INVERSIONES FCI]])</f>
        <v>13421016158.181049</v>
      </c>
      <c r="F103" s="5">
        <f>IF($B102&lt;=Tabla5[[#This Row],[INVERSIONES FCI]],+Tabla5[[#This Row],[INVERSIONES FCI]]-F102,Tabla5[[#This Row],[INVERSIONES FCI]])</f>
        <v>13421016158.181049</v>
      </c>
      <c r="G103" s="5">
        <f>IF($B102&lt;=Tabla5[[#This Row],[INVERSIONES FCI]],+Tabla5[[#This Row],[INVERSIONES FCI]]-G102,Tabla5[[#This Row],[INVERSIONES FCI]])</f>
        <v>13421016158.181049</v>
      </c>
      <c r="H103" s="5">
        <f>IF($B102&lt;=Tabla5[[#This Row],[INVERSIONES FCI]],+Tabla5[[#This Row],[INVERSIONES FCI]]-H102,Tabla5[[#This Row],[INVERSIONES FCI]])</f>
        <v>13421016158.181049</v>
      </c>
      <c r="I103" s="5">
        <f>IF($B102&lt;=Tabla5[[#This Row],[INVERSIONES FCI]],+Tabla5[[#This Row],[INVERSIONES FCI]]-I102,Tabla5[[#This Row],[INVERSIONES FCI]])</f>
        <v>13421016158.181049</v>
      </c>
      <c r="J103" s="5">
        <f>IF($B102&lt;=Tabla5[[#This Row],[INVERSIONES FCI]],+Tabla5[[#This Row],[INVERSIONES FCI]]-J102,Tabla5[[#This Row],[INVERSIONES FCI]])</f>
        <v>13421016158.181049</v>
      </c>
      <c r="K103" s="5">
        <f>IF($B102&lt;=Tabla5[[#This Row],[INVERSIONES FCI]],+Tabla5[[#This Row],[INVERSIONES FCI]]-K102,Tabla5[[#This Row],[INVERSIONES FCI]])</f>
        <v>13421016158.181049</v>
      </c>
      <c r="L103" s="5">
        <f>IF($B102&lt;=Tabla5[[#This Row],[INVERSIONES FCI]],+Tabla5[[#This Row],[INVERSIONES FCI]]-L102,Tabla5[[#This Row],[INVERSIONES FCI]])</f>
        <v>13421016158.181049</v>
      </c>
      <c r="M103" s="5">
        <f>IF($B102&lt;=Tabla5[[#This Row],[INVERSIONES FCI]],+Tabla5[[#This Row],[INVERSIONES FCI]]-M102,Tabla5[[#This Row],[INVERSIONES FCI]])</f>
        <v>13421016158.181049</v>
      </c>
      <c r="N103" s="5">
        <f>IF($B102&lt;=Tabla5[[#This Row],[INVERSIONES FCI]],+Tabla5[[#This Row],[INVERSIONES FCI]]-N102,Tabla5[[#This Row],[INVERSIONES FCI]])</f>
        <v>13421016158.181049</v>
      </c>
      <c r="O103" s="5">
        <f>IF($B102&lt;=Tabla5[[#This Row],[INVERSIONES FCI]],+Tabla5[[#This Row],[INVERSIONES FCI]]-O102,Tabla5[[#This Row],[INVERSIONES FCI]])</f>
        <v>13421016158.181049</v>
      </c>
      <c r="P103" s="5">
        <f>IF($B102&lt;=Tabla5[[#This Row],[INVERSIONES FCI]],+Tabla5[[#This Row],[INVERSIONES FCI]]-P102,Tabla5[[#This Row],[INVERSIONES FCI]])</f>
        <v>13421016158.181049</v>
      </c>
      <c r="Q103" s="5">
        <f>IF($B102&lt;=Tabla5[[#This Row],[INVERSIONES FCI]],+Tabla5[[#This Row],[INVERSIONES FCI]]-Q102,Tabla5[[#This Row],[INVERSIONES FCI]])</f>
        <v>13421016158.181049</v>
      </c>
      <c r="R103" s="5">
        <f>IF($B102&lt;=Tabla5[[#This Row],[INVERSIONES FCI]],+Tabla5[[#This Row],[INVERSIONES FCI]]-R102,Tabla5[[#This Row],[INVERSIONES FCI]])</f>
        <v>13421016158.181049</v>
      </c>
      <c r="S103" s="5">
        <f>IF($B102&lt;=Tabla5[[#This Row],[INVERSIONES FCI]],+Tabla5[[#This Row],[INVERSIONES FCI]]-S102,Tabla5[[#This Row],[INVERSIONES FCI]])</f>
        <v>13421016158.181049</v>
      </c>
      <c r="T103" s="5">
        <f>IF($B102&lt;=Tabla5[[#This Row],[INVERSIONES FCI]],+Tabla5[[#This Row],[INVERSIONES FCI]]-T102,Tabla5[[#This Row],[INVERSIONES FCI]])</f>
        <v>13421016158.181049</v>
      </c>
      <c r="U103" s="5">
        <f>IF($B102&lt;=Tabla5[[#This Row],[INVERSIONES FCI]],+Tabla5[[#This Row],[INVERSIONES FCI]]-U102,Tabla5[[#This Row],[INVERSIONES FCI]])</f>
        <v>13421016158.181049</v>
      </c>
      <c r="V103" s="5">
        <f>IF($B102&lt;=Tabla5[[#This Row],[INVERSIONES FCI]],+Tabla5[[#This Row],[INVERSIONES FCI]]-V102,Tabla5[[#This Row],[INVERSIONES FCI]])</f>
        <v>13421016158.181049</v>
      </c>
      <c r="W103" s="5">
        <f>IF($B102&lt;=Tabla5[[#This Row],[INVERSIONES FCI]],+Tabla5[[#This Row],[INVERSIONES FCI]]-W102,Tabla5[[#This Row],[INVERSIONES FCI]])</f>
        <v>13421016158.181049</v>
      </c>
      <c r="X103" s="5">
        <f>IF($B102&lt;=Tabla5[[#This Row],[INVERSIONES FCI]],+Tabla5[[#This Row],[INVERSIONES FCI]]-X102,Tabla5[[#This Row],[INVERSIONES FCI]])</f>
        <v>13421016158.181049</v>
      </c>
      <c r="Y103" s="5">
        <f>IF($B102&lt;=Tabla5[[#This Row],[INVERSIONES FCI]],+Tabla5[[#This Row],[INVERSIONES FCI]]-Y102,Tabla5[[#This Row],[INVERSIONES FCI]])</f>
        <v>13421016158.181049</v>
      </c>
      <c r="Z103" s="5">
        <f>IF($B102&lt;=Tabla5[[#This Row],[INVERSIONES FCI]],+Tabla5[[#This Row],[INVERSIONES FCI]]-Z102,Tabla5[[#This Row],[INVERSIONES FCI]])</f>
        <v>13421016158.181049</v>
      </c>
      <c r="AA103" s="5">
        <f>IF($B102&lt;=Tabla5[[#This Row],[INVERSIONES FCI]],+Tabla5[[#This Row],[INVERSIONES FCI]]-AA102,Tabla5[[#This Row],[INVERSIONES FCI]])</f>
        <v>13421016158.181049</v>
      </c>
      <c r="AB103" s="5">
        <f>IF($B102&lt;=Tabla5[[#This Row],[INVERSIONES FCI]],+Tabla5[[#This Row],[INVERSIONES FCI]]-AB102,Tabla5[[#This Row],[INVERSIONES FCI]])</f>
        <v>13421016158.181049</v>
      </c>
      <c r="AC103" s="5">
        <f>IF($B102&lt;=Tabla5[[#This Row],[INVERSIONES FCI]],+Tabla5[[#This Row],[INVERSIONES FCI]]-AC102,Tabla5[[#This Row],[INVERSIONES FCI]])</f>
        <v>13421016158.181049</v>
      </c>
      <c r="AD103" s="5">
        <f>IF($B102&lt;=Tabla5[[#This Row],[INVERSIONES FCI]],+Tabla5[[#This Row],[INVERSIONES FCI]]-AD102,Tabla5[[#This Row],[INVERSIONES FCI]])</f>
        <v>13421016158.181049</v>
      </c>
      <c r="AE103" s="5">
        <f>IF($B102&lt;=Tabla5[[#This Row],[INVERSIONES FCI]],+Tabla5[[#This Row],[INVERSIONES FCI]]-AE102,Tabla5[[#This Row],[INVERSIONES FCI]])</f>
        <v>13421016158.181049</v>
      </c>
      <c r="AF103" s="5">
        <f>IF($B102&lt;=Tabla5[[#This Row],[INVERSIONES FCI]],+Tabla5[[#This Row],[INVERSIONES FCI]]-AF102,Tabla5[[#This Row],[INVERSIONES FCI]])</f>
        <v>13421016158.181049</v>
      </c>
      <c r="AG103" s="5">
        <f>IF($B102&lt;=Tabla5[[#This Row],[INVERSIONES FCI]],+Tabla5[[#This Row],[INVERSIONES FCI]]-AG102,Tabla5[[#This Row],[INVERSIONES FCI]])</f>
        <v>13421016158.181049</v>
      </c>
      <c r="AH103" s="5">
        <f>IF($B102&lt;=Tabla5[[#This Row],[INVERSIONES FCI]],+Tabla5[[#This Row],[INVERSIONES FCI]]-AH102,Tabla5[[#This Row],[INVERSIONES FCI]])</f>
        <v>13421016158.181049</v>
      </c>
      <c r="AI103" s="5">
        <f>IF($B102&lt;=Tabla5[[#This Row],[INVERSIONES FCI]],+Tabla5[[#This Row],[INVERSIONES FCI]]-AI102,Tabla5[[#This Row],[INVERSIONES FCI]])</f>
        <v>13421016158.181049</v>
      </c>
      <c r="AJ103" s="5">
        <f>IF($B102&lt;=Tabla5[[#This Row],[INVERSIONES FCI]],+Tabla5[[#This Row],[INVERSIONES FCI]]-AJ102,Tabla5[[#This Row],[INVERSIONES FCI]])</f>
        <v>13421016158.181049</v>
      </c>
      <c r="AK103" s="5">
        <f>IF($B102&lt;=Tabla5[[#This Row],[INVERSIONES FCI]],+Tabla5[[#This Row],[INVERSIONES FCI]]-AK102,Tabla5[[#This Row],[INVERSIONES FCI]])</f>
        <v>13421016158.181049</v>
      </c>
      <c r="AL103" s="5">
        <f>IF($B102&lt;=Tabla5[[#This Row],[INVERSIONES FCI]],+Tabla5[[#This Row],[INVERSIONES FCI]]-AL102,Tabla5[[#This Row],[INVERSIONES FCI]])</f>
        <v>13421016158.181049</v>
      </c>
      <c r="AM103" s="5">
        <f>IF($B102&lt;=Tabla5[[#This Row],[INVERSIONES FCI]],+Tabla5[[#This Row],[INVERSIONES FCI]]-AM102,Tabla5[[#This Row],[INVERSIONES FCI]])</f>
        <v>13421016158.181049</v>
      </c>
      <c r="AN103" s="5">
        <f>IF($B102&lt;=Tabla5[[#This Row],[INVERSIONES FCI]],+Tabla5[[#This Row],[INVERSIONES FCI]]-AN102,Tabla5[[#This Row],[INVERSIONES FCI]])</f>
        <v>13421016158.181049</v>
      </c>
      <c r="AO103" s="5">
        <f>IF($B102&lt;=Tabla5[[#This Row],[INVERSIONES FCI]],+Tabla5[[#This Row],[INVERSIONES FCI]]-AO102,Tabla5[[#This Row],[INVERSIONES FCI]])</f>
        <v>13421016158.181049</v>
      </c>
      <c r="AP103" s="5">
        <f>IF($B102&lt;=Tabla5[[#This Row],[INVERSIONES FCI]],+Tabla5[[#This Row],[INVERSIONES FCI]]-AP102,Tabla5[[#This Row],[INVERSIONES FCI]])</f>
        <v>13421016158.181049</v>
      </c>
      <c r="AQ103" s="5">
        <f>IF($B102&lt;=Tabla5[[#This Row],[INVERSIONES FCI]],+Tabla5[[#This Row],[INVERSIONES FCI]]-AQ102,Tabla5[[#This Row],[INVERSIONES FCI]])</f>
        <v>13421016158.181049</v>
      </c>
      <c r="AR103" s="5">
        <f>IF($B102&lt;=Tabla5[[#This Row],[INVERSIONES FCI]],+Tabla5[[#This Row],[INVERSIONES FCI]]-AR102,Tabla5[[#This Row],[INVERSIONES FCI]])</f>
        <v>13421016158.181049</v>
      </c>
      <c r="AS103" s="5">
        <f>IF($B102&lt;=Tabla5[[#This Row],[INVERSIONES FCI]],+Tabla5[[#This Row],[INVERSIONES FCI]]-AS102,Tabla5[[#This Row],[INVERSIONES FCI]])</f>
        <v>13421016158.181049</v>
      </c>
      <c r="AT103" s="5">
        <f>IF($B102&lt;=Tabla5[[#This Row],[INVERSIONES FCI]],+Tabla5[[#This Row],[INVERSIONES FCI]]-AT102,Tabla5[[#This Row],[INVERSIONES FCI]])</f>
        <v>13421016158.181049</v>
      </c>
      <c r="AU103" s="5">
        <f>IF($B102&lt;=Tabla5[[#This Row],[INVERSIONES FCI]],+Tabla5[[#This Row],[INVERSIONES FCI]]-AU102,Tabla5[[#This Row],[INVERSIONES FCI]])</f>
        <v>13421016158.181049</v>
      </c>
      <c r="AV103" s="5">
        <f>IF($B102&lt;=Tabla5[[#This Row],[INVERSIONES FCI]],+Tabla5[[#This Row],[INVERSIONES FCI]]-AV102,Tabla5[[#This Row],[INVERSIONES FCI]])</f>
        <v>13421016158.181049</v>
      </c>
      <c r="AW103" s="5">
        <f>IF($B102&lt;=Tabla5[[#This Row],[INVERSIONES FCI]],+Tabla5[[#This Row],[INVERSIONES FCI]]-AW102,Tabla5[[#This Row],[INVERSIONES FCI]])</f>
        <v>13421016158.181049</v>
      </c>
      <c r="AX103" s="5">
        <f>IF($B102&lt;=Tabla5[[#This Row],[INVERSIONES FCI]],+Tabla5[[#This Row],[INVERSIONES FCI]]-AX102,Tabla5[[#This Row],[INVERSIONES FCI]])</f>
        <v>13421016158.181049</v>
      </c>
      <c r="AY103" s="5">
        <f>IF($B102&lt;=Tabla5[[#This Row],[INVERSIONES FCI]],+Tabla5[[#This Row],[INVERSIONES FCI]]-AY102,Tabla5[[#This Row],[INVERSIONES FCI]])</f>
        <v>13421016158.181049</v>
      </c>
      <c r="AZ103" s="5">
        <f>IF($B102&lt;=Tabla5[[#This Row],[INVERSIONES FCI]],+Tabla5[[#This Row],[INVERSIONES FCI]]-AZ102,Tabla5[[#This Row],[INVERSIONES FCI]])</f>
        <v>13421016158.181049</v>
      </c>
      <c r="BA103" s="5">
        <f>IF($B102&lt;=Tabla5[[#This Row],[INVERSIONES FCI]],+Tabla5[[#This Row],[INVERSIONES FCI]]-BA102,Tabla5[[#This Row],[INVERSIONES FCI]])</f>
        <v>13421016158.181049</v>
      </c>
      <c r="BB103" s="5">
        <f>IF($B102&lt;=Tabla5[[#This Row],[INVERSIONES FCI]],+Tabla5[[#This Row],[INVERSIONES FCI]]-BB102,Tabla5[[#This Row],[INVERSIONES FCI]])</f>
        <v>13421016158.181049</v>
      </c>
      <c r="BC103" s="5">
        <f>IF($B102&lt;=Tabla5[[#This Row],[INVERSIONES FCI]],+Tabla5[[#This Row],[INVERSIONES FCI]]-BC102,Tabla5[[#This Row],[INVERSIONES FCI]])</f>
        <v>13421016158.181049</v>
      </c>
      <c r="BD103" s="5">
        <f>IF($B102&lt;=Tabla5[[#This Row],[INVERSIONES FCI]],+Tabla5[[#This Row],[INVERSIONES FCI]]-BD102,Tabla5[[#This Row],[INVERSIONES FCI]])</f>
        <v>13421016158.181049</v>
      </c>
      <c r="BE103" s="5">
        <f>IF($B102&lt;=Tabla5[[#This Row],[INVERSIONES FCI]],+Tabla5[[#This Row],[INVERSIONES FCI]]-BE102,Tabla5[[#This Row],[INVERSIONES FCI]])</f>
        <v>13421016158.181049</v>
      </c>
      <c r="BF103" s="5">
        <f>IF($B102&lt;=Tabla5[[#This Row],[INVERSIONES FCI]],+Tabla5[[#This Row],[INVERSIONES FCI]]-BF102,Tabla5[[#This Row],[INVERSIONES FCI]])</f>
        <v>13421016158.181049</v>
      </c>
      <c r="BG103" s="5">
        <f>IF($B102&lt;=Tabla5[[#This Row],[INVERSIONES FCI]],+Tabla5[[#This Row],[INVERSIONES FCI]]-BG102,Tabla5[[#This Row],[INVERSIONES FCI]])</f>
        <v>13421016158.181049</v>
      </c>
      <c r="BH103" s="5">
        <f>IF($B102&lt;=Tabla5[[#This Row],[INVERSIONES FCI]],+Tabla5[[#This Row],[INVERSIONES FCI]]-BH102,Tabla5[[#This Row],[INVERSIONES FCI]])</f>
        <v>13421016158.181049</v>
      </c>
      <c r="BI103" s="5">
        <f>IF($B102&lt;=Tabla5[[#This Row],[INVERSIONES FCI]],+Tabla5[[#This Row],[INVERSIONES FCI]]-BI102,Tabla5[[#This Row],[INVERSIONES FCI]])</f>
        <v>13421016158.181049</v>
      </c>
      <c r="BJ103" s="5">
        <f>IF($B102&lt;=Tabla5[[#This Row],[INVERSIONES FCI]],+Tabla5[[#This Row],[INVERSIONES FCI]]-BJ102,Tabla5[[#This Row],[INVERSIONES FCI]])</f>
        <v>13421016158.181049</v>
      </c>
      <c r="BK103" s="5">
        <f>IF($B102&lt;=Tabla5[[#This Row],[INVERSIONES FCI]],+Tabla5[[#This Row],[INVERSIONES FCI]]-BK102,Tabla5[[#This Row],[INVERSIONES FCI]])</f>
        <v>13421016158.181049</v>
      </c>
      <c r="BL103" s="5">
        <f>IF($B102&lt;=Tabla5[[#This Row],[INVERSIONES FCI]],+Tabla5[[#This Row],[INVERSIONES FCI]]-BL102,Tabla5[[#This Row],[INVERSIONES FCI]])</f>
        <v>13421016158.181049</v>
      </c>
      <c r="BM103" s="5">
        <f>IF($B102&lt;=Tabla5[[#This Row],[INVERSIONES FCI]],+Tabla5[[#This Row],[INVERSIONES FCI]]-BM102,Tabla5[[#This Row],[INVERSIONES FCI]])</f>
        <v>13421016158.181049</v>
      </c>
      <c r="BN103" s="5">
        <f>IF($B102&lt;=Tabla5[[#This Row],[INVERSIONES FCI]],+Tabla5[[#This Row],[INVERSIONES FCI]]-BN102,Tabla5[[#This Row],[INVERSIONES FCI]])</f>
        <v>13421016158.181049</v>
      </c>
      <c r="BO103" s="5">
        <f>IF($B102&lt;=Tabla5[[#This Row],[INVERSIONES FCI]],+Tabla5[[#This Row],[INVERSIONES FCI]]-BO102,Tabla5[[#This Row],[INVERSIONES FCI]])</f>
        <v>13421016158.181049</v>
      </c>
      <c r="BP103" s="5">
        <f>IF($B102&lt;=Tabla5[[#This Row],[INVERSIONES FCI]],+Tabla5[[#This Row],[INVERSIONES FCI]]-BP102,Tabla5[[#This Row],[INVERSIONES FCI]])</f>
        <v>13421016158.181049</v>
      </c>
      <c r="BQ103" s="5">
        <f>IF($B102&lt;=Tabla5[[#This Row],[INVERSIONES FCI]],+Tabla5[[#This Row],[INVERSIONES FCI]]-BQ102,Tabla5[[#This Row],[INVERSIONES FCI]])</f>
        <v>13421016158.181049</v>
      </c>
      <c r="BR103" s="5">
        <f>IF($B102&lt;=Tabla5[[#This Row],[INVERSIONES FCI]],+Tabla5[[#This Row],[INVERSIONES FCI]]-BR102,Tabla5[[#This Row],[INVERSIONES FCI]])</f>
        <v>13421016158.181049</v>
      </c>
      <c r="BS103" s="5">
        <f>IF($B102&lt;=Tabla5[[#This Row],[INVERSIONES FCI]],+Tabla5[[#This Row],[INVERSIONES FCI]]-BS102,Tabla5[[#This Row],[INVERSIONES FCI]])</f>
        <v>13421016158.181049</v>
      </c>
      <c r="BT103" s="5">
        <f>IF($B102&lt;=Tabla5[[#This Row],[INVERSIONES FCI]],+Tabla5[[#This Row],[INVERSIONES FCI]]-BT102,Tabla5[[#This Row],[INVERSIONES FCI]])</f>
        <v>13421016158.181049</v>
      </c>
      <c r="BU103" s="5">
        <f>IF($B102&lt;=Tabla5[[#This Row],[INVERSIONES FCI]],+Tabla5[[#This Row],[INVERSIONES FCI]]-BU102,Tabla5[[#This Row],[INVERSIONES FCI]])</f>
        <v>13421016158.181049</v>
      </c>
      <c r="BV103" s="5">
        <f>IF($B102&lt;=Tabla5[[#This Row],[INVERSIONES FCI]],+Tabla5[[#This Row],[INVERSIONES FCI]]-BV102,Tabla5[[#This Row],[INVERSIONES FCI]])</f>
        <v>13421016158.181049</v>
      </c>
      <c r="BW103" s="5">
        <f>IF($B102&lt;=Tabla5[[#This Row],[INVERSIONES FCI]],+Tabla5[[#This Row],[INVERSIONES FCI]]-BW102,Tabla5[[#This Row],[INVERSIONES FCI]])</f>
        <v>13421016158.181049</v>
      </c>
      <c r="BX103" s="5">
        <f>IF($B102&lt;=Tabla5[[#This Row],[INVERSIONES FCI]],+Tabla5[[#This Row],[INVERSIONES FCI]]-BX102,Tabla5[[#This Row],[INVERSIONES FCI]])</f>
        <v>13421016158.181049</v>
      </c>
      <c r="BY103" s="5">
        <f>IF($B102&lt;=Tabla5[[#This Row],[INVERSIONES FCI]],+Tabla5[[#This Row],[INVERSIONES FCI]]-BY102,Tabla5[[#This Row],[INVERSIONES FCI]])</f>
        <v>13421016158.181049</v>
      </c>
      <c r="BZ103" s="5">
        <f>IF($B102&lt;=Tabla5[[#This Row],[INVERSIONES FCI]],+Tabla5[[#This Row],[INVERSIONES FCI]]-BZ102,Tabla5[[#This Row],[INVERSIONES FCI]])</f>
        <v>13421016158.181049</v>
      </c>
      <c r="CA103" s="5">
        <f>IF($B102&lt;=Tabla5[[#This Row],[INVERSIONES FCI]],+Tabla5[[#This Row],[INVERSIONES FCI]]-CA102,Tabla5[[#This Row],[INVERSIONES FCI]])</f>
        <v>13421016158.181049</v>
      </c>
      <c r="CB103" s="5">
        <f>IF($B102&lt;=Tabla5[[#This Row],[INVERSIONES FCI]],+Tabla5[[#This Row],[INVERSIONES FCI]]-CB102,Tabla5[[#This Row],[INVERSIONES FCI]])</f>
        <v>13421016158.181049</v>
      </c>
      <c r="CC103" s="5">
        <f>IF($B102&lt;=Tabla5[[#This Row],[INVERSIONES FCI]],+Tabla5[[#This Row],[INVERSIONES FCI]]-CC102,Tabla5[[#This Row],[INVERSIONES FCI]])</f>
        <v>13421016158.181049</v>
      </c>
      <c r="CD103" s="5">
        <f>IF($B102&lt;=Tabla5[[#This Row],[INVERSIONES FCI]],+Tabla5[[#This Row],[INVERSIONES FCI]]-CD102,Tabla5[[#This Row],[INVERSIONES FCI]])</f>
        <v>13421016158.181049</v>
      </c>
      <c r="CE103" s="5">
        <f>IF($B102&lt;=Tabla5[[#This Row],[INVERSIONES FCI]],+Tabla5[[#This Row],[INVERSIONES FCI]]-CE102,Tabla5[[#This Row],[INVERSIONES FCI]])</f>
        <v>13421016158.181049</v>
      </c>
      <c r="CF103" s="5">
        <f>IF($B102&lt;=Tabla5[[#This Row],[INVERSIONES FCI]],+Tabla5[[#This Row],[INVERSIONES FCI]]-CF102,Tabla5[[#This Row],[INVERSIONES FCI]])</f>
        <v>13421016158.181049</v>
      </c>
      <c r="CG103" s="5">
        <f>IF($B102&lt;=Tabla5[[#This Row],[INVERSIONES FCI]],+Tabla5[[#This Row],[INVERSIONES FCI]]-CG102,Tabla5[[#This Row],[INVERSIONES FCI]])</f>
        <v>13421016158.181049</v>
      </c>
      <c r="CH103" s="5">
        <f>IF($B102&lt;=Tabla5[[#This Row],[INVERSIONES FCI]],+Tabla5[[#This Row],[INVERSIONES FCI]]-CH102,Tabla5[[#This Row],[INVERSIONES FCI]])</f>
        <v>13421016158.181049</v>
      </c>
      <c r="CI103" s="5">
        <f>IF($B102&lt;=Tabla5[[#This Row],[INVERSIONES FCI]],+Tabla5[[#This Row],[INVERSIONES FCI]]-CI102,Tabla5[[#This Row],[INVERSIONES FCI]])</f>
        <v>13421016158.181049</v>
      </c>
      <c r="CJ103" s="5">
        <f>IF($B102&lt;=Tabla5[[#This Row],[INVERSIONES FCI]],+Tabla5[[#This Row],[INVERSIONES FCI]]-CJ102,Tabla5[[#This Row],[INVERSIONES FCI]])</f>
        <v>13421016158.181049</v>
      </c>
      <c r="CK103" s="5">
        <f>IF($B102&lt;=Tabla5[[#This Row],[INVERSIONES FCI]],+Tabla5[[#This Row],[INVERSIONES FCI]]-CK102,Tabla5[[#This Row],[INVERSIONES FCI]])</f>
        <v>13421016158.181049</v>
      </c>
      <c r="CL103" s="5">
        <f>IF($B102&lt;=Tabla5[[#This Row],[INVERSIONES FCI]],+Tabla5[[#This Row],[INVERSIONES FCI]]-CL102,Tabla5[[#This Row],[INVERSIONES FCI]])</f>
        <v>13421016158.181049</v>
      </c>
      <c r="CM103" s="5">
        <f>IF($B102&lt;=Tabla5[[#This Row],[INVERSIONES FCI]],+Tabla5[[#This Row],[INVERSIONES FCI]]-CM102,Tabla5[[#This Row],[INVERSIONES FCI]])</f>
        <v>13421016158.181049</v>
      </c>
      <c r="CN103" s="5">
        <f>IF($B102&lt;=Tabla5[[#This Row],[INVERSIONES FCI]],+Tabla5[[#This Row],[INVERSIONES FCI]]-CN102,Tabla5[[#This Row],[INVERSIONES FCI]])</f>
        <v>13421016158.181049</v>
      </c>
      <c r="CO103" s="5">
        <f>IF($B102&lt;=Tabla5[[#This Row],[INVERSIONES FCI]],+Tabla5[[#This Row],[INVERSIONES FCI]]-CO102,Tabla5[[#This Row],[INVERSIONES FCI]])</f>
        <v>13421016158.181049</v>
      </c>
      <c r="CP103" s="5">
        <f>IF($B102&lt;=Tabla5[[#This Row],[INVERSIONES FCI]],+Tabla5[[#This Row],[INVERSIONES FCI]]-CP102,Tabla5[[#This Row],[INVERSIONES FCI]])</f>
        <v>13421016158.181049</v>
      </c>
      <c r="CQ103" s="5">
        <f>IF($B102&lt;=Tabla5[[#This Row],[INVERSIONES FCI]],+Tabla5[[#This Row],[INVERSIONES FCI]]-CQ102,Tabla5[[#This Row],[INVERSIONES FCI]])</f>
        <v>13421016158.181049</v>
      </c>
      <c r="CR103" s="5">
        <f>IF($B102&lt;=Tabla5[[#This Row],[INVERSIONES FCI]],+Tabla5[[#This Row],[INVERSIONES FCI]]-CR102,Tabla5[[#This Row],[INVERSIONES FCI]])</f>
        <v>13421016158.181049</v>
      </c>
      <c r="CS103" s="5">
        <f>IF($B102&lt;=Tabla5[[#This Row],[INVERSIONES FCI]],+Tabla5[[#This Row],[INVERSIONES FCI]]-CS102,Tabla5[[#This Row],[INVERSIONES FCI]])</f>
        <v>13421016158.181049</v>
      </c>
      <c r="CT103" s="5">
        <f>IF($B102&lt;=Tabla5[[#This Row],[INVERSIONES FCI]],+Tabla5[[#This Row],[INVERSIONES FCI]]-CT102,Tabla5[[#This Row],[INVERSIONES FCI]])</f>
        <v>13421016158.181049</v>
      </c>
      <c r="CU103" s="5">
        <f>IF($B102&lt;=Tabla5[[#This Row],[INVERSIONES FCI]],+Tabla5[[#This Row],[INVERSIONES FCI]]-CU102,Tabla5[[#This Row],[INVERSIONES FCI]])</f>
        <v>13421016158.181049</v>
      </c>
      <c r="CV103" s="5">
        <f>IF($B102&lt;=Tabla5[[#This Row],[INVERSIONES FCI]],+Tabla5[[#This Row],[INVERSIONES FCI]]-CV102,Tabla5[[#This Row],[INVERSIONES FCI]])</f>
        <v>13421016158.181049</v>
      </c>
      <c r="CW103" s="5">
        <f>IF($B102&lt;=Tabla5[[#This Row],[INVERSIONES FCI]],+Tabla5[[#This Row],[INVERSIONES FCI]]-CW102,Tabla5[[#This Row],[INVERSIONES FCI]])</f>
        <v>13421016158.181049</v>
      </c>
      <c r="CX103" s="5">
        <f>IF($B102&lt;=Tabla5[[#This Row],[INVERSIONES FCI]],+Tabla5[[#This Row],[INVERSIONES FCI]]-CX102,Tabla5[[#This Row],[INVERSIONES FCI]])</f>
        <v>13421016158.181049</v>
      </c>
      <c r="CY103" s="5">
        <f>IF($B102&lt;=Tabla5[[#This Row],[INVERSIONES FCI]],+Tabla5[[#This Row],[INVERSIONES FCI]]-CY102,Tabla5[[#This Row],[INVERSIONES FCI]])</f>
        <v>13421016158.181049</v>
      </c>
      <c r="CZ103" s="5" cm="1">
        <f t="array" ref="CZ103">IF(Tabla5[[#This Row],[FCI]]=0,0,_xlfn.XLOOKUP(TRUE,$B103:CY103&gt;0,$B103:CY103,"",0,-1))</f>
        <v>13421016158.181049</v>
      </c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</row>
    <row r="104" spans="1:121" ht="14.4">
      <c r="A104" s="12" t="s">
        <v>103</v>
      </c>
      <c r="B104" s="5">
        <f>HLOOKUP($A104,ESCENARIO[#All],7,FALSE)</f>
        <v>18161602079.237358</v>
      </c>
      <c r="C104" s="5">
        <f>IF($B103&lt;=Tabla5[[#This Row],[INVERSIONES FCI]],+Tabla5[[#This Row],[INVERSIONES FCI]]-C103,Tabla5[[#This Row],[INVERSIONES FCI]])</f>
        <v>4740585921.0563087</v>
      </c>
      <c r="D104" s="5">
        <f>IF($B103&lt;=Tabla5[[#This Row],[INVERSIONES FCI]],+Tabla5[[#This Row],[INVERSIONES FCI]]-D103,Tabla5[[#This Row],[INVERSIONES FCI]])</f>
        <v>4740585921.0563087</v>
      </c>
      <c r="E104" s="5">
        <f>IF($B103&lt;=Tabla5[[#This Row],[INVERSIONES FCI]],+Tabla5[[#This Row],[INVERSIONES FCI]]-E103,Tabla5[[#This Row],[INVERSIONES FCI]])</f>
        <v>4740585921.0563087</v>
      </c>
      <c r="F104" s="5">
        <f>IF($B103&lt;=Tabla5[[#This Row],[INVERSIONES FCI]],+Tabla5[[#This Row],[INVERSIONES FCI]]-F103,Tabla5[[#This Row],[INVERSIONES FCI]])</f>
        <v>4740585921.0563087</v>
      </c>
      <c r="G104" s="5">
        <f>IF($B103&lt;=Tabla5[[#This Row],[INVERSIONES FCI]],+Tabla5[[#This Row],[INVERSIONES FCI]]-G103,Tabla5[[#This Row],[INVERSIONES FCI]])</f>
        <v>4740585921.0563087</v>
      </c>
      <c r="H104" s="5">
        <f>IF($B103&lt;=Tabla5[[#This Row],[INVERSIONES FCI]],+Tabla5[[#This Row],[INVERSIONES FCI]]-H103,Tabla5[[#This Row],[INVERSIONES FCI]])</f>
        <v>4740585921.0563087</v>
      </c>
      <c r="I104" s="5">
        <f>IF($B103&lt;=Tabla5[[#This Row],[INVERSIONES FCI]],+Tabla5[[#This Row],[INVERSIONES FCI]]-I103,Tabla5[[#This Row],[INVERSIONES FCI]])</f>
        <v>4740585921.0563087</v>
      </c>
      <c r="J104" s="5">
        <f>IF($B103&lt;=Tabla5[[#This Row],[INVERSIONES FCI]],+Tabla5[[#This Row],[INVERSIONES FCI]]-J103,Tabla5[[#This Row],[INVERSIONES FCI]])</f>
        <v>4740585921.0563087</v>
      </c>
      <c r="K104" s="5">
        <f>IF($B103&lt;=Tabla5[[#This Row],[INVERSIONES FCI]],+Tabla5[[#This Row],[INVERSIONES FCI]]-K103,Tabla5[[#This Row],[INVERSIONES FCI]])</f>
        <v>4740585921.0563087</v>
      </c>
      <c r="L104" s="5">
        <f>IF($B103&lt;=Tabla5[[#This Row],[INVERSIONES FCI]],+Tabla5[[#This Row],[INVERSIONES FCI]]-L103,Tabla5[[#This Row],[INVERSIONES FCI]])</f>
        <v>4740585921.0563087</v>
      </c>
      <c r="M104" s="5">
        <f>IF($B103&lt;=Tabla5[[#This Row],[INVERSIONES FCI]],+Tabla5[[#This Row],[INVERSIONES FCI]]-M103,Tabla5[[#This Row],[INVERSIONES FCI]])</f>
        <v>4740585921.0563087</v>
      </c>
      <c r="N104" s="5">
        <f>IF($B103&lt;=Tabla5[[#This Row],[INVERSIONES FCI]],+Tabla5[[#This Row],[INVERSIONES FCI]]-N103,Tabla5[[#This Row],[INVERSIONES FCI]])</f>
        <v>4740585921.0563087</v>
      </c>
      <c r="O104" s="5">
        <f>IF($B103&lt;=Tabla5[[#This Row],[INVERSIONES FCI]],+Tabla5[[#This Row],[INVERSIONES FCI]]-O103,Tabla5[[#This Row],[INVERSIONES FCI]])</f>
        <v>4740585921.0563087</v>
      </c>
      <c r="P104" s="5">
        <f>IF($B103&lt;=Tabla5[[#This Row],[INVERSIONES FCI]],+Tabla5[[#This Row],[INVERSIONES FCI]]-P103,Tabla5[[#This Row],[INVERSIONES FCI]])</f>
        <v>4740585921.0563087</v>
      </c>
      <c r="Q104" s="5">
        <f>IF($B103&lt;=Tabla5[[#This Row],[INVERSIONES FCI]],+Tabla5[[#This Row],[INVERSIONES FCI]]-Q103,Tabla5[[#This Row],[INVERSIONES FCI]])</f>
        <v>4740585921.0563087</v>
      </c>
      <c r="R104" s="5">
        <f>IF($B103&lt;=Tabla5[[#This Row],[INVERSIONES FCI]],+Tabla5[[#This Row],[INVERSIONES FCI]]-R103,Tabla5[[#This Row],[INVERSIONES FCI]])</f>
        <v>4740585921.0563087</v>
      </c>
      <c r="S104" s="5">
        <f>IF($B103&lt;=Tabla5[[#This Row],[INVERSIONES FCI]],+Tabla5[[#This Row],[INVERSIONES FCI]]-S103,Tabla5[[#This Row],[INVERSIONES FCI]])</f>
        <v>4740585921.0563087</v>
      </c>
      <c r="T104" s="5">
        <f>IF($B103&lt;=Tabla5[[#This Row],[INVERSIONES FCI]],+Tabla5[[#This Row],[INVERSIONES FCI]]-T103,Tabla5[[#This Row],[INVERSIONES FCI]])</f>
        <v>4740585921.0563087</v>
      </c>
      <c r="U104" s="5">
        <f>IF($B103&lt;=Tabla5[[#This Row],[INVERSIONES FCI]],+Tabla5[[#This Row],[INVERSIONES FCI]]-U103,Tabla5[[#This Row],[INVERSIONES FCI]])</f>
        <v>4740585921.0563087</v>
      </c>
      <c r="V104" s="5">
        <f>IF($B103&lt;=Tabla5[[#This Row],[INVERSIONES FCI]],+Tabla5[[#This Row],[INVERSIONES FCI]]-V103,Tabla5[[#This Row],[INVERSIONES FCI]])</f>
        <v>4740585921.0563087</v>
      </c>
      <c r="W104" s="5">
        <f>IF($B103&lt;=Tabla5[[#This Row],[INVERSIONES FCI]],+Tabla5[[#This Row],[INVERSIONES FCI]]-W103,Tabla5[[#This Row],[INVERSIONES FCI]])</f>
        <v>4740585921.0563087</v>
      </c>
      <c r="X104" s="5">
        <f>IF($B103&lt;=Tabla5[[#This Row],[INVERSIONES FCI]],+Tabla5[[#This Row],[INVERSIONES FCI]]-X103,Tabla5[[#This Row],[INVERSIONES FCI]])</f>
        <v>4740585921.0563087</v>
      </c>
      <c r="Y104" s="5">
        <f>IF($B103&lt;=Tabla5[[#This Row],[INVERSIONES FCI]],+Tabla5[[#This Row],[INVERSIONES FCI]]-Y103,Tabla5[[#This Row],[INVERSIONES FCI]])</f>
        <v>4740585921.0563087</v>
      </c>
      <c r="Z104" s="5">
        <f>IF($B103&lt;=Tabla5[[#This Row],[INVERSIONES FCI]],+Tabla5[[#This Row],[INVERSIONES FCI]]-Z103,Tabla5[[#This Row],[INVERSIONES FCI]])</f>
        <v>4740585921.0563087</v>
      </c>
      <c r="AA104" s="5">
        <f>IF($B103&lt;=Tabla5[[#This Row],[INVERSIONES FCI]],+Tabla5[[#This Row],[INVERSIONES FCI]]-AA103,Tabla5[[#This Row],[INVERSIONES FCI]])</f>
        <v>4740585921.0563087</v>
      </c>
      <c r="AB104" s="5">
        <f>IF($B103&lt;=Tabla5[[#This Row],[INVERSIONES FCI]],+Tabla5[[#This Row],[INVERSIONES FCI]]-AB103,Tabla5[[#This Row],[INVERSIONES FCI]])</f>
        <v>4740585921.0563087</v>
      </c>
      <c r="AC104" s="5">
        <f>IF($B103&lt;=Tabla5[[#This Row],[INVERSIONES FCI]],+Tabla5[[#This Row],[INVERSIONES FCI]]-AC103,Tabla5[[#This Row],[INVERSIONES FCI]])</f>
        <v>4740585921.0563087</v>
      </c>
      <c r="AD104" s="5">
        <f>IF($B103&lt;=Tabla5[[#This Row],[INVERSIONES FCI]],+Tabla5[[#This Row],[INVERSIONES FCI]]-AD103,Tabla5[[#This Row],[INVERSIONES FCI]])</f>
        <v>4740585921.0563087</v>
      </c>
      <c r="AE104" s="5">
        <f>IF($B103&lt;=Tabla5[[#This Row],[INVERSIONES FCI]],+Tabla5[[#This Row],[INVERSIONES FCI]]-AE103,Tabla5[[#This Row],[INVERSIONES FCI]])</f>
        <v>4740585921.0563087</v>
      </c>
      <c r="AF104" s="5">
        <f>IF($B103&lt;=Tabla5[[#This Row],[INVERSIONES FCI]],+Tabla5[[#This Row],[INVERSIONES FCI]]-AF103,Tabla5[[#This Row],[INVERSIONES FCI]])</f>
        <v>4740585921.0563087</v>
      </c>
      <c r="AG104" s="5">
        <f>IF($B103&lt;=Tabla5[[#This Row],[INVERSIONES FCI]],+Tabla5[[#This Row],[INVERSIONES FCI]]-AG103,Tabla5[[#This Row],[INVERSIONES FCI]])</f>
        <v>4740585921.0563087</v>
      </c>
      <c r="AH104" s="5">
        <f>IF($B103&lt;=Tabla5[[#This Row],[INVERSIONES FCI]],+Tabla5[[#This Row],[INVERSIONES FCI]]-AH103,Tabla5[[#This Row],[INVERSIONES FCI]])</f>
        <v>4740585921.0563087</v>
      </c>
      <c r="AI104" s="5">
        <f>IF($B103&lt;=Tabla5[[#This Row],[INVERSIONES FCI]],+Tabla5[[#This Row],[INVERSIONES FCI]]-AI103,Tabla5[[#This Row],[INVERSIONES FCI]])</f>
        <v>4740585921.0563087</v>
      </c>
      <c r="AJ104" s="5">
        <f>IF($B103&lt;=Tabla5[[#This Row],[INVERSIONES FCI]],+Tabla5[[#This Row],[INVERSIONES FCI]]-AJ103,Tabla5[[#This Row],[INVERSIONES FCI]])</f>
        <v>4740585921.0563087</v>
      </c>
      <c r="AK104" s="5">
        <f>IF($B103&lt;=Tabla5[[#This Row],[INVERSIONES FCI]],+Tabla5[[#This Row],[INVERSIONES FCI]]-AK103,Tabla5[[#This Row],[INVERSIONES FCI]])</f>
        <v>4740585921.0563087</v>
      </c>
      <c r="AL104" s="5">
        <f>IF($B103&lt;=Tabla5[[#This Row],[INVERSIONES FCI]],+Tabla5[[#This Row],[INVERSIONES FCI]]-AL103,Tabla5[[#This Row],[INVERSIONES FCI]])</f>
        <v>4740585921.0563087</v>
      </c>
      <c r="AM104" s="5">
        <f>IF($B103&lt;=Tabla5[[#This Row],[INVERSIONES FCI]],+Tabla5[[#This Row],[INVERSIONES FCI]]-AM103,Tabla5[[#This Row],[INVERSIONES FCI]])</f>
        <v>4740585921.0563087</v>
      </c>
      <c r="AN104" s="5">
        <f>IF($B103&lt;=Tabla5[[#This Row],[INVERSIONES FCI]],+Tabla5[[#This Row],[INVERSIONES FCI]]-AN103,Tabla5[[#This Row],[INVERSIONES FCI]])</f>
        <v>4740585921.0563087</v>
      </c>
      <c r="AO104" s="5">
        <f>IF($B103&lt;=Tabla5[[#This Row],[INVERSIONES FCI]],+Tabla5[[#This Row],[INVERSIONES FCI]]-AO103,Tabla5[[#This Row],[INVERSIONES FCI]])</f>
        <v>4740585921.0563087</v>
      </c>
      <c r="AP104" s="5">
        <f>IF($B103&lt;=Tabla5[[#This Row],[INVERSIONES FCI]],+Tabla5[[#This Row],[INVERSIONES FCI]]-AP103,Tabla5[[#This Row],[INVERSIONES FCI]])</f>
        <v>4740585921.0563087</v>
      </c>
      <c r="AQ104" s="5">
        <f>IF($B103&lt;=Tabla5[[#This Row],[INVERSIONES FCI]],+Tabla5[[#This Row],[INVERSIONES FCI]]-AQ103,Tabla5[[#This Row],[INVERSIONES FCI]])</f>
        <v>4740585921.0563087</v>
      </c>
      <c r="AR104" s="5">
        <f>IF($B103&lt;=Tabla5[[#This Row],[INVERSIONES FCI]],+Tabla5[[#This Row],[INVERSIONES FCI]]-AR103,Tabla5[[#This Row],[INVERSIONES FCI]])</f>
        <v>4740585921.0563087</v>
      </c>
      <c r="AS104" s="5">
        <f>IF($B103&lt;=Tabla5[[#This Row],[INVERSIONES FCI]],+Tabla5[[#This Row],[INVERSIONES FCI]]-AS103,Tabla5[[#This Row],[INVERSIONES FCI]])</f>
        <v>4740585921.0563087</v>
      </c>
      <c r="AT104" s="5">
        <f>IF($B103&lt;=Tabla5[[#This Row],[INVERSIONES FCI]],+Tabla5[[#This Row],[INVERSIONES FCI]]-AT103,Tabla5[[#This Row],[INVERSIONES FCI]])</f>
        <v>4740585921.0563087</v>
      </c>
      <c r="AU104" s="5">
        <f>IF($B103&lt;=Tabla5[[#This Row],[INVERSIONES FCI]],+Tabla5[[#This Row],[INVERSIONES FCI]]-AU103,Tabla5[[#This Row],[INVERSIONES FCI]])</f>
        <v>4740585921.0563087</v>
      </c>
      <c r="AV104" s="5">
        <f>IF($B103&lt;=Tabla5[[#This Row],[INVERSIONES FCI]],+Tabla5[[#This Row],[INVERSIONES FCI]]-AV103,Tabla5[[#This Row],[INVERSIONES FCI]])</f>
        <v>4740585921.0563087</v>
      </c>
      <c r="AW104" s="5">
        <f>IF($B103&lt;=Tabla5[[#This Row],[INVERSIONES FCI]],+Tabla5[[#This Row],[INVERSIONES FCI]]-AW103,Tabla5[[#This Row],[INVERSIONES FCI]])</f>
        <v>4740585921.0563087</v>
      </c>
      <c r="AX104" s="5">
        <f>IF($B103&lt;=Tabla5[[#This Row],[INVERSIONES FCI]],+Tabla5[[#This Row],[INVERSIONES FCI]]-AX103,Tabla5[[#This Row],[INVERSIONES FCI]])</f>
        <v>4740585921.0563087</v>
      </c>
      <c r="AY104" s="5">
        <f>IF($B103&lt;=Tabla5[[#This Row],[INVERSIONES FCI]],+Tabla5[[#This Row],[INVERSIONES FCI]]-AY103,Tabla5[[#This Row],[INVERSIONES FCI]])</f>
        <v>4740585921.0563087</v>
      </c>
      <c r="AZ104" s="5">
        <f>IF($B103&lt;=Tabla5[[#This Row],[INVERSIONES FCI]],+Tabla5[[#This Row],[INVERSIONES FCI]]-AZ103,Tabla5[[#This Row],[INVERSIONES FCI]])</f>
        <v>4740585921.0563087</v>
      </c>
      <c r="BA104" s="5">
        <f>IF($B103&lt;=Tabla5[[#This Row],[INVERSIONES FCI]],+Tabla5[[#This Row],[INVERSIONES FCI]]-BA103,Tabla5[[#This Row],[INVERSIONES FCI]])</f>
        <v>4740585921.0563087</v>
      </c>
      <c r="BB104" s="5">
        <f>IF($B103&lt;=Tabla5[[#This Row],[INVERSIONES FCI]],+Tabla5[[#This Row],[INVERSIONES FCI]]-BB103,Tabla5[[#This Row],[INVERSIONES FCI]])</f>
        <v>4740585921.0563087</v>
      </c>
      <c r="BC104" s="5">
        <f>IF($B103&lt;=Tabla5[[#This Row],[INVERSIONES FCI]],+Tabla5[[#This Row],[INVERSIONES FCI]]-BC103,Tabla5[[#This Row],[INVERSIONES FCI]])</f>
        <v>4740585921.0563087</v>
      </c>
      <c r="BD104" s="5">
        <f>IF($B103&lt;=Tabla5[[#This Row],[INVERSIONES FCI]],+Tabla5[[#This Row],[INVERSIONES FCI]]-BD103,Tabla5[[#This Row],[INVERSIONES FCI]])</f>
        <v>4740585921.0563087</v>
      </c>
      <c r="BE104" s="5">
        <f>IF($B103&lt;=Tabla5[[#This Row],[INVERSIONES FCI]],+Tabla5[[#This Row],[INVERSIONES FCI]]-BE103,Tabla5[[#This Row],[INVERSIONES FCI]])</f>
        <v>4740585921.0563087</v>
      </c>
      <c r="BF104" s="5">
        <f>IF($B103&lt;=Tabla5[[#This Row],[INVERSIONES FCI]],+Tabla5[[#This Row],[INVERSIONES FCI]]-BF103,Tabla5[[#This Row],[INVERSIONES FCI]])</f>
        <v>4740585921.0563087</v>
      </c>
      <c r="BG104" s="5">
        <f>IF($B103&lt;=Tabla5[[#This Row],[INVERSIONES FCI]],+Tabla5[[#This Row],[INVERSIONES FCI]]-BG103,Tabla5[[#This Row],[INVERSIONES FCI]])</f>
        <v>4740585921.0563087</v>
      </c>
      <c r="BH104" s="5">
        <f>IF($B103&lt;=Tabla5[[#This Row],[INVERSIONES FCI]],+Tabla5[[#This Row],[INVERSIONES FCI]]-BH103,Tabla5[[#This Row],[INVERSIONES FCI]])</f>
        <v>4740585921.0563087</v>
      </c>
      <c r="BI104" s="5">
        <f>IF($B103&lt;=Tabla5[[#This Row],[INVERSIONES FCI]],+Tabla5[[#This Row],[INVERSIONES FCI]]-BI103,Tabla5[[#This Row],[INVERSIONES FCI]])</f>
        <v>4740585921.0563087</v>
      </c>
      <c r="BJ104" s="5">
        <f>IF($B103&lt;=Tabla5[[#This Row],[INVERSIONES FCI]],+Tabla5[[#This Row],[INVERSIONES FCI]]-BJ103,Tabla5[[#This Row],[INVERSIONES FCI]])</f>
        <v>4740585921.0563087</v>
      </c>
      <c r="BK104" s="5">
        <f>IF($B103&lt;=Tabla5[[#This Row],[INVERSIONES FCI]],+Tabla5[[#This Row],[INVERSIONES FCI]]-BK103,Tabla5[[#This Row],[INVERSIONES FCI]])</f>
        <v>4740585921.0563087</v>
      </c>
      <c r="BL104" s="5">
        <f>IF($B103&lt;=Tabla5[[#This Row],[INVERSIONES FCI]],+Tabla5[[#This Row],[INVERSIONES FCI]]-BL103,Tabla5[[#This Row],[INVERSIONES FCI]])</f>
        <v>4740585921.0563087</v>
      </c>
      <c r="BM104" s="5">
        <f>IF($B103&lt;=Tabla5[[#This Row],[INVERSIONES FCI]],+Tabla5[[#This Row],[INVERSIONES FCI]]-BM103,Tabla5[[#This Row],[INVERSIONES FCI]])</f>
        <v>4740585921.0563087</v>
      </c>
      <c r="BN104" s="5">
        <f>IF($B103&lt;=Tabla5[[#This Row],[INVERSIONES FCI]],+Tabla5[[#This Row],[INVERSIONES FCI]]-BN103,Tabla5[[#This Row],[INVERSIONES FCI]])</f>
        <v>4740585921.0563087</v>
      </c>
      <c r="BO104" s="5">
        <f>IF($B103&lt;=Tabla5[[#This Row],[INVERSIONES FCI]],+Tabla5[[#This Row],[INVERSIONES FCI]]-BO103,Tabla5[[#This Row],[INVERSIONES FCI]])</f>
        <v>4740585921.0563087</v>
      </c>
      <c r="BP104" s="5">
        <f>IF($B103&lt;=Tabla5[[#This Row],[INVERSIONES FCI]],+Tabla5[[#This Row],[INVERSIONES FCI]]-BP103,Tabla5[[#This Row],[INVERSIONES FCI]])</f>
        <v>4740585921.0563087</v>
      </c>
      <c r="BQ104" s="5">
        <f>IF($B103&lt;=Tabla5[[#This Row],[INVERSIONES FCI]],+Tabla5[[#This Row],[INVERSIONES FCI]]-BQ103,Tabla5[[#This Row],[INVERSIONES FCI]])</f>
        <v>4740585921.0563087</v>
      </c>
      <c r="BR104" s="5">
        <f>IF($B103&lt;=Tabla5[[#This Row],[INVERSIONES FCI]],+Tabla5[[#This Row],[INVERSIONES FCI]]-BR103,Tabla5[[#This Row],[INVERSIONES FCI]])</f>
        <v>4740585921.0563087</v>
      </c>
      <c r="BS104" s="5">
        <f>IF($B103&lt;=Tabla5[[#This Row],[INVERSIONES FCI]],+Tabla5[[#This Row],[INVERSIONES FCI]]-BS103,Tabla5[[#This Row],[INVERSIONES FCI]])</f>
        <v>4740585921.0563087</v>
      </c>
      <c r="BT104" s="5">
        <f>IF($B103&lt;=Tabla5[[#This Row],[INVERSIONES FCI]],+Tabla5[[#This Row],[INVERSIONES FCI]]-BT103,Tabla5[[#This Row],[INVERSIONES FCI]])</f>
        <v>4740585921.0563087</v>
      </c>
      <c r="BU104" s="5">
        <f>IF($B103&lt;=Tabla5[[#This Row],[INVERSIONES FCI]],+Tabla5[[#This Row],[INVERSIONES FCI]]-BU103,Tabla5[[#This Row],[INVERSIONES FCI]])</f>
        <v>4740585921.0563087</v>
      </c>
      <c r="BV104" s="5">
        <f>IF($B103&lt;=Tabla5[[#This Row],[INVERSIONES FCI]],+Tabla5[[#This Row],[INVERSIONES FCI]]-BV103,Tabla5[[#This Row],[INVERSIONES FCI]])</f>
        <v>4740585921.0563087</v>
      </c>
      <c r="BW104" s="5">
        <f>IF($B103&lt;=Tabla5[[#This Row],[INVERSIONES FCI]],+Tabla5[[#This Row],[INVERSIONES FCI]]-BW103,Tabla5[[#This Row],[INVERSIONES FCI]])</f>
        <v>4740585921.0563087</v>
      </c>
      <c r="BX104" s="5">
        <f>IF($B103&lt;=Tabla5[[#This Row],[INVERSIONES FCI]],+Tabla5[[#This Row],[INVERSIONES FCI]]-BX103,Tabla5[[#This Row],[INVERSIONES FCI]])</f>
        <v>4740585921.0563087</v>
      </c>
      <c r="BY104" s="5">
        <f>IF($B103&lt;=Tabla5[[#This Row],[INVERSIONES FCI]],+Tabla5[[#This Row],[INVERSIONES FCI]]-BY103,Tabla5[[#This Row],[INVERSIONES FCI]])</f>
        <v>4740585921.0563087</v>
      </c>
      <c r="BZ104" s="5">
        <f>IF($B103&lt;=Tabla5[[#This Row],[INVERSIONES FCI]],+Tabla5[[#This Row],[INVERSIONES FCI]]-BZ103,Tabla5[[#This Row],[INVERSIONES FCI]])</f>
        <v>4740585921.0563087</v>
      </c>
      <c r="CA104" s="5">
        <f>IF($B103&lt;=Tabla5[[#This Row],[INVERSIONES FCI]],+Tabla5[[#This Row],[INVERSIONES FCI]]-CA103,Tabla5[[#This Row],[INVERSIONES FCI]])</f>
        <v>4740585921.0563087</v>
      </c>
      <c r="CB104" s="5">
        <f>IF($B103&lt;=Tabla5[[#This Row],[INVERSIONES FCI]],+Tabla5[[#This Row],[INVERSIONES FCI]]-CB103,Tabla5[[#This Row],[INVERSIONES FCI]])</f>
        <v>4740585921.0563087</v>
      </c>
      <c r="CC104" s="5">
        <f>IF($B103&lt;=Tabla5[[#This Row],[INVERSIONES FCI]],+Tabla5[[#This Row],[INVERSIONES FCI]]-CC103,Tabla5[[#This Row],[INVERSIONES FCI]])</f>
        <v>4740585921.0563087</v>
      </c>
      <c r="CD104" s="5">
        <f>IF($B103&lt;=Tabla5[[#This Row],[INVERSIONES FCI]],+Tabla5[[#This Row],[INVERSIONES FCI]]-CD103,Tabla5[[#This Row],[INVERSIONES FCI]])</f>
        <v>4740585921.0563087</v>
      </c>
      <c r="CE104" s="5">
        <f>IF($B103&lt;=Tabla5[[#This Row],[INVERSIONES FCI]],+Tabla5[[#This Row],[INVERSIONES FCI]]-CE103,Tabla5[[#This Row],[INVERSIONES FCI]])</f>
        <v>4740585921.0563087</v>
      </c>
      <c r="CF104" s="5">
        <f>IF($B103&lt;=Tabla5[[#This Row],[INVERSIONES FCI]],+Tabla5[[#This Row],[INVERSIONES FCI]]-CF103,Tabla5[[#This Row],[INVERSIONES FCI]])</f>
        <v>4740585921.0563087</v>
      </c>
      <c r="CG104" s="5">
        <f>IF($B103&lt;=Tabla5[[#This Row],[INVERSIONES FCI]],+Tabla5[[#This Row],[INVERSIONES FCI]]-CG103,Tabla5[[#This Row],[INVERSIONES FCI]])</f>
        <v>4740585921.0563087</v>
      </c>
      <c r="CH104" s="5">
        <f>IF($B103&lt;=Tabla5[[#This Row],[INVERSIONES FCI]],+Tabla5[[#This Row],[INVERSIONES FCI]]-CH103,Tabla5[[#This Row],[INVERSIONES FCI]])</f>
        <v>4740585921.0563087</v>
      </c>
      <c r="CI104" s="5">
        <f>IF($B103&lt;=Tabla5[[#This Row],[INVERSIONES FCI]],+Tabla5[[#This Row],[INVERSIONES FCI]]-CI103,Tabla5[[#This Row],[INVERSIONES FCI]])</f>
        <v>4740585921.0563087</v>
      </c>
      <c r="CJ104" s="5">
        <f>IF($B103&lt;=Tabla5[[#This Row],[INVERSIONES FCI]],+Tabla5[[#This Row],[INVERSIONES FCI]]-CJ103,Tabla5[[#This Row],[INVERSIONES FCI]])</f>
        <v>4740585921.0563087</v>
      </c>
      <c r="CK104" s="5">
        <f>IF($B103&lt;=Tabla5[[#This Row],[INVERSIONES FCI]],+Tabla5[[#This Row],[INVERSIONES FCI]]-CK103,Tabla5[[#This Row],[INVERSIONES FCI]])</f>
        <v>4740585921.0563087</v>
      </c>
      <c r="CL104" s="5">
        <f>IF($B103&lt;=Tabla5[[#This Row],[INVERSIONES FCI]],+Tabla5[[#This Row],[INVERSIONES FCI]]-CL103,Tabla5[[#This Row],[INVERSIONES FCI]])</f>
        <v>4740585921.0563087</v>
      </c>
      <c r="CM104" s="5">
        <f>IF($B103&lt;=Tabla5[[#This Row],[INVERSIONES FCI]],+Tabla5[[#This Row],[INVERSIONES FCI]]-CM103,Tabla5[[#This Row],[INVERSIONES FCI]])</f>
        <v>4740585921.0563087</v>
      </c>
      <c r="CN104" s="5">
        <f>IF($B103&lt;=Tabla5[[#This Row],[INVERSIONES FCI]],+Tabla5[[#This Row],[INVERSIONES FCI]]-CN103,Tabla5[[#This Row],[INVERSIONES FCI]])</f>
        <v>4740585921.0563087</v>
      </c>
      <c r="CO104" s="5">
        <f>IF($B103&lt;=Tabla5[[#This Row],[INVERSIONES FCI]],+Tabla5[[#This Row],[INVERSIONES FCI]]-CO103,Tabla5[[#This Row],[INVERSIONES FCI]])</f>
        <v>4740585921.0563087</v>
      </c>
      <c r="CP104" s="5">
        <f>IF($B103&lt;=Tabla5[[#This Row],[INVERSIONES FCI]],+Tabla5[[#This Row],[INVERSIONES FCI]]-CP103,Tabla5[[#This Row],[INVERSIONES FCI]])</f>
        <v>4740585921.0563087</v>
      </c>
      <c r="CQ104" s="5">
        <f>IF($B103&lt;=Tabla5[[#This Row],[INVERSIONES FCI]],+Tabla5[[#This Row],[INVERSIONES FCI]]-CQ103,Tabla5[[#This Row],[INVERSIONES FCI]])</f>
        <v>4740585921.0563087</v>
      </c>
      <c r="CR104" s="5">
        <f>IF($B103&lt;=Tabla5[[#This Row],[INVERSIONES FCI]],+Tabla5[[#This Row],[INVERSIONES FCI]]-CR103,Tabla5[[#This Row],[INVERSIONES FCI]])</f>
        <v>4740585921.0563087</v>
      </c>
      <c r="CS104" s="5">
        <f>IF($B103&lt;=Tabla5[[#This Row],[INVERSIONES FCI]],+Tabla5[[#This Row],[INVERSIONES FCI]]-CS103,Tabla5[[#This Row],[INVERSIONES FCI]])</f>
        <v>4740585921.0563087</v>
      </c>
      <c r="CT104" s="5">
        <f>IF($B103&lt;=Tabla5[[#This Row],[INVERSIONES FCI]],+Tabla5[[#This Row],[INVERSIONES FCI]]-CT103,Tabla5[[#This Row],[INVERSIONES FCI]])</f>
        <v>4740585921.0563087</v>
      </c>
      <c r="CU104" s="5">
        <f>IF($B103&lt;=Tabla5[[#This Row],[INVERSIONES FCI]],+Tabla5[[#This Row],[INVERSIONES FCI]]-CU103,Tabla5[[#This Row],[INVERSIONES FCI]])</f>
        <v>4740585921.0563087</v>
      </c>
      <c r="CV104" s="5">
        <f>IF($B103&lt;=Tabla5[[#This Row],[INVERSIONES FCI]],+Tabla5[[#This Row],[INVERSIONES FCI]]-CV103,Tabla5[[#This Row],[INVERSIONES FCI]])</f>
        <v>4740585921.0563087</v>
      </c>
      <c r="CW104" s="5">
        <f>IF($B103&lt;=Tabla5[[#This Row],[INVERSIONES FCI]],+Tabla5[[#This Row],[INVERSIONES FCI]]-CW103,Tabla5[[#This Row],[INVERSIONES FCI]])</f>
        <v>4740585921.0563087</v>
      </c>
      <c r="CX104" s="5">
        <f>IF($B103&lt;=Tabla5[[#This Row],[INVERSIONES FCI]],+Tabla5[[#This Row],[INVERSIONES FCI]]-CX103,Tabla5[[#This Row],[INVERSIONES FCI]])</f>
        <v>4740585921.0563087</v>
      </c>
      <c r="CY104" s="5">
        <f>IF($B103&lt;=Tabla5[[#This Row],[INVERSIONES FCI]],+Tabla5[[#This Row],[INVERSIONES FCI]]-CY103,Tabla5[[#This Row],[INVERSIONES FCI]])</f>
        <v>4740585921.0563087</v>
      </c>
      <c r="CZ104" s="5">
        <f>IF($B103&lt;=Tabla5[[#This Row],[INVERSIONES FCI]],+Tabla5[[#This Row],[INVERSIONES FCI]]-CZ103,Tabla5[[#This Row],[INVERSIONES FCI]])</f>
        <v>4740585921.0563087</v>
      </c>
      <c r="DA104" s="5" cm="1">
        <f t="array" ref="DA104">IF(Tabla5[[#This Row],[FCI]]=0,0,_xlfn.XLOOKUP(TRUE,$B104:CZ104&gt;0,$B104:CZ104,"",0,-1))</f>
        <v>4740585921.0563087</v>
      </c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</row>
    <row r="105" spans="1:121" ht="14.4">
      <c r="A105" s="12" t="s">
        <v>104</v>
      </c>
      <c r="B105" s="5">
        <f>HLOOKUP($A105,ESCENARIO[#All],7,FALSE)</f>
        <v>17742075997.287533</v>
      </c>
      <c r="C105" s="5">
        <f>IF($B104&lt;=Tabla5[[#This Row],[INVERSIONES FCI]],+Tabla5[[#This Row],[INVERSIONES FCI]]-C104,Tabla5[[#This Row],[INVERSIONES FCI]])</f>
        <v>17742075997.287533</v>
      </c>
      <c r="D105" s="5">
        <f>IF($B104&lt;=Tabla5[[#This Row],[INVERSIONES FCI]],+Tabla5[[#This Row],[INVERSIONES FCI]]-D104,Tabla5[[#This Row],[INVERSIONES FCI]])</f>
        <v>17742075997.287533</v>
      </c>
      <c r="E105" s="5">
        <f>IF($B104&lt;=Tabla5[[#This Row],[INVERSIONES FCI]],+Tabla5[[#This Row],[INVERSIONES FCI]]-E104,Tabla5[[#This Row],[INVERSIONES FCI]])</f>
        <v>17742075997.287533</v>
      </c>
      <c r="F105" s="5">
        <f>IF($B104&lt;=Tabla5[[#This Row],[INVERSIONES FCI]],+Tabla5[[#This Row],[INVERSIONES FCI]]-F104,Tabla5[[#This Row],[INVERSIONES FCI]])</f>
        <v>17742075997.287533</v>
      </c>
      <c r="G105" s="5">
        <f>IF($B104&lt;=Tabla5[[#This Row],[INVERSIONES FCI]],+Tabla5[[#This Row],[INVERSIONES FCI]]-G104,Tabla5[[#This Row],[INVERSIONES FCI]])</f>
        <v>17742075997.287533</v>
      </c>
      <c r="H105" s="5">
        <f>IF($B104&lt;=Tabla5[[#This Row],[INVERSIONES FCI]],+Tabla5[[#This Row],[INVERSIONES FCI]]-H104,Tabla5[[#This Row],[INVERSIONES FCI]])</f>
        <v>17742075997.287533</v>
      </c>
      <c r="I105" s="5">
        <f>IF($B104&lt;=Tabla5[[#This Row],[INVERSIONES FCI]],+Tabla5[[#This Row],[INVERSIONES FCI]]-I104,Tabla5[[#This Row],[INVERSIONES FCI]])</f>
        <v>17742075997.287533</v>
      </c>
      <c r="J105" s="5">
        <f>IF($B104&lt;=Tabla5[[#This Row],[INVERSIONES FCI]],+Tabla5[[#This Row],[INVERSIONES FCI]]-J104,Tabla5[[#This Row],[INVERSIONES FCI]])</f>
        <v>17742075997.287533</v>
      </c>
      <c r="K105" s="5">
        <f>IF($B104&lt;=Tabla5[[#This Row],[INVERSIONES FCI]],+Tabla5[[#This Row],[INVERSIONES FCI]]-K104,Tabla5[[#This Row],[INVERSIONES FCI]])</f>
        <v>17742075997.287533</v>
      </c>
      <c r="L105" s="5">
        <f>IF($B104&lt;=Tabla5[[#This Row],[INVERSIONES FCI]],+Tabla5[[#This Row],[INVERSIONES FCI]]-L104,Tabla5[[#This Row],[INVERSIONES FCI]])</f>
        <v>17742075997.287533</v>
      </c>
      <c r="M105" s="5">
        <f>IF($B104&lt;=Tabla5[[#This Row],[INVERSIONES FCI]],+Tabla5[[#This Row],[INVERSIONES FCI]]-M104,Tabla5[[#This Row],[INVERSIONES FCI]])</f>
        <v>17742075997.287533</v>
      </c>
      <c r="N105" s="5">
        <f>IF($B104&lt;=Tabla5[[#This Row],[INVERSIONES FCI]],+Tabla5[[#This Row],[INVERSIONES FCI]]-N104,Tabla5[[#This Row],[INVERSIONES FCI]])</f>
        <v>17742075997.287533</v>
      </c>
      <c r="O105" s="5">
        <f>IF($B104&lt;=Tabla5[[#This Row],[INVERSIONES FCI]],+Tabla5[[#This Row],[INVERSIONES FCI]]-O104,Tabla5[[#This Row],[INVERSIONES FCI]])</f>
        <v>17742075997.287533</v>
      </c>
      <c r="P105" s="5">
        <f>IF($B104&lt;=Tabla5[[#This Row],[INVERSIONES FCI]],+Tabla5[[#This Row],[INVERSIONES FCI]]-P104,Tabla5[[#This Row],[INVERSIONES FCI]])</f>
        <v>17742075997.287533</v>
      </c>
      <c r="Q105" s="5">
        <f>IF($B104&lt;=Tabla5[[#This Row],[INVERSIONES FCI]],+Tabla5[[#This Row],[INVERSIONES FCI]]-Q104,Tabla5[[#This Row],[INVERSIONES FCI]])</f>
        <v>17742075997.287533</v>
      </c>
      <c r="R105" s="5">
        <f>IF($B104&lt;=Tabla5[[#This Row],[INVERSIONES FCI]],+Tabla5[[#This Row],[INVERSIONES FCI]]-R104,Tabla5[[#This Row],[INVERSIONES FCI]])</f>
        <v>17742075997.287533</v>
      </c>
      <c r="S105" s="5">
        <f>IF($B104&lt;=Tabla5[[#This Row],[INVERSIONES FCI]],+Tabla5[[#This Row],[INVERSIONES FCI]]-S104,Tabla5[[#This Row],[INVERSIONES FCI]])</f>
        <v>17742075997.287533</v>
      </c>
      <c r="T105" s="5">
        <f>IF($B104&lt;=Tabla5[[#This Row],[INVERSIONES FCI]],+Tabla5[[#This Row],[INVERSIONES FCI]]-T104,Tabla5[[#This Row],[INVERSIONES FCI]])</f>
        <v>17742075997.287533</v>
      </c>
      <c r="U105" s="5">
        <f>IF($B104&lt;=Tabla5[[#This Row],[INVERSIONES FCI]],+Tabla5[[#This Row],[INVERSIONES FCI]]-U104,Tabla5[[#This Row],[INVERSIONES FCI]])</f>
        <v>17742075997.287533</v>
      </c>
      <c r="V105" s="5">
        <f>IF($B104&lt;=Tabla5[[#This Row],[INVERSIONES FCI]],+Tabla5[[#This Row],[INVERSIONES FCI]]-V104,Tabla5[[#This Row],[INVERSIONES FCI]])</f>
        <v>17742075997.287533</v>
      </c>
      <c r="W105" s="5">
        <f>IF($B104&lt;=Tabla5[[#This Row],[INVERSIONES FCI]],+Tabla5[[#This Row],[INVERSIONES FCI]]-W104,Tabla5[[#This Row],[INVERSIONES FCI]])</f>
        <v>17742075997.287533</v>
      </c>
      <c r="X105" s="5">
        <f>IF($B104&lt;=Tabla5[[#This Row],[INVERSIONES FCI]],+Tabla5[[#This Row],[INVERSIONES FCI]]-X104,Tabla5[[#This Row],[INVERSIONES FCI]])</f>
        <v>17742075997.287533</v>
      </c>
      <c r="Y105" s="5">
        <f>IF($B104&lt;=Tabla5[[#This Row],[INVERSIONES FCI]],+Tabla5[[#This Row],[INVERSIONES FCI]]-Y104,Tabla5[[#This Row],[INVERSIONES FCI]])</f>
        <v>17742075997.287533</v>
      </c>
      <c r="Z105" s="5">
        <f>IF($B104&lt;=Tabla5[[#This Row],[INVERSIONES FCI]],+Tabla5[[#This Row],[INVERSIONES FCI]]-Z104,Tabla5[[#This Row],[INVERSIONES FCI]])</f>
        <v>17742075997.287533</v>
      </c>
      <c r="AA105" s="5">
        <f>IF($B104&lt;=Tabla5[[#This Row],[INVERSIONES FCI]],+Tabla5[[#This Row],[INVERSIONES FCI]]-AA104,Tabla5[[#This Row],[INVERSIONES FCI]])</f>
        <v>17742075997.287533</v>
      </c>
      <c r="AB105" s="5">
        <f>IF($B104&lt;=Tabla5[[#This Row],[INVERSIONES FCI]],+Tabla5[[#This Row],[INVERSIONES FCI]]-AB104,Tabla5[[#This Row],[INVERSIONES FCI]])</f>
        <v>17742075997.287533</v>
      </c>
      <c r="AC105" s="5">
        <f>IF($B104&lt;=Tabla5[[#This Row],[INVERSIONES FCI]],+Tabla5[[#This Row],[INVERSIONES FCI]]-AC104,Tabla5[[#This Row],[INVERSIONES FCI]])</f>
        <v>17742075997.287533</v>
      </c>
      <c r="AD105" s="5">
        <f>IF($B104&lt;=Tabla5[[#This Row],[INVERSIONES FCI]],+Tabla5[[#This Row],[INVERSIONES FCI]]-AD104,Tabla5[[#This Row],[INVERSIONES FCI]])</f>
        <v>17742075997.287533</v>
      </c>
      <c r="AE105" s="5">
        <f>IF($B104&lt;=Tabla5[[#This Row],[INVERSIONES FCI]],+Tabla5[[#This Row],[INVERSIONES FCI]]-AE104,Tabla5[[#This Row],[INVERSIONES FCI]])</f>
        <v>17742075997.287533</v>
      </c>
      <c r="AF105" s="5">
        <f>IF($B104&lt;=Tabla5[[#This Row],[INVERSIONES FCI]],+Tabla5[[#This Row],[INVERSIONES FCI]]-AF104,Tabla5[[#This Row],[INVERSIONES FCI]])</f>
        <v>17742075997.287533</v>
      </c>
      <c r="AG105" s="5">
        <f>IF($B104&lt;=Tabla5[[#This Row],[INVERSIONES FCI]],+Tabla5[[#This Row],[INVERSIONES FCI]]-AG104,Tabla5[[#This Row],[INVERSIONES FCI]])</f>
        <v>17742075997.287533</v>
      </c>
      <c r="AH105" s="5">
        <f>IF($B104&lt;=Tabla5[[#This Row],[INVERSIONES FCI]],+Tabla5[[#This Row],[INVERSIONES FCI]]-AH104,Tabla5[[#This Row],[INVERSIONES FCI]])</f>
        <v>17742075997.287533</v>
      </c>
      <c r="AI105" s="5">
        <f>IF($B104&lt;=Tabla5[[#This Row],[INVERSIONES FCI]],+Tabla5[[#This Row],[INVERSIONES FCI]]-AI104,Tabla5[[#This Row],[INVERSIONES FCI]])</f>
        <v>17742075997.287533</v>
      </c>
      <c r="AJ105" s="5">
        <f>IF($B104&lt;=Tabla5[[#This Row],[INVERSIONES FCI]],+Tabla5[[#This Row],[INVERSIONES FCI]]-AJ104,Tabla5[[#This Row],[INVERSIONES FCI]])</f>
        <v>17742075997.287533</v>
      </c>
      <c r="AK105" s="5">
        <f>IF($B104&lt;=Tabla5[[#This Row],[INVERSIONES FCI]],+Tabla5[[#This Row],[INVERSIONES FCI]]-AK104,Tabla5[[#This Row],[INVERSIONES FCI]])</f>
        <v>17742075997.287533</v>
      </c>
      <c r="AL105" s="5">
        <f>IF($B104&lt;=Tabla5[[#This Row],[INVERSIONES FCI]],+Tabla5[[#This Row],[INVERSIONES FCI]]-AL104,Tabla5[[#This Row],[INVERSIONES FCI]])</f>
        <v>17742075997.287533</v>
      </c>
      <c r="AM105" s="5">
        <f>IF($B104&lt;=Tabla5[[#This Row],[INVERSIONES FCI]],+Tabla5[[#This Row],[INVERSIONES FCI]]-AM104,Tabla5[[#This Row],[INVERSIONES FCI]])</f>
        <v>17742075997.287533</v>
      </c>
      <c r="AN105" s="5">
        <f>IF($B104&lt;=Tabla5[[#This Row],[INVERSIONES FCI]],+Tabla5[[#This Row],[INVERSIONES FCI]]-AN104,Tabla5[[#This Row],[INVERSIONES FCI]])</f>
        <v>17742075997.287533</v>
      </c>
      <c r="AO105" s="5">
        <f>IF($B104&lt;=Tabla5[[#This Row],[INVERSIONES FCI]],+Tabla5[[#This Row],[INVERSIONES FCI]]-AO104,Tabla5[[#This Row],[INVERSIONES FCI]])</f>
        <v>17742075997.287533</v>
      </c>
      <c r="AP105" s="5">
        <f>IF($B104&lt;=Tabla5[[#This Row],[INVERSIONES FCI]],+Tabla5[[#This Row],[INVERSIONES FCI]]-AP104,Tabla5[[#This Row],[INVERSIONES FCI]])</f>
        <v>17742075997.287533</v>
      </c>
      <c r="AQ105" s="5">
        <f>IF($B104&lt;=Tabla5[[#This Row],[INVERSIONES FCI]],+Tabla5[[#This Row],[INVERSIONES FCI]]-AQ104,Tabla5[[#This Row],[INVERSIONES FCI]])</f>
        <v>17742075997.287533</v>
      </c>
      <c r="AR105" s="5">
        <f>IF($B104&lt;=Tabla5[[#This Row],[INVERSIONES FCI]],+Tabla5[[#This Row],[INVERSIONES FCI]]-AR104,Tabla5[[#This Row],[INVERSIONES FCI]])</f>
        <v>17742075997.287533</v>
      </c>
      <c r="AS105" s="5">
        <f>IF($B104&lt;=Tabla5[[#This Row],[INVERSIONES FCI]],+Tabla5[[#This Row],[INVERSIONES FCI]]-AS104,Tabla5[[#This Row],[INVERSIONES FCI]])</f>
        <v>17742075997.287533</v>
      </c>
      <c r="AT105" s="5">
        <f>IF($B104&lt;=Tabla5[[#This Row],[INVERSIONES FCI]],+Tabla5[[#This Row],[INVERSIONES FCI]]-AT104,Tabla5[[#This Row],[INVERSIONES FCI]])</f>
        <v>17742075997.287533</v>
      </c>
      <c r="AU105" s="5">
        <f>IF($B104&lt;=Tabla5[[#This Row],[INVERSIONES FCI]],+Tabla5[[#This Row],[INVERSIONES FCI]]-AU104,Tabla5[[#This Row],[INVERSIONES FCI]])</f>
        <v>17742075997.287533</v>
      </c>
      <c r="AV105" s="5">
        <f>IF($B104&lt;=Tabla5[[#This Row],[INVERSIONES FCI]],+Tabla5[[#This Row],[INVERSIONES FCI]]-AV104,Tabla5[[#This Row],[INVERSIONES FCI]])</f>
        <v>17742075997.287533</v>
      </c>
      <c r="AW105" s="5">
        <f>IF($B104&lt;=Tabla5[[#This Row],[INVERSIONES FCI]],+Tabla5[[#This Row],[INVERSIONES FCI]]-AW104,Tabla5[[#This Row],[INVERSIONES FCI]])</f>
        <v>17742075997.287533</v>
      </c>
      <c r="AX105" s="5">
        <f>IF($B104&lt;=Tabla5[[#This Row],[INVERSIONES FCI]],+Tabla5[[#This Row],[INVERSIONES FCI]]-AX104,Tabla5[[#This Row],[INVERSIONES FCI]])</f>
        <v>17742075997.287533</v>
      </c>
      <c r="AY105" s="5">
        <f>IF($B104&lt;=Tabla5[[#This Row],[INVERSIONES FCI]],+Tabla5[[#This Row],[INVERSIONES FCI]]-AY104,Tabla5[[#This Row],[INVERSIONES FCI]])</f>
        <v>17742075997.287533</v>
      </c>
      <c r="AZ105" s="5">
        <f>IF($B104&lt;=Tabla5[[#This Row],[INVERSIONES FCI]],+Tabla5[[#This Row],[INVERSIONES FCI]]-AZ104,Tabla5[[#This Row],[INVERSIONES FCI]])</f>
        <v>17742075997.287533</v>
      </c>
      <c r="BA105" s="5">
        <f>IF($B104&lt;=Tabla5[[#This Row],[INVERSIONES FCI]],+Tabla5[[#This Row],[INVERSIONES FCI]]-BA104,Tabla5[[#This Row],[INVERSIONES FCI]])</f>
        <v>17742075997.287533</v>
      </c>
      <c r="BB105" s="5">
        <f>IF($B104&lt;=Tabla5[[#This Row],[INVERSIONES FCI]],+Tabla5[[#This Row],[INVERSIONES FCI]]-BB104,Tabla5[[#This Row],[INVERSIONES FCI]])</f>
        <v>17742075997.287533</v>
      </c>
      <c r="BC105" s="5">
        <f>IF($B104&lt;=Tabla5[[#This Row],[INVERSIONES FCI]],+Tabla5[[#This Row],[INVERSIONES FCI]]-BC104,Tabla5[[#This Row],[INVERSIONES FCI]])</f>
        <v>17742075997.287533</v>
      </c>
      <c r="BD105" s="5">
        <f>IF($B104&lt;=Tabla5[[#This Row],[INVERSIONES FCI]],+Tabla5[[#This Row],[INVERSIONES FCI]]-BD104,Tabla5[[#This Row],[INVERSIONES FCI]])</f>
        <v>17742075997.287533</v>
      </c>
      <c r="BE105" s="5">
        <f>IF($B104&lt;=Tabla5[[#This Row],[INVERSIONES FCI]],+Tabla5[[#This Row],[INVERSIONES FCI]]-BE104,Tabla5[[#This Row],[INVERSIONES FCI]])</f>
        <v>17742075997.287533</v>
      </c>
      <c r="BF105" s="5">
        <f>IF($B104&lt;=Tabla5[[#This Row],[INVERSIONES FCI]],+Tabla5[[#This Row],[INVERSIONES FCI]]-BF104,Tabla5[[#This Row],[INVERSIONES FCI]])</f>
        <v>17742075997.287533</v>
      </c>
      <c r="BG105" s="5">
        <f>IF($B104&lt;=Tabla5[[#This Row],[INVERSIONES FCI]],+Tabla5[[#This Row],[INVERSIONES FCI]]-BG104,Tabla5[[#This Row],[INVERSIONES FCI]])</f>
        <v>17742075997.287533</v>
      </c>
      <c r="BH105" s="5">
        <f>IF($B104&lt;=Tabla5[[#This Row],[INVERSIONES FCI]],+Tabla5[[#This Row],[INVERSIONES FCI]]-BH104,Tabla5[[#This Row],[INVERSIONES FCI]])</f>
        <v>17742075997.287533</v>
      </c>
      <c r="BI105" s="5">
        <f>IF($B104&lt;=Tabla5[[#This Row],[INVERSIONES FCI]],+Tabla5[[#This Row],[INVERSIONES FCI]]-BI104,Tabla5[[#This Row],[INVERSIONES FCI]])</f>
        <v>17742075997.287533</v>
      </c>
      <c r="BJ105" s="5">
        <f>IF($B104&lt;=Tabla5[[#This Row],[INVERSIONES FCI]],+Tabla5[[#This Row],[INVERSIONES FCI]]-BJ104,Tabla5[[#This Row],[INVERSIONES FCI]])</f>
        <v>17742075997.287533</v>
      </c>
      <c r="BK105" s="5">
        <f>IF($B104&lt;=Tabla5[[#This Row],[INVERSIONES FCI]],+Tabla5[[#This Row],[INVERSIONES FCI]]-BK104,Tabla5[[#This Row],[INVERSIONES FCI]])</f>
        <v>17742075997.287533</v>
      </c>
      <c r="BL105" s="5">
        <f>IF($B104&lt;=Tabla5[[#This Row],[INVERSIONES FCI]],+Tabla5[[#This Row],[INVERSIONES FCI]]-BL104,Tabla5[[#This Row],[INVERSIONES FCI]])</f>
        <v>17742075997.287533</v>
      </c>
      <c r="BM105" s="5">
        <f>IF($B104&lt;=Tabla5[[#This Row],[INVERSIONES FCI]],+Tabla5[[#This Row],[INVERSIONES FCI]]-BM104,Tabla5[[#This Row],[INVERSIONES FCI]])</f>
        <v>17742075997.287533</v>
      </c>
      <c r="BN105" s="5">
        <f>IF($B104&lt;=Tabla5[[#This Row],[INVERSIONES FCI]],+Tabla5[[#This Row],[INVERSIONES FCI]]-BN104,Tabla5[[#This Row],[INVERSIONES FCI]])</f>
        <v>17742075997.287533</v>
      </c>
      <c r="BO105" s="5">
        <f>IF($B104&lt;=Tabla5[[#This Row],[INVERSIONES FCI]],+Tabla5[[#This Row],[INVERSIONES FCI]]-BO104,Tabla5[[#This Row],[INVERSIONES FCI]])</f>
        <v>17742075997.287533</v>
      </c>
      <c r="BP105" s="5">
        <f>IF($B104&lt;=Tabla5[[#This Row],[INVERSIONES FCI]],+Tabla5[[#This Row],[INVERSIONES FCI]]-BP104,Tabla5[[#This Row],[INVERSIONES FCI]])</f>
        <v>17742075997.287533</v>
      </c>
      <c r="BQ105" s="5">
        <f>IF($B104&lt;=Tabla5[[#This Row],[INVERSIONES FCI]],+Tabla5[[#This Row],[INVERSIONES FCI]]-BQ104,Tabla5[[#This Row],[INVERSIONES FCI]])</f>
        <v>17742075997.287533</v>
      </c>
      <c r="BR105" s="5">
        <f>IF($B104&lt;=Tabla5[[#This Row],[INVERSIONES FCI]],+Tabla5[[#This Row],[INVERSIONES FCI]]-BR104,Tabla5[[#This Row],[INVERSIONES FCI]])</f>
        <v>17742075997.287533</v>
      </c>
      <c r="BS105" s="5">
        <f>IF($B104&lt;=Tabla5[[#This Row],[INVERSIONES FCI]],+Tabla5[[#This Row],[INVERSIONES FCI]]-BS104,Tabla5[[#This Row],[INVERSIONES FCI]])</f>
        <v>17742075997.287533</v>
      </c>
      <c r="BT105" s="5">
        <f>IF($B104&lt;=Tabla5[[#This Row],[INVERSIONES FCI]],+Tabla5[[#This Row],[INVERSIONES FCI]]-BT104,Tabla5[[#This Row],[INVERSIONES FCI]])</f>
        <v>17742075997.287533</v>
      </c>
      <c r="BU105" s="5">
        <f>IF($B104&lt;=Tabla5[[#This Row],[INVERSIONES FCI]],+Tabla5[[#This Row],[INVERSIONES FCI]]-BU104,Tabla5[[#This Row],[INVERSIONES FCI]])</f>
        <v>17742075997.287533</v>
      </c>
      <c r="BV105" s="5">
        <f>IF($B104&lt;=Tabla5[[#This Row],[INVERSIONES FCI]],+Tabla5[[#This Row],[INVERSIONES FCI]]-BV104,Tabla5[[#This Row],[INVERSIONES FCI]])</f>
        <v>17742075997.287533</v>
      </c>
      <c r="BW105" s="5">
        <f>IF($B104&lt;=Tabla5[[#This Row],[INVERSIONES FCI]],+Tabla5[[#This Row],[INVERSIONES FCI]]-BW104,Tabla5[[#This Row],[INVERSIONES FCI]])</f>
        <v>17742075997.287533</v>
      </c>
      <c r="BX105" s="5">
        <f>IF($B104&lt;=Tabla5[[#This Row],[INVERSIONES FCI]],+Tabla5[[#This Row],[INVERSIONES FCI]]-BX104,Tabla5[[#This Row],[INVERSIONES FCI]])</f>
        <v>17742075997.287533</v>
      </c>
      <c r="BY105" s="5">
        <f>IF($B104&lt;=Tabla5[[#This Row],[INVERSIONES FCI]],+Tabla5[[#This Row],[INVERSIONES FCI]]-BY104,Tabla5[[#This Row],[INVERSIONES FCI]])</f>
        <v>17742075997.287533</v>
      </c>
      <c r="BZ105" s="5">
        <f>IF($B104&lt;=Tabla5[[#This Row],[INVERSIONES FCI]],+Tabla5[[#This Row],[INVERSIONES FCI]]-BZ104,Tabla5[[#This Row],[INVERSIONES FCI]])</f>
        <v>17742075997.287533</v>
      </c>
      <c r="CA105" s="5">
        <f>IF($B104&lt;=Tabla5[[#This Row],[INVERSIONES FCI]],+Tabla5[[#This Row],[INVERSIONES FCI]]-CA104,Tabla5[[#This Row],[INVERSIONES FCI]])</f>
        <v>17742075997.287533</v>
      </c>
      <c r="CB105" s="5">
        <f>IF($B104&lt;=Tabla5[[#This Row],[INVERSIONES FCI]],+Tabla5[[#This Row],[INVERSIONES FCI]]-CB104,Tabla5[[#This Row],[INVERSIONES FCI]])</f>
        <v>17742075997.287533</v>
      </c>
      <c r="CC105" s="5">
        <f>IF($B104&lt;=Tabla5[[#This Row],[INVERSIONES FCI]],+Tabla5[[#This Row],[INVERSIONES FCI]]-CC104,Tabla5[[#This Row],[INVERSIONES FCI]])</f>
        <v>17742075997.287533</v>
      </c>
      <c r="CD105" s="5">
        <f>IF($B104&lt;=Tabla5[[#This Row],[INVERSIONES FCI]],+Tabla5[[#This Row],[INVERSIONES FCI]]-CD104,Tabla5[[#This Row],[INVERSIONES FCI]])</f>
        <v>17742075997.287533</v>
      </c>
      <c r="CE105" s="5">
        <f>IF($B104&lt;=Tabla5[[#This Row],[INVERSIONES FCI]],+Tabla5[[#This Row],[INVERSIONES FCI]]-CE104,Tabla5[[#This Row],[INVERSIONES FCI]])</f>
        <v>17742075997.287533</v>
      </c>
      <c r="CF105" s="5">
        <f>IF($B104&lt;=Tabla5[[#This Row],[INVERSIONES FCI]],+Tabla5[[#This Row],[INVERSIONES FCI]]-CF104,Tabla5[[#This Row],[INVERSIONES FCI]])</f>
        <v>17742075997.287533</v>
      </c>
      <c r="CG105" s="5">
        <f>IF($B104&lt;=Tabla5[[#This Row],[INVERSIONES FCI]],+Tabla5[[#This Row],[INVERSIONES FCI]]-CG104,Tabla5[[#This Row],[INVERSIONES FCI]])</f>
        <v>17742075997.287533</v>
      </c>
      <c r="CH105" s="5">
        <f>IF($B104&lt;=Tabla5[[#This Row],[INVERSIONES FCI]],+Tabla5[[#This Row],[INVERSIONES FCI]]-CH104,Tabla5[[#This Row],[INVERSIONES FCI]])</f>
        <v>17742075997.287533</v>
      </c>
      <c r="CI105" s="5">
        <f>IF($B104&lt;=Tabla5[[#This Row],[INVERSIONES FCI]],+Tabla5[[#This Row],[INVERSIONES FCI]]-CI104,Tabla5[[#This Row],[INVERSIONES FCI]])</f>
        <v>17742075997.287533</v>
      </c>
      <c r="CJ105" s="5">
        <f>IF($B104&lt;=Tabla5[[#This Row],[INVERSIONES FCI]],+Tabla5[[#This Row],[INVERSIONES FCI]]-CJ104,Tabla5[[#This Row],[INVERSIONES FCI]])</f>
        <v>17742075997.287533</v>
      </c>
      <c r="CK105" s="5">
        <f>IF($B104&lt;=Tabla5[[#This Row],[INVERSIONES FCI]],+Tabla5[[#This Row],[INVERSIONES FCI]]-CK104,Tabla5[[#This Row],[INVERSIONES FCI]])</f>
        <v>17742075997.287533</v>
      </c>
      <c r="CL105" s="5">
        <f>IF($B104&lt;=Tabla5[[#This Row],[INVERSIONES FCI]],+Tabla5[[#This Row],[INVERSIONES FCI]]-CL104,Tabla5[[#This Row],[INVERSIONES FCI]])</f>
        <v>17742075997.287533</v>
      </c>
      <c r="CM105" s="5">
        <f>IF($B104&lt;=Tabla5[[#This Row],[INVERSIONES FCI]],+Tabla5[[#This Row],[INVERSIONES FCI]]-CM104,Tabla5[[#This Row],[INVERSIONES FCI]])</f>
        <v>17742075997.287533</v>
      </c>
      <c r="CN105" s="5">
        <f>IF($B104&lt;=Tabla5[[#This Row],[INVERSIONES FCI]],+Tabla5[[#This Row],[INVERSIONES FCI]]-CN104,Tabla5[[#This Row],[INVERSIONES FCI]])</f>
        <v>17742075997.287533</v>
      </c>
      <c r="CO105" s="5">
        <f>IF($B104&lt;=Tabla5[[#This Row],[INVERSIONES FCI]],+Tabla5[[#This Row],[INVERSIONES FCI]]-CO104,Tabla5[[#This Row],[INVERSIONES FCI]])</f>
        <v>17742075997.287533</v>
      </c>
      <c r="CP105" s="5">
        <f>IF($B104&lt;=Tabla5[[#This Row],[INVERSIONES FCI]],+Tabla5[[#This Row],[INVERSIONES FCI]]-CP104,Tabla5[[#This Row],[INVERSIONES FCI]])</f>
        <v>17742075997.287533</v>
      </c>
      <c r="CQ105" s="5">
        <f>IF($B104&lt;=Tabla5[[#This Row],[INVERSIONES FCI]],+Tabla5[[#This Row],[INVERSIONES FCI]]-CQ104,Tabla5[[#This Row],[INVERSIONES FCI]])</f>
        <v>17742075997.287533</v>
      </c>
      <c r="CR105" s="5">
        <f>IF($B104&lt;=Tabla5[[#This Row],[INVERSIONES FCI]],+Tabla5[[#This Row],[INVERSIONES FCI]]-CR104,Tabla5[[#This Row],[INVERSIONES FCI]])</f>
        <v>17742075997.287533</v>
      </c>
      <c r="CS105" s="5">
        <f>IF($B104&lt;=Tabla5[[#This Row],[INVERSIONES FCI]],+Tabla5[[#This Row],[INVERSIONES FCI]]-CS104,Tabla5[[#This Row],[INVERSIONES FCI]])</f>
        <v>17742075997.287533</v>
      </c>
      <c r="CT105" s="5">
        <f>IF($B104&lt;=Tabla5[[#This Row],[INVERSIONES FCI]],+Tabla5[[#This Row],[INVERSIONES FCI]]-CT104,Tabla5[[#This Row],[INVERSIONES FCI]])</f>
        <v>17742075997.287533</v>
      </c>
      <c r="CU105" s="5">
        <f>IF($B104&lt;=Tabla5[[#This Row],[INVERSIONES FCI]],+Tabla5[[#This Row],[INVERSIONES FCI]]-CU104,Tabla5[[#This Row],[INVERSIONES FCI]])</f>
        <v>17742075997.287533</v>
      </c>
      <c r="CV105" s="5">
        <f>IF($B104&lt;=Tabla5[[#This Row],[INVERSIONES FCI]],+Tabla5[[#This Row],[INVERSIONES FCI]]-CV104,Tabla5[[#This Row],[INVERSIONES FCI]])</f>
        <v>17742075997.287533</v>
      </c>
      <c r="CW105" s="5">
        <f>IF($B104&lt;=Tabla5[[#This Row],[INVERSIONES FCI]],+Tabla5[[#This Row],[INVERSIONES FCI]]-CW104,Tabla5[[#This Row],[INVERSIONES FCI]])</f>
        <v>17742075997.287533</v>
      </c>
      <c r="CX105" s="5">
        <f>IF($B104&lt;=Tabla5[[#This Row],[INVERSIONES FCI]],+Tabla5[[#This Row],[INVERSIONES FCI]]-CX104,Tabla5[[#This Row],[INVERSIONES FCI]])</f>
        <v>17742075997.287533</v>
      </c>
      <c r="CY105" s="5">
        <f>IF($B104&lt;=Tabla5[[#This Row],[INVERSIONES FCI]],+Tabla5[[#This Row],[INVERSIONES FCI]]-CY104,Tabla5[[#This Row],[INVERSIONES FCI]])</f>
        <v>17742075997.287533</v>
      </c>
      <c r="CZ105" s="5">
        <f>IF($B104&lt;=Tabla5[[#This Row],[INVERSIONES FCI]],+Tabla5[[#This Row],[INVERSIONES FCI]]-CZ104,Tabla5[[#This Row],[INVERSIONES FCI]])</f>
        <v>17742075997.287533</v>
      </c>
      <c r="DA105" s="5">
        <f>IF($B104&lt;=Tabla5[[#This Row],[INVERSIONES FCI]],+Tabla5[[#This Row],[INVERSIONES FCI]]-DA104,Tabla5[[#This Row],[INVERSIONES FCI]])</f>
        <v>17742075997.287533</v>
      </c>
      <c r="DB105" s="5" cm="1">
        <f t="array" ref="DB105">IF(Tabla5[[#This Row],[FCI]]=0,0,_xlfn.XLOOKUP(TRUE,$B105:DA105&gt;0,$B105:DA105,"",0,-1))</f>
        <v>17742075997.287533</v>
      </c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</row>
    <row r="106" spans="1:121" ht="14.4">
      <c r="A106" s="12" t="s">
        <v>105</v>
      </c>
      <c r="B106" s="5">
        <f>HLOOKUP($A106,ESCENARIO[#All],7,FALSE)</f>
        <v>20640353876.231197</v>
      </c>
      <c r="C106" s="5">
        <f>IF($B105&lt;=Tabla5[[#This Row],[INVERSIONES FCI]],+Tabla5[[#This Row],[INVERSIONES FCI]]-C105,Tabla5[[#This Row],[INVERSIONES FCI]])</f>
        <v>2898277878.9436646</v>
      </c>
      <c r="D106" s="5">
        <f>IF($B105&lt;=Tabla5[[#This Row],[INVERSIONES FCI]],+Tabla5[[#This Row],[INVERSIONES FCI]]-D105,Tabla5[[#This Row],[INVERSIONES FCI]])</f>
        <v>2898277878.9436646</v>
      </c>
      <c r="E106" s="5">
        <f>IF($B105&lt;=Tabla5[[#This Row],[INVERSIONES FCI]],+Tabla5[[#This Row],[INVERSIONES FCI]]-E105,Tabla5[[#This Row],[INVERSIONES FCI]])</f>
        <v>2898277878.9436646</v>
      </c>
      <c r="F106" s="5">
        <f>IF($B105&lt;=Tabla5[[#This Row],[INVERSIONES FCI]],+Tabla5[[#This Row],[INVERSIONES FCI]]-F105,Tabla5[[#This Row],[INVERSIONES FCI]])</f>
        <v>2898277878.9436646</v>
      </c>
      <c r="G106" s="5">
        <f>IF($B105&lt;=Tabla5[[#This Row],[INVERSIONES FCI]],+Tabla5[[#This Row],[INVERSIONES FCI]]-G105,Tabla5[[#This Row],[INVERSIONES FCI]])</f>
        <v>2898277878.9436646</v>
      </c>
      <c r="H106" s="5">
        <f>IF($B105&lt;=Tabla5[[#This Row],[INVERSIONES FCI]],+Tabla5[[#This Row],[INVERSIONES FCI]]-H105,Tabla5[[#This Row],[INVERSIONES FCI]])</f>
        <v>2898277878.9436646</v>
      </c>
      <c r="I106" s="5">
        <f>IF($B105&lt;=Tabla5[[#This Row],[INVERSIONES FCI]],+Tabla5[[#This Row],[INVERSIONES FCI]]-I105,Tabla5[[#This Row],[INVERSIONES FCI]])</f>
        <v>2898277878.9436646</v>
      </c>
      <c r="J106" s="5">
        <f>IF($B105&lt;=Tabla5[[#This Row],[INVERSIONES FCI]],+Tabla5[[#This Row],[INVERSIONES FCI]]-J105,Tabla5[[#This Row],[INVERSIONES FCI]])</f>
        <v>2898277878.9436646</v>
      </c>
      <c r="K106" s="5">
        <f>IF($B105&lt;=Tabla5[[#This Row],[INVERSIONES FCI]],+Tabla5[[#This Row],[INVERSIONES FCI]]-K105,Tabla5[[#This Row],[INVERSIONES FCI]])</f>
        <v>2898277878.9436646</v>
      </c>
      <c r="L106" s="5">
        <f>IF($B105&lt;=Tabla5[[#This Row],[INVERSIONES FCI]],+Tabla5[[#This Row],[INVERSIONES FCI]]-L105,Tabla5[[#This Row],[INVERSIONES FCI]])</f>
        <v>2898277878.9436646</v>
      </c>
      <c r="M106" s="5">
        <f>IF($B105&lt;=Tabla5[[#This Row],[INVERSIONES FCI]],+Tabla5[[#This Row],[INVERSIONES FCI]]-M105,Tabla5[[#This Row],[INVERSIONES FCI]])</f>
        <v>2898277878.9436646</v>
      </c>
      <c r="N106" s="5">
        <f>IF($B105&lt;=Tabla5[[#This Row],[INVERSIONES FCI]],+Tabla5[[#This Row],[INVERSIONES FCI]]-N105,Tabla5[[#This Row],[INVERSIONES FCI]])</f>
        <v>2898277878.9436646</v>
      </c>
      <c r="O106" s="5">
        <f>IF($B105&lt;=Tabla5[[#This Row],[INVERSIONES FCI]],+Tabla5[[#This Row],[INVERSIONES FCI]]-O105,Tabla5[[#This Row],[INVERSIONES FCI]])</f>
        <v>2898277878.9436646</v>
      </c>
      <c r="P106" s="5">
        <f>IF($B105&lt;=Tabla5[[#This Row],[INVERSIONES FCI]],+Tabla5[[#This Row],[INVERSIONES FCI]]-P105,Tabla5[[#This Row],[INVERSIONES FCI]])</f>
        <v>2898277878.9436646</v>
      </c>
      <c r="Q106" s="5">
        <f>IF($B105&lt;=Tabla5[[#This Row],[INVERSIONES FCI]],+Tabla5[[#This Row],[INVERSIONES FCI]]-Q105,Tabla5[[#This Row],[INVERSIONES FCI]])</f>
        <v>2898277878.9436646</v>
      </c>
      <c r="R106" s="5">
        <f>IF($B105&lt;=Tabla5[[#This Row],[INVERSIONES FCI]],+Tabla5[[#This Row],[INVERSIONES FCI]]-R105,Tabla5[[#This Row],[INVERSIONES FCI]])</f>
        <v>2898277878.9436646</v>
      </c>
      <c r="S106" s="5">
        <f>IF($B105&lt;=Tabla5[[#This Row],[INVERSIONES FCI]],+Tabla5[[#This Row],[INVERSIONES FCI]]-S105,Tabla5[[#This Row],[INVERSIONES FCI]])</f>
        <v>2898277878.9436646</v>
      </c>
      <c r="T106" s="5">
        <f>IF($B105&lt;=Tabla5[[#This Row],[INVERSIONES FCI]],+Tabla5[[#This Row],[INVERSIONES FCI]]-T105,Tabla5[[#This Row],[INVERSIONES FCI]])</f>
        <v>2898277878.9436646</v>
      </c>
      <c r="U106" s="5">
        <f>IF($B105&lt;=Tabla5[[#This Row],[INVERSIONES FCI]],+Tabla5[[#This Row],[INVERSIONES FCI]]-U105,Tabla5[[#This Row],[INVERSIONES FCI]])</f>
        <v>2898277878.9436646</v>
      </c>
      <c r="V106" s="5">
        <f>IF($B105&lt;=Tabla5[[#This Row],[INVERSIONES FCI]],+Tabla5[[#This Row],[INVERSIONES FCI]]-V105,Tabla5[[#This Row],[INVERSIONES FCI]])</f>
        <v>2898277878.9436646</v>
      </c>
      <c r="W106" s="5">
        <f>IF($B105&lt;=Tabla5[[#This Row],[INVERSIONES FCI]],+Tabla5[[#This Row],[INVERSIONES FCI]]-W105,Tabla5[[#This Row],[INVERSIONES FCI]])</f>
        <v>2898277878.9436646</v>
      </c>
      <c r="X106" s="5">
        <f>IF($B105&lt;=Tabla5[[#This Row],[INVERSIONES FCI]],+Tabla5[[#This Row],[INVERSIONES FCI]]-X105,Tabla5[[#This Row],[INVERSIONES FCI]])</f>
        <v>2898277878.9436646</v>
      </c>
      <c r="Y106" s="5">
        <f>IF($B105&lt;=Tabla5[[#This Row],[INVERSIONES FCI]],+Tabla5[[#This Row],[INVERSIONES FCI]]-Y105,Tabla5[[#This Row],[INVERSIONES FCI]])</f>
        <v>2898277878.9436646</v>
      </c>
      <c r="Z106" s="5">
        <f>IF($B105&lt;=Tabla5[[#This Row],[INVERSIONES FCI]],+Tabla5[[#This Row],[INVERSIONES FCI]]-Z105,Tabla5[[#This Row],[INVERSIONES FCI]])</f>
        <v>2898277878.9436646</v>
      </c>
      <c r="AA106" s="5">
        <f>IF($B105&lt;=Tabla5[[#This Row],[INVERSIONES FCI]],+Tabla5[[#This Row],[INVERSIONES FCI]]-AA105,Tabla5[[#This Row],[INVERSIONES FCI]])</f>
        <v>2898277878.9436646</v>
      </c>
      <c r="AB106" s="5">
        <f>IF($B105&lt;=Tabla5[[#This Row],[INVERSIONES FCI]],+Tabla5[[#This Row],[INVERSIONES FCI]]-AB105,Tabla5[[#This Row],[INVERSIONES FCI]])</f>
        <v>2898277878.9436646</v>
      </c>
      <c r="AC106" s="5">
        <f>IF($B105&lt;=Tabla5[[#This Row],[INVERSIONES FCI]],+Tabla5[[#This Row],[INVERSIONES FCI]]-AC105,Tabla5[[#This Row],[INVERSIONES FCI]])</f>
        <v>2898277878.9436646</v>
      </c>
      <c r="AD106" s="5">
        <f>IF($B105&lt;=Tabla5[[#This Row],[INVERSIONES FCI]],+Tabla5[[#This Row],[INVERSIONES FCI]]-AD105,Tabla5[[#This Row],[INVERSIONES FCI]])</f>
        <v>2898277878.9436646</v>
      </c>
      <c r="AE106" s="5">
        <f>IF($B105&lt;=Tabla5[[#This Row],[INVERSIONES FCI]],+Tabla5[[#This Row],[INVERSIONES FCI]]-AE105,Tabla5[[#This Row],[INVERSIONES FCI]])</f>
        <v>2898277878.9436646</v>
      </c>
      <c r="AF106" s="5">
        <f>IF($B105&lt;=Tabla5[[#This Row],[INVERSIONES FCI]],+Tabla5[[#This Row],[INVERSIONES FCI]]-AF105,Tabla5[[#This Row],[INVERSIONES FCI]])</f>
        <v>2898277878.9436646</v>
      </c>
      <c r="AG106" s="5">
        <f>IF($B105&lt;=Tabla5[[#This Row],[INVERSIONES FCI]],+Tabla5[[#This Row],[INVERSIONES FCI]]-AG105,Tabla5[[#This Row],[INVERSIONES FCI]])</f>
        <v>2898277878.9436646</v>
      </c>
      <c r="AH106" s="5">
        <f>IF($B105&lt;=Tabla5[[#This Row],[INVERSIONES FCI]],+Tabla5[[#This Row],[INVERSIONES FCI]]-AH105,Tabla5[[#This Row],[INVERSIONES FCI]])</f>
        <v>2898277878.9436646</v>
      </c>
      <c r="AI106" s="5">
        <f>IF($B105&lt;=Tabla5[[#This Row],[INVERSIONES FCI]],+Tabla5[[#This Row],[INVERSIONES FCI]]-AI105,Tabla5[[#This Row],[INVERSIONES FCI]])</f>
        <v>2898277878.9436646</v>
      </c>
      <c r="AJ106" s="5">
        <f>IF($B105&lt;=Tabla5[[#This Row],[INVERSIONES FCI]],+Tabla5[[#This Row],[INVERSIONES FCI]]-AJ105,Tabla5[[#This Row],[INVERSIONES FCI]])</f>
        <v>2898277878.9436646</v>
      </c>
      <c r="AK106" s="5">
        <f>IF($B105&lt;=Tabla5[[#This Row],[INVERSIONES FCI]],+Tabla5[[#This Row],[INVERSIONES FCI]]-AK105,Tabla5[[#This Row],[INVERSIONES FCI]])</f>
        <v>2898277878.9436646</v>
      </c>
      <c r="AL106" s="5">
        <f>IF($B105&lt;=Tabla5[[#This Row],[INVERSIONES FCI]],+Tabla5[[#This Row],[INVERSIONES FCI]]-AL105,Tabla5[[#This Row],[INVERSIONES FCI]])</f>
        <v>2898277878.9436646</v>
      </c>
      <c r="AM106" s="5">
        <f>IF($B105&lt;=Tabla5[[#This Row],[INVERSIONES FCI]],+Tabla5[[#This Row],[INVERSIONES FCI]]-AM105,Tabla5[[#This Row],[INVERSIONES FCI]])</f>
        <v>2898277878.9436646</v>
      </c>
      <c r="AN106" s="5">
        <f>IF($B105&lt;=Tabla5[[#This Row],[INVERSIONES FCI]],+Tabla5[[#This Row],[INVERSIONES FCI]]-AN105,Tabla5[[#This Row],[INVERSIONES FCI]])</f>
        <v>2898277878.9436646</v>
      </c>
      <c r="AO106" s="5">
        <f>IF($B105&lt;=Tabla5[[#This Row],[INVERSIONES FCI]],+Tabla5[[#This Row],[INVERSIONES FCI]]-AO105,Tabla5[[#This Row],[INVERSIONES FCI]])</f>
        <v>2898277878.9436646</v>
      </c>
      <c r="AP106" s="5">
        <f>IF($B105&lt;=Tabla5[[#This Row],[INVERSIONES FCI]],+Tabla5[[#This Row],[INVERSIONES FCI]]-AP105,Tabla5[[#This Row],[INVERSIONES FCI]])</f>
        <v>2898277878.9436646</v>
      </c>
      <c r="AQ106" s="5">
        <f>IF($B105&lt;=Tabla5[[#This Row],[INVERSIONES FCI]],+Tabla5[[#This Row],[INVERSIONES FCI]]-AQ105,Tabla5[[#This Row],[INVERSIONES FCI]])</f>
        <v>2898277878.9436646</v>
      </c>
      <c r="AR106" s="5">
        <f>IF($B105&lt;=Tabla5[[#This Row],[INVERSIONES FCI]],+Tabla5[[#This Row],[INVERSIONES FCI]]-AR105,Tabla5[[#This Row],[INVERSIONES FCI]])</f>
        <v>2898277878.9436646</v>
      </c>
      <c r="AS106" s="5">
        <f>IF($B105&lt;=Tabla5[[#This Row],[INVERSIONES FCI]],+Tabla5[[#This Row],[INVERSIONES FCI]]-AS105,Tabla5[[#This Row],[INVERSIONES FCI]])</f>
        <v>2898277878.9436646</v>
      </c>
      <c r="AT106" s="5">
        <f>IF($B105&lt;=Tabla5[[#This Row],[INVERSIONES FCI]],+Tabla5[[#This Row],[INVERSIONES FCI]]-AT105,Tabla5[[#This Row],[INVERSIONES FCI]])</f>
        <v>2898277878.9436646</v>
      </c>
      <c r="AU106" s="5">
        <f>IF($B105&lt;=Tabla5[[#This Row],[INVERSIONES FCI]],+Tabla5[[#This Row],[INVERSIONES FCI]]-AU105,Tabla5[[#This Row],[INVERSIONES FCI]])</f>
        <v>2898277878.9436646</v>
      </c>
      <c r="AV106" s="5">
        <f>IF($B105&lt;=Tabla5[[#This Row],[INVERSIONES FCI]],+Tabla5[[#This Row],[INVERSIONES FCI]]-AV105,Tabla5[[#This Row],[INVERSIONES FCI]])</f>
        <v>2898277878.9436646</v>
      </c>
      <c r="AW106" s="5">
        <f>IF($B105&lt;=Tabla5[[#This Row],[INVERSIONES FCI]],+Tabla5[[#This Row],[INVERSIONES FCI]]-AW105,Tabla5[[#This Row],[INVERSIONES FCI]])</f>
        <v>2898277878.9436646</v>
      </c>
      <c r="AX106" s="5">
        <f>IF($B105&lt;=Tabla5[[#This Row],[INVERSIONES FCI]],+Tabla5[[#This Row],[INVERSIONES FCI]]-AX105,Tabla5[[#This Row],[INVERSIONES FCI]])</f>
        <v>2898277878.9436646</v>
      </c>
      <c r="AY106" s="5">
        <f>IF($B105&lt;=Tabla5[[#This Row],[INVERSIONES FCI]],+Tabla5[[#This Row],[INVERSIONES FCI]]-AY105,Tabla5[[#This Row],[INVERSIONES FCI]])</f>
        <v>2898277878.9436646</v>
      </c>
      <c r="AZ106" s="5">
        <f>IF($B105&lt;=Tabla5[[#This Row],[INVERSIONES FCI]],+Tabla5[[#This Row],[INVERSIONES FCI]]-AZ105,Tabla5[[#This Row],[INVERSIONES FCI]])</f>
        <v>2898277878.9436646</v>
      </c>
      <c r="BA106" s="5">
        <f>IF($B105&lt;=Tabla5[[#This Row],[INVERSIONES FCI]],+Tabla5[[#This Row],[INVERSIONES FCI]]-BA105,Tabla5[[#This Row],[INVERSIONES FCI]])</f>
        <v>2898277878.9436646</v>
      </c>
      <c r="BB106" s="5">
        <f>IF($B105&lt;=Tabla5[[#This Row],[INVERSIONES FCI]],+Tabla5[[#This Row],[INVERSIONES FCI]]-BB105,Tabla5[[#This Row],[INVERSIONES FCI]])</f>
        <v>2898277878.9436646</v>
      </c>
      <c r="BC106" s="5">
        <f>IF($B105&lt;=Tabla5[[#This Row],[INVERSIONES FCI]],+Tabla5[[#This Row],[INVERSIONES FCI]]-BC105,Tabla5[[#This Row],[INVERSIONES FCI]])</f>
        <v>2898277878.9436646</v>
      </c>
      <c r="BD106" s="5">
        <f>IF($B105&lt;=Tabla5[[#This Row],[INVERSIONES FCI]],+Tabla5[[#This Row],[INVERSIONES FCI]]-BD105,Tabla5[[#This Row],[INVERSIONES FCI]])</f>
        <v>2898277878.9436646</v>
      </c>
      <c r="BE106" s="5">
        <f>IF($B105&lt;=Tabla5[[#This Row],[INVERSIONES FCI]],+Tabla5[[#This Row],[INVERSIONES FCI]]-BE105,Tabla5[[#This Row],[INVERSIONES FCI]])</f>
        <v>2898277878.9436646</v>
      </c>
      <c r="BF106" s="5">
        <f>IF($B105&lt;=Tabla5[[#This Row],[INVERSIONES FCI]],+Tabla5[[#This Row],[INVERSIONES FCI]]-BF105,Tabla5[[#This Row],[INVERSIONES FCI]])</f>
        <v>2898277878.9436646</v>
      </c>
      <c r="BG106" s="5">
        <f>IF($B105&lt;=Tabla5[[#This Row],[INVERSIONES FCI]],+Tabla5[[#This Row],[INVERSIONES FCI]]-BG105,Tabla5[[#This Row],[INVERSIONES FCI]])</f>
        <v>2898277878.9436646</v>
      </c>
      <c r="BH106" s="5">
        <f>IF($B105&lt;=Tabla5[[#This Row],[INVERSIONES FCI]],+Tabla5[[#This Row],[INVERSIONES FCI]]-BH105,Tabla5[[#This Row],[INVERSIONES FCI]])</f>
        <v>2898277878.9436646</v>
      </c>
      <c r="BI106" s="5">
        <f>IF($B105&lt;=Tabla5[[#This Row],[INVERSIONES FCI]],+Tabla5[[#This Row],[INVERSIONES FCI]]-BI105,Tabla5[[#This Row],[INVERSIONES FCI]])</f>
        <v>2898277878.9436646</v>
      </c>
      <c r="BJ106" s="5">
        <f>IF($B105&lt;=Tabla5[[#This Row],[INVERSIONES FCI]],+Tabla5[[#This Row],[INVERSIONES FCI]]-BJ105,Tabla5[[#This Row],[INVERSIONES FCI]])</f>
        <v>2898277878.9436646</v>
      </c>
      <c r="BK106" s="5">
        <f>IF($B105&lt;=Tabla5[[#This Row],[INVERSIONES FCI]],+Tabla5[[#This Row],[INVERSIONES FCI]]-BK105,Tabla5[[#This Row],[INVERSIONES FCI]])</f>
        <v>2898277878.9436646</v>
      </c>
      <c r="BL106" s="5">
        <f>IF($B105&lt;=Tabla5[[#This Row],[INVERSIONES FCI]],+Tabla5[[#This Row],[INVERSIONES FCI]]-BL105,Tabla5[[#This Row],[INVERSIONES FCI]])</f>
        <v>2898277878.9436646</v>
      </c>
      <c r="BM106" s="5">
        <f>IF($B105&lt;=Tabla5[[#This Row],[INVERSIONES FCI]],+Tabla5[[#This Row],[INVERSIONES FCI]]-BM105,Tabla5[[#This Row],[INVERSIONES FCI]])</f>
        <v>2898277878.9436646</v>
      </c>
      <c r="BN106" s="5">
        <f>IF($B105&lt;=Tabla5[[#This Row],[INVERSIONES FCI]],+Tabla5[[#This Row],[INVERSIONES FCI]]-BN105,Tabla5[[#This Row],[INVERSIONES FCI]])</f>
        <v>2898277878.9436646</v>
      </c>
      <c r="BO106" s="5">
        <f>IF($B105&lt;=Tabla5[[#This Row],[INVERSIONES FCI]],+Tabla5[[#This Row],[INVERSIONES FCI]]-BO105,Tabla5[[#This Row],[INVERSIONES FCI]])</f>
        <v>2898277878.9436646</v>
      </c>
      <c r="BP106" s="5">
        <f>IF($B105&lt;=Tabla5[[#This Row],[INVERSIONES FCI]],+Tabla5[[#This Row],[INVERSIONES FCI]]-BP105,Tabla5[[#This Row],[INVERSIONES FCI]])</f>
        <v>2898277878.9436646</v>
      </c>
      <c r="BQ106" s="5">
        <f>IF($B105&lt;=Tabla5[[#This Row],[INVERSIONES FCI]],+Tabla5[[#This Row],[INVERSIONES FCI]]-BQ105,Tabla5[[#This Row],[INVERSIONES FCI]])</f>
        <v>2898277878.9436646</v>
      </c>
      <c r="BR106" s="5">
        <f>IF($B105&lt;=Tabla5[[#This Row],[INVERSIONES FCI]],+Tabla5[[#This Row],[INVERSIONES FCI]]-BR105,Tabla5[[#This Row],[INVERSIONES FCI]])</f>
        <v>2898277878.9436646</v>
      </c>
      <c r="BS106" s="5">
        <f>IF($B105&lt;=Tabla5[[#This Row],[INVERSIONES FCI]],+Tabla5[[#This Row],[INVERSIONES FCI]]-BS105,Tabla5[[#This Row],[INVERSIONES FCI]])</f>
        <v>2898277878.9436646</v>
      </c>
      <c r="BT106" s="5">
        <f>IF($B105&lt;=Tabla5[[#This Row],[INVERSIONES FCI]],+Tabla5[[#This Row],[INVERSIONES FCI]]-BT105,Tabla5[[#This Row],[INVERSIONES FCI]])</f>
        <v>2898277878.9436646</v>
      </c>
      <c r="BU106" s="5">
        <f>IF($B105&lt;=Tabla5[[#This Row],[INVERSIONES FCI]],+Tabla5[[#This Row],[INVERSIONES FCI]]-BU105,Tabla5[[#This Row],[INVERSIONES FCI]])</f>
        <v>2898277878.9436646</v>
      </c>
      <c r="BV106" s="5">
        <f>IF($B105&lt;=Tabla5[[#This Row],[INVERSIONES FCI]],+Tabla5[[#This Row],[INVERSIONES FCI]]-BV105,Tabla5[[#This Row],[INVERSIONES FCI]])</f>
        <v>2898277878.9436646</v>
      </c>
      <c r="BW106" s="5">
        <f>IF($B105&lt;=Tabla5[[#This Row],[INVERSIONES FCI]],+Tabla5[[#This Row],[INVERSIONES FCI]]-BW105,Tabla5[[#This Row],[INVERSIONES FCI]])</f>
        <v>2898277878.9436646</v>
      </c>
      <c r="BX106" s="5">
        <f>IF($B105&lt;=Tabla5[[#This Row],[INVERSIONES FCI]],+Tabla5[[#This Row],[INVERSIONES FCI]]-BX105,Tabla5[[#This Row],[INVERSIONES FCI]])</f>
        <v>2898277878.9436646</v>
      </c>
      <c r="BY106" s="5">
        <f>IF($B105&lt;=Tabla5[[#This Row],[INVERSIONES FCI]],+Tabla5[[#This Row],[INVERSIONES FCI]]-BY105,Tabla5[[#This Row],[INVERSIONES FCI]])</f>
        <v>2898277878.9436646</v>
      </c>
      <c r="BZ106" s="5">
        <f>IF($B105&lt;=Tabla5[[#This Row],[INVERSIONES FCI]],+Tabla5[[#This Row],[INVERSIONES FCI]]-BZ105,Tabla5[[#This Row],[INVERSIONES FCI]])</f>
        <v>2898277878.9436646</v>
      </c>
      <c r="CA106" s="5">
        <f>IF($B105&lt;=Tabla5[[#This Row],[INVERSIONES FCI]],+Tabla5[[#This Row],[INVERSIONES FCI]]-CA105,Tabla5[[#This Row],[INVERSIONES FCI]])</f>
        <v>2898277878.9436646</v>
      </c>
      <c r="CB106" s="5">
        <f>IF($B105&lt;=Tabla5[[#This Row],[INVERSIONES FCI]],+Tabla5[[#This Row],[INVERSIONES FCI]]-CB105,Tabla5[[#This Row],[INVERSIONES FCI]])</f>
        <v>2898277878.9436646</v>
      </c>
      <c r="CC106" s="5">
        <f>IF($B105&lt;=Tabla5[[#This Row],[INVERSIONES FCI]],+Tabla5[[#This Row],[INVERSIONES FCI]]-CC105,Tabla5[[#This Row],[INVERSIONES FCI]])</f>
        <v>2898277878.9436646</v>
      </c>
      <c r="CD106" s="5">
        <f>IF($B105&lt;=Tabla5[[#This Row],[INVERSIONES FCI]],+Tabla5[[#This Row],[INVERSIONES FCI]]-CD105,Tabla5[[#This Row],[INVERSIONES FCI]])</f>
        <v>2898277878.9436646</v>
      </c>
      <c r="CE106" s="5">
        <f>IF($B105&lt;=Tabla5[[#This Row],[INVERSIONES FCI]],+Tabla5[[#This Row],[INVERSIONES FCI]]-CE105,Tabla5[[#This Row],[INVERSIONES FCI]])</f>
        <v>2898277878.9436646</v>
      </c>
      <c r="CF106" s="5">
        <f>IF($B105&lt;=Tabla5[[#This Row],[INVERSIONES FCI]],+Tabla5[[#This Row],[INVERSIONES FCI]]-CF105,Tabla5[[#This Row],[INVERSIONES FCI]])</f>
        <v>2898277878.9436646</v>
      </c>
      <c r="CG106" s="5">
        <f>IF($B105&lt;=Tabla5[[#This Row],[INVERSIONES FCI]],+Tabla5[[#This Row],[INVERSIONES FCI]]-CG105,Tabla5[[#This Row],[INVERSIONES FCI]])</f>
        <v>2898277878.9436646</v>
      </c>
      <c r="CH106" s="5">
        <f>IF($B105&lt;=Tabla5[[#This Row],[INVERSIONES FCI]],+Tabla5[[#This Row],[INVERSIONES FCI]]-CH105,Tabla5[[#This Row],[INVERSIONES FCI]])</f>
        <v>2898277878.9436646</v>
      </c>
      <c r="CI106" s="5">
        <f>IF($B105&lt;=Tabla5[[#This Row],[INVERSIONES FCI]],+Tabla5[[#This Row],[INVERSIONES FCI]]-CI105,Tabla5[[#This Row],[INVERSIONES FCI]])</f>
        <v>2898277878.9436646</v>
      </c>
      <c r="CJ106" s="5">
        <f>IF($B105&lt;=Tabla5[[#This Row],[INVERSIONES FCI]],+Tabla5[[#This Row],[INVERSIONES FCI]]-CJ105,Tabla5[[#This Row],[INVERSIONES FCI]])</f>
        <v>2898277878.9436646</v>
      </c>
      <c r="CK106" s="5">
        <f>IF($B105&lt;=Tabla5[[#This Row],[INVERSIONES FCI]],+Tabla5[[#This Row],[INVERSIONES FCI]]-CK105,Tabla5[[#This Row],[INVERSIONES FCI]])</f>
        <v>2898277878.9436646</v>
      </c>
      <c r="CL106" s="5">
        <f>IF($B105&lt;=Tabla5[[#This Row],[INVERSIONES FCI]],+Tabla5[[#This Row],[INVERSIONES FCI]]-CL105,Tabla5[[#This Row],[INVERSIONES FCI]])</f>
        <v>2898277878.9436646</v>
      </c>
      <c r="CM106" s="5">
        <f>IF($B105&lt;=Tabla5[[#This Row],[INVERSIONES FCI]],+Tabla5[[#This Row],[INVERSIONES FCI]]-CM105,Tabla5[[#This Row],[INVERSIONES FCI]])</f>
        <v>2898277878.9436646</v>
      </c>
      <c r="CN106" s="5">
        <f>IF($B105&lt;=Tabla5[[#This Row],[INVERSIONES FCI]],+Tabla5[[#This Row],[INVERSIONES FCI]]-CN105,Tabla5[[#This Row],[INVERSIONES FCI]])</f>
        <v>2898277878.9436646</v>
      </c>
      <c r="CO106" s="5">
        <f>IF($B105&lt;=Tabla5[[#This Row],[INVERSIONES FCI]],+Tabla5[[#This Row],[INVERSIONES FCI]]-CO105,Tabla5[[#This Row],[INVERSIONES FCI]])</f>
        <v>2898277878.9436646</v>
      </c>
      <c r="CP106" s="5">
        <f>IF($B105&lt;=Tabla5[[#This Row],[INVERSIONES FCI]],+Tabla5[[#This Row],[INVERSIONES FCI]]-CP105,Tabla5[[#This Row],[INVERSIONES FCI]])</f>
        <v>2898277878.9436646</v>
      </c>
      <c r="CQ106" s="5">
        <f>IF($B105&lt;=Tabla5[[#This Row],[INVERSIONES FCI]],+Tabla5[[#This Row],[INVERSIONES FCI]]-CQ105,Tabla5[[#This Row],[INVERSIONES FCI]])</f>
        <v>2898277878.9436646</v>
      </c>
      <c r="CR106" s="5">
        <f>IF($B105&lt;=Tabla5[[#This Row],[INVERSIONES FCI]],+Tabla5[[#This Row],[INVERSIONES FCI]]-CR105,Tabla5[[#This Row],[INVERSIONES FCI]])</f>
        <v>2898277878.9436646</v>
      </c>
      <c r="CS106" s="5">
        <f>IF($B105&lt;=Tabla5[[#This Row],[INVERSIONES FCI]],+Tabla5[[#This Row],[INVERSIONES FCI]]-CS105,Tabla5[[#This Row],[INVERSIONES FCI]])</f>
        <v>2898277878.9436646</v>
      </c>
      <c r="CT106" s="5">
        <f>IF($B105&lt;=Tabla5[[#This Row],[INVERSIONES FCI]],+Tabla5[[#This Row],[INVERSIONES FCI]]-CT105,Tabla5[[#This Row],[INVERSIONES FCI]])</f>
        <v>2898277878.9436646</v>
      </c>
      <c r="CU106" s="5">
        <f>IF($B105&lt;=Tabla5[[#This Row],[INVERSIONES FCI]],+Tabla5[[#This Row],[INVERSIONES FCI]]-CU105,Tabla5[[#This Row],[INVERSIONES FCI]])</f>
        <v>2898277878.9436646</v>
      </c>
      <c r="CV106" s="5">
        <f>IF($B105&lt;=Tabla5[[#This Row],[INVERSIONES FCI]],+Tabla5[[#This Row],[INVERSIONES FCI]]-CV105,Tabla5[[#This Row],[INVERSIONES FCI]])</f>
        <v>2898277878.9436646</v>
      </c>
      <c r="CW106" s="5">
        <f>IF($B105&lt;=Tabla5[[#This Row],[INVERSIONES FCI]],+Tabla5[[#This Row],[INVERSIONES FCI]]-CW105,Tabla5[[#This Row],[INVERSIONES FCI]])</f>
        <v>2898277878.9436646</v>
      </c>
      <c r="CX106" s="5">
        <f>IF($B105&lt;=Tabla5[[#This Row],[INVERSIONES FCI]],+Tabla5[[#This Row],[INVERSIONES FCI]]-CX105,Tabla5[[#This Row],[INVERSIONES FCI]])</f>
        <v>2898277878.9436646</v>
      </c>
      <c r="CY106" s="5">
        <f>IF($B105&lt;=Tabla5[[#This Row],[INVERSIONES FCI]],+Tabla5[[#This Row],[INVERSIONES FCI]]-CY105,Tabla5[[#This Row],[INVERSIONES FCI]])</f>
        <v>2898277878.9436646</v>
      </c>
      <c r="CZ106" s="5">
        <f>IF($B105&lt;=Tabla5[[#This Row],[INVERSIONES FCI]],+Tabla5[[#This Row],[INVERSIONES FCI]]-CZ105,Tabla5[[#This Row],[INVERSIONES FCI]])</f>
        <v>2898277878.9436646</v>
      </c>
      <c r="DA106" s="5">
        <f>IF($B105&lt;=Tabla5[[#This Row],[INVERSIONES FCI]],+Tabla5[[#This Row],[INVERSIONES FCI]]-DA105,Tabla5[[#This Row],[INVERSIONES FCI]])</f>
        <v>2898277878.9436646</v>
      </c>
      <c r="DB106" s="5">
        <f>IF($B105&lt;=Tabla5[[#This Row],[INVERSIONES FCI]],+Tabla5[[#This Row],[INVERSIONES FCI]]-DB105,Tabla5[[#This Row],[INVERSIONES FCI]])</f>
        <v>2898277878.9436646</v>
      </c>
      <c r="DC106" s="5" cm="1">
        <f t="array" ref="DC106">IF(Tabla5[[#This Row],[FCI]]=0,0,_xlfn.XLOOKUP(TRUE,$B106:DB106&gt;0,$B106:DB106,"",0,-1))</f>
        <v>2898277878.9436646</v>
      </c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</row>
    <row r="107" spans="1:121" ht="14.4">
      <c r="A107" s="12" t="s">
        <v>106</v>
      </c>
      <c r="B107" s="5">
        <f>HLOOKUP($A107,ESCENARIO[#All],7,FALSE)</f>
        <v>20640353876.231197</v>
      </c>
      <c r="C107" s="5">
        <f>IF($B106&lt;=Tabla5[[#This Row],[INVERSIONES FCI]],+Tabla5[[#This Row],[INVERSIONES FCI]]-C106,Tabla5[[#This Row],[INVERSIONES FCI]])</f>
        <v>17742075997.287533</v>
      </c>
      <c r="D107" s="5">
        <f>IF($B106&lt;=Tabla5[[#This Row],[INVERSIONES FCI]],+Tabla5[[#This Row],[INVERSIONES FCI]]-D106,Tabla5[[#This Row],[INVERSIONES FCI]])</f>
        <v>17742075997.287533</v>
      </c>
      <c r="E107" s="5">
        <f>IF($B106&lt;=Tabla5[[#This Row],[INVERSIONES FCI]],+Tabla5[[#This Row],[INVERSIONES FCI]]-E106,Tabla5[[#This Row],[INVERSIONES FCI]])</f>
        <v>17742075997.287533</v>
      </c>
      <c r="F107" s="5">
        <f>IF($B106&lt;=Tabla5[[#This Row],[INVERSIONES FCI]],+Tabla5[[#This Row],[INVERSIONES FCI]]-F106,Tabla5[[#This Row],[INVERSIONES FCI]])</f>
        <v>17742075997.287533</v>
      </c>
      <c r="G107" s="5">
        <f>IF($B106&lt;=Tabla5[[#This Row],[INVERSIONES FCI]],+Tabla5[[#This Row],[INVERSIONES FCI]]-G106,Tabla5[[#This Row],[INVERSIONES FCI]])</f>
        <v>17742075997.287533</v>
      </c>
      <c r="H107" s="5">
        <f>IF($B106&lt;=Tabla5[[#This Row],[INVERSIONES FCI]],+Tabla5[[#This Row],[INVERSIONES FCI]]-H106,Tabla5[[#This Row],[INVERSIONES FCI]])</f>
        <v>17742075997.287533</v>
      </c>
      <c r="I107" s="5">
        <f>IF($B106&lt;=Tabla5[[#This Row],[INVERSIONES FCI]],+Tabla5[[#This Row],[INVERSIONES FCI]]-I106,Tabla5[[#This Row],[INVERSIONES FCI]])</f>
        <v>17742075997.287533</v>
      </c>
      <c r="J107" s="5">
        <f>IF($B106&lt;=Tabla5[[#This Row],[INVERSIONES FCI]],+Tabla5[[#This Row],[INVERSIONES FCI]]-J106,Tabla5[[#This Row],[INVERSIONES FCI]])</f>
        <v>17742075997.287533</v>
      </c>
      <c r="K107" s="5">
        <f>IF($B106&lt;=Tabla5[[#This Row],[INVERSIONES FCI]],+Tabla5[[#This Row],[INVERSIONES FCI]]-K106,Tabla5[[#This Row],[INVERSIONES FCI]])</f>
        <v>17742075997.287533</v>
      </c>
      <c r="L107" s="5">
        <f>IF($B106&lt;=Tabla5[[#This Row],[INVERSIONES FCI]],+Tabla5[[#This Row],[INVERSIONES FCI]]-L106,Tabla5[[#This Row],[INVERSIONES FCI]])</f>
        <v>17742075997.287533</v>
      </c>
      <c r="M107" s="5">
        <f>IF($B106&lt;=Tabla5[[#This Row],[INVERSIONES FCI]],+Tabla5[[#This Row],[INVERSIONES FCI]]-M106,Tabla5[[#This Row],[INVERSIONES FCI]])</f>
        <v>17742075997.287533</v>
      </c>
      <c r="N107" s="5">
        <f>IF($B106&lt;=Tabla5[[#This Row],[INVERSIONES FCI]],+Tabla5[[#This Row],[INVERSIONES FCI]]-N106,Tabla5[[#This Row],[INVERSIONES FCI]])</f>
        <v>17742075997.287533</v>
      </c>
      <c r="O107" s="5">
        <f>IF($B106&lt;=Tabla5[[#This Row],[INVERSIONES FCI]],+Tabla5[[#This Row],[INVERSIONES FCI]]-O106,Tabla5[[#This Row],[INVERSIONES FCI]])</f>
        <v>17742075997.287533</v>
      </c>
      <c r="P107" s="5">
        <f>IF($B106&lt;=Tabla5[[#This Row],[INVERSIONES FCI]],+Tabla5[[#This Row],[INVERSIONES FCI]]-P106,Tabla5[[#This Row],[INVERSIONES FCI]])</f>
        <v>17742075997.287533</v>
      </c>
      <c r="Q107" s="5">
        <f>IF($B106&lt;=Tabla5[[#This Row],[INVERSIONES FCI]],+Tabla5[[#This Row],[INVERSIONES FCI]]-Q106,Tabla5[[#This Row],[INVERSIONES FCI]])</f>
        <v>17742075997.287533</v>
      </c>
      <c r="R107" s="5">
        <f>IF($B106&lt;=Tabla5[[#This Row],[INVERSIONES FCI]],+Tabla5[[#This Row],[INVERSIONES FCI]]-R106,Tabla5[[#This Row],[INVERSIONES FCI]])</f>
        <v>17742075997.287533</v>
      </c>
      <c r="S107" s="5">
        <f>IF($B106&lt;=Tabla5[[#This Row],[INVERSIONES FCI]],+Tabla5[[#This Row],[INVERSIONES FCI]]-S106,Tabla5[[#This Row],[INVERSIONES FCI]])</f>
        <v>17742075997.287533</v>
      </c>
      <c r="T107" s="5">
        <f>IF($B106&lt;=Tabla5[[#This Row],[INVERSIONES FCI]],+Tabla5[[#This Row],[INVERSIONES FCI]]-T106,Tabla5[[#This Row],[INVERSIONES FCI]])</f>
        <v>17742075997.287533</v>
      </c>
      <c r="U107" s="5">
        <f>IF($B106&lt;=Tabla5[[#This Row],[INVERSIONES FCI]],+Tabla5[[#This Row],[INVERSIONES FCI]]-U106,Tabla5[[#This Row],[INVERSIONES FCI]])</f>
        <v>17742075997.287533</v>
      </c>
      <c r="V107" s="5">
        <f>IF($B106&lt;=Tabla5[[#This Row],[INVERSIONES FCI]],+Tabla5[[#This Row],[INVERSIONES FCI]]-V106,Tabla5[[#This Row],[INVERSIONES FCI]])</f>
        <v>17742075997.287533</v>
      </c>
      <c r="W107" s="5">
        <f>IF($B106&lt;=Tabla5[[#This Row],[INVERSIONES FCI]],+Tabla5[[#This Row],[INVERSIONES FCI]]-W106,Tabla5[[#This Row],[INVERSIONES FCI]])</f>
        <v>17742075997.287533</v>
      </c>
      <c r="X107" s="5">
        <f>IF($B106&lt;=Tabla5[[#This Row],[INVERSIONES FCI]],+Tabla5[[#This Row],[INVERSIONES FCI]]-X106,Tabla5[[#This Row],[INVERSIONES FCI]])</f>
        <v>17742075997.287533</v>
      </c>
      <c r="Y107" s="5">
        <f>IF($B106&lt;=Tabla5[[#This Row],[INVERSIONES FCI]],+Tabla5[[#This Row],[INVERSIONES FCI]]-Y106,Tabla5[[#This Row],[INVERSIONES FCI]])</f>
        <v>17742075997.287533</v>
      </c>
      <c r="Z107" s="5">
        <f>IF($B106&lt;=Tabla5[[#This Row],[INVERSIONES FCI]],+Tabla5[[#This Row],[INVERSIONES FCI]]-Z106,Tabla5[[#This Row],[INVERSIONES FCI]])</f>
        <v>17742075997.287533</v>
      </c>
      <c r="AA107" s="5">
        <f>IF($B106&lt;=Tabla5[[#This Row],[INVERSIONES FCI]],+Tabla5[[#This Row],[INVERSIONES FCI]]-AA106,Tabla5[[#This Row],[INVERSIONES FCI]])</f>
        <v>17742075997.287533</v>
      </c>
      <c r="AB107" s="5">
        <f>IF($B106&lt;=Tabla5[[#This Row],[INVERSIONES FCI]],+Tabla5[[#This Row],[INVERSIONES FCI]]-AB106,Tabla5[[#This Row],[INVERSIONES FCI]])</f>
        <v>17742075997.287533</v>
      </c>
      <c r="AC107" s="5">
        <f>IF($B106&lt;=Tabla5[[#This Row],[INVERSIONES FCI]],+Tabla5[[#This Row],[INVERSIONES FCI]]-AC106,Tabla5[[#This Row],[INVERSIONES FCI]])</f>
        <v>17742075997.287533</v>
      </c>
      <c r="AD107" s="5">
        <f>IF($B106&lt;=Tabla5[[#This Row],[INVERSIONES FCI]],+Tabla5[[#This Row],[INVERSIONES FCI]]-AD106,Tabla5[[#This Row],[INVERSIONES FCI]])</f>
        <v>17742075997.287533</v>
      </c>
      <c r="AE107" s="5">
        <f>IF($B106&lt;=Tabla5[[#This Row],[INVERSIONES FCI]],+Tabla5[[#This Row],[INVERSIONES FCI]]-AE106,Tabla5[[#This Row],[INVERSIONES FCI]])</f>
        <v>17742075997.287533</v>
      </c>
      <c r="AF107" s="5">
        <f>IF($B106&lt;=Tabla5[[#This Row],[INVERSIONES FCI]],+Tabla5[[#This Row],[INVERSIONES FCI]]-AF106,Tabla5[[#This Row],[INVERSIONES FCI]])</f>
        <v>17742075997.287533</v>
      </c>
      <c r="AG107" s="5">
        <f>IF($B106&lt;=Tabla5[[#This Row],[INVERSIONES FCI]],+Tabla5[[#This Row],[INVERSIONES FCI]]-AG106,Tabla5[[#This Row],[INVERSIONES FCI]])</f>
        <v>17742075997.287533</v>
      </c>
      <c r="AH107" s="5">
        <f>IF($B106&lt;=Tabla5[[#This Row],[INVERSIONES FCI]],+Tabla5[[#This Row],[INVERSIONES FCI]]-AH106,Tabla5[[#This Row],[INVERSIONES FCI]])</f>
        <v>17742075997.287533</v>
      </c>
      <c r="AI107" s="5">
        <f>IF($B106&lt;=Tabla5[[#This Row],[INVERSIONES FCI]],+Tabla5[[#This Row],[INVERSIONES FCI]]-AI106,Tabla5[[#This Row],[INVERSIONES FCI]])</f>
        <v>17742075997.287533</v>
      </c>
      <c r="AJ107" s="5">
        <f>IF($B106&lt;=Tabla5[[#This Row],[INVERSIONES FCI]],+Tabla5[[#This Row],[INVERSIONES FCI]]-AJ106,Tabla5[[#This Row],[INVERSIONES FCI]])</f>
        <v>17742075997.287533</v>
      </c>
      <c r="AK107" s="5">
        <f>IF($B106&lt;=Tabla5[[#This Row],[INVERSIONES FCI]],+Tabla5[[#This Row],[INVERSIONES FCI]]-AK106,Tabla5[[#This Row],[INVERSIONES FCI]])</f>
        <v>17742075997.287533</v>
      </c>
      <c r="AL107" s="5">
        <f>IF($B106&lt;=Tabla5[[#This Row],[INVERSIONES FCI]],+Tabla5[[#This Row],[INVERSIONES FCI]]-AL106,Tabla5[[#This Row],[INVERSIONES FCI]])</f>
        <v>17742075997.287533</v>
      </c>
      <c r="AM107" s="5">
        <f>IF($B106&lt;=Tabla5[[#This Row],[INVERSIONES FCI]],+Tabla5[[#This Row],[INVERSIONES FCI]]-AM106,Tabla5[[#This Row],[INVERSIONES FCI]])</f>
        <v>17742075997.287533</v>
      </c>
      <c r="AN107" s="5">
        <f>IF($B106&lt;=Tabla5[[#This Row],[INVERSIONES FCI]],+Tabla5[[#This Row],[INVERSIONES FCI]]-AN106,Tabla5[[#This Row],[INVERSIONES FCI]])</f>
        <v>17742075997.287533</v>
      </c>
      <c r="AO107" s="5">
        <f>IF($B106&lt;=Tabla5[[#This Row],[INVERSIONES FCI]],+Tabla5[[#This Row],[INVERSIONES FCI]]-AO106,Tabla5[[#This Row],[INVERSIONES FCI]])</f>
        <v>17742075997.287533</v>
      </c>
      <c r="AP107" s="5">
        <f>IF($B106&lt;=Tabla5[[#This Row],[INVERSIONES FCI]],+Tabla5[[#This Row],[INVERSIONES FCI]]-AP106,Tabla5[[#This Row],[INVERSIONES FCI]])</f>
        <v>17742075997.287533</v>
      </c>
      <c r="AQ107" s="5">
        <f>IF($B106&lt;=Tabla5[[#This Row],[INVERSIONES FCI]],+Tabla5[[#This Row],[INVERSIONES FCI]]-AQ106,Tabla5[[#This Row],[INVERSIONES FCI]])</f>
        <v>17742075997.287533</v>
      </c>
      <c r="AR107" s="5">
        <f>IF($B106&lt;=Tabla5[[#This Row],[INVERSIONES FCI]],+Tabla5[[#This Row],[INVERSIONES FCI]]-AR106,Tabla5[[#This Row],[INVERSIONES FCI]])</f>
        <v>17742075997.287533</v>
      </c>
      <c r="AS107" s="5">
        <f>IF($B106&lt;=Tabla5[[#This Row],[INVERSIONES FCI]],+Tabla5[[#This Row],[INVERSIONES FCI]]-AS106,Tabla5[[#This Row],[INVERSIONES FCI]])</f>
        <v>17742075997.287533</v>
      </c>
      <c r="AT107" s="5">
        <f>IF($B106&lt;=Tabla5[[#This Row],[INVERSIONES FCI]],+Tabla5[[#This Row],[INVERSIONES FCI]]-AT106,Tabla5[[#This Row],[INVERSIONES FCI]])</f>
        <v>17742075997.287533</v>
      </c>
      <c r="AU107" s="5">
        <f>IF($B106&lt;=Tabla5[[#This Row],[INVERSIONES FCI]],+Tabla5[[#This Row],[INVERSIONES FCI]]-AU106,Tabla5[[#This Row],[INVERSIONES FCI]])</f>
        <v>17742075997.287533</v>
      </c>
      <c r="AV107" s="5">
        <f>IF($B106&lt;=Tabla5[[#This Row],[INVERSIONES FCI]],+Tabla5[[#This Row],[INVERSIONES FCI]]-AV106,Tabla5[[#This Row],[INVERSIONES FCI]])</f>
        <v>17742075997.287533</v>
      </c>
      <c r="AW107" s="5">
        <f>IF($B106&lt;=Tabla5[[#This Row],[INVERSIONES FCI]],+Tabla5[[#This Row],[INVERSIONES FCI]]-AW106,Tabla5[[#This Row],[INVERSIONES FCI]])</f>
        <v>17742075997.287533</v>
      </c>
      <c r="AX107" s="5">
        <f>IF($B106&lt;=Tabla5[[#This Row],[INVERSIONES FCI]],+Tabla5[[#This Row],[INVERSIONES FCI]]-AX106,Tabla5[[#This Row],[INVERSIONES FCI]])</f>
        <v>17742075997.287533</v>
      </c>
      <c r="AY107" s="5">
        <f>IF($B106&lt;=Tabla5[[#This Row],[INVERSIONES FCI]],+Tabla5[[#This Row],[INVERSIONES FCI]]-AY106,Tabla5[[#This Row],[INVERSIONES FCI]])</f>
        <v>17742075997.287533</v>
      </c>
      <c r="AZ107" s="5">
        <f>IF($B106&lt;=Tabla5[[#This Row],[INVERSIONES FCI]],+Tabla5[[#This Row],[INVERSIONES FCI]]-AZ106,Tabla5[[#This Row],[INVERSIONES FCI]])</f>
        <v>17742075997.287533</v>
      </c>
      <c r="BA107" s="5">
        <f>IF($B106&lt;=Tabla5[[#This Row],[INVERSIONES FCI]],+Tabla5[[#This Row],[INVERSIONES FCI]]-BA106,Tabla5[[#This Row],[INVERSIONES FCI]])</f>
        <v>17742075997.287533</v>
      </c>
      <c r="BB107" s="5">
        <f>IF($B106&lt;=Tabla5[[#This Row],[INVERSIONES FCI]],+Tabla5[[#This Row],[INVERSIONES FCI]]-BB106,Tabla5[[#This Row],[INVERSIONES FCI]])</f>
        <v>17742075997.287533</v>
      </c>
      <c r="BC107" s="5">
        <f>IF($B106&lt;=Tabla5[[#This Row],[INVERSIONES FCI]],+Tabla5[[#This Row],[INVERSIONES FCI]]-BC106,Tabla5[[#This Row],[INVERSIONES FCI]])</f>
        <v>17742075997.287533</v>
      </c>
      <c r="BD107" s="5">
        <f>IF($B106&lt;=Tabla5[[#This Row],[INVERSIONES FCI]],+Tabla5[[#This Row],[INVERSIONES FCI]]-BD106,Tabla5[[#This Row],[INVERSIONES FCI]])</f>
        <v>17742075997.287533</v>
      </c>
      <c r="BE107" s="5">
        <f>IF($B106&lt;=Tabla5[[#This Row],[INVERSIONES FCI]],+Tabla5[[#This Row],[INVERSIONES FCI]]-BE106,Tabla5[[#This Row],[INVERSIONES FCI]])</f>
        <v>17742075997.287533</v>
      </c>
      <c r="BF107" s="5">
        <f>IF($B106&lt;=Tabla5[[#This Row],[INVERSIONES FCI]],+Tabla5[[#This Row],[INVERSIONES FCI]]-BF106,Tabla5[[#This Row],[INVERSIONES FCI]])</f>
        <v>17742075997.287533</v>
      </c>
      <c r="BG107" s="5">
        <f>IF($B106&lt;=Tabla5[[#This Row],[INVERSIONES FCI]],+Tabla5[[#This Row],[INVERSIONES FCI]]-BG106,Tabla5[[#This Row],[INVERSIONES FCI]])</f>
        <v>17742075997.287533</v>
      </c>
      <c r="BH107" s="5">
        <f>IF($B106&lt;=Tabla5[[#This Row],[INVERSIONES FCI]],+Tabla5[[#This Row],[INVERSIONES FCI]]-BH106,Tabla5[[#This Row],[INVERSIONES FCI]])</f>
        <v>17742075997.287533</v>
      </c>
      <c r="BI107" s="5">
        <f>IF($B106&lt;=Tabla5[[#This Row],[INVERSIONES FCI]],+Tabla5[[#This Row],[INVERSIONES FCI]]-BI106,Tabla5[[#This Row],[INVERSIONES FCI]])</f>
        <v>17742075997.287533</v>
      </c>
      <c r="BJ107" s="5">
        <f>IF($B106&lt;=Tabla5[[#This Row],[INVERSIONES FCI]],+Tabla5[[#This Row],[INVERSIONES FCI]]-BJ106,Tabla5[[#This Row],[INVERSIONES FCI]])</f>
        <v>17742075997.287533</v>
      </c>
      <c r="BK107" s="5">
        <f>IF($B106&lt;=Tabla5[[#This Row],[INVERSIONES FCI]],+Tabla5[[#This Row],[INVERSIONES FCI]]-BK106,Tabla5[[#This Row],[INVERSIONES FCI]])</f>
        <v>17742075997.287533</v>
      </c>
      <c r="BL107" s="5">
        <f>IF($B106&lt;=Tabla5[[#This Row],[INVERSIONES FCI]],+Tabla5[[#This Row],[INVERSIONES FCI]]-BL106,Tabla5[[#This Row],[INVERSIONES FCI]])</f>
        <v>17742075997.287533</v>
      </c>
      <c r="BM107" s="5">
        <f>IF($B106&lt;=Tabla5[[#This Row],[INVERSIONES FCI]],+Tabla5[[#This Row],[INVERSIONES FCI]]-BM106,Tabla5[[#This Row],[INVERSIONES FCI]])</f>
        <v>17742075997.287533</v>
      </c>
      <c r="BN107" s="5">
        <f>IF($B106&lt;=Tabla5[[#This Row],[INVERSIONES FCI]],+Tabla5[[#This Row],[INVERSIONES FCI]]-BN106,Tabla5[[#This Row],[INVERSIONES FCI]])</f>
        <v>17742075997.287533</v>
      </c>
      <c r="BO107" s="5">
        <f>IF($B106&lt;=Tabla5[[#This Row],[INVERSIONES FCI]],+Tabla5[[#This Row],[INVERSIONES FCI]]-BO106,Tabla5[[#This Row],[INVERSIONES FCI]])</f>
        <v>17742075997.287533</v>
      </c>
      <c r="BP107" s="5">
        <f>IF($B106&lt;=Tabla5[[#This Row],[INVERSIONES FCI]],+Tabla5[[#This Row],[INVERSIONES FCI]]-BP106,Tabla5[[#This Row],[INVERSIONES FCI]])</f>
        <v>17742075997.287533</v>
      </c>
      <c r="BQ107" s="5">
        <f>IF($B106&lt;=Tabla5[[#This Row],[INVERSIONES FCI]],+Tabla5[[#This Row],[INVERSIONES FCI]]-BQ106,Tabla5[[#This Row],[INVERSIONES FCI]])</f>
        <v>17742075997.287533</v>
      </c>
      <c r="BR107" s="5">
        <f>IF($B106&lt;=Tabla5[[#This Row],[INVERSIONES FCI]],+Tabla5[[#This Row],[INVERSIONES FCI]]-BR106,Tabla5[[#This Row],[INVERSIONES FCI]])</f>
        <v>17742075997.287533</v>
      </c>
      <c r="BS107" s="5">
        <f>IF($B106&lt;=Tabla5[[#This Row],[INVERSIONES FCI]],+Tabla5[[#This Row],[INVERSIONES FCI]]-BS106,Tabla5[[#This Row],[INVERSIONES FCI]])</f>
        <v>17742075997.287533</v>
      </c>
      <c r="BT107" s="5">
        <f>IF($B106&lt;=Tabla5[[#This Row],[INVERSIONES FCI]],+Tabla5[[#This Row],[INVERSIONES FCI]]-BT106,Tabla5[[#This Row],[INVERSIONES FCI]])</f>
        <v>17742075997.287533</v>
      </c>
      <c r="BU107" s="5">
        <f>IF($B106&lt;=Tabla5[[#This Row],[INVERSIONES FCI]],+Tabla5[[#This Row],[INVERSIONES FCI]]-BU106,Tabla5[[#This Row],[INVERSIONES FCI]])</f>
        <v>17742075997.287533</v>
      </c>
      <c r="BV107" s="5">
        <f>IF($B106&lt;=Tabla5[[#This Row],[INVERSIONES FCI]],+Tabla5[[#This Row],[INVERSIONES FCI]]-BV106,Tabla5[[#This Row],[INVERSIONES FCI]])</f>
        <v>17742075997.287533</v>
      </c>
      <c r="BW107" s="5">
        <f>IF($B106&lt;=Tabla5[[#This Row],[INVERSIONES FCI]],+Tabla5[[#This Row],[INVERSIONES FCI]]-BW106,Tabla5[[#This Row],[INVERSIONES FCI]])</f>
        <v>17742075997.287533</v>
      </c>
      <c r="BX107" s="5">
        <f>IF($B106&lt;=Tabla5[[#This Row],[INVERSIONES FCI]],+Tabla5[[#This Row],[INVERSIONES FCI]]-BX106,Tabla5[[#This Row],[INVERSIONES FCI]])</f>
        <v>17742075997.287533</v>
      </c>
      <c r="BY107" s="5">
        <f>IF($B106&lt;=Tabla5[[#This Row],[INVERSIONES FCI]],+Tabla5[[#This Row],[INVERSIONES FCI]]-BY106,Tabla5[[#This Row],[INVERSIONES FCI]])</f>
        <v>17742075997.287533</v>
      </c>
      <c r="BZ107" s="5">
        <f>IF($B106&lt;=Tabla5[[#This Row],[INVERSIONES FCI]],+Tabla5[[#This Row],[INVERSIONES FCI]]-BZ106,Tabla5[[#This Row],[INVERSIONES FCI]])</f>
        <v>17742075997.287533</v>
      </c>
      <c r="CA107" s="5">
        <f>IF($B106&lt;=Tabla5[[#This Row],[INVERSIONES FCI]],+Tabla5[[#This Row],[INVERSIONES FCI]]-CA106,Tabla5[[#This Row],[INVERSIONES FCI]])</f>
        <v>17742075997.287533</v>
      </c>
      <c r="CB107" s="5">
        <f>IF($B106&lt;=Tabla5[[#This Row],[INVERSIONES FCI]],+Tabla5[[#This Row],[INVERSIONES FCI]]-CB106,Tabla5[[#This Row],[INVERSIONES FCI]])</f>
        <v>17742075997.287533</v>
      </c>
      <c r="CC107" s="5">
        <f>IF($B106&lt;=Tabla5[[#This Row],[INVERSIONES FCI]],+Tabla5[[#This Row],[INVERSIONES FCI]]-CC106,Tabla5[[#This Row],[INVERSIONES FCI]])</f>
        <v>17742075997.287533</v>
      </c>
      <c r="CD107" s="5">
        <f>IF($B106&lt;=Tabla5[[#This Row],[INVERSIONES FCI]],+Tabla5[[#This Row],[INVERSIONES FCI]]-CD106,Tabla5[[#This Row],[INVERSIONES FCI]])</f>
        <v>17742075997.287533</v>
      </c>
      <c r="CE107" s="5">
        <f>IF($B106&lt;=Tabla5[[#This Row],[INVERSIONES FCI]],+Tabla5[[#This Row],[INVERSIONES FCI]]-CE106,Tabla5[[#This Row],[INVERSIONES FCI]])</f>
        <v>17742075997.287533</v>
      </c>
      <c r="CF107" s="5">
        <f>IF($B106&lt;=Tabla5[[#This Row],[INVERSIONES FCI]],+Tabla5[[#This Row],[INVERSIONES FCI]]-CF106,Tabla5[[#This Row],[INVERSIONES FCI]])</f>
        <v>17742075997.287533</v>
      </c>
      <c r="CG107" s="5">
        <f>IF($B106&lt;=Tabla5[[#This Row],[INVERSIONES FCI]],+Tabla5[[#This Row],[INVERSIONES FCI]]-CG106,Tabla5[[#This Row],[INVERSIONES FCI]])</f>
        <v>17742075997.287533</v>
      </c>
      <c r="CH107" s="5">
        <f>IF($B106&lt;=Tabla5[[#This Row],[INVERSIONES FCI]],+Tabla5[[#This Row],[INVERSIONES FCI]]-CH106,Tabla5[[#This Row],[INVERSIONES FCI]])</f>
        <v>17742075997.287533</v>
      </c>
      <c r="CI107" s="5">
        <f>IF($B106&lt;=Tabla5[[#This Row],[INVERSIONES FCI]],+Tabla5[[#This Row],[INVERSIONES FCI]]-CI106,Tabla5[[#This Row],[INVERSIONES FCI]])</f>
        <v>17742075997.287533</v>
      </c>
      <c r="CJ107" s="5">
        <f>IF($B106&lt;=Tabla5[[#This Row],[INVERSIONES FCI]],+Tabla5[[#This Row],[INVERSIONES FCI]]-CJ106,Tabla5[[#This Row],[INVERSIONES FCI]])</f>
        <v>17742075997.287533</v>
      </c>
      <c r="CK107" s="5">
        <f>IF($B106&lt;=Tabla5[[#This Row],[INVERSIONES FCI]],+Tabla5[[#This Row],[INVERSIONES FCI]]-CK106,Tabla5[[#This Row],[INVERSIONES FCI]])</f>
        <v>17742075997.287533</v>
      </c>
      <c r="CL107" s="5">
        <f>IF($B106&lt;=Tabla5[[#This Row],[INVERSIONES FCI]],+Tabla5[[#This Row],[INVERSIONES FCI]]-CL106,Tabla5[[#This Row],[INVERSIONES FCI]])</f>
        <v>17742075997.287533</v>
      </c>
      <c r="CM107" s="5">
        <f>IF($B106&lt;=Tabla5[[#This Row],[INVERSIONES FCI]],+Tabla5[[#This Row],[INVERSIONES FCI]]-CM106,Tabla5[[#This Row],[INVERSIONES FCI]])</f>
        <v>17742075997.287533</v>
      </c>
      <c r="CN107" s="5">
        <f>IF($B106&lt;=Tabla5[[#This Row],[INVERSIONES FCI]],+Tabla5[[#This Row],[INVERSIONES FCI]]-CN106,Tabla5[[#This Row],[INVERSIONES FCI]])</f>
        <v>17742075997.287533</v>
      </c>
      <c r="CO107" s="5">
        <f>IF($B106&lt;=Tabla5[[#This Row],[INVERSIONES FCI]],+Tabla5[[#This Row],[INVERSIONES FCI]]-CO106,Tabla5[[#This Row],[INVERSIONES FCI]])</f>
        <v>17742075997.287533</v>
      </c>
      <c r="CP107" s="5">
        <f>IF($B106&lt;=Tabla5[[#This Row],[INVERSIONES FCI]],+Tabla5[[#This Row],[INVERSIONES FCI]]-CP106,Tabla5[[#This Row],[INVERSIONES FCI]])</f>
        <v>17742075997.287533</v>
      </c>
      <c r="CQ107" s="5">
        <f>IF($B106&lt;=Tabla5[[#This Row],[INVERSIONES FCI]],+Tabla5[[#This Row],[INVERSIONES FCI]]-CQ106,Tabla5[[#This Row],[INVERSIONES FCI]])</f>
        <v>17742075997.287533</v>
      </c>
      <c r="CR107" s="5">
        <f>IF($B106&lt;=Tabla5[[#This Row],[INVERSIONES FCI]],+Tabla5[[#This Row],[INVERSIONES FCI]]-CR106,Tabla5[[#This Row],[INVERSIONES FCI]])</f>
        <v>17742075997.287533</v>
      </c>
      <c r="CS107" s="5">
        <f>IF($B106&lt;=Tabla5[[#This Row],[INVERSIONES FCI]],+Tabla5[[#This Row],[INVERSIONES FCI]]-CS106,Tabla5[[#This Row],[INVERSIONES FCI]])</f>
        <v>17742075997.287533</v>
      </c>
      <c r="CT107" s="5">
        <f>IF($B106&lt;=Tabla5[[#This Row],[INVERSIONES FCI]],+Tabla5[[#This Row],[INVERSIONES FCI]]-CT106,Tabla5[[#This Row],[INVERSIONES FCI]])</f>
        <v>17742075997.287533</v>
      </c>
      <c r="CU107" s="5">
        <f>IF($B106&lt;=Tabla5[[#This Row],[INVERSIONES FCI]],+Tabla5[[#This Row],[INVERSIONES FCI]]-CU106,Tabla5[[#This Row],[INVERSIONES FCI]])</f>
        <v>17742075997.287533</v>
      </c>
      <c r="CV107" s="5">
        <f>IF($B106&lt;=Tabla5[[#This Row],[INVERSIONES FCI]],+Tabla5[[#This Row],[INVERSIONES FCI]]-CV106,Tabla5[[#This Row],[INVERSIONES FCI]])</f>
        <v>17742075997.287533</v>
      </c>
      <c r="CW107" s="5">
        <f>IF($B106&lt;=Tabla5[[#This Row],[INVERSIONES FCI]],+Tabla5[[#This Row],[INVERSIONES FCI]]-CW106,Tabla5[[#This Row],[INVERSIONES FCI]])</f>
        <v>17742075997.287533</v>
      </c>
      <c r="CX107" s="5">
        <f>IF($B106&lt;=Tabla5[[#This Row],[INVERSIONES FCI]],+Tabla5[[#This Row],[INVERSIONES FCI]]-CX106,Tabla5[[#This Row],[INVERSIONES FCI]])</f>
        <v>17742075997.287533</v>
      </c>
      <c r="CY107" s="5">
        <f>IF($B106&lt;=Tabla5[[#This Row],[INVERSIONES FCI]],+Tabla5[[#This Row],[INVERSIONES FCI]]-CY106,Tabla5[[#This Row],[INVERSIONES FCI]])</f>
        <v>17742075997.287533</v>
      </c>
      <c r="CZ107" s="5">
        <f>IF($B106&lt;=Tabla5[[#This Row],[INVERSIONES FCI]],+Tabla5[[#This Row],[INVERSIONES FCI]]-CZ106,Tabla5[[#This Row],[INVERSIONES FCI]])</f>
        <v>17742075997.287533</v>
      </c>
      <c r="DA107" s="5">
        <f>IF($B106&lt;=Tabla5[[#This Row],[INVERSIONES FCI]],+Tabla5[[#This Row],[INVERSIONES FCI]]-DA106,Tabla5[[#This Row],[INVERSIONES FCI]])</f>
        <v>17742075997.287533</v>
      </c>
      <c r="DB107" s="5">
        <f>IF($B106&lt;=Tabla5[[#This Row],[INVERSIONES FCI]],+Tabla5[[#This Row],[INVERSIONES FCI]]-DB106,Tabla5[[#This Row],[INVERSIONES FCI]])</f>
        <v>17742075997.287533</v>
      </c>
      <c r="DC107" s="5">
        <f>IF($B106&lt;=Tabla5[[#This Row],[INVERSIONES FCI]],+Tabla5[[#This Row],[INVERSIONES FCI]]-DC106,Tabla5[[#This Row],[INVERSIONES FCI]])</f>
        <v>17742075997.287533</v>
      </c>
      <c r="DD107" s="5" cm="1">
        <f t="array" ref="DD107">IF(Tabla5[[#This Row],[FCI]]=0,0,_xlfn.XLOOKUP(TRUE,$B107:DC107&gt;0,$B107:DC107,"",0,-1))</f>
        <v>17742075997.287533</v>
      </c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</row>
    <row r="108" spans="1:121" ht="14.4">
      <c r="A108" s="12" t="s">
        <v>107</v>
      </c>
      <c r="B108" s="5">
        <f>HLOOKUP($A108,ESCENARIO[#All],7,FALSE)</f>
        <v>20640353876.231197</v>
      </c>
      <c r="C108" s="5">
        <f>IF($B107&lt;=Tabla5[[#This Row],[INVERSIONES FCI]],+Tabla5[[#This Row],[INVERSIONES FCI]]-C107,Tabla5[[#This Row],[INVERSIONES FCI]])</f>
        <v>2898277878.9436646</v>
      </c>
      <c r="D108" s="5">
        <f>IF($B107&lt;=Tabla5[[#This Row],[INVERSIONES FCI]],+Tabla5[[#This Row],[INVERSIONES FCI]]-D107,Tabla5[[#This Row],[INVERSIONES FCI]])</f>
        <v>2898277878.9436646</v>
      </c>
      <c r="E108" s="5">
        <f>IF($B107&lt;=Tabla5[[#This Row],[INVERSIONES FCI]],+Tabla5[[#This Row],[INVERSIONES FCI]]-E107,Tabla5[[#This Row],[INVERSIONES FCI]])</f>
        <v>2898277878.9436646</v>
      </c>
      <c r="F108" s="5">
        <f>IF($B107&lt;=Tabla5[[#This Row],[INVERSIONES FCI]],+Tabla5[[#This Row],[INVERSIONES FCI]]-F107,Tabla5[[#This Row],[INVERSIONES FCI]])</f>
        <v>2898277878.9436646</v>
      </c>
      <c r="G108" s="5">
        <f>IF($B107&lt;=Tabla5[[#This Row],[INVERSIONES FCI]],+Tabla5[[#This Row],[INVERSIONES FCI]]-G107,Tabla5[[#This Row],[INVERSIONES FCI]])</f>
        <v>2898277878.9436646</v>
      </c>
      <c r="H108" s="5">
        <f>IF($B107&lt;=Tabla5[[#This Row],[INVERSIONES FCI]],+Tabla5[[#This Row],[INVERSIONES FCI]]-H107,Tabla5[[#This Row],[INVERSIONES FCI]])</f>
        <v>2898277878.9436646</v>
      </c>
      <c r="I108" s="5">
        <f>IF($B107&lt;=Tabla5[[#This Row],[INVERSIONES FCI]],+Tabla5[[#This Row],[INVERSIONES FCI]]-I107,Tabla5[[#This Row],[INVERSIONES FCI]])</f>
        <v>2898277878.9436646</v>
      </c>
      <c r="J108" s="5">
        <f>IF($B107&lt;=Tabla5[[#This Row],[INVERSIONES FCI]],+Tabla5[[#This Row],[INVERSIONES FCI]]-J107,Tabla5[[#This Row],[INVERSIONES FCI]])</f>
        <v>2898277878.9436646</v>
      </c>
      <c r="K108" s="5">
        <f>IF($B107&lt;=Tabla5[[#This Row],[INVERSIONES FCI]],+Tabla5[[#This Row],[INVERSIONES FCI]]-K107,Tabla5[[#This Row],[INVERSIONES FCI]])</f>
        <v>2898277878.9436646</v>
      </c>
      <c r="L108" s="5">
        <f>IF($B107&lt;=Tabla5[[#This Row],[INVERSIONES FCI]],+Tabla5[[#This Row],[INVERSIONES FCI]]-L107,Tabla5[[#This Row],[INVERSIONES FCI]])</f>
        <v>2898277878.9436646</v>
      </c>
      <c r="M108" s="5">
        <f>IF($B107&lt;=Tabla5[[#This Row],[INVERSIONES FCI]],+Tabla5[[#This Row],[INVERSIONES FCI]]-M107,Tabla5[[#This Row],[INVERSIONES FCI]])</f>
        <v>2898277878.9436646</v>
      </c>
      <c r="N108" s="5">
        <f>IF($B107&lt;=Tabla5[[#This Row],[INVERSIONES FCI]],+Tabla5[[#This Row],[INVERSIONES FCI]]-N107,Tabla5[[#This Row],[INVERSIONES FCI]])</f>
        <v>2898277878.9436646</v>
      </c>
      <c r="O108" s="5">
        <f>IF($B107&lt;=Tabla5[[#This Row],[INVERSIONES FCI]],+Tabla5[[#This Row],[INVERSIONES FCI]]-O107,Tabla5[[#This Row],[INVERSIONES FCI]])</f>
        <v>2898277878.9436646</v>
      </c>
      <c r="P108" s="5">
        <f>IF($B107&lt;=Tabla5[[#This Row],[INVERSIONES FCI]],+Tabla5[[#This Row],[INVERSIONES FCI]]-P107,Tabla5[[#This Row],[INVERSIONES FCI]])</f>
        <v>2898277878.9436646</v>
      </c>
      <c r="Q108" s="5">
        <f>IF($B107&lt;=Tabla5[[#This Row],[INVERSIONES FCI]],+Tabla5[[#This Row],[INVERSIONES FCI]]-Q107,Tabla5[[#This Row],[INVERSIONES FCI]])</f>
        <v>2898277878.9436646</v>
      </c>
      <c r="R108" s="5">
        <f>IF($B107&lt;=Tabla5[[#This Row],[INVERSIONES FCI]],+Tabla5[[#This Row],[INVERSIONES FCI]]-R107,Tabla5[[#This Row],[INVERSIONES FCI]])</f>
        <v>2898277878.9436646</v>
      </c>
      <c r="S108" s="5">
        <f>IF($B107&lt;=Tabla5[[#This Row],[INVERSIONES FCI]],+Tabla5[[#This Row],[INVERSIONES FCI]]-S107,Tabla5[[#This Row],[INVERSIONES FCI]])</f>
        <v>2898277878.9436646</v>
      </c>
      <c r="T108" s="5">
        <f>IF($B107&lt;=Tabla5[[#This Row],[INVERSIONES FCI]],+Tabla5[[#This Row],[INVERSIONES FCI]]-T107,Tabla5[[#This Row],[INVERSIONES FCI]])</f>
        <v>2898277878.9436646</v>
      </c>
      <c r="U108" s="5">
        <f>IF($B107&lt;=Tabla5[[#This Row],[INVERSIONES FCI]],+Tabla5[[#This Row],[INVERSIONES FCI]]-U107,Tabla5[[#This Row],[INVERSIONES FCI]])</f>
        <v>2898277878.9436646</v>
      </c>
      <c r="V108" s="5">
        <f>IF($B107&lt;=Tabla5[[#This Row],[INVERSIONES FCI]],+Tabla5[[#This Row],[INVERSIONES FCI]]-V107,Tabla5[[#This Row],[INVERSIONES FCI]])</f>
        <v>2898277878.9436646</v>
      </c>
      <c r="W108" s="5">
        <f>IF($B107&lt;=Tabla5[[#This Row],[INVERSIONES FCI]],+Tabla5[[#This Row],[INVERSIONES FCI]]-W107,Tabla5[[#This Row],[INVERSIONES FCI]])</f>
        <v>2898277878.9436646</v>
      </c>
      <c r="X108" s="5">
        <f>IF($B107&lt;=Tabla5[[#This Row],[INVERSIONES FCI]],+Tabla5[[#This Row],[INVERSIONES FCI]]-X107,Tabla5[[#This Row],[INVERSIONES FCI]])</f>
        <v>2898277878.9436646</v>
      </c>
      <c r="Y108" s="5">
        <f>IF($B107&lt;=Tabla5[[#This Row],[INVERSIONES FCI]],+Tabla5[[#This Row],[INVERSIONES FCI]]-Y107,Tabla5[[#This Row],[INVERSIONES FCI]])</f>
        <v>2898277878.9436646</v>
      </c>
      <c r="Z108" s="5">
        <f>IF($B107&lt;=Tabla5[[#This Row],[INVERSIONES FCI]],+Tabla5[[#This Row],[INVERSIONES FCI]]-Z107,Tabla5[[#This Row],[INVERSIONES FCI]])</f>
        <v>2898277878.9436646</v>
      </c>
      <c r="AA108" s="5">
        <f>IF($B107&lt;=Tabla5[[#This Row],[INVERSIONES FCI]],+Tabla5[[#This Row],[INVERSIONES FCI]]-AA107,Tabla5[[#This Row],[INVERSIONES FCI]])</f>
        <v>2898277878.9436646</v>
      </c>
      <c r="AB108" s="5">
        <f>IF($B107&lt;=Tabla5[[#This Row],[INVERSIONES FCI]],+Tabla5[[#This Row],[INVERSIONES FCI]]-AB107,Tabla5[[#This Row],[INVERSIONES FCI]])</f>
        <v>2898277878.9436646</v>
      </c>
      <c r="AC108" s="5">
        <f>IF($B107&lt;=Tabla5[[#This Row],[INVERSIONES FCI]],+Tabla5[[#This Row],[INVERSIONES FCI]]-AC107,Tabla5[[#This Row],[INVERSIONES FCI]])</f>
        <v>2898277878.9436646</v>
      </c>
      <c r="AD108" s="5">
        <f>IF($B107&lt;=Tabla5[[#This Row],[INVERSIONES FCI]],+Tabla5[[#This Row],[INVERSIONES FCI]]-AD107,Tabla5[[#This Row],[INVERSIONES FCI]])</f>
        <v>2898277878.9436646</v>
      </c>
      <c r="AE108" s="5">
        <f>IF($B107&lt;=Tabla5[[#This Row],[INVERSIONES FCI]],+Tabla5[[#This Row],[INVERSIONES FCI]]-AE107,Tabla5[[#This Row],[INVERSIONES FCI]])</f>
        <v>2898277878.9436646</v>
      </c>
      <c r="AF108" s="5">
        <f>IF($B107&lt;=Tabla5[[#This Row],[INVERSIONES FCI]],+Tabla5[[#This Row],[INVERSIONES FCI]]-AF107,Tabla5[[#This Row],[INVERSIONES FCI]])</f>
        <v>2898277878.9436646</v>
      </c>
      <c r="AG108" s="5">
        <f>IF($B107&lt;=Tabla5[[#This Row],[INVERSIONES FCI]],+Tabla5[[#This Row],[INVERSIONES FCI]]-AG107,Tabla5[[#This Row],[INVERSIONES FCI]])</f>
        <v>2898277878.9436646</v>
      </c>
      <c r="AH108" s="5">
        <f>IF($B107&lt;=Tabla5[[#This Row],[INVERSIONES FCI]],+Tabla5[[#This Row],[INVERSIONES FCI]]-AH107,Tabla5[[#This Row],[INVERSIONES FCI]])</f>
        <v>2898277878.9436646</v>
      </c>
      <c r="AI108" s="5">
        <f>IF($B107&lt;=Tabla5[[#This Row],[INVERSIONES FCI]],+Tabla5[[#This Row],[INVERSIONES FCI]]-AI107,Tabla5[[#This Row],[INVERSIONES FCI]])</f>
        <v>2898277878.9436646</v>
      </c>
      <c r="AJ108" s="5">
        <f>IF($B107&lt;=Tabla5[[#This Row],[INVERSIONES FCI]],+Tabla5[[#This Row],[INVERSIONES FCI]]-AJ107,Tabla5[[#This Row],[INVERSIONES FCI]])</f>
        <v>2898277878.9436646</v>
      </c>
      <c r="AK108" s="5">
        <f>IF($B107&lt;=Tabla5[[#This Row],[INVERSIONES FCI]],+Tabla5[[#This Row],[INVERSIONES FCI]]-AK107,Tabla5[[#This Row],[INVERSIONES FCI]])</f>
        <v>2898277878.9436646</v>
      </c>
      <c r="AL108" s="5">
        <f>IF($B107&lt;=Tabla5[[#This Row],[INVERSIONES FCI]],+Tabla5[[#This Row],[INVERSIONES FCI]]-AL107,Tabla5[[#This Row],[INVERSIONES FCI]])</f>
        <v>2898277878.9436646</v>
      </c>
      <c r="AM108" s="5">
        <f>IF($B107&lt;=Tabla5[[#This Row],[INVERSIONES FCI]],+Tabla5[[#This Row],[INVERSIONES FCI]]-AM107,Tabla5[[#This Row],[INVERSIONES FCI]])</f>
        <v>2898277878.9436646</v>
      </c>
      <c r="AN108" s="5">
        <f>IF($B107&lt;=Tabla5[[#This Row],[INVERSIONES FCI]],+Tabla5[[#This Row],[INVERSIONES FCI]]-AN107,Tabla5[[#This Row],[INVERSIONES FCI]])</f>
        <v>2898277878.9436646</v>
      </c>
      <c r="AO108" s="5">
        <f>IF($B107&lt;=Tabla5[[#This Row],[INVERSIONES FCI]],+Tabla5[[#This Row],[INVERSIONES FCI]]-AO107,Tabla5[[#This Row],[INVERSIONES FCI]])</f>
        <v>2898277878.9436646</v>
      </c>
      <c r="AP108" s="5">
        <f>IF($B107&lt;=Tabla5[[#This Row],[INVERSIONES FCI]],+Tabla5[[#This Row],[INVERSIONES FCI]]-AP107,Tabla5[[#This Row],[INVERSIONES FCI]])</f>
        <v>2898277878.9436646</v>
      </c>
      <c r="AQ108" s="5">
        <f>IF($B107&lt;=Tabla5[[#This Row],[INVERSIONES FCI]],+Tabla5[[#This Row],[INVERSIONES FCI]]-AQ107,Tabla5[[#This Row],[INVERSIONES FCI]])</f>
        <v>2898277878.9436646</v>
      </c>
      <c r="AR108" s="5">
        <f>IF($B107&lt;=Tabla5[[#This Row],[INVERSIONES FCI]],+Tabla5[[#This Row],[INVERSIONES FCI]]-AR107,Tabla5[[#This Row],[INVERSIONES FCI]])</f>
        <v>2898277878.9436646</v>
      </c>
      <c r="AS108" s="5">
        <f>IF($B107&lt;=Tabla5[[#This Row],[INVERSIONES FCI]],+Tabla5[[#This Row],[INVERSIONES FCI]]-AS107,Tabla5[[#This Row],[INVERSIONES FCI]])</f>
        <v>2898277878.9436646</v>
      </c>
      <c r="AT108" s="5">
        <f>IF($B107&lt;=Tabla5[[#This Row],[INVERSIONES FCI]],+Tabla5[[#This Row],[INVERSIONES FCI]]-AT107,Tabla5[[#This Row],[INVERSIONES FCI]])</f>
        <v>2898277878.9436646</v>
      </c>
      <c r="AU108" s="5">
        <f>IF($B107&lt;=Tabla5[[#This Row],[INVERSIONES FCI]],+Tabla5[[#This Row],[INVERSIONES FCI]]-AU107,Tabla5[[#This Row],[INVERSIONES FCI]])</f>
        <v>2898277878.9436646</v>
      </c>
      <c r="AV108" s="5">
        <f>IF($B107&lt;=Tabla5[[#This Row],[INVERSIONES FCI]],+Tabla5[[#This Row],[INVERSIONES FCI]]-AV107,Tabla5[[#This Row],[INVERSIONES FCI]])</f>
        <v>2898277878.9436646</v>
      </c>
      <c r="AW108" s="5">
        <f>IF($B107&lt;=Tabla5[[#This Row],[INVERSIONES FCI]],+Tabla5[[#This Row],[INVERSIONES FCI]]-AW107,Tabla5[[#This Row],[INVERSIONES FCI]])</f>
        <v>2898277878.9436646</v>
      </c>
      <c r="AX108" s="5">
        <f>IF($B107&lt;=Tabla5[[#This Row],[INVERSIONES FCI]],+Tabla5[[#This Row],[INVERSIONES FCI]]-AX107,Tabla5[[#This Row],[INVERSIONES FCI]])</f>
        <v>2898277878.9436646</v>
      </c>
      <c r="AY108" s="5">
        <f>IF($B107&lt;=Tabla5[[#This Row],[INVERSIONES FCI]],+Tabla5[[#This Row],[INVERSIONES FCI]]-AY107,Tabla5[[#This Row],[INVERSIONES FCI]])</f>
        <v>2898277878.9436646</v>
      </c>
      <c r="AZ108" s="5">
        <f>IF($B107&lt;=Tabla5[[#This Row],[INVERSIONES FCI]],+Tabla5[[#This Row],[INVERSIONES FCI]]-AZ107,Tabla5[[#This Row],[INVERSIONES FCI]])</f>
        <v>2898277878.9436646</v>
      </c>
      <c r="BA108" s="5">
        <f>IF($B107&lt;=Tabla5[[#This Row],[INVERSIONES FCI]],+Tabla5[[#This Row],[INVERSIONES FCI]]-BA107,Tabla5[[#This Row],[INVERSIONES FCI]])</f>
        <v>2898277878.9436646</v>
      </c>
      <c r="BB108" s="5">
        <f>IF($B107&lt;=Tabla5[[#This Row],[INVERSIONES FCI]],+Tabla5[[#This Row],[INVERSIONES FCI]]-BB107,Tabla5[[#This Row],[INVERSIONES FCI]])</f>
        <v>2898277878.9436646</v>
      </c>
      <c r="BC108" s="5">
        <f>IF($B107&lt;=Tabla5[[#This Row],[INVERSIONES FCI]],+Tabla5[[#This Row],[INVERSIONES FCI]]-BC107,Tabla5[[#This Row],[INVERSIONES FCI]])</f>
        <v>2898277878.9436646</v>
      </c>
      <c r="BD108" s="5">
        <f>IF($B107&lt;=Tabla5[[#This Row],[INVERSIONES FCI]],+Tabla5[[#This Row],[INVERSIONES FCI]]-BD107,Tabla5[[#This Row],[INVERSIONES FCI]])</f>
        <v>2898277878.9436646</v>
      </c>
      <c r="BE108" s="5">
        <f>IF($B107&lt;=Tabla5[[#This Row],[INVERSIONES FCI]],+Tabla5[[#This Row],[INVERSIONES FCI]]-BE107,Tabla5[[#This Row],[INVERSIONES FCI]])</f>
        <v>2898277878.9436646</v>
      </c>
      <c r="BF108" s="5">
        <f>IF($B107&lt;=Tabla5[[#This Row],[INVERSIONES FCI]],+Tabla5[[#This Row],[INVERSIONES FCI]]-BF107,Tabla5[[#This Row],[INVERSIONES FCI]])</f>
        <v>2898277878.9436646</v>
      </c>
      <c r="BG108" s="5">
        <f>IF($B107&lt;=Tabla5[[#This Row],[INVERSIONES FCI]],+Tabla5[[#This Row],[INVERSIONES FCI]]-BG107,Tabla5[[#This Row],[INVERSIONES FCI]])</f>
        <v>2898277878.9436646</v>
      </c>
      <c r="BH108" s="5">
        <f>IF($B107&lt;=Tabla5[[#This Row],[INVERSIONES FCI]],+Tabla5[[#This Row],[INVERSIONES FCI]]-BH107,Tabla5[[#This Row],[INVERSIONES FCI]])</f>
        <v>2898277878.9436646</v>
      </c>
      <c r="BI108" s="5">
        <f>IF($B107&lt;=Tabla5[[#This Row],[INVERSIONES FCI]],+Tabla5[[#This Row],[INVERSIONES FCI]]-BI107,Tabla5[[#This Row],[INVERSIONES FCI]])</f>
        <v>2898277878.9436646</v>
      </c>
      <c r="BJ108" s="5">
        <f>IF($B107&lt;=Tabla5[[#This Row],[INVERSIONES FCI]],+Tabla5[[#This Row],[INVERSIONES FCI]]-BJ107,Tabla5[[#This Row],[INVERSIONES FCI]])</f>
        <v>2898277878.9436646</v>
      </c>
      <c r="BK108" s="5">
        <f>IF($B107&lt;=Tabla5[[#This Row],[INVERSIONES FCI]],+Tabla5[[#This Row],[INVERSIONES FCI]]-BK107,Tabla5[[#This Row],[INVERSIONES FCI]])</f>
        <v>2898277878.9436646</v>
      </c>
      <c r="BL108" s="5">
        <f>IF($B107&lt;=Tabla5[[#This Row],[INVERSIONES FCI]],+Tabla5[[#This Row],[INVERSIONES FCI]]-BL107,Tabla5[[#This Row],[INVERSIONES FCI]])</f>
        <v>2898277878.9436646</v>
      </c>
      <c r="BM108" s="5">
        <f>IF($B107&lt;=Tabla5[[#This Row],[INVERSIONES FCI]],+Tabla5[[#This Row],[INVERSIONES FCI]]-BM107,Tabla5[[#This Row],[INVERSIONES FCI]])</f>
        <v>2898277878.9436646</v>
      </c>
      <c r="BN108" s="5">
        <f>IF($B107&lt;=Tabla5[[#This Row],[INVERSIONES FCI]],+Tabla5[[#This Row],[INVERSIONES FCI]]-BN107,Tabla5[[#This Row],[INVERSIONES FCI]])</f>
        <v>2898277878.9436646</v>
      </c>
      <c r="BO108" s="5">
        <f>IF($B107&lt;=Tabla5[[#This Row],[INVERSIONES FCI]],+Tabla5[[#This Row],[INVERSIONES FCI]]-BO107,Tabla5[[#This Row],[INVERSIONES FCI]])</f>
        <v>2898277878.9436646</v>
      </c>
      <c r="BP108" s="5">
        <f>IF($B107&lt;=Tabla5[[#This Row],[INVERSIONES FCI]],+Tabla5[[#This Row],[INVERSIONES FCI]]-BP107,Tabla5[[#This Row],[INVERSIONES FCI]])</f>
        <v>2898277878.9436646</v>
      </c>
      <c r="BQ108" s="5">
        <f>IF($B107&lt;=Tabla5[[#This Row],[INVERSIONES FCI]],+Tabla5[[#This Row],[INVERSIONES FCI]]-BQ107,Tabla5[[#This Row],[INVERSIONES FCI]])</f>
        <v>2898277878.9436646</v>
      </c>
      <c r="BR108" s="5">
        <f>IF($B107&lt;=Tabla5[[#This Row],[INVERSIONES FCI]],+Tabla5[[#This Row],[INVERSIONES FCI]]-BR107,Tabla5[[#This Row],[INVERSIONES FCI]])</f>
        <v>2898277878.9436646</v>
      </c>
      <c r="BS108" s="5">
        <f>IF($B107&lt;=Tabla5[[#This Row],[INVERSIONES FCI]],+Tabla5[[#This Row],[INVERSIONES FCI]]-BS107,Tabla5[[#This Row],[INVERSIONES FCI]])</f>
        <v>2898277878.9436646</v>
      </c>
      <c r="BT108" s="5">
        <f>IF($B107&lt;=Tabla5[[#This Row],[INVERSIONES FCI]],+Tabla5[[#This Row],[INVERSIONES FCI]]-BT107,Tabla5[[#This Row],[INVERSIONES FCI]])</f>
        <v>2898277878.9436646</v>
      </c>
      <c r="BU108" s="5">
        <f>IF($B107&lt;=Tabla5[[#This Row],[INVERSIONES FCI]],+Tabla5[[#This Row],[INVERSIONES FCI]]-BU107,Tabla5[[#This Row],[INVERSIONES FCI]])</f>
        <v>2898277878.9436646</v>
      </c>
      <c r="BV108" s="5">
        <f>IF($B107&lt;=Tabla5[[#This Row],[INVERSIONES FCI]],+Tabla5[[#This Row],[INVERSIONES FCI]]-BV107,Tabla5[[#This Row],[INVERSIONES FCI]])</f>
        <v>2898277878.9436646</v>
      </c>
      <c r="BW108" s="5">
        <f>IF($B107&lt;=Tabla5[[#This Row],[INVERSIONES FCI]],+Tabla5[[#This Row],[INVERSIONES FCI]]-BW107,Tabla5[[#This Row],[INVERSIONES FCI]])</f>
        <v>2898277878.9436646</v>
      </c>
      <c r="BX108" s="5">
        <f>IF($B107&lt;=Tabla5[[#This Row],[INVERSIONES FCI]],+Tabla5[[#This Row],[INVERSIONES FCI]]-BX107,Tabla5[[#This Row],[INVERSIONES FCI]])</f>
        <v>2898277878.9436646</v>
      </c>
      <c r="BY108" s="5">
        <f>IF($B107&lt;=Tabla5[[#This Row],[INVERSIONES FCI]],+Tabla5[[#This Row],[INVERSIONES FCI]]-BY107,Tabla5[[#This Row],[INVERSIONES FCI]])</f>
        <v>2898277878.9436646</v>
      </c>
      <c r="BZ108" s="5">
        <f>IF($B107&lt;=Tabla5[[#This Row],[INVERSIONES FCI]],+Tabla5[[#This Row],[INVERSIONES FCI]]-BZ107,Tabla5[[#This Row],[INVERSIONES FCI]])</f>
        <v>2898277878.9436646</v>
      </c>
      <c r="CA108" s="5">
        <f>IF($B107&lt;=Tabla5[[#This Row],[INVERSIONES FCI]],+Tabla5[[#This Row],[INVERSIONES FCI]]-CA107,Tabla5[[#This Row],[INVERSIONES FCI]])</f>
        <v>2898277878.9436646</v>
      </c>
      <c r="CB108" s="5">
        <f>IF($B107&lt;=Tabla5[[#This Row],[INVERSIONES FCI]],+Tabla5[[#This Row],[INVERSIONES FCI]]-CB107,Tabla5[[#This Row],[INVERSIONES FCI]])</f>
        <v>2898277878.9436646</v>
      </c>
      <c r="CC108" s="5">
        <f>IF($B107&lt;=Tabla5[[#This Row],[INVERSIONES FCI]],+Tabla5[[#This Row],[INVERSIONES FCI]]-CC107,Tabla5[[#This Row],[INVERSIONES FCI]])</f>
        <v>2898277878.9436646</v>
      </c>
      <c r="CD108" s="5">
        <f>IF($B107&lt;=Tabla5[[#This Row],[INVERSIONES FCI]],+Tabla5[[#This Row],[INVERSIONES FCI]]-CD107,Tabla5[[#This Row],[INVERSIONES FCI]])</f>
        <v>2898277878.9436646</v>
      </c>
      <c r="CE108" s="5">
        <f>IF($B107&lt;=Tabla5[[#This Row],[INVERSIONES FCI]],+Tabla5[[#This Row],[INVERSIONES FCI]]-CE107,Tabla5[[#This Row],[INVERSIONES FCI]])</f>
        <v>2898277878.9436646</v>
      </c>
      <c r="CF108" s="5">
        <f>IF($B107&lt;=Tabla5[[#This Row],[INVERSIONES FCI]],+Tabla5[[#This Row],[INVERSIONES FCI]]-CF107,Tabla5[[#This Row],[INVERSIONES FCI]])</f>
        <v>2898277878.9436646</v>
      </c>
      <c r="CG108" s="5">
        <f>IF($B107&lt;=Tabla5[[#This Row],[INVERSIONES FCI]],+Tabla5[[#This Row],[INVERSIONES FCI]]-CG107,Tabla5[[#This Row],[INVERSIONES FCI]])</f>
        <v>2898277878.9436646</v>
      </c>
      <c r="CH108" s="5">
        <f>IF($B107&lt;=Tabla5[[#This Row],[INVERSIONES FCI]],+Tabla5[[#This Row],[INVERSIONES FCI]]-CH107,Tabla5[[#This Row],[INVERSIONES FCI]])</f>
        <v>2898277878.9436646</v>
      </c>
      <c r="CI108" s="5">
        <f>IF($B107&lt;=Tabla5[[#This Row],[INVERSIONES FCI]],+Tabla5[[#This Row],[INVERSIONES FCI]]-CI107,Tabla5[[#This Row],[INVERSIONES FCI]])</f>
        <v>2898277878.9436646</v>
      </c>
      <c r="CJ108" s="5">
        <f>IF($B107&lt;=Tabla5[[#This Row],[INVERSIONES FCI]],+Tabla5[[#This Row],[INVERSIONES FCI]]-CJ107,Tabla5[[#This Row],[INVERSIONES FCI]])</f>
        <v>2898277878.9436646</v>
      </c>
      <c r="CK108" s="5">
        <f>IF($B107&lt;=Tabla5[[#This Row],[INVERSIONES FCI]],+Tabla5[[#This Row],[INVERSIONES FCI]]-CK107,Tabla5[[#This Row],[INVERSIONES FCI]])</f>
        <v>2898277878.9436646</v>
      </c>
      <c r="CL108" s="5">
        <f>IF($B107&lt;=Tabla5[[#This Row],[INVERSIONES FCI]],+Tabla5[[#This Row],[INVERSIONES FCI]]-CL107,Tabla5[[#This Row],[INVERSIONES FCI]])</f>
        <v>2898277878.9436646</v>
      </c>
      <c r="CM108" s="5">
        <f>IF($B107&lt;=Tabla5[[#This Row],[INVERSIONES FCI]],+Tabla5[[#This Row],[INVERSIONES FCI]]-CM107,Tabla5[[#This Row],[INVERSIONES FCI]])</f>
        <v>2898277878.9436646</v>
      </c>
      <c r="CN108" s="5">
        <f>IF($B107&lt;=Tabla5[[#This Row],[INVERSIONES FCI]],+Tabla5[[#This Row],[INVERSIONES FCI]]-CN107,Tabla5[[#This Row],[INVERSIONES FCI]])</f>
        <v>2898277878.9436646</v>
      </c>
      <c r="CO108" s="5">
        <f>IF($B107&lt;=Tabla5[[#This Row],[INVERSIONES FCI]],+Tabla5[[#This Row],[INVERSIONES FCI]]-CO107,Tabla5[[#This Row],[INVERSIONES FCI]])</f>
        <v>2898277878.9436646</v>
      </c>
      <c r="CP108" s="5">
        <f>IF($B107&lt;=Tabla5[[#This Row],[INVERSIONES FCI]],+Tabla5[[#This Row],[INVERSIONES FCI]]-CP107,Tabla5[[#This Row],[INVERSIONES FCI]])</f>
        <v>2898277878.9436646</v>
      </c>
      <c r="CQ108" s="5">
        <f>IF($B107&lt;=Tabla5[[#This Row],[INVERSIONES FCI]],+Tabla5[[#This Row],[INVERSIONES FCI]]-CQ107,Tabla5[[#This Row],[INVERSIONES FCI]])</f>
        <v>2898277878.9436646</v>
      </c>
      <c r="CR108" s="5">
        <f>IF($B107&lt;=Tabla5[[#This Row],[INVERSIONES FCI]],+Tabla5[[#This Row],[INVERSIONES FCI]]-CR107,Tabla5[[#This Row],[INVERSIONES FCI]])</f>
        <v>2898277878.9436646</v>
      </c>
      <c r="CS108" s="5">
        <f>IF($B107&lt;=Tabla5[[#This Row],[INVERSIONES FCI]],+Tabla5[[#This Row],[INVERSIONES FCI]]-CS107,Tabla5[[#This Row],[INVERSIONES FCI]])</f>
        <v>2898277878.9436646</v>
      </c>
      <c r="CT108" s="5">
        <f>IF($B107&lt;=Tabla5[[#This Row],[INVERSIONES FCI]],+Tabla5[[#This Row],[INVERSIONES FCI]]-CT107,Tabla5[[#This Row],[INVERSIONES FCI]])</f>
        <v>2898277878.9436646</v>
      </c>
      <c r="CU108" s="5">
        <f>IF($B107&lt;=Tabla5[[#This Row],[INVERSIONES FCI]],+Tabla5[[#This Row],[INVERSIONES FCI]]-CU107,Tabla5[[#This Row],[INVERSIONES FCI]])</f>
        <v>2898277878.9436646</v>
      </c>
      <c r="CV108" s="5">
        <f>IF($B107&lt;=Tabla5[[#This Row],[INVERSIONES FCI]],+Tabla5[[#This Row],[INVERSIONES FCI]]-CV107,Tabla5[[#This Row],[INVERSIONES FCI]])</f>
        <v>2898277878.9436646</v>
      </c>
      <c r="CW108" s="5">
        <f>IF($B107&lt;=Tabla5[[#This Row],[INVERSIONES FCI]],+Tabla5[[#This Row],[INVERSIONES FCI]]-CW107,Tabla5[[#This Row],[INVERSIONES FCI]])</f>
        <v>2898277878.9436646</v>
      </c>
      <c r="CX108" s="5">
        <f>IF($B107&lt;=Tabla5[[#This Row],[INVERSIONES FCI]],+Tabla5[[#This Row],[INVERSIONES FCI]]-CX107,Tabla5[[#This Row],[INVERSIONES FCI]])</f>
        <v>2898277878.9436646</v>
      </c>
      <c r="CY108" s="5">
        <f>IF($B107&lt;=Tabla5[[#This Row],[INVERSIONES FCI]],+Tabla5[[#This Row],[INVERSIONES FCI]]-CY107,Tabla5[[#This Row],[INVERSIONES FCI]])</f>
        <v>2898277878.9436646</v>
      </c>
      <c r="CZ108" s="5">
        <f>IF($B107&lt;=Tabla5[[#This Row],[INVERSIONES FCI]],+Tabla5[[#This Row],[INVERSIONES FCI]]-CZ107,Tabla5[[#This Row],[INVERSIONES FCI]])</f>
        <v>2898277878.9436646</v>
      </c>
      <c r="DA108" s="5">
        <f>IF($B107&lt;=Tabla5[[#This Row],[INVERSIONES FCI]],+Tabla5[[#This Row],[INVERSIONES FCI]]-DA107,Tabla5[[#This Row],[INVERSIONES FCI]])</f>
        <v>2898277878.9436646</v>
      </c>
      <c r="DB108" s="5">
        <f>IF($B107&lt;=Tabla5[[#This Row],[INVERSIONES FCI]],+Tabla5[[#This Row],[INVERSIONES FCI]]-DB107,Tabla5[[#This Row],[INVERSIONES FCI]])</f>
        <v>2898277878.9436646</v>
      </c>
      <c r="DC108" s="5">
        <f>IF($B107&lt;=Tabla5[[#This Row],[INVERSIONES FCI]],+Tabla5[[#This Row],[INVERSIONES FCI]]-DC107,Tabla5[[#This Row],[INVERSIONES FCI]])</f>
        <v>2898277878.9436646</v>
      </c>
      <c r="DD108" s="5">
        <f>IF($B107&lt;=Tabla5[[#This Row],[INVERSIONES FCI]],+Tabla5[[#This Row],[INVERSIONES FCI]]-DD107,Tabla5[[#This Row],[INVERSIONES FCI]])</f>
        <v>2898277878.9436646</v>
      </c>
      <c r="DE108" s="5" cm="1">
        <f t="array" ref="DE108">IF(Tabla5[[#This Row],[FCI]]=0,0,_xlfn.XLOOKUP(TRUE,$B108:DD108&gt;0,$B108:DD108,"",0,-1))</f>
        <v>2898277878.9436646</v>
      </c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</row>
    <row r="109" spans="1:121" ht="14.4">
      <c r="A109" s="12" t="s">
        <v>108</v>
      </c>
      <c r="B109" s="5">
        <f>HLOOKUP($A109,ESCENARIO[#All],7,FALSE)</f>
        <v>23289412170.867737</v>
      </c>
      <c r="C109" s="5">
        <f>IF($B108&lt;=Tabla5[[#This Row],[INVERSIONES FCI]],+Tabla5[[#This Row],[INVERSIONES FCI]]-C108,Tabla5[[#This Row],[INVERSIONES FCI]])</f>
        <v>20391134291.924072</v>
      </c>
      <c r="D109" s="5">
        <f>IF($B108&lt;=Tabla5[[#This Row],[INVERSIONES FCI]],+Tabla5[[#This Row],[INVERSIONES FCI]]-D108,Tabla5[[#This Row],[INVERSIONES FCI]])</f>
        <v>20391134291.924072</v>
      </c>
      <c r="E109" s="5">
        <f>IF($B108&lt;=Tabla5[[#This Row],[INVERSIONES FCI]],+Tabla5[[#This Row],[INVERSIONES FCI]]-E108,Tabla5[[#This Row],[INVERSIONES FCI]])</f>
        <v>20391134291.924072</v>
      </c>
      <c r="F109" s="5">
        <f>IF($B108&lt;=Tabla5[[#This Row],[INVERSIONES FCI]],+Tabla5[[#This Row],[INVERSIONES FCI]]-F108,Tabla5[[#This Row],[INVERSIONES FCI]])</f>
        <v>20391134291.924072</v>
      </c>
      <c r="G109" s="5">
        <f>IF($B108&lt;=Tabla5[[#This Row],[INVERSIONES FCI]],+Tabla5[[#This Row],[INVERSIONES FCI]]-G108,Tabla5[[#This Row],[INVERSIONES FCI]])</f>
        <v>20391134291.924072</v>
      </c>
      <c r="H109" s="5">
        <f>IF($B108&lt;=Tabla5[[#This Row],[INVERSIONES FCI]],+Tabla5[[#This Row],[INVERSIONES FCI]]-H108,Tabla5[[#This Row],[INVERSIONES FCI]])</f>
        <v>20391134291.924072</v>
      </c>
      <c r="I109" s="5">
        <f>IF($B108&lt;=Tabla5[[#This Row],[INVERSIONES FCI]],+Tabla5[[#This Row],[INVERSIONES FCI]]-I108,Tabla5[[#This Row],[INVERSIONES FCI]])</f>
        <v>20391134291.924072</v>
      </c>
      <c r="J109" s="5">
        <f>IF($B108&lt;=Tabla5[[#This Row],[INVERSIONES FCI]],+Tabla5[[#This Row],[INVERSIONES FCI]]-J108,Tabla5[[#This Row],[INVERSIONES FCI]])</f>
        <v>20391134291.924072</v>
      </c>
      <c r="K109" s="5">
        <f>IF($B108&lt;=Tabla5[[#This Row],[INVERSIONES FCI]],+Tabla5[[#This Row],[INVERSIONES FCI]]-K108,Tabla5[[#This Row],[INVERSIONES FCI]])</f>
        <v>20391134291.924072</v>
      </c>
      <c r="L109" s="5">
        <f>IF($B108&lt;=Tabla5[[#This Row],[INVERSIONES FCI]],+Tabla5[[#This Row],[INVERSIONES FCI]]-L108,Tabla5[[#This Row],[INVERSIONES FCI]])</f>
        <v>20391134291.924072</v>
      </c>
      <c r="M109" s="5">
        <f>IF($B108&lt;=Tabla5[[#This Row],[INVERSIONES FCI]],+Tabla5[[#This Row],[INVERSIONES FCI]]-M108,Tabla5[[#This Row],[INVERSIONES FCI]])</f>
        <v>20391134291.924072</v>
      </c>
      <c r="N109" s="5">
        <f>IF($B108&lt;=Tabla5[[#This Row],[INVERSIONES FCI]],+Tabla5[[#This Row],[INVERSIONES FCI]]-N108,Tabla5[[#This Row],[INVERSIONES FCI]])</f>
        <v>20391134291.924072</v>
      </c>
      <c r="O109" s="5">
        <f>IF($B108&lt;=Tabla5[[#This Row],[INVERSIONES FCI]],+Tabla5[[#This Row],[INVERSIONES FCI]]-O108,Tabla5[[#This Row],[INVERSIONES FCI]])</f>
        <v>20391134291.924072</v>
      </c>
      <c r="P109" s="5">
        <f>IF($B108&lt;=Tabla5[[#This Row],[INVERSIONES FCI]],+Tabla5[[#This Row],[INVERSIONES FCI]]-P108,Tabla5[[#This Row],[INVERSIONES FCI]])</f>
        <v>20391134291.924072</v>
      </c>
      <c r="Q109" s="5">
        <f>IF($B108&lt;=Tabla5[[#This Row],[INVERSIONES FCI]],+Tabla5[[#This Row],[INVERSIONES FCI]]-Q108,Tabla5[[#This Row],[INVERSIONES FCI]])</f>
        <v>20391134291.924072</v>
      </c>
      <c r="R109" s="5">
        <f>IF($B108&lt;=Tabla5[[#This Row],[INVERSIONES FCI]],+Tabla5[[#This Row],[INVERSIONES FCI]]-R108,Tabla5[[#This Row],[INVERSIONES FCI]])</f>
        <v>20391134291.924072</v>
      </c>
      <c r="S109" s="5">
        <f>IF($B108&lt;=Tabla5[[#This Row],[INVERSIONES FCI]],+Tabla5[[#This Row],[INVERSIONES FCI]]-S108,Tabla5[[#This Row],[INVERSIONES FCI]])</f>
        <v>20391134291.924072</v>
      </c>
      <c r="T109" s="5">
        <f>IF($B108&lt;=Tabla5[[#This Row],[INVERSIONES FCI]],+Tabla5[[#This Row],[INVERSIONES FCI]]-T108,Tabla5[[#This Row],[INVERSIONES FCI]])</f>
        <v>20391134291.924072</v>
      </c>
      <c r="U109" s="5">
        <f>IF($B108&lt;=Tabla5[[#This Row],[INVERSIONES FCI]],+Tabla5[[#This Row],[INVERSIONES FCI]]-U108,Tabla5[[#This Row],[INVERSIONES FCI]])</f>
        <v>20391134291.924072</v>
      </c>
      <c r="V109" s="5">
        <f>IF($B108&lt;=Tabla5[[#This Row],[INVERSIONES FCI]],+Tabla5[[#This Row],[INVERSIONES FCI]]-V108,Tabla5[[#This Row],[INVERSIONES FCI]])</f>
        <v>20391134291.924072</v>
      </c>
      <c r="W109" s="5">
        <f>IF($B108&lt;=Tabla5[[#This Row],[INVERSIONES FCI]],+Tabla5[[#This Row],[INVERSIONES FCI]]-W108,Tabla5[[#This Row],[INVERSIONES FCI]])</f>
        <v>20391134291.924072</v>
      </c>
      <c r="X109" s="5">
        <f>IF($B108&lt;=Tabla5[[#This Row],[INVERSIONES FCI]],+Tabla5[[#This Row],[INVERSIONES FCI]]-X108,Tabla5[[#This Row],[INVERSIONES FCI]])</f>
        <v>20391134291.924072</v>
      </c>
      <c r="Y109" s="5">
        <f>IF($B108&lt;=Tabla5[[#This Row],[INVERSIONES FCI]],+Tabla5[[#This Row],[INVERSIONES FCI]]-Y108,Tabla5[[#This Row],[INVERSIONES FCI]])</f>
        <v>20391134291.924072</v>
      </c>
      <c r="Z109" s="5">
        <f>IF($B108&lt;=Tabla5[[#This Row],[INVERSIONES FCI]],+Tabla5[[#This Row],[INVERSIONES FCI]]-Z108,Tabla5[[#This Row],[INVERSIONES FCI]])</f>
        <v>20391134291.924072</v>
      </c>
      <c r="AA109" s="5">
        <f>IF($B108&lt;=Tabla5[[#This Row],[INVERSIONES FCI]],+Tabla5[[#This Row],[INVERSIONES FCI]]-AA108,Tabla5[[#This Row],[INVERSIONES FCI]])</f>
        <v>20391134291.924072</v>
      </c>
      <c r="AB109" s="5">
        <f>IF($B108&lt;=Tabla5[[#This Row],[INVERSIONES FCI]],+Tabla5[[#This Row],[INVERSIONES FCI]]-AB108,Tabla5[[#This Row],[INVERSIONES FCI]])</f>
        <v>20391134291.924072</v>
      </c>
      <c r="AC109" s="5">
        <f>IF($B108&lt;=Tabla5[[#This Row],[INVERSIONES FCI]],+Tabla5[[#This Row],[INVERSIONES FCI]]-AC108,Tabla5[[#This Row],[INVERSIONES FCI]])</f>
        <v>20391134291.924072</v>
      </c>
      <c r="AD109" s="5">
        <f>IF($B108&lt;=Tabla5[[#This Row],[INVERSIONES FCI]],+Tabla5[[#This Row],[INVERSIONES FCI]]-AD108,Tabla5[[#This Row],[INVERSIONES FCI]])</f>
        <v>20391134291.924072</v>
      </c>
      <c r="AE109" s="5">
        <f>IF($B108&lt;=Tabla5[[#This Row],[INVERSIONES FCI]],+Tabla5[[#This Row],[INVERSIONES FCI]]-AE108,Tabla5[[#This Row],[INVERSIONES FCI]])</f>
        <v>20391134291.924072</v>
      </c>
      <c r="AF109" s="5">
        <f>IF($B108&lt;=Tabla5[[#This Row],[INVERSIONES FCI]],+Tabla5[[#This Row],[INVERSIONES FCI]]-AF108,Tabla5[[#This Row],[INVERSIONES FCI]])</f>
        <v>20391134291.924072</v>
      </c>
      <c r="AG109" s="5">
        <f>IF($B108&lt;=Tabla5[[#This Row],[INVERSIONES FCI]],+Tabla5[[#This Row],[INVERSIONES FCI]]-AG108,Tabla5[[#This Row],[INVERSIONES FCI]])</f>
        <v>20391134291.924072</v>
      </c>
      <c r="AH109" s="5">
        <f>IF($B108&lt;=Tabla5[[#This Row],[INVERSIONES FCI]],+Tabla5[[#This Row],[INVERSIONES FCI]]-AH108,Tabla5[[#This Row],[INVERSIONES FCI]])</f>
        <v>20391134291.924072</v>
      </c>
      <c r="AI109" s="5">
        <f>IF($B108&lt;=Tabla5[[#This Row],[INVERSIONES FCI]],+Tabla5[[#This Row],[INVERSIONES FCI]]-AI108,Tabla5[[#This Row],[INVERSIONES FCI]])</f>
        <v>20391134291.924072</v>
      </c>
      <c r="AJ109" s="5">
        <f>IF($B108&lt;=Tabla5[[#This Row],[INVERSIONES FCI]],+Tabla5[[#This Row],[INVERSIONES FCI]]-AJ108,Tabla5[[#This Row],[INVERSIONES FCI]])</f>
        <v>20391134291.924072</v>
      </c>
      <c r="AK109" s="5">
        <f>IF($B108&lt;=Tabla5[[#This Row],[INVERSIONES FCI]],+Tabla5[[#This Row],[INVERSIONES FCI]]-AK108,Tabla5[[#This Row],[INVERSIONES FCI]])</f>
        <v>20391134291.924072</v>
      </c>
      <c r="AL109" s="5">
        <f>IF($B108&lt;=Tabla5[[#This Row],[INVERSIONES FCI]],+Tabla5[[#This Row],[INVERSIONES FCI]]-AL108,Tabla5[[#This Row],[INVERSIONES FCI]])</f>
        <v>20391134291.924072</v>
      </c>
      <c r="AM109" s="5">
        <f>IF($B108&lt;=Tabla5[[#This Row],[INVERSIONES FCI]],+Tabla5[[#This Row],[INVERSIONES FCI]]-AM108,Tabla5[[#This Row],[INVERSIONES FCI]])</f>
        <v>20391134291.924072</v>
      </c>
      <c r="AN109" s="5">
        <f>IF($B108&lt;=Tabla5[[#This Row],[INVERSIONES FCI]],+Tabla5[[#This Row],[INVERSIONES FCI]]-AN108,Tabla5[[#This Row],[INVERSIONES FCI]])</f>
        <v>20391134291.924072</v>
      </c>
      <c r="AO109" s="5">
        <f>IF($B108&lt;=Tabla5[[#This Row],[INVERSIONES FCI]],+Tabla5[[#This Row],[INVERSIONES FCI]]-AO108,Tabla5[[#This Row],[INVERSIONES FCI]])</f>
        <v>20391134291.924072</v>
      </c>
      <c r="AP109" s="5">
        <f>IF($B108&lt;=Tabla5[[#This Row],[INVERSIONES FCI]],+Tabla5[[#This Row],[INVERSIONES FCI]]-AP108,Tabla5[[#This Row],[INVERSIONES FCI]])</f>
        <v>20391134291.924072</v>
      </c>
      <c r="AQ109" s="5">
        <f>IF($B108&lt;=Tabla5[[#This Row],[INVERSIONES FCI]],+Tabla5[[#This Row],[INVERSIONES FCI]]-AQ108,Tabla5[[#This Row],[INVERSIONES FCI]])</f>
        <v>20391134291.924072</v>
      </c>
      <c r="AR109" s="5">
        <f>IF($B108&lt;=Tabla5[[#This Row],[INVERSIONES FCI]],+Tabla5[[#This Row],[INVERSIONES FCI]]-AR108,Tabla5[[#This Row],[INVERSIONES FCI]])</f>
        <v>20391134291.924072</v>
      </c>
      <c r="AS109" s="5">
        <f>IF($B108&lt;=Tabla5[[#This Row],[INVERSIONES FCI]],+Tabla5[[#This Row],[INVERSIONES FCI]]-AS108,Tabla5[[#This Row],[INVERSIONES FCI]])</f>
        <v>20391134291.924072</v>
      </c>
      <c r="AT109" s="5">
        <f>IF($B108&lt;=Tabla5[[#This Row],[INVERSIONES FCI]],+Tabla5[[#This Row],[INVERSIONES FCI]]-AT108,Tabla5[[#This Row],[INVERSIONES FCI]])</f>
        <v>20391134291.924072</v>
      </c>
      <c r="AU109" s="5">
        <f>IF($B108&lt;=Tabla5[[#This Row],[INVERSIONES FCI]],+Tabla5[[#This Row],[INVERSIONES FCI]]-AU108,Tabla5[[#This Row],[INVERSIONES FCI]])</f>
        <v>20391134291.924072</v>
      </c>
      <c r="AV109" s="5">
        <f>IF($B108&lt;=Tabla5[[#This Row],[INVERSIONES FCI]],+Tabla5[[#This Row],[INVERSIONES FCI]]-AV108,Tabla5[[#This Row],[INVERSIONES FCI]])</f>
        <v>20391134291.924072</v>
      </c>
      <c r="AW109" s="5">
        <f>IF($B108&lt;=Tabla5[[#This Row],[INVERSIONES FCI]],+Tabla5[[#This Row],[INVERSIONES FCI]]-AW108,Tabla5[[#This Row],[INVERSIONES FCI]])</f>
        <v>20391134291.924072</v>
      </c>
      <c r="AX109" s="5">
        <f>IF($B108&lt;=Tabla5[[#This Row],[INVERSIONES FCI]],+Tabla5[[#This Row],[INVERSIONES FCI]]-AX108,Tabla5[[#This Row],[INVERSIONES FCI]])</f>
        <v>20391134291.924072</v>
      </c>
      <c r="AY109" s="5">
        <f>IF($B108&lt;=Tabla5[[#This Row],[INVERSIONES FCI]],+Tabla5[[#This Row],[INVERSIONES FCI]]-AY108,Tabla5[[#This Row],[INVERSIONES FCI]])</f>
        <v>20391134291.924072</v>
      </c>
      <c r="AZ109" s="5">
        <f>IF($B108&lt;=Tabla5[[#This Row],[INVERSIONES FCI]],+Tabla5[[#This Row],[INVERSIONES FCI]]-AZ108,Tabla5[[#This Row],[INVERSIONES FCI]])</f>
        <v>20391134291.924072</v>
      </c>
      <c r="BA109" s="5">
        <f>IF($B108&lt;=Tabla5[[#This Row],[INVERSIONES FCI]],+Tabla5[[#This Row],[INVERSIONES FCI]]-BA108,Tabla5[[#This Row],[INVERSIONES FCI]])</f>
        <v>20391134291.924072</v>
      </c>
      <c r="BB109" s="5">
        <f>IF($B108&lt;=Tabla5[[#This Row],[INVERSIONES FCI]],+Tabla5[[#This Row],[INVERSIONES FCI]]-BB108,Tabla5[[#This Row],[INVERSIONES FCI]])</f>
        <v>20391134291.924072</v>
      </c>
      <c r="BC109" s="5">
        <f>IF($B108&lt;=Tabla5[[#This Row],[INVERSIONES FCI]],+Tabla5[[#This Row],[INVERSIONES FCI]]-BC108,Tabla5[[#This Row],[INVERSIONES FCI]])</f>
        <v>20391134291.924072</v>
      </c>
      <c r="BD109" s="5">
        <f>IF($B108&lt;=Tabla5[[#This Row],[INVERSIONES FCI]],+Tabla5[[#This Row],[INVERSIONES FCI]]-BD108,Tabla5[[#This Row],[INVERSIONES FCI]])</f>
        <v>20391134291.924072</v>
      </c>
      <c r="BE109" s="5">
        <f>IF($B108&lt;=Tabla5[[#This Row],[INVERSIONES FCI]],+Tabla5[[#This Row],[INVERSIONES FCI]]-BE108,Tabla5[[#This Row],[INVERSIONES FCI]])</f>
        <v>20391134291.924072</v>
      </c>
      <c r="BF109" s="5">
        <f>IF($B108&lt;=Tabla5[[#This Row],[INVERSIONES FCI]],+Tabla5[[#This Row],[INVERSIONES FCI]]-BF108,Tabla5[[#This Row],[INVERSIONES FCI]])</f>
        <v>20391134291.924072</v>
      </c>
      <c r="BG109" s="5">
        <f>IF($B108&lt;=Tabla5[[#This Row],[INVERSIONES FCI]],+Tabla5[[#This Row],[INVERSIONES FCI]]-BG108,Tabla5[[#This Row],[INVERSIONES FCI]])</f>
        <v>20391134291.924072</v>
      </c>
      <c r="BH109" s="5">
        <f>IF($B108&lt;=Tabla5[[#This Row],[INVERSIONES FCI]],+Tabla5[[#This Row],[INVERSIONES FCI]]-BH108,Tabla5[[#This Row],[INVERSIONES FCI]])</f>
        <v>20391134291.924072</v>
      </c>
      <c r="BI109" s="5">
        <f>IF($B108&lt;=Tabla5[[#This Row],[INVERSIONES FCI]],+Tabla5[[#This Row],[INVERSIONES FCI]]-BI108,Tabla5[[#This Row],[INVERSIONES FCI]])</f>
        <v>20391134291.924072</v>
      </c>
      <c r="BJ109" s="5">
        <f>IF($B108&lt;=Tabla5[[#This Row],[INVERSIONES FCI]],+Tabla5[[#This Row],[INVERSIONES FCI]]-BJ108,Tabla5[[#This Row],[INVERSIONES FCI]])</f>
        <v>20391134291.924072</v>
      </c>
      <c r="BK109" s="5">
        <f>IF($B108&lt;=Tabla5[[#This Row],[INVERSIONES FCI]],+Tabla5[[#This Row],[INVERSIONES FCI]]-BK108,Tabla5[[#This Row],[INVERSIONES FCI]])</f>
        <v>20391134291.924072</v>
      </c>
      <c r="BL109" s="5">
        <f>IF($B108&lt;=Tabla5[[#This Row],[INVERSIONES FCI]],+Tabla5[[#This Row],[INVERSIONES FCI]]-BL108,Tabla5[[#This Row],[INVERSIONES FCI]])</f>
        <v>20391134291.924072</v>
      </c>
      <c r="BM109" s="5">
        <f>IF($B108&lt;=Tabla5[[#This Row],[INVERSIONES FCI]],+Tabla5[[#This Row],[INVERSIONES FCI]]-BM108,Tabla5[[#This Row],[INVERSIONES FCI]])</f>
        <v>20391134291.924072</v>
      </c>
      <c r="BN109" s="5">
        <f>IF($B108&lt;=Tabla5[[#This Row],[INVERSIONES FCI]],+Tabla5[[#This Row],[INVERSIONES FCI]]-BN108,Tabla5[[#This Row],[INVERSIONES FCI]])</f>
        <v>20391134291.924072</v>
      </c>
      <c r="BO109" s="5">
        <f>IF($B108&lt;=Tabla5[[#This Row],[INVERSIONES FCI]],+Tabla5[[#This Row],[INVERSIONES FCI]]-BO108,Tabla5[[#This Row],[INVERSIONES FCI]])</f>
        <v>20391134291.924072</v>
      </c>
      <c r="BP109" s="5">
        <f>IF($B108&lt;=Tabla5[[#This Row],[INVERSIONES FCI]],+Tabla5[[#This Row],[INVERSIONES FCI]]-BP108,Tabla5[[#This Row],[INVERSIONES FCI]])</f>
        <v>20391134291.924072</v>
      </c>
      <c r="BQ109" s="5">
        <f>IF($B108&lt;=Tabla5[[#This Row],[INVERSIONES FCI]],+Tabla5[[#This Row],[INVERSIONES FCI]]-BQ108,Tabla5[[#This Row],[INVERSIONES FCI]])</f>
        <v>20391134291.924072</v>
      </c>
      <c r="BR109" s="5">
        <f>IF($B108&lt;=Tabla5[[#This Row],[INVERSIONES FCI]],+Tabla5[[#This Row],[INVERSIONES FCI]]-BR108,Tabla5[[#This Row],[INVERSIONES FCI]])</f>
        <v>20391134291.924072</v>
      </c>
      <c r="BS109" s="5">
        <f>IF($B108&lt;=Tabla5[[#This Row],[INVERSIONES FCI]],+Tabla5[[#This Row],[INVERSIONES FCI]]-BS108,Tabla5[[#This Row],[INVERSIONES FCI]])</f>
        <v>20391134291.924072</v>
      </c>
      <c r="BT109" s="5">
        <f>IF($B108&lt;=Tabla5[[#This Row],[INVERSIONES FCI]],+Tabla5[[#This Row],[INVERSIONES FCI]]-BT108,Tabla5[[#This Row],[INVERSIONES FCI]])</f>
        <v>20391134291.924072</v>
      </c>
      <c r="BU109" s="5">
        <f>IF($B108&lt;=Tabla5[[#This Row],[INVERSIONES FCI]],+Tabla5[[#This Row],[INVERSIONES FCI]]-BU108,Tabla5[[#This Row],[INVERSIONES FCI]])</f>
        <v>20391134291.924072</v>
      </c>
      <c r="BV109" s="5">
        <f>IF($B108&lt;=Tabla5[[#This Row],[INVERSIONES FCI]],+Tabla5[[#This Row],[INVERSIONES FCI]]-BV108,Tabla5[[#This Row],[INVERSIONES FCI]])</f>
        <v>20391134291.924072</v>
      </c>
      <c r="BW109" s="5">
        <f>IF($B108&lt;=Tabla5[[#This Row],[INVERSIONES FCI]],+Tabla5[[#This Row],[INVERSIONES FCI]]-BW108,Tabla5[[#This Row],[INVERSIONES FCI]])</f>
        <v>20391134291.924072</v>
      </c>
      <c r="BX109" s="5">
        <f>IF($B108&lt;=Tabla5[[#This Row],[INVERSIONES FCI]],+Tabla5[[#This Row],[INVERSIONES FCI]]-BX108,Tabla5[[#This Row],[INVERSIONES FCI]])</f>
        <v>20391134291.924072</v>
      </c>
      <c r="BY109" s="5">
        <f>IF($B108&lt;=Tabla5[[#This Row],[INVERSIONES FCI]],+Tabla5[[#This Row],[INVERSIONES FCI]]-BY108,Tabla5[[#This Row],[INVERSIONES FCI]])</f>
        <v>20391134291.924072</v>
      </c>
      <c r="BZ109" s="5">
        <f>IF($B108&lt;=Tabla5[[#This Row],[INVERSIONES FCI]],+Tabla5[[#This Row],[INVERSIONES FCI]]-BZ108,Tabla5[[#This Row],[INVERSIONES FCI]])</f>
        <v>20391134291.924072</v>
      </c>
      <c r="CA109" s="5">
        <f>IF($B108&lt;=Tabla5[[#This Row],[INVERSIONES FCI]],+Tabla5[[#This Row],[INVERSIONES FCI]]-CA108,Tabla5[[#This Row],[INVERSIONES FCI]])</f>
        <v>20391134291.924072</v>
      </c>
      <c r="CB109" s="5">
        <f>IF($B108&lt;=Tabla5[[#This Row],[INVERSIONES FCI]],+Tabla5[[#This Row],[INVERSIONES FCI]]-CB108,Tabla5[[#This Row],[INVERSIONES FCI]])</f>
        <v>20391134291.924072</v>
      </c>
      <c r="CC109" s="5">
        <f>IF($B108&lt;=Tabla5[[#This Row],[INVERSIONES FCI]],+Tabla5[[#This Row],[INVERSIONES FCI]]-CC108,Tabla5[[#This Row],[INVERSIONES FCI]])</f>
        <v>20391134291.924072</v>
      </c>
      <c r="CD109" s="5">
        <f>IF($B108&lt;=Tabla5[[#This Row],[INVERSIONES FCI]],+Tabla5[[#This Row],[INVERSIONES FCI]]-CD108,Tabla5[[#This Row],[INVERSIONES FCI]])</f>
        <v>20391134291.924072</v>
      </c>
      <c r="CE109" s="5">
        <f>IF($B108&lt;=Tabla5[[#This Row],[INVERSIONES FCI]],+Tabla5[[#This Row],[INVERSIONES FCI]]-CE108,Tabla5[[#This Row],[INVERSIONES FCI]])</f>
        <v>20391134291.924072</v>
      </c>
      <c r="CF109" s="5">
        <f>IF($B108&lt;=Tabla5[[#This Row],[INVERSIONES FCI]],+Tabla5[[#This Row],[INVERSIONES FCI]]-CF108,Tabla5[[#This Row],[INVERSIONES FCI]])</f>
        <v>20391134291.924072</v>
      </c>
      <c r="CG109" s="5">
        <f>IF($B108&lt;=Tabla5[[#This Row],[INVERSIONES FCI]],+Tabla5[[#This Row],[INVERSIONES FCI]]-CG108,Tabla5[[#This Row],[INVERSIONES FCI]])</f>
        <v>20391134291.924072</v>
      </c>
      <c r="CH109" s="5">
        <f>IF($B108&lt;=Tabla5[[#This Row],[INVERSIONES FCI]],+Tabla5[[#This Row],[INVERSIONES FCI]]-CH108,Tabla5[[#This Row],[INVERSIONES FCI]])</f>
        <v>20391134291.924072</v>
      </c>
      <c r="CI109" s="5">
        <f>IF($B108&lt;=Tabla5[[#This Row],[INVERSIONES FCI]],+Tabla5[[#This Row],[INVERSIONES FCI]]-CI108,Tabla5[[#This Row],[INVERSIONES FCI]])</f>
        <v>20391134291.924072</v>
      </c>
      <c r="CJ109" s="5">
        <f>IF($B108&lt;=Tabla5[[#This Row],[INVERSIONES FCI]],+Tabla5[[#This Row],[INVERSIONES FCI]]-CJ108,Tabla5[[#This Row],[INVERSIONES FCI]])</f>
        <v>20391134291.924072</v>
      </c>
      <c r="CK109" s="5">
        <f>IF($B108&lt;=Tabla5[[#This Row],[INVERSIONES FCI]],+Tabla5[[#This Row],[INVERSIONES FCI]]-CK108,Tabla5[[#This Row],[INVERSIONES FCI]])</f>
        <v>20391134291.924072</v>
      </c>
      <c r="CL109" s="5">
        <f>IF($B108&lt;=Tabla5[[#This Row],[INVERSIONES FCI]],+Tabla5[[#This Row],[INVERSIONES FCI]]-CL108,Tabla5[[#This Row],[INVERSIONES FCI]])</f>
        <v>20391134291.924072</v>
      </c>
      <c r="CM109" s="5">
        <f>IF($B108&lt;=Tabla5[[#This Row],[INVERSIONES FCI]],+Tabla5[[#This Row],[INVERSIONES FCI]]-CM108,Tabla5[[#This Row],[INVERSIONES FCI]])</f>
        <v>20391134291.924072</v>
      </c>
      <c r="CN109" s="5">
        <f>IF($B108&lt;=Tabla5[[#This Row],[INVERSIONES FCI]],+Tabla5[[#This Row],[INVERSIONES FCI]]-CN108,Tabla5[[#This Row],[INVERSIONES FCI]])</f>
        <v>20391134291.924072</v>
      </c>
      <c r="CO109" s="5">
        <f>IF($B108&lt;=Tabla5[[#This Row],[INVERSIONES FCI]],+Tabla5[[#This Row],[INVERSIONES FCI]]-CO108,Tabla5[[#This Row],[INVERSIONES FCI]])</f>
        <v>20391134291.924072</v>
      </c>
      <c r="CP109" s="5">
        <f>IF($B108&lt;=Tabla5[[#This Row],[INVERSIONES FCI]],+Tabla5[[#This Row],[INVERSIONES FCI]]-CP108,Tabla5[[#This Row],[INVERSIONES FCI]])</f>
        <v>20391134291.924072</v>
      </c>
      <c r="CQ109" s="5">
        <f>IF($B108&lt;=Tabla5[[#This Row],[INVERSIONES FCI]],+Tabla5[[#This Row],[INVERSIONES FCI]]-CQ108,Tabla5[[#This Row],[INVERSIONES FCI]])</f>
        <v>20391134291.924072</v>
      </c>
      <c r="CR109" s="5">
        <f>IF($B108&lt;=Tabla5[[#This Row],[INVERSIONES FCI]],+Tabla5[[#This Row],[INVERSIONES FCI]]-CR108,Tabla5[[#This Row],[INVERSIONES FCI]])</f>
        <v>20391134291.924072</v>
      </c>
      <c r="CS109" s="5">
        <f>IF($B108&lt;=Tabla5[[#This Row],[INVERSIONES FCI]],+Tabla5[[#This Row],[INVERSIONES FCI]]-CS108,Tabla5[[#This Row],[INVERSIONES FCI]])</f>
        <v>20391134291.924072</v>
      </c>
      <c r="CT109" s="5">
        <f>IF($B108&lt;=Tabla5[[#This Row],[INVERSIONES FCI]],+Tabla5[[#This Row],[INVERSIONES FCI]]-CT108,Tabla5[[#This Row],[INVERSIONES FCI]])</f>
        <v>20391134291.924072</v>
      </c>
      <c r="CU109" s="5">
        <f>IF($B108&lt;=Tabla5[[#This Row],[INVERSIONES FCI]],+Tabla5[[#This Row],[INVERSIONES FCI]]-CU108,Tabla5[[#This Row],[INVERSIONES FCI]])</f>
        <v>20391134291.924072</v>
      </c>
      <c r="CV109" s="5">
        <f>IF($B108&lt;=Tabla5[[#This Row],[INVERSIONES FCI]],+Tabla5[[#This Row],[INVERSIONES FCI]]-CV108,Tabla5[[#This Row],[INVERSIONES FCI]])</f>
        <v>20391134291.924072</v>
      </c>
      <c r="CW109" s="5">
        <f>IF($B108&lt;=Tabla5[[#This Row],[INVERSIONES FCI]],+Tabla5[[#This Row],[INVERSIONES FCI]]-CW108,Tabla5[[#This Row],[INVERSIONES FCI]])</f>
        <v>20391134291.924072</v>
      </c>
      <c r="CX109" s="5">
        <f>IF($B108&lt;=Tabla5[[#This Row],[INVERSIONES FCI]],+Tabla5[[#This Row],[INVERSIONES FCI]]-CX108,Tabla5[[#This Row],[INVERSIONES FCI]])</f>
        <v>20391134291.924072</v>
      </c>
      <c r="CY109" s="5">
        <f>IF($B108&lt;=Tabla5[[#This Row],[INVERSIONES FCI]],+Tabla5[[#This Row],[INVERSIONES FCI]]-CY108,Tabla5[[#This Row],[INVERSIONES FCI]])</f>
        <v>20391134291.924072</v>
      </c>
      <c r="CZ109" s="5">
        <f>IF($B108&lt;=Tabla5[[#This Row],[INVERSIONES FCI]],+Tabla5[[#This Row],[INVERSIONES FCI]]-CZ108,Tabla5[[#This Row],[INVERSIONES FCI]])</f>
        <v>20391134291.924072</v>
      </c>
      <c r="DA109" s="5">
        <f>IF($B108&lt;=Tabla5[[#This Row],[INVERSIONES FCI]],+Tabla5[[#This Row],[INVERSIONES FCI]]-DA108,Tabla5[[#This Row],[INVERSIONES FCI]])</f>
        <v>20391134291.924072</v>
      </c>
      <c r="DB109" s="5">
        <f>IF($B108&lt;=Tabla5[[#This Row],[INVERSIONES FCI]],+Tabla5[[#This Row],[INVERSIONES FCI]]-DB108,Tabla5[[#This Row],[INVERSIONES FCI]])</f>
        <v>20391134291.924072</v>
      </c>
      <c r="DC109" s="5">
        <f>IF($B108&lt;=Tabla5[[#This Row],[INVERSIONES FCI]],+Tabla5[[#This Row],[INVERSIONES FCI]]-DC108,Tabla5[[#This Row],[INVERSIONES FCI]])</f>
        <v>20391134291.924072</v>
      </c>
      <c r="DD109" s="5">
        <f>IF($B108&lt;=Tabla5[[#This Row],[INVERSIONES FCI]],+Tabla5[[#This Row],[INVERSIONES FCI]]-DD108,Tabla5[[#This Row],[INVERSIONES FCI]])</f>
        <v>20391134291.924072</v>
      </c>
      <c r="DE109" s="5">
        <f>IF($B108&lt;=Tabla5[[#This Row],[INVERSIONES FCI]],+Tabla5[[#This Row],[INVERSIONES FCI]]-DE108,Tabla5[[#This Row],[INVERSIONES FCI]])</f>
        <v>20391134291.924072</v>
      </c>
      <c r="DF109" s="5" cm="1">
        <f t="array" ref="DF109">IF(Tabla5[[#This Row],[FCI]]=0,0,_xlfn.XLOOKUP(TRUE,$B109:DE109&gt;0,$B109:DE109,"",0,-1))</f>
        <v>20391134291.924072</v>
      </c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</row>
    <row r="110" spans="1:121" ht="14.4">
      <c r="A110" s="12" t="s">
        <v>109</v>
      </c>
      <c r="B110" s="5">
        <f>HLOOKUP($A110,ESCENARIO[#All],7,FALSE)</f>
        <v>24701680354.918858</v>
      </c>
      <c r="C110" s="5">
        <f>IF($B109&lt;=Tabla5[[#This Row],[INVERSIONES FCI]],+Tabla5[[#This Row],[INVERSIONES FCI]]-C109,Tabla5[[#This Row],[INVERSIONES FCI]])</f>
        <v>4310546062.9947853</v>
      </c>
      <c r="D110" s="5">
        <f>IF($B109&lt;=Tabla5[[#This Row],[INVERSIONES FCI]],+Tabla5[[#This Row],[INVERSIONES FCI]]-D109,Tabla5[[#This Row],[INVERSIONES FCI]])</f>
        <v>4310546062.9947853</v>
      </c>
      <c r="E110" s="5">
        <f>IF($B109&lt;=Tabla5[[#This Row],[INVERSIONES FCI]],+Tabla5[[#This Row],[INVERSIONES FCI]]-E109,Tabla5[[#This Row],[INVERSIONES FCI]])</f>
        <v>4310546062.9947853</v>
      </c>
      <c r="F110" s="5">
        <f>IF($B109&lt;=Tabla5[[#This Row],[INVERSIONES FCI]],+Tabla5[[#This Row],[INVERSIONES FCI]]-F109,Tabla5[[#This Row],[INVERSIONES FCI]])</f>
        <v>4310546062.9947853</v>
      </c>
      <c r="G110" s="5">
        <f>IF($B109&lt;=Tabla5[[#This Row],[INVERSIONES FCI]],+Tabla5[[#This Row],[INVERSIONES FCI]]-G109,Tabla5[[#This Row],[INVERSIONES FCI]])</f>
        <v>4310546062.9947853</v>
      </c>
      <c r="H110" s="5">
        <f>IF($B109&lt;=Tabla5[[#This Row],[INVERSIONES FCI]],+Tabla5[[#This Row],[INVERSIONES FCI]]-H109,Tabla5[[#This Row],[INVERSIONES FCI]])</f>
        <v>4310546062.9947853</v>
      </c>
      <c r="I110" s="5">
        <f>IF($B109&lt;=Tabla5[[#This Row],[INVERSIONES FCI]],+Tabla5[[#This Row],[INVERSIONES FCI]]-I109,Tabla5[[#This Row],[INVERSIONES FCI]])</f>
        <v>4310546062.9947853</v>
      </c>
      <c r="J110" s="5">
        <f>IF($B109&lt;=Tabla5[[#This Row],[INVERSIONES FCI]],+Tabla5[[#This Row],[INVERSIONES FCI]]-J109,Tabla5[[#This Row],[INVERSIONES FCI]])</f>
        <v>4310546062.9947853</v>
      </c>
      <c r="K110" s="5">
        <f>IF($B109&lt;=Tabla5[[#This Row],[INVERSIONES FCI]],+Tabla5[[#This Row],[INVERSIONES FCI]]-K109,Tabla5[[#This Row],[INVERSIONES FCI]])</f>
        <v>4310546062.9947853</v>
      </c>
      <c r="L110" s="5">
        <f>IF($B109&lt;=Tabla5[[#This Row],[INVERSIONES FCI]],+Tabla5[[#This Row],[INVERSIONES FCI]]-L109,Tabla5[[#This Row],[INVERSIONES FCI]])</f>
        <v>4310546062.9947853</v>
      </c>
      <c r="M110" s="5">
        <f>IF($B109&lt;=Tabla5[[#This Row],[INVERSIONES FCI]],+Tabla5[[#This Row],[INVERSIONES FCI]]-M109,Tabla5[[#This Row],[INVERSIONES FCI]])</f>
        <v>4310546062.9947853</v>
      </c>
      <c r="N110" s="5">
        <f>IF($B109&lt;=Tabla5[[#This Row],[INVERSIONES FCI]],+Tabla5[[#This Row],[INVERSIONES FCI]]-N109,Tabla5[[#This Row],[INVERSIONES FCI]])</f>
        <v>4310546062.9947853</v>
      </c>
      <c r="O110" s="5">
        <f>IF($B109&lt;=Tabla5[[#This Row],[INVERSIONES FCI]],+Tabla5[[#This Row],[INVERSIONES FCI]]-O109,Tabla5[[#This Row],[INVERSIONES FCI]])</f>
        <v>4310546062.9947853</v>
      </c>
      <c r="P110" s="5">
        <f>IF($B109&lt;=Tabla5[[#This Row],[INVERSIONES FCI]],+Tabla5[[#This Row],[INVERSIONES FCI]]-P109,Tabla5[[#This Row],[INVERSIONES FCI]])</f>
        <v>4310546062.9947853</v>
      </c>
      <c r="Q110" s="5">
        <f>IF($B109&lt;=Tabla5[[#This Row],[INVERSIONES FCI]],+Tabla5[[#This Row],[INVERSIONES FCI]]-Q109,Tabla5[[#This Row],[INVERSIONES FCI]])</f>
        <v>4310546062.9947853</v>
      </c>
      <c r="R110" s="5">
        <f>IF($B109&lt;=Tabla5[[#This Row],[INVERSIONES FCI]],+Tabla5[[#This Row],[INVERSIONES FCI]]-R109,Tabla5[[#This Row],[INVERSIONES FCI]])</f>
        <v>4310546062.9947853</v>
      </c>
      <c r="S110" s="5">
        <f>IF($B109&lt;=Tabla5[[#This Row],[INVERSIONES FCI]],+Tabla5[[#This Row],[INVERSIONES FCI]]-S109,Tabla5[[#This Row],[INVERSIONES FCI]])</f>
        <v>4310546062.9947853</v>
      </c>
      <c r="T110" s="5">
        <f>IF($B109&lt;=Tabla5[[#This Row],[INVERSIONES FCI]],+Tabla5[[#This Row],[INVERSIONES FCI]]-T109,Tabla5[[#This Row],[INVERSIONES FCI]])</f>
        <v>4310546062.9947853</v>
      </c>
      <c r="U110" s="5">
        <f>IF($B109&lt;=Tabla5[[#This Row],[INVERSIONES FCI]],+Tabla5[[#This Row],[INVERSIONES FCI]]-U109,Tabla5[[#This Row],[INVERSIONES FCI]])</f>
        <v>4310546062.9947853</v>
      </c>
      <c r="V110" s="5">
        <f>IF($B109&lt;=Tabla5[[#This Row],[INVERSIONES FCI]],+Tabla5[[#This Row],[INVERSIONES FCI]]-V109,Tabla5[[#This Row],[INVERSIONES FCI]])</f>
        <v>4310546062.9947853</v>
      </c>
      <c r="W110" s="5">
        <f>IF($B109&lt;=Tabla5[[#This Row],[INVERSIONES FCI]],+Tabla5[[#This Row],[INVERSIONES FCI]]-W109,Tabla5[[#This Row],[INVERSIONES FCI]])</f>
        <v>4310546062.9947853</v>
      </c>
      <c r="X110" s="5">
        <f>IF($B109&lt;=Tabla5[[#This Row],[INVERSIONES FCI]],+Tabla5[[#This Row],[INVERSIONES FCI]]-X109,Tabla5[[#This Row],[INVERSIONES FCI]])</f>
        <v>4310546062.9947853</v>
      </c>
      <c r="Y110" s="5">
        <f>IF($B109&lt;=Tabla5[[#This Row],[INVERSIONES FCI]],+Tabla5[[#This Row],[INVERSIONES FCI]]-Y109,Tabla5[[#This Row],[INVERSIONES FCI]])</f>
        <v>4310546062.9947853</v>
      </c>
      <c r="Z110" s="5">
        <f>IF($B109&lt;=Tabla5[[#This Row],[INVERSIONES FCI]],+Tabla5[[#This Row],[INVERSIONES FCI]]-Z109,Tabla5[[#This Row],[INVERSIONES FCI]])</f>
        <v>4310546062.9947853</v>
      </c>
      <c r="AA110" s="5">
        <f>IF($B109&lt;=Tabla5[[#This Row],[INVERSIONES FCI]],+Tabla5[[#This Row],[INVERSIONES FCI]]-AA109,Tabla5[[#This Row],[INVERSIONES FCI]])</f>
        <v>4310546062.9947853</v>
      </c>
      <c r="AB110" s="5">
        <f>IF($B109&lt;=Tabla5[[#This Row],[INVERSIONES FCI]],+Tabla5[[#This Row],[INVERSIONES FCI]]-AB109,Tabla5[[#This Row],[INVERSIONES FCI]])</f>
        <v>4310546062.9947853</v>
      </c>
      <c r="AC110" s="5">
        <f>IF($B109&lt;=Tabla5[[#This Row],[INVERSIONES FCI]],+Tabla5[[#This Row],[INVERSIONES FCI]]-AC109,Tabla5[[#This Row],[INVERSIONES FCI]])</f>
        <v>4310546062.9947853</v>
      </c>
      <c r="AD110" s="5">
        <f>IF($B109&lt;=Tabla5[[#This Row],[INVERSIONES FCI]],+Tabla5[[#This Row],[INVERSIONES FCI]]-AD109,Tabla5[[#This Row],[INVERSIONES FCI]])</f>
        <v>4310546062.9947853</v>
      </c>
      <c r="AE110" s="5">
        <f>IF($B109&lt;=Tabla5[[#This Row],[INVERSIONES FCI]],+Tabla5[[#This Row],[INVERSIONES FCI]]-AE109,Tabla5[[#This Row],[INVERSIONES FCI]])</f>
        <v>4310546062.9947853</v>
      </c>
      <c r="AF110" s="5">
        <f>IF($B109&lt;=Tabla5[[#This Row],[INVERSIONES FCI]],+Tabla5[[#This Row],[INVERSIONES FCI]]-AF109,Tabla5[[#This Row],[INVERSIONES FCI]])</f>
        <v>4310546062.9947853</v>
      </c>
      <c r="AG110" s="5">
        <f>IF($B109&lt;=Tabla5[[#This Row],[INVERSIONES FCI]],+Tabla5[[#This Row],[INVERSIONES FCI]]-AG109,Tabla5[[#This Row],[INVERSIONES FCI]])</f>
        <v>4310546062.9947853</v>
      </c>
      <c r="AH110" s="5">
        <f>IF($B109&lt;=Tabla5[[#This Row],[INVERSIONES FCI]],+Tabla5[[#This Row],[INVERSIONES FCI]]-AH109,Tabla5[[#This Row],[INVERSIONES FCI]])</f>
        <v>4310546062.9947853</v>
      </c>
      <c r="AI110" s="5">
        <f>IF($B109&lt;=Tabla5[[#This Row],[INVERSIONES FCI]],+Tabla5[[#This Row],[INVERSIONES FCI]]-AI109,Tabla5[[#This Row],[INVERSIONES FCI]])</f>
        <v>4310546062.9947853</v>
      </c>
      <c r="AJ110" s="5">
        <f>IF($B109&lt;=Tabla5[[#This Row],[INVERSIONES FCI]],+Tabla5[[#This Row],[INVERSIONES FCI]]-AJ109,Tabla5[[#This Row],[INVERSIONES FCI]])</f>
        <v>4310546062.9947853</v>
      </c>
      <c r="AK110" s="5">
        <f>IF($B109&lt;=Tabla5[[#This Row],[INVERSIONES FCI]],+Tabla5[[#This Row],[INVERSIONES FCI]]-AK109,Tabla5[[#This Row],[INVERSIONES FCI]])</f>
        <v>4310546062.9947853</v>
      </c>
      <c r="AL110" s="5">
        <f>IF($B109&lt;=Tabla5[[#This Row],[INVERSIONES FCI]],+Tabla5[[#This Row],[INVERSIONES FCI]]-AL109,Tabla5[[#This Row],[INVERSIONES FCI]])</f>
        <v>4310546062.9947853</v>
      </c>
      <c r="AM110" s="5">
        <f>IF($B109&lt;=Tabla5[[#This Row],[INVERSIONES FCI]],+Tabla5[[#This Row],[INVERSIONES FCI]]-AM109,Tabla5[[#This Row],[INVERSIONES FCI]])</f>
        <v>4310546062.9947853</v>
      </c>
      <c r="AN110" s="5">
        <f>IF($B109&lt;=Tabla5[[#This Row],[INVERSIONES FCI]],+Tabla5[[#This Row],[INVERSIONES FCI]]-AN109,Tabla5[[#This Row],[INVERSIONES FCI]])</f>
        <v>4310546062.9947853</v>
      </c>
      <c r="AO110" s="5">
        <f>IF($B109&lt;=Tabla5[[#This Row],[INVERSIONES FCI]],+Tabla5[[#This Row],[INVERSIONES FCI]]-AO109,Tabla5[[#This Row],[INVERSIONES FCI]])</f>
        <v>4310546062.9947853</v>
      </c>
      <c r="AP110" s="5">
        <f>IF($B109&lt;=Tabla5[[#This Row],[INVERSIONES FCI]],+Tabla5[[#This Row],[INVERSIONES FCI]]-AP109,Tabla5[[#This Row],[INVERSIONES FCI]])</f>
        <v>4310546062.9947853</v>
      </c>
      <c r="AQ110" s="5">
        <f>IF($B109&lt;=Tabla5[[#This Row],[INVERSIONES FCI]],+Tabla5[[#This Row],[INVERSIONES FCI]]-AQ109,Tabla5[[#This Row],[INVERSIONES FCI]])</f>
        <v>4310546062.9947853</v>
      </c>
      <c r="AR110" s="5">
        <f>IF($B109&lt;=Tabla5[[#This Row],[INVERSIONES FCI]],+Tabla5[[#This Row],[INVERSIONES FCI]]-AR109,Tabla5[[#This Row],[INVERSIONES FCI]])</f>
        <v>4310546062.9947853</v>
      </c>
      <c r="AS110" s="5">
        <f>IF($B109&lt;=Tabla5[[#This Row],[INVERSIONES FCI]],+Tabla5[[#This Row],[INVERSIONES FCI]]-AS109,Tabla5[[#This Row],[INVERSIONES FCI]])</f>
        <v>4310546062.9947853</v>
      </c>
      <c r="AT110" s="5">
        <f>IF($B109&lt;=Tabla5[[#This Row],[INVERSIONES FCI]],+Tabla5[[#This Row],[INVERSIONES FCI]]-AT109,Tabla5[[#This Row],[INVERSIONES FCI]])</f>
        <v>4310546062.9947853</v>
      </c>
      <c r="AU110" s="5">
        <f>IF($B109&lt;=Tabla5[[#This Row],[INVERSIONES FCI]],+Tabla5[[#This Row],[INVERSIONES FCI]]-AU109,Tabla5[[#This Row],[INVERSIONES FCI]])</f>
        <v>4310546062.9947853</v>
      </c>
      <c r="AV110" s="5">
        <f>IF($B109&lt;=Tabla5[[#This Row],[INVERSIONES FCI]],+Tabla5[[#This Row],[INVERSIONES FCI]]-AV109,Tabla5[[#This Row],[INVERSIONES FCI]])</f>
        <v>4310546062.9947853</v>
      </c>
      <c r="AW110" s="5">
        <f>IF($B109&lt;=Tabla5[[#This Row],[INVERSIONES FCI]],+Tabla5[[#This Row],[INVERSIONES FCI]]-AW109,Tabla5[[#This Row],[INVERSIONES FCI]])</f>
        <v>4310546062.9947853</v>
      </c>
      <c r="AX110" s="5">
        <f>IF($B109&lt;=Tabla5[[#This Row],[INVERSIONES FCI]],+Tabla5[[#This Row],[INVERSIONES FCI]]-AX109,Tabla5[[#This Row],[INVERSIONES FCI]])</f>
        <v>4310546062.9947853</v>
      </c>
      <c r="AY110" s="5">
        <f>IF($B109&lt;=Tabla5[[#This Row],[INVERSIONES FCI]],+Tabla5[[#This Row],[INVERSIONES FCI]]-AY109,Tabla5[[#This Row],[INVERSIONES FCI]])</f>
        <v>4310546062.9947853</v>
      </c>
      <c r="AZ110" s="5">
        <f>IF($B109&lt;=Tabla5[[#This Row],[INVERSIONES FCI]],+Tabla5[[#This Row],[INVERSIONES FCI]]-AZ109,Tabla5[[#This Row],[INVERSIONES FCI]])</f>
        <v>4310546062.9947853</v>
      </c>
      <c r="BA110" s="5">
        <f>IF($B109&lt;=Tabla5[[#This Row],[INVERSIONES FCI]],+Tabla5[[#This Row],[INVERSIONES FCI]]-BA109,Tabla5[[#This Row],[INVERSIONES FCI]])</f>
        <v>4310546062.9947853</v>
      </c>
      <c r="BB110" s="5">
        <f>IF($B109&lt;=Tabla5[[#This Row],[INVERSIONES FCI]],+Tabla5[[#This Row],[INVERSIONES FCI]]-BB109,Tabla5[[#This Row],[INVERSIONES FCI]])</f>
        <v>4310546062.9947853</v>
      </c>
      <c r="BC110" s="5">
        <f>IF($B109&lt;=Tabla5[[#This Row],[INVERSIONES FCI]],+Tabla5[[#This Row],[INVERSIONES FCI]]-BC109,Tabla5[[#This Row],[INVERSIONES FCI]])</f>
        <v>4310546062.9947853</v>
      </c>
      <c r="BD110" s="5">
        <f>IF($B109&lt;=Tabla5[[#This Row],[INVERSIONES FCI]],+Tabla5[[#This Row],[INVERSIONES FCI]]-BD109,Tabla5[[#This Row],[INVERSIONES FCI]])</f>
        <v>4310546062.9947853</v>
      </c>
      <c r="BE110" s="5">
        <f>IF($B109&lt;=Tabla5[[#This Row],[INVERSIONES FCI]],+Tabla5[[#This Row],[INVERSIONES FCI]]-BE109,Tabla5[[#This Row],[INVERSIONES FCI]])</f>
        <v>4310546062.9947853</v>
      </c>
      <c r="BF110" s="5">
        <f>IF($B109&lt;=Tabla5[[#This Row],[INVERSIONES FCI]],+Tabla5[[#This Row],[INVERSIONES FCI]]-BF109,Tabla5[[#This Row],[INVERSIONES FCI]])</f>
        <v>4310546062.9947853</v>
      </c>
      <c r="BG110" s="5">
        <f>IF($B109&lt;=Tabla5[[#This Row],[INVERSIONES FCI]],+Tabla5[[#This Row],[INVERSIONES FCI]]-BG109,Tabla5[[#This Row],[INVERSIONES FCI]])</f>
        <v>4310546062.9947853</v>
      </c>
      <c r="BH110" s="5">
        <f>IF($B109&lt;=Tabla5[[#This Row],[INVERSIONES FCI]],+Tabla5[[#This Row],[INVERSIONES FCI]]-BH109,Tabla5[[#This Row],[INVERSIONES FCI]])</f>
        <v>4310546062.9947853</v>
      </c>
      <c r="BI110" s="5">
        <f>IF($B109&lt;=Tabla5[[#This Row],[INVERSIONES FCI]],+Tabla5[[#This Row],[INVERSIONES FCI]]-BI109,Tabla5[[#This Row],[INVERSIONES FCI]])</f>
        <v>4310546062.9947853</v>
      </c>
      <c r="BJ110" s="5">
        <f>IF($B109&lt;=Tabla5[[#This Row],[INVERSIONES FCI]],+Tabla5[[#This Row],[INVERSIONES FCI]]-BJ109,Tabla5[[#This Row],[INVERSIONES FCI]])</f>
        <v>4310546062.9947853</v>
      </c>
      <c r="BK110" s="5">
        <f>IF($B109&lt;=Tabla5[[#This Row],[INVERSIONES FCI]],+Tabla5[[#This Row],[INVERSIONES FCI]]-BK109,Tabla5[[#This Row],[INVERSIONES FCI]])</f>
        <v>4310546062.9947853</v>
      </c>
      <c r="BL110" s="5">
        <f>IF($B109&lt;=Tabla5[[#This Row],[INVERSIONES FCI]],+Tabla5[[#This Row],[INVERSIONES FCI]]-BL109,Tabla5[[#This Row],[INVERSIONES FCI]])</f>
        <v>4310546062.9947853</v>
      </c>
      <c r="BM110" s="5">
        <f>IF($B109&lt;=Tabla5[[#This Row],[INVERSIONES FCI]],+Tabla5[[#This Row],[INVERSIONES FCI]]-BM109,Tabla5[[#This Row],[INVERSIONES FCI]])</f>
        <v>4310546062.9947853</v>
      </c>
      <c r="BN110" s="5">
        <f>IF($B109&lt;=Tabla5[[#This Row],[INVERSIONES FCI]],+Tabla5[[#This Row],[INVERSIONES FCI]]-BN109,Tabla5[[#This Row],[INVERSIONES FCI]])</f>
        <v>4310546062.9947853</v>
      </c>
      <c r="BO110" s="5">
        <f>IF($B109&lt;=Tabla5[[#This Row],[INVERSIONES FCI]],+Tabla5[[#This Row],[INVERSIONES FCI]]-BO109,Tabla5[[#This Row],[INVERSIONES FCI]])</f>
        <v>4310546062.9947853</v>
      </c>
      <c r="BP110" s="5">
        <f>IF($B109&lt;=Tabla5[[#This Row],[INVERSIONES FCI]],+Tabla5[[#This Row],[INVERSIONES FCI]]-BP109,Tabla5[[#This Row],[INVERSIONES FCI]])</f>
        <v>4310546062.9947853</v>
      </c>
      <c r="BQ110" s="5">
        <f>IF($B109&lt;=Tabla5[[#This Row],[INVERSIONES FCI]],+Tabla5[[#This Row],[INVERSIONES FCI]]-BQ109,Tabla5[[#This Row],[INVERSIONES FCI]])</f>
        <v>4310546062.9947853</v>
      </c>
      <c r="BR110" s="5">
        <f>IF($B109&lt;=Tabla5[[#This Row],[INVERSIONES FCI]],+Tabla5[[#This Row],[INVERSIONES FCI]]-BR109,Tabla5[[#This Row],[INVERSIONES FCI]])</f>
        <v>4310546062.9947853</v>
      </c>
      <c r="BS110" s="5">
        <f>IF($B109&lt;=Tabla5[[#This Row],[INVERSIONES FCI]],+Tabla5[[#This Row],[INVERSIONES FCI]]-BS109,Tabla5[[#This Row],[INVERSIONES FCI]])</f>
        <v>4310546062.9947853</v>
      </c>
      <c r="BT110" s="5">
        <f>IF($B109&lt;=Tabla5[[#This Row],[INVERSIONES FCI]],+Tabla5[[#This Row],[INVERSIONES FCI]]-BT109,Tabla5[[#This Row],[INVERSIONES FCI]])</f>
        <v>4310546062.9947853</v>
      </c>
      <c r="BU110" s="5">
        <f>IF($B109&lt;=Tabla5[[#This Row],[INVERSIONES FCI]],+Tabla5[[#This Row],[INVERSIONES FCI]]-BU109,Tabla5[[#This Row],[INVERSIONES FCI]])</f>
        <v>4310546062.9947853</v>
      </c>
      <c r="BV110" s="5">
        <f>IF($B109&lt;=Tabla5[[#This Row],[INVERSIONES FCI]],+Tabla5[[#This Row],[INVERSIONES FCI]]-BV109,Tabla5[[#This Row],[INVERSIONES FCI]])</f>
        <v>4310546062.9947853</v>
      </c>
      <c r="BW110" s="5">
        <f>IF($B109&lt;=Tabla5[[#This Row],[INVERSIONES FCI]],+Tabla5[[#This Row],[INVERSIONES FCI]]-BW109,Tabla5[[#This Row],[INVERSIONES FCI]])</f>
        <v>4310546062.9947853</v>
      </c>
      <c r="BX110" s="5">
        <f>IF($B109&lt;=Tabla5[[#This Row],[INVERSIONES FCI]],+Tabla5[[#This Row],[INVERSIONES FCI]]-BX109,Tabla5[[#This Row],[INVERSIONES FCI]])</f>
        <v>4310546062.9947853</v>
      </c>
      <c r="BY110" s="5">
        <f>IF($B109&lt;=Tabla5[[#This Row],[INVERSIONES FCI]],+Tabla5[[#This Row],[INVERSIONES FCI]]-BY109,Tabla5[[#This Row],[INVERSIONES FCI]])</f>
        <v>4310546062.9947853</v>
      </c>
      <c r="BZ110" s="5">
        <f>IF($B109&lt;=Tabla5[[#This Row],[INVERSIONES FCI]],+Tabla5[[#This Row],[INVERSIONES FCI]]-BZ109,Tabla5[[#This Row],[INVERSIONES FCI]])</f>
        <v>4310546062.9947853</v>
      </c>
      <c r="CA110" s="5">
        <f>IF($B109&lt;=Tabla5[[#This Row],[INVERSIONES FCI]],+Tabla5[[#This Row],[INVERSIONES FCI]]-CA109,Tabla5[[#This Row],[INVERSIONES FCI]])</f>
        <v>4310546062.9947853</v>
      </c>
      <c r="CB110" s="5">
        <f>IF($B109&lt;=Tabla5[[#This Row],[INVERSIONES FCI]],+Tabla5[[#This Row],[INVERSIONES FCI]]-CB109,Tabla5[[#This Row],[INVERSIONES FCI]])</f>
        <v>4310546062.9947853</v>
      </c>
      <c r="CC110" s="5">
        <f>IF($B109&lt;=Tabla5[[#This Row],[INVERSIONES FCI]],+Tabla5[[#This Row],[INVERSIONES FCI]]-CC109,Tabla5[[#This Row],[INVERSIONES FCI]])</f>
        <v>4310546062.9947853</v>
      </c>
      <c r="CD110" s="5">
        <f>IF($B109&lt;=Tabla5[[#This Row],[INVERSIONES FCI]],+Tabla5[[#This Row],[INVERSIONES FCI]]-CD109,Tabla5[[#This Row],[INVERSIONES FCI]])</f>
        <v>4310546062.9947853</v>
      </c>
      <c r="CE110" s="5">
        <f>IF($B109&lt;=Tabla5[[#This Row],[INVERSIONES FCI]],+Tabla5[[#This Row],[INVERSIONES FCI]]-CE109,Tabla5[[#This Row],[INVERSIONES FCI]])</f>
        <v>4310546062.9947853</v>
      </c>
      <c r="CF110" s="5">
        <f>IF($B109&lt;=Tabla5[[#This Row],[INVERSIONES FCI]],+Tabla5[[#This Row],[INVERSIONES FCI]]-CF109,Tabla5[[#This Row],[INVERSIONES FCI]])</f>
        <v>4310546062.9947853</v>
      </c>
      <c r="CG110" s="5">
        <f>IF($B109&lt;=Tabla5[[#This Row],[INVERSIONES FCI]],+Tabla5[[#This Row],[INVERSIONES FCI]]-CG109,Tabla5[[#This Row],[INVERSIONES FCI]])</f>
        <v>4310546062.9947853</v>
      </c>
      <c r="CH110" s="5">
        <f>IF($B109&lt;=Tabla5[[#This Row],[INVERSIONES FCI]],+Tabla5[[#This Row],[INVERSIONES FCI]]-CH109,Tabla5[[#This Row],[INVERSIONES FCI]])</f>
        <v>4310546062.9947853</v>
      </c>
      <c r="CI110" s="5">
        <f>IF($B109&lt;=Tabla5[[#This Row],[INVERSIONES FCI]],+Tabla5[[#This Row],[INVERSIONES FCI]]-CI109,Tabla5[[#This Row],[INVERSIONES FCI]])</f>
        <v>4310546062.9947853</v>
      </c>
      <c r="CJ110" s="5">
        <f>IF($B109&lt;=Tabla5[[#This Row],[INVERSIONES FCI]],+Tabla5[[#This Row],[INVERSIONES FCI]]-CJ109,Tabla5[[#This Row],[INVERSIONES FCI]])</f>
        <v>4310546062.9947853</v>
      </c>
      <c r="CK110" s="5">
        <f>IF($B109&lt;=Tabla5[[#This Row],[INVERSIONES FCI]],+Tabla5[[#This Row],[INVERSIONES FCI]]-CK109,Tabla5[[#This Row],[INVERSIONES FCI]])</f>
        <v>4310546062.9947853</v>
      </c>
      <c r="CL110" s="5">
        <f>IF($B109&lt;=Tabla5[[#This Row],[INVERSIONES FCI]],+Tabla5[[#This Row],[INVERSIONES FCI]]-CL109,Tabla5[[#This Row],[INVERSIONES FCI]])</f>
        <v>4310546062.9947853</v>
      </c>
      <c r="CM110" s="5">
        <f>IF($B109&lt;=Tabla5[[#This Row],[INVERSIONES FCI]],+Tabla5[[#This Row],[INVERSIONES FCI]]-CM109,Tabla5[[#This Row],[INVERSIONES FCI]])</f>
        <v>4310546062.9947853</v>
      </c>
      <c r="CN110" s="5">
        <f>IF($B109&lt;=Tabla5[[#This Row],[INVERSIONES FCI]],+Tabla5[[#This Row],[INVERSIONES FCI]]-CN109,Tabla5[[#This Row],[INVERSIONES FCI]])</f>
        <v>4310546062.9947853</v>
      </c>
      <c r="CO110" s="5">
        <f>IF($B109&lt;=Tabla5[[#This Row],[INVERSIONES FCI]],+Tabla5[[#This Row],[INVERSIONES FCI]]-CO109,Tabla5[[#This Row],[INVERSIONES FCI]])</f>
        <v>4310546062.9947853</v>
      </c>
      <c r="CP110" s="5">
        <f>IF($B109&lt;=Tabla5[[#This Row],[INVERSIONES FCI]],+Tabla5[[#This Row],[INVERSIONES FCI]]-CP109,Tabla5[[#This Row],[INVERSIONES FCI]])</f>
        <v>4310546062.9947853</v>
      </c>
      <c r="CQ110" s="5">
        <f>IF($B109&lt;=Tabla5[[#This Row],[INVERSIONES FCI]],+Tabla5[[#This Row],[INVERSIONES FCI]]-CQ109,Tabla5[[#This Row],[INVERSIONES FCI]])</f>
        <v>4310546062.9947853</v>
      </c>
      <c r="CR110" s="5">
        <f>IF($B109&lt;=Tabla5[[#This Row],[INVERSIONES FCI]],+Tabla5[[#This Row],[INVERSIONES FCI]]-CR109,Tabla5[[#This Row],[INVERSIONES FCI]])</f>
        <v>4310546062.9947853</v>
      </c>
      <c r="CS110" s="5">
        <f>IF($B109&lt;=Tabla5[[#This Row],[INVERSIONES FCI]],+Tabla5[[#This Row],[INVERSIONES FCI]]-CS109,Tabla5[[#This Row],[INVERSIONES FCI]])</f>
        <v>4310546062.9947853</v>
      </c>
      <c r="CT110" s="5">
        <f>IF($B109&lt;=Tabla5[[#This Row],[INVERSIONES FCI]],+Tabla5[[#This Row],[INVERSIONES FCI]]-CT109,Tabla5[[#This Row],[INVERSIONES FCI]])</f>
        <v>4310546062.9947853</v>
      </c>
      <c r="CU110" s="5">
        <f>IF($B109&lt;=Tabla5[[#This Row],[INVERSIONES FCI]],+Tabla5[[#This Row],[INVERSIONES FCI]]-CU109,Tabla5[[#This Row],[INVERSIONES FCI]])</f>
        <v>4310546062.9947853</v>
      </c>
      <c r="CV110" s="5">
        <f>IF($B109&lt;=Tabla5[[#This Row],[INVERSIONES FCI]],+Tabla5[[#This Row],[INVERSIONES FCI]]-CV109,Tabla5[[#This Row],[INVERSIONES FCI]])</f>
        <v>4310546062.9947853</v>
      </c>
      <c r="CW110" s="5">
        <f>IF($B109&lt;=Tabla5[[#This Row],[INVERSIONES FCI]],+Tabla5[[#This Row],[INVERSIONES FCI]]-CW109,Tabla5[[#This Row],[INVERSIONES FCI]])</f>
        <v>4310546062.9947853</v>
      </c>
      <c r="CX110" s="5">
        <f>IF($B109&lt;=Tabla5[[#This Row],[INVERSIONES FCI]],+Tabla5[[#This Row],[INVERSIONES FCI]]-CX109,Tabla5[[#This Row],[INVERSIONES FCI]])</f>
        <v>4310546062.9947853</v>
      </c>
      <c r="CY110" s="5">
        <f>IF($B109&lt;=Tabla5[[#This Row],[INVERSIONES FCI]],+Tabla5[[#This Row],[INVERSIONES FCI]]-CY109,Tabla5[[#This Row],[INVERSIONES FCI]])</f>
        <v>4310546062.9947853</v>
      </c>
      <c r="CZ110" s="5">
        <f>IF($B109&lt;=Tabla5[[#This Row],[INVERSIONES FCI]],+Tabla5[[#This Row],[INVERSIONES FCI]]-CZ109,Tabla5[[#This Row],[INVERSIONES FCI]])</f>
        <v>4310546062.9947853</v>
      </c>
      <c r="DA110" s="5">
        <f>IF($B109&lt;=Tabla5[[#This Row],[INVERSIONES FCI]],+Tabla5[[#This Row],[INVERSIONES FCI]]-DA109,Tabla5[[#This Row],[INVERSIONES FCI]])</f>
        <v>4310546062.9947853</v>
      </c>
      <c r="DB110" s="5">
        <f>IF($B109&lt;=Tabla5[[#This Row],[INVERSIONES FCI]],+Tabla5[[#This Row],[INVERSIONES FCI]]-DB109,Tabla5[[#This Row],[INVERSIONES FCI]])</f>
        <v>4310546062.9947853</v>
      </c>
      <c r="DC110" s="5">
        <f>IF($B109&lt;=Tabla5[[#This Row],[INVERSIONES FCI]],+Tabla5[[#This Row],[INVERSIONES FCI]]-DC109,Tabla5[[#This Row],[INVERSIONES FCI]])</f>
        <v>4310546062.9947853</v>
      </c>
      <c r="DD110" s="5">
        <f>IF($B109&lt;=Tabla5[[#This Row],[INVERSIONES FCI]],+Tabla5[[#This Row],[INVERSIONES FCI]]-DD109,Tabla5[[#This Row],[INVERSIONES FCI]])</f>
        <v>4310546062.9947853</v>
      </c>
      <c r="DE110" s="5">
        <f>IF($B109&lt;=Tabla5[[#This Row],[INVERSIONES FCI]],+Tabla5[[#This Row],[INVERSIONES FCI]]-DE109,Tabla5[[#This Row],[INVERSIONES FCI]])</f>
        <v>4310546062.9947853</v>
      </c>
      <c r="DF110" s="5">
        <f>IF($B109&lt;=Tabla5[[#This Row],[INVERSIONES FCI]],+Tabla5[[#This Row],[INVERSIONES FCI]]-DF109,Tabla5[[#This Row],[INVERSIONES FCI]])</f>
        <v>4310546062.9947853</v>
      </c>
      <c r="DG110" s="5" cm="1">
        <f t="array" ref="DG110">IF(Tabla5[[#This Row],[FCI]]=0,0,_xlfn.XLOOKUP(TRUE,$B110:DF110&gt;0,$B110:DF110,"",0,-1))</f>
        <v>4310546062.9947853</v>
      </c>
      <c r="DH110" s="5"/>
      <c r="DI110" s="5"/>
      <c r="DJ110" s="5"/>
      <c r="DK110" s="5"/>
      <c r="DL110" s="5"/>
      <c r="DM110" s="5"/>
      <c r="DN110" s="5"/>
      <c r="DO110" s="5"/>
      <c r="DP110" s="5"/>
      <c r="DQ110" s="5"/>
    </row>
    <row r="111" spans="1:121" ht="14.4">
      <c r="A111" s="12" t="s">
        <v>110</v>
      </c>
      <c r="B111" s="5">
        <f>HLOOKUP($A111,ESCENARIO[#All],7,FALSE)</f>
        <v>26442088404.823456</v>
      </c>
      <c r="C111" s="5">
        <f>IF($B110&lt;=Tabla5[[#This Row],[INVERSIONES FCI]],+Tabla5[[#This Row],[INVERSIONES FCI]]-C110,Tabla5[[#This Row],[INVERSIONES FCI]])</f>
        <v>22131542341.828671</v>
      </c>
      <c r="D111" s="5">
        <f>IF($B110&lt;=Tabla5[[#This Row],[INVERSIONES FCI]],+Tabla5[[#This Row],[INVERSIONES FCI]]-D110,Tabla5[[#This Row],[INVERSIONES FCI]])</f>
        <v>22131542341.828671</v>
      </c>
      <c r="E111" s="5">
        <f>IF($B110&lt;=Tabla5[[#This Row],[INVERSIONES FCI]],+Tabla5[[#This Row],[INVERSIONES FCI]]-E110,Tabla5[[#This Row],[INVERSIONES FCI]])</f>
        <v>22131542341.828671</v>
      </c>
      <c r="F111" s="5">
        <f>IF($B110&lt;=Tabla5[[#This Row],[INVERSIONES FCI]],+Tabla5[[#This Row],[INVERSIONES FCI]]-F110,Tabla5[[#This Row],[INVERSIONES FCI]])</f>
        <v>22131542341.828671</v>
      </c>
      <c r="G111" s="5">
        <f>IF($B110&lt;=Tabla5[[#This Row],[INVERSIONES FCI]],+Tabla5[[#This Row],[INVERSIONES FCI]]-G110,Tabla5[[#This Row],[INVERSIONES FCI]])</f>
        <v>22131542341.828671</v>
      </c>
      <c r="H111" s="5">
        <f>IF($B110&lt;=Tabla5[[#This Row],[INVERSIONES FCI]],+Tabla5[[#This Row],[INVERSIONES FCI]]-H110,Tabla5[[#This Row],[INVERSIONES FCI]])</f>
        <v>22131542341.828671</v>
      </c>
      <c r="I111" s="5">
        <f>IF($B110&lt;=Tabla5[[#This Row],[INVERSIONES FCI]],+Tabla5[[#This Row],[INVERSIONES FCI]]-I110,Tabla5[[#This Row],[INVERSIONES FCI]])</f>
        <v>22131542341.828671</v>
      </c>
      <c r="J111" s="5">
        <f>IF($B110&lt;=Tabla5[[#This Row],[INVERSIONES FCI]],+Tabla5[[#This Row],[INVERSIONES FCI]]-J110,Tabla5[[#This Row],[INVERSIONES FCI]])</f>
        <v>22131542341.828671</v>
      </c>
      <c r="K111" s="5">
        <f>IF($B110&lt;=Tabla5[[#This Row],[INVERSIONES FCI]],+Tabla5[[#This Row],[INVERSIONES FCI]]-K110,Tabla5[[#This Row],[INVERSIONES FCI]])</f>
        <v>22131542341.828671</v>
      </c>
      <c r="L111" s="5">
        <f>IF($B110&lt;=Tabla5[[#This Row],[INVERSIONES FCI]],+Tabla5[[#This Row],[INVERSIONES FCI]]-L110,Tabla5[[#This Row],[INVERSIONES FCI]])</f>
        <v>22131542341.828671</v>
      </c>
      <c r="M111" s="5">
        <f>IF($B110&lt;=Tabla5[[#This Row],[INVERSIONES FCI]],+Tabla5[[#This Row],[INVERSIONES FCI]]-M110,Tabla5[[#This Row],[INVERSIONES FCI]])</f>
        <v>22131542341.828671</v>
      </c>
      <c r="N111" s="5">
        <f>IF($B110&lt;=Tabla5[[#This Row],[INVERSIONES FCI]],+Tabla5[[#This Row],[INVERSIONES FCI]]-N110,Tabla5[[#This Row],[INVERSIONES FCI]])</f>
        <v>22131542341.828671</v>
      </c>
      <c r="O111" s="5">
        <f>IF($B110&lt;=Tabla5[[#This Row],[INVERSIONES FCI]],+Tabla5[[#This Row],[INVERSIONES FCI]]-O110,Tabla5[[#This Row],[INVERSIONES FCI]])</f>
        <v>22131542341.828671</v>
      </c>
      <c r="P111" s="5">
        <f>IF($B110&lt;=Tabla5[[#This Row],[INVERSIONES FCI]],+Tabla5[[#This Row],[INVERSIONES FCI]]-P110,Tabla5[[#This Row],[INVERSIONES FCI]])</f>
        <v>22131542341.828671</v>
      </c>
      <c r="Q111" s="5">
        <f>IF($B110&lt;=Tabla5[[#This Row],[INVERSIONES FCI]],+Tabla5[[#This Row],[INVERSIONES FCI]]-Q110,Tabla5[[#This Row],[INVERSIONES FCI]])</f>
        <v>22131542341.828671</v>
      </c>
      <c r="R111" s="5">
        <f>IF($B110&lt;=Tabla5[[#This Row],[INVERSIONES FCI]],+Tabla5[[#This Row],[INVERSIONES FCI]]-R110,Tabla5[[#This Row],[INVERSIONES FCI]])</f>
        <v>22131542341.828671</v>
      </c>
      <c r="S111" s="5">
        <f>IF($B110&lt;=Tabla5[[#This Row],[INVERSIONES FCI]],+Tabla5[[#This Row],[INVERSIONES FCI]]-S110,Tabla5[[#This Row],[INVERSIONES FCI]])</f>
        <v>22131542341.828671</v>
      </c>
      <c r="T111" s="5">
        <f>IF($B110&lt;=Tabla5[[#This Row],[INVERSIONES FCI]],+Tabla5[[#This Row],[INVERSIONES FCI]]-T110,Tabla5[[#This Row],[INVERSIONES FCI]])</f>
        <v>22131542341.828671</v>
      </c>
      <c r="U111" s="5">
        <f>IF($B110&lt;=Tabla5[[#This Row],[INVERSIONES FCI]],+Tabla5[[#This Row],[INVERSIONES FCI]]-U110,Tabla5[[#This Row],[INVERSIONES FCI]])</f>
        <v>22131542341.828671</v>
      </c>
      <c r="V111" s="5">
        <f>IF($B110&lt;=Tabla5[[#This Row],[INVERSIONES FCI]],+Tabla5[[#This Row],[INVERSIONES FCI]]-V110,Tabla5[[#This Row],[INVERSIONES FCI]])</f>
        <v>22131542341.828671</v>
      </c>
      <c r="W111" s="5">
        <f>IF($B110&lt;=Tabla5[[#This Row],[INVERSIONES FCI]],+Tabla5[[#This Row],[INVERSIONES FCI]]-W110,Tabla5[[#This Row],[INVERSIONES FCI]])</f>
        <v>22131542341.828671</v>
      </c>
      <c r="X111" s="5">
        <f>IF($B110&lt;=Tabla5[[#This Row],[INVERSIONES FCI]],+Tabla5[[#This Row],[INVERSIONES FCI]]-X110,Tabla5[[#This Row],[INVERSIONES FCI]])</f>
        <v>22131542341.828671</v>
      </c>
      <c r="Y111" s="5">
        <f>IF($B110&lt;=Tabla5[[#This Row],[INVERSIONES FCI]],+Tabla5[[#This Row],[INVERSIONES FCI]]-Y110,Tabla5[[#This Row],[INVERSIONES FCI]])</f>
        <v>22131542341.828671</v>
      </c>
      <c r="Z111" s="5">
        <f>IF($B110&lt;=Tabla5[[#This Row],[INVERSIONES FCI]],+Tabla5[[#This Row],[INVERSIONES FCI]]-Z110,Tabla5[[#This Row],[INVERSIONES FCI]])</f>
        <v>22131542341.828671</v>
      </c>
      <c r="AA111" s="5">
        <f>IF($B110&lt;=Tabla5[[#This Row],[INVERSIONES FCI]],+Tabla5[[#This Row],[INVERSIONES FCI]]-AA110,Tabla5[[#This Row],[INVERSIONES FCI]])</f>
        <v>22131542341.828671</v>
      </c>
      <c r="AB111" s="5">
        <f>IF($B110&lt;=Tabla5[[#This Row],[INVERSIONES FCI]],+Tabla5[[#This Row],[INVERSIONES FCI]]-AB110,Tabla5[[#This Row],[INVERSIONES FCI]])</f>
        <v>22131542341.828671</v>
      </c>
      <c r="AC111" s="5">
        <f>IF($B110&lt;=Tabla5[[#This Row],[INVERSIONES FCI]],+Tabla5[[#This Row],[INVERSIONES FCI]]-AC110,Tabla5[[#This Row],[INVERSIONES FCI]])</f>
        <v>22131542341.828671</v>
      </c>
      <c r="AD111" s="5">
        <f>IF($B110&lt;=Tabla5[[#This Row],[INVERSIONES FCI]],+Tabla5[[#This Row],[INVERSIONES FCI]]-AD110,Tabla5[[#This Row],[INVERSIONES FCI]])</f>
        <v>22131542341.828671</v>
      </c>
      <c r="AE111" s="5">
        <f>IF($B110&lt;=Tabla5[[#This Row],[INVERSIONES FCI]],+Tabla5[[#This Row],[INVERSIONES FCI]]-AE110,Tabla5[[#This Row],[INVERSIONES FCI]])</f>
        <v>22131542341.828671</v>
      </c>
      <c r="AF111" s="5">
        <f>IF($B110&lt;=Tabla5[[#This Row],[INVERSIONES FCI]],+Tabla5[[#This Row],[INVERSIONES FCI]]-AF110,Tabla5[[#This Row],[INVERSIONES FCI]])</f>
        <v>22131542341.828671</v>
      </c>
      <c r="AG111" s="5">
        <f>IF($B110&lt;=Tabla5[[#This Row],[INVERSIONES FCI]],+Tabla5[[#This Row],[INVERSIONES FCI]]-AG110,Tabla5[[#This Row],[INVERSIONES FCI]])</f>
        <v>22131542341.828671</v>
      </c>
      <c r="AH111" s="5">
        <f>IF($B110&lt;=Tabla5[[#This Row],[INVERSIONES FCI]],+Tabla5[[#This Row],[INVERSIONES FCI]]-AH110,Tabla5[[#This Row],[INVERSIONES FCI]])</f>
        <v>22131542341.828671</v>
      </c>
      <c r="AI111" s="5">
        <f>IF($B110&lt;=Tabla5[[#This Row],[INVERSIONES FCI]],+Tabla5[[#This Row],[INVERSIONES FCI]]-AI110,Tabla5[[#This Row],[INVERSIONES FCI]])</f>
        <v>22131542341.828671</v>
      </c>
      <c r="AJ111" s="5">
        <f>IF($B110&lt;=Tabla5[[#This Row],[INVERSIONES FCI]],+Tabla5[[#This Row],[INVERSIONES FCI]]-AJ110,Tabla5[[#This Row],[INVERSIONES FCI]])</f>
        <v>22131542341.828671</v>
      </c>
      <c r="AK111" s="5">
        <f>IF($B110&lt;=Tabla5[[#This Row],[INVERSIONES FCI]],+Tabla5[[#This Row],[INVERSIONES FCI]]-AK110,Tabla5[[#This Row],[INVERSIONES FCI]])</f>
        <v>22131542341.828671</v>
      </c>
      <c r="AL111" s="5">
        <f>IF($B110&lt;=Tabla5[[#This Row],[INVERSIONES FCI]],+Tabla5[[#This Row],[INVERSIONES FCI]]-AL110,Tabla5[[#This Row],[INVERSIONES FCI]])</f>
        <v>22131542341.828671</v>
      </c>
      <c r="AM111" s="5">
        <f>IF($B110&lt;=Tabla5[[#This Row],[INVERSIONES FCI]],+Tabla5[[#This Row],[INVERSIONES FCI]]-AM110,Tabla5[[#This Row],[INVERSIONES FCI]])</f>
        <v>22131542341.828671</v>
      </c>
      <c r="AN111" s="5">
        <f>IF($B110&lt;=Tabla5[[#This Row],[INVERSIONES FCI]],+Tabla5[[#This Row],[INVERSIONES FCI]]-AN110,Tabla5[[#This Row],[INVERSIONES FCI]])</f>
        <v>22131542341.828671</v>
      </c>
      <c r="AO111" s="5">
        <f>IF($B110&lt;=Tabla5[[#This Row],[INVERSIONES FCI]],+Tabla5[[#This Row],[INVERSIONES FCI]]-AO110,Tabla5[[#This Row],[INVERSIONES FCI]])</f>
        <v>22131542341.828671</v>
      </c>
      <c r="AP111" s="5">
        <f>IF($B110&lt;=Tabla5[[#This Row],[INVERSIONES FCI]],+Tabla5[[#This Row],[INVERSIONES FCI]]-AP110,Tabla5[[#This Row],[INVERSIONES FCI]])</f>
        <v>22131542341.828671</v>
      </c>
      <c r="AQ111" s="5">
        <f>IF($B110&lt;=Tabla5[[#This Row],[INVERSIONES FCI]],+Tabla5[[#This Row],[INVERSIONES FCI]]-AQ110,Tabla5[[#This Row],[INVERSIONES FCI]])</f>
        <v>22131542341.828671</v>
      </c>
      <c r="AR111" s="5">
        <f>IF($B110&lt;=Tabla5[[#This Row],[INVERSIONES FCI]],+Tabla5[[#This Row],[INVERSIONES FCI]]-AR110,Tabla5[[#This Row],[INVERSIONES FCI]])</f>
        <v>22131542341.828671</v>
      </c>
      <c r="AS111" s="5">
        <f>IF($B110&lt;=Tabla5[[#This Row],[INVERSIONES FCI]],+Tabla5[[#This Row],[INVERSIONES FCI]]-AS110,Tabla5[[#This Row],[INVERSIONES FCI]])</f>
        <v>22131542341.828671</v>
      </c>
      <c r="AT111" s="5">
        <f>IF($B110&lt;=Tabla5[[#This Row],[INVERSIONES FCI]],+Tabla5[[#This Row],[INVERSIONES FCI]]-AT110,Tabla5[[#This Row],[INVERSIONES FCI]])</f>
        <v>22131542341.828671</v>
      </c>
      <c r="AU111" s="5">
        <f>IF($B110&lt;=Tabla5[[#This Row],[INVERSIONES FCI]],+Tabla5[[#This Row],[INVERSIONES FCI]]-AU110,Tabla5[[#This Row],[INVERSIONES FCI]])</f>
        <v>22131542341.828671</v>
      </c>
      <c r="AV111" s="5">
        <f>IF($B110&lt;=Tabla5[[#This Row],[INVERSIONES FCI]],+Tabla5[[#This Row],[INVERSIONES FCI]]-AV110,Tabla5[[#This Row],[INVERSIONES FCI]])</f>
        <v>22131542341.828671</v>
      </c>
      <c r="AW111" s="5">
        <f>IF($B110&lt;=Tabla5[[#This Row],[INVERSIONES FCI]],+Tabla5[[#This Row],[INVERSIONES FCI]]-AW110,Tabla5[[#This Row],[INVERSIONES FCI]])</f>
        <v>22131542341.828671</v>
      </c>
      <c r="AX111" s="5">
        <f>IF($B110&lt;=Tabla5[[#This Row],[INVERSIONES FCI]],+Tabla5[[#This Row],[INVERSIONES FCI]]-AX110,Tabla5[[#This Row],[INVERSIONES FCI]])</f>
        <v>22131542341.828671</v>
      </c>
      <c r="AY111" s="5">
        <f>IF($B110&lt;=Tabla5[[#This Row],[INVERSIONES FCI]],+Tabla5[[#This Row],[INVERSIONES FCI]]-AY110,Tabla5[[#This Row],[INVERSIONES FCI]])</f>
        <v>22131542341.828671</v>
      </c>
      <c r="AZ111" s="5">
        <f>IF($B110&lt;=Tabla5[[#This Row],[INVERSIONES FCI]],+Tabla5[[#This Row],[INVERSIONES FCI]]-AZ110,Tabla5[[#This Row],[INVERSIONES FCI]])</f>
        <v>22131542341.828671</v>
      </c>
      <c r="BA111" s="5">
        <f>IF($B110&lt;=Tabla5[[#This Row],[INVERSIONES FCI]],+Tabla5[[#This Row],[INVERSIONES FCI]]-BA110,Tabla5[[#This Row],[INVERSIONES FCI]])</f>
        <v>22131542341.828671</v>
      </c>
      <c r="BB111" s="5">
        <f>IF($B110&lt;=Tabla5[[#This Row],[INVERSIONES FCI]],+Tabla5[[#This Row],[INVERSIONES FCI]]-BB110,Tabla5[[#This Row],[INVERSIONES FCI]])</f>
        <v>22131542341.828671</v>
      </c>
      <c r="BC111" s="5">
        <f>IF($B110&lt;=Tabla5[[#This Row],[INVERSIONES FCI]],+Tabla5[[#This Row],[INVERSIONES FCI]]-BC110,Tabla5[[#This Row],[INVERSIONES FCI]])</f>
        <v>22131542341.828671</v>
      </c>
      <c r="BD111" s="5">
        <f>IF($B110&lt;=Tabla5[[#This Row],[INVERSIONES FCI]],+Tabla5[[#This Row],[INVERSIONES FCI]]-BD110,Tabla5[[#This Row],[INVERSIONES FCI]])</f>
        <v>22131542341.828671</v>
      </c>
      <c r="BE111" s="5">
        <f>IF($B110&lt;=Tabla5[[#This Row],[INVERSIONES FCI]],+Tabla5[[#This Row],[INVERSIONES FCI]]-BE110,Tabla5[[#This Row],[INVERSIONES FCI]])</f>
        <v>22131542341.828671</v>
      </c>
      <c r="BF111" s="5">
        <f>IF($B110&lt;=Tabla5[[#This Row],[INVERSIONES FCI]],+Tabla5[[#This Row],[INVERSIONES FCI]]-BF110,Tabla5[[#This Row],[INVERSIONES FCI]])</f>
        <v>22131542341.828671</v>
      </c>
      <c r="BG111" s="5">
        <f>IF($B110&lt;=Tabla5[[#This Row],[INVERSIONES FCI]],+Tabla5[[#This Row],[INVERSIONES FCI]]-BG110,Tabla5[[#This Row],[INVERSIONES FCI]])</f>
        <v>22131542341.828671</v>
      </c>
      <c r="BH111" s="5">
        <f>IF($B110&lt;=Tabla5[[#This Row],[INVERSIONES FCI]],+Tabla5[[#This Row],[INVERSIONES FCI]]-BH110,Tabla5[[#This Row],[INVERSIONES FCI]])</f>
        <v>22131542341.828671</v>
      </c>
      <c r="BI111" s="5">
        <f>IF($B110&lt;=Tabla5[[#This Row],[INVERSIONES FCI]],+Tabla5[[#This Row],[INVERSIONES FCI]]-BI110,Tabla5[[#This Row],[INVERSIONES FCI]])</f>
        <v>22131542341.828671</v>
      </c>
      <c r="BJ111" s="5">
        <f>IF($B110&lt;=Tabla5[[#This Row],[INVERSIONES FCI]],+Tabla5[[#This Row],[INVERSIONES FCI]]-BJ110,Tabla5[[#This Row],[INVERSIONES FCI]])</f>
        <v>22131542341.828671</v>
      </c>
      <c r="BK111" s="5">
        <f>IF($B110&lt;=Tabla5[[#This Row],[INVERSIONES FCI]],+Tabla5[[#This Row],[INVERSIONES FCI]]-BK110,Tabla5[[#This Row],[INVERSIONES FCI]])</f>
        <v>22131542341.828671</v>
      </c>
      <c r="BL111" s="5">
        <f>IF($B110&lt;=Tabla5[[#This Row],[INVERSIONES FCI]],+Tabla5[[#This Row],[INVERSIONES FCI]]-BL110,Tabla5[[#This Row],[INVERSIONES FCI]])</f>
        <v>22131542341.828671</v>
      </c>
      <c r="BM111" s="5">
        <f>IF($B110&lt;=Tabla5[[#This Row],[INVERSIONES FCI]],+Tabla5[[#This Row],[INVERSIONES FCI]]-BM110,Tabla5[[#This Row],[INVERSIONES FCI]])</f>
        <v>22131542341.828671</v>
      </c>
      <c r="BN111" s="5">
        <f>IF($B110&lt;=Tabla5[[#This Row],[INVERSIONES FCI]],+Tabla5[[#This Row],[INVERSIONES FCI]]-BN110,Tabla5[[#This Row],[INVERSIONES FCI]])</f>
        <v>22131542341.828671</v>
      </c>
      <c r="BO111" s="5">
        <f>IF($B110&lt;=Tabla5[[#This Row],[INVERSIONES FCI]],+Tabla5[[#This Row],[INVERSIONES FCI]]-BO110,Tabla5[[#This Row],[INVERSIONES FCI]])</f>
        <v>22131542341.828671</v>
      </c>
      <c r="BP111" s="5">
        <f>IF($B110&lt;=Tabla5[[#This Row],[INVERSIONES FCI]],+Tabla5[[#This Row],[INVERSIONES FCI]]-BP110,Tabla5[[#This Row],[INVERSIONES FCI]])</f>
        <v>22131542341.828671</v>
      </c>
      <c r="BQ111" s="5">
        <f>IF($B110&lt;=Tabla5[[#This Row],[INVERSIONES FCI]],+Tabla5[[#This Row],[INVERSIONES FCI]]-BQ110,Tabla5[[#This Row],[INVERSIONES FCI]])</f>
        <v>22131542341.828671</v>
      </c>
      <c r="BR111" s="5">
        <f>IF($B110&lt;=Tabla5[[#This Row],[INVERSIONES FCI]],+Tabla5[[#This Row],[INVERSIONES FCI]]-BR110,Tabla5[[#This Row],[INVERSIONES FCI]])</f>
        <v>22131542341.828671</v>
      </c>
      <c r="BS111" s="5">
        <f>IF($B110&lt;=Tabla5[[#This Row],[INVERSIONES FCI]],+Tabla5[[#This Row],[INVERSIONES FCI]]-BS110,Tabla5[[#This Row],[INVERSIONES FCI]])</f>
        <v>22131542341.828671</v>
      </c>
      <c r="BT111" s="5">
        <f>IF($B110&lt;=Tabla5[[#This Row],[INVERSIONES FCI]],+Tabla5[[#This Row],[INVERSIONES FCI]]-BT110,Tabla5[[#This Row],[INVERSIONES FCI]])</f>
        <v>22131542341.828671</v>
      </c>
      <c r="BU111" s="5">
        <f>IF($B110&lt;=Tabla5[[#This Row],[INVERSIONES FCI]],+Tabla5[[#This Row],[INVERSIONES FCI]]-BU110,Tabla5[[#This Row],[INVERSIONES FCI]])</f>
        <v>22131542341.828671</v>
      </c>
      <c r="BV111" s="5">
        <f>IF($B110&lt;=Tabla5[[#This Row],[INVERSIONES FCI]],+Tabla5[[#This Row],[INVERSIONES FCI]]-BV110,Tabla5[[#This Row],[INVERSIONES FCI]])</f>
        <v>22131542341.828671</v>
      </c>
      <c r="BW111" s="5">
        <f>IF($B110&lt;=Tabla5[[#This Row],[INVERSIONES FCI]],+Tabla5[[#This Row],[INVERSIONES FCI]]-BW110,Tabla5[[#This Row],[INVERSIONES FCI]])</f>
        <v>22131542341.828671</v>
      </c>
      <c r="BX111" s="5">
        <f>IF($B110&lt;=Tabla5[[#This Row],[INVERSIONES FCI]],+Tabla5[[#This Row],[INVERSIONES FCI]]-BX110,Tabla5[[#This Row],[INVERSIONES FCI]])</f>
        <v>22131542341.828671</v>
      </c>
      <c r="BY111" s="5">
        <f>IF($B110&lt;=Tabla5[[#This Row],[INVERSIONES FCI]],+Tabla5[[#This Row],[INVERSIONES FCI]]-BY110,Tabla5[[#This Row],[INVERSIONES FCI]])</f>
        <v>22131542341.828671</v>
      </c>
      <c r="BZ111" s="5">
        <f>IF($B110&lt;=Tabla5[[#This Row],[INVERSIONES FCI]],+Tabla5[[#This Row],[INVERSIONES FCI]]-BZ110,Tabla5[[#This Row],[INVERSIONES FCI]])</f>
        <v>22131542341.828671</v>
      </c>
      <c r="CA111" s="5">
        <f>IF($B110&lt;=Tabla5[[#This Row],[INVERSIONES FCI]],+Tabla5[[#This Row],[INVERSIONES FCI]]-CA110,Tabla5[[#This Row],[INVERSIONES FCI]])</f>
        <v>22131542341.828671</v>
      </c>
      <c r="CB111" s="5">
        <f>IF($B110&lt;=Tabla5[[#This Row],[INVERSIONES FCI]],+Tabla5[[#This Row],[INVERSIONES FCI]]-CB110,Tabla5[[#This Row],[INVERSIONES FCI]])</f>
        <v>22131542341.828671</v>
      </c>
      <c r="CC111" s="5">
        <f>IF($B110&lt;=Tabla5[[#This Row],[INVERSIONES FCI]],+Tabla5[[#This Row],[INVERSIONES FCI]]-CC110,Tabla5[[#This Row],[INVERSIONES FCI]])</f>
        <v>22131542341.828671</v>
      </c>
      <c r="CD111" s="5">
        <f>IF($B110&lt;=Tabla5[[#This Row],[INVERSIONES FCI]],+Tabla5[[#This Row],[INVERSIONES FCI]]-CD110,Tabla5[[#This Row],[INVERSIONES FCI]])</f>
        <v>22131542341.828671</v>
      </c>
      <c r="CE111" s="5">
        <f>IF($B110&lt;=Tabla5[[#This Row],[INVERSIONES FCI]],+Tabla5[[#This Row],[INVERSIONES FCI]]-CE110,Tabla5[[#This Row],[INVERSIONES FCI]])</f>
        <v>22131542341.828671</v>
      </c>
      <c r="CF111" s="5">
        <f>IF($B110&lt;=Tabla5[[#This Row],[INVERSIONES FCI]],+Tabla5[[#This Row],[INVERSIONES FCI]]-CF110,Tabla5[[#This Row],[INVERSIONES FCI]])</f>
        <v>22131542341.828671</v>
      </c>
      <c r="CG111" s="5">
        <f>IF($B110&lt;=Tabla5[[#This Row],[INVERSIONES FCI]],+Tabla5[[#This Row],[INVERSIONES FCI]]-CG110,Tabla5[[#This Row],[INVERSIONES FCI]])</f>
        <v>22131542341.828671</v>
      </c>
      <c r="CH111" s="5">
        <f>IF($B110&lt;=Tabla5[[#This Row],[INVERSIONES FCI]],+Tabla5[[#This Row],[INVERSIONES FCI]]-CH110,Tabla5[[#This Row],[INVERSIONES FCI]])</f>
        <v>22131542341.828671</v>
      </c>
      <c r="CI111" s="5">
        <f>IF($B110&lt;=Tabla5[[#This Row],[INVERSIONES FCI]],+Tabla5[[#This Row],[INVERSIONES FCI]]-CI110,Tabla5[[#This Row],[INVERSIONES FCI]])</f>
        <v>22131542341.828671</v>
      </c>
      <c r="CJ111" s="5">
        <f>IF($B110&lt;=Tabla5[[#This Row],[INVERSIONES FCI]],+Tabla5[[#This Row],[INVERSIONES FCI]]-CJ110,Tabla5[[#This Row],[INVERSIONES FCI]])</f>
        <v>22131542341.828671</v>
      </c>
      <c r="CK111" s="5">
        <f>IF($B110&lt;=Tabla5[[#This Row],[INVERSIONES FCI]],+Tabla5[[#This Row],[INVERSIONES FCI]]-CK110,Tabla5[[#This Row],[INVERSIONES FCI]])</f>
        <v>22131542341.828671</v>
      </c>
      <c r="CL111" s="5">
        <f>IF($B110&lt;=Tabla5[[#This Row],[INVERSIONES FCI]],+Tabla5[[#This Row],[INVERSIONES FCI]]-CL110,Tabla5[[#This Row],[INVERSIONES FCI]])</f>
        <v>22131542341.828671</v>
      </c>
      <c r="CM111" s="5">
        <f>IF($B110&lt;=Tabla5[[#This Row],[INVERSIONES FCI]],+Tabla5[[#This Row],[INVERSIONES FCI]]-CM110,Tabla5[[#This Row],[INVERSIONES FCI]])</f>
        <v>22131542341.828671</v>
      </c>
      <c r="CN111" s="5">
        <f>IF($B110&lt;=Tabla5[[#This Row],[INVERSIONES FCI]],+Tabla5[[#This Row],[INVERSIONES FCI]]-CN110,Tabla5[[#This Row],[INVERSIONES FCI]])</f>
        <v>22131542341.828671</v>
      </c>
      <c r="CO111" s="5">
        <f>IF($B110&lt;=Tabla5[[#This Row],[INVERSIONES FCI]],+Tabla5[[#This Row],[INVERSIONES FCI]]-CO110,Tabla5[[#This Row],[INVERSIONES FCI]])</f>
        <v>22131542341.828671</v>
      </c>
      <c r="CP111" s="5">
        <f>IF($B110&lt;=Tabla5[[#This Row],[INVERSIONES FCI]],+Tabla5[[#This Row],[INVERSIONES FCI]]-CP110,Tabla5[[#This Row],[INVERSIONES FCI]])</f>
        <v>22131542341.828671</v>
      </c>
      <c r="CQ111" s="5">
        <f>IF($B110&lt;=Tabla5[[#This Row],[INVERSIONES FCI]],+Tabla5[[#This Row],[INVERSIONES FCI]]-CQ110,Tabla5[[#This Row],[INVERSIONES FCI]])</f>
        <v>22131542341.828671</v>
      </c>
      <c r="CR111" s="5">
        <f>IF($B110&lt;=Tabla5[[#This Row],[INVERSIONES FCI]],+Tabla5[[#This Row],[INVERSIONES FCI]]-CR110,Tabla5[[#This Row],[INVERSIONES FCI]])</f>
        <v>22131542341.828671</v>
      </c>
      <c r="CS111" s="5">
        <f>IF($B110&lt;=Tabla5[[#This Row],[INVERSIONES FCI]],+Tabla5[[#This Row],[INVERSIONES FCI]]-CS110,Tabla5[[#This Row],[INVERSIONES FCI]])</f>
        <v>22131542341.828671</v>
      </c>
      <c r="CT111" s="5">
        <f>IF($B110&lt;=Tabla5[[#This Row],[INVERSIONES FCI]],+Tabla5[[#This Row],[INVERSIONES FCI]]-CT110,Tabla5[[#This Row],[INVERSIONES FCI]])</f>
        <v>22131542341.828671</v>
      </c>
      <c r="CU111" s="5">
        <f>IF($B110&lt;=Tabla5[[#This Row],[INVERSIONES FCI]],+Tabla5[[#This Row],[INVERSIONES FCI]]-CU110,Tabla5[[#This Row],[INVERSIONES FCI]])</f>
        <v>22131542341.828671</v>
      </c>
      <c r="CV111" s="5">
        <f>IF($B110&lt;=Tabla5[[#This Row],[INVERSIONES FCI]],+Tabla5[[#This Row],[INVERSIONES FCI]]-CV110,Tabla5[[#This Row],[INVERSIONES FCI]])</f>
        <v>22131542341.828671</v>
      </c>
      <c r="CW111" s="5">
        <f>IF($B110&lt;=Tabla5[[#This Row],[INVERSIONES FCI]],+Tabla5[[#This Row],[INVERSIONES FCI]]-CW110,Tabla5[[#This Row],[INVERSIONES FCI]])</f>
        <v>22131542341.828671</v>
      </c>
      <c r="CX111" s="5">
        <f>IF($B110&lt;=Tabla5[[#This Row],[INVERSIONES FCI]],+Tabla5[[#This Row],[INVERSIONES FCI]]-CX110,Tabla5[[#This Row],[INVERSIONES FCI]])</f>
        <v>22131542341.828671</v>
      </c>
      <c r="CY111" s="5">
        <f>IF($B110&lt;=Tabla5[[#This Row],[INVERSIONES FCI]],+Tabla5[[#This Row],[INVERSIONES FCI]]-CY110,Tabla5[[#This Row],[INVERSIONES FCI]])</f>
        <v>22131542341.828671</v>
      </c>
      <c r="CZ111" s="5">
        <f>IF($B110&lt;=Tabla5[[#This Row],[INVERSIONES FCI]],+Tabla5[[#This Row],[INVERSIONES FCI]]-CZ110,Tabla5[[#This Row],[INVERSIONES FCI]])</f>
        <v>22131542341.828671</v>
      </c>
      <c r="DA111" s="5">
        <f>IF($B110&lt;=Tabla5[[#This Row],[INVERSIONES FCI]],+Tabla5[[#This Row],[INVERSIONES FCI]]-DA110,Tabla5[[#This Row],[INVERSIONES FCI]])</f>
        <v>22131542341.828671</v>
      </c>
      <c r="DB111" s="5">
        <f>IF($B110&lt;=Tabla5[[#This Row],[INVERSIONES FCI]],+Tabla5[[#This Row],[INVERSIONES FCI]]-DB110,Tabla5[[#This Row],[INVERSIONES FCI]])</f>
        <v>22131542341.828671</v>
      </c>
      <c r="DC111" s="5">
        <f>IF($B110&lt;=Tabla5[[#This Row],[INVERSIONES FCI]],+Tabla5[[#This Row],[INVERSIONES FCI]]-DC110,Tabla5[[#This Row],[INVERSIONES FCI]])</f>
        <v>22131542341.828671</v>
      </c>
      <c r="DD111" s="5">
        <f>IF($B110&lt;=Tabla5[[#This Row],[INVERSIONES FCI]],+Tabla5[[#This Row],[INVERSIONES FCI]]-DD110,Tabla5[[#This Row],[INVERSIONES FCI]])</f>
        <v>22131542341.828671</v>
      </c>
      <c r="DE111" s="5">
        <f>IF($B110&lt;=Tabla5[[#This Row],[INVERSIONES FCI]],+Tabla5[[#This Row],[INVERSIONES FCI]]-DE110,Tabla5[[#This Row],[INVERSIONES FCI]])</f>
        <v>22131542341.828671</v>
      </c>
      <c r="DF111" s="5">
        <f>IF($B110&lt;=Tabla5[[#This Row],[INVERSIONES FCI]],+Tabla5[[#This Row],[INVERSIONES FCI]]-DF110,Tabla5[[#This Row],[INVERSIONES FCI]])</f>
        <v>22131542341.828671</v>
      </c>
      <c r="DG111" s="5">
        <f>IF($B110&lt;=Tabla5[[#This Row],[INVERSIONES FCI]],+Tabla5[[#This Row],[INVERSIONES FCI]]-DG110,Tabla5[[#This Row],[INVERSIONES FCI]])</f>
        <v>22131542341.828671</v>
      </c>
      <c r="DH111" s="5" cm="1">
        <f t="array" ref="DH111">IF(Tabla5[[#This Row],[FCI]]=0,0,_xlfn.XLOOKUP(TRUE,$B111:DG111&gt;0,$B111:DG111,"",0,-1))</f>
        <v>22131542341.828671</v>
      </c>
      <c r="DI111" s="5"/>
      <c r="DJ111" s="5"/>
      <c r="DK111" s="5"/>
      <c r="DL111" s="5"/>
      <c r="DM111" s="5"/>
      <c r="DN111" s="5"/>
      <c r="DO111" s="5"/>
      <c r="DP111" s="5"/>
      <c r="DQ111" s="5"/>
    </row>
    <row r="112" spans="1:121" ht="14.4">
      <c r="A112" s="12" t="s">
        <v>111</v>
      </c>
      <c r="B112" s="5">
        <f>HLOOKUP($A112,ESCENARIO[#All],7,FALSE)</f>
        <v>29283833477.135445</v>
      </c>
      <c r="C112" s="5">
        <f>IF($B111&lt;=Tabla5[[#This Row],[INVERSIONES FCI]],+Tabla5[[#This Row],[INVERSIONES FCI]]-C111,Tabla5[[#This Row],[INVERSIONES FCI]])</f>
        <v>7152291135.3067741</v>
      </c>
      <c r="D112" s="5">
        <f>IF($B111&lt;=Tabla5[[#This Row],[INVERSIONES FCI]],+Tabla5[[#This Row],[INVERSIONES FCI]]-D111,Tabla5[[#This Row],[INVERSIONES FCI]])</f>
        <v>7152291135.3067741</v>
      </c>
      <c r="E112" s="5">
        <f>IF($B111&lt;=Tabla5[[#This Row],[INVERSIONES FCI]],+Tabla5[[#This Row],[INVERSIONES FCI]]-E111,Tabla5[[#This Row],[INVERSIONES FCI]])</f>
        <v>7152291135.3067741</v>
      </c>
      <c r="F112" s="5">
        <f>IF($B111&lt;=Tabla5[[#This Row],[INVERSIONES FCI]],+Tabla5[[#This Row],[INVERSIONES FCI]]-F111,Tabla5[[#This Row],[INVERSIONES FCI]])</f>
        <v>7152291135.3067741</v>
      </c>
      <c r="G112" s="5">
        <f>IF($B111&lt;=Tabla5[[#This Row],[INVERSIONES FCI]],+Tabla5[[#This Row],[INVERSIONES FCI]]-G111,Tabla5[[#This Row],[INVERSIONES FCI]])</f>
        <v>7152291135.3067741</v>
      </c>
      <c r="H112" s="5">
        <f>IF($B111&lt;=Tabla5[[#This Row],[INVERSIONES FCI]],+Tabla5[[#This Row],[INVERSIONES FCI]]-H111,Tabla5[[#This Row],[INVERSIONES FCI]])</f>
        <v>7152291135.3067741</v>
      </c>
      <c r="I112" s="5">
        <f>IF($B111&lt;=Tabla5[[#This Row],[INVERSIONES FCI]],+Tabla5[[#This Row],[INVERSIONES FCI]]-I111,Tabla5[[#This Row],[INVERSIONES FCI]])</f>
        <v>7152291135.3067741</v>
      </c>
      <c r="J112" s="5">
        <f>IF($B111&lt;=Tabla5[[#This Row],[INVERSIONES FCI]],+Tabla5[[#This Row],[INVERSIONES FCI]]-J111,Tabla5[[#This Row],[INVERSIONES FCI]])</f>
        <v>7152291135.3067741</v>
      </c>
      <c r="K112" s="5">
        <f>IF($B111&lt;=Tabla5[[#This Row],[INVERSIONES FCI]],+Tabla5[[#This Row],[INVERSIONES FCI]]-K111,Tabla5[[#This Row],[INVERSIONES FCI]])</f>
        <v>7152291135.3067741</v>
      </c>
      <c r="L112" s="5">
        <f>IF($B111&lt;=Tabla5[[#This Row],[INVERSIONES FCI]],+Tabla5[[#This Row],[INVERSIONES FCI]]-L111,Tabla5[[#This Row],[INVERSIONES FCI]])</f>
        <v>7152291135.3067741</v>
      </c>
      <c r="M112" s="5">
        <f>IF($B111&lt;=Tabla5[[#This Row],[INVERSIONES FCI]],+Tabla5[[#This Row],[INVERSIONES FCI]]-M111,Tabla5[[#This Row],[INVERSIONES FCI]])</f>
        <v>7152291135.3067741</v>
      </c>
      <c r="N112" s="5">
        <f>IF($B111&lt;=Tabla5[[#This Row],[INVERSIONES FCI]],+Tabla5[[#This Row],[INVERSIONES FCI]]-N111,Tabla5[[#This Row],[INVERSIONES FCI]])</f>
        <v>7152291135.3067741</v>
      </c>
      <c r="O112" s="5">
        <f>IF($B111&lt;=Tabla5[[#This Row],[INVERSIONES FCI]],+Tabla5[[#This Row],[INVERSIONES FCI]]-O111,Tabla5[[#This Row],[INVERSIONES FCI]])</f>
        <v>7152291135.3067741</v>
      </c>
      <c r="P112" s="5">
        <f>IF($B111&lt;=Tabla5[[#This Row],[INVERSIONES FCI]],+Tabla5[[#This Row],[INVERSIONES FCI]]-P111,Tabla5[[#This Row],[INVERSIONES FCI]])</f>
        <v>7152291135.3067741</v>
      </c>
      <c r="Q112" s="5">
        <f>IF($B111&lt;=Tabla5[[#This Row],[INVERSIONES FCI]],+Tabla5[[#This Row],[INVERSIONES FCI]]-Q111,Tabla5[[#This Row],[INVERSIONES FCI]])</f>
        <v>7152291135.3067741</v>
      </c>
      <c r="R112" s="5">
        <f>IF($B111&lt;=Tabla5[[#This Row],[INVERSIONES FCI]],+Tabla5[[#This Row],[INVERSIONES FCI]]-R111,Tabla5[[#This Row],[INVERSIONES FCI]])</f>
        <v>7152291135.3067741</v>
      </c>
      <c r="S112" s="5">
        <f>IF($B111&lt;=Tabla5[[#This Row],[INVERSIONES FCI]],+Tabla5[[#This Row],[INVERSIONES FCI]]-S111,Tabla5[[#This Row],[INVERSIONES FCI]])</f>
        <v>7152291135.3067741</v>
      </c>
      <c r="T112" s="5">
        <f>IF($B111&lt;=Tabla5[[#This Row],[INVERSIONES FCI]],+Tabla5[[#This Row],[INVERSIONES FCI]]-T111,Tabla5[[#This Row],[INVERSIONES FCI]])</f>
        <v>7152291135.3067741</v>
      </c>
      <c r="U112" s="5">
        <f>IF($B111&lt;=Tabla5[[#This Row],[INVERSIONES FCI]],+Tabla5[[#This Row],[INVERSIONES FCI]]-U111,Tabla5[[#This Row],[INVERSIONES FCI]])</f>
        <v>7152291135.3067741</v>
      </c>
      <c r="V112" s="5">
        <f>IF($B111&lt;=Tabla5[[#This Row],[INVERSIONES FCI]],+Tabla5[[#This Row],[INVERSIONES FCI]]-V111,Tabla5[[#This Row],[INVERSIONES FCI]])</f>
        <v>7152291135.3067741</v>
      </c>
      <c r="W112" s="5">
        <f>IF($B111&lt;=Tabla5[[#This Row],[INVERSIONES FCI]],+Tabla5[[#This Row],[INVERSIONES FCI]]-W111,Tabla5[[#This Row],[INVERSIONES FCI]])</f>
        <v>7152291135.3067741</v>
      </c>
      <c r="X112" s="5">
        <f>IF($B111&lt;=Tabla5[[#This Row],[INVERSIONES FCI]],+Tabla5[[#This Row],[INVERSIONES FCI]]-X111,Tabla5[[#This Row],[INVERSIONES FCI]])</f>
        <v>7152291135.3067741</v>
      </c>
      <c r="Y112" s="5">
        <f>IF($B111&lt;=Tabla5[[#This Row],[INVERSIONES FCI]],+Tabla5[[#This Row],[INVERSIONES FCI]]-Y111,Tabla5[[#This Row],[INVERSIONES FCI]])</f>
        <v>7152291135.3067741</v>
      </c>
      <c r="Z112" s="5">
        <f>IF($B111&lt;=Tabla5[[#This Row],[INVERSIONES FCI]],+Tabla5[[#This Row],[INVERSIONES FCI]]-Z111,Tabla5[[#This Row],[INVERSIONES FCI]])</f>
        <v>7152291135.3067741</v>
      </c>
      <c r="AA112" s="5">
        <f>IF($B111&lt;=Tabla5[[#This Row],[INVERSIONES FCI]],+Tabla5[[#This Row],[INVERSIONES FCI]]-AA111,Tabla5[[#This Row],[INVERSIONES FCI]])</f>
        <v>7152291135.3067741</v>
      </c>
      <c r="AB112" s="5">
        <f>IF($B111&lt;=Tabla5[[#This Row],[INVERSIONES FCI]],+Tabla5[[#This Row],[INVERSIONES FCI]]-AB111,Tabla5[[#This Row],[INVERSIONES FCI]])</f>
        <v>7152291135.3067741</v>
      </c>
      <c r="AC112" s="5">
        <f>IF($B111&lt;=Tabla5[[#This Row],[INVERSIONES FCI]],+Tabla5[[#This Row],[INVERSIONES FCI]]-AC111,Tabla5[[#This Row],[INVERSIONES FCI]])</f>
        <v>7152291135.3067741</v>
      </c>
      <c r="AD112" s="5">
        <f>IF($B111&lt;=Tabla5[[#This Row],[INVERSIONES FCI]],+Tabla5[[#This Row],[INVERSIONES FCI]]-AD111,Tabla5[[#This Row],[INVERSIONES FCI]])</f>
        <v>7152291135.3067741</v>
      </c>
      <c r="AE112" s="5">
        <f>IF($B111&lt;=Tabla5[[#This Row],[INVERSIONES FCI]],+Tabla5[[#This Row],[INVERSIONES FCI]]-AE111,Tabla5[[#This Row],[INVERSIONES FCI]])</f>
        <v>7152291135.3067741</v>
      </c>
      <c r="AF112" s="5">
        <f>IF($B111&lt;=Tabla5[[#This Row],[INVERSIONES FCI]],+Tabla5[[#This Row],[INVERSIONES FCI]]-AF111,Tabla5[[#This Row],[INVERSIONES FCI]])</f>
        <v>7152291135.3067741</v>
      </c>
      <c r="AG112" s="5">
        <f>IF($B111&lt;=Tabla5[[#This Row],[INVERSIONES FCI]],+Tabla5[[#This Row],[INVERSIONES FCI]]-AG111,Tabla5[[#This Row],[INVERSIONES FCI]])</f>
        <v>7152291135.3067741</v>
      </c>
      <c r="AH112" s="5">
        <f>IF($B111&lt;=Tabla5[[#This Row],[INVERSIONES FCI]],+Tabla5[[#This Row],[INVERSIONES FCI]]-AH111,Tabla5[[#This Row],[INVERSIONES FCI]])</f>
        <v>7152291135.3067741</v>
      </c>
      <c r="AI112" s="5">
        <f>IF($B111&lt;=Tabla5[[#This Row],[INVERSIONES FCI]],+Tabla5[[#This Row],[INVERSIONES FCI]]-AI111,Tabla5[[#This Row],[INVERSIONES FCI]])</f>
        <v>7152291135.3067741</v>
      </c>
      <c r="AJ112" s="5">
        <f>IF($B111&lt;=Tabla5[[#This Row],[INVERSIONES FCI]],+Tabla5[[#This Row],[INVERSIONES FCI]]-AJ111,Tabla5[[#This Row],[INVERSIONES FCI]])</f>
        <v>7152291135.3067741</v>
      </c>
      <c r="AK112" s="5">
        <f>IF($B111&lt;=Tabla5[[#This Row],[INVERSIONES FCI]],+Tabla5[[#This Row],[INVERSIONES FCI]]-AK111,Tabla5[[#This Row],[INVERSIONES FCI]])</f>
        <v>7152291135.3067741</v>
      </c>
      <c r="AL112" s="5">
        <f>IF($B111&lt;=Tabla5[[#This Row],[INVERSIONES FCI]],+Tabla5[[#This Row],[INVERSIONES FCI]]-AL111,Tabla5[[#This Row],[INVERSIONES FCI]])</f>
        <v>7152291135.3067741</v>
      </c>
      <c r="AM112" s="5">
        <f>IF($B111&lt;=Tabla5[[#This Row],[INVERSIONES FCI]],+Tabla5[[#This Row],[INVERSIONES FCI]]-AM111,Tabla5[[#This Row],[INVERSIONES FCI]])</f>
        <v>7152291135.3067741</v>
      </c>
      <c r="AN112" s="5">
        <f>IF($B111&lt;=Tabla5[[#This Row],[INVERSIONES FCI]],+Tabla5[[#This Row],[INVERSIONES FCI]]-AN111,Tabla5[[#This Row],[INVERSIONES FCI]])</f>
        <v>7152291135.3067741</v>
      </c>
      <c r="AO112" s="5">
        <f>IF($B111&lt;=Tabla5[[#This Row],[INVERSIONES FCI]],+Tabla5[[#This Row],[INVERSIONES FCI]]-AO111,Tabla5[[#This Row],[INVERSIONES FCI]])</f>
        <v>7152291135.3067741</v>
      </c>
      <c r="AP112" s="5">
        <f>IF($B111&lt;=Tabla5[[#This Row],[INVERSIONES FCI]],+Tabla5[[#This Row],[INVERSIONES FCI]]-AP111,Tabla5[[#This Row],[INVERSIONES FCI]])</f>
        <v>7152291135.3067741</v>
      </c>
      <c r="AQ112" s="5">
        <f>IF($B111&lt;=Tabla5[[#This Row],[INVERSIONES FCI]],+Tabla5[[#This Row],[INVERSIONES FCI]]-AQ111,Tabla5[[#This Row],[INVERSIONES FCI]])</f>
        <v>7152291135.3067741</v>
      </c>
      <c r="AR112" s="5">
        <f>IF($B111&lt;=Tabla5[[#This Row],[INVERSIONES FCI]],+Tabla5[[#This Row],[INVERSIONES FCI]]-AR111,Tabla5[[#This Row],[INVERSIONES FCI]])</f>
        <v>7152291135.3067741</v>
      </c>
      <c r="AS112" s="5">
        <f>IF($B111&lt;=Tabla5[[#This Row],[INVERSIONES FCI]],+Tabla5[[#This Row],[INVERSIONES FCI]]-AS111,Tabla5[[#This Row],[INVERSIONES FCI]])</f>
        <v>7152291135.3067741</v>
      </c>
      <c r="AT112" s="5">
        <f>IF($B111&lt;=Tabla5[[#This Row],[INVERSIONES FCI]],+Tabla5[[#This Row],[INVERSIONES FCI]]-AT111,Tabla5[[#This Row],[INVERSIONES FCI]])</f>
        <v>7152291135.3067741</v>
      </c>
      <c r="AU112" s="5">
        <f>IF($B111&lt;=Tabla5[[#This Row],[INVERSIONES FCI]],+Tabla5[[#This Row],[INVERSIONES FCI]]-AU111,Tabla5[[#This Row],[INVERSIONES FCI]])</f>
        <v>7152291135.3067741</v>
      </c>
      <c r="AV112" s="5">
        <f>IF($B111&lt;=Tabla5[[#This Row],[INVERSIONES FCI]],+Tabla5[[#This Row],[INVERSIONES FCI]]-AV111,Tabla5[[#This Row],[INVERSIONES FCI]])</f>
        <v>7152291135.3067741</v>
      </c>
      <c r="AW112" s="5">
        <f>IF($B111&lt;=Tabla5[[#This Row],[INVERSIONES FCI]],+Tabla5[[#This Row],[INVERSIONES FCI]]-AW111,Tabla5[[#This Row],[INVERSIONES FCI]])</f>
        <v>7152291135.3067741</v>
      </c>
      <c r="AX112" s="5">
        <f>IF($B111&lt;=Tabla5[[#This Row],[INVERSIONES FCI]],+Tabla5[[#This Row],[INVERSIONES FCI]]-AX111,Tabla5[[#This Row],[INVERSIONES FCI]])</f>
        <v>7152291135.3067741</v>
      </c>
      <c r="AY112" s="5">
        <f>IF($B111&lt;=Tabla5[[#This Row],[INVERSIONES FCI]],+Tabla5[[#This Row],[INVERSIONES FCI]]-AY111,Tabla5[[#This Row],[INVERSIONES FCI]])</f>
        <v>7152291135.3067741</v>
      </c>
      <c r="AZ112" s="5">
        <f>IF($B111&lt;=Tabla5[[#This Row],[INVERSIONES FCI]],+Tabla5[[#This Row],[INVERSIONES FCI]]-AZ111,Tabla5[[#This Row],[INVERSIONES FCI]])</f>
        <v>7152291135.3067741</v>
      </c>
      <c r="BA112" s="5">
        <f>IF($B111&lt;=Tabla5[[#This Row],[INVERSIONES FCI]],+Tabla5[[#This Row],[INVERSIONES FCI]]-BA111,Tabla5[[#This Row],[INVERSIONES FCI]])</f>
        <v>7152291135.3067741</v>
      </c>
      <c r="BB112" s="5">
        <f>IF($B111&lt;=Tabla5[[#This Row],[INVERSIONES FCI]],+Tabla5[[#This Row],[INVERSIONES FCI]]-BB111,Tabla5[[#This Row],[INVERSIONES FCI]])</f>
        <v>7152291135.3067741</v>
      </c>
      <c r="BC112" s="5">
        <f>IF($B111&lt;=Tabla5[[#This Row],[INVERSIONES FCI]],+Tabla5[[#This Row],[INVERSIONES FCI]]-BC111,Tabla5[[#This Row],[INVERSIONES FCI]])</f>
        <v>7152291135.3067741</v>
      </c>
      <c r="BD112" s="5">
        <f>IF($B111&lt;=Tabla5[[#This Row],[INVERSIONES FCI]],+Tabla5[[#This Row],[INVERSIONES FCI]]-BD111,Tabla5[[#This Row],[INVERSIONES FCI]])</f>
        <v>7152291135.3067741</v>
      </c>
      <c r="BE112" s="5">
        <f>IF($B111&lt;=Tabla5[[#This Row],[INVERSIONES FCI]],+Tabla5[[#This Row],[INVERSIONES FCI]]-BE111,Tabla5[[#This Row],[INVERSIONES FCI]])</f>
        <v>7152291135.3067741</v>
      </c>
      <c r="BF112" s="5">
        <f>IF($B111&lt;=Tabla5[[#This Row],[INVERSIONES FCI]],+Tabla5[[#This Row],[INVERSIONES FCI]]-BF111,Tabla5[[#This Row],[INVERSIONES FCI]])</f>
        <v>7152291135.3067741</v>
      </c>
      <c r="BG112" s="5">
        <f>IF($B111&lt;=Tabla5[[#This Row],[INVERSIONES FCI]],+Tabla5[[#This Row],[INVERSIONES FCI]]-BG111,Tabla5[[#This Row],[INVERSIONES FCI]])</f>
        <v>7152291135.3067741</v>
      </c>
      <c r="BH112" s="5">
        <f>IF($B111&lt;=Tabla5[[#This Row],[INVERSIONES FCI]],+Tabla5[[#This Row],[INVERSIONES FCI]]-BH111,Tabla5[[#This Row],[INVERSIONES FCI]])</f>
        <v>7152291135.3067741</v>
      </c>
      <c r="BI112" s="5">
        <f>IF($B111&lt;=Tabla5[[#This Row],[INVERSIONES FCI]],+Tabla5[[#This Row],[INVERSIONES FCI]]-BI111,Tabla5[[#This Row],[INVERSIONES FCI]])</f>
        <v>7152291135.3067741</v>
      </c>
      <c r="BJ112" s="5">
        <f>IF($B111&lt;=Tabla5[[#This Row],[INVERSIONES FCI]],+Tabla5[[#This Row],[INVERSIONES FCI]]-BJ111,Tabla5[[#This Row],[INVERSIONES FCI]])</f>
        <v>7152291135.3067741</v>
      </c>
      <c r="BK112" s="5">
        <f>IF($B111&lt;=Tabla5[[#This Row],[INVERSIONES FCI]],+Tabla5[[#This Row],[INVERSIONES FCI]]-BK111,Tabla5[[#This Row],[INVERSIONES FCI]])</f>
        <v>7152291135.3067741</v>
      </c>
      <c r="BL112" s="5">
        <f>IF($B111&lt;=Tabla5[[#This Row],[INVERSIONES FCI]],+Tabla5[[#This Row],[INVERSIONES FCI]]-BL111,Tabla5[[#This Row],[INVERSIONES FCI]])</f>
        <v>7152291135.3067741</v>
      </c>
      <c r="BM112" s="5">
        <f>IF($B111&lt;=Tabla5[[#This Row],[INVERSIONES FCI]],+Tabla5[[#This Row],[INVERSIONES FCI]]-BM111,Tabla5[[#This Row],[INVERSIONES FCI]])</f>
        <v>7152291135.3067741</v>
      </c>
      <c r="BN112" s="5">
        <f>IF($B111&lt;=Tabla5[[#This Row],[INVERSIONES FCI]],+Tabla5[[#This Row],[INVERSIONES FCI]]-BN111,Tabla5[[#This Row],[INVERSIONES FCI]])</f>
        <v>7152291135.3067741</v>
      </c>
      <c r="BO112" s="5">
        <f>IF($B111&lt;=Tabla5[[#This Row],[INVERSIONES FCI]],+Tabla5[[#This Row],[INVERSIONES FCI]]-BO111,Tabla5[[#This Row],[INVERSIONES FCI]])</f>
        <v>7152291135.3067741</v>
      </c>
      <c r="BP112" s="5">
        <f>IF($B111&lt;=Tabla5[[#This Row],[INVERSIONES FCI]],+Tabla5[[#This Row],[INVERSIONES FCI]]-BP111,Tabla5[[#This Row],[INVERSIONES FCI]])</f>
        <v>7152291135.3067741</v>
      </c>
      <c r="BQ112" s="5">
        <f>IF($B111&lt;=Tabla5[[#This Row],[INVERSIONES FCI]],+Tabla5[[#This Row],[INVERSIONES FCI]]-BQ111,Tabla5[[#This Row],[INVERSIONES FCI]])</f>
        <v>7152291135.3067741</v>
      </c>
      <c r="BR112" s="5">
        <f>IF($B111&lt;=Tabla5[[#This Row],[INVERSIONES FCI]],+Tabla5[[#This Row],[INVERSIONES FCI]]-BR111,Tabla5[[#This Row],[INVERSIONES FCI]])</f>
        <v>7152291135.3067741</v>
      </c>
      <c r="BS112" s="5">
        <f>IF($B111&lt;=Tabla5[[#This Row],[INVERSIONES FCI]],+Tabla5[[#This Row],[INVERSIONES FCI]]-BS111,Tabla5[[#This Row],[INVERSIONES FCI]])</f>
        <v>7152291135.3067741</v>
      </c>
      <c r="BT112" s="5">
        <f>IF($B111&lt;=Tabla5[[#This Row],[INVERSIONES FCI]],+Tabla5[[#This Row],[INVERSIONES FCI]]-BT111,Tabla5[[#This Row],[INVERSIONES FCI]])</f>
        <v>7152291135.3067741</v>
      </c>
      <c r="BU112" s="5">
        <f>IF($B111&lt;=Tabla5[[#This Row],[INVERSIONES FCI]],+Tabla5[[#This Row],[INVERSIONES FCI]]-BU111,Tabla5[[#This Row],[INVERSIONES FCI]])</f>
        <v>7152291135.3067741</v>
      </c>
      <c r="BV112" s="5">
        <f>IF($B111&lt;=Tabla5[[#This Row],[INVERSIONES FCI]],+Tabla5[[#This Row],[INVERSIONES FCI]]-BV111,Tabla5[[#This Row],[INVERSIONES FCI]])</f>
        <v>7152291135.3067741</v>
      </c>
      <c r="BW112" s="5">
        <f>IF($B111&lt;=Tabla5[[#This Row],[INVERSIONES FCI]],+Tabla5[[#This Row],[INVERSIONES FCI]]-BW111,Tabla5[[#This Row],[INVERSIONES FCI]])</f>
        <v>7152291135.3067741</v>
      </c>
      <c r="BX112" s="5">
        <f>IF($B111&lt;=Tabla5[[#This Row],[INVERSIONES FCI]],+Tabla5[[#This Row],[INVERSIONES FCI]]-BX111,Tabla5[[#This Row],[INVERSIONES FCI]])</f>
        <v>7152291135.3067741</v>
      </c>
      <c r="BY112" s="5">
        <f>IF($B111&lt;=Tabla5[[#This Row],[INVERSIONES FCI]],+Tabla5[[#This Row],[INVERSIONES FCI]]-BY111,Tabla5[[#This Row],[INVERSIONES FCI]])</f>
        <v>7152291135.3067741</v>
      </c>
      <c r="BZ112" s="5">
        <f>IF($B111&lt;=Tabla5[[#This Row],[INVERSIONES FCI]],+Tabla5[[#This Row],[INVERSIONES FCI]]-BZ111,Tabla5[[#This Row],[INVERSIONES FCI]])</f>
        <v>7152291135.3067741</v>
      </c>
      <c r="CA112" s="5">
        <f>IF($B111&lt;=Tabla5[[#This Row],[INVERSIONES FCI]],+Tabla5[[#This Row],[INVERSIONES FCI]]-CA111,Tabla5[[#This Row],[INVERSIONES FCI]])</f>
        <v>7152291135.3067741</v>
      </c>
      <c r="CB112" s="5">
        <f>IF($B111&lt;=Tabla5[[#This Row],[INVERSIONES FCI]],+Tabla5[[#This Row],[INVERSIONES FCI]]-CB111,Tabla5[[#This Row],[INVERSIONES FCI]])</f>
        <v>7152291135.3067741</v>
      </c>
      <c r="CC112" s="5">
        <f>IF($B111&lt;=Tabla5[[#This Row],[INVERSIONES FCI]],+Tabla5[[#This Row],[INVERSIONES FCI]]-CC111,Tabla5[[#This Row],[INVERSIONES FCI]])</f>
        <v>7152291135.3067741</v>
      </c>
      <c r="CD112" s="5">
        <f>IF($B111&lt;=Tabla5[[#This Row],[INVERSIONES FCI]],+Tabla5[[#This Row],[INVERSIONES FCI]]-CD111,Tabla5[[#This Row],[INVERSIONES FCI]])</f>
        <v>7152291135.3067741</v>
      </c>
      <c r="CE112" s="5">
        <f>IF($B111&lt;=Tabla5[[#This Row],[INVERSIONES FCI]],+Tabla5[[#This Row],[INVERSIONES FCI]]-CE111,Tabla5[[#This Row],[INVERSIONES FCI]])</f>
        <v>7152291135.3067741</v>
      </c>
      <c r="CF112" s="5">
        <f>IF($B111&lt;=Tabla5[[#This Row],[INVERSIONES FCI]],+Tabla5[[#This Row],[INVERSIONES FCI]]-CF111,Tabla5[[#This Row],[INVERSIONES FCI]])</f>
        <v>7152291135.3067741</v>
      </c>
      <c r="CG112" s="5">
        <f>IF($B111&lt;=Tabla5[[#This Row],[INVERSIONES FCI]],+Tabla5[[#This Row],[INVERSIONES FCI]]-CG111,Tabla5[[#This Row],[INVERSIONES FCI]])</f>
        <v>7152291135.3067741</v>
      </c>
      <c r="CH112" s="5">
        <f>IF($B111&lt;=Tabla5[[#This Row],[INVERSIONES FCI]],+Tabla5[[#This Row],[INVERSIONES FCI]]-CH111,Tabla5[[#This Row],[INVERSIONES FCI]])</f>
        <v>7152291135.3067741</v>
      </c>
      <c r="CI112" s="5">
        <f>IF($B111&lt;=Tabla5[[#This Row],[INVERSIONES FCI]],+Tabla5[[#This Row],[INVERSIONES FCI]]-CI111,Tabla5[[#This Row],[INVERSIONES FCI]])</f>
        <v>7152291135.3067741</v>
      </c>
      <c r="CJ112" s="5">
        <f>IF($B111&lt;=Tabla5[[#This Row],[INVERSIONES FCI]],+Tabla5[[#This Row],[INVERSIONES FCI]]-CJ111,Tabla5[[#This Row],[INVERSIONES FCI]])</f>
        <v>7152291135.3067741</v>
      </c>
      <c r="CK112" s="5">
        <f>IF($B111&lt;=Tabla5[[#This Row],[INVERSIONES FCI]],+Tabla5[[#This Row],[INVERSIONES FCI]]-CK111,Tabla5[[#This Row],[INVERSIONES FCI]])</f>
        <v>7152291135.3067741</v>
      </c>
      <c r="CL112" s="5">
        <f>IF($B111&lt;=Tabla5[[#This Row],[INVERSIONES FCI]],+Tabla5[[#This Row],[INVERSIONES FCI]]-CL111,Tabla5[[#This Row],[INVERSIONES FCI]])</f>
        <v>7152291135.3067741</v>
      </c>
      <c r="CM112" s="5">
        <f>IF($B111&lt;=Tabla5[[#This Row],[INVERSIONES FCI]],+Tabla5[[#This Row],[INVERSIONES FCI]]-CM111,Tabla5[[#This Row],[INVERSIONES FCI]])</f>
        <v>7152291135.3067741</v>
      </c>
      <c r="CN112" s="5">
        <f>IF($B111&lt;=Tabla5[[#This Row],[INVERSIONES FCI]],+Tabla5[[#This Row],[INVERSIONES FCI]]-CN111,Tabla5[[#This Row],[INVERSIONES FCI]])</f>
        <v>7152291135.3067741</v>
      </c>
      <c r="CO112" s="5">
        <f>IF($B111&lt;=Tabla5[[#This Row],[INVERSIONES FCI]],+Tabla5[[#This Row],[INVERSIONES FCI]]-CO111,Tabla5[[#This Row],[INVERSIONES FCI]])</f>
        <v>7152291135.3067741</v>
      </c>
      <c r="CP112" s="5">
        <f>IF($B111&lt;=Tabla5[[#This Row],[INVERSIONES FCI]],+Tabla5[[#This Row],[INVERSIONES FCI]]-CP111,Tabla5[[#This Row],[INVERSIONES FCI]])</f>
        <v>7152291135.3067741</v>
      </c>
      <c r="CQ112" s="5">
        <f>IF($B111&lt;=Tabla5[[#This Row],[INVERSIONES FCI]],+Tabla5[[#This Row],[INVERSIONES FCI]]-CQ111,Tabla5[[#This Row],[INVERSIONES FCI]])</f>
        <v>7152291135.3067741</v>
      </c>
      <c r="CR112" s="5">
        <f>IF($B111&lt;=Tabla5[[#This Row],[INVERSIONES FCI]],+Tabla5[[#This Row],[INVERSIONES FCI]]-CR111,Tabla5[[#This Row],[INVERSIONES FCI]])</f>
        <v>7152291135.3067741</v>
      </c>
      <c r="CS112" s="5">
        <f>IF($B111&lt;=Tabla5[[#This Row],[INVERSIONES FCI]],+Tabla5[[#This Row],[INVERSIONES FCI]]-CS111,Tabla5[[#This Row],[INVERSIONES FCI]])</f>
        <v>7152291135.3067741</v>
      </c>
      <c r="CT112" s="5">
        <f>IF($B111&lt;=Tabla5[[#This Row],[INVERSIONES FCI]],+Tabla5[[#This Row],[INVERSIONES FCI]]-CT111,Tabla5[[#This Row],[INVERSIONES FCI]])</f>
        <v>7152291135.3067741</v>
      </c>
      <c r="CU112" s="5">
        <f>IF($B111&lt;=Tabla5[[#This Row],[INVERSIONES FCI]],+Tabla5[[#This Row],[INVERSIONES FCI]]-CU111,Tabla5[[#This Row],[INVERSIONES FCI]])</f>
        <v>7152291135.3067741</v>
      </c>
      <c r="CV112" s="5">
        <f>IF($B111&lt;=Tabla5[[#This Row],[INVERSIONES FCI]],+Tabla5[[#This Row],[INVERSIONES FCI]]-CV111,Tabla5[[#This Row],[INVERSIONES FCI]])</f>
        <v>7152291135.3067741</v>
      </c>
      <c r="CW112" s="5">
        <f>IF($B111&lt;=Tabla5[[#This Row],[INVERSIONES FCI]],+Tabla5[[#This Row],[INVERSIONES FCI]]-CW111,Tabla5[[#This Row],[INVERSIONES FCI]])</f>
        <v>7152291135.3067741</v>
      </c>
      <c r="CX112" s="5">
        <f>IF($B111&lt;=Tabla5[[#This Row],[INVERSIONES FCI]],+Tabla5[[#This Row],[INVERSIONES FCI]]-CX111,Tabla5[[#This Row],[INVERSIONES FCI]])</f>
        <v>7152291135.3067741</v>
      </c>
      <c r="CY112" s="5">
        <f>IF($B111&lt;=Tabla5[[#This Row],[INVERSIONES FCI]],+Tabla5[[#This Row],[INVERSIONES FCI]]-CY111,Tabla5[[#This Row],[INVERSIONES FCI]])</f>
        <v>7152291135.3067741</v>
      </c>
      <c r="CZ112" s="5">
        <f>IF($B111&lt;=Tabla5[[#This Row],[INVERSIONES FCI]],+Tabla5[[#This Row],[INVERSIONES FCI]]-CZ111,Tabla5[[#This Row],[INVERSIONES FCI]])</f>
        <v>7152291135.3067741</v>
      </c>
      <c r="DA112" s="5">
        <f>IF($B111&lt;=Tabla5[[#This Row],[INVERSIONES FCI]],+Tabla5[[#This Row],[INVERSIONES FCI]]-DA111,Tabla5[[#This Row],[INVERSIONES FCI]])</f>
        <v>7152291135.3067741</v>
      </c>
      <c r="DB112" s="5">
        <f>IF($B111&lt;=Tabla5[[#This Row],[INVERSIONES FCI]],+Tabla5[[#This Row],[INVERSIONES FCI]]-DB111,Tabla5[[#This Row],[INVERSIONES FCI]])</f>
        <v>7152291135.3067741</v>
      </c>
      <c r="DC112" s="5">
        <f>IF($B111&lt;=Tabla5[[#This Row],[INVERSIONES FCI]],+Tabla5[[#This Row],[INVERSIONES FCI]]-DC111,Tabla5[[#This Row],[INVERSIONES FCI]])</f>
        <v>7152291135.3067741</v>
      </c>
      <c r="DD112" s="5">
        <f>IF($B111&lt;=Tabla5[[#This Row],[INVERSIONES FCI]],+Tabla5[[#This Row],[INVERSIONES FCI]]-DD111,Tabla5[[#This Row],[INVERSIONES FCI]])</f>
        <v>7152291135.3067741</v>
      </c>
      <c r="DE112" s="5">
        <f>IF($B111&lt;=Tabla5[[#This Row],[INVERSIONES FCI]],+Tabla5[[#This Row],[INVERSIONES FCI]]-DE111,Tabla5[[#This Row],[INVERSIONES FCI]])</f>
        <v>7152291135.3067741</v>
      </c>
      <c r="DF112" s="5">
        <f>IF($B111&lt;=Tabla5[[#This Row],[INVERSIONES FCI]],+Tabla5[[#This Row],[INVERSIONES FCI]]-DF111,Tabla5[[#This Row],[INVERSIONES FCI]])</f>
        <v>7152291135.3067741</v>
      </c>
      <c r="DG112" s="5">
        <f>IF($B111&lt;=Tabla5[[#This Row],[INVERSIONES FCI]],+Tabla5[[#This Row],[INVERSIONES FCI]]-DG111,Tabla5[[#This Row],[INVERSIONES FCI]])</f>
        <v>7152291135.3067741</v>
      </c>
      <c r="DH112" s="5">
        <f>IF($B111&lt;=Tabla5[[#This Row],[INVERSIONES FCI]],+Tabla5[[#This Row],[INVERSIONES FCI]]-DH111,Tabla5[[#This Row],[INVERSIONES FCI]])</f>
        <v>7152291135.3067741</v>
      </c>
      <c r="DI112" s="5" cm="1">
        <f t="array" ref="DI112">IF(Tabla5[[#This Row],[FCI]]=0,0,_xlfn.XLOOKUP(TRUE,$B112:DH112&gt;0,$B112:DH112,"",0,-1))</f>
        <v>7152291135.3067741</v>
      </c>
      <c r="DJ112" s="5"/>
      <c r="DK112" s="5"/>
      <c r="DL112" s="5"/>
      <c r="DM112" s="5"/>
      <c r="DN112" s="5"/>
      <c r="DO112" s="5"/>
      <c r="DP112" s="5"/>
      <c r="DQ112" s="5"/>
    </row>
    <row r="113" spans="1:121" ht="14.4">
      <c r="A113" s="12" t="s">
        <v>112</v>
      </c>
      <c r="B113" s="5">
        <f>HLOOKUP($A113,ESCENARIO[#All],7,FALSE)</f>
        <v>32228455363.301018</v>
      </c>
      <c r="C113" s="5">
        <f>IF($B112&lt;=Tabla5[[#This Row],[INVERSIONES FCI]],+Tabla5[[#This Row],[INVERSIONES FCI]]-C112,Tabla5[[#This Row],[INVERSIONES FCI]])</f>
        <v>25076164227.994244</v>
      </c>
      <c r="D113" s="5">
        <f>IF($B112&lt;=Tabla5[[#This Row],[INVERSIONES FCI]],+Tabla5[[#This Row],[INVERSIONES FCI]]-D112,Tabla5[[#This Row],[INVERSIONES FCI]])</f>
        <v>25076164227.994244</v>
      </c>
      <c r="E113" s="5">
        <f>IF($B112&lt;=Tabla5[[#This Row],[INVERSIONES FCI]],+Tabla5[[#This Row],[INVERSIONES FCI]]-E112,Tabla5[[#This Row],[INVERSIONES FCI]])</f>
        <v>25076164227.994244</v>
      </c>
      <c r="F113" s="5">
        <f>IF($B112&lt;=Tabla5[[#This Row],[INVERSIONES FCI]],+Tabla5[[#This Row],[INVERSIONES FCI]]-F112,Tabla5[[#This Row],[INVERSIONES FCI]])</f>
        <v>25076164227.994244</v>
      </c>
      <c r="G113" s="5">
        <f>IF($B112&lt;=Tabla5[[#This Row],[INVERSIONES FCI]],+Tabla5[[#This Row],[INVERSIONES FCI]]-G112,Tabla5[[#This Row],[INVERSIONES FCI]])</f>
        <v>25076164227.994244</v>
      </c>
      <c r="H113" s="5">
        <f>IF($B112&lt;=Tabla5[[#This Row],[INVERSIONES FCI]],+Tabla5[[#This Row],[INVERSIONES FCI]]-H112,Tabla5[[#This Row],[INVERSIONES FCI]])</f>
        <v>25076164227.994244</v>
      </c>
      <c r="I113" s="5">
        <f>IF($B112&lt;=Tabla5[[#This Row],[INVERSIONES FCI]],+Tabla5[[#This Row],[INVERSIONES FCI]]-I112,Tabla5[[#This Row],[INVERSIONES FCI]])</f>
        <v>25076164227.994244</v>
      </c>
      <c r="J113" s="5">
        <f>IF($B112&lt;=Tabla5[[#This Row],[INVERSIONES FCI]],+Tabla5[[#This Row],[INVERSIONES FCI]]-J112,Tabla5[[#This Row],[INVERSIONES FCI]])</f>
        <v>25076164227.994244</v>
      </c>
      <c r="K113" s="5">
        <f>IF($B112&lt;=Tabla5[[#This Row],[INVERSIONES FCI]],+Tabla5[[#This Row],[INVERSIONES FCI]]-K112,Tabla5[[#This Row],[INVERSIONES FCI]])</f>
        <v>25076164227.994244</v>
      </c>
      <c r="L113" s="5">
        <f>IF($B112&lt;=Tabla5[[#This Row],[INVERSIONES FCI]],+Tabla5[[#This Row],[INVERSIONES FCI]]-L112,Tabla5[[#This Row],[INVERSIONES FCI]])</f>
        <v>25076164227.994244</v>
      </c>
      <c r="M113" s="5">
        <f>IF($B112&lt;=Tabla5[[#This Row],[INVERSIONES FCI]],+Tabla5[[#This Row],[INVERSIONES FCI]]-M112,Tabla5[[#This Row],[INVERSIONES FCI]])</f>
        <v>25076164227.994244</v>
      </c>
      <c r="N113" s="5">
        <f>IF($B112&lt;=Tabla5[[#This Row],[INVERSIONES FCI]],+Tabla5[[#This Row],[INVERSIONES FCI]]-N112,Tabla5[[#This Row],[INVERSIONES FCI]])</f>
        <v>25076164227.994244</v>
      </c>
      <c r="O113" s="5">
        <f>IF($B112&lt;=Tabla5[[#This Row],[INVERSIONES FCI]],+Tabla5[[#This Row],[INVERSIONES FCI]]-O112,Tabla5[[#This Row],[INVERSIONES FCI]])</f>
        <v>25076164227.994244</v>
      </c>
      <c r="P113" s="5">
        <f>IF($B112&lt;=Tabla5[[#This Row],[INVERSIONES FCI]],+Tabla5[[#This Row],[INVERSIONES FCI]]-P112,Tabla5[[#This Row],[INVERSIONES FCI]])</f>
        <v>25076164227.994244</v>
      </c>
      <c r="Q113" s="5">
        <f>IF($B112&lt;=Tabla5[[#This Row],[INVERSIONES FCI]],+Tabla5[[#This Row],[INVERSIONES FCI]]-Q112,Tabla5[[#This Row],[INVERSIONES FCI]])</f>
        <v>25076164227.994244</v>
      </c>
      <c r="R113" s="5">
        <f>IF($B112&lt;=Tabla5[[#This Row],[INVERSIONES FCI]],+Tabla5[[#This Row],[INVERSIONES FCI]]-R112,Tabla5[[#This Row],[INVERSIONES FCI]])</f>
        <v>25076164227.994244</v>
      </c>
      <c r="S113" s="5">
        <f>IF($B112&lt;=Tabla5[[#This Row],[INVERSIONES FCI]],+Tabla5[[#This Row],[INVERSIONES FCI]]-S112,Tabla5[[#This Row],[INVERSIONES FCI]])</f>
        <v>25076164227.994244</v>
      </c>
      <c r="T113" s="5">
        <f>IF($B112&lt;=Tabla5[[#This Row],[INVERSIONES FCI]],+Tabla5[[#This Row],[INVERSIONES FCI]]-T112,Tabla5[[#This Row],[INVERSIONES FCI]])</f>
        <v>25076164227.994244</v>
      </c>
      <c r="U113" s="5">
        <f>IF($B112&lt;=Tabla5[[#This Row],[INVERSIONES FCI]],+Tabla5[[#This Row],[INVERSIONES FCI]]-U112,Tabla5[[#This Row],[INVERSIONES FCI]])</f>
        <v>25076164227.994244</v>
      </c>
      <c r="V113" s="5">
        <f>IF($B112&lt;=Tabla5[[#This Row],[INVERSIONES FCI]],+Tabla5[[#This Row],[INVERSIONES FCI]]-V112,Tabla5[[#This Row],[INVERSIONES FCI]])</f>
        <v>25076164227.994244</v>
      </c>
      <c r="W113" s="5">
        <f>IF($B112&lt;=Tabla5[[#This Row],[INVERSIONES FCI]],+Tabla5[[#This Row],[INVERSIONES FCI]]-W112,Tabla5[[#This Row],[INVERSIONES FCI]])</f>
        <v>25076164227.994244</v>
      </c>
      <c r="X113" s="5">
        <f>IF($B112&lt;=Tabla5[[#This Row],[INVERSIONES FCI]],+Tabla5[[#This Row],[INVERSIONES FCI]]-X112,Tabla5[[#This Row],[INVERSIONES FCI]])</f>
        <v>25076164227.994244</v>
      </c>
      <c r="Y113" s="5">
        <f>IF($B112&lt;=Tabla5[[#This Row],[INVERSIONES FCI]],+Tabla5[[#This Row],[INVERSIONES FCI]]-Y112,Tabla5[[#This Row],[INVERSIONES FCI]])</f>
        <v>25076164227.994244</v>
      </c>
      <c r="Z113" s="5">
        <f>IF($B112&lt;=Tabla5[[#This Row],[INVERSIONES FCI]],+Tabla5[[#This Row],[INVERSIONES FCI]]-Z112,Tabla5[[#This Row],[INVERSIONES FCI]])</f>
        <v>25076164227.994244</v>
      </c>
      <c r="AA113" s="5">
        <f>IF($B112&lt;=Tabla5[[#This Row],[INVERSIONES FCI]],+Tabla5[[#This Row],[INVERSIONES FCI]]-AA112,Tabla5[[#This Row],[INVERSIONES FCI]])</f>
        <v>25076164227.994244</v>
      </c>
      <c r="AB113" s="5">
        <f>IF($B112&lt;=Tabla5[[#This Row],[INVERSIONES FCI]],+Tabla5[[#This Row],[INVERSIONES FCI]]-AB112,Tabla5[[#This Row],[INVERSIONES FCI]])</f>
        <v>25076164227.994244</v>
      </c>
      <c r="AC113" s="5">
        <f>IF($B112&lt;=Tabla5[[#This Row],[INVERSIONES FCI]],+Tabla5[[#This Row],[INVERSIONES FCI]]-AC112,Tabla5[[#This Row],[INVERSIONES FCI]])</f>
        <v>25076164227.994244</v>
      </c>
      <c r="AD113" s="5">
        <f>IF($B112&lt;=Tabla5[[#This Row],[INVERSIONES FCI]],+Tabla5[[#This Row],[INVERSIONES FCI]]-AD112,Tabla5[[#This Row],[INVERSIONES FCI]])</f>
        <v>25076164227.994244</v>
      </c>
      <c r="AE113" s="5">
        <f>IF($B112&lt;=Tabla5[[#This Row],[INVERSIONES FCI]],+Tabla5[[#This Row],[INVERSIONES FCI]]-AE112,Tabla5[[#This Row],[INVERSIONES FCI]])</f>
        <v>25076164227.994244</v>
      </c>
      <c r="AF113" s="5">
        <f>IF($B112&lt;=Tabla5[[#This Row],[INVERSIONES FCI]],+Tabla5[[#This Row],[INVERSIONES FCI]]-AF112,Tabla5[[#This Row],[INVERSIONES FCI]])</f>
        <v>25076164227.994244</v>
      </c>
      <c r="AG113" s="5">
        <f>IF($B112&lt;=Tabla5[[#This Row],[INVERSIONES FCI]],+Tabla5[[#This Row],[INVERSIONES FCI]]-AG112,Tabla5[[#This Row],[INVERSIONES FCI]])</f>
        <v>25076164227.994244</v>
      </c>
      <c r="AH113" s="5">
        <f>IF($B112&lt;=Tabla5[[#This Row],[INVERSIONES FCI]],+Tabla5[[#This Row],[INVERSIONES FCI]]-AH112,Tabla5[[#This Row],[INVERSIONES FCI]])</f>
        <v>25076164227.994244</v>
      </c>
      <c r="AI113" s="5">
        <f>IF($B112&lt;=Tabla5[[#This Row],[INVERSIONES FCI]],+Tabla5[[#This Row],[INVERSIONES FCI]]-AI112,Tabla5[[#This Row],[INVERSIONES FCI]])</f>
        <v>25076164227.994244</v>
      </c>
      <c r="AJ113" s="5">
        <f>IF($B112&lt;=Tabla5[[#This Row],[INVERSIONES FCI]],+Tabla5[[#This Row],[INVERSIONES FCI]]-AJ112,Tabla5[[#This Row],[INVERSIONES FCI]])</f>
        <v>25076164227.994244</v>
      </c>
      <c r="AK113" s="5">
        <f>IF($B112&lt;=Tabla5[[#This Row],[INVERSIONES FCI]],+Tabla5[[#This Row],[INVERSIONES FCI]]-AK112,Tabla5[[#This Row],[INVERSIONES FCI]])</f>
        <v>25076164227.994244</v>
      </c>
      <c r="AL113" s="5">
        <f>IF($B112&lt;=Tabla5[[#This Row],[INVERSIONES FCI]],+Tabla5[[#This Row],[INVERSIONES FCI]]-AL112,Tabla5[[#This Row],[INVERSIONES FCI]])</f>
        <v>25076164227.994244</v>
      </c>
      <c r="AM113" s="5">
        <f>IF($B112&lt;=Tabla5[[#This Row],[INVERSIONES FCI]],+Tabla5[[#This Row],[INVERSIONES FCI]]-AM112,Tabla5[[#This Row],[INVERSIONES FCI]])</f>
        <v>25076164227.994244</v>
      </c>
      <c r="AN113" s="5">
        <f>IF($B112&lt;=Tabla5[[#This Row],[INVERSIONES FCI]],+Tabla5[[#This Row],[INVERSIONES FCI]]-AN112,Tabla5[[#This Row],[INVERSIONES FCI]])</f>
        <v>25076164227.994244</v>
      </c>
      <c r="AO113" s="5">
        <f>IF($B112&lt;=Tabla5[[#This Row],[INVERSIONES FCI]],+Tabla5[[#This Row],[INVERSIONES FCI]]-AO112,Tabla5[[#This Row],[INVERSIONES FCI]])</f>
        <v>25076164227.994244</v>
      </c>
      <c r="AP113" s="5">
        <f>IF($B112&lt;=Tabla5[[#This Row],[INVERSIONES FCI]],+Tabla5[[#This Row],[INVERSIONES FCI]]-AP112,Tabla5[[#This Row],[INVERSIONES FCI]])</f>
        <v>25076164227.994244</v>
      </c>
      <c r="AQ113" s="5">
        <f>IF($B112&lt;=Tabla5[[#This Row],[INVERSIONES FCI]],+Tabla5[[#This Row],[INVERSIONES FCI]]-AQ112,Tabla5[[#This Row],[INVERSIONES FCI]])</f>
        <v>25076164227.994244</v>
      </c>
      <c r="AR113" s="5">
        <f>IF($B112&lt;=Tabla5[[#This Row],[INVERSIONES FCI]],+Tabla5[[#This Row],[INVERSIONES FCI]]-AR112,Tabla5[[#This Row],[INVERSIONES FCI]])</f>
        <v>25076164227.994244</v>
      </c>
      <c r="AS113" s="5">
        <f>IF($B112&lt;=Tabla5[[#This Row],[INVERSIONES FCI]],+Tabla5[[#This Row],[INVERSIONES FCI]]-AS112,Tabla5[[#This Row],[INVERSIONES FCI]])</f>
        <v>25076164227.994244</v>
      </c>
      <c r="AT113" s="5">
        <f>IF($B112&lt;=Tabla5[[#This Row],[INVERSIONES FCI]],+Tabla5[[#This Row],[INVERSIONES FCI]]-AT112,Tabla5[[#This Row],[INVERSIONES FCI]])</f>
        <v>25076164227.994244</v>
      </c>
      <c r="AU113" s="5">
        <f>IF($B112&lt;=Tabla5[[#This Row],[INVERSIONES FCI]],+Tabla5[[#This Row],[INVERSIONES FCI]]-AU112,Tabla5[[#This Row],[INVERSIONES FCI]])</f>
        <v>25076164227.994244</v>
      </c>
      <c r="AV113" s="5">
        <f>IF($B112&lt;=Tabla5[[#This Row],[INVERSIONES FCI]],+Tabla5[[#This Row],[INVERSIONES FCI]]-AV112,Tabla5[[#This Row],[INVERSIONES FCI]])</f>
        <v>25076164227.994244</v>
      </c>
      <c r="AW113" s="5">
        <f>IF($B112&lt;=Tabla5[[#This Row],[INVERSIONES FCI]],+Tabla5[[#This Row],[INVERSIONES FCI]]-AW112,Tabla5[[#This Row],[INVERSIONES FCI]])</f>
        <v>25076164227.994244</v>
      </c>
      <c r="AX113" s="5">
        <f>IF($B112&lt;=Tabla5[[#This Row],[INVERSIONES FCI]],+Tabla5[[#This Row],[INVERSIONES FCI]]-AX112,Tabla5[[#This Row],[INVERSIONES FCI]])</f>
        <v>25076164227.994244</v>
      </c>
      <c r="AY113" s="5">
        <f>IF($B112&lt;=Tabla5[[#This Row],[INVERSIONES FCI]],+Tabla5[[#This Row],[INVERSIONES FCI]]-AY112,Tabla5[[#This Row],[INVERSIONES FCI]])</f>
        <v>25076164227.994244</v>
      </c>
      <c r="AZ113" s="5">
        <f>IF($B112&lt;=Tabla5[[#This Row],[INVERSIONES FCI]],+Tabla5[[#This Row],[INVERSIONES FCI]]-AZ112,Tabla5[[#This Row],[INVERSIONES FCI]])</f>
        <v>25076164227.994244</v>
      </c>
      <c r="BA113" s="5">
        <f>IF($B112&lt;=Tabla5[[#This Row],[INVERSIONES FCI]],+Tabla5[[#This Row],[INVERSIONES FCI]]-BA112,Tabla5[[#This Row],[INVERSIONES FCI]])</f>
        <v>25076164227.994244</v>
      </c>
      <c r="BB113" s="5">
        <f>IF($B112&lt;=Tabla5[[#This Row],[INVERSIONES FCI]],+Tabla5[[#This Row],[INVERSIONES FCI]]-BB112,Tabla5[[#This Row],[INVERSIONES FCI]])</f>
        <v>25076164227.994244</v>
      </c>
      <c r="BC113" s="5">
        <f>IF($B112&lt;=Tabla5[[#This Row],[INVERSIONES FCI]],+Tabla5[[#This Row],[INVERSIONES FCI]]-BC112,Tabla5[[#This Row],[INVERSIONES FCI]])</f>
        <v>25076164227.994244</v>
      </c>
      <c r="BD113" s="5">
        <f>IF($B112&lt;=Tabla5[[#This Row],[INVERSIONES FCI]],+Tabla5[[#This Row],[INVERSIONES FCI]]-BD112,Tabla5[[#This Row],[INVERSIONES FCI]])</f>
        <v>25076164227.994244</v>
      </c>
      <c r="BE113" s="5">
        <f>IF($B112&lt;=Tabla5[[#This Row],[INVERSIONES FCI]],+Tabla5[[#This Row],[INVERSIONES FCI]]-BE112,Tabla5[[#This Row],[INVERSIONES FCI]])</f>
        <v>25076164227.994244</v>
      </c>
      <c r="BF113" s="5">
        <f>IF($B112&lt;=Tabla5[[#This Row],[INVERSIONES FCI]],+Tabla5[[#This Row],[INVERSIONES FCI]]-BF112,Tabla5[[#This Row],[INVERSIONES FCI]])</f>
        <v>25076164227.994244</v>
      </c>
      <c r="BG113" s="5">
        <f>IF($B112&lt;=Tabla5[[#This Row],[INVERSIONES FCI]],+Tabla5[[#This Row],[INVERSIONES FCI]]-BG112,Tabla5[[#This Row],[INVERSIONES FCI]])</f>
        <v>25076164227.994244</v>
      </c>
      <c r="BH113" s="5">
        <f>IF($B112&lt;=Tabla5[[#This Row],[INVERSIONES FCI]],+Tabla5[[#This Row],[INVERSIONES FCI]]-BH112,Tabla5[[#This Row],[INVERSIONES FCI]])</f>
        <v>25076164227.994244</v>
      </c>
      <c r="BI113" s="5">
        <f>IF($B112&lt;=Tabla5[[#This Row],[INVERSIONES FCI]],+Tabla5[[#This Row],[INVERSIONES FCI]]-BI112,Tabla5[[#This Row],[INVERSIONES FCI]])</f>
        <v>25076164227.994244</v>
      </c>
      <c r="BJ113" s="5">
        <f>IF($B112&lt;=Tabla5[[#This Row],[INVERSIONES FCI]],+Tabla5[[#This Row],[INVERSIONES FCI]]-BJ112,Tabla5[[#This Row],[INVERSIONES FCI]])</f>
        <v>25076164227.994244</v>
      </c>
      <c r="BK113" s="5">
        <f>IF($B112&lt;=Tabla5[[#This Row],[INVERSIONES FCI]],+Tabla5[[#This Row],[INVERSIONES FCI]]-BK112,Tabla5[[#This Row],[INVERSIONES FCI]])</f>
        <v>25076164227.994244</v>
      </c>
      <c r="BL113" s="5">
        <f>IF($B112&lt;=Tabla5[[#This Row],[INVERSIONES FCI]],+Tabla5[[#This Row],[INVERSIONES FCI]]-BL112,Tabla5[[#This Row],[INVERSIONES FCI]])</f>
        <v>25076164227.994244</v>
      </c>
      <c r="BM113" s="5">
        <f>IF($B112&lt;=Tabla5[[#This Row],[INVERSIONES FCI]],+Tabla5[[#This Row],[INVERSIONES FCI]]-BM112,Tabla5[[#This Row],[INVERSIONES FCI]])</f>
        <v>25076164227.994244</v>
      </c>
      <c r="BN113" s="5">
        <f>IF($B112&lt;=Tabla5[[#This Row],[INVERSIONES FCI]],+Tabla5[[#This Row],[INVERSIONES FCI]]-BN112,Tabla5[[#This Row],[INVERSIONES FCI]])</f>
        <v>25076164227.994244</v>
      </c>
      <c r="BO113" s="5">
        <f>IF($B112&lt;=Tabla5[[#This Row],[INVERSIONES FCI]],+Tabla5[[#This Row],[INVERSIONES FCI]]-BO112,Tabla5[[#This Row],[INVERSIONES FCI]])</f>
        <v>25076164227.994244</v>
      </c>
      <c r="BP113" s="5">
        <f>IF($B112&lt;=Tabla5[[#This Row],[INVERSIONES FCI]],+Tabla5[[#This Row],[INVERSIONES FCI]]-BP112,Tabla5[[#This Row],[INVERSIONES FCI]])</f>
        <v>25076164227.994244</v>
      </c>
      <c r="BQ113" s="5">
        <f>IF($B112&lt;=Tabla5[[#This Row],[INVERSIONES FCI]],+Tabla5[[#This Row],[INVERSIONES FCI]]-BQ112,Tabla5[[#This Row],[INVERSIONES FCI]])</f>
        <v>25076164227.994244</v>
      </c>
      <c r="BR113" s="5">
        <f>IF($B112&lt;=Tabla5[[#This Row],[INVERSIONES FCI]],+Tabla5[[#This Row],[INVERSIONES FCI]]-BR112,Tabla5[[#This Row],[INVERSIONES FCI]])</f>
        <v>25076164227.994244</v>
      </c>
      <c r="BS113" s="5">
        <f>IF($B112&lt;=Tabla5[[#This Row],[INVERSIONES FCI]],+Tabla5[[#This Row],[INVERSIONES FCI]]-BS112,Tabla5[[#This Row],[INVERSIONES FCI]])</f>
        <v>25076164227.994244</v>
      </c>
      <c r="BT113" s="5">
        <f>IF($B112&lt;=Tabla5[[#This Row],[INVERSIONES FCI]],+Tabla5[[#This Row],[INVERSIONES FCI]]-BT112,Tabla5[[#This Row],[INVERSIONES FCI]])</f>
        <v>25076164227.994244</v>
      </c>
      <c r="BU113" s="5">
        <f>IF($B112&lt;=Tabla5[[#This Row],[INVERSIONES FCI]],+Tabla5[[#This Row],[INVERSIONES FCI]]-BU112,Tabla5[[#This Row],[INVERSIONES FCI]])</f>
        <v>25076164227.994244</v>
      </c>
      <c r="BV113" s="5">
        <f>IF($B112&lt;=Tabla5[[#This Row],[INVERSIONES FCI]],+Tabla5[[#This Row],[INVERSIONES FCI]]-BV112,Tabla5[[#This Row],[INVERSIONES FCI]])</f>
        <v>25076164227.994244</v>
      </c>
      <c r="BW113" s="5">
        <f>IF($B112&lt;=Tabla5[[#This Row],[INVERSIONES FCI]],+Tabla5[[#This Row],[INVERSIONES FCI]]-BW112,Tabla5[[#This Row],[INVERSIONES FCI]])</f>
        <v>25076164227.994244</v>
      </c>
      <c r="BX113" s="5">
        <f>IF($B112&lt;=Tabla5[[#This Row],[INVERSIONES FCI]],+Tabla5[[#This Row],[INVERSIONES FCI]]-BX112,Tabla5[[#This Row],[INVERSIONES FCI]])</f>
        <v>25076164227.994244</v>
      </c>
      <c r="BY113" s="5">
        <f>IF($B112&lt;=Tabla5[[#This Row],[INVERSIONES FCI]],+Tabla5[[#This Row],[INVERSIONES FCI]]-BY112,Tabla5[[#This Row],[INVERSIONES FCI]])</f>
        <v>25076164227.994244</v>
      </c>
      <c r="BZ113" s="5">
        <f>IF($B112&lt;=Tabla5[[#This Row],[INVERSIONES FCI]],+Tabla5[[#This Row],[INVERSIONES FCI]]-BZ112,Tabla5[[#This Row],[INVERSIONES FCI]])</f>
        <v>25076164227.994244</v>
      </c>
      <c r="CA113" s="5">
        <f>IF($B112&lt;=Tabla5[[#This Row],[INVERSIONES FCI]],+Tabla5[[#This Row],[INVERSIONES FCI]]-CA112,Tabla5[[#This Row],[INVERSIONES FCI]])</f>
        <v>25076164227.994244</v>
      </c>
      <c r="CB113" s="5">
        <f>IF($B112&lt;=Tabla5[[#This Row],[INVERSIONES FCI]],+Tabla5[[#This Row],[INVERSIONES FCI]]-CB112,Tabla5[[#This Row],[INVERSIONES FCI]])</f>
        <v>25076164227.994244</v>
      </c>
      <c r="CC113" s="5">
        <f>IF($B112&lt;=Tabla5[[#This Row],[INVERSIONES FCI]],+Tabla5[[#This Row],[INVERSIONES FCI]]-CC112,Tabla5[[#This Row],[INVERSIONES FCI]])</f>
        <v>25076164227.994244</v>
      </c>
      <c r="CD113" s="5">
        <f>IF($B112&lt;=Tabla5[[#This Row],[INVERSIONES FCI]],+Tabla5[[#This Row],[INVERSIONES FCI]]-CD112,Tabla5[[#This Row],[INVERSIONES FCI]])</f>
        <v>25076164227.994244</v>
      </c>
      <c r="CE113" s="5">
        <f>IF($B112&lt;=Tabla5[[#This Row],[INVERSIONES FCI]],+Tabla5[[#This Row],[INVERSIONES FCI]]-CE112,Tabla5[[#This Row],[INVERSIONES FCI]])</f>
        <v>25076164227.994244</v>
      </c>
      <c r="CF113" s="5">
        <f>IF($B112&lt;=Tabla5[[#This Row],[INVERSIONES FCI]],+Tabla5[[#This Row],[INVERSIONES FCI]]-CF112,Tabla5[[#This Row],[INVERSIONES FCI]])</f>
        <v>25076164227.994244</v>
      </c>
      <c r="CG113" s="5">
        <f>IF($B112&lt;=Tabla5[[#This Row],[INVERSIONES FCI]],+Tabla5[[#This Row],[INVERSIONES FCI]]-CG112,Tabla5[[#This Row],[INVERSIONES FCI]])</f>
        <v>25076164227.994244</v>
      </c>
      <c r="CH113" s="5">
        <f>IF($B112&lt;=Tabla5[[#This Row],[INVERSIONES FCI]],+Tabla5[[#This Row],[INVERSIONES FCI]]-CH112,Tabla5[[#This Row],[INVERSIONES FCI]])</f>
        <v>25076164227.994244</v>
      </c>
      <c r="CI113" s="5">
        <f>IF($B112&lt;=Tabla5[[#This Row],[INVERSIONES FCI]],+Tabla5[[#This Row],[INVERSIONES FCI]]-CI112,Tabla5[[#This Row],[INVERSIONES FCI]])</f>
        <v>25076164227.994244</v>
      </c>
      <c r="CJ113" s="5">
        <f>IF($B112&lt;=Tabla5[[#This Row],[INVERSIONES FCI]],+Tabla5[[#This Row],[INVERSIONES FCI]]-CJ112,Tabla5[[#This Row],[INVERSIONES FCI]])</f>
        <v>25076164227.994244</v>
      </c>
      <c r="CK113" s="5">
        <f>IF($B112&lt;=Tabla5[[#This Row],[INVERSIONES FCI]],+Tabla5[[#This Row],[INVERSIONES FCI]]-CK112,Tabla5[[#This Row],[INVERSIONES FCI]])</f>
        <v>25076164227.994244</v>
      </c>
      <c r="CL113" s="5">
        <f>IF($B112&lt;=Tabla5[[#This Row],[INVERSIONES FCI]],+Tabla5[[#This Row],[INVERSIONES FCI]]-CL112,Tabla5[[#This Row],[INVERSIONES FCI]])</f>
        <v>25076164227.994244</v>
      </c>
      <c r="CM113" s="5">
        <f>IF($B112&lt;=Tabla5[[#This Row],[INVERSIONES FCI]],+Tabla5[[#This Row],[INVERSIONES FCI]]-CM112,Tabla5[[#This Row],[INVERSIONES FCI]])</f>
        <v>25076164227.994244</v>
      </c>
      <c r="CN113" s="5">
        <f>IF($B112&lt;=Tabla5[[#This Row],[INVERSIONES FCI]],+Tabla5[[#This Row],[INVERSIONES FCI]]-CN112,Tabla5[[#This Row],[INVERSIONES FCI]])</f>
        <v>25076164227.994244</v>
      </c>
      <c r="CO113" s="5">
        <f>IF($B112&lt;=Tabla5[[#This Row],[INVERSIONES FCI]],+Tabla5[[#This Row],[INVERSIONES FCI]]-CO112,Tabla5[[#This Row],[INVERSIONES FCI]])</f>
        <v>25076164227.994244</v>
      </c>
      <c r="CP113" s="5">
        <f>IF($B112&lt;=Tabla5[[#This Row],[INVERSIONES FCI]],+Tabla5[[#This Row],[INVERSIONES FCI]]-CP112,Tabla5[[#This Row],[INVERSIONES FCI]])</f>
        <v>25076164227.994244</v>
      </c>
      <c r="CQ113" s="5">
        <f>IF($B112&lt;=Tabla5[[#This Row],[INVERSIONES FCI]],+Tabla5[[#This Row],[INVERSIONES FCI]]-CQ112,Tabla5[[#This Row],[INVERSIONES FCI]])</f>
        <v>25076164227.994244</v>
      </c>
      <c r="CR113" s="5">
        <f>IF($B112&lt;=Tabla5[[#This Row],[INVERSIONES FCI]],+Tabla5[[#This Row],[INVERSIONES FCI]]-CR112,Tabla5[[#This Row],[INVERSIONES FCI]])</f>
        <v>25076164227.994244</v>
      </c>
      <c r="CS113" s="5">
        <f>IF($B112&lt;=Tabla5[[#This Row],[INVERSIONES FCI]],+Tabla5[[#This Row],[INVERSIONES FCI]]-CS112,Tabla5[[#This Row],[INVERSIONES FCI]])</f>
        <v>25076164227.994244</v>
      </c>
      <c r="CT113" s="5">
        <f>IF($B112&lt;=Tabla5[[#This Row],[INVERSIONES FCI]],+Tabla5[[#This Row],[INVERSIONES FCI]]-CT112,Tabla5[[#This Row],[INVERSIONES FCI]])</f>
        <v>25076164227.994244</v>
      </c>
      <c r="CU113" s="5">
        <f>IF($B112&lt;=Tabla5[[#This Row],[INVERSIONES FCI]],+Tabla5[[#This Row],[INVERSIONES FCI]]-CU112,Tabla5[[#This Row],[INVERSIONES FCI]])</f>
        <v>25076164227.994244</v>
      </c>
      <c r="CV113" s="5">
        <f>IF($B112&lt;=Tabla5[[#This Row],[INVERSIONES FCI]],+Tabla5[[#This Row],[INVERSIONES FCI]]-CV112,Tabla5[[#This Row],[INVERSIONES FCI]])</f>
        <v>25076164227.994244</v>
      </c>
      <c r="CW113" s="5">
        <f>IF($B112&lt;=Tabla5[[#This Row],[INVERSIONES FCI]],+Tabla5[[#This Row],[INVERSIONES FCI]]-CW112,Tabla5[[#This Row],[INVERSIONES FCI]])</f>
        <v>25076164227.994244</v>
      </c>
      <c r="CX113" s="5">
        <f>IF($B112&lt;=Tabla5[[#This Row],[INVERSIONES FCI]],+Tabla5[[#This Row],[INVERSIONES FCI]]-CX112,Tabla5[[#This Row],[INVERSIONES FCI]])</f>
        <v>25076164227.994244</v>
      </c>
      <c r="CY113" s="5">
        <f>IF($B112&lt;=Tabla5[[#This Row],[INVERSIONES FCI]],+Tabla5[[#This Row],[INVERSIONES FCI]]-CY112,Tabla5[[#This Row],[INVERSIONES FCI]])</f>
        <v>25076164227.994244</v>
      </c>
      <c r="CZ113" s="5">
        <f>IF($B112&lt;=Tabla5[[#This Row],[INVERSIONES FCI]],+Tabla5[[#This Row],[INVERSIONES FCI]]-CZ112,Tabla5[[#This Row],[INVERSIONES FCI]])</f>
        <v>25076164227.994244</v>
      </c>
      <c r="DA113" s="5">
        <f>IF($B112&lt;=Tabla5[[#This Row],[INVERSIONES FCI]],+Tabla5[[#This Row],[INVERSIONES FCI]]-DA112,Tabla5[[#This Row],[INVERSIONES FCI]])</f>
        <v>25076164227.994244</v>
      </c>
      <c r="DB113" s="5">
        <f>IF($B112&lt;=Tabla5[[#This Row],[INVERSIONES FCI]],+Tabla5[[#This Row],[INVERSIONES FCI]]-DB112,Tabla5[[#This Row],[INVERSIONES FCI]])</f>
        <v>25076164227.994244</v>
      </c>
      <c r="DC113" s="5">
        <f>IF($B112&lt;=Tabla5[[#This Row],[INVERSIONES FCI]],+Tabla5[[#This Row],[INVERSIONES FCI]]-DC112,Tabla5[[#This Row],[INVERSIONES FCI]])</f>
        <v>25076164227.994244</v>
      </c>
      <c r="DD113" s="5">
        <f>IF($B112&lt;=Tabla5[[#This Row],[INVERSIONES FCI]],+Tabla5[[#This Row],[INVERSIONES FCI]]-DD112,Tabla5[[#This Row],[INVERSIONES FCI]])</f>
        <v>25076164227.994244</v>
      </c>
      <c r="DE113" s="5">
        <f>IF($B112&lt;=Tabla5[[#This Row],[INVERSIONES FCI]],+Tabla5[[#This Row],[INVERSIONES FCI]]-DE112,Tabla5[[#This Row],[INVERSIONES FCI]])</f>
        <v>25076164227.994244</v>
      </c>
      <c r="DF113" s="5">
        <f>IF($B112&lt;=Tabla5[[#This Row],[INVERSIONES FCI]],+Tabla5[[#This Row],[INVERSIONES FCI]]-DF112,Tabla5[[#This Row],[INVERSIONES FCI]])</f>
        <v>25076164227.994244</v>
      </c>
      <c r="DG113" s="5">
        <f>IF($B112&lt;=Tabla5[[#This Row],[INVERSIONES FCI]],+Tabla5[[#This Row],[INVERSIONES FCI]]-DG112,Tabla5[[#This Row],[INVERSIONES FCI]])</f>
        <v>25076164227.994244</v>
      </c>
      <c r="DH113" s="5">
        <f>IF($B112&lt;=Tabla5[[#This Row],[INVERSIONES FCI]],+Tabla5[[#This Row],[INVERSIONES FCI]]-DH112,Tabla5[[#This Row],[INVERSIONES FCI]])</f>
        <v>25076164227.994244</v>
      </c>
      <c r="DI113" s="5">
        <f>IF($B112&lt;=Tabla5[[#This Row],[INVERSIONES FCI]],+Tabla5[[#This Row],[INVERSIONES FCI]]-DI112,Tabla5[[#This Row],[INVERSIONES FCI]])</f>
        <v>25076164227.994244</v>
      </c>
      <c r="DJ113" s="5" cm="1">
        <f t="array" ref="DJ113">IF(Tabla5[[#This Row],[FCI]]=0,0,_xlfn.XLOOKUP(TRUE,$B113:DI113&gt;0,$B113:DI113,"",0,-1))</f>
        <v>25076164227.994244</v>
      </c>
      <c r="DK113" s="5"/>
      <c r="DL113" s="5"/>
      <c r="DM113" s="5"/>
      <c r="DN113" s="5"/>
      <c r="DO113" s="5"/>
      <c r="DP113" s="5"/>
      <c r="DQ113" s="5"/>
    </row>
    <row r="114" spans="1:121" ht="14.4">
      <c r="A114" s="12" t="s">
        <v>113</v>
      </c>
      <c r="B114" s="5">
        <f>HLOOKUP($A114,ESCENARIO[#All],7,FALSE)</f>
        <v>32228455363.301018</v>
      </c>
      <c r="C114" s="5">
        <f>IF($B113&lt;=Tabla5[[#This Row],[INVERSIONES FCI]],+Tabla5[[#This Row],[INVERSIONES FCI]]-C113,Tabla5[[#This Row],[INVERSIONES FCI]])</f>
        <v>7152291135.3067741</v>
      </c>
      <c r="D114" s="5">
        <f>IF($B113&lt;=Tabla5[[#This Row],[INVERSIONES FCI]],+Tabla5[[#This Row],[INVERSIONES FCI]]-D113,Tabla5[[#This Row],[INVERSIONES FCI]])</f>
        <v>7152291135.3067741</v>
      </c>
      <c r="E114" s="5">
        <f>IF($B113&lt;=Tabla5[[#This Row],[INVERSIONES FCI]],+Tabla5[[#This Row],[INVERSIONES FCI]]-E113,Tabla5[[#This Row],[INVERSIONES FCI]])</f>
        <v>7152291135.3067741</v>
      </c>
      <c r="F114" s="5">
        <f>IF($B113&lt;=Tabla5[[#This Row],[INVERSIONES FCI]],+Tabla5[[#This Row],[INVERSIONES FCI]]-F113,Tabla5[[#This Row],[INVERSIONES FCI]])</f>
        <v>7152291135.3067741</v>
      </c>
      <c r="G114" s="5">
        <f>IF($B113&lt;=Tabla5[[#This Row],[INVERSIONES FCI]],+Tabla5[[#This Row],[INVERSIONES FCI]]-G113,Tabla5[[#This Row],[INVERSIONES FCI]])</f>
        <v>7152291135.3067741</v>
      </c>
      <c r="H114" s="5">
        <f>IF($B113&lt;=Tabla5[[#This Row],[INVERSIONES FCI]],+Tabla5[[#This Row],[INVERSIONES FCI]]-H113,Tabla5[[#This Row],[INVERSIONES FCI]])</f>
        <v>7152291135.3067741</v>
      </c>
      <c r="I114" s="5">
        <f>IF($B113&lt;=Tabla5[[#This Row],[INVERSIONES FCI]],+Tabla5[[#This Row],[INVERSIONES FCI]]-I113,Tabla5[[#This Row],[INVERSIONES FCI]])</f>
        <v>7152291135.3067741</v>
      </c>
      <c r="J114" s="5">
        <f>IF($B113&lt;=Tabla5[[#This Row],[INVERSIONES FCI]],+Tabla5[[#This Row],[INVERSIONES FCI]]-J113,Tabla5[[#This Row],[INVERSIONES FCI]])</f>
        <v>7152291135.3067741</v>
      </c>
      <c r="K114" s="5">
        <f>IF($B113&lt;=Tabla5[[#This Row],[INVERSIONES FCI]],+Tabla5[[#This Row],[INVERSIONES FCI]]-K113,Tabla5[[#This Row],[INVERSIONES FCI]])</f>
        <v>7152291135.3067741</v>
      </c>
      <c r="L114" s="5">
        <f>IF($B113&lt;=Tabla5[[#This Row],[INVERSIONES FCI]],+Tabla5[[#This Row],[INVERSIONES FCI]]-L113,Tabla5[[#This Row],[INVERSIONES FCI]])</f>
        <v>7152291135.3067741</v>
      </c>
      <c r="M114" s="5">
        <f>IF($B113&lt;=Tabla5[[#This Row],[INVERSIONES FCI]],+Tabla5[[#This Row],[INVERSIONES FCI]]-M113,Tabla5[[#This Row],[INVERSIONES FCI]])</f>
        <v>7152291135.3067741</v>
      </c>
      <c r="N114" s="5">
        <f>IF($B113&lt;=Tabla5[[#This Row],[INVERSIONES FCI]],+Tabla5[[#This Row],[INVERSIONES FCI]]-N113,Tabla5[[#This Row],[INVERSIONES FCI]])</f>
        <v>7152291135.3067741</v>
      </c>
      <c r="O114" s="5">
        <f>IF($B113&lt;=Tabla5[[#This Row],[INVERSIONES FCI]],+Tabla5[[#This Row],[INVERSIONES FCI]]-O113,Tabla5[[#This Row],[INVERSIONES FCI]])</f>
        <v>7152291135.3067741</v>
      </c>
      <c r="P114" s="5">
        <f>IF($B113&lt;=Tabla5[[#This Row],[INVERSIONES FCI]],+Tabla5[[#This Row],[INVERSIONES FCI]]-P113,Tabla5[[#This Row],[INVERSIONES FCI]])</f>
        <v>7152291135.3067741</v>
      </c>
      <c r="Q114" s="5">
        <f>IF($B113&lt;=Tabla5[[#This Row],[INVERSIONES FCI]],+Tabla5[[#This Row],[INVERSIONES FCI]]-Q113,Tabla5[[#This Row],[INVERSIONES FCI]])</f>
        <v>7152291135.3067741</v>
      </c>
      <c r="R114" s="5">
        <f>IF($B113&lt;=Tabla5[[#This Row],[INVERSIONES FCI]],+Tabla5[[#This Row],[INVERSIONES FCI]]-R113,Tabla5[[#This Row],[INVERSIONES FCI]])</f>
        <v>7152291135.3067741</v>
      </c>
      <c r="S114" s="5">
        <f>IF($B113&lt;=Tabla5[[#This Row],[INVERSIONES FCI]],+Tabla5[[#This Row],[INVERSIONES FCI]]-S113,Tabla5[[#This Row],[INVERSIONES FCI]])</f>
        <v>7152291135.3067741</v>
      </c>
      <c r="T114" s="5">
        <f>IF($B113&lt;=Tabla5[[#This Row],[INVERSIONES FCI]],+Tabla5[[#This Row],[INVERSIONES FCI]]-T113,Tabla5[[#This Row],[INVERSIONES FCI]])</f>
        <v>7152291135.3067741</v>
      </c>
      <c r="U114" s="5">
        <f>IF($B113&lt;=Tabla5[[#This Row],[INVERSIONES FCI]],+Tabla5[[#This Row],[INVERSIONES FCI]]-U113,Tabla5[[#This Row],[INVERSIONES FCI]])</f>
        <v>7152291135.3067741</v>
      </c>
      <c r="V114" s="5">
        <f>IF($B113&lt;=Tabla5[[#This Row],[INVERSIONES FCI]],+Tabla5[[#This Row],[INVERSIONES FCI]]-V113,Tabla5[[#This Row],[INVERSIONES FCI]])</f>
        <v>7152291135.3067741</v>
      </c>
      <c r="W114" s="5">
        <f>IF($B113&lt;=Tabla5[[#This Row],[INVERSIONES FCI]],+Tabla5[[#This Row],[INVERSIONES FCI]]-W113,Tabla5[[#This Row],[INVERSIONES FCI]])</f>
        <v>7152291135.3067741</v>
      </c>
      <c r="X114" s="5">
        <f>IF($B113&lt;=Tabla5[[#This Row],[INVERSIONES FCI]],+Tabla5[[#This Row],[INVERSIONES FCI]]-X113,Tabla5[[#This Row],[INVERSIONES FCI]])</f>
        <v>7152291135.3067741</v>
      </c>
      <c r="Y114" s="5">
        <f>IF($B113&lt;=Tabla5[[#This Row],[INVERSIONES FCI]],+Tabla5[[#This Row],[INVERSIONES FCI]]-Y113,Tabla5[[#This Row],[INVERSIONES FCI]])</f>
        <v>7152291135.3067741</v>
      </c>
      <c r="Z114" s="5">
        <f>IF($B113&lt;=Tabla5[[#This Row],[INVERSIONES FCI]],+Tabla5[[#This Row],[INVERSIONES FCI]]-Z113,Tabla5[[#This Row],[INVERSIONES FCI]])</f>
        <v>7152291135.3067741</v>
      </c>
      <c r="AA114" s="5">
        <f>IF($B113&lt;=Tabla5[[#This Row],[INVERSIONES FCI]],+Tabla5[[#This Row],[INVERSIONES FCI]]-AA113,Tabla5[[#This Row],[INVERSIONES FCI]])</f>
        <v>7152291135.3067741</v>
      </c>
      <c r="AB114" s="5">
        <f>IF($B113&lt;=Tabla5[[#This Row],[INVERSIONES FCI]],+Tabla5[[#This Row],[INVERSIONES FCI]]-AB113,Tabla5[[#This Row],[INVERSIONES FCI]])</f>
        <v>7152291135.3067741</v>
      </c>
      <c r="AC114" s="5">
        <f>IF($B113&lt;=Tabla5[[#This Row],[INVERSIONES FCI]],+Tabla5[[#This Row],[INVERSIONES FCI]]-AC113,Tabla5[[#This Row],[INVERSIONES FCI]])</f>
        <v>7152291135.3067741</v>
      </c>
      <c r="AD114" s="5">
        <f>IF($B113&lt;=Tabla5[[#This Row],[INVERSIONES FCI]],+Tabla5[[#This Row],[INVERSIONES FCI]]-AD113,Tabla5[[#This Row],[INVERSIONES FCI]])</f>
        <v>7152291135.3067741</v>
      </c>
      <c r="AE114" s="5">
        <f>IF($B113&lt;=Tabla5[[#This Row],[INVERSIONES FCI]],+Tabla5[[#This Row],[INVERSIONES FCI]]-AE113,Tabla5[[#This Row],[INVERSIONES FCI]])</f>
        <v>7152291135.3067741</v>
      </c>
      <c r="AF114" s="5">
        <f>IF($B113&lt;=Tabla5[[#This Row],[INVERSIONES FCI]],+Tabla5[[#This Row],[INVERSIONES FCI]]-AF113,Tabla5[[#This Row],[INVERSIONES FCI]])</f>
        <v>7152291135.3067741</v>
      </c>
      <c r="AG114" s="5">
        <f>IF($B113&lt;=Tabla5[[#This Row],[INVERSIONES FCI]],+Tabla5[[#This Row],[INVERSIONES FCI]]-AG113,Tabla5[[#This Row],[INVERSIONES FCI]])</f>
        <v>7152291135.3067741</v>
      </c>
      <c r="AH114" s="5">
        <f>IF($B113&lt;=Tabla5[[#This Row],[INVERSIONES FCI]],+Tabla5[[#This Row],[INVERSIONES FCI]]-AH113,Tabla5[[#This Row],[INVERSIONES FCI]])</f>
        <v>7152291135.3067741</v>
      </c>
      <c r="AI114" s="5">
        <f>IF($B113&lt;=Tabla5[[#This Row],[INVERSIONES FCI]],+Tabla5[[#This Row],[INVERSIONES FCI]]-AI113,Tabla5[[#This Row],[INVERSIONES FCI]])</f>
        <v>7152291135.3067741</v>
      </c>
      <c r="AJ114" s="5">
        <f>IF($B113&lt;=Tabla5[[#This Row],[INVERSIONES FCI]],+Tabla5[[#This Row],[INVERSIONES FCI]]-AJ113,Tabla5[[#This Row],[INVERSIONES FCI]])</f>
        <v>7152291135.3067741</v>
      </c>
      <c r="AK114" s="5">
        <f>IF($B113&lt;=Tabla5[[#This Row],[INVERSIONES FCI]],+Tabla5[[#This Row],[INVERSIONES FCI]]-AK113,Tabla5[[#This Row],[INVERSIONES FCI]])</f>
        <v>7152291135.3067741</v>
      </c>
      <c r="AL114" s="5">
        <f>IF($B113&lt;=Tabla5[[#This Row],[INVERSIONES FCI]],+Tabla5[[#This Row],[INVERSIONES FCI]]-AL113,Tabla5[[#This Row],[INVERSIONES FCI]])</f>
        <v>7152291135.3067741</v>
      </c>
      <c r="AM114" s="5">
        <f>IF($B113&lt;=Tabla5[[#This Row],[INVERSIONES FCI]],+Tabla5[[#This Row],[INVERSIONES FCI]]-AM113,Tabla5[[#This Row],[INVERSIONES FCI]])</f>
        <v>7152291135.3067741</v>
      </c>
      <c r="AN114" s="5">
        <f>IF($B113&lt;=Tabla5[[#This Row],[INVERSIONES FCI]],+Tabla5[[#This Row],[INVERSIONES FCI]]-AN113,Tabla5[[#This Row],[INVERSIONES FCI]])</f>
        <v>7152291135.3067741</v>
      </c>
      <c r="AO114" s="5">
        <f>IF($B113&lt;=Tabla5[[#This Row],[INVERSIONES FCI]],+Tabla5[[#This Row],[INVERSIONES FCI]]-AO113,Tabla5[[#This Row],[INVERSIONES FCI]])</f>
        <v>7152291135.3067741</v>
      </c>
      <c r="AP114" s="5">
        <f>IF($B113&lt;=Tabla5[[#This Row],[INVERSIONES FCI]],+Tabla5[[#This Row],[INVERSIONES FCI]]-AP113,Tabla5[[#This Row],[INVERSIONES FCI]])</f>
        <v>7152291135.3067741</v>
      </c>
      <c r="AQ114" s="5">
        <f>IF($B113&lt;=Tabla5[[#This Row],[INVERSIONES FCI]],+Tabla5[[#This Row],[INVERSIONES FCI]]-AQ113,Tabla5[[#This Row],[INVERSIONES FCI]])</f>
        <v>7152291135.3067741</v>
      </c>
      <c r="AR114" s="5">
        <f>IF($B113&lt;=Tabla5[[#This Row],[INVERSIONES FCI]],+Tabla5[[#This Row],[INVERSIONES FCI]]-AR113,Tabla5[[#This Row],[INVERSIONES FCI]])</f>
        <v>7152291135.3067741</v>
      </c>
      <c r="AS114" s="5">
        <f>IF($B113&lt;=Tabla5[[#This Row],[INVERSIONES FCI]],+Tabla5[[#This Row],[INVERSIONES FCI]]-AS113,Tabla5[[#This Row],[INVERSIONES FCI]])</f>
        <v>7152291135.3067741</v>
      </c>
      <c r="AT114" s="5">
        <f>IF($B113&lt;=Tabla5[[#This Row],[INVERSIONES FCI]],+Tabla5[[#This Row],[INVERSIONES FCI]]-AT113,Tabla5[[#This Row],[INVERSIONES FCI]])</f>
        <v>7152291135.3067741</v>
      </c>
      <c r="AU114" s="5">
        <f>IF($B113&lt;=Tabla5[[#This Row],[INVERSIONES FCI]],+Tabla5[[#This Row],[INVERSIONES FCI]]-AU113,Tabla5[[#This Row],[INVERSIONES FCI]])</f>
        <v>7152291135.3067741</v>
      </c>
      <c r="AV114" s="5">
        <f>IF($B113&lt;=Tabla5[[#This Row],[INVERSIONES FCI]],+Tabla5[[#This Row],[INVERSIONES FCI]]-AV113,Tabla5[[#This Row],[INVERSIONES FCI]])</f>
        <v>7152291135.3067741</v>
      </c>
      <c r="AW114" s="5">
        <f>IF($B113&lt;=Tabla5[[#This Row],[INVERSIONES FCI]],+Tabla5[[#This Row],[INVERSIONES FCI]]-AW113,Tabla5[[#This Row],[INVERSIONES FCI]])</f>
        <v>7152291135.3067741</v>
      </c>
      <c r="AX114" s="5">
        <f>IF($B113&lt;=Tabla5[[#This Row],[INVERSIONES FCI]],+Tabla5[[#This Row],[INVERSIONES FCI]]-AX113,Tabla5[[#This Row],[INVERSIONES FCI]])</f>
        <v>7152291135.3067741</v>
      </c>
      <c r="AY114" s="5">
        <f>IF($B113&lt;=Tabla5[[#This Row],[INVERSIONES FCI]],+Tabla5[[#This Row],[INVERSIONES FCI]]-AY113,Tabla5[[#This Row],[INVERSIONES FCI]])</f>
        <v>7152291135.3067741</v>
      </c>
      <c r="AZ114" s="5">
        <f>IF($B113&lt;=Tabla5[[#This Row],[INVERSIONES FCI]],+Tabla5[[#This Row],[INVERSIONES FCI]]-AZ113,Tabla5[[#This Row],[INVERSIONES FCI]])</f>
        <v>7152291135.3067741</v>
      </c>
      <c r="BA114" s="5">
        <f>IF($B113&lt;=Tabla5[[#This Row],[INVERSIONES FCI]],+Tabla5[[#This Row],[INVERSIONES FCI]]-BA113,Tabla5[[#This Row],[INVERSIONES FCI]])</f>
        <v>7152291135.3067741</v>
      </c>
      <c r="BB114" s="5">
        <f>IF($B113&lt;=Tabla5[[#This Row],[INVERSIONES FCI]],+Tabla5[[#This Row],[INVERSIONES FCI]]-BB113,Tabla5[[#This Row],[INVERSIONES FCI]])</f>
        <v>7152291135.3067741</v>
      </c>
      <c r="BC114" s="5">
        <f>IF($B113&lt;=Tabla5[[#This Row],[INVERSIONES FCI]],+Tabla5[[#This Row],[INVERSIONES FCI]]-BC113,Tabla5[[#This Row],[INVERSIONES FCI]])</f>
        <v>7152291135.3067741</v>
      </c>
      <c r="BD114" s="5">
        <f>IF($B113&lt;=Tabla5[[#This Row],[INVERSIONES FCI]],+Tabla5[[#This Row],[INVERSIONES FCI]]-BD113,Tabla5[[#This Row],[INVERSIONES FCI]])</f>
        <v>7152291135.3067741</v>
      </c>
      <c r="BE114" s="5">
        <f>IF($B113&lt;=Tabla5[[#This Row],[INVERSIONES FCI]],+Tabla5[[#This Row],[INVERSIONES FCI]]-BE113,Tabla5[[#This Row],[INVERSIONES FCI]])</f>
        <v>7152291135.3067741</v>
      </c>
      <c r="BF114" s="5">
        <f>IF($B113&lt;=Tabla5[[#This Row],[INVERSIONES FCI]],+Tabla5[[#This Row],[INVERSIONES FCI]]-BF113,Tabla5[[#This Row],[INVERSIONES FCI]])</f>
        <v>7152291135.3067741</v>
      </c>
      <c r="BG114" s="5">
        <f>IF($B113&lt;=Tabla5[[#This Row],[INVERSIONES FCI]],+Tabla5[[#This Row],[INVERSIONES FCI]]-BG113,Tabla5[[#This Row],[INVERSIONES FCI]])</f>
        <v>7152291135.3067741</v>
      </c>
      <c r="BH114" s="5">
        <f>IF($B113&lt;=Tabla5[[#This Row],[INVERSIONES FCI]],+Tabla5[[#This Row],[INVERSIONES FCI]]-BH113,Tabla5[[#This Row],[INVERSIONES FCI]])</f>
        <v>7152291135.3067741</v>
      </c>
      <c r="BI114" s="5">
        <f>IF($B113&lt;=Tabla5[[#This Row],[INVERSIONES FCI]],+Tabla5[[#This Row],[INVERSIONES FCI]]-BI113,Tabla5[[#This Row],[INVERSIONES FCI]])</f>
        <v>7152291135.3067741</v>
      </c>
      <c r="BJ114" s="5">
        <f>IF($B113&lt;=Tabla5[[#This Row],[INVERSIONES FCI]],+Tabla5[[#This Row],[INVERSIONES FCI]]-BJ113,Tabla5[[#This Row],[INVERSIONES FCI]])</f>
        <v>7152291135.3067741</v>
      </c>
      <c r="BK114" s="5">
        <f>IF($B113&lt;=Tabla5[[#This Row],[INVERSIONES FCI]],+Tabla5[[#This Row],[INVERSIONES FCI]]-BK113,Tabla5[[#This Row],[INVERSIONES FCI]])</f>
        <v>7152291135.3067741</v>
      </c>
      <c r="BL114" s="5">
        <f>IF($B113&lt;=Tabla5[[#This Row],[INVERSIONES FCI]],+Tabla5[[#This Row],[INVERSIONES FCI]]-BL113,Tabla5[[#This Row],[INVERSIONES FCI]])</f>
        <v>7152291135.3067741</v>
      </c>
      <c r="BM114" s="5">
        <f>IF($B113&lt;=Tabla5[[#This Row],[INVERSIONES FCI]],+Tabla5[[#This Row],[INVERSIONES FCI]]-BM113,Tabla5[[#This Row],[INVERSIONES FCI]])</f>
        <v>7152291135.3067741</v>
      </c>
      <c r="BN114" s="5">
        <f>IF($B113&lt;=Tabla5[[#This Row],[INVERSIONES FCI]],+Tabla5[[#This Row],[INVERSIONES FCI]]-BN113,Tabla5[[#This Row],[INVERSIONES FCI]])</f>
        <v>7152291135.3067741</v>
      </c>
      <c r="BO114" s="5">
        <f>IF($B113&lt;=Tabla5[[#This Row],[INVERSIONES FCI]],+Tabla5[[#This Row],[INVERSIONES FCI]]-BO113,Tabla5[[#This Row],[INVERSIONES FCI]])</f>
        <v>7152291135.3067741</v>
      </c>
      <c r="BP114" s="5">
        <f>IF($B113&lt;=Tabla5[[#This Row],[INVERSIONES FCI]],+Tabla5[[#This Row],[INVERSIONES FCI]]-BP113,Tabla5[[#This Row],[INVERSIONES FCI]])</f>
        <v>7152291135.3067741</v>
      </c>
      <c r="BQ114" s="5">
        <f>IF($B113&lt;=Tabla5[[#This Row],[INVERSIONES FCI]],+Tabla5[[#This Row],[INVERSIONES FCI]]-BQ113,Tabla5[[#This Row],[INVERSIONES FCI]])</f>
        <v>7152291135.3067741</v>
      </c>
      <c r="BR114" s="5">
        <f>IF($B113&lt;=Tabla5[[#This Row],[INVERSIONES FCI]],+Tabla5[[#This Row],[INVERSIONES FCI]]-BR113,Tabla5[[#This Row],[INVERSIONES FCI]])</f>
        <v>7152291135.3067741</v>
      </c>
      <c r="BS114" s="5">
        <f>IF($B113&lt;=Tabla5[[#This Row],[INVERSIONES FCI]],+Tabla5[[#This Row],[INVERSIONES FCI]]-BS113,Tabla5[[#This Row],[INVERSIONES FCI]])</f>
        <v>7152291135.3067741</v>
      </c>
      <c r="BT114" s="5">
        <f>IF($B113&lt;=Tabla5[[#This Row],[INVERSIONES FCI]],+Tabla5[[#This Row],[INVERSIONES FCI]]-BT113,Tabla5[[#This Row],[INVERSIONES FCI]])</f>
        <v>7152291135.3067741</v>
      </c>
      <c r="BU114" s="5">
        <f>IF($B113&lt;=Tabla5[[#This Row],[INVERSIONES FCI]],+Tabla5[[#This Row],[INVERSIONES FCI]]-BU113,Tabla5[[#This Row],[INVERSIONES FCI]])</f>
        <v>7152291135.3067741</v>
      </c>
      <c r="BV114" s="5">
        <f>IF($B113&lt;=Tabla5[[#This Row],[INVERSIONES FCI]],+Tabla5[[#This Row],[INVERSIONES FCI]]-BV113,Tabla5[[#This Row],[INVERSIONES FCI]])</f>
        <v>7152291135.3067741</v>
      </c>
      <c r="BW114" s="5">
        <f>IF($B113&lt;=Tabla5[[#This Row],[INVERSIONES FCI]],+Tabla5[[#This Row],[INVERSIONES FCI]]-BW113,Tabla5[[#This Row],[INVERSIONES FCI]])</f>
        <v>7152291135.3067741</v>
      </c>
      <c r="BX114" s="5">
        <f>IF($B113&lt;=Tabla5[[#This Row],[INVERSIONES FCI]],+Tabla5[[#This Row],[INVERSIONES FCI]]-BX113,Tabla5[[#This Row],[INVERSIONES FCI]])</f>
        <v>7152291135.3067741</v>
      </c>
      <c r="BY114" s="5">
        <f>IF($B113&lt;=Tabla5[[#This Row],[INVERSIONES FCI]],+Tabla5[[#This Row],[INVERSIONES FCI]]-BY113,Tabla5[[#This Row],[INVERSIONES FCI]])</f>
        <v>7152291135.3067741</v>
      </c>
      <c r="BZ114" s="5">
        <f>IF($B113&lt;=Tabla5[[#This Row],[INVERSIONES FCI]],+Tabla5[[#This Row],[INVERSIONES FCI]]-BZ113,Tabla5[[#This Row],[INVERSIONES FCI]])</f>
        <v>7152291135.3067741</v>
      </c>
      <c r="CA114" s="5">
        <f>IF($B113&lt;=Tabla5[[#This Row],[INVERSIONES FCI]],+Tabla5[[#This Row],[INVERSIONES FCI]]-CA113,Tabla5[[#This Row],[INVERSIONES FCI]])</f>
        <v>7152291135.3067741</v>
      </c>
      <c r="CB114" s="5">
        <f>IF($B113&lt;=Tabla5[[#This Row],[INVERSIONES FCI]],+Tabla5[[#This Row],[INVERSIONES FCI]]-CB113,Tabla5[[#This Row],[INVERSIONES FCI]])</f>
        <v>7152291135.3067741</v>
      </c>
      <c r="CC114" s="5">
        <f>IF($B113&lt;=Tabla5[[#This Row],[INVERSIONES FCI]],+Tabla5[[#This Row],[INVERSIONES FCI]]-CC113,Tabla5[[#This Row],[INVERSIONES FCI]])</f>
        <v>7152291135.3067741</v>
      </c>
      <c r="CD114" s="5">
        <f>IF($B113&lt;=Tabla5[[#This Row],[INVERSIONES FCI]],+Tabla5[[#This Row],[INVERSIONES FCI]]-CD113,Tabla5[[#This Row],[INVERSIONES FCI]])</f>
        <v>7152291135.3067741</v>
      </c>
      <c r="CE114" s="5">
        <f>IF($B113&lt;=Tabla5[[#This Row],[INVERSIONES FCI]],+Tabla5[[#This Row],[INVERSIONES FCI]]-CE113,Tabla5[[#This Row],[INVERSIONES FCI]])</f>
        <v>7152291135.3067741</v>
      </c>
      <c r="CF114" s="5">
        <f>IF($B113&lt;=Tabla5[[#This Row],[INVERSIONES FCI]],+Tabla5[[#This Row],[INVERSIONES FCI]]-CF113,Tabla5[[#This Row],[INVERSIONES FCI]])</f>
        <v>7152291135.3067741</v>
      </c>
      <c r="CG114" s="5">
        <f>IF($B113&lt;=Tabla5[[#This Row],[INVERSIONES FCI]],+Tabla5[[#This Row],[INVERSIONES FCI]]-CG113,Tabla5[[#This Row],[INVERSIONES FCI]])</f>
        <v>7152291135.3067741</v>
      </c>
      <c r="CH114" s="5">
        <f>IF($B113&lt;=Tabla5[[#This Row],[INVERSIONES FCI]],+Tabla5[[#This Row],[INVERSIONES FCI]]-CH113,Tabla5[[#This Row],[INVERSIONES FCI]])</f>
        <v>7152291135.3067741</v>
      </c>
      <c r="CI114" s="5">
        <f>IF($B113&lt;=Tabla5[[#This Row],[INVERSIONES FCI]],+Tabla5[[#This Row],[INVERSIONES FCI]]-CI113,Tabla5[[#This Row],[INVERSIONES FCI]])</f>
        <v>7152291135.3067741</v>
      </c>
      <c r="CJ114" s="5">
        <f>IF($B113&lt;=Tabla5[[#This Row],[INVERSIONES FCI]],+Tabla5[[#This Row],[INVERSIONES FCI]]-CJ113,Tabla5[[#This Row],[INVERSIONES FCI]])</f>
        <v>7152291135.3067741</v>
      </c>
      <c r="CK114" s="5">
        <f>IF($B113&lt;=Tabla5[[#This Row],[INVERSIONES FCI]],+Tabla5[[#This Row],[INVERSIONES FCI]]-CK113,Tabla5[[#This Row],[INVERSIONES FCI]])</f>
        <v>7152291135.3067741</v>
      </c>
      <c r="CL114" s="5">
        <f>IF($B113&lt;=Tabla5[[#This Row],[INVERSIONES FCI]],+Tabla5[[#This Row],[INVERSIONES FCI]]-CL113,Tabla5[[#This Row],[INVERSIONES FCI]])</f>
        <v>7152291135.3067741</v>
      </c>
      <c r="CM114" s="5">
        <f>IF($B113&lt;=Tabla5[[#This Row],[INVERSIONES FCI]],+Tabla5[[#This Row],[INVERSIONES FCI]]-CM113,Tabla5[[#This Row],[INVERSIONES FCI]])</f>
        <v>7152291135.3067741</v>
      </c>
      <c r="CN114" s="5">
        <f>IF($B113&lt;=Tabla5[[#This Row],[INVERSIONES FCI]],+Tabla5[[#This Row],[INVERSIONES FCI]]-CN113,Tabla5[[#This Row],[INVERSIONES FCI]])</f>
        <v>7152291135.3067741</v>
      </c>
      <c r="CO114" s="5">
        <f>IF($B113&lt;=Tabla5[[#This Row],[INVERSIONES FCI]],+Tabla5[[#This Row],[INVERSIONES FCI]]-CO113,Tabla5[[#This Row],[INVERSIONES FCI]])</f>
        <v>7152291135.3067741</v>
      </c>
      <c r="CP114" s="5">
        <f>IF($B113&lt;=Tabla5[[#This Row],[INVERSIONES FCI]],+Tabla5[[#This Row],[INVERSIONES FCI]]-CP113,Tabla5[[#This Row],[INVERSIONES FCI]])</f>
        <v>7152291135.3067741</v>
      </c>
      <c r="CQ114" s="5">
        <f>IF($B113&lt;=Tabla5[[#This Row],[INVERSIONES FCI]],+Tabla5[[#This Row],[INVERSIONES FCI]]-CQ113,Tabla5[[#This Row],[INVERSIONES FCI]])</f>
        <v>7152291135.3067741</v>
      </c>
      <c r="CR114" s="5">
        <f>IF($B113&lt;=Tabla5[[#This Row],[INVERSIONES FCI]],+Tabla5[[#This Row],[INVERSIONES FCI]]-CR113,Tabla5[[#This Row],[INVERSIONES FCI]])</f>
        <v>7152291135.3067741</v>
      </c>
      <c r="CS114" s="5">
        <f>IF($B113&lt;=Tabla5[[#This Row],[INVERSIONES FCI]],+Tabla5[[#This Row],[INVERSIONES FCI]]-CS113,Tabla5[[#This Row],[INVERSIONES FCI]])</f>
        <v>7152291135.3067741</v>
      </c>
      <c r="CT114" s="5">
        <f>IF($B113&lt;=Tabla5[[#This Row],[INVERSIONES FCI]],+Tabla5[[#This Row],[INVERSIONES FCI]]-CT113,Tabla5[[#This Row],[INVERSIONES FCI]])</f>
        <v>7152291135.3067741</v>
      </c>
      <c r="CU114" s="5">
        <f>IF($B113&lt;=Tabla5[[#This Row],[INVERSIONES FCI]],+Tabla5[[#This Row],[INVERSIONES FCI]]-CU113,Tabla5[[#This Row],[INVERSIONES FCI]])</f>
        <v>7152291135.3067741</v>
      </c>
      <c r="CV114" s="5">
        <f>IF($B113&lt;=Tabla5[[#This Row],[INVERSIONES FCI]],+Tabla5[[#This Row],[INVERSIONES FCI]]-CV113,Tabla5[[#This Row],[INVERSIONES FCI]])</f>
        <v>7152291135.3067741</v>
      </c>
      <c r="CW114" s="5">
        <f>IF($B113&lt;=Tabla5[[#This Row],[INVERSIONES FCI]],+Tabla5[[#This Row],[INVERSIONES FCI]]-CW113,Tabla5[[#This Row],[INVERSIONES FCI]])</f>
        <v>7152291135.3067741</v>
      </c>
      <c r="CX114" s="5">
        <f>IF($B113&lt;=Tabla5[[#This Row],[INVERSIONES FCI]],+Tabla5[[#This Row],[INVERSIONES FCI]]-CX113,Tabla5[[#This Row],[INVERSIONES FCI]])</f>
        <v>7152291135.3067741</v>
      </c>
      <c r="CY114" s="5">
        <f>IF($B113&lt;=Tabla5[[#This Row],[INVERSIONES FCI]],+Tabla5[[#This Row],[INVERSIONES FCI]]-CY113,Tabla5[[#This Row],[INVERSIONES FCI]])</f>
        <v>7152291135.3067741</v>
      </c>
      <c r="CZ114" s="5">
        <f>IF($B113&lt;=Tabla5[[#This Row],[INVERSIONES FCI]],+Tabla5[[#This Row],[INVERSIONES FCI]]-CZ113,Tabla5[[#This Row],[INVERSIONES FCI]])</f>
        <v>7152291135.3067741</v>
      </c>
      <c r="DA114" s="5">
        <f>IF($B113&lt;=Tabla5[[#This Row],[INVERSIONES FCI]],+Tabla5[[#This Row],[INVERSIONES FCI]]-DA113,Tabla5[[#This Row],[INVERSIONES FCI]])</f>
        <v>7152291135.3067741</v>
      </c>
      <c r="DB114" s="5">
        <f>IF($B113&lt;=Tabla5[[#This Row],[INVERSIONES FCI]],+Tabla5[[#This Row],[INVERSIONES FCI]]-DB113,Tabla5[[#This Row],[INVERSIONES FCI]])</f>
        <v>7152291135.3067741</v>
      </c>
      <c r="DC114" s="5">
        <f>IF($B113&lt;=Tabla5[[#This Row],[INVERSIONES FCI]],+Tabla5[[#This Row],[INVERSIONES FCI]]-DC113,Tabla5[[#This Row],[INVERSIONES FCI]])</f>
        <v>7152291135.3067741</v>
      </c>
      <c r="DD114" s="5">
        <f>IF($B113&lt;=Tabla5[[#This Row],[INVERSIONES FCI]],+Tabla5[[#This Row],[INVERSIONES FCI]]-DD113,Tabla5[[#This Row],[INVERSIONES FCI]])</f>
        <v>7152291135.3067741</v>
      </c>
      <c r="DE114" s="5">
        <f>IF($B113&lt;=Tabla5[[#This Row],[INVERSIONES FCI]],+Tabla5[[#This Row],[INVERSIONES FCI]]-DE113,Tabla5[[#This Row],[INVERSIONES FCI]])</f>
        <v>7152291135.3067741</v>
      </c>
      <c r="DF114" s="5">
        <f>IF($B113&lt;=Tabla5[[#This Row],[INVERSIONES FCI]],+Tabla5[[#This Row],[INVERSIONES FCI]]-DF113,Tabla5[[#This Row],[INVERSIONES FCI]])</f>
        <v>7152291135.3067741</v>
      </c>
      <c r="DG114" s="5">
        <f>IF($B113&lt;=Tabla5[[#This Row],[INVERSIONES FCI]],+Tabla5[[#This Row],[INVERSIONES FCI]]-DG113,Tabla5[[#This Row],[INVERSIONES FCI]])</f>
        <v>7152291135.3067741</v>
      </c>
      <c r="DH114" s="5">
        <f>IF($B113&lt;=Tabla5[[#This Row],[INVERSIONES FCI]],+Tabla5[[#This Row],[INVERSIONES FCI]]-DH113,Tabla5[[#This Row],[INVERSIONES FCI]])</f>
        <v>7152291135.3067741</v>
      </c>
      <c r="DI114" s="5">
        <f>IF($B113&lt;=Tabla5[[#This Row],[INVERSIONES FCI]],+Tabla5[[#This Row],[INVERSIONES FCI]]-DI113,Tabla5[[#This Row],[INVERSIONES FCI]])</f>
        <v>7152291135.3067741</v>
      </c>
      <c r="DJ114" s="5">
        <f>IF($B113&lt;=Tabla5[[#This Row],[INVERSIONES FCI]],+Tabla5[[#This Row],[INVERSIONES FCI]]-DJ113,Tabla5[[#This Row],[INVERSIONES FCI]])</f>
        <v>7152291135.3067741</v>
      </c>
      <c r="DK114" s="5" cm="1">
        <f t="array" ref="DK114">IF(Tabla5[[#This Row],[FCI]]=0,0,_xlfn.XLOOKUP(TRUE,$B114:DJ114&gt;0,$B114:DJ114,"",0,-1))</f>
        <v>7152291135.3067741</v>
      </c>
      <c r="DL114" s="5"/>
      <c r="DM114" s="5"/>
      <c r="DN114" s="5"/>
      <c r="DO114" s="5"/>
      <c r="DP114" s="5"/>
      <c r="DQ114" s="5"/>
    </row>
    <row r="115" spans="1:121" ht="14.4">
      <c r="A115" s="12" t="s">
        <v>114</v>
      </c>
      <c r="B115" s="5">
        <f>HLOOKUP($A115,ESCENARIO[#All],7,FALSE)</f>
        <v>32228455363.301018</v>
      </c>
      <c r="C115" s="5">
        <f>IF($B114&lt;=Tabla5[[#This Row],[INVERSIONES FCI]],+Tabla5[[#This Row],[INVERSIONES FCI]]-C114,Tabla5[[#This Row],[INVERSIONES FCI]])</f>
        <v>25076164227.994244</v>
      </c>
      <c r="D115" s="5">
        <f>IF($B114&lt;=Tabla5[[#This Row],[INVERSIONES FCI]],+Tabla5[[#This Row],[INVERSIONES FCI]]-D114,Tabla5[[#This Row],[INVERSIONES FCI]])</f>
        <v>25076164227.994244</v>
      </c>
      <c r="E115" s="5">
        <f>IF($B114&lt;=Tabla5[[#This Row],[INVERSIONES FCI]],+Tabla5[[#This Row],[INVERSIONES FCI]]-E114,Tabla5[[#This Row],[INVERSIONES FCI]])</f>
        <v>25076164227.994244</v>
      </c>
      <c r="F115" s="5">
        <f>IF($B114&lt;=Tabla5[[#This Row],[INVERSIONES FCI]],+Tabla5[[#This Row],[INVERSIONES FCI]]-F114,Tabla5[[#This Row],[INVERSIONES FCI]])</f>
        <v>25076164227.994244</v>
      </c>
      <c r="G115" s="5">
        <f>IF($B114&lt;=Tabla5[[#This Row],[INVERSIONES FCI]],+Tabla5[[#This Row],[INVERSIONES FCI]]-G114,Tabla5[[#This Row],[INVERSIONES FCI]])</f>
        <v>25076164227.994244</v>
      </c>
      <c r="H115" s="5">
        <f>IF($B114&lt;=Tabla5[[#This Row],[INVERSIONES FCI]],+Tabla5[[#This Row],[INVERSIONES FCI]]-H114,Tabla5[[#This Row],[INVERSIONES FCI]])</f>
        <v>25076164227.994244</v>
      </c>
      <c r="I115" s="5">
        <f>IF($B114&lt;=Tabla5[[#This Row],[INVERSIONES FCI]],+Tabla5[[#This Row],[INVERSIONES FCI]]-I114,Tabla5[[#This Row],[INVERSIONES FCI]])</f>
        <v>25076164227.994244</v>
      </c>
      <c r="J115" s="5">
        <f>IF($B114&lt;=Tabla5[[#This Row],[INVERSIONES FCI]],+Tabla5[[#This Row],[INVERSIONES FCI]]-J114,Tabla5[[#This Row],[INVERSIONES FCI]])</f>
        <v>25076164227.994244</v>
      </c>
      <c r="K115" s="5">
        <f>IF($B114&lt;=Tabla5[[#This Row],[INVERSIONES FCI]],+Tabla5[[#This Row],[INVERSIONES FCI]]-K114,Tabla5[[#This Row],[INVERSIONES FCI]])</f>
        <v>25076164227.994244</v>
      </c>
      <c r="L115" s="5">
        <f>IF($B114&lt;=Tabla5[[#This Row],[INVERSIONES FCI]],+Tabla5[[#This Row],[INVERSIONES FCI]]-L114,Tabla5[[#This Row],[INVERSIONES FCI]])</f>
        <v>25076164227.994244</v>
      </c>
      <c r="M115" s="5">
        <f>IF($B114&lt;=Tabla5[[#This Row],[INVERSIONES FCI]],+Tabla5[[#This Row],[INVERSIONES FCI]]-M114,Tabla5[[#This Row],[INVERSIONES FCI]])</f>
        <v>25076164227.994244</v>
      </c>
      <c r="N115" s="5">
        <f>IF($B114&lt;=Tabla5[[#This Row],[INVERSIONES FCI]],+Tabla5[[#This Row],[INVERSIONES FCI]]-N114,Tabla5[[#This Row],[INVERSIONES FCI]])</f>
        <v>25076164227.994244</v>
      </c>
      <c r="O115" s="5">
        <f>IF($B114&lt;=Tabla5[[#This Row],[INVERSIONES FCI]],+Tabla5[[#This Row],[INVERSIONES FCI]]-O114,Tabla5[[#This Row],[INVERSIONES FCI]])</f>
        <v>25076164227.994244</v>
      </c>
      <c r="P115" s="5">
        <f>IF($B114&lt;=Tabla5[[#This Row],[INVERSIONES FCI]],+Tabla5[[#This Row],[INVERSIONES FCI]]-P114,Tabla5[[#This Row],[INVERSIONES FCI]])</f>
        <v>25076164227.994244</v>
      </c>
      <c r="Q115" s="5">
        <f>IF($B114&lt;=Tabla5[[#This Row],[INVERSIONES FCI]],+Tabla5[[#This Row],[INVERSIONES FCI]]-Q114,Tabla5[[#This Row],[INVERSIONES FCI]])</f>
        <v>25076164227.994244</v>
      </c>
      <c r="R115" s="5">
        <f>IF($B114&lt;=Tabla5[[#This Row],[INVERSIONES FCI]],+Tabla5[[#This Row],[INVERSIONES FCI]]-R114,Tabla5[[#This Row],[INVERSIONES FCI]])</f>
        <v>25076164227.994244</v>
      </c>
      <c r="S115" s="5">
        <f>IF($B114&lt;=Tabla5[[#This Row],[INVERSIONES FCI]],+Tabla5[[#This Row],[INVERSIONES FCI]]-S114,Tabla5[[#This Row],[INVERSIONES FCI]])</f>
        <v>25076164227.994244</v>
      </c>
      <c r="T115" s="5">
        <f>IF($B114&lt;=Tabla5[[#This Row],[INVERSIONES FCI]],+Tabla5[[#This Row],[INVERSIONES FCI]]-T114,Tabla5[[#This Row],[INVERSIONES FCI]])</f>
        <v>25076164227.994244</v>
      </c>
      <c r="U115" s="5">
        <f>IF($B114&lt;=Tabla5[[#This Row],[INVERSIONES FCI]],+Tabla5[[#This Row],[INVERSIONES FCI]]-U114,Tabla5[[#This Row],[INVERSIONES FCI]])</f>
        <v>25076164227.994244</v>
      </c>
      <c r="V115" s="5">
        <f>IF($B114&lt;=Tabla5[[#This Row],[INVERSIONES FCI]],+Tabla5[[#This Row],[INVERSIONES FCI]]-V114,Tabla5[[#This Row],[INVERSIONES FCI]])</f>
        <v>25076164227.994244</v>
      </c>
      <c r="W115" s="5">
        <f>IF($B114&lt;=Tabla5[[#This Row],[INVERSIONES FCI]],+Tabla5[[#This Row],[INVERSIONES FCI]]-W114,Tabla5[[#This Row],[INVERSIONES FCI]])</f>
        <v>25076164227.994244</v>
      </c>
      <c r="X115" s="5">
        <f>IF($B114&lt;=Tabla5[[#This Row],[INVERSIONES FCI]],+Tabla5[[#This Row],[INVERSIONES FCI]]-X114,Tabla5[[#This Row],[INVERSIONES FCI]])</f>
        <v>25076164227.994244</v>
      </c>
      <c r="Y115" s="5">
        <f>IF($B114&lt;=Tabla5[[#This Row],[INVERSIONES FCI]],+Tabla5[[#This Row],[INVERSIONES FCI]]-Y114,Tabla5[[#This Row],[INVERSIONES FCI]])</f>
        <v>25076164227.994244</v>
      </c>
      <c r="Z115" s="5">
        <f>IF($B114&lt;=Tabla5[[#This Row],[INVERSIONES FCI]],+Tabla5[[#This Row],[INVERSIONES FCI]]-Z114,Tabla5[[#This Row],[INVERSIONES FCI]])</f>
        <v>25076164227.994244</v>
      </c>
      <c r="AA115" s="5">
        <f>IF($B114&lt;=Tabla5[[#This Row],[INVERSIONES FCI]],+Tabla5[[#This Row],[INVERSIONES FCI]]-AA114,Tabla5[[#This Row],[INVERSIONES FCI]])</f>
        <v>25076164227.994244</v>
      </c>
      <c r="AB115" s="5">
        <f>IF($B114&lt;=Tabla5[[#This Row],[INVERSIONES FCI]],+Tabla5[[#This Row],[INVERSIONES FCI]]-AB114,Tabla5[[#This Row],[INVERSIONES FCI]])</f>
        <v>25076164227.994244</v>
      </c>
      <c r="AC115" s="5">
        <f>IF($B114&lt;=Tabla5[[#This Row],[INVERSIONES FCI]],+Tabla5[[#This Row],[INVERSIONES FCI]]-AC114,Tabla5[[#This Row],[INVERSIONES FCI]])</f>
        <v>25076164227.994244</v>
      </c>
      <c r="AD115" s="5">
        <f>IF($B114&lt;=Tabla5[[#This Row],[INVERSIONES FCI]],+Tabla5[[#This Row],[INVERSIONES FCI]]-AD114,Tabla5[[#This Row],[INVERSIONES FCI]])</f>
        <v>25076164227.994244</v>
      </c>
      <c r="AE115" s="5">
        <f>IF($B114&lt;=Tabla5[[#This Row],[INVERSIONES FCI]],+Tabla5[[#This Row],[INVERSIONES FCI]]-AE114,Tabla5[[#This Row],[INVERSIONES FCI]])</f>
        <v>25076164227.994244</v>
      </c>
      <c r="AF115" s="5">
        <f>IF($B114&lt;=Tabla5[[#This Row],[INVERSIONES FCI]],+Tabla5[[#This Row],[INVERSIONES FCI]]-AF114,Tabla5[[#This Row],[INVERSIONES FCI]])</f>
        <v>25076164227.994244</v>
      </c>
      <c r="AG115" s="5">
        <f>IF($B114&lt;=Tabla5[[#This Row],[INVERSIONES FCI]],+Tabla5[[#This Row],[INVERSIONES FCI]]-AG114,Tabla5[[#This Row],[INVERSIONES FCI]])</f>
        <v>25076164227.994244</v>
      </c>
      <c r="AH115" s="5">
        <f>IF($B114&lt;=Tabla5[[#This Row],[INVERSIONES FCI]],+Tabla5[[#This Row],[INVERSIONES FCI]]-AH114,Tabla5[[#This Row],[INVERSIONES FCI]])</f>
        <v>25076164227.994244</v>
      </c>
      <c r="AI115" s="5">
        <f>IF($B114&lt;=Tabla5[[#This Row],[INVERSIONES FCI]],+Tabla5[[#This Row],[INVERSIONES FCI]]-AI114,Tabla5[[#This Row],[INVERSIONES FCI]])</f>
        <v>25076164227.994244</v>
      </c>
      <c r="AJ115" s="5">
        <f>IF($B114&lt;=Tabla5[[#This Row],[INVERSIONES FCI]],+Tabla5[[#This Row],[INVERSIONES FCI]]-AJ114,Tabla5[[#This Row],[INVERSIONES FCI]])</f>
        <v>25076164227.994244</v>
      </c>
      <c r="AK115" s="5">
        <f>IF($B114&lt;=Tabla5[[#This Row],[INVERSIONES FCI]],+Tabla5[[#This Row],[INVERSIONES FCI]]-AK114,Tabla5[[#This Row],[INVERSIONES FCI]])</f>
        <v>25076164227.994244</v>
      </c>
      <c r="AL115" s="5">
        <f>IF($B114&lt;=Tabla5[[#This Row],[INVERSIONES FCI]],+Tabla5[[#This Row],[INVERSIONES FCI]]-AL114,Tabla5[[#This Row],[INVERSIONES FCI]])</f>
        <v>25076164227.994244</v>
      </c>
      <c r="AM115" s="5">
        <f>IF($B114&lt;=Tabla5[[#This Row],[INVERSIONES FCI]],+Tabla5[[#This Row],[INVERSIONES FCI]]-AM114,Tabla5[[#This Row],[INVERSIONES FCI]])</f>
        <v>25076164227.994244</v>
      </c>
      <c r="AN115" s="5">
        <f>IF($B114&lt;=Tabla5[[#This Row],[INVERSIONES FCI]],+Tabla5[[#This Row],[INVERSIONES FCI]]-AN114,Tabla5[[#This Row],[INVERSIONES FCI]])</f>
        <v>25076164227.994244</v>
      </c>
      <c r="AO115" s="5">
        <f>IF($B114&lt;=Tabla5[[#This Row],[INVERSIONES FCI]],+Tabla5[[#This Row],[INVERSIONES FCI]]-AO114,Tabla5[[#This Row],[INVERSIONES FCI]])</f>
        <v>25076164227.994244</v>
      </c>
      <c r="AP115" s="5">
        <f>IF($B114&lt;=Tabla5[[#This Row],[INVERSIONES FCI]],+Tabla5[[#This Row],[INVERSIONES FCI]]-AP114,Tabla5[[#This Row],[INVERSIONES FCI]])</f>
        <v>25076164227.994244</v>
      </c>
      <c r="AQ115" s="5">
        <f>IF($B114&lt;=Tabla5[[#This Row],[INVERSIONES FCI]],+Tabla5[[#This Row],[INVERSIONES FCI]]-AQ114,Tabla5[[#This Row],[INVERSIONES FCI]])</f>
        <v>25076164227.994244</v>
      </c>
      <c r="AR115" s="5">
        <f>IF($B114&lt;=Tabla5[[#This Row],[INVERSIONES FCI]],+Tabla5[[#This Row],[INVERSIONES FCI]]-AR114,Tabla5[[#This Row],[INVERSIONES FCI]])</f>
        <v>25076164227.994244</v>
      </c>
      <c r="AS115" s="5">
        <f>IF($B114&lt;=Tabla5[[#This Row],[INVERSIONES FCI]],+Tabla5[[#This Row],[INVERSIONES FCI]]-AS114,Tabla5[[#This Row],[INVERSIONES FCI]])</f>
        <v>25076164227.994244</v>
      </c>
      <c r="AT115" s="5">
        <f>IF($B114&lt;=Tabla5[[#This Row],[INVERSIONES FCI]],+Tabla5[[#This Row],[INVERSIONES FCI]]-AT114,Tabla5[[#This Row],[INVERSIONES FCI]])</f>
        <v>25076164227.994244</v>
      </c>
      <c r="AU115" s="5">
        <f>IF($B114&lt;=Tabla5[[#This Row],[INVERSIONES FCI]],+Tabla5[[#This Row],[INVERSIONES FCI]]-AU114,Tabla5[[#This Row],[INVERSIONES FCI]])</f>
        <v>25076164227.994244</v>
      </c>
      <c r="AV115" s="5">
        <f>IF($B114&lt;=Tabla5[[#This Row],[INVERSIONES FCI]],+Tabla5[[#This Row],[INVERSIONES FCI]]-AV114,Tabla5[[#This Row],[INVERSIONES FCI]])</f>
        <v>25076164227.994244</v>
      </c>
      <c r="AW115" s="5">
        <f>IF($B114&lt;=Tabla5[[#This Row],[INVERSIONES FCI]],+Tabla5[[#This Row],[INVERSIONES FCI]]-AW114,Tabla5[[#This Row],[INVERSIONES FCI]])</f>
        <v>25076164227.994244</v>
      </c>
      <c r="AX115" s="5">
        <f>IF($B114&lt;=Tabla5[[#This Row],[INVERSIONES FCI]],+Tabla5[[#This Row],[INVERSIONES FCI]]-AX114,Tabla5[[#This Row],[INVERSIONES FCI]])</f>
        <v>25076164227.994244</v>
      </c>
      <c r="AY115" s="5">
        <f>IF($B114&lt;=Tabla5[[#This Row],[INVERSIONES FCI]],+Tabla5[[#This Row],[INVERSIONES FCI]]-AY114,Tabla5[[#This Row],[INVERSIONES FCI]])</f>
        <v>25076164227.994244</v>
      </c>
      <c r="AZ115" s="5">
        <f>IF($B114&lt;=Tabla5[[#This Row],[INVERSIONES FCI]],+Tabla5[[#This Row],[INVERSIONES FCI]]-AZ114,Tabla5[[#This Row],[INVERSIONES FCI]])</f>
        <v>25076164227.994244</v>
      </c>
      <c r="BA115" s="5">
        <f>IF($B114&lt;=Tabla5[[#This Row],[INVERSIONES FCI]],+Tabla5[[#This Row],[INVERSIONES FCI]]-BA114,Tabla5[[#This Row],[INVERSIONES FCI]])</f>
        <v>25076164227.994244</v>
      </c>
      <c r="BB115" s="5">
        <f>IF($B114&lt;=Tabla5[[#This Row],[INVERSIONES FCI]],+Tabla5[[#This Row],[INVERSIONES FCI]]-BB114,Tabla5[[#This Row],[INVERSIONES FCI]])</f>
        <v>25076164227.994244</v>
      </c>
      <c r="BC115" s="5">
        <f>IF($B114&lt;=Tabla5[[#This Row],[INVERSIONES FCI]],+Tabla5[[#This Row],[INVERSIONES FCI]]-BC114,Tabla5[[#This Row],[INVERSIONES FCI]])</f>
        <v>25076164227.994244</v>
      </c>
      <c r="BD115" s="5">
        <f>IF($B114&lt;=Tabla5[[#This Row],[INVERSIONES FCI]],+Tabla5[[#This Row],[INVERSIONES FCI]]-BD114,Tabla5[[#This Row],[INVERSIONES FCI]])</f>
        <v>25076164227.994244</v>
      </c>
      <c r="BE115" s="5">
        <f>IF($B114&lt;=Tabla5[[#This Row],[INVERSIONES FCI]],+Tabla5[[#This Row],[INVERSIONES FCI]]-BE114,Tabla5[[#This Row],[INVERSIONES FCI]])</f>
        <v>25076164227.994244</v>
      </c>
      <c r="BF115" s="5">
        <f>IF($B114&lt;=Tabla5[[#This Row],[INVERSIONES FCI]],+Tabla5[[#This Row],[INVERSIONES FCI]]-BF114,Tabla5[[#This Row],[INVERSIONES FCI]])</f>
        <v>25076164227.994244</v>
      </c>
      <c r="BG115" s="5">
        <f>IF($B114&lt;=Tabla5[[#This Row],[INVERSIONES FCI]],+Tabla5[[#This Row],[INVERSIONES FCI]]-BG114,Tabla5[[#This Row],[INVERSIONES FCI]])</f>
        <v>25076164227.994244</v>
      </c>
      <c r="BH115" s="5">
        <f>IF($B114&lt;=Tabla5[[#This Row],[INVERSIONES FCI]],+Tabla5[[#This Row],[INVERSIONES FCI]]-BH114,Tabla5[[#This Row],[INVERSIONES FCI]])</f>
        <v>25076164227.994244</v>
      </c>
      <c r="BI115" s="5">
        <f>IF($B114&lt;=Tabla5[[#This Row],[INVERSIONES FCI]],+Tabla5[[#This Row],[INVERSIONES FCI]]-BI114,Tabla5[[#This Row],[INVERSIONES FCI]])</f>
        <v>25076164227.994244</v>
      </c>
      <c r="BJ115" s="5">
        <f>IF($B114&lt;=Tabla5[[#This Row],[INVERSIONES FCI]],+Tabla5[[#This Row],[INVERSIONES FCI]]-BJ114,Tabla5[[#This Row],[INVERSIONES FCI]])</f>
        <v>25076164227.994244</v>
      </c>
      <c r="BK115" s="5">
        <f>IF($B114&lt;=Tabla5[[#This Row],[INVERSIONES FCI]],+Tabla5[[#This Row],[INVERSIONES FCI]]-BK114,Tabla5[[#This Row],[INVERSIONES FCI]])</f>
        <v>25076164227.994244</v>
      </c>
      <c r="BL115" s="5">
        <f>IF($B114&lt;=Tabla5[[#This Row],[INVERSIONES FCI]],+Tabla5[[#This Row],[INVERSIONES FCI]]-BL114,Tabla5[[#This Row],[INVERSIONES FCI]])</f>
        <v>25076164227.994244</v>
      </c>
      <c r="BM115" s="5">
        <f>IF($B114&lt;=Tabla5[[#This Row],[INVERSIONES FCI]],+Tabla5[[#This Row],[INVERSIONES FCI]]-BM114,Tabla5[[#This Row],[INVERSIONES FCI]])</f>
        <v>25076164227.994244</v>
      </c>
      <c r="BN115" s="5">
        <f>IF($B114&lt;=Tabla5[[#This Row],[INVERSIONES FCI]],+Tabla5[[#This Row],[INVERSIONES FCI]]-BN114,Tabla5[[#This Row],[INVERSIONES FCI]])</f>
        <v>25076164227.994244</v>
      </c>
      <c r="BO115" s="5">
        <f>IF($B114&lt;=Tabla5[[#This Row],[INVERSIONES FCI]],+Tabla5[[#This Row],[INVERSIONES FCI]]-BO114,Tabla5[[#This Row],[INVERSIONES FCI]])</f>
        <v>25076164227.994244</v>
      </c>
      <c r="BP115" s="5">
        <f>IF($B114&lt;=Tabla5[[#This Row],[INVERSIONES FCI]],+Tabla5[[#This Row],[INVERSIONES FCI]]-BP114,Tabla5[[#This Row],[INVERSIONES FCI]])</f>
        <v>25076164227.994244</v>
      </c>
      <c r="BQ115" s="5">
        <f>IF($B114&lt;=Tabla5[[#This Row],[INVERSIONES FCI]],+Tabla5[[#This Row],[INVERSIONES FCI]]-BQ114,Tabla5[[#This Row],[INVERSIONES FCI]])</f>
        <v>25076164227.994244</v>
      </c>
      <c r="BR115" s="5">
        <f>IF($B114&lt;=Tabla5[[#This Row],[INVERSIONES FCI]],+Tabla5[[#This Row],[INVERSIONES FCI]]-BR114,Tabla5[[#This Row],[INVERSIONES FCI]])</f>
        <v>25076164227.994244</v>
      </c>
      <c r="BS115" s="5">
        <f>IF($B114&lt;=Tabla5[[#This Row],[INVERSIONES FCI]],+Tabla5[[#This Row],[INVERSIONES FCI]]-BS114,Tabla5[[#This Row],[INVERSIONES FCI]])</f>
        <v>25076164227.994244</v>
      </c>
      <c r="BT115" s="5">
        <f>IF($B114&lt;=Tabla5[[#This Row],[INVERSIONES FCI]],+Tabla5[[#This Row],[INVERSIONES FCI]]-BT114,Tabla5[[#This Row],[INVERSIONES FCI]])</f>
        <v>25076164227.994244</v>
      </c>
      <c r="BU115" s="5">
        <f>IF($B114&lt;=Tabla5[[#This Row],[INVERSIONES FCI]],+Tabla5[[#This Row],[INVERSIONES FCI]]-BU114,Tabla5[[#This Row],[INVERSIONES FCI]])</f>
        <v>25076164227.994244</v>
      </c>
      <c r="BV115" s="5">
        <f>IF($B114&lt;=Tabla5[[#This Row],[INVERSIONES FCI]],+Tabla5[[#This Row],[INVERSIONES FCI]]-BV114,Tabla5[[#This Row],[INVERSIONES FCI]])</f>
        <v>25076164227.994244</v>
      </c>
      <c r="BW115" s="5">
        <f>IF($B114&lt;=Tabla5[[#This Row],[INVERSIONES FCI]],+Tabla5[[#This Row],[INVERSIONES FCI]]-BW114,Tabla5[[#This Row],[INVERSIONES FCI]])</f>
        <v>25076164227.994244</v>
      </c>
      <c r="BX115" s="5">
        <f>IF($B114&lt;=Tabla5[[#This Row],[INVERSIONES FCI]],+Tabla5[[#This Row],[INVERSIONES FCI]]-BX114,Tabla5[[#This Row],[INVERSIONES FCI]])</f>
        <v>25076164227.994244</v>
      </c>
      <c r="BY115" s="5">
        <f>IF($B114&lt;=Tabla5[[#This Row],[INVERSIONES FCI]],+Tabla5[[#This Row],[INVERSIONES FCI]]-BY114,Tabla5[[#This Row],[INVERSIONES FCI]])</f>
        <v>25076164227.994244</v>
      </c>
      <c r="BZ115" s="5">
        <f>IF($B114&lt;=Tabla5[[#This Row],[INVERSIONES FCI]],+Tabla5[[#This Row],[INVERSIONES FCI]]-BZ114,Tabla5[[#This Row],[INVERSIONES FCI]])</f>
        <v>25076164227.994244</v>
      </c>
      <c r="CA115" s="5">
        <f>IF($B114&lt;=Tabla5[[#This Row],[INVERSIONES FCI]],+Tabla5[[#This Row],[INVERSIONES FCI]]-CA114,Tabla5[[#This Row],[INVERSIONES FCI]])</f>
        <v>25076164227.994244</v>
      </c>
      <c r="CB115" s="5">
        <f>IF($B114&lt;=Tabla5[[#This Row],[INVERSIONES FCI]],+Tabla5[[#This Row],[INVERSIONES FCI]]-CB114,Tabla5[[#This Row],[INVERSIONES FCI]])</f>
        <v>25076164227.994244</v>
      </c>
      <c r="CC115" s="5">
        <f>IF($B114&lt;=Tabla5[[#This Row],[INVERSIONES FCI]],+Tabla5[[#This Row],[INVERSIONES FCI]]-CC114,Tabla5[[#This Row],[INVERSIONES FCI]])</f>
        <v>25076164227.994244</v>
      </c>
      <c r="CD115" s="5">
        <f>IF($B114&lt;=Tabla5[[#This Row],[INVERSIONES FCI]],+Tabla5[[#This Row],[INVERSIONES FCI]]-CD114,Tabla5[[#This Row],[INVERSIONES FCI]])</f>
        <v>25076164227.994244</v>
      </c>
      <c r="CE115" s="5">
        <f>IF($B114&lt;=Tabla5[[#This Row],[INVERSIONES FCI]],+Tabla5[[#This Row],[INVERSIONES FCI]]-CE114,Tabla5[[#This Row],[INVERSIONES FCI]])</f>
        <v>25076164227.994244</v>
      </c>
      <c r="CF115" s="5">
        <f>IF($B114&lt;=Tabla5[[#This Row],[INVERSIONES FCI]],+Tabla5[[#This Row],[INVERSIONES FCI]]-CF114,Tabla5[[#This Row],[INVERSIONES FCI]])</f>
        <v>25076164227.994244</v>
      </c>
      <c r="CG115" s="5">
        <f>IF($B114&lt;=Tabla5[[#This Row],[INVERSIONES FCI]],+Tabla5[[#This Row],[INVERSIONES FCI]]-CG114,Tabla5[[#This Row],[INVERSIONES FCI]])</f>
        <v>25076164227.994244</v>
      </c>
      <c r="CH115" s="5">
        <f>IF($B114&lt;=Tabla5[[#This Row],[INVERSIONES FCI]],+Tabla5[[#This Row],[INVERSIONES FCI]]-CH114,Tabla5[[#This Row],[INVERSIONES FCI]])</f>
        <v>25076164227.994244</v>
      </c>
      <c r="CI115" s="5">
        <f>IF($B114&lt;=Tabla5[[#This Row],[INVERSIONES FCI]],+Tabla5[[#This Row],[INVERSIONES FCI]]-CI114,Tabla5[[#This Row],[INVERSIONES FCI]])</f>
        <v>25076164227.994244</v>
      </c>
      <c r="CJ115" s="5">
        <f>IF($B114&lt;=Tabla5[[#This Row],[INVERSIONES FCI]],+Tabla5[[#This Row],[INVERSIONES FCI]]-CJ114,Tabla5[[#This Row],[INVERSIONES FCI]])</f>
        <v>25076164227.994244</v>
      </c>
      <c r="CK115" s="5">
        <f>IF($B114&lt;=Tabla5[[#This Row],[INVERSIONES FCI]],+Tabla5[[#This Row],[INVERSIONES FCI]]-CK114,Tabla5[[#This Row],[INVERSIONES FCI]])</f>
        <v>25076164227.994244</v>
      </c>
      <c r="CL115" s="5">
        <f>IF($B114&lt;=Tabla5[[#This Row],[INVERSIONES FCI]],+Tabla5[[#This Row],[INVERSIONES FCI]]-CL114,Tabla5[[#This Row],[INVERSIONES FCI]])</f>
        <v>25076164227.994244</v>
      </c>
      <c r="CM115" s="5">
        <f>IF($B114&lt;=Tabla5[[#This Row],[INVERSIONES FCI]],+Tabla5[[#This Row],[INVERSIONES FCI]]-CM114,Tabla5[[#This Row],[INVERSIONES FCI]])</f>
        <v>25076164227.994244</v>
      </c>
      <c r="CN115" s="5">
        <f>IF($B114&lt;=Tabla5[[#This Row],[INVERSIONES FCI]],+Tabla5[[#This Row],[INVERSIONES FCI]]-CN114,Tabla5[[#This Row],[INVERSIONES FCI]])</f>
        <v>25076164227.994244</v>
      </c>
      <c r="CO115" s="5">
        <f>IF($B114&lt;=Tabla5[[#This Row],[INVERSIONES FCI]],+Tabla5[[#This Row],[INVERSIONES FCI]]-CO114,Tabla5[[#This Row],[INVERSIONES FCI]])</f>
        <v>25076164227.994244</v>
      </c>
      <c r="CP115" s="5">
        <f>IF($B114&lt;=Tabla5[[#This Row],[INVERSIONES FCI]],+Tabla5[[#This Row],[INVERSIONES FCI]]-CP114,Tabla5[[#This Row],[INVERSIONES FCI]])</f>
        <v>25076164227.994244</v>
      </c>
      <c r="CQ115" s="5">
        <f>IF($B114&lt;=Tabla5[[#This Row],[INVERSIONES FCI]],+Tabla5[[#This Row],[INVERSIONES FCI]]-CQ114,Tabla5[[#This Row],[INVERSIONES FCI]])</f>
        <v>25076164227.994244</v>
      </c>
      <c r="CR115" s="5">
        <f>IF($B114&lt;=Tabla5[[#This Row],[INVERSIONES FCI]],+Tabla5[[#This Row],[INVERSIONES FCI]]-CR114,Tabla5[[#This Row],[INVERSIONES FCI]])</f>
        <v>25076164227.994244</v>
      </c>
      <c r="CS115" s="5">
        <f>IF($B114&lt;=Tabla5[[#This Row],[INVERSIONES FCI]],+Tabla5[[#This Row],[INVERSIONES FCI]]-CS114,Tabla5[[#This Row],[INVERSIONES FCI]])</f>
        <v>25076164227.994244</v>
      </c>
      <c r="CT115" s="5">
        <f>IF($B114&lt;=Tabla5[[#This Row],[INVERSIONES FCI]],+Tabla5[[#This Row],[INVERSIONES FCI]]-CT114,Tabla5[[#This Row],[INVERSIONES FCI]])</f>
        <v>25076164227.994244</v>
      </c>
      <c r="CU115" s="5">
        <f>IF($B114&lt;=Tabla5[[#This Row],[INVERSIONES FCI]],+Tabla5[[#This Row],[INVERSIONES FCI]]-CU114,Tabla5[[#This Row],[INVERSIONES FCI]])</f>
        <v>25076164227.994244</v>
      </c>
      <c r="CV115" s="5">
        <f>IF($B114&lt;=Tabla5[[#This Row],[INVERSIONES FCI]],+Tabla5[[#This Row],[INVERSIONES FCI]]-CV114,Tabla5[[#This Row],[INVERSIONES FCI]])</f>
        <v>25076164227.994244</v>
      </c>
      <c r="CW115" s="5">
        <f>IF($B114&lt;=Tabla5[[#This Row],[INVERSIONES FCI]],+Tabla5[[#This Row],[INVERSIONES FCI]]-CW114,Tabla5[[#This Row],[INVERSIONES FCI]])</f>
        <v>25076164227.994244</v>
      </c>
      <c r="CX115" s="5">
        <f>IF($B114&lt;=Tabla5[[#This Row],[INVERSIONES FCI]],+Tabla5[[#This Row],[INVERSIONES FCI]]-CX114,Tabla5[[#This Row],[INVERSIONES FCI]])</f>
        <v>25076164227.994244</v>
      </c>
      <c r="CY115" s="5">
        <f>IF($B114&lt;=Tabla5[[#This Row],[INVERSIONES FCI]],+Tabla5[[#This Row],[INVERSIONES FCI]]-CY114,Tabla5[[#This Row],[INVERSIONES FCI]])</f>
        <v>25076164227.994244</v>
      </c>
      <c r="CZ115" s="5">
        <f>IF($B114&lt;=Tabla5[[#This Row],[INVERSIONES FCI]],+Tabla5[[#This Row],[INVERSIONES FCI]]-CZ114,Tabla5[[#This Row],[INVERSIONES FCI]])</f>
        <v>25076164227.994244</v>
      </c>
      <c r="DA115" s="5">
        <f>IF($B114&lt;=Tabla5[[#This Row],[INVERSIONES FCI]],+Tabla5[[#This Row],[INVERSIONES FCI]]-DA114,Tabla5[[#This Row],[INVERSIONES FCI]])</f>
        <v>25076164227.994244</v>
      </c>
      <c r="DB115" s="5">
        <f>IF($B114&lt;=Tabla5[[#This Row],[INVERSIONES FCI]],+Tabla5[[#This Row],[INVERSIONES FCI]]-DB114,Tabla5[[#This Row],[INVERSIONES FCI]])</f>
        <v>25076164227.994244</v>
      </c>
      <c r="DC115" s="5">
        <f>IF($B114&lt;=Tabla5[[#This Row],[INVERSIONES FCI]],+Tabla5[[#This Row],[INVERSIONES FCI]]-DC114,Tabla5[[#This Row],[INVERSIONES FCI]])</f>
        <v>25076164227.994244</v>
      </c>
      <c r="DD115" s="5">
        <f>IF($B114&lt;=Tabla5[[#This Row],[INVERSIONES FCI]],+Tabla5[[#This Row],[INVERSIONES FCI]]-DD114,Tabla5[[#This Row],[INVERSIONES FCI]])</f>
        <v>25076164227.994244</v>
      </c>
      <c r="DE115" s="5">
        <f>IF($B114&lt;=Tabla5[[#This Row],[INVERSIONES FCI]],+Tabla5[[#This Row],[INVERSIONES FCI]]-DE114,Tabla5[[#This Row],[INVERSIONES FCI]])</f>
        <v>25076164227.994244</v>
      </c>
      <c r="DF115" s="5">
        <f>IF($B114&lt;=Tabla5[[#This Row],[INVERSIONES FCI]],+Tabla5[[#This Row],[INVERSIONES FCI]]-DF114,Tabla5[[#This Row],[INVERSIONES FCI]])</f>
        <v>25076164227.994244</v>
      </c>
      <c r="DG115" s="5">
        <f>IF($B114&lt;=Tabla5[[#This Row],[INVERSIONES FCI]],+Tabla5[[#This Row],[INVERSIONES FCI]]-DG114,Tabla5[[#This Row],[INVERSIONES FCI]])</f>
        <v>25076164227.994244</v>
      </c>
      <c r="DH115" s="5">
        <f>IF($B114&lt;=Tabla5[[#This Row],[INVERSIONES FCI]],+Tabla5[[#This Row],[INVERSIONES FCI]]-DH114,Tabla5[[#This Row],[INVERSIONES FCI]])</f>
        <v>25076164227.994244</v>
      </c>
      <c r="DI115" s="5">
        <f>IF($B114&lt;=Tabla5[[#This Row],[INVERSIONES FCI]],+Tabla5[[#This Row],[INVERSIONES FCI]]-DI114,Tabla5[[#This Row],[INVERSIONES FCI]])</f>
        <v>25076164227.994244</v>
      </c>
      <c r="DJ115" s="5">
        <f>IF($B114&lt;=Tabla5[[#This Row],[INVERSIONES FCI]],+Tabla5[[#This Row],[INVERSIONES FCI]]-DJ114,Tabla5[[#This Row],[INVERSIONES FCI]])</f>
        <v>25076164227.994244</v>
      </c>
      <c r="DK115" s="5">
        <f>IF($B114&lt;=Tabla5[[#This Row],[INVERSIONES FCI]],+Tabla5[[#This Row],[INVERSIONES FCI]]-DK114,Tabla5[[#This Row],[INVERSIONES FCI]])</f>
        <v>25076164227.994244</v>
      </c>
      <c r="DL115" s="5"/>
      <c r="DM115" s="5"/>
      <c r="DN115" s="5"/>
      <c r="DO115" s="5"/>
      <c r="DP115" s="5"/>
      <c r="DQ115" s="5"/>
    </row>
    <row r="116" spans="1:121" ht="14.4">
      <c r="A116" s="12" t="s">
        <v>115</v>
      </c>
      <c r="B116" s="5">
        <f>HLOOKUP($A116,ESCENARIO[#All],7,FALSE)</f>
        <v>25442090367.231018</v>
      </c>
      <c r="C116" s="5">
        <f>IF($B115&lt;=Tabla5[[#This Row],[INVERSIONES FCI]],+Tabla5[[#This Row],[INVERSIONES FCI]]-C115,Tabla5[[#This Row],[INVERSIONES FCI]])</f>
        <v>25442090367.231018</v>
      </c>
      <c r="D116" s="5">
        <f>IF($B115&lt;=Tabla5[[#This Row],[INVERSIONES FCI]],+Tabla5[[#This Row],[INVERSIONES FCI]]-D115,Tabla5[[#This Row],[INVERSIONES FCI]])</f>
        <v>25442090367.231018</v>
      </c>
      <c r="E116" s="5">
        <f>IF($B115&lt;=Tabla5[[#This Row],[INVERSIONES FCI]],+Tabla5[[#This Row],[INVERSIONES FCI]]-E115,Tabla5[[#This Row],[INVERSIONES FCI]])</f>
        <v>25442090367.231018</v>
      </c>
      <c r="F116" s="5">
        <f>IF($B115&lt;=Tabla5[[#This Row],[INVERSIONES FCI]],+Tabla5[[#This Row],[INVERSIONES FCI]]-F115,Tabla5[[#This Row],[INVERSIONES FCI]])</f>
        <v>25442090367.231018</v>
      </c>
      <c r="G116" s="5">
        <f>IF($B115&lt;=Tabla5[[#This Row],[INVERSIONES FCI]],+Tabla5[[#This Row],[INVERSIONES FCI]]-G115,Tabla5[[#This Row],[INVERSIONES FCI]])</f>
        <v>25442090367.231018</v>
      </c>
      <c r="H116" s="5">
        <f>IF($B115&lt;=Tabla5[[#This Row],[INVERSIONES FCI]],+Tabla5[[#This Row],[INVERSIONES FCI]]-H115,Tabla5[[#This Row],[INVERSIONES FCI]])</f>
        <v>25442090367.231018</v>
      </c>
      <c r="I116" s="5">
        <f>IF($B115&lt;=Tabla5[[#This Row],[INVERSIONES FCI]],+Tabla5[[#This Row],[INVERSIONES FCI]]-I115,Tabla5[[#This Row],[INVERSIONES FCI]])</f>
        <v>25442090367.231018</v>
      </c>
      <c r="J116" s="5">
        <f>IF($B115&lt;=Tabla5[[#This Row],[INVERSIONES FCI]],+Tabla5[[#This Row],[INVERSIONES FCI]]-J115,Tabla5[[#This Row],[INVERSIONES FCI]])</f>
        <v>25442090367.231018</v>
      </c>
      <c r="K116" s="5">
        <f>IF($B115&lt;=Tabla5[[#This Row],[INVERSIONES FCI]],+Tabla5[[#This Row],[INVERSIONES FCI]]-K115,Tabla5[[#This Row],[INVERSIONES FCI]])</f>
        <v>25442090367.231018</v>
      </c>
      <c r="L116" s="5">
        <f>IF($B115&lt;=Tabla5[[#This Row],[INVERSIONES FCI]],+Tabla5[[#This Row],[INVERSIONES FCI]]-L115,Tabla5[[#This Row],[INVERSIONES FCI]])</f>
        <v>25442090367.231018</v>
      </c>
      <c r="M116" s="5">
        <f>IF($B115&lt;=Tabla5[[#This Row],[INVERSIONES FCI]],+Tabla5[[#This Row],[INVERSIONES FCI]]-M115,Tabla5[[#This Row],[INVERSIONES FCI]])</f>
        <v>25442090367.231018</v>
      </c>
      <c r="N116" s="5">
        <f>IF($B115&lt;=Tabla5[[#This Row],[INVERSIONES FCI]],+Tabla5[[#This Row],[INVERSIONES FCI]]-N115,Tabla5[[#This Row],[INVERSIONES FCI]])</f>
        <v>25442090367.231018</v>
      </c>
      <c r="O116" s="5">
        <f>IF($B115&lt;=Tabla5[[#This Row],[INVERSIONES FCI]],+Tabla5[[#This Row],[INVERSIONES FCI]]-O115,Tabla5[[#This Row],[INVERSIONES FCI]])</f>
        <v>25442090367.231018</v>
      </c>
      <c r="P116" s="5">
        <f>IF($B115&lt;=Tabla5[[#This Row],[INVERSIONES FCI]],+Tabla5[[#This Row],[INVERSIONES FCI]]-P115,Tabla5[[#This Row],[INVERSIONES FCI]])</f>
        <v>25442090367.231018</v>
      </c>
      <c r="Q116" s="5">
        <f>IF($B115&lt;=Tabla5[[#This Row],[INVERSIONES FCI]],+Tabla5[[#This Row],[INVERSIONES FCI]]-Q115,Tabla5[[#This Row],[INVERSIONES FCI]])</f>
        <v>25442090367.231018</v>
      </c>
      <c r="R116" s="5">
        <f>IF($B115&lt;=Tabla5[[#This Row],[INVERSIONES FCI]],+Tabla5[[#This Row],[INVERSIONES FCI]]-R115,Tabla5[[#This Row],[INVERSIONES FCI]])</f>
        <v>25442090367.231018</v>
      </c>
      <c r="S116" s="5">
        <f>IF($B115&lt;=Tabla5[[#This Row],[INVERSIONES FCI]],+Tabla5[[#This Row],[INVERSIONES FCI]]-S115,Tabla5[[#This Row],[INVERSIONES FCI]])</f>
        <v>25442090367.231018</v>
      </c>
      <c r="T116" s="5">
        <f>IF($B115&lt;=Tabla5[[#This Row],[INVERSIONES FCI]],+Tabla5[[#This Row],[INVERSIONES FCI]]-T115,Tabla5[[#This Row],[INVERSIONES FCI]])</f>
        <v>25442090367.231018</v>
      </c>
      <c r="U116" s="5">
        <f>IF($B115&lt;=Tabla5[[#This Row],[INVERSIONES FCI]],+Tabla5[[#This Row],[INVERSIONES FCI]]-U115,Tabla5[[#This Row],[INVERSIONES FCI]])</f>
        <v>25442090367.231018</v>
      </c>
      <c r="V116" s="5">
        <f>IF($B115&lt;=Tabla5[[#This Row],[INVERSIONES FCI]],+Tabla5[[#This Row],[INVERSIONES FCI]]-V115,Tabla5[[#This Row],[INVERSIONES FCI]])</f>
        <v>25442090367.231018</v>
      </c>
      <c r="W116" s="5">
        <f>IF($B115&lt;=Tabla5[[#This Row],[INVERSIONES FCI]],+Tabla5[[#This Row],[INVERSIONES FCI]]-W115,Tabla5[[#This Row],[INVERSIONES FCI]])</f>
        <v>25442090367.231018</v>
      </c>
      <c r="X116" s="5">
        <f>IF($B115&lt;=Tabla5[[#This Row],[INVERSIONES FCI]],+Tabla5[[#This Row],[INVERSIONES FCI]]-X115,Tabla5[[#This Row],[INVERSIONES FCI]])</f>
        <v>25442090367.231018</v>
      </c>
      <c r="Y116" s="5">
        <f>IF($B115&lt;=Tabla5[[#This Row],[INVERSIONES FCI]],+Tabla5[[#This Row],[INVERSIONES FCI]]-Y115,Tabla5[[#This Row],[INVERSIONES FCI]])</f>
        <v>25442090367.231018</v>
      </c>
      <c r="Z116" s="5">
        <f>IF($B115&lt;=Tabla5[[#This Row],[INVERSIONES FCI]],+Tabla5[[#This Row],[INVERSIONES FCI]]-Z115,Tabla5[[#This Row],[INVERSIONES FCI]])</f>
        <v>25442090367.231018</v>
      </c>
      <c r="AA116" s="5">
        <f>IF($B115&lt;=Tabla5[[#This Row],[INVERSIONES FCI]],+Tabla5[[#This Row],[INVERSIONES FCI]]-AA115,Tabla5[[#This Row],[INVERSIONES FCI]])</f>
        <v>25442090367.231018</v>
      </c>
      <c r="AB116" s="5">
        <f>IF($B115&lt;=Tabla5[[#This Row],[INVERSIONES FCI]],+Tabla5[[#This Row],[INVERSIONES FCI]]-AB115,Tabla5[[#This Row],[INVERSIONES FCI]])</f>
        <v>25442090367.231018</v>
      </c>
      <c r="AC116" s="5">
        <f>IF($B115&lt;=Tabla5[[#This Row],[INVERSIONES FCI]],+Tabla5[[#This Row],[INVERSIONES FCI]]-AC115,Tabla5[[#This Row],[INVERSIONES FCI]])</f>
        <v>25442090367.231018</v>
      </c>
      <c r="AD116" s="5">
        <f>IF($B115&lt;=Tabla5[[#This Row],[INVERSIONES FCI]],+Tabla5[[#This Row],[INVERSIONES FCI]]-AD115,Tabla5[[#This Row],[INVERSIONES FCI]])</f>
        <v>25442090367.231018</v>
      </c>
      <c r="AE116" s="5">
        <f>IF($B115&lt;=Tabla5[[#This Row],[INVERSIONES FCI]],+Tabla5[[#This Row],[INVERSIONES FCI]]-AE115,Tabla5[[#This Row],[INVERSIONES FCI]])</f>
        <v>25442090367.231018</v>
      </c>
      <c r="AF116" s="5">
        <f>IF($B115&lt;=Tabla5[[#This Row],[INVERSIONES FCI]],+Tabla5[[#This Row],[INVERSIONES FCI]]-AF115,Tabla5[[#This Row],[INVERSIONES FCI]])</f>
        <v>25442090367.231018</v>
      </c>
      <c r="AG116" s="5">
        <f>IF($B115&lt;=Tabla5[[#This Row],[INVERSIONES FCI]],+Tabla5[[#This Row],[INVERSIONES FCI]]-AG115,Tabla5[[#This Row],[INVERSIONES FCI]])</f>
        <v>25442090367.231018</v>
      </c>
      <c r="AH116" s="5">
        <f>IF($B115&lt;=Tabla5[[#This Row],[INVERSIONES FCI]],+Tabla5[[#This Row],[INVERSIONES FCI]]-AH115,Tabla5[[#This Row],[INVERSIONES FCI]])</f>
        <v>25442090367.231018</v>
      </c>
      <c r="AI116" s="5">
        <f>IF($B115&lt;=Tabla5[[#This Row],[INVERSIONES FCI]],+Tabla5[[#This Row],[INVERSIONES FCI]]-AI115,Tabla5[[#This Row],[INVERSIONES FCI]])</f>
        <v>25442090367.231018</v>
      </c>
      <c r="AJ116" s="5">
        <f>IF($B115&lt;=Tabla5[[#This Row],[INVERSIONES FCI]],+Tabla5[[#This Row],[INVERSIONES FCI]]-AJ115,Tabla5[[#This Row],[INVERSIONES FCI]])</f>
        <v>25442090367.231018</v>
      </c>
      <c r="AK116" s="5">
        <f>IF($B115&lt;=Tabla5[[#This Row],[INVERSIONES FCI]],+Tabla5[[#This Row],[INVERSIONES FCI]]-AK115,Tabla5[[#This Row],[INVERSIONES FCI]])</f>
        <v>25442090367.231018</v>
      </c>
      <c r="AL116" s="5">
        <f>IF($B115&lt;=Tabla5[[#This Row],[INVERSIONES FCI]],+Tabla5[[#This Row],[INVERSIONES FCI]]-AL115,Tabla5[[#This Row],[INVERSIONES FCI]])</f>
        <v>25442090367.231018</v>
      </c>
      <c r="AM116" s="5">
        <f>IF($B115&lt;=Tabla5[[#This Row],[INVERSIONES FCI]],+Tabla5[[#This Row],[INVERSIONES FCI]]-AM115,Tabla5[[#This Row],[INVERSIONES FCI]])</f>
        <v>25442090367.231018</v>
      </c>
      <c r="AN116" s="5">
        <f>IF($B115&lt;=Tabla5[[#This Row],[INVERSIONES FCI]],+Tabla5[[#This Row],[INVERSIONES FCI]]-AN115,Tabla5[[#This Row],[INVERSIONES FCI]])</f>
        <v>25442090367.231018</v>
      </c>
      <c r="AO116" s="5">
        <f>IF($B115&lt;=Tabla5[[#This Row],[INVERSIONES FCI]],+Tabla5[[#This Row],[INVERSIONES FCI]]-AO115,Tabla5[[#This Row],[INVERSIONES FCI]])</f>
        <v>25442090367.231018</v>
      </c>
      <c r="AP116" s="5">
        <f>IF($B115&lt;=Tabla5[[#This Row],[INVERSIONES FCI]],+Tabla5[[#This Row],[INVERSIONES FCI]]-AP115,Tabla5[[#This Row],[INVERSIONES FCI]])</f>
        <v>25442090367.231018</v>
      </c>
      <c r="AQ116" s="5">
        <f>IF($B115&lt;=Tabla5[[#This Row],[INVERSIONES FCI]],+Tabla5[[#This Row],[INVERSIONES FCI]]-AQ115,Tabla5[[#This Row],[INVERSIONES FCI]])</f>
        <v>25442090367.231018</v>
      </c>
      <c r="AR116" s="5">
        <f>IF($B115&lt;=Tabla5[[#This Row],[INVERSIONES FCI]],+Tabla5[[#This Row],[INVERSIONES FCI]]-AR115,Tabla5[[#This Row],[INVERSIONES FCI]])</f>
        <v>25442090367.231018</v>
      </c>
      <c r="AS116" s="5">
        <f>IF($B115&lt;=Tabla5[[#This Row],[INVERSIONES FCI]],+Tabla5[[#This Row],[INVERSIONES FCI]]-AS115,Tabla5[[#This Row],[INVERSIONES FCI]])</f>
        <v>25442090367.231018</v>
      </c>
      <c r="AT116" s="5">
        <f>IF($B115&lt;=Tabla5[[#This Row],[INVERSIONES FCI]],+Tabla5[[#This Row],[INVERSIONES FCI]]-AT115,Tabla5[[#This Row],[INVERSIONES FCI]])</f>
        <v>25442090367.231018</v>
      </c>
      <c r="AU116" s="5">
        <f>IF($B115&lt;=Tabla5[[#This Row],[INVERSIONES FCI]],+Tabla5[[#This Row],[INVERSIONES FCI]]-AU115,Tabla5[[#This Row],[INVERSIONES FCI]])</f>
        <v>25442090367.231018</v>
      </c>
      <c r="AV116" s="5">
        <f>IF($B115&lt;=Tabla5[[#This Row],[INVERSIONES FCI]],+Tabla5[[#This Row],[INVERSIONES FCI]]-AV115,Tabla5[[#This Row],[INVERSIONES FCI]])</f>
        <v>25442090367.231018</v>
      </c>
      <c r="AW116" s="5">
        <f>IF($B115&lt;=Tabla5[[#This Row],[INVERSIONES FCI]],+Tabla5[[#This Row],[INVERSIONES FCI]]-AW115,Tabla5[[#This Row],[INVERSIONES FCI]])</f>
        <v>25442090367.231018</v>
      </c>
      <c r="AX116" s="5">
        <f>IF($B115&lt;=Tabla5[[#This Row],[INVERSIONES FCI]],+Tabla5[[#This Row],[INVERSIONES FCI]]-AX115,Tabla5[[#This Row],[INVERSIONES FCI]])</f>
        <v>25442090367.231018</v>
      </c>
      <c r="AY116" s="5">
        <f>IF($B115&lt;=Tabla5[[#This Row],[INVERSIONES FCI]],+Tabla5[[#This Row],[INVERSIONES FCI]]-AY115,Tabla5[[#This Row],[INVERSIONES FCI]])</f>
        <v>25442090367.231018</v>
      </c>
      <c r="AZ116" s="5">
        <f>IF($B115&lt;=Tabla5[[#This Row],[INVERSIONES FCI]],+Tabla5[[#This Row],[INVERSIONES FCI]]-AZ115,Tabla5[[#This Row],[INVERSIONES FCI]])</f>
        <v>25442090367.231018</v>
      </c>
      <c r="BA116" s="5">
        <f>IF($B115&lt;=Tabla5[[#This Row],[INVERSIONES FCI]],+Tabla5[[#This Row],[INVERSIONES FCI]]-BA115,Tabla5[[#This Row],[INVERSIONES FCI]])</f>
        <v>25442090367.231018</v>
      </c>
      <c r="BB116" s="5">
        <f>IF($B115&lt;=Tabla5[[#This Row],[INVERSIONES FCI]],+Tabla5[[#This Row],[INVERSIONES FCI]]-BB115,Tabla5[[#This Row],[INVERSIONES FCI]])</f>
        <v>25442090367.231018</v>
      </c>
      <c r="BC116" s="5">
        <f>IF($B115&lt;=Tabla5[[#This Row],[INVERSIONES FCI]],+Tabla5[[#This Row],[INVERSIONES FCI]]-BC115,Tabla5[[#This Row],[INVERSIONES FCI]])</f>
        <v>25442090367.231018</v>
      </c>
      <c r="BD116" s="5">
        <f>IF($B115&lt;=Tabla5[[#This Row],[INVERSIONES FCI]],+Tabla5[[#This Row],[INVERSIONES FCI]]-BD115,Tabla5[[#This Row],[INVERSIONES FCI]])</f>
        <v>25442090367.231018</v>
      </c>
      <c r="BE116" s="5">
        <f>IF($B115&lt;=Tabla5[[#This Row],[INVERSIONES FCI]],+Tabla5[[#This Row],[INVERSIONES FCI]]-BE115,Tabla5[[#This Row],[INVERSIONES FCI]])</f>
        <v>25442090367.231018</v>
      </c>
      <c r="BF116" s="5">
        <f>IF($B115&lt;=Tabla5[[#This Row],[INVERSIONES FCI]],+Tabla5[[#This Row],[INVERSIONES FCI]]-BF115,Tabla5[[#This Row],[INVERSIONES FCI]])</f>
        <v>25442090367.231018</v>
      </c>
      <c r="BG116" s="5">
        <f>IF($B115&lt;=Tabla5[[#This Row],[INVERSIONES FCI]],+Tabla5[[#This Row],[INVERSIONES FCI]]-BG115,Tabla5[[#This Row],[INVERSIONES FCI]])</f>
        <v>25442090367.231018</v>
      </c>
      <c r="BH116" s="5">
        <f>IF($B115&lt;=Tabla5[[#This Row],[INVERSIONES FCI]],+Tabla5[[#This Row],[INVERSIONES FCI]]-BH115,Tabla5[[#This Row],[INVERSIONES FCI]])</f>
        <v>25442090367.231018</v>
      </c>
      <c r="BI116" s="5">
        <f>IF($B115&lt;=Tabla5[[#This Row],[INVERSIONES FCI]],+Tabla5[[#This Row],[INVERSIONES FCI]]-BI115,Tabla5[[#This Row],[INVERSIONES FCI]])</f>
        <v>25442090367.231018</v>
      </c>
      <c r="BJ116" s="5">
        <f>IF($B115&lt;=Tabla5[[#This Row],[INVERSIONES FCI]],+Tabla5[[#This Row],[INVERSIONES FCI]]-BJ115,Tabla5[[#This Row],[INVERSIONES FCI]])</f>
        <v>25442090367.231018</v>
      </c>
      <c r="BK116" s="5">
        <f>IF($B115&lt;=Tabla5[[#This Row],[INVERSIONES FCI]],+Tabla5[[#This Row],[INVERSIONES FCI]]-BK115,Tabla5[[#This Row],[INVERSIONES FCI]])</f>
        <v>25442090367.231018</v>
      </c>
      <c r="BL116" s="5">
        <f>IF($B115&lt;=Tabla5[[#This Row],[INVERSIONES FCI]],+Tabla5[[#This Row],[INVERSIONES FCI]]-BL115,Tabla5[[#This Row],[INVERSIONES FCI]])</f>
        <v>25442090367.231018</v>
      </c>
      <c r="BM116" s="5">
        <f>IF($B115&lt;=Tabla5[[#This Row],[INVERSIONES FCI]],+Tabla5[[#This Row],[INVERSIONES FCI]]-BM115,Tabla5[[#This Row],[INVERSIONES FCI]])</f>
        <v>25442090367.231018</v>
      </c>
      <c r="BN116" s="5">
        <f>IF($B115&lt;=Tabla5[[#This Row],[INVERSIONES FCI]],+Tabla5[[#This Row],[INVERSIONES FCI]]-BN115,Tabla5[[#This Row],[INVERSIONES FCI]])</f>
        <v>25442090367.231018</v>
      </c>
      <c r="BO116" s="5">
        <f>IF($B115&lt;=Tabla5[[#This Row],[INVERSIONES FCI]],+Tabla5[[#This Row],[INVERSIONES FCI]]-BO115,Tabla5[[#This Row],[INVERSIONES FCI]])</f>
        <v>25442090367.231018</v>
      </c>
      <c r="BP116" s="5">
        <f>IF($B115&lt;=Tabla5[[#This Row],[INVERSIONES FCI]],+Tabla5[[#This Row],[INVERSIONES FCI]]-BP115,Tabla5[[#This Row],[INVERSIONES FCI]])</f>
        <v>25442090367.231018</v>
      </c>
      <c r="BQ116" s="5">
        <f>IF($B115&lt;=Tabla5[[#This Row],[INVERSIONES FCI]],+Tabla5[[#This Row],[INVERSIONES FCI]]-BQ115,Tabla5[[#This Row],[INVERSIONES FCI]])</f>
        <v>25442090367.231018</v>
      </c>
      <c r="BR116" s="5">
        <f>IF($B115&lt;=Tabla5[[#This Row],[INVERSIONES FCI]],+Tabla5[[#This Row],[INVERSIONES FCI]]-BR115,Tabla5[[#This Row],[INVERSIONES FCI]])</f>
        <v>25442090367.231018</v>
      </c>
      <c r="BS116" s="5">
        <f>IF($B115&lt;=Tabla5[[#This Row],[INVERSIONES FCI]],+Tabla5[[#This Row],[INVERSIONES FCI]]-BS115,Tabla5[[#This Row],[INVERSIONES FCI]])</f>
        <v>25442090367.231018</v>
      </c>
      <c r="BT116" s="5">
        <f>IF($B115&lt;=Tabla5[[#This Row],[INVERSIONES FCI]],+Tabla5[[#This Row],[INVERSIONES FCI]]-BT115,Tabla5[[#This Row],[INVERSIONES FCI]])</f>
        <v>25442090367.231018</v>
      </c>
      <c r="BU116" s="5">
        <f>IF($B115&lt;=Tabla5[[#This Row],[INVERSIONES FCI]],+Tabla5[[#This Row],[INVERSIONES FCI]]-BU115,Tabla5[[#This Row],[INVERSIONES FCI]])</f>
        <v>25442090367.231018</v>
      </c>
      <c r="BV116" s="5">
        <f>IF($B115&lt;=Tabla5[[#This Row],[INVERSIONES FCI]],+Tabla5[[#This Row],[INVERSIONES FCI]]-BV115,Tabla5[[#This Row],[INVERSIONES FCI]])</f>
        <v>25442090367.231018</v>
      </c>
      <c r="BW116" s="5">
        <f>IF($B115&lt;=Tabla5[[#This Row],[INVERSIONES FCI]],+Tabla5[[#This Row],[INVERSIONES FCI]]-BW115,Tabla5[[#This Row],[INVERSIONES FCI]])</f>
        <v>25442090367.231018</v>
      </c>
      <c r="BX116" s="5">
        <f>IF($B115&lt;=Tabla5[[#This Row],[INVERSIONES FCI]],+Tabla5[[#This Row],[INVERSIONES FCI]]-BX115,Tabla5[[#This Row],[INVERSIONES FCI]])</f>
        <v>25442090367.231018</v>
      </c>
      <c r="BY116" s="5">
        <f>IF($B115&lt;=Tabla5[[#This Row],[INVERSIONES FCI]],+Tabla5[[#This Row],[INVERSIONES FCI]]-BY115,Tabla5[[#This Row],[INVERSIONES FCI]])</f>
        <v>25442090367.231018</v>
      </c>
      <c r="BZ116" s="5">
        <f>IF($B115&lt;=Tabla5[[#This Row],[INVERSIONES FCI]],+Tabla5[[#This Row],[INVERSIONES FCI]]-BZ115,Tabla5[[#This Row],[INVERSIONES FCI]])</f>
        <v>25442090367.231018</v>
      </c>
      <c r="CA116" s="5">
        <f>IF($B115&lt;=Tabla5[[#This Row],[INVERSIONES FCI]],+Tabla5[[#This Row],[INVERSIONES FCI]]-CA115,Tabla5[[#This Row],[INVERSIONES FCI]])</f>
        <v>25442090367.231018</v>
      </c>
      <c r="CB116" s="5">
        <f>IF($B115&lt;=Tabla5[[#This Row],[INVERSIONES FCI]],+Tabla5[[#This Row],[INVERSIONES FCI]]-CB115,Tabla5[[#This Row],[INVERSIONES FCI]])</f>
        <v>25442090367.231018</v>
      </c>
      <c r="CC116" s="5">
        <f>IF($B115&lt;=Tabla5[[#This Row],[INVERSIONES FCI]],+Tabla5[[#This Row],[INVERSIONES FCI]]-CC115,Tabla5[[#This Row],[INVERSIONES FCI]])</f>
        <v>25442090367.231018</v>
      </c>
      <c r="CD116" s="5">
        <f>IF($B115&lt;=Tabla5[[#This Row],[INVERSIONES FCI]],+Tabla5[[#This Row],[INVERSIONES FCI]]-CD115,Tabla5[[#This Row],[INVERSIONES FCI]])</f>
        <v>25442090367.231018</v>
      </c>
      <c r="CE116" s="5">
        <f>IF($B115&lt;=Tabla5[[#This Row],[INVERSIONES FCI]],+Tabla5[[#This Row],[INVERSIONES FCI]]-CE115,Tabla5[[#This Row],[INVERSIONES FCI]])</f>
        <v>25442090367.231018</v>
      </c>
      <c r="CF116" s="5">
        <f>IF($B115&lt;=Tabla5[[#This Row],[INVERSIONES FCI]],+Tabla5[[#This Row],[INVERSIONES FCI]]-CF115,Tabla5[[#This Row],[INVERSIONES FCI]])</f>
        <v>25442090367.231018</v>
      </c>
      <c r="CG116" s="5">
        <f>IF($B115&lt;=Tabla5[[#This Row],[INVERSIONES FCI]],+Tabla5[[#This Row],[INVERSIONES FCI]]-CG115,Tabla5[[#This Row],[INVERSIONES FCI]])</f>
        <v>25442090367.231018</v>
      </c>
      <c r="CH116" s="5">
        <f>IF($B115&lt;=Tabla5[[#This Row],[INVERSIONES FCI]],+Tabla5[[#This Row],[INVERSIONES FCI]]-CH115,Tabla5[[#This Row],[INVERSIONES FCI]])</f>
        <v>25442090367.231018</v>
      </c>
      <c r="CI116" s="5">
        <f>IF($B115&lt;=Tabla5[[#This Row],[INVERSIONES FCI]],+Tabla5[[#This Row],[INVERSIONES FCI]]-CI115,Tabla5[[#This Row],[INVERSIONES FCI]])</f>
        <v>25442090367.231018</v>
      </c>
      <c r="CJ116" s="5">
        <f>IF($B115&lt;=Tabla5[[#This Row],[INVERSIONES FCI]],+Tabla5[[#This Row],[INVERSIONES FCI]]-CJ115,Tabla5[[#This Row],[INVERSIONES FCI]])</f>
        <v>25442090367.231018</v>
      </c>
      <c r="CK116" s="5">
        <f>IF($B115&lt;=Tabla5[[#This Row],[INVERSIONES FCI]],+Tabla5[[#This Row],[INVERSIONES FCI]]-CK115,Tabla5[[#This Row],[INVERSIONES FCI]])</f>
        <v>25442090367.231018</v>
      </c>
      <c r="CL116" s="5">
        <f>IF($B115&lt;=Tabla5[[#This Row],[INVERSIONES FCI]],+Tabla5[[#This Row],[INVERSIONES FCI]]-CL115,Tabla5[[#This Row],[INVERSIONES FCI]])</f>
        <v>25442090367.231018</v>
      </c>
      <c r="CM116" s="5">
        <f>IF($B115&lt;=Tabla5[[#This Row],[INVERSIONES FCI]],+Tabla5[[#This Row],[INVERSIONES FCI]]-CM115,Tabla5[[#This Row],[INVERSIONES FCI]])</f>
        <v>25442090367.231018</v>
      </c>
      <c r="CN116" s="5">
        <f>IF($B115&lt;=Tabla5[[#This Row],[INVERSIONES FCI]],+Tabla5[[#This Row],[INVERSIONES FCI]]-CN115,Tabla5[[#This Row],[INVERSIONES FCI]])</f>
        <v>25442090367.231018</v>
      </c>
      <c r="CO116" s="5">
        <f>IF($B115&lt;=Tabla5[[#This Row],[INVERSIONES FCI]],+Tabla5[[#This Row],[INVERSIONES FCI]]-CO115,Tabla5[[#This Row],[INVERSIONES FCI]])</f>
        <v>25442090367.231018</v>
      </c>
      <c r="CP116" s="5">
        <f>IF($B115&lt;=Tabla5[[#This Row],[INVERSIONES FCI]],+Tabla5[[#This Row],[INVERSIONES FCI]]-CP115,Tabla5[[#This Row],[INVERSIONES FCI]])</f>
        <v>25442090367.231018</v>
      </c>
      <c r="CQ116" s="5">
        <f>IF($B115&lt;=Tabla5[[#This Row],[INVERSIONES FCI]],+Tabla5[[#This Row],[INVERSIONES FCI]]-CQ115,Tabla5[[#This Row],[INVERSIONES FCI]])</f>
        <v>25442090367.231018</v>
      </c>
      <c r="CR116" s="5">
        <f>IF($B115&lt;=Tabla5[[#This Row],[INVERSIONES FCI]],+Tabla5[[#This Row],[INVERSIONES FCI]]-CR115,Tabla5[[#This Row],[INVERSIONES FCI]])</f>
        <v>25442090367.231018</v>
      </c>
      <c r="CS116" s="5">
        <f>IF($B115&lt;=Tabla5[[#This Row],[INVERSIONES FCI]],+Tabla5[[#This Row],[INVERSIONES FCI]]-CS115,Tabla5[[#This Row],[INVERSIONES FCI]])</f>
        <v>25442090367.231018</v>
      </c>
      <c r="CT116" s="5">
        <f>IF($B115&lt;=Tabla5[[#This Row],[INVERSIONES FCI]],+Tabla5[[#This Row],[INVERSIONES FCI]]-CT115,Tabla5[[#This Row],[INVERSIONES FCI]])</f>
        <v>25442090367.231018</v>
      </c>
      <c r="CU116" s="5">
        <f>IF($B115&lt;=Tabla5[[#This Row],[INVERSIONES FCI]],+Tabla5[[#This Row],[INVERSIONES FCI]]-CU115,Tabla5[[#This Row],[INVERSIONES FCI]])</f>
        <v>25442090367.231018</v>
      </c>
      <c r="CV116" s="5">
        <f>IF($B115&lt;=Tabla5[[#This Row],[INVERSIONES FCI]],+Tabla5[[#This Row],[INVERSIONES FCI]]-CV115,Tabla5[[#This Row],[INVERSIONES FCI]])</f>
        <v>25442090367.231018</v>
      </c>
      <c r="CW116" s="5">
        <f>IF($B115&lt;=Tabla5[[#This Row],[INVERSIONES FCI]],+Tabla5[[#This Row],[INVERSIONES FCI]]-CW115,Tabla5[[#This Row],[INVERSIONES FCI]])</f>
        <v>25442090367.231018</v>
      </c>
      <c r="CX116" s="5">
        <f>IF($B115&lt;=Tabla5[[#This Row],[INVERSIONES FCI]],+Tabla5[[#This Row],[INVERSIONES FCI]]-CX115,Tabla5[[#This Row],[INVERSIONES FCI]])</f>
        <v>25442090367.231018</v>
      </c>
      <c r="CY116" s="5">
        <f>IF($B115&lt;=Tabla5[[#This Row],[INVERSIONES FCI]],+Tabla5[[#This Row],[INVERSIONES FCI]]-CY115,Tabla5[[#This Row],[INVERSIONES FCI]])</f>
        <v>25442090367.231018</v>
      </c>
      <c r="CZ116" s="5">
        <f>IF($B115&lt;=Tabla5[[#This Row],[INVERSIONES FCI]],+Tabla5[[#This Row],[INVERSIONES FCI]]-CZ115,Tabla5[[#This Row],[INVERSIONES FCI]])</f>
        <v>25442090367.231018</v>
      </c>
      <c r="DA116" s="5">
        <f>IF($B115&lt;=Tabla5[[#This Row],[INVERSIONES FCI]],+Tabla5[[#This Row],[INVERSIONES FCI]]-DA115,Tabla5[[#This Row],[INVERSIONES FCI]])</f>
        <v>25442090367.231018</v>
      </c>
      <c r="DB116" s="5">
        <f>IF($B115&lt;=Tabla5[[#This Row],[INVERSIONES FCI]],+Tabla5[[#This Row],[INVERSIONES FCI]]-DB115,Tabla5[[#This Row],[INVERSIONES FCI]])</f>
        <v>25442090367.231018</v>
      </c>
      <c r="DC116" s="5">
        <f>IF($B115&lt;=Tabla5[[#This Row],[INVERSIONES FCI]],+Tabla5[[#This Row],[INVERSIONES FCI]]-DC115,Tabla5[[#This Row],[INVERSIONES FCI]])</f>
        <v>25442090367.231018</v>
      </c>
      <c r="DD116" s="5">
        <f>IF($B115&lt;=Tabla5[[#This Row],[INVERSIONES FCI]],+Tabla5[[#This Row],[INVERSIONES FCI]]-DD115,Tabla5[[#This Row],[INVERSIONES FCI]])</f>
        <v>25442090367.231018</v>
      </c>
      <c r="DE116" s="5">
        <f>IF($B115&lt;=Tabla5[[#This Row],[INVERSIONES FCI]],+Tabla5[[#This Row],[INVERSIONES FCI]]-DE115,Tabla5[[#This Row],[INVERSIONES FCI]])</f>
        <v>25442090367.231018</v>
      </c>
      <c r="DF116" s="5">
        <f>IF($B115&lt;=Tabla5[[#This Row],[INVERSIONES FCI]],+Tabla5[[#This Row],[INVERSIONES FCI]]-DF115,Tabla5[[#This Row],[INVERSIONES FCI]])</f>
        <v>25442090367.231018</v>
      </c>
      <c r="DG116" s="5">
        <f>IF($B115&lt;=Tabla5[[#This Row],[INVERSIONES FCI]],+Tabla5[[#This Row],[INVERSIONES FCI]]-DG115,Tabla5[[#This Row],[INVERSIONES FCI]])</f>
        <v>25442090367.231018</v>
      </c>
      <c r="DH116" s="5">
        <f>IF($B115&lt;=Tabla5[[#This Row],[INVERSIONES FCI]],+Tabla5[[#This Row],[INVERSIONES FCI]]-DH115,Tabla5[[#This Row],[INVERSIONES FCI]])</f>
        <v>25442090367.231018</v>
      </c>
      <c r="DI116" s="5">
        <f>IF($B115&lt;=Tabla5[[#This Row],[INVERSIONES FCI]],+Tabla5[[#This Row],[INVERSIONES FCI]]-DI115,Tabla5[[#This Row],[INVERSIONES FCI]])</f>
        <v>25442090367.231018</v>
      </c>
      <c r="DJ116" s="5">
        <f>IF($B115&lt;=Tabla5[[#This Row],[INVERSIONES FCI]],+Tabla5[[#This Row],[INVERSIONES FCI]]-DJ115,Tabla5[[#This Row],[INVERSIONES FCI]])</f>
        <v>25442090367.231018</v>
      </c>
      <c r="DK116" s="5">
        <f>IF($B115&lt;=Tabla5[[#This Row],[INVERSIONES FCI]],+Tabla5[[#This Row],[INVERSIONES FCI]]-DK115,Tabla5[[#This Row],[INVERSIONES FCI]])</f>
        <v>25442090367.231018</v>
      </c>
      <c r="DL116" s="5"/>
      <c r="DM116" s="5"/>
      <c r="DN116" s="5"/>
      <c r="DO116" s="5"/>
      <c r="DP116" s="5"/>
      <c r="DQ116" s="5"/>
    </row>
    <row r="117" spans="1:121" ht="14.4">
      <c r="A117" s="12" t="s">
        <v>116</v>
      </c>
      <c r="B117" s="5">
        <f>HLOOKUP($A117,ESCENARIO[#All],7,FALSE)</f>
        <v>27105736708.475933</v>
      </c>
      <c r="C117" s="5">
        <f>IF($B116&lt;=Tabla5[[#This Row],[INVERSIONES FCI]],+Tabla5[[#This Row],[INVERSIONES FCI]]-C116,Tabla5[[#This Row],[INVERSIONES FCI]])</f>
        <v>1663646341.244915</v>
      </c>
      <c r="D117" s="5">
        <f>IF($B116&lt;=Tabla5[[#This Row],[INVERSIONES FCI]],+Tabla5[[#This Row],[INVERSIONES FCI]]-D116,Tabla5[[#This Row],[INVERSIONES FCI]])</f>
        <v>1663646341.244915</v>
      </c>
      <c r="E117" s="5">
        <f>IF($B116&lt;=Tabla5[[#This Row],[INVERSIONES FCI]],+Tabla5[[#This Row],[INVERSIONES FCI]]-E116,Tabla5[[#This Row],[INVERSIONES FCI]])</f>
        <v>1663646341.244915</v>
      </c>
      <c r="F117" s="5">
        <f>IF($B116&lt;=Tabla5[[#This Row],[INVERSIONES FCI]],+Tabla5[[#This Row],[INVERSIONES FCI]]-F116,Tabla5[[#This Row],[INVERSIONES FCI]])</f>
        <v>1663646341.244915</v>
      </c>
      <c r="G117" s="5">
        <f>IF($B116&lt;=Tabla5[[#This Row],[INVERSIONES FCI]],+Tabla5[[#This Row],[INVERSIONES FCI]]-G116,Tabla5[[#This Row],[INVERSIONES FCI]])</f>
        <v>1663646341.244915</v>
      </c>
      <c r="H117" s="5">
        <f>IF($B116&lt;=Tabla5[[#This Row],[INVERSIONES FCI]],+Tabla5[[#This Row],[INVERSIONES FCI]]-H116,Tabla5[[#This Row],[INVERSIONES FCI]])</f>
        <v>1663646341.244915</v>
      </c>
      <c r="I117" s="5">
        <f>IF($B116&lt;=Tabla5[[#This Row],[INVERSIONES FCI]],+Tabla5[[#This Row],[INVERSIONES FCI]]-I116,Tabla5[[#This Row],[INVERSIONES FCI]])</f>
        <v>1663646341.244915</v>
      </c>
      <c r="J117" s="5">
        <f>IF($B116&lt;=Tabla5[[#This Row],[INVERSIONES FCI]],+Tabla5[[#This Row],[INVERSIONES FCI]]-J116,Tabla5[[#This Row],[INVERSIONES FCI]])</f>
        <v>1663646341.244915</v>
      </c>
      <c r="K117" s="5">
        <f>IF($B116&lt;=Tabla5[[#This Row],[INVERSIONES FCI]],+Tabla5[[#This Row],[INVERSIONES FCI]]-K116,Tabla5[[#This Row],[INVERSIONES FCI]])</f>
        <v>1663646341.244915</v>
      </c>
      <c r="L117" s="5">
        <f>IF($B116&lt;=Tabla5[[#This Row],[INVERSIONES FCI]],+Tabla5[[#This Row],[INVERSIONES FCI]]-L116,Tabla5[[#This Row],[INVERSIONES FCI]])</f>
        <v>1663646341.244915</v>
      </c>
      <c r="M117" s="5">
        <f>IF($B116&lt;=Tabla5[[#This Row],[INVERSIONES FCI]],+Tabla5[[#This Row],[INVERSIONES FCI]]-M116,Tabla5[[#This Row],[INVERSIONES FCI]])</f>
        <v>1663646341.244915</v>
      </c>
      <c r="N117" s="5">
        <f>IF($B116&lt;=Tabla5[[#This Row],[INVERSIONES FCI]],+Tabla5[[#This Row],[INVERSIONES FCI]]-N116,Tabla5[[#This Row],[INVERSIONES FCI]])</f>
        <v>1663646341.244915</v>
      </c>
      <c r="O117" s="5">
        <f>IF($B116&lt;=Tabla5[[#This Row],[INVERSIONES FCI]],+Tabla5[[#This Row],[INVERSIONES FCI]]-O116,Tabla5[[#This Row],[INVERSIONES FCI]])</f>
        <v>1663646341.244915</v>
      </c>
      <c r="P117" s="5">
        <f>IF($B116&lt;=Tabla5[[#This Row],[INVERSIONES FCI]],+Tabla5[[#This Row],[INVERSIONES FCI]]-P116,Tabla5[[#This Row],[INVERSIONES FCI]])</f>
        <v>1663646341.244915</v>
      </c>
      <c r="Q117" s="5">
        <f>IF($B116&lt;=Tabla5[[#This Row],[INVERSIONES FCI]],+Tabla5[[#This Row],[INVERSIONES FCI]]-Q116,Tabla5[[#This Row],[INVERSIONES FCI]])</f>
        <v>1663646341.244915</v>
      </c>
      <c r="R117" s="5">
        <f>IF($B116&lt;=Tabla5[[#This Row],[INVERSIONES FCI]],+Tabla5[[#This Row],[INVERSIONES FCI]]-R116,Tabla5[[#This Row],[INVERSIONES FCI]])</f>
        <v>1663646341.244915</v>
      </c>
      <c r="S117" s="5">
        <f>IF($B116&lt;=Tabla5[[#This Row],[INVERSIONES FCI]],+Tabla5[[#This Row],[INVERSIONES FCI]]-S116,Tabla5[[#This Row],[INVERSIONES FCI]])</f>
        <v>1663646341.244915</v>
      </c>
      <c r="T117" s="5">
        <f>IF($B116&lt;=Tabla5[[#This Row],[INVERSIONES FCI]],+Tabla5[[#This Row],[INVERSIONES FCI]]-T116,Tabla5[[#This Row],[INVERSIONES FCI]])</f>
        <v>1663646341.244915</v>
      </c>
      <c r="U117" s="5">
        <f>IF($B116&lt;=Tabla5[[#This Row],[INVERSIONES FCI]],+Tabla5[[#This Row],[INVERSIONES FCI]]-U116,Tabla5[[#This Row],[INVERSIONES FCI]])</f>
        <v>1663646341.244915</v>
      </c>
      <c r="V117" s="5">
        <f>IF($B116&lt;=Tabla5[[#This Row],[INVERSIONES FCI]],+Tabla5[[#This Row],[INVERSIONES FCI]]-V116,Tabla5[[#This Row],[INVERSIONES FCI]])</f>
        <v>1663646341.244915</v>
      </c>
      <c r="W117" s="5">
        <f>IF($B116&lt;=Tabla5[[#This Row],[INVERSIONES FCI]],+Tabla5[[#This Row],[INVERSIONES FCI]]-W116,Tabla5[[#This Row],[INVERSIONES FCI]])</f>
        <v>1663646341.244915</v>
      </c>
      <c r="X117" s="5">
        <f>IF($B116&lt;=Tabla5[[#This Row],[INVERSIONES FCI]],+Tabla5[[#This Row],[INVERSIONES FCI]]-X116,Tabla5[[#This Row],[INVERSIONES FCI]])</f>
        <v>1663646341.244915</v>
      </c>
      <c r="Y117" s="5">
        <f>IF($B116&lt;=Tabla5[[#This Row],[INVERSIONES FCI]],+Tabla5[[#This Row],[INVERSIONES FCI]]-Y116,Tabla5[[#This Row],[INVERSIONES FCI]])</f>
        <v>1663646341.244915</v>
      </c>
      <c r="Z117" s="5">
        <f>IF($B116&lt;=Tabla5[[#This Row],[INVERSIONES FCI]],+Tabla5[[#This Row],[INVERSIONES FCI]]-Z116,Tabla5[[#This Row],[INVERSIONES FCI]])</f>
        <v>1663646341.244915</v>
      </c>
      <c r="AA117" s="5">
        <f>IF($B116&lt;=Tabla5[[#This Row],[INVERSIONES FCI]],+Tabla5[[#This Row],[INVERSIONES FCI]]-AA116,Tabla5[[#This Row],[INVERSIONES FCI]])</f>
        <v>1663646341.244915</v>
      </c>
      <c r="AB117" s="5">
        <f>IF($B116&lt;=Tabla5[[#This Row],[INVERSIONES FCI]],+Tabla5[[#This Row],[INVERSIONES FCI]]-AB116,Tabla5[[#This Row],[INVERSIONES FCI]])</f>
        <v>1663646341.244915</v>
      </c>
      <c r="AC117" s="5">
        <f>IF($B116&lt;=Tabla5[[#This Row],[INVERSIONES FCI]],+Tabla5[[#This Row],[INVERSIONES FCI]]-AC116,Tabla5[[#This Row],[INVERSIONES FCI]])</f>
        <v>1663646341.244915</v>
      </c>
      <c r="AD117" s="5">
        <f>IF($B116&lt;=Tabla5[[#This Row],[INVERSIONES FCI]],+Tabla5[[#This Row],[INVERSIONES FCI]]-AD116,Tabla5[[#This Row],[INVERSIONES FCI]])</f>
        <v>1663646341.244915</v>
      </c>
      <c r="AE117" s="5">
        <f>IF($B116&lt;=Tabla5[[#This Row],[INVERSIONES FCI]],+Tabla5[[#This Row],[INVERSIONES FCI]]-AE116,Tabla5[[#This Row],[INVERSIONES FCI]])</f>
        <v>1663646341.244915</v>
      </c>
      <c r="AF117" s="5">
        <f>IF($B116&lt;=Tabla5[[#This Row],[INVERSIONES FCI]],+Tabla5[[#This Row],[INVERSIONES FCI]]-AF116,Tabla5[[#This Row],[INVERSIONES FCI]])</f>
        <v>1663646341.244915</v>
      </c>
      <c r="AG117" s="5">
        <f>IF($B116&lt;=Tabla5[[#This Row],[INVERSIONES FCI]],+Tabla5[[#This Row],[INVERSIONES FCI]]-AG116,Tabla5[[#This Row],[INVERSIONES FCI]])</f>
        <v>1663646341.244915</v>
      </c>
      <c r="AH117" s="5">
        <f>IF($B116&lt;=Tabla5[[#This Row],[INVERSIONES FCI]],+Tabla5[[#This Row],[INVERSIONES FCI]]-AH116,Tabla5[[#This Row],[INVERSIONES FCI]])</f>
        <v>1663646341.244915</v>
      </c>
      <c r="AI117" s="5">
        <f>IF($B116&lt;=Tabla5[[#This Row],[INVERSIONES FCI]],+Tabla5[[#This Row],[INVERSIONES FCI]]-AI116,Tabla5[[#This Row],[INVERSIONES FCI]])</f>
        <v>1663646341.244915</v>
      </c>
      <c r="AJ117" s="5">
        <f>IF($B116&lt;=Tabla5[[#This Row],[INVERSIONES FCI]],+Tabla5[[#This Row],[INVERSIONES FCI]]-AJ116,Tabla5[[#This Row],[INVERSIONES FCI]])</f>
        <v>1663646341.244915</v>
      </c>
      <c r="AK117" s="5">
        <f>IF($B116&lt;=Tabla5[[#This Row],[INVERSIONES FCI]],+Tabla5[[#This Row],[INVERSIONES FCI]]-AK116,Tabla5[[#This Row],[INVERSIONES FCI]])</f>
        <v>1663646341.244915</v>
      </c>
      <c r="AL117" s="5">
        <f>IF($B116&lt;=Tabla5[[#This Row],[INVERSIONES FCI]],+Tabla5[[#This Row],[INVERSIONES FCI]]-AL116,Tabla5[[#This Row],[INVERSIONES FCI]])</f>
        <v>1663646341.244915</v>
      </c>
      <c r="AM117" s="5">
        <f>IF($B116&lt;=Tabla5[[#This Row],[INVERSIONES FCI]],+Tabla5[[#This Row],[INVERSIONES FCI]]-AM116,Tabla5[[#This Row],[INVERSIONES FCI]])</f>
        <v>1663646341.244915</v>
      </c>
      <c r="AN117" s="5">
        <f>IF($B116&lt;=Tabla5[[#This Row],[INVERSIONES FCI]],+Tabla5[[#This Row],[INVERSIONES FCI]]-AN116,Tabla5[[#This Row],[INVERSIONES FCI]])</f>
        <v>1663646341.244915</v>
      </c>
      <c r="AO117" s="5">
        <f>IF($B116&lt;=Tabla5[[#This Row],[INVERSIONES FCI]],+Tabla5[[#This Row],[INVERSIONES FCI]]-AO116,Tabla5[[#This Row],[INVERSIONES FCI]])</f>
        <v>1663646341.244915</v>
      </c>
      <c r="AP117" s="5">
        <f>IF($B116&lt;=Tabla5[[#This Row],[INVERSIONES FCI]],+Tabla5[[#This Row],[INVERSIONES FCI]]-AP116,Tabla5[[#This Row],[INVERSIONES FCI]])</f>
        <v>1663646341.244915</v>
      </c>
      <c r="AQ117" s="5">
        <f>IF($B116&lt;=Tabla5[[#This Row],[INVERSIONES FCI]],+Tabla5[[#This Row],[INVERSIONES FCI]]-AQ116,Tabla5[[#This Row],[INVERSIONES FCI]])</f>
        <v>1663646341.244915</v>
      </c>
      <c r="AR117" s="5">
        <f>IF($B116&lt;=Tabla5[[#This Row],[INVERSIONES FCI]],+Tabla5[[#This Row],[INVERSIONES FCI]]-AR116,Tabla5[[#This Row],[INVERSIONES FCI]])</f>
        <v>1663646341.244915</v>
      </c>
      <c r="AS117" s="5">
        <f>IF($B116&lt;=Tabla5[[#This Row],[INVERSIONES FCI]],+Tabla5[[#This Row],[INVERSIONES FCI]]-AS116,Tabla5[[#This Row],[INVERSIONES FCI]])</f>
        <v>1663646341.244915</v>
      </c>
      <c r="AT117" s="5">
        <f>IF($B116&lt;=Tabla5[[#This Row],[INVERSIONES FCI]],+Tabla5[[#This Row],[INVERSIONES FCI]]-AT116,Tabla5[[#This Row],[INVERSIONES FCI]])</f>
        <v>1663646341.244915</v>
      </c>
      <c r="AU117" s="5">
        <f>IF($B116&lt;=Tabla5[[#This Row],[INVERSIONES FCI]],+Tabla5[[#This Row],[INVERSIONES FCI]]-AU116,Tabla5[[#This Row],[INVERSIONES FCI]])</f>
        <v>1663646341.244915</v>
      </c>
      <c r="AV117" s="5">
        <f>IF($B116&lt;=Tabla5[[#This Row],[INVERSIONES FCI]],+Tabla5[[#This Row],[INVERSIONES FCI]]-AV116,Tabla5[[#This Row],[INVERSIONES FCI]])</f>
        <v>1663646341.244915</v>
      </c>
      <c r="AW117" s="5">
        <f>IF($B116&lt;=Tabla5[[#This Row],[INVERSIONES FCI]],+Tabla5[[#This Row],[INVERSIONES FCI]]-AW116,Tabla5[[#This Row],[INVERSIONES FCI]])</f>
        <v>1663646341.244915</v>
      </c>
      <c r="AX117" s="5">
        <f>IF($B116&lt;=Tabla5[[#This Row],[INVERSIONES FCI]],+Tabla5[[#This Row],[INVERSIONES FCI]]-AX116,Tabla5[[#This Row],[INVERSIONES FCI]])</f>
        <v>1663646341.244915</v>
      </c>
      <c r="AY117" s="5">
        <f>IF($B116&lt;=Tabla5[[#This Row],[INVERSIONES FCI]],+Tabla5[[#This Row],[INVERSIONES FCI]]-AY116,Tabla5[[#This Row],[INVERSIONES FCI]])</f>
        <v>1663646341.244915</v>
      </c>
      <c r="AZ117" s="5">
        <f>IF($B116&lt;=Tabla5[[#This Row],[INVERSIONES FCI]],+Tabla5[[#This Row],[INVERSIONES FCI]]-AZ116,Tabla5[[#This Row],[INVERSIONES FCI]])</f>
        <v>1663646341.244915</v>
      </c>
      <c r="BA117" s="5">
        <f>IF($B116&lt;=Tabla5[[#This Row],[INVERSIONES FCI]],+Tabla5[[#This Row],[INVERSIONES FCI]]-BA116,Tabla5[[#This Row],[INVERSIONES FCI]])</f>
        <v>1663646341.244915</v>
      </c>
      <c r="BB117" s="5">
        <f>IF($B116&lt;=Tabla5[[#This Row],[INVERSIONES FCI]],+Tabla5[[#This Row],[INVERSIONES FCI]]-BB116,Tabla5[[#This Row],[INVERSIONES FCI]])</f>
        <v>1663646341.244915</v>
      </c>
      <c r="BC117" s="5">
        <f>IF($B116&lt;=Tabla5[[#This Row],[INVERSIONES FCI]],+Tabla5[[#This Row],[INVERSIONES FCI]]-BC116,Tabla5[[#This Row],[INVERSIONES FCI]])</f>
        <v>1663646341.244915</v>
      </c>
      <c r="BD117" s="5">
        <f>IF($B116&lt;=Tabla5[[#This Row],[INVERSIONES FCI]],+Tabla5[[#This Row],[INVERSIONES FCI]]-BD116,Tabla5[[#This Row],[INVERSIONES FCI]])</f>
        <v>1663646341.244915</v>
      </c>
      <c r="BE117" s="5">
        <f>IF($B116&lt;=Tabla5[[#This Row],[INVERSIONES FCI]],+Tabla5[[#This Row],[INVERSIONES FCI]]-BE116,Tabla5[[#This Row],[INVERSIONES FCI]])</f>
        <v>1663646341.244915</v>
      </c>
      <c r="BF117" s="5">
        <f>IF($B116&lt;=Tabla5[[#This Row],[INVERSIONES FCI]],+Tabla5[[#This Row],[INVERSIONES FCI]]-BF116,Tabla5[[#This Row],[INVERSIONES FCI]])</f>
        <v>1663646341.244915</v>
      </c>
      <c r="BG117" s="5">
        <f>IF($B116&lt;=Tabla5[[#This Row],[INVERSIONES FCI]],+Tabla5[[#This Row],[INVERSIONES FCI]]-BG116,Tabla5[[#This Row],[INVERSIONES FCI]])</f>
        <v>1663646341.244915</v>
      </c>
      <c r="BH117" s="5">
        <f>IF($B116&lt;=Tabla5[[#This Row],[INVERSIONES FCI]],+Tabla5[[#This Row],[INVERSIONES FCI]]-BH116,Tabla5[[#This Row],[INVERSIONES FCI]])</f>
        <v>1663646341.244915</v>
      </c>
      <c r="BI117" s="5">
        <f>IF($B116&lt;=Tabla5[[#This Row],[INVERSIONES FCI]],+Tabla5[[#This Row],[INVERSIONES FCI]]-BI116,Tabla5[[#This Row],[INVERSIONES FCI]])</f>
        <v>1663646341.244915</v>
      </c>
      <c r="BJ117" s="5">
        <f>IF($B116&lt;=Tabla5[[#This Row],[INVERSIONES FCI]],+Tabla5[[#This Row],[INVERSIONES FCI]]-BJ116,Tabla5[[#This Row],[INVERSIONES FCI]])</f>
        <v>1663646341.244915</v>
      </c>
      <c r="BK117" s="5">
        <f>IF($B116&lt;=Tabla5[[#This Row],[INVERSIONES FCI]],+Tabla5[[#This Row],[INVERSIONES FCI]]-BK116,Tabla5[[#This Row],[INVERSIONES FCI]])</f>
        <v>1663646341.244915</v>
      </c>
      <c r="BL117" s="5">
        <f>IF($B116&lt;=Tabla5[[#This Row],[INVERSIONES FCI]],+Tabla5[[#This Row],[INVERSIONES FCI]]-BL116,Tabla5[[#This Row],[INVERSIONES FCI]])</f>
        <v>1663646341.244915</v>
      </c>
      <c r="BM117" s="5">
        <f>IF($B116&lt;=Tabla5[[#This Row],[INVERSIONES FCI]],+Tabla5[[#This Row],[INVERSIONES FCI]]-BM116,Tabla5[[#This Row],[INVERSIONES FCI]])</f>
        <v>1663646341.244915</v>
      </c>
      <c r="BN117" s="5">
        <f>IF($B116&lt;=Tabla5[[#This Row],[INVERSIONES FCI]],+Tabla5[[#This Row],[INVERSIONES FCI]]-BN116,Tabla5[[#This Row],[INVERSIONES FCI]])</f>
        <v>1663646341.244915</v>
      </c>
      <c r="BO117" s="5">
        <f>IF($B116&lt;=Tabla5[[#This Row],[INVERSIONES FCI]],+Tabla5[[#This Row],[INVERSIONES FCI]]-BO116,Tabla5[[#This Row],[INVERSIONES FCI]])</f>
        <v>1663646341.244915</v>
      </c>
      <c r="BP117" s="5">
        <f>IF($B116&lt;=Tabla5[[#This Row],[INVERSIONES FCI]],+Tabla5[[#This Row],[INVERSIONES FCI]]-BP116,Tabla5[[#This Row],[INVERSIONES FCI]])</f>
        <v>1663646341.244915</v>
      </c>
      <c r="BQ117" s="5">
        <f>IF($B116&lt;=Tabla5[[#This Row],[INVERSIONES FCI]],+Tabla5[[#This Row],[INVERSIONES FCI]]-BQ116,Tabla5[[#This Row],[INVERSIONES FCI]])</f>
        <v>1663646341.244915</v>
      </c>
      <c r="BR117" s="5">
        <f>IF($B116&lt;=Tabla5[[#This Row],[INVERSIONES FCI]],+Tabla5[[#This Row],[INVERSIONES FCI]]-BR116,Tabla5[[#This Row],[INVERSIONES FCI]])</f>
        <v>1663646341.244915</v>
      </c>
      <c r="BS117" s="5">
        <f>IF($B116&lt;=Tabla5[[#This Row],[INVERSIONES FCI]],+Tabla5[[#This Row],[INVERSIONES FCI]]-BS116,Tabla5[[#This Row],[INVERSIONES FCI]])</f>
        <v>1663646341.244915</v>
      </c>
      <c r="BT117" s="5">
        <f>IF($B116&lt;=Tabla5[[#This Row],[INVERSIONES FCI]],+Tabla5[[#This Row],[INVERSIONES FCI]]-BT116,Tabla5[[#This Row],[INVERSIONES FCI]])</f>
        <v>1663646341.244915</v>
      </c>
      <c r="BU117" s="5">
        <f>IF($B116&lt;=Tabla5[[#This Row],[INVERSIONES FCI]],+Tabla5[[#This Row],[INVERSIONES FCI]]-BU116,Tabla5[[#This Row],[INVERSIONES FCI]])</f>
        <v>1663646341.244915</v>
      </c>
      <c r="BV117" s="5">
        <f>IF($B116&lt;=Tabla5[[#This Row],[INVERSIONES FCI]],+Tabla5[[#This Row],[INVERSIONES FCI]]-BV116,Tabla5[[#This Row],[INVERSIONES FCI]])</f>
        <v>1663646341.244915</v>
      </c>
      <c r="BW117" s="5">
        <f>IF($B116&lt;=Tabla5[[#This Row],[INVERSIONES FCI]],+Tabla5[[#This Row],[INVERSIONES FCI]]-BW116,Tabla5[[#This Row],[INVERSIONES FCI]])</f>
        <v>1663646341.244915</v>
      </c>
      <c r="BX117" s="5">
        <f>IF($B116&lt;=Tabla5[[#This Row],[INVERSIONES FCI]],+Tabla5[[#This Row],[INVERSIONES FCI]]-BX116,Tabla5[[#This Row],[INVERSIONES FCI]])</f>
        <v>1663646341.244915</v>
      </c>
      <c r="BY117" s="5">
        <f>IF($B116&lt;=Tabla5[[#This Row],[INVERSIONES FCI]],+Tabla5[[#This Row],[INVERSIONES FCI]]-BY116,Tabla5[[#This Row],[INVERSIONES FCI]])</f>
        <v>1663646341.244915</v>
      </c>
      <c r="BZ117" s="5">
        <f>IF($B116&lt;=Tabla5[[#This Row],[INVERSIONES FCI]],+Tabla5[[#This Row],[INVERSIONES FCI]]-BZ116,Tabla5[[#This Row],[INVERSIONES FCI]])</f>
        <v>1663646341.244915</v>
      </c>
      <c r="CA117" s="5">
        <f>IF($B116&lt;=Tabla5[[#This Row],[INVERSIONES FCI]],+Tabla5[[#This Row],[INVERSIONES FCI]]-CA116,Tabla5[[#This Row],[INVERSIONES FCI]])</f>
        <v>1663646341.244915</v>
      </c>
      <c r="CB117" s="5">
        <f>IF($B116&lt;=Tabla5[[#This Row],[INVERSIONES FCI]],+Tabla5[[#This Row],[INVERSIONES FCI]]-CB116,Tabla5[[#This Row],[INVERSIONES FCI]])</f>
        <v>1663646341.244915</v>
      </c>
      <c r="CC117" s="5">
        <f>IF($B116&lt;=Tabla5[[#This Row],[INVERSIONES FCI]],+Tabla5[[#This Row],[INVERSIONES FCI]]-CC116,Tabla5[[#This Row],[INVERSIONES FCI]])</f>
        <v>1663646341.244915</v>
      </c>
      <c r="CD117" s="5">
        <f>IF($B116&lt;=Tabla5[[#This Row],[INVERSIONES FCI]],+Tabla5[[#This Row],[INVERSIONES FCI]]-CD116,Tabla5[[#This Row],[INVERSIONES FCI]])</f>
        <v>1663646341.244915</v>
      </c>
      <c r="CE117" s="5">
        <f>IF($B116&lt;=Tabla5[[#This Row],[INVERSIONES FCI]],+Tabla5[[#This Row],[INVERSIONES FCI]]-CE116,Tabla5[[#This Row],[INVERSIONES FCI]])</f>
        <v>1663646341.244915</v>
      </c>
      <c r="CF117" s="5">
        <f>IF($B116&lt;=Tabla5[[#This Row],[INVERSIONES FCI]],+Tabla5[[#This Row],[INVERSIONES FCI]]-CF116,Tabla5[[#This Row],[INVERSIONES FCI]])</f>
        <v>1663646341.244915</v>
      </c>
      <c r="CG117" s="5">
        <f>IF($B116&lt;=Tabla5[[#This Row],[INVERSIONES FCI]],+Tabla5[[#This Row],[INVERSIONES FCI]]-CG116,Tabla5[[#This Row],[INVERSIONES FCI]])</f>
        <v>1663646341.244915</v>
      </c>
      <c r="CH117" s="5">
        <f>IF($B116&lt;=Tabla5[[#This Row],[INVERSIONES FCI]],+Tabla5[[#This Row],[INVERSIONES FCI]]-CH116,Tabla5[[#This Row],[INVERSIONES FCI]])</f>
        <v>1663646341.244915</v>
      </c>
      <c r="CI117" s="5">
        <f>IF($B116&lt;=Tabla5[[#This Row],[INVERSIONES FCI]],+Tabla5[[#This Row],[INVERSIONES FCI]]-CI116,Tabla5[[#This Row],[INVERSIONES FCI]])</f>
        <v>1663646341.244915</v>
      </c>
      <c r="CJ117" s="5">
        <f>IF($B116&lt;=Tabla5[[#This Row],[INVERSIONES FCI]],+Tabla5[[#This Row],[INVERSIONES FCI]]-CJ116,Tabla5[[#This Row],[INVERSIONES FCI]])</f>
        <v>1663646341.244915</v>
      </c>
      <c r="CK117" s="5">
        <f>IF($B116&lt;=Tabla5[[#This Row],[INVERSIONES FCI]],+Tabla5[[#This Row],[INVERSIONES FCI]]-CK116,Tabla5[[#This Row],[INVERSIONES FCI]])</f>
        <v>1663646341.244915</v>
      </c>
      <c r="CL117" s="5">
        <f>IF($B116&lt;=Tabla5[[#This Row],[INVERSIONES FCI]],+Tabla5[[#This Row],[INVERSIONES FCI]]-CL116,Tabla5[[#This Row],[INVERSIONES FCI]])</f>
        <v>1663646341.244915</v>
      </c>
      <c r="CM117" s="5">
        <f>IF($B116&lt;=Tabla5[[#This Row],[INVERSIONES FCI]],+Tabla5[[#This Row],[INVERSIONES FCI]]-CM116,Tabla5[[#This Row],[INVERSIONES FCI]])</f>
        <v>1663646341.244915</v>
      </c>
      <c r="CN117" s="5">
        <f>IF($B116&lt;=Tabla5[[#This Row],[INVERSIONES FCI]],+Tabla5[[#This Row],[INVERSIONES FCI]]-CN116,Tabla5[[#This Row],[INVERSIONES FCI]])</f>
        <v>1663646341.244915</v>
      </c>
      <c r="CO117" s="5">
        <f>IF($B116&lt;=Tabla5[[#This Row],[INVERSIONES FCI]],+Tabla5[[#This Row],[INVERSIONES FCI]]-CO116,Tabla5[[#This Row],[INVERSIONES FCI]])</f>
        <v>1663646341.244915</v>
      </c>
      <c r="CP117" s="5">
        <f>IF($B116&lt;=Tabla5[[#This Row],[INVERSIONES FCI]],+Tabla5[[#This Row],[INVERSIONES FCI]]-CP116,Tabla5[[#This Row],[INVERSIONES FCI]])</f>
        <v>1663646341.244915</v>
      </c>
      <c r="CQ117" s="5">
        <f>IF($B116&lt;=Tabla5[[#This Row],[INVERSIONES FCI]],+Tabla5[[#This Row],[INVERSIONES FCI]]-CQ116,Tabla5[[#This Row],[INVERSIONES FCI]])</f>
        <v>1663646341.244915</v>
      </c>
      <c r="CR117" s="5">
        <f>IF($B116&lt;=Tabla5[[#This Row],[INVERSIONES FCI]],+Tabla5[[#This Row],[INVERSIONES FCI]]-CR116,Tabla5[[#This Row],[INVERSIONES FCI]])</f>
        <v>1663646341.244915</v>
      </c>
      <c r="CS117" s="5">
        <f>IF($B116&lt;=Tabla5[[#This Row],[INVERSIONES FCI]],+Tabla5[[#This Row],[INVERSIONES FCI]]-CS116,Tabla5[[#This Row],[INVERSIONES FCI]])</f>
        <v>1663646341.244915</v>
      </c>
      <c r="CT117" s="5">
        <f>IF($B116&lt;=Tabla5[[#This Row],[INVERSIONES FCI]],+Tabla5[[#This Row],[INVERSIONES FCI]]-CT116,Tabla5[[#This Row],[INVERSIONES FCI]])</f>
        <v>1663646341.244915</v>
      </c>
      <c r="CU117" s="5">
        <f>IF($B116&lt;=Tabla5[[#This Row],[INVERSIONES FCI]],+Tabla5[[#This Row],[INVERSIONES FCI]]-CU116,Tabla5[[#This Row],[INVERSIONES FCI]])</f>
        <v>1663646341.244915</v>
      </c>
      <c r="CV117" s="5">
        <f>IF($B116&lt;=Tabla5[[#This Row],[INVERSIONES FCI]],+Tabla5[[#This Row],[INVERSIONES FCI]]-CV116,Tabla5[[#This Row],[INVERSIONES FCI]])</f>
        <v>1663646341.244915</v>
      </c>
      <c r="CW117" s="5">
        <f>IF($B116&lt;=Tabla5[[#This Row],[INVERSIONES FCI]],+Tabla5[[#This Row],[INVERSIONES FCI]]-CW116,Tabla5[[#This Row],[INVERSIONES FCI]])</f>
        <v>1663646341.244915</v>
      </c>
      <c r="CX117" s="5">
        <f>IF($B116&lt;=Tabla5[[#This Row],[INVERSIONES FCI]],+Tabla5[[#This Row],[INVERSIONES FCI]]-CX116,Tabla5[[#This Row],[INVERSIONES FCI]])</f>
        <v>1663646341.244915</v>
      </c>
      <c r="CY117" s="5">
        <f>IF($B116&lt;=Tabla5[[#This Row],[INVERSIONES FCI]],+Tabla5[[#This Row],[INVERSIONES FCI]]-CY116,Tabla5[[#This Row],[INVERSIONES FCI]])</f>
        <v>1663646341.244915</v>
      </c>
      <c r="CZ117" s="5">
        <f>IF($B116&lt;=Tabla5[[#This Row],[INVERSIONES FCI]],+Tabla5[[#This Row],[INVERSIONES FCI]]-CZ116,Tabla5[[#This Row],[INVERSIONES FCI]])</f>
        <v>1663646341.244915</v>
      </c>
      <c r="DA117" s="5">
        <f>IF($B116&lt;=Tabla5[[#This Row],[INVERSIONES FCI]],+Tabla5[[#This Row],[INVERSIONES FCI]]-DA116,Tabla5[[#This Row],[INVERSIONES FCI]])</f>
        <v>1663646341.244915</v>
      </c>
      <c r="DB117" s="5">
        <f>IF($B116&lt;=Tabla5[[#This Row],[INVERSIONES FCI]],+Tabla5[[#This Row],[INVERSIONES FCI]]-DB116,Tabla5[[#This Row],[INVERSIONES FCI]])</f>
        <v>1663646341.244915</v>
      </c>
      <c r="DC117" s="5">
        <f>IF($B116&lt;=Tabla5[[#This Row],[INVERSIONES FCI]],+Tabla5[[#This Row],[INVERSIONES FCI]]-DC116,Tabla5[[#This Row],[INVERSIONES FCI]])</f>
        <v>1663646341.244915</v>
      </c>
      <c r="DD117" s="5">
        <f>IF($B116&lt;=Tabla5[[#This Row],[INVERSIONES FCI]],+Tabla5[[#This Row],[INVERSIONES FCI]]-DD116,Tabla5[[#This Row],[INVERSIONES FCI]])</f>
        <v>1663646341.244915</v>
      </c>
      <c r="DE117" s="5">
        <f>IF($B116&lt;=Tabla5[[#This Row],[INVERSIONES FCI]],+Tabla5[[#This Row],[INVERSIONES FCI]]-DE116,Tabla5[[#This Row],[INVERSIONES FCI]])</f>
        <v>1663646341.244915</v>
      </c>
      <c r="DF117" s="5">
        <f>IF($B116&lt;=Tabla5[[#This Row],[INVERSIONES FCI]],+Tabla5[[#This Row],[INVERSIONES FCI]]-DF116,Tabla5[[#This Row],[INVERSIONES FCI]])</f>
        <v>1663646341.244915</v>
      </c>
      <c r="DG117" s="5">
        <f>IF($B116&lt;=Tabla5[[#This Row],[INVERSIONES FCI]],+Tabla5[[#This Row],[INVERSIONES FCI]]-DG116,Tabla5[[#This Row],[INVERSIONES FCI]])</f>
        <v>1663646341.244915</v>
      </c>
      <c r="DH117" s="5">
        <f>IF($B116&lt;=Tabla5[[#This Row],[INVERSIONES FCI]],+Tabla5[[#This Row],[INVERSIONES FCI]]-DH116,Tabla5[[#This Row],[INVERSIONES FCI]])</f>
        <v>1663646341.244915</v>
      </c>
      <c r="DI117" s="5">
        <f>IF($B116&lt;=Tabla5[[#This Row],[INVERSIONES FCI]],+Tabla5[[#This Row],[INVERSIONES FCI]]-DI116,Tabla5[[#This Row],[INVERSIONES FCI]])</f>
        <v>1663646341.244915</v>
      </c>
      <c r="DJ117" s="5">
        <f>IF($B116&lt;=Tabla5[[#This Row],[INVERSIONES FCI]],+Tabla5[[#This Row],[INVERSIONES FCI]]-DJ116,Tabla5[[#This Row],[INVERSIONES FCI]])</f>
        <v>1663646341.244915</v>
      </c>
      <c r="DK117" s="5">
        <f>IF($B116&lt;=Tabla5[[#This Row],[INVERSIONES FCI]],+Tabla5[[#This Row],[INVERSIONES FCI]]-DK116,Tabla5[[#This Row],[INVERSIONES FCI]])</f>
        <v>1663646341.244915</v>
      </c>
      <c r="DL117" s="5"/>
      <c r="DM117" s="5"/>
      <c r="DN117" s="5"/>
      <c r="DO117" s="5"/>
      <c r="DP117" s="5"/>
      <c r="DQ117" s="5"/>
    </row>
    <row r="118" spans="1:121" ht="14.4">
      <c r="A118" s="12" t="s">
        <v>117</v>
      </c>
      <c r="B118" s="5">
        <f>HLOOKUP($A118,ESCENARIO[#All],7,FALSE)</f>
        <v>30253527634.257866</v>
      </c>
      <c r="C118" s="5">
        <f>IF($B117&lt;=Tabla5[[#This Row],[INVERSIONES FCI]],+Tabla5[[#This Row],[INVERSIONES FCI]]-C117,Tabla5[[#This Row],[INVERSIONES FCI]])</f>
        <v>28589881293.012951</v>
      </c>
      <c r="D118" s="5">
        <f>IF($B117&lt;=Tabla5[[#This Row],[INVERSIONES FCI]],+Tabla5[[#This Row],[INVERSIONES FCI]]-D117,Tabla5[[#This Row],[INVERSIONES FCI]])</f>
        <v>28589881293.012951</v>
      </c>
      <c r="E118" s="5">
        <f>IF($B117&lt;=Tabla5[[#This Row],[INVERSIONES FCI]],+Tabla5[[#This Row],[INVERSIONES FCI]]-E117,Tabla5[[#This Row],[INVERSIONES FCI]])</f>
        <v>28589881293.012951</v>
      </c>
      <c r="F118" s="5">
        <f>IF($B117&lt;=Tabla5[[#This Row],[INVERSIONES FCI]],+Tabla5[[#This Row],[INVERSIONES FCI]]-F117,Tabla5[[#This Row],[INVERSIONES FCI]])</f>
        <v>28589881293.012951</v>
      </c>
      <c r="G118" s="5">
        <f>IF($B117&lt;=Tabla5[[#This Row],[INVERSIONES FCI]],+Tabla5[[#This Row],[INVERSIONES FCI]]-G117,Tabla5[[#This Row],[INVERSIONES FCI]])</f>
        <v>28589881293.012951</v>
      </c>
      <c r="H118" s="5">
        <f>IF($B117&lt;=Tabla5[[#This Row],[INVERSIONES FCI]],+Tabla5[[#This Row],[INVERSIONES FCI]]-H117,Tabla5[[#This Row],[INVERSIONES FCI]])</f>
        <v>28589881293.012951</v>
      </c>
      <c r="I118" s="5">
        <f>IF($B117&lt;=Tabla5[[#This Row],[INVERSIONES FCI]],+Tabla5[[#This Row],[INVERSIONES FCI]]-I117,Tabla5[[#This Row],[INVERSIONES FCI]])</f>
        <v>28589881293.012951</v>
      </c>
      <c r="J118" s="5">
        <f>IF($B117&lt;=Tabla5[[#This Row],[INVERSIONES FCI]],+Tabla5[[#This Row],[INVERSIONES FCI]]-J117,Tabla5[[#This Row],[INVERSIONES FCI]])</f>
        <v>28589881293.012951</v>
      </c>
      <c r="K118" s="5">
        <f>IF($B117&lt;=Tabla5[[#This Row],[INVERSIONES FCI]],+Tabla5[[#This Row],[INVERSIONES FCI]]-K117,Tabla5[[#This Row],[INVERSIONES FCI]])</f>
        <v>28589881293.012951</v>
      </c>
      <c r="L118" s="5">
        <f>IF($B117&lt;=Tabla5[[#This Row],[INVERSIONES FCI]],+Tabla5[[#This Row],[INVERSIONES FCI]]-L117,Tabla5[[#This Row],[INVERSIONES FCI]])</f>
        <v>28589881293.012951</v>
      </c>
      <c r="M118" s="5">
        <f>IF($B117&lt;=Tabla5[[#This Row],[INVERSIONES FCI]],+Tabla5[[#This Row],[INVERSIONES FCI]]-M117,Tabla5[[#This Row],[INVERSIONES FCI]])</f>
        <v>28589881293.012951</v>
      </c>
      <c r="N118" s="5">
        <f>IF($B117&lt;=Tabla5[[#This Row],[INVERSIONES FCI]],+Tabla5[[#This Row],[INVERSIONES FCI]]-N117,Tabla5[[#This Row],[INVERSIONES FCI]])</f>
        <v>28589881293.012951</v>
      </c>
      <c r="O118" s="5">
        <f>IF($B117&lt;=Tabla5[[#This Row],[INVERSIONES FCI]],+Tabla5[[#This Row],[INVERSIONES FCI]]-O117,Tabla5[[#This Row],[INVERSIONES FCI]])</f>
        <v>28589881293.012951</v>
      </c>
      <c r="P118" s="5">
        <f>IF($B117&lt;=Tabla5[[#This Row],[INVERSIONES FCI]],+Tabla5[[#This Row],[INVERSIONES FCI]]-P117,Tabla5[[#This Row],[INVERSIONES FCI]])</f>
        <v>28589881293.012951</v>
      </c>
      <c r="Q118" s="5">
        <f>IF($B117&lt;=Tabla5[[#This Row],[INVERSIONES FCI]],+Tabla5[[#This Row],[INVERSIONES FCI]]-Q117,Tabla5[[#This Row],[INVERSIONES FCI]])</f>
        <v>28589881293.012951</v>
      </c>
      <c r="R118" s="5">
        <f>IF($B117&lt;=Tabla5[[#This Row],[INVERSIONES FCI]],+Tabla5[[#This Row],[INVERSIONES FCI]]-R117,Tabla5[[#This Row],[INVERSIONES FCI]])</f>
        <v>28589881293.012951</v>
      </c>
      <c r="S118" s="5">
        <f>IF($B117&lt;=Tabla5[[#This Row],[INVERSIONES FCI]],+Tabla5[[#This Row],[INVERSIONES FCI]]-S117,Tabla5[[#This Row],[INVERSIONES FCI]])</f>
        <v>28589881293.012951</v>
      </c>
      <c r="T118" s="5">
        <f>IF($B117&lt;=Tabla5[[#This Row],[INVERSIONES FCI]],+Tabla5[[#This Row],[INVERSIONES FCI]]-T117,Tabla5[[#This Row],[INVERSIONES FCI]])</f>
        <v>28589881293.012951</v>
      </c>
      <c r="U118" s="5">
        <f>IF($B117&lt;=Tabla5[[#This Row],[INVERSIONES FCI]],+Tabla5[[#This Row],[INVERSIONES FCI]]-U117,Tabla5[[#This Row],[INVERSIONES FCI]])</f>
        <v>28589881293.012951</v>
      </c>
      <c r="V118" s="5">
        <f>IF($B117&lt;=Tabla5[[#This Row],[INVERSIONES FCI]],+Tabla5[[#This Row],[INVERSIONES FCI]]-V117,Tabla5[[#This Row],[INVERSIONES FCI]])</f>
        <v>28589881293.012951</v>
      </c>
      <c r="W118" s="5">
        <f>IF($B117&lt;=Tabla5[[#This Row],[INVERSIONES FCI]],+Tabla5[[#This Row],[INVERSIONES FCI]]-W117,Tabla5[[#This Row],[INVERSIONES FCI]])</f>
        <v>28589881293.012951</v>
      </c>
      <c r="X118" s="5">
        <f>IF($B117&lt;=Tabla5[[#This Row],[INVERSIONES FCI]],+Tabla5[[#This Row],[INVERSIONES FCI]]-X117,Tabla5[[#This Row],[INVERSIONES FCI]])</f>
        <v>28589881293.012951</v>
      </c>
      <c r="Y118" s="5">
        <f>IF($B117&lt;=Tabla5[[#This Row],[INVERSIONES FCI]],+Tabla5[[#This Row],[INVERSIONES FCI]]-Y117,Tabla5[[#This Row],[INVERSIONES FCI]])</f>
        <v>28589881293.012951</v>
      </c>
      <c r="Z118" s="5">
        <f>IF($B117&lt;=Tabla5[[#This Row],[INVERSIONES FCI]],+Tabla5[[#This Row],[INVERSIONES FCI]]-Z117,Tabla5[[#This Row],[INVERSIONES FCI]])</f>
        <v>28589881293.012951</v>
      </c>
      <c r="AA118" s="5">
        <f>IF($B117&lt;=Tabla5[[#This Row],[INVERSIONES FCI]],+Tabla5[[#This Row],[INVERSIONES FCI]]-AA117,Tabla5[[#This Row],[INVERSIONES FCI]])</f>
        <v>28589881293.012951</v>
      </c>
      <c r="AB118" s="5">
        <f>IF($B117&lt;=Tabla5[[#This Row],[INVERSIONES FCI]],+Tabla5[[#This Row],[INVERSIONES FCI]]-AB117,Tabla5[[#This Row],[INVERSIONES FCI]])</f>
        <v>28589881293.012951</v>
      </c>
      <c r="AC118" s="5">
        <f>IF($B117&lt;=Tabla5[[#This Row],[INVERSIONES FCI]],+Tabla5[[#This Row],[INVERSIONES FCI]]-AC117,Tabla5[[#This Row],[INVERSIONES FCI]])</f>
        <v>28589881293.012951</v>
      </c>
      <c r="AD118" s="5">
        <f>IF($B117&lt;=Tabla5[[#This Row],[INVERSIONES FCI]],+Tabla5[[#This Row],[INVERSIONES FCI]]-AD117,Tabla5[[#This Row],[INVERSIONES FCI]])</f>
        <v>28589881293.012951</v>
      </c>
      <c r="AE118" s="5">
        <f>IF($B117&lt;=Tabla5[[#This Row],[INVERSIONES FCI]],+Tabla5[[#This Row],[INVERSIONES FCI]]-AE117,Tabla5[[#This Row],[INVERSIONES FCI]])</f>
        <v>28589881293.012951</v>
      </c>
      <c r="AF118" s="5">
        <f>IF($B117&lt;=Tabla5[[#This Row],[INVERSIONES FCI]],+Tabla5[[#This Row],[INVERSIONES FCI]]-AF117,Tabla5[[#This Row],[INVERSIONES FCI]])</f>
        <v>28589881293.012951</v>
      </c>
      <c r="AG118" s="5">
        <f>IF($B117&lt;=Tabla5[[#This Row],[INVERSIONES FCI]],+Tabla5[[#This Row],[INVERSIONES FCI]]-AG117,Tabla5[[#This Row],[INVERSIONES FCI]])</f>
        <v>28589881293.012951</v>
      </c>
      <c r="AH118" s="5">
        <f>IF($B117&lt;=Tabla5[[#This Row],[INVERSIONES FCI]],+Tabla5[[#This Row],[INVERSIONES FCI]]-AH117,Tabla5[[#This Row],[INVERSIONES FCI]])</f>
        <v>28589881293.012951</v>
      </c>
      <c r="AI118" s="5">
        <f>IF($B117&lt;=Tabla5[[#This Row],[INVERSIONES FCI]],+Tabla5[[#This Row],[INVERSIONES FCI]]-AI117,Tabla5[[#This Row],[INVERSIONES FCI]])</f>
        <v>28589881293.012951</v>
      </c>
      <c r="AJ118" s="5">
        <f>IF($B117&lt;=Tabla5[[#This Row],[INVERSIONES FCI]],+Tabla5[[#This Row],[INVERSIONES FCI]]-AJ117,Tabla5[[#This Row],[INVERSIONES FCI]])</f>
        <v>28589881293.012951</v>
      </c>
      <c r="AK118" s="5">
        <f>IF($B117&lt;=Tabla5[[#This Row],[INVERSIONES FCI]],+Tabla5[[#This Row],[INVERSIONES FCI]]-AK117,Tabla5[[#This Row],[INVERSIONES FCI]])</f>
        <v>28589881293.012951</v>
      </c>
      <c r="AL118" s="5">
        <f>IF($B117&lt;=Tabla5[[#This Row],[INVERSIONES FCI]],+Tabla5[[#This Row],[INVERSIONES FCI]]-AL117,Tabla5[[#This Row],[INVERSIONES FCI]])</f>
        <v>28589881293.012951</v>
      </c>
      <c r="AM118" s="5">
        <f>IF($B117&lt;=Tabla5[[#This Row],[INVERSIONES FCI]],+Tabla5[[#This Row],[INVERSIONES FCI]]-AM117,Tabla5[[#This Row],[INVERSIONES FCI]])</f>
        <v>28589881293.012951</v>
      </c>
      <c r="AN118" s="5">
        <f>IF($B117&lt;=Tabla5[[#This Row],[INVERSIONES FCI]],+Tabla5[[#This Row],[INVERSIONES FCI]]-AN117,Tabla5[[#This Row],[INVERSIONES FCI]])</f>
        <v>28589881293.012951</v>
      </c>
      <c r="AO118" s="5">
        <f>IF($B117&lt;=Tabla5[[#This Row],[INVERSIONES FCI]],+Tabla5[[#This Row],[INVERSIONES FCI]]-AO117,Tabla5[[#This Row],[INVERSIONES FCI]])</f>
        <v>28589881293.012951</v>
      </c>
      <c r="AP118" s="5">
        <f>IF($B117&lt;=Tabla5[[#This Row],[INVERSIONES FCI]],+Tabla5[[#This Row],[INVERSIONES FCI]]-AP117,Tabla5[[#This Row],[INVERSIONES FCI]])</f>
        <v>28589881293.012951</v>
      </c>
      <c r="AQ118" s="5">
        <f>IF($B117&lt;=Tabla5[[#This Row],[INVERSIONES FCI]],+Tabla5[[#This Row],[INVERSIONES FCI]]-AQ117,Tabla5[[#This Row],[INVERSIONES FCI]])</f>
        <v>28589881293.012951</v>
      </c>
      <c r="AR118" s="5">
        <f>IF($B117&lt;=Tabla5[[#This Row],[INVERSIONES FCI]],+Tabla5[[#This Row],[INVERSIONES FCI]]-AR117,Tabla5[[#This Row],[INVERSIONES FCI]])</f>
        <v>28589881293.012951</v>
      </c>
      <c r="AS118" s="5">
        <f>IF($B117&lt;=Tabla5[[#This Row],[INVERSIONES FCI]],+Tabla5[[#This Row],[INVERSIONES FCI]]-AS117,Tabla5[[#This Row],[INVERSIONES FCI]])</f>
        <v>28589881293.012951</v>
      </c>
      <c r="AT118" s="5">
        <f>IF($B117&lt;=Tabla5[[#This Row],[INVERSIONES FCI]],+Tabla5[[#This Row],[INVERSIONES FCI]]-AT117,Tabla5[[#This Row],[INVERSIONES FCI]])</f>
        <v>28589881293.012951</v>
      </c>
      <c r="AU118" s="5">
        <f>IF($B117&lt;=Tabla5[[#This Row],[INVERSIONES FCI]],+Tabla5[[#This Row],[INVERSIONES FCI]]-AU117,Tabla5[[#This Row],[INVERSIONES FCI]])</f>
        <v>28589881293.012951</v>
      </c>
      <c r="AV118" s="5">
        <f>IF($B117&lt;=Tabla5[[#This Row],[INVERSIONES FCI]],+Tabla5[[#This Row],[INVERSIONES FCI]]-AV117,Tabla5[[#This Row],[INVERSIONES FCI]])</f>
        <v>28589881293.012951</v>
      </c>
      <c r="AW118" s="5">
        <f>IF($B117&lt;=Tabla5[[#This Row],[INVERSIONES FCI]],+Tabla5[[#This Row],[INVERSIONES FCI]]-AW117,Tabla5[[#This Row],[INVERSIONES FCI]])</f>
        <v>28589881293.012951</v>
      </c>
      <c r="AX118" s="5">
        <f>IF($B117&lt;=Tabla5[[#This Row],[INVERSIONES FCI]],+Tabla5[[#This Row],[INVERSIONES FCI]]-AX117,Tabla5[[#This Row],[INVERSIONES FCI]])</f>
        <v>28589881293.012951</v>
      </c>
      <c r="AY118" s="5">
        <f>IF($B117&lt;=Tabla5[[#This Row],[INVERSIONES FCI]],+Tabla5[[#This Row],[INVERSIONES FCI]]-AY117,Tabla5[[#This Row],[INVERSIONES FCI]])</f>
        <v>28589881293.012951</v>
      </c>
      <c r="AZ118" s="5">
        <f>IF($B117&lt;=Tabla5[[#This Row],[INVERSIONES FCI]],+Tabla5[[#This Row],[INVERSIONES FCI]]-AZ117,Tabla5[[#This Row],[INVERSIONES FCI]])</f>
        <v>28589881293.012951</v>
      </c>
      <c r="BA118" s="5">
        <f>IF($B117&lt;=Tabla5[[#This Row],[INVERSIONES FCI]],+Tabla5[[#This Row],[INVERSIONES FCI]]-BA117,Tabla5[[#This Row],[INVERSIONES FCI]])</f>
        <v>28589881293.012951</v>
      </c>
      <c r="BB118" s="5">
        <f>IF($B117&lt;=Tabla5[[#This Row],[INVERSIONES FCI]],+Tabla5[[#This Row],[INVERSIONES FCI]]-BB117,Tabla5[[#This Row],[INVERSIONES FCI]])</f>
        <v>28589881293.012951</v>
      </c>
      <c r="BC118" s="5">
        <f>IF($B117&lt;=Tabla5[[#This Row],[INVERSIONES FCI]],+Tabla5[[#This Row],[INVERSIONES FCI]]-BC117,Tabla5[[#This Row],[INVERSIONES FCI]])</f>
        <v>28589881293.012951</v>
      </c>
      <c r="BD118" s="5">
        <f>IF($B117&lt;=Tabla5[[#This Row],[INVERSIONES FCI]],+Tabla5[[#This Row],[INVERSIONES FCI]]-BD117,Tabla5[[#This Row],[INVERSIONES FCI]])</f>
        <v>28589881293.012951</v>
      </c>
      <c r="BE118" s="5">
        <f>IF($B117&lt;=Tabla5[[#This Row],[INVERSIONES FCI]],+Tabla5[[#This Row],[INVERSIONES FCI]]-BE117,Tabla5[[#This Row],[INVERSIONES FCI]])</f>
        <v>28589881293.012951</v>
      </c>
      <c r="BF118" s="5">
        <f>IF($B117&lt;=Tabla5[[#This Row],[INVERSIONES FCI]],+Tabla5[[#This Row],[INVERSIONES FCI]]-BF117,Tabla5[[#This Row],[INVERSIONES FCI]])</f>
        <v>28589881293.012951</v>
      </c>
      <c r="BG118" s="5">
        <f>IF($B117&lt;=Tabla5[[#This Row],[INVERSIONES FCI]],+Tabla5[[#This Row],[INVERSIONES FCI]]-BG117,Tabla5[[#This Row],[INVERSIONES FCI]])</f>
        <v>28589881293.012951</v>
      </c>
      <c r="BH118" s="5">
        <f>IF($B117&lt;=Tabla5[[#This Row],[INVERSIONES FCI]],+Tabla5[[#This Row],[INVERSIONES FCI]]-BH117,Tabla5[[#This Row],[INVERSIONES FCI]])</f>
        <v>28589881293.012951</v>
      </c>
      <c r="BI118" s="5">
        <f>IF($B117&lt;=Tabla5[[#This Row],[INVERSIONES FCI]],+Tabla5[[#This Row],[INVERSIONES FCI]]-BI117,Tabla5[[#This Row],[INVERSIONES FCI]])</f>
        <v>28589881293.012951</v>
      </c>
      <c r="BJ118" s="5">
        <f>IF($B117&lt;=Tabla5[[#This Row],[INVERSIONES FCI]],+Tabla5[[#This Row],[INVERSIONES FCI]]-BJ117,Tabla5[[#This Row],[INVERSIONES FCI]])</f>
        <v>28589881293.012951</v>
      </c>
      <c r="BK118" s="5">
        <f>IF($B117&lt;=Tabla5[[#This Row],[INVERSIONES FCI]],+Tabla5[[#This Row],[INVERSIONES FCI]]-BK117,Tabla5[[#This Row],[INVERSIONES FCI]])</f>
        <v>28589881293.012951</v>
      </c>
      <c r="BL118" s="5">
        <f>IF($B117&lt;=Tabla5[[#This Row],[INVERSIONES FCI]],+Tabla5[[#This Row],[INVERSIONES FCI]]-BL117,Tabla5[[#This Row],[INVERSIONES FCI]])</f>
        <v>28589881293.012951</v>
      </c>
      <c r="BM118" s="5">
        <f>IF($B117&lt;=Tabla5[[#This Row],[INVERSIONES FCI]],+Tabla5[[#This Row],[INVERSIONES FCI]]-BM117,Tabla5[[#This Row],[INVERSIONES FCI]])</f>
        <v>28589881293.012951</v>
      </c>
      <c r="BN118" s="5">
        <f>IF($B117&lt;=Tabla5[[#This Row],[INVERSIONES FCI]],+Tabla5[[#This Row],[INVERSIONES FCI]]-BN117,Tabla5[[#This Row],[INVERSIONES FCI]])</f>
        <v>28589881293.012951</v>
      </c>
      <c r="BO118" s="5">
        <f>IF($B117&lt;=Tabla5[[#This Row],[INVERSIONES FCI]],+Tabla5[[#This Row],[INVERSIONES FCI]]-BO117,Tabla5[[#This Row],[INVERSIONES FCI]])</f>
        <v>28589881293.012951</v>
      </c>
      <c r="BP118" s="5">
        <f>IF($B117&lt;=Tabla5[[#This Row],[INVERSIONES FCI]],+Tabla5[[#This Row],[INVERSIONES FCI]]-BP117,Tabla5[[#This Row],[INVERSIONES FCI]])</f>
        <v>28589881293.012951</v>
      </c>
      <c r="BQ118" s="5">
        <f>IF($B117&lt;=Tabla5[[#This Row],[INVERSIONES FCI]],+Tabla5[[#This Row],[INVERSIONES FCI]]-BQ117,Tabla5[[#This Row],[INVERSIONES FCI]])</f>
        <v>28589881293.012951</v>
      </c>
      <c r="BR118" s="5">
        <f>IF($B117&lt;=Tabla5[[#This Row],[INVERSIONES FCI]],+Tabla5[[#This Row],[INVERSIONES FCI]]-BR117,Tabla5[[#This Row],[INVERSIONES FCI]])</f>
        <v>28589881293.012951</v>
      </c>
      <c r="BS118" s="5">
        <f>IF($B117&lt;=Tabla5[[#This Row],[INVERSIONES FCI]],+Tabla5[[#This Row],[INVERSIONES FCI]]-BS117,Tabla5[[#This Row],[INVERSIONES FCI]])</f>
        <v>28589881293.012951</v>
      </c>
      <c r="BT118" s="5">
        <f>IF($B117&lt;=Tabla5[[#This Row],[INVERSIONES FCI]],+Tabla5[[#This Row],[INVERSIONES FCI]]-BT117,Tabla5[[#This Row],[INVERSIONES FCI]])</f>
        <v>28589881293.012951</v>
      </c>
      <c r="BU118" s="5">
        <f>IF($B117&lt;=Tabla5[[#This Row],[INVERSIONES FCI]],+Tabla5[[#This Row],[INVERSIONES FCI]]-BU117,Tabla5[[#This Row],[INVERSIONES FCI]])</f>
        <v>28589881293.012951</v>
      </c>
      <c r="BV118" s="5">
        <f>IF($B117&lt;=Tabla5[[#This Row],[INVERSIONES FCI]],+Tabla5[[#This Row],[INVERSIONES FCI]]-BV117,Tabla5[[#This Row],[INVERSIONES FCI]])</f>
        <v>28589881293.012951</v>
      </c>
      <c r="BW118" s="5">
        <f>IF($B117&lt;=Tabla5[[#This Row],[INVERSIONES FCI]],+Tabla5[[#This Row],[INVERSIONES FCI]]-BW117,Tabla5[[#This Row],[INVERSIONES FCI]])</f>
        <v>28589881293.012951</v>
      </c>
      <c r="BX118" s="5">
        <f>IF($B117&lt;=Tabla5[[#This Row],[INVERSIONES FCI]],+Tabla5[[#This Row],[INVERSIONES FCI]]-BX117,Tabla5[[#This Row],[INVERSIONES FCI]])</f>
        <v>28589881293.012951</v>
      </c>
      <c r="BY118" s="5">
        <f>IF($B117&lt;=Tabla5[[#This Row],[INVERSIONES FCI]],+Tabla5[[#This Row],[INVERSIONES FCI]]-BY117,Tabla5[[#This Row],[INVERSIONES FCI]])</f>
        <v>28589881293.012951</v>
      </c>
      <c r="BZ118" s="5">
        <f>IF($B117&lt;=Tabla5[[#This Row],[INVERSIONES FCI]],+Tabla5[[#This Row],[INVERSIONES FCI]]-BZ117,Tabla5[[#This Row],[INVERSIONES FCI]])</f>
        <v>28589881293.012951</v>
      </c>
      <c r="CA118" s="5">
        <f>IF($B117&lt;=Tabla5[[#This Row],[INVERSIONES FCI]],+Tabla5[[#This Row],[INVERSIONES FCI]]-CA117,Tabla5[[#This Row],[INVERSIONES FCI]])</f>
        <v>28589881293.012951</v>
      </c>
      <c r="CB118" s="5">
        <f>IF($B117&lt;=Tabla5[[#This Row],[INVERSIONES FCI]],+Tabla5[[#This Row],[INVERSIONES FCI]]-CB117,Tabla5[[#This Row],[INVERSIONES FCI]])</f>
        <v>28589881293.012951</v>
      </c>
      <c r="CC118" s="5">
        <f>IF($B117&lt;=Tabla5[[#This Row],[INVERSIONES FCI]],+Tabla5[[#This Row],[INVERSIONES FCI]]-CC117,Tabla5[[#This Row],[INVERSIONES FCI]])</f>
        <v>28589881293.012951</v>
      </c>
      <c r="CD118" s="5">
        <f>IF($B117&lt;=Tabla5[[#This Row],[INVERSIONES FCI]],+Tabla5[[#This Row],[INVERSIONES FCI]]-CD117,Tabla5[[#This Row],[INVERSIONES FCI]])</f>
        <v>28589881293.012951</v>
      </c>
      <c r="CE118" s="5">
        <f>IF($B117&lt;=Tabla5[[#This Row],[INVERSIONES FCI]],+Tabla5[[#This Row],[INVERSIONES FCI]]-CE117,Tabla5[[#This Row],[INVERSIONES FCI]])</f>
        <v>28589881293.012951</v>
      </c>
      <c r="CF118" s="5">
        <f>IF($B117&lt;=Tabla5[[#This Row],[INVERSIONES FCI]],+Tabla5[[#This Row],[INVERSIONES FCI]]-CF117,Tabla5[[#This Row],[INVERSIONES FCI]])</f>
        <v>28589881293.012951</v>
      </c>
      <c r="CG118" s="5">
        <f>IF($B117&lt;=Tabla5[[#This Row],[INVERSIONES FCI]],+Tabla5[[#This Row],[INVERSIONES FCI]]-CG117,Tabla5[[#This Row],[INVERSIONES FCI]])</f>
        <v>28589881293.012951</v>
      </c>
      <c r="CH118" s="5">
        <f>IF($B117&lt;=Tabla5[[#This Row],[INVERSIONES FCI]],+Tabla5[[#This Row],[INVERSIONES FCI]]-CH117,Tabla5[[#This Row],[INVERSIONES FCI]])</f>
        <v>28589881293.012951</v>
      </c>
      <c r="CI118" s="5">
        <f>IF($B117&lt;=Tabla5[[#This Row],[INVERSIONES FCI]],+Tabla5[[#This Row],[INVERSIONES FCI]]-CI117,Tabla5[[#This Row],[INVERSIONES FCI]])</f>
        <v>28589881293.012951</v>
      </c>
      <c r="CJ118" s="5">
        <f>IF($B117&lt;=Tabla5[[#This Row],[INVERSIONES FCI]],+Tabla5[[#This Row],[INVERSIONES FCI]]-CJ117,Tabla5[[#This Row],[INVERSIONES FCI]])</f>
        <v>28589881293.012951</v>
      </c>
      <c r="CK118" s="5">
        <f>IF($B117&lt;=Tabla5[[#This Row],[INVERSIONES FCI]],+Tabla5[[#This Row],[INVERSIONES FCI]]-CK117,Tabla5[[#This Row],[INVERSIONES FCI]])</f>
        <v>28589881293.012951</v>
      </c>
      <c r="CL118" s="5">
        <f>IF($B117&lt;=Tabla5[[#This Row],[INVERSIONES FCI]],+Tabla5[[#This Row],[INVERSIONES FCI]]-CL117,Tabla5[[#This Row],[INVERSIONES FCI]])</f>
        <v>28589881293.012951</v>
      </c>
      <c r="CM118" s="5">
        <f>IF($B117&lt;=Tabla5[[#This Row],[INVERSIONES FCI]],+Tabla5[[#This Row],[INVERSIONES FCI]]-CM117,Tabla5[[#This Row],[INVERSIONES FCI]])</f>
        <v>28589881293.012951</v>
      </c>
      <c r="CN118" s="5">
        <f>IF($B117&lt;=Tabla5[[#This Row],[INVERSIONES FCI]],+Tabla5[[#This Row],[INVERSIONES FCI]]-CN117,Tabla5[[#This Row],[INVERSIONES FCI]])</f>
        <v>28589881293.012951</v>
      </c>
      <c r="CO118" s="5">
        <f>IF($B117&lt;=Tabla5[[#This Row],[INVERSIONES FCI]],+Tabla5[[#This Row],[INVERSIONES FCI]]-CO117,Tabla5[[#This Row],[INVERSIONES FCI]])</f>
        <v>28589881293.012951</v>
      </c>
      <c r="CP118" s="5">
        <f>IF($B117&lt;=Tabla5[[#This Row],[INVERSIONES FCI]],+Tabla5[[#This Row],[INVERSIONES FCI]]-CP117,Tabla5[[#This Row],[INVERSIONES FCI]])</f>
        <v>28589881293.012951</v>
      </c>
      <c r="CQ118" s="5">
        <f>IF($B117&lt;=Tabla5[[#This Row],[INVERSIONES FCI]],+Tabla5[[#This Row],[INVERSIONES FCI]]-CQ117,Tabla5[[#This Row],[INVERSIONES FCI]])</f>
        <v>28589881293.012951</v>
      </c>
      <c r="CR118" s="5">
        <f>IF($B117&lt;=Tabla5[[#This Row],[INVERSIONES FCI]],+Tabla5[[#This Row],[INVERSIONES FCI]]-CR117,Tabla5[[#This Row],[INVERSIONES FCI]])</f>
        <v>28589881293.012951</v>
      </c>
      <c r="CS118" s="5">
        <f>IF($B117&lt;=Tabla5[[#This Row],[INVERSIONES FCI]],+Tabla5[[#This Row],[INVERSIONES FCI]]-CS117,Tabla5[[#This Row],[INVERSIONES FCI]])</f>
        <v>28589881293.012951</v>
      </c>
      <c r="CT118" s="5">
        <f>IF($B117&lt;=Tabla5[[#This Row],[INVERSIONES FCI]],+Tabla5[[#This Row],[INVERSIONES FCI]]-CT117,Tabla5[[#This Row],[INVERSIONES FCI]])</f>
        <v>28589881293.012951</v>
      </c>
      <c r="CU118" s="5">
        <f>IF($B117&lt;=Tabla5[[#This Row],[INVERSIONES FCI]],+Tabla5[[#This Row],[INVERSIONES FCI]]-CU117,Tabla5[[#This Row],[INVERSIONES FCI]])</f>
        <v>28589881293.012951</v>
      </c>
      <c r="CV118" s="5">
        <f>IF($B117&lt;=Tabla5[[#This Row],[INVERSIONES FCI]],+Tabla5[[#This Row],[INVERSIONES FCI]]-CV117,Tabla5[[#This Row],[INVERSIONES FCI]])</f>
        <v>28589881293.012951</v>
      </c>
      <c r="CW118" s="5">
        <f>IF($B117&lt;=Tabla5[[#This Row],[INVERSIONES FCI]],+Tabla5[[#This Row],[INVERSIONES FCI]]-CW117,Tabla5[[#This Row],[INVERSIONES FCI]])</f>
        <v>28589881293.012951</v>
      </c>
      <c r="CX118" s="5">
        <f>IF($B117&lt;=Tabla5[[#This Row],[INVERSIONES FCI]],+Tabla5[[#This Row],[INVERSIONES FCI]]-CX117,Tabla5[[#This Row],[INVERSIONES FCI]])</f>
        <v>28589881293.012951</v>
      </c>
      <c r="CY118" s="5">
        <f>IF($B117&lt;=Tabla5[[#This Row],[INVERSIONES FCI]],+Tabla5[[#This Row],[INVERSIONES FCI]]-CY117,Tabla5[[#This Row],[INVERSIONES FCI]])</f>
        <v>28589881293.012951</v>
      </c>
      <c r="CZ118" s="5">
        <f>IF($B117&lt;=Tabla5[[#This Row],[INVERSIONES FCI]],+Tabla5[[#This Row],[INVERSIONES FCI]]-CZ117,Tabla5[[#This Row],[INVERSIONES FCI]])</f>
        <v>28589881293.012951</v>
      </c>
      <c r="DA118" s="5">
        <f>IF($B117&lt;=Tabla5[[#This Row],[INVERSIONES FCI]],+Tabla5[[#This Row],[INVERSIONES FCI]]-DA117,Tabla5[[#This Row],[INVERSIONES FCI]])</f>
        <v>28589881293.012951</v>
      </c>
      <c r="DB118" s="5">
        <f>IF($B117&lt;=Tabla5[[#This Row],[INVERSIONES FCI]],+Tabla5[[#This Row],[INVERSIONES FCI]]-DB117,Tabla5[[#This Row],[INVERSIONES FCI]])</f>
        <v>28589881293.012951</v>
      </c>
      <c r="DC118" s="5">
        <f>IF($B117&lt;=Tabla5[[#This Row],[INVERSIONES FCI]],+Tabla5[[#This Row],[INVERSIONES FCI]]-DC117,Tabla5[[#This Row],[INVERSIONES FCI]])</f>
        <v>28589881293.012951</v>
      </c>
      <c r="DD118" s="5">
        <f>IF($B117&lt;=Tabla5[[#This Row],[INVERSIONES FCI]],+Tabla5[[#This Row],[INVERSIONES FCI]]-DD117,Tabla5[[#This Row],[INVERSIONES FCI]])</f>
        <v>28589881293.012951</v>
      </c>
      <c r="DE118" s="5">
        <f>IF($B117&lt;=Tabla5[[#This Row],[INVERSIONES FCI]],+Tabla5[[#This Row],[INVERSIONES FCI]]-DE117,Tabla5[[#This Row],[INVERSIONES FCI]])</f>
        <v>28589881293.012951</v>
      </c>
      <c r="DF118" s="5">
        <f>IF($B117&lt;=Tabla5[[#This Row],[INVERSIONES FCI]],+Tabla5[[#This Row],[INVERSIONES FCI]]-DF117,Tabla5[[#This Row],[INVERSIONES FCI]])</f>
        <v>28589881293.012951</v>
      </c>
      <c r="DG118" s="5">
        <f>IF($B117&lt;=Tabla5[[#This Row],[INVERSIONES FCI]],+Tabla5[[#This Row],[INVERSIONES FCI]]-DG117,Tabla5[[#This Row],[INVERSIONES FCI]])</f>
        <v>28589881293.012951</v>
      </c>
      <c r="DH118" s="5">
        <f>IF($B117&lt;=Tabla5[[#This Row],[INVERSIONES FCI]],+Tabla5[[#This Row],[INVERSIONES FCI]]-DH117,Tabla5[[#This Row],[INVERSIONES FCI]])</f>
        <v>28589881293.012951</v>
      </c>
      <c r="DI118" s="5">
        <f>IF($B117&lt;=Tabla5[[#This Row],[INVERSIONES FCI]],+Tabla5[[#This Row],[INVERSIONES FCI]]-DI117,Tabla5[[#This Row],[INVERSIONES FCI]])</f>
        <v>28589881293.012951</v>
      </c>
      <c r="DJ118" s="5">
        <f>IF($B117&lt;=Tabla5[[#This Row],[INVERSIONES FCI]],+Tabla5[[#This Row],[INVERSIONES FCI]]-DJ117,Tabla5[[#This Row],[INVERSIONES FCI]])</f>
        <v>28589881293.012951</v>
      </c>
      <c r="DK118" s="5">
        <f>IF($B117&lt;=Tabla5[[#This Row],[INVERSIONES FCI]],+Tabla5[[#This Row],[INVERSIONES FCI]]-DK117,Tabla5[[#This Row],[INVERSIONES FCI]])</f>
        <v>28589881293.012951</v>
      </c>
      <c r="DL118" s="5"/>
      <c r="DM118" s="5"/>
      <c r="DN118" s="5"/>
      <c r="DO118" s="5"/>
      <c r="DP118" s="5"/>
      <c r="DQ118" s="5"/>
    </row>
    <row r="119" spans="1:121" ht="14.4">
      <c r="A119" s="12" t="s">
        <v>118</v>
      </c>
      <c r="B119" s="5">
        <f>HLOOKUP($A119,ESCENARIO[#All],7,FALSE)</f>
        <v>6324512427.24646</v>
      </c>
      <c r="C119" s="5">
        <f>IF($B118&lt;=Tabla5[[#This Row],[INVERSIONES FCI]],+Tabla5[[#This Row],[INVERSIONES FCI]]-C118,Tabla5[[#This Row],[INVERSIONES FCI]])</f>
        <v>6324512427.24646</v>
      </c>
      <c r="D119" s="5">
        <f>IF($B118&lt;=Tabla5[[#This Row],[INVERSIONES FCI]],+Tabla5[[#This Row],[INVERSIONES FCI]]-D118,Tabla5[[#This Row],[INVERSIONES FCI]])</f>
        <v>6324512427.24646</v>
      </c>
      <c r="E119" s="5">
        <f>IF($B118&lt;=Tabla5[[#This Row],[INVERSIONES FCI]],+Tabla5[[#This Row],[INVERSIONES FCI]]-E118,Tabla5[[#This Row],[INVERSIONES FCI]])</f>
        <v>6324512427.24646</v>
      </c>
      <c r="F119" s="5">
        <f>IF($B118&lt;=Tabla5[[#This Row],[INVERSIONES FCI]],+Tabla5[[#This Row],[INVERSIONES FCI]]-F118,Tabla5[[#This Row],[INVERSIONES FCI]])</f>
        <v>6324512427.24646</v>
      </c>
      <c r="G119" s="5">
        <f>IF($B118&lt;=Tabla5[[#This Row],[INVERSIONES FCI]],+Tabla5[[#This Row],[INVERSIONES FCI]]-G118,Tabla5[[#This Row],[INVERSIONES FCI]])</f>
        <v>6324512427.24646</v>
      </c>
      <c r="H119" s="5">
        <f>IF($B118&lt;=Tabla5[[#This Row],[INVERSIONES FCI]],+Tabla5[[#This Row],[INVERSIONES FCI]]-H118,Tabla5[[#This Row],[INVERSIONES FCI]])</f>
        <v>6324512427.24646</v>
      </c>
      <c r="I119" s="5">
        <f>IF($B118&lt;=Tabla5[[#This Row],[INVERSIONES FCI]],+Tabla5[[#This Row],[INVERSIONES FCI]]-I118,Tabla5[[#This Row],[INVERSIONES FCI]])</f>
        <v>6324512427.24646</v>
      </c>
      <c r="J119" s="5">
        <f>IF($B118&lt;=Tabla5[[#This Row],[INVERSIONES FCI]],+Tabla5[[#This Row],[INVERSIONES FCI]]-J118,Tabla5[[#This Row],[INVERSIONES FCI]])</f>
        <v>6324512427.24646</v>
      </c>
      <c r="K119" s="5">
        <f>IF($B118&lt;=Tabla5[[#This Row],[INVERSIONES FCI]],+Tabla5[[#This Row],[INVERSIONES FCI]]-K118,Tabla5[[#This Row],[INVERSIONES FCI]])</f>
        <v>6324512427.24646</v>
      </c>
      <c r="L119" s="5">
        <f>IF($B118&lt;=Tabla5[[#This Row],[INVERSIONES FCI]],+Tabla5[[#This Row],[INVERSIONES FCI]]-L118,Tabla5[[#This Row],[INVERSIONES FCI]])</f>
        <v>6324512427.24646</v>
      </c>
      <c r="M119" s="5">
        <f>IF($B118&lt;=Tabla5[[#This Row],[INVERSIONES FCI]],+Tabla5[[#This Row],[INVERSIONES FCI]]-M118,Tabla5[[#This Row],[INVERSIONES FCI]])</f>
        <v>6324512427.24646</v>
      </c>
      <c r="N119" s="5">
        <f>IF($B118&lt;=Tabla5[[#This Row],[INVERSIONES FCI]],+Tabla5[[#This Row],[INVERSIONES FCI]]-N118,Tabla5[[#This Row],[INVERSIONES FCI]])</f>
        <v>6324512427.24646</v>
      </c>
      <c r="O119" s="5">
        <f>IF($B118&lt;=Tabla5[[#This Row],[INVERSIONES FCI]],+Tabla5[[#This Row],[INVERSIONES FCI]]-O118,Tabla5[[#This Row],[INVERSIONES FCI]])</f>
        <v>6324512427.24646</v>
      </c>
      <c r="P119" s="5">
        <f>IF($B118&lt;=Tabla5[[#This Row],[INVERSIONES FCI]],+Tabla5[[#This Row],[INVERSIONES FCI]]-P118,Tabla5[[#This Row],[INVERSIONES FCI]])</f>
        <v>6324512427.24646</v>
      </c>
      <c r="Q119" s="5">
        <f>IF($B118&lt;=Tabla5[[#This Row],[INVERSIONES FCI]],+Tabla5[[#This Row],[INVERSIONES FCI]]-Q118,Tabla5[[#This Row],[INVERSIONES FCI]])</f>
        <v>6324512427.24646</v>
      </c>
      <c r="R119" s="5">
        <f>IF($B118&lt;=Tabla5[[#This Row],[INVERSIONES FCI]],+Tabla5[[#This Row],[INVERSIONES FCI]]-R118,Tabla5[[#This Row],[INVERSIONES FCI]])</f>
        <v>6324512427.24646</v>
      </c>
      <c r="S119" s="5">
        <f>IF($B118&lt;=Tabla5[[#This Row],[INVERSIONES FCI]],+Tabla5[[#This Row],[INVERSIONES FCI]]-S118,Tabla5[[#This Row],[INVERSIONES FCI]])</f>
        <v>6324512427.24646</v>
      </c>
      <c r="T119" s="5">
        <f>IF($B118&lt;=Tabla5[[#This Row],[INVERSIONES FCI]],+Tabla5[[#This Row],[INVERSIONES FCI]]-T118,Tabla5[[#This Row],[INVERSIONES FCI]])</f>
        <v>6324512427.24646</v>
      </c>
      <c r="U119" s="5">
        <f>IF($B118&lt;=Tabla5[[#This Row],[INVERSIONES FCI]],+Tabla5[[#This Row],[INVERSIONES FCI]]-U118,Tabla5[[#This Row],[INVERSIONES FCI]])</f>
        <v>6324512427.24646</v>
      </c>
      <c r="V119" s="5">
        <f>IF($B118&lt;=Tabla5[[#This Row],[INVERSIONES FCI]],+Tabla5[[#This Row],[INVERSIONES FCI]]-V118,Tabla5[[#This Row],[INVERSIONES FCI]])</f>
        <v>6324512427.24646</v>
      </c>
      <c r="W119" s="5">
        <f>IF($B118&lt;=Tabla5[[#This Row],[INVERSIONES FCI]],+Tabla5[[#This Row],[INVERSIONES FCI]]-W118,Tabla5[[#This Row],[INVERSIONES FCI]])</f>
        <v>6324512427.24646</v>
      </c>
      <c r="X119" s="5">
        <f>IF($B118&lt;=Tabla5[[#This Row],[INVERSIONES FCI]],+Tabla5[[#This Row],[INVERSIONES FCI]]-X118,Tabla5[[#This Row],[INVERSIONES FCI]])</f>
        <v>6324512427.24646</v>
      </c>
      <c r="Y119" s="5">
        <f>IF($B118&lt;=Tabla5[[#This Row],[INVERSIONES FCI]],+Tabla5[[#This Row],[INVERSIONES FCI]]-Y118,Tabla5[[#This Row],[INVERSIONES FCI]])</f>
        <v>6324512427.24646</v>
      </c>
      <c r="Z119" s="5">
        <f>IF($B118&lt;=Tabla5[[#This Row],[INVERSIONES FCI]],+Tabla5[[#This Row],[INVERSIONES FCI]]-Z118,Tabla5[[#This Row],[INVERSIONES FCI]])</f>
        <v>6324512427.24646</v>
      </c>
      <c r="AA119" s="5">
        <f>IF($B118&lt;=Tabla5[[#This Row],[INVERSIONES FCI]],+Tabla5[[#This Row],[INVERSIONES FCI]]-AA118,Tabla5[[#This Row],[INVERSIONES FCI]])</f>
        <v>6324512427.24646</v>
      </c>
      <c r="AB119" s="5">
        <f>IF($B118&lt;=Tabla5[[#This Row],[INVERSIONES FCI]],+Tabla5[[#This Row],[INVERSIONES FCI]]-AB118,Tabla5[[#This Row],[INVERSIONES FCI]])</f>
        <v>6324512427.24646</v>
      </c>
      <c r="AC119" s="5">
        <f>IF($B118&lt;=Tabla5[[#This Row],[INVERSIONES FCI]],+Tabla5[[#This Row],[INVERSIONES FCI]]-AC118,Tabla5[[#This Row],[INVERSIONES FCI]])</f>
        <v>6324512427.24646</v>
      </c>
      <c r="AD119" s="5">
        <f>IF($B118&lt;=Tabla5[[#This Row],[INVERSIONES FCI]],+Tabla5[[#This Row],[INVERSIONES FCI]]-AD118,Tabla5[[#This Row],[INVERSIONES FCI]])</f>
        <v>6324512427.24646</v>
      </c>
      <c r="AE119" s="5">
        <f>IF($B118&lt;=Tabla5[[#This Row],[INVERSIONES FCI]],+Tabla5[[#This Row],[INVERSIONES FCI]]-AE118,Tabla5[[#This Row],[INVERSIONES FCI]])</f>
        <v>6324512427.24646</v>
      </c>
      <c r="AF119" s="5">
        <f>IF($B118&lt;=Tabla5[[#This Row],[INVERSIONES FCI]],+Tabla5[[#This Row],[INVERSIONES FCI]]-AF118,Tabla5[[#This Row],[INVERSIONES FCI]])</f>
        <v>6324512427.24646</v>
      </c>
      <c r="AG119" s="5">
        <f>IF($B118&lt;=Tabla5[[#This Row],[INVERSIONES FCI]],+Tabla5[[#This Row],[INVERSIONES FCI]]-AG118,Tabla5[[#This Row],[INVERSIONES FCI]])</f>
        <v>6324512427.24646</v>
      </c>
      <c r="AH119" s="5">
        <f>IF($B118&lt;=Tabla5[[#This Row],[INVERSIONES FCI]],+Tabla5[[#This Row],[INVERSIONES FCI]]-AH118,Tabla5[[#This Row],[INVERSIONES FCI]])</f>
        <v>6324512427.24646</v>
      </c>
      <c r="AI119" s="5">
        <f>IF($B118&lt;=Tabla5[[#This Row],[INVERSIONES FCI]],+Tabla5[[#This Row],[INVERSIONES FCI]]-AI118,Tabla5[[#This Row],[INVERSIONES FCI]])</f>
        <v>6324512427.24646</v>
      </c>
      <c r="AJ119" s="5">
        <f>IF($B118&lt;=Tabla5[[#This Row],[INVERSIONES FCI]],+Tabla5[[#This Row],[INVERSIONES FCI]]-AJ118,Tabla5[[#This Row],[INVERSIONES FCI]])</f>
        <v>6324512427.24646</v>
      </c>
      <c r="AK119" s="5">
        <f>IF($B118&lt;=Tabla5[[#This Row],[INVERSIONES FCI]],+Tabla5[[#This Row],[INVERSIONES FCI]]-AK118,Tabla5[[#This Row],[INVERSIONES FCI]])</f>
        <v>6324512427.24646</v>
      </c>
      <c r="AL119" s="5">
        <f>IF($B118&lt;=Tabla5[[#This Row],[INVERSIONES FCI]],+Tabla5[[#This Row],[INVERSIONES FCI]]-AL118,Tabla5[[#This Row],[INVERSIONES FCI]])</f>
        <v>6324512427.24646</v>
      </c>
      <c r="AM119" s="5">
        <f>IF($B118&lt;=Tabla5[[#This Row],[INVERSIONES FCI]],+Tabla5[[#This Row],[INVERSIONES FCI]]-AM118,Tabla5[[#This Row],[INVERSIONES FCI]])</f>
        <v>6324512427.24646</v>
      </c>
      <c r="AN119" s="5">
        <f>IF($B118&lt;=Tabla5[[#This Row],[INVERSIONES FCI]],+Tabla5[[#This Row],[INVERSIONES FCI]]-AN118,Tabla5[[#This Row],[INVERSIONES FCI]])</f>
        <v>6324512427.24646</v>
      </c>
      <c r="AO119" s="5">
        <f>IF($B118&lt;=Tabla5[[#This Row],[INVERSIONES FCI]],+Tabla5[[#This Row],[INVERSIONES FCI]]-AO118,Tabla5[[#This Row],[INVERSIONES FCI]])</f>
        <v>6324512427.24646</v>
      </c>
      <c r="AP119" s="5">
        <f>IF($B118&lt;=Tabla5[[#This Row],[INVERSIONES FCI]],+Tabla5[[#This Row],[INVERSIONES FCI]]-AP118,Tabla5[[#This Row],[INVERSIONES FCI]])</f>
        <v>6324512427.24646</v>
      </c>
      <c r="AQ119" s="5">
        <f>IF($B118&lt;=Tabla5[[#This Row],[INVERSIONES FCI]],+Tabla5[[#This Row],[INVERSIONES FCI]]-AQ118,Tabla5[[#This Row],[INVERSIONES FCI]])</f>
        <v>6324512427.24646</v>
      </c>
      <c r="AR119" s="5">
        <f>IF($B118&lt;=Tabla5[[#This Row],[INVERSIONES FCI]],+Tabla5[[#This Row],[INVERSIONES FCI]]-AR118,Tabla5[[#This Row],[INVERSIONES FCI]])</f>
        <v>6324512427.24646</v>
      </c>
      <c r="AS119" s="5">
        <f>IF($B118&lt;=Tabla5[[#This Row],[INVERSIONES FCI]],+Tabla5[[#This Row],[INVERSIONES FCI]]-AS118,Tabla5[[#This Row],[INVERSIONES FCI]])</f>
        <v>6324512427.24646</v>
      </c>
      <c r="AT119" s="5">
        <f>IF($B118&lt;=Tabla5[[#This Row],[INVERSIONES FCI]],+Tabla5[[#This Row],[INVERSIONES FCI]]-AT118,Tabla5[[#This Row],[INVERSIONES FCI]])</f>
        <v>6324512427.24646</v>
      </c>
      <c r="AU119" s="5">
        <f>IF($B118&lt;=Tabla5[[#This Row],[INVERSIONES FCI]],+Tabla5[[#This Row],[INVERSIONES FCI]]-AU118,Tabla5[[#This Row],[INVERSIONES FCI]])</f>
        <v>6324512427.24646</v>
      </c>
      <c r="AV119" s="5">
        <f>IF($B118&lt;=Tabla5[[#This Row],[INVERSIONES FCI]],+Tabla5[[#This Row],[INVERSIONES FCI]]-AV118,Tabla5[[#This Row],[INVERSIONES FCI]])</f>
        <v>6324512427.24646</v>
      </c>
      <c r="AW119" s="5">
        <f>IF($B118&lt;=Tabla5[[#This Row],[INVERSIONES FCI]],+Tabla5[[#This Row],[INVERSIONES FCI]]-AW118,Tabla5[[#This Row],[INVERSIONES FCI]])</f>
        <v>6324512427.24646</v>
      </c>
      <c r="AX119" s="5">
        <f>IF($B118&lt;=Tabla5[[#This Row],[INVERSIONES FCI]],+Tabla5[[#This Row],[INVERSIONES FCI]]-AX118,Tabla5[[#This Row],[INVERSIONES FCI]])</f>
        <v>6324512427.24646</v>
      </c>
      <c r="AY119" s="5">
        <f>IF($B118&lt;=Tabla5[[#This Row],[INVERSIONES FCI]],+Tabla5[[#This Row],[INVERSIONES FCI]]-AY118,Tabla5[[#This Row],[INVERSIONES FCI]])</f>
        <v>6324512427.24646</v>
      </c>
      <c r="AZ119" s="5">
        <f>IF($B118&lt;=Tabla5[[#This Row],[INVERSIONES FCI]],+Tabla5[[#This Row],[INVERSIONES FCI]]-AZ118,Tabla5[[#This Row],[INVERSIONES FCI]])</f>
        <v>6324512427.24646</v>
      </c>
      <c r="BA119" s="5">
        <f>IF($B118&lt;=Tabla5[[#This Row],[INVERSIONES FCI]],+Tabla5[[#This Row],[INVERSIONES FCI]]-BA118,Tabla5[[#This Row],[INVERSIONES FCI]])</f>
        <v>6324512427.24646</v>
      </c>
      <c r="BB119" s="5">
        <f>IF($B118&lt;=Tabla5[[#This Row],[INVERSIONES FCI]],+Tabla5[[#This Row],[INVERSIONES FCI]]-BB118,Tabla5[[#This Row],[INVERSIONES FCI]])</f>
        <v>6324512427.24646</v>
      </c>
      <c r="BC119" s="5">
        <f>IF($B118&lt;=Tabla5[[#This Row],[INVERSIONES FCI]],+Tabla5[[#This Row],[INVERSIONES FCI]]-BC118,Tabla5[[#This Row],[INVERSIONES FCI]])</f>
        <v>6324512427.24646</v>
      </c>
      <c r="BD119" s="5">
        <f>IF($B118&lt;=Tabla5[[#This Row],[INVERSIONES FCI]],+Tabla5[[#This Row],[INVERSIONES FCI]]-BD118,Tabla5[[#This Row],[INVERSIONES FCI]])</f>
        <v>6324512427.24646</v>
      </c>
      <c r="BE119" s="5">
        <f>IF($B118&lt;=Tabla5[[#This Row],[INVERSIONES FCI]],+Tabla5[[#This Row],[INVERSIONES FCI]]-BE118,Tabla5[[#This Row],[INVERSIONES FCI]])</f>
        <v>6324512427.24646</v>
      </c>
      <c r="BF119" s="5">
        <f>IF($B118&lt;=Tabla5[[#This Row],[INVERSIONES FCI]],+Tabla5[[#This Row],[INVERSIONES FCI]]-BF118,Tabla5[[#This Row],[INVERSIONES FCI]])</f>
        <v>6324512427.24646</v>
      </c>
      <c r="BG119" s="5">
        <f>IF($B118&lt;=Tabla5[[#This Row],[INVERSIONES FCI]],+Tabla5[[#This Row],[INVERSIONES FCI]]-BG118,Tabla5[[#This Row],[INVERSIONES FCI]])</f>
        <v>6324512427.24646</v>
      </c>
      <c r="BH119" s="5">
        <f>IF($B118&lt;=Tabla5[[#This Row],[INVERSIONES FCI]],+Tabla5[[#This Row],[INVERSIONES FCI]]-BH118,Tabla5[[#This Row],[INVERSIONES FCI]])</f>
        <v>6324512427.24646</v>
      </c>
      <c r="BI119" s="5">
        <f>IF($B118&lt;=Tabla5[[#This Row],[INVERSIONES FCI]],+Tabla5[[#This Row],[INVERSIONES FCI]]-BI118,Tabla5[[#This Row],[INVERSIONES FCI]])</f>
        <v>6324512427.24646</v>
      </c>
      <c r="BJ119" s="5">
        <f>IF($B118&lt;=Tabla5[[#This Row],[INVERSIONES FCI]],+Tabla5[[#This Row],[INVERSIONES FCI]]-BJ118,Tabla5[[#This Row],[INVERSIONES FCI]])</f>
        <v>6324512427.24646</v>
      </c>
      <c r="BK119" s="5">
        <f>IF($B118&lt;=Tabla5[[#This Row],[INVERSIONES FCI]],+Tabla5[[#This Row],[INVERSIONES FCI]]-BK118,Tabla5[[#This Row],[INVERSIONES FCI]])</f>
        <v>6324512427.24646</v>
      </c>
      <c r="BL119" s="5">
        <f>IF($B118&lt;=Tabla5[[#This Row],[INVERSIONES FCI]],+Tabla5[[#This Row],[INVERSIONES FCI]]-BL118,Tabla5[[#This Row],[INVERSIONES FCI]])</f>
        <v>6324512427.24646</v>
      </c>
      <c r="BM119" s="5">
        <f>IF($B118&lt;=Tabla5[[#This Row],[INVERSIONES FCI]],+Tabla5[[#This Row],[INVERSIONES FCI]]-BM118,Tabla5[[#This Row],[INVERSIONES FCI]])</f>
        <v>6324512427.24646</v>
      </c>
      <c r="BN119" s="5">
        <f>IF($B118&lt;=Tabla5[[#This Row],[INVERSIONES FCI]],+Tabla5[[#This Row],[INVERSIONES FCI]]-BN118,Tabla5[[#This Row],[INVERSIONES FCI]])</f>
        <v>6324512427.24646</v>
      </c>
      <c r="BO119" s="5">
        <f>IF($B118&lt;=Tabla5[[#This Row],[INVERSIONES FCI]],+Tabla5[[#This Row],[INVERSIONES FCI]]-BO118,Tabla5[[#This Row],[INVERSIONES FCI]])</f>
        <v>6324512427.24646</v>
      </c>
      <c r="BP119" s="5">
        <f>IF($B118&lt;=Tabla5[[#This Row],[INVERSIONES FCI]],+Tabla5[[#This Row],[INVERSIONES FCI]]-BP118,Tabla5[[#This Row],[INVERSIONES FCI]])</f>
        <v>6324512427.24646</v>
      </c>
      <c r="BQ119" s="5">
        <f>IF($B118&lt;=Tabla5[[#This Row],[INVERSIONES FCI]],+Tabla5[[#This Row],[INVERSIONES FCI]]-BQ118,Tabla5[[#This Row],[INVERSIONES FCI]])</f>
        <v>6324512427.24646</v>
      </c>
      <c r="BR119" s="5">
        <f>IF($B118&lt;=Tabla5[[#This Row],[INVERSIONES FCI]],+Tabla5[[#This Row],[INVERSIONES FCI]]-BR118,Tabla5[[#This Row],[INVERSIONES FCI]])</f>
        <v>6324512427.24646</v>
      </c>
      <c r="BS119" s="5">
        <f>IF($B118&lt;=Tabla5[[#This Row],[INVERSIONES FCI]],+Tabla5[[#This Row],[INVERSIONES FCI]]-BS118,Tabla5[[#This Row],[INVERSIONES FCI]])</f>
        <v>6324512427.24646</v>
      </c>
      <c r="BT119" s="5">
        <f>IF($B118&lt;=Tabla5[[#This Row],[INVERSIONES FCI]],+Tabla5[[#This Row],[INVERSIONES FCI]]-BT118,Tabla5[[#This Row],[INVERSIONES FCI]])</f>
        <v>6324512427.24646</v>
      </c>
      <c r="BU119" s="5">
        <f>IF($B118&lt;=Tabla5[[#This Row],[INVERSIONES FCI]],+Tabla5[[#This Row],[INVERSIONES FCI]]-BU118,Tabla5[[#This Row],[INVERSIONES FCI]])</f>
        <v>6324512427.24646</v>
      </c>
      <c r="BV119" s="5">
        <f>IF($B118&lt;=Tabla5[[#This Row],[INVERSIONES FCI]],+Tabla5[[#This Row],[INVERSIONES FCI]]-BV118,Tabla5[[#This Row],[INVERSIONES FCI]])</f>
        <v>6324512427.24646</v>
      </c>
      <c r="BW119" s="5">
        <f>IF($B118&lt;=Tabla5[[#This Row],[INVERSIONES FCI]],+Tabla5[[#This Row],[INVERSIONES FCI]]-BW118,Tabla5[[#This Row],[INVERSIONES FCI]])</f>
        <v>6324512427.24646</v>
      </c>
      <c r="BX119" s="5">
        <f>IF($B118&lt;=Tabla5[[#This Row],[INVERSIONES FCI]],+Tabla5[[#This Row],[INVERSIONES FCI]]-BX118,Tabla5[[#This Row],[INVERSIONES FCI]])</f>
        <v>6324512427.24646</v>
      </c>
      <c r="BY119" s="5">
        <f>IF($B118&lt;=Tabla5[[#This Row],[INVERSIONES FCI]],+Tabla5[[#This Row],[INVERSIONES FCI]]-BY118,Tabla5[[#This Row],[INVERSIONES FCI]])</f>
        <v>6324512427.24646</v>
      </c>
      <c r="BZ119" s="5">
        <f>IF($B118&lt;=Tabla5[[#This Row],[INVERSIONES FCI]],+Tabla5[[#This Row],[INVERSIONES FCI]]-BZ118,Tabla5[[#This Row],[INVERSIONES FCI]])</f>
        <v>6324512427.24646</v>
      </c>
      <c r="CA119" s="5">
        <f>IF($B118&lt;=Tabla5[[#This Row],[INVERSIONES FCI]],+Tabla5[[#This Row],[INVERSIONES FCI]]-CA118,Tabla5[[#This Row],[INVERSIONES FCI]])</f>
        <v>6324512427.24646</v>
      </c>
      <c r="CB119" s="5">
        <f>IF($B118&lt;=Tabla5[[#This Row],[INVERSIONES FCI]],+Tabla5[[#This Row],[INVERSIONES FCI]]-CB118,Tabla5[[#This Row],[INVERSIONES FCI]])</f>
        <v>6324512427.24646</v>
      </c>
      <c r="CC119" s="5">
        <f>IF($B118&lt;=Tabla5[[#This Row],[INVERSIONES FCI]],+Tabla5[[#This Row],[INVERSIONES FCI]]-CC118,Tabla5[[#This Row],[INVERSIONES FCI]])</f>
        <v>6324512427.24646</v>
      </c>
      <c r="CD119" s="5">
        <f>IF($B118&lt;=Tabla5[[#This Row],[INVERSIONES FCI]],+Tabla5[[#This Row],[INVERSIONES FCI]]-CD118,Tabla5[[#This Row],[INVERSIONES FCI]])</f>
        <v>6324512427.24646</v>
      </c>
      <c r="CE119" s="5">
        <f>IF($B118&lt;=Tabla5[[#This Row],[INVERSIONES FCI]],+Tabla5[[#This Row],[INVERSIONES FCI]]-CE118,Tabla5[[#This Row],[INVERSIONES FCI]])</f>
        <v>6324512427.24646</v>
      </c>
      <c r="CF119" s="5">
        <f>IF($B118&lt;=Tabla5[[#This Row],[INVERSIONES FCI]],+Tabla5[[#This Row],[INVERSIONES FCI]]-CF118,Tabla5[[#This Row],[INVERSIONES FCI]])</f>
        <v>6324512427.24646</v>
      </c>
      <c r="CG119" s="5">
        <f>IF($B118&lt;=Tabla5[[#This Row],[INVERSIONES FCI]],+Tabla5[[#This Row],[INVERSIONES FCI]]-CG118,Tabla5[[#This Row],[INVERSIONES FCI]])</f>
        <v>6324512427.24646</v>
      </c>
      <c r="CH119" s="5">
        <f>IF($B118&lt;=Tabla5[[#This Row],[INVERSIONES FCI]],+Tabla5[[#This Row],[INVERSIONES FCI]]-CH118,Tabla5[[#This Row],[INVERSIONES FCI]])</f>
        <v>6324512427.24646</v>
      </c>
      <c r="CI119" s="5">
        <f>IF($B118&lt;=Tabla5[[#This Row],[INVERSIONES FCI]],+Tabla5[[#This Row],[INVERSIONES FCI]]-CI118,Tabla5[[#This Row],[INVERSIONES FCI]])</f>
        <v>6324512427.24646</v>
      </c>
      <c r="CJ119" s="5">
        <f>IF($B118&lt;=Tabla5[[#This Row],[INVERSIONES FCI]],+Tabla5[[#This Row],[INVERSIONES FCI]]-CJ118,Tabla5[[#This Row],[INVERSIONES FCI]])</f>
        <v>6324512427.24646</v>
      </c>
      <c r="CK119" s="5">
        <f>IF($B118&lt;=Tabla5[[#This Row],[INVERSIONES FCI]],+Tabla5[[#This Row],[INVERSIONES FCI]]-CK118,Tabla5[[#This Row],[INVERSIONES FCI]])</f>
        <v>6324512427.24646</v>
      </c>
      <c r="CL119" s="5">
        <f>IF($B118&lt;=Tabla5[[#This Row],[INVERSIONES FCI]],+Tabla5[[#This Row],[INVERSIONES FCI]]-CL118,Tabla5[[#This Row],[INVERSIONES FCI]])</f>
        <v>6324512427.24646</v>
      </c>
      <c r="CM119" s="5">
        <f>IF($B118&lt;=Tabla5[[#This Row],[INVERSIONES FCI]],+Tabla5[[#This Row],[INVERSIONES FCI]]-CM118,Tabla5[[#This Row],[INVERSIONES FCI]])</f>
        <v>6324512427.24646</v>
      </c>
      <c r="CN119" s="5">
        <f>IF($B118&lt;=Tabla5[[#This Row],[INVERSIONES FCI]],+Tabla5[[#This Row],[INVERSIONES FCI]]-CN118,Tabla5[[#This Row],[INVERSIONES FCI]])</f>
        <v>6324512427.24646</v>
      </c>
      <c r="CO119" s="5">
        <f>IF($B118&lt;=Tabla5[[#This Row],[INVERSIONES FCI]],+Tabla5[[#This Row],[INVERSIONES FCI]]-CO118,Tabla5[[#This Row],[INVERSIONES FCI]])</f>
        <v>6324512427.24646</v>
      </c>
      <c r="CP119" s="5">
        <f>IF($B118&lt;=Tabla5[[#This Row],[INVERSIONES FCI]],+Tabla5[[#This Row],[INVERSIONES FCI]]-CP118,Tabla5[[#This Row],[INVERSIONES FCI]])</f>
        <v>6324512427.24646</v>
      </c>
      <c r="CQ119" s="5">
        <f>IF($B118&lt;=Tabla5[[#This Row],[INVERSIONES FCI]],+Tabla5[[#This Row],[INVERSIONES FCI]]-CQ118,Tabla5[[#This Row],[INVERSIONES FCI]])</f>
        <v>6324512427.24646</v>
      </c>
      <c r="CR119" s="5">
        <f>IF($B118&lt;=Tabla5[[#This Row],[INVERSIONES FCI]],+Tabla5[[#This Row],[INVERSIONES FCI]]-CR118,Tabla5[[#This Row],[INVERSIONES FCI]])</f>
        <v>6324512427.24646</v>
      </c>
      <c r="CS119" s="5">
        <f>IF($B118&lt;=Tabla5[[#This Row],[INVERSIONES FCI]],+Tabla5[[#This Row],[INVERSIONES FCI]]-CS118,Tabla5[[#This Row],[INVERSIONES FCI]])</f>
        <v>6324512427.24646</v>
      </c>
      <c r="CT119" s="5">
        <f>IF($B118&lt;=Tabla5[[#This Row],[INVERSIONES FCI]],+Tabla5[[#This Row],[INVERSIONES FCI]]-CT118,Tabla5[[#This Row],[INVERSIONES FCI]])</f>
        <v>6324512427.24646</v>
      </c>
      <c r="CU119" s="5">
        <f>IF($B118&lt;=Tabla5[[#This Row],[INVERSIONES FCI]],+Tabla5[[#This Row],[INVERSIONES FCI]]-CU118,Tabla5[[#This Row],[INVERSIONES FCI]])</f>
        <v>6324512427.24646</v>
      </c>
      <c r="CV119" s="5">
        <f>IF($B118&lt;=Tabla5[[#This Row],[INVERSIONES FCI]],+Tabla5[[#This Row],[INVERSIONES FCI]]-CV118,Tabla5[[#This Row],[INVERSIONES FCI]])</f>
        <v>6324512427.24646</v>
      </c>
      <c r="CW119" s="5">
        <f>IF($B118&lt;=Tabla5[[#This Row],[INVERSIONES FCI]],+Tabla5[[#This Row],[INVERSIONES FCI]]-CW118,Tabla5[[#This Row],[INVERSIONES FCI]])</f>
        <v>6324512427.24646</v>
      </c>
      <c r="CX119" s="5">
        <f>IF($B118&lt;=Tabla5[[#This Row],[INVERSIONES FCI]],+Tabla5[[#This Row],[INVERSIONES FCI]]-CX118,Tabla5[[#This Row],[INVERSIONES FCI]])</f>
        <v>6324512427.24646</v>
      </c>
      <c r="CY119" s="5">
        <f>IF($B118&lt;=Tabla5[[#This Row],[INVERSIONES FCI]],+Tabla5[[#This Row],[INVERSIONES FCI]]-CY118,Tabla5[[#This Row],[INVERSIONES FCI]])</f>
        <v>6324512427.24646</v>
      </c>
      <c r="CZ119" s="5">
        <f>IF($B118&lt;=Tabla5[[#This Row],[INVERSIONES FCI]],+Tabla5[[#This Row],[INVERSIONES FCI]]-CZ118,Tabla5[[#This Row],[INVERSIONES FCI]])</f>
        <v>6324512427.24646</v>
      </c>
      <c r="DA119" s="5">
        <f>IF($B118&lt;=Tabla5[[#This Row],[INVERSIONES FCI]],+Tabla5[[#This Row],[INVERSIONES FCI]]-DA118,Tabla5[[#This Row],[INVERSIONES FCI]])</f>
        <v>6324512427.24646</v>
      </c>
      <c r="DB119" s="5">
        <f>IF($B118&lt;=Tabla5[[#This Row],[INVERSIONES FCI]],+Tabla5[[#This Row],[INVERSIONES FCI]]-DB118,Tabla5[[#This Row],[INVERSIONES FCI]])</f>
        <v>6324512427.24646</v>
      </c>
      <c r="DC119" s="5">
        <f>IF($B118&lt;=Tabla5[[#This Row],[INVERSIONES FCI]],+Tabla5[[#This Row],[INVERSIONES FCI]]-DC118,Tabla5[[#This Row],[INVERSIONES FCI]])</f>
        <v>6324512427.24646</v>
      </c>
      <c r="DD119" s="5">
        <f>IF($B118&lt;=Tabla5[[#This Row],[INVERSIONES FCI]],+Tabla5[[#This Row],[INVERSIONES FCI]]-DD118,Tabla5[[#This Row],[INVERSIONES FCI]])</f>
        <v>6324512427.24646</v>
      </c>
      <c r="DE119" s="5">
        <f>IF($B118&lt;=Tabla5[[#This Row],[INVERSIONES FCI]],+Tabla5[[#This Row],[INVERSIONES FCI]]-DE118,Tabla5[[#This Row],[INVERSIONES FCI]])</f>
        <v>6324512427.24646</v>
      </c>
      <c r="DF119" s="5">
        <f>IF($B118&lt;=Tabla5[[#This Row],[INVERSIONES FCI]],+Tabla5[[#This Row],[INVERSIONES FCI]]-DF118,Tabla5[[#This Row],[INVERSIONES FCI]])</f>
        <v>6324512427.24646</v>
      </c>
      <c r="DG119" s="5">
        <f>IF($B118&lt;=Tabla5[[#This Row],[INVERSIONES FCI]],+Tabla5[[#This Row],[INVERSIONES FCI]]-DG118,Tabla5[[#This Row],[INVERSIONES FCI]])</f>
        <v>6324512427.24646</v>
      </c>
      <c r="DH119" s="5">
        <f>IF($B118&lt;=Tabla5[[#This Row],[INVERSIONES FCI]],+Tabla5[[#This Row],[INVERSIONES FCI]]-DH118,Tabla5[[#This Row],[INVERSIONES FCI]])</f>
        <v>6324512427.24646</v>
      </c>
      <c r="DI119" s="5">
        <f>IF($B118&lt;=Tabla5[[#This Row],[INVERSIONES FCI]],+Tabla5[[#This Row],[INVERSIONES FCI]]-DI118,Tabla5[[#This Row],[INVERSIONES FCI]])</f>
        <v>6324512427.24646</v>
      </c>
      <c r="DJ119" s="5">
        <f>IF($B118&lt;=Tabla5[[#This Row],[INVERSIONES FCI]],+Tabla5[[#This Row],[INVERSIONES FCI]]-DJ118,Tabla5[[#This Row],[INVERSIONES FCI]])</f>
        <v>6324512427.24646</v>
      </c>
      <c r="DK119" s="5">
        <f>IF($B118&lt;=Tabla5[[#This Row],[INVERSIONES FCI]],+Tabla5[[#This Row],[INVERSIONES FCI]]-DK118,Tabla5[[#This Row],[INVERSIONES FCI]])</f>
        <v>6324512427.24646</v>
      </c>
      <c r="DL119" s="5"/>
      <c r="DM119" s="5"/>
      <c r="DN119" s="5"/>
      <c r="DO119" s="5"/>
      <c r="DP119" s="5"/>
      <c r="DQ119" s="5"/>
    </row>
    <row r="120" spans="1:121" ht="14.4">
      <c r="A120" s="12" t="s">
        <v>119</v>
      </c>
      <c r="B120" s="5">
        <f>HLOOKUP($A120,ESCENARIO[#All],7,FALSE)</f>
        <v>8124581868.2866678</v>
      </c>
      <c r="C120" s="5">
        <f>IF($B119&lt;=Tabla5[[#This Row],[INVERSIONES FCI]],+Tabla5[[#This Row],[INVERSIONES FCI]]-C119,Tabla5[[#This Row],[INVERSIONES FCI]])</f>
        <v>1800069441.0402079</v>
      </c>
      <c r="D120" s="5">
        <f>IF($B119&lt;=Tabla5[[#This Row],[INVERSIONES FCI]],+Tabla5[[#This Row],[INVERSIONES FCI]]-D119,Tabla5[[#This Row],[INVERSIONES FCI]])</f>
        <v>1800069441.0402079</v>
      </c>
      <c r="E120" s="5">
        <f>IF($B119&lt;=Tabla5[[#This Row],[INVERSIONES FCI]],+Tabla5[[#This Row],[INVERSIONES FCI]]-E119,Tabla5[[#This Row],[INVERSIONES FCI]])</f>
        <v>1800069441.0402079</v>
      </c>
      <c r="F120" s="5">
        <f>IF($B119&lt;=Tabla5[[#This Row],[INVERSIONES FCI]],+Tabla5[[#This Row],[INVERSIONES FCI]]-F119,Tabla5[[#This Row],[INVERSIONES FCI]])</f>
        <v>1800069441.0402079</v>
      </c>
      <c r="G120" s="5">
        <f>IF($B119&lt;=Tabla5[[#This Row],[INVERSIONES FCI]],+Tabla5[[#This Row],[INVERSIONES FCI]]-G119,Tabla5[[#This Row],[INVERSIONES FCI]])</f>
        <v>1800069441.0402079</v>
      </c>
      <c r="H120" s="5">
        <f>IF($B119&lt;=Tabla5[[#This Row],[INVERSIONES FCI]],+Tabla5[[#This Row],[INVERSIONES FCI]]-H119,Tabla5[[#This Row],[INVERSIONES FCI]])</f>
        <v>1800069441.0402079</v>
      </c>
      <c r="I120" s="5">
        <f>IF($B119&lt;=Tabla5[[#This Row],[INVERSIONES FCI]],+Tabla5[[#This Row],[INVERSIONES FCI]]-I119,Tabla5[[#This Row],[INVERSIONES FCI]])</f>
        <v>1800069441.0402079</v>
      </c>
      <c r="J120" s="5">
        <f>IF($B119&lt;=Tabla5[[#This Row],[INVERSIONES FCI]],+Tabla5[[#This Row],[INVERSIONES FCI]]-J119,Tabla5[[#This Row],[INVERSIONES FCI]])</f>
        <v>1800069441.0402079</v>
      </c>
      <c r="K120" s="5">
        <f>IF($B119&lt;=Tabla5[[#This Row],[INVERSIONES FCI]],+Tabla5[[#This Row],[INVERSIONES FCI]]-K119,Tabla5[[#This Row],[INVERSIONES FCI]])</f>
        <v>1800069441.0402079</v>
      </c>
      <c r="L120" s="5">
        <f>IF($B119&lt;=Tabla5[[#This Row],[INVERSIONES FCI]],+Tabla5[[#This Row],[INVERSIONES FCI]]-L119,Tabla5[[#This Row],[INVERSIONES FCI]])</f>
        <v>1800069441.0402079</v>
      </c>
      <c r="M120" s="5">
        <f>IF($B119&lt;=Tabla5[[#This Row],[INVERSIONES FCI]],+Tabla5[[#This Row],[INVERSIONES FCI]]-M119,Tabla5[[#This Row],[INVERSIONES FCI]])</f>
        <v>1800069441.0402079</v>
      </c>
      <c r="N120" s="5">
        <f>IF($B119&lt;=Tabla5[[#This Row],[INVERSIONES FCI]],+Tabla5[[#This Row],[INVERSIONES FCI]]-N119,Tabla5[[#This Row],[INVERSIONES FCI]])</f>
        <v>1800069441.0402079</v>
      </c>
      <c r="O120" s="5">
        <f>IF($B119&lt;=Tabla5[[#This Row],[INVERSIONES FCI]],+Tabla5[[#This Row],[INVERSIONES FCI]]-O119,Tabla5[[#This Row],[INVERSIONES FCI]])</f>
        <v>1800069441.0402079</v>
      </c>
      <c r="P120" s="5">
        <f>IF($B119&lt;=Tabla5[[#This Row],[INVERSIONES FCI]],+Tabla5[[#This Row],[INVERSIONES FCI]]-P119,Tabla5[[#This Row],[INVERSIONES FCI]])</f>
        <v>1800069441.0402079</v>
      </c>
      <c r="Q120" s="5">
        <f>IF($B119&lt;=Tabla5[[#This Row],[INVERSIONES FCI]],+Tabla5[[#This Row],[INVERSIONES FCI]]-Q119,Tabla5[[#This Row],[INVERSIONES FCI]])</f>
        <v>1800069441.0402079</v>
      </c>
      <c r="R120" s="5">
        <f>IF($B119&lt;=Tabla5[[#This Row],[INVERSIONES FCI]],+Tabla5[[#This Row],[INVERSIONES FCI]]-R119,Tabla5[[#This Row],[INVERSIONES FCI]])</f>
        <v>1800069441.0402079</v>
      </c>
      <c r="S120" s="5">
        <f>IF($B119&lt;=Tabla5[[#This Row],[INVERSIONES FCI]],+Tabla5[[#This Row],[INVERSIONES FCI]]-S119,Tabla5[[#This Row],[INVERSIONES FCI]])</f>
        <v>1800069441.0402079</v>
      </c>
      <c r="T120" s="5">
        <f>IF($B119&lt;=Tabla5[[#This Row],[INVERSIONES FCI]],+Tabla5[[#This Row],[INVERSIONES FCI]]-T119,Tabla5[[#This Row],[INVERSIONES FCI]])</f>
        <v>1800069441.0402079</v>
      </c>
      <c r="U120" s="5">
        <f>IF($B119&lt;=Tabla5[[#This Row],[INVERSIONES FCI]],+Tabla5[[#This Row],[INVERSIONES FCI]]-U119,Tabla5[[#This Row],[INVERSIONES FCI]])</f>
        <v>1800069441.0402079</v>
      </c>
      <c r="V120" s="5">
        <f>IF($B119&lt;=Tabla5[[#This Row],[INVERSIONES FCI]],+Tabla5[[#This Row],[INVERSIONES FCI]]-V119,Tabla5[[#This Row],[INVERSIONES FCI]])</f>
        <v>1800069441.0402079</v>
      </c>
      <c r="W120" s="5">
        <f>IF($B119&lt;=Tabla5[[#This Row],[INVERSIONES FCI]],+Tabla5[[#This Row],[INVERSIONES FCI]]-W119,Tabla5[[#This Row],[INVERSIONES FCI]])</f>
        <v>1800069441.0402079</v>
      </c>
      <c r="X120" s="5">
        <f>IF($B119&lt;=Tabla5[[#This Row],[INVERSIONES FCI]],+Tabla5[[#This Row],[INVERSIONES FCI]]-X119,Tabla5[[#This Row],[INVERSIONES FCI]])</f>
        <v>1800069441.0402079</v>
      </c>
      <c r="Y120" s="5">
        <f>IF($B119&lt;=Tabla5[[#This Row],[INVERSIONES FCI]],+Tabla5[[#This Row],[INVERSIONES FCI]]-Y119,Tabla5[[#This Row],[INVERSIONES FCI]])</f>
        <v>1800069441.0402079</v>
      </c>
      <c r="Z120" s="5">
        <f>IF($B119&lt;=Tabla5[[#This Row],[INVERSIONES FCI]],+Tabla5[[#This Row],[INVERSIONES FCI]]-Z119,Tabla5[[#This Row],[INVERSIONES FCI]])</f>
        <v>1800069441.0402079</v>
      </c>
      <c r="AA120" s="5">
        <f>IF($B119&lt;=Tabla5[[#This Row],[INVERSIONES FCI]],+Tabla5[[#This Row],[INVERSIONES FCI]]-AA119,Tabla5[[#This Row],[INVERSIONES FCI]])</f>
        <v>1800069441.0402079</v>
      </c>
      <c r="AB120" s="5">
        <f>IF($B119&lt;=Tabla5[[#This Row],[INVERSIONES FCI]],+Tabla5[[#This Row],[INVERSIONES FCI]]-AB119,Tabla5[[#This Row],[INVERSIONES FCI]])</f>
        <v>1800069441.0402079</v>
      </c>
      <c r="AC120" s="5">
        <f>IF($B119&lt;=Tabla5[[#This Row],[INVERSIONES FCI]],+Tabla5[[#This Row],[INVERSIONES FCI]]-AC119,Tabla5[[#This Row],[INVERSIONES FCI]])</f>
        <v>1800069441.0402079</v>
      </c>
      <c r="AD120" s="5">
        <f>IF($B119&lt;=Tabla5[[#This Row],[INVERSIONES FCI]],+Tabla5[[#This Row],[INVERSIONES FCI]]-AD119,Tabla5[[#This Row],[INVERSIONES FCI]])</f>
        <v>1800069441.0402079</v>
      </c>
      <c r="AE120" s="5">
        <f>IF($B119&lt;=Tabla5[[#This Row],[INVERSIONES FCI]],+Tabla5[[#This Row],[INVERSIONES FCI]]-AE119,Tabla5[[#This Row],[INVERSIONES FCI]])</f>
        <v>1800069441.0402079</v>
      </c>
      <c r="AF120" s="5">
        <f>IF($B119&lt;=Tabla5[[#This Row],[INVERSIONES FCI]],+Tabla5[[#This Row],[INVERSIONES FCI]]-AF119,Tabla5[[#This Row],[INVERSIONES FCI]])</f>
        <v>1800069441.0402079</v>
      </c>
      <c r="AG120" s="5">
        <f>IF($B119&lt;=Tabla5[[#This Row],[INVERSIONES FCI]],+Tabla5[[#This Row],[INVERSIONES FCI]]-AG119,Tabla5[[#This Row],[INVERSIONES FCI]])</f>
        <v>1800069441.0402079</v>
      </c>
      <c r="AH120" s="5">
        <f>IF($B119&lt;=Tabla5[[#This Row],[INVERSIONES FCI]],+Tabla5[[#This Row],[INVERSIONES FCI]]-AH119,Tabla5[[#This Row],[INVERSIONES FCI]])</f>
        <v>1800069441.0402079</v>
      </c>
      <c r="AI120" s="5">
        <f>IF($B119&lt;=Tabla5[[#This Row],[INVERSIONES FCI]],+Tabla5[[#This Row],[INVERSIONES FCI]]-AI119,Tabla5[[#This Row],[INVERSIONES FCI]])</f>
        <v>1800069441.0402079</v>
      </c>
      <c r="AJ120" s="5">
        <f>IF($B119&lt;=Tabla5[[#This Row],[INVERSIONES FCI]],+Tabla5[[#This Row],[INVERSIONES FCI]]-AJ119,Tabla5[[#This Row],[INVERSIONES FCI]])</f>
        <v>1800069441.0402079</v>
      </c>
      <c r="AK120" s="5">
        <f>IF($B119&lt;=Tabla5[[#This Row],[INVERSIONES FCI]],+Tabla5[[#This Row],[INVERSIONES FCI]]-AK119,Tabla5[[#This Row],[INVERSIONES FCI]])</f>
        <v>1800069441.0402079</v>
      </c>
      <c r="AL120" s="5">
        <f>IF($B119&lt;=Tabla5[[#This Row],[INVERSIONES FCI]],+Tabla5[[#This Row],[INVERSIONES FCI]]-AL119,Tabla5[[#This Row],[INVERSIONES FCI]])</f>
        <v>1800069441.0402079</v>
      </c>
      <c r="AM120" s="5">
        <f>IF($B119&lt;=Tabla5[[#This Row],[INVERSIONES FCI]],+Tabla5[[#This Row],[INVERSIONES FCI]]-AM119,Tabla5[[#This Row],[INVERSIONES FCI]])</f>
        <v>1800069441.0402079</v>
      </c>
      <c r="AN120" s="5">
        <f>IF($B119&lt;=Tabla5[[#This Row],[INVERSIONES FCI]],+Tabla5[[#This Row],[INVERSIONES FCI]]-AN119,Tabla5[[#This Row],[INVERSIONES FCI]])</f>
        <v>1800069441.0402079</v>
      </c>
      <c r="AO120" s="5">
        <f>IF($B119&lt;=Tabla5[[#This Row],[INVERSIONES FCI]],+Tabla5[[#This Row],[INVERSIONES FCI]]-AO119,Tabla5[[#This Row],[INVERSIONES FCI]])</f>
        <v>1800069441.0402079</v>
      </c>
      <c r="AP120" s="5">
        <f>IF($B119&lt;=Tabla5[[#This Row],[INVERSIONES FCI]],+Tabla5[[#This Row],[INVERSIONES FCI]]-AP119,Tabla5[[#This Row],[INVERSIONES FCI]])</f>
        <v>1800069441.0402079</v>
      </c>
      <c r="AQ120" s="5">
        <f>IF($B119&lt;=Tabla5[[#This Row],[INVERSIONES FCI]],+Tabla5[[#This Row],[INVERSIONES FCI]]-AQ119,Tabla5[[#This Row],[INVERSIONES FCI]])</f>
        <v>1800069441.0402079</v>
      </c>
      <c r="AR120" s="5">
        <f>IF($B119&lt;=Tabla5[[#This Row],[INVERSIONES FCI]],+Tabla5[[#This Row],[INVERSIONES FCI]]-AR119,Tabla5[[#This Row],[INVERSIONES FCI]])</f>
        <v>1800069441.0402079</v>
      </c>
      <c r="AS120" s="5">
        <f>IF($B119&lt;=Tabla5[[#This Row],[INVERSIONES FCI]],+Tabla5[[#This Row],[INVERSIONES FCI]]-AS119,Tabla5[[#This Row],[INVERSIONES FCI]])</f>
        <v>1800069441.0402079</v>
      </c>
      <c r="AT120" s="5">
        <f>IF($B119&lt;=Tabla5[[#This Row],[INVERSIONES FCI]],+Tabla5[[#This Row],[INVERSIONES FCI]]-AT119,Tabla5[[#This Row],[INVERSIONES FCI]])</f>
        <v>1800069441.0402079</v>
      </c>
      <c r="AU120" s="5">
        <f>IF($B119&lt;=Tabla5[[#This Row],[INVERSIONES FCI]],+Tabla5[[#This Row],[INVERSIONES FCI]]-AU119,Tabla5[[#This Row],[INVERSIONES FCI]])</f>
        <v>1800069441.0402079</v>
      </c>
      <c r="AV120" s="5">
        <f>IF($B119&lt;=Tabla5[[#This Row],[INVERSIONES FCI]],+Tabla5[[#This Row],[INVERSIONES FCI]]-AV119,Tabla5[[#This Row],[INVERSIONES FCI]])</f>
        <v>1800069441.0402079</v>
      </c>
      <c r="AW120" s="5">
        <f>IF($B119&lt;=Tabla5[[#This Row],[INVERSIONES FCI]],+Tabla5[[#This Row],[INVERSIONES FCI]]-AW119,Tabla5[[#This Row],[INVERSIONES FCI]])</f>
        <v>1800069441.0402079</v>
      </c>
      <c r="AX120" s="5">
        <f>IF($B119&lt;=Tabla5[[#This Row],[INVERSIONES FCI]],+Tabla5[[#This Row],[INVERSIONES FCI]]-AX119,Tabla5[[#This Row],[INVERSIONES FCI]])</f>
        <v>1800069441.0402079</v>
      </c>
      <c r="AY120" s="5">
        <f>IF($B119&lt;=Tabla5[[#This Row],[INVERSIONES FCI]],+Tabla5[[#This Row],[INVERSIONES FCI]]-AY119,Tabla5[[#This Row],[INVERSIONES FCI]])</f>
        <v>1800069441.0402079</v>
      </c>
      <c r="AZ120" s="5">
        <f>IF($B119&lt;=Tabla5[[#This Row],[INVERSIONES FCI]],+Tabla5[[#This Row],[INVERSIONES FCI]]-AZ119,Tabla5[[#This Row],[INVERSIONES FCI]])</f>
        <v>1800069441.0402079</v>
      </c>
      <c r="BA120" s="5">
        <f>IF($B119&lt;=Tabla5[[#This Row],[INVERSIONES FCI]],+Tabla5[[#This Row],[INVERSIONES FCI]]-BA119,Tabla5[[#This Row],[INVERSIONES FCI]])</f>
        <v>1800069441.0402079</v>
      </c>
      <c r="BB120" s="5">
        <f>IF($B119&lt;=Tabla5[[#This Row],[INVERSIONES FCI]],+Tabla5[[#This Row],[INVERSIONES FCI]]-BB119,Tabla5[[#This Row],[INVERSIONES FCI]])</f>
        <v>1800069441.0402079</v>
      </c>
      <c r="BC120" s="5">
        <f>IF($B119&lt;=Tabla5[[#This Row],[INVERSIONES FCI]],+Tabla5[[#This Row],[INVERSIONES FCI]]-BC119,Tabla5[[#This Row],[INVERSIONES FCI]])</f>
        <v>1800069441.0402079</v>
      </c>
      <c r="BD120" s="5">
        <f>IF($B119&lt;=Tabla5[[#This Row],[INVERSIONES FCI]],+Tabla5[[#This Row],[INVERSIONES FCI]]-BD119,Tabla5[[#This Row],[INVERSIONES FCI]])</f>
        <v>1800069441.0402079</v>
      </c>
      <c r="BE120" s="5">
        <f>IF($B119&lt;=Tabla5[[#This Row],[INVERSIONES FCI]],+Tabla5[[#This Row],[INVERSIONES FCI]]-BE119,Tabla5[[#This Row],[INVERSIONES FCI]])</f>
        <v>1800069441.0402079</v>
      </c>
      <c r="BF120" s="5">
        <f>IF($B119&lt;=Tabla5[[#This Row],[INVERSIONES FCI]],+Tabla5[[#This Row],[INVERSIONES FCI]]-BF119,Tabla5[[#This Row],[INVERSIONES FCI]])</f>
        <v>1800069441.0402079</v>
      </c>
      <c r="BG120" s="5">
        <f>IF($B119&lt;=Tabla5[[#This Row],[INVERSIONES FCI]],+Tabla5[[#This Row],[INVERSIONES FCI]]-BG119,Tabla5[[#This Row],[INVERSIONES FCI]])</f>
        <v>1800069441.0402079</v>
      </c>
      <c r="BH120" s="5">
        <f>IF($B119&lt;=Tabla5[[#This Row],[INVERSIONES FCI]],+Tabla5[[#This Row],[INVERSIONES FCI]]-BH119,Tabla5[[#This Row],[INVERSIONES FCI]])</f>
        <v>1800069441.0402079</v>
      </c>
      <c r="BI120" s="5">
        <f>IF($B119&lt;=Tabla5[[#This Row],[INVERSIONES FCI]],+Tabla5[[#This Row],[INVERSIONES FCI]]-BI119,Tabla5[[#This Row],[INVERSIONES FCI]])</f>
        <v>1800069441.0402079</v>
      </c>
      <c r="BJ120" s="5">
        <f>IF($B119&lt;=Tabla5[[#This Row],[INVERSIONES FCI]],+Tabla5[[#This Row],[INVERSIONES FCI]]-BJ119,Tabla5[[#This Row],[INVERSIONES FCI]])</f>
        <v>1800069441.0402079</v>
      </c>
      <c r="BK120" s="5">
        <f>IF($B119&lt;=Tabla5[[#This Row],[INVERSIONES FCI]],+Tabla5[[#This Row],[INVERSIONES FCI]]-BK119,Tabla5[[#This Row],[INVERSIONES FCI]])</f>
        <v>1800069441.0402079</v>
      </c>
      <c r="BL120" s="5">
        <f>IF($B119&lt;=Tabla5[[#This Row],[INVERSIONES FCI]],+Tabla5[[#This Row],[INVERSIONES FCI]]-BL119,Tabla5[[#This Row],[INVERSIONES FCI]])</f>
        <v>1800069441.0402079</v>
      </c>
      <c r="BM120" s="5">
        <f>IF($B119&lt;=Tabla5[[#This Row],[INVERSIONES FCI]],+Tabla5[[#This Row],[INVERSIONES FCI]]-BM119,Tabla5[[#This Row],[INVERSIONES FCI]])</f>
        <v>1800069441.0402079</v>
      </c>
      <c r="BN120" s="5">
        <f>IF($B119&lt;=Tabla5[[#This Row],[INVERSIONES FCI]],+Tabla5[[#This Row],[INVERSIONES FCI]]-BN119,Tabla5[[#This Row],[INVERSIONES FCI]])</f>
        <v>1800069441.0402079</v>
      </c>
      <c r="BO120" s="5">
        <f>IF($B119&lt;=Tabla5[[#This Row],[INVERSIONES FCI]],+Tabla5[[#This Row],[INVERSIONES FCI]]-BO119,Tabla5[[#This Row],[INVERSIONES FCI]])</f>
        <v>1800069441.0402079</v>
      </c>
      <c r="BP120" s="5">
        <f>IF($B119&lt;=Tabla5[[#This Row],[INVERSIONES FCI]],+Tabla5[[#This Row],[INVERSIONES FCI]]-BP119,Tabla5[[#This Row],[INVERSIONES FCI]])</f>
        <v>1800069441.0402079</v>
      </c>
      <c r="BQ120" s="5">
        <f>IF($B119&lt;=Tabla5[[#This Row],[INVERSIONES FCI]],+Tabla5[[#This Row],[INVERSIONES FCI]]-BQ119,Tabla5[[#This Row],[INVERSIONES FCI]])</f>
        <v>1800069441.0402079</v>
      </c>
      <c r="BR120" s="5">
        <f>IF($B119&lt;=Tabla5[[#This Row],[INVERSIONES FCI]],+Tabla5[[#This Row],[INVERSIONES FCI]]-BR119,Tabla5[[#This Row],[INVERSIONES FCI]])</f>
        <v>1800069441.0402079</v>
      </c>
      <c r="BS120" s="5">
        <f>IF($B119&lt;=Tabla5[[#This Row],[INVERSIONES FCI]],+Tabla5[[#This Row],[INVERSIONES FCI]]-BS119,Tabla5[[#This Row],[INVERSIONES FCI]])</f>
        <v>1800069441.0402079</v>
      </c>
      <c r="BT120" s="5">
        <f>IF($B119&lt;=Tabla5[[#This Row],[INVERSIONES FCI]],+Tabla5[[#This Row],[INVERSIONES FCI]]-BT119,Tabla5[[#This Row],[INVERSIONES FCI]])</f>
        <v>1800069441.0402079</v>
      </c>
      <c r="BU120" s="5">
        <f>IF($B119&lt;=Tabla5[[#This Row],[INVERSIONES FCI]],+Tabla5[[#This Row],[INVERSIONES FCI]]-BU119,Tabla5[[#This Row],[INVERSIONES FCI]])</f>
        <v>1800069441.0402079</v>
      </c>
      <c r="BV120" s="5">
        <f>IF($B119&lt;=Tabla5[[#This Row],[INVERSIONES FCI]],+Tabla5[[#This Row],[INVERSIONES FCI]]-BV119,Tabla5[[#This Row],[INVERSIONES FCI]])</f>
        <v>1800069441.0402079</v>
      </c>
      <c r="BW120" s="5">
        <f>IF($B119&lt;=Tabla5[[#This Row],[INVERSIONES FCI]],+Tabla5[[#This Row],[INVERSIONES FCI]]-BW119,Tabla5[[#This Row],[INVERSIONES FCI]])</f>
        <v>1800069441.0402079</v>
      </c>
      <c r="BX120" s="5">
        <f>IF($B119&lt;=Tabla5[[#This Row],[INVERSIONES FCI]],+Tabla5[[#This Row],[INVERSIONES FCI]]-BX119,Tabla5[[#This Row],[INVERSIONES FCI]])</f>
        <v>1800069441.0402079</v>
      </c>
      <c r="BY120" s="5">
        <f>IF($B119&lt;=Tabla5[[#This Row],[INVERSIONES FCI]],+Tabla5[[#This Row],[INVERSIONES FCI]]-BY119,Tabla5[[#This Row],[INVERSIONES FCI]])</f>
        <v>1800069441.0402079</v>
      </c>
      <c r="BZ120" s="5">
        <f>IF($B119&lt;=Tabla5[[#This Row],[INVERSIONES FCI]],+Tabla5[[#This Row],[INVERSIONES FCI]]-BZ119,Tabla5[[#This Row],[INVERSIONES FCI]])</f>
        <v>1800069441.0402079</v>
      </c>
      <c r="CA120" s="5">
        <f>IF($B119&lt;=Tabla5[[#This Row],[INVERSIONES FCI]],+Tabla5[[#This Row],[INVERSIONES FCI]]-CA119,Tabla5[[#This Row],[INVERSIONES FCI]])</f>
        <v>1800069441.0402079</v>
      </c>
      <c r="CB120" s="5">
        <f>IF($B119&lt;=Tabla5[[#This Row],[INVERSIONES FCI]],+Tabla5[[#This Row],[INVERSIONES FCI]]-CB119,Tabla5[[#This Row],[INVERSIONES FCI]])</f>
        <v>1800069441.0402079</v>
      </c>
      <c r="CC120" s="5">
        <f>IF($B119&lt;=Tabla5[[#This Row],[INVERSIONES FCI]],+Tabla5[[#This Row],[INVERSIONES FCI]]-CC119,Tabla5[[#This Row],[INVERSIONES FCI]])</f>
        <v>1800069441.0402079</v>
      </c>
      <c r="CD120" s="5">
        <f>IF($B119&lt;=Tabla5[[#This Row],[INVERSIONES FCI]],+Tabla5[[#This Row],[INVERSIONES FCI]]-CD119,Tabla5[[#This Row],[INVERSIONES FCI]])</f>
        <v>1800069441.0402079</v>
      </c>
      <c r="CE120" s="5">
        <f>IF($B119&lt;=Tabla5[[#This Row],[INVERSIONES FCI]],+Tabla5[[#This Row],[INVERSIONES FCI]]-CE119,Tabla5[[#This Row],[INVERSIONES FCI]])</f>
        <v>1800069441.0402079</v>
      </c>
      <c r="CF120" s="5">
        <f>IF($B119&lt;=Tabla5[[#This Row],[INVERSIONES FCI]],+Tabla5[[#This Row],[INVERSIONES FCI]]-CF119,Tabla5[[#This Row],[INVERSIONES FCI]])</f>
        <v>1800069441.0402079</v>
      </c>
      <c r="CG120" s="5">
        <f>IF($B119&lt;=Tabla5[[#This Row],[INVERSIONES FCI]],+Tabla5[[#This Row],[INVERSIONES FCI]]-CG119,Tabla5[[#This Row],[INVERSIONES FCI]])</f>
        <v>1800069441.0402079</v>
      </c>
      <c r="CH120" s="5">
        <f>IF($B119&lt;=Tabla5[[#This Row],[INVERSIONES FCI]],+Tabla5[[#This Row],[INVERSIONES FCI]]-CH119,Tabla5[[#This Row],[INVERSIONES FCI]])</f>
        <v>1800069441.0402079</v>
      </c>
      <c r="CI120" s="5">
        <f>IF($B119&lt;=Tabla5[[#This Row],[INVERSIONES FCI]],+Tabla5[[#This Row],[INVERSIONES FCI]]-CI119,Tabla5[[#This Row],[INVERSIONES FCI]])</f>
        <v>1800069441.0402079</v>
      </c>
      <c r="CJ120" s="5">
        <f>IF($B119&lt;=Tabla5[[#This Row],[INVERSIONES FCI]],+Tabla5[[#This Row],[INVERSIONES FCI]]-CJ119,Tabla5[[#This Row],[INVERSIONES FCI]])</f>
        <v>1800069441.0402079</v>
      </c>
      <c r="CK120" s="5">
        <f>IF($B119&lt;=Tabla5[[#This Row],[INVERSIONES FCI]],+Tabla5[[#This Row],[INVERSIONES FCI]]-CK119,Tabla5[[#This Row],[INVERSIONES FCI]])</f>
        <v>1800069441.0402079</v>
      </c>
      <c r="CL120" s="5">
        <f>IF($B119&lt;=Tabla5[[#This Row],[INVERSIONES FCI]],+Tabla5[[#This Row],[INVERSIONES FCI]]-CL119,Tabla5[[#This Row],[INVERSIONES FCI]])</f>
        <v>1800069441.0402079</v>
      </c>
      <c r="CM120" s="5">
        <f>IF($B119&lt;=Tabla5[[#This Row],[INVERSIONES FCI]],+Tabla5[[#This Row],[INVERSIONES FCI]]-CM119,Tabla5[[#This Row],[INVERSIONES FCI]])</f>
        <v>1800069441.0402079</v>
      </c>
      <c r="CN120" s="5">
        <f>IF($B119&lt;=Tabla5[[#This Row],[INVERSIONES FCI]],+Tabla5[[#This Row],[INVERSIONES FCI]]-CN119,Tabla5[[#This Row],[INVERSIONES FCI]])</f>
        <v>1800069441.0402079</v>
      </c>
      <c r="CO120" s="5">
        <f>IF($B119&lt;=Tabla5[[#This Row],[INVERSIONES FCI]],+Tabla5[[#This Row],[INVERSIONES FCI]]-CO119,Tabla5[[#This Row],[INVERSIONES FCI]])</f>
        <v>1800069441.0402079</v>
      </c>
      <c r="CP120" s="5">
        <f>IF($B119&lt;=Tabla5[[#This Row],[INVERSIONES FCI]],+Tabla5[[#This Row],[INVERSIONES FCI]]-CP119,Tabla5[[#This Row],[INVERSIONES FCI]])</f>
        <v>1800069441.0402079</v>
      </c>
      <c r="CQ120" s="5">
        <f>IF($B119&lt;=Tabla5[[#This Row],[INVERSIONES FCI]],+Tabla5[[#This Row],[INVERSIONES FCI]]-CQ119,Tabla5[[#This Row],[INVERSIONES FCI]])</f>
        <v>1800069441.0402079</v>
      </c>
      <c r="CR120" s="5">
        <f>IF($B119&lt;=Tabla5[[#This Row],[INVERSIONES FCI]],+Tabla5[[#This Row],[INVERSIONES FCI]]-CR119,Tabla5[[#This Row],[INVERSIONES FCI]])</f>
        <v>1800069441.0402079</v>
      </c>
      <c r="CS120" s="5">
        <f>IF($B119&lt;=Tabla5[[#This Row],[INVERSIONES FCI]],+Tabla5[[#This Row],[INVERSIONES FCI]]-CS119,Tabla5[[#This Row],[INVERSIONES FCI]])</f>
        <v>1800069441.0402079</v>
      </c>
      <c r="CT120" s="5">
        <f>IF($B119&lt;=Tabla5[[#This Row],[INVERSIONES FCI]],+Tabla5[[#This Row],[INVERSIONES FCI]]-CT119,Tabla5[[#This Row],[INVERSIONES FCI]])</f>
        <v>1800069441.0402079</v>
      </c>
      <c r="CU120" s="5">
        <f>IF($B119&lt;=Tabla5[[#This Row],[INVERSIONES FCI]],+Tabla5[[#This Row],[INVERSIONES FCI]]-CU119,Tabla5[[#This Row],[INVERSIONES FCI]])</f>
        <v>1800069441.0402079</v>
      </c>
      <c r="CV120" s="5">
        <f>IF($B119&lt;=Tabla5[[#This Row],[INVERSIONES FCI]],+Tabla5[[#This Row],[INVERSIONES FCI]]-CV119,Tabla5[[#This Row],[INVERSIONES FCI]])</f>
        <v>1800069441.0402079</v>
      </c>
      <c r="CW120" s="5">
        <f>IF($B119&lt;=Tabla5[[#This Row],[INVERSIONES FCI]],+Tabla5[[#This Row],[INVERSIONES FCI]]-CW119,Tabla5[[#This Row],[INVERSIONES FCI]])</f>
        <v>1800069441.0402079</v>
      </c>
      <c r="CX120" s="5">
        <f>IF($B119&lt;=Tabla5[[#This Row],[INVERSIONES FCI]],+Tabla5[[#This Row],[INVERSIONES FCI]]-CX119,Tabla5[[#This Row],[INVERSIONES FCI]])</f>
        <v>1800069441.0402079</v>
      </c>
      <c r="CY120" s="5">
        <f>IF($B119&lt;=Tabla5[[#This Row],[INVERSIONES FCI]],+Tabla5[[#This Row],[INVERSIONES FCI]]-CY119,Tabla5[[#This Row],[INVERSIONES FCI]])</f>
        <v>1800069441.0402079</v>
      </c>
      <c r="CZ120" s="5">
        <f>IF($B119&lt;=Tabla5[[#This Row],[INVERSIONES FCI]],+Tabla5[[#This Row],[INVERSIONES FCI]]-CZ119,Tabla5[[#This Row],[INVERSIONES FCI]])</f>
        <v>1800069441.0402079</v>
      </c>
      <c r="DA120" s="5">
        <f>IF($B119&lt;=Tabla5[[#This Row],[INVERSIONES FCI]],+Tabla5[[#This Row],[INVERSIONES FCI]]-DA119,Tabla5[[#This Row],[INVERSIONES FCI]])</f>
        <v>1800069441.0402079</v>
      </c>
      <c r="DB120" s="5">
        <f>IF($B119&lt;=Tabla5[[#This Row],[INVERSIONES FCI]],+Tabla5[[#This Row],[INVERSIONES FCI]]-DB119,Tabla5[[#This Row],[INVERSIONES FCI]])</f>
        <v>1800069441.0402079</v>
      </c>
      <c r="DC120" s="5">
        <f>IF($B119&lt;=Tabla5[[#This Row],[INVERSIONES FCI]],+Tabla5[[#This Row],[INVERSIONES FCI]]-DC119,Tabla5[[#This Row],[INVERSIONES FCI]])</f>
        <v>1800069441.0402079</v>
      </c>
      <c r="DD120" s="5">
        <f>IF($B119&lt;=Tabla5[[#This Row],[INVERSIONES FCI]],+Tabla5[[#This Row],[INVERSIONES FCI]]-DD119,Tabla5[[#This Row],[INVERSIONES FCI]])</f>
        <v>1800069441.0402079</v>
      </c>
      <c r="DE120" s="5">
        <f>IF($B119&lt;=Tabla5[[#This Row],[INVERSIONES FCI]],+Tabla5[[#This Row],[INVERSIONES FCI]]-DE119,Tabla5[[#This Row],[INVERSIONES FCI]])</f>
        <v>1800069441.0402079</v>
      </c>
      <c r="DF120" s="5">
        <f>IF($B119&lt;=Tabla5[[#This Row],[INVERSIONES FCI]],+Tabla5[[#This Row],[INVERSIONES FCI]]-DF119,Tabla5[[#This Row],[INVERSIONES FCI]])</f>
        <v>1800069441.0402079</v>
      </c>
      <c r="DG120" s="5">
        <f>IF($B119&lt;=Tabla5[[#This Row],[INVERSIONES FCI]],+Tabla5[[#This Row],[INVERSIONES FCI]]-DG119,Tabla5[[#This Row],[INVERSIONES FCI]])</f>
        <v>1800069441.0402079</v>
      </c>
      <c r="DH120" s="5">
        <f>IF($B119&lt;=Tabla5[[#This Row],[INVERSIONES FCI]],+Tabla5[[#This Row],[INVERSIONES FCI]]-DH119,Tabla5[[#This Row],[INVERSIONES FCI]])</f>
        <v>1800069441.0402079</v>
      </c>
      <c r="DI120" s="5">
        <f>IF($B119&lt;=Tabla5[[#This Row],[INVERSIONES FCI]],+Tabla5[[#This Row],[INVERSIONES FCI]]-DI119,Tabla5[[#This Row],[INVERSIONES FCI]])</f>
        <v>1800069441.0402079</v>
      </c>
      <c r="DJ120" s="5">
        <f>IF($B119&lt;=Tabla5[[#This Row],[INVERSIONES FCI]],+Tabla5[[#This Row],[INVERSIONES FCI]]-DJ119,Tabla5[[#This Row],[INVERSIONES FCI]])</f>
        <v>1800069441.0402079</v>
      </c>
      <c r="DK120" s="5">
        <f>IF($B119&lt;=Tabla5[[#This Row],[INVERSIONES FCI]],+Tabla5[[#This Row],[INVERSIONES FCI]]-DK119,Tabla5[[#This Row],[INVERSIONES FCI]])</f>
        <v>1800069441.0402079</v>
      </c>
      <c r="DL120" s="5"/>
      <c r="DM120" s="5"/>
      <c r="DN120" s="5"/>
      <c r="DO120" s="5"/>
      <c r="DP120" s="5"/>
      <c r="DQ120" s="5"/>
    </row>
    <row r="121" spans="1:121" ht="14.4">
      <c r="A121" s="12" t="s">
        <v>120</v>
      </c>
      <c r="B121" s="5">
        <f>HLOOKUP($A121,ESCENARIO[#All],7,FALSE)</f>
        <v>8720942190.2415657</v>
      </c>
      <c r="C121" s="5">
        <f>IF($B120&lt;=Tabla5[[#This Row],[INVERSIONES FCI]],+Tabla5[[#This Row],[INVERSIONES FCI]]-C120,Tabla5[[#This Row],[INVERSIONES FCI]])</f>
        <v>6920872749.2013578</v>
      </c>
      <c r="D121" s="5">
        <f>IF($B120&lt;=Tabla5[[#This Row],[INVERSIONES FCI]],+Tabla5[[#This Row],[INVERSIONES FCI]]-D120,Tabla5[[#This Row],[INVERSIONES FCI]])</f>
        <v>6920872749.2013578</v>
      </c>
      <c r="E121" s="5">
        <f>IF($B120&lt;=Tabla5[[#This Row],[INVERSIONES FCI]],+Tabla5[[#This Row],[INVERSIONES FCI]]-E120,Tabla5[[#This Row],[INVERSIONES FCI]])</f>
        <v>6920872749.2013578</v>
      </c>
      <c r="F121" s="5">
        <f>IF($B120&lt;=Tabla5[[#This Row],[INVERSIONES FCI]],+Tabla5[[#This Row],[INVERSIONES FCI]]-F120,Tabla5[[#This Row],[INVERSIONES FCI]])</f>
        <v>6920872749.2013578</v>
      </c>
      <c r="G121" s="5">
        <f>IF($B120&lt;=Tabla5[[#This Row],[INVERSIONES FCI]],+Tabla5[[#This Row],[INVERSIONES FCI]]-G120,Tabla5[[#This Row],[INVERSIONES FCI]])</f>
        <v>6920872749.2013578</v>
      </c>
      <c r="H121" s="5">
        <f>IF($B120&lt;=Tabla5[[#This Row],[INVERSIONES FCI]],+Tabla5[[#This Row],[INVERSIONES FCI]]-H120,Tabla5[[#This Row],[INVERSIONES FCI]])</f>
        <v>6920872749.2013578</v>
      </c>
      <c r="I121" s="5">
        <f>IF($B120&lt;=Tabla5[[#This Row],[INVERSIONES FCI]],+Tabla5[[#This Row],[INVERSIONES FCI]]-I120,Tabla5[[#This Row],[INVERSIONES FCI]])</f>
        <v>6920872749.2013578</v>
      </c>
      <c r="J121" s="5">
        <f>IF($B120&lt;=Tabla5[[#This Row],[INVERSIONES FCI]],+Tabla5[[#This Row],[INVERSIONES FCI]]-J120,Tabla5[[#This Row],[INVERSIONES FCI]])</f>
        <v>6920872749.2013578</v>
      </c>
      <c r="K121" s="5">
        <f>IF($B120&lt;=Tabla5[[#This Row],[INVERSIONES FCI]],+Tabla5[[#This Row],[INVERSIONES FCI]]-K120,Tabla5[[#This Row],[INVERSIONES FCI]])</f>
        <v>6920872749.2013578</v>
      </c>
      <c r="L121" s="5">
        <f>IF($B120&lt;=Tabla5[[#This Row],[INVERSIONES FCI]],+Tabla5[[#This Row],[INVERSIONES FCI]]-L120,Tabla5[[#This Row],[INVERSIONES FCI]])</f>
        <v>6920872749.2013578</v>
      </c>
      <c r="M121" s="5">
        <f>IF($B120&lt;=Tabla5[[#This Row],[INVERSIONES FCI]],+Tabla5[[#This Row],[INVERSIONES FCI]]-M120,Tabla5[[#This Row],[INVERSIONES FCI]])</f>
        <v>6920872749.2013578</v>
      </c>
      <c r="N121" s="5">
        <f>IF($B120&lt;=Tabla5[[#This Row],[INVERSIONES FCI]],+Tabla5[[#This Row],[INVERSIONES FCI]]-N120,Tabla5[[#This Row],[INVERSIONES FCI]])</f>
        <v>6920872749.2013578</v>
      </c>
      <c r="O121" s="5">
        <f>IF($B120&lt;=Tabla5[[#This Row],[INVERSIONES FCI]],+Tabla5[[#This Row],[INVERSIONES FCI]]-O120,Tabla5[[#This Row],[INVERSIONES FCI]])</f>
        <v>6920872749.2013578</v>
      </c>
      <c r="P121" s="5">
        <f>IF($B120&lt;=Tabla5[[#This Row],[INVERSIONES FCI]],+Tabla5[[#This Row],[INVERSIONES FCI]]-P120,Tabla5[[#This Row],[INVERSIONES FCI]])</f>
        <v>6920872749.2013578</v>
      </c>
      <c r="Q121" s="5">
        <f>IF($B120&lt;=Tabla5[[#This Row],[INVERSIONES FCI]],+Tabla5[[#This Row],[INVERSIONES FCI]]-Q120,Tabla5[[#This Row],[INVERSIONES FCI]])</f>
        <v>6920872749.2013578</v>
      </c>
      <c r="R121" s="5">
        <f>IF($B120&lt;=Tabla5[[#This Row],[INVERSIONES FCI]],+Tabla5[[#This Row],[INVERSIONES FCI]]-R120,Tabla5[[#This Row],[INVERSIONES FCI]])</f>
        <v>6920872749.2013578</v>
      </c>
      <c r="S121" s="5">
        <f>IF($B120&lt;=Tabla5[[#This Row],[INVERSIONES FCI]],+Tabla5[[#This Row],[INVERSIONES FCI]]-S120,Tabla5[[#This Row],[INVERSIONES FCI]])</f>
        <v>6920872749.2013578</v>
      </c>
      <c r="T121" s="5">
        <f>IF($B120&lt;=Tabla5[[#This Row],[INVERSIONES FCI]],+Tabla5[[#This Row],[INVERSIONES FCI]]-T120,Tabla5[[#This Row],[INVERSIONES FCI]])</f>
        <v>6920872749.2013578</v>
      </c>
      <c r="U121" s="5">
        <f>IF($B120&lt;=Tabla5[[#This Row],[INVERSIONES FCI]],+Tabla5[[#This Row],[INVERSIONES FCI]]-U120,Tabla5[[#This Row],[INVERSIONES FCI]])</f>
        <v>6920872749.2013578</v>
      </c>
      <c r="V121" s="5">
        <f>IF($B120&lt;=Tabla5[[#This Row],[INVERSIONES FCI]],+Tabla5[[#This Row],[INVERSIONES FCI]]-V120,Tabla5[[#This Row],[INVERSIONES FCI]])</f>
        <v>6920872749.2013578</v>
      </c>
      <c r="W121" s="5">
        <f>IF($B120&lt;=Tabla5[[#This Row],[INVERSIONES FCI]],+Tabla5[[#This Row],[INVERSIONES FCI]]-W120,Tabla5[[#This Row],[INVERSIONES FCI]])</f>
        <v>6920872749.2013578</v>
      </c>
      <c r="X121" s="5">
        <f>IF($B120&lt;=Tabla5[[#This Row],[INVERSIONES FCI]],+Tabla5[[#This Row],[INVERSIONES FCI]]-X120,Tabla5[[#This Row],[INVERSIONES FCI]])</f>
        <v>6920872749.2013578</v>
      </c>
      <c r="Y121" s="5">
        <f>IF($B120&lt;=Tabla5[[#This Row],[INVERSIONES FCI]],+Tabla5[[#This Row],[INVERSIONES FCI]]-Y120,Tabla5[[#This Row],[INVERSIONES FCI]])</f>
        <v>6920872749.2013578</v>
      </c>
      <c r="Z121" s="5">
        <f>IF($B120&lt;=Tabla5[[#This Row],[INVERSIONES FCI]],+Tabla5[[#This Row],[INVERSIONES FCI]]-Z120,Tabla5[[#This Row],[INVERSIONES FCI]])</f>
        <v>6920872749.2013578</v>
      </c>
      <c r="AA121" s="5">
        <f>IF($B120&lt;=Tabla5[[#This Row],[INVERSIONES FCI]],+Tabla5[[#This Row],[INVERSIONES FCI]]-AA120,Tabla5[[#This Row],[INVERSIONES FCI]])</f>
        <v>6920872749.2013578</v>
      </c>
      <c r="AB121" s="5">
        <f>IF($B120&lt;=Tabla5[[#This Row],[INVERSIONES FCI]],+Tabla5[[#This Row],[INVERSIONES FCI]]-AB120,Tabla5[[#This Row],[INVERSIONES FCI]])</f>
        <v>6920872749.2013578</v>
      </c>
      <c r="AC121" s="5">
        <f>IF($B120&lt;=Tabla5[[#This Row],[INVERSIONES FCI]],+Tabla5[[#This Row],[INVERSIONES FCI]]-AC120,Tabla5[[#This Row],[INVERSIONES FCI]])</f>
        <v>6920872749.2013578</v>
      </c>
      <c r="AD121" s="5">
        <f>IF($B120&lt;=Tabla5[[#This Row],[INVERSIONES FCI]],+Tabla5[[#This Row],[INVERSIONES FCI]]-AD120,Tabla5[[#This Row],[INVERSIONES FCI]])</f>
        <v>6920872749.2013578</v>
      </c>
      <c r="AE121" s="5">
        <f>IF($B120&lt;=Tabla5[[#This Row],[INVERSIONES FCI]],+Tabla5[[#This Row],[INVERSIONES FCI]]-AE120,Tabla5[[#This Row],[INVERSIONES FCI]])</f>
        <v>6920872749.2013578</v>
      </c>
      <c r="AF121" s="5">
        <f>IF($B120&lt;=Tabla5[[#This Row],[INVERSIONES FCI]],+Tabla5[[#This Row],[INVERSIONES FCI]]-AF120,Tabla5[[#This Row],[INVERSIONES FCI]])</f>
        <v>6920872749.2013578</v>
      </c>
      <c r="AG121" s="5">
        <f>IF($B120&lt;=Tabla5[[#This Row],[INVERSIONES FCI]],+Tabla5[[#This Row],[INVERSIONES FCI]]-AG120,Tabla5[[#This Row],[INVERSIONES FCI]])</f>
        <v>6920872749.2013578</v>
      </c>
      <c r="AH121" s="5">
        <f>IF($B120&lt;=Tabla5[[#This Row],[INVERSIONES FCI]],+Tabla5[[#This Row],[INVERSIONES FCI]]-AH120,Tabla5[[#This Row],[INVERSIONES FCI]])</f>
        <v>6920872749.2013578</v>
      </c>
      <c r="AI121" s="5">
        <f>IF($B120&lt;=Tabla5[[#This Row],[INVERSIONES FCI]],+Tabla5[[#This Row],[INVERSIONES FCI]]-AI120,Tabla5[[#This Row],[INVERSIONES FCI]])</f>
        <v>6920872749.2013578</v>
      </c>
      <c r="AJ121" s="5">
        <f>IF($B120&lt;=Tabla5[[#This Row],[INVERSIONES FCI]],+Tabla5[[#This Row],[INVERSIONES FCI]]-AJ120,Tabla5[[#This Row],[INVERSIONES FCI]])</f>
        <v>6920872749.2013578</v>
      </c>
      <c r="AK121" s="5">
        <f>IF($B120&lt;=Tabla5[[#This Row],[INVERSIONES FCI]],+Tabla5[[#This Row],[INVERSIONES FCI]]-AK120,Tabla5[[#This Row],[INVERSIONES FCI]])</f>
        <v>6920872749.2013578</v>
      </c>
      <c r="AL121" s="5">
        <f>IF($B120&lt;=Tabla5[[#This Row],[INVERSIONES FCI]],+Tabla5[[#This Row],[INVERSIONES FCI]]-AL120,Tabla5[[#This Row],[INVERSIONES FCI]])</f>
        <v>6920872749.2013578</v>
      </c>
      <c r="AM121" s="5">
        <f>IF($B120&lt;=Tabla5[[#This Row],[INVERSIONES FCI]],+Tabla5[[#This Row],[INVERSIONES FCI]]-AM120,Tabla5[[#This Row],[INVERSIONES FCI]])</f>
        <v>6920872749.2013578</v>
      </c>
      <c r="AN121" s="5">
        <f>IF($B120&lt;=Tabla5[[#This Row],[INVERSIONES FCI]],+Tabla5[[#This Row],[INVERSIONES FCI]]-AN120,Tabla5[[#This Row],[INVERSIONES FCI]])</f>
        <v>6920872749.2013578</v>
      </c>
      <c r="AO121" s="5">
        <f>IF($B120&lt;=Tabla5[[#This Row],[INVERSIONES FCI]],+Tabla5[[#This Row],[INVERSIONES FCI]]-AO120,Tabla5[[#This Row],[INVERSIONES FCI]])</f>
        <v>6920872749.2013578</v>
      </c>
      <c r="AP121" s="5">
        <f>IF($B120&lt;=Tabla5[[#This Row],[INVERSIONES FCI]],+Tabla5[[#This Row],[INVERSIONES FCI]]-AP120,Tabla5[[#This Row],[INVERSIONES FCI]])</f>
        <v>6920872749.2013578</v>
      </c>
      <c r="AQ121" s="5">
        <f>IF($B120&lt;=Tabla5[[#This Row],[INVERSIONES FCI]],+Tabla5[[#This Row],[INVERSIONES FCI]]-AQ120,Tabla5[[#This Row],[INVERSIONES FCI]])</f>
        <v>6920872749.2013578</v>
      </c>
      <c r="AR121" s="5">
        <f>IF($B120&lt;=Tabla5[[#This Row],[INVERSIONES FCI]],+Tabla5[[#This Row],[INVERSIONES FCI]]-AR120,Tabla5[[#This Row],[INVERSIONES FCI]])</f>
        <v>6920872749.2013578</v>
      </c>
      <c r="AS121" s="5">
        <f>IF($B120&lt;=Tabla5[[#This Row],[INVERSIONES FCI]],+Tabla5[[#This Row],[INVERSIONES FCI]]-AS120,Tabla5[[#This Row],[INVERSIONES FCI]])</f>
        <v>6920872749.2013578</v>
      </c>
      <c r="AT121" s="5">
        <f>IF($B120&lt;=Tabla5[[#This Row],[INVERSIONES FCI]],+Tabla5[[#This Row],[INVERSIONES FCI]]-AT120,Tabla5[[#This Row],[INVERSIONES FCI]])</f>
        <v>6920872749.2013578</v>
      </c>
      <c r="AU121" s="5">
        <f>IF($B120&lt;=Tabla5[[#This Row],[INVERSIONES FCI]],+Tabla5[[#This Row],[INVERSIONES FCI]]-AU120,Tabla5[[#This Row],[INVERSIONES FCI]])</f>
        <v>6920872749.2013578</v>
      </c>
      <c r="AV121" s="5">
        <f>IF($B120&lt;=Tabla5[[#This Row],[INVERSIONES FCI]],+Tabla5[[#This Row],[INVERSIONES FCI]]-AV120,Tabla5[[#This Row],[INVERSIONES FCI]])</f>
        <v>6920872749.2013578</v>
      </c>
      <c r="AW121" s="5">
        <f>IF($B120&lt;=Tabla5[[#This Row],[INVERSIONES FCI]],+Tabla5[[#This Row],[INVERSIONES FCI]]-AW120,Tabla5[[#This Row],[INVERSIONES FCI]])</f>
        <v>6920872749.2013578</v>
      </c>
      <c r="AX121" s="5">
        <f>IF($B120&lt;=Tabla5[[#This Row],[INVERSIONES FCI]],+Tabla5[[#This Row],[INVERSIONES FCI]]-AX120,Tabla5[[#This Row],[INVERSIONES FCI]])</f>
        <v>6920872749.2013578</v>
      </c>
      <c r="AY121" s="5">
        <f>IF($B120&lt;=Tabla5[[#This Row],[INVERSIONES FCI]],+Tabla5[[#This Row],[INVERSIONES FCI]]-AY120,Tabla5[[#This Row],[INVERSIONES FCI]])</f>
        <v>6920872749.2013578</v>
      </c>
      <c r="AZ121" s="5">
        <f>IF($B120&lt;=Tabla5[[#This Row],[INVERSIONES FCI]],+Tabla5[[#This Row],[INVERSIONES FCI]]-AZ120,Tabla5[[#This Row],[INVERSIONES FCI]])</f>
        <v>6920872749.2013578</v>
      </c>
      <c r="BA121" s="5">
        <f>IF($B120&lt;=Tabla5[[#This Row],[INVERSIONES FCI]],+Tabla5[[#This Row],[INVERSIONES FCI]]-BA120,Tabla5[[#This Row],[INVERSIONES FCI]])</f>
        <v>6920872749.2013578</v>
      </c>
      <c r="BB121" s="5">
        <f>IF($B120&lt;=Tabla5[[#This Row],[INVERSIONES FCI]],+Tabla5[[#This Row],[INVERSIONES FCI]]-BB120,Tabla5[[#This Row],[INVERSIONES FCI]])</f>
        <v>6920872749.2013578</v>
      </c>
      <c r="BC121" s="5">
        <f>IF($B120&lt;=Tabla5[[#This Row],[INVERSIONES FCI]],+Tabla5[[#This Row],[INVERSIONES FCI]]-BC120,Tabla5[[#This Row],[INVERSIONES FCI]])</f>
        <v>6920872749.2013578</v>
      </c>
      <c r="BD121" s="5">
        <f>IF($B120&lt;=Tabla5[[#This Row],[INVERSIONES FCI]],+Tabla5[[#This Row],[INVERSIONES FCI]]-BD120,Tabla5[[#This Row],[INVERSIONES FCI]])</f>
        <v>6920872749.2013578</v>
      </c>
      <c r="BE121" s="5">
        <f>IF($B120&lt;=Tabla5[[#This Row],[INVERSIONES FCI]],+Tabla5[[#This Row],[INVERSIONES FCI]]-BE120,Tabla5[[#This Row],[INVERSIONES FCI]])</f>
        <v>6920872749.2013578</v>
      </c>
      <c r="BF121" s="5">
        <f>IF($B120&lt;=Tabla5[[#This Row],[INVERSIONES FCI]],+Tabla5[[#This Row],[INVERSIONES FCI]]-BF120,Tabla5[[#This Row],[INVERSIONES FCI]])</f>
        <v>6920872749.2013578</v>
      </c>
      <c r="BG121" s="5">
        <f>IF($B120&lt;=Tabla5[[#This Row],[INVERSIONES FCI]],+Tabla5[[#This Row],[INVERSIONES FCI]]-BG120,Tabla5[[#This Row],[INVERSIONES FCI]])</f>
        <v>6920872749.2013578</v>
      </c>
      <c r="BH121" s="5">
        <f>IF($B120&lt;=Tabla5[[#This Row],[INVERSIONES FCI]],+Tabla5[[#This Row],[INVERSIONES FCI]]-BH120,Tabla5[[#This Row],[INVERSIONES FCI]])</f>
        <v>6920872749.2013578</v>
      </c>
      <c r="BI121" s="5">
        <f>IF($B120&lt;=Tabla5[[#This Row],[INVERSIONES FCI]],+Tabla5[[#This Row],[INVERSIONES FCI]]-BI120,Tabla5[[#This Row],[INVERSIONES FCI]])</f>
        <v>6920872749.2013578</v>
      </c>
      <c r="BJ121" s="5">
        <f>IF($B120&lt;=Tabla5[[#This Row],[INVERSIONES FCI]],+Tabla5[[#This Row],[INVERSIONES FCI]]-BJ120,Tabla5[[#This Row],[INVERSIONES FCI]])</f>
        <v>6920872749.2013578</v>
      </c>
      <c r="BK121" s="5">
        <f>IF($B120&lt;=Tabla5[[#This Row],[INVERSIONES FCI]],+Tabla5[[#This Row],[INVERSIONES FCI]]-BK120,Tabla5[[#This Row],[INVERSIONES FCI]])</f>
        <v>6920872749.2013578</v>
      </c>
      <c r="BL121" s="5">
        <f>IF($B120&lt;=Tabla5[[#This Row],[INVERSIONES FCI]],+Tabla5[[#This Row],[INVERSIONES FCI]]-BL120,Tabla5[[#This Row],[INVERSIONES FCI]])</f>
        <v>6920872749.2013578</v>
      </c>
      <c r="BM121" s="5">
        <f>IF($B120&lt;=Tabla5[[#This Row],[INVERSIONES FCI]],+Tabla5[[#This Row],[INVERSIONES FCI]]-BM120,Tabla5[[#This Row],[INVERSIONES FCI]])</f>
        <v>6920872749.2013578</v>
      </c>
      <c r="BN121" s="5">
        <f>IF($B120&lt;=Tabla5[[#This Row],[INVERSIONES FCI]],+Tabla5[[#This Row],[INVERSIONES FCI]]-BN120,Tabla5[[#This Row],[INVERSIONES FCI]])</f>
        <v>6920872749.2013578</v>
      </c>
      <c r="BO121" s="5">
        <f>IF($B120&lt;=Tabla5[[#This Row],[INVERSIONES FCI]],+Tabla5[[#This Row],[INVERSIONES FCI]]-BO120,Tabla5[[#This Row],[INVERSIONES FCI]])</f>
        <v>6920872749.2013578</v>
      </c>
      <c r="BP121" s="5">
        <f>IF($B120&lt;=Tabla5[[#This Row],[INVERSIONES FCI]],+Tabla5[[#This Row],[INVERSIONES FCI]]-BP120,Tabla5[[#This Row],[INVERSIONES FCI]])</f>
        <v>6920872749.2013578</v>
      </c>
      <c r="BQ121" s="5">
        <f>IF($B120&lt;=Tabla5[[#This Row],[INVERSIONES FCI]],+Tabla5[[#This Row],[INVERSIONES FCI]]-BQ120,Tabla5[[#This Row],[INVERSIONES FCI]])</f>
        <v>6920872749.2013578</v>
      </c>
      <c r="BR121" s="5">
        <f>IF($B120&lt;=Tabla5[[#This Row],[INVERSIONES FCI]],+Tabla5[[#This Row],[INVERSIONES FCI]]-BR120,Tabla5[[#This Row],[INVERSIONES FCI]])</f>
        <v>6920872749.2013578</v>
      </c>
      <c r="BS121" s="5">
        <f>IF($B120&lt;=Tabla5[[#This Row],[INVERSIONES FCI]],+Tabla5[[#This Row],[INVERSIONES FCI]]-BS120,Tabla5[[#This Row],[INVERSIONES FCI]])</f>
        <v>6920872749.2013578</v>
      </c>
      <c r="BT121" s="5">
        <f>IF($B120&lt;=Tabla5[[#This Row],[INVERSIONES FCI]],+Tabla5[[#This Row],[INVERSIONES FCI]]-BT120,Tabla5[[#This Row],[INVERSIONES FCI]])</f>
        <v>6920872749.2013578</v>
      </c>
      <c r="BU121" s="5">
        <f>IF($B120&lt;=Tabla5[[#This Row],[INVERSIONES FCI]],+Tabla5[[#This Row],[INVERSIONES FCI]]-BU120,Tabla5[[#This Row],[INVERSIONES FCI]])</f>
        <v>6920872749.2013578</v>
      </c>
      <c r="BV121" s="5">
        <f>IF($B120&lt;=Tabla5[[#This Row],[INVERSIONES FCI]],+Tabla5[[#This Row],[INVERSIONES FCI]]-BV120,Tabla5[[#This Row],[INVERSIONES FCI]])</f>
        <v>6920872749.2013578</v>
      </c>
      <c r="BW121" s="5">
        <f>IF($B120&lt;=Tabla5[[#This Row],[INVERSIONES FCI]],+Tabla5[[#This Row],[INVERSIONES FCI]]-BW120,Tabla5[[#This Row],[INVERSIONES FCI]])</f>
        <v>6920872749.2013578</v>
      </c>
      <c r="BX121" s="5">
        <f>IF($B120&lt;=Tabla5[[#This Row],[INVERSIONES FCI]],+Tabla5[[#This Row],[INVERSIONES FCI]]-BX120,Tabla5[[#This Row],[INVERSIONES FCI]])</f>
        <v>6920872749.2013578</v>
      </c>
      <c r="BY121" s="5">
        <f>IF($B120&lt;=Tabla5[[#This Row],[INVERSIONES FCI]],+Tabla5[[#This Row],[INVERSIONES FCI]]-BY120,Tabla5[[#This Row],[INVERSIONES FCI]])</f>
        <v>6920872749.2013578</v>
      </c>
      <c r="BZ121" s="5">
        <f>IF($B120&lt;=Tabla5[[#This Row],[INVERSIONES FCI]],+Tabla5[[#This Row],[INVERSIONES FCI]]-BZ120,Tabla5[[#This Row],[INVERSIONES FCI]])</f>
        <v>6920872749.2013578</v>
      </c>
      <c r="CA121" s="5">
        <f>IF($B120&lt;=Tabla5[[#This Row],[INVERSIONES FCI]],+Tabla5[[#This Row],[INVERSIONES FCI]]-CA120,Tabla5[[#This Row],[INVERSIONES FCI]])</f>
        <v>6920872749.2013578</v>
      </c>
      <c r="CB121" s="5">
        <f>IF($B120&lt;=Tabla5[[#This Row],[INVERSIONES FCI]],+Tabla5[[#This Row],[INVERSIONES FCI]]-CB120,Tabla5[[#This Row],[INVERSIONES FCI]])</f>
        <v>6920872749.2013578</v>
      </c>
      <c r="CC121" s="5">
        <f>IF($B120&lt;=Tabla5[[#This Row],[INVERSIONES FCI]],+Tabla5[[#This Row],[INVERSIONES FCI]]-CC120,Tabla5[[#This Row],[INVERSIONES FCI]])</f>
        <v>6920872749.2013578</v>
      </c>
      <c r="CD121" s="5">
        <f>IF($B120&lt;=Tabla5[[#This Row],[INVERSIONES FCI]],+Tabla5[[#This Row],[INVERSIONES FCI]]-CD120,Tabla5[[#This Row],[INVERSIONES FCI]])</f>
        <v>6920872749.2013578</v>
      </c>
      <c r="CE121" s="5">
        <f>IF($B120&lt;=Tabla5[[#This Row],[INVERSIONES FCI]],+Tabla5[[#This Row],[INVERSIONES FCI]]-CE120,Tabla5[[#This Row],[INVERSIONES FCI]])</f>
        <v>6920872749.2013578</v>
      </c>
      <c r="CF121" s="5">
        <f>IF($B120&lt;=Tabla5[[#This Row],[INVERSIONES FCI]],+Tabla5[[#This Row],[INVERSIONES FCI]]-CF120,Tabla5[[#This Row],[INVERSIONES FCI]])</f>
        <v>6920872749.2013578</v>
      </c>
      <c r="CG121" s="5">
        <f>IF($B120&lt;=Tabla5[[#This Row],[INVERSIONES FCI]],+Tabla5[[#This Row],[INVERSIONES FCI]]-CG120,Tabla5[[#This Row],[INVERSIONES FCI]])</f>
        <v>6920872749.2013578</v>
      </c>
      <c r="CH121" s="5">
        <f>IF($B120&lt;=Tabla5[[#This Row],[INVERSIONES FCI]],+Tabla5[[#This Row],[INVERSIONES FCI]]-CH120,Tabla5[[#This Row],[INVERSIONES FCI]])</f>
        <v>6920872749.2013578</v>
      </c>
      <c r="CI121" s="5">
        <f>IF($B120&lt;=Tabla5[[#This Row],[INVERSIONES FCI]],+Tabla5[[#This Row],[INVERSIONES FCI]]-CI120,Tabla5[[#This Row],[INVERSIONES FCI]])</f>
        <v>6920872749.2013578</v>
      </c>
      <c r="CJ121" s="5">
        <f>IF($B120&lt;=Tabla5[[#This Row],[INVERSIONES FCI]],+Tabla5[[#This Row],[INVERSIONES FCI]]-CJ120,Tabla5[[#This Row],[INVERSIONES FCI]])</f>
        <v>6920872749.2013578</v>
      </c>
      <c r="CK121" s="5">
        <f>IF($B120&lt;=Tabla5[[#This Row],[INVERSIONES FCI]],+Tabla5[[#This Row],[INVERSIONES FCI]]-CK120,Tabla5[[#This Row],[INVERSIONES FCI]])</f>
        <v>6920872749.2013578</v>
      </c>
      <c r="CL121" s="5">
        <f>IF($B120&lt;=Tabla5[[#This Row],[INVERSIONES FCI]],+Tabla5[[#This Row],[INVERSIONES FCI]]-CL120,Tabla5[[#This Row],[INVERSIONES FCI]])</f>
        <v>6920872749.2013578</v>
      </c>
      <c r="CM121" s="5">
        <f>IF($B120&lt;=Tabla5[[#This Row],[INVERSIONES FCI]],+Tabla5[[#This Row],[INVERSIONES FCI]]-CM120,Tabla5[[#This Row],[INVERSIONES FCI]])</f>
        <v>6920872749.2013578</v>
      </c>
      <c r="CN121" s="5">
        <f>IF($B120&lt;=Tabla5[[#This Row],[INVERSIONES FCI]],+Tabla5[[#This Row],[INVERSIONES FCI]]-CN120,Tabla5[[#This Row],[INVERSIONES FCI]])</f>
        <v>6920872749.2013578</v>
      </c>
      <c r="CO121" s="5">
        <f>IF($B120&lt;=Tabla5[[#This Row],[INVERSIONES FCI]],+Tabla5[[#This Row],[INVERSIONES FCI]]-CO120,Tabla5[[#This Row],[INVERSIONES FCI]])</f>
        <v>6920872749.2013578</v>
      </c>
      <c r="CP121" s="5">
        <f>IF($B120&lt;=Tabla5[[#This Row],[INVERSIONES FCI]],+Tabla5[[#This Row],[INVERSIONES FCI]]-CP120,Tabla5[[#This Row],[INVERSIONES FCI]])</f>
        <v>6920872749.2013578</v>
      </c>
      <c r="CQ121" s="5">
        <f>IF($B120&lt;=Tabla5[[#This Row],[INVERSIONES FCI]],+Tabla5[[#This Row],[INVERSIONES FCI]]-CQ120,Tabla5[[#This Row],[INVERSIONES FCI]])</f>
        <v>6920872749.2013578</v>
      </c>
      <c r="CR121" s="5">
        <f>IF($B120&lt;=Tabla5[[#This Row],[INVERSIONES FCI]],+Tabla5[[#This Row],[INVERSIONES FCI]]-CR120,Tabla5[[#This Row],[INVERSIONES FCI]])</f>
        <v>6920872749.2013578</v>
      </c>
      <c r="CS121" s="5">
        <f>IF($B120&lt;=Tabla5[[#This Row],[INVERSIONES FCI]],+Tabla5[[#This Row],[INVERSIONES FCI]]-CS120,Tabla5[[#This Row],[INVERSIONES FCI]])</f>
        <v>6920872749.2013578</v>
      </c>
      <c r="CT121" s="5">
        <f>IF($B120&lt;=Tabla5[[#This Row],[INVERSIONES FCI]],+Tabla5[[#This Row],[INVERSIONES FCI]]-CT120,Tabla5[[#This Row],[INVERSIONES FCI]])</f>
        <v>6920872749.2013578</v>
      </c>
      <c r="CU121" s="5">
        <f>IF($B120&lt;=Tabla5[[#This Row],[INVERSIONES FCI]],+Tabla5[[#This Row],[INVERSIONES FCI]]-CU120,Tabla5[[#This Row],[INVERSIONES FCI]])</f>
        <v>6920872749.2013578</v>
      </c>
      <c r="CV121" s="5">
        <f>IF($B120&lt;=Tabla5[[#This Row],[INVERSIONES FCI]],+Tabla5[[#This Row],[INVERSIONES FCI]]-CV120,Tabla5[[#This Row],[INVERSIONES FCI]])</f>
        <v>6920872749.2013578</v>
      </c>
      <c r="CW121" s="5">
        <f>IF($B120&lt;=Tabla5[[#This Row],[INVERSIONES FCI]],+Tabla5[[#This Row],[INVERSIONES FCI]]-CW120,Tabla5[[#This Row],[INVERSIONES FCI]])</f>
        <v>6920872749.2013578</v>
      </c>
      <c r="CX121" s="5">
        <f>IF($B120&lt;=Tabla5[[#This Row],[INVERSIONES FCI]],+Tabla5[[#This Row],[INVERSIONES FCI]]-CX120,Tabla5[[#This Row],[INVERSIONES FCI]])</f>
        <v>6920872749.2013578</v>
      </c>
      <c r="CY121" s="5">
        <f>IF($B120&lt;=Tabla5[[#This Row],[INVERSIONES FCI]],+Tabla5[[#This Row],[INVERSIONES FCI]]-CY120,Tabla5[[#This Row],[INVERSIONES FCI]])</f>
        <v>6920872749.2013578</v>
      </c>
      <c r="CZ121" s="5">
        <f>IF($B120&lt;=Tabla5[[#This Row],[INVERSIONES FCI]],+Tabla5[[#This Row],[INVERSIONES FCI]]-CZ120,Tabla5[[#This Row],[INVERSIONES FCI]])</f>
        <v>6920872749.2013578</v>
      </c>
      <c r="DA121" s="5">
        <f>IF($B120&lt;=Tabla5[[#This Row],[INVERSIONES FCI]],+Tabla5[[#This Row],[INVERSIONES FCI]]-DA120,Tabla5[[#This Row],[INVERSIONES FCI]])</f>
        <v>6920872749.2013578</v>
      </c>
      <c r="DB121" s="5">
        <f>IF($B120&lt;=Tabla5[[#This Row],[INVERSIONES FCI]],+Tabla5[[#This Row],[INVERSIONES FCI]]-DB120,Tabla5[[#This Row],[INVERSIONES FCI]])</f>
        <v>6920872749.2013578</v>
      </c>
      <c r="DC121" s="5">
        <f>IF($B120&lt;=Tabla5[[#This Row],[INVERSIONES FCI]],+Tabla5[[#This Row],[INVERSIONES FCI]]-DC120,Tabla5[[#This Row],[INVERSIONES FCI]])</f>
        <v>6920872749.2013578</v>
      </c>
      <c r="DD121" s="5">
        <f>IF($B120&lt;=Tabla5[[#This Row],[INVERSIONES FCI]],+Tabla5[[#This Row],[INVERSIONES FCI]]-DD120,Tabla5[[#This Row],[INVERSIONES FCI]])</f>
        <v>6920872749.2013578</v>
      </c>
      <c r="DE121" s="5">
        <f>IF($B120&lt;=Tabla5[[#This Row],[INVERSIONES FCI]],+Tabla5[[#This Row],[INVERSIONES FCI]]-DE120,Tabla5[[#This Row],[INVERSIONES FCI]])</f>
        <v>6920872749.2013578</v>
      </c>
      <c r="DF121" s="5">
        <f>IF($B120&lt;=Tabla5[[#This Row],[INVERSIONES FCI]],+Tabla5[[#This Row],[INVERSIONES FCI]]-DF120,Tabla5[[#This Row],[INVERSIONES FCI]])</f>
        <v>6920872749.2013578</v>
      </c>
      <c r="DG121" s="5">
        <f>IF($B120&lt;=Tabla5[[#This Row],[INVERSIONES FCI]],+Tabla5[[#This Row],[INVERSIONES FCI]]-DG120,Tabla5[[#This Row],[INVERSIONES FCI]])</f>
        <v>6920872749.2013578</v>
      </c>
      <c r="DH121" s="5">
        <f>IF($B120&lt;=Tabla5[[#This Row],[INVERSIONES FCI]],+Tabla5[[#This Row],[INVERSIONES FCI]]-DH120,Tabla5[[#This Row],[INVERSIONES FCI]])</f>
        <v>6920872749.2013578</v>
      </c>
      <c r="DI121" s="5">
        <f>IF($B120&lt;=Tabla5[[#This Row],[INVERSIONES FCI]],+Tabla5[[#This Row],[INVERSIONES FCI]]-DI120,Tabla5[[#This Row],[INVERSIONES FCI]])</f>
        <v>6920872749.2013578</v>
      </c>
      <c r="DJ121" s="5">
        <f>IF($B120&lt;=Tabla5[[#This Row],[INVERSIONES FCI]],+Tabla5[[#This Row],[INVERSIONES FCI]]-DJ120,Tabla5[[#This Row],[INVERSIONES FCI]])</f>
        <v>6920872749.2013578</v>
      </c>
      <c r="DK121" s="5">
        <f>IF($B120&lt;=Tabla5[[#This Row],[INVERSIONES FCI]],+Tabla5[[#This Row],[INVERSIONES FCI]]-DK120,Tabla5[[#This Row],[INVERSIONES FCI]])</f>
        <v>6920872749.2013578</v>
      </c>
      <c r="DL121" s="5"/>
      <c r="DM121" s="5"/>
      <c r="DN121" s="5"/>
      <c r="DO121" s="5"/>
      <c r="DP121" s="5"/>
      <c r="DQ121" s="5"/>
    </row>
    <row r="122" spans="1:121" ht="14.4">
      <c r="A122" s="12" t="s">
        <v>121</v>
      </c>
      <c r="B122" s="5">
        <f>HLOOKUP($A122,ESCENARIO[#All],7,FALSE)</f>
        <v>9918380042.366188</v>
      </c>
      <c r="C122" s="5">
        <f>IF($B121&lt;=Tabla5[[#This Row],[INVERSIONES FCI]],+Tabla5[[#This Row],[INVERSIONES FCI]]-C121,Tabla5[[#This Row],[INVERSIONES FCI]])</f>
        <v>2997507293.1648302</v>
      </c>
      <c r="D122" s="5">
        <f>IF($B121&lt;=Tabla5[[#This Row],[INVERSIONES FCI]],+Tabla5[[#This Row],[INVERSIONES FCI]]-D121,Tabla5[[#This Row],[INVERSIONES FCI]])</f>
        <v>2997507293.1648302</v>
      </c>
      <c r="E122" s="5">
        <f>IF($B121&lt;=Tabla5[[#This Row],[INVERSIONES FCI]],+Tabla5[[#This Row],[INVERSIONES FCI]]-E121,Tabla5[[#This Row],[INVERSIONES FCI]])</f>
        <v>2997507293.1648302</v>
      </c>
      <c r="F122" s="5">
        <f>IF($B121&lt;=Tabla5[[#This Row],[INVERSIONES FCI]],+Tabla5[[#This Row],[INVERSIONES FCI]]-F121,Tabla5[[#This Row],[INVERSIONES FCI]])</f>
        <v>2997507293.1648302</v>
      </c>
      <c r="G122" s="5">
        <f>IF($B121&lt;=Tabla5[[#This Row],[INVERSIONES FCI]],+Tabla5[[#This Row],[INVERSIONES FCI]]-G121,Tabla5[[#This Row],[INVERSIONES FCI]])</f>
        <v>2997507293.1648302</v>
      </c>
      <c r="H122" s="5">
        <f>IF($B121&lt;=Tabla5[[#This Row],[INVERSIONES FCI]],+Tabla5[[#This Row],[INVERSIONES FCI]]-H121,Tabla5[[#This Row],[INVERSIONES FCI]])</f>
        <v>2997507293.1648302</v>
      </c>
      <c r="I122" s="5">
        <f>IF($B121&lt;=Tabla5[[#This Row],[INVERSIONES FCI]],+Tabla5[[#This Row],[INVERSIONES FCI]]-I121,Tabla5[[#This Row],[INVERSIONES FCI]])</f>
        <v>2997507293.1648302</v>
      </c>
      <c r="J122" s="5">
        <f>IF($B121&lt;=Tabla5[[#This Row],[INVERSIONES FCI]],+Tabla5[[#This Row],[INVERSIONES FCI]]-J121,Tabla5[[#This Row],[INVERSIONES FCI]])</f>
        <v>2997507293.1648302</v>
      </c>
      <c r="K122" s="5">
        <f>IF($B121&lt;=Tabla5[[#This Row],[INVERSIONES FCI]],+Tabla5[[#This Row],[INVERSIONES FCI]]-K121,Tabla5[[#This Row],[INVERSIONES FCI]])</f>
        <v>2997507293.1648302</v>
      </c>
      <c r="L122" s="5">
        <f>IF($B121&lt;=Tabla5[[#This Row],[INVERSIONES FCI]],+Tabla5[[#This Row],[INVERSIONES FCI]]-L121,Tabla5[[#This Row],[INVERSIONES FCI]])</f>
        <v>2997507293.1648302</v>
      </c>
      <c r="M122" s="5">
        <f>IF($B121&lt;=Tabla5[[#This Row],[INVERSIONES FCI]],+Tabla5[[#This Row],[INVERSIONES FCI]]-M121,Tabla5[[#This Row],[INVERSIONES FCI]])</f>
        <v>2997507293.1648302</v>
      </c>
      <c r="N122" s="5">
        <f>IF($B121&lt;=Tabla5[[#This Row],[INVERSIONES FCI]],+Tabla5[[#This Row],[INVERSIONES FCI]]-N121,Tabla5[[#This Row],[INVERSIONES FCI]])</f>
        <v>2997507293.1648302</v>
      </c>
      <c r="O122" s="5">
        <f>IF($B121&lt;=Tabla5[[#This Row],[INVERSIONES FCI]],+Tabla5[[#This Row],[INVERSIONES FCI]]-O121,Tabla5[[#This Row],[INVERSIONES FCI]])</f>
        <v>2997507293.1648302</v>
      </c>
      <c r="P122" s="5">
        <f>IF($B121&lt;=Tabla5[[#This Row],[INVERSIONES FCI]],+Tabla5[[#This Row],[INVERSIONES FCI]]-P121,Tabla5[[#This Row],[INVERSIONES FCI]])</f>
        <v>2997507293.1648302</v>
      </c>
      <c r="Q122" s="5">
        <f>IF($B121&lt;=Tabla5[[#This Row],[INVERSIONES FCI]],+Tabla5[[#This Row],[INVERSIONES FCI]]-Q121,Tabla5[[#This Row],[INVERSIONES FCI]])</f>
        <v>2997507293.1648302</v>
      </c>
      <c r="R122" s="5">
        <f>IF($B121&lt;=Tabla5[[#This Row],[INVERSIONES FCI]],+Tabla5[[#This Row],[INVERSIONES FCI]]-R121,Tabla5[[#This Row],[INVERSIONES FCI]])</f>
        <v>2997507293.1648302</v>
      </c>
      <c r="S122" s="5">
        <f>IF($B121&lt;=Tabla5[[#This Row],[INVERSIONES FCI]],+Tabla5[[#This Row],[INVERSIONES FCI]]-S121,Tabla5[[#This Row],[INVERSIONES FCI]])</f>
        <v>2997507293.1648302</v>
      </c>
      <c r="T122" s="5">
        <f>IF($B121&lt;=Tabla5[[#This Row],[INVERSIONES FCI]],+Tabla5[[#This Row],[INVERSIONES FCI]]-T121,Tabla5[[#This Row],[INVERSIONES FCI]])</f>
        <v>2997507293.1648302</v>
      </c>
      <c r="U122" s="5">
        <f>IF($B121&lt;=Tabla5[[#This Row],[INVERSIONES FCI]],+Tabla5[[#This Row],[INVERSIONES FCI]]-U121,Tabla5[[#This Row],[INVERSIONES FCI]])</f>
        <v>2997507293.1648302</v>
      </c>
      <c r="V122" s="5">
        <f>IF($B121&lt;=Tabla5[[#This Row],[INVERSIONES FCI]],+Tabla5[[#This Row],[INVERSIONES FCI]]-V121,Tabla5[[#This Row],[INVERSIONES FCI]])</f>
        <v>2997507293.1648302</v>
      </c>
      <c r="W122" s="5">
        <f>IF($B121&lt;=Tabla5[[#This Row],[INVERSIONES FCI]],+Tabla5[[#This Row],[INVERSIONES FCI]]-W121,Tabla5[[#This Row],[INVERSIONES FCI]])</f>
        <v>2997507293.1648302</v>
      </c>
      <c r="X122" s="5">
        <f>IF($B121&lt;=Tabla5[[#This Row],[INVERSIONES FCI]],+Tabla5[[#This Row],[INVERSIONES FCI]]-X121,Tabla5[[#This Row],[INVERSIONES FCI]])</f>
        <v>2997507293.1648302</v>
      </c>
      <c r="Y122" s="5">
        <f>IF($B121&lt;=Tabla5[[#This Row],[INVERSIONES FCI]],+Tabla5[[#This Row],[INVERSIONES FCI]]-Y121,Tabla5[[#This Row],[INVERSIONES FCI]])</f>
        <v>2997507293.1648302</v>
      </c>
      <c r="Z122" s="5">
        <f>IF($B121&lt;=Tabla5[[#This Row],[INVERSIONES FCI]],+Tabla5[[#This Row],[INVERSIONES FCI]]-Z121,Tabla5[[#This Row],[INVERSIONES FCI]])</f>
        <v>2997507293.1648302</v>
      </c>
      <c r="AA122" s="5">
        <f>IF($B121&lt;=Tabla5[[#This Row],[INVERSIONES FCI]],+Tabla5[[#This Row],[INVERSIONES FCI]]-AA121,Tabla5[[#This Row],[INVERSIONES FCI]])</f>
        <v>2997507293.1648302</v>
      </c>
      <c r="AB122" s="5">
        <f>IF($B121&lt;=Tabla5[[#This Row],[INVERSIONES FCI]],+Tabla5[[#This Row],[INVERSIONES FCI]]-AB121,Tabla5[[#This Row],[INVERSIONES FCI]])</f>
        <v>2997507293.1648302</v>
      </c>
      <c r="AC122" s="5">
        <f>IF($B121&lt;=Tabla5[[#This Row],[INVERSIONES FCI]],+Tabla5[[#This Row],[INVERSIONES FCI]]-AC121,Tabla5[[#This Row],[INVERSIONES FCI]])</f>
        <v>2997507293.1648302</v>
      </c>
      <c r="AD122" s="5">
        <f>IF($B121&lt;=Tabla5[[#This Row],[INVERSIONES FCI]],+Tabla5[[#This Row],[INVERSIONES FCI]]-AD121,Tabla5[[#This Row],[INVERSIONES FCI]])</f>
        <v>2997507293.1648302</v>
      </c>
      <c r="AE122" s="5">
        <f>IF($B121&lt;=Tabla5[[#This Row],[INVERSIONES FCI]],+Tabla5[[#This Row],[INVERSIONES FCI]]-AE121,Tabla5[[#This Row],[INVERSIONES FCI]])</f>
        <v>2997507293.1648302</v>
      </c>
      <c r="AF122" s="5">
        <f>IF($B121&lt;=Tabla5[[#This Row],[INVERSIONES FCI]],+Tabla5[[#This Row],[INVERSIONES FCI]]-AF121,Tabla5[[#This Row],[INVERSIONES FCI]])</f>
        <v>2997507293.1648302</v>
      </c>
      <c r="AG122" s="5">
        <f>IF($B121&lt;=Tabla5[[#This Row],[INVERSIONES FCI]],+Tabla5[[#This Row],[INVERSIONES FCI]]-AG121,Tabla5[[#This Row],[INVERSIONES FCI]])</f>
        <v>2997507293.1648302</v>
      </c>
      <c r="AH122" s="5">
        <f>IF($B121&lt;=Tabla5[[#This Row],[INVERSIONES FCI]],+Tabla5[[#This Row],[INVERSIONES FCI]]-AH121,Tabla5[[#This Row],[INVERSIONES FCI]])</f>
        <v>2997507293.1648302</v>
      </c>
      <c r="AI122" s="5">
        <f>IF($B121&lt;=Tabla5[[#This Row],[INVERSIONES FCI]],+Tabla5[[#This Row],[INVERSIONES FCI]]-AI121,Tabla5[[#This Row],[INVERSIONES FCI]])</f>
        <v>2997507293.1648302</v>
      </c>
      <c r="AJ122" s="5">
        <f>IF($B121&lt;=Tabla5[[#This Row],[INVERSIONES FCI]],+Tabla5[[#This Row],[INVERSIONES FCI]]-AJ121,Tabla5[[#This Row],[INVERSIONES FCI]])</f>
        <v>2997507293.1648302</v>
      </c>
      <c r="AK122" s="5">
        <f>IF($B121&lt;=Tabla5[[#This Row],[INVERSIONES FCI]],+Tabla5[[#This Row],[INVERSIONES FCI]]-AK121,Tabla5[[#This Row],[INVERSIONES FCI]])</f>
        <v>2997507293.1648302</v>
      </c>
      <c r="AL122" s="5">
        <f>IF($B121&lt;=Tabla5[[#This Row],[INVERSIONES FCI]],+Tabla5[[#This Row],[INVERSIONES FCI]]-AL121,Tabla5[[#This Row],[INVERSIONES FCI]])</f>
        <v>2997507293.1648302</v>
      </c>
      <c r="AM122" s="5">
        <f>IF($B121&lt;=Tabla5[[#This Row],[INVERSIONES FCI]],+Tabla5[[#This Row],[INVERSIONES FCI]]-AM121,Tabla5[[#This Row],[INVERSIONES FCI]])</f>
        <v>2997507293.1648302</v>
      </c>
      <c r="AN122" s="5">
        <f>IF($B121&lt;=Tabla5[[#This Row],[INVERSIONES FCI]],+Tabla5[[#This Row],[INVERSIONES FCI]]-AN121,Tabla5[[#This Row],[INVERSIONES FCI]])</f>
        <v>2997507293.1648302</v>
      </c>
      <c r="AO122" s="5">
        <f>IF($B121&lt;=Tabla5[[#This Row],[INVERSIONES FCI]],+Tabla5[[#This Row],[INVERSIONES FCI]]-AO121,Tabla5[[#This Row],[INVERSIONES FCI]])</f>
        <v>2997507293.1648302</v>
      </c>
      <c r="AP122" s="5">
        <f>IF($B121&lt;=Tabla5[[#This Row],[INVERSIONES FCI]],+Tabla5[[#This Row],[INVERSIONES FCI]]-AP121,Tabla5[[#This Row],[INVERSIONES FCI]])</f>
        <v>2997507293.1648302</v>
      </c>
      <c r="AQ122" s="5">
        <f>IF($B121&lt;=Tabla5[[#This Row],[INVERSIONES FCI]],+Tabla5[[#This Row],[INVERSIONES FCI]]-AQ121,Tabla5[[#This Row],[INVERSIONES FCI]])</f>
        <v>2997507293.1648302</v>
      </c>
      <c r="AR122" s="5">
        <f>IF($B121&lt;=Tabla5[[#This Row],[INVERSIONES FCI]],+Tabla5[[#This Row],[INVERSIONES FCI]]-AR121,Tabla5[[#This Row],[INVERSIONES FCI]])</f>
        <v>2997507293.1648302</v>
      </c>
      <c r="AS122" s="5">
        <f>IF($B121&lt;=Tabla5[[#This Row],[INVERSIONES FCI]],+Tabla5[[#This Row],[INVERSIONES FCI]]-AS121,Tabla5[[#This Row],[INVERSIONES FCI]])</f>
        <v>2997507293.1648302</v>
      </c>
      <c r="AT122" s="5">
        <f>IF($B121&lt;=Tabla5[[#This Row],[INVERSIONES FCI]],+Tabla5[[#This Row],[INVERSIONES FCI]]-AT121,Tabla5[[#This Row],[INVERSIONES FCI]])</f>
        <v>2997507293.1648302</v>
      </c>
      <c r="AU122" s="5">
        <f>IF($B121&lt;=Tabla5[[#This Row],[INVERSIONES FCI]],+Tabla5[[#This Row],[INVERSIONES FCI]]-AU121,Tabla5[[#This Row],[INVERSIONES FCI]])</f>
        <v>2997507293.1648302</v>
      </c>
      <c r="AV122" s="5">
        <f>IF($B121&lt;=Tabla5[[#This Row],[INVERSIONES FCI]],+Tabla5[[#This Row],[INVERSIONES FCI]]-AV121,Tabla5[[#This Row],[INVERSIONES FCI]])</f>
        <v>2997507293.1648302</v>
      </c>
      <c r="AW122" s="5">
        <f>IF($B121&lt;=Tabla5[[#This Row],[INVERSIONES FCI]],+Tabla5[[#This Row],[INVERSIONES FCI]]-AW121,Tabla5[[#This Row],[INVERSIONES FCI]])</f>
        <v>2997507293.1648302</v>
      </c>
      <c r="AX122" s="5">
        <f>IF($B121&lt;=Tabla5[[#This Row],[INVERSIONES FCI]],+Tabla5[[#This Row],[INVERSIONES FCI]]-AX121,Tabla5[[#This Row],[INVERSIONES FCI]])</f>
        <v>2997507293.1648302</v>
      </c>
      <c r="AY122" s="5">
        <f>IF($B121&lt;=Tabla5[[#This Row],[INVERSIONES FCI]],+Tabla5[[#This Row],[INVERSIONES FCI]]-AY121,Tabla5[[#This Row],[INVERSIONES FCI]])</f>
        <v>2997507293.1648302</v>
      </c>
      <c r="AZ122" s="5">
        <f>IF($B121&lt;=Tabla5[[#This Row],[INVERSIONES FCI]],+Tabla5[[#This Row],[INVERSIONES FCI]]-AZ121,Tabla5[[#This Row],[INVERSIONES FCI]])</f>
        <v>2997507293.1648302</v>
      </c>
      <c r="BA122" s="5">
        <f>IF($B121&lt;=Tabla5[[#This Row],[INVERSIONES FCI]],+Tabla5[[#This Row],[INVERSIONES FCI]]-BA121,Tabla5[[#This Row],[INVERSIONES FCI]])</f>
        <v>2997507293.1648302</v>
      </c>
      <c r="BB122" s="5">
        <f>IF($B121&lt;=Tabla5[[#This Row],[INVERSIONES FCI]],+Tabla5[[#This Row],[INVERSIONES FCI]]-BB121,Tabla5[[#This Row],[INVERSIONES FCI]])</f>
        <v>2997507293.1648302</v>
      </c>
      <c r="BC122" s="5">
        <f>IF($B121&lt;=Tabla5[[#This Row],[INVERSIONES FCI]],+Tabla5[[#This Row],[INVERSIONES FCI]]-BC121,Tabla5[[#This Row],[INVERSIONES FCI]])</f>
        <v>2997507293.1648302</v>
      </c>
      <c r="BD122" s="5">
        <f>IF($B121&lt;=Tabla5[[#This Row],[INVERSIONES FCI]],+Tabla5[[#This Row],[INVERSIONES FCI]]-BD121,Tabla5[[#This Row],[INVERSIONES FCI]])</f>
        <v>2997507293.1648302</v>
      </c>
      <c r="BE122" s="5">
        <f>IF($B121&lt;=Tabla5[[#This Row],[INVERSIONES FCI]],+Tabla5[[#This Row],[INVERSIONES FCI]]-BE121,Tabla5[[#This Row],[INVERSIONES FCI]])</f>
        <v>2997507293.1648302</v>
      </c>
      <c r="BF122" s="5">
        <f>IF($B121&lt;=Tabla5[[#This Row],[INVERSIONES FCI]],+Tabla5[[#This Row],[INVERSIONES FCI]]-BF121,Tabla5[[#This Row],[INVERSIONES FCI]])</f>
        <v>2997507293.1648302</v>
      </c>
      <c r="BG122" s="5">
        <f>IF($B121&lt;=Tabla5[[#This Row],[INVERSIONES FCI]],+Tabla5[[#This Row],[INVERSIONES FCI]]-BG121,Tabla5[[#This Row],[INVERSIONES FCI]])</f>
        <v>2997507293.1648302</v>
      </c>
      <c r="BH122" s="5">
        <f>IF($B121&lt;=Tabla5[[#This Row],[INVERSIONES FCI]],+Tabla5[[#This Row],[INVERSIONES FCI]]-BH121,Tabla5[[#This Row],[INVERSIONES FCI]])</f>
        <v>2997507293.1648302</v>
      </c>
      <c r="BI122" s="5">
        <f>IF($B121&lt;=Tabla5[[#This Row],[INVERSIONES FCI]],+Tabla5[[#This Row],[INVERSIONES FCI]]-BI121,Tabla5[[#This Row],[INVERSIONES FCI]])</f>
        <v>2997507293.1648302</v>
      </c>
      <c r="BJ122" s="5">
        <f>IF($B121&lt;=Tabla5[[#This Row],[INVERSIONES FCI]],+Tabla5[[#This Row],[INVERSIONES FCI]]-BJ121,Tabla5[[#This Row],[INVERSIONES FCI]])</f>
        <v>2997507293.1648302</v>
      </c>
      <c r="BK122" s="5">
        <f>IF($B121&lt;=Tabla5[[#This Row],[INVERSIONES FCI]],+Tabla5[[#This Row],[INVERSIONES FCI]]-BK121,Tabla5[[#This Row],[INVERSIONES FCI]])</f>
        <v>2997507293.1648302</v>
      </c>
      <c r="BL122" s="5">
        <f>IF($B121&lt;=Tabla5[[#This Row],[INVERSIONES FCI]],+Tabla5[[#This Row],[INVERSIONES FCI]]-BL121,Tabla5[[#This Row],[INVERSIONES FCI]])</f>
        <v>2997507293.1648302</v>
      </c>
      <c r="BM122" s="5">
        <f>IF($B121&lt;=Tabla5[[#This Row],[INVERSIONES FCI]],+Tabla5[[#This Row],[INVERSIONES FCI]]-BM121,Tabla5[[#This Row],[INVERSIONES FCI]])</f>
        <v>2997507293.1648302</v>
      </c>
      <c r="BN122" s="5">
        <f>IF($B121&lt;=Tabla5[[#This Row],[INVERSIONES FCI]],+Tabla5[[#This Row],[INVERSIONES FCI]]-BN121,Tabla5[[#This Row],[INVERSIONES FCI]])</f>
        <v>2997507293.1648302</v>
      </c>
      <c r="BO122" s="5">
        <f>IF($B121&lt;=Tabla5[[#This Row],[INVERSIONES FCI]],+Tabla5[[#This Row],[INVERSIONES FCI]]-BO121,Tabla5[[#This Row],[INVERSIONES FCI]])</f>
        <v>2997507293.1648302</v>
      </c>
      <c r="BP122" s="5">
        <f>IF($B121&lt;=Tabla5[[#This Row],[INVERSIONES FCI]],+Tabla5[[#This Row],[INVERSIONES FCI]]-BP121,Tabla5[[#This Row],[INVERSIONES FCI]])</f>
        <v>2997507293.1648302</v>
      </c>
      <c r="BQ122" s="5">
        <f>IF($B121&lt;=Tabla5[[#This Row],[INVERSIONES FCI]],+Tabla5[[#This Row],[INVERSIONES FCI]]-BQ121,Tabla5[[#This Row],[INVERSIONES FCI]])</f>
        <v>2997507293.1648302</v>
      </c>
      <c r="BR122" s="5">
        <f>IF($B121&lt;=Tabla5[[#This Row],[INVERSIONES FCI]],+Tabla5[[#This Row],[INVERSIONES FCI]]-BR121,Tabla5[[#This Row],[INVERSIONES FCI]])</f>
        <v>2997507293.1648302</v>
      </c>
      <c r="BS122" s="5">
        <f>IF($B121&lt;=Tabla5[[#This Row],[INVERSIONES FCI]],+Tabla5[[#This Row],[INVERSIONES FCI]]-BS121,Tabla5[[#This Row],[INVERSIONES FCI]])</f>
        <v>2997507293.1648302</v>
      </c>
      <c r="BT122" s="5">
        <f>IF($B121&lt;=Tabla5[[#This Row],[INVERSIONES FCI]],+Tabla5[[#This Row],[INVERSIONES FCI]]-BT121,Tabla5[[#This Row],[INVERSIONES FCI]])</f>
        <v>2997507293.1648302</v>
      </c>
      <c r="BU122" s="5">
        <f>IF($B121&lt;=Tabla5[[#This Row],[INVERSIONES FCI]],+Tabla5[[#This Row],[INVERSIONES FCI]]-BU121,Tabla5[[#This Row],[INVERSIONES FCI]])</f>
        <v>2997507293.1648302</v>
      </c>
      <c r="BV122" s="5">
        <f>IF($B121&lt;=Tabla5[[#This Row],[INVERSIONES FCI]],+Tabla5[[#This Row],[INVERSIONES FCI]]-BV121,Tabla5[[#This Row],[INVERSIONES FCI]])</f>
        <v>2997507293.1648302</v>
      </c>
      <c r="BW122" s="5">
        <f>IF($B121&lt;=Tabla5[[#This Row],[INVERSIONES FCI]],+Tabla5[[#This Row],[INVERSIONES FCI]]-BW121,Tabla5[[#This Row],[INVERSIONES FCI]])</f>
        <v>2997507293.1648302</v>
      </c>
      <c r="BX122" s="5">
        <f>IF($B121&lt;=Tabla5[[#This Row],[INVERSIONES FCI]],+Tabla5[[#This Row],[INVERSIONES FCI]]-BX121,Tabla5[[#This Row],[INVERSIONES FCI]])</f>
        <v>2997507293.1648302</v>
      </c>
      <c r="BY122" s="5">
        <f>IF($B121&lt;=Tabla5[[#This Row],[INVERSIONES FCI]],+Tabla5[[#This Row],[INVERSIONES FCI]]-BY121,Tabla5[[#This Row],[INVERSIONES FCI]])</f>
        <v>2997507293.1648302</v>
      </c>
      <c r="BZ122" s="5">
        <f>IF($B121&lt;=Tabla5[[#This Row],[INVERSIONES FCI]],+Tabla5[[#This Row],[INVERSIONES FCI]]-BZ121,Tabla5[[#This Row],[INVERSIONES FCI]])</f>
        <v>2997507293.1648302</v>
      </c>
      <c r="CA122" s="5">
        <f>IF($B121&lt;=Tabla5[[#This Row],[INVERSIONES FCI]],+Tabla5[[#This Row],[INVERSIONES FCI]]-CA121,Tabla5[[#This Row],[INVERSIONES FCI]])</f>
        <v>2997507293.1648302</v>
      </c>
      <c r="CB122" s="5">
        <f>IF($B121&lt;=Tabla5[[#This Row],[INVERSIONES FCI]],+Tabla5[[#This Row],[INVERSIONES FCI]]-CB121,Tabla5[[#This Row],[INVERSIONES FCI]])</f>
        <v>2997507293.1648302</v>
      </c>
      <c r="CC122" s="5">
        <f>IF($B121&lt;=Tabla5[[#This Row],[INVERSIONES FCI]],+Tabla5[[#This Row],[INVERSIONES FCI]]-CC121,Tabla5[[#This Row],[INVERSIONES FCI]])</f>
        <v>2997507293.1648302</v>
      </c>
      <c r="CD122" s="5">
        <f>IF($B121&lt;=Tabla5[[#This Row],[INVERSIONES FCI]],+Tabla5[[#This Row],[INVERSIONES FCI]]-CD121,Tabla5[[#This Row],[INVERSIONES FCI]])</f>
        <v>2997507293.1648302</v>
      </c>
      <c r="CE122" s="5">
        <f>IF($B121&lt;=Tabla5[[#This Row],[INVERSIONES FCI]],+Tabla5[[#This Row],[INVERSIONES FCI]]-CE121,Tabla5[[#This Row],[INVERSIONES FCI]])</f>
        <v>2997507293.1648302</v>
      </c>
      <c r="CF122" s="5">
        <f>IF($B121&lt;=Tabla5[[#This Row],[INVERSIONES FCI]],+Tabla5[[#This Row],[INVERSIONES FCI]]-CF121,Tabla5[[#This Row],[INVERSIONES FCI]])</f>
        <v>2997507293.1648302</v>
      </c>
      <c r="CG122" s="5">
        <f>IF($B121&lt;=Tabla5[[#This Row],[INVERSIONES FCI]],+Tabla5[[#This Row],[INVERSIONES FCI]]-CG121,Tabla5[[#This Row],[INVERSIONES FCI]])</f>
        <v>2997507293.1648302</v>
      </c>
      <c r="CH122" s="5">
        <f>IF($B121&lt;=Tabla5[[#This Row],[INVERSIONES FCI]],+Tabla5[[#This Row],[INVERSIONES FCI]]-CH121,Tabla5[[#This Row],[INVERSIONES FCI]])</f>
        <v>2997507293.1648302</v>
      </c>
      <c r="CI122" s="5">
        <f>IF($B121&lt;=Tabla5[[#This Row],[INVERSIONES FCI]],+Tabla5[[#This Row],[INVERSIONES FCI]]-CI121,Tabla5[[#This Row],[INVERSIONES FCI]])</f>
        <v>2997507293.1648302</v>
      </c>
      <c r="CJ122" s="5">
        <f>IF($B121&lt;=Tabla5[[#This Row],[INVERSIONES FCI]],+Tabla5[[#This Row],[INVERSIONES FCI]]-CJ121,Tabla5[[#This Row],[INVERSIONES FCI]])</f>
        <v>2997507293.1648302</v>
      </c>
      <c r="CK122" s="5">
        <f>IF($B121&lt;=Tabla5[[#This Row],[INVERSIONES FCI]],+Tabla5[[#This Row],[INVERSIONES FCI]]-CK121,Tabla5[[#This Row],[INVERSIONES FCI]])</f>
        <v>2997507293.1648302</v>
      </c>
      <c r="CL122" s="5">
        <f>IF($B121&lt;=Tabla5[[#This Row],[INVERSIONES FCI]],+Tabla5[[#This Row],[INVERSIONES FCI]]-CL121,Tabla5[[#This Row],[INVERSIONES FCI]])</f>
        <v>2997507293.1648302</v>
      </c>
      <c r="CM122" s="5">
        <f>IF($B121&lt;=Tabla5[[#This Row],[INVERSIONES FCI]],+Tabla5[[#This Row],[INVERSIONES FCI]]-CM121,Tabla5[[#This Row],[INVERSIONES FCI]])</f>
        <v>2997507293.1648302</v>
      </c>
      <c r="CN122" s="5">
        <f>IF($B121&lt;=Tabla5[[#This Row],[INVERSIONES FCI]],+Tabla5[[#This Row],[INVERSIONES FCI]]-CN121,Tabla5[[#This Row],[INVERSIONES FCI]])</f>
        <v>2997507293.1648302</v>
      </c>
      <c r="CO122" s="5">
        <f>IF($B121&lt;=Tabla5[[#This Row],[INVERSIONES FCI]],+Tabla5[[#This Row],[INVERSIONES FCI]]-CO121,Tabla5[[#This Row],[INVERSIONES FCI]])</f>
        <v>2997507293.1648302</v>
      </c>
      <c r="CP122" s="5">
        <f>IF($B121&lt;=Tabla5[[#This Row],[INVERSIONES FCI]],+Tabla5[[#This Row],[INVERSIONES FCI]]-CP121,Tabla5[[#This Row],[INVERSIONES FCI]])</f>
        <v>2997507293.1648302</v>
      </c>
      <c r="CQ122" s="5">
        <f>IF($B121&lt;=Tabla5[[#This Row],[INVERSIONES FCI]],+Tabla5[[#This Row],[INVERSIONES FCI]]-CQ121,Tabla5[[#This Row],[INVERSIONES FCI]])</f>
        <v>2997507293.1648302</v>
      </c>
      <c r="CR122" s="5">
        <f>IF($B121&lt;=Tabla5[[#This Row],[INVERSIONES FCI]],+Tabla5[[#This Row],[INVERSIONES FCI]]-CR121,Tabla5[[#This Row],[INVERSIONES FCI]])</f>
        <v>2997507293.1648302</v>
      </c>
      <c r="CS122" s="5">
        <f>IF($B121&lt;=Tabla5[[#This Row],[INVERSIONES FCI]],+Tabla5[[#This Row],[INVERSIONES FCI]]-CS121,Tabla5[[#This Row],[INVERSIONES FCI]])</f>
        <v>2997507293.1648302</v>
      </c>
      <c r="CT122" s="5">
        <f>IF($B121&lt;=Tabla5[[#This Row],[INVERSIONES FCI]],+Tabla5[[#This Row],[INVERSIONES FCI]]-CT121,Tabla5[[#This Row],[INVERSIONES FCI]])</f>
        <v>2997507293.1648302</v>
      </c>
      <c r="CU122" s="5">
        <f>IF($B121&lt;=Tabla5[[#This Row],[INVERSIONES FCI]],+Tabla5[[#This Row],[INVERSIONES FCI]]-CU121,Tabla5[[#This Row],[INVERSIONES FCI]])</f>
        <v>2997507293.1648302</v>
      </c>
      <c r="CV122" s="5">
        <f>IF($B121&lt;=Tabla5[[#This Row],[INVERSIONES FCI]],+Tabla5[[#This Row],[INVERSIONES FCI]]-CV121,Tabla5[[#This Row],[INVERSIONES FCI]])</f>
        <v>2997507293.1648302</v>
      </c>
      <c r="CW122" s="5">
        <f>IF($B121&lt;=Tabla5[[#This Row],[INVERSIONES FCI]],+Tabla5[[#This Row],[INVERSIONES FCI]]-CW121,Tabla5[[#This Row],[INVERSIONES FCI]])</f>
        <v>2997507293.1648302</v>
      </c>
      <c r="CX122" s="5">
        <f>IF($B121&lt;=Tabla5[[#This Row],[INVERSIONES FCI]],+Tabla5[[#This Row],[INVERSIONES FCI]]-CX121,Tabla5[[#This Row],[INVERSIONES FCI]])</f>
        <v>2997507293.1648302</v>
      </c>
      <c r="CY122" s="5">
        <f>IF($B121&lt;=Tabla5[[#This Row],[INVERSIONES FCI]],+Tabla5[[#This Row],[INVERSIONES FCI]]-CY121,Tabla5[[#This Row],[INVERSIONES FCI]])</f>
        <v>2997507293.1648302</v>
      </c>
      <c r="CZ122" s="5">
        <f>IF($B121&lt;=Tabla5[[#This Row],[INVERSIONES FCI]],+Tabla5[[#This Row],[INVERSIONES FCI]]-CZ121,Tabla5[[#This Row],[INVERSIONES FCI]])</f>
        <v>2997507293.1648302</v>
      </c>
      <c r="DA122" s="5">
        <f>IF($B121&lt;=Tabla5[[#This Row],[INVERSIONES FCI]],+Tabla5[[#This Row],[INVERSIONES FCI]]-DA121,Tabla5[[#This Row],[INVERSIONES FCI]])</f>
        <v>2997507293.1648302</v>
      </c>
      <c r="DB122" s="5">
        <f>IF($B121&lt;=Tabla5[[#This Row],[INVERSIONES FCI]],+Tabla5[[#This Row],[INVERSIONES FCI]]-DB121,Tabla5[[#This Row],[INVERSIONES FCI]])</f>
        <v>2997507293.1648302</v>
      </c>
      <c r="DC122" s="5">
        <f>IF($B121&lt;=Tabla5[[#This Row],[INVERSIONES FCI]],+Tabla5[[#This Row],[INVERSIONES FCI]]-DC121,Tabla5[[#This Row],[INVERSIONES FCI]])</f>
        <v>2997507293.1648302</v>
      </c>
      <c r="DD122" s="5">
        <f>IF($B121&lt;=Tabla5[[#This Row],[INVERSIONES FCI]],+Tabla5[[#This Row],[INVERSIONES FCI]]-DD121,Tabla5[[#This Row],[INVERSIONES FCI]])</f>
        <v>2997507293.1648302</v>
      </c>
      <c r="DE122" s="5">
        <f>IF($B121&lt;=Tabla5[[#This Row],[INVERSIONES FCI]],+Tabla5[[#This Row],[INVERSIONES FCI]]-DE121,Tabla5[[#This Row],[INVERSIONES FCI]])</f>
        <v>2997507293.1648302</v>
      </c>
      <c r="DF122" s="5">
        <f>IF($B121&lt;=Tabla5[[#This Row],[INVERSIONES FCI]],+Tabla5[[#This Row],[INVERSIONES FCI]]-DF121,Tabla5[[#This Row],[INVERSIONES FCI]])</f>
        <v>2997507293.1648302</v>
      </c>
      <c r="DG122" s="5">
        <f>IF($B121&lt;=Tabla5[[#This Row],[INVERSIONES FCI]],+Tabla5[[#This Row],[INVERSIONES FCI]]-DG121,Tabla5[[#This Row],[INVERSIONES FCI]])</f>
        <v>2997507293.1648302</v>
      </c>
      <c r="DH122" s="5">
        <f>IF($B121&lt;=Tabla5[[#This Row],[INVERSIONES FCI]],+Tabla5[[#This Row],[INVERSIONES FCI]]-DH121,Tabla5[[#This Row],[INVERSIONES FCI]])</f>
        <v>2997507293.1648302</v>
      </c>
      <c r="DI122" s="5">
        <f>IF($B121&lt;=Tabla5[[#This Row],[INVERSIONES FCI]],+Tabla5[[#This Row],[INVERSIONES FCI]]-DI121,Tabla5[[#This Row],[INVERSIONES FCI]])</f>
        <v>2997507293.1648302</v>
      </c>
      <c r="DJ122" s="5">
        <f>IF($B121&lt;=Tabla5[[#This Row],[INVERSIONES FCI]],+Tabla5[[#This Row],[INVERSIONES FCI]]-DJ121,Tabla5[[#This Row],[INVERSIONES FCI]])</f>
        <v>2997507293.1648302</v>
      </c>
      <c r="DK122" s="5">
        <f>IF($B121&lt;=Tabla5[[#This Row],[INVERSIONES FCI]],+Tabla5[[#This Row],[INVERSIONES FCI]]-DK121,Tabla5[[#This Row],[INVERSIONES FCI]])</f>
        <v>2997507293.1648302</v>
      </c>
      <c r="DL122" s="5"/>
      <c r="DM122" s="5"/>
      <c r="DN122" s="5"/>
      <c r="DO122" s="5"/>
      <c r="DP122" s="5"/>
      <c r="DQ122" s="5"/>
    </row>
    <row r="123" spans="1:121" ht="14.4">
      <c r="A123" s="12" t="s">
        <v>122</v>
      </c>
      <c r="B123" s="5">
        <f>HLOOKUP($A123,ESCENARIO[#All],7,FALSE)</f>
        <v>8811280042.366188</v>
      </c>
      <c r="C123" s="5">
        <f>IF($B122&lt;=Tabla5[[#This Row],[INVERSIONES FCI]],+Tabla5[[#This Row],[INVERSIONES FCI]]-C122,Tabla5[[#This Row],[INVERSIONES FCI]])</f>
        <v>8811280042.366188</v>
      </c>
      <c r="D123" s="5">
        <f>IF($B122&lt;=Tabla5[[#This Row],[INVERSIONES FCI]],+Tabla5[[#This Row],[INVERSIONES FCI]]-D122,Tabla5[[#This Row],[INVERSIONES FCI]])</f>
        <v>8811280042.366188</v>
      </c>
      <c r="E123" s="5">
        <f>IF($B122&lt;=Tabla5[[#This Row],[INVERSIONES FCI]],+Tabla5[[#This Row],[INVERSIONES FCI]]-E122,Tabla5[[#This Row],[INVERSIONES FCI]])</f>
        <v>8811280042.366188</v>
      </c>
      <c r="F123" s="5">
        <f>IF($B122&lt;=Tabla5[[#This Row],[INVERSIONES FCI]],+Tabla5[[#This Row],[INVERSIONES FCI]]-F122,Tabla5[[#This Row],[INVERSIONES FCI]])</f>
        <v>8811280042.366188</v>
      </c>
      <c r="G123" s="5">
        <f>IF($B122&lt;=Tabla5[[#This Row],[INVERSIONES FCI]],+Tabla5[[#This Row],[INVERSIONES FCI]]-G122,Tabla5[[#This Row],[INVERSIONES FCI]])</f>
        <v>8811280042.366188</v>
      </c>
      <c r="H123" s="5">
        <f>IF($B122&lt;=Tabla5[[#This Row],[INVERSIONES FCI]],+Tabla5[[#This Row],[INVERSIONES FCI]]-H122,Tabla5[[#This Row],[INVERSIONES FCI]])</f>
        <v>8811280042.366188</v>
      </c>
      <c r="I123" s="5">
        <f>IF($B122&lt;=Tabla5[[#This Row],[INVERSIONES FCI]],+Tabla5[[#This Row],[INVERSIONES FCI]]-I122,Tabla5[[#This Row],[INVERSIONES FCI]])</f>
        <v>8811280042.366188</v>
      </c>
      <c r="J123" s="5">
        <f>IF($B122&lt;=Tabla5[[#This Row],[INVERSIONES FCI]],+Tabla5[[#This Row],[INVERSIONES FCI]]-J122,Tabla5[[#This Row],[INVERSIONES FCI]])</f>
        <v>8811280042.366188</v>
      </c>
      <c r="K123" s="5">
        <f>IF($B122&lt;=Tabla5[[#This Row],[INVERSIONES FCI]],+Tabla5[[#This Row],[INVERSIONES FCI]]-K122,Tabla5[[#This Row],[INVERSIONES FCI]])</f>
        <v>8811280042.366188</v>
      </c>
      <c r="L123" s="5">
        <f>IF($B122&lt;=Tabla5[[#This Row],[INVERSIONES FCI]],+Tabla5[[#This Row],[INVERSIONES FCI]]-L122,Tabla5[[#This Row],[INVERSIONES FCI]])</f>
        <v>8811280042.366188</v>
      </c>
      <c r="M123" s="5">
        <f>IF($B122&lt;=Tabla5[[#This Row],[INVERSIONES FCI]],+Tabla5[[#This Row],[INVERSIONES FCI]]-M122,Tabla5[[#This Row],[INVERSIONES FCI]])</f>
        <v>8811280042.366188</v>
      </c>
      <c r="N123" s="5">
        <f>IF($B122&lt;=Tabla5[[#This Row],[INVERSIONES FCI]],+Tabla5[[#This Row],[INVERSIONES FCI]]-N122,Tabla5[[#This Row],[INVERSIONES FCI]])</f>
        <v>8811280042.366188</v>
      </c>
      <c r="O123" s="5">
        <f>IF($B122&lt;=Tabla5[[#This Row],[INVERSIONES FCI]],+Tabla5[[#This Row],[INVERSIONES FCI]]-O122,Tabla5[[#This Row],[INVERSIONES FCI]])</f>
        <v>8811280042.366188</v>
      </c>
      <c r="P123" s="5">
        <f>IF($B122&lt;=Tabla5[[#This Row],[INVERSIONES FCI]],+Tabla5[[#This Row],[INVERSIONES FCI]]-P122,Tabla5[[#This Row],[INVERSIONES FCI]])</f>
        <v>8811280042.366188</v>
      </c>
      <c r="Q123" s="5">
        <f>IF($B122&lt;=Tabla5[[#This Row],[INVERSIONES FCI]],+Tabla5[[#This Row],[INVERSIONES FCI]]-Q122,Tabla5[[#This Row],[INVERSIONES FCI]])</f>
        <v>8811280042.366188</v>
      </c>
      <c r="R123" s="5">
        <f>IF($B122&lt;=Tabla5[[#This Row],[INVERSIONES FCI]],+Tabla5[[#This Row],[INVERSIONES FCI]]-R122,Tabla5[[#This Row],[INVERSIONES FCI]])</f>
        <v>8811280042.366188</v>
      </c>
      <c r="S123" s="5">
        <f>IF($B122&lt;=Tabla5[[#This Row],[INVERSIONES FCI]],+Tabla5[[#This Row],[INVERSIONES FCI]]-S122,Tabla5[[#This Row],[INVERSIONES FCI]])</f>
        <v>8811280042.366188</v>
      </c>
      <c r="T123" s="5">
        <f>IF($B122&lt;=Tabla5[[#This Row],[INVERSIONES FCI]],+Tabla5[[#This Row],[INVERSIONES FCI]]-T122,Tabla5[[#This Row],[INVERSIONES FCI]])</f>
        <v>8811280042.366188</v>
      </c>
      <c r="U123" s="5">
        <f>IF($B122&lt;=Tabla5[[#This Row],[INVERSIONES FCI]],+Tabla5[[#This Row],[INVERSIONES FCI]]-U122,Tabla5[[#This Row],[INVERSIONES FCI]])</f>
        <v>8811280042.366188</v>
      </c>
      <c r="V123" s="5">
        <f>IF($B122&lt;=Tabla5[[#This Row],[INVERSIONES FCI]],+Tabla5[[#This Row],[INVERSIONES FCI]]-V122,Tabla5[[#This Row],[INVERSIONES FCI]])</f>
        <v>8811280042.366188</v>
      </c>
      <c r="W123" s="5">
        <f>IF($B122&lt;=Tabla5[[#This Row],[INVERSIONES FCI]],+Tabla5[[#This Row],[INVERSIONES FCI]]-W122,Tabla5[[#This Row],[INVERSIONES FCI]])</f>
        <v>8811280042.366188</v>
      </c>
      <c r="X123" s="5">
        <f>IF($B122&lt;=Tabla5[[#This Row],[INVERSIONES FCI]],+Tabla5[[#This Row],[INVERSIONES FCI]]-X122,Tabla5[[#This Row],[INVERSIONES FCI]])</f>
        <v>8811280042.366188</v>
      </c>
      <c r="Y123" s="5">
        <f>IF($B122&lt;=Tabla5[[#This Row],[INVERSIONES FCI]],+Tabla5[[#This Row],[INVERSIONES FCI]]-Y122,Tabla5[[#This Row],[INVERSIONES FCI]])</f>
        <v>8811280042.366188</v>
      </c>
      <c r="Z123" s="5">
        <f>IF($B122&lt;=Tabla5[[#This Row],[INVERSIONES FCI]],+Tabla5[[#This Row],[INVERSIONES FCI]]-Z122,Tabla5[[#This Row],[INVERSIONES FCI]])</f>
        <v>8811280042.366188</v>
      </c>
      <c r="AA123" s="5">
        <f>IF($B122&lt;=Tabla5[[#This Row],[INVERSIONES FCI]],+Tabla5[[#This Row],[INVERSIONES FCI]]-AA122,Tabla5[[#This Row],[INVERSIONES FCI]])</f>
        <v>8811280042.366188</v>
      </c>
      <c r="AB123" s="5">
        <f>IF($B122&lt;=Tabla5[[#This Row],[INVERSIONES FCI]],+Tabla5[[#This Row],[INVERSIONES FCI]]-AB122,Tabla5[[#This Row],[INVERSIONES FCI]])</f>
        <v>8811280042.366188</v>
      </c>
      <c r="AC123" s="5">
        <f>IF($B122&lt;=Tabla5[[#This Row],[INVERSIONES FCI]],+Tabla5[[#This Row],[INVERSIONES FCI]]-AC122,Tabla5[[#This Row],[INVERSIONES FCI]])</f>
        <v>8811280042.366188</v>
      </c>
      <c r="AD123" s="5">
        <f>IF($B122&lt;=Tabla5[[#This Row],[INVERSIONES FCI]],+Tabla5[[#This Row],[INVERSIONES FCI]]-AD122,Tabla5[[#This Row],[INVERSIONES FCI]])</f>
        <v>8811280042.366188</v>
      </c>
      <c r="AE123" s="5">
        <f>IF($B122&lt;=Tabla5[[#This Row],[INVERSIONES FCI]],+Tabla5[[#This Row],[INVERSIONES FCI]]-AE122,Tabla5[[#This Row],[INVERSIONES FCI]])</f>
        <v>8811280042.366188</v>
      </c>
      <c r="AF123" s="5">
        <f>IF($B122&lt;=Tabla5[[#This Row],[INVERSIONES FCI]],+Tabla5[[#This Row],[INVERSIONES FCI]]-AF122,Tabla5[[#This Row],[INVERSIONES FCI]])</f>
        <v>8811280042.366188</v>
      </c>
      <c r="AG123" s="5">
        <f>IF($B122&lt;=Tabla5[[#This Row],[INVERSIONES FCI]],+Tabla5[[#This Row],[INVERSIONES FCI]]-AG122,Tabla5[[#This Row],[INVERSIONES FCI]])</f>
        <v>8811280042.366188</v>
      </c>
      <c r="AH123" s="5">
        <f>IF($B122&lt;=Tabla5[[#This Row],[INVERSIONES FCI]],+Tabla5[[#This Row],[INVERSIONES FCI]]-AH122,Tabla5[[#This Row],[INVERSIONES FCI]])</f>
        <v>8811280042.366188</v>
      </c>
      <c r="AI123" s="5">
        <f>IF($B122&lt;=Tabla5[[#This Row],[INVERSIONES FCI]],+Tabla5[[#This Row],[INVERSIONES FCI]]-AI122,Tabla5[[#This Row],[INVERSIONES FCI]])</f>
        <v>8811280042.366188</v>
      </c>
      <c r="AJ123" s="5">
        <f>IF($B122&lt;=Tabla5[[#This Row],[INVERSIONES FCI]],+Tabla5[[#This Row],[INVERSIONES FCI]]-AJ122,Tabla5[[#This Row],[INVERSIONES FCI]])</f>
        <v>8811280042.366188</v>
      </c>
      <c r="AK123" s="5">
        <f>IF($B122&lt;=Tabla5[[#This Row],[INVERSIONES FCI]],+Tabla5[[#This Row],[INVERSIONES FCI]]-AK122,Tabla5[[#This Row],[INVERSIONES FCI]])</f>
        <v>8811280042.366188</v>
      </c>
      <c r="AL123" s="5">
        <f>IF($B122&lt;=Tabla5[[#This Row],[INVERSIONES FCI]],+Tabla5[[#This Row],[INVERSIONES FCI]]-AL122,Tabla5[[#This Row],[INVERSIONES FCI]])</f>
        <v>8811280042.366188</v>
      </c>
      <c r="AM123" s="5">
        <f>IF($B122&lt;=Tabla5[[#This Row],[INVERSIONES FCI]],+Tabla5[[#This Row],[INVERSIONES FCI]]-AM122,Tabla5[[#This Row],[INVERSIONES FCI]])</f>
        <v>8811280042.366188</v>
      </c>
      <c r="AN123" s="5">
        <f>IF($B122&lt;=Tabla5[[#This Row],[INVERSIONES FCI]],+Tabla5[[#This Row],[INVERSIONES FCI]]-AN122,Tabla5[[#This Row],[INVERSIONES FCI]])</f>
        <v>8811280042.366188</v>
      </c>
      <c r="AO123" s="5">
        <f>IF($B122&lt;=Tabla5[[#This Row],[INVERSIONES FCI]],+Tabla5[[#This Row],[INVERSIONES FCI]]-AO122,Tabla5[[#This Row],[INVERSIONES FCI]])</f>
        <v>8811280042.366188</v>
      </c>
      <c r="AP123" s="5">
        <f>IF($B122&lt;=Tabla5[[#This Row],[INVERSIONES FCI]],+Tabla5[[#This Row],[INVERSIONES FCI]]-AP122,Tabla5[[#This Row],[INVERSIONES FCI]])</f>
        <v>8811280042.366188</v>
      </c>
      <c r="AQ123" s="5">
        <f>IF($B122&lt;=Tabla5[[#This Row],[INVERSIONES FCI]],+Tabla5[[#This Row],[INVERSIONES FCI]]-AQ122,Tabla5[[#This Row],[INVERSIONES FCI]])</f>
        <v>8811280042.366188</v>
      </c>
      <c r="AR123" s="5">
        <f>IF($B122&lt;=Tabla5[[#This Row],[INVERSIONES FCI]],+Tabla5[[#This Row],[INVERSIONES FCI]]-AR122,Tabla5[[#This Row],[INVERSIONES FCI]])</f>
        <v>8811280042.366188</v>
      </c>
      <c r="AS123" s="5">
        <f>IF($B122&lt;=Tabla5[[#This Row],[INVERSIONES FCI]],+Tabla5[[#This Row],[INVERSIONES FCI]]-AS122,Tabla5[[#This Row],[INVERSIONES FCI]])</f>
        <v>8811280042.366188</v>
      </c>
      <c r="AT123" s="5">
        <f>IF($B122&lt;=Tabla5[[#This Row],[INVERSIONES FCI]],+Tabla5[[#This Row],[INVERSIONES FCI]]-AT122,Tabla5[[#This Row],[INVERSIONES FCI]])</f>
        <v>8811280042.366188</v>
      </c>
      <c r="AU123" s="5">
        <f>IF($B122&lt;=Tabla5[[#This Row],[INVERSIONES FCI]],+Tabla5[[#This Row],[INVERSIONES FCI]]-AU122,Tabla5[[#This Row],[INVERSIONES FCI]])</f>
        <v>8811280042.366188</v>
      </c>
      <c r="AV123" s="5">
        <f>IF($B122&lt;=Tabla5[[#This Row],[INVERSIONES FCI]],+Tabla5[[#This Row],[INVERSIONES FCI]]-AV122,Tabla5[[#This Row],[INVERSIONES FCI]])</f>
        <v>8811280042.366188</v>
      </c>
      <c r="AW123" s="5">
        <f>IF($B122&lt;=Tabla5[[#This Row],[INVERSIONES FCI]],+Tabla5[[#This Row],[INVERSIONES FCI]]-AW122,Tabla5[[#This Row],[INVERSIONES FCI]])</f>
        <v>8811280042.366188</v>
      </c>
      <c r="AX123" s="5">
        <f>IF($B122&lt;=Tabla5[[#This Row],[INVERSIONES FCI]],+Tabla5[[#This Row],[INVERSIONES FCI]]-AX122,Tabla5[[#This Row],[INVERSIONES FCI]])</f>
        <v>8811280042.366188</v>
      </c>
      <c r="AY123" s="5">
        <f>IF($B122&lt;=Tabla5[[#This Row],[INVERSIONES FCI]],+Tabla5[[#This Row],[INVERSIONES FCI]]-AY122,Tabla5[[#This Row],[INVERSIONES FCI]])</f>
        <v>8811280042.366188</v>
      </c>
      <c r="AZ123" s="5">
        <f>IF($B122&lt;=Tabla5[[#This Row],[INVERSIONES FCI]],+Tabla5[[#This Row],[INVERSIONES FCI]]-AZ122,Tabla5[[#This Row],[INVERSIONES FCI]])</f>
        <v>8811280042.366188</v>
      </c>
      <c r="BA123" s="5">
        <f>IF($B122&lt;=Tabla5[[#This Row],[INVERSIONES FCI]],+Tabla5[[#This Row],[INVERSIONES FCI]]-BA122,Tabla5[[#This Row],[INVERSIONES FCI]])</f>
        <v>8811280042.366188</v>
      </c>
      <c r="BB123" s="5">
        <f>IF($B122&lt;=Tabla5[[#This Row],[INVERSIONES FCI]],+Tabla5[[#This Row],[INVERSIONES FCI]]-BB122,Tabla5[[#This Row],[INVERSIONES FCI]])</f>
        <v>8811280042.366188</v>
      </c>
      <c r="BC123" s="5">
        <f>IF($B122&lt;=Tabla5[[#This Row],[INVERSIONES FCI]],+Tabla5[[#This Row],[INVERSIONES FCI]]-BC122,Tabla5[[#This Row],[INVERSIONES FCI]])</f>
        <v>8811280042.366188</v>
      </c>
      <c r="BD123" s="5">
        <f>IF($B122&lt;=Tabla5[[#This Row],[INVERSIONES FCI]],+Tabla5[[#This Row],[INVERSIONES FCI]]-BD122,Tabla5[[#This Row],[INVERSIONES FCI]])</f>
        <v>8811280042.366188</v>
      </c>
      <c r="BE123" s="5">
        <f>IF($B122&lt;=Tabla5[[#This Row],[INVERSIONES FCI]],+Tabla5[[#This Row],[INVERSIONES FCI]]-BE122,Tabla5[[#This Row],[INVERSIONES FCI]])</f>
        <v>8811280042.366188</v>
      </c>
      <c r="BF123" s="5">
        <f>IF($B122&lt;=Tabla5[[#This Row],[INVERSIONES FCI]],+Tabla5[[#This Row],[INVERSIONES FCI]]-BF122,Tabla5[[#This Row],[INVERSIONES FCI]])</f>
        <v>8811280042.366188</v>
      </c>
      <c r="BG123" s="5">
        <f>IF($B122&lt;=Tabla5[[#This Row],[INVERSIONES FCI]],+Tabla5[[#This Row],[INVERSIONES FCI]]-BG122,Tabla5[[#This Row],[INVERSIONES FCI]])</f>
        <v>8811280042.366188</v>
      </c>
      <c r="BH123" s="5">
        <f>IF($B122&lt;=Tabla5[[#This Row],[INVERSIONES FCI]],+Tabla5[[#This Row],[INVERSIONES FCI]]-BH122,Tabla5[[#This Row],[INVERSIONES FCI]])</f>
        <v>8811280042.366188</v>
      </c>
      <c r="BI123" s="5">
        <f>IF($B122&lt;=Tabla5[[#This Row],[INVERSIONES FCI]],+Tabla5[[#This Row],[INVERSIONES FCI]]-BI122,Tabla5[[#This Row],[INVERSIONES FCI]])</f>
        <v>8811280042.366188</v>
      </c>
      <c r="BJ123" s="5">
        <f>IF($B122&lt;=Tabla5[[#This Row],[INVERSIONES FCI]],+Tabla5[[#This Row],[INVERSIONES FCI]]-BJ122,Tabla5[[#This Row],[INVERSIONES FCI]])</f>
        <v>8811280042.366188</v>
      </c>
      <c r="BK123" s="5">
        <f>IF($B122&lt;=Tabla5[[#This Row],[INVERSIONES FCI]],+Tabla5[[#This Row],[INVERSIONES FCI]]-BK122,Tabla5[[#This Row],[INVERSIONES FCI]])</f>
        <v>8811280042.366188</v>
      </c>
      <c r="BL123" s="5">
        <f>IF($B122&lt;=Tabla5[[#This Row],[INVERSIONES FCI]],+Tabla5[[#This Row],[INVERSIONES FCI]]-BL122,Tabla5[[#This Row],[INVERSIONES FCI]])</f>
        <v>8811280042.366188</v>
      </c>
      <c r="BM123" s="5">
        <f>IF($B122&lt;=Tabla5[[#This Row],[INVERSIONES FCI]],+Tabla5[[#This Row],[INVERSIONES FCI]]-BM122,Tabla5[[#This Row],[INVERSIONES FCI]])</f>
        <v>8811280042.366188</v>
      </c>
      <c r="BN123" s="5">
        <f>IF($B122&lt;=Tabla5[[#This Row],[INVERSIONES FCI]],+Tabla5[[#This Row],[INVERSIONES FCI]]-BN122,Tabla5[[#This Row],[INVERSIONES FCI]])</f>
        <v>8811280042.366188</v>
      </c>
      <c r="BO123" s="5">
        <f>IF($B122&lt;=Tabla5[[#This Row],[INVERSIONES FCI]],+Tabla5[[#This Row],[INVERSIONES FCI]]-BO122,Tabla5[[#This Row],[INVERSIONES FCI]])</f>
        <v>8811280042.366188</v>
      </c>
      <c r="BP123" s="5">
        <f>IF($B122&lt;=Tabla5[[#This Row],[INVERSIONES FCI]],+Tabla5[[#This Row],[INVERSIONES FCI]]-BP122,Tabla5[[#This Row],[INVERSIONES FCI]])</f>
        <v>8811280042.366188</v>
      </c>
      <c r="BQ123" s="5">
        <f>IF($B122&lt;=Tabla5[[#This Row],[INVERSIONES FCI]],+Tabla5[[#This Row],[INVERSIONES FCI]]-BQ122,Tabla5[[#This Row],[INVERSIONES FCI]])</f>
        <v>8811280042.366188</v>
      </c>
      <c r="BR123" s="5">
        <f>IF($B122&lt;=Tabla5[[#This Row],[INVERSIONES FCI]],+Tabla5[[#This Row],[INVERSIONES FCI]]-BR122,Tabla5[[#This Row],[INVERSIONES FCI]])</f>
        <v>8811280042.366188</v>
      </c>
      <c r="BS123" s="5">
        <f>IF($B122&lt;=Tabla5[[#This Row],[INVERSIONES FCI]],+Tabla5[[#This Row],[INVERSIONES FCI]]-BS122,Tabla5[[#This Row],[INVERSIONES FCI]])</f>
        <v>8811280042.366188</v>
      </c>
      <c r="BT123" s="5">
        <f>IF($B122&lt;=Tabla5[[#This Row],[INVERSIONES FCI]],+Tabla5[[#This Row],[INVERSIONES FCI]]-BT122,Tabla5[[#This Row],[INVERSIONES FCI]])</f>
        <v>8811280042.366188</v>
      </c>
      <c r="BU123" s="5">
        <f>IF($B122&lt;=Tabla5[[#This Row],[INVERSIONES FCI]],+Tabla5[[#This Row],[INVERSIONES FCI]]-BU122,Tabla5[[#This Row],[INVERSIONES FCI]])</f>
        <v>8811280042.366188</v>
      </c>
      <c r="BV123" s="5">
        <f>IF($B122&lt;=Tabla5[[#This Row],[INVERSIONES FCI]],+Tabla5[[#This Row],[INVERSIONES FCI]]-BV122,Tabla5[[#This Row],[INVERSIONES FCI]])</f>
        <v>8811280042.366188</v>
      </c>
      <c r="BW123" s="5">
        <f>IF($B122&lt;=Tabla5[[#This Row],[INVERSIONES FCI]],+Tabla5[[#This Row],[INVERSIONES FCI]]-BW122,Tabla5[[#This Row],[INVERSIONES FCI]])</f>
        <v>8811280042.366188</v>
      </c>
      <c r="BX123" s="5">
        <f>IF($B122&lt;=Tabla5[[#This Row],[INVERSIONES FCI]],+Tabla5[[#This Row],[INVERSIONES FCI]]-BX122,Tabla5[[#This Row],[INVERSIONES FCI]])</f>
        <v>8811280042.366188</v>
      </c>
      <c r="BY123" s="5">
        <f>IF($B122&lt;=Tabla5[[#This Row],[INVERSIONES FCI]],+Tabla5[[#This Row],[INVERSIONES FCI]]-BY122,Tabla5[[#This Row],[INVERSIONES FCI]])</f>
        <v>8811280042.366188</v>
      </c>
      <c r="BZ123" s="5">
        <f>IF($B122&lt;=Tabla5[[#This Row],[INVERSIONES FCI]],+Tabla5[[#This Row],[INVERSIONES FCI]]-BZ122,Tabla5[[#This Row],[INVERSIONES FCI]])</f>
        <v>8811280042.366188</v>
      </c>
      <c r="CA123" s="5">
        <f>IF($B122&lt;=Tabla5[[#This Row],[INVERSIONES FCI]],+Tabla5[[#This Row],[INVERSIONES FCI]]-CA122,Tabla5[[#This Row],[INVERSIONES FCI]])</f>
        <v>8811280042.366188</v>
      </c>
      <c r="CB123" s="5">
        <f>IF($B122&lt;=Tabla5[[#This Row],[INVERSIONES FCI]],+Tabla5[[#This Row],[INVERSIONES FCI]]-CB122,Tabla5[[#This Row],[INVERSIONES FCI]])</f>
        <v>8811280042.366188</v>
      </c>
      <c r="CC123" s="5">
        <f>IF($B122&lt;=Tabla5[[#This Row],[INVERSIONES FCI]],+Tabla5[[#This Row],[INVERSIONES FCI]]-CC122,Tabla5[[#This Row],[INVERSIONES FCI]])</f>
        <v>8811280042.366188</v>
      </c>
      <c r="CD123" s="5">
        <f>IF($B122&lt;=Tabla5[[#This Row],[INVERSIONES FCI]],+Tabla5[[#This Row],[INVERSIONES FCI]]-CD122,Tabla5[[#This Row],[INVERSIONES FCI]])</f>
        <v>8811280042.366188</v>
      </c>
      <c r="CE123" s="5">
        <f>IF($B122&lt;=Tabla5[[#This Row],[INVERSIONES FCI]],+Tabla5[[#This Row],[INVERSIONES FCI]]-CE122,Tabla5[[#This Row],[INVERSIONES FCI]])</f>
        <v>8811280042.366188</v>
      </c>
      <c r="CF123" s="5">
        <f>IF($B122&lt;=Tabla5[[#This Row],[INVERSIONES FCI]],+Tabla5[[#This Row],[INVERSIONES FCI]]-CF122,Tabla5[[#This Row],[INVERSIONES FCI]])</f>
        <v>8811280042.366188</v>
      </c>
      <c r="CG123" s="5">
        <f>IF($B122&lt;=Tabla5[[#This Row],[INVERSIONES FCI]],+Tabla5[[#This Row],[INVERSIONES FCI]]-CG122,Tabla5[[#This Row],[INVERSIONES FCI]])</f>
        <v>8811280042.366188</v>
      </c>
      <c r="CH123" s="5">
        <f>IF($B122&lt;=Tabla5[[#This Row],[INVERSIONES FCI]],+Tabla5[[#This Row],[INVERSIONES FCI]]-CH122,Tabla5[[#This Row],[INVERSIONES FCI]])</f>
        <v>8811280042.366188</v>
      </c>
      <c r="CI123" s="5">
        <f>IF($B122&lt;=Tabla5[[#This Row],[INVERSIONES FCI]],+Tabla5[[#This Row],[INVERSIONES FCI]]-CI122,Tabla5[[#This Row],[INVERSIONES FCI]])</f>
        <v>8811280042.366188</v>
      </c>
      <c r="CJ123" s="5">
        <f>IF($B122&lt;=Tabla5[[#This Row],[INVERSIONES FCI]],+Tabla5[[#This Row],[INVERSIONES FCI]]-CJ122,Tabla5[[#This Row],[INVERSIONES FCI]])</f>
        <v>8811280042.366188</v>
      </c>
      <c r="CK123" s="5">
        <f>IF($B122&lt;=Tabla5[[#This Row],[INVERSIONES FCI]],+Tabla5[[#This Row],[INVERSIONES FCI]]-CK122,Tabla5[[#This Row],[INVERSIONES FCI]])</f>
        <v>8811280042.366188</v>
      </c>
      <c r="CL123" s="5">
        <f>IF($B122&lt;=Tabla5[[#This Row],[INVERSIONES FCI]],+Tabla5[[#This Row],[INVERSIONES FCI]]-CL122,Tabla5[[#This Row],[INVERSIONES FCI]])</f>
        <v>8811280042.366188</v>
      </c>
      <c r="CM123" s="5">
        <f>IF($B122&lt;=Tabla5[[#This Row],[INVERSIONES FCI]],+Tabla5[[#This Row],[INVERSIONES FCI]]-CM122,Tabla5[[#This Row],[INVERSIONES FCI]])</f>
        <v>8811280042.366188</v>
      </c>
      <c r="CN123" s="5">
        <f>IF($B122&lt;=Tabla5[[#This Row],[INVERSIONES FCI]],+Tabla5[[#This Row],[INVERSIONES FCI]]-CN122,Tabla5[[#This Row],[INVERSIONES FCI]])</f>
        <v>8811280042.366188</v>
      </c>
      <c r="CO123" s="5">
        <f>IF($B122&lt;=Tabla5[[#This Row],[INVERSIONES FCI]],+Tabla5[[#This Row],[INVERSIONES FCI]]-CO122,Tabla5[[#This Row],[INVERSIONES FCI]])</f>
        <v>8811280042.366188</v>
      </c>
      <c r="CP123" s="5">
        <f>IF($B122&lt;=Tabla5[[#This Row],[INVERSIONES FCI]],+Tabla5[[#This Row],[INVERSIONES FCI]]-CP122,Tabla5[[#This Row],[INVERSIONES FCI]])</f>
        <v>8811280042.366188</v>
      </c>
      <c r="CQ123" s="5">
        <f>IF($B122&lt;=Tabla5[[#This Row],[INVERSIONES FCI]],+Tabla5[[#This Row],[INVERSIONES FCI]]-CQ122,Tabla5[[#This Row],[INVERSIONES FCI]])</f>
        <v>8811280042.366188</v>
      </c>
      <c r="CR123" s="5">
        <f>IF($B122&lt;=Tabla5[[#This Row],[INVERSIONES FCI]],+Tabla5[[#This Row],[INVERSIONES FCI]]-CR122,Tabla5[[#This Row],[INVERSIONES FCI]])</f>
        <v>8811280042.366188</v>
      </c>
      <c r="CS123" s="5">
        <f>IF($B122&lt;=Tabla5[[#This Row],[INVERSIONES FCI]],+Tabla5[[#This Row],[INVERSIONES FCI]]-CS122,Tabla5[[#This Row],[INVERSIONES FCI]])</f>
        <v>8811280042.366188</v>
      </c>
      <c r="CT123" s="5">
        <f>IF($B122&lt;=Tabla5[[#This Row],[INVERSIONES FCI]],+Tabla5[[#This Row],[INVERSIONES FCI]]-CT122,Tabla5[[#This Row],[INVERSIONES FCI]])</f>
        <v>8811280042.366188</v>
      </c>
      <c r="CU123" s="5">
        <f>IF($B122&lt;=Tabla5[[#This Row],[INVERSIONES FCI]],+Tabla5[[#This Row],[INVERSIONES FCI]]-CU122,Tabla5[[#This Row],[INVERSIONES FCI]])</f>
        <v>8811280042.366188</v>
      </c>
      <c r="CV123" s="5">
        <f>IF($B122&lt;=Tabla5[[#This Row],[INVERSIONES FCI]],+Tabla5[[#This Row],[INVERSIONES FCI]]-CV122,Tabla5[[#This Row],[INVERSIONES FCI]])</f>
        <v>8811280042.366188</v>
      </c>
      <c r="CW123" s="5">
        <f>IF($B122&lt;=Tabla5[[#This Row],[INVERSIONES FCI]],+Tabla5[[#This Row],[INVERSIONES FCI]]-CW122,Tabla5[[#This Row],[INVERSIONES FCI]])</f>
        <v>8811280042.366188</v>
      </c>
      <c r="CX123" s="5">
        <f>IF($B122&lt;=Tabla5[[#This Row],[INVERSIONES FCI]],+Tabla5[[#This Row],[INVERSIONES FCI]]-CX122,Tabla5[[#This Row],[INVERSIONES FCI]])</f>
        <v>8811280042.366188</v>
      </c>
      <c r="CY123" s="5">
        <f>IF($B122&lt;=Tabla5[[#This Row],[INVERSIONES FCI]],+Tabla5[[#This Row],[INVERSIONES FCI]]-CY122,Tabla5[[#This Row],[INVERSIONES FCI]])</f>
        <v>8811280042.366188</v>
      </c>
      <c r="CZ123" s="5">
        <f>IF($B122&lt;=Tabla5[[#This Row],[INVERSIONES FCI]],+Tabla5[[#This Row],[INVERSIONES FCI]]-CZ122,Tabla5[[#This Row],[INVERSIONES FCI]])</f>
        <v>8811280042.366188</v>
      </c>
      <c r="DA123" s="5">
        <f>IF($B122&lt;=Tabla5[[#This Row],[INVERSIONES FCI]],+Tabla5[[#This Row],[INVERSIONES FCI]]-DA122,Tabla5[[#This Row],[INVERSIONES FCI]])</f>
        <v>8811280042.366188</v>
      </c>
      <c r="DB123" s="5">
        <f>IF($B122&lt;=Tabla5[[#This Row],[INVERSIONES FCI]],+Tabla5[[#This Row],[INVERSIONES FCI]]-DB122,Tabla5[[#This Row],[INVERSIONES FCI]])</f>
        <v>8811280042.366188</v>
      </c>
      <c r="DC123" s="5">
        <f>IF($B122&lt;=Tabla5[[#This Row],[INVERSIONES FCI]],+Tabla5[[#This Row],[INVERSIONES FCI]]-DC122,Tabla5[[#This Row],[INVERSIONES FCI]])</f>
        <v>8811280042.366188</v>
      </c>
      <c r="DD123" s="5">
        <f>IF($B122&lt;=Tabla5[[#This Row],[INVERSIONES FCI]],+Tabla5[[#This Row],[INVERSIONES FCI]]-DD122,Tabla5[[#This Row],[INVERSIONES FCI]])</f>
        <v>8811280042.366188</v>
      </c>
      <c r="DE123" s="5">
        <f>IF($B122&lt;=Tabla5[[#This Row],[INVERSIONES FCI]],+Tabla5[[#This Row],[INVERSIONES FCI]]-DE122,Tabla5[[#This Row],[INVERSIONES FCI]])</f>
        <v>8811280042.366188</v>
      </c>
      <c r="DF123" s="5">
        <f>IF($B122&lt;=Tabla5[[#This Row],[INVERSIONES FCI]],+Tabla5[[#This Row],[INVERSIONES FCI]]-DF122,Tabla5[[#This Row],[INVERSIONES FCI]])</f>
        <v>8811280042.366188</v>
      </c>
      <c r="DG123" s="5">
        <f>IF($B122&lt;=Tabla5[[#This Row],[INVERSIONES FCI]],+Tabla5[[#This Row],[INVERSIONES FCI]]-DG122,Tabla5[[#This Row],[INVERSIONES FCI]])</f>
        <v>8811280042.366188</v>
      </c>
      <c r="DH123" s="5">
        <f>IF($B122&lt;=Tabla5[[#This Row],[INVERSIONES FCI]],+Tabla5[[#This Row],[INVERSIONES FCI]]-DH122,Tabla5[[#This Row],[INVERSIONES FCI]])</f>
        <v>8811280042.366188</v>
      </c>
      <c r="DI123" s="5">
        <f>IF($B122&lt;=Tabla5[[#This Row],[INVERSIONES FCI]],+Tabla5[[#This Row],[INVERSIONES FCI]]-DI122,Tabla5[[#This Row],[INVERSIONES FCI]])</f>
        <v>8811280042.366188</v>
      </c>
      <c r="DJ123" s="5">
        <f>IF($B122&lt;=Tabla5[[#This Row],[INVERSIONES FCI]],+Tabla5[[#This Row],[INVERSIONES FCI]]-DJ122,Tabla5[[#This Row],[INVERSIONES FCI]])</f>
        <v>8811280042.366188</v>
      </c>
      <c r="DK123" s="5">
        <f>IF($B122&lt;=Tabla5[[#This Row],[INVERSIONES FCI]],+Tabla5[[#This Row],[INVERSIONES FCI]]-DK122,Tabla5[[#This Row],[INVERSIONES FCI]])</f>
        <v>8811280042.366188</v>
      </c>
      <c r="DL123" s="5"/>
      <c r="DM123" s="5"/>
      <c r="DN123" s="5"/>
      <c r="DO123" s="5"/>
      <c r="DP123" s="5"/>
      <c r="DQ123" s="5"/>
    </row>
    <row r="124" spans="1:121" ht="14.4">
      <c r="A124" s="12" t="s">
        <v>123</v>
      </c>
      <c r="B124" s="5">
        <f>HLOOKUP($A124,ESCENARIO[#All],7,FALSE)</f>
        <v>9494229123.6085682</v>
      </c>
      <c r="C124" s="5">
        <f>IF($B123&lt;=Tabla5[[#This Row],[INVERSIONES FCI]],+Tabla5[[#This Row],[INVERSIONES FCI]]-C123,Tabla5[[#This Row],[INVERSIONES FCI]])</f>
        <v>682949081.24238014</v>
      </c>
      <c r="D124" s="5">
        <f>IF($B123&lt;=Tabla5[[#This Row],[INVERSIONES FCI]],+Tabla5[[#This Row],[INVERSIONES FCI]]-D123,Tabla5[[#This Row],[INVERSIONES FCI]])</f>
        <v>682949081.24238014</v>
      </c>
      <c r="E124" s="5">
        <f>IF($B123&lt;=Tabla5[[#This Row],[INVERSIONES FCI]],+Tabla5[[#This Row],[INVERSIONES FCI]]-E123,Tabla5[[#This Row],[INVERSIONES FCI]])</f>
        <v>682949081.24238014</v>
      </c>
      <c r="F124" s="5">
        <f>IF($B123&lt;=Tabla5[[#This Row],[INVERSIONES FCI]],+Tabla5[[#This Row],[INVERSIONES FCI]]-F123,Tabla5[[#This Row],[INVERSIONES FCI]])</f>
        <v>682949081.24238014</v>
      </c>
      <c r="G124" s="5">
        <f>IF($B123&lt;=Tabla5[[#This Row],[INVERSIONES FCI]],+Tabla5[[#This Row],[INVERSIONES FCI]]-G123,Tabla5[[#This Row],[INVERSIONES FCI]])</f>
        <v>682949081.24238014</v>
      </c>
      <c r="H124" s="5">
        <f>IF($B123&lt;=Tabla5[[#This Row],[INVERSIONES FCI]],+Tabla5[[#This Row],[INVERSIONES FCI]]-H123,Tabla5[[#This Row],[INVERSIONES FCI]])</f>
        <v>682949081.24238014</v>
      </c>
      <c r="I124" s="5">
        <f>IF($B123&lt;=Tabla5[[#This Row],[INVERSIONES FCI]],+Tabla5[[#This Row],[INVERSIONES FCI]]-I123,Tabla5[[#This Row],[INVERSIONES FCI]])</f>
        <v>682949081.24238014</v>
      </c>
      <c r="J124" s="5">
        <f>IF($B123&lt;=Tabla5[[#This Row],[INVERSIONES FCI]],+Tabla5[[#This Row],[INVERSIONES FCI]]-J123,Tabla5[[#This Row],[INVERSIONES FCI]])</f>
        <v>682949081.24238014</v>
      </c>
      <c r="K124" s="5">
        <f>IF($B123&lt;=Tabla5[[#This Row],[INVERSIONES FCI]],+Tabla5[[#This Row],[INVERSIONES FCI]]-K123,Tabla5[[#This Row],[INVERSIONES FCI]])</f>
        <v>682949081.24238014</v>
      </c>
      <c r="L124" s="5">
        <f>IF($B123&lt;=Tabla5[[#This Row],[INVERSIONES FCI]],+Tabla5[[#This Row],[INVERSIONES FCI]]-L123,Tabla5[[#This Row],[INVERSIONES FCI]])</f>
        <v>682949081.24238014</v>
      </c>
      <c r="M124" s="5">
        <f>IF($B123&lt;=Tabla5[[#This Row],[INVERSIONES FCI]],+Tabla5[[#This Row],[INVERSIONES FCI]]-M123,Tabla5[[#This Row],[INVERSIONES FCI]])</f>
        <v>682949081.24238014</v>
      </c>
      <c r="N124" s="5">
        <f>IF($B123&lt;=Tabla5[[#This Row],[INVERSIONES FCI]],+Tabla5[[#This Row],[INVERSIONES FCI]]-N123,Tabla5[[#This Row],[INVERSIONES FCI]])</f>
        <v>682949081.24238014</v>
      </c>
      <c r="O124" s="5">
        <f>IF($B123&lt;=Tabla5[[#This Row],[INVERSIONES FCI]],+Tabla5[[#This Row],[INVERSIONES FCI]]-O123,Tabla5[[#This Row],[INVERSIONES FCI]])</f>
        <v>682949081.24238014</v>
      </c>
      <c r="P124" s="5">
        <f>IF($B123&lt;=Tabla5[[#This Row],[INVERSIONES FCI]],+Tabla5[[#This Row],[INVERSIONES FCI]]-P123,Tabla5[[#This Row],[INVERSIONES FCI]])</f>
        <v>682949081.24238014</v>
      </c>
      <c r="Q124" s="5">
        <f>IF($B123&lt;=Tabla5[[#This Row],[INVERSIONES FCI]],+Tabla5[[#This Row],[INVERSIONES FCI]]-Q123,Tabla5[[#This Row],[INVERSIONES FCI]])</f>
        <v>682949081.24238014</v>
      </c>
      <c r="R124" s="5">
        <f>IF($B123&lt;=Tabla5[[#This Row],[INVERSIONES FCI]],+Tabla5[[#This Row],[INVERSIONES FCI]]-R123,Tabla5[[#This Row],[INVERSIONES FCI]])</f>
        <v>682949081.24238014</v>
      </c>
      <c r="S124" s="5">
        <f>IF($B123&lt;=Tabla5[[#This Row],[INVERSIONES FCI]],+Tabla5[[#This Row],[INVERSIONES FCI]]-S123,Tabla5[[#This Row],[INVERSIONES FCI]])</f>
        <v>682949081.24238014</v>
      </c>
      <c r="T124" s="5">
        <f>IF($B123&lt;=Tabla5[[#This Row],[INVERSIONES FCI]],+Tabla5[[#This Row],[INVERSIONES FCI]]-T123,Tabla5[[#This Row],[INVERSIONES FCI]])</f>
        <v>682949081.24238014</v>
      </c>
      <c r="U124" s="5">
        <f>IF($B123&lt;=Tabla5[[#This Row],[INVERSIONES FCI]],+Tabla5[[#This Row],[INVERSIONES FCI]]-U123,Tabla5[[#This Row],[INVERSIONES FCI]])</f>
        <v>682949081.24238014</v>
      </c>
      <c r="V124" s="5">
        <f>IF($B123&lt;=Tabla5[[#This Row],[INVERSIONES FCI]],+Tabla5[[#This Row],[INVERSIONES FCI]]-V123,Tabla5[[#This Row],[INVERSIONES FCI]])</f>
        <v>682949081.24238014</v>
      </c>
      <c r="W124" s="5">
        <f>IF($B123&lt;=Tabla5[[#This Row],[INVERSIONES FCI]],+Tabla5[[#This Row],[INVERSIONES FCI]]-W123,Tabla5[[#This Row],[INVERSIONES FCI]])</f>
        <v>682949081.24238014</v>
      </c>
      <c r="X124" s="5">
        <f>IF($B123&lt;=Tabla5[[#This Row],[INVERSIONES FCI]],+Tabla5[[#This Row],[INVERSIONES FCI]]-X123,Tabla5[[#This Row],[INVERSIONES FCI]])</f>
        <v>682949081.24238014</v>
      </c>
      <c r="Y124" s="5">
        <f>IF($B123&lt;=Tabla5[[#This Row],[INVERSIONES FCI]],+Tabla5[[#This Row],[INVERSIONES FCI]]-Y123,Tabla5[[#This Row],[INVERSIONES FCI]])</f>
        <v>682949081.24238014</v>
      </c>
      <c r="Z124" s="5">
        <f>IF($B123&lt;=Tabla5[[#This Row],[INVERSIONES FCI]],+Tabla5[[#This Row],[INVERSIONES FCI]]-Z123,Tabla5[[#This Row],[INVERSIONES FCI]])</f>
        <v>682949081.24238014</v>
      </c>
      <c r="AA124" s="5">
        <f>IF($B123&lt;=Tabla5[[#This Row],[INVERSIONES FCI]],+Tabla5[[#This Row],[INVERSIONES FCI]]-AA123,Tabla5[[#This Row],[INVERSIONES FCI]])</f>
        <v>682949081.24238014</v>
      </c>
      <c r="AB124" s="5">
        <f>IF($B123&lt;=Tabla5[[#This Row],[INVERSIONES FCI]],+Tabla5[[#This Row],[INVERSIONES FCI]]-AB123,Tabla5[[#This Row],[INVERSIONES FCI]])</f>
        <v>682949081.24238014</v>
      </c>
      <c r="AC124" s="5">
        <f>IF($B123&lt;=Tabla5[[#This Row],[INVERSIONES FCI]],+Tabla5[[#This Row],[INVERSIONES FCI]]-AC123,Tabla5[[#This Row],[INVERSIONES FCI]])</f>
        <v>682949081.24238014</v>
      </c>
      <c r="AD124" s="5">
        <f>IF($B123&lt;=Tabla5[[#This Row],[INVERSIONES FCI]],+Tabla5[[#This Row],[INVERSIONES FCI]]-AD123,Tabla5[[#This Row],[INVERSIONES FCI]])</f>
        <v>682949081.24238014</v>
      </c>
      <c r="AE124" s="5">
        <f>IF($B123&lt;=Tabla5[[#This Row],[INVERSIONES FCI]],+Tabla5[[#This Row],[INVERSIONES FCI]]-AE123,Tabla5[[#This Row],[INVERSIONES FCI]])</f>
        <v>682949081.24238014</v>
      </c>
      <c r="AF124" s="5">
        <f>IF($B123&lt;=Tabla5[[#This Row],[INVERSIONES FCI]],+Tabla5[[#This Row],[INVERSIONES FCI]]-AF123,Tabla5[[#This Row],[INVERSIONES FCI]])</f>
        <v>682949081.24238014</v>
      </c>
      <c r="AG124" s="5">
        <f>IF($B123&lt;=Tabla5[[#This Row],[INVERSIONES FCI]],+Tabla5[[#This Row],[INVERSIONES FCI]]-AG123,Tabla5[[#This Row],[INVERSIONES FCI]])</f>
        <v>682949081.24238014</v>
      </c>
      <c r="AH124" s="5">
        <f>IF($B123&lt;=Tabla5[[#This Row],[INVERSIONES FCI]],+Tabla5[[#This Row],[INVERSIONES FCI]]-AH123,Tabla5[[#This Row],[INVERSIONES FCI]])</f>
        <v>682949081.24238014</v>
      </c>
      <c r="AI124" s="5">
        <f>IF($B123&lt;=Tabla5[[#This Row],[INVERSIONES FCI]],+Tabla5[[#This Row],[INVERSIONES FCI]]-AI123,Tabla5[[#This Row],[INVERSIONES FCI]])</f>
        <v>682949081.24238014</v>
      </c>
      <c r="AJ124" s="5">
        <f>IF($B123&lt;=Tabla5[[#This Row],[INVERSIONES FCI]],+Tabla5[[#This Row],[INVERSIONES FCI]]-AJ123,Tabla5[[#This Row],[INVERSIONES FCI]])</f>
        <v>682949081.24238014</v>
      </c>
      <c r="AK124" s="5">
        <f>IF($B123&lt;=Tabla5[[#This Row],[INVERSIONES FCI]],+Tabla5[[#This Row],[INVERSIONES FCI]]-AK123,Tabla5[[#This Row],[INVERSIONES FCI]])</f>
        <v>682949081.24238014</v>
      </c>
      <c r="AL124" s="5">
        <f>IF($B123&lt;=Tabla5[[#This Row],[INVERSIONES FCI]],+Tabla5[[#This Row],[INVERSIONES FCI]]-AL123,Tabla5[[#This Row],[INVERSIONES FCI]])</f>
        <v>682949081.24238014</v>
      </c>
      <c r="AM124" s="5">
        <f>IF($B123&lt;=Tabla5[[#This Row],[INVERSIONES FCI]],+Tabla5[[#This Row],[INVERSIONES FCI]]-AM123,Tabla5[[#This Row],[INVERSIONES FCI]])</f>
        <v>682949081.24238014</v>
      </c>
      <c r="AN124" s="5">
        <f>IF($B123&lt;=Tabla5[[#This Row],[INVERSIONES FCI]],+Tabla5[[#This Row],[INVERSIONES FCI]]-AN123,Tabla5[[#This Row],[INVERSIONES FCI]])</f>
        <v>682949081.24238014</v>
      </c>
      <c r="AO124" s="5">
        <f>IF($B123&lt;=Tabla5[[#This Row],[INVERSIONES FCI]],+Tabla5[[#This Row],[INVERSIONES FCI]]-AO123,Tabla5[[#This Row],[INVERSIONES FCI]])</f>
        <v>682949081.24238014</v>
      </c>
      <c r="AP124" s="5">
        <f>IF($B123&lt;=Tabla5[[#This Row],[INVERSIONES FCI]],+Tabla5[[#This Row],[INVERSIONES FCI]]-AP123,Tabla5[[#This Row],[INVERSIONES FCI]])</f>
        <v>682949081.24238014</v>
      </c>
      <c r="AQ124" s="5">
        <f>IF($B123&lt;=Tabla5[[#This Row],[INVERSIONES FCI]],+Tabla5[[#This Row],[INVERSIONES FCI]]-AQ123,Tabla5[[#This Row],[INVERSIONES FCI]])</f>
        <v>682949081.24238014</v>
      </c>
      <c r="AR124" s="5">
        <f>IF($B123&lt;=Tabla5[[#This Row],[INVERSIONES FCI]],+Tabla5[[#This Row],[INVERSIONES FCI]]-AR123,Tabla5[[#This Row],[INVERSIONES FCI]])</f>
        <v>682949081.24238014</v>
      </c>
      <c r="AS124" s="5">
        <f>IF($B123&lt;=Tabla5[[#This Row],[INVERSIONES FCI]],+Tabla5[[#This Row],[INVERSIONES FCI]]-AS123,Tabla5[[#This Row],[INVERSIONES FCI]])</f>
        <v>682949081.24238014</v>
      </c>
      <c r="AT124" s="5">
        <f>IF($B123&lt;=Tabla5[[#This Row],[INVERSIONES FCI]],+Tabla5[[#This Row],[INVERSIONES FCI]]-AT123,Tabla5[[#This Row],[INVERSIONES FCI]])</f>
        <v>682949081.24238014</v>
      </c>
      <c r="AU124" s="5">
        <f>IF($B123&lt;=Tabla5[[#This Row],[INVERSIONES FCI]],+Tabla5[[#This Row],[INVERSIONES FCI]]-AU123,Tabla5[[#This Row],[INVERSIONES FCI]])</f>
        <v>682949081.24238014</v>
      </c>
      <c r="AV124" s="5">
        <f>IF($B123&lt;=Tabla5[[#This Row],[INVERSIONES FCI]],+Tabla5[[#This Row],[INVERSIONES FCI]]-AV123,Tabla5[[#This Row],[INVERSIONES FCI]])</f>
        <v>682949081.24238014</v>
      </c>
      <c r="AW124" s="5">
        <f>IF($B123&lt;=Tabla5[[#This Row],[INVERSIONES FCI]],+Tabla5[[#This Row],[INVERSIONES FCI]]-AW123,Tabla5[[#This Row],[INVERSIONES FCI]])</f>
        <v>682949081.24238014</v>
      </c>
      <c r="AX124" s="5">
        <f>IF($B123&lt;=Tabla5[[#This Row],[INVERSIONES FCI]],+Tabla5[[#This Row],[INVERSIONES FCI]]-AX123,Tabla5[[#This Row],[INVERSIONES FCI]])</f>
        <v>682949081.24238014</v>
      </c>
      <c r="AY124" s="5">
        <f>IF($B123&lt;=Tabla5[[#This Row],[INVERSIONES FCI]],+Tabla5[[#This Row],[INVERSIONES FCI]]-AY123,Tabla5[[#This Row],[INVERSIONES FCI]])</f>
        <v>682949081.24238014</v>
      </c>
      <c r="AZ124" s="5">
        <f>IF($B123&lt;=Tabla5[[#This Row],[INVERSIONES FCI]],+Tabla5[[#This Row],[INVERSIONES FCI]]-AZ123,Tabla5[[#This Row],[INVERSIONES FCI]])</f>
        <v>682949081.24238014</v>
      </c>
      <c r="BA124" s="5">
        <f>IF($B123&lt;=Tabla5[[#This Row],[INVERSIONES FCI]],+Tabla5[[#This Row],[INVERSIONES FCI]]-BA123,Tabla5[[#This Row],[INVERSIONES FCI]])</f>
        <v>682949081.24238014</v>
      </c>
      <c r="BB124" s="5">
        <f>IF($B123&lt;=Tabla5[[#This Row],[INVERSIONES FCI]],+Tabla5[[#This Row],[INVERSIONES FCI]]-BB123,Tabla5[[#This Row],[INVERSIONES FCI]])</f>
        <v>682949081.24238014</v>
      </c>
      <c r="BC124" s="5">
        <f>IF($B123&lt;=Tabla5[[#This Row],[INVERSIONES FCI]],+Tabla5[[#This Row],[INVERSIONES FCI]]-BC123,Tabla5[[#This Row],[INVERSIONES FCI]])</f>
        <v>682949081.24238014</v>
      </c>
      <c r="BD124" s="5">
        <f>IF($B123&lt;=Tabla5[[#This Row],[INVERSIONES FCI]],+Tabla5[[#This Row],[INVERSIONES FCI]]-BD123,Tabla5[[#This Row],[INVERSIONES FCI]])</f>
        <v>682949081.24238014</v>
      </c>
      <c r="BE124" s="5">
        <f>IF($B123&lt;=Tabla5[[#This Row],[INVERSIONES FCI]],+Tabla5[[#This Row],[INVERSIONES FCI]]-BE123,Tabla5[[#This Row],[INVERSIONES FCI]])</f>
        <v>682949081.24238014</v>
      </c>
      <c r="BF124" s="5">
        <f>IF($B123&lt;=Tabla5[[#This Row],[INVERSIONES FCI]],+Tabla5[[#This Row],[INVERSIONES FCI]]-BF123,Tabla5[[#This Row],[INVERSIONES FCI]])</f>
        <v>682949081.24238014</v>
      </c>
      <c r="BG124" s="5">
        <f>IF($B123&lt;=Tabla5[[#This Row],[INVERSIONES FCI]],+Tabla5[[#This Row],[INVERSIONES FCI]]-BG123,Tabla5[[#This Row],[INVERSIONES FCI]])</f>
        <v>682949081.24238014</v>
      </c>
      <c r="BH124" s="5">
        <f>IF($B123&lt;=Tabla5[[#This Row],[INVERSIONES FCI]],+Tabla5[[#This Row],[INVERSIONES FCI]]-BH123,Tabla5[[#This Row],[INVERSIONES FCI]])</f>
        <v>682949081.24238014</v>
      </c>
      <c r="BI124" s="5">
        <f>IF($B123&lt;=Tabla5[[#This Row],[INVERSIONES FCI]],+Tabla5[[#This Row],[INVERSIONES FCI]]-BI123,Tabla5[[#This Row],[INVERSIONES FCI]])</f>
        <v>682949081.24238014</v>
      </c>
      <c r="BJ124" s="5">
        <f>IF($B123&lt;=Tabla5[[#This Row],[INVERSIONES FCI]],+Tabla5[[#This Row],[INVERSIONES FCI]]-BJ123,Tabla5[[#This Row],[INVERSIONES FCI]])</f>
        <v>682949081.24238014</v>
      </c>
      <c r="BK124" s="5">
        <f>IF($B123&lt;=Tabla5[[#This Row],[INVERSIONES FCI]],+Tabla5[[#This Row],[INVERSIONES FCI]]-BK123,Tabla5[[#This Row],[INVERSIONES FCI]])</f>
        <v>682949081.24238014</v>
      </c>
      <c r="BL124" s="5">
        <f>IF($B123&lt;=Tabla5[[#This Row],[INVERSIONES FCI]],+Tabla5[[#This Row],[INVERSIONES FCI]]-BL123,Tabla5[[#This Row],[INVERSIONES FCI]])</f>
        <v>682949081.24238014</v>
      </c>
      <c r="BM124" s="5">
        <f>IF($B123&lt;=Tabla5[[#This Row],[INVERSIONES FCI]],+Tabla5[[#This Row],[INVERSIONES FCI]]-BM123,Tabla5[[#This Row],[INVERSIONES FCI]])</f>
        <v>682949081.24238014</v>
      </c>
      <c r="BN124" s="5">
        <f>IF($B123&lt;=Tabla5[[#This Row],[INVERSIONES FCI]],+Tabla5[[#This Row],[INVERSIONES FCI]]-BN123,Tabla5[[#This Row],[INVERSIONES FCI]])</f>
        <v>682949081.24238014</v>
      </c>
      <c r="BO124" s="5">
        <f>IF($B123&lt;=Tabla5[[#This Row],[INVERSIONES FCI]],+Tabla5[[#This Row],[INVERSIONES FCI]]-BO123,Tabla5[[#This Row],[INVERSIONES FCI]])</f>
        <v>682949081.24238014</v>
      </c>
      <c r="BP124" s="5">
        <f>IF($B123&lt;=Tabla5[[#This Row],[INVERSIONES FCI]],+Tabla5[[#This Row],[INVERSIONES FCI]]-BP123,Tabla5[[#This Row],[INVERSIONES FCI]])</f>
        <v>682949081.24238014</v>
      </c>
      <c r="BQ124" s="5">
        <f>IF($B123&lt;=Tabla5[[#This Row],[INVERSIONES FCI]],+Tabla5[[#This Row],[INVERSIONES FCI]]-BQ123,Tabla5[[#This Row],[INVERSIONES FCI]])</f>
        <v>682949081.24238014</v>
      </c>
      <c r="BR124" s="5">
        <f>IF($B123&lt;=Tabla5[[#This Row],[INVERSIONES FCI]],+Tabla5[[#This Row],[INVERSIONES FCI]]-BR123,Tabla5[[#This Row],[INVERSIONES FCI]])</f>
        <v>682949081.24238014</v>
      </c>
      <c r="BS124" s="5">
        <f>IF($B123&lt;=Tabla5[[#This Row],[INVERSIONES FCI]],+Tabla5[[#This Row],[INVERSIONES FCI]]-BS123,Tabla5[[#This Row],[INVERSIONES FCI]])</f>
        <v>682949081.24238014</v>
      </c>
      <c r="BT124" s="5">
        <f>IF($B123&lt;=Tabla5[[#This Row],[INVERSIONES FCI]],+Tabla5[[#This Row],[INVERSIONES FCI]]-BT123,Tabla5[[#This Row],[INVERSIONES FCI]])</f>
        <v>682949081.24238014</v>
      </c>
      <c r="BU124" s="5">
        <f>IF($B123&lt;=Tabla5[[#This Row],[INVERSIONES FCI]],+Tabla5[[#This Row],[INVERSIONES FCI]]-BU123,Tabla5[[#This Row],[INVERSIONES FCI]])</f>
        <v>682949081.24238014</v>
      </c>
      <c r="BV124" s="5">
        <f>IF($B123&lt;=Tabla5[[#This Row],[INVERSIONES FCI]],+Tabla5[[#This Row],[INVERSIONES FCI]]-BV123,Tabla5[[#This Row],[INVERSIONES FCI]])</f>
        <v>682949081.24238014</v>
      </c>
      <c r="BW124" s="5">
        <f>IF($B123&lt;=Tabla5[[#This Row],[INVERSIONES FCI]],+Tabla5[[#This Row],[INVERSIONES FCI]]-BW123,Tabla5[[#This Row],[INVERSIONES FCI]])</f>
        <v>682949081.24238014</v>
      </c>
      <c r="BX124" s="5">
        <f>IF($B123&lt;=Tabla5[[#This Row],[INVERSIONES FCI]],+Tabla5[[#This Row],[INVERSIONES FCI]]-BX123,Tabla5[[#This Row],[INVERSIONES FCI]])</f>
        <v>682949081.24238014</v>
      </c>
      <c r="BY124" s="5">
        <f>IF($B123&lt;=Tabla5[[#This Row],[INVERSIONES FCI]],+Tabla5[[#This Row],[INVERSIONES FCI]]-BY123,Tabla5[[#This Row],[INVERSIONES FCI]])</f>
        <v>682949081.24238014</v>
      </c>
      <c r="BZ124" s="5">
        <f>IF($B123&lt;=Tabla5[[#This Row],[INVERSIONES FCI]],+Tabla5[[#This Row],[INVERSIONES FCI]]-BZ123,Tabla5[[#This Row],[INVERSIONES FCI]])</f>
        <v>682949081.24238014</v>
      </c>
      <c r="CA124" s="5">
        <f>IF($B123&lt;=Tabla5[[#This Row],[INVERSIONES FCI]],+Tabla5[[#This Row],[INVERSIONES FCI]]-CA123,Tabla5[[#This Row],[INVERSIONES FCI]])</f>
        <v>682949081.24238014</v>
      </c>
      <c r="CB124" s="5">
        <f>IF($B123&lt;=Tabla5[[#This Row],[INVERSIONES FCI]],+Tabla5[[#This Row],[INVERSIONES FCI]]-CB123,Tabla5[[#This Row],[INVERSIONES FCI]])</f>
        <v>682949081.24238014</v>
      </c>
      <c r="CC124" s="5">
        <f>IF($B123&lt;=Tabla5[[#This Row],[INVERSIONES FCI]],+Tabla5[[#This Row],[INVERSIONES FCI]]-CC123,Tabla5[[#This Row],[INVERSIONES FCI]])</f>
        <v>682949081.24238014</v>
      </c>
      <c r="CD124" s="5">
        <f>IF($B123&lt;=Tabla5[[#This Row],[INVERSIONES FCI]],+Tabla5[[#This Row],[INVERSIONES FCI]]-CD123,Tabla5[[#This Row],[INVERSIONES FCI]])</f>
        <v>682949081.24238014</v>
      </c>
      <c r="CE124" s="5">
        <f>IF($B123&lt;=Tabla5[[#This Row],[INVERSIONES FCI]],+Tabla5[[#This Row],[INVERSIONES FCI]]-CE123,Tabla5[[#This Row],[INVERSIONES FCI]])</f>
        <v>682949081.24238014</v>
      </c>
      <c r="CF124" s="5">
        <f>IF($B123&lt;=Tabla5[[#This Row],[INVERSIONES FCI]],+Tabla5[[#This Row],[INVERSIONES FCI]]-CF123,Tabla5[[#This Row],[INVERSIONES FCI]])</f>
        <v>682949081.24238014</v>
      </c>
      <c r="CG124" s="5">
        <f>IF($B123&lt;=Tabla5[[#This Row],[INVERSIONES FCI]],+Tabla5[[#This Row],[INVERSIONES FCI]]-CG123,Tabla5[[#This Row],[INVERSIONES FCI]])</f>
        <v>682949081.24238014</v>
      </c>
      <c r="CH124" s="5">
        <f>IF($B123&lt;=Tabla5[[#This Row],[INVERSIONES FCI]],+Tabla5[[#This Row],[INVERSIONES FCI]]-CH123,Tabla5[[#This Row],[INVERSIONES FCI]])</f>
        <v>682949081.24238014</v>
      </c>
      <c r="CI124" s="5">
        <f>IF($B123&lt;=Tabla5[[#This Row],[INVERSIONES FCI]],+Tabla5[[#This Row],[INVERSIONES FCI]]-CI123,Tabla5[[#This Row],[INVERSIONES FCI]])</f>
        <v>682949081.24238014</v>
      </c>
      <c r="CJ124" s="5">
        <f>IF($B123&lt;=Tabla5[[#This Row],[INVERSIONES FCI]],+Tabla5[[#This Row],[INVERSIONES FCI]]-CJ123,Tabla5[[#This Row],[INVERSIONES FCI]])</f>
        <v>682949081.24238014</v>
      </c>
      <c r="CK124" s="5">
        <f>IF($B123&lt;=Tabla5[[#This Row],[INVERSIONES FCI]],+Tabla5[[#This Row],[INVERSIONES FCI]]-CK123,Tabla5[[#This Row],[INVERSIONES FCI]])</f>
        <v>682949081.24238014</v>
      </c>
      <c r="CL124" s="5">
        <f>IF($B123&lt;=Tabla5[[#This Row],[INVERSIONES FCI]],+Tabla5[[#This Row],[INVERSIONES FCI]]-CL123,Tabla5[[#This Row],[INVERSIONES FCI]])</f>
        <v>682949081.24238014</v>
      </c>
      <c r="CM124" s="5">
        <f>IF($B123&lt;=Tabla5[[#This Row],[INVERSIONES FCI]],+Tabla5[[#This Row],[INVERSIONES FCI]]-CM123,Tabla5[[#This Row],[INVERSIONES FCI]])</f>
        <v>682949081.24238014</v>
      </c>
      <c r="CN124" s="5">
        <f>IF($B123&lt;=Tabla5[[#This Row],[INVERSIONES FCI]],+Tabla5[[#This Row],[INVERSIONES FCI]]-CN123,Tabla5[[#This Row],[INVERSIONES FCI]])</f>
        <v>682949081.24238014</v>
      </c>
      <c r="CO124" s="5">
        <f>IF($B123&lt;=Tabla5[[#This Row],[INVERSIONES FCI]],+Tabla5[[#This Row],[INVERSIONES FCI]]-CO123,Tabla5[[#This Row],[INVERSIONES FCI]])</f>
        <v>682949081.24238014</v>
      </c>
      <c r="CP124" s="5">
        <f>IF($B123&lt;=Tabla5[[#This Row],[INVERSIONES FCI]],+Tabla5[[#This Row],[INVERSIONES FCI]]-CP123,Tabla5[[#This Row],[INVERSIONES FCI]])</f>
        <v>682949081.24238014</v>
      </c>
      <c r="CQ124" s="5">
        <f>IF($B123&lt;=Tabla5[[#This Row],[INVERSIONES FCI]],+Tabla5[[#This Row],[INVERSIONES FCI]]-CQ123,Tabla5[[#This Row],[INVERSIONES FCI]])</f>
        <v>682949081.24238014</v>
      </c>
      <c r="CR124" s="5">
        <f>IF($B123&lt;=Tabla5[[#This Row],[INVERSIONES FCI]],+Tabla5[[#This Row],[INVERSIONES FCI]]-CR123,Tabla5[[#This Row],[INVERSIONES FCI]])</f>
        <v>682949081.24238014</v>
      </c>
      <c r="CS124" s="5">
        <f>IF($B123&lt;=Tabla5[[#This Row],[INVERSIONES FCI]],+Tabla5[[#This Row],[INVERSIONES FCI]]-CS123,Tabla5[[#This Row],[INVERSIONES FCI]])</f>
        <v>682949081.24238014</v>
      </c>
      <c r="CT124" s="5">
        <f>IF($B123&lt;=Tabla5[[#This Row],[INVERSIONES FCI]],+Tabla5[[#This Row],[INVERSIONES FCI]]-CT123,Tabla5[[#This Row],[INVERSIONES FCI]])</f>
        <v>682949081.24238014</v>
      </c>
      <c r="CU124" s="5">
        <f>IF($B123&lt;=Tabla5[[#This Row],[INVERSIONES FCI]],+Tabla5[[#This Row],[INVERSIONES FCI]]-CU123,Tabla5[[#This Row],[INVERSIONES FCI]])</f>
        <v>682949081.24238014</v>
      </c>
      <c r="CV124" s="5">
        <f>IF($B123&lt;=Tabla5[[#This Row],[INVERSIONES FCI]],+Tabla5[[#This Row],[INVERSIONES FCI]]-CV123,Tabla5[[#This Row],[INVERSIONES FCI]])</f>
        <v>682949081.24238014</v>
      </c>
      <c r="CW124" s="5">
        <f>IF($B123&lt;=Tabla5[[#This Row],[INVERSIONES FCI]],+Tabla5[[#This Row],[INVERSIONES FCI]]-CW123,Tabla5[[#This Row],[INVERSIONES FCI]])</f>
        <v>682949081.24238014</v>
      </c>
      <c r="CX124" s="5">
        <f>IF($B123&lt;=Tabla5[[#This Row],[INVERSIONES FCI]],+Tabla5[[#This Row],[INVERSIONES FCI]]-CX123,Tabla5[[#This Row],[INVERSIONES FCI]])</f>
        <v>682949081.24238014</v>
      </c>
      <c r="CY124" s="5">
        <f>IF($B123&lt;=Tabla5[[#This Row],[INVERSIONES FCI]],+Tabla5[[#This Row],[INVERSIONES FCI]]-CY123,Tabla5[[#This Row],[INVERSIONES FCI]])</f>
        <v>682949081.24238014</v>
      </c>
      <c r="CZ124" s="5">
        <f>IF($B123&lt;=Tabla5[[#This Row],[INVERSIONES FCI]],+Tabla5[[#This Row],[INVERSIONES FCI]]-CZ123,Tabla5[[#This Row],[INVERSIONES FCI]])</f>
        <v>682949081.24238014</v>
      </c>
      <c r="DA124" s="5">
        <f>IF($B123&lt;=Tabla5[[#This Row],[INVERSIONES FCI]],+Tabla5[[#This Row],[INVERSIONES FCI]]-DA123,Tabla5[[#This Row],[INVERSIONES FCI]])</f>
        <v>682949081.24238014</v>
      </c>
      <c r="DB124" s="5">
        <f>IF($B123&lt;=Tabla5[[#This Row],[INVERSIONES FCI]],+Tabla5[[#This Row],[INVERSIONES FCI]]-DB123,Tabla5[[#This Row],[INVERSIONES FCI]])</f>
        <v>682949081.24238014</v>
      </c>
      <c r="DC124" s="5">
        <f>IF($B123&lt;=Tabla5[[#This Row],[INVERSIONES FCI]],+Tabla5[[#This Row],[INVERSIONES FCI]]-DC123,Tabla5[[#This Row],[INVERSIONES FCI]])</f>
        <v>682949081.24238014</v>
      </c>
      <c r="DD124" s="5">
        <f>IF($B123&lt;=Tabla5[[#This Row],[INVERSIONES FCI]],+Tabla5[[#This Row],[INVERSIONES FCI]]-DD123,Tabla5[[#This Row],[INVERSIONES FCI]])</f>
        <v>682949081.24238014</v>
      </c>
      <c r="DE124" s="5">
        <f>IF($B123&lt;=Tabla5[[#This Row],[INVERSIONES FCI]],+Tabla5[[#This Row],[INVERSIONES FCI]]-DE123,Tabla5[[#This Row],[INVERSIONES FCI]])</f>
        <v>682949081.24238014</v>
      </c>
      <c r="DF124" s="5">
        <f>IF($B123&lt;=Tabla5[[#This Row],[INVERSIONES FCI]],+Tabla5[[#This Row],[INVERSIONES FCI]]-DF123,Tabla5[[#This Row],[INVERSIONES FCI]])</f>
        <v>682949081.24238014</v>
      </c>
      <c r="DG124" s="5">
        <f>IF($B123&lt;=Tabla5[[#This Row],[INVERSIONES FCI]],+Tabla5[[#This Row],[INVERSIONES FCI]]-DG123,Tabla5[[#This Row],[INVERSIONES FCI]])</f>
        <v>682949081.24238014</v>
      </c>
      <c r="DH124" s="5">
        <f>IF($B123&lt;=Tabla5[[#This Row],[INVERSIONES FCI]],+Tabla5[[#This Row],[INVERSIONES FCI]]-DH123,Tabla5[[#This Row],[INVERSIONES FCI]])</f>
        <v>682949081.24238014</v>
      </c>
      <c r="DI124" s="5">
        <f>IF($B123&lt;=Tabla5[[#This Row],[INVERSIONES FCI]],+Tabla5[[#This Row],[INVERSIONES FCI]]-DI123,Tabla5[[#This Row],[INVERSIONES FCI]])</f>
        <v>682949081.24238014</v>
      </c>
      <c r="DJ124" s="5">
        <f>IF($B123&lt;=Tabla5[[#This Row],[INVERSIONES FCI]],+Tabla5[[#This Row],[INVERSIONES FCI]]-DJ123,Tabla5[[#This Row],[INVERSIONES FCI]])</f>
        <v>682949081.24238014</v>
      </c>
      <c r="DK124" s="5">
        <f>IF($B123&lt;=Tabla5[[#This Row],[INVERSIONES FCI]],+Tabla5[[#This Row],[INVERSIONES FCI]]-DK123,Tabla5[[#This Row],[INVERSIONES FCI]])</f>
        <v>682949081.24238014</v>
      </c>
      <c r="DL124" s="5"/>
      <c r="DM124" s="5"/>
      <c r="DN124" s="5"/>
      <c r="DO124" s="5"/>
      <c r="DP124" s="5"/>
      <c r="DQ124" s="5"/>
    </row>
    <row r="125" spans="1:121" ht="14.4">
      <c r="A125" s="12" t="s">
        <v>124</v>
      </c>
      <c r="B125" s="5">
        <f>HLOOKUP($A125,ESCENARIO[#All],7,FALSE)</f>
        <v>10424463159.181637</v>
      </c>
      <c r="C125" s="5">
        <f>IF($B124&lt;=Tabla5[[#This Row],[INVERSIONES FCI]],+Tabla5[[#This Row],[INVERSIONES FCI]]-C124,Tabla5[[#This Row],[INVERSIONES FCI]])</f>
        <v>9741514077.9392567</v>
      </c>
      <c r="D125" s="5">
        <f>IF($B124&lt;=Tabla5[[#This Row],[INVERSIONES FCI]],+Tabla5[[#This Row],[INVERSIONES FCI]]-D124,Tabla5[[#This Row],[INVERSIONES FCI]])</f>
        <v>9741514077.9392567</v>
      </c>
      <c r="E125" s="5">
        <f>IF($B124&lt;=Tabla5[[#This Row],[INVERSIONES FCI]],+Tabla5[[#This Row],[INVERSIONES FCI]]-E124,Tabla5[[#This Row],[INVERSIONES FCI]])</f>
        <v>9741514077.9392567</v>
      </c>
      <c r="F125" s="5">
        <f>IF($B124&lt;=Tabla5[[#This Row],[INVERSIONES FCI]],+Tabla5[[#This Row],[INVERSIONES FCI]]-F124,Tabla5[[#This Row],[INVERSIONES FCI]])</f>
        <v>9741514077.9392567</v>
      </c>
      <c r="G125" s="5">
        <f>IF($B124&lt;=Tabla5[[#This Row],[INVERSIONES FCI]],+Tabla5[[#This Row],[INVERSIONES FCI]]-G124,Tabla5[[#This Row],[INVERSIONES FCI]])</f>
        <v>9741514077.9392567</v>
      </c>
      <c r="H125" s="5">
        <f>IF($B124&lt;=Tabla5[[#This Row],[INVERSIONES FCI]],+Tabla5[[#This Row],[INVERSIONES FCI]]-H124,Tabla5[[#This Row],[INVERSIONES FCI]])</f>
        <v>9741514077.9392567</v>
      </c>
      <c r="I125" s="5">
        <f>IF($B124&lt;=Tabla5[[#This Row],[INVERSIONES FCI]],+Tabla5[[#This Row],[INVERSIONES FCI]]-I124,Tabla5[[#This Row],[INVERSIONES FCI]])</f>
        <v>9741514077.9392567</v>
      </c>
      <c r="J125" s="5">
        <f>IF($B124&lt;=Tabla5[[#This Row],[INVERSIONES FCI]],+Tabla5[[#This Row],[INVERSIONES FCI]]-J124,Tabla5[[#This Row],[INVERSIONES FCI]])</f>
        <v>9741514077.9392567</v>
      </c>
      <c r="K125" s="5">
        <f>IF($B124&lt;=Tabla5[[#This Row],[INVERSIONES FCI]],+Tabla5[[#This Row],[INVERSIONES FCI]]-K124,Tabla5[[#This Row],[INVERSIONES FCI]])</f>
        <v>9741514077.9392567</v>
      </c>
      <c r="L125" s="5">
        <f>IF($B124&lt;=Tabla5[[#This Row],[INVERSIONES FCI]],+Tabla5[[#This Row],[INVERSIONES FCI]]-L124,Tabla5[[#This Row],[INVERSIONES FCI]])</f>
        <v>9741514077.9392567</v>
      </c>
      <c r="M125" s="5">
        <f>IF($B124&lt;=Tabla5[[#This Row],[INVERSIONES FCI]],+Tabla5[[#This Row],[INVERSIONES FCI]]-M124,Tabla5[[#This Row],[INVERSIONES FCI]])</f>
        <v>9741514077.9392567</v>
      </c>
      <c r="N125" s="5">
        <f>IF($B124&lt;=Tabla5[[#This Row],[INVERSIONES FCI]],+Tabla5[[#This Row],[INVERSIONES FCI]]-N124,Tabla5[[#This Row],[INVERSIONES FCI]])</f>
        <v>9741514077.9392567</v>
      </c>
      <c r="O125" s="5">
        <f>IF($B124&lt;=Tabla5[[#This Row],[INVERSIONES FCI]],+Tabla5[[#This Row],[INVERSIONES FCI]]-O124,Tabla5[[#This Row],[INVERSIONES FCI]])</f>
        <v>9741514077.9392567</v>
      </c>
      <c r="P125" s="5">
        <f>IF($B124&lt;=Tabla5[[#This Row],[INVERSIONES FCI]],+Tabla5[[#This Row],[INVERSIONES FCI]]-P124,Tabla5[[#This Row],[INVERSIONES FCI]])</f>
        <v>9741514077.9392567</v>
      </c>
      <c r="Q125" s="5">
        <f>IF($B124&lt;=Tabla5[[#This Row],[INVERSIONES FCI]],+Tabla5[[#This Row],[INVERSIONES FCI]]-Q124,Tabla5[[#This Row],[INVERSIONES FCI]])</f>
        <v>9741514077.9392567</v>
      </c>
      <c r="R125" s="5">
        <f>IF($B124&lt;=Tabla5[[#This Row],[INVERSIONES FCI]],+Tabla5[[#This Row],[INVERSIONES FCI]]-R124,Tabla5[[#This Row],[INVERSIONES FCI]])</f>
        <v>9741514077.9392567</v>
      </c>
      <c r="S125" s="5">
        <f>IF($B124&lt;=Tabla5[[#This Row],[INVERSIONES FCI]],+Tabla5[[#This Row],[INVERSIONES FCI]]-S124,Tabla5[[#This Row],[INVERSIONES FCI]])</f>
        <v>9741514077.9392567</v>
      </c>
      <c r="T125" s="5">
        <f>IF($B124&lt;=Tabla5[[#This Row],[INVERSIONES FCI]],+Tabla5[[#This Row],[INVERSIONES FCI]]-T124,Tabla5[[#This Row],[INVERSIONES FCI]])</f>
        <v>9741514077.9392567</v>
      </c>
      <c r="U125" s="5">
        <f>IF($B124&lt;=Tabla5[[#This Row],[INVERSIONES FCI]],+Tabla5[[#This Row],[INVERSIONES FCI]]-U124,Tabla5[[#This Row],[INVERSIONES FCI]])</f>
        <v>9741514077.9392567</v>
      </c>
      <c r="V125" s="5">
        <f>IF($B124&lt;=Tabla5[[#This Row],[INVERSIONES FCI]],+Tabla5[[#This Row],[INVERSIONES FCI]]-V124,Tabla5[[#This Row],[INVERSIONES FCI]])</f>
        <v>9741514077.9392567</v>
      </c>
      <c r="W125" s="5">
        <f>IF($B124&lt;=Tabla5[[#This Row],[INVERSIONES FCI]],+Tabla5[[#This Row],[INVERSIONES FCI]]-W124,Tabla5[[#This Row],[INVERSIONES FCI]])</f>
        <v>9741514077.9392567</v>
      </c>
      <c r="X125" s="5">
        <f>IF($B124&lt;=Tabla5[[#This Row],[INVERSIONES FCI]],+Tabla5[[#This Row],[INVERSIONES FCI]]-X124,Tabla5[[#This Row],[INVERSIONES FCI]])</f>
        <v>9741514077.9392567</v>
      </c>
      <c r="Y125" s="5">
        <f>IF($B124&lt;=Tabla5[[#This Row],[INVERSIONES FCI]],+Tabla5[[#This Row],[INVERSIONES FCI]]-Y124,Tabla5[[#This Row],[INVERSIONES FCI]])</f>
        <v>9741514077.9392567</v>
      </c>
      <c r="Z125" s="5">
        <f>IF($B124&lt;=Tabla5[[#This Row],[INVERSIONES FCI]],+Tabla5[[#This Row],[INVERSIONES FCI]]-Z124,Tabla5[[#This Row],[INVERSIONES FCI]])</f>
        <v>9741514077.9392567</v>
      </c>
      <c r="AA125" s="5">
        <f>IF($B124&lt;=Tabla5[[#This Row],[INVERSIONES FCI]],+Tabla5[[#This Row],[INVERSIONES FCI]]-AA124,Tabla5[[#This Row],[INVERSIONES FCI]])</f>
        <v>9741514077.9392567</v>
      </c>
      <c r="AB125" s="5">
        <f>IF($B124&lt;=Tabla5[[#This Row],[INVERSIONES FCI]],+Tabla5[[#This Row],[INVERSIONES FCI]]-AB124,Tabla5[[#This Row],[INVERSIONES FCI]])</f>
        <v>9741514077.9392567</v>
      </c>
      <c r="AC125" s="5">
        <f>IF($B124&lt;=Tabla5[[#This Row],[INVERSIONES FCI]],+Tabla5[[#This Row],[INVERSIONES FCI]]-AC124,Tabla5[[#This Row],[INVERSIONES FCI]])</f>
        <v>9741514077.9392567</v>
      </c>
      <c r="AD125" s="5">
        <f>IF($B124&lt;=Tabla5[[#This Row],[INVERSIONES FCI]],+Tabla5[[#This Row],[INVERSIONES FCI]]-AD124,Tabla5[[#This Row],[INVERSIONES FCI]])</f>
        <v>9741514077.9392567</v>
      </c>
      <c r="AE125" s="5">
        <f>IF($B124&lt;=Tabla5[[#This Row],[INVERSIONES FCI]],+Tabla5[[#This Row],[INVERSIONES FCI]]-AE124,Tabla5[[#This Row],[INVERSIONES FCI]])</f>
        <v>9741514077.9392567</v>
      </c>
      <c r="AF125" s="5">
        <f>IF($B124&lt;=Tabla5[[#This Row],[INVERSIONES FCI]],+Tabla5[[#This Row],[INVERSIONES FCI]]-AF124,Tabla5[[#This Row],[INVERSIONES FCI]])</f>
        <v>9741514077.9392567</v>
      </c>
      <c r="AG125" s="5">
        <f>IF($B124&lt;=Tabla5[[#This Row],[INVERSIONES FCI]],+Tabla5[[#This Row],[INVERSIONES FCI]]-AG124,Tabla5[[#This Row],[INVERSIONES FCI]])</f>
        <v>9741514077.9392567</v>
      </c>
      <c r="AH125" s="5">
        <f>IF($B124&lt;=Tabla5[[#This Row],[INVERSIONES FCI]],+Tabla5[[#This Row],[INVERSIONES FCI]]-AH124,Tabla5[[#This Row],[INVERSIONES FCI]])</f>
        <v>9741514077.9392567</v>
      </c>
      <c r="AI125" s="5">
        <f>IF($B124&lt;=Tabla5[[#This Row],[INVERSIONES FCI]],+Tabla5[[#This Row],[INVERSIONES FCI]]-AI124,Tabla5[[#This Row],[INVERSIONES FCI]])</f>
        <v>9741514077.9392567</v>
      </c>
      <c r="AJ125" s="5">
        <f>IF($B124&lt;=Tabla5[[#This Row],[INVERSIONES FCI]],+Tabla5[[#This Row],[INVERSIONES FCI]]-AJ124,Tabla5[[#This Row],[INVERSIONES FCI]])</f>
        <v>9741514077.9392567</v>
      </c>
      <c r="AK125" s="5">
        <f>IF($B124&lt;=Tabla5[[#This Row],[INVERSIONES FCI]],+Tabla5[[#This Row],[INVERSIONES FCI]]-AK124,Tabla5[[#This Row],[INVERSIONES FCI]])</f>
        <v>9741514077.9392567</v>
      </c>
      <c r="AL125" s="5">
        <f>IF($B124&lt;=Tabla5[[#This Row],[INVERSIONES FCI]],+Tabla5[[#This Row],[INVERSIONES FCI]]-AL124,Tabla5[[#This Row],[INVERSIONES FCI]])</f>
        <v>9741514077.9392567</v>
      </c>
      <c r="AM125" s="5">
        <f>IF($B124&lt;=Tabla5[[#This Row],[INVERSIONES FCI]],+Tabla5[[#This Row],[INVERSIONES FCI]]-AM124,Tabla5[[#This Row],[INVERSIONES FCI]])</f>
        <v>9741514077.9392567</v>
      </c>
      <c r="AN125" s="5">
        <f>IF($B124&lt;=Tabla5[[#This Row],[INVERSIONES FCI]],+Tabla5[[#This Row],[INVERSIONES FCI]]-AN124,Tabla5[[#This Row],[INVERSIONES FCI]])</f>
        <v>9741514077.9392567</v>
      </c>
      <c r="AO125" s="5">
        <f>IF($B124&lt;=Tabla5[[#This Row],[INVERSIONES FCI]],+Tabla5[[#This Row],[INVERSIONES FCI]]-AO124,Tabla5[[#This Row],[INVERSIONES FCI]])</f>
        <v>9741514077.9392567</v>
      </c>
      <c r="AP125" s="5">
        <f>IF($B124&lt;=Tabla5[[#This Row],[INVERSIONES FCI]],+Tabla5[[#This Row],[INVERSIONES FCI]]-AP124,Tabla5[[#This Row],[INVERSIONES FCI]])</f>
        <v>9741514077.9392567</v>
      </c>
      <c r="AQ125" s="5">
        <f>IF($B124&lt;=Tabla5[[#This Row],[INVERSIONES FCI]],+Tabla5[[#This Row],[INVERSIONES FCI]]-AQ124,Tabla5[[#This Row],[INVERSIONES FCI]])</f>
        <v>9741514077.9392567</v>
      </c>
      <c r="AR125" s="5">
        <f>IF($B124&lt;=Tabla5[[#This Row],[INVERSIONES FCI]],+Tabla5[[#This Row],[INVERSIONES FCI]]-AR124,Tabla5[[#This Row],[INVERSIONES FCI]])</f>
        <v>9741514077.9392567</v>
      </c>
      <c r="AS125" s="5">
        <f>IF($B124&lt;=Tabla5[[#This Row],[INVERSIONES FCI]],+Tabla5[[#This Row],[INVERSIONES FCI]]-AS124,Tabla5[[#This Row],[INVERSIONES FCI]])</f>
        <v>9741514077.9392567</v>
      </c>
      <c r="AT125" s="5">
        <f>IF($B124&lt;=Tabla5[[#This Row],[INVERSIONES FCI]],+Tabla5[[#This Row],[INVERSIONES FCI]]-AT124,Tabla5[[#This Row],[INVERSIONES FCI]])</f>
        <v>9741514077.9392567</v>
      </c>
      <c r="AU125" s="5">
        <f>IF($B124&lt;=Tabla5[[#This Row],[INVERSIONES FCI]],+Tabla5[[#This Row],[INVERSIONES FCI]]-AU124,Tabla5[[#This Row],[INVERSIONES FCI]])</f>
        <v>9741514077.9392567</v>
      </c>
      <c r="AV125" s="5">
        <f>IF($B124&lt;=Tabla5[[#This Row],[INVERSIONES FCI]],+Tabla5[[#This Row],[INVERSIONES FCI]]-AV124,Tabla5[[#This Row],[INVERSIONES FCI]])</f>
        <v>9741514077.9392567</v>
      </c>
      <c r="AW125" s="5">
        <f>IF($B124&lt;=Tabla5[[#This Row],[INVERSIONES FCI]],+Tabla5[[#This Row],[INVERSIONES FCI]]-AW124,Tabla5[[#This Row],[INVERSIONES FCI]])</f>
        <v>9741514077.9392567</v>
      </c>
      <c r="AX125" s="5">
        <f>IF($B124&lt;=Tabla5[[#This Row],[INVERSIONES FCI]],+Tabla5[[#This Row],[INVERSIONES FCI]]-AX124,Tabla5[[#This Row],[INVERSIONES FCI]])</f>
        <v>9741514077.9392567</v>
      </c>
      <c r="AY125" s="5">
        <f>IF($B124&lt;=Tabla5[[#This Row],[INVERSIONES FCI]],+Tabla5[[#This Row],[INVERSIONES FCI]]-AY124,Tabla5[[#This Row],[INVERSIONES FCI]])</f>
        <v>9741514077.9392567</v>
      </c>
      <c r="AZ125" s="5">
        <f>IF($B124&lt;=Tabla5[[#This Row],[INVERSIONES FCI]],+Tabla5[[#This Row],[INVERSIONES FCI]]-AZ124,Tabla5[[#This Row],[INVERSIONES FCI]])</f>
        <v>9741514077.9392567</v>
      </c>
      <c r="BA125" s="5">
        <f>IF($B124&lt;=Tabla5[[#This Row],[INVERSIONES FCI]],+Tabla5[[#This Row],[INVERSIONES FCI]]-BA124,Tabla5[[#This Row],[INVERSIONES FCI]])</f>
        <v>9741514077.9392567</v>
      </c>
      <c r="BB125" s="5">
        <f>IF($B124&lt;=Tabla5[[#This Row],[INVERSIONES FCI]],+Tabla5[[#This Row],[INVERSIONES FCI]]-BB124,Tabla5[[#This Row],[INVERSIONES FCI]])</f>
        <v>9741514077.9392567</v>
      </c>
      <c r="BC125" s="5">
        <f>IF($B124&lt;=Tabla5[[#This Row],[INVERSIONES FCI]],+Tabla5[[#This Row],[INVERSIONES FCI]]-BC124,Tabla5[[#This Row],[INVERSIONES FCI]])</f>
        <v>9741514077.9392567</v>
      </c>
      <c r="BD125" s="5">
        <f>IF($B124&lt;=Tabla5[[#This Row],[INVERSIONES FCI]],+Tabla5[[#This Row],[INVERSIONES FCI]]-BD124,Tabla5[[#This Row],[INVERSIONES FCI]])</f>
        <v>9741514077.9392567</v>
      </c>
      <c r="BE125" s="5">
        <f>IF($B124&lt;=Tabla5[[#This Row],[INVERSIONES FCI]],+Tabla5[[#This Row],[INVERSIONES FCI]]-BE124,Tabla5[[#This Row],[INVERSIONES FCI]])</f>
        <v>9741514077.9392567</v>
      </c>
      <c r="BF125" s="5">
        <f>IF($B124&lt;=Tabla5[[#This Row],[INVERSIONES FCI]],+Tabla5[[#This Row],[INVERSIONES FCI]]-BF124,Tabla5[[#This Row],[INVERSIONES FCI]])</f>
        <v>9741514077.9392567</v>
      </c>
      <c r="BG125" s="5">
        <f>IF($B124&lt;=Tabla5[[#This Row],[INVERSIONES FCI]],+Tabla5[[#This Row],[INVERSIONES FCI]]-BG124,Tabla5[[#This Row],[INVERSIONES FCI]])</f>
        <v>9741514077.9392567</v>
      </c>
      <c r="BH125" s="5">
        <f>IF($B124&lt;=Tabla5[[#This Row],[INVERSIONES FCI]],+Tabla5[[#This Row],[INVERSIONES FCI]]-BH124,Tabla5[[#This Row],[INVERSIONES FCI]])</f>
        <v>9741514077.9392567</v>
      </c>
      <c r="BI125" s="5">
        <f>IF($B124&lt;=Tabla5[[#This Row],[INVERSIONES FCI]],+Tabla5[[#This Row],[INVERSIONES FCI]]-BI124,Tabla5[[#This Row],[INVERSIONES FCI]])</f>
        <v>9741514077.9392567</v>
      </c>
      <c r="BJ125" s="5">
        <f>IF($B124&lt;=Tabla5[[#This Row],[INVERSIONES FCI]],+Tabla5[[#This Row],[INVERSIONES FCI]]-BJ124,Tabla5[[#This Row],[INVERSIONES FCI]])</f>
        <v>9741514077.9392567</v>
      </c>
      <c r="BK125" s="5">
        <f>IF($B124&lt;=Tabla5[[#This Row],[INVERSIONES FCI]],+Tabla5[[#This Row],[INVERSIONES FCI]]-BK124,Tabla5[[#This Row],[INVERSIONES FCI]])</f>
        <v>9741514077.9392567</v>
      </c>
      <c r="BL125" s="5">
        <f>IF($B124&lt;=Tabla5[[#This Row],[INVERSIONES FCI]],+Tabla5[[#This Row],[INVERSIONES FCI]]-BL124,Tabla5[[#This Row],[INVERSIONES FCI]])</f>
        <v>9741514077.9392567</v>
      </c>
      <c r="BM125" s="5">
        <f>IF($B124&lt;=Tabla5[[#This Row],[INVERSIONES FCI]],+Tabla5[[#This Row],[INVERSIONES FCI]]-BM124,Tabla5[[#This Row],[INVERSIONES FCI]])</f>
        <v>9741514077.9392567</v>
      </c>
      <c r="BN125" s="5">
        <f>IF($B124&lt;=Tabla5[[#This Row],[INVERSIONES FCI]],+Tabla5[[#This Row],[INVERSIONES FCI]]-BN124,Tabla5[[#This Row],[INVERSIONES FCI]])</f>
        <v>9741514077.9392567</v>
      </c>
      <c r="BO125" s="5">
        <f>IF($B124&lt;=Tabla5[[#This Row],[INVERSIONES FCI]],+Tabla5[[#This Row],[INVERSIONES FCI]]-BO124,Tabla5[[#This Row],[INVERSIONES FCI]])</f>
        <v>9741514077.9392567</v>
      </c>
      <c r="BP125" s="5">
        <f>IF($B124&lt;=Tabla5[[#This Row],[INVERSIONES FCI]],+Tabla5[[#This Row],[INVERSIONES FCI]]-BP124,Tabla5[[#This Row],[INVERSIONES FCI]])</f>
        <v>9741514077.9392567</v>
      </c>
      <c r="BQ125" s="5">
        <f>IF($B124&lt;=Tabla5[[#This Row],[INVERSIONES FCI]],+Tabla5[[#This Row],[INVERSIONES FCI]]-BQ124,Tabla5[[#This Row],[INVERSIONES FCI]])</f>
        <v>9741514077.9392567</v>
      </c>
      <c r="BR125" s="5">
        <f>IF($B124&lt;=Tabla5[[#This Row],[INVERSIONES FCI]],+Tabla5[[#This Row],[INVERSIONES FCI]]-BR124,Tabla5[[#This Row],[INVERSIONES FCI]])</f>
        <v>9741514077.9392567</v>
      </c>
      <c r="BS125" s="5">
        <f>IF($B124&lt;=Tabla5[[#This Row],[INVERSIONES FCI]],+Tabla5[[#This Row],[INVERSIONES FCI]]-BS124,Tabla5[[#This Row],[INVERSIONES FCI]])</f>
        <v>9741514077.9392567</v>
      </c>
      <c r="BT125" s="5">
        <f>IF($B124&lt;=Tabla5[[#This Row],[INVERSIONES FCI]],+Tabla5[[#This Row],[INVERSIONES FCI]]-BT124,Tabla5[[#This Row],[INVERSIONES FCI]])</f>
        <v>9741514077.9392567</v>
      </c>
      <c r="BU125" s="5">
        <f>IF($B124&lt;=Tabla5[[#This Row],[INVERSIONES FCI]],+Tabla5[[#This Row],[INVERSIONES FCI]]-BU124,Tabla5[[#This Row],[INVERSIONES FCI]])</f>
        <v>9741514077.9392567</v>
      </c>
      <c r="BV125" s="5">
        <f>IF($B124&lt;=Tabla5[[#This Row],[INVERSIONES FCI]],+Tabla5[[#This Row],[INVERSIONES FCI]]-BV124,Tabla5[[#This Row],[INVERSIONES FCI]])</f>
        <v>9741514077.9392567</v>
      </c>
      <c r="BW125" s="5">
        <f>IF($B124&lt;=Tabla5[[#This Row],[INVERSIONES FCI]],+Tabla5[[#This Row],[INVERSIONES FCI]]-BW124,Tabla5[[#This Row],[INVERSIONES FCI]])</f>
        <v>9741514077.9392567</v>
      </c>
      <c r="BX125" s="5">
        <f>IF($B124&lt;=Tabla5[[#This Row],[INVERSIONES FCI]],+Tabla5[[#This Row],[INVERSIONES FCI]]-BX124,Tabla5[[#This Row],[INVERSIONES FCI]])</f>
        <v>9741514077.9392567</v>
      </c>
      <c r="BY125" s="5">
        <f>IF($B124&lt;=Tabla5[[#This Row],[INVERSIONES FCI]],+Tabla5[[#This Row],[INVERSIONES FCI]]-BY124,Tabla5[[#This Row],[INVERSIONES FCI]])</f>
        <v>9741514077.9392567</v>
      </c>
      <c r="BZ125" s="5">
        <f>IF($B124&lt;=Tabla5[[#This Row],[INVERSIONES FCI]],+Tabla5[[#This Row],[INVERSIONES FCI]]-BZ124,Tabla5[[#This Row],[INVERSIONES FCI]])</f>
        <v>9741514077.9392567</v>
      </c>
      <c r="CA125" s="5">
        <f>IF($B124&lt;=Tabla5[[#This Row],[INVERSIONES FCI]],+Tabla5[[#This Row],[INVERSIONES FCI]]-CA124,Tabla5[[#This Row],[INVERSIONES FCI]])</f>
        <v>9741514077.9392567</v>
      </c>
      <c r="CB125" s="5">
        <f>IF($B124&lt;=Tabla5[[#This Row],[INVERSIONES FCI]],+Tabla5[[#This Row],[INVERSIONES FCI]]-CB124,Tabla5[[#This Row],[INVERSIONES FCI]])</f>
        <v>9741514077.9392567</v>
      </c>
      <c r="CC125" s="5">
        <f>IF($B124&lt;=Tabla5[[#This Row],[INVERSIONES FCI]],+Tabla5[[#This Row],[INVERSIONES FCI]]-CC124,Tabla5[[#This Row],[INVERSIONES FCI]])</f>
        <v>9741514077.9392567</v>
      </c>
      <c r="CD125" s="5">
        <f>IF($B124&lt;=Tabla5[[#This Row],[INVERSIONES FCI]],+Tabla5[[#This Row],[INVERSIONES FCI]]-CD124,Tabla5[[#This Row],[INVERSIONES FCI]])</f>
        <v>9741514077.9392567</v>
      </c>
      <c r="CE125" s="5">
        <f>IF($B124&lt;=Tabla5[[#This Row],[INVERSIONES FCI]],+Tabla5[[#This Row],[INVERSIONES FCI]]-CE124,Tabla5[[#This Row],[INVERSIONES FCI]])</f>
        <v>9741514077.9392567</v>
      </c>
      <c r="CF125" s="5">
        <f>IF($B124&lt;=Tabla5[[#This Row],[INVERSIONES FCI]],+Tabla5[[#This Row],[INVERSIONES FCI]]-CF124,Tabla5[[#This Row],[INVERSIONES FCI]])</f>
        <v>9741514077.9392567</v>
      </c>
      <c r="CG125" s="5">
        <f>IF($B124&lt;=Tabla5[[#This Row],[INVERSIONES FCI]],+Tabla5[[#This Row],[INVERSIONES FCI]]-CG124,Tabla5[[#This Row],[INVERSIONES FCI]])</f>
        <v>9741514077.9392567</v>
      </c>
      <c r="CH125" s="5">
        <f>IF($B124&lt;=Tabla5[[#This Row],[INVERSIONES FCI]],+Tabla5[[#This Row],[INVERSIONES FCI]]-CH124,Tabla5[[#This Row],[INVERSIONES FCI]])</f>
        <v>9741514077.9392567</v>
      </c>
      <c r="CI125" s="5">
        <f>IF($B124&lt;=Tabla5[[#This Row],[INVERSIONES FCI]],+Tabla5[[#This Row],[INVERSIONES FCI]]-CI124,Tabla5[[#This Row],[INVERSIONES FCI]])</f>
        <v>9741514077.9392567</v>
      </c>
      <c r="CJ125" s="5">
        <f>IF($B124&lt;=Tabla5[[#This Row],[INVERSIONES FCI]],+Tabla5[[#This Row],[INVERSIONES FCI]]-CJ124,Tabla5[[#This Row],[INVERSIONES FCI]])</f>
        <v>9741514077.9392567</v>
      </c>
      <c r="CK125" s="5">
        <f>IF($B124&lt;=Tabla5[[#This Row],[INVERSIONES FCI]],+Tabla5[[#This Row],[INVERSIONES FCI]]-CK124,Tabla5[[#This Row],[INVERSIONES FCI]])</f>
        <v>9741514077.9392567</v>
      </c>
      <c r="CL125" s="5">
        <f>IF($B124&lt;=Tabla5[[#This Row],[INVERSIONES FCI]],+Tabla5[[#This Row],[INVERSIONES FCI]]-CL124,Tabla5[[#This Row],[INVERSIONES FCI]])</f>
        <v>9741514077.9392567</v>
      </c>
      <c r="CM125" s="5">
        <f>IF($B124&lt;=Tabla5[[#This Row],[INVERSIONES FCI]],+Tabla5[[#This Row],[INVERSIONES FCI]]-CM124,Tabla5[[#This Row],[INVERSIONES FCI]])</f>
        <v>9741514077.9392567</v>
      </c>
      <c r="CN125" s="5">
        <f>IF($B124&lt;=Tabla5[[#This Row],[INVERSIONES FCI]],+Tabla5[[#This Row],[INVERSIONES FCI]]-CN124,Tabla5[[#This Row],[INVERSIONES FCI]])</f>
        <v>9741514077.9392567</v>
      </c>
      <c r="CO125" s="5">
        <f>IF($B124&lt;=Tabla5[[#This Row],[INVERSIONES FCI]],+Tabla5[[#This Row],[INVERSIONES FCI]]-CO124,Tabla5[[#This Row],[INVERSIONES FCI]])</f>
        <v>9741514077.9392567</v>
      </c>
      <c r="CP125" s="5">
        <f>IF($B124&lt;=Tabla5[[#This Row],[INVERSIONES FCI]],+Tabla5[[#This Row],[INVERSIONES FCI]]-CP124,Tabla5[[#This Row],[INVERSIONES FCI]])</f>
        <v>9741514077.9392567</v>
      </c>
      <c r="CQ125" s="5">
        <f>IF($B124&lt;=Tabla5[[#This Row],[INVERSIONES FCI]],+Tabla5[[#This Row],[INVERSIONES FCI]]-CQ124,Tabla5[[#This Row],[INVERSIONES FCI]])</f>
        <v>9741514077.9392567</v>
      </c>
      <c r="CR125" s="5">
        <f>IF($B124&lt;=Tabla5[[#This Row],[INVERSIONES FCI]],+Tabla5[[#This Row],[INVERSIONES FCI]]-CR124,Tabla5[[#This Row],[INVERSIONES FCI]])</f>
        <v>9741514077.9392567</v>
      </c>
      <c r="CS125" s="5">
        <f>IF($B124&lt;=Tabla5[[#This Row],[INVERSIONES FCI]],+Tabla5[[#This Row],[INVERSIONES FCI]]-CS124,Tabla5[[#This Row],[INVERSIONES FCI]])</f>
        <v>9741514077.9392567</v>
      </c>
      <c r="CT125" s="5">
        <f>IF($B124&lt;=Tabla5[[#This Row],[INVERSIONES FCI]],+Tabla5[[#This Row],[INVERSIONES FCI]]-CT124,Tabla5[[#This Row],[INVERSIONES FCI]])</f>
        <v>9741514077.9392567</v>
      </c>
      <c r="CU125" s="5">
        <f>IF($B124&lt;=Tabla5[[#This Row],[INVERSIONES FCI]],+Tabla5[[#This Row],[INVERSIONES FCI]]-CU124,Tabla5[[#This Row],[INVERSIONES FCI]])</f>
        <v>9741514077.9392567</v>
      </c>
      <c r="CV125" s="5">
        <f>IF($B124&lt;=Tabla5[[#This Row],[INVERSIONES FCI]],+Tabla5[[#This Row],[INVERSIONES FCI]]-CV124,Tabla5[[#This Row],[INVERSIONES FCI]])</f>
        <v>9741514077.9392567</v>
      </c>
      <c r="CW125" s="5">
        <f>IF($B124&lt;=Tabla5[[#This Row],[INVERSIONES FCI]],+Tabla5[[#This Row],[INVERSIONES FCI]]-CW124,Tabla5[[#This Row],[INVERSIONES FCI]])</f>
        <v>9741514077.9392567</v>
      </c>
      <c r="CX125" s="5">
        <f>IF($B124&lt;=Tabla5[[#This Row],[INVERSIONES FCI]],+Tabla5[[#This Row],[INVERSIONES FCI]]-CX124,Tabla5[[#This Row],[INVERSIONES FCI]])</f>
        <v>9741514077.9392567</v>
      </c>
      <c r="CY125" s="5">
        <f>IF($B124&lt;=Tabla5[[#This Row],[INVERSIONES FCI]],+Tabla5[[#This Row],[INVERSIONES FCI]]-CY124,Tabla5[[#This Row],[INVERSIONES FCI]])</f>
        <v>9741514077.9392567</v>
      </c>
      <c r="CZ125" s="5">
        <f>IF($B124&lt;=Tabla5[[#This Row],[INVERSIONES FCI]],+Tabla5[[#This Row],[INVERSIONES FCI]]-CZ124,Tabla5[[#This Row],[INVERSIONES FCI]])</f>
        <v>9741514077.9392567</v>
      </c>
      <c r="DA125" s="5">
        <f>IF($B124&lt;=Tabla5[[#This Row],[INVERSIONES FCI]],+Tabla5[[#This Row],[INVERSIONES FCI]]-DA124,Tabla5[[#This Row],[INVERSIONES FCI]])</f>
        <v>9741514077.9392567</v>
      </c>
      <c r="DB125" s="5">
        <f>IF($B124&lt;=Tabla5[[#This Row],[INVERSIONES FCI]],+Tabla5[[#This Row],[INVERSIONES FCI]]-DB124,Tabla5[[#This Row],[INVERSIONES FCI]])</f>
        <v>9741514077.9392567</v>
      </c>
      <c r="DC125" s="5">
        <f>IF($B124&lt;=Tabla5[[#This Row],[INVERSIONES FCI]],+Tabla5[[#This Row],[INVERSIONES FCI]]-DC124,Tabla5[[#This Row],[INVERSIONES FCI]])</f>
        <v>9741514077.9392567</v>
      </c>
      <c r="DD125" s="5">
        <f>IF($B124&lt;=Tabla5[[#This Row],[INVERSIONES FCI]],+Tabla5[[#This Row],[INVERSIONES FCI]]-DD124,Tabla5[[#This Row],[INVERSIONES FCI]])</f>
        <v>9741514077.9392567</v>
      </c>
      <c r="DE125" s="5">
        <f>IF($B124&lt;=Tabla5[[#This Row],[INVERSIONES FCI]],+Tabla5[[#This Row],[INVERSIONES FCI]]-DE124,Tabla5[[#This Row],[INVERSIONES FCI]])</f>
        <v>9741514077.9392567</v>
      </c>
      <c r="DF125" s="5">
        <f>IF($B124&lt;=Tabla5[[#This Row],[INVERSIONES FCI]],+Tabla5[[#This Row],[INVERSIONES FCI]]-DF124,Tabla5[[#This Row],[INVERSIONES FCI]])</f>
        <v>9741514077.9392567</v>
      </c>
      <c r="DG125" s="5">
        <f>IF($B124&lt;=Tabla5[[#This Row],[INVERSIONES FCI]],+Tabla5[[#This Row],[INVERSIONES FCI]]-DG124,Tabla5[[#This Row],[INVERSIONES FCI]])</f>
        <v>9741514077.9392567</v>
      </c>
      <c r="DH125" s="5">
        <f>IF($B124&lt;=Tabla5[[#This Row],[INVERSIONES FCI]],+Tabla5[[#This Row],[INVERSIONES FCI]]-DH124,Tabla5[[#This Row],[INVERSIONES FCI]])</f>
        <v>9741514077.9392567</v>
      </c>
      <c r="DI125" s="5">
        <f>IF($B124&lt;=Tabla5[[#This Row],[INVERSIONES FCI]],+Tabla5[[#This Row],[INVERSIONES FCI]]-DI124,Tabla5[[#This Row],[INVERSIONES FCI]])</f>
        <v>9741514077.9392567</v>
      </c>
      <c r="DJ125" s="5">
        <f>IF($B124&lt;=Tabla5[[#This Row],[INVERSIONES FCI]],+Tabla5[[#This Row],[INVERSIONES FCI]]-DJ124,Tabla5[[#This Row],[INVERSIONES FCI]])</f>
        <v>9741514077.9392567</v>
      </c>
      <c r="DK125" s="5">
        <f>IF($B124&lt;=Tabla5[[#This Row],[INVERSIONES FCI]],+Tabla5[[#This Row],[INVERSIONES FCI]]-DK124,Tabla5[[#This Row],[INVERSIONES FCI]])</f>
        <v>9741514077.9392567</v>
      </c>
      <c r="DL125" s="5"/>
      <c r="DM125" s="5"/>
      <c r="DN125" s="5"/>
      <c r="DO125" s="5"/>
      <c r="DP125" s="5"/>
      <c r="DQ125" s="5"/>
    </row>
    <row r="126" spans="1:121" ht="14.4">
      <c r="A126" s="12" t="s">
        <v>125</v>
      </c>
      <c r="B126" s="5">
        <f>HLOOKUP($A126,ESCENARIO[#All],7,FALSE)</f>
        <v>10954361543.886801</v>
      </c>
      <c r="C126" s="5">
        <f>IF($B125&lt;=Tabla5[[#This Row],[INVERSIONES FCI]],+Tabla5[[#This Row],[INVERSIONES FCI]]-C125,Tabla5[[#This Row],[INVERSIONES FCI]])</f>
        <v>1212847465.9475441</v>
      </c>
      <c r="D126" s="5">
        <f>IF($B125&lt;=Tabla5[[#This Row],[INVERSIONES FCI]],+Tabla5[[#This Row],[INVERSIONES FCI]]-D125,Tabla5[[#This Row],[INVERSIONES FCI]])</f>
        <v>1212847465.9475441</v>
      </c>
      <c r="E126" s="5">
        <f>IF($B125&lt;=Tabla5[[#This Row],[INVERSIONES FCI]],+Tabla5[[#This Row],[INVERSIONES FCI]]-E125,Tabla5[[#This Row],[INVERSIONES FCI]])</f>
        <v>1212847465.9475441</v>
      </c>
      <c r="F126" s="5">
        <f>IF($B125&lt;=Tabla5[[#This Row],[INVERSIONES FCI]],+Tabla5[[#This Row],[INVERSIONES FCI]]-F125,Tabla5[[#This Row],[INVERSIONES FCI]])</f>
        <v>1212847465.9475441</v>
      </c>
      <c r="G126" s="5">
        <f>IF($B125&lt;=Tabla5[[#This Row],[INVERSIONES FCI]],+Tabla5[[#This Row],[INVERSIONES FCI]]-G125,Tabla5[[#This Row],[INVERSIONES FCI]])</f>
        <v>1212847465.9475441</v>
      </c>
      <c r="H126" s="5">
        <f>IF($B125&lt;=Tabla5[[#This Row],[INVERSIONES FCI]],+Tabla5[[#This Row],[INVERSIONES FCI]]-H125,Tabla5[[#This Row],[INVERSIONES FCI]])</f>
        <v>1212847465.9475441</v>
      </c>
      <c r="I126" s="5">
        <f>IF($B125&lt;=Tabla5[[#This Row],[INVERSIONES FCI]],+Tabla5[[#This Row],[INVERSIONES FCI]]-I125,Tabla5[[#This Row],[INVERSIONES FCI]])</f>
        <v>1212847465.9475441</v>
      </c>
      <c r="J126" s="5">
        <f>IF($B125&lt;=Tabla5[[#This Row],[INVERSIONES FCI]],+Tabla5[[#This Row],[INVERSIONES FCI]]-J125,Tabla5[[#This Row],[INVERSIONES FCI]])</f>
        <v>1212847465.9475441</v>
      </c>
      <c r="K126" s="5">
        <f>IF($B125&lt;=Tabla5[[#This Row],[INVERSIONES FCI]],+Tabla5[[#This Row],[INVERSIONES FCI]]-K125,Tabla5[[#This Row],[INVERSIONES FCI]])</f>
        <v>1212847465.9475441</v>
      </c>
      <c r="L126" s="5">
        <f>IF($B125&lt;=Tabla5[[#This Row],[INVERSIONES FCI]],+Tabla5[[#This Row],[INVERSIONES FCI]]-L125,Tabla5[[#This Row],[INVERSIONES FCI]])</f>
        <v>1212847465.9475441</v>
      </c>
      <c r="M126" s="5">
        <f>IF($B125&lt;=Tabla5[[#This Row],[INVERSIONES FCI]],+Tabla5[[#This Row],[INVERSIONES FCI]]-M125,Tabla5[[#This Row],[INVERSIONES FCI]])</f>
        <v>1212847465.9475441</v>
      </c>
      <c r="N126" s="5">
        <f>IF($B125&lt;=Tabla5[[#This Row],[INVERSIONES FCI]],+Tabla5[[#This Row],[INVERSIONES FCI]]-N125,Tabla5[[#This Row],[INVERSIONES FCI]])</f>
        <v>1212847465.9475441</v>
      </c>
      <c r="O126" s="5">
        <f>IF($B125&lt;=Tabla5[[#This Row],[INVERSIONES FCI]],+Tabla5[[#This Row],[INVERSIONES FCI]]-O125,Tabla5[[#This Row],[INVERSIONES FCI]])</f>
        <v>1212847465.9475441</v>
      </c>
      <c r="P126" s="5">
        <f>IF($B125&lt;=Tabla5[[#This Row],[INVERSIONES FCI]],+Tabla5[[#This Row],[INVERSIONES FCI]]-P125,Tabla5[[#This Row],[INVERSIONES FCI]])</f>
        <v>1212847465.9475441</v>
      </c>
      <c r="Q126" s="5">
        <f>IF($B125&lt;=Tabla5[[#This Row],[INVERSIONES FCI]],+Tabla5[[#This Row],[INVERSIONES FCI]]-Q125,Tabla5[[#This Row],[INVERSIONES FCI]])</f>
        <v>1212847465.9475441</v>
      </c>
      <c r="R126" s="5">
        <f>IF($B125&lt;=Tabla5[[#This Row],[INVERSIONES FCI]],+Tabla5[[#This Row],[INVERSIONES FCI]]-R125,Tabla5[[#This Row],[INVERSIONES FCI]])</f>
        <v>1212847465.9475441</v>
      </c>
      <c r="S126" s="5">
        <f>IF($B125&lt;=Tabla5[[#This Row],[INVERSIONES FCI]],+Tabla5[[#This Row],[INVERSIONES FCI]]-S125,Tabla5[[#This Row],[INVERSIONES FCI]])</f>
        <v>1212847465.9475441</v>
      </c>
      <c r="T126" s="5">
        <f>IF($B125&lt;=Tabla5[[#This Row],[INVERSIONES FCI]],+Tabla5[[#This Row],[INVERSIONES FCI]]-T125,Tabla5[[#This Row],[INVERSIONES FCI]])</f>
        <v>1212847465.9475441</v>
      </c>
      <c r="U126" s="5">
        <f>IF($B125&lt;=Tabla5[[#This Row],[INVERSIONES FCI]],+Tabla5[[#This Row],[INVERSIONES FCI]]-U125,Tabla5[[#This Row],[INVERSIONES FCI]])</f>
        <v>1212847465.9475441</v>
      </c>
      <c r="V126" s="5">
        <f>IF($B125&lt;=Tabla5[[#This Row],[INVERSIONES FCI]],+Tabla5[[#This Row],[INVERSIONES FCI]]-V125,Tabla5[[#This Row],[INVERSIONES FCI]])</f>
        <v>1212847465.9475441</v>
      </c>
      <c r="W126" s="5">
        <f>IF($B125&lt;=Tabla5[[#This Row],[INVERSIONES FCI]],+Tabla5[[#This Row],[INVERSIONES FCI]]-W125,Tabla5[[#This Row],[INVERSIONES FCI]])</f>
        <v>1212847465.9475441</v>
      </c>
      <c r="X126" s="5">
        <f>IF($B125&lt;=Tabla5[[#This Row],[INVERSIONES FCI]],+Tabla5[[#This Row],[INVERSIONES FCI]]-X125,Tabla5[[#This Row],[INVERSIONES FCI]])</f>
        <v>1212847465.9475441</v>
      </c>
      <c r="Y126" s="5">
        <f>IF($B125&lt;=Tabla5[[#This Row],[INVERSIONES FCI]],+Tabla5[[#This Row],[INVERSIONES FCI]]-Y125,Tabla5[[#This Row],[INVERSIONES FCI]])</f>
        <v>1212847465.9475441</v>
      </c>
      <c r="Z126" s="5">
        <f>IF($B125&lt;=Tabla5[[#This Row],[INVERSIONES FCI]],+Tabla5[[#This Row],[INVERSIONES FCI]]-Z125,Tabla5[[#This Row],[INVERSIONES FCI]])</f>
        <v>1212847465.9475441</v>
      </c>
      <c r="AA126" s="5">
        <f>IF($B125&lt;=Tabla5[[#This Row],[INVERSIONES FCI]],+Tabla5[[#This Row],[INVERSIONES FCI]]-AA125,Tabla5[[#This Row],[INVERSIONES FCI]])</f>
        <v>1212847465.9475441</v>
      </c>
      <c r="AB126" s="5">
        <f>IF($B125&lt;=Tabla5[[#This Row],[INVERSIONES FCI]],+Tabla5[[#This Row],[INVERSIONES FCI]]-AB125,Tabla5[[#This Row],[INVERSIONES FCI]])</f>
        <v>1212847465.9475441</v>
      </c>
      <c r="AC126" s="5">
        <f>IF($B125&lt;=Tabla5[[#This Row],[INVERSIONES FCI]],+Tabla5[[#This Row],[INVERSIONES FCI]]-AC125,Tabla5[[#This Row],[INVERSIONES FCI]])</f>
        <v>1212847465.9475441</v>
      </c>
      <c r="AD126" s="5">
        <f>IF($B125&lt;=Tabla5[[#This Row],[INVERSIONES FCI]],+Tabla5[[#This Row],[INVERSIONES FCI]]-AD125,Tabla5[[#This Row],[INVERSIONES FCI]])</f>
        <v>1212847465.9475441</v>
      </c>
      <c r="AE126" s="5">
        <f>IF($B125&lt;=Tabla5[[#This Row],[INVERSIONES FCI]],+Tabla5[[#This Row],[INVERSIONES FCI]]-AE125,Tabla5[[#This Row],[INVERSIONES FCI]])</f>
        <v>1212847465.9475441</v>
      </c>
      <c r="AF126" s="5">
        <f>IF($B125&lt;=Tabla5[[#This Row],[INVERSIONES FCI]],+Tabla5[[#This Row],[INVERSIONES FCI]]-AF125,Tabla5[[#This Row],[INVERSIONES FCI]])</f>
        <v>1212847465.9475441</v>
      </c>
      <c r="AG126" s="5">
        <f>IF($B125&lt;=Tabla5[[#This Row],[INVERSIONES FCI]],+Tabla5[[#This Row],[INVERSIONES FCI]]-AG125,Tabla5[[#This Row],[INVERSIONES FCI]])</f>
        <v>1212847465.9475441</v>
      </c>
      <c r="AH126" s="5">
        <f>IF($B125&lt;=Tabla5[[#This Row],[INVERSIONES FCI]],+Tabla5[[#This Row],[INVERSIONES FCI]]-AH125,Tabla5[[#This Row],[INVERSIONES FCI]])</f>
        <v>1212847465.9475441</v>
      </c>
      <c r="AI126" s="5">
        <f>IF($B125&lt;=Tabla5[[#This Row],[INVERSIONES FCI]],+Tabla5[[#This Row],[INVERSIONES FCI]]-AI125,Tabla5[[#This Row],[INVERSIONES FCI]])</f>
        <v>1212847465.9475441</v>
      </c>
      <c r="AJ126" s="5">
        <f>IF($B125&lt;=Tabla5[[#This Row],[INVERSIONES FCI]],+Tabla5[[#This Row],[INVERSIONES FCI]]-AJ125,Tabla5[[#This Row],[INVERSIONES FCI]])</f>
        <v>1212847465.9475441</v>
      </c>
      <c r="AK126" s="5">
        <f>IF($B125&lt;=Tabla5[[#This Row],[INVERSIONES FCI]],+Tabla5[[#This Row],[INVERSIONES FCI]]-AK125,Tabla5[[#This Row],[INVERSIONES FCI]])</f>
        <v>1212847465.9475441</v>
      </c>
      <c r="AL126" s="5">
        <f>IF($B125&lt;=Tabla5[[#This Row],[INVERSIONES FCI]],+Tabla5[[#This Row],[INVERSIONES FCI]]-AL125,Tabla5[[#This Row],[INVERSIONES FCI]])</f>
        <v>1212847465.9475441</v>
      </c>
      <c r="AM126" s="5">
        <f>IF($B125&lt;=Tabla5[[#This Row],[INVERSIONES FCI]],+Tabla5[[#This Row],[INVERSIONES FCI]]-AM125,Tabla5[[#This Row],[INVERSIONES FCI]])</f>
        <v>1212847465.9475441</v>
      </c>
      <c r="AN126" s="5">
        <f>IF($B125&lt;=Tabla5[[#This Row],[INVERSIONES FCI]],+Tabla5[[#This Row],[INVERSIONES FCI]]-AN125,Tabla5[[#This Row],[INVERSIONES FCI]])</f>
        <v>1212847465.9475441</v>
      </c>
      <c r="AO126" s="5">
        <f>IF($B125&lt;=Tabla5[[#This Row],[INVERSIONES FCI]],+Tabla5[[#This Row],[INVERSIONES FCI]]-AO125,Tabla5[[#This Row],[INVERSIONES FCI]])</f>
        <v>1212847465.9475441</v>
      </c>
      <c r="AP126" s="5">
        <f>IF($B125&lt;=Tabla5[[#This Row],[INVERSIONES FCI]],+Tabla5[[#This Row],[INVERSIONES FCI]]-AP125,Tabla5[[#This Row],[INVERSIONES FCI]])</f>
        <v>1212847465.9475441</v>
      </c>
      <c r="AQ126" s="5">
        <f>IF($B125&lt;=Tabla5[[#This Row],[INVERSIONES FCI]],+Tabla5[[#This Row],[INVERSIONES FCI]]-AQ125,Tabla5[[#This Row],[INVERSIONES FCI]])</f>
        <v>1212847465.9475441</v>
      </c>
      <c r="AR126" s="5">
        <f>IF($B125&lt;=Tabla5[[#This Row],[INVERSIONES FCI]],+Tabla5[[#This Row],[INVERSIONES FCI]]-AR125,Tabla5[[#This Row],[INVERSIONES FCI]])</f>
        <v>1212847465.9475441</v>
      </c>
      <c r="AS126" s="5">
        <f>IF($B125&lt;=Tabla5[[#This Row],[INVERSIONES FCI]],+Tabla5[[#This Row],[INVERSIONES FCI]]-AS125,Tabla5[[#This Row],[INVERSIONES FCI]])</f>
        <v>1212847465.9475441</v>
      </c>
      <c r="AT126" s="5">
        <f>IF($B125&lt;=Tabla5[[#This Row],[INVERSIONES FCI]],+Tabla5[[#This Row],[INVERSIONES FCI]]-AT125,Tabla5[[#This Row],[INVERSIONES FCI]])</f>
        <v>1212847465.9475441</v>
      </c>
      <c r="AU126" s="5">
        <f>IF($B125&lt;=Tabla5[[#This Row],[INVERSIONES FCI]],+Tabla5[[#This Row],[INVERSIONES FCI]]-AU125,Tabla5[[#This Row],[INVERSIONES FCI]])</f>
        <v>1212847465.9475441</v>
      </c>
      <c r="AV126" s="5">
        <f>IF($B125&lt;=Tabla5[[#This Row],[INVERSIONES FCI]],+Tabla5[[#This Row],[INVERSIONES FCI]]-AV125,Tabla5[[#This Row],[INVERSIONES FCI]])</f>
        <v>1212847465.9475441</v>
      </c>
      <c r="AW126" s="5">
        <f>IF($B125&lt;=Tabla5[[#This Row],[INVERSIONES FCI]],+Tabla5[[#This Row],[INVERSIONES FCI]]-AW125,Tabla5[[#This Row],[INVERSIONES FCI]])</f>
        <v>1212847465.9475441</v>
      </c>
      <c r="AX126" s="5">
        <f>IF($B125&lt;=Tabla5[[#This Row],[INVERSIONES FCI]],+Tabla5[[#This Row],[INVERSIONES FCI]]-AX125,Tabla5[[#This Row],[INVERSIONES FCI]])</f>
        <v>1212847465.9475441</v>
      </c>
      <c r="AY126" s="5">
        <f>IF($B125&lt;=Tabla5[[#This Row],[INVERSIONES FCI]],+Tabla5[[#This Row],[INVERSIONES FCI]]-AY125,Tabla5[[#This Row],[INVERSIONES FCI]])</f>
        <v>1212847465.9475441</v>
      </c>
      <c r="AZ126" s="5">
        <f>IF($B125&lt;=Tabla5[[#This Row],[INVERSIONES FCI]],+Tabla5[[#This Row],[INVERSIONES FCI]]-AZ125,Tabla5[[#This Row],[INVERSIONES FCI]])</f>
        <v>1212847465.9475441</v>
      </c>
      <c r="BA126" s="5">
        <f>IF($B125&lt;=Tabla5[[#This Row],[INVERSIONES FCI]],+Tabla5[[#This Row],[INVERSIONES FCI]]-BA125,Tabla5[[#This Row],[INVERSIONES FCI]])</f>
        <v>1212847465.9475441</v>
      </c>
      <c r="BB126" s="5">
        <f>IF($B125&lt;=Tabla5[[#This Row],[INVERSIONES FCI]],+Tabla5[[#This Row],[INVERSIONES FCI]]-BB125,Tabla5[[#This Row],[INVERSIONES FCI]])</f>
        <v>1212847465.9475441</v>
      </c>
      <c r="BC126" s="5">
        <f>IF($B125&lt;=Tabla5[[#This Row],[INVERSIONES FCI]],+Tabla5[[#This Row],[INVERSIONES FCI]]-BC125,Tabla5[[#This Row],[INVERSIONES FCI]])</f>
        <v>1212847465.9475441</v>
      </c>
      <c r="BD126" s="5">
        <f>IF($B125&lt;=Tabla5[[#This Row],[INVERSIONES FCI]],+Tabla5[[#This Row],[INVERSIONES FCI]]-BD125,Tabla5[[#This Row],[INVERSIONES FCI]])</f>
        <v>1212847465.9475441</v>
      </c>
      <c r="BE126" s="5">
        <f>IF($B125&lt;=Tabla5[[#This Row],[INVERSIONES FCI]],+Tabla5[[#This Row],[INVERSIONES FCI]]-BE125,Tabla5[[#This Row],[INVERSIONES FCI]])</f>
        <v>1212847465.9475441</v>
      </c>
      <c r="BF126" s="5">
        <f>IF($B125&lt;=Tabla5[[#This Row],[INVERSIONES FCI]],+Tabla5[[#This Row],[INVERSIONES FCI]]-BF125,Tabla5[[#This Row],[INVERSIONES FCI]])</f>
        <v>1212847465.9475441</v>
      </c>
      <c r="BG126" s="5">
        <f>IF($B125&lt;=Tabla5[[#This Row],[INVERSIONES FCI]],+Tabla5[[#This Row],[INVERSIONES FCI]]-BG125,Tabla5[[#This Row],[INVERSIONES FCI]])</f>
        <v>1212847465.9475441</v>
      </c>
      <c r="BH126" s="5">
        <f>IF($B125&lt;=Tabla5[[#This Row],[INVERSIONES FCI]],+Tabla5[[#This Row],[INVERSIONES FCI]]-BH125,Tabla5[[#This Row],[INVERSIONES FCI]])</f>
        <v>1212847465.9475441</v>
      </c>
      <c r="BI126" s="5">
        <f>IF($B125&lt;=Tabla5[[#This Row],[INVERSIONES FCI]],+Tabla5[[#This Row],[INVERSIONES FCI]]-BI125,Tabla5[[#This Row],[INVERSIONES FCI]])</f>
        <v>1212847465.9475441</v>
      </c>
      <c r="BJ126" s="5">
        <f>IF($B125&lt;=Tabla5[[#This Row],[INVERSIONES FCI]],+Tabla5[[#This Row],[INVERSIONES FCI]]-BJ125,Tabla5[[#This Row],[INVERSIONES FCI]])</f>
        <v>1212847465.9475441</v>
      </c>
      <c r="BK126" s="5">
        <f>IF($B125&lt;=Tabla5[[#This Row],[INVERSIONES FCI]],+Tabla5[[#This Row],[INVERSIONES FCI]]-BK125,Tabla5[[#This Row],[INVERSIONES FCI]])</f>
        <v>1212847465.9475441</v>
      </c>
      <c r="BL126" s="5">
        <f>IF($B125&lt;=Tabla5[[#This Row],[INVERSIONES FCI]],+Tabla5[[#This Row],[INVERSIONES FCI]]-BL125,Tabla5[[#This Row],[INVERSIONES FCI]])</f>
        <v>1212847465.9475441</v>
      </c>
      <c r="BM126" s="5">
        <f>IF($B125&lt;=Tabla5[[#This Row],[INVERSIONES FCI]],+Tabla5[[#This Row],[INVERSIONES FCI]]-BM125,Tabla5[[#This Row],[INVERSIONES FCI]])</f>
        <v>1212847465.9475441</v>
      </c>
      <c r="BN126" s="5">
        <f>IF($B125&lt;=Tabla5[[#This Row],[INVERSIONES FCI]],+Tabla5[[#This Row],[INVERSIONES FCI]]-BN125,Tabla5[[#This Row],[INVERSIONES FCI]])</f>
        <v>1212847465.9475441</v>
      </c>
      <c r="BO126" s="5">
        <f>IF($B125&lt;=Tabla5[[#This Row],[INVERSIONES FCI]],+Tabla5[[#This Row],[INVERSIONES FCI]]-BO125,Tabla5[[#This Row],[INVERSIONES FCI]])</f>
        <v>1212847465.9475441</v>
      </c>
      <c r="BP126" s="5">
        <f>IF($B125&lt;=Tabla5[[#This Row],[INVERSIONES FCI]],+Tabla5[[#This Row],[INVERSIONES FCI]]-BP125,Tabla5[[#This Row],[INVERSIONES FCI]])</f>
        <v>1212847465.9475441</v>
      </c>
      <c r="BQ126" s="5">
        <f>IF($B125&lt;=Tabla5[[#This Row],[INVERSIONES FCI]],+Tabla5[[#This Row],[INVERSIONES FCI]]-BQ125,Tabla5[[#This Row],[INVERSIONES FCI]])</f>
        <v>1212847465.9475441</v>
      </c>
      <c r="BR126" s="5">
        <f>IF($B125&lt;=Tabla5[[#This Row],[INVERSIONES FCI]],+Tabla5[[#This Row],[INVERSIONES FCI]]-BR125,Tabla5[[#This Row],[INVERSIONES FCI]])</f>
        <v>1212847465.9475441</v>
      </c>
      <c r="BS126" s="5">
        <f>IF($B125&lt;=Tabla5[[#This Row],[INVERSIONES FCI]],+Tabla5[[#This Row],[INVERSIONES FCI]]-BS125,Tabla5[[#This Row],[INVERSIONES FCI]])</f>
        <v>1212847465.9475441</v>
      </c>
      <c r="BT126" s="5">
        <f>IF($B125&lt;=Tabla5[[#This Row],[INVERSIONES FCI]],+Tabla5[[#This Row],[INVERSIONES FCI]]-BT125,Tabla5[[#This Row],[INVERSIONES FCI]])</f>
        <v>1212847465.9475441</v>
      </c>
      <c r="BU126" s="5">
        <f>IF($B125&lt;=Tabla5[[#This Row],[INVERSIONES FCI]],+Tabla5[[#This Row],[INVERSIONES FCI]]-BU125,Tabla5[[#This Row],[INVERSIONES FCI]])</f>
        <v>1212847465.9475441</v>
      </c>
      <c r="BV126" s="5">
        <f>IF($B125&lt;=Tabla5[[#This Row],[INVERSIONES FCI]],+Tabla5[[#This Row],[INVERSIONES FCI]]-BV125,Tabla5[[#This Row],[INVERSIONES FCI]])</f>
        <v>1212847465.9475441</v>
      </c>
      <c r="BW126" s="5">
        <f>IF($B125&lt;=Tabla5[[#This Row],[INVERSIONES FCI]],+Tabla5[[#This Row],[INVERSIONES FCI]]-BW125,Tabla5[[#This Row],[INVERSIONES FCI]])</f>
        <v>1212847465.9475441</v>
      </c>
      <c r="BX126" s="5">
        <f>IF($B125&lt;=Tabla5[[#This Row],[INVERSIONES FCI]],+Tabla5[[#This Row],[INVERSIONES FCI]]-BX125,Tabla5[[#This Row],[INVERSIONES FCI]])</f>
        <v>1212847465.9475441</v>
      </c>
      <c r="BY126" s="5">
        <f>IF($B125&lt;=Tabla5[[#This Row],[INVERSIONES FCI]],+Tabla5[[#This Row],[INVERSIONES FCI]]-BY125,Tabla5[[#This Row],[INVERSIONES FCI]])</f>
        <v>1212847465.9475441</v>
      </c>
      <c r="BZ126" s="5">
        <f>IF($B125&lt;=Tabla5[[#This Row],[INVERSIONES FCI]],+Tabla5[[#This Row],[INVERSIONES FCI]]-BZ125,Tabla5[[#This Row],[INVERSIONES FCI]])</f>
        <v>1212847465.9475441</v>
      </c>
      <c r="CA126" s="5">
        <f>IF($B125&lt;=Tabla5[[#This Row],[INVERSIONES FCI]],+Tabla5[[#This Row],[INVERSIONES FCI]]-CA125,Tabla5[[#This Row],[INVERSIONES FCI]])</f>
        <v>1212847465.9475441</v>
      </c>
      <c r="CB126" s="5">
        <f>IF($B125&lt;=Tabla5[[#This Row],[INVERSIONES FCI]],+Tabla5[[#This Row],[INVERSIONES FCI]]-CB125,Tabla5[[#This Row],[INVERSIONES FCI]])</f>
        <v>1212847465.9475441</v>
      </c>
      <c r="CC126" s="5">
        <f>IF($B125&lt;=Tabla5[[#This Row],[INVERSIONES FCI]],+Tabla5[[#This Row],[INVERSIONES FCI]]-CC125,Tabla5[[#This Row],[INVERSIONES FCI]])</f>
        <v>1212847465.9475441</v>
      </c>
      <c r="CD126" s="5">
        <f>IF($B125&lt;=Tabla5[[#This Row],[INVERSIONES FCI]],+Tabla5[[#This Row],[INVERSIONES FCI]]-CD125,Tabla5[[#This Row],[INVERSIONES FCI]])</f>
        <v>1212847465.9475441</v>
      </c>
      <c r="CE126" s="5">
        <f>IF($B125&lt;=Tabla5[[#This Row],[INVERSIONES FCI]],+Tabla5[[#This Row],[INVERSIONES FCI]]-CE125,Tabla5[[#This Row],[INVERSIONES FCI]])</f>
        <v>1212847465.9475441</v>
      </c>
      <c r="CF126" s="5">
        <f>IF($B125&lt;=Tabla5[[#This Row],[INVERSIONES FCI]],+Tabla5[[#This Row],[INVERSIONES FCI]]-CF125,Tabla5[[#This Row],[INVERSIONES FCI]])</f>
        <v>1212847465.9475441</v>
      </c>
      <c r="CG126" s="5">
        <f>IF($B125&lt;=Tabla5[[#This Row],[INVERSIONES FCI]],+Tabla5[[#This Row],[INVERSIONES FCI]]-CG125,Tabla5[[#This Row],[INVERSIONES FCI]])</f>
        <v>1212847465.9475441</v>
      </c>
      <c r="CH126" s="5">
        <f>IF($B125&lt;=Tabla5[[#This Row],[INVERSIONES FCI]],+Tabla5[[#This Row],[INVERSIONES FCI]]-CH125,Tabla5[[#This Row],[INVERSIONES FCI]])</f>
        <v>1212847465.9475441</v>
      </c>
      <c r="CI126" s="5">
        <f>IF($B125&lt;=Tabla5[[#This Row],[INVERSIONES FCI]],+Tabla5[[#This Row],[INVERSIONES FCI]]-CI125,Tabla5[[#This Row],[INVERSIONES FCI]])</f>
        <v>1212847465.9475441</v>
      </c>
      <c r="CJ126" s="5">
        <f>IF($B125&lt;=Tabla5[[#This Row],[INVERSIONES FCI]],+Tabla5[[#This Row],[INVERSIONES FCI]]-CJ125,Tabla5[[#This Row],[INVERSIONES FCI]])</f>
        <v>1212847465.9475441</v>
      </c>
      <c r="CK126" s="5">
        <f>IF($B125&lt;=Tabla5[[#This Row],[INVERSIONES FCI]],+Tabla5[[#This Row],[INVERSIONES FCI]]-CK125,Tabla5[[#This Row],[INVERSIONES FCI]])</f>
        <v>1212847465.9475441</v>
      </c>
      <c r="CL126" s="5">
        <f>IF($B125&lt;=Tabla5[[#This Row],[INVERSIONES FCI]],+Tabla5[[#This Row],[INVERSIONES FCI]]-CL125,Tabla5[[#This Row],[INVERSIONES FCI]])</f>
        <v>1212847465.9475441</v>
      </c>
      <c r="CM126" s="5">
        <f>IF($B125&lt;=Tabla5[[#This Row],[INVERSIONES FCI]],+Tabla5[[#This Row],[INVERSIONES FCI]]-CM125,Tabla5[[#This Row],[INVERSIONES FCI]])</f>
        <v>1212847465.9475441</v>
      </c>
      <c r="CN126" s="5">
        <f>IF($B125&lt;=Tabla5[[#This Row],[INVERSIONES FCI]],+Tabla5[[#This Row],[INVERSIONES FCI]]-CN125,Tabla5[[#This Row],[INVERSIONES FCI]])</f>
        <v>1212847465.9475441</v>
      </c>
      <c r="CO126" s="5">
        <f>IF($B125&lt;=Tabla5[[#This Row],[INVERSIONES FCI]],+Tabla5[[#This Row],[INVERSIONES FCI]]-CO125,Tabla5[[#This Row],[INVERSIONES FCI]])</f>
        <v>1212847465.9475441</v>
      </c>
      <c r="CP126" s="5">
        <f>IF($B125&lt;=Tabla5[[#This Row],[INVERSIONES FCI]],+Tabla5[[#This Row],[INVERSIONES FCI]]-CP125,Tabla5[[#This Row],[INVERSIONES FCI]])</f>
        <v>1212847465.9475441</v>
      </c>
      <c r="CQ126" s="5">
        <f>IF($B125&lt;=Tabla5[[#This Row],[INVERSIONES FCI]],+Tabla5[[#This Row],[INVERSIONES FCI]]-CQ125,Tabla5[[#This Row],[INVERSIONES FCI]])</f>
        <v>1212847465.9475441</v>
      </c>
      <c r="CR126" s="5">
        <f>IF($B125&lt;=Tabla5[[#This Row],[INVERSIONES FCI]],+Tabla5[[#This Row],[INVERSIONES FCI]]-CR125,Tabla5[[#This Row],[INVERSIONES FCI]])</f>
        <v>1212847465.9475441</v>
      </c>
      <c r="CS126" s="5">
        <f>IF($B125&lt;=Tabla5[[#This Row],[INVERSIONES FCI]],+Tabla5[[#This Row],[INVERSIONES FCI]]-CS125,Tabla5[[#This Row],[INVERSIONES FCI]])</f>
        <v>1212847465.9475441</v>
      </c>
      <c r="CT126" s="5">
        <f>IF($B125&lt;=Tabla5[[#This Row],[INVERSIONES FCI]],+Tabla5[[#This Row],[INVERSIONES FCI]]-CT125,Tabla5[[#This Row],[INVERSIONES FCI]])</f>
        <v>1212847465.9475441</v>
      </c>
      <c r="CU126" s="5">
        <f>IF($B125&lt;=Tabla5[[#This Row],[INVERSIONES FCI]],+Tabla5[[#This Row],[INVERSIONES FCI]]-CU125,Tabla5[[#This Row],[INVERSIONES FCI]])</f>
        <v>1212847465.9475441</v>
      </c>
      <c r="CV126" s="5">
        <f>IF($B125&lt;=Tabla5[[#This Row],[INVERSIONES FCI]],+Tabla5[[#This Row],[INVERSIONES FCI]]-CV125,Tabla5[[#This Row],[INVERSIONES FCI]])</f>
        <v>1212847465.9475441</v>
      </c>
      <c r="CW126" s="5">
        <f>IF($B125&lt;=Tabla5[[#This Row],[INVERSIONES FCI]],+Tabla5[[#This Row],[INVERSIONES FCI]]-CW125,Tabla5[[#This Row],[INVERSIONES FCI]])</f>
        <v>1212847465.9475441</v>
      </c>
      <c r="CX126" s="5">
        <f>IF($B125&lt;=Tabla5[[#This Row],[INVERSIONES FCI]],+Tabla5[[#This Row],[INVERSIONES FCI]]-CX125,Tabla5[[#This Row],[INVERSIONES FCI]])</f>
        <v>1212847465.9475441</v>
      </c>
      <c r="CY126" s="5">
        <f>IF($B125&lt;=Tabla5[[#This Row],[INVERSIONES FCI]],+Tabla5[[#This Row],[INVERSIONES FCI]]-CY125,Tabla5[[#This Row],[INVERSIONES FCI]])</f>
        <v>1212847465.9475441</v>
      </c>
      <c r="CZ126" s="5">
        <f>IF($B125&lt;=Tabla5[[#This Row],[INVERSIONES FCI]],+Tabla5[[#This Row],[INVERSIONES FCI]]-CZ125,Tabla5[[#This Row],[INVERSIONES FCI]])</f>
        <v>1212847465.9475441</v>
      </c>
      <c r="DA126" s="5">
        <f>IF($B125&lt;=Tabla5[[#This Row],[INVERSIONES FCI]],+Tabla5[[#This Row],[INVERSIONES FCI]]-DA125,Tabla5[[#This Row],[INVERSIONES FCI]])</f>
        <v>1212847465.9475441</v>
      </c>
      <c r="DB126" s="5">
        <f>IF($B125&lt;=Tabla5[[#This Row],[INVERSIONES FCI]],+Tabla5[[#This Row],[INVERSIONES FCI]]-DB125,Tabla5[[#This Row],[INVERSIONES FCI]])</f>
        <v>1212847465.9475441</v>
      </c>
      <c r="DC126" s="5">
        <f>IF($B125&lt;=Tabla5[[#This Row],[INVERSIONES FCI]],+Tabla5[[#This Row],[INVERSIONES FCI]]-DC125,Tabla5[[#This Row],[INVERSIONES FCI]])</f>
        <v>1212847465.9475441</v>
      </c>
      <c r="DD126" s="5">
        <f>IF($B125&lt;=Tabla5[[#This Row],[INVERSIONES FCI]],+Tabla5[[#This Row],[INVERSIONES FCI]]-DD125,Tabla5[[#This Row],[INVERSIONES FCI]])</f>
        <v>1212847465.9475441</v>
      </c>
      <c r="DE126" s="5">
        <f>IF($B125&lt;=Tabla5[[#This Row],[INVERSIONES FCI]],+Tabla5[[#This Row],[INVERSIONES FCI]]-DE125,Tabla5[[#This Row],[INVERSIONES FCI]])</f>
        <v>1212847465.9475441</v>
      </c>
      <c r="DF126" s="5">
        <f>IF($B125&lt;=Tabla5[[#This Row],[INVERSIONES FCI]],+Tabla5[[#This Row],[INVERSIONES FCI]]-DF125,Tabla5[[#This Row],[INVERSIONES FCI]])</f>
        <v>1212847465.9475441</v>
      </c>
      <c r="DG126" s="5">
        <f>IF($B125&lt;=Tabla5[[#This Row],[INVERSIONES FCI]],+Tabla5[[#This Row],[INVERSIONES FCI]]-DG125,Tabla5[[#This Row],[INVERSIONES FCI]])</f>
        <v>1212847465.9475441</v>
      </c>
      <c r="DH126" s="5">
        <f>IF($B125&lt;=Tabla5[[#This Row],[INVERSIONES FCI]],+Tabla5[[#This Row],[INVERSIONES FCI]]-DH125,Tabla5[[#This Row],[INVERSIONES FCI]])</f>
        <v>1212847465.9475441</v>
      </c>
      <c r="DI126" s="5">
        <f>IF($B125&lt;=Tabla5[[#This Row],[INVERSIONES FCI]],+Tabla5[[#This Row],[INVERSIONES FCI]]-DI125,Tabla5[[#This Row],[INVERSIONES FCI]])</f>
        <v>1212847465.9475441</v>
      </c>
      <c r="DJ126" s="5">
        <f>IF($B125&lt;=Tabla5[[#This Row],[INVERSIONES FCI]],+Tabla5[[#This Row],[INVERSIONES FCI]]-DJ125,Tabla5[[#This Row],[INVERSIONES FCI]])</f>
        <v>1212847465.9475441</v>
      </c>
      <c r="DK126" s="5">
        <f>IF($B125&lt;=Tabla5[[#This Row],[INVERSIONES FCI]],+Tabla5[[#This Row],[INVERSIONES FCI]]-DK125,Tabla5[[#This Row],[INVERSIONES FCI]])</f>
        <v>1212847465.9475441</v>
      </c>
      <c r="DL126" s="5"/>
      <c r="DM126" s="5"/>
      <c r="DN126" s="5"/>
      <c r="DO126" s="5"/>
      <c r="DP126" s="5"/>
      <c r="DQ126" s="5"/>
    </row>
    <row r="127" spans="1:121" ht="14.4">
      <c r="A127" s="12" t="s">
        <v>126</v>
      </c>
      <c r="B127" s="5">
        <f>HLOOKUP($A127,ESCENARIO[#All],7,FALSE)</f>
        <v>11623670998.450285</v>
      </c>
      <c r="C127" s="5">
        <f>IF($B126&lt;=Tabla5[[#This Row],[INVERSIONES FCI]],+Tabla5[[#This Row],[INVERSIONES FCI]]-C126,Tabla5[[#This Row],[INVERSIONES FCI]])</f>
        <v>10410823532.502741</v>
      </c>
      <c r="D127" s="5">
        <f>IF($B126&lt;=Tabla5[[#This Row],[INVERSIONES FCI]],+Tabla5[[#This Row],[INVERSIONES FCI]]-D126,Tabla5[[#This Row],[INVERSIONES FCI]])</f>
        <v>10410823532.502741</v>
      </c>
      <c r="E127" s="5">
        <f>IF($B126&lt;=Tabla5[[#This Row],[INVERSIONES FCI]],+Tabla5[[#This Row],[INVERSIONES FCI]]-E126,Tabla5[[#This Row],[INVERSIONES FCI]])</f>
        <v>10410823532.502741</v>
      </c>
      <c r="F127" s="5">
        <f>IF($B126&lt;=Tabla5[[#This Row],[INVERSIONES FCI]],+Tabla5[[#This Row],[INVERSIONES FCI]]-F126,Tabla5[[#This Row],[INVERSIONES FCI]])</f>
        <v>10410823532.502741</v>
      </c>
      <c r="G127" s="5">
        <f>IF($B126&lt;=Tabla5[[#This Row],[INVERSIONES FCI]],+Tabla5[[#This Row],[INVERSIONES FCI]]-G126,Tabla5[[#This Row],[INVERSIONES FCI]])</f>
        <v>10410823532.502741</v>
      </c>
      <c r="H127" s="5">
        <f>IF($B126&lt;=Tabla5[[#This Row],[INVERSIONES FCI]],+Tabla5[[#This Row],[INVERSIONES FCI]]-H126,Tabla5[[#This Row],[INVERSIONES FCI]])</f>
        <v>10410823532.502741</v>
      </c>
      <c r="I127" s="5">
        <f>IF($B126&lt;=Tabla5[[#This Row],[INVERSIONES FCI]],+Tabla5[[#This Row],[INVERSIONES FCI]]-I126,Tabla5[[#This Row],[INVERSIONES FCI]])</f>
        <v>10410823532.502741</v>
      </c>
      <c r="J127" s="5">
        <f>IF($B126&lt;=Tabla5[[#This Row],[INVERSIONES FCI]],+Tabla5[[#This Row],[INVERSIONES FCI]]-J126,Tabla5[[#This Row],[INVERSIONES FCI]])</f>
        <v>10410823532.502741</v>
      </c>
      <c r="K127" s="5">
        <f>IF($B126&lt;=Tabla5[[#This Row],[INVERSIONES FCI]],+Tabla5[[#This Row],[INVERSIONES FCI]]-K126,Tabla5[[#This Row],[INVERSIONES FCI]])</f>
        <v>10410823532.502741</v>
      </c>
      <c r="L127" s="5">
        <f>IF($B126&lt;=Tabla5[[#This Row],[INVERSIONES FCI]],+Tabla5[[#This Row],[INVERSIONES FCI]]-L126,Tabla5[[#This Row],[INVERSIONES FCI]])</f>
        <v>10410823532.502741</v>
      </c>
      <c r="M127" s="5">
        <f>IF($B126&lt;=Tabla5[[#This Row],[INVERSIONES FCI]],+Tabla5[[#This Row],[INVERSIONES FCI]]-M126,Tabla5[[#This Row],[INVERSIONES FCI]])</f>
        <v>10410823532.502741</v>
      </c>
      <c r="N127" s="5">
        <f>IF($B126&lt;=Tabla5[[#This Row],[INVERSIONES FCI]],+Tabla5[[#This Row],[INVERSIONES FCI]]-N126,Tabla5[[#This Row],[INVERSIONES FCI]])</f>
        <v>10410823532.502741</v>
      </c>
      <c r="O127" s="5">
        <f>IF($B126&lt;=Tabla5[[#This Row],[INVERSIONES FCI]],+Tabla5[[#This Row],[INVERSIONES FCI]]-O126,Tabla5[[#This Row],[INVERSIONES FCI]])</f>
        <v>10410823532.502741</v>
      </c>
      <c r="P127" s="5">
        <f>IF($B126&lt;=Tabla5[[#This Row],[INVERSIONES FCI]],+Tabla5[[#This Row],[INVERSIONES FCI]]-P126,Tabla5[[#This Row],[INVERSIONES FCI]])</f>
        <v>10410823532.502741</v>
      </c>
      <c r="Q127" s="5">
        <f>IF($B126&lt;=Tabla5[[#This Row],[INVERSIONES FCI]],+Tabla5[[#This Row],[INVERSIONES FCI]]-Q126,Tabla5[[#This Row],[INVERSIONES FCI]])</f>
        <v>10410823532.502741</v>
      </c>
      <c r="R127" s="5">
        <f>IF($B126&lt;=Tabla5[[#This Row],[INVERSIONES FCI]],+Tabla5[[#This Row],[INVERSIONES FCI]]-R126,Tabla5[[#This Row],[INVERSIONES FCI]])</f>
        <v>10410823532.502741</v>
      </c>
      <c r="S127" s="5">
        <f>IF($B126&lt;=Tabla5[[#This Row],[INVERSIONES FCI]],+Tabla5[[#This Row],[INVERSIONES FCI]]-S126,Tabla5[[#This Row],[INVERSIONES FCI]])</f>
        <v>10410823532.502741</v>
      </c>
      <c r="T127" s="5">
        <f>IF($B126&lt;=Tabla5[[#This Row],[INVERSIONES FCI]],+Tabla5[[#This Row],[INVERSIONES FCI]]-T126,Tabla5[[#This Row],[INVERSIONES FCI]])</f>
        <v>10410823532.502741</v>
      </c>
      <c r="U127" s="5">
        <f>IF($B126&lt;=Tabla5[[#This Row],[INVERSIONES FCI]],+Tabla5[[#This Row],[INVERSIONES FCI]]-U126,Tabla5[[#This Row],[INVERSIONES FCI]])</f>
        <v>10410823532.502741</v>
      </c>
      <c r="V127" s="5">
        <f>IF($B126&lt;=Tabla5[[#This Row],[INVERSIONES FCI]],+Tabla5[[#This Row],[INVERSIONES FCI]]-V126,Tabla5[[#This Row],[INVERSIONES FCI]])</f>
        <v>10410823532.502741</v>
      </c>
      <c r="W127" s="5">
        <f>IF($B126&lt;=Tabla5[[#This Row],[INVERSIONES FCI]],+Tabla5[[#This Row],[INVERSIONES FCI]]-W126,Tabla5[[#This Row],[INVERSIONES FCI]])</f>
        <v>10410823532.502741</v>
      </c>
      <c r="X127" s="5">
        <f>IF($B126&lt;=Tabla5[[#This Row],[INVERSIONES FCI]],+Tabla5[[#This Row],[INVERSIONES FCI]]-X126,Tabla5[[#This Row],[INVERSIONES FCI]])</f>
        <v>10410823532.502741</v>
      </c>
      <c r="Y127" s="5">
        <f>IF($B126&lt;=Tabla5[[#This Row],[INVERSIONES FCI]],+Tabla5[[#This Row],[INVERSIONES FCI]]-Y126,Tabla5[[#This Row],[INVERSIONES FCI]])</f>
        <v>10410823532.502741</v>
      </c>
      <c r="Z127" s="5">
        <f>IF($B126&lt;=Tabla5[[#This Row],[INVERSIONES FCI]],+Tabla5[[#This Row],[INVERSIONES FCI]]-Z126,Tabla5[[#This Row],[INVERSIONES FCI]])</f>
        <v>10410823532.502741</v>
      </c>
      <c r="AA127" s="5">
        <f>IF($B126&lt;=Tabla5[[#This Row],[INVERSIONES FCI]],+Tabla5[[#This Row],[INVERSIONES FCI]]-AA126,Tabla5[[#This Row],[INVERSIONES FCI]])</f>
        <v>10410823532.502741</v>
      </c>
      <c r="AB127" s="5">
        <f>IF($B126&lt;=Tabla5[[#This Row],[INVERSIONES FCI]],+Tabla5[[#This Row],[INVERSIONES FCI]]-AB126,Tabla5[[#This Row],[INVERSIONES FCI]])</f>
        <v>10410823532.502741</v>
      </c>
      <c r="AC127" s="5">
        <f>IF($B126&lt;=Tabla5[[#This Row],[INVERSIONES FCI]],+Tabla5[[#This Row],[INVERSIONES FCI]]-AC126,Tabla5[[#This Row],[INVERSIONES FCI]])</f>
        <v>10410823532.502741</v>
      </c>
      <c r="AD127" s="5">
        <f>IF($B126&lt;=Tabla5[[#This Row],[INVERSIONES FCI]],+Tabla5[[#This Row],[INVERSIONES FCI]]-AD126,Tabla5[[#This Row],[INVERSIONES FCI]])</f>
        <v>10410823532.502741</v>
      </c>
      <c r="AE127" s="5">
        <f>IF($B126&lt;=Tabla5[[#This Row],[INVERSIONES FCI]],+Tabla5[[#This Row],[INVERSIONES FCI]]-AE126,Tabla5[[#This Row],[INVERSIONES FCI]])</f>
        <v>10410823532.502741</v>
      </c>
      <c r="AF127" s="5">
        <f>IF($B126&lt;=Tabla5[[#This Row],[INVERSIONES FCI]],+Tabla5[[#This Row],[INVERSIONES FCI]]-AF126,Tabla5[[#This Row],[INVERSIONES FCI]])</f>
        <v>10410823532.502741</v>
      </c>
      <c r="AG127" s="5">
        <f>IF($B126&lt;=Tabla5[[#This Row],[INVERSIONES FCI]],+Tabla5[[#This Row],[INVERSIONES FCI]]-AG126,Tabla5[[#This Row],[INVERSIONES FCI]])</f>
        <v>10410823532.502741</v>
      </c>
      <c r="AH127" s="5">
        <f>IF($B126&lt;=Tabla5[[#This Row],[INVERSIONES FCI]],+Tabla5[[#This Row],[INVERSIONES FCI]]-AH126,Tabla5[[#This Row],[INVERSIONES FCI]])</f>
        <v>10410823532.502741</v>
      </c>
      <c r="AI127" s="5">
        <f>IF($B126&lt;=Tabla5[[#This Row],[INVERSIONES FCI]],+Tabla5[[#This Row],[INVERSIONES FCI]]-AI126,Tabla5[[#This Row],[INVERSIONES FCI]])</f>
        <v>10410823532.502741</v>
      </c>
      <c r="AJ127" s="5">
        <f>IF($B126&lt;=Tabla5[[#This Row],[INVERSIONES FCI]],+Tabla5[[#This Row],[INVERSIONES FCI]]-AJ126,Tabla5[[#This Row],[INVERSIONES FCI]])</f>
        <v>10410823532.502741</v>
      </c>
      <c r="AK127" s="5">
        <f>IF($B126&lt;=Tabla5[[#This Row],[INVERSIONES FCI]],+Tabla5[[#This Row],[INVERSIONES FCI]]-AK126,Tabla5[[#This Row],[INVERSIONES FCI]])</f>
        <v>10410823532.502741</v>
      </c>
      <c r="AL127" s="5">
        <f>IF($B126&lt;=Tabla5[[#This Row],[INVERSIONES FCI]],+Tabla5[[#This Row],[INVERSIONES FCI]]-AL126,Tabla5[[#This Row],[INVERSIONES FCI]])</f>
        <v>10410823532.502741</v>
      </c>
      <c r="AM127" s="5">
        <f>IF($B126&lt;=Tabla5[[#This Row],[INVERSIONES FCI]],+Tabla5[[#This Row],[INVERSIONES FCI]]-AM126,Tabla5[[#This Row],[INVERSIONES FCI]])</f>
        <v>10410823532.502741</v>
      </c>
      <c r="AN127" s="5">
        <f>IF($B126&lt;=Tabla5[[#This Row],[INVERSIONES FCI]],+Tabla5[[#This Row],[INVERSIONES FCI]]-AN126,Tabla5[[#This Row],[INVERSIONES FCI]])</f>
        <v>10410823532.502741</v>
      </c>
      <c r="AO127" s="5">
        <f>IF($B126&lt;=Tabla5[[#This Row],[INVERSIONES FCI]],+Tabla5[[#This Row],[INVERSIONES FCI]]-AO126,Tabla5[[#This Row],[INVERSIONES FCI]])</f>
        <v>10410823532.502741</v>
      </c>
      <c r="AP127" s="5">
        <f>IF($B126&lt;=Tabla5[[#This Row],[INVERSIONES FCI]],+Tabla5[[#This Row],[INVERSIONES FCI]]-AP126,Tabla5[[#This Row],[INVERSIONES FCI]])</f>
        <v>10410823532.502741</v>
      </c>
      <c r="AQ127" s="5">
        <f>IF($B126&lt;=Tabla5[[#This Row],[INVERSIONES FCI]],+Tabla5[[#This Row],[INVERSIONES FCI]]-AQ126,Tabla5[[#This Row],[INVERSIONES FCI]])</f>
        <v>10410823532.502741</v>
      </c>
      <c r="AR127" s="5">
        <f>IF($B126&lt;=Tabla5[[#This Row],[INVERSIONES FCI]],+Tabla5[[#This Row],[INVERSIONES FCI]]-AR126,Tabla5[[#This Row],[INVERSIONES FCI]])</f>
        <v>10410823532.502741</v>
      </c>
      <c r="AS127" s="5">
        <f>IF($B126&lt;=Tabla5[[#This Row],[INVERSIONES FCI]],+Tabla5[[#This Row],[INVERSIONES FCI]]-AS126,Tabla5[[#This Row],[INVERSIONES FCI]])</f>
        <v>10410823532.502741</v>
      </c>
      <c r="AT127" s="5">
        <f>IF($B126&lt;=Tabla5[[#This Row],[INVERSIONES FCI]],+Tabla5[[#This Row],[INVERSIONES FCI]]-AT126,Tabla5[[#This Row],[INVERSIONES FCI]])</f>
        <v>10410823532.502741</v>
      </c>
      <c r="AU127" s="5">
        <f>IF($B126&lt;=Tabla5[[#This Row],[INVERSIONES FCI]],+Tabla5[[#This Row],[INVERSIONES FCI]]-AU126,Tabla5[[#This Row],[INVERSIONES FCI]])</f>
        <v>10410823532.502741</v>
      </c>
      <c r="AV127" s="5">
        <f>IF($B126&lt;=Tabla5[[#This Row],[INVERSIONES FCI]],+Tabla5[[#This Row],[INVERSIONES FCI]]-AV126,Tabla5[[#This Row],[INVERSIONES FCI]])</f>
        <v>10410823532.502741</v>
      </c>
      <c r="AW127" s="5">
        <f>IF($B126&lt;=Tabla5[[#This Row],[INVERSIONES FCI]],+Tabla5[[#This Row],[INVERSIONES FCI]]-AW126,Tabla5[[#This Row],[INVERSIONES FCI]])</f>
        <v>10410823532.502741</v>
      </c>
      <c r="AX127" s="5">
        <f>IF($B126&lt;=Tabla5[[#This Row],[INVERSIONES FCI]],+Tabla5[[#This Row],[INVERSIONES FCI]]-AX126,Tabla5[[#This Row],[INVERSIONES FCI]])</f>
        <v>10410823532.502741</v>
      </c>
      <c r="AY127" s="5">
        <f>IF($B126&lt;=Tabla5[[#This Row],[INVERSIONES FCI]],+Tabla5[[#This Row],[INVERSIONES FCI]]-AY126,Tabla5[[#This Row],[INVERSIONES FCI]])</f>
        <v>10410823532.502741</v>
      </c>
      <c r="AZ127" s="5">
        <f>IF($B126&lt;=Tabla5[[#This Row],[INVERSIONES FCI]],+Tabla5[[#This Row],[INVERSIONES FCI]]-AZ126,Tabla5[[#This Row],[INVERSIONES FCI]])</f>
        <v>10410823532.502741</v>
      </c>
      <c r="BA127" s="5">
        <f>IF($B126&lt;=Tabla5[[#This Row],[INVERSIONES FCI]],+Tabla5[[#This Row],[INVERSIONES FCI]]-BA126,Tabla5[[#This Row],[INVERSIONES FCI]])</f>
        <v>10410823532.502741</v>
      </c>
      <c r="BB127" s="5">
        <f>IF($B126&lt;=Tabla5[[#This Row],[INVERSIONES FCI]],+Tabla5[[#This Row],[INVERSIONES FCI]]-BB126,Tabla5[[#This Row],[INVERSIONES FCI]])</f>
        <v>10410823532.502741</v>
      </c>
      <c r="BC127" s="5">
        <f>IF($B126&lt;=Tabla5[[#This Row],[INVERSIONES FCI]],+Tabla5[[#This Row],[INVERSIONES FCI]]-BC126,Tabla5[[#This Row],[INVERSIONES FCI]])</f>
        <v>10410823532.502741</v>
      </c>
      <c r="BD127" s="5">
        <f>IF($B126&lt;=Tabla5[[#This Row],[INVERSIONES FCI]],+Tabla5[[#This Row],[INVERSIONES FCI]]-BD126,Tabla5[[#This Row],[INVERSIONES FCI]])</f>
        <v>10410823532.502741</v>
      </c>
      <c r="BE127" s="5">
        <f>IF($B126&lt;=Tabla5[[#This Row],[INVERSIONES FCI]],+Tabla5[[#This Row],[INVERSIONES FCI]]-BE126,Tabla5[[#This Row],[INVERSIONES FCI]])</f>
        <v>10410823532.502741</v>
      </c>
      <c r="BF127" s="5">
        <f>IF($B126&lt;=Tabla5[[#This Row],[INVERSIONES FCI]],+Tabla5[[#This Row],[INVERSIONES FCI]]-BF126,Tabla5[[#This Row],[INVERSIONES FCI]])</f>
        <v>10410823532.502741</v>
      </c>
      <c r="BG127" s="5">
        <f>IF($B126&lt;=Tabla5[[#This Row],[INVERSIONES FCI]],+Tabla5[[#This Row],[INVERSIONES FCI]]-BG126,Tabla5[[#This Row],[INVERSIONES FCI]])</f>
        <v>10410823532.502741</v>
      </c>
      <c r="BH127" s="5">
        <f>IF($B126&lt;=Tabla5[[#This Row],[INVERSIONES FCI]],+Tabla5[[#This Row],[INVERSIONES FCI]]-BH126,Tabla5[[#This Row],[INVERSIONES FCI]])</f>
        <v>10410823532.502741</v>
      </c>
      <c r="BI127" s="5">
        <f>IF($B126&lt;=Tabla5[[#This Row],[INVERSIONES FCI]],+Tabla5[[#This Row],[INVERSIONES FCI]]-BI126,Tabla5[[#This Row],[INVERSIONES FCI]])</f>
        <v>10410823532.502741</v>
      </c>
      <c r="BJ127" s="5">
        <f>IF($B126&lt;=Tabla5[[#This Row],[INVERSIONES FCI]],+Tabla5[[#This Row],[INVERSIONES FCI]]-BJ126,Tabla5[[#This Row],[INVERSIONES FCI]])</f>
        <v>10410823532.502741</v>
      </c>
      <c r="BK127" s="5">
        <f>IF($B126&lt;=Tabla5[[#This Row],[INVERSIONES FCI]],+Tabla5[[#This Row],[INVERSIONES FCI]]-BK126,Tabla5[[#This Row],[INVERSIONES FCI]])</f>
        <v>10410823532.502741</v>
      </c>
      <c r="BL127" s="5">
        <f>IF($B126&lt;=Tabla5[[#This Row],[INVERSIONES FCI]],+Tabla5[[#This Row],[INVERSIONES FCI]]-BL126,Tabla5[[#This Row],[INVERSIONES FCI]])</f>
        <v>10410823532.502741</v>
      </c>
      <c r="BM127" s="5">
        <f>IF($B126&lt;=Tabla5[[#This Row],[INVERSIONES FCI]],+Tabla5[[#This Row],[INVERSIONES FCI]]-BM126,Tabla5[[#This Row],[INVERSIONES FCI]])</f>
        <v>10410823532.502741</v>
      </c>
      <c r="BN127" s="5">
        <f>IF($B126&lt;=Tabla5[[#This Row],[INVERSIONES FCI]],+Tabla5[[#This Row],[INVERSIONES FCI]]-BN126,Tabla5[[#This Row],[INVERSIONES FCI]])</f>
        <v>10410823532.502741</v>
      </c>
      <c r="BO127" s="5">
        <f>IF($B126&lt;=Tabla5[[#This Row],[INVERSIONES FCI]],+Tabla5[[#This Row],[INVERSIONES FCI]]-BO126,Tabla5[[#This Row],[INVERSIONES FCI]])</f>
        <v>10410823532.502741</v>
      </c>
      <c r="BP127" s="5">
        <f>IF($B126&lt;=Tabla5[[#This Row],[INVERSIONES FCI]],+Tabla5[[#This Row],[INVERSIONES FCI]]-BP126,Tabla5[[#This Row],[INVERSIONES FCI]])</f>
        <v>10410823532.502741</v>
      </c>
      <c r="BQ127" s="5">
        <f>IF($B126&lt;=Tabla5[[#This Row],[INVERSIONES FCI]],+Tabla5[[#This Row],[INVERSIONES FCI]]-BQ126,Tabla5[[#This Row],[INVERSIONES FCI]])</f>
        <v>10410823532.502741</v>
      </c>
      <c r="BR127" s="5">
        <f>IF($B126&lt;=Tabla5[[#This Row],[INVERSIONES FCI]],+Tabla5[[#This Row],[INVERSIONES FCI]]-BR126,Tabla5[[#This Row],[INVERSIONES FCI]])</f>
        <v>10410823532.502741</v>
      </c>
      <c r="BS127" s="5">
        <f>IF($B126&lt;=Tabla5[[#This Row],[INVERSIONES FCI]],+Tabla5[[#This Row],[INVERSIONES FCI]]-BS126,Tabla5[[#This Row],[INVERSIONES FCI]])</f>
        <v>10410823532.502741</v>
      </c>
      <c r="BT127" s="5">
        <f>IF($B126&lt;=Tabla5[[#This Row],[INVERSIONES FCI]],+Tabla5[[#This Row],[INVERSIONES FCI]]-BT126,Tabla5[[#This Row],[INVERSIONES FCI]])</f>
        <v>10410823532.502741</v>
      </c>
      <c r="BU127" s="5">
        <f>IF($B126&lt;=Tabla5[[#This Row],[INVERSIONES FCI]],+Tabla5[[#This Row],[INVERSIONES FCI]]-BU126,Tabla5[[#This Row],[INVERSIONES FCI]])</f>
        <v>10410823532.502741</v>
      </c>
      <c r="BV127" s="5">
        <f>IF($B126&lt;=Tabla5[[#This Row],[INVERSIONES FCI]],+Tabla5[[#This Row],[INVERSIONES FCI]]-BV126,Tabla5[[#This Row],[INVERSIONES FCI]])</f>
        <v>10410823532.502741</v>
      </c>
      <c r="BW127" s="5">
        <f>IF($B126&lt;=Tabla5[[#This Row],[INVERSIONES FCI]],+Tabla5[[#This Row],[INVERSIONES FCI]]-BW126,Tabla5[[#This Row],[INVERSIONES FCI]])</f>
        <v>10410823532.502741</v>
      </c>
      <c r="BX127" s="5">
        <f>IF($B126&lt;=Tabla5[[#This Row],[INVERSIONES FCI]],+Tabla5[[#This Row],[INVERSIONES FCI]]-BX126,Tabla5[[#This Row],[INVERSIONES FCI]])</f>
        <v>10410823532.502741</v>
      </c>
      <c r="BY127" s="5">
        <f>IF($B126&lt;=Tabla5[[#This Row],[INVERSIONES FCI]],+Tabla5[[#This Row],[INVERSIONES FCI]]-BY126,Tabla5[[#This Row],[INVERSIONES FCI]])</f>
        <v>10410823532.502741</v>
      </c>
      <c r="BZ127" s="5">
        <f>IF($B126&lt;=Tabla5[[#This Row],[INVERSIONES FCI]],+Tabla5[[#This Row],[INVERSIONES FCI]]-BZ126,Tabla5[[#This Row],[INVERSIONES FCI]])</f>
        <v>10410823532.502741</v>
      </c>
      <c r="CA127" s="5">
        <f>IF($B126&lt;=Tabla5[[#This Row],[INVERSIONES FCI]],+Tabla5[[#This Row],[INVERSIONES FCI]]-CA126,Tabla5[[#This Row],[INVERSIONES FCI]])</f>
        <v>10410823532.502741</v>
      </c>
      <c r="CB127" s="5">
        <f>IF($B126&lt;=Tabla5[[#This Row],[INVERSIONES FCI]],+Tabla5[[#This Row],[INVERSIONES FCI]]-CB126,Tabla5[[#This Row],[INVERSIONES FCI]])</f>
        <v>10410823532.502741</v>
      </c>
      <c r="CC127" s="5">
        <f>IF($B126&lt;=Tabla5[[#This Row],[INVERSIONES FCI]],+Tabla5[[#This Row],[INVERSIONES FCI]]-CC126,Tabla5[[#This Row],[INVERSIONES FCI]])</f>
        <v>10410823532.502741</v>
      </c>
      <c r="CD127" s="5">
        <f>IF($B126&lt;=Tabla5[[#This Row],[INVERSIONES FCI]],+Tabla5[[#This Row],[INVERSIONES FCI]]-CD126,Tabla5[[#This Row],[INVERSIONES FCI]])</f>
        <v>10410823532.502741</v>
      </c>
      <c r="CE127" s="5">
        <f>IF($B126&lt;=Tabla5[[#This Row],[INVERSIONES FCI]],+Tabla5[[#This Row],[INVERSIONES FCI]]-CE126,Tabla5[[#This Row],[INVERSIONES FCI]])</f>
        <v>10410823532.502741</v>
      </c>
      <c r="CF127" s="5">
        <f>IF($B126&lt;=Tabla5[[#This Row],[INVERSIONES FCI]],+Tabla5[[#This Row],[INVERSIONES FCI]]-CF126,Tabla5[[#This Row],[INVERSIONES FCI]])</f>
        <v>10410823532.502741</v>
      </c>
      <c r="CG127" s="5">
        <f>IF($B126&lt;=Tabla5[[#This Row],[INVERSIONES FCI]],+Tabla5[[#This Row],[INVERSIONES FCI]]-CG126,Tabla5[[#This Row],[INVERSIONES FCI]])</f>
        <v>10410823532.502741</v>
      </c>
      <c r="CH127" s="5">
        <f>IF($B126&lt;=Tabla5[[#This Row],[INVERSIONES FCI]],+Tabla5[[#This Row],[INVERSIONES FCI]]-CH126,Tabla5[[#This Row],[INVERSIONES FCI]])</f>
        <v>10410823532.502741</v>
      </c>
      <c r="CI127" s="5">
        <f>IF($B126&lt;=Tabla5[[#This Row],[INVERSIONES FCI]],+Tabla5[[#This Row],[INVERSIONES FCI]]-CI126,Tabla5[[#This Row],[INVERSIONES FCI]])</f>
        <v>10410823532.502741</v>
      </c>
      <c r="CJ127" s="5">
        <f>IF($B126&lt;=Tabla5[[#This Row],[INVERSIONES FCI]],+Tabla5[[#This Row],[INVERSIONES FCI]]-CJ126,Tabla5[[#This Row],[INVERSIONES FCI]])</f>
        <v>10410823532.502741</v>
      </c>
      <c r="CK127" s="5">
        <f>IF($B126&lt;=Tabla5[[#This Row],[INVERSIONES FCI]],+Tabla5[[#This Row],[INVERSIONES FCI]]-CK126,Tabla5[[#This Row],[INVERSIONES FCI]])</f>
        <v>10410823532.502741</v>
      </c>
      <c r="CL127" s="5">
        <f>IF($B126&lt;=Tabla5[[#This Row],[INVERSIONES FCI]],+Tabla5[[#This Row],[INVERSIONES FCI]]-CL126,Tabla5[[#This Row],[INVERSIONES FCI]])</f>
        <v>10410823532.502741</v>
      </c>
      <c r="CM127" s="5">
        <f>IF($B126&lt;=Tabla5[[#This Row],[INVERSIONES FCI]],+Tabla5[[#This Row],[INVERSIONES FCI]]-CM126,Tabla5[[#This Row],[INVERSIONES FCI]])</f>
        <v>10410823532.502741</v>
      </c>
      <c r="CN127" s="5">
        <f>IF($B126&lt;=Tabla5[[#This Row],[INVERSIONES FCI]],+Tabla5[[#This Row],[INVERSIONES FCI]]-CN126,Tabla5[[#This Row],[INVERSIONES FCI]])</f>
        <v>10410823532.502741</v>
      </c>
      <c r="CO127" s="5">
        <f>IF($B126&lt;=Tabla5[[#This Row],[INVERSIONES FCI]],+Tabla5[[#This Row],[INVERSIONES FCI]]-CO126,Tabla5[[#This Row],[INVERSIONES FCI]])</f>
        <v>10410823532.502741</v>
      </c>
      <c r="CP127" s="5">
        <f>IF($B126&lt;=Tabla5[[#This Row],[INVERSIONES FCI]],+Tabla5[[#This Row],[INVERSIONES FCI]]-CP126,Tabla5[[#This Row],[INVERSIONES FCI]])</f>
        <v>10410823532.502741</v>
      </c>
      <c r="CQ127" s="5">
        <f>IF($B126&lt;=Tabla5[[#This Row],[INVERSIONES FCI]],+Tabla5[[#This Row],[INVERSIONES FCI]]-CQ126,Tabla5[[#This Row],[INVERSIONES FCI]])</f>
        <v>10410823532.502741</v>
      </c>
      <c r="CR127" s="5">
        <f>IF($B126&lt;=Tabla5[[#This Row],[INVERSIONES FCI]],+Tabla5[[#This Row],[INVERSIONES FCI]]-CR126,Tabla5[[#This Row],[INVERSIONES FCI]])</f>
        <v>10410823532.502741</v>
      </c>
      <c r="CS127" s="5">
        <f>IF($B126&lt;=Tabla5[[#This Row],[INVERSIONES FCI]],+Tabla5[[#This Row],[INVERSIONES FCI]]-CS126,Tabla5[[#This Row],[INVERSIONES FCI]])</f>
        <v>10410823532.502741</v>
      </c>
      <c r="CT127" s="5">
        <f>IF($B126&lt;=Tabla5[[#This Row],[INVERSIONES FCI]],+Tabla5[[#This Row],[INVERSIONES FCI]]-CT126,Tabla5[[#This Row],[INVERSIONES FCI]])</f>
        <v>10410823532.502741</v>
      </c>
      <c r="CU127" s="5">
        <f>IF($B126&lt;=Tabla5[[#This Row],[INVERSIONES FCI]],+Tabla5[[#This Row],[INVERSIONES FCI]]-CU126,Tabla5[[#This Row],[INVERSIONES FCI]])</f>
        <v>10410823532.502741</v>
      </c>
      <c r="CV127" s="5">
        <f>IF($B126&lt;=Tabla5[[#This Row],[INVERSIONES FCI]],+Tabla5[[#This Row],[INVERSIONES FCI]]-CV126,Tabla5[[#This Row],[INVERSIONES FCI]])</f>
        <v>10410823532.502741</v>
      </c>
      <c r="CW127" s="5">
        <f>IF($B126&lt;=Tabla5[[#This Row],[INVERSIONES FCI]],+Tabla5[[#This Row],[INVERSIONES FCI]]-CW126,Tabla5[[#This Row],[INVERSIONES FCI]])</f>
        <v>10410823532.502741</v>
      </c>
      <c r="CX127" s="5">
        <f>IF($B126&lt;=Tabla5[[#This Row],[INVERSIONES FCI]],+Tabla5[[#This Row],[INVERSIONES FCI]]-CX126,Tabla5[[#This Row],[INVERSIONES FCI]])</f>
        <v>10410823532.502741</v>
      </c>
      <c r="CY127" s="5">
        <f>IF($B126&lt;=Tabla5[[#This Row],[INVERSIONES FCI]],+Tabla5[[#This Row],[INVERSIONES FCI]]-CY126,Tabla5[[#This Row],[INVERSIONES FCI]])</f>
        <v>10410823532.502741</v>
      </c>
      <c r="CZ127" s="5">
        <f>IF($B126&lt;=Tabla5[[#This Row],[INVERSIONES FCI]],+Tabla5[[#This Row],[INVERSIONES FCI]]-CZ126,Tabla5[[#This Row],[INVERSIONES FCI]])</f>
        <v>10410823532.502741</v>
      </c>
      <c r="DA127" s="5">
        <f>IF($B126&lt;=Tabla5[[#This Row],[INVERSIONES FCI]],+Tabla5[[#This Row],[INVERSIONES FCI]]-DA126,Tabla5[[#This Row],[INVERSIONES FCI]])</f>
        <v>10410823532.502741</v>
      </c>
      <c r="DB127" s="5">
        <f>IF($B126&lt;=Tabla5[[#This Row],[INVERSIONES FCI]],+Tabla5[[#This Row],[INVERSIONES FCI]]-DB126,Tabla5[[#This Row],[INVERSIONES FCI]])</f>
        <v>10410823532.502741</v>
      </c>
      <c r="DC127" s="5">
        <f>IF($B126&lt;=Tabla5[[#This Row],[INVERSIONES FCI]],+Tabla5[[#This Row],[INVERSIONES FCI]]-DC126,Tabla5[[#This Row],[INVERSIONES FCI]])</f>
        <v>10410823532.502741</v>
      </c>
      <c r="DD127" s="5">
        <f>IF($B126&lt;=Tabla5[[#This Row],[INVERSIONES FCI]],+Tabla5[[#This Row],[INVERSIONES FCI]]-DD126,Tabla5[[#This Row],[INVERSIONES FCI]])</f>
        <v>10410823532.502741</v>
      </c>
      <c r="DE127" s="5">
        <f>IF($B126&lt;=Tabla5[[#This Row],[INVERSIONES FCI]],+Tabla5[[#This Row],[INVERSIONES FCI]]-DE126,Tabla5[[#This Row],[INVERSIONES FCI]])</f>
        <v>10410823532.502741</v>
      </c>
      <c r="DF127" s="5">
        <f>IF($B126&lt;=Tabla5[[#This Row],[INVERSIONES FCI]],+Tabla5[[#This Row],[INVERSIONES FCI]]-DF126,Tabla5[[#This Row],[INVERSIONES FCI]])</f>
        <v>10410823532.502741</v>
      </c>
      <c r="DG127" s="5">
        <f>IF($B126&lt;=Tabla5[[#This Row],[INVERSIONES FCI]],+Tabla5[[#This Row],[INVERSIONES FCI]]-DG126,Tabla5[[#This Row],[INVERSIONES FCI]])</f>
        <v>10410823532.502741</v>
      </c>
      <c r="DH127" s="5">
        <f>IF($B126&lt;=Tabla5[[#This Row],[INVERSIONES FCI]],+Tabla5[[#This Row],[INVERSIONES FCI]]-DH126,Tabla5[[#This Row],[INVERSIONES FCI]])</f>
        <v>10410823532.502741</v>
      </c>
      <c r="DI127" s="5">
        <f>IF($B126&lt;=Tabla5[[#This Row],[INVERSIONES FCI]],+Tabla5[[#This Row],[INVERSIONES FCI]]-DI126,Tabla5[[#This Row],[INVERSIONES FCI]])</f>
        <v>10410823532.502741</v>
      </c>
      <c r="DJ127" s="5">
        <f>IF($B126&lt;=Tabla5[[#This Row],[INVERSIONES FCI]],+Tabla5[[#This Row],[INVERSIONES FCI]]-DJ126,Tabla5[[#This Row],[INVERSIONES FCI]])</f>
        <v>10410823532.502741</v>
      </c>
      <c r="DK127" s="5">
        <f>IF($B126&lt;=Tabla5[[#This Row],[INVERSIONES FCI]],+Tabla5[[#This Row],[INVERSIONES FCI]]-DK126,Tabla5[[#This Row],[INVERSIONES FCI]])</f>
        <v>10410823532.502741</v>
      </c>
      <c r="DL127" s="5"/>
      <c r="DM127" s="5"/>
      <c r="DN127" s="5"/>
      <c r="DO127" s="5"/>
      <c r="DP127" s="5"/>
      <c r="DQ127" s="5"/>
    </row>
    <row r="128" spans="1:121" ht="14.4">
      <c r="A128" s="12" t="s">
        <v>127</v>
      </c>
      <c r="B128" s="5">
        <f>HLOOKUP($A128,ESCENARIO[#All],7,FALSE)</f>
        <v>11623670998.450285</v>
      </c>
      <c r="C128" s="5">
        <f>IF($B127&lt;=Tabla5[[#This Row],[INVERSIONES FCI]],+Tabla5[[#This Row],[INVERSIONES FCI]]-C127,Tabla5[[#This Row],[INVERSIONES FCI]])</f>
        <v>1212847465.9475441</v>
      </c>
      <c r="D128" s="5">
        <f>IF($B127&lt;=Tabla5[[#This Row],[INVERSIONES FCI]],+Tabla5[[#This Row],[INVERSIONES FCI]]-D127,Tabla5[[#This Row],[INVERSIONES FCI]])</f>
        <v>1212847465.9475441</v>
      </c>
      <c r="E128" s="5">
        <f>IF($B127&lt;=Tabla5[[#This Row],[INVERSIONES FCI]],+Tabla5[[#This Row],[INVERSIONES FCI]]-E127,Tabla5[[#This Row],[INVERSIONES FCI]])</f>
        <v>1212847465.9475441</v>
      </c>
      <c r="F128" s="5">
        <f>IF($B127&lt;=Tabla5[[#This Row],[INVERSIONES FCI]],+Tabla5[[#This Row],[INVERSIONES FCI]]-F127,Tabla5[[#This Row],[INVERSIONES FCI]])</f>
        <v>1212847465.9475441</v>
      </c>
      <c r="G128" s="5">
        <f>IF($B127&lt;=Tabla5[[#This Row],[INVERSIONES FCI]],+Tabla5[[#This Row],[INVERSIONES FCI]]-G127,Tabla5[[#This Row],[INVERSIONES FCI]])</f>
        <v>1212847465.9475441</v>
      </c>
      <c r="H128" s="5">
        <f>IF($B127&lt;=Tabla5[[#This Row],[INVERSIONES FCI]],+Tabla5[[#This Row],[INVERSIONES FCI]]-H127,Tabla5[[#This Row],[INVERSIONES FCI]])</f>
        <v>1212847465.9475441</v>
      </c>
      <c r="I128" s="5">
        <f>IF($B127&lt;=Tabla5[[#This Row],[INVERSIONES FCI]],+Tabla5[[#This Row],[INVERSIONES FCI]]-I127,Tabla5[[#This Row],[INVERSIONES FCI]])</f>
        <v>1212847465.9475441</v>
      </c>
      <c r="J128" s="5">
        <f>IF($B127&lt;=Tabla5[[#This Row],[INVERSIONES FCI]],+Tabla5[[#This Row],[INVERSIONES FCI]]-J127,Tabla5[[#This Row],[INVERSIONES FCI]])</f>
        <v>1212847465.9475441</v>
      </c>
      <c r="K128" s="5">
        <f>IF($B127&lt;=Tabla5[[#This Row],[INVERSIONES FCI]],+Tabla5[[#This Row],[INVERSIONES FCI]]-K127,Tabla5[[#This Row],[INVERSIONES FCI]])</f>
        <v>1212847465.9475441</v>
      </c>
      <c r="L128" s="5">
        <f>IF($B127&lt;=Tabla5[[#This Row],[INVERSIONES FCI]],+Tabla5[[#This Row],[INVERSIONES FCI]]-L127,Tabla5[[#This Row],[INVERSIONES FCI]])</f>
        <v>1212847465.9475441</v>
      </c>
      <c r="M128" s="5">
        <f>IF($B127&lt;=Tabla5[[#This Row],[INVERSIONES FCI]],+Tabla5[[#This Row],[INVERSIONES FCI]]-M127,Tabla5[[#This Row],[INVERSIONES FCI]])</f>
        <v>1212847465.9475441</v>
      </c>
      <c r="N128" s="5">
        <f>IF($B127&lt;=Tabla5[[#This Row],[INVERSIONES FCI]],+Tabla5[[#This Row],[INVERSIONES FCI]]-N127,Tabla5[[#This Row],[INVERSIONES FCI]])</f>
        <v>1212847465.9475441</v>
      </c>
      <c r="O128" s="5">
        <f>IF($B127&lt;=Tabla5[[#This Row],[INVERSIONES FCI]],+Tabla5[[#This Row],[INVERSIONES FCI]]-O127,Tabla5[[#This Row],[INVERSIONES FCI]])</f>
        <v>1212847465.9475441</v>
      </c>
      <c r="P128" s="5">
        <f>IF($B127&lt;=Tabla5[[#This Row],[INVERSIONES FCI]],+Tabla5[[#This Row],[INVERSIONES FCI]]-P127,Tabla5[[#This Row],[INVERSIONES FCI]])</f>
        <v>1212847465.9475441</v>
      </c>
      <c r="Q128" s="5">
        <f>IF($B127&lt;=Tabla5[[#This Row],[INVERSIONES FCI]],+Tabla5[[#This Row],[INVERSIONES FCI]]-Q127,Tabla5[[#This Row],[INVERSIONES FCI]])</f>
        <v>1212847465.9475441</v>
      </c>
      <c r="R128" s="5">
        <f>IF($B127&lt;=Tabla5[[#This Row],[INVERSIONES FCI]],+Tabla5[[#This Row],[INVERSIONES FCI]]-R127,Tabla5[[#This Row],[INVERSIONES FCI]])</f>
        <v>1212847465.9475441</v>
      </c>
      <c r="S128" s="5">
        <f>IF($B127&lt;=Tabla5[[#This Row],[INVERSIONES FCI]],+Tabla5[[#This Row],[INVERSIONES FCI]]-S127,Tabla5[[#This Row],[INVERSIONES FCI]])</f>
        <v>1212847465.9475441</v>
      </c>
      <c r="T128" s="5">
        <f>IF($B127&lt;=Tabla5[[#This Row],[INVERSIONES FCI]],+Tabla5[[#This Row],[INVERSIONES FCI]]-T127,Tabla5[[#This Row],[INVERSIONES FCI]])</f>
        <v>1212847465.9475441</v>
      </c>
      <c r="U128" s="5">
        <f>IF($B127&lt;=Tabla5[[#This Row],[INVERSIONES FCI]],+Tabla5[[#This Row],[INVERSIONES FCI]]-U127,Tabla5[[#This Row],[INVERSIONES FCI]])</f>
        <v>1212847465.9475441</v>
      </c>
      <c r="V128" s="5">
        <f>IF($B127&lt;=Tabla5[[#This Row],[INVERSIONES FCI]],+Tabla5[[#This Row],[INVERSIONES FCI]]-V127,Tabla5[[#This Row],[INVERSIONES FCI]])</f>
        <v>1212847465.9475441</v>
      </c>
      <c r="W128" s="5">
        <f>IF($B127&lt;=Tabla5[[#This Row],[INVERSIONES FCI]],+Tabla5[[#This Row],[INVERSIONES FCI]]-W127,Tabla5[[#This Row],[INVERSIONES FCI]])</f>
        <v>1212847465.9475441</v>
      </c>
      <c r="X128" s="5">
        <f>IF($B127&lt;=Tabla5[[#This Row],[INVERSIONES FCI]],+Tabla5[[#This Row],[INVERSIONES FCI]]-X127,Tabla5[[#This Row],[INVERSIONES FCI]])</f>
        <v>1212847465.9475441</v>
      </c>
      <c r="Y128" s="5">
        <f>IF($B127&lt;=Tabla5[[#This Row],[INVERSIONES FCI]],+Tabla5[[#This Row],[INVERSIONES FCI]]-Y127,Tabla5[[#This Row],[INVERSIONES FCI]])</f>
        <v>1212847465.9475441</v>
      </c>
      <c r="Z128" s="5">
        <f>IF($B127&lt;=Tabla5[[#This Row],[INVERSIONES FCI]],+Tabla5[[#This Row],[INVERSIONES FCI]]-Z127,Tabla5[[#This Row],[INVERSIONES FCI]])</f>
        <v>1212847465.9475441</v>
      </c>
      <c r="AA128" s="5">
        <f>IF($B127&lt;=Tabla5[[#This Row],[INVERSIONES FCI]],+Tabla5[[#This Row],[INVERSIONES FCI]]-AA127,Tabla5[[#This Row],[INVERSIONES FCI]])</f>
        <v>1212847465.9475441</v>
      </c>
      <c r="AB128" s="5">
        <f>IF($B127&lt;=Tabla5[[#This Row],[INVERSIONES FCI]],+Tabla5[[#This Row],[INVERSIONES FCI]]-AB127,Tabla5[[#This Row],[INVERSIONES FCI]])</f>
        <v>1212847465.9475441</v>
      </c>
      <c r="AC128" s="5">
        <f>IF($B127&lt;=Tabla5[[#This Row],[INVERSIONES FCI]],+Tabla5[[#This Row],[INVERSIONES FCI]]-AC127,Tabla5[[#This Row],[INVERSIONES FCI]])</f>
        <v>1212847465.9475441</v>
      </c>
      <c r="AD128" s="5">
        <f>IF($B127&lt;=Tabla5[[#This Row],[INVERSIONES FCI]],+Tabla5[[#This Row],[INVERSIONES FCI]]-AD127,Tabla5[[#This Row],[INVERSIONES FCI]])</f>
        <v>1212847465.9475441</v>
      </c>
      <c r="AE128" s="5">
        <f>IF($B127&lt;=Tabla5[[#This Row],[INVERSIONES FCI]],+Tabla5[[#This Row],[INVERSIONES FCI]]-AE127,Tabla5[[#This Row],[INVERSIONES FCI]])</f>
        <v>1212847465.9475441</v>
      </c>
      <c r="AF128" s="5">
        <f>IF($B127&lt;=Tabla5[[#This Row],[INVERSIONES FCI]],+Tabla5[[#This Row],[INVERSIONES FCI]]-AF127,Tabla5[[#This Row],[INVERSIONES FCI]])</f>
        <v>1212847465.9475441</v>
      </c>
      <c r="AG128" s="5">
        <f>IF($B127&lt;=Tabla5[[#This Row],[INVERSIONES FCI]],+Tabla5[[#This Row],[INVERSIONES FCI]]-AG127,Tabla5[[#This Row],[INVERSIONES FCI]])</f>
        <v>1212847465.9475441</v>
      </c>
      <c r="AH128" s="5">
        <f>IF($B127&lt;=Tabla5[[#This Row],[INVERSIONES FCI]],+Tabla5[[#This Row],[INVERSIONES FCI]]-AH127,Tabla5[[#This Row],[INVERSIONES FCI]])</f>
        <v>1212847465.9475441</v>
      </c>
      <c r="AI128" s="5">
        <f>IF($B127&lt;=Tabla5[[#This Row],[INVERSIONES FCI]],+Tabla5[[#This Row],[INVERSIONES FCI]]-AI127,Tabla5[[#This Row],[INVERSIONES FCI]])</f>
        <v>1212847465.9475441</v>
      </c>
      <c r="AJ128" s="5">
        <f>IF($B127&lt;=Tabla5[[#This Row],[INVERSIONES FCI]],+Tabla5[[#This Row],[INVERSIONES FCI]]-AJ127,Tabla5[[#This Row],[INVERSIONES FCI]])</f>
        <v>1212847465.9475441</v>
      </c>
      <c r="AK128" s="5">
        <f>IF($B127&lt;=Tabla5[[#This Row],[INVERSIONES FCI]],+Tabla5[[#This Row],[INVERSIONES FCI]]-AK127,Tabla5[[#This Row],[INVERSIONES FCI]])</f>
        <v>1212847465.9475441</v>
      </c>
      <c r="AL128" s="5">
        <f>IF($B127&lt;=Tabla5[[#This Row],[INVERSIONES FCI]],+Tabla5[[#This Row],[INVERSIONES FCI]]-AL127,Tabla5[[#This Row],[INVERSIONES FCI]])</f>
        <v>1212847465.9475441</v>
      </c>
      <c r="AM128" s="5">
        <f>IF($B127&lt;=Tabla5[[#This Row],[INVERSIONES FCI]],+Tabla5[[#This Row],[INVERSIONES FCI]]-AM127,Tabla5[[#This Row],[INVERSIONES FCI]])</f>
        <v>1212847465.9475441</v>
      </c>
      <c r="AN128" s="5">
        <f>IF($B127&lt;=Tabla5[[#This Row],[INVERSIONES FCI]],+Tabla5[[#This Row],[INVERSIONES FCI]]-AN127,Tabla5[[#This Row],[INVERSIONES FCI]])</f>
        <v>1212847465.9475441</v>
      </c>
      <c r="AO128" s="5">
        <f>IF($B127&lt;=Tabla5[[#This Row],[INVERSIONES FCI]],+Tabla5[[#This Row],[INVERSIONES FCI]]-AO127,Tabla5[[#This Row],[INVERSIONES FCI]])</f>
        <v>1212847465.9475441</v>
      </c>
      <c r="AP128" s="5">
        <f>IF($B127&lt;=Tabla5[[#This Row],[INVERSIONES FCI]],+Tabla5[[#This Row],[INVERSIONES FCI]]-AP127,Tabla5[[#This Row],[INVERSIONES FCI]])</f>
        <v>1212847465.9475441</v>
      </c>
      <c r="AQ128" s="5">
        <f>IF($B127&lt;=Tabla5[[#This Row],[INVERSIONES FCI]],+Tabla5[[#This Row],[INVERSIONES FCI]]-AQ127,Tabla5[[#This Row],[INVERSIONES FCI]])</f>
        <v>1212847465.9475441</v>
      </c>
      <c r="AR128" s="5">
        <f>IF($B127&lt;=Tabla5[[#This Row],[INVERSIONES FCI]],+Tabla5[[#This Row],[INVERSIONES FCI]]-AR127,Tabla5[[#This Row],[INVERSIONES FCI]])</f>
        <v>1212847465.9475441</v>
      </c>
      <c r="AS128" s="5">
        <f>IF($B127&lt;=Tabla5[[#This Row],[INVERSIONES FCI]],+Tabla5[[#This Row],[INVERSIONES FCI]]-AS127,Tabla5[[#This Row],[INVERSIONES FCI]])</f>
        <v>1212847465.9475441</v>
      </c>
      <c r="AT128" s="5">
        <f>IF($B127&lt;=Tabla5[[#This Row],[INVERSIONES FCI]],+Tabla5[[#This Row],[INVERSIONES FCI]]-AT127,Tabla5[[#This Row],[INVERSIONES FCI]])</f>
        <v>1212847465.9475441</v>
      </c>
      <c r="AU128" s="5">
        <f>IF($B127&lt;=Tabla5[[#This Row],[INVERSIONES FCI]],+Tabla5[[#This Row],[INVERSIONES FCI]]-AU127,Tabla5[[#This Row],[INVERSIONES FCI]])</f>
        <v>1212847465.9475441</v>
      </c>
      <c r="AV128" s="5">
        <f>IF($B127&lt;=Tabla5[[#This Row],[INVERSIONES FCI]],+Tabla5[[#This Row],[INVERSIONES FCI]]-AV127,Tabla5[[#This Row],[INVERSIONES FCI]])</f>
        <v>1212847465.9475441</v>
      </c>
      <c r="AW128" s="5">
        <f>IF($B127&lt;=Tabla5[[#This Row],[INVERSIONES FCI]],+Tabla5[[#This Row],[INVERSIONES FCI]]-AW127,Tabla5[[#This Row],[INVERSIONES FCI]])</f>
        <v>1212847465.9475441</v>
      </c>
      <c r="AX128" s="5">
        <f>IF($B127&lt;=Tabla5[[#This Row],[INVERSIONES FCI]],+Tabla5[[#This Row],[INVERSIONES FCI]]-AX127,Tabla5[[#This Row],[INVERSIONES FCI]])</f>
        <v>1212847465.9475441</v>
      </c>
      <c r="AY128" s="5">
        <f>IF($B127&lt;=Tabla5[[#This Row],[INVERSIONES FCI]],+Tabla5[[#This Row],[INVERSIONES FCI]]-AY127,Tabla5[[#This Row],[INVERSIONES FCI]])</f>
        <v>1212847465.9475441</v>
      </c>
      <c r="AZ128" s="5">
        <f>IF($B127&lt;=Tabla5[[#This Row],[INVERSIONES FCI]],+Tabla5[[#This Row],[INVERSIONES FCI]]-AZ127,Tabla5[[#This Row],[INVERSIONES FCI]])</f>
        <v>1212847465.9475441</v>
      </c>
      <c r="BA128" s="5">
        <f>IF($B127&lt;=Tabla5[[#This Row],[INVERSIONES FCI]],+Tabla5[[#This Row],[INVERSIONES FCI]]-BA127,Tabla5[[#This Row],[INVERSIONES FCI]])</f>
        <v>1212847465.9475441</v>
      </c>
      <c r="BB128" s="5">
        <f>IF($B127&lt;=Tabla5[[#This Row],[INVERSIONES FCI]],+Tabla5[[#This Row],[INVERSIONES FCI]]-BB127,Tabla5[[#This Row],[INVERSIONES FCI]])</f>
        <v>1212847465.9475441</v>
      </c>
      <c r="BC128" s="5">
        <f>IF($B127&lt;=Tabla5[[#This Row],[INVERSIONES FCI]],+Tabla5[[#This Row],[INVERSIONES FCI]]-BC127,Tabla5[[#This Row],[INVERSIONES FCI]])</f>
        <v>1212847465.9475441</v>
      </c>
      <c r="BD128" s="5">
        <f>IF($B127&lt;=Tabla5[[#This Row],[INVERSIONES FCI]],+Tabla5[[#This Row],[INVERSIONES FCI]]-BD127,Tabla5[[#This Row],[INVERSIONES FCI]])</f>
        <v>1212847465.9475441</v>
      </c>
      <c r="BE128" s="5">
        <f>IF($B127&lt;=Tabla5[[#This Row],[INVERSIONES FCI]],+Tabla5[[#This Row],[INVERSIONES FCI]]-BE127,Tabla5[[#This Row],[INVERSIONES FCI]])</f>
        <v>1212847465.9475441</v>
      </c>
      <c r="BF128" s="5">
        <f>IF($B127&lt;=Tabla5[[#This Row],[INVERSIONES FCI]],+Tabla5[[#This Row],[INVERSIONES FCI]]-BF127,Tabla5[[#This Row],[INVERSIONES FCI]])</f>
        <v>1212847465.9475441</v>
      </c>
      <c r="BG128" s="5">
        <f>IF($B127&lt;=Tabla5[[#This Row],[INVERSIONES FCI]],+Tabla5[[#This Row],[INVERSIONES FCI]]-BG127,Tabla5[[#This Row],[INVERSIONES FCI]])</f>
        <v>1212847465.9475441</v>
      </c>
      <c r="BH128" s="5">
        <f>IF($B127&lt;=Tabla5[[#This Row],[INVERSIONES FCI]],+Tabla5[[#This Row],[INVERSIONES FCI]]-BH127,Tabla5[[#This Row],[INVERSIONES FCI]])</f>
        <v>1212847465.9475441</v>
      </c>
      <c r="BI128" s="5">
        <f>IF($B127&lt;=Tabla5[[#This Row],[INVERSIONES FCI]],+Tabla5[[#This Row],[INVERSIONES FCI]]-BI127,Tabla5[[#This Row],[INVERSIONES FCI]])</f>
        <v>1212847465.9475441</v>
      </c>
      <c r="BJ128" s="5">
        <f>IF($B127&lt;=Tabla5[[#This Row],[INVERSIONES FCI]],+Tabla5[[#This Row],[INVERSIONES FCI]]-BJ127,Tabla5[[#This Row],[INVERSIONES FCI]])</f>
        <v>1212847465.9475441</v>
      </c>
      <c r="BK128" s="5">
        <f>IF($B127&lt;=Tabla5[[#This Row],[INVERSIONES FCI]],+Tabla5[[#This Row],[INVERSIONES FCI]]-BK127,Tabla5[[#This Row],[INVERSIONES FCI]])</f>
        <v>1212847465.9475441</v>
      </c>
      <c r="BL128" s="5">
        <f>IF($B127&lt;=Tabla5[[#This Row],[INVERSIONES FCI]],+Tabla5[[#This Row],[INVERSIONES FCI]]-BL127,Tabla5[[#This Row],[INVERSIONES FCI]])</f>
        <v>1212847465.9475441</v>
      </c>
      <c r="BM128" s="5">
        <f>IF($B127&lt;=Tabla5[[#This Row],[INVERSIONES FCI]],+Tabla5[[#This Row],[INVERSIONES FCI]]-BM127,Tabla5[[#This Row],[INVERSIONES FCI]])</f>
        <v>1212847465.9475441</v>
      </c>
      <c r="BN128" s="5">
        <f>IF($B127&lt;=Tabla5[[#This Row],[INVERSIONES FCI]],+Tabla5[[#This Row],[INVERSIONES FCI]]-BN127,Tabla5[[#This Row],[INVERSIONES FCI]])</f>
        <v>1212847465.9475441</v>
      </c>
      <c r="BO128" s="5">
        <f>IF($B127&lt;=Tabla5[[#This Row],[INVERSIONES FCI]],+Tabla5[[#This Row],[INVERSIONES FCI]]-BO127,Tabla5[[#This Row],[INVERSIONES FCI]])</f>
        <v>1212847465.9475441</v>
      </c>
      <c r="BP128" s="5">
        <f>IF($B127&lt;=Tabla5[[#This Row],[INVERSIONES FCI]],+Tabla5[[#This Row],[INVERSIONES FCI]]-BP127,Tabla5[[#This Row],[INVERSIONES FCI]])</f>
        <v>1212847465.9475441</v>
      </c>
      <c r="BQ128" s="5">
        <f>IF($B127&lt;=Tabla5[[#This Row],[INVERSIONES FCI]],+Tabla5[[#This Row],[INVERSIONES FCI]]-BQ127,Tabla5[[#This Row],[INVERSIONES FCI]])</f>
        <v>1212847465.9475441</v>
      </c>
      <c r="BR128" s="5">
        <f>IF($B127&lt;=Tabla5[[#This Row],[INVERSIONES FCI]],+Tabla5[[#This Row],[INVERSIONES FCI]]-BR127,Tabla5[[#This Row],[INVERSIONES FCI]])</f>
        <v>1212847465.9475441</v>
      </c>
      <c r="BS128" s="5">
        <f>IF($B127&lt;=Tabla5[[#This Row],[INVERSIONES FCI]],+Tabla5[[#This Row],[INVERSIONES FCI]]-BS127,Tabla5[[#This Row],[INVERSIONES FCI]])</f>
        <v>1212847465.9475441</v>
      </c>
      <c r="BT128" s="5">
        <f>IF($B127&lt;=Tabla5[[#This Row],[INVERSIONES FCI]],+Tabla5[[#This Row],[INVERSIONES FCI]]-BT127,Tabla5[[#This Row],[INVERSIONES FCI]])</f>
        <v>1212847465.9475441</v>
      </c>
      <c r="BU128" s="5">
        <f>IF($B127&lt;=Tabla5[[#This Row],[INVERSIONES FCI]],+Tabla5[[#This Row],[INVERSIONES FCI]]-BU127,Tabla5[[#This Row],[INVERSIONES FCI]])</f>
        <v>1212847465.9475441</v>
      </c>
      <c r="BV128" s="5">
        <f>IF($B127&lt;=Tabla5[[#This Row],[INVERSIONES FCI]],+Tabla5[[#This Row],[INVERSIONES FCI]]-BV127,Tabla5[[#This Row],[INVERSIONES FCI]])</f>
        <v>1212847465.9475441</v>
      </c>
      <c r="BW128" s="5">
        <f>IF($B127&lt;=Tabla5[[#This Row],[INVERSIONES FCI]],+Tabla5[[#This Row],[INVERSIONES FCI]]-BW127,Tabla5[[#This Row],[INVERSIONES FCI]])</f>
        <v>1212847465.9475441</v>
      </c>
      <c r="BX128" s="5">
        <f>IF($B127&lt;=Tabla5[[#This Row],[INVERSIONES FCI]],+Tabla5[[#This Row],[INVERSIONES FCI]]-BX127,Tabla5[[#This Row],[INVERSIONES FCI]])</f>
        <v>1212847465.9475441</v>
      </c>
      <c r="BY128" s="5">
        <f>IF($B127&lt;=Tabla5[[#This Row],[INVERSIONES FCI]],+Tabla5[[#This Row],[INVERSIONES FCI]]-BY127,Tabla5[[#This Row],[INVERSIONES FCI]])</f>
        <v>1212847465.9475441</v>
      </c>
      <c r="BZ128" s="5">
        <f>IF($B127&lt;=Tabla5[[#This Row],[INVERSIONES FCI]],+Tabla5[[#This Row],[INVERSIONES FCI]]-BZ127,Tabla5[[#This Row],[INVERSIONES FCI]])</f>
        <v>1212847465.9475441</v>
      </c>
      <c r="CA128" s="5">
        <f>IF($B127&lt;=Tabla5[[#This Row],[INVERSIONES FCI]],+Tabla5[[#This Row],[INVERSIONES FCI]]-CA127,Tabla5[[#This Row],[INVERSIONES FCI]])</f>
        <v>1212847465.9475441</v>
      </c>
      <c r="CB128" s="5">
        <f>IF($B127&lt;=Tabla5[[#This Row],[INVERSIONES FCI]],+Tabla5[[#This Row],[INVERSIONES FCI]]-CB127,Tabla5[[#This Row],[INVERSIONES FCI]])</f>
        <v>1212847465.9475441</v>
      </c>
      <c r="CC128" s="5">
        <f>IF($B127&lt;=Tabla5[[#This Row],[INVERSIONES FCI]],+Tabla5[[#This Row],[INVERSIONES FCI]]-CC127,Tabla5[[#This Row],[INVERSIONES FCI]])</f>
        <v>1212847465.9475441</v>
      </c>
      <c r="CD128" s="5">
        <f>IF($B127&lt;=Tabla5[[#This Row],[INVERSIONES FCI]],+Tabla5[[#This Row],[INVERSIONES FCI]]-CD127,Tabla5[[#This Row],[INVERSIONES FCI]])</f>
        <v>1212847465.9475441</v>
      </c>
      <c r="CE128" s="5">
        <f>IF($B127&lt;=Tabla5[[#This Row],[INVERSIONES FCI]],+Tabla5[[#This Row],[INVERSIONES FCI]]-CE127,Tabla5[[#This Row],[INVERSIONES FCI]])</f>
        <v>1212847465.9475441</v>
      </c>
      <c r="CF128" s="5">
        <f>IF($B127&lt;=Tabla5[[#This Row],[INVERSIONES FCI]],+Tabla5[[#This Row],[INVERSIONES FCI]]-CF127,Tabla5[[#This Row],[INVERSIONES FCI]])</f>
        <v>1212847465.9475441</v>
      </c>
      <c r="CG128" s="5">
        <f>IF($B127&lt;=Tabla5[[#This Row],[INVERSIONES FCI]],+Tabla5[[#This Row],[INVERSIONES FCI]]-CG127,Tabla5[[#This Row],[INVERSIONES FCI]])</f>
        <v>1212847465.9475441</v>
      </c>
      <c r="CH128" s="5">
        <f>IF($B127&lt;=Tabla5[[#This Row],[INVERSIONES FCI]],+Tabla5[[#This Row],[INVERSIONES FCI]]-CH127,Tabla5[[#This Row],[INVERSIONES FCI]])</f>
        <v>1212847465.9475441</v>
      </c>
      <c r="CI128" s="5">
        <f>IF($B127&lt;=Tabla5[[#This Row],[INVERSIONES FCI]],+Tabla5[[#This Row],[INVERSIONES FCI]]-CI127,Tabla5[[#This Row],[INVERSIONES FCI]])</f>
        <v>1212847465.9475441</v>
      </c>
      <c r="CJ128" s="5">
        <f>IF($B127&lt;=Tabla5[[#This Row],[INVERSIONES FCI]],+Tabla5[[#This Row],[INVERSIONES FCI]]-CJ127,Tabla5[[#This Row],[INVERSIONES FCI]])</f>
        <v>1212847465.9475441</v>
      </c>
      <c r="CK128" s="5">
        <f>IF($B127&lt;=Tabla5[[#This Row],[INVERSIONES FCI]],+Tabla5[[#This Row],[INVERSIONES FCI]]-CK127,Tabla5[[#This Row],[INVERSIONES FCI]])</f>
        <v>1212847465.9475441</v>
      </c>
      <c r="CL128" s="5">
        <f>IF($B127&lt;=Tabla5[[#This Row],[INVERSIONES FCI]],+Tabla5[[#This Row],[INVERSIONES FCI]]-CL127,Tabla5[[#This Row],[INVERSIONES FCI]])</f>
        <v>1212847465.9475441</v>
      </c>
      <c r="CM128" s="5">
        <f>IF($B127&lt;=Tabla5[[#This Row],[INVERSIONES FCI]],+Tabla5[[#This Row],[INVERSIONES FCI]]-CM127,Tabla5[[#This Row],[INVERSIONES FCI]])</f>
        <v>1212847465.9475441</v>
      </c>
      <c r="CN128" s="5">
        <f>IF($B127&lt;=Tabla5[[#This Row],[INVERSIONES FCI]],+Tabla5[[#This Row],[INVERSIONES FCI]]-CN127,Tabla5[[#This Row],[INVERSIONES FCI]])</f>
        <v>1212847465.9475441</v>
      </c>
      <c r="CO128" s="5">
        <f>IF($B127&lt;=Tabla5[[#This Row],[INVERSIONES FCI]],+Tabla5[[#This Row],[INVERSIONES FCI]]-CO127,Tabla5[[#This Row],[INVERSIONES FCI]])</f>
        <v>1212847465.9475441</v>
      </c>
      <c r="CP128" s="5">
        <f>IF($B127&lt;=Tabla5[[#This Row],[INVERSIONES FCI]],+Tabla5[[#This Row],[INVERSIONES FCI]]-CP127,Tabla5[[#This Row],[INVERSIONES FCI]])</f>
        <v>1212847465.9475441</v>
      </c>
      <c r="CQ128" s="5">
        <f>IF($B127&lt;=Tabla5[[#This Row],[INVERSIONES FCI]],+Tabla5[[#This Row],[INVERSIONES FCI]]-CQ127,Tabla5[[#This Row],[INVERSIONES FCI]])</f>
        <v>1212847465.9475441</v>
      </c>
      <c r="CR128" s="5">
        <f>IF($B127&lt;=Tabla5[[#This Row],[INVERSIONES FCI]],+Tabla5[[#This Row],[INVERSIONES FCI]]-CR127,Tabla5[[#This Row],[INVERSIONES FCI]])</f>
        <v>1212847465.9475441</v>
      </c>
      <c r="CS128" s="5">
        <f>IF($B127&lt;=Tabla5[[#This Row],[INVERSIONES FCI]],+Tabla5[[#This Row],[INVERSIONES FCI]]-CS127,Tabla5[[#This Row],[INVERSIONES FCI]])</f>
        <v>1212847465.9475441</v>
      </c>
      <c r="CT128" s="5">
        <f>IF($B127&lt;=Tabla5[[#This Row],[INVERSIONES FCI]],+Tabla5[[#This Row],[INVERSIONES FCI]]-CT127,Tabla5[[#This Row],[INVERSIONES FCI]])</f>
        <v>1212847465.9475441</v>
      </c>
      <c r="CU128" s="5">
        <f>IF($B127&lt;=Tabla5[[#This Row],[INVERSIONES FCI]],+Tabla5[[#This Row],[INVERSIONES FCI]]-CU127,Tabla5[[#This Row],[INVERSIONES FCI]])</f>
        <v>1212847465.9475441</v>
      </c>
      <c r="CV128" s="5">
        <f>IF($B127&lt;=Tabla5[[#This Row],[INVERSIONES FCI]],+Tabla5[[#This Row],[INVERSIONES FCI]]-CV127,Tabla5[[#This Row],[INVERSIONES FCI]])</f>
        <v>1212847465.9475441</v>
      </c>
      <c r="CW128" s="5">
        <f>IF($B127&lt;=Tabla5[[#This Row],[INVERSIONES FCI]],+Tabla5[[#This Row],[INVERSIONES FCI]]-CW127,Tabla5[[#This Row],[INVERSIONES FCI]])</f>
        <v>1212847465.9475441</v>
      </c>
      <c r="CX128" s="5">
        <f>IF($B127&lt;=Tabla5[[#This Row],[INVERSIONES FCI]],+Tabla5[[#This Row],[INVERSIONES FCI]]-CX127,Tabla5[[#This Row],[INVERSIONES FCI]])</f>
        <v>1212847465.9475441</v>
      </c>
      <c r="CY128" s="5">
        <f>IF($B127&lt;=Tabla5[[#This Row],[INVERSIONES FCI]],+Tabla5[[#This Row],[INVERSIONES FCI]]-CY127,Tabla5[[#This Row],[INVERSIONES FCI]])</f>
        <v>1212847465.9475441</v>
      </c>
      <c r="CZ128" s="5">
        <f>IF($B127&lt;=Tabla5[[#This Row],[INVERSIONES FCI]],+Tabla5[[#This Row],[INVERSIONES FCI]]-CZ127,Tabla5[[#This Row],[INVERSIONES FCI]])</f>
        <v>1212847465.9475441</v>
      </c>
      <c r="DA128" s="5">
        <f>IF($B127&lt;=Tabla5[[#This Row],[INVERSIONES FCI]],+Tabla5[[#This Row],[INVERSIONES FCI]]-DA127,Tabla5[[#This Row],[INVERSIONES FCI]])</f>
        <v>1212847465.9475441</v>
      </c>
      <c r="DB128" s="5">
        <f>IF($B127&lt;=Tabla5[[#This Row],[INVERSIONES FCI]],+Tabla5[[#This Row],[INVERSIONES FCI]]-DB127,Tabla5[[#This Row],[INVERSIONES FCI]])</f>
        <v>1212847465.9475441</v>
      </c>
      <c r="DC128" s="5">
        <f>IF($B127&lt;=Tabla5[[#This Row],[INVERSIONES FCI]],+Tabla5[[#This Row],[INVERSIONES FCI]]-DC127,Tabla5[[#This Row],[INVERSIONES FCI]])</f>
        <v>1212847465.9475441</v>
      </c>
      <c r="DD128" s="5">
        <f>IF($B127&lt;=Tabla5[[#This Row],[INVERSIONES FCI]],+Tabla5[[#This Row],[INVERSIONES FCI]]-DD127,Tabla5[[#This Row],[INVERSIONES FCI]])</f>
        <v>1212847465.9475441</v>
      </c>
      <c r="DE128" s="5">
        <f>IF($B127&lt;=Tabla5[[#This Row],[INVERSIONES FCI]],+Tabla5[[#This Row],[INVERSIONES FCI]]-DE127,Tabla5[[#This Row],[INVERSIONES FCI]])</f>
        <v>1212847465.9475441</v>
      </c>
      <c r="DF128" s="5">
        <f>IF($B127&lt;=Tabla5[[#This Row],[INVERSIONES FCI]],+Tabla5[[#This Row],[INVERSIONES FCI]]-DF127,Tabla5[[#This Row],[INVERSIONES FCI]])</f>
        <v>1212847465.9475441</v>
      </c>
      <c r="DG128" s="5">
        <f>IF($B127&lt;=Tabla5[[#This Row],[INVERSIONES FCI]],+Tabla5[[#This Row],[INVERSIONES FCI]]-DG127,Tabla5[[#This Row],[INVERSIONES FCI]])</f>
        <v>1212847465.9475441</v>
      </c>
      <c r="DH128" s="5">
        <f>IF($B127&lt;=Tabla5[[#This Row],[INVERSIONES FCI]],+Tabla5[[#This Row],[INVERSIONES FCI]]-DH127,Tabla5[[#This Row],[INVERSIONES FCI]])</f>
        <v>1212847465.9475441</v>
      </c>
      <c r="DI128" s="5">
        <f>IF($B127&lt;=Tabla5[[#This Row],[INVERSIONES FCI]],+Tabla5[[#This Row],[INVERSIONES FCI]]-DI127,Tabla5[[#This Row],[INVERSIONES FCI]])</f>
        <v>1212847465.9475441</v>
      </c>
      <c r="DJ128" s="5">
        <f>IF($B127&lt;=Tabla5[[#This Row],[INVERSIONES FCI]],+Tabla5[[#This Row],[INVERSIONES FCI]]-DJ127,Tabla5[[#This Row],[INVERSIONES FCI]])</f>
        <v>1212847465.9475441</v>
      </c>
      <c r="DK128" s="5">
        <f>IF($B127&lt;=Tabla5[[#This Row],[INVERSIONES FCI]],+Tabla5[[#This Row],[INVERSIONES FCI]]-DK127,Tabla5[[#This Row],[INVERSIONES FCI]])</f>
        <v>1212847465.9475441</v>
      </c>
      <c r="DL128" s="5"/>
      <c r="DM128" s="5"/>
      <c r="DN128" s="5"/>
      <c r="DO128" s="5"/>
      <c r="DP128" s="5"/>
      <c r="DQ128" s="5"/>
    </row>
    <row r="129" spans="1:121" ht="14.4">
      <c r="A129" s="12" t="s">
        <v>128</v>
      </c>
      <c r="B129" s="5">
        <f>HLOOKUP($A129,ESCENARIO[#All],7,FALSE)</f>
        <v>11623670998.450285</v>
      </c>
      <c r="C129" s="5">
        <f>IF($B128&lt;=Tabla5[[#This Row],[INVERSIONES FCI]],+Tabla5[[#This Row],[INVERSIONES FCI]]-C128,Tabla5[[#This Row],[INVERSIONES FCI]])</f>
        <v>10410823532.502741</v>
      </c>
      <c r="D129" s="5">
        <f>IF($B128&lt;=Tabla5[[#This Row],[INVERSIONES FCI]],+Tabla5[[#This Row],[INVERSIONES FCI]]-D128,Tabla5[[#This Row],[INVERSIONES FCI]])</f>
        <v>10410823532.502741</v>
      </c>
      <c r="E129" s="5">
        <f>IF($B128&lt;=Tabla5[[#This Row],[INVERSIONES FCI]],+Tabla5[[#This Row],[INVERSIONES FCI]]-E128,Tabla5[[#This Row],[INVERSIONES FCI]])</f>
        <v>10410823532.502741</v>
      </c>
      <c r="F129" s="5">
        <f>IF($B128&lt;=Tabla5[[#This Row],[INVERSIONES FCI]],+Tabla5[[#This Row],[INVERSIONES FCI]]-F128,Tabla5[[#This Row],[INVERSIONES FCI]])</f>
        <v>10410823532.502741</v>
      </c>
      <c r="G129" s="5">
        <f>IF($B128&lt;=Tabla5[[#This Row],[INVERSIONES FCI]],+Tabla5[[#This Row],[INVERSIONES FCI]]-G128,Tabla5[[#This Row],[INVERSIONES FCI]])</f>
        <v>10410823532.502741</v>
      </c>
      <c r="H129" s="5">
        <f>IF($B128&lt;=Tabla5[[#This Row],[INVERSIONES FCI]],+Tabla5[[#This Row],[INVERSIONES FCI]]-H128,Tabla5[[#This Row],[INVERSIONES FCI]])</f>
        <v>10410823532.502741</v>
      </c>
      <c r="I129" s="5">
        <f>IF($B128&lt;=Tabla5[[#This Row],[INVERSIONES FCI]],+Tabla5[[#This Row],[INVERSIONES FCI]]-I128,Tabla5[[#This Row],[INVERSIONES FCI]])</f>
        <v>10410823532.502741</v>
      </c>
      <c r="J129" s="5">
        <f>IF($B128&lt;=Tabla5[[#This Row],[INVERSIONES FCI]],+Tabla5[[#This Row],[INVERSIONES FCI]]-J128,Tabla5[[#This Row],[INVERSIONES FCI]])</f>
        <v>10410823532.502741</v>
      </c>
      <c r="K129" s="5">
        <f>IF($B128&lt;=Tabla5[[#This Row],[INVERSIONES FCI]],+Tabla5[[#This Row],[INVERSIONES FCI]]-K128,Tabla5[[#This Row],[INVERSIONES FCI]])</f>
        <v>10410823532.502741</v>
      </c>
      <c r="L129" s="5">
        <f>IF($B128&lt;=Tabla5[[#This Row],[INVERSIONES FCI]],+Tabla5[[#This Row],[INVERSIONES FCI]]-L128,Tabla5[[#This Row],[INVERSIONES FCI]])</f>
        <v>10410823532.502741</v>
      </c>
      <c r="M129" s="5">
        <f>IF($B128&lt;=Tabla5[[#This Row],[INVERSIONES FCI]],+Tabla5[[#This Row],[INVERSIONES FCI]]-M128,Tabla5[[#This Row],[INVERSIONES FCI]])</f>
        <v>10410823532.502741</v>
      </c>
      <c r="N129" s="5">
        <f>IF($B128&lt;=Tabla5[[#This Row],[INVERSIONES FCI]],+Tabla5[[#This Row],[INVERSIONES FCI]]-N128,Tabla5[[#This Row],[INVERSIONES FCI]])</f>
        <v>10410823532.502741</v>
      </c>
      <c r="O129" s="5">
        <f>IF($B128&lt;=Tabla5[[#This Row],[INVERSIONES FCI]],+Tabla5[[#This Row],[INVERSIONES FCI]]-O128,Tabla5[[#This Row],[INVERSIONES FCI]])</f>
        <v>10410823532.502741</v>
      </c>
      <c r="P129" s="5">
        <f>IF($B128&lt;=Tabla5[[#This Row],[INVERSIONES FCI]],+Tabla5[[#This Row],[INVERSIONES FCI]]-P128,Tabla5[[#This Row],[INVERSIONES FCI]])</f>
        <v>10410823532.502741</v>
      </c>
      <c r="Q129" s="5">
        <f>IF($B128&lt;=Tabla5[[#This Row],[INVERSIONES FCI]],+Tabla5[[#This Row],[INVERSIONES FCI]]-Q128,Tabla5[[#This Row],[INVERSIONES FCI]])</f>
        <v>10410823532.502741</v>
      </c>
      <c r="R129" s="5">
        <f>IF($B128&lt;=Tabla5[[#This Row],[INVERSIONES FCI]],+Tabla5[[#This Row],[INVERSIONES FCI]]-R128,Tabla5[[#This Row],[INVERSIONES FCI]])</f>
        <v>10410823532.502741</v>
      </c>
      <c r="S129" s="5">
        <f>IF($B128&lt;=Tabla5[[#This Row],[INVERSIONES FCI]],+Tabla5[[#This Row],[INVERSIONES FCI]]-S128,Tabla5[[#This Row],[INVERSIONES FCI]])</f>
        <v>10410823532.502741</v>
      </c>
      <c r="T129" s="5">
        <f>IF($B128&lt;=Tabla5[[#This Row],[INVERSIONES FCI]],+Tabla5[[#This Row],[INVERSIONES FCI]]-T128,Tabla5[[#This Row],[INVERSIONES FCI]])</f>
        <v>10410823532.502741</v>
      </c>
      <c r="U129" s="5">
        <f>IF($B128&lt;=Tabla5[[#This Row],[INVERSIONES FCI]],+Tabla5[[#This Row],[INVERSIONES FCI]]-U128,Tabla5[[#This Row],[INVERSIONES FCI]])</f>
        <v>10410823532.502741</v>
      </c>
      <c r="V129" s="5">
        <f>IF($B128&lt;=Tabla5[[#This Row],[INVERSIONES FCI]],+Tabla5[[#This Row],[INVERSIONES FCI]]-V128,Tabla5[[#This Row],[INVERSIONES FCI]])</f>
        <v>10410823532.502741</v>
      </c>
      <c r="W129" s="5">
        <f>IF($B128&lt;=Tabla5[[#This Row],[INVERSIONES FCI]],+Tabla5[[#This Row],[INVERSIONES FCI]]-W128,Tabla5[[#This Row],[INVERSIONES FCI]])</f>
        <v>10410823532.502741</v>
      </c>
      <c r="X129" s="5">
        <f>IF($B128&lt;=Tabla5[[#This Row],[INVERSIONES FCI]],+Tabla5[[#This Row],[INVERSIONES FCI]]-X128,Tabla5[[#This Row],[INVERSIONES FCI]])</f>
        <v>10410823532.502741</v>
      </c>
      <c r="Y129" s="5">
        <f>IF($B128&lt;=Tabla5[[#This Row],[INVERSIONES FCI]],+Tabla5[[#This Row],[INVERSIONES FCI]]-Y128,Tabla5[[#This Row],[INVERSIONES FCI]])</f>
        <v>10410823532.502741</v>
      </c>
      <c r="Z129" s="5">
        <f>IF($B128&lt;=Tabla5[[#This Row],[INVERSIONES FCI]],+Tabla5[[#This Row],[INVERSIONES FCI]]-Z128,Tabla5[[#This Row],[INVERSIONES FCI]])</f>
        <v>10410823532.502741</v>
      </c>
      <c r="AA129" s="5">
        <f>IF($B128&lt;=Tabla5[[#This Row],[INVERSIONES FCI]],+Tabla5[[#This Row],[INVERSIONES FCI]]-AA128,Tabla5[[#This Row],[INVERSIONES FCI]])</f>
        <v>10410823532.502741</v>
      </c>
      <c r="AB129" s="5">
        <f>IF($B128&lt;=Tabla5[[#This Row],[INVERSIONES FCI]],+Tabla5[[#This Row],[INVERSIONES FCI]]-AB128,Tabla5[[#This Row],[INVERSIONES FCI]])</f>
        <v>10410823532.502741</v>
      </c>
      <c r="AC129" s="5">
        <f>IF($B128&lt;=Tabla5[[#This Row],[INVERSIONES FCI]],+Tabla5[[#This Row],[INVERSIONES FCI]]-AC128,Tabla5[[#This Row],[INVERSIONES FCI]])</f>
        <v>10410823532.502741</v>
      </c>
      <c r="AD129" s="5">
        <f>IF($B128&lt;=Tabla5[[#This Row],[INVERSIONES FCI]],+Tabla5[[#This Row],[INVERSIONES FCI]]-AD128,Tabla5[[#This Row],[INVERSIONES FCI]])</f>
        <v>10410823532.502741</v>
      </c>
      <c r="AE129" s="5">
        <f>IF($B128&lt;=Tabla5[[#This Row],[INVERSIONES FCI]],+Tabla5[[#This Row],[INVERSIONES FCI]]-AE128,Tabla5[[#This Row],[INVERSIONES FCI]])</f>
        <v>10410823532.502741</v>
      </c>
      <c r="AF129" s="5">
        <f>IF($B128&lt;=Tabla5[[#This Row],[INVERSIONES FCI]],+Tabla5[[#This Row],[INVERSIONES FCI]]-AF128,Tabla5[[#This Row],[INVERSIONES FCI]])</f>
        <v>10410823532.502741</v>
      </c>
      <c r="AG129" s="5">
        <f>IF($B128&lt;=Tabla5[[#This Row],[INVERSIONES FCI]],+Tabla5[[#This Row],[INVERSIONES FCI]]-AG128,Tabla5[[#This Row],[INVERSIONES FCI]])</f>
        <v>10410823532.502741</v>
      </c>
      <c r="AH129" s="5">
        <f>IF($B128&lt;=Tabla5[[#This Row],[INVERSIONES FCI]],+Tabla5[[#This Row],[INVERSIONES FCI]]-AH128,Tabla5[[#This Row],[INVERSIONES FCI]])</f>
        <v>10410823532.502741</v>
      </c>
      <c r="AI129" s="5">
        <f>IF($B128&lt;=Tabla5[[#This Row],[INVERSIONES FCI]],+Tabla5[[#This Row],[INVERSIONES FCI]]-AI128,Tabla5[[#This Row],[INVERSIONES FCI]])</f>
        <v>10410823532.502741</v>
      </c>
      <c r="AJ129" s="5">
        <f>IF($B128&lt;=Tabla5[[#This Row],[INVERSIONES FCI]],+Tabla5[[#This Row],[INVERSIONES FCI]]-AJ128,Tabla5[[#This Row],[INVERSIONES FCI]])</f>
        <v>10410823532.502741</v>
      </c>
      <c r="AK129" s="5">
        <f>IF($B128&lt;=Tabla5[[#This Row],[INVERSIONES FCI]],+Tabla5[[#This Row],[INVERSIONES FCI]]-AK128,Tabla5[[#This Row],[INVERSIONES FCI]])</f>
        <v>10410823532.502741</v>
      </c>
      <c r="AL129" s="5">
        <f>IF($B128&lt;=Tabla5[[#This Row],[INVERSIONES FCI]],+Tabla5[[#This Row],[INVERSIONES FCI]]-AL128,Tabla5[[#This Row],[INVERSIONES FCI]])</f>
        <v>10410823532.502741</v>
      </c>
      <c r="AM129" s="5">
        <f>IF($B128&lt;=Tabla5[[#This Row],[INVERSIONES FCI]],+Tabla5[[#This Row],[INVERSIONES FCI]]-AM128,Tabla5[[#This Row],[INVERSIONES FCI]])</f>
        <v>10410823532.502741</v>
      </c>
      <c r="AN129" s="5">
        <f>IF($B128&lt;=Tabla5[[#This Row],[INVERSIONES FCI]],+Tabla5[[#This Row],[INVERSIONES FCI]]-AN128,Tabla5[[#This Row],[INVERSIONES FCI]])</f>
        <v>10410823532.502741</v>
      </c>
      <c r="AO129" s="5">
        <f>IF($B128&lt;=Tabla5[[#This Row],[INVERSIONES FCI]],+Tabla5[[#This Row],[INVERSIONES FCI]]-AO128,Tabla5[[#This Row],[INVERSIONES FCI]])</f>
        <v>10410823532.502741</v>
      </c>
      <c r="AP129" s="5">
        <f>IF($B128&lt;=Tabla5[[#This Row],[INVERSIONES FCI]],+Tabla5[[#This Row],[INVERSIONES FCI]]-AP128,Tabla5[[#This Row],[INVERSIONES FCI]])</f>
        <v>10410823532.502741</v>
      </c>
      <c r="AQ129" s="5">
        <f>IF($B128&lt;=Tabla5[[#This Row],[INVERSIONES FCI]],+Tabla5[[#This Row],[INVERSIONES FCI]]-AQ128,Tabla5[[#This Row],[INVERSIONES FCI]])</f>
        <v>10410823532.502741</v>
      </c>
      <c r="AR129" s="5">
        <f>IF($B128&lt;=Tabla5[[#This Row],[INVERSIONES FCI]],+Tabla5[[#This Row],[INVERSIONES FCI]]-AR128,Tabla5[[#This Row],[INVERSIONES FCI]])</f>
        <v>10410823532.502741</v>
      </c>
      <c r="AS129" s="5">
        <f>IF($B128&lt;=Tabla5[[#This Row],[INVERSIONES FCI]],+Tabla5[[#This Row],[INVERSIONES FCI]]-AS128,Tabla5[[#This Row],[INVERSIONES FCI]])</f>
        <v>10410823532.502741</v>
      </c>
      <c r="AT129" s="5">
        <f>IF($B128&lt;=Tabla5[[#This Row],[INVERSIONES FCI]],+Tabla5[[#This Row],[INVERSIONES FCI]]-AT128,Tabla5[[#This Row],[INVERSIONES FCI]])</f>
        <v>10410823532.502741</v>
      </c>
      <c r="AU129" s="5">
        <f>IF($B128&lt;=Tabla5[[#This Row],[INVERSIONES FCI]],+Tabla5[[#This Row],[INVERSIONES FCI]]-AU128,Tabla5[[#This Row],[INVERSIONES FCI]])</f>
        <v>10410823532.502741</v>
      </c>
      <c r="AV129" s="5">
        <f>IF($B128&lt;=Tabla5[[#This Row],[INVERSIONES FCI]],+Tabla5[[#This Row],[INVERSIONES FCI]]-AV128,Tabla5[[#This Row],[INVERSIONES FCI]])</f>
        <v>10410823532.502741</v>
      </c>
      <c r="AW129" s="5">
        <f>IF($B128&lt;=Tabla5[[#This Row],[INVERSIONES FCI]],+Tabla5[[#This Row],[INVERSIONES FCI]]-AW128,Tabla5[[#This Row],[INVERSIONES FCI]])</f>
        <v>10410823532.502741</v>
      </c>
      <c r="AX129" s="5">
        <f>IF($B128&lt;=Tabla5[[#This Row],[INVERSIONES FCI]],+Tabla5[[#This Row],[INVERSIONES FCI]]-AX128,Tabla5[[#This Row],[INVERSIONES FCI]])</f>
        <v>10410823532.502741</v>
      </c>
      <c r="AY129" s="5">
        <f>IF($B128&lt;=Tabla5[[#This Row],[INVERSIONES FCI]],+Tabla5[[#This Row],[INVERSIONES FCI]]-AY128,Tabla5[[#This Row],[INVERSIONES FCI]])</f>
        <v>10410823532.502741</v>
      </c>
      <c r="AZ129" s="5">
        <f>IF($B128&lt;=Tabla5[[#This Row],[INVERSIONES FCI]],+Tabla5[[#This Row],[INVERSIONES FCI]]-AZ128,Tabla5[[#This Row],[INVERSIONES FCI]])</f>
        <v>10410823532.502741</v>
      </c>
      <c r="BA129" s="5">
        <f>IF($B128&lt;=Tabla5[[#This Row],[INVERSIONES FCI]],+Tabla5[[#This Row],[INVERSIONES FCI]]-BA128,Tabla5[[#This Row],[INVERSIONES FCI]])</f>
        <v>10410823532.502741</v>
      </c>
      <c r="BB129" s="5">
        <f>IF($B128&lt;=Tabla5[[#This Row],[INVERSIONES FCI]],+Tabla5[[#This Row],[INVERSIONES FCI]]-BB128,Tabla5[[#This Row],[INVERSIONES FCI]])</f>
        <v>10410823532.502741</v>
      </c>
      <c r="BC129" s="5">
        <f>IF($B128&lt;=Tabla5[[#This Row],[INVERSIONES FCI]],+Tabla5[[#This Row],[INVERSIONES FCI]]-BC128,Tabla5[[#This Row],[INVERSIONES FCI]])</f>
        <v>10410823532.502741</v>
      </c>
      <c r="BD129" s="5">
        <f>IF($B128&lt;=Tabla5[[#This Row],[INVERSIONES FCI]],+Tabla5[[#This Row],[INVERSIONES FCI]]-BD128,Tabla5[[#This Row],[INVERSIONES FCI]])</f>
        <v>10410823532.502741</v>
      </c>
      <c r="BE129" s="5">
        <f>IF($B128&lt;=Tabla5[[#This Row],[INVERSIONES FCI]],+Tabla5[[#This Row],[INVERSIONES FCI]]-BE128,Tabla5[[#This Row],[INVERSIONES FCI]])</f>
        <v>10410823532.502741</v>
      </c>
      <c r="BF129" s="5">
        <f>IF($B128&lt;=Tabla5[[#This Row],[INVERSIONES FCI]],+Tabla5[[#This Row],[INVERSIONES FCI]]-BF128,Tabla5[[#This Row],[INVERSIONES FCI]])</f>
        <v>10410823532.502741</v>
      </c>
      <c r="BG129" s="5">
        <f>IF($B128&lt;=Tabla5[[#This Row],[INVERSIONES FCI]],+Tabla5[[#This Row],[INVERSIONES FCI]]-BG128,Tabla5[[#This Row],[INVERSIONES FCI]])</f>
        <v>10410823532.502741</v>
      </c>
      <c r="BH129" s="5">
        <f>IF($B128&lt;=Tabla5[[#This Row],[INVERSIONES FCI]],+Tabla5[[#This Row],[INVERSIONES FCI]]-BH128,Tabla5[[#This Row],[INVERSIONES FCI]])</f>
        <v>10410823532.502741</v>
      </c>
      <c r="BI129" s="5">
        <f>IF($B128&lt;=Tabla5[[#This Row],[INVERSIONES FCI]],+Tabla5[[#This Row],[INVERSIONES FCI]]-BI128,Tabla5[[#This Row],[INVERSIONES FCI]])</f>
        <v>10410823532.502741</v>
      </c>
      <c r="BJ129" s="5">
        <f>IF($B128&lt;=Tabla5[[#This Row],[INVERSIONES FCI]],+Tabla5[[#This Row],[INVERSIONES FCI]]-BJ128,Tabla5[[#This Row],[INVERSIONES FCI]])</f>
        <v>10410823532.502741</v>
      </c>
      <c r="BK129" s="5">
        <f>IF($B128&lt;=Tabla5[[#This Row],[INVERSIONES FCI]],+Tabla5[[#This Row],[INVERSIONES FCI]]-BK128,Tabla5[[#This Row],[INVERSIONES FCI]])</f>
        <v>10410823532.502741</v>
      </c>
      <c r="BL129" s="5">
        <f>IF($B128&lt;=Tabla5[[#This Row],[INVERSIONES FCI]],+Tabla5[[#This Row],[INVERSIONES FCI]]-BL128,Tabla5[[#This Row],[INVERSIONES FCI]])</f>
        <v>10410823532.502741</v>
      </c>
      <c r="BM129" s="5">
        <f>IF($B128&lt;=Tabla5[[#This Row],[INVERSIONES FCI]],+Tabla5[[#This Row],[INVERSIONES FCI]]-BM128,Tabla5[[#This Row],[INVERSIONES FCI]])</f>
        <v>10410823532.502741</v>
      </c>
      <c r="BN129" s="5">
        <f>IF($B128&lt;=Tabla5[[#This Row],[INVERSIONES FCI]],+Tabla5[[#This Row],[INVERSIONES FCI]]-BN128,Tabla5[[#This Row],[INVERSIONES FCI]])</f>
        <v>10410823532.502741</v>
      </c>
      <c r="BO129" s="5">
        <f>IF($B128&lt;=Tabla5[[#This Row],[INVERSIONES FCI]],+Tabla5[[#This Row],[INVERSIONES FCI]]-BO128,Tabla5[[#This Row],[INVERSIONES FCI]])</f>
        <v>10410823532.502741</v>
      </c>
      <c r="BP129" s="5">
        <f>IF($B128&lt;=Tabla5[[#This Row],[INVERSIONES FCI]],+Tabla5[[#This Row],[INVERSIONES FCI]]-BP128,Tabla5[[#This Row],[INVERSIONES FCI]])</f>
        <v>10410823532.502741</v>
      </c>
      <c r="BQ129" s="5">
        <f>IF($B128&lt;=Tabla5[[#This Row],[INVERSIONES FCI]],+Tabla5[[#This Row],[INVERSIONES FCI]]-BQ128,Tabla5[[#This Row],[INVERSIONES FCI]])</f>
        <v>10410823532.502741</v>
      </c>
      <c r="BR129" s="5">
        <f>IF($B128&lt;=Tabla5[[#This Row],[INVERSIONES FCI]],+Tabla5[[#This Row],[INVERSIONES FCI]]-BR128,Tabla5[[#This Row],[INVERSIONES FCI]])</f>
        <v>10410823532.502741</v>
      </c>
      <c r="BS129" s="5">
        <f>IF($B128&lt;=Tabla5[[#This Row],[INVERSIONES FCI]],+Tabla5[[#This Row],[INVERSIONES FCI]]-BS128,Tabla5[[#This Row],[INVERSIONES FCI]])</f>
        <v>10410823532.502741</v>
      </c>
      <c r="BT129" s="5">
        <f>IF($B128&lt;=Tabla5[[#This Row],[INVERSIONES FCI]],+Tabla5[[#This Row],[INVERSIONES FCI]]-BT128,Tabla5[[#This Row],[INVERSIONES FCI]])</f>
        <v>10410823532.502741</v>
      </c>
      <c r="BU129" s="5">
        <f>IF($B128&lt;=Tabla5[[#This Row],[INVERSIONES FCI]],+Tabla5[[#This Row],[INVERSIONES FCI]]-BU128,Tabla5[[#This Row],[INVERSIONES FCI]])</f>
        <v>10410823532.502741</v>
      </c>
      <c r="BV129" s="5">
        <f>IF($B128&lt;=Tabla5[[#This Row],[INVERSIONES FCI]],+Tabla5[[#This Row],[INVERSIONES FCI]]-BV128,Tabla5[[#This Row],[INVERSIONES FCI]])</f>
        <v>10410823532.502741</v>
      </c>
      <c r="BW129" s="5">
        <f>IF($B128&lt;=Tabla5[[#This Row],[INVERSIONES FCI]],+Tabla5[[#This Row],[INVERSIONES FCI]]-BW128,Tabla5[[#This Row],[INVERSIONES FCI]])</f>
        <v>10410823532.502741</v>
      </c>
      <c r="BX129" s="5">
        <f>IF($B128&lt;=Tabla5[[#This Row],[INVERSIONES FCI]],+Tabla5[[#This Row],[INVERSIONES FCI]]-BX128,Tabla5[[#This Row],[INVERSIONES FCI]])</f>
        <v>10410823532.502741</v>
      </c>
      <c r="BY129" s="5">
        <f>IF($B128&lt;=Tabla5[[#This Row],[INVERSIONES FCI]],+Tabla5[[#This Row],[INVERSIONES FCI]]-BY128,Tabla5[[#This Row],[INVERSIONES FCI]])</f>
        <v>10410823532.502741</v>
      </c>
      <c r="BZ129" s="5">
        <f>IF($B128&lt;=Tabla5[[#This Row],[INVERSIONES FCI]],+Tabla5[[#This Row],[INVERSIONES FCI]]-BZ128,Tabla5[[#This Row],[INVERSIONES FCI]])</f>
        <v>10410823532.502741</v>
      </c>
      <c r="CA129" s="5">
        <f>IF($B128&lt;=Tabla5[[#This Row],[INVERSIONES FCI]],+Tabla5[[#This Row],[INVERSIONES FCI]]-CA128,Tabla5[[#This Row],[INVERSIONES FCI]])</f>
        <v>10410823532.502741</v>
      </c>
      <c r="CB129" s="5">
        <f>IF($B128&lt;=Tabla5[[#This Row],[INVERSIONES FCI]],+Tabla5[[#This Row],[INVERSIONES FCI]]-CB128,Tabla5[[#This Row],[INVERSIONES FCI]])</f>
        <v>10410823532.502741</v>
      </c>
      <c r="CC129" s="5">
        <f>IF($B128&lt;=Tabla5[[#This Row],[INVERSIONES FCI]],+Tabla5[[#This Row],[INVERSIONES FCI]]-CC128,Tabla5[[#This Row],[INVERSIONES FCI]])</f>
        <v>10410823532.502741</v>
      </c>
      <c r="CD129" s="5">
        <f>IF($B128&lt;=Tabla5[[#This Row],[INVERSIONES FCI]],+Tabla5[[#This Row],[INVERSIONES FCI]]-CD128,Tabla5[[#This Row],[INVERSIONES FCI]])</f>
        <v>10410823532.502741</v>
      </c>
      <c r="CE129" s="5">
        <f>IF($B128&lt;=Tabla5[[#This Row],[INVERSIONES FCI]],+Tabla5[[#This Row],[INVERSIONES FCI]]-CE128,Tabla5[[#This Row],[INVERSIONES FCI]])</f>
        <v>10410823532.502741</v>
      </c>
      <c r="CF129" s="5">
        <f>IF($B128&lt;=Tabla5[[#This Row],[INVERSIONES FCI]],+Tabla5[[#This Row],[INVERSIONES FCI]]-CF128,Tabla5[[#This Row],[INVERSIONES FCI]])</f>
        <v>10410823532.502741</v>
      </c>
      <c r="CG129" s="5">
        <f>IF($B128&lt;=Tabla5[[#This Row],[INVERSIONES FCI]],+Tabla5[[#This Row],[INVERSIONES FCI]]-CG128,Tabla5[[#This Row],[INVERSIONES FCI]])</f>
        <v>10410823532.502741</v>
      </c>
      <c r="CH129" s="5">
        <f>IF($B128&lt;=Tabla5[[#This Row],[INVERSIONES FCI]],+Tabla5[[#This Row],[INVERSIONES FCI]]-CH128,Tabla5[[#This Row],[INVERSIONES FCI]])</f>
        <v>10410823532.502741</v>
      </c>
      <c r="CI129" s="5">
        <f>IF($B128&lt;=Tabla5[[#This Row],[INVERSIONES FCI]],+Tabla5[[#This Row],[INVERSIONES FCI]]-CI128,Tabla5[[#This Row],[INVERSIONES FCI]])</f>
        <v>10410823532.502741</v>
      </c>
      <c r="CJ129" s="5">
        <f>IF($B128&lt;=Tabla5[[#This Row],[INVERSIONES FCI]],+Tabla5[[#This Row],[INVERSIONES FCI]]-CJ128,Tabla5[[#This Row],[INVERSIONES FCI]])</f>
        <v>10410823532.502741</v>
      </c>
      <c r="CK129" s="5">
        <f>IF($B128&lt;=Tabla5[[#This Row],[INVERSIONES FCI]],+Tabla5[[#This Row],[INVERSIONES FCI]]-CK128,Tabla5[[#This Row],[INVERSIONES FCI]])</f>
        <v>10410823532.502741</v>
      </c>
      <c r="CL129" s="5">
        <f>IF($B128&lt;=Tabla5[[#This Row],[INVERSIONES FCI]],+Tabla5[[#This Row],[INVERSIONES FCI]]-CL128,Tabla5[[#This Row],[INVERSIONES FCI]])</f>
        <v>10410823532.502741</v>
      </c>
      <c r="CM129" s="5">
        <f>IF($B128&lt;=Tabla5[[#This Row],[INVERSIONES FCI]],+Tabla5[[#This Row],[INVERSIONES FCI]]-CM128,Tabla5[[#This Row],[INVERSIONES FCI]])</f>
        <v>10410823532.502741</v>
      </c>
      <c r="CN129" s="5">
        <f>IF($B128&lt;=Tabla5[[#This Row],[INVERSIONES FCI]],+Tabla5[[#This Row],[INVERSIONES FCI]]-CN128,Tabla5[[#This Row],[INVERSIONES FCI]])</f>
        <v>10410823532.502741</v>
      </c>
      <c r="CO129" s="5">
        <f>IF($B128&lt;=Tabla5[[#This Row],[INVERSIONES FCI]],+Tabla5[[#This Row],[INVERSIONES FCI]]-CO128,Tabla5[[#This Row],[INVERSIONES FCI]])</f>
        <v>10410823532.502741</v>
      </c>
      <c r="CP129" s="5">
        <f>IF($B128&lt;=Tabla5[[#This Row],[INVERSIONES FCI]],+Tabla5[[#This Row],[INVERSIONES FCI]]-CP128,Tabla5[[#This Row],[INVERSIONES FCI]])</f>
        <v>10410823532.502741</v>
      </c>
      <c r="CQ129" s="5">
        <f>IF($B128&lt;=Tabla5[[#This Row],[INVERSIONES FCI]],+Tabla5[[#This Row],[INVERSIONES FCI]]-CQ128,Tabla5[[#This Row],[INVERSIONES FCI]])</f>
        <v>10410823532.502741</v>
      </c>
      <c r="CR129" s="5">
        <f>IF($B128&lt;=Tabla5[[#This Row],[INVERSIONES FCI]],+Tabla5[[#This Row],[INVERSIONES FCI]]-CR128,Tabla5[[#This Row],[INVERSIONES FCI]])</f>
        <v>10410823532.502741</v>
      </c>
      <c r="CS129" s="5">
        <f>IF($B128&lt;=Tabla5[[#This Row],[INVERSIONES FCI]],+Tabla5[[#This Row],[INVERSIONES FCI]]-CS128,Tabla5[[#This Row],[INVERSIONES FCI]])</f>
        <v>10410823532.502741</v>
      </c>
      <c r="CT129" s="5">
        <f>IF($B128&lt;=Tabla5[[#This Row],[INVERSIONES FCI]],+Tabla5[[#This Row],[INVERSIONES FCI]]-CT128,Tabla5[[#This Row],[INVERSIONES FCI]])</f>
        <v>10410823532.502741</v>
      </c>
      <c r="CU129" s="5">
        <f>IF($B128&lt;=Tabla5[[#This Row],[INVERSIONES FCI]],+Tabla5[[#This Row],[INVERSIONES FCI]]-CU128,Tabla5[[#This Row],[INVERSIONES FCI]])</f>
        <v>10410823532.502741</v>
      </c>
      <c r="CV129" s="5">
        <f>IF($B128&lt;=Tabla5[[#This Row],[INVERSIONES FCI]],+Tabla5[[#This Row],[INVERSIONES FCI]]-CV128,Tabla5[[#This Row],[INVERSIONES FCI]])</f>
        <v>10410823532.502741</v>
      </c>
      <c r="CW129" s="5">
        <f>IF($B128&lt;=Tabla5[[#This Row],[INVERSIONES FCI]],+Tabla5[[#This Row],[INVERSIONES FCI]]-CW128,Tabla5[[#This Row],[INVERSIONES FCI]])</f>
        <v>10410823532.502741</v>
      </c>
      <c r="CX129" s="5">
        <f>IF($B128&lt;=Tabla5[[#This Row],[INVERSIONES FCI]],+Tabla5[[#This Row],[INVERSIONES FCI]]-CX128,Tabla5[[#This Row],[INVERSIONES FCI]])</f>
        <v>10410823532.502741</v>
      </c>
      <c r="CY129" s="5">
        <f>IF($B128&lt;=Tabla5[[#This Row],[INVERSIONES FCI]],+Tabla5[[#This Row],[INVERSIONES FCI]]-CY128,Tabla5[[#This Row],[INVERSIONES FCI]])</f>
        <v>10410823532.502741</v>
      </c>
      <c r="CZ129" s="5">
        <f>IF($B128&lt;=Tabla5[[#This Row],[INVERSIONES FCI]],+Tabla5[[#This Row],[INVERSIONES FCI]]-CZ128,Tabla5[[#This Row],[INVERSIONES FCI]])</f>
        <v>10410823532.502741</v>
      </c>
      <c r="DA129" s="5">
        <f>IF($B128&lt;=Tabla5[[#This Row],[INVERSIONES FCI]],+Tabla5[[#This Row],[INVERSIONES FCI]]-DA128,Tabla5[[#This Row],[INVERSIONES FCI]])</f>
        <v>10410823532.502741</v>
      </c>
      <c r="DB129" s="5">
        <f>IF($B128&lt;=Tabla5[[#This Row],[INVERSIONES FCI]],+Tabla5[[#This Row],[INVERSIONES FCI]]-DB128,Tabla5[[#This Row],[INVERSIONES FCI]])</f>
        <v>10410823532.502741</v>
      </c>
      <c r="DC129" s="5">
        <f>IF($B128&lt;=Tabla5[[#This Row],[INVERSIONES FCI]],+Tabla5[[#This Row],[INVERSIONES FCI]]-DC128,Tabla5[[#This Row],[INVERSIONES FCI]])</f>
        <v>10410823532.502741</v>
      </c>
      <c r="DD129" s="5">
        <f>IF($B128&lt;=Tabla5[[#This Row],[INVERSIONES FCI]],+Tabla5[[#This Row],[INVERSIONES FCI]]-DD128,Tabla5[[#This Row],[INVERSIONES FCI]])</f>
        <v>10410823532.502741</v>
      </c>
      <c r="DE129" s="5">
        <f>IF($B128&lt;=Tabla5[[#This Row],[INVERSIONES FCI]],+Tabla5[[#This Row],[INVERSIONES FCI]]-DE128,Tabla5[[#This Row],[INVERSIONES FCI]])</f>
        <v>10410823532.502741</v>
      </c>
      <c r="DF129" s="5">
        <f>IF($B128&lt;=Tabla5[[#This Row],[INVERSIONES FCI]],+Tabla5[[#This Row],[INVERSIONES FCI]]-DF128,Tabla5[[#This Row],[INVERSIONES FCI]])</f>
        <v>10410823532.502741</v>
      </c>
      <c r="DG129" s="5">
        <f>IF($B128&lt;=Tabla5[[#This Row],[INVERSIONES FCI]],+Tabla5[[#This Row],[INVERSIONES FCI]]-DG128,Tabla5[[#This Row],[INVERSIONES FCI]])</f>
        <v>10410823532.502741</v>
      </c>
      <c r="DH129" s="5">
        <f>IF($B128&lt;=Tabla5[[#This Row],[INVERSIONES FCI]],+Tabla5[[#This Row],[INVERSIONES FCI]]-DH128,Tabla5[[#This Row],[INVERSIONES FCI]])</f>
        <v>10410823532.502741</v>
      </c>
      <c r="DI129" s="5">
        <f>IF($B128&lt;=Tabla5[[#This Row],[INVERSIONES FCI]],+Tabla5[[#This Row],[INVERSIONES FCI]]-DI128,Tabla5[[#This Row],[INVERSIONES FCI]])</f>
        <v>10410823532.502741</v>
      </c>
      <c r="DJ129" s="5">
        <f>IF($B128&lt;=Tabla5[[#This Row],[INVERSIONES FCI]],+Tabla5[[#This Row],[INVERSIONES FCI]]-DJ128,Tabla5[[#This Row],[INVERSIONES FCI]])</f>
        <v>10410823532.502741</v>
      </c>
      <c r="DK129" s="5">
        <f>IF($B128&lt;=Tabla5[[#This Row],[INVERSIONES FCI]],+Tabla5[[#This Row],[INVERSIONES FCI]]-DK128,Tabla5[[#This Row],[INVERSIONES FCI]])</f>
        <v>10410823532.502741</v>
      </c>
      <c r="DL129" s="5"/>
      <c r="DM129" s="5"/>
      <c r="DN129" s="5"/>
      <c r="DO129" s="5"/>
      <c r="DP129" s="5"/>
      <c r="DQ129" s="5"/>
    </row>
    <row r="130" spans="1:121" ht="14.4">
      <c r="A130" s="12" t="s">
        <v>129</v>
      </c>
      <c r="B130" s="5">
        <f>HLOOKUP($A130,ESCENARIO[#All],7,FALSE)</f>
        <v>11390919912.50695</v>
      </c>
      <c r="C130" s="5">
        <f>IF($B129&lt;=Tabla5[[#This Row],[INVERSIONES FCI]],+Tabla5[[#This Row],[INVERSIONES FCI]]-C129,Tabla5[[#This Row],[INVERSIONES FCI]])</f>
        <v>11390919912.50695</v>
      </c>
      <c r="D130" s="5">
        <f>IF($B129&lt;=Tabla5[[#This Row],[INVERSIONES FCI]],+Tabla5[[#This Row],[INVERSIONES FCI]]-D129,Tabla5[[#This Row],[INVERSIONES FCI]])</f>
        <v>11390919912.50695</v>
      </c>
      <c r="E130" s="5">
        <f>IF($B129&lt;=Tabla5[[#This Row],[INVERSIONES FCI]],+Tabla5[[#This Row],[INVERSIONES FCI]]-E129,Tabla5[[#This Row],[INVERSIONES FCI]])</f>
        <v>11390919912.50695</v>
      </c>
      <c r="F130" s="5">
        <f>IF($B129&lt;=Tabla5[[#This Row],[INVERSIONES FCI]],+Tabla5[[#This Row],[INVERSIONES FCI]]-F129,Tabla5[[#This Row],[INVERSIONES FCI]])</f>
        <v>11390919912.50695</v>
      </c>
      <c r="G130" s="5">
        <f>IF($B129&lt;=Tabla5[[#This Row],[INVERSIONES FCI]],+Tabla5[[#This Row],[INVERSIONES FCI]]-G129,Tabla5[[#This Row],[INVERSIONES FCI]])</f>
        <v>11390919912.50695</v>
      </c>
      <c r="H130" s="5">
        <f>IF($B129&lt;=Tabla5[[#This Row],[INVERSIONES FCI]],+Tabla5[[#This Row],[INVERSIONES FCI]]-H129,Tabla5[[#This Row],[INVERSIONES FCI]])</f>
        <v>11390919912.50695</v>
      </c>
      <c r="I130" s="5">
        <f>IF($B129&lt;=Tabla5[[#This Row],[INVERSIONES FCI]],+Tabla5[[#This Row],[INVERSIONES FCI]]-I129,Tabla5[[#This Row],[INVERSIONES FCI]])</f>
        <v>11390919912.50695</v>
      </c>
      <c r="J130" s="5">
        <f>IF($B129&lt;=Tabla5[[#This Row],[INVERSIONES FCI]],+Tabla5[[#This Row],[INVERSIONES FCI]]-J129,Tabla5[[#This Row],[INVERSIONES FCI]])</f>
        <v>11390919912.50695</v>
      </c>
      <c r="K130" s="5">
        <f>IF($B129&lt;=Tabla5[[#This Row],[INVERSIONES FCI]],+Tabla5[[#This Row],[INVERSIONES FCI]]-K129,Tabla5[[#This Row],[INVERSIONES FCI]])</f>
        <v>11390919912.50695</v>
      </c>
      <c r="L130" s="5">
        <f>IF($B129&lt;=Tabla5[[#This Row],[INVERSIONES FCI]],+Tabla5[[#This Row],[INVERSIONES FCI]]-L129,Tabla5[[#This Row],[INVERSIONES FCI]])</f>
        <v>11390919912.50695</v>
      </c>
      <c r="M130" s="5">
        <f>IF($B129&lt;=Tabla5[[#This Row],[INVERSIONES FCI]],+Tabla5[[#This Row],[INVERSIONES FCI]]-M129,Tabla5[[#This Row],[INVERSIONES FCI]])</f>
        <v>11390919912.50695</v>
      </c>
      <c r="N130" s="5">
        <f>IF($B129&lt;=Tabla5[[#This Row],[INVERSIONES FCI]],+Tabla5[[#This Row],[INVERSIONES FCI]]-N129,Tabla5[[#This Row],[INVERSIONES FCI]])</f>
        <v>11390919912.50695</v>
      </c>
      <c r="O130" s="5">
        <f>IF($B129&lt;=Tabla5[[#This Row],[INVERSIONES FCI]],+Tabla5[[#This Row],[INVERSIONES FCI]]-O129,Tabla5[[#This Row],[INVERSIONES FCI]])</f>
        <v>11390919912.50695</v>
      </c>
      <c r="P130" s="5">
        <f>IF($B129&lt;=Tabla5[[#This Row],[INVERSIONES FCI]],+Tabla5[[#This Row],[INVERSIONES FCI]]-P129,Tabla5[[#This Row],[INVERSIONES FCI]])</f>
        <v>11390919912.50695</v>
      </c>
      <c r="Q130" s="5">
        <f>IF($B129&lt;=Tabla5[[#This Row],[INVERSIONES FCI]],+Tabla5[[#This Row],[INVERSIONES FCI]]-Q129,Tabla5[[#This Row],[INVERSIONES FCI]])</f>
        <v>11390919912.50695</v>
      </c>
      <c r="R130" s="5">
        <f>IF($B129&lt;=Tabla5[[#This Row],[INVERSIONES FCI]],+Tabla5[[#This Row],[INVERSIONES FCI]]-R129,Tabla5[[#This Row],[INVERSIONES FCI]])</f>
        <v>11390919912.50695</v>
      </c>
      <c r="S130" s="5">
        <f>IF($B129&lt;=Tabla5[[#This Row],[INVERSIONES FCI]],+Tabla5[[#This Row],[INVERSIONES FCI]]-S129,Tabla5[[#This Row],[INVERSIONES FCI]])</f>
        <v>11390919912.50695</v>
      </c>
      <c r="T130" s="5">
        <f>IF($B129&lt;=Tabla5[[#This Row],[INVERSIONES FCI]],+Tabla5[[#This Row],[INVERSIONES FCI]]-T129,Tabla5[[#This Row],[INVERSIONES FCI]])</f>
        <v>11390919912.50695</v>
      </c>
      <c r="U130" s="5">
        <f>IF($B129&lt;=Tabla5[[#This Row],[INVERSIONES FCI]],+Tabla5[[#This Row],[INVERSIONES FCI]]-U129,Tabla5[[#This Row],[INVERSIONES FCI]])</f>
        <v>11390919912.50695</v>
      </c>
      <c r="V130" s="5">
        <f>IF($B129&lt;=Tabla5[[#This Row],[INVERSIONES FCI]],+Tabla5[[#This Row],[INVERSIONES FCI]]-V129,Tabla5[[#This Row],[INVERSIONES FCI]])</f>
        <v>11390919912.50695</v>
      </c>
      <c r="W130" s="5">
        <f>IF($B129&lt;=Tabla5[[#This Row],[INVERSIONES FCI]],+Tabla5[[#This Row],[INVERSIONES FCI]]-W129,Tabla5[[#This Row],[INVERSIONES FCI]])</f>
        <v>11390919912.50695</v>
      </c>
      <c r="X130" s="5">
        <f>IF($B129&lt;=Tabla5[[#This Row],[INVERSIONES FCI]],+Tabla5[[#This Row],[INVERSIONES FCI]]-X129,Tabla5[[#This Row],[INVERSIONES FCI]])</f>
        <v>11390919912.50695</v>
      </c>
      <c r="Y130" s="5">
        <f>IF($B129&lt;=Tabla5[[#This Row],[INVERSIONES FCI]],+Tabla5[[#This Row],[INVERSIONES FCI]]-Y129,Tabla5[[#This Row],[INVERSIONES FCI]])</f>
        <v>11390919912.50695</v>
      </c>
      <c r="Z130" s="5">
        <f>IF($B129&lt;=Tabla5[[#This Row],[INVERSIONES FCI]],+Tabla5[[#This Row],[INVERSIONES FCI]]-Z129,Tabla5[[#This Row],[INVERSIONES FCI]])</f>
        <v>11390919912.50695</v>
      </c>
      <c r="AA130" s="5">
        <f>IF($B129&lt;=Tabla5[[#This Row],[INVERSIONES FCI]],+Tabla5[[#This Row],[INVERSIONES FCI]]-AA129,Tabla5[[#This Row],[INVERSIONES FCI]])</f>
        <v>11390919912.50695</v>
      </c>
      <c r="AB130" s="5">
        <f>IF($B129&lt;=Tabla5[[#This Row],[INVERSIONES FCI]],+Tabla5[[#This Row],[INVERSIONES FCI]]-AB129,Tabla5[[#This Row],[INVERSIONES FCI]])</f>
        <v>11390919912.50695</v>
      </c>
      <c r="AC130" s="5">
        <f>IF($B129&lt;=Tabla5[[#This Row],[INVERSIONES FCI]],+Tabla5[[#This Row],[INVERSIONES FCI]]-AC129,Tabla5[[#This Row],[INVERSIONES FCI]])</f>
        <v>11390919912.50695</v>
      </c>
      <c r="AD130" s="5">
        <f>IF($B129&lt;=Tabla5[[#This Row],[INVERSIONES FCI]],+Tabla5[[#This Row],[INVERSIONES FCI]]-AD129,Tabla5[[#This Row],[INVERSIONES FCI]])</f>
        <v>11390919912.50695</v>
      </c>
      <c r="AE130" s="5">
        <f>IF($B129&lt;=Tabla5[[#This Row],[INVERSIONES FCI]],+Tabla5[[#This Row],[INVERSIONES FCI]]-AE129,Tabla5[[#This Row],[INVERSIONES FCI]])</f>
        <v>11390919912.50695</v>
      </c>
      <c r="AF130" s="5">
        <f>IF($B129&lt;=Tabla5[[#This Row],[INVERSIONES FCI]],+Tabla5[[#This Row],[INVERSIONES FCI]]-AF129,Tabla5[[#This Row],[INVERSIONES FCI]])</f>
        <v>11390919912.50695</v>
      </c>
      <c r="AG130" s="5">
        <f>IF($B129&lt;=Tabla5[[#This Row],[INVERSIONES FCI]],+Tabla5[[#This Row],[INVERSIONES FCI]]-AG129,Tabla5[[#This Row],[INVERSIONES FCI]])</f>
        <v>11390919912.50695</v>
      </c>
      <c r="AH130" s="5">
        <f>IF($B129&lt;=Tabla5[[#This Row],[INVERSIONES FCI]],+Tabla5[[#This Row],[INVERSIONES FCI]]-AH129,Tabla5[[#This Row],[INVERSIONES FCI]])</f>
        <v>11390919912.50695</v>
      </c>
      <c r="AI130" s="5">
        <f>IF($B129&lt;=Tabla5[[#This Row],[INVERSIONES FCI]],+Tabla5[[#This Row],[INVERSIONES FCI]]-AI129,Tabla5[[#This Row],[INVERSIONES FCI]])</f>
        <v>11390919912.50695</v>
      </c>
      <c r="AJ130" s="5">
        <f>IF($B129&lt;=Tabla5[[#This Row],[INVERSIONES FCI]],+Tabla5[[#This Row],[INVERSIONES FCI]]-AJ129,Tabla5[[#This Row],[INVERSIONES FCI]])</f>
        <v>11390919912.50695</v>
      </c>
      <c r="AK130" s="5">
        <f>IF($B129&lt;=Tabla5[[#This Row],[INVERSIONES FCI]],+Tabla5[[#This Row],[INVERSIONES FCI]]-AK129,Tabla5[[#This Row],[INVERSIONES FCI]])</f>
        <v>11390919912.50695</v>
      </c>
      <c r="AL130" s="5">
        <f>IF($B129&lt;=Tabla5[[#This Row],[INVERSIONES FCI]],+Tabla5[[#This Row],[INVERSIONES FCI]]-AL129,Tabla5[[#This Row],[INVERSIONES FCI]])</f>
        <v>11390919912.50695</v>
      </c>
      <c r="AM130" s="5">
        <f>IF($B129&lt;=Tabla5[[#This Row],[INVERSIONES FCI]],+Tabla5[[#This Row],[INVERSIONES FCI]]-AM129,Tabla5[[#This Row],[INVERSIONES FCI]])</f>
        <v>11390919912.50695</v>
      </c>
      <c r="AN130" s="5">
        <f>IF($B129&lt;=Tabla5[[#This Row],[INVERSIONES FCI]],+Tabla5[[#This Row],[INVERSIONES FCI]]-AN129,Tabla5[[#This Row],[INVERSIONES FCI]])</f>
        <v>11390919912.50695</v>
      </c>
      <c r="AO130" s="5">
        <f>IF($B129&lt;=Tabla5[[#This Row],[INVERSIONES FCI]],+Tabla5[[#This Row],[INVERSIONES FCI]]-AO129,Tabla5[[#This Row],[INVERSIONES FCI]])</f>
        <v>11390919912.50695</v>
      </c>
      <c r="AP130" s="5">
        <f>IF($B129&lt;=Tabla5[[#This Row],[INVERSIONES FCI]],+Tabla5[[#This Row],[INVERSIONES FCI]]-AP129,Tabla5[[#This Row],[INVERSIONES FCI]])</f>
        <v>11390919912.50695</v>
      </c>
      <c r="AQ130" s="5">
        <f>IF($B129&lt;=Tabla5[[#This Row],[INVERSIONES FCI]],+Tabla5[[#This Row],[INVERSIONES FCI]]-AQ129,Tabla5[[#This Row],[INVERSIONES FCI]])</f>
        <v>11390919912.50695</v>
      </c>
      <c r="AR130" s="5">
        <f>IF($B129&lt;=Tabla5[[#This Row],[INVERSIONES FCI]],+Tabla5[[#This Row],[INVERSIONES FCI]]-AR129,Tabla5[[#This Row],[INVERSIONES FCI]])</f>
        <v>11390919912.50695</v>
      </c>
      <c r="AS130" s="5">
        <f>IF($B129&lt;=Tabla5[[#This Row],[INVERSIONES FCI]],+Tabla5[[#This Row],[INVERSIONES FCI]]-AS129,Tabla5[[#This Row],[INVERSIONES FCI]])</f>
        <v>11390919912.50695</v>
      </c>
      <c r="AT130" s="5">
        <f>IF($B129&lt;=Tabla5[[#This Row],[INVERSIONES FCI]],+Tabla5[[#This Row],[INVERSIONES FCI]]-AT129,Tabla5[[#This Row],[INVERSIONES FCI]])</f>
        <v>11390919912.50695</v>
      </c>
      <c r="AU130" s="5">
        <f>IF($B129&lt;=Tabla5[[#This Row],[INVERSIONES FCI]],+Tabla5[[#This Row],[INVERSIONES FCI]]-AU129,Tabla5[[#This Row],[INVERSIONES FCI]])</f>
        <v>11390919912.50695</v>
      </c>
      <c r="AV130" s="5">
        <f>IF($B129&lt;=Tabla5[[#This Row],[INVERSIONES FCI]],+Tabla5[[#This Row],[INVERSIONES FCI]]-AV129,Tabla5[[#This Row],[INVERSIONES FCI]])</f>
        <v>11390919912.50695</v>
      </c>
      <c r="AW130" s="5">
        <f>IF($B129&lt;=Tabla5[[#This Row],[INVERSIONES FCI]],+Tabla5[[#This Row],[INVERSIONES FCI]]-AW129,Tabla5[[#This Row],[INVERSIONES FCI]])</f>
        <v>11390919912.50695</v>
      </c>
      <c r="AX130" s="5">
        <f>IF($B129&lt;=Tabla5[[#This Row],[INVERSIONES FCI]],+Tabla5[[#This Row],[INVERSIONES FCI]]-AX129,Tabla5[[#This Row],[INVERSIONES FCI]])</f>
        <v>11390919912.50695</v>
      </c>
      <c r="AY130" s="5">
        <f>IF($B129&lt;=Tabla5[[#This Row],[INVERSIONES FCI]],+Tabla5[[#This Row],[INVERSIONES FCI]]-AY129,Tabla5[[#This Row],[INVERSIONES FCI]])</f>
        <v>11390919912.50695</v>
      </c>
      <c r="AZ130" s="5">
        <f>IF($B129&lt;=Tabla5[[#This Row],[INVERSIONES FCI]],+Tabla5[[#This Row],[INVERSIONES FCI]]-AZ129,Tabla5[[#This Row],[INVERSIONES FCI]])</f>
        <v>11390919912.50695</v>
      </c>
      <c r="BA130" s="5">
        <f>IF($B129&lt;=Tabla5[[#This Row],[INVERSIONES FCI]],+Tabla5[[#This Row],[INVERSIONES FCI]]-BA129,Tabla5[[#This Row],[INVERSIONES FCI]])</f>
        <v>11390919912.50695</v>
      </c>
      <c r="BB130" s="5">
        <f>IF($B129&lt;=Tabla5[[#This Row],[INVERSIONES FCI]],+Tabla5[[#This Row],[INVERSIONES FCI]]-BB129,Tabla5[[#This Row],[INVERSIONES FCI]])</f>
        <v>11390919912.50695</v>
      </c>
      <c r="BC130" s="5">
        <f>IF($B129&lt;=Tabla5[[#This Row],[INVERSIONES FCI]],+Tabla5[[#This Row],[INVERSIONES FCI]]-BC129,Tabla5[[#This Row],[INVERSIONES FCI]])</f>
        <v>11390919912.50695</v>
      </c>
      <c r="BD130" s="5">
        <f>IF($B129&lt;=Tabla5[[#This Row],[INVERSIONES FCI]],+Tabla5[[#This Row],[INVERSIONES FCI]]-BD129,Tabla5[[#This Row],[INVERSIONES FCI]])</f>
        <v>11390919912.50695</v>
      </c>
      <c r="BE130" s="5">
        <f>IF($B129&lt;=Tabla5[[#This Row],[INVERSIONES FCI]],+Tabla5[[#This Row],[INVERSIONES FCI]]-BE129,Tabla5[[#This Row],[INVERSIONES FCI]])</f>
        <v>11390919912.50695</v>
      </c>
      <c r="BF130" s="5">
        <f>IF($B129&lt;=Tabla5[[#This Row],[INVERSIONES FCI]],+Tabla5[[#This Row],[INVERSIONES FCI]]-BF129,Tabla5[[#This Row],[INVERSIONES FCI]])</f>
        <v>11390919912.50695</v>
      </c>
      <c r="BG130" s="5">
        <f>IF($B129&lt;=Tabla5[[#This Row],[INVERSIONES FCI]],+Tabla5[[#This Row],[INVERSIONES FCI]]-BG129,Tabla5[[#This Row],[INVERSIONES FCI]])</f>
        <v>11390919912.50695</v>
      </c>
      <c r="BH130" s="5">
        <f>IF($B129&lt;=Tabla5[[#This Row],[INVERSIONES FCI]],+Tabla5[[#This Row],[INVERSIONES FCI]]-BH129,Tabla5[[#This Row],[INVERSIONES FCI]])</f>
        <v>11390919912.50695</v>
      </c>
      <c r="BI130" s="5">
        <f>IF($B129&lt;=Tabla5[[#This Row],[INVERSIONES FCI]],+Tabla5[[#This Row],[INVERSIONES FCI]]-BI129,Tabla5[[#This Row],[INVERSIONES FCI]])</f>
        <v>11390919912.50695</v>
      </c>
      <c r="BJ130" s="5">
        <f>IF($B129&lt;=Tabla5[[#This Row],[INVERSIONES FCI]],+Tabla5[[#This Row],[INVERSIONES FCI]]-BJ129,Tabla5[[#This Row],[INVERSIONES FCI]])</f>
        <v>11390919912.50695</v>
      </c>
      <c r="BK130" s="5">
        <f>IF($B129&lt;=Tabla5[[#This Row],[INVERSIONES FCI]],+Tabla5[[#This Row],[INVERSIONES FCI]]-BK129,Tabla5[[#This Row],[INVERSIONES FCI]])</f>
        <v>11390919912.50695</v>
      </c>
      <c r="BL130" s="5">
        <f>IF($B129&lt;=Tabla5[[#This Row],[INVERSIONES FCI]],+Tabla5[[#This Row],[INVERSIONES FCI]]-BL129,Tabla5[[#This Row],[INVERSIONES FCI]])</f>
        <v>11390919912.50695</v>
      </c>
      <c r="BM130" s="5">
        <f>IF($B129&lt;=Tabla5[[#This Row],[INVERSIONES FCI]],+Tabla5[[#This Row],[INVERSIONES FCI]]-BM129,Tabla5[[#This Row],[INVERSIONES FCI]])</f>
        <v>11390919912.50695</v>
      </c>
      <c r="BN130" s="5">
        <f>IF($B129&lt;=Tabla5[[#This Row],[INVERSIONES FCI]],+Tabla5[[#This Row],[INVERSIONES FCI]]-BN129,Tabla5[[#This Row],[INVERSIONES FCI]])</f>
        <v>11390919912.50695</v>
      </c>
      <c r="BO130" s="5">
        <f>IF($B129&lt;=Tabla5[[#This Row],[INVERSIONES FCI]],+Tabla5[[#This Row],[INVERSIONES FCI]]-BO129,Tabla5[[#This Row],[INVERSIONES FCI]])</f>
        <v>11390919912.50695</v>
      </c>
      <c r="BP130" s="5">
        <f>IF($B129&lt;=Tabla5[[#This Row],[INVERSIONES FCI]],+Tabla5[[#This Row],[INVERSIONES FCI]]-BP129,Tabla5[[#This Row],[INVERSIONES FCI]])</f>
        <v>11390919912.50695</v>
      </c>
      <c r="BQ130" s="5">
        <f>IF($B129&lt;=Tabla5[[#This Row],[INVERSIONES FCI]],+Tabla5[[#This Row],[INVERSIONES FCI]]-BQ129,Tabla5[[#This Row],[INVERSIONES FCI]])</f>
        <v>11390919912.50695</v>
      </c>
      <c r="BR130" s="5">
        <f>IF($B129&lt;=Tabla5[[#This Row],[INVERSIONES FCI]],+Tabla5[[#This Row],[INVERSIONES FCI]]-BR129,Tabla5[[#This Row],[INVERSIONES FCI]])</f>
        <v>11390919912.50695</v>
      </c>
      <c r="BS130" s="5">
        <f>IF($B129&lt;=Tabla5[[#This Row],[INVERSIONES FCI]],+Tabla5[[#This Row],[INVERSIONES FCI]]-BS129,Tabla5[[#This Row],[INVERSIONES FCI]])</f>
        <v>11390919912.50695</v>
      </c>
      <c r="BT130" s="5">
        <f>IF($B129&lt;=Tabla5[[#This Row],[INVERSIONES FCI]],+Tabla5[[#This Row],[INVERSIONES FCI]]-BT129,Tabla5[[#This Row],[INVERSIONES FCI]])</f>
        <v>11390919912.50695</v>
      </c>
      <c r="BU130" s="5">
        <f>IF($B129&lt;=Tabla5[[#This Row],[INVERSIONES FCI]],+Tabla5[[#This Row],[INVERSIONES FCI]]-BU129,Tabla5[[#This Row],[INVERSIONES FCI]])</f>
        <v>11390919912.50695</v>
      </c>
      <c r="BV130" s="5">
        <f>IF($B129&lt;=Tabla5[[#This Row],[INVERSIONES FCI]],+Tabla5[[#This Row],[INVERSIONES FCI]]-BV129,Tabla5[[#This Row],[INVERSIONES FCI]])</f>
        <v>11390919912.50695</v>
      </c>
      <c r="BW130" s="5">
        <f>IF($B129&lt;=Tabla5[[#This Row],[INVERSIONES FCI]],+Tabla5[[#This Row],[INVERSIONES FCI]]-BW129,Tabla5[[#This Row],[INVERSIONES FCI]])</f>
        <v>11390919912.50695</v>
      </c>
      <c r="BX130" s="5">
        <f>IF($B129&lt;=Tabla5[[#This Row],[INVERSIONES FCI]],+Tabla5[[#This Row],[INVERSIONES FCI]]-BX129,Tabla5[[#This Row],[INVERSIONES FCI]])</f>
        <v>11390919912.50695</v>
      </c>
      <c r="BY130" s="5">
        <f>IF($B129&lt;=Tabla5[[#This Row],[INVERSIONES FCI]],+Tabla5[[#This Row],[INVERSIONES FCI]]-BY129,Tabla5[[#This Row],[INVERSIONES FCI]])</f>
        <v>11390919912.50695</v>
      </c>
      <c r="BZ130" s="5">
        <f>IF($B129&lt;=Tabla5[[#This Row],[INVERSIONES FCI]],+Tabla5[[#This Row],[INVERSIONES FCI]]-BZ129,Tabla5[[#This Row],[INVERSIONES FCI]])</f>
        <v>11390919912.50695</v>
      </c>
      <c r="CA130" s="5">
        <f>IF($B129&lt;=Tabla5[[#This Row],[INVERSIONES FCI]],+Tabla5[[#This Row],[INVERSIONES FCI]]-CA129,Tabla5[[#This Row],[INVERSIONES FCI]])</f>
        <v>11390919912.50695</v>
      </c>
      <c r="CB130" s="5">
        <f>IF($B129&lt;=Tabla5[[#This Row],[INVERSIONES FCI]],+Tabla5[[#This Row],[INVERSIONES FCI]]-CB129,Tabla5[[#This Row],[INVERSIONES FCI]])</f>
        <v>11390919912.50695</v>
      </c>
      <c r="CC130" s="5">
        <f>IF($B129&lt;=Tabla5[[#This Row],[INVERSIONES FCI]],+Tabla5[[#This Row],[INVERSIONES FCI]]-CC129,Tabla5[[#This Row],[INVERSIONES FCI]])</f>
        <v>11390919912.50695</v>
      </c>
      <c r="CD130" s="5">
        <f>IF($B129&lt;=Tabla5[[#This Row],[INVERSIONES FCI]],+Tabla5[[#This Row],[INVERSIONES FCI]]-CD129,Tabla5[[#This Row],[INVERSIONES FCI]])</f>
        <v>11390919912.50695</v>
      </c>
      <c r="CE130" s="5">
        <f>IF($B129&lt;=Tabla5[[#This Row],[INVERSIONES FCI]],+Tabla5[[#This Row],[INVERSIONES FCI]]-CE129,Tabla5[[#This Row],[INVERSIONES FCI]])</f>
        <v>11390919912.50695</v>
      </c>
      <c r="CF130" s="5">
        <f>IF($B129&lt;=Tabla5[[#This Row],[INVERSIONES FCI]],+Tabla5[[#This Row],[INVERSIONES FCI]]-CF129,Tabla5[[#This Row],[INVERSIONES FCI]])</f>
        <v>11390919912.50695</v>
      </c>
      <c r="CG130" s="5">
        <f>IF($B129&lt;=Tabla5[[#This Row],[INVERSIONES FCI]],+Tabla5[[#This Row],[INVERSIONES FCI]]-CG129,Tabla5[[#This Row],[INVERSIONES FCI]])</f>
        <v>11390919912.50695</v>
      </c>
      <c r="CH130" s="5">
        <f>IF($B129&lt;=Tabla5[[#This Row],[INVERSIONES FCI]],+Tabla5[[#This Row],[INVERSIONES FCI]]-CH129,Tabla5[[#This Row],[INVERSIONES FCI]])</f>
        <v>11390919912.50695</v>
      </c>
      <c r="CI130" s="5">
        <f>IF($B129&lt;=Tabla5[[#This Row],[INVERSIONES FCI]],+Tabla5[[#This Row],[INVERSIONES FCI]]-CI129,Tabla5[[#This Row],[INVERSIONES FCI]])</f>
        <v>11390919912.50695</v>
      </c>
      <c r="CJ130" s="5">
        <f>IF($B129&lt;=Tabla5[[#This Row],[INVERSIONES FCI]],+Tabla5[[#This Row],[INVERSIONES FCI]]-CJ129,Tabla5[[#This Row],[INVERSIONES FCI]])</f>
        <v>11390919912.50695</v>
      </c>
      <c r="CK130" s="5">
        <f>IF($B129&lt;=Tabla5[[#This Row],[INVERSIONES FCI]],+Tabla5[[#This Row],[INVERSIONES FCI]]-CK129,Tabla5[[#This Row],[INVERSIONES FCI]])</f>
        <v>11390919912.50695</v>
      </c>
      <c r="CL130" s="5">
        <f>IF($B129&lt;=Tabla5[[#This Row],[INVERSIONES FCI]],+Tabla5[[#This Row],[INVERSIONES FCI]]-CL129,Tabla5[[#This Row],[INVERSIONES FCI]])</f>
        <v>11390919912.50695</v>
      </c>
      <c r="CM130" s="5">
        <f>IF($B129&lt;=Tabla5[[#This Row],[INVERSIONES FCI]],+Tabla5[[#This Row],[INVERSIONES FCI]]-CM129,Tabla5[[#This Row],[INVERSIONES FCI]])</f>
        <v>11390919912.50695</v>
      </c>
      <c r="CN130" s="5">
        <f>IF($B129&lt;=Tabla5[[#This Row],[INVERSIONES FCI]],+Tabla5[[#This Row],[INVERSIONES FCI]]-CN129,Tabla5[[#This Row],[INVERSIONES FCI]])</f>
        <v>11390919912.50695</v>
      </c>
      <c r="CO130" s="5">
        <f>IF($B129&lt;=Tabla5[[#This Row],[INVERSIONES FCI]],+Tabla5[[#This Row],[INVERSIONES FCI]]-CO129,Tabla5[[#This Row],[INVERSIONES FCI]])</f>
        <v>11390919912.50695</v>
      </c>
      <c r="CP130" s="5">
        <f>IF($B129&lt;=Tabla5[[#This Row],[INVERSIONES FCI]],+Tabla5[[#This Row],[INVERSIONES FCI]]-CP129,Tabla5[[#This Row],[INVERSIONES FCI]])</f>
        <v>11390919912.50695</v>
      </c>
      <c r="CQ130" s="5">
        <f>IF($B129&lt;=Tabla5[[#This Row],[INVERSIONES FCI]],+Tabla5[[#This Row],[INVERSIONES FCI]]-CQ129,Tabla5[[#This Row],[INVERSIONES FCI]])</f>
        <v>11390919912.50695</v>
      </c>
      <c r="CR130" s="5">
        <f>IF($B129&lt;=Tabla5[[#This Row],[INVERSIONES FCI]],+Tabla5[[#This Row],[INVERSIONES FCI]]-CR129,Tabla5[[#This Row],[INVERSIONES FCI]])</f>
        <v>11390919912.50695</v>
      </c>
      <c r="CS130" s="5">
        <f>IF($B129&lt;=Tabla5[[#This Row],[INVERSIONES FCI]],+Tabla5[[#This Row],[INVERSIONES FCI]]-CS129,Tabla5[[#This Row],[INVERSIONES FCI]])</f>
        <v>11390919912.50695</v>
      </c>
      <c r="CT130" s="5">
        <f>IF($B129&lt;=Tabla5[[#This Row],[INVERSIONES FCI]],+Tabla5[[#This Row],[INVERSIONES FCI]]-CT129,Tabla5[[#This Row],[INVERSIONES FCI]])</f>
        <v>11390919912.50695</v>
      </c>
      <c r="CU130" s="5">
        <f>IF($B129&lt;=Tabla5[[#This Row],[INVERSIONES FCI]],+Tabla5[[#This Row],[INVERSIONES FCI]]-CU129,Tabla5[[#This Row],[INVERSIONES FCI]])</f>
        <v>11390919912.50695</v>
      </c>
      <c r="CV130" s="5">
        <f>IF($B129&lt;=Tabla5[[#This Row],[INVERSIONES FCI]],+Tabla5[[#This Row],[INVERSIONES FCI]]-CV129,Tabla5[[#This Row],[INVERSIONES FCI]])</f>
        <v>11390919912.50695</v>
      </c>
      <c r="CW130" s="5">
        <f>IF($B129&lt;=Tabla5[[#This Row],[INVERSIONES FCI]],+Tabla5[[#This Row],[INVERSIONES FCI]]-CW129,Tabla5[[#This Row],[INVERSIONES FCI]])</f>
        <v>11390919912.50695</v>
      </c>
      <c r="CX130" s="5">
        <f>IF($B129&lt;=Tabla5[[#This Row],[INVERSIONES FCI]],+Tabla5[[#This Row],[INVERSIONES FCI]]-CX129,Tabla5[[#This Row],[INVERSIONES FCI]])</f>
        <v>11390919912.50695</v>
      </c>
      <c r="CY130" s="5">
        <f>IF($B129&lt;=Tabla5[[#This Row],[INVERSIONES FCI]],+Tabla5[[#This Row],[INVERSIONES FCI]]-CY129,Tabla5[[#This Row],[INVERSIONES FCI]])</f>
        <v>11390919912.50695</v>
      </c>
      <c r="CZ130" s="5">
        <f>IF($B129&lt;=Tabla5[[#This Row],[INVERSIONES FCI]],+Tabla5[[#This Row],[INVERSIONES FCI]]-CZ129,Tabla5[[#This Row],[INVERSIONES FCI]])</f>
        <v>11390919912.50695</v>
      </c>
      <c r="DA130" s="5">
        <f>IF($B129&lt;=Tabla5[[#This Row],[INVERSIONES FCI]],+Tabla5[[#This Row],[INVERSIONES FCI]]-DA129,Tabla5[[#This Row],[INVERSIONES FCI]])</f>
        <v>11390919912.50695</v>
      </c>
      <c r="DB130" s="5">
        <f>IF($B129&lt;=Tabla5[[#This Row],[INVERSIONES FCI]],+Tabla5[[#This Row],[INVERSIONES FCI]]-DB129,Tabla5[[#This Row],[INVERSIONES FCI]])</f>
        <v>11390919912.50695</v>
      </c>
      <c r="DC130" s="5">
        <f>IF($B129&lt;=Tabla5[[#This Row],[INVERSIONES FCI]],+Tabla5[[#This Row],[INVERSIONES FCI]]-DC129,Tabla5[[#This Row],[INVERSIONES FCI]])</f>
        <v>11390919912.50695</v>
      </c>
      <c r="DD130" s="5">
        <f>IF($B129&lt;=Tabla5[[#This Row],[INVERSIONES FCI]],+Tabla5[[#This Row],[INVERSIONES FCI]]-DD129,Tabla5[[#This Row],[INVERSIONES FCI]])</f>
        <v>11390919912.50695</v>
      </c>
      <c r="DE130" s="5">
        <f>IF($B129&lt;=Tabla5[[#This Row],[INVERSIONES FCI]],+Tabla5[[#This Row],[INVERSIONES FCI]]-DE129,Tabla5[[#This Row],[INVERSIONES FCI]])</f>
        <v>11390919912.50695</v>
      </c>
      <c r="DF130" s="5">
        <f>IF($B129&lt;=Tabla5[[#This Row],[INVERSIONES FCI]],+Tabla5[[#This Row],[INVERSIONES FCI]]-DF129,Tabla5[[#This Row],[INVERSIONES FCI]])</f>
        <v>11390919912.50695</v>
      </c>
      <c r="DG130" s="5">
        <f>IF($B129&lt;=Tabla5[[#This Row],[INVERSIONES FCI]],+Tabla5[[#This Row],[INVERSIONES FCI]]-DG129,Tabla5[[#This Row],[INVERSIONES FCI]])</f>
        <v>11390919912.50695</v>
      </c>
      <c r="DH130" s="5">
        <f>IF($B129&lt;=Tabla5[[#This Row],[INVERSIONES FCI]],+Tabla5[[#This Row],[INVERSIONES FCI]]-DH129,Tabla5[[#This Row],[INVERSIONES FCI]])</f>
        <v>11390919912.50695</v>
      </c>
      <c r="DI130" s="5">
        <f>IF($B129&lt;=Tabla5[[#This Row],[INVERSIONES FCI]],+Tabla5[[#This Row],[INVERSIONES FCI]]-DI129,Tabla5[[#This Row],[INVERSIONES FCI]])</f>
        <v>11390919912.50695</v>
      </c>
      <c r="DJ130" s="5">
        <f>IF($B129&lt;=Tabla5[[#This Row],[INVERSIONES FCI]],+Tabla5[[#This Row],[INVERSIONES FCI]]-DJ129,Tabla5[[#This Row],[INVERSIONES FCI]])</f>
        <v>11390919912.50695</v>
      </c>
      <c r="DK130" s="5">
        <f>IF($B129&lt;=Tabla5[[#This Row],[INVERSIONES FCI]],+Tabla5[[#This Row],[INVERSIONES FCI]]-DK129,Tabla5[[#This Row],[INVERSIONES FCI]])</f>
        <v>11390919912.50695</v>
      </c>
      <c r="DL130" s="5"/>
      <c r="DM130" s="5"/>
      <c r="DN130" s="5"/>
      <c r="DO130" s="5"/>
      <c r="DP130" s="5"/>
      <c r="DQ130" s="5"/>
    </row>
    <row r="131" spans="1:121" ht="14.4">
      <c r="A131" s="12" t="s">
        <v>130</v>
      </c>
      <c r="B131" s="5">
        <f>HLOOKUP($A131,ESCENARIO[#All],7,FALSE)</f>
        <v>12907734523.557795</v>
      </c>
      <c r="C131" s="5">
        <f>IF($B130&lt;=Tabla5[[#This Row],[INVERSIONES FCI]],+Tabla5[[#This Row],[INVERSIONES FCI]]-C130,Tabla5[[#This Row],[INVERSIONES FCI]])</f>
        <v>1516814611.0508442</v>
      </c>
      <c r="D131" s="5">
        <f>IF($B130&lt;=Tabla5[[#This Row],[INVERSIONES FCI]],+Tabla5[[#This Row],[INVERSIONES FCI]]-D130,Tabla5[[#This Row],[INVERSIONES FCI]])</f>
        <v>1516814611.0508442</v>
      </c>
      <c r="E131" s="5">
        <f>IF($B130&lt;=Tabla5[[#This Row],[INVERSIONES FCI]],+Tabla5[[#This Row],[INVERSIONES FCI]]-E130,Tabla5[[#This Row],[INVERSIONES FCI]])</f>
        <v>1516814611.0508442</v>
      </c>
      <c r="F131" s="5">
        <f>IF($B130&lt;=Tabla5[[#This Row],[INVERSIONES FCI]],+Tabla5[[#This Row],[INVERSIONES FCI]]-F130,Tabla5[[#This Row],[INVERSIONES FCI]])</f>
        <v>1516814611.0508442</v>
      </c>
      <c r="G131" s="5">
        <f>IF($B130&lt;=Tabla5[[#This Row],[INVERSIONES FCI]],+Tabla5[[#This Row],[INVERSIONES FCI]]-G130,Tabla5[[#This Row],[INVERSIONES FCI]])</f>
        <v>1516814611.0508442</v>
      </c>
      <c r="H131" s="5">
        <f>IF($B130&lt;=Tabla5[[#This Row],[INVERSIONES FCI]],+Tabla5[[#This Row],[INVERSIONES FCI]]-H130,Tabla5[[#This Row],[INVERSIONES FCI]])</f>
        <v>1516814611.0508442</v>
      </c>
      <c r="I131" s="5">
        <f>IF($B130&lt;=Tabla5[[#This Row],[INVERSIONES FCI]],+Tabla5[[#This Row],[INVERSIONES FCI]]-I130,Tabla5[[#This Row],[INVERSIONES FCI]])</f>
        <v>1516814611.0508442</v>
      </c>
      <c r="J131" s="5">
        <f>IF($B130&lt;=Tabla5[[#This Row],[INVERSIONES FCI]],+Tabla5[[#This Row],[INVERSIONES FCI]]-J130,Tabla5[[#This Row],[INVERSIONES FCI]])</f>
        <v>1516814611.0508442</v>
      </c>
      <c r="K131" s="5">
        <f>IF($B130&lt;=Tabla5[[#This Row],[INVERSIONES FCI]],+Tabla5[[#This Row],[INVERSIONES FCI]]-K130,Tabla5[[#This Row],[INVERSIONES FCI]])</f>
        <v>1516814611.0508442</v>
      </c>
      <c r="L131" s="5">
        <f>IF($B130&lt;=Tabla5[[#This Row],[INVERSIONES FCI]],+Tabla5[[#This Row],[INVERSIONES FCI]]-L130,Tabla5[[#This Row],[INVERSIONES FCI]])</f>
        <v>1516814611.0508442</v>
      </c>
      <c r="M131" s="5">
        <f>IF($B130&lt;=Tabla5[[#This Row],[INVERSIONES FCI]],+Tabla5[[#This Row],[INVERSIONES FCI]]-M130,Tabla5[[#This Row],[INVERSIONES FCI]])</f>
        <v>1516814611.0508442</v>
      </c>
      <c r="N131" s="5">
        <f>IF($B130&lt;=Tabla5[[#This Row],[INVERSIONES FCI]],+Tabla5[[#This Row],[INVERSIONES FCI]]-N130,Tabla5[[#This Row],[INVERSIONES FCI]])</f>
        <v>1516814611.0508442</v>
      </c>
      <c r="O131" s="5">
        <f>IF($B130&lt;=Tabla5[[#This Row],[INVERSIONES FCI]],+Tabla5[[#This Row],[INVERSIONES FCI]]-O130,Tabla5[[#This Row],[INVERSIONES FCI]])</f>
        <v>1516814611.0508442</v>
      </c>
      <c r="P131" s="5">
        <f>IF($B130&lt;=Tabla5[[#This Row],[INVERSIONES FCI]],+Tabla5[[#This Row],[INVERSIONES FCI]]-P130,Tabla5[[#This Row],[INVERSIONES FCI]])</f>
        <v>1516814611.0508442</v>
      </c>
      <c r="Q131" s="5">
        <f>IF($B130&lt;=Tabla5[[#This Row],[INVERSIONES FCI]],+Tabla5[[#This Row],[INVERSIONES FCI]]-Q130,Tabla5[[#This Row],[INVERSIONES FCI]])</f>
        <v>1516814611.0508442</v>
      </c>
      <c r="R131" s="5">
        <f>IF($B130&lt;=Tabla5[[#This Row],[INVERSIONES FCI]],+Tabla5[[#This Row],[INVERSIONES FCI]]-R130,Tabla5[[#This Row],[INVERSIONES FCI]])</f>
        <v>1516814611.0508442</v>
      </c>
      <c r="S131" s="5">
        <f>IF($B130&lt;=Tabla5[[#This Row],[INVERSIONES FCI]],+Tabla5[[#This Row],[INVERSIONES FCI]]-S130,Tabla5[[#This Row],[INVERSIONES FCI]])</f>
        <v>1516814611.0508442</v>
      </c>
      <c r="T131" s="5">
        <f>IF($B130&lt;=Tabla5[[#This Row],[INVERSIONES FCI]],+Tabla5[[#This Row],[INVERSIONES FCI]]-T130,Tabla5[[#This Row],[INVERSIONES FCI]])</f>
        <v>1516814611.0508442</v>
      </c>
      <c r="U131" s="5">
        <f>IF($B130&lt;=Tabla5[[#This Row],[INVERSIONES FCI]],+Tabla5[[#This Row],[INVERSIONES FCI]]-U130,Tabla5[[#This Row],[INVERSIONES FCI]])</f>
        <v>1516814611.0508442</v>
      </c>
      <c r="V131" s="5">
        <f>IF($B130&lt;=Tabla5[[#This Row],[INVERSIONES FCI]],+Tabla5[[#This Row],[INVERSIONES FCI]]-V130,Tabla5[[#This Row],[INVERSIONES FCI]])</f>
        <v>1516814611.0508442</v>
      </c>
      <c r="W131" s="5">
        <f>IF($B130&lt;=Tabla5[[#This Row],[INVERSIONES FCI]],+Tabla5[[#This Row],[INVERSIONES FCI]]-W130,Tabla5[[#This Row],[INVERSIONES FCI]])</f>
        <v>1516814611.0508442</v>
      </c>
      <c r="X131" s="5">
        <f>IF($B130&lt;=Tabla5[[#This Row],[INVERSIONES FCI]],+Tabla5[[#This Row],[INVERSIONES FCI]]-X130,Tabla5[[#This Row],[INVERSIONES FCI]])</f>
        <v>1516814611.0508442</v>
      </c>
      <c r="Y131" s="5">
        <f>IF($B130&lt;=Tabla5[[#This Row],[INVERSIONES FCI]],+Tabla5[[#This Row],[INVERSIONES FCI]]-Y130,Tabla5[[#This Row],[INVERSIONES FCI]])</f>
        <v>1516814611.0508442</v>
      </c>
      <c r="Z131" s="5">
        <f>IF($B130&lt;=Tabla5[[#This Row],[INVERSIONES FCI]],+Tabla5[[#This Row],[INVERSIONES FCI]]-Z130,Tabla5[[#This Row],[INVERSIONES FCI]])</f>
        <v>1516814611.0508442</v>
      </c>
      <c r="AA131" s="5">
        <f>IF($B130&lt;=Tabla5[[#This Row],[INVERSIONES FCI]],+Tabla5[[#This Row],[INVERSIONES FCI]]-AA130,Tabla5[[#This Row],[INVERSIONES FCI]])</f>
        <v>1516814611.0508442</v>
      </c>
      <c r="AB131" s="5">
        <f>IF($B130&lt;=Tabla5[[#This Row],[INVERSIONES FCI]],+Tabla5[[#This Row],[INVERSIONES FCI]]-AB130,Tabla5[[#This Row],[INVERSIONES FCI]])</f>
        <v>1516814611.0508442</v>
      </c>
      <c r="AC131" s="5">
        <f>IF($B130&lt;=Tabla5[[#This Row],[INVERSIONES FCI]],+Tabla5[[#This Row],[INVERSIONES FCI]]-AC130,Tabla5[[#This Row],[INVERSIONES FCI]])</f>
        <v>1516814611.0508442</v>
      </c>
      <c r="AD131" s="5">
        <f>IF($B130&lt;=Tabla5[[#This Row],[INVERSIONES FCI]],+Tabla5[[#This Row],[INVERSIONES FCI]]-AD130,Tabla5[[#This Row],[INVERSIONES FCI]])</f>
        <v>1516814611.0508442</v>
      </c>
      <c r="AE131" s="5">
        <f>IF($B130&lt;=Tabla5[[#This Row],[INVERSIONES FCI]],+Tabla5[[#This Row],[INVERSIONES FCI]]-AE130,Tabla5[[#This Row],[INVERSIONES FCI]])</f>
        <v>1516814611.0508442</v>
      </c>
      <c r="AF131" s="5">
        <f>IF($B130&lt;=Tabla5[[#This Row],[INVERSIONES FCI]],+Tabla5[[#This Row],[INVERSIONES FCI]]-AF130,Tabla5[[#This Row],[INVERSIONES FCI]])</f>
        <v>1516814611.0508442</v>
      </c>
      <c r="AG131" s="5">
        <f>IF($B130&lt;=Tabla5[[#This Row],[INVERSIONES FCI]],+Tabla5[[#This Row],[INVERSIONES FCI]]-AG130,Tabla5[[#This Row],[INVERSIONES FCI]])</f>
        <v>1516814611.0508442</v>
      </c>
      <c r="AH131" s="5">
        <f>IF($B130&lt;=Tabla5[[#This Row],[INVERSIONES FCI]],+Tabla5[[#This Row],[INVERSIONES FCI]]-AH130,Tabla5[[#This Row],[INVERSIONES FCI]])</f>
        <v>1516814611.0508442</v>
      </c>
      <c r="AI131" s="5">
        <f>IF($B130&lt;=Tabla5[[#This Row],[INVERSIONES FCI]],+Tabla5[[#This Row],[INVERSIONES FCI]]-AI130,Tabla5[[#This Row],[INVERSIONES FCI]])</f>
        <v>1516814611.0508442</v>
      </c>
      <c r="AJ131" s="5">
        <f>IF($B130&lt;=Tabla5[[#This Row],[INVERSIONES FCI]],+Tabla5[[#This Row],[INVERSIONES FCI]]-AJ130,Tabla5[[#This Row],[INVERSIONES FCI]])</f>
        <v>1516814611.0508442</v>
      </c>
      <c r="AK131" s="5">
        <f>IF($B130&lt;=Tabla5[[#This Row],[INVERSIONES FCI]],+Tabla5[[#This Row],[INVERSIONES FCI]]-AK130,Tabla5[[#This Row],[INVERSIONES FCI]])</f>
        <v>1516814611.0508442</v>
      </c>
      <c r="AL131" s="5">
        <f>IF($B130&lt;=Tabla5[[#This Row],[INVERSIONES FCI]],+Tabla5[[#This Row],[INVERSIONES FCI]]-AL130,Tabla5[[#This Row],[INVERSIONES FCI]])</f>
        <v>1516814611.0508442</v>
      </c>
      <c r="AM131" s="5">
        <f>IF($B130&lt;=Tabla5[[#This Row],[INVERSIONES FCI]],+Tabla5[[#This Row],[INVERSIONES FCI]]-AM130,Tabla5[[#This Row],[INVERSIONES FCI]])</f>
        <v>1516814611.0508442</v>
      </c>
      <c r="AN131" s="5">
        <f>IF($B130&lt;=Tabla5[[#This Row],[INVERSIONES FCI]],+Tabla5[[#This Row],[INVERSIONES FCI]]-AN130,Tabla5[[#This Row],[INVERSIONES FCI]])</f>
        <v>1516814611.0508442</v>
      </c>
      <c r="AO131" s="5">
        <f>IF($B130&lt;=Tabla5[[#This Row],[INVERSIONES FCI]],+Tabla5[[#This Row],[INVERSIONES FCI]]-AO130,Tabla5[[#This Row],[INVERSIONES FCI]])</f>
        <v>1516814611.0508442</v>
      </c>
      <c r="AP131" s="5">
        <f>IF($B130&lt;=Tabla5[[#This Row],[INVERSIONES FCI]],+Tabla5[[#This Row],[INVERSIONES FCI]]-AP130,Tabla5[[#This Row],[INVERSIONES FCI]])</f>
        <v>1516814611.0508442</v>
      </c>
      <c r="AQ131" s="5">
        <f>IF($B130&lt;=Tabla5[[#This Row],[INVERSIONES FCI]],+Tabla5[[#This Row],[INVERSIONES FCI]]-AQ130,Tabla5[[#This Row],[INVERSIONES FCI]])</f>
        <v>1516814611.0508442</v>
      </c>
      <c r="AR131" s="5">
        <f>IF($B130&lt;=Tabla5[[#This Row],[INVERSIONES FCI]],+Tabla5[[#This Row],[INVERSIONES FCI]]-AR130,Tabla5[[#This Row],[INVERSIONES FCI]])</f>
        <v>1516814611.0508442</v>
      </c>
      <c r="AS131" s="5">
        <f>IF($B130&lt;=Tabla5[[#This Row],[INVERSIONES FCI]],+Tabla5[[#This Row],[INVERSIONES FCI]]-AS130,Tabla5[[#This Row],[INVERSIONES FCI]])</f>
        <v>1516814611.0508442</v>
      </c>
      <c r="AT131" s="5">
        <f>IF($B130&lt;=Tabla5[[#This Row],[INVERSIONES FCI]],+Tabla5[[#This Row],[INVERSIONES FCI]]-AT130,Tabla5[[#This Row],[INVERSIONES FCI]])</f>
        <v>1516814611.0508442</v>
      </c>
      <c r="AU131" s="5">
        <f>IF($B130&lt;=Tabla5[[#This Row],[INVERSIONES FCI]],+Tabla5[[#This Row],[INVERSIONES FCI]]-AU130,Tabla5[[#This Row],[INVERSIONES FCI]])</f>
        <v>1516814611.0508442</v>
      </c>
      <c r="AV131" s="5">
        <f>IF($B130&lt;=Tabla5[[#This Row],[INVERSIONES FCI]],+Tabla5[[#This Row],[INVERSIONES FCI]]-AV130,Tabla5[[#This Row],[INVERSIONES FCI]])</f>
        <v>1516814611.0508442</v>
      </c>
      <c r="AW131" s="5">
        <f>IF($B130&lt;=Tabla5[[#This Row],[INVERSIONES FCI]],+Tabla5[[#This Row],[INVERSIONES FCI]]-AW130,Tabla5[[#This Row],[INVERSIONES FCI]])</f>
        <v>1516814611.0508442</v>
      </c>
      <c r="AX131" s="5">
        <f>IF($B130&lt;=Tabla5[[#This Row],[INVERSIONES FCI]],+Tabla5[[#This Row],[INVERSIONES FCI]]-AX130,Tabla5[[#This Row],[INVERSIONES FCI]])</f>
        <v>1516814611.0508442</v>
      </c>
      <c r="AY131" s="5">
        <f>IF($B130&lt;=Tabla5[[#This Row],[INVERSIONES FCI]],+Tabla5[[#This Row],[INVERSIONES FCI]]-AY130,Tabla5[[#This Row],[INVERSIONES FCI]])</f>
        <v>1516814611.0508442</v>
      </c>
      <c r="AZ131" s="5">
        <f>IF($B130&lt;=Tabla5[[#This Row],[INVERSIONES FCI]],+Tabla5[[#This Row],[INVERSIONES FCI]]-AZ130,Tabla5[[#This Row],[INVERSIONES FCI]])</f>
        <v>1516814611.0508442</v>
      </c>
      <c r="BA131" s="5">
        <f>IF($B130&lt;=Tabla5[[#This Row],[INVERSIONES FCI]],+Tabla5[[#This Row],[INVERSIONES FCI]]-BA130,Tabla5[[#This Row],[INVERSIONES FCI]])</f>
        <v>1516814611.0508442</v>
      </c>
      <c r="BB131" s="5">
        <f>IF($B130&lt;=Tabla5[[#This Row],[INVERSIONES FCI]],+Tabla5[[#This Row],[INVERSIONES FCI]]-BB130,Tabla5[[#This Row],[INVERSIONES FCI]])</f>
        <v>1516814611.0508442</v>
      </c>
      <c r="BC131" s="5">
        <f>IF($B130&lt;=Tabla5[[#This Row],[INVERSIONES FCI]],+Tabla5[[#This Row],[INVERSIONES FCI]]-BC130,Tabla5[[#This Row],[INVERSIONES FCI]])</f>
        <v>1516814611.0508442</v>
      </c>
      <c r="BD131" s="5">
        <f>IF($B130&lt;=Tabla5[[#This Row],[INVERSIONES FCI]],+Tabla5[[#This Row],[INVERSIONES FCI]]-BD130,Tabla5[[#This Row],[INVERSIONES FCI]])</f>
        <v>1516814611.0508442</v>
      </c>
      <c r="BE131" s="5">
        <f>IF($B130&lt;=Tabla5[[#This Row],[INVERSIONES FCI]],+Tabla5[[#This Row],[INVERSIONES FCI]]-BE130,Tabla5[[#This Row],[INVERSIONES FCI]])</f>
        <v>1516814611.0508442</v>
      </c>
      <c r="BF131" s="5">
        <f>IF($B130&lt;=Tabla5[[#This Row],[INVERSIONES FCI]],+Tabla5[[#This Row],[INVERSIONES FCI]]-BF130,Tabla5[[#This Row],[INVERSIONES FCI]])</f>
        <v>1516814611.0508442</v>
      </c>
      <c r="BG131" s="5">
        <f>IF($B130&lt;=Tabla5[[#This Row],[INVERSIONES FCI]],+Tabla5[[#This Row],[INVERSIONES FCI]]-BG130,Tabla5[[#This Row],[INVERSIONES FCI]])</f>
        <v>1516814611.0508442</v>
      </c>
      <c r="BH131" s="5">
        <f>IF($B130&lt;=Tabla5[[#This Row],[INVERSIONES FCI]],+Tabla5[[#This Row],[INVERSIONES FCI]]-BH130,Tabla5[[#This Row],[INVERSIONES FCI]])</f>
        <v>1516814611.0508442</v>
      </c>
      <c r="BI131" s="5">
        <f>IF($B130&lt;=Tabla5[[#This Row],[INVERSIONES FCI]],+Tabla5[[#This Row],[INVERSIONES FCI]]-BI130,Tabla5[[#This Row],[INVERSIONES FCI]])</f>
        <v>1516814611.0508442</v>
      </c>
      <c r="BJ131" s="5">
        <f>IF($B130&lt;=Tabla5[[#This Row],[INVERSIONES FCI]],+Tabla5[[#This Row],[INVERSIONES FCI]]-BJ130,Tabla5[[#This Row],[INVERSIONES FCI]])</f>
        <v>1516814611.0508442</v>
      </c>
      <c r="BK131" s="5">
        <f>IF($B130&lt;=Tabla5[[#This Row],[INVERSIONES FCI]],+Tabla5[[#This Row],[INVERSIONES FCI]]-BK130,Tabla5[[#This Row],[INVERSIONES FCI]])</f>
        <v>1516814611.0508442</v>
      </c>
      <c r="BL131" s="5">
        <f>IF($B130&lt;=Tabla5[[#This Row],[INVERSIONES FCI]],+Tabla5[[#This Row],[INVERSIONES FCI]]-BL130,Tabla5[[#This Row],[INVERSIONES FCI]])</f>
        <v>1516814611.0508442</v>
      </c>
      <c r="BM131" s="5">
        <f>IF($B130&lt;=Tabla5[[#This Row],[INVERSIONES FCI]],+Tabla5[[#This Row],[INVERSIONES FCI]]-BM130,Tabla5[[#This Row],[INVERSIONES FCI]])</f>
        <v>1516814611.0508442</v>
      </c>
      <c r="BN131" s="5">
        <f>IF($B130&lt;=Tabla5[[#This Row],[INVERSIONES FCI]],+Tabla5[[#This Row],[INVERSIONES FCI]]-BN130,Tabla5[[#This Row],[INVERSIONES FCI]])</f>
        <v>1516814611.0508442</v>
      </c>
      <c r="BO131" s="5">
        <f>IF($B130&lt;=Tabla5[[#This Row],[INVERSIONES FCI]],+Tabla5[[#This Row],[INVERSIONES FCI]]-BO130,Tabla5[[#This Row],[INVERSIONES FCI]])</f>
        <v>1516814611.0508442</v>
      </c>
      <c r="BP131" s="5">
        <f>IF($B130&lt;=Tabla5[[#This Row],[INVERSIONES FCI]],+Tabla5[[#This Row],[INVERSIONES FCI]]-BP130,Tabla5[[#This Row],[INVERSIONES FCI]])</f>
        <v>1516814611.0508442</v>
      </c>
      <c r="BQ131" s="5">
        <f>IF($B130&lt;=Tabla5[[#This Row],[INVERSIONES FCI]],+Tabla5[[#This Row],[INVERSIONES FCI]]-BQ130,Tabla5[[#This Row],[INVERSIONES FCI]])</f>
        <v>1516814611.0508442</v>
      </c>
      <c r="BR131" s="5">
        <f>IF($B130&lt;=Tabla5[[#This Row],[INVERSIONES FCI]],+Tabla5[[#This Row],[INVERSIONES FCI]]-BR130,Tabla5[[#This Row],[INVERSIONES FCI]])</f>
        <v>1516814611.0508442</v>
      </c>
      <c r="BS131" s="5">
        <f>IF($B130&lt;=Tabla5[[#This Row],[INVERSIONES FCI]],+Tabla5[[#This Row],[INVERSIONES FCI]]-BS130,Tabla5[[#This Row],[INVERSIONES FCI]])</f>
        <v>1516814611.0508442</v>
      </c>
      <c r="BT131" s="5">
        <f>IF($B130&lt;=Tabla5[[#This Row],[INVERSIONES FCI]],+Tabla5[[#This Row],[INVERSIONES FCI]]-BT130,Tabla5[[#This Row],[INVERSIONES FCI]])</f>
        <v>1516814611.0508442</v>
      </c>
      <c r="BU131" s="5">
        <f>IF($B130&lt;=Tabla5[[#This Row],[INVERSIONES FCI]],+Tabla5[[#This Row],[INVERSIONES FCI]]-BU130,Tabla5[[#This Row],[INVERSIONES FCI]])</f>
        <v>1516814611.0508442</v>
      </c>
      <c r="BV131" s="5">
        <f>IF($B130&lt;=Tabla5[[#This Row],[INVERSIONES FCI]],+Tabla5[[#This Row],[INVERSIONES FCI]]-BV130,Tabla5[[#This Row],[INVERSIONES FCI]])</f>
        <v>1516814611.0508442</v>
      </c>
      <c r="BW131" s="5">
        <f>IF($B130&lt;=Tabla5[[#This Row],[INVERSIONES FCI]],+Tabla5[[#This Row],[INVERSIONES FCI]]-BW130,Tabla5[[#This Row],[INVERSIONES FCI]])</f>
        <v>1516814611.0508442</v>
      </c>
      <c r="BX131" s="5">
        <f>IF($B130&lt;=Tabla5[[#This Row],[INVERSIONES FCI]],+Tabla5[[#This Row],[INVERSIONES FCI]]-BX130,Tabla5[[#This Row],[INVERSIONES FCI]])</f>
        <v>1516814611.0508442</v>
      </c>
      <c r="BY131" s="5">
        <f>IF($B130&lt;=Tabla5[[#This Row],[INVERSIONES FCI]],+Tabla5[[#This Row],[INVERSIONES FCI]]-BY130,Tabla5[[#This Row],[INVERSIONES FCI]])</f>
        <v>1516814611.0508442</v>
      </c>
      <c r="BZ131" s="5">
        <f>IF($B130&lt;=Tabla5[[#This Row],[INVERSIONES FCI]],+Tabla5[[#This Row],[INVERSIONES FCI]]-BZ130,Tabla5[[#This Row],[INVERSIONES FCI]])</f>
        <v>1516814611.0508442</v>
      </c>
      <c r="CA131" s="5">
        <f>IF($B130&lt;=Tabla5[[#This Row],[INVERSIONES FCI]],+Tabla5[[#This Row],[INVERSIONES FCI]]-CA130,Tabla5[[#This Row],[INVERSIONES FCI]])</f>
        <v>1516814611.0508442</v>
      </c>
      <c r="CB131" s="5">
        <f>IF($B130&lt;=Tabla5[[#This Row],[INVERSIONES FCI]],+Tabla5[[#This Row],[INVERSIONES FCI]]-CB130,Tabla5[[#This Row],[INVERSIONES FCI]])</f>
        <v>1516814611.0508442</v>
      </c>
      <c r="CC131" s="5">
        <f>IF($B130&lt;=Tabla5[[#This Row],[INVERSIONES FCI]],+Tabla5[[#This Row],[INVERSIONES FCI]]-CC130,Tabla5[[#This Row],[INVERSIONES FCI]])</f>
        <v>1516814611.0508442</v>
      </c>
      <c r="CD131" s="5">
        <f>IF($B130&lt;=Tabla5[[#This Row],[INVERSIONES FCI]],+Tabla5[[#This Row],[INVERSIONES FCI]]-CD130,Tabla5[[#This Row],[INVERSIONES FCI]])</f>
        <v>1516814611.0508442</v>
      </c>
      <c r="CE131" s="5">
        <f>IF($B130&lt;=Tabla5[[#This Row],[INVERSIONES FCI]],+Tabla5[[#This Row],[INVERSIONES FCI]]-CE130,Tabla5[[#This Row],[INVERSIONES FCI]])</f>
        <v>1516814611.0508442</v>
      </c>
      <c r="CF131" s="5">
        <f>IF($B130&lt;=Tabla5[[#This Row],[INVERSIONES FCI]],+Tabla5[[#This Row],[INVERSIONES FCI]]-CF130,Tabla5[[#This Row],[INVERSIONES FCI]])</f>
        <v>1516814611.0508442</v>
      </c>
      <c r="CG131" s="5">
        <f>IF($B130&lt;=Tabla5[[#This Row],[INVERSIONES FCI]],+Tabla5[[#This Row],[INVERSIONES FCI]]-CG130,Tabla5[[#This Row],[INVERSIONES FCI]])</f>
        <v>1516814611.0508442</v>
      </c>
      <c r="CH131" s="5">
        <f>IF($B130&lt;=Tabla5[[#This Row],[INVERSIONES FCI]],+Tabla5[[#This Row],[INVERSIONES FCI]]-CH130,Tabla5[[#This Row],[INVERSIONES FCI]])</f>
        <v>1516814611.0508442</v>
      </c>
      <c r="CI131" s="5">
        <f>IF($B130&lt;=Tabla5[[#This Row],[INVERSIONES FCI]],+Tabla5[[#This Row],[INVERSIONES FCI]]-CI130,Tabla5[[#This Row],[INVERSIONES FCI]])</f>
        <v>1516814611.0508442</v>
      </c>
      <c r="CJ131" s="5">
        <f>IF($B130&lt;=Tabla5[[#This Row],[INVERSIONES FCI]],+Tabla5[[#This Row],[INVERSIONES FCI]]-CJ130,Tabla5[[#This Row],[INVERSIONES FCI]])</f>
        <v>1516814611.0508442</v>
      </c>
      <c r="CK131" s="5">
        <f>IF($B130&lt;=Tabla5[[#This Row],[INVERSIONES FCI]],+Tabla5[[#This Row],[INVERSIONES FCI]]-CK130,Tabla5[[#This Row],[INVERSIONES FCI]])</f>
        <v>1516814611.0508442</v>
      </c>
      <c r="CL131" s="5">
        <f>IF($B130&lt;=Tabla5[[#This Row],[INVERSIONES FCI]],+Tabla5[[#This Row],[INVERSIONES FCI]]-CL130,Tabla5[[#This Row],[INVERSIONES FCI]])</f>
        <v>1516814611.0508442</v>
      </c>
      <c r="CM131" s="5">
        <f>IF($B130&lt;=Tabla5[[#This Row],[INVERSIONES FCI]],+Tabla5[[#This Row],[INVERSIONES FCI]]-CM130,Tabla5[[#This Row],[INVERSIONES FCI]])</f>
        <v>1516814611.0508442</v>
      </c>
      <c r="CN131" s="5">
        <f>IF($B130&lt;=Tabla5[[#This Row],[INVERSIONES FCI]],+Tabla5[[#This Row],[INVERSIONES FCI]]-CN130,Tabla5[[#This Row],[INVERSIONES FCI]])</f>
        <v>1516814611.0508442</v>
      </c>
      <c r="CO131" s="5">
        <f>IF($B130&lt;=Tabla5[[#This Row],[INVERSIONES FCI]],+Tabla5[[#This Row],[INVERSIONES FCI]]-CO130,Tabla5[[#This Row],[INVERSIONES FCI]])</f>
        <v>1516814611.0508442</v>
      </c>
      <c r="CP131" s="5">
        <f>IF($B130&lt;=Tabla5[[#This Row],[INVERSIONES FCI]],+Tabla5[[#This Row],[INVERSIONES FCI]]-CP130,Tabla5[[#This Row],[INVERSIONES FCI]])</f>
        <v>1516814611.0508442</v>
      </c>
      <c r="CQ131" s="5">
        <f>IF($B130&lt;=Tabla5[[#This Row],[INVERSIONES FCI]],+Tabla5[[#This Row],[INVERSIONES FCI]]-CQ130,Tabla5[[#This Row],[INVERSIONES FCI]])</f>
        <v>1516814611.0508442</v>
      </c>
      <c r="CR131" s="5">
        <f>IF($B130&lt;=Tabla5[[#This Row],[INVERSIONES FCI]],+Tabla5[[#This Row],[INVERSIONES FCI]]-CR130,Tabla5[[#This Row],[INVERSIONES FCI]])</f>
        <v>1516814611.0508442</v>
      </c>
      <c r="CS131" s="5">
        <f>IF($B130&lt;=Tabla5[[#This Row],[INVERSIONES FCI]],+Tabla5[[#This Row],[INVERSIONES FCI]]-CS130,Tabla5[[#This Row],[INVERSIONES FCI]])</f>
        <v>1516814611.0508442</v>
      </c>
      <c r="CT131" s="5">
        <f>IF($B130&lt;=Tabla5[[#This Row],[INVERSIONES FCI]],+Tabla5[[#This Row],[INVERSIONES FCI]]-CT130,Tabla5[[#This Row],[INVERSIONES FCI]])</f>
        <v>1516814611.0508442</v>
      </c>
      <c r="CU131" s="5">
        <f>IF($B130&lt;=Tabla5[[#This Row],[INVERSIONES FCI]],+Tabla5[[#This Row],[INVERSIONES FCI]]-CU130,Tabla5[[#This Row],[INVERSIONES FCI]])</f>
        <v>1516814611.0508442</v>
      </c>
      <c r="CV131" s="5">
        <f>IF($B130&lt;=Tabla5[[#This Row],[INVERSIONES FCI]],+Tabla5[[#This Row],[INVERSIONES FCI]]-CV130,Tabla5[[#This Row],[INVERSIONES FCI]])</f>
        <v>1516814611.0508442</v>
      </c>
      <c r="CW131" s="5">
        <f>IF($B130&lt;=Tabla5[[#This Row],[INVERSIONES FCI]],+Tabla5[[#This Row],[INVERSIONES FCI]]-CW130,Tabla5[[#This Row],[INVERSIONES FCI]])</f>
        <v>1516814611.0508442</v>
      </c>
      <c r="CX131" s="5">
        <f>IF($B130&lt;=Tabla5[[#This Row],[INVERSIONES FCI]],+Tabla5[[#This Row],[INVERSIONES FCI]]-CX130,Tabla5[[#This Row],[INVERSIONES FCI]])</f>
        <v>1516814611.0508442</v>
      </c>
      <c r="CY131" s="5">
        <f>IF($B130&lt;=Tabla5[[#This Row],[INVERSIONES FCI]],+Tabla5[[#This Row],[INVERSIONES FCI]]-CY130,Tabla5[[#This Row],[INVERSIONES FCI]])</f>
        <v>1516814611.0508442</v>
      </c>
      <c r="CZ131" s="5">
        <f>IF($B130&lt;=Tabla5[[#This Row],[INVERSIONES FCI]],+Tabla5[[#This Row],[INVERSIONES FCI]]-CZ130,Tabla5[[#This Row],[INVERSIONES FCI]])</f>
        <v>1516814611.0508442</v>
      </c>
      <c r="DA131" s="5">
        <f>IF($B130&lt;=Tabla5[[#This Row],[INVERSIONES FCI]],+Tabla5[[#This Row],[INVERSIONES FCI]]-DA130,Tabla5[[#This Row],[INVERSIONES FCI]])</f>
        <v>1516814611.0508442</v>
      </c>
      <c r="DB131" s="5">
        <f>IF($B130&lt;=Tabla5[[#This Row],[INVERSIONES FCI]],+Tabla5[[#This Row],[INVERSIONES FCI]]-DB130,Tabla5[[#This Row],[INVERSIONES FCI]])</f>
        <v>1516814611.0508442</v>
      </c>
      <c r="DC131" s="5">
        <f>IF($B130&lt;=Tabla5[[#This Row],[INVERSIONES FCI]],+Tabla5[[#This Row],[INVERSIONES FCI]]-DC130,Tabla5[[#This Row],[INVERSIONES FCI]])</f>
        <v>1516814611.0508442</v>
      </c>
      <c r="DD131" s="5">
        <f>IF($B130&lt;=Tabla5[[#This Row],[INVERSIONES FCI]],+Tabla5[[#This Row],[INVERSIONES FCI]]-DD130,Tabla5[[#This Row],[INVERSIONES FCI]])</f>
        <v>1516814611.0508442</v>
      </c>
      <c r="DE131" s="5">
        <f>IF($B130&lt;=Tabla5[[#This Row],[INVERSIONES FCI]],+Tabla5[[#This Row],[INVERSIONES FCI]]-DE130,Tabla5[[#This Row],[INVERSIONES FCI]])</f>
        <v>1516814611.0508442</v>
      </c>
      <c r="DF131" s="5">
        <f>IF($B130&lt;=Tabla5[[#This Row],[INVERSIONES FCI]],+Tabla5[[#This Row],[INVERSIONES FCI]]-DF130,Tabla5[[#This Row],[INVERSIONES FCI]])</f>
        <v>1516814611.0508442</v>
      </c>
      <c r="DG131" s="5">
        <f>IF($B130&lt;=Tabla5[[#This Row],[INVERSIONES FCI]],+Tabla5[[#This Row],[INVERSIONES FCI]]-DG130,Tabla5[[#This Row],[INVERSIONES FCI]])</f>
        <v>1516814611.0508442</v>
      </c>
      <c r="DH131" s="5">
        <f>IF($B130&lt;=Tabla5[[#This Row],[INVERSIONES FCI]],+Tabla5[[#This Row],[INVERSIONES FCI]]-DH130,Tabla5[[#This Row],[INVERSIONES FCI]])</f>
        <v>1516814611.0508442</v>
      </c>
      <c r="DI131" s="5">
        <f>IF($B130&lt;=Tabla5[[#This Row],[INVERSIONES FCI]],+Tabla5[[#This Row],[INVERSIONES FCI]]-DI130,Tabla5[[#This Row],[INVERSIONES FCI]])</f>
        <v>1516814611.0508442</v>
      </c>
      <c r="DJ131" s="5">
        <f>IF($B130&lt;=Tabla5[[#This Row],[INVERSIONES FCI]],+Tabla5[[#This Row],[INVERSIONES FCI]]-DJ130,Tabla5[[#This Row],[INVERSIONES FCI]])</f>
        <v>1516814611.0508442</v>
      </c>
      <c r="DK131" s="5">
        <f>IF($B130&lt;=Tabla5[[#This Row],[INVERSIONES FCI]],+Tabla5[[#This Row],[INVERSIONES FCI]]-DK130,Tabla5[[#This Row],[INVERSIONES FCI]])</f>
        <v>1516814611.0508442</v>
      </c>
      <c r="DL131" s="5"/>
      <c r="DM131" s="5"/>
      <c r="DN131" s="5"/>
      <c r="DO131" s="5"/>
      <c r="DP131" s="5"/>
      <c r="DQ131" s="5"/>
    </row>
    <row r="132" spans="1:121" ht="14.4">
      <c r="A132" s="12" t="s">
        <v>131</v>
      </c>
      <c r="B132" s="5">
        <f>HLOOKUP($A132,ESCENARIO[#All],7,FALSE)</f>
        <v>20622050258.65136</v>
      </c>
      <c r="C132" s="5">
        <f>IF($B131&lt;=Tabla5[[#This Row],[INVERSIONES FCI]],+Tabla5[[#This Row],[INVERSIONES FCI]]-C131,Tabla5[[#This Row],[INVERSIONES FCI]])</f>
        <v>19105235647.600517</v>
      </c>
      <c r="D132" s="5">
        <f>IF($B131&lt;=Tabla5[[#This Row],[INVERSIONES FCI]],+Tabla5[[#This Row],[INVERSIONES FCI]]-D131,Tabla5[[#This Row],[INVERSIONES FCI]])</f>
        <v>19105235647.600517</v>
      </c>
      <c r="E132" s="5">
        <f>IF($B131&lt;=Tabla5[[#This Row],[INVERSIONES FCI]],+Tabla5[[#This Row],[INVERSIONES FCI]]-E131,Tabla5[[#This Row],[INVERSIONES FCI]])</f>
        <v>19105235647.600517</v>
      </c>
      <c r="F132" s="5">
        <f>IF($B131&lt;=Tabla5[[#This Row],[INVERSIONES FCI]],+Tabla5[[#This Row],[INVERSIONES FCI]]-F131,Tabla5[[#This Row],[INVERSIONES FCI]])</f>
        <v>19105235647.600517</v>
      </c>
      <c r="G132" s="5">
        <f>IF($B131&lt;=Tabla5[[#This Row],[INVERSIONES FCI]],+Tabla5[[#This Row],[INVERSIONES FCI]]-G131,Tabla5[[#This Row],[INVERSIONES FCI]])</f>
        <v>19105235647.600517</v>
      </c>
      <c r="H132" s="5">
        <f>IF($B131&lt;=Tabla5[[#This Row],[INVERSIONES FCI]],+Tabla5[[#This Row],[INVERSIONES FCI]]-H131,Tabla5[[#This Row],[INVERSIONES FCI]])</f>
        <v>19105235647.600517</v>
      </c>
      <c r="I132" s="5">
        <f>IF($B131&lt;=Tabla5[[#This Row],[INVERSIONES FCI]],+Tabla5[[#This Row],[INVERSIONES FCI]]-I131,Tabla5[[#This Row],[INVERSIONES FCI]])</f>
        <v>19105235647.600517</v>
      </c>
      <c r="J132" s="5">
        <f>IF($B131&lt;=Tabla5[[#This Row],[INVERSIONES FCI]],+Tabla5[[#This Row],[INVERSIONES FCI]]-J131,Tabla5[[#This Row],[INVERSIONES FCI]])</f>
        <v>19105235647.600517</v>
      </c>
      <c r="K132" s="5">
        <f>IF($B131&lt;=Tabla5[[#This Row],[INVERSIONES FCI]],+Tabla5[[#This Row],[INVERSIONES FCI]]-K131,Tabla5[[#This Row],[INVERSIONES FCI]])</f>
        <v>19105235647.600517</v>
      </c>
      <c r="L132" s="5">
        <f>IF($B131&lt;=Tabla5[[#This Row],[INVERSIONES FCI]],+Tabla5[[#This Row],[INVERSIONES FCI]]-L131,Tabla5[[#This Row],[INVERSIONES FCI]])</f>
        <v>19105235647.600517</v>
      </c>
      <c r="M132" s="5">
        <f>IF($B131&lt;=Tabla5[[#This Row],[INVERSIONES FCI]],+Tabla5[[#This Row],[INVERSIONES FCI]]-M131,Tabla5[[#This Row],[INVERSIONES FCI]])</f>
        <v>19105235647.600517</v>
      </c>
      <c r="N132" s="5">
        <f>IF($B131&lt;=Tabla5[[#This Row],[INVERSIONES FCI]],+Tabla5[[#This Row],[INVERSIONES FCI]]-N131,Tabla5[[#This Row],[INVERSIONES FCI]])</f>
        <v>19105235647.600517</v>
      </c>
      <c r="O132" s="5">
        <f>IF($B131&lt;=Tabla5[[#This Row],[INVERSIONES FCI]],+Tabla5[[#This Row],[INVERSIONES FCI]]-O131,Tabla5[[#This Row],[INVERSIONES FCI]])</f>
        <v>19105235647.600517</v>
      </c>
      <c r="P132" s="5">
        <f>IF($B131&lt;=Tabla5[[#This Row],[INVERSIONES FCI]],+Tabla5[[#This Row],[INVERSIONES FCI]]-P131,Tabla5[[#This Row],[INVERSIONES FCI]])</f>
        <v>19105235647.600517</v>
      </c>
      <c r="Q132" s="5">
        <f>IF($B131&lt;=Tabla5[[#This Row],[INVERSIONES FCI]],+Tabla5[[#This Row],[INVERSIONES FCI]]-Q131,Tabla5[[#This Row],[INVERSIONES FCI]])</f>
        <v>19105235647.600517</v>
      </c>
      <c r="R132" s="5">
        <f>IF($B131&lt;=Tabla5[[#This Row],[INVERSIONES FCI]],+Tabla5[[#This Row],[INVERSIONES FCI]]-R131,Tabla5[[#This Row],[INVERSIONES FCI]])</f>
        <v>19105235647.600517</v>
      </c>
      <c r="S132" s="5">
        <f>IF($B131&lt;=Tabla5[[#This Row],[INVERSIONES FCI]],+Tabla5[[#This Row],[INVERSIONES FCI]]-S131,Tabla5[[#This Row],[INVERSIONES FCI]])</f>
        <v>19105235647.600517</v>
      </c>
      <c r="T132" s="5">
        <f>IF($B131&lt;=Tabla5[[#This Row],[INVERSIONES FCI]],+Tabla5[[#This Row],[INVERSIONES FCI]]-T131,Tabla5[[#This Row],[INVERSIONES FCI]])</f>
        <v>19105235647.600517</v>
      </c>
      <c r="U132" s="5">
        <f>IF($B131&lt;=Tabla5[[#This Row],[INVERSIONES FCI]],+Tabla5[[#This Row],[INVERSIONES FCI]]-U131,Tabla5[[#This Row],[INVERSIONES FCI]])</f>
        <v>19105235647.600517</v>
      </c>
      <c r="V132" s="5">
        <f>IF($B131&lt;=Tabla5[[#This Row],[INVERSIONES FCI]],+Tabla5[[#This Row],[INVERSIONES FCI]]-V131,Tabla5[[#This Row],[INVERSIONES FCI]])</f>
        <v>19105235647.600517</v>
      </c>
      <c r="W132" s="5">
        <f>IF($B131&lt;=Tabla5[[#This Row],[INVERSIONES FCI]],+Tabla5[[#This Row],[INVERSIONES FCI]]-W131,Tabla5[[#This Row],[INVERSIONES FCI]])</f>
        <v>19105235647.600517</v>
      </c>
      <c r="X132" s="5">
        <f>IF($B131&lt;=Tabla5[[#This Row],[INVERSIONES FCI]],+Tabla5[[#This Row],[INVERSIONES FCI]]-X131,Tabla5[[#This Row],[INVERSIONES FCI]])</f>
        <v>19105235647.600517</v>
      </c>
      <c r="Y132" s="5">
        <f>IF($B131&lt;=Tabla5[[#This Row],[INVERSIONES FCI]],+Tabla5[[#This Row],[INVERSIONES FCI]]-Y131,Tabla5[[#This Row],[INVERSIONES FCI]])</f>
        <v>19105235647.600517</v>
      </c>
      <c r="Z132" s="5">
        <f>IF($B131&lt;=Tabla5[[#This Row],[INVERSIONES FCI]],+Tabla5[[#This Row],[INVERSIONES FCI]]-Z131,Tabla5[[#This Row],[INVERSIONES FCI]])</f>
        <v>19105235647.600517</v>
      </c>
      <c r="AA132" s="5">
        <f>IF($B131&lt;=Tabla5[[#This Row],[INVERSIONES FCI]],+Tabla5[[#This Row],[INVERSIONES FCI]]-AA131,Tabla5[[#This Row],[INVERSIONES FCI]])</f>
        <v>19105235647.600517</v>
      </c>
      <c r="AB132" s="5">
        <f>IF($B131&lt;=Tabla5[[#This Row],[INVERSIONES FCI]],+Tabla5[[#This Row],[INVERSIONES FCI]]-AB131,Tabla5[[#This Row],[INVERSIONES FCI]])</f>
        <v>19105235647.600517</v>
      </c>
      <c r="AC132" s="5">
        <f>IF($B131&lt;=Tabla5[[#This Row],[INVERSIONES FCI]],+Tabla5[[#This Row],[INVERSIONES FCI]]-AC131,Tabla5[[#This Row],[INVERSIONES FCI]])</f>
        <v>19105235647.600517</v>
      </c>
      <c r="AD132" s="5">
        <f>IF($B131&lt;=Tabla5[[#This Row],[INVERSIONES FCI]],+Tabla5[[#This Row],[INVERSIONES FCI]]-AD131,Tabla5[[#This Row],[INVERSIONES FCI]])</f>
        <v>19105235647.600517</v>
      </c>
      <c r="AE132" s="5">
        <f>IF($B131&lt;=Tabla5[[#This Row],[INVERSIONES FCI]],+Tabla5[[#This Row],[INVERSIONES FCI]]-AE131,Tabla5[[#This Row],[INVERSIONES FCI]])</f>
        <v>19105235647.600517</v>
      </c>
      <c r="AF132" s="5">
        <f>IF($B131&lt;=Tabla5[[#This Row],[INVERSIONES FCI]],+Tabla5[[#This Row],[INVERSIONES FCI]]-AF131,Tabla5[[#This Row],[INVERSIONES FCI]])</f>
        <v>19105235647.600517</v>
      </c>
      <c r="AG132" s="5">
        <f>IF($B131&lt;=Tabla5[[#This Row],[INVERSIONES FCI]],+Tabla5[[#This Row],[INVERSIONES FCI]]-AG131,Tabla5[[#This Row],[INVERSIONES FCI]])</f>
        <v>19105235647.600517</v>
      </c>
      <c r="AH132" s="5">
        <f>IF($B131&lt;=Tabla5[[#This Row],[INVERSIONES FCI]],+Tabla5[[#This Row],[INVERSIONES FCI]]-AH131,Tabla5[[#This Row],[INVERSIONES FCI]])</f>
        <v>19105235647.600517</v>
      </c>
      <c r="AI132" s="5">
        <f>IF($B131&lt;=Tabla5[[#This Row],[INVERSIONES FCI]],+Tabla5[[#This Row],[INVERSIONES FCI]]-AI131,Tabla5[[#This Row],[INVERSIONES FCI]])</f>
        <v>19105235647.600517</v>
      </c>
      <c r="AJ132" s="5">
        <f>IF($B131&lt;=Tabla5[[#This Row],[INVERSIONES FCI]],+Tabla5[[#This Row],[INVERSIONES FCI]]-AJ131,Tabla5[[#This Row],[INVERSIONES FCI]])</f>
        <v>19105235647.600517</v>
      </c>
      <c r="AK132" s="5">
        <f>IF($B131&lt;=Tabla5[[#This Row],[INVERSIONES FCI]],+Tabla5[[#This Row],[INVERSIONES FCI]]-AK131,Tabla5[[#This Row],[INVERSIONES FCI]])</f>
        <v>19105235647.600517</v>
      </c>
      <c r="AL132" s="5">
        <f>IF($B131&lt;=Tabla5[[#This Row],[INVERSIONES FCI]],+Tabla5[[#This Row],[INVERSIONES FCI]]-AL131,Tabla5[[#This Row],[INVERSIONES FCI]])</f>
        <v>19105235647.600517</v>
      </c>
      <c r="AM132" s="5">
        <f>IF($B131&lt;=Tabla5[[#This Row],[INVERSIONES FCI]],+Tabla5[[#This Row],[INVERSIONES FCI]]-AM131,Tabla5[[#This Row],[INVERSIONES FCI]])</f>
        <v>19105235647.600517</v>
      </c>
      <c r="AN132" s="5">
        <f>IF($B131&lt;=Tabla5[[#This Row],[INVERSIONES FCI]],+Tabla5[[#This Row],[INVERSIONES FCI]]-AN131,Tabla5[[#This Row],[INVERSIONES FCI]])</f>
        <v>19105235647.600517</v>
      </c>
      <c r="AO132" s="5">
        <f>IF($B131&lt;=Tabla5[[#This Row],[INVERSIONES FCI]],+Tabla5[[#This Row],[INVERSIONES FCI]]-AO131,Tabla5[[#This Row],[INVERSIONES FCI]])</f>
        <v>19105235647.600517</v>
      </c>
      <c r="AP132" s="5">
        <f>IF($B131&lt;=Tabla5[[#This Row],[INVERSIONES FCI]],+Tabla5[[#This Row],[INVERSIONES FCI]]-AP131,Tabla5[[#This Row],[INVERSIONES FCI]])</f>
        <v>19105235647.600517</v>
      </c>
      <c r="AQ132" s="5">
        <f>IF($B131&lt;=Tabla5[[#This Row],[INVERSIONES FCI]],+Tabla5[[#This Row],[INVERSIONES FCI]]-AQ131,Tabla5[[#This Row],[INVERSIONES FCI]])</f>
        <v>19105235647.600517</v>
      </c>
      <c r="AR132" s="5">
        <f>IF($B131&lt;=Tabla5[[#This Row],[INVERSIONES FCI]],+Tabla5[[#This Row],[INVERSIONES FCI]]-AR131,Tabla5[[#This Row],[INVERSIONES FCI]])</f>
        <v>19105235647.600517</v>
      </c>
      <c r="AS132" s="5">
        <f>IF($B131&lt;=Tabla5[[#This Row],[INVERSIONES FCI]],+Tabla5[[#This Row],[INVERSIONES FCI]]-AS131,Tabla5[[#This Row],[INVERSIONES FCI]])</f>
        <v>19105235647.600517</v>
      </c>
      <c r="AT132" s="5">
        <f>IF($B131&lt;=Tabla5[[#This Row],[INVERSIONES FCI]],+Tabla5[[#This Row],[INVERSIONES FCI]]-AT131,Tabla5[[#This Row],[INVERSIONES FCI]])</f>
        <v>19105235647.600517</v>
      </c>
      <c r="AU132" s="5">
        <f>IF($B131&lt;=Tabla5[[#This Row],[INVERSIONES FCI]],+Tabla5[[#This Row],[INVERSIONES FCI]]-AU131,Tabla5[[#This Row],[INVERSIONES FCI]])</f>
        <v>19105235647.600517</v>
      </c>
      <c r="AV132" s="5">
        <f>IF($B131&lt;=Tabla5[[#This Row],[INVERSIONES FCI]],+Tabla5[[#This Row],[INVERSIONES FCI]]-AV131,Tabla5[[#This Row],[INVERSIONES FCI]])</f>
        <v>19105235647.600517</v>
      </c>
      <c r="AW132" s="5">
        <f>IF($B131&lt;=Tabla5[[#This Row],[INVERSIONES FCI]],+Tabla5[[#This Row],[INVERSIONES FCI]]-AW131,Tabla5[[#This Row],[INVERSIONES FCI]])</f>
        <v>19105235647.600517</v>
      </c>
      <c r="AX132" s="5">
        <f>IF($B131&lt;=Tabla5[[#This Row],[INVERSIONES FCI]],+Tabla5[[#This Row],[INVERSIONES FCI]]-AX131,Tabla5[[#This Row],[INVERSIONES FCI]])</f>
        <v>19105235647.600517</v>
      </c>
      <c r="AY132" s="5">
        <f>IF($B131&lt;=Tabla5[[#This Row],[INVERSIONES FCI]],+Tabla5[[#This Row],[INVERSIONES FCI]]-AY131,Tabla5[[#This Row],[INVERSIONES FCI]])</f>
        <v>19105235647.600517</v>
      </c>
      <c r="AZ132" s="5">
        <f>IF($B131&lt;=Tabla5[[#This Row],[INVERSIONES FCI]],+Tabla5[[#This Row],[INVERSIONES FCI]]-AZ131,Tabla5[[#This Row],[INVERSIONES FCI]])</f>
        <v>19105235647.600517</v>
      </c>
      <c r="BA132" s="5">
        <f>IF($B131&lt;=Tabla5[[#This Row],[INVERSIONES FCI]],+Tabla5[[#This Row],[INVERSIONES FCI]]-BA131,Tabla5[[#This Row],[INVERSIONES FCI]])</f>
        <v>19105235647.600517</v>
      </c>
      <c r="BB132" s="5">
        <f>IF($B131&lt;=Tabla5[[#This Row],[INVERSIONES FCI]],+Tabla5[[#This Row],[INVERSIONES FCI]]-BB131,Tabla5[[#This Row],[INVERSIONES FCI]])</f>
        <v>19105235647.600517</v>
      </c>
      <c r="BC132" s="5">
        <f>IF($B131&lt;=Tabla5[[#This Row],[INVERSIONES FCI]],+Tabla5[[#This Row],[INVERSIONES FCI]]-BC131,Tabla5[[#This Row],[INVERSIONES FCI]])</f>
        <v>19105235647.600517</v>
      </c>
      <c r="BD132" s="5">
        <f>IF($B131&lt;=Tabla5[[#This Row],[INVERSIONES FCI]],+Tabla5[[#This Row],[INVERSIONES FCI]]-BD131,Tabla5[[#This Row],[INVERSIONES FCI]])</f>
        <v>19105235647.600517</v>
      </c>
      <c r="BE132" s="5">
        <f>IF($B131&lt;=Tabla5[[#This Row],[INVERSIONES FCI]],+Tabla5[[#This Row],[INVERSIONES FCI]]-BE131,Tabla5[[#This Row],[INVERSIONES FCI]])</f>
        <v>19105235647.600517</v>
      </c>
      <c r="BF132" s="5">
        <f>IF($B131&lt;=Tabla5[[#This Row],[INVERSIONES FCI]],+Tabla5[[#This Row],[INVERSIONES FCI]]-BF131,Tabla5[[#This Row],[INVERSIONES FCI]])</f>
        <v>19105235647.600517</v>
      </c>
      <c r="BG132" s="5">
        <f>IF($B131&lt;=Tabla5[[#This Row],[INVERSIONES FCI]],+Tabla5[[#This Row],[INVERSIONES FCI]]-BG131,Tabla5[[#This Row],[INVERSIONES FCI]])</f>
        <v>19105235647.600517</v>
      </c>
      <c r="BH132" s="5">
        <f>IF($B131&lt;=Tabla5[[#This Row],[INVERSIONES FCI]],+Tabla5[[#This Row],[INVERSIONES FCI]]-BH131,Tabla5[[#This Row],[INVERSIONES FCI]])</f>
        <v>19105235647.600517</v>
      </c>
      <c r="BI132" s="5">
        <f>IF($B131&lt;=Tabla5[[#This Row],[INVERSIONES FCI]],+Tabla5[[#This Row],[INVERSIONES FCI]]-BI131,Tabla5[[#This Row],[INVERSIONES FCI]])</f>
        <v>19105235647.600517</v>
      </c>
      <c r="BJ132" s="5">
        <f>IF($B131&lt;=Tabla5[[#This Row],[INVERSIONES FCI]],+Tabla5[[#This Row],[INVERSIONES FCI]]-BJ131,Tabla5[[#This Row],[INVERSIONES FCI]])</f>
        <v>19105235647.600517</v>
      </c>
      <c r="BK132" s="5">
        <f>IF($B131&lt;=Tabla5[[#This Row],[INVERSIONES FCI]],+Tabla5[[#This Row],[INVERSIONES FCI]]-BK131,Tabla5[[#This Row],[INVERSIONES FCI]])</f>
        <v>19105235647.600517</v>
      </c>
      <c r="BL132" s="5">
        <f>IF($B131&lt;=Tabla5[[#This Row],[INVERSIONES FCI]],+Tabla5[[#This Row],[INVERSIONES FCI]]-BL131,Tabla5[[#This Row],[INVERSIONES FCI]])</f>
        <v>19105235647.600517</v>
      </c>
      <c r="BM132" s="5">
        <f>IF($B131&lt;=Tabla5[[#This Row],[INVERSIONES FCI]],+Tabla5[[#This Row],[INVERSIONES FCI]]-BM131,Tabla5[[#This Row],[INVERSIONES FCI]])</f>
        <v>19105235647.600517</v>
      </c>
      <c r="BN132" s="5">
        <f>IF($B131&lt;=Tabla5[[#This Row],[INVERSIONES FCI]],+Tabla5[[#This Row],[INVERSIONES FCI]]-BN131,Tabla5[[#This Row],[INVERSIONES FCI]])</f>
        <v>19105235647.600517</v>
      </c>
      <c r="BO132" s="5">
        <f>IF($B131&lt;=Tabla5[[#This Row],[INVERSIONES FCI]],+Tabla5[[#This Row],[INVERSIONES FCI]]-BO131,Tabla5[[#This Row],[INVERSIONES FCI]])</f>
        <v>19105235647.600517</v>
      </c>
      <c r="BP132" s="5">
        <f>IF($B131&lt;=Tabla5[[#This Row],[INVERSIONES FCI]],+Tabla5[[#This Row],[INVERSIONES FCI]]-BP131,Tabla5[[#This Row],[INVERSIONES FCI]])</f>
        <v>19105235647.600517</v>
      </c>
      <c r="BQ132" s="5">
        <f>IF($B131&lt;=Tabla5[[#This Row],[INVERSIONES FCI]],+Tabla5[[#This Row],[INVERSIONES FCI]]-BQ131,Tabla5[[#This Row],[INVERSIONES FCI]])</f>
        <v>19105235647.600517</v>
      </c>
      <c r="BR132" s="5">
        <f>IF($B131&lt;=Tabla5[[#This Row],[INVERSIONES FCI]],+Tabla5[[#This Row],[INVERSIONES FCI]]-BR131,Tabla5[[#This Row],[INVERSIONES FCI]])</f>
        <v>19105235647.600517</v>
      </c>
      <c r="BS132" s="5">
        <f>IF($B131&lt;=Tabla5[[#This Row],[INVERSIONES FCI]],+Tabla5[[#This Row],[INVERSIONES FCI]]-BS131,Tabla5[[#This Row],[INVERSIONES FCI]])</f>
        <v>19105235647.600517</v>
      </c>
      <c r="BT132" s="5">
        <f>IF($B131&lt;=Tabla5[[#This Row],[INVERSIONES FCI]],+Tabla5[[#This Row],[INVERSIONES FCI]]-BT131,Tabla5[[#This Row],[INVERSIONES FCI]])</f>
        <v>19105235647.600517</v>
      </c>
      <c r="BU132" s="5">
        <f>IF($B131&lt;=Tabla5[[#This Row],[INVERSIONES FCI]],+Tabla5[[#This Row],[INVERSIONES FCI]]-BU131,Tabla5[[#This Row],[INVERSIONES FCI]])</f>
        <v>19105235647.600517</v>
      </c>
      <c r="BV132" s="5">
        <f>IF($B131&lt;=Tabla5[[#This Row],[INVERSIONES FCI]],+Tabla5[[#This Row],[INVERSIONES FCI]]-BV131,Tabla5[[#This Row],[INVERSIONES FCI]])</f>
        <v>19105235647.600517</v>
      </c>
      <c r="BW132" s="5">
        <f>IF($B131&lt;=Tabla5[[#This Row],[INVERSIONES FCI]],+Tabla5[[#This Row],[INVERSIONES FCI]]-BW131,Tabla5[[#This Row],[INVERSIONES FCI]])</f>
        <v>19105235647.600517</v>
      </c>
      <c r="BX132" s="5">
        <f>IF($B131&lt;=Tabla5[[#This Row],[INVERSIONES FCI]],+Tabla5[[#This Row],[INVERSIONES FCI]]-BX131,Tabla5[[#This Row],[INVERSIONES FCI]])</f>
        <v>19105235647.600517</v>
      </c>
      <c r="BY132" s="5">
        <f>IF($B131&lt;=Tabla5[[#This Row],[INVERSIONES FCI]],+Tabla5[[#This Row],[INVERSIONES FCI]]-BY131,Tabla5[[#This Row],[INVERSIONES FCI]])</f>
        <v>19105235647.600517</v>
      </c>
      <c r="BZ132" s="5">
        <f>IF($B131&lt;=Tabla5[[#This Row],[INVERSIONES FCI]],+Tabla5[[#This Row],[INVERSIONES FCI]]-BZ131,Tabla5[[#This Row],[INVERSIONES FCI]])</f>
        <v>19105235647.600517</v>
      </c>
      <c r="CA132" s="5">
        <f>IF($B131&lt;=Tabla5[[#This Row],[INVERSIONES FCI]],+Tabla5[[#This Row],[INVERSIONES FCI]]-CA131,Tabla5[[#This Row],[INVERSIONES FCI]])</f>
        <v>19105235647.600517</v>
      </c>
      <c r="CB132" s="5">
        <f>IF($B131&lt;=Tabla5[[#This Row],[INVERSIONES FCI]],+Tabla5[[#This Row],[INVERSIONES FCI]]-CB131,Tabla5[[#This Row],[INVERSIONES FCI]])</f>
        <v>19105235647.600517</v>
      </c>
      <c r="CC132" s="5">
        <f>IF($B131&lt;=Tabla5[[#This Row],[INVERSIONES FCI]],+Tabla5[[#This Row],[INVERSIONES FCI]]-CC131,Tabla5[[#This Row],[INVERSIONES FCI]])</f>
        <v>19105235647.600517</v>
      </c>
      <c r="CD132" s="5">
        <f>IF($B131&lt;=Tabla5[[#This Row],[INVERSIONES FCI]],+Tabla5[[#This Row],[INVERSIONES FCI]]-CD131,Tabla5[[#This Row],[INVERSIONES FCI]])</f>
        <v>19105235647.600517</v>
      </c>
      <c r="CE132" s="5">
        <f>IF($B131&lt;=Tabla5[[#This Row],[INVERSIONES FCI]],+Tabla5[[#This Row],[INVERSIONES FCI]]-CE131,Tabla5[[#This Row],[INVERSIONES FCI]])</f>
        <v>19105235647.600517</v>
      </c>
      <c r="CF132" s="5">
        <f>IF($B131&lt;=Tabla5[[#This Row],[INVERSIONES FCI]],+Tabla5[[#This Row],[INVERSIONES FCI]]-CF131,Tabla5[[#This Row],[INVERSIONES FCI]])</f>
        <v>19105235647.600517</v>
      </c>
      <c r="CG132" s="5">
        <f>IF($B131&lt;=Tabla5[[#This Row],[INVERSIONES FCI]],+Tabla5[[#This Row],[INVERSIONES FCI]]-CG131,Tabla5[[#This Row],[INVERSIONES FCI]])</f>
        <v>19105235647.600517</v>
      </c>
      <c r="CH132" s="5">
        <f>IF($B131&lt;=Tabla5[[#This Row],[INVERSIONES FCI]],+Tabla5[[#This Row],[INVERSIONES FCI]]-CH131,Tabla5[[#This Row],[INVERSIONES FCI]])</f>
        <v>19105235647.600517</v>
      </c>
      <c r="CI132" s="5">
        <f>IF($B131&lt;=Tabla5[[#This Row],[INVERSIONES FCI]],+Tabla5[[#This Row],[INVERSIONES FCI]]-CI131,Tabla5[[#This Row],[INVERSIONES FCI]])</f>
        <v>19105235647.600517</v>
      </c>
      <c r="CJ132" s="5">
        <f>IF($B131&lt;=Tabla5[[#This Row],[INVERSIONES FCI]],+Tabla5[[#This Row],[INVERSIONES FCI]]-CJ131,Tabla5[[#This Row],[INVERSIONES FCI]])</f>
        <v>19105235647.600517</v>
      </c>
      <c r="CK132" s="5">
        <f>IF($B131&lt;=Tabla5[[#This Row],[INVERSIONES FCI]],+Tabla5[[#This Row],[INVERSIONES FCI]]-CK131,Tabla5[[#This Row],[INVERSIONES FCI]])</f>
        <v>19105235647.600517</v>
      </c>
      <c r="CL132" s="5">
        <f>IF($B131&lt;=Tabla5[[#This Row],[INVERSIONES FCI]],+Tabla5[[#This Row],[INVERSIONES FCI]]-CL131,Tabla5[[#This Row],[INVERSIONES FCI]])</f>
        <v>19105235647.600517</v>
      </c>
      <c r="CM132" s="5">
        <f>IF($B131&lt;=Tabla5[[#This Row],[INVERSIONES FCI]],+Tabla5[[#This Row],[INVERSIONES FCI]]-CM131,Tabla5[[#This Row],[INVERSIONES FCI]])</f>
        <v>19105235647.600517</v>
      </c>
      <c r="CN132" s="5">
        <f>IF($B131&lt;=Tabla5[[#This Row],[INVERSIONES FCI]],+Tabla5[[#This Row],[INVERSIONES FCI]]-CN131,Tabla5[[#This Row],[INVERSIONES FCI]])</f>
        <v>19105235647.600517</v>
      </c>
      <c r="CO132" s="5">
        <f>IF($B131&lt;=Tabla5[[#This Row],[INVERSIONES FCI]],+Tabla5[[#This Row],[INVERSIONES FCI]]-CO131,Tabla5[[#This Row],[INVERSIONES FCI]])</f>
        <v>19105235647.600517</v>
      </c>
      <c r="CP132" s="5">
        <f>IF($B131&lt;=Tabla5[[#This Row],[INVERSIONES FCI]],+Tabla5[[#This Row],[INVERSIONES FCI]]-CP131,Tabla5[[#This Row],[INVERSIONES FCI]])</f>
        <v>19105235647.600517</v>
      </c>
      <c r="CQ132" s="5">
        <f>IF($B131&lt;=Tabla5[[#This Row],[INVERSIONES FCI]],+Tabla5[[#This Row],[INVERSIONES FCI]]-CQ131,Tabla5[[#This Row],[INVERSIONES FCI]])</f>
        <v>19105235647.600517</v>
      </c>
      <c r="CR132" s="5">
        <f>IF($B131&lt;=Tabla5[[#This Row],[INVERSIONES FCI]],+Tabla5[[#This Row],[INVERSIONES FCI]]-CR131,Tabla5[[#This Row],[INVERSIONES FCI]])</f>
        <v>19105235647.600517</v>
      </c>
      <c r="CS132" s="5">
        <f>IF($B131&lt;=Tabla5[[#This Row],[INVERSIONES FCI]],+Tabla5[[#This Row],[INVERSIONES FCI]]-CS131,Tabla5[[#This Row],[INVERSIONES FCI]])</f>
        <v>19105235647.600517</v>
      </c>
      <c r="CT132" s="5">
        <f>IF($B131&lt;=Tabla5[[#This Row],[INVERSIONES FCI]],+Tabla5[[#This Row],[INVERSIONES FCI]]-CT131,Tabla5[[#This Row],[INVERSIONES FCI]])</f>
        <v>19105235647.600517</v>
      </c>
      <c r="CU132" s="5">
        <f>IF($B131&lt;=Tabla5[[#This Row],[INVERSIONES FCI]],+Tabla5[[#This Row],[INVERSIONES FCI]]-CU131,Tabla5[[#This Row],[INVERSIONES FCI]])</f>
        <v>19105235647.600517</v>
      </c>
      <c r="CV132" s="5">
        <f>IF($B131&lt;=Tabla5[[#This Row],[INVERSIONES FCI]],+Tabla5[[#This Row],[INVERSIONES FCI]]-CV131,Tabla5[[#This Row],[INVERSIONES FCI]])</f>
        <v>19105235647.600517</v>
      </c>
      <c r="CW132" s="5">
        <f>IF($B131&lt;=Tabla5[[#This Row],[INVERSIONES FCI]],+Tabla5[[#This Row],[INVERSIONES FCI]]-CW131,Tabla5[[#This Row],[INVERSIONES FCI]])</f>
        <v>19105235647.600517</v>
      </c>
      <c r="CX132" s="5">
        <f>IF($B131&lt;=Tabla5[[#This Row],[INVERSIONES FCI]],+Tabla5[[#This Row],[INVERSIONES FCI]]-CX131,Tabla5[[#This Row],[INVERSIONES FCI]])</f>
        <v>19105235647.600517</v>
      </c>
      <c r="CY132" s="5">
        <f>IF($B131&lt;=Tabla5[[#This Row],[INVERSIONES FCI]],+Tabla5[[#This Row],[INVERSIONES FCI]]-CY131,Tabla5[[#This Row],[INVERSIONES FCI]])</f>
        <v>19105235647.600517</v>
      </c>
      <c r="CZ132" s="5">
        <f>IF($B131&lt;=Tabla5[[#This Row],[INVERSIONES FCI]],+Tabla5[[#This Row],[INVERSIONES FCI]]-CZ131,Tabla5[[#This Row],[INVERSIONES FCI]])</f>
        <v>19105235647.600517</v>
      </c>
      <c r="DA132" s="5">
        <f>IF($B131&lt;=Tabla5[[#This Row],[INVERSIONES FCI]],+Tabla5[[#This Row],[INVERSIONES FCI]]-DA131,Tabla5[[#This Row],[INVERSIONES FCI]])</f>
        <v>19105235647.600517</v>
      </c>
      <c r="DB132" s="5">
        <f>IF($B131&lt;=Tabla5[[#This Row],[INVERSIONES FCI]],+Tabla5[[#This Row],[INVERSIONES FCI]]-DB131,Tabla5[[#This Row],[INVERSIONES FCI]])</f>
        <v>19105235647.600517</v>
      </c>
      <c r="DC132" s="5">
        <f>IF($B131&lt;=Tabla5[[#This Row],[INVERSIONES FCI]],+Tabla5[[#This Row],[INVERSIONES FCI]]-DC131,Tabla5[[#This Row],[INVERSIONES FCI]])</f>
        <v>19105235647.600517</v>
      </c>
      <c r="DD132" s="5">
        <f>IF($B131&lt;=Tabla5[[#This Row],[INVERSIONES FCI]],+Tabla5[[#This Row],[INVERSIONES FCI]]-DD131,Tabla5[[#This Row],[INVERSIONES FCI]])</f>
        <v>19105235647.600517</v>
      </c>
      <c r="DE132" s="5">
        <f>IF($B131&lt;=Tabla5[[#This Row],[INVERSIONES FCI]],+Tabla5[[#This Row],[INVERSIONES FCI]]-DE131,Tabla5[[#This Row],[INVERSIONES FCI]])</f>
        <v>19105235647.600517</v>
      </c>
      <c r="DF132" s="5">
        <f>IF($B131&lt;=Tabla5[[#This Row],[INVERSIONES FCI]],+Tabla5[[#This Row],[INVERSIONES FCI]]-DF131,Tabla5[[#This Row],[INVERSIONES FCI]])</f>
        <v>19105235647.600517</v>
      </c>
      <c r="DG132" s="5">
        <f>IF($B131&lt;=Tabla5[[#This Row],[INVERSIONES FCI]],+Tabla5[[#This Row],[INVERSIONES FCI]]-DG131,Tabla5[[#This Row],[INVERSIONES FCI]])</f>
        <v>19105235647.600517</v>
      </c>
      <c r="DH132" s="5">
        <f>IF($B131&lt;=Tabla5[[#This Row],[INVERSIONES FCI]],+Tabla5[[#This Row],[INVERSIONES FCI]]-DH131,Tabla5[[#This Row],[INVERSIONES FCI]])</f>
        <v>19105235647.600517</v>
      </c>
      <c r="DI132" s="5">
        <f>IF($B131&lt;=Tabla5[[#This Row],[INVERSIONES FCI]],+Tabla5[[#This Row],[INVERSIONES FCI]]-DI131,Tabla5[[#This Row],[INVERSIONES FCI]])</f>
        <v>19105235647.600517</v>
      </c>
      <c r="DJ132" s="5">
        <f>IF($B131&lt;=Tabla5[[#This Row],[INVERSIONES FCI]],+Tabla5[[#This Row],[INVERSIONES FCI]]-DJ131,Tabla5[[#This Row],[INVERSIONES FCI]])</f>
        <v>19105235647.600517</v>
      </c>
      <c r="DK132" s="5">
        <f>IF($B131&lt;=Tabla5[[#This Row],[INVERSIONES FCI]],+Tabla5[[#This Row],[INVERSIONES FCI]]-DK131,Tabla5[[#This Row],[INVERSIONES FCI]])</f>
        <v>19105235647.600517</v>
      </c>
      <c r="DL132" s="5"/>
      <c r="DM132" s="5"/>
      <c r="DN132" s="5"/>
      <c r="DO132" s="5"/>
      <c r="DP132" s="5"/>
      <c r="DQ132" s="5"/>
    </row>
    <row r="133" spans="1:121" ht="14.4">
      <c r="A133" s="12" t="s">
        <v>132</v>
      </c>
      <c r="B133" s="5">
        <f>HLOOKUP($A133,ESCENARIO[#All],7,FALSE)</f>
        <v>22116221112.318722</v>
      </c>
      <c r="C133" s="5">
        <f>IF($B132&lt;=Tabla5[[#This Row],[INVERSIONES FCI]],+Tabla5[[#This Row],[INVERSIONES FCI]]-C132,Tabla5[[#This Row],[INVERSIONES FCI]])</f>
        <v>3010985464.7182045</v>
      </c>
      <c r="D133" s="5">
        <f>IF($B132&lt;=Tabla5[[#This Row],[INVERSIONES FCI]],+Tabla5[[#This Row],[INVERSIONES FCI]]-D132,Tabla5[[#This Row],[INVERSIONES FCI]])</f>
        <v>3010985464.7182045</v>
      </c>
      <c r="E133" s="5">
        <f>IF($B132&lt;=Tabla5[[#This Row],[INVERSIONES FCI]],+Tabla5[[#This Row],[INVERSIONES FCI]]-E132,Tabla5[[#This Row],[INVERSIONES FCI]])</f>
        <v>3010985464.7182045</v>
      </c>
      <c r="F133" s="5">
        <f>IF($B132&lt;=Tabla5[[#This Row],[INVERSIONES FCI]],+Tabla5[[#This Row],[INVERSIONES FCI]]-F132,Tabla5[[#This Row],[INVERSIONES FCI]])</f>
        <v>3010985464.7182045</v>
      </c>
      <c r="G133" s="5">
        <f>IF($B132&lt;=Tabla5[[#This Row],[INVERSIONES FCI]],+Tabla5[[#This Row],[INVERSIONES FCI]]-G132,Tabla5[[#This Row],[INVERSIONES FCI]])</f>
        <v>3010985464.7182045</v>
      </c>
      <c r="H133" s="5">
        <f>IF($B132&lt;=Tabla5[[#This Row],[INVERSIONES FCI]],+Tabla5[[#This Row],[INVERSIONES FCI]]-H132,Tabla5[[#This Row],[INVERSIONES FCI]])</f>
        <v>3010985464.7182045</v>
      </c>
      <c r="I133" s="5">
        <f>IF($B132&lt;=Tabla5[[#This Row],[INVERSIONES FCI]],+Tabla5[[#This Row],[INVERSIONES FCI]]-I132,Tabla5[[#This Row],[INVERSIONES FCI]])</f>
        <v>3010985464.7182045</v>
      </c>
      <c r="J133" s="5">
        <f>IF($B132&lt;=Tabla5[[#This Row],[INVERSIONES FCI]],+Tabla5[[#This Row],[INVERSIONES FCI]]-J132,Tabla5[[#This Row],[INVERSIONES FCI]])</f>
        <v>3010985464.7182045</v>
      </c>
      <c r="K133" s="5">
        <f>IF($B132&lt;=Tabla5[[#This Row],[INVERSIONES FCI]],+Tabla5[[#This Row],[INVERSIONES FCI]]-K132,Tabla5[[#This Row],[INVERSIONES FCI]])</f>
        <v>3010985464.7182045</v>
      </c>
      <c r="L133" s="5">
        <f>IF($B132&lt;=Tabla5[[#This Row],[INVERSIONES FCI]],+Tabla5[[#This Row],[INVERSIONES FCI]]-L132,Tabla5[[#This Row],[INVERSIONES FCI]])</f>
        <v>3010985464.7182045</v>
      </c>
      <c r="M133" s="5">
        <f>IF($B132&lt;=Tabla5[[#This Row],[INVERSIONES FCI]],+Tabla5[[#This Row],[INVERSIONES FCI]]-M132,Tabla5[[#This Row],[INVERSIONES FCI]])</f>
        <v>3010985464.7182045</v>
      </c>
      <c r="N133" s="5">
        <f>IF($B132&lt;=Tabla5[[#This Row],[INVERSIONES FCI]],+Tabla5[[#This Row],[INVERSIONES FCI]]-N132,Tabla5[[#This Row],[INVERSIONES FCI]])</f>
        <v>3010985464.7182045</v>
      </c>
      <c r="O133" s="5">
        <f>IF($B132&lt;=Tabla5[[#This Row],[INVERSIONES FCI]],+Tabla5[[#This Row],[INVERSIONES FCI]]-O132,Tabla5[[#This Row],[INVERSIONES FCI]])</f>
        <v>3010985464.7182045</v>
      </c>
      <c r="P133" s="5">
        <f>IF($B132&lt;=Tabla5[[#This Row],[INVERSIONES FCI]],+Tabla5[[#This Row],[INVERSIONES FCI]]-P132,Tabla5[[#This Row],[INVERSIONES FCI]])</f>
        <v>3010985464.7182045</v>
      </c>
      <c r="Q133" s="5">
        <f>IF($B132&lt;=Tabla5[[#This Row],[INVERSIONES FCI]],+Tabla5[[#This Row],[INVERSIONES FCI]]-Q132,Tabla5[[#This Row],[INVERSIONES FCI]])</f>
        <v>3010985464.7182045</v>
      </c>
      <c r="R133" s="5">
        <f>IF($B132&lt;=Tabla5[[#This Row],[INVERSIONES FCI]],+Tabla5[[#This Row],[INVERSIONES FCI]]-R132,Tabla5[[#This Row],[INVERSIONES FCI]])</f>
        <v>3010985464.7182045</v>
      </c>
      <c r="S133" s="5">
        <f>IF($B132&lt;=Tabla5[[#This Row],[INVERSIONES FCI]],+Tabla5[[#This Row],[INVERSIONES FCI]]-S132,Tabla5[[#This Row],[INVERSIONES FCI]])</f>
        <v>3010985464.7182045</v>
      </c>
      <c r="T133" s="5">
        <f>IF($B132&lt;=Tabla5[[#This Row],[INVERSIONES FCI]],+Tabla5[[#This Row],[INVERSIONES FCI]]-T132,Tabla5[[#This Row],[INVERSIONES FCI]])</f>
        <v>3010985464.7182045</v>
      </c>
      <c r="U133" s="5">
        <f>IF($B132&lt;=Tabla5[[#This Row],[INVERSIONES FCI]],+Tabla5[[#This Row],[INVERSIONES FCI]]-U132,Tabla5[[#This Row],[INVERSIONES FCI]])</f>
        <v>3010985464.7182045</v>
      </c>
      <c r="V133" s="5">
        <f>IF($B132&lt;=Tabla5[[#This Row],[INVERSIONES FCI]],+Tabla5[[#This Row],[INVERSIONES FCI]]-V132,Tabla5[[#This Row],[INVERSIONES FCI]])</f>
        <v>3010985464.7182045</v>
      </c>
      <c r="W133" s="5">
        <f>IF($B132&lt;=Tabla5[[#This Row],[INVERSIONES FCI]],+Tabla5[[#This Row],[INVERSIONES FCI]]-W132,Tabla5[[#This Row],[INVERSIONES FCI]])</f>
        <v>3010985464.7182045</v>
      </c>
      <c r="X133" s="5">
        <f>IF($B132&lt;=Tabla5[[#This Row],[INVERSIONES FCI]],+Tabla5[[#This Row],[INVERSIONES FCI]]-X132,Tabla5[[#This Row],[INVERSIONES FCI]])</f>
        <v>3010985464.7182045</v>
      </c>
      <c r="Y133" s="5">
        <f>IF($B132&lt;=Tabla5[[#This Row],[INVERSIONES FCI]],+Tabla5[[#This Row],[INVERSIONES FCI]]-Y132,Tabla5[[#This Row],[INVERSIONES FCI]])</f>
        <v>3010985464.7182045</v>
      </c>
      <c r="Z133" s="5">
        <f>IF($B132&lt;=Tabla5[[#This Row],[INVERSIONES FCI]],+Tabla5[[#This Row],[INVERSIONES FCI]]-Z132,Tabla5[[#This Row],[INVERSIONES FCI]])</f>
        <v>3010985464.7182045</v>
      </c>
      <c r="AA133" s="5">
        <f>IF($B132&lt;=Tabla5[[#This Row],[INVERSIONES FCI]],+Tabla5[[#This Row],[INVERSIONES FCI]]-AA132,Tabla5[[#This Row],[INVERSIONES FCI]])</f>
        <v>3010985464.7182045</v>
      </c>
      <c r="AB133" s="5">
        <f>IF($B132&lt;=Tabla5[[#This Row],[INVERSIONES FCI]],+Tabla5[[#This Row],[INVERSIONES FCI]]-AB132,Tabla5[[#This Row],[INVERSIONES FCI]])</f>
        <v>3010985464.7182045</v>
      </c>
      <c r="AC133" s="5">
        <f>IF($B132&lt;=Tabla5[[#This Row],[INVERSIONES FCI]],+Tabla5[[#This Row],[INVERSIONES FCI]]-AC132,Tabla5[[#This Row],[INVERSIONES FCI]])</f>
        <v>3010985464.7182045</v>
      </c>
      <c r="AD133" s="5">
        <f>IF($B132&lt;=Tabla5[[#This Row],[INVERSIONES FCI]],+Tabla5[[#This Row],[INVERSIONES FCI]]-AD132,Tabla5[[#This Row],[INVERSIONES FCI]])</f>
        <v>3010985464.7182045</v>
      </c>
      <c r="AE133" s="5">
        <f>IF($B132&lt;=Tabla5[[#This Row],[INVERSIONES FCI]],+Tabla5[[#This Row],[INVERSIONES FCI]]-AE132,Tabla5[[#This Row],[INVERSIONES FCI]])</f>
        <v>3010985464.7182045</v>
      </c>
      <c r="AF133" s="5">
        <f>IF($B132&lt;=Tabla5[[#This Row],[INVERSIONES FCI]],+Tabla5[[#This Row],[INVERSIONES FCI]]-AF132,Tabla5[[#This Row],[INVERSIONES FCI]])</f>
        <v>3010985464.7182045</v>
      </c>
      <c r="AG133" s="5">
        <f>IF($B132&lt;=Tabla5[[#This Row],[INVERSIONES FCI]],+Tabla5[[#This Row],[INVERSIONES FCI]]-AG132,Tabla5[[#This Row],[INVERSIONES FCI]])</f>
        <v>3010985464.7182045</v>
      </c>
      <c r="AH133" s="5">
        <f>IF($B132&lt;=Tabla5[[#This Row],[INVERSIONES FCI]],+Tabla5[[#This Row],[INVERSIONES FCI]]-AH132,Tabla5[[#This Row],[INVERSIONES FCI]])</f>
        <v>3010985464.7182045</v>
      </c>
      <c r="AI133" s="5">
        <f>IF($B132&lt;=Tabla5[[#This Row],[INVERSIONES FCI]],+Tabla5[[#This Row],[INVERSIONES FCI]]-AI132,Tabla5[[#This Row],[INVERSIONES FCI]])</f>
        <v>3010985464.7182045</v>
      </c>
      <c r="AJ133" s="5">
        <f>IF($B132&lt;=Tabla5[[#This Row],[INVERSIONES FCI]],+Tabla5[[#This Row],[INVERSIONES FCI]]-AJ132,Tabla5[[#This Row],[INVERSIONES FCI]])</f>
        <v>3010985464.7182045</v>
      </c>
      <c r="AK133" s="5">
        <f>IF($B132&lt;=Tabla5[[#This Row],[INVERSIONES FCI]],+Tabla5[[#This Row],[INVERSIONES FCI]]-AK132,Tabla5[[#This Row],[INVERSIONES FCI]])</f>
        <v>3010985464.7182045</v>
      </c>
      <c r="AL133" s="5">
        <f>IF($B132&lt;=Tabla5[[#This Row],[INVERSIONES FCI]],+Tabla5[[#This Row],[INVERSIONES FCI]]-AL132,Tabla5[[#This Row],[INVERSIONES FCI]])</f>
        <v>3010985464.7182045</v>
      </c>
      <c r="AM133" s="5">
        <f>IF($B132&lt;=Tabla5[[#This Row],[INVERSIONES FCI]],+Tabla5[[#This Row],[INVERSIONES FCI]]-AM132,Tabla5[[#This Row],[INVERSIONES FCI]])</f>
        <v>3010985464.7182045</v>
      </c>
      <c r="AN133" s="5">
        <f>IF($B132&lt;=Tabla5[[#This Row],[INVERSIONES FCI]],+Tabla5[[#This Row],[INVERSIONES FCI]]-AN132,Tabla5[[#This Row],[INVERSIONES FCI]])</f>
        <v>3010985464.7182045</v>
      </c>
      <c r="AO133" s="5">
        <f>IF($B132&lt;=Tabla5[[#This Row],[INVERSIONES FCI]],+Tabla5[[#This Row],[INVERSIONES FCI]]-AO132,Tabla5[[#This Row],[INVERSIONES FCI]])</f>
        <v>3010985464.7182045</v>
      </c>
      <c r="AP133" s="5">
        <f>IF($B132&lt;=Tabla5[[#This Row],[INVERSIONES FCI]],+Tabla5[[#This Row],[INVERSIONES FCI]]-AP132,Tabla5[[#This Row],[INVERSIONES FCI]])</f>
        <v>3010985464.7182045</v>
      </c>
      <c r="AQ133" s="5">
        <f>IF($B132&lt;=Tabla5[[#This Row],[INVERSIONES FCI]],+Tabla5[[#This Row],[INVERSIONES FCI]]-AQ132,Tabla5[[#This Row],[INVERSIONES FCI]])</f>
        <v>3010985464.7182045</v>
      </c>
      <c r="AR133" s="5">
        <f>IF($B132&lt;=Tabla5[[#This Row],[INVERSIONES FCI]],+Tabla5[[#This Row],[INVERSIONES FCI]]-AR132,Tabla5[[#This Row],[INVERSIONES FCI]])</f>
        <v>3010985464.7182045</v>
      </c>
      <c r="AS133" s="5">
        <f>IF($B132&lt;=Tabla5[[#This Row],[INVERSIONES FCI]],+Tabla5[[#This Row],[INVERSIONES FCI]]-AS132,Tabla5[[#This Row],[INVERSIONES FCI]])</f>
        <v>3010985464.7182045</v>
      </c>
      <c r="AT133" s="5">
        <f>IF($B132&lt;=Tabla5[[#This Row],[INVERSIONES FCI]],+Tabla5[[#This Row],[INVERSIONES FCI]]-AT132,Tabla5[[#This Row],[INVERSIONES FCI]])</f>
        <v>3010985464.7182045</v>
      </c>
      <c r="AU133" s="5">
        <f>IF($B132&lt;=Tabla5[[#This Row],[INVERSIONES FCI]],+Tabla5[[#This Row],[INVERSIONES FCI]]-AU132,Tabla5[[#This Row],[INVERSIONES FCI]])</f>
        <v>3010985464.7182045</v>
      </c>
      <c r="AV133" s="5">
        <f>IF($B132&lt;=Tabla5[[#This Row],[INVERSIONES FCI]],+Tabla5[[#This Row],[INVERSIONES FCI]]-AV132,Tabla5[[#This Row],[INVERSIONES FCI]])</f>
        <v>3010985464.7182045</v>
      </c>
      <c r="AW133" s="5">
        <f>IF($B132&lt;=Tabla5[[#This Row],[INVERSIONES FCI]],+Tabla5[[#This Row],[INVERSIONES FCI]]-AW132,Tabla5[[#This Row],[INVERSIONES FCI]])</f>
        <v>3010985464.7182045</v>
      </c>
      <c r="AX133" s="5">
        <f>IF($B132&lt;=Tabla5[[#This Row],[INVERSIONES FCI]],+Tabla5[[#This Row],[INVERSIONES FCI]]-AX132,Tabla5[[#This Row],[INVERSIONES FCI]])</f>
        <v>3010985464.7182045</v>
      </c>
      <c r="AY133" s="5">
        <f>IF($B132&lt;=Tabla5[[#This Row],[INVERSIONES FCI]],+Tabla5[[#This Row],[INVERSIONES FCI]]-AY132,Tabla5[[#This Row],[INVERSIONES FCI]])</f>
        <v>3010985464.7182045</v>
      </c>
      <c r="AZ133" s="5">
        <f>IF($B132&lt;=Tabla5[[#This Row],[INVERSIONES FCI]],+Tabla5[[#This Row],[INVERSIONES FCI]]-AZ132,Tabla5[[#This Row],[INVERSIONES FCI]])</f>
        <v>3010985464.7182045</v>
      </c>
      <c r="BA133" s="5">
        <f>IF($B132&lt;=Tabla5[[#This Row],[INVERSIONES FCI]],+Tabla5[[#This Row],[INVERSIONES FCI]]-BA132,Tabla5[[#This Row],[INVERSIONES FCI]])</f>
        <v>3010985464.7182045</v>
      </c>
      <c r="BB133" s="5">
        <f>IF($B132&lt;=Tabla5[[#This Row],[INVERSIONES FCI]],+Tabla5[[#This Row],[INVERSIONES FCI]]-BB132,Tabla5[[#This Row],[INVERSIONES FCI]])</f>
        <v>3010985464.7182045</v>
      </c>
      <c r="BC133" s="5">
        <f>IF($B132&lt;=Tabla5[[#This Row],[INVERSIONES FCI]],+Tabla5[[#This Row],[INVERSIONES FCI]]-BC132,Tabla5[[#This Row],[INVERSIONES FCI]])</f>
        <v>3010985464.7182045</v>
      </c>
      <c r="BD133" s="5">
        <f>IF($B132&lt;=Tabla5[[#This Row],[INVERSIONES FCI]],+Tabla5[[#This Row],[INVERSIONES FCI]]-BD132,Tabla5[[#This Row],[INVERSIONES FCI]])</f>
        <v>3010985464.7182045</v>
      </c>
      <c r="BE133" s="5">
        <f>IF($B132&lt;=Tabla5[[#This Row],[INVERSIONES FCI]],+Tabla5[[#This Row],[INVERSIONES FCI]]-BE132,Tabla5[[#This Row],[INVERSIONES FCI]])</f>
        <v>3010985464.7182045</v>
      </c>
      <c r="BF133" s="5">
        <f>IF($B132&lt;=Tabla5[[#This Row],[INVERSIONES FCI]],+Tabla5[[#This Row],[INVERSIONES FCI]]-BF132,Tabla5[[#This Row],[INVERSIONES FCI]])</f>
        <v>3010985464.7182045</v>
      </c>
      <c r="BG133" s="5">
        <f>IF($B132&lt;=Tabla5[[#This Row],[INVERSIONES FCI]],+Tabla5[[#This Row],[INVERSIONES FCI]]-BG132,Tabla5[[#This Row],[INVERSIONES FCI]])</f>
        <v>3010985464.7182045</v>
      </c>
      <c r="BH133" s="5">
        <f>IF($B132&lt;=Tabla5[[#This Row],[INVERSIONES FCI]],+Tabla5[[#This Row],[INVERSIONES FCI]]-BH132,Tabla5[[#This Row],[INVERSIONES FCI]])</f>
        <v>3010985464.7182045</v>
      </c>
      <c r="BI133" s="5">
        <f>IF($B132&lt;=Tabla5[[#This Row],[INVERSIONES FCI]],+Tabla5[[#This Row],[INVERSIONES FCI]]-BI132,Tabla5[[#This Row],[INVERSIONES FCI]])</f>
        <v>3010985464.7182045</v>
      </c>
      <c r="BJ133" s="5">
        <f>IF($B132&lt;=Tabla5[[#This Row],[INVERSIONES FCI]],+Tabla5[[#This Row],[INVERSIONES FCI]]-BJ132,Tabla5[[#This Row],[INVERSIONES FCI]])</f>
        <v>3010985464.7182045</v>
      </c>
      <c r="BK133" s="5">
        <f>IF($B132&lt;=Tabla5[[#This Row],[INVERSIONES FCI]],+Tabla5[[#This Row],[INVERSIONES FCI]]-BK132,Tabla5[[#This Row],[INVERSIONES FCI]])</f>
        <v>3010985464.7182045</v>
      </c>
      <c r="BL133" s="5">
        <f>IF($B132&lt;=Tabla5[[#This Row],[INVERSIONES FCI]],+Tabla5[[#This Row],[INVERSIONES FCI]]-BL132,Tabla5[[#This Row],[INVERSIONES FCI]])</f>
        <v>3010985464.7182045</v>
      </c>
      <c r="BM133" s="5">
        <f>IF($B132&lt;=Tabla5[[#This Row],[INVERSIONES FCI]],+Tabla5[[#This Row],[INVERSIONES FCI]]-BM132,Tabla5[[#This Row],[INVERSIONES FCI]])</f>
        <v>3010985464.7182045</v>
      </c>
      <c r="BN133" s="5">
        <f>IF($B132&lt;=Tabla5[[#This Row],[INVERSIONES FCI]],+Tabla5[[#This Row],[INVERSIONES FCI]]-BN132,Tabla5[[#This Row],[INVERSIONES FCI]])</f>
        <v>3010985464.7182045</v>
      </c>
      <c r="BO133" s="5">
        <f>IF($B132&lt;=Tabla5[[#This Row],[INVERSIONES FCI]],+Tabla5[[#This Row],[INVERSIONES FCI]]-BO132,Tabla5[[#This Row],[INVERSIONES FCI]])</f>
        <v>3010985464.7182045</v>
      </c>
      <c r="BP133" s="5">
        <f>IF($B132&lt;=Tabla5[[#This Row],[INVERSIONES FCI]],+Tabla5[[#This Row],[INVERSIONES FCI]]-BP132,Tabla5[[#This Row],[INVERSIONES FCI]])</f>
        <v>3010985464.7182045</v>
      </c>
      <c r="BQ133" s="5">
        <f>IF($B132&lt;=Tabla5[[#This Row],[INVERSIONES FCI]],+Tabla5[[#This Row],[INVERSIONES FCI]]-BQ132,Tabla5[[#This Row],[INVERSIONES FCI]])</f>
        <v>3010985464.7182045</v>
      </c>
      <c r="BR133" s="5">
        <f>IF($B132&lt;=Tabla5[[#This Row],[INVERSIONES FCI]],+Tabla5[[#This Row],[INVERSIONES FCI]]-BR132,Tabla5[[#This Row],[INVERSIONES FCI]])</f>
        <v>3010985464.7182045</v>
      </c>
      <c r="BS133" s="5">
        <f>IF($B132&lt;=Tabla5[[#This Row],[INVERSIONES FCI]],+Tabla5[[#This Row],[INVERSIONES FCI]]-BS132,Tabla5[[#This Row],[INVERSIONES FCI]])</f>
        <v>3010985464.7182045</v>
      </c>
      <c r="BT133" s="5">
        <f>IF($B132&lt;=Tabla5[[#This Row],[INVERSIONES FCI]],+Tabla5[[#This Row],[INVERSIONES FCI]]-BT132,Tabla5[[#This Row],[INVERSIONES FCI]])</f>
        <v>3010985464.7182045</v>
      </c>
      <c r="BU133" s="5">
        <f>IF($B132&lt;=Tabla5[[#This Row],[INVERSIONES FCI]],+Tabla5[[#This Row],[INVERSIONES FCI]]-BU132,Tabla5[[#This Row],[INVERSIONES FCI]])</f>
        <v>3010985464.7182045</v>
      </c>
      <c r="BV133" s="5">
        <f>IF($B132&lt;=Tabla5[[#This Row],[INVERSIONES FCI]],+Tabla5[[#This Row],[INVERSIONES FCI]]-BV132,Tabla5[[#This Row],[INVERSIONES FCI]])</f>
        <v>3010985464.7182045</v>
      </c>
      <c r="BW133" s="5">
        <f>IF($B132&lt;=Tabla5[[#This Row],[INVERSIONES FCI]],+Tabla5[[#This Row],[INVERSIONES FCI]]-BW132,Tabla5[[#This Row],[INVERSIONES FCI]])</f>
        <v>3010985464.7182045</v>
      </c>
      <c r="BX133" s="5">
        <f>IF($B132&lt;=Tabla5[[#This Row],[INVERSIONES FCI]],+Tabla5[[#This Row],[INVERSIONES FCI]]-BX132,Tabla5[[#This Row],[INVERSIONES FCI]])</f>
        <v>3010985464.7182045</v>
      </c>
      <c r="BY133" s="5">
        <f>IF($B132&lt;=Tabla5[[#This Row],[INVERSIONES FCI]],+Tabla5[[#This Row],[INVERSIONES FCI]]-BY132,Tabla5[[#This Row],[INVERSIONES FCI]])</f>
        <v>3010985464.7182045</v>
      </c>
      <c r="BZ133" s="5">
        <f>IF($B132&lt;=Tabla5[[#This Row],[INVERSIONES FCI]],+Tabla5[[#This Row],[INVERSIONES FCI]]-BZ132,Tabla5[[#This Row],[INVERSIONES FCI]])</f>
        <v>3010985464.7182045</v>
      </c>
      <c r="CA133" s="5">
        <f>IF($B132&lt;=Tabla5[[#This Row],[INVERSIONES FCI]],+Tabla5[[#This Row],[INVERSIONES FCI]]-CA132,Tabla5[[#This Row],[INVERSIONES FCI]])</f>
        <v>3010985464.7182045</v>
      </c>
      <c r="CB133" s="5">
        <f>IF($B132&lt;=Tabla5[[#This Row],[INVERSIONES FCI]],+Tabla5[[#This Row],[INVERSIONES FCI]]-CB132,Tabla5[[#This Row],[INVERSIONES FCI]])</f>
        <v>3010985464.7182045</v>
      </c>
      <c r="CC133" s="5">
        <f>IF($B132&lt;=Tabla5[[#This Row],[INVERSIONES FCI]],+Tabla5[[#This Row],[INVERSIONES FCI]]-CC132,Tabla5[[#This Row],[INVERSIONES FCI]])</f>
        <v>3010985464.7182045</v>
      </c>
      <c r="CD133" s="5">
        <f>IF($B132&lt;=Tabla5[[#This Row],[INVERSIONES FCI]],+Tabla5[[#This Row],[INVERSIONES FCI]]-CD132,Tabla5[[#This Row],[INVERSIONES FCI]])</f>
        <v>3010985464.7182045</v>
      </c>
      <c r="CE133" s="5">
        <f>IF($B132&lt;=Tabla5[[#This Row],[INVERSIONES FCI]],+Tabla5[[#This Row],[INVERSIONES FCI]]-CE132,Tabla5[[#This Row],[INVERSIONES FCI]])</f>
        <v>3010985464.7182045</v>
      </c>
      <c r="CF133" s="5">
        <f>IF($B132&lt;=Tabla5[[#This Row],[INVERSIONES FCI]],+Tabla5[[#This Row],[INVERSIONES FCI]]-CF132,Tabla5[[#This Row],[INVERSIONES FCI]])</f>
        <v>3010985464.7182045</v>
      </c>
      <c r="CG133" s="5">
        <f>IF($B132&lt;=Tabla5[[#This Row],[INVERSIONES FCI]],+Tabla5[[#This Row],[INVERSIONES FCI]]-CG132,Tabla5[[#This Row],[INVERSIONES FCI]])</f>
        <v>3010985464.7182045</v>
      </c>
      <c r="CH133" s="5">
        <f>IF($B132&lt;=Tabla5[[#This Row],[INVERSIONES FCI]],+Tabla5[[#This Row],[INVERSIONES FCI]]-CH132,Tabla5[[#This Row],[INVERSIONES FCI]])</f>
        <v>3010985464.7182045</v>
      </c>
      <c r="CI133" s="5">
        <f>IF($B132&lt;=Tabla5[[#This Row],[INVERSIONES FCI]],+Tabla5[[#This Row],[INVERSIONES FCI]]-CI132,Tabla5[[#This Row],[INVERSIONES FCI]])</f>
        <v>3010985464.7182045</v>
      </c>
      <c r="CJ133" s="5">
        <f>IF($B132&lt;=Tabla5[[#This Row],[INVERSIONES FCI]],+Tabla5[[#This Row],[INVERSIONES FCI]]-CJ132,Tabla5[[#This Row],[INVERSIONES FCI]])</f>
        <v>3010985464.7182045</v>
      </c>
      <c r="CK133" s="5">
        <f>IF($B132&lt;=Tabla5[[#This Row],[INVERSIONES FCI]],+Tabla5[[#This Row],[INVERSIONES FCI]]-CK132,Tabla5[[#This Row],[INVERSIONES FCI]])</f>
        <v>3010985464.7182045</v>
      </c>
      <c r="CL133" s="5">
        <f>IF($B132&lt;=Tabla5[[#This Row],[INVERSIONES FCI]],+Tabla5[[#This Row],[INVERSIONES FCI]]-CL132,Tabla5[[#This Row],[INVERSIONES FCI]])</f>
        <v>3010985464.7182045</v>
      </c>
      <c r="CM133" s="5">
        <f>IF($B132&lt;=Tabla5[[#This Row],[INVERSIONES FCI]],+Tabla5[[#This Row],[INVERSIONES FCI]]-CM132,Tabla5[[#This Row],[INVERSIONES FCI]])</f>
        <v>3010985464.7182045</v>
      </c>
      <c r="CN133" s="5">
        <f>IF($B132&lt;=Tabla5[[#This Row],[INVERSIONES FCI]],+Tabla5[[#This Row],[INVERSIONES FCI]]-CN132,Tabla5[[#This Row],[INVERSIONES FCI]])</f>
        <v>3010985464.7182045</v>
      </c>
      <c r="CO133" s="5">
        <f>IF($B132&lt;=Tabla5[[#This Row],[INVERSIONES FCI]],+Tabla5[[#This Row],[INVERSIONES FCI]]-CO132,Tabla5[[#This Row],[INVERSIONES FCI]])</f>
        <v>3010985464.7182045</v>
      </c>
      <c r="CP133" s="5">
        <f>IF($B132&lt;=Tabla5[[#This Row],[INVERSIONES FCI]],+Tabla5[[#This Row],[INVERSIONES FCI]]-CP132,Tabla5[[#This Row],[INVERSIONES FCI]])</f>
        <v>3010985464.7182045</v>
      </c>
      <c r="CQ133" s="5">
        <f>IF($B132&lt;=Tabla5[[#This Row],[INVERSIONES FCI]],+Tabla5[[#This Row],[INVERSIONES FCI]]-CQ132,Tabla5[[#This Row],[INVERSIONES FCI]])</f>
        <v>3010985464.7182045</v>
      </c>
      <c r="CR133" s="5">
        <f>IF($B132&lt;=Tabla5[[#This Row],[INVERSIONES FCI]],+Tabla5[[#This Row],[INVERSIONES FCI]]-CR132,Tabla5[[#This Row],[INVERSIONES FCI]])</f>
        <v>3010985464.7182045</v>
      </c>
      <c r="CS133" s="5">
        <f>IF($B132&lt;=Tabla5[[#This Row],[INVERSIONES FCI]],+Tabla5[[#This Row],[INVERSIONES FCI]]-CS132,Tabla5[[#This Row],[INVERSIONES FCI]])</f>
        <v>3010985464.7182045</v>
      </c>
      <c r="CT133" s="5">
        <f>IF($B132&lt;=Tabla5[[#This Row],[INVERSIONES FCI]],+Tabla5[[#This Row],[INVERSIONES FCI]]-CT132,Tabla5[[#This Row],[INVERSIONES FCI]])</f>
        <v>3010985464.7182045</v>
      </c>
      <c r="CU133" s="5">
        <f>IF($B132&lt;=Tabla5[[#This Row],[INVERSIONES FCI]],+Tabla5[[#This Row],[INVERSIONES FCI]]-CU132,Tabla5[[#This Row],[INVERSIONES FCI]])</f>
        <v>3010985464.7182045</v>
      </c>
      <c r="CV133" s="5">
        <f>IF($B132&lt;=Tabla5[[#This Row],[INVERSIONES FCI]],+Tabla5[[#This Row],[INVERSIONES FCI]]-CV132,Tabla5[[#This Row],[INVERSIONES FCI]])</f>
        <v>3010985464.7182045</v>
      </c>
      <c r="CW133" s="5">
        <f>IF($B132&lt;=Tabla5[[#This Row],[INVERSIONES FCI]],+Tabla5[[#This Row],[INVERSIONES FCI]]-CW132,Tabla5[[#This Row],[INVERSIONES FCI]])</f>
        <v>3010985464.7182045</v>
      </c>
      <c r="CX133" s="5">
        <f>IF($B132&lt;=Tabla5[[#This Row],[INVERSIONES FCI]],+Tabla5[[#This Row],[INVERSIONES FCI]]-CX132,Tabla5[[#This Row],[INVERSIONES FCI]])</f>
        <v>3010985464.7182045</v>
      </c>
      <c r="CY133" s="5">
        <f>IF($B132&lt;=Tabla5[[#This Row],[INVERSIONES FCI]],+Tabla5[[#This Row],[INVERSIONES FCI]]-CY132,Tabla5[[#This Row],[INVERSIONES FCI]])</f>
        <v>3010985464.7182045</v>
      </c>
      <c r="CZ133" s="5">
        <f>IF($B132&lt;=Tabla5[[#This Row],[INVERSIONES FCI]],+Tabla5[[#This Row],[INVERSIONES FCI]]-CZ132,Tabla5[[#This Row],[INVERSIONES FCI]])</f>
        <v>3010985464.7182045</v>
      </c>
      <c r="DA133" s="5">
        <f>IF($B132&lt;=Tabla5[[#This Row],[INVERSIONES FCI]],+Tabla5[[#This Row],[INVERSIONES FCI]]-DA132,Tabla5[[#This Row],[INVERSIONES FCI]])</f>
        <v>3010985464.7182045</v>
      </c>
      <c r="DB133" s="5">
        <f>IF($B132&lt;=Tabla5[[#This Row],[INVERSIONES FCI]],+Tabla5[[#This Row],[INVERSIONES FCI]]-DB132,Tabla5[[#This Row],[INVERSIONES FCI]])</f>
        <v>3010985464.7182045</v>
      </c>
      <c r="DC133" s="5">
        <f>IF($B132&lt;=Tabla5[[#This Row],[INVERSIONES FCI]],+Tabla5[[#This Row],[INVERSIONES FCI]]-DC132,Tabla5[[#This Row],[INVERSIONES FCI]])</f>
        <v>3010985464.7182045</v>
      </c>
      <c r="DD133" s="5">
        <f>IF($B132&lt;=Tabla5[[#This Row],[INVERSIONES FCI]],+Tabla5[[#This Row],[INVERSIONES FCI]]-DD132,Tabla5[[#This Row],[INVERSIONES FCI]])</f>
        <v>3010985464.7182045</v>
      </c>
      <c r="DE133" s="5">
        <f>IF($B132&lt;=Tabla5[[#This Row],[INVERSIONES FCI]],+Tabla5[[#This Row],[INVERSIONES FCI]]-DE132,Tabla5[[#This Row],[INVERSIONES FCI]])</f>
        <v>3010985464.7182045</v>
      </c>
      <c r="DF133" s="5">
        <f>IF($B132&lt;=Tabla5[[#This Row],[INVERSIONES FCI]],+Tabla5[[#This Row],[INVERSIONES FCI]]-DF132,Tabla5[[#This Row],[INVERSIONES FCI]])</f>
        <v>3010985464.7182045</v>
      </c>
      <c r="DG133" s="5">
        <f>IF($B132&lt;=Tabla5[[#This Row],[INVERSIONES FCI]],+Tabla5[[#This Row],[INVERSIONES FCI]]-DG132,Tabla5[[#This Row],[INVERSIONES FCI]])</f>
        <v>3010985464.7182045</v>
      </c>
      <c r="DH133" s="5">
        <f>IF($B132&lt;=Tabla5[[#This Row],[INVERSIONES FCI]],+Tabla5[[#This Row],[INVERSIONES FCI]]-DH132,Tabla5[[#This Row],[INVERSIONES FCI]])</f>
        <v>3010985464.7182045</v>
      </c>
      <c r="DI133" s="5">
        <f>IF($B132&lt;=Tabla5[[#This Row],[INVERSIONES FCI]],+Tabla5[[#This Row],[INVERSIONES FCI]]-DI132,Tabla5[[#This Row],[INVERSIONES FCI]])</f>
        <v>3010985464.7182045</v>
      </c>
      <c r="DJ133" s="5">
        <f>IF($B132&lt;=Tabla5[[#This Row],[INVERSIONES FCI]],+Tabla5[[#This Row],[INVERSIONES FCI]]-DJ132,Tabla5[[#This Row],[INVERSIONES FCI]])</f>
        <v>3010985464.7182045</v>
      </c>
      <c r="DK133" s="5">
        <f>IF($B132&lt;=Tabla5[[#This Row],[INVERSIONES FCI]],+Tabla5[[#This Row],[INVERSIONES FCI]]-DK132,Tabla5[[#This Row],[INVERSIONES FCI]])</f>
        <v>3010985464.7182045</v>
      </c>
      <c r="DL133" s="5"/>
      <c r="DM133" s="5"/>
      <c r="DN133" s="5"/>
      <c r="DO133" s="5"/>
      <c r="DP133" s="5"/>
      <c r="DQ133" s="5"/>
    </row>
    <row r="134" spans="1:121" ht="14.4">
      <c r="A134" s="12" t="s">
        <v>133</v>
      </c>
      <c r="B134" s="5">
        <f>HLOOKUP($A134,ESCENARIO[#All],7,FALSE)</f>
        <v>23118458278.116692</v>
      </c>
      <c r="C134" s="5">
        <f>IF($B133&lt;=Tabla5[[#This Row],[INVERSIONES FCI]],+Tabla5[[#This Row],[INVERSIONES FCI]]-C133,Tabla5[[#This Row],[INVERSIONES FCI]])</f>
        <v>20107472813.398487</v>
      </c>
      <c r="D134" s="5">
        <f>IF($B133&lt;=Tabla5[[#This Row],[INVERSIONES FCI]],+Tabla5[[#This Row],[INVERSIONES FCI]]-D133,Tabla5[[#This Row],[INVERSIONES FCI]])</f>
        <v>20107472813.398487</v>
      </c>
      <c r="E134" s="5">
        <f>IF($B133&lt;=Tabla5[[#This Row],[INVERSIONES FCI]],+Tabla5[[#This Row],[INVERSIONES FCI]]-E133,Tabla5[[#This Row],[INVERSIONES FCI]])</f>
        <v>20107472813.398487</v>
      </c>
      <c r="F134" s="5">
        <f>IF($B133&lt;=Tabla5[[#This Row],[INVERSIONES FCI]],+Tabla5[[#This Row],[INVERSIONES FCI]]-F133,Tabla5[[#This Row],[INVERSIONES FCI]])</f>
        <v>20107472813.398487</v>
      </c>
      <c r="G134" s="5">
        <f>IF($B133&lt;=Tabla5[[#This Row],[INVERSIONES FCI]],+Tabla5[[#This Row],[INVERSIONES FCI]]-G133,Tabla5[[#This Row],[INVERSIONES FCI]])</f>
        <v>20107472813.398487</v>
      </c>
      <c r="H134" s="5">
        <f>IF($B133&lt;=Tabla5[[#This Row],[INVERSIONES FCI]],+Tabla5[[#This Row],[INVERSIONES FCI]]-H133,Tabla5[[#This Row],[INVERSIONES FCI]])</f>
        <v>20107472813.398487</v>
      </c>
      <c r="I134" s="5">
        <f>IF($B133&lt;=Tabla5[[#This Row],[INVERSIONES FCI]],+Tabla5[[#This Row],[INVERSIONES FCI]]-I133,Tabla5[[#This Row],[INVERSIONES FCI]])</f>
        <v>20107472813.398487</v>
      </c>
      <c r="J134" s="5">
        <f>IF($B133&lt;=Tabla5[[#This Row],[INVERSIONES FCI]],+Tabla5[[#This Row],[INVERSIONES FCI]]-J133,Tabla5[[#This Row],[INVERSIONES FCI]])</f>
        <v>20107472813.398487</v>
      </c>
      <c r="K134" s="5">
        <f>IF($B133&lt;=Tabla5[[#This Row],[INVERSIONES FCI]],+Tabla5[[#This Row],[INVERSIONES FCI]]-K133,Tabla5[[#This Row],[INVERSIONES FCI]])</f>
        <v>20107472813.398487</v>
      </c>
      <c r="L134" s="5">
        <f>IF($B133&lt;=Tabla5[[#This Row],[INVERSIONES FCI]],+Tabla5[[#This Row],[INVERSIONES FCI]]-L133,Tabla5[[#This Row],[INVERSIONES FCI]])</f>
        <v>20107472813.398487</v>
      </c>
      <c r="M134" s="5">
        <f>IF($B133&lt;=Tabla5[[#This Row],[INVERSIONES FCI]],+Tabla5[[#This Row],[INVERSIONES FCI]]-M133,Tabla5[[#This Row],[INVERSIONES FCI]])</f>
        <v>20107472813.398487</v>
      </c>
      <c r="N134" s="5">
        <f>IF($B133&lt;=Tabla5[[#This Row],[INVERSIONES FCI]],+Tabla5[[#This Row],[INVERSIONES FCI]]-N133,Tabla5[[#This Row],[INVERSIONES FCI]])</f>
        <v>20107472813.398487</v>
      </c>
      <c r="O134" s="5">
        <f>IF($B133&lt;=Tabla5[[#This Row],[INVERSIONES FCI]],+Tabla5[[#This Row],[INVERSIONES FCI]]-O133,Tabla5[[#This Row],[INVERSIONES FCI]])</f>
        <v>20107472813.398487</v>
      </c>
      <c r="P134" s="5">
        <f>IF($B133&lt;=Tabla5[[#This Row],[INVERSIONES FCI]],+Tabla5[[#This Row],[INVERSIONES FCI]]-P133,Tabla5[[#This Row],[INVERSIONES FCI]])</f>
        <v>20107472813.398487</v>
      </c>
      <c r="Q134" s="5">
        <f>IF($B133&lt;=Tabla5[[#This Row],[INVERSIONES FCI]],+Tabla5[[#This Row],[INVERSIONES FCI]]-Q133,Tabla5[[#This Row],[INVERSIONES FCI]])</f>
        <v>20107472813.398487</v>
      </c>
      <c r="R134" s="5">
        <f>IF($B133&lt;=Tabla5[[#This Row],[INVERSIONES FCI]],+Tabla5[[#This Row],[INVERSIONES FCI]]-R133,Tabla5[[#This Row],[INVERSIONES FCI]])</f>
        <v>20107472813.398487</v>
      </c>
      <c r="S134" s="5">
        <f>IF($B133&lt;=Tabla5[[#This Row],[INVERSIONES FCI]],+Tabla5[[#This Row],[INVERSIONES FCI]]-S133,Tabla5[[#This Row],[INVERSIONES FCI]])</f>
        <v>20107472813.398487</v>
      </c>
      <c r="T134" s="5">
        <f>IF($B133&lt;=Tabla5[[#This Row],[INVERSIONES FCI]],+Tabla5[[#This Row],[INVERSIONES FCI]]-T133,Tabla5[[#This Row],[INVERSIONES FCI]])</f>
        <v>20107472813.398487</v>
      </c>
      <c r="U134" s="5">
        <f>IF($B133&lt;=Tabla5[[#This Row],[INVERSIONES FCI]],+Tabla5[[#This Row],[INVERSIONES FCI]]-U133,Tabla5[[#This Row],[INVERSIONES FCI]])</f>
        <v>20107472813.398487</v>
      </c>
      <c r="V134" s="5">
        <f>IF($B133&lt;=Tabla5[[#This Row],[INVERSIONES FCI]],+Tabla5[[#This Row],[INVERSIONES FCI]]-V133,Tabla5[[#This Row],[INVERSIONES FCI]])</f>
        <v>20107472813.398487</v>
      </c>
      <c r="W134" s="5">
        <f>IF($B133&lt;=Tabla5[[#This Row],[INVERSIONES FCI]],+Tabla5[[#This Row],[INVERSIONES FCI]]-W133,Tabla5[[#This Row],[INVERSIONES FCI]])</f>
        <v>20107472813.398487</v>
      </c>
      <c r="X134" s="5">
        <f>IF($B133&lt;=Tabla5[[#This Row],[INVERSIONES FCI]],+Tabla5[[#This Row],[INVERSIONES FCI]]-X133,Tabla5[[#This Row],[INVERSIONES FCI]])</f>
        <v>20107472813.398487</v>
      </c>
      <c r="Y134" s="5">
        <f>IF($B133&lt;=Tabla5[[#This Row],[INVERSIONES FCI]],+Tabla5[[#This Row],[INVERSIONES FCI]]-Y133,Tabla5[[#This Row],[INVERSIONES FCI]])</f>
        <v>20107472813.398487</v>
      </c>
      <c r="Z134" s="5">
        <f>IF($B133&lt;=Tabla5[[#This Row],[INVERSIONES FCI]],+Tabla5[[#This Row],[INVERSIONES FCI]]-Z133,Tabla5[[#This Row],[INVERSIONES FCI]])</f>
        <v>20107472813.398487</v>
      </c>
      <c r="AA134" s="5">
        <f>IF($B133&lt;=Tabla5[[#This Row],[INVERSIONES FCI]],+Tabla5[[#This Row],[INVERSIONES FCI]]-AA133,Tabla5[[#This Row],[INVERSIONES FCI]])</f>
        <v>20107472813.398487</v>
      </c>
      <c r="AB134" s="5">
        <f>IF($B133&lt;=Tabla5[[#This Row],[INVERSIONES FCI]],+Tabla5[[#This Row],[INVERSIONES FCI]]-AB133,Tabla5[[#This Row],[INVERSIONES FCI]])</f>
        <v>20107472813.398487</v>
      </c>
      <c r="AC134" s="5">
        <f>IF($B133&lt;=Tabla5[[#This Row],[INVERSIONES FCI]],+Tabla5[[#This Row],[INVERSIONES FCI]]-AC133,Tabla5[[#This Row],[INVERSIONES FCI]])</f>
        <v>20107472813.398487</v>
      </c>
      <c r="AD134" s="5">
        <f>IF($B133&lt;=Tabla5[[#This Row],[INVERSIONES FCI]],+Tabla5[[#This Row],[INVERSIONES FCI]]-AD133,Tabla5[[#This Row],[INVERSIONES FCI]])</f>
        <v>20107472813.398487</v>
      </c>
      <c r="AE134" s="5">
        <f>IF($B133&lt;=Tabla5[[#This Row],[INVERSIONES FCI]],+Tabla5[[#This Row],[INVERSIONES FCI]]-AE133,Tabla5[[#This Row],[INVERSIONES FCI]])</f>
        <v>20107472813.398487</v>
      </c>
      <c r="AF134" s="5">
        <f>IF($B133&lt;=Tabla5[[#This Row],[INVERSIONES FCI]],+Tabla5[[#This Row],[INVERSIONES FCI]]-AF133,Tabla5[[#This Row],[INVERSIONES FCI]])</f>
        <v>20107472813.398487</v>
      </c>
      <c r="AG134" s="5">
        <f>IF($B133&lt;=Tabla5[[#This Row],[INVERSIONES FCI]],+Tabla5[[#This Row],[INVERSIONES FCI]]-AG133,Tabla5[[#This Row],[INVERSIONES FCI]])</f>
        <v>20107472813.398487</v>
      </c>
      <c r="AH134" s="5">
        <f>IF($B133&lt;=Tabla5[[#This Row],[INVERSIONES FCI]],+Tabla5[[#This Row],[INVERSIONES FCI]]-AH133,Tabla5[[#This Row],[INVERSIONES FCI]])</f>
        <v>20107472813.398487</v>
      </c>
      <c r="AI134" s="5">
        <f>IF($B133&lt;=Tabla5[[#This Row],[INVERSIONES FCI]],+Tabla5[[#This Row],[INVERSIONES FCI]]-AI133,Tabla5[[#This Row],[INVERSIONES FCI]])</f>
        <v>20107472813.398487</v>
      </c>
      <c r="AJ134" s="5">
        <f>IF($B133&lt;=Tabla5[[#This Row],[INVERSIONES FCI]],+Tabla5[[#This Row],[INVERSIONES FCI]]-AJ133,Tabla5[[#This Row],[INVERSIONES FCI]])</f>
        <v>20107472813.398487</v>
      </c>
      <c r="AK134" s="5">
        <f>IF($B133&lt;=Tabla5[[#This Row],[INVERSIONES FCI]],+Tabla5[[#This Row],[INVERSIONES FCI]]-AK133,Tabla5[[#This Row],[INVERSIONES FCI]])</f>
        <v>20107472813.398487</v>
      </c>
      <c r="AL134" s="5">
        <f>IF($B133&lt;=Tabla5[[#This Row],[INVERSIONES FCI]],+Tabla5[[#This Row],[INVERSIONES FCI]]-AL133,Tabla5[[#This Row],[INVERSIONES FCI]])</f>
        <v>20107472813.398487</v>
      </c>
      <c r="AM134" s="5">
        <f>IF($B133&lt;=Tabla5[[#This Row],[INVERSIONES FCI]],+Tabla5[[#This Row],[INVERSIONES FCI]]-AM133,Tabla5[[#This Row],[INVERSIONES FCI]])</f>
        <v>20107472813.398487</v>
      </c>
      <c r="AN134" s="5">
        <f>IF($B133&lt;=Tabla5[[#This Row],[INVERSIONES FCI]],+Tabla5[[#This Row],[INVERSIONES FCI]]-AN133,Tabla5[[#This Row],[INVERSIONES FCI]])</f>
        <v>20107472813.398487</v>
      </c>
      <c r="AO134" s="5">
        <f>IF($B133&lt;=Tabla5[[#This Row],[INVERSIONES FCI]],+Tabla5[[#This Row],[INVERSIONES FCI]]-AO133,Tabla5[[#This Row],[INVERSIONES FCI]])</f>
        <v>20107472813.398487</v>
      </c>
      <c r="AP134" s="5">
        <f>IF($B133&lt;=Tabla5[[#This Row],[INVERSIONES FCI]],+Tabla5[[#This Row],[INVERSIONES FCI]]-AP133,Tabla5[[#This Row],[INVERSIONES FCI]])</f>
        <v>20107472813.398487</v>
      </c>
      <c r="AQ134" s="5">
        <f>IF($B133&lt;=Tabla5[[#This Row],[INVERSIONES FCI]],+Tabla5[[#This Row],[INVERSIONES FCI]]-AQ133,Tabla5[[#This Row],[INVERSIONES FCI]])</f>
        <v>20107472813.398487</v>
      </c>
      <c r="AR134" s="5">
        <f>IF($B133&lt;=Tabla5[[#This Row],[INVERSIONES FCI]],+Tabla5[[#This Row],[INVERSIONES FCI]]-AR133,Tabla5[[#This Row],[INVERSIONES FCI]])</f>
        <v>20107472813.398487</v>
      </c>
      <c r="AS134" s="5">
        <f>IF($B133&lt;=Tabla5[[#This Row],[INVERSIONES FCI]],+Tabla5[[#This Row],[INVERSIONES FCI]]-AS133,Tabla5[[#This Row],[INVERSIONES FCI]])</f>
        <v>20107472813.398487</v>
      </c>
      <c r="AT134" s="5">
        <f>IF($B133&lt;=Tabla5[[#This Row],[INVERSIONES FCI]],+Tabla5[[#This Row],[INVERSIONES FCI]]-AT133,Tabla5[[#This Row],[INVERSIONES FCI]])</f>
        <v>20107472813.398487</v>
      </c>
      <c r="AU134" s="5">
        <f>IF($B133&lt;=Tabla5[[#This Row],[INVERSIONES FCI]],+Tabla5[[#This Row],[INVERSIONES FCI]]-AU133,Tabla5[[#This Row],[INVERSIONES FCI]])</f>
        <v>20107472813.398487</v>
      </c>
      <c r="AV134" s="5">
        <f>IF($B133&lt;=Tabla5[[#This Row],[INVERSIONES FCI]],+Tabla5[[#This Row],[INVERSIONES FCI]]-AV133,Tabla5[[#This Row],[INVERSIONES FCI]])</f>
        <v>20107472813.398487</v>
      </c>
      <c r="AW134" s="5">
        <f>IF($B133&lt;=Tabla5[[#This Row],[INVERSIONES FCI]],+Tabla5[[#This Row],[INVERSIONES FCI]]-AW133,Tabla5[[#This Row],[INVERSIONES FCI]])</f>
        <v>20107472813.398487</v>
      </c>
      <c r="AX134" s="5">
        <f>IF($B133&lt;=Tabla5[[#This Row],[INVERSIONES FCI]],+Tabla5[[#This Row],[INVERSIONES FCI]]-AX133,Tabla5[[#This Row],[INVERSIONES FCI]])</f>
        <v>20107472813.398487</v>
      </c>
      <c r="AY134" s="5">
        <f>IF($B133&lt;=Tabla5[[#This Row],[INVERSIONES FCI]],+Tabla5[[#This Row],[INVERSIONES FCI]]-AY133,Tabla5[[#This Row],[INVERSIONES FCI]])</f>
        <v>20107472813.398487</v>
      </c>
      <c r="AZ134" s="5">
        <f>IF($B133&lt;=Tabla5[[#This Row],[INVERSIONES FCI]],+Tabla5[[#This Row],[INVERSIONES FCI]]-AZ133,Tabla5[[#This Row],[INVERSIONES FCI]])</f>
        <v>20107472813.398487</v>
      </c>
      <c r="BA134" s="5">
        <f>IF($B133&lt;=Tabla5[[#This Row],[INVERSIONES FCI]],+Tabla5[[#This Row],[INVERSIONES FCI]]-BA133,Tabla5[[#This Row],[INVERSIONES FCI]])</f>
        <v>20107472813.398487</v>
      </c>
      <c r="BB134" s="5">
        <f>IF($B133&lt;=Tabla5[[#This Row],[INVERSIONES FCI]],+Tabla5[[#This Row],[INVERSIONES FCI]]-BB133,Tabla5[[#This Row],[INVERSIONES FCI]])</f>
        <v>20107472813.398487</v>
      </c>
      <c r="BC134" s="5">
        <f>IF($B133&lt;=Tabla5[[#This Row],[INVERSIONES FCI]],+Tabla5[[#This Row],[INVERSIONES FCI]]-BC133,Tabla5[[#This Row],[INVERSIONES FCI]])</f>
        <v>20107472813.398487</v>
      </c>
      <c r="BD134" s="5">
        <f>IF($B133&lt;=Tabla5[[#This Row],[INVERSIONES FCI]],+Tabla5[[#This Row],[INVERSIONES FCI]]-BD133,Tabla5[[#This Row],[INVERSIONES FCI]])</f>
        <v>20107472813.398487</v>
      </c>
      <c r="BE134" s="5">
        <f>IF($B133&lt;=Tabla5[[#This Row],[INVERSIONES FCI]],+Tabla5[[#This Row],[INVERSIONES FCI]]-BE133,Tabla5[[#This Row],[INVERSIONES FCI]])</f>
        <v>20107472813.398487</v>
      </c>
      <c r="BF134" s="5">
        <f>IF($B133&lt;=Tabla5[[#This Row],[INVERSIONES FCI]],+Tabla5[[#This Row],[INVERSIONES FCI]]-BF133,Tabla5[[#This Row],[INVERSIONES FCI]])</f>
        <v>20107472813.398487</v>
      </c>
      <c r="BG134" s="5">
        <f>IF($B133&lt;=Tabla5[[#This Row],[INVERSIONES FCI]],+Tabla5[[#This Row],[INVERSIONES FCI]]-BG133,Tabla5[[#This Row],[INVERSIONES FCI]])</f>
        <v>20107472813.398487</v>
      </c>
      <c r="BH134" s="5">
        <f>IF($B133&lt;=Tabla5[[#This Row],[INVERSIONES FCI]],+Tabla5[[#This Row],[INVERSIONES FCI]]-BH133,Tabla5[[#This Row],[INVERSIONES FCI]])</f>
        <v>20107472813.398487</v>
      </c>
      <c r="BI134" s="5">
        <f>IF($B133&lt;=Tabla5[[#This Row],[INVERSIONES FCI]],+Tabla5[[#This Row],[INVERSIONES FCI]]-BI133,Tabla5[[#This Row],[INVERSIONES FCI]])</f>
        <v>20107472813.398487</v>
      </c>
      <c r="BJ134" s="5">
        <f>IF($B133&lt;=Tabla5[[#This Row],[INVERSIONES FCI]],+Tabla5[[#This Row],[INVERSIONES FCI]]-BJ133,Tabla5[[#This Row],[INVERSIONES FCI]])</f>
        <v>20107472813.398487</v>
      </c>
      <c r="BK134" s="5">
        <f>IF($B133&lt;=Tabla5[[#This Row],[INVERSIONES FCI]],+Tabla5[[#This Row],[INVERSIONES FCI]]-BK133,Tabla5[[#This Row],[INVERSIONES FCI]])</f>
        <v>20107472813.398487</v>
      </c>
      <c r="BL134" s="5">
        <f>IF($B133&lt;=Tabla5[[#This Row],[INVERSIONES FCI]],+Tabla5[[#This Row],[INVERSIONES FCI]]-BL133,Tabla5[[#This Row],[INVERSIONES FCI]])</f>
        <v>20107472813.398487</v>
      </c>
      <c r="BM134" s="5">
        <f>IF($B133&lt;=Tabla5[[#This Row],[INVERSIONES FCI]],+Tabla5[[#This Row],[INVERSIONES FCI]]-BM133,Tabla5[[#This Row],[INVERSIONES FCI]])</f>
        <v>20107472813.398487</v>
      </c>
      <c r="BN134" s="5">
        <f>IF($B133&lt;=Tabla5[[#This Row],[INVERSIONES FCI]],+Tabla5[[#This Row],[INVERSIONES FCI]]-BN133,Tabla5[[#This Row],[INVERSIONES FCI]])</f>
        <v>20107472813.398487</v>
      </c>
      <c r="BO134" s="5">
        <f>IF($B133&lt;=Tabla5[[#This Row],[INVERSIONES FCI]],+Tabla5[[#This Row],[INVERSIONES FCI]]-BO133,Tabla5[[#This Row],[INVERSIONES FCI]])</f>
        <v>20107472813.398487</v>
      </c>
      <c r="BP134" s="5">
        <f>IF($B133&lt;=Tabla5[[#This Row],[INVERSIONES FCI]],+Tabla5[[#This Row],[INVERSIONES FCI]]-BP133,Tabla5[[#This Row],[INVERSIONES FCI]])</f>
        <v>20107472813.398487</v>
      </c>
      <c r="BQ134" s="5">
        <f>IF($B133&lt;=Tabla5[[#This Row],[INVERSIONES FCI]],+Tabla5[[#This Row],[INVERSIONES FCI]]-BQ133,Tabla5[[#This Row],[INVERSIONES FCI]])</f>
        <v>20107472813.398487</v>
      </c>
      <c r="BR134" s="5">
        <f>IF($B133&lt;=Tabla5[[#This Row],[INVERSIONES FCI]],+Tabla5[[#This Row],[INVERSIONES FCI]]-BR133,Tabla5[[#This Row],[INVERSIONES FCI]])</f>
        <v>20107472813.398487</v>
      </c>
      <c r="BS134" s="5">
        <f>IF($B133&lt;=Tabla5[[#This Row],[INVERSIONES FCI]],+Tabla5[[#This Row],[INVERSIONES FCI]]-BS133,Tabla5[[#This Row],[INVERSIONES FCI]])</f>
        <v>20107472813.398487</v>
      </c>
      <c r="BT134" s="5">
        <f>IF($B133&lt;=Tabla5[[#This Row],[INVERSIONES FCI]],+Tabla5[[#This Row],[INVERSIONES FCI]]-BT133,Tabla5[[#This Row],[INVERSIONES FCI]])</f>
        <v>20107472813.398487</v>
      </c>
      <c r="BU134" s="5">
        <f>IF($B133&lt;=Tabla5[[#This Row],[INVERSIONES FCI]],+Tabla5[[#This Row],[INVERSIONES FCI]]-BU133,Tabla5[[#This Row],[INVERSIONES FCI]])</f>
        <v>20107472813.398487</v>
      </c>
      <c r="BV134" s="5">
        <f>IF($B133&lt;=Tabla5[[#This Row],[INVERSIONES FCI]],+Tabla5[[#This Row],[INVERSIONES FCI]]-BV133,Tabla5[[#This Row],[INVERSIONES FCI]])</f>
        <v>20107472813.398487</v>
      </c>
      <c r="BW134" s="5">
        <f>IF($B133&lt;=Tabla5[[#This Row],[INVERSIONES FCI]],+Tabla5[[#This Row],[INVERSIONES FCI]]-BW133,Tabla5[[#This Row],[INVERSIONES FCI]])</f>
        <v>20107472813.398487</v>
      </c>
      <c r="BX134" s="5">
        <f>IF($B133&lt;=Tabla5[[#This Row],[INVERSIONES FCI]],+Tabla5[[#This Row],[INVERSIONES FCI]]-BX133,Tabla5[[#This Row],[INVERSIONES FCI]])</f>
        <v>20107472813.398487</v>
      </c>
      <c r="BY134" s="5">
        <f>IF($B133&lt;=Tabla5[[#This Row],[INVERSIONES FCI]],+Tabla5[[#This Row],[INVERSIONES FCI]]-BY133,Tabla5[[#This Row],[INVERSIONES FCI]])</f>
        <v>20107472813.398487</v>
      </c>
      <c r="BZ134" s="5">
        <f>IF($B133&lt;=Tabla5[[#This Row],[INVERSIONES FCI]],+Tabla5[[#This Row],[INVERSIONES FCI]]-BZ133,Tabla5[[#This Row],[INVERSIONES FCI]])</f>
        <v>20107472813.398487</v>
      </c>
      <c r="CA134" s="5">
        <f>IF($B133&lt;=Tabla5[[#This Row],[INVERSIONES FCI]],+Tabla5[[#This Row],[INVERSIONES FCI]]-CA133,Tabla5[[#This Row],[INVERSIONES FCI]])</f>
        <v>20107472813.398487</v>
      </c>
      <c r="CB134" s="5">
        <f>IF($B133&lt;=Tabla5[[#This Row],[INVERSIONES FCI]],+Tabla5[[#This Row],[INVERSIONES FCI]]-CB133,Tabla5[[#This Row],[INVERSIONES FCI]])</f>
        <v>20107472813.398487</v>
      </c>
      <c r="CC134" s="5">
        <f>IF($B133&lt;=Tabla5[[#This Row],[INVERSIONES FCI]],+Tabla5[[#This Row],[INVERSIONES FCI]]-CC133,Tabla5[[#This Row],[INVERSIONES FCI]])</f>
        <v>20107472813.398487</v>
      </c>
      <c r="CD134" s="5">
        <f>IF($B133&lt;=Tabla5[[#This Row],[INVERSIONES FCI]],+Tabla5[[#This Row],[INVERSIONES FCI]]-CD133,Tabla5[[#This Row],[INVERSIONES FCI]])</f>
        <v>20107472813.398487</v>
      </c>
      <c r="CE134" s="5">
        <f>IF($B133&lt;=Tabla5[[#This Row],[INVERSIONES FCI]],+Tabla5[[#This Row],[INVERSIONES FCI]]-CE133,Tabla5[[#This Row],[INVERSIONES FCI]])</f>
        <v>20107472813.398487</v>
      </c>
      <c r="CF134" s="5">
        <f>IF($B133&lt;=Tabla5[[#This Row],[INVERSIONES FCI]],+Tabla5[[#This Row],[INVERSIONES FCI]]-CF133,Tabla5[[#This Row],[INVERSIONES FCI]])</f>
        <v>20107472813.398487</v>
      </c>
      <c r="CG134" s="5">
        <f>IF($B133&lt;=Tabla5[[#This Row],[INVERSIONES FCI]],+Tabla5[[#This Row],[INVERSIONES FCI]]-CG133,Tabla5[[#This Row],[INVERSIONES FCI]])</f>
        <v>20107472813.398487</v>
      </c>
      <c r="CH134" s="5">
        <f>IF($B133&lt;=Tabla5[[#This Row],[INVERSIONES FCI]],+Tabla5[[#This Row],[INVERSIONES FCI]]-CH133,Tabla5[[#This Row],[INVERSIONES FCI]])</f>
        <v>20107472813.398487</v>
      </c>
      <c r="CI134" s="5">
        <f>IF($B133&lt;=Tabla5[[#This Row],[INVERSIONES FCI]],+Tabla5[[#This Row],[INVERSIONES FCI]]-CI133,Tabla5[[#This Row],[INVERSIONES FCI]])</f>
        <v>20107472813.398487</v>
      </c>
      <c r="CJ134" s="5">
        <f>IF($B133&lt;=Tabla5[[#This Row],[INVERSIONES FCI]],+Tabla5[[#This Row],[INVERSIONES FCI]]-CJ133,Tabla5[[#This Row],[INVERSIONES FCI]])</f>
        <v>20107472813.398487</v>
      </c>
      <c r="CK134" s="5">
        <f>IF($B133&lt;=Tabla5[[#This Row],[INVERSIONES FCI]],+Tabla5[[#This Row],[INVERSIONES FCI]]-CK133,Tabla5[[#This Row],[INVERSIONES FCI]])</f>
        <v>20107472813.398487</v>
      </c>
      <c r="CL134" s="5">
        <f>IF($B133&lt;=Tabla5[[#This Row],[INVERSIONES FCI]],+Tabla5[[#This Row],[INVERSIONES FCI]]-CL133,Tabla5[[#This Row],[INVERSIONES FCI]])</f>
        <v>20107472813.398487</v>
      </c>
      <c r="CM134" s="5">
        <f>IF($B133&lt;=Tabla5[[#This Row],[INVERSIONES FCI]],+Tabla5[[#This Row],[INVERSIONES FCI]]-CM133,Tabla5[[#This Row],[INVERSIONES FCI]])</f>
        <v>20107472813.398487</v>
      </c>
      <c r="CN134" s="5">
        <f>IF($B133&lt;=Tabla5[[#This Row],[INVERSIONES FCI]],+Tabla5[[#This Row],[INVERSIONES FCI]]-CN133,Tabla5[[#This Row],[INVERSIONES FCI]])</f>
        <v>20107472813.398487</v>
      </c>
      <c r="CO134" s="5">
        <f>IF($B133&lt;=Tabla5[[#This Row],[INVERSIONES FCI]],+Tabla5[[#This Row],[INVERSIONES FCI]]-CO133,Tabla5[[#This Row],[INVERSIONES FCI]])</f>
        <v>20107472813.398487</v>
      </c>
      <c r="CP134" s="5">
        <f>IF($B133&lt;=Tabla5[[#This Row],[INVERSIONES FCI]],+Tabla5[[#This Row],[INVERSIONES FCI]]-CP133,Tabla5[[#This Row],[INVERSIONES FCI]])</f>
        <v>20107472813.398487</v>
      </c>
      <c r="CQ134" s="5">
        <f>IF($B133&lt;=Tabla5[[#This Row],[INVERSIONES FCI]],+Tabla5[[#This Row],[INVERSIONES FCI]]-CQ133,Tabla5[[#This Row],[INVERSIONES FCI]])</f>
        <v>20107472813.398487</v>
      </c>
      <c r="CR134" s="5">
        <f>IF($B133&lt;=Tabla5[[#This Row],[INVERSIONES FCI]],+Tabla5[[#This Row],[INVERSIONES FCI]]-CR133,Tabla5[[#This Row],[INVERSIONES FCI]])</f>
        <v>20107472813.398487</v>
      </c>
      <c r="CS134" s="5">
        <f>IF($B133&lt;=Tabla5[[#This Row],[INVERSIONES FCI]],+Tabla5[[#This Row],[INVERSIONES FCI]]-CS133,Tabla5[[#This Row],[INVERSIONES FCI]])</f>
        <v>20107472813.398487</v>
      </c>
      <c r="CT134" s="5">
        <f>IF($B133&lt;=Tabla5[[#This Row],[INVERSIONES FCI]],+Tabla5[[#This Row],[INVERSIONES FCI]]-CT133,Tabla5[[#This Row],[INVERSIONES FCI]])</f>
        <v>20107472813.398487</v>
      </c>
      <c r="CU134" s="5">
        <f>IF($B133&lt;=Tabla5[[#This Row],[INVERSIONES FCI]],+Tabla5[[#This Row],[INVERSIONES FCI]]-CU133,Tabla5[[#This Row],[INVERSIONES FCI]])</f>
        <v>20107472813.398487</v>
      </c>
      <c r="CV134" s="5">
        <f>IF($B133&lt;=Tabla5[[#This Row],[INVERSIONES FCI]],+Tabla5[[#This Row],[INVERSIONES FCI]]-CV133,Tabla5[[#This Row],[INVERSIONES FCI]])</f>
        <v>20107472813.398487</v>
      </c>
      <c r="CW134" s="5">
        <f>IF($B133&lt;=Tabla5[[#This Row],[INVERSIONES FCI]],+Tabla5[[#This Row],[INVERSIONES FCI]]-CW133,Tabla5[[#This Row],[INVERSIONES FCI]])</f>
        <v>20107472813.398487</v>
      </c>
      <c r="CX134" s="5">
        <f>IF($B133&lt;=Tabla5[[#This Row],[INVERSIONES FCI]],+Tabla5[[#This Row],[INVERSIONES FCI]]-CX133,Tabla5[[#This Row],[INVERSIONES FCI]])</f>
        <v>20107472813.398487</v>
      </c>
      <c r="CY134" s="5">
        <f>IF($B133&lt;=Tabla5[[#This Row],[INVERSIONES FCI]],+Tabla5[[#This Row],[INVERSIONES FCI]]-CY133,Tabla5[[#This Row],[INVERSIONES FCI]])</f>
        <v>20107472813.398487</v>
      </c>
      <c r="CZ134" s="5">
        <f>IF($B133&lt;=Tabla5[[#This Row],[INVERSIONES FCI]],+Tabla5[[#This Row],[INVERSIONES FCI]]-CZ133,Tabla5[[#This Row],[INVERSIONES FCI]])</f>
        <v>20107472813.398487</v>
      </c>
      <c r="DA134" s="5">
        <f>IF($B133&lt;=Tabla5[[#This Row],[INVERSIONES FCI]],+Tabla5[[#This Row],[INVERSIONES FCI]]-DA133,Tabla5[[#This Row],[INVERSIONES FCI]])</f>
        <v>20107472813.398487</v>
      </c>
      <c r="DB134" s="5">
        <f>IF($B133&lt;=Tabla5[[#This Row],[INVERSIONES FCI]],+Tabla5[[#This Row],[INVERSIONES FCI]]-DB133,Tabla5[[#This Row],[INVERSIONES FCI]])</f>
        <v>20107472813.398487</v>
      </c>
      <c r="DC134" s="5">
        <f>IF($B133&lt;=Tabla5[[#This Row],[INVERSIONES FCI]],+Tabla5[[#This Row],[INVERSIONES FCI]]-DC133,Tabla5[[#This Row],[INVERSIONES FCI]])</f>
        <v>20107472813.398487</v>
      </c>
      <c r="DD134" s="5">
        <f>IF($B133&lt;=Tabla5[[#This Row],[INVERSIONES FCI]],+Tabla5[[#This Row],[INVERSIONES FCI]]-DD133,Tabla5[[#This Row],[INVERSIONES FCI]])</f>
        <v>20107472813.398487</v>
      </c>
      <c r="DE134" s="5">
        <f>IF($B133&lt;=Tabla5[[#This Row],[INVERSIONES FCI]],+Tabla5[[#This Row],[INVERSIONES FCI]]-DE133,Tabla5[[#This Row],[INVERSIONES FCI]])</f>
        <v>20107472813.398487</v>
      </c>
      <c r="DF134" s="5">
        <f>IF($B133&lt;=Tabla5[[#This Row],[INVERSIONES FCI]],+Tabla5[[#This Row],[INVERSIONES FCI]]-DF133,Tabla5[[#This Row],[INVERSIONES FCI]])</f>
        <v>20107472813.398487</v>
      </c>
      <c r="DG134" s="5">
        <f>IF($B133&lt;=Tabla5[[#This Row],[INVERSIONES FCI]],+Tabla5[[#This Row],[INVERSIONES FCI]]-DG133,Tabla5[[#This Row],[INVERSIONES FCI]])</f>
        <v>20107472813.398487</v>
      </c>
      <c r="DH134" s="5">
        <f>IF($B133&lt;=Tabla5[[#This Row],[INVERSIONES FCI]],+Tabla5[[#This Row],[INVERSIONES FCI]]-DH133,Tabla5[[#This Row],[INVERSIONES FCI]])</f>
        <v>20107472813.398487</v>
      </c>
      <c r="DI134" s="5">
        <f>IF($B133&lt;=Tabla5[[#This Row],[INVERSIONES FCI]],+Tabla5[[#This Row],[INVERSIONES FCI]]-DI133,Tabla5[[#This Row],[INVERSIONES FCI]])</f>
        <v>20107472813.398487</v>
      </c>
      <c r="DJ134" s="5">
        <f>IF($B133&lt;=Tabla5[[#This Row],[INVERSIONES FCI]],+Tabla5[[#This Row],[INVERSIONES FCI]]-DJ133,Tabla5[[#This Row],[INVERSIONES FCI]])</f>
        <v>20107472813.398487</v>
      </c>
      <c r="DK134" s="5">
        <f>IF($B133&lt;=Tabla5[[#This Row],[INVERSIONES FCI]],+Tabla5[[#This Row],[INVERSIONES FCI]]-DK133,Tabla5[[#This Row],[INVERSIONES FCI]])</f>
        <v>20107472813.398487</v>
      </c>
      <c r="DL134" s="5"/>
      <c r="DM134" s="5"/>
      <c r="DN134" s="5"/>
      <c r="DO134" s="5"/>
      <c r="DP134" s="5"/>
      <c r="DQ134" s="5"/>
    </row>
    <row r="135" spans="1:121" ht="14.4">
      <c r="A135" s="12" t="s">
        <v>134</v>
      </c>
      <c r="B135" s="5">
        <f>HLOOKUP($A135,ESCENARIO[#All],7,FALSE)</f>
        <v>23118458278.116692</v>
      </c>
      <c r="C135" s="5">
        <f>IF($B134&lt;=Tabla5[[#This Row],[INVERSIONES FCI]],+Tabla5[[#This Row],[INVERSIONES FCI]]-C134,Tabla5[[#This Row],[INVERSIONES FCI]])</f>
        <v>3010985464.7182045</v>
      </c>
      <c r="D135" s="5">
        <f>IF($B134&lt;=Tabla5[[#This Row],[INVERSIONES FCI]],+Tabla5[[#This Row],[INVERSIONES FCI]]-D134,Tabla5[[#This Row],[INVERSIONES FCI]])</f>
        <v>3010985464.7182045</v>
      </c>
      <c r="E135" s="5">
        <f>IF($B134&lt;=Tabla5[[#This Row],[INVERSIONES FCI]],+Tabla5[[#This Row],[INVERSIONES FCI]]-E134,Tabla5[[#This Row],[INVERSIONES FCI]])</f>
        <v>3010985464.7182045</v>
      </c>
      <c r="F135" s="5">
        <f>IF($B134&lt;=Tabla5[[#This Row],[INVERSIONES FCI]],+Tabla5[[#This Row],[INVERSIONES FCI]]-F134,Tabla5[[#This Row],[INVERSIONES FCI]])</f>
        <v>3010985464.7182045</v>
      </c>
      <c r="G135" s="5">
        <f>IF($B134&lt;=Tabla5[[#This Row],[INVERSIONES FCI]],+Tabla5[[#This Row],[INVERSIONES FCI]]-G134,Tabla5[[#This Row],[INVERSIONES FCI]])</f>
        <v>3010985464.7182045</v>
      </c>
      <c r="H135" s="5">
        <f>IF($B134&lt;=Tabla5[[#This Row],[INVERSIONES FCI]],+Tabla5[[#This Row],[INVERSIONES FCI]]-H134,Tabla5[[#This Row],[INVERSIONES FCI]])</f>
        <v>3010985464.7182045</v>
      </c>
      <c r="I135" s="5">
        <f>IF($B134&lt;=Tabla5[[#This Row],[INVERSIONES FCI]],+Tabla5[[#This Row],[INVERSIONES FCI]]-I134,Tabla5[[#This Row],[INVERSIONES FCI]])</f>
        <v>3010985464.7182045</v>
      </c>
      <c r="J135" s="5">
        <f>IF($B134&lt;=Tabla5[[#This Row],[INVERSIONES FCI]],+Tabla5[[#This Row],[INVERSIONES FCI]]-J134,Tabla5[[#This Row],[INVERSIONES FCI]])</f>
        <v>3010985464.7182045</v>
      </c>
      <c r="K135" s="5">
        <f>IF($B134&lt;=Tabla5[[#This Row],[INVERSIONES FCI]],+Tabla5[[#This Row],[INVERSIONES FCI]]-K134,Tabla5[[#This Row],[INVERSIONES FCI]])</f>
        <v>3010985464.7182045</v>
      </c>
      <c r="L135" s="5">
        <f>IF($B134&lt;=Tabla5[[#This Row],[INVERSIONES FCI]],+Tabla5[[#This Row],[INVERSIONES FCI]]-L134,Tabla5[[#This Row],[INVERSIONES FCI]])</f>
        <v>3010985464.7182045</v>
      </c>
      <c r="M135" s="5">
        <f>IF($B134&lt;=Tabla5[[#This Row],[INVERSIONES FCI]],+Tabla5[[#This Row],[INVERSIONES FCI]]-M134,Tabla5[[#This Row],[INVERSIONES FCI]])</f>
        <v>3010985464.7182045</v>
      </c>
      <c r="N135" s="5">
        <f>IF($B134&lt;=Tabla5[[#This Row],[INVERSIONES FCI]],+Tabla5[[#This Row],[INVERSIONES FCI]]-N134,Tabla5[[#This Row],[INVERSIONES FCI]])</f>
        <v>3010985464.7182045</v>
      </c>
      <c r="O135" s="5">
        <f>IF($B134&lt;=Tabla5[[#This Row],[INVERSIONES FCI]],+Tabla5[[#This Row],[INVERSIONES FCI]]-O134,Tabla5[[#This Row],[INVERSIONES FCI]])</f>
        <v>3010985464.7182045</v>
      </c>
      <c r="P135" s="5">
        <f>IF($B134&lt;=Tabla5[[#This Row],[INVERSIONES FCI]],+Tabla5[[#This Row],[INVERSIONES FCI]]-P134,Tabla5[[#This Row],[INVERSIONES FCI]])</f>
        <v>3010985464.7182045</v>
      </c>
      <c r="Q135" s="5">
        <f>IF($B134&lt;=Tabla5[[#This Row],[INVERSIONES FCI]],+Tabla5[[#This Row],[INVERSIONES FCI]]-Q134,Tabla5[[#This Row],[INVERSIONES FCI]])</f>
        <v>3010985464.7182045</v>
      </c>
      <c r="R135" s="5">
        <f>IF($B134&lt;=Tabla5[[#This Row],[INVERSIONES FCI]],+Tabla5[[#This Row],[INVERSIONES FCI]]-R134,Tabla5[[#This Row],[INVERSIONES FCI]])</f>
        <v>3010985464.7182045</v>
      </c>
      <c r="S135" s="5">
        <f>IF($B134&lt;=Tabla5[[#This Row],[INVERSIONES FCI]],+Tabla5[[#This Row],[INVERSIONES FCI]]-S134,Tabla5[[#This Row],[INVERSIONES FCI]])</f>
        <v>3010985464.7182045</v>
      </c>
      <c r="T135" s="5">
        <f>IF($B134&lt;=Tabla5[[#This Row],[INVERSIONES FCI]],+Tabla5[[#This Row],[INVERSIONES FCI]]-T134,Tabla5[[#This Row],[INVERSIONES FCI]])</f>
        <v>3010985464.7182045</v>
      </c>
      <c r="U135" s="5">
        <f>IF($B134&lt;=Tabla5[[#This Row],[INVERSIONES FCI]],+Tabla5[[#This Row],[INVERSIONES FCI]]-U134,Tabla5[[#This Row],[INVERSIONES FCI]])</f>
        <v>3010985464.7182045</v>
      </c>
      <c r="V135" s="5">
        <f>IF($B134&lt;=Tabla5[[#This Row],[INVERSIONES FCI]],+Tabla5[[#This Row],[INVERSIONES FCI]]-V134,Tabla5[[#This Row],[INVERSIONES FCI]])</f>
        <v>3010985464.7182045</v>
      </c>
      <c r="W135" s="5">
        <f>IF($B134&lt;=Tabla5[[#This Row],[INVERSIONES FCI]],+Tabla5[[#This Row],[INVERSIONES FCI]]-W134,Tabla5[[#This Row],[INVERSIONES FCI]])</f>
        <v>3010985464.7182045</v>
      </c>
      <c r="X135" s="5">
        <f>IF($B134&lt;=Tabla5[[#This Row],[INVERSIONES FCI]],+Tabla5[[#This Row],[INVERSIONES FCI]]-X134,Tabla5[[#This Row],[INVERSIONES FCI]])</f>
        <v>3010985464.7182045</v>
      </c>
      <c r="Y135" s="5">
        <f>IF($B134&lt;=Tabla5[[#This Row],[INVERSIONES FCI]],+Tabla5[[#This Row],[INVERSIONES FCI]]-Y134,Tabla5[[#This Row],[INVERSIONES FCI]])</f>
        <v>3010985464.7182045</v>
      </c>
      <c r="Z135" s="5">
        <f>IF($B134&lt;=Tabla5[[#This Row],[INVERSIONES FCI]],+Tabla5[[#This Row],[INVERSIONES FCI]]-Z134,Tabla5[[#This Row],[INVERSIONES FCI]])</f>
        <v>3010985464.7182045</v>
      </c>
      <c r="AA135" s="5">
        <f>IF($B134&lt;=Tabla5[[#This Row],[INVERSIONES FCI]],+Tabla5[[#This Row],[INVERSIONES FCI]]-AA134,Tabla5[[#This Row],[INVERSIONES FCI]])</f>
        <v>3010985464.7182045</v>
      </c>
      <c r="AB135" s="5">
        <f>IF($B134&lt;=Tabla5[[#This Row],[INVERSIONES FCI]],+Tabla5[[#This Row],[INVERSIONES FCI]]-AB134,Tabla5[[#This Row],[INVERSIONES FCI]])</f>
        <v>3010985464.7182045</v>
      </c>
      <c r="AC135" s="5">
        <f>IF($B134&lt;=Tabla5[[#This Row],[INVERSIONES FCI]],+Tabla5[[#This Row],[INVERSIONES FCI]]-AC134,Tabla5[[#This Row],[INVERSIONES FCI]])</f>
        <v>3010985464.7182045</v>
      </c>
      <c r="AD135" s="5">
        <f>IF($B134&lt;=Tabla5[[#This Row],[INVERSIONES FCI]],+Tabla5[[#This Row],[INVERSIONES FCI]]-AD134,Tabla5[[#This Row],[INVERSIONES FCI]])</f>
        <v>3010985464.7182045</v>
      </c>
      <c r="AE135" s="5">
        <f>IF($B134&lt;=Tabla5[[#This Row],[INVERSIONES FCI]],+Tabla5[[#This Row],[INVERSIONES FCI]]-AE134,Tabla5[[#This Row],[INVERSIONES FCI]])</f>
        <v>3010985464.7182045</v>
      </c>
      <c r="AF135" s="5">
        <f>IF($B134&lt;=Tabla5[[#This Row],[INVERSIONES FCI]],+Tabla5[[#This Row],[INVERSIONES FCI]]-AF134,Tabla5[[#This Row],[INVERSIONES FCI]])</f>
        <v>3010985464.7182045</v>
      </c>
      <c r="AG135" s="5">
        <f>IF($B134&lt;=Tabla5[[#This Row],[INVERSIONES FCI]],+Tabla5[[#This Row],[INVERSIONES FCI]]-AG134,Tabla5[[#This Row],[INVERSIONES FCI]])</f>
        <v>3010985464.7182045</v>
      </c>
      <c r="AH135" s="5">
        <f>IF($B134&lt;=Tabla5[[#This Row],[INVERSIONES FCI]],+Tabla5[[#This Row],[INVERSIONES FCI]]-AH134,Tabla5[[#This Row],[INVERSIONES FCI]])</f>
        <v>3010985464.7182045</v>
      </c>
      <c r="AI135" s="5">
        <f>IF($B134&lt;=Tabla5[[#This Row],[INVERSIONES FCI]],+Tabla5[[#This Row],[INVERSIONES FCI]]-AI134,Tabla5[[#This Row],[INVERSIONES FCI]])</f>
        <v>3010985464.7182045</v>
      </c>
      <c r="AJ135" s="5">
        <f>IF($B134&lt;=Tabla5[[#This Row],[INVERSIONES FCI]],+Tabla5[[#This Row],[INVERSIONES FCI]]-AJ134,Tabla5[[#This Row],[INVERSIONES FCI]])</f>
        <v>3010985464.7182045</v>
      </c>
      <c r="AK135" s="5">
        <f>IF($B134&lt;=Tabla5[[#This Row],[INVERSIONES FCI]],+Tabla5[[#This Row],[INVERSIONES FCI]]-AK134,Tabla5[[#This Row],[INVERSIONES FCI]])</f>
        <v>3010985464.7182045</v>
      </c>
      <c r="AL135" s="5">
        <f>IF($B134&lt;=Tabla5[[#This Row],[INVERSIONES FCI]],+Tabla5[[#This Row],[INVERSIONES FCI]]-AL134,Tabla5[[#This Row],[INVERSIONES FCI]])</f>
        <v>3010985464.7182045</v>
      </c>
      <c r="AM135" s="5">
        <f>IF($B134&lt;=Tabla5[[#This Row],[INVERSIONES FCI]],+Tabla5[[#This Row],[INVERSIONES FCI]]-AM134,Tabla5[[#This Row],[INVERSIONES FCI]])</f>
        <v>3010985464.7182045</v>
      </c>
      <c r="AN135" s="5">
        <f>IF($B134&lt;=Tabla5[[#This Row],[INVERSIONES FCI]],+Tabla5[[#This Row],[INVERSIONES FCI]]-AN134,Tabla5[[#This Row],[INVERSIONES FCI]])</f>
        <v>3010985464.7182045</v>
      </c>
      <c r="AO135" s="5">
        <f>IF($B134&lt;=Tabla5[[#This Row],[INVERSIONES FCI]],+Tabla5[[#This Row],[INVERSIONES FCI]]-AO134,Tabla5[[#This Row],[INVERSIONES FCI]])</f>
        <v>3010985464.7182045</v>
      </c>
      <c r="AP135" s="5">
        <f>IF($B134&lt;=Tabla5[[#This Row],[INVERSIONES FCI]],+Tabla5[[#This Row],[INVERSIONES FCI]]-AP134,Tabla5[[#This Row],[INVERSIONES FCI]])</f>
        <v>3010985464.7182045</v>
      </c>
      <c r="AQ135" s="5">
        <f>IF($B134&lt;=Tabla5[[#This Row],[INVERSIONES FCI]],+Tabla5[[#This Row],[INVERSIONES FCI]]-AQ134,Tabla5[[#This Row],[INVERSIONES FCI]])</f>
        <v>3010985464.7182045</v>
      </c>
      <c r="AR135" s="5">
        <f>IF($B134&lt;=Tabla5[[#This Row],[INVERSIONES FCI]],+Tabla5[[#This Row],[INVERSIONES FCI]]-AR134,Tabla5[[#This Row],[INVERSIONES FCI]])</f>
        <v>3010985464.7182045</v>
      </c>
      <c r="AS135" s="5">
        <f>IF($B134&lt;=Tabla5[[#This Row],[INVERSIONES FCI]],+Tabla5[[#This Row],[INVERSIONES FCI]]-AS134,Tabla5[[#This Row],[INVERSIONES FCI]])</f>
        <v>3010985464.7182045</v>
      </c>
      <c r="AT135" s="5">
        <f>IF($B134&lt;=Tabla5[[#This Row],[INVERSIONES FCI]],+Tabla5[[#This Row],[INVERSIONES FCI]]-AT134,Tabla5[[#This Row],[INVERSIONES FCI]])</f>
        <v>3010985464.7182045</v>
      </c>
      <c r="AU135" s="5">
        <f>IF($B134&lt;=Tabla5[[#This Row],[INVERSIONES FCI]],+Tabla5[[#This Row],[INVERSIONES FCI]]-AU134,Tabla5[[#This Row],[INVERSIONES FCI]])</f>
        <v>3010985464.7182045</v>
      </c>
      <c r="AV135" s="5">
        <f>IF($B134&lt;=Tabla5[[#This Row],[INVERSIONES FCI]],+Tabla5[[#This Row],[INVERSIONES FCI]]-AV134,Tabla5[[#This Row],[INVERSIONES FCI]])</f>
        <v>3010985464.7182045</v>
      </c>
      <c r="AW135" s="5">
        <f>IF($B134&lt;=Tabla5[[#This Row],[INVERSIONES FCI]],+Tabla5[[#This Row],[INVERSIONES FCI]]-AW134,Tabla5[[#This Row],[INVERSIONES FCI]])</f>
        <v>3010985464.7182045</v>
      </c>
      <c r="AX135" s="5">
        <f>IF($B134&lt;=Tabla5[[#This Row],[INVERSIONES FCI]],+Tabla5[[#This Row],[INVERSIONES FCI]]-AX134,Tabla5[[#This Row],[INVERSIONES FCI]])</f>
        <v>3010985464.7182045</v>
      </c>
      <c r="AY135" s="5">
        <f>IF($B134&lt;=Tabla5[[#This Row],[INVERSIONES FCI]],+Tabla5[[#This Row],[INVERSIONES FCI]]-AY134,Tabla5[[#This Row],[INVERSIONES FCI]])</f>
        <v>3010985464.7182045</v>
      </c>
      <c r="AZ135" s="5">
        <f>IF($B134&lt;=Tabla5[[#This Row],[INVERSIONES FCI]],+Tabla5[[#This Row],[INVERSIONES FCI]]-AZ134,Tabla5[[#This Row],[INVERSIONES FCI]])</f>
        <v>3010985464.7182045</v>
      </c>
      <c r="BA135" s="5">
        <f>IF($B134&lt;=Tabla5[[#This Row],[INVERSIONES FCI]],+Tabla5[[#This Row],[INVERSIONES FCI]]-BA134,Tabla5[[#This Row],[INVERSIONES FCI]])</f>
        <v>3010985464.7182045</v>
      </c>
      <c r="BB135" s="5">
        <f>IF($B134&lt;=Tabla5[[#This Row],[INVERSIONES FCI]],+Tabla5[[#This Row],[INVERSIONES FCI]]-BB134,Tabla5[[#This Row],[INVERSIONES FCI]])</f>
        <v>3010985464.7182045</v>
      </c>
      <c r="BC135" s="5">
        <f>IF($B134&lt;=Tabla5[[#This Row],[INVERSIONES FCI]],+Tabla5[[#This Row],[INVERSIONES FCI]]-BC134,Tabla5[[#This Row],[INVERSIONES FCI]])</f>
        <v>3010985464.7182045</v>
      </c>
      <c r="BD135" s="5">
        <f>IF($B134&lt;=Tabla5[[#This Row],[INVERSIONES FCI]],+Tabla5[[#This Row],[INVERSIONES FCI]]-BD134,Tabla5[[#This Row],[INVERSIONES FCI]])</f>
        <v>3010985464.7182045</v>
      </c>
      <c r="BE135" s="5">
        <f>IF($B134&lt;=Tabla5[[#This Row],[INVERSIONES FCI]],+Tabla5[[#This Row],[INVERSIONES FCI]]-BE134,Tabla5[[#This Row],[INVERSIONES FCI]])</f>
        <v>3010985464.7182045</v>
      </c>
      <c r="BF135" s="5">
        <f>IF($B134&lt;=Tabla5[[#This Row],[INVERSIONES FCI]],+Tabla5[[#This Row],[INVERSIONES FCI]]-BF134,Tabla5[[#This Row],[INVERSIONES FCI]])</f>
        <v>3010985464.7182045</v>
      </c>
      <c r="BG135" s="5">
        <f>IF($B134&lt;=Tabla5[[#This Row],[INVERSIONES FCI]],+Tabla5[[#This Row],[INVERSIONES FCI]]-BG134,Tabla5[[#This Row],[INVERSIONES FCI]])</f>
        <v>3010985464.7182045</v>
      </c>
      <c r="BH135" s="5">
        <f>IF($B134&lt;=Tabla5[[#This Row],[INVERSIONES FCI]],+Tabla5[[#This Row],[INVERSIONES FCI]]-BH134,Tabla5[[#This Row],[INVERSIONES FCI]])</f>
        <v>3010985464.7182045</v>
      </c>
      <c r="BI135" s="5">
        <f>IF($B134&lt;=Tabla5[[#This Row],[INVERSIONES FCI]],+Tabla5[[#This Row],[INVERSIONES FCI]]-BI134,Tabla5[[#This Row],[INVERSIONES FCI]])</f>
        <v>3010985464.7182045</v>
      </c>
      <c r="BJ135" s="5">
        <f>IF($B134&lt;=Tabla5[[#This Row],[INVERSIONES FCI]],+Tabla5[[#This Row],[INVERSIONES FCI]]-BJ134,Tabla5[[#This Row],[INVERSIONES FCI]])</f>
        <v>3010985464.7182045</v>
      </c>
      <c r="BK135" s="5">
        <f>IF($B134&lt;=Tabla5[[#This Row],[INVERSIONES FCI]],+Tabla5[[#This Row],[INVERSIONES FCI]]-BK134,Tabla5[[#This Row],[INVERSIONES FCI]])</f>
        <v>3010985464.7182045</v>
      </c>
      <c r="BL135" s="5">
        <f>IF($B134&lt;=Tabla5[[#This Row],[INVERSIONES FCI]],+Tabla5[[#This Row],[INVERSIONES FCI]]-BL134,Tabla5[[#This Row],[INVERSIONES FCI]])</f>
        <v>3010985464.7182045</v>
      </c>
      <c r="BM135" s="5">
        <f>IF($B134&lt;=Tabla5[[#This Row],[INVERSIONES FCI]],+Tabla5[[#This Row],[INVERSIONES FCI]]-BM134,Tabla5[[#This Row],[INVERSIONES FCI]])</f>
        <v>3010985464.7182045</v>
      </c>
      <c r="BN135" s="5">
        <f>IF($B134&lt;=Tabla5[[#This Row],[INVERSIONES FCI]],+Tabla5[[#This Row],[INVERSIONES FCI]]-BN134,Tabla5[[#This Row],[INVERSIONES FCI]])</f>
        <v>3010985464.7182045</v>
      </c>
      <c r="BO135" s="5">
        <f>IF($B134&lt;=Tabla5[[#This Row],[INVERSIONES FCI]],+Tabla5[[#This Row],[INVERSIONES FCI]]-BO134,Tabla5[[#This Row],[INVERSIONES FCI]])</f>
        <v>3010985464.7182045</v>
      </c>
      <c r="BP135" s="5">
        <f>IF($B134&lt;=Tabla5[[#This Row],[INVERSIONES FCI]],+Tabla5[[#This Row],[INVERSIONES FCI]]-BP134,Tabla5[[#This Row],[INVERSIONES FCI]])</f>
        <v>3010985464.7182045</v>
      </c>
      <c r="BQ135" s="5">
        <f>IF($B134&lt;=Tabla5[[#This Row],[INVERSIONES FCI]],+Tabla5[[#This Row],[INVERSIONES FCI]]-BQ134,Tabla5[[#This Row],[INVERSIONES FCI]])</f>
        <v>3010985464.7182045</v>
      </c>
      <c r="BR135" s="5">
        <f>IF($B134&lt;=Tabla5[[#This Row],[INVERSIONES FCI]],+Tabla5[[#This Row],[INVERSIONES FCI]]-BR134,Tabla5[[#This Row],[INVERSIONES FCI]])</f>
        <v>3010985464.7182045</v>
      </c>
      <c r="BS135" s="5">
        <f>IF($B134&lt;=Tabla5[[#This Row],[INVERSIONES FCI]],+Tabla5[[#This Row],[INVERSIONES FCI]]-BS134,Tabla5[[#This Row],[INVERSIONES FCI]])</f>
        <v>3010985464.7182045</v>
      </c>
      <c r="BT135" s="5">
        <f>IF($B134&lt;=Tabla5[[#This Row],[INVERSIONES FCI]],+Tabla5[[#This Row],[INVERSIONES FCI]]-BT134,Tabla5[[#This Row],[INVERSIONES FCI]])</f>
        <v>3010985464.7182045</v>
      </c>
      <c r="BU135" s="5">
        <f>IF($B134&lt;=Tabla5[[#This Row],[INVERSIONES FCI]],+Tabla5[[#This Row],[INVERSIONES FCI]]-BU134,Tabla5[[#This Row],[INVERSIONES FCI]])</f>
        <v>3010985464.7182045</v>
      </c>
      <c r="BV135" s="5">
        <f>IF($B134&lt;=Tabla5[[#This Row],[INVERSIONES FCI]],+Tabla5[[#This Row],[INVERSIONES FCI]]-BV134,Tabla5[[#This Row],[INVERSIONES FCI]])</f>
        <v>3010985464.7182045</v>
      </c>
      <c r="BW135" s="5">
        <f>IF($B134&lt;=Tabla5[[#This Row],[INVERSIONES FCI]],+Tabla5[[#This Row],[INVERSIONES FCI]]-BW134,Tabla5[[#This Row],[INVERSIONES FCI]])</f>
        <v>3010985464.7182045</v>
      </c>
      <c r="BX135" s="5">
        <f>IF($B134&lt;=Tabla5[[#This Row],[INVERSIONES FCI]],+Tabla5[[#This Row],[INVERSIONES FCI]]-BX134,Tabla5[[#This Row],[INVERSIONES FCI]])</f>
        <v>3010985464.7182045</v>
      </c>
      <c r="BY135" s="5">
        <f>IF($B134&lt;=Tabla5[[#This Row],[INVERSIONES FCI]],+Tabla5[[#This Row],[INVERSIONES FCI]]-BY134,Tabla5[[#This Row],[INVERSIONES FCI]])</f>
        <v>3010985464.7182045</v>
      </c>
      <c r="BZ135" s="5">
        <f>IF($B134&lt;=Tabla5[[#This Row],[INVERSIONES FCI]],+Tabla5[[#This Row],[INVERSIONES FCI]]-BZ134,Tabla5[[#This Row],[INVERSIONES FCI]])</f>
        <v>3010985464.7182045</v>
      </c>
      <c r="CA135" s="5">
        <f>IF($B134&lt;=Tabla5[[#This Row],[INVERSIONES FCI]],+Tabla5[[#This Row],[INVERSIONES FCI]]-CA134,Tabla5[[#This Row],[INVERSIONES FCI]])</f>
        <v>3010985464.7182045</v>
      </c>
      <c r="CB135" s="5">
        <f>IF($B134&lt;=Tabla5[[#This Row],[INVERSIONES FCI]],+Tabla5[[#This Row],[INVERSIONES FCI]]-CB134,Tabla5[[#This Row],[INVERSIONES FCI]])</f>
        <v>3010985464.7182045</v>
      </c>
      <c r="CC135" s="5">
        <f>IF($B134&lt;=Tabla5[[#This Row],[INVERSIONES FCI]],+Tabla5[[#This Row],[INVERSIONES FCI]]-CC134,Tabla5[[#This Row],[INVERSIONES FCI]])</f>
        <v>3010985464.7182045</v>
      </c>
      <c r="CD135" s="5">
        <f>IF($B134&lt;=Tabla5[[#This Row],[INVERSIONES FCI]],+Tabla5[[#This Row],[INVERSIONES FCI]]-CD134,Tabla5[[#This Row],[INVERSIONES FCI]])</f>
        <v>3010985464.7182045</v>
      </c>
      <c r="CE135" s="5">
        <f>IF($B134&lt;=Tabla5[[#This Row],[INVERSIONES FCI]],+Tabla5[[#This Row],[INVERSIONES FCI]]-CE134,Tabla5[[#This Row],[INVERSIONES FCI]])</f>
        <v>3010985464.7182045</v>
      </c>
      <c r="CF135" s="5">
        <f>IF($B134&lt;=Tabla5[[#This Row],[INVERSIONES FCI]],+Tabla5[[#This Row],[INVERSIONES FCI]]-CF134,Tabla5[[#This Row],[INVERSIONES FCI]])</f>
        <v>3010985464.7182045</v>
      </c>
      <c r="CG135" s="5">
        <f>IF($B134&lt;=Tabla5[[#This Row],[INVERSIONES FCI]],+Tabla5[[#This Row],[INVERSIONES FCI]]-CG134,Tabla5[[#This Row],[INVERSIONES FCI]])</f>
        <v>3010985464.7182045</v>
      </c>
      <c r="CH135" s="5">
        <f>IF($B134&lt;=Tabla5[[#This Row],[INVERSIONES FCI]],+Tabla5[[#This Row],[INVERSIONES FCI]]-CH134,Tabla5[[#This Row],[INVERSIONES FCI]])</f>
        <v>3010985464.7182045</v>
      </c>
      <c r="CI135" s="5">
        <f>IF($B134&lt;=Tabla5[[#This Row],[INVERSIONES FCI]],+Tabla5[[#This Row],[INVERSIONES FCI]]-CI134,Tabla5[[#This Row],[INVERSIONES FCI]])</f>
        <v>3010985464.7182045</v>
      </c>
      <c r="CJ135" s="5">
        <f>IF($B134&lt;=Tabla5[[#This Row],[INVERSIONES FCI]],+Tabla5[[#This Row],[INVERSIONES FCI]]-CJ134,Tabla5[[#This Row],[INVERSIONES FCI]])</f>
        <v>3010985464.7182045</v>
      </c>
      <c r="CK135" s="5">
        <f>IF($B134&lt;=Tabla5[[#This Row],[INVERSIONES FCI]],+Tabla5[[#This Row],[INVERSIONES FCI]]-CK134,Tabla5[[#This Row],[INVERSIONES FCI]])</f>
        <v>3010985464.7182045</v>
      </c>
      <c r="CL135" s="5">
        <f>IF($B134&lt;=Tabla5[[#This Row],[INVERSIONES FCI]],+Tabla5[[#This Row],[INVERSIONES FCI]]-CL134,Tabla5[[#This Row],[INVERSIONES FCI]])</f>
        <v>3010985464.7182045</v>
      </c>
      <c r="CM135" s="5">
        <f>IF($B134&lt;=Tabla5[[#This Row],[INVERSIONES FCI]],+Tabla5[[#This Row],[INVERSIONES FCI]]-CM134,Tabla5[[#This Row],[INVERSIONES FCI]])</f>
        <v>3010985464.7182045</v>
      </c>
      <c r="CN135" s="5">
        <f>IF($B134&lt;=Tabla5[[#This Row],[INVERSIONES FCI]],+Tabla5[[#This Row],[INVERSIONES FCI]]-CN134,Tabla5[[#This Row],[INVERSIONES FCI]])</f>
        <v>3010985464.7182045</v>
      </c>
      <c r="CO135" s="5">
        <f>IF($B134&lt;=Tabla5[[#This Row],[INVERSIONES FCI]],+Tabla5[[#This Row],[INVERSIONES FCI]]-CO134,Tabla5[[#This Row],[INVERSIONES FCI]])</f>
        <v>3010985464.7182045</v>
      </c>
      <c r="CP135" s="5">
        <f>IF($B134&lt;=Tabla5[[#This Row],[INVERSIONES FCI]],+Tabla5[[#This Row],[INVERSIONES FCI]]-CP134,Tabla5[[#This Row],[INVERSIONES FCI]])</f>
        <v>3010985464.7182045</v>
      </c>
      <c r="CQ135" s="5">
        <f>IF($B134&lt;=Tabla5[[#This Row],[INVERSIONES FCI]],+Tabla5[[#This Row],[INVERSIONES FCI]]-CQ134,Tabla5[[#This Row],[INVERSIONES FCI]])</f>
        <v>3010985464.7182045</v>
      </c>
      <c r="CR135" s="5">
        <f>IF($B134&lt;=Tabla5[[#This Row],[INVERSIONES FCI]],+Tabla5[[#This Row],[INVERSIONES FCI]]-CR134,Tabla5[[#This Row],[INVERSIONES FCI]])</f>
        <v>3010985464.7182045</v>
      </c>
      <c r="CS135" s="5">
        <f>IF($B134&lt;=Tabla5[[#This Row],[INVERSIONES FCI]],+Tabla5[[#This Row],[INVERSIONES FCI]]-CS134,Tabla5[[#This Row],[INVERSIONES FCI]])</f>
        <v>3010985464.7182045</v>
      </c>
      <c r="CT135" s="5">
        <f>IF($B134&lt;=Tabla5[[#This Row],[INVERSIONES FCI]],+Tabla5[[#This Row],[INVERSIONES FCI]]-CT134,Tabla5[[#This Row],[INVERSIONES FCI]])</f>
        <v>3010985464.7182045</v>
      </c>
      <c r="CU135" s="5">
        <f>IF($B134&lt;=Tabla5[[#This Row],[INVERSIONES FCI]],+Tabla5[[#This Row],[INVERSIONES FCI]]-CU134,Tabla5[[#This Row],[INVERSIONES FCI]])</f>
        <v>3010985464.7182045</v>
      </c>
      <c r="CV135" s="5">
        <f>IF($B134&lt;=Tabla5[[#This Row],[INVERSIONES FCI]],+Tabla5[[#This Row],[INVERSIONES FCI]]-CV134,Tabla5[[#This Row],[INVERSIONES FCI]])</f>
        <v>3010985464.7182045</v>
      </c>
      <c r="CW135" s="5">
        <f>IF($B134&lt;=Tabla5[[#This Row],[INVERSIONES FCI]],+Tabla5[[#This Row],[INVERSIONES FCI]]-CW134,Tabla5[[#This Row],[INVERSIONES FCI]])</f>
        <v>3010985464.7182045</v>
      </c>
      <c r="CX135" s="5">
        <f>IF($B134&lt;=Tabla5[[#This Row],[INVERSIONES FCI]],+Tabla5[[#This Row],[INVERSIONES FCI]]-CX134,Tabla5[[#This Row],[INVERSIONES FCI]])</f>
        <v>3010985464.7182045</v>
      </c>
      <c r="CY135" s="5">
        <f>IF($B134&lt;=Tabla5[[#This Row],[INVERSIONES FCI]],+Tabla5[[#This Row],[INVERSIONES FCI]]-CY134,Tabla5[[#This Row],[INVERSIONES FCI]])</f>
        <v>3010985464.7182045</v>
      </c>
      <c r="CZ135" s="5">
        <f>IF($B134&lt;=Tabla5[[#This Row],[INVERSIONES FCI]],+Tabla5[[#This Row],[INVERSIONES FCI]]-CZ134,Tabla5[[#This Row],[INVERSIONES FCI]])</f>
        <v>3010985464.7182045</v>
      </c>
      <c r="DA135" s="5">
        <f>IF($B134&lt;=Tabla5[[#This Row],[INVERSIONES FCI]],+Tabla5[[#This Row],[INVERSIONES FCI]]-DA134,Tabla5[[#This Row],[INVERSIONES FCI]])</f>
        <v>3010985464.7182045</v>
      </c>
      <c r="DB135" s="5">
        <f>IF($B134&lt;=Tabla5[[#This Row],[INVERSIONES FCI]],+Tabla5[[#This Row],[INVERSIONES FCI]]-DB134,Tabla5[[#This Row],[INVERSIONES FCI]])</f>
        <v>3010985464.7182045</v>
      </c>
      <c r="DC135" s="5">
        <f>IF($B134&lt;=Tabla5[[#This Row],[INVERSIONES FCI]],+Tabla5[[#This Row],[INVERSIONES FCI]]-DC134,Tabla5[[#This Row],[INVERSIONES FCI]])</f>
        <v>3010985464.7182045</v>
      </c>
      <c r="DD135" s="5">
        <f>IF($B134&lt;=Tabla5[[#This Row],[INVERSIONES FCI]],+Tabla5[[#This Row],[INVERSIONES FCI]]-DD134,Tabla5[[#This Row],[INVERSIONES FCI]])</f>
        <v>3010985464.7182045</v>
      </c>
      <c r="DE135" s="5">
        <f>IF($B134&lt;=Tabla5[[#This Row],[INVERSIONES FCI]],+Tabla5[[#This Row],[INVERSIONES FCI]]-DE134,Tabla5[[#This Row],[INVERSIONES FCI]])</f>
        <v>3010985464.7182045</v>
      </c>
      <c r="DF135" s="5">
        <f>IF($B134&lt;=Tabla5[[#This Row],[INVERSIONES FCI]],+Tabla5[[#This Row],[INVERSIONES FCI]]-DF134,Tabla5[[#This Row],[INVERSIONES FCI]])</f>
        <v>3010985464.7182045</v>
      </c>
      <c r="DG135" s="5">
        <f>IF($B134&lt;=Tabla5[[#This Row],[INVERSIONES FCI]],+Tabla5[[#This Row],[INVERSIONES FCI]]-DG134,Tabla5[[#This Row],[INVERSIONES FCI]])</f>
        <v>3010985464.7182045</v>
      </c>
      <c r="DH135" s="5">
        <f>IF($B134&lt;=Tabla5[[#This Row],[INVERSIONES FCI]],+Tabla5[[#This Row],[INVERSIONES FCI]]-DH134,Tabla5[[#This Row],[INVERSIONES FCI]])</f>
        <v>3010985464.7182045</v>
      </c>
      <c r="DI135" s="5">
        <f>IF($B134&lt;=Tabla5[[#This Row],[INVERSIONES FCI]],+Tabla5[[#This Row],[INVERSIONES FCI]]-DI134,Tabla5[[#This Row],[INVERSIONES FCI]])</f>
        <v>3010985464.7182045</v>
      </c>
      <c r="DJ135" s="5">
        <f>IF($B134&lt;=Tabla5[[#This Row],[INVERSIONES FCI]],+Tabla5[[#This Row],[INVERSIONES FCI]]-DJ134,Tabla5[[#This Row],[INVERSIONES FCI]])</f>
        <v>3010985464.7182045</v>
      </c>
      <c r="DK135" s="5">
        <f>IF($B134&lt;=Tabla5[[#This Row],[INVERSIONES FCI]],+Tabla5[[#This Row],[INVERSIONES FCI]]-DK134,Tabla5[[#This Row],[INVERSIONES FCI]])</f>
        <v>3010985464.7182045</v>
      </c>
      <c r="DL135" s="5"/>
      <c r="DM135" s="5"/>
      <c r="DN135" s="5"/>
      <c r="DO135" s="5"/>
      <c r="DP135" s="5"/>
      <c r="DQ135" s="5"/>
    </row>
    <row r="136" spans="1:121" ht="14.4">
      <c r="A136" s="12" t="s">
        <v>135</v>
      </c>
      <c r="B136" s="5">
        <f>HLOOKUP($A136,ESCENARIO[#All],7,FALSE)</f>
        <v>22868458278.116692</v>
      </c>
      <c r="C136" s="5">
        <f>IF($B135&lt;=Tabla5[[#This Row],[INVERSIONES FCI]],+Tabla5[[#This Row],[INVERSIONES FCI]]-C135,Tabla5[[#This Row],[INVERSIONES FCI]])</f>
        <v>22868458278.116692</v>
      </c>
      <c r="D136" s="5">
        <f>IF($B135&lt;=Tabla5[[#This Row],[INVERSIONES FCI]],+Tabla5[[#This Row],[INVERSIONES FCI]]-D135,Tabla5[[#This Row],[INVERSIONES FCI]])</f>
        <v>22868458278.116692</v>
      </c>
      <c r="E136" s="5">
        <f>IF($B135&lt;=Tabla5[[#This Row],[INVERSIONES FCI]],+Tabla5[[#This Row],[INVERSIONES FCI]]-E135,Tabla5[[#This Row],[INVERSIONES FCI]])</f>
        <v>22868458278.116692</v>
      </c>
      <c r="F136" s="5">
        <f>IF($B135&lt;=Tabla5[[#This Row],[INVERSIONES FCI]],+Tabla5[[#This Row],[INVERSIONES FCI]]-F135,Tabla5[[#This Row],[INVERSIONES FCI]])</f>
        <v>22868458278.116692</v>
      </c>
      <c r="G136" s="5">
        <f>IF($B135&lt;=Tabla5[[#This Row],[INVERSIONES FCI]],+Tabla5[[#This Row],[INVERSIONES FCI]]-G135,Tabla5[[#This Row],[INVERSIONES FCI]])</f>
        <v>22868458278.116692</v>
      </c>
      <c r="H136" s="5">
        <f>IF($B135&lt;=Tabla5[[#This Row],[INVERSIONES FCI]],+Tabla5[[#This Row],[INVERSIONES FCI]]-H135,Tabla5[[#This Row],[INVERSIONES FCI]])</f>
        <v>22868458278.116692</v>
      </c>
      <c r="I136" s="5">
        <f>IF($B135&lt;=Tabla5[[#This Row],[INVERSIONES FCI]],+Tabla5[[#This Row],[INVERSIONES FCI]]-I135,Tabla5[[#This Row],[INVERSIONES FCI]])</f>
        <v>22868458278.116692</v>
      </c>
      <c r="J136" s="5">
        <f>IF($B135&lt;=Tabla5[[#This Row],[INVERSIONES FCI]],+Tabla5[[#This Row],[INVERSIONES FCI]]-J135,Tabla5[[#This Row],[INVERSIONES FCI]])</f>
        <v>22868458278.116692</v>
      </c>
      <c r="K136" s="5">
        <f>IF($B135&lt;=Tabla5[[#This Row],[INVERSIONES FCI]],+Tabla5[[#This Row],[INVERSIONES FCI]]-K135,Tabla5[[#This Row],[INVERSIONES FCI]])</f>
        <v>22868458278.116692</v>
      </c>
      <c r="L136" s="5">
        <f>IF($B135&lt;=Tabla5[[#This Row],[INVERSIONES FCI]],+Tabla5[[#This Row],[INVERSIONES FCI]]-L135,Tabla5[[#This Row],[INVERSIONES FCI]])</f>
        <v>22868458278.116692</v>
      </c>
      <c r="M136" s="5">
        <f>IF($B135&lt;=Tabla5[[#This Row],[INVERSIONES FCI]],+Tabla5[[#This Row],[INVERSIONES FCI]]-M135,Tabla5[[#This Row],[INVERSIONES FCI]])</f>
        <v>22868458278.116692</v>
      </c>
      <c r="N136" s="5">
        <f>IF($B135&lt;=Tabla5[[#This Row],[INVERSIONES FCI]],+Tabla5[[#This Row],[INVERSIONES FCI]]-N135,Tabla5[[#This Row],[INVERSIONES FCI]])</f>
        <v>22868458278.116692</v>
      </c>
      <c r="O136" s="5">
        <f>IF($B135&lt;=Tabla5[[#This Row],[INVERSIONES FCI]],+Tabla5[[#This Row],[INVERSIONES FCI]]-O135,Tabla5[[#This Row],[INVERSIONES FCI]])</f>
        <v>22868458278.116692</v>
      </c>
      <c r="P136" s="5">
        <f>IF($B135&lt;=Tabla5[[#This Row],[INVERSIONES FCI]],+Tabla5[[#This Row],[INVERSIONES FCI]]-P135,Tabla5[[#This Row],[INVERSIONES FCI]])</f>
        <v>22868458278.116692</v>
      </c>
      <c r="Q136" s="5">
        <f>IF($B135&lt;=Tabla5[[#This Row],[INVERSIONES FCI]],+Tabla5[[#This Row],[INVERSIONES FCI]]-Q135,Tabla5[[#This Row],[INVERSIONES FCI]])</f>
        <v>22868458278.116692</v>
      </c>
      <c r="R136" s="5">
        <f>IF($B135&lt;=Tabla5[[#This Row],[INVERSIONES FCI]],+Tabla5[[#This Row],[INVERSIONES FCI]]-R135,Tabla5[[#This Row],[INVERSIONES FCI]])</f>
        <v>22868458278.116692</v>
      </c>
      <c r="S136" s="5">
        <f>IF($B135&lt;=Tabla5[[#This Row],[INVERSIONES FCI]],+Tabla5[[#This Row],[INVERSIONES FCI]]-S135,Tabla5[[#This Row],[INVERSIONES FCI]])</f>
        <v>22868458278.116692</v>
      </c>
      <c r="T136" s="5">
        <f>IF($B135&lt;=Tabla5[[#This Row],[INVERSIONES FCI]],+Tabla5[[#This Row],[INVERSIONES FCI]]-T135,Tabla5[[#This Row],[INVERSIONES FCI]])</f>
        <v>22868458278.116692</v>
      </c>
      <c r="U136" s="5">
        <f>IF($B135&lt;=Tabla5[[#This Row],[INVERSIONES FCI]],+Tabla5[[#This Row],[INVERSIONES FCI]]-U135,Tabla5[[#This Row],[INVERSIONES FCI]])</f>
        <v>22868458278.116692</v>
      </c>
      <c r="V136" s="5">
        <f>IF($B135&lt;=Tabla5[[#This Row],[INVERSIONES FCI]],+Tabla5[[#This Row],[INVERSIONES FCI]]-V135,Tabla5[[#This Row],[INVERSIONES FCI]])</f>
        <v>22868458278.116692</v>
      </c>
      <c r="W136" s="5">
        <f>IF($B135&lt;=Tabla5[[#This Row],[INVERSIONES FCI]],+Tabla5[[#This Row],[INVERSIONES FCI]]-W135,Tabla5[[#This Row],[INVERSIONES FCI]])</f>
        <v>22868458278.116692</v>
      </c>
      <c r="X136" s="5">
        <f>IF($B135&lt;=Tabla5[[#This Row],[INVERSIONES FCI]],+Tabla5[[#This Row],[INVERSIONES FCI]]-X135,Tabla5[[#This Row],[INVERSIONES FCI]])</f>
        <v>22868458278.116692</v>
      </c>
      <c r="Y136" s="5">
        <f>IF($B135&lt;=Tabla5[[#This Row],[INVERSIONES FCI]],+Tabla5[[#This Row],[INVERSIONES FCI]]-Y135,Tabla5[[#This Row],[INVERSIONES FCI]])</f>
        <v>22868458278.116692</v>
      </c>
      <c r="Z136" s="5">
        <f>IF($B135&lt;=Tabla5[[#This Row],[INVERSIONES FCI]],+Tabla5[[#This Row],[INVERSIONES FCI]]-Z135,Tabla5[[#This Row],[INVERSIONES FCI]])</f>
        <v>22868458278.116692</v>
      </c>
      <c r="AA136" s="5">
        <f>IF($B135&lt;=Tabla5[[#This Row],[INVERSIONES FCI]],+Tabla5[[#This Row],[INVERSIONES FCI]]-AA135,Tabla5[[#This Row],[INVERSIONES FCI]])</f>
        <v>22868458278.116692</v>
      </c>
      <c r="AB136" s="5">
        <f>IF($B135&lt;=Tabla5[[#This Row],[INVERSIONES FCI]],+Tabla5[[#This Row],[INVERSIONES FCI]]-AB135,Tabla5[[#This Row],[INVERSIONES FCI]])</f>
        <v>22868458278.116692</v>
      </c>
      <c r="AC136" s="5">
        <f>IF($B135&lt;=Tabla5[[#This Row],[INVERSIONES FCI]],+Tabla5[[#This Row],[INVERSIONES FCI]]-AC135,Tabla5[[#This Row],[INVERSIONES FCI]])</f>
        <v>22868458278.116692</v>
      </c>
      <c r="AD136" s="5">
        <f>IF($B135&lt;=Tabla5[[#This Row],[INVERSIONES FCI]],+Tabla5[[#This Row],[INVERSIONES FCI]]-AD135,Tabla5[[#This Row],[INVERSIONES FCI]])</f>
        <v>22868458278.116692</v>
      </c>
      <c r="AE136" s="5">
        <f>IF($B135&lt;=Tabla5[[#This Row],[INVERSIONES FCI]],+Tabla5[[#This Row],[INVERSIONES FCI]]-AE135,Tabla5[[#This Row],[INVERSIONES FCI]])</f>
        <v>22868458278.116692</v>
      </c>
      <c r="AF136" s="5">
        <f>IF($B135&lt;=Tabla5[[#This Row],[INVERSIONES FCI]],+Tabla5[[#This Row],[INVERSIONES FCI]]-AF135,Tabla5[[#This Row],[INVERSIONES FCI]])</f>
        <v>22868458278.116692</v>
      </c>
      <c r="AG136" s="5">
        <f>IF($B135&lt;=Tabla5[[#This Row],[INVERSIONES FCI]],+Tabla5[[#This Row],[INVERSIONES FCI]]-AG135,Tabla5[[#This Row],[INVERSIONES FCI]])</f>
        <v>22868458278.116692</v>
      </c>
      <c r="AH136" s="5">
        <f>IF($B135&lt;=Tabla5[[#This Row],[INVERSIONES FCI]],+Tabla5[[#This Row],[INVERSIONES FCI]]-AH135,Tabla5[[#This Row],[INVERSIONES FCI]])</f>
        <v>22868458278.116692</v>
      </c>
      <c r="AI136" s="5">
        <f>IF($B135&lt;=Tabla5[[#This Row],[INVERSIONES FCI]],+Tabla5[[#This Row],[INVERSIONES FCI]]-AI135,Tabla5[[#This Row],[INVERSIONES FCI]])</f>
        <v>22868458278.116692</v>
      </c>
      <c r="AJ136" s="5">
        <f>IF($B135&lt;=Tabla5[[#This Row],[INVERSIONES FCI]],+Tabla5[[#This Row],[INVERSIONES FCI]]-AJ135,Tabla5[[#This Row],[INVERSIONES FCI]])</f>
        <v>22868458278.116692</v>
      </c>
      <c r="AK136" s="5">
        <f>IF($B135&lt;=Tabla5[[#This Row],[INVERSIONES FCI]],+Tabla5[[#This Row],[INVERSIONES FCI]]-AK135,Tabla5[[#This Row],[INVERSIONES FCI]])</f>
        <v>22868458278.116692</v>
      </c>
      <c r="AL136" s="5">
        <f>IF($B135&lt;=Tabla5[[#This Row],[INVERSIONES FCI]],+Tabla5[[#This Row],[INVERSIONES FCI]]-AL135,Tabla5[[#This Row],[INVERSIONES FCI]])</f>
        <v>22868458278.116692</v>
      </c>
      <c r="AM136" s="5">
        <f>IF($B135&lt;=Tabla5[[#This Row],[INVERSIONES FCI]],+Tabla5[[#This Row],[INVERSIONES FCI]]-AM135,Tabla5[[#This Row],[INVERSIONES FCI]])</f>
        <v>22868458278.116692</v>
      </c>
      <c r="AN136" s="5">
        <f>IF($B135&lt;=Tabla5[[#This Row],[INVERSIONES FCI]],+Tabla5[[#This Row],[INVERSIONES FCI]]-AN135,Tabla5[[#This Row],[INVERSIONES FCI]])</f>
        <v>22868458278.116692</v>
      </c>
      <c r="AO136" s="5">
        <f>IF($B135&lt;=Tabla5[[#This Row],[INVERSIONES FCI]],+Tabla5[[#This Row],[INVERSIONES FCI]]-AO135,Tabla5[[#This Row],[INVERSIONES FCI]])</f>
        <v>22868458278.116692</v>
      </c>
      <c r="AP136" s="5">
        <f>IF($B135&lt;=Tabla5[[#This Row],[INVERSIONES FCI]],+Tabla5[[#This Row],[INVERSIONES FCI]]-AP135,Tabla5[[#This Row],[INVERSIONES FCI]])</f>
        <v>22868458278.116692</v>
      </c>
      <c r="AQ136" s="5">
        <f>IF($B135&lt;=Tabla5[[#This Row],[INVERSIONES FCI]],+Tabla5[[#This Row],[INVERSIONES FCI]]-AQ135,Tabla5[[#This Row],[INVERSIONES FCI]])</f>
        <v>22868458278.116692</v>
      </c>
      <c r="AR136" s="5">
        <f>IF($B135&lt;=Tabla5[[#This Row],[INVERSIONES FCI]],+Tabla5[[#This Row],[INVERSIONES FCI]]-AR135,Tabla5[[#This Row],[INVERSIONES FCI]])</f>
        <v>22868458278.116692</v>
      </c>
      <c r="AS136" s="5">
        <f>IF($B135&lt;=Tabla5[[#This Row],[INVERSIONES FCI]],+Tabla5[[#This Row],[INVERSIONES FCI]]-AS135,Tabla5[[#This Row],[INVERSIONES FCI]])</f>
        <v>22868458278.116692</v>
      </c>
      <c r="AT136" s="5">
        <f>IF($B135&lt;=Tabla5[[#This Row],[INVERSIONES FCI]],+Tabla5[[#This Row],[INVERSIONES FCI]]-AT135,Tabla5[[#This Row],[INVERSIONES FCI]])</f>
        <v>22868458278.116692</v>
      </c>
      <c r="AU136" s="5">
        <f>IF($B135&lt;=Tabla5[[#This Row],[INVERSIONES FCI]],+Tabla5[[#This Row],[INVERSIONES FCI]]-AU135,Tabla5[[#This Row],[INVERSIONES FCI]])</f>
        <v>22868458278.116692</v>
      </c>
      <c r="AV136" s="5">
        <f>IF($B135&lt;=Tabla5[[#This Row],[INVERSIONES FCI]],+Tabla5[[#This Row],[INVERSIONES FCI]]-AV135,Tabla5[[#This Row],[INVERSIONES FCI]])</f>
        <v>22868458278.116692</v>
      </c>
      <c r="AW136" s="5">
        <f>IF($B135&lt;=Tabla5[[#This Row],[INVERSIONES FCI]],+Tabla5[[#This Row],[INVERSIONES FCI]]-AW135,Tabla5[[#This Row],[INVERSIONES FCI]])</f>
        <v>22868458278.116692</v>
      </c>
      <c r="AX136" s="5">
        <f>IF($B135&lt;=Tabla5[[#This Row],[INVERSIONES FCI]],+Tabla5[[#This Row],[INVERSIONES FCI]]-AX135,Tabla5[[#This Row],[INVERSIONES FCI]])</f>
        <v>22868458278.116692</v>
      </c>
      <c r="AY136" s="5">
        <f>IF($B135&lt;=Tabla5[[#This Row],[INVERSIONES FCI]],+Tabla5[[#This Row],[INVERSIONES FCI]]-AY135,Tabla5[[#This Row],[INVERSIONES FCI]])</f>
        <v>22868458278.116692</v>
      </c>
      <c r="AZ136" s="5">
        <f>IF($B135&lt;=Tabla5[[#This Row],[INVERSIONES FCI]],+Tabla5[[#This Row],[INVERSIONES FCI]]-AZ135,Tabla5[[#This Row],[INVERSIONES FCI]])</f>
        <v>22868458278.116692</v>
      </c>
      <c r="BA136" s="5">
        <f>IF($B135&lt;=Tabla5[[#This Row],[INVERSIONES FCI]],+Tabla5[[#This Row],[INVERSIONES FCI]]-BA135,Tabla5[[#This Row],[INVERSIONES FCI]])</f>
        <v>22868458278.116692</v>
      </c>
      <c r="BB136" s="5">
        <f>IF($B135&lt;=Tabla5[[#This Row],[INVERSIONES FCI]],+Tabla5[[#This Row],[INVERSIONES FCI]]-BB135,Tabla5[[#This Row],[INVERSIONES FCI]])</f>
        <v>22868458278.116692</v>
      </c>
      <c r="BC136" s="5">
        <f>IF($B135&lt;=Tabla5[[#This Row],[INVERSIONES FCI]],+Tabla5[[#This Row],[INVERSIONES FCI]]-BC135,Tabla5[[#This Row],[INVERSIONES FCI]])</f>
        <v>22868458278.116692</v>
      </c>
      <c r="BD136" s="5">
        <f>IF($B135&lt;=Tabla5[[#This Row],[INVERSIONES FCI]],+Tabla5[[#This Row],[INVERSIONES FCI]]-BD135,Tabla5[[#This Row],[INVERSIONES FCI]])</f>
        <v>22868458278.116692</v>
      </c>
      <c r="BE136" s="5">
        <f>IF($B135&lt;=Tabla5[[#This Row],[INVERSIONES FCI]],+Tabla5[[#This Row],[INVERSIONES FCI]]-BE135,Tabla5[[#This Row],[INVERSIONES FCI]])</f>
        <v>22868458278.116692</v>
      </c>
      <c r="BF136" s="5">
        <f>IF($B135&lt;=Tabla5[[#This Row],[INVERSIONES FCI]],+Tabla5[[#This Row],[INVERSIONES FCI]]-BF135,Tabla5[[#This Row],[INVERSIONES FCI]])</f>
        <v>22868458278.116692</v>
      </c>
      <c r="BG136" s="5">
        <f>IF($B135&lt;=Tabla5[[#This Row],[INVERSIONES FCI]],+Tabla5[[#This Row],[INVERSIONES FCI]]-BG135,Tabla5[[#This Row],[INVERSIONES FCI]])</f>
        <v>22868458278.116692</v>
      </c>
      <c r="BH136" s="5">
        <f>IF($B135&lt;=Tabla5[[#This Row],[INVERSIONES FCI]],+Tabla5[[#This Row],[INVERSIONES FCI]]-BH135,Tabla5[[#This Row],[INVERSIONES FCI]])</f>
        <v>22868458278.116692</v>
      </c>
      <c r="BI136" s="5">
        <f>IF($B135&lt;=Tabla5[[#This Row],[INVERSIONES FCI]],+Tabla5[[#This Row],[INVERSIONES FCI]]-BI135,Tabla5[[#This Row],[INVERSIONES FCI]])</f>
        <v>22868458278.116692</v>
      </c>
      <c r="BJ136" s="5">
        <f>IF($B135&lt;=Tabla5[[#This Row],[INVERSIONES FCI]],+Tabla5[[#This Row],[INVERSIONES FCI]]-BJ135,Tabla5[[#This Row],[INVERSIONES FCI]])</f>
        <v>22868458278.116692</v>
      </c>
      <c r="BK136" s="5">
        <f>IF($B135&lt;=Tabla5[[#This Row],[INVERSIONES FCI]],+Tabla5[[#This Row],[INVERSIONES FCI]]-BK135,Tabla5[[#This Row],[INVERSIONES FCI]])</f>
        <v>22868458278.116692</v>
      </c>
      <c r="BL136" s="5">
        <f>IF($B135&lt;=Tabla5[[#This Row],[INVERSIONES FCI]],+Tabla5[[#This Row],[INVERSIONES FCI]]-BL135,Tabla5[[#This Row],[INVERSIONES FCI]])</f>
        <v>22868458278.116692</v>
      </c>
      <c r="BM136" s="5">
        <f>IF($B135&lt;=Tabla5[[#This Row],[INVERSIONES FCI]],+Tabla5[[#This Row],[INVERSIONES FCI]]-BM135,Tabla5[[#This Row],[INVERSIONES FCI]])</f>
        <v>22868458278.116692</v>
      </c>
      <c r="BN136" s="5">
        <f>IF($B135&lt;=Tabla5[[#This Row],[INVERSIONES FCI]],+Tabla5[[#This Row],[INVERSIONES FCI]]-BN135,Tabla5[[#This Row],[INVERSIONES FCI]])</f>
        <v>22868458278.116692</v>
      </c>
      <c r="BO136" s="5">
        <f>IF($B135&lt;=Tabla5[[#This Row],[INVERSIONES FCI]],+Tabla5[[#This Row],[INVERSIONES FCI]]-BO135,Tabla5[[#This Row],[INVERSIONES FCI]])</f>
        <v>22868458278.116692</v>
      </c>
      <c r="BP136" s="5">
        <f>IF($B135&lt;=Tabla5[[#This Row],[INVERSIONES FCI]],+Tabla5[[#This Row],[INVERSIONES FCI]]-BP135,Tabla5[[#This Row],[INVERSIONES FCI]])</f>
        <v>22868458278.116692</v>
      </c>
      <c r="BQ136" s="5">
        <f>IF($B135&lt;=Tabla5[[#This Row],[INVERSIONES FCI]],+Tabla5[[#This Row],[INVERSIONES FCI]]-BQ135,Tabla5[[#This Row],[INVERSIONES FCI]])</f>
        <v>22868458278.116692</v>
      </c>
      <c r="BR136" s="5">
        <f>IF($B135&lt;=Tabla5[[#This Row],[INVERSIONES FCI]],+Tabla5[[#This Row],[INVERSIONES FCI]]-BR135,Tabla5[[#This Row],[INVERSIONES FCI]])</f>
        <v>22868458278.116692</v>
      </c>
      <c r="BS136" s="5">
        <f>IF($B135&lt;=Tabla5[[#This Row],[INVERSIONES FCI]],+Tabla5[[#This Row],[INVERSIONES FCI]]-BS135,Tabla5[[#This Row],[INVERSIONES FCI]])</f>
        <v>22868458278.116692</v>
      </c>
      <c r="BT136" s="5">
        <f>IF($B135&lt;=Tabla5[[#This Row],[INVERSIONES FCI]],+Tabla5[[#This Row],[INVERSIONES FCI]]-BT135,Tabla5[[#This Row],[INVERSIONES FCI]])</f>
        <v>22868458278.116692</v>
      </c>
      <c r="BU136" s="5">
        <f>IF($B135&lt;=Tabla5[[#This Row],[INVERSIONES FCI]],+Tabla5[[#This Row],[INVERSIONES FCI]]-BU135,Tabla5[[#This Row],[INVERSIONES FCI]])</f>
        <v>22868458278.116692</v>
      </c>
      <c r="BV136" s="5">
        <f>IF($B135&lt;=Tabla5[[#This Row],[INVERSIONES FCI]],+Tabla5[[#This Row],[INVERSIONES FCI]]-BV135,Tabla5[[#This Row],[INVERSIONES FCI]])</f>
        <v>22868458278.116692</v>
      </c>
      <c r="BW136" s="5">
        <f>IF($B135&lt;=Tabla5[[#This Row],[INVERSIONES FCI]],+Tabla5[[#This Row],[INVERSIONES FCI]]-BW135,Tabla5[[#This Row],[INVERSIONES FCI]])</f>
        <v>22868458278.116692</v>
      </c>
      <c r="BX136" s="5">
        <f>IF($B135&lt;=Tabla5[[#This Row],[INVERSIONES FCI]],+Tabla5[[#This Row],[INVERSIONES FCI]]-BX135,Tabla5[[#This Row],[INVERSIONES FCI]])</f>
        <v>22868458278.116692</v>
      </c>
      <c r="BY136" s="5">
        <f>IF($B135&lt;=Tabla5[[#This Row],[INVERSIONES FCI]],+Tabla5[[#This Row],[INVERSIONES FCI]]-BY135,Tabla5[[#This Row],[INVERSIONES FCI]])</f>
        <v>22868458278.116692</v>
      </c>
      <c r="BZ136" s="5">
        <f>IF($B135&lt;=Tabla5[[#This Row],[INVERSIONES FCI]],+Tabla5[[#This Row],[INVERSIONES FCI]]-BZ135,Tabla5[[#This Row],[INVERSIONES FCI]])</f>
        <v>22868458278.116692</v>
      </c>
      <c r="CA136" s="5">
        <f>IF($B135&lt;=Tabla5[[#This Row],[INVERSIONES FCI]],+Tabla5[[#This Row],[INVERSIONES FCI]]-CA135,Tabla5[[#This Row],[INVERSIONES FCI]])</f>
        <v>22868458278.116692</v>
      </c>
      <c r="CB136" s="5">
        <f>IF($B135&lt;=Tabla5[[#This Row],[INVERSIONES FCI]],+Tabla5[[#This Row],[INVERSIONES FCI]]-CB135,Tabla5[[#This Row],[INVERSIONES FCI]])</f>
        <v>22868458278.116692</v>
      </c>
      <c r="CC136" s="5">
        <f>IF($B135&lt;=Tabla5[[#This Row],[INVERSIONES FCI]],+Tabla5[[#This Row],[INVERSIONES FCI]]-CC135,Tabla5[[#This Row],[INVERSIONES FCI]])</f>
        <v>22868458278.116692</v>
      </c>
      <c r="CD136" s="5">
        <f>IF($B135&lt;=Tabla5[[#This Row],[INVERSIONES FCI]],+Tabla5[[#This Row],[INVERSIONES FCI]]-CD135,Tabla5[[#This Row],[INVERSIONES FCI]])</f>
        <v>22868458278.116692</v>
      </c>
      <c r="CE136" s="5">
        <f>IF($B135&lt;=Tabla5[[#This Row],[INVERSIONES FCI]],+Tabla5[[#This Row],[INVERSIONES FCI]]-CE135,Tabla5[[#This Row],[INVERSIONES FCI]])</f>
        <v>22868458278.116692</v>
      </c>
      <c r="CF136" s="5">
        <f>IF($B135&lt;=Tabla5[[#This Row],[INVERSIONES FCI]],+Tabla5[[#This Row],[INVERSIONES FCI]]-CF135,Tabla5[[#This Row],[INVERSIONES FCI]])</f>
        <v>22868458278.116692</v>
      </c>
      <c r="CG136" s="5">
        <f>IF($B135&lt;=Tabla5[[#This Row],[INVERSIONES FCI]],+Tabla5[[#This Row],[INVERSIONES FCI]]-CG135,Tabla5[[#This Row],[INVERSIONES FCI]])</f>
        <v>22868458278.116692</v>
      </c>
      <c r="CH136" s="5">
        <f>IF($B135&lt;=Tabla5[[#This Row],[INVERSIONES FCI]],+Tabla5[[#This Row],[INVERSIONES FCI]]-CH135,Tabla5[[#This Row],[INVERSIONES FCI]])</f>
        <v>22868458278.116692</v>
      </c>
      <c r="CI136" s="5">
        <f>IF($B135&lt;=Tabla5[[#This Row],[INVERSIONES FCI]],+Tabla5[[#This Row],[INVERSIONES FCI]]-CI135,Tabla5[[#This Row],[INVERSIONES FCI]])</f>
        <v>22868458278.116692</v>
      </c>
      <c r="CJ136" s="5">
        <f>IF($B135&lt;=Tabla5[[#This Row],[INVERSIONES FCI]],+Tabla5[[#This Row],[INVERSIONES FCI]]-CJ135,Tabla5[[#This Row],[INVERSIONES FCI]])</f>
        <v>22868458278.116692</v>
      </c>
      <c r="CK136" s="5">
        <f>IF($B135&lt;=Tabla5[[#This Row],[INVERSIONES FCI]],+Tabla5[[#This Row],[INVERSIONES FCI]]-CK135,Tabla5[[#This Row],[INVERSIONES FCI]])</f>
        <v>22868458278.116692</v>
      </c>
      <c r="CL136" s="5">
        <f>IF($B135&lt;=Tabla5[[#This Row],[INVERSIONES FCI]],+Tabla5[[#This Row],[INVERSIONES FCI]]-CL135,Tabla5[[#This Row],[INVERSIONES FCI]])</f>
        <v>22868458278.116692</v>
      </c>
      <c r="CM136" s="5">
        <f>IF($B135&lt;=Tabla5[[#This Row],[INVERSIONES FCI]],+Tabla5[[#This Row],[INVERSIONES FCI]]-CM135,Tabla5[[#This Row],[INVERSIONES FCI]])</f>
        <v>22868458278.116692</v>
      </c>
      <c r="CN136" s="5">
        <f>IF($B135&lt;=Tabla5[[#This Row],[INVERSIONES FCI]],+Tabla5[[#This Row],[INVERSIONES FCI]]-CN135,Tabla5[[#This Row],[INVERSIONES FCI]])</f>
        <v>22868458278.116692</v>
      </c>
      <c r="CO136" s="5">
        <f>IF($B135&lt;=Tabla5[[#This Row],[INVERSIONES FCI]],+Tabla5[[#This Row],[INVERSIONES FCI]]-CO135,Tabla5[[#This Row],[INVERSIONES FCI]])</f>
        <v>22868458278.116692</v>
      </c>
      <c r="CP136" s="5">
        <f>IF($B135&lt;=Tabla5[[#This Row],[INVERSIONES FCI]],+Tabla5[[#This Row],[INVERSIONES FCI]]-CP135,Tabla5[[#This Row],[INVERSIONES FCI]])</f>
        <v>22868458278.116692</v>
      </c>
      <c r="CQ136" s="5">
        <f>IF($B135&lt;=Tabla5[[#This Row],[INVERSIONES FCI]],+Tabla5[[#This Row],[INVERSIONES FCI]]-CQ135,Tabla5[[#This Row],[INVERSIONES FCI]])</f>
        <v>22868458278.116692</v>
      </c>
      <c r="CR136" s="5">
        <f>IF($B135&lt;=Tabla5[[#This Row],[INVERSIONES FCI]],+Tabla5[[#This Row],[INVERSIONES FCI]]-CR135,Tabla5[[#This Row],[INVERSIONES FCI]])</f>
        <v>22868458278.116692</v>
      </c>
      <c r="CS136" s="5">
        <f>IF($B135&lt;=Tabla5[[#This Row],[INVERSIONES FCI]],+Tabla5[[#This Row],[INVERSIONES FCI]]-CS135,Tabla5[[#This Row],[INVERSIONES FCI]])</f>
        <v>22868458278.116692</v>
      </c>
      <c r="CT136" s="5">
        <f>IF($B135&lt;=Tabla5[[#This Row],[INVERSIONES FCI]],+Tabla5[[#This Row],[INVERSIONES FCI]]-CT135,Tabla5[[#This Row],[INVERSIONES FCI]])</f>
        <v>22868458278.116692</v>
      </c>
      <c r="CU136" s="5">
        <f>IF($B135&lt;=Tabla5[[#This Row],[INVERSIONES FCI]],+Tabla5[[#This Row],[INVERSIONES FCI]]-CU135,Tabla5[[#This Row],[INVERSIONES FCI]])</f>
        <v>22868458278.116692</v>
      </c>
      <c r="CV136" s="5">
        <f>IF($B135&lt;=Tabla5[[#This Row],[INVERSIONES FCI]],+Tabla5[[#This Row],[INVERSIONES FCI]]-CV135,Tabla5[[#This Row],[INVERSIONES FCI]])</f>
        <v>22868458278.116692</v>
      </c>
      <c r="CW136" s="5">
        <f>IF($B135&lt;=Tabla5[[#This Row],[INVERSIONES FCI]],+Tabla5[[#This Row],[INVERSIONES FCI]]-CW135,Tabla5[[#This Row],[INVERSIONES FCI]])</f>
        <v>22868458278.116692</v>
      </c>
      <c r="CX136" s="5">
        <f>IF($B135&lt;=Tabla5[[#This Row],[INVERSIONES FCI]],+Tabla5[[#This Row],[INVERSIONES FCI]]-CX135,Tabla5[[#This Row],[INVERSIONES FCI]])</f>
        <v>22868458278.116692</v>
      </c>
      <c r="CY136" s="5">
        <f>IF($B135&lt;=Tabla5[[#This Row],[INVERSIONES FCI]],+Tabla5[[#This Row],[INVERSIONES FCI]]-CY135,Tabla5[[#This Row],[INVERSIONES FCI]])</f>
        <v>22868458278.116692</v>
      </c>
      <c r="CZ136" s="5">
        <f>IF($B135&lt;=Tabla5[[#This Row],[INVERSIONES FCI]],+Tabla5[[#This Row],[INVERSIONES FCI]]-CZ135,Tabla5[[#This Row],[INVERSIONES FCI]])</f>
        <v>22868458278.116692</v>
      </c>
      <c r="DA136" s="5">
        <f>IF($B135&lt;=Tabla5[[#This Row],[INVERSIONES FCI]],+Tabla5[[#This Row],[INVERSIONES FCI]]-DA135,Tabla5[[#This Row],[INVERSIONES FCI]])</f>
        <v>22868458278.116692</v>
      </c>
      <c r="DB136" s="5">
        <f>IF($B135&lt;=Tabla5[[#This Row],[INVERSIONES FCI]],+Tabla5[[#This Row],[INVERSIONES FCI]]-DB135,Tabla5[[#This Row],[INVERSIONES FCI]])</f>
        <v>22868458278.116692</v>
      </c>
      <c r="DC136" s="5">
        <f>IF($B135&lt;=Tabla5[[#This Row],[INVERSIONES FCI]],+Tabla5[[#This Row],[INVERSIONES FCI]]-DC135,Tabla5[[#This Row],[INVERSIONES FCI]])</f>
        <v>22868458278.116692</v>
      </c>
      <c r="DD136" s="5">
        <f>IF($B135&lt;=Tabla5[[#This Row],[INVERSIONES FCI]],+Tabla5[[#This Row],[INVERSIONES FCI]]-DD135,Tabla5[[#This Row],[INVERSIONES FCI]])</f>
        <v>22868458278.116692</v>
      </c>
      <c r="DE136" s="5">
        <f>IF($B135&lt;=Tabla5[[#This Row],[INVERSIONES FCI]],+Tabla5[[#This Row],[INVERSIONES FCI]]-DE135,Tabla5[[#This Row],[INVERSIONES FCI]])</f>
        <v>22868458278.116692</v>
      </c>
      <c r="DF136" s="5">
        <f>IF($B135&lt;=Tabla5[[#This Row],[INVERSIONES FCI]],+Tabla5[[#This Row],[INVERSIONES FCI]]-DF135,Tabla5[[#This Row],[INVERSIONES FCI]])</f>
        <v>22868458278.116692</v>
      </c>
      <c r="DG136" s="5">
        <f>IF($B135&lt;=Tabla5[[#This Row],[INVERSIONES FCI]],+Tabla5[[#This Row],[INVERSIONES FCI]]-DG135,Tabla5[[#This Row],[INVERSIONES FCI]])</f>
        <v>22868458278.116692</v>
      </c>
      <c r="DH136" s="5">
        <f>IF($B135&lt;=Tabla5[[#This Row],[INVERSIONES FCI]],+Tabla5[[#This Row],[INVERSIONES FCI]]-DH135,Tabla5[[#This Row],[INVERSIONES FCI]])</f>
        <v>22868458278.116692</v>
      </c>
      <c r="DI136" s="5">
        <f>IF($B135&lt;=Tabla5[[#This Row],[INVERSIONES FCI]],+Tabla5[[#This Row],[INVERSIONES FCI]]-DI135,Tabla5[[#This Row],[INVERSIONES FCI]])</f>
        <v>22868458278.116692</v>
      </c>
      <c r="DJ136" s="5">
        <f>IF($B135&lt;=Tabla5[[#This Row],[INVERSIONES FCI]],+Tabla5[[#This Row],[INVERSIONES FCI]]-DJ135,Tabla5[[#This Row],[INVERSIONES FCI]])</f>
        <v>22868458278.116692</v>
      </c>
      <c r="DK136" s="5">
        <f>IF($B135&lt;=Tabla5[[#This Row],[INVERSIONES FCI]],+Tabla5[[#This Row],[INVERSIONES FCI]]-DK135,Tabla5[[#This Row],[INVERSIONES FCI]])</f>
        <v>22868458278.116692</v>
      </c>
      <c r="DL136" s="5"/>
      <c r="DM136" s="5"/>
      <c r="DN136" s="5"/>
      <c r="DO136" s="5"/>
      <c r="DP136" s="5"/>
      <c r="DQ136" s="5"/>
    </row>
    <row r="137" spans="1:121" ht="14.4">
      <c r="A137" s="12" t="s">
        <v>136</v>
      </c>
      <c r="B137" s="5">
        <f>HLOOKUP($A137,ESCENARIO[#All],7,FALSE)</f>
        <v>22868700028.116692</v>
      </c>
      <c r="C137" s="5">
        <f>IF($B136&lt;=Tabla5[[#This Row],[INVERSIONES FCI]],+Tabla5[[#This Row],[INVERSIONES FCI]]-C136,Tabla5[[#This Row],[INVERSIONES FCI]])</f>
        <v>241750</v>
      </c>
      <c r="D137" s="5">
        <f>IF($B136&lt;=Tabla5[[#This Row],[INVERSIONES FCI]],+Tabla5[[#This Row],[INVERSIONES FCI]]-D136,Tabla5[[#This Row],[INVERSIONES FCI]])</f>
        <v>241750</v>
      </c>
      <c r="E137" s="5">
        <f>IF($B136&lt;=Tabla5[[#This Row],[INVERSIONES FCI]],+Tabla5[[#This Row],[INVERSIONES FCI]]-E136,Tabla5[[#This Row],[INVERSIONES FCI]])</f>
        <v>241750</v>
      </c>
      <c r="F137" s="5">
        <f>IF($B136&lt;=Tabla5[[#This Row],[INVERSIONES FCI]],+Tabla5[[#This Row],[INVERSIONES FCI]]-F136,Tabla5[[#This Row],[INVERSIONES FCI]])</f>
        <v>241750</v>
      </c>
      <c r="G137" s="5">
        <f>IF($B136&lt;=Tabla5[[#This Row],[INVERSIONES FCI]],+Tabla5[[#This Row],[INVERSIONES FCI]]-G136,Tabla5[[#This Row],[INVERSIONES FCI]])</f>
        <v>241750</v>
      </c>
      <c r="H137" s="5">
        <f>IF($B136&lt;=Tabla5[[#This Row],[INVERSIONES FCI]],+Tabla5[[#This Row],[INVERSIONES FCI]]-H136,Tabla5[[#This Row],[INVERSIONES FCI]])</f>
        <v>241750</v>
      </c>
      <c r="I137" s="5">
        <f>IF($B136&lt;=Tabla5[[#This Row],[INVERSIONES FCI]],+Tabla5[[#This Row],[INVERSIONES FCI]]-I136,Tabla5[[#This Row],[INVERSIONES FCI]])</f>
        <v>241750</v>
      </c>
      <c r="J137" s="5">
        <f>IF($B136&lt;=Tabla5[[#This Row],[INVERSIONES FCI]],+Tabla5[[#This Row],[INVERSIONES FCI]]-J136,Tabla5[[#This Row],[INVERSIONES FCI]])</f>
        <v>241750</v>
      </c>
      <c r="K137" s="5">
        <f>IF($B136&lt;=Tabla5[[#This Row],[INVERSIONES FCI]],+Tabla5[[#This Row],[INVERSIONES FCI]]-K136,Tabla5[[#This Row],[INVERSIONES FCI]])</f>
        <v>241750</v>
      </c>
      <c r="L137" s="5">
        <f>IF($B136&lt;=Tabla5[[#This Row],[INVERSIONES FCI]],+Tabla5[[#This Row],[INVERSIONES FCI]]-L136,Tabla5[[#This Row],[INVERSIONES FCI]])</f>
        <v>241750</v>
      </c>
      <c r="M137" s="5">
        <f>IF($B136&lt;=Tabla5[[#This Row],[INVERSIONES FCI]],+Tabla5[[#This Row],[INVERSIONES FCI]]-M136,Tabla5[[#This Row],[INVERSIONES FCI]])</f>
        <v>241750</v>
      </c>
      <c r="N137" s="5">
        <f>IF($B136&lt;=Tabla5[[#This Row],[INVERSIONES FCI]],+Tabla5[[#This Row],[INVERSIONES FCI]]-N136,Tabla5[[#This Row],[INVERSIONES FCI]])</f>
        <v>241750</v>
      </c>
      <c r="O137" s="5">
        <f>IF($B136&lt;=Tabla5[[#This Row],[INVERSIONES FCI]],+Tabla5[[#This Row],[INVERSIONES FCI]]-O136,Tabla5[[#This Row],[INVERSIONES FCI]])</f>
        <v>241750</v>
      </c>
      <c r="P137" s="5">
        <f>IF($B136&lt;=Tabla5[[#This Row],[INVERSIONES FCI]],+Tabla5[[#This Row],[INVERSIONES FCI]]-P136,Tabla5[[#This Row],[INVERSIONES FCI]])</f>
        <v>241750</v>
      </c>
      <c r="Q137" s="5">
        <f>IF($B136&lt;=Tabla5[[#This Row],[INVERSIONES FCI]],+Tabla5[[#This Row],[INVERSIONES FCI]]-Q136,Tabla5[[#This Row],[INVERSIONES FCI]])</f>
        <v>241750</v>
      </c>
      <c r="R137" s="5">
        <f>IF($B136&lt;=Tabla5[[#This Row],[INVERSIONES FCI]],+Tabla5[[#This Row],[INVERSIONES FCI]]-R136,Tabla5[[#This Row],[INVERSIONES FCI]])</f>
        <v>241750</v>
      </c>
      <c r="S137" s="5">
        <f>IF($B136&lt;=Tabla5[[#This Row],[INVERSIONES FCI]],+Tabla5[[#This Row],[INVERSIONES FCI]]-S136,Tabla5[[#This Row],[INVERSIONES FCI]])</f>
        <v>241750</v>
      </c>
      <c r="T137" s="5">
        <f>IF($B136&lt;=Tabla5[[#This Row],[INVERSIONES FCI]],+Tabla5[[#This Row],[INVERSIONES FCI]]-T136,Tabla5[[#This Row],[INVERSIONES FCI]])</f>
        <v>241750</v>
      </c>
      <c r="U137" s="5">
        <f>IF($B136&lt;=Tabla5[[#This Row],[INVERSIONES FCI]],+Tabla5[[#This Row],[INVERSIONES FCI]]-U136,Tabla5[[#This Row],[INVERSIONES FCI]])</f>
        <v>241750</v>
      </c>
      <c r="V137" s="5">
        <f>IF($B136&lt;=Tabla5[[#This Row],[INVERSIONES FCI]],+Tabla5[[#This Row],[INVERSIONES FCI]]-V136,Tabla5[[#This Row],[INVERSIONES FCI]])</f>
        <v>241750</v>
      </c>
      <c r="W137" s="5">
        <f>IF($B136&lt;=Tabla5[[#This Row],[INVERSIONES FCI]],+Tabla5[[#This Row],[INVERSIONES FCI]]-W136,Tabla5[[#This Row],[INVERSIONES FCI]])</f>
        <v>241750</v>
      </c>
      <c r="X137" s="5">
        <f>IF($B136&lt;=Tabla5[[#This Row],[INVERSIONES FCI]],+Tabla5[[#This Row],[INVERSIONES FCI]]-X136,Tabla5[[#This Row],[INVERSIONES FCI]])</f>
        <v>241750</v>
      </c>
      <c r="Y137" s="5">
        <f>IF($B136&lt;=Tabla5[[#This Row],[INVERSIONES FCI]],+Tabla5[[#This Row],[INVERSIONES FCI]]-Y136,Tabla5[[#This Row],[INVERSIONES FCI]])</f>
        <v>241750</v>
      </c>
      <c r="Z137" s="5">
        <f>IF($B136&lt;=Tabla5[[#This Row],[INVERSIONES FCI]],+Tabla5[[#This Row],[INVERSIONES FCI]]-Z136,Tabla5[[#This Row],[INVERSIONES FCI]])</f>
        <v>241750</v>
      </c>
      <c r="AA137" s="5">
        <f>IF($B136&lt;=Tabla5[[#This Row],[INVERSIONES FCI]],+Tabla5[[#This Row],[INVERSIONES FCI]]-AA136,Tabla5[[#This Row],[INVERSIONES FCI]])</f>
        <v>241750</v>
      </c>
      <c r="AB137" s="5">
        <f>IF($B136&lt;=Tabla5[[#This Row],[INVERSIONES FCI]],+Tabla5[[#This Row],[INVERSIONES FCI]]-AB136,Tabla5[[#This Row],[INVERSIONES FCI]])</f>
        <v>241750</v>
      </c>
      <c r="AC137" s="5">
        <f>IF($B136&lt;=Tabla5[[#This Row],[INVERSIONES FCI]],+Tabla5[[#This Row],[INVERSIONES FCI]]-AC136,Tabla5[[#This Row],[INVERSIONES FCI]])</f>
        <v>241750</v>
      </c>
      <c r="AD137" s="5">
        <f>IF($B136&lt;=Tabla5[[#This Row],[INVERSIONES FCI]],+Tabla5[[#This Row],[INVERSIONES FCI]]-AD136,Tabla5[[#This Row],[INVERSIONES FCI]])</f>
        <v>241750</v>
      </c>
      <c r="AE137" s="5">
        <f>IF($B136&lt;=Tabla5[[#This Row],[INVERSIONES FCI]],+Tabla5[[#This Row],[INVERSIONES FCI]]-AE136,Tabla5[[#This Row],[INVERSIONES FCI]])</f>
        <v>241750</v>
      </c>
      <c r="AF137" s="5">
        <f>IF($B136&lt;=Tabla5[[#This Row],[INVERSIONES FCI]],+Tabla5[[#This Row],[INVERSIONES FCI]]-AF136,Tabla5[[#This Row],[INVERSIONES FCI]])</f>
        <v>241750</v>
      </c>
      <c r="AG137" s="5">
        <f>IF($B136&lt;=Tabla5[[#This Row],[INVERSIONES FCI]],+Tabla5[[#This Row],[INVERSIONES FCI]]-AG136,Tabla5[[#This Row],[INVERSIONES FCI]])</f>
        <v>241750</v>
      </c>
      <c r="AH137" s="5">
        <f>IF($B136&lt;=Tabla5[[#This Row],[INVERSIONES FCI]],+Tabla5[[#This Row],[INVERSIONES FCI]]-AH136,Tabla5[[#This Row],[INVERSIONES FCI]])</f>
        <v>241750</v>
      </c>
      <c r="AI137" s="5">
        <f>IF($B136&lt;=Tabla5[[#This Row],[INVERSIONES FCI]],+Tabla5[[#This Row],[INVERSIONES FCI]]-AI136,Tabla5[[#This Row],[INVERSIONES FCI]])</f>
        <v>241750</v>
      </c>
      <c r="AJ137" s="5">
        <f>IF($B136&lt;=Tabla5[[#This Row],[INVERSIONES FCI]],+Tabla5[[#This Row],[INVERSIONES FCI]]-AJ136,Tabla5[[#This Row],[INVERSIONES FCI]])</f>
        <v>241750</v>
      </c>
      <c r="AK137" s="5">
        <f>IF($B136&lt;=Tabla5[[#This Row],[INVERSIONES FCI]],+Tabla5[[#This Row],[INVERSIONES FCI]]-AK136,Tabla5[[#This Row],[INVERSIONES FCI]])</f>
        <v>241750</v>
      </c>
      <c r="AL137" s="5">
        <f>IF($B136&lt;=Tabla5[[#This Row],[INVERSIONES FCI]],+Tabla5[[#This Row],[INVERSIONES FCI]]-AL136,Tabla5[[#This Row],[INVERSIONES FCI]])</f>
        <v>241750</v>
      </c>
      <c r="AM137" s="5">
        <f>IF($B136&lt;=Tabla5[[#This Row],[INVERSIONES FCI]],+Tabla5[[#This Row],[INVERSIONES FCI]]-AM136,Tabla5[[#This Row],[INVERSIONES FCI]])</f>
        <v>241750</v>
      </c>
      <c r="AN137" s="5">
        <f>IF($B136&lt;=Tabla5[[#This Row],[INVERSIONES FCI]],+Tabla5[[#This Row],[INVERSIONES FCI]]-AN136,Tabla5[[#This Row],[INVERSIONES FCI]])</f>
        <v>241750</v>
      </c>
      <c r="AO137" s="5">
        <f>IF($B136&lt;=Tabla5[[#This Row],[INVERSIONES FCI]],+Tabla5[[#This Row],[INVERSIONES FCI]]-AO136,Tabla5[[#This Row],[INVERSIONES FCI]])</f>
        <v>241750</v>
      </c>
      <c r="AP137" s="5">
        <f>IF($B136&lt;=Tabla5[[#This Row],[INVERSIONES FCI]],+Tabla5[[#This Row],[INVERSIONES FCI]]-AP136,Tabla5[[#This Row],[INVERSIONES FCI]])</f>
        <v>241750</v>
      </c>
      <c r="AQ137" s="5">
        <f>IF($B136&lt;=Tabla5[[#This Row],[INVERSIONES FCI]],+Tabla5[[#This Row],[INVERSIONES FCI]]-AQ136,Tabla5[[#This Row],[INVERSIONES FCI]])</f>
        <v>241750</v>
      </c>
      <c r="AR137" s="5">
        <f>IF($B136&lt;=Tabla5[[#This Row],[INVERSIONES FCI]],+Tabla5[[#This Row],[INVERSIONES FCI]]-AR136,Tabla5[[#This Row],[INVERSIONES FCI]])</f>
        <v>241750</v>
      </c>
      <c r="AS137" s="5">
        <f>IF($B136&lt;=Tabla5[[#This Row],[INVERSIONES FCI]],+Tabla5[[#This Row],[INVERSIONES FCI]]-AS136,Tabla5[[#This Row],[INVERSIONES FCI]])</f>
        <v>241750</v>
      </c>
      <c r="AT137" s="5">
        <f>IF($B136&lt;=Tabla5[[#This Row],[INVERSIONES FCI]],+Tabla5[[#This Row],[INVERSIONES FCI]]-AT136,Tabla5[[#This Row],[INVERSIONES FCI]])</f>
        <v>241750</v>
      </c>
      <c r="AU137" s="5">
        <f>IF($B136&lt;=Tabla5[[#This Row],[INVERSIONES FCI]],+Tabla5[[#This Row],[INVERSIONES FCI]]-AU136,Tabla5[[#This Row],[INVERSIONES FCI]])</f>
        <v>241750</v>
      </c>
      <c r="AV137" s="5">
        <f>IF($B136&lt;=Tabla5[[#This Row],[INVERSIONES FCI]],+Tabla5[[#This Row],[INVERSIONES FCI]]-AV136,Tabla5[[#This Row],[INVERSIONES FCI]])</f>
        <v>241750</v>
      </c>
      <c r="AW137" s="5">
        <f>IF($B136&lt;=Tabla5[[#This Row],[INVERSIONES FCI]],+Tabla5[[#This Row],[INVERSIONES FCI]]-AW136,Tabla5[[#This Row],[INVERSIONES FCI]])</f>
        <v>241750</v>
      </c>
      <c r="AX137" s="5">
        <f>IF($B136&lt;=Tabla5[[#This Row],[INVERSIONES FCI]],+Tabla5[[#This Row],[INVERSIONES FCI]]-AX136,Tabla5[[#This Row],[INVERSIONES FCI]])</f>
        <v>241750</v>
      </c>
      <c r="AY137" s="5">
        <f>IF($B136&lt;=Tabla5[[#This Row],[INVERSIONES FCI]],+Tabla5[[#This Row],[INVERSIONES FCI]]-AY136,Tabla5[[#This Row],[INVERSIONES FCI]])</f>
        <v>241750</v>
      </c>
      <c r="AZ137" s="5">
        <f>IF($B136&lt;=Tabla5[[#This Row],[INVERSIONES FCI]],+Tabla5[[#This Row],[INVERSIONES FCI]]-AZ136,Tabla5[[#This Row],[INVERSIONES FCI]])</f>
        <v>241750</v>
      </c>
      <c r="BA137" s="5">
        <f>IF($B136&lt;=Tabla5[[#This Row],[INVERSIONES FCI]],+Tabla5[[#This Row],[INVERSIONES FCI]]-BA136,Tabla5[[#This Row],[INVERSIONES FCI]])</f>
        <v>241750</v>
      </c>
      <c r="BB137" s="5">
        <f>IF($B136&lt;=Tabla5[[#This Row],[INVERSIONES FCI]],+Tabla5[[#This Row],[INVERSIONES FCI]]-BB136,Tabla5[[#This Row],[INVERSIONES FCI]])</f>
        <v>241750</v>
      </c>
      <c r="BC137" s="5">
        <f>IF($B136&lt;=Tabla5[[#This Row],[INVERSIONES FCI]],+Tabla5[[#This Row],[INVERSIONES FCI]]-BC136,Tabla5[[#This Row],[INVERSIONES FCI]])</f>
        <v>241750</v>
      </c>
      <c r="BD137" s="5">
        <f>IF($B136&lt;=Tabla5[[#This Row],[INVERSIONES FCI]],+Tabla5[[#This Row],[INVERSIONES FCI]]-BD136,Tabla5[[#This Row],[INVERSIONES FCI]])</f>
        <v>241750</v>
      </c>
      <c r="BE137" s="5">
        <f>IF($B136&lt;=Tabla5[[#This Row],[INVERSIONES FCI]],+Tabla5[[#This Row],[INVERSIONES FCI]]-BE136,Tabla5[[#This Row],[INVERSIONES FCI]])</f>
        <v>241750</v>
      </c>
      <c r="BF137" s="5">
        <f>IF($B136&lt;=Tabla5[[#This Row],[INVERSIONES FCI]],+Tabla5[[#This Row],[INVERSIONES FCI]]-BF136,Tabla5[[#This Row],[INVERSIONES FCI]])</f>
        <v>241750</v>
      </c>
      <c r="BG137" s="5">
        <f>IF($B136&lt;=Tabla5[[#This Row],[INVERSIONES FCI]],+Tabla5[[#This Row],[INVERSIONES FCI]]-BG136,Tabla5[[#This Row],[INVERSIONES FCI]])</f>
        <v>241750</v>
      </c>
      <c r="BH137" s="5">
        <f>IF($B136&lt;=Tabla5[[#This Row],[INVERSIONES FCI]],+Tabla5[[#This Row],[INVERSIONES FCI]]-BH136,Tabla5[[#This Row],[INVERSIONES FCI]])</f>
        <v>241750</v>
      </c>
      <c r="BI137" s="5">
        <f>IF($B136&lt;=Tabla5[[#This Row],[INVERSIONES FCI]],+Tabla5[[#This Row],[INVERSIONES FCI]]-BI136,Tabla5[[#This Row],[INVERSIONES FCI]])</f>
        <v>241750</v>
      </c>
      <c r="BJ137" s="5">
        <f>IF($B136&lt;=Tabla5[[#This Row],[INVERSIONES FCI]],+Tabla5[[#This Row],[INVERSIONES FCI]]-BJ136,Tabla5[[#This Row],[INVERSIONES FCI]])</f>
        <v>241750</v>
      </c>
      <c r="BK137" s="5">
        <f>IF($B136&lt;=Tabla5[[#This Row],[INVERSIONES FCI]],+Tabla5[[#This Row],[INVERSIONES FCI]]-BK136,Tabla5[[#This Row],[INVERSIONES FCI]])</f>
        <v>241750</v>
      </c>
      <c r="BL137" s="5">
        <f>IF($B136&lt;=Tabla5[[#This Row],[INVERSIONES FCI]],+Tabla5[[#This Row],[INVERSIONES FCI]]-BL136,Tabla5[[#This Row],[INVERSIONES FCI]])</f>
        <v>241750</v>
      </c>
      <c r="BM137" s="5">
        <f>IF($B136&lt;=Tabla5[[#This Row],[INVERSIONES FCI]],+Tabla5[[#This Row],[INVERSIONES FCI]]-BM136,Tabla5[[#This Row],[INVERSIONES FCI]])</f>
        <v>241750</v>
      </c>
      <c r="BN137" s="5">
        <f>IF($B136&lt;=Tabla5[[#This Row],[INVERSIONES FCI]],+Tabla5[[#This Row],[INVERSIONES FCI]]-BN136,Tabla5[[#This Row],[INVERSIONES FCI]])</f>
        <v>241750</v>
      </c>
      <c r="BO137" s="5">
        <f>IF($B136&lt;=Tabla5[[#This Row],[INVERSIONES FCI]],+Tabla5[[#This Row],[INVERSIONES FCI]]-BO136,Tabla5[[#This Row],[INVERSIONES FCI]])</f>
        <v>241750</v>
      </c>
      <c r="BP137" s="5">
        <f>IF($B136&lt;=Tabla5[[#This Row],[INVERSIONES FCI]],+Tabla5[[#This Row],[INVERSIONES FCI]]-BP136,Tabla5[[#This Row],[INVERSIONES FCI]])</f>
        <v>241750</v>
      </c>
      <c r="BQ137" s="5">
        <f>IF($B136&lt;=Tabla5[[#This Row],[INVERSIONES FCI]],+Tabla5[[#This Row],[INVERSIONES FCI]]-BQ136,Tabla5[[#This Row],[INVERSIONES FCI]])</f>
        <v>241750</v>
      </c>
      <c r="BR137" s="5">
        <f>IF($B136&lt;=Tabla5[[#This Row],[INVERSIONES FCI]],+Tabla5[[#This Row],[INVERSIONES FCI]]-BR136,Tabla5[[#This Row],[INVERSIONES FCI]])</f>
        <v>241750</v>
      </c>
      <c r="BS137" s="5">
        <f>IF($B136&lt;=Tabla5[[#This Row],[INVERSIONES FCI]],+Tabla5[[#This Row],[INVERSIONES FCI]]-BS136,Tabla5[[#This Row],[INVERSIONES FCI]])</f>
        <v>241750</v>
      </c>
      <c r="BT137" s="5">
        <f>IF($B136&lt;=Tabla5[[#This Row],[INVERSIONES FCI]],+Tabla5[[#This Row],[INVERSIONES FCI]]-BT136,Tabla5[[#This Row],[INVERSIONES FCI]])</f>
        <v>241750</v>
      </c>
      <c r="BU137" s="5">
        <f>IF($B136&lt;=Tabla5[[#This Row],[INVERSIONES FCI]],+Tabla5[[#This Row],[INVERSIONES FCI]]-BU136,Tabla5[[#This Row],[INVERSIONES FCI]])</f>
        <v>241750</v>
      </c>
      <c r="BV137" s="5">
        <f>IF($B136&lt;=Tabla5[[#This Row],[INVERSIONES FCI]],+Tabla5[[#This Row],[INVERSIONES FCI]]-BV136,Tabla5[[#This Row],[INVERSIONES FCI]])</f>
        <v>241750</v>
      </c>
      <c r="BW137" s="5">
        <f>IF($B136&lt;=Tabla5[[#This Row],[INVERSIONES FCI]],+Tabla5[[#This Row],[INVERSIONES FCI]]-BW136,Tabla5[[#This Row],[INVERSIONES FCI]])</f>
        <v>241750</v>
      </c>
      <c r="BX137" s="5">
        <f>IF($B136&lt;=Tabla5[[#This Row],[INVERSIONES FCI]],+Tabla5[[#This Row],[INVERSIONES FCI]]-BX136,Tabla5[[#This Row],[INVERSIONES FCI]])</f>
        <v>241750</v>
      </c>
      <c r="BY137" s="5">
        <f>IF($B136&lt;=Tabla5[[#This Row],[INVERSIONES FCI]],+Tabla5[[#This Row],[INVERSIONES FCI]]-BY136,Tabla5[[#This Row],[INVERSIONES FCI]])</f>
        <v>241750</v>
      </c>
      <c r="BZ137" s="5">
        <f>IF($B136&lt;=Tabla5[[#This Row],[INVERSIONES FCI]],+Tabla5[[#This Row],[INVERSIONES FCI]]-BZ136,Tabla5[[#This Row],[INVERSIONES FCI]])</f>
        <v>241750</v>
      </c>
      <c r="CA137" s="5">
        <f>IF($B136&lt;=Tabla5[[#This Row],[INVERSIONES FCI]],+Tabla5[[#This Row],[INVERSIONES FCI]]-CA136,Tabla5[[#This Row],[INVERSIONES FCI]])</f>
        <v>241750</v>
      </c>
      <c r="CB137" s="5">
        <f>IF($B136&lt;=Tabla5[[#This Row],[INVERSIONES FCI]],+Tabla5[[#This Row],[INVERSIONES FCI]]-CB136,Tabla5[[#This Row],[INVERSIONES FCI]])</f>
        <v>241750</v>
      </c>
      <c r="CC137" s="5">
        <f>IF($B136&lt;=Tabla5[[#This Row],[INVERSIONES FCI]],+Tabla5[[#This Row],[INVERSIONES FCI]]-CC136,Tabla5[[#This Row],[INVERSIONES FCI]])</f>
        <v>241750</v>
      </c>
      <c r="CD137" s="5">
        <f>IF($B136&lt;=Tabla5[[#This Row],[INVERSIONES FCI]],+Tabla5[[#This Row],[INVERSIONES FCI]]-CD136,Tabla5[[#This Row],[INVERSIONES FCI]])</f>
        <v>241750</v>
      </c>
      <c r="CE137" s="5">
        <f>IF($B136&lt;=Tabla5[[#This Row],[INVERSIONES FCI]],+Tabla5[[#This Row],[INVERSIONES FCI]]-CE136,Tabla5[[#This Row],[INVERSIONES FCI]])</f>
        <v>241750</v>
      </c>
      <c r="CF137" s="5">
        <f>IF($B136&lt;=Tabla5[[#This Row],[INVERSIONES FCI]],+Tabla5[[#This Row],[INVERSIONES FCI]]-CF136,Tabla5[[#This Row],[INVERSIONES FCI]])</f>
        <v>241750</v>
      </c>
      <c r="CG137" s="5">
        <f>IF($B136&lt;=Tabla5[[#This Row],[INVERSIONES FCI]],+Tabla5[[#This Row],[INVERSIONES FCI]]-CG136,Tabla5[[#This Row],[INVERSIONES FCI]])</f>
        <v>241750</v>
      </c>
      <c r="CH137" s="5">
        <f>IF($B136&lt;=Tabla5[[#This Row],[INVERSIONES FCI]],+Tabla5[[#This Row],[INVERSIONES FCI]]-CH136,Tabla5[[#This Row],[INVERSIONES FCI]])</f>
        <v>241750</v>
      </c>
      <c r="CI137" s="5">
        <f>IF($B136&lt;=Tabla5[[#This Row],[INVERSIONES FCI]],+Tabla5[[#This Row],[INVERSIONES FCI]]-CI136,Tabla5[[#This Row],[INVERSIONES FCI]])</f>
        <v>241750</v>
      </c>
      <c r="CJ137" s="5">
        <f>IF($B136&lt;=Tabla5[[#This Row],[INVERSIONES FCI]],+Tabla5[[#This Row],[INVERSIONES FCI]]-CJ136,Tabla5[[#This Row],[INVERSIONES FCI]])</f>
        <v>241750</v>
      </c>
      <c r="CK137" s="5">
        <f>IF($B136&lt;=Tabla5[[#This Row],[INVERSIONES FCI]],+Tabla5[[#This Row],[INVERSIONES FCI]]-CK136,Tabla5[[#This Row],[INVERSIONES FCI]])</f>
        <v>241750</v>
      </c>
      <c r="CL137" s="5">
        <f>IF($B136&lt;=Tabla5[[#This Row],[INVERSIONES FCI]],+Tabla5[[#This Row],[INVERSIONES FCI]]-CL136,Tabla5[[#This Row],[INVERSIONES FCI]])</f>
        <v>241750</v>
      </c>
      <c r="CM137" s="5">
        <f>IF($B136&lt;=Tabla5[[#This Row],[INVERSIONES FCI]],+Tabla5[[#This Row],[INVERSIONES FCI]]-CM136,Tabla5[[#This Row],[INVERSIONES FCI]])</f>
        <v>241750</v>
      </c>
      <c r="CN137" s="5">
        <f>IF($B136&lt;=Tabla5[[#This Row],[INVERSIONES FCI]],+Tabla5[[#This Row],[INVERSIONES FCI]]-CN136,Tabla5[[#This Row],[INVERSIONES FCI]])</f>
        <v>241750</v>
      </c>
      <c r="CO137" s="5">
        <f>IF($B136&lt;=Tabla5[[#This Row],[INVERSIONES FCI]],+Tabla5[[#This Row],[INVERSIONES FCI]]-CO136,Tabla5[[#This Row],[INVERSIONES FCI]])</f>
        <v>241750</v>
      </c>
      <c r="CP137" s="5">
        <f>IF($B136&lt;=Tabla5[[#This Row],[INVERSIONES FCI]],+Tabla5[[#This Row],[INVERSIONES FCI]]-CP136,Tabla5[[#This Row],[INVERSIONES FCI]])</f>
        <v>241750</v>
      </c>
      <c r="CQ137" s="5">
        <f>IF($B136&lt;=Tabla5[[#This Row],[INVERSIONES FCI]],+Tabla5[[#This Row],[INVERSIONES FCI]]-CQ136,Tabla5[[#This Row],[INVERSIONES FCI]])</f>
        <v>241750</v>
      </c>
      <c r="CR137" s="5">
        <f>IF($B136&lt;=Tabla5[[#This Row],[INVERSIONES FCI]],+Tabla5[[#This Row],[INVERSIONES FCI]]-CR136,Tabla5[[#This Row],[INVERSIONES FCI]])</f>
        <v>241750</v>
      </c>
      <c r="CS137" s="5">
        <f>IF($B136&lt;=Tabla5[[#This Row],[INVERSIONES FCI]],+Tabla5[[#This Row],[INVERSIONES FCI]]-CS136,Tabla5[[#This Row],[INVERSIONES FCI]])</f>
        <v>241750</v>
      </c>
      <c r="CT137" s="5">
        <f>IF($B136&lt;=Tabla5[[#This Row],[INVERSIONES FCI]],+Tabla5[[#This Row],[INVERSIONES FCI]]-CT136,Tabla5[[#This Row],[INVERSIONES FCI]])</f>
        <v>241750</v>
      </c>
      <c r="CU137" s="5">
        <f>IF($B136&lt;=Tabla5[[#This Row],[INVERSIONES FCI]],+Tabla5[[#This Row],[INVERSIONES FCI]]-CU136,Tabla5[[#This Row],[INVERSIONES FCI]])</f>
        <v>241750</v>
      </c>
      <c r="CV137" s="5">
        <f>IF($B136&lt;=Tabla5[[#This Row],[INVERSIONES FCI]],+Tabla5[[#This Row],[INVERSIONES FCI]]-CV136,Tabla5[[#This Row],[INVERSIONES FCI]])</f>
        <v>241750</v>
      </c>
      <c r="CW137" s="5">
        <f>IF($B136&lt;=Tabla5[[#This Row],[INVERSIONES FCI]],+Tabla5[[#This Row],[INVERSIONES FCI]]-CW136,Tabla5[[#This Row],[INVERSIONES FCI]])</f>
        <v>241750</v>
      </c>
      <c r="CX137" s="5">
        <f>IF($B136&lt;=Tabla5[[#This Row],[INVERSIONES FCI]],+Tabla5[[#This Row],[INVERSIONES FCI]]-CX136,Tabla5[[#This Row],[INVERSIONES FCI]])</f>
        <v>241750</v>
      </c>
      <c r="CY137" s="5">
        <f>IF($B136&lt;=Tabla5[[#This Row],[INVERSIONES FCI]],+Tabla5[[#This Row],[INVERSIONES FCI]]-CY136,Tabla5[[#This Row],[INVERSIONES FCI]])</f>
        <v>241750</v>
      </c>
      <c r="CZ137" s="5">
        <f>IF($B136&lt;=Tabla5[[#This Row],[INVERSIONES FCI]],+Tabla5[[#This Row],[INVERSIONES FCI]]-CZ136,Tabla5[[#This Row],[INVERSIONES FCI]])</f>
        <v>241750</v>
      </c>
      <c r="DA137" s="5">
        <f>IF($B136&lt;=Tabla5[[#This Row],[INVERSIONES FCI]],+Tabla5[[#This Row],[INVERSIONES FCI]]-DA136,Tabla5[[#This Row],[INVERSIONES FCI]])</f>
        <v>241750</v>
      </c>
      <c r="DB137" s="5">
        <f>IF($B136&lt;=Tabla5[[#This Row],[INVERSIONES FCI]],+Tabla5[[#This Row],[INVERSIONES FCI]]-DB136,Tabla5[[#This Row],[INVERSIONES FCI]])</f>
        <v>241750</v>
      </c>
      <c r="DC137" s="5">
        <f>IF($B136&lt;=Tabla5[[#This Row],[INVERSIONES FCI]],+Tabla5[[#This Row],[INVERSIONES FCI]]-DC136,Tabla5[[#This Row],[INVERSIONES FCI]])</f>
        <v>241750</v>
      </c>
      <c r="DD137" s="5">
        <f>IF($B136&lt;=Tabla5[[#This Row],[INVERSIONES FCI]],+Tabla5[[#This Row],[INVERSIONES FCI]]-DD136,Tabla5[[#This Row],[INVERSIONES FCI]])</f>
        <v>241750</v>
      </c>
      <c r="DE137" s="5">
        <f>IF($B136&lt;=Tabla5[[#This Row],[INVERSIONES FCI]],+Tabla5[[#This Row],[INVERSIONES FCI]]-DE136,Tabla5[[#This Row],[INVERSIONES FCI]])</f>
        <v>241750</v>
      </c>
      <c r="DF137" s="5">
        <f>IF($B136&lt;=Tabla5[[#This Row],[INVERSIONES FCI]],+Tabla5[[#This Row],[INVERSIONES FCI]]-DF136,Tabla5[[#This Row],[INVERSIONES FCI]])</f>
        <v>241750</v>
      </c>
      <c r="DG137" s="5">
        <f>IF($B136&lt;=Tabla5[[#This Row],[INVERSIONES FCI]],+Tabla5[[#This Row],[INVERSIONES FCI]]-DG136,Tabla5[[#This Row],[INVERSIONES FCI]])</f>
        <v>241750</v>
      </c>
      <c r="DH137" s="5">
        <f>IF($B136&lt;=Tabla5[[#This Row],[INVERSIONES FCI]],+Tabla5[[#This Row],[INVERSIONES FCI]]-DH136,Tabla5[[#This Row],[INVERSIONES FCI]])</f>
        <v>241750</v>
      </c>
      <c r="DI137" s="5">
        <f>IF($B136&lt;=Tabla5[[#This Row],[INVERSIONES FCI]],+Tabla5[[#This Row],[INVERSIONES FCI]]-DI136,Tabla5[[#This Row],[INVERSIONES FCI]])</f>
        <v>241750</v>
      </c>
      <c r="DJ137" s="5">
        <f>IF($B136&lt;=Tabla5[[#This Row],[INVERSIONES FCI]],+Tabla5[[#This Row],[INVERSIONES FCI]]-DJ136,Tabla5[[#This Row],[INVERSIONES FCI]])</f>
        <v>241750</v>
      </c>
      <c r="DK137" s="5">
        <f>IF($B136&lt;=Tabla5[[#This Row],[INVERSIONES FCI]],+Tabla5[[#This Row],[INVERSIONES FCI]]-DK136,Tabla5[[#This Row],[INVERSIONES FCI]])</f>
        <v>241750</v>
      </c>
      <c r="DL137" s="5"/>
      <c r="DM137" s="5"/>
      <c r="DN137" s="5"/>
      <c r="DO137" s="5"/>
      <c r="DP137" s="5"/>
      <c r="DQ137" s="5"/>
    </row>
    <row r="138" spans="1:121" ht="14.4">
      <c r="A138" s="12" t="s">
        <v>137</v>
      </c>
      <c r="B138" s="5">
        <f>HLOOKUP($A138,ESCENARIO[#All],7,FALSE)</f>
        <v>25687165558.311234</v>
      </c>
      <c r="C138" s="5">
        <f>IF($B137&lt;=Tabla5[[#This Row],[INVERSIONES FCI]],+Tabla5[[#This Row],[INVERSIONES FCI]]-C137,Tabla5[[#This Row],[INVERSIONES FCI]])</f>
        <v>25686923808.311234</v>
      </c>
      <c r="D138" s="5">
        <f>IF($B137&lt;=Tabla5[[#This Row],[INVERSIONES FCI]],+Tabla5[[#This Row],[INVERSIONES FCI]]-D137,Tabla5[[#This Row],[INVERSIONES FCI]])</f>
        <v>25686923808.311234</v>
      </c>
      <c r="E138" s="5">
        <f>IF($B137&lt;=Tabla5[[#This Row],[INVERSIONES FCI]],+Tabla5[[#This Row],[INVERSIONES FCI]]-E137,Tabla5[[#This Row],[INVERSIONES FCI]])</f>
        <v>25686923808.311234</v>
      </c>
      <c r="F138" s="5">
        <f>IF($B137&lt;=Tabla5[[#This Row],[INVERSIONES FCI]],+Tabla5[[#This Row],[INVERSIONES FCI]]-F137,Tabla5[[#This Row],[INVERSIONES FCI]])</f>
        <v>25686923808.311234</v>
      </c>
      <c r="G138" s="5">
        <f>IF($B137&lt;=Tabla5[[#This Row],[INVERSIONES FCI]],+Tabla5[[#This Row],[INVERSIONES FCI]]-G137,Tabla5[[#This Row],[INVERSIONES FCI]])</f>
        <v>25686923808.311234</v>
      </c>
      <c r="H138" s="5">
        <f>IF($B137&lt;=Tabla5[[#This Row],[INVERSIONES FCI]],+Tabla5[[#This Row],[INVERSIONES FCI]]-H137,Tabla5[[#This Row],[INVERSIONES FCI]])</f>
        <v>25686923808.311234</v>
      </c>
      <c r="I138" s="5">
        <f>IF($B137&lt;=Tabla5[[#This Row],[INVERSIONES FCI]],+Tabla5[[#This Row],[INVERSIONES FCI]]-I137,Tabla5[[#This Row],[INVERSIONES FCI]])</f>
        <v>25686923808.311234</v>
      </c>
      <c r="J138" s="5">
        <f>IF($B137&lt;=Tabla5[[#This Row],[INVERSIONES FCI]],+Tabla5[[#This Row],[INVERSIONES FCI]]-J137,Tabla5[[#This Row],[INVERSIONES FCI]])</f>
        <v>25686923808.311234</v>
      </c>
      <c r="K138" s="5">
        <f>IF($B137&lt;=Tabla5[[#This Row],[INVERSIONES FCI]],+Tabla5[[#This Row],[INVERSIONES FCI]]-K137,Tabla5[[#This Row],[INVERSIONES FCI]])</f>
        <v>25686923808.311234</v>
      </c>
      <c r="L138" s="5">
        <f>IF($B137&lt;=Tabla5[[#This Row],[INVERSIONES FCI]],+Tabla5[[#This Row],[INVERSIONES FCI]]-L137,Tabla5[[#This Row],[INVERSIONES FCI]])</f>
        <v>25686923808.311234</v>
      </c>
      <c r="M138" s="5">
        <f>IF($B137&lt;=Tabla5[[#This Row],[INVERSIONES FCI]],+Tabla5[[#This Row],[INVERSIONES FCI]]-M137,Tabla5[[#This Row],[INVERSIONES FCI]])</f>
        <v>25686923808.311234</v>
      </c>
      <c r="N138" s="5">
        <f>IF($B137&lt;=Tabla5[[#This Row],[INVERSIONES FCI]],+Tabla5[[#This Row],[INVERSIONES FCI]]-N137,Tabla5[[#This Row],[INVERSIONES FCI]])</f>
        <v>25686923808.311234</v>
      </c>
      <c r="O138" s="5">
        <f>IF($B137&lt;=Tabla5[[#This Row],[INVERSIONES FCI]],+Tabla5[[#This Row],[INVERSIONES FCI]]-O137,Tabla5[[#This Row],[INVERSIONES FCI]])</f>
        <v>25686923808.311234</v>
      </c>
      <c r="P138" s="5">
        <f>IF($B137&lt;=Tabla5[[#This Row],[INVERSIONES FCI]],+Tabla5[[#This Row],[INVERSIONES FCI]]-P137,Tabla5[[#This Row],[INVERSIONES FCI]])</f>
        <v>25686923808.311234</v>
      </c>
      <c r="Q138" s="5">
        <f>IF($B137&lt;=Tabla5[[#This Row],[INVERSIONES FCI]],+Tabla5[[#This Row],[INVERSIONES FCI]]-Q137,Tabla5[[#This Row],[INVERSIONES FCI]])</f>
        <v>25686923808.311234</v>
      </c>
      <c r="R138" s="5">
        <f>IF($B137&lt;=Tabla5[[#This Row],[INVERSIONES FCI]],+Tabla5[[#This Row],[INVERSIONES FCI]]-R137,Tabla5[[#This Row],[INVERSIONES FCI]])</f>
        <v>25686923808.311234</v>
      </c>
      <c r="S138" s="5">
        <f>IF($B137&lt;=Tabla5[[#This Row],[INVERSIONES FCI]],+Tabla5[[#This Row],[INVERSIONES FCI]]-S137,Tabla5[[#This Row],[INVERSIONES FCI]])</f>
        <v>25686923808.311234</v>
      </c>
      <c r="T138" s="5">
        <f>IF($B137&lt;=Tabla5[[#This Row],[INVERSIONES FCI]],+Tabla5[[#This Row],[INVERSIONES FCI]]-T137,Tabla5[[#This Row],[INVERSIONES FCI]])</f>
        <v>25686923808.311234</v>
      </c>
      <c r="U138" s="5">
        <f>IF($B137&lt;=Tabla5[[#This Row],[INVERSIONES FCI]],+Tabla5[[#This Row],[INVERSIONES FCI]]-U137,Tabla5[[#This Row],[INVERSIONES FCI]])</f>
        <v>25686923808.311234</v>
      </c>
      <c r="V138" s="5">
        <f>IF($B137&lt;=Tabla5[[#This Row],[INVERSIONES FCI]],+Tabla5[[#This Row],[INVERSIONES FCI]]-V137,Tabla5[[#This Row],[INVERSIONES FCI]])</f>
        <v>25686923808.311234</v>
      </c>
      <c r="W138" s="5">
        <f>IF($B137&lt;=Tabla5[[#This Row],[INVERSIONES FCI]],+Tabla5[[#This Row],[INVERSIONES FCI]]-W137,Tabla5[[#This Row],[INVERSIONES FCI]])</f>
        <v>25686923808.311234</v>
      </c>
      <c r="X138" s="5">
        <f>IF($B137&lt;=Tabla5[[#This Row],[INVERSIONES FCI]],+Tabla5[[#This Row],[INVERSIONES FCI]]-X137,Tabla5[[#This Row],[INVERSIONES FCI]])</f>
        <v>25686923808.311234</v>
      </c>
      <c r="Y138" s="5">
        <f>IF($B137&lt;=Tabla5[[#This Row],[INVERSIONES FCI]],+Tabla5[[#This Row],[INVERSIONES FCI]]-Y137,Tabla5[[#This Row],[INVERSIONES FCI]])</f>
        <v>25686923808.311234</v>
      </c>
      <c r="Z138" s="5">
        <f>IF($B137&lt;=Tabla5[[#This Row],[INVERSIONES FCI]],+Tabla5[[#This Row],[INVERSIONES FCI]]-Z137,Tabla5[[#This Row],[INVERSIONES FCI]])</f>
        <v>25686923808.311234</v>
      </c>
      <c r="AA138" s="5">
        <f>IF($B137&lt;=Tabla5[[#This Row],[INVERSIONES FCI]],+Tabla5[[#This Row],[INVERSIONES FCI]]-AA137,Tabla5[[#This Row],[INVERSIONES FCI]])</f>
        <v>25686923808.311234</v>
      </c>
      <c r="AB138" s="5">
        <f>IF($B137&lt;=Tabla5[[#This Row],[INVERSIONES FCI]],+Tabla5[[#This Row],[INVERSIONES FCI]]-AB137,Tabla5[[#This Row],[INVERSIONES FCI]])</f>
        <v>25686923808.311234</v>
      </c>
      <c r="AC138" s="5">
        <f>IF($B137&lt;=Tabla5[[#This Row],[INVERSIONES FCI]],+Tabla5[[#This Row],[INVERSIONES FCI]]-AC137,Tabla5[[#This Row],[INVERSIONES FCI]])</f>
        <v>25686923808.311234</v>
      </c>
      <c r="AD138" s="5">
        <f>IF($B137&lt;=Tabla5[[#This Row],[INVERSIONES FCI]],+Tabla5[[#This Row],[INVERSIONES FCI]]-AD137,Tabla5[[#This Row],[INVERSIONES FCI]])</f>
        <v>25686923808.311234</v>
      </c>
      <c r="AE138" s="5">
        <f>IF($B137&lt;=Tabla5[[#This Row],[INVERSIONES FCI]],+Tabla5[[#This Row],[INVERSIONES FCI]]-AE137,Tabla5[[#This Row],[INVERSIONES FCI]])</f>
        <v>25686923808.311234</v>
      </c>
      <c r="AF138" s="5">
        <f>IF($B137&lt;=Tabla5[[#This Row],[INVERSIONES FCI]],+Tabla5[[#This Row],[INVERSIONES FCI]]-AF137,Tabla5[[#This Row],[INVERSIONES FCI]])</f>
        <v>25686923808.311234</v>
      </c>
      <c r="AG138" s="5">
        <f>IF($B137&lt;=Tabla5[[#This Row],[INVERSIONES FCI]],+Tabla5[[#This Row],[INVERSIONES FCI]]-AG137,Tabla5[[#This Row],[INVERSIONES FCI]])</f>
        <v>25686923808.311234</v>
      </c>
      <c r="AH138" s="5">
        <f>IF($B137&lt;=Tabla5[[#This Row],[INVERSIONES FCI]],+Tabla5[[#This Row],[INVERSIONES FCI]]-AH137,Tabla5[[#This Row],[INVERSIONES FCI]])</f>
        <v>25686923808.311234</v>
      </c>
      <c r="AI138" s="5">
        <f>IF($B137&lt;=Tabla5[[#This Row],[INVERSIONES FCI]],+Tabla5[[#This Row],[INVERSIONES FCI]]-AI137,Tabla5[[#This Row],[INVERSIONES FCI]])</f>
        <v>25686923808.311234</v>
      </c>
      <c r="AJ138" s="5">
        <f>IF($B137&lt;=Tabla5[[#This Row],[INVERSIONES FCI]],+Tabla5[[#This Row],[INVERSIONES FCI]]-AJ137,Tabla5[[#This Row],[INVERSIONES FCI]])</f>
        <v>25686923808.311234</v>
      </c>
      <c r="AK138" s="5">
        <f>IF($B137&lt;=Tabla5[[#This Row],[INVERSIONES FCI]],+Tabla5[[#This Row],[INVERSIONES FCI]]-AK137,Tabla5[[#This Row],[INVERSIONES FCI]])</f>
        <v>25686923808.311234</v>
      </c>
      <c r="AL138" s="5">
        <f>IF($B137&lt;=Tabla5[[#This Row],[INVERSIONES FCI]],+Tabla5[[#This Row],[INVERSIONES FCI]]-AL137,Tabla5[[#This Row],[INVERSIONES FCI]])</f>
        <v>25686923808.311234</v>
      </c>
      <c r="AM138" s="5">
        <f>IF($B137&lt;=Tabla5[[#This Row],[INVERSIONES FCI]],+Tabla5[[#This Row],[INVERSIONES FCI]]-AM137,Tabla5[[#This Row],[INVERSIONES FCI]])</f>
        <v>25686923808.311234</v>
      </c>
      <c r="AN138" s="5">
        <f>IF($B137&lt;=Tabla5[[#This Row],[INVERSIONES FCI]],+Tabla5[[#This Row],[INVERSIONES FCI]]-AN137,Tabla5[[#This Row],[INVERSIONES FCI]])</f>
        <v>25686923808.311234</v>
      </c>
      <c r="AO138" s="5">
        <f>IF($B137&lt;=Tabla5[[#This Row],[INVERSIONES FCI]],+Tabla5[[#This Row],[INVERSIONES FCI]]-AO137,Tabla5[[#This Row],[INVERSIONES FCI]])</f>
        <v>25686923808.311234</v>
      </c>
      <c r="AP138" s="5">
        <f>IF($B137&lt;=Tabla5[[#This Row],[INVERSIONES FCI]],+Tabla5[[#This Row],[INVERSIONES FCI]]-AP137,Tabla5[[#This Row],[INVERSIONES FCI]])</f>
        <v>25686923808.311234</v>
      </c>
      <c r="AQ138" s="5">
        <f>IF($B137&lt;=Tabla5[[#This Row],[INVERSIONES FCI]],+Tabla5[[#This Row],[INVERSIONES FCI]]-AQ137,Tabla5[[#This Row],[INVERSIONES FCI]])</f>
        <v>25686923808.311234</v>
      </c>
      <c r="AR138" s="5">
        <f>IF($B137&lt;=Tabla5[[#This Row],[INVERSIONES FCI]],+Tabla5[[#This Row],[INVERSIONES FCI]]-AR137,Tabla5[[#This Row],[INVERSIONES FCI]])</f>
        <v>25686923808.311234</v>
      </c>
      <c r="AS138" s="5">
        <f>IF($B137&lt;=Tabla5[[#This Row],[INVERSIONES FCI]],+Tabla5[[#This Row],[INVERSIONES FCI]]-AS137,Tabla5[[#This Row],[INVERSIONES FCI]])</f>
        <v>25686923808.311234</v>
      </c>
      <c r="AT138" s="5">
        <f>IF($B137&lt;=Tabla5[[#This Row],[INVERSIONES FCI]],+Tabla5[[#This Row],[INVERSIONES FCI]]-AT137,Tabla5[[#This Row],[INVERSIONES FCI]])</f>
        <v>25686923808.311234</v>
      </c>
      <c r="AU138" s="5">
        <f>IF($B137&lt;=Tabla5[[#This Row],[INVERSIONES FCI]],+Tabla5[[#This Row],[INVERSIONES FCI]]-AU137,Tabla5[[#This Row],[INVERSIONES FCI]])</f>
        <v>25686923808.311234</v>
      </c>
      <c r="AV138" s="5">
        <f>IF($B137&lt;=Tabla5[[#This Row],[INVERSIONES FCI]],+Tabla5[[#This Row],[INVERSIONES FCI]]-AV137,Tabla5[[#This Row],[INVERSIONES FCI]])</f>
        <v>25686923808.311234</v>
      </c>
      <c r="AW138" s="5">
        <f>IF($B137&lt;=Tabla5[[#This Row],[INVERSIONES FCI]],+Tabla5[[#This Row],[INVERSIONES FCI]]-AW137,Tabla5[[#This Row],[INVERSIONES FCI]])</f>
        <v>25686923808.311234</v>
      </c>
      <c r="AX138" s="5">
        <f>IF($B137&lt;=Tabla5[[#This Row],[INVERSIONES FCI]],+Tabla5[[#This Row],[INVERSIONES FCI]]-AX137,Tabla5[[#This Row],[INVERSIONES FCI]])</f>
        <v>25686923808.311234</v>
      </c>
      <c r="AY138" s="5">
        <f>IF($B137&lt;=Tabla5[[#This Row],[INVERSIONES FCI]],+Tabla5[[#This Row],[INVERSIONES FCI]]-AY137,Tabla5[[#This Row],[INVERSIONES FCI]])</f>
        <v>25686923808.311234</v>
      </c>
      <c r="AZ138" s="5">
        <f>IF($B137&lt;=Tabla5[[#This Row],[INVERSIONES FCI]],+Tabla5[[#This Row],[INVERSIONES FCI]]-AZ137,Tabla5[[#This Row],[INVERSIONES FCI]])</f>
        <v>25686923808.311234</v>
      </c>
      <c r="BA138" s="5">
        <f>IF($B137&lt;=Tabla5[[#This Row],[INVERSIONES FCI]],+Tabla5[[#This Row],[INVERSIONES FCI]]-BA137,Tabla5[[#This Row],[INVERSIONES FCI]])</f>
        <v>25686923808.311234</v>
      </c>
      <c r="BB138" s="5">
        <f>IF($B137&lt;=Tabla5[[#This Row],[INVERSIONES FCI]],+Tabla5[[#This Row],[INVERSIONES FCI]]-BB137,Tabla5[[#This Row],[INVERSIONES FCI]])</f>
        <v>25686923808.311234</v>
      </c>
      <c r="BC138" s="5">
        <f>IF($B137&lt;=Tabla5[[#This Row],[INVERSIONES FCI]],+Tabla5[[#This Row],[INVERSIONES FCI]]-BC137,Tabla5[[#This Row],[INVERSIONES FCI]])</f>
        <v>25686923808.311234</v>
      </c>
      <c r="BD138" s="5">
        <f>IF($B137&lt;=Tabla5[[#This Row],[INVERSIONES FCI]],+Tabla5[[#This Row],[INVERSIONES FCI]]-BD137,Tabla5[[#This Row],[INVERSIONES FCI]])</f>
        <v>25686923808.311234</v>
      </c>
      <c r="BE138" s="5">
        <f>IF($B137&lt;=Tabla5[[#This Row],[INVERSIONES FCI]],+Tabla5[[#This Row],[INVERSIONES FCI]]-BE137,Tabla5[[#This Row],[INVERSIONES FCI]])</f>
        <v>25686923808.311234</v>
      </c>
      <c r="BF138" s="5">
        <f>IF($B137&lt;=Tabla5[[#This Row],[INVERSIONES FCI]],+Tabla5[[#This Row],[INVERSIONES FCI]]-BF137,Tabla5[[#This Row],[INVERSIONES FCI]])</f>
        <v>25686923808.311234</v>
      </c>
      <c r="BG138" s="5">
        <f>IF($B137&lt;=Tabla5[[#This Row],[INVERSIONES FCI]],+Tabla5[[#This Row],[INVERSIONES FCI]]-BG137,Tabla5[[#This Row],[INVERSIONES FCI]])</f>
        <v>25686923808.311234</v>
      </c>
      <c r="BH138" s="5">
        <f>IF($B137&lt;=Tabla5[[#This Row],[INVERSIONES FCI]],+Tabla5[[#This Row],[INVERSIONES FCI]]-BH137,Tabla5[[#This Row],[INVERSIONES FCI]])</f>
        <v>25686923808.311234</v>
      </c>
      <c r="BI138" s="5">
        <f>IF($B137&lt;=Tabla5[[#This Row],[INVERSIONES FCI]],+Tabla5[[#This Row],[INVERSIONES FCI]]-BI137,Tabla5[[#This Row],[INVERSIONES FCI]])</f>
        <v>25686923808.311234</v>
      </c>
      <c r="BJ138" s="5">
        <f>IF($B137&lt;=Tabla5[[#This Row],[INVERSIONES FCI]],+Tabla5[[#This Row],[INVERSIONES FCI]]-BJ137,Tabla5[[#This Row],[INVERSIONES FCI]])</f>
        <v>25686923808.311234</v>
      </c>
      <c r="BK138" s="5">
        <f>IF($B137&lt;=Tabla5[[#This Row],[INVERSIONES FCI]],+Tabla5[[#This Row],[INVERSIONES FCI]]-BK137,Tabla5[[#This Row],[INVERSIONES FCI]])</f>
        <v>25686923808.311234</v>
      </c>
      <c r="BL138" s="5">
        <f>IF($B137&lt;=Tabla5[[#This Row],[INVERSIONES FCI]],+Tabla5[[#This Row],[INVERSIONES FCI]]-BL137,Tabla5[[#This Row],[INVERSIONES FCI]])</f>
        <v>25686923808.311234</v>
      </c>
      <c r="BM138" s="5">
        <f>IF($B137&lt;=Tabla5[[#This Row],[INVERSIONES FCI]],+Tabla5[[#This Row],[INVERSIONES FCI]]-BM137,Tabla5[[#This Row],[INVERSIONES FCI]])</f>
        <v>25686923808.311234</v>
      </c>
      <c r="BN138" s="5">
        <f>IF($B137&lt;=Tabla5[[#This Row],[INVERSIONES FCI]],+Tabla5[[#This Row],[INVERSIONES FCI]]-BN137,Tabla5[[#This Row],[INVERSIONES FCI]])</f>
        <v>25686923808.311234</v>
      </c>
      <c r="BO138" s="5">
        <f>IF($B137&lt;=Tabla5[[#This Row],[INVERSIONES FCI]],+Tabla5[[#This Row],[INVERSIONES FCI]]-BO137,Tabla5[[#This Row],[INVERSIONES FCI]])</f>
        <v>25686923808.311234</v>
      </c>
      <c r="BP138" s="5">
        <f>IF($B137&lt;=Tabla5[[#This Row],[INVERSIONES FCI]],+Tabla5[[#This Row],[INVERSIONES FCI]]-BP137,Tabla5[[#This Row],[INVERSIONES FCI]])</f>
        <v>25686923808.311234</v>
      </c>
      <c r="BQ138" s="5">
        <f>IF($B137&lt;=Tabla5[[#This Row],[INVERSIONES FCI]],+Tabla5[[#This Row],[INVERSIONES FCI]]-BQ137,Tabla5[[#This Row],[INVERSIONES FCI]])</f>
        <v>25686923808.311234</v>
      </c>
      <c r="BR138" s="5">
        <f>IF($B137&lt;=Tabla5[[#This Row],[INVERSIONES FCI]],+Tabla5[[#This Row],[INVERSIONES FCI]]-BR137,Tabla5[[#This Row],[INVERSIONES FCI]])</f>
        <v>25686923808.311234</v>
      </c>
      <c r="BS138" s="5">
        <f>IF($B137&lt;=Tabla5[[#This Row],[INVERSIONES FCI]],+Tabla5[[#This Row],[INVERSIONES FCI]]-BS137,Tabla5[[#This Row],[INVERSIONES FCI]])</f>
        <v>25686923808.311234</v>
      </c>
      <c r="BT138" s="5">
        <f>IF($B137&lt;=Tabla5[[#This Row],[INVERSIONES FCI]],+Tabla5[[#This Row],[INVERSIONES FCI]]-BT137,Tabla5[[#This Row],[INVERSIONES FCI]])</f>
        <v>25686923808.311234</v>
      </c>
      <c r="BU138" s="5">
        <f>IF($B137&lt;=Tabla5[[#This Row],[INVERSIONES FCI]],+Tabla5[[#This Row],[INVERSIONES FCI]]-BU137,Tabla5[[#This Row],[INVERSIONES FCI]])</f>
        <v>25686923808.311234</v>
      </c>
      <c r="BV138" s="5">
        <f>IF($B137&lt;=Tabla5[[#This Row],[INVERSIONES FCI]],+Tabla5[[#This Row],[INVERSIONES FCI]]-BV137,Tabla5[[#This Row],[INVERSIONES FCI]])</f>
        <v>25686923808.311234</v>
      </c>
      <c r="BW138" s="5">
        <f>IF($B137&lt;=Tabla5[[#This Row],[INVERSIONES FCI]],+Tabla5[[#This Row],[INVERSIONES FCI]]-BW137,Tabla5[[#This Row],[INVERSIONES FCI]])</f>
        <v>25686923808.311234</v>
      </c>
      <c r="BX138" s="5">
        <f>IF($B137&lt;=Tabla5[[#This Row],[INVERSIONES FCI]],+Tabla5[[#This Row],[INVERSIONES FCI]]-BX137,Tabla5[[#This Row],[INVERSIONES FCI]])</f>
        <v>25686923808.311234</v>
      </c>
      <c r="BY138" s="5">
        <f>IF($B137&lt;=Tabla5[[#This Row],[INVERSIONES FCI]],+Tabla5[[#This Row],[INVERSIONES FCI]]-BY137,Tabla5[[#This Row],[INVERSIONES FCI]])</f>
        <v>25686923808.311234</v>
      </c>
      <c r="BZ138" s="5">
        <f>IF($B137&lt;=Tabla5[[#This Row],[INVERSIONES FCI]],+Tabla5[[#This Row],[INVERSIONES FCI]]-BZ137,Tabla5[[#This Row],[INVERSIONES FCI]])</f>
        <v>25686923808.311234</v>
      </c>
      <c r="CA138" s="5">
        <f>IF($B137&lt;=Tabla5[[#This Row],[INVERSIONES FCI]],+Tabla5[[#This Row],[INVERSIONES FCI]]-CA137,Tabla5[[#This Row],[INVERSIONES FCI]])</f>
        <v>25686923808.311234</v>
      </c>
      <c r="CB138" s="5">
        <f>IF($B137&lt;=Tabla5[[#This Row],[INVERSIONES FCI]],+Tabla5[[#This Row],[INVERSIONES FCI]]-CB137,Tabla5[[#This Row],[INVERSIONES FCI]])</f>
        <v>25686923808.311234</v>
      </c>
      <c r="CC138" s="5">
        <f>IF($B137&lt;=Tabla5[[#This Row],[INVERSIONES FCI]],+Tabla5[[#This Row],[INVERSIONES FCI]]-CC137,Tabla5[[#This Row],[INVERSIONES FCI]])</f>
        <v>25686923808.311234</v>
      </c>
      <c r="CD138" s="5">
        <f>IF($B137&lt;=Tabla5[[#This Row],[INVERSIONES FCI]],+Tabla5[[#This Row],[INVERSIONES FCI]]-CD137,Tabla5[[#This Row],[INVERSIONES FCI]])</f>
        <v>25686923808.311234</v>
      </c>
      <c r="CE138" s="5">
        <f>IF($B137&lt;=Tabla5[[#This Row],[INVERSIONES FCI]],+Tabla5[[#This Row],[INVERSIONES FCI]]-CE137,Tabla5[[#This Row],[INVERSIONES FCI]])</f>
        <v>25686923808.311234</v>
      </c>
      <c r="CF138" s="5">
        <f>IF($B137&lt;=Tabla5[[#This Row],[INVERSIONES FCI]],+Tabla5[[#This Row],[INVERSIONES FCI]]-CF137,Tabla5[[#This Row],[INVERSIONES FCI]])</f>
        <v>25686923808.311234</v>
      </c>
      <c r="CG138" s="5">
        <f>IF($B137&lt;=Tabla5[[#This Row],[INVERSIONES FCI]],+Tabla5[[#This Row],[INVERSIONES FCI]]-CG137,Tabla5[[#This Row],[INVERSIONES FCI]])</f>
        <v>25686923808.311234</v>
      </c>
      <c r="CH138" s="5">
        <f>IF($B137&lt;=Tabla5[[#This Row],[INVERSIONES FCI]],+Tabla5[[#This Row],[INVERSIONES FCI]]-CH137,Tabla5[[#This Row],[INVERSIONES FCI]])</f>
        <v>25686923808.311234</v>
      </c>
      <c r="CI138" s="5">
        <f>IF($B137&lt;=Tabla5[[#This Row],[INVERSIONES FCI]],+Tabla5[[#This Row],[INVERSIONES FCI]]-CI137,Tabla5[[#This Row],[INVERSIONES FCI]])</f>
        <v>25686923808.311234</v>
      </c>
      <c r="CJ138" s="5">
        <f>IF($B137&lt;=Tabla5[[#This Row],[INVERSIONES FCI]],+Tabla5[[#This Row],[INVERSIONES FCI]]-CJ137,Tabla5[[#This Row],[INVERSIONES FCI]])</f>
        <v>25686923808.311234</v>
      </c>
      <c r="CK138" s="5">
        <f>IF($B137&lt;=Tabla5[[#This Row],[INVERSIONES FCI]],+Tabla5[[#This Row],[INVERSIONES FCI]]-CK137,Tabla5[[#This Row],[INVERSIONES FCI]])</f>
        <v>25686923808.311234</v>
      </c>
      <c r="CL138" s="5">
        <f>IF($B137&lt;=Tabla5[[#This Row],[INVERSIONES FCI]],+Tabla5[[#This Row],[INVERSIONES FCI]]-CL137,Tabla5[[#This Row],[INVERSIONES FCI]])</f>
        <v>25686923808.311234</v>
      </c>
      <c r="CM138" s="5">
        <f>IF($B137&lt;=Tabla5[[#This Row],[INVERSIONES FCI]],+Tabla5[[#This Row],[INVERSIONES FCI]]-CM137,Tabla5[[#This Row],[INVERSIONES FCI]])</f>
        <v>25686923808.311234</v>
      </c>
      <c r="CN138" s="5">
        <f>IF($B137&lt;=Tabla5[[#This Row],[INVERSIONES FCI]],+Tabla5[[#This Row],[INVERSIONES FCI]]-CN137,Tabla5[[#This Row],[INVERSIONES FCI]])</f>
        <v>25686923808.311234</v>
      </c>
      <c r="CO138" s="5">
        <f>IF($B137&lt;=Tabla5[[#This Row],[INVERSIONES FCI]],+Tabla5[[#This Row],[INVERSIONES FCI]]-CO137,Tabla5[[#This Row],[INVERSIONES FCI]])</f>
        <v>25686923808.311234</v>
      </c>
      <c r="CP138" s="5">
        <f>IF($B137&lt;=Tabla5[[#This Row],[INVERSIONES FCI]],+Tabla5[[#This Row],[INVERSIONES FCI]]-CP137,Tabla5[[#This Row],[INVERSIONES FCI]])</f>
        <v>25686923808.311234</v>
      </c>
      <c r="CQ138" s="5">
        <f>IF($B137&lt;=Tabla5[[#This Row],[INVERSIONES FCI]],+Tabla5[[#This Row],[INVERSIONES FCI]]-CQ137,Tabla5[[#This Row],[INVERSIONES FCI]])</f>
        <v>25686923808.311234</v>
      </c>
      <c r="CR138" s="5">
        <f>IF($B137&lt;=Tabla5[[#This Row],[INVERSIONES FCI]],+Tabla5[[#This Row],[INVERSIONES FCI]]-CR137,Tabla5[[#This Row],[INVERSIONES FCI]])</f>
        <v>25686923808.311234</v>
      </c>
      <c r="CS138" s="5">
        <f>IF($B137&lt;=Tabla5[[#This Row],[INVERSIONES FCI]],+Tabla5[[#This Row],[INVERSIONES FCI]]-CS137,Tabla5[[#This Row],[INVERSIONES FCI]])</f>
        <v>25686923808.311234</v>
      </c>
      <c r="CT138" s="5">
        <f>IF($B137&lt;=Tabla5[[#This Row],[INVERSIONES FCI]],+Tabla5[[#This Row],[INVERSIONES FCI]]-CT137,Tabla5[[#This Row],[INVERSIONES FCI]])</f>
        <v>25686923808.311234</v>
      </c>
      <c r="CU138" s="5">
        <f>IF($B137&lt;=Tabla5[[#This Row],[INVERSIONES FCI]],+Tabla5[[#This Row],[INVERSIONES FCI]]-CU137,Tabla5[[#This Row],[INVERSIONES FCI]])</f>
        <v>25686923808.311234</v>
      </c>
      <c r="CV138" s="5">
        <f>IF($B137&lt;=Tabla5[[#This Row],[INVERSIONES FCI]],+Tabla5[[#This Row],[INVERSIONES FCI]]-CV137,Tabla5[[#This Row],[INVERSIONES FCI]])</f>
        <v>25686923808.311234</v>
      </c>
      <c r="CW138" s="5">
        <f>IF($B137&lt;=Tabla5[[#This Row],[INVERSIONES FCI]],+Tabla5[[#This Row],[INVERSIONES FCI]]-CW137,Tabla5[[#This Row],[INVERSIONES FCI]])</f>
        <v>25686923808.311234</v>
      </c>
      <c r="CX138" s="5">
        <f>IF($B137&lt;=Tabla5[[#This Row],[INVERSIONES FCI]],+Tabla5[[#This Row],[INVERSIONES FCI]]-CX137,Tabla5[[#This Row],[INVERSIONES FCI]])</f>
        <v>25686923808.311234</v>
      </c>
      <c r="CY138" s="5">
        <f>IF($B137&lt;=Tabla5[[#This Row],[INVERSIONES FCI]],+Tabla5[[#This Row],[INVERSIONES FCI]]-CY137,Tabla5[[#This Row],[INVERSIONES FCI]])</f>
        <v>25686923808.311234</v>
      </c>
      <c r="CZ138" s="5">
        <f>IF($B137&lt;=Tabla5[[#This Row],[INVERSIONES FCI]],+Tabla5[[#This Row],[INVERSIONES FCI]]-CZ137,Tabla5[[#This Row],[INVERSIONES FCI]])</f>
        <v>25686923808.311234</v>
      </c>
      <c r="DA138" s="5">
        <f>IF($B137&lt;=Tabla5[[#This Row],[INVERSIONES FCI]],+Tabla5[[#This Row],[INVERSIONES FCI]]-DA137,Tabla5[[#This Row],[INVERSIONES FCI]])</f>
        <v>25686923808.311234</v>
      </c>
      <c r="DB138" s="5">
        <f>IF($B137&lt;=Tabla5[[#This Row],[INVERSIONES FCI]],+Tabla5[[#This Row],[INVERSIONES FCI]]-DB137,Tabla5[[#This Row],[INVERSIONES FCI]])</f>
        <v>25686923808.311234</v>
      </c>
      <c r="DC138" s="5">
        <f>IF($B137&lt;=Tabla5[[#This Row],[INVERSIONES FCI]],+Tabla5[[#This Row],[INVERSIONES FCI]]-DC137,Tabla5[[#This Row],[INVERSIONES FCI]])</f>
        <v>25686923808.311234</v>
      </c>
      <c r="DD138" s="5">
        <f>IF($B137&lt;=Tabla5[[#This Row],[INVERSIONES FCI]],+Tabla5[[#This Row],[INVERSIONES FCI]]-DD137,Tabla5[[#This Row],[INVERSIONES FCI]])</f>
        <v>25686923808.311234</v>
      </c>
      <c r="DE138" s="5">
        <f>IF($B137&lt;=Tabla5[[#This Row],[INVERSIONES FCI]],+Tabla5[[#This Row],[INVERSIONES FCI]]-DE137,Tabla5[[#This Row],[INVERSIONES FCI]])</f>
        <v>25686923808.311234</v>
      </c>
      <c r="DF138" s="5">
        <f>IF($B137&lt;=Tabla5[[#This Row],[INVERSIONES FCI]],+Tabla5[[#This Row],[INVERSIONES FCI]]-DF137,Tabla5[[#This Row],[INVERSIONES FCI]])</f>
        <v>25686923808.311234</v>
      </c>
      <c r="DG138" s="5">
        <f>IF($B137&lt;=Tabla5[[#This Row],[INVERSIONES FCI]],+Tabla5[[#This Row],[INVERSIONES FCI]]-DG137,Tabla5[[#This Row],[INVERSIONES FCI]])</f>
        <v>25686923808.311234</v>
      </c>
      <c r="DH138" s="5">
        <f>IF($B137&lt;=Tabla5[[#This Row],[INVERSIONES FCI]],+Tabla5[[#This Row],[INVERSIONES FCI]]-DH137,Tabla5[[#This Row],[INVERSIONES FCI]])</f>
        <v>25686923808.311234</v>
      </c>
      <c r="DI138" s="5">
        <f>IF($B137&lt;=Tabla5[[#This Row],[INVERSIONES FCI]],+Tabla5[[#This Row],[INVERSIONES FCI]]-DI137,Tabla5[[#This Row],[INVERSIONES FCI]])</f>
        <v>25686923808.311234</v>
      </c>
      <c r="DJ138" s="5">
        <f>IF($B137&lt;=Tabla5[[#This Row],[INVERSIONES FCI]],+Tabla5[[#This Row],[INVERSIONES FCI]]-DJ137,Tabla5[[#This Row],[INVERSIONES FCI]])</f>
        <v>25686923808.311234</v>
      </c>
      <c r="DK138" s="5">
        <f>IF($B137&lt;=Tabla5[[#This Row],[INVERSIONES FCI]],+Tabla5[[#This Row],[INVERSIONES FCI]]-DK137,Tabla5[[#This Row],[INVERSIONES FCI]])</f>
        <v>25686923808.311234</v>
      </c>
      <c r="DL138" s="5"/>
      <c r="DM138" s="5"/>
      <c r="DN138" s="5"/>
      <c r="DO138" s="5"/>
      <c r="DP138" s="5"/>
      <c r="DQ138" s="5"/>
    </row>
    <row r="139" spans="1:121" ht="14.4">
      <c r="A139" s="12" t="s">
        <v>138</v>
      </c>
      <c r="B139" s="5">
        <f>HLOOKUP($A139,ESCENARIO[#All],7,FALSE)</f>
        <v>28263635113.478428</v>
      </c>
      <c r="C139" s="5">
        <f>IF($B138&lt;=Tabla5[[#This Row],[INVERSIONES FCI]],+Tabla5[[#This Row],[INVERSIONES FCI]]-C138,Tabla5[[#This Row],[INVERSIONES FCI]])</f>
        <v>2576711305.1671944</v>
      </c>
      <c r="D139" s="5">
        <f>IF($B138&lt;=Tabla5[[#This Row],[INVERSIONES FCI]],+Tabla5[[#This Row],[INVERSIONES FCI]]-D138,Tabla5[[#This Row],[INVERSIONES FCI]])</f>
        <v>2576711305.1671944</v>
      </c>
      <c r="E139" s="5">
        <f>IF($B138&lt;=Tabla5[[#This Row],[INVERSIONES FCI]],+Tabla5[[#This Row],[INVERSIONES FCI]]-E138,Tabla5[[#This Row],[INVERSIONES FCI]])</f>
        <v>2576711305.1671944</v>
      </c>
      <c r="F139" s="5">
        <f>IF($B138&lt;=Tabla5[[#This Row],[INVERSIONES FCI]],+Tabla5[[#This Row],[INVERSIONES FCI]]-F138,Tabla5[[#This Row],[INVERSIONES FCI]])</f>
        <v>2576711305.1671944</v>
      </c>
      <c r="G139" s="5">
        <f>IF($B138&lt;=Tabla5[[#This Row],[INVERSIONES FCI]],+Tabla5[[#This Row],[INVERSIONES FCI]]-G138,Tabla5[[#This Row],[INVERSIONES FCI]])</f>
        <v>2576711305.1671944</v>
      </c>
      <c r="H139" s="5">
        <f>IF($B138&lt;=Tabla5[[#This Row],[INVERSIONES FCI]],+Tabla5[[#This Row],[INVERSIONES FCI]]-H138,Tabla5[[#This Row],[INVERSIONES FCI]])</f>
        <v>2576711305.1671944</v>
      </c>
      <c r="I139" s="5">
        <f>IF($B138&lt;=Tabla5[[#This Row],[INVERSIONES FCI]],+Tabla5[[#This Row],[INVERSIONES FCI]]-I138,Tabla5[[#This Row],[INVERSIONES FCI]])</f>
        <v>2576711305.1671944</v>
      </c>
      <c r="J139" s="5">
        <f>IF($B138&lt;=Tabla5[[#This Row],[INVERSIONES FCI]],+Tabla5[[#This Row],[INVERSIONES FCI]]-J138,Tabla5[[#This Row],[INVERSIONES FCI]])</f>
        <v>2576711305.1671944</v>
      </c>
      <c r="K139" s="5">
        <f>IF($B138&lt;=Tabla5[[#This Row],[INVERSIONES FCI]],+Tabla5[[#This Row],[INVERSIONES FCI]]-K138,Tabla5[[#This Row],[INVERSIONES FCI]])</f>
        <v>2576711305.1671944</v>
      </c>
      <c r="L139" s="5">
        <f>IF($B138&lt;=Tabla5[[#This Row],[INVERSIONES FCI]],+Tabla5[[#This Row],[INVERSIONES FCI]]-L138,Tabla5[[#This Row],[INVERSIONES FCI]])</f>
        <v>2576711305.1671944</v>
      </c>
      <c r="M139" s="5">
        <f>IF($B138&lt;=Tabla5[[#This Row],[INVERSIONES FCI]],+Tabla5[[#This Row],[INVERSIONES FCI]]-M138,Tabla5[[#This Row],[INVERSIONES FCI]])</f>
        <v>2576711305.1671944</v>
      </c>
      <c r="N139" s="5">
        <f>IF($B138&lt;=Tabla5[[#This Row],[INVERSIONES FCI]],+Tabla5[[#This Row],[INVERSIONES FCI]]-N138,Tabla5[[#This Row],[INVERSIONES FCI]])</f>
        <v>2576711305.1671944</v>
      </c>
      <c r="O139" s="5">
        <f>IF($B138&lt;=Tabla5[[#This Row],[INVERSIONES FCI]],+Tabla5[[#This Row],[INVERSIONES FCI]]-O138,Tabla5[[#This Row],[INVERSIONES FCI]])</f>
        <v>2576711305.1671944</v>
      </c>
      <c r="P139" s="5">
        <f>IF($B138&lt;=Tabla5[[#This Row],[INVERSIONES FCI]],+Tabla5[[#This Row],[INVERSIONES FCI]]-P138,Tabla5[[#This Row],[INVERSIONES FCI]])</f>
        <v>2576711305.1671944</v>
      </c>
      <c r="Q139" s="5">
        <f>IF($B138&lt;=Tabla5[[#This Row],[INVERSIONES FCI]],+Tabla5[[#This Row],[INVERSIONES FCI]]-Q138,Tabla5[[#This Row],[INVERSIONES FCI]])</f>
        <v>2576711305.1671944</v>
      </c>
      <c r="R139" s="5">
        <f>IF($B138&lt;=Tabla5[[#This Row],[INVERSIONES FCI]],+Tabla5[[#This Row],[INVERSIONES FCI]]-R138,Tabla5[[#This Row],[INVERSIONES FCI]])</f>
        <v>2576711305.1671944</v>
      </c>
      <c r="S139" s="5">
        <f>IF($B138&lt;=Tabla5[[#This Row],[INVERSIONES FCI]],+Tabla5[[#This Row],[INVERSIONES FCI]]-S138,Tabla5[[#This Row],[INVERSIONES FCI]])</f>
        <v>2576711305.1671944</v>
      </c>
      <c r="T139" s="5">
        <f>IF($B138&lt;=Tabla5[[#This Row],[INVERSIONES FCI]],+Tabla5[[#This Row],[INVERSIONES FCI]]-T138,Tabla5[[#This Row],[INVERSIONES FCI]])</f>
        <v>2576711305.1671944</v>
      </c>
      <c r="U139" s="5">
        <f>IF($B138&lt;=Tabla5[[#This Row],[INVERSIONES FCI]],+Tabla5[[#This Row],[INVERSIONES FCI]]-U138,Tabla5[[#This Row],[INVERSIONES FCI]])</f>
        <v>2576711305.1671944</v>
      </c>
      <c r="V139" s="5">
        <f>IF($B138&lt;=Tabla5[[#This Row],[INVERSIONES FCI]],+Tabla5[[#This Row],[INVERSIONES FCI]]-V138,Tabla5[[#This Row],[INVERSIONES FCI]])</f>
        <v>2576711305.1671944</v>
      </c>
      <c r="W139" s="5">
        <f>IF($B138&lt;=Tabla5[[#This Row],[INVERSIONES FCI]],+Tabla5[[#This Row],[INVERSIONES FCI]]-W138,Tabla5[[#This Row],[INVERSIONES FCI]])</f>
        <v>2576711305.1671944</v>
      </c>
      <c r="X139" s="5">
        <f>IF($B138&lt;=Tabla5[[#This Row],[INVERSIONES FCI]],+Tabla5[[#This Row],[INVERSIONES FCI]]-X138,Tabla5[[#This Row],[INVERSIONES FCI]])</f>
        <v>2576711305.1671944</v>
      </c>
      <c r="Y139" s="5">
        <f>IF($B138&lt;=Tabla5[[#This Row],[INVERSIONES FCI]],+Tabla5[[#This Row],[INVERSIONES FCI]]-Y138,Tabla5[[#This Row],[INVERSIONES FCI]])</f>
        <v>2576711305.1671944</v>
      </c>
      <c r="Z139" s="5">
        <f>IF($B138&lt;=Tabla5[[#This Row],[INVERSIONES FCI]],+Tabla5[[#This Row],[INVERSIONES FCI]]-Z138,Tabla5[[#This Row],[INVERSIONES FCI]])</f>
        <v>2576711305.1671944</v>
      </c>
      <c r="AA139" s="5">
        <f>IF($B138&lt;=Tabla5[[#This Row],[INVERSIONES FCI]],+Tabla5[[#This Row],[INVERSIONES FCI]]-AA138,Tabla5[[#This Row],[INVERSIONES FCI]])</f>
        <v>2576711305.1671944</v>
      </c>
      <c r="AB139" s="5">
        <f>IF($B138&lt;=Tabla5[[#This Row],[INVERSIONES FCI]],+Tabla5[[#This Row],[INVERSIONES FCI]]-AB138,Tabla5[[#This Row],[INVERSIONES FCI]])</f>
        <v>2576711305.1671944</v>
      </c>
      <c r="AC139" s="5">
        <f>IF($B138&lt;=Tabla5[[#This Row],[INVERSIONES FCI]],+Tabla5[[#This Row],[INVERSIONES FCI]]-AC138,Tabla5[[#This Row],[INVERSIONES FCI]])</f>
        <v>2576711305.1671944</v>
      </c>
      <c r="AD139" s="5">
        <f>IF($B138&lt;=Tabla5[[#This Row],[INVERSIONES FCI]],+Tabla5[[#This Row],[INVERSIONES FCI]]-AD138,Tabla5[[#This Row],[INVERSIONES FCI]])</f>
        <v>2576711305.1671944</v>
      </c>
      <c r="AE139" s="5">
        <f>IF($B138&lt;=Tabla5[[#This Row],[INVERSIONES FCI]],+Tabla5[[#This Row],[INVERSIONES FCI]]-AE138,Tabla5[[#This Row],[INVERSIONES FCI]])</f>
        <v>2576711305.1671944</v>
      </c>
      <c r="AF139" s="5">
        <f>IF($B138&lt;=Tabla5[[#This Row],[INVERSIONES FCI]],+Tabla5[[#This Row],[INVERSIONES FCI]]-AF138,Tabla5[[#This Row],[INVERSIONES FCI]])</f>
        <v>2576711305.1671944</v>
      </c>
      <c r="AG139" s="5">
        <f>IF($B138&lt;=Tabla5[[#This Row],[INVERSIONES FCI]],+Tabla5[[#This Row],[INVERSIONES FCI]]-AG138,Tabla5[[#This Row],[INVERSIONES FCI]])</f>
        <v>2576711305.1671944</v>
      </c>
      <c r="AH139" s="5">
        <f>IF($B138&lt;=Tabla5[[#This Row],[INVERSIONES FCI]],+Tabla5[[#This Row],[INVERSIONES FCI]]-AH138,Tabla5[[#This Row],[INVERSIONES FCI]])</f>
        <v>2576711305.1671944</v>
      </c>
      <c r="AI139" s="5">
        <f>IF($B138&lt;=Tabla5[[#This Row],[INVERSIONES FCI]],+Tabla5[[#This Row],[INVERSIONES FCI]]-AI138,Tabla5[[#This Row],[INVERSIONES FCI]])</f>
        <v>2576711305.1671944</v>
      </c>
      <c r="AJ139" s="5">
        <f>IF($B138&lt;=Tabla5[[#This Row],[INVERSIONES FCI]],+Tabla5[[#This Row],[INVERSIONES FCI]]-AJ138,Tabla5[[#This Row],[INVERSIONES FCI]])</f>
        <v>2576711305.1671944</v>
      </c>
      <c r="AK139" s="5">
        <f>IF($B138&lt;=Tabla5[[#This Row],[INVERSIONES FCI]],+Tabla5[[#This Row],[INVERSIONES FCI]]-AK138,Tabla5[[#This Row],[INVERSIONES FCI]])</f>
        <v>2576711305.1671944</v>
      </c>
      <c r="AL139" s="5">
        <f>IF($B138&lt;=Tabla5[[#This Row],[INVERSIONES FCI]],+Tabla5[[#This Row],[INVERSIONES FCI]]-AL138,Tabla5[[#This Row],[INVERSIONES FCI]])</f>
        <v>2576711305.1671944</v>
      </c>
      <c r="AM139" s="5">
        <f>IF($B138&lt;=Tabla5[[#This Row],[INVERSIONES FCI]],+Tabla5[[#This Row],[INVERSIONES FCI]]-AM138,Tabla5[[#This Row],[INVERSIONES FCI]])</f>
        <v>2576711305.1671944</v>
      </c>
      <c r="AN139" s="5">
        <f>IF($B138&lt;=Tabla5[[#This Row],[INVERSIONES FCI]],+Tabla5[[#This Row],[INVERSIONES FCI]]-AN138,Tabla5[[#This Row],[INVERSIONES FCI]])</f>
        <v>2576711305.1671944</v>
      </c>
      <c r="AO139" s="5">
        <f>IF($B138&lt;=Tabla5[[#This Row],[INVERSIONES FCI]],+Tabla5[[#This Row],[INVERSIONES FCI]]-AO138,Tabla5[[#This Row],[INVERSIONES FCI]])</f>
        <v>2576711305.1671944</v>
      </c>
      <c r="AP139" s="5">
        <f>IF($B138&lt;=Tabla5[[#This Row],[INVERSIONES FCI]],+Tabla5[[#This Row],[INVERSIONES FCI]]-AP138,Tabla5[[#This Row],[INVERSIONES FCI]])</f>
        <v>2576711305.1671944</v>
      </c>
      <c r="AQ139" s="5">
        <f>IF($B138&lt;=Tabla5[[#This Row],[INVERSIONES FCI]],+Tabla5[[#This Row],[INVERSIONES FCI]]-AQ138,Tabla5[[#This Row],[INVERSIONES FCI]])</f>
        <v>2576711305.1671944</v>
      </c>
      <c r="AR139" s="5">
        <f>IF($B138&lt;=Tabla5[[#This Row],[INVERSIONES FCI]],+Tabla5[[#This Row],[INVERSIONES FCI]]-AR138,Tabla5[[#This Row],[INVERSIONES FCI]])</f>
        <v>2576711305.1671944</v>
      </c>
      <c r="AS139" s="5">
        <f>IF($B138&lt;=Tabla5[[#This Row],[INVERSIONES FCI]],+Tabla5[[#This Row],[INVERSIONES FCI]]-AS138,Tabla5[[#This Row],[INVERSIONES FCI]])</f>
        <v>2576711305.1671944</v>
      </c>
      <c r="AT139" s="5">
        <f>IF($B138&lt;=Tabla5[[#This Row],[INVERSIONES FCI]],+Tabla5[[#This Row],[INVERSIONES FCI]]-AT138,Tabla5[[#This Row],[INVERSIONES FCI]])</f>
        <v>2576711305.1671944</v>
      </c>
      <c r="AU139" s="5">
        <f>IF($B138&lt;=Tabla5[[#This Row],[INVERSIONES FCI]],+Tabla5[[#This Row],[INVERSIONES FCI]]-AU138,Tabla5[[#This Row],[INVERSIONES FCI]])</f>
        <v>2576711305.1671944</v>
      </c>
      <c r="AV139" s="5">
        <f>IF($B138&lt;=Tabla5[[#This Row],[INVERSIONES FCI]],+Tabla5[[#This Row],[INVERSIONES FCI]]-AV138,Tabla5[[#This Row],[INVERSIONES FCI]])</f>
        <v>2576711305.1671944</v>
      </c>
      <c r="AW139" s="5">
        <f>IF($B138&lt;=Tabla5[[#This Row],[INVERSIONES FCI]],+Tabla5[[#This Row],[INVERSIONES FCI]]-AW138,Tabla5[[#This Row],[INVERSIONES FCI]])</f>
        <v>2576711305.1671944</v>
      </c>
      <c r="AX139" s="5">
        <f>IF($B138&lt;=Tabla5[[#This Row],[INVERSIONES FCI]],+Tabla5[[#This Row],[INVERSIONES FCI]]-AX138,Tabla5[[#This Row],[INVERSIONES FCI]])</f>
        <v>2576711305.1671944</v>
      </c>
      <c r="AY139" s="5">
        <f>IF($B138&lt;=Tabla5[[#This Row],[INVERSIONES FCI]],+Tabla5[[#This Row],[INVERSIONES FCI]]-AY138,Tabla5[[#This Row],[INVERSIONES FCI]])</f>
        <v>2576711305.1671944</v>
      </c>
      <c r="AZ139" s="5">
        <f>IF($B138&lt;=Tabla5[[#This Row],[INVERSIONES FCI]],+Tabla5[[#This Row],[INVERSIONES FCI]]-AZ138,Tabla5[[#This Row],[INVERSIONES FCI]])</f>
        <v>2576711305.1671944</v>
      </c>
      <c r="BA139" s="5">
        <f>IF($B138&lt;=Tabla5[[#This Row],[INVERSIONES FCI]],+Tabla5[[#This Row],[INVERSIONES FCI]]-BA138,Tabla5[[#This Row],[INVERSIONES FCI]])</f>
        <v>2576711305.1671944</v>
      </c>
      <c r="BB139" s="5">
        <f>IF($B138&lt;=Tabla5[[#This Row],[INVERSIONES FCI]],+Tabla5[[#This Row],[INVERSIONES FCI]]-BB138,Tabla5[[#This Row],[INVERSIONES FCI]])</f>
        <v>2576711305.1671944</v>
      </c>
      <c r="BC139" s="5">
        <f>IF($B138&lt;=Tabla5[[#This Row],[INVERSIONES FCI]],+Tabla5[[#This Row],[INVERSIONES FCI]]-BC138,Tabla5[[#This Row],[INVERSIONES FCI]])</f>
        <v>2576711305.1671944</v>
      </c>
      <c r="BD139" s="5">
        <f>IF($B138&lt;=Tabla5[[#This Row],[INVERSIONES FCI]],+Tabla5[[#This Row],[INVERSIONES FCI]]-BD138,Tabla5[[#This Row],[INVERSIONES FCI]])</f>
        <v>2576711305.1671944</v>
      </c>
      <c r="BE139" s="5">
        <f>IF($B138&lt;=Tabla5[[#This Row],[INVERSIONES FCI]],+Tabla5[[#This Row],[INVERSIONES FCI]]-BE138,Tabla5[[#This Row],[INVERSIONES FCI]])</f>
        <v>2576711305.1671944</v>
      </c>
      <c r="BF139" s="5">
        <f>IF($B138&lt;=Tabla5[[#This Row],[INVERSIONES FCI]],+Tabla5[[#This Row],[INVERSIONES FCI]]-BF138,Tabla5[[#This Row],[INVERSIONES FCI]])</f>
        <v>2576711305.1671944</v>
      </c>
      <c r="BG139" s="5">
        <f>IF($B138&lt;=Tabla5[[#This Row],[INVERSIONES FCI]],+Tabla5[[#This Row],[INVERSIONES FCI]]-BG138,Tabla5[[#This Row],[INVERSIONES FCI]])</f>
        <v>2576711305.1671944</v>
      </c>
      <c r="BH139" s="5">
        <f>IF($B138&lt;=Tabla5[[#This Row],[INVERSIONES FCI]],+Tabla5[[#This Row],[INVERSIONES FCI]]-BH138,Tabla5[[#This Row],[INVERSIONES FCI]])</f>
        <v>2576711305.1671944</v>
      </c>
      <c r="BI139" s="5">
        <f>IF($B138&lt;=Tabla5[[#This Row],[INVERSIONES FCI]],+Tabla5[[#This Row],[INVERSIONES FCI]]-BI138,Tabla5[[#This Row],[INVERSIONES FCI]])</f>
        <v>2576711305.1671944</v>
      </c>
      <c r="BJ139" s="5">
        <f>IF($B138&lt;=Tabla5[[#This Row],[INVERSIONES FCI]],+Tabla5[[#This Row],[INVERSIONES FCI]]-BJ138,Tabla5[[#This Row],[INVERSIONES FCI]])</f>
        <v>2576711305.1671944</v>
      </c>
      <c r="BK139" s="5">
        <f>IF($B138&lt;=Tabla5[[#This Row],[INVERSIONES FCI]],+Tabla5[[#This Row],[INVERSIONES FCI]]-BK138,Tabla5[[#This Row],[INVERSIONES FCI]])</f>
        <v>2576711305.1671944</v>
      </c>
      <c r="BL139" s="5">
        <f>IF($B138&lt;=Tabla5[[#This Row],[INVERSIONES FCI]],+Tabla5[[#This Row],[INVERSIONES FCI]]-BL138,Tabla5[[#This Row],[INVERSIONES FCI]])</f>
        <v>2576711305.1671944</v>
      </c>
      <c r="BM139" s="5">
        <f>IF($B138&lt;=Tabla5[[#This Row],[INVERSIONES FCI]],+Tabla5[[#This Row],[INVERSIONES FCI]]-BM138,Tabla5[[#This Row],[INVERSIONES FCI]])</f>
        <v>2576711305.1671944</v>
      </c>
      <c r="BN139" s="5">
        <f>IF($B138&lt;=Tabla5[[#This Row],[INVERSIONES FCI]],+Tabla5[[#This Row],[INVERSIONES FCI]]-BN138,Tabla5[[#This Row],[INVERSIONES FCI]])</f>
        <v>2576711305.1671944</v>
      </c>
      <c r="BO139" s="5">
        <f>IF($B138&lt;=Tabla5[[#This Row],[INVERSIONES FCI]],+Tabla5[[#This Row],[INVERSIONES FCI]]-BO138,Tabla5[[#This Row],[INVERSIONES FCI]])</f>
        <v>2576711305.1671944</v>
      </c>
      <c r="BP139" s="5">
        <f>IF($B138&lt;=Tabla5[[#This Row],[INVERSIONES FCI]],+Tabla5[[#This Row],[INVERSIONES FCI]]-BP138,Tabla5[[#This Row],[INVERSIONES FCI]])</f>
        <v>2576711305.1671944</v>
      </c>
      <c r="BQ139" s="5">
        <f>IF($B138&lt;=Tabla5[[#This Row],[INVERSIONES FCI]],+Tabla5[[#This Row],[INVERSIONES FCI]]-BQ138,Tabla5[[#This Row],[INVERSIONES FCI]])</f>
        <v>2576711305.1671944</v>
      </c>
      <c r="BR139" s="5">
        <f>IF($B138&lt;=Tabla5[[#This Row],[INVERSIONES FCI]],+Tabla5[[#This Row],[INVERSIONES FCI]]-BR138,Tabla5[[#This Row],[INVERSIONES FCI]])</f>
        <v>2576711305.1671944</v>
      </c>
      <c r="BS139" s="5">
        <f>IF($B138&lt;=Tabla5[[#This Row],[INVERSIONES FCI]],+Tabla5[[#This Row],[INVERSIONES FCI]]-BS138,Tabla5[[#This Row],[INVERSIONES FCI]])</f>
        <v>2576711305.1671944</v>
      </c>
      <c r="BT139" s="5">
        <f>IF($B138&lt;=Tabla5[[#This Row],[INVERSIONES FCI]],+Tabla5[[#This Row],[INVERSIONES FCI]]-BT138,Tabla5[[#This Row],[INVERSIONES FCI]])</f>
        <v>2576711305.1671944</v>
      </c>
      <c r="BU139" s="5">
        <f>IF($B138&lt;=Tabla5[[#This Row],[INVERSIONES FCI]],+Tabla5[[#This Row],[INVERSIONES FCI]]-BU138,Tabla5[[#This Row],[INVERSIONES FCI]])</f>
        <v>2576711305.1671944</v>
      </c>
      <c r="BV139" s="5">
        <f>IF($B138&lt;=Tabla5[[#This Row],[INVERSIONES FCI]],+Tabla5[[#This Row],[INVERSIONES FCI]]-BV138,Tabla5[[#This Row],[INVERSIONES FCI]])</f>
        <v>2576711305.1671944</v>
      </c>
      <c r="BW139" s="5">
        <f>IF($B138&lt;=Tabla5[[#This Row],[INVERSIONES FCI]],+Tabla5[[#This Row],[INVERSIONES FCI]]-BW138,Tabla5[[#This Row],[INVERSIONES FCI]])</f>
        <v>2576711305.1671944</v>
      </c>
      <c r="BX139" s="5">
        <f>IF($B138&lt;=Tabla5[[#This Row],[INVERSIONES FCI]],+Tabla5[[#This Row],[INVERSIONES FCI]]-BX138,Tabla5[[#This Row],[INVERSIONES FCI]])</f>
        <v>2576711305.1671944</v>
      </c>
      <c r="BY139" s="5">
        <f>IF($B138&lt;=Tabla5[[#This Row],[INVERSIONES FCI]],+Tabla5[[#This Row],[INVERSIONES FCI]]-BY138,Tabla5[[#This Row],[INVERSIONES FCI]])</f>
        <v>2576711305.1671944</v>
      </c>
      <c r="BZ139" s="5">
        <f>IF($B138&lt;=Tabla5[[#This Row],[INVERSIONES FCI]],+Tabla5[[#This Row],[INVERSIONES FCI]]-BZ138,Tabla5[[#This Row],[INVERSIONES FCI]])</f>
        <v>2576711305.1671944</v>
      </c>
      <c r="CA139" s="5">
        <f>IF($B138&lt;=Tabla5[[#This Row],[INVERSIONES FCI]],+Tabla5[[#This Row],[INVERSIONES FCI]]-CA138,Tabla5[[#This Row],[INVERSIONES FCI]])</f>
        <v>2576711305.1671944</v>
      </c>
      <c r="CB139" s="5">
        <f>IF($B138&lt;=Tabla5[[#This Row],[INVERSIONES FCI]],+Tabla5[[#This Row],[INVERSIONES FCI]]-CB138,Tabla5[[#This Row],[INVERSIONES FCI]])</f>
        <v>2576711305.1671944</v>
      </c>
      <c r="CC139" s="5">
        <f>IF($B138&lt;=Tabla5[[#This Row],[INVERSIONES FCI]],+Tabla5[[#This Row],[INVERSIONES FCI]]-CC138,Tabla5[[#This Row],[INVERSIONES FCI]])</f>
        <v>2576711305.1671944</v>
      </c>
      <c r="CD139" s="5">
        <f>IF($B138&lt;=Tabla5[[#This Row],[INVERSIONES FCI]],+Tabla5[[#This Row],[INVERSIONES FCI]]-CD138,Tabla5[[#This Row],[INVERSIONES FCI]])</f>
        <v>2576711305.1671944</v>
      </c>
      <c r="CE139" s="5">
        <f>IF($B138&lt;=Tabla5[[#This Row],[INVERSIONES FCI]],+Tabla5[[#This Row],[INVERSIONES FCI]]-CE138,Tabla5[[#This Row],[INVERSIONES FCI]])</f>
        <v>2576711305.1671944</v>
      </c>
      <c r="CF139" s="5">
        <f>IF($B138&lt;=Tabla5[[#This Row],[INVERSIONES FCI]],+Tabla5[[#This Row],[INVERSIONES FCI]]-CF138,Tabla5[[#This Row],[INVERSIONES FCI]])</f>
        <v>2576711305.1671944</v>
      </c>
      <c r="CG139" s="5">
        <f>IF($B138&lt;=Tabla5[[#This Row],[INVERSIONES FCI]],+Tabla5[[#This Row],[INVERSIONES FCI]]-CG138,Tabla5[[#This Row],[INVERSIONES FCI]])</f>
        <v>2576711305.1671944</v>
      </c>
      <c r="CH139" s="5">
        <f>IF($B138&lt;=Tabla5[[#This Row],[INVERSIONES FCI]],+Tabla5[[#This Row],[INVERSIONES FCI]]-CH138,Tabla5[[#This Row],[INVERSIONES FCI]])</f>
        <v>2576711305.1671944</v>
      </c>
      <c r="CI139" s="5">
        <f>IF($B138&lt;=Tabla5[[#This Row],[INVERSIONES FCI]],+Tabla5[[#This Row],[INVERSIONES FCI]]-CI138,Tabla5[[#This Row],[INVERSIONES FCI]])</f>
        <v>2576711305.1671944</v>
      </c>
      <c r="CJ139" s="5">
        <f>IF($B138&lt;=Tabla5[[#This Row],[INVERSIONES FCI]],+Tabla5[[#This Row],[INVERSIONES FCI]]-CJ138,Tabla5[[#This Row],[INVERSIONES FCI]])</f>
        <v>2576711305.1671944</v>
      </c>
      <c r="CK139" s="5">
        <f>IF($B138&lt;=Tabla5[[#This Row],[INVERSIONES FCI]],+Tabla5[[#This Row],[INVERSIONES FCI]]-CK138,Tabla5[[#This Row],[INVERSIONES FCI]])</f>
        <v>2576711305.1671944</v>
      </c>
      <c r="CL139" s="5">
        <f>IF($B138&lt;=Tabla5[[#This Row],[INVERSIONES FCI]],+Tabla5[[#This Row],[INVERSIONES FCI]]-CL138,Tabla5[[#This Row],[INVERSIONES FCI]])</f>
        <v>2576711305.1671944</v>
      </c>
      <c r="CM139" s="5">
        <f>IF($B138&lt;=Tabla5[[#This Row],[INVERSIONES FCI]],+Tabla5[[#This Row],[INVERSIONES FCI]]-CM138,Tabla5[[#This Row],[INVERSIONES FCI]])</f>
        <v>2576711305.1671944</v>
      </c>
      <c r="CN139" s="5">
        <f>IF($B138&lt;=Tabla5[[#This Row],[INVERSIONES FCI]],+Tabla5[[#This Row],[INVERSIONES FCI]]-CN138,Tabla5[[#This Row],[INVERSIONES FCI]])</f>
        <v>2576711305.1671944</v>
      </c>
      <c r="CO139" s="5">
        <f>IF($B138&lt;=Tabla5[[#This Row],[INVERSIONES FCI]],+Tabla5[[#This Row],[INVERSIONES FCI]]-CO138,Tabla5[[#This Row],[INVERSIONES FCI]])</f>
        <v>2576711305.1671944</v>
      </c>
      <c r="CP139" s="5">
        <f>IF($B138&lt;=Tabla5[[#This Row],[INVERSIONES FCI]],+Tabla5[[#This Row],[INVERSIONES FCI]]-CP138,Tabla5[[#This Row],[INVERSIONES FCI]])</f>
        <v>2576711305.1671944</v>
      </c>
      <c r="CQ139" s="5">
        <f>IF($B138&lt;=Tabla5[[#This Row],[INVERSIONES FCI]],+Tabla5[[#This Row],[INVERSIONES FCI]]-CQ138,Tabla5[[#This Row],[INVERSIONES FCI]])</f>
        <v>2576711305.1671944</v>
      </c>
      <c r="CR139" s="5">
        <f>IF($B138&lt;=Tabla5[[#This Row],[INVERSIONES FCI]],+Tabla5[[#This Row],[INVERSIONES FCI]]-CR138,Tabla5[[#This Row],[INVERSIONES FCI]])</f>
        <v>2576711305.1671944</v>
      </c>
      <c r="CS139" s="5">
        <f>IF($B138&lt;=Tabla5[[#This Row],[INVERSIONES FCI]],+Tabla5[[#This Row],[INVERSIONES FCI]]-CS138,Tabla5[[#This Row],[INVERSIONES FCI]])</f>
        <v>2576711305.1671944</v>
      </c>
      <c r="CT139" s="5">
        <f>IF($B138&lt;=Tabla5[[#This Row],[INVERSIONES FCI]],+Tabla5[[#This Row],[INVERSIONES FCI]]-CT138,Tabla5[[#This Row],[INVERSIONES FCI]])</f>
        <v>2576711305.1671944</v>
      </c>
      <c r="CU139" s="5">
        <f>IF($B138&lt;=Tabla5[[#This Row],[INVERSIONES FCI]],+Tabla5[[#This Row],[INVERSIONES FCI]]-CU138,Tabla5[[#This Row],[INVERSIONES FCI]])</f>
        <v>2576711305.1671944</v>
      </c>
      <c r="CV139" s="5">
        <f>IF($B138&lt;=Tabla5[[#This Row],[INVERSIONES FCI]],+Tabla5[[#This Row],[INVERSIONES FCI]]-CV138,Tabla5[[#This Row],[INVERSIONES FCI]])</f>
        <v>2576711305.1671944</v>
      </c>
      <c r="CW139" s="5">
        <f>IF($B138&lt;=Tabla5[[#This Row],[INVERSIONES FCI]],+Tabla5[[#This Row],[INVERSIONES FCI]]-CW138,Tabla5[[#This Row],[INVERSIONES FCI]])</f>
        <v>2576711305.1671944</v>
      </c>
      <c r="CX139" s="5">
        <f>IF($B138&lt;=Tabla5[[#This Row],[INVERSIONES FCI]],+Tabla5[[#This Row],[INVERSIONES FCI]]-CX138,Tabla5[[#This Row],[INVERSIONES FCI]])</f>
        <v>2576711305.1671944</v>
      </c>
      <c r="CY139" s="5">
        <f>IF($B138&lt;=Tabla5[[#This Row],[INVERSIONES FCI]],+Tabla5[[#This Row],[INVERSIONES FCI]]-CY138,Tabla5[[#This Row],[INVERSIONES FCI]])</f>
        <v>2576711305.1671944</v>
      </c>
      <c r="CZ139" s="5">
        <f>IF($B138&lt;=Tabla5[[#This Row],[INVERSIONES FCI]],+Tabla5[[#This Row],[INVERSIONES FCI]]-CZ138,Tabla5[[#This Row],[INVERSIONES FCI]])</f>
        <v>2576711305.1671944</v>
      </c>
      <c r="DA139" s="5">
        <f>IF($B138&lt;=Tabla5[[#This Row],[INVERSIONES FCI]],+Tabla5[[#This Row],[INVERSIONES FCI]]-DA138,Tabla5[[#This Row],[INVERSIONES FCI]])</f>
        <v>2576711305.1671944</v>
      </c>
      <c r="DB139" s="5">
        <f>IF($B138&lt;=Tabla5[[#This Row],[INVERSIONES FCI]],+Tabla5[[#This Row],[INVERSIONES FCI]]-DB138,Tabla5[[#This Row],[INVERSIONES FCI]])</f>
        <v>2576711305.1671944</v>
      </c>
      <c r="DC139" s="5">
        <f>IF($B138&lt;=Tabla5[[#This Row],[INVERSIONES FCI]],+Tabla5[[#This Row],[INVERSIONES FCI]]-DC138,Tabla5[[#This Row],[INVERSIONES FCI]])</f>
        <v>2576711305.1671944</v>
      </c>
      <c r="DD139" s="5">
        <f>IF($B138&lt;=Tabla5[[#This Row],[INVERSIONES FCI]],+Tabla5[[#This Row],[INVERSIONES FCI]]-DD138,Tabla5[[#This Row],[INVERSIONES FCI]])</f>
        <v>2576711305.1671944</v>
      </c>
      <c r="DE139" s="5">
        <f>IF($B138&lt;=Tabla5[[#This Row],[INVERSIONES FCI]],+Tabla5[[#This Row],[INVERSIONES FCI]]-DE138,Tabla5[[#This Row],[INVERSIONES FCI]])</f>
        <v>2576711305.1671944</v>
      </c>
      <c r="DF139" s="5">
        <f>IF($B138&lt;=Tabla5[[#This Row],[INVERSIONES FCI]],+Tabla5[[#This Row],[INVERSIONES FCI]]-DF138,Tabla5[[#This Row],[INVERSIONES FCI]])</f>
        <v>2576711305.1671944</v>
      </c>
      <c r="DG139" s="5">
        <f>IF($B138&lt;=Tabla5[[#This Row],[INVERSIONES FCI]],+Tabla5[[#This Row],[INVERSIONES FCI]]-DG138,Tabla5[[#This Row],[INVERSIONES FCI]])</f>
        <v>2576711305.1671944</v>
      </c>
      <c r="DH139" s="5">
        <f>IF($B138&lt;=Tabla5[[#This Row],[INVERSIONES FCI]],+Tabla5[[#This Row],[INVERSIONES FCI]]-DH138,Tabla5[[#This Row],[INVERSIONES FCI]])</f>
        <v>2576711305.1671944</v>
      </c>
      <c r="DI139" s="5">
        <f>IF($B138&lt;=Tabla5[[#This Row],[INVERSIONES FCI]],+Tabla5[[#This Row],[INVERSIONES FCI]]-DI138,Tabla5[[#This Row],[INVERSIONES FCI]])</f>
        <v>2576711305.1671944</v>
      </c>
      <c r="DJ139" s="5">
        <f>IF($B138&lt;=Tabla5[[#This Row],[INVERSIONES FCI]],+Tabla5[[#This Row],[INVERSIONES FCI]]-DJ138,Tabla5[[#This Row],[INVERSIONES FCI]])</f>
        <v>2576711305.1671944</v>
      </c>
      <c r="DK139" s="5">
        <f>IF($B138&lt;=Tabla5[[#This Row],[INVERSIONES FCI]],+Tabla5[[#This Row],[INVERSIONES FCI]]-DK138,Tabla5[[#This Row],[INVERSIONES FCI]])</f>
        <v>2576711305.1671944</v>
      </c>
      <c r="DL139" s="5"/>
      <c r="DM139" s="5"/>
      <c r="DN139" s="5"/>
      <c r="DO139" s="5"/>
      <c r="DP139" s="5"/>
      <c r="DQ139" s="5"/>
    </row>
    <row r="140" spans="1:121" ht="14.4">
      <c r="A140" s="12" t="s">
        <v>139</v>
      </c>
      <c r="B140" s="5">
        <f>HLOOKUP($A140,ESCENARIO[#All],7,FALSE)</f>
        <v>29637204727.747036</v>
      </c>
      <c r="C140" s="5">
        <f>IF($B139&lt;=Tabla5[[#This Row],[INVERSIONES FCI]],+Tabla5[[#This Row],[INVERSIONES FCI]]-C139,Tabla5[[#This Row],[INVERSIONES FCI]])</f>
        <v>27060493422.579842</v>
      </c>
      <c r="D140" s="5">
        <f>IF($B139&lt;=Tabla5[[#This Row],[INVERSIONES FCI]],+Tabla5[[#This Row],[INVERSIONES FCI]]-D139,Tabla5[[#This Row],[INVERSIONES FCI]])</f>
        <v>27060493422.579842</v>
      </c>
      <c r="E140" s="5">
        <f>IF($B139&lt;=Tabla5[[#This Row],[INVERSIONES FCI]],+Tabla5[[#This Row],[INVERSIONES FCI]]-E139,Tabla5[[#This Row],[INVERSIONES FCI]])</f>
        <v>27060493422.579842</v>
      </c>
      <c r="F140" s="5">
        <f>IF($B139&lt;=Tabla5[[#This Row],[INVERSIONES FCI]],+Tabla5[[#This Row],[INVERSIONES FCI]]-F139,Tabla5[[#This Row],[INVERSIONES FCI]])</f>
        <v>27060493422.579842</v>
      </c>
      <c r="G140" s="5">
        <f>IF($B139&lt;=Tabla5[[#This Row],[INVERSIONES FCI]],+Tabla5[[#This Row],[INVERSIONES FCI]]-G139,Tabla5[[#This Row],[INVERSIONES FCI]])</f>
        <v>27060493422.579842</v>
      </c>
      <c r="H140" s="5">
        <f>IF($B139&lt;=Tabla5[[#This Row],[INVERSIONES FCI]],+Tabla5[[#This Row],[INVERSIONES FCI]]-H139,Tabla5[[#This Row],[INVERSIONES FCI]])</f>
        <v>27060493422.579842</v>
      </c>
      <c r="I140" s="5">
        <f>IF($B139&lt;=Tabla5[[#This Row],[INVERSIONES FCI]],+Tabla5[[#This Row],[INVERSIONES FCI]]-I139,Tabla5[[#This Row],[INVERSIONES FCI]])</f>
        <v>27060493422.579842</v>
      </c>
      <c r="J140" s="5">
        <f>IF($B139&lt;=Tabla5[[#This Row],[INVERSIONES FCI]],+Tabla5[[#This Row],[INVERSIONES FCI]]-J139,Tabla5[[#This Row],[INVERSIONES FCI]])</f>
        <v>27060493422.579842</v>
      </c>
      <c r="K140" s="5">
        <f>IF($B139&lt;=Tabla5[[#This Row],[INVERSIONES FCI]],+Tabla5[[#This Row],[INVERSIONES FCI]]-K139,Tabla5[[#This Row],[INVERSIONES FCI]])</f>
        <v>27060493422.579842</v>
      </c>
      <c r="L140" s="5">
        <f>IF($B139&lt;=Tabla5[[#This Row],[INVERSIONES FCI]],+Tabla5[[#This Row],[INVERSIONES FCI]]-L139,Tabla5[[#This Row],[INVERSIONES FCI]])</f>
        <v>27060493422.579842</v>
      </c>
      <c r="M140" s="5">
        <f>IF($B139&lt;=Tabla5[[#This Row],[INVERSIONES FCI]],+Tabla5[[#This Row],[INVERSIONES FCI]]-M139,Tabla5[[#This Row],[INVERSIONES FCI]])</f>
        <v>27060493422.579842</v>
      </c>
      <c r="N140" s="5">
        <f>IF($B139&lt;=Tabla5[[#This Row],[INVERSIONES FCI]],+Tabla5[[#This Row],[INVERSIONES FCI]]-N139,Tabla5[[#This Row],[INVERSIONES FCI]])</f>
        <v>27060493422.579842</v>
      </c>
      <c r="O140" s="5">
        <f>IF($B139&lt;=Tabla5[[#This Row],[INVERSIONES FCI]],+Tabla5[[#This Row],[INVERSIONES FCI]]-O139,Tabla5[[#This Row],[INVERSIONES FCI]])</f>
        <v>27060493422.579842</v>
      </c>
      <c r="P140" s="5">
        <f>IF($B139&lt;=Tabla5[[#This Row],[INVERSIONES FCI]],+Tabla5[[#This Row],[INVERSIONES FCI]]-P139,Tabla5[[#This Row],[INVERSIONES FCI]])</f>
        <v>27060493422.579842</v>
      </c>
      <c r="Q140" s="5">
        <f>IF($B139&lt;=Tabla5[[#This Row],[INVERSIONES FCI]],+Tabla5[[#This Row],[INVERSIONES FCI]]-Q139,Tabla5[[#This Row],[INVERSIONES FCI]])</f>
        <v>27060493422.579842</v>
      </c>
      <c r="R140" s="5">
        <f>IF($B139&lt;=Tabla5[[#This Row],[INVERSIONES FCI]],+Tabla5[[#This Row],[INVERSIONES FCI]]-R139,Tabla5[[#This Row],[INVERSIONES FCI]])</f>
        <v>27060493422.579842</v>
      </c>
      <c r="S140" s="5">
        <f>IF($B139&lt;=Tabla5[[#This Row],[INVERSIONES FCI]],+Tabla5[[#This Row],[INVERSIONES FCI]]-S139,Tabla5[[#This Row],[INVERSIONES FCI]])</f>
        <v>27060493422.579842</v>
      </c>
      <c r="T140" s="5">
        <f>IF($B139&lt;=Tabla5[[#This Row],[INVERSIONES FCI]],+Tabla5[[#This Row],[INVERSIONES FCI]]-T139,Tabla5[[#This Row],[INVERSIONES FCI]])</f>
        <v>27060493422.579842</v>
      </c>
      <c r="U140" s="5">
        <f>IF($B139&lt;=Tabla5[[#This Row],[INVERSIONES FCI]],+Tabla5[[#This Row],[INVERSIONES FCI]]-U139,Tabla5[[#This Row],[INVERSIONES FCI]])</f>
        <v>27060493422.579842</v>
      </c>
      <c r="V140" s="5">
        <f>IF($B139&lt;=Tabla5[[#This Row],[INVERSIONES FCI]],+Tabla5[[#This Row],[INVERSIONES FCI]]-V139,Tabla5[[#This Row],[INVERSIONES FCI]])</f>
        <v>27060493422.579842</v>
      </c>
      <c r="W140" s="5">
        <f>IF($B139&lt;=Tabla5[[#This Row],[INVERSIONES FCI]],+Tabla5[[#This Row],[INVERSIONES FCI]]-W139,Tabla5[[#This Row],[INVERSIONES FCI]])</f>
        <v>27060493422.579842</v>
      </c>
      <c r="X140" s="5">
        <f>IF($B139&lt;=Tabla5[[#This Row],[INVERSIONES FCI]],+Tabla5[[#This Row],[INVERSIONES FCI]]-X139,Tabla5[[#This Row],[INVERSIONES FCI]])</f>
        <v>27060493422.579842</v>
      </c>
      <c r="Y140" s="5">
        <f>IF($B139&lt;=Tabla5[[#This Row],[INVERSIONES FCI]],+Tabla5[[#This Row],[INVERSIONES FCI]]-Y139,Tabla5[[#This Row],[INVERSIONES FCI]])</f>
        <v>27060493422.579842</v>
      </c>
      <c r="Z140" s="5">
        <f>IF($B139&lt;=Tabla5[[#This Row],[INVERSIONES FCI]],+Tabla5[[#This Row],[INVERSIONES FCI]]-Z139,Tabla5[[#This Row],[INVERSIONES FCI]])</f>
        <v>27060493422.579842</v>
      </c>
      <c r="AA140" s="5">
        <f>IF($B139&lt;=Tabla5[[#This Row],[INVERSIONES FCI]],+Tabla5[[#This Row],[INVERSIONES FCI]]-AA139,Tabla5[[#This Row],[INVERSIONES FCI]])</f>
        <v>27060493422.579842</v>
      </c>
      <c r="AB140" s="5">
        <f>IF($B139&lt;=Tabla5[[#This Row],[INVERSIONES FCI]],+Tabla5[[#This Row],[INVERSIONES FCI]]-AB139,Tabla5[[#This Row],[INVERSIONES FCI]])</f>
        <v>27060493422.579842</v>
      </c>
      <c r="AC140" s="5">
        <f>IF($B139&lt;=Tabla5[[#This Row],[INVERSIONES FCI]],+Tabla5[[#This Row],[INVERSIONES FCI]]-AC139,Tabla5[[#This Row],[INVERSIONES FCI]])</f>
        <v>27060493422.579842</v>
      </c>
      <c r="AD140" s="5">
        <f>IF($B139&lt;=Tabla5[[#This Row],[INVERSIONES FCI]],+Tabla5[[#This Row],[INVERSIONES FCI]]-AD139,Tabla5[[#This Row],[INVERSIONES FCI]])</f>
        <v>27060493422.579842</v>
      </c>
      <c r="AE140" s="5">
        <f>IF($B139&lt;=Tabla5[[#This Row],[INVERSIONES FCI]],+Tabla5[[#This Row],[INVERSIONES FCI]]-AE139,Tabla5[[#This Row],[INVERSIONES FCI]])</f>
        <v>27060493422.579842</v>
      </c>
      <c r="AF140" s="5">
        <f>IF($B139&lt;=Tabla5[[#This Row],[INVERSIONES FCI]],+Tabla5[[#This Row],[INVERSIONES FCI]]-AF139,Tabla5[[#This Row],[INVERSIONES FCI]])</f>
        <v>27060493422.579842</v>
      </c>
      <c r="AG140" s="5">
        <f>IF($B139&lt;=Tabla5[[#This Row],[INVERSIONES FCI]],+Tabla5[[#This Row],[INVERSIONES FCI]]-AG139,Tabla5[[#This Row],[INVERSIONES FCI]])</f>
        <v>27060493422.579842</v>
      </c>
      <c r="AH140" s="5">
        <f>IF($B139&lt;=Tabla5[[#This Row],[INVERSIONES FCI]],+Tabla5[[#This Row],[INVERSIONES FCI]]-AH139,Tabla5[[#This Row],[INVERSIONES FCI]])</f>
        <v>27060493422.579842</v>
      </c>
      <c r="AI140" s="5">
        <f>IF($B139&lt;=Tabla5[[#This Row],[INVERSIONES FCI]],+Tabla5[[#This Row],[INVERSIONES FCI]]-AI139,Tabla5[[#This Row],[INVERSIONES FCI]])</f>
        <v>27060493422.579842</v>
      </c>
      <c r="AJ140" s="5">
        <f>IF($B139&lt;=Tabla5[[#This Row],[INVERSIONES FCI]],+Tabla5[[#This Row],[INVERSIONES FCI]]-AJ139,Tabla5[[#This Row],[INVERSIONES FCI]])</f>
        <v>27060493422.579842</v>
      </c>
      <c r="AK140" s="5">
        <f>IF($B139&lt;=Tabla5[[#This Row],[INVERSIONES FCI]],+Tabla5[[#This Row],[INVERSIONES FCI]]-AK139,Tabla5[[#This Row],[INVERSIONES FCI]])</f>
        <v>27060493422.579842</v>
      </c>
      <c r="AL140" s="5">
        <f>IF($B139&lt;=Tabla5[[#This Row],[INVERSIONES FCI]],+Tabla5[[#This Row],[INVERSIONES FCI]]-AL139,Tabla5[[#This Row],[INVERSIONES FCI]])</f>
        <v>27060493422.579842</v>
      </c>
      <c r="AM140" s="5">
        <f>IF($B139&lt;=Tabla5[[#This Row],[INVERSIONES FCI]],+Tabla5[[#This Row],[INVERSIONES FCI]]-AM139,Tabla5[[#This Row],[INVERSIONES FCI]])</f>
        <v>27060493422.579842</v>
      </c>
      <c r="AN140" s="5">
        <f>IF($B139&lt;=Tabla5[[#This Row],[INVERSIONES FCI]],+Tabla5[[#This Row],[INVERSIONES FCI]]-AN139,Tabla5[[#This Row],[INVERSIONES FCI]])</f>
        <v>27060493422.579842</v>
      </c>
      <c r="AO140" s="5">
        <f>IF($B139&lt;=Tabla5[[#This Row],[INVERSIONES FCI]],+Tabla5[[#This Row],[INVERSIONES FCI]]-AO139,Tabla5[[#This Row],[INVERSIONES FCI]])</f>
        <v>27060493422.579842</v>
      </c>
      <c r="AP140" s="5">
        <f>IF($B139&lt;=Tabla5[[#This Row],[INVERSIONES FCI]],+Tabla5[[#This Row],[INVERSIONES FCI]]-AP139,Tabla5[[#This Row],[INVERSIONES FCI]])</f>
        <v>27060493422.579842</v>
      </c>
      <c r="AQ140" s="5">
        <f>IF($B139&lt;=Tabla5[[#This Row],[INVERSIONES FCI]],+Tabla5[[#This Row],[INVERSIONES FCI]]-AQ139,Tabla5[[#This Row],[INVERSIONES FCI]])</f>
        <v>27060493422.579842</v>
      </c>
      <c r="AR140" s="5">
        <f>IF($B139&lt;=Tabla5[[#This Row],[INVERSIONES FCI]],+Tabla5[[#This Row],[INVERSIONES FCI]]-AR139,Tabla5[[#This Row],[INVERSIONES FCI]])</f>
        <v>27060493422.579842</v>
      </c>
      <c r="AS140" s="5">
        <f>IF($B139&lt;=Tabla5[[#This Row],[INVERSIONES FCI]],+Tabla5[[#This Row],[INVERSIONES FCI]]-AS139,Tabla5[[#This Row],[INVERSIONES FCI]])</f>
        <v>27060493422.579842</v>
      </c>
      <c r="AT140" s="5">
        <f>IF($B139&lt;=Tabla5[[#This Row],[INVERSIONES FCI]],+Tabla5[[#This Row],[INVERSIONES FCI]]-AT139,Tabla5[[#This Row],[INVERSIONES FCI]])</f>
        <v>27060493422.579842</v>
      </c>
      <c r="AU140" s="5">
        <f>IF($B139&lt;=Tabla5[[#This Row],[INVERSIONES FCI]],+Tabla5[[#This Row],[INVERSIONES FCI]]-AU139,Tabla5[[#This Row],[INVERSIONES FCI]])</f>
        <v>27060493422.579842</v>
      </c>
      <c r="AV140" s="5">
        <f>IF($B139&lt;=Tabla5[[#This Row],[INVERSIONES FCI]],+Tabla5[[#This Row],[INVERSIONES FCI]]-AV139,Tabla5[[#This Row],[INVERSIONES FCI]])</f>
        <v>27060493422.579842</v>
      </c>
      <c r="AW140" s="5">
        <f>IF($B139&lt;=Tabla5[[#This Row],[INVERSIONES FCI]],+Tabla5[[#This Row],[INVERSIONES FCI]]-AW139,Tabla5[[#This Row],[INVERSIONES FCI]])</f>
        <v>27060493422.579842</v>
      </c>
      <c r="AX140" s="5">
        <f>IF($B139&lt;=Tabla5[[#This Row],[INVERSIONES FCI]],+Tabla5[[#This Row],[INVERSIONES FCI]]-AX139,Tabla5[[#This Row],[INVERSIONES FCI]])</f>
        <v>27060493422.579842</v>
      </c>
      <c r="AY140" s="5">
        <f>IF($B139&lt;=Tabla5[[#This Row],[INVERSIONES FCI]],+Tabla5[[#This Row],[INVERSIONES FCI]]-AY139,Tabla5[[#This Row],[INVERSIONES FCI]])</f>
        <v>27060493422.579842</v>
      </c>
      <c r="AZ140" s="5">
        <f>IF($B139&lt;=Tabla5[[#This Row],[INVERSIONES FCI]],+Tabla5[[#This Row],[INVERSIONES FCI]]-AZ139,Tabla5[[#This Row],[INVERSIONES FCI]])</f>
        <v>27060493422.579842</v>
      </c>
      <c r="BA140" s="5">
        <f>IF($B139&lt;=Tabla5[[#This Row],[INVERSIONES FCI]],+Tabla5[[#This Row],[INVERSIONES FCI]]-BA139,Tabla5[[#This Row],[INVERSIONES FCI]])</f>
        <v>27060493422.579842</v>
      </c>
      <c r="BB140" s="5">
        <f>IF($B139&lt;=Tabla5[[#This Row],[INVERSIONES FCI]],+Tabla5[[#This Row],[INVERSIONES FCI]]-BB139,Tabla5[[#This Row],[INVERSIONES FCI]])</f>
        <v>27060493422.579842</v>
      </c>
      <c r="BC140" s="5">
        <f>IF($B139&lt;=Tabla5[[#This Row],[INVERSIONES FCI]],+Tabla5[[#This Row],[INVERSIONES FCI]]-BC139,Tabla5[[#This Row],[INVERSIONES FCI]])</f>
        <v>27060493422.579842</v>
      </c>
      <c r="BD140" s="5">
        <f>IF($B139&lt;=Tabla5[[#This Row],[INVERSIONES FCI]],+Tabla5[[#This Row],[INVERSIONES FCI]]-BD139,Tabla5[[#This Row],[INVERSIONES FCI]])</f>
        <v>27060493422.579842</v>
      </c>
      <c r="BE140" s="5">
        <f>IF($B139&lt;=Tabla5[[#This Row],[INVERSIONES FCI]],+Tabla5[[#This Row],[INVERSIONES FCI]]-BE139,Tabla5[[#This Row],[INVERSIONES FCI]])</f>
        <v>27060493422.579842</v>
      </c>
      <c r="BF140" s="5">
        <f>IF($B139&lt;=Tabla5[[#This Row],[INVERSIONES FCI]],+Tabla5[[#This Row],[INVERSIONES FCI]]-BF139,Tabla5[[#This Row],[INVERSIONES FCI]])</f>
        <v>27060493422.579842</v>
      </c>
      <c r="BG140" s="5">
        <f>IF($B139&lt;=Tabla5[[#This Row],[INVERSIONES FCI]],+Tabla5[[#This Row],[INVERSIONES FCI]]-BG139,Tabla5[[#This Row],[INVERSIONES FCI]])</f>
        <v>27060493422.579842</v>
      </c>
      <c r="BH140" s="5">
        <f>IF($B139&lt;=Tabla5[[#This Row],[INVERSIONES FCI]],+Tabla5[[#This Row],[INVERSIONES FCI]]-BH139,Tabla5[[#This Row],[INVERSIONES FCI]])</f>
        <v>27060493422.579842</v>
      </c>
      <c r="BI140" s="5">
        <f>IF($B139&lt;=Tabla5[[#This Row],[INVERSIONES FCI]],+Tabla5[[#This Row],[INVERSIONES FCI]]-BI139,Tabla5[[#This Row],[INVERSIONES FCI]])</f>
        <v>27060493422.579842</v>
      </c>
      <c r="BJ140" s="5">
        <f>IF($B139&lt;=Tabla5[[#This Row],[INVERSIONES FCI]],+Tabla5[[#This Row],[INVERSIONES FCI]]-BJ139,Tabla5[[#This Row],[INVERSIONES FCI]])</f>
        <v>27060493422.579842</v>
      </c>
      <c r="BK140" s="5">
        <f>IF($B139&lt;=Tabla5[[#This Row],[INVERSIONES FCI]],+Tabla5[[#This Row],[INVERSIONES FCI]]-BK139,Tabla5[[#This Row],[INVERSIONES FCI]])</f>
        <v>27060493422.579842</v>
      </c>
      <c r="BL140" s="5">
        <f>IF($B139&lt;=Tabla5[[#This Row],[INVERSIONES FCI]],+Tabla5[[#This Row],[INVERSIONES FCI]]-BL139,Tabla5[[#This Row],[INVERSIONES FCI]])</f>
        <v>27060493422.579842</v>
      </c>
      <c r="BM140" s="5">
        <f>IF($B139&lt;=Tabla5[[#This Row],[INVERSIONES FCI]],+Tabla5[[#This Row],[INVERSIONES FCI]]-BM139,Tabla5[[#This Row],[INVERSIONES FCI]])</f>
        <v>27060493422.579842</v>
      </c>
      <c r="BN140" s="5">
        <f>IF($B139&lt;=Tabla5[[#This Row],[INVERSIONES FCI]],+Tabla5[[#This Row],[INVERSIONES FCI]]-BN139,Tabla5[[#This Row],[INVERSIONES FCI]])</f>
        <v>27060493422.579842</v>
      </c>
      <c r="BO140" s="5">
        <f>IF($B139&lt;=Tabla5[[#This Row],[INVERSIONES FCI]],+Tabla5[[#This Row],[INVERSIONES FCI]]-BO139,Tabla5[[#This Row],[INVERSIONES FCI]])</f>
        <v>27060493422.579842</v>
      </c>
      <c r="BP140" s="5">
        <f>IF($B139&lt;=Tabla5[[#This Row],[INVERSIONES FCI]],+Tabla5[[#This Row],[INVERSIONES FCI]]-BP139,Tabla5[[#This Row],[INVERSIONES FCI]])</f>
        <v>27060493422.579842</v>
      </c>
      <c r="BQ140" s="5">
        <f>IF($B139&lt;=Tabla5[[#This Row],[INVERSIONES FCI]],+Tabla5[[#This Row],[INVERSIONES FCI]]-BQ139,Tabla5[[#This Row],[INVERSIONES FCI]])</f>
        <v>27060493422.579842</v>
      </c>
      <c r="BR140" s="5">
        <f>IF($B139&lt;=Tabla5[[#This Row],[INVERSIONES FCI]],+Tabla5[[#This Row],[INVERSIONES FCI]]-BR139,Tabla5[[#This Row],[INVERSIONES FCI]])</f>
        <v>27060493422.579842</v>
      </c>
      <c r="BS140" s="5">
        <f>IF($B139&lt;=Tabla5[[#This Row],[INVERSIONES FCI]],+Tabla5[[#This Row],[INVERSIONES FCI]]-BS139,Tabla5[[#This Row],[INVERSIONES FCI]])</f>
        <v>27060493422.579842</v>
      </c>
      <c r="BT140" s="5">
        <f>IF($B139&lt;=Tabla5[[#This Row],[INVERSIONES FCI]],+Tabla5[[#This Row],[INVERSIONES FCI]]-BT139,Tabla5[[#This Row],[INVERSIONES FCI]])</f>
        <v>27060493422.579842</v>
      </c>
      <c r="BU140" s="5">
        <f>IF($B139&lt;=Tabla5[[#This Row],[INVERSIONES FCI]],+Tabla5[[#This Row],[INVERSIONES FCI]]-BU139,Tabla5[[#This Row],[INVERSIONES FCI]])</f>
        <v>27060493422.579842</v>
      </c>
      <c r="BV140" s="5">
        <f>IF($B139&lt;=Tabla5[[#This Row],[INVERSIONES FCI]],+Tabla5[[#This Row],[INVERSIONES FCI]]-BV139,Tabla5[[#This Row],[INVERSIONES FCI]])</f>
        <v>27060493422.579842</v>
      </c>
      <c r="BW140" s="5">
        <f>IF($B139&lt;=Tabla5[[#This Row],[INVERSIONES FCI]],+Tabla5[[#This Row],[INVERSIONES FCI]]-BW139,Tabla5[[#This Row],[INVERSIONES FCI]])</f>
        <v>27060493422.579842</v>
      </c>
      <c r="BX140" s="5">
        <f>IF($B139&lt;=Tabla5[[#This Row],[INVERSIONES FCI]],+Tabla5[[#This Row],[INVERSIONES FCI]]-BX139,Tabla5[[#This Row],[INVERSIONES FCI]])</f>
        <v>27060493422.579842</v>
      </c>
      <c r="BY140" s="5">
        <f>IF($B139&lt;=Tabla5[[#This Row],[INVERSIONES FCI]],+Tabla5[[#This Row],[INVERSIONES FCI]]-BY139,Tabla5[[#This Row],[INVERSIONES FCI]])</f>
        <v>27060493422.579842</v>
      </c>
      <c r="BZ140" s="5">
        <f>IF($B139&lt;=Tabla5[[#This Row],[INVERSIONES FCI]],+Tabla5[[#This Row],[INVERSIONES FCI]]-BZ139,Tabla5[[#This Row],[INVERSIONES FCI]])</f>
        <v>27060493422.579842</v>
      </c>
      <c r="CA140" s="5">
        <f>IF($B139&lt;=Tabla5[[#This Row],[INVERSIONES FCI]],+Tabla5[[#This Row],[INVERSIONES FCI]]-CA139,Tabla5[[#This Row],[INVERSIONES FCI]])</f>
        <v>27060493422.579842</v>
      </c>
      <c r="CB140" s="5">
        <f>IF($B139&lt;=Tabla5[[#This Row],[INVERSIONES FCI]],+Tabla5[[#This Row],[INVERSIONES FCI]]-CB139,Tabla5[[#This Row],[INVERSIONES FCI]])</f>
        <v>27060493422.579842</v>
      </c>
      <c r="CC140" s="5">
        <f>IF($B139&lt;=Tabla5[[#This Row],[INVERSIONES FCI]],+Tabla5[[#This Row],[INVERSIONES FCI]]-CC139,Tabla5[[#This Row],[INVERSIONES FCI]])</f>
        <v>27060493422.579842</v>
      </c>
      <c r="CD140" s="5">
        <f>IF($B139&lt;=Tabla5[[#This Row],[INVERSIONES FCI]],+Tabla5[[#This Row],[INVERSIONES FCI]]-CD139,Tabla5[[#This Row],[INVERSIONES FCI]])</f>
        <v>27060493422.579842</v>
      </c>
      <c r="CE140" s="5">
        <f>IF($B139&lt;=Tabla5[[#This Row],[INVERSIONES FCI]],+Tabla5[[#This Row],[INVERSIONES FCI]]-CE139,Tabla5[[#This Row],[INVERSIONES FCI]])</f>
        <v>27060493422.579842</v>
      </c>
      <c r="CF140" s="5">
        <f>IF($B139&lt;=Tabla5[[#This Row],[INVERSIONES FCI]],+Tabla5[[#This Row],[INVERSIONES FCI]]-CF139,Tabla5[[#This Row],[INVERSIONES FCI]])</f>
        <v>27060493422.579842</v>
      </c>
      <c r="CG140" s="5">
        <f>IF($B139&lt;=Tabla5[[#This Row],[INVERSIONES FCI]],+Tabla5[[#This Row],[INVERSIONES FCI]]-CG139,Tabla5[[#This Row],[INVERSIONES FCI]])</f>
        <v>27060493422.579842</v>
      </c>
      <c r="CH140" s="5">
        <f>IF($B139&lt;=Tabla5[[#This Row],[INVERSIONES FCI]],+Tabla5[[#This Row],[INVERSIONES FCI]]-CH139,Tabla5[[#This Row],[INVERSIONES FCI]])</f>
        <v>27060493422.579842</v>
      </c>
      <c r="CI140" s="5">
        <f>IF($B139&lt;=Tabla5[[#This Row],[INVERSIONES FCI]],+Tabla5[[#This Row],[INVERSIONES FCI]]-CI139,Tabla5[[#This Row],[INVERSIONES FCI]])</f>
        <v>27060493422.579842</v>
      </c>
      <c r="CJ140" s="5">
        <f>IF($B139&lt;=Tabla5[[#This Row],[INVERSIONES FCI]],+Tabla5[[#This Row],[INVERSIONES FCI]]-CJ139,Tabla5[[#This Row],[INVERSIONES FCI]])</f>
        <v>27060493422.579842</v>
      </c>
      <c r="CK140" s="5">
        <f>IF($B139&lt;=Tabla5[[#This Row],[INVERSIONES FCI]],+Tabla5[[#This Row],[INVERSIONES FCI]]-CK139,Tabla5[[#This Row],[INVERSIONES FCI]])</f>
        <v>27060493422.579842</v>
      </c>
      <c r="CL140" s="5">
        <f>IF($B139&lt;=Tabla5[[#This Row],[INVERSIONES FCI]],+Tabla5[[#This Row],[INVERSIONES FCI]]-CL139,Tabla5[[#This Row],[INVERSIONES FCI]])</f>
        <v>27060493422.579842</v>
      </c>
      <c r="CM140" s="5">
        <f>IF($B139&lt;=Tabla5[[#This Row],[INVERSIONES FCI]],+Tabla5[[#This Row],[INVERSIONES FCI]]-CM139,Tabla5[[#This Row],[INVERSIONES FCI]])</f>
        <v>27060493422.579842</v>
      </c>
      <c r="CN140" s="5">
        <f>IF($B139&lt;=Tabla5[[#This Row],[INVERSIONES FCI]],+Tabla5[[#This Row],[INVERSIONES FCI]]-CN139,Tabla5[[#This Row],[INVERSIONES FCI]])</f>
        <v>27060493422.579842</v>
      </c>
      <c r="CO140" s="5">
        <f>IF($B139&lt;=Tabla5[[#This Row],[INVERSIONES FCI]],+Tabla5[[#This Row],[INVERSIONES FCI]]-CO139,Tabla5[[#This Row],[INVERSIONES FCI]])</f>
        <v>27060493422.579842</v>
      </c>
      <c r="CP140" s="5">
        <f>IF($B139&lt;=Tabla5[[#This Row],[INVERSIONES FCI]],+Tabla5[[#This Row],[INVERSIONES FCI]]-CP139,Tabla5[[#This Row],[INVERSIONES FCI]])</f>
        <v>27060493422.579842</v>
      </c>
      <c r="CQ140" s="5">
        <f>IF($B139&lt;=Tabla5[[#This Row],[INVERSIONES FCI]],+Tabla5[[#This Row],[INVERSIONES FCI]]-CQ139,Tabla5[[#This Row],[INVERSIONES FCI]])</f>
        <v>27060493422.579842</v>
      </c>
      <c r="CR140" s="5">
        <f>IF($B139&lt;=Tabla5[[#This Row],[INVERSIONES FCI]],+Tabla5[[#This Row],[INVERSIONES FCI]]-CR139,Tabla5[[#This Row],[INVERSIONES FCI]])</f>
        <v>27060493422.579842</v>
      </c>
      <c r="CS140" s="5">
        <f>IF($B139&lt;=Tabla5[[#This Row],[INVERSIONES FCI]],+Tabla5[[#This Row],[INVERSIONES FCI]]-CS139,Tabla5[[#This Row],[INVERSIONES FCI]])</f>
        <v>27060493422.579842</v>
      </c>
      <c r="CT140" s="5">
        <f>IF($B139&lt;=Tabla5[[#This Row],[INVERSIONES FCI]],+Tabla5[[#This Row],[INVERSIONES FCI]]-CT139,Tabla5[[#This Row],[INVERSIONES FCI]])</f>
        <v>27060493422.579842</v>
      </c>
      <c r="CU140" s="5">
        <f>IF($B139&lt;=Tabla5[[#This Row],[INVERSIONES FCI]],+Tabla5[[#This Row],[INVERSIONES FCI]]-CU139,Tabla5[[#This Row],[INVERSIONES FCI]])</f>
        <v>27060493422.579842</v>
      </c>
      <c r="CV140" s="5">
        <f>IF($B139&lt;=Tabla5[[#This Row],[INVERSIONES FCI]],+Tabla5[[#This Row],[INVERSIONES FCI]]-CV139,Tabla5[[#This Row],[INVERSIONES FCI]])</f>
        <v>27060493422.579842</v>
      </c>
      <c r="CW140" s="5">
        <f>IF($B139&lt;=Tabla5[[#This Row],[INVERSIONES FCI]],+Tabla5[[#This Row],[INVERSIONES FCI]]-CW139,Tabla5[[#This Row],[INVERSIONES FCI]])</f>
        <v>27060493422.579842</v>
      </c>
      <c r="CX140" s="5">
        <f>IF($B139&lt;=Tabla5[[#This Row],[INVERSIONES FCI]],+Tabla5[[#This Row],[INVERSIONES FCI]]-CX139,Tabla5[[#This Row],[INVERSIONES FCI]])</f>
        <v>27060493422.579842</v>
      </c>
      <c r="CY140" s="5">
        <f>IF($B139&lt;=Tabla5[[#This Row],[INVERSIONES FCI]],+Tabla5[[#This Row],[INVERSIONES FCI]]-CY139,Tabla5[[#This Row],[INVERSIONES FCI]])</f>
        <v>27060493422.579842</v>
      </c>
      <c r="CZ140" s="5">
        <f>IF($B139&lt;=Tabla5[[#This Row],[INVERSIONES FCI]],+Tabla5[[#This Row],[INVERSIONES FCI]]-CZ139,Tabla5[[#This Row],[INVERSIONES FCI]])</f>
        <v>27060493422.579842</v>
      </c>
      <c r="DA140" s="5">
        <f>IF($B139&lt;=Tabla5[[#This Row],[INVERSIONES FCI]],+Tabla5[[#This Row],[INVERSIONES FCI]]-DA139,Tabla5[[#This Row],[INVERSIONES FCI]])</f>
        <v>27060493422.579842</v>
      </c>
      <c r="DB140" s="5">
        <f>IF($B139&lt;=Tabla5[[#This Row],[INVERSIONES FCI]],+Tabla5[[#This Row],[INVERSIONES FCI]]-DB139,Tabla5[[#This Row],[INVERSIONES FCI]])</f>
        <v>27060493422.579842</v>
      </c>
      <c r="DC140" s="5">
        <f>IF($B139&lt;=Tabla5[[#This Row],[INVERSIONES FCI]],+Tabla5[[#This Row],[INVERSIONES FCI]]-DC139,Tabla5[[#This Row],[INVERSIONES FCI]])</f>
        <v>27060493422.579842</v>
      </c>
      <c r="DD140" s="5">
        <f>IF($B139&lt;=Tabla5[[#This Row],[INVERSIONES FCI]],+Tabla5[[#This Row],[INVERSIONES FCI]]-DD139,Tabla5[[#This Row],[INVERSIONES FCI]])</f>
        <v>27060493422.579842</v>
      </c>
      <c r="DE140" s="5">
        <f>IF($B139&lt;=Tabla5[[#This Row],[INVERSIONES FCI]],+Tabla5[[#This Row],[INVERSIONES FCI]]-DE139,Tabla5[[#This Row],[INVERSIONES FCI]])</f>
        <v>27060493422.579842</v>
      </c>
      <c r="DF140" s="5">
        <f>IF($B139&lt;=Tabla5[[#This Row],[INVERSIONES FCI]],+Tabla5[[#This Row],[INVERSIONES FCI]]-DF139,Tabla5[[#This Row],[INVERSIONES FCI]])</f>
        <v>27060493422.579842</v>
      </c>
      <c r="DG140" s="5">
        <f>IF($B139&lt;=Tabla5[[#This Row],[INVERSIONES FCI]],+Tabla5[[#This Row],[INVERSIONES FCI]]-DG139,Tabla5[[#This Row],[INVERSIONES FCI]])</f>
        <v>27060493422.579842</v>
      </c>
      <c r="DH140" s="5">
        <f>IF($B139&lt;=Tabla5[[#This Row],[INVERSIONES FCI]],+Tabla5[[#This Row],[INVERSIONES FCI]]-DH139,Tabla5[[#This Row],[INVERSIONES FCI]])</f>
        <v>27060493422.579842</v>
      </c>
      <c r="DI140" s="5">
        <f>IF($B139&lt;=Tabla5[[#This Row],[INVERSIONES FCI]],+Tabla5[[#This Row],[INVERSIONES FCI]]-DI139,Tabla5[[#This Row],[INVERSIONES FCI]])</f>
        <v>27060493422.579842</v>
      </c>
      <c r="DJ140" s="5">
        <f>IF($B139&lt;=Tabla5[[#This Row],[INVERSIONES FCI]],+Tabla5[[#This Row],[INVERSIONES FCI]]-DJ139,Tabla5[[#This Row],[INVERSIONES FCI]])</f>
        <v>27060493422.579842</v>
      </c>
      <c r="DK140" s="5">
        <f>IF($B139&lt;=Tabla5[[#This Row],[INVERSIONES FCI]],+Tabla5[[#This Row],[INVERSIONES FCI]]-DK139,Tabla5[[#This Row],[INVERSIONES FCI]])</f>
        <v>27060493422.579842</v>
      </c>
      <c r="DL140" s="5"/>
      <c r="DM140" s="5"/>
      <c r="DN140" s="5"/>
      <c r="DO140" s="5"/>
      <c r="DP140" s="5"/>
      <c r="DQ140" s="5"/>
    </row>
    <row r="141" spans="1:121" ht="14.4">
      <c r="A141" s="12" t="s">
        <v>140</v>
      </c>
      <c r="B141" s="5">
        <f>HLOOKUP($A141,ESCENARIO[#All],7,FALSE)</f>
        <v>31329922612.901142</v>
      </c>
      <c r="C141" s="5">
        <f>IF($B140&lt;=Tabla5[[#This Row],[INVERSIONES FCI]],+Tabla5[[#This Row],[INVERSIONES FCI]]-C140,Tabla5[[#This Row],[INVERSIONES FCI]])</f>
        <v>4269429190.3213005</v>
      </c>
      <c r="D141" s="5">
        <f>IF($B140&lt;=Tabla5[[#This Row],[INVERSIONES FCI]],+Tabla5[[#This Row],[INVERSIONES FCI]]-D140,Tabla5[[#This Row],[INVERSIONES FCI]])</f>
        <v>4269429190.3213005</v>
      </c>
      <c r="E141" s="5">
        <f>IF($B140&lt;=Tabla5[[#This Row],[INVERSIONES FCI]],+Tabla5[[#This Row],[INVERSIONES FCI]]-E140,Tabla5[[#This Row],[INVERSIONES FCI]])</f>
        <v>4269429190.3213005</v>
      </c>
      <c r="F141" s="5">
        <f>IF($B140&lt;=Tabla5[[#This Row],[INVERSIONES FCI]],+Tabla5[[#This Row],[INVERSIONES FCI]]-F140,Tabla5[[#This Row],[INVERSIONES FCI]])</f>
        <v>4269429190.3213005</v>
      </c>
      <c r="G141" s="5">
        <f>IF($B140&lt;=Tabla5[[#This Row],[INVERSIONES FCI]],+Tabla5[[#This Row],[INVERSIONES FCI]]-G140,Tabla5[[#This Row],[INVERSIONES FCI]])</f>
        <v>4269429190.3213005</v>
      </c>
      <c r="H141" s="5">
        <f>IF($B140&lt;=Tabla5[[#This Row],[INVERSIONES FCI]],+Tabla5[[#This Row],[INVERSIONES FCI]]-H140,Tabla5[[#This Row],[INVERSIONES FCI]])</f>
        <v>4269429190.3213005</v>
      </c>
      <c r="I141" s="5">
        <f>IF($B140&lt;=Tabla5[[#This Row],[INVERSIONES FCI]],+Tabla5[[#This Row],[INVERSIONES FCI]]-I140,Tabla5[[#This Row],[INVERSIONES FCI]])</f>
        <v>4269429190.3213005</v>
      </c>
      <c r="J141" s="5">
        <f>IF($B140&lt;=Tabla5[[#This Row],[INVERSIONES FCI]],+Tabla5[[#This Row],[INVERSIONES FCI]]-J140,Tabla5[[#This Row],[INVERSIONES FCI]])</f>
        <v>4269429190.3213005</v>
      </c>
      <c r="K141" s="5">
        <f>IF($B140&lt;=Tabla5[[#This Row],[INVERSIONES FCI]],+Tabla5[[#This Row],[INVERSIONES FCI]]-K140,Tabla5[[#This Row],[INVERSIONES FCI]])</f>
        <v>4269429190.3213005</v>
      </c>
      <c r="L141" s="5">
        <f>IF($B140&lt;=Tabla5[[#This Row],[INVERSIONES FCI]],+Tabla5[[#This Row],[INVERSIONES FCI]]-L140,Tabla5[[#This Row],[INVERSIONES FCI]])</f>
        <v>4269429190.3213005</v>
      </c>
      <c r="M141" s="5">
        <f>IF($B140&lt;=Tabla5[[#This Row],[INVERSIONES FCI]],+Tabla5[[#This Row],[INVERSIONES FCI]]-M140,Tabla5[[#This Row],[INVERSIONES FCI]])</f>
        <v>4269429190.3213005</v>
      </c>
      <c r="N141" s="5">
        <f>IF($B140&lt;=Tabla5[[#This Row],[INVERSIONES FCI]],+Tabla5[[#This Row],[INVERSIONES FCI]]-N140,Tabla5[[#This Row],[INVERSIONES FCI]])</f>
        <v>4269429190.3213005</v>
      </c>
      <c r="O141" s="5">
        <f>IF($B140&lt;=Tabla5[[#This Row],[INVERSIONES FCI]],+Tabla5[[#This Row],[INVERSIONES FCI]]-O140,Tabla5[[#This Row],[INVERSIONES FCI]])</f>
        <v>4269429190.3213005</v>
      </c>
      <c r="P141" s="5">
        <f>IF($B140&lt;=Tabla5[[#This Row],[INVERSIONES FCI]],+Tabla5[[#This Row],[INVERSIONES FCI]]-P140,Tabla5[[#This Row],[INVERSIONES FCI]])</f>
        <v>4269429190.3213005</v>
      </c>
      <c r="Q141" s="5">
        <f>IF($B140&lt;=Tabla5[[#This Row],[INVERSIONES FCI]],+Tabla5[[#This Row],[INVERSIONES FCI]]-Q140,Tabla5[[#This Row],[INVERSIONES FCI]])</f>
        <v>4269429190.3213005</v>
      </c>
      <c r="R141" s="5">
        <f>IF($B140&lt;=Tabla5[[#This Row],[INVERSIONES FCI]],+Tabla5[[#This Row],[INVERSIONES FCI]]-R140,Tabla5[[#This Row],[INVERSIONES FCI]])</f>
        <v>4269429190.3213005</v>
      </c>
      <c r="S141" s="5">
        <f>IF($B140&lt;=Tabla5[[#This Row],[INVERSIONES FCI]],+Tabla5[[#This Row],[INVERSIONES FCI]]-S140,Tabla5[[#This Row],[INVERSIONES FCI]])</f>
        <v>4269429190.3213005</v>
      </c>
      <c r="T141" s="5">
        <f>IF($B140&lt;=Tabla5[[#This Row],[INVERSIONES FCI]],+Tabla5[[#This Row],[INVERSIONES FCI]]-T140,Tabla5[[#This Row],[INVERSIONES FCI]])</f>
        <v>4269429190.3213005</v>
      </c>
      <c r="U141" s="5">
        <f>IF($B140&lt;=Tabla5[[#This Row],[INVERSIONES FCI]],+Tabla5[[#This Row],[INVERSIONES FCI]]-U140,Tabla5[[#This Row],[INVERSIONES FCI]])</f>
        <v>4269429190.3213005</v>
      </c>
      <c r="V141" s="5">
        <f>IF($B140&lt;=Tabla5[[#This Row],[INVERSIONES FCI]],+Tabla5[[#This Row],[INVERSIONES FCI]]-V140,Tabla5[[#This Row],[INVERSIONES FCI]])</f>
        <v>4269429190.3213005</v>
      </c>
      <c r="W141" s="5">
        <f>IF($B140&lt;=Tabla5[[#This Row],[INVERSIONES FCI]],+Tabla5[[#This Row],[INVERSIONES FCI]]-W140,Tabla5[[#This Row],[INVERSIONES FCI]])</f>
        <v>4269429190.3213005</v>
      </c>
      <c r="X141" s="5">
        <f>IF($B140&lt;=Tabla5[[#This Row],[INVERSIONES FCI]],+Tabla5[[#This Row],[INVERSIONES FCI]]-X140,Tabla5[[#This Row],[INVERSIONES FCI]])</f>
        <v>4269429190.3213005</v>
      </c>
      <c r="Y141" s="5">
        <f>IF($B140&lt;=Tabla5[[#This Row],[INVERSIONES FCI]],+Tabla5[[#This Row],[INVERSIONES FCI]]-Y140,Tabla5[[#This Row],[INVERSIONES FCI]])</f>
        <v>4269429190.3213005</v>
      </c>
      <c r="Z141" s="5">
        <f>IF($B140&lt;=Tabla5[[#This Row],[INVERSIONES FCI]],+Tabla5[[#This Row],[INVERSIONES FCI]]-Z140,Tabla5[[#This Row],[INVERSIONES FCI]])</f>
        <v>4269429190.3213005</v>
      </c>
      <c r="AA141" s="5">
        <f>IF($B140&lt;=Tabla5[[#This Row],[INVERSIONES FCI]],+Tabla5[[#This Row],[INVERSIONES FCI]]-AA140,Tabla5[[#This Row],[INVERSIONES FCI]])</f>
        <v>4269429190.3213005</v>
      </c>
      <c r="AB141" s="5">
        <f>IF($B140&lt;=Tabla5[[#This Row],[INVERSIONES FCI]],+Tabla5[[#This Row],[INVERSIONES FCI]]-AB140,Tabla5[[#This Row],[INVERSIONES FCI]])</f>
        <v>4269429190.3213005</v>
      </c>
      <c r="AC141" s="5">
        <f>IF($B140&lt;=Tabla5[[#This Row],[INVERSIONES FCI]],+Tabla5[[#This Row],[INVERSIONES FCI]]-AC140,Tabla5[[#This Row],[INVERSIONES FCI]])</f>
        <v>4269429190.3213005</v>
      </c>
      <c r="AD141" s="5">
        <f>IF($B140&lt;=Tabla5[[#This Row],[INVERSIONES FCI]],+Tabla5[[#This Row],[INVERSIONES FCI]]-AD140,Tabla5[[#This Row],[INVERSIONES FCI]])</f>
        <v>4269429190.3213005</v>
      </c>
      <c r="AE141" s="5">
        <f>IF($B140&lt;=Tabla5[[#This Row],[INVERSIONES FCI]],+Tabla5[[#This Row],[INVERSIONES FCI]]-AE140,Tabla5[[#This Row],[INVERSIONES FCI]])</f>
        <v>4269429190.3213005</v>
      </c>
      <c r="AF141" s="5">
        <f>IF($B140&lt;=Tabla5[[#This Row],[INVERSIONES FCI]],+Tabla5[[#This Row],[INVERSIONES FCI]]-AF140,Tabla5[[#This Row],[INVERSIONES FCI]])</f>
        <v>4269429190.3213005</v>
      </c>
      <c r="AG141" s="5">
        <f>IF($B140&lt;=Tabla5[[#This Row],[INVERSIONES FCI]],+Tabla5[[#This Row],[INVERSIONES FCI]]-AG140,Tabla5[[#This Row],[INVERSIONES FCI]])</f>
        <v>4269429190.3213005</v>
      </c>
      <c r="AH141" s="5">
        <f>IF($B140&lt;=Tabla5[[#This Row],[INVERSIONES FCI]],+Tabla5[[#This Row],[INVERSIONES FCI]]-AH140,Tabla5[[#This Row],[INVERSIONES FCI]])</f>
        <v>4269429190.3213005</v>
      </c>
      <c r="AI141" s="5">
        <f>IF($B140&lt;=Tabla5[[#This Row],[INVERSIONES FCI]],+Tabla5[[#This Row],[INVERSIONES FCI]]-AI140,Tabla5[[#This Row],[INVERSIONES FCI]])</f>
        <v>4269429190.3213005</v>
      </c>
      <c r="AJ141" s="5">
        <f>IF($B140&lt;=Tabla5[[#This Row],[INVERSIONES FCI]],+Tabla5[[#This Row],[INVERSIONES FCI]]-AJ140,Tabla5[[#This Row],[INVERSIONES FCI]])</f>
        <v>4269429190.3213005</v>
      </c>
      <c r="AK141" s="5">
        <f>IF($B140&lt;=Tabla5[[#This Row],[INVERSIONES FCI]],+Tabla5[[#This Row],[INVERSIONES FCI]]-AK140,Tabla5[[#This Row],[INVERSIONES FCI]])</f>
        <v>4269429190.3213005</v>
      </c>
      <c r="AL141" s="5">
        <f>IF($B140&lt;=Tabla5[[#This Row],[INVERSIONES FCI]],+Tabla5[[#This Row],[INVERSIONES FCI]]-AL140,Tabla5[[#This Row],[INVERSIONES FCI]])</f>
        <v>4269429190.3213005</v>
      </c>
      <c r="AM141" s="5">
        <f>IF($B140&lt;=Tabla5[[#This Row],[INVERSIONES FCI]],+Tabla5[[#This Row],[INVERSIONES FCI]]-AM140,Tabla5[[#This Row],[INVERSIONES FCI]])</f>
        <v>4269429190.3213005</v>
      </c>
      <c r="AN141" s="5">
        <f>IF($B140&lt;=Tabla5[[#This Row],[INVERSIONES FCI]],+Tabla5[[#This Row],[INVERSIONES FCI]]-AN140,Tabla5[[#This Row],[INVERSIONES FCI]])</f>
        <v>4269429190.3213005</v>
      </c>
      <c r="AO141" s="5">
        <f>IF($B140&lt;=Tabla5[[#This Row],[INVERSIONES FCI]],+Tabla5[[#This Row],[INVERSIONES FCI]]-AO140,Tabla5[[#This Row],[INVERSIONES FCI]])</f>
        <v>4269429190.3213005</v>
      </c>
      <c r="AP141" s="5">
        <f>IF($B140&lt;=Tabla5[[#This Row],[INVERSIONES FCI]],+Tabla5[[#This Row],[INVERSIONES FCI]]-AP140,Tabla5[[#This Row],[INVERSIONES FCI]])</f>
        <v>4269429190.3213005</v>
      </c>
      <c r="AQ141" s="5">
        <f>IF($B140&lt;=Tabla5[[#This Row],[INVERSIONES FCI]],+Tabla5[[#This Row],[INVERSIONES FCI]]-AQ140,Tabla5[[#This Row],[INVERSIONES FCI]])</f>
        <v>4269429190.3213005</v>
      </c>
      <c r="AR141" s="5">
        <f>IF($B140&lt;=Tabla5[[#This Row],[INVERSIONES FCI]],+Tabla5[[#This Row],[INVERSIONES FCI]]-AR140,Tabla5[[#This Row],[INVERSIONES FCI]])</f>
        <v>4269429190.3213005</v>
      </c>
      <c r="AS141" s="5">
        <f>IF($B140&lt;=Tabla5[[#This Row],[INVERSIONES FCI]],+Tabla5[[#This Row],[INVERSIONES FCI]]-AS140,Tabla5[[#This Row],[INVERSIONES FCI]])</f>
        <v>4269429190.3213005</v>
      </c>
      <c r="AT141" s="5">
        <f>IF($B140&lt;=Tabla5[[#This Row],[INVERSIONES FCI]],+Tabla5[[#This Row],[INVERSIONES FCI]]-AT140,Tabla5[[#This Row],[INVERSIONES FCI]])</f>
        <v>4269429190.3213005</v>
      </c>
      <c r="AU141" s="5">
        <f>IF($B140&lt;=Tabla5[[#This Row],[INVERSIONES FCI]],+Tabla5[[#This Row],[INVERSIONES FCI]]-AU140,Tabla5[[#This Row],[INVERSIONES FCI]])</f>
        <v>4269429190.3213005</v>
      </c>
      <c r="AV141" s="5">
        <f>IF($B140&lt;=Tabla5[[#This Row],[INVERSIONES FCI]],+Tabla5[[#This Row],[INVERSIONES FCI]]-AV140,Tabla5[[#This Row],[INVERSIONES FCI]])</f>
        <v>4269429190.3213005</v>
      </c>
      <c r="AW141" s="5">
        <f>IF($B140&lt;=Tabla5[[#This Row],[INVERSIONES FCI]],+Tabla5[[#This Row],[INVERSIONES FCI]]-AW140,Tabla5[[#This Row],[INVERSIONES FCI]])</f>
        <v>4269429190.3213005</v>
      </c>
      <c r="AX141" s="5">
        <f>IF($B140&lt;=Tabla5[[#This Row],[INVERSIONES FCI]],+Tabla5[[#This Row],[INVERSIONES FCI]]-AX140,Tabla5[[#This Row],[INVERSIONES FCI]])</f>
        <v>4269429190.3213005</v>
      </c>
      <c r="AY141" s="5">
        <f>IF($B140&lt;=Tabla5[[#This Row],[INVERSIONES FCI]],+Tabla5[[#This Row],[INVERSIONES FCI]]-AY140,Tabla5[[#This Row],[INVERSIONES FCI]])</f>
        <v>4269429190.3213005</v>
      </c>
      <c r="AZ141" s="5">
        <f>IF($B140&lt;=Tabla5[[#This Row],[INVERSIONES FCI]],+Tabla5[[#This Row],[INVERSIONES FCI]]-AZ140,Tabla5[[#This Row],[INVERSIONES FCI]])</f>
        <v>4269429190.3213005</v>
      </c>
      <c r="BA141" s="5">
        <f>IF($B140&lt;=Tabla5[[#This Row],[INVERSIONES FCI]],+Tabla5[[#This Row],[INVERSIONES FCI]]-BA140,Tabla5[[#This Row],[INVERSIONES FCI]])</f>
        <v>4269429190.3213005</v>
      </c>
      <c r="BB141" s="5">
        <f>IF($B140&lt;=Tabla5[[#This Row],[INVERSIONES FCI]],+Tabla5[[#This Row],[INVERSIONES FCI]]-BB140,Tabla5[[#This Row],[INVERSIONES FCI]])</f>
        <v>4269429190.3213005</v>
      </c>
      <c r="BC141" s="5">
        <f>IF($B140&lt;=Tabla5[[#This Row],[INVERSIONES FCI]],+Tabla5[[#This Row],[INVERSIONES FCI]]-BC140,Tabla5[[#This Row],[INVERSIONES FCI]])</f>
        <v>4269429190.3213005</v>
      </c>
      <c r="BD141" s="5">
        <f>IF($B140&lt;=Tabla5[[#This Row],[INVERSIONES FCI]],+Tabla5[[#This Row],[INVERSIONES FCI]]-BD140,Tabla5[[#This Row],[INVERSIONES FCI]])</f>
        <v>4269429190.3213005</v>
      </c>
      <c r="BE141" s="5">
        <f>IF($B140&lt;=Tabla5[[#This Row],[INVERSIONES FCI]],+Tabla5[[#This Row],[INVERSIONES FCI]]-BE140,Tabla5[[#This Row],[INVERSIONES FCI]])</f>
        <v>4269429190.3213005</v>
      </c>
      <c r="BF141" s="5">
        <f>IF($B140&lt;=Tabla5[[#This Row],[INVERSIONES FCI]],+Tabla5[[#This Row],[INVERSIONES FCI]]-BF140,Tabla5[[#This Row],[INVERSIONES FCI]])</f>
        <v>4269429190.3213005</v>
      </c>
      <c r="BG141" s="5">
        <f>IF($B140&lt;=Tabla5[[#This Row],[INVERSIONES FCI]],+Tabla5[[#This Row],[INVERSIONES FCI]]-BG140,Tabla5[[#This Row],[INVERSIONES FCI]])</f>
        <v>4269429190.3213005</v>
      </c>
      <c r="BH141" s="5">
        <f>IF($B140&lt;=Tabla5[[#This Row],[INVERSIONES FCI]],+Tabla5[[#This Row],[INVERSIONES FCI]]-BH140,Tabla5[[#This Row],[INVERSIONES FCI]])</f>
        <v>4269429190.3213005</v>
      </c>
      <c r="BI141" s="5">
        <f>IF($B140&lt;=Tabla5[[#This Row],[INVERSIONES FCI]],+Tabla5[[#This Row],[INVERSIONES FCI]]-BI140,Tabla5[[#This Row],[INVERSIONES FCI]])</f>
        <v>4269429190.3213005</v>
      </c>
      <c r="BJ141" s="5">
        <f>IF($B140&lt;=Tabla5[[#This Row],[INVERSIONES FCI]],+Tabla5[[#This Row],[INVERSIONES FCI]]-BJ140,Tabla5[[#This Row],[INVERSIONES FCI]])</f>
        <v>4269429190.3213005</v>
      </c>
      <c r="BK141" s="5">
        <f>IF($B140&lt;=Tabla5[[#This Row],[INVERSIONES FCI]],+Tabla5[[#This Row],[INVERSIONES FCI]]-BK140,Tabla5[[#This Row],[INVERSIONES FCI]])</f>
        <v>4269429190.3213005</v>
      </c>
      <c r="BL141" s="5">
        <f>IF($B140&lt;=Tabla5[[#This Row],[INVERSIONES FCI]],+Tabla5[[#This Row],[INVERSIONES FCI]]-BL140,Tabla5[[#This Row],[INVERSIONES FCI]])</f>
        <v>4269429190.3213005</v>
      </c>
      <c r="BM141" s="5">
        <f>IF($B140&lt;=Tabla5[[#This Row],[INVERSIONES FCI]],+Tabla5[[#This Row],[INVERSIONES FCI]]-BM140,Tabla5[[#This Row],[INVERSIONES FCI]])</f>
        <v>4269429190.3213005</v>
      </c>
      <c r="BN141" s="5">
        <f>IF($B140&lt;=Tabla5[[#This Row],[INVERSIONES FCI]],+Tabla5[[#This Row],[INVERSIONES FCI]]-BN140,Tabla5[[#This Row],[INVERSIONES FCI]])</f>
        <v>4269429190.3213005</v>
      </c>
      <c r="BO141" s="5">
        <f>IF($B140&lt;=Tabla5[[#This Row],[INVERSIONES FCI]],+Tabla5[[#This Row],[INVERSIONES FCI]]-BO140,Tabla5[[#This Row],[INVERSIONES FCI]])</f>
        <v>4269429190.3213005</v>
      </c>
      <c r="BP141" s="5">
        <f>IF($B140&lt;=Tabla5[[#This Row],[INVERSIONES FCI]],+Tabla5[[#This Row],[INVERSIONES FCI]]-BP140,Tabla5[[#This Row],[INVERSIONES FCI]])</f>
        <v>4269429190.3213005</v>
      </c>
      <c r="BQ141" s="5">
        <f>IF($B140&lt;=Tabla5[[#This Row],[INVERSIONES FCI]],+Tabla5[[#This Row],[INVERSIONES FCI]]-BQ140,Tabla5[[#This Row],[INVERSIONES FCI]])</f>
        <v>4269429190.3213005</v>
      </c>
      <c r="BR141" s="5">
        <f>IF($B140&lt;=Tabla5[[#This Row],[INVERSIONES FCI]],+Tabla5[[#This Row],[INVERSIONES FCI]]-BR140,Tabla5[[#This Row],[INVERSIONES FCI]])</f>
        <v>4269429190.3213005</v>
      </c>
      <c r="BS141" s="5">
        <f>IF($B140&lt;=Tabla5[[#This Row],[INVERSIONES FCI]],+Tabla5[[#This Row],[INVERSIONES FCI]]-BS140,Tabla5[[#This Row],[INVERSIONES FCI]])</f>
        <v>4269429190.3213005</v>
      </c>
      <c r="BT141" s="5">
        <f>IF($B140&lt;=Tabla5[[#This Row],[INVERSIONES FCI]],+Tabla5[[#This Row],[INVERSIONES FCI]]-BT140,Tabla5[[#This Row],[INVERSIONES FCI]])</f>
        <v>4269429190.3213005</v>
      </c>
      <c r="BU141" s="5">
        <f>IF($B140&lt;=Tabla5[[#This Row],[INVERSIONES FCI]],+Tabla5[[#This Row],[INVERSIONES FCI]]-BU140,Tabla5[[#This Row],[INVERSIONES FCI]])</f>
        <v>4269429190.3213005</v>
      </c>
      <c r="BV141" s="5">
        <f>IF($B140&lt;=Tabla5[[#This Row],[INVERSIONES FCI]],+Tabla5[[#This Row],[INVERSIONES FCI]]-BV140,Tabla5[[#This Row],[INVERSIONES FCI]])</f>
        <v>4269429190.3213005</v>
      </c>
      <c r="BW141" s="5">
        <f>IF($B140&lt;=Tabla5[[#This Row],[INVERSIONES FCI]],+Tabla5[[#This Row],[INVERSIONES FCI]]-BW140,Tabla5[[#This Row],[INVERSIONES FCI]])</f>
        <v>4269429190.3213005</v>
      </c>
      <c r="BX141" s="5">
        <f>IF($B140&lt;=Tabla5[[#This Row],[INVERSIONES FCI]],+Tabla5[[#This Row],[INVERSIONES FCI]]-BX140,Tabla5[[#This Row],[INVERSIONES FCI]])</f>
        <v>4269429190.3213005</v>
      </c>
      <c r="BY141" s="5">
        <f>IF($B140&lt;=Tabla5[[#This Row],[INVERSIONES FCI]],+Tabla5[[#This Row],[INVERSIONES FCI]]-BY140,Tabla5[[#This Row],[INVERSIONES FCI]])</f>
        <v>4269429190.3213005</v>
      </c>
      <c r="BZ141" s="5">
        <f>IF($B140&lt;=Tabla5[[#This Row],[INVERSIONES FCI]],+Tabla5[[#This Row],[INVERSIONES FCI]]-BZ140,Tabla5[[#This Row],[INVERSIONES FCI]])</f>
        <v>4269429190.3213005</v>
      </c>
      <c r="CA141" s="5">
        <f>IF($B140&lt;=Tabla5[[#This Row],[INVERSIONES FCI]],+Tabla5[[#This Row],[INVERSIONES FCI]]-CA140,Tabla5[[#This Row],[INVERSIONES FCI]])</f>
        <v>4269429190.3213005</v>
      </c>
      <c r="CB141" s="5">
        <f>IF($B140&lt;=Tabla5[[#This Row],[INVERSIONES FCI]],+Tabla5[[#This Row],[INVERSIONES FCI]]-CB140,Tabla5[[#This Row],[INVERSIONES FCI]])</f>
        <v>4269429190.3213005</v>
      </c>
      <c r="CC141" s="5">
        <f>IF($B140&lt;=Tabla5[[#This Row],[INVERSIONES FCI]],+Tabla5[[#This Row],[INVERSIONES FCI]]-CC140,Tabla5[[#This Row],[INVERSIONES FCI]])</f>
        <v>4269429190.3213005</v>
      </c>
      <c r="CD141" s="5">
        <f>IF($B140&lt;=Tabla5[[#This Row],[INVERSIONES FCI]],+Tabla5[[#This Row],[INVERSIONES FCI]]-CD140,Tabla5[[#This Row],[INVERSIONES FCI]])</f>
        <v>4269429190.3213005</v>
      </c>
      <c r="CE141" s="5">
        <f>IF($B140&lt;=Tabla5[[#This Row],[INVERSIONES FCI]],+Tabla5[[#This Row],[INVERSIONES FCI]]-CE140,Tabla5[[#This Row],[INVERSIONES FCI]])</f>
        <v>4269429190.3213005</v>
      </c>
      <c r="CF141" s="5">
        <f>IF($B140&lt;=Tabla5[[#This Row],[INVERSIONES FCI]],+Tabla5[[#This Row],[INVERSIONES FCI]]-CF140,Tabla5[[#This Row],[INVERSIONES FCI]])</f>
        <v>4269429190.3213005</v>
      </c>
      <c r="CG141" s="5">
        <f>IF($B140&lt;=Tabla5[[#This Row],[INVERSIONES FCI]],+Tabla5[[#This Row],[INVERSIONES FCI]]-CG140,Tabla5[[#This Row],[INVERSIONES FCI]])</f>
        <v>4269429190.3213005</v>
      </c>
      <c r="CH141" s="5">
        <f>IF($B140&lt;=Tabla5[[#This Row],[INVERSIONES FCI]],+Tabla5[[#This Row],[INVERSIONES FCI]]-CH140,Tabla5[[#This Row],[INVERSIONES FCI]])</f>
        <v>4269429190.3213005</v>
      </c>
      <c r="CI141" s="5">
        <f>IF($B140&lt;=Tabla5[[#This Row],[INVERSIONES FCI]],+Tabla5[[#This Row],[INVERSIONES FCI]]-CI140,Tabla5[[#This Row],[INVERSIONES FCI]])</f>
        <v>4269429190.3213005</v>
      </c>
      <c r="CJ141" s="5">
        <f>IF($B140&lt;=Tabla5[[#This Row],[INVERSIONES FCI]],+Tabla5[[#This Row],[INVERSIONES FCI]]-CJ140,Tabla5[[#This Row],[INVERSIONES FCI]])</f>
        <v>4269429190.3213005</v>
      </c>
      <c r="CK141" s="5">
        <f>IF($B140&lt;=Tabla5[[#This Row],[INVERSIONES FCI]],+Tabla5[[#This Row],[INVERSIONES FCI]]-CK140,Tabla5[[#This Row],[INVERSIONES FCI]])</f>
        <v>4269429190.3213005</v>
      </c>
      <c r="CL141" s="5">
        <f>IF($B140&lt;=Tabla5[[#This Row],[INVERSIONES FCI]],+Tabla5[[#This Row],[INVERSIONES FCI]]-CL140,Tabla5[[#This Row],[INVERSIONES FCI]])</f>
        <v>4269429190.3213005</v>
      </c>
      <c r="CM141" s="5">
        <f>IF($B140&lt;=Tabla5[[#This Row],[INVERSIONES FCI]],+Tabla5[[#This Row],[INVERSIONES FCI]]-CM140,Tabla5[[#This Row],[INVERSIONES FCI]])</f>
        <v>4269429190.3213005</v>
      </c>
      <c r="CN141" s="5">
        <f>IF($B140&lt;=Tabla5[[#This Row],[INVERSIONES FCI]],+Tabla5[[#This Row],[INVERSIONES FCI]]-CN140,Tabla5[[#This Row],[INVERSIONES FCI]])</f>
        <v>4269429190.3213005</v>
      </c>
      <c r="CO141" s="5">
        <f>IF($B140&lt;=Tabla5[[#This Row],[INVERSIONES FCI]],+Tabla5[[#This Row],[INVERSIONES FCI]]-CO140,Tabla5[[#This Row],[INVERSIONES FCI]])</f>
        <v>4269429190.3213005</v>
      </c>
      <c r="CP141" s="5">
        <f>IF($B140&lt;=Tabla5[[#This Row],[INVERSIONES FCI]],+Tabla5[[#This Row],[INVERSIONES FCI]]-CP140,Tabla5[[#This Row],[INVERSIONES FCI]])</f>
        <v>4269429190.3213005</v>
      </c>
      <c r="CQ141" s="5">
        <f>IF($B140&lt;=Tabla5[[#This Row],[INVERSIONES FCI]],+Tabla5[[#This Row],[INVERSIONES FCI]]-CQ140,Tabla5[[#This Row],[INVERSIONES FCI]])</f>
        <v>4269429190.3213005</v>
      </c>
      <c r="CR141" s="5">
        <f>IF($B140&lt;=Tabla5[[#This Row],[INVERSIONES FCI]],+Tabla5[[#This Row],[INVERSIONES FCI]]-CR140,Tabla5[[#This Row],[INVERSIONES FCI]])</f>
        <v>4269429190.3213005</v>
      </c>
      <c r="CS141" s="5">
        <f>IF($B140&lt;=Tabla5[[#This Row],[INVERSIONES FCI]],+Tabla5[[#This Row],[INVERSIONES FCI]]-CS140,Tabla5[[#This Row],[INVERSIONES FCI]])</f>
        <v>4269429190.3213005</v>
      </c>
      <c r="CT141" s="5">
        <f>IF($B140&lt;=Tabla5[[#This Row],[INVERSIONES FCI]],+Tabla5[[#This Row],[INVERSIONES FCI]]-CT140,Tabla5[[#This Row],[INVERSIONES FCI]])</f>
        <v>4269429190.3213005</v>
      </c>
      <c r="CU141" s="5">
        <f>IF($B140&lt;=Tabla5[[#This Row],[INVERSIONES FCI]],+Tabla5[[#This Row],[INVERSIONES FCI]]-CU140,Tabla5[[#This Row],[INVERSIONES FCI]])</f>
        <v>4269429190.3213005</v>
      </c>
      <c r="CV141" s="5">
        <f>IF($B140&lt;=Tabla5[[#This Row],[INVERSIONES FCI]],+Tabla5[[#This Row],[INVERSIONES FCI]]-CV140,Tabla5[[#This Row],[INVERSIONES FCI]])</f>
        <v>4269429190.3213005</v>
      </c>
      <c r="CW141" s="5">
        <f>IF($B140&lt;=Tabla5[[#This Row],[INVERSIONES FCI]],+Tabla5[[#This Row],[INVERSIONES FCI]]-CW140,Tabla5[[#This Row],[INVERSIONES FCI]])</f>
        <v>4269429190.3213005</v>
      </c>
      <c r="CX141" s="5">
        <f>IF($B140&lt;=Tabla5[[#This Row],[INVERSIONES FCI]],+Tabla5[[#This Row],[INVERSIONES FCI]]-CX140,Tabla5[[#This Row],[INVERSIONES FCI]])</f>
        <v>4269429190.3213005</v>
      </c>
      <c r="CY141" s="5">
        <f>IF($B140&lt;=Tabla5[[#This Row],[INVERSIONES FCI]],+Tabla5[[#This Row],[INVERSIONES FCI]]-CY140,Tabla5[[#This Row],[INVERSIONES FCI]])</f>
        <v>4269429190.3213005</v>
      </c>
      <c r="CZ141" s="5">
        <f>IF($B140&lt;=Tabla5[[#This Row],[INVERSIONES FCI]],+Tabla5[[#This Row],[INVERSIONES FCI]]-CZ140,Tabla5[[#This Row],[INVERSIONES FCI]])</f>
        <v>4269429190.3213005</v>
      </c>
      <c r="DA141" s="5">
        <f>IF($B140&lt;=Tabla5[[#This Row],[INVERSIONES FCI]],+Tabla5[[#This Row],[INVERSIONES FCI]]-DA140,Tabla5[[#This Row],[INVERSIONES FCI]])</f>
        <v>4269429190.3213005</v>
      </c>
      <c r="DB141" s="5">
        <f>IF($B140&lt;=Tabla5[[#This Row],[INVERSIONES FCI]],+Tabla5[[#This Row],[INVERSIONES FCI]]-DB140,Tabla5[[#This Row],[INVERSIONES FCI]])</f>
        <v>4269429190.3213005</v>
      </c>
      <c r="DC141" s="5">
        <f>IF($B140&lt;=Tabla5[[#This Row],[INVERSIONES FCI]],+Tabla5[[#This Row],[INVERSIONES FCI]]-DC140,Tabla5[[#This Row],[INVERSIONES FCI]])</f>
        <v>4269429190.3213005</v>
      </c>
      <c r="DD141" s="5">
        <f>IF($B140&lt;=Tabla5[[#This Row],[INVERSIONES FCI]],+Tabla5[[#This Row],[INVERSIONES FCI]]-DD140,Tabla5[[#This Row],[INVERSIONES FCI]])</f>
        <v>4269429190.3213005</v>
      </c>
      <c r="DE141" s="5">
        <f>IF($B140&lt;=Tabla5[[#This Row],[INVERSIONES FCI]],+Tabla5[[#This Row],[INVERSIONES FCI]]-DE140,Tabla5[[#This Row],[INVERSIONES FCI]])</f>
        <v>4269429190.3213005</v>
      </c>
      <c r="DF141" s="5">
        <f>IF($B140&lt;=Tabla5[[#This Row],[INVERSIONES FCI]],+Tabla5[[#This Row],[INVERSIONES FCI]]-DF140,Tabla5[[#This Row],[INVERSIONES FCI]])</f>
        <v>4269429190.3213005</v>
      </c>
      <c r="DG141" s="5">
        <f>IF($B140&lt;=Tabla5[[#This Row],[INVERSIONES FCI]],+Tabla5[[#This Row],[INVERSIONES FCI]]-DG140,Tabla5[[#This Row],[INVERSIONES FCI]])</f>
        <v>4269429190.3213005</v>
      </c>
      <c r="DH141" s="5">
        <f>IF($B140&lt;=Tabla5[[#This Row],[INVERSIONES FCI]],+Tabla5[[#This Row],[INVERSIONES FCI]]-DH140,Tabla5[[#This Row],[INVERSIONES FCI]])</f>
        <v>4269429190.3213005</v>
      </c>
      <c r="DI141" s="5">
        <f>IF($B140&lt;=Tabla5[[#This Row],[INVERSIONES FCI]],+Tabla5[[#This Row],[INVERSIONES FCI]]-DI140,Tabla5[[#This Row],[INVERSIONES FCI]])</f>
        <v>4269429190.3213005</v>
      </c>
      <c r="DJ141" s="5">
        <f>IF($B140&lt;=Tabla5[[#This Row],[INVERSIONES FCI]],+Tabla5[[#This Row],[INVERSIONES FCI]]-DJ140,Tabla5[[#This Row],[INVERSIONES FCI]])</f>
        <v>4269429190.3213005</v>
      </c>
      <c r="DK141" s="5">
        <f>IF($B140&lt;=Tabla5[[#This Row],[INVERSIONES FCI]],+Tabla5[[#This Row],[INVERSIONES FCI]]-DK140,Tabla5[[#This Row],[INVERSIONES FCI]])</f>
        <v>4269429190.3213005</v>
      </c>
      <c r="DL141" s="5"/>
      <c r="DM141" s="5"/>
      <c r="DN141" s="5"/>
      <c r="DO141" s="5"/>
      <c r="DP141" s="5"/>
      <c r="DQ141" s="5"/>
    </row>
    <row r="142" spans="1:121" ht="14.4">
      <c r="A142" s="12" t="s">
        <v>141</v>
      </c>
      <c r="B142" s="5">
        <f>HLOOKUP($A142,ESCENARIO[#All],7,FALSE)</f>
        <v>31329922612.901142</v>
      </c>
      <c r="C142" s="5">
        <f>IF($B141&lt;=Tabla5[[#This Row],[INVERSIONES FCI]],+Tabla5[[#This Row],[INVERSIONES FCI]]-C141,Tabla5[[#This Row],[INVERSIONES FCI]])</f>
        <v>27060493422.579842</v>
      </c>
      <c r="D142" s="5">
        <f>IF($B141&lt;=Tabla5[[#This Row],[INVERSIONES FCI]],+Tabla5[[#This Row],[INVERSIONES FCI]]-D141,Tabla5[[#This Row],[INVERSIONES FCI]])</f>
        <v>27060493422.579842</v>
      </c>
      <c r="E142" s="5">
        <f>IF($B141&lt;=Tabla5[[#This Row],[INVERSIONES FCI]],+Tabla5[[#This Row],[INVERSIONES FCI]]-E141,Tabla5[[#This Row],[INVERSIONES FCI]])</f>
        <v>27060493422.579842</v>
      </c>
      <c r="F142" s="5">
        <f>IF($B141&lt;=Tabla5[[#This Row],[INVERSIONES FCI]],+Tabla5[[#This Row],[INVERSIONES FCI]]-F141,Tabla5[[#This Row],[INVERSIONES FCI]])</f>
        <v>27060493422.579842</v>
      </c>
      <c r="G142" s="5">
        <f>IF($B141&lt;=Tabla5[[#This Row],[INVERSIONES FCI]],+Tabla5[[#This Row],[INVERSIONES FCI]]-G141,Tabla5[[#This Row],[INVERSIONES FCI]])</f>
        <v>27060493422.579842</v>
      </c>
      <c r="H142" s="5">
        <f>IF($B141&lt;=Tabla5[[#This Row],[INVERSIONES FCI]],+Tabla5[[#This Row],[INVERSIONES FCI]]-H141,Tabla5[[#This Row],[INVERSIONES FCI]])</f>
        <v>27060493422.579842</v>
      </c>
      <c r="I142" s="5">
        <f>IF($B141&lt;=Tabla5[[#This Row],[INVERSIONES FCI]],+Tabla5[[#This Row],[INVERSIONES FCI]]-I141,Tabla5[[#This Row],[INVERSIONES FCI]])</f>
        <v>27060493422.579842</v>
      </c>
      <c r="J142" s="5">
        <f>IF($B141&lt;=Tabla5[[#This Row],[INVERSIONES FCI]],+Tabla5[[#This Row],[INVERSIONES FCI]]-J141,Tabla5[[#This Row],[INVERSIONES FCI]])</f>
        <v>27060493422.579842</v>
      </c>
      <c r="K142" s="5">
        <f>IF($B141&lt;=Tabla5[[#This Row],[INVERSIONES FCI]],+Tabla5[[#This Row],[INVERSIONES FCI]]-K141,Tabla5[[#This Row],[INVERSIONES FCI]])</f>
        <v>27060493422.579842</v>
      </c>
      <c r="L142" s="5">
        <f>IF($B141&lt;=Tabla5[[#This Row],[INVERSIONES FCI]],+Tabla5[[#This Row],[INVERSIONES FCI]]-L141,Tabla5[[#This Row],[INVERSIONES FCI]])</f>
        <v>27060493422.579842</v>
      </c>
      <c r="M142" s="5">
        <f>IF($B141&lt;=Tabla5[[#This Row],[INVERSIONES FCI]],+Tabla5[[#This Row],[INVERSIONES FCI]]-M141,Tabla5[[#This Row],[INVERSIONES FCI]])</f>
        <v>27060493422.579842</v>
      </c>
      <c r="N142" s="5">
        <f>IF($B141&lt;=Tabla5[[#This Row],[INVERSIONES FCI]],+Tabla5[[#This Row],[INVERSIONES FCI]]-N141,Tabla5[[#This Row],[INVERSIONES FCI]])</f>
        <v>27060493422.579842</v>
      </c>
      <c r="O142" s="5">
        <f>IF($B141&lt;=Tabla5[[#This Row],[INVERSIONES FCI]],+Tabla5[[#This Row],[INVERSIONES FCI]]-O141,Tabla5[[#This Row],[INVERSIONES FCI]])</f>
        <v>27060493422.579842</v>
      </c>
      <c r="P142" s="5">
        <f>IF($B141&lt;=Tabla5[[#This Row],[INVERSIONES FCI]],+Tabla5[[#This Row],[INVERSIONES FCI]]-P141,Tabla5[[#This Row],[INVERSIONES FCI]])</f>
        <v>27060493422.579842</v>
      </c>
      <c r="Q142" s="5">
        <f>IF($B141&lt;=Tabla5[[#This Row],[INVERSIONES FCI]],+Tabla5[[#This Row],[INVERSIONES FCI]]-Q141,Tabla5[[#This Row],[INVERSIONES FCI]])</f>
        <v>27060493422.579842</v>
      </c>
      <c r="R142" s="5">
        <f>IF($B141&lt;=Tabla5[[#This Row],[INVERSIONES FCI]],+Tabla5[[#This Row],[INVERSIONES FCI]]-R141,Tabla5[[#This Row],[INVERSIONES FCI]])</f>
        <v>27060493422.579842</v>
      </c>
      <c r="S142" s="5">
        <f>IF($B141&lt;=Tabla5[[#This Row],[INVERSIONES FCI]],+Tabla5[[#This Row],[INVERSIONES FCI]]-S141,Tabla5[[#This Row],[INVERSIONES FCI]])</f>
        <v>27060493422.579842</v>
      </c>
      <c r="T142" s="5">
        <f>IF($B141&lt;=Tabla5[[#This Row],[INVERSIONES FCI]],+Tabla5[[#This Row],[INVERSIONES FCI]]-T141,Tabla5[[#This Row],[INVERSIONES FCI]])</f>
        <v>27060493422.579842</v>
      </c>
      <c r="U142" s="5">
        <f>IF($B141&lt;=Tabla5[[#This Row],[INVERSIONES FCI]],+Tabla5[[#This Row],[INVERSIONES FCI]]-U141,Tabla5[[#This Row],[INVERSIONES FCI]])</f>
        <v>27060493422.579842</v>
      </c>
      <c r="V142" s="5">
        <f>IF($B141&lt;=Tabla5[[#This Row],[INVERSIONES FCI]],+Tabla5[[#This Row],[INVERSIONES FCI]]-V141,Tabla5[[#This Row],[INVERSIONES FCI]])</f>
        <v>27060493422.579842</v>
      </c>
      <c r="W142" s="5">
        <f>IF($B141&lt;=Tabla5[[#This Row],[INVERSIONES FCI]],+Tabla5[[#This Row],[INVERSIONES FCI]]-W141,Tabla5[[#This Row],[INVERSIONES FCI]])</f>
        <v>27060493422.579842</v>
      </c>
      <c r="X142" s="5">
        <f>IF($B141&lt;=Tabla5[[#This Row],[INVERSIONES FCI]],+Tabla5[[#This Row],[INVERSIONES FCI]]-X141,Tabla5[[#This Row],[INVERSIONES FCI]])</f>
        <v>27060493422.579842</v>
      </c>
      <c r="Y142" s="5">
        <f>IF($B141&lt;=Tabla5[[#This Row],[INVERSIONES FCI]],+Tabla5[[#This Row],[INVERSIONES FCI]]-Y141,Tabla5[[#This Row],[INVERSIONES FCI]])</f>
        <v>27060493422.579842</v>
      </c>
      <c r="Z142" s="5">
        <f>IF($B141&lt;=Tabla5[[#This Row],[INVERSIONES FCI]],+Tabla5[[#This Row],[INVERSIONES FCI]]-Z141,Tabla5[[#This Row],[INVERSIONES FCI]])</f>
        <v>27060493422.579842</v>
      </c>
      <c r="AA142" s="5">
        <f>IF($B141&lt;=Tabla5[[#This Row],[INVERSIONES FCI]],+Tabla5[[#This Row],[INVERSIONES FCI]]-AA141,Tabla5[[#This Row],[INVERSIONES FCI]])</f>
        <v>27060493422.579842</v>
      </c>
      <c r="AB142" s="5">
        <f>IF($B141&lt;=Tabla5[[#This Row],[INVERSIONES FCI]],+Tabla5[[#This Row],[INVERSIONES FCI]]-AB141,Tabla5[[#This Row],[INVERSIONES FCI]])</f>
        <v>27060493422.579842</v>
      </c>
      <c r="AC142" s="5">
        <f>IF($B141&lt;=Tabla5[[#This Row],[INVERSIONES FCI]],+Tabla5[[#This Row],[INVERSIONES FCI]]-AC141,Tabla5[[#This Row],[INVERSIONES FCI]])</f>
        <v>27060493422.579842</v>
      </c>
      <c r="AD142" s="5">
        <f>IF($B141&lt;=Tabla5[[#This Row],[INVERSIONES FCI]],+Tabla5[[#This Row],[INVERSIONES FCI]]-AD141,Tabla5[[#This Row],[INVERSIONES FCI]])</f>
        <v>27060493422.579842</v>
      </c>
      <c r="AE142" s="5">
        <f>IF($B141&lt;=Tabla5[[#This Row],[INVERSIONES FCI]],+Tabla5[[#This Row],[INVERSIONES FCI]]-AE141,Tabla5[[#This Row],[INVERSIONES FCI]])</f>
        <v>27060493422.579842</v>
      </c>
      <c r="AF142" s="5">
        <f>IF($B141&lt;=Tabla5[[#This Row],[INVERSIONES FCI]],+Tabla5[[#This Row],[INVERSIONES FCI]]-AF141,Tabla5[[#This Row],[INVERSIONES FCI]])</f>
        <v>27060493422.579842</v>
      </c>
      <c r="AG142" s="5">
        <f>IF($B141&lt;=Tabla5[[#This Row],[INVERSIONES FCI]],+Tabla5[[#This Row],[INVERSIONES FCI]]-AG141,Tabla5[[#This Row],[INVERSIONES FCI]])</f>
        <v>27060493422.579842</v>
      </c>
      <c r="AH142" s="5">
        <f>IF($B141&lt;=Tabla5[[#This Row],[INVERSIONES FCI]],+Tabla5[[#This Row],[INVERSIONES FCI]]-AH141,Tabla5[[#This Row],[INVERSIONES FCI]])</f>
        <v>27060493422.579842</v>
      </c>
      <c r="AI142" s="5">
        <f>IF($B141&lt;=Tabla5[[#This Row],[INVERSIONES FCI]],+Tabla5[[#This Row],[INVERSIONES FCI]]-AI141,Tabla5[[#This Row],[INVERSIONES FCI]])</f>
        <v>27060493422.579842</v>
      </c>
      <c r="AJ142" s="5">
        <f>IF($B141&lt;=Tabla5[[#This Row],[INVERSIONES FCI]],+Tabla5[[#This Row],[INVERSIONES FCI]]-AJ141,Tabla5[[#This Row],[INVERSIONES FCI]])</f>
        <v>27060493422.579842</v>
      </c>
      <c r="AK142" s="5">
        <f>IF($B141&lt;=Tabla5[[#This Row],[INVERSIONES FCI]],+Tabla5[[#This Row],[INVERSIONES FCI]]-AK141,Tabla5[[#This Row],[INVERSIONES FCI]])</f>
        <v>27060493422.579842</v>
      </c>
      <c r="AL142" s="5">
        <f>IF($B141&lt;=Tabla5[[#This Row],[INVERSIONES FCI]],+Tabla5[[#This Row],[INVERSIONES FCI]]-AL141,Tabla5[[#This Row],[INVERSIONES FCI]])</f>
        <v>27060493422.579842</v>
      </c>
      <c r="AM142" s="5">
        <f>IF($B141&lt;=Tabla5[[#This Row],[INVERSIONES FCI]],+Tabla5[[#This Row],[INVERSIONES FCI]]-AM141,Tabla5[[#This Row],[INVERSIONES FCI]])</f>
        <v>27060493422.579842</v>
      </c>
      <c r="AN142" s="5">
        <f>IF($B141&lt;=Tabla5[[#This Row],[INVERSIONES FCI]],+Tabla5[[#This Row],[INVERSIONES FCI]]-AN141,Tabla5[[#This Row],[INVERSIONES FCI]])</f>
        <v>27060493422.579842</v>
      </c>
      <c r="AO142" s="5">
        <f>IF($B141&lt;=Tabla5[[#This Row],[INVERSIONES FCI]],+Tabla5[[#This Row],[INVERSIONES FCI]]-AO141,Tabla5[[#This Row],[INVERSIONES FCI]])</f>
        <v>27060493422.579842</v>
      </c>
      <c r="AP142" s="5">
        <f>IF($B141&lt;=Tabla5[[#This Row],[INVERSIONES FCI]],+Tabla5[[#This Row],[INVERSIONES FCI]]-AP141,Tabla5[[#This Row],[INVERSIONES FCI]])</f>
        <v>27060493422.579842</v>
      </c>
      <c r="AQ142" s="5">
        <f>IF($B141&lt;=Tabla5[[#This Row],[INVERSIONES FCI]],+Tabla5[[#This Row],[INVERSIONES FCI]]-AQ141,Tabla5[[#This Row],[INVERSIONES FCI]])</f>
        <v>27060493422.579842</v>
      </c>
      <c r="AR142" s="5">
        <f>IF($B141&lt;=Tabla5[[#This Row],[INVERSIONES FCI]],+Tabla5[[#This Row],[INVERSIONES FCI]]-AR141,Tabla5[[#This Row],[INVERSIONES FCI]])</f>
        <v>27060493422.579842</v>
      </c>
      <c r="AS142" s="5">
        <f>IF($B141&lt;=Tabla5[[#This Row],[INVERSIONES FCI]],+Tabla5[[#This Row],[INVERSIONES FCI]]-AS141,Tabla5[[#This Row],[INVERSIONES FCI]])</f>
        <v>27060493422.579842</v>
      </c>
      <c r="AT142" s="5">
        <f>IF($B141&lt;=Tabla5[[#This Row],[INVERSIONES FCI]],+Tabla5[[#This Row],[INVERSIONES FCI]]-AT141,Tabla5[[#This Row],[INVERSIONES FCI]])</f>
        <v>27060493422.579842</v>
      </c>
      <c r="AU142" s="5">
        <f>IF($B141&lt;=Tabla5[[#This Row],[INVERSIONES FCI]],+Tabla5[[#This Row],[INVERSIONES FCI]]-AU141,Tabla5[[#This Row],[INVERSIONES FCI]])</f>
        <v>27060493422.579842</v>
      </c>
      <c r="AV142" s="5">
        <f>IF($B141&lt;=Tabla5[[#This Row],[INVERSIONES FCI]],+Tabla5[[#This Row],[INVERSIONES FCI]]-AV141,Tabla5[[#This Row],[INVERSIONES FCI]])</f>
        <v>27060493422.579842</v>
      </c>
      <c r="AW142" s="5">
        <f>IF($B141&lt;=Tabla5[[#This Row],[INVERSIONES FCI]],+Tabla5[[#This Row],[INVERSIONES FCI]]-AW141,Tabla5[[#This Row],[INVERSIONES FCI]])</f>
        <v>27060493422.579842</v>
      </c>
      <c r="AX142" s="5">
        <f>IF($B141&lt;=Tabla5[[#This Row],[INVERSIONES FCI]],+Tabla5[[#This Row],[INVERSIONES FCI]]-AX141,Tabla5[[#This Row],[INVERSIONES FCI]])</f>
        <v>27060493422.579842</v>
      </c>
      <c r="AY142" s="5">
        <f>IF($B141&lt;=Tabla5[[#This Row],[INVERSIONES FCI]],+Tabla5[[#This Row],[INVERSIONES FCI]]-AY141,Tabla5[[#This Row],[INVERSIONES FCI]])</f>
        <v>27060493422.579842</v>
      </c>
      <c r="AZ142" s="5">
        <f>IF($B141&lt;=Tabla5[[#This Row],[INVERSIONES FCI]],+Tabla5[[#This Row],[INVERSIONES FCI]]-AZ141,Tabla5[[#This Row],[INVERSIONES FCI]])</f>
        <v>27060493422.579842</v>
      </c>
      <c r="BA142" s="5">
        <f>IF($B141&lt;=Tabla5[[#This Row],[INVERSIONES FCI]],+Tabla5[[#This Row],[INVERSIONES FCI]]-BA141,Tabla5[[#This Row],[INVERSIONES FCI]])</f>
        <v>27060493422.579842</v>
      </c>
      <c r="BB142" s="5">
        <f>IF($B141&lt;=Tabla5[[#This Row],[INVERSIONES FCI]],+Tabla5[[#This Row],[INVERSIONES FCI]]-BB141,Tabla5[[#This Row],[INVERSIONES FCI]])</f>
        <v>27060493422.579842</v>
      </c>
      <c r="BC142" s="5">
        <f>IF($B141&lt;=Tabla5[[#This Row],[INVERSIONES FCI]],+Tabla5[[#This Row],[INVERSIONES FCI]]-BC141,Tabla5[[#This Row],[INVERSIONES FCI]])</f>
        <v>27060493422.579842</v>
      </c>
      <c r="BD142" s="5">
        <f>IF($B141&lt;=Tabla5[[#This Row],[INVERSIONES FCI]],+Tabla5[[#This Row],[INVERSIONES FCI]]-BD141,Tabla5[[#This Row],[INVERSIONES FCI]])</f>
        <v>27060493422.579842</v>
      </c>
      <c r="BE142" s="5">
        <f>IF($B141&lt;=Tabla5[[#This Row],[INVERSIONES FCI]],+Tabla5[[#This Row],[INVERSIONES FCI]]-BE141,Tabla5[[#This Row],[INVERSIONES FCI]])</f>
        <v>27060493422.579842</v>
      </c>
      <c r="BF142" s="5">
        <f>IF($B141&lt;=Tabla5[[#This Row],[INVERSIONES FCI]],+Tabla5[[#This Row],[INVERSIONES FCI]]-BF141,Tabla5[[#This Row],[INVERSIONES FCI]])</f>
        <v>27060493422.579842</v>
      </c>
      <c r="BG142" s="5">
        <f>IF($B141&lt;=Tabla5[[#This Row],[INVERSIONES FCI]],+Tabla5[[#This Row],[INVERSIONES FCI]]-BG141,Tabla5[[#This Row],[INVERSIONES FCI]])</f>
        <v>27060493422.579842</v>
      </c>
      <c r="BH142" s="5">
        <f>IF($B141&lt;=Tabla5[[#This Row],[INVERSIONES FCI]],+Tabla5[[#This Row],[INVERSIONES FCI]]-BH141,Tabla5[[#This Row],[INVERSIONES FCI]])</f>
        <v>27060493422.579842</v>
      </c>
      <c r="BI142" s="5">
        <f>IF($B141&lt;=Tabla5[[#This Row],[INVERSIONES FCI]],+Tabla5[[#This Row],[INVERSIONES FCI]]-BI141,Tabla5[[#This Row],[INVERSIONES FCI]])</f>
        <v>27060493422.579842</v>
      </c>
      <c r="BJ142" s="5">
        <f>IF($B141&lt;=Tabla5[[#This Row],[INVERSIONES FCI]],+Tabla5[[#This Row],[INVERSIONES FCI]]-BJ141,Tabla5[[#This Row],[INVERSIONES FCI]])</f>
        <v>27060493422.579842</v>
      </c>
      <c r="BK142" s="5">
        <f>IF($B141&lt;=Tabla5[[#This Row],[INVERSIONES FCI]],+Tabla5[[#This Row],[INVERSIONES FCI]]-BK141,Tabla5[[#This Row],[INVERSIONES FCI]])</f>
        <v>27060493422.579842</v>
      </c>
      <c r="BL142" s="5">
        <f>IF($B141&lt;=Tabla5[[#This Row],[INVERSIONES FCI]],+Tabla5[[#This Row],[INVERSIONES FCI]]-BL141,Tabla5[[#This Row],[INVERSIONES FCI]])</f>
        <v>27060493422.579842</v>
      </c>
      <c r="BM142" s="5">
        <f>IF($B141&lt;=Tabla5[[#This Row],[INVERSIONES FCI]],+Tabla5[[#This Row],[INVERSIONES FCI]]-BM141,Tabla5[[#This Row],[INVERSIONES FCI]])</f>
        <v>27060493422.579842</v>
      </c>
      <c r="BN142" s="5">
        <f>IF($B141&lt;=Tabla5[[#This Row],[INVERSIONES FCI]],+Tabla5[[#This Row],[INVERSIONES FCI]]-BN141,Tabla5[[#This Row],[INVERSIONES FCI]])</f>
        <v>27060493422.579842</v>
      </c>
      <c r="BO142" s="5">
        <f>IF($B141&lt;=Tabla5[[#This Row],[INVERSIONES FCI]],+Tabla5[[#This Row],[INVERSIONES FCI]]-BO141,Tabla5[[#This Row],[INVERSIONES FCI]])</f>
        <v>27060493422.579842</v>
      </c>
      <c r="BP142" s="5">
        <f>IF($B141&lt;=Tabla5[[#This Row],[INVERSIONES FCI]],+Tabla5[[#This Row],[INVERSIONES FCI]]-BP141,Tabla5[[#This Row],[INVERSIONES FCI]])</f>
        <v>27060493422.579842</v>
      </c>
      <c r="BQ142" s="5">
        <f>IF($B141&lt;=Tabla5[[#This Row],[INVERSIONES FCI]],+Tabla5[[#This Row],[INVERSIONES FCI]]-BQ141,Tabla5[[#This Row],[INVERSIONES FCI]])</f>
        <v>27060493422.579842</v>
      </c>
      <c r="BR142" s="5">
        <f>IF($B141&lt;=Tabla5[[#This Row],[INVERSIONES FCI]],+Tabla5[[#This Row],[INVERSIONES FCI]]-BR141,Tabla5[[#This Row],[INVERSIONES FCI]])</f>
        <v>27060493422.579842</v>
      </c>
      <c r="BS142" s="5">
        <f>IF($B141&lt;=Tabla5[[#This Row],[INVERSIONES FCI]],+Tabla5[[#This Row],[INVERSIONES FCI]]-BS141,Tabla5[[#This Row],[INVERSIONES FCI]])</f>
        <v>27060493422.579842</v>
      </c>
      <c r="BT142" s="5">
        <f>IF($B141&lt;=Tabla5[[#This Row],[INVERSIONES FCI]],+Tabla5[[#This Row],[INVERSIONES FCI]]-BT141,Tabla5[[#This Row],[INVERSIONES FCI]])</f>
        <v>27060493422.579842</v>
      </c>
      <c r="BU142" s="5">
        <f>IF($B141&lt;=Tabla5[[#This Row],[INVERSIONES FCI]],+Tabla5[[#This Row],[INVERSIONES FCI]]-BU141,Tabla5[[#This Row],[INVERSIONES FCI]])</f>
        <v>27060493422.579842</v>
      </c>
      <c r="BV142" s="5">
        <f>IF($B141&lt;=Tabla5[[#This Row],[INVERSIONES FCI]],+Tabla5[[#This Row],[INVERSIONES FCI]]-BV141,Tabla5[[#This Row],[INVERSIONES FCI]])</f>
        <v>27060493422.579842</v>
      </c>
      <c r="BW142" s="5">
        <f>IF($B141&lt;=Tabla5[[#This Row],[INVERSIONES FCI]],+Tabla5[[#This Row],[INVERSIONES FCI]]-BW141,Tabla5[[#This Row],[INVERSIONES FCI]])</f>
        <v>27060493422.579842</v>
      </c>
      <c r="BX142" s="5">
        <f>IF($B141&lt;=Tabla5[[#This Row],[INVERSIONES FCI]],+Tabla5[[#This Row],[INVERSIONES FCI]]-BX141,Tabla5[[#This Row],[INVERSIONES FCI]])</f>
        <v>27060493422.579842</v>
      </c>
      <c r="BY142" s="5">
        <f>IF($B141&lt;=Tabla5[[#This Row],[INVERSIONES FCI]],+Tabla5[[#This Row],[INVERSIONES FCI]]-BY141,Tabla5[[#This Row],[INVERSIONES FCI]])</f>
        <v>27060493422.579842</v>
      </c>
      <c r="BZ142" s="5">
        <f>IF($B141&lt;=Tabla5[[#This Row],[INVERSIONES FCI]],+Tabla5[[#This Row],[INVERSIONES FCI]]-BZ141,Tabla5[[#This Row],[INVERSIONES FCI]])</f>
        <v>27060493422.579842</v>
      </c>
      <c r="CA142" s="5">
        <f>IF($B141&lt;=Tabla5[[#This Row],[INVERSIONES FCI]],+Tabla5[[#This Row],[INVERSIONES FCI]]-CA141,Tabla5[[#This Row],[INVERSIONES FCI]])</f>
        <v>27060493422.579842</v>
      </c>
      <c r="CB142" s="5">
        <f>IF($B141&lt;=Tabla5[[#This Row],[INVERSIONES FCI]],+Tabla5[[#This Row],[INVERSIONES FCI]]-CB141,Tabla5[[#This Row],[INVERSIONES FCI]])</f>
        <v>27060493422.579842</v>
      </c>
      <c r="CC142" s="5">
        <f>IF($B141&lt;=Tabla5[[#This Row],[INVERSIONES FCI]],+Tabla5[[#This Row],[INVERSIONES FCI]]-CC141,Tabla5[[#This Row],[INVERSIONES FCI]])</f>
        <v>27060493422.579842</v>
      </c>
      <c r="CD142" s="5">
        <f>IF($B141&lt;=Tabla5[[#This Row],[INVERSIONES FCI]],+Tabla5[[#This Row],[INVERSIONES FCI]]-CD141,Tabla5[[#This Row],[INVERSIONES FCI]])</f>
        <v>27060493422.579842</v>
      </c>
      <c r="CE142" s="5">
        <f>IF($B141&lt;=Tabla5[[#This Row],[INVERSIONES FCI]],+Tabla5[[#This Row],[INVERSIONES FCI]]-CE141,Tabla5[[#This Row],[INVERSIONES FCI]])</f>
        <v>27060493422.579842</v>
      </c>
      <c r="CF142" s="5">
        <f>IF($B141&lt;=Tabla5[[#This Row],[INVERSIONES FCI]],+Tabla5[[#This Row],[INVERSIONES FCI]]-CF141,Tabla5[[#This Row],[INVERSIONES FCI]])</f>
        <v>27060493422.579842</v>
      </c>
      <c r="CG142" s="5">
        <f>IF($B141&lt;=Tabla5[[#This Row],[INVERSIONES FCI]],+Tabla5[[#This Row],[INVERSIONES FCI]]-CG141,Tabla5[[#This Row],[INVERSIONES FCI]])</f>
        <v>27060493422.579842</v>
      </c>
      <c r="CH142" s="5">
        <f>IF($B141&lt;=Tabla5[[#This Row],[INVERSIONES FCI]],+Tabla5[[#This Row],[INVERSIONES FCI]]-CH141,Tabla5[[#This Row],[INVERSIONES FCI]])</f>
        <v>27060493422.579842</v>
      </c>
      <c r="CI142" s="5">
        <f>IF($B141&lt;=Tabla5[[#This Row],[INVERSIONES FCI]],+Tabla5[[#This Row],[INVERSIONES FCI]]-CI141,Tabla5[[#This Row],[INVERSIONES FCI]])</f>
        <v>27060493422.579842</v>
      </c>
      <c r="CJ142" s="5">
        <f>IF($B141&lt;=Tabla5[[#This Row],[INVERSIONES FCI]],+Tabla5[[#This Row],[INVERSIONES FCI]]-CJ141,Tabla5[[#This Row],[INVERSIONES FCI]])</f>
        <v>27060493422.579842</v>
      </c>
      <c r="CK142" s="5">
        <f>IF($B141&lt;=Tabla5[[#This Row],[INVERSIONES FCI]],+Tabla5[[#This Row],[INVERSIONES FCI]]-CK141,Tabla5[[#This Row],[INVERSIONES FCI]])</f>
        <v>27060493422.579842</v>
      </c>
      <c r="CL142" s="5">
        <f>IF($B141&lt;=Tabla5[[#This Row],[INVERSIONES FCI]],+Tabla5[[#This Row],[INVERSIONES FCI]]-CL141,Tabla5[[#This Row],[INVERSIONES FCI]])</f>
        <v>27060493422.579842</v>
      </c>
      <c r="CM142" s="5">
        <f>IF($B141&lt;=Tabla5[[#This Row],[INVERSIONES FCI]],+Tabla5[[#This Row],[INVERSIONES FCI]]-CM141,Tabla5[[#This Row],[INVERSIONES FCI]])</f>
        <v>27060493422.579842</v>
      </c>
      <c r="CN142" s="5">
        <f>IF($B141&lt;=Tabla5[[#This Row],[INVERSIONES FCI]],+Tabla5[[#This Row],[INVERSIONES FCI]]-CN141,Tabla5[[#This Row],[INVERSIONES FCI]])</f>
        <v>27060493422.579842</v>
      </c>
      <c r="CO142" s="5">
        <f>IF($B141&lt;=Tabla5[[#This Row],[INVERSIONES FCI]],+Tabla5[[#This Row],[INVERSIONES FCI]]-CO141,Tabla5[[#This Row],[INVERSIONES FCI]])</f>
        <v>27060493422.579842</v>
      </c>
      <c r="CP142" s="5">
        <f>IF($B141&lt;=Tabla5[[#This Row],[INVERSIONES FCI]],+Tabla5[[#This Row],[INVERSIONES FCI]]-CP141,Tabla5[[#This Row],[INVERSIONES FCI]])</f>
        <v>27060493422.579842</v>
      </c>
      <c r="CQ142" s="5">
        <f>IF($B141&lt;=Tabla5[[#This Row],[INVERSIONES FCI]],+Tabla5[[#This Row],[INVERSIONES FCI]]-CQ141,Tabla5[[#This Row],[INVERSIONES FCI]])</f>
        <v>27060493422.579842</v>
      </c>
      <c r="CR142" s="5">
        <f>IF($B141&lt;=Tabla5[[#This Row],[INVERSIONES FCI]],+Tabla5[[#This Row],[INVERSIONES FCI]]-CR141,Tabla5[[#This Row],[INVERSIONES FCI]])</f>
        <v>27060493422.579842</v>
      </c>
      <c r="CS142" s="5">
        <f>IF($B141&lt;=Tabla5[[#This Row],[INVERSIONES FCI]],+Tabla5[[#This Row],[INVERSIONES FCI]]-CS141,Tabla5[[#This Row],[INVERSIONES FCI]])</f>
        <v>27060493422.579842</v>
      </c>
      <c r="CT142" s="5">
        <f>IF($B141&lt;=Tabla5[[#This Row],[INVERSIONES FCI]],+Tabla5[[#This Row],[INVERSIONES FCI]]-CT141,Tabla5[[#This Row],[INVERSIONES FCI]])</f>
        <v>27060493422.579842</v>
      </c>
      <c r="CU142" s="5">
        <f>IF($B141&lt;=Tabla5[[#This Row],[INVERSIONES FCI]],+Tabla5[[#This Row],[INVERSIONES FCI]]-CU141,Tabla5[[#This Row],[INVERSIONES FCI]])</f>
        <v>27060493422.579842</v>
      </c>
      <c r="CV142" s="5">
        <f>IF($B141&lt;=Tabla5[[#This Row],[INVERSIONES FCI]],+Tabla5[[#This Row],[INVERSIONES FCI]]-CV141,Tabla5[[#This Row],[INVERSIONES FCI]])</f>
        <v>27060493422.579842</v>
      </c>
      <c r="CW142" s="5">
        <f>IF($B141&lt;=Tabla5[[#This Row],[INVERSIONES FCI]],+Tabla5[[#This Row],[INVERSIONES FCI]]-CW141,Tabla5[[#This Row],[INVERSIONES FCI]])</f>
        <v>27060493422.579842</v>
      </c>
      <c r="CX142" s="5">
        <f>IF($B141&lt;=Tabla5[[#This Row],[INVERSIONES FCI]],+Tabla5[[#This Row],[INVERSIONES FCI]]-CX141,Tabla5[[#This Row],[INVERSIONES FCI]])</f>
        <v>27060493422.579842</v>
      </c>
      <c r="CY142" s="5">
        <f>IF($B141&lt;=Tabla5[[#This Row],[INVERSIONES FCI]],+Tabla5[[#This Row],[INVERSIONES FCI]]-CY141,Tabla5[[#This Row],[INVERSIONES FCI]])</f>
        <v>27060493422.579842</v>
      </c>
      <c r="CZ142" s="5">
        <f>IF($B141&lt;=Tabla5[[#This Row],[INVERSIONES FCI]],+Tabla5[[#This Row],[INVERSIONES FCI]]-CZ141,Tabla5[[#This Row],[INVERSIONES FCI]])</f>
        <v>27060493422.579842</v>
      </c>
      <c r="DA142" s="5">
        <f>IF($B141&lt;=Tabla5[[#This Row],[INVERSIONES FCI]],+Tabla5[[#This Row],[INVERSIONES FCI]]-DA141,Tabla5[[#This Row],[INVERSIONES FCI]])</f>
        <v>27060493422.579842</v>
      </c>
      <c r="DB142" s="5">
        <f>IF($B141&lt;=Tabla5[[#This Row],[INVERSIONES FCI]],+Tabla5[[#This Row],[INVERSIONES FCI]]-DB141,Tabla5[[#This Row],[INVERSIONES FCI]])</f>
        <v>27060493422.579842</v>
      </c>
      <c r="DC142" s="5">
        <f>IF($B141&lt;=Tabla5[[#This Row],[INVERSIONES FCI]],+Tabla5[[#This Row],[INVERSIONES FCI]]-DC141,Tabla5[[#This Row],[INVERSIONES FCI]])</f>
        <v>27060493422.579842</v>
      </c>
      <c r="DD142" s="5">
        <f>IF($B141&lt;=Tabla5[[#This Row],[INVERSIONES FCI]],+Tabla5[[#This Row],[INVERSIONES FCI]]-DD141,Tabla5[[#This Row],[INVERSIONES FCI]])</f>
        <v>27060493422.579842</v>
      </c>
      <c r="DE142" s="5">
        <f>IF($B141&lt;=Tabla5[[#This Row],[INVERSIONES FCI]],+Tabla5[[#This Row],[INVERSIONES FCI]]-DE141,Tabla5[[#This Row],[INVERSIONES FCI]])</f>
        <v>27060493422.579842</v>
      </c>
      <c r="DF142" s="5">
        <f>IF($B141&lt;=Tabla5[[#This Row],[INVERSIONES FCI]],+Tabla5[[#This Row],[INVERSIONES FCI]]-DF141,Tabla5[[#This Row],[INVERSIONES FCI]])</f>
        <v>27060493422.579842</v>
      </c>
      <c r="DG142" s="5">
        <f>IF($B141&lt;=Tabla5[[#This Row],[INVERSIONES FCI]],+Tabla5[[#This Row],[INVERSIONES FCI]]-DG141,Tabla5[[#This Row],[INVERSIONES FCI]])</f>
        <v>27060493422.579842</v>
      </c>
      <c r="DH142" s="5">
        <f>IF($B141&lt;=Tabla5[[#This Row],[INVERSIONES FCI]],+Tabla5[[#This Row],[INVERSIONES FCI]]-DH141,Tabla5[[#This Row],[INVERSIONES FCI]])</f>
        <v>27060493422.579842</v>
      </c>
      <c r="DI142" s="5">
        <f>IF($B141&lt;=Tabla5[[#This Row],[INVERSIONES FCI]],+Tabla5[[#This Row],[INVERSIONES FCI]]-DI141,Tabla5[[#This Row],[INVERSIONES FCI]])</f>
        <v>27060493422.579842</v>
      </c>
      <c r="DJ142" s="5">
        <f>IF($B141&lt;=Tabla5[[#This Row],[INVERSIONES FCI]],+Tabla5[[#This Row],[INVERSIONES FCI]]-DJ141,Tabla5[[#This Row],[INVERSIONES FCI]])</f>
        <v>27060493422.579842</v>
      </c>
      <c r="DK142" s="5">
        <f>IF($B141&lt;=Tabla5[[#This Row],[INVERSIONES FCI]],+Tabla5[[#This Row],[INVERSIONES FCI]]-DK141,Tabla5[[#This Row],[INVERSIONES FCI]])</f>
        <v>27060493422.579842</v>
      </c>
      <c r="DL142" s="5"/>
      <c r="DM142" s="5"/>
      <c r="DN142" s="5"/>
      <c r="DO142" s="5"/>
      <c r="DP142" s="5"/>
      <c r="DQ142" s="5"/>
    </row>
    <row r="143" spans="1:121" ht="14.4">
      <c r="A143" s="12" t="s">
        <v>142</v>
      </c>
      <c r="B143" s="5">
        <f>HLOOKUP($A143,ESCENARIO[#All],7,FALSE)</f>
        <v>31329922612.901142</v>
      </c>
      <c r="C143" s="5">
        <f>IF($B142&lt;=Tabla5[[#This Row],[INVERSIONES FCI]],+Tabla5[[#This Row],[INVERSIONES FCI]]-C142,Tabla5[[#This Row],[INVERSIONES FCI]])</f>
        <v>4269429190.3213005</v>
      </c>
      <c r="D143" s="5">
        <f>IF($B142&lt;=Tabla5[[#This Row],[INVERSIONES FCI]],+Tabla5[[#This Row],[INVERSIONES FCI]]-D142,Tabla5[[#This Row],[INVERSIONES FCI]])</f>
        <v>4269429190.3213005</v>
      </c>
      <c r="E143" s="5">
        <f>IF($B142&lt;=Tabla5[[#This Row],[INVERSIONES FCI]],+Tabla5[[#This Row],[INVERSIONES FCI]]-E142,Tabla5[[#This Row],[INVERSIONES FCI]])</f>
        <v>4269429190.3213005</v>
      </c>
      <c r="F143" s="5">
        <f>IF($B142&lt;=Tabla5[[#This Row],[INVERSIONES FCI]],+Tabla5[[#This Row],[INVERSIONES FCI]]-F142,Tabla5[[#This Row],[INVERSIONES FCI]])</f>
        <v>4269429190.3213005</v>
      </c>
      <c r="G143" s="5">
        <f>IF($B142&lt;=Tabla5[[#This Row],[INVERSIONES FCI]],+Tabla5[[#This Row],[INVERSIONES FCI]]-G142,Tabla5[[#This Row],[INVERSIONES FCI]])</f>
        <v>4269429190.3213005</v>
      </c>
      <c r="H143" s="5">
        <f>IF($B142&lt;=Tabla5[[#This Row],[INVERSIONES FCI]],+Tabla5[[#This Row],[INVERSIONES FCI]]-H142,Tabla5[[#This Row],[INVERSIONES FCI]])</f>
        <v>4269429190.3213005</v>
      </c>
      <c r="I143" s="5">
        <f>IF($B142&lt;=Tabla5[[#This Row],[INVERSIONES FCI]],+Tabla5[[#This Row],[INVERSIONES FCI]]-I142,Tabla5[[#This Row],[INVERSIONES FCI]])</f>
        <v>4269429190.3213005</v>
      </c>
      <c r="J143" s="5">
        <f>IF($B142&lt;=Tabla5[[#This Row],[INVERSIONES FCI]],+Tabla5[[#This Row],[INVERSIONES FCI]]-J142,Tabla5[[#This Row],[INVERSIONES FCI]])</f>
        <v>4269429190.3213005</v>
      </c>
      <c r="K143" s="5">
        <f>IF($B142&lt;=Tabla5[[#This Row],[INVERSIONES FCI]],+Tabla5[[#This Row],[INVERSIONES FCI]]-K142,Tabla5[[#This Row],[INVERSIONES FCI]])</f>
        <v>4269429190.3213005</v>
      </c>
      <c r="L143" s="5">
        <f>IF($B142&lt;=Tabla5[[#This Row],[INVERSIONES FCI]],+Tabla5[[#This Row],[INVERSIONES FCI]]-L142,Tabla5[[#This Row],[INVERSIONES FCI]])</f>
        <v>4269429190.3213005</v>
      </c>
      <c r="M143" s="5">
        <f>IF($B142&lt;=Tabla5[[#This Row],[INVERSIONES FCI]],+Tabla5[[#This Row],[INVERSIONES FCI]]-M142,Tabla5[[#This Row],[INVERSIONES FCI]])</f>
        <v>4269429190.3213005</v>
      </c>
      <c r="N143" s="5">
        <f>IF($B142&lt;=Tabla5[[#This Row],[INVERSIONES FCI]],+Tabla5[[#This Row],[INVERSIONES FCI]]-N142,Tabla5[[#This Row],[INVERSIONES FCI]])</f>
        <v>4269429190.3213005</v>
      </c>
      <c r="O143" s="5">
        <f>IF($B142&lt;=Tabla5[[#This Row],[INVERSIONES FCI]],+Tabla5[[#This Row],[INVERSIONES FCI]]-O142,Tabla5[[#This Row],[INVERSIONES FCI]])</f>
        <v>4269429190.3213005</v>
      </c>
      <c r="P143" s="5">
        <f>IF($B142&lt;=Tabla5[[#This Row],[INVERSIONES FCI]],+Tabla5[[#This Row],[INVERSIONES FCI]]-P142,Tabla5[[#This Row],[INVERSIONES FCI]])</f>
        <v>4269429190.3213005</v>
      </c>
      <c r="Q143" s="5">
        <f>IF($B142&lt;=Tabla5[[#This Row],[INVERSIONES FCI]],+Tabla5[[#This Row],[INVERSIONES FCI]]-Q142,Tabla5[[#This Row],[INVERSIONES FCI]])</f>
        <v>4269429190.3213005</v>
      </c>
      <c r="R143" s="5">
        <f>IF($B142&lt;=Tabla5[[#This Row],[INVERSIONES FCI]],+Tabla5[[#This Row],[INVERSIONES FCI]]-R142,Tabla5[[#This Row],[INVERSIONES FCI]])</f>
        <v>4269429190.3213005</v>
      </c>
      <c r="S143" s="5">
        <f>IF($B142&lt;=Tabla5[[#This Row],[INVERSIONES FCI]],+Tabla5[[#This Row],[INVERSIONES FCI]]-S142,Tabla5[[#This Row],[INVERSIONES FCI]])</f>
        <v>4269429190.3213005</v>
      </c>
      <c r="T143" s="5">
        <f>IF($B142&lt;=Tabla5[[#This Row],[INVERSIONES FCI]],+Tabla5[[#This Row],[INVERSIONES FCI]]-T142,Tabla5[[#This Row],[INVERSIONES FCI]])</f>
        <v>4269429190.3213005</v>
      </c>
      <c r="U143" s="5">
        <f>IF($B142&lt;=Tabla5[[#This Row],[INVERSIONES FCI]],+Tabla5[[#This Row],[INVERSIONES FCI]]-U142,Tabla5[[#This Row],[INVERSIONES FCI]])</f>
        <v>4269429190.3213005</v>
      </c>
      <c r="V143" s="5">
        <f>IF($B142&lt;=Tabla5[[#This Row],[INVERSIONES FCI]],+Tabla5[[#This Row],[INVERSIONES FCI]]-V142,Tabla5[[#This Row],[INVERSIONES FCI]])</f>
        <v>4269429190.3213005</v>
      </c>
      <c r="W143" s="5">
        <f>IF($B142&lt;=Tabla5[[#This Row],[INVERSIONES FCI]],+Tabla5[[#This Row],[INVERSIONES FCI]]-W142,Tabla5[[#This Row],[INVERSIONES FCI]])</f>
        <v>4269429190.3213005</v>
      </c>
      <c r="X143" s="5">
        <f>IF($B142&lt;=Tabla5[[#This Row],[INVERSIONES FCI]],+Tabla5[[#This Row],[INVERSIONES FCI]]-X142,Tabla5[[#This Row],[INVERSIONES FCI]])</f>
        <v>4269429190.3213005</v>
      </c>
      <c r="Y143" s="5">
        <f>IF($B142&lt;=Tabla5[[#This Row],[INVERSIONES FCI]],+Tabla5[[#This Row],[INVERSIONES FCI]]-Y142,Tabla5[[#This Row],[INVERSIONES FCI]])</f>
        <v>4269429190.3213005</v>
      </c>
      <c r="Z143" s="5">
        <f>IF($B142&lt;=Tabla5[[#This Row],[INVERSIONES FCI]],+Tabla5[[#This Row],[INVERSIONES FCI]]-Z142,Tabla5[[#This Row],[INVERSIONES FCI]])</f>
        <v>4269429190.3213005</v>
      </c>
      <c r="AA143" s="5">
        <f>IF($B142&lt;=Tabla5[[#This Row],[INVERSIONES FCI]],+Tabla5[[#This Row],[INVERSIONES FCI]]-AA142,Tabla5[[#This Row],[INVERSIONES FCI]])</f>
        <v>4269429190.3213005</v>
      </c>
      <c r="AB143" s="5">
        <f>IF($B142&lt;=Tabla5[[#This Row],[INVERSIONES FCI]],+Tabla5[[#This Row],[INVERSIONES FCI]]-AB142,Tabla5[[#This Row],[INVERSIONES FCI]])</f>
        <v>4269429190.3213005</v>
      </c>
      <c r="AC143" s="5">
        <f>IF($B142&lt;=Tabla5[[#This Row],[INVERSIONES FCI]],+Tabla5[[#This Row],[INVERSIONES FCI]]-AC142,Tabla5[[#This Row],[INVERSIONES FCI]])</f>
        <v>4269429190.3213005</v>
      </c>
      <c r="AD143" s="5">
        <f>IF($B142&lt;=Tabla5[[#This Row],[INVERSIONES FCI]],+Tabla5[[#This Row],[INVERSIONES FCI]]-AD142,Tabla5[[#This Row],[INVERSIONES FCI]])</f>
        <v>4269429190.3213005</v>
      </c>
      <c r="AE143" s="5">
        <f>IF($B142&lt;=Tabla5[[#This Row],[INVERSIONES FCI]],+Tabla5[[#This Row],[INVERSIONES FCI]]-AE142,Tabla5[[#This Row],[INVERSIONES FCI]])</f>
        <v>4269429190.3213005</v>
      </c>
      <c r="AF143" s="5">
        <f>IF($B142&lt;=Tabla5[[#This Row],[INVERSIONES FCI]],+Tabla5[[#This Row],[INVERSIONES FCI]]-AF142,Tabla5[[#This Row],[INVERSIONES FCI]])</f>
        <v>4269429190.3213005</v>
      </c>
      <c r="AG143" s="5">
        <f>IF($B142&lt;=Tabla5[[#This Row],[INVERSIONES FCI]],+Tabla5[[#This Row],[INVERSIONES FCI]]-AG142,Tabla5[[#This Row],[INVERSIONES FCI]])</f>
        <v>4269429190.3213005</v>
      </c>
      <c r="AH143" s="5">
        <f>IF($B142&lt;=Tabla5[[#This Row],[INVERSIONES FCI]],+Tabla5[[#This Row],[INVERSIONES FCI]]-AH142,Tabla5[[#This Row],[INVERSIONES FCI]])</f>
        <v>4269429190.3213005</v>
      </c>
      <c r="AI143" s="5">
        <f>IF($B142&lt;=Tabla5[[#This Row],[INVERSIONES FCI]],+Tabla5[[#This Row],[INVERSIONES FCI]]-AI142,Tabla5[[#This Row],[INVERSIONES FCI]])</f>
        <v>4269429190.3213005</v>
      </c>
      <c r="AJ143" s="5">
        <f>IF($B142&lt;=Tabla5[[#This Row],[INVERSIONES FCI]],+Tabla5[[#This Row],[INVERSIONES FCI]]-AJ142,Tabla5[[#This Row],[INVERSIONES FCI]])</f>
        <v>4269429190.3213005</v>
      </c>
      <c r="AK143" s="5">
        <f>IF($B142&lt;=Tabla5[[#This Row],[INVERSIONES FCI]],+Tabla5[[#This Row],[INVERSIONES FCI]]-AK142,Tabla5[[#This Row],[INVERSIONES FCI]])</f>
        <v>4269429190.3213005</v>
      </c>
      <c r="AL143" s="5">
        <f>IF($B142&lt;=Tabla5[[#This Row],[INVERSIONES FCI]],+Tabla5[[#This Row],[INVERSIONES FCI]]-AL142,Tabla5[[#This Row],[INVERSIONES FCI]])</f>
        <v>4269429190.3213005</v>
      </c>
      <c r="AM143" s="5">
        <f>IF($B142&lt;=Tabla5[[#This Row],[INVERSIONES FCI]],+Tabla5[[#This Row],[INVERSIONES FCI]]-AM142,Tabla5[[#This Row],[INVERSIONES FCI]])</f>
        <v>4269429190.3213005</v>
      </c>
      <c r="AN143" s="5">
        <f>IF($B142&lt;=Tabla5[[#This Row],[INVERSIONES FCI]],+Tabla5[[#This Row],[INVERSIONES FCI]]-AN142,Tabla5[[#This Row],[INVERSIONES FCI]])</f>
        <v>4269429190.3213005</v>
      </c>
      <c r="AO143" s="5">
        <f>IF($B142&lt;=Tabla5[[#This Row],[INVERSIONES FCI]],+Tabla5[[#This Row],[INVERSIONES FCI]]-AO142,Tabla5[[#This Row],[INVERSIONES FCI]])</f>
        <v>4269429190.3213005</v>
      </c>
      <c r="AP143" s="5">
        <f>IF($B142&lt;=Tabla5[[#This Row],[INVERSIONES FCI]],+Tabla5[[#This Row],[INVERSIONES FCI]]-AP142,Tabla5[[#This Row],[INVERSIONES FCI]])</f>
        <v>4269429190.3213005</v>
      </c>
      <c r="AQ143" s="5">
        <f>IF($B142&lt;=Tabla5[[#This Row],[INVERSIONES FCI]],+Tabla5[[#This Row],[INVERSIONES FCI]]-AQ142,Tabla5[[#This Row],[INVERSIONES FCI]])</f>
        <v>4269429190.3213005</v>
      </c>
      <c r="AR143" s="5">
        <f>IF($B142&lt;=Tabla5[[#This Row],[INVERSIONES FCI]],+Tabla5[[#This Row],[INVERSIONES FCI]]-AR142,Tabla5[[#This Row],[INVERSIONES FCI]])</f>
        <v>4269429190.3213005</v>
      </c>
      <c r="AS143" s="5">
        <f>IF($B142&lt;=Tabla5[[#This Row],[INVERSIONES FCI]],+Tabla5[[#This Row],[INVERSIONES FCI]]-AS142,Tabla5[[#This Row],[INVERSIONES FCI]])</f>
        <v>4269429190.3213005</v>
      </c>
      <c r="AT143" s="5">
        <f>IF($B142&lt;=Tabla5[[#This Row],[INVERSIONES FCI]],+Tabla5[[#This Row],[INVERSIONES FCI]]-AT142,Tabla5[[#This Row],[INVERSIONES FCI]])</f>
        <v>4269429190.3213005</v>
      </c>
      <c r="AU143" s="5">
        <f>IF($B142&lt;=Tabla5[[#This Row],[INVERSIONES FCI]],+Tabla5[[#This Row],[INVERSIONES FCI]]-AU142,Tabla5[[#This Row],[INVERSIONES FCI]])</f>
        <v>4269429190.3213005</v>
      </c>
      <c r="AV143" s="5">
        <f>IF($B142&lt;=Tabla5[[#This Row],[INVERSIONES FCI]],+Tabla5[[#This Row],[INVERSIONES FCI]]-AV142,Tabla5[[#This Row],[INVERSIONES FCI]])</f>
        <v>4269429190.3213005</v>
      </c>
      <c r="AW143" s="5">
        <f>IF($B142&lt;=Tabla5[[#This Row],[INVERSIONES FCI]],+Tabla5[[#This Row],[INVERSIONES FCI]]-AW142,Tabla5[[#This Row],[INVERSIONES FCI]])</f>
        <v>4269429190.3213005</v>
      </c>
      <c r="AX143" s="5">
        <f>IF($B142&lt;=Tabla5[[#This Row],[INVERSIONES FCI]],+Tabla5[[#This Row],[INVERSIONES FCI]]-AX142,Tabla5[[#This Row],[INVERSIONES FCI]])</f>
        <v>4269429190.3213005</v>
      </c>
      <c r="AY143" s="5">
        <f>IF($B142&lt;=Tabla5[[#This Row],[INVERSIONES FCI]],+Tabla5[[#This Row],[INVERSIONES FCI]]-AY142,Tabla5[[#This Row],[INVERSIONES FCI]])</f>
        <v>4269429190.3213005</v>
      </c>
      <c r="AZ143" s="5">
        <f>IF($B142&lt;=Tabla5[[#This Row],[INVERSIONES FCI]],+Tabla5[[#This Row],[INVERSIONES FCI]]-AZ142,Tabla5[[#This Row],[INVERSIONES FCI]])</f>
        <v>4269429190.3213005</v>
      </c>
      <c r="BA143" s="5">
        <f>IF($B142&lt;=Tabla5[[#This Row],[INVERSIONES FCI]],+Tabla5[[#This Row],[INVERSIONES FCI]]-BA142,Tabla5[[#This Row],[INVERSIONES FCI]])</f>
        <v>4269429190.3213005</v>
      </c>
      <c r="BB143" s="5">
        <f>IF($B142&lt;=Tabla5[[#This Row],[INVERSIONES FCI]],+Tabla5[[#This Row],[INVERSIONES FCI]]-BB142,Tabla5[[#This Row],[INVERSIONES FCI]])</f>
        <v>4269429190.3213005</v>
      </c>
      <c r="BC143" s="5">
        <f>IF($B142&lt;=Tabla5[[#This Row],[INVERSIONES FCI]],+Tabla5[[#This Row],[INVERSIONES FCI]]-BC142,Tabla5[[#This Row],[INVERSIONES FCI]])</f>
        <v>4269429190.3213005</v>
      </c>
      <c r="BD143" s="5">
        <f>IF($B142&lt;=Tabla5[[#This Row],[INVERSIONES FCI]],+Tabla5[[#This Row],[INVERSIONES FCI]]-BD142,Tabla5[[#This Row],[INVERSIONES FCI]])</f>
        <v>4269429190.3213005</v>
      </c>
      <c r="BE143" s="5">
        <f>IF($B142&lt;=Tabla5[[#This Row],[INVERSIONES FCI]],+Tabla5[[#This Row],[INVERSIONES FCI]]-BE142,Tabla5[[#This Row],[INVERSIONES FCI]])</f>
        <v>4269429190.3213005</v>
      </c>
      <c r="BF143" s="5">
        <f>IF($B142&lt;=Tabla5[[#This Row],[INVERSIONES FCI]],+Tabla5[[#This Row],[INVERSIONES FCI]]-BF142,Tabla5[[#This Row],[INVERSIONES FCI]])</f>
        <v>4269429190.3213005</v>
      </c>
      <c r="BG143" s="5">
        <f>IF($B142&lt;=Tabla5[[#This Row],[INVERSIONES FCI]],+Tabla5[[#This Row],[INVERSIONES FCI]]-BG142,Tabla5[[#This Row],[INVERSIONES FCI]])</f>
        <v>4269429190.3213005</v>
      </c>
      <c r="BH143" s="5">
        <f>IF($B142&lt;=Tabla5[[#This Row],[INVERSIONES FCI]],+Tabla5[[#This Row],[INVERSIONES FCI]]-BH142,Tabla5[[#This Row],[INVERSIONES FCI]])</f>
        <v>4269429190.3213005</v>
      </c>
      <c r="BI143" s="5">
        <f>IF($B142&lt;=Tabla5[[#This Row],[INVERSIONES FCI]],+Tabla5[[#This Row],[INVERSIONES FCI]]-BI142,Tabla5[[#This Row],[INVERSIONES FCI]])</f>
        <v>4269429190.3213005</v>
      </c>
      <c r="BJ143" s="5">
        <f>IF($B142&lt;=Tabla5[[#This Row],[INVERSIONES FCI]],+Tabla5[[#This Row],[INVERSIONES FCI]]-BJ142,Tabla5[[#This Row],[INVERSIONES FCI]])</f>
        <v>4269429190.3213005</v>
      </c>
      <c r="BK143" s="5">
        <f>IF($B142&lt;=Tabla5[[#This Row],[INVERSIONES FCI]],+Tabla5[[#This Row],[INVERSIONES FCI]]-BK142,Tabla5[[#This Row],[INVERSIONES FCI]])</f>
        <v>4269429190.3213005</v>
      </c>
      <c r="BL143" s="5">
        <f>IF($B142&lt;=Tabla5[[#This Row],[INVERSIONES FCI]],+Tabla5[[#This Row],[INVERSIONES FCI]]-BL142,Tabla5[[#This Row],[INVERSIONES FCI]])</f>
        <v>4269429190.3213005</v>
      </c>
      <c r="BM143" s="5">
        <f>IF($B142&lt;=Tabla5[[#This Row],[INVERSIONES FCI]],+Tabla5[[#This Row],[INVERSIONES FCI]]-BM142,Tabla5[[#This Row],[INVERSIONES FCI]])</f>
        <v>4269429190.3213005</v>
      </c>
      <c r="BN143" s="5">
        <f>IF($B142&lt;=Tabla5[[#This Row],[INVERSIONES FCI]],+Tabla5[[#This Row],[INVERSIONES FCI]]-BN142,Tabla5[[#This Row],[INVERSIONES FCI]])</f>
        <v>4269429190.3213005</v>
      </c>
      <c r="BO143" s="5">
        <f>IF($B142&lt;=Tabla5[[#This Row],[INVERSIONES FCI]],+Tabla5[[#This Row],[INVERSIONES FCI]]-BO142,Tabla5[[#This Row],[INVERSIONES FCI]])</f>
        <v>4269429190.3213005</v>
      </c>
      <c r="BP143" s="5">
        <f>IF($B142&lt;=Tabla5[[#This Row],[INVERSIONES FCI]],+Tabla5[[#This Row],[INVERSIONES FCI]]-BP142,Tabla5[[#This Row],[INVERSIONES FCI]])</f>
        <v>4269429190.3213005</v>
      </c>
      <c r="BQ143" s="5">
        <f>IF($B142&lt;=Tabla5[[#This Row],[INVERSIONES FCI]],+Tabla5[[#This Row],[INVERSIONES FCI]]-BQ142,Tabla5[[#This Row],[INVERSIONES FCI]])</f>
        <v>4269429190.3213005</v>
      </c>
      <c r="BR143" s="5">
        <f>IF($B142&lt;=Tabla5[[#This Row],[INVERSIONES FCI]],+Tabla5[[#This Row],[INVERSIONES FCI]]-BR142,Tabla5[[#This Row],[INVERSIONES FCI]])</f>
        <v>4269429190.3213005</v>
      </c>
      <c r="BS143" s="5">
        <f>IF($B142&lt;=Tabla5[[#This Row],[INVERSIONES FCI]],+Tabla5[[#This Row],[INVERSIONES FCI]]-BS142,Tabla5[[#This Row],[INVERSIONES FCI]])</f>
        <v>4269429190.3213005</v>
      </c>
      <c r="BT143" s="5">
        <f>IF($B142&lt;=Tabla5[[#This Row],[INVERSIONES FCI]],+Tabla5[[#This Row],[INVERSIONES FCI]]-BT142,Tabla5[[#This Row],[INVERSIONES FCI]])</f>
        <v>4269429190.3213005</v>
      </c>
      <c r="BU143" s="5">
        <f>IF($B142&lt;=Tabla5[[#This Row],[INVERSIONES FCI]],+Tabla5[[#This Row],[INVERSIONES FCI]]-BU142,Tabla5[[#This Row],[INVERSIONES FCI]])</f>
        <v>4269429190.3213005</v>
      </c>
      <c r="BV143" s="5">
        <f>IF($B142&lt;=Tabla5[[#This Row],[INVERSIONES FCI]],+Tabla5[[#This Row],[INVERSIONES FCI]]-BV142,Tabla5[[#This Row],[INVERSIONES FCI]])</f>
        <v>4269429190.3213005</v>
      </c>
      <c r="BW143" s="5">
        <f>IF($B142&lt;=Tabla5[[#This Row],[INVERSIONES FCI]],+Tabla5[[#This Row],[INVERSIONES FCI]]-BW142,Tabla5[[#This Row],[INVERSIONES FCI]])</f>
        <v>4269429190.3213005</v>
      </c>
      <c r="BX143" s="5">
        <f>IF($B142&lt;=Tabla5[[#This Row],[INVERSIONES FCI]],+Tabla5[[#This Row],[INVERSIONES FCI]]-BX142,Tabla5[[#This Row],[INVERSIONES FCI]])</f>
        <v>4269429190.3213005</v>
      </c>
      <c r="BY143" s="5">
        <f>IF($B142&lt;=Tabla5[[#This Row],[INVERSIONES FCI]],+Tabla5[[#This Row],[INVERSIONES FCI]]-BY142,Tabla5[[#This Row],[INVERSIONES FCI]])</f>
        <v>4269429190.3213005</v>
      </c>
      <c r="BZ143" s="5">
        <f>IF($B142&lt;=Tabla5[[#This Row],[INVERSIONES FCI]],+Tabla5[[#This Row],[INVERSIONES FCI]]-BZ142,Tabla5[[#This Row],[INVERSIONES FCI]])</f>
        <v>4269429190.3213005</v>
      </c>
      <c r="CA143" s="5">
        <f>IF($B142&lt;=Tabla5[[#This Row],[INVERSIONES FCI]],+Tabla5[[#This Row],[INVERSIONES FCI]]-CA142,Tabla5[[#This Row],[INVERSIONES FCI]])</f>
        <v>4269429190.3213005</v>
      </c>
      <c r="CB143" s="5">
        <f>IF($B142&lt;=Tabla5[[#This Row],[INVERSIONES FCI]],+Tabla5[[#This Row],[INVERSIONES FCI]]-CB142,Tabla5[[#This Row],[INVERSIONES FCI]])</f>
        <v>4269429190.3213005</v>
      </c>
      <c r="CC143" s="5">
        <f>IF($B142&lt;=Tabla5[[#This Row],[INVERSIONES FCI]],+Tabla5[[#This Row],[INVERSIONES FCI]]-CC142,Tabla5[[#This Row],[INVERSIONES FCI]])</f>
        <v>4269429190.3213005</v>
      </c>
      <c r="CD143" s="5">
        <f>IF($B142&lt;=Tabla5[[#This Row],[INVERSIONES FCI]],+Tabla5[[#This Row],[INVERSIONES FCI]]-CD142,Tabla5[[#This Row],[INVERSIONES FCI]])</f>
        <v>4269429190.3213005</v>
      </c>
      <c r="CE143" s="5">
        <f>IF($B142&lt;=Tabla5[[#This Row],[INVERSIONES FCI]],+Tabla5[[#This Row],[INVERSIONES FCI]]-CE142,Tabla5[[#This Row],[INVERSIONES FCI]])</f>
        <v>4269429190.3213005</v>
      </c>
      <c r="CF143" s="5">
        <f>IF($B142&lt;=Tabla5[[#This Row],[INVERSIONES FCI]],+Tabla5[[#This Row],[INVERSIONES FCI]]-CF142,Tabla5[[#This Row],[INVERSIONES FCI]])</f>
        <v>4269429190.3213005</v>
      </c>
      <c r="CG143" s="5">
        <f>IF($B142&lt;=Tabla5[[#This Row],[INVERSIONES FCI]],+Tabla5[[#This Row],[INVERSIONES FCI]]-CG142,Tabla5[[#This Row],[INVERSIONES FCI]])</f>
        <v>4269429190.3213005</v>
      </c>
      <c r="CH143" s="5">
        <f>IF($B142&lt;=Tabla5[[#This Row],[INVERSIONES FCI]],+Tabla5[[#This Row],[INVERSIONES FCI]]-CH142,Tabla5[[#This Row],[INVERSIONES FCI]])</f>
        <v>4269429190.3213005</v>
      </c>
      <c r="CI143" s="5">
        <f>IF($B142&lt;=Tabla5[[#This Row],[INVERSIONES FCI]],+Tabla5[[#This Row],[INVERSIONES FCI]]-CI142,Tabla5[[#This Row],[INVERSIONES FCI]])</f>
        <v>4269429190.3213005</v>
      </c>
      <c r="CJ143" s="5">
        <f>IF($B142&lt;=Tabla5[[#This Row],[INVERSIONES FCI]],+Tabla5[[#This Row],[INVERSIONES FCI]]-CJ142,Tabla5[[#This Row],[INVERSIONES FCI]])</f>
        <v>4269429190.3213005</v>
      </c>
      <c r="CK143" s="5">
        <f>IF($B142&lt;=Tabla5[[#This Row],[INVERSIONES FCI]],+Tabla5[[#This Row],[INVERSIONES FCI]]-CK142,Tabla5[[#This Row],[INVERSIONES FCI]])</f>
        <v>4269429190.3213005</v>
      </c>
      <c r="CL143" s="5">
        <f>IF($B142&lt;=Tabla5[[#This Row],[INVERSIONES FCI]],+Tabla5[[#This Row],[INVERSIONES FCI]]-CL142,Tabla5[[#This Row],[INVERSIONES FCI]])</f>
        <v>4269429190.3213005</v>
      </c>
      <c r="CM143" s="5">
        <f>IF($B142&lt;=Tabla5[[#This Row],[INVERSIONES FCI]],+Tabla5[[#This Row],[INVERSIONES FCI]]-CM142,Tabla5[[#This Row],[INVERSIONES FCI]])</f>
        <v>4269429190.3213005</v>
      </c>
      <c r="CN143" s="5">
        <f>IF($B142&lt;=Tabla5[[#This Row],[INVERSIONES FCI]],+Tabla5[[#This Row],[INVERSIONES FCI]]-CN142,Tabla5[[#This Row],[INVERSIONES FCI]])</f>
        <v>4269429190.3213005</v>
      </c>
      <c r="CO143" s="5">
        <f>IF($B142&lt;=Tabla5[[#This Row],[INVERSIONES FCI]],+Tabla5[[#This Row],[INVERSIONES FCI]]-CO142,Tabla5[[#This Row],[INVERSIONES FCI]])</f>
        <v>4269429190.3213005</v>
      </c>
      <c r="CP143" s="5">
        <f>IF($B142&lt;=Tabla5[[#This Row],[INVERSIONES FCI]],+Tabla5[[#This Row],[INVERSIONES FCI]]-CP142,Tabla5[[#This Row],[INVERSIONES FCI]])</f>
        <v>4269429190.3213005</v>
      </c>
      <c r="CQ143" s="5">
        <f>IF($B142&lt;=Tabla5[[#This Row],[INVERSIONES FCI]],+Tabla5[[#This Row],[INVERSIONES FCI]]-CQ142,Tabla5[[#This Row],[INVERSIONES FCI]])</f>
        <v>4269429190.3213005</v>
      </c>
      <c r="CR143" s="5">
        <f>IF($B142&lt;=Tabla5[[#This Row],[INVERSIONES FCI]],+Tabla5[[#This Row],[INVERSIONES FCI]]-CR142,Tabla5[[#This Row],[INVERSIONES FCI]])</f>
        <v>4269429190.3213005</v>
      </c>
      <c r="CS143" s="5">
        <f>IF($B142&lt;=Tabla5[[#This Row],[INVERSIONES FCI]],+Tabla5[[#This Row],[INVERSIONES FCI]]-CS142,Tabla5[[#This Row],[INVERSIONES FCI]])</f>
        <v>4269429190.3213005</v>
      </c>
      <c r="CT143" s="5">
        <f>IF($B142&lt;=Tabla5[[#This Row],[INVERSIONES FCI]],+Tabla5[[#This Row],[INVERSIONES FCI]]-CT142,Tabla5[[#This Row],[INVERSIONES FCI]])</f>
        <v>4269429190.3213005</v>
      </c>
      <c r="CU143" s="5">
        <f>IF($B142&lt;=Tabla5[[#This Row],[INVERSIONES FCI]],+Tabla5[[#This Row],[INVERSIONES FCI]]-CU142,Tabla5[[#This Row],[INVERSIONES FCI]])</f>
        <v>4269429190.3213005</v>
      </c>
      <c r="CV143" s="5">
        <f>IF($B142&lt;=Tabla5[[#This Row],[INVERSIONES FCI]],+Tabla5[[#This Row],[INVERSIONES FCI]]-CV142,Tabla5[[#This Row],[INVERSIONES FCI]])</f>
        <v>4269429190.3213005</v>
      </c>
      <c r="CW143" s="5">
        <f>IF($B142&lt;=Tabla5[[#This Row],[INVERSIONES FCI]],+Tabla5[[#This Row],[INVERSIONES FCI]]-CW142,Tabla5[[#This Row],[INVERSIONES FCI]])</f>
        <v>4269429190.3213005</v>
      </c>
      <c r="CX143" s="5">
        <f>IF($B142&lt;=Tabla5[[#This Row],[INVERSIONES FCI]],+Tabla5[[#This Row],[INVERSIONES FCI]]-CX142,Tabla5[[#This Row],[INVERSIONES FCI]])</f>
        <v>4269429190.3213005</v>
      </c>
      <c r="CY143" s="5">
        <f>IF($B142&lt;=Tabla5[[#This Row],[INVERSIONES FCI]],+Tabla5[[#This Row],[INVERSIONES FCI]]-CY142,Tabla5[[#This Row],[INVERSIONES FCI]])</f>
        <v>4269429190.3213005</v>
      </c>
      <c r="CZ143" s="5">
        <f>IF($B142&lt;=Tabla5[[#This Row],[INVERSIONES FCI]],+Tabla5[[#This Row],[INVERSIONES FCI]]-CZ142,Tabla5[[#This Row],[INVERSIONES FCI]])</f>
        <v>4269429190.3213005</v>
      </c>
      <c r="DA143" s="5">
        <f>IF($B142&lt;=Tabla5[[#This Row],[INVERSIONES FCI]],+Tabla5[[#This Row],[INVERSIONES FCI]]-DA142,Tabla5[[#This Row],[INVERSIONES FCI]])</f>
        <v>4269429190.3213005</v>
      </c>
      <c r="DB143" s="5">
        <f>IF($B142&lt;=Tabla5[[#This Row],[INVERSIONES FCI]],+Tabla5[[#This Row],[INVERSIONES FCI]]-DB142,Tabla5[[#This Row],[INVERSIONES FCI]])</f>
        <v>4269429190.3213005</v>
      </c>
      <c r="DC143" s="5">
        <f>IF($B142&lt;=Tabla5[[#This Row],[INVERSIONES FCI]],+Tabla5[[#This Row],[INVERSIONES FCI]]-DC142,Tabla5[[#This Row],[INVERSIONES FCI]])</f>
        <v>4269429190.3213005</v>
      </c>
      <c r="DD143" s="5">
        <f>IF($B142&lt;=Tabla5[[#This Row],[INVERSIONES FCI]],+Tabla5[[#This Row],[INVERSIONES FCI]]-DD142,Tabla5[[#This Row],[INVERSIONES FCI]])</f>
        <v>4269429190.3213005</v>
      </c>
      <c r="DE143" s="5">
        <f>IF($B142&lt;=Tabla5[[#This Row],[INVERSIONES FCI]],+Tabla5[[#This Row],[INVERSIONES FCI]]-DE142,Tabla5[[#This Row],[INVERSIONES FCI]])</f>
        <v>4269429190.3213005</v>
      </c>
      <c r="DF143" s="5">
        <f>IF($B142&lt;=Tabla5[[#This Row],[INVERSIONES FCI]],+Tabla5[[#This Row],[INVERSIONES FCI]]-DF142,Tabla5[[#This Row],[INVERSIONES FCI]])</f>
        <v>4269429190.3213005</v>
      </c>
      <c r="DG143" s="5">
        <f>IF($B142&lt;=Tabla5[[#This Row],[INVERSIONES FCI]],+Tabla5[[#This Row],[INVERSIONES FCI]]-DG142,Tabla5[[#This Row],[INVERSIONES FCI]])</f>
        <v>4269429190.3213005</v>
      </c>
      <c r="DH143" s="5">
        <f>IF($B142&lt;=Tabla5[[#This Row],[INVERSIONES FCI]],+Tabla5[[#This Row],[INVERSIONES FCI]]-DH142,Tabla5[[#This Row],[INVERSIONES FCI]])</f>
        <v>4269429190.3213005</v>
      </c>
      <c r="DI143" s="5">
        <f>IF($B142&lt;=Tabla5[[#This Row],[INVERSIONES FCI]],+Tabla5[[#This Row],[INVERSIONES FCI]]-DI142,Tabla5[[#This Row],[INVERSIONES FCI]])</f>
        <v>4269429190.3213005</v>
      </c>
      <c r="DJ143" s="5">
        <f>IF($B142&lt;=Tabla5[[#This Row],[INVERSIONES FCI]],+Tabla5[[#This Row],[INVERSIONES FCI]]-DJ142,Tabla5[[#This Row],[INVERSIONES FCI]])</f>
        <v>4269429190.3213005</v>
      </c>
      <c r="DK143" s="5">
        <f>IF($B142&lt;=Tabla5[[#This Row],[INVERSIONES FCI]],+Tabla5[[#This Row],[INVERSIONES FCI]]-DK142,Tabla5[[#This Row],[INVERSIONES FCI]])</f>
        <v>4269429190.3213005</v>
      </c>
      <c r="DL143" s="5"/>
      <c r="DM143" s="5"/>
      <c r="DN143" s="5"/>
      <c r="DO143" s="5"/>
      <c r="DP143" s="5"/>
      <c r="DQ143" s="5"/>
    </row>
    <row r="144" spans="1:121" ht="14.4">
      <c r="A144" s="12" t="s">
        <v>143</v>
      </c>
      <c r="B144" s="5">
        <f>HLOOKUP($A144,ESCENARIO[#All],7,FALSE)</f>
        <v>27725544001.575932</v>
      </c>
      <c r="C144" s="5">
        <f>IF($B143&lt;=Tabla5[[#This Row],[INVERSIONES FCI]],+Tabla5[[#This Row],[INVERSIONES FCI]]-C143,Tabla5[[#This Row],[INVERSIONES FCI]])</f>
        <v>27725544001.575932</v>
      </c>
      <c r="D144" s="5">
        <f>IF($B143&lt;=Tabla5[[#This Row],[INVERSIONES FCI]],+Tabla5[[#This Row],[INVERSIONES FCI]]-D143,Tabla5[[#This Row],[INVERSIONES FCI]])</f>
        <v>27725544001.575932</v>
      </c>
      <c r="E144" s="5">
        <f>IF($B143&lt;=Tabla5[[#This Row],[INVERSIONES FCI]],+Tabla5[[#This Row],[INVERSIONES FCI]]-E143,Tabla5[[#This Row],[INVERSIONES FCI]])</f>
        <v>27725544001.575932</v>
      </c>
      <c r="F144" s="5">
        <f>IF($B143&lt;=Tabla5[[#This Row],[INVERSIONES FCI]],+Tabla5[[#This Row],[INVERSIONES FCI]]-F143,Tabla5[[#This Row],[INVERSIONES FCI]])</f>
        <v>27725544001.575932</v>
      </c>
      <c r="G144" s="5">
        <f>IF($B143&lt;=Tabla5[[#This Row],[INVERSIONES FCI]],+Tabla5[[#This Row],[INVERSIONES FCI]]-G143,Tabla5[[#This Row],[INVERSIONES FCI]])</f>
        <v>27725544001.575932</v>
      </c>
      <c r="H144" s="5">
        <f>IF($B143&lt;=Tabla5[[#This Row],[INVERSIONES FCI]],+Tabla5[[#This Row],[INVERSIONES FCI]]-H143,Tabla5[[#This Row],[INVERSIONES FCI]])</f>
        <v>27725544001.575932</v>
      </c>
      <c r="I144" s="5">
        <f>IF($B143&lt;=Tabla5[[#This Row],[INVERSIONES FCI]],+Tabla5[[#This Row],[INVERSIONES FCI]]-I143,Tabla5[[#This Row],[INVERSIONES FCI]])</f>
        <v>27725544001.575932</v>
      </c>
      <c r="J144" s="5">
        <f>IF($B143&lt;=Tabla5[[#This Row],[INVERSIONES FCI]],+Tabla5[[#This Row],[INVERSIONES FCI]]-J143,Tabla5[[#This Row],[INVERSIONES FCI]])</f>
        <v>27725544001.575932</v>
      </c>
      <c r="K144" s="5">
        <f>IF($B143&lt;=Tabla5[[#This Row],[INVERSIONES FCI]],+Tabla5[[#This Row],[INVERSIONES FCI]]-K143,Tabla5[[#This Row],[INVERSIONES FCI]])</f>
        <v>27725544001.575932</v>
      </c>
      <c r="L144" s="5">
        <f>IF($B143&lt;=Tabla5[[#This Row],[INVERSIONES FCI]],+Tabla5[[#This Row],[INVERSIONES FCI]]-L143,Tabla5[[#This Row],[INVERSIONES FCI]])</f>
        <v>27725544001.575932</v>
      </c>
      <c r="M144" s="5">
        <f>IF($B143&lt;=Tabla5[[#This Row],[INVERSIONES FCI]],+Tabla5[[#This Row],[INVERSIONES FCI]]-M143,Tabla5[[#This Row],[INVERSIONES FCI]])</f>
        <v>27725544001.575932</v>
      </c>
      <c r="N144" s="5">
        <f>IF($B143&lt;=Tabla5[[#This Row],[INVERSIONES FCI]],+Tabla5[[#This Row],[INVERSIONES FCI]]-N143,Tabla5[[#This Row],[INVERSIONES FCI]])</f>
        <v>27725544001.575932</v>
      </c>
      <c r="O144" s="5">
        <f>IF($B143&lt;=Tabla5[[#This Row],[INVERSIONES FCI]],+Tabla5[[#This Row],[INVERSIONES FCI]]-O143,Tabla5[[#This Row],[INVERSIONES FCI]])</f>
        <v>27725544001.575932</v>
      </c>
      <c r="P144" s="5">
        <f>IF($B143&lt;=Tabla5[[#This Row],[INVERSIONES FCI]],+Tabla5[[#This Row],[INVERSIONES FCI]]-P143,Tabla5[[#This Row],[INVERSIONES FCI]])</f>
        <v>27725544001.575932</v>
      </c>
      <c r="Q144" s="5">
        <f>IF($B143&lt;=Tabla5[[#This Row],[INVERSIONES FCI]],+Tabla5[[#This Row],[INVERSIONES FCI]]-Q143,Tabla5[[#This Row],[INVERSIONES FCI]])</f>
        <v>27725544001.575932</v>
      </c>
      <c r="R144" s="5">
        <f>IF($B143&lt;=Tabla5[[#This Row],[INVERSIONES FCI]],+Tabla5[[#This Row],[INVERSIONES FCI]]-R143,Tabla5[[#This Row],[INVERSIONES FCI]])</f>
        <v>27725544001.575932</v>
      </c>
      <c r="S144" s="5">
        <f>IF($B143&lt;=Tabla5[[#This Row],[INVERSIONES FCI]],+Tabla5[[#This Row],[INVERSIONES FCI]]-S143,Tabla5[[#This Row],[INVERSIONES FCI]])</f>
        <v>27725544001.575932</v>
      </c>
      <c r="T144" s="5">
        <f>IF($B143&lt;=Tabla5[[#This Row],[INVERSIONES FCI]],+Tabla5[[#This Row],[INVERSIONES FCI]]-T143,Tabla5[[#This Row],[INVERSIONES FCI]])</f>
        <v>27725544001.575932</v>
      </c>
      <c r="U144" s="5">
        <f>IF($B143&lt;=Tabla5[[#This Row],[INVERSIONES FCI]],+Tabla5[[#This Row],[INVERSIONES FCI]]-U143,Tabla5[[#This Row],[INVERSIONES FCI]])</f>
        <v>27725544001.575932</v>
      </c>
      <c r="V144" s="5">
        <f>IF($B143&lt;=Tabla5[[#This Row],[INVERSIONES FCI]],+Tabla5[[#This Row],[INVERSIONES FCI]]-V143,Tabla5[[#This Row],[INVERSIONES FCI]])</f>
        <v>27725544001.575932</v>
      </c>
      <c r="W144" s="5">
        <f>IF($B143&lt;=Tabla5[[#This Row],[INVERSIONES FCI]],+Tabla5[[#This Row],[INVERSIONES FCI]]-W143,Tabla5[[#This Row],[INVERSIONES FCI]])</f>
        <v>27725544001.575932</v>
      </c>
      <c r="X144" s="5">
        <f>IF($B143&lt;=Tabla5[[#This Row],[INVERSIONES FCI]],+Tabla5[[#This Row],[INVERSIONES FCI]]-X143,Tabla5[[#This Row],[INVERSIONES FCI]])</f>
        <v>27725544001.575932</v>
      </c>
      <c r="Y144" s="5">
        <f>IF($B143&lt;=Tabla5[[#This Row],[INVERSIONES FCI]],+Tabla5[[#This Row],[INVERSIONES FCI]]-Y143,Tabla5[[#This Row],[INVERSIONES FCI]])</f>
        <v>27725544001.575932</v>
      </c>
      <c r="Z144" s="5">
        <f>IF($B143&lt;=Tabla5[[#This Row],[INVERSIONES FCI]],+Tabla5[[#This Row],[INVERSIONES FCI]]-Z143,Tabla5[[#This Row],[INVERSIONES FCI]])</f>
        <v>27725544001.575932</v>
      </c>
      <c r="AA144" s="5">
        <f>IF($B143&lt;=Tabla5[[#This Row],[INVERSIONES FCI]],+Tabla5[[#This Row],[INVERSIONES FCI]]-AA143,Tabla5[[#This Row],[INVERSIONES FCI]])</f>
        <v>27725544001.575932</v>
      </c>
      <c r="AB144" s="5">
        <f>IF($B143&lt;=Tabla5[[#This Row],[INVERSIONES FCI]],+Tabla5[[#This Row],[INVERSIONES FCI]]-AB143,Tabla5[[#This Row],[INVERSIONES FCI]])</f>
        <v>27725544001.575932</v>
      </c>
      <c r="AC144" s="5">
        <f>IF($B143&lt;=Tabla5[[#This Row],[INVERSIONES FCI]],+Tabla5[[#This Row],[INVERSIONES FCI]]-AC143,Tabla5[[#This Row],[INVERSIONES FCI]])</f>
        <v>27725544001.575932</v>
      </c>
      <c r="AD144" s="5">
        <f>IF($B143&lt;=Tabla5[[#This Row],[INVERSIONES FCI]],+Tabla5[[#This Row],[INVERSIONES FCI]]-AD143,Tabla5[[#This Row],[INVERSIONES FCI]])</f>
        <v>27725544001.575932</v>
      </c>
      <c r="AE144" s="5">
        <f>IF($B143&lt;=Tabla5[[#This Row],[INVERSIONES FCI]],+Tabla5[[#This Row],[INVERSIONES FCI]]-AE143,Tabla5[[#This Row],[INVERSIONES FCI]])</f>
        <v>27725544001.575932</v>
      </c>
      <c r="AF144" s="5">
        <f>IF($B143&lt;=Tabla5[[#This Row],[INVERSIONES FCI]],+Tabla5[[#This Row],[INVERSIONES FCI]]-AF143,Tabla5[[#This Row],[INVERSIONES FCI]])</f>
        <v>27725544001.575932</v>
      </c>
      <c r="AG144" s="5">
        <f>IF($B143&lt;=Tabla5[[#This Row],[INVERSIONES FCI]],+Tabla5[[#This Row],[INVERSIONES FCI]]-AG143,Tabla5[[#This Row],[INVERSIONES FCI]])</f>
        <v>27725544001.575932</v>
      </c>
      <c r="AH144" s="5">
        <f>IF($B143&lt;=Tabla5[[#This Row],[INVERSIONES FCI]],+Tabla5[[#This Row],[INVERSIONES FCI]]-AH143,Tabla5[[#This Row],[INVERSIONES FCI]])</f>
        <v>27725544001.575932</v>
      </c>
      <c r="AI144" s="5">
        <f>IF($B143&lt;=Tabla5[[#This Row],[INVERSIONES FCI]],+Tabla5[[#This Row],[INVERSIONES FCI]]-AI143,Tabla5[[#This Row],[INVERSIONES FCI]])</f>
        <v>27725544001.575932</v>
      </c>
      <c r="AJ144" s="5">
        <f>IF($B143&lt;=Tabla5[[#This Row],[INVERSIONES FCI]],+Tabla5[[#This Row],[INVERSIONES FCI]]-AJ143,Tabla5[[#This Row],[INVERSIONES FCI]])</f>
        <v>27725544001.575932</v>
      </c>
      <c r="AK144" s="5">
        <f>IF($B143&lt;=Tabla5[[#This Row],[INVERSIONES FCI]],+Tabla5[[#This Row],[INVERSIONES FCI]]-AK143,Tabla5[[#This Row],[INVERSIONES FCI]])</f>
        <v>27725544001.575932</v>
      </c>
      <c r="AL144" s="5">
        <f>IF($B143&lt;=Tabla5[[#This Row],[INVERSIONES FCI]],+Tabla5[[#This Row],[INVERSIONES FCI]]-AL143,Tabla5[[#This Row],[INVERSIONES FCI]])</f>
        <v>27725544001.575932</v>
      </c>
      <c r="AM144" s="5">
        <f>IF($B143&lt;=Tabla5[[#This Row],[INVERSIONES FCI]],+Tabla5[[#This Row],[INVERSIONES FCI]]-AM143,Tabla5[[#This Row],[INVERSIONES FCI]])</f>
        <v>27725544001.575932</v>
      </c>
      <c r="AN144" s="5">
        <f>IF($B143&lt;=Tabla5[[#This Row],[INVERSIONES FCI]],+Tabla5[[#This Row],[INVERSIONES FCI]]-AN143,Tabla5[[#This Row],[INVERSIONES FCI]])</f>
        <v>27725544001.575932</v>
      </c>
      <c r="AO144" s="5">
        <f>IF($B143&lt;=Tabla5[[#This Row],[INVERSIONES FCI]],+Tabla5[[#This Row],[INVERSIONES FCI]]-AO143,Tabla5[[#This Row],[INVERSIONES FCI]])</f>
        <v>27725544001.575932</v>
      </c>
      <c r="AP144" s="5">
        <f>IF($B143&lt;=Tabla5[[#This Row],[INVERSIONES FCI]],+Tabla5[[#This Row],[INVERSIONES FCI]]-AP143,Tabla5[[#This Row],[INVERSIONES FCI]])</f>
        <v>27725544001.575932</v>
      </c>
      <c r="AQ144" s="5">
        <f>IF($B143&lt;=Tabla5[[#This Row],[INVERSIONES FCI]],+Tabla5[[#This Row],[INVERSIONES FCI]]-AQ143,Tabla5[[#This Row],[INVERSIONES FCI]])</f>
        <v>27725544001.575932</v>
      </c>
      <c r="AR144" s="5">
        <f>IF($B143&lt;=Tabla5[[#This Row],[INVERSIONES FCI]],+Tabla5[[#This Row],[INVERSIONES FCI]]-AR143,Tabla5[[#This Row],[INVERSIONES FCI]])</f>
        <v>27725544001.575932</v>
      </c>
      <c r="AS144" s="5">
        <f>IF($B143&lt;=Tabla5[[#This Row],[INVERSIONES FCI]],+Tabla5[[#This Row],[INVERSIONES FCI]]-AS143,Tabla5[[#This Row],[INVERSIONES FCI]])</f>
        <v>27725544001.575932</v>
      </c>
      <c r="AT144" s="5">
        <f>IF($B143&lt;=Tabla5[[#This Row],[INVERSIONES FCI]],+Tabla5[[#This Row],[INVERSIONES FCI]]-AT143,Tabla5[[#This Row],[INVERSIONES FCI]])</f>
        <v>27725544001.575932</v>
      </c>
      <c r="AU144" s="5">
        <f>IF($B143&lt;=Tabla5[[#This Row],[INVERSIONES FCI]],+Tabla5[[#This Row],[INVERSIONES FCI]]-AU143,Tabla5[[#This Row],[INVERSIONES FCI]])</f>
        <v>27725544001.575932</v>
      </c>
      <c r="AV144" s="5">
        <f>IF($B143&lt;=Tabla5[[#This Row],[INVERSIONES FCI]],+Tabla5[[#This Row],[INVERSIONES FCI]]-AV143,Tabla5[[#This Row],[INVERSIONES FCI]])</f>
        <v>27725544001.575932</v>
      </c>
      <c r="AW144" s="5">
        <f>IF($B143&lt;=Tabla5[[#This Row],[INVERSIONES FCI]],+Tabla5[[#This Row],[INVERSIONES FCI]]-AW143,Tabla5[[#This Row],[INVERSIONES FCI]])</f>
        <v>27725544001.575932</v>
      </c>
      <c r="AX144" s="5">
        <f>IF($B143&lt;=Tabla5[[#This Row],[INVERSIONES FCI]],+Tabla5[[#This Row],[INVERSIONES FCI]]-AX143,Tabla5[[#This Row],[INVERSIONES FCI]])</f>
        <v>27725544001.575932</v>
      </c>
      <c r="AY144" s="5">
        <f>IF($B143&lt;=Tabla5[[#This Row],[INVERSIONES FCI]],+Tabla5[[#This Row],[INVERSIONES FCI]]-AY143,Tabla5[[#This Row],[INVERSIONES FCI]])</f>
        <v>27725544001.575932</v>
      </c>
      <c r="AZ144" s="5">
        <f>IF($B143&lt;=Tabla5[[#This Row],[INVERSIONES FCI]],+Tabla5[[#This Row],[INVERSIONES FCI]]-AZ143,Tabla5[[#This Row],[INVERSIONES FCI]])</f>
        <v>27725544001.575932</v>
      </c>
      <c r="BA144" s="5">
        <f>IF($B143&lt;=Tabla5[[#This Row],[INVERSIONES FCI]],+Tabla5[[#This Row],[INVERSIONES FCI]]-BA143,Tabla5[[#This Row],[INVERSIONES FCI]])</f>
        <v>27725544001.575932</v>
      </c>
      <c r="BB144" s="5">
        <f>IF($B143&lt;=Tabla5[[#This Row],[INVERSIONES FCI]],+Tabla5[[#This Row],[INVERSIONES FCI]]-BB143,Tabla5[[#This Row],[INVERSIONES FCI]])</f>
        <v>27725544001.575932</v>
      </c>
      <c r="BC144" s="5">
        <f>IF($B143&lt;=Tabla5[[#This Row],[INVERSIONES FCI]],+Tabla5[[#This Row],[INVERSIONES FCI]]-BC143,Tabla5[[#This Row],[INVERSIONES FCI]])</f>
        <v>27725544001.575932</v>
      </c>
      <c r="BD144" s="5">
        <f>IF($B143&lt;=Tabla5[[#This Row],[INVERSIONES FCI]],+Tabla5[[#This Row],[INVERSIONES FCI]]-BD143,Tabla5[[#This Row],[INVERSIONES FCI]])</f>
        <v>27725544001.575932</v>
      </c>
      <c r="BE144" s="5">
        <f>IF($B143&lt;=Tabla5[[#This Row],[INVERSIONES FCI]],+Tabla5[[#This Row],[INVERSIONES FCI]]-BE143,Tabla5[[#This Row],[INVERSIONES FCI]])</f>
        <v>27725544001.575932</v>
      </c>
      <c r="BF144" s="5">
        <f>IF($B143&lt;=Tabla5[[#This Row],[INVERSIONES FCI]],+Tabla5[[#This Row],[INVERSIONES FCI]]-BF143,Tabla5[[#This Row],[INVERSIONES FCI]])</f>
        <v>27725544001.575932</v>
      </c>
      <c r="BG144" s="5">
        <f>IF($B143&lt;=Tabla5[[#This Row],[INVERSIONES FCI]],+Tabla5[[#This Row],[INVERSIONES FCI]]-BG143,Tabla5[[#This Row],[INVERSIONES FCI]])</f>
        <v>27725544001.575932</v>
      </c>
      <c r="BH144" s="5">
        <f>IF($B143&lt;=Tabla5[[#This Row],[INVERSIONES FCI]],+Tabla5[[#This Row],[INVERSIONES FCI]]-BH143,Tabla5[[#This Row],[INVERSIONES FCI]])</f>
        <v>27725544001.575932</v>
      </c>
      <c r="BI144" s="5">
        <f>IF($B143&lt;=Tabla5[[#This Row],[INVERSIONES FCI]],+Tabla5[[#This Row],[INVERSIONES FCI]]-BI143,Tabla5[[#This Row],[INVERSIONES FCI]])</f>
        <v>27725544001.575932</v>
      </c>
      <c r="BJ144" s="5">
        <f>IF($B143&lt;=Tabla5[[#This Row],[INVERSIONES FCI]],+Tabla5[[#This Row],[INVERSIONES FCI]]-BJ143,Tabla5[[#This Row],[INVERSIONES FCI]])</f>
        <v>27725544001.575932</v>
      </c>
      <c r="BK144" s="5">
        <f>IF($B143&lt;=Tabla5[[#This Row],[INVERSIONES FCI]],+Tabla5[[#This Row],[INVERSIONES FCI]]-BK143,Tabla5[[#This Row],[INVERSIONES FCI]])</f>
        <v>27725544001.575932</v>
      </c>
      <c r="BL144" s="5">
        <f>IF($B143&lt;=Tabla5[[#This Row],[INVERSIONES FCI]],+Tabla5[[#This Row],[INVERSIONES FCI]]-BL143,Tabla5[[#This Row],[INVERSIONES FCI]])</f>
        <v>27725544001.575932</v>
      </c>
      <c r="BM144" s="5">
        <f>IF($B143&lt;=Tabla5[[#This Row],[INVERSIONES FCI]],+Tabla5[[#This Row],[INVERSIONES FCI]]-BM143,Tabla5[[#This Row],[INVERSIONES FCI]])</f>
        <v>27725544001.575932</v>
      </c>
      <c r="BN144" s="5">
        <f>IF($B143&lt;=Tabla5[[#This Row],[INVERSIONES FCI]],+Tabla5[[#This Row],[INVERSIONES FCI]]-BN143,Tabla5[[#This Row],[INVERSIONES FCI]])</f>
        <v>27725544001.575932</v>
      </c>
      <c r="BO144" s="5">
        <f>IF($B143&lt;=Tabla5[[#This Row],[INVERSIONES FCI]],+Tabla5[[#This Row],[INVERSIONES FCI]]-BO143,Tabla5[[#This Row],[INVERSIONES FCI]])</f>
        <v>27725544001.575932</v>
      </c>
      <c r="BP144" s="5">
        <f>IF($B143&lt;=Tabla5[[#This Row],[INVERSIONES FCI]],+Tabla5[[#This Row],[INVERSIONES FCI]]-BP143,Tabla5[[#This Row],[INVERSIONES FCI]])</f>
        <v>27725544001.575932</v>
      </c>
      <c r="BQ144" s="5">
        <f>IF($B143&lt;=Tabla5[[#This Row],[INVERSIONES FCI]],+Tabla5[[#This Row],[INVERSIONES FCI]]-BQ143,Tabla5[[#This Row],[INVERSIONES FCI]])</f>
        <v>27725544001.575932</v>
      </c>
      <c r="BR144" s="5">
        <f>IF($B143&lt;=Tabla5[[#This Row],[INVERSIONES FCI]],+Tabla5[[#This Row],[INVERSIONES FCI]]-BR143,Tabla5[[#This Row],[INVERSIONES FCI]])</f>
        <v>27725544001.575932</v>
      </c>
      <c r="BS144" s="5">
        <f>IF($B143&lt;=Tabla5[[#This Row],[INVERSIONES FCI]],+Tabla5[[#This Row],[INVERSIONES FCI]]-BS143,Tabla5[[#This Row],[INVERSIONES FCI]])</f>
        <v>27725544001.575932</v>
      </c>
      <c r="BT144" s="5">
        <f>IF($B143&lt;=Tabla5[[#This Row],[INVERSIONES FCI]],+Tabla5[[#This Row],[INVERSIONES FCI]]-BT143,Tabla5[[#This Row],[INVERSIONES FCI]])</f>
        <v>27725544001.575932</v>
      </c>
      <c r="BU144" s="5">
        <f>IF($B143&lt;=Tabla5[[#This Row],[INVERSIONES FCI]],+Tabla5[[#This Row],[INVERSIONES FCI]]-BU143,Tabla5[[#This Row],[INVERSIONES FCI]])</f>
        <v>27725544001.575932</v>
      </c>
      <c r="BV144" s="5">
        <f>IF($B143&lt;=Tabla5[[#This Row],[INVERSIONES FCI]],+Tabla5[[#This Row],[INVERSIONES FCI]]-BV143,Tabla5[[#This Row],[INVERSIONES FCI]])</f>
        <v>27725544001.575932</v>
      </c>
      <c r="BW144" s="5">
        <f>IF($B143&lt;=Tabla5[[#This Row],[INVERSIONES FCI]],+Tabla5[[#This Row],[INVERSIONES FCI]]-BW143,Tabla5[[#This Row],[INVERSIONES FCI]])</f>
        <v>27725544001.575932</v>
      </c>
      <c r="BX144" s="5">
        <f>IF($B143&lt;=Tabla5[[#This Row],[INVERSIONES FCI]],+Tabla5[[#This Row],[INVERSIONES FCI]]-BX143,Tabla5[[#This Row],[INVERSIONES FCI]])</f>
        <v>27725544001.575932</v>
      </c>
      <c r="BY144" s="5">
        <f>IF($B143&lt;=Tabla5[[#This Row],[INVERSIONES FCI]],+Tabla5[[#This Row],[INVERSIONES FCI]]-BY143,Tabla5[[#This Row],[INVERSIONES FCI]])</f>
        <v>27725544001.575932</v>
      </c>
      <c r="BZ144" s="5">
        <f>IF($B143&lt;=Tabla5[[#This Row],[INVERSIONES FCI]],+Tabla5[[#This Row],[INVERSIONES FCI]]-BZ143,Tabla5[[#This Row],[INVERSIONES FCI]])</f>
        <v>27725544001.575932</v>
      </c>
      <c r="CA144" s="5">
        <f>IF($B143&lt;=Tabla5[[#This Row],[INVERSIONES FCI]],+Tabla5[[#This Row],[INVERSIONES FCI]]-CA143,Tabla5[[#This Row],[INVERSIONES FCI]])</f>
        <v>27725544001.575932</v>
      </c>
      <c r="CB144" s="5">
        <f>IF($B143&lt;=Tabla5[[#This Row],[INVERSIONES FCI]],+Tabla5[[#This Row],[INVERSIONES FCI]]-CB143,Tabla5[[#This Row],[INVERSIONES FCI]])</f>
        <v>27725544001.575932</v>
      </c>
      <c r="CC144" s="5">
        <f>IF($B143&lt;=Tabla5[[#This Row],[INVERSIONES FCI]],+Tabla5[[#This Row],[INVERSIONES FCI]]-CC143,Tabla5[[#This Row],[INVERSIONES FCI]])</f>
        <v>27725544001.575932</v>
      </c>
      <c r="CD144" s="5">
        <f>IF($B143&lt;=Tabla5[[#This Row],[INVERSIONES FCI]],+Tabla5[[#This Row],[INVERSIONES FCI]]-CD143,Tabla5[[#This Row],[INVERSIONES FCI]])</f>
        <v>27725544001.575932</v>
      </c>
      <c r="CE144" s="5">
        <f>IF($B143&lt;=Tabla5[[#This Row],[INVERSIONES FCI]],+Tabla5[[#This Row],[INVERSIONES FCI]]-CE143,Tabla5[[#This Row],[INVERSIONES FCI]])</f>
        <v>27725544001.575932</v>
      </c>
      <c r="CF144" s="5">
        <f>IF($B143&lt;=Tabla5[[#This Row],[INVERSIONES FCI]],+Tabla5[[#This Row],[INVERSIONES FCI]]-CF143,Tabla5[[#This Row],[INVERSIONES FCI]])</f>
        <v>27725544001.575932</v>
      </c>
      <c r="CG144" s="5">
        <f>IF($B143&lt;=Tabla5[[#This Row],[INVERSIONES FCI]],+Tabla5[[#This Row],[INVERSIONES FCI]]-CG143,Tabla5[[#This Row],[INVERSIONES FCI]])</f>
        <v>27725544001.575932</v>
      </c>
      <c r="CH144" s="5">
        <f>IF($B143&lt;=Tabla5[[#This Row],[INVERSIONES FCI]],+Tabla5[[#This Row],[INVERSIONES FCI]]-CH143,Tabla5[[#This Row],[INVERSIONES FCI]])</f>
        <v>27725544001.575932</v>
      </c>
      <c r="CI144" s="5">
        <f>IF($B143&lt;=Tabla5[[#This Row],[INVERSIONES FCI]],+Tabla5[[#This Row],[INVERSIONES FCI]]-CI143,Tabla5[[#This Row],[INVERSIONES FCI]])</f>
        <v>27725544001.575932</v>
      </c>
      <c r="CJ144" s="5">
        <f>IF($B143&lt;=Tabla5[[#This Row],[INVERSIONES FCI]],+Tabla5[[#This Row],[INVERSIONES FCI]]-CJ143,Tabla5[[#This Row],[INVERSIONES FCI]])</f>
        <v>27725544001.575932</v>
      </c>
      <c r="CK144" s="5">
        <f>IF($B143&lt;=Tabla5[[#This Row],[INVERSIONES FCI]],+Tabla5[[#This Row],[INVERSIONES FCI]]-CK143,Tabla5[[#This Row],[INVERSIONES FCI]])</f>
        <v>27725544001.575932</v>
      </c>
      <c r="CL144" s="5">
        <f>IF($B143&lt;=Tabla5[[#This Row],[INVERSIONES FCI]],+Tabla5[[#This Row],[INVERSIONES FCI]]-CL143,Tabla5[[#This Row],[INVERSIONES FCI]])</f>
        <v>27725544001.575932</v>
      </c>
      <c r="CM144" s="5">
        <f>IF($B143&lt;=Tabla5[[#This Row],[INVERSIONES FCI]],+Tabla5[[#This Row],[INVERSIONES FCI]]-CM143,Tabla5[[#This Row],[INVERSIONES FCI]])</f>
        <v>27725544001.575932</v>
      </c>
      <c r="CN144" s="5">
        <f>IF($B143&lt;=Tabla5[[#This Row],[INVERSIONES FCI]],+Tabla5[[#This Row],[INVERSIONES FCI]]-CN143,Tabla5[[#This Row],[INVERSIONES FCI]])</f>
        <v>27725544001.575932</v>
      </c>
      <c r="CO144" s="5">
        <f>IF($B143&lt;=Tabla5[[#This Row],[INVERSIONES FCI]],+Tabla5[[#This Row],[INVERSIONES FCI]]-CO143,Tabla5[[#This Row],[INVERSIONES FCI]])</f>
        <v>27725544001.575932</v>
      </c>
      <c r="CP144" s="5">
        <f>IF($B143&lt;=Tabla5[[#This Row],[INVERSIONES FCI]],+Tabla5[[#This Row],[INVERSIONES FCI]]-CP143,Tabla5[[#This Row],[INVERSIONES FCI]])</f>
        <v>27725544001.575932</v>
      </c>
      <c r="CQ144" s="5">
        <f>IF($B143&lt;=Tabla5[[#This Row],[INVERSIONES FCI]],+Tabla5[[#This Row],[INVERSIONES FCI]]-CQ143,Tabla5[[#This Row],[INVERSIONES FCI]])</f>
        <v>27725544001.575932</v>
      </c>
      <c r="CR144" s="5">
        <f>IF($B143&lt;=Tabla5[[#This Row],[INVERSIONES FCI]],+Tabla5[[#This Row],[INVERSIONES FCI]]-CR143,Tabla5[[#This Row],[INVERSIONES FCI]])</f>
        <v>27725544001.575932</v>
      </c>
      <c r="CS144" s="5">
        <f>IF($B143&lt;=Tabla5[[#This Row],[INVERSIONES FCI]],+Tabla5[[#This Row],[INVERSIONES FCI]]-CS143,Tabla5[[#This Row],[INVERSIONES FCI]])</f>
        <v>27725544001.575932</v>
      </c>
      <c r="CT144" s="5">
        <f>IF($B143&lt;=Tabla5[[#This Row],[INVERSIONES FCI]],+Tabla5[[#This Row],[INVERSIONES FCI]]-CT143,Tabla5[[#This Row],[INVERSIONES FCI]])</f>
        <v>27725544001.575932</v>
      </c>
      <c r="CU144" s="5">
        <f>IF($B143&lt;=Tabla5[[#This Row],[INVERSIONES FCI]],+Tabla5[[#This Row],[INVERSIONES FCI]]-CU143,Tabla5[[#This Row],[INVERSIONES FCI]])</f>
        <v>27725544001.575932</v>
      </c>
      <c r="CV144" s="5">
        <f>IF($B143&lt;=Tabla5[[#This Row],[INVERSIONES FCI]],+Tabla5[[#This Row],[INVERSIONES FCI]]-CV143,Tabla5[[#This Row],[INVERSIONES FCI]])</f>
        <v>27725544001.575932</v>
      </c>
      <c r="CW144" s="5">
        <f>IF($B143&lt;=Tabla5[[#This Row],[INVERSIONES FCI]],+Tabla5[[#This Row],[INVERSIONES FCI]]-CW143,Tabla5[[#This Row],[INVERSIONES FCI]])</f>
        <v>27725544001.575932</v>
      </c>
      <c r="CX144" s="5">
        <f>IF($B143&lt;=Tabla5[[#This Row],[INVERSIONES FCI]],+Tabla5[[#This Row],[INVERSIONES FCI]]-CX143,Tabla5[[#This Row],[INVERSIONES FCI]])</f>
        <v>27725544001.575932</v>
      </c>
      <c r="CY144" s="5">
        <f>IF($B143&lt;=Tabla5[[#This Row],[INVERSIONES FCI]],+Tabla5[[#This Row],[INVERSIONES FCI]]-CY143,Tabla5[[#This Row],[INVERSIONES FCI]])</f>
        <v>27725544001.575932</v>
      </c>
      <c r="CZ144" s="5">
        <f>IF($B143&lt;=Tabla5[[#This Row],[INVERSIONES FCI]],+Tabla5[[#This Row],[INVERSIONES FCI]]-CZ143,Tabla5[[#This Row],[INVERSIONES FCI]])</f>
        <v>27725544001.575932</v>
      </c>
      <c r="DA144" s="5">
        <f>IF($B143&lt;=Tabla5[[#This Row],[INVERSIONES FCI]],+Tabla5[[#This Row],[INVERSIONES FCI]]-DA143,Tabla5[[#This Row],[INVERSIONES FCI]])</f>
        <v>27725544001.575932</v>
      </c>
      <c r="DB144" s="5">
        <f>IF($B143&lt;=Tabla5[[#This Row],[INVERSIONES FCI]],+Tabla5[[#This Row],[INVERSIONES FCI]]-DB143,Tabla5[[#This Row],[INVERSIONES FCI]])</f>
        <v>27725544001.575932</v>
      </c>
      <c r="DC144" s="5">
        <f>IF($B143&lt;=Tabla5[[#This Row],[INVERSIONES FCI]],+Tabla5[[#This Row],[INVERSIONES FCI]]-DC143,Tabla5[[#This Row],[INVERSIONES FCI]])</f>
        <v>27725544001.575932</v>
      </c>
      <c r="DD144" s="5">
        <f>IF($B143&lt;=Tabla5[[#This Row],[INVERSIONES FCI]],+Tabla5[[#This Row],[INVERSIONES FCI]]-DD143,Tabla5[[#This Row],[INVERSIONES FCI]])</f>
        <v>27725544001.575932</v>
      </c>
      <c r="DE144" s="5">
        <f>IF($B143&lt;=Tabla5[[#This Row],[INVERSIONES FCI]],+Tabla5[[#This Row],[INVERSIONES FCI]]-DE143,Tabla5[[#This Row],[INVERSIONES FCI]])</f>
        <v>27725544001.575932</v>
      </c>
      <c r="DF144" s="5">
        <f>IF($B143&lt;=Tabla5[[#This Row],[INVERSIONES FCI]],+Tabla5[[#This Row],[INVERSIONES FCI]]-DF143,Tabla5[[#This Row],[INVERSIONES FCI]])</f>
        <v>27725544001.575932</v>
      </c>
      <c r="DG144" s="5">
        <f>IF($B143&lt;=Tabla5[[#This Row],[INVERSIONES FCI]],+Tabla5[[#This Row],[INVERSIONES FCI]]-DG143,Tabla5[[#This Row],[INVERSIONES FCI]])</f>
        <v>27725544001.575932</v>
      </c>
      <c r="DH144" s="5">
        <f>IF($B143&lt;=Tabla5[[#This Row],[INVERSIONES FCI]],+Tabla5[[#This Row],[INVERSIONES FCI]]-DH143,Tabla5[[#This Row],[INVERSIONES FCI]])</f>
        <v>27725544001.575932</v>
      </c>
      <c r="DI144" s="5">
        <f>IF($B143&lt;=Tabla5[[#This Row],[INVERSIONES FCI]],+Tabla5[[#This Row],[INVERSIONES FCI]]-DI143,Tabla5[[#This Row],[INVERSIONES FCI]])</f>
        <v>27725544001.575932</v>
      </c>
      <c r="DJ144" s="5">
        <f>IF($B143&lt;=Tabla5[[#This Row],[INVERSIONES FCI]],+Tabla5[[#This Row],[INVERSIONES FCI]]-DJ143,Tabla5[[#This Row],[INVERSIONES FCI]])</f>
        <v>27725544001.575932</v>
      </c>
      <c r="DK144" s="5">
        <f>IF($B143&lt;=Tabla5[[#This Row],[INVERSIONES FCI]],+Tabla5[[#This Row],[INVERSIONES FCI]]-DK143,Tabla5[[#This Row],[INVERSIONES FCI]])</f>
        <v>27725544001.575932</v>
      </c>
      <c r="DL144" s="5"/>
      <c r="DM144" s="5"/>
      <c r="DN144" s="5"/>
      <c r="DO144" s="5"/>
      <c r="DP144" s="5"/>
      <c r="DQ144" s="5"/>
    </row>
    <row r="145" spans="1:121" ht="14.4">
      <c r="A145" s="12" t="s">
        <v>144</v>
      </c>
      <c r="B145" s="5">
        <f>HLOOKUP($A145,ESCENARIO[#All],7,FALSE)</f>
        <v>30592963633.194588</v>
      </c>
      <c r="C145" s="5">
        <f>IF($B144&lt;=Tabla5[[#This Row],[INVERSIONES FCI]],+Tabla5[[#This Row],[INVERSIONES FCI]]-C144,Tabla5[[#This Row],[INVERSIONES FCI]])</f>
        <v>2867419631.6186562</v>
      </c>
      <c r="D145" s="5">
        <f>IF($B144&lt;=Tabla5[[#This Row],[INVERSIONES FCI]],+Tabla5[[#This Row],[INVERSIONES FCI]]-D144,Tabla5[[#This Row],[INVERSIONES FCI]])</f>
        <v>2867419631.6186562</v>
      </c>
      <c r="E145" s="5">
        <f>IF($B144&lt;=Tabla5[[#This Row],[INVERSIONES FCI]],+Tabla5[[#This Row],[INVERSIONES FCI]]-E144,Tabla5[[#This Row],[INVERSIONES FCI]])</f>
        <v>2867419631.6186562</v>
      </c>
      <c r="F145" s="5">
        <f>IF($B144&lt;=Tabla5[[#This Row],[INVERSIONES FCI]],+Tabla5[[#This Row],[INVERSIONES FCI]]-F144,Tabla5[[#This Row],[INVERSIONES FCI]])</f>
        <v>2867419631.6186562</v>
      </c>
      <c r="G145" s="5">
        <f>IF($B144&lt;=Tabla5[[#This Row],[INVERSIONES FCI]],+Tabla5[[#This Row],[INVERSIONES FCI]]-G144,Tabla5[[#This Row],[INVERSIONES FCI]])</f>
        <v>2867419631.6186562</v>
      </c>
      <c r="H145" s="5">
        <f>IF($B144&lt;=Tabla5[[#This Row],[INVERSIONES FCI]],+Tabla5[[#This Row],[INVERSIONES FCI]]-H144,Tabla5[[#This Row],[INVERSIONES FCI]])</f>
        <v>2867419631.6186562</v>
      </c>
      <c r="I145" s="5">
        <f>IF($B144&lt;=Tabla5[[#This Row],[INVERSIONES FCI]],+Tabla5[[#This Row],[INVERSIONES FCI]]-I144,Tabla5[[#This Row],[INVERSIONES FCI]])</f>
        <v>2867419631.6186562</v>
      </c>
      <c r="J145" s="5">
        <f>IF($B144&lt;=Tabla5[[#This Row],[INVERSIONES FCI]],+Tabla5[[#This Row],[INVERSIONES FCI]]-J144,Tabla5[[#This Row],[INVERSIONES FCI]])</f>
        <v>2867419631.6186562</v>
      </c>
      <c r="K145" s="5">
        <f>IF($B144&lt;=Tabla5[[#This Row],[INVERSIONES FCI]],+Tabla5[[#This Row],[INVERSIONES FCI]]-K144,Tabla5[[#This Row],[INVERSIONES FCI]])</f>
        <v>2867419631.6186562</v>
      </c>
      <c r="L145" s="5">
        <f>IF($B144&lt;=Tabla5[[#This Row],[INVERSIONES FCI]],+Tabla5[[#This Row],[INVERSIONES FCI]]-L144,Tabla5[[#This Row],[INVERSIONES FCI]])</f>
        <v>2867419631.6186562</v>
      </c>
      <c r="M145" s="5">
        <f>IF($B144&lt;=Tabla5[[#This Row],[INVERSIONES FCI]],+Tabla5[[#This Row],[INVERSIONES FCI]]-M144,Tabla5[[#This Row],[INVERSIONES FCI]])</f>
        <v>2867419631.6186562</v>
      </c>
      <c r="N145" s="5">
        <f>IF($B144&lt;=Tabla5[[#This Row],[INVERSIONES FCI]],+Tabla5[[#This Row],[INVERSIONES FCI]]-N144,Tabla5[[#This Row],[INVERSIONES FCI]])</f>
        <v>2867419631.6186562</v>
      </c>
      <c r="O145" s="5">
        <f>IF($B144&lt;=Tabla5[[#This Row],[INVERSIONES FCI]],+Tabla5[[#This Row],[INVERSIONES FCI]]-O144,Tabla5[[#This Row],[INVERSIONES FCI]])</f>
        <v>2867419631.6186562</v>
      </c>
      <c r="P145" s="5">
        <f>IF($B144&lt;=Tabla5[[#This Row],[INVERSIONES FCI]],+Tabla5[[#This Row],[INVERSIONES FCI]]-P144,Tabla5[[#This Row],[INVERSIONES FCI]])</f>
        <v>2867419631.6186562</v>
      </c>
      <c r="Q145" s="5">
        <f>IF($B144&lt;=Tabla5[[#This Row],[INVERSIONES FCI]],+Tabla5[[#This Row],[INVERSIONES FCI]]-Q144,Tabla5[[#This Row],[INVERSIONES FCI]])</f>
        <v>2867419631.6186562</v>
      </c>
      <c r="R145" s="5">
        <f>IF($B144&lt;=Tabla5[[#This Row],[INVERSIONES FCI]],+Tabla5[[#This Row],[INVERSIONES FCI]]-R144,Tabla5[[#This Row],[INVERSIONES FCI]])</f>
        <v>2867419631.6186562</v>
      </c>
      <c r="S145" s="5">
        <f>IF($B144&lt;=Tabla5[[#This Row],[INVERSIONES FCI]],+Tabla5[[#This Row],[INVERSIONES FCI]]-S144,Tabla5[[#This Row],[INVERSIONES FCI]])</f>
        <v>2867419631.6186562</v>
      </c>
      <c r="T145" s="5">
        <f>IF($B144&lt;=Tabla5[[#This Row],[INVERSIONES FCI]],+Tabla5[[#This Row],[INVERSIONES FCI]]-T144,Tabla5[[#This Row],[INVERSIONES FCI]])</f>
        <v>2867419631.6186562</v>
      </c>
      <c r="U145" s="5">
        <f>IF($B144&lt;=Tabla5[[#This Row],[INVERSIONES FCI]],+Tabla5[[#This Row],[INVERSIONES FCI]]-U144,Tabla5[[#This Row],[INVERSIONES FCI]])</f>
        <v>2867419631.6186562</v>
      </c>
      <c r="V145" s="5">
        <f>IF($B144&lt;=Tabla5[[#This Row],[INVERSIONES FCI]],+Tabla5[[#This Row],[INVERSIONES FCI]]-V144,Tabla5[[#This Row],[INVERSIONES FCI]])</f>
        <v>2867419631.6186562</v>
      </c>
      <c r="W145" s="5">
        <f>IF($B144&lt;=Tabla5[[#This Row],[INVERSIONES FCI]],+Tabla5[[#This Row],[INVERSIONES FCI]]-W144,Tabla5[[#This Row],[INVERSIONES FCI]])</f>
        <v>2867419631.6186562</v>
      </c>
      <c r="X145" s="5">
        <f>IF($B144&lt;=Tabla5[[#This Row],[INVERSIONES FCI]],+Tabla5[[#This Row],[INVERSIONES FCI]]-X144,Tabla5[[#This Row],[INVERSIONES FCI]])</f>
        <v>2867419631.6186562</v>
      </c>
      <c r="Y145" s="5">
        <f>IF($B144&lt;=Tabla5[[#This Row],[INVERSIONES FCI]],+Tabla5[[#This Row],[INVERSIONES FCI]]-Y144,Tabla5[[#This Row],[INVERSIONES FCI]])</f>
        <v>2867419631.6186562</v>
      </c>
      <c r="Z145" s="5">
        <f>IF($B144&lt;=Tabla5[[#This Row],[INVERSIONES FCI]],+Tabla5[[#This Row],[INVERSIONES FCI]]-Z144,Tabla5[[#This Row],[INVERSIONES FCI]])</f>
        <v>2867419631.6186562</v>
      </c>
      <c r="AA145" s="5">
        <f>IF($B144&lt;=Tabla5[[#This Row],[INVERSIONES FCI]],+Tabla5[[#This Row],[INVERSIONES FCI]]-AA144,Tabla5[[#This Row],[INVERSIONES FCI]])</f>
        <v>2867419631.6186562</v>
      </c>
      <c r="AB145" s="5">
        <f>IF($B144&lt;=Tabla5[[#This Row],[INVERSIONES FCI]],+Tabla5[[#This Row],[INVERSIONES FCI]]-AB144,Tabla5[[#This Row],[INVERSIONES FCI]])</f>
        <v>2867419631.6186562</v>
      </c>
      <c r="AC145" s="5">
        <f>IF($B144&lt;=Tabla5[[#This Row],[INVERSIONES FCI]],+Tabla5[[#This Row],[INVERSIONES FCI]]-AC144,Tabla5[[#This Row],[INVERSIONES FCI]])</f>
        <v>2867419631.6186562</v>
      </c>
      <c r="AD145" s="5">
        <f>IF($B144&lt;=Tabla5[[#This Row],[INVERSIONES FCI]],+Tabla5[[#This Row],[INVERSIONES FCI]]-AD144,Tabla5[[#This Row],[INVERSIONES FCI]])</f>
        <v>2867419631.6186562</v>
      </c>
      <c r="AE145" s="5">
        <f>IF($B144&lt;=Tabla5[[#This Row],[INVERSIONES FCI]],+Tabla5[[#This Row],[INVERSIONES FCI]]-AE144,Tabla5[[#This Row],[INVERSIONES FCI]])</f>
        <v>2867419631.6186562</v>
      </c>
      <c r="AF145" s="5">
        <f>IF($B144&lt;=Tabla5[[#This Row],[INVERSIONES FCI]],+Tabla5[[#This Row],[INVERSIONES FCI]]-AF144,Tabla5[[#This Row],[INVERSIONES FCI]])</f>
        <v>2867419631.6186562</v>
      </c>
      <c r="AG145" s="5">
        <f>IF($B144&lt;=Tabla5[[#This Row],[INVERSIONES FCI]],+Tabla5[[#This Row],[INVERSIONES FCI]]-AG144,Tabla5[[#This Row],[INVERSIONES FCI]])</f>
        <v>2867419631.6186562</v>
      </c>
      <c r="AH145" s="5">
        <f>IF($B144&lt;=Tabla5[[#This Row],[INVERSIONES FCI]],+Tabla5[[#This Row],[INVERSIONES FCI]]-AH144,Tabla5[[#This Row],[INVERSIONES FCI]])</f>
        <v>2867419631.6186562</v>
      </c>
      <c r="AI145" s="5">
        <f>IF($B144&lt;=Tabla5[[#This Row],[INVERSIONES FCI]],+Tabla5[[#This Row],[INVERSIONES FCI]]-AI144,Tabla5[[#This Row],[INVERSIONES FCI]])</f>
        <v>2867419631.6186562</v>
      </c>
      <c r="AJ145" s="5">
        <f>IF($B144&lt;=Tabla5[[#This Row],[INVERSIONES FCI]],+Tabla5[[#This Row],[INVERSIONES FCI]]-AJ144,Tabla5[[#This Row],[INVERSIONES FCI]])</f>
        <v>2867419631.6186562</v>
      </c>
      <c r="AK145" s="5">
        <f>IF($B144&lt;=Tabla5[[#This Row],[INVERSIONES FCI]],+Tabla5[[#This Row],[INVERSIONES FCI]]-AK144,Tabla5[[#This Row],[INVERSIONES FCI]])</f>
        <v>2867419631.6186562</v>
      </c>
      <c r="AL145" s="5">
        <f>IF($B144&lt;=Tabla5[[#This Row],[INVERSIONES FCI]],+Tabla5[[#This Row],[INVERSIONES FCI]]-AL144,Tabla5[[#This Row],[INVERSIONES FCI]])</f>
        <v>2867419631.6186562</v>
      </c>
      <c r="AM145" s="5">
        <f>IF($B144&lt;=Tabla5[[#This Row],[INVERSIONES FCI]],+Tabla5[[#This Row],[INVERSIONES FCI]]-AM144,Tabla5[[#This Row],[INVERSIONES FCI]])</f>
        <v>2867419631.6186562</v>
      </c>
      <c r="AN145" s="5">
        <f>IF($B144&lt;=Tabla5[[#This Row],[INVERSIONES FCI]],+Tabla5[[#This Row],[INVERSIONES FCI]]-AN144,Tabla5[[#This Row],[INVERSIONES FCI]])</f>
        <v>2867419631.6186562</v>
      </c>
      <c r="AO145" s="5">
        <f>IF($B144&lt;=Tabla5[[#This Row],[INVERSIONES FCI]],+Tabla5[[#This Row],[INVERSIONES FCI]]-AO144,Tabla5[[#This Row],[INVERSIONES FCI]])</f>
        <v>2867419631.6186562</v>
      </c>
      <c r="AP145" s="5">
        <f>IF($B144&lt;=Tabla5[[#This Row],[INVERSIONES FCI]],+Tabla5[[#This Row],[INVERSIONES FCI]]-AP144,Tabla5[[#This Row],[INVERSIONES FCI]])</f>
        <v>2867419631.6186562</v>
      </c>
      <c r="AQ145" s="5">
        <f>IF($B144&lt;=Tabla5[[#This Row],[INVERSIONES FCI]],+Tabla5[[#This Row],[INVERSIONES FCI]]-AQ144,Tabla5[[#This Row],[INVERSIONES FCI]])</f>
        <v>2867419631.6186562</v>
      </c>
      <c r="AR145" s="5">
        <f>IF($B144&lt;=Tabla5[[#This Row],[INVERSIONES FCI]],+Tabla5[[#This Row],[INVERSIONES FCI]]-AR144,Tabla5[[#This Row],[INVERSIONES FCI]])</f>
        <v>2867419631.6186562</v>
      </c>
      <c r="AS145" s="5">
        <f>IF($B144&lt;=Tabla5[[#This Row],[INVERSIONES FCI]],+Tabla5[[#This Row],[INVERSIONES FCI]]-AS144,Tabla5[[#This Row],[INVERSIONES FCI]])</f>
        <v>2867419631.6186562</v>
      </c>
      <c r="AT145" s="5">
        <f>IF($B144&lt;=Tabla5[[#This Row],[INVERSIONES FCI]],+Tabla5[[#This Row],[INVERSIONES FCI]]-AT144,Tabla5[[#This Row],[INVERSIONES FCI]])</f>
        <v>2867419631.6186562</v>
      </c>
      <c r="AU145" s="5">
        <f>IF($B144&lt;=Tabla5[[#This Row],[INVERSIONES FCI]],+Tabla5[[#This Row],[INVERSIONES FCI]]-AU144,Tabla5[[#This Row],[INVERSIONES FCI]])</f>
        <v>2867419631.6186562</v>
      </c>
      <c r="AV145" s="5">
        <f>IF($B144&lt;=Tabla5[[#This Row],[INVERSIONES FCI]],+Tabla5[[#This Row],[INVERSIONES FCI]]-AV144,Tabla5[[#This Row],[INVERSIONES FCI]])</f>
        <v>2867419631.6186562</v>
      </c>
      <c r="AW145" s="5">
        <f>IF($B144&lt;=Tabla5[[#This Row],[INVERSIONES FCI]],+Tabla5[[#This Row],[INVERSIONES FCI]]-AW144,Tabla5[[#This Row],[INVERSIONES FCI]])</f>
        <v>2867419631.6186562</v>
      </c>
      <c r="AX145" s="5">
        <f>IF($B144&lt;=Tabla5[[#This Row],[INVERSIONES FCI]],+Tabla5[[#This Row],[INVERSIONES FCI]]-AX144,Tabla5[[#This Row],[INVERSIONES FCI]])</f>
        <v>2867419631.6186562</v>
      </c>
      <c r="AY145" s="5">
        <f>IF($B144&lt;=Tabla5[[#This Row],[INVERSIONES FCI]],+Tabla5[[#This Row],[INVERSIONES FCI]]-AY144,Tabla5[[#This Row],[INVERSIONES FCI]])</f>
        <v>2867419631.6186562</v>
      </c>
      <c r="AZ145" s="5">
        <f>IF($B144&lt;=Tabla5[[#This Row],[INVERSIONES FCI]],+Tabla5[[#This Row],[INVERSIONES FCI]]-AZ144,Tabla5[[#This Row],[INVERSIONES FCI]])</f>
        <v>2867419631.6186562</v>
      </c>
      <c r="BA145" s="5">
        <f>IF($B144&lt;=Tabla5[[#This Row],[INVERSIONES FCI]],+Tabla5[[#This Row],[INVERSIONES FCI]]-BA144,Tabla5[[#This Row],[INVERSIONES FCI]])</f>
        <v>2867419631.6186562</v>
      </c>
      <c r="BB145" s="5">
        <f>IF($B144&lt;=Tabla5[[#This Row],[INVERSIONES FCI]],+Tabla5[[#This Row],[INVERSIONES FCI]]-BB144,Tabla5[[#This Row],[INVERSIONES FCI]])</f>
        <v>2867419631.6186562</v>
      </c>
      <c r="BC145" s="5">
        <f>IF($B144&lt;=Tabla5[[#This Row],[INVERSIONES FCI]],+Tabla5[[#This Row],[INVERSIONES FCI]]-BC144,Tabla5[[#This Row],[INVERSIONES FCI]])</f>
        <v>2867419631.6186562</v>
      </c>
      <c r="BD145" s="5">
        <f>IF($B144&lt;=Tabla5[[#This Row],[INVERSIONES FCI]],+Tabla5[[#This Row],[INVERSIONES FCI]]-BD144,Tabla5[[#This Row],[INVERSIONES FCI]])</f>
        <v>2867419631.6186562</v>
      </c>
      <c r="BE145" s="5">
        <f>IF($B144&lt;=Tabla5[[#This Row],[INVERSIONES FCI]],+Tabla5[[#This Row],[INVERSIONES FCI]]-BE144,Tabla5[[#This Row],[INVERSIONES FCI]])</f>
        <v>2867419631.6186562</v>
      </c>
      <c r="BF145" s="5">
        <f>IF($B144&lt;=Tabla5[[#This Row],[INVERSIONES FCI]],+Tabla5[[#This Row],[INVERSIONES FCI]]-BF144,Tabla5[[#This Row],[INVERSIONES FCI]])</f>
        <v>2867419631.6186562</v>
      </c>
      <c r="BG145" s="5">
        <f>IF($B144&lt;=Tabla5[[#This Row],[INVERSIONES FCI]],+Tabla5[[#This Row],[INVERSIONES FCI]]-BG144,Tabla5[[#This Row],[INVERSIONES FCI]])</f>
        <v>2867419631.6186562</v>
      </c>
      <c r="BH145" s="5">
        <f>IF($B144&lt;=Tabla5[[#This Row],[INVERSIONES FCI]],+Tabla5[[#This Row],[INVERSIONES FCI]]-BH144,Tabla5[[#This Row],[INVERSIONES FCI]])</f>
        <v>2867419631.6186562</v>
      </c>
      <c r="BI145" s="5">
        <f>IF($B144&lt;=Tabla5[[#This Row],[INVERSIONES FCI]],+Tabla5[[#This Row],[INVERSIONES FCI]]-BI144,Tabla5[[#This Row],[INVERSIONES FCI]])</f>
        <v>2867419631.6186562</v>
      </c>
      <c r="BJ145" s="5">
        <f>IF($B144&lt;=Tabla5[[#This Row],[INVERSIONES FCI]],+Tabla5[[#This Row],[INVERSIONES FCI]]-BJ144,Tabla5[[#This Row],[INVERSIONES FCI]])</f>
        <v>2867419631.6186562</v>
      </c>
      <c r="BK145" s="5">
        <f>IF($B144&lt;=Tabla5[[#This Row],[INVERSIONES FCI]],+Tabla5[[#This Row],[INVERSIONES FCI]]-BK144,Tabla5[[#This Row],[INVERSIONES FCI]])</f>
        <v>2867419631.6186562</v>
      </c>
      <c r="BL145" s="5">
        <f>IF($B144&lt;=Tabla5[[#This Row],[INVERSIONES FCI]],+Tabla5[[#This Row],[INVERSIONES FCI]]-BL144,Tabla5[[#This Row],[INVERSIONES FCI]])</f>
        <v>2867419631.6186562</v>
      </c>
      <c r="BM145" s="5">
        <f>IF($B144&lt;=Tabla5[[#This Row],[INVERSIONES FCI]],+Tabla5[[#This Row],[INVERSIONES FCI]]-BM144,Tabla5[[#This Row],[INVERSIONES FCI]])</f>
        <v>2867419631.6186562</v>
      </c>
      <c r="BN145" s="5">
        <f>IF($B144&lt;=Tabla5[[#This Row],[INVERSIONES FCI]],+Tabla5[[#This Row],[INVERSIONES FCI]]-BN144,Tabla5[[#This Row],[INVERSIONES FCI]])</f>
        <v>2867419631.6186562</v>
      </c>
      <c r="BO145" s="5">
        <f>IF($B144&lt;=Tabla5[[#This Row],[INVERSIONES FCI]],+Tabla5[[#This Row],[INVERSIONES FCI]]-BO144,Tabla5[[#This Row],[INVERSIONES FCI]])</f>
        <v>2867419631.6186562</v>
      </c>
      <c r="BP145" s="5">
        <f>IF($B144&lt;=Tabla5[[#This Row],[INVERSIONES FCI]],+Tabla5[[#This Row],[INVERSIONES FCI]]-BP144,Tabla5[[#This Row],[INVERSIONES FCI]])</f>
        <v>2867419631.6186562</v>
      </c>
      <c r="BQ145" s="5">
        <f>IF($B144&lt;=Tabla5[[#This Row],[INVERSIONES FCI]],+Tabla5[[#This Row],[INVERSIONES FCI]]-BQ144,Tabla5[[#This Row],[INVERSIONES FCI]])</f>
        <v>2867419631.6186562</v>
      </c>
      <c r="BR145" s="5">
        <f>IF($B144&lt;=Tabla5[[#This Row],[INVERSIONES FCI]],+Tabla5[[#This Row],[INVERSIONES FCI]]-BR144,Tabla5[[#This Row],[INVERSIONES FCI]])</f>
        <v>2867419631.6186562</v>
      </c>
      <c r="BS145" s="5">
        <f>IF($B144&lt;=Tabla5[[#This Row],[INVERSIONES FCI]],+Tabla5[[#This Row],[INVERSIONES FCI]]-BS144,Tabla5[[#This Row],[INVERSIONES FCI]])</f>
        <v>2867419631.6186562</v>
      </c>
      <c r="BT145" s="5">
        <f>IF($B144&lt;=Tabla5[[#This Row],[INVERSIONES FCI]],+Tabla5[[#This Row],[INVERSIONES FCI]]-BT144,Tabla5[[#This Row],[INVERSIONES FCI]])</f>
        <v>2867419631.6186562</v>
      </c>
      <c r="BU145" s="5">
        <f>IF($B144&lt;=Tabla5[[#This Row],[INVERSIONES FCI]],+Tabla5[[#This Row],[INVERSIONES FCI]]-BU144,Tabla5[[#This Row],[INVERSIONES FCI]])</f>
        <v>2867419631.6186562</v>
      </c>
      <c r="BV145" s="5">
        <f>IF($B144&lt;=Tabla5[[#This Row],[INVERSIONES FCI]],+Tabla5[[#This Row],[INVERSIONES FCI]]-BV144,Tabla5[[#This Row],[INVERSIONES FCI]])</f>
        <v>2867419631.6186562</v>
      </c>
      <c r="BW145" s="5">
        <f>IF($B144&lt;=Tabla5[[#This Row],[INVERSIONES FCI]],+Tabla5[[#This Row],[INVERSIONES FCI]]-BW144,Tabla5[[#This Row],[INVERSIONES FCI]])</f>
        <v>2867419631.6186562</v>
      </c>
      <c r="BX145" s="5">
        <f>IF($B144&lt;=Tabla5[[#This Row],[INVERSIONES FCI]],+Tabla5[[#This Row],[INVERSIONES FCI]]-BX144,Tabla5[[#This Row],[INVERSIONES FCI]])</f>
        <v>2867419631.6186562</v>
      </c>
      <c r="BY145" s="5">
        <f>IF($B144&lt;=Tabla5[[#This Row],[INVERSIONES FCI]],+Tabla5[[#This Row],[INVERSIONES FCI]]-BY144,Tabla5[[#This Row],[INVERSIONES FCI]])</f>
        <v>2867419631.6186562</v>
      </c>
      <c r="BZ145" s="5">
        <f>IF($B144&lt;=Tabla5[[#This Row],[INVERSIONES FCI]],+Tabla5[[#This Row],[INVERSIONES FCI]]-BZ144,Tabla5[[#This Row],[INVERSIONES FCI]])</f>
        <v>2867419631.6186562</v>
      </c>
      <c r="CA145" s="5">
        <f>IF($B144&lt;=Tabla5[[#This Row],[INVERSIONES FCI]],+Tabla5[[#This Row],[INVERSIONES FCI]]-CA144,Tabla5[[#This Row],[INVERSIONES FCI]])</f>
        <v>2867419631.6186562</v>
      </c>
      <c r="CB145" s="5">
        <f>IF($B144&lt;=Tabla5[[#This Row],[INVERSIONES FCI]],+Tabla5[[#This Row],[INVERSIONES FCI]]-CB144,Tabla5[[#This Row],[INVERSIONES FCI]])</f>
        <v>2867419631.6186562</v>
      </c>
      <c r="CC145" s="5">
        <f>IF($B144&lt;=Tabla5[[#This Row],[INVERSIONES FCI]],+Tabla5[[#This Row],[INVERSIONES FCI]]-CC144,Tabla5[[#This Row],[INVERSIONES FCI]])</f>
        <v>2867419631.6186562</v>
      </c>
      <c r="CD145" s="5">
        <f>IF($B144&lt;=Tabla5[[#This Row],[INVERSIONES FCI]],+Tabla5[[#This Row],[INVERSIONES FCI]]-CD144,Tabla5[[#This Row],[INVERSIONES FCI]])</f>
        <v>2867419631.6186562</v>
      </c>
      <c r="CE145" s="5">
        <f>IF($B144&lt;=Tabla5[[#This Row],[INVERSIONES FCI]],+Tabla5[[#This Row],[INVERSIONES FCI]]-CE144,Tabla5[[#This Row],[INVERSIONES FCI]])</f>
        <v>2867419631.6186562</v>
      </c>
      <c r="CF145" s="5">
        <f>IF($B144&lt;=Tabla5[[#This Row],[INVERSIONES FCI]],+Tabla5[[#This Row],[INVERSIONES FCI]]-CF144,Tabla5[[#This Row],[INVERSIONES FCI]])</f>
        <v>2867419631.6186562</v>
      </c>
      <c r="CG145" s="5">
        <f>IF($B144&lt;=Tabla5[[#This Row],[INVERSIONES FCI]],+Tabla5[[#This Row],[INVERSIONES FCI]]-CG144,Tabla5[[#This Row],[INVERSIONES FCI]])</f>
        <v>2867419631.6186562</v>
      </c>
      <c r="CH145" s="5">
        <f>IF($B144&lt;=Tabla5[[#This Row],[INVERSIONES FCI]],+Tabla5[[#This Row],[INVERSIONES FCI]]-CH144,Tabla5[[#This Row],[INVERSIONES FCI]])</f>
        <v>2867419631.6186562</v>
      </c>
      <c r="CI145" s="5">
        <f>IF($B144&lt;=Tabla5[[#This Row],[INVERSIONES FCI]],+Tabla5[[#This Row],[INVERSIONES FCI]]-CI144,Tabla5[[#This Row],[INVERSIONES FCI]])</f>
        <v>2867419631.6186562</v>
      </c>
      <c r="CJ145" s="5">
        <f>IF($B144&lt;=Tabla5[[#This Row],[INVERSIONES FCI]],+Tabla5[[#This Row],[INVERSIONES FCI]]-CJ144,Tabla5[[#This Row],[INVERSIONES FCI]])</f>
        <v>2867419631.6186562</v>
      </c>
      <c r="CK145" s="5">
        <f>IF($B144&lt;=Tabla5[[#This Row],[INVERSIONES FCI]],+Tabla5[[#This Row],[INVERSIONES FCI]]-CK144,Tabla5[[#This Row],[INVERSIONES FCI]])</f>
        <v>2867419631.6186562</v>
      </c>
      <c r="CL145" s="5">
        <f>IF($B144&lt;=Tabla5[[#This Row],[INVERSIONES FCI]],+Tabla5[[#This Row],[INVERSIONES FCI]]-CL144,Tabla5[[#This Row],[INVERSIONES FCI]])</f>
        <v>2867419631.6186562</v>
      </c>
      <c r="CM145" s="5">
        <f>IF($B144&lt;=Tabla5[[#This Row],[INVERSIONES FCI]],+Tabla5[[#This Row],[INVERSIONES FCI]]-CM144,Tabla5[[#This Row],[INVERSIONES FCI]])</f>
        <v>2867419631.6186562</v>
      </c>
      <c r="CN145" s="5">
        <f>IF($B144&lt;=Tabla5[[#This Row],[INVERSIONES FCI]],+Tabla5[[#This Row],[INVERSIONES FCI]]-CN144,Tabla5[[#This Row],[INVERSIONES FCI]])</f>
        <v>2867419631.6186562</v>
      </c>
      <c r="CO145" s="5">
        <f>IF($B144&lt;=Tabla5[[#This Row],[INVERSIONES FCI]],+Tabla5[[#This Row],[INVERSIONES FCI]]-CO144,Tabla5[[#This Row],[INVERSIONES FCI]])</f>
        <v>2867419631.6186562</v>
      </c>
      <c r="CP145" s="5">
        <f>IF($B144&lt;=Tabla5[[#This Row],[INVERSIONES FCI]],+Tabla5[[#This Row],[INVERSIONES FCI]]-CP144,Tabla5[[#This Row],[INVERSIONES FCI]])</f>
        <v>2867419631.6186562</v>
      </c>
      <c r="CQ145" s="5">
        <f>IF($B144&lt;=Tabla5[[#This Row],[INVERSIONES FCI]],+Tabla5[[#This Row],[INVERSIONES FCI]]-CQ144,Tabla5[[#This Row],[INVERSIONES FCI]])</f>
        <v>2867419631.6186562</v>
      </c>
      <c r="CR145" s="5">
        <f>IF($B144&lt;=Tabla5[[#This Row],[INVERSIONES FCI]],+Tabla5[[#This Row],[INVERSIONES FCI]]-CR144,Tabla5[[#This Row],[INVERSIONES FCI]])</f>
        <v>2867419631.6186562</v>
      </c>
      <c r="CS145" s="5">
        <f>IF($B144&lt;=Tabla5[[#This Row],[INVERSIONES FCI]],+Tabla5[[#This Row],[INVERSIONES FCI]]-CS144,Tabla5[[#This Row],[INVERSIONES FCI]])</f>
        <v>2867419631.6186562</v>
      </c>
      <c r="CT145" s="5">
        <f>IF($B144&lt;=Tabla5[[#This Row],[INVERSIONES FCI]],+Tabla5[[#This Row],[INVERSIONES FCI]]-CT144,Tabla5[[#This Row],[INVERSIONES FCI]])</f>
        <v>2867419631.6186562</v>
      </c>
      <c r="CU145" s="5">
        <f>IF($B144&lt;=Tabla5[[#This Row],[INVERSIONES FCI]],+Tabla5[[#This Row],[INVERSIONES FCI]]-CU144,Tabla5[[#This Row],[INVERSIONES FCI]])</f>
        <v>2867419631.6186562</v>
      </c>
      <c r="CV145" s="5">
        <f>IF($B144&lt;=Tabla5[[#This Row],[INVERSIONES FCI]],+Tabla5[[#This Row],[INVERSIONES FCI]]-CV144,Tabla5[[#This Row],[INVERSIONES FCI]])</f>
        <v>2867419631.6186562</v>
      </c>
      <c r="CW145" s="5">
        <f>IF($B144&lt;=Tabla5[[#This Row],[INVERSIONES FCI]],+Tabla5[[#This Row],[INVERSIONES FCI]]-CW144,Tabla5[[#This Row],[INVERSIONES FCI]])</f>
        <v>2867419631.6186562</v>
      </c>
      <c r="CX145" s="5">
        <f>IF($B144&lt;=Tabla5[[#This Row],[INVERSIONES FCI]],+Tabla5[[#This Row],[INVERSIONES FCI]]-CX144,Tabla5[[#This Row],[INVERSIONES FCI]])</f>
        <v>2867419631.6186562</v>
      </c>
      <c r="CY145" s="5">
        <f>IF($B144&lt;=Tabla5[[#This Row],[INVERSIONES FCI]],+Tabla5[[#This Row],[INVERSIONES FCI]]-CY144,Tabla5[[#This Row],[INVERSIONES FCI]])</f>
        <v>2867419631.6186562</v>
      </c>
      <c r="CZ145" s="5">
        <f>IF($B144&lt;=Tabla5[[#This Row],[INVERSIONES FCI]],+Tabla5[[#This Row],[INVERSIONES FCI]]-CZ144,Tabla5[[#This Row],[INVERSIONES FCI]])</f>
        <v>2867419631.6186562</v>
      </c>
      <c r="DA145" s="5">
        <f>IF($B144&lt;=Tabla5[[#This Row],[INVERSIONES FCI]],+Tabla5[[#This Row],[INVERSIONES FCI]]-DA144,Tabla5[[#This Row],[INVERSIONES FCI]])</f>
        <v>2867419631.6186562</v>
      </c>
      <c r="DB145" s="5">
        <f>IF($B144&lt;=Tabla5[[#This Row],[INVERSIONES FCI]],+Tabla5[[#This Row],[INVERSIONES FCI]]-DB144,Tabla5[[#This Row],[INVERSIONES FCI]])</f>
        <v>2867419631.6186562</v>
      </c>
      <c r="DC145" s="5">
        <f>IF($B144&lt;=Tabla5[[#This Row],[INVERSIONES FCI]],+Tabla5[[#This Row],[INVERSIONES FCI]]-DC144,Tabla5[[#This Row],[INVERSIONES FCI]])</f>
        <v>2867419631.6186562</v>
      </c>
      <c r="DD145" s="5">
        <f>IF($B144&lt;=Tabla5[[#This Row],[INVERSIONES FCI]],+Tabla5[[#This Row],[INVERSIONES FCI]]-DD144,Tabla5[[#This Row],[INVERSIONES FCI]])</f>
        <v>2867419631.6186562</v>
      </c>
      <c r="DE145" s="5">
        <f>IF($B144&lt;=Tabla5[[#This Row],[INVERSIONES FCI]],+Tabla5[[#This Row],[INVERSIONES FCI]]-DE144,Tabla5[[#This Row],[INVERSIONES FCI]])</f>
        <v>2867419631.6186562</v>
      </c>
      <c r="DF145" s="5">
        <f>IF($B144&lt;=Tabla5[[#This Row],[INVERSIONES FCI]],+Tabla5[[#This Row],[INVERSIONES FCI]]-DF144,Tabla5[[#This Row],[INVERSIONES FCI]])</f>
        <v>2867419631.6186562</v>
      </c>
      <c r="DG145" s="5">
        <f>IF($B144&lt;=Tabla5[[#This Row],[INVERSIONES FCI]],+Tabla5[[#This Row],[INVERSIONES FCI]]-DG144,Tabla5[[#This Row],[INVERSIONES FCI]])</f>
        <v>2867419631.6186562</v>
      </c>
      <c r="DH145" s="5">
        <f>IF($B144&lt;=Tabla5[[#This Row],[INVERSIONES FCI]],+Tabla5[[#This Row],[INVERSIONES FCI]]-DH144,Tabla5[[#This Row],[INVERSIONES FCI]])</f>
        <v>2867419631.6186562</v>
      </c>
      <c r="DI145" s="5">
        <f>IF($B144&lt;=Tabla5[[#This Row],[INVERSIONES FCI]],+Tabla5[[#This Row],[INVERSIONES FCI]]-DI144,Tabla5[[#This Row],[INVERSIONES FCI]])</f>
        <v>2867419631.6186562</v>
      </c>
      <c r="DJ145" s="5">
        <f>IF($B144&lt;=Tabla5[[#This Row],[INVERSIONES FCI]],+Tabla5[[#This Row],[INVERSIONES FCI]]-DJ144,Tabla5[[#This Row],[INVERSIONES FCI]])</f>
        <v>2867419631.6186562</v>
      </c>
      <c r="DK145" s="5">
        <f>IF($B144&lt;=Tabla5[[#This Row],[INVERSIONES FCI]],+Tabla5[[#This Row],[INVERSIONES FCI]]-DK144,Tabla5[[#This Row],[INVERSIONES FCI]])</f>
        <v>2867419631.6186562</v>
      </c>
      <c r="DL145" s="5"/>
      <c r="DM145" s="5"/>
      <c r="DN145" s="5"/>
      <c r="DO145" s="5"/>
      <c r="DP145" s="5"/>
      <c r="DQ145" s="5"/>
    </row>
    <row r="146" spans="1:121" ht="14.4">
      <c r="A146" s="12" t="s">
        <v>145</v>
      </c>
      <c r="B146" s="5">
        <f>HLOOKUP($A146,ESCENARIO[#All],7,FALSE)</f>
        <v>32204640618.596096</v>
      </c>
      <c r="C146" s="5">
        <f>IF($B145&lt;=Tabla5[[#This Row],[INVERSIONES FCI]],+Tabla5[[#This Row],[INVERSIONES FCI]]-C145,Tabla5[[#This Row],[INVERSIONES FCI]])</f>
        <v>29337220986.97744</v>
      </c>
      <c r="D146" s="5">
        <f>IF($B145&lt;=Tabla5[[#This Row],[INVERSIONES FCI]],+Tabla5[[#This Row],[INVERSIONES FCI]]-D145,Tabla5[[#This Row],[INVERSIONES FCI]])</f>
        <v>29337220986.97744</v>
      </c>
      <c r="E146" s="5">
        <f>IF($B145&lt;=Tabla5[[#This Row],[INVERSIONES FCI]],+Tabla5[[#This Row],[INVERSIONES FCI]]-E145,Tabla5[[#This Row],[INVERSIONES FCI]])</f>
        <v>29337220986.97744</v>
      </c>
      <c r="F146" s="5">
        <f>IF($B145&lt;=Tabla5[[#This Row],[INVERSIONES FCI]],+Tabla5[[#This Row],[INVERSIONES FCI]]-F145,Tabla5[[#This Row],[INVERSIONES FCI]])</f>
        <v>29337220986.97744</v>
      </c>
      <c r="G146" s="5">
        <f>IF($B145&lt;=Tabla5[[#This Row],[INVERSIONES FCI]],+Tabla5[[#This Row],[INVERSIONES FCI]]-G145,Tabla5[[#This Row],[INVERSIONES FCI]])</f>
        <v>29337220986.97744</v>
      </c>
      <c r="H146" s="5">
        <f>IF($B145&lt;=Tabla5[[#This Row],[INVERSIONES FCI]],+Tabla5[[#This Row],[INVERSIONES FCI]]-H145,Tabla5[[#This Row],[INVERSIONES FCI]])</f>
        <v>29337220986.97744</v>
      </c>
      <c r="I146" s="5">
        <f>IF($B145&lt;=Tabla5[[#This Row],[INVERSIONES FCI]],+Tabla5[[#This Row],[INVERSIONES FCI]]-I145,Tabla5[[#This Row],[INVERSIONES FCI]])</f>
        <v>29337220986.97744</v>
      </c>
      <c r="J146" s="5">
        <f>IF($B145&lt;=Tabla5[[#This Row],[INVERSIONES FCI]],+Tabla5[[#This Row],[INVERSIONES FCI]]-J145,Tabla5[[#This Row],[INVERSIONES FCI]])</f>
        <v>29337220986.97744</v>
      </c>
      <c r="K146" s="5">
        <f>IF($B145&lt;=Tabla5[[#This Row],[INVERSIONES FCI]],+Tabla5[[#This Row],[INVERSIONES FCI]]-K145,Tabla5[[#This Row],[INVERSIONES FCI]])</f>
        <v>29337220986.97744</v>
      </c>
      <c r="L146" s="5">
        <f>IF($B145&lt;=Tabla5[[#This Row],[INVERSIONES FCI]],+Tabla5[[#This Row],[INVERSIONES FCI]]-L145,Tabla5[[#This Row],[INVERSIONES FCI]])</f>
        <v>29337220986.97744</v>
      </c>
      <c r="M146" s="5">
        <f>IF($B145&lt;=Tabla5[[#This Row],[INVERSIONES FCI]],+Tabla5[[#This Row],[INVERSIONES FCI]]-M145,Tabla5[[#This Row],[INVERSIONES FCI]])</f>
        <v>29337220986.97744</v>
      </c>
      <c r="N146" s="5">
        <f>IF($B145&lt;=Tabla5[[#This Row],[INVERSIONES FCI]],+Tabla5[[#This Row],[INVERSIONES FCI]]-N145,Tabla5[[#This Row],[INVERSIONES FCI]])</f>
        <v>29337220986.97744</v>
      </c>
      <c r="O146" s="5">
        <f>IF($B145&lt;=Tabla5[[#This Row],[INVERSIONES FCI]],+Tabla5[[#This Row],[INVERSIONES FCI]]-O145,Tabla5[[#This Row],[INVERSIONES FCI]])</f>
        <v>29337220986.97744</v>
      </c>
      <c r="P146" s="5">
        <f>IF($B145&lt;=Tabla5[[#This Row],[INVERSIONES FCI]],+Tabla5[[#This Row],[INVERSIONES FCI]]-P145,Tabla5[[#This Row],[INVERSIONES FCI]])</f>
        <v>29337220986.97744</v>
      </c>
      <c r="Q146" s="5">
        <f>IF($B145&lt;=Tabla5[[#This Row],[INVERSIONES FCI]],+Tabla5[[#This Row],[INVERSIONES FCI]]-Q145,Tabla5[[#This Row],[INVERSIONES FCI]])</f>
        <v>29337220986.97744</v>
      </c>
      <c r="R146" s="5">
        <f>IF($B145&lt;=Tabla5[[#This Row],[INVERSIONES FCI]],+Tabla5[[#This Row],[INVERSIONES FCI]]-R145,Tabla5[[#This Row],[INVERSIONES FCI]])</f>
        <v>29337220986.97744</v>
      </c>
      <c r="S146" s="5">
        <f>IF($B145&lt;=Tabla5[[#This Row],[INVERSIONES FCI]],+Tabla5[[#This Row],[INVERSIONES FCI]]-S145,Tabla5[[#This Row],[INVERSIONES FCI]])</f>
        <v>29337220986.97744</v>
      </c>
      <c r="T146" s="5">
        <f>IF($B145&lt;=Tabla5[[#This Row],[INVERSIONES FCI]],+Tabla5[[#This Row],[INVERSIONES FCI]]-T145,Tabla5[[#This Row],[INVERSIONES FCI]])</f>
        <v>29337220986.97744</v>
      </c>
      <c r="U146" s="5">
        <f>IF($B145&lt;=Tabla5[[#This Row],[INVERSIONES FCI]],+Tabla5[[#This Row],[INVERSIONES FCI]]-U145,Tabla5[[#This Row],[INVERSIONES FCI]])</f>
        <v>29337220986.97744</v>
      </c>
      <c r="V146" s="5">
        <f>IF($B145&lt;=Tabla5[[#This Row],[INVERSIONES FCI]],+Tabla5[[#This Row],[INVERSIONES FCI]]-V145,Tabla5[[#This Row],[INVERSIONES FCI]])</f>
        <v>29337220986.97744</v>
      </c>
      <c r="W146" s="5">
        <f>IF($B145&lt;=Tabla5[[#This Row],[INVERSIONES FCI]],+Tabla5[[#This Row],[INVERSIONES FCI]]-W145,Tabla5[[#This Row],[INVERSIONES FCI]])</f>
        <v>29337220986.97744</v>
      </c>
      <c r="X146" s="5">
        <f>IF($B145&lt;=Tabla5[[#This Row],[INVERSIONES FCI]],+Tabla5[[#This Row],[INVERSIONES FCI]]-X145,Tabla5[[#This Row],[INVERSIONES FCI]])</f>
        <v>29337220986.97744</v>
      </c>
      <c r="Y146" s="5">
        <f>IF($B145&lt;=Tabla5[[#This Row],[INVERSIONES FCI]],+Tabla5[[#This Row],[INVERSIONES FCI]]-Y145,Tabla5[[#This Row],[INVERSIONES FCI]])</f>
        <v>29337220986.97744</v>
      </c>
      <c r="Z146" s="5">
        <f>IF($B145&lt;=Tabla5[[#This Row],[INVERSIONES FCI]],+Tabla5[[#This Row],[INVERSIONES FCI]]-Z145,Tabla5[[#This Row],[INVERSIONES FCI]])</f>
        <v>29337220986.97744</v>
      </c>
      <c r="AA146" s="5">
        <f>IF($B145&lt;=Tabla5[[#This Row],[INVERSIONES FCI]],+Tabla5[[#This Row],[INVERSIONES FCI]]-AA145,Tabla5[[#This Row],[INVERSIONES FCI]])</f>
        <v>29337220986.97744</v>
      </c>
      <c r="AB146" s="5">
        <f>IF($B145&lt;=Tabla5[[#This Row],[INVERSIONES FCI]],+Tabla5[[#This Row],[INVERSIONES FCI]]-AB145,Tabla5[[#This Row],[INVERSIONES FCI]])</f>
        <v>29337220986.97744</v>
      </c>
      <c r="AC146" s="5">
        <f>IF($B145&lt;=Tabla5[[#This Row],[INVERSIONES FCI]],+Tabla5[[#This Row],[INVERSIONES FCI]]-AC145,Tabla5[[#This Row],[INVERSIONES FCI]])</f>
        <v>29337220986.97744</v>
      </c>
      <c r="AD146" s="5">
        <f>IF($B145&lt;=Tabla5[[#This Row],[INVERSIONES FCI]],+Tabla5[[#This Row],[INVERSIONES FCI]]-AD145,Tabla5[[#This Row],[INVERSIONES FCI]])</f>
        <v>29337220986.97744</v>
      </c>
      <c r="AE146" s="5">
        <f>IF($B145&lt;=Tabla5[[#This Row],[INVERSIONES FCI]],+Tabla5[[#This Row],[INVERSIONES FCI]]-AE145,Tabla5[[#This Row],[INVERSIONES FCI]])</f>
        <v>29337220986.97744</v>
      </c>
      <c r="AF146" s="5">
        <f>IF($B145&lt;=Tabla5[[#This Row],[INVERSIONES FCI]],+Tabla5[[#This Row],[INVERSIONES FCI]]-AF145,Tabla5[[#This Row],[INVERSIONES FCI]])</f>
        <v>29337220986.97744</v>
      </c>
      <c r="AG146" s="5">
        <f>IF($B145&lt;=Tabla5[[#This Row],[INVERSIONES FCI]],+Tabla5[[#This Row],[INVERSIONES FCI]]-AG145,Tabla5[[#This Row],[INVERSIONES FCI]])</f>
        <v>29337220986.97744</v>
      </c>
      <c r="AH146" s="5">
        <f>IF($B145&lt;=Tabla5[[#This Row],[INVERSIONES FCI]],+Tabla5[[#This Row],[INVERSIONES FCI]]-AH145,Tabla5[[#This Row],[INVERSIONES FCI]])</f>
        <v>29337220986.97744</v>
      </c>
      <c r="AI146" s="5">
        <f>IF($B145&lt;=Tabla5[[#This Row],[INVERSIONES FCI]],+Tabla5[[#This Row],[INVERSIONES FCI]]-AI145,Tabla5[[#This Row],[INVERSIONES FCI]])</f>
        <v>29337220986.97744</v>
      </c>
      <c r="AJ146" s="5">
        <f>IF($B145&lt;=Tabla5[[#This Row],[INVERSIONES FCI]],+Tabla5[[#This Row],[INVERSIONES FCI]]-AJ145,Tabla5[[#This Row],[INVERSIONES FCI]])</f>
        <v>29337220986.97744</v>
      </c>
      <c r="AK146" s="5">
        <f>IF($B145&lt;=Tabla5[[#This Row],[INVERSIONES FCI]],+Tabla5[[#This Row],[INVERSIONES FCI]]-AK145,Tabla5[[#This Row],[INVERSIONES FCI]])</f>
        <v>29337220986.97744</v>
      </c>
      <c r="AL146" s="5">
        <f>IF($B145&lt;=Tabla5[[#This Row],[INVERSIONES FCI]],+Tabla5[[#This Row],[INVERSIONES FCI]]-AL145,Tabla5[[#This Row],[INVERSIONES FCI]])</f>
        <v>29337220986.97744</v>
      </c>
      <c r="AM146" s="5">
        <f>IF($B145&lt;=Tabla5[[#This Row],[INVERSIONES FCI]],+Tabla5[[#This Row],[INVERSIONES FCI]]-AM145,Tabla5[[#This Row],[INVERSIONES FCI]])</f>
        <v>29337220986.97744</v>
      </c>
      <c r="AN146" s="5">
        <f>IF($B145&lt;=Tabla5[[#This Row],[INVERSIONES FCI]],+Tabla5[[#This Row],[INVERSIONES FCI]]-AN145,Tabla5[[#This Row],[INVERSIONES FCI]])</f>
        <v>29337220986.97744</v>
      </c>
      <c r="AO146" s="5">
        <f>IF($B145&lt;=Tabla5[[#This Row],[INVERSIONES FCI]],+Tabla5[[#This Row],[INVERSIONES FCI]]-AO145,Tabla5[[#This Row],[INVERSIONES FCI]])</f>
        <v>29337220986.97744</v>
      </c>
      <c r="AP146" s="5">
        <f>IF($B145&lt;=Tabla5[[#This Row],[INVERSIONES FCI]],+Tabla5[[#This Row],[INVERSIONES FCI]]-AP145,Tabla5[[#This Row],[INVERSIONES FCI]])</f>
        <v>29337220986.97744</v>
      </c>
      <c r="AQ146" s="5">
        <f>IF($B145&lt;=Tabla5[[#This Row],[INVERSIONES FCI]],+Tabla5[[#This Row],[INVERSIONES FCI]]-AQ145,Tabla5[[#This Row],[INVERSIONES FCI]])</f>
        <v>29337220986.97744</v>
      </c>
      <c r="AR146" s="5">
        <f>IF($B145&lt;=Tabla5[[#This Row],[INVERSIONES FCI]],+Tabla5[[#This Row],[INVERSIONES FCI]]-AR145,Tabla5[[#This Row],[INVERSIONES FCI]])</f>
        <v>29337220986.97744</v>
      </c>
      <c r="AS146" s="5">
        <f>IF($B145&lt;=Tabla5[[#This Row],[INVERSIONES FCI]],+Tabla5[[#This Row],[INVERSIONES FCI]]-AS145,Tabla5[[#This Row],[INVERSIONES FCI]])</f>
        <v>29337220986.97744</v>
      </c>
      <c r="AT146" s="5">
        <f>IF($B145&lt;=Tabla5[[#This Row],[INVERSIONES FCI]],+Tabla5[[#This Row],[INVERSIONES FCI]]-AT145,Tabla5[[#This Row],[INVERSIONES FCI]])</f>
        <v>29337220986.97744</v>
      </c>
      <c r="AU146" s="5">
        <f>IF($B145&lt;=Tabla5[[#This Row],[INVERSIONES FCI]],+Tabla5[[#This Row],[INVERSIONES FCI]]-AU145,Tabla5[[#This Row],[INVERSIONES FCI]])</f>
        <v>29337220986.97744</v>
      </c>
      <c r="AV146" s="5">
        <f>IF($B145&lt;=Tabla5[[#This Row],[INVERSIONES FCI]],+Tabla5[[#This Row],[INVERSIONES FCI]]-AV145,Tabla5[[#This Row],[INVERSIONES FCI]])</f>
        <v>29337220986.97744</v>
      </c>
      <c r="AW146" s="5">
        <f>IF($B145&lt;=Tabla5[[#This Row],[INVERSIONES FCI]],+Tabla5[[#This Row],[INVERSIONES FCI]]-AW145,Tabla5[[#This Row],[INVERSIONES FCI]])</f>
        <v>29337220986.97744</v>
      </c>
      <c r="AX146" s="5">
        <f>IF($B145&lt;=Tabla5[[#This Row],[INVERSIONES FCI]],+Tabla5[[#This Row],[INVERSIONES FCI]]-AX145,Tabla5[[#This Row],[INVERSIONES FCI]])</f>
        <v>29337220986.97744</v>
      </c>
      <c r="AY146" s="5">
        <f>IF($B145&lt;=Tabla5[[#This Row],[INVERSIONES FCI]],+Tabla5[[#This Row],[INVERSIONES FCI]]-AY145,Tabla5[[#This Row],[INVERSIONES FCI]])</f>
        <v>29337220986.97744</v>
      </c>
      <c r="AZ146" s="5">
        <f>IF($B145&lt;=Tabla5[[#This Row],[INVERSIONES FCI]],+Tabla5[[#This Row],[INVERSIONES FCI]]-AZ145,Tabla5[[#This Row],[INVERSIONES FCI]])</f>
        <v>29337220986.97744</v>
      </c>
      <c r="BA146" s="5">
        <f>IF($B145&lt;=Tabla5[[#This Row],[INVERSIONES FCI]],+Tabla5[[#This Row],[INVERSIONES FCI]]-BA145,Tabla5[[#This Row],[INVERSIONES FCI]])</f>
        <v>29337220986.97744</v>
      </c>
      <c r="BB146" s="5">
        <f>IF($B145&lt;=Tabla5[[#This Row],[INVERSIONES FCI]],+Tabla5[[#This Row],[INVERSIONES FCI]]-BB145,Tabla5[[#This Row],[INVERSIONES FCI]])</f>
        <v>29337220986.97744</v>
      </c>
      <c r="BC146" s="5">
        <f>IF($B145&lt;=Tabla5[[#This Row],[INVERSIONES FCI]],+Tabla5[[#This Row],[INVERSIONES FCI]]-BC145,Tabla5[[#This Row],[INVERSIONES FCI]])</f>
        <v>29337220986.97744</v>
      </c>
      <c r="BD146" s="5">
        <f>IF($B145&lt;=Tabla5[[#This Row],[INVERSIONES FCI]],+Tabla5[[#This Row],[INVERSIONES FCI]]-BD145,Tabla5[[#This Row],[INVERSIONES FCI]])</f>
        <v>29337220986.97744</v>
      </c>
      <c r="BE146" s="5">
        <f>IF($B145&lt;=Tabla5[[#This Row],[INVERSIONES FCI]],+Tabla5[[#This Row],[INVERSIONES FCI]]-BE145,Tabla5[[#This Row],[INVERSIONES FCI]])</f>
        <v>29337220986.97744</v>
      </c>
      <c r="BF146" s="5">
        <f>IF($B145&lt;=Tabla5[[#This Row],[INVERSIONES FCI]],+Tabla5[[#This Row],[INVERSIONES FCI]]-BF145,Tabla5[[#This Row],[INVERSIONES FCI]])</f>
        <v>29337220986.97744</v>
      </c>
      <c r="BG146" s="5">
        <f>IF($B145&lt;=Tabla5[[#This Row],[INVERSIONES FCI]],+Tabla5[[#This Row],[INVERSIONES FCI]]-BG145,Tabla5[[#This Row],[INVERSIONES FCI]])</f>
        <v>29337220986.97744</v>
      </c>
      <c r="BH146" s="5">
        <f>IF($B145&lt;=Tabla5[[#This Row],[INVERSIONES FCI]],+Tabla5[[#This Row],[INVERSIONES FCI]]-BH145,Tabla5[[#This Row],[INVERSIONES FCI]])</f>
        <v>29337220986.97744</v>
      </c>
      <c r="BI146" s="5">
        <f>IF($B145&lt;=Tabla5[[#This Row],[INVERSIONES FCI]],+Tabla5[[#This Row],[INVERSIONES FCI]]-BI145,Tabla5[[#This Row],[INVERSIONES FCI]])</f>
        <v>29337220986.97744</v>
      </c>
      <c r="BJ146" s="5">
        <f>IF($B145&lt;=Tabla5[[#This Row],[INVERSIONES FCI]],+Tabla5[[#This Row],[INVERSIONES FCI]]-BJ145,Tabla5[[#This Row],[INVERSIONES FCI]])</f>
        <v>29337220986.97744</v>
      </c>
      <c r="BK146" s="5">
        <f>IF($B145&lt;=Tabla5[[#This Row],[INVERSIONES FCI]],+Tabla5[[#This Row],[INVERSIONES FCI]]-BK145,Tabla5[[#This Row],[INVERSIONES FCI]])</f>
        <v>29337220986.97744</v>
      </c>
      <c r="BL146" s="5">
        <f>IF($B145&lt;=Tabla5[[#This Row],[INVERSIONES FCI]],+Tabla5[[#This Row],[INVERSIONES FCI]]-BL145,Tabla5[[#This Row],[INVERSIONES FCI]])</f>
        <v>29337220986.97744</v>
      </c>
      <c r="BM146" s="5">
        <f>IF($B145&lt;=Tabla5[[#This Row],[INVERSIONES FCI]],+Tabla5[[#This Row],[INVERSIONES FCI]]-BM145,Tabla5[[#This Row],[INVERSIONES FCI]])</f>
        <v>29337220986.97744</v>
      </c>
      <c r="BN146" s="5">
        <f>IF($B145&lt;=Tabla5[[#This Row],[INVERSIONES FCI]],+Tabla5[[#This Row],[INVERSIONES FCI]]-BN145,Tabla5[[#This Row],[INVERSIONES FCI]])</f>
        <v>29337220986.97744</v>
      </c>
      <c r="BO146" s="5">
        <f>IF($B145&lt;=Tabla5[[#This Row],[INVERSIONES FCI]],+Tabla5[[#This Row],[INVERSIONES FCI]]-BO145,Tabla5[[#This Row],[INVERSIONES FCI]])</f>
        <v>29337220986.97744</v>
      </c>
      <c r="BP146" s="5">
        <f>IF($B145&lt;=Tabla5[[#This Row],[INVERSIONES FCI]],+Tabla5[[#This Row],[INVERSIONES FCI]]-BP145,Tabla5[[#This Row],[INVERSIONES FCI]])</f>
        <v>29337220986.97744</v>
      </c>
      <c r="BQ146" s="5">
        <f>IF($B145&lt;=Tabla5[[#This Row],[INVERSIONES FCI]],+Tabla5[[#This Row],[INVERSIONES FCI]]-BQ145,Tabla5[[#This Row],[INVERSIONES FCI]])</f>
        <v>29337220986.97744</v>
      </c>
      <c r="BR146" s="5">
        <f>IF($B145&lt;=Tabla5[[#This Row],[INVERSIONES FCI]],+Tabla5[[#This Row],[INVERSIONES FCI]]-BR145,Tabla5[[#This Row],[INVERSIONES FCI]])</f>
        <v>29337220986.97744</v>
      </c>
      <c r="BS146" s="5">
        <f>IF($B145&lt;=Tabla5[[#This Row],[INVERSIONES FCI]],+Tabla5[[#This Row],[INVERSIONES FCI]]-BS145,Tabla5[[#This Row],[INVERSIONES FCI]])</f>
        <v>29337220986.97744</v>
      </c>
      <c r="BT146" s="5">
        <f>IF($B145&lt;=Tabla5[[#This Row],[INVERSIONES FCI]],+Tabla5[[#This Row],[INVERSIONES FCI]]-BT145,Tabla5[[#This Row],[INVERSIONES FCI]])</f>
        <v>29337220986.97744</v>
      </c>
      <c r="BU146" s="5">
        <f>IF($B145&lt;=Tabla5[[#This Row],[INVERSIONES FCI]],+Tabla5[[#This Row],[INVERSIONES FCI]]-BU145,Tabla5[[#This Row],[INVERSIONES FCI]])</f>
        <v>29337220986.97744</v>
      </c>
      <c r="BV146" s="5">
        <f>IF($B145&lt;=Tabla5[[#This Row],[INVERSIONES FCI]],+Tabla5[[#This Row],[INVERSIONES FCI]]-BV145,Tabla5[[#This Row],[INVERSIONES FCI]])</f>
        <v>29337220986.97744</v>
      </c>
      <c r="BW146" s="5">
        <f>IF($B145&lt;=Tabla5[[#This Row],[INVERSIONES FCI]],+Tabla5[[#This Row],[INVERSIONES FCI]]-BW145,Tabla5[[#This Row],[INVERSIONES FCI]])</f>
        <v>29337220986.97744</v>
      </c>
      <c r="BX146" s="5">
        <f>IF($B145&lt;=Tabla5[[#This Row],[INVERSIONES FCI]],+Tabla5[[#This Row],[INVERSIONES FCI]]-BX145,Tabla5[[#This Row],[INVERSIONES FCI]])</f>
        <v>29337220986.97744</v>
      </c>
      <c r="BY146" s="5">
        <f>IF($B145&lt;=Tabla5[[#This Row],[INVERSIONES FCI]],+Tabla5[[#This Row],[INVERSIONES FCI]]-BY145,Tabla5[[#This Row],[INVERSIONES FCI]])</f>
        <v>29337220986.97744</v>
      </c>
      <c r="BZ146" s="5">
        <f>IF($B145&lt;=Tabla5[[#This Row],[INVERSIONES FCI]],+Tabla5[[#This Row],[INVERSIONES FCI]]-BZ145,Tabla5[[#This Row],[INVERSIONES FCI]])</f>
        <v>29337220986.97744</v>
      </c>
      <c r="CA146" s="5">
        <f>IF($B145&lt;=Tabla5[[#This Row],[INVERSIONES FCI]],+Tabla5[[#This Row],[INVERSIONES FCI]]-CA145,Tabla5[[#This Row],[INVERSIONES FCI]])</f>
        <v>29337220986.97744</v>
      </c>
      <c r="CB146" s="5">
        <f>IF($B145&lt;=Tabla5[[#This Row],[INVERSIONES FCI]],+Tabla5[[#This Row],[INVERSIONES FCI]]-CB145,Tabla5[[#This Row],[INVERSIONES FCI]])</f>
        <v>29337220986.97744</v>
      </c>
      <c r="CC146" s="5">
        <f>IF($B145&lt;=Tabla5[[#This Row],[INVERSIONES FCI]],+Tabla5[[#This Row],[INVERSIONES FCI]]-CC145,Tabla5[[#This Row],[INVERSIONES FCI]])</f>
        <v>29337220986.97744</v>
      </c>
      <c r="CD146" s="5">
        <f>IF($B145&lt;=Tabla5[[#This Row],[INVERSIONES FCI]],+Tabla5[[#This Row],[INVERSIONES FCI]]-CD145,Tabla5[[#This Row],[INVERSIONES FCI]])</f>
        <v>29337220986.97744</v>
      </c>
      <c r="CE146" s="5">
        <f>IF($B145&lt;=Tabla5[[#This Row],[INVERSIONES FCI]],+Tabla5[[#This Row],[INVERSIONES FCI]]-CE145,Tabla5[[#This Row],[INVERSIONES FCI]])</f>
        <v>29337220986.97744</v>
      </c>
      <c r="CF146" s="5">
        <f>IF($B145&lt;=Tabla5[[#This Row],[INVERSIONES FCI]],+Tabla5[[#This Row],[INVERSIONES FCI]]-CF145,Tabla5[[#This Row],[INVERSIONES FCI]])</f>
        <v>29337220986.97744</v>
      </c>
      <c r="CG146" s="5">
        <f>IF($B145&lt;=Tabla5[[#This Row],[INVERSIONES FCI]],+Tabla5[[#This Row],[INVERSIONES FCI]]-CG145,Tabla5[[#This Row],[INVERSIONES FCI]])</f>
        <v>29337220986.97744</v>
      </c>
      <c r="CH146" s="5">
        <f>IF($B145&lt;=Tabla5[[#This Row],[INVERSIONES FCI]],+Tabla5[[#This Row],[INVERSIONES FCI]]-CH145,Tabla5[[#This Row],[INVERSIONES FCI]])</f>
        <v>29337220986.97744</v>
      </c>
      <c r="CI146" s="5">
        <f>IF($B145&lt;=Tabla5[[#This Row],[INVERSIONES FCI]],+Tabla5[[#This Row],[INVERSIONES FCI]]-CI145,Tabla5[[#This Row],[INVERSIONES FCI]])</f>
        <v>29337220986.97744</v>
      </c>
      <c r="CJ146" s="5">
        <f>IF($B145&lt;=Tabla5[[#This Row],[INVERSIONES FCI]],+Tabla5[[#This Row],[INVERSIONES FCI]]-CJ145,Tabla5[[#This Row],[INVERSIONES FCI]])</f>
        <v>29337220986.97744</v>
      </c>
      <c r="CK146" s="5">
        <f>IF($B145&lt;=Tabla5[[#This Row],[INVERSIONES FCI]],+Tabla5[[#This Row],[INVERSIONES FCI]]-CK145,Tabla5[[#This Row],[INVERSIONES FCI]])</f>
        <v>29337220986.97744</v>
      </c>
      <c r="CL146" s="5">
        <f>IF($B145&lt;=Tabla5[[#This Row],[INVERSIONES FCI]],+Tabla5[[#This Row],[INVERSIONES FCI]]-CL145,Tabla5[[#This Row],[INVERSIONES FCI]])</f>
        <v>29337220986.97744</v>
      </c>
      <c r="CM146" s="5">
        <f>IF($B145&lt;=Tabla5[[#This Row],[INVERSIONES FCI]],+Tabla5[[#This Row],[INVERSIONES FCI]]-CM145,Tabla5[[#This Row],[INVERSIONES FCI]])</f>
        <v>29337220986.97744</v>
      </c>
      <c r="CN146" s="5">
        <f>IF($B145&lt;=Tabla5[[#This Row],[INVERSIONES FCI]],+Tabla5[[#This Row],[INVERSIONES FCI]]-CN145,Tabla5[[#This Row],[INVERSIONES FCI]])</f>
        <v>29337220986.97744</v>
      </c>
      <c r="CO146" s="5">
        <f>IF($B145&lt;=Tabla5[[#This Row],[INVERSIONES FCI]],+Tabla5[[#This Row],[INVERSIONES FCI]]-CO145,Tabla5[[#This Row],[INVERSIONES FCI]])</f>
        <v>29337220986.97744</v>
      </c>
      <c r="CP146" s="5">
        <f>IF($B145&lt;=Tabla5[[#This Row],[INVERSIONES FCI]],+Tabla5[[#This Row],[INVERSIONES FCI]]-CP145,Tabla5[[#This Row],[INVERSIONES FCI]])</f>
        <v>29337220986.97744</v>
      </c>
      <c r="CQ146" s="5">
        <f>IF($B145&lt;=Tabla5[[#This Row],[INVERSIONES FCI]],+Tabla5[[#This Row],[INVERSIONES FCI]]-CQ145,Tabla5[[#This Row],[INVERSIONES FCI]])</f>
        <v>29337220986.97744</v>
      </c>
      <c r="CR146" s="5">
        <f>IF($B145&lt;=Tabla5[[#This Row],[INVERSIONES FCI]],+Tabla5[[#This Row],[INVERSIONES FCI]]-CR145,Tabla5[[#This Row],[INVERSIONES FCI]])</f>
        <v>29337220986.97744</v>
      </c>
      <c r="CS146" s="5">
        <f>IF($B145&lt;=Tabla5[[#This Row],[INVERSIONES FCI]],+Tabla5[[#This Row],[INVERSIONES FCI]]-CS145,Tabla5[[#This Row],[INVERSIONES FCI]])</f>
        <v>29337220986.97744</v>
      </c>
      <c r="CT146" s="5">
        <f>IF($B145&lt;=Tabla5[[#This Row],[INVERSIONES FCI]],+Tabla5[[#This Row],[INVERSIONES FCI]]-CT145,Tabla5[[#This Row],[INVERSIONES FCI]])</f>
        <v>29337220986.97744</v>
      </c>
      <c r="CU146" s="5">
        <f>IF($B145&lt;=Tabla5[[#This Row],[INVERSIONES FCI]],+Tabla5[[#This Row],[INVERSIONES FCI]]-CU145,Tabla5[[#This Row],[INVERSIONES FCI]])</f>
        <v>29337220986.97744</v>
      </c>
      <c r="CV146" s="5">
        <f>IF($B145&lt;=Tabla5[[#This Row],[INVERSIONES FCI]],+Tabla5[[#This Row],[INVERSIONES FCI]]-CV145,Tabla5[[#This Row],[INVERSIONES FCI]])</f>
        <v>29337220986.97744</v>
      </c>
      <c r="CW146" s="5">
        <f>IF($B145&lt;=Tabla5[[#This Row],[INVERSIONES FCI]],+Tabla5[[#This Row],[INVERSIONES FCI]]-CW145,Tabla5[[#This Row],[INVERSIONES FCI]])</f>
        <v>29337220986.97744</v>
      </c>
      <c r="CX146" s="5">
        <f>IF($B145&lt;=Tabla5[[#This Row],[INVERSIONES FCI]],+Tabla5[[#This Row],[INVERSIONES FCI]]-CX145,Tabla5[[#This Row],[INVERSIONES FCI]])</f>
        <v>29337220986.97744</v>
      </c>
      <c r="CY146" s="5">
        <f>IF($B145&lt;=Tabla5[[#This Row],[INVERSIONES FCI]],+Tabla5[[#This Row],[INVERSIONES FCI]]-CY145,Tabla5[[#This Row],[INVERSIONES FCI]])</f>
        <v>29337220986.97744</v>
      </c>
      <c r="CZ146" s="5">
        <f>IF($B145&lt;=Tabla5[[#This Row],[INVERSIONES FCI]],+Tabla5[[#This Row],[INVERSIONES FCI]]-CZ145,Tabla5[[#This Row],[INVERSIONES FCI]])</f>
        <v>29337220986.97744</v>
      </c>
      <c r="DA146" s="5">
        <f>IF($B145&lt;=Tabla5[[#This Row],[INVERSIONES FCI]],+Tabla5[[#This Row],[INVERSIONES FCI]]-DA145,Tabla5[[#This Row],[INVERSIONES FCI]])</f>
        <v>29337220986.97744</v>
      </c>
      <c r="DB146" s="5">
        <f>IF($B145&lt;=Tabla5[[#This Row],[INVERSIONES FCI]],+Tabla5[[#This Row],[INVERSIONES FCI]]-DB145,Tabla5[[#This Row],[INVERSIONES FCI]])</f>
        <v>29337220986.97744</v>
      </c>
      <c r="DC146" s="5">
        <f>IF($B145&lt;=Tabla5[[#This Row],[INVERSIONES FCI]],+Tabla5[[#This Row],[INVERSIONES FCI]]-DC145,Tabla5[[#This Row],[INVERSIONES FCI]])</f>
        <v>29337220986.97744</v>
      </c>
      <c r="DD146" s="5">
        <f>IF($B145&lt;=Tabla5[[#This Row],[INVERSIONES FCI]],+Tabla5[[#This Row],[INVERSIONES FCI]]-DD145,Tabla5[[#This Row],[INVERSIONES FCI]])</f>
        <v>29337220986.97744</v>
      </c>
      <c r="DE146" s="5">
        <f>IF($B145&lt;=Tabla5[[#This Row],[INVERSIONES FCI]],+Tabla5[[#This Row],[INVERSIONES FCI]]-DE145,Tabla5[[#This Row],[INVERSIONES FCI]])</f>
        <v>29337220986.97744</v>
      </c>
      <c r="DF146" s="5">
        <f>IF($B145&lt;=Tabla5[[#This Row],[INVERSIONES FCI]],+Tabla5[[#This Row],[INVERSIONES FCI]]-DF145,Tabla5[[#This Row],[INVERSIONES FCI]])</f>
        <v>29337220986.97744</v>
      </c>
      <c r="DG146" s="5">
        <f>IF($B145&lt;=Tabla5[[#This Row],[INVERSIONES FCI]],+Tabla5[[#This Row],[INVERSIONES FCI]]-DG145,Tabla5[[#This Row],[INVERSIONES FCI]])</f>
        <v>29337220986.97744</v>
      </c>
      <c r="DH146" s="5">
        <f>IF($B145&lt;=Tabla5[[#This Row],[INVERSIONES FCI]],+Tabla5[[#This Row],[INVERSIONES FCI]]-DH145,Tabla5[[#This Row],[INVERSIONES FCI]])</f>
        <v>29337220986.97744</v>
      </c>
      <c r="DI146" s="5">
        <f>IF($B145&lt;=Tabla5[[#This Row],[INVERSIONES FCI]],+Tabla5[[#This Row],[INVERSIONES FCI]]-DI145,Tabla5[[#This Row],[INVERSIONES FCI]])</f>
        <v>29337220986.97744</v>
      </c>
      <c r="DJ146" s="5">
        <f>IF($B145&lt;=Tabla5[[#This Row],[INVERSIONES FCI]],+Tabla5[[#This Row],[INVERSIONES FCI]]-DJ145,Tabla5[[#This Row],[INVERSIONES FCI]])</f>
        <v>29337220986.97744</v>
      </c>
      <c r="DK146" s="5">
        <f>IF($B145&lt;=Tabla5[[#This Row],[INVERSIONES FCI]],+Tabla5[[#This Row],[INVERSIONES FCI]]-DK145,Tabla5[[#This Row],[INVERSIONES FCI]])</f>
        <v>29337220986.97744</v>
      </c>
      <c r="DL146" s="5"/>
      <c r="DM146" s="5"/>
      <c r="DN146" s="5"/>
      <c r="DO146" s="5"/>
      <c r="DP146" s="5"/>
      <c r="DQ146" s="5"/>
    </row>
    <row r="147" spans="1:121" ht="14.4">
      <c r="A147" s="12" t="s">
        <v>146</v>
      </c>
      <c r="B147" s="5">
        <f>HLOOKUP($A147,ESCENARIO[#All],7,FALSE)</f>
        <v>35266176675.665558</v>
      </c>
      <c r="C147" s="5">
        <f>IF($B146&lt;=Tabla5[[#This Row],[INVERSIONES FCI]],+Tabla5[[#This Row],[INVERSIONES FCI]]-C146,Tabla5[[#This Row],[INVERSIONES FCI]])</f>
        <v>5928955688.688118</v>
      </c>
      <c r="D147" s="5">
        <f>IF($B146&lt;=Tabla5[[#This Row],[INVERSIONES FCI]],+Tabla5[[#This Row],[INVERSIONES FCI]]-D146,Tabla5[[#This Row],[INVERSIONES FCI]])</f>
        <v>5928955688.688118</v>
      </c>
      <c r="E147" s="5">
        <f>IF($B146&lt;=Tabla5[[#This Row],[INVERSIONES FCI]],+Tabla5[[#This Row],[INVERSIONES FCI]]-E146,Tabla5[[#This Row],[INVERSIONES FCI]])</f>
        <v>5928955688.688118</v>
      </c>
      <c r="F147" s="5">
        <f>IF($B146&lt;=Tabla5[[#This Row],[INVERSIONES FCI]],+Tabla5[[#This Row],[INVERSIONES FCI]]-F146,Tabla5[[#This Row],[INVERSIONES FCI]])</f>
        <v>5928955688.688118</v>
      </c>
      <c r="G147" s="5">
        <f>IF($B146&lt;=Tabla5[[#This Row],[INVERSIONES FCI]],+Tabla5[[#This Row],[INVERSIONES FCI]]-G146,Tabla5[[#This Row],[INVERSIONES FCI]])</f>
        <v>5928955688.688118</v>
      </c>
      <c r="H147" s="5">
        <f>IF($B146&lt;=Tabla5[[#This Row],[INVERSIONES FCI]],+Tabla5[[#This Row],[INVERSIONES FCI]]-H146,Tabla5[[#This Row],[INVERSIONES FCI]])</f>
        <v>5928955688.688118</v>
      </c>
      <c r="I147" s="5">
        <f>IF($B146&lt;=Tabla5[[#This Row],[INVERSIONES FCI]],+Tabla5[[#This Row],[INVERSIONES FCI]]-I146,Tabla5[[#This Row],[INVERSIONES FCI]])</f>
        <v>5928955688.688118</v>
      </c>
      <c r="J147" s="5">
        <f>IF($B146&lt;=Tabla5[[#This Row],[INVERSIONES FCI]],+Tabla5[[#This Row],[INVERSIONES FCI]]-J146,Tabla5[[#This Row],[INVERSIONES FCI]])</f>
        <v>5928955688.688118</v>
      </c>
      <c r="K147" s="5">
        <f>IF($B146&lt;=Tabla5[[#This Row],[INVERSIONES FCI]],+Tabla5[[#This Row],[INVERSIONES FCI]]-K146,Tabla5[[#This Row],[INVERSIONES FCI]])</f>
        <v>5928955688.688118</v>
      </c>
      <c r="L147" s="5">
        <f>IF($B146&lt;=Tabla5[[#This Row],[INVERSIONES FCI]],+Tabla5[[#This Row],[INVERSIONES FCI]]-L146,Tabla5[[#This Row],[INVERSIONES FCI]])</f>
        <v>5928955688.688118</v>
      </c>
      <c r="M147" s="5">
        <f>IF($B146&lt;=Tabla5[[#This Row],[INVERSIONES FCI]],+Tabla5[[#This Row],[INVERSIONES FCI]]-M146,Tabla5[[#This Row],[INVERSIONES FCI]])</f>
        <v>5928955688.688118</v>
      </c>
      <c r="N147" s="5">
        <f>IF($B146&lt;=Tabla5[[#This Row],[INVERSIONES FCI]],+Tabla5[[#This Row],[INVERSIONES FCI]]-N146,Tabla5[[#This Row],[INVERSIONES FCI]])</f>
        <v>5928955688.688118</v>
      </c>
      <c r="O147" s="5">
        <f>IF($B146&lt;=Tabla5[[#This Row],[INVERSIONES FCI]],+Tabla5[[#This Row],[INVERSIONES FCI]]-O146,Tabla5[[#This Row],[INVERSIONES FCI]])</f>
        <v>5928955688.688118</v>
      </c>
      <c r="P147" s="5">
        <f>IF($B146&lt;=Tabla5[[#This Row],[INVERSIONES FCI]],+Tabla5[[#This Row],[INVERSIONES FCI]]-P146,Tabla5[[#This Row],[INVERSIONES FCI]])</f>
        <v>5928955688.688118</v>
      </c>
      <c r="Q147" s="5">
        <f>IF($B146&lt;=Tabla5[[#This Row],[INVERSIONES FCI]],+Tabla5[[#This Row],[INVERSIONES FCI]]-Q146,Tabla5[[#This Row],[INVERSIONES FCI]])</f>
        <v>5928955688.688118</v>
      </c>
      <c r="R147" s="5">
        <f>IF($B146&lt;=Tabla5[[#This Row],[INVERSIONES FCI]],+Tabla5[[#This Row],[INVERSIONES FCI]]-R146,Tabla5[[#This Row],[INVERSIONES FCI]])</f>
        <v>5928955688.688118</v>
      </c>
      <c r="S147" s="5">
        <f>IF($B146&lt;=Tabla5[[#This Row],[INVERSIONES FCI]],+Tabla5[[#This Row],[INVERSIONES FCI]]-S146,Tabla5[[#This Row],[INVERSIONES FCI]])</f>
        <v>5928955688.688118</v>
      </c>
      <c r="T147" s="5">
        <f>IF($B146&lt;=Tabla5[[#This Row],[INVERSIONES FCI]],+Tabla5[[#This Row],[INVERSIONES FCI]]-T146,Tabla5[[#This Row],[INVERSIONES FCI]])</f>
        <v>5928955688.688118</v>
      </c>
      <c r="U147" s="5">
        <f>IF($B146&lt;=Tabla5[[#This Row],[INVERSIONES FCI]],+Tabla5[[#This Row],[INVERSIONES FCI]]-U146,Tabla5[[#This Row],[INVERSIONES FCI]])</f>
        <v>5928955688.688118</v>
      </c>
      <c r="V147" s="5">
        <f>IF($B146&lt;=Tabla5[[#This Row],[INVERSIONES FCI]],+Tabla5[[#This Row],[INVERSIONES FCI]]-V146,Tabla5[[#This Row],[INVERSIONES FCI]])</f>
        <v>5928955688.688118</v>
      </c>
      <c r="W147" s="5">
        <f>IF($B146&lt;=Tabla5[[#This Row],[INVERSIONES FCI]],+Tabla5[[#This Row],[INVERSIONES FCI]]-W146,Tabla5[[#This Row],[INVERSIONES FCI]])</f>
        <v>5928955688.688118</v>
      </c>
      <c r="X147" s="5">
        <f>IF($B146&lt;=Tabla5[[#This Row],[INVERSIONES FCI]],+Tabla5[[#This Row],[INVERSIONES FCI]]-X146,Tabla5[[#This Row],[INVERSIONES FCI]])</f>
        <v>5928955688.688118</v>
      </c>
      <c r="Y147" s="5">
        <f>IF($B146&lt;=Tabla5[[#This Row],[INVERSIONES FCI]],+Tabla5[[#This Row],[INVERSIONES FCI]]-Y146,Tabla5[[#This Row],[INVERSIONES FCI]])</f>
        <v>5928955688.688118</v>
      </c>
      <c r="Z147" s="5">
        <f>IF($B146&lt;=Tabla5[[#This Row],[INVERSIONES FCI]],+Tabla5[[#This Row],[INVERSIONES FCI]]-Z146,Tabla5[[#This Row],[INVERSIONES FCI]])</f>
        <v>5928955688.688118</v>
      </c>
      <c r="AA147" s="5">
        <f>IF($B146&lt;=Tabla5[[#This Row],[INVERSIONES FCI]],+Tabla5[[#This Row],[INVERSIONES FCI]]-AA146,Tabla5[[#This Row],[INVERSIONES FCI]])</f>
        <v>5928955688.688118</v>
      </c>
      <c r="AB147" s="5">
        <f>IF($B146&lt;=Tabla5[[#This Row],[INVERSIONES FCI]],+Tabla5[[#This Row],[INVERSIONES FCI]]-AB146,Tabla5[[#This Row],[INVERSIONES FCI]])</f>
        <v>5928955688.688118</v>
      </c>
      <c r="AC147" s="5">
        <f>IF($B146&lt;=Tabla5[[#This Row],[INVERSIONES FCI]],+Tabla5[[#This Row],[INVERSIONES FCI]]-AC146,Tabla5[[#This Row],[INVERSIONES FCI]])</f>
        <v>5928955688.688118</v>
      </c>
      <c r="AD147" s="5">
        <f>IF($B146&lt;=Tabla5[[#This Row],[INVERSIONES FCI]],+Tabla5[[#This Row],[INVERSIONES FCI]]-AD146,Tabla5[[#This Row],[INVERSIONES FCI]])</f>
        <v>5928955688.688118</v>
      </c>
      <c r="AE147" s="5">
        <f>IF($B146&lt;=Tabla5[[#This Row],[INVERSIONES FCI]],+Tabla5[[#This Row],[INVERSIONES FCI]]-AE146,Tabla5[[#This Row],[INVERSIONES FCI]])</f>
        <v>5928955688.688118</v>
      </c>
      <c r="AF147" s="5">
        <f>IF($B146&lt;=Tabla5[[#This Row],[INVERSIONES FCI]],+Tabla5[[#This Row],[INVERSIONES FCI]]-AF146,Tabla5[[#This Row],[INVERSIONES FCI]])</f>
        <v>5928955688.688118</v>
      </c>
      <c r="AG147" s="5">
        <f>IF($B146&lt;=Tabla5[[#This Row],[INVERSIONES FCI]],+Tabla5[[#This Row],[INVERSIONES FCI]]-AG146,Tabla5[[#This Row],[INVERSIONES FCI]])</f>
        <v>5928955688.688118</v>
      </c>
      <c r="AH147" s="5">
        <f>IF($B146&lt;=Tabla5[[#This Row],[INVERSIONES FCI]],+Tabla5[[#This Row],[INVERSIONES FCI]]-AH146,Tabla5[[#This Row],[INVERSIONES FCI]])</f>
        <v>5928955688.688118</v>
      </c>
      <c r="AI147" s="5">
        <f>IF($B146&lt;=Tabla5[[#This Row],[INVERSIONES FCI]],+Tabla5[[#This Row],[INVERSIONES FCI]]-AI146,Tabla5[[#This Row],[INVERSIONES FCI]])</f>
        <v>5928955688.688118</v>
      </c>
      <c r="AJ147" s="5">
        <f>IF($B146&lt;=Tabla5[[#This Row],[INVERSIONES FCI]],+Tabla5[[#This Row],[INVERSIONES FCI]]-AJ146,Tabla5[[#This Row],[INVERSIONES FCI]])</f>
        <v>5928955688.688118</v>
      </c>
      <c r="AK147" s="5">
        <f>IF($B146&lt;=Tabla5[[#This Row],[INVERSIONES FCI]],+Tabla5[[#This Row],[INVERSIONES FCI]]-AK146,Tabla5[[#This Row],[INVERSIONES FCI]])</f>
        <v>5928955688.688118</v>
      </c>
      <c r="AL147" s="5">
        <f>IF($B146&lt;=Tabla5[[#This Row],[INVERSIONES FCI]],+Tabla5[[#This Row],[INVERSIONES FCI]]-AL146,Tabla5[[#This Row],[INVERSIONES FCI]])</f>
        <v>5928955688.688118</v>
      </c>
      <c r="AM147" s="5">
        <f>IF($B146&lt;=Tabla5[[#This Row],[INVERSIONES FCI]],+Tabla5[[#This Row],[INVERSIONES FCI]]-AM146,Tabla5[[#This Row],[INVERSIONES FCI]])</f>
        <v>5928955688.688118</v>
      </c>
      <c r="AN147" s="5">
        <f>IF($B146&lt;=Tabla5[[#This Row],[INVERSIONES FCI]],+Tabla5[[#This Row],[INVERSIONES FCI]]-AN146,Tabla5[[#This Row],[INVERSIONES FCI]])</f>
        <v>5928955688.688118</v>
      </c>
      <c r="AO147" s="5">
        <f>IF($B146&lt;=Tabla5[[#This Row],[INVERSIONES FCI]],+Tabla5[[#This Row],[INVERSIONES FCI]]-AO146,Tabla5[[#This Row],[INVERSIONES FCI]])</f>
        <v>5928955688.688118</v>
      </c>
      <c r="AP147" s="5">
        <f>IF($B146&lt;=Tabla5[[#This Row],[INVERSIONES FCI]],+Tabla5[[#This Row],[INVERSIONES FCI]]-AP146,Tabla5[[#This Row],[INVERSIONES FCI]])</f>
        <v>5928955688.688118</v>
      </c>
      <c r="AQ147" s="5">
        <f>IF($B146&lt;=Tabla5[[#This Row],[INVERSIONES FCI]],+Tabla5[[#This Row],[INVERSIONES FCI]]-AQ146,Tabla5[[#This Row],[INVERSIONES FCI]])</f>
        <v>5928955688.688118</v>
      </c>
      <c r="AR147" s="5">
        <f>IF($B146&lt;=Tabla5[[#This Row],[INVERSIONES FCI]],+Tabla5[[#This Row],[INVERSIONES FCI]]-AR146,Tabla5[[#This Row],[INVERSIONES FCI]])</f>
        <v>5928955688.688118</v>
      </c>
      <c r="AS147" s="5">
        <f>IF($B146&lt;=Tabla5[[#This Row],[INVERSIONES FCI]],+Tabla5[[#This Row],[INVERSIONES FCI]]-AS146,Tabla5[[#This Row],[INVERSIONES FCI]])</f>
        <v>5928955688.688118</v>
      </c>
      <c r="AT147" s="5">
        <f>IF($B146&lt;=Tabla5[[#This Row],[INVERSIONES FCI]],+Tabla5[[#This Row],[INVERSIONES FCI]]-AT146,Tabla5[[#This Row],[INVERSIONES FCI]])</f>
        <v>5928955688.688118</v>
      </c>
      <c r="AU147" s="5">
        <f>IF($B146&lt;=Tabla5[[#This Row],[INVERSIONES FCI]],+Tabla5[[#This Row],[INVERSIONES FCI]]-AU146,Tabla5[[#This Row],[INVERSIONES FCI]])</f>
        <v>5928955688.688118</v>
      </c>
      <c r="AV147" s="5">
        <f>IF($B146&lt;=Tabla5[[#This Row],[INVERSIONES FCI]],+Tabla5[[#This Row],[INVERSIONES FCI]]-AV146,Tabla5[[#This Row],[INVERSIONES FCI]])</f>
        <v>5928955688.688118</v>
      </c>
      <c r="AW147" s="5">
        <f>IF($B146&lt;=Tabla5[[#This Row],[INVERSIONES FCI]],+Tabla5[[#This Row],[INVERSIONES FCI]]-AW146,Tabla5[[#This Row],[INVERSIONES FCI]])</f>
        <v>5928955688.688118</v>
      </c>
      <c r="AX147" s="5">
        <f>IF($B146&lt;=Tabla5[[#This Row],[INVERSIONES FCI]],+Tabla5[[#This Row],[INVERSIONES FCI]]-AX146,Tabla5[[#This Row],[INVERSIONES FCI]])</f>
        <v>5928955688.688118</v>
      </c>
      <c r="AY147" s="5">
        <f>IF($B146&lt;=Tabla5[[#This Row],[INVERSIONES FCI]],+Tabla5[[#This Row],[INVERSIONES FCI]]-AY146,Tabla5[[#This Row],[INVERSIONES FCI]])</f>
        <v>5928955688.688118</v>
      </c>
      <c r="AZ147" s="5">
        <f>IF($B146&lt;=Tabla5[[#This Row],[INVERSIONES FCI]],+Tabla5[[#This Row],[INVERSIONES FCI]]-AZ146,Tabla5[[#This Row],[INVERSIONES FCI]])</f>
        <v>5928955688.688118</v>
      </c>
      <c r="BA147" s="5">
        <f>IF($B146&lt;=Tabla5[[#This Row],[INVERSIONES FCI]],+Tabla5[[#This Row],[INVERSIONES FCI]]-BA146,Tabla5[[#This Row],[INVERSIONES FCI]])</f>
        <v>5928955688.688118</v>
      </c>
      <c r="BB147" s="5">
        <f>IF($B146&lt;=Tabla5[[#This Row],[INVERSIONES FCI]],+Tabla5[[#This Row],[INVERSIONES FCI]]-BB146,Tabla5[[#This Row],[INVERSIONES FCI]])</f>
        <v>5928955688.688118</v>
      </c>
      <c r="BC147" s="5">
        <f>IF($B146&lt;=Tabla5[[#This Row],[INVERSIONES FCI]],+Tabla5[[#This Row],[INVERSIONES FCI]]-BC146,Tabla5[[#This Row],[INVERSIONES FCI]])</f>
        <v>5928955688.688118</v>
      </c>
      <c r="BD147" s="5">
        <f>IF($B146&lt;=Tabla5[[#This Row],[INVERSIONES FCI]],+Tabla5[[#This Row],[INVERSIONES FCI]]-BD146,Tabla5[[#This Row],[INVERSIONES FCI]])</f>
        <v>5928955688.688118</v>
      </c>
      <c r="BE147" s="5">
        <f>IF($B146&lt;=Tabla5[[#This Row],[INVERSIONES FCI]],+Tabla5[[#This Row],[INVERSIONES FCI]]-BE146,Tabla5[[#This Row],[INVERSIONES FCI]])</f>
        <v>5928955688.688118</v>
      </c>
      <c r="BF147" s="5">
        <f>IF($B146&lt;=Tabla5[[#This Row],[INVERSIONES FCI]],+Tabla5[[#This Row],[INVERSIONES FCI]]-BF146,Tabla5[[#This Row],[INVERSIONES FCI]])</f>
        <v>5928955688.688118</v>
      </c>
      <c r="BG147" s="5">
        <f>IF($B146&lt;=Tabla5[[#This Row],[INVERSIONES FCI]],+Tabla5[[#This Row],[INVERSIONES FCI]]-BG146,Tabla5[[#This Row],[INVERSIONES FCI]])</f>
        <v>5928955688.688118</v>
      </c>
      <c r="BH147" s="5">
        <f>IF($B146&lt;=Tabla5[[#This Row],[INVERSIONES FCI]],+Tabla5[[#This Row],[INVERSIONES FCI]]-BH146,Tabla5[[#This Row],[INVERSIONES FCI]])</f>
        <v>5928955688.688118</v>
      </c>
      <c r="BI147" s="5">
        <f>IF($B146&lt;=Tabla5[[#This Row],[INVERSIONES FCI]],+Tabla5[[#This Row],[INVERSIONES FCI]]-BI146,Tabla5[[#This Row],[INVERSIONES FCI]])</f>
        <v>5928955688.688118</v>
      </c>
      <c r="BJ147" s="5">
        <f>IF($B146&lt;=Tabla5[[#This Row],[INVERSIONES FCI]],+Tabla5[[#This Row],[INVERSIONES FCI]]-BJ146,Tabla5[[#This Row],[INVERSIONES FCI]])</f>
        <v>5928955688.688118</v>
      </c>
      <c r="BK147" s="5">
        <f>IF($B146&lt;=Tabla5[[#This Row],[INVERSIONES FCI]],+Tabla5[[#This Row],[INVERSIONES FCI]]-BK146,Tabla5[[#This Row],[INVERSIONES FCI]])</f>
        <v>5928955688.688118</v>
      </c>
      <c r="BL147" s="5">
        <f>IF($B146&lt;=Tabla5[[#This Row],[INVERSIONES FCI]],+Tabla5[[#This Row],[INVERSIONES FCI]]-BL146,Tabla5[[#This Row],[INVERSIONES FCI]])</f>
        <v>5928955688.688118</v>
      </c>
      <c r="BM147" s="5">
        <f>IF($B146&lt;=Tabla5[[#This Row],[INVERSIONES FCI]],+Tabla5[[#This Row],[INVERSIONES FCI]]-BM146,Tabla5[[#This Row],[INVERSIONES FCI]])</f>
        <v>5928955688.688118</v>
      </c>
      <c r="BN147" s="5">
        <f>IF($B146&lt;=Tabla5[[#This Row],[INVERSIONES FCI]],+Tabla5[[#This Row],[INVERSIONES FCI]]-BN146,Tabla5[[#This Row],[INVERSIONES FCI]])</f>
        <v>5928955688.688118</v>
      </c>
      <c r="BO147" s="5">
        <f>IF($B146&lt;=Tabla5[[#This Row],[INVERSIONES FCI]],+Tabla5[[#This Row],[INVERSIONES FCI]]-BO146,Tabla5[[#This Row],[INVERSIONES FCI]])</f>
        <v>5928955688.688118</v>
      </c>
      <c r="BP147" s="5">
        <f>IF($B146&lt;=Tabla5[[#This Row],[INVERSIONES FCI]],+Tabla5[[#This Row],[INVERSIONES FCI]]-BP146,Tabla5[[#This Row],[INVERSIONES FCI]])</f>
        <v>5928955688.688118</v>
      </c>
      <c r="BQ147" s="5">
        <f>IF($B146&lt;=Tabla5[[#This Row],[INVERSIONES FCI]],+Tabla5[[#This Row],[INVERSIONES FCI]]-BQ146,Tabla5[[#This Row],[INVERSIONES FCI]])</f>
        <v>5928955688.688118</v>
      </c>
      <c r="BR147" s="5">
        <f>IF($B146&lt;=Tabla5[[#This Row],[INVERSIONES FCI]],+Tabla5[[#This Row],[INVERSIONES FCI]]-BR146,Tabla5[[#This Row],[INVERSIONES FCI]])</f>
        <v>5928955688.688118</v>
      </c>
      <c r="BS147" s="5">
        <f>IF($B146&lt;=Tabla5[[#This Row],[INVERSIONES FCI]],+Tabla5[[#This Row],[INVERSIONES FCI]]-BS146,Tabla5[[#This Row],[INVERSIONES FCI]])</f>
        <v>5928955688.688118</v>
      </c>
      <c r="BT147" s="5">
        <f>IF($B146&lt;=Tabla5[[#This Row],[INVERSIONES FCI]],+Tabla5[[#This Row],[INVERSIONES FCI]]-BT146,Tabla5[[#This Row],[INVERSIONES FCI]])</f>
        <v>5928955688.688118</v>
      </c>
      <c r="BU147" s="5">
        <f>IF($B146&lt;=Tabla5[[#This Row],[INVERSIONES FCI]],+Tabla5[[#This Row],[INVERSIONES FCI]]-BU146,Tabla5[[#This Row],[INVERSIONES FCI]])</f>
        <v>5928955688.688118</v>
      </c>
      <c r="BV147" s="5">
        <f>IF($B146&lt;=Tabla5[[#This Row],[INVERSIONES FCI]],+Tabla5[[#This Row],[INVERSIONES FCI]]-BV146,Tabla5[[#This Row],[INVERSIONES FCI]])</f>
        <v>5928955688.688118</v>
      </c>
      <c r="BW147" s="5">
        <f>IF($B146&lt;=Tabla5[[#This Row],[INVERSIONES FCI]],+Tabla5[[#This Row],[INVERSIONES FCI]]-BW146,Tabla5[[#This Row],[INVERSIONES FCI]])</f>
        <v>5928955688.688118</v>
      </c>
      <c r="BX147" s="5">
        <f>IF($B146&lt;=Tabla5[[#This Row],[INVERSIONES FCI]],+Tabla5[[#This Row],[INVERSIONES FCI]]-BX146,Tabla5[[#This Row],[INVERSIONES FCI]])</f>
        <v>5928955688.688118</v>
      </c>
      <c r="BY147" s="5">
        <f>IF($B146&lt;=Tabla5[[#This Row],[INVERSIONES FCI]],+Tabla5[[#This Row],[INVERSIONES FCI]]-BY146,Tabla5[[#This Row],[INVERSIONES FCI]])</f>
        <v>5928955688.688118</v>
      </c>
      <c r="BZ147" s="5">
        <f>IF($B146&lt;=Tabla5[[#This Row],[INVERSIONES FCI]],+Tabla5[[#This Row],[INVERSIONES FCI]]-BZ146,Tabla5[[#This Row],[INVERSIONES FCI]])</f>
        <v>5928955688.688118</v>
      </c>
      <c r="CA147" s="5">
        <f>IF($B146&lt;=Tabla5[[#This Row],[INVERSIONES FCI]],+Tabla5[[#This Row],[INVERSIONES FCI]]-CA146,Tabla5[[#This Row],[INVERSIONES FCI]])</f>
        <v>5928955688.688118</v>
      </c>
      <c r="CB147" s="5">
        <f>IF($B146&lt;=Tabla5[[#This Row],[INVERSIONES FCI]],+Tabla5[[#This Row],[INVERSIONES FCI]]-CB146,Tabla5[[#This Row],[INVERSIONES FCI]])</f>
        <v>5928955688.688118</v>
      </c>
      <c r="CC147" s="5">
        <f>IF($B146&lt;=Tabla5[[#This Row],[INVERSIONES FCI]],+Tabla5[[#This Row],[INVERSIONES FCI]]-CC146,Tabla5[[#This Row],[INVERSIONES FCI]])</f>
        <v>5928955688.688118</v>
      </c>
      <c r="CD147" s="5">
        <f>IF($B146&lt;=Tabla5[[#This Row],[INVERSIONES FCI]],+Tabla5[[#This Row],[INVERSIONES FCI]]-CD146,Tabla5[[#This Row],[INVERSIONES FCI]])</f>
        <v>5928955688.688118</v>
      </c>
      <c r="CE147" s="5">
        <f>IF($B146&lt;=Tabla5[[#This Row],[INVERSIONES FCI]],+Tabla5[[#This Row],[INVERSIONES FCI]]-CE146,Tabla5[[#This Row],[INVERSIONES FCI]])</f>
        <v>5928955688.688118</v>
      </c>
      <c r="CF147" s="5">
        <f>IF($B146&lt;=Tabla5[[#This Row],[INVERSIONES FCI]],+Tabla5[[#This Row],[INVERSIONES FCI]]-CF146,Tabla5[[#This Row],[INVERSIONES FCI]])</f>
        <v>5928955688.688118</v>
      </c>
      <c r="CG147" s="5">
        <f>IF($B146&lt;=Tabla5[[#This Row],[INVERSIONES FCI]],+Tabla5[[#This Row],[INVERSIONES FCI]]-CG146,Tabla5[[#This Row],[INVERSIONES FCI]])</f>
        <v>5928955688.688118</v>
      </c>
      <c r="CH147" s="5">
        <f>IF($B146&lt;=Tabla5[[#This Row],[INVERSIONES FCI]],+Tabla5[[#This Row],[INVERSIONES FCI]]-CH146,Tabla5[[#This Row],[INVERSIONES FCI]])</f>
        <v>5928955688.688118</v>
      </c>
      <c r="CI147" s="5">
        <f>IF($B146&lt;=Tabla5[[#This Row],[INVERSIONES FCI]],+Tabla5[[#This Row],[INVERSIONES FCI]]-CI146,Tabla5[[#This Row],[INVERSIONES FCI]])</f>
        <v>5928955688.688118</v>
      </c>
      <c r="CJ147" s="5">
        <f>IF($B146&lt;=Tabla5[[#This Row],[INVERSIONES FCI]],+Tabla5[[#This Row],[INVERSIONES FCI]]-CJ146,Tabla5[[#This Row],[INVERSIONES FCI]])</f>
        <v>5928955688.688118</v>
      </c>
      <c r="CK147" s="5">
        <f>IF($B146&lt;=Tabla5[[#This Row],[INVERSIONES FCI]],+Tabla5[[#This Row],[INVERSIONES FCI]]-CK146,Tabla5[[#This Row],[INVERSIONES FCI]])</f>
        <v>5928955688.688118</v>
      </c>
      <c r="CL147" s="5">
        <f>IF($B146&lt;=Tabla5[[#This Row],[INVERSIONES FCI]],+Tabla5[[#This Row],[INVERSIONES FCI]]-CL146,Tabla5[[#This Row],[INVERSIONES FCI]])</f>
        <v>5928955688.688118</v>
      </c>
      <c r="CM147" s="5">
        <f>IF($B146&lt;=Tabla5[[#This Row],[INVERSIONES FCI]],+Tabla5[[#This Row],[INVERSIONES FCI]]-CM146,Tabla5[[#This Row],[INVERSIONES FCI]])</f>
        <v>5928955688.688118</v>
      </c>
      <c r="CN147" s="5">
        <f>IF($B146&lt;=Tabla5[[#This Row],[INVERSIONES FCI]],+Tabla5[[#This Row],[INVERSIONES FCI]]-CN146,Tabla5[[#This Row],[INVERSIONES FCI]])</f>
        <v>5928955688.688118</v>
      </c>
      <c r="CO147" s="5">
        <f>IF($B146&lt;=Tabla5[[#This Row],[INVERSIONES FCI]],+Tabla5[[#This Row],[INVERSIONES FCI]]-CO146,Tabla5[[#This Row],[INVERSIONES FCI]])</f>
        <v>5928955688.688118</v>
      </c>
      <c r="CP147" s="5">
        <f>IF($B146&lt;=Tabla5[[#This Row],[INVERSIONES FCI]],+Tabla5[[#This Row],[INVERSIONES FCI]]-CP146,Tabla5[[#This Row],[INVERSIONES FCI]])</f>
        <v>5928955688.688118</v>
      </c>
      <c r="CQ147" s="5">
        <f>IF($B146&lt;=Tabla5[[#This Row],[INVERSIONES FCI]],+Tabla5[[#This Row],[INVERSIONES FCI]]-CQ146,Tabla5[[#This Row],[INVERSIONES FCI]])</f>
        <v>5928955688.688118</v>
      </c>
      <c r="CR147" s="5">
        <f>IF($B146&lt;=Tabla5[[#This Row],[INVERSIONES FCI]],+Tabla5[[#This Row],[INVERSIONES FCI]]-CR146,Tabla5[[#This Row],[INVERSIONES FCI]])</f>
        <v>5928955688.688118</v>
      </c>
      <c r="CS147" s="5">
        <f>IF($B146&lt;=Tabla5[[#This Row],[INVERSIONES FCI]],+Tabla5[[#This Row],[INVERSIONES FCI]]-CS146,Tabla5[[#This Row],[INVERSIONES FCI]])</f>
        <v>5928955688.688118</v>
      </c>
      <c r="CT147" s="5">
        <f>IF($B146&lt;=Tabla5[[#This Row],[INVERSIONES FCI]],+Tabla5[[#This Row],[INVERSIONES FCI]]-CT146,Tabla5[[#This Row],[INVERSIONES FCI]])</f>
        <v>5928955688.688118</v>
      </c>
      <c r="CU147" s="5">
        <f>IF($B146&lt;=Tabla5[[#This Row],[INVERSIONES FCI]],+Tabla5[[#This Row],[INVERSIONES FCI]]-CU146,Tabla5[[#This Row],[INVERSIONES FCI]])</f>
        <v>5928955688.688118</v>
      </c>
      <c r="CV147" s="5">
        <f>IF($B146&lt;=Tabla5[[#This Row],[INVERSIONES FCI]],+Tabla5[[#This Row],[INVERSIONES FCI]]-CV146,Tabla5[[#This Row],[INVERSIONES FCI]])</f>
        <v>5928955688.688118</v>
      </c>
      <c r="CW147" s="5">
        <f>IF($B146&lt;=Tabla5[[#This Row],[INVERSIONES FCI]],+Tabla5[[#This Row],[INVERSIONES FCI]]-CW146,Tabla5[[#This Row],[INVERSIONES FCI]])</f>
        <v>5928955688.688118</v>
      </c>
      <c r="CX147" s="5">
        <f>IF($B146&lt;=Tabla5[[#This Row],[INVERSIONES FCI]],+Tabla5[[#This Row],[INVERSIONES FCI]]-CX146,Tabla5[[#This Row],[INVERSIONES FCI]])</f>
        <v>5928955688.688118</v>
      </c>
      <c r="CY147" s="5">
        <f>IF($B146&lt;=Tabla5[[#This Row],[INVERSIONES FCI]],+Tabla5[[#This Row],[INVERSIONES FCI]]-CY146,Tabla5[[#This Row],[INVERSIONES FCI]])</f>
        <v>5928955688.688118</v>
      </c>
      <c r="CZ147" s="5">
        <f>IF($B146&lt;=Tabla5[[#This Row],[INVERSIONES FCI]],+Tabla5[[#This Row],[INVERSIONES FCI]]-CZ146,Tabla5[[#This Row],[INVERSIONES FCI]])</f>
        <v>5928955688.688118</v>
      </c>
      <c r="DA147" s="5">
        <f>IF($B146&lt;=Tabla5[[#This Row],[INVERSIONES FCI]],+Tabla5[[#This Row],[INVERSIONES FCI]]-DA146,Tabla5[[#This Row],[INVERSIONES FCI]])</f>
        <v>5928955688.688118</v>
      </c>
      <c r="DB147" s="5">
        <f>IF($B146&lt;=Tabla5[[#This Row],[INVERSIONES FCI]],+Tabla5[[#This Row],[INVERSIONES FCI]]-DB146,Tabla5[[#This Row],[INVERSIONES FCI]])</f>
        <v>5928955688.688118</v>
      </c>
      <c r="DC147" s="5">
        <f>IF($B146&lt;=Tabla5[[#This Row],[INVERSIONES FCI]],+Tabla5[[#This Row],[INVERSIONES FCI]]-DC146,Tabla5[[#This Row],[INVERSIONES FCI]])</f>
        <v>5928955688.688118</v>
      </c>
      <c r="DD147" s="5">
        <f>IF($B146&lt;=Tabla5[[#This Row],[INVERSIONES FCI]],+Tabla5[[#This Row],[INVERSIONES FCI]]-DD146,Tabla5[[#This Row],[INVERSIONES FCI]])</f>
        <v>5928955688.688118</v>
      </c>
      <c r="DE147" s="5">
        <f>IF($B146&lt;=Tabla5[[#This Row],[INVERSIONES FCI]],+Tabla5[[#This Row],[INVERSIONES FCI]]-DE146,Tabla5[[#This Row],[INVERSIONES FCI]])</f>
        <v>5928955688.688118</v>
      </c>
      <c r="DF147" s="5">
        <f>IF($B146&lt;=Tabla5[[#This Row],[INVERSIONES FCI]],+Tabla5[[#This Row],[INVERSIONES FCI]]-DF146,Tabla5[[#This Row],[INVERSIONES FCI]])</f>
        <v>5928955688.688118</v>
      </c>
      <c r="DG147" s="5">
        <f>IF($B146&lt;=Tabla5[[#This Row],[INVERSIONES FCI]],+Tabla5[[#This Row],[INVERSIONES FCI]]-DG146,Tabla5[[#This Row],[INVERSIONES FCI]])</f>
        <v>5928955688.688118</v>
      </c>
      <c r="DH147" s="5">
        <f>IF($B146&lt;=Tabla5[[#This Row],[INVERSIONES FCI]],+Tabla5[[#This Row],[INVERSIONES FCI]]-DH146,Tabla5[[#This Row],[INVERSIONES FCI]])</f>
        <v>5928955688.688118</v>
      </c>
      <c r="DI147" s="5">
        <f>IF($B146&lt;=Tabla5[[#This Row],[INVERSIONES FCI]],+Tabla5[[#This Row],[INVERSIONES FCI]]-DI146,Tabla5[[#This Row],[INVERSIONES FCI]])</f>
        <v>5928955688.688118</v>
      </c>
      <c r="DJ147" s="5">
        <f>IF($B146&lt;=Tabla5[[#This Row],[INVERSIONES FCI]],+Tabla5[[#This Row],[INVERSIONES FCI]]-DJ146,Tabla5[[#This Row],[INVERSIONES FCI]])</f>
        <v>5928955688.688118</v>
      </c>
      <c r="DK147" s="5">
        <f>IF($B146&lt;=Tabla5[[#This Row],[INVERSIONES FCI]],+Tabla5[[#This Row],[INVERSIONES FCI]]-DK146,Tabla5[[#This Row],[INVERSIONES FCI]])</f>
        <v>5928955688.688118</v>
      </c>
      <c r="DL147" s="5"/>
      <c r="DM147" s="5"/>
      <c r="DN147" s="5"/>
      <c r="DO147" s="5"/>
      <c r="DP147" s="5"/>
      <c r="DQ147" s="5"/>
    </row>
    <row r="148" spans="1:121" ht="14.4">
      <c r="A148" s="12" t="s">
        <v>147</v>
      </c>
      <c r="B148" s="5">
        <f>HLOOKUP($A148,ESCENARIO[#All],7,FALSE)</f>
        <v>36517344767.825745</v>
      </c>
      <c r="C148" s="5">
        <f>IF($B147&lt;=Tabla5[[#This Row],[INVERSIONES FCI]],+Tabla5[[#This Row],[INVERSIONES FCI]]-C147,Tabla5[[#This Row],[INVERSIONES FCI]])</f>
        <v>30588389079.137627</v>
      </c>
      <c r="D148" s="5">
        <f>IF($B147&lt;=Tabla5[[#This Row],[INVERSIONES FCI]],+Tabla5[[#This Row],[INVERSIONES FCI]]-D147,Tabla5[[#This Row],[INVERSIONES FCI]])</f>
        <v>30588389079.137627</v>
      </c>
      <c r="E148" s="5">
        <f>IF($B147&lt;=Tabla5[[#This Row],[INVERSIONES FCI]],+Tabla5[[#This Row],[INVERSIONES FCI]]-E147,Tabla5[[#This Row],[INVERSIONES FCI]])</f>
        <v>30588389079.137627</v>
      </c>
      <c r="F148" s="5">
        <f>IF($B147&lt;=Tabla5[[#This Row],[INVERSIONES FCI]],+Tabla5[[#This Row],[INVERSIONES FCI]]-F147,Tabla5[[#This Row],[INVERSIONES FCI]])</f>
        <v>30588389079.137627</v>
      </c>
      <c r="G148" s="5">
        <f>IF($B147&lt;=Tabla5[[#This Row],[INVERSIONES FCI]],+Tabla5[[#This Row],[INVERSIONES FCI]]-G147,Tabla5[[#This Row],[INVERSIONES FCI]])</f>
        <v>30588389079.137627</v>
      </c>
      <c r="H148" s="5">
        <f>IF($B147&lt;=Tabla5[[#This Row],[INVERSIONES FCI]],+Tabla5[[#This Row],[INVERSIONES FCI]]-H147,Tabla5[[#This Row],[INVERSIONES FCI]])</f>
        <v>30588389079.137627</v>
      </c>
      <c r="I148" s="5">
        <f>IF($B147&lt;=Tabla5[[#This Row],[INVERSIONES FCI]],+Tabla5[[#This Row],[INVERSIONES FCI]]-I147,Tabla5[[#This Row],[INVERSIONES FCI]])</f>
        <v>30588389079.137627</v>
      </c>
      <c r="J148" s="5">
        <f>IF($B147&lt;=Tabla5[[#This Row],[INVERSIONES FCI]],+Tabla5[[#This Row],[INVERSIONES FCI]]-J147,Tabla5[[#This Row],[INVERSIONES FCI]])</f>
        <v>30588389079.137627</v>
      </c>
      <c r="K148" s="5">
        <f>IF($B147&lt;=Tabla5[[#This Row],[INVERSIONES FCI]],+Tabla5[[#This Row],[INVERSIONES FCI]]-K147,Tabla5[[#This Row],[INVERSIONES FCI]])</f>
        <v>30588389079.137627</v>
      </c>
      <c r="L148" s="5">
        <f>IF($B147&lt;=Tabla5[[#This Row],[INVERSIONES FCI]],+Tabla5[[#This Row],[INVERSIONES FCI]]-L147,Tabla5[[#This Row],[INVERSIONES FCI]])</f>
        <v>30588389079.137627</v>
      </c>
      <c r="M148" s="5">
        <f>IF($B147&lt;=Tabla5[[#This Row],[INVERSIONES FCI]],+Tabla5[[#This Row],[INVERSIONES FCI]]-M147,Tabla5[[#This Row],[INVERSIONES FCI]])</f>
        <v>30588389079.137627</v>
      </c>
      <c r="N148" s="5">
        <f>IF($B147&lt;=Tabla5[[#This Row],[INVERSIONES FCI]],+Tabla5[[#This Row],[INVERSIONES FCI]]-N147,Tabla5[[#This Row],[INVERSIONES FCI]])</f>
        <v>30588389079.137627</v>
      </c>
      <c r="O148" s="5">
        <f>IF($B147&lt;=Tabla5[[#This Row],[INVERSIONES FCI]],+Tabla5[[#This Row],[INVERSIONES FCI]]-O147,Tabla5[[#This Row],[INVERSIONES FCI]])</f>
        <v>30588389079.137627</v>
      </c>
      <c r="P148" s="5">
        <f>IF($B147&lt;=Tabla5[[#This Row],[INVERSIONES FCI]],+Tabla5[[#This Row],[INVERSIONES FCI]]-P147,Tabla5[[#This Row],[INVERSIONES FCI]])</f>
        <v>30588389079.137627</v>
      </c>
      <c r="Q148" s="5">
        <f>IF($B147&lt;=Tabla5[[#This Row],[INVERSIONES FCI]],+Tabla5[[#This Row],[INVERSIONES FCI]]-Q147,Tabla5[[#This Row],[INVERSIONES FCI]])</f>
        <v>30588389079.137627</v>
      </c>
      <c r="R148" s="5">
        <f>IF($B147&lt;=Tabla5[[#This Row],[INVERSIONES FCI]],+Tabla5[[#This Row],[INVERSIONES FCI]]-R147,Tabla5[[#This Row],[INVERSIONES FCI]])</f>
        <v>30588389079.137627</v>
      </c>
      <c r="S148" s="5">
        <f>IF($B147&lt;=Tabla5[[#This Row],[INVERSIONES FCI]],+Tabla5[[#This Row],[INVERSIONES FCI]]-S147,Tabla5[[#This Row],[INVERSIONES FCI]])</f>
        <v>30588389079.137627</v>
      </c>
      <c r="T148" s="5">
        <f>IF($B147&lt;=Tabla5[[#This Row],[INVERSIONES FCI]],+Tabla5[[#This Row],[INVERSIONES FCI]]-T147,Tabla5[[#This Row],[INVERSIONES FCI]])</f>
        <v>30588389079.137627</v>
      </c>
      <c r="U148" s="5">
        <f>IF($B147&lt;=Tabla5[[#This Row],[INVERSIONES FCI]],+Tabla5[[#This Row],[INVERSIONES FCI]]-U147,Tabla5[[#This Row],[INVERSIONES FCI]])</f>
        <v>30588389079.137627</v>
      </c>
      <c r="V148" s="5">
        <f>IF($B147&lt;=Tabla5[[#This Row],[INVERSIONES FCI]],+Tabla5[[#This Row],[INVERSIONES FCI]]-V147,Tabla5[[#This Row],[INVERSIONES FCI]])</f>
        <v>30588389079.137627</v>
      </c>
      <c r="W148" s="5">
        <f>IF($B147&lt;=Tabla5[[#This Row],[INVERSIONES FCI]],+Tabla5[[#This Row],[INVERSIONES FCI]]-W147,Tabla5[[#This Row],[INVERSIONES FCI]])</f>
        <v>30588389079.137627</v>
      </c>
      <c r="X148" s="5">
        <f>IF($B147&lt;=Tabla5[[#This Row],[INVERSIONES FCI]],+Tabla5[[#This Row],[INVERSIONES FCI]]-X147,Tabla5[[#This Row],[INVERSIONES FCI]])</f>
        <v>30588389079.137627</v>
      </c>
      <c r="Y148" s="5">
        <f>IF($B147&lt;=Tabla5[[#This Row],[INVERSIONES FCI]],+Tabla5[[#This Row],[INVERSIONES FCI]]-Y147,Tabla5[[#This Row],[INVERSIONES FCI]])</f>
        <v>30588389079.137627</v>
      </c>
      <c r="Z148" s="5">
        <f>IF($B147&lt;=Tabla5[[#This Row],[INVERSIONES FCI]],+Tabla5[[#This Row],[INVERSIONES FCI]]-Z147,Tabla5[[#This Row],[INVERSIONES FCI]])</f>
        <v>30588389079.137627</v>
      </c>
      <c r="AA148" s="5">
        <f>IF($B147&lt;=Tabla5[[#This Row],[INVERSIONES FCI]],+Tabla5[[#This Row],[INVERSIONES FCI]]-AA147,Tabla5[[#This Row],[INVERSIONES FCI]])</f>
        <v>30588389079.137627</v>
      </c>
      <c r="AB148" s="5">
        <f>IF($B147&lt;=Tabla5[[#This Row],[INVERSIONES FCI]],+Tabla5[[#This Row],[INVERSIONES FCI]]-AB147,Tabla5[[#This Row],[INVERSIONES FCI]])</f>
        <v>30588389079.137627</v>
      </c>
      <c r="AC148" s="5">
        <f>IF($B147&lt;=Tabla5[[#This Row],[INVERSIONES FCI]],+Tabla5[[#This Row],[INVERSIONES FCI]]-AC147,Tabla5[[#This Row],[INVERSIONES FCI]])</f>
        <v>30588389079.137627</v>
      </c>
      <c r="AD148" s="5">
        <f>IF($B147&lt;=Tabla5[[#This Row],[INVERSIONES FCI]],+Tabla5[[#This Row],[INVERSIONES FCI]]-AD147,Tabla5[[#This Row],[INVERSIONES FCI]])</f>
        <v>30588389079.137627</v>
      </c>
      <c r="AE148" s="5">
        <f>IF($B147&lt;=Tabla5[[#This Row],[INVERSIONES FCI]],+Tabla5[[#This Row],[INVERSIONES FCI]]-AE147,Tabla5[[#This Row],[INVERSIONES FCI]])</f>
        <v>30588389079.137627</v>
      </c>
      <c r="AF148" s="5">
        <f>IF($B147&lt;=Tabla5[[#This Row],[INVERSIONES FCI]],+Tabla5[[#This Row],[INVERSIONES FCI]]-AF147,Tabla5[[#This Row],[INVERSIONES FCI]])</f>
        <v>30588389079.137627</v>
      </c>
      <c r="AG148" s="5">
        <f>IF($B147&lt;=Tabla5[[#This Row],[INVERSIONES FCI]],+Tabla5[[#This Row],[INVERSIONES FCI]]-AG147,Tabla5[[#This Row],[INVERSIONES FCI]])</f>
        <v>30588389079.137627</v>
      </c>
      <c r="AH148" s="5">
        <f>IF($B147&lt;=Tabla5[[#This Row],[INVERSIONES FCI]],+Tabla5[[#This Row],[INVERSIONES FCI]]-AH147,Tabla5[[#This Row],[INVERSIONES FCI]])</f>
        <v>30588389079.137627</v>
      </c>
      <c r="AI148" s="5">
        <f>IF($B147&lt;=Tabla5[[#This Row],[INVERSIONES FCI]],+Tabla5[[#This Row],[INVERSIONES FCI]]-AI147,Tabla5[[#This Row],[INVERSIONES FCI]])</f>
        <v>30588389079.137627</v>
      </c>
      <c r="AJ148" s="5">
        <f>IF($B147&lt;=Tabla5[[#This Row],[INVERSIONES FCI]],+Tabla5[[#This Row],[INVERSIONES FCI]]-AJ147,Tabla5[[#This Row],[INVERSIONES FCI]])</f>
        <v>30588389079.137627</v>
      </c>
      <c r="AK148" s="5">
        <f>IF($B147&lt;=Tabla5[[#This Row],[INVERSIONES FCI]],+Tabla5[[#This Row],[INVERSIONES FCI]]-AK147,Tabla5[[#This Row],[INVERSIONES FCI]])</f>
        <v>30588389079.137627</v>
      </c>
      <c r="AL148" s="5">
        <f>IF($B147&lt;=Tabla5[[#This Row],[INVERSIONES FCI]],+Tabla5[[#This Row],[INVERSIONES FCI]]-AL147,Tabla5[[#This Row],[INVERSIONES FCI]])</f>
        <v>30588389079.137627</v>
      </c>
      <c r="AM148" s="5">
        <f>IF($B147&lt;=Tabla5[[#This Row],[INVERSIONES FCI]],+Tabla5[[#This Row],[INVERSIONES FCI]]-AM147,Tabla5[[#This Row],[INVERSIONES FCI]])</f>
        <v>30588389079.137627</v>
      </c>
      <c r="AN148" s="5">
        <f>IF($B147&lt;=Tabla5[[#This Row],[INVERSIONES FCI]],+Tabla5[[#This Row],[INVERSIONES FCI]]-AN147,Tabla5[[#This Row],[INVERSIONES FCI]])</f>
        <v>30588389079.137627</v>
      </c>
      <c r="AO148" s="5">
        <f>IF($B147&lt;=Tabla5[[#This Row],[INVERSIONES FCI]],+Tabla5[[#This Row],[INVERSIONES FCI]]-AO147,Tabla5[[#This Row],[INVERSIONES FCI]])</f>
        <v>30588389079.137627</v>
      </c>
      <c r="AP148" s="5">
        <f>IF($B147&lt;=Tabla5[[#This Row],[INVERSIONES FCI]],+Tabla5[[#This Row],[INVERSIONES FCI]]-AP147,Tabla5[[#This Row],[INVERSIONES FCI]])</f>
        <v>30588389079.137627</v>
      </c>
      <c r="AQ148" s="5">
        <f>IF($B147&lt;=Tabla5[[#This Row],[INVERSIONES FCI]],+Tabla5[[#This Row],[INVERSIONES FCI]]-AQ147,Tabla5[[#This Row],[INVERSIONES FCI]])</f>
        <v>30588389079.137627</v>
      </c>
      <c r="AR148" s="5">
        <f>IF($B147&lt;=Tabla5[[#This Row],[INVERSIONES FCI]],+Tabla5[[#This Row],[INVERSIONES FCI]]-AR147,Tabla5[[#This Row],[INVERSIONES FCI]])</f>
        <v>30588389079.137627</v>
      </c>
      <c r="AS148" s="5">
        <f>IF($B147&lt;=Tabla5[[#This Row],[INVERSIONES FCI]],+Tabla5[[#This Row],[INVERSIONES FCI]]-AS147,Tabla5[[#This Row],[INVERSIONES FCI]])</f>
        <v>30588389079.137627</v>
      </c>
      <c r="AT148" s="5">
        <f>IF($B147&lt;=Tabla5[[#This Row],[INVERSIONES FCI]],+Tabla5[[#This Row],[INVERSIONES FCI]]-AT147,Tabla5[[#This Row],[INVERSIONES FCI]])</f>
        <v>30588389079.137627</v>
      </c>
      <c r="AU148" s="5">
        <f>IF($B147&lt;=Tabla5[[#This Row],[INVERSIONES FCI]],+Tabla5[[#This Row],[INVERSIONES FCI]]-AU147,Tabla5[[#This Row],[INVERSIONES FCI]])</f>
        <v>30588389079.137627</v>
      </c>
      <c r="AV148" s="5">
        <f>IF($B147&lt;=Tabla5[[#This Row],[INVERSIONES FCI]],+Tabla5[[#This Row],[INVERSIONES FCI]]-AV147,Tabla5[[#This Row],[INVERSIONES FCI]])</f>
        <v>30588389079.137627</v>
      </c>
      <c r="AW148" s="5">
        <f>IF($B147&lt;=Tabla5[[#This Row],[INVERSIONES FCI]],+Tabla5[[#This Row],[INVERSIONES FCI]]-AW147,Tabla5[[#This Row],[INVERSIONES FCI]])</f>
        <v>30588389079.137627</v>
      </c>
      <c r="AX148" s="5">
        <f>IF($B147&lt;=Tabla5[[#This Row],[INVERSIONES FCI]],+Tabla5[[#This Row],[INVERSIONES FCI]]-AX147,Tabla5[[#This Row],[INVERSIONES FCI]])</f>
        <v>30588389079.137627</v>
      </c>
      <c r="AY148" s="5">
        <f>IF($B147&lt;=Tabla5[[#This Row],[INVERSIONES FCI]],+Tabla5[[#This Row],[INVERSIONES FCI]]-AY147,Tabla5[[#This Row],[INVERSIONES FCI]])</f>
        <v>30588389079.137627</v>
      </c>
      <c r="AZ148" s="5">
        <f>IF($B147&lt;=Tabla5[[#This Row],[INVERSIONES FCI]],+Tabla5[[#This Row],[INVERSIONES FCI]]-AZ147,Tabla5[[#This Row],[INVERSIONES FCI]])</f>
        <v>30588389079.137627</v>
      </c>
      <c r="BA148" s="5">
        <f>IF($B147&lt;=Tabla5[[#This Row],[INVERSIONES FCI]],+Tabla5[[#This Row],[INVERSIONES FCI]]-BA147,Tabla5[[#This Row],[INVERSIONES FCI]])</f>
        <v>30588389079.137627</v>
      </c>
      <c r="BB148" s="5">
        <f>IF($B147&lt;=Tabla5[[#This Row],[INVERSIONES FCI]],+Tabla5[[#This Row],[INVERSIONES FCI]]-BB147,Tabla5[[#This Row],[INVERSIONES FCI]])</f>
        <v>30588389079.137627</v>
      </c>
      <c r="BC148" s="5">
        <f>IF($B147&lt;=Tabla5[[#This Row],[INVERSIONES FCI]],+Tabla5[[#This Row],[INVERSIONES FCI]]-BC147,Tabla5[[#This Row],[INVERSIONES FCI]])</f>
        <v>30588389079.137627</v>
      </c>
      <c r="BD148" s="5">
        <f>IF($B147&lt;=Tabla5[[#This Row],[INVERSIONES FCI]],+Tabla5[[#This Row],[INVERSIONES FCI]]-BD147,Tabla5[[#This Row],[INVERSIONES FCI]])</f>
        <v>30588389079.137627</v>
      </c>
      <c r="BE148" s="5">
        <f>IF($B147&lt;=Tabla5[[#This Row],[INVERSIONES FCI]],+Tabla5[[#This Row],[INVERSIONES FCI]]-BE147,Tabla5[[#This Row],[INVERSIONES FCI]])</f>
        <v>30588389079.137627</v>
      </c>
      <c r="BF148" s="5">
        <f>IF($B147&lt;=Tabla5[[#This Row],[INVERSIONES FCI]],+Tabla5[[#This Row],[INVERSIONES FCI]]-BF147,Tabla5[[#This Row],[INVERSIONES FCI]])</f>
        <v>30588389079.137627</v>
      </c>
      <c r="BG148" s="5">
        <f>IF($B147&lt;=Tabla5[[#This Row],[INVERSIONES FCI]],+Tabla5[[#This Row],[INVERSIONES FCI]]-BG147,Tabla5[[#This Row],[INVERSIONES FCI]])</f>
        <v>30588389079.137627</v>
      </c>
      <c r="BH148" s="5">
        <f>IF($B147&lt;=Tabla5[[#This Row],[INVERSIONES FCI]],+Tabla5[[#This Row],[INVERSIONES FCI]]-BH147,Tabla5[[#This Row],[INVERSIONES FCI]])</f>
        <v>30588389079.137627</v>
      </c>
      <c r="BI148" s="5">
        <f>IF($B147&lt;=Tabla5[[#This Row],[INVERSIONES FCI]],+Tabla5[[#This Row],[INVERSIONES FCI]]-BI147,Tabla5[[#This Row],[INVERSIONES FCI]])</f>
        <v>30588389079.137627</v>
      </c>
      <c r="BJ148" s="5">
        <f>IF($B147&lt;=Tabla5[[#This Row],[INVERSIONES FCI]],+Tabla5[[#This Row],[INVERSIONES FCI]]-BJ147,Tabla5[[#This Row],[INVERSIONES FCI]])</f>
        <v>30588389079.137627</v>
      </c>
      <c r="BK148" s="5">
        <f>IF($B147&lt;=Tabla5[[#This Row],[INVERSIONES FCI]],+Tabla5[[#This Row],[INVERSIONES FCI]]-BK147,Tabla5[[#This Row],[INVERSIONES FCI]])</f>
        <v>30588389079.137627</v>
      </c>
      <c r="BL148" s="5">
        <f>IF($B147&lt;=Tabla5[[#This Row],[INVERSIONES FCI]],+Tabla5[[#This Row],[INVERSIONES FCI]]-BL147,Tabla5[[#This Row],[INVERSIONES FCI]])</f>
        <v>30588389079.137627</v>
      </c>
      <c r="BM148" s="5">
        <f>IF($B147&lt;=Tabla5[[#This Row],[INVERSIONES FCI]],+Tabla5[[#This Row],[INVERSIONES FCI]]-BM147,Tabla5[[#This Row],[INVERSIONES FCI]])</f>
        <v>30588389079.137627</v>
      </c>
      <c r="BN148" s="5">
        <f>IF($B147&lt;=Tabla5[[#This Row],[INVERSIONES FCI]],+Tabla5[[#This Row],[INVERSIONES FCI]]-BN147,Tabla5[[#This Row],[INVERSIONES FCI]])</f>
        <v>30588389079.137627</v>
      </c>
      <c r="BO148" s="5">
        <f>IF($B147&lt;=Tabla5[[#This Row],[INVERSIONES FCI]],+Tabla5[[#This Row],[INVERSIONES FCI]]-BO147,Tabla5[[#This Row],[INVERSIONES FCI]])</f>
        <v>30588389079.137627</v>
      </c>
      <c r="BP148" s="5">
        <f>IF($B147&lt;=Tabla5[[#This Row],[INVERSIONES FCI]],+Tabla5[[#This Row],[INVERSIONES FCI]]-BP147,Tabla5[[#This Row],[INVERSIONES FCI]])</f>
        <v>30588389079.137627</v>
      </c>
      <c r="BQ148" s="5">
        <f>IF($B147&lt;=Tabla5[[#This Row],[INVERSIONES FCI]],+Tabla5[[#This Row],[INVERSIONES FCI]]-BQ147,Tabla5[[#This Row],[INVERSIONES FCI]])</f>
        <v>30588389079.137627</v>
      </c>
      <c r="BR148" s="5">
        <f>IF($B147&lt;=Tabla5[[#This Row],[INVERSIONES FCI]],+Tabla5[[#This Row],[INVERSIONES FCI]]-BR147,Tabla5[[#This Row],[INVERSIONES FCI]])</f>
        <v>30588389079.137627</v>
      </c>
      <c r="BS148" s="5">
        <f>IF($B147&lt;=Tabla5[[#This Row],[INVERSIONES FCI]],+Tabla5[[#This Row],[INVERSIONES FCI]]-BS147,Tabla5[[#This Row],[INVERSIONES FCI]])</f>
        <v>30588389079.137627</v>
      </c>
      <c r="BT148" s="5">
        <f>IF($B147&lt;=Tabla5[[#This Row],[INVERSIONES FCI]],+Tabla5[[#This Row],[INVERSIONES FCI]]-BT147,Tabla5[[#This Row],[INVERSIONES FCI]])</f>
        <v>30588389079.137627</v>
      </c>
      <c r="BU148" s="5">
        <f>IF($B147&lt;=Tabla5[[#This Row],[INVERSIONES FCI]],+Tabla5[[#This Row],[INVERSIONES FCI]]-BU147,Tabla5[[#This Row],[INVERSIONES FCI]])</f>
        <v>30588389079.137627</v>
      </c>
      <c r="BV148" s="5">
        <f>IF($B147&lt;=Tabla5[[#This Row],[INVERSIONES FCI]],+Tabla5[[#This Row],[INVERSIONES FCI]]-BV147,Tabla5[[#This Row],[INVERSIONES FCI]])</f>
        <v>30588389079.137627</v>
      </c>
      <c r="BW148" s="5">
        <f>IF($B147&lt;=Tabla5[[#This Row],[INVERSIONES FCI]],+Tabla5[[#This Row],[INVERSIONES FCI]]-BW147,Tabla5[[#This Row],[INVERSIONES FCI]])</f>
        <v>30588389079.137627</v>
      </c>
      <c r="BX148" s="5">
        <f>IF($B147&lt;=Tabla5[[#This Row],[INVERSIONES FCI]],+Tabla5[[#This Row],[INVERSIONES FCI]]-BX147,Tabla5[[#This Row],[INVERSIONES FCI]])</f>
        <v>30588389079.137627</v>
      </c>
      <c r="BY148" s="5">
        <f>IF($B147&lt;=Tabla5[[#This Row],[INVERSIONES FCI]],+Tabla5[[#This Row],[INVERSIONES FCI]]-BY147,Tabla5[[#This Row],[INVERSIONES FCI]])</f>
        <v>30588389079.137627</v>
      </c>
      <c r="BZ148" s="5">
        <f>IF($B147&lt;=Tabla5[[#This Row],[INVERSIONES FCI]],+Tabla5[[#This Row],[INVERSIONES FCI]]-BZ147,Tabla5[[#This Row],[INVERSIONES FCI]])</f>
        <v>30588389079.137627</v>
      </c>
      <c r="CA148" s="5">
        <f>IF($B147&lt;=Tabla5[[#This Row],[INVERSIONES FCI]],+Tabla5[[#This Row],[INVERSIONES FCI]]-CA147,Tabla5[[#This Row],[INVERSIONES FCI]])</f>
        <v>30588389079.137627</v>
      </c>
      <c r="CB148" s="5">
        <f>IF($B147&lt;=Tabla5[[#This Row],[INVERSIONES FCI]],+Tabla5[[#This Row],[INVERSIONES FCI]]-CB147,Tabla5[[#This Row],[INVERSIONES FCI]])</f>
        <v>30588389079.137627</v>
      </c>
      <c r="CC148" s="5">
        <f>IF($B147&lt;=Tabla5[[#This Row],[INVERSIONES FCI]],+Tabla5[[#This Row],[INVERSIONES FCI]]-CC147,Tabla5[[#This Row],[INVERSIONES FCI]])</f>
        <v>30588389079.137627</v>
      </c>
      <c r="CD148" s="5">
        <f>IF($B147&lt;=Tabla5[[#This Row],[INVERSIONES FCI]],+Tabla5[[#This Row],[INVERSIONES FCI]]-CD147,Tabla5[[#This Row],[INVERSIONES FCI]])</f>
        <v>30588389079.137627</v>
      </c>
      <c r="CE148" s="5">
        <f>IF($B147&lt;=Tabla5[[#This Row],[INVERSIONES FCI]],+Tabla5[[#This Row],[INVERSIONES FCI]]-CE147,Tabla5[[#This Row],[INVERSIONES FCI]])</f>
        <v>30588389079.137627</v>
      </c>
      <c r="CF148" s="5">
        <f>IF($B147&lt;=Tabla5[[#This Row],[INVERSIONES FCI]],+Tabla5[[#This Row],[INVERSIONES FCI]]-CF147,Tabla5[[#This Row],[INVERSIONES FCI]])</f>
        <v>30588389079.137627</v>
      </c>
      <c r="CG148" s="5">
        <f>IF($B147&lt;=Tabla5[[#This Row],[INVERSIONES FCI]],+Tabla5[[#This Row],[INVERSIONES FCI]]-CG147,Tabla5[[#This Row],[INVERSIONES FCI]])</f>
        <v>30588389079.137627</v>
      </c>
      <c r="CH148" s="5">
        <f>IF($B147&lt;=Tabla5[[#This Row],[INVERSIONES FCI]],+Tabla5[[#This Row],[INVERSIONES FCI]]-CH147,Tabla5[[#This Row],[INVERSIONES FCI]])</f>
        <v>30588389079.137627</v>
      </c>
      <c r="CI148" s="5">
        <f>IF($B147&lt;=Tabla5[[#This Row],[INVERSIONES FCI]],+Tabla5[[#This Row],[INVERSIONES FCI]]-CI147,Tabla5[[#This Row],[INVERSIONES FCI]])</f>
        <v>30588389079.137627</v>
      </c>
      <c r="CJ148" s="5">
        <f>IF($B147&lt;=Tabla5[[#This Row],[INVERSIONES FCI]],+Tabla5[[#This Row],[INVERSIONES FCI]]-CJ147,Tabla5[[#This Row],[INVERSIONES FCI]])</f>
        <v>30588389079.137627</v>
      </c>
      <c r="CK148" s="5">
        <f>IF($B147&lt;=Tabla5[[#This Row],[INVERSIONES FCI]],+Tabla5[[#This Row],[INVERSIONES FCI]]-CK147,Tabla5[[#This Row],[INVERSIONES FCI]])</f>
        <v>30588389079.137627</v>
      </c>
      <c r="CL148" s="5">
        <f>IF($B147&lt;=Tabla5[[#This Row],[INVERSIONES FCI]],+Tabla5[[#This Row],[INVERSIONES FCI]]-CL147,Tabla5[[#This Row],[INVERSIONES FCI]])</f>
        <v>30588389079.137627</v>
      </c>
      <c r="CM148" s="5">
        <f>IF($B147&lt;=Tabla5[[#This Row],[INVERSIONES FCI]],+Tabla5[[#This Row],[INVERSIONES FCI]]-CM147,Tabla5[[#This Row],[INVERSIONES FCI]])</f>
        <v>30588389079.137627</v>
      </c>
      <c r="CN148" s="5">
        <f>IF($B147&lt;=Tabla5[[#This Row],[INVERSIONES FCI]],+Tabla5[[#This Row],[INVERSIONES FCI]]-CN147,Tabla5[[#This Row],[INVERSIONES FCI]])</f>
        <v>30588389079.137627</v>
      </c>
      <c r="CO148" s="5">
        <f>IF($B147&lt;=Tabla5[[#This Row],[INVERSIONES FCI]],+Tabla5[[#This Row],[INVERSIONES FCI]]-CO147,Tabla5[[#This Row],[INVERSIONES FCI]])</f>
        <v>30588389079.137627</v>
      </c>
      <c r="CP148" s="5">
        <f>IF($B147&lt;=Tabla5[[#This Row],[INVERSIONES FCI]],+Tabla5[[#This Row],[INVERSIONES FCI]]-CP147,Tabla5[[#This Row],[INVERSIONES FCI]])</f>
        <v>30588389079.137627</v>
      </c>
      <c r="CQ148" s="5">
        <f>IF($B147&lt;=Tabla5[[#This Row],[INVERSIONES FCI]],+Tabla5[[#This Row],[INVERSIONES FCI]]-CQ147,Tabla5[[#This Row],[INVERSIONES FCI]])</f>
        <v>30588389079.137627</v>
      </c>
      <c r="CR148" s="5">
        <f>IF($B147&lt;=Tabla5[[#This Row],[INVERSIONES FCI]],+Tabla5[[#This Row],[INVERSIONES FCI]]-CR147,Tabla5[[#This Row],[INVERSIONES FCI]])</f>
        <v>30588389079.137627</v>
      </c>
      <c r="CS148" s="5">
        <f>IF($B147&lt;=Tabla5[[#This Row],[INVERSIONES FCI]],+Tabla5[[#This Row],[INVERSIONES FCI]]-CS147,Tabla5[[#This Row],[INVERSIONES FCI]])</f>
        <v>30588389079.137627</v>
      </c>
      <c r="CT148" s="5">
        <f>IF($B147&lt;=Tabla5[[#This Row],[INVERSIONES FCI]],+Tabla5[[#This Row],[INVERSIONES FCI]]-CT147,Tabla5[[#This Row],[INVERSIONES FCI]])</f>
        <v>30588389079.137627</v>
      </c>
      <c r="CU148" s="5">
        <f>IF($B147&lt;=Tabla5[[#This Row],[INVERSIONES FCI]],+Tabla5[[#This Row],[INVERSIONES FCI]]-CU147,Tabla5[[#This Row],[INVERSIONES FCI]])</f>
        <v>30588389079.137627</v>
      </c>
      <c r="CV148" s="5">
        <f>IF($B147&lt;=Tabla5[[#This Row],[INVERSIONES FCI]],+Tabla5[[#This Row],[INVERSIONES FCI]]-CV147,Tabla5[[#This Row],[INVERSIONES FCI]])</f>
        <v>30588389079.137627</v>
      </c>
      <c r="CW148" s="5">
        <f>IF($B147&lt;=Tabla5[[#This Row],[INVERSIONES FCI]],+Tabla5[[#This Row],[INVERSIONES FCI]]-CW147,Tabla5[[#This Row],[INVERSIONES FCI]])</f>
        <v>30588389079.137627</v>
      </c>
      <c r="CX148" s="5">
        <f>IF($B147&lt;=Tabla5[[#This Row],[INVERSIONES FCI]],+Tabla5[[#This Row],[INVERSIONES FCI]]-CX147,Tabla5[[#This Row],[INVERSIONES FCI]])</f>
        <v>30588389079.137627</v>
      </c>
      <c r="CY148" s="5">
        <f>IF($B147&lt;=Tabla5[[#This Row],[INVERSIONES FCI]],+Tabla5[[#This Row],[INVERSIONES FCI]]-CY147,Tabla5[[#This Row],[INVERSIONES FCI]])</f>
        <v>30588389079.137627</v>
      </c>
      <c r="CZ148" s="5">
        <f>IF($B147&lt;=Tabla5[[#This Row],[INVERSIONES FCI]],+Tabla5[[#This Row],[INVERSIONES FCI]]-CZ147,Tabla5[[#This Row],[INVERSIONES FCI]])</f>
        <v>30588389079.137627</v>
      </c>
      <c r="DA148" s="5">
        <f>IF($B147&lt;=Tabla5[[#This Row],[INVERSIONES FCI]],+Tabla5[[#This Row],[INVERSIONES FCI]]-DA147,Tabla5[[#This Row],[INVERSIONES FCI]])</f>
        <v>30588389079.137627</v>
      </c>
      <c r="DB148" s="5">
        <f>IF($B147&lt;=Tabla5[[#This Row],[INVERSIONES FCI]],+Tabla5[[#This Row],[INVERSIONES FCI]]-DB147,Tabla5[[#This Row],[INVERSIONES FCI]])</f>
        <v>30588389079.137627</v>
      </c>
      <c r="DC148" s="5">
        <f>IF($B147&lt;=Tabla5[[#This Row],[INVERSIONES FCI]],+Tabla5[[#This Row],[INVERSIONES FCI]]-DC147,Tabla5[[#This Row],[INVERSIONES FCI]])</f>
        <v>30588389079.137627</v>
      </c>
      <c r="DD148" s="5">
        <f>IF($B147&lt;=Tabla5[[#This Row],[INVERSIONES FCI]],+Tabla5[[#This Row],[INVERSIONES FCI]]-DD147,Tabla5[[#This Row],[INVERSIONES FCI]])</f>
        <v>30588389079.137627</v>
      </c>
      <c r="DE148" s="5">
        <f>IF($B147&lt;=Tabla5[[#This Row],[INVERSIONES FCI]],+Tabla5[[#This Row],[INVERSIONES FCI]]-DE147,Tabla5[[#This Row],[INVERSIONES FCI]])</f>
        <v>30588389079.137627</v>
      </c>
      <c r="DF148" s="5">
        <f>IF($B147&lt;=Tabla5[[#This Row],[INVERSIONES FCI]],+Tabla5[[#This Row],[INVERSIONES FCI]]-DF147,Tabla5[[#This Row],[INVERSIONES FCI]])</f>
        <v>30588389079.137627</v>
      </c>
      <c r="DG148" s="5">
        <f>IF($B147&lt;=Tabla5[[#This Row],[INVERSIONES FCI]],+Tabla5[[#This Row],[INVERSIONES FCI]]-DG147,Tabla5[[#This Row],[INVERSIONES FCI]])</f>
        <v>30588389079.137627</v>
      </c>
      <c r="DH148" s="5">
        <f>IF($B147&lt;=Tabla5[[#This Row],[INVERSIONES FCI]],+Tabla5[[#This Row],[INVERSIONES FCI]]-DH147,Tabla5[[#This Row],[INVERSIONES FCI]])</f>
        <v>30588389079.137627</v>
      </c>
      <c r="DI148" s="5">
        <f>IF($B147&lt;=Tabla5[[#This Row],[INVERSIONES FCI]],+Tabla5[[#This Row],[INVERSIONES FCI]]-DI147,Tabla5[[#This Row],[INVERSIONES FCI]])</f>
        <v>30588389079.137627</v>
      </c>
      <c r="DJ148" s="5">
        <f>IF($B147&lt;=Tabla5[[#This Row],[INVERSIONES FCI]],+Tabla5[[#This Row],[INVERSIONES FCI]]-DJ147,Tabla5[[#This Row],[INVERSIONES FCI]])</f>
        <v>30588389079.137627</v>
      </c>
      <c r="DK148" s="5">
        <f>IF($B147&lt;=Tabla5[[#This Row],[INVERSIONES FCI]],+Tabla5[[#This Row],[INVERSIONES FCI]]-DK147,Tabla5[[#This Row],[INVERSIONES FCI]])</f>
        <v>30588389079.137627</v>
      </c>
      <c r="DL148" s="5"/>
      <c r="DM148" s="5"/>
      <c r="DN148" s="5"/>
      <c r="DO148" s="5"/>
      <c r="DP148" s="5"/>
      <c r="DQ148" s="5"/>
    </row>
    <row r="149" spans="1:121" ht="14.4">
      <c r="A149" s="12" t="s">
        <v>148</v>
      </c>
      <c r="B149" s="5">
        <f>HLOOKUP($A149,ESCENARIO[#All],7,FALSE)</f>
        <v>36517344767.825745</v>
      </c>
      <c r="C149" s="5">
        <f>IF($B148&lt;=Tabla5[[#This Row],[INVERSIONES FCI]],+Tabla5[[#This Row],[INVERSIONES FCI]]-C148,Tabla5[[#This Row],[INVERSIONES FCI]])</f>
        <v>5928955688.688118</v>
      </c>
      <c r="D149" s="5">
        <f>IF($B148&lt;=Tabla5[[#This Row],[INVERSIONES FCI]],+Tabla5[[#This Row],[INVERSIONES FCI]]-D148,Tabla5[[#This Row],[INVERSIONES FCI]])</f>
        <v>5928955688.688118</v>
      </c>
      <c r="E149" s="5">
        <f>IF($B148&lt;=Tabla5[[#This Row],[INVERSIONES FCI]],+Tabla5[[#This Row],[INVERSIONES FCI]]-E148,Tabla5[[#This Row],[INVERSIONES FCI]])</f>
        <v>5928955688.688118</v>
      </c>
      <c r="F149" s="5">
        <f>IF($B148&lt;=Tabla5[[#This Row],[INVERSIONES FCI]],+Tabla5[[#This Row],[INVERSIONES FCI]]-F148,Tabla5[[#This Row],[INVERSIONES FCI]])</f>
        <v>5928955688.688118</v>
      </c>
      <c r="G149" s="5">
        <f>IF($B148&lt;=Tabla5[[#This Row],[INVERSIONES FCI]],+Tabla5[[#This Row],[INVERSIONES FCI]]-G148,Tabla5[[#This Row],[INVERSIONES FCI]])</f>
        <v>5928955688.688118</v>
      </c>
      <c r="H149" s="5">
        <f>IF($B148&lt;=Tabla5[[#This Row],[INVERSIONES FCI]],+Tabla5[[#This Row],[INVERSIONES FCI]]-H148,Tabla5[[#This Row],[INVERSIONES FCI]])</f>
        <v>5928955688.688118</v>
      </c>
      <c r="I149" s="5">
        <f>IF($B148&lt;=Tabla5[[#This Row],[INVERSIONES FCI]],+Tabla5[[#This Row],[INVERSIONES FCI]]-I148,Tabla5[[#This Row],[INVERSIONES FCI]])</f>
        <v>5928955688.688118</v>
      </c>
      <c r="J149" s="5">
        <f>IF($B148&lt;=Tabla5[[#This Row],[INVERSIONES FCI]],+Tabla5[[#This Row],[INVERSIONES FCI]]-J148,Tabla5[[#This Row],[INVERSIONES FCI]])</f>
        <v>5928955688.688118</v>
      </c>
      <c r="K149" s="5">
        <f>IF($B148&lt;=Tabla5[[#This Row],[INVERSIONES FCI]],+Tabla5[[#This Row],[INVERSIONES FCI]]-K148,Tabla5[[#This Row],[INVERSIONES FCI]])</f>
        <v>5928955688.688118</v>
      </c>
      <c r="L149" s="5">
        <f>IF($B148&lt;=Tabla5[[#This Row],[INVERSIONES FCI]],+Tabla5[[#This Row],[INVERSIONES FCI]]-L148,Tabla5[[#This Row],[INVERSIONES FCI]])</f>
        <v>5928955688.688118</v>
      </c>
      <c r="M149" s="5">
        <f>IF($B148&lt;=Tabla5[[#This Row],[INVERSIONES FCI]],+Tabla5[[#This Row],[INVERSIONES FCI]]-M148,Tabla5[[#This Row],[INVERSIONES FCI]])</f>
        <v>5928955688.688118</v>
      </c>
      <c r="N149" s="5">
        <f>IF($B148&lt;=Tabla5[[#This Row],[INVERSIONES FCI]],+Tabla5[[#This Row],[INVERSIONES FCI]]-N148,Tabla5[[#This Row],[INVERSIONES FCI]])</f>
        <v>5928955688.688118</v>
      </c>
      <c r="O149" s="5">
        <f>IF($B148&lt;=Tabla5[[#This Row],[INVERSIONES FCI]],+Tabla5[[#This Row],[INVERSIONES FCI]]-O148,Tabla5[[#This Row],[INVERSIONES FCI]])</f>
        <v>5928955688.688118</v>
      </c>
      <c r="P149" s="5">
        <f>IF($B148&lt;=Tabla5[[#This Row],[INVERSIONES FCI]],+Tabla5[[#This Row],[INVERSIONES FCI]]-P148,Tabla5[[#This Row],[INVERSIONES FCI]])</f>
        <v>5928955688.688118</v>
      </c>
      <c r="Q149" s="5">
        <f>IF($B148&lt;=Tabla5[[#This Row],[INVERSIONES FCI]],+Tabla5[[#This Row],[INVERSIONES FCI]]-Q148,Tabla5[[#This Row],[INVERSIONES FCI]])</f>
        <v>5928955688.688118</v>
      </c>
      <c r="R149" s="5">
        <f>IF($B148&lt;=Tabla5[[#This Row],[INVERSIONES FCI]],+Tabla5[[#This Row],[INVERSIONES FCI]]-R148,Tabla5[[#This Row],[INVERSIONES FCI]])</f>
        <v>5928955688.688118</v>
      </c>
      <c r="S149" s="5">
        <f>IF($B148&lt;=Tabla5[[#This Row],[INVERSIONES FCI]],+Tabla5[[#This Row],[INVERSIONES FCI]]-S148,Tabla5[[#This Row],[INVERSIONES FCI]])</f>
        <v>5928955688.688118</v>
      </c>
      <c r="T149" s="5">
        <f>IF($B148&lt;=Tabla5[[#This Row],[INVERSIONES FCI]],+Tabla5[[#This Row],[INVERSIONES FCI]]-T148,Tabla5[[#This Row],[INVERSIONES FCI]])</f>
        <v>5928955688.688118</v>
      </c>
      <c r="U149" s="5">
        <f>IF($B148&lt;=Tabla5[[#This Row],[INVERSIONES FCI]],+Tabla5[[#This Row],[INVERSIONES FCI]]-U148,Tabla5[[#This Row],[INVERSIONES FCI]])</f>
        <v>5928955688.688118</v>
      </c>
      <c r="V149" s="5">
        <f>IF($B148&lt;=Tabla5[[#This Row],[INVERSIONES FCI]],+Tabla5[[#This Row],[INVERSIONES FCI]]-V148,Tabla5[[#This Row],[INVERSIONES FCI]])</f>
        <v>5928955688.688118</v>
      </c>
      <c r="W149" s="5">
        <f>IF($B148&lt;=Tabla5[[#This Row],[INVERSIONES FCI]],+Tabla5[[#This Row],[INVERSIONES FCI]]-W148,Tabla5[[#This Row],[INVERSIONES FCI]])</f>
        <v>5928955688.688118</v>
      </c>
      <c r="X149" s="5">
        <f>IF($B148&lt;=Tabla5[[#This Row],[INVERSIONES FCI]],+Tabla5[[#This Row],[INVERSIONES FCI]]-X148,Tabla5[[#This Row],[INVERSIONES FCI]])</f>
        <v>5928955688.688118</v>
      </c>
      <c r="Y149" s="5">
        <f>IF($B148&lt;=Tabla5[[#This Row],[INVERSIONES FCI]],+Tabla5[[#This Row],[INVERSIONES FCI]]-Y148,Tabla5[[#This Row],[INVERSIONES FCI]])</f>
        <v>5928955688.688118</v>
      </c>
      <c r="Z149" s="5">
        <f>IF($B148&lt;=Tabla5[[#This Row],[INVERSIONES FCI]],+Tabla5[[#This Row],[INVERSIONES FCI]]-Z148,Tabla5[[#This Row],[INVERSIONES FCI]])</f>
        <v>5928955688.688118</v>
      </c>
      <c r="AA149" s="5">
        <f>IF($B148&lt;=Tabla5[[#This Row],[INVERSIONES FCI]],+Tabla5[[#This Row],[INVERSIONES FCI]]-AA148,Tabla5[[#This Row],[INVERSIONES FCI]])</f>
        <v>5928955688.688118</v>
      </c>
      <c r="AB149" s="5">
        <f>IF($B148&lt;=Tabla5[[#This Row],[INVERSIONES FCI]],+Tabla5[[#This Row],[INVERSIONES FCI]]-AB148,Tabla5[[#This Row],[INVERSIONES FCI]])</f>
        <v>5928955688.688118</v>
      </c>
      <c r="AC149" s="5">
        <f>IF($B148&lt;=Tabla5[[#This Row],[INVERSIONES FCI]],+Tabla5[[#This Row],[INVERSIONES FCI]]-AC148,Tabla5[[#This Row],[INVERSIONES FCI]])</f>
        <v>5928955688.688118</v>
      </c>
      <c r="AD149" s="5">
        <f>IF($B148&lt;=Tabla5[[#This Row],[INVERSIONES FCI]],+Tabla5[[#This Row],[INVERSIONES FCI]]-AD148,Tabla5[[#This Row],[INVERSIONES FCI]])</f>
        <v>5928955688.688118</v>
      </c>
      <c r="AE149" s="5">
        <f>IF($B148&lt;=Tabla5[[#This Row],[INVERSIONES FCI]],+Tabla5[[#This Row],[INVERSIONES FCI]]-AE148,Tabla5[[#This Row],[INVERSIONES FCI]])</f>
        <v>5928955688.688118</v>
      </c>
      <c r="AF149" s="5">
        <f>IF($B148&lt;=Tabla5[[#This Row],[INVERSIONES FCI]],+Tabla5[[#This Row],[INVERSIONES FCI]]-AF148,Tabla5[[#This Row],[INVERSIONES FCI]])</f>
        <v>5928955688.688118</v>
      </c>
      <c r="AG149" s="5">
        <f>IF($B148&lt;=Tabla5[[#This Row],[INVERSIONES FCI]],+Tabla5[[#This Row],[INVERSIONES FCI]]-AG148,Tabla5[[#This Row],[INVERSIONES FCI]])</f>
        <v>5928955688.688118</v>
      </c>
      <c r="AH149" s="5">
        <f>IF($B148&lt;=Tabla5[[#This Row],[INVERSIONES FCI]],+Tabla5[[#This Row],[INVERSIONES FCI]]-AH148,Tabla5[[#This Row],[INVERSIONES FCI]])</f>
        <v>5928955688.688118</v>
      </c>
      <c r="AI149" s="5">
        <f>IF($B148&lt;=Tabla5[[#This Row],[INVERSIONES FCI]],+Tabla5[[#This Row],[INVERSIONES FCI]]-AI148,Tabla5[[#This Row],[INVERSIONES FCI]])</f>
        <v>5928955688.688118</v>
      </c>
      <c r="AJ149" s="5">
        <f>IF($B148&lt;=Tabla5[[#This Row],[INVERSIONES FCI]],+Tabla5[[#This Row],[INVERSIONES FCI]]-AJ148,Tabla5[[#This Row],[INVERSIONES FCI]])</f>
        <v>5928955688.688118</v>
      </c>
      <c r="AK149" s="5">
        <f>IF($B148&lt;=Tabla5[[#This Row],[INVERSIONES FCI]],+Tabla5[[#This Row],[INVERSIONES FCI]]-AK148,Tabla5[[#This Row],[INVERSIONES FCI]])</f>
        <v>5928955688.688118</v>
      </c>
      <c r="AL149" s="5">
        <f>IF($B148&lt;=Tabla5[[#This Row],[INVERSIONES FCI]],+Tabla5[[#This Row],[INVERSIONES FCI]]-AL148,Tabla5[[#This Row],[INVERSIONES FCI]])</f>
        <v>5928955688.688118</v>
      </c>
      <c r="AM149" s="5">
        <f>IF($B148&lt;=Tabla5[[#This Row],[INVERSIONES FCI]],+Tabla5[[#This Row],[INVERSIONES FCI]]-AM148,Tabla5[[#This Row],[INVERSIONES FCI]])</f>
        <v>5928955688.688118</v>
      </c>
      <c r="AN149" s="5">
        <f>IF($B148&lt;=Tabla5[[#This Row],[INVERSIONES FCI]],+Tabla5[[#This Row],[INVERSIONES FCI]]-AN148,Tabla5[[#This Row],[INVERSIONES FCI]])</f>
        <v>5928955688.688118</v>
      </c>
      <c r="AO149" s="5">
        <f>IF($B148&lt;=Tabla5[[#This Row],[INVERSIONES FCI]],+Tabla5[[#This Row],[INVERSIONES FCI]]-AO148,Tabla5[[#This Row],[INVERSIONES FCI]])</f>
        <v>5928955688.688118</v>
      </c>
      <c r="AP149" s="5">
        <f>IF($B148&lt;=Tabla5[[#This Row],[INVERSIONES FCI]],+Tabla5[[#This Row],[INVERSIONES FCI]]-AP148,Tabla5[[#This Row],[INVERSIONES FCI]])</f>
        <v>5928955688.688118</v>
      </c>
      <c r="AQ149" s="5">
        <f>IF($B148&lt;=Tabla5[[#This Row],[INVERSIONES FCI]],+Tabla5[[#This Row],[INVERSIONES FCI]]-AQ148,Tabla5[[#This Row],[INVERSIONES FCI]])</f>
        <v>5928955688.688118</v>
      </c>
      <c r="AR149" s="5">
        <f>IF($B148&lt;=Tabla5[[#This Row],[INVERSIONES FCI]],+Tabla5[[#This Row],[INVERSIONES FCI]]-AR148,Tabla5[[#This Row],[INVERSIONES FCI]])</f>
        <v>5928955688.688118</v>
      </c>
      <c r="AS149" s="5">
        <f>IF($B148&lt;=Tabla5[[#This Row],[INVERSIONES FCI]],+Tabla5[[#This Row],[INVERSIONES FCI]]-AS148,Tabla5[[#This Row],[INVERSIONES FCI]])</f>
        <v>5928955688.688118</v>
      </c>
      <c r="AT149" s="5">
        <f>IF($B148&lt;=Tabla5[[#This Row],[INVERSIONES FCI]],+Tabla5[[#This Row],[INVERSIONES FCI]]-AT148,Tabla5[[#This Row],[INVERSIONES FCI]])</f>
        <v>5928955688.688118</v>
      </c>
      <c r="AU149" s="5">
        <f>IF($B148&lt;=Tabla5[[#This Row],[INVERSIONES FCI]],+Tabla5[[#This Row],[INVERSIONES FCI]]-AU148,Tabla5[[#This Row],[INVERSIONES FCI]])</f>
        <v>5928955688.688118</v>
      </c>
      <c r="AV149" s="5">
        <f>IF($B148&lt;=Tabla5[[#This Row],[INVERSIONES FCI]],+Tabla5[[#This Row],[INVERSIONES FCI]]-AV148,Tabla5[[#This Row],[INVERSIONES FCI]])</f>
        <v>5928955688.688118</v>
      </c>
      <c r="AW149" s="5">
        <f>IF($B148&lt;=Tabla5[[#This Row],[INVERSIONES FCI]],+Tabla5[[#This Row],[INVERSIONES FCI]]-AW148,Tabla5[[#This Row],[INVERSIONES FCI]])</f>
        <v>5928955688.688118</v>
      </c>
      <c r="AX149" s="5">
        <f>IF($B148&lt;=Tabla5[[#This Row],[INVERSIONES FCI]],+Tabla5[[#This Row],[INVERSIONES FCI]]-AX148,Tabla5[[#This Row],[INVERSIONES FCI]])</f>
        <v>5928955688.688118</v>
      </c>
      <c r="AY149" s="5">
        <f>IF($B148&lt;=Tabla5[[#This Row],[INVERSIONES FCI]],+Tabla5[[#This Row],[INVERSIONES FCI]]-AY148,Tabla5[[#This Row],[INVERSIONES FCI]])</f>
        <v>5928955688.688118</v>
      </c>
      <c r="AZ149" s="5">
        <f>IF($B148&lt;=Tabla5[[#This Row],[INVERSIONES FCI]],+Tabla5[[#This Row],[INVERSIONES FCI]]-AZ148,Tabla5[[#This Row],[INVERSIONES FCI]])</f>
        <v>5928955688.688118</v>
      </c>
      <c r="BA149" s="5">
        <f>IF($B148&lt;=Tabla5[[#This Row],[INVERSIONES FCI]],+Tabla5[[#This Row],[INVERSIONES FCI]]-BA148,Tabla5[[#This Row],[INVERSIONES FCI]])</f>
        <v>5928955688.688118</v>
      </c>
      <c r="BB149" s="5">
        <f>IF($B148&lt;=Tabla5[[#This Row],[INVERSIONES FCI]],+Tabla5[[#This Row],[INVERSIONES FCI]]-BB148,Tabla5[[#This Row],[INVERSIONES FCI]])</f>
        <v>5928955688.688118</v>
      </c>
      <c r="BC149" s="5">
        <f>IF($B148&lt;=Tabla5[[#This Row],[INVERSIONES FCI]],+Tabla5[[#This Row],[INVERSIONES FCI]]-BC148,Tabla5[[#This Row],[INVERSIONES FCI]])</f>
        <v>5928955688.688118</v>
      </c>
      <c r="BD149" s="5">
        <f>IF($B148&lt;=Tabla5[[#This Row],[INVERSIONES FCI]],+Tabla5[[#This Row],[INVERSIONES FCI]]-BD148,Tabla5[[#This Row],[INVERSIONES FCI]])</f>
        <v>5928955688.688118</v>
      </c>
      <c r="BE149" s="5">
        <f>IF($B148&lt;=Tabla5[[#This Row],[INVERSIONES FCI]],+Tabla5[[#This Row],[INVERSIONES FCI]]-BE148,Tabla5[[#This Row],[INVERSIONES FCI]])</f>
        <v>5928955688.688118</v>
      </c>
      <c r="BF149" s="5">
        <f>IF($B148&lt;=Tabla5[[#This Row],[INVERSIONES FCI]],+Tabla5[[#This Row],[INVERSIONES FCI]]-BF148,Tabla5[[#This Row],[INVERSIONES FCI]])</f>
        <v>5928955688.688118</v>
      </c>
      <c r="BG149" s="5">
        <f>IF($B148&lt;=Tabla5[[#This Row],[INVERSIONES FCI]],+Tabla5[[#This Row],[INVERSIONES FCI]]-BG148,Tabla5[[#This Row],[INVERSIONES FCI]])</f>
        <v>5928955688.688118</v>
      </c>
      <c r="BH149" s="5">
        <f>IF($B148&lt;=Tabla5[[#This Row],[INVERSIONES FCI]],+Tabla5[[#This Row],[INVERSIONES FCI]]-BH148,Tabla5[[#This Row],[INVERSIONES FCI]])</f>
        <v>5928955688.688118</v>
      </c>
      <c r="BI149" s="5">
        <f>IF($B148&lt;=Tabla5[[#This Row],[INVERSIONES FCI]],+Tabla5[[#This Row],[INVERSIONES FCI]]-BI148,Tabla5[[#This Row],[INVERSIONES FCI]])</f>
        <v>5928955688.688118</v>
      </c>
      <c r="BJ149" s="5">
        <f>IF($B148&lt;=Tabla5[[#This Row],[INVERSIONES FCI]],+Tabla5[[#This Row],[INVERSIONES FCI]]-BJ148,Tabla5[[#This Row],[INVERSIONES FCI]])</f>
        <v>5928955688.688118</v>
      </c>
      <c r="BK149" s="5">
        <f>IF($B148&lt;=Tabla5[[#This Row],[INVERSIONES FCI]],+Tabla5[[#This Row],[INVERSIONES FCI]]-BK148,Tabla5[[#This Row],[INVERSIONES FCI]])</f>
        <v>5928955688.688118</v>
      </c>
      <c r="BL149" s="5">
        <f>IF($B148&lt;=Tabla5[[#This Row],[INVERSIONES FCI]],+Tabla5[[#This Row],[INVERSIONES FCI]]-BL148,Tabla5[[#This Row],[INVERSIONES FCI]])</f>
        <v>5928955688.688118</v>
      </c>
      <c r="BM149" s="5">
        <f>IF($B148&lt;=Tabla5[[#This Row],[INVERSIONES FCI]],+Tabla5[[#This Row],[INVERSIONES FCI]]-BM148,Tabla5[[#This Row],[INVERSIONES FCI]])</f>
        <v>5928955688.688118</v>
      </c>
      <c r="BN149" s="5">
        <f>IF($B148&lt;=Tabla5[[#This Row],[INVERSIONES FCI]],+Tabla5[[#This Row],[INVERSIONES FCI]]-BN148,Tabla5[[#This Row],[INVERSIONES FCI]])</f>
        <v>5928955688.688118</v>
      </c>
      <c r="BO149" s="5">
        <f>IF($B148&lt;=Tabla5[[#This Row],[INVERSIONES FCI]],+Tabla5[[#This Row],[INVERSIONES FCI]]-BO148,Tabla5[[#This Row],[INVERSIONES FCI]])</f>
        <v>5928955688.688118</v>
      </c>
      <c r="BP149" s="5">
        <f>IF($B148&lt;=Tabla5[[#This Row],[INVERSIONES FCI]],+Tabla5[[#This Row],[INVERSIONES FCI]]-BP148,Tabla5[[#This Row],[INVERSIONES FCI]])</f>
        <v>5928955688.688118</v>
      </c>
      <c r="BQ149" s="5">
        <f>IF($B148&lt;=Tabla5[[#This Row],[INVERSIONES FCI]],+Tabla5[[#This Row],[INVERSIONES FCI]]-BQ148,Tabla5[[#This Row],[INVERSIONES FCI]])</f>
        <v>5928955688.688118</v>
      </c>
      <c r="BR149" s="5">
        <f>IF($B148&lt;=Tabla5[[#This Row],[INVERSIONES FCI]],+Tabla5[[#This Row],[INVERSIONES FCI]]-BR148,Tabla5[[#This Row],[INVERSIONES FCI]])</f>
        <v>5928955688.688118</v>
      </c>
      <c r="BS149" s="5">
        <f>IF($B148&lt;=Tabla5[[#This Row],[INVERSIONES FCI]],+Tabla5[[#This Row],[INVERSIONES FCI]]-BS148,Tabla5[[#This Row],[INVERSIONES FCI]])</f>
        <v>5928955688.688118</v>
      </c>
      <c r="BT149" s="5">
        <f>IF($B148&lt;=Tabla5[[#This Row],[INVERSIONES FCI]],+Tabla5[[#This Row],[INVERSIONES FCI]]-BT148,Tabla5[[#This Row],[INVERSIONES FCI]])</f>
        <v>5928955688.688118</v>
      </c>
      <c r="BU149" s="5">
        <f>IF($B148&lt;=Tabla5[[#This Row],[INVERSIONES FCI]],+Tabla5[[#This Row],[INVERSIONES FCI]]-BU148,Tabla5[[#This Row],[INVERSIONES FCI]])</f>
        <v>5928955688.688118</v>
      </c>
      <c r="BV149" s="5">
        <f>IF($B148&lt;=Tabla5[[#This Row],[INVERSIONES FCI]],+Tabla5[[#This Row],[INVERSIONES FCI]]-BV148,Tabla5[[#This Row],[INVERSIONES FCI]])</f>
        <v>5928955688.688118</v>
      </c>
      <c r="BW149" s="5">
        <f>IF($B148&lt;=Tabla5[[#This Row],[INVERSIONES FCI]],+Tabla5[[#This Row],[INVERSIONES FCI]]-BW148,Tabla5[[#This Row],[INVERSIONES FCI]])</f>
        <v>5928955688.688118</v>
      </c>
      <c r="BX149" s="5">
        <f>IF($B148&lt;=Tabla5[[#This Row],[INVERSIONES FCI]],+Tabla5[[#This Row],[INVERSIONES FCI]]-BX148,Tabla5[[#This Row],[INVERSIONES FCI]])</f>
        <v>5928955688.688118</v>
      </c>
      <c r="BY149" s="5">
        <f>IF($B148&lt;=Tabla5[[#This Row],[INVERSIONES FCI]],+Tabla5[[#This Row],[INVERSIONES FCI]]-BY148,Tabla5[[#This Row],[INVERSIONES FCI]])</f>
        <v>5928955688.688118</v>
      </c>
      <c r="BZ149" s="5">
        <f>IF($B148&lt;=Tabla5[[#This Row],[INVERSIONES FCI]],+Tabla5[[#This Row],[INVERSIONES FCI]]-BZ148,Tabla5[[#This Row],[INVERSIONES FCI]])</f>
        <v>5928955688.688118</v>
      </c>
      <c r="CA149" s="5">
        <f>IF($B148&lt;=Tabla5[[#This Row],[INVERSIONES FCI]],+Tabla5[[#This Row],[INVERSIONES FCI]]-CA148,Tabla5[[#This Row],[INVERSIONES FCI]])</f>
        <v>5928955688.688118</v>
      </c>
      <c r="CB149" s="5">
        <f>IF($B148&lt;=Tabla5[[#This Row],[INVERSIONES FCI]],+Tabla5[[#This Row],[INVERSIONES FCI]]-CB148,Tabla5[[#This Row],[INVERSIONES FCI]])</f>
        <v>5928955688.688118</v>
      </c>
      <c r="CC149" s="5">
        <f>IF($B148&lt;=Tabla5[[#This Row],[INVERSIONES FCI]],+Tabla5[[#This Row],[INVERSIONES FCI]]-CC148,Tabla5[[#This Row],[INVERSIONES FCI]])</f>
        <v>5928955688.688118</v>
      </c>
      <c r="CD149" s="5">
        <f>IF($B148&lt;=Tabla5[[#This Row],[INVERSIONES FCI]],+Tabla5[[#This Row],[INVERSIONES FCI]]-CD148,Tabla5[[#This Row],[INVERSIONES FCI]])</f>
        <v>5928955688.688118</v>
      </c>
      <c r="CE149" s="5">
        <f>IF($B148&lt;=Tabla5[[#This Row],[INVERSIONES FCI]],+Tabla5[[#This Row],[INVERSIONES FCI]]-CE148,Tabla5[[#This Row],[INVERSIONES FCI]])</f>
        <v>5928955688.688118</v>
      </c>
      <c r="CF149" s="5">
        <f>IF($B148&lt;=Tabla5[[#This Row],[INVERSIONES FCI]],+Tabla5[[#This Row],[INVERSIONES FCI]]-CF148,Tabla5[[#This Row],[INVERSIONES FCI]])</f>
        <v>5928955688.688118</v>
      </c>
      <c r="CG149" s="5">
        <f>IF($B148&lt;=Tabla5[[#This Row],[INVERSIONES FCI]],+Tabla5[[#This Row],[INVERSIONES FCI]]-CG148,Tabla5[[#This Row],[INVERSIONES FCI]])</f>
        <v>5928955688.688118</v>
      </c>
      <c r="CH149" s="5">
        <f>IF($B148&lt;=Tabla5[[#This Row],[INVERSIONES FCI]],+Tabla5[[#This Row],[INVERSIONES FCI]]-CH148,Tabla5[[#This Row],[INVERSIONES FCI]])</f>
        <v>5928955688.688118</v>
      </c>
      <c r="CI149" s="5">
        <f>IF($B148&lt;=Tabla5[[#This Row],[INVERSIONES FCI]],+Tabla5[[#This Row],[INVERSIONES FCI]]-CI148,Tabla5[[#This Row],[INVERSIONES FCI]])</f>
        <v>5928955688.688118</v>
      </c>
      <c r="CJ149" s="5">
        <f>IF($B148&lt;=Tabla5[[#This Row],[INVERSIONES FCI]],+Tabla5[[#This Row],[INVERSIONES FCI]]-CJ148,Tabla5[[#This Row],[INVERSIONES FCI]])</f>
        <v>5928955688.688118</v>
      </c>
      <c r="CK149" s="5">
        <f>IF($B148&lt;=Tabla5[[#This Row],[INVERSIONES FCI]],+Tabla5[[#This Row],[INVERSIONES FCI]]-CK148,Tabla5[[#This Row],[INVERSIONES FCI]])</f>
        <v>5928955688.688118</v>
      </c>
      <c r="CL149" s="5">
        <f>IF($B148&lt;=Tabla5[[#This Row],[INVERSIONES FCI]],+Tabla5[[#This Row],[INVERSIONES FCI]]-CL148,Tabla5[[#This Row],[INVERSIONES FCI]])</f>
        <v>5928955688.688118</v>
      </c>
      <c r="CM149" s="5">
        <f>IF($B148&lt;=Tabla5[[#This Row],[INVERSIONES FCI]],+Tabla5[[#This Row],[INVERSIONES FCI]]-CM148,Tabla5[[#This Row],[INVERSIONES FCI]])</f>
        <v>5928955688.688118</v>
      </c>
      <c r="CN149" s="5">
        <f>IF($B148&lt;=Tabla5[[#This Row],[INVERSIONES FCI]],+Tabla5[[#This Row],[INVERSIONES FCI]]-CN148,Tabla5[[#This Row],[INVERSIONES FCI]])</f>
        <v>5928955688.688118</v>
      </c>
      <c r="CO149" s="5">
        <f>IF($B148&lt;=Tabla5[[#This Row],[INVERSIONES FCI]],+Tabla5[[#This Row],[INVERSIONES FCI]]-CO148,Tabla5[[#This Row],[INVERSIONES FCI]])</f>
        <v>5928955688.688118</v>
      </c>
      <c r="CP149" s="5">
        <f>IF($B148&lt;=Tabla5[[#This Row],[INVERSIONES FCI]],+Tabla5[[#This Row],[INVERSIONES FCI]]-CP148,Tabla5[[#This Row],[INVERSIONES FCI]])</f>
        <v>5928955688.688118</v>
      </c>
      <c r="CQ149" s="5">
        <f>IF($B148&lt;=Tabla5[[#This Row],[INVERSIONES FCI]],+Tabla5[[#This Row],[INVERSIONES FCI]]-CQ148,Tabla5[[#This Row],[INVERSIONES FCI]])</f>
        <v>5928955688.688118</v>
      </c>
      <c r="CR149" s="5">
        <f>IF($B148&lt;=Tabla5[[#This Row],[INVERSIONES FCI]],+Tabla5[[#This Row],[INVERSIONES FCI]]-CR148,Tabla5[[#This Row],[INVERSIONES FCI]])</f>
        <v>5928955688.688118</v>
      </c>
      <c r="CS149" s="5">
        <f>IF($B148&lt;=Tabla5[[#This Row],[INVERSIONES FCI]],+Tabla5[[#This Row],[INVERSIONES FCI]]-CS148,Tabla5[[#This Row],[INVERSIONES FCI]])</f>
        <v>5928955688.688118</v>
      </c>
      <c r="CT149" s="5">
        <f>IF($B148&lt;=Tabla5[[#This Row],[INVERSIONES FCI]],+Tabla5[[#This Row],[INVERSIONES FCI]]-CT148,Tabla5[[#This Row],[INVERSIONES FCI]])</f>
        <v>5928955688.688118</v>
      </c>
      <c r="CU149" s="5">
        <f>IF($B148&lt;=Tabla5[[#This Row],[INVERSIONES FCI]],+Tabla5[[#This Row],[INVERSIONES FCI]]-CU148,Tabla5[[#This Row],[INVERSIONES FCI]])</f>
        <v>5928955688.688118</v>
      </c>
      <c r="CV149" s="5">
        <f>IF($B148&lt;=Tabla5[[#This Row],[INVERSIONES FCI]],+Tabla5[[#This Row],[INVERSIONES FCI]]-CV148,Tabla5[[#This Row],[INVERSIONES FCI]])</f>
        <v>5928955688.688118</v>
      </c>
      <c r="CW149" s="5">
        <f>IF($B148&lt;=Tabla5[[#This Row],[INVERSIONES FCI]],+Tabla5[[#This Row],[INVERSIONES FCI]]-CW148,Tabla5[[#This Row],[INVERSIONES FCI]])</f>
        <v>5928955688.688118</v>
      </c>
      <c r="CX149" s="5">
        <f>IF($B148&lt;=Tabla5[[#This Row],[INVERSIONES FCI]],+Tabla5[[#This Row],[INVERSIONES FCI]]-CX148,Tabla5[[#This Row],[INVERSIONES FCI]])</f>
        <v>5928955688.688118</v>
      </c>
      <c r="CY149" s="5">
        <f>IF($B148&lt;=Tabla5[[#This Row],[INVERSIONES FCI]],+Tabla5[[#This Row],[INVERSIONES FCI]]-CY148,Tabla5[[#This Row],[INVERSIONES FCI]])</f>
        <v>5928955688.688118</v>
      </c>
      <c r="CZ149" s="5">
        <f>IF($B148&lt;=Tabla5[[#This Row],[INVERSIONES FCI]],+Tabla5[[#This Row],[INVERSIONES FCI]]-CZ148,Tabla5[[#This Row],[INVERSIONES FCI]])</f>
        <v>5928955688.688118</v>
      </c>
      <c r="DA149" s="5">
        <f>IF($B148&lt;=Tabla5[[#This Row],[INVERSIONES FCI]],+Tabla5[[#This Row],[INVERSIONES FCI]]-DA148,Tabla5[[#This Row],[INVERSIONES FCI]])</f>
        <v>5928955688.688118</v>
      </c>
      <c r="DB149" s="5">
        <f>IF($B148&lt;=Tabla5[[#This Row],[INVERSIONES FCI]],+Tabla5[[#This Row],[INVERSIONES FCI]]-DB148,Tabla5[[#This Row],[INVERSIONES FCI]])</f>
        <v>5928955688.688118</v>
      </c>
      <c r="DC149" s="5">
        <f>IF($B148&lt;=Tabla5[[#This Row],[INVERSIONES FCI]],+Tabla5[[#This Row],[INVERSIONES FCI]]-DC148,Tabla5[[#This Row],[INVERSIONES FCI]])</f>
        <v>5928955688.688118</v>
      </c>
      <c r="DD149" s="5">
        <f>IF($B148&lt;=Tabla5[[#This Row],[INVERSIONES FCI]],+Tabla5[[#This Row],[INVERSIONES FCI]]-DD148,Tabla5[[#This Row],[INVERSIONES FCI]])</f>
        <v>5928955688.688118</v>
      </c>
      <c r="DE149" s="5">
        <f>IF($B148&lt;=Tabla5[[#This Row],[INVERSIONES FCI]],+Tabla5[[#This Row],[INVERSIONES FCI]]-DE148,Tabla5[[#This Row],[INVERSIONES FCI]])</f>
        <v>5928955688.688118</v>
      </c>
      <c r="DF149" s="5">
        <f>IF($B148&lt;=Tabla5[[#This Row],[INVERSIONES FCI]],+Tabla5[[#This Row],[INVERSIONES FCI]]-DF148,Tabla5[[#This Row],[INVERSIONES FCI]])</f>
        <v>5928955688.688118</v>
      </c>
      <c r="DG149" s="5">
        <f>IF($B148&lt;=Tabla5[[#This Row],[INVERSIONES FCI]],+Tabla5[[#This Row],[INVERSIONES FCI]]-DG148,Tabla5[[#This Row],[INVERSIONES FCI]])</f>
        <v>5928955688.688118</v>
      </c>
      <c r="DH149" s="5">
        <f>IF($B148&lt;=Tabla5[[#This Row],[INVERSIONES FCI]],+Tabla5[[#This Row],[INVERSIONES FCI]]-DH148,Tabla5[[#This Row],[INVERSIONES FCI]])</f>
        <v>5928955688.688118</v>
      </c>
      <c r="DI149" s="5">
        <f>IF($B148&lt;=Tabla5[[#This Row],[INVERSIONES FCI]],+Tabla5[[#This Row],[INVERSIONES FCI]]-DI148,Tabla5[[#This Row],[INVERSIONES FCI]])</f>
        <v>5928955688.688118</v>
      </c>
      <c r="DJ149" s="5">
        <f>IF($B148&lt;=Tabla5[[#This Row],[INVERSIONES FCI]],+Tabla5[[#This Row],[INVERSIONES FCI]]-DJ148,Tabla5[[#This Row],[INVERSIONES FCI]])</f>
        <v>5928955688.688118</v>
      </c>
      <c r="DK149" s="5">
        <f>IF($B148&lt;=Tabla5[[#This Row],[INVERSIONES FCI]],+Tabla5[[#This Row],[INVERSIONES FCI]]-DK148,Tabla5[[#This Row],[INVERSIONES FCI]])</f>
        <v>5928955688.688118</v>
      </c>
      <c r="DL149" s="5"/>
      <c r="DM149" s="5"/>
      <c r="DN149" s="5"/>
      <c r="DO149" s="5"/>
      <c r="DP149" s="5"/>
      <c r="DQ149" s="5"/>
    </row>
    <row r="150" spans="1:121" ht="14.4">
      <c r="A150" s="12" t="s">
        <v>149</v>
      </c>
      <c r="B150" s="5">
        <f>HLOOKUP($A150,ESCENARIO[#All],7,FALSE)</f>
        <v>36517344767.825745</v>
      </c>
      <c r="C150" s="5">
        <f>IF($B149&lt;=Tabla5[[#This Row],[INVERSIONES FCI]],+Tabla5[[#This Row],[INVERSIONES FCI]]-C149,Tabla5[[#This Row],[INVERSIONES FCI]])</f>
        <v>30588389079.137627</v>
      </c>
      <c r="D150" s="5">
        <f>IF($B149&lt;=Tabla5[[#This Row],[INVERSIONES FCI]],+Tabla5[[#This Row],[INVERSIONES FCI]]-D149,Tabla5[[#This Row],[INVERSIONES FCI]])</f>
        <v>30588389079.137627</v>
      </c>
      <c r="E150" s="5">
        <f>IF($B149&lt;=Tabla5[[#This Row],[INVERSIONES FCI]],+Tabla5[[#This Row],[INVERSIONES FCI]]-E149,Tabla5[[#This Row],[INVERSIONES FCI]])</f>
        <v>30588389079.137627</v>
      </c>
      <c r="F150" s="5">
        <f>IF($B149&lt;=Tabla5[[#This Row],[INVERSIONES FCI]],+Tabla5[[#This Row],[INVERSIONES FCI]]-F149,Tabla5[[#This Row],[INVERSIONES FCI]])</f>
        <v>30588389079.137627</v>
      </c>
      <c r="G150" s="5">
        <f>IF($B149&lt;=Tabla5[[#This Row],[INVERSIONES FCI]],+Tabla5[[#This Row],[INVERSIONES FCI]]-G149,Tabla5[[#This Row],[INVERSIONES FCI]])</f>
        <v>30588389079.137627</v>
      </c>
      <c r="H150" s="5">
        <f>IF($B149&lt;=Tabla5[[#This Row],[INVERSIONES FCI]],+Tabla5[[#This Row],[INVERSIONES FCI]]-H149,Tabla5[[#This Row],[INVERSIONES FCI]])</f>
        <v>30588389079.137627</v>
      </c>
      <c r="I150" s="5">
        <f>IF($B149&lt;=Tabla5[[#This Row],[INVERSIONES FCI]],+Tabla5[[#This Row],[INVERSIONES FCI]]-I149,Tabla5[[#This Row],[INVERSIONES FCI]])</f>
        <v>30588389079.137627</v>
      </c>
      <c r="J150" s="5">
        <f>IF($B149&lt;=Tabla5[[#This Row],[INVERSIONES FCI]],+Tabla5[[#This Row],[INVERSIONES FCI]]-J149,Tabla5[[#This Row],[INVERSIONES FCI]])</f>
        <v>30588389079.137627</v>
      </c>
      <c r="K150" s="5">
        <f>IF($B149&lt;=Tabla5[[#This Row],[INVERSIONES FCI]],+Tabla5[[#This Row],[INVERSIONES FCI]]-K149,Tabla5[[#This Row],[INVERSIONES FCI]])</f>
        <v>30588389079.137627</v>
      </c>
      <c r="L150" s="5">
        <f>IF($B149&lt;=Tabla5[[#This Row],[INVERSIONES FCI]],+Tabla5[[#This Row],[INVERSIONES FCI]]-L149,Tabla5[[#This Row],[INVERSIONES FCI]])</f>
        <v>30588389079.137627</v>
      </c>
      <c r="M150" s="5">
        <f>IF($B149&lt;=Tabla5[[#This Row],[INVERSIONES FCI]],+Tabla5[[#This Row],[INVERSIONES FCI]]-M149,Tabla5[[#This Row],[INVERSIONES FCI]])</f>
        <v>30588389079.137627</v>
      </c>
      <c r="N150" s="5">
        <f>IF($B149&lt;=Tabla5[[#This Row],[INVERSIONES FCI]],+Tabla5[[#This Row],[INVERSIONES FCI]]-N149,Tabla5[[#This Row],[INVERSIONES FCI]])</f>
        <v>30588389079.137627</v>
      </c>
      <c r="O150" s="5">
        <f>IF($B149&lt;=Tabla5[[#This Row],[INVERSIONES FCI]],+Tabla5[[#This Row],[INVERSIONES FCI]]-O149,Tabla5[[#This Row],[INVERSIONES FCI]])</f>
        <v>30588389079.137627</v>
      </c>
      <c r="P150" s="5">
        <f>IF($B149&lt;=Tabla5[[#This Row],[INVERSIONES FCI]],+Tabla5[[#This Row],[INVERSIONES FCI]]-P149,Tabla5[[#This Row],[INVERSIONES FCI]])</f>
        <v>30588389079.137627</v>
      </c>
      <c r="Q150" s="5">
        <f>IF($B149&lt;=Tabla5[[#This Row],[INVERSIONES FCI]],+Tabla5[[#This Row],[INVERSIONES FCI]]-Q149,Tabla5[[#This Row],[INVERSIONES FCI]])</f>
        <v>30588389079.137627</v>
      </c>
      <c r="R150" s="5">
        <f>IF($B149&lt;=Tabla5[[#This Row],[INVERSIONES FCI]],+Tabla5[[#This Row],[INVERSIONES FCI]]-R149,Tabla5[[#This Row],[INVERSIONES FCI]])</f>
        <v>30588389079.137627</v>
      </c>
      <c r="S150" s="5">
        <f>IF($B149&lt;=Tabla5[[#This Row],[INVERSIONES FCI]],+Tabla5[[#This Row],[INVERSIONES FCI]]-S149,Tabla5[[#This Row],[INVERSIONES FCI]])</f>
        <v>30588389079.137627</v>
      </c>
      <c r="T150" s="5">
        <f>IF($B149&lt;=Tabla5[[#This Row],[INVERSIONES FCI]],+Tabla5[[#This Row],[INVERSIONES FCI]]-T149,Tabla5[[#This Row],[INVERSIONES FCI]])</f>
        <v>30588389079.137627</v>
      </c>
      <c r="U150" s="5">
        <f>IF($B149&lt;=Tabla5[[#This Row],[INVERSIONES FCI]],+Tabla5[[#This Row],[INVERSIONES FCI]]-U149,Tabla5[[#This Row],[INVERSIONES FCI]])</f>
        <v>30588389079.137627</v>
      </c>
      <c r="V150" s="5">
        <f>IF($B149&lt;=Tabla5[[#This Row],[INVERSIONES FCI]],+Tabla5[[#This Row],[INVERSIONES FCI]]-V149,Tabla5[[#This Row],[INVERSIONES FCI]])</f>
        <v>30588389079.137627</v>
      </c>
      <c r="W150" s="5">
        <f>IF($B149&lt;=Tabla5[[#This Row],[INVERSIONES FCI]],+Tabla5[[#This Row],[INVERSIONES FCI]]-W149,Tabla5[[#This Row],[INVERSIONES FCI]])</f>
        <v>30588389079.137627</v>
      </c>
      <c r="X150" s="5">
        <f>IF($B149&lt;=Tabla5[[#This Row],[INVERSIONES FCI]],+Tabla5[[#This Row],[INVERSIONES FCI]]-X149,Tabla5[[#This Row],[INVERSIONES FCI]])</f>
        <v>30588389079.137627</v>
      </c>
      <c r="Y150" s="5">
        <f>IF($B149&lt;=Tabla5[[#This Row],[INVERSIONES FCI]],+Tabla5[[#This Row],[INVERSIONES FCI]]-Y149,Tabla5[[#This Row],[INVERSIONES FCI]])</f>
        <v>30588389079.137627</v>
      </c>
      <c r="Z150" s="5">
        <f>IF($B149&lt;=Tabla5[[#This Row],[INVERSIONES FCI]],+Tabla5[[#This Row],[INVERSIONES FCI]]-Z149,Tabla5[[#This Row],[INVERSIONES FCI]])</f>
        <v>30588389079.137627</v>
      </c>
      <c r="AA150" s="5">
        <f>IF($B149&lt;=Tabla5[[#This Row],[INVERSIONES FCI]],+Tabla5[[#This Row],[INVERSIONES FCI]]-AA149,Tabla5[[#This Row],[INVERSIONES FCI]])</f>
        <v>30588389079.137627</v>
      </c>
      <c r="AB150" s="5">
        <f>IF($B149&lt;=Tabla5[[#This Row],[INVERSIONES FCI]],+Tabla5[[#This Row],[INVERSIONES FCI]]-AB149,Tabla5[[#This Row],[INVERSIONES FCI]])</f>
        <v>30588389079.137627</v>
      </c>
      <c r="AC150" s="5">
        <f>IF($B149&lt;=Tabla5[[#This Row],[INVERSIONES FCI]],+Tabla5[[#This Row],[INVERSIONES FCI]]-AC149,Tabla5[[#This Row],[INVERSIONES FCI]])</f>
        <v>30588389079.137627</v>
      </c>
      <c r="AD150" s="5">
        <f>IF($B149&lt;=Tabla5[[#This Row],[INVERSIONES FCI]],+Tabla5[[#This Row],[INVERSIONES FCI]]-AD149,Tabla5[[#This Row],[INVERSIONES FCI]])</f>
        <v>30588389079.137627</v>
      </c>
      <c r="AE150" s="5">
        <f>IF($B149&lt;=Tabla5[[#This Row],[INVERSIONES FCI]],+Tabla5[[#This Row],[INVERSIONES FCI]]-AE149,Tabla5[[#This Row],[INVERSIONES FCI]])</f>
        <v>30588389079.137627</v>
      </c>
      <c r="AF150" s="5">
        <f>IF($B149&lt;=Tabla5[[#This Row],[INVERSIONES FCI]],+Tabla5[[#This Row],[INVERSIONES FCI]]-AF149,Tabla5[[#This Row],[INVERSIONES FCI]])</f>
        <v>30588389079.137627</v>
      </c>
      <c r="AG150" s="5">
        <f>IF($B149&lt;=Tabla5[[#This Row],[INVERSIONES FCI]],+Tabla5[[#This Row],[INVERSIONES FCI]]-AG149,Tabla5[[#This Row],[INVERSIONES FCI]])</f>
        <v>30588389079.137627</v>
      </c>
      <c r="AH150" s="5">
        <f>IF($B149&lt;=Tabla5[[#This Row],[INVERSIONES FCI]],+Tabla5[[#This Row],[INVERSIONES FCI]]-AH149,Tabla5[[#This Row],[INVERSIONES FCI]])</f>
        <v>30588389079.137627</v>
      </c>
      <c r="AI150" s="5">
        <f>IF($B149&lt;=Tabla5[[#This Row],[INVERSIONES FCI]],+Tabla5[[#This Row],[INVERSIONES FCI]]-AI149,Tabla5[[#This Row],[INVERSIONES FCI]])</f>
        <v>30588389079.137627</v>
      </c>
      <c r="AJ150" s="5">
        <f>IF($B149&lt;=Tabla5[[#This Row],[INVERSIONES FCI]],+Tabla5[[#This Row],[INVERSIONES FCI]]-AJ149,Tabla5[[#This Row],[INVERSIONES FCI]])</f>
        <v>30588389079.137627</v>
      </c>
      <c r="AK150" s="5">
        <f>IF($B149&lt;=Tabla5[[#This Row],[INVERSIONES FCI]],+Tabla5[[#This Row],[INVERSIONES FCI]]-AK149,Tabla5[[#This Row],[INVERSIONES FCI]])</f>
        <v>30588389079.137627</v>
      </c>
      <c r="AL150" s="5">
        <f>IF($B149&lt;=Tabla5[[#This Row],[INVERSIONES FCI]],+Tabla5[[#This Row],[INVERSIONES FCI]]-AL149,Tabla5[[#This Row],[INVERSIONES FCI]])</f>
        <v>30588389079.137627</v>
      </c>
      <c r="AM150" s="5">
        <f>IF($B149&lt;=Tabla5[[#This Row],[INVERSIONES FCI]],+Tabla5[[#This Row],[INVERSIONES FCI]]-AM149,Tabla5[[#This Row],[INVERSIONES FCI]])</f>
        <v>30588389079.137627</v>
      </c>
      <c r="AN150" s="5">
        <f>IF($B149&lt;=Tabla5[[#This Row],[INVERSIONES FCI]],+Tabla5[[#This Row],[INVERSIONES FCI]]-AN149,Tabla5[[#This Row],[INVERSIONES FCI]])</f>
        <v>30588389079.137627</v>
      </c>
      <c r="AO150" s="5">
        <f>IF($B149&lt;=Tabla5[[#This Row],[INVERSIONES FCI]],+Tabla5[[#This Row],[INVERSIONES FCI]]-AO149,Tabla5[[#This Row],[INVERSIONES FCI]])</f>
        <v>30588389079.137627</v>
      </c>
      <c r="AP150" s="5">
        <f>IF($B149&lt;=Tabla5[[#This Row],[INVERSIONES FCI]],+Tabla5[[#This Row],[INVERSIONES FCI]]-AP149,Tabla5[[#This Row],[INVERSIONES FCI]])</f>
        <v>30588389079.137627</v>
      </c>
      <c r="AQ150" s="5">
        <f>IF($B149&lt;=Tabla5[[#This Row],[INVERSIONES FCI]],+Tabla5[[#This Row],[INVERSIONES FCI]]-AQ149,Tabla5[[#This Row],[INVERSIONES FCI]])</f>
        <v>30588389079.137627</v>
      </c>
      <c r="AR150" s="5">
        <f>IF($B149&lt;=Tabla5[[#This Row],[INVERSIONES FCI]],+Tabla5[[#This Row],[INVERSIONES FCI]]-AR149,Tabla5[[#This Row],[INVERSIONES FCI]])</f>
        <v>30588389079.137627</v>
      </c>
      <c r="AS150" s="5">
        <f>IF($B149&lt;=Tabla5[[#This Row],[INVERSIONES FCI]],+Tabla5[[#This Row],[INVERSIONES FCI]]-AS149,Tabla5[[#This Row],[INVERSIONES FCI]])</f>
        <v>30588389079.137627</v>
      </c>
      <c r="AT150" s="5">
        <f>IF($B149&lt;=Tabla5[[#This Row],[INVERSIONES FCI]],+Tabla5[[#This Row],[INVERSIONES FCI]]-AT149,Tabla5[[#This Row],[INVERSIONES FCI]])</f>
        <v>30588389079.137627</v>
      </c>
      <c r="AU150" s="5">
        <f>IF($B149&lt;=Tabla5[[#This Row],[INVERSIONES FCI]],+Tabla5[[#This Row],[INVERSIONES FCI]]-AU149,Tabla5[[#This Row],[INVERSIONES FCI]])</f>
        <v>30588389079.137627</v>
      </c>
      <c r="AV150" s="5">
        <f>IF($B149&lt;=Tabla5[[#This Row],[INVERSIONES FCI]],+Tabla5[[#This Row],[INVERSIONES FCI]]-AV149,Tabla5[[#This Row],[INVERSIONES FCI]])</f>
        <v>30588389079.137627</v>
      </c>
      <c r="AW150" s="5">
        <f>IF($B149&lt;=Tabla5[[#This Row],[INVERSIONES FCI]],+Tabla5[[#This Row],[INVERSIONES FCI]]-AW149,Tabla5[[#This Row],[INVERSIONES FCI]])</f>
        <v>30588389079.137627</v>
      </c>
      <c r="AX150" s="5">
        <f>IF($B149&lt;=Tabla5[[#This Row],[INVERSIONES FCI]],+Tabla5[[#This Row],[INVERSIONES FCI]]-AX149,Tabla5[[#This Row],[INVERSIONES FCI]])</f>
        <v>30588389079.137627</v>
      </c>
      <c r="AY150" s="5">
        <f>IF($B149&lt;=Tabla5[[#This Row],[INVERSIONES FCI]],+Tabla5[[#This Row],[INVERSIONES FCI]]-AY149,Tabla5[[#This Row],[INVERSIONES FCI]])</f>
        <v>30588389079.137627</v>
      </c>
      <c r="AZ150" s="5">
        <f>IF($B149&lt;=Tabla5[[#This Row],[INVERSIONES FCI]],+Tabla5[[#This Row],[INVERSIONES FCI]]-AZ149,Tabla5[[#This Row],[INVERSIONES FCI]])</f>
        <v>30588389079.137627</v>
      </c>
      <c r="BA150" s="5">
        <f>IF($B149&lt;=Tabla5[[#This Row],[INVERSIONES FCI]],+Tabla5[[#This Row],[INVERSIONES FCI]]-BA149,Tabla5[[#This Row],[INVERSIONES FCI]])</f>
        <v>30588389079.137627</v>
      </c>
      <c r="BB150" s="5">
        <f>IF($B149&lt;=Tabla5[[#This Row],[INVERSIONES FCI]],+Tabla5[[#This Row],[INVERSIONES FCI]]-BB149,Tabla5[[#This Row],[INVERSIONES FCI]])</f>
        <v>30588389079.137627</v>
      </c>
      <c r="BC150" s="5">
        <f>IF($B149&lt;=Tabla5[[#This Row],[INVERSIONES FCI]],+Tabla5[[#This Row],[INVERSIONES FCI]]-BC149,Tabla5[[#This Row],[INVERSIONES FCI]])</f>
        <v>30588389079.137627</v>
      </c>
      <c r="BD150" s="5">
        <f>IF($B149&lt;=Tabla5[[#This Row],[INVERSIONES FCI]],+Tabla5[[#This Row],[INVERSIONES FCI]]-BD149,Tabla5[[#This Row],[INVERSIONES FCI]])</f>
        <v>30588389079.137627</v>
      </c>
      <c r="BE150" s="5">
        <f>IF($B149&lt;=Tabla5[[#This Row],[INVERSIONES FCI]],+Tabla5[[#This Row],[INVERSIONES FCI]]-BE149,Tabla5[[#This Row],[INVERSIONES FCI]])</f>
        <v>30588389079.137627</v>
      </c>
      <c r="BF150" s="5">
        <f>IF($B149&lt;=Tabla5[[#This Row],[INVERSIONES FCI]],+Tabla5[[#This Row],[INVERSIONES FCI]]-BF149,Tabla5[[#This Row],[INVERSIONES FCI]])</f>
        <v>30588389079.137627</v>
      </c>
      <c r="BG150" s="5">
        <f>IF($B149&lt;=Tabla5[[#This Row],[INVERSIONES FCI]],+Tabla5[[#This Row],[INVERSIONES FCI]]-BG149,Tabla5[[#This Row],[INVERSIONES FCI]])</f>
        <v>30588389079.137627</v>
      </c>
      <c r="BH150" s="5">
        <f>IF($B149&lt;=Tabla5[[#This Row],[INVERSIONES FCI]],+Tabla5[[#This Row],[INVERSIONES FCI]]-BH149,Tabla5[[#This Row],[INVERSIONES FCI]])</f>
        <v>30588389079.137627</v>
      </c>
      <c r="BI150" s="5">
        <f>IF($B149&lt;=Tabla5[[#This Row],[INVERSIONES FCI]],+Tabla5[[#This Row],[INVERSIONES FCI]]-BI149,Tabla5[[#This Row],[INVERSIONES FCI]])</f>
        <v>30588389079.137627</v>
      </c>
      <c r="BJ150" s="5">
        <f>IF($B149&lt;=Tabla5[[#This Row],[INVERSIONES FCI]],+Tabla5[[#This Row],[INVERSIONES FCI]]-BJ149,Tabla5[[#This Row],[INVERSIONES FCI]])</f>
        <v>30588389079.137627</v>
      </c>
      <c r="BK150" s="5">
        <f>IF($B149&lt;=Tabla5[[#This Row],[INVERSIONES FCI]],+Tabla5[[#This Row],[INVERSIONES FCI]]-BK149,Tabla5[[#This Row],[INVERSIONES FCI]])</f>
        <v>30588389079.137627</v>
      </c>
      <c r="BL150" s="5">
        <f>IF($B149&lt;=Tabla5[[#This Row],[INVERSIONES FCI]],+Tabla5[[#This Row],[INVERSIONES FCI]]-BL149,Tabla5[[#This Row],[INVERSIONES FCI]])</f>
        <v>30588389079.137627</v>
      </c>
      <c r="BM150" s="5">
        <f>IF($B149&lt;=Tabla5[[#This Row],[INVERSIONES FCI]],+Tabla5[[#This Row],[INVERSIONES FCI]]-BM149,Tabla5[[#This Row],[INVERSIONES FCI]])</f>
        <v>30588389079.137627</v>
      </c>
      <c r="BN150" s="5">
        <f>IF($B149&lt;=Tabla5[[#This Row],[INVERSIONES FCI]],+Tabla5[[#This Row],[INVERSIONES FCI]]-BN149,Tabla5[[#This Row],[INVERSIONES FCI]])</f>
        <v>30588389079.137627</v>
      </c>
      <c r="BO150" s="5">
        <f>IF($B149&lt;=Tabla5[[#This Row],[INVERSIONES FCI]],+Tabla5[[#This Row],[INVERSIONES FCI]]-BO149,Tabla5[[#This Row],[INVERSIONES FCI]])</f>
        <v>30588389079.137627</v>
      </c>
      <c r="BP150" s="5">
        <f>IF($B149&lt;=Tabla5[[#This Row],[INVERSIONES FCI]],+Tabla5[[#This Row],[INVERSIONES FCI]]-BP149,Tabla5[[#This Row],[INVERSIONES FCI]])</f>
        <v>30588389079.137627</v>
      </c>
      <c r="BQ150" s="5">
        <f>IF($B149&lt;=Tabla5[[#This Row],[INVERSIONES FCI]],+Tabla5[[#This Row],[INVERSIONES FCI]]-BQ149,Tabla5[[#This Row],[INVERSIONES FCI]])</f>
        <v>30588389079.137627</v>
      </c>
      <c r="BR150" s="5">
        <f>IF($B149&lt;=Tabla5[[#This Row],[INVERSIONES FCI]],+Tabla5[[#This Row],[INVERSIONES FCI]]-BR149,Tabla5[[#This Row],[INVERSIONES FCI]])</f>
        <v>30588389079.137627</v>
      </c>
      <c r="BS150" s="5">
        <f>IF($B149&lt;=Tabla5[[#This Row],[INVERSIONES FCI]],+Tabla5[[#This Row],[INVERSIONES FCI]]-BS149,Tabla5[[#This Row],[INVERSIONES FCI]])</f>
        <v>30588389079.137627</v>
      </c>
      <c r="BT150" s="5">
        <f>IF($B149&lt;=Tabla5[[#This Row],[INVERSIONES FCI]],+Tabla5[[#This Row],[INVERSIONES FCI]]-BT149,Tabla5[[#This Row],[INVERSIONES FCI]])</f>
        <v>30588389079.137627</v>
      </c>
      <c r="BU150" s="5">
        <f>IF($B149&lt;=Tabla5[[#This Row],[INVERSIONES FCI]],+Tabla5[[#This Row],[INVERSIONES FCI]]-BU149,Tabla5[[#This Row],[INVERSIONES FCI]])</f>
        <v>30588389079.137627</v>
      </c>
      <c r="BV150" s="5">
        <f>IF($B149&lt;=Tabla5[[#This Row],[INVERSIONES FCI]],+Tabla5[[#This Row],[INVERSIONES FCI]]-BV149,Tabla5[[#This Row],[INVERSIONES FCI]])</f>
        <v>30588389079.137627</v>
      </c>
      <c r="BW150" s="5">
        <f>IF($B149&lt;=Tabla5[[#This Row],[INVERSIONES FCI]],+Tabla5[[#This Row],[INVERSIONES FCI]]-BW149,Tabla5[[#This Row],[INVERSIONES FCI]])</f>
        <v>30588389079.137627</v>
      </c>
      <c r="BX150" s="5">
        <f>IF($B149&lt;=Tabla5[[#This Row],[INVERSIONES FCI]],+Tabla5[[#This Row],[INVERSIONES FCI]]-BX149,Tabla5[[#This Row],[INVERSIONES FCI]])</f>
        <v>30588389079.137627</v>
      </c>
      <c r="BY150" s="5">
        <f>IF($B149&lt;=Tabla5[[#This Row],[INVERSIONES FCI]],+Tabla5[[#This Row],[INVERSIONES FCI]]-BY149,Tabla5[[#This Row],[INVERSIONES FCI]])</f>
        <v>30588389079.137627</v>
      </c>
      <c r="BZ150" s="5">
        <f>IF($B149&lt;=Tabla5[[#This Row],[INVERSIONES FCI]],+Tabla5[[#This Row],[INVERSIONES FCI]]-BZ149,Tabla5[[#This Row],[INVERSIONES FCI]])</f>
        <v>30588389079.137627</v>
      </c>
      <c r="CA150" s="5">
        <f>IF($B149&lt;=Tabla5[[#This Row],[INVERSIONES FCI]],+Tabla5[[#This Row],[INVERSIONES FCI]]-CA149,Tabla5[[#This Row],[INVERSIONES FCI]])</f>
        <v>30588389079.137627</v>
      </c>
      <c r="CB150" s="5">
        <f>IF($B149&lt;=Tabla5[[#This Row],[INVERSIONES FCI]],+Tabla5[[#This Row],[INVERSIONES FCI]]-CB149,Tabla5[[#This Row],[INVERSIONES FCI]])</f>
        <v>30588389079.137627</v>
      </c>
      <c r="CC150" s="5">
        <f>IF($B149&lt;=Tabla5[[#This Row],[INVERSIONES FCI]],+Tabla5[[#This Row],[INVERSIONES FCI]]-CC149,Tabla5[[#This Row],[INVERSIONES FCI]])</f>
        <v>30588389079.137627</v>
      </c>
      <c r="CD150" s="5">
        <f>IF($B149&lt;=Tabla5[[#This Row],[INVERSIONES FCI]],+Tabla5[[#This Row],[INVERSIONES FCI]]-CD149,Tabla5[[#This Row],[INVERSIONES FCI]])</f>
        <v>30588389079.137627</v>
      </c>
      <c r="CE150" s="5">
        <f>IF($B149&lt;=Tabla5[[#This Row],[INVERSIONES FCI]],+Tabla5[[#This Row],[INVERSIONES FCI]]-CE149,Tabla5[[#This Row],[INVERSIONES FCI]])</f>
        <v>30588389079.137627</v>
      </c>
      <c r="CF150" s="5">
        <f>IF($B149&lt;=Tabla5[[#This Row],[INVERSIONES FCI]],+Tabla5[[#This Row],[INVERSIONES FCI]]-CF149,Tabla5[[#This Row],[INVERSIONES FCI]])</f>
        <v>30588389079.137627</v>
      </c>
      <c r="CG150" s="5">
        <f>IF($B149&lt;=Tabla5[[#This Row],[INVERSIONES FCI]],+Tabla5[[#This Row],[INVERSIONES FCI]]-CG149,Tabla5[[#This Row],[INVERSIONES FCI]])</f>
        <v>30588389079.137627</v>
      </c>
      <c r="CH150" s="5">
        <f>IF($B149&lt;=Tabla5[[#This Row],[INVERSIONES FCI]],+Tabla5[[#This Row],[INVERSIONES FCI]]-CH149,Tabla5[[#This Row],[INVERSIONES FCI]])</f>
        <v>30588389079.137627</v>
      </c>
      <c r="CI150" s="5">
        <f>IF($B149&lt;=Tabla5[[#This Row],[INVERSIONES FCI]],+Tabla5[[#This Row],[INVERSIONES FCI]]-CI149,Tabla5[[#This Row],[INVERSIONES FCI]])</f>
        <v>30588389079.137627</v>
      </c>
      <c r="CJ150" s="5">
        <f>IF($B149&lt;=Tabla5[[#This Row],[INVERSIONES FCI]],+Tabla5[[#This Row],[INVERSIONES FCI]]-CJ149,Tabla5[[#This Row],[INVERSIONES FCI]])</f>
        <v>30588389079.137627</v>
      </c>
      <c r="CK150" s="5">
        <f>IF($B149&lt;=Tabla5[[#This Row],[INVERSIONES FCI]],+Tabla5[[#This Row],[INVERSIONES FCI]]-CK149,Tabla5[[#This Row],[INVERSIONES FCI]])</f>
        <v>30588389079.137627</v>
      </c>
      <c r="CL150" s="5">
        <f>IF($B149&lt;=Tabla5[[#This Row],[INVERSIONES FCI]],+Tabla5[[#This Row],[INVERSIONES FCI]]-CL149,Tabla5[[#This Row],[INVERSIONES FCI]])</f>
        <v>30588389079.137627</v>
      </c>
      <c r="CM150" s="5">
        <f>IF($B149&lt;=Tabla5[[#This Row],[INVERSIONES FCI]],+Tabla5[[#This Row],[INVERSIONES FCI]]-CM149,Tabla5[[#This Row],[INVERSIONES FCI]])</f>
        <v>30588389079.137627</v>
      </c>
      <c r="CN150" s="5">
        <f>IF($B149&lt;=Tabla5[[#This Row],[INVERSIONES FCI]],+Tabla5[[#This Row],[INVERSIONES FCI]]-CN149,Tabla5[[#This Row],[INVERSIONES FCI]])</f>
        <v>30588389079.137627</v>
      </c>
      <c r="CO150" s="5">
        <f>IF($B149&lt;=Tabla5[[#This Row],[INVERSIONES FCI]],+Tabla5[[#This Row],[INVERSIONES FCI]]-CO149,Tabla5[[#This Row],[INVERSIONES FCI]])</f>
        <v>30588389079.137627</v>
      </c>
      <c r="CP150" s="5">
        <f>IF($B149&lt;=Tabla5[[#This Row],[INVERSIONES FCI]],+Tabla5[[#This Row],[INVERSIONES FCI]]-CP149,Tabla5[[#This Row],[INVERSIONES FCI]])</f>
        <v>30588389079.137627</v>
      </c>
      <c r="CQ150" s="5">
        <f>IF($B149&lt;=Tabla5[[#This Row],[INVERSIONES FCI]],+Tabla5[[#This Row],[INVERSIONES FCI]]-CQ149,Tabla5[[#This Row],[INVERSIONES FCI]])</f>
        <v>30588389079.137627</v>
      </c>
      <c r="CR150" s="5">
        <f>IF($B149&lt;=Tabla5[[#This Row],[INVERSIONES FCI]],+Tabla5[[#This Row],[INVERSIONES FCI]]-CR149,Tabla5[[#This Row],[INVERSIONES FCI]])</f>
        <v>30588389079.137627</v>
      </c>
      <c r="CS150" s="5">
        <f>IF($B149&lt;=Tabla5[[#This Row],[INVERSIONES FCI]],+Tabla5[[#This Row],[INVERSIONES FCI]]-CS149,Tabla5[[#This Row],[INVERSIONES FCI]])</f>
        <v>30588389079.137627</v>
      </c>
      <c r="CT150" s="5">
        <f>IF($B149&lt;=Tabla5[[#This Row],[INVERSIONES FCI]],+Tabla5[[#This Row],[INVERSIONES FCI]]-CT149,Tabla5[[#This Row],[INVERSIONES FCI]])</f>
        <v>30588389079.137627</v>
      </c>
      <c r="CU150" s="5">
        <f>IF($B149&lt;=Tabla5[[#This Row],[INVERSIONES FCI]],+Tabla5[[#This Row],[INVERSIONES FCI]]-CU149,Tabla5[[#This Row],[INVERSIONES FCI]])</f>
        <v>30588389079.137627</v>
      </c>
      <c r="CV150" s="5">
        <f>IF($B149&lt;=Tabla5[[#This Row],[INVERSIONES FCI]],+Tabla5[[#This Row],[INVERSIONES FCI]]-CV149,Tabla5[[#This Row],[INVERSIONES FCI]])</f>
        <v>30588389079.137627</v>
      </c>
      <c r="CW150" s="5">
        <f>IF($B149&lt;=Tabla5[[#This Row],[INVERSIONES FCI]],+Tabla5[[#This Row],[INVERSIONES FCI]]-CW149,Tabla5[[#This Row],[INVERSIONES FCI]])</f>
        <v>30588389079.137627</v>
      </c>
      <c r="CX150" s="5">
        <f>IF($B149&lt;=Tabla5[[#This Row],[INVERSIONES FCI]],+Tabla5[[#This Row],[INVERSIONES FCI]]-CX149,Tabla5[[#This Row],[INVERSIONES FCI]])</f>
        <v>30588389079.137627</v>
      </c>
      <c r="CY150" s="5">
        <f>IF($B149&lt;=Tabla5[[#This Row],[INVERSIONES FCI]],+Tabla5[[#This Row],[INVERSIONES FCI]]-CY149,Tabla5[[#This Row],[INVERSIONES FCI]])</f>
        <v>30588389079.137627</v>
      </c>
      <c r="CZ150" s="5">
        <f>IF($B149&lt;=Tabla5[[#This Row],[INVERSIONES FCI]],+Tabla5[[#This Row],[INVERSIONES FCI]]-CZ149,Tabla5[[#This Row],[INVERSIONES FCI]])</f>
        <v>30588389079.137627</v>
      </c>
      <c r="DA150" s="5">
        <f>IF($B149&lt;=Tabla5[[#This Row],[INVERSIONES FCI]],+Tabla5[[#This Row],[INVERSIONES FCI]]-DA149,Tabla5[[#This Row],[INVERSIONES FCI]])</f>
        <v>30588389079.137627</v>
      </c>
      <c r="DB150" s="5">
        <f>IF($B149&lt;=Tabla5[[#This Row],[INVERSIONES FCI]],+Tabla5[[#This Row],[INVERSIONES FCI]]-DB149,Tabla5[[#This Row],[INVERSIONES FCI]])</f>
        <v>30588389079.137627</v>
      </c>
      <c r="DC150" s="5">
        <f>IF($B149&lt;=Tabla5[[#This Row],[INVERSIONES FCI]],+Tabla5[[#This Row],[INVERSIONES FCI]]-DC149,Tabla5[[#This Row],[INVERSIONES FCI]])</f>
        <v>30588389079.137627</v>
      </c>
      <c r="DD150" s="5">
        <f>IF($B149&lt;=Tabla5[[#This Row],[INVERSIONES FCI]],+Tabla5[[#This Row],[INVERSIONES FCI]]-DD149,Tabla5[[#This Row],[INVERSIONES FCI]])</f>
        <v>30588389079.137627</v>
      </c>
      <c r="DE150" s="5">
        <f>IF($B149&lt;=Tabla5[[#This Row],[INVERSIONES FCI]],+Tabla5[[#This Row],[INVERSIONES FCI]]-DE149,Tabla5[[#This Row],[INVERSIONES FCI]])</f>
        <v>30588389079.137627</v>
      </c>
      <c r="DF150" s="5">
        <f>IF($B149&lt;=Tabla5[[#This Row],[INVERSIONES FCI]],+Tabla5[[#This Row],[INVERSIONES FCI]]-DF149,Tabla5[[#This Row],[INVERSIONES FCI]])</f>
        <v>30588389079.137627</v>
      </c>
      <c r="DG150" s="5">
        <f>IF($B149&lt;=Tabla5[[#This Row],[INVERSIONES FCI]],+Tabla5[[#This Row],[INVERSIONES FCI]]-DG149,Tabla5[[#This Row],[INVERSIONES FCI]])</f>
        <v>30588389079.137627</v>
      </c>
      <c r="DH150" s="5">
        <f>IF($B149&lt;=Tabla5[[#This Row],[INVERSIONES FCI]],+Tabla5[[#This Row],[INVERSIONES FCI]]-DH149,Tabla5[[#This Row],[INVERSIONES FCI]])</f>
        <v>30588389079.137627</v>
      </c>
      <c r="DI150" s="5">
        <f>IF($B149&lt;=Tabla5[[#This Row],[INVERSIONES FCI]],+Tabla5[[#This Row],[INVERSIONES FCI]]-DI149,Tabla5[[#This Row],[INVERSIONES FCI]])</f>
        <v>30588389079.137627</v>
      </c>
      <c r="DJ150" s="5">
        <f>IF($B149&lt;=Tabla5[[#This Row],[INVERSIONES FCI]],+Tabla5[[#This Row],[INVERSIONES FCI]]-DJ149,Tabla5[[#This Row],[INVERSIONES FCI]])</f>
        <v>30588389079.137627</v>
      </c>
      <c r="DK150" s="5">
        <f>IF($B149&lt;=Tabla5[[#This Row],[INVERSIONES FCI]],+Tabla5[[#This Row],[INVERSIONES FCI]]-DK149,Tabla5[[#This Row],[INVERSIONES FCI]])</f>
        <v>30588389079.137627</v>
      </c>
      <c r="DL150" s="5"/>
      <c r="DM150" s="5"/>
      <c r="DN150" s="5"/>
      <c r="DO150" s="5"/>
      <c r="DP150" s="5"/>
      <c r="DQ150" s="5"/>
    </row>
    <row r="151" spans="1:121" ht="14.4">
      <c r="A151" s="12" t="s">
        <v>150</v>
      </c>
      <c r="B151" s="5">
        <f>HLOOKUP($A151,ESCENARIO[#All],7,FALSE)</f>
        <v>10080987116.831944</v>
      </c>
      <c r="C151" s="5">
        <f>IF($B150&lt;=Tabla5[[#This Row],[INVERSIONES FCI]],+Tabla5[[#This Row],[INVERSIONES FCI]]-C150,Tabla5[[#This Row],[INVERSIONES FCI]])</f>
        <v>10080987116.831944</v>
      </c>
      <c r="D151" s="5">
        <f>IF($B150&lt;=Tabla5[[#This Row],[INVERSIONES FCI]],+Tabla5[[#This Row],[INVERSIONES FCI]]-D150,Tabla5[[#This Row],[INVERSIONES FCI]])</f>
        <v>10080987116.831944</v>
      </c>
      <c r="E151" s="5">
        <f>IF($B150&lt;=Tabla5[[#This Row],[INVERSIONES FCI]],+Tabla5[[#This Row],[INVERSIONES FCI]]-E150,Tabla5[[#This Row],[INVERSIONES FCI]])</f>
        <v>10080987116.831944</v>
      </c>
      <c r="F151" s="5">
        <f>IF($B150&lt;=Tabla5[[#This Row],[INVERSIONES FCI]],+Tabla5[[#This Row],[INVERSIONES FCI]]-F150,Tabla5[[#This Row],[INVERSIONES FCI]])</f>
        <v>10080987116.831944</v>
      </c>
      <c r="G151" s="5">
        <f>IF($B150&lt;=Tabla5[[#This Row],[INVERSIONES FCI]],+Tabla5[[#This Row],[INVERSIONES FCI]]-G150,Tabla5[[#This Row],[INVERSIONES FCI]])</f>
        <v>10080987116.831944</v>
      </c>
      <c r="H151" s="5">
        <f>IF($B150&lt;=Tabla5[[#This Row],[INVERSIONES FCI]],+Tabla5[[#This Row],[INVERSIONES FCI]]-H150,Tabla5[[#This Row],[INVERSIONES FCI]])</f>
        <v>10080987116.831944</v>
      </c>
      <c r="I151" s="5">
        <f>IF($B150&lt;=Tabla5[[#This Row],[INVERSIONES FCI]],+Tabla5[[#This Row],[INVERSIONES FCI]]-I150,Tabla5[[#This Row],[INVERSIONES FCI]])</f>
        <v>10080987116.831944</v>
      </c>
      <c r="J151" s="5">
        <f>IF($B150&lt;=Tabla5[[#This Row],[INVERSIONES FCI]],+Tabla5[[#This Row],[INVERSIONES FCI]]-J150,Tabla5[[#This Row],[INVERSIONES FCI]])</f>
        <v>10080987116.831944</v>
      </c>
      <c r="K151" s="5">
        <f>IF($B150&lt;=Tabla5[[#This Row],[INVERSIONES FCI]],+Tabla5[[#This Row],[INVERSIONES FCI]]-K150,Tabla5[[#This Row],[INVERSIONES FCI]])</f>
        <v>10080987116.831944</v>
      </c>
      <c r="L151" s="5">
        <f>IF($B150&lt;=Tabla5[[#This Row],[INVERSIONES FCI]],+Tabla5[[#This Row],[INVERSIONES FCI]]-L150,Tabla5[[#This Row],[INVERSIONES FCI]])</f>
        <v>10080987116.831944</v>
      </c>
      <c r="M151" s="5">
        <f>IF($B150&lt;=Tabla5[[#This Row],[INVERSIONES FCI]],+Tabla5[[#This Row],[INVERSIONES FCI]]-M150,Tabla5[[#This Row],[INVERSIONES FCI]])</f>
        <v>10080987116.831944</v>
      </c>
      <c r="N151" s="5">
        <f>IF($B150&lt;=Tabla5[[#This Row],[INVERSIONES FCI]],+Tabla5[[#This Row],[INVERSIONES FCI]]-N150,Tabla5[[#This Row],[INVERSIONES FCI]])</f>
        <v>10080987116.831944</v>
      </c>
      <c r="O151" s="5">
        <f>IF($B150&lt;=Tabla5[[#This Row],[INVERSIONES FCI]],+Tabla5[[#This Row],[INVERSIONES FCI]]-O150,Tabla5[[#This Row],[INVERSIONES FCI]])</f>
        <v>10080987116.831944</v>
      </c>
      <c r="P151" s="5">
        <f>IF($B150&lt;=Tabla5[[#This Row],[INVERSIONES FCI]],+Tabla5[[#This Row],[INVERSIONES FCI]]-P150,Tabla5[[#This Row],[INVERSIONES FCI]])</f>
        <v>10080987116.831944</v>
      </c>
      <c r="Q151" s="5">
        <f>IF($B150&lt;=Tabla5[[#This Row],[INVERSIONES FCI]],+Tabla5[[#This Row],[INVERSIONES FCI]]-Q150,Tabla5[[#This Row],[INVERSIONES FCI]])</f>
        <v>10080987116.831944</v>
      </c>
      <c r="R151" s="5">
        <f>IF($B150&lt;=Tabla5[[#This Row],[INVERSIONES FCI]],+Tabla5[[#This Row],[INVERSIONES FCI]]-R150,Tabla5[[#This Row],[INVERSIONES FCI]])</f>
        <v>10080987116.831944</v>
      </c>
      <c r="S151" s="5">
        <f>IF($B150&lt;=Tabla5[[#This Row],[INVERSIONES FCI]],+Tabla5[[#This Row],[INVERSIONES FCI]]-S150,Tabla5[[#This Row],[INVERSIONES FCI]])</f>
        <v>10080987116.831944</v>
      </c>
      <c r="T151" s="5">
        <f>IF($B150&lt;=Tabla5[[#This Row],[INVERSIONES FCI]],+Tabla5[[#This Row],[INVERSIONES FCI]]-T150,Tabla5[[#This Row],[INVERSIONES FCI]])</f>
        <v>10080987116.831944</v>
      </c>
      <c r="U151" s="5">
        <f>IF($B150&lt;=Tabla5[[#This Row],[INVERSIONES FCI]],+Tabla5[[#This Row],[INVERSIONES FCI]]-U150,Tabla5[[#This Row],[INVERSIONES FCI]])</f>
        <v>10080987116.831944</v>
      </c>
      <c r="V151" s="5">
        <f>IF($B150&lt;=Tabla5[[#This Row],[INVERSIONES FCI]],+Tabla5[[#This Row],[INVERSIONES FCI]]-V150,Tabla5[[#This Row],[INVERSIONES FCI]])</f>
        <v>10080987116.831944</v>
      </c>
      <c r="W151" s="5">
        <f>IF($B150&lt;=Tabla5[[#This Row],[INVERSIONES FCI]],+Tabla5[[#This Row],[INVERSIONES FCI]]-W150,Tabla5[[#This Row],[INVERSIONES FCI]])</f>
        <v>10080987116.831944</v>
      </c>
      <c r="X151" s="5">
        <f>IF($B150&lt;=Tabla5[[#This Row],[INVERSIONES FCI]],+Tabla5[[#This Row],[INVERSIONES FCI]]-X150,Tabla5[[#This Row],[INVERSIONES FCI]])</f>
        <v>10080987116.831944</v>
      </c>
      <c r="Y151" s="5">
        <f>IF($B150&lt;=Tabla5[[#This Row],[INVERSIONES FCI]],+Tabla5[[#This Row],[INVERSIONES FCI]]-Y150,Tabla5[[#This Row],[INVERSIONES FCI]])</f>
        <v>10080987116.831944</v>
      </c>
      <c r="Z151" s="5">
        <f>IF($B150&lt;=Tabla5[[#This Row],[INVERSIONES FCI]],+Tabla5[[#This Row],[INVERSIONES FCI]]-Z150,Tabla5[[#This Row],[INVERSIONES FCI]])</f>
        <v>10080987116.831944</v>
      </c>
      <c r="AA151" s="5">
        <f>IF($B150&lt;=Tabla5[[#This Row],[INVERSIONES FCI]],+Tabla5[[#This Row],[INVERSIONES FCI]]-AA150,Tabla5[[#This Row],[INVERSIONES FCI]])</f>
        <v>10080987116.831944</v>
      </c>
      <c r="AB151" s="5">
        <f>IF($B150&lt;=Tabla5[[#This Row],[INVERSIONES FCI]],+Tabla5[[#This Row],[INVERSIONES FCI]]-AB150,Tabla5[[#This Row],[INVERSIONES FCI]])</f>
        <v>10080987116.831944</v>
      </c>
      <c r="AC151" s="5">
        <f>IF($B150&lt;=Tabla5[[#This Row],[INVERSIONES FCI]],+Tabla5[[#This Row],[INVERSIONES FCI]]-AC150,Tabla5[[#This Row],[INVERSIONES FCI]])</f>
        <v>10080987116.831944</v>
      </c>
      <c r="AD151" s="5">
        <f>IF($B150&lt;=Tabla5[[#This Row],[INVERSIONES FCI]],+Tabla5[[#This Row],[INVERSIONES FCI]]-AD150,Tabla5[[#This Row],[INVERSIONES FCI]])</f>
        <v>10080987116.831944</v>
      </c>
      <c r="AE151" s="5">
        <f>IF($B150&lt;=Tabla5[[#This Row],[INVERSIONES FCI]],+Tabla5[[#This Row],[INVERSIONES FCI]]-AE150,Tabla5[[#This Row],[INVERSIONES FCI]])</f>
        <v>10080987116.831944</v>
      </c>
      <c r="AF151" s="5">
        <f>IF($B150&lt;=Tabla5[[#This Row],[INVERSIONES FCI]],+Tabla5[[#This Row],[INVERSIONES FCI]]-AF150,Tabla5[[#This Row],[INVERSIONES FCI]])</f>
        <v>10080987116.831944</v>
      </c>
      <c r="AG151" s="5">
        <f>IF($B150&lt;=Tabla5[[#This Row],[INVERSIONES FCI]],+Tabla5[[#This Row],[INVERSIONES FCI]]-AG150,Tabla5[[#This Row],[INVERSIONES FCI]])</f>
        <v>10080987116.831944</v>
      </c>
      <c r="AH151" s="5">
        <f>IF($B150&lt;=Tabla5[[#This Row],[INVERSIONES FCI]],+Tabla5[[#This Row],[INVERSIONES FCI]]-AH150,Tabla5[[#This Row],[INVERSIONES FCI]])</f>
        <v>10080987116.831944</v>
      </c>
      <c r="AI151" s="5">
        <f>IF($B150&lt;=Tabla5[[#This Row],[INVERSIONES FCI]],+Tabla5[[#This Row],[INVERSIONES FCI]]-AI150,Tabla5[[#This Row],[INVERSIONES FCI]])</f>
        <v>10080987116.831944</v>
      </c>
      <c r="AJ151" s="5">
        <f>IF($B150&lt;=Tabla5[[#This Row],[INVERSIONES FCI]],+Tabla5[[#This Row],[INVERSIONES FCI]]-AJ150,Tabla5[[#This Row],[INVERSIONES FCI]])</f>
        <v>10080987116.831944</v>
      </c>
      <c r="AK151" s="5">
        <f>IF($B150&lt;=Tabla5[[#This Row],[INVERSIONES FCI]],+Tabla5[[#This Row],[INVERSIONES FCI]]-AK150,Tabla5[[#This Row],[INVERSIONES FCI]])</f>
        <v>10080987116.831944</v>
      </c>
      <c r="AL151" s="5">
        <f>IF($B150&lt;=Tabla5[[#This Row],[INVERSIONES FCI]],+Tabla5[[#This Row],[INVERSIONES FCI]]-AL150,Tabla5[[#This Row],[INVERSIONES FCI]])</f>
        <v>10080987116.831944</v>
      </c>
      <c r="AM151" s="5">
        <f>IF($B150&lt;=Tabla5[[#This Row],[INVERSIONES FCI]],+Tabla5[[#This Row],[INVERSIONES FCI]]-AM150,Tabla5[[#This Row],[INVERSIONES FCI]])</f>
        <v>10080987116.831944</v>
      </c>
      <c r="AN151" s="5">
        <f>IF($B150&lt;=Tabla5[[#This Row],[INVERSIONES FCI]],+Tabla5[[#This Row],[INVERSIONES FCI]]-AN150,Tabla5[[#This Row],[INVERSIONES FCI]])</f>
        <v>10080987116.831944</v>
      </c>
      <c r="AO151" s="5">
        <f>IF($B150&lt;=Tabla5[[#This Row],[INVERSIONES FCI]],+Tabla5[[#This Row],[INVERSIONES FCI]]-AO150,Tabla5[[#This Row],[INVERSIONES FCI]])</f>
        <v>10080987116.831944</v>
      </c>
      <c r="AP151" s="5">
        <f>IF($B150&lt;=Tabla5[[#This Row],[INVERSIONES FCI]],+Tabla5[[#This Row],[INVERSIONES FCI]]-AP150,Tabla5[[#This Row],[INVERSIONES FCI]])</f>
        <v>10080987116.831944</v>
      </c>
      <c r="AQ151" s="5">
        <f>IF($B150&lt;=Tabla5[[#This Row],[INVERSIONES FCI]],+Tabla5[[#This Row],[INVERSIONES FCI]]-AQ150,Tabla5[[#This Row],[INVERSIONES FCI]])</f>
        <v>10080987116.831944</v>
      </c>
      <c r="AR151" s="5">
        <f>IF($B150&lt;=Tabla5[[#This Row],[INVERSIONES FCI]],+Tabla5[[#This Row],[INVERSIONES FCI]]-AR150,Tabla5[[#This Row],[INVERSIONES FCI]])</f>
        <v>10080987116.831944</v>
      </c>
      <c r="AS151" s="5">
        <f>IF($B150&lt;=Tabla5[[#This Row],[INVERSIONES FCI]],+Tabla5[[#This Row],[INVERSIONES FCI]]-AS150,Tabla5[[#This Row],[INVERSIONES FCI]])</f>
        <v>10080987116.831944</v>
      </c>
      <c r="AT151" s="5">
        <f>IF($B150&lt;=Tabla5[[#This Row],[INVERSIONES FCI]],+Tabla5[[#This Row],[INVERSIONES FCI]]-AT150,Tabla5[[#This Row],[INVERSIONES FCI]])</f>
        <v>10080987116.831944</v>
      </c>
      <c r="AU151" s="5">
        <f>IF($B150&lt;=Tabla5[[#This Row],[INVERSIONES FCI]],+Tabla5[[#This Row],[INVERSIONES FCI]]-AU150,Tabla5[[#This Row],[INVERSIONES FCI]])</f>
        <v>10080987116.831944</v>
      </c>
      <c r="AV151" s="5">
        <f>IF($B150&lt;=Tabla5[[#This Row],[INVERSIONES FCI]],+Tabla5[[#This Row],[INVERSIONES FCI]]-AV150,Tabla5[[#This Row],[INVERSIONES FCI]])</f>
        <v>10080987116.831944</v>
      </c>
      <c r="AW151" s="5">
        <f>IF($B150&lt;=Tabla5[[#This Row],[INVERSIONES FCI]],+Tabla5[[#This Row],[INVERSIONES FCI]]-AW150,Tabla5[[#This Row],[INVERSIONES FCI]])</f>
        <v>10080987116.831944</v>
      </c>
      <c r="AX151" s="5">
        <f>IF($B150&lt;=Tabla5[[#This Row],[INVERSIONES FCI]],+Tabla5[[#This Row],[INVERSIONES FCI]]-AX150,Tabla5[[#This Row],[INVERSIONES FCI]])</f>
        <v>10080987116.831944</v>
      </c>
      <c r="AY151" s="5">
        <f>IF($B150&lt;=Tabla5[[#This Row],[INVERSIONES FCI]],+Tabla5[[#This Row],[INVERSIONES FCI]]-AY150,Tabla5[[#This Row],[INVERSIONES FCI]])</f>
        <v>10080987116.831944</v>
      </c>
      <c r="AZ151" s="5">
        <f>IF($B150&lt;=Tabla5[[#This Row],[INVERSIONES FCI]],+Tabla5[[#This Row],[INVERSIONES FCI]]-AZ150,Tabla5[[#This Row],[INVERSIONES FCI]])</f>
        <v>10080987116.831944</v>
      </c>
      <c r="BA151" s="5">
        <f>IF($B150&lt;=Tabla5[[#This Row],[INVERSIONES FCI]],+Tabla5[[#This Row],[INVERSIONES FCI]]-BA150,Tabla5[[#This Row],[INVERSIONES FCI]])</f>
        <v>10080987116.831944</v>
      </c>
      <c r="BB151" s="5">
        <f>IF($B150&lt;=Tabla5[[#This Row],[INVERSIONES FCI]],+Tabla5[[#This Row],[INVERSIONES FCI]]-BB150,Tabla5[[#This Row],[INVERSIONES FCI]])</f>
        <v>10080987116.831944</v>
      </c>
      <c r="BC151" s="5">
        <f>IF($B150&lt;=Tabla5[[#This Row],[INVERSIONES FCI]],+Tabla5[[#This Row],[INVERSIONES FCI]]-BC150,Tabla5[[#This Row],[INVERSIONES FCI]])</f>
        <v>10080987116.831944</v>
      </c>
      <c r="BD151" s="5">
        <f>IF($B150&lt;=Tabla5[[#This Row],[INVERSIONES FCI]],+Tabla5[[#This Row],[INVERSIONES FCI]]-BD150,Tabla5[[#This Row],[INVERSIONES FCI]])</f>
        <v>10080987116.831944</v>
      </c>
      <c r="BE151" s="5">
        <f>IF($B150&lt;=Tabla5[[#This Row],[INVERSIONES FCI]],+Tabla5[[#This Row],[INVERSIONES FCI]]-BE150,Tabla5[[#This Row],[INVERSIONES FCI]])</f>
        <v>10080987116.831944</v>
      </c>
      <c r="BF151" s="5">
        <f>IF($B150&lt;=Tabla5[[#This Row],[INVERSIONES FCI]],+Tabla5[[#This Row],[INVERSIONES FCI]]-BF150,Tabla5[[#This Row],[INVERSIONES FCI]])</f>
        <v>10080987116.831944</v>
      </c>
      <c r="BG151" s="5">
        <f>IF($B150&lt;=Tabla5[[#This Row],[INVERSIONES FCI]],+Tabla5[[#This Row],[INVERSIONES FCI]]-BG150,Tabla5[[#This Row],[INVERSIONES FCI]])</f>
        <v>10080987116.831944</v>
      </c>
      <c r="BH151" s="5">
        <f>IF($B150&lt;=Tabla5[[#This Row],[INVERSIONES FCI]],+Tabla5[[#This Row],[INVERSIONES FCI]]-BH150,Tabla5[[#This Row],[INVERSIONES FCI]])</f>
        <v>10080987116.831944</v>
      </c>
      <c r="BI151" s="5">
        <f>IF($B150&lt;=Tabla5[[#This Row],[INVERSIONES FCI]],+Tabla5[[#This Row],[INVERSIONES FCI]]-BI150,Tabla5[[#This Row],[INVERSIONES FCI]])</f>
        <v>10080987116.831944</v>
      </c>
      <c r="BJ151" s="5">
        <f>IF($B150&lt;=Tabla5[[#This Row],[INVERSIONES FCI]],+Tabla5[[#This Row],[INVERSIONES FCI]]-BJ150,Tabla5[[#This Row],[INVERSIONES FCI]])</f>
        <v>10080987116.831944</v>
      </c>
      <c r="BK151" s="5">
        <f>IF($B150&lt;=Tabla5[[#This Row],[INVERSIONES FCI]],+Tabla5[[#This Row],[INVERSIONES FCI]]-BK150,Tabla5[[#This Row],[INVERSIONES FCI]])</f>
        <v>10080987116.831944</v>
      </c>
      <c r="BL151" s="5">
        <f>IF($B150&lt;=Tabla5[[#This Row],[INVERSIONES FCI]],+Tabla5[[#This Row],[INVERSIONES FCI]]-BL150,Tabla5[[#This Row],[INVERSIONES FCI]])</f>
        <v>10080987116.831944</v>
      </c>
      <c r="BM151" s="5">
        <f>IF($B150&lt;=Tabla5[[#This Row],[INVERSIONES FCI]],+Tabla5[[#This Row],[INVERSIONES FCI]]-BM150,Tabla5[[#This Row],[INVERSIONES FCI]])</f>
        <v>10080987116.831944</v>
      </c>
      <c r="BN151" s="5">
        <f>IF($B150&lt;=Tabla5[[#This Row],[INVERSIONES FCI]],+Tabla5[[#This Row],[INVERSIONES FCI]]-BN150,Tabla5[[#This Row],[INVERSIONES FCI]])</f>
        <v>10080987116.831944</v>
      </c>
      <c r="BO151" s="5">
        <f>IF($B150&lt;=Tabla5[[#This Row],[INVERSIONES FCI]],+Tabla5[[#This Row],[INVERSIONES FCI]]-BO150,Tabla5[[#This Row],[INVERSIONES FCI]])</f>
        <v>10080987116.831944</v>
      </c>
      <c r="BP151" s="5">
        <f>IF($B150&lt;=Tabla5[[#This Row],[INVERSIONES FCI]],+Tabla5[[#This Row],[INVERSIONES FCI]]-BP150,Tabla5[[#This Row],[INVERSIONES FCI]])</f>
        <v>10080987116.831944</v>
      </c>
      <c r="BQ151" s="5">
        <f>IF($B150&lt;=Tabla5[[#This Row],[INVERSIONES FCI]],+Tabla5[[#This Row],[INVERSIONES FCI]]-BQ150,Tabla5[[#This Row],[INVERSIONES FCI]])</f>
        <v>10080987116.831944</v>
      </c>
      <c r="BR151" s="5">
        <f>IF($B150&lt;=Tabla5[[#This Row],[INVERSIONES FCI]],+Tabla5[[#This Row],[INVERSIONES FCI]]-BR150,Tabla5[[#This Row],[INVERSIONES FCI]])</f>
        <v>10080987116.831944</v>
      </c>
      <c r="BS151" s="5">
        <f>IF($B150&lt;=Tabla5[[#This Row],[INVERSIONES FCI]],+Tabla5[[#This Row],[INVERSIONES FCI]]-BS150,Tabla5[[#This Row],[INVERSIONES FCI]])</f>
        <v>10080987116.831944</v>
      </c>
      <c r="BT151" s="5">
        <f>IF($B150&lt;=Tabla5[[#This Row],[INVERSIONES FCI]],+Tabla5[[#This Row],[INVERSIONES FCI]]-BT150,Tabla5[[#This Row],[INVERSIONES FCI]])</f>
        <v>10080987116.831944</v>
      </c>
      <c r="BU151" s="5">
        <f>IF($B150&lt;=Tabla5[[#This Row],[INVERSIONES FCI]],+Tabla5[[#This Row],[INVERSIONES FCI]]-BU150,Tabla5[[#This Row],[INVERSIONES FCI]])</f>
        <v>10080987116.831944</v>
      </c>
      <c r="BV151" s="5">
        <f>IF($B150&lt;=Tabla5[[#This Row],[INVERSIONES FCI]],+Tabla5[[#This Row],[INVERSIONES FCI]]-BV150,Tabla5[[#This Row],[INVERSIONES FCI]])</f>
        <v>10080987116.831944</v>
      </c>
      <c r="BW151" s="5">
        <f>IF($B150&lt;=Tabla5[[#This Row],[INVERSIONES FCI]],+Tabla5[[#This Row],[INVERSIONES FCI]]-BW150,Tabla5[[#This Row],[INVERSIONES FCI]])</f>
        <v>10080987116.831944</v>
      </c>
      <c r="BX151" s="5">
        <f>IF($B150&lt;=Tabla5[[#This Row],[INVERSIONES FCI]],+Tabla5[[#This Row],[INVERSIONES FCI]]-BX150,Tabla5[[#This Row],[INVERSIONES FCI]])</f>
        <v>10080987116.831944</v>
      </c>
      <c r="BY151" s="5">
        <f>IF($B150&lt;=Tabla5[[#This Row],[INVERSIONES FCI]],+Tabla5[[#This Row],[INVERSIONES FCI]]-BY150,Tabla5[[#This Row],[INVERSIONES FCI]])</f>
        <v>10080987116.831944</v>
      </c>
      <c r="BZ151" s="5">
        <f>IF($B150&lt;=Tabla5[[#This Row],[INVERSIONES FCI]],+Tabla5[[#This Row],[INVERSIONES FCI]]-BZ150,Tabla5[[#This Row],[INVERSIONES FCI]])</f>
        <v>10080987116.831944</v>
      </c>
      <c r="CA151" s="5">
        <f>IF($B150&lt;=Tabla5[[#This Row],[INVERSIONES FCI]],+Tabla5[[#This Row],[INVERSIONES FCI]]-CA150,Tabla5[[#This Row],[INVERSIONES FCI]])</f>
        <v>10080987116.831944</v>
      </c>
      <c r="CB151" s="5">
        <f>IF($B150&lt;=Tabla5[[#This Row],[INVERSIONES FCI]],+Tabla5[[#This Row],[INVERSIONES FCI]]-CB150,Tabla5[[#This Row],[INVERSIONES FCI]])</f>
        <v>10080987116.831944</v>
      </c>
      <c r="CC151" s="5">
        <f>IF($B150&lt;=Tabla5[[#This Row],[INVERSIONES FCI]],+Tabla5[[#This Row],[INVERSIONES FCI]]-CC150,Tabla5[[#This Row],[INVERSIONES FCI]])</f>
        <v>10080987116.831944</v>
      </c>
      <c r="CD151" s="5">
        <f>IF($B150&lt;=Tabla5[[#This Row],[INVERSIONES FCI]],+Tabla5[[#This Row],[INVERSIONES FCI]]-CD150,Tabla5[[#This Row],[INVERSIONES FCI]])</f>
        <v>10080987116.831944</v>
      </c>
      <c r="CE151" s="5">
        <f>IF($B150&lt;=Tabla5[[#This Row],[INVERSIONES FCI]],+Tabla5[[#This Row],[INVERSIONES FCI]]-CE150,Tabla5[[#This Row],[INVERSIONES FCI]])</f>
        <v>10080987116.831944</v>
      </c>
      <c r="CF151" s="5">
        <f>IF($B150&lt;=Tabla5[[#This Row],[INVERSIONES FCI]],+Tabla5[[#This Row],[INVERSIONES FCI]]-CF150,Tabla5[[#This Row],[INVERSIONES FCI]])</f>
        <v>10080987116.831944</v>
      </c>
      <c r="CG151" s="5">
        <f>IF($B150&lt;=Tabla5[[#This Row],[INVERSIONES FCI]],+Tabla5[[#This Row],[INVERSIONES FCI]]-CG150,Tabla5[[#This Row],[INVERSIONES FCI]])</f>
        <v>10080987116.831944</v>
      </c>
      <c r="CH151" s="5">
        <f>IF($B150&lt;=Tabla5[[#This Row],[INVERSIONES FCI]],+Tabla5[[#This Row],[INVERSIONES FCI]]-CH150,Tabla5[[#This Row],[INVERSIONES FCI]])</f>
        <v>10080987116.831944</v>
      </c>
      <c r="CI151" s="5">
        <f>IF($B150&lt;=Tabla5[[#This Row],[INVERSIONES FCI]],+Tabla5[[#This Row],[INVERSIONES FCI]]-CI150,Tabla5[[#This Row],[INVERSIONES FCI]])</f>
        <v>10080987116.831944</v>
      </c>
      <c r="CJ151" s="5">
        <f>IF($B150&lt;=Tabla5[[#This Row],[INVERSIONES FCI]],+Tabla5[[#This Row],[INVERSIONES FCI]]-CJ150,Tabla5[[#This Row],[INVERSIONES FCI]])</f>
        <v>10080987116.831944</v>
      </c>
      <c r="CK151" s="5">
        <f>IF($B150&lt;=Tabla5[[#This Row],[INVERSIONES FCI]],+Tabla5[[#This Row],[INVERSIONES FCI]]-CK150,Tabla5[[#This Row],[INVERSIONES FCI]])</f>
        <v>10080987116.831944</v>
      </c>
      <c r="CL151" s="5">
        <f>IF($B150&lt;=Tabla5[[#This Row],[INVERSIONES FCI]],+Tabla5[[#This Row],[INVERSIONES FCI]]-CL150,Tabla5[[#This Row],[INVERSIONES FCI]])</f>
        <v>10080987116.831944</v>
      </c>
      <c r="CM151" s="5">
        <f>IF($B150&lt;=Tabla5[[#This Row],[INVERSIONES FCI]],+Tabla5[[#This Row],[INVERSIONES FCI]]-CM150,Tabla5[[#This Row],[INVERSIONES FCI]])</f>
        <v>10080987116.831944</v>
      </c>
      <c r="CN151" s="5">
        <f>IF($B150&lt;=Tabla5[[#This Row],[INVERSIONES FCI]],+Tabla5[[#This Row],[INVERSIONES FCI]]-CN150,Tabla5[[#This Row],[INVERSIONES FCI]])</f>
        <v>10080987116.831944</v>
      </c>
      <c r="CO151" s="5">
        <f>IF($B150&lt;=Tabla5[[#This Row],[INVERSIONES FCI]],+Tabla5[[#This Row],[INVERSIONES FCI]]-CO150,Tabla5[[#This Row],[INVERSIONES FCI]])</f>
        <v>10080987116.831944</v>
      </c>
      <c r="CP151" s="5">
        <f>IF($B150&lt;=Tabla5[[#This Row],[INVERSIONES FCI]],+Tabla5[[#This Row],[INVERSIONES FCI]]-CP150,Tabla5[[#This Row],[INVERSIONES FCI]])</f>
        <v>10080987116.831944</v>
      </c>
      <c r="CQ151" s="5">
        <f>IF($B150&lt;=Tabla5[[#This Row],[INVERSIONES FCI]],+Tabla5[[#This Row],[INVERSIONES FCI]]-CQ150,Tabla5[[#This Row],[INVERSIONES FCI]])</f>
        <v>10080987116.831944</v>
      </c>
      <c r="CR151" s="5">
        <f>IF($B150&lt;=Tabla5[[#This Row],[INVERSIONES FCI]],+Tabla5[[#This Row],[INVERSIONES FCI]]-CR150,Tabla5[[#This Row],[INVERSIONES FCI]])</f>
        <v>10080987116.831944</v>
      </c>
      <c r="CS151" s="5">
        <f>IF($B150&lt;=Tabla5[[#This Row],[INVERSIONES FCI]],+Tabla5[[#This Row],[INVERSIONES FCI]]-CS150,Tabla5[[#This Row],[INVERSIONES FCI]])</f>
        <v>10080987116.831944</v>
      </c>
      <c r="CT151" s="5">
        <f>IF($B150&lt;=Tabla5[[#This Row],[INVERSIONES FCI]],+Tabla5[[#This Row],[INVERSIONES FCI]]-CT150,Tabla5[[#This Row],[INVERSIONES FCI]])</f>
        <v>10080987116.831944</v>
      </c>
      <c r="CU151" s="5">
        <f>IF($B150&lt;=Tabla5[[#This Row],[INVERSIONES FCI]],+Tabla5[[#This Row],[INVERSIONES FCI]]-CU150,Tabla5[[#This Row],[INVERSIONES FCI]])</f>
        <v>10080987116.831944</v>
      </c>
      <c r="CV151" s="5">
        <f>IF($B150&lt;=Tabla5[[#This Row],[INVERSIONES FCI]],+Tabla5[[#This Row],[INVERSIONES FCI]]-CV150,Tabla5[[#This Row],[INVERSIONES FCI]])</f>
        <v>10080987116.831944</v>
      </c>
      <c r="CW151" s="5">
        <f>IF($B150&lt;=Tabla5[[#This Row],[INVERSIONES FCI]],+Tabla5[[#This Row],[INVERSIONES FCI]]-CW150,Tabla5[[#This Row],[INVERSIONES FCI]])</f>
        <v>10080987116.831944</v>
      </c>
      <c r="CX151" s="5">
        <f>IF($B150&lt;=Tabla5[[#This Row],[INVERSIONES FCI]],+Tabla5[[#This Row],[INVERSIONES FCI]]-CX150,Tabla5[[#This Row],[INVERSIONES FCI]])</f>
        <v>10080987116.831944</v>
      </c>
      <c r="CY151" s="5">
        <f>IF($B150&lt;=Tabla5[[#This Row],[INVERSIONES FCI]],+Tabla5[[#This Row],[INVERSIONES FCI]]-CY150,Tabla5[[#This Row],[INVERSIONES FCI]])</f>
        <v>10080987116.831944</v>
      </c>
      <c r="CZ151" s="5">
        <f>IF($B150&lt;=Tabla5[[#This Row],[INVERSIONES FCI]],+Tabla5[[#This Row],[INVERSIONES FCI]]-CZ150,Tabla5[[#This Row],[INVERSIONES FCI]])</f>
        <v>10080987116.831944</v>
      </c>
      <c r="DA151" s="5">
        <f>IF($B150&lt;=Tabla5[[#This Row],[INVERSIONES FCI]],+Tabla5[[#This Row],[INVERSIONES FCI]]-DA150,Tabla5[[#This Row],[INVERSIONES FCI]])</f>
        <v>10080987116.831944</v>
      </c>
      <c r="DB151" s="5">
        <f>IF($B150&lt;=Tabla5[[#This Row],[INVERSIONES FCI]],+Tabla5[[#This Row],[INVERSIONES FCI]]-DB150,Tabla5[[#This Row],[INVERSIONES FCI]])</f>
        <v>10080987116.831944</v>
      </c>
      <c r="DC151" s="5">
        <f>IF($B150&lt;=Tabla5[[#This Row],[INVERSIONES FCI]],+Tabla5[[#This Row],[INVERSIONES FCI]]-DC150,Tabla5[[#This Row],[INVERSIONES FCI]])</f>
        <v>10080987116.831944</v>
      </c>
      <c r="DD151" s="5">
        <f>IF($B150&lt;=Tabla5[[#This Row],[INVERSIONES FCI]],+Tabla5[[#This Row],[INVERSIONES FCI]]-DD150,Tabla5[[#This Row],[INVERSIONES FCI]])</f>
        <v>10080987116.831944</v>
      </c>
      <c r="DE151" s="5">
        <f>IF($B150&lt;=Tabla5[[#This Row],[INVERSIONES FCI]],+Tabla5[[#This Row],[INVERSIONES FCI]]-DE150,Tabla5[[#This Row],[INVERSIONES FCI]])</f>
        <v>10080987116.831944</v>
      </c>
      <c r="DF151" s="5">
        <f>IF($B150&lt;=Tabla5[[#This Row],[INVERSIONES FCI]],+Tabla5[[#This Row],[INVERSIONES FCI]]-DF150,Tabla5[[#This Row],[INVERSIONES FCI]])</f>
        <v>10080987116.831944</v>
      </c>
      <c r="DG151" s="5">
        <f>IF($B150&lt;=Tabla5[[#This Row],[INVERSIONES FCI]],+Tabla5[[#This Row],[INVERSIONES FCI]]-DG150,Tabla5[[#This Row],[INVERSIONES FCI]])</f>
        <v>10080987116.831944</v>
      </c>
      <c r="DH151" s="5">
        <f>IF($B150&lt;=Tabla5[[#This Row],[INVERSIONES FCI]],+Tabla5[[#This Row],[INVERSIONES FCI]]-DH150,Tabla5[[#This Row],[INVERSIONES FCI]])</f>
        <v>10080987116.831944</v>
      </c>
      <c r="DI151" s="5">
        <f>IF($B150&lt;=Tabla5[[#This Row],[INVERSIONES FCI]],+Tabla5[[#This Row],[INVERSIONES FCI]]-DI150,Tabla5[[#This Row],[INVERSIONES FCI]])</f>
        <v>10080987116.831944</v>
      </c>
      <c r="DJ151" s="5">
        <f>IF($B150&lt;=Tabla5[[#This Row],[INVERSIONES FCI]],+Tabla5[[#This Row],[INVERSIONES FCI]]-DJ150,Tabla5[[#This Row],[INVERSIONES FCI]])</f>
        <v>10080987116.831944</v>
      </c>
      <c r="DK151" s="5">
        <f>IF($B150&lt;=Tabla5[[#This Row],[INVERSIONES FCI]],+Tabla5[[#This Row],[INVERSIONES FCI]]-DK150,Tabla5[[#This Row],[INVERSIONES FCI]])</f>
        <v>10080987116.831944</v>
      </c>
      <c r="DL151" s="5"/>
      <c r="DM151" s="5"/>
      <c r="DN151" s="5"/>
      <c r="DO151" s="5"/>
      <c r="DP151" s="5"/>
      <c r="DQ151" s="5"/>
    </row>
    <row r="152" spans="1:121" ht="14.4">
      <c r="A152" s="12" t="s">
        <v>151</v>
      </c>
      <c r="B152" s="5">
        <f>HLOOKUP($A152,ESCENARIO[#All],7,FALSE)</f>
        <v>11851196103.061947</v>
      </c>
      <c r="C152" s="5">
        <f>IF($B151&lt;=Tabla5[[#This Row],[INVERSIONES FCI]],+Tabla5[[#This Row],[INVERSIONES FCI]]-C151,Tabla5[[#This Row],[INVERSIONES FCI]])</f>
        <v>1770208986.2300034</v>
      </c>
      <c r="D152" s="5">
        <f>IF($B151&lt;=Tabla5[[#This Row],[INVERSIONES FCI]],+Tabla5[[#This Row],[INVERSIONES FCI]]-D151,Tabla5[[#This Row],[INVERSIONES FCI]])</f>
        <v>1770208986.2300034</v>
      </c>
      <c r="E152" s="5">
        <f>IF($B151&lt;=Tabla5[[#This Row],[INVERSIONES FCI]],+Tabla5[[#This Row],[INVERSIONES FCI]]-E151,Tabla5[[#This Row],[INVERSIONES FCI]])</f>
        <v>1770208986.2300034</v>
      </c>
      <c r="F152" s="5">
        <f>IF($B151&lt;=Tabla5[[#This Row],[INVERSIONES FCI]],+Tabla5[[#This Row],[INVERSIONES FCI]]-F151,Tabla5[[#This Row],[INVERSIONES FCI]])</f>
        <v>1770208986.2300034</v>
      </c>
      <c r="G152" s="5">
        <f>IF($B151&lt;=Tabla5[[#This Row],[INVERSIONES FCI]],+Tabla5[[#This Row],[INVERSIONES FCI]]-G151,Tabla5[[#This Row],[INVERSIONES FCI]])</f>
        <v>1770208986.2300034</v>
      </c>
      <c r="H152" s="5">
        <f>IF($B151&lt;=Tabla5[[#This Row],[INVERSIONES FCI]],+Tabla5[[#This Row],[INVERSIONES FCI]]-H151,Tabla5[[#This Row],[INVERSIONES FCI]])</f>
        <v>1770208986.2300034</v>
      </c>
      <c r="I152" s="5">
        <f>IF($B151&lt;=Tabla5[[#This Row],[INVERSIONES FCI]],+Tabla5[[#This Row],[INVERSIONES FCI]]-I151,Tabla5[[#This Row],[INVERSIONES FCI]])</f>
        <v>1770208986.2300034</v>
      </c>
      <c r="J152" s="5">
        <f>IF($B151&lt;=Tabla5[[#This Row],[INVERSIONES FCI]],+Tabla5[[#This Row],[INVERSIONES FCI]]-J151,Tabla5[[#This Row],[INVERSIONES FCI]])</f>
        <v>1770208986.2300034</v>
      </c>
      <c r="K152" s="5">
        <f>IF($B151&lt;=Tabla5[[#This Row],[INVERSIONES FCI]],+Tabla5[[#This Row],[INVERSIONES FCI]]-K151,Tabla5[[#This Row],[INVERSIONES FCI]])</f>
        <v>1770208986.2300034</v>
      </c>
      <c r="L152" s="5">
        <f>IF($B151&lt;=Tabla5[[#This Row],[INVERSIONES FCI]],+Tabla5[[#This Row],[INVERSIONES FCI]]-L151,Tabla5[[#This Row],[INVERSIONES FCI]])</f>
        <v>1770208986.2300034</v>
      </c>
      <c r="M152" s="5">
        <f>IF($B151&lt;=Tabla5[[#This Row],[INVERSIONES FCI]],+Tabla5[[#This Row],[INVERSIONES FCI]]-M151,Tabla5[[#This Row],[INVERSIONES FCI]])</f>
        <v>1770208986.2300034</v>
      </c>
      <c r="N152" s="5">
        <f>IF($B151&lt;=Tabla5[[#This Row],[INVERSIONES FCI]],+Tabla5[[#This Row],[INVERSIONES FCI]]-N151,Tabla5[[#This Row],[INVERSIONES FCI]])</f>
        <v>1770208986.2300034</v>
      </c>
      <c r="O152" s="5">
        <f>IF($B151&lt;=Tabla5[[#This Row],[INVERSIONES FCI]],+Tabla5[[#This Row],[INVERSIONES FCI]]-O151,Tabla5[[#This Row],[INVERSIONES FCI]])</f>
        <v>1770208986.2300034</v>
      </c>
      <c r="P152" s="5">
        <f>IF($B151&lt;=Tabla5[[#This Row],[INVERSIONES FCI]],+Tabla5[[#This Row],[INVERSIONES FCI]]-P151,Tabla5[[#This Row],[INVERSIONES FCI]])</f>
        <v>1770208986.2300034</v>
      </c>
      <c r="Q152" s="5">
        <f>IF($B151&lt;=Tabla5[[#This Row],[INVERSIONES FCI]],+Tabla5[[#This Row],[INVERSIONES FCI]]-Q151,Tabla5[[#This Row],[INVERSIONES FCI]])</f>
        <v>1770208986.2300034</v>
      </c>
      <c r="R152" s="5">
        <f>IF($B151&lt;=Tabla5[[#This Row],[INVERSIONES FCI]],+Tabla5[[#This Row],[INVERSIONES FCI]]-R151,Tabla5[[#This Row],[INVERSIONES FCI]])</f>
        <v>1770208986.2300034</v>
      </c>
      <c r="S152" s="5">
        <f>IF($B151&lt;=Tabla5[[#This Row],[INVERSIONES FCI]],+Tabla5[[#This Row],[INVERSIONES FCI]]-S151,Tabla5[[#This Row],[INVERSIONES FCI]])</f>
        <v>1770208986.2300034</v>
      </c>
      <c r="T152" s="5">
        <f>IF($B151&lt;=Tabla5[[#This Row],[INVERSIONES FCI]],+Tabla5[[#This Row],[INVERSIONES FCI]]-T151,Tabla5[[#This Row],[INVERSIONES FCI]])</f>
        <v>1770208986.2300034</v>
      </c>
      <c r="U152" s="5">
        <f>IF($B151&lt;=Tabla5[[#This Row],[INVERSIONES FCI]],+Tabla5[[#This Row],[INVERSIONES FCI]]-U151,Tabla5[[#This Row],[INVERSIONES FCI]])</f>
        <v>1770208986.2300034</v>
      </c>
      <c r="V152" s="5">
        <f>IF($B151&lt;=Tabla5[[#This Row],[INVERSIONES FCI]],+Tabla5[[#This Row],[INVERSIONES FCI]]-V151,Tabla5[[#This Row],[INVERSIONES FCI]])</f>
        <v>1770208986.2300034</v>
      </c>
      <c r="W152" s="5">
        <f>IF($B151&lt;=Tabla5[[#This Row],[INVERSIONES FCI]],+Tabla5[[#This Row],[INVERSIONES FCI]]-W151,Tabla5[[#This Row],[INVERSIONES FCI]])</f>
        <v>1770208986.2300034</v>
      </c>
      <c r="X152" s="5">
        <f>IF($B151&lt;=Tabla5[[#This Row],[INVERSIONES FCI]],+Tabla5[[#This Row],[INVERSIONES FCI]]-X151,Tabla5[[#This Row],[INVERSIONES FCI]])</f>
        <v>1770208986.2300034</v>
      </c>
      <c r="Y152" s="5">
        <f>IF($B151&lt;=Tabla5[[#This Row],[INVERSIONES FCI]],+Tabla5[[#This Row],[INVERSIONES FCI]]-Y151,Tabla5[[#This Row],[INVERSIONES FCI]])</f>
        <v>1770208986.2300034</v>
      </c>
      <c r="Z152" s="5">
        <f>IF($B151&lt;=Tabla5[[#This Row],[INVERSIONES FCI]],+Tabla5[[#This Row],[INVERSIONES FCI]]-Z151,Tabla5[[#This Row],[INVERSIONES FCI]])</f>
        <v>1770208986.2300034</v>
      </c>
      <c r="AA152" s="5">
        <f>IF($B151&lt;=Tabla5[[#This Row],[INVERSIONES FCI]],+Tabla5[[#This Row],[INVERSIONES FCI]]-AA151,Tabla5[[#This Row],[INVERSIONES FCI]])</f>
        <v>1770208986.2300034</v>
      </c>
      <c r="AB152" s="5">
        <f>IF($B151&lt;=Tabla5[[#This Row],[INVERSIONES FCI]],+Tabla5[[#This Row],[INVERSIONES FCI]]-AB151,Tabla5[[#This Row],[INVERSIONES FCI]])</f>
        <v>1770208986.2300034</v>
      </c>
      <c r="AC152" s="5">
        <f>IF($B151&lt;=Tabla5[[#This Row],[INVERSIONES FCI]],+Tabla5[[#This Row],[INVERSIONES FCI]]-AC151,Tabla5[[#This Row],[INVERSIONES FCI]])</f>
        <v>1770208986.2300034</v>
      </c>
      <c r="AD152" s="5">
        <f>IF($B151&lt;=Tabla5[[#This Row],[INVERSIONES FCI]],+Tabla5[[#This Row],[INVERSIONES FCI]]-AD151,Tabla5[[#This Row],[INVERSIONES FCI]])</f>
        <v>1770208986.2300034</v>
      </c>
      <c r="AE152" s="5">
        <f>IF($B151&lt;=Tabla5[[#This Row],[INVERSIONES FCI]],+Tabla5[[#This Row],[INVERSIONES FCI]]-AE151,Tabla5[[#This Row],[INVERSIONES FCI]])</f>
        <v>1770208986.2300034</v>
      </c>
      <c r="AF152" s="5">
        <f>IF($B151&lt;=Tabla5[[#This Row],[INVERSIONES FCI]],+Tabla5[[#This Row],[INVERSIONES FCI]]-AF151,Tabla5[[#This Row],[INVERSIONES FCI]])</f>
        <v>1770208986.2300034</v>
      </c>
      <c r="AG152" s="5">
        <f>IF($B151&lt;=Tabla5[[#This Row],[INVERSIONES FCI]],+Tabla5[[#This Row],[INVERSIONES FCI]]-AG151,Tabla5[[#This Row],[INVERSIONES FCI]])</f>
        <v>1770208986.2300034</v>
      </c>
      <c r="AH152" s="5">
        <f>IF($B151&lt;=Tabla5[[#This Row],[INVERSIONES FCI]],+Tabla5[[#This Row],[INVERSIONES FCI]]-AH151,Tabla5[[#This Row],[INVERSIONES FCI]])</f>
        <v>1770208986.2300034</v>
      </c>
      <c r="AI152" s="5">
        <f>IF($B151&lt;=Tabla5[[#This Row],[INVERSIONES FCI]],+Tabla5[[#This Row],[INVERSIONES FCI]]-AI151,Tabla5[[#This Row],[INVERSIONES FCI]])</f>
        <v>1770208986.2300034</v>
      </c>
      <c r="AJ152" s="5">
        <f>IF($B151&lt;=Tabla5[[#This Row],[INVERSIONES FCI]],+Tabla5[[#This Row],[INVERSIONES FCI]]-AJ151,Tabla5[[#This Row],[INVERSIONES FCI]])</f>
        <v>1770208986.2300034</v>
      </c>
      <c r="AK152" s="5">
        <f>IF($B151&lt;=Tabla5[[#This Row],[INVERSIONES FCI]],+Tabla5[[#This Row],[INVERSIONES FCI]]-AK151,Tabla5[[#This Row],[INVERSIONES FCI]])</f>
        <v>1770208986.2300034</v>
      </c>
      <c r="AL152" s="5">
        <f>IF($B151&lt;=Tabla5[[#This Row],[INVERSIONES FCI]],+Tabla5[[#This Row],[INVERSIONES FCI]]-AL151,Tabla5[[#This Row],[INVERSIONES FCI]])</f>
        <v>1770208986.2300034</v>
      </c>
      <c r="AM152" s="5">
        <f>IF($B151&lt;=Tabla5[[#This Row],[INVERSIONES FCI]],+Tabla5[[#This Row],[INVERSIONES FCI]]-AM151,Tabla5[[#This Row],[INVERSIONES FCI]])</f>
        <v>1770208986.2300034</v>
      </c>
      <c r="AN152" s="5">
        <f>IF($B151&lt;=Tabla5[[#This Row],[INVERSIONES FCI]],+Tabla5[[#This Row],[INVERSIONES FCI]]-AN151,Tabla5[[#This Row],[INVERSIONES FCI]])</f>
        <v>1770208986.2300034</v>
      </c>
      <c r="AO152" s="5">
        <f>IF($B151&lt;=Tabla5[[#This Row],[INVERSIONES FCI]],+Tabla5[[#This Row],[INVERSIONES FCI]]-AO151,Tabla5[[#This Row],[INVERSIONES FCI]])</f>
        <v>1770208986.2300034</v>
      </c>
      <c r="AP152" s="5">
        <f>IF($B151&lt;=Tabla5[[#This Row],[INVERSIONES FCI]],+Tabla5[[#This Row],[INVERSIONES FCI]]-AP151,Tabla5[[#This Row],[INVERSIONES FCI]])</f>
        <v>1770208986.2300034</v>
      </c>
      <c r="AQ152" s="5">
        <f>IF($B151&lt;=Tabla5[[#This Row],[INVERSIONES FCI]],+Tabla5[[#This Row],[INVERSIONES FCI]]-AQ151,Tabla5[[#This Row],[INVERSIONES FCI]])</f>
        <v>1770208986.2300034</v>
      </c>
      <c r="AR152" s="5">
        <f>IF($B151&lt;=Tabla5[[#This Row],[INVERSIONES FCI]],+Tabla5[[#This Row],[INVERSIONES FCI]]-AR151,Tabla5[[#This Row],[INVERSIONES FCI]])</f>
        <v>1770208986.2300034</v>
      </c>
      <c r="AS152" s="5">
        <f>IF($B151&lt;=Tabla5[[#This Row],[INVERSIONES FCI]],+Tabla5[[#This Row],[INVERSIONES FCI]]-AS151,Tabla5[[#This Row],[INVERSIONES FCI]])</f>
        <v>1770208986.2300034</v>
      </c>
      <c r="AT152" s="5">
        <f>IF($B151&lt;=Tabla5[[#This Row],[INVERSIONES FCI]],+Tabla5[[#This Row],[INVERSIONES FCI]]-AT151,Tabla5[[#This Row],[INVERSIONES FCI]])</f>
        <v>1770208986.2300034</v>
      </c>
      <c r="AU152" s="5">
        <f>IF($B151&lt;=Tabla5[[#This Row],[INVERSIONES FCI]],+Tabla5[[#This Row],[INVERSIONES FCI]]-AU151,Tabla5[[#This Row],[INVERSIONES FCI]])</f>
        <v>1770208986.2300034</v>
      </c>
      <c r="AV152" s="5">
        <f>IF($B151&lt;=Tabla5[[#This Row],[INVERSIONES FCI]],+Tabla5[[#This Row],[INVERSIONES FCI]]-AV151,Tabla5[[#This Row],[INVERSIONES FCI]])</f>
        <v>1770208986.2300034</v>
      </c>
      <c r="AW152" s="5">
        <f>IF($B151&lt;=Tabla5[[#This Row],[INVERSIONES FCI]],+Tabla5[[#This Row],[INVERSIONES FCI]]-AW151,Tabla5[[#This Row],[INVERSIONES FCI]])</f>
        <v>1770208986.2300034</v>
      </c>
      <c r="AX152" s="5">
        <f>IF($B151&lt;=Tabla5[[#This Row],[INVERSIONES FCI]],+Tabla5[[#This Row],[INVERSIONES FCI]]-AX151,Tabla5[[#This Row],[INVERSIONES FCI]])</f>
        <v>1770208986.2300034</v>
      </c>
      <c r="AY152" s="5">
        <f>IF($B151&lt;=Tabla5[[#This Row],[INVERSIONES FCI]],+Tabla5[[#This Row],[INVERSIONES FCI]]-AY151,Tabla5[[#This Row],[INVERSIONES FCI]])</f>
        <v>1770208986.2300034</v>
      </c>
      <c r="AZ152" s="5">
        <f>IF($B151&lt;=Tabla5[[#This Row],[INVERSIONES FCI]],+Tabla5[[#This Row],[INVERSIONES FCI]]-AZ151,Tabla5[[#This Row],[INVERSIONES FCI]])</f>
        <v>1770208986.2300034</v>
      </c>
      <c r="BA152" s="5">
        <f>IF($B151&lt;=Tabla5[[#This Row],[INVERSIONES FCI]],+Tabla5[[#This Row],[INVERSIONES FCI]]-BA151,Tabla5[[#This Row],[INVERSIONES FCI]])</f>
        <v>1770208986.2300034</v>
      </c>
      <c r="BB152" s="5">
        <f>IF($B151&lt;=Tabla5[[#This Row],[INVERSIONES FCI]],+Tabla5[[#This Row],[INVERSIONES FCI]]-BB151,Tabla5[[#This Row],[INVERSIONES FCI]])</f>
        <v>1770208986.2300034</v>
      </c>
      <c r="BC152" s="5">
        <f>IF($B151&lt;=Tabla5[[#This Row],[INVERSIONES FCI]],+Tabla5[[#This Row],[INVERSIONES FCI]]-BC151,Tabla5[[#This Row],[INVERSIONES FCI]])</f>
        <v>1770208986.2300034</v>
      </c>
      <c r="BD152" s="5">
        <f>IF($B151&lt;=Tabla5[[#This Row],[INVERSIONES FCI]],+Tabla5[[#This Row],[INVERSIONES FCI]]-BD151,Tabla5[[#This Row],[INVERSIONES FCI]])</f>
        <v>1770208986.2300034</v>
      </c>
      <c r="BE152" s="5">
        <f>IF($B151&lt;=Tabla5[[#This Row],[INVERSIONES FCI]],+Tabla5[[#This Row],[INVERSIONES FCI]]-BE151,Tabla5[[#This Row],[INVERSIONES FCI]])</f>
        <v>1770208986.2300034</v>
      </c>
      <c r="BF152" s="5">
        <f>IF($B151&lt;=Tabla5[[#This Row],[INVERSIONES FCI]],+Tabla5[[#This Row],[INVERSIONES FCI]]-BF151,Tabla5[[#This Row],[INVERSIONES FCI]])</f>
        <v>1770208986.2300034</v>
      </c>
      <c r="BG152" s="5">
        <f>IF($B151&lt;=Tabla5[[#This Row],[INVERSIONES FCI]],+Tabla5[[#This Row],[INVERSIONES FCI]]-BG151,Tabla5[[#This Row],[INVERSIONES FCI]])</f>
        <v>1770208986.2300034</v>
      </c>
      <c r="BH152" s="5">
        <f>IF($B151&lt;=Tabla5[[#This Row],[INVERSIONES FCI]],+Tabla5[[#This Row],[INVERSIONES FCI]]-BH151,Tabla5[[#This Row],[INVERSIONES FCI]])</f>
        <v>1770208986.2300034</v>
      </c>
      <c r="BI152" s="5">
        <f>IF($B151&lt;=Tabla5[[#This Row],[INVERSIONES FCI]],+Tabla5[[#This Row],[INVERSIONES FCI]]-BI151,Tabla5[[#This Row],[INVERSIONES FCI]])</f>
        <v>1770208986.2300034</v>
      </c>
      <c r="BJ152" s="5">
        <f>IF($B151&lt;=Tabla5[[#This Row],[INVERSIONES FCI]],+Tabla5[[#This Row],[INVERSIONES FCI]]-BJ151,Tabla5[[#This Row],[INVERSIONES FCI]])</f>
        <v>1770208986.2300034</v>
      </c>
      <c r="BK152" s="5">
        <f>IF($B151&lt;=Tabla5[[#This Row],[INVERSIONES FCI]],+Tabla5[[#This Row],[INVERSIONES FCI]]-BK151,Tabla5[[#This Row],[INVERSIONES FCI]])</f>
        <v>1770208986.2300034</v>
      </c>
      <c r="BL152" s="5">
        <f>IF($B151&lt;=Tabla5[[#This Row],[INVERSIONES FCI]],+Tabla5[[#This Row],[INVERSIONES FCI]]-BL151,Tabla5[[#This Row],[INVERSIONES FCI]])</f>
        <v>1770208986.2300034</v>
      </c>
      <c r="BM152" s="5">
        <f>IF($B151&lt;=Tabla5[[#This Row],[INVERSIONES FCI]],+Tabla5[[#This Row],[INVERSIONES FCI]]-BM151,Tabla5[[#This Row],[INVERSIONES FCI]])</f>
        <v>1770208986.2300034</v>
      </c>
      <c r="BN152" s="5">
        <f>IF($B151&lt;=Tabla5[[#This Row],[INVERSIONES FCI]],+Tabla5[[#This Row],[INVERSIONES FCI]]-BN151,Tabla5[[#This Row],[INVERSIONES FCI]])</f>
        <v>1770208986.2300034</v>
      </c>
      <c r="BO152" s="5">
        <f>IF($B151&lt;=Tabla5[[#This Row],[INVERSIONES FCI]],+Tabla5[[#This Row],[INVERSIONES FCI]]-BO151,Tabla5[[#This Row],[INVERSIONES FCI]])</f>
        <v>1770208986.2300034</v>
      </c>
      <c r="BP152" s="5">
        <f>IF($B151&lt;=Tabla5[[#This Row],[INVERSIONES FCI]],+Tabla5[[#This Row],[INVERSIONES FCI]]-BP151,Tabla5[[#This Row],[INVERSIONES FCI]])</f>
        <v>1770208986.2300034</v>
      </c>
      <c r="BQ152" s="5">
        <f>IF($B151&lt;=Tabla5[[#This Row],[INVERSIONES FCI]],+Tabla5[[#This Row],[INVERSIONES FCI]]-BQ151,Tabla5[[#This Row],[INVERSIONES FCI]])</f>
        <v>1770208986.2300034</v>
      </c>
      <c r="BR152" s="5">
        <f>IF($B151&lt;=Tabla5[[#This Row],[INVERSIONES FCI]],+Tabla5[[#This Row],[INVERSIONES FCI]]-BR151,Tabla5[[#This Row],[INVERSIONES FCI]])</f>
        <v>1770208986.2300034</v>
      </c>
      <c r="BS152" s="5">
        <f>IF($B151&lt;=Tabla5[[#This Row],[INVERSIONES FCI]],+Tabla5[[#This Row],[INVERSIONES FCI]]-BS151,Tabla5[[#This Row],[INVERSIONES FCI]])</f>
        <v>1770208986.2300034</v>
      </c>
      <c r="BT152" s="5">
        <f>IF($B151&lt;=Tabla5[[#This Row],[INVERSIONES FCI]],+Tabla5[[#This Row],[INVERSIONES FCI]]-BT151,Tabla5[[#This Row],[INVERSIONES FCI]])</f>
        <v>1770208986.2300034</v>
      </c>
      <c r="BU152" s="5">
        <f>IF($B151&lt;=Tabla5[[#This Row],[INVERSIONES FCI]],+Tabla5[[#This Row],[INVERSIONES FCI]]-BU151,Tabla5[[#This Row],[INVERSIONES FCI]])</f>
        <v>1770208986.2300034</v>
      </c>
      <c r="BV152" s="5">
        <f>IF($B151&lt;=Tabla5[[#This Row],[INVERSIONES FCI]],+Tabla5[[#This Row],[INVERSIONES FCI]]-BV151,Tabla5[[#This Row],[INVERSIONES FCI]])</f>
        <v>1770208986.2300034</v>
      </c>
      <c r="BW152" s="5">
        <f>IF($B151&lt;=Tabla5[[#This Row],[INVERSIONES FCI]],+Tabla5[[#This Row],[INVERSIONES FCI]]-BW151,Tabla5[[#This Row],[INVERSIONES FCI]])</f>
        <v>1770208986.2300034</v>
      </c>
      <c r="BX152" s="5">
        <f>IF($B151&lt;=Tabla5[[#This Row],[INVERSIONES FCI]],+Tabla5[[#This Row],[INVERSIONES FCI]]-BX151,Tabla5[[#This Row],[INVERSIONES FCI]])</f>
        <v>1770208986.2300034</v>
      </c>
      <c r="BY152" s="5">
        <f>IF($B151&lt;=Tabla5[[#This Row],[INVERSIONES FCI]],+Tabla5[[#This Row],[INVERSIONES FCI]]-BY151,Tabla5[[#This Row],[INVERSIONES FCI]])</f>
        <v>1770208986.2300034</v>
      </c>
      <c r="BZ152" s="5">
        <f>IF($B151&lt;=Tabla5[[#This Row],[INVERSIONES FCI]],+Tabla5[[#This Row],[INVERSIONES FCI]]-BZ151,Tabla5[[#This Row],[INVERSIONES FCI]])</f>
        <v>1770208986.2300034</v>
      </c>
      <c r="CA152" s="5">
        <f>IF($B151&lt;=Tabla5[[#This Row],[INVERSIONES FCI]],+Tabla5[[#This Row],[INVERSIONES FCI]]-CA151,Tabla5[[#This Row],[INVERSIONES FCI]])</f>
        <v>1770208986.2300034</v>
      </c>
      <c r="CB152" s="5">
        <f>IF($B151&lt;=Tabla5[[#This Row],[INVERSIONES FCI]],+Tabla5[[#This Row],[INVERSIONES FCI]]-CB151,Tabla5[[#This Row],[INVERSIONES FCI]])</f>
        <v>1770208986.2300034</v>
      </c>
      <c r="CC152" s="5">
        <f>IF($B151&lt;=Tabla5[[#This Row],[INVERSIONES FCI]],+Tabla5[[#This Row],[INVERSIONES FCI]]-CC151,Tabla5[[#This Row],[INVERSIONES FCI]])</f>
        <v>1770208986.2300034</v>
      </c>
      <c r="CD152" s="5">
        <f>IF($B151&lt;=Tabla5[[#This Row],[INVERSIONES FCI]],+Tabla5[[#This Row],[INVERSIONES FCI]]-CD151,Tabla5[[#This Row],[INVERSIONES FCI]])</f>
        <v>1770208986.2300034</v>
      </c>
      <c r="CE152" s="5">
        <f>IF($B151&lt;=Tabla5[[#This Row],[INVERSIONES FCI]],+Tabla5[[#This Row],[INVERSIONES FCI]]-CE151,Tabla5[[#This Row],[INVERSIONES FCI]])</f>
        <v>1770208986.2300034</v>
      </c>
      <c r="CF152" s="5">
        <f>IF($B151&lt;=Tabla5[[#This Row],[INVERSIONES FCI]],+Tabla5[[#This Row],[INVERSIONES FCI]]-CF151,Tabla5[[#This Row],[INVERSIONES FCI]])</f>
        <v>1770208986.2300034</v>
      </c>
      <c r="CG152" s="5">
        <f>IF($B151&lt;=Tabla5[[#This Row],[INVERSIONES FCI]],+Tabla5[[#This Row],[INVERSIONES FCI]]-CG151,Tabla5[[#This Row],[INVERSIONES FCI]])</f>
        <v>1770208986.2300034</v>
      </c>
      <c r="CH152" s="5">
        <f>IF($B151&lt;=Tabla5[[#This Row],[INVERSIONES FCI]],+Tabla5[[#This Row],[INVERSIONES FCI]]-CH151,Tabla5[[#This Row],[INVERSIONES FCI]])</f>
        <v>1770208986.2300034</v>
      </c>
      <c r="CI152" s="5">
        <f>IF($B151&lt;=Tabla5[[#This Row],[INVERSIONES FCI]],+Tabla5[[#This Row],[INVERSIONES FCI]]-CI151,Tabla5[[#This Row],[INVERSIONES FCI]])</f>
        <v>1770208986.2300034</v>
      </c>
      <c r="CJ152" s="5">
        <f>IF($B151&lt;=Tabla5[[#This Row],[INVERSIONES FCI]],+Tabla5[[#This Row],[INVERSIONES FCI]]-CJ151,Tabla5[[#This Row],[INVERSIONES FCI]])</f>
        <v>1770208986.2300034</v>
      </c>
      <c r="CK152" s="5">
        <f>IF($B151&lt;=Tabla5[[#This Row],[INVERSIONES FCI]],+Tabla5[[#This Row],[INVERSIONES FCI]]-CK151,Tabla5[[#This Row],[INVERSIONES FCI]])</f>
        <v>1770208986.2300034</v>
      </c>
      <c r="CL152" s="5">
        <f>IF($B151&lt;=Tabla5[[#This Row],[INVERSIONES FCI]],+Tabla5[[#This Row],[INVERSIONES FCI]]-CL151,Tabla5[[#This Row],[INVERSIONES FCI]])</f>
        <v>1770208986.2300034</v>
      </c>
      <c r="CM152" s="5">
        <f>IF($B151&lt;=Tabla5[[#This Row],[INVERSIONES FCI]],+Tabla5[[#This Row],[INVERSIONES FCI]]-CM151,Tabla5[[#This Row],[INVERSIONES FCI]])</f>
        <v>1770208986.2300034</v>
      </c>
      <c r="CN152" s="5">
        <f>IF($B151&lt;=Tabla5[[#This Row],[INVERSIONES FCI]],+Tabla5[[#This Row],[INVERSIONES FCI]]-CN151,Tabla5[[#This Row],[INVERSIONES FCI]])</f>
        <v>1770208986.2300034</v>
      </c>
      <c r="CO152" s="5">
        <f>IF($B151&lt;=Tabla5[[#This Row],[INVERSIONES FCI]],+Tabla5[[#This Row],[INVERSIONES FCI]]-CO151,Tabla5[[#This Row],[INVERSIONES FCI]])</f>
        <v>1770208986.2300034</v>
      </c>
      <c r="CP152" s="5">
        <f>IF($B151&lt;=Tabla5[[#This Row],[INVERSIONES FCI]],+Tabla5[[#This Row],[INVERSIONES FCI]]-CP151,Tabla5[[#This Row],[INVERSIONES FCI]])</f>
        <v>1770208986.2300034</v>
      </c>
      <c r="CQ152" s="5">
        <f>IF($B151&lt;=Tabla5[[#This Row],[INVERSIONES FCI]],+Tabla5[[#This Row],[INVERSIONES FCI]]-CQ151,Tabla5[[#This Row],[INVERSIONES FCI]])</f>
        <v>1770208986.2300034</v>
      </c>
      <c r="CR152" s="5">
        <f>IF($B151&lt;=Tabla5[[#This Row],[INVERSIONES FCI]],+Tabla5[[#This Row],[INVERSIONES FCI]]-CR151,Tabla5[[#This Row],[INVERSIONES FCI]])</f>
        <v>1770208986.2300034</v>
      </c>
      <c r="CS152" s="5">
        <f>IF($B151&lt;=Tabla5[[#This Row],[INVERSIONES FCI]],+Tabla5[[#This Row],[INVERSIONES FCI]]-CS151,Tabla5[[#This Row],[INVERSIONES FCI]])</f>
        <v>1770208986.2300034</v>
      </c>
      <c r="CT152" s="5">
        <f>IF($B151&lt;=Tabla5[[#This Row],[INVERSIONES FCI]],+Tabla5[[#This Row],[INVERSIONES FCI]]-CT151,Tabla5[[#This Row],[INVERSIONES FCI]])</f>
        <v>1770208986.2300034</v>
      </c>
      <c r="CU152" s="5">
        <f>IF($B151&lt;=Tabla5[[#This Row],[INVERSIONES FCI]],+Tabla5[[#This Row],[INVERSIONES FCI]]-CU151,Tabla5[[#This Row],[INVERSIONES FCI]])</f>
        <v>1770208986.2300034</v>
      </c>
      <c r="CV152" s="5">
        <f>IF($B151&lt;=Tabla5[[#This Row],[INVERSIONES FCI]],+Tabla5[[#This Row],[INVERSIONES FCI]]-CV151,Tabla5[[#This Row],[INVERSIONES FCI]])</f>
        <v>1770208986.2300034</v>
      </c>
      <c r="CW152" s="5">
        <f>IF($B151&lt;=Tabla5[[#This Row],[INVERSIONES FCI]],+Tabla5[[#This Row],[INVERSIONES FCI]]-CW151,Tabla5[[#This Row],[INVERSIONES FCI]])</f>
        <v>1770208986.2300034</v>
      </c>
      <c r="CX152" s="5">
        <f>IF($B151&lt;=Tabla5[[#This Row],[INVERSIONES FCI]],+Tabla5[[#This Row],[INVERSIONES FCI]]-CX151,Tabla5[[#This Row],[INVERSIONES FCI]])</f>
        <v>1770208986.2300034</v>
      </c>
      <c r="CY152" s="5">
        <f>IF($B151&lt;=Tabla5[[#This Row],[INVERSIONES FCI]],+Tabla5[[#This Row],[INVERSIONES FCI]]-CY151,Tabla5[[#This Row],[INVERSIONES FCI]])</f>
        <v>1770208986.2300034</v>
      </c>
      <c r="CZ152" s="5">
        <f>IF($B151&lt;=Tabla5[[#This Row],[INVERSIONES FCI]],+Tabla5[[#This Row],[INVERSIONES FCI]]-CZ151,Tabla5[[#This Row],[INVERSIONES FCI]])</f>
        <v>1770208986.2300034</v>
      </c>
      <c r="DA152" s="5">
        <f>IF($B151&lt;=Tabla5[[#This Row],[INVERSIONES FCI]],+Tabla5[[#This Row],[INVERSIONES FCI]]-DA151,Tabla5[[#This Row],[INVERSIONES FCI]])</f>
        <v>1770208986.2300034</v>
      </c>
      <c r="DB152" s="5">
        <f>IF($B151&lt;=Tabla5[[#This Row],[INVERSIONES FCI]],+Tabla5[[#This Row],[INVERSIONES FCI]]-DB151,Tabla5[[#This Row],[INVERSIONES FCI]])</f>
        <v>1770208986.2300034</v>
      </c>
      <c r="DC152" s="5">
        <f>IF($B151&lt;=Tabla5[[#This Row],[INVERSIONES FCI]],+Tabla5[[#This Row],[INVERSIONES FCI]]-DC151,Tabla5[[#This Row],[INVERSIONES FCI]])</f>
        <v>1770208986.2300034</v>
      </c>
      <c r="DD152" s="5">
        <f>IF($B151&lt;=Tabla5[[#This Row],[INVERSIONES FCI]],+Tabla5[[#This Row],[INVERSIONES FCI]]-DD151,Tabla5[[#This Row],[INVERSIONES FCI]])</f>
        <v>1770208986.2300034</v>
      </c>
      <c r="DE152" s="5">
        <f>IF($B151&lt;=Tabla5[[#This Row],[INVERSIONES FCI]],+Tabla5[[#This Row],[INVERSIONES FCI]]-DE151,Tabla5[[#This Row],[INVERSIONES FCI]])</f>
        <v>1770208986.2300034</v>
      </c>
      <c r="DF152" s="5">
        <f>IF($B151&lt;=Tabla5[[#This Row],[INVERSIONES FCI]],+Tabla5[[#This Row],[INVERSIONES FCI]]-DF151,Tabla5[[#This Row],[INVERSIONES FCI]])</f>
        <v>1770208986.2300034</v>
      </c>
      <c r="DG152" s="5">
        <f>IF($B151&lt;=Tabla5[[#This Row],[INVERSIONES FCI]],+Tabla5[[#This Row],[INVERSIONES FCI]]-DG151,Tabla5[[#This Row],[INVERSIONES FCI]])</f>
        <v>1770208986.2300034</v>
      </c>
      <c r="DH152" s="5">
        <f>IF($B151&lt;=Tabla5[[#This Row],[INVERSIONES FCI]],+Tabla5[[#This Row],[INVERSIONES FCI]]-DH151,Tabla5[[#This Row],[INVERSIONES FCI]])</f>
        <v>1770208986.2300034</v>
      </c>
      <c r="DI152" s="5">
        <f>IF($B151&lt;=Tabla5[[#This Row],[INVERSIONES FCI]],+Tabla5[[#This Row],[INVERSIONES FCI]]-DI151,Tabla5[[#This Row],[INVERSIONES FCI]])</f>
        <v>1770208986.2300034</v>
      </c>
      <c r="DJ152" s="5">
        <f>IF($B151&lt;=Tabla5[[#This Row],[INVERSIONES FCI]],+Tabla5[[#This Row],[INVERSIONES FCI]]-DJ151,Tabla5[[#This Row],[INVERSIONES FCI]])</f>
        <v>1770208986.2300034</v>
      </c>
      <c r="DK152" s="5">
        <f>IF($B151&lt;=Tabla5[[#This Row],[INVERSIONES FCI]],+Tabla5[[#This Row],[INVERSIONES FCI]]-DK151,Tabla5[[#This Row],[INVERSIONES FCI]])</f>
        <v>1770208986.2300034</v>
      </c>
      <c r="DL152" s="5"/>
      <c r="DM152" s="5"/>
      <c r="DN152" s="5"/>
      <c r="DO152" s="5"/>
      <c r="DP152" s="5"/>
      <c r="DQ152" s="5"/>
    </row>
    <row r="153" spans="1:121" ht="14.4">
      <c r="A153" s="12" t="s">
        <v>152</v>
      </c>
      <c r="B153" s="5">
        <f>HLOOKUP($A153,ESCENARIO[#All],7,FALSE)</f>
        <v>12535347461.249203</v>
      </c>
      <c r="C153" s="5">
        <f>IF($B152&lt;=Tabla5[[#This Row],[INVERSIONES FCI]],+Tabla5[[#This Row],[INVERSIONES FCI]]-C152,Tabla5[[#This Row],[INVERSIONES FCI]])</f>
        <v>10765138475.019199</v>
      </c>
      <c r="D153" s="5">
        <f>IF($B152&lt;=Tabla5[[#This Row],[INVERSIONES FCI]],+Tabla5[[#This Row],[INVERSIONES FCI]]-D152,Tabla5[[#This Row],[INVERSIONES FCI]])</f>
        <v>10765138475.019199</v>
      </c>
      <c r="E153" s="5">
        <f>IF($B152&lt;=Tabla5[[#This Row],[INVERSIONES FCI]],+Tabla5[[#This Row],[INVERSIONES FCI]]-E152,Tabla5[[#This Row],[INVERSIONES FCI]])</f>
        <v>10765138475.019199</v>
      </c>
      <c r="F153" s="5">
        <f>IF($B152&lt;=Tabla5[[#This Row],[INVERSIONES FCI]],+Tabla5[[#This Row],[INVERSIONES FCI]]-F152,Tabla5[[#This Row],[INVERSIONES FCI]])</f>
        <v>10765138475.019199</v>
      </c>
      <c r="G153" s="5">
        <f>IF($B152&lt;=Tabla5[[#This Row],[INVERSIONES FCI]],+Tabla5[[#This Row],[INVERSIONES FCI]]-G152,Tabla5[[#This Row],[INVERSIONES FCI]])</f>
        <v>10765138475.019199</v>
      </c>
      <c r="H153" s="5">
        <f>IF($B152&lt;=Tabla5[[#This Row],[INVERSIONES FCI]],+Tabla5[[#This Row],[INVERSIONES FCI]]-H152,Tabla5[[#This Row],[INVERSIONES FCI]])</f>
        <v>10765138475.019199</v>
      </c>
      <c r="I153" s="5">
        <f>IF($B152&lt;=Tabla5[[#This Row],[INVERSIONES FCI]],+Tabla5[[#This Row],[INVERSIONES FCI]]-I152,Tabla5[[#This Row],[INVERSIONES FCI]])</f>
        <v>10765138475.019199</v>
      </c>
      <c r="J153" s="5">
        <f>IF($B152&lt;=Tabla5[[#This Row],[INVERSIONES FCI]],+Tabla5[[#This Row],[INVERSIONES FCI]]-J152,Tabla5[[#This Row],[INVERSIONES FCI]])</f>
        <v>10765138475.019199</v>
      </c>
      <c r="K153" s="5">
        <f>IF($B152&lt;=Tabla5[[#This Row],[INVERSIONES FCI]],+Tabla5[[#This Row],[INVERSIONES FCI]]-K152,Tabla5[[#This Row],[INVERSIONES FCI]])</f>
        <v>10765138475.019199</v>
      </c>
      <c r="L153" s="5">
        <f>IF($B152&lt;=Tabla5[[#This Row],[INVERSIONES FCI]],+Tabla5[[#This Row],[INVERSIONES FCI]]-L152,Tabla5[[#This Row],[INVERSIONES FCI]])</f>
        <v>10765138475.019199</v>
      </c>
      <c r="M153" s="5">
        <f>IF($B152&lt;=Tabla5[[#This Row],[INVERSIONES FCI]],+Tabla5[[#This Row],[INVERSIONES FCI]]-M152,Tabla5[[#This Row],[INVERSIONES FCI]])</f>
        <v>10765138475.019199</v>
      </c>
      <c r="N153" s="5">
        <f>IF($B152&lt;=Tabla5[[#This Row],[INVERSIONES FCI]],+Tabla5[[#This Row],[INVERSIONES FCI]]-N152,Tabla5[[#This Row],[INVERSIONES FCI]])</f>
        <v>10765138475.019199</v>
      </c>
      <c r="O153" s="5">
        <f>IF($B152&lt;=Tabla5[[#This Row],[INVERSIONES FCI]],+Tabla5[[#This Row],[INVERSIONES FCI]]-O152,Tabla5[[#This Row],[INVERSIONES FCI]])</f>
        <v>10765138475.019199</v>
      </c>
      <c r="P153" s="5">
        <f>IF($B152&lt;=Tabla5[[#This Row],[INVERSIONES FCI]],+Tabla5[[#This Row],[INVERSIONES FCI]]-P152,Tabla5[[#This Row],[INVERSIONES FCI]])</f>
        <v>10765138475.019199</v>
      </c>
      <c r="Q153" s="5">
        <f>IF($B152&lt;=Tabla5[[#This Row],[INVERSIONES FCI]],+Tabla5[[#This Row],[INVERSIONES FCI]]-Q152,Tabla5[[#This Row],[INVERSIONES FCI]])</f>
        <v>10765138475.019199</v>
      </c>
      <c r="R153" s="5">
        <f>IF($B152&lt;=Tabla5[[#This Row],[INVERSIONES FCI]],+Tabla5[[#This Row],[INVERSIONES FCI]]-R152,Tabla5[[#This Row],[INVERSIONES FCI]])</f>
        <v>10765138475.019199</v>
      </c>
      <c r="S153" s="5">
        <f>IF($B152&lt;=Tabla5[[#This Row],[INVERSIONES FCI]],+Tabla5[[#This Row],[INVERSIONES FCI]]-S152,Tabla5[[#This Row],[INVERSIONES FCI]])</f>
        <v>10765138475.019199</v>
      </c>
      <c r="T153" s="5">
        <f>IF($B152&lt;=Tabla5[[#This Row],[INVERSIONES FCI]],+Tabla5[[#This Row],[INVERSIONES FCI]]-T152,Tabla5[[#This Row],[INVERSIONES FCI]])</f>
        <v>10765138475.019199</v>
      </c>
      <c r="U153" s="5">
        <f>IF($B152&lt;=Tabla5[[#This Row],[INVERSIONES FCI]],+Tabla5[[#This Row],[INVERSIONES FCI]]-U152,Tabla5[[#This Row],[INVERSIONES FCI]])</f>
        <v>10765138475.019199</v>
      </c>
      <c r="V153" s="5">
        <f>IF($B152&lt;=Tabla5[[#This Row],[INVERSIONES FCI]],+Tabla5[[#This Row],[INVERSIONES FCI]]-V152,Tabla5[[#This Row],[INVERSIONES FCI]])</f>
        <v>10765138475.019199</v>
      </c>
      <c r="W153" s="5">
        <f>IF($B152&lt;=Tabla5[[#This Row],[INVERSIONES FCI]],+Tabla5[[#This Row],[INVERSIONES FCI]]-W152,Tabla5[[#This Row],[INVERSIONES FCI]])</f>
        <v>10765138475.019199</v>
      </c>
      <c r="X153" s="5">
        <f>IF($B152&lt;=Tabla5[[#This Row],[INVERSIONES FCI]],+Tabla5[[#This Row],[INVERSIONES FCI]]-X152,Tabla5[[#This Row],[INVERSIONES FCI]])</f>
        <v>10765138475.019199</v>
      </c>
      <c r="Y153" s="5">
        <f>IF($B152&lt;=Tabla5[[#This Row],[INVERSIONES FCI]],+Tabla5[[#This Row],[INVERSIONES FCI]]-Y152,Tabla5[[#This Row],[INVERSIONES FCI]])</f>
        <v>10765138475.019199</v>
      </c>
      <c r="Z153" s="5">
        <f>IF($B152&lt;=Tabla5[[#This Row],[INVERSIONES FCI]],+Tabla5[[#This Row],[INVERSIONES FCI]]-Z152,Tabla5[[#This Row],[INVERSIONES FCI]])</f>
        <v>10765138475.019199</v>
      </c>
      <c r="AA153" s="5">
        <f>IF($B152&lt;=Tabla5[[#This Row],[INVERSIONES FCI]],+Tabla5[[#This Row],[INVERSIONES FCI]]-AA152,Tabla5[[#This Row],[INVERSIONES FCI]])</f>
        <v>10765138475.019199</v>
      </c>
      <c r="AB153" s="5">
        <f>IF($B152&lt;=Tabla5[[#This Row],[INVERSIONES FCI]],+Tabla5[[#This Row],[INVERSIONES FCI]]-AB152,Tabla5[[#This Row],[INVERSIONES FCI]])</f>
        <v>10765138475.019199</v>
      </c>
      <c r="AC153" s="5">
        <f>IF($B152&lt;=Tabla5[[#This Row],[INVERSIONES FCI]],+Tabla5[[#This Row],[INVERSIONES FCI]]-AC152,Tabla5[[#This Row],[INVERSIONES FCI]])</f>
        <v>10765138475.019199</v>
      </c>
      <c r="AD153" s="5">
        <f>IF($B152&lt;=Tabla5[[#This Row],[INVERSIONES FCI]],+Tabla5[[#This Row],[INVERSIONES FCI]]-AD152,Tabla5[[#This Row],[INVERSIONES FCI]])</f>
        <v>10765138475.019199</v>
      </c>
      <c r="AE153" s="5">
        <f>IF($B152&lt;=Tabla5[[#This Row],[INVERSIONES FCI]],+Tabla5[[#This Row],[INVERSIONES FCI]]-AE152,Tabla5[[#This Row],[INVERSIONES FCI]])</f>
        <v>10765138475.019199</v>
      </c>
      <c r="AF153" s="5">
        <f>IF($B152&lt;=Tabla5[[#This Row],[INVERSIONES FCI]],+Tabla5[[#This Row],[INVERSIONES FCI]]-AF152,Tabla5[[#This Row],[INVERSIONES FCI]])</f>
        <v>10765138475.019199</v>
      </c>
      <c r="AG153" s="5">
        <f>IF($B152&lt;=Tabla5[[#This Row],[INVERSIONES FCI]],+Tabla5[[#This Row],[INVERSIONES FCI]]-AG152,Tabla5[[#This Row],[INVERSIONES FCI]])</f>
        <v>10765138475.019199</v>
      </c>
      <c r="AH153" s="5">
        <f>IF($B152&lt;=Tabla5[[#This Row],[INVERSIONES FCI]],+Tabla5[[#This Row],[INVERSIONES FCI]]-AH152,Tabla5[[#This Row],[INVERSIONES FCI]])</f>
        <v>10765138475.019199</v>
      </c>
      <c r="AI153" s="5">
        <f>IF($B152&lt;=Tabla5[[#This Row],[INVERSIONES FCI]],+Tabla5[[#This Row],[INVERSIONES FCI]]-AI152,Tabla5[[#This Row],[INVERSIONES FCI]])</f>
        <v>10765138475.019199</v>
      </c>
      <c r="AJ153" s="5">
        <f>IF($B152&lt;=Tabla5[[#This Row],[INVERSIONES FCI]],+Tabla5[[#This Row],[INVERSIONES FCI]]-AJ152,Tabla5[[#This Row],[INVERSIONES FCI]])</f>
        <v>10765138475.019199</v>
      </c>
      <c r="AK153" s="5">
        <f>IF($B152&lt;=Tabla5[[#This Row],[INVERSIONES FCI]],+Tabla5[[#This Row],[INVERSIONES FCI]]-AK152,Tabla5[[#This Row],[INVERSIONES FCI]])</f>
        <v>10765138475.019199</v>
      </c>
      <c r="AL153" s="5">
        <f>IF($B152&lt;=Tabla5[[#This Row],[INVERSIONES FCI]],+Tabla5[[#This Row],[INVERSIONES FCI]]-AL152,Tabla5[[#This Row],[INVERSIONES FCI]])</f>
        <v>10765138475.019199</v>
      </c>
      <c r="AM153" s="5">
        <f>IF($B152&lt;=Tabla5[[#This Row],[INVERSIONES FCI]],+Tabla5[[#This Row],[INVERSIONES FCI]]-AM152,Tabla5[[#This Row],[INVERSIONES FCI]])</f>
        <v>10765138475.019199</v>
      </c>
      <c r="AN153" s="5">
        <f>IF($B152&lt;=Tabla5[[#This Row],[INVERSIONES FCI]],+Tabla5[[#This Row],[INVERSIONES FCI]]-AN152,Tabla5[[#This Row],[INVERSIONES FCI]])</f>
        <v>10765138475.019199</v>
      </c>
      <c r="AO153" s="5">
        <f>IF($B152&lt;=Tabla5[[#This Row],[INVERSIONES FCI]],+Tabla5[[#This Row],[INVERSIONES FCI]]-AO152,Tabla5[[#This Row],[INVERSIONES FCI]])</f>
        <v>10765138475.019199</v>
      </c>
      <c r="AP153" s="5">
        <f>IF($B152&lt;=Tabla5[[#This Row],[INVERSIONES FCI]],+Tabla5[[#This Row],[INVERSIONES FCI]]-AP152,Tabla5[[#This Row],[INVERSIONES FCI]])</f>
        <v>10765138475.019199</v>
      </c>
      <c r="AQ153" s="5">
        <f>IF($B152&lt;=Tabla5[[#This Row],[INVERSIONES FCI]],+Tabla5[[#This Row],[INVERSIONES FCI]]-AQ152,Tabla5[[#This Row],[INVERSIONES FCI]])</f>
        <v>10765138475.019199</v>
      </c>
      <c r="AR153" s="5">
        <f>IF($B152&lt;=Tabla5[[#This Row],[INVERSIONES FCI]],+Tabla5[[#This Row],[INVERSIONES FCI]]-AR152,Tabla5[[#This Row],[INVERSIONES FCI]])</f>
        <v>10765138475.019199</v>
      </c>
      <c r="AS153" s="5">
        <f>IF($B152&lt;=Tabla5[[#This Row],[INVERSIONES FCI]],+Tabla5[[#This Row],[INVERSIONES FCI]]-AS152,Tabla5[[#This Row],[INVERSIONES FCI]])</f>
        <v>10765138475.019199</v>
      </c>
      <c r="AT153" s="5">
        <f>IF($B152&lt;=Tabla5[[#This Row],[INVERSIONES FCI]],+Tabla5[[#This Row],[INVERSIONES FCI]]-AT152,Tabla5[[#This Row],[INVERSIONES FCI]])</f>
        <v>10765138475.019199</v>
      </c>
      <c r="AU153" s="5">
        <f>IF($B152&lt;=Tabla5[[#This Row],[INVERSIONES FCI]],+Tabla5[[#This Row],[INVERSIONES FCI]]-AU152,Tabla5[[#This Row],[INVERSIONES FCI]])</f>
        <v>10765138475.019199</v>
      </c>
      <c r="AV153" s="5">
        <f>IF($B152&lt;=Tabla5[[#This Row],[INVERSIONES FCI]],+Tabla5[[#This Row],[INVERSIONES FCI]]-AV152,Tabla5[[#This Row],[INVERSIONES FCI]])</f>
        <v>10765138475.019199</v>
      </c>
      <c r="AW153" s="5">
        <f>IF($B152&lt;=Tabla5[[#This Row],[INVERSIONES FCI]],+Tabla5[[#This Row],[INVERSIONES FCI]]-AW152,Tabla5[[#This Row],[INVERSIONES FCI]])</f>
        <v>10765138475.019199</v>
      </c>
      <c r="AX153" s="5">
        <f>IF($B152&lt;=Tabla5[[#This Row],[INVERSIONES FCI]],+Tabla5[[#This Row],[INVERSIONES FCI]]-AX152,Tabla5[[#This Row],[INVERSIONES FCI]])</f>
        <v>10765138475.019199</v>
      </c>
      <c r="AY153" s="5">
        <f>IF($B152&lt;=Tabla5[[#This Row],[INVERSIONES FCI]],+Tabla5[[#This Row],[INVERSIONES FCI]]-AY152,Tabla5[[#This Row],[INVERSIONES FCI]])</f>
        <v>10765138475.019199</v>
      </c>
      <c r="AZ153" s="5">
        <f>IF($B152&lt;=Tabla5[[#This Row],[INVERSIONES FCI]],+Tabla5[[#This Row],[INVERSIONES FCI]]-AZ152,Tabla5[[#This Row],[INVERSIONES FCI]])</f>
        <v>10765138475.019199</v>
      </c>
      <c r="BA153" s="5">
        <f>IF($B152&lt;=Tabla5[[#This Row],[INVERSIONES FCI]],+Tabla5[[#This Row],[INVERSIONES FCI]]-BA152,Tabla5[[#This Row],[INVERSIONES FCI]])</f>
        <v>10765138475.019199</v>
      </c>
      <c r="BB153" s="5">
        <f>IF($B152&lt;=Tabla5[[#This Row],[INVERSIONES FCI]],+Tabla5[[#This Row],[INVERSIONES FCI]]-BB152,Tabla5[[#This Row],[INVERSIONES FCI]])</f>
        <v>10765138475.019199</v>
      </c>
      <c r="BC153" s="5">
        <f>IF($B152&lt;=Tabla5[[#This Row],[INVERSIONES FCI]],+Tabla5[[#This Row],[INVERSIONES FCI]]-BC152,Tabla5[[#This Row],[INVERSIONES FCI]])</f>
        <v>10765138475.019199</v>
      </c>
      <c r="BD153" s="5">
        <f>IF($B152&lt;=Tabla5[[#This Row],[INVERSIONES FCI]],+Tabla5[[#This Row],[INVERSIONES FCI]]-BD152,Tabla5[[#This Row],[INVERSIONES FCI]])</f>
        <v>10765138475.019199</v>
      </c>
      <c r="BE153" s="5">
        <f>IF($B152&lt;=Tabla5[[#This Row],[INVERSIONES FCI]],+Tabla5[[#This Row],[INVERSIONES FCI]]-BE152,Tabla5[[#This Row],[INVERSIONES FCI]])</f>
        <v>10765138475.019199</v>
      </c>
      <c r="BF153" s="5">
        <f>IF($B152&lt;=Tabla5[[#This Row],[INVERSIONES FCI]],+Tabla5[[#This Row],[INVERSIONES FCI]]-BF152,Tabla5[[#This Row],[INVERSIONES FCI]])</f>
        <v>10765138475.019199</v>
      </c>
      <c r="BG153" s="5">
        <f>IF($B152&lt;=Tabla5[[#This Row],[INVERSIONES FCI]],+Tabla5[[#This Row],[INVERSIONES FCI]]-BG152,Tabla5[[#This Row],[INVERSIONES FCI]])</f>
        <v>10765138475.019199</v>
      </c>
      <c r="BH153" s="5">
        <f>IF($B152&lt;=Tabla5[[#This Row],[INVERSIONES FCI]],+Tabla5[[#This Row],[INVERSIONES FCI]]-BH152,Tabla5[[#This Row],[INVERSIONES FCI]])</f>
        <v>10765138475.019199</v>
      </c>
      <c r="BI153" s="5">
        <f>IF($B152&lt;=Tabla5[[#This Row],[INVERSIONES FCI]],+Tabla5[[#This Row],[INVERSIONES FCI]]-BI152,Tabla5[[#This Row],[INVERSIONES FCI]])</f>
        <v>10765138475.019199</v>
      </c>
      <c r="BJ153" s="5">
        <f>IF($B152&lt;=Tabla5[[#This Row],[INVERSIONES FCI]],+Tabla5[[#This Row],[INVERSIONES FCI]]-BJ152,Tabla5[[#This Row],[INVERSIONES FCI]])</f>
        <v>10765138475.019199</v>
      </c>
      <c r="BK153" s="5">
        <f>IF($B152&lt;=Tabla5[[#This Row],[INVERSIONES FCI]],+Tabla5[[#This Row],[INVERSIONES FCI]]-BK152,Tabla5[[#This Row],[INVERSIONES FCI]])</f>
        <v>10765138475.019199</v>
      </c>
      <c r="BL153" s="5">
        <f>IF($B152&lt;=Tabla5[[#This Row],[INVERSIONES FCI]],+Tabla5[[#This Row],[INVERSIONES FCI]]-BL152,Tabla5[[#This Row],[INVERSIONES FCI]])</f>
        <v>10765138475.019199</v>
      </c>
      <c r="BM153" s="5">
        <f>IF($B152&lt;=Tabla5[[#This Row],[INVERSIONES FCI]],+Tabla5[[#This Row],[INVERSIONES FCI]]-BM152,Tabla5[[#This Row],[INVERSIONES FCI]])</f>
        <v>10765138475.019199</v>
      </c>
      <c r="BN153" s="5">
        <f>IF($B152&lt;=Tabla5[[#This Row],[INVERSIONES FCI]],+Tabla5[[#This Row],[INVERSIONES FCI]]-BN152,Tabla5[[#This Row],[INVERSIONES FCI]])</f>
        <v>10765138475.019199</v>
      </c>
      <c r="BO153" s="5">
        <f>IF($B152&lt;=Tabla5[[#This Row],[INVERSIONES FCI]],+Tabla5[[#This Row],[INVERSIONES FCI]]-BO152,Tabla5[[#This Row],[INVERSIONES FCI]])</f>
        <v>10765138475.019199</v>
      </c>
      <c r="BP153" s="5">
        <f>IF($B152&lt;=Tabla5[[#This Row],[INVERSIONES FCI]],+Tabla5[[#This Row],[INVERSIONES FCI]]-BP152,Tabla5[[#This Row],[INVERSIONES FCI]])</f>
        <v>10765138475.019199</v>
      </c>
      <c r="BQ153" s="5">
        <f>IF($B152&lt;=Tabla5[[#This Row],[INVERSIONES FCI]],+Tabla5[[#This Row],[INVERSIONES FCI]]-BQ152,Tabla5[[#This Row],[INVERSIONES FCI]])</f>
        <v>10765138475.019199</v>
      </c>
      <c r="BR153" s="5">
        <f>IF($B152&lt;=Tabla5[[#This Row],[INVERSIONES FCI]],+Tabla5[[#This Row],[INVERSIONES FCI]]-BR152,Tabla5[[#This Row],[INVERSIONES FCI]])</f>
        <v>10765138475.019199</v>
      </c>
      <c r="BS153" s="5">
        <f>IF($B152&lt;=Tabla5[[#This Row],[INVERSIONES FCI]],+Tabla5[[#This Row],[INVERSIONES FCI]]-BS152,Tabla5[[#This Row],[INVERSIONES FCI]])</f>
        <v>10765138475.019199</v>
      </c>
      <c r="BT153" s="5">
        <f>IF($B152&lt;=Tabla5[[#This Row],[INVERSIONES FCI]],+Tabla5[[#This Row],[INVERSIONES FCI]]-BT152,Tabla5[[#This Row],[INVERSIONES FCI]])</f>
        <v>10765138475.019199</v>
      </c>
      <c r="BU153" s="5">
        <f>IF($B152&lt;=Tabla5[[#This Row],[INVERSIONES FCI]],+Tabla5[[#This Row],[INVERSIONES FCI]]-BU152,Tabla5[[#This Row],[INVERSIONES FCI]])</f>
        <v>10765138475.019199</v>
      </c>
      <c r="BV153" s="5">
        <f>IF($B152&lt;=Tabla5[[#This Row],[INVERSIONES FCI]],+Tabla5[[#This Row],[INVERSIONES FCI]]-BV152,Tabla5[[#This Row],[INVERSIONES FCI]])</f>
        <v>10765138475.019199</v>
      </c>
      <c r="BW153" s="5">
        <f>IF($B152&lt;=Tabla5[[#This Row],[INVERSIONES FCI]],+Tabla5[[#This Row],[INVERSIONES FCI]]-BW152,Tabla5[[#This Row],[INVERSIONES FCI]])</f>
        <v>10765138475.019199</v>
      </c>
      <c r="BX153" s="5">
        <f>IF($B152&lt;=Tabla5[[#This Row],[INVERSIONES FCI]],+Tabla5[[#This Row],[INVERSIONES FCI]]-BX152,Tabla5[[#This Row],[INVERSIONES FCI]])</f>
        <v>10765138475.019199</v>
      </c>
      <c r="BY153" s="5">
        <f>IF($B152&lt;=Tabla5[[#This Row],[INVERSIONES FCI]],+Tabla5[[#This Row],[INVERSIONES FCI]]-BY152,Tabla5[[#This Row],[INVERSIONES FCI]])</f>
        <v>10765138475.019199</v>
      </c>
      <c r="BZ153" s="5">
        <f>IF($B152&lt;=Tabla5[[#This Row],[INVERSIONES FCI]],+Tabla5[[#This Row],[INVERSIONES FCI]]-BZ152,Tabla5[[#This Row],[INVERSIONES FCI]])</f>
        <v>10765138475.019199</v>
      </c>
      <c r="CA153" s="5">
        <f>IF($B152&lt;=Tabla5[[#This Row],[INVERSIONES FCI]],+Tabla5[[#This Row],[INVERSIONES FCI]]-CA152,Tabla5[[#This Row],[INVERSIONES FCI]])</f>
        <v>10765138475.019199</v>
      </c>
      <c r="CB153" s="5">
        <f>IF($B152&lt;=Tabla5[[#This Row],[INVERSIONES FCI]],+Tabla5[[#This Row],[INVERSIONES FCI]]-CB152,Tabla5[[#This Row],[INVERSIONES FCI]])</f>
        <v>10765138475.019199</v>
      </c>
      <c r="CC153" s="5">
        <f>IF($B152&lt;=Tabla5[[#This Row],[INVERSIONES FCI]],+Tabla5[[#This Row],[INVERSIONES FCI]]-CC152,Tabla5[[#This Row],[INVERSIONES FCI]])</f>
        <v>10765138475.019199</v>
      </c>
      <c r="CD153" s="5">
        <f>IF($B152&lt;=Tabla5[[#This Row],[INVERSIONES FCI]],+Tabla5[[#This Row],[INVERSIONES FCI]]-CD152,Tabla5[[#This Row],[INVERSIONES FCI]])</f>
        <v>10765138475.019199</v>
      </c>
      <c r="CE153" s="5">
        <f>IF($B152&lt;=Tabla5[[#This Row],[INVERSIONES FCI]],+Tabla5[[#This Row],[INVERSIONES FCI]]-CE152,Tabla5[[#This Row],[INVERSIONES FCI]])</f>
        <v>10765138475.019199</v>
      </c>
      <c r="CF153" s="5">
        <f>IF($B152&lt;=Tabla5[[#This Row],[INVERSIONES FCI]],+Tabla5[[#This Row],[INVERSIONES FCI]]-CF152,Tabla5[[#This Row],[INVERSIONES FCI]])</f>
        <v>10765138475.019199</v>
      </c>
      <c r="CG153" s="5">
        <f>IF($B152&lt;=Tabla5[[#This Row],[INVERSIONES FCI]],+Tabla5[[#This Row],[INVERSIONES FCI]]-CG152,Tabla5[[#This Row],[INVERSIONES FCI]])</f>
        <v>10765138475.019199</v>
      </c>
      <c r="CH153" s="5">
        <f>IF($B152&lt;=Tabla5[[#This Row],[INVERSIONES FCI]],+Tabla5[[#This Row],[INVERSIONES FCI]]-CH152,Tabla5[[#This Row],[INVERSIONES FCI]])</f>
        <v>10765138475.019199</v>
      </c>
      <c r="CI153" s="5">
        <f>IF($B152&lt;=Tabla5[[#This Row],[INVERSIONES FCI]],+Tabla5[[#This Row],[INVERSIONES FCI]]-CI152,Tabla5[[#This Row],[INVERSIONES FCI]])</f>
        <v>10765138475.019199</v>
      </c>
      <c r="CJ153" s="5">
        <f>IF($B152&lt;=Tabla5[[#This Row],[INVERSIONES FCI]],+Tabla5[[#This Row],[INVERSIONES FCI]]-CJ152,Tabla5[[#This Row],[INVERSIONES FCI]])</f>
        <v>10765138475.019199</v>
      </c>
      <c r="CK153" s="5">
        <f>IF($B152&lt;=Tabla5[[#This Row],[INVERSIONES FCI]],+Tabla5[[#This Row],[INVERSIONES FCI]]-CK152,Tabla5[[#This Row],[INVERSIONES FCI]])</f>
        <v>10765138475.019199</v>
      </c>
      <c r="CL153" s="5">
        <f>IF($B152&lt;=Tabla5[[#This Row],[INVERSIONES FCI]],+Tabla5[[#This Row],[INVERSIONES FCI]]-CL152,Tabla5[[#This Row],[INVERSIONES FCI]])</f>
        <v>10765138475.019199</v>
      </c>
      <c r="CM153" s="5">
        <f>IF($B152&lt;=Tabla5[[#This Row],[INVERSIONES FCI]],+Tabla5[[#This Row],[INVERSIONES FCI]]-CM152,Tabla5[[#This Row],[INVERSIONES FCI]])</f>
        <v>10765138475.019199</v>
      </c>
      <c r="CN153" s="5">
        <f>IF($B152&lt;=Tabla5[[#This Row],[INVERSIONES FCI]],+Tabla5[[#This Row],[INVERSIONES FCI]]-CN152,Tabla5[[#This Row],[INVERSIONES FCI]])</f>
        <v>10765138475.019199</v>
      </c>
      <c r="CO153" s="5">
        <f>IF($B152&lt;=Tabla5[[#This Row],[INVERSIONES FCI]],+Tabla5[[#This Row],[INVERSIONES FCI]]-CO152,Tabla5[[#This Row],[INVERSIONES FCI]])</f>
        <v>10765138475.019199</v>
      </c>
      <c r="CP153" s="5">
        <f>IF($B152&lt;=Tabla5[[#This Row],[INVERSIONES FCI]],+Tabla5[[#This Row],[INVERSIONES FCI]]-CP152,Tabla5[[#This Row],[INVERSIONES FCI]])</f>
        <v>10765138475.019199</v>
      </c>
      <c r="CQ153" s="5">
        <f>IF($B152&lt;=Tabla5[[#This Row],[INVERSIONES FCI]],+Tabla5[[#This Row],[INVERSIONES FCI]]-CQ152,Tabla5[[#This Row],[INVERSIONES FCI]])</f>
        <v>10765138475.019199</v>
      </c>
      <c r="CR153" s="5">
        <f>IF($B152&lt;=Tabla5[[#This Row],[INVERSIONES FCI]],+Tabla5[[#This Row],[INVERSIONES FCI]]-CR152,Tabla5[[#This Row],[INVERSIONES FCI]])</f>
        <v>10765138475.019199</v>
      </c>
      <c r="CS153" s="5">
        <f>IF($B152&lt;=Tabla5[[#This Row],[INVERSIONES FCI]],+Tabla5[[#This Row],[INVERSIONES FCI]]-CS152,Tabla5[[#This Row],[INVERSIONES FCI]])</f>
        <v>10765138475.019199</v>
      </c>
      <c r="CT153" s="5">
        <f>IF($B152&lt;=Tabla5[[#This Row],[INVERSIONES FCI]],+Tabla5[[#This Row],[INVERSIONES FCI]]-CT152,Tabla5[[#This Row],[INVERSIONES FCI]])</f>
        <v>10765138475.019199</v>
      </c>
      <c r="CU153" s="5">
        <f>IF($B152&lt;=Tabla5[[#This Row],[INVERSIONES FCI]],+Tabla5[[#This Row],[INVERSIONES FCI]]-CU152,Tabla5[[#This Row],[INVERSIONES FCI]])</f>
        <v>10765138475.019199</v>
      </c>
      <c r="CV153" s="5">
        <f>IF($B152&lt;=Tabla5[[#This Row],[INVERSIONES FCI]],+Tabla5[[#This Row],[INVERSIONES FCI]]-CV152,Tabla5[[#This Row],[INVERSIONES FCI]])</f>
        <v>10765138475.019199</v>
      </c>
      <c r="CW153" s="5">
        <f>IF($B152&lt;=Tabla5[[#This Row],[INVERSIONES FCI]],+Tabla5[[#This Row],[INVERSIONES FCI]]-CW152,Tabla5[[#This Row],[INVERSIONES FCI]])</f>
        <v>10765138475.019199</v>
      </c>
      <c r="CX153" s="5">
        <f>IF($B152&lt;=Tabla5[[#This Row],[INVERSIONES FCI]],+Tabla5[[#This Row],[INVERSIONES FCI]]-CX152,Tabla5[[#This Row],[INVERSIONES FCI]])</f>
        <v>10765138475.019199</v>
      </c>
      <c r="CY153" s="5">
        <f>IF($B152&lt;=Tabla5[[#This Row],[INVERSIONES FCI]],+Tabla5[[#This Row],[INVERSIONES FCI]]-CY152,Tabla5[[#This Row],[INVERSIONES FCI]])</f>
        <v>10765138475.019199</v>
      </c>
      <c r="CZ153" s="5">
        <f>IF($B152&lt;=Tabla5[[#This Row],[INVERSIONES FCI]],+Tabla5[[#This Row],[INVERSIONES FCI]]-CZ152,Tabla5[[#This Row],[INVERSIONES FCI]])</f>
        <v>10765138475.019199</v>
      </c>
      <c r="DA153" s="5">
        <f>IF($B152&lt;=Tabla5[[#This Row],[INVERSIONES FCI]],+Tabla5[[#This Row],[INVERSIONES FCI]]-DA152,Tabla5[[#This Row],[INVERSIONES FCI]])</f>
        <v>10765138475.019199</v>
      </c>
      <c r="DB153" s="5">
        <f>IF($B152&lt;=Tabla5[[#This Row],[INVERSIONES FCI]],+Tabla5[[#This Row],[INVERSIONES FCI]]-DB152,Tabla5[[#This Row],[INVERSIONES FCI]])</f>
        <v>10765138475.019199</v>
      </c>
      <c r="DC153" s="5">
        <f>IF($B152&lt;=Tabla5[[#This Row],[INVERSIONES FCI]],+Tabla5[[#This Row],[INVERSIONES FCI]]-DC152,Tabla5[[#This Row],[INVERSIONES FCI]])</f>
        <v>10765138475.019199</v>
      </c>
      <c r="DD153" s="5">
        <f>IF($B152&lt;=Tabla5[[#This Row],[INVERSIONES FCI]],+Tabla5[[#This Row],[INVERSIONES FCI]]-DD152,Tabla5[[#This Row],[INVERSIONES FCI]])</f>
        <v>10765138475.019199</v>
      </c>
      <c r="DE153" s="5">
        <f>IF($B152&lt;=Tabla5[[#This Row],[INVERSIONES FCI]],+Tabla5[[#This Row],[INVERSIONES FCI]]-DE152,Tabla5[[#This Row],[INVERSIONES FCI]])</f>
        <v>10765138475.019199</v>
      </c>
      <c r="DF153" s="5">
        <f>IF($B152&lt;=Tabla5[[#This Row],[INVERSIONES FCI]],+Tabla5[[#This Row],[INVERSIONES FCI]]-DF152,Tabla5[[#This Row],[INVERSIONES FCI]])</f>
        <v>10765138475.019199</v>
      </c>
      <c r="DG153" s="5">
        <f>IF($B152&lt;=Tabla5[[#This Row],[INVERSIONES FCI]],+Tabla5[[#This Row],[INVERSIONES FCI]]-DG152,Tabla5[[#This Row],[INVERSIONES FCI]])</f>
        <v>10765138475.019199</v>
      </c>
      <c r="DH153" s="5">
        <f>IF($B152&lt;=Tabla5[[#This Row],[INVERSIONES FCI]],+Tabla5[[#This Row],[INVERSIONES FCI]]-DH152,Tabla5[[#This Row],[INVERSIONES FCI]])</f>
        <v>10765138475.019199</v>
      </c>
      <c r="DI153" s="5">
        <f>IF($B152&lt;=Tabla5[[#This Row],[INVERSIONES FCI]],+Tabla5[[#This Row],[INVERSIONES FCI]]-DI152,Tabla5[[#This Row],[INVERSIONES FCI]])</f>
        <v>10765138475.019199</v>
      </c>
      <c r="DJ153" s="5">
        <f>IF($B152&lt;=Tabla5[[#This Row],[INVERSIONES FCI]],+Tabla5[[#This Row],[INVERSIONES FCI]]-DJ152,Tabla5[[#This Row],[INVERSIONES FCI]])</f>
        <v>10765138475.019199</v>
      </c>
      <c r="DK153" s="5">
        <f>IF($B152&lt;=Tabla5[[#This Row],[INVERSIONES FCI]],+Tabla5[[#This Row],[INVERSIONES FCI]]-DK152,Tabla5[[#This Row],[INVERSIONES FCI]])</f>
        <v>10765138475.019199</v>
      </c>
      <c r="DL153" s="5"/>
      <c r="DM153" s="5"/>
      <c r="DN153" s="5"/>
      <c r="DO153" s="5"/>
      <c r="DP153" s="5"/>
      <c r="DQ153" s="5"/>
    </row>
    <row r="154" spans="1:121" ht="14.4">
      <c r="A154" s="12" t="s">
        <v>153</v>
      </c>
      <c r="B154" s="5">
        <f>HLOOKUP($A154,ESCENARIO[#All],7,FALSE)</f>
        <v>13468682159.972044</v>
      </c>
      <c r="C154" s="5">
        <f>IF($B153&lt;=Tabla5[[#This Row],[INVERSIONES FCI]],+Tabla5[[#This Row],[INVERSIONES FCI]]-C153,Tabla5[[#This Row],[INVERSIONES FCI]])</f>
        <v>2703543684.9528446</v>
      </c>
      <c r="D154" s="5">
        <f>IF($B153&lt;=Tabla5[[#This Row],[INVERSIONES FCI]],+Tabla5[[#This Row],[INVERSIONES FCI]]-D153,Tabla5[[#This Row],[INVERSIONES FCI]])</f>
        <v>2703543684.9528446</v>
      </c>
      <c r="E154" s="5">
        <f>IF($B153&lt;=Tabla5[[#This Row],[INVERSIONES FCI]],+Tabla5[[#This Row],[INVERSIONES FCI]]-E153,Tabla5[[#This Row],[INVERSIONES FCI]])</f>
        <v>2703543684.9528446</v>
      </c>
      <c r="F154" s="5">
        <f>IF($B153&lt;=Tabla5[[#This Row],[INVERSIONES FCI]],+Tabla5[[#This Row],[INVERSIONES FCI]]-F153,Tabla5[[#This Row],[INVERSIONES FCI]])</f>
        <v>2703543684.9528446</v>
      </c>
      <c r="G154" s="5">
        <f>IF($B153&lt;=Tabla5[[#This Row],[INVERSIONES FCI]],+Tabla5[[#This Row],[INVERSIONES FCI]]-G153,Tabla5[[#This Row],[INVERSIONES FCI]])</f>
        <v>2703543684.9528446</v>
      </c>
      <c r="H154" s="5">
        <f>IF($B153&lt;=Tabla5[[#This Row],[INVERSIONES FCI]],+Tabla5[[#This Row],[INVERSIONES FCI]]-H153,Tabla5[[#This Row],[INVERSIONES FCI]])</f>
        <v>2703543684.9528446</v>
      </c>
      <c r="I154" s="5">
        <f>IF($B153&lt;=Tabla5[[#This Row],[INVERSIONES FCI]],+Tabla5[[#This Row],[INVERSIONES FCI]]-I153,Tabla5[[#This Row],[INVERSIONES FCI]])</f>
        <v>2703543684.9528446</v>
      </c>
      <c r="J154" s="5">
        <f>IF($B153&lt;=Tabla5[[#This Row],[INVERSIONES FCI]],+Tabla5[[#This Row],[INVERSIONES FCI]]-J153,Tabla5[[#This Row],[INVERSIONES FCI]])</f>
        <v>2703543684.9528446</v>
      </c>
      <c r="K154" s="5">
        <f>IF($B153&lt;=Tabla5[[#This Row],[INVERSIONES FCI]],+Tabla5[[#This Row],[INVERSIONES FCI]]-K153,Tabla5[[#This Row],[INVERSIONES FCI]])</f>
        <v>2703543684.9528446</v>
      </c>
      <c r="L154" s="5">
        <f>IF($B153&lt;=Tabla5[[#This Row],[INVERSIONES FCI]],+Tabla5[[#This Row],[INVERSIONES FCI]]-L153,Tabla5[[#This Row],[INVERSIONES FCI]])</f>
        <v>2703543684.9528446</v>
      </c>
      <c r="M154" s="5">
        <f>IF($B153&lt;=Tabla5[[#This Row],[INVERSIONES FCI]],+Tabla5[[#This Row],[INVERSIONES FCI]]-M153,Tabla5[[#This Row],[INVERSIONES FCI]])</f>
        <v>2703543684.9528446</v>
      </c>
      <c r="N154" s="5">
        <f>IF($B153&lt;=Tabla5[[#This Row],[INVERSIONES FCI]],+Tabla5[[#This Row],[INVERSIONES FCI]]-N153,Tabla5[[#This Row],[INVERSIONES FCI]])</f>
        <v>2703543684.9528446</v>
      </c>
      <c r="O154" s="5">
        <f>IF($B153&lt;=Tabla5[[#This Row],[INVERSIONES FCI]],+Tabla5[[#This Row],[INVERSIONES FCI]]-O153,Tabla5[[#This Row],[INVERSIONES FCI]])</f>
        <v>2703543684.9528446</v>
      </c>
      <c r="P154" s="5">
        <f>IF($B153&lt;=Tabla5[[#This Row],[INVERSIONES FCI]],+Tabla5[[#This Row],[INVERSIONES FCI]]-P153,Tabla5[[#This Row],[INVERSIONES FCI]])</f>
        <v>2703543684.9528446</v>
      </c>
      <c r="Q154" s="5">
        <f>IF($B153&lt;=Tabla5[[#This Row],[INVERSIONES FCI]],+Tabla5[[#This Row],[INVERSIONES FCI]]-Q153,Tabla5[[#This Row],[INVERSIONES FCI]])</f>
        <v>2703543684.9528446</v>
      </c>
      <c r="R154" s="5">
        <f>IF($B153&lt;=Tabla5[[#This Row],[INVERSIONES FCI]],+Tabla5[[#This Row],[INVERSIONES FCI]]-R153,Tabla5[[#This Row],[INVERSIONES FCI]])</f>
        <v>2703543684.9528446</v>
      </c>
      <c r="S154" s="5">
        <f>IF($B153&lt;=Tabla5[[#This Row],[INVERSIONES FCI]],+Tabla5[[#This Row],[INVERSIONES FCI]]-S153,Tabla5[[#This Row],[INVERSIONES FCI]])</f>
        <v>2703543684.9528446</v>
      </c>
      <c r="T154" s="5">
        <f>IF($B153&lt;=Tabla5[[#This Row],[INVERSIONES FCI]],+Tabla5[[#This Row],[INVERSIONES FCI]]-T153,Tabla5[[#This Row],[INVERSIONES FCI]])</f>
        <v>2703543684.9528446</v>
      </c>
      <c r="U154" s="5">
        <f>IF($B153&lt;=Tabla5[[#This Row],[INVERSIONES FCI]],+Tabla5[[#This Row],[INVERSIONES FCI]]-U153,Tabla5[[#This Row],[INVERSIONES FCI]])</f>
        <v>2703543684.9528446</v>
      </c>
      <c r="V154" s="5">
        <f>IF($B153&lt;=Tabla5[[#This Row],[INVERSIONES FCI]],+Tabla5[[#This Row],[INVERSIONES FCI]]-V153,Tabla5[[#This Row],[INVERSIONES FCI]])</f>
        <v>2703543684.9528446</v>
      </c>
      <c r="W154" s="5">
        <f>IF($B153&lt;=Tabla5[[#This Row],[INVERSIONES FCI]],+Tabla5[[#This Row],[INVERSIONES FCI]]-W153,Tabla5[[#This Row],[INVERSIONES FCI]])</f>
        <v>2703543684.9528446</v>
      </c>
      <c r="X154" s="5">
        <f>IF($B153&lt;=Tabla5[[#This Row],[INVERSIONES FCI]],+Tabla5[[#This Row],[INVERSIONES FCI]]-X153,Tabla5[[#This Row],[INVERSIONES FCI]])</f>
        <v>2703543684.9528446</v>
      </c>
      <c r="Y154" s="5">
        <f>IF($B153&lt;=Tabla5[[#This Row],[INVERSIONES FCI]],+Tabla5[[#This Row],[INVERSIONES FCI]]-Y153,Tabla5[[#This Row],[INVERSIONES FCI]])</f>
        <v>2703543684.9528446</v>
      </c>
      <c r="Z154" s="5">
        <f>IF($B153&lt;=Tabla5[[#This Row],[INVERSIONES FCI]],+Tabla5[[#This Row],[INVERSIONES FCI]]-Z153,Tabla5[[#This Row],[INVERSIONES FCI]])</f>
        <v>2703543684.9528446</v>
      </c>
      <c r="AA154" s="5">
        <f>IF($B153&lt;=Tabla5[[#This Row],[INVERSIONES FCI]],+Tabla5[[#This Row],[INVERSIONES FCI]]-AA153,Tabla5[[#This Row],[INVERSIONES FCI]])</f>
        <v>2703543684.9528446</v>
      </c>
      <c r="AB154" s="5">
        <f>IF($B153&lt;=Tabla5[[#This Row],[INVERSIONES FCI]],+Tabla5[[#This Row],[INVERSIONES FCI]]-AB153,Tabla5[[#This Row],[INVERSIONES FCI]])</f>
        <v>2703543684.9528446</v>
      </c>
      <c r="AC154" s="5">
        <f>IF($B153&lt;=Tabla5[[#This Row],[INVERSIONES FCI]],+Tabla5[[#This Row],[INVERSIONES FCI]]-AC153,Tabla5[[#This Row],[INVERSIONES FCI]])</f>
        <v>2703543684.9528446</v>
      </c>
      <c r="AD154" s="5">
        <f>IF($B153&lt;=Tabla5[[#This Row],[INVERSIONES FCI]],+Tabla5[[#This Row],[INVERSIONES FCI]]-AD153,Tabla5[[#This Row],[INVERSIONES FCI]])</f>
        <v>2703543684.9528446</v>
      </c>
      <c r="AE154" s="5">
        <f>IF($B153&lt;=Tabla5[[#This Row],[INVERSIONES FCI]],+Tabla5[[#This Row],[INVERSIONES FCI]]-AE153,Tabla5[[#This Row],[INVERSIONES FCI]])</f>
        <v>2703543684.9528446</v>
      </c>
      <c r="AF154" s="5">
        <f>IF($B153&lt;=Tabla5[[#This Row],[INVERSIONES FCI]],+Tabla5[[#This Row],[INVERSIONES FCI]]-AF153,Tabla5[[#This Row],[INVERSIONES FCI]])</f>
        <v>2703543684.9528446</v>
      </c>
      <c r="AG154" s="5">
        <f>IF($B153&lt;=Tabla5[[#This Row],[INVERSIONES FCI]],+Tabla5[[#This Row],[INVERSIONES FCI]]-AG153,Tabla5[[#This Row],[INVERSIONES FCI]])</f>
        <v>2703543684.9528446</v>
      </c>
      <c r="AH154" s="5">
        <f>IF($B153&lt;=Tabla5[[#This Row],[INVERSIONES FCI]],+Tabla5[[#This Row],[INVERSIONES FCI]]-AH153,Tabla5[[#This Row],[INVERSIONES FCI]])</f>
        <v>2703543684.9528446</v>
      </c>
      <c r="AI154" s="5">
        <f>IF($B153&lt;=Tabla5[[#This Row],[INVERSIONES FCI]],+Tabla5[[#This Row],[INVERSIONES FCI]]-AI153,Tabla5[[#This Row],[INVERSIONES FCI]])</f>
        <v>2703543684.9528446</v>
      </c>
      <c r="AJ154" s="5">
        <f>IF($B153&lt;=Tabla5[[#This Row],[INVERSIONES FCI]],+Tabla5[[#This Row],[INVERSIONES FCI]]-AJ153,Tabla5[[#This Row],[INVERSIONES FCI]])</f>
        <v>2703543684.9528446</v>
      </c>
      <c r="AK154" s="5">
        <f>IF($B153&lt;=Tabla5[[#This Row],[INVERSIONES FCI]],+Tabla5[[#This Row],[INVERSIONES FCI]]-AK153,Tabla5[[#This Row],[INVERSIONES FCI]])</f>
        <v>2703543684.9528446</v>
      </c>
      <c r="AL154" s="5">
        <f>IF($B153&lt;=Tabla5[[#This Row],[INVERSIONES FCI]],+Tabla5[[#This Row],[INVERSIONES FCI]]-AL153,Tabla5[[#This Row],[INVERSIONES FCI]])</f>
        <v>2703543684.9528446</v>
      </c>
      <c r="AM154" s="5">
        <f>IF($B153&lt;=Tabla5[[#This Row],[INVERSIONES FCI]],+Tabla5[[#This Row],[INVERSIONES FCI]]-AM153,Tabla5[[#This Row],[INVERSIONES FCI]])</f>
        <v>2703543684.9528446</v>
      </c>
      <c r="AN154" s="5">
        <f>IF($B153&lt;=Tabla5[[#This Row],[INVERSIONES FCI]],+Tabla5[[#This Row],[INVERSIONES FCI]]-AN153,Tabla5[[#This Row],[INVERSIONES FCI]])</f>
        <v>2703543684.9528446</v>
      </c>
      <c r="AO154" s="5">
        <f>IF($B153&lt;=Tabla5[[#This Row],[INVERSIONES FCI]],+Tabla5[[#This Row],[INVERSIONES FCI]]-AO153,Tabla5[[#This Row],[INVERSIONES FCI]])</f>
        <v>2703543684.9528446</v>
      </c>
      <c r="AP154" s="5">
        <f>IF($B153&lt;=Tabla5[[#This Row],[INVERSIONES FCI]],+Tabla5[[#This Row],[INVERSIONES FCI]]-AP153,Tabla5[[#This Row],[INVERSIONES FCI]])</f>
        <v>2703543684.9528446</v>
      </c>
      <c r="AQ154" s="5">
        <f>IF($B153&lt;=Tabla5[[#This Row],[INVERSIONES FCI]],+Tabla5[[#This Row],[INVERSIONES FCI]]-AQ153,Tabla5[[#This Row],[INVERSIONES FCI]])</f>
        <v>2703543684.9528446</v>
      </c>
      <c r="AR154" s="5">
        <f>IF($B153&lt;=Tabla5[[#This Row],[INVERSIONES FCI]],+Tabla5[[#This Row],[INVERSIONES FCI]]-AR153,Tabla5[[#This Row],[INVERSIONES FCI]])</f>
        <v>2703543684.9528446</v>
      </c>
      <c r="AS154" s="5">
        <f>IF($B153&lt;=Tabla5[[#This Row],[INVERSIONES FCI]],+Tabla5[[#This Row],[INVERSIONES FCI]]-AS153,Tabla5[[#This Row],[INVERSIONES FCI]])</f>
        <v>2703543684.9528446</v>
      </c>
      <c r="AT154" s="5">
        <f>IF($B153&lt;=Tabla5[[#This Row],[INVERSIONES FCI]],+Tabla5[[#This Row],[INVERSIONES FCI]]-AT153,Tabla5[[#This Row],[INVERSIONES FCI]])</f>
        <v>2703543684.9528446</v>
      </c>
      <c r="AU154" s="5">
        <f>IF($B153&lt;=Tabla5[[#This Row],[INVERSIONES FCI]],+Tabla5[[#This Row],[INVERSIONES FCI]]-AU153,Tabla5[[#This Row],[INVERSIONES FCI]])</f>
        <v>2703543684.9528446</v>
      </c>
      <c r="AV154" s="5">
        <f>IF($B153&lt;=Tabla5[[#This Row],[INVERSIONES FCI]],+Tabla5[[#This Row],[INVERSIONES FCI]]-AV153,Tabla5[[#This Row],[INVERSIONES FCI]])</f>
        <v>2703543684.9528446</v>
      </c>
      <c r="AW154" s="5">
        <f>IF($B153&lt;=Tabla5[[#This Row],[INVERSIONES FCI]],+Tabla5[[#This Row],[INVERSIONES FCI]]-AW153,Tabla5[[#This Row],[INVERSIONES FCI]])</f>
        <v>2703543684.9528446</v>
      </c>
      <c r="AX154" s="5">
        <f>IF($B153&lt;=Tabla5[[#This Row],[INVERSIONES FCI]],+Tabla5[[#This Row],[INVERSIONES FCI]]-AX153,Tabla5[[#This Row],[INVERSIONES FCI]])</f>
        <v>2703543684.9528446</v>
      </c>
      <c r="AY154" s="5">
        <f>IF($B153&lt;=Tabla5[[#This Row],[INVERSIONES FCI]],+Tabla5[[#This Row],[INVERSIONES FCI]]-AY153,Tabla5[[#This Row],[INVERSIONES FCI]])</f>
        <v>2703543684.9528446</v>
      </c>
      <c r="AZ154" s="5">
        <f>IF($B153&lt;=Tabla5[[#This Row],[INVERSIONES FCI]],+Tabla5[[#This Row],[INVERSIONES FCI]]-AZ153,Tabla5[[#This Row],[INVERSIONES FCI]])</f>
        <v>2703543684.9528446</v>
      </c>
      <c r="BA154" s="5">
        <f>IF($B153&lt;=Tabla5[[#This Row],[INVERSIONES FCI]],+Tabla5[[#This Row],[INVERSIONES FCI]]-BA153,Tabla5[[#This Row],[INVERSIONES FCI]])</f>
        <v>2703543684.9528446</v>
      </c>
      <c r="BB154" s="5">
        <f>IF($B153&lt;=Tabla5[[#This Row],[INVERSIONES FCI]],+Tabla5[[#This Row],[INVERSIONES FCI]]-BB153,Tabla5[[#This Row],[INVERSIONES FCI]])</f>
        <v>2703543684.9528446</v>
      </c>
      <c r="BC154" s="5">
        <f>IF($B153&lt;=Tabla5[[#This Row],[INVERSIONES FCI]],+Tabla5[[#This Row],[INVERSIONES FCI]]-BC153,Tabla5[[#This Row],[INVERSIONES FCI]])</f>
        <v>2703543684.9528446</v>
      </c>
      <c r="BD154" s="5">
        <f>IF($B153&lt;=Tabla5[[#This Row],[INVERSIONES FCI]],+Tabla5[[#This Row],[INVERSIONES FCI]]-BD153,Tabla5[[#This Row],[INVERSIONES FCI]])</f>
        <v>2703543684.9528446</v>
      </c>
      <c r="BE154" s="5">
        <f>IF($B153&lt;=Tabla5[[#This Row],[INVERSIONES FCI]],+Tabla5[[#This Row],[INVERSIONES FCI]]-BE153,Tabla5[[#This Row],[INVERSIONES FCI]])</f>
        <v>2703543684.9528446</v>
      </c>
      <c r="BF154" s="5">
        <f>IF($B153&lt;=Tabla5[[#This Row],[INVERSIONES FCI]],+Tabla5[[#This Row],[INVERSIONES FCI]]-BF153,Tabla5[[#This Row],[INVERSIONES FCI]])</f>
        <v>2703543684.9528446</v>
      </c>
      <c r="BG154" s="5">
        <f>IF($B153&lt;=Tabla5[[#This Row],[INVERSIONES FCI]],+Tabla5[[#This Row],[INVERSIONES FCI]]-BG153,Tabla5[[#This Row],[INVERSIONES FCI]])</f>
        <v>2703543684.9528446</v>
      </c>
      <c r="BH154" s="5">
        <f>IF($B153&lt;=Tabla5[[#This Row],[INVERSIONES FCI]],+Tabla5[[#This Row],[INVERSIONES FCI]]-BH153,Tabla5[[#This Row],[INVERSIONES FCI]])</f>
        <v>2703543684.9528446</v>
      </c>
      <c r="BI154" s="5">
        <f>IF($B153&lt;=Tabla5[[#This Row],[INVERSIONES FCI]],+Tabla5[[#This Row],[INVERSIONES FCI]]-BI153,Tabla5[[#This Row],[INVERSIONES FCI]])</f>
        <v>2703543684.9528446</v>
      </c>
      <c r="BJ154" s="5">
        <f>IF($B153&lt;=Tabla5[[#This Row],[INVERSIONES FCI]],+Tabla5[[#This Row],[INVERSIONES FCI]]-BJ153,Tabla5[[#This Row],[INVERSIONES FCI]])</f>
        <v>2703543684.9528446</v>
      </c>
      <c r="BK154" s="5">
        <f>IF($B153&lt;=Tabla5[[#This Row],[INVERSIONES FCI]],+Tabla5[[#This Row],[INVERSIONES FCI]]-BK153,Tabla5[[#This Row],[INVERSIONES FCI]])</f>
        <v>2703543684.9528446</v>
      </c>
      <c r="BL154" s="5">
        <f>IF($B153&lt;=Tabla5[[#This Row],[INVERSIONES FCI]],+Tabla5[[#This Row],[INVERSIONES FCI]]-BL153,Tabla5[[#This Row],[INVERSIONES FCI]])</f>
        <v>2703543684.9528446</v>
      </c>
      <c r="BM154" s="5">
        <f>IF($B153&lt;=Tabla5[[#This Row],[INVERSIONES FCI]],+Tabla5[[#This Row],[INVERSIONES FCI]]-BM153,Tabla5[[#This Row],[INVERSIONES FCI]])</f>
        <v>2703543684.9528446</v>
      </c>
      <c r="BN154" s="5">
        <f>IF($B153&lt;=Tabla5[[#This Row],[INVERSIONES FCI]],+Tabla5[[#This Row],[INVERSIONES FCI]]-BN153,Tabla5[[#This Row],[INVERSIONES FCI]])</f>
        <v>2703543684.9528446</v>
      </c>
      <c r="BO154" s="5">
        <f>IF($B153&lt;=Tabla5[[#This Row],[INVERSIONES FCI]],+Tabla5[[#This Row],[INVERSIONES FCI]]-BO153,Tabla5[[#This Row],[INVERSIONES FCI]])</f>
        <v>2703543684.9528446</v>
      </c>
      <c r="BP154" s="5">
        <f>IF($B153&lt;=Tabla5[[#This Row],[INVERSIONES FCI]],+Tabla5[[#This Row],[INVERSIONES FCI]]-BP153,Tabla5[[#This Row],[INVERSIONES FCI]])</f>
        <v>2703543684.9528446</v>
      </c>
      <c r="BQ154" s="5">
        <f>IF($B153&lt;=Tabla5[[#This Row],[INVERSIONES FCI]],+Tabla5[[#This Row],[INVERSIONES FCI]]-BQ153,Tabla5[[#This Row],[INVERSIONES FCI]])</f>
        <v>2703543684.9528446</v>
      </c>
      <c r="BR154" s="5">
        <f>IF($B153&lt;=Tabla5[[#This Row],[INVERSIONES FCI]],+Tabla5[[#This Row],[INVERSIONES FCI]]-BR153,Tabla5[[#This Row],[INVERSIONES FCI]])</f>
        <v>2703543684.9528446</v>
      </c>
      <c r="BS154" s="5">
        <f>IF($B153&lt;=Tabla5[[#This Row],[INVERSIONES FCI]],+Tabla5[[#This Row],[INVERSIONES FCI]]-BS153,Tabla5[[#This Row],[INVERSIONES FCI]])</f>
        <v>2703543684.9528446</v>
      </c>
      <c r="BT154" s="5">
        <f>IF($B153&lt;=Tabla5[[#This Row],[INVERSIONES FCI]],+Tabla5[[#This Row],[INVERSIONES FCI]]-BT153,Tabla5[[#This Row],[INVERSIONES FCI]])</f>
        <v>2703543684.9528446</v>
      </c>
      <c r="BU154" s="5">
        <f>IF($B153&lt;=Tabla5[[#This Row],[INVERSIONES FCI]],+Tabla5[[#This Row],[INVERSIONES FCI]]-BU153,Tabla5[[#This Row],[INVERSIONES FCI]])</f>
        <v>2703543684.9528446</v>
      </c>
      <c r="BV154" s="5">
        <f>IF($B153&lt;=Tabla5[[#This Row],[INVERSIONES FCI]],+Tabla5[[#This Row],[INVERSIONES FCI]]-BV153,Tabla5[[#This Row],[INVERSIONES FCI]])</f>
        <v>2703543684.9528446</v>
      </c>
      <c r="BW154" s="5">
        <f>IF($B153&lt;=Tabla5[[#This Row],[INVERSIONES FCI]],+Tabla5[[#This Row],[INVERSIONES FCI]]-BW153,Tabla5[[#This Row],[INVERSIONES FCI]])</f>
        <v>2703543684.9528446</v>
      </c>
      <c r="BX154" s="5">
        <f>IF($B153&lt;=Tabla5[[#This Row],[INVERSIONES FCI]],+Tabla5[[#This Row],[INVERSIONES FCI]]-BX153,Tabla5[[#This Row],[INVERSIONES FCI]])</f>
        <v>2703543684.9528446</v>
      </c>
      <c r="BY154" s="5">
        <f>IF($B153&lt;=Tabla5[[#This Row],[INVERSIONES FCI]],+Tabla5[[#This Row],[INVERSIONES FCI]]-BY153,Tabla5[[#This Row],[INVERSIONES FCI]])</f>
        <v>2703543684.9528446</v>
      </c>
      <c r="BZ154" s="5">
        <f>IF($B153&lt;=Tabla5[[#This Row],[INVERSIONES FCI]],+Tabla5[[#This Row],[INVERSIONES FCI]]-BZ153,Tabla5[[#This Row],[INVERSIONES FCI]])</f>
        <v>2703543684.9528446</v>
      </c>
      <c r="CA154" s="5">
        <f>IF($B153&lt;=Tabla5[[#This Row],[INVERSIONES FCI]],+Tabla5[[#This Row],[INVERSIONES FCI]]-CA153,Tabla5[[#This Row],[INVERSIONES FCI]])</f>
        <v>2703543684.9528446</v>
      </c>
      <c r="CB154" s="5">
        <f>IF($B153&lt;=Tabla5[[#This Row],[INVERSIONES FCI]],+Tabla5[[#This Row],[INVERSIONES FCI]]-CB153,Tabla5[[#This Row],[INVERSIONES FCI]])</f>
        <v>2703543684.9528446</v>
      </c>
      <c r="CC154" s="5">
        <f>IF($B153&lt;=Tabla5[[#This Row],[INVERSIONES FCI]],+Tabla5[[#This Row],[INVERSIONES FCI]]-CC153,Tabla5[[#This Row],[INVERSIONES FCI]])</f>
        <v>2703543684.9528446</v>
      </c>
      <c r="CD154" s="5">
        <f>IF($B153&lt;=Tabla5[[#This Row],[INVERSIONES FCI]],+Tabla5[[#This Row],[INVERSIONES FCI]]-CD153,Tabla5[[#This Row],[INVERSIONES FCI]])</f>
        <v>2703543684.9528446</v>
      </c>
      <c r="CE154" s="5">
        <f>IF($B153&lt;=Tabla5[[#This Row],[INVERSIONES FCI]],+Tabla5[[#This Row],[INVERSIONES FCI]]-CE153,Tabla5[[#This Row],[INVERSIONES FCI]])</f>
        <v>2703543684.9528446</v>
      </c>
      <c r="CF154" s="5">
        <f>IF($B153&lt;=Tabla5[[#This Row],[INVERSIONES FCI]],+Tabla5[[#This Row],[INVERSIONES FCI]]-CF153,Tabla5[[#This Row],[INVERSIONES FCI]])</f>
        <v>2703543684.9528446</v>
      </c>
      <c r="CG154" s="5">
        <f>IF($B153&lt;=Tabla5[[#This Row],[INVERSIONES FCI]],+Tabla5[[#This Row],[INVERSIONES FCI]]-CG153,Tabla5[[#This Row],[INVERSIONES FCI]])</f>
        <v>2703543684.9528446</v>
      </c>
      <c r="CH154" s="5">
        <f>IF($B153&lt;=Tabla5[[#This Row],[INVERSIONES FCI]],+Tabla5[[#This Row],[INVERSIONES FCI]]-CH153,Tabla5[[#This Row],[INVERSIONES FCI]])</f>
        <v>2703543684.9528446</v>
      </c>
      <c r="CI154" s="5">
        <f>IF($B153&lt;=Tabla5[[#This Row],[INVERSIONES FCI]],+Tabla5[[#This Row],[INVERSIONES FCI]]-CI153,Tabla5[[#This Row],[INVERSIONES FCI]])</f>
        <v>2703543684.9528446</v>
      </c>
      <c r="CJ154" s="5">
        <f>IF($B153&lt;=Tabla5[[#This Row],[INVERSIONES FCI]],+Tabla5[[#This Row],[INVERSIONES FCI]]-CJ153,Tabla5[[#This Row],[INVERSIONES FCI]])</f>
        <v>2703543684.9528446</v>
      </c>
      <c r="CK154" s="5">
        <f>IF($B153&lt;=Tabla5[[#This Row],[INVERSIONES FCI]],+Tabla5[[#This Row],[INVERSIONES FCI]]-CK153,Tabla5[[#This Row],[INVERSIONES FCI]])</f>
        <v>2703543684.9528446</v>
      </c>
      <c r="CL154" s="5">
        <f>IF($B153&lt;=Tabla5[[#This Row],[INVERSIONES FCI]],+Tabla5[[#This Row],[INVERSIONES FCI]]-CL153,Tabla5[[#This Row],[INVERSIONES FCI]])</f>
        <v>2703543684.9528446</v>
      </c>
      <c r="CM154" s="5">
        <f>IF($B153&lt;=Tabla5[[#This Row],[INVERSIONES FCI]],+Tabla5[[#This Row],[INVERSIONES FCI]]-CM153,Tabla5[[#This Row],[INVERSIONES FCI]])</f>
        <v>2703543684.9528446</v>
      </c>
      <c r="CN154" s="5">
        <f>IF($B153&lt;=Tabla5[[#This Row],[INVERSIONES FCI]],+Tabla5[[#This Row],[INVERSIONES FCI]]-CN153,Tabla5[[#This Row],[INVERSIONES FCI]])</f>
        <v>2703543684.9528446</v>
      </c>
      <c r="CO154" s="5">
        <f>IF($B153&lt;=Tabla5[[#This Row],[INVERSIONES FCI]],+Tabla5[[#This Row],[INVERSIONES FCI]]-CO153,Tabla5[[#This Row],[INVERSIONES FCI]])</f>
        <v>2703543684.9528446</v>
      </c>
      <c r="CP154" s="5">
        <f>IF($B153&lt;=Tabla5[[#This Row],[INVERSIONES FCI]],+Tabla5[[#This Row],[INVERSIONES FCI]]-CP153,Tabla5[[#This Row],[INVERSIONES FCI]])</f>
        <v>2703543684.9528446</v>
      </c>
      <c r="CQ154" s="5">
        <f>IF($B153&lt;=Tabla5[[#This Row],[INVERSIONES FCI]],+Tabla5[[#This Row],[INVERSIONES FCI]]-CQ153,Tabla5[[#This Row],[INVERSIONES FCI]])</f>
        <v>2703543684.9528446</v>
      </c>
      <c r="CR154" s="5">
        <f>IF($B153&lt;=Tabla5[[#This Row],[INVERSIONES FCI]],+Tabla5[[#This Row],[INVERSIONES FCI]]-CR153,Tabla5[[#This Row],[INVERSIONES FCI]])</f>
        <v>2703543684.9528446</v>
      </c>
      <c r="CS154" s="5">
        <f>IF($B153&lt;=Tabla5[[#This Row],[INVERSIONES FCI]],+Tabla5[[#This Row],[INVERSIONES FCI]]-CS153,Tabla5[[#This Row],[INVERSIONES FCI]])</f>
        <v>2703543684.9528446</v>
      </c>
      <c r="CT154" s="5">
        <f>IF($B153&lt;=Tabla5[[#This Row],[INVERSIONES FCI]],+Tabla5[[#This Row],[INVERSIONES FCI]]-CT153,Tabla5[[#This Row],[INVERSIONES FCI]])</f>
        <v>2703543684.9528446</v>
      </c>
      <c r="CU154" s="5">
        <f>IF($B153&lt;=Tabla5[[#This Row],[INVERSIONES FCI]],+Tabla5[[#This Row],[INVERSIONES FCI]]-CU153,Tabla5[[#This Row],[INVERSIONES FCI]])</f>
        <v>2703543684.9528446</v>
      </c>
      <c r="CV154" s="5">
        <f>IF($B153&lt;=Tabla5[[#This Row],[INVERSIONES FCI]],+Tabla5[[#This Row],[INVERSIONES FCI]]-CV153,Tabla5[[#This Row],[INVERSIONES FCI]])</f>
        <v>2703543684.9528446</v>
      </c>
      <c r="CW154" s="5">
        <f>IF($B153&lt;=Tabla5[[#This Row],[INVERSIONES FCI]],+Tabla5[[#This Row],[INVERSIONES FCI]]-CW153,Tabla5[[#This Row],[INVERSIONES FCI]])</f>
        <v>2703543684.9528446</v>
      </c>
      <c r="CX154" s="5">
        <f>IF($B153&lt;=Tabla5[[#This Row],[INVERSIONES FCI]],+Tabla5[[#This Row],[INVERSIONES FCI]]-CX153,Tabla5[[#This Row],[INVERSIONES FCI]])</f>
        <v>2703543684.9528446</v>
      </c>
      <c r="CY154" s="5">
        <f>IF($B153&lt;=Tabla5[[#This Row],[INVERSIONES FCI]],+Tabla5[[#This Row],[INVERSIONES FCI]]-CY153,Tabla5[[#This Row],[INVERSIONES FCI]])</f>
        <v>2703543684.9528446</v>
      </c>
      <c r="CZ154" s="5">
        <f>IF($B153&lt;=Tabla5[[#This Row],[INVERSIONES FCI]],+Tabla5[[#This Row],[INVERSIONES FCI]]-CZ153,Tabla5[[#This Row],[INVERSIONES FCI]])</f>
        <v>2703543684.9528446</v>
      </c>
      <c r="DA154" s="5">
        <f>IF($B153&lt;=Tabla5[[#This Row],[INVERSIONES FCI]],+Tabla5[[#This Row],[INVERSIONES FCI]]-DA153,Tabla5[[#This Row],[INVERSIONES FCI]])</f>
        <v>2703543684.9528446</v>
      </c>
      <c r="DB154" s="5">
        <f>IF($B153&lt;=Tabla5[[#This Row],[INVERSIONES FCI]],+Tabla5[[#This Row],[INVERSIONES FCI]]-DB153,Tabla5[[#This Row],[INVERSIONES FCI]])</f>
        <v>2703543684.9528446</v>
      </c>
      <c r="DC154" s="5">
        <f>IF($B153&lt;=Tabla5[[#This Row],[INVERSIONES FCI]],+Tabla5[[#This Row],[INVERSIONES FCI]]-DC153,Tabla5[[#This Row],[INVERSIONES FCI]])</f>
        <v>2703543684.9528446</v>
      </c>
      <c r="DD154" s="5">
        <f>IF($B153&lt;=Tabla5[[#This Row],[INVERSIONES FCI]],+Tabla5[[#This Row],[INVERSIONES FCI]]-DD153,Tabla5[[#This Row],[INVERSIONES FCI]])</f>
        <v>2703543684.9528446</v>
      </c>
      <c r="DE154" s="5">
        <f>IF($B153&lt;=Tabla5[[#This Row],[INVERSIONES FCI]],+Tabla5[[#This Row],[INVERSIONES FCI]]-DE153,Tabla5[[#This Row],[INVERSIONES FCI]])</f>
        <v>2703543684.9528446</v>
      </c>
      <c r="DF154" s="5">
        <f>IF($B153&lt;=Tabla5[[#This Row],[INVERSIONES FCI]],+Tabla5[[#This Row],[INVERSIONES FCI]]-DF153,Tabla5[[#This Row],[INVERSIONES FCI]])</f>
        <v>2703543684.9528446</v>
      </c>
      <c r="DG154" s="5">
        <f>IF($B153&lt;=Tabla5[[#This Row],[INVERSIONES FCI]],+Tabla5[[#This Row],[INVERSIONES FCI]]-DG153,Tabla5[[#This Row],[INVERSIONES FCI]])</f>
        <v>2703543684.9528446</v>
      </c>
      <c r="DH154" s="5">
        <f>IF($B153&lt;=Tabla5[[#This Row],[INVERSIONES FCI]],+Tabla5[[#This Row],[INVERSIONES FCI]]-DH153,Tabla5[[#This Row],[INVERSIONES FCI]])</f>
        <v>2703543684.9528446</v>
      </c>
      <c r="DI154" s="5">
        <f>IF($B153&lt;=Tabla5[[#This Row],[INVERSIONES FCI]],+Tabla5[[#This Row],[INVERSIONES FCI]]-DI153,Tabla5[[#This Row],[INVERSIONES FCI]])</f>
        <v>2703543684.9528446</v>
      </c>
      <c r="DJ154" s="5">
        <f>IF($B153&lt;=Tabla5[[#This Row],[INVERSIONES FCI]],+Tabla5[[#This Row],[INVERSIONES FCI]]-DJ153,Tabla5[[#This Row],[INVERSIONES FCI]])</f>
        <v>2703543684.9528446</v>
      </c>
      <c r="DK154" s="5">
        <f>IF($B153&lt;=Tabla5[[#This Row],[INVERSIONES FCI]],+Tabla5[[#This Row],[INVERSIONES FCI]]-DK153,Tabla5[[#This Row],[INVERSIONES FCI]])</f>
        <v>2703543684.9528446</v>
      </c>
      <c r="DL154" s="5"/>
      <c r="DM154" s="5"/>
      <c r="DN154" s="5"/>
      <c r="DO154" s="5"/>
      <c r="DP154" s="5"/>
      <c r="DQ154" s="5"/>
    </row>
    <row r="155" spans="1:121" ht="14.4">
      <c r="A155" s="12" t="s">
        <v>154</v>
      </c>
      <c r="B155" s="5">
        <f>HLOOKUP($A155,ESCENARIO[#All],7,FALSE)</f>
        <v>14000346805.996132</v>
      </c>
      <c r="C155" s="5">
        <f>IF($B154&lt;=Tabla5[[#This Row],[INVERSIONES FCI]],+Tabla5[[#This Row],[INVERSIONES FCI]]-C154,Tabla5[[#This Row],[INVERSIONES FCI]])</f>
        <v>11296803121.043287</v>
      </c>
      <c r="D155" s="5">
        <f>IF($B154&lt;=Tabla5[[#This Row],[INVERSIONES FCI]],+Tabla5[[#This Row],[INVERSIONES FCI]]-D154,Tabla5[[#This Row],[INVERSIONES FCI]])</f>
        <v>11296803121.043287</v>
      </c>
      <c r="E155" s="5">
        <f>IF($B154&lt;=Tabla5[[#This Row],[INVERSIONES FCI]],+Tabla5[[#This Row],[INVERSIONES FCI]]-E154,Tabla5[[#This Row],[INVERSIONES FCI]])</f>
        <v>11296803121.043287</v>
      </c>
      <c r="F155" s="5">
        <f>IF($B154&lt;=Tabla5[[#This Row],[INVERSIONES FCI]],+Tabla5[[#This Row],[INVERSIONES FCI]]-F154,Tabla5[[#This Row],[INVERSIONES FCI]])</f>
        <v>11296803121.043287</v>
      </c>
      <c r="G155" s="5">
        <f>IF($B154&lt;=Tabla5[[#This Row],[INVERSIONES FCI]],+Tabla5[[#This Row],[INVERSIONES FCI]]-G154,Tabla5[[#This Row],[INVERSIONES FCI]])</f>
        <v>11296803121.043287</v>
      </c>
      <c r="H155" s="5">
        <f>IF($B154&lt;=Tabla5[[#This Row],[INVERSIONES FCI]],+Tabla5[[#This Row],[INVERSIONES FCI]]-H154,Tabla5[[#This Row],[INVERSIONES FCI]])</f>
        <v>11296803121.043287</v>
      </c>
      <c r="I155" s="5">
        <f>IF($B154&lt;=Tabla5[[#This Row],[INVERSIONES FCI]],+Tabla5[[#This Row],[INVERSIONES FCI]]-I154,Tabla5[[#This Row],[INVERSIONES FCI]])</f>
        <v>11296803121.043287</v>
      </c>
      <c r="J155" s="5">
        <f>IF($B154&lt;=Tabla5[[#This Row],[INVERSIONES FCI]],+Tabla5[[#This Row],[INVERSIONES FCI]]-J154,Tabla5[[#This Row],[INVERSIONES FCI]])</f>
        <v>11296803121.043287</v>
      </c>
      <c r="K155" s="5">
        <f>IF($B154&lt;=Tabla5[[#This Row],[INVERSIONES FCI]],+Tabla5[[#This Row],[INVERSIONES FCI]]-K154,Tabla5[[#This Row],[INVERSIONES FCI]])</f>
        <v>11296803121.043287</v>
      </c>
      <c r="L155" s="5">
        <f>IF($B154&lt;=Tabla5[[#This Row],[INVERSIONES FCI]],+Tabla5[[#This Row],[INVERSIONES FCI]]-L154,Tabla5[[#This Row],[INVERSIONES FCI]])</f>
        <v>11296803121.043287</v>
      </c>
      <c r="M155" s="5">
        <f>IF($B154&lt;=Tabla5[[#This Row],[INVERSIONES FCI]],+Tabla5[[#This Row],[INVERSIONES FCI]]-M154,Tabla5[[#This Row],[INVERSIONES FCI]])</f>
        <v>11296803121.043287</v>
      </c>
      <c r="N155" s="5">
        <f>IF($B154&lt;=Tabla5[[#This Row],[INVERSIONES FCI]],+Tabla5[[#This Row],[INVERSIONES FCI]]-N154,Tabla5[[#This Row],[INVERSIONES FCI]])</f>
        <v>11296803121.043287</v>
      </c>
      <c r="O155" s="5">
        <f>IF($B154&lt;=Tabla5[[#This Row],[INVERSIONES FCI]],+Tabla5[[#This Row],[INVERSIONES FCI]]-O154,Tabla5[[#This Row],[INVERSIONES FCI]])</f>
        <v>11296803121.043287</v>
      </c>
      <c r="P155" s="5">
        <f>IF($B154&lt;=Tabla5[[#This Row],[INVERSIONES FCI]],+Tabla5[[#This Row],[INVERSIONES FCI]]-P154,Tabla5[[#This Row],[INVERSIONES FCI]])</f>
        <v>11296803121.043287</v>
      </c>
      <c r="Q155" s="5">
        <f>IF($B154&lt;=Tabla5[[#This Row],[INVERSIONES FCI]],+Tabla5[[#This Row],[INVERSIONES FCI]]-Q154,Tabla5[[#This Row],[INVERSIONES FCI]])</f>
        <v>11296803121.043287</v>
      </c>
      <c r="R155" s="5">
        <f>IF($B154&lt;=Tabla5[[#This Row],[INVERSIONES FCI]],+Tabla5[[#This Row],[INVERSIONES FCI]]-R154,Tabla5[[#This Row],[INVERSIONES FCI]])</f>
        <v>11296803121.043287</v>
      </c>
      <c r="S155" s="5">
        <f>IF($B154&lt;=Tabla5[[#This Row],[INVERSIONES FCI]],+Tabla5[[#This Row],[INVERSIONES FCI]]-S154,Tabla5[[#This Row],[INVERSIONES FCI]])</f>
        <v>11296803121.043287</v>
      </c>
      <c r="T155" s="5">
        <f>IF($B154&lt;=Tabla5[[#This Row],[INVERSIONES FCI]],+Tabla5[[#This Row],[INVERSIONES FCI]]-T154,Tabla5[[#This Row],[INVERSIONES FCI]])</f>
        <v>11296803121.043287</v>
      </c>
      <c r="U155" s="5">
        <f>IF($B154&lt;=Tabla5[[#This Row],[INVERSIONES FCI]],+Tabla5[[#This Row],[INVERSIONES FCI]]-U154,Tabla5[[#This Row],[INVERSIONES FCI]])</f>
        <v>11296803121.043287</v>
      </c>
      <c r="V155" s="5">
        <f>IF($B154&lt;=Tabla5[[#This Row],[INVERSIONES FCI]],+Tabla5[[#This Row],[INVERSIONES FCI]]-V154,Tabla5[[#This Row],[INVERSIONES FCI]])</f>
        <v>11296803121.043287</v>
      </c>
      <c r="W155" s="5">
        <f>IF($B154&lt;=Tabla5[[#This Row],[INVERSIONES FCI]],+Tabla5[[#This Row],[INVERSIONES FCI]]-W154,Tabla5[[#This Row],[INVERSIONES FCI]])</f>
        <v>11296803121.043287</v>
      </c>
      <c r="X155" s="5">
        <f>IF($B154&lt;=Tabla5[[#This Row],[INVERSIONES FCI]],+Tabla5[[#This Row],[INVERSIONES FCI]]-X154,Tabla5[[#This Row],[INVERSIONES FCI]])</f>
        <v>11296803121.043287</v>
      </c>
      <c r="Y155" s="5">
        <f>IF($B154&lt;=Tabla5[[#This Row],[INVERSIONES FCI]],+Tabla5[[#This Row],[INVERSIONES FCI]]-Y154,Tabla5[[#This Row],[INVERSIONES FCI]])</f>
        <v>11296803121.043287</v>
      </c>
      <c r="Z155" s="5">
        <f>IF($B154&lt;=Tabla5[[#This Row],[INVERSIONES FCI]],+Tabla5[[#This Row],[INVERSIONES FCI]]-Z154,Tabla5[[#This Row],[INVERSIONES FCI]])</f>
        <v>11296803121.043287</v>
      </c>
      <c r="AA155" s="5">
        <f>IF($B154&lt;=Tabla5[[#This Row],[INVERSIONES FCI]],+Tabla5[[#This Row],[INVERSIONES FCI]]-AA154,Tabla5[[#This Row],[INVERSIONES FCI]])</f>
        <v>11296803121.043287</v>
      </c>
      <c r="AB155" s="5">
        <f>IF($B154&lt;=Tabla5[[#This Row],[INVERSIONES FCI]],+Tabla5[[#This Row],[INVERSIONES FCI]]-AB154,Tabla5[[#This Row],[INVERSIONES FCI]])</f>
        <v>11296803121.043287</v>
      </c>
      <c r="AC155" s="5">
        <f>IF($B154&lt;=Tabla5[[#This Row],[INVERSIONES FCI]],+Tabla5[[#This Row],[INVERSIONES FCI]]-AC154,Tabla5[[#This Row],[INVERSIONES FCI]])</f>
        <v>11296803121.043287</v>
      </c>
      <c r="AD155" s="5">
        <f>IF($B154&lt;=Tabla5[[#This Row],[INVERSIONES FCI]],+Tabla5[[#This Row],[INVERSIONES FCI]]-AD154,Tabla5[[#This Row],[INVERSIONES FCI]])</f>
        <v>11296803121.043287</v>
      </c>
      <c r="AE155" s="5">
        <f>IF($B154&lt;=Tabla5[[#This Row],[INVERSIONES FCI]],+Tabla5[[#This Row],[INVERSIONES FCI]]-AE154,Tabla5[[#This Row],[INVERSIONES FCI]])</f>
        <v>11296803121.043287</v>
      </c>
      <c r="AF155" s="5">
        <f>IF($B154&lt;=Tabla5[[#This Row],[INVERSIONES FCI]],+Tabla5[[#This Row],[INVERSIONES FCI]]-AF154,Tabla5[[#This Row],[INVERSIONES FCI]])</f>
        <v>11296803121.043287</v>
      </c>
      <c r="AG155" s="5">
        <f>IF($B154&lt;=Tabla5[[#This Row],[INVERSIONES FCI]],+Tabla5[[#This Row],[INVERSIONES FCI]]-AG154,Tabla5[[#This Row],[INVERSIONES FCI]])</f>
        <v>11296803121.043287</v>
      </c>
      <c r="AH155" s="5">
        <f>IF($B154&lt;=Tabla5[[#This Row],[INVERSIONES FCI]],+Tabla5[[#This Row],[INVERSIONES FCI]]-AH154,Tabla5[[#This Row],[INVERSIONES FCI]])</f>
        <v>11296803121.043287</v>
      </c>
      <c r="AI155" s="5">
        <f>IF($B154&lt;=Tabla5[[#This Row],[INVERSIONES FCI]],+Tabla5[[#This Row],[INVERSIONES FCI]]-AI154,Tabla5[[#This Row],[INVERSIONES FCI]])</f>
        <v>11296803121.043287</v>
      </c>
      <c r="AJ155" s="5">
        <f>IF($B154&lt;=Tabla5[[#This Row],[INVERSIONES FCI]],+Tabla5[[#This Row],[INVERSIONES FCI]]-AJ154,Tabla5[[#This Row],[INVERSIONES FCI]])</f>
        <v>11296803121.043287</v>
      </c>
      <c r="AK155" s="5">
        <f>IF($B154&lt;=Tabla5[[#This Row],[INVERSIONES FCI]],+Tabla5[[#This Row],[INVERSIONES FCI]]-AK154,Tabla5[[#This Row],[INVERSIONES FCI]])</f>
        <v>11296803121.043287</v>
      </c>
      <c r="AL155" s="5">
        <f>IF($B154&lt;=Tabla5[[#This Row],[INVERSIONES FCI]],+Tabla5[[#This Row],[INVERSIONES FCI]]-AL154,Tabla5[[#This Row],[INVERSIONES FCI]])</f>
        <v>11296803121.043287</v>
      </c>
      <c r="AM155" s="5">
        <f>IF($B154&lt;=Tabla5[[#This Row],[INVERSIONES FCI]],+Tabla5[[#This Row],[INVERSIONES FCI]]-AM154,Tabla5[[#This Row],[INVERSIONES FCI]])</f>
        <v>11296803121.043287</v>
      </c>
      <c r="AN155" s="5">
        <f>IF($B154&lt;=Tabla5[[#This Row],[INVERSIONES FCI]],+Tabla5[[#This Row],[INVERSIONES FCI]]-AN154,Tabla5[[#This Row],[INVERSIONES FCI]])</f>
        <v>11296803121.043287</v>
      </c>
      <c r="AO155" s="5">
        <f>IF($B154&lt;=Tabla5[[#This Row],[INVERSIONES FCI]],+Tabla5[[#This Row],[INVERSIONES FCI]]-AO154,Tabla5[[#This Row],[INVERSIONES FCI]])</f>
        <v>11296803121.043287</v>
      </c>
      <c r="AP155" s="5">
        <f>IF($B154&lt;=Tabla5[[#This Row],[INVERSIONES FCI]],+Tabla5[[#This Row],[INVERSIONES FCI]]-AP154,Tabla5[[#This Row],[INVERSIONES FCI]])</f>
        <v>11296803121.043287</v>
      </c>
      <c r="AQ155" s="5">
        <f>IF($B154&lt;=Tabla5[[#This Row],[INVERSIONES FCI]],+Tabla5[[#This Row],[INVERSIONES FCI]]-AQ154,Tabla5[[#This Row],[INVERSIONES FCI]])</f>
        <v>11296803121.043287</v>
      </c>
      <c r="AR155" s="5">
        <f>IF($B154&lt;=Tabla5[[#This Row],[INVERSIONES FCI]],+Tabla5[[#This Row],[INVERSIONES FCI]]-AR154,Tabla5[[#This Row],[INVERSIONES FCI]])</f>
        <v>11296803121.043287</v>
      </c>
      <c r="AS155" s="5">
        <f>IF($B154&lt;=Tabla5[[#This Row],[INVERSIONES FCI]],+Tabla5[[#This Row],[INVERSIONES FCI]]-AS154,Tabla5[[#This Row],[INVERSIONES FCI]])</f>
        <v>11296803121.043287</v>
      </c>
      <c r="AT155" s="5">
        <f>IF($B154&lt;=Tabla5[[#This Row],[INVERSIONES FCI]],+Tabla5[[#This Row],[INVERSIONES FCI]]-AT154,Tabla5[[#This Row],[INVERSIONES FCI]])</f>
        <v>11296803121.043287</v>
      </c>
      <c r="AU155" s="5">
        <f>IF($B154&lt;=Tabla5[[#This Row],[INVERSIONES FCI]],+Tabla5[[#This Row],[INVERSIONES FCI]]-AU154,Tabla5[[#This Row],[INVERSIONES FCI]])</f>
        <v>11296803121.043287</v>
      </c>
      <c r="AV155" s="5">
        <f>IF($B154&lt;=Tabla5[[#This Row],[INVERSIONES FCI]],+Tabla5[[#This Row],[INVERSIONES FCI]]-AV154,Tabla5[[#This Row],[INVERSIONES FCI]])</f>
        <v>11296803121.043287</v>
      </c>
      <c r="AW155" s="5">
        <f>IF($B154&lt;=Tabla5[[#This Row],[INVERSIONES FCI]],+Tabla5[[#This Row],[INVERSIONES FCI]]-AW154,Tabla5[[#This Row],[INVERSIONES FCI]])</f>
        <v>11296803121.043287</v>
      </c>
      <c r="AX155" s="5">
        <f>IF($B154&lt;=Tabla5[[#This Row],[INVERSIONES FCI]],+Tabla5[[#This Row],[INVERSIONES FCI]]-AX154,Tabla5[[#This Row],[INVERSIONES FCI]])</f>
        <v>11296803121.043287</v>
      </c>
      <c r="AY155" s="5">
        <f>IF($B154&lt;=Tabla5[[#This Row],[INVERSIONES FCI]],+Tabla5[[#This Row],[INVERSIONES FCI]]-AY154,Tabla5[[#This Row],[INVERSIONES FCI]])</f>
        <v>11296803121.043287</v>
      </c>
      <c r="AZ155" s="5">
        <f>IF($B154&lt;=Tabla5[[#This Row],[INVERSIONES FCI]],+Tabla5[[#This Row],[INVERSIONES FCI]]-AZ154,Tabla5[[#This Row],[INVERSIONES FCI]])</f>
        <v>11296803121.043287</v>
      </c>
      <c r="BA155" s="5">
        <f>IF($B154&lt;=Tabla5[[#This Row],[INVERSIONES FCI]],+Tabla5[[#This Row],[INVERSIONES FCI]]-BA154,Tabla5[[#This Row],[INVERSIONES FCI]])</f>
        <v>11296803121.043287</v>
      </c>
      <c r="BB155" s="5">
        <f>IF($B154&lt;=Tabla5[[#This Row],[INVERSIONES FCI]],+Tabla5[[#This Row],[INVERSIONES FCI]]-BB154,Tabla5[[#This Row],[INVERSIONES FCI]])</f>
        <v>11296803121.043287</v>
      </c>
      <c r="BC155" s="5">
        <f>IF($B154&lt;=Tabla5[[#This Row],[INVERSIONES FCI]],+Tabla5[[#This Row],[INVERSIONES FCI]]-BC154,Tabla5[[#This Row],[INVERSIONES FCI]])</f>
        <v>11296803121.043287</v>
      </c>
      <c r="BD155" s="5">
        <f>IF($B154&lt;=Tabla5[[#This Row],[INVERSIONES FCI]],+Tabla5[[#This Row],[INVERSIONES FCI]]-BD154,Tabla5[[#This Row],[INVERSIONES FCI]])</f>
        <v>11296803121.043287</v>
      </c>
      <c r="BE155" s="5">
        <f>IF($B154&lt;=Tabla5[[#This Row],[INVERSIONES FCI]],+Tabla5[[#This Row],[INVERSIONES FCI]]-BE154,Tabla5[[#This Row],[INVERSIONES FCI]])</f>
        <v>11296803121.043287</v>
      </c>
      <c r="BF155" s="5">
        <f>IF($B154&lt;=Tabla5[[#This Row],[INVERSIONES FCI]],+Tabla5[[#This Row],[INVERSIONES FCI]]-BF154,Tabla5[[#This Row],[INVERSIONES FCI]])</f>
        <v>11296803121.043287</v>
      </c>
      <c r="BG155" s="5">
        <f>IF($B154&lt;=Tabla5[[#This Row],[INVERSIONES FCI]],+Tabla5[[#This Row],[INVERSIONES FCI]]-BG154,Tabla5[[#This Row],[INVERSIONES FCI]])</f>
        <v>11296803121.043287</v>
      </c>
      <c r="BH155" s="5">
        <f>IF($B154&lt;=Tabla5[[#This Row],[INVERSIONES FCI]],+Tabla5[[#This Row],[INVERSIONES FCI]]-BH154,Tabla5[[#This Row],[INVERSIONES FCI]])</f>
        <v>11296803121.043287</v>
      </c>
      <c r="BI155" s="5">
        <f>IF($B154&lt;=Tabla5[[#This Row],[INVERSIONES FCI]],+Tabla5[[#This Row],[INVERSIONES FCI]]-BI154,Tabla5[[#This Row],[INVERSIONES FCI]])</f>
        <v>11296803121.043287</v>
      </c>
      <c r="BJ155" s="5">
        <f>IF($B154&lt;=Tabla5[[#This Row],[INVERSIONES FCI]],+Tabla5[[#This Row],[INVERSIONES FCI]]-BJ154,Tabla5[[#This Row],[INVERSIONES FCI]])</f>
        <v>11296803121.043287</v>
      </c>
      <c r="BK155" s="5">
        <f>IF($B154&lt;=Tabla5[[#This Row],[INVERSIONES FCI]],+Tabla5[[#This Row],[INVERSIONES FCI]]-BK154,Tabla5[[#This Row],[INVERSIONES FCI]])</f>
        <v>11296803121.043287</v>
      </c>
      <c r="BL155" s="5">
        <f>IF($B154&lt;=Tabla5[[#This Row],[INVERSIONES FCI]],+Tabla5[[#This Row],[INVERSIONES FCI]]-BL154,Tabla5[[#This Row],[INVERSIONES FCI]])</f>
        <v>11296803121.043287</v>
      </c>
      <c r="BM155" s="5">
        <f>IF($B154&lt;=Tabla5[[#This Row],[INVERSIONES FCI]],+Tabla5[[#This Row],[INVERSIONES FCI]]-BM154,Tabla5[[#This Row],[INVERSIONES FCI]])</f>
        <v>11296803121.043287</v>
      </c>
      <c r="BN155" s="5">
        <f>IF($B154&lt;=Tabla5[[#This Row],[INVERSIONES FCI]],+Tabla5[[#This Row],[INVERSIONES FCI]]-BN154,Tabla5[[#This Row],[INVERSIONES FCI]])</f>
        <v>11296803121.043287</v>
      </c>
      <c r="BO155" s="5">
        <f>IF($B154&lt;=Tabla5[[#This Row],[INVERSIONES FCI]],+Tabla5[[#This Row],[INVERSIONES FCI]]-BO154,Tabla5[[#This Row],[INVERSIONES FCI]])</f>
        <v>11296803121.043287</v>
      </c>
      <c r="BP155" s="5">
        <f>IF($B154&lt;=Tabla5[[#This Row],[INVERSIONES FCI]],+Tabla5[[#This Row],[INVERSIONES FCI]]-BP154,Tabla5[[#This Row],[INVERSIONES FCI]])</f>
        <v>11296803121.043287</v>
      </c>
      <c r="BQ155" s="5">
        <f>IF($B154&lt;=Tabla5[[#This Row],[INVERSIONES FCI]],+Tabla5[[#This Row],[INVERSIONES FCI]]-BQ154,Tabla5[[#This Row],[INVERSIONES FCI]])</f>
        <v>11296803121.043287</v>
      </c>
      <c r="BR155" s="5">
        <f>IF($B154&lt;=Tabla5[[#This Row],[INVERSIONES FCI]],+Tabla5[[#This Row],[INVERSIONES FCI]]-BR154,Tabla5[[#This Row],[INVERSIONES FCI]])</f>
        <v>11296803121.043287</v>
      </c>
      <c r="BS155" s="5">
        <f>IF($B154&lt;=Tabla5[[#This Row],[INVERSIONES FCI]],+Tabla5[[#This Row],[INVERSIONES FCI]]-BS154,Tabla5[[#This Row],[INVERSIONES FCI]])</f>
        <v>11296803121.043287</v>
      </c>
      <c r="BT155" s="5">
        <f>IF($B154&lt;=Tabla5[[#This Row],[INVERSIONES FCI]],+Tabla5[[#This Row],[INVERSIONES FCI]]-BT154,Tabla5[[#This Row],[INVERSIONES FCI]])</f>
        <v>11296803121.043287</v>
      </c>
      <c r="BU155" s="5">
        <f>IF($B154&lt;=Tabla5[[#This Row],[INVERSIONES FCI]],+Tabla5[[#This Row],[INVERSIONES FCI]]-BU154,Tabla5[[#This Row],[INVERSIONES FCI]])</f>
        <v>11296803121.043287</v>
      </c>
      <c r="BV155" s="5">
        <f>IF($B154&lt;=Tabla5[[#This Row],[INVERSIONES FCI]],+Tabla5[[#This Row],[INVERSIONES FCI]]-BV154,Tabla5[[#This Row],[INVERSIONES FCI]])</f>
        <v>11296803121.043287</v>
      </c>
      <c r="BW155" s="5">
        <f>IF($B154&lt;=Tabla5[[#This Row],[INVERSIONES FCI]],+Tabla5[[#This Row],[INVERSIONES FCI]]-BW154,Tabla5[[#This Row],[INVERSIONES FCI]])</f>
        <v>11296803121.043287</v>
      </c>
      <c r="BX155" s="5">
        <f>IF($B154&lt;=Tabla5[[#This Row],[INVERSIONES FCI]],+Tabla5[[#This Row],[INVERSIONES FCI]]-BX154,Tabla5[[#This Row],[INVERSIONES FCI]])</f>
        <v>11296803121.043287</v>
      </c>
      <c r="BY155" s="5">
        <f>IF($B154&lt;=Tabla5[[#This Row],[INVERSIONES FCI]],+Tabla5[[#This Row],[INVERSIONES FCI]]-BY154,Tabla5[[#This Row],[INVERSIONES FCI]])</f>
        <v>11296803121.043287</v>
      </c>
      <c r="BZ155" s="5">
        <f>IF($B154&lt;=Tabla5[[#This Row],[INVERSIONES FCI]],+Tabla5[[#This Row],[INVERSIONES FCI]]-BZ154,Tabla5[[#This Row],[INVERSIONES FCI]])</f>
        <v>11296803121.043287</v>
      </c>
      <c r="CA155" s="5">
        <f>IF($B154&lt;=Tabla5[[#This Row],[INVERSIONES FCI]],+Tabla5[[#This Row],[INVERSIONES FCI]]-CA154,Tabla5[[#This Row],[INVERSIONES FCI]])</f>
        <v>11296803121.043287</v>
      </c>
      <c r="CB155" s="5">
        <f>IF($B154&lt;=Tabla5[[#This Row],[INVERSIONES FCI]],+Tabla5[[#This Row],[INVERSIONES FCI]]-CB154,Tabla5[[#This Row],[INVERSIONES FCI]])</f>
        <v>11296803121.043287</v>
      </c>
      <c r="CC155" s="5">
        <f>IF($B154&lt;=Tabla5[[#This Row],[INVERSIONES FCI]],+Tabla5[[#This Row],[INVERSIONES FCI]]-CC154,Tabla5[[#This Row],[INVERSIONES FCI]])</f>
        <v>11296803121.043287</v>
      </c>
      <c r="CD155" s="5">
        <f>IF($B154&lt;=Tabla5[[#This Row],[INVERSIONES FCI]],+Tabla5[[#This Row],[INVERSIONES FCI]]-CD154,Tabla5[[#This Row],[INVERSIONES FCI]])</f>
        <v>11296803121.043287</v>
      </c>
      <c r="CE155" s="5">
        <f>IF($B154&lt;=Tabla5[[#This Row],[INVERSIONES FCI]],+Tabla5[[#This Row],[INVERSIONES FCI]]-CE154,Tabla5[[#This Row],[INVERSIONES FCI]])</f>
        <v>11296803121.043287</v>
      </c>
      <c r="CF155" s="5">
        <f>IF($B154&lt;=Tabla5[[#This Row],[INVERSIONES FCI]],+Tabla5[[#This Row],[INVERSIONES FCI]]-CF154,Tabla5[[#This Row],[INVERSIONES FCI]])</f>
        <v>11296803121.043287</v>
      </c>
      <c r="CG155" s="5">
        <f>IF($B154&lt;=Tabla5[[#This Row],[INVERSIONES FCI]],+Tabla5[[#This Row],[INVERSIONES FCI]]-CG154,Tabla5[[#This Row],[INVERSIONES FCI]])</f>
        <v>11296803121.043287</v>
      </c>
      <c r="CH155" s="5">
        <f>IF($B154&lt;=Tabla5[[#This Row],[INVERSIONES FCI]],+Tabla5[[#This Row],[INVERSIONES FCI]]-CH154,Tabla5[[#This Row],[INVERSIONES FCI]])</f>
        <v>11296803121.043287</v>
      </c>
      <c r="CI155" s="5">
        <f>IF($B154&lt;=Tabla5[[#This Row],[INVERSIONES FCI]],+Tabla5[[#This Row],[INVERSIONES FCI]]-CI154,Tabla5[[#This Row],[INVERSIONES FCI]])</f>
        <v>11296803121.043287</v>
      </c>
      <c r="CJ155" s="5">
        <f>IF($B154&lt;=Tabla5[[#This Row],[INVERSIONES FCI]],+Tabla5[[#This Row],[INVERSIONES FCI]]-CJ154,Tabla5[[#This Row],[INVERSIONES FCI]])</f>
        <v>11296803121.043287</v>
      </c>
      <c r="CK155" s="5">
        <f>IF($B154&lt;=Tabla5[[#This Row],[INVERSIONES FCI]],+Tabla5[[#This Row],[INVERSIONES FCI]]-CK154,Tabla5[[#This Row],[INVERSIONES FCI]])</f>
        <v>11296803121.043287</v>
      </c>
      <c r="CL155" s="5">
        <f>IF($B154&lt;=Tabla5[[#This Row],[INVERSIONES FCI]],+Tabla5[[#This Row],[INVERSIONES FCI]]-CL154,Tabla5[[#This Row],[INVERSIONES FCI]])</f>
        <v>11296803121.043287</v>
      </c>
      <c r="CM155" s="5">
        <f>IF($B154&lt;=Tabla5[[#This Row],[INVERSIONES FCI]],+Tabla5[[#This Row],[INVERSIONES FCI]]-CM154,Tabla5[[#This Row],[INVERSIONES FCI]])</f>
        <v>11296803121.043287</v>
      </c>
      <c r="CN155" s="5">
        <f>IF($B154&lt;=Tabla5[[#This Row],[INVERSIONES FCI]],+Tabla5[[#This Row],[INVERSIONES FCI]]-CN154,Tabla5[[#This Row],[INVERSIONES FCI]])</f>
        <v>11296803121.043287</v>
      </c>
      <c r="CO155" s="5">
        <f>IF($B154&lt;=Tabla5[[#This Row],[INVERSIONES FCI]],+Tabla5[[#This Row],[INVERSIONES FCI]]-CO154,Tabla5[[#This Row],[INVERSIONES FCI]])</f>
        <v>11296803121.043287</v>
      </c>
      <c r="CP155" s="5">
        <f>IF($B154&lt;=Tabla5[[#This Row],[INVERSIONES FCI]],+Tabla5[[#This Row],[INVERSIONES FCI]]-CP154,Tabla5[[#This Row],[INVERSIONES FCI]])</f>
        <v>11296803121.043287</v>
      </c>
      <c r="CQ155" s="5">
        <f>IF($B154&lt;=Tabla5[[#This Row],[INVERSIONES FCI]],+Tabla5[[#This Row],[INVERSIONES FCI]]-CQ154,Tabla5[[#This Row],[INVERSIONES FCI]])</f>
        <v>11296803121.043287</v>
      </c>
      <c r="CR155" s="5">
        <f>IF($B154&lt;=Tabla5[[#This Row],[INVERSIONES FCI]],+Tabla5[[#This Row],[INVERSIONES FCI]]-CR154,Tabla5[[#This Row],[INVERSIONES FCI]])</f>
        <v>11296803121.043287</v>
      </c>
      <c r="CS155" s="5">
        <f>IF($B154&lt;=Tabla5[[#This Row],[INVERSIONES FCI]],+Tabla5[[#This Row],[INVERSIONES FCI]]-CS154,Tabla5[[#This Row],[INVERSIONES FCI]])</f>
        <v>11296803121.043287</v>
      </c>
      <c r="CT155" s="5">
        <f>IF($B154&lt;=Tabla5[[#This Row],[INVERSIONES FCI]],+Tabla5[[#This Row],[INVERSIONES FCI]]-CT154,Tabla5[[#This Row],[INVERSIONES FCI]])</f>
        <v>11296803121.043287</v>
      </c>
      <c r="CU155" s="5">
        <f>IF($B154&lt;=Tabla5[[#This Row],[INVERSIONES FCI]],+Tabla5[[#This Row],[INVERSIONES FCI]]-CU154,Tabla5[[#This Row],[INVERSIONES FCI]])</f>
        <v>11296803121.043287</v>
      </c>
      <c r="CV155" s="5">
        <f>IF($B154&lt;=Tabla5[[#This Row],[INVERSIONES FCI]],+Tabla5[[#This Row],[INVERSIONES FCI]]-CV154,Tabla5[[#This Row],[INVERSIONES FCI]])</f>
        <v>11296803121.043287</v>
      </c>
      <c r="CW155" s="5">
        <f>IF($B154&lt;=Tabla5[[#This Row],[INVERSIONES FCI]],+Tabla5[[#This Row],[INVERSIONES FCI]]-CW154,Tabla5[[#This Row],[INVERSIONES FCI]])</f>
        <v>11296803121.043287</v>
      </c>
      <c r="CX155" s="5">
        <f>IF($B154&lt;=Tabla5[[#This Row],[INVERSIONES FCI]],+Tabla5[[#This Row],[INVERSIONES FCI]]-CX154,Tabla5[[#This Row],[INVERSIONES FCI]])</f>
        <v>11296803121.043287</v>
      </c>
      <c r="CY155" s="5">
        <f>IF($B154&lt;=Tabla5[[#This Row],[INVERSIONES FCI]],+Tabla5[[#This Row],[INVERSIONES FCI]]-CY154,Tabla5[[#This Row],[INVERSIONES FCI]])</f>
        <v>11296803121.043287</v>
      </c>
      <c r="CZ155" s="5">
        <f>IF($B154&lt;=Tabla5[[#This Row],[INVERSIONES FCI]],+Tabla5[[#This Row],[INVERSIONES FCI]]-CZ154,Tabla5[[#This Row],[INVERSIONES FCI]])</f>
        <v>11296803121.043287</v>
      </c>
      <c r="DA155" s="5">
        <f>IF($B154&lt;=Tabla5[[#This Row],[INVERSIONES FCI]],+Tabla5[[#This Row],[INVERSIONES FCI]]-DA154,Tabla5[[#This Row],[INVERSIONES FCI]])</f>
        <v>11296803121.043287</v>
      </c>
      <c r="DB155" s="5">
        <f>IF($B154&lt;=Tabla5[[#This Row],[INVERSIONES FCI]],+Tabla5[[#This Row],[INVERSIONES FCI]]-DB154,Tabla5[[#This Row],[INVERSIONES FCI]])</f>
        <v>11296803121.043287</v>
      </c>
      <c r="DC155" s="5">
        <f>IF($B154&lt;=Tabla5[[#This Row],[INVERSIONES FCI]],+Tabla5[[#This Row],[INVERSIONES FCI]]-DC154,Tabla5[[#This Row],[INVERSIONES FCI]])</f>
        <v>11296803121.043287</v>
      </c>
      <c r="DD155" s="5">
        <f>IF($B154&lt;=Tabla5[[#This Row],[INVERSIONES FCI]],+Tabla5[[#This Row],[INVERSIONES FCI]]-DD154,Tabla5[[#This Row],[INVERSIONES FCI]])</f>
        <v>11296803121.043287</v>
      </c>
      <c r="DE155" s="5">
        <f>IF($B154&lt;=Tabla5[[#This Row],[INVERSIONES FCI]],+Tabla5[[#This Row],[INVERSIONES FCI]]-DE154,Tabla5[[#This Row],[INVERSIONES FCI]])</f>
        <v>11296803121.043287</v>
      </c>
      <c r="DF155" s="5">
        <f>IF($B154&lt;=Tabla5[[#This Row],[INVERSIONES FCI]],+Tabla5[[#This Row],[INVERSIONES FCI]]-DF154,Tabla5[[#This Row],[INVERSIONES FCI]])</f>
        <v>11296803121.043287</v>
      </c>
      <c r="DG155" s="5">
        <f>IF($B154&lt;=Tabla5[[#This Row],[INVERSIONES FCI]],+Tabla5[[#This Row],[INVERSIONES FCI]]-DG154,Tabla5[[#This Row],[INVERSIONES FCI]])</f>
        <v>11296803121.043287</v>
      </c>
      <c r="DH155" s="5">
        <f>IF($B154&lt;=Tabla5[[#This Row],[INVERSIONES FCI]],+Tabla5[[#This Row],[INVERSIONES FCI]]-DH154,Tabla5[[#This Row],[INVERSIONES FCI]])</f>
        <v>11296803121.043287</v>
      </c>
      <c r="DI155" s="5">
        <f>IF($B154&lt;=Tabla5[[#This Row],[INVERSIONES FCI]],+Tabla5[[#This Row],[INVERSIONES FCI]]-DI154,Tabla5[[#This Row],[INVERSIONES FCI]])</f>
        <v>11296803121.043287</v>
      </c>
      <c r="DJ155" s="5">
        <f>IF($B154&lt;=Tabla5[[#This Row],[INVERSIONES FCI]],+Tabla5[[#This Row],[INVERSIONES FCI]]-DJ154,Tabla5[[#This Row],[INVERSIONES FCI]])</f>
        <v>11296803121.043287</v>
      </c>
      <c r="DK155" s="5">
        <f>IF($B154&lt;=Tabla5[[#This Row],[INVERSIONES FCI]],+Tabla5[[#This Row],[INVERSIONES FCI]]-DK154,Tabla5[[#This Row],[INVERSIONES FCI]])</f>
        <v>11296803121.043287</v>
      </c>
      <c r="DL155" s="5"/>
      <c r="DM155" s="5"/>
      <c r="DN155" s="5"/>
      <c r="DO155" s="5"/>
      <c r="DP155" s="5"/>
      <c r="DQ155" s="5"/>
    </row>
    <row r="156" spans="1:121" ht="14.4">
      <c r="A156" s="12" t="s">
        <v>155</v>
      </c>
      <c r="B156" s="5">
        <f>HLOOKUP($A156,ESCENARIO[#All],7,FALSE)</f>
        <v>14000346805.996132</v>
      </c>
      <c r="C156" s="5">
        <f>IF($B155&lt;=Tabla5[[#This Row],[INVERSIONES FCI]],+Tabla5[[#This Row],[INVERSIONES FCI]]-C155,Tabla5[[#This Row],[INVERSIONES FCI]])</f>
        <v>2703543684.9528446</v>
      </c>
      <c r="D156" s="5">
        <f>IF($B155&lt;=Tabla5[[#This Row],[INVERSIONES FCI]],+Tabla5[[#This Row],[INVERSIONES FCI]]-D155,Tabla5[[#This Row],[INVERSIONES FCI]])</f>
        <v>2703543684.9528446</v>
      </c>
      <c r="E156" s="5">
        <f>IF($B155&lt;=Tabla5[[#This Row],[INVERSIONES FCI]],+Tabla5[[#This Row],[INVERSIONES FCI]]-E155,Tabla5[[#This Row],[INVERSIONES FCI]])</f>
        <v>2703543684.9528446</v>
      </c>
      <c r="F156" s="5">
        <f>IF($B155&lt;=Tabla5[[#This Row],[INVERSIONES FCI]],+Tabla5[[#This Row],[INVERSIONES FCI]]-F155,Tabla5[[#This Row],[INVERSIONES FCI]])</f>
        <v>2703543684.9528446</v>
      </c>
      <c r="G156" s="5">
        <f>IF($B155&lt;=Tabla5[[#This Row],[INVERSIONES FCI]],+Tabla5[[#This Row],[INVERSIONES FCI]]-G155,Tabla5[[#This Row],[INVERSIONES FCI]])</f>
        <v>2703543684.9528446</v>
      </c>
      <c r="H156" s="5">
        <f>IF($B155&lt;=Tabla5[[#This Row],[INVERSIONES FCI]],+Tabla5[[#This Row],[INVERSIONES FCI]]-H155,Tabla5[[#This Row],[INVERSIONES FCI]])</f>
        <v>2703543684.9528446</v>
      </c>
      <c r="I156" s="5">
        <f>IF($B155&lt;=Tabla5[[#This Row],[INVERSIONES FCI]],+Tabla5[[#This Row],[INVERSIONES FCI]]-I155,Tabla5[[#This Row],[INVERSIONES FCI]])</f>
        <v>2703543684.9528446</v>
      </c>
      <c r="J156" s="5">
        <f>IF($B155&lt;=Tabla5[[#This Row],[INVERSIONES FCI]],+Tabla5[[#This Row],[INVERSIONES FCI]]-J155,Tabla5[[#This Row],[INVERSIONES FCI]])</f>
        <v>2703543684.9528446</v>
      </c>
      <c r="K156" s="5">
        <f>IF($B155&lt;=Tabla5[[#This Row],[INVERSIONES FCI]],+Tabla5[[#This Row],[INVERSIONES FCI]]-K155,Tabla5[[#This Row],[INVERSIONES FCI]])</f>
        <v>2703543684.9528446</v>
      </c>
      <c r="L156" s="5">
        <f>IF($B155&lt;=Tabla5[[#This Row],[INVERSIONES FCI]],+Tabla5[[#This Row],[INVERSIONES FCI]]-L155,Tabla5[[#This Row],[INVERSIONES FCI]])</f>
        <v>2703543684.9528446</v>
      </c>
      <c r="M156" s="5">
        <f>IF($B155&lt;=Tabla5[[#This Row],[INVERSIONES FCI]],+Tabla5[[#This Row],[INVERSIONES FCI]]-M155,Tabla5[[#This Row],[INVERSIONES FCI]])</f>
        <v>2703543684.9528446</v>
      </c>
      <c r="N156" s="5">
        <f>IF($B155&lt;=Tabla5[[#This Row],[INVERSIONES FCI]],+Tabla5[[#This Row],[INVERSIONES FCI]]-N155,Tabla5[[#This Row],[INVERSIONES FCI]])</f>
        <v>2703543684.9528446</v>
      </c>
      <c r="O156" s="5">
        <f>IF($B155&lt;=Tabla5[[#This Row],[INVERSIONES FCI]],+Tabla5[[#This Row],[INVERSIONES FCI]]-O155,Tabla5[[#This Row],[INVERSIONES FCI]])</f>
        <v>2703543684.9528446</v>
      </c>
      <c r="P156" s="5">
        <f>IF($B155&lt;=Tabla5[[#This Row],[INVERSIONES FCI]],+Tabla5[[#This Row],[INVERSIONES FCI]]-P155,Tabla5[[#This Row],[INVERSIONES FCI]])</f>
        <v>2703543684.9528446</v>
      </c>
      <c r="Q156" s="5">
        <f>IF($B155&lt;=Tabla5[[#This Row],[INVERSIONES FCI]],+Tabla5[[#This Row],[INVERSIONES FCI]]-Q155,Tabla5[[#This Row],[INVERSIONES FCI]])</f>
        <v>2703543684.9528446</v>
      </c>
      <c r="R156" s="5">
        <f>IF($B155&lt;=Tabla5[[#This Row],[INVERSIONES FCI]],+Tabla5[[#This Row],[INVERSIONES FCI]]-R155,Tabla5[[#This Row],[INVERSIONES FCI]])</f>
        <v>2703543684.9528446</v>
      </c>
      <c r="S156" s="5">
        <f>IF($B155&lt;=Tabla5[[#This Row],[INVERSIONES FCI]],+Tabla5[[#This Row],[INVERSIONES FCI]]-S155,Tabla5[[#This Row],[INVERSIONES FCI]])</f>
        <v>2703543684.9528446</v>
      </c>
      <c r="T156" s="5">
        <f>IF($B155&lt;=Tabla5[[#This Row],[INVERSIONES FCI]],+Tabla5[[#This Row],[INVERSIONES FCI]]-T155,Tabla5[[#This Row],[INVERSIONES FCI]])</f>
        <v>2703543684.9528446</v>
      </c>
      <c r="U156" s="5">
        <f>IF($B155&lt;=Tabla5[[#This Row],[INVERSIONES FCI]],+Tabla5[[#This Row],[INVERSIONES FCI]]-U155,Tabla5[[#This Row],[INVERSIONES FCI]])</f>
        <v>2703543684.9528446</v>
      </c>
      <c r="V156" s="5">
        <f>IF($B155&lt;=Tabla5[[#This Row],[INVERSIONES FCI]],+Tabla5[[#This Row],[INVERSIONES FCI]]-V155,Tabla5[[#This Row],[INVERSIONES FCI]])</f>
        <v>2703543684.9528446</v>
      </c>
      <c r="W156" s="5">
        <f>IF($B155&lt;=Tabla5[[#This Row],[INVERSIONES FCI]],+Tabla5[[#This Row],[INVERSIONES FCI]]-W155,Tabla5[[#This Row],[INVERSIONES FCI]])</f>
        <v>2703543684.9528446</v>
      </c>
      <c r="X156" s="5">
        <f>IF($B155&lt;=Tabla5[[#This Row],[INVERSIONES FCI]],+Tabla5[[#This Row],[INVERSIONES FCI]]-X155,Tabla5[[#This Row],[INVERSIONES FCI]])</f>
        <v>2703543684.9528446</v>
      </c>
      <c r="Y156" s="5">
        <f>IF($B155&lt;=Tabla5[[#This Row],[INVERSIONES FCI]],+Tabla5[[#This Row],[INVERSIONES FCI]]-Y155,Tabla5[[#This Row],[INVERSIONES FCI]])</f>
        <v>2703543684.9528446</v>
      </c>
      <c r="Z156" s="5">
        <f>IF($B155&lt;=Tabla5[[#This Row],[INVERSIONES FCI]],+Tabla5[[#This Row],[INVERSIONES FCI]]-Z155,Tabla5[[#This Row],[INVERSIONES FCI]])</f>
        <v>2703543684.9528446</v>
      </c>
      <c r="AA156" s="5">
        <f>IF($B155&lt;=Tabla5[[#This Row],[INVERSIONES FCI]],+Tabla5[[#This Row],[INVERSIONES FCI]]-AA155,Tabla5[[#This Row],[INVERSIONES FCI]])</f>
        <v>2703543684.9528446</v>
      </c>
      <c r="AB156" s="5">
        <f>IF($B155&lt;=Tabla5[[#This Row],[INVERSIONES FCI]],+Tabla5[[#This Row],[INVERSIONES FCI]]-AB155,Tabla5[[#This Row],[INVERSIONES FCI]])</f>
        <v>2703543684.9528446</v>
      </c>
      <c r="AC156" s="5">
        <f>IF($B155&lt;=Tabla5[[#This Row],[INVERSIONES FCI]],+Tabla5[[#This Row],[INVERSIONES FCI]]-AC155,Tabla5[[#This Row],[INVERSIONES FCI]])</f>
        <v>2703543684.9528446</v>
      </c>
      <c r="AD156" s="5">
        <f>IF($B155&lt;=Tabla5[[#This Row],[INVERSIONES FCI]],+Tabla5[[#This Row],[INVERSIONES FCI]]-AD155,Tabla5[[#This Row],[INVERSIONES FCI]])</f>
        <v>2703543684.9528446</v>
      </c>
      <c r="AE156" s="5">
        <f>IF($B155&lt;=Tabla5[[#This Row],[INVERSIONES FCI]],+Tabla5[[#This Row],[INVERSIONES FCI]]-AE155,Tabla5[[#This Row],[INVERSIONES FCI]])</f>
        <v>2703543684.9528446</v>
      </c>
      <c r="AF156" s="5">
        <f>IF($B155&lt;=Tabla5[[#This Row],[INVERSIONES FCI]],+Tabla5[[#This Row],[INVERSIONES FCI]]-AF155,Tabla5[[#This Row],[INVERSIONES FCI]])</f>
        <v>2703543684.9528446</v>
      </c>
      <c r="AG156" s="5">
        <f>IF($B155&lt;=Tabla5[[#This Row],[INVERSIONES FCI]],+Tabla5[[#This Row],[INVERSIONES FCI]]-AG155,Tabla5[[#This Row],[INVERSIONES FCI]])</f>
        <v>2703543684.9528446</v>
      </c>
      <c r="AH156" s="5">
        <f>IF($B155&lt;=Tabla5[[#This Row],[INVERSIONES FCI]],+Tabla5[[#This Row],[INVERSIONES FCI]]-AH155,Tabla5[[#This Row],[INVERSIONES FCI]])</f>
        <v>2703543684.9528446</v>
      </c>
      <c r="AI156" s="5">
        <f>IF($B155&lt;=Tabla5[[#This Row],[INVERSIONES FCI]],+Tabla5[[#This Row],[INVERSIONES FCI]]-AI155,Tabla5[[#This Row],[INVERSIONES FCI]])</f>
        <v>2703543684.9528446</v>
      </c>
      <c r="AJ156" s="5">
        <f>IF($B155&lt;=Tabla5[[#This Row],[INVERSIONES FCI]],+Tabla5[[#This Row],[INVERSIONES FCI]]-AJ155,Tabla5[[#This Row],[INVERSIONES FCI]])</f>
        <v>2703543684.9528446</v>
      </c>
      <c r="AK156" s="5">
        <f>IF($B155&lt;=Tabla5[[#This Row],[INVERSIONES FCI]],+Tabla5[[#This Row],[INVERSIONES FCI]]-AK155,Tabla5[[#This Row],[INVERSIONES FCI]])</f>
        <v>2703543684.9528446</v>
      </c>
      <c r="AL156" s="5">
        <f>IF($B155&lt;=Tabla5[[#This Row],[INVERSIONES FCI]],+Tabla5[[#This Row],[INVERSIONES FCI]]-AL155,Tabla5[[#This Row],[INVERSIONES FCI]])</f>
        <v>2703543684.9528446</v>
      </c>
      <c r="AM156" s="5">
        <f>IF($B155&lt;=Tabla5[[#This Row],[INVERSIONES FCI]],+Tabla5[[#This Row],[INVERSIONES FCI]]-AM155,Tabla5[[#This Row],[INVERSIONES FCI]])</f>
        <v>2703543684.9528446</v>
      </c>
      <c r="AN156" s="5">
        <f>IF($B155&lt;=Tabla5[[#This Row],[INVERSIONES FCI]],+Tabla5[[#This Row],[INVERSIONES FCI]]-AN155,Tabla5[[#This Row],[INVERSIONES FCI]])</f>
        <v>2703543684.9528446</v>
      </c>
      <c r="AO156" s="5">
        <f>IF($B155&lt;=Tabla5[[#This Row],[INVERSIONES FCI]],+Tabla5[[#This Row],[INVERSIONES FCI]]-AO155,Tabla5[[#This Row],[INVERSIONES FCI]])</f>
        <v>2703543684.9528446</v>
      </c>
      <c r="AP156" s="5">
        <f>IF($B155&lt;=Tabla5[[#This Row],[INVERSIONES FCI]],+Tabla5[[#This Row],[INVERSIONES FCI]]-AP155,Tabla5[[#This Row],[INVERSIONES FCI]])</f>
        <v>2703543684.9528446</v>
      </c>
      <c r="AQ156" s="5">
        <f>IF($B155&lt;=Tabla5[[#This Row],[INVERSIONES FCI]],+Tabla5[[#This Row],[INVERSIONES FCI]]-AQ155,Tabla5[[#This Row],[INVERSIONES FCI]])</f>
        <v>2703543684.9528446</v>
      </c>
      <c r="AR156" s="5">
        <f>IF($B155&lt;=Tabla5[[#This Row],[INVERSIONES FCI]],+Tabla5[[#This Row],[INVERSIONES FCI]]-AR155,Tabla5[[#This Row],[INVERSIONES FCI]])</f>
        <v>2703543684.9528446</v>
      </c>
      <c r="AS156" s="5">
        <f>IF($B155&lt;=Tabla5[[#This Row],[INVERSIONES FCI]],+Tabla5[[#This Row],[INVERSIONES FCI]]-AS155,Tabla5[[#This Row],[INVERSIONES FCI]])</f>
        <v>2703543684.9528446</v>
      </c>
      <c r="AT156" s="5">
        <f>IF($B155&lt;=Tabla5[[#This Row],[INVERSIONES FCI]],+Tabla5[[#This Row],[INVERSIONES FCI]]-AT155,Tabla5[[#This Row],[INVERSIONES FCI]])</f>
        <v>2703543684.9528446</v>
      </c>
      <c r="AU156" s="5">
        <f>IF($B155&lt;=Tabla5[[#This Row],[INVERSIONES FCI]],+Tabla5[[#This Row],[INVERSIONES FCI]]-AU155,Tabla5[[#This Row],[INVERSIONES FCI]])</f>
        <v>2703543684.9528446</v>
      </c>
      <c r="AV156" s="5">
        <f>IF($B155&lt;=Tabla5[[#This Row],[INVERSIONES FCI]],+Tabla5[[#This Row],[INVERSIONES FCI]]-AV155,Tabla5[[#This Row],[INVERSIONES FCI]])</f>
        <v>2703543684.9528446</v>
      </c>
      <c r="AW156" s="5">
        <f>IF($B155&lt;=Tabla5[[#This Row],[INVERSIONES FCI]],+Tabla5[[#This Row],[INVERSIONES FCI]]-AW155,Tabla5[[#This Row],[INVERSIONES FCI]])</f>
        <v>2703543684.9528446</v>
      </c>
      <c r="AX156" s="5">
        <f>IF($B155&lt;=Tabla5[[#This Row],[INVERSIONES FCI]],+Tabla5[[#This Row],[INVERSIONES FCI]]-AX155,Tabla5[[#This Row],[INVERSIONES FCI]])</f>
        <v>2703543684.9528446</v>
      </c>
      <c r="AY156" s="5">
        <f>IF($B155&lt;=Tabla5[[#This Row],[INVERSIONES FCI]],+Tabla5[[#This Row],[INVERSIONES FCI]]-AY155,Tabla5[[#This Row],[INVERSIONES FCI]])</f>
        <v>2703543684.9528446</v>
      </c>
      <c r="AZ156" s="5">
        <f>IF($B155&lt;=Tabla5[[#This Row],[INVERSIONES FCI]],+Tabla5[[#This Row],[INVERSIONES FCI]]-AZ155,Tabla5[[#This Row],[INVERSIONES FCI]])</f>
        <v>2703543684.9528446</v>
      </c>
      <c r="BA156" s="5">
        <f>IF($B155&lt;=Tabla5[[#This Row],[INVERSIONES FCI]],+Tabla5[[#This Row],[INVERSIONES FCI]]-BA155,Tabla5[[#This Row],[INVERSIONES FCI]])</f>
        <v>2703543684.9528446</v>
      </c>
      <c r="BB156" s="5">
        <f>IF($B155&lt;=Tabla5[[#This Row],[INVERSIONES FCI]],+Tabla5[[#This Row],[INVERSIONES FCI]]-BB155,Tabla5[[#This Row],[INVERSIONES FCI]])</f>
        <v>2703543684.9528446</v>
      </c>
      <c r="BC156" s="5">
        <f>IF($B155&lt;=Tabla5[[#This Row],[INVERSIONES FCI]],+Tabla5[[#This Row],[INVERSIONES FCI]]-BC155,Tabla5[[#This Row],[INVERSIONES FCI]])</f>
        <v>2703543684.9528446</v>
      </c>
      <c r="BD156" s="5">
        <f>IF($B155&lt;=Tabla5[[#This Row],[INVERSIONES FCI]],+Tabla5[[#This Row],[INVERSIONES FCI]]-BD155,Tabla5[[#This Row],[INVERSIONES FCI]])</f>
        <v>2703543684.9528446</v>
      </c>
      <c r="BE156" s="5">
        <f>IF($B155&lt;=Tabla5[[#This Row],[INVERSIONES FCI]],+Tabla5[[#This Row],[INVERSIONES FCI]]-BE155,Tabla5[[#This Row],[INVERSIONES FCI]])</f>
        <v>2703543684.9528446</v>
      </c>
      <c r="BF156" s="5">
        <f>IF($B155&lt;=Tabla5[[#This Row],[INVERSIONES FCI]],+Tabla5[[#This Row],[INVERSIONES FCI]]-BF155,Tabla5[[#This Row],[INVERSIONES FCI]])</f>
        <v>2703543684.9528446</v>
      </c>
      <c r="BG156" s="5">
        <f>IF($B155&lt;=Tabla5[[#This Row],[INVERSIONES FCI]],+Tabla5[[#This Row],[INVERSIONES FCI]]-BG155,Tabla5[[#This Row],[INVERSIONES FCI]])</f>
        <v>2703543684.9528446</v>
      </c>
      <c r="BH156" s="5">
        <f>IF($B155&lt;=Tabla5[[#This Row],[INVERSIONES FCI]],+Tabla5[[#This Row],[INVERSIONES FCI]]-BH155,Tabla5[[#This Row],[INVERSIONES FCI]])</f>
        <v>2703543684.9528446</v>
      </c>
      <c r="BI156" s="5">
        <f>IF($B155&lt;=Tabla5[[#This Row],[INVERSIONES FCI]],+Tabla5[[#This Row],[INVERSIONES FCI]]-BI155,Tabla5[[#This Row],[INVERSIONES FCI]])</f>
        <v>2703543684.9528446</v>
      </c>
      <c r="BJ156" s="5">
        <f>IF($B155&lt;=Tabla5[[#This Row],[INVERSIONES FCI]],+Tabla5[[#This Row],[INVERSIONES FCI]]-BJ155,Tabla5[[#This Row],[INVERSIONES FCI]])</f>
        <v>2703543684.9528446</v>
      </c>
      <c r="BK156" s="5">
        <f>IF($B155&lt;=Tabla5[[#This Row],[INVERSIONES FCI]],+Tabla5[[#This Row],[INVERSIONES FCI]]-BK155,Tabla5[[#This Row],[INVERSIONES FCI]])</f>
        <v>2703543684.9528446</v>
      </c>
      <c r="BL156" s="5">
        <f>IF($B155&lt;=Tabla5[[#This Row],[INVERSIONES FCI]],+Tabla5[[#This Row],[INVERSIONES FCI]]-BL155,Tabla5[[#This Row],[INVERSIONES FCI]])</f>
        <v>2703543684.9528446</v>
      </c>
      <c r="BM156" s="5">
        <f>IF($B155&lt;=Tabla5[[#This Row],[INVERSIONES FCI]],+Tabla5[[#This Row],[INVERSIONES FCI]]-BM155,Tabla5[[#This Row],[INVERSIONES FCI]])</f>
        <v>2703543684.9528446</v>
      </c>
      <c r="BN156" s="5">
        <f>IF($B155&lt;=Tabla5[[#This Row],[INVERSIONES FCI]],+Tabla5[[#This Row],[INVERSIONES FCI]]-BN155,Tabla5[[#This Row],[INVERSIONES FCI]])</f>
        <v>2703543684.9528446</v>
      </c>
      <c r="BO156" s="5">
        <f>IF($B155&lt;=Tabla5[[#This Row],[INVERSIONES FCI]],+Tabla5[[#This Row],[INVERSIONES FCI]]-BO155,Tabla5[[#This Row],[INVERSIONES FCI]])</f>
        <v>2703543684.9528446</v>
      </c>
      <c r="BP156" s="5">
        <f>IF($B155&lt;=Tabla5[[#This Row],[INVERSIONES FCI]],+Tabla5[[#This Row],[INVERSIONES FCI]]-BP155,Tabla5[[#This Row],[INVERSIONES FCI]])</f>
        <v>2703543684.9528446</v>
      </c>
      <c r="BQ156" s="5">
        <f>IF($B155&lt;=Tabla5[[#This Row],[INVERSIONES FCI]],+Tabla5[[#This Row],[INVERSIONES FCI]]-BQ155,Tabla5[[#This Row],[INVERSIONES FCI]])</f>
        <v>2703543684.9528446</v>
      </c>
      <c r="BR156" s="5">
        <f>IF($B155&lt;=Tabla5[[#This Row],[INVERSIONES FCI]],+Tabla5[[#This Row],[INVERSIONES FCI]]-BR155,Tabla5[[#This Row],[INVERSIONES FCI]])</f>
        <v>2703543684.9528446</v>
      </c>
      <c r="BS156" s="5">
        <f>IF($B155&lt;=Tabla5[[#This Row],[INVERSIONES FCI]],+Tabla5[[#This Row],[INVERSIONES FCI]]-BS155,Tabla5[[#This Row],[INVERSIONES FCI]])</f>
        <v>2703543684.9528446</v>
      </c>
      <c r="BT156" s="5">
        <f>IF($B155&lt;=Tabla5[[#This Row],[INVERSIONES FCI]],+Tabla5[[#This Row],[INVERSIONES FCI]]-BT155,Tabla5[[#This Row],[INVERSIONES FCI]])</f>
        <v>2703543684.9528446</v>
      </c>
      <c r="BU156" s="5">
        <f>IF($B155&lt;=Tabla5[[#This Row],[INVERSIONES FCI]],+Tabla5[[#This Row],[INVERSIONES FCI]]-BU155,Tabla5[[#This Row],[INVERSIONES FCI]])</f>
        <v>2703543684.9528446</v>
      </c>
      <c r="BV156" s="5">
        <f>IF($B155&lt;=Tabla5[[#This Row],[INVERSIONES FCI]],+Tabla5[[#This Row],[INVERSIONES FCI]]-BV155,Tabla5[[#This Row],[INVERSIONES FCI]])</f>
        <v>2703543684.9528446</v>
      </c>
      <c r="BW156" s="5">
        <f>IF($B155&lt;=Tabla5[[#This Row],[INVERSIONES FCI]],+Tabla5[[#This Row],[INVERSIONES FCI]]-BW155,Tabla5[[#This Row],[INVERSIONES FCI]])</f>
        <v>2703543684.9528446</v>
      </c>
      <c r="BX156" s="5">
        <f>IF($B155&lt;=Tabla5[[#This Row],[INVERSIONES FCI]],+Tabla5[[#This Row],[INVERSIONES FCI]]-BX155,Tabla5[[#This Row],[INVERSIONES FCI]])</f>
        <v>2703543684.9528446</v>
      </c>
      <c r="BY156" s="5">
        <f>IF($B155&lt;=Tabla5[[#This Row],[INVERSIONES FCI]],+Tabla5[[#This Row],[INVERSIONES FCI]]-BY155,Tabla5[[#This Row],[INVERSIONES FCI]])</f>
        <v>2703543684.9528446</v>
      </c>
      <c r="BZ156" s="5">
        <f>IF($B155&lt;=Tabla5[[#This Row],[INVERSIONES FCI]],+Tabla5[[#This Row],[INVERSIONES FCI]]-BZ155,Tabla5[[#This Row],[INVERSIONES FCI]])</f>
        <v>2703543684.9528446</v>
      </c>
      <c r="CA156" s="5">
        <f>IF($B155&lt;=Tabla5[[#This Row],[INVERSIONES FCI]],+Tabla5[[#This Row],[INVERSIONES FCI]]-CA155,Tabla5[[#This Row],[INVERSIONES FCI]])</f>
        <v>2703543684.9528446</v>
      </c>
      <c r="CB156" s="5">
        <f>IF($B155&lt;=Tabla5[[#This Row],[INVERSIONES FCI]],+Tabla5[[#This Row],[INVERSIONES FCI]]-CB155,Tabla5[[#This Row],[INVERSIONES FCI]])</f>
        <v>2703543684.9528446</v>
      </c>
      <c r="CC156" s="5">
        <f>IF($B155&lt;=Tabla5[[#This Row],[INVERSIONES FCI]],+Tabla5[[#This Row],[INVERSIONES FCI]]-CC155,Tabla5[[#This Row],[INVERSIONES FCI]])</f>
        <v>2703543684.9528446</v>
      </c>
      <c r="CD156" s="5">
        <f>IF($B155&lt;=Tabla5[[#This Row],[INVERSIONES FCI]],+Tabla5[[#This Row],[INVERSIONES FCI]]-CD155,Tabla5[[#This Row],[INVERSIONES FCI]])</f>
        <v>2703543684.9528446</v>
      </c>
      <c r="CE156" s="5">
        <f>IF($B155&lt;=Tabla5[[#This Row],[INVERSIONES FCI]],+Tabla5[[#This Row],[INVERSIONES FCI]]-CE155,Tabla5[[#This Row],[INVERSIONES FCI]])</f>
        <v>2703543684.9528446</v>
      </c>
      <c r="CF156" s="5">
        <f>IF($B155&lt;=Tabla5[[#This Row],[INVERSIONES FCI]],+Tabla5[[#This Row],[INVERSIONES FCI]]-CF155,Tabla5[[#This Row],[INVERSIONES FCI]])</f>
        <v>2703543684.9528446</v>
      </c>
      <c r="CG156" s="5">
        <f>IF($B155&lt;=Tabla5[[#This Row],[INVERSIONES FCI]],+Tabla5[[#This Row],[INVERSIONES FCI]]-CG155,Tabla5[[#This Row],[INVERSIONES FCI]])</f>
        <v>2703543684.9528446</v>
      </c>
      <c r="CH156" s="5">
        <f>IF($B155&lt;=Tabla5[[#This Row],[INVERSIONES FCI]],+Tabla5[[#This Row],[INVERSIONES FCI]]-CH155,Tabla5[[#This Row],[INVERSIONES FCI]])</f>
        <v>2703543684.9528446</v>
      </c>
      <c r="CI156" s="5">
        <f>IF($B155&lt;=Tabla5[[#This Row],[INVERSIONES FCI]],+Tabla5[[#This Row],[INVERSIONES FCI]]-CI155,Tabla5[[#This Row],[INVERSIONES FCI]])</f>
        <v>2703543684.9528446</v>
      </c>
      <c r="CJ156" s="5">
        <f>IF($B155&lt;=Tabla5[[#This Row],[INVERSIONES FCI]],+Tabla5[[#This Row],[INVERSIONES FCI]]-CJ155,Tabla5[[#This Row],[INVERSIONES FCI]])</f>
        <v>2703543684.9528446</v>
      </c>
      <c r="CK156" s="5">
        <f>IF($B155&lt;=Tabla5[[#This Row],[INVERSIONES FCI]],+Tabla5[[#This Row],[INVERSIONES FCI]]-CK155,Tabla5[[#This Row],[INVERSIONES FCI]])</f>
        <v>2703543684.9528446</v>
      </c>
      <c r="CL156" s="5">
        <f>IF($B155&lt;=Tabla5[[#This Row],[INVERSIONES FCI]],+Tabla5[[#This Row],[INVERSIONES FCI]]-CL155,Tabla5[[#This Row],[INVERSIONES FCI]])</f>
        <v>2703543684.9528446</v>
      </c>
      <c r="CM156" s="5">
        <f>IF($B155&lt;=Tabla5[[#This Row],[INVERSIONES FCI]],+Tabla5[[#This Row],[INVERSIONES FCI]]-CM155,Tabla5[[#This Row],[INVERSIONES FCI]])</f>
        <v>2703543684.9528446</v>
      </c>
      <c r="CN156" s="5">
        <f>IF($B155&lt;=Tabla5[[#This Row],[INVERSIONES FCI]],+Tabla5[[#This Row],[INVERSIONES FCI]]-CN155,Tabla5[[#This Row],[INVERSIONES FCI]])</f>
        <v>2703543684.9528446</v>
      </c>
      <c r="CO156" s="5">
        <f>IF($B155&lt;=Tabla5[[#This Row],[INVERSIONES FCI]],+Tabla5[[#This Row],[INVERSIONES FCI]]-CO155,Tabla5[[#This Row],[INVERSIONES FCI]])</f>
        <v>2703543684.9528446</v>
      </c>
      <c r="CP156" s="5">
        <f>IF($B155&lt;=Tabla5[[#This Row],[INVERSIONES FCI]],+Tabla5[[#This Row],[INVERSIONES FCI]]-CP155,Tabla5[[#This Row],[INVERSIONES FCI]])</f>
        <v>2703543684.9528446</v>
      </c>
      <c r="CQ156" s="5">
        <f>IF($B155&lt;=Tabla5[[#This Row],[INVERSIONES FCI]],+Tabla5[[#This Row],[INVERSIONES FCI]]-CQ155,Tabla5[[#This Row],[INVERSIONES FCI]])</f>
        <v>2703543684.9528446</v>
      </c>
      <c r="CR156" s="5">
        <f>IF($B155&lt;=Tabla5[[#This Row],[INVERSIONES FCI]],+Tabla5[[#This Row],[INVERSIONES FCI]]-CR155,Tabla5[[#This Row],[INVERSIONES FCI]])</f>
        <v>2703543684.9528446</v>
      </c>
      <c r="CS156" s="5">
        <f>IF($B155&lt;=Tabla5[[#This Row],[INVERSIONES FCI]],+Tabla5[[#This Row],[INVERSIONES FCI]]-CS155,Tabla5[[#This Row],[INVERSIONES FCI]])</f>
        <v>2703543684.9528446</v>
      </c>
      <c r="CT156" s="5">
        <f>IF($B155&lt;=Tabla5[[#This Row],[INVERSIONES FCI]],+Tabla5[[#This Row],[INVERSIONES FCI]]-CT155,Tabla5[[#This Row],[INVERSIONES FCI]])</f>
        <v>2703543684.9528446</v>
      </c>
      <c r="CU156" s="5">
        <f>IF($B155&lt;=Tabla5[[#This Row],[INVERSIONES FCI]],+Tabla5[[#This Row],[INVERSIONES FCI]]-CU155,Tabla5[[#This Row],[INVERSIONES FCI]])</f>
        <v>2703543684.9528446</v>
      </c>
      <c r="CV156" s="5">
        <f>IF($B155&lt;=Tabla5[[#This Row],[INVERSIONES FCI]],+Tabla5[[#This Row],[INVERSIONES FCI]]-CV155,Tabla5[[#This Row],[INVERSIONES FCI]])</f>
        <v>2703543684.9528446</v>
      </c>
      <c r="CW156" s="5">
        <f>IF($B155&lt;=Tabla5[[#This Row],[INVERSIONES FCI]],+Tabla5[[#This Row],[INVERSIONES FCI]]-CW155,Tabla5[[#This Row],[INVERSIONES FCI]])</f>
        <v>2703543684.9528446</v>
      </c>
      <c r="CX156" s="5">
        <f>IF($B155&lt;=Tabla5[[#This Row],[INVERSIONES FCI]],+Tabla5[[#This Row],[INVERSIONES FCI]]-CX155,Tabla5[[#This Row],[INVERSIONES FCI]])</f>
        <v>2703543684.9528446</v>
      </c>
      <c r="CY156" s="5">
        <f>IF($B155&lt;=Tabla5[[#This Row],[INVERSIONES FCI]],+Tabla5[[#This Row],[INVERSIONES FCI]]-CY155,Tabla5[[#This Row],[INVERSIONES FCI]])</f>
        <v>2703543684.9528446</v>
      </c>
      <c r="CZ156" s="5">
        <f>IF($B155&lt;=Tabla5[[#This Row],[INVERSIONES FCI]],+Tabla5[[#This Row],[INVERSIONES FCI]]-CZ155,Tabla5[[#This Row],[INVERSIONES FCI]])</f>
        <v>2703543684.9528446</v>
      </c>
      <c r="DA156" s="5">
        <f>IF($B155&lt;=Tabla5[[#This Row],[INVERSIONES FCI]],+Tabla5[[#This Row],[INVERSIONES FCI]]-DA155,Tabla5[[#This Row],[INVERSIONES FCI]])</f>
        <v>2703543684.9528446</v>
      </c>
      <c r="DB156" s="5">
        <f>IF($B155&lt;=Tabla5[[#This Row],[INVERSIONES FCI]],+Tabla5[[#This Row],[INVERSIONES FCI]]-DB155,Tabla5[[#This Row],[INVERSIONES FCI]])</f>
        <v>2703543684.9528446</v>
      </c>
      <c r="DC156" s="5">
        <f>IF($B155&lt;=Tabla5[[#This Row],[INVERSIONES FCI]],+Tabla5[[#This Row],[INVERSIONES FCI]]-DC155,Tabla5[[#This Row],[INVERSIONES FCI]])</f>
        <v>2703543684.9528446</v>
      </c>
      <c r="DD156" s="5">
        <f>IF($B155&lt;=Tabla5[[#This Row],[INVERSIONES FCI]],+Tabla5[[#This Row],[INVERSIONES FCI]]-DD155,Tabla5[[#This Row],[INVERSIONES FCI]])</f>
        <v>2703543684.9528446</v>
      </c>
      <c r="DE156" s="5">
        <f>IF($B155&lt;=Tabla5[[#This Row],[INVERSIONES FCI]],+Tabla5[[#This Row],[INVERSIONES FCI]]-DE155,Tabla5[[#This Row],[INVERSIONES FCI]])</f>
        <v>2703543684.9528446</v>
      </c>
      <c r="DF156" s="5">
        <f>IF($B155&lt;=Tabla5[[#This Row],[INVERSIONES FCI]],+Tabla5[[#This Row],[INVERSIONES FCI]]-DF155,Tabla5[[#This Row],[INVERSIONES FCI]])</f>
        <v>2703543684.9528446</v>
      </c>
      <c r="DG156" s="5">
        <f>IF($B155&lt;=Tabla5[[#This Row],[INVERSIONES FCI]],+Tabla5[[#This Row],[INVERSIONES FCI]]-DG155,Tabla5[[#This Row],[INVERSIONES FCI]])</f>
        <v>2703543684.9528446</v>
      </c>
      <c r="DH156" s="5">
        <f>IF($B155&lt;=Tabla5[[#This Row],[INVERSIONES FCI]],+Tabla5[[#This Row],[INVERSIONES FCI]]-DH155,Tabla5[[#This Row],[INVERSIONES FCI]])</f>
        <v>2703543684.9528446</v>
      </c>
      <c r="DI156" s="5">
        <f>IF($B155&lt;=Tabla5[[#This Row],[INVERSIONES FCI]],+Tabla5[[#This Row],[INVERSIONES FCI]]-DI155,Tabla5[[#This Row],[INVERSIONES FCI]])</f>
        <v>2703543684.9528446</v>
      </c>
      <c r="DJ156" s="5">
        <f>IF($B155&lt;=Tabla5[[#This Row],[INVERSIONES FCI]],+Tabla5[[#This Row],[INVERSIONES FCI]]-DJ155,Tabla5[[#This Row],[INVERSIONES FCI]])</f>
        <v>2703543684.9528446</v>
      </c>
      <c r="DK156" s="5">
        <f>IF($B155&lt;=Tabla5[[#This Row],[INVERSIONES FCI]],+Tabla5[[#This Row],[INVERSIONES FCI]]-DK155,Tabla5[[#This Row],[INVERSIONES FCI]])</f>
        <v>2703543684.9528446</v>
      </c>
      <c r="DL156" s="5"/>
      <c r="DM156" s="5"/>
      <c r="DN156" s="5"/>
      <c r="DO156" s="5"/>
      <c r="DP156" s="5"/>
      <c r="DQ156" s="5"/>
    </row>
    <row r="157" spans="1:121" ht="14.4">
      <c r="A157" s="12" t="s">
        <v>156</v>
      </c>
      <c r="B157" s="5">
        <f>HLOOKUP($A157,ESCENARIO[#All],7,FALSE)</f>
        <v>14000346805.996132</v>
      </c>
      <c r="C157" s="5">
        <f>IF($B156&lt;=Tabla5[[#This Row],[INVERSIONES FCI]],+Tabla5[[#This Row],[INVERSIONES FCI]]-C156,Tabla5[[#This Row],[INVERSIONES FCI]])</f>
        <v>11296803121.043287</v>
      </c>
      <c r="D157" s="5">
        <f>IF($B156&lt;=Tabla5[[#This Row],[INVERSIONES FCI]],+Tabla5[[#This Row],[INVERSIONES FCI]]-D156,Tabla5[[#This Row],[INVERSIONES FCI]])</f>
        <v>11296803121.043287</v>
      </c>
      <c r="E157" s="5">
        <f>IF($B156&lt;=Tabla5[[#This Row],[INVERSIONES FCI]],+Tabla5[[#This Row],[INVERSIONES FCI]]-E156,Tabla5[[#This Row],[INVERSIONES FCI]])</f>
        <v>11296803121.043287</v>
      </c>
      <c r="F157" s="5">
        <f>IF($B156&lt;=Tabla5[[#This Row],[INVERSIONES FCI]],+Tabla5[[#This Row],[INVERSIONES FCI]]-F156,Tabla5[[#This Row],[INVERSIONES FCI]])</f>
        <v>11296803121.043287</v>
      </c>
      <c r="G157" s="5">
        <f>IF($B156&lt;=Tabla5[[#This Row],[INVERSIONES FCI]],+Tabla5[[#This Row],[INVERSIONES FCI]]-G156,Tabla5[[#This Row],[INVERSIONES FCI]])</f>
        <v>11296803121.043287</v>
      </c>
      <c r="H157" s="5">
        <f>IF($B156&lt;=Tabla5[[#This Row],[INVERSIONES FCI]],+Tabla5[[#This Row],[INVERSIONES FCI]]-H156,Tabla5[[#This Row],[INVERSIONES FCI]])</f>
        <v>11296803121.043287</v>
      </c>
      <c r="I157" s="5">
        <f>IF($B156&lt;=Tabla5[[#This Row],[INVERSIONES FCI]],+Tabla5[[#This Row],[INVERSIONES FCI]]-I156,Tabla5[[#This Row],[INVERSIONES FCI]])</f>
        <v>11296803121.043287</v>
      </c>
      <c r="J157" s="5">
        <f>IF($B156&lt;=Tabla5[[#This Row],[INVERSIONES FCI]],+Tabla5[[#This Row],[INVERSIONES FCI]]-J156,Tabla5[[#This Row],[INVERSIONES FCI]])</f>
        <v>11296803121.043287</v>
      </c>
      <c r="K157" s="5">
        <f>IF($B156&lt;=Tabla5[[#This Row],[INVERSIONES FCI]],+Tabla5[[#This Row],[INVERSIONES FCI]]-K156,Tabla5[[#This Row],[INVERSIONES FCI]])</f>
        <v>11296803121.043287</v>
      </c>
      <c r="L157" s="5">
        <f>IF($B156&lt;=Tabla5[[#This Row],[INVERSIONES FCI]],+Tabla5[[#This Row],[INVERSIONES FCI]]-L156,Tabla5[[#This Row],[INVERSIONES FCI]])</f>
        <v>11296803121.043287</v>
      </c>
      <c r="M157" s="5">
        <f>IF($B156&lt;=Tabla5[[#This Row],[INVERSIONES FCI]],+Tabla5[[#This Row],[INVERSIONES FCI]]-M156,Tabla5[[#This Row],[INVERSIONES FCI]])</f>
        <v>11296803121.043287</v>
      </c>
      <c r="N157" s="5">
        <f>IF($B156&lt;=Tabla5[[#This Row],[INVERSIONES FCI]],+Tabla5[[#This Row],[INVERSIONES FCI]]-N156,Tabla5[[#This Row],[INVERSIONES FCI]])</f>
        <v>11296803121.043287</v>
      </c>
      <c r="O157" s="5">
        <f>IF($B156&lt;=Tabla5[[#This Row],[INVERSIONES FCI]],+Tabla5[[#This Row],[INVERSIONES FCI]]-O156,Tabla5[[#This Row],[INVERSIONES FCI]])</f>
        <v>11296803121.043287</v>
      </c>
      <c r="P157" s="5">
        <f>IF($B156&lt;=Tabla5[[#This Row],[INVERSIONES FCI]],+Tabla5[[#This Row],[INVERSIONES FCI]]-P156,Tabla5[[#This Row],[INVERSIONES FCI]])</f>
        <v>11296803121.043287</v>
      </c>
      <c r="Q157" s="5">
        <f>IF($B156&lt;=Tabla5[[#This Row],[INVERSIONES FCI]],+Tabla5[[#This Row],[INVERSIONES FCI]]-Q156,Tabla5[[#This Row],[INVERSIONES FCI]])</f>
        <v>11296803121.043287</v>
      </c>
      <c r="R157" s="5">
        <f>IF($B156&lt;=Tabla5[[#This Row],[INVERSIONES FCI]],+Tabla5[[#This Row],[INVERSIONES FCI]]-R156,Tabla5[[#This Row],[INVERSIONES FCI]])</f>
        <v>11296803121.043287</v>
      </c>
      <c r="S157" s="5">
        <f>IF($B156&lt;=Tabla5[[#This Row],[INVERSIONES FCI]],+Tabla5[[#This Row],[INVERSIONES FCI]]-S156,Tabla5[[#This Row],[INVERSIONES FCI]])</f>
        <v>11296803121.043287</v>
      </c>
      <c r="T157" s="5">
        <f>IF($B156&lt;=Tabla5[[#This Row],[INVERSIONES FCI]],+Tabla5[[#This Row],[INVERSIONES FCI]]-T156,Tabla5[[#This Row],[INVERSIONES FCI]])</f>
        <v>11296803121.043287</v>
      </c>
      <c r="U157" s="5">
        <f>IF($B156&lt;=Tabla5[[#This Row],[INVERSIONES FCI]],+Tabla5[[#This Row],[INVERSIONES FCI]]-U156,Tabla5[[#This Row],[INVERSIONES FCI]])</f>
        <v>11296803121.043287</v>
      </c>
      <c r="V157" s="5">
        <f>IF($B156&lt;=Tabla5[[#This Row],[INVERSIONES FCI]],+Tabla5[[#This Row],[INVERSIONES FCI]]-V156,Tabla5[[#This Row],[INVERSIONES FCI]])</f>
        <v>11296803121.043287</v>
      </c>
      <c r="W157" s="5">
        <f>IF($B156&lt;=Tabla5[[#This Row],[INVERSIONES FCI]],+Tabla5[[#This Row],[INVERSIONES FCI]]-W156,Tabla5[[#This Row],[INVERSIONES FCI]])</f>
        <v>11296803121.043287</v>
      </c>
      <c r="X157" s="5">
        <f>IF($B156&lt;=Tabla5[[#This Row],[INVERSIONES FCI]],+Tabla5[[#This Row],[INVERSIONES FCI]]-X156,Tabla5[[#This Row],[INVERSIONES FCI]])</f>
        <v>11296803121.043287</v>
      </c>
      <c r="Y157" s="5">
        <f>IF($B156&lt;=Tabla5[[#This Row],[INVERSIONES FCI]],+Tabla5[[#This Row],[INVERSIONES FCI]]-Y156,Tabla5[[#This Row],[INVERSIONES FCI]])</f>
        <v>11296803121.043287</v>
      </c>
      <c r="Z157" s="5">
        <f>IF($B156&lt;=Tabla5[[#This Row],[INVERSIONES FCI]],+Tabla5[[#This Row],[INVERSIONES FCI]]-Z156,Tabla5[[#This Row],[INVERSIONES FCI]])</f>
        <v>11296803121.043287</v>
      </c>
      <c r="AA157" s="5">
        <f>IF($B156&lt;=Tabla5[[#This Row],[INVERSIONES FCI]],+Tabla5[[#This Row],[INVERSIONES FCI]]-AA156,Tabla5[[#This Row],[INVERSIONES FCI]])</f>
        <v>11296803121.043287</v>
      </c>
      <c r="AB157" s="5">
        <f>IF($B156&lt;=Tabla5[[#This Row],[INVERSIONES FCI]],+Tabla5[[#This Row],[INVERSIONES FCI]]-AB156,Tabla5[[#This Row],[INVERSIONES FCI]])</f>
        <v>11296803121.043287</v>
      </c>
      <c r="AC157" s="5">
        <f>IF($B156&lt;=Tabla5[[#This Row],[INVERSIONES FCI]],+Tabla5[[#This Row],[INVERSIONES FCI]]-AC156,Tabla5[[#This Row],[INVERSIONES FCI]])</f>
        <v>11296803121.043287</v>
      </c>
      <c r="AD157" s="5">
        <f>IF($B156&lt;=Tabla5[[#This Row],[INVERSIONES FCI]],+Tabla5[[#This Row],[INVERSIONES FCI]]-AD156,Tabla5[[#This Row],[INVERSIONES FCI]])</f>
        <v>11296803121.043287</v>
      </c>
      <c r="AE157" s="5">
        <f>IF($B156&lt;=Tabla5[[#This Row],[INVERSIONES FCI]],+Tabla5[[#This Row],[INVERSIONES FCI]]-AE156,Tabla5[[#This Row],[INVERSIONES FCI]])</f>
        <v>11296803121.043287</v>
      </c>
      <c r="AF157" s="5">
        <f>IF($B156&lt;=Tabla5[[#This Row],[INVERSIONES FCI]],+Tabla5[[#This Row],[INVERSIONES FCI]]-AF156,Tabla5[[#This Row],[INVERSIONES FCI]])</f>
        <v>11296803121.043287</v>
      </c>
      <c r="AG157" s="5">
        <f>IF($B156&lt;=Tabla5[[#This Row],[INVERSIONES FCI]],+Tabla5[[#This Row],[INVERSIONES FCI]]-AG156,Tabla5[[#This Row],[INVERSIONES FCI]])</f>
        <v>11296803121.043287</v>
      </c>
      <c r="AH157" s="5">
        <f>IF($B156&lt;=Tabla5[[#This Row],[INVERSIONES FCI]],+Tabla5[[#This Row],[INVERSIONES FCI]]-AH156,Tabla5[[#This Row],[INVERSIONES FCI]])</f>
        <v>11296803121.043287</v>
      </c>
      <c r="AI157" s="5">
        <f>IF($B156&lt;=Tabla5[[#This Row],[INVERSIONES FCI]],+Tabla5[[#This Row],[INVERSIONES FCI]]-AI156,Tabla5[[#This Row],[INVERSIONES FCI]])</f>
        <v>11296803121.043287</v>
      </c>
      <c r="AJ157" s="5">
        <f>IF($B156&lt;=Tabla5[[#This Row],[INVERSIONES FCI]],+Tabla5[[#This Row],[INVERSIONES FCI]]-AJ156,Tabla5[[#This Row],[INVERSIONES FCI]])</f>
        <v>11296803121.043287</v>
      </c>
      <c r="AK157" s="5">
        <f>IF($B156&lt;=Tabla5[[#This Row],[INVERSIONES FCI]],+Tabla5[[#This Row],[INVERSIONES FCI]]-AK156,Tabla5[[#This Row],[INVERSIONES FCI]])</f>
        <v>11296803121.043287</v>
      </c>
      <c r="AL157" s="5">
        <f>IF($B156&lt;=Tabla5[[#This Row],[INVERSIONES FCI]],+Tabla5[[#This Row],[INVERSIONES FCI]]-AL156,Tabla5[[#This Row],[INVERSIONES FCI]])</f>
        <v>11296803121.043287</v>
      </c>
      <c r="AM157" s="5">
        <f>IF($B156&lt;=Tabla5[[#This Row],[INVERSIONES FCI]],+Tabla5[[#This Row],[INVERSIONES FCI]]-AM156,Tabla5[[#This Row],[INVERSIONES FCI]])</f>
        <v>11296803121.043287</v>
      </c>
      <c r="AN157" s="5">
        <f>IF($B156&lt;=Tabla5[[#This Row],[INVERSIONES FCI]],+Tabla5[[#This Row],[INVERSIONES FCI]]-AN156,Tabla5[[#This Row],[INVERSIONES FCI]])</f>
        <v>11296803121.043287</v>
      </c>
      <c r="AO157" s="5">
        <f>IF($B156&lt;=Tabla5[[#This Row],[INVERSIONES FCI]],+Tabla5[[#This Row],[INVERSIONES FCI]]-AO156,Tabla5[[#This Row],[INVERSIONES FCI]])</f>
        <v>11296803121.043287</v>
      </c>
      <c r="AP157" s="5">
        <f>IF($B156&lt;=Tabla5[[#This Row],[INVERSIONES FCI]],+Tabla5[[#This Row],[INVERSIONES FCI]]-AP156,Tabla5[[#This Row],[INVERSIONES FCI]])</f>
        <v>11296803121.043287</v>
      </c>
      <c r="AQ157" s="5">
        <f>IF($B156&lt;=Tabla5[[#This Row],[INVERSIONES FCI]],+Tabla5[[#This Row],[INVERSIONES FCI]]-AQ156,Tabla5[[#This Row],[INVERSIONES FCI]])</f>
        <v>11296803121.043287</v>
      </c>
      <c r="AR157" s="5">
        <f>IF($B156&lt;=Tabla5[[#This Row],[INVERSIONES FCI]],+Tabla5[[#This Row],[INVERSIONES FCI]]-AR156,Tabla5[[#This Row],[INVERSIONES FCI]])</f>
        <v>11296803121.043287</v>
      </c>
      <c r="AS157" s="5">
        <f>IF($B156&lt;=Tabla5[[#This Row],[INVERSIONES FCI]],+Tabla5[[#This Row],[INVERSIONES FCI]]-AS156,Tabla5[[#This Row],[INVERSIONES FCI]])</f>
        <v>11296803121.043287</v>
      </c>
      <c r="AT157" s="5">
        <f>IF($B156&lt;=Tabla5[[#This Row],[INVERSIONES FCI]],+Tabla5[[#This Row],[INVERSIONES FCI]]-AT156,Tabla5[[#This Row],[INVERSIONES FCI]])</f>
        <v>11296803121.043287</v>
      </c>
      <c r="AU157" s="5">
        <f>IF($B156&lt;=Tabla5[[#This Row],[INVERSIONES FCI]],+Tabla5[[#This Row],[INVERSIONES FCI]]-AU156,Tabla5[[#This Row],[INVERSIONES FCI]])</f>
        <v>11296803121.043287</v>
      </c>
      <c r="AV157" s="5">
        <f>IF($B156&lt;=Tabla5[[#This Row],[INVERSIONES FCI]],+Tabla5[[#This Row],[INVERSIONES FCI]]-AV156,Tabla5[[#This Row],[INVERSIONES FCI]])</f>
        <v>11296803121.043287</v>
      </c>
      <c r="AW157" s="5">
        <f>IF($B156&lt;=Tabla5[[#This Row],[INVERSIONES FCI]],+Tabla5[[#This Row],[INVERSIONES FCI]]-AW156,Tabla5[[#This Row],[INVERSIONES FCI]])</f>
        <v>11296803121.043287</v>
      </c>
      <c r="AX157" s="5">
        <f>IF($B156&lt;=Tabla5[[#This Row],[INVERSIONES FCI]],+Tabla5[[#This Row],[INVERSIONES FCI]]-AX156,Tabla5[[#This Row],[INVERSIONES FCI]])</f>
        <v>11296803121.043287</v>
      </c>
      <c r="AY157" s="5">
        <f>IF($B156&lt;=Tabla5[[#This Row],[INVERSIONES FCI]],+Tabla5[[#This Row],[INVERSIONES FCI]]-AY156,Tabla5[[#This Row],[INVERSIONES FCI]])</f>
        <v>11296803121.043287</v>
      </c>
      <c r="AZ157" s="5">
        <f>IF($B156&lt;=Tabla5[[#This Row],[INVERSIONES FCI]],+Tabla5[[#This Row],[INVERSIONES FCI]]-AZ156,Tabla5[[#This Row],[INVERSIONES FCI]])</f>
        <v>11296803121.043287</v>
      </c>
      <c r="BA157" s="5">
        <f>IF($B156&lt;=Tabla5[[#This Row],[INVERSIONES FCI]],+Tabla5[[#This Row],[INVERSIONES FCI]]-BA156,Tabla5[[#This Row],[INVERSIONES FCI]])</f>
        <v>11296803121.043287</v>
      </c>
      <c r="BB157" s="5">
        <f>IF($B156&lt;=Tabla5[[#This Row],[INVERSIONES FCI]],+Tabla5[[#This Row],[INVERSIONES FCI]]-BB156,Tabla5[[#This Row],[INVERSIONES FCI]])</f>
        <v>11296803121.043287</v>
      </c>
      <c r="BC157" s="5">
        <f>IF($B156&lt;=Tabla5[[#This Row],[INVERSIONES FCI]],+Tabla5[[#This Row],[INVERSIONES FCI]]-BC156,Tabla5[[#This Row],[INVERSIONES FCI]])</f>
        <v>11296803121.043287</v>
      </c>
      <c r="BD157" s="5">
        <f>IF($B156&lt;=Tabla5[[#This Row],[INVERSIONES FCI]],+Tabla5[[#This Row],[INVERSIONES FCI]]-BD156,Tabla5[[#This Row],[INVERSIONES FCI]])</f>
        <v>11296803121.043287</v>
      </c>
      <c r="BE157" s="5">
        <f>IF($B156&lt;=Tabla5[[#This Row],[INVERSIONES FCI]],+Tabla5[[#This Row],[INVERSIONES FCI]]-BE156,Tabla5[[#This Row],[INVERSIONES FCI]])</f>
        <v>11296803121.043287</v>
      </c>
      <c r="BF157" s="5">
        <f>IF($B156&lt;=Tabla5[[#This Row],[INVERSIONES FCI]],+Tabla5[[#This Row],[INVERSIONES FCI]]-BF156,Tabla5[[#This Row],[INVERSIONES FCI]])</f>
        <v>11296803121.043287</v>
      </c>
      <c r="BG157" s="5">
        <f>IF($B156&lt;=Tabla5[[#This Row],[INVERSIONES FCI]],+Tabla5[[#This Row],[INVERSIONES FCI]]-BG156,Tabla5[[#This Row],[INVERSIONES FCI]])</f>
        <v>11296803121.043287</v>
      </c>
      <c r="BH157" s="5">
        <f>IF($B156&lt;=Tabla5[[#This Row],[INVERSIONES FCI]],+Tabla5[[#This Row],[INVERSIONES FCI]]-BH156,Tabla5[[#This Row],[INVERSIONES FCI]])</f>
        <v>11296803121.043287</v>
      </c>
      <c r="BI157" s="5">
        <f>IF($B156&lt;=Tabla5[[#This Row],[INVERSIONES FCI]],+Tabla5[[#This Row],[INVERSIONES FCI]]-BI156,Tabla5[[#This Row],[INVERSIONES FCI]])</f>
        <v>11296803121.043287</v>
      </c>
      <c r="BJ157" s="5">
        <f>IF($B156&lt;=Tabla5[[#This Row],[INVERSIONES FCI]],+Tabla5[[#This Row],[INVERSIONES FCI]]-BJ156,Tabla5[[#This Row],[INVERSIONES FCI]])</f>
        <v>11296803121.043287</v>
      </c>
      <c r="BK157" s="5">
        <f>IF($B156&lt;=Tabla5[[#This Row],[INVERSIONES FCI]],+Tabla5[[#This Row],[INVERSIONES FCI]]-BK156,Tabla5[[#This Row],[INVERSIONES FCI]])</f>
        <v>11296803121.043287</v>
      </c>
      <c r="BL157" s="5">
        <f>IF($B156&lt;=Tabla5[[#This Row],[INVERSIONES FCI]],+Tabla5[[#This Row],[INVERSIONES FCI]]-BL156,Tabla5[[#This Row],[INVERSIONES FCI]])</f>
        <v>11296803121.043287</v>
      </c>
      <c r="BM157" s="5">
        <f>IF($B156&lt;=Tabla5[[#This Row],[INVERSIONES FCI]],+Tabla5[[#This Row],[INVERSIONES FCI]]-BM156,Tabla5[[#This Row],[INVERSIONES FCI]])</f>
        <v>11296803121.043287</v>
      </c>
      <c r="BN157" s="5">
        <f>IF($B156&lt;=Tabla5[[#This Row],[INVERSIONES FCI]],+Tabla5[[#This Row],[INVERSIONES FCI]]-BN156,Tabla5[[#This Row],[INVERSIONES FCI]])</f>
        <v>11296803121.043287</v>
      </c>
      <c r="BO157" s="5">
        <f>IF($B156&lt;=Tabla5[[#This Row],[INVERSIONES FCI]],+Tabla5[[#This Row],[INVERSIONES FCI]]-BO156,Tabla5[[#This Row],[INVERSIONES FCI]])</f>
        <v>11296803121.043287</v>
      </c>
      <c r="BP157" s="5">
        <f>IF($B156&lt;=Tabla5[[#This Row],[INVERSIONES FCI]],+Tabla5[[#This Row],[INVERSIONES FCI]]-BP156,Tabla5[[#This Row],[INVERSIONES FCI]])</f>
        <v>11296803121.043287</v>
      </c>
      <c r="BQ157" s="5">
        <f>IF($B156&lt;=Tabla5[[#This Row],[INVERSIONES FCI]],+Tabla5[[#This Row],[INVERSIONES FCI]]-BQ156,Tabla5[[#This Row],[INVERSIONES FCI]])</f>
        <v>11296803121.043287</v>
      </c>
      <c r="BR157" s="5">
        <f>IF($B156&lt;=Tabla5[[#This Row],[INVERSIONES FCI]],+Tabla5[[#This Row],[INVERSIONES FCI]]-BR156,Tabla5[[#This Row],[INVERSIONES FCI]])</f>
        <v>11296803121.043287</v>
      </c>
      <c r="BS157" s="5">
        <f>IF($B156&lt;=Tabla5[[#This Row],[INVERSIONES FCI]],+Tabla5[[#This Row],[INVERSIONES FCI]]-BS156,Tabla5[[#This Row],[INVERSIONES FCI]])</f>
        <v>11296803121.043287</v>
      </c>
      <c r="BT157" s="5">
        <f>IF($B156&lt;=Tabla5[[#This Row],[INVERSIONES FCI]],+Tabla5[[#This Row],[INVERSIONES FCI]]-BT156,Tabla5[[#This Row],[INVERSIONES FCI]])</f>
        <v>11296803121.043287</v>
      </c>
      <c r="BU157" s="5">
        <f>IF($B156&lt;=Tabla5[[#This Row],[INVERSIONES FCI]],+Tabla5[[#This Row],[INVERSIONES FCI]]-BU156,Tabla5[[#This Row],[INVERSIONES FCI]])</f>
        <v>11296803121.043287</v>
      </c>
      <c r="BV157" s="5">
        <f>IF($B156&lt;=Tabla5[[#This Row],[INVERSIONES FCI]],+Tabla5[[#This Row],[INVERSIONES FCI]]-BV156,Tabla5[[#This Row],[INVERSIONES FCI]])</f>
        <v>11296803121.043287</v>
      </c>
      <c r="BW157" s="5">
        <f>IF($B156&lt;=Tabla5[[#This Row],[INVERSIONES FCI]],+Tabla5[[#This Row],[INVERSIONES FCI]]-BW156,Tabla5[[#This Row],[INVERSIONES FCI]])</f>
        <v>11296803121.043287</v>
      </c>
      <c r="BX157" s="5">
        <f>IF($B156&lt;=Tabla5[[#This Row],[INVERSIONES FCI]],+Tabla5[[#This Row],[INVERSIONES FCI]]-BX156,Tabla5[[#This Row],[INVERSIONES FCI]])</f>
        <v>11296803121.043287</v>
      </c>
      <c r="BY157" s="5">
        <f>IF($B156&lt;=Tabla5[[#This Row],[INVERSIONES FCI]],+Tabla5[[#This Row],[INVERSIONES FCI]]-BY156,Tabla5[[#This Row],[INVERSIONES FCI]])</f>
        <v>11296803121.043287</v>
      </c>
      <c r="BZ157" s="5">
        <f>IF($B156&lt;=Tabla5[[#This Row],[INVERSIONES FCI]],+Tabla5[[#This Row],[INVERSIONES FCI]]-BZ156,Tabla5[[#This Row],[INVERSIONES FCI]])</f>
        <v>11296803121.043287</v>
      </c>
      <c r="CA157" s="5">
        <f>IF($B156&lt;=Tabla5[[#This Row],[INVERSIONES FCI]],+Tabla5[[#This Row],[INVERSIONES FCI]]-CA156,Tabla5[[#This Row],[INVERSIONES FCI]])</f>
        <v>11296803121.043287</v>
      </c>
      <c r="CB157" s="5">
        <f>IF($B156&lt;=Tabla5[[#This Row],[INVERSIONES FCI]],+Tabla5[[#This Row],[INVERSIONES FCI]]-CB156,Tabla5[[#This Row],[INVERSIONES FCI]])</f>
        <v>11296803121.043287</v>
      </c>
      <c r="CC157" s="5">
        <f>IF($B156&lt;=Tabla5[[#This Row],[INVERSIONES FCI]],+Tabla5[[#This Row],[INVERSIONES FCI]]-CC156,Tabla5[[#This Row],[INVERSIONES FCI]])</f>
        <v>11296803121.043287</v>
      </c>
      <c r="CD157" s="5">
        <f>IF($B156&lt;=Tabla5[[#This Row],[INVERSIONES FCI]],+Tabla5[[#This Row],[INVERSIONES FCI]]-CD156,Tabla5[[#This Row],[INVERSIONES FCI]])</f>
        <v>11296803121.043287</v>
      </c>
      <c r="CE157" s="5">
        <f>IF($B156&lt;=Tabla5[[#This Row],[INVERSIONES FCI]],+Tabla5[[#This Row],[INVERSIONES FCI]]-CE156,Tabla5[[#This Row],[INVERSIONES FCI]])</f>
        <v>11296803121.043287</v>
      </c>
      <c r="CF157" s="5">
        <f>IF($B156&lt;=Tabla5[[#This Row],[INVERSIONES FCI]],+Tabla5[[#This Row],[INVERSIONES FCI]]-CF156,Tabla5[[#This Row],[INVERSIONES FCI]])</f>
        <v>11296803121.043287</v>
      </c>
      <c r="CG157" s="5">
        <f>IF($B156&lt;=Tabla5[[#This Row],[INVERSIONES FCI]],+Tabla5[[#This Row],[INVERSIONES FCI]]-CG156,Tabla5[[#This Row],[INVERSIONES FCI]])</f>
        <v>11296803121.043287</v>
      </c>
      <c r="CH157" s="5">
        <f>IF($B156&lt;=Tabla5[[#This Row],[INVERSIONES FCI]],+Tabla5[[#This Row],[INVERSIONES FCI]]-CH156,Tabla5[[#This Row],[INVERSIONES FCI]])</f>
        <v>11296803121.043287</v>
      </c>
      <c r="CI157" s="5">
        <f>IF($B156&lt;=Tabla5[[#This Row],[INVERSIONES FCI]],+Tabla5[[#This Row],[INVERSIONES FCI]]-CI156,Tabla5[[#This Row],[INVERSIONES FCI]])</f>
        <v>11296803121.043287</v>
      </c>
      <c r="CJ157" s="5">
        <f>IF($B156&lt;=Tabla5[[#This Row],[INVERSIONES FCI]],+Tabla5[[#This Row],[INVERSIONES FCI]]-CJ156,Tabla5[[#This Row],[INVERSIONES FCI]])</f>
        <v>11296803121.043287</v>
      </c>
      <c r="CK157" s="5">
        <f>IF($B156&lt;=Tabla5[[#This Row],[INVERSIONES FCI]],+Tabla5[[#This Row],[INVERSIONES FCI]]-CK156,Tabla5[[#This Row],[INVERSIONES FCI]])</f>
        <v>11296803121.043287</v>
      </c>
      <c r="CL157" s="5">
        <f>IF($B156&lt;=Tabla5[[#This Row],[INVERSIONES FCI]],+Tabla5[[#This Row],[INVERSIONES FCI]]-CL156,Tabla5[[#This Row],[INVERSIONES FCI]])</f>
        <v>11296803121.043287</v>
      </c>
      <c r="CM157" s="5">
        <f>IF($B156&lt;=Tabla5[[#This Row],[INVERSIONES FCI]],+Tabla5[[#This Row],[INVERSIONES FCI]]-CM156,Tabla5[[#This Row],[INVERSIONES FCI]])</f>
        <v>11296803121.043287</v>
      </c>
      <c r="CN157" s="5">
        <f>IF($B156&lt;=Tabla5[[#This Row],[INVERSIONES FCI]],+Tabla5[[#This Row],[INVERSIONES FCI]]-CN156,Tabla5[[#This Row],[INVERSIONES FCI]])</f>
        <v>11296803121.043287</v>
      </c>
      <c r="CO157" s="5">
        <f>IF($B156&lt;=Tabla5[[#This Row],[INVERSIONES FCI]],+Tabla5[[#This Row],[INVERSIONES FCI]]-CO156,Tabla5[[#This Row],[INVERSIONES FCI]])</f>
        <v>11296803121.043287</v>
      </c>
      <c r="CP157" s="5">
        <f>IF($B156&lt;=Tabla5[[#This Row],[INVERSIONES FCI]],+Tabla5[[#This Row],[INVERSIONES FCI]]-CP156,Tabla5[[#This Row],[INVERSIONES FCI]])</f>
        <v>11296803121.043287</v>
      </c>
      <c r="CQ157" s="5">
        <f>IF($B156&lt;=Tabla5[[#This Row],[INVERSIONES FCI]],+Tabla5[[#This Row],[INVERSIONES FCI]]-CQ156,Tabla5[[#This Row],[INVERSIONES FCI]])</f>
        <v>11296803121.043287</v>
      </c>
      <c r="CR157" s="5">
        <f>IF($B156&lt;=Tabla5[[#This Row],[INVERSIONES FCI]],+Tabla5[[#This Row],[INVERSIONES FCI]]-CR156,Tabla5[[#This Row],[INVERSIONES FCI]])</f>
        <v>11296803121.043287</v>
      </c>
      <c r="CS157" s="5">
        <f>IF($B156&lt;=Tabla5[[#This Row],[INVERSIONES FCI]],+Tabla5[[#This Row],[INVERSIONES FCI]]-CS156,Tabla5[[#This Row],[INVERSIONES FCI]])</f>
        <v>11296803121.043287</v>
      </c>
      <c r="CT157" s="5">
        <f>IF($B156&lt;=Tabla5[[#This Row],[INVERSIONES FCI]],+Tabla5[[#This Row],[INVERSIONES FCI]]-CT156,Tabla5[[#This Row],[INVERSIONES FCI]])</f>
        <v>11296803121.043287</v>
      </c>
      <c r="CU157" s="5">
        <f>IF($B156&lt;=Tabla5[[#This Row],[INVERSIONES FCI]],+Tabla5[[#This Row],[INVERSIONES FCI]]-CU156,Tabla5[[#This Row],[INVERSIONES FCI]])</f>
        <v>11296803121.043287</v>
      </c>
      <c r="CV157" s="5">
        <f>IF($B156&lt;=Tabla5[[#This Row],[INVERSIONES FCI]],+Tabla5[[#This Row],[INVERSIONES FCI]]-CV156,Tabla5[[#This Row],[INVERSIONES FCI]])</f>
        <v>11296803121.043287</v>
      </c>
      <c r="CW157" s="5">
        <f>IF($B156&lt;=Tabla5[[#This Row],[INVERSIONES FCI]],+Tabla5[[#This Row],[INVERSIONES FCI]]-CW156,Tabla5[[#This Row],[INVERSIONES FCI]])</f>
        <v>11296803121.043287</v>
      </c>
      <c r="CX157" s="5">
        <f>IF($B156&lt;=Tabla5[[#This Row],[INVERSIONES FCI]],+Tabla5[[#This Row],[INVERSIONES FCI]]-CX156,Tabla5[[#This Row],[INVERSIONES FCI]])</f>
        <v>11296803121.043287</v>
      </c>
      <c r="CY157" s="5">
        <f>IF($B156&lt;=Tabla5[[#This Row],[INVERSIONES FCI]],+Tabla5[[#This Row],[INVERSIONES FCI]]-CY156,Tabla5[[#This Row],[INVERSIONES FCI]])</f>
        <v>11296803121.043287</v>
      </c>
      <c r="CZ157" s="5">
        <f>IF($B156&lt;=Tabla5[[#This Row],[INVERSIONES FCI]],+Tabla5[[#This Row],[INVERSIONES FCI]]-CZ156,Tabla5[[#This Row],[INVERSIONES FCI]])</f>
        <v>11296803121.043287</v>
      </c>
      <c r="DA157" s="5">
        <f>IF($B156&lt;=Tabla5[[#This Row],[INVERSIONES FCI]],+Tabla5[[#This Row],[INVERSIONES FCI]]-DA156,Tabla5[[#This Row],[INVERSIONES FCI]])</f>
        <v>11296803121.043287</v>
      </c>
      <c r="DB157" s="5">
        <f>IF($B156&lt;=Tabla5[[#This Row],[INVERSIONES FCI]],+Tabla5[[#This Row],[INVERSIONES FCI]]-DB156,Tabla5[[#This Row],[INVERSIONES FCI]])</f>
        <v>11296803121.043287</v>
      </c>
      <c r="DC157" s="5">
        <f>IF($B156&lt;=Tabla5[[#This Row],[INVERSIONES FCI]],+Tabla5[[#This Row],[INVERSIONES FCI]]-DC156,Tabla5[[#This Row],[INVERSIONES FCI]])</f>
        <v>11296803121.043287</v>
      </c>
      <c r="DD157" s="5">
        <f>IF($B156&lt;=Tabla5[[#This Row],[INVERSIONES FCI]],+Tabla5[[#This Row],[INVERSIONES FCI]]-DD156,Tabla5[[#This Row],[INVERSIONES FCI]])</f>
        <v>11296803121.043287</v>
      </c>
      <c r="DE157" s="5">
        <f>IF($B156&lt;=Tabla5[[#This Row],[INVERSIONES FCI]],+Tabla5[[#This Row],[INVERSIONES FCI]]-DE156,Tabla5[[#This Row],[INVERSIONES FCI]])</f>
        <v>11296803121.043287</v>
      </c>
      <c r="DF157" s="5">
        <f>IF($B156&lt;=Tabla5[[#This Row],[INVERSIONES FCI]],+Tabla5[[#This Row],[INVERSIONES FCI]]-DF156,Tabla5[[#This Row],[INVERSIONES FCI]])</f>
        <v>11296803121.043287</v>
      </c>
      <c r="DG157" s="5">
        <f>IF($B156&lt;=Tabla5[[#This Row],[INVERSIONES FCI]],+Tabla5[[#This Row],[INVERSIONES FCI]]-DG156,Tabla5[[#This Row],[INVERSIONES FCI]])</f>
        <v>11296803121.043287</v>
      </c>
      <c r="DH157" s="5">
        <f>IF($B156&lt;=Tabla5[[#This Row],[INVERSIONES FCI]],+Tabla5[[#This Row],[INVERSIONES FCI]]-DH156,Tabla5[[#This Row],[INVERSIONES FCI]])</f>
        <v>11296803121.043287</v>
      </c>
      <c r="DI157" s="5">
        <f>IF($B156&lt;=Tabla5[[#This Row],[INVERSIONES FCI]],+Tabla5[[#This Row],[INVERSIONES FCI]]-DI156,Tabla5[[#This Row],[INVERSIONES FCI]])</f>
        <v>11296803121.043287</v>
      </c>
      <c r="DJ157" s="5">
        <f>IF($B156&lt;=Tabla5[[#This Row],[INVERSIONES FCI]],+Tabla5[[#This Row],[INVERSIONES FCI]]-DJ156,Tabla5[[#This Row],[INVERSIONES FCI]])</f>
        <v>11296803121.043287</v>
      </c>
      <c r="DK157" s="5">
        <f>IF($B156&lt;=Tabla5[[#This Row],[INVERSIONES FCI]],+Tabla5[[#This Row],[INVERSIONES FCI]]-DK156,Tabla5[[#This Row],[INVERSIONES FCI]])</f>
        <v>11296803121.043287</v>
      </c>
      <c r="DL157" s="5"/>
      <c r="DM157" s="5"/>
      <c r="DN157" s="5"/>
      <c r="DO157" s="5"/>
      <c r="DP157" s="5"/>
      <c r="DQ157" s="5"/>
    </row>
    <row r="158" spans="1:121" ht="14.4">
      <c r="A158" s="12" t="s">
        <v>157</v>
      </c>
      <c r="B158" s="5">
        <f>HLOOKUP($A158,ESCENARIO[#All],7,FALSE)</f>
        <v>13564787207.915012</v>
      </c>
      <c r="C158" s="5">
        <f>IF($B157&lt;=Tabla5[[#This Row],[INVERSIONES FCI]],+Tabla5[[#This Row],[INVERSIONES FCI]]-C157,Tabla5[[#This Row],[INVERSIONES FCI]])</f>
        <v>13564787207.915012</v>
      </c>
      <c r="D158" s="5">
        <f>IF($B157&lt;=Tabla5[[#This Row],[INVERSIONES FCI]],+Tabla5[[#This Row],[INVERSIONES FCI]]-D157,Tabla5[[#This Row],[INVERSIONES FCI]])</f>
        <v>13564787207.915012</v>
      </c>
      <c r="E158" s="5">
        <f>IF($B157&lt;=Tabla5[[#This Row],[INVERSIONES FCI]],+Tabla5[[#This Row],[INVERSIONES FCI]]-E157,Tabla5[[#This Row],[INVERSIONES FCI]])</f>
        <v>13564787207.915012</v>
      </c>
      <c r="F158" s="5">
        <f>IF($B157&lt;=Tabla5[[#This Row],[INVERSIONES FCI]],+Tabla5[[#This Row],[INVERSIONES FCI]]-F157,Tabla5[[#This Row],[INVERSIONES FCI]])</f>
        <v>13564787207.915012</v>
      </c>
      <c r="G158" s="5">
        <f>IF($B157&lt;=Tabla5[[#This Row],[INVERSIONES FCI]],+Tabla5[[#This Row],[INVERSIONES FCI]]-G157,Tabla5[[#This Row],[INVERSIONES FCI]])</f>
        <v>13564787207.915012</v>
      </c>
      <c r="H158" s="5">
        <f>IF($B157&lt;=Tabla5[[#This Row],[INVERSIONES FCI]],+Tabla5[[#This Row],[INVERSIONES FCI]]-H157,Tabla5[[#This Row],[INVERSIONES FCI]])</f>
        <v>13564787207.915012</v>
      </c>
      <c r="I158" s="5">
        <f>IF($B157&lt;=Tabla5[[#This Row],[INVERSIONES FCI]],+Tabla5[[#This Row],[INVERSIONES FCI]]-I157,Tabla5[[#This Row],[INVERSIONES FCI]])</f>
        <v>13564787207.915012</v>
      </c>
      <c r="J158" s="5">
        <f>IF($B157&lt;=Tabla5[[#This Row],[INVERSIONES FCI]],+Tabla5[[#This Row],[INVERSIONES FCI]]-J157,Tabla5[[#This Row],[INVERSIONES FCI]])</f>
        <v>13564787207.915012</v>
      </c>
      <c r="K158" s="5">
        <f>IF($B157&lt;=Tabla5[[#This Row],[INVERSIONES FCI]],+Tabla5[[#This Row],[INVERSIONES FCI]]-K157,Tabla5[[#This Row],[INVERSIONES FCI]])</f>
        <v>13564787207.915012</v>
      </c>
      <c r="L158" s="5">
        <f>IF($B157&lt;=Tabla5[[#This Row],[INVERSIONES FCI]],+Tabla5[[#This Row],[INVERSIONES FCI]]-L157,Tabla5[[#This Row],[INVERSIONES FCI]])</f>
        <v>13564787207.915012</v>
      </c>
      <c r="M158" s="5">
        <f>IF($B157&lt;=Tabla5[[#This Row],[INVERSIONES FCI]],+Tabla5[[#This Row],[INVERSIONES FCI]]-M157,Tabla5[[#This Row],[INVERSIONES FCI]])</f>
        <v>13564787207.915012</v>
      </c>
      <c r="N158" s="5">
        <f>IF($B157&lt;=Tabla5[[#This Row],[INVERSIONES FCI]],+Tabla5[[#This Row],[INVERSIONES FCI]]-N157,Tabla5[[#This Row],[INVERSIONES FCI]])</f>
        <v>13564787207.915012</v>
      </c>
      <c r="O158" s="5">
        <f>IF($B157&lt;=Tabla5[[#This Row],[INVERSIONES FCI]],+Tabla5[[#This Row],[INVERSIONES FCI]]-O157,Tabla5[[#This Row],[INVERSIONES FCI]])</f>
        <v>13564787207.915012</v>
      </c>
      <c r="P158" s="5">
        <f>IF($B157&lt;=Tabla5[[#This Row],[INVERSIONES FCI]],+Tabla5[[#This Row],[INVERSIONES FCI]]-P157,Tabla5[[#This Row],[INVERSIONES FCI]])</f>
        <v>13564787207.915012</v>
      </c>
      <c r="Q158" s="5">
        <f>IF($B157&lt;=Tabla5[[#This Row],[INVERSIONES FCI]],+Tabla5[[#This Row],[INVERSIONES FCI]]-Q157,Tabla5[[#This Row],[INVERSIONES FCI]])</f>
        <v>13564787207.915012</v>
      </c>
      <c r="R158" s="5">
        <f>IF($B157&lt;=Tabla5[[#This Row],[INVERSIONES FCI]],+Tabla5[[#This Row],[INVERSIONES FCI]]-R157,Tabla5[[#This Row],[INVERSIONES FCI]])</f>
        <v>13564787207.915012</v>
      </c>
      <c r="S158" s="5">
        <f>IF($B157&lt;=Tabla5[[#This Row],[INVERSIONES FCI]],+Tabla5[[#This Row],[INVERSIONES FCI]]-S157,Tabla5[[#This Row],[INVERSIONES FCI]])</f>
        <v>13564787207.915012</v>
      </c>
      <c r="T158" s="5">
        <f>IF($B157&lt;=Tabla5[[#This Row],[INVERSIONES FCI]],+Tabla5[[#This Row],[INVERSIONES FCI]]-T157,Tabla5[[#This Row],[INVERSIONES FCI]])</f>
        <v>13564787207.915012</v>
      </c>
      <c r="U158" s="5">
        <f>IF($B157&lt;=Tabla5[[#This Row],[INVERSIONES FCI]],+Tabla5[[#This Row],[INVERSIONES FCI]]-U157,Tabla5[[#This Row],[INVERSIONES FCI]])</f>
        <v>13564787207.915012</v>
      </c>
      <c r="V158" s="5">
        <f>IF($B157&lt;=Tabla5[[#This Row],[INVERSIONES FCI]],+Tabla5[[#This Row],[INVERSIONES FCI]]-V157,Tabla5[[#This Row],[INVERSIONES FCI]])</f>
        <v>13564787207.915012</v>
      </c>
      <c r="W158" s="5">
        <f>IF($B157&lt;=Tabla5[[#This Row],[INVERSIONES FCI]],+Tabla5[[#This Row],[INVERSIONES FCI]]-W157,Tabla5[[#This Row],[INVERSIONES FCI]])</f>
        <v>13564787207.915012</v>
      </c>
      <c r="X158" s="5">
        <f>IF($B157&lt;=Tabla5[[#This Row],[INVERSIONES FCI]],+Tabla5[[#This Row],[INVERSIONES FCI]]-X157,Tabla5[[#This Row],[INVERSIONES FCI]])</f>
        <v>13564787207.915012</v>
      </c>
      <c r="Y158" s="5">
        <f>IF($B157&lt;=Tabla5[[#This Row],[INVERSIONES FCI]],+Tabla5[[#This Row],[INVERSIONES FCI]]-Y157,Tabla5[[#This Row],[INVERSIONES FCI]])</f>
        <v>13564787207.915012</v>
      </c>
      <c r="Z158" s="5">
        <f>IF($B157&lt;=Tabla5[[#This Row],[INVERSIONES FCI]],+Tabla5[[#This Row],[INVERSIONES FCI]]-Z157,Tabla5[[#This Row],[INVERSIONES FCI]])</f>
        <v>13564787207.915012</v>
      </c>
      <c r="AA158" s="5">
        <f>IF($B157&lt;=Tabla5[[#This Row],[INVERSIONES FCI]],+Tabla5[[#This Row],[INVERSIONES FCI]]-AA157,Tabla5[[#This Row],[INVERSIONES FCI]])</f>
        <v>13564787207.915012</v>
      </c>
      <c r="AB158" s="5">
        <f>IF($B157&lt;=Tabla5[[#This Row],[INVERSIONES FCI]],+Tabla5[[#This Row],[INVERSIONES FCI]]-AB157,Tabla5[[#This Row],[INVERSIONES FCI]])</f>
        <v>13564787207.915012</v>
      </c>
      <c r="AC158" s="5">
        <f>IF($B157&lt;=Tabla5[[#This Row],[INVERSIONES FCI]],+Tabla5[[#This Row],[INVERSIONES FCI]]-AC157,Tabla5[[#This Row],[INVERSIONES FCI]])</f>
        <v>13564787207.915012</v>
      </c>
      <c r="AD158" s="5">
        <f>IF($B157&lt;=Tabla5[[#This Row],[INVERSIONES FCI]],+Tabla5[[#This Row],[INVERSIONES FCI]]-AD157,Tabla5[[#This Row],[INVERSIONES FCI]])</f>
        <v>13564787207.915012</v>
      </c>
      <c r="AE158" s="5">
        <f>IF($B157&lt;=Tabla5[[#This Row],[INVERSIONES FCI]],+Tabla5[[#This Row],[INVERSIONES FCI]]-AE157,Tabla5[[#This Row],[INVERSIONES FCI]])</f>
        <v>13564787207.915012</v>
      </c>
      <c r="AF158" s="5">
        <f>IF($B157&lt;=Tabla5[[#This Row],[INVERSIONES FCI]],+Tabla5[[#This Row],[INVERSIONES FCI]]-AF157,Tabla5[[#This Row],[INVERSIONES FCI]])</f>
        <v>13564787207.915012</v>
      </c>
      <c r="AG158" s="5">
        <f>IF($B157&lt;=Tabla5[[#This Row],[INVERSIONES FCI]],+Tabla5[[#This Row],[INVERSIONES FCI]]-AG157,Tabla5[[#This Row],[INVERSIONES FCI]])</f>
        <v>13564787207.915012</v>
      </c>
      <c r="AH158" s="5">
        <f>IF($B157&lt;=Tabla5[[#This Row],[INVERSIONES FCI]],+Tabla5[[#This Row],[INVERSIONES FCI]]-AH157,Tabla5[[#This Row],[INVERSIONES FCI]])</f>
        <v>13564787207.915012</v>
      </c>
      <c r="AI158" s="5">
        <f>IF($B157&lt;=Tabla5[[#This Row],[INVERSIONES FCI]],+Tabla5[[#This Row],[INVERSIONES FCI]]-AI157,Tabla5[[#This Row],[INVERSIONES FCI]])</f>
        <v>13564787207.915012</v>
      </c>
      <c r="AJ158" s="5">
        <f>IF($B157&lt;=Tabla5[[#This Row],[INVERSIONES FCI]],+Tabla5[[#This Row],[INVERSIONES FCI]]-AJ157,Tabla5[[#This Row],[INVERSIONES FCI]])</f>
        <v>13564787207.915012</v>
      </c>
      <c r="AK158" s="5">
        <f>IF($B157&lt;=Tabla5[[#This Row],[INVERSIONES FCI]],+Tabla5[[#This Row],[INVERSIONES FCI]]-AK157,Tabla5[[#This Row],[INVERSIONES FCI]])</f>
        <v>13564787207.915012</v>
      </c>
      <c r="AL158" s="5">
        <f>IF($B157&lt;=Tabla5[[#This Row],[INVERSIONES FCI]],+Tabla5[[#This Row],[INVERSIONES FCI]]-AL157,Tabla5[[#This Row],[INVERSIONES FCI]])</f>
        <v>13564787207.915012</v>
      </c>
      <c r="AM158" s="5">
        <f>IF($B157&lt;=Tabla5[[#This Row],[INVERSIONES FCI]],+Tabla5[[#This Row],[INVERSIONES FCI]]-AM157,Tabla5[[#This Row],[INVERSIONES FCI]])</f>
        <v>13564787207.915012</v>
      </c>
      <c r="AN158" s="5">
        <f>IF($B157&lt;=Tabla5[[#This Row],[INVERSIONES FCI]],+Tabla5[[#This Row],[INVERSIONES FCI]]-AN157,Tabla5[[#This Row],[INVERSIONES FCI]])</f>
        <v>13564787207.915012</v>
      </c>
      <c r="AO158" s="5">
        <f>IF($B157&lt;=Tabla5[[#This Row],[INVERSIONES FCI]],+Tabla5[[#This Row],[INVERSIONES FCI]]-AO157,Tabla5[[#This Row],[INVERSIONES FCI]])</f>
        <v>13564787207.915012</v>
      </c>
      <c r="AP158" s="5">
        <f>IF($B157&lt;=Tabla5[[#This Row],[INVERSIONES FCI]],+Tabla5[[#This Row],[INVERSIONES FCI]]-AP157,Tabla5[[#This Row],[INVERSIONES FCI]])</f>
        <v>13564787207.915012</v>
      </c>
      <c r="AQ158" s="5">
        <f>IF($B157&lt;=Tabla5[[#This Row],[INVERSIONES FCI]],+Tabla5[[#This Row],[INVERSIONES FCI]]-AQ157,Tabla5[[#This Row],[INVERSIONES FCI]])</f>
        <v>13564787207.915012</v>
      </c>
      <c r="AR158" s="5">
        <f>IF($B157&lt;=Tabla5[[#This Row],[INVERSIONES FCI]],+Tabla5[[#This Row],[INVERSIONES FCI]]-AR157,Tabla5[[#This Row],[INVERSIONES FCI]])</f>
        <v>13564787207.915012</v>
      </c>
      <c r="AS158" s="5">
        <f>IF($B157&lt;=Tabla5[[#This Row],[INVERSIONES FCI]],+Tabla5[[#This Row],[INVERSIONES FCI]]-AS157,Tabla5[[#This Row],[INVERSIONES FCI]])</f>
        <v>13564787207.915012</v>
      </c>
      <c r="AT158" s="5">
        <f>IF($B157&lt;=Tabla5[[#This Row],[INVERSIONES FCI]],+Tabla5[[#This Row],[INVERSIONES FCI]]-AT157,Tabla5[[#This Row],[INVERSIONES FCI]])</f>
        <v>13564787207.915012</v>
      </c>
      <c r="AU158" s="5">
        <f>IF($B157&lt;=Tabla5[[#This Row],[INVERSIONES FCI]],+Tabla5[[#This Row],[INVERSIONES FCI]]-AU157,Tabla5[[#This Row],[INVERSIONES FCI]])</f>
        <v>13564787207.915012</v>
      </c>
      <c r="AV158" s="5">
        <f>IF($B157&lt;=Tabla5[[#This Row],[INVERSIONES FCI]],+Tabla5[[#This Row],[INVERSIONES FCI]]-AV157,Tabla5[[#This Row],[INVERSIONES FCI]])</f>
        <v>13564787207.915012</v>
      </c>
      <c r="AW158" s="5">
        <f>IF($B157&lt;=Tabla5[[#This Row],[INVERSIONES FCI]],+Tabla5[[#This Row],[INVERSIONES FCI]]-AW157,Tabla5[[#This Row],[INVERSIONES FCI]])</f>
        <v>13564787207.915012</v>
      </c>
      <c r="AX158" s="5">
        <f>IF($B157&lt;=Tabla5[[#This Row],[INVERSIONES FCI]],+Tabla5[[#This Row],[INVERSIONES FCI]]-AX157,Tabla5[[#This Row],[INVERSIONES FCI]])</f>
        <v>13564787207.915012</v>
      </c>
      <c r="AY158" s="5">
        <f>IF($B157&lt;=Tabla5[[#This Row],[INVERSIONES FCI]],+Tabla5[[#This Row],[INVERSIONES FCI]]-AY157,Tabla5[[#This Row],[INVERSIONES FCI]])</f>
        <v>13564787207.915012</v>
      </c>
      <c r="AZ158" s="5">
        <f>IF($B157&lt;=Tabla5[[#This Row],[INVERSIONES FCI]],+Tabla5[[#This Row],[INVERSIONES FCI]]-AZ157,Tabla5[[#This Row],[INVERSIONES FCI]])</f>
        <v>13564787207.915012</v>
      </c>
      <c r="BA158" s="5">
        <f>IF($B157&lt;=Tabla5[[#This Row],[INVERSIONES FCI]],+Tabla5[[#This Row],[INVERSIONES FCI]]-BA157,Tabla5[[#This Row],[INVERSIONES FCI]])</f>
        <v>13564787207.915012</v>
      </c>
      <c r="BB158" s="5">
        <f>IF($B157&lt;=Tabla5[[#This Row],[INVERSIONES FCI]],+Tabla5[[#This Row],[INVERSIONES FCI]]-BB157,Tabla5[[#This Row],[INVERSIONES FCI]])</f>
        <v>13564787207.915012</v>
      </c>
      <c r="BC158" s="5">
        <f>IF($B157&lt;=Tabla5[[#This Row],[INVERSIONES FCI]],+Tabla5[[#This Row],[INVERSIONES FCI]]-BC157,Tabla5[[#This Row],[INVERSIONES FCI]])</f>
        <v>13564787207.915012</v>
      </c>
      <c r="BD158" s="5">
        <f>IF($B157&lt;=Tabla5[[#This Row],[INVERSIONES FCI]],+Tabla5[[#This Row],[INVERSIONES FCI]]-BD157,Tabla5[[#This Row],[INVERSIONES FCI]])</f>
        <v>13564787207.915012</v>
      </c>
      <c r="BE158" s="5">
        <f>IF($B157&lt;=Tabla5[[#This Row],[INVERSIONES FCI]],+Tabla5[[#This Row],[INVERSIONES FCI]]-BE157,Tabla5[[#This Row],[INVERSIONES FCI]])</f>
        <v>13564787207.915012</v>
      </c>
      <c r="BF158" s="5">
        <f>IF($B157&lt;=Tabla5[[#This Row],[INVERSIONES FCI]],+Tabla5[[#This Row],[INVERSIONES FCI]]-BF157,Tabla5[[#This Row],[INVERSIONES FCI]])</f>
        <v>13564787207.915012</v>
      </c>
      <c r="BG158" s="5">
        <f>IF($B157&lt;=Tabla5[[#This Row],[INVERSIONES FCI]],+Tabla5[[#This Row],[INVERSIONES FCI]]-BG157,Tabla5[[#This Row],[INVERSIONES FCI]])</f>
        <v>13564787207.915012</v>
      </c>
      <c r="BH158" s="5">
        <f>IF($B157&lt;=Tabla5[[#This Row],[INVERSIONES FCI]],+Tabla5[[#This Row],[INVERSIONES FCI]]-BH157,Tabla5[[#This Row],[INVERSIONES FCI]])</f>
        <v>13564787207.915012</v>
      </c>
      <c r="BI158" s="5">
        <f>IF($B157&lt;=Tabla5[[#This Row],[INVERSIONES FCI]],+Tabla5[[#This Row],[INVERSIONES FCI]]-BI157,Tabla5[[#This Row],[INVERSIONES FCI]])</f>
        <v>13564787207.915012</v>
      </c>
      <c r="BJ158" s="5">
        <f>IF($B157&lt;=Tabla5[[#This Row],[INVERSIONES FCI]],+Tabla5[[#This Row],[INVERSIONES FCI]]-BJ157,Tabla5[[#This Row],[INVERSIONES FCI]])</f>
        <v>13564787207.915012</v>
      </c>
      <c r="BK158" s="5">
        <f>IF($B157&lt;=Tabla5[[#This Row],[INVERSIONES FCI]],+Tabla5[[#This Row],[INVERSIONES FCI]]-BK157,Tabla5[[#This Row],[INVERSIONES FCI]])</f>
        <v>13564787207.915012</v>
      </c>
      <c r="BL158" s="5">
        <f>IF($B157&lt;=Tabla5[[#This Row],[INVERSIONES FCI]],+Tabla5[[#This Row],[INVERSIONES FCI]]-BL157,Tabla5[[#This Row],[INVERSIONES FCI]])</f>
        <v>13564787207.915012</v>
      </c>
      <c r="BM158" s="5">
        <f>IF($B157&lt;=Tabla5[[#This Row],[INVERSIONES FCI]],+Tabla5[[#This Row],[INVERSIONES FCI]]-BM157,Tabla5[[#This Row],[INVERSIONES FCI]])</f>
        <v>13564787207.915012</v>
      </c>
      <c r="BN158" s="5">
        <f>IF($B157&lt;=Tabla5[[#This Row],[INVERSIONES FCI]],+Tabla5[[#This Row],[INVERSIONES FCI]]-BN157,Tabla5[[#This Row],[INVERSIONES FCI]])</f>
        <v>13564787207.915012</v>
      </c>
      <c r="BO158" s="5">
        <f>IF($B157&lt;=Tabla5[[#This Row],[INVERSIONES FCI]],+Tabla5[[#This Row],[INVERSIONES FCI]]-BO157,Tabla5[[#This Row],[INVERSIONES FCI]])</f>
        <v>13564787207.915012</v>
      </c>
      <c r="BP158" s="5">
        <f>IF($B157&lt;=Tabla5[[#This Row],[INVERSIONES FCI]],+Tabla5[[#This Row],[INVERSIONES FCI]]-BP157,Tabla5[[#This Row],[INVERSIONES FCI]])</f>
        <v>13564787207.915012</v>
      </c>
      <c r="BQ158" s="5">
        <f>IF($B157&lt;=Tabla5[[#This Row],[INVERSIONES FCI]],+Tabla5[[#This Row],[INVERSIONES FCI]]-BQ157,Tabla5[[#This Row],[INVERSIONES FCI]])</f>
        <v>13564787207.915012</v>
      </c>
      <c r="BR158" s="5">
        <f>IF($B157&lt;=Tabla5[[#This Row],[INVERSIONES FCI]],+Tabla5[[#This Row],[INVERSIONES FCI]]-BR157,Tabla5[[#This Row],[INVERSIONES FCI]])</f>
        <v>13564787207.915012</v>
      </c>
      <c r="BS158" s="5">
        <f>IF($B157&lt;=Tabla5[[#This Row],[INVERSIONES FCI]],+Tabla5[[#This Row],[INVERSIONES FCI]]-BS157,Tabla5[[#This Row],[INVERSIONES FCI]])</f>
        <v>13564787207.915012</v>
      </c>
      <c r="BT158" s="5">
        <f>IF($B157&lt;=Tabla5[[#This Row],[INVERSIONES FCI]],+Tabla5[[#This Row],[INVERSIONES FCI]]-BT157,Tabla5[[#This Row],[INVERSIONES FCI]])</f>
        <v>13564787207.915012</v>
      </c>
      <c r="BU158" s="5">
        <f>IF($B157&lt;=Tabla5[[#This Row],[INVERSIONES FCI]],+Tabla5[[#This Row],[INVERSIONES FCI]]-BU157,Tabla5[[#This Row],[INVERSIONES FCI]])</f>
        <v>13564787207.915012</v>
      </c>
      <c r="BV158" s="5">
        <f>IF($B157&lt;=Tabla5[[#This Row],[INVERSIONES FCI]],+Tabla5[[#This Row],[INVERSIONES FCI]]-BV157,Tabla5[[#This Row],[INVERSIONES FCI]])</f>
        <v>13564787207.915012</v>
      </c>
      <c r="BW158" s="5">
        <f>IF($B157&lt;=Tabla5[[#This Row],[INVERSIONES FCI]],+Tabla5[[#This Row],[INVERSIONES FCI]]-BW157,Tabla5[[#This Row],[INVERSIONES FCI]])</f>
        <v>13564787207.915012</v>
      </c>
      <c r="BX158" s="5">
        <f>IF($B157&lt;=Tabla5[[#This Row],[INVERSIONES FCI]],+Tabla5[[#This Row],[INVERSIONES FCI]]-BX157,Tabla5[[#This Row],[INVERSIONES FCI]])</f>
        <v>13564787207.915012</v>
      </c>
      <c r="BY158" s="5">
        <f>IF($B157&lt;=Tabla5[[#This Row],[INVERSIONES FCI]],+Tabla5[[#This Row],[INVERSIONES FCI]]-BY157,Tabla5[[#This Row],[INVERSIONES FCI]])</f>
        <v>13564787207.915012</v>
      </c>
      <c r="BZ158" s="5">
        <f>IF($B157&lt;=Tabla5[[#This Row],[INVERSIONES FCI]],+Tabla5[[#This Row],[INVERSIONES FCI]]-BZ157,Tabla5[[#This Row],[INVERSIONES FCI]])</f>
        <v>13564787207.915012</v>
      </c>
      <c r="CA158" s="5">
        <f>IF($B157&lt;=Tabla5[[#This Row],[INVERSIONES FCI]],+Tabla5[[#This Row],[INVERSIONES FCI]]-CA157,Tabla5[[#This Row],[INVERSIONES FCI]])</f>
        <v>13564787207.915012</v>
      </c>
      <c r="CB158" s="5">
        <f>IF($B157&lt;=Tabla5[[#This Row],[INVERSIONES FCI]],+Tabla5[[#This Row],[INVERSIONES FCI]]-CB157,Tabla5[[#This Row],[INVERSIONES FCI]])</f>
        <v>13564787207.915012</v>
      </c>
      <c r="CC158" s="5">
        <f>IF($B157&lt;=Tabla5[[#This Row],[INVERSIONES FCI]],+Tabla5[[#This Row],[INVERSIONES FCI]]-CC157,Tabla5[[#This Row],[INVERSIONES FCI]])</f>
        <v>13564787207.915012</v>
      </c>
      <c r="CD158" s="5">
        <f>IF($B157&lt;=Tabla5[[#This Row],[INVERSIONES FCI]],+Tabla5[[#This Row],[INVERSIONES FCI]]-CD157,Tabla5[[#This Row],[INVERSIONES FCI]])</f>
        <v>13564787207.915012</v>
      </c>
      <c r="CE158" s="5">
        <f>IF($B157&lt;=Tabla5[[#This Row],[INVERSIONES FCI]],+Tabla5[[#This Row],[INVERSIONES FCI]]-CE157,Tabla5[[#This Row],[INVERSIONES FCI]])</f>
        <v>13564787207.915012</v>
      </c>
      <c r="CF158" s="5">
        <f>IF($B157&lt;=Tabla5[[#This Row],[INVERSIONES FCI]],+Tabla5[[#This Row],[INVERSIONES FCI]]-CF157,Tabla5[[#This Row],[INVERSIONES FCI]])</f>
        <v>13564787207.915012</v>
      </c>
      <c r="CG158" s="5">
        <f>IF($B157&lt;=Tabla5[[#This Row],[INVERSIONES FCI]],+Tabla5[[#This Row],[INVERSIONES FCI]]-CG157,Tabla5[[#This Row],[INVERSIONES FCI]])</f>
        <v>13564787207.915012</v>
      </c>
      <c r="CH158" s="5">
        <f>IF($B157&lt;=Tabla5[[#This Row],[INVERSIONES FCI]],+Tabla5[[#This Row],[INVERSIONES FCI]]-CH157,Tabla5[[#This Row],[INVERSIONES FCI]])</f>
        <v>13564787207.915012</v>
      </c>
      <c r="CI158" s="5">
        <f>IF($B157&lt;=Tabla5[[#This Row],[INVERSIONES FCI]],+Tabla5[[#This Row],[INVERSIONES FCI]]-CI157,Tabla5[[#This Row],[INVERSIONES FCI]])</f>
        <v>13564787207.915012</v>
      </c>
      <c r="CJ158" s="5">
        <f>IF($B157&lt;=Tabla5[[#This Row],[INVERSIONES FCI]],+Tabla5[[#This Row],[INVERSIONES FCI]]-CJ157,Tabla5[[#This Row],[INVERSIONES FCI]])</f>
        <v>13564787207.915012</v>
      </c>
      <c r="CK158" s="5">
        <f>IF($B157&lt;=Tabla5[[#This Row],[INVERSIONES FCI]],+Tabla5[[#This Row],[INVERSIONES FCI]]-CK157,Tabla5[[#This Row],[INVERSIONES FCI]])</f>
        <v>13564787207.915012</v>
      </c>
      <c r="CL158" s="5">
        <f>IF($B157&lt;=Tabla5[[#This Row],[INVERSIONES FCI]],+Tabla5[[#This Row],[INVERSIONES FCI]]-CL157,Tabla5[[#This Row],[INVERSIONES FCI]])</f>
        <v>13564787207.915012</v>
      </c>
      <c r="CM158" s="5">
        <f>IF($B157&lt;=Tabla5[[#This Row],[INVERSIONES FCI]],+Tabla5[[#This Row],[INVERSIONES FCI]]-CM157,Tabla5[[#This Row],[INVERSIONES FCI]])</f>
        <v>13564787207.915012</v>
      </c>
      <c r="CN158" s="5">
        <f>IF($B157&lt;=Tabla5[[#This Row],[INVERSIONES FCI]],+Tabla5[[#This Row],[INVERSIONES FCI]]-CN157,Tabla5[[#This Row],[INVERSIONES FCI]])</f>
        <v>13564787207.915012</v>
      </c>
      <c r="CO158" s="5">
        <f>IF($B157&lt;=Tabla5[[#This Row],[INVERSIONES FCI]],+Tabla5[[#This Row],[INVERSIONES FCI]]-CO157,Tabla5[[#This Row],[INVERSIONES FCI]])</f>
        <v>13564787207.915012</v>
      </c>
      <c r="CP158" s="5">
        <f>IF($B157&lt;=Tabla5[[#This Row],[INVERSIONES FCI]],+Tabla5[[#This Row],[INVERSIONES FCI]]-CP157,Tabla5[[#This Row],[INVERSIONES FCI]])</f>
        <v>13564787207.915012</v>
      </c>
      <c r="CQ158" s="5">
        <f>IF($B157&lt;=Tabla5[[#This Row],[INVERSIONES FCI]],+Tabla5[[#This Row],[INVERSIONES FCI]]-CQ157,Tabla5[[#This Row],[INVERSIONES FCI]])</f>
        <v>13564787207.915012</v>
      </c>
      <c r="CR158" s="5">
        <f>IF($B157&lt;=Tabla5[[#This Row],[INVERSIONES FCI]],+Tabla5[[#This Row],[INVERSIONES FCI]]-CR157,Tabla5[[#This Row],[INVERSIONES FCI]])</f>
        <v>13564787207.915012</v>
      </c>
      <c r="CS158" s="5">
        <f>IF($B157&lt;=Tabla5[[#This Row],[INVERSIONES FCI]],+Tabla5[[#This Row],[INVERSIONES FCI]]-CS157,Tabla5[[#This Row],[INVERSIONES FCI]])</f>
        <v>13564787207.915012</v>
      </c>
      <c r="CT158" s="5">
        <f>IF($B157&lt;=Tabla5[[#This Row],[INVERSIONES FCI]],+Tabla5[[#This Row],[INVERSIONES FCI]]-CT157,Tabla5[[#This Row],[INVERSIONES FCI]])</f>
        <v>13564787207.915012</v>
      </c>
      <c r="CU158" s="5">
        <f>IF($B157&lt;=Tabla5[[#This Row],[INVERSIONES FCI]],+Tabla5[[#This Row],[INVERSIONES FCI]]-CU157,Tabla5[[#This Row],[INVERSIONES FCI]])</f>
        <v>13564787207.915012</v>
      </c>
      <c r="CV158" s="5">
        <f>IF($B157&lt;=Tabla5[[#This Row],[INVERSIONES FCI]],+Tabla5[[#This Row],[INVERSIONES FCI]]-CV157,Tabla5[[#This Row],[INVERSIONES FCI]])</f>
        <v>13564787207.915012</v>
      </c>
      <c r="CW158" s="5">
        <f>IF($B157&lt;=Tabla5[[#This Row],[INVERSIONES FCI]],+Tabla5[[#This Row],[INVERSIONES FCI]]-CW157,Tabla5[[#This Row],[INVERSIONES FCI]])</f>
        <v>13564787207.915012</v>
      </c>
      <c r="CX158" s="5">
        <f>IF($B157&lt;=Tabla5[[#This Row],[INVERSIONES FCI]],+Tabla5[[#This Row],[INVERSIONES FCI]]-CX157,Tabla5[[#This Row],[INVERSIONES FCI]])</f>
        <v>13564787207.915012</v>
      </c>
      <c r="CY158" s="5">
        <f>IF($B157&lt;=Tabla5[[#This Row],[INVERSIONES FCI]],+Tabla5[[#This Row],[INVERSIONES FCI]]-CY157,Tabla5[[#This Row],[INVERSIONES FCI]])</f>
        <v>13564787207.915012</v>
      </c>
      <c r="CZ158" s="5">
        <f>IF($B157&lt;=Tabla5[[#This Row],[INVERSIONES FCI]],+Tabla5[[#This Row],[INVERSIONES FCI]]-CZ157,Tabla5[[#This Row],[INVERSIONES FCI]])</f>
        <v>13564787207.915012</v>
      </c>
      <c r="DA158" s="5">
        <f>IF($B157&lt;=Tabla5[[#This Row],[INVERSIONES FCI]],+Tabla5[[#This Row],[INVERSIONES FCI]]-DA157,Tabla5[[#This Row],[INVERSIONES FCI]])</f>
        <v>13564787207.915012</v>
      </c>
      <c r="DB158" s="5">
        <f>IF($B157&lt;=Tabla5[[#This Row],[INVERSIONES FCI]],+Tabla5[[#This Row],[INVERSIONES FCI]]-DB157,Tabla5[[#This Row],[INVERSIONES FCI]])</f>
        <v>13564787207.915012</v>
      </c>
      <c r="DC158" s="5">
        <f>IF($B157&lt;=Tabla5[[#This Row],[INVERSIONES FCI]],+Tabla5[[#This Row],[INVERSIONES FCI]]-DC157,Tabla5[[#This Row],[INVERSIONES FCI]])</f>
        <v>13564787207.915012</v>
      </c>
      <c r="DD158" s="5">
        <f>IF($B157&lt;=Tabla5[[#This Row],[INVERSIONES FCI]],+Tabla5[[#This Row],[INVERSIONES FCI]]-DD157,Tabla5[[#This Row],[INVERSIONES FCI]])</f>
        <v>13564787207.915012</v>
      </c>
      <c r="DE158" s="5">
        <f>IF($B157&lt;=Tabla5[[#This Row],[INVERSIONES FCI]],+Tabla5[[#This Row],[INVERSIONES FCI]]-DE157,Tabla5[[#This Row],[INVERSIONES FCI]])</f>
        <v>13564787207.915012</v>
      </c>
      <c r="DF158" s="5">
        <f>IF($B157&lt;=Tabla5[[#This Row],[INVERSIONES FCI]],+Tabla5[[#This Row],[INVERSIONES FCI]]-DF157,Tabla5[[#This Row],[INVERSIONES FCI]])</f>
        <v>13564787207.915012</v>
      </c>
      <c r="DG158" s="5">
        <f>IF($B157&lt;=Tabla5[[#This Row],[INVERSIONES FCI]],+Tabla5[[#This Row],[INVERSIONES FCI]]-DG157,Tabla5[[#This Row],[INVERSIONES FCI]])</f>
        <v>13564787207.915012</v>
      </c>
      <c r="DH158" s="5">
        <f>IF($B157&lt;=Tabla5[[#This Row],[INVERSIONES FCI]],+Tabla5[[#This Row],[INVERSIONES FCI]]-DH157,Tabla5[[#This Row],[INVERSIONES FCI]])</f>
        <v>13564787207.915012</v>
      </c>
      <c r="DI158" s="5">
        <f>IF($B157&lt;=Tabla5[[#This Row],[INVERSIONES FCI]],+Tabla5[[#This Row],[INVERSIONES FCI]]-DI157,Tabla5[[#This Row],[INVERSIONES FCI]])</f>
        <v>13564787207.915012</v>
      </c>
      <c r="DJ158" s="5">
        <f>IF($B157&lt;=Tabla5[[#This Row],[INVERSIONES FCI]],+Tabla5[[#This Row],[INVERSIONES FCI]]-DJ157,Tabla5[[#This Row],[INVERSIONES FCI]])</f>
        <v>13564787207.915012</v>
      </c>
      <c r="DK158" s="5">
        <f>IF($B157&lt;=Tabla5[[#This Row],[INVERSIONES FCI]],+Tabla5[[#This Row],[INVERSIONES FCI]]-DK157,Tabla5[[#This Row],[INVERSIONES FCI]])</f>
        <v>13564787207.915012</v>
      </c>
      <c r="DL158" s="5"/>
      <c r="DM158" s="5"/>
      <c r="DN158" s="5"/>
      <c r="DO158" s="5"/>
      <c r="DP158" s="5"/>
      <c r="DQ158" s="5"/>
    </row>
    <row r="159" spans="1:121" ht="14.4">
      <c r="A159" s="12" t="s">
        <v>158</v>
      </c>
      <c r="B159" s="5">
        <f>HLOOKUP($A159,ESCENARIO[#All],7,FALSE)</f>
        <v>14437354695.182755</v>
      </c>
      <c r="C159" s="5">
        <f>IF($B158&lt;=Tabla5[[#This Row],[INVERSIONES FCI]],+Tabla5[[#This Row],[INVERSIONES FCI]]-C158,Tabla5[[#This Row],[INVERSIONES FCI]])</f>
        <v>872567487.26774216</v>
      </c>
      <c r="D159" s="5">
        <f>IF($B158&lt;=Tabla5[[#This Row],[INVERSIONES FCI]],+Tabla5[[#This Row],[INVERSIONES FCI]]-D158,Tabla5[[#This Row],[INVERSIONES FCI]])</f>
        <v>872567487.26774216</v>
      </c>
      <c r="E159" s="5">
        <f>IF($B158&lt;=Tabla5[[#This Row],[INVERSIONES FCI]],+Tabla5[[#This Row],[INVERSIONES FCI]]-E158,Tabla5[[#This Row],[INVERSIONES FCI]])</f>
        <v>872567487.26774216</v>
      </c>
      <c r="F159" s="5">
        <f>IF($B158&lt;=Tabla5[[#This Row],[INVERSIONES FCI]],+Tabla5[[#This Row],[INVERSIONES FCI]]-F158,Tabla5[[#This Row],[INVERSIONES FCI]])</f>
        <v>872567487.26774216</v>
      </c>
      <c r="G159" s="5">
        <f>IF($B158&lt;=Tabla5[[#This Row],[INVERSIONES FCI]],+Tabla5[[#This Row],[INVERSIONES FCI]]-G158,Tabla5[[#This Row],[INVERSIONES FCI]])</f>
        <v>872567487.26774216</v>
      </c>
      <c r="H159" s="5">
        <f>IF($B158&lt;=Tabla5[[#This Row],[INVERSIONES FCI]],+Tabla5[[#This Row],[INVERSIONES FCI]]-H158,Tabla5[[#This Row],[INVERSIONES FCI]])</f>
        <v>872567487.26774216</v>
      </c>
      <c r="I159" s="5">
        <f>IF($B158&lt;=Tabla5[[#This Row],[INVERSIONES FCI]],+Tabla5[[#This Row],[INVERSIONES FCI]]-I158,Tabla5[[#This Row],[INVERSIONES FCI]])</f>
        <v>872567487.26774216</v>
      </c>
      <c r="J159" s="5">
        <f>IF($B158&lt;=Tabla5[[#This Row],[INVERSIONES FCI]],+Tabla5[[#This Row],[INVERSIONES FCI]]-J158,Tabla5[[#This Row],[INVERSIONES FCI]])</f>
        <v>872567487.26774216</v>
      </c>
      <c r="K159" s="5">
        <f>IF($B158&lt;=Tabla5[[#This Row],[INVERSIONES FCI]],+Tabla5[[#This Row],[INVERSIONES FCI]]-K158,Tabla5[[#This Row],[INVERSIONES FCI]])</f>
        <v>872567487.26774216</v>
      </c>
      <c r="L159" s="5">
        <f>IF($B158&lt;=Tabla5[[#This Row],[INVERSIONES FCI]],+Tabla5[[#This Row],[INVERSIONES FCI]]-L158,Tabla5[[#This Row],[INVERSIONES FCI]])</f>
        <v>872567487.26774216</v>
      </c>
      <c r="M159" s="5">
        <f>IF($B158&lt;=Tabla5[[#This Row],[INVERSIONES FCI]],+Tabla5[[#This Row],[INVERSIONES FCI]]-M158,Tabla5[[#This Row],[INVERSIONES FCI]])</f>
        <v>872567487.26774216</v>
      </c>
      <c r="N159" s="5">
        <f>IF($B158&lt;=Tabla5[[#This Row],[INVERSIONES FCI]],+Tabla5[[#This Row],[INVERSIONES FCI]]-N158,Tabla5[[#This Row],[INVERSIONES FCI]])</f>
        <v>872567487.26774216</v>
      </c>
      <c r="O159" s="5">
        <f>IF($B158&lt;=Tabla5[[#This Row],[INVERSIONES FCI]],+Tabla5[[#This Row],[INVERSIONES FCI]]-O158,Tabla5[[#This Row],[INVERSIONES FCI]])</f>
        <v>872567487.26774216</v>
      </c>
      <c r="P159" s="5">
        <f>IF($B158&lt;=Tabla5[[#This Row],[INVERSIONES FCI]],+Tabla5[[#This Row],[INVERSIONES FCI]]-P158,Tabla5[[#This Row],[INVERSIONES FCI]])</f>
        <v>872567487.26774216</v>
      </c>
      <c r="Q159" s="5">
        <f>IF($B158&lt;=Tabla5[[#This Row],[INVERSIONES FCI]],+Tabla5[[#This Row],[INVERSIONES FCI]]-Q158,Tabla5[[#This Row],[INVERSIONES FCI]])</f>
        <v>872567487.26774216</v>
      </c>
      <c r="R159" s="5">
        <f>IF($B158&lt;=Tabla5[[#This Row],[INVERSIONES FCI]],+Tabla5[[#This Row],[INVERSIONES FCI]]-R158,Tabla5[[#This Row],[INVERSIONES FCI]])</f>
        <v>872567487.26774216</v>
      </c>
      <c r="S159" s="5">
        <f>IF($B158&lt;=Tabla5[[#This Row],[INVERSIONES FCI]],+Tabla5[[#This Row],[INVERSIONES FCI]]-S158,Tabla5[[#This Row],[INVERSIONES FCI]])</f>
        <v>872567487.26774216</v>
      </c>
      <c r="T159" s="5">
        <f>IF($B158&lt;=Tabla5[[#This Row],[INVERSIONES FCI]],+Tabla5[[#This Row],[INVERSIONES FCI]]-T158,Tabla5[[#This Row],[INVERSIONES FCI]])</f>
        <v>872567487.26774216</v>
      </c>
      <c r="U159" s="5">
        <f>IF($B158&lt;=Tabla5[[#This Row],[INVERSIONES FCI]],+Tabla5[[#This Row],[INVERSIONES FCI]]-U158,Tabla5[[#This Row],[INVERSIONES FCI]])</f>
        <v>872567487.26774216</v>
      </c>
      <c r="V159" s="5">
        <f>IF($B158&lt;=Tabla5[[#This Row],[INVERSIONES FCI]],+Tabla5[[#This Row],[INVERSIONES FCI]]-V158,Tabla5[[#This Row],[INVERSIONES FCI]])</f>
        <v>872567487.26774216</v>
      </c>
      <c r="W159" s="5">
        <f>IF($B158&lt;=Tabla5[[#This Row],[INVERSIONES FCI]],+Tabla5[[#This Row],[INVERSIONES FCI]]-W158,Tabla5[[#This Row],[INVERSIONES FCI]])</f>
        <v>872567487.26774216</v>
      </c>
      <c r="X159" s="5">
        <f>IF($B158&lt;=Tabla5[[#This Row],[INVERSIONES FCI]],+Tabla5[[#This Row],[INVERSIONES FCI]]-X158,Tabla5[[#This Row],[INVERSIONES FCI]])</f>
        <v>872567487.26774216</v>
      </c>
      <c r="Y159" s="5">
        <f>IF($B158&lt;=Tabla5[[#This Row],[INVERSIONES FCI]],+Tabla5[[#This Row],[INVERSIONES FCI]]-Y158,Tabla5[[#This Row],[INVERSIONES FCI]])</f>
        <v>872567487.26774216</v>
      </c>
      <c r="Z159" s="5">
        <f>IF($B158&lt;=Tabla5[[#This Row],[INVERSIONES FCI]],+Tabla5[[#This Row],[INVERSIONES FCI]]-Z158,Tabla5[[#This Row],[INVERSIONES FCI]])</f>
        <v>872567487.26774216</v>
      </c>
      <c r="AA159" s="5">
        <f>IF($B158&lt;=Tabla5[[#This Row],[INVERSIONES FCI]],+Tabla5[[#This Row],[INVERSIONES FCI]]-AA158,Tabla5[[#This Row],[INVERSIONES FCI]])</f>
        <v>872567487.26774216</v>
      </c>
      <c r="AB159" s="5">
        <f>IF($B158&lt;=Tabla5[[#This Row],[INVERSIONES FCI]],+Tabla5[[#This Row],[INVERSIONES FCI]]-AB158,Tabla5[[#This Row],[INVERSIONES FCI]])</f>
        <v>872567487.26774216</v>
      </c>
      <c r="AC159" s="5">
        <f>IF($B158&lt;=Tabla5[[#This Row],[INVERSIONES FCI]],+Tabla5[[#This Row],[INVERSIONES FCI]]-AC158,Tabla5[[#This Row],[INVERSIONES FCI]])</f>
        <v>872567487.26774216</v>
      </c>
      <c r="AD159" s="5">
        <f>IF($B158&lt;=Tabla5[[#This Row],[INVERSIONES FCI]],+Tabla5[[#This Row],[INVERSIONES FCI]]-AD158,Tabla5[[#This Row],[INVERSIONES FCI]])</f>
        <v>872567487.26774216</v>
      </c>
      <c r="AE159" s="5">
        <f>IF($B158&lt;=Tabla5[[#This Row],[INVERSIONES FCI]],+Tabla5[[#This Row],[INVERSIONES FCI]]-AE158,Tabla5[[#This Row],[INVERSIONES FCI]])</f>
        <v>872567487.26774216</v>
      </c>
      <c r="AF159" s="5">
        <f>IF($B158&lt;=Tabla5[[#This Row],[INVERSIONES FCI]],+Tabla5[[#This Row],[INVERSIONES FCI]]-AF158,Tabla5[[#This Row],[INVERSIONES FCI]])</f>
        <v>872567487.26774216</v>
      </c>
      <c r="AG159" s="5">
        <f>IF($B158&lt;=Tabla5[[#This Row],[INVERSIONES FCI]],+Tabla5[[#This Row],[INVERSIONES FCI]]-AG158,Tabla5[[#This Row],[INVERSIONES FCI]])</f>
        <v>872567487.26774216</v>
      </c>
      <c r="AH159" s="5">
        <f>IF($B158&lt;=Tabla5[[#This Row],[INVERSIONES FCI]],+Tabla5[[#This Row],[INVERSIONES FCI]]-AH158,Tabla5[[#This Row],[INVERSIONES FCI]])</f>
        <v>872567487.26774216</v>
      </c>
      <c r="AI159" s="5">
        <f>IF($B158&lt;=Tabla5[[#This Row],[INVERSIONES FCI]],+Tabla5[[#This Row],[INVERSIONES FCI]]-AI158,Tabla5[[#This Row],[INVERSIONES FCI]])</f>
        <v>872567487.26774216</v>
      </c>
      <c r="AJ159" s="5">
        <f>IF($B158&lt;=Tabla5[[#This Row],[INVERSIONES FCI]],+Tabla5[[#This Row],[INVERSIONES FCI]]-AJ158,Tabla5[[#This Row],[INVERSIONES FCI]])</f>
        <v>872567487.26774216</v>
      </c>
      <c r="AK159" s="5">
        <f>IF($B158&lt;=Tabla5[[#This Row],[INVERSIONES FCI]],+Tabla5[[#This Row],[INVERSIONES FCI]]-AK158,Tabla5[[#This Row],[INVERSIONES FCI]])</f>
        <v>872567487.26774216</v>
      </c>
      <c r="AL159" s="5">
        <f>IF($B158&lt;=Tabla5[[#This Row],[INVERSIONES FCI]],+Tabla5[[#This Row],[INVERSIONES FCI]]-AL158,Tabla5[[#This Row],[INVERSIONES FCI]])</f>
        <v>872567487.26774216</v>
      </c>
      <c r="AM159" s="5">
        <f>IF($B158&lt;=Tabla5[[#This Row],[INVERSIONES FCI]],+Tabla5[[#This Row],[INVERSIONES FCI]]-AM158,Tabla5[[#This Row],[INVERSIONES FCI]])</f>
        <v>872567487.26774216</v>
      </c>
      <c r="AN159" s="5">
        <f>IF($B158&lt;=Tabla5[[#This Row],[INVERSIONES FCI]],+Tabla5[[#This Row],[INVERSIONES FCI]]-AN158,Tabla5[[#This Row],[INVERSIONES FCI]])</f>
        <v>872567487.26774216</v>
      </c>
      <c r="AO159" s="5">
        <f>IF($B158&lt;=Tabla5[[#This Row],[INVERSIONES FCI]],+Tabla5[[#This Row],[INVERSIONES FCI]]-AO158,Tabla5[[#This Row],[INVERSIONES FCI]])</f>
        <v>872567487.26774216</v>
      </c>
      <c r="AP159" s="5">
        <f>IF($B158&lt;=Tabla5[[#This Row],[INVERSIONES FCI]],+Tabla5[[#This Row],[INVERSIONES FCI]]-AP158,Tabla5[[#This Row],[INVERSIONES FCI]])</f>
        <v>872567487.26774216</v>
      </c>
      <c r="AQ159" s="5">
        <f>IF($B158&lt;=Tabla5[[#This Row],[INVERSIONES FCI]],+Tabla5[[#This Row],[INVERSIONES FCI]]-AQ158,Tabla5[[#This Row],[INVERSIONES FCI]])</f>
        <v>872567487.26774216</v>
      </c>
      <c r="AR159" s="5">
        <f>IF($B158&lt;=Tabla5[[#This Row],[INVERSIONES FCI]],+Tabla5[[#This Row],[INVERSIONES FCI]]-AR158,Tabla5[[#This Row],[INVERSIONES FCI]])</f>
        <v>872567487.26774216</v>
      </c>
      <c r="AS159" s="5">
        <f>IF($B158&lt;=Tabla5[[#This Row],[INVERSIONES FCI]],+Tabla5[[#This Row],[INVERSIONES FCI]]-AS158,Tabla5[[#This Row],[INVERSIONES FCI]])</f>
        <v>872567487.26774216</v>
      </c>
      <c r="AT159" s="5">
        <f>IF($B158&lt;=Tabla5[[#This Row],[INVERSIONES FCI]],+Tabla5[[#This Row],[INVERSIONES FCI]]-AT158,Tabla5[[#This Row],[INVERSIONES FCI]])</f>
        <v>872567487.26774216</v>
      </c>
      <c r="AU159" s="5">
        <f>IF($B158&lt;=Tabla5[[#This Row],[INVERSIONES FCI]],+Tabla5[[#This Row],[INVERSIONES FCI]]-AU158,Tabla5[[#This Row],[INVERSIONES FCI]])</f>
        <v>872567487.26774216</v>
      </c>
      <c r="AV159" s="5">
        <f>IF($B158&lt;=Tabla5[[#This Row],[INVERSIONES FCI]],+Tabla5[[#This Row],[INVERSIONES FCI]]-AV158,Tabla5[[#This Row],[INVERSIONES FCI]])</f>
        <v>872567487.26774216</v>
      </c>
      <c r="AW159" s="5">
        <f>IF($B158&lt;=Tabla5[[#This Row],[INVERSIONES FCI]],+Tabla5[[#This Row],[INVERSIONES FCI]]-AW158,Tabla5[[#This Row],[INVERSIONES FCI]])</f>
        <v>872567487.26774216</v>
      </c>
      <c r="AX159" s="5">
        <f>IF($B158&lt;=Tabla5[[#This Row],[INVERSIONES FCI]],+Tabla5[[#This Row],[INVERSIONES FCI]]-AX158,Tabla5[[#This Row],[INVERSIONES FCI]])</f>
        <v>872567487.26774216</v>
      </c>
      <c r="AY159" s="5">
        <f>IF($B158&lt;=Tabla5[[#This Row],[INVERSIONES FCI]],+Tabla5[[#This Row],[INVERSIONES FCI]]-AY158,Tabla5[[#This Row],[INVERSIONES FCI]])</f>
        <v>872567487.26774216</v>
      </c>
      <c r="AZ159" s="5">
        <f>IF($B158&lt;=Tabla5[[#This Row],[INVERSIONES FCI]],+Tabla5[[#This Row],[INVERSIONES FCI]]-AZ158,Tabla5[[#This Row],[INVERSIONES FCI]])</f>
        <v>872567487.26774216</v>
      </c>
      <c r="BA159" s="5">
        <f>IF($B158&lt;=Tabla5[[#This Row],[INVERSIONES FCI]],+Tabla5[[#This Row],[INVERSIONES FCI]]-BA158,Tabla5[[#This Row],[INVERSIONES FCI]])</f>
        <v>872567487.26774216</v>
      </c>
      <c r="BB159" s="5">
        <f>IF($B158&lt;=Tabla5[[#This Row],[INVERSIONES FCI]],+Tabla5[[#This Row],[INVERSIONES FCI]]-BB158,Tabla5[[#This Row],[INVERSIONES FCI]])</f>
        <v>872567487.26774216</v>
      </c>
      <c r="BC159" s="5">
        <f>IF($B158&lt;=Tabla5[[#This Row],[INVERSIONES FCI]],+Tabla5[[#This Row],[INVERSIONES FCI]]-BC158,Tabla5[[#This Row],[INVERSIONES FCI]])</f>
        <v>872567487.26774216</v>
      </c>
      <c r="BD159" s="5">
        <f>IF($B158&lt;=Tabla5[[#This Row],[INVERSIONES FCI]],+Tabla5[[#This Row],[INVERSIONES FCI]]-BD158,Tabla5[[#This Row],[INVERSIONES FCI]])</f>
        <v>872567487.26774216</v>
      </c>
      <c r="BE159" s="5">
        <f>IF($B158&lt;=Tabla5[[#This Row],[INVERSIONES FCI]],+Tabla5[[#This Row],[INVERSIONES FCI]]-BE158,Tabla5[[#This Row],[INVERSIONES FCI]])</f>
        <v>872567487.26774216</v>
      </c>
      <c r="BF159" s="5">
        <f>IF($B158&lt;=Tabla5[[#This Row],[INVERSIONES FCI]],+Tabla5[[#This Row],[INVERSIONES FCI]]-BF158,Tabla5[[#This Row],[INVERSIONES FCI]])</f>
        <v>872567487.26774216</v>
      </c>
      <c r="BG159" s="5">
        <f>IF($B158&lt;=Tabla5[[#This Row],[INVERSIONES FCI]],+Tabla5[[#This Row],[INVERSIONES FCI]]-BG158,Tabla5[[#This Row],[INVERSIONES FCI]])</f>
        <v>872567487.26774216</v>
      </c>
      <c r="BH159" s="5">
        <f>IF($B158&lt;=Tabla5[[#This Row],[INVERSIONES FCI]],+Tabla5[[#This Row],[INVERSIONES FCI]]-BH158,Tabla5[[#This Row],[INVERSIONES FCI]])</f>
        <v>872567487.26774216</v>
      </c>
      <c r="BI159" s="5">
        <f>IF($B158&lt;=Tabla5[[#This Row],[INVERSIONES FCI]],+Tabla5[[#This Row],[INVERSIONES FCI]]-BI158,Tabla5[[#This Row],[INVERSIONES FCI]])</f>
        <v>872567487.26774216</v>
      </c>
      <c r="BJ159" s="5">
        <f>IF($B158&lt;=Tabla5[[#This Row],[INVERSIONES FCI]],+Tabla5[[#This Row],[INVERSIONES FCI]]-BJ158,Tabla5[[#This Row],[INVERSIONES FCI]])</f>
        <v>872567487.26774216</v>
      </c>
      <c r="BK159" s="5">
        <f>IF($B158&lt;=Tabla5[[#This Row],[INVERSIONES FCI]],+Tabla5[[#This Row],[INVERSIONES FCI]]-BK158,Tabla5[[#This Row],[INVERSIONES FCI]])</f>
        <v>872567487.26774216</v>
      </c>
      <c r="BL159" s="5">
        <f>IF($B158&lt;=Tabla5[[#This Row],[INVERSIONES FCI]],+Tabla5[[#This Row],[INVERSIONES FCI]]-BL158,Tabla5[[#This Row],[INVERSIONES FCI]])</f>
        <v>872567487.26774216</v>
      </c>
      <c r="BM159" s="5">
        <f>IF($B158&lt;=Tabla5[[#This Row],[INVERSIONES FCI]],+Tabla5[[#This Row],[INVERSIONES FCI]]-BM158,Tabla5[[#This Row],[INVERSIONES FCI]])</f>
        <v>872567487.26774216</v>
      </c>
      <c r="BN159" s="5">
        <f>IF($B158&lt;=Tabla5[[#This Row],[INVERSIONES FCI]],+Tabla5[[#This Row],[INVERSIONES FCI]]-BN158,Tabla5[[#This Row],[INVERSIONES FCI]])</f>
        <v>872567487.26774216</v>
      </c>
      <c r="BO159" s="5">
        <f>IF($B158&lt;=Tabla5[[#This Row],[INVERSIONES FCI]],+Tabla5[[#This Row],[INVERSIONES FCI]]-BO158,Tabla5[[#This Row],[INVERSIONES FCI]])</f>
        <v>872567487.26774216</v>
      </c>
      <c r="BP159" s="5">
        <f>IF($B158&lt;=Tabla5[[#This Row],[INVERSIONES FCI]],+Tabla5[[#This Row],[INVERSIONES FCI]]-BP158,Tabla5[[#This Row],[INVERSIONES FCI]])</f>
        <v>872567487.26774216</v>
      </c>
      <c r="BQ159" s="5">
        <f>IF($B158&lt;=Tabla5[[#This Row],[INVERSIONES FCI]],+Tabla5[[#This Row],[INVERSIONES FCI]]-BQ158,Tabla5[[#This Row],[INVERSIONES FCI]])</f>
        <v>872567487.26774216</v>
      </c>
      <c r="BR159" s="5">
        <f>IF($B158&lt;=Tabla5[[#This Row],[INVERSIONES FCI]],+Tabla5[[#This Row],[INVERSIONES FCI]]-BR158,Tabla5[[#This Row],[INVERSIONES FCI]])</f>
        <v>872567487.26774216</v>
      </c>
      <c r="BS159" s="5">
        <f>IF($B158&lt;=Tabla5[[#This Row],[INVERSIONES FCI]],+Tabla5[[#This Row],[INVERSIONES FCI]]-BS158,Tabla5[[#This Row],[INVERSIONES FCI]])</f>
        <v>872567487.26774216</v>
      </c>
      <c r="BT159" s="5">
        <f>IF($B158&lt;=Tabla5[[#This Row],[INVERSIONES FCI]],+Tabla5[[#This Row],[INVERSIONES FCI]]-BT158,Tabla5[[#This Row],[INVERSIONES FCI]])</f>
        <v>872567487.26774216</v>
      </c>
      <c r="BU159" s="5">
        <f>IF($B158&lt;=Tabla5[[#This Row],[INVERSIONES FCI]],+Tabla5[[#This Row],[INVERSIONES FCI]]-BU158,Tabla5[[#This Row],[INVERSIONES FCI]])</f>
        <v>872567487.26774216</v>
      </c>
      <c r="BV159" s="5">
        <f>IF($B158&lt;=Tabla5[[#This Row],[INVERSIONES FCI]],+Tabla5[[#This Row],[INVERSIONES FCI]]-BV158,Tabla5[[#This Row],[INVERSIONES FCI]])</f>
        <v>872567487.26774216</v>
      </c>
      <c r="BW159" s="5">
        <f>IF($B158&lt;=Tabla5[[#This Row],[INVERSIONES FCI]],+Tabla5[[#This Row],[INVERSIONES FCI]]-BW158,Tabla5[[#This Row],[INVERSIONES FCI]])</f>
        <v>872567487.26774216</v>
      </c>
      <c r="BX159" s="5">
        <f>IF($B158&lt;=Tabla5[[#This Row],[INVERSIONES FCI]],+Tabla5[[#This Row],[INVERSIONES FCI]]-BX158,Tabla5[[#This Row],[INVERSIONES FCI]])</f>
        <v>872567487.26774216</v>
      </c>
      <c r="BY159" s="5">
        <f>IF($B158&lt;=Tabla5[[#This Row],[INVERSIONES FCI]],+Tabla5[[#This Row],[INVERSIONES FCI]]-BY158,Tabla5[[#This Row],[INVERSIONES FCI]])</f>
        <v>872567487.26774216</v>
      </c>
      <c r="BZ159" s="5">
        <f>IF($B158&lt;=Tabla5[[#This Row],[INVERSIONES FCI]],+Tabla5[[#This Row],[INVERSIONES FCI]]-BZ158,Tabla5[[#This Row],[INVERSIONES FCI]])</f>
        <v>872567487.26774216</v>
      </c>
      <c r="CA159" s="5">
        <f>IF($B158&lt;=Tabla5[[#This Row],[INVERSIONES FCI]],+Tabla5[[#This Row],[INVERSIONES FCI]]-CA158,Tabla5[[#This Row],[INVERSIONES FCI]])</f>
        <v>872567487.26774216</v>
      </c>
      <c r="CB159" s="5">
        <f>IF($B158&lt;=Tabla5[[#This Row],[INVERSIONES FCI]],+Tabla5[[#This Row],[INVERSIONES FCI]]-CB158,Tabla5[[#This Row],[INVERSIONES FCI]])</f>
        <v>872567487.26774216</v>
      </c>
      <c r="CC159" s="5">
        <f>IF($B158&lt;=Tabla5[[#This Row],[INVERSIONES FCI]],+Tabla5[[#This Row],[INVERSIONES FCI]]-CC158,Tabla5[[#This Row],[INVERSIONES FCI]])</f>
        <v>872567487.26774216</v>
      </c>
      <c r="CD159" s="5">
        <f>IF($B158&lt;=Tabla5[[#This Row],[INVERSIONES FCI]],+Tabla5[[#This Row],[INVERSIONES FCI]]-CD158,Tabla5[[#This Row],[INVERSIONES FCI]])</f>
        <v>872567487.26774216</v>
      </c>
      <c r="CE159" s="5">
        <f>IF($B158&lt;=Tabla5[[#This Row],[INVERSIONES FCI]],+Tabla5[[#This Row],[INVERSIONES FCI]]-CE158,Tabla5[[#This Row],[INVERSIONES FCI]])</f>
        <v>872567487.26774216</v>
      </c>
      <c r="CF159" s="5">
        <f>IF($B158&lt;=Tabla5[[#This Row],[INVERSIONES FCI]],+Tabla5[[#This Row],[INVERSIONES FCI]]-CF158,Tabla5[[#This Row],[INVERSIONES FCI]])</f>
        <v>872567487.26774216</v>
      </c>
      <c r="CG159" s="5">
        <f>IF($B158&lt;=Tabla5[[#This Row],[INVERSIONES FCI]],+Tabla5[[#This Row],[INVERSIONES FCI]]-CG158,Tabla5[[#This Row],[INVERSIONES FCI]])</f>
        <v>872567487.26774216</v>
      </c>
      <c r="CH159" s="5">
        <f>IF($B158&lt;=Tabla5[[#This Row],[INVERSIONES FCI]],+Tabla5[[#This Row],[INVERSIONES FCI]]-CH158,Tabla5[[#This Row],[INVERSIONES FCI]])</f>
        <v>872567487.26774216</v>
      </c>
      <c r="CI159" s="5">
        <f>IF($B158&lt;=Tabla5[[#This Row],[INVERSIONES FCI]],+Tabla5[[#This Row],[INVERSIONES FCI]]-CI158,Tabla5[[#This Row],[INVERSIONES FCI]])</f>
        <v>872567487.26774216</v>
      </c>
      <c r="CJ159" s="5">
        <f>IF($B158&lt;=Tabla5[[#This Row],[INVERSIONES FCI]],+Tabla5[[#This Row],[INVERSIONES FCI]]-CJ158,Tabla5[[#This Row],[INVERSIONES FCI]])</f>
        <v>872567487.26774216</v>
      </c>
      <c r="CK159" s="5">
        <f>IF($B158&lt;=Tabla5[[#This Row],[INVERSIONES FCI]],+Tabla5[[#This Row],[INVERSIONES FCI]]-CK158,Tabla5[[#This Row],[INVERSIONES FCI]])</f>
        <v>872567487.26774216</v>
      </c>
      <c r="CL159" s="5">
        <f>IF($B158&lt;=Tabla5[[#This Row],[INVERSIONES FCI]],+Tabla5[[#This Row],[INVERSIONES FCI]]-CL158,Tabla5[[#This Row],[INVERSIONES FCI]])</f>
        <v>872567487.26774216</v>
      </c>
      <c r="CM159" s="5">
        <f>IF($B158&lt;=Tabla5[[#This Row],[INVERSIONES FCI]],+Tabla5[[#This Row],[INVERSIONES FCI]]-CM158,Tabla5[[#This Row],[INVERSIONES FCI]])</f>
        <v>872567487.26774216</v>
      </c>
      <c r="CN159" s="5">
        <f>IF($B158&lt;=Tabla5[[#This Row],[INVERSIONES FCI]],+Tabla5[[#This Row],[INVERSIONES FCI]]-CN158,Tabla5[[#This Row],[INVERSIONES FCI]])</f>
        <v>872567487.26774216</v>
      </c>
      <c r="CO159" s="5">
        <f>IF($B158&lt;=Tabla5[[#This Row],[INVERSIONES FCI]],+Tabla5[[#This Row],[INVERSIONES FCI]]-CO158,Tabla5[[#This Row],[INVERSIONES FCI]])</f>
        <v>872567487.26774216</v>
      </c>
      <c r="CP159" s="5">
        <f>IF($B158&lt;=Tabla5[[#This Row],[INVERSIONES FCI]],+Tabla5[[#This Row],[INVERSIONES FCI]]-CP158,Tabla5[[#This Row],[INVERSIONES FCI]])</f>
        <v>872567487.26774216</v>
      </c>
      <c r="CQ159" s="5">
        <f>IF($B158&lt;=Tabla5[[#This Row],[INVERSIONES FCI]],+Tabla5[[#This Row],[INVERSIONES FCI]]-CQ158,Tabla5[[#This Row],[INVERSIONES FCI]])</f>
        <v>872567487.26774216</v>
      </c>
      <c r="CR159" s="5">
        <f>IF($B158&lt;=Tabla5[[#This Row],[INVERSIONES FCI]],+Tabla5[[#This Row],[INVERSIONES FCI]]-CR158,Tabla5[[#This Row],[INVERSIONES FCI]])</f>
        <v>872567487.26774216</v>
      </c>
      <c r="CS159" s="5">
        <f>IF($B158&lt;=Tabla5[[#This Row],[INVERSIONES FCI]],+Tabla5[[#This Row],[INVERSIONES FCI]]-CS158,Tabla5[[#This Row],[INVERSIONES FCI]])</f>
        <v>872567487.26774216</v>
      </c>
      <c r="CT159" s="5">
        <f>IF($B158&lt;=Tabla5[[#This Row],[INVERSIONES FCI]],+Tabla5[[#This Row],[INVERSIONES FCI]]-CT158,Tabla5[[#This Row],[INVERSIONES FCI]])</f>
        <v>872567487.26774216</v>
      </c>
      <c r="CU159" s="5">
        <f>IF($B158&lt;=Tabla5[[#This Row],[INVERSIONES FCI]],+Tabla5[[#This Row],[INVERSIONES FCI]]-CU158,Tabla5[[#This Row],[INVERSIONES FCI]])</f>
        <v>872567487.26774216</v>
      </c>
      <c r="CV159" s="5">
        <f>IF($B158&lt;=Tabla5[[#This Row],[INVERSIONES FCI]],+Tabla5[[#This Row],[INVERSIONES FCI]]-CV158,Tabla5[[#This Row],[INVERSIONES FCI]])</f>
        <v>872567487.26774216</v>
      </c>
      <c r="CW159" s="5">
        <f>IF($B158&lt;=Tabla5[[#This Row],[INVERSIONES FCI]],+Tabla5[[#This Row],[INVERSIONES FCI]]-CW158,Tabla5[[#This Row],[INVERSIONES FCI]])</f>
        <v>872567487.26774216</v>
      </c>
      <c r="CX159" s="5">
        <f>IF($B158&lt;=Tabla5[[#This Row],[INVERSIONES FCI]],+Tabla5[[#This Row],[INVERSIONES FCI]]-CX158,Tabla5[[#This Row],[INVERSIONES FCI]])</f>
        <v>872567487.26774216</v>
      </c>
      <c r="CY159" s="5">
        <f>IF($B158&lt;=Tabla5[[#This Row],[INVERSIONES FCI]],+Tabla5[[#This Row],[INVERSIONES FCI]]-CY158,Tabla5[[#This Row],[INVERSIONES FCI]])</f>
        <v>872567487.26774216</v>
      </c>
      <c r="CZ159" s="5">
        <f>IF($B158&lt;=Tabla5[[#This Row],[INVERSIONES FCI]],+Tabla5[[#This Row],[INVERSIONES FCI]]-CZ158,Tabla5[[#This Row],[INVERSIONES FCI]])</f>
        <v>872567487.26774216</v>
      </c>
      <c r="DA159" s="5">
        <f>IF($B158&lt;=Tabla5[[#This Row],[INVERSIONES FCI]],+Tabla5[[#This Row],[INVERSIONES FCI]]-DA158,Tabla5[[#This Row],[INVERSIONES FCI]])</f>
        <v>872567487.26774216</v>
      </c>
      <c r="DB159" s="5">
        <f>IF($B158&lt;=Tabla5[[#This Row],[INVERSIONES FCI]],+Tabla5[[#This Row],[INVERSIONES FCI]]-DB158,Tabla5[[#This Row],[INVERSIONES FCI]])</f>
        <v>872567487.26774216</v>
      </c>
      <c r="DC159" s="5">
        <f>IF($B158&lt;=Tabla5[[#This Row],[INVERSIONES FCI]],+Tabla5[[#This Row],[INVERSIONES FCI]]-DC158,Tabla5[[#This Row],[INVERSIONES FCI]])</f>
        <v>872567487.26774216</v>
      </c>
      <c r="DD159" s="5">
        <f>IF($B158&lt;=Tabla5[[#This Row],[INVERSIONES FCI]],+Tabla5[[#This Row],[INVERSIONES FCI]]-DD158,Tabla5[[#This Row],[INVERSIONES FCI]])</f>
        <v>872567487.26774216</v>
      </c>
      <c r="DE159" s="5">
        <f>IF($B158&lt;=Tabla5[[#This Row],[INVERSIONES FCI]],+Tabla5[[#This Row],[INVERSIONES FCI]]-DE158,Tabla5[[#This Row],[INVERSIONES FCI]])</f>
        <v>872567487.26774216</v>
      </c>
      <c r="DF159" s="5">
        <f>IF($B158&lt;=Tabla5[[#This Row],[INVERSIONES FCI]],+Tabla5[[#This Row],[INVERSIONES FCI]]-DF158,Tabla5[[#This Row],[INVERSIONES FCI]])</f>
        <v>872567487.26774216</v>
      </c>
      <c r="DG159" s="5">
        <f>IF($B158&lt;=Tabla5[[#This Row],[INVERSIONES FCI]],+Tabla5[[#This Row],[INVERSIONES FCI]]-DG158,Tabla5[[#This Row],[INVERSIONES FCI]])</f>
        <v>872567487.26774216</v>
      </c>
      <c r="DH159" s="5">
        <f>IF($B158&lt;=Tabla5[[#This Row],[INVERSIONES FCI]],+Tabla5[[#This Row],[INVERSIONES FCI]]-DH158,Tabla5[[#This Row],[INVERSIONES FCI]])</f>
        <v>872567487.26774216</v>
      </c>
      <c r="DI159" s="5">
        <f>IF($B158&lt;=Tabla5[[#This Row],[INVERSIONES FCI]],+Tabla5[[#This Row],[INVERSIONES FCI]]-DI158,Tabla5[[#This Row],[INVERSIONES FCI]])</f>
        <v>872567487.26774216</v>
      </c>
      <c r="DJ159" s="5">
        <f>IF($B158&lt;=Tabla5[[#This Row],[INVERSIONES FCI]],+Tabla5[[#This Row],[INVERSIONES FCI]]-DJ158,Tabla5[[#This Row],[INVERSIONES FCI]])</f>
        <v>872567487.26774216</v>
      </c>
      <c r="DK159" s="5">
        <f>IF($B158&lt;=Tabla5[[#This Row],[INVERSIONES FCI]],+Tabla5[[#This Row],[INVERSIONES FCI]]-DK158,Tabla5[[#This Row],[INVERSIONES FCI]])</f>
        <v>872567487.26774216</v>
      </c>
      <c r="DL159" s="5"/>
      <c r="DM159" s="5"/>
      <c r="DN159" s="5"/>
      <c r="DO159" s="5"/>
      <c r="DP159" s="5"/>
      <c r="DQ159" s="5"/>
    </row>
    <row r="160" spans="1:121" ht="14.4">
      <c r="A160" s="12" t="s">
        <v>159</v>
      </c>
      <c r="B160" s="5">
        <f>HLOOKUP($A160,ESCENARIO[#All],7,FALSE)</f>
        <v>15958999343.704777</v>
      </c>
      <c r="C160" s="5">
        <f>IF($B159&lt;=Tabla5[[#This Row],[INVERSIONES FCI]],+Tabla5[[#This Row],[INVERSIONES FCI]]-C159,Tabla5[[#This Row],[INVERSIONES FCI]])</f>
        <v>15086431856.437035</v>
      </c>
      <c r="D160" s="5">
        <f>IF($B159&lt;=Tabla5[[#This Row],[INVERSIONES FCI]],+Tabla5[[#This Row],[INVERSIONES FCI]]-D159,Tabla5[[#This Row],[INVERSIONES FCI]])</f>
        <v>15086431856.437035</v>
      </c>
      <c r="E160" s="5">
        <f>IF($B159&lt;=Tabla5[[#This Row],[INVERSIONES FCI]],+Tabla5[[#This Row],[INVERSIONES FCI]]-E159,Tabla5[[#This Row],[INVERSIONES FCI]])</f>
        <v>15086431856.437035</v>
      </c>
      <c r="F160" s="5">
        <f>IF($B159&lt;=Tabla5[[#This Row],[INVERSIONES FCI]],+Tabla5[[#This Row],[INVERSIONES FCI]]-F159,Tabla5[[#This Row],[INVERSIONES FCI]])</f>
        <v>15086431856.437035</v>
      </c>
      <c r="G160" s="5">
        <f>IF($B159&lt;=Tabla5[[#This Row],[INVERSIONES FCI]],+Tabla5[[#This Row],[INVERSIONES FCI]]-G159,Tabla5[[#This Row],[INVERSIONES FCI]])</f>
        <v>15086431856.437035</v>
      </c>
      <c r="H160" s="5">
        <f>IF($B159&lt;=Tabla5[[#This Row],[INVERSIONES FCI]],+Tabla5[[#This Row],[INVERSIONES FCI]]-H159,Tabla5[[#This Row],[INVERSIONES FCI]])</f>
        <v>15086431856.437035</v>
      </c>
      <c r="I160" s="5">
        <f>IF($B159&lt;=Tabla5[[#This Row],[INVERSIONES FCI]],+Tabla5[[#This Row],[INVERSIONES FCI]]-I159,Tabla5[[#This Row],[INVERSIONES FCI]])</f>
        <v>15086431856.437035</v>
      </c>
      <c r="J160" s="5">
        <f>IF($B159&lt;=Tabla5[[#This Row],[INVERSIONES FCI]],+Tabla5[[#This Row],[INVERSIONES FCI]]-J159,Tabla5[[#This Row],[INVERSIONES FCI]])</f>
        <v>15086431856.437035</v>
      </c>
      <c r="K160" s="5">
        <f>IF($B159&lt;=Tabla5[[#This Row],[INVERSIONES FCI]],+Tabla5[[#This Row],[INVERSIONES FCI]]-K159,Tabla5[[#This Row],[INVERSIONES FCI]])</f>
        <v>15086431856.437035</v>
      </c>
      <c r="L160" s="5">
        <f>IF($B159&lt;=Tabla5[[#This Row],[INVERSIONES FCI]],+Tabla5[[#This Row],[INVERSIONES FCI]]-L159,Tabla5[[#This Row],[INVERSIONES FCI]])</f>
        <v>15086431856.437035</v>
      </c>
      <c r="M160" s="5">
        <f>IF($B159&lt;=Tabla5[[#This Row],[INVERSIONES FCI]],+Tabla5[[#This Row],[INVERSIONES FCI]]-M159,Tabla5[[#This Row],[INVERSIONES FCI]])</f>
        <v>15086431856.437035</v>
      </c>
      <c r="N160" s="5">
        <f>IF($B159&lt;=Tabla5[[#This Row],[INVERSIONES FCI]],+Tabla5[[#This Row],[INVERSIONES FCI]]-N159,Tabla5[[#This Row],[INVERSIONES FCI]])</f>
        <v>15086431856.437035</v>
      </c>
      <c r="O160" s="5">
        <f>IF($B159&lt;=Tabla5[[#This Row],[INVERSIONES FCI]],+Tabla5[[#This Row],[INVERSIONES FCI]]-O159,Tabla5[[#This Row],[INVERSIONES FCI]])</f>
        <v>15086431856.437035</v>
      </c>
      <c r="P160" s="5">
        <f>IF($B159&lt;=Tabla5[[#This Row],[INVERSIONES FCI]],+Tabla5[[#This Row],[INVERSIONES FCI]]-P159,Tabla5[[#This Row],[INVERSIONES FCI]])</f>
        <v>15086431856.437035</v>
      </c>
      <c r="Q160" s="5">
        <f>IF($B159&lt;=Tabla5[[#This Row],[INVERSIONES FCI]],+Tabla5[[#This Row],[INVERSIONES FCI]]-Q159,Tabla5[[#This Row],[INVERSIONES FCI]])</f>
        <v>15086431856.437035</v>
      </c>
      <c r="R160" s="5">
        <f>IF($B159&lt;=Tabla5[[#This Row],[INVERSIONES FCI]],+Tabla5[[#This Row],[INVERSIONES FCI]]-R159,Tabla5[[#This Row],[INVERSIONES FCI]])</f>
        <v>15086431856.437035</v>
      </c>
      <c r="S160" s="5">
        <f>IF($B159&lt;=Tabla5[[#This Row],[INVERSIONES FCI]],+Tabla5[[#This Row],[INVERSIONES FCI]]-S159,Tabla5[[#This Row],[INVERSIONES FCI]])</f>
        <v>15086431856.437035</v>
      </c>
      <c r="T160" s="5">
        <f>IF($B159&lt;=Tabla5[[#This Row],[INVERSIONES FCI]],+Tabla5[[#This Row],[INVERSIONES FCI]]-T159,Tabla5[[#This Row],[INVERSIONES FCI]])</f>
        <v>15086431856.437035</v>
      </c>
      <c r="U160" s="5">
        <f>IF($B159&lt;=Tabla5[[#This Row],[INVERSIONES FCI]],+Tabla5[[#This Row],[INVERSIONES FCI]]-U159,Tabla5[[#This Row],[INVERSIONES FCI]])</f>
        <v>15086431856.437035</v>
      </c>
      <c r="V160" s="5">
        <f>IF($B159&lt;=Tabla5[[#This Row],[INVERSIONES FCI]],+Tabla5[[#This Row],[INVERSIONES FCI]]-V159,Tabla5[[#This Row],[INVERSIONES FCI]])</f>
        <v>15086431856.437035</v>
      </c>
      <c r="W160" s="5">
        <f>IF($B159&lt;=Tabla5[[#This Row],[INVERSIONES FCI]],+Tabla5[[#This Row],[INVERSIONES FCI]]-W159,Tabla5[[#This Row],[INVERSIONES FCI]])</f>
        <v>15086431856.437035</v>
      </c>
      <c r="X160" s="5">
        <f>IF($B159&lt;=Tabla5[[#This Row],[INVERSIONES FCI]],+Tabla5[[#This Row],[INVERSIONES FCI]]-X159,Tabla5[[#This Row],[INVERSIONES FCI]])</f>
        <v>15086431856.437035</v>
      </c>
      <c r="Y160" s="5">
        <f>IF($B159&lt;=Tabla5[[#This Row],[INVERSIONES FCI]],+Tabla5[[#This Row],[INVERSIONES FCI]]-Y159,Tabla5[[#This Row],[INVERSIONES FCI]])</f>
        <v>15086431856.437035</v>
      </c>
      <c r="Z160" s="5">
        <f>IF($B159&lt;=Tabla5[[#This Row],[INVERSIONES FCI]],+Tabla5[[#This Row],[INVERSIONES FCI]]-Z159,Tabla5[[#This Row],[INVERSIONES FCI]])</f>
        <v>15086431856.437035</v>
      </c>
      <c r="AA160" s="5">
        <f>IF($B159&lt;=Tabla5[[#This Row],[INVERSIONES FCI]],+Tabla5[[#This Row],[INVERSIONES FCI]]-AA159,Tabla5[[#This Row],[INVERSIONES FCI]])</f>
        <v>15086431856.437035</v>
      </c>
      <c r="AB160" s="5">
        <f>IF($B159&lt;=Tabla5[[#This Row],[INVERSIONES FCI]],+Tabla5[[#This Row],[INVERSIONES FCI]]-AB159,Tabla5[[#This Row],[INVERSIONES FCI]])</f>
        <v>15086431856.437035</v>
      </c>
      <c r="AC160" s="5">
        <f>IF($B159&lt;=Tabla5[[#This Row],[INVERSIONES FCI]],+Tabla5[[#This Row],[INVERSIONES FCI]]-AC159,Tabla5[[#This Row],[INVERSIONES FCI]])</f>
        <v>15086431856.437035</v>
      </c>
      <c r="AD160" s="5">
        <f>IF($B159&lt;=Tabla5[[#This Row],[INVERSIONES FCI]],+Tabla5[[#This Row],[INVERSIONES FCI]]-AD159,Tabla5[[#This Row],[INVERSIONES FCI]])</f>
        <v>15086431856.437035</v>
      </c>
      <c r="AE160" s="5">
        <f>IF($B159&lt;=Tabla5[[#This Row],[INVERSIONES FCI]],+Tabla5[[#This Row],[INVERSIONES FCI]]-AE159,Tabla5[[#This Row],[INVERSIONES FCI]])</f>
        <v>15086431856.437035</v>
      </c>
      <c r="AF160" s="5">
        <f>IF($B159&lt;=Tabla5[[#This Row],[INVERSIONES FCI]],+Tabla5[[#This Row],[INVERSIONES FCI]]-AF159,Tabla5[[#This Row],[INVERSIONES FCI]])</f>
        <v>15086431856.437035</v>
      </c>
      <c r="AG160" s="5">
        <f>IF($B159&lt;=Tabla5[[#This Row],[INVERSIONES FCI]],+Tabla5[[#This Row],[INVERSIONES FCI]]-AG159,Tabla5[[#This Row],[INVERSIONES FCI]])</f>
        <v>15086431856.437035</v>
      </c>
      <c r="AH160" s="5">
        <f>IF($B159&lt;=Tabla5[[#This Row],[INVERSIONES FCI]],+Tabla5[[#This Row],[INVERSIONES FCI]]-AH159,Tabla5[[#This Row],[INVERSIONES FCI]])</f>
        <v>15086431856.437035</v>
      </c>
      <c r="AI160" s="5">
        <f>IF($B159&lt;=Tabla5[[#This Row],[INVERSIONES FCI]],+Tabla5[[#This Row],[INVERSIONES FCI]]-AI159,Tabla5[[#This Row],[INVERSIONES FCI]])</f>
        <v>15086431856.437035</v>
      </c>
      <c r="AJ160" s="5">
        <f>IF($B159&lt;=Tabla5[[#This Row],[INVERSIONES FCI]],+Tabla5[[#This Row],[INVERSIONES FCI]]-AJ159,Tabla5[[#This Row],[INVERSIONES FCI]])</f>
        <v>15086431856.437035</v>
      </c>
      <c r="AK160" s="5">
        <f>IF($B159&lt;=Tabla5[[#This Row],[INVERSIONES FCI]],+Tabla5[[#This Row],[INVERSIONES FCI]]-AK159,Tabla5[[#This Row],[INVERSIONES FCI]])</f>
        <v>15086431856.437035</v>
      </c>
      <c r="AL160" s="5">
        <f>IF($B159&lt;=Tabla5[[#This Row],[INVERSIONES FCI]],+Tabla5[[#This Row],[INVERSIONES FCI]]-AL159,Tabla5[[#This Row],[INVERSIONES FCI]])</f>
        <v>15086431856.437035</v>
      </c>
      <c r="AM160" s="5">
        <f>IF($B159&lt;=Tabla5[[#This Row],[INVERSIONES FCI]],+Tabla5[[#This Row],[INVERSIONES FCI]]-AM159,Tabla5[[#This Row],[INVERSIONES FCI]])</f>
        <v>15086431856.437035</v>
      </c>
      <c r="AN160" s="5">
        <f>IF($B159&lt;=Tabla5[[#This Row],[INVERSIONES FCI]],+Tabla5[[#This Row],[INVERSIONES FCI]]-AN159,Tabla5[[#This Row],[INVERSIONES FCI]])</f>
        <v>15086431856.437035</v>
      </c>
      <c r="AO160" s="5">
        <f>IF($B159&lt;=Tabla5[[#This Row],[INVERSIONES FCI]],+Tabla5[[#This Row],[INVERSIONES FCI]]-AO159,Tabla5[[#This Row],[INVERSIONES FCI]])</f>
        <v>15086431856.437035</v>
      </c>
      <c r="AP160" s="5">
        <f>IF($B159&lt;=Tabla5[[#This Row],[INVERSIONES FCI]],+Tabla5[[#This Row],[INVERSIONES FCI]]-AP159,Tabla5[[#This Row],[INVERSIONES FCI]])</f>
        <v>15086431856.437035</v>
      </c>
      <c r="AQ160" s="5">
        <f>IF($B159&lt;=Tabla5[[#This Row],[INVERSIONES FCI]],+Tabla5[[#This Row],[INVERSIONES FCI]]-AQ159,Tabla5[[#This Row],[INVERSIONES FCI]])</f>
        <v>15086431856.437035</v>
      </c>
      <c r="AR160" s="5">
        <f>IF($B159&lt;=Tabla5[[#This Row],[INVERSIONES FCI]],+Tabla5[[#This Row],[INVERSIONES FCI]]-AR159,Tabla5[[#This Row],[INVERSIONES FCI]])</f>
        <v>15086431856.437035</v>
      </c>
      <c r="AS160" s="5">
        <f>IF($B159&lt;=Tabla5[[#This Row],[INVERSIONES FCI]],+Tabla5[[#This Row],[INVERSIONES FCI]]-AS159,Tabla5[[#This Row],[INVERSIONES FCI]])</f>
        <v>15086431856.437035</v>
      </c>
      <c r="AT160" s="5">
        <f>IF($B159&lt;=Tabla5[[#This Row],[INVERSIONES FCI]],+Tabla5[[#This Row],[INVERSIONES FCI]]-AT159,Tabla5[[#This Row],[INVERSIONES FCI]])</f>
        <v>15086431856.437035</v>
      </c>
      <c r="AU160" s="5">
        <f>IF($B159&lt;=Tabla5[[#This Row],[INVERSIONES FCI]],+Tabla5[[#This Row],[INVERSIONES FCI]]-AU159,Tabla5[[#This Row],[INVERSIONES FCI]])</f>
        <v>15086431856.437035</v>
      </c>
      <c r="AV160" s="5">
        <f>IF($B159&lt;=Tabla5[[#This Row],[INVERSIONES FCI]],+Tabla5[[#This Row],[INVERSIONES FCI]]-AV159,Tabla5[[#This Row],[INVERSIONES FCI]])</f>
        <v>15086431856.437035</v>
      </c>
      <c r="AW160" s="5">
        <f>IF($B159&lt;=Tabla5[[#This Row],[INVERSIONES FCI]],+Tabla5[[#This Row],[INVERSIONES FCI]]-AW159,Tabla5[[#This Row],[INVERSIONES FCI]])</f>
        <v>15086431856.437035</v>
      </c>
      <c r="AX160" s="5">
        <f>IF($B159&lt;=Tabla5[[#This Row],[INVERSIONES FCI]],+Tabla5[[#This Row],[INVERSIONES FCI]]-AX159,Tabla5[[#This Row],[INVERSIONES FCI]])</f>
        <v>15086431856.437035</v>
      </c>
      <c r="AY160" s="5">
        <f>IF($B159&lt;=Tabla5[[#This Row],[INVERSIONES FCI]],+Tabla5[[#This Row],[INVERSIONES FCI]]-AY159,Tabla5[[#This Row],[INVERSIONES FCI]])</f>
        <v>15086431856.437035</v>
      </c>
      <c r="AZ160" s="5">
        <f>IF($B159&lt;=Tabla5[[#This Row],[INVERSIONES FCI]],+Tabla5[[#This Row],[INVERSIONES FCI]]-AZ159,Tabla5[[#This Row],[INVERSIONES FCI]])</f>
        <v>15086431856.437035</v>
      </c>
      <c r="BA160" s="5">
        <f>IF($B159&lt;=Tabla5[[#This Row],[INVERSIONES FCI]],+Tabla5[[#This Row],[INVERSIONES FCI]]-BA159,Tabla5[[#This Row],[INVERSIONES FCI]])</f>
        <v>15086431856.437035</v>
      </c>
      <c r="BB160" s="5">
        <f>IF($B159&lt;=Tabla5[[#This Row],[INVERSIONES FCI]],+Tabla5[[#This Row],[INVERSIONES FCI]]-BB159,Tabla5[[#This Row],[INVERSIONES FCI]])</f>
        <v>15086431856.437035</v>
      </c>
      <c r="BC160" s="5">
        <f>IF($B159&lt;=Tabla5[[#This Row],[INVERSIONES FCI]],+Tabla5[[#This Row],[INVERSIONES FCI]]-BC159,Tabla5[[#This Row],[INVERSIONES FCI]])</f>
        <v>15086431856.437035</v>
      </c>
      <c r="BD160" s="5">
        <f>IF($B159&lt;=Tabla5[[#This Row],[INVERSIONES FCI]],+Tabla5[[#This Row],[INVERSIONES FCI]]-BD159,Tabla5[[#This Row],[INVERSIONES FCI]])</f>
        <v>15086431856.437035</v>
      </c>
      <c r="BE160" s="5">
        <f>IF($B159&lt;=Tabla5[[#This Row],[INVERSIONES FCI]],+Tabla5[[#This Row],[INVERSIONES FCI]]-BE159,Tabla5[[#This Row],[INVERSIONES FCI]])</f>
        <v>15086431856.437035</v>
      </c>
      <c r="BF160" s="5">
        <f>IF($B159&lt;=Tabla5[[#This Row],[INVERSIONES FCI]],+Tabla5[[#This Row],[INVERSIONES FCI]]-BF159,Tabla5[[#This Row],[INVERSIONES FCI]])</f>
        <v>15086431856.437035</v>
      </c>
      <c r="BG160" s="5">
        <f>IF($B159&lt;=Tabla5[[#This Row],[INVERSIONES FCI]],+Tabla5[[#This Row],[INVERSIONES FCI]]-BG159,Tabla5[[#This Row],[INVERSIONES FCI]])</f>
        <v>15086431856.437035</v>
      </c>
      <c r="BH160" s="5">
        <f>IF($B159&lt;=Tabla5[[#This Row],[INVERSIONES FCI]],+Tabla5[[#This Row],[INVERSIONES FCI]]-BH159,Tabla5[[#This Row],[INVERSIONES FCI]])</f>
        <v>15086431856.437035</v>
      </c>
      <c r="BI160" s="5">
        <f>IF($B159&lt;=Tabla5[[#This Row],[INVERSIONES FCI]],+Tabla5[[#This Row],[INVERSIONES FCI]]-BI159,Tabla5[[#This Row],[INVERSIONES FCI]])</f>
        <v>15086431856.437035</v>
      </c>
      <c r="BJ160" s="5">
        <f>IF($B159&lt;=Tabla5[[#This Row],[INVERSIONES FCI]],+Tabla5[[#This Row],[INVERSIONES FCI]]-BJ159,Tabla5[[#This Row],[INVERSIONES FCI]])</f>
        <v>15086431856.437035</v>
      </c>
      <c r="BK160" s="5">
        <f>IF($B159&lt;=Tabla5[[#This Row],[INVERSIONES FCI]],+Tabla5[[#This Row],[INVERSIONES FCI]]-BK159,Tabla5[[#This Row],[INVERSIONES FCI]])</f>
        <v>15086431856.437035</v>
      </c>
      <c r="BL160" s="5">
        <f>IF($B159&lt;=Tabla5[[#This Row],[INVERSIONES FCI]],+Tabla5[[#This Row],[INVERSIONES FCI]]-BL159,Tabla5[[#This Row],[INVERSIONES FCI]])</f>
        <v>15086431856.437035</v>
      </c>
      <c r="BM160" s="5">
        <f>IF($B159&lt;=Tabla5[[#This Row],[INVERSIONES FCI]],+Tabla5[[#This Row],[INVERSIONES FCI]]-BM159,Tabla5[[#This Row],[INVERSIONES FCI]])</f>
        <v>15086431856.437035</v>
      </c>
      <c r="BN160" s="5">
        <f>IF($B159&lt;=Tabla5[[#This Row],[INVERSIONES FCI]],+Tabla5[[#This Row],[INVERSIONES FCI]]-BN159,Tabla5[[#This Row],[INVERSIONES FCI]])</f>
        <v>15086431856.437035</v>
      </c>
      <c r="BO160" s="5">
        <f>IF($B159&lt;=Tabla5[[#This Row],[INVERSIONES FCI]],+Tabla5[[#This Row],[INVERSIONES FCI]]-BO159,Tabla5[[#This Row],[INVERSIONES FCI]])</f>
        <v>15086431856.437035</v>
      </c>
      <c r="BP160" s="5">
        <f>IF($B159&lt;=Tabla5[[#This Row],[INVERSIONES FCI]],+Tabla5[[#This Row],[INVERSIONES FCI]]-BP159,Tabla5[[#This Row],[INVERSIONES FCI]])</f>
        <v>15086431856.437035</v>
      </c>
      <c r="BQ160" s="5">
        <f>IF($B159&lt;=Tabla5[[#This Row],[INVERSIONES FCI]],+Tabla5[[#This Row],[INVERSIONES FCI]]-BQ159,Tabla5[[#This Row],[INVERSIONES FCI]])</f>
        <v>15086431856.437035</v>
      </c>
      <c r="BR160" s="5">
        <f>IF($B159&lt;=Tabla5[[#This Row],[INVERSIONES FCI]],+Tabla5[[#This Row],[INVERSIONES FCI]]-BR159,Tabla5[[#This Row],[INVERSIONES FCI]])</f>
        <v>15086431856.437035</v>
      </c>
      <c r="BS160" s="5">
        <f>IF($B159&lt;=Tabla5[[#This Row],[INVERSIONES FCI]],+Tabla5[[#This Row],[INVERSIONES FCI]]-BS159,Tabla5[[#This Row],[INVERSIONES FCI]])</f>
        <v>15086431856.437035</v>
      </c>
      <c r="BT160" s="5">
        <f>IF($B159&lt;=Tabla5[[#This Row],[INVERSIONES FCI]],+Tabla5[[#This Row],[INVERSIONES FCI]]-BT159,Tabla5[[#This Row],[INVERSIONES FCI]])</f>
        <v>15086431856.437035</v>
      </c>
      <c r="BU160" s="5">
        <f>IF($B159&lt;=Tabla5[[#This Row],[INVERSIONES FCI]],+Tabla5[[#This Row],[INVERSIONES FCI]]-BU159,Tabla5[[#This Row],[INVERSIONES FCI]])</f>
        <v>15086431856.437035</v>
      </c>
      <c r="BV160" s="5">
        <f>IF($B159&lt;=Tabla5[[#This Row],[INVERSIONES FCI]],+Tabla5[[#This Row],[INVERSIONES FCI]]-BV159,Tabla5[[#This Row],[INVERSIONES FCI]])</f>
        <v>15086431856.437035</v>
      </c>
      <c r="BW160" s="5">
        <f>IF($B159&lt;=Tabla5[[#This Row],[INVERSIONES FCI]],+Tabla5[[#This Row],[INVERSIONES FCI]]-BW159,Tabla5[[#This Row],[INVERSIONES FCI]])</f>
        <v>15086431856.437035</v>
      </c>
      <c r="BX160" s="5">
        <f>IF($B159&lt;=Tabla5[[#This Row],[INVERSIONES FCI]],+Tabla5[[#This Row],[INVERSIONES FCI]]-BX159,Tabla5[[#This Row],[INVERSIONES FCI]])</f>
        <v>15086431856.437035</v>
      </c>
      <c r="BY160" s="5">
        <f>IF($B159&lt;=Tabla5[[#This Row],[INVERSIONES FCI]],+Tabla5[[#This Row],[INVERSIONES FCI]]-BY159,Tabla5[[#This Row],[INVERSIONES FCI]])</f>
        <v>15086431856.437035</v>
      </c>
      <c r="BZ160" s="5">
        <f>IF($B159&lt;=Tabla5[[#This Row],[INVERSIONES FCI]],+Tabla5[[#This Row],[INVERSIONES FCI]]-BZ159,Tabla5[[#This Row],[INVERSIONES FCI]])</f>
        <v>15086431856.437035</v>
      </c>
      <c r="CA160" s="5">
        <f>IF($B159&lt;=Tabla5[[#This Row],[INVERSIONES FCI]],+Tabla5[[#This Row],[INVERSIONES FCI]]-CA159,Tabla5[[#This Row],[INVERSIONES FCI]])</f>
        <v>15086431856.437035</v>
      </c>
      <c r="CB160" s="5">
        <f>IF($B159&lt;=Tabla5[[#This Row],[INVERSIONES FCI]],+Tabla5[[#This Row],[INVERSIONES FCI]]-CB159,Tabla5[[#This Row],[INVERSIONES FCI]])</f>
        <v>15086431856.437035</v>
      </c>
      <c r="CC160" s="5">
        <f>IF($B159&lt;=Tabla5[[#This Row],[INVERSIONES FCI]],+Tabla5[[#This Row],[INVERSIONES FCI]]-CC159,Tabla5[[#This Row],[INVERSIONES FCI]])</f>
        <v>15086431856.437035</v>
      </c>
      <c r="CD160" s="5">
        <f>IF($B159&lt;=Tabla5[[#This Row],[INVERSIONES FCI]],+Tabla5[[#This Row],[INVERSIONES FCI]]-CD159,Tabla5[[#This Row],[INVERSIONES FCI]])</f>
        <v>15086431856.437035</v>
      </c>
      <c r="CE160" s="5">
        <f>IF($B159&lt;=Tabla5[[#This Row],[INVERSIONES FCI]],+Tabla5[[#This Row],[INVERSIONES FCI]]-CE159,Tabla5[[#This Row],[INVERSIONES FCI]])</f>
        <v>15086431856.437035</v>
      </c>
      <c r="CF160" s="5">
        <f>IF($B159&lt;=Tabla5[[#This Row],[INVERSIONES FCI]],+Tabla5[[#This Row],[INVERSIONES FCI]]-CF159,Tabla5[[#This Row],[INVERSIONES FCI]])</f>
        <v>15086431856.437035</v>
      </c>
      <c r="CG160" s="5">
        <f>IF($B159&lt;=Tabla5[[#This Row],[INVERSIONES FCI]],+Tabla5[[#This Row],[INVERSIONES FCI]]-CG159,Tabla5[[#This Row],[INVERSIONES FCI]])</f>
        <v>15086431856.437035</v>
      </c>
      <c r="CH160" s="5">
        <f>IF($B159&lt;=Tabla5[[#This Row],[INVERSIONES FCI]],+Tabla5[[#This Row],[INVERSIONES FCI]]-CH159,Tabla5[[#This Row],[INVERSIONES FCI]])</f>
        <v>15086431856.437035</v>
      </c>
      <c r="CI160" s="5">
        <f>IF($B159&lt;=Tabla5[[#This Row],[INVERSIONES FCI]],+Tabla5[[#This Row],[INVERSIONES FCI]]-CI159,Tabla5[[#This Row],[INVERSIONES FCI]])</f>
        <v>15086431856.437035</v>
      </c>
      <c r="CJ160" s="5">
        <f>IF($B159&lt;=Tabla5[[#This Row],[INVERSIONES FCI]],+Tabla5[[#This Row],[INVERSIONES FCI]]-CJ159,Tabla5[[#This Row],[INVERSIONES FCI]])</f>
        <v>15086431856.437035</v>
      </c>
      <c r="CK160" s="5">
        <f>IF($B159&lt;=Tabla5[[#This Row],[INVERSIONES FCI]],+Tabla5[[#This Row],[INVERSIONES FCI]]-CK159,Tabla5[[#This Row],[INVERSIONES FCI]])</f>
        <v>15086431856.437035</v>
      </c>
      <c r="CL160" s="5">
        <f>IF($B159&lt;=Tabla5[[#This Row],[INVERSIONES FCI]],+Tabla5[[#This Row],[INVERSIONES FCI]]-CL159,Tabla5[[#This Row],[INVERSIONES FCI]])</f>
        <v>15086431856.437035</v>
      </c>
      <c r="CM160" s="5">
        <f>IF($B159&lt;=Tabla5[[#This Row],[INVERSIONES FCI]],+Tabla5[[#This Row],[INVERSIONES FCI]]-CM159,Tabla5[[#This Row],[INVERSIONES FCI]])</f>
        <v>15086431856.437035</v>
      </c>
      <c r="CN160" s="5">
        <f>IF($B159&lt;=Tabla5[[#This Row],[INVERSIONES FCI]],+Tabla5[[#This Row],[INVERSIONES FCI]]-CN159,Tabla5[[#This Row],[INVERSIONES FCI]])</f>
        <v>15086431856.437035</v>
      </c>
      <c r="CO160" s="5">
        <f>IF($B159&lt;=Tabla5[[#This Row],[INVERSIONES FCI]],+Tabla5[[#This Row],[INVERSIONES FCI]]-CO159,Tabla5[[#This Row],[INVERSIONES FCI]])</f>
        <v>15086431856.437035</v>
      </c>
      <c r="CP160" s="5">
        <f>IF($B159&lt;=Tabla5[[#This Row],[INVERSIONES FCI]],+Tabla5[[#This Row],[INVERSIONES FCI]]-CP159,Tabla5[[#This Row],[INVERSIONES FCI]])</f>
        <v>15086431856.437035</v>
      </c>
      <c r="CQ160" s="5">
        <f>IF($B159&lt;=Tabla5[[#This Row],[INVERSIONES FCI]],+Tabla5[[#This Row],[INVERSIONES FCI]]-CQ159,Tabla5[[#This Row],[INVERSIONES FCI]])</f>
        <v>15086431856.437035</v>
      </c>
      <c r="CR160" s="5">
        <f>IF($B159&lt;=Tabla5[[#This Row],[INVERSIONES FCI]],+Tabla5[[#This Row],[INVERSIONES FCI]]-CR159,Tabla5[[#This Row],[INVERSIONES FCI]])</f>
        <v>15086431856.437035</v>
      </c>
      <c r="CS160" s="5">
        <f>IF($B159&lt;=Tabla5[[#This Row],[INVERSIONES FCI]],+Tabla5[[#This Row],[INVERSIONES FCI]]-CS159,Tabla5[[#This Row],[INVERSIONES FCI]])</f>
        <v>15086431856.437035</v>
      </c>
      <c r="CT160" s="5">
        <f>IF($B159&lt;=Tabla5[[#This Row],[INVERSIONES FCI]],+Tabla5[[#This Row],[INVERSIONES FCI]]-CT159,Tabla5[[#This Row],[INVERSIONES FCI]])</f>
        <v>15086431856.437035</v>
      </c>
      <c r="CU160" s="5">
        <f>IF($B159&lt;=Tabla5[[#This Row],[INVERSIONES FCI]],+Tabla5[[#This Row],[INVERSIONES FCI]]-CU159,Tabla5[[#This Row],[INVERSIONES FCI]])</f>
        <v>15086431856.437035</v>
      </c>
      <c r="CV160" s="5">
        <f>IF($B159&lt;=Tabla5[[#This Row],[INVERSIONES FCI]],+Tabla5[[#This Row],[INVERSIONES FCI]]-CV159,Tabla5[[#This Row],[INVERSIONES FCI]])</f>
        <v>15086431856.437035</v>
      </c>
      <c r="CW160" s="5">
        <f>IF($B159&lt;=Tabla5[[#This Row],[INVERSIONES FCI]],+Tabla5[[#This Row],[INVERSIONES FCI]]-CW159,Tabla5[[#This Row],[INVERSIONES FCI]])</f>
        <v>15086431856.437035</v>
      </c>
      <c r="CX160" s="5">
        <f>IF($B159&lt;=Tabla5[[#This Row],[INVERSIONES FCI]],+Tabla5[[#This Row],[INVERSIONES FCI]]-CX159,Tabla5[[#This Row],[INVERSIONES FCI]])</f>
        <v>15086431856.437035</v>
      </c>
      <c r="CY160" s="5">
        <f>IF($B159&lt;=Tabla5[[#This Row],[INVERSIONES FCI]],+Tabla5[[#This Row],[INVERSIONES FCI]]-CY159,Tabla5[[#This Row],[INVERSIONES FCI]])</f>
        <v>15086431856.437035</v>
      </c>
      <c r="CZ160" s="5">
        <f>IF($B159&lt;=Tabla5[[#This Row],[INVERSIONES FCI]],+Tabla5[[#This Row],[INVERSIONES FCI]]-CZ159,Tabla5[[#This Row],[INVERSIONES FCI]])</f>
        <v>15086431856.437035</v>
      </c>
      <c r="DA160" s="5">
        <f>IF($B159&lt;=Tabla5[[#This Row],[INVERSIONES FCI]],+Tabla5[[#This Row],[INVERSIONES FCI]]-DA159,Tabla5[[#This Row],[INVERSIONES FCI]])</f>
        <v>15086431856.437035</v>
      </c>
      <c r="DB160" s="5">
        <f>IF($B159&lt;=Tabla5[[#This Row],[INVERSIONES FCI]],+Tabla5[[#This Row],[INVERSIONES FCI]]-DB159,Tabla5[[#This Row],[INVERSIONES FCI]])</f>
        <v>15086431856.437035</v>
      </c>
      <c r="DC160" s="5">
        <f>IF($B159&lt;=Tabla5[[#This Row],[INVERSIONES FCI]],+Tabla5[[#This Row],[INVERSIONES FCI]]-DC159,Tabla5[[#This Row],[INVERSIONES FCI]])</f>
        <v>15086431856.437035</v>
      </c>
      <c r="DD160" s="5">
        <f>IF($B159&lt;=Tabla5[[#This Row],[INVERSIONES FCI]],+Tabla5[[#This Row],[INVERSIONES FCI]]-DD159,Tabla5[[#This Row],[INVERSIONES FCI]])</f>
        <v>15086431856.437035</v>
      </c>
      <c r="DE160" s="5">
        <f>IF($B159&lt;=Tabla5[[#This Row],[INVERSIONES FCI]],+Tabla5[[#This Row],[INVERSIONES FCI]]-DE159,Tabla5[[#This Row],[INVERSIONES FCI]])</f>
        <v>15086431856.437035</v>
      </c>
      <c r="DF160" s="5">
        <f>IF($B159&lt;=Tabla5[[#This Row],[INVERSIONES FCI]],+Tabla5[[#This Row],[INVERSIONES FCI]]-DF159,Tabla5[[#This Row],[INVERSIONES FCI]])</f>
        <v>15086431856.437035</v>
      </c>
      <c r="DG160" s="5">
        <f>IF($B159&lt;=Tabla5[[#This Row],[INVERSIONES FCI]],+Tabla5[[#This Row],[INVERSIONES FCI]]-DG159,Tabla5[[#This Row],[INVERSIONES FCI]])</f>
        <v>15086431856.437035</v>
      </c>
      <c r="DH160" s="5">
        <f>IF($B159&lt;=Tabla5[[#This Row],[INVERSIONES FCI]],+Tabla5[[#This Row],[INVERSIONES FCI]]-DH159,Tabla5[[#This Row],[INVERSIONES FCI]])</f>
        <v>15086431856.437035</v>
      </c>
      <c r="DI160" s="5">
        <f>IF($B159&lt;=Tabla5[[#This Row],[INVERSIONES FCI]],+Tabla5[[#This Row],[INVERSIONES FCI]]-DI159,Tabla5[[#This Row],[INVERSIONES FCI]])</f>
        <v>15086431856.437035</v>
      </c>
      <c r="DJ160" s="5">
        <f>IF($B159&lt;=Tabla5[[#This Row],[INVERSIONES FCI]],+Tabla5[[#This Row],[INVERSIONES FCI]]-DJ159,Tabla5[[#This Row],[INVERSIONES FCI]])</f>
        <v>15086431856.437035</v>
      </c>
      <c r="DK160" s="5">
        <f>IF($B159&lt;=Tabla5[[#This Row],[INVERSIONES FCI]],+Tabla5[[#This Row],[INVERSIONES FCI]]-DK159,Tabla5[[#This Row],[INVERSIONES FCI]])</f>
        <v>15086431856.437035</v>
      </c>
      <c r="DL160" s="5"/>
      <c r="DM160" s="5"/>
      <c r="DN160" s="5"/>
      <c r="DO160" s="5"/>
      <c r="DP160" s="5"/>
      <c r="DQ160" s="5"/>
    </row>
    <row r="161" spans="1:121" ht="14.4">
      <c r="A161" s="12" t="s">
        <v>160</v>
      </c>
      <c r="B161" s="5">
        <f>HLOOKUP($A161,ESCENARIO[#All],7,FALSE)</f>
        <v>15958999343.704777</v>
      </c>
      <c r="C161" s="5">
        <f>IF($B160&lt;=Tabla5[[#This Row],[INVERSIONES FCI]],+Tabla5[[#This Row],[INVERSIONES FCI]]-C160,Tabla5[[#This Row],[INVERSIONES FCI]])</f>
        <v>872567487.26774216</v>
      </c>
      <c r="D161" s="5">
        <f>IF($B160&lt;=Tabla5[[#This Row],[INVERSIONES FCI]],+Tabla5[[#This Row],[INVERSIONES FCI]]-D160,Tabla5[[#This Row],[INVERSIONES FCI]])</f>
        <v>872567487.26774216</v>
      </c>
      <c r="E161" s="5">
        <f>IF($B160&lt;=Tabla5[[#This Row],[INVERSIONES FCI]],+Tabla5[[#This Row],[INVERSIONES FCI]]-E160,Tabla5[[#This Row],[INVERSIONES FCI]])</f>
        <v>872567487.26774216</v>
      </c>
      <c r="F161" s="5">
        <f>IF($B160&lt;=Tabla5[[#This Row],[INVERSIONES FCI]],+Tabla5[[#This Row],[INVERSIONES FCI]]-F160,Tabla5[[#This Row],[INVERSIONES FCI]])</f>
        <v>872567487.26774216</v>
      </c>
      <c r="G161" s="5">
        <f>IF($B160&lt;=Tabla5[[#This Row],[INVERSIONES FCI]],+Tabla5[[#This Row],[INVERSIONES FCI]]-G160,Tabla5[[#This Row],[INVERSIONES FCI]])</f>
        <v>872567487.26774216</v>
      </c>
      <c r="H161" s="5">
        <f>IF($B160&lt;=Tabla5[[#This Row],[INVERSIONES FCI]],+Tabla5[[#This Row],[INVERSIONES FCI]]-H160,Tabla5[[#This Row],[INVERSIONES FCI]])</f>
        <v>872567487.26774216</v>
      </c>
      <c r="I161" s="5">
        <f>IF($B160&lt;=Tabla5[[#This Row],[INVERSIONES FCI]],+Tabla5[[#This Row],[INVERSIONES FCI]]-I160,Tabla5[[#This Row],[INVERSIONES FCI]])</f>
        <v>872567487.26774216</v>
      </c>
      <c r="J161" s="5">
        <f>IF($B160&lt;=Tabla5[[#This Row],[INVERSIONES FCI]],+Tabla5[[#This Row],[INVERSIONES FCI]]-J160,Tabla5[[#This Row],[INVERSIONES FCI]])</f>
        <v>872567487.26774216</v>
      </c>
      <c r="K161" s="5">
        <f>IF($B160&lt;=Tabla5[[#This Row],[INVERSIONES FCI]],+Tabla5[[#This Row],[INVERSIONES FCI]]-K160,Tabla5[[#This Row],[INVERSIONES FCI]])</f>
        <v>872567487.26774216</v>
      </c>
      <c r="L161" s="5">
        <f>IF($B160&lt;=Tabla5[[#This Row],[INVERSIONES FCI]],+Tabla5[[#This Row],[INVERSIONES FCI]]-L160,Tabla5[[#This Row],[INVERSIONES FCI]])</f>
        <v>872567487.26774216</v>
      </c>
      <c r="M161" s="5">
        <f>IF($B160&lt;=Tabla5[[#This Row],[INVERSIONES FCI]],+Tabla5[[#This Row],[INVERSIONES FCI]]-M160,Tabla5[[#This Row],[INVERSIONES FCI]])</f>
        <v>872567487.26774216</v>
      </c>
      <c r="N161" s="5">
        <f>IF($B160&lt;=Tabla5[[#This Row],[INVERSIONES FCI]],+Tabla5[[#This Row],[INVERSIONES FCI]]-N160,Tabla5[[#This Row],[INVERSIONES FCI]])</f>
        <v>872567487.26774216</v>
      </c>
      <c r="O161" s="5">
        <f>IF($B160&lt;=Tabla5[[#This Row],[INVERSIONES FCI]],+Tabla5[[#This Row],[INVERSIONES FCI]]-O160,Tabla5[[#This Row],[INVERSIONES FCI]])</f>
        <v>872567487.26774216</v>
      </c>
      <c r="P161" s="5">
        <f>IF($B160&lt;=Tabla5[[#This Row],[INVERSIONES FCI]],+Tabla5[[#This Row],[INVERSIONES FCI]]-P160,Tabla5[[#This Row],[INVERSIONES FCI]])</f>
        <v>872567487.26774216</v>
      </c>
      <c r="Q161" s="5">
        <f>IF($B160&lt;=Tabla5[[#This Row],[INVERSIONES FCI]],+Tabla5[[#This Row],[INVERSIONES FCI]]-Q160,Tabla5[[#This Row],[INVERSIONES FCI]])</f>
        <v>872567487.26774216</v>
      </c>
      <c r="R161" s="5">
        <f>IF($B160&lt;=Tabla5[[#This Row],[INVERSIONES FCI]],+Tabla5[[#This Row],[INVERSIONES FCI]]-R160,Tabla5[[#This Row],[INVERSIONES FCI]])</f>
        <v>872567487.26774216</v>
      </c>
      <c r="S161" s="5">
        <f>IF($B160&lt;=Tabla5[[#This Row],[INVERSIONES FCI]],+Tabla5[[#This Row],[INVERSIONES FCI]]-S160,Tabla5[[#This Row],[INVERSIONES FCI]])</f>
        <v>872567487.26774216</v>
      </c>
      <c r="T161" s="5">
        <f>IF($B160&lt;=Tabla5[[#This Row],[INVERSIONES FCI]],+Tabla5[[#This Row],[INVERSIONES FCI]]-T160,Tabla5[[#This Row],[INVERSIONES FCI]])</f>
        <v>872567487.26774216</v>
      </c>
      <c r="U161" s="5">
        <f>IF($B160&lt;=Tabla5[[#This Row],[INVERSIONES FCI]],+Tabla5[[#This Row],[INVERSIONES FCI]]-U160,Tabla5[[#This Row],[INVERSIONES FCI]])</f>
        <v>872567487.26774216</v>
      </c>
      <c r="V161" s="5">
        <f>IF($B160&lt;=Tabla5[[#This Row],[INVERSIONES FCI]],+Tabla5[[#This Row],[INVERSIONES FCI]]-V160,Tabla5[[#This Row],[INVERSIONES FCI]])</f>
        <v>872567487.26774216</v>
      </c>
      <c r="W161" s="5">
        <f>IF($B160&lt;=Tabla5[[#This Row],[INVERSIONES FCI]],+Tabla5[[#This Row],[INVERSIONES FCI]]-W160,Tabla5[[#This Row],[INVERSIONES FCI]])</f>
        <v>872567487.26774216</v>
      </c>
      <c r="X161" s="5">
        <f>IF($B160&lt;=Tabla5[[#This Row],[INVERSIONES FCI]],+Tabla5[[#This Row],[INVERSIONES FCI]]-X160,Tabla5[[#This Row],[INVERSIONES FCI]])</f>
        <v>872567487.26774216</v>
      </c>
      <c r="Y161" s="5">
        <f>IF($B160&lt;=Tabla5[[#This Row],[INVERSIONES FCI]],+Tabla5[[#This Row],[INVERSIONES FCI]]-Y160,Tabla5[[#This Row],[INVERSIONES FCI]])</f>
        <v>872567487.26774216</v>
      </c>
      <c r="Z161" s="5">
        <f>IF($B160&lt;=Tabla5[[#This Row],[INVERSIONES FCI]],+Tabla5[[#This Row],[INVERSIONES FCI]]-Z160,Tabla5[[#This Row],[INVERSIONES FCI]])</f>
        <v>872567487.26774216</v>
      </c>
      <c r="AA161" s="5">
        <f>IF($B160&lt;=Tabla5[[#This Row],[INVERSIONES FCI]],+Tabla5[[#This Row],[INVERSIONES FCI]]-AA160,Tabla5[[#This Row],[INVERSIONES FCI]])</f>
        <v>872567487.26774216</v>
      </c>
      <c r="AB161" s="5">
        <f>IF($B160&lt;=Tabla5[[#This Row],[INVERSIONES FCI]],+Tabla5[[#This Row],[INVERSIONES FCI]]-AB160,Tabla5[[#This Row],[INVERSIONES FCI]])</f>
        <v>872567487.26774216</v>
      </c>
      <c r="AC161" s="5">
        <f>IF($B160&lt;=Tabla5[[#This Row],[INVERSIONES FCI]],+Tabla5[[#This Row],[INVERSIONES FCI]]-AC160,Tabla5[[#This Row],[INVERSIONES FCI]])</f>
        <v>872567487.26774216</v>
      </c>
      <c r="AD161" s="5">
        <f>IF($B160&lt;=Tabla5[[#This Row],[INVERSIONES FCI]],+Tabla5[[#This Row],[INVERSIONES FCI]]-AD160,Tabla5[[#This Row],[INVERSIONES FCI]])</f>
        <v>872567487.26774216</v>
      </c>
      <c r="AE161" s="5">
        <f>IF($B160&lt;=Tabla5[[#This Row],[INVERSIONES FCI]],+Tabla5[[#This Row],[INVERSIONES FCI]]-AE160,Tabla5[[#This Row],[INVERSIONES FCI]])</f>
        <v>872567487.26774216</v>
      </c>
      <c r="AF161" s="5">
        <f>IF($B160&lt;=Tabla5[[#This Row],[INVERSIONES FCI]],+Tabla5[[#This Row],[INVERSIONES FCI]]-AF160,Tabla5[[#This Row],[INVERSIONES FCI]])</f>
        <v>872567487.26774216</v>
      </c>
      <c r="AG161" s="5">
        <f>IF($B160&lt;=Tabla5[[#This Row],[INVERSIONES FCI]],+Tabla5[[#This Row],[INVERSIONES FCI]]-AG160,Tabla5[[#This Row],[INVERSIONES FCI]])</f>
        <v>872567487.26774216</v>
      </c>
      <c r="AH161" s="5">
        <f>IF($B160&lt;=Tabla5[[#This Row],[INVERSIONES FCI]],+Tabla5[[#This Row],[INVERSIONES FCI]]-AH160,Tabla5[[#This Row],[INVERSIONES FCI]])</f>
        <v>872567487.26774216</v>
      </c>
      <c r="AI161" s="5">
        <f>IF($B160&lt;=Tabla5[[#This Row],[INVERSIONES FCI]],+Tabla5[[#This Row],[INVERSIONES FCI]]-AI160,Tabla5[[#This Row],[INVERSIONES FCI]])</f>
        <v>872567487.26774216</v>
      </c>
      <c r="AJ161" s="5">
        <f>IF($B160&lt;=Tabla5[[#This Row],[INVERSIONES FCI]],+Tabla5[[#This Row],[INVERSIONES FCI]]-AJ160,Tabla5[[#This Row],[INVERSIONES FCI]])</f>
        <v>872567487.26774216</v>
      </c>
      <c r="AK161" s="5">
        <f>IF($B160&lt;=Tabla5[[#This Row],[INVERSIONES FCI]],+Tabla5[[#This Row],[INVERSIONES FCI]]-AK160,Tabla5[[#This Row],[INVERSIONES FCI]])</f>
        <v>872567487.26774216</v>
      </c>
      <c r="AL161" s="5">
        <f>IF($B160&lt;=Tabla5[[#This Row],[INVERSIONES FCI]],+Tabla5[[#This Row],[INVERSIONES FCI]]-AL160,Tabla5[[#This Row],[INVERSIONES FCI]])</f>
        <v>872567487.26774216</v>
      </c>
      <c r="AM161" s="5">
        <f>IF($B160&lt;=Tabla5[[#This Row],[INVERSIONES FCI]],+Tabla5[[#This Row],[INVERSIONES FCI]]-AM160,Tabla5[[#This Row],[INVERSIONES FCI]])</f>
        <v>872567487.26774216</v>
      </c>
      <c r="AN161" s="5">
        <f>IF($B160&lt;=Tabla5[[#This Row],[INVERSIONES FCI]],+Tabla5[[#This Row],[INVERSIONES FCI]]-AN160,Tabla5[[#This Row],[INVERSIONES FCI]])</f>
        <v>872567487.26774216</v>
      </c>
      <c r="AO161" s="5">
        <f>IF($B160&lt;=Tabla5[[#This Row],[INVERSIONES FCI]],+Tabla5[[#This Row],[INVERSIONES FCI]]-AO160,Tabla5[[#This Row],[INVERSIONES FCI]])</f>
        <v>872567487.26774216</v>
      </c>
      <c r="AP161" s="5">
        <f>IF($B160&lt;=Tabla5[[#This Row],[INVERSIONES FCI]],+Tabla5[[#This Row],[INVERSIONES FCI]]-AP160,Tabla5[[#This Row],[INVERSIONES FCI]])</f>
        <v>872567487.26774216</v>
      </c>
      <c r="AQ161" s="5">
        <f>IF($B160&lt;=Tabla5[[#This Row],[INVERSIONES FCI]],+Tabla5[[#This Row],[INVERSIONES FCI]]-AQ160,Tabla5[[#This Row],[INVERSIONES FCI]])</f>
        <v>872567487.26774216</v>
      </c>
      <c r="AR161" s="5">
        <f>IF($B160&lt;=Tabla5[[#This Row],[INVERSIONES FCI]],+Tabla5[[#This Row],[INVERSIONES FCI]]-AR160,Tabla5[[#This Row],[INVERSIONES FCI]])</f>
        <v>872567487.26774216</v>
      </c>
      <c r="AS161" s="5">
        <f>IF($B160&lt;=Tabla5[[#This Row],[INVERSIONES FCI]],+Tabla5[[#This Row],[INVERSIONES FCI]]-AS160,Tabla5[[#This Row],[INVERSIONES FCI]])</f>
        <v>872567487.26774216</v>
      </c>
      <c r="AT161" s="5">
        <f>IF($B160&lt;=Tabla5[[#This Row],[INVERSIONES FCI]],+Tabla5[[#This Row],[INVERSIONES FCI]]-AT160,Tabla5[[#This Row],[INVERSIONES FCI]])</f>
        <v>872567487.26774216</v>
      </c>
      <c r="AU161" s="5">
        <f>IF($B160&lt;=Tabla5[[#This Row],[INVERSIONES FCI]],+Tabla5[[#This Row],[INVERSIONES FCI]]-AU160,Tabla5[[#This Row],[INVERSIONES FCI]])</f>
        <v>872567487.26774216</v>
      </c>
      <c r="AV161" s="5">
        <f>IF($B160&lt;=Tabla5[[#This Row],[INVERSIONES FCI]],+Tabla5[[#This Row],[INVERSIONES FCI]]-AV160,Tabla5[[#This Row],[INVERSIONES FCI]])</f>
        <v>872567487.26774216</v>
      </c>
      <c r="AW161" s="5">
        <f>IF($B160&lt;=Tabla5[[#This Row],[INVERSIONES FCI]],+Tabla5[[#This Row],[INVERSIONES FCI]]-AW160,Tabla5[[#This Row],[INVERSIONES FCI]])</f>
        <v>872567487.26774216</v>
      </c>
      <c r="AX161" s="5">
        <f>IF($B160&lt;=Tabla5[[#This Row],[INVERSIONES FCI]],+Tabla5[[#This Row],[INVERSIONES FCI]]-AX160,Tabla5[[#This Row],[INVERSIONES FCI]])</f>
        <v>872567487.26774216</v>
      </c>
      <c r="AY161" s="5">
        <f>IF($B160&lt;=Tabla5[[#This Row],[INVERSIONES FCI]],+Tabla5[[#This Row],[INVERSIONES FCI]]-AY160,Tabla5[[#This Row],[INVERSIONES FCI]])</f>
        <v>872567487.26774216</v>
      </c>
      <c r="AZ161" s="5">
        <f>IF($B160&lt;=Tabla5[[#This Row],[INVERSIONES FCI]],+Tabla5[[#This Row],[INVERSIONES FCI]]-AZ160,Tabla5[[#This Row],[INVERSIONES FCI]])</f>
        <v>872567487.26774216</v>
      </c>
      <c r="BA161" s="5">
        <f>IF($B160&lt;=Tabla5[[#This Row],[INVERSIONES FCI]],+Tabla5[[#This Row],[INVERSIONES FCI]]-BA160,Tabla5[[#This Row],[INVERSIONES FCI]])</f>
        <v>872567487.26774216</v>
      </c>
      <c r="BB161" s="5">
        <f>IF($B160&lt;=Tabla5[[#This Row],[INVERSIONES FCI]],+Tabla5[[#This Row],[INVERSIONES FCI]]-BB160,Tabla5[[#This Row],[INVERSIONES FCI]])</f>
        <v>872567487.26774216</v>
      </c>
      <c r="BC161" s="5">
        <f>IF($B160&lt;=Tabla5[[#This Row],[INVERSIONES FCI]],+Tabla5[[#This Row],[INVERSIONES FCI]]-BC160,Tabla5[[#This Row],[INVERSIONES FCI]])</f>
        <v>872567487.26774216</v>
      </c>
      <c r="BD161" s="5">
        <f>IF($B160&lt;=Tabla5[[#This Row],[INVERSIONES FCI]],+Tabla5[[#This Row],[INVERSIONES FCI]]-BD160,Tabla5[[#This Row],[INVERSIONES FCI]])</f>
        <v>872567487.26774216</v>
      </c>
      <c r="BE161" s="5">
        <f>IF($B160&lt;=Tabla5[[#This Row],[INVERSIONES FCI]],+Tabla5[[#This Row],[INVERSIONES FCI]]-BE160,Tabla5[[#This Row],[INVERSIONES FCI]])</f>
        <v>872567487.26774216</v>
      </c>
      <c r="BF161" s="5">
        <f>IF($B160&lt;=Tabla5[[#This Row],[INVERSIONES FCI]],+Tabla5[[#This Row],[INVERSIONES FCI]]-BF160,Tabla5[[#This Row],[INVERSIONES FCI]])</f>
        <v>872567487.26774216</v>
      </c>
      <c r="BG161" s="5">
        <f>IF($B160&lt;=Tabla5[[#This Row],[INVERSIONES FCI]],+Tabla5[[#This Row],[INVERSIONES FCI]]-BG160,Tabla5[[#This Row],[INVERSIONES FCI]])</f>
        <v>872567487.26774216</v>
      </c>
      <c r="BH161" s="5">
        <f>IF($B160&lt;=Tabla5[[#This Row],[INVERSIONES FCI]],+Tabla5[[#This Row],[INVERSIONES FCI]]-BH160,Tabla5[[#This Row],[INVERSIONES FCI]])</f>
        <v>872567487.26774216</v>
      </c>
      <c r="BI161" s="5">
        <f>IF($B160&lt;=Tabla5[[#This Row],[INVERSIONES FCI]],+Tabla5[[#This Row],[INVERSIONES FCI]]-BI160,Tabla5[[#This Row],[INVERSIONES FCI]])</f>
        <v>872567487.26774216</v>
      </c>
      <c r="BJ161" s="5">
        <f>IF($B160&lt;=Tabla5[[#This Row],[INVERSIONES FCI]],+Tabla5[[#This Row],[INVERSIONES FCI]]-BJ160,Tabla5[[#This Row],[INVERSIONES FCI]])</f>
        <v>872567487.26774216</v>
      </c>
      <c r="BK161" s="5">
        <f>IF($B160&lt;=Tabla5[[#This Row],[INVERSIONES FCI]],+Tabla5[[#This Row],[INVERSIONES FCI]]-BK160,Tabla5[[#This Row],[INVERSIONES FCI]])</f>
        <v>872567487.26774216</v>
      </c>
      <c r="BL161" s="5">
        <f>IF($B160&lt;=Tabla5[[#This Row],[INVERSIONES FCI]],+Tabla5[[#This Row],[INVERSIONES FCI]]-BL160,Tabla5[[#This Row],[INVERSIONES FCI]])</f>
        <v>872567487.26774216</v>
      </c>
      <c r="BM161" s="5">
        <f>IF($B160&lt;=Tabla5[[#This Row],[INVERSIONES FCI]],+Tabla5[[#This Row],[INVERSIONES FCI]]-BM160,Tabla5[[#This Row],[INVERSIONES FCI]])</f>
        <v>872567487.26774216</v>
      </c>
      <c r="BN161" s="5">
        <f>IF($B160&lt;=Tabla5[[#This Row],[INVERSIONES FCI]],+Tabla5[[#This Row],[INVERSIONES FCI]]-BN160,Tabla5[[#This Row],[INVERSIONES FCI]])</f>
        <v>872567487.26774216</v>
      </c>
      <c r="BO161" s="5">
        <f>IF($B160&lt;=Tabla5[[#This Row],[INVERSIONES FCI]],+Tabla5[[#This Row],[INVERSIONES FCI]]-BO160,Tabla5[[#This Row],[INVERSIONES FCI]])</f>
        <v>872567487.26774216</v>
      </c>
      <c r="BP161" s="5">
        <f>IF($B160&lt;=Tabla5[[#This Row],[INVERSIONES FCI]],+Tabla5[[#This Row],[INVERSIONES FCI]]-BP160,Tabla5[[#This Row],[INVERSIONES FCI]])</f>
        <v>872567487.26774216</v>
      </c>
      <c r="BQ161" s="5">
        <f>IF($B160&lt;=Tabla5[[#This Row],[INVERSIONES FCI]],+Tabla5[[#This Row],[INVERSIONES FCI]]-BQ160,Tabla5[[#This Row],[INVERSIONES FCI]])</f>
        <v>872567487.26774216</v>
      </c>
      <c r="BR161" s="5">
        <f>IF($B160&lt;=Tabla5[[#This Row],[INVERSIONES FCI]],+Tabla5[[#This Row],[INVERSIONES FCI]]-BR160,Tabla5[[#This Row],[INVERSIONES FCI]])</f>
        <v>872567487.26774216</v>
      </c>
      <c r="BS161" s="5">
        <f>IF($B160&lt;=Tabla5[[#This Row],[INVERSIONES FCI]],+Tabla5[[#This Row],[INVERSIONES FCI]]-BS160,Tabla5[[#This Row],[INVERSIONES FCI]])</f>
        <v>872567487.26774216</v>
      </c>
      <c r="BT161" s="5">
        <f>IF($B160&lt;=Tabla5[[#This Row],[INVERSIONES FCI]],+Tabla5[[#This Row],[INVERSIONES FCI]]-BT160,Tabla5[[#This Row],[INVERSIONES FCI]])</f>
        <v>872567487.26774216</v>
      </c>
      <c r="BU161" s="5">
        <f>IF($B160&lt;=Tabla5[[#This Row],[INVERSIONES FCI]],+Tabla5[[#This Row],[INVERSIONES FCI]]-BU160,Tabla5[[#This Row],[INVERSIONES FCI]])</f>
        <v>872567487.26774216</v>
      </c>
      <c r="BV161" s="5">
        <f>IF($B160&lt;=Tabla5[[#This Row],[INVERSIONES FCI]],+Tabla5[[#This Row],[INVERSIONES FCI]]-BV160,Tabla5[[#This Row],[INVERSIONES FCI]])</f>
        <v>872567487.26774216</v>
      </c>
      <c r="BW161" s="5">
        <f>IF($B160&lt;=Tabla5[[#This Row],[INVERSIONES FCI]],+Tabla5[[#This Row],[INVERSIONES FCI]]-BW160,Tabla5[[#This Row],[INVERSIONES FCI]])</f>
        <v>872567487.26774216</v>
      </c>
      <c r="BX161" s="5">
        <f>IF($B160&lt;=Tabla5[[#This Row],[INVERSIONES FCI]],+Tabla5[[#This Row],[INVERSIONES FCI]]-BX160,Tabla5[[#This Row],[INVERSIONES FCI]])</f>
        <v>872567487.26774216</v>
      </c>
      <c r="BY161" s="5">
        <f>IF($B160&lt;=Tabla5[[#This Row],[INVERSIONES FCI]],+Tabla5[[#This Row],[INVERSIONES FCI]]-BY160,Tabla5[[#This Row],[INVERSIONES FCI]])</f>
        <v>872567487.26774216</v>
      </c>
      <c r="BZ161" s="5">
        <f>IF($B160&lt;=Tabla5[[#This Row],[INVERSIONES FCI]],+Tabla5[[#This Row],[INVERSIONES FCI]]-BZ160,Tabla5[[#This Row],[INVERSIONES FCI]])</f>
        <v>872567487.26774216</v>
      </c>
      <c r="CA161" s="5">
        <f>IF($B160&lt;=Tabla5[[#This Row],[INVERSIONES FCI]],+Tabla5[[#This Row],[INVERSIONES FCI]]-CA160,Tabla5[[#This Row],[INVERSIONES FCI]])</f>
        <v>872567487.26774216</v>
      </c>
      <c r="CB161" s="5">
        <f>IF($B160&lt;=Tabla5[[#This Row],[INVERSIONES FCI]],+Tabla5[[#This Row],[INVERSIONES FCI]]-CB160,Tabla5[[#This Row],[INVERSIONES FCI]])</f>
        <v>872567487.26774216</v>
      </c>
      <c r="CC161" s="5">
        <f>IF($B160&lt;=Tabla5[[#This Row],[INVERSIONES FCI]],+Tabla5[[#This Row],[INVERSIONES FCI]]-CC160,Tabla5[[#This Row],[INVERSIONES FCI]])</f>
        <v>872567487.26774216</v>
      </c>
      <c r="CD161" s="5">
        <f>IF($B160&lt;=Tabla5[[#This Row],[INVERSIONES FCI]],+Tabla5[[#This Row],[INVERSIONES FCI]]-CD160,Tabla5[[#This Row],[INVERSIONES FCI]])</f>
        <v>872567487.26774216</v>
      </c>
      <c r="CE161" s="5">
        <f>IF($B160&lt;=Tabla5[[#This Row],[INVERSIONES FCI]],+Tabla5[[#This Row],[INVERSIONES FCI]]-CE160,Tabla5[[#This Row],[INVERSIONES FCI]])</f>
        <v>872567487.26774216</v>
      </c>
      <c r="CF161" s="5">
        <f>IF($B160&lt;=Tabla5[[#This Row],[INVERSIONES FCI]],+Tabla5[[#This Row],[INVERSIONES FCI]]-CF160,Tabla5[[#This Row],[INVERSIONES FCI]])</f>
        <v>872567487.26774216</v>
      </c>
      <c r="CG161" s="5">
        <f>IF($B160&lt;=Tabla5[[#This Row],[INVERSIONES FCI]],+Tabla5[[#This Row],[INVERSIONES FCI]]-CG160,Tabla5[[#This Row],[INVERSIONES FCI]])</f>
        <v>872567487.26774216</v>
      </c>
      <c r="CH161" s="5">
        <f>IF($B160&lt;=Tabla5[[#This Row],[INVERSIONES FCI]],+Tabla5[[#This Row],[INVERSIONES FCI]]-CH160,Tabla5[[#This Row],[INVERSIONES FCI]])</f>
        <v>872567487.26774216</v>
      </c>
      <c r="CI161" s="5">
        <f>IF($B160&lt;=Tabla5[[#This Row],[INVERSIONES FCI]],+Tabla5[[#This Row],[INVERSIONES FCI]]-CI160,Tabla5[[#This Row],[INVERSIONES FCI]])</f>
        <v>872567487.26774216</v>
      </c>
      <c r="CJ161" s="5">
        <f>IF($B160&lt;=Tabla5[[#This Row],[INVERSIONES FCI]],+Tabla5[[#This Row],[INVERSIONES FCI]]-CJ160,Tabla5[[#This Row],[INVERSIONES FCI]])</f>
        <v>872567487.26774216</v>
      </c>
      <c r="CK161" s="5">
        <f>IF($B160&lt;=Tabla5[[#This Row],[INVERSIONES FCI]],+Tabla5[[#This Row],[INVERSIONES FCI]]-CK160,Tabla5[[#This Row],[INVERSIONES FCI]])</f>
        <v>872567487.26774216</v>
      </c>
      <c r="CL161" s="5">
        <f>IF($B160&lt;=Tabla5[[#This Row],[INVERSIONES FCI]],+Tabla5[[#This Row],[INVERSIONES FCI]]-CL160,Tabla5[[#This Row],[INVERSIONES FCI]])</f>
        <v>872567487.26774216</v>
      </c>
      <c r="CM161" s="5">
        <f>IF($B160&lt;=Tabla5[[#This Row],[INVERSIONES FCI]],+Tabla5[[#This Row],[INVERSIONES FCI]]-CM160,Tabla5[[#This Row],[INVERSIONES FCI]])</f>
        <v>872567487.26774216</v>
      </c>
      <c r="CN161" s="5">
        <f>IF($B160&lt;=Tabla5[[#This Row],[INVERSIONES FCI]],+Tabla5[[#This Row],[INVERSIONES FCI]]-CN160,Tabla5[[#This Row],[INVERSIONES FCI]])</f>
        <v>872567487.26774216</v>
      </c>
      <c r="CO161" s="5">
        <f>IF($B160&lt;=Tabla5[[#This Row],[INVERSIONES FCI]],+Tabla5[[#This Row],[INVERSIONES FCI]]-CO160,Tabla5[[#This Row],[INVERSIONES FCI]])</f>
        <v>872567487.26774216</v>
      </c>
      <c r="CP161" s="5">
        <f>IF($B160&lt;=Tabla5[[#This Row],[INVERSIONES FCI]],+Tabla5[[#This Row],[INVERSIONES FCI]]-CP160,Tabla5[[#This Row],[INVERSIONES FCI]])</f>
        <v>872567487.26774216</v>
      </c>
      <c r="CQ161" s="5">
        <f>IF($B160&lt;=Tabla5[[#This Row],[INVERSIONES FCI]],+Tabla5[[#This Row],[INVERSIONES FCI]]-CQ160,Tabla5[[#This Row],[INVERSIONES FCI]])</f>
        <v>872567487.26774216</v>
      </c>
      <c r="CR161" s="5">
        <f>IF($B160&lt;=Tabla5[[#This Row],[INVERSIONES FCI]],+Tabla5[[#This Row],[INVERSIONES FCI]]-CR160,Tabla5[[#This Row],[INVERSIONES FCI]])</f>
        <v>872567487.26774216</v>
      </c>
      <c r="CS161" s="5">
        <f>IF($B160&lt;=Tabla5[[#This Row],[INVERSIONES FCI]],+Tabla5[[#This Row],[INVERSIONES FCI]]-CS160,Tabla5[[#This Row],[INVERSIONES FCI]])</f>
        <v>872567487.26774216</v>
      </c>
      <c r="CT161" s="5">
        <f>IF($B160&lt;=Tabla5[[#This Row],[INVERSIONES FCI]],+Tabla5[[#This Row],[INVERSIONES FCI]]-CT160,Tabla5[[#This Row],[INVERSIONES FCI]])</f>
        <v>872567487.26774216</v>
      </c>
      <c r="CU161" s="5">
        <f>IF($B160&lt;=Tabla5[[#This Row],[INVERSIONES FCI]],+Tabla5[[#This Row],[INVERSIONES FCI]]-CU160,Tabla5[[#This Row],[INVERSIONES FCI]])</f>
        <v>872567487.26774216</v>
      </c>
      <c r="CV161" s="5">
        <f>IF($B160&lt;=Tabla5[[#This Row],[INVERSIONES FCI]],+Tabla5[[#This Row],[INVERSIONES FCI]]-CV160,Tabla5[[#This Row],[INVERSIONES FCI]])</f>
        <v>872567487.26774216</v>
      </c>
      <c r="CW161" s="5">
        <f>IF($B160&lt;=Tabla5[[#This Row],[INVERSIONES FCI]],+Tabla5[[#This Row],[INVERSIONES FCI]]-CW160,Tabla5[[#This Row],[INVERSIONES FCI]])</f>
        <v>872567487.26774216</v>
      </c>
      <c r="CX161" s="5">
        <f>IF($B160&lt;=Tabla5[[#This Row],[INVERSIONES FCI]],+Tabla5[[#This Row],[INVERSIONES FCI]]-CX160,Tabla5[[#This Row],[INVERSIONES FCI]])</f>
        <v>872567487.26774216</v>
      </c>
      <c r="CY161" s="5">
        <f>IF($B160&lt;=Tabla5[[#This Row],[INVERSIONES FCI]],+Tabla5[[#This Row],[INVERSIONES FCI]]-CY160,Tabla5[[#This Row],[INVERSIONES FCI]])</f>
        <v>872567487.26774216</v>
      </c>
      <c r="CZ161" s="5">
        <f>IF($B160&lt;=Tabla5[[#This Row],[INVERSIONES FCI]],+Tabla5[[#This Row],[INVERSIONES FCI]]-CZ160,Tabla5[[#This Row],[INVERSIONES FCI]])</f>
        <v>872567487.26774216</v>
      </c>
      <c r="DA161" s="5">
        <f>IF($B160&lt;=Tabla5[[#This Row],[INVERSIONES FCI]],+Tabla5[[#This Row],[INVERSIONES FCI]]-DA160,Tabla5[[#This Row],[INVERSIONES FCI]])</f>
        <v>872567487.26774216</v>
      </c>
      <c r="DB161" s="5">
        <f>IF($B160&lt;=Tabla5[[#This Row],[INVERSIONES FCI]],+Tabla5[[#This Row],[INVERSIONES FCI]]-DB160,Tabla5[[#This Row],[INVERSIONES FCI]])</f>
        <v>872567487.26774216</v>
      </c>
      <c r="DC161" s="5">
        <f>IF($B160&lt;=Tabla5[[#This Row],[INVERSIONES FCI]],+Tabla5[[#This Row],[INVERSIONES FCI]]-DC160,Tabla5[[#This Row],[INVERSIONES FCI]])</f>
        <v>872567487.26774216</v>
      </c>
      <c r="DD161" s="5">
        <f>IF($B160&lt;=Tabla5[[#This Row],[INVERSIONES FCI]],+Tabla5[[#This Row],[INVERSIONES FCI]]-DD160,Tabla5[[#This Row],[INVERSIONES FCI]])</f>
        <v>872567487.26774216</v>
      </c>
      <c r="DE161" s="5">
        <f>IF($B160&lt;=Tabla5[[#This Row],[INVERSIONES FCI]],+Tabla5[[#This Row],[INVERSIONES FCI]]-DE160,Tabla5[[#This Row],[INVERSIONES FCI]])</f>
        <v>872567487.26774216</v>
      </c>
      <c r="DF161" s="5">
        <f>IF($B160&lt;=Tabla5[[#This Row],[INVERSIONES FCI]],+Tabla5[[#This Row],[INVERSIONES FCI]]-DF160,Tabla5[[#This Row],[INVERSIONES FCI]])</f>
        <v>872567487.26774216</v>
      </c>
      <c r="DG161" s="5">
        <f>IF($B160&lt;=Tabla5[[#This Row],[INVERSIONES FCI]],+Tabla5[[#This Row],[INVERSIONES FCI]]-DG160,Tabla5[[#This Row],[INVERSIONES FCI]])</f>
        <v>872567487.26774216</v>
      </c>
      <c r="DH161" s="5">
        <f>IF($B160&lt;=Tabla5[[#This Row],[INVERSIONES FCI]],+Tabla5[[#This Row],[INVERSIONES FCI]]-DH160,Tabla5[[#This Row],[INVERSIONES FCI]])</f>
        <v>872567487.26774216</v>
      </c>
      <c r="DI161" s="5">
        <f>IF($B160&lt;=Tabla5[[#This Row],[INVERSIONES FCI]],+Tabla5[[#This Row],[INVERSIONES FCI]]-DI160,Tabla5[[#This Row],[INVERSIONES FCI]])</f>
        <v>872567487.26774216</v>
      </c>
      <c r="DJ161" s="5">
        <f>IF($B160&lt;=Tabla5[[#This Row],[INVERSIONES FCI]],+Tabla5[[#This Row],[INVERSIONES FCI]]-DJ160,Tabla5[[#This Row],[INVERSIONES FCI]])</f>
        <v>872567487.26774216</v>
      </c>
      <c r="DK161" s="5">
        <f>IF($B160&lt;=Tabla5[[#This Row],[INVERSIONES FCI]],+Tabla5[[#This Row],[INVERSIONES FCI]]-DK160,Tabla5[[#This Row],[INVERSIONES FCI]])</f>
        <v>872567487.26774216</v>
      </c>
      <c r="DL161" s="5"/>
      <c r="DM161" s="5"/>
      <c r="DN161" s="5"/>
      <c r="DO161" s="5"/>
      <c r="DP161" s="5"/>
      <c r="DQ161" s="5"/>
    </row>
    <row r="162" spans="1:121" ht="14.4">
      <c r="A162" s="12" t="s">
        <v>161</v>
      </c>
      <c r="B162" s="5">
        <f>HLOOKUP($A162,ESCENARIO[#All],7,FALSE)</f>
        <v>15958999343.704777</v>
      </c>
      <c r="C162" s="5">
        <f>IF($B161&lt;=Tabla5[[#This Row],[INVERSIONES FCI]],+Tabla5[[#This Row],[INVERSIONES FCI]]-C161,Tabla5[[#This Row],[INVERSIONES FCI]])</f>
        <v>15086431856.437035</v>
      </c>
      <c r="D162" s="5">
        <f>IF($B161&lt;=Tabla5[[#This Row],[INVERSIONES FCI]],+Tabla5[[#This Row],[INVERSIONES FCI]]-D161,Tabla5[[#This Row],[INVERSIONES FCI]])</f>
        <v>15086431856.437035</v>
      </c>
      <c r="E162" s="5">
        <f>IF($B161&lt;=Tabla5[[#This Row],[INVERSIONES FCI]],+Tabla5[[#This Row],[INVERSIONES FCI]]-E161,Tabla5[[#This Row],[INVERSIONES FCI]])</f>
        <v>15086431856.437035</v>
      </c>
      <c r="F162" s="5">
        <f>IF($B161&lt;=Tabla5[[#This Row],[INVERSIONES FCI]],+Tabla5[[#This Row],[INVERSIONES FCI]]-F161,Tabla5[[#This Row],[INVERSIONES FCI]])</f>
        <v>15086431856.437035</v>
      </c>
      <c r="G162" s="5">
        <f>IF($B161&lt;=Tabla5[[#This Row],[INVERSIONES FCI]],+Tabla5[[#This Row],[INVERSIONES FCI]]-G161,Tabla5[[#This Row],[INVERSIONES FCI]])</f>
        <v>15086431856.437035</v>
      </c>
      <c r="H162" s="5">
        <f>IF($B161&lt;=Tabla5[[#This Row],[INVERSIONES FCI]],+Tabla5[[#This Row],[INVERSIONES FCI]]-H161,Tabla5[[#This Row],[INVERSIONES FCI]])</f>
        <v>15086431856.437035</v>
      </c>
      <c r="I162" s="5">
        <f>IF($B161&lt;=Tabla5[[#This Row],[INVERSIONES FCI]],+Tabla5[[#This Row],[INVERSIONES FCI]]-I161,Tabla5[[#This Row],[INVERSIONES FCI]])</f>
        <v>15086431856.437035</v>
      </c>
      <c r="J162" s="5">
        <f>IF($B161&lt;=Tabla5[[#This Row],[INVERSIONES FCI]],+Tabla5[[#This Row],[INVERSIONES FCI]]-J161,Tabla5[[#This Row],[INVERSIONES FCI]])</f>
        <v>15086431856.437035</v>
      </c>
      <c r="K162" s="5">
        <f>IF($B161&lt;=Tabla5[[#This Row],[INVERSIONES FCI]],+Tabla5[[#This Row],[INVERSIONES FCI]]-K161,Tabla5[[#This Row],[INVERSIONES FCI]])</f>
        <v>15086431856.437035</v>
      </c>
      <c r="L162" s="5">
        <f>IF($B161&lt;=Tabla5[[#This Row],[INVERSIONES FCI]],+Tabla5[[#This Row],[INVERSIONES FCI]]-L161,Tabla5[[#This Row],[INVERSIONES FCI]])</f>
        <v>15086431856.437035</v>
      </c>
      <c r="M162" s="5">
        <f>IF($B161&lt;=Tabla5[[#This Row],[INVERSIONES FCI]],+Tabla5[[#This Row],[INVERSIONES FCI]]-M161,Tabla5[[#This Row],[INVERSIONES FCI]])</f>
        <v>15086431856.437035</v>
      </c>
      <c r="N162" s="5">
        <f>IF($B161&lt;=Tabla5[[#This Row],[INVERSIONES FCI]],+Tabla5[[#This Row],[INVERSIONES FCI]]-N161,Tabla5[[#This Row],[INVERSIONES FCI]])</f>
        <v>15086431856.437035</v>
      </c>
      <c r="O162" s="5">
        <f>IF($B161&lt;=Tabla5[[#This Row],[INVERSIONES FCI]],+Tabla5[[#This Row],[INVERSIONES FCI]]-O161,Tabla5[[#This Row],[INVERSIONES FCI]])</f>
        <v>15086431856.437035</v>
      </c>
      <c r="P162" s="5">
        <f>IF($B161&lt;=Tabla5[[#This Row],[INVERSIONES FCI]],+Tabla5[[#This Row],[INVERSIONES FCI]]-P161,Tabla5[[#This Row],[INVERSIONES FCI]])</f>
        <v>15086431856.437035</v>
      </c>
      <c r="Q162" s="5">
        <f>IF($B161&lt;=Tabla5[[#This Row],[INVERSIONES FCI]],+Tabla5[[#This Row],[INVERSIONES FCI]]-Q161,Tabla5[[#This Row],[INVERSIONES FCI]])</f>
        <v>15086431856.437035</v>
      </c>
      <c r="R162" s="5">
        <f>IF($B161&lt;=Tabla5[[#This Row],[INVERSIONES FCI]],+Tabla5[[#This Row],[INVERSIONES FCI]]-R161,Tabla5[[#This Row],[INVERSIONES FCI]])</f>
        <v>15086431856.437035</v>
      </c>
      <c r="S162" s="5">
        <f>IF($B161&lt;=Tabla5[[#This Row],[INVERSIONES FCI]],+Tabla5[[#This Row],[INVERSIONES FCI]]-S161,Tabla5[[#This Row],[INVERSIONES FCI]])</f>
        <v>15086431856.437035</v>
      </c>
      <c r="T162" s="5">
        <f>IF($B161&lt;=Tabla5[[#This Row],[INVERSIONES FCI]],+Tabla5[[#This Row],[INVERSIONES FCI]]-T161,Tabla5[[#This Row],[INVERSIONES FCI]])</f>
        <v>15086431856.437035</v>
      </c>
      <c r="U162" s="5">
        <f>IF($B161&lt;=Tabla5[[#This Row],[INVERSIONES FCI]],+Tabla5[[#This Row],[INVERSIONES FCI]]-U161,Tabla5[[#This Row],[INVERSIONES FCI]])</f>
        <v>15086431856.437035</v>
      </c>
      <c r="V162" s="5">
        <f>IF($B161&lt;=Tabla5[[#This Row],[INVERSIONES FCI]],+Tabla5[[#This Row],[INVERSIONES FCI]]-V161,Tabla5[[#This Row],[INVERSIONES FCI]])</f>
        <v>15086431856.437035</v>
      </c>
      <c r="W162" s="5">
        <f>IF($B161&lt;=Tabla5[[#This Row],[INVERSIONES FCI]],+Tabla5[[#This Row],[INVERSIONES FCI]]-W161,Tabla5[[#This Row],[INVERSIONES FCI]])</f>
        <v>15086431856.437035</v>
      </c>
      <c r="X162" s="5">
        <f>IF($B161&lt;=Tabla5[[#This Row],[INVERSIONES FCI]],+Tabla5[[#This Row],[INVERSIONES FCI]]-X161,Tabla5[[#This Row],[INVERSIONES FCI]])</f>
        <v>15086431856.437035</v>
      </c>
      <c r="Y162" s="5">
        <f>IF($B161&lt;=Tabla5[[#This Row],[INVERSIONES FCI]],+Tabla5[[#This Row],[INVERSIONES FCI]]-Y161,Tabla5[[#This Row],[INVERSIONES FCI]])</f>
        <v>15086431856.437035</v>
      </c>
      <c r="Z162" s="5">
        <f>IF($B161&lt;=Tabla5[[#This Row],[INVERSIONES FCI]],+Tabla5[[#This Row],[INVERSIONES FCI]]-Z161,Tabla5[[#This Row],[INVERSIONES FCI]])</f>
        <v>15086431856.437035</v>
      </c>
      <c r="AA162" s="5">
        <f>IF($B161&lt;=Tabla5[[#This Row],[INVERSIONES FCI]],+Tabla5[[#This Row],[INVERSIONES FCI]]-AA161,Tabla5[[#This Row],[INVERSIONES FCI]])</f>
        <v>15086431856.437035</v>
      </c>
      <c r="AB162" s="5">
        <f>IF($B161&lt;=Tabla5[[#This Row],[INVERSIONES FCI]],+Tabla5[[#This Row],[INVERSIONES FCI]]-AB161,Tabla5[[#This Row],[INVERSIONES FCI]])</f>
        <v>15086431856.437035</v>
      </c>
      <c r="AC162" s="5">
        <f>IF($B161&lt;=Tabla5[[#This Row],[INVERSIONES FCI]],+Tabla5[[#This Row],[INVERSIONES FCI]]-AC161,Tabla5[[#This Row],[INVERSIONES FCI]])</f>
        <v>15086431856.437035</v>
      </c>
      <c r="AD162" s="5">
        <f>IF($B161&lt;=Tabla5[[#This Row],[INVERSIONES FCI]],+Tabla5[[#This Row],[INVERSIONES FCI]]-AD161,Tabla5[[#This Row],[INVERSIONES FCI]])</f>
        <v>15086431856.437035</v>
      </c>
      <c r="AE162" s="5">
        <f>IF($B161&lt;=Tabla5[[#This Row],[INVERSIONES FCI]],+Tabla5[[#This Row],[INVERSIONES FCI]]-AE161,Tabla5[[#This Row],[INVERSIONES FCI]])</f>
        <v>15086431856.437035</v>
      </c>
      <c r="AF162" s="5">
        <f>IF($B161&lt;=Tabla5[[#This Row],[INVERSIONES FCI]],+Tabla5[[#This Row],[INVERSIONES FCI]]-AF161,Tabla5[[#This Row],[INVERSIONES FCI]])</f>
        <v>15086431856.437035</v>
      </c>
      <c r="AG162" s="5">
        <f>IF($B161&lt;=Tabla5[[#This Row],[INVERSIONES FCI]],+Tabla5[[#This Row],[INVERSIONES FCI]]-AG161,Tabla5[[#This Row],[INVERSIONES FCI]])</f>
        <v>15086431856.437035</v>
      </c>
      <c r="AH162" s="5">
        <f>IF($B161&lt;=Tabla5[[#This Row],[INVERSIONES FCI]],+Tabla5[[#This Row],[INVERSIONES FCI]]-AH161,Tabla5[[#This Row],[INVERSIONES FCI]])</f>
        <v>15086431856.437035</v>
      </c>
      <c r="AI162" s="5">
        <f>IF($B161&lt;=Tabla5[[#This Row],[INVERSIONES FCI]],+Tabla5[[#This Row],[INVERSIONES FCI]]-AI161,Tabla5[[#This Row],[INVERSIONES FCI]])</f>
        <v>15086431856.437035</v>
      </c>
      <c r="AJ162" s="5">
        <f>IF($B161&lt;=Tabla5[[#This Row],[INVERSIONES FCI]],+Tabla5[[#This Row],[INVERSIONES FCI]]-AJ161,Tabla5[[#This Row],[INVERSIONES FCI]])</f>
        <v>15086431856.437035</v>
      </c>
      <c r="AK162" s="5">
        <f>IF($B161&lt;=Tabla5[[#This Row],[INVERSIONES FCI]],+Tabla5[[#This Row],[INVERSIONES FCI]]-AK161,Tabla5[[#This Row],[INVERSIONES FCI]])</f>
        <v>15086431856.437035</v>
      </c>
      <c r="AL162" s="5">
        <f>IF($B161&lt;=Tabla5[[#This Row],[INVERSIONES FCI]],+Tabla5[[#This Row],[INVERSIONES FCI]]-AL161,Tabla5[[#This Row],[INVERSIONES FCI]])</f>
        <v>15086431856.437035</v>
      </c>
      <c r="AM162" s="5">
        <f>IF($B161&lt;=Tabla5[[#This Row],[INVERSIONES FCI]],+Tabla5[[#This Row],[INVERSIONES FCI]]-AM161,Tabla5[[#This Row],[INVERSIONES FCI]])</f>
        <v>15086431856.437035</v>
      </c>
      <c r="AN162" s="5">
        <f>IF($B161&lt;=Tabla5[[#This Row],[INVERSIONES FCI]],+Tabla5[[#This Row],[INVERSIONES FCI]]-AN161,Tabla5[[#This Row],[INVERSIONES FCI]])</f>
        <v>15086431856.437035</v>
      </c>
      <c r="AO162" s="5">
        <f>IF($B161&lt;=Tabla5[[#This Row],[INVERSIONES FCI]],+Tabla5[[#This Row],[INVERSIONES FCI]]-AO161,Tabla5[[#This Row],[INVERSIONES FCI]])</f>
        <v>15086431856.437035</v>
      </c>
      <c r="AP162" s="5">
        <f>IF($B161&lt;=Tabla5[[#This Row],[INVERSIONES FCI]],+Tabla5[[#This Row],[INVERSIONES FCI]]-AP161,Tabla5[[#This Row],[INVERSIONES FCI]])</f>
        <v>15086431856.437035</v>
      </c>
      <c r="AQ162" s="5">
        <f>IF($B161&lt;=Tabla5[[#This Row],[INVERSIONES FCI]],+Tabla5[[#This Row],[INVERSIONES FCI]]-AQ161,Tabla5[[#This Row],[INVERSIONES FCI]])</f>
        <v>15086431856.437035</v>
      </c>
      <c r="AR162" s="5">
        <f>IF($B161&lt;=Tabla5[[#This Row],[INVERSIONES FCI]],+Tabla5[[#This Row],[INVERSIONES FCI]]-AR161,Tabla5[[#This Row],[INVERSIONES FCI]])</f>
        <v>15086431856.437035</v>
      </c>
      <c r="AS162" s="5">
        <f>IF($B161&lt;=Tabla5[[#This Row],[INVERSIONES FCI]],+Tabla5[[#This Row],[INVERSIONES FCI]]-AS161,Tabla5[[#This Row],[INVERSIONES FCI]])</f>
        <v>15086431856.437035</v>
      </c>
      <c r="AT162" s="5">
        <f>IF($B161&lt;=Tabla5[[#This Row],[INVERSIONES FCI]],+Tabla5[[#This Row],[INVERSIONES FCI]]-AT161,Tabla5[[#This Row],[INVERSIONES FCI]])</f>
        <v>15086431856.437035</v>
      </c>
      <c r="AU162" s="5">
        <f>IF($B161&lt;=Tabla5[[#This Row],[INVERSIONES FCI]],+Tabla5[[#This Row],[INVERSIONES FCI]]-AU161,Tabla5[[#This Row],[INVERSIONES FCI]])</f>
        <v>15086431856.437035</v>
      </c>
      <c r="AV162" s="5">
        <f>IF($B161&lt;=Tabla5[[#This Row],[INVERSIONES FCI]],+Tabla5[[#This Row],[INVERSIONES FCI]]-AV161,Tabla5[[#This Row],[INVERSIONES FCI]])</f>
        <v>15086431856.437035</v>
      </c>
      <c r="AW162" s="5">
        <f>IF($B161&lt;=Tabla5[[#This Row],[INVERSIONES FCI]],+Tabla5[[#This Row],[INVERSIONES FCI]]-AW161,Tabla5[[#This Row],[INVERSIONES FCI]])</f>
        <v>15086431856.437035</v>
      </c>
      <c r="AX162" s="5">
        <f>IF($B161&lt;=Tabla5[[#This Row],[INVERSIONES FCI]],+Tabla5[[#This Row],[INVERSIONES FCI]]-AX161,Tabla5[[#This Row],[INVERSIONES FCI]])</f>
        <v>15086431856.437035</v>
      </c>
      <c r="AY162" s="5">
        <f>IF($B161&lt;=Tabla5[[#This Row],[INVERSIONES FCI]],+Tabla5[[#This Row],[INVERSIONES FCI]]-AY161,Tabla5[[#This Row],[INVERSIONES FCI]])</f>
        <v>15086431856.437035</v>
      </c>
      <c r="AZ162" s="5">
        <f>IF($B161&lt;=Tabla5[[#This Row],[INVERSIONES FCI]],+Tabla5[[#This Row],[INVERSIONES FCI]]-AZ161,Tabla5[[#This Row],[INVERSIONES FCI]])</f>
        <v>15086431856.437035</v>
      </c>
      <c r="BA162" s="5">
        <f>IF($B161&lt;=Tabla5[[#This Row],[INVERSIONES FCI]],+Tabla5[[#This Row],[INVERSIONES FCI]]-BA161,Tabla5[[#This Row],[INVERSIONES FCI]])</f>
        <v>15086431856.437035</v>
      </c>
      <c r="BB162" s="5">
        <f>IF($B161&lt;=Tabla5[[#This Row],[INVERSIONES FCI]],+Tabla5[[#This Row],[INVERSIONES FCI]]-BB161,Tabla5[[#This Row],[INVERSIONES FCI]])</f>
        <v>15086431856.437035</v>
      </c>
      <c r="BC162" s="5">
        <f>IF($B161&lt;=Tabla5[[#This Row],[INVERSIONES FCI]],+Tabla5[[#This Row],[INVERSIONES FCI]]-BC161,Tabla5[[#This Row],[INVERSIONES FCI]])</f>
        <v>15086431856.437035</v>
      </c>
      <c r="BD162" s="5">
        <f>IF($B161&lt;=Tabla5[[#This Row],[INVERSIONES FCI]],+Tabla5[[#This Row],[INVERSIONES FCI]]-BD161,Tabla5[[#This Row],[INVERSIONES FCI]])</f>
        <v>15086431856.437035</v>
      </c>
      <c r="BE162" s="5">
        <f>IF($B161&lt;=Tabla5[[#This Row],[INVERSIONES FCI]],+Tabla5[[#This Row],[INVERSIONES FCI]]-BE161,Tabla5[[#This Row],[INVERSIONES FCI]])</f>
        <v>15086431856.437035</v>
      </c>
      <c r="BF162" s="5">
        <f>IF($B161&lt;=Tabla5[[#This Row],[INVERSIONES FCI]],+Tabla5[[#This Row],[INVERSIONES FCI]]-BF161,Tabla5[[#This Row],[INVERSIONES FCI]])</f>
        <v>15086431856.437035</v>
      </c>
      <c r="BG162" s="5">
        <f>IF($B161&lt;=Tabla5[[#This Row],[INVERSIONES FCI]],+Tabla5[[#This Row],[INVERSIONES FCI]]-BG161,Tabla5[[#This Row],[INVERSIONES FCI]])</f>
        <v>15086431856.437035</v>
      </c>
      <c r="BH162" s="5">
        <f>IF($B161&lt;=Tabla5[[#This Row],[INVERSIONES FCI]],+Tabla5[[#This Row],[INVERSIONES FCI]]-BH161,Tabla5[[#This Row],[INVERSIONES FCI]])</f>
        <v>15086431856.437035</v>
      </c>
      <c r="BI162" s="5">
        <f>IF($B161&lt;=Tabla5[[#This Row],[INVERSIONES FCI]],+Tabla5[[#This Row],[INVERSIONES FCI]]-BI161,Tabla5[[#This Row],[INVERSIONES FCI]])</f>
        <v>15086431856.437035</v>
      </c>
      <c r="BJ162" s="5">
        <f>IF($B161&lt;=Tabla5[[#This Row],[INVERSIONES FCI]],+Tabla5[[#This Row],[INVERSIONES FCI]]-BJ161,Tabla5[[#This Row],[INVERSIONES FCI]])</f>
        <v>15086431856.437035</v>
      </c>
      <c r="BK162" s="5">
        <f>IF($B161&lt;=Tabla5[[#This Row],[INVERSIONES FCI]],+Tabla5[[#This Row],[INVERSIONES FCI]]-BK161,Tabla5[[#This Row],[INVERSIONES FCI]])</f>
        <v>15086431856.437035</v>
      </c>
      <c r="BL162" s="5">
        <f>IF($B161&lt;=Tabla5[[#This Row],[INVERSIONES FCI]],+Tabla5[[#This Row],[INVERSIONES FCI]]-BL161,Tabla5[[#This Row],[INVERSIONES FCI]])</f>
        <v>15086431856.437035</v>
      </c>
      <c r="BM162" s="5">
        <f>IF($B161&lt;=Tabla5[[#This Row],[INVERSIONES FCI]],+Tabla5[[#This Row],[INVERSIONES FCI]]-BM161,Tabla5[[#This Row],[INVERSIONES FCI]])</f>
        <v>15086431856.437035</v>
      </c>
      <c r="BN162" s="5">
        <f>IF($B161&lt;=Tabla5[[#This Row],[INVERSIONES FCI]],+Tabla5[[#This Row],[INVERSIONES FCI]]-BN161,Tabla5[[#This Row],[INVERSIONES FCI]])</f>
        <v>15086431856.437035</v>
      </c>
      <c r="BO162" s="5">
        <f>IF($B161&lt;=Tabla5[[#This Row],[INVERSIONES FCI]],+Tabla5[[#This Row],[INVERSIONES FCI]]-BO161,Tabla5[[#This Row],[INVERSIONES FCI]])</f>
        <v>15086431856.437035</v>
      </c>
      <c r="BP162" s="5">
        <f>IF($B161&lt;=Tabla5[[#This Row],[INVERSIONES FCI]],+Tabla5[[#This Row],[INVERSIONES FCI]]-BP161,Tabla5[[#This Row],[INVERSIONES FCI]])</f>
        <v>15086431856.437035</v>
      </c>
      <c r="BQ162" s="5">
        <f>IF($B161&lt;=Tabla5[[#This Row],[INVERSIONES FCI]],+Tabla5[[#This Row],[INVERSIONES FCI]]-BQ161,Tabla5[[#This Row],[INVERSIONES FCI]])</f>
        <v>15086431856.437035</v>
      </c>
      <c r="BR162" s="5">
        <f>IF($B161&lt;=Tabla5[[#This Row],[INVERSIONES FCI]],+Tabla5[[#This Row],[INVERSIONES FCI]]-BR161,Tabla5[[#This Row],[INVERSIONES FCI]])</f>
        <v>15086431856.437035</v>
      </c>
      <c r="BS162" s="5">
        <f>IF($B161&lt;=Tabla5[[#This Row],[INVERSIONES FCI]],+Tabla5[[#This Row],[INVERSIONES FCI]]-BS161,Tabla5[[#This Row],[INVERSIONES FCI]])</f>
        <v>15086431856.437035</v>
      </c>
      <c r="BT162" s="5">
        <f>IF($B161&lt;=Tabla5[[#This Row],[INVERSIONES FCI]],+Tabla5[[#This Row],[INVERSIONES FCI]]-BT161,Tabla5[[#This Row],[INVERSIONES FCI]])</f>
        <v>15086431856.437035</v>
      </c>
      <c r="BU162" s="5">
        <f>IF($B161&lt;=Tabla5[[#This Row],[INVERSIONES FCI]],+Tabla5[[#This Row],[INVERSIONES FCI]]-BU161,Tabla5[[#This Row],[INVERSIONES FCI]])</f>
        <v>15086431856.437035</v>
      </c>
      <c r="BV162" s="5">
        <f>IF($B161&lt;=Tabla5[[#This Row],[INVERSIONES FCI]],+Tabla5[[#This Row],[INVERSIONES FCI]]-BV161,Tabla5[[#This Row],[INVERSIONES FCI]])</f>
        <v>15086431856.437035</v>
      </c>
      <c r="BW162" s="5">
        <f>IF($B161&lt;=Tabla5[[#This Row],[INVERSIONES FCI]],+Tabla5[[#This Row],[INVERSIONES FCI]]-BW161,Tabla5[[#This Row],[INVERSIONES FCI]])</f>
        <v>15086431856.437035</v>
      </c>
      <c r="BX162" s="5">
        <f>IF($B161&lt;=Tabla5[[#This Row],[INVERSIONES FCI]],+Tabla5[[#This Row],[INVERSIONES FCI]]-BX161,Tabla5[[#This Row],[INVERSIONES FCI]])</f>
        <v>15086431856.437035</v>
      </c>
      <c r="BY162" s="5">
        <f>IF($B161&lt;=Tabla5[[#This Row],[INVERSIONES FCI]],+Tabla5[[#This Row],[INVERSIONES FCI]]-BY161,Tabla5[[#This Row],[INVERSIONES FCI]])</f>
        <v>15086431856.437035</v>
      </c>
      <c r="BZ162" s="5">
        <f>IF($B161&lt;=Tabla5[[#This Row],[INVERSIONES FCI]],+Tabla5[[#This Row],[INVERSIONES FCI]]-BZ161,Tabla5[[#This Row],[INVERSIONES FCI]])</f>
        <v>15086431856.437035</v>
      </c>
      <c r="CA162" s="5">
        <f>IF($B161&lt;=Tabla5[[#This Row],[INVERSIONES FCI]],+Tabla5[[#This Row],[INVERSIONES FCI]]-CA161,Tabla5[[#This Row],[INVERSIONES FCI]])</f>
        <v>15086431856.437035</v>
      </c>
      <c r="CB162" s="5">
        <f>IF($B161&lt;=Tabla5[[#This Row],[INVERSIONES FCI]],+Tabla5[[#This Row],[INVERSIONES FCI]]-CB161,Tabla5[[#This Row],[INVERSIONES FCI]])</f>
        <v>15086431856.437035</v>
      </c>
      <c r="CC162" s="5">
        <f>IF($B161&lt;=Tabla5[[#This Row],[INVERSIONES FCI]],+Tabla5[[#This Row],[INVERSIONES FCI]]-CC161,Tabla5[[#This Row],[INVERSIONES FCI]])</f>
        <v>15086431856.437035</v>
      </c>
      <c r="CD162" s="5">
        <f>IF($B161&lt;=Tabla5[[#This Row],[INVERSIONES FCI]],+Tabla5[[#This Row],[INVERSIONES FCI]]-CD161,Tabla5[[#This Row],[INVERSIONES FCI]])</f>
        <v>15086431856.437035</v>
      </c>
      <c r="CE162" s="5">
        <f>IF($B161&lt;=Tabla5[[#This Row],[INVERSIONES FCI]],+Tabla5[[#This Row],[INVERSIONES FCI]]-CE161,Tabla5[[#This Row],[INVERSIONES FCI]])</f>
        <v>15086431856.437035</v>
      </c>
      <c r="CF162" s="5">
        <f>IF($B161&lt;=Tabla5[[#This Row],[INVERSIONES FCI]],+Tabla5[[#This Row],[INVERSIONES FCI]]-CF161,Tabla5[[#This Row],[INVERSIONES FCI]])</f>
        <v>15086431856.437035</v>
      </c>
      <c r="CG162" s="5">
        <f>IF($B161&lt;=Tabla5[[#This Row],[INVERSIONES FCI]],+Tabla5[[#This Row],[INVERSIONES FCI]]-CG161,Tabla5[[#This Row],[INVERSIONES FCI]])</f>
        <v>15086431856.437035</v>
      </c>
      <c r="CH162" s="5">
        <f>IF($B161&lt;=Tabla5[[#This Row],[INVERSIONES FCI]],+Tabla5[[#This Row],[INVERSIONES FCI]]-CH161,Tabla5[[#This Row],[INVERSIONES FCI]])</f>
        <v>15086431856.437035</v>
      </c>
      <c r="CI162" s="5">
        <f>IF($B161&lt;=Tabla5[[#This Row],[INVERSIONES FCI]],+Tabla5[[#This Row],[INVERSIONES FCI]]-CI161,Tabla5[[#This Row],[INVERSIONES FCI]])</f>
        <v>15086431856.437035</v>
      </c>
      <c r="CJ162" s="5">
        <f>IF($B161&lt;=Tabla5[[#This Row],[INVERSIONES FCI]],+Tabla5[[#This Row],[INVERSIONES FCI]]-CJ161,Tabla5[[#This Row],[INVERSIONES FCI]])</f>
        <v>15086431856.437035</v>
      </c>
      <c r="CK162" s="5">
        <f>IF($B161&lt;=Tabla5[[#This Row],[INVERSIONES FCI]],+Tabla5[[#This Row],[INVERSIONES FCI]]-CK161,Tabla5[[#This Row],[INVERSIONES FCI]])</f>
        <v>15086431856.437035</v>
      </c>
      <c r="CL162" s="5">
        <f>IF($B161&lt;=Tabla5[[#This Row],[INVERSIONES FCI]],+Tabla5[[#This Row],[INVERSIONES FCI]]-CL161,Tabla5[[#This Row],[INVERSIONES FCI]])</f>
        <v>15086431856.437035</v>
      </c>
      <c r="CM162" s="5">
        <f>IF($B161&lt;=Tabla5[[#This Row],[INVERSIONES FCI]],+Tabla5[[#This Row],[INVERSIONES FCI]]-CM161,Tabla5[[#This Row],[INVERSIONES FCI]])</f>
        <v>15086431856.437035</v>
      </c>
      <c r="CN162" s="5">
        <f>IF($B161&lt;=Tabla5[[#This Row],[INVERSIONES FCI]],+Tabla5[[#This Row],[INVERSIONES FCI]]-CN161,Tabla5[[#This Row],[INVERSIONES FCI]])</f>
        <v>15086431856.437035</v>
      </c>
      <c r="CO162" s="5">
        <f>IF($B161&lt;=Tabla5[[#This Row],[INVERSIONES FCI]],+Tabla5[[#This Row],[INVERSIONES FCI]]-CO161,Tabla5[[#This Row],[INVERSIONES FCI]])</f>
        <v>15086431856.437035</v>
      </c>
      <c r="CP162" s="5">
        <f>IF($B161&lt;=Tabla5[[#This Row],[INVERSIONES FCI]],+Tabla5[[#This Row],[INVERSIONES FCI]]-CP161,Tabla5[[#This Row],[INVERSIONES FCI]])</f>
        <v>15086431856.437035</v>
      </c>
      <c r="CQ162" s="5">
        <f>IF($B161&lt;=Tabla5[[#This Row],[INVERSIONES FCI]],+Tabla5[[#This Row],[INVERSIONES FCI]]-CQ161,Tabla5[[#This Row],[INVERSIONES FCI]])</f>
        <v>15086431856.437035</v>
      </c>
      <c r="CR162" s="5">
        <f>IF($B161&lt;=Tabla5[[#This Row],[INVERSIONES FCI]],+Tabla5[[#This Row],[INVERSIONES FCI]]-CR161,Tabla5[[#This Row],[INVERSIONES FCI]])</f>
        <v>15086431856.437035</v>
      </c>
      <c r="CS162" s="5">
        <f>IF($B161&lt;=Tabla5[[#This Row],[INVERSIONES FCI]],+Tabla5[[#This Row],[INVERSIONES FCI]]-CS161,Tabla5[[#This Row],[INVERSIONES FCI]])</f>
        <v>15086431856.437035</v>
      </c>
      <c r="CT162" s="5">
        <f>IF($B161&lt;=Tabla5[[#This Row],[INVERSIONES FCI]],+Tabla5[[#This Row],[INVERSIONES FCI]]-CT161,Tabla5[[#This Row],[INVERSIONES FCI]])</f>
        <v>15086431856.437035</v>
      </c>
      <c r="CU162" s="5">
        <f>IF($B161&lt;=Tabla5[[#This Row],[INVERSIONES FCI]],+Tabla5[[#This Row],[INVERSIONES FCI]]-CU161,Tabla5[[#This Row],[INVERSIONES FCI]])</f>
        <v>15086431856.437035</v>
      </c>
      <c r="CV162" s="5">
        <f>IF($B161&lt;=Tabla5[[#This Row],[INVERSIONES FCI]],+Tabla5[[#This Row],[INVERSIONES FCI]]-CV161,Tabla5[[#This Row],[INVERSIONES FCI]])</f>
        <v>15086431856.437035</v>
      </c>
      <c r="CW162" s="5">
        <f>IF($B161&lt;=Tabla5[[#This Row],[INVERSIONES FCI]],+Tabla5[[#This Row],[INVERSIONES FCI]]-CW161,Tabla5[[#This Row],[INVERSIONES FCI]])</f>
        <v>15086431856.437035</v>
      </c>
      <c r="CX162" s="5">
        <f>IF($B161&lt;=Tabla5[[#This Row],[INVERSIONES FCI]],+Tabla5[[#This Row],[INVERSIONES FCI]]-CX161,Tabla5[[#This Row],[INVERSIONES FCI]])</f>
        <v>15086431856.437035</v>
      </c>
      <c r="CY162" s="5">
        <f>IF($B161&lt;=Tabla5[[#This Row],[INVERSIONES FCI]],+Tabla5[[#This Row],[INVERSIONES FCI]]-CY161,Tabla5[[#This Row],[INVERSIONES FCI]])</f>
        <v>15086431856.437035</v>
      </c>
      <c r="CZ162" s="5">
        <f>IF($B161&lt;=Tabla5[[#This Row],[INVERSIONES FCI]],+Tabla5[[#This Row],[INVERSIONES FCI]]-CZ161,Tabla5[[#This Row],[INVERSIONES FCI]])</f>
        <v>15086431856.437035</v>
      </c>
      <c r="DA162" s="5">
        <f>IF($B161&lt;=Tabla5[[#This Row],[INVERSIONES FCI]],+Tabla5[[#This Row],[INVERSIONES FCI]]-DA161,Tabla5[[#This Row],[INVERSIONES FCI]])</f>
        <v>15086431856.437035</v>
      </c>
      <c r="DB162" s="5">
        <f>IF($B161&lt;=Tabla5[[#This Row],[INVERSIONES FCI]],+Tabla5[[#This Row],[INVERSIONES FCI]]-DB161,Tabla5[[#This Row],[INVERSIONES FCI]])</f>
        <v>15086431856.437035</v>
      </c>
      <c r="DC162" s="5">
        <f>IF($B161&lt;=Tabla5[[#This Row],[INVERSIONES FCI]],+Tabla5[[#This Row],[INVERSIONES FCI]]-DC161,Tabla5[[#This Row],[INVERSIONES FCI]])</f>
        <v>15086431856.437035</v>
      </c>
      <c r="DD162" s="5">
        <f>IF($B161&lt;=Tabla5[[#This Row],[INVERSIONES FCI]],+Tabla5[[#This Row],[INVERSIONES FCI]]-DD161,Tabla5[[#This Row],[INVERSIONES FCI]])</f>
        <v>15086431856.437035</v>
      </c>
      <c r="DE162" s="5">
        <f>IF($B161&lt;=Tabla5[[#This Row],[INVERSIONES FCI]],+Tabla5[[#This Row],[INVERSIONES FCI]]-DE161,Tabla5[[#This Row],[INVERSIONES FCI]])</f>
        <v>15086431856.437035</v>
      </c>
      <c r="DF162" s="5">
        <f>IF($B161&lt;=Tabla5[[#This Row],[INVERSIONES FCI]],+Tabla5[[#This Row],[INVERSIONES FCI]]-DF161,Tabla5[[#This Row],[INVERSIONES FCI]])</f>
        <v>15086431856.437035</v>
      </c>
      <c r="DG162" s="5">
        <f>IF($B161&lt;=Tabla5[[#This Row],[INVERSIONES FCI]],+Tabla5[[#This Row],[INVERSIONES FCI]]-DG161,Tabla5[[#This Row],[INVERSIONES FCI]])</f>
        <v>15086431856.437035</v>
      </c>
      <c r="DH162" s="5">
        <f>IF($B161&lt;=Tabla5[[#This Row],[INVERSIONES FCI]],+Tabla5[[#This Row],[INVERSIONES FCI]]-DH161,Tabla5[[#This Row],[INVERSIONES FCI]])</f>
        <v>15086431856.437035</v>
      </c>
      <c r="DI162" s="5">
        <f>IF($B161&lt;=Tabla5[[#This Row],[INVERSIONES FCI]],+Tabla5[[#This Row],[INVERSIONES FCI]]-DI161,Tabla5[[#This Row],[INVERSIONES FCI]])</f>
        <v>15086431856.437035</v>
      </c>
      <c r="DJ162" s="5">
        <f>IF($B161&lt;=Tabla5[[#This Row],[INVERSIONES FCI]],+Tabla5[[#This Row],[INVERSIONES FCI]]-DJ161,Tabla5[[#This Row],[INVERSIONES FCI]])</f>
        <v>15086431856.437035</v>
      </c>
      <c r="DK162" s="5">
        <f>IF($B161&lt;=Tabla5[[#This Row],[INVERSIONES FCI]],+Tabla5[[#This Row],[INVERSIONES FCI]]-DK161,Tabla5[[#This Row],[INVERSIONES FCI]])</f>
        <v>15086431856.437035</v>
      </c>
      <c r="DL162" s="5"/>
      <c r="DM162" s="5"/>
      <c r="DN162" s="5"/>
      <c r="DO162" s="5"/>
      <c r="DP162" s="5"/>
      <c r="DQ162" s="5"/>
    </row>
    <row r="163" spans="1:121" ht="14.4">
      <c r="A163" s="12" t="s">
        <v>162</v>
      </c>
      <c r="B163" s="5">
        <f>HLOOKUP($A163,ESCENARIO[#All],7,FALSE)</f>
        <v>15958999343.704777</v>
      </c>
      <c r="C163" s="5">
        <f>IF($B162&lt;=Tabla5[[#This Row],[INVERSIONES FCI]],+Tabla5[[#This Row],[INVERSIONES FCI]]-C162,Tabla5[[#This Row],[INVERSIONES FCI]])</f>
        <v>872567487.26774216</v>
      </c>
      <c r="D163" s="5">
        <f>IF($B162&lt;=Tabla5[[#This Row],[INVERSIONES FCI]],+Tabla5[[#This Row],[INVERSIONES FCI]]-D162,Tabla5[[#This Row],[INVERSIONES FCI]])</f>
        <v>872567487.26774216</v>
      </c>
      <c r="E163" s="5">
        <f>IF($B162&lt;=Tabla5[[#This Row],[INVERSIONES FCI]],+Tabla5[[#This Row],[INVERSIONES FCI]]-E162,Tabla5[[#This Row],[INVERSIONES FCI]])</f>
        <v>872567487.26774216</v>
      </c>
      <c r="F163" s="5">
        <f>IF($B162&lt;=Tabla5[[#This Row],[INVERSIONES FCI]],+Tabla5[[#This Row],[INVERSIONES FCI]]-F162,Tabla5[[#This Row],[INVERSIONES FCI]])</f>
        <v>872567487.26774216</v>
      </c>
      <c r="G163" s="5">
        <f>IF($B162&lt;=Tabla5[[#This Row],[INVERSIONES FCI]],+Tabla5[[#This Row],[INVERSIONES FCI]]-G162,Tabla5[[#This Row],[INVERSIONES FCI]])</f>
        <v>872567487.26774216</v>
      </c>
      <c r="H163" s="5">
        <f>IF($B162&lt;=Tabla5[[#This Row],[INVERSIONES FCI]],+Tabla5[[#This Row],[INVERSIONES FCI]]-H162,Tabla5[[#This Row],[INVERSIONES FCI]])</f>
        <v>872567487.26774216</v>
      </c>
      <c r="I163" s="5">
        <f>IF($B162&lt;=Tabla5[[#This Row],[INVERSIONES FCI]],+Tabla5[[#This Row],[INVERSIONES FCI]]-I162,Tabla5[[#This Row],[INVERSIONES FCI]])</f>
        <v>872567487.26774216</v>
      </c>
      <c r="J163" s="5">
        <f>IF($B162&lt;=Tabla5[[#This Row],[INVERSIONES FCI]],+Tabla5[[#This Row],[INVERSIONES FCI]]-J162,Tabla5[[#This Row],[INVERSIONES FCI]])</f>
        <v>872567487.26774216</v>
      </c>
      <c r="K163" s="5">
        <f>IF($B162&lt;=Tabla5[[#This Row],[INVERSIONES FCI]],+Tabla5[[#This Row],[INVERSIONES FCI]]-K162,Tabla5[[#This Row],[INVERSIONES FCI]])</f>
        <v>872567487.26774216</v>
      </c>
      <c r="L163" s="5">
        <f>IF($B162&lt;=Tabla5[[#This Row],[INVERSIONES FCI]],+Tabla5[[#This Row],[INVERSIONES FCI]]-L162,Tabla5[[#This Row],[INVERSIONES FCI]])</f>
        <v>872567487.26774216</v>
      </c>
      <c r="M163" s="5">
        <f>IF($B162&lt;=Tabla5[[#This Row],[INVERSIONES FCI]],+Tabla5[[#This Row],[INVERSIONES FCI]]-M162,Tabla5[[#This Row],[INVERSIONES FCI]])</f>
        <v>872567487.26774216</v>
      </c>
      <c r="N163" s="5">
        <f>IF($B162&lt;=Tabla5[[#This Row],[INVERSIONES FCI]],+Tabla5[[#This Row],[INVERSIONES FCI]]-N162,Tabla5[[#This Row],[INVERSIONES FCI]])</f>
        <v>872567487.26774216</v>
      </c>
      <c r="O163" s="5">
        <f>IF($B162&lt;=Tabla5[[#This Row],[INVERSIONES FCI]],+Tabla5[[#This Row],[INVERSIONES FCI]]-O162,Tabla5[[#This Row],[INVERSIONES FCI]])</f>
        <v>872567487.26774216</v>
      </c>
      <c r="P163" s="5">
        <f>IF($B162&lt;=Tabla5[[#This Row],[INVERSIONES FCI]],+Tabla5[[#This Row],[INVERSIONES FCI]]-P162,Tabla5[[#This Row],[INVERSIONES FCI]])</f>
        <v>872567487.26774216</v>
      </c>
      <c r="Q163" s="5">
        <f>IF($B162&lt;=Tabla5[[#This Row],[INVERSIONES FCI]],+Tabla5[[#This Row],[INVERSIONES FCI]]-Q162,Tabla5[[#This Row],[INVERSIONES FCI]])</f>
        <v>872567487.26774216</v>
      </c>
      <c r="R163" s="5">
        <f>IF($B162&lt;=Tabla5[[#This Row],[INVERSIONES FCI]],+Tabla5[[#This Row],[INVERSIONES FCI]]-R162,Tabla5[[#This Row],[INVERSIONES FCI]])</f>
        <v>872567487.26774216</v>
      </c>
      <c r="S163" s="5">
        <f>IF($B162&lt;=Tabla5[[#This Row],[INVERSIONES FCI]],+Tabla5[[#This Row],[INVERSIONES FCI]]-S162,Tabla5[[#This Row],[INVERSIONES FCI]])</f>
        <v>872567487.26774216</v>
      </c>
      <c r="T163" s="5">
        <f>IF($B162&lt;=Tabla5[[#This Row],[INVERSIONES FCI]],+Tabla5[[#This Row],[INVERSIONES FCI]]-T162,Tabla5[[#This Row],[INVERSIONES FCI]])</f>
        <v>872567487.26774216</v>
      </c>
      <c r="U163" s="5">
        <f>IF($B162&lt;=Tabla5[[#This Row],[INVERSIONES FCI]],+Tabla5[[#This Row],[INVERSIONES FCI]]-U162,Tabla5[[#This Row],[INVERSIONES FCI]])</f>
        <v>872567487.26774216</v>
      </c>
      <c r="V163" s="5">
        <f>IF($B162&lt;=Tabla5[[#This Row],[INVERSIONES FCI]],+Tabla5[[#This Row],[INVERSIONES FCI]]-V162,Tabla5[[#This Row],[INVERSIONES FCI]])</f>
        <v>872567487.26774216</v>
      </c>
      <c r="W163" s="5">
        <f>IF($B162&lt;=Tabla5[[#This Row],[INVERSIONES FCI]],+Tabla5[[#This Row],[INVERSIONES FCI]]-W162,Tabla5[[#This Row],[INVERSIONES FCI]])</f>
        <v>872567487.26774216</v>
      </c>
      <c r="X163" s="5">
        <f>IF($B162&lt;=Tabla5[[#This Row],[INVERSIONES FCI]],+Tabla5[[#This Row],[INVERSIONES FCI]]-X162,Tabla5[[#This Row],[INVERSIONES FCI]])</f>
        <v>872567487.26774216</v>
      </c>
      <c r="Y163" s="5">
        <f>IF($B162&lt;=Tabla5[[#This Row],[INVERSIONES FCI]],+Tabla5[[#This Row],[INVERSIONES FCI]]-Y162,Tabla5[[#This Row],[INVERSIONES FCI]])</f>
        <v>872567487.26774216</v>
      </c>
      <c r="Z163" s="5">
        <f>IF($B162&lt;=Tabla5[[#This Row],[INVERSIONES FCI]],+Tabla5[[#This Row],[INVERSIONES FCI]]-Z162,Tabla5[[#This Row],[INVERSIONES FCI]])</f>
        <v>872567487.26774216</v>
      </c>
      <c r="AA163" s="5">
        <f>IF($B162&lt;=Tabla5[[#This Row],[INVERSIONES FCI]],+Tabla5[[#This Row],[INVERSIONES FCI]]-AA162,Tabla5[[#This Row],[INVERSIONES FCI]])</f>
        <v>872567487.26774216</v>
      </c>
      <c r="AB163" s="5">
        <f>IF($B162&lt;=Tabla5[[#This Row],[INVERSIONES FCI]],+Tabla5[[#This Row],[INVERSIONES FCI]]-AB162,Tabla5[[#This Row],[INVERSIONES FCI]])</f>
        <v>872567487.26774216</v>
      </c>
      <c r="AC163" s="5">
        <f>IF($B162&lt;=Tabla5[[#This Row],[INVERSIONES FCI]],+Tabla5[[#This Row],[INVERSIONES FCI]]-AC162,Tabla5[[#This Row],[INVERSIONES FCI]])</f>
        <v>872567487.26774216</v>
      </c>
      <c r="AD163" s="5">
        <f>IF($B162&lt;=Tabla5[[#This Row],[INVERSIONES FCI]],+Tabla5[[#This Row],[INVERSIONES FCI]]-AD162,Tabla5[[#This Row],[INVERSIONES FCI]])</f>
        <v>872567487.26774216</v>
      </c>
      <c r="AE163" s="5">
        <f>IF($B162&lt;=Tabla5[[#This Row],[INVERSIONES FCI]],+Tabla5[[#This Row],[INVERSIONES FCI]]-AE162,Tabla5[[#This Row],[INVERSIONES FCI]])</f>
        <v>872567487.26774216</v>
      </c>
      <c r="AF163" s="5">
        <f>IF($B162&lt;=Tabla5[[#This Row],[INVERSIONES FCI]],+Tabla5[[#This Row],[INVERSIONES FCI]]-AF162,Tabla5[[#This Row],[INVERSIONES FCI]])</f>
        <v>872567487.26774216</v>
      </c>
      <c r="AG163" s="5">
        <f>IF($B162&lt;=Tabla5[[#This Row],[INVERSIONES FCI]],+Tabla5[[#This Row],[INVERSIONES FCI]]-AG162,Tabla5[[#This Row],[INVERSIONES FCI]])</f>
        <v>872567487.26774216</v>
      </c>
      <c r="AH163" s="5">
        <f>IF($B162&lt;=Tabla5[[#This Row],[INVERSIONES FCI]],+Tabla5[[#This Row],[INVERSIONES FCI]]-AH162,Tabla5[[#This Row],[INVERSIONES FCI]])</f>
        <v>872567487.26774216</v>
      </c>
      <c r="AI163" s="5">
        <f>IF($B162&lt;=Tabla5[[#This Row],[INVERSIONES FCI]],+Tabla5[[#This Row],[INVERSIONES FCI]]-AI162,Tabla5[[#This Row],[INVERSIONES FCI]])</f>
        <v>872567487.26774216</v>
      </c>
      <c r="AJ163" s="5">
        <f>IF($B162&lt;=Tabla5[[#This Row],[INVERSIONES FCI]],+Tabla5[[#This Row],[INVERSIONES FCI]]-AJ162,Tabla5[[#This Row],[INVERSIONES FCI]])</f>
        <v>872567487.26774216</v>
      </c>
      <c r="AK163" s="5">
        <f>IF($B162&lt;=Tabla5[[#This Row],[INVERSIONES FCI]],+Tabla5[[#This Row],[INVERSIONES FCI]]-AK162,Tabla5[[#This Row],[INVERSIONES FCI]])</f>
        <v>872567487.26774216</v>
      </c>
      <c r="AL163" s="5">
        <f>IF($B162&lt;=Tabla5[[#This Row],[INVERSIONES FCI]],+Tabla5[[#This Row],[INVERSIONES FCI]]-AL162,Tabla5[[#This Row],[INVERSIONES FCI]])</f>
        <v>872567487.26774216</v>
      </c>
      <c r="AM163" s="5">
        <f>IF($B162&lt;=Tabla5[[#This Row],[INVERSIONES FCI]],+Tabla5[[#This Row],[INVERSIONES FCI]]-AM162,Tabla5[[#This Row],[INVERSIONES FCI]])</f>
        <v>872567487.26774216</v>
      </c>
      <c r="AN163" s="5">
        <f>IF($B162&lt;=Tabla5[[#This Row],[INVERSIONES FCI]],+Tabla5[[#This Row],[INVERSIONES FCI]]-AN162,Tabla5[[#This Row],[INVERSIONES FCI]])</f>
        <v>872567487.26774216</v>
      </c>
      <c r="AO163" s="5">
        <f>IF($B162&lt;=Tabla5[[#This Row],[INVERSIONES FCI]],+Tabla5[[#This Row],[INVERSIONES FCI]]-AO162,Tabla5[[#This Row],[INVERSIONES FCI]])</f>
        <v>872567487.26774216</v>
      </c>
      <c r="AP163" s="5">
        <f>IF($B162&lt;=Tabla5[[#This Row],[INVERSIONES FCI]],+Tabla5[[#This Row],[INVERSIONES FCI]]-AP162,Tabla5[[#This Row],[INVERSIONES FCI]])</f>
        <v>872567487.26774216</v>
      </c>
      <c r="AQ163" s="5">
        <f>IF($B162&lt;=Tabla5[[#This Row],[INVERSIONES FCI]],+Tabla5[[#This Row],[INVERSIONES FCI]]-AQ162,Tabla5[[#This Row],[INVERSIONES FCI]])</f>
        <v>872567487.26774216</v>
      </c>
      <c r="AR163" s="5">
        <f>IF($B162&lt;=Tabla5[[#This Row],[INVERSIONES FCI]],+Tabla5[[#This Row],[INVERSIONES FCI]]-AR162,Tabla5[[#This Row],[INVERSIONES FCI]])</f>
        <v>872567487.26774216</v>
      </c>
      <c r="AS163" s="5">
        <f>IF($B162&lt;=Tabla5[[#This Row],[INVERSIONES FCI]],+Tabla5[[#This Row],[INVERSIONES FCI]]-AS162,Tabla5[[#This Row],[INVERSIONES FCI]])</f>
        <v>872567487.26774216</v>
      </c>
      <c r="AT163" s="5">
        <f>IF($B162&lt;=Tabla5[[#This Row],[INVERSIONES FCI]],+Tabla5[[#This Row],[INVERSIONES FCI]]-AT162,Tabla5[[#This Row],[INVERSIONES FCI]])</f>
        <v>872567487.26774216</v>
      </c>
      <c r="AU163" s="5">
        <f>IF($B162&lt;=Tabla5[[#This Row],[INVERSIONES FCI]],+Tabla5[[#This Row],[INVERSIONES FCI]]-AU162,Tabla5[[#This Row],[INVERSIONES FCI]])</f>
        <v>872567487.26774216</v>
      </c>
      <c r="AV163" s="5">
        <f>IF($B162&lt;=Tabla5[[#This Row],[INVERSIONES FCI]],+Tabla5[[#This Row],[INVERSIONES FCI]]-AV162,Tabla5[[#This Row],[INVERSIONES FCI]])</f>
        <v>872567487.26774216</v>
      </c>
      <c r="AW163" s="5">
        <f>IF($B162&lt;=Tabla5[[#This Row],[INVERSIONES FCI]],+Tabla5[[#This Row],[INVERSIONES FCI]]-AW162,Tabla5[[#This Row],[INVERSIONES FCI]])</f>
        <v>872567487.26774216</v>
      </c>
      <c r="AX163" s="5">
        <f>IF($B162&lt;=Tabla5[[#This Row],[INVERSIONES FCI]],+Tabla5[[#This Row],[INVERSIONES FCI]]-AX162,Tabla5[[#This Row],[INVERSIONES FCI]])</f>
        <v>872567487.26774216</v>
      </c>
      <c r="AY163" s="5">
        <f>IF($B162&lt;=Tabla5[[#This Row],[INVERSIONES FCI]],+Tabla5[[#This Row],[INVERSIONES FCI]]-AY162,Tabla5[[#This Row],[INVERSIONES FCI]])</f>
        <v>872567487.26774216</v>
      </c>
      <c r="AZ163" s="5">
        <f>IF($B162&lt;=Tabla5[[#This Row],[INVERSIONES FCI]],+Tabla5[[#This Row],[INVERSIONES FCI]]-AZ162,Tabla5[[#This Row],[INVERSIONES FCI]])</f>
        <v>872567487.26774216</v>
      </c>
      <c r="BA163" s="5">
        <f>IF($B162&lt;=Tabla5[[#This Row],[INVERSIONES FCI]],+Tabla5[[#This Row],[INVERSIONES FCI]]-BA162,Tabla5[[#This Row],[INVERSIONES FCI]])</f>
        <v>872567487.26774216</v>
      </c>
      <c r="BB163" s="5">
        <f>IF($B162&lt;=Tabla5[[#This Row],[INVERSIONES FCI]],+Tabla5[[#This Row],[INVERSIONES FCI]]-BB162,Tabla5[[#This Row],[INVERSIONES FCI]])</f>
        <v>872567487.26774216</v>
      </c>
      <c r="BC163" s="5">
        <f>IF($B162&lt;=Tabla5[[#This Row],[INVERSIONES FCI]],+Tabla5[[#This Row],[INVERSIONES FCI]]-BC162,Tabla5[[#This Row],[INVERSIONES FCI]])</f>
        <v>872567487.26774216</v>
      </c>
      <c r="BD163" s="5">
        <f>IF($B162&lt;=Tabla5[[#This Row],[INVERSIONES FCI]],+Tabla5[[#This Row],[INVERSIONES FCI]]-BD162,Tabla5[[#This Row],[INVERSIONES FCI]])</f>
        <v>872567487.26774216</v>
      </c>
      <c r="BE163" s="5">
        <f>IF($B162&lt;=Tabla5[[#This Row],[INVERSIONES FCI]],+Tabla5[[#This Row],[INVERSIONES FCI]]-BE162,Tabla5[[#This Row],[INVERSIONES FCI]])</f>
        <v>872567487.26774216</v>
      </c>
      <c r="BF163" s="5">
        <f>IF($B162&lt;=Tabla5[[#This Row],[INVERSIONES FCI]],+Tabla5[[#This Row],[INVERSIONES FCI]]-BF162,Tabla5[[#This Row],[INVERSIONES FCI]])</f>
        <v>872567487.26774216</v>
      </c>
      <c r="BG163" s="5">
        <f>IF($B162&lt;=Tabla5[[#This Row],[INVERSIONES FCI]],+Tabla5[[#This Row],[INVERSIONES FCI]]-BG162,Tabla5[[#This Row],[INVERSIONES FCI]])</f>
        <v>872567487.26774216</v>
      </c>
      <c r="BH163" s="5">
        <f>IF($B162&lt;=Tabla5[[#This Row],[INVERSIONES FCI]],+Tabla5[[#This Row],[INVERSIONES FCI]]-BH162,Tabla5[[#This Row],[INVERSIONES FCI]])</f>
        <v>872567487.26774216</v>
      </c>
      <c r="BI163" s="5">
        <f>IF($B162&lt;=Tabla5[[#This Row],[INVERSIONES FCI]],+Tabla5[[#This Row],[INVERSIONES FCI]]-BI162,Tabla5[[#This Row],[INVERSIONES FCI]])</f>
        <v>872567487.26774216</v>
      </c>
      <c r="BJ163" s="5">
        <f>IF($B162&lt;=Tabla5[[#This Row],[INVERSIONES FCI]],+Tabla5[[#This Row],[INVERSIONES FCI]]-BJ162,Tabla5[[#This Row],[INVERSIONES FCI]])</f>
        <v>872567487.26774216</v>
      </c>
      <c r="BK163" s="5">
        <f>IF($B162&lt;=Tabla5[[#This Row],[INVERSIONES FCI]],+Tabla5[[#This Row],[INVERSIONES FCI]]-BK162,Tabla5[[#This Row],[INVERSIONES FCI]])</f>
        <v>872567487.26774216</v>
      </c>
      <c r="BL163" s="5">
        <f>IF($B162&lt;=Tabla5[[#This Row],[INVERSIONES FCI]],+Tabla5[[#This Row],[INVERSIONES FCI]]-BL162,Tabla5[[#This Row],[INVERSIONES FCI]])</f>
        <v>872567487.26774216</v>
      </c>
      <c r="BM163" s="5">
        <f>IF($B162&lt;=Tabla5[[#This Row],[INVERSIONES FCI]],+Tabla5[[#This Row],[INVERSIONES FCI]]-BM162,Tabla5[[#This Row],[INVERSIONES FCI]])</f>
        <v>872567487.26774216</v>
      </c>
      <c r="BN163" s="5">
        <f>IF($B162&lt;=Tabla5[[#This Row],[INVERSIONES FCI]],+Tabla5[[#This Row],[INVERSIONES FCI]]-BN162,Tabla5[[#This Row],[INVERSIONES FCI]])</f>
        <v>872567487.26774216</v>
      </c>
      <c r="BO163" s="5">
        <f>IF($B162&lt;=Tabla5[[#This Row],[INVERSIONES FCI]],+Tabla5[[#This Row],[INVERSIONES FCI]]-BO162,Tabla5[[#This Row],[INVERSIONES FCI]])</f>
        <v>872567487.26774216</v>
      </c>
      <c r="BP163" s="5">
        <f>IF($B162&lt;=Tabla5[[#This Row],[INVERSIONES FCI]],+Tabla5[[#This Row],[INVERSIONES FCI]]-BP162,Tabla5[[#This Row],[INVERSIONES FCI]])</f>
        <v>872567487.26774216</v>
      </c>
      <c r="BQ163" s="5">
        <f>IF($B162&lt;=Tabla5[[#This Row],[INVERSIONES FCI]],+Tabla5[[#This Row],[INVERSIONES FCI]]-BQ162,Tabla5[[#This Row],[INVERSIONES FCI]])</f>
        <v>872567487.26774216</v>
      </c>
      <c r="BR163" s="5">
        <f>IF($B162&lt;=Tabla5[[#This Row],[INVERSIONES FCI]],+Tabla5[[#This Row],[INVERSIONES FCI]]-BR162,Tabla5[[#This Row],[INVERSIONES FCI]])</f>
        <v>872567487.26774216</v>
      </c>
      <c r="BS163" s="5">
        <f>IF($B162&lt;=Tabla5[[#This Row],[INVERSIONES FCI]],+Tabla5[[#This Row],[INVERSIONES FCI]]-BS162,Tabla5[[#This Row],[INVERSIONES FCI]])</f>
        <v>872567487.26774216</v>
      </c>
      <c r="BT163" s="5">
        <f>IF($B162&lt;=Tabla5[[#This Row],[INVERSIONES FCI]],+Tabla5[[#This Row],[INVERSIONES FCI]]-BT162,Tabla5[[#This Row],[INVERSIONES FCI]])</f>
        <v>872567487.26774216</v>
      </c>
      <c r="BU163" s="5">
        <f>IF($B162&lt;=Tabla5[[#This Row],[INVERSIONES FCI]],+Tabla5[[#This Row],[INVERSIONES FCI]]-BU162,Tabla5[[#This Row],[INVERSIONES FCI]])</f>
        <v>872567487.26774216</v>
      </c>
      <c r="BV163" s="5">
        <f>IF($B162&lt;=Tabla5[[#This Row],[INVERSIONES FCI]],+Tabla5[[#This Row],[INVERSIONES FCI]]-BV162,Tabla5[[#This Row],[INVERSIONES FCI]])</f>
        <v>872567487.26774216</v>
      </c>
      <c r="BW163" s="5">
        <f>IF($B162&lt;=Tabla5[[#This Row],[INVERSIONES FCI]],+Tabla5[[#This Row],[INVERSIONES FCI]]-BW162,Tabla5[[#This Row],[INVERSIONES FCI]])</f>
        <v>872567487.26774216</v>
      </c>
      <c r="BX163" s="5">
        <f>IF($B162&lt;=Tabla5[[#This Row],[INVERSIONES FCI]],+Tabla5[[#This Row],[INVERSIONES FCI]]-BX162,Tabla5[[#This Row],[INVERSIONES FCI]])</f>
        <v>872567487.26774216</v>
      </c>
      <c r="BY163" s="5">
        <f>IF($B162&lt;=Tabla5[[#This Row],[INVERSIONES FCI]],+Tabla5[[#This Row],[INVERSIONES FCI]]-BY162,Tabla5[[#This Row],[INVERSIONES FCI]])</f>
        <v>872567487.26774216</v>
      </c>
      <c r="BZ163" s="5">
        <f>IF($B162&lt;=Tabla5[[#This Row],[INVERSIONES FCI]],+Tabla5[[#This Row],[INVERSIONES FCI]]-BZ162,Tabla5[[#This Row],[INVERSIONES FCI]])</f>
        <v>872567487.26774216</v>
      </c>
      <c r="CA163" s="5">
        <f>IF($B162&lt;=Tabla5[[#This Row],[INVERSIONES FCI]],+Tabla5[[#This Row],[INVERSIONES FCI]]-CA162,Tabla5[[#This Row],[INVERSIONES FCI]])</f>
        <v>872567487.26774216</v>
      </c>
      <c r="CB163" s="5">
        <f>IF($B162&lt;=Tabla5[[#This Row],[INVERSIONES FCI]],+Tabla5[[#This Row],[INVERSIONES FCI]]-CB162,Tabla5[[#This Row],[INVERSIONES FCI]])</f>
        <v>872567487.26774216</v>
      </c>
      <c r="CC163" s="5">
        <f>IF($B162&lt;=Tabla5[[#This Row],[INVERSIONES FCI]],+Tabla5[[#This Row],[INVERSIONES FCI]]-CC162,Tabla5[[#This Row],[INVERSIONES FCI]])</f>
        <v>872567487.26774216</v>
      </c>
      <c r="CD163" s="5">
        <f>IF($B162&lt;=Tabla5[[#This Row],[INVERSIONES FCI]],+Tabla5[[#This Row],[INVERSIONES FCI]]-CD162,Tabla5[[#This Row],[INVERSIONES FCI]])</f>
        <v>872567487.26774216</v>
      </c>
      <c r="CE163" s="5">
        <f>IF($B162&lt;=Tabla5[[#This Row],[INVERSIONES FCI]],+Tabla5[[#This Row],[INVERSIONES FCI]]-CE162,Tabla5[[#This Row],[INVERSIONES FCI]])</f>
        <v>872567487.26774216</v>
      </c>
      <c r="CF163" s="5">
        <f>IF($B162&lt;=Tabla5[[#This Row],[INVERSIONES FCI]],+Tabla5[[#This Row],[INVERSIONES FCI]]-CF162,Tabla5[[#This Row],[INVERSIONES FCI]])</f>
        <v>872567487.26774216</v>
      </c>
      <c r="CG163" s="5">
        <f>IF($B162&lt;=Tabla5[[#This Row],[INVERSIONES FCI]],+Tabla5[[#This Row],[INVERSIONES FCI]]-CG162,Tabla5[[#This Row],[INVERSIONES FCI]])</f>
        <v>872567487.26774216</v>
      </c>
      <c r="CH163" s="5">
        <f>IF($B162&lt;=Tabla5[[#This Row],[INVERSIONES FCI]],+Tabla5[[#This Row],[INVERSIONES FCI]]-CH162,Tabla5[[#This Row],[INVERSIONES FCI]])</f>
        <v>872567487.26774216</v>
      </c>
      <c r="CI163" s="5">
        <f>IF($B162&lt;=Tabla5[[#This Row],[INVERSIONES FCI]],+Tabla5[[#This Row],[INVERSIONES FCI]]-CI162,Tabla5[[#This Row],[INVERSIONES FCI]])</f>
        <v>872567487.26774216</v>
      </c>
      <c r="CJ163" s="5">
        <f>IF($B162&lt;=Tabla5[[#This Row],[INVERSIONES FCI]],+Tabla5[[#This Row],[INVERSIONES FCI]]-CJ162,Tabla5[[#This Row],[INVERSIONES FCI]])</f>
        <v>872567487.26774216</v>
      </c>
      <c r="CK163" s="5">
        <f>IF($B162&lt;=Tabla5[[#This Row],[INVERSIONES FCI]],+Tabla5[[#This Row],[INVERSIONES FCI]]-CK162,Tabla5[[#This Row],[INVERSIONES FCI]])</f>
        <v>872567487.26774216</v>
      </c>
      <c r="CL163" s="5">
        <f>IF($B162&lt;=Tabla5[[#This Row],[INVERSIONES FCI]],+Tabla5[[#This Row],[INVERSIONES FCI]]-CL162,Tabla5[[#This Row],[INVERSIONES FCI]])</f>
        <v>872567487.26774216</v>
      </c>
      <c r="CM163" s="5">
        <f>IF($B162&lt;=Tabla5[[#This Row],[INVERSIONES FCI]],+Tabla5[[#This Row],[INVERSIONES FCI]]-CM162,Tabla5[[#This Row],[INVERSIONES FCI]])</f>
        <v>872567487.26774216</v>
      </c>
      <c r="CN163" s="5">
        <f>IF($B162&lt;=Tabla5[[#This Row],[INVERSIONES FCI]],+Tabla5[[#This Row],[INVERSIONES FCI]]-CN162,Tabla5[[#This Row],[INVERSIONES FCI]])</f>
        <v>872567487.26774216</v>
      </c>
      <c r="CO163" s="5">
        <f>IF($B162&lt;=Tabla5[[#This Row],[INVERSIONES FCI]],+Tabla5[[#This Row],[INVERSIONES FCI]]-CO162,Tabla5[[#This Row],[INVERSIONES FCI]])</f>
        <v>872567487.26774216</v>
      </c>
      <c r="CP163" s="5">
        <f>IF($B162&lt;=Tabla5[[#This Row],[INVERSIONES FCI]],+Tabla5[[#This Row],[INVERSIONES FCI]]-CP162,Tabla5[[#This Row],[INVERSIONES FCI]])</f>
        <v>872567487.26774216</v>
      </c>
      <c r="CQ163" s="5">
        <f>IF($B162&lt;=Tabla5[[#This Row],[INVERSIONES FCI]],+Tabla5[[#This Row],[INVERSIONES FCI]]-CQ162,Tabla5[[#This Row],[INVERSIONES FCI]])</f>
        <v>872567487.26774216</v>
      </c>
      <c r="CR163" s="5">
        <f>IF($B162&lt;=Tabla5[[#This Row],[INVERSIONES FCI]],+Tabla5[[#This Row],[INVERSIONES FCI]]-CR162,Tabla5[[#This Row],[INVERSIONES FCI]])</f>
        <v>872567487.26774216</v>
      </c>
      <c r="CS163" s="5">
        <f>IF($B162&lt;=Tabla5[[#This Row],[INVERSIONES FCI]],+Tabla5[[#This Row],[INVERSIONES FCI]]-CS162,Tabla5[[#This Row],[INVERSIONES FCI]])</f>
        <v>872567487.26774216</v>
      </c>
      <c r="CT163" s="5">
        <f>IF($B162&lt;=Tabla5[[#This Row],[INVERSIONES FCI]],+Tabla5[[#This Row],[INVERSIONES FCI]]-CT162,Tabla5[[#This Row],[INVERSIONES FCI]])</f>
        <v>872567487.26774216</v>
      </c>
      <c r="CU163" s="5">
        <f>IF($B162&lt;=Tabla5[[#This Row],[INVERSIONES FCI]],+Tabla5[[#This Row],[INVERSIONES FCI]]-CU162,Tabla5[[#This Row],[INVERSIONES FCI]])</f>
        <v>872567487.26774216</v>
      </c>
      <c r="CV163" s="5">
        <f>IF($B162&lt;=Tabla5[[#This Row],[INVERSIONES FCI]],+Tabla5[[#This Row],[INVERSIONES FCI]]-CV162,Tabla5[[#This Row],[INVERSIONES FCI]])</f>
        <v>872567487.26774216</v>
      </c>
      <c r="CW163" s="5">
        <f>IF($B162&lt;=Tabla5[[#This Row],[INVERSIONES FCI]],+Tabla5[[#This Row],[INVERSIONES FCI]]-CW162,Tabla5[[#This Row],[INVERSIONES FCI]])</f>
        <v>872567487.26774216</v>
      </c>
      <c r="CX163" s="5">
        <f>IF($B162&lt;=Tabla5[[#This Row],[INVERSIONES FCI]],+Tabla5[[#This Row],[INVERSIONES FCI]]-CX162,Tabla5[[#This Row],[INVERSIONES FCI]])</f>
        <v>872567487.26774216</v>
      </c>
      <c r="CY163" s="5">
        <f>IF($B162&lt;=Tabla5[[#This Row],[INVERSIONES FCI]],+Tabla5[[#This Row],[INVERSIONES FCI]]-CY162,Tabla5[[#This Row],[INVERSIONES FCI]])</f>
        <v>872567487.26774216</v>
      </c>
      <c r="CZ163" s="5">
        <f>IF($B162&lt;=Tabla5[[#This Row],[INVERSIONES FCI]],+Tabla5[[#This Row],[INVERSIONES FCI]]-CZ162,Tabla5[[#This Row],[INVERSIONES FCI]])</f>
        <v>872567487.26774216</v>
      </c>
      <c r="DA163" s="5">
        <f>IF($B162&lt;=Tabla5[[#This Row],[INVERSIONES FCI]],+Tabla5[[#This Row],[INVERSIONES FCI]]-DA162,Tabla5[[#This Row],[INVERSIONES FCI]])</f>
        <v>872567487.26774216</v>
      </c>
      <c r="DB163" s="5">
        <f>IF($B162&lt;=Tabla5[[#This Row],[INVERSIONES FCI]],+Tabla5[[#This Row],[INVERSIONES FCI]]-DB162,Tabla5[[#This Row],[INVERSIONES FCI]])</f>
        <v>872567487.26774216</v>
      </c>
      <c r="DC163" s="5">
        <f>IF($B162&lt;=Tabla5[[#This Row],[INVERSIONES FCI]],+Tabla5[[#This Row],[INVERSIONES FCI]]-DC162,Tabla5[[#This Row],[INVERSIONES FCI]])</f>
        <v>872567487.26774216</v>
      </c>
      <c r="DD163" s="5">
        <f>IF($B162&lt;=Tabla5[[#This Row],[INVERSIONES FCI]],+Tabla5[[#This Row],[INVERSIONES FCI]]-DD162,Tabla5[[#This Row],[INVERSIONES FCI]])</f>
        <v>872567487.26774216</v>
      </c>
      <c r="DE163" s="5">
        <f>IF($B162&lt;=Tabla5[[#This Row],[INVERSIONES FCI]],+Tabla5[[#This Row],[INVERSIONES FCI]]-DE162,Tabla5[[#This Row],[INVERSIONES FCI]])</f>
        <v>872567487.26774216</v>
      </c>
      <c r="DF163" s="5">
        <f>IF($B162&lt;=Tabla5[[#This Row],[INVERSIONES FCI]],+Tabla5[[#This Row],[INVERSIONES FCI]]-DF162,Tabla5[[#This Row],[INVERSIONES FCI]])</f>
        <v>872567487.26774216</v>
      </c>
      <c r="DG163" s="5">
        <f>IF($B162&lt;=Tabla5[[#This Row],[INVERSIONES FCI]],+Tabla5[[#This Row],[INVERSIONES FCI]]-DG162,Tabla5[[#This Row],[INVERSIONES FCI]])</f>
        <v>872567487.26774216</v>
      </c>
      <c r="DH163" s="5">
        <f>IF($B162&lt;=Tabla5[[#This Row],[INVERSIONES FCI]],+Tabla5[[#This Row],[INVERSIONES FCI]]-DH162,Tabla5[[#This Row],[INVERSIONES FCI]])</f>
        <v>872567487.26774216</v>
      </c>
      <c r="DI163" s="5">
        <f>IF($B162&lt;=Tabla5[[#This Row],[INVERSIONES FCI]],+Tabla5[[#This Row],[INVERSIONES FCI]]-DI162,Tabla5[[#This Row],[INVERSIONES FCI]])</f>
        <v>872567487.26774216</v>
      </c>
      <c r="DJ163" s="5">
        <f>IF($B162&lt;=Tabla5[[#This Row],[INVERSIONES FCI]],+Tabla5[[#This Row],[INVERSIONES FCI]]-DJ162,Tabla5[[#This Row],[INVERSIONES FCI]])</f>
        <v>872567487.26774216</v>
      </c>
      <c r="DK163" s="5">
        <f>IF($B162&lt;=Tabla5[[#This Row],[INVERSIONES FCI]],+Tabla5[[#This Row],[INVERSIONES FCI]]-DK162,Tabla5[[#This Row],[INVERSIONES FCI]])</f>
        <v>872567487.26774216</v>
      </c>
      <c r="DL163" s="5"/>
      <c r="DM163" s="5"/>
      <c r="DN163" s="5"/>
      <c r="DO163" s="5"/>
      <c r="DP163" s="5"/>
      <c r="DQ163" s="5"/>
    </row>
    <row r="164" spans="1:121" ht="14.4">
      <c r="A164" s="12" t="s">
        <v>163</v>
      </c>
      <c r="B164" s="5">
        <f>HLOOKUP($A164,ESCENARIO[#All],7,FALSE)</f>
        <v>15958999343.704777</v>
      </c>
      <c r="C164" s="5">
        <f>IF($B163&lt;=Tabla5[[#This Row],[INVERSIONES FCI]],+Tabla5[[#This Row],[INVERSIONES FCI]]-C163,Tabla5[[#This Row],[INVERSIONES FCI]])</f>
        <v>15086431856.437035</v>
      </c>
      <c r="D164" s="5">
        <f>IF($B163&lt;=Tabla5[[#This Row],[INVERSIONES FCI]],+Tabla5[[#This Row],[INVERSIONES FCI]]-D163,Tabla5[[#This Row],[INVERSIONES FCI]])</f>
        <v>15086431856.437035</v>
      </c>
      <c r="E164" s="5">
        <f>IF($B163&lt;=Tabla5[[#This Row],[INVERSIONES FCI]],+Tabla5[[#This Row],[INVERSIONES FCI]]-E163,Tabla5[[#This Row],[INVERSIONES FCI]])</f>
        <v>15086431856.437035</v>
      </c>
      <c r="F164" s="5">
        <f>IF($B163&lt;=Tabla5[[#This Row],[INVERSIONES FCI]],+Tabla5[[#This Row],[INVERSIONES FCI]]-F163,Tabla5[[#This Row],[INVERSIONES FCI]])</f>
        <v>15086431856.437035</v>
      </c>
      <c r="G164" s="5">
        <f>IF($B163&lt;=Tabla5[[#This Row],[INVERSIONES FCI]],+Tabla5[[#This Row],[INVERSIONES FCI]]-G163,Tabla5[[#This Row],[INVERSIONES FCI]])</f>
        <v>15086431856.437035</v>
      </c>
      <c r="H164" s="5">
        <f>IF($B163&lt;=Tabla5[[#This Row],[INVERSIONES FCI]],+Tabla5[[#This Row],[INVERSIONES FCI]]-H163,Tabla5[[#This Row],[INVERSIONES FCI]])</f>
        <v>15086431856.437035</v>
      </c>
      <c r="I164" s="5">
        <f>IF($B163&lt;=Tabla5[[#This Row],[INVERSIONES FCI]],+Tabla5[[#This Row],[INVERSIONES FCI]]-I163,Tabla5[[#This Row],[INVERSIONES FCI]])</f>
        <v>15086431856.437035</v>
      </c>
      <c r="J164" s="5">
        <f>IF($B163&lt;=Tabla5[[#This Row],[INVERSIONES FCI]],+Tabla5[[#This Row],[INVERSIONES FCI]]-J163,Tabla5[[#This Row],[INVERSIONES FCI]])</f>
        <v>15086431856.437035</v>
      </c>
      <c r="K164" s="5">
        <f>IF($B163&lt;=Tabla5[[#This Row],[INVERSIONES FCI]],+Tabla5[[#This Row],[INVERSIONES FCI]]-K163,Tabla5[[#This Row],[INVERSIONES FCI]])</f>
        <v>15086431856.437035</v>
      </c>
      <c r="L164" s="5">
        <f>IF($B163&lt;=Tabla5[[#This Row],[INVERSIONES FCI]],+Tabla5[[#This Row],[INVERSIONES FCI]]-L163,Tabla5[[#This Row],[INVERSIONES FCI]])</f>
        <v>15086431856.437035</v>
      </c>
      <c r="M164" s="5">
        <f>IF($B163&lt;=Tabla5[[#This Row],[INVERSIONES FCI]],+Tabla5[[#This Row],[INVERSIONES FCI]]-M163,Tabla5[[#This Row],[INVERSIONES FCI]])</f>
        <v>15086431856.437035</v>
      </c>
      <c r="N164" s="5">
        <f>IF($B163&lt;=Tabla5[[#This Row],[INVERSIONES FCI]],+Tabla5[[#This Row],[INVERSIONES FCI]]-N163,Tabla5[[#This Row],[INVERSIONES FCI]])</f>
        <v>15086431856.437035</v>
      </c>
      <c r="O164" s="5">
        <f>IF($B163&lt;=Tabla5[[#This Row],[INVERSIONES FCI]],+Tabla5[[#This Row],[INVERSIONES FCI]]-O163,Tabla5[[#This Row],[INVERSIONES FCI]])</f>
        <v>15086431856.437035</v>
      </c>
      <c r="P164" s="5">
        <f>IF($B163&lt;=Tabla5[[#This Row],[INVERSIONES FCI]],+Tabla5[[#This Row],[INVERSIONES FCI]]-P163,Tabla5[[#This Row],[INVERSIONES FCI]])</f>
        <v>15086431856.437035</v>
      </c>
      <c r="Q164" s="5">
        <f>IF($B163&lt;=Tabla5[[#This Row],[INVERSIONES FCI]],+Tabla5[[#This Row],[INVERSIONES FCI]]-Q163,Tabla5[[#This Row],[INVERSIONES FCI]])</f>
        <v>15086431856.437035</v>
      </c>
      <c r="R164" s="5">
        <f>IF($B163&lt;=Tabla5[[#This Row],[INVERSIONES FCI]],+Tabla5[[#This Row],[INVERSIONES FCI]]-R163,Tabla5[[#This Row],[INVERSIONES FCI]])</f>
        <v>15086431856.437035</v>
      </c>
      <c r="S164" s="5">
        <f>IF($B163&lt;=Tabla5[[#This Row],[INVERSIONES FCI]],+Tabla5[[#This Row],[INVERSIONES FCI]]-S163,Tabla5[[#This Row],[INVERSIONES FCI]])</f>
        <v>15086431856.437035</v>
      </c>
      <c r="T164" s="5">
        <f>IF($B163&lt;=Tabla5[[#This Row],[INVERSIONES FCI]],+Tabla5[[#This Row],[INVERSIONES FCI]]-T163,Tabla5[[#This Row],[INVERSIONES FCI]])</f>
        <v>15086431856.437035</v>
      </c>
      <c r="U164" s="5">
        <f>IF($B163&lt;=Tabla5[[#This Row],[INVERSIONES FCI]],+Tabla5[[#This Row],[INVERSIONES FCI]]-U163,Tabla5[[#This Row],[INVERSIONES FCI]])</f>
        <v>15086431856.437035</v>
      </c>
      <c r="V164" s="5">
        <f>IF($B163&lt;=Tabla5[[#This Row],[INVERSIONES FCI]],+Tabla5[[#This Row],[INVERSIONES FCI]]-V163,Tabla5[[#This Row],[INVERSIONES FCI]])</f>
        <v>15086431856.437035</v>
      </c>
      <c r="W164" s="5">
        <f>IF($B163&lt;=Tabla5[[#This Row],[INVERSIONES FCI]],+Tabla5[[#This Row],[INVERSIONES FCI]]-W163,Tabla5[[#This Row],[INVERSIONES FCI]])</f>
        <v>15086431856.437035</v>
      </c>
      <c r="X164" s="5">
        <f>IF($B163&lt;=Tabla5[[#This Row],[INVERSIONES FCI]],+Tabla5[[#This Row],[INVERSIONES FCI]]-X163,Tabla5[[#This Row],[INVERSIONES FCI]])</f>
        <v>15086431856.437035</v>
      </c>
      <c r="Y164" s="5">
        <f>IF($B163&lt;=Tabla5[[#This Row],[INVERSIONES FCI]],+Tabla5[[#This Row],[INVERSIONES FCI]]-Y163,Tabla5[[#This Row],[INVERSIONES FCI]])</f>
        <v>15086431856.437035</v>
      </c>
      <c r="Z164" s="5">
        <f>IF($B163&lt;=Tabla5[[#This Row],[INVERSIONES FCI]],+Tabla5[[#This Row],[INVERSIONES FCI]]-Z163,Tabla5[[#This Row],[INVERSIONES FCI]])</f>
        <v>15086431856.437035</v>
      </c>
      <c r="AA164" s="5">
        <f>IF($B163&lt;=Tabla5[[#This Row],[INVERSIONES FCI]],+Tabla5[[#This Row],[INVERSIONES FCI]]-AA163,Tabla5[[#This Row],[INVERSIONES FCI]])</f>
        <v>15086431856.437035</v>
      </c>
      <c r="AB164" s="5">
        <f>IF($B163&lt;=Tabla5[[#This Row],[INVERSIONES FCI]],+Tabla5[[#This Row],[INVERSIONES FCI]]-AB163,Tabla5[[#This Row],[INVERSIONES FCI]])</f>
        <v>15086431856.437035</v>
      </c>
      <c r="AC164" s="5">
        <f>IF($B163&lt;=Tabla5[[#This Row],[INVERSIONES FCI]],+Tabla5[[#This Row],[INVERSIONES FCI]]-AC163,Tabla5[[#This Row],[INVERSIONES FCI]])</f>
        <v>15086431856.437035</v>
      </c>
      <c r="AD164" s="5">
        <f>IF($B163&lt;=Tabla5[[#This Row],[INVERSIONES FCI]],+Tabla5[[#This Row],[INVERSIONES FCI]]-AD163,Tabla5[[#This Row],[INVERSIONES FCI]])</f>
        <v>15086431856.437035</v>
      </c>
      <c r="AE164" s="5">
        <f>IF($B163&lt;=Tabla5[[#This Row],[INVERSIONES FCI]],+Tabla5[[#This Row],[INVERSIONES FCI]]-AE163,Tabla5[[#This Row],[INVERSIONES FCI]])</f>
        <v>15086431856.437035</v>
      </c>
      <c r="AF164" s="5">
        <f>IF($B163&lt;=Tabla5[[#This Row],[INVERSIONES FCI]],+Tabla5[[#This Row],[INVERSIONES FCI]]-AF163,Tabla5[[#This Row],[INVERSIONES FCI]])</f>
        <v>15086431856.437035</v>
      </c>
      <c r="AG164" s="5">
        <f>IF($B163&lt;=Tabla5[[#This Row],[INVERSIONES FCI]],+Tabla5[[#This Row],[INVERSIONES FCI]]-AG163,Tabla5[[#This Row],[INVERSIONES FCI]])</f>
        <v>15086431856.437035</v>
      </c>
      <c r="AH164" s="5">
        <f>IF($B163&lt;=Tabla5[[#This Row],[INVERSIONES FCI]],+Tabla5[[#This Row],[INVERSIONES FCI]]-AH163,Tabla5[[#This Row],[INVERSIONES FCI]])</f>
        <v>15086431856.437035</v>
      </c>
      <c r="AI164" s="5">
        <f>IF($B163&lt;=Tabla5[[#This Row],[INVERSIONES FCI]],+Tabla5[[#This Row],[INVERSIONES FCI]]-AI163,Tabla5[[#This Row],[INVERSIONES FCI]])</f>
        <v>15086431856.437035</v>
      </c>
      <c r="AJ164" s="5">
        <f>IF($B163&lt;=Tabla5[[#This Row],[INVERSIONES FCI]],+Tabla5[[#This Row],[INVERSIONES FCI]]-AJ163,Tabla5[[#This Row],[INVERSIONES FCI]])</f>
        <v>15086431856.437035</v>
      </c>
      <c r="AK164" s="5">
        <f>IF($B163&lt;=Tabla5[[#This Row],[INVERSIONES FCI]],+Tabla5[[#This Row],[INVERSIONES FCI]]-AK163,Tabla5[[#This Row],[INVERSIONES FCI]])</f>
        <v>15086431856.437035</v>
      </c>
      <c r="AL164" s="5">
        <f>IF($B163&lt;=Tabla5[[#This Row],[INVERSIONES FCI]],+Tabla5[[#This Row],[INVERSIONES FCI]]-AL163,Tabla5[[#This Row],[INVERSIONES FCI]])</f>
        <v>15086431856.437035</v>
      </c>
      <c r="AM164" s="5">
        <f>IF($B163&lt;=Tabla5[[#This Row],[INVERSIONES FCI]],+Tabla5[[#This Row],[INVERSIONES FCI]]-AM163,Tabla5[[#This Row],[INVERSIONES FCI]])</f>
        <v>15086431856.437035</v>
      </c>
      <c r="AN164" s="5">
        <f>IF($B163&lt;=Tabla5[[#This Row],[INVERSIONES FCI]],+Tabla5[[#This Row],[INVERSIONES FCI]]-AN163,Tabla5[[#This Row],[INVERSIONES FCI]])</f>
        <v>15086431856.437035</v>
      </c>
      <c r="AO164" s="5">
        <f>IF($B163&lt;=Tabla5[[#This Row],[INVERSIONES FCI]],+Tabla5[[#This Row],[INVERSIONES FCI]]-AO163,Tabla5[[#This Row],[INVERSIONES FCI]])</f>
        <v>15086431856.437035</v>
      </c>
      <c r="AP164" s="5">
        <f>IF($B163&lt;=Tabla5[[#This Row],[INVERSIONES FCI]],+Tabla5[[#This Row],[INVERSIONES FCI]]-AP163,Tabla5[[#This Row],[INVERSIONES FCI]])</f>
        <v>15086431856.437035</v>
      </c>
      <c r="AQ164" s="5">
        <f>IF($B163&lt;=Tabla5[[#This Row],[INVERSIONES FCI]],+Tabla5[[#This Row],[INVERSIONES FCI]]-AQ163,Tabla5[[#This Row],[INVERSIONES FCI]])</f>
        <v>15086431856.437035</v>
      </c>
      <c r="AR164" s="5">
        <f>IF($B163&lt;=Tabla5[[#This Row],[INVERSIONES FCI]],+Tabla5[[#This Row],[INVERSIONES FCI]]-AR163,Tabla5[[#This Row],[INVERSIONES FCI]])</f>
        <v>15086431856.437035</v>
      </c>
      <c r="AS164" s="5">
        <f>IF($B163&lt;=Tabla5[[#This Row],[INVERSIONES FCI]],+Tabla5[[#This Row],[INVERSIONES FCI]]-AS163,Tabla5[[#This Row],[INVERSIONES FCI]])</f>
        <v>15086431856.437035</v>
      </c>
      <c r="AT164" s="5">
        <f>IF($B163&lt;=Tabla5[[#This Row],[INVERSIONES FCI]],+Tabla5[[#This Row],[INVERSIONES FCI]]-AT163,Tabla5[[#This Row],[INVERSIONES FCI]])</f>
        <v>15086431856.437035</v>
      </c>
      <c r="AU164" s="5">
        <f>IF($B163&lt;=Tabla5[[#This Row],[INVERSIONES FCI]],+Tabla5[[#This Row],[INVERSIONES FCI]]-AU163,Tabla5[[#This Row],[INVERSIONES FCI]])</f>
        <v>15086431856.437035</v>
      </c>
      <c r="AV164" s="5">
        <f>IF($B163&lt;=Tabla5[[#This Row],[INVERSIONES FCI]],+Tabla5[[#This Row],[INVERSIONES FCI]]-AV163,Tabla5[[#This Row],[INVERSIONES FCI]])</f>
        <v>15086431856.437035</v>
      </c>
      <c r="AW164" s="5">
        <f>IF($B163&lt;=Tabla5[[#This Row],[INVERSIONES FCI]],+Tabla5[[#This Row],[INVERSIONES FCI]]-AW163,Tabla5[[#This Row],[INVERSIONES FCI]])</f>
        <v>15086431856.437035</v>
      </c>
      <c r="AX164" s="5">
        <f>IF($B163&lt;=Tabla5[[#This Row],[INVERSIONES FCI]],+Tabla5[[#This Row],[INVERSIONES FCI]]-AX163,Tabla5[[#This Row],[INVERSIONES FCI]])</f>
        <v>15086431856.437035</v>
      </c>
      <c r="AY164" s="5">
        <f>IF($B163&lt;=Tabla5[[#This Row],[INVERSIONES FCI]],+Tabla5[[#This Row],[INVERSIONES FCI]]-AY163,Tabla5[[#This Row],[INVERSIONES FCI]])</f>
        <v>15086431856.437035</v>
      </c>
      <c r="AZ164" s="5">
        <f>IF($B163&lt;=Tabla5[[#This Row],[INVERSIONES FCI]],+Tabla5[[#This Row],[INVERSIONES FCI]]-AZ163,Tabla5[[#This Row],[INVERSIONES FCI]])</f>
        <v>15086431856.437035</v>
      </c>
      <c r="BA164" s="5">
        <f>IF($B163&lt;=Tabla5[[#This Row],[INVERSIONES FCI]],+Tabla5[[#This Row],[INVERSIONES FCI]]-BA163,Tabla5[[#This Row],[INVERSIONES FCI]])</f>
        <v>15086431856.437035</v>
      </c>
      <c r="BB164" s="5">
        <f>IF($B163&lt;=Tabla5[[#This Row],[INVERSIONES FCI]],+Tabla5[[#This Row],[INVERSIONES FCI]]-BB163,Tabla5[[#This Row],[INVERSIONES FCI]])</f>
        <v>15086431856.437035</v>
      </c>
      <c r="BC164" s="5">
        <f>IF($B163&lt;=Tabla5[[#This Row],[INVERSIONES FCI]],+Tabla5[[#This Row],[INVERSIONES FCI]]-BC163,Tabla5[[#This Row],[INVERSIONES FCI]])</f>
        <v>15086431856.437035</v>
      </c>
      <c r="BD164" s="5">
        <f>IF($B163&lt;=Tabla5[[#This Row],[INVERSIONES FCI]],+Tabla5[[#This Row],[INVERSIONES FCI]]-BD163,Tabla5[[#This Row],[INVERSIONES FCI]])</f>
        <v>15086431856.437035</v>
      </c>
      <c r="BE164" s="5">
        <f>IF($B163&lt;=Tabla5[[#This Row],[INVERSIONES FCI]],+Tabla5[[#This Row],[INVERSIONES FCI]]-BE163,Tabla5[[#This Row],[INVERSIONES FCI]])</f>
        <v>15086431856.437035</v>
      </c>
      <c r="BF164" s="5">
        <f>IF($B163&lt;=Tabla5[[#This Row],[INVERSIONES FCI]],+Tabla5[[#This Row],[INVERSIONES FCI]]-BF163,Tabla5[[#This Row],[INVERSIONES FCI]])</f>
        <v>15086431856.437035</v>
      </c>
      <c r="BG164" s="5">
        <f>IF($B163&lt;=Tabla5[[#This Row],[INVERSIONES FCI]],+Tabla5[[#This Row],[INVERSIONES FCI]]-BG163,Tabla5[[#This Row],[INVERSIONES FCI]])</f>
        <v>15086431856.437035</v>
      </c>
      <c r="BH164" s="5">
        <f>IF($B163&lt;=Tabla5[[#This Row],[INVERSIONES FCI]],+Tabla5[[#This Row],[INVERSIONES FCI]]-BH163,Tabla5[[#This Row],[INVERSIONES FCI]])</f>
        <v>15086431856.437035</v>
      </c>
      <c r="BI164" s="5">
        <f>IF($B163&lt;=Tabla5[[#This Row],[INVERSIONES FCI]],+Tabla5[[#This Row],[INVERSIONES FCI]]-BI163,Tabla5[[#This Row],[INVERSIONES FCI]])</f>
        <v>15086431856.437035</v>
      </c>
      <c r="BJ164" s="5">
        <f>IF($B163&lt;=Tabla5[[#This Row],[INVERSIONES FCI]],+Tabla5[[#This Row],[INVERSIONES FCI]]-BJ163,Tabla5[[#This Row],[INVERSIONES FCI]])</f>
        <v>15086431856.437035</v>
      </c>
      <c r="BK164" s="5">
        <f>IF($B163&lt;=Tabla5[[#This Row],[INVERSIONES FCI]],+Tabla5[[#This Row],[INVERSIONES FCI]]-BK163,Tabla5[[#This Row],[INVERSIONES FCI]])</f>
        <v>15086431856.437035</v>
      </c>
      <c r="BL164" s="5">
        <f>IF($B163&lt;=Tabla5[[#This Row],[INVERSIONES FCI]],+Tabla5[[#This Row],[INVERSIONES FCI]]-BL163,Tabla5[[#This Row],[INVERSIONES FCI]])</f>
        <v>15086431856.437035</v>
      </c>
      <c r="BM164" s="5">
        <f>IF($B163&lt;=Tabla5[[#This Row],[INVERSIONES FCI]],+Tabla5[[#This Row],[INVERSIONES FCI]]-BM163,Tabla5[[#This Row],[INVERSIONES FCI]])</f>
        <v>15086431856.437035</v>
      </c>
      <c r="BN164" s="5">
        <f>IF($B163&lt;=Tabla5[[#This Row],[INVERSIONES FCI]],+Tabla5[[#This Row],[INVERSIONES FCI]]-BN163,Tabla5[[#This Row],[INVERSIONES FCI]])</f>
        <v>15086431856.437035</v>
      </c>
      <c r="BO164" s="5">
        <f>IF($B163&lt;=Tabla5[[#This Row],[INVERSIONES FCI]],+Tabla5[[#This Row],[INVERSIONES FCI]]-BO163,Tabla5[[#This Row],[INVERSIONES FCI]])</f>
        <v>15086431856.437035</v>
      </c>
      <c r="BP164" s="5">
        <f>IF($B163&lt;=Tabla5[[#This Row],[INVERSIONES FCI]],+Tabla5[[#This Row],[INVERSIONES FCI]]-BP163,Tabla5[[#This Row],[INVERSIONES FCI]])</f>
        <v>15086431856.437035</v>
      </c>
      <c r="BQ164" s="5">
        <f>IF($B163&lt;=Tabla5[[#This Row],[INVERSIONES FCI]],+Tabla5[[#This Row],[INVERSIONES FCI]]-BQ163,Tabla5[[#This Row],[INVERSIONES FCI]])</f>
        <v>15086431856.437035</v>
      </c>
      <c r="BR164" s="5">
        <f>IF($B163&lt;=Tabla5[[#This Row],[INVERSIONES FCI]],+Tabla5[[#This Row],[INVERSIONES FCI]]-BR163,Tabla5[[#This Row],[INVERSIONES FCI]])</f>
        <v>15086431856.437035</v>
      </c>
      <c r="BS164" s="5">
        <f>IF($B163&lt;=Tabla5[[#This Row],[INVERSIONES FCI]],+Tabla5[[#This Row],[INVERSIONES FCI]]-BS163,Tabla5[[#This Row],[INVERSIONES FCI]])</f>
        <v>15086431856.437035</v>
      </c>
      <c r="BT164" s="5">
        <f>IF($B163&lt;=Tabla5[[#This Row],[INVERSIONES FCI]],+Tabla5[[#This Row],[INVERSIONES FCI]]-BT163,Tabla5[[#This Row],[INVERSIONES FCI]])</f>
        <v>15086431856.437035</v>
      </c>
      <c r="BU164" s="5">
        <f>IF($B163&lt;=Tabla5[[#This Row],[INVERSIONES FCI]],+Tabla5[[#This Row],[INVERSIONES FCI]]-BU163,Tabla5[[#This Row],[INVERSIONES FCI]])</f>
        <v>15086431856.437035</v>
      </c>
      <c r="BV164" s="5">
        <f>IF($B163&lt;=Tabla5[[#This Row],[INVERSIONES FCI]],+Tabla5[[#This Row],[INVERSIONES FCI]]-BV163,Tabla5[[#This Row],[INVERSIONES FCI]])</f>
        <v>15086431856.437035</v>
      </c>
      <c r="BW164" s="5">
        <f>IF($B163&lt;=Tabla5[[#This Row],[INVERSIONES FCI]],+Tabla5[[#This Row],[INVERSIONES FCI]]-BW163,Tabla5[[#This Row],[INVERSIONES FCI]])</f>
        <v>15086431856.437035</v>
      </c>
      <c r="BX164" s="5">
        <f>IF($B163&lt;=Tabla5[[#This Row],[INVERSIONES FCI]],+Tabla5[[#This Row],[INVERSIONES FCI]]-BX163,Tabla5[[#This Row],[INVERSIONES FCI]])</f>
        <v>15086431856.437035</v>
      </c>
      <c r="BY164" s="5">
        <f>IF($B163&lt;=Tabla5[[#This Row],[INVERSIONES FCI]],+Tabla5[[#This Row],[INVERSIONES FCI]]-BY163,Tabla5[[#This Row],[INVERSIONES FCI]])</f>
        <v>15086431856.437035</v>
      </c>
      <c r="BZ164" s="5">
        <f>IF($B163&lt;=Tabla5[[#This Row],[INVERSIONES FCI]],+Tabla5[[#This Row],[INVERSIONES FCI]]-BZ163,Tabla5[[#This Row],[INVERSIONES FCI]])</f>
        <v>15086431856.437035</v>
      </c>
      <c r="CA164" s="5">
        <f>IF($B163&lt;=Tabla5[[#This Row],[INVERSIONES FCI]],+Tabla5[[#This Row],[INVERSIONES FCI]]-CA163,Tabla5[[#This Row],[INVERSIONES FCI]])</f>
        <v>15086431856.437035</v>
      </c>
      <c r="CB164" s="5">
        <f>IF($B163&lt;=Tabla5[[#This Row],[INVERSIONES FCI]],+Tabla5[[#This Row],[INVERSIONES FCI]]-CB163,Tabla5[[#This Row],[INVERSIONES FCI]])</f>
        <v>15086431856.437035</v>
      </c>
      <c r="CC164" s="5">
        <f>IF($B163&lt;=Tabla5[[#This Row],[INVERSIONES FCI]],+Tabla5[[#This Row],[INVERSIONES FCI]]-CC163,Tabla5[[#This Row],[INVERSIONES FCI]])</f>
        <v>15086431856.437035</v>
      </c>
      <c r="CD164" s="5">
        <f>IF($B163&lt;=Tabla5[[#This Row],[INVERSIONES FCI]],+Tabla5[[#This Row],[INVERSIONES FCI]]-CD163,Tabla5[[#This Row],[INVERSIONES FCI]])</f>
        <v>15086431856.437035</v>
      </c>
      <c r="CE164" s="5">
        <f>IF($B163&lt;=Tabla5[[#This Row],[INVERSIONES FCI]],+Tabla5[[#This Row],[INVERSIONES FCI]]-CE163,Tabla5[[#This Row],[INVERSIONES FCI]])</f>
        <v>15086431856.437035</v>
      </c>
      <c r="CF164" s="5">
        <f>IF($B163&lt;=Tabla5[[#This Row],[INVERSIONES FCI]],+Tabla5[[#This Row],[INVERSIONES FCI]]-CF163,Tabla5[[#This Row],[INVERSIONES FCI]])</f>
        <v>15086431856.437035</v>
      </c>
      <c r="CG164" s="5">
        <f>IF($B163&lt;=Tabla5[[#This Row],[INVERSIONES FCI]],+Tabla5[[#This Row],[INVERSIONES FCI]]-CG163,Tabla5[[#This Row],[INVERSIONES FCI]])</f>
        <v>15086431856.437035</v>
      </c>
      <c r="CH164" s="5">
        <f>IF($B163&lt;=Tabla5[[#This Row],[INVERSIONES FCI]],+Tabla5[[#This Row],[INVERSIONES FCI]]-CH163,Tabla5[[#This Row],[INVERSIONES FCI]])</f>
        <v>15086431856.437035</v>
      </c>
      <c r="CI164" s="5">
        <f>IF($B163&lt;=Tabla5[[#This Row],[INVERSIONES FCI]],+Tabla5[[#This Row],[INVERSIONES FCI]]-CI163,Tabla5[[#This Row],[INVERSIONES FCI]])</f>
        <v>15086431856.437035</v>
      </c>
      <c r="CJ164" s="5">
        <f>IF($B163&lt;=Tabla5[[#This Row],[INVERSIONES FCI]],+Tabla5[[#This Row],[INVERSIONES FCI]]-CJ163,Tabla5[[#This Row],[INVERSIONES FCI]])</f>
        <v>15086431856.437035</v>
      </c>
      <c r="CK164" s="5">
        <f>IF($B163&lt;=Tabla5[[#This Row],[INVERSIONES FCI]],+Tabla5[[#This Row],[INVERSIONES FCI]]-CK163,Tabla5[[#This Row],[INVERSIONES FCI]])</f>
        <v>15086431856.437035</v>
      </c>
      <c r="CL164" s="5">
        <f>IF($B163&lt;=Tabla5[[#This Row],[INVERSIONES FCI]],+Tabla5[[#This Row],[INVERSIONES FCI]]-CL163,Tabla5[[#This Row],[INVERSIONES FCI]])</f>
        <v>15086431856.437035</v>
      </c>
      <c r="CM164" s="5">
        <f>IF($B163&lt;=Tabla5[[#This Row],[INVERSIONES FCI]],+Tabla5[[#This Row],[INVERSIONES FCI]]-CM163,Tabla5[[#This Row],[INVERSIONES FCI]])</f>
        <v>15086431856.437035</v>
      </c>
      <c r="CN164" s="5">
        <f>IF($B163&lt;=Tabla5[[#This Row],[INVERSIONES FCI]],+Tabla5[[#This Row],[INVERSIONES FCI]]-CN163,Tabla5[[#This Row],[INVERSIONES FCI]])</f>
        <v>15086431856.437035</v>
      </c>
      <c r="CO164" s="5">
        <f>IF($B163&lt;=Tabla5[[#This Row],[INVERSIONES FCI]],+Tabla5[[#This Row],[INVERSIONES FCI]]-CO163,Tabla5[[#This Row],[INVERSIONES FCI]])</f>
        <v>15086431856.437035</v>
      </c>
      <c r="CP164" s="5">
        <f>IF($B163&lt;=Tabla5[[#This Row],[INVERSIONES FCI]],+Tabla5[[#This Row],[INVERSIONES FCI]]-CP163,Tabla5[[#This Row],[INVERSIONES FCI]])</f>
        <v>15086431856.437035</v>
      </c>
      <c r="CQ164" s="5">
        <f>IF($B163&lt;=Tabla5[[#This Row],[INVERSIONES FCI]],+Tabla5[[#This Row],[INVERSIONES FCI]]-CQ163,Tabla5[[#This Row],[INVERSIONES FCI]])</f>
        <v>15086431856.437035</v>
      </c>
      <c r="CR164" s="5">
        <f>IF($B163&lt;=Tabla5[[#This Row],[INVERSIONES FCI]],+Tabla5[[#This Row],[INVERSIONES FCI]]-CR163,Tabla5[[#This Row],[INVERSIONES FCI]])</f>
        <v>15086431856.437035</v>
      </c>
      <c r="CS164" s="5">
        <f>IF($B163&lt;=Tabla5[[#This Row],[INVERSIONES FCI]],+Tabla5[[#This Row],[INVERSIONES FCI]]-CS163,Tabla5[[#This Row],[INVERSIONES FCI]])</f>
        <v>15086431856.437035</v>
      </c>
      <c r="CT164" s="5">
        <f>IF($B163&lt;=Tabla5[[#This Row],[INVERSIONES FCI]],+Tabla5[[#This Row],[INVERSIONES FCI]]-CT163,Tabla5[[#This Row],[INVERSIONES FCI]])</f>
        <v>15086431856.437035</v>
      </c>
      <c r="CU164" s="5">
        <f>IF($B163&lt;=Tabla5[[#This Row],[INVERSIONES FCI]],+Tabla5[[#This Row],[INVERSIONES FCI]]-CU163,Tabla5[[#This Row],[INVERSIONES FCI]])</f>
        <v>15086431856.437035</v>
      </c>
      <c r="CV164" s="5">
        <f>IF($B163&lt;=Tabla5[[#This Row],[INVERSIONES FCI]],+Tabla5[[#This Row],[INVERSIONES FCI]]-CV163,Tabla5[[#This Row],[INVERSIONES FCI]])</f>
        <v>15086431856.437035</v>
      </c>
      <c r="CW164" s="5">
        <f>IF($B163&lt;=Tabla5[[#This Row],[INVERSIONES FCI]],+Tabla5[[#This Row],[INVERSIONES FCI]]-CW163,Tabla5[[#This Row],[INVERSIONES FCI]])</f>
        <v>15086431856.437035</v>
      </c>
      <c r="CX164" s="5">
        <f>IF($B163&lt;=Tabla5[[#This Row],[INVERSIONES FCI]],+Tabla5[[#This Row],[INVERSIONES FCI]]-CX163,Tabla5[[#This Row],[INVERSIONES FCI]])</f>
        <v>15086431856.437035</v>
      </c>
      <c r="CY164" s="5">
        <f>IF($B163&lt;=Tabla5[[#This Row],[INVERSIONES FCI]],+Tabla5[[#This Row],[INVERSIONES FCI]]-CY163,Tabla5[[#This Row],[INVERSIONES FCI]])</f>
        <v>15086431856.437035</v>
      </c>
      <c r="CZ164" s="5">
        <f>IF($B163&lt;=Tabla5[[#This Row],[INVERSIONES FCI]],+Tabla5[[#This Row],[INVERSIONES FCI]]-CZ163,Tabla5[[#This Row],[INVERSIONES FCI]])</f>
        <v>15086431856.437035</v>
      </c>
      <c r="DA164" s="5">
        <f>IF($B163&lt;=Tabla5[[#This Row],[INVERSIONES FCI]],+Tabla5[[#This Row],[INVERSIONES FCI]]-DA163,Tabla5[[#This Row],[INVERSIONES FCI]])</f>
        <v>15086431856.437035</v>
      </c>
      <c r="DB164" s="5">
        <f>IF($B163&lt;=Tabla5[[#This Row],[INVERSIONES FCI]],+Tabla5[[#This Row],[INVERSIONES FCI]]-DB163,Tabla5[[#This Row],[INVERSIONES FCI]])</f>
        <v>15086431856.437035</v>
      </c>
      <c r="DC164" s="5">
        <f>IF($B163&lt;=Tabla5[[#This Row],[INVERSIONES FCI]],+Tabla5[[#This Row],[INVERSIONES FCI]]-DC163,Tabla5[[#This Row],[INVERSIONES FCI]])</f>
        <v>15086431856.437035</v>
      </c>
      <c r="DD164" s="5">
        <f>IF($B163&lt;=Tabla5[[#This Row],[INVERSIONES FCI]],+Tabla5[[#This Row],[INVERSIONES FCI]]-DD163,Tabla5[[#This Row],[INVERSIONES FCI]])</f>
        <v>15086431856.437035</v>
      </c>
      <c r="DE164" s="5">
        <f>IF($B163&lt;=Tabla5[[#This Row],[INVERSIONES FCI]],+Tabla5[[#This Row],[INVERSIONES FCI]]-DE163,Tabla5[[#This Row],[INVERSIONES FCI]])</f>
        <v>15086431856.437035</v>
      </c>
      <c r="DF164" s="5">
        <f>IF($B163&lt;=Tabla5[[#This Row],[INVERSIONES FCI]],+Tabla5[[#This Row],[INVERSIONES FCI]]-DF163,Tabla5[[#This Row],[INVERSIONES FCI]])</f>
        <v>15086431856.437035</v>
      </c>
      <c r="DG164" s="5">
        <f>IF($B163&lt;=Tabla5[[#This Row],[INVERSIONES FCI]],+Tabla5[[#This Row],[INVERSIONES FCI]]-DG163,Tabla5[[#This Row],[INVERSIONES FCI]])</f>
        <v>15086431856.437035</v>
      </c>
      <c r="DH164" s="5">
        <f>IF($B163&lt;=Tabla5[[#This Row],[INVERSIONES FCI]],+Tabla5[[#This Row],[INVERSIONES FCI]]-DH163,Tabla5[[#This Row],[INVERSIONES FCI]])</f>
        <v>15086431856.437035</v>
      </c>
      <c r="DI164" s="5">
        <f>IF($B163&lt;=Tabla5[[#This Row],[INVERSIONES FCI]],+Tabla5[[#This Row],[INVERSIONES FCI]]-DI163,Tabla5[[#This Row],[INVERSIONES FCI]])</f>
        <v>15086431856.437035</v>
      </c>
      <c r="DJ164" s="5">
        <f>IF($B163&lt;=Tabla5[[#This Row],[INVERSIONES FCI]],+Tabla5[[#This Row],[INVERSIONES FCI]]-DJ163,Tabla5[[#This Row],[INVERSIONES FCI]])</f>
        <v>15086431856.437035</v>
      </c>
      <c r="DK164" s="5">
        <f>IF($B163&lt;=Tabla5[[#This Row],[INVERSIONES FCI]],+Tabla5[[#This Row],[INVERSIONES FCI]]-DK163,Tabla5[[#This Row],[INVERSIONES FCI]])</f>
        <v>15086431856.437035</v>
      </c>
      <c r="DL164" s="5"/>
      <c r="DM164" s="5"/>
      <c r="DN164" s="5"/>
      <c r="DO164" s="5"/>
      <c r="DP164" s="5"/>
      <c r="DQ164" s="5"/>
    </row>
    <row r="165" spans="1:121" ht="14.4">
      <c r="A165" s="12" t="s">
        <v>164</v>
      </c>
      <c r="B165" s="5">
        <f>HLOOKUP($A165,ESCENARIO[#All],7,FALSE)</f>
        <v>23699028494.574181</v>
      </c>
      <c r="C165" s="5">
        <f>IF($B164&lt;=Tabla5[[#This Row],[INVERSIONES FCI]],+Tabla5[[#This Row],[INVERSIONES FCI]]-C164,Tabla5[[#This Row],[INVERSIONES FCI]])</f>
        <v>8612596638.137146</v>
      </c>
      <c r="D165" s="5">
        <f>IF($B164&lt;=Tabla5[[#This Row],[INVERSIONES FCI]],+Tabla5[[#This Row],[INVERSIONES FCI]]-D164,Tabla5[[#This Row],[INVERSIONES FCI]])</f>
        <v>8612596638.137146</v>
      </c>
      <c r="E165" s="5">
        <f>IF($B164&lt;=Tabla5[[#This Row],[INVERSIONES FCI]],+Tabla5[[#This Row],[INVERSIONES FCI]]-E164,Tabla5[[#This Row],[INVERSIONES FCI]])</f>
        <v>8612596638.137146</v>
      </c>
      <c r="F165" s="5">
        <f>IF($B164&lt;=Tabla5[[#This Row],[INVERSIONES FCI]],+Tabla5[[#This Row],[INVERSIONES FCI]]-F164,Tabla5[[#This Row],[INVERSIONES FCI]])</f>
        <v>8612596638.137146</v>
      </c>
      <c r="G165" s="5">
        <f>IF($B164&lt;=Tabla5[[#This Row],[INVERSIONES FCI]],+Tabla5[[#This Row],[INVERSIONES FCI]]-G164,Tabla5[[#This Row],[INVERSIONES FCI]])</f>
        <v>8612596638.137146</v>
      </c>
      <c r="H165" s="5">
        <f>IF($B164&lt;=Tabla5[[#This Row],[INVERSIONES FCI]],+Tabla5[[#This Row],[INVERSIONES FCI]]-H164,Tabla5[[#This Row],[INVERSIONES FCI]])</f>
        <v>8612596638.137146</v>
      </c>
      <c r="I165" s="5">
        <f>IF($B164&lt;=Tabla5[[#This Row],[INVERSIONES FCI]],+Tabla5[[#This Row],[INVERSIONES FCI]]-I164,Tabla5[[#This Row],[INVERSIONES FCI]])</f>
        <v>8612596638.137146</v>
      </c>
      <c r="J165" s="5">
        <f>IF($B164&lt;=Tabla5[[#This Row],[INVERSIONES FCI]],+Tabla5[[#This Row],[INVERSIONES FCI]]-J164,Tabla5[[#This Row],[INVERSIONES FCI]])</f>
        <v>8612596638.137146</v>
      </c>
      <c r="K165" s="5">
        <f>IF($B164&lt;=Tabla5[[#This Row],[INVERSIONES FCI]],+Tabla5[[#This Row],[INVERSIONES FCI]]-K164,Tabla5[[#This Row],[INVERSIONES FCI]])</f>
        <v>8612596638.137146</v>
      </c>
      <c r="L165" s="5">
        <f>IF($B164&lt;=Tabla5[[#This Row],[INVERSIONES FCI]],+Tabla5[[#This Row],[INVERSIONES FCI]]-L164,Tabla5[[#This Row],[INVERSIONES FCI]])</f>
        <v>8612596638.137146</v>
      </c>
      <c r="M165" s="5">
        <f>IF($B164&lt;=Tabla5[[#This Row],[INVERSIONES FCI]],+Tabla5[[#This Row],[INVERSIONES FCI]]-M164,Tabla5[[#This Row],[INVERSIONES FCI]])</f>
        <v>8612596638.137146</v>
      </c>
      <c r="N165" s="5">
        <f>IF($B164&lt;=Tabla5[[#This Row],[INVERSIONES FCI]],+Tabla5[[#This Row],[INVERSIONES FCI]]-N164,Tabla5[[#This Row],[INVERSIONES FCI]])</f>
        <v>8612596638.137146</v>
      </c>
      <c r="O165" s="5">
        <f>IF($B164&lt;=Tabla5[[#This Row],[INVERSIONES FCI]],+Tabla5[[#This Row],[INVERSIONES FCI]]-O164,Tabla5[[#This Row],[INVERSIONES FCI]])</f>
        <v>8612596638.137146</v>
      </c>
      <c r="P165" s="5">
        <f>IF($B164&lt;=Tabla5[[#This Row],[INVERSIONES FCI]],+Tabla5[[#This Row],[INVERSIONES FCI]]-P164,Tabla5[[#This Row],[INVERSIONES FCI]])</f>
        <v>8612596638.137146</v>
      </c>
      <c r="Q165" s="5">
        <f>IF($B164&lt;=Tabla5[[#This Row],[INVERSIONES FCI]],+Tabla5[[#This Row],[INVERSIONES FCI]]-Q164,Tabla5[[#This Row],[INVERSIONES FCI]])</f>
        <v>8612596638.137146</v>
      </c>
      <c r="R165" s="5">
        <f>IF($B164&lt;=Tabla5[[#This Row],[INVERSIONES FCI]],+Tabla5[[#This Row],[INVERSIONES FCI]]-R164,Tabla5[[#This Row],[INVERSIONES FCI]])</f>
        <v>8612596638.137146</v>
      </c>
      <c r="S165" s="5">
        <f>IF($B164&lt;=Tabla5[[#This Row],[INVERSIONES FCI]],+Tabla5[[#This Row],[INVERSIONES FCI]]-S164,Tabla5[[#This Row],[INVERSIONES FCI]])</f>
        <v>8612596638.137146</v>
      </c>
      <c r="T165" s="5">
        <f>IF($B164&lt;=Tabla5[[#This Row],[INVERSIONES FCI]],+Tabla5[[#This Row],[INVERSIONES FCI]]-T164,Tabla5[[#This Row],[INVERSIONES FCI]])</f>
        <v>8612596638.137146</v>
      </c>
      <c r="U165" s="5">
        <f>IF($B164&lt;=Tabla5[[#This Row],[INVERSIONES FCI]],+Tabla5[[#This Row],[INVERSIONES FCI]]-U164,Tabla5[[#This Row],[INVERSIONES FCI]])</f>
        <v>8612596638.137146</v>
      </c>
      <c r="V165" s="5">
        <f>IF($B164&lt;=Tabla5[[#This Row],[INVERSIONES FCI]],+Tabla5[[#This Row],[INVERSIONES FCI]]-V164,Tabla5[[#This Row],[INVERSIONES FCI]])</f>
        <v>8612596638.137146</v>
      </c>
      <c r="W165" s="5">
        <f>IF($B164&lt;=Tabla5[[#This Row],[INVERSIONES FCI]],+Tabla5[[#This Row],[INVERSIONES FCI]]-W164,Tabla5[[#This Row],[INVERSIONES FCI]])</f>
        <v>8612596638.137146</v>
      </c>
      <c r="X165" s="5">
        <f>IF($B164&lt;=Tabla5[[#This Row],[INVERSIONES FCI]],+Tabla5[[#This Row],[INVERSIONES FCI]]-X164,Tabla5[[#This Row],[INVERSIONES FCI]])</f>
        <v>8612596638.137146</v>
      </c>
      <c r="Y165" s="5">
        <f>IF($B164&lt;=Tabla5[[#This Row],[INVERSIONES FCI]],+Tabla5[[#This Row],[INVERSIONES FCI]]-Y164,Tabla5[[#This Row],[INVERSIONES FCI]])</f>
        <v>8612596638.137146</v>
      </c>
      <c r="Z165" s="5">
        <f>IF($B164&lt;=Tabla5[[#This Row],[INVERSIONES FCI]],+Tabla5[[#This Row],[INVERSIONES FCI]]-Z164,Tabla5[[#This Row],[INVERSIONES FCI]])</f>
        <v>8612596638.137146</v>
      </c>
      <c r="AA165" s="5">
        <f>IF($B164&lt;=Tabla5[[#This Row],[INVERSIONES FCI]],+Tabla5[[#This Row],[INVERSIONES FCI]]-AA164,Tabla5[[#This Row],[INVERSIONES FCI]])</f>
        <v>8612596638.137146</v>
      </c>
      <c r="AB165" s="5">
        <f>IF($B164&lt;=Tabla5[[#This Row],[INVERSIONES FCI]],+Tabla5[[#This Row],[INVERSIONES FCI]]-AB164,Tabla5[[#This Row],[INVERSIONES FCI]])</f>
        <v>8612596638.137146</v>
      </c>
      <c r="AC165" s="5">
        <f>IF($B164&lt;=Tabla5[[#This Row],[INVERSIONES FCI]],+Tabla5[[#This Row],[INVERSIONES FCI]]-AC164,Tabla5[[#This Row],[INVERSIONES FCI]])</f>
        <v>8612596638.137146</v>
      </c>
      <c r="AD165" s="5">
        <f>IF($B164&lt;=Tabla5[[#This Row],[INVERSIONES FCI]],+Tabla5[[#This Row],[INVERSIONES FCI]]-AD164,Tabla5[[#This Row],[INVERSIONES FCI]])</f>
        <v>8612596638.137146</v>
      </c>
      <c r="AE165" s="5">
        <f>IF($B164&lt;=Tabla5[[#This Row],[INVERSIONES FCI]],+Tabla5[[#This Row],[INVERSIONES FCI]]-AE164,Tabla5[[#This Row],[INVERSIONES FCI]])</f>
        <v>8612596638.137146</v>
      </c>
      <c r="AF165" s="5">
        <f>IF($B164&lt;=Tabla5[[#This Row],[INVERSIONES FCI]],+Tabla5[[#This Row],[INVERSIONES FCI]]-AF164,Tabla5[[#This Row],[INVERSIONES FCI]])</f>
        <v>8612596638.137146</v>
      </c>
      <c r="AG165" s="5">
        <f>IF($B164&lt;=Tabla5[[#This Row],[INVERSIONES FCI]],+Tabla5[[#This Row],[INVERSIONES FCI]]-AG164,Tabla5[[#This Row],[INVERSIONES FCI]])</f>
        <v>8612596638.137146</v>
      </c>
      <c r="AH165" s="5">
        <f>IF($B164&lt;=Tabla5[[#This Row],[INVERSIONES FCI]],+Tabla5[[#This Row],[INVERSIONES FCI]]-AH164,Tabla5[[#This Row],[INVERSIONES FCI]])</f>
        <v>8612596638.137146</v>
      </c>
      <c r="AI165" s="5">
        <f>IF($B164&lt;=Tabla5[[#This Row],[INVERSIONES FCI]],+Tabla5[[#This Row],[INVERSIONES FCI]]-AI164,Tabla5[[#This Row],[INVERSIONES FCI]])</f>
        <v>8612596638.137146</v>
      </c>
      <c r="AJ165" s="5">
        <f>IF($B164&lt;=Tabla5[[#This Row],[INVERSIONES FCI]],+Tabla5[[#This Row],[INVERSIONES FCI]]-AJ164,Tabla5[[#This Row],[INVERSIONES FCI]])</f>
        <v>8612596638.137146</v>
      </c>
      <c r="AK165" s="5">
        <f>IF($B164&lt;=Tabla5[[#This Row],[INVERSIONES FCI]],+Tabla5[[#This Row],[INVERSIONES FCI]]-AK164,Tabla5[[#This Row],[INVERSIONES FCI]])</f>
        <v>8612596638.137146</v>
      </c>
      <c r="AL165" s="5">
        <f>IF($B164&lt;=Tabla5[[#This Row],[INVERSIONES FCI]],+Tabla5[[#This Row],[INVERSIONES FCI]]-AL164,Tabla5[[#This Row],[INVERSIONES FCI]])</f>
        <v>8612596638.137146</v>
      </c>
      <c r="AM165" s="5">
        <f>IF($B164&lt;=Tabla5[[#This Row],[INVERSIONES FCI]],+Tabla5[[#This Row],[INVERSIONES FCI]]-AM164,Tabla5[[#This Row],[INVERSIONES FCI]])</f>
        <v>8612596638.137146</v>
      </c>
      <c r="AN165" s="5">
        <f>IF($B164&lt;=Tabla5[[#This Row],[INVERSIONES FCI]],+Tabla5[[#This Row],[INVERSIONES FCI]]-AN164,Tabla5[[#This Row],[INVERSIONES FCI]])</f>
        <v>8612596638.137146</v>
      </c>
      <c r="AO165" s="5">
        <f>IF($B164&lt;=Tabla5[[#This Row],[INVERSIONES FCI]],+Tabla5[[#This Row],[INVERSIONES FCI]]-AO164,Tabla5[[#This Row],[INVERSIONES FCI]])</f>
        <v>8612596638.137146</v>
      </c>
      <c r="AP165" s="5">
        <f>IF($B164&lt;=Tabla5[[#This Row],[INVERSIONES FCI]],+Tabla5[[#This Row],[INVERSIONES FCI]]-AP164,Tabla5[[#This Row],[INVERSIONES FCI]])</f>
        <v>8612596638.137146</v>
      </c>
      <c r="AQ165" s="5">
        <f>IF($B164&lt;=Tabla5[[#This Row],[INVERSIONES FCI]],+Tabla5[[#This Row],[INVERSIONES FCI]]-AQ164,Tabla5[[#This Row],[INVERSIONES FCI]])</f>
        <v>8612596638.137146</v>
      </c>
      <c r="AR165" s="5">
        <f>IF($B164&lt;=Tabla5[[#This Row],[INVERSIONES FCI]],+Tabla5[[#This Row],[INVERSIONES FCI]]-AR164,Tabla5[[#This Row],[INVERSIONES FCI]])</f>
        <v>8612596638.137146</v>
      </c>
      <c r="AS165" s="5">
        <f>IF($B164&lt;=Tabla5[[#This Row],[INVERSIONES FCI]],+Tabla5[[#This Row],[INVERSIONES FCI]]-AS164,Tabla5[[#This Row],[INVERSIONES FCI]])</f>
        <v>8612596638.137146</v>
      </c>
      <c r="AT165" s="5">
        <f>IF($B164&lt;=Tabla5[[#This Row],[INVERSIONES FCI]],+Tabla5[[#This Row],[INVERSIONES FCI]]-AT164,Tabla5[[#This Row],[INVERSIONES FCI]])</f>
        <v>8612596638.137146</v>
      </c>
      <c r="AU165" s="5">
        <f>IF($B164&lt;=Tabla5[[#This Row],[INVERSIONES FCI]],+Tabla5[[#This Row],[INVERSIONES FCI]]-AU164,Tabla5[[#This Row],[INVERSIONES FCI]])</f>
        <v>8612596638.137146</v>
      </c>
      <c r="AV165" s="5">
        <f>IF($B164&lt;=Tabla5[[#This Row],[INVERSIONES FCI]],+Tabla5[[#This Row],[INVERSIONES FCI]]-AV164,Tabla5[[#This Row],[INVERSIONES FCI]])</f>
        <v>8612596638.137146</v>
      </c>
      <c r="AW165" s="5">
        <f>IF($B164&lt;=Tabla5[[#This Row],[INVERSIONES FCI]],+Tabla5[[#This Row],[INVERSIONES FCI]]-AW164,Tabla5[[#This Row],[INVERSIONES FCI]])</f>
        <v>8612596638.137146</v>
      </c>
      <c r="AX165" s="5">
        <f>IF($B164&lt;=Tabla5[[#This Row],[INVERSIONES FCI]],+Tabla5[[#This Row],[INVERSIONES FCI]]-AX164,Tabla5[[#This Row],[INVERSIONES FCI]])</f>
        <v>8612596638.137146</v>
      </c>
      <c r="AY165" s="5">
        <f>IF($B164&lt;=Tabla5[[#This Row],[INVERSIONES FCI]],+Tabla5[[#This Row],[INVERSIONES FCI]]-AY164,Tabla5[[#This Row],[INVERSIONES FCI]])</f>
        <v>8612596638.137146</v>
      </c>
      <c r="AZ165" s="5">
        <f>IF($B164&lt;=Tabla5[[#This Row],[INVERSIONES FCI]],+Tabla5[[#This Row],[INVERSIONES FCI]]-AZ164,Tabla5[[#This Row],[INVERSIONES FCI]])</f>
        <v>8612596638.137146</v>
      </c>
      <c r="BA165" s="5">
        <f>IF($B164&lt;=Tabla5[[#This Row],[INVERSIONES FCI]],+Tabla5[[#This Row],[INVERSIONES FCI]]-BA164,Tabla5[[#This Row],[INVERSIONES FCI]])</f>
        <v>8612596638.137146</v>
      </c>
      <c r="BB165" s="5">
        <f>IF($B164&lt;=Tabla5[[#This Row],[INVERSIONES FCI]],+Tabla5[[#This Row],[INVERSIONES FCI]]-BB164,Tabla5[[#This Row],[INVERSIONES FCI]])</f>
        <v>8612596638.137146</v>
      </c>
      <c r="BC165" s="5">
        <f>IF($B164&lt;=Tabla5[[#This Row],[INVERSIONES FCI]],+Tabla5[[#This Row],[INVERSIONES FCI]]-BC164,Tabla5[[#This Row],[INVERSIONES FCI]])</f>
        <v>8612596638.137146</v>
      </c>
      <c r="BD165" s="5">
        <f>IF($B164&lt;=Tabla5[[#This Row],[INVERSIONES FCI]],+Tabla5[[#This Row],[INVERSIONES FCI]]-BD164,Tabla5[[#This Row],[INVERSIONES FCI]])</f>
        <v>8612596638.137146</v>
      </c>
      <c r="BE165" s="5">
        <f>IF($B164&lt;=Tabla5[[#This Row],[INVERSIONES FCI]],+Tabla5[[#This Row],[INVERSIONES FCI]]-BE164,Tabla5[[#This Row],[INVERSIONES FCI]])</f>
        <v>8612596638.137146</v>
      </c>
      <c r="BF165" s="5">
        <f>IF($B164&lt;=Tabla5[[#This Row],[INVERSIONES FCI]],+Tabla5[[#This Row],[INVERSIONES FCI]]-BF164,Tabla5[[#This Row],[INVERSIONES FCI]])</f>
        <v>8612596638.137146</v>
      </c>
      <c r="BG165" s="5">
        <f>IF($B164&lt;=Tabla5[[#This Row],[INVERSIONES FCI]],+Tabla5[[#This Row],[INVERSIONES FCI]]-BG164,Tabla5[[#This Row],[INVERSIONES FCI]])</f>
        <v>8612596638.137146</v>
      </c>
      <c r="BH165" s="5">
        <f>IF($B164&lt;=Tabla5[[#This Row],[INVERSIONES FCI]],+Tabla5[[#This Row],[INVERSIONES FCI]]-BH164,Tabla5[[#This Row],[INVERSIONES FCI]])</f>
        <v>8612596638.137146</v>
      </c>
      <c r="BI165" s="5">
        <f>IF($B164&lt;=Tabla5[[#This Row],[INVERSIONES FCI]],+Tabla5[[#This Row],[INVERSIONES FCI]]-BI164,Tabla5[[#This Row],[INVERSIONES FCI]])</f>
        <v>8612596638.137146</v>
      </c>
      <c r="BJ165" s="5">
        <f>IF($B164&lt;=Tabla5[[#This Row],[INVERSIONES FCI]],+Tabla5[[#This Row],[INVERSIONES FCI]]-BJ164,Tabla5[[#This Row],[INVERSIONES FCI]])</f>
        <v>8612596638.137146</v>
      </c>
      <c r="BK165" s="5">
        <f>IF($B164&lt;=Tabla5[[#This Row],[INVERSIONES FCI]],+Tabla5[[#This Row],[INVERSIONES FCI]]-BK164,Tabla5[[#This Row],[INVERSIONES FCI]])</f>
        <v>8612596638.137146</v>
      </c>
      <c r="BL165" s="5">
        <f>IF($B164&lt;=Tabla5[[#This Row],[INVERSIONES FCI]],+Tabla5[[#This Row],[INVERSIONES FCI]]-BL164,Tabla5[[#This Row],[INVERSIONES FCI]])</f>
        <v>8612596638.137146</v>
      </c>
      <c r="BM165" s="5">
        <f>IF($B164&lt;=Tabla5[[#This Row],[INVERSIONES FCI]],+Tabla5[[#This Row],[INVERSIONES FCI]]-BM164,Tabla5[[#This Row],[INVERSIONES FCI]])</f>
        <v>8612596638.137146</v>
      </c>
      <c r="BN165" s="5">
        <f>IF($B164&lt;=Tabla5[[#This Row],[INVERSIONES FCI]],+Tabla5[[#This Row],[INVERSIONES FCI]]-BN164,Tabla5[[#This Row],[INVERSIONES FCI]])</f>
        <v>8612596638.137146</v>
      </c>
      <c r="BO165" s="5">
        <f>IF($B164&lt;=Tabla5[[#This Row],[INVERSIONES FCI]],+Tabla5[[#This Row],[INVERSIONES FCI]]-BO164,Tabla5[[#This Row],[INVERSIONES FCI]])</f>
        <v>8612596638.137146</v>
      </c>
      <c r="BP165" s="5">
        <f>IF($B164&lt;=Tabla5[[#This Row],[INVERSIONES FCI]],+Tabla5[[#This Row],[INVERSIONES FCI]]-BP164,Tabla5[[#This Row],[INVERSIONES FCI]])</f>
        <v>8612596638.137146</v>
      </c>
      <c r="BQ165" s="5">
        <f>IF($B164&lt;=Tabla5[[#This Row],[INVERSIONES FCI]],+Tabla5[[#This Row],[INVERSIONES FCI]]-BQ164,Tabla5[[#This Row],[INVERSIONES FCI]])</f>
        <v>8612596638.137146</v>
      </c>
      <c r="BR165" s="5">
        <f>IF($B164&lt;=Tabla5[[#This Row],[INVERSIONES FCI]],+Tabla5[[#This Row],[INVERSIONES FCI]]-BR164,Tabla5[[#This Row],[INVERSIONES FCI]])</f>
        <v>8612596638.137146</v>
      </c>
      <c r="BS165" s="5">
        <f>IF($B164&lt;=Tabla5[[#This Row],[INVERSIONES FCI]],+Tabla5[[#This Row],[INVERSIONES FCI]]-BS164,Tabla5[[#This Row],[INVERSIONES FCI]])</f>
        <v>8612596638.137146</v>
      </c>
      <c r="BT165" s="5">
        <f>IF($B164&lt;=Tabla5[[#This Row],[INVERSIONES FCI]],+Tabla5[[#This Row],[INVERSIONES FCI]]-BT164,Tabla5[[#This Row],[INVERSIONES FCI]])</f>
        <v>8612596638.137146</v>
      </c>
      <c r="BU165" s="5">
        <f>IF($B164&lt;=Tabla5[[#This Row],[INVERSIONES FCI]],+Tabla5[[#This Row],[INVERSIONES FCI]]-BU164,Tabla5[[#This Row],[INVERSIONES FCI]])</f>
        <v>8612596638.137146</v>
      </c>
      <c r="BV165" s="5">
        <f>IF($B164&lt;=Tabla5[[#This Row],[INVERSIONES FCI]],+Tabla5[[#This Row],[INVERSIONES FCI]]-BV164,Tabla5[[#This Row],[INVERSIONES FCI]])</f>
        <v>8612596638.137146</v>
      </c>
      <c r="BW165" s="5">
        <f>IF($B164&lt;=Tabla5[[#This Row],[INVERSIONES FCI]],+Tabla5[[#This Row],[INVERSIONES FCI]]-BW164,Tabla5[[#This Row],[INVERSIONES FCI]])</f>
        <v>8612596638.137146</v>
      </c>
      <c r="BX165" s="5">
        <f>IF($B164&lt;=Tabla5[[#This Row],[INVERSIONES FCI]],+Tabla5[[#This Row],[INVERSIONES FCI]]-BX164,Tabla5[[#This Row],[INVERSIONES FCI]])</f>
        <v>8612596638.137146</v>
      </c>
      <c r="BY165" s="5">
        <f>IF($B164&lt;=Tabla5[[#This Row],[INVERSIONES FCI]],+Tabla5[[#This Row],[INVERSIONES FCI]]-BY164,Tabla5[[#This Row],[INVERSIONES FCI]])</f>
        <v>8612596638.137146</v>
      </c>
      <c r="BZ165" s="5">
        <f>IF($B164&lt;=Tabla5[[#This Row],[INVERSIONES FCI]],+Tabla5[[#This Row],[INVERSIONES FCI]]-BZ164,Tabla5[[#This Row],[INVERSIONES FCI]])</f>
        <v>8612596638.137146</v>
      </c>
      <c r="CA165" s="5">
        <f>IF($B164&lt;=Tabla5[[#This Row],[INVERSIONES FCI]],+Tabla5[[#This Row],[INVERSIONES FCI]]-CA164,Tabla5[[#This Row],[INVERSIONES FCI]])</f>
        <v>8612596638.137146</v>
      </c>
      <c r="CB165" s="5">
        <f>IF($B164&lt;=Tabla5[[#This Row],[INVERSIONES FCI]],+Tabla5[[#This Row],[INVERSIONES FCI]]-CB164,Tabla5[[#This Row],[INVERSIONES FCI]])</f>
        <v>8612596638.137146</v>
      </c>
      <c r="CC165" s="5">
        <f>IF($B164&lt;=Tabla5[[#This Row],[INVERSIONES FCI]],+Tabla5[[#This Row],[INVERSIONES FCI]]-CC164,Tabla5[[#This Row],[INVERSIONES FCI]])</f>
        <v>8612596638.137146</v>
      </c>
      <c r="CD165" s="5">
        <f>IF($B164&lt;=Tabla5[[#This Row],[INVERSIONES FCI]],+Tabla5[[#This Row],[INVERSIONES FCI]]-CD164,Tabla5[[#This Row],[INVERSIONES FCI]])</f>
        <v>8612596638.137146</v>
      </c>
      <c r="CE165" s="5">
        <f>IF($B164&lt;=Tabla5[[#This Row],[INVERSIONES FCI]],+Tabla5[[#This Row],[INVERSIONES FCI]]-CE164,Tabla5[[#This Row],[INVERSIONES FCI]])</f>
        <v>8612596638.137146</v>
      </c>
      <c r="CF165" s="5">
        <f>IF($B164&lt;=Tabla5[[#This Row],[INVERSIONES FCI]],+Tabla5[[#This Row],[INVERSIONES FCI]]-CF164,Tabla5[[#This Row],[INVERSIONES FCI]])</f>
        <v>8612596638.137146</v>
      </c>
      <c r="CG165" s="5">
        <f>IF($B164&lt;=Tabla5[[#This Row],[INVERSIONES FCI]],+Tabla5[[#This Row],[INVERSIONES FCI]]-CG164,Tabla5[[#This Row],[INVERSIONES FCI]])</f>
        <v>8612596638.137146</v>
      </c>
      <c r="CH165" s="5">
        <f>IF($B164&lt;=Tabla5[[#This Row],[INVERSIONES FCI]],+Tabla5[[#This Row],[INVERSIONES FCI]]-CH164,Tabla5[[#This Row],[INVERSIONES FCI]])</f>
        <v>8612596638.137146</v>
      </c>
      <c r="CI165" s="5">
        <f>IF($B164&lt;=Tabla5[[#This Row],[INVERSIONES FCI]],+Tabla5[[#This Row],[INVERSIONES FCI]]-CI164,Tabla5[[#This Row],[INVERSIONES FCI]])</f>
        <v>8612596638.137146</v>
      </c>
      <c r="CJ165" s="5">
        <f>IF($B164&lt;=Tabla5[[#This Row],[INVERSIONES FCI]],+Tabla5[[#This Row],[INVERSIONES FCI]]-CJ164,Tabla5[[#This Row],[INVERSIONES FCI]])</f>
        <v>8612596638.137146</v>
      </c>
      <c r="CK165" s="5">
        <f>IF($B164&lt;=Tabla5[[#This Row],[INVERSIONES FCI]],+Tabla5[[#This Row],[INVERSIONES FCI]]-CK164,Tabla5[[#This Row],[INVERSIONES FCI]])</f>
        <v>8612596638.137146</v>
      </c>
      <c r="CL165" s="5">
        <f>IF($B164&lt;=Tabla5[[#This Row],[INVERSIONES FCI]],+Tabla5[[#This Row],[INVERSIONES FCI]]-CL164,Tabla5[[#This Row],[INVERSIONES FCI]])</f>
        <v>8612596638.137146</v>
      </c>
      <c r="CM165" s="5">
        <f>IF($B164&lt;=Tabla5[[#This Row],[INVERSIONES FCI]],+Tabla5[[#This Row],[INVERSIONES FCI]]-CM164,Tabla5[[#This Row],[INVERSIONES FCI]])</f>
        <v>8612596638.137146</v>
      </c>
      <c r="CN165" s="5">
        <f>IF($B164&lt;=Tabla5[[#This Row],[INVERSIONES FCI]],+Tabla5[[#This Row],[INVERSIONES FCI]]-CN164,Tabla5[[#This Row],[INVERSIONES FCI]])</f>
        <v>8612596638.137146</v>
      </c>
      <c r="CO165" s="5">
        <f>IF($B164&lt;=Tabla5[[#This Row],[INVERSIONES FCI]],+Tabla5[[#This Row],[INVERSIONES FCI]]-CO164,Tabla5[[#This Row],[INVERSIONES FCI]])</f>
        <v>8612596638.137146</v>
      </c>
      <c r="CP165" s="5">
        <f>IF($B164&lt;=Tabla5[[#This Row],[INVERSIONES FCI]],+Tabla5[[#This Row],[INVERSIONES FCI]]-CP164,Tabla5[[#This Row],[INVERSIONES FCI]])</f>
        <v>8612596638.137146</v>
      </c>
      <c r="CQ165" s="5">
        <f>IF($B164&lt;=Tabla5[[#This Row],[INVERSIONES FCI]],+Tabla5[[#This Row],[INVERSIONES FCI]]-CQ164,Tabla5[[#This Row],[INVERSIONES FCI]])</f>
        <v>8612596638.137146</v>
      </c>
      <c r="CR165" s="5">
        <f>IF($B164&lt;=Tabla5[[#This Row],[INVERSIONES FCI]],+Tabla5[[#This Row],[INVERSIONES FCI]]-CR164,Tabla5[[#This Row],[INVERSIONES FCI]])</f>
        <v>8612596638.137146</v>
      </c>
      <c r="CS165" s="5">
        <f>IF($B164&lt;=Tabla5[[#This Row],[INVERSIONES FCI]],+Tabla5[[#This Row],[INVERSIONES FCI]]-CS164,Tabla5[[#This Row],[INVERSIONES FCI]])</f>
        <v>8612596638.137146</v>
      </c>
      <c r="CT165" s="5">
        <f>IF($B164&lt;=Tabla5[[#This Row],[INVERSIONES FCI]],+Tabla5[[#This Row],[INVERSIONES FCI]]-CT164,Tabla5[[#This Row],[INVERSIONES FCI]])</f>
        <v>8612596638.137146</v>
      </c>
      <c r="CU165" s="5">
        <f>IF($B164&lt;=Tabla5[[#This Row],[INVERSIONES FCI]],+Tabla5[[#This Row],[INVERSIONES FCI]]-CU164,Tabla5[[#This Row],[INVERSIONES FCI]])</f>
        <v>8612596638.137146</v>
      </c>
      <c r="CV165" s="5">
        <f>IF($B164&lt;=Tabla5[[#This Row],[INVERSIONES FCI]],+Tabla5[[#This Row],[INVERSIONES FCI]]-CV164,Tabla5[[#This Row],[INVERSIONES FCI]])</f>
        <v>8612596638.137146</v>
      </c>
      <c r="CW165" s="5">
        <f>IF($B164&lt;=Tabla5[[#This Row],[INVERSIONES FCI]],+Tabla5[[#This Row],[INVERSIONES FCI]]-CW164,Tabla5[[#This Row],[INVERSIONES FCI]])</f>
        <v>8612596638.137146</v>
      </c>
      <c r="CX165" s="5">
        <f>IF($B164&lt;=Tabla5[[#This Row],[INVERSIONES FCI]],+Tabla5[[#This Row],[INVERSIONES FCI]]-CX164,Tabla5[[#This Row],[INVERSIONES FCI]])</f>
        <v>8612596638.137146</v>
      </c>
      <c r="CY165" s="5">
        <f>IF($B164&lt;=Tabla5[[#This Row],[INVERSIONES FCI]],+Tabla5[[#This Row],[INVERSIONES FCI]]-CY164,Tabla5[[#This Row],[INVERSIONES FCI]])</f>
        <v>8612596638.137146</v>
      </c>
      <c r="CZ165" s="5">
        <f>IF($B164&lt;=Tabla5[[#This Row],[INVERSIONES FCI]],+Tabla5[[#This Row],[INVERSIONES FCI]]-CZ164,Tabla5[[#This Row],[INVERSIONES FCI]])</f>
        <v>8612596638.137146</v>
      </c>
      <c r="DA165" s="5">
        <f>IF($B164&lt;=Tabla5[[#This Row],[INVERSIONES FCI]],+Tabla5[[#This Row],[INVERSIONES FCI]]-DA164,Tabla5[[#This Row],[INVERSIONES FCI]])</f>
        <v>8612596638.137146</v>
      </c>
      <c r="DB165" s="5">
        <f>IF($B164&lt;=Tabla5[[#This Row],[INVERSIONES FCI]],+Tabla5[[#This Row],[INVERSIONES FCI]]-DB164,Tabla5[[#This Row],[INVERSIONES FCI]])</f>
        <v>8612596638.137146</v>
      </c>
      <c r="DC165" s="5">
        <f>IF($B164&lt;=Tabla5[[#This Row],[INVERSIONES FCI]],+Tabla5[[#This Row],[INVERSIONES FCI]]-DC164,Tabla5[[#This Row],[INVERSIONES FCI]])</f>
        <v>8612596638.137146</v>
      </c>
      <c r="DD165" s="5">
        <f>IF($B164&lt;=Tabla5[[#This Row],[INVERSIONES FCI]],+Tabla5[[#This Row],[INVERSIONES FCI]]-DD164,Tabla5[[#This Row],[INVERSIONES FCI]])</f>
        <v>8612596638.137146</v>
      </c>
      <c r="DE165" s="5">
        <f>IF($B164&lt;=Tabla5[[#This Row],[INVERSIONES FCI]],+Tabla5[[#This Row],[INVERSIONES FCI]]-DE164,Tabla5[[#This Row],[INVERSIONES FCI]])</f>
        <v>8612596638.137146</v>
      </c>
      <c r="DF165" s="5">
        <f>IF($B164&lt;=Tabla5[[#This Row],[INVERSIONES FCI]],+Tabla5[[#This Row],[INVERSIONES FCI]]-DF164,Tabla5[[#This Row],[INVERSIONES FCI]])</f>
        <v>8612596638.137146</v>
      </c>
      <c r="DG165" s="5">
        <f>IF($B164&lt;=Tabla5[[#This Row],[INVERSIONES FCI]],+Tabla5[[#This Row],[INVERSIONES FCI]]-DG164,Tabla5[[#This Row],[INVERSIONES FCI]])</f>
        <v>8612596638.137146</v>
      </c>
      <c r="DH165" s="5">
        <f>IF($B164&lt;=Tabla5[[#This Row],[INVERSIONES FCI]],+Tabla5[[#This Row],[INVERSIONES FCI]]-DH164,Tabla5[[#This Row],[INVERSIONES FCI]])</f>
        <v>8612596638.137146</v>
      </c>
      <c r="DI165" s="5">
        <f>IF($B164&lt;=Tabla5[[#This Row],[INVERSIONES FCI]],+Tabla5[[#This Row],[INVERSIONES FCI]]-DI164,Tabla5[[#This Row],[INVERSIONES FCI]])</f>
        <v>8612596638.137146</v>
      </c>
      <c r="DJ165" s="5">
        <f>IF($B164&lt;=Tabla5[[#This Row],[INVERSIONES FCI]],+Tabla5[[#This Row],[INVERSIONES FCI]]-DJ164,Tabla5[[#This Row],[INVERSIONES FCI]])</f>
        <v>8612596638.137146</v>
      </c>
      <c r="DK165" s="5">
        <f>IF($B164&lt;=Tabla5[[#This Row],[INVERSIONES FCI]],+Tabla5[[#This Row],[INVERSIONES FCI]]-DK164,Tabla5[[#This Row],[INVERSIONES FCI]])</f>
        <v>8612596638.137146</v>
      </c>
      <c r="DL165" s="5"/>
      <c r="DM165" s="5"/>
      <c r="DN165" s="5"/>
      <c r="DO165" s="5"/>
      <c r="DP165" s="5"/>
      <c r="DQ165" s="5"/>
    </row>
    <row r="166" spans="1:121" ht="14.4">
      <c r="A166" s="12" t="s">
        <v>165</v>
      </c>
      <c r="B166" s="5">
        <f>HLOOKUP($A166,ESCENARIO[#All],7,FALSE)</f>
        <v>25198179729.874836</v>
      </c>
      <c r="C166" s="5">
        <f>IF($B165&lt;=Tabla5[[#This Row],[INVERSIONES FCI]],+Tabla5[[#This Row],[INVERSIONES FCI]]-C165,Tabla5[[#This Row],[INVERSIONES FCI]])</f>
        <v>16585583091.73769</v>
      </c>
      <c r="D166" s="5">
        <f>IF($B165&lt;=Tabla5[[#This Row],[INVERSIONES FCI]],+Tabla5[[#This Row],[INVERSIONES FCI]]-D165,Tabla5[[#This Row],[INVERSIONES FCI]])</f>
        <v>16585583091.73769</v>
      </c>
      <c r="E166" s="5">
        <f>IF($B165&lt;=Tabla5[[#This Row],[INVERSIONES FCI]],+Tabla5[[#This Row],[INVERSIONES FCI]]-E165,Tabla5[[#This Row],[INVERSIONES FCI]])</f>
        <v>16585583091.73769</v>
      </c>
      <c r="F166" s="5">
        <f>IF($B165&lt;=Tabla5[[#This Row],[INVERSIONES FCI]],+Tabla5[[#This Row],[INVERSIONES FCI]]-F165,Tabla5[[#This Row],[INVERSIONES FCI]])</f>
        <v>16585583091.73769</v>
      </c>
      <c r="G166" s="5">
        <f>IF($B165&lt;=Tabla5[[#This Row],[INVERSIONES FCI]],+Tabla5[[#This Row],[INVERSIONES FCI]]-G165,Tabla5[[#This Row],[INVERSIONES FCI]])</f>
        <v>16585583091.73769</v>
      </c>
      <c r="H166" s="5">
        <f>IF($B165&lt;=Tabla5[[#This Row],[INVERSIONES FCI]],+Tabla5[[#This Row],[INVERSIONES FCI]]-H165,Tabla5[[#This Row],[INVERSIONES FCI]])</f>
        <v>16585583091.73769</v>
      </c>
      <c r="I166" s="5">
        <f>IF($B165&lt;=Tabla5[[#This Row],[INVERSIONES FCI]],+Tabla5[[#This Row],[INVERSIONES FCI]]-I165,Tabla5[[#This Row],[INVERSIONES FCI]])</f>
        <v>16585583091.73769</v>
      </c>
      <c r="J166" s="5">
        <f>IF($B165&lt;=Tabla5[[#This Row],[INVERSIONES FCI]],+Tabla5[[#This Row],[INVERSIONES FCI]]-J165,Tabla5[[#This Row],[INVERSIONES FCI]])</f>
        <v>16585583091.73769</v>
      </c>
      <c r="K166" s="5">
        <f>IF($B165&lt;=Tabla5[[#This Row],[INVERSIONES FCI]],+Tabla5[[#This Row],[INVERSIONES FCI]]-K165,Tabla5[[#This Row],[INVERSIONES FCI]])</f>
        <v>16585583091.73769</v>
      </c>
      <c r="L166" s="5">
        <f>IF($B165&lt;=Tabla5[[#This Row],[INVERSIONES FCI]],+Tabla5[[#This Row],[INVERSIONES FCI]]-L165,Tabla5[[#This Row],[INVERSIONES FCI]])</f>
        <v>16585583091.73769</v>
      </c>
      <c r="M166" s="5">
        <f>IF($B165&lt;=Tabla5[[#This Row],[INVERSIONES FCI]],+Tabla5[[#This Row],[INVERSIONES FCI]]-M165,Tabla5[[#This Row],[INVERSIONES FCI]])</f>
        <v>16585583091.73769</v>
      </c>
      <c r="N166" s="5">
        <f>IF($B165&lt;=Tabla5[[#This Row],[INVERSIONES FCI]],+Tabla5[[#This Row],[INVERSIONES FCI]]-N165,Tabla5[[#This Row],[INVERSIONES FCI]])</f>
        <v>16585583091.73769</v>
      </c>
      <c r="O166" s="5">
        <f>IF($B165&lt;=Tabla5[[#This Row],[INVERSIONES FCI]],+Tabla5[[#This Row],[INVERSIONES FCI]]-O165,Tabla5[[#This Row],[INVERSIONES FCI]])</f>
        <v>16585583091.73769</v>
      </c>
      <c r="P166" s="5">
        <f>IF($B165&lt;=Tabla5[[#This Row],[INVERSIONES FCI]],+Tabla5[[#This Row],[INVERSIONES FCI]]-P165,Tabla5[[#This Row],[INVERSIONES FCI]])</f>
        <v>16585583091.73769</v>
      </c>
      <c r="Q166" s="5">
        <f>IF($B165&lt;=Tabla5[[#This Row],[INVERSIONES FCI]],+Tabla5[[#This Row],[INVERSIONES FCI]]-Q165,Tabla5[[#This Row],[INVERSIONES FCI]])</f>
        <v>16585583091.73769</v>
      </c>
      <c r="R166" s="5">
        <f>IF($B165&lt;=Tabla5[[#This Row],[INVERSIONES FCI]],+Tabla5[[#This Row],[INVERSIONES FCI]]-R165,Tabla5[[#This Row],[INVERSIONES FCI]])</f>
        <v>16585583091.73769</v>
      </c>
      <c r="S166" s="5">
        <f>IF($B165&lt;=Tabla5[[#This Row],[INVERSIONES FCI]],+Tabla5[[#This Row],[INVERSIONES FCI]]-S165,Tabla5[[#This Row],[INVERSIONES FCI]])</f>
        <v>16585583091.73769</v>
      </c>
      <c r="T166" s="5">
        <f>IF($B165&lt;=Tabla5[[#This Row],[INVERSIONES FCI]],+Tabla5[[#This Row],[INVERSIONES FCI]]-T165,Tabla5[[#This Row],[INVERSIONES FCI]])</f>
        <v>16585583091.73769</v>
      </c>
      <c r="U166" s="5">
        <f>IF($B165&lt;=Tabla5[[#This Row],[INVERSIONES FCI]],+Tabla5[[#This Row],[INVERSIONES FCI]]-U165,Tabla5[[#This Row],[INVERSIONES FCI]])</f>
        <v>16585583091.73769</v>
      </c>
      <c r="V166" s="5">
        <f>IF($B165&lt;=Tabla5[[#This Row],[INVERSIONES FCI]],+Tabla5[[#This Row],[INVERSIONES FCI]]-V165,Tabla5[[#This Row],[INVERSIONES FCI]])</f>
        <v>16585583091.73769</v>
      </c>
      <c r="W166" s="5">
        <f>IF($B165&lt;=Tabla5[[#This Row],[INVERSIONES FCI]],+Tabla5[[#This Row],[INVERSIONES FCI]]-W165,Tabla5[[#This Row],[INVERSIONES FCI]])</f>
        <v>16585583091.73769</v>
      </c>
      <c r="X166" s="5">
        <f>IF($B165&lt;=Tabla5[[#This Row],[INVERSIONES FCI]],+Tabla5[[#This Row],[INVERSIONES FCI]]-X165,Tabla5[[#This Row],[INVERSIONES FCI]])</f>
        <v>16585583091.73769</v>
      </c>
      <c r="Y166" s="5">
        <f>IF($B165&lt;=Tabla5[[#This Row],[INVERSIONES FCI]],+Tabla5[[#This Row],[INVERSIONES FCI]]-Y165,Tabla5[[#This Row],[INVERSIONES FCI]])</f>
        <v>16585583091.73769</v>
      </c>
      <c r="Z166" s="5">
        <f>IF($B165&lt;=Tabla5[[#This Row],[INVERSIONES FCI]],+Tabla5[[#This Row],[INVERSIONES FCI]]-Z165,Tabla5[[#This Row],[INVERSIONES FCI]])</f>
        <v>16585583091.73769</v>
      </c>
      <c r="AA166" s="5">
        <f>IF($B165&lt;=Tabla5[[#This Row],[INVERSIONES FCI]],+Tabla5[[#This Row],[INVERSIONES FCI]]-AA165,Tabla5[[#This Row],[INVERSIONES FCI]])</f>
        <v>16585583091.73769</v>
      </c>
      <c r="AB166" s="5">
        <f>IF($B165&lt;=Tabla5[[#This Row],[INVERSIONES FCI]],+Tabla5[[#This Row],[INVERSIONES FCI]]-AB165,Tabla5[[#This Row],[INVERSIONES FCI]])</f>
        <v>16585583091.73769</v>
      </c>
      <c r="AC166" s="5">
        <f>IF($B165&lt;=Tabla5[[#This Row],[INVERSIONES FCI]],+Tabla5[[#This Row],[INVERSIONES FCI]]-AC165,Tabla5[[#This Row],[INVERSIONES FCI]])</f>
        <v>16585583091.73769</v>
      </c>
      <c r="AD166" s="5">
        <f>IF($B165&lt;=Tabla5[[#This Row],[INVERSIONES FCI]],+Tabla5[[#This Row],[INVERSIONES FCI]]-AD165,Tabla5[[#This Row],[INVERSIONES FCI]])</f>
        <v>16585583091.73769</v>
      </c>
      <c r="AE166" s="5">
        <f>IF($B165&lt;=Tabla5[[#This Row],[INVERSIONES FCI]],+Tabla5[[#This Row],[INVERSIONES FCI]]-AE165,Tabla5[[#This Row],[INVERSIONES FCI]])</f>
        <v>16585583091.73769</v>
      </c>
      <c r="AF166" s="5">
        <f>IF($B165&lt;=Tabla5[[#This Row],[INVERSIONES FCI]],+Tabla5[[#This Row],[INVERSIONES FCI]]-AF165,Tabla5[[#This Row],[INVERSIONES FCI]])</f>
        <v>16585583091.73769</v>
      </c>
      <c r="AG166" s="5">
        <f>IF($B165&lt;=Tabla5[[#This Row],[INVERSIONES FCI]],+Tabla5[[#This Row],[INVERSIONES FCI]]-AG165,Tabla5[[#This Row],[INVERSIONES FCI]])</f>
        <v>16585583091.73769</v>
      </c>
      <c r="AH166" s="5">
        <f>IF($B165&lt;=Tabla5[[#This Row],[INVERSIONES FCI]],+Tabla5[[#This Row],[INVERSIONES FCI]]-AH165,Tabla5[[#This Row],[INVERSIONES FCI]])</f>
        <v>16585583091.73769</v>
      </c>
      <c r="AI166" s="5">
        <f>IF($B165&lt;=Tabla5[[#This Row],[INVERSIONES FCI]],+Tabla5[[#This Row],[INVERSIONES FCI]]-AI165,Tabla5[[#This Row],[INVERSIONES FCI]])</f>
        <v>16585583091.73769</v>
      </c>
      <c r="AJ166" s="5">
        <f>IF($B165&lt;=Tabla5[[#This Row],[INVERSIONES FCI]],+Tabla5[[#This Row],[INVERSIONES FCI]]-AJ165,Tabla5[[#This Row],[INVERSIONES FCI]])</f>
        <v>16585583091.73769</v>
      </c>
      <c r="AK166" s="5">
        <f>IF($B165&lt;=Tabla5[[#This Row],[INVERSIONES FCI]],+Tabla5[[#This Row],[INVERSIONES FCI]]-AK165,Tabla5[[#This Row],[INVERSIONES FCI]])</f>
        <v>16585583091.73769</v>
      </c>
      <c r="AL166" s="5">
        <f>IF($B165&lt;=Tabla5[[#This Row],[INVERSIONES FCI]],+Tabla5[[#This Row],[INVERSIONES FCI]]-AL165,Tabla5[[#This Row],[INVERSIONES FCI]])</f>
        <v>16585583091.73769</v>
      </c>
      <c r="AM166" s="5">
        <f>IF($B165&lt;=Tabla5[[#This Row],[INVERSIONES FCI]],+Tabla5[[#This Row],[INVERSIONES FCI]]-AM165,Tabla5[[#This Row],[INVERSIONES FCI]])</f>
        <v>16585583091.73769</v>
      </c>
      <c r="AN166" s="5">
        <f>IF($B165&lt;=Tabla5[[#This Row],[INVERSIONES FCI]],+Tabla5[[#This Row],[INVERSIONES FCI]]-AN165,Tabla5[[#This Row],[INVERSIONES FCI]])</f>
        <v>16585583091.73769</v>
      </c>
      <c r="AO166" s="5">
        <f>IF($B165&lt;=Tabla5[[#This Row],[INVERSIONES FCI]],+Tabla5[[#This Row],[INVERSIONES FCI]]-AO165,Tabla5[[#This Row],[INVERSIONES FCI]])</f>
        <v>16585583091.73769</v>
      </c>
      <c r="AP166" s="5">
        <f>IF($B165&lt;=Tabla5[[#This Row],[INVERSIONES FCI]],+Tabla5[[#This Row],[INVERSIONES FCI]]-AP165,Tabla5[[#This Row],[INVERSIONES FCI]])</f>
        <v>16585583091.73769</v>
      </c>
      <c r="AQ166" s="5">
        <f>IF($B165&lt;=Tabla5[[#This Row],[INVERSIONES FCI]],+Tabla5[[#This Row],[INVERSIONES FCI]]-AQ165,Tabla5[[#This Row],[INVERSIONES FCI]])</f>
        <v>16585583091.73769</v>
      </c>
      <c r="AR166" s="5">
        <f>IF($B165&lt;=Tabla5[[#This Row],[INVERSIONES FCI]],+Tabla5[[#This Row],[INVERSIONES FCI]]-AR165,Tabla5[[#This Row],[INVERSIONES FCI]])</f>
        <v>16585583091.73769</v>
      </c>
      <c r="AS166" s="5">
        <f>IF($B165&lt;=Tabla5[[#This Row],[INVERSIONES FCI]],+Tabla5[[#This Row],[INVERSIONES FCI]]-AS165,Tabla5[[#This Row],[INVERSIONES FCI]])</f>
        <v>16585583091.73769</v>
      </c>
      <c r="AT166" s="5">
        <f>IF($B165&lt;=Tabla5[[#This Row],[INVERSIONES FCI]],+Tabla5[[#This Row],[INVERSIONES FCI]]-AT165,Tabla5[[#This Row],[INVERSIONES FCI]])</f>
        <v>16585583091.73769</v>
      </c>
      <c r="AU166" s="5">
        <f>IF($B165&lt;=Tabla5[[#This Row],[INVERSIONES FCI]],+Tabla5[[#This Row],[INVERSIONES FCI]]-AU165,Tabla5[[#This Row],[INVERSIONES FCI]])</f>
        <v>16585583091.73769</v>
      </c>
      <c r="AV166" s="5">
        <f>IF($B165&lt;=Tabla5[[#This Row],[INVERSIONES FCI]],+Tabla5[[#This Row],[INVERSIONES FCI]]-AV165,Tabla5[[#This Row],[INVERSIONES FCI]])</f>
        <v>16585583091.73769</v>
      </c>
      <c r="AW166" s="5">
        <f>IF($B165&lt;=Tabla5[[#This Row],[INVERSIONES FCI]],+Tabla5[[#This Row],[INVERSIONES FCI]]-AW165,Tabla5[[#This Row],[INVERSIONES FCI]])</f>
        <v>16585583091.73769</v>
      </c>
      <c r="AX166" s="5">
        <f>IF($B165&lt;=Tabla5[[#This Row],[INVERSIONES FCI]],+Tabla5[[#This Row],[INVERSIONES FCI]]-AX165,Tabla5[[#This Row],[INVERSIONES FCI]])</f>
        <v>16585583091.73769</v>
      </c>
      <c r="AY166" s="5">
        <f>IF($B165&lt;=Tabla5[[#This Row],[INVERSIONES FCI]],+Tabla5[[#This Row],[INVERSIONES FCI]]-AY165,Tabla5[[#This Row],[INVERSIONES FCI]])</f>
        <v>16585583091.73769</v>
      </c>
      <c r="AZ166" s="5">
        <f>IF($B165&lt;=Tabla5[[#This Row],[INVERSIONES FCI]],+Tabla5[[#This Row],[INVERSIONES FCI]]-AZ165,Tabla5[[#This Row],[INVERSIONES FCI]])</f>
        <v>16585583091.73769</v>
      </c>
      <c r="BA166" s="5">
        <f>IF($B165&lt;=Tabla5[[#This Row],[INVERSIONES FCI]],+Tabla5[[#This Row],[INVERSIONES FCI]]-BA165,Tabla5[[#This Row],[INVERSIONES FCI]])</f>
        <v>16585583091.73769</v>
      </c>
      <c r="BB166" s="5">
        <f>IF($B165&lt;=Tabla5[[#This Row],[INVERSIONES FCI]],+Tabla5[[#This Row],[INVERSIONES FCI]]-BB165,Tabla5[[#This Row],[INVERSIONES FCI]])</f>
        <v>16585583091.73769</v>
      </c>
      <c r="BC166" s="5">
        <f>IF($B165&lt;=Tabla5[[#This Row],[INVERSIONES FCI]],+Tabla5[[#This Row],[INVERSIONES FCI]]-BC165,Tabla5[[#This Row],[INVERSIONES FCI]])</f>
        <v>16585583091.73769</v>
      </c>
      <c r="BD166" s="5">
        <f>IF($B165&lt;=Tabla5[[#This Row],[INVERSIONES FCI]],+Tabla5[[#This Row],[INVERSIONES FCI]]-BD165,Tabla5[[#This Row],[INVERSIONES FCI]])</f>
        <v>16585583091.73769</v>
      </c>
      <c r="BE166" s="5">
        <f>IF($B165&lt;=Tabla5[[#This Row],[INVERSIONES FCI]],+Tabla5[[#This Row],[INVERSIONES FCI]]-BE165,Tabla5[[#This Row],[INVERSIONES FCI]])</f>
        <v>16585583091.73769</v>
      </c>
      <c r="BF166" s="5">
        <f>IF($B165&lt;=Tabla5[[#This Row],[INVERSIONES FCI]],+Tabla5[[#This Row],[INVERSIONES FCI]]-BF165,Tabla5[[#This Row],[INVERSIONES FCI]])</f>
        <v>16585583091.73769</v>
      </c>
      <c r="BG166" s="5">
        <f>IF($B165&lt;=Tabla5[[#This Row],[INVERSIONES FCI]],+Tabla5[[#This Row],[INVERSIONES FCI]]-BG165,Tabla5[[#This Row],[INVERSIONES FCI]])</f>
        <v>16585583091.73769</v>
      </c>
      <c r="BH166" s="5">
        <f>IF($B165&lt;=Tabla5[[#This Row],[INVERSIONES FCI]],+Tabla5[[#This Row],[INVERSIONES FCI]]-BH165,Tabla5[[#This Row],[INVERSIONES FCI]])</f>
        <v>16585583091.73769</v>
      </c>
      <c r="BI166" s="5">
        <f>IF($B165&lt;=Tabla5[[#This Row],[INVERSIONES FCI]],+Tabla5[[#This Row],[INVERSIONES FCI]]-BI165,Tabla5[[#This Row],[INVERSIONES FCI]])</f>
        <v>16585583091.73769</v>
      </c>
      <c r="BJ166" s="5">
        <f>IF($B165&lt;=Tabla5[[#This Row],[INVERSIONES FCI]],+Tabla5[[#This Row],[INVERSIONES FCI]]-BJ165,Tabla5[[#This Row],[INVERSIONES FCI]])</f>
        <v>16585583091.73769</v>
      </c>
      <c r="BK166" s="5">
        <f>IF($B165&lt;=Tabla5[[#This Row],[INVERSIONES FCI]],+Tabla5[[#This Row],[INVERSIONES FCI]]-BK165,Tabla5[[#This Row],[INVERSIONES FCI]])</f>
        <v>16585583091.73769</v>
      </c>
      <c r="BL166" s="5">
        <f>IF($B165&lt;=Tabla5[[#This Row],[INVERSIONES FCI]],+Tabla5[[#This Row],[INVERSIONES FCI]]-BL165,Tabla5[[#This Row],[INVERSIONES FCI]])</f>
        <v>16585583091.73769</v>
      </c>
      <c r="BM166" s="5">
        <f>IF($B165&lt;=Tabla5[[#This Row],[INVERSIONES FCI]],+Tabla5[[#This Row],[INVERSIONES FCI]]-BM165,Tabla5[[#This Row],[INVERSIONES FCI]])</f>
        <v>16585583091.73769</v>
      </c>
      <c r="BN166" s="5">
        <f>IF($B165&lt;=Tabla5[[#This Row],[INVERSIONES FCI]],+Tabla5[[#This Row],[INVERSIONES FCI]]-BN165,Tabla5[[#This Row],[INVERSIONES FCI]])</f>
        <v>16585583091.73769</v>
      </c>
      <c r="BO166" s="5">
        <f>IF($B165&lt;=Tabla5[[#This Row],[INVERSIONES FCI]],+Tabla5[[#This Row],[INVERSIONES FCI]]-BO165,Tabla5[[#This Row],[INVERSIONES FCI]])</f>
        <v>16585583091.73769</v>
      </c>
      <c r="BP166" s="5">
        <f>IF($B165&lt;=Tabla5[[#This Row],[INVERSIONES FCI]],+Tabla5[[#This Row],[INVERSIONES FCI]]-BP165,Tabla5[[#This Row],[INVERSIONES FCI]])</f>
        <v>16585583091.73769</v>
      </c>
      <c r="BQ166" s="5">
        <f>IF($B165&lt;=Tabla5[[#This Row],[INVERSIONES FCI]],+Tabla5[[#This Row],[INVERSIONES FCI]]-BQ165,Tabla5[[#This Row],[INVERSIONES FCI]])</f>
        <v>16585583091.73769</v>
      </c>
      <c r="BR166" s="5">
        <f>IF($B165&lt;=Tabla5[[#This Row],[INVERSIONES FCI]],+Tabla5[[#This Row],[INVERSIONES FCI]]-BR165,Tabla5[[#This Row],[INVERSIONES FCI]])</f>
        <v>16585583091.73769</v>
      </c>
      <c r="BS166" s="5">
        <f>IF($B165&lt;=Tabla5[[#This Row],[INVERSIONES FCI]],+Tabla5[[#This Row],[INVERSIONES FCI]]-BS165,Tabla5[[#This Row],[INVERSIONES FCI]])</f>
        <v>16585583091.73769</v>
      </c>
      <c r="BT166" s="5">
        <f>IF($B165&lt;=Tabla5[[#This Row],[INVERSIONES FCI]],+Tabla5[[#This Row],[INVERSIONES FCI]]-BT165,Tabla5[[#This Row],[INVERSIONES FCI]])</f>
        <v>16585583091.73769</v>
      </c>
      <c r="BU166" s="5">
        <f>IF($B165&lt;=Tabla5[[#This Row],[INVERSIONES FCI]],+Tabla5[[#This Row],[INVERSIONES FCI]]-BU165,Tabla5[[#This Row],[INVERSIONES FCI]])</f>
        <v>16585583091.73769</v>
      </c>
      <c r="BV166" s="5">
        <f>IF($B165&lt;=Tabla5[[#This Row],[INVERSIONES FCI]],+Tabla5[[#This Row],[INVERSIONES FCI]]-BV165,Tabla5[[#This Row],[INVERSIONES FCI]])</f>
        <v>16585583091.73769</v>
      </c>
      <c r="BW166" s="5">
        <f>IF($B165&lt;=Tabla5[[#This Row],[INVERSIONES FCI]],+Tabla5[[#This Row],[INVERSIONES FCI]]-BW165,Tabla5[[#This Row],[INVERSIONES FCI]])</f>
        <v>16585583091.73769</v>
      </c>
      <c r="BX166" s="5">
        <f>IF($B165&lt;=Tabla5[[#This Row],[INVERSIONES FCI]],+Tabla5[[#This Row],[INVERSIONES FCI]]-BX165,Tabla5[[#This Row],[INVERSIONES FCI]])</f>
        <v>16585583091.73769</v>
      </c>
      <c r="BY166" s="5">
        <f>IF($B165&lt;=Tabla5[[#This Row],[INVERSIONES FCI]],+Tabla5[[#This Row],[INVERSIONES FCI]]-BY165,Tabla5[[#This Row],[INVERSIONES FCI]])</f>
        <v>16585583091.73769</v>
      </c>
      <c r="BZ166" s="5">
        <f>IF($B165&lt;=Tabla5[[#This Row],[INVERSIONES FCI]],+Tabla5[[#This Row],[INVERSIONES FCI]]-BZ165,Tabla5[[#This Row],[INVERSIONES FCI]])</f>
        <v>16585583091.73769</v>
      </c>
      <c r="CA166" s="5">
        <f>IF($B165&lt;=Tabla5[[#This Row],[INVERSIONES FCI]],+Tabla5[[#This Row],[INVERSIONES FCI]]-CA165,Tabla5[[#This Row],[INVERSIONES FCI]])</f>
        <v>16585583091.73769</v>
      </c>
      <c r="CB166" s="5">
        <f>IF($B165&lt;=Tabla5[[#This Row],[INVERSIONES FCI]],+Tabla5[[#This Row],[INVERSIONES FCI]]-CB165,Tabla5[[#This Row],[INVERSIONES FCI]])</f>
        <v>16585583091.73769</v>
      </c>
      <c r="CC166" s="5">
        <f>IF($B165&lt;=Tabla5[[#This Row],[INVERSIONES FCI]],+Tabla5[[#This Row],[INVERSIONES FCI]]-CC165,Tabla5[[#This Row],[INVERSIONES FCI]])</f>
        <v>16585583091.73769</v>
      </c>
      <c r="CD166" s="5">
        <f>IF($B165&lt;=Tabla5[[#This Row],[INVERSIONES FCI]],+Tabla5[[#This Row],[INVERSIONES FCI]]-CD165,Tabla5[[#This Row],[INVERSIONES FCI]])</f>
        <v>16585583091.73769</v>
      </c>
      <c r="CE166" s="5">
        <f>IF($B165&lt;=Tabla5[[#This Row],[INVERSIONES FCI]],+Tabla5[[#This Row],[INVERSIONES FCI]]-CE165,Tabla5[[#This Row],[INVERSIONES FCI]])</f>
        <v>16585583091.73769</v>
      </c>
      <c r="CF166" s="5">
        <f>IF($B165&lt;=Tabla5[[#This Row],[INVERSIONES FCI]],+Tabla5[[#This Row],[INVERSIONES FCI]]-CF165,Tabla5[[#This Row],[INVERSIONES FCI]])</f>
        <v>16585583091.73769</v>
      </c>
      <c r="CG166" s="5">
        <f>IF($B165&lt;=Tabla5[[#This Row],[INVERSIONES FCI]],+Tabla5[[#This Row],[INVERSIONES FCI]]-CG165,Tabla5[[#This Row],[INVERSIONES FCI]])</f>
        <v>16585583091.73769</v>
      </c>
      <c r="CH166" s="5">
        <f>IF($B165&lt;=Tabla5[[#This Row],[INVERSIONES FCI]],+Tabla5[[#This Row],[INVERSIONES FCI]]-CH165,Tabla5[[#This Row],[INVERSIONES FCI]])</f>
        <v>16585583091.73769</v>
      </c>
      <c r="CI166" s="5">
        <f>IF($B165&lt;=Tabla5[[#This Row],[INVERSIONES FCI]],+Tabla5[[#This Row],[INVERSIONES FCI]]-CI165,Tabla5[[#This Row],[INVERSIONES FCI]])</f>
        <v>16585583091.73769</v>
      </c>
      <c r="CJ166" s="5">
        <f>IF($B165&lt;=Tabla5[[#This Row],[INVERSIONES FCI]],+Tabla5[[#This Row],[INVERSIONES FCI]]-CJ165,Tabla5[[#This Row],[INVERSIONES FCI]])</f>
        <v>16585583091.73769</v>
      </c>
      <c r="CK166" s="5">
        <f>IF($B165&lt;=Tabla5[[#This Row],[INVERSIONES FCI]],+Tabla5[[#This Row],[INVERSIONES FCI]]-CK165,Tabla5[[#This Row],[INVERSIONES FCI]])</f>
        <v>16585583091.73769</v>
      </c>
      <c r="CL166" s="5">
        <f>IF($B165&lt;=Tabla5[[#This Row],[INVERSIONES FCI]],+Tabla5[[#This Row],[INVERSIONES FCI]]-CL165,Tabla5[[#This Row],[INVERSIONES FCI]])</f>
        <v>16585583091.73769</v>
      </c>
      <c r="CM166" s="5">
        <f>IF($B165&lt;=Tabla5[[#This Row],[INVERSIONES FCI]],+Tabla5[[#This Row],[INVERSIONES FCI]]-CM165,Tabla5[[#This Row],[INVERSIONES FCI]])</f>
        <v>16585583091.73769</v>
      </c>
      <c r="CN166" s="5">
        <f>IF($B165&lt;=Tabla5[[#This Row],[INVERSIONES FCI]],+Tabla5[[#This Row],[INVERSIONES FCI]]-CN165,Tabla5[[#This Row],[INVERSIONES FCI]])</f>
        <v>16585583091.73769</v>
      </c>
      <c r="CO166" s="5">
        <f>IF($B165&lt;=Tabla5[[#This Row],[INVERSIONES FCI]],+Tabla5[[#This Row],[INVERSIONES FCI]]-CO165,Tabla5[[#This Row],[INVERSIONES FCI]])</f>
        <v>16585583091.73769</v>
      </c>
      <c r="CP166" s="5">
        <f>IF($B165&lt;=Tabla5[[#This Row],[INVERSIONES FCI]],+Tabla5[[#This Row],[INVERSIONES FCI]]-CP165,Tabla5[[#This Row],[INVERSIONES FCI]])</f>
        <v>16585583091.73769</v>
      </c>
      <c r="CQ166" s="5">
        <f>IF($B165&lt;=Tabla5[[#This Row],[INVERSIONES FCI]],+Tabla5[[#This Row],[INVERSIONES FCI]]-CQ165,Tabla5[[#This Row],[INVERSIONES FCI]])</f>
        <v>16585583091.73769</v>
      </c>
      <c r="CR166" s="5">
        <f>IF($B165&lt;=Tabla5[[#This Row],[INVERSIONES FCI]],+Tabla5[[#This Row],[INVERSIONES FCI]]-CR165,Tabla5[[#This Row],[INVERSIONES FCI]])</f>
        <v>16585583091.73769</v>
      </c>
      <c r="CS166" s="5">
        <f>IF($B165&lt;=Tabla5[[#This Row],[INVERSIONES FCI]],+Tabla5[[#This Row],[INVERSIONES FCI]]-CS165,Tabla5[[#This Row],[INVERSIONES FCI]])</f>
        <v>16585583091.73769</v>
      </c>
      <c r="CT166" s="5">
        <f>IF($B165&lt;=Tabla5[[#This Row],[INVERSIONES FCI]],+Tabla5[[#This Row],[INVERSIONES FCI]]-CT165,Tabla5[[#This Row],[INVERSIONES FCI]])</f>
        <v>16585583091.73769</v>
      </c>
      <c r="CU166" s="5">
        <f>IF($B165&lt;=Tabla5[[#This Row],[INVERSIONES FCI]],+Tabla5[[#This Row],[INVERSIONES FCI]]-CU165,Tabla5[[#This Row],[INVERSIONES FCI]])</f>
        <v>16585583091.73769</v>
      </c>
      <c r="CV166" s="5">
        <f>IF($B165&lt;=Tabla5[[#This Row],[INVERSIONES FCI]],+Tabla5[[#This Row],[INVERSIONES FCI]]-CV165,Tabla5[[#This Row],[INVERSIONES FCI]])</f>
        <v>16585583091.73769</v>
      </c>
      <c r="CW166" s="5">
        <f>IF($B165&lt;=Tabla5[[#This Row],[INVERSIONES FCI]],+Tabla5[[#This Row],[INVERSIONES FCI]]-CW165,Tabla5[[#This Row],[INVERSIONES FCI]])</f>
        <v>16585583091.73769</v>
      </c>
      <c r="CX166" s="5">
        <f>IF($B165&lt;=Tabla5[[#This Row],[INVERSIONES FCI]],+Tabla5[[#This Row],[INVERSIONES FCI]]-CX165,Tabla5[[#This Row],[INVERSIONES FCI]])</f>
        <v>16585583091.73769</v>
      </c>
      <c r="CY166" s="5">
        <f>IF($B165&lt;=Tabla5[[#This Row],[INVERSIONES FCI]],+Tabla5[[#This Row],[INVERSIONES FCI]]-CY165,Tabla5[[#This Row],[INVERSIONES FCI]])</f>
        <v>16585583091.73769</v>
      </c>
      <c r="CZ166" s="5">
        <f>IF($B165&lt;=Tabla5[[#This Row],[INVERSIONES FCI]],+Tabla5[[#This Row],[INVERSIONES FCI]]-CZ165,Tabla5[[#This Row],[INVERSIONES FCI]])</f>
        <v>16585583091.73769</v>
      </c>
      <c r="DA166" s="5">
        <f>IF($B165&lt;=Tabla5[[#This Row],[INVERSIONES FCI]],+Tabla5[[#This Row],[INVERSIONES FCI]]-DA165,Tabla5[[#This Row],[INVERSIONES FCI]])</f>
        <v>16585583091.73769</v>
      </c>
      <c r="DB166" s="5">
        <f>IF($B165&lt;=Tabla5[[#This Row],[INVERSIONES FCI]],+Tabla5[[#This Row],[INVERSIONES FCI]]-DB165,Tabla5[[#This Row],[INVERSIONES FCI]])</f>
        <v>16585583091.73769</v>
      </c>
      <c r="DC166" s="5">
        <f>IF($B165&lt;=Tabla5[[#This Row],[INVERSIONES FCI]],+Tabla5[[#This Row],[INVERSIONES FCI]]-DC165,Tabla5[[#This Row],[INVERSIONES FCI]])</f>
        <v>16585583091.73769</v>
      </c>
      <c r="DD166" s="5">
        <f>IF($B165&lt;=Tabla5[[#This Row],[INVERSIONES FCI]],+Tabla5[[#This Row],[INVERSIONES FCI]]-DD165,Tabla5[[#This Row],[INVERSIONES FCI]])</f>
        <v>16585583091.73769</v>
      </c>
      <c r="DE166" s="5">
        <f>IF($B165&lt;=Tabla5[[#This Row],[INVERSIONES FCI]],+Tabla5[[#This Row],[INVERSIONES FCI]]-DE165,Tabla5[[#This Row],[INVERSIONES FCI]])</f>
        <v>16585583091.73769</v>
      </c>
      <c r="DF166" s="5">
        <f>IF($B165&lt;=Tabla5[[#This Row],[INVERSIONES FCI]],+Tabla5[[#This Row],[INVERSIONES FCI]]-DF165,Tabla5[[#This Row],[INVERSIONES FCI]])</f>
        <v>16585583091.73769</v>
      </c>
      <c r="DG166" s="5">
        <f>IF($B165&lt;=Tabla5[[#This Row],[INVERSIONES FCI]],+Tabla5[[#This Row],[INVERSIONES FCI]]-DG165,Tabla5[[#This Row],[INVERSIONES FCI]])</f>
        <v>16585583091.73769</v>
      </c>
      <c r="DH166" s="5">
        <f>IF($B165&lt;=Tabla5[[#This Row],[INVERSIONES FCI]],+Tabla5[[#This Row],[INVERSIONES FCI]]-DH165,Tabla5[[#This Row],[INVERSIONES FCI]])</f>
        <v>16585583091.73769</v>
      </c>
      <c r="DI166" s="5">
        <f>IF($B165&lt;=Tabla5[[#This Row],[INVERSIONES FCI]],+Tabla5[[#This Row],[INVERSIONES FCI]]-DI165,Tabla5[[#This Row],[INVERSIONES FCI]])</f>
        <v>16585583091.73769</v>
      </c>
      <c r="DJ166" s="5">
        <f>IF($B165&lt;=Tabla5[[#This Row],[INVERSIONES FCI]],+Tabla5[[#This Row],[INVERSIONES FCI]]-DJ165,Tabla5[[#This Row],[INVERSIONES FCI]])</f>
        <v>16585583091.73769</v>
      </c>
      <c r="DK166" s="5">
        <f>IF($B165&lt;=Tabla5[[#This Row],[INVERSIONES FCI]],+Tabla5[[#This Row],[INVERSIONES FCI]]-DK165,Tabla5[[#This Row],[INVERSIONES FCI]])</f>
        <v>16585583091.73769</v>
      </c>
      <c r="DL166" s="5"/>
      <c r="DM166" s="5"/>
      <c r="DN166" s="5"/>
      <c r="DO166" s="5"/>
      <c r="DP166" s="5"/>
      <c r="DQ166" s="5"/>
    </row>
    <row r="167" spans="1:121" ht="14.4">
      <c r="A167" s="12" t="s">
        <v>166</v>
      </c>
      <c r="B167" s="5">
        <f>HLOOKUP($A167,ESCENARIO[#All],7,FALSE)</f>
        <v>26203757560.202896</v>
      </c>
      <c r="C167" s="5">
        <f>IF($B166&lt;=Tabla5[[#This Row],[INVERSIONES FCI]],+Tabla5[[#This Row],[INVERSIONES FCI]]-C166,Tabla5[[#This Row],[INVERSIONES FCI]])</f>
        <v>9618174468.4652061</v>
      </c>
      <c r="D167" s="5">
        <f>IF($B166&lt;=Tabla5[[#This Row],[INVERSIONES FCI]],+Tabla5[[#This Row],[INVERSIONES FCI]]-D166,Tabla5[[#This Row],[INVERSIONES FCI]])</f>
        <v>9618174468.4652061</v>
      </c>
      <c r="E167" s="5">
        <f>IF($B166&lt;=Tabla5[[#This Row],[INVERSIONES FCI]],+Tabla5[[#This Row],[INVERSIONES FCI]]-E166,Tabla5[[#This Row],[INVERSIONES FCI]])</f>
        <v>9618174468.4652061</v>
      </c>
      <c r="F167" s="5">
        <f>IF($B166&lt;=Tabla5[[#This Row],[INVERSIONES FCI]],+Tabla5[[#This Row],[INVERSIONES FCI]]-F166,Tabla5[[#This Row],[INVERSIONES FCI]])</f>
        <v>9618174468.4652061</v>
      </c>
      <c r="G167" s="5">
        <f>IF($B166&lt;=Tabla5[[#This Row],[INVERSIONES FCI]],+Tabla5[[#This Row],[INVERSIONES FCI]]-G166,Tabla5[[#This Row],[INVERSIONES FCI]])</f>
        <v>9618174468.4652061</v>
      </c>
      <c r="H167" s="5">
        <f>IF($B166&lt;=Tabla5[[#This Row],[INVERSIONES FCI]],+Tabla5[[#This Row],[INVERSIONES FCI]]-H166,Tabla5[[#This Row],[INVERSIONES FCI]])</f>
        <v>9618174468.4652061</v>
      </c>
      <c r="I167" s="5">
        <f>IF($B166&lt;=Tabla5[[#This Row],[INVERSIONES FCI]],+Tabla5[[#This Row],[INVERSIONES FCI]]-I166,Tabla5[[#This Row],[INVERSIONES FCI]])</f>
        <v>9618174468.4652061</v>
      </c>
      <c r="J167" s="5">
        <f>IF($B166&lt;=Tabla5[[#This Row],[INVERSIONES FCI]],+Tabla5[[#This Row],[INVERSIONES FCI]]-J166,Tabla5[[#This Row],[INVERSIONES FCI]])</f>
        <v>9618174468.4652061</v>
      </c>
      <c r="K167" s="5">
        <f>IF($B166&lt;=Tabla5[[#This Row],[INVERSIONES FCI]],+Tabla5[[#This Row],[INVERSIONES FCI]]-K166,Tabla5[[#This Row],[INVERSIONES FCI]])</f>
        <v>9618174468.4652061</v>
      </c>
      <c r="L167" s="5">
        <f>IF($B166&lt;=Tabla5[[#This Row],[INVERSIONES FCI]],+Tabla5[[#This Row],[INVERSIONES FCI]]-L166,Tabla5[[#This Row],[INVERSIONES FCI]])</f>
        <v>9618174468.4652061</v>
      </c>
      <c r="M167" s="5">
        <f>IF($B166&lt;=Tabla5[[#This Row],[INVERSIONES FCI]],+Tabla5[[#This Row],[INVERSIONES FCI]]-M166,Tabla5[[#This Row],[INVERSIONES FCI]])</f>
        <v>9618174468.4652061</v>
      </c>
      <c r="N167" s="5">
        <f>IF($B166&lt;=Tabla5[[#This Row],[INVERSIONES FCI]],+Tabla5[[#This Row],[INVERSIONES FCI]]-N166,Tabla5[[#This Row],[INVERSIONES FCI]])</f>
        <v>9618174468.4652061</v>
      </c>
      <c r="O167" s="5">
        <f>IF($B166&lt;=Tabla5[[#This Row],[INVERSIONES FCI]],+Tabla5[[#This Row],[INVERSIONES FCI]]-O166,Tabla5[[#This Row],[INVERSIONES FCI]])</f>
        <v>9618174468.4652061</v>
      </c>
      <c r="P167" s="5">
        <f>IF($B166&lt;=Tabla5[[#This Row],[INVERSIONES FCI]],+Tabla5[[#This Row],[INVERSIONES FCI]]-P166,Tabla5[[#This Row],[INVERSIONES FCI]])</f>
        <v>9618174468.4652061</v>
      </c>
      <c r="Q167" s="5">
        <f>IF($B166&lt;=Tabla5[[#This Row],[INVERSIONES FCI]],+Tabla5[[#This Row],[INVERSIONES FCI]]-Q166,Tabla5[[#This Row],[INVERSIONES FCI]])</f>
        <v>9618174468.4652061</v>
      </c>
      <c r="R167" s="5">
        <f>IF($B166&lt;=Tabla5[[#This Row],[INVERSIONES FCI]],+Tabla5[[#This Row],[INVERSIONES FCI]]-R166,Tabla5[[#This Row],[INVERSIONES FCI]])</f>
        <v>9618174468.4652061</v>
      </c>
      <c r="S167" s="5">
        <f>IF($B166&lt;=Tabla5[[#This Row],[INVERSIONES FCI]],+Tabla5[[#This Row],[INVERSIONES FCI]]-S166,Tabla5[[#This Row],[INVERSIONES FCI]])</f>
        <v>9618174468.4652061</v>
      </c>
      <c r="T167" s="5">
        <f>IF($B166&lt;=Tabla5[[#This Row],[INVERSIONES FCI]],+Tabla5[[#This Row],[INVERSIONES FCI]]-T166,Tabla5[[#This Row],[INVERSIONES FCI]])</f>
        <v>9618174468.4652061</v>
      </c>
      <c r="U167" s="5">
        <f>IF($B166&lt;=Tabla5[[#This Row],[INVERSIONES FCI]],+Tabla5[[#This Row],[INVERSIONES FCI]]-U166,Tabla5[[#This Row],[INVERSIONES FCI]])</f>
        <v>9618174468.4652061</v>
      </c>
      <c r="V167" s="5">
        <f>IF($B166&lt;=Tabla5[[#This Row],[INVERSIONES FCI]],+Tabla5[[#This Row],[INVERSIONES FCI]]-V166,Tabla5[[#This Row],[INVERSIONES FCI]])</f>
        <v>9618174468.4652061</v>
      </c>
      <c r="W167" s="5">
        <f>IF($B166&lt;=Tabla5[[#This Row],[INVERSIONES FCI]],+Tabla5[[#This Row],[INVERSIONES FCI]]-W166,Tabla5[[#This Row],[INVERSIONES FCI]])</f>
        <v>9618174468.4652061</v>
      </c>
      <c r="X167" s="5">
        <f>IF($B166&lt;=Tabla5[[#This Row],[INVERSIONES FCI]],+Tabla5[[#This Row],[INVERSIONES FCI]]-X166,Tabla5[[#This Row],[INVERSIONES FCI]])</f>
        <v>9618174468.4652061</v>
      </c>
      <c r="Y167" s="5">
        <f>IF($B166&lt;=Tabla5[[#This Row],[INVERSIONES FCI]],+Tabla5[[#This Row],[INVERSIONES FCI]]-Y166,Tabla5[[#This Row],[INVERSIONES FCI]])</f>
        <v>9618174468.4652061</v>
      </c>
      <c r="Z167" s="5">
        <f>IF($B166&lt;=Tabla5[[#This Row],[INVERSIONES FCI]],+Tabla5[[#This Row],[INVERSIONES FCI]]-Z166,Tabla5[[#This Row],[INVERSIONES FCI]])</f>
        <v>9618174468.4652061</v>
      </c>
      <c r="AA167" s="5">
        <f>IF($B166&lt;=Tabla5[[#This Row],[INVERSIONES FCI]],+Tabla5[[#This Row],[INVERSIONES FCI]]-AA166,Tabla5[[#This Row],[INVERSIONES FCI]])</f>
        <v>9618174468.4652061</v>
      </c>
      <c r="AB167" s="5">
        <f>IF($B166&lt;=Tabla5[[#This Row],[INVERSIONES FCI]],+Tabla5[[#This Row],[INVERSIONES FCI]]-AB166,Tabla5[[#This Row],[INVERSIONES FCI]])</f>
        <v>9618174468.4652061</v>
      </c>
      <c r="AC167" s="5">
        <f>IF($B166&lt;=Tabla5[[#This Row],[INVERSIONES FCI]],+Tabla5[[#This Row],[INVERSIONES FCI]]-AC166,Tabla5[[#This Row],[INVERSIONES FCI]])</f>
        <v>9618174468.4652061</v>
      </c>
      <c r="AD167" s="5">
        <f>IF($B166&lt;=Tabla5[[#This Row],[INVERSIONES FCI]],+Tabla5[[#This Row],[INVERSIONES FCI]]-AD166,Tabla5[[#This Row],[INVERSIONES FCI]])</f>
        <v>9618174468.4652061</v>
      </c>
      <c r="AE167" s="5">
        <f>IF($B166&lt;=Tabla5[[#This Row],[INVERSIONES FCI]],+Tabla5[[#This Row],[INVERSIONES FCI]]-AE166,Tabla5[[#This Row],[INVERSIONES FCI]])</f>
        <v>9618174468.4652061</v>
      </c>
      <c r="AF167" s="5">
        <f>IF($B166&lt;=Tabla5[[#This Row],[INVERSIONES FCI]],+Tabla5[[#This Row],[INVERSIONES FCI]]-AF166,Tabla5[[#This Row],[INVERSIONES FCI]])</f>
        <v>9618174468.4652061</v>
      </c>
      <c r="AG167" s="5">
        <f>IF($B166&lt;=Tabla5[[#This Row],[INVERSIONES FCI]],+Tabla5[[#This Row],[INVERSIONES FCI]]-AG166,Tabla5[[#This Row],[INVERSIONES FCI]])</f>
        <v>9618174468.4652061</v>
      </c>
      <c r="AH167" s="5">
        <f>IF($B166&lt;=Tabla5[[#This Row],[INVERSIONES FCI]],+Tabla5[[#This Row],[INVERSIONES FCI]]-AH166,Tabla5[[#This Row],[INVERSIONES FCI]])</f>
        <v>9618174468.4652061</v>
      </c>
      <c r="AI167" s="5">
        <f>IF($B166&lt;=Tabla5[[#This Row],[INVERSIONES FCI]],+Tabla5[[#This Row],[INVERSIONES FCI]]-AI166,Tabla5[[#This Row],[INVERSIONES FCI]])</f>
        <v>9618174468.4652061</v>
      </c>
      <c r="AJ167" s="5">
        <f>IF($B166&lt;=Tabla5[[#This Row],[INVERSIONES FCI]],+Tabla5[[#This Row],[INVERSIONES FCI]]-AJ166,Tabla5[[#This Row],[INVERSIONES FCI]])</f>
        <v>9618174468.4652061</v>
      </c>
      <c r="AK167" s="5">
        <f>IF($B166&lt;=Tabla5[[#This Row],[INVERSIONES FCI]],+Tabla5[[#This Row],[INVERSIONES FCI]]-AK166,Tabla5[[#This Row],[INVERSIONES FCI]])</f>
        <v>9618174468.4652061</v>
      </c>
      <c r="AL167" s="5">
        <f>IF($B166&lt;=Tabla5[[#This Row],[INVERSIONES FCI]],+Tabla5[[#This Row],[INVERSIONES FCI]]-AL166,Tabla5[[#This Row],[INVERSIONES FCI]])</f>
        <v>9618174468.4652061</v>
      </c>
      <c r="AM167" s="5">
        <f>IF($B166&lt;=Tabla5[[#This Row],[INVERSIONES FCI]],+Tabla5[[#This Row],[INVERSIONES FCI]]-AM166,Tabla5[[#This Row],[INVERSIONES FCI]])</f>
        <v>9618174468.4652061</v>
      </c>
      <c r="AN167" s="5">
        <f>IF($B166&lt;=Tabla5[[#This Row],[INVERSIONES FCI]],+Tabla5[[#This Row],[INVERSIONES FCI]]-AN166,Tabla5[[#This Row],[INVERSIONES FCI]])</f>
        <v>9618174468.4652061</v>
      </c>
      <c r="AO167" s="5">
        <f>IF($B166&lt;=Tabla5[[#This Row],[INVERSIONES FCI]],+Tabla5[[#This Row],[INVERSIONES FCI]]-AO166,Tabla5[[#This Row],[INVERSIONES FCI]])</f>
        <v>9618174468.4652061</v>
      </c>
      <c r="AP167" s="5">
        <f>IF($B166&lt;=Tabla5[[#This Row],[INVERSIONES FCI]],+Tabla5[[#This Row],[INVERSIONES FCI]]-AP166,Tabla5[[#This Row],[INVERSIONES FCI]])</f>
        <v>9618174468.4652061</v>
      </c>
      <c r="AQ167" s="5">
        <f>IF($B166&lt;=Tabla5[[#This Row],[INVERSIONES FCI]],+Tabla5[[#This Row],[INVERSIONES FCI]]-AQ166,Tabla5[[#This Row],[INVERSIONES FCI]])</f>
        <v>9618174468.4652061</v>
      </c>
      <c r="AR167" s="5">
        <f>IF($B166&lt;=Tabla5[[#This Row],[INVERSIONES FCI]],+Tabla5[[#This Row],[INVERSIONES FCI]]-AR166,Tabla5[[#This Row],[INVERSIONES FCI]])</f>
        <v>9618174468.4652061</v>
      </c>
      <c r="AS167" s="5">
        <f>IF($B166&lt;=Tabla5[[#This Row],[INVERSIONES FCI]],+Tabla5[[#This Row],[INVERSIONES FCI]]-AS166,Tabla5[[#This Row],[INVERSIONES FCI]])</f>
        <v>9618174468.4652061</v>
      </c>
      <c r="AT167" s="5">
        <f>IF($B166&lt;=Tabla5[[#This Row],[INVERSIONES FCI]],+Tabla5[[#This Row],[INVERSIONES FCI]]-AT166,Tabla5[[#This Row],[INVERSIONES FCI]])</f>
        <v>9618174468.4652061</v>
      </c>
      <c r="AU167" s="5">
        <f>IF($B166&lt;=Tabla5[[#This Row],[INVERSIONES FCI]],+Tabla5[[#This Row],[INVERSIONES FCI]]-AU166,Tabla5[[#This Row],[INVERSIONES FCI]])</f>
        <v>9618174468.4652061</v>
      </c>
      <c r="AV167" s="5">
        <f>IF($B166&lt;=Tabla5[[#This Row],[INVERSIONES FCI]],+Tabla5[[#This Row],[INVERSIONES FCI]]-AV166,Tabla5[[#This Row],[INVERSIONES FCI]])</f>
        <v>9618174468.4652061</v>
      </c>
      <c r="AW167" s="5">
        <f>IF($B166&lt;=Tabla5[[#This Row],[INVERSIONES FCI]],+Tabla5[[#This Row],[INVERSIONES FCI]]-AW166,Tabla5[[#This Row],[INVERSIONES FCI]])</f>
        <v>9618174468.4652061</v>
      </c>
      <c r="AX167" s="5">
        <f>IF($B166&lt;=Tabla5[[#This Row],[INVERSIONES FCI]],+Tabla5[[#This Row],[INVERSIONES FCI]]-AX166,Tabla5[[#This Row],[INVERSIONES FCI]])</f>
        <v>9618174468.4652061</v>
      </c>
      <c r="AY167" s="5">
        <f>IF($B166&lt;=Tabla5[[#This Row],[INVERSIONES FCI]],+Tabla5[[#This Row],[INVERSIONES FCI]]-AY166,Tabla5[[#This Row],[INVERSIONES FCI]])</f>
        <v>9618174468.4652061</v>
      </c>
      <c r="AZ167" s="5">
        <f>IF($B166&lt;=Tabla5[[#This Row],[INVERSIONES FCI]],+Tabla5[[#This Row],[INVERSIONES FCI]]-AZ166,Tabla5[[#This Row],[INVERSIONES FCI]])</f>
        <v>9618174468.4652061</v>
      </c>
      <c r="BA167" s="5">
        <f>IF($B166&lt;=Tabla5[[#This Row],[INVERSIONES FCI]],+Tabla5[[#This Row],[INVERSIONES FCI]]-BA166,Tabla5[[#This Row],[INVERSIONES FCI]])</f>
        <v>9618174468.4652061</v>
      </c>
      <c r="BB167" s="5">
        <f>IF($B166&lt;=Tabla5[[#This Row],[INVERSIONES FCI]],+Tabla5[[#This Row],[INVERSIONES FCI]]-BB166,Tabla5[[#This Row],[INVERSIONES FCI]])</f>
        <v>9618174468.4652061</v>
      </c>
      <c r="BC167" s="5">
        <f>IF($B166&lt;=Tabla5[[#This Row],[INVERSIONES FCI]],+Tabla5[[#This Row],[INVERSIONES FCI]]-BC166,Tabla5[[#This Row],[INVERSIONES FCI]])</f>
        <v>9618174468.4652061</v>
      </c>
      <c r="BD167" s="5">
        <f>IF($B166&lt;=Tabla5[[#This Row],[INVERSIONES FCI]],+Tabla5[[#This Row],[INVERSIONES FCI]]-BD166,Tabla5[[#This Row],[INVERSIONES FCI]])</f>
        <v>9618174468.4652061</v>
      </c>
      <c r="BE167" s="5">
        <f>IF($B166&lt;=Tabla5[[#This Row],[INVERSIONES FCI]],+Tabla5[[#This Row],[INVERSIONES FCI]]-BE166,Tabla5[[#This Row],[INVERSIONES FCI]])</f>
        <v>9618174468.4652061</v>
      </c>
      <c r="BF167" s="5">
        <f>IF($B166&lt;=Tabla5[[#This Row],[INVERSIONES FCI]],+Tabla5[[#This Row],[INVERSIONES FCI]]-BF166,Tabla5[[#This Row],[INVERSIONES FCI]])</f>
        <v>9618174468.4652061</v>
      </c>
      <c r="BG167" s="5">
        <f>IF($B166&lt;=Tabla5[[#This Row],[INVERSIONES FCI]],+Tabla5[[#This Row],[INVERSIONES FCI]]-BG166,Tabla5[[#This Row],[INVERSIONES FCI]])</f>
        <v>9618174468.4652061</v>
      </c>
      <c r="BH167" s="5">
        <f>IF($B166&lt;=Tabla5[[#This Row],[INVERSIONES FCI]],+Tabla5[[#This Row],[INVERSIONES FCI]]-BH166,Tabla5[[#This Row],[INVERSIONES FCI]])</f>
        <v>9618174468.4652061</v>
      </c>
      <c r="BI167" s="5">
        <f>IF($B166&lt;=Tabla5[[#This Row],[INVERSIONES FCI]],+Tabla5[[#This Row],[INVERSIONES FCI]]-BI166,Tabla5[[#This Row],[INVERSIONES FCI]])</f>
        <v>9618174468.4652061</v>
      </c>
      <c r="BJ167" s="5">
        <f>IF($B166&lt;=Tabla5[[#This Row],[INVERSIONES FCI]],+Tabla5[[#This Row],[INVERSIONES FCI]]-BJ166,Tabla5[[#This Row],[INVERSIONES FCI]])</f>
        <v>9618174468.4652061</v>
      </c>
      <c r="BK167" s="5">
        <f>IF($B166&lt;=Tabla5[[#This Row],[INVERSIONES FCI]],+Tabla5[[#This Row],[INVERSIONES FCI]]-BK166,Tabla5[[#This Row],[INVERSIONES FCI]])</f>
        <v>9618174468.4652061</v>
      </c>
      <c r="BL167" s="5">
        <f>IF($B166&lt;=Tabla5[[#This Row],[INVERSIONES FCI]],+Tabla5[[#This Row],[INVERSIONES FCI]]-BL166,Tabla5[[#This Row],[INVERSIONES FCI]])</f>
        <v>9618174468.4652061</v>
      </c>
      <c r="BM167" s="5">
        <f>IF($B166&lt;=Tabla5[[#This Row],[INVERSIONES FCI]],+Tabla5[[#This Row],[INVERSIONES FCI]]-BM166,Tabla5[[#This Row],[INVERSIONES FCI]])</f>
        <v>9618174468.4652061</v>
      </c>
      <c r="BN167" s="5">
        <f>IF($B166&lt;=Tabla5[[#This Row],[INVERSIONES FCI]],+Tabla5[[#This Row],[INVERSIONES FCI]]-BN166,Tabla5[[#This Row],[INVERSIONES FCI]])</f>
        <v>9618174468.4652061</v>
      </c>
      <c r="BO167" s="5">
        <f>IF($B166&lt;=Tabla5[[#This Row],[INVERSIONES FCI]],+Tabla5[[#This Row],[INVERSIONES FCI]]-BO166,Tabla5[[#This Row],[INVERSIONES FCI]])</f>
        <v>9618174468.4652061</v>
      </c>
      <c r="BP167" s="5">
        <f>IF($B166&lt;=Tabla5[[#This Row],[INVERSIONES FCI]],+Tabla5[[#This Row],[INVERSIONES FCI]]-BP166,Tabla5[[#This Row],[INVERSIONES FCI]])</f>
        <v>9618174468.4652061</v>
      </c>
      <c r="BQ167" s="5">
        <f>IF($B166&lt;=Tabla5[[#This Row],[INVERSIONES FCI]],+Tabla5[[#This Row],[INVERSIONES FCI]]-BQ166,Tabla5[[#This Row],[INVERSIONES FCI]])</f>
        <v>9618174468.4652061</v>
      </c>
      <c r="BR167" s="5">
        <f>IF($B166&lt;=Tabla5[[#This Row],[INVERSIONES FCI]],+Tabla5[[#This Row],[INVERSIONES FCI]]-BR166,Tabla5[[#This Row],[INVERSIONES FCI]])</f>
        <v>9618174468.4652061</v>
      </c>
      <c r="BS167" s="5">
        <f>IF($B166&lt;=Tabla5[[#This Row],[INVERSIONES FCI]],+Tabla5[[#This Row],[INVERSIONES FCI]]-BS166,Tabla5[[#This Row],[INVERSIONES FCI]])</f>
        <v>9618174468.4652061</v>
      </c>
      <c r="BT167" s="5">
        <f>IF($B166&lt;=Tabla5[[#This Row],[INVERSIONES FCI]],+Tabla5[[#This Row],[INVERSIONES FCI]]-BT166,Tabla5[[#This Row],[INVERSIONES FCI]])</f>
        <v>9618174468.4652061</v>
      </c>
      <c r="BU167" s="5">
        <f>IF($B166&lt;=Tabla5[[#This Row],[INVERSIONES FCI]],+Tabla5[[#This Row],[INVERSIONES FCI]]-BU166,Tabla5[[#This Row],[INVERSIONES FCI]])</f>
        <v>9618174468.4652061</v>
      </c>
      <c r="BV167" s="5">
        <f>IF($B166&lt;=Tabla5[[#This Row],[INVERSIONES FCI]],+Tabla5[[#This Row],[INVERSIONES FCI]]-BV166,Tabla5[[#This Row],[INVERSIONES FCI]])</f>
        <v>9618174468.4652061</v>
      </c>
      <c r="BW167" s="5">
        <f>IF($B166&lt;=Tabla5[[#This Row],[INVERSIONES FCI]],+Tabla5[[#This Row],[INVERSIONES FCI]]-BW166,Tabla5[[#This Row],[INVERSIONES FCI]])</f>
        <v>9618174468.4652061</v>
      </c>
      <c r="BX167" s="5">
        <f>IF($B166&lt;=Tabla5[[#This Row],[INVERSIONES FCI]],+Tabla5[[#This Row],[INVERSIONES FCI]]-BX166,Tabla5[[#This Row],[INVERSIONES FCI]])</f>
        <v>9618174468.4652061</v>
      </c>
      <c r="BY167" s="5">
        <f>IF($B166&lt;=Tabla5[[#This Row],[INVERSIONES FCI]],+Tabla5[[#This Row],[INVERSIONES FCI]]-BY166,Tabla5[[#This Row],[INVERSIONES FCI]])</f>
        <v>9618174468.4652061</v>
      </c>
      <c r="BZ167" s="5">
        <f>IF($B166&lt;=Tabla5[[#This Row],[INVERSIONES FCI]],+Tabla5[[#This Row],[INVERSIONES FCI]]-BZ166,Tabla5[[#This Row],[INVERSIONES FCI]])</f>
        <v>9618174468.4652061</v>
      </c>
      <c r="CA167" s="5">
        <f>IF($B166&lt;=Tabla5[[#This Row],[INVERSIONES FCI]],+Tabla5[[#This Row],[INVERSIONES FCI]]-CA166,Tabla5[[#This Row],[INVERSIONES FCI]])</f>
        <v>9618174468.4652061</v>
      </c>
      <c r="CB167" s="5">
        <f>IF($B166&lt;=Tabla5[[#This Row],[INVERSIONES FCI]],+Tabla5[[#This Row],[INVERSIONES FCI]]-CB166,Tabla5[[#This Row],[INVERSIONES FCI]])</f>
        <v>9618174468.4652061</v>
      </c>
      <c r="CC167" s="5">
        <f>IF($B166&lt;=Tabla5[[#This Row],[INVERSIONES FCI]],+Tabla5[[#This Row],[INVERSIONES FCI]]-CC166,Tabla5[[#This Row],[INVERSIONES FCI]])</f>
        <v>9618174468.4652061</v>
      </c>
      <c r="CD167" s="5">
        <f>IF($B166&lt;=Tabla5[[#This Row],[INVERSIONES FCI]],+Tabla5[[#This Row],[INVERSIONES FCI]]-CD166,Tabla5[[#This Row],[INVERSIONES FCI]])</f>
        <v>9618174468.4652061</v>
      </c>
      <c r="CE167" s="5">
        <f>IF($B166&lt;=Tabla5[[#This Row],[INVERSIONES FCI]],+Tabla5[[#This Row],[INVERSIONES FCI]]-CE166,Tabla5[[#This Row],[INVERSIONES FCI]])</f>
        <v>9618174468.4652061</v>
      </c>
      <c r="CF167" s="5">
        <f>IF($B166&lt;=Tabla5[[#This Row],[INVERSIONES FCI]],+Tabla5[[#This Row],[INVERSIONES FCI]]-CF166,Tabla5[[#This Row],[INVERSIONES FCI]])</f>
        <v>9618174468.4652061</v>
      </c>
      <c r="CG167" s="5">
        <f>IF($B166&lt;=Tabla5[[#This Row],[INVERSIONES FCI]],+Tabla5[[#This Row],[INVERSIONES FCI]]-CG166,Tabla5[[#This Row],[INVERSIONES FCI]])</f>
        <v>9618174468.4652061</v>
      </c>
      <c r="CH167" s="5">
        <f>IF($B166&lt;=Tabla5[[#This Row],[INVERSIONES FCI]],+Tabla5[[#This Row],[INVERSIONES FCI]]-CH166,Tabla5[[#This Row],[INVERSIONES FCI]])</f>
        <v>9618174468.4652061</v>
      </c>
      <c r="CI167" s="5">
        <f>IF($B166&lt;=Tabla5[[#This Row],[INVERSIONES FCI]],+Tabla5[[#This Row],[INVERSIONES FCI]]-CI166,Tabla5[[#This Row],[INVERSIONES FCI]])</f>
        <v>9618174468.4652061</v>
      </c>
      <c r="CJ167" s="5">
        <f>IF($B166&lt;=Tabla5[[#This Row],[INVERSIONES FCI]],+Tabla5[[#This Row],[INVERSIONES FCI]]-CJ166,Tabla5[[#This Row],[INVERSIONES FCI]])</f>
        <v>9618174468.4652061</v>
      </c>
      <c r="CK167" s="5">
        <f>IF($B166&lt;=Tabla5[[#This Row],[INVERSIONES FCI]],+Tabla5[[#This Row],[INVERSIONES FCI]]-CK166,Tabla5[[#This Row],[INVERSIONES FCI]])</f>
        <v>9618174468.4652061</v>
      </c>
      <c r="CL167" s="5">
        <f>IF($B166&lt;=Tabla5[[#This Row],[INVERSIONES FCI]],+Tabla5[[#This Row],[INVERSIONES FCI]]-CL166,Tabla5[[#This Row],[INVERSIONES FCI]])</f>
        <v>9618174468.4652061</v>
      </c>
      <c r="CM167" s="5">
        <f>IF($B166&lt;=Tabla5[[#This Row],[INVERSIONES FCI]],+Tabla5[[#This Row],[INVERSIONES FCI]]-CM166,Tabla5[[#This Row],[INVERSIONES FCI]])</f>
        <v>9618174468.4652061</v>
      </c>
      <c r="CN167" s="5">
        <f>IF($B166&lt;=Tabla5[[#This Row],[INVERSIONES FCI]],+Tabla5[[#This Row],[INVERSIONES FCI]]-CN166,Tabla5[[#This Row],[INVERSIONES FCI]])</f>
        <v>9618174468.4652061</v>
      </c>
      <c r="CO167" s="5">
        <f>IF($B166&lt;=Tabla5[[#This Row],[INVERSIONES FCI]],+Tabla5[[#This Row],[INVERSIONES FCI]]-CO166,Tabla5[[#This Row],[INVERSIONES FCI]])</f>
        <v>9618174468.4652061</v>
      </c>
      <c r="CP167" s="5">
        <f>IF($B166&lt;=Tabla5[[#This Row],[INVERSIONES FCI]],+Tabla5[[#This Row],[INVERSIONES FCI]]-CP166,Tabla5[[#This Row],[INVERSIONES FCI]])</f>
        <v>9618174468.4652061</v>
      </c>
      <c r="CQ167" s="5">
        <f>IF($B166&lt;=Tabla5[[#This Row],[INVERSIONES FCI]],+Tabla5[[#This Row],[INVERSIONES FCI]]-CQ166,Tabla5[[#This Row],[INVERSIONES FCI]])</f>
        <v>9618174468.4652061</v>
      </c>
      <c r="CR167" s="5">
        <f>IF($B166&lt;=Tabla5[[#This Row],[INVERSIONES FCI]],+Tabla5[[#This Row],[INVERSIONES FCI]]-CR166,Tabla5[[#This Row],[INVERSIONES FCI]])</f>
        <v>9618174468.4652061</v>
      </c>
      <c r="CS167" s="5">
        <f>IF($B166&lt;=Tabla5[[#This Row],[INVERSIONES FCI]],+Tabla5[[#This Row],[INVERSIONES FCI]]-CS166,Tabla5[[#This Row],[INVERSIONES FCI]])</f>
        <v>9618174468.4652061</v>
      </c>
      <c r="CT167" s="5">
        <f>IF($B166&lt;=Tabla5[[#This Row],[INVERSIONES FCI]],+Tabla5[[#This Row],[INVERSIONES FCI]]-CT166,Tabla5[[#This Row],[INVERSIONES FCI]])</f>
        <v>9618174468.4652061</v>
      </c>
      <c r="CU167" s="5">
        <f>IF($B166&lt;=Tabla5[[#This Row],[INVERSIONES FCI]],+Tabla5[[#This Row],[INVERSIONES FCI]]-CU166,Tabla5[[#This Row],[INVERSIONES FCI]])</f>
        <v>9618174468.4652061</v>
      </c>
      <c r="CV167" s="5">
        <f>IF($B166&lt;=Tabla5[[#This Row],[INVERSIONES FCI]],+Tabla5[[#This Row],[INVERSIONES FCI]]-CV166,Tabla5[[#This Row],[INVERSIONES FCI]])</f>
        <v>9618174468.4652061</v>
      </c>
      <c r="CW167" s="5">
        <f>IF($B166&lt;=Tabla5[[#This Row],[INVERSIONES FCI]],+Tabla5[[#This Row],[INVERSIONES FCI]]-CW166,Tabla5[[#This Row],[INVERSIONES FCI]])</f>
        <v>9618174468.4652061</v>
      </c>
      <c r="CX167" s="5">
        <f>IF($B166&lt;=Tabla5[[#This Row],[INVERSIONES FCI]],+Tabla5[[#This Row],[INVERSIONES FCI]]-CX166,Tabla5[[#This Row],[INVERSIONES FCI]])</f>
        <v>9618174468.4652061</v>
      </c>
      <c r="CY167" s="5">
        <f>IF($B166&lt;=Tabla5[[#This Row],[INVERSIONES FCI]],+Tabla5[[#This Row],[INVERSIONES FCI]]-CY166,Tabla5[[#This Row],[INVERSIONES FCI]])</f>
        <v>9618174468.4652061</v>
      </c>
      <c r="CZ167" s="5">
        <f>IF($B166&lt;=Tabla5[[#This Row],[INVERSIONES FCI]],+Tabla5[[#This Row],[INVERSIONES FCI]]-CZ166,Tabla5[[#This Row],[INVERSIONES FCI]])</f>
        <v>9618174468.4652061</v>
      </c>
      <c r="DA167" s="5">
        <f>IF($B166&lt;=Tabla5[[#This Row],[INVERSIONES FCI]],+Tabla5[[#This Row],[INVERSIONES FCI]]-DA166,Tabla5[[#This Row],[INVERSIONES FCI]])</f>
        <v>9618174468.4652061</v>
      </c>
      <c r="DB167" s="5">
        <f>IF($B166&lt;=Tabla5[[#This Row],[INVERSIONES FCI]],+Tabla5[[#This Row],[INVERSIONES FCI]]-DB166,Tabla5[[#This Row],[INVERSIONES FCI]])</f>
        <v>9618174468.4652061</v>
      </c>
      <c r="DC167" s="5">
        <f>IF($B166&lt;=Tabla5[[#This Row],[INVERSIONES FCI]],+Tabla5[[#This Row],[INVERSIONES FCI]]-DC166,Tabla5[[#This Row],[INVERSIONES FCI]])</f>
        <v>9618174468.4652061</v>
      </c>
      <c r="DD167" s="5">
        <f>IF($B166&lt;=Tabla5[[#This Row],[INVERSIONES FCI]],+Tabla5[[#This Row],[INVERSIONES FCI]]-DD166,Tabla5[[#This Row],[INVERSIONES FCI]])</f>
        <v>9618174468.4652061</v>
      </c>
      <c r="DE167" s="5">
        <f>IF($B166&lt;=Tabla5[[#This Row],[INVERSIONES FCI]],+Tabla5[[#This Row],[INVERSIONES FCI]]-DE166,Tabla5[[#This Row],[INVERSIONES FCI]])</f>
        <v>9618174468.4652061</v>
      </c>
      <c r="DF167" s="5">
        <f>IF($B166&lt;=Tabla5[[#This Row],[INVERSIONES FCI]],+Tabla5[[#This Row],[INVERSIONES FCI]]-DF166,Tabla5[[#This Row],[INVERSIONES FCI]])</f>
        <v>9618174468.4652061</v>
      </c>
      <c r="DG167" s="5">
        <f>IF($B166&lt;=Tabla5[[#This Row],[INVERSIONES FCI]],+Tabla5[[#This Row],[INVERSIONES FCI]]-DG166,Tabla5[[#This Row],[INVERSIONES FCI]])</f>
        <v>9618174468.4652061</v>
      </c>
      <c r="DH167" s="5">
        <f>IF($B166&lt;=Tabla5[[#This Row],[INVERSIONES FCI]],+Tabla5[[#This Row],[INVERSIONES FCI]]-DH166,Tabla5[[#This Row],[INVERSIONES FCI]])</f>
        <v>9618174468.4652061</v>
      </c>
      <c r="DI167" s="5">
        <f>IF($B166&lt;=Tabla5[[#This Row],[INVERSIONES FCI]],+Tabla5[[#This Row],[INVERSIONES FCI]]-DI166,Tabla5[[#This Row],[INVERSIONES FCI]])</f>
        <v>9618174468.4652061</v>
      </c>
      <c r="DJ167" s="5">
        <f>IF($B166&lt;=Tabla5[[#This Row],[INVERSIONES FCI]],+Tabla5[[#This Row],[INVERSIONES FCI]]-DJ166,Tabla5[[#This Row],[INVERSIONES FCI]])</f>
        <v>9618174468.4652061</v>
      </c>
      <c r="DK167" s="5">
        <f>IF($B166&lt;=Tabla5[[#This Row],[INVERSIONES FCI]],+Tabla5[[#This Row],[INVERSIONES FCI]]-DK166,Tabla5[[#This Row],[INVERSIONES FCI]])</f>
        <v>9618174468.4652061</v>
      </c>
      <c r="DL167" s="5"/>
      <c r="DM167" s="5"/>
      <c r="DN167" s="5"/>
      <c r="DO167" s="5"/>
      <c r="DP167" s="5"/>
      <c r="DQ167" s="5"/>
    </row>
    <row r="168" spans="1:121" ht="14.4">
      <c r="A168" s="12" t="s">
        <v>167</v>
      </c>
      <c r="B168" s="5">
        <f>HLOOKUP($A168,ESCENARIO[#All],7,FALSE)</f>
        <v>29031617621.10067</v>
      </c>
      <c r="C168" s="5">
        <f>IF($B167&lt;=Tabla5[[#This Row],[INVERSIONES FCI]],+Tabla5[[#This Row],[INVERSIONES FCI]]-C167,Tabla5[[#This Row],[INVERSIONES FCI]])</f>
        <v>19413443152.635464</v>
      </c>
      <c r="D168" s="5">
        <f>IF($B167&lt;=Tabla5[[#This Row],[INVERSIONES FCI]],+Tabla5[[#This Row],[INVERSIONES FCI]]-D167,Tabla5[[#This Row],[INVERSIONES FCI]])</f>
        <v>19413443152.635464</v>
      </c>
      <c r="E168" s="5">
        <f>IF($B167&lt;=Tabla5[[#This Row],[INVERSIONES FCI]],+Tabla5[[#This Row],[INVERSIONES FCI]]-E167,Tabla5[[#This Row],[INVERSIONES FCI]])</f>
        <v>19413443152.635464</v>
      </c>
      <c r="F168" s="5">
        <f>IF($B167&lt;=Tabla5[[#This Row],[INVERSIONES FCI]],+Tabla5[[#This Row],[INVERSIONES FCI]]-F167,Tabla5[[#This Row],[INVERSIONES FCI]])</f>
        <v>19413443152.635464</v>
      </c>
      <c r="G168" s="5">
        <f>IF($B167&lt;=Tabla5[[#This Row],[INVERSIONES FCI]],+Tabla5[[#This Row],[INVERSIONES FCI]]-G167,Tabla5[[#This Row],[INVERSIONES FCI]])</f>
        <v>19413443152.635464</v>
      </c>
      <c r="H168" s="5">
        <f>IF($B167&lt;=Tabla5[[#This Row],[INVERSIONES FCI]],+Tabla5[[#This Row],[INVERSIONES FCI]]-H167,Tabla5[[#This Row],[INVERSIONES FCI]])</f>
        <v>19413443152.635464</v>
      </c>
      <c r="I168" s="5">
        <f>IF($B167&lt;=Tabla5[[#This Row],[INVERSIONES FCI]],+Tabla5[[#This Row],[INVERSIONES FCI]]-I167,Tabla5[[#This Row],[INVERSIONES FCI]])</f>
        <v>19413443152.635464</v>
      </c>
      <c r="J168" s="5">
        <f>IF($B167&lt;=Tabla5[[#This Row],[INVERSIONES FCI]],+Tabla5[[#This Row],[INVERSIONES FCI]]-J167,Tabla5[[#This Row],[INVERSIONES FCI]])</f>
        <v>19413443152.635464</v>
      </c>
      <c r="K168" s="5">
        <f>IF($B167&lt;=Tabla5[[#This Row],[INVERSIONES FCI]],+Tabla5[[#This Row],[INVERSIONES FCI]]-K167,Tabla5[[#This Row],[INVERSIONES FCI]])</f>
        <v>19413443152.635464</v>
      </c>
      <c r="L168" s="5">
        <f>IF($B167&lt;=Tabla5[[#This Row],[INVERSIONES FCI]],+Tabla5[[#This Row],[INVERSIONES FCI]]-L167,Tabla5[[#This Row],[INVERSIONES FCI]])</f>
        <v>19413443152.635464</v>
      </c>
      <c r="M168" s="5">
        <f>IF($B167&lt;=Tabla5[[#This Row],[INVERSIONES FCI]],+Tabla5[[#This Row],[INVERSIONES FCI]]-M167,Tabla5[[#This Row],[INVERSIONES FCI]])</f>
        <v>19413443152.635464</v>
      </c>
      <c r="N168" s="5">
        <f>IF($B167&lt;=Tabla5[[#This Row],[INVERSIONES FCI]],+Tabla5[[#This Row],[INVERSIONES FCI]]-N167,Tabla5[[#This Row],[INVERSIONES FCI]])</f>
        <v>19413443152.635464</v>
      </c>
      <c r="O168" s="5">
        <f>IF($B167&lt;=Tabla5[[#This Row],[INVERSIONES FCI]],+Tabla5[[#This Row],[INVERSIONES FCI]]-O167,Tabla5[[#This Row],[INVERSIONES FCI]])</f>
        <v>19413443152.635464</v>
      </c>
      <c r="P168" s="5">
        <f>IF($B167&lt;=Tabla5[[#This Row],[INVERSIONES FCI]],+Tabla5[[#This Row],[INVERSIONES FCI]]-P167,Tabla5[[#This Row],[INVERSIONES FCI]])</f>
        <v>19413443152.635464</v>
      </c>
      <c r="Q168" s="5">
        <f>IF($B167&lt;=Tabla5[[#This Row],[INVERSIONES FCI]],+Tabla5[[#This Row],[INVERSIONES FCI]]-Q167,Tabla5[[#This Row],[INVERSIONES FCI]])</f>
        <v>19413443152.635464</v>
      </c>
      <c r="R168" s="5">
        <f>IF($B167&lt;=Tabla5[[#This Row],[INVERSIONES FCI]],+Tabla5[[#This Row],[INVERSIONES FCI]]-R167,Tabla5[[#This Row],[INVERSIONES FCI]])</f>
        <v>19413443152.635464</v>
      </c>
      <c r="S168" s="5">
        <f>IF($B167&lt;=Tabla5[[#This Row],[INVERSIONES FCI]],+Tabla5[[#This Row],[INVERSIONES FCI]]-S167,Tabla5[[#This Row],[INVERSIONES FCI]])</f>
        <v>19413443152.635464</v>
      </c>
      <c r="T168" s="5">
        <f>IF($B167&lt;=Tabla5[[#This Row],[INVERSIONES FCI]],+Tabla5[[#This Row],[INVERSIONES FCI]]-T167,Tabla5[[#This Row],[INVERSIONES FCI]])</f>
        <v>19413443152.635464</v>
      </c>
      <c r="U168" s="5">
        <f>IF($B167&lt;=Tabla5[[#This Row],[INVERSIONES FCI]],+Tabla5[[#This Row],[INVERSIONES FCI]]-U167,Tabla5[[#This Row],[INVERSIONES FCI]])</f>
        <v>19413443152.635464</v>
      </c>
      <c r="V168" s="5">
        <f>IF($B167&lt;=Tabla5[[#This Row],[INVERSIONES FCI]],+Tabla5[[#This Row],[INVERSIONES FCI]]-V167,Tabla5[[#This Row],[INVERSIONES FCI]])</f>
        <v>19413443152.635464</v>
      </c>
      <c r="W168" s="5">
        <f>IF($B167&lt;=Tabla5[[#This Row],[INVERSIONES FCI]],+Tabla5[[#This Row],[INVERSIONES FCI]]-W167,Tabla5[[#This Row],[INVERSIONES FCI]])</f>
        <v>19413443152.635464</v>
      </c>
      <c r="X168" s="5">
        <f>IF($B167&lt;=Tabla5[[#This Row],[INVERSIONES FCI]],+Tabla5[[#This Row],[INVERSIONES FCI]]-X167,Tabla5[[#This Row],[INVERSIONES FCI]])</f>
        <v>19413443152.635464</v>
      </c>
      <c r="Y168" s="5">
        <f>IF($B167&lt;=Tabla5[[#This Row],[INVERSIONES FCI]],+Tabla5[[#This Row],[INVERSIONES FCI]]-Y167,Tabla5[[#This Row],[INVERSIONES FCI]])</f>
        <v>19413443152.635464</v>
      </c>
      <c r="Z168" s="5">
        <f>IF($B167&lt;=Tabla5[[#This Row],[INVERSIONES FCI]],+Tabla5[[#This Row],[INVERSIONES FCI]]-Z167,Tabla5[[#This Row],[INVERSIONES FCI]])</f>
        <v>19413443152.635464</v>
      </c>
      <c r="AA168" s="5">
        <f>IF($B167&lt;=Tabla5[[#This Row],[INVERSIONES FCI]],+Tabla5[[#This Row],[INVERSIONES FCI]]-AA167,Tabla5[[#This Row],[INVERSIONES FCI]])</f>
        <v>19413443152.635464</v>
      </c>
      <c r="AB168" s="5">
        <f>IF($B167&lt;=Tabla5[[#This Row],[INVERSIONES FCI]],+Tabla5[[#This Row],[INVERSIONES FCI]]-AB167,Tabla5[[#This Row],[INVERSIONES FCI]])</f>
        <v>19413443152.635464</v>
      </c>
      <c r="AC168" s="5">
        <f>IF($B167&lt;=Tabla5[[#This Row],[INVERSIONES FCI]],+Tabla5[[#This Row],[INVERSIONES FCI]]-AC167,Tabla5[[#This Row],[INVERSIONES FCI]])</f>
        <v>19413443152.635464</v>
      </c>
      <c r="AD168" s="5">
        <f>IF($B167&lt;=Tabla5[[#This Row],[INVERSIONES FCI]],+Tabla5[[#This Row],[INVERSIONES FCI]]-AD167,Tabla5[[#This Row],[INVERSIONES FCI]])</f>
        <v>19413443152.635464</v>
      </c>
      <c r="AE168" s="5">
        <f>IF($B167&lt;=Tabla5[[#This Row],[INVERSIONES FCI]],+Tabla5[[#This Row],[INVERSIONES FCI]]-AE167,Tabla5[[#This Row],[INVERSIONES FCI]])</f>
        <v>19413443152.635464</v>
      </c>
      <c r="AF168" s="5">
        <f>IF($B167&lt;=Tabla5[[#This Row],[INVERSIONES FCI]],+Tabla5[[#This Row],[INVERSIONES FCI]]-AF167,Tabla5[[#This Row],[INVERSIONES FCI]])</f>
        <v>19413443152.635464</v>
      </c>
      <c r="AG168" s="5">
        <f>IF($B167&lt;=Tabla5[[#This Row],[INVERSIONES FCI]],+Tabla5[[#This Row],[INVERSIONES FCI]]-AG167,Tabla5[[#This Row],[INVERSIONES FCI]])</f>
        <v>19413443152.635464</v>
      </c>
      <c r="AH168" s="5">
        <f>IF($B167&lt;=Tabla5[[#This Row],[INVERSIONES FCI]],+Tabla5[[#This Row],[INVERSIONES FCI]]-AH167,Tabla5[[#This Row],[INVERSIONES FCI]])</f>
        <v>19413443152.635464</v>
      </c>
      <c r="AI168" s="5">
        <f>IF($B167&lt;=Tabla5[[#This Row],[INVERSIONES FCI]],+Tabla5[[#This Row],[INVERSIONES FCI]]-AI167,Tabla5[[#This Row],[INVERSIONES FCI]])</f>
        <v>19413443152.635464</v>
      </c>
      <c r="AJ168" s="5">
        <f>IF($B167&lt;=Tabla5[[#This Row],[INVERSIONES FCI]],+Tabla5[[#This Row],[INVERSIONES FCI]]-AJ167,Tabla5[[#This Row],[INVERSIONES FCI]])</f>
        <v>19413443152.635464</v>
      </c>
      <c r="AK168" s="5">
        <f>IF($B167&lt;=Tabla5[[#This Row],[INVERSIONES FCI]],+Tabla5[[#This Row],[INVERSIONES FCI]]-AK167,Tabla5[[#This Row],[INVERSIONES FCI]])</f>
        <v>19413443152.635464</v>
      </c>
      <c r="AL168" s="5">
        <f>IF($B167&lt;=Tabla5[[#This Row],[INVERSIONES FCI]],+Tabla5[[#This Row],[INVERSIONES FCI]]-AL167,Tabla5[[#This Row],[INVERSIONES FCI]])</f>
        <v>19413443152.635464</v>
      </c>
      <c r="AM168" s="5">
        <f>IF($B167&lt;=Tabla5[[#This Row],[INVERSIONES FCI]],+Tabla5[[#This Row],[INVERSIONES FCI]]-AM167,Tabla5[[#This Row],[INVERSIONES FCI]])</f>
        <v>19413443152.635464</v>
      </c>
      <c r="AN168" s="5">
        <f>IF($B167&lt;=Tabla5[[#This Row],[INVERSIONES FCI]],+Tabla5[[#This Row],[INVERSIONES FCI]]-AN167,Tabla5[[#This Row],[INVERSIONES FCI]])</f>
        <v>19413443152.635464</v>
      </c>
      <c r="AO168" s="5">
        <f>IF($B167&lt;=Tabla5[[#This Row],[INVERSIONES FCI]],+Tabla5[[#This Row],[INVERSIONES FCI]]-AO167,Tabla5[[#This Row],[INVERSIONES FCI]])</f>
        <v>19413443152.635464</v>
      </c>
      <c r="AP168" s="5">
        <f>IF($B167&lt;=Tabla5[[#This Row],[INVERSIONES FCI]],+Tabla5[[#This Row],[INVERSIONES FCI]]-AP167,Tabla5[[#This Row],[INVERSIONES FCI]])</f>
        <v>19413443152.635464</v>
      </c>
      <c r="AQ168" s="5">
        <f>IF($B167&lt;=Tabla5[[#This Row],[INVERSIONES FCI]],+Tabla5[[#This Row],[INVERSIONES FCI]]-AQ167,Tabla5[[#This Row],[INVERSIONES FCI]])</f>
        <v>19413443152.635464</v>
      </c>
      <c r="AR168" s="5">
        <f>IF($B167&lt;=Tabla5[[#This Row],[INVERSIONES FCI]],+Tabla5[[#This Row],[INVERSIONES FCI]]-AR167,Tabla5[[#This Row],[INVERSIONES FCI]])</f>
        <v>19413443152.635464</v>
      </c>
      <c r="AS168" s="5">
        <f>IF($B167&lt;=Tabla5[[#This Row],[INVERSIONES FCI]],+Tabla5[[#This Row],[INVERSIONES FCI]]-AS167,Tabla5[[#This Row],[INVERSIONES FCI]])</f>
        <v>19413443152.635464</v>
      </c>
      <c r="AT168" s="5">
        <f>IF($B167&lt;=Tabla5[[#This Row],[INVERSIONES FCI]],+Tabla5[[#This Row],[INVERSIONES FCI]]-AT167,Tabla5[[#This Row],[INVERSIONES FCI]])</f>
        <v>19413443152.635464</v>
      </c>
      <c r="AU168" s="5">
        <f>IF($B167&lt;=Tabla5[[#This Row],[INVERSIONES FCI]],+Tabla5[[#This Row],[INVERSIONES FCI]]-AU167,Tabla5[[#This Row],[INVERSIONES FCI]])</f>
        <v>19413443152.635464</v>
      </c>
      <c r="AV168" s="5">
        <f>IF($B167&lt;=Tabla5[[#This Row],[INVERSIONES FCI]],+Tabla5[[#This Row],[INVERSIONES FCI]]-AV167,Tabla5[[#This Row],[INVERSIONES FCI]])</f>
        <v>19413443152.635464</v>
      </c>
      <c r="AW168" s="5">
        <f>IF($B167&lt;=Tabla5[[#This Row],[INVERSIONES FCI]],+Tabla5[[#This Row],[INVERSIONES FCI]]-AW167,Tabla5[[#This Row],[INVERSIONES FCI]])</f>
        <v>19413443152.635464</v>
      </c>
      <c r="AX168" s="5">
        <f>IF($B167&lt;=Tabla5[[#This Row],[INVERSIONES FCI]],+Tabla5[[#This Row],[INVERSIONES FCI]]-AX167,Tabla5[[#This Row],[INVERSIONES FCI]])</f>
        <v>19413443152.635464</v>
      </c>
      <c r="AY168" s="5">
        <f>IF($B167&lt;=Tabla5[[#This Row],[INVERSIONES FCI]],+Tabla5[[#This Row],[INVERSIONES FCI]]-AY167,Tabla5[[#This Row],[INVERSIONES FCI]])</f>
        <v>19413443152.635464</v>
      </c>
      <c r="AZ168" s="5">
        <f>IF($B167&lt;=Tabla5[[#This Row],[INVERSIONES FCI]],+Tabla5[[#This Row],[INVERSIONES FCI]]-AZ167,Tabla5[[#This Row],[INVERSIONES FCI]])</f>
        <v>19413443152.635464</v>
      </c>
      <c r="BA168" s="5">
        <f>IF($B167&lt;=Tabla5[[#This Row],[INVERSIONES FCI]],+Tabla5[[#This Row],[INVERSIONES FCI]]-BA167,Tabla5[[#This Row],[INVERSIONES FCI]])</f>
        <v>19413443152.635464</v>
      </c>
      <c r="BB168" s="5">
        <f>IF($B167&lt;=Tabla5[[#This Row],[INVERSIONES FCI]],+Tabla5[[#This Row],[INVERSIONES FCI]]-BB167,Tabla5[[#This Row],[INVERSIONES FCI]])</f>
        <v>19413443152.635464</v>
      </c>
      <c r="BC168" s="5">
        <f>IF($B167&lt;=Tabla5[[#This Row],[INVERSIONES FCI]],+Tabla5[[#This Row],[INVERSIONES FCI]]-BC167,Tabla5[[#This Row],[INVERSIONES FCI]])</f>
        <v>19413443152.635464</v>
      </c>
      <c r="BD168" s="5">
        <f>IF($B167&lt;=Tabla5[[#This Row],[INVERSIONES FCI]],+Tabla5[[#This Row],[INVERSIONES FCI]]-BD167,Tabla5[[#This Row],[INVERSIONES FCI]])</f>
        <v>19413443152.635464</v>
      </c>
      <c r="BE168" s="5">
        <f>IF($B167&lt;=Tabla5[[#This Row],[INVERSIONES FCI]],+Tabla5[[#This Row],[INVERSIONES FCI]]-BE167,Tabla5[[#This Row],[INVERSIONES FCI]])</f>
        <v>19413443152.635464</v>
      </c>
      <c r="BF168" s="5">
        <f>IF($B167&lt;=Tabla5[[#This Row],[INVERSIONES FCI]],+Tabla5[[#This Row],[INVERSIONES FCI]]-BF167,Tabla5[[#This Row],[INVERSIONES FCI]])</f>
        <v>19413443152.635464</v>
      </c>
      <c r="BG168" s="5">
        <f>IF($B167&lt;=Tabla5[[#This Row],[INVERSIONES FCI]],+Tabla5[[#This Row],[INVERSIONES FCI]]-BG167,Tabla5[[#This Row],[INVERSIONES FCI]])</f>
        <v>19413443152.635464</v>
      </c>
      <c r="BH168" s="5">
        <f>IF($B167&lt;=Tabla5[[#This Row],[INVERSIONES FCI]],+Tabla5[[#This Row],[INVERSIONES FCI]]-BH167,Tabla5[[#This Row],[INVERSIONES FCI]])</f>
        <v>19413443152.635464</v>
      </c>
      <c r="BI168" s="5">
        <f>IF($B167&lt;=Tabla5[[#This Row],[INVERSIONES FCI]],+Tabla5[[#This Row],[INVERSIONES FCI]]-BI167,Tabla5[[#This Row],[INVERSIONES FCI]])</f>
        <v>19413443152.635464</v>
      </c>
      <c r="BJ168" s="5">
        <f>IF($B167&lt;=Tabla5[[#This Row],[INVERSIONES FCI]],+Tabla5[[#This Row],[INVERSIONES FCI]]-BJ167,Tabla5[[#This Row],[INVERSIONES FCI]])</f>
        <v>19413443152.635464</v>
      </c>
      <c r="BK168" s="5">
        <f>IF($B167&lt;=Tabla5[[#This Row],[INVERSIONES FCI]],+Tabla5[[#This Row],[INVERSIONES FCI]]-BK167,Tabla5[[#This Row],[INVERSIONES FCI]])</f>
        <v>19413443152.635464</v>
      </c>
      <c r="BL168" s="5">
        <f>IF($B167&lt;=Tabla5[[#This Row],[INVERSIONES FCI]],+Tabla5[[#This Row],[INVERSIONES FCI]]-BL167,Tabla5[[#This Row],[INVERSIONES FCI]])</f>
        <v>19413443152.635464</v>
      </c>
      <c r="BM168" s="5">
        <f>IF($B167&lt;=Tabla5[[#This Row],[INVERSIONES FCI]],+Tabla5[[#This Row],[INVERSIONES FCI]]-BM167,Tabla5[[#This Row],[INVERSIONES FCI]])</f>
        <v>19413443152.635464</v>
      </c>
      <c r="BN168" s="5">
        <f>IF($B167&lt;=Tabla5[[#This Row],[INVERSIONES FCI]],+Tabla5[[#This Row],[INVERSIONES FCI]]-BN167,Tabla5[[#This Row],[INVERSIONES FCI]])</f>
        <v>19413443152.635464</v>
      </c>
      <c r="BO168" s="5">
        <f>IF($B167&lt;=Tabla5[[#This Row],[INVERSIONES FCI]],+Tabla5[[#This Row],[INVERSIONES FCI]]-BO167,Tabla5[[#This Row],[INVERSIONES FCI]])</f>
        <v>19413443152.635464</v>
      </c>
      <c r="BP168" s="5">
        <f>IF($B167&lt;=Tabla5[[#This Row],[INVERSIONES FCI]],+Tabla5[[#This Row],[INVERSIONES FCI]]-BP167,Tabla5[[#This Row],[INVERSIONES FCI]])</f>
        <v>19413443152.635464</v>
      </c>
      <c r="BQ168" s="5">
        <f>IF($B167&lt;=Tabla5[[#This Row],[INVERSIONES FCI]],+Tabla5[[#This Row],[INVERSIONES FCI]]-BQ167,Tabla5[[#This Row],[INVERSIONES FCI]])</f>
        <v>19413443152.635464</v>
      </c>
      <c r="BR168" s="5">
        <f>IF($B167&lt;=Tabla5[[#This Row],[INVERSIONES FCI]],+Tabla5[[#This Row],[INVERSIONES FCI]]-BR167,Tabla5[[#This Row],[INVERSIONES FCI]])</f>
        <v>19413443152.635464</v>
      </c>
      <c r="BS168" s="5">
        <f>IF($B167&lt;=Tabla5[[#This Row],[INVERSIONES FCI]],+Tabla5[[#This Row],[INVERSIONES FCI]]-BS167,Tabla5[[#This Row],[INVERSIONES FCI]])</f>
        <v>19413443152.635464</v>
      </c>
      <c r="BT168" s="5">
        <f>IF($B167&lt;=Tabla5[[#This Row],[INVERSIONES FCI]],+Tabla5[[#This Row],[INVERSIONES FCI]]-BT167,Tabla5[[#This Row],[INVERSIONES FCI]])</f>
        <v>19413443152.635464</v>
      </c>
      <c r="BU168" s="5">
        <f>IF($B167&lt;=Tabla5[[#This Row],[INVERSIONES FCI]],+Tabla5[[#This Row],[INVERSIONES FCI]]-BU167,Tabla5[[#This Row],[INVERSIONES FCI]])</f>
        <v>19413443152.635464</v>
      </c>
      <c r="BV168" s="5">
        <f>IF($B167&lt;=Tabla5[[#This Row],[INVERSIONES FCI]],+Tabla5[[#This Row],[INVERSIONES FCI]]-BV167,Tabla5[[#This Row],[INVERSIONES FCI]])</f>
        <v>19413443152.635464</v>
      </c>
      <c r="BW168" s="5">
        <f>IF($B167&lt;=Tabla5[[#This Row],[INVERSIONES FCI]],+Tabla5[[#This Row],[INVERSIONES FCI]]-BW167,Tabla5[[#This Row],[INVERSIONES FCI]])</f>
        <v>19413443152.635464</v>
      </c>
      <c r="BX168" s="5">
        <f>IF($B167&lt;=Tabla5[[#This Row],[INVERSIONES FCI]],+Tabla5[[#This Row],[INVERSIONES FCI]]-BX167,Tabla5[[#This Row],[INVERSIONES FCI]])</f>
        <v>19413443152.635464</v>
      </c>
      <c r="BY168" s="5">
        <f>IF($B167&lt;=Tabla5[[#This Row],[INVERSIONES FCI]],+Tabla5[[#This Row],[INVERSIONES FCI]]-BY167,Tabla5[[#This Row],[INVERSIONES FCI]])</f>
        <v>19413443152.635464</v>
      </c>
      <c r="BZ168" s="5">
        <f>IF($B167&lt;=Tabla5[[#This Row],[INVERSIONES FCI]],+Tabla5[[#This Row],[INVERSIONES FCI]]-BZ167,Tabla5[[#This Row],[INVERSIONES FCI]])</f>
        <v>19413443152.635464</v>
      </c>
      <c r="CA168" s="5">
        <f>IF($B167&lt;=Tabla5[[#This Row],[INVERSIONES FCI]],+Tabla5[[#This Row],[INVERSIONES FCI]]-CA167,Tabla5[[#This Row],[INVERSIONES FCI]])</f>
        <v>19413443152.635464</v>
      </c>
      <c r="CB168" s="5">
        <f>IF($B167&lt;=Tabla5[[#This Row],[INVERSIONES FCI]],+Tabla5[[#This Row],[INVERSIONES FCI]]-CB167,Tabla5[[#This Row],[INVERSIONES FCI]])</f>
        <v>19413443152.635464</v>
      </c>
      <c r="CC168" s="5">
        <f>IF($B167&lt;=Tabla5[[#This Row],[INVERSIONES FCI]],+Tabla5[[#This Row],[INVERSIONES FCI]]-CC167,Tabla5[[#This Row],[INVERSIONES FCI]])</f>
        <v>19413443152.635464</v>
      </c>
      <c r="CD168" s="5">
        <f>IF($B167&lt;=Tabla5[[#This Row],[INVERSIONES FCI]],+Tabla5[[#This Row],[INVERSIONES FCI]]-CD167,Tabla5[[#This Row],[INVERSIONES FCI]])</f>
        <v>19413443152.635464</v>
      </c>
      <c r="CE168" s="5">
        <f>IF($B167&lt;=Tabla5[[#This Row],[INVERSIONES FCI]],+Tabla5[[#This Row],[INVERSIONES FCI]]-CE167,Tabla5[[#This Row],[INVERSIONES FCI]])</f>
        <v>19413443152.635464</v>
      </c>
      <c r="CF168" s="5">
        <f>IF($B167&lt;=Tabla5[[#This Row],[INVERSIONES FCI]],+Tabla5[[#This Row],[INVERSIONES FCI]]-CF167,Tabla5[[#This Row],[INVERSIONES FCI]])</f>
        <v>19413443152.635464</v>
      </c>
      <c r="CG168" s="5">
        <f>IF($B167&lt;=Tabla5[[#This Row],[INVERSIONES FCI]],+Tabla5[[#This Row],[INVERSIONES FCI]]-CG167,Tabla5[[#This Row],[INVERSIONES FCI]])</f>
        <v>19413443152.635464</v>
      </c>
      <c r="CH168" s="5">
        <f>IF($B167&lt;=Tabla5[[#This Row],[INVERSIONES FCI]],+Tabla5[[#This Row],[INVERSIONES FCI]]-CH167,Tabla5[[#This Row],[INVERSIONES FCI]])</f>
        <v>19413443152.635464</v>
      </c>
      <c r="CI168" s="5">
        <f>IF($B167&lt;=Tabla5[[#This Row],[INVERSIONES FCI]],+Tabla5[[#This Row],[INVERSIONES FCI]]-CI167,Tabla5[[#This Row],[INVERSIONES FCI]])</f>
        <v>19413443152.635464</v>
      </c>
      <c r="CJ168" s="5">
        <f>IF($B167&lt;=Tabla5[[#This Row],[INVERSIONES FCI]],+Tabla5[[#This Row],[INVERSIONES FCI]]-CJ167,Tabla5[[#This Row],[INVERSIONES FCI]])</f>
        <v>19413443152.635464</v>
      </c>
      <c r="CK168" s="5">
        <f>IF($B167&lt;=Tabla5[[#This Row],[INVERSIONES FCI]],+Tabla5[[#This Row],[INVERSIONES FCI]]-CK167,Tabla5[[#This Row],[INVERSIONES FCI]])</f>
        <v>19413443152.635464</v>
      </c>
      <c r="CL168" s="5">
        <f>IF($B167&lt;=Tabla5[[#This Row],[INVERSIONES FCI]],+Tabla5[[#This Row],[INVERSIONES FCI]]-CL167,Tabla5[[#This Row],[INVERSIONES FCI]])</f>
        <v>19413443152.635464</v>
      </c>
      <c r="CM168" s="5">
        <f>IF($B167&lt;=Tabla5[[#This Row],[INVERSIONES FCI]],+Tabla5[[#This Row],[INVERSIONES FCI]]-CM167,Tabla5[[#This Row],[INVERSIONES FCI]])</f>
        <v>19413443152.635464</v>
      </c>
      <c r="CN168" s="5">
        <f>IF($B167&lt;=Tabla5[[#This Row],[INVERSIONES FCI]],+Tabla5[[#This Row],[INVERSIONES FCI]]-CN167,Tabla5[[#This Row],[INVERSIONES FCI]])</f>
        <v>19413443152.635464</v>
      </c>
      <c r="CO168" s="5">
        <f>IF($B167&lt;=Tabla5[[#This Row],[INVERSIONES FCI]],+Tabla5[[#This Row],[INVERSIONES FCI]]-CO167,Tabla5[[#This Row],[INVERSIONES FCI]])</f>
        <v>19413443152.635464</v>
      </c>
      <c r="CP168" s="5">
        <f>IF($B167&lt;=Tabla5[[#This Row],[INVERSIONES FCI]],+Tabla5[[#This Row],[INVERSIONES FCI]]-CP167,Tabla5[[#This Row],[INVERSIONES FCI]])</f>
        <v>19413443152.635464</v>
      </c>
      <c r="CQ168" s="5">
        <f>IF($B167&lt;=Tabla5[[#This Row],[INVERSIONES FCI]],+Tabla5[[#This Row],[INVERSIONES FCI]]-CQ167,Tabla5[[#This Row],[INVERSIONES FCI]])</f>
        <v>19413443152.635464</v>
      </c>
      <c r="CR168" s="5">
        <f>IF($B167&lt;=Tabla5[[#This Row],[INVERSIONES FCI]],+Tabla5[[#This Row],[INVERSIONES FCI]]-CR167,Tabla5[[#This Row],[INVERSIONES FCI]])</f>
        <v>19413443152.635464</v>
      </c>
      <c r="CS168" s="5">
        <f>IF($B167&lt;=Tabla5[[#This Row],[INVERSIONES FCI]],+Tabla5[[#This Row],[INVERSIONES FCI]]-CS167,Tabla5[[#This Row],[INVERSIONES FCI]])</f>
        <v>19413443152.635464</v>
      </c>
      <c r="CT168" s="5">
        <f>IF($B167&lt;=Tabla5[[#This Row],[INVERSIONES FCI]],+Tabla5[[#This Row],[INVERSIONES FCI]]-CT167,Tabla5[[#This Row],[INVERSIONES FCI]])</f>
        <v>19413443152.635464</v>
      </c>
      <c r="CU168" s="5">
        <f>IF($B167&lt;=Tabla5[[#This Row],[INVERSIONES FCI]],+Tabla5[[#This Row],[INVERSIONES FCI]]-CU167,Tabla5[[#This Row],[INVERSIONES FCI]])</f>
        <v>19413443152.635464</v>
      </c>
      <c r="CV168" s="5">
        <f>IF($B167&lt;=Tabla5[[#This Row],[INVERSIONES FCI]],+Tabla5[[#This Row],[INVERSIONES FCI]]-CV167,Tabla5[[#This Row],[INVERSIONES FCI]])</f>
        <v>19413443152.635464</v>
      </c>
      <c r="CW168" s="5">
        <f>IF($B167&lt;=Tabla5[[#This Row],[INVERSIONES FCI]],+Tabla5[[#This Row],[INVERSIONES FCI]]-CW167,Tabla5[[#This Row],[INVERSIONES FCI]])</f>
        <v>19413443152.635464</v>
      </c>
      <c r="CX168" s="5">
        <f>IF($B167&lt;=Tabla5[[#This Row],[INVERSIONES FCI]],+Tabla5[[#This Row],[INVERSIONES FCI]]-CX167,Tabla5[[#This Row],[INVERSIONES FCI]])</f>
        <v>19413443152.635464</v>
      </c>
      <c r="CY168" s="5">
        <f>IF($B167&lt;=Tabla5[[#This Row],[INVERSIONES FCI]],+Tabla5[[#This Row],[INVERSIONES FCI]]-CY167,Tabla5[[#This Row],[INVERSIONES FCI]])</f>
        <v>19413443152.635464</v>
      </c>
      <c r="CZ168" s="5">
        <f>IF($B167&lt;=Tabla5[[#This Row],[INVERSIONES FCI]],+Tabla5[[#This Row],[INVERSIONES FCI]]-CZ167,Tabla5[[#This Row],[INVERSIONES FCI]])</f>
        <v>19413443152.635464</v>
      </c>
      <c r="DA168" s="5">
        <f>IF($B167&lt;=Tabla5[[#This Row],[INVERSIONES FCI]],+Tabla5[[#This Row],[INVERSIONES FCI]]-DA167,Tabla5[[#This Row],[INVERSIONES FCI]])</f>
        <v>19413443152.635464</v>
      </c>
      <c r="DB168" s="5">
        <f>IF($B167&lt;=Tabla5[[#This Row],[INVERSIONES FCI]],+Tabla5[[#This Row],[INVERSIONES FCI]]-DB167,Tabla5[[#This Row],[INVERSIONES FCI]])</f>
        <v>19413443152.635464</v>
      </c>
      <c r="DC168" s="5">
        <f>IF($B167&lt;=Tabla5[[#This Row],[INVERSIONES FCI]],+Tabla5[[#This Row],[INVERSIONES FCI]]-DC167,Tabla5[[#This Row],[INVERSIONES FCI]])</f>
        <v>19413443152.635464</v>
      </c>
      <c r="DD168" s="5">
        <f>IF($B167&lt;=Tabla5[[#This Row],[INVERSIONES FCI]],+Tabla5[[#This Row],[INVERSIONES FCI]]-DD167,Tabla5[[#This Row],[INVERSIONES FCI]])</f>
        <v>19413443152.635464</v>
      </c>
      <c r="DE168" s="5">
        <f>IF($B167&lt;=Tabla5[[#This Row],[INVERSIONES FCI]],+Tabla5[[#This Row],[INVERSIONES FCI]]-DE167,Tabla5[[#This Row],[INVERSIONES FCI]])</f>
        <v>19413443152.635464</v>
      </c>
      <c r="DF168" s="5">
        <f>IF($B167&lt;=Tabla5[[#This Row],[INVERSIONES FCI]],+Tabla5[[#This Row],[INVERSIONES FCI]]-DF167,Tabla5[[#This Row],[INVERSIONES FCI]])</f>
        <v>19413443152.635464</v>
      </c>
      <c r="DG168" s="5">
        <f>IF($B167&lt;=Tabla5[[#This Row],[INVERSIONES FCI]],+Tabla5[[#This Row],[INVERSIONES FCI]]-DG167,Tabla5[[#This Row],[INVERSIONES FCI]])</f>
        <v>19413443152.635464</v>
      </c>
      <c r="DH168" s="5">
        <f>IF($B167&lt;=Tabla5[[#This Row],[INVERSIONES FCI]],+Tabla5[[#This Row],[INVERSIONES FCI]]-DH167,Tabla5[[#This Row],[INVERSIONES FCI]])</f>
        <v>19413443152.635464</v>
      </c>
      <c r="DI168" s="5">
        <f>IF($B167&lt;=Tabla5[[#This Row],[INVERSIONES FCI]],+Tabla5[[#This Row],[INVERSIONES FCI]]-DI167,Tabla5[[#This Row],[INVERSIONES FCI]])</f>
        <v>19413443152.635464</v>
      </c>
      <c r="DJ168" s="5">
        <f>IF($B167&lt;=Tabla5[[#This Row],[INVERSIONES FCI]],+Tabla5[[#This Row],[INVERSIONES FCI]]-DJ167,Tabla5[[#This Row],[INVERSIONES FCI]])</f>
        <v>19413443152.635464</v>
      </c>
      <c r="DK168" s="5">
        <f>IF($B167&lt;=Tabla5[[#This Row],[INVERSIONES FCI]],+Tabla5[[#This Row],[INVERSIONES FCI]]-DK167,Tabla5[[#This Row],[INVERSIONES FCI]])</f>
        <v>19413443152.635464</v>
      </c>
      <c r="DL168" s="5"/>
      <c r="DM168" s="5"/>
      <c r="DN168" s="5"/>
      <c r="DO168" s="5"/>
      <c r="DP168" s="5"/>
      <c r="DQ168" s="5"/>
    </row>
    <row r="169" spans="1:121" ht="14.4">
      <c r="A169" s="12" t="s">
        <v>168</v>
      </c>
      <c r="B169" s="5">
        <f>HLOOKUP($A169,ESCENARIO[#All],7,FALSE)</f>
        <v>31616675084.149887</v>
      </c>
      <c r="C169" s="5">
        <f>IF($B168&lt;=Tabla5[[#This Row],[INVERSIONES FCI]],+Tabla5[[#This Row],[INVERSIONES FCI]]-C168,Tabla5[[#This Row],[INVERSIONES FCI]])</f>
        <v>12203231931.514423</v>
      </c>
      <c r="D169" s="5">
        <f>IF($B168&lt;=Tabla5[[#This Row],[INVERSIONES FCI]],+Tabla5[[#This Row],[INVERSIONES FCI]]-D168,Tabla5[[#This Row],[INVERSIONES FCI]])</f>
        <v>12203231931.514423</v>
      </c>
      <c r="E169" s="5">
        <f>IF($B168&lt;=Tabla5[[#This Row],[INVERSIONES FCI]],+Tabla5[[#This Row],[INVERSIONES FCI]]-E168,Tabla5[[#This Row],[INVERSIONES FCI]])</f>
        <v>12203231931.514423</v>
      </c>
      <c r="F169" s="5">
        <f>IF($B168&lt;=Tabla5[[#This Row],[INVERSIONES FCI]],+Tabla5[[#This Row],[INVERSIONES FCI]]-F168,Tabla5[[#This Row],[INVERSIONES FCI]])</f>
        <v>12203231931.514423</v>
      </c>
      <c r="G169" s="5">
        <f>IF($B168&lt;=Tabla5[[#This Row],[INVERSIONES FCI]],+Tabla5[[#This Row],[INVERSIONES FCI]]-G168,Tabla5[[#This Row],[INVERSIONES FCI]])</f>
        <v>12203231931.514423</v>
      </c>
      <c r="H169" s="5">
        <f>IF($B168&lt;=Tabla5[[#This Row],[INVERSIONES FCI]],+Tabla5[[#This Row],[INVERSIONES FCI]]-H168,Tabla5[[#This Row],[INVERSIONES FCI]])</f>
        <v>12203231931.514423</v>
      </c>
      <c r="I169" s="5">
        <f>IF($B168&lt;=Tabla5[[#This Row],[INVERSIONES FCI]],+Tabla5[[#This Row],[INVERSIONES FCI]]-I168,Tabla5[[#This Row],[INVERSIONES FCI]])</f>
        <v>12203231931.514423</v>
      </c>
      <c r="J169" s="5">
        <f>IF($B168&lt;=Tabla5[[#This Row],[INVERSIONES FCI]],+Tabla5[[#This Row],[INVERSIONES FCI]]-J168,Tabla5[[#This Row],[INVERSIONES FCI]])</f>
        <v>12203231931.514423</v>
      </c>
      <c r="K169" s="5">
        <f>IF($B168&lt;=Tabla5[[#This Row],[INVERSIONES FCI]],+Tabla5[[#This Row],[INVERSIONES FCI]]-K168,Tabla5[[#This Row],[INVERSIONES FCI]])</f>
        <v>12203231931.514423</v>
      </c>
      <c r="L169" s="5">
        <f>IF($B168&lt;=Tabla5[[#This Row],[INVERSIONES FCI]],+Tabla5[[#This Row],[INVERSIONES FCI]]-L168,Tabla5[[#This Row],[INVERSIONES FCI]])</f>
        <v>12203231931.514423</v>
      </c>
      <c r="M169" s="5">
        <f>IF($B168&lt;=Tabla5[[#This Row],[INVERSIONES FCI]],+Tabla5[[#This Row],[INVERSIONES FCI]]-M168,Tabla5[[#This Row],[INVERSIONES FCI]])</f>
        <v>12203231931.514423</v>
      </c>
      <c r="N169" s="5">
        <f>IF($B168&lt;=Tabla5[[#This Row],[INVERSIONES FCI]],+Tabla5[[#This Row],[INVERSIONES FCI]]-N168,Tabla5[[#This Row],[INVERSIONES FCI]])</f>
        <v>12203231931.514423</v>
      </c>
      <c r="O169" s="5">
        <f>IF($B168&lt;=Tabla5[[#This Row],[INVERSIONES FCI]],+Tabla5[[#This Row],[INVERSIONES FCI]]-O168,Tabla5[[#This Row],[INVERSIONES FCI]])</f>
        <v>12203231931.514423</v>
      </c>
      <c r="P169" s="5">
        <f>IF($B168&lt;=Tabla5[[#This Row],[INVERSIONES FCI]],+Tabla5[[#This Row],[INVERSIONES FCI]]-P168,Tabla5[[#This Row],[INVERSIONES FCI]])</f>
        <v>12203231931.514423</v>
      </c>
      <c r="Q169" s="5">
        <f>IF($B168&lt;=Tabla5[[#This Row],[INVERSIONES FCI]],+Tabla5[[#This Row],[INVERSIONES FCI]]-Q168,Tabla5[[#This Row],[INVERSIONES FCI]])</f>
        <v>12203231931.514423</v>
      </c>
      <c r="R169" s="5">
        <f>IF($B168&lt;=Tabla5[[#This Row],[INVERSIONES FCI]],+Tabla5[[#This Row],[INVERSIONES FCI]]-R168,Tabla5[[#This Row],[INVERSIONES FCI]])</f>
        <v>12203231931.514423</v>
      </c>
      <c r="S169" s="5">
        <f>IF($B168&lt;=Tabla5[[#This Row],[INVERSIONES FCI]],+Tabla5[[#This Row],[INVERSIONES FCI]]-S168,Tabla5[[#This Row],[INVERSIONES FCI]])</f>
        <v>12203231931.514423</v>
      </c>
      <c r="T169" s="5">
        <f>IF($B168&lt;=Tabla5[[#This Row],[INVERSIONES FCI]],+Tabla5[[#This Row],[INVERSIONES FCI]]-T168,Tabla5[[#This Row],[INVERSIONES FCI]])</f>
        <v>12203231931.514423</v>
      </c>
      <c r="U169" s="5">
        <f>IF($B168&lt;=Tabla5[[#This Row],[INVERSIONES FCI]],+Tabla5[[#This Row],[INVERSIONES FCI]]-U168,Tabla5[[#This Row],[INVERSIONES FCI]])</f>
        <v>12203231931.514423</v>
      </c>
      <c r="V169" s="5">
        <f>IF($B168&lt;=Tabla5[[#This Row],[INVERSIONES FCI]],+Tabla5[[#This Row],[INVERSIONES FCI]]-V168,Tabla5[[#This Row],[INVERSIONES FCI]])</f>
        <v>12203231931.514423</v>
      </c>
      <c r="W169" s="5">
        <f>IF($B168&lt;=Tabla5[[#This Row],[INVERSIONES FCI]],+Tabla5[[#This Row],[INVERSIONES FCI]]-W168,Tabla5[[#This Row],[INVERSIONES FCI]])</f>
        <v>12203231931.514423</v>
      </c>
      <c r="X169" s="5">
        <f>IF($B168&lt;=Tabla5[[#This Row],[INVERSIONES FCI]],+Tabla5[[#This Row],[INVERSIONES FCI]]-X168,Tabla5[[#This Row],[INVERSIONES FCI]])</f>
        <v>12203231931.514423</v>
      </c>
      <c r="Y169" s="5">
        <f>IF($B168&lt;=Tabla5[[#This Row],[INVERSIONES FCI]],+Tabla5[[#This Row],[INVERSIONES FCI]]-Y168,Tabla5[[#This Row],[INVERSIONES FCI]])</f>
        <v>12203231931.514423</v>
      </c>
      <c r="Z169" s="5">
        <f>IF($B168&lt;=Tabla5[[#This Row],[INVERSIONES FCI]],+Tabla5[[#This Row],[INVERSIONES FCI]]-Z168,Tabla5[[#This Row],[INVERSIONES FCI]])</f>
        <v>12203231931.514423</v>
      </c>
      <c r="AA169" s="5">
        <f>IF($B168&lt;=Tabla5[[#This Row],[INVERSIONES FCI]],+Tabla5[[#This Row],[INVERSIONES FCI]]-AA168,Tabla5[[#This Row],[INVERSIONES FCI]])</f>
        <v>12203231931.514423</v>
      </c>
      <c r="AB169" s="5">
        <f>IF($B168&lt;=Tabla5[[#This Row],[INVERSIONES FCI]],+Tabla5[[#This Row],[INVERSIONES FCI]]-AB168,Tabla5[[#This Row],[INVERSIONES FCI]])</f>
        <v>12203231931.514423</v>
      </c>
      <c r="AC169" s="5">
        <f>IF($B168&lt;=Tabla5[[#This Row],[INVERSIONES FCI]],+Tabla5[[#This Row],[INVERSIONES FCI]]-AC168,Tabla5[[#This Row],[INVERSIONES FCI]])</f>
        <v>12203231931.514423</v>
      </c>
      <c r="AD169" s="5">
        <f>IF($B168&lt;=Tabla5[[#This Row],[INVERSIONES FCI]],+Tabla5[[#This Row],[INVERSIONES FCI]]-AD168,Tabla5[[#This Row],[INVERSIONES FCI]])</f>
        <v>12203231931.514423</v>
      </c>
      <c r="AE169" s="5">
        <f>IF($B168&lt;=Tabla5[[#This Row],[INVERSIONES FCI]],+Tabla5[[#This Row],[INVERSIONES FCI]]-AE168,Tabla5[[#This Row],[INVERSIONES FCI]])</f>
        <v>12203231931.514423</v>
      </c>
      <c r="AF169" s="5">
        <f>IF($B168&lt;=Tabla5[[#This Row],[INVERSIONES FCI]],+Tabla5[[#This Row],[INVERSIONES FCI]]-AF168,Tabla5[[#This Row],[INVERSIONES FCI]])</f>
        <v>12203231931.514423</v>
      </c>
      <c r="AG169" s="5">
        <f>IF($B168&lt;=Tabla5[[#This Row],[INVERSIONES FCI]],+Tabla5[[#This Row],[INVERSIONES FCI]]-AG168,Tabla5[[#This Row],[INVERSIONES FCI]])</f>
        <v>12203231931.514423</v>
      </c>
      <c r="AH169" s="5">
        <f>IF($B168&lt;=Tabla5[[#This Row],[INVERSIONES FCI]],+Tabla5[[#This Row],[INVERSIONES FCI]]-AH168,Tabla5[[#This Row],[INVERSIONES FCI]])</f>
        <v>12203231931.514423</v>
      </c>
      <c r="AI169" s="5">
        <f>IF($B168&lt;=Tabla5[[#This Row],[INVERSIONES FCI]],+Tabla5[[#This Row],[INVERSIONES FCI]]-AI168,Tabla5[[#This Row],[INVERSIONES FCI]])</f>
        <v>12203231931.514423</v>
      </c>
      <c r="AJ169" s="5">
        <f>IF($B168&lt;=Tabla5[[#This Row],[INVERSIONES FCI]],+Tabla5[[#This Row],[INVERSIONES FCI]]-AJ168,Tabla5[[#This Row],[INVERSIONES FCI]])</f>
        <v>12203231931.514423</v>
      </c>
      <c r="AK169" s="5">
        <f>IF($B168&lt;=Tabla5[[#This Row],[INVERSIONES FCI]],+Tabla5[[#This Row],[INVERSIONES FCI]]-AK168,Tabla5[[#This Row],[INVERSIONES FCI]])</f>
        <v>12203231931.514423</v>
      </c>
      <c r="AL169" s="5">
        <f>IF($B168&lt;=Tabla5[[#This Row],[INVERSIONES FCI]],+Tabla5[[#This Row],[INVERSIONES FCI]]-AL168,Tabla5[[#This Row],[INVERSIONES FCI]])</f>
        <v>12203231931.514423</v>
      </c>
      <c r="AM169" s="5">
        <f>IF($B168&lt;=Tabla5[[#This Row],[INVERSIONES FCI]],+Tabla5[[#This Row],[INVERSIONES FCI]]-AM168,Tabla5[[#This Row],[INVERSIONES FCI]])</f>
        <v>12203231931.514423</v>
      </c>
      <c r="AN169" s="5">
        <f>IF($B168&lt;=Tabla5[[#This Row],[INVERSIONES FCI]],+Tabla5[[#This Row],[INVERSIONES FCI]]-AN168,Tabla5[[#This Row],[INVERSIONES FCI]])</f>
        <v>12203231931.514423</v>
      </c>
      <c r="AO169" s="5">
        <f>IF($B168&lt;=Tabla5[[#This Row],[INVERSIONES FCI]],+Tabla5[[#This Row],[INVERSIONES FCI]]-AO168,Tabla5[[#This Row],[INVERSIONES FCI]])</f>
        <v>12203231931.514423</v>
      </c>
      <c r="AP169" s="5">
        <f>IF($B168&lt;=Tabla5[[#This Row],[INVERSIONES FCI]],+Tabla5[[#This Row],[INVERSIONES FCI]]-AP168,Tabla5[[#This Row],[INVERSIONES FCI]])</f>
        <v>12203231931.514423</v>
      </c>
      <c r="AQ169" s="5">
        <f>IF($B168&lt;=Tabla5[[#This Row],[INVERSIONES FCI]],+Tabla5[[#This Row],[INVERSIONES FCI]]-AQ168,Tabla5[[#This Row],[INVERSIONES FCI]])</f>
        <v>12203231931.514423</v>
      </c>
      <c r="AR169" s="5">
        <f>IF($B168&lt;=Tabla5[[#This Row],[INVERSIONES FCI]],+Tabla5[[#This Row],[INVERSIONES FCI]]-AR168,Tabla5[[#This Row],[INVERSIONES FCI]])</f>
        <v>12203231931.514423</v>
      </c>
      <c r="AS169" s="5">
        <f>IF($B168&lt;=Tabla5[[#This Row],[INVERSIONES FCI]],+Tabla5[[#This Row],[INVERSIONES FCI]]-AS168,Tabla5[[#This Row],[INVERSIONES FCI]])</f>
        <v>12203231931.514423</v>
      </c>
      <c r="AT169" s="5">
        <f>IF($B168&lt;=Tabla5[[#This Row],[INVERSIONES FCI]],+Tabla5[[#This Row],[INVERSIONES FCI]]-AT168,Tabla5[[#This Row],[INVERSIONES FCI]])</f>
        <v>12203231931.514423</v>
      </c>
      <c r="AU169" s="5">
        <f>IF($B168&lt;=Tabla5[[#This Row],[INVERSIONES FCI]],+Tabla5[[#This Row],[INVERSIONES FCI]]-AU168,Tabla5[[#This Row],[INVERSIONES FCI]])</f>
        <v>12203231931.514423</v>
      </c>
      <c r="AV169" s="5">
        <f>IF($B168&lt;=Tabla5[[#This Row],[INVERSIONES FCI]],+Tabla5[[#This Row],[INVERSIONES FCI]]-AV168,Tabla5[[#This Row],[INVERSIONES FCI]])</f>
        <v>12203231931.514423</v>
      </c>
      <c r="AW169" s="5">
        <f>IF($B168&lt;=Tabla5[[#This Row],[INVERSIONES FCI]],+Tabla5[[#This Row],[INVERSIONES FCI]]-AW168,Tabla5[[#This Row],[INVERSIONES FCI]])</f>
        <v>12203231931.514423</v>
      </c>
      <c r="AX169" s="5">
        <f>IF($B168&lt;=Tabla5[[#This Row],[INVERSIONES FCI]],+Tabla5[[#This Row],[INVERSIONES FCI]]-AX168,Tabla5[[#This Row],[INVERSIONES FCI]])</f>
        <v>12203231931.514423</v>
      </c>
      <c r="AY169" s="5">
        <f>IF($B168&lt;=Tabla5[[#This Row],[INVERSIONES FCI]],+Tabla5[[#This Row],[INVERSIONES FCI]]-AY168,Tabla5[[#This Row],[INVERSIONES FCI]])</f>
        <v>12203231931.514423</v>
      </c>
      <c r="AZ169" s="5">
        <f>IF($B168&lt;=Tabla5[[#This Row],[INVERSIONES FCI]],+Tabla5[[#This Row],[INVERSIONES FCI]]-AZ168,Tabla5[[#This Row],[INVERSIONES FCI]])</f>
        <v>12203231931.514423</v>
      </c>
      <c r="BA169" s="5">
        <f>IF($B168&lt;=Tabla5[[#This Row],[INVERSIONES FCI]],+Tabla5[[#This Row],[INVERSIONES FCI]]-BA168,Tabla5[[#This Row],[INVERSIONES FCI]])</f>
        <v>12203231931.514423</v>
      </c>
      <c r="BB169" s="5">
        <f>IF($B168&lt;=Tabla5[[#This Row],[INVERSIONES FCI]],+Tabla5[[#This Row],[INVERSIONES FCI]]-BB168,Tabla5[[#This Row],[INVERSIONES FCI]])</f>
        <v>12203231931.514423</v>
      </c>
      <c r="BC169" s="5">
        <f>IF($B168&lt;=Tabla5[[#This Row],[INVERSIONES FCI]],+Tabla5[[#This Row],[INVERSIONES FCI]]-BC168,Tabla5[[#This Row],[INVERSIONES FCI]])</f>
        <v>12203231931.514423</v>
      </c>
      <c r="BD169" s="5">
        <f>IF($B168&lt;=Tabla5[[#This Row],[INVERSIONES FCI]],+Tabla5[[#This Row],[INVERSIONES FCI]]-BD168,Tabla5[[#This Row],[INVERSIONES FCI]])</f>
        <v>12203231931.514423</v>
      </c>
      <c r="BE169" s="5">
        <f>IF($B168&lt;=Tabla5[[#This Row],[INVERSIONES FCI]],+Tabla5[[#This Row],[INVERSIONES FCI]]-BE168,Tabla5[[#This Row],[INVERSIONES FCI]])</f>
        <v>12203231931.514423</v>
      </c>
      <c r="BF169" s="5">
        <f>IF($B168&lt;=Tabla5[[#This Row],[INVERSIONES FCI]],+Tabla5[[#This Row],[INVERSIONES FCI]]-BF168,Tabla5[[#This Row],[INVERSIONES FCI]])</f>
        <v>12203231931.514423</v>
      </c>
      <c r="BG169" s="5">
        <f>IF($B168&lt;=Tabla5[[#This Row],[INVERSIONES FCI]],+Tabla5[[#This Row],[INVERSIONES FCI]]-BG168,Tabla5[[#This Row],[INVERSIONES FCI]])</f>
        <v>12203231931.514423</v>
      </c>
      <c r="BH169" s="5">
        <f>IF($B168&lt;=Tabla5[[#This Row],[INVERSIONES FCI]],+Tabla5[[#This Row],[INVERSIONES FCI]]-BH168,Tabla5[[#This Row],[INVERSIONES FCI]])</f>
        <v>12203231931.514423</v>
      </c>
      <c r="BI169" s="5">
        <f>IF($B168&lt;=Tabla5[[#This Row],[INVERSIONES FCI]],+Tabla5[[#This Row],[INVERSIONES FCI]]-BI168,Tabla5[[#This Row],[INVERSIONES FCI]])</f>
        <v>12203231931.514423</v>
      </c>
      <c r="BJ169" s="5">
        <f>IF($B168&lt;=Tabla5[[#This Row],[INVERSIONES FCI]],+Tabla5[[#This Row],[INVERSIONES FCI]]-BJ168,Tabla5[[#This Row],[INVERSIONES FCI]])</f>
        <v>12203231931.514423</v>
      </c>
      <c r="BK169" s="5">
        <f>IF($B168&lt;=Tabla5[[#This Row],[INVERSIONES FCI]],+Tabla5[[#This Row],[INVERSIONES FCI]]-BK168,Tabla5[[#This Row],[INVERSIONES FCI]])</f>
        <v>12203231931.514423</v>
      </c>
      <c r="BL169" s="5">
        <f>IF($B168&lt;=Tabla5[[#This Row],[INVERSIONES FCI]],+Tabla5[[#This Row],[INVERSIONES FCI]]-BL168,Tabla5[[#This Row],[INVERSIONES FCI]])</f>
        <v>12203231931.514423</v>
      </c>
      <c r="BM169" s="5">
        <f>IF($B168&lt;=Tabla5[[#This Row],[INVERSIONES FCI]],+Tabla5[[#This Row],[INVERSIONES FCI]]-BM168,Tabla5[[#This Row],[INVERSIONES FCI]])</f>
        <v>12203231931.514423</v>
      </c>
      <c r="BN169" s="5">
        <f>IF($B168&lt;=Tabla5[[#This Row],[INVERSIONES FCI]],+Tabla5[[#This Row],[INVERSIONES FCI]]-BN168,Tabla5[[#This Row],[INVERSIONES FCI]])</f>
        <v>12203231931.514423</v>
      </c>
      <c r="BO169" s="5">
        <f>IF($B168&lt;=Tabla5[[#This Row],[INVERSIONES FCI]],+Tabla5[[#This Row],[INVERSIONES FCI]]-BO168,Tabla5[[#This Row],[INVERSIONES FCI]])</f>
        <v>12203231931.514423</v>
      </c>
      <c r="BP169" s="5">
        <f>IF($B168&lt;=Tabla5[[#This Row],[INVERSIONES FCI]],+Tabla5[[#This Row],[INVERSIONES FCI]]-BP168,Tabla5[[#This Row],[INVERSIONES FCI]])</f>
        <v>12203231931.514423</v>
      </c>
      <c r="BQ169" s="5">
        <f>IF($B168&lt;=Tabla5[[#This Row],[INVERSIONES FCI]],+Tabla5[[#This Row],[INVERSIONES FCI]]-BQ168,Tabla5[[#This Row],[INVERSIONES FCI]])</f>
        <v>12203231931.514423</v>
      </c>
      <c r="BR169" s="5">
        <f>IF($B168&lt;=Tabla5[[#This Row],[INVERSIONES FCI]],+Tabla5[[#This Row],[INVERSIONES FCI]]-BR168,Tabla5[[#This Row],[INVERSIONES FCI]])</f>
        <v>12203231931.514423</v>
      </c>
      <c r="BS169" s="5">
        <f>IF($B168&lt;=Tabla5[[#This Row],[INVERSIONES FCI]],+Tabla5[[#This Row],[INVERSIONES FCI]]-BS168,Tabla5[[#This Row],[INVERSIONES FCI]])</f>
        <v>12203231931.514423</v>
      </c>
      <c r="BT169" s="5">
        <f>IF($B168&lt;=Tabla5[[#This Row],[INVERSIONES FCI]],+Tabla5[[#This Row],[INVERSIONES FCI]]-BT168,Tabla5[[#This Row],[INVERSIONES FCI]])</f>
        <v>12203231931.514423</v>
      </c>
      <c r="BU169" s="5">
        <f>IF($B168&lt;=Tabla5[[#This Row],[INVERSIONES FCI]],+Tabla5[[#This Row],[INVERSIONES FCI]]-BU168,Tabla5[[#This Row],[INVERSIONES FCI]])</f>
        <v>12203231931.514423</v>
      </c>
      <c r="BV169" s="5">
        <f>IF($B168&lt;=Tabla5[[#This Row],[INVERSIONES FCI]],+Tabla5[[#This Row],[INVERSIONES FCI]]-BV168,Tabla5[[#This Row],[INVERSIONES FCI]])</f>
        <v>12203231931.514423</v>
      </c>
      <c r="BW169" s="5">
        <f>IF($B168&lt;=Tabla5[[#This Row],[INVERSIONES FCI]],+Tabla5[[#This Row],[INVERSIONES FCI]]-BW168,Tabla5[[#This Row],[INVERSIONES FCI]])</f>
        <v>12203231931.514423</v>
      </c>
      <c r="BX169" s="5">
        <f>IF($B168&lt;=Tabla5[[#This Row],[INVERSIONES FCI]],+Tabla5[[#This Row],[INVERSIONES FCI]]-BX168,Tabla5[[#This Row],[INVERSIONES FCI]])</f>
        <v>12203231931.514423</v>
      </c>
      <c r="BY169" s="5">
        <f>IF($B168&lt;=Tabla5[[#This Row],[INVERSIONES FCI]],+Tabla5[[#This Row],[INVERSIONES FCI]]-BY168,Tabla5[[#This Row],[INVERSIONES FCI]])</f>
        <v>12203231931.514423</v>
      </c>
      <c r="BZ169" s="5">
        <f>IF($B168&lt;=Tabla5[[#This Row],[INVERSIONES FCI]],+Tabla5[[#This Row],[INVERSIONES FCI]]-BZ168,Tabla5[[#This Row],[INVERSIONES FCI]])</f>
        <v>12203231931.514423</v>
      </c>
      <c r="CA169" s="5">
        <f>IF($B168&lt;=Tabla5[[#This Row],[INVERSIONES FCI]],+Tabla5[[#This Row],[INVERSIONES FCI]]-CA168,Tabla5[[#This Row],[INVERSIONES FCI]])</f>
        <v>12203231931.514423</v>
      </c>
      <c r="CB169" s="5">
        <f>IF($B168&lt;=Tabla5[[#This Row],[INVERSIONES FCI]],+Tabla5[[#This Row],[INVERSIONES FCI]]-CB168,Tabla5[[#This Row],[INVERSIONES FCI]])</f>
        <v>12203231931.514423</v>
      </c>
      <c r="CC169" s="5">
        <f>IF($B168&lt;=Tabla5[[#This Row],[INVERSIONES FCI]],+Tabla5[[#This Row],[INVERSIONES FCI]]-CC168,Tabla5[[#This Row],[INVERSIONES FCI]])</f>
        <v>12203231931.514423</v>
      </c>
      <c r="CD169" s="5">
        <f>IF($B168&lt;=Tabla5[[#This Row],[INVERSIONES FCI]],+Tabla5[[#This Row],[INVERSIONES FCI]]-CD168,Tabla5[[#This Row],[INVERSIONES FCI]])</f>
        <v>12203231931.514423</v>
      </c>
      <c r="CE169" s="5">
        <f>IF($B168&lt;=Tabla5[[#This Row],[INVERSIONES FCI]],+Tabla5[[#This Row],[INVERSIONES FCI]]-CE168,Tabla5[[#This Row],[INVERSIONES FCI]])</f>
        <v>12203231931.514423</v>
      </c>
      <c r="CF169" s="5">
        <f>IF($B168&lt;=Tabla5[[#This Row],[INVERSIONES FCI]],+Tabla5[[#This Row],[INVERSIONES FCI]]-CF168,Tabla5[[#This Row],[INVERSIONES FCI]])</f>
        <v>12203231931.514423</v>
      </c>
      <c r="CG169" s="5">
        <f>IF($B168&lt;=Tabla5[[#This Row],[INVERSIONES FCI]],+Tabla5[[#This Row],[INVERSIONES FCI]]-CG168,Tabla5[[#This Row],[INVERSIONES FCI]])</f>
        <v>12203231931.514423</v>
      </c>
      <c r="CH169" s="5">
        <f>IF($B168&lt;=Tabla5[[#This Row],[INVERSIONES FCI]],+Tabla5[[#This Row],[INVERSIONES FCI]]-CH168,Tabla5[[#This Row],[INVERSIONES FCI]])</f>
        <v>12203231931.514423</v>
      </c>
      <c r="CI169" s="5">
        <f>IF($B168&lt;=Tabla5[[#This Row],[INVERSIONES FCI]],+Tabla5[[#This Row],[INVERSIONES FCI]]-CI168,Tabla5[[#This Row],[INVERSIONES FCI]])</f>
        <v>12203231931.514423</v>
      </c>
      <c r="CJ169" s="5">
        <f>IF($B168&lt;=Tabla5[[#This Row],[INVERSIONES FCI]],+Tabla5[[#This Row],[INVERSIONES FCI]]-CJ168,Tabla5[[#This Row],[INVERSIONES FCI]])</f>
        <v>12203231931.514423</v>
      </c>
      <c r="CK169" s="5">
        <f>IF($B168&lt;=Tabla5[[#This Row],[INVERSIONES FCI]],+Tabla5[[#This Row],[INVERSIONES FCI]]-CK168,Tabla5[[#This Row],[INVERSIONES FCI]])</f>
        <v>12203231931.514423</v>
      </c>
      <c r="CL169" s="5">
        <f>IF($B168&lt;=Tabla5[[#This Row],[INVERSIONES FCI]],+Tabla5[[#This Row],[INVERSIONES FCI]]-CL168,Tabla5[[#This Row],[INVERSIONES FCI]])</f>
        <v>12203231931.514423</v>
      </c>
      <c r="CM169" s="5">
        <f>IF($B168&lt;=Tabla5[[#This Row],[INVERSIONES FCI]],+Tabla5[[#This Row],[INVERSIONES FCI]]-CM168,Tabla5[[#This Row],[INVERSIONES FCI]])</f>
        <v>12203231931.514423</v>
      </c>
      <c r="CN169" s="5">
        <f>IF($B168&lt;=Tabla5[[#This Row],[INVERSIONES FCI]],+Tabla5[[#This Row],[INVERSIONES FCI]]-CN168,Tabla5[[#This Row],[INVERSIONES FCI]])</f>
        <v>12203231931.514423</v>
      </c>
      <c r="CO169" s="5">
        <f>IF($B168&lt;=Tabla5[[#This Row],[INVERSIONES FCI]],+Tabla5[[#This Row],[INVERSIONES FCI]]-CO168,Tabla5[[#This Row],[INVERSIONES FCI]])</f>
        <v>12203231931.514423</v>
      </c>
      <c r="CP169" s="5">
        <f>IF($B168&lt;=Tabla5[[#This Row],[INVERSIONES FCI]],+Tabla5[[#This Row],[INVERSIONES FCI]]-CP168,Tabla5[[#This Row],[INVERSIONES FCI]])</f>
        <v>12203231931.514423</v>
      </c>
      <c r="CQ169" s="5">
        <f>IF($B168&lt;=Tabla5[[#This Row],[INVERSIONES FCI]],+Tabla5[[#This Row],[INVERSIONES FCI]]-CQ168,Tabla5[[#This Row],[INVERSIONES FCI]])</f>
        <v>12203231931.514423</v>
      </c>
      <c r="CR169" s="5">
        <f>IF($B168&lt;=Tabla5[[#This Row],[INVERSIONES FCI]],+Tabla5[[#This Row],[INVERSIONES FCI]]-CR168,Tabla5[[#This Row],[INVERSIONES FCI]])</f>
        <v>12203231931.514423</v>
      </c>
      <c r="CS169" s="5">
        <f>IF($B168&lt;=Tabla5[[#This Row],[INVERSIONES FCI]],+Tabla5[[#This Row],[INVERSIONES FCI]]-CS168,Tabla5[[#This Row],[INVERSIONES FCI]])</f>
        <v>12203231931.514423</v>
      </c>
      <c r="CT169" s="5">
        <f>IF($B168&lt;=Tabla5[[#This Row],[INVERSIONES FCI]],+Tabla5[[#This Row],[INVERSIONES FCI]]-CT168,Tabla5[[#This Row],[INVERSIONES FCI]])</f>
        <v>12203231931.514423</v>
      </c>
      <c r="CU169" s="5">
        <f>IF($B168&lt;=Tabla5[[#This Row],[INVERSIONES FCI]],+Tabla5[[#This Row],[INVERSIONES FCI]]-CU168,Tabla5[[#This Row],[INVERSIONES FCI]])</f>
        <v>12203231931.514423</v>
      </c>
      <c r="CV169" s="5">
        <f>IF($B168&lt;=Tabla5[[#This Row],[INVERSIONES FCI]],+Tabla5[[#This Row],[INVERSIONES FCI]]-CV168,Tabla5[[#This Row],[INVERSIONES FCI]])</f>
        <v>12203231931.514423</v>
      </c>
      <c r="CW169" s="5">
        <f>IF($B168&lt;=Tabla5[[#This Row],[INVERSIONES FCI]],+Tabla5[[#This Row],[INVERSIONES FCI]]-CW168,Tabla5[[#This Row],[INVERSIONES FCI]])</f>
        <v>12203231931.514423</v>
      </c>
      <c r="CX169" s="5">
        <f>IF($B168&lt;=Tabla5[[#This Row],[INVERSIONES FCI]],+Tabla5[[#This Row],[INVERSIONES FCI]]-CX168,Tabla5[[#This Row],[INVERSIONES FCI]])</f>
        <v>12203231931.514423</v>
      </c>
      <c r="CY169" s="5">
        <f>IF($B168&lt;=Tabla5[[#This Row],[INVERSIONES FCI]],+Tabla5[[#This Row],[INVERSIONES FCI]]-CY168,Tabla5[[#This Row],[INVERSIONES FCI]])</f>
        <v>12203231931.514423</v>
      </c>
      <c r="CZ169" s="5">
        <f>IF($B168&lt;=Tabla5[[#This Row],[INVERSIONES FCI]],+Tabla5[[#This Row],[INVERSIONES FCI]]-CZ168,Tabla5[[#This Row],[INVERSIONES FCI]])</f>
        <v>12203231931.514423</v>
      </c>
      <c r="DA169" s="5">
        <f>IF($B168&lt;=Tabla5[[#This Row],[INVERSIONES FCI]],+Tabla5[[#This Row],[INVERSIONES FCI]]-DA168,Tabla5[[#This Row],[INVERSIONES FCI]])</f>
        <v>12203231931.514423</v>
      </c>
      <c r="DB169" s="5">
        <f>IF($B168&lt;=Tabla5[[#This Row],[INVERSIONES FCI]],+Tabla5[[#This Row],[INVERSIONES FCI]]-DB168,Tabla5[[#This Row],[INVERSIONES FCI]])</f>
        <v>12203231931.514423</v>
      </c>
      <c r="DC169" s="5">
        <f>IF($B168&lt;=Tabla5[[#This Row],[INVERSIONES FCI]],+Tabla5[[#This Row],[INVERSIONES FCI]]-DC168,Tabla5[[#This Row],[INVERSIONES FCI]])</f>
        <v>12203231931.514423</v>
      </c>
      <c r="DD169" s="5">
        <f>IF($B168&lt;=Tabla5[[#This Row],[INVERSIONES FCI]],+Tabla5[[#This Row],[INVERSIONES FCI]]-DD168,Tabla5[[#This Row],[INVERSIONES FCI]])</f>
        <v>12203231931.514423</v>
      </c>
      <c r="DE169" s="5">
        <f>IF($B168&lt;=Tabla5[[#This Row],[INVERSIONES FCI]],+Tabla5[[#This Row],[INVERSIONES FCI]]-DE168,Tabla5[[#This Row],[INVERSIONES FCI]])</f>
        <v>12203231931.514423</v>
      </c>
      <c r="DF169" s="5">
        <f>IF($B168&lt;=Tabla5[[#This Row],[INVERSIONES FCI]],+Tabla5[[#This Row],[INVERSIONES FCI]]-DF168,Tabla5[[#This Row],[INVERSIONES FCI]])</f>
        <v>12203231931.514423</v>
      </c>
      <c r="DG169" s="5">
        <f>IF($B168&lt;=Tabla5[[#This Row],[INVERSIONES FCI]],+Tabla5[[#This Row],[INVERSIONES FCI]]-DG168,Tabla5[[#This Row],[INVERSIONES FCI]])</f>
        <v>12203231931.514423</v>
      </c>
      <c r="DH169" s="5">
        <f>IF($B168&lt;=Tabla5[[#This Row],[INVERSIONES FCI]],+Tabla5[[#This Row],[INVERSIONES FCI]]-DH168,Tabla5[[#This Row],[INVERSIONES FCI]])</f>
        <v>12203231931.514423</v>
      </c>
      <c r="DI169" s="5">
        <f>IF($B168&lt;=Tabla5[[#This Row],[INVERSIONES FCI]],+Tabla5[[#This Row],[INVERSIONES FCI]]-DI168,Tabla5[[#This Row],[INVERSIONES FCI]])</f>
        <v>12203231931.514423</v>
      </c>
      <c r="DJ169" s="5">
        <f>IF($B168&lt;=Tabla5[[#This Row],[INVERSIONES FCI]],+Tabla5[[#This Row],[INVERSIONES FCI]]-DJ168,Tabla5[[#This Row],[INVERSIONES FCI]])</f>
        <v>12203231931.514423</v>
      </c>
      <c r="DK169" s="5">
        <f>IF($B168&lt;=Tabla5[[#This Row],[INVERSIONES FCI]],+Tabla5[[#This Row],[INVERSIONES FCI]]-DK168,Tabla5[[#This Row],[INVERSIONES FCI]])</f>
        <v>12203231931.514423</v>
      </c>
      <c r="DL169" s="5"/>
      <c r="DM169" s="5"/>
      <c r="DN169" s="5"/>
      <c r="DO169" s="5"/>
      <c r="DP169" s="5"/>
      <c r="DQ169" s="5"/>
    </row>
    <row r="170" spans="1:121" ht="14.4">
      <c r="A170" s="12" t="s">
        <v>169</v>
      </c>
      <c r="B170" s="5">
        <f>HLOOKUP($A170,ESCENARIO[#All],7,FALSE)</f>
        <v>31616675084.149887</v>
      </c>
      <c r="C170" s="5">
        <f>IF($B169&lt;=Tabla5[[#This Row],[INVERSIONES FCI]],+Tabla5[[#This Row],[INVERSIONES FCI]]-C169,Tabla5[[#This Row],[INVERSIONES FCI]])</f>
        <v>19413443152.635464</v>
      </c>
      <c r="D170" s="5">
        <f>IF($B169&lt;=Tabla5[[#This Row],[INVERSIONES FCI]],+Tabla5[[#This Row],[INVERSIONES FCI]]-D169,Tabla5[[#This Row],[INVERSIONES FCI]])</f>
        <v>19413443152.635464</v>
      </c>
      <c r="E170" s="5">
        <f>IF($B169&lt;=Tabla5[[#This Row],[INVERSIONES FCI]],+Tabla5[[#This Row],[INVERSIONES FCI]]-E169,Tabla5[[#This Row],[INVERSIONES FCI]])</f>
        <v>19413443152.635464</v>
      </c>
      <c r="F170" s="5">
        <f>IF($B169&lt;=Tabla5[[#This Row],[INVERSIONES FCI]],+Tabla5[[#This Row],[INVERSIONES FCI]]-F169,Tabla5[[#This Row],[INVERSIONES FCI]])</f>
        <v>19413443152.635464</v>
      </c>
      <c r="G170" s="5">
        <f>IF($B169&lt;=Tabla5[[#This Row],[INVERSIONES FCI]],+Tabla5[[#This Row],[INVERSIONES FCI]]-G169,Tabla5[[#This Row],[INVERSIONES FCI]])</f>
        <v>19413443152.635464</v>
      </c>
      <c r="H170" s="5">
        <f>IF($B169&lt;=Tabla5[[#This Row],[INVERSIONES FCI]],+Tabla5[[#This Row],[INVERSIONES FCI]]-H169,Tabla5[[#This Row],[INVERSIONES FCI]])</f>
        <v>19413443152.635464</v>
      </c>
      <c r="I170" s="5">
        <f>IF($B169&lt;=Tabla5[[#This Row],[INVERSIONES FCI]],+Tabla5[[#This Row],[INVERSIONES FCI]]-I169,Tabla5[[#This Row],[INVERSIONES FCI]])</f>
        <v>19413443152.635464</v>
      </c>
      <c r="J170" s="5">
        <f>IF($B169&lt;=Tabla5[[#This Row],[INVERSIONES FCI]],+Tabla5[[#This Row],[INVERSIONES FCI]]-J169,Tabla5[[#This Row],[INVERSIONES FCI]])</f>
        <v>19413443152.635464</v>
      </c>
      <c r="K170" s="5">
        <f>IF($B169&lt;=Tabla5[[#This Row],[INVERSIONES FCI]],+Tabla5[[#This Row],[INVERSIONES FCI]]-K169,Tabla5[[#This Row],[INVERSIONES FCI]])</f>
        <v>19413443152.635464</v>
      </c>
      <c r="L170" s="5">
        <f>IF($B169&lt;=Tabla5[[#This Row],[INVERSIONES FCI]],+Tabla5[[#This Row],[INVERSIONES FCI]]-L169,Tabla5[[#This Row],[INVERSIONES FCI]])</f>
        <v>19413443152.635464</v>
      </c>
      <c r="M170" s="5">
        <f>IF($B169&lt;=Tabla5[[#This Row],[INVERSIONES FCI]],+Tabla5[[#This Row],[INVERSIONES FCI]]-M169,Tabla5[[#This Row],[INVERSIONES FCI]])</f>
        <v>19413443152.635464</v>
      </c>
      <c r="N170" s="5">
        <f>IF($B169&lt;=Tabla5[[#This Row],[INVERSIONES FCI]],+Tabla5[[#This Row],[INVERSIONES FCI]]-N169,Tabla5[[#This Row],[INVERSIONES FCI]])</f>
        <v>19413443152.635464</v>
      </c>
      <c r="O170" s="5">
        <f>IF($B169&lt;=Tabla5[[#This Row],[INVERSIONES FCI]],+Tabla5[[#This Row],[INVERSIONES FCI]]-O169,Tabla5[[#This Row],[INVERSIONES FCI]])</f>
        <v>19413443152.635464</v>
      </c>
      <c r="P170" s="5">
        <f>IF($B169&lt;=Tabla5[[#This Row],[INVERSIONES FCI]],+Tabla5[[#This Row],[INVERSIONES FCI]]-P169,Tabla5[[#This Row],[INVERSIONES FCI]])</f>
        <v>19413443152.635464</v>
      </c>
      <c r="Q170" s="5">
        <f>IF($B169&lt;=Tabla5[[#This Row],[INVERSIONES FCI]],+Tabla5[[#This Row],[INVERSIONES FCI]]-Q169,Tabla5[[#This Row],[INVERSIONES FCI]])</f>
        <v>19413443152.635464</v>
      </c>
      <c r="R170" s="5">
        <f>IF($B169&lt;=Tabla5[[#This Row],[INVERSIONES FCI]],+Tabla5[[#This Row],[INVERSIONES FCI]]-R169,Tabla5[[#This Row],[INVERSIONES FCI]])</f>
        <v>19413443152.635464</v>
      </c>
      <c r="S170" s="5">
        <f>IF($B169&lt;=Tabla5[[#This Row],[INVERSIONES FCI]],+Tabla5[[#This Row],[INVERSIONES FCI]]-S169,Tabla5[[#This Row],[INVERSIONES FCI]])</f>
        <v>19413443152.635464</v>
      </c>
      <c r="T170" s="5">
        <f>IF($B169&lt;=Tabla5[[#This Row],[INVERSIONES FCI]],+Tabla5[[#This Row],[INVERSIONES FCI]]-T169,Tabla5[[#This Row],[INVERSIONES FCI]])</f>
        <v>19413443152.635464</v>
      </c>
      <c r="U170" s="5">
        <f>IF($B169&lt;=Tabla5[[#This Row],[INVERSIONES FCI]],+Tabla5[[#This Row],[INVERSIONES FCI]]-U169,Tabla5[[#This Row],[INVERSIONES FCI]])</f>
        <v>19413443152.635464</v>
      </c>
      <c r="V170" s="5">
        <f>IF($B169&lt;=Tabla5[[#This Row],[INVERSIONES FCI]],+Tabla5[[#This Row],[INVERSIONES FCI]]-V169,Tabla5[[#This Row],[INVERSIONES FCI]])</f>
        <v>19413443152.635464</v>
      </c>
      <c r="W170" s="5">
        <f>IF($B169&lt;=Tabla5[[#This Row],[INVERSIONES FCI]],+Tabla5[[#This Row],[INVERSIONES FCI]]-W169,Tabla5[[#This Row],[INVERSIONES FCI]])</f>
        <v>19413443152.635464</v>
      </c>
      <c r="X170" s="5">
        <f>IF($B169&lt;=Tabla5[[#This Row],[INVERSIONES FCI]],+Tabla5[[#This Row],[INVERSIONES FCI]]-X169,Tabla5[[#This Row],[INVERSIONES FCI]])</f>
        <v>19413443152.635464</v>
      </c>
      <c r="Y170" s="5">
        <f>IF($B169&lt;=Tabla5[[#This Row],[INVERSIONES FCI]],+Tabla5[[#This Row],[INVERSIONES FCI]]-Y169,Tabla5[[#This Row],[INVERSIONES FCI]])</f>
        <v>19413443152.635464</v>
      </c>
      <c r="Z170" s="5">
        <f>IF($B169&lt;=Tabla5[[#This Row],[INVERSIONES FCI]],+Tabla5[[#This Row],[INVERSIONES FCI]]-Z169,Tabla5[[#This Row],[INVERSIONES FCI]])</f>
        <v>19413443152.635464</v>
      </c>
      <c r="AA170" s="5">
        <f>IF($B169&lt;=Tabla5[[#This Row],[INVERSIONES FCI]],+Tabla5[[#This Row],[INVERSIONES FCI]]-AA169,Tabla5[[#This Row],[INVERSIONES FCI]])</f>
        <v>19413443152.635464</v>
      </c>
      <c r="AB170" s="5">
        <f>IF($B169&lt;=Tabla5[[#This Row],[INVERSIONES FCI]],+Tabla5[[#This Row],[INVERSIONES FCI]]-AB169,Tabla5[[#This Row],[INVERSIONES FCI]])</f>
        <v>19413443152.635464</v>
      </c>
      <c r="AC170" s="5">
        <f>IF($B169&lt;=Tabla5[[#This Row],[INVERSIONES FCI]],+Tabla5[[#This Row],[INVERSIONES FCI]]-AC169,Tabla5[[#This Row],[INVERSIONES FCI]])</f>
        <v>19413443152.635464</v>
      </c>
      <c r="AD170" s="5">
        <f>IF($B169&lt;=Tabla5[[#This Row],[INVERSIONES FCI]],+Tabla5[[#This Row],[INVERSIONES FCI]]-AD169,Tabla5[[#This Row],[INVERSIONES FCI]])</f>
        <v>19413443152.635464</v>
      </c>
      <c r="AE170" s="5">
        <f>IF($B169&lt;=Tabla5[[#This Row],[INVERSIONES FCI]],+Tabla5[[#This Row],[INVERSIONES FCI]]-AE169,Tabla5[[#This Row],[INVERSIONES FCI]])</f>
        <v>19413443152.635464</v>
      </c>
      <c r="AF170" s="5">
        <f>IF($B169&lt;=Tabla5[[#This Row],[INVERSIONES FCI]],+Tabla5[[#This Row],[INVERSIONES FCI]]-AF169,Tabla5[[#This Row],[INVERSIONES FCI]])</f>
        <v>19413443152.635464</v>
      </c>
      <c r="AG170" s="5">
        <f>IF($B169&lt;=Tabla5[[#This Row],[INVERSIONES FCI]],+Tabla5[[#This Row],[INVERSIONES FCI]]-AG169,Tabla5[[#This Row],[INVERSIONES FCI]])</f>
        <v>19413443152.635464</v>
      </c>
      <c r="AH170" s="5">
        <f>IF($B169&lt;=Tabla5[[#This Row],[INVERSIONES FCI]],+Tabla5[[#This Row],[INVERSIONES FCI]]-AH169,Tabla5[[#This Row],[INVERSIONES FCI]])</f>
        <v>19413443152.635464</v>
      </c>
      <c r="AI170" s="5">
        <f>IF($B169&lt;=Tabla5[[#This Row],[INVERSIONES FCI]],+Tabla5[[#This Row],[INVERSIONES FCI]]-AI169,Tabla5[[#This Row],[INVERSIONES FCI]])</f>
        <v>19413443152.635464</v>
      </c>
      <c r="AJ170" s="5">
        <f>IF($B169&lt;=Tabla5[[#This Row],[INVERSIONES FCI]],+Tabla5[[#This Row],[INVERSIONES FCI]]-AJ169,Tabla5[[#This Row],[INVERSIONES FCI]])</f>
        <v>19413443152.635464</v>
      </c>
      <c r="AK170" s="5">
        <f>IF($B169&lt;=Tabla5[[#This Row],[INVERSIONES FCI]],+Tabla5[[#This Row],[INVERSIONES FCI]]-AK169,Tabla5[[#This Row],[INVERSIONES FCI]])</f>
        <v>19413443152.635464</v>
      </c>
      <c r="AL170" s="5">
        <f>IF($B169&lt;=Tabla5[[#This Row],[INVERSIONES FCI]],+Tabla5[[#This Row],[INVERSIONES FCI]]-AL169,Tabla5[[#This Row],[INVERSIONES FCI]])</f>
        <v>19413443152.635464</v>
      </c>
      <c r="AM170" s="5">
        <f>IF($B169&lt;=Tabla5[[#This Row],[INVERSIONES FCI]],+Tabla5[[#This Row],[INVERSIONES FCI]]-AM169,Tabla5[[#This Row],[INVERSIONES FCI]])</f>
        <v>19413443152.635464</v>
      </c>
      <c r="AN170" s="5">
        <f>IF($B169&lt;=Tabla5[[#This Row],[INVERSIONES FCI]],+Tabla5[[#This Row],[INVERSIONES FCI]]-AN169,Tabla5[[#This Row],[INVERSIONES FCI]])</f>
        <v>19413443152.635464</v>
      </c>
      <c r="AO170" s="5">
        <f>IF($B169&lt;=Tabla5[[#This Row],[INVERSIONES FCI]],+Tabla5[[#This Row],[INVERSIONES FCI]]-AO169,Tabla5[[#This Row],[INVERSIONES FCI]])</f>
        <v>19413443152.635464</v>
      </c>
      <c r="AP170" s="5">
        <f>IF($B169&lt;=Tabla5[[#This Row],[INVERSIONES FCI]],+Tabla5[[#This Row],[INVERSIONES FCI]]-AP169,Tabla5[[#This Row],[INVERSIONES FCI]])</f>
        <v>19413443152.635464</v>
      </c>
      <c r="AQ170" s="5">
        <f>IF($B169&lt;=Tabla5[[#This Row],[INVERSIONES FCI]],+Tabla5[[#This Row],[INVERSIONES FCI]]-AQ169,Tabla5[[#This Row],[INVERSIONES FCI]])</f>
        <v>19413443152.635464</v>
      </c>
      <c r="AR170" s="5">
        <f>IF($B169&lt;=Tabla5[[#This Row],[INVERSIONES FCI]],+Tabla5[[#This Row],[INVERSIONES FCI]]-AR169,Tabla5[[#This Row],[INVERSIONES FCI]])</f>
        <v>19413443152.635464</v>
      </c>
      <c r="AS170" s="5">
        <f>IF($B169&lt;=Tabla5[[#This Row],[INVERSIONES FCI]],+Tabla5[[#This Row],[INVERSIONES FCI]]-AS169,Tabla5[[#This Row],[INVERSIONES FCI]])</f>
        <v>19413443152.635464</v>
      </c>
      <c r="AT170" s="5">
        <f>IF($B169&lt;=Tabla5[[#This Row],[INVERSIONES FCI]],+Tabla5[[#This Row],[INVERSIONES FCI]]-AT169,Tabla5[[#This Row],[INVERSIONES FCI]])</f>
        <v>19413443152.635464</v>
      </c>
      <c r="AU170" s="5">
        <f>IF($B169&lt;=Tabla5[[#This Row],[INVERSIONES FCI]],+Tabla5[[#This Row],[INVERSIONES FCI]]-AU169,Tabla5[[#This Row],[INVERSIONES FCI]])</f>
        <v>19413443152.635464</v>
      </c>
      <c r="AV170" s="5">
        <f>IF($B169&lt;=Tabla5[[#This Row],[INVERSIONES FCI]],+Tabla5[[#This Row],[INVERSIONES FCI]]-AV169,Tabla5[[#This Row],[INVERSIONES FCI]])</f>
        <v>19413443152.635464</v>
      </c>
      <c r="AW170" s="5">
        <f>IF($B169&lt;=Tabla5[[#This Row],[INVERSIONES FCI]],+Tabla5[[#This Row],[INVERSIONES FCI]]-AW169,Tabla5[[#This Row],[INVERSIONES FCI]])</f>
        <v>19413443152.635464</v>
      </c>
      <c r="AX170" s="5">
        <f>IF($B169&lt;=Tabla5[[#This Row],[INVERSIONES FCI]],+Tabla5[[#This Row],[INVERSIONES FCI]]-AX169,Tabla5[[#This Row],[INVERSIONES FCI]])</f>
        <v>19413443152.635464</v>
      </c>
      <c r="AY170" s="5">
        <f>IF($B169&lt;=Tabla5[[#This Row],[INVERSIONES FCI]],+Tabla5[[#This Row],[INVERSIONES FCI]]-AY169,Tabla5[[#This Row],[INVERSIONES FCI]])</f>
        <v>19413443152.635464</v>
      </c>
      <c r="AZ170" s="5">
        <f>IF($B169&lt;=Tabla5[[#This Row],[INVERSIONES FCI]],+Tabla5[[#This Row],[INVERSIONES FCI]]-AZ169,Tabla5[[#This Row],[INVERSIONES FCI]])</f>
        <v>19413443152.635464</v>
      </c>
      <c r="BA170" s="5">
        <f>IF($B169&lt;=Tabla5[[#This Row],[INVERSIONES FCI]],+Tabla5[[#This Row],[INVERSIONES FCI]]-BA169,Tabla5[[#This Row],[INVERSIONES FCI]])</f>
        <v>19413443152.635464</v>
      </c>
      <c r="BB170" s="5">
        <f>IF($B169&lt;=Tabla5[[#This Row],[INVERSIONES FCI]],+Tabla5[[#This Row],[INVERSIONES FCI]]-BB169,Tabla5[[#This Row],[INVERSIONES FCI]])</f>
        <v>19413443152.635464</v>
      </c>
      <c r="BC170" s="5">
        <f>IF($B169&lt;=Tabla5[[#This Row],[INVERSIONES FCI]],+Tabla5[[#This Row],[INVERSIONES FCI]]-BC169,Tabla5[[#This Row],[INVERSIONES FCI]])</f>
        <v>19413443152.635464</v>
      </c>
      <c r="BD170" s="5">
        <f>IF($B169&lt;=Tabla5[[#This Row],[INVERSIONES FCI]],+Tabla5[[#This Row],[INVERSIONES FCI]]-BD169,Tabla5[[#This Row],[INVERSIONES FCI]])</f>
        <v>19413443152.635464</v>
      </c>
      <c r="BE170" s="5">
        <f>IF($B169&lt;=Tabla5[[#This Row],[INVERSIONES FCI]],+Tabla5[[#This Row],[INVERSIONES FCI]]-BE169,Tabla5[[#This Row],[INVERSIONES FCI]])</f>
        <v>19413443152.635464</v>
      </c>
      <c r="BF170" s="5">
        <f>IF($B169&lt;=Tabla5[[#This Row],[INVERSIONES FCI]],+Tabla5[[#This Row],[INVERSIONES FCI]]-BF169,Tabla5[[#This Row],[INVERSIONES FCI]])</f>
        <v>19413443152.635464</v>
      </c>
      <c r="BG170" s="5">
        <f>IF($B169&lt;=Tabla5[[#This Row],[INVERSIONES FCI]],+Tabla5[[#This Row],[INVERSIONES FCI]]-BG169,Tabla5[[#This Row],[INVERSIONES FCI]])</f>
        <v>19413443152.635464</v>
      </c>
      <c r="BH170" s="5">
        <f>IF($B169&lt;=Tabla5[[#This Row],[INVERSIONES FCI]],+Tabla5[[#This Row],[INVERSIONES FCI]]-BH169,Tabla5[[#This Row],[INVERSIONES FCI]])</f>
        <v>19413443152.635464</v>
      </c>
      <c r="BI170" s="5">
        <f>IF($B169&lt;=Tabla5[[#This Row],[INVERSIONES FCI]],+Tabla5[[#This Row],[INVERSIONES FCI]]-BI169,Tabla5[[#This Row],[INVERSIONES FCI]])</f>
        <v>19413443152.635464</v>
      </c>
      <c r="BJ170" s="5">
        <f>IF($B169&lt;=Tabla5[[#This Row],[INVERSIONES FCI]],+Tabla5[[#This Row],[INVERSIONES FCI]]-BJ169,Tabla5[[#This Row],[INVERSIONES FCI]])</f>
        <v>19413443152.635464</v>
      </c>
      <c r="BK170" s="5">
        <f>IF($B169&lt;=Tabla5[[#This Row],[INVERSIONES FCI]],+Tabla5[[#This Row],[INVERSIONES FCI]]-BK169,Tabla5[[#This Row],[INVERSIONES FCI]])</f>
        <v>19413443152.635464</v>
      </c>
      <c r="BL170" s="5">
        <f>IF($B169&lt;=Tabla5[[#This Row],[INVERSIONES FCI]],+Tabla5[[#This Row],[INVERSIONES FCI]]-BL169,Tabla5[[#This Row],[INVERSIONES FCI]])</f>
        <v>19413443152.635464</v>
      </c>
      <c r="BM170" s="5">
        <f>IF($B169&lt;=Tabla5[[#This Row],[INVERSIONES FCI]],+Tabla5[[#This Row],[INVERSIONES FCI]]-BM169,Tabla5[[#This Row],[INVERSIONES FCI]])</f>
        <v>19413443152.635464</v>
      </c>
      <c r="BN170" s="5">
        <f>IF($B169&lt;=Tabla5[[#This Row],[INVERSIONES FCI]],+Tabla5[[#This Row],[INVERSIONES FCI]]-BN169,Tabla5[[#This Row],[INVERSIONES FCI]])</f>
        <v>19413443152.635464</v>
      </c>
      <c r="BO170" s="5">
        <f>IF($B169&lt;=Tabla5[[#This Row],[INVERSIONES FCI]],+Tabla5[[#This Row],[INVERSIONES FCI]]-BO169,Tabla5[[#This Row],[INVERSIONES FCI]])</f>
        <v>19413443152.635464</v>
      </c>
      <c r="BP170" s="5">
        <f>IF($B169&lt;=Tabla5[[#This Row],[INVERSIONES FCI]],+Tabla5[[#This Row],[INVERSIONES FCI]]-BP169,Tabla5[[#This Row],[INVERSIONES FCI]])</f>
        <v>19413443152.635464</v>
      </c>
      <c r="BQ170" s="5">
        <f>IF($B169&lt;=Tabla5[[#This Row],[INVERSIONES FCI]],+Tabla5[[#This Row],[INVERSIONES FCI]]-BQ169,Tabla5[[#This Row],[INVERSIONES FCI]])</f>
        <v>19413443152.635464</v>
      </c>
      <c r="BR170" s="5">
        <f>IF($B169&lt;=Tabla5[[#This Row],[INVERSIONES FCI]],+Tabla5[[#This Row],[INVERSIONES FCI]]-BR169,Tabla5[[#This Row],[INVERSIONES FCI]])</f>
        <v>19413443152.635464</v>
      </c>
      <c r="BS170" s="5">
        <f>IF($B169&lt;=Tabla5[[#This Row],[INVERSIONES FCI]],+Tabla5[[#This Row],[INVERSIONES FCI]]-BS169,Tabla5[[#This Row],[INVERSIONES FCI]])</f>
        <v>19413443152.635464</v>
      </c>
      <c r="BT170" s="5">
        <f>IF($B169&lt;=Tabla5[[#This Row],[INVERSIONES FCI]],+Tabla5[[#This Row],[INVERSIONES FCI]]-BT169,Tabla5[[#This Row],[INVERSIONES FCI]])</f>
        <v>19413443152.635464</v>
      </c>
      <c r="BU170" s="5">
        <f>IF($B169&lt;=Tabla5[[#This Row],[INVERSIONES FCI]],+Tabla5[[#This Row],[INVERSIONES FCI]]-BU169,Tabla5[[#This Row],[INVERSIONES FCI]])</f>
        <v>19413443152.635464</v>
      </c>
      <c r="BV170" s="5">
        <f>IF($B169&lt;=Tabla5[[#This Row],[INVERSIONES FCI]],+Tabla5[[#This Row],[INVERSIONES FCI]]-BV169,Tabla5[[#This Row],[INVERSIONES FCI]])</f>
        <v>19413443152.635464</v>
      </c>
      <c r="BW170" s="5">
        <f>IF($B169&lt;=Tabla5[[#This Row],[INVERSIONES FCI]],+Tabla5[[#This Row],[INVERSIONES FCI]]-BW169,Tabla5[[#This Row],[INVERSIONES FCI]])</f>
        <v>19413443152.635464</v>
      </c>
      <c r="BX170" s="5">
        <f>IF($B169&lt;=Tabla5[[#This Row],[INVERSIONES FCI]],+Tabla5[[#This Row],[INVERSIONES FCI]]-BX169,Tabla5[[#This Row],[INVERSIONES FCI]])</f>
        <v>19413443152.635464</v>
      </c>
      <c r="BY170" s="5">
        <f>IF($B169&lt;=Tabla5[[#This Row],[INVERSIONES FCI]],+Tabla5[[#This Row],[INVERSIONES FCI]]-BY169,Tabla5[[#This Row],[INVERSIONES FCI]])</f>
        <v>19413443152.635464</v>
      </c>
      <c r="BZ170" s="5">
        <f>IF($B169&lt;=Tabla5[[#This Row],[INVERSIONES FCI]],+Tabla5[[#This Row],[INVERSIONES FCI]]-BZ169,Tabla5[[#This Row],[INVERSIONES FCI]])</f>
        <v>19413443152.635464</v>
      </c>
      <c r="CA170" s="5">
        <f>IF($B169&lt;=Tabla5[[#This Row],[INVERSIONES FCI]],+Tabla5[[#This Row],[INVERSIONES FCI]]-CA169,Tabla5[[#This Row],[INVERSIONES FCI]])</f>
        <v>19413443152.635464</v>
      </c>
      <c r="CB170" s="5">
        <f>IF($B169&lt;=Tabla5[[#This Row],[INVERSIONES FCI]],+Tabla5[[#This Row],[INVERSIONES FCI]]-CB169,Tabla5[[#This Row],[INVERSIONES FCI]])</f>
        <v>19413443152.635464</v>
      </c>
      <c r="CC170" s="5">
        <f>IF($B169&lt;=Tabla5[[#This Row],[INVERSIONES FCI]],+Tabla5[[#This Row],[INVERSIONES FCI]]-CC169,Tabla5[[#This Row],[INVERSIONES FCI]])</f>
        <v>19413443152.635464</v>
      </c>
      <c r="CD170" s="5">
        <f>IF($B169&lt;=Tabla5[[#This Row],[INVERSIONES FCI]],+Tabla5[[#This Row],[INVERSIONES FCI]]-CD169,Tabla5[[#This Row],[INVERSIONES FCI]])</f>
        <v>19413443152.635464</v>
      </c>
      <c r="CE170" s="5">
        <f>IF($B169&lt;=Tabla5[[#This Row],[INVERSIONES FCI]],+Tabla5[[#This Row],[INVERSIONES FCI]]-CE169,Tabla5[[#This Row],[INVERSIONES FCI]])</f>
        <v>19413443152.635464</v>
      </c>
      <c r="CF170" s="5">
        <f>IF($B169&lt;=Tabla5[[#This Row],[INVERSIONES FCI]],+Tabla5[[#This Row],[INVERSIONES FCI]]-CF169,Tabla5[[#This Row],[INVERSIONES FCI]])</f>
        <v>19413443152.635464</v>
      </c>
      <c r="CG170" s="5">
        <f>IF($B169&lt;=Tabla5[[#This Row],[INVERSIONES FCI]],+Tabla5[[#This Row],[INVERSIONES FCI]]-CG169,Tabla5[[#This Row],[INVERSIONES FCI]])</f>
        <v>19413443152.635464</v>
      </c>
      <c r="CH170" s="5">
        <f>IF($B169&lt;=Tabla5[[#This Row],[INVERSIONES FCI]],+Tabla5[[#This Row],[INVERSIONES FCI]]-CH169,Tabla5[[#This Row],[INVERSIONES FCI]])</f>
        <v>19413443152.635464</v>
      </c>
      <c r="CI170" s="5">
        <f>IF($B169&lt;=Tabla5[[#This Row],[INVERSIONES FCI]],+Tabla5[[#This Row],[INVERSIONES FCI]]-CI169,Tabla5[[#This Row],[INVERSIONES FCI]])</f>
        <v>19413443152.635464</v>
      </c>
      <c r="CJ170" s="5">
        <f>IF($B169&lt;=Tabla5[[#This Row],[INVERSIONES FCI]],+Tabla5[[#This Row],[INVERSIONES FCI]]-CJ169,Tabla5[[#This Row],[INVERSIONES FCI]])</f>
        <v>19413443152.635464</v>
      </c>
      <c r="CK170" s="5">
        <f>IF($B169&lt;=Tabla5[[#This Row],[INVERSIONES FCI]],+Tabla5[[#This Row],[INVERSIONES FCI]]-CK169,Tabla5[[#This Row],[INVERSIONES FCI]])</f>
        <v>19413443152.635464</v>
      </c>
      <c r="CL170" s="5">
        <f>IF($B169&lt;=Tabla5[[#This Row],[INVERSIONES FCI]],+Tabla5[[#This Row],[INVERSIONES FCI]]-CL169,Tabla5[[#This Row],[INVERSIONES FCI]])</f>
        <v>19413443152.635464</v>
      </c>
      <c r="CM170" s="5">
        <f>IF($B169&lt;=Tabla5[[#This Row],[INVERSIONES FCI]],+Tabla5[[#This Row],[INVERSIONES FCI]]-CM169,Tabla5[[#This Row],[INVERSIONES FCI]])</f>
        <v>19413443152.635464</v>
      </c>
      <c r="CN170" s="5">
        <f>IF($B169&lt;=Tabla5[[#This Row],[INVERSIONES FCI]],+Tabla5[[#This Row],[INVERSIONES FCI]]-CN169,Tabla5[[#This Row],[INVERSIONES FCI]])</f>
        <v>19413443152.635464</v>
      </c>
      <c r="CO170" s="5">
        <f>IF($B169&lt;=Tabla5[[#This Row],[INVERSIONES FCI]],+Tabla5[[#This Row],[INVERSIONES FCI]]-CO169,Tabla5[[#This Row],[INVERSIONES FCI]])</f>
        <v>19413443152.635464</v>
      </c>
      <c r="CP170" s="5">
        <f>IF($B169&lt;=Tabla5[[#This Row],[INVERSIONES FCI]],+Tabla5[[#This Row],[INVERSIONES FCI]]-CP169,Tabla5[[#This Row],[INVERSIONES FCI]])</f>
        <v>19413443152.635464</v>
      </c>
      <c r="CQ170" s="5">
        <f>IF($B169&lt;=Tabla5[[#This Row],[INVERSIONES FCI]],+Tabla5[[#This Row],[INVERSIONES FCI]]-CQ169,Tabla5[[#This Row],[INVERSIONES FCI]])</f>
        <v>19413443152.635464</v>
      </c>
      <c r="CR170" s="5">
        <f>IF($B169&lt;=Tabla5[[#This Row],[INVERSIONES FCI]],+Tabla5[[#This Row],[INVERSIONES FCI]]-CR169,Tabla5[[#This Row],[INVERSIONES FCI]])</f>
        <v>19413443152.635464</v>
      </c>
      <c r="CS170" s="5">
        <f>IF($B169&lt;=Tabla5[[#This Row],[INVERSIONES FCI]],+Tabla5[[#This Row],[INVERSIONES FCI]]-CS169,Tabla5[[#This Row],[INVERSIONES FCI]])</f>
        <v>19413443152.635464</v>
      </c>
      <c r="CT170" s="5">
        <f>IF($B169&lt;=Tabla5[[#This Row],[INVERSIONES FCI]],+Tabla5[[#This Row],[INVERSIONES FCI]]-CT169,Tabla5[[#This Row],[INVERSIONES FCI]])</f>
        <v>19413443152.635464</v>
      </c>
      <c r="CU170" s="5">
        <f>IF($B169&lt;=Tabla5[[#This Row],[INVERSIONES FCI]],+Tabla5[[#This Row],[INVERSIONES FCI]]-CU169,Tabla5[[#This Row],[INVERSIONES FCI]])</f>
        <v>19413443152.635464</v>
      </c>
      <c r="CV170" s="5">
        <f>IF($B169&lt;=Tabla5[[#This Row],[INVERSIONES FCI]],+Tabla5[[#This Row],[INVERSIONES FCI]]-CV169,Tabla5[[#This Row],[INVERSIONES FCI]])</f>
        <v>19413443152.635464</v>
      </c>
      <c r="CW170" s="5">
        <f>IF($B169&lt;=Tabla5[[#This Row],[INVERSIONES FCI]],+Tabla5[[#This Row],[INVERSIONES FCI]]-CW169,Tabla5[[#This Row],[INVERSIONES FCI]])</f>
        <v>19413443152.635464</v>
      </c>
      <c r="CX170" s="5">
        <f>IF($B169&lt;=Tabla5[[#This Row],[INVERSIONES FCI]],+Tabla5[[#This Row],[INVERSIONES FCI]]-CX169,Tabla5[[#This Row],[INVERSIONES FCI]])</f>
        <v>19413443152.635464</v>
      </c>
      <c r="CY170" s="5">
        <f>IF($B169&lt;=Tabla5[[#This Row],[INVERSIONES FCI]],+Tabla5[[#This Row],[INVERSIONES FCI]]-CY169,Tabla5[[#This Row],[INVERSIONES FCI]])</f>
        <v>19413443152.635464</v>
      </c>
      <c r="CZ170" s="5">
        <f>IF($B169&lt;=Tabla5[[#This Row],[INVERSIONES FCI]],+Tabla5[[#This Row],[INVERSIONES FCI]]-CZ169,Tabla5[[#This Row],[INVERSIONES FCI]])</f>
        <v>19413443152.635464</v>
      </c>
      <c r="DA170" s="5">
        <f>IF($B169&lt;=Tabla5[[#This Row],[INVERSIONES FCI]],+Tabla5[[#This Row],[INVERSIONES FCI]]-DA169,Tabla5[[#This Row],[INVERSIONES FCI]])</f>
        <v>19413443152.635464</v>
      </c>
      <c r="DB170" s="5">
        <f>IF($B169&lt;=Tabla5[[#This Row],[INVERSIONES FCI]],+Tabla5[[#This Row],[INVERSIONES FCI]]-DB169,Tabla5[[#This Row],[INVERSIONES FCI]])</f>
        <v>19413443152.635464</v>
      </c>
      <c r="DC170" s="5">
        <f>IF($B169&lt;=Tabla5[[#This Row],[INVERSIONES FCI]],+Tabla5[[#This Row],[INVERSIONES FCI]]-DC169,Tabla5[[#This Row],[INVERSIONES FCI]])</f>
        <v>19413443152.635464</v>
      </c>
      <c r="DD170" s="5">
        <f>IF($B169&lt;=Tabla5[[#This Row],[INVERSIONES FCI]],+Tabla5[[#This Row],[INVERSIONES FCI]]-DD169,Tabla5[[#This Row],[INVERSIONES FCI]])</f>
        <v>19413443152.635464</v>
      </c>
      <c r="DE170" s="5">
        <f>IF($B169&lt;=Tabla5[[#This Row],[INVERSIONES FCI]],+Tabla5[[#This Row],[INVERSIONES FCI]]-DE169,Tabla5[[#This Row],[INVERSIONES FCI]])</f>
        <v>19413443152.635464</v>
      </c>
      <c r="DF170" s="5">
        <f>IF($B169&lt;=Tabla5[[#This Row],[INVERSIONES FCI]],+Tabla5[[#This Row],[INVERSIONES FCI]]-DF169,Tabla5[[#This Row],[INVERSIONES FCI]])</f>
        <v>19413443152.635464</v>
      </c>
      <c r="DG170" s="5">
        <f>IF($B169&lt;=Tabla5[[#This Row],[INVERSIONES FCI]],+Tabla5[[#This Row],[INVERSIONES FCI]]-DG169,Tabla5[[#This Row],[INVERSIONES FCI]])</f>
        <v>19413443152.635464</v>
      </c>
      <c r="DH170" s="5">
        <f>IF($B169&lt;=Tabla5[[#This Row],[INVERSIONES FCI]],+Tabla5[[#This Row],[INVERSIONES FCI]]-DH169,Tabla5[[#This Row],[INVERSIONES FCI]])</f>
        <v>19413443152.635464</v>
      </c>
      <c r="DI170" s="5">
        <f>IF($B169&lt;=Tabla5[[#This Row],[INVERSIONES FCI]],+Tabla5[[#This Row],[INVERSIONES FCI]]-DI169,Tabla5[[#This Row],[INVERSIONES FCI]])</f>
        <v>19413443152.635464</v>
      </c>
      <c r="DJ170" s="5">
        <f>IF($B169&lt;=Tabla5[[#This Row],[INVERSIONES FCI]],+Tabla5[[#This Row],[INVERSIONES FCI]]-DJ169,Tabla5[[#This Row],[INVERSIONES FCI]])</f>
        <v>19413443152.635464</v>
      </c>
      <c r="DK170" s="5">
        <f>IF($B169&lt;=Tabla5[[#This Row],[INVERSIONES FCI]],+Tabla5[[#This Row],[INVERSIONES FCI]]-DK169,Tabla5[[#This Row],[INVERSIONES FCI]])</f>
        <v>19413443152.635464</v>
      </c>
      <c r="DL170" s="5"/>
      <c r="DM170" s="5"/>
      <c r="DN170" s="5"/>
      <c r="DO170" s="5"/>
      <c r="DP170" s="5"/>
      <c r="DQ170" s="5"/>
    </row>
    <row r="171" spans="1:121" ht="14.4">
      <c r="A171" s="12" t="s">
        <v>170</v>
      </c>
      <c r="B171" s="5">
        <f>HLOOKUP($A171,ESCENARIO[#All],7,FALSE)</f>
        <v>31616675084.149887</v>
      </c>
      <c r="C171" s="5">
        <f>IF($B170&lt;=Tabla5[[#This Row],[INVERSIONES FCI]],+Tabla5[[#This Row],[INVERSIONES FCI]]-C170,Tabla5[[#This Row],[INVERSIONES FCI]])</f>
        <v>12203231931.514423</v>
      </c>
      <c r="D171" s="5">
        <f>IF($B170&lt;=Tabla5[[#This Row],[INVERSIONES FCI]],+Tabla5[[#This Row],[INVERSIONES FCI]]-D170,Tabla5[[#This Row],[INVERSIONES FCI]])</f>
        <v>12203231931.514423</v>
      </c>
      <c r="E171" s="5">
        <f>IF($B170&lt;=Tabla5[[#This Row],[INVERSIONES FCI]],+Tabla5[[#This Row],[INVERSIONES FCI]]-E170,Tabla5[[#This Row],[INVERSIONES FCI]])</f>
        <v>12203231931.514423</v>
      </c>
      <c r="F171" s="5">
        <f>IF($B170&lt;=Tabla5[[#This Row],[INVERSIONES FCI]],+Tabla5[[#This Row],[INVERSIONES FCI]]-F170,Tabla5[[#This Row],[INVERSIONES FCI]])</f>
        <v>12203231931.514423</v>
      </c>
      <c r="G171" s="5">
        <f>IF($B170&lt;=Tabla5[[#This Row],[INVERSIONES FCI]],+Tabla5[[#This Row],[INVERSIONES FCI]]-G170,Tabla5[[#This Row],[INVERSIONES FCI]])</f>
        <v>12203231931.514423</v>
      </c>
      <c r="H171" s="5">
        <f>IF($B170&lt;=Tabla5[[#This Row],[INVERSIONES FCI]],+Tabla5[[#This Row],[INVERSIONES FCI]]-H170,Tabla5[[#This Row],[INVERSIONES FCI]])</f>
        <v>12203231931.514423</v>
      </c>
      <c r="I171" s="5">
        <f>IF($B170&lt;=Tabla5[[#This Row],[INVERSIONES FCI]],+Tabla5[[#This Row],[INVERSIONES FCI]]-I170,Tabla5[[#This Row],[INVERSIONES FCI]])</f>
        <v>12203231931.514423</v>
      </c>
      <c r="J171" s="5">
        <f>IF($B170&lt;=Tabla5[[#This Row],[INVERSIONES FCI]],+Tabla5[[#This Row],[INVERSIONES FCI]]-J170,Tabla5[[#This Row],[INVERSIONES FCI]])</f>
        <v>12203231931.514423</v>
      </c>
      <c r="K171" s="5">
        <f>IF($B170&lt;=Tabla5[[#This Row],[INVERSIONES FCI]],+Tabla5[[#This Row],[INVERSIONES FCI]]-K170,Tabla5[[#This Row],[INVERSIONES FCI]])</f>
        <v>12203231931.514423</v>
      </c>
      <c r="L171" s="5">
        <f>IF($B170&lt;=Tabla5[[#This Row],[INVERSIONES FCI]],+Tabla5[[#This Row],[INVERSIONES FCI]]-L170,Tabla5[[#This Row],[INVERSIONES FCI]])</f>
        <v>12203231931.514423</v>
      </c>
      <c r="M171" s="5">
        <f>IF($B170&lt;=Tabla5[[#This Row],[INVERSIONES FCI]],+Tabla5[[#This Row],[INVERSIONES FCI]]-M170,Tabla5[[#This Row],[INVERSIONES FCI]])</f>
        <v>12203231931.514423</v>
      </c>
      <c r="N171" s="5">
        <f>IF($B170&lt;=Tabla5[[#This Row],[INVERSIONES FCI]],+Tabla5[[#This Row],[INVERSIONES FCI]]-N170,Tabla5[[#This Row],[INVERSIONES FCI]])</f>
        <v>12203231931.514423</v>
      </c>
      <c r="O171" s="5">
        <f>IF($B170&lt;=Tabla5[[#This Row],[INVERSIONES FCI]],+Tabla5[[#This Row],[INVERSIONES FCI]]-O170,Tabla5[[#This Row],[INVERSIONES FCI]])</f>
        <v>12203231931.514423</v>
      </c>
      <c r="P171" s="5">
        <f>IF($B170&lt;=Tabla5[[#This Row],[INVERSIONES FCI]],+Tabla5[[#This Row],[INVERSIONES FCI]]-P170,Tabla5[[#This Row],[INVERSIONES FCI]])</f>
        <v>12203231931.514423</v>
      </c>
      <c r="Q171" s="5">
        <f>IF($B170&lt;=Tabla5[[#This Row],[INVERSIONES FCI]],+Tabla5[[#This Row],[INVERSIONES FCI]]-Q170,Tabla5[[#This Row],[INVERSIONES FCI]])</f>
        <v>12203231931.514423</v>
      </c>
      <c r="R171" s="5">
        <f>IF($B170&lt;=Tabla5[[#This Row],[INVERSIONES FCI]],+Tabla5[[#This Row],[INVERSIONES FCI]]-R170,Tabla5[[#This Row],[INVERSIONES FCI]])</f>
        <v>12203231931.514423</v>
      </c>
      <c r="S171" s="5">
        <f>IF($B170&lt;=Tabla5[[#This Row],[INVERSIONES FCI]],+Tabla5[[#This Row],[INVERSIONES FCI]]-S170,Tabla5[[#This Row],[INVERSIONES FCI]])</f>
        <v>12203231931.514423</v>
      </c>
      <c r="T171" s="5">
        <f>IF($B170&lt;=Tabla5[[#This Row],[INVERSIONES FCI]],+Tabla5[[#This Row],[INVERSIONES FCI]]-T170,Tabla5[[#This Row],[INVERSIONES FCI]])</f>
        <v>12203231931.514423</v>
      </c>
      <c r="U171" s="5">
        <f>IF($B170&lt;=Tabla5[[#This Row],[INVERSIONES FCI]],+Tabla5[[#This Row],[INVERSIONES FCI]]-U170,Tabla5[[#This Row],[INVERSIONES FCI]])</f>
        <v>12203231931.514423</v>
      </c>
      <c r="V171" s="5">
        <f>IF($B170&lt;=Tabla5[[#This Row],[INVERSIONES FCI]],+Tabla5[[#This Row],[INVERSIONES FCI]]-V170,Tabla5[[#This Row],[INVERSIONES FCI]])</f>
        <v>12203231931.514423</v>
      </c>
      <c r="W171" s="5">
        <f>IF($B170&lt;=Tabla5[[#This Row],[INVERSIONES FCI]],+Tabla5[[#This Row],[INVERSIONES FCI]]-W170,Tabla5[[#This Row],[INVERSIONES FCI]])</f>
        <v>12203231931.514423</v>
      </c>
      <c r="X171" s="5">
        <f>IF($B170&lt;=Tabla5[[#This Row],[INVERSIONES FCI]],+Tabla5[[#This Row],[INVERSIONES FCI]]-X170,Tabla5[[#This Row],[INVERSIONES FCI]])</f>
        <v>12203231931.514423</v>
      </c>
      <c r="Y171" s="5">
        <f>IF($B170&lt;=Tabla5[[#This Row],[INVERSIONES FCI]],+Tabla5[[#This Row],[INVERSIONES FCI]]-Y170,Tabla5[[#This Row],[INVERSIONES FCI]])</f>
        <v>12203231931.514423</v>
      </c>
      <c r="Z171" s="5">
        <f>IF($B170&lt;=Tabla5[[#This Row],[INVERSIONES FCI]],+Tabla5[[#This Row],[INVERSIONES FCI]]-Z170,Tabla5[[#This Row],[INVERSIONES FCI]])</f>
        <v>12203231931.514423</v>
      </c>
      <c r="AA171" s="5">
        <f>IF($B170&lt;=Tabla5[[#This Row],[INVERSIONES FCI]],+Tabla5[[#This Row],[INVERSIONES FCI]]-AA170,Tabla5[[#This Row],[INVERSIONES FCI]])</f>
        <v>12203231931.514423</v>
      </c>
      <c r="AB171" s="5">
        <f>IF($B170&lt;=Tabla5[[#This Row],[INVERSIONES FCI]],+Tabla5[[#This Row],[INVERSIONES FCI]]-AB170,Tabla5[[#This Row],[INVERSIONES FCI]])</f>
        <v>12203231931.514423</v>
      </c>
      <c r="AC171" s="5">
        <f>IF($B170&lt;=Tabla5[[#This Row],[INVERSIONES FCI]],+Tabla5[[#This Row],[INVERSIONES FCI]]-AC170,Tabla5[[#This Row],[INVERSIONES FCI]])</f>
        <v>12203231931.514423</v>
      </c>
      <c r="AD171" s="5">
        <f>IF($B170&lt;=Tabla5[[#This Row],[INVERSIONES FCI]],+Tabla5[[#This Row],[INVERSIONES FCI]]-AD170,Tabla5[[#This Row],[INVERSIONES FCI]])</f>
        <v>12203231931.514423</v>
      </c>
      <c r="AE171" s="5">
        <f>IF($B170&lt;=Tabla5[[#This Row],[INVERSIONES FCI]],+Tabla5[[#This Row],[INVERSIONES FCI]]-AE170,Tabla5[[#This Row],[INVERSIONES FCI]])</f>
        <v>12203231931.514423</v>
      </c>
      <c r="AF171" s="5">
        <f>IF($B170&lt;=Tabla5[[#This Row],[INVERSIONES FCI]],+Tabla5[[#This Row],[INVERSIONES FCI]]-AF170,Tabla5[[#This Row],[INVERSIONES FCI]])</f>
        <v>12203231931.514423</v>
      </c>
      <c r="AG171" s="5">
        <f>IF($B170&lt;=Tabla5[[#This Row],[INVERSIONES FCI]],+Tabla5[[#This Row],[INVERSIONES FCI]]-AG170,Tabla5[[#This Row],[INVERSIONES FCI]])</f>
        <v>12203231931.514423</v>
      </c>
      <c r="AH171" s="5">
        <f>IF($B170&lt;=Tabla5[[#This Row],[INVERSIONES FCI]],+Tabla5[[#This Row],[INVERSIONES FCI]]-AH170,Tabla5[[#This Row],[INVERSIONES FCI]])</f>
        <v>12203231931.514423</v>
      </c>
      <c r="AI171" s="5">
        <f>IF($B170&lt;=Tabla5[[#This Row],[INVERSIONES FCI]],+Tabla5[[#This Row],[INVERSIONES FCI]]-AI170,Tabla5[[#This Row],[INVERSIONES FCI]])</f>
        <v>12203231931.514423</v>
      </c>
      <c r="AJ171" s="5">
        <f>IF($B170&lt;=Tabla5[[#This Row],[INVERSIONES FCI]],+Tabla5[[#This Row],[INVERSIONES FCI]]-AJ170,Tabla5[[#This Row],[INVERSIONES FCI]])</f>
        <v>12203231931.514423</v>
      </c>
      <c r="AK171" s="5">
        <f>IF($B170&lt;=Tabla5[[#This Row],[INVERSIONES FCI]],+Tabla5[[#This Row],[INVERSIONES FCI]]-AK170,Tabla5[[#This Row],[INVERSIONES FCI]])</f>
        <v>12203231931.514423</v>
      </c>
      <c r="AL171" s="5">
        <f>IF($B170&lt;=Tabla5[[#This Row],[INVERSIONES FCI]],+Tabla5[[#This Row],[INVERSIONES FCI]]-AL170,Tabla5[[#This Row],[INVERSIONES FCI]])</f>
        <v>12203231931.514423</v>
      </c>
      <c r="AM171" s="5">
        <f>IF($B170&lt;=Tabla5[[#This Row],[INVERSIONES FCI]],+Tabla5[[#This Row],[INVERSIONES FCI]]-AM170,Tabla5[[#This Row],[INVERSIONES FCI]])</f>
        <v>12203231931.514423</v>
      </c>
      <c r="AN171" s="5">
        <f>IF($B170&lt;=Tabla5[[#This Row],[INVERSIONES FCI]],+Tabla5[[#This Row],[INVERSIONES FCI]]-AN170,Tabla5[[#This Row],[INVERSIONES FCI]])</f>
        <v>12203231931.514423</v>
      </c>
      <c r="AO171" s="5">
        <f>IF($B170&lt;=Tabla5[[#This Row],[INVERSIONES FCI]],+Tabla5[[#This Row],[INVERSIONES FCI]]-AO170,Tabla5[[#This Row],[INVERSIONES FCI]])</f>
        <v>12203231931.514423</v>
      </c>
      <c r="AP171" s="5">
        <f>IF($B170&lt;=Tabla5[[#This Row],[INVERSIONES FCI]],+Tabla5[[#This Row],[INVERSIONES FCI]]-AP170,Tabla5[[#This Row],[INVERSIONES FCI]])</f>
        <v>12203231931.514423</v>
      </c>
      <c r="AQ171" s="5">
        <f>IF($B170&lt;=Tabla5[[#This Row],[INVERSIONES FCI]],+Tabla5[[#This Row],[INVERSIONES FCI]]-AQ170,Tabla5[[#This Row],[INVERSIONES FCI]])</f>
        <v>12203231931.514423</v>
      </c>
      <c r="AR171" s="5">
        <f>IF($B170&lt;=Tabla5[[#This Row],[INVERSIONES FCI]],+Tabla5[[#This Row],[INVERSIONES FCI]]-AR170,Tabla5[[#This Row],[INVERSIONES FCI]])</f>
        <v>12203231931.514423</v>
      </c>
      <c r="AS171" s="5">
        <f>IF($B170&lt;=Tabla5[[#This Row],[INVERSIONES FCI]],+Tabla5[[#This Row],[INVERSIONES FCI]]-AS170,Tabla5[[#This Row],[INVERSIONES FCI]])</f>
        <v>12203231931.514423</v>
      </c>
      <c r="AT171" s="5">
        <f>IF($B170&lt;=Tabla5[[#This Row],[INVERSIONES FCI]],+Tabla5[[#This Row],[INVERSIONES FCI]]-AT170,Tabla5[[#This Row],[INVERSIONES FCI]])</f>
        <v>12203231931.514423</v>
      </c>
      <c r="AU171" s="5">
        <f>IF($B170&lt;=Tabla5[[#This Row],[INVERSIONES FCI]],+Tabla5[[#This Row],[INVERSIONES FCI]]-AU170,Tabla5[[#This Row],[INVERSIONES FCI]])</f>
        <v>12203231931.514423</v>
      </c>
      <c r="AV171" s="5">
        <f>IF($B170&lt;=Tabla5[[#This Row],[INVERSIONES FCI]],+Tabla5[[#This Row],[INVERSIONES FCI]]-AV170,Tabla5[[#This Row],[INVERSIONES FCI]])</f>
        <v>12203231931.514423</v>
      </c>
      <c r="AW171" s="5">
        <f>IF($B170&lt;=Tabla5[[#This Row],[INVERSIONES FCI]],+Tabla5[[#This Row],[INVERSIONES FCI]]-AW170,Tabla5[[#This Row],[INVERSIONES FCI]])</f>
        <v>12203231931.514423</v>
      </c>
      <c r="AX171" s="5">
        <f>IF($B170&lt;=Tabla5[[#This Row],[INVERSIONES FCI]],+Tabla5[[#This Row],[INVERSIONES FCI]]-AX170,Tabla5[[#This Row],[INVERSIONES FCI]])</f>
        <v>12203231931.514423</v>
      </c>
      <c r="AY171" s="5">
        <f>IF($B170&lt;=Tabla5[[#This Row],[INVERSIONES FCI]],+Tabla5[[#This Row],[INVERSIONES FCI]]-AY170,Tabla5[[#This Row],[INVERSIONES FCI]])</f>
        <v>12203231931.514423</v>
      </c>
      <c r="AZ171" s="5">
        <f>IF($B170&lt;=Tabla5[[#This Row],[INVERSIONES FCI]],+Tabla5[[#This Row],[INVERSIONES FCI]]-AZ170,Tabla5[[#This Row],[INVERSIONES FCI]])</f>
        <v>12203231931.514423</v>
      </c>
      <c r="BA171" s="5">
        <f>IF($B170&lt;=Tabla5[[#This Row],[INVERSIONES FCI]],+Tabla5[[#This Row],[INVERSIONES FCI]]-BA170,Tabla5[[#This Row],[INVERSIONES FCI]])</f>
        <v>12203231931.514423</v>
      </c>
      <c r="BB171" s="5">
        <f>IF($B170&lt;=Tabla5[[#This Row],[INVERSIONES FCI]],+Tabla5[[#This Row],[INVERSIONES FCI]]-BB170,Tabla5[[#This Row],[INVERSIONES FCI]])</f>
        <v>12203231931.514423</v>
      </c>
      <c r="BC171" s="5">
        <f>IF($B170&lt;=Tabla5[[#This Row],[INVERSIONES FCI]],+Tabla5[[#This Row],[INVERSIONES FCI]]-BC170,Tabla5[[#This Row],[INVERSIONES FCI]])</f>
        <v>12203231931.514423</v>
      </c>
      <c r="BD171" s="5">
        <f>IF($B170&lt;=Tabla5[[#This Row],[INVERSIONES FCI]],+Tabla5[[#This Row],[INVERSIONES FCI]]-BD170,Tabla5[[#This Row],[INVERSIONES FCI]])</f>
        <v>12203231931.514423</v>
      </c>
      <c r="BE171" s="5">
        <f>IF($B170&lt;=Tabla5[[#This Row],[INVERSIONES FCI]],+Tabla5[[#This Row],[INVERSIONES FCI]]-BE170,Tabla5[[#This Row],[INVERSIONES FCI]])</f>
        <v>12203231931.514423</v>
      </c>
      <c r="BF171" s="5">
        <f>IF($B170&lt;=Tabla5[[#This Row],[INVERSIONES FCI]],+Tabla5[[#This Row],[INVERSIONES FCI]]-BF170,Tabla5[[#This Row],[INVERSIONES FCI]])</f>
        <v>12203231931.514423</v>
      </c>
      <c r="BG171" s="5">
        <f>IF($B170&lt;=Tabla5[[#This Row],[INVERSIONES FCI]],+Tabla5[[#This Row],[INVERSIONES FCI]]-BG170,Tabla5[[#This Row],[INVERSIONES FCI]])</f>
        <v>12203231931.514423</v>
      </c>
      <c r="BH171" s="5">
        <f>IF($B170&lt;=Tabla5[[#This Row],[INVERSIONES FCI]],+Tabla5[[#This Row],[INVERSIONES FCI]]-BH170,Tabla5[[#This Row],[INVERSIONES FCI]])</f>
        <v>12203231931.514423</v>
      </c>
      <c r="BI171" s="5">
        <f>IF($B170&lt;=Tabla5[[#This Row],[INVERSIONES FCI]],+Tabla5[[#This Row],[INVERSIONES FCI]]-BI170,Tabla5[[#This Row],[INVERSIONES FCI]])</f>
        <v>12203231931.514423</v>
      </c>
      <c r="BJ171" s="5">
        <f>IF($B170&lt;=Tabla5[[#This Row],[INVERSIONES FCI]],+Tabla5[[#This Row],[INVERSIONES FCI]]-BJ170,Tabla5[[#This Row],[INVERSIONES FCI]])</f>
        <v>12203231931.514423</v>
      </c>
      <c r="BK171" s="5">
        <f>IF($B170&lt;=Tabla5[[#This Row],[INVERSIONES FCI]],+Tabla5[[#This Row],[INVERSIONES FCI]]-BK170,Tabla5[[#This Row],[INVERSIONES FCI]])</f>
        <v>12203231931.514423</v>
      </c>
      <c r="BL171" s="5">
        <f>IF($B170&lt;=Tabla5[[#This Row],[INVERSIONES FCI]],+Tabla5[[#This Row],[INVERSIONES FCI]]-BL170,Tabla5[[#This Row],[INVERSIONES FCI]])</f>
        <v>12203231931.514423</v>
      </c>
      <c r="BM171" s="5">
        <f>IF($B170&lt;=Tabla5[[#This Row],[INVERSIONES FCI]],+Tabla5[[#This Row],[INVERSIONES FCI]]-BM170,Tabla5[[#This Row],[INVERSIONES FCI]])</f>
        <v>12203231931.514423</v>
      </c>
      <c r="BN171" s="5">
        <f>IF($B170&lt;=Tabla5[[#This Row],[INVERSIONES FCI]],+Tabla5[[#This Row],[INVERSIONES FCI]]-BN170,Tabla5[[#This Row],[INVERSIONES FCI]])</f>
        <v>12203231931.514423</v>
      </c>
      <c r="BO171" s="5">
        <f>IF($B170&lt;=Tabla5[[#This Row],[INVERSIONES FCI]],+Tabla5[[#This Row],[INVERSIONES FCI]]-BO170,Tabla5[[#This Row],[INVERSIONES FCI]])</f>
        <v>12203231931.514423</v>
      </c>
      <c r="BP171" s="5">
        <f>IF($B170&lt;=Tabla5[[#This Row],[INVERSIONES FCI]],+Tabla5[[#This Row],[INVERSIONES FCI]]-BP170,Tabla5[[#This Row],[INVERSIONES FCI]])</f>
        <v>12203231931.514423</v>
      </c>
      <c r="BQ171" s="5">
        <f>IF($B170&lt;=Tabla5[[#This Row],[INVERSIONES FCI]],+Tabla5[[#This Row],[INVERSIONES FCI]]-BQ170,Tabla5[[#This Row],[INVERSIONES FCI]])</f>
        <v>12203231931.514423</v>
      </c>
      <c r="BR171" s="5">
        <f>IF($B170&lt;=Tabla5[[#This Row],[INVERSIONES FCI]],+Tabla5[[#This Row],[INVERSIONES FCI]]-BR170,Tabla5[[#This Row],[INVERSIONES FCI]])</f>
        <v>12203231931.514423</v>
      </c>
      <c r="BS171" s="5">
        <f>IF($B170&lt;=Tabla5[[#This Row],[INVERSIONES FCI]],+Tabla5[[#This Row],[INVERSIONES FCI]]-BS170,Tabla5[[#This Row],[INVERSIONES FCI]])</f>
        <v>12203231931.514423</v>
      </c>
      <c r="BT171" s="5">
        <f>IF($B170&lt;=Tabla5[[#This Row],[INVERSIONES FCI]],+Tabla5[[#This Row],[INVERSIONES FCI]]-BT170,Tabla5[[#This Row],[INVERSIONES FCI]])</f>
        <v>12203231931.514423</v>
      </c>
      <c r="BU171" s="5">
        <f>IF($B170&lt;=Tabla5[[#This Row],[INVERSIONES FCI]],+Tabla5[[#This Row],[INVERSIONES FCI]]-BU170,Tabla5[[#This Row],[INVERSIONES FCI]])</f>
        <v>12203231931.514423</v>
      </c>
      <c r="BV171" s="5">
        <f>IF($B170&lt;=Tabla5[[#This Row],[INVERSIONES FCI]],+Tabla5[[#This Row],[INVERSIONES FCI]]-BV170,Tabla5[[#This Row],[INVERSIONES FCI]])</f>
        <v>12203231931.514423</v>
      </c>
      <c r="BW171" s="5">
        <f>IF($B170&lt;=Tabla5[[#This Row],[INVERSIONES FCI]],+Tabla5[[#This Row],[INVERSIONES FCI]]-BW170,Tabla5[[#This Row],[INVERSIONES FCI]])</f>
        <v>12203231931.514423</v>
      </c>
      <c r="BX171" s="5">
        <f>IF($B170&lt;=Tabla5[[#This Row],[INVERSIONES FCI]],+Tabla5[[#This Row],[INVERSIONES FCI]]-BX170,Tabla5[[#This Row],[INVERSIONES FCI]])</f>
        <v>12203231931.514423</v>
      </c>
      <c r="BY171" s="5">
        <f>IF($B170&lt;=Tabla5[[#This Row],[INVERSIONES FCI]],+Tabla5[[#This Row],[INVERSIONES FCI]]-BY170,Tabla5[[#This Row],[INVERSIONES FCI]])</f>
        <v>12203231931.514423</v>
      </c>
      <c r="BZ171" s="5">
        <f>IF($B170&lt;=Tabla5[[#This Row],[INVERSIONES FCI]],+Tabla5[[#This Row],[INVERSIONES FCI]]-BZ170,Tabla5[[#This Row],[INVERSIONES FCI]])</f>
        <v>12203231931.514423</v>
      </c>
      <c r="CA171" s="5">
        <f>IF($B170&lt;=Tabla5[[#This Row],[INVERSIONES FCI]],+Tabla5[[#This Row],[INVERSIONES FCI]]-CA170,Tabla5[[#This Row],[INVERSIONES FCI]])</f>
        <v>12203231931.514423</v>
      </c>
      <c r="CB171" s="5">
        <f>IF($B170&lt;=Tabla5[[#This Row],[INVERSIONES FCI]],+Tabla5[[#This Row],[INVERSIONES FCI]]-CB170,Tabla5[[#This Row],[INVERSIONES FCI]])</f>
        <v>12203231931.514423</v>
      </c>
      <c r="CC171" s="5">
        <f>IF($B170&lt;=Tabla5[[#This Row],[INVERSIONES FCI]],+Tabla5[[#This Row],[INVERSIONES FCI]]-CC170,Tabla5[[#This Row],[INVERSIONES FCI]])</f>
        <v>12203231931.514423</v>
      </c>
      <c r="CD171" s="5">
        <f>IF($B170&lt;=Tabla5[[#This Row],[INVERSIONES FCI]],+Tabla5[[#This Row],[INVERSIONES FCI]]-CD170,Tabla5[[#This Row],[INVERSIONES FCI]])</f>
        <v>12203231931.514423</v>
      </c>
      <c r="CE171" s="5">
        <f>IF($B170&lt;=Tabla5[[#This Row],[INVERSIONES FCI]],+Tabla5[[#This Row],[INVERSIONES FCI]]-CE170,Tabla5[[#This Row],[INVERSIONES FCI]])</f>
        <v>12203231931.514423</v>
      </c>
      <c r="CF171" s="5">
        <f>IF($B170&lt;=Tabla5[[#This Row],[INVERSIONES FCI]],+Tabla5[[#This Row],[INVERSIONES FCI]]-CF170,Tabla5[[#This Row],[INVERSIONES FCI]])</f>
        <v>12203231931.514423</v>
      </c>
      <c r="CG171" s="5">
        <f>IF($B170&lt;=Tabla5[[#This Row],[INVERSIONES FCI]],+Tabla5[[#This Row],[INVERSIONES FCI]]-CG170,Tabla5[[#This Row],[INVERSIONES FCI]])</f>
        <v>12203231931.514423</v>
      </c>
      <c r="CH171" s="5">
        <f>IF($B170&lt;=Tabla5[[#This Row],[INVERSIONES FCI]],+Tabla5[[#This Row],[INVERSIONES FCI]]-CH170,Tabla5[[#This Row],[INVERSIONES FCI]])</f>
        <v>12203231931.514423</v>
      </c>
      <c r="CI171" s="5">
        <f>IF($B170&lt;=Tabla5[[#This Row],[INVERSIONES FCI]],+Tabla5[[#This Row],[INVERSIONES FCI]]-CI170,Tabla5[[#This Row],[INVERSIONES FCI]])</f>
        <v>12203231931.514423</v>
      </c>
      <c r="CJ171" s="5">
        <f>IF($B170&lt;=Tabla5[[#This Row],[INVERSIONES FCI]],+Tabla5[[#This Row],[INVERSIONES FCI]]-CJ170,Tabla5[[#This Row],[INVERSIONES FCI]])</f>
        <v>12203231931.514423</v>
      </c>
      <c r="CK171" s="5">
        <f>IF($B170&lt;=Tabla5[[#This Row],[INVERSIONES FCI]],+Tabla5[[#This Row],[INVERSIONES FCI]]-CK170,Tabla5[[#This Row],[INVERSIONES FCI]])</f>
        <v>12203231931.514423</v>
      </c>
      <c r="CL171" s="5">
        <f>IF($B170&lt;=Tabla5[[#This Row],[INVERSIONES FCI]],+Tabla5[[#This Row],[INVERSIONES FCI]]-CL170,Tabla5[[#This Row],[INVERSIONES FCI]])</f>
        <v>12203231931.514423</v>
      </c>
      <c r="CM171" s="5">
        <f>IF($B170&lt;=Tabla5[[#This Row],[INVERSIONES FCI]],+Tabla5[[#This Row],[INVERSIONES FCI]]-CM170,Tabla5[[#This Row],[INVERSIONES FCI]])</f>
        <v>12203231931.514423</v>
      </c>
      <c r="CN171" s="5">
        <f>IF($B170&lt;=Tabla5[[#This Row],[INVERSIONES FCI]],+Tabla5[[#This Row],[INVERSIONES FCI]]-CN170,Tabla5[[#This Row],[INVERSIONES FCI]])</f>
        <v>12203231931.514423</v>
      </c>
      <c r="CO171" s="5">
        <f>IF($B170&lt;=Tabla5[[#This Row],[INVERSIONES FCI]],+Tabla5[[#This Row],[INVERSIONES FCI]]-CO170,Tabla5[[#This Row],[INVERSIONES FCI]])</f>
        <v>12203231931.514423</v>
      </c>
      <c r="CP171" s="5">
        <f>IF($B170&lt;=Tabla5[[#This Row],[INVERSIONES FCI]],+Tabla5[[#This Row],[INVERSIONES FCI]]-CP170,Tabla5[[#This Row],[INVERSIONES FCI]])</f>
        <v>12203231931.514423</v>
      </c>
      <c r="CQ171" s="5">
        <f>IF($B170&lt;=Tabla5[[#This Row],[INVERSIONES FCI]],+Tabla5[[#This Row],[INVERSIONES FCI]]-CQ170,Tabla5[[#This Row],[INVERSIONES FCI]])</f>
        <v>12203231931.514423</v>
      </c>
      <c r="CR171" s="5">
        <f>IF($B170&lt;=Tabla5[[#This Row],[INVERSIONES FCI]],+Tabla5[[#This Row],[INVERSIONES FCI]]-CR170,Tabla5[[#This Row],[INVERSIONES FCI]])</f>
        <v>12203231931.514423</v>
      </c>
      <c r="CS171" s="5">
        <f>IF($B170&lt;=Tabla5[[#This Row],[INVERSIONES FCI]],+Tabla5[[#This Row],[INVERSIONES FCI]]-CS170,Tabla5[[#This Row],[INVERSIONES FCI]])</f>
        <v>12203231931.514423</v>
      </c>
      <c r="CT171" s="5">
        <f>IF($B170&lt;=Tabla5[[#This Row],[INVERSIONES FCI]],+Tabla5[[#This Row],[INVERSIONES FCI]]-CT170,Tabla5[[#This Row],[INVERSIONES FCI]])</f>
        <v>12203231931.514423</v>
      </c>
      <c r="CU171" s="5">
        <f>IF($B170&lt;=Tabla5[[#This Row],[INVERSIONES FCI]],+Tabla5[[#This Row],[INVERSIONES FCI]]-CU170,Tabla5[[#This Row],[INVERSIONES FCI]])</f>
        <v>12203231931.514423</v>
      </c>
      <c r="CV171" s="5">
        <f>IF($B170&lt;=Tabla5[[#This Row],[INVERSIONES FCI]],+Tabla5[[#This Row],[INVERSIONES FCI]]-CV170,Tabla5[[#This Row],[INVERSIONES FCI]])</f>
        <v>12203231931.514423</v>
      </c>
      <c r="CW171" s="5">
        <f>IF($B170&lt;=Tabla5[[#This Row],[INVERSIONES FCI]],+Tabla5[[#This Row],[INVERSIONES FCI]]-CW170,Tabla5[[#This Row],[INVERSIONES FCI]])</f>
        <v>12203231931.514423</v>
      </c>
      <c r="CX171" s="5">
        <f>IF($B170&lt;=Tabla5[[#This Row],[INVERSIONES FCI]],+Tabla5[[#This Row],[INVERSIONES FCI]]-CX170,Tabla5[[#This Row],[INVERSIONES FCI]])</f>
        <v>12203231931.514423</v>
      </c>
      <c r="CY171" s="5">
        <f>IF($B170&lt;=Tabla5[[#This Row],[INVERSIONES FCI]],+Tabla5[[#This Row],[INVERSIONES FCI]]-CY170,Tabla5[[#This Row],[INVERSIONES FCI]])</f>
        <v>12203231931.514423</v>
      </c>
      <c r="CZ171" s="5">
        <f>IF($B170&lt;=Tabla5[[#This Row],[INVERSIONES FCI]],+Tabla5[[#This Row],[INVERSIONES FCI]]-CZ170,Tabla5[[#This Row],[INVERSIONES FCI]])</f>
        <v>12203231931.514423</v>
      </c>
      <c r="DA171" s="5">
        <f>IF($B170&lt;=Tabla5[[#This Row],[INVERSIONES FCI]],+Tabla5[[#This Row],[INVERSIONES FCI]]-DA170,Tabla5[[#This Row],[INVERSIONES FCI]])</f>
        <v>12203231931.514423</v>
      </c>
      <c r="DB171" s="5">
        <f>IF($B170&lt;=Tabla5[[#This Row],[INVERSIONES FCI]],+Tabla5[[#This Row],[INVERSIONES FCI]]-DB170,Tabla5[[#This Row],[INVERSIONES FCI]])</f>
        <v>12203231931.514423</v>
      </c>
      <c r="DC171" s="5">
        <f>IF($B170&lt;=Tabla5[[#This Row],[INVERSIONES FCI]],+Tabla5[[#This Row],[INVERSIONES FCI]]-DC170,Tabla5[[#This Row],[INVERSIONES FCI]])</f>
        <v>12203231931.514423</v>
      </c>
      <c r="DD171" s="5">
        <f>IF($B170&lt;=Tabla5[[#This Row],[INVERSIONES FCI]],+Tabla5[[#This Row],[INVERSIONES FCI]]-DD170,Tabla5[[#This Row],[INVERSIONES FCI]])</f>
        <v>12203231931.514423</v>
      </c>
      <c r="DE171" s="5">
        <f>IF($B170&lt;=Tabla5[[#This Row],[INVERSIONES FCI]],+Tabla5[[#This Row],[INVERSIONES FCI]]-DE170,Tabla5[[#This Row],[INVERSIONES FCI]])</f>
        <v>12203231931.514423</v>
      </c>
      <c r="DF171" s="5">
        <f>IF($B170&lt;=Tabla5[[#This Row],[INVERSIONES FCI]],+Tabla5[[#This Row],[INVERSIONES FCI]]-DF170,Tabla5[[#This Row],[INVERSIONES FCI]])</f>
        <v>12203231931.514423</v>
      </c>
      <c r="DG171" s="5">
        <f>IF($B170&lt;=Tabla5[[#This Row],[INVERSIONES FCI]],+Tabla5[[#This Row],[INVERSIONES FCI]]-DG170,Tabla5[[#This Row],[INVERSIONES FCI]])</f>
        <v>12203231931.514423</v>
      </c>
      <c r="DH171" s="5">
        <f>IF($B170&lt;=Tabla5[[#This Row],[INVERSIONES FCI]],+Tabla5[[#This Row],[INVERSIONES FCI]]-DH170,Tabla5[[#This Row],[INVERSIONES FCI]])</f>
        <v>12203231931.514423</v>
      </c>
      <c r="DI171" s="5">
        <f>IF($B170&lt;=Tabla5[[#This Row],[INVERSIONES FCI]],+Tabla5[[#This Row],[INVERSIONES FCI]]-DI170,Tabla5[[#This Row],[INVERSIONES FCI]])</f>
        <v>12203231931.514423</v>
      </c>
      <c r="DJ171" s="5">
        <f>IF($B170&lt;=Tabla5[[#This Row],[INVERSIONES FCI]],+Tabla5[[#This Row],[INVERSIONES FCI]]-DJ170,Tabla5[[#This Row],[INVERSIONES FCI]])</f>
        <v>12203231931.514423</v>
      </c>
      <c r="DK171" s="5">
        <f>IF($B170&lt;=Tabla5[[#This Row],[INVERSIONES FCI]],+Tabla5[[#This Row],[INVERSIONES FCI]]-DK170,Tabla5[[#This Row],[INVERSIONES FCI]])</f>
        <v>12203231931.514423</v>
      </c>
      <c r="DL171" s="5"/>
      <c r="DM171" s="5"/>
      <c r="DN171" s="5"/>
      <c r="DO171" s="5"/>
      <c r="DP171" s="5"/>
      <c r="DQ171" s="5"/>
    </row>
    <row r="172" spans="1:121" ht="14.4">
      <c r="A172" s="12" t="s">
        <v>171</v>
      </c>
      <c r="B172" s="5">
        <f>HLOOKUP($A172,ESCENARIO[#All],7,FALSE)</f>
        <v>32994823091.085014</v>
      </c>
      <c r="C172" s="5">
        <f>IF($B171&lt;=Tabla5[[#This Row],[INVERSIONES FCI]],+Tabla5[[#This Row],[INVERSIONES FCI]]-C171,Tabla5[[#This Row],[INVERSIONES FCI]])</f>
        <v>20791591159.570591</v>
      </c>
      <c r="D172" s="5">
        <f>IF($B171&lt;=Tabla5[[#This Row],[INVERSIONES FCI]],+Tabla5[[#This Row],[INVERSIONES FCI]]-D171,Tabla5[[#This Row],[INVERSIONES FCI]])</f>
        <v>20791591159.570591</v>
      </c>
      <c r="E172" s="5">
        <f>IF($B171&lt;=Tabla5[[#This Row],[INVERSIONES FCI]],+Tabla5[[#This Row],[INVERSIONES FCI]]-E171,Tabla5[[#This Row],[INVERSIONES FCI]])</f>
        <v>20791591159.570591</v>
      </c>
      <c r="F172" s="5">
        <f>IF($B171&lt;=Tabla5[[#This Row],[INVERSIONES FCI]],+Tabla5[[#This Row],[INVERSIONES FCI]]-F171,Tabla5[[#This Row],[INVERSIONES FCI]])</f>
        <v>20791591159.570591</v>
      </c>
      <c r="G172" s="5">
        <f>IF($B171&lt;=Tabla5[[#This Row],[INVERSIONES FCI]],+Tabla5[[#This Row],[INVERSIONES FCI]]-G171,Tabla5[[#This Row],[INVERSIONES FCI]])</f>
        <v>20791591159.570591</v>
      </c>
      <c r="H172" s="5">
        <f>IF($B171&lt;=Tabla5[[#This Row],[INVERSIONES FCI]],+Tabla5[[#This Row],[INVERSIONES FCI]]-H171,Tabla5[[#This Row],[INVERSIONES FCI]])</f>
        <v>20791591159.570591</v>
      </c>
      <c r="I172" s="5">
        <f>IF($B171&lt;=Tabla5[[#This Row],[INVERSIONES FCI]],+Tabla5[[#This Row],[INVERSIONES FCI]]-I171,Tabla5[[#This Row],[INVERSIONES FCI]])</f>
        <v>20791591159.570591</v>
      </c>
      <c r="J172" s="5">
        <f>IF($B171&lt;=Tabla5[[#This Row],[INVERSIONES FCI]],+Tabla5[[#This Row],[INVERSIONES FCI]]-J171,Tabla5[[#This Row],[INVERSIONES FCI]])</f>
        <v>20791591159.570591</v>
      </c>
      <c r="K172" s="5">
        <f>IF($B171&lt;=Tabla5[[#This Row],[INVERSIONES FCI]],+Tabla5[[#This Row],[INVERSIONES FCI]]-K171,Tabla5[[#This Row],[INVERSIONES FCI]])</f>
        <v>20791591159.570591</v>
      </c>
      <c r="L172" s="5">
        <f>IF($B171&lt;=Tabla5[[#This Row],[INVERSIONES FCI]],+Tabla5[[#This Row],[INVERSIONES FCI]]-L171,Tabla5[[#This Row],[INVERSIONES FCI]])</f>
        <v>20791591159.570591</v>
      </c>
      <c r="M172" s="5">
        <f>IF($B171&lt;=Tabla5[[#This Row],[INVERSIONES FCI]],+Tabla5[[#This Row],[INVERSIONES FCI]]-M171,Tabla5[[#This Row],[INVERSIONES FCI]])</f>
        <v>20791591159.570591</v>
      </c>
      <c r="N172" s="5">
        <f>IF($B171&lt;=Tabla5[[#This Row],[INVERSIONES FCI]],+Tabla5[[#This Row],[INVERSIONES FCI]]-N171,Tabla5[[#This Row],[INVERSIONES FCI]])</f>
        <v>20791591159.570591</v>
      </c>
      <c r="O172" s="5">
        <f>IF($B171&lt;=Tabla5[[#This Row],[INVERSIONES FCI]],+Tabla5[[#This Row],[INVERSIONES FCI]]-O171,Tabla5[[#This Row],[INVERSIONES FCI]])</f>
        <v>20791591159.570591</v>
      </c>
      <c r="P172" s="5">
        <f>IF($B171&lt;=Tabla5[[#This Row],[INVERSIONES FCI]],+Tabla5[[#This Row],[INVERSIONES FCI]]-P171,Tabla5[[#This Row],[INVERSIONES FCI]])</f>
        <v>20791591159.570591</v>
      </c>
      <c r="Q172" s="5">
        <f>IF($B171&lt;=Tabla5[[#This Row],[INVERSIONES FCI]],+Tabla5[[#This Row],[INVERSIONES FCI]]-Q171,Tabla5[[#This Row],[INVERSIONES FCI]])</f>
        <v>20791591159.570591</v>
      </c>
      <c r="R172" s="5">
        <f>IF($B171&lt;=Tabla5[[#This Row],[INVERSIONES FCI]],+Tabla5[[#This Row],[INVERSIONES FCI]]-R171,Tabla5[[#This Row],[INVERSIONES FCI]])</f>
        <v>20791591159.570591</v>
      </c>
      <c r="S172" s="5">
        <f>IF($B171&lt;=Tabla5[[#This Row],[INVERSIONES FCI]],+Tabla5[[#This Row],[INVERSIONES FCI]]-S171,Tabla5[[#This Row],[INVERSIONES FCI]])</f>
        <v>20791591159.570591</v>
      </c>
      <c r="T172" s="5">
        <f>IF($B171&lt;=Tabla5[[#This Row],[INVERSIONES FCI]],+Tabla5[[#This Row],[INVERSIONES FCI]]-T171,Tabla5[[#This Row],[INVERSIONES FCI]])</f>
        <v>20791591159.570591</v>
      </c>
      <c r="U172" s="5">
        <f>IF($B171&lt;=Tabla5[[#This Row],[INVERSIONES FCI]],+Tabla5[[#This Row],[INVERSIONES FCI]]-U171,Tabla5[[#This Row],[INVERSIONES FCI]])</f>
        <v>20791591159.570591</v>
      </c>
      <c r="V172" s="5">
        <f>IF($B171&lt;=Tabla5[[#This Row],[INVERSIONES FCI]],+Tabla5[[#This Row],[INVERSIONES FCI]]-V171,Tabla5[[#This Row],[INVERSIONES FCI]])</f>
        <v>20791591159.570591</v>
      </c>
      <c r="W172" s="5">
        <f>IF($B171&lt;=Tabla5[[#This Row],[INVERSIONES FCI]],+Tabla5[[#This Row],[INVERSIONES FCI]]-W171,Tabla5[[#This Row],[INVERSIONES FCI]])</f>
        <v>20791591159.570591</v>
      </c>
      <c r="X172" s="5">
        <f>IF($B171&lt;=Tabla5[[#This Row],[INVERSIONES FCI]],+Tabla5[[#This Row],[INVERSIONES FCI]]-X171,Tabla5[[#This Row],[INVERSIONES FCI]])</f>
        <v>20791591159.570591</v>
      </c>
      <c r="Y172" s="5">
        <f>IF($B171&lt;=Tabla5[[#This Row],[INVERSIONES FCI]],+Tabla5[[#This Row],[INVERSIONES FCI]]-Y171,Tabla5[[#This Row],[INVERSIONES FCI]])</f>
        <v>20791591159.570591</v>
      </c>
      <c r="Z172" s="5">
        <f>IF($B171&lt;=Tabla5[[#This Row],[INVERSIONES FCI]],+Tabla5[[#This Row],[INVERSIONES FCI]]-Z171,Tabla5[[#This Row],[INVERSIONES FCI]])</f>
        <v>20791591159.570591</v>
      </c>
      <c r="AA172" s="5">
        <f>IF($B171&lt;=Tabla5[[#This Row],[INVERSIONES FCI]],+Tabla5[[#This Row],[INVERSIONES FCI]]-AA171,Tabla5[[#This Row],[INVERSIONES FCI]])</f>
        <v>20791591159.570591</v>
      </c>
      <c r="AB172" s="5">
        <f>IF($B171&lt;=Tabla5[[#This Row],[INVERSIONES FCI]],+Tabla5[[#This Row],[INVERSIONES FCI]]-AB171,Tabla5[[#This Row],[INVERSIONES FCI]])</f>
        <v>20791591159.570591</v>
      </c>
      <c r="AC172" s="5">
        <f>IF($B171&lt;=Tabla5[[#This Row],[INVERSIONES FCI]],+Tabla5[[#This Row],[INVERSIONES FCI]]-AC171,Tabla5[[#This Row],[INVERSIONES FCI]])</f>
        <v>20791591159.570591</v>
      </c>
      <c r="AD172" s="5">
        <f>IF($B171&lt;=Tabla5[[#This Row],[INVERSIONES FCI]],+Tabla5[[#This Row],[INVERSIONES FCI]]-AD171,Tabla5[[#This Row],[INVERSIONES FCI]])</f>
        <v>20791591159.570591</v>
      </c>
      <c r="AE172" s="5">
        <f>IF($B171&lt;=Tabla5[[#This Row],[INVERSIONES FCI]],+Tabla5[[#This Row],[INVERSIONES FCI]]-AE171,Tabla5[[#This Row],[INVERSIONES FCI]])</f>
        <v>20791591159.570591</v>
      </c>
      <c r="AF172" s="5">
        <f>IF($B171&lt;=Tabla5[[#This Row],[INVERSIONES FCI]],+Tabla5[[#This Row],[INVERSIONES FCI]]-AF171,Tabla5[[#This Row],[INVERSIONES FCI]])</f>
        <v>20791591159.570591</v>
      </c>
      <c r="AG172" s="5">
        <f>IF($B171&lt;=Tabla5[[#This Row],[INVERSIONES FCI]],+Tabla5[[#This Row],[INVERSIONES FCI]]-AG171,Tabla5[[#This Row],[INVERSIONES FCI]])</f>
        <v>20791591159.570591</v>
      </c>
      <c r="AH172" s="5">
        <f>IF($B171&lt;=Tabla5[[#This Row],[INVERSIONES FCI]],+Tabla5[[#This Row],[INVERSIONES FCI]]-AH171,Tabla5[[#This Row],[INVERSIONES FCI]])</f>
        <v>20791591159.570591</v>
      </c>
      <c r="AI172" s="5">
        <f>IF($B171&lt;=Tabla5[[#This Row],[INVERSIONES FCI]],+Tabla5[[#This Row],[INVERSIONES FCI]]-AI171,Tabla5[[#This Row],[INVERSIONES FCI]])</f>
        <v>20791591159.570591</v>
      </c>
      <c r="AJ172" s="5">
        <f>IF($B171&lt;=Tabla5[[#This Row],[INVERSIONES FCI]],+Tabla5[[#This Row],[INVERSIONES FCI]]-AJ171,Tabla5[[#This Row],[INVERSIONES FCI]])</f>
        <v>20791591159.570591</v>
      </c>
      <c r="AK172" s="5">
        <f>IF($B171&lt;=Tabla5[[#This Row],[INVERSIONES FCI]],+Tabla5[[#This Row],[INVERSIONES FCI]]-AK171,Tabla5[[#This Row],[INVERSIONES FCI]])</f>
        <v>20791591159.570591</v>
      </c>
      <c r="AL172" s="5">
        <f>IF($B171&lt;=Tabla5[[#This Row],[INVERSIONES FCI]],+Tabla5[[#This Row],[INVERSIONES FCI]]-AL171,Tabla5[[#This Row],[INVERSIONES FCI]])</f>
        <v>20791591159.570591</v>
      </c>
      <c r="AM172" s="5">
        <f>IF($B171&lt;=Tabla5[[#This Row],[INVERSIONES FCI]],+Tabla5[[#This Row],[INVERSIONES FCI]]-AM171,Tabla5[[#This Row],[INVERSIONES FCI]])</f>
        <v>20791591159.570591</v>
      </c>
      <c r="AN172" s="5">
        <f>IF($B171&lt;=Tabla5[[#This Row],[INVERSIONES FCI]],+Tabla5[[#This Row],[INVERSIONES FCI]]-AN171,Tabla5[[#This Row],[INVERSIONES FCI]])</f>
        <v>20791591159.570591</v>
      </c>
      <c r="AO172" s="5">
        <f>IF($B171&lt;=Tabla5[[#This Row],[INVERSIONES FCI]],+Tabla5[[#This Row],[INVERSIONES FCI]]-AO171,Tabla5[[#This Row],[INVERSIONES FCI]])</f>
        <v>20791591159.570591</v>
      </c>
      <c r="AP172" s="5">
        <f>IF($B171&lt;=Tabla5[[#This Row],[INVERSIONES FCI]],+Tabla5[[#This Row],[INVERSIONES FCI]]-AP171,Tabla5[[#This Row],[INVERSIONES FCI]])</f>
        <v>20791591159.570591</v>
      </c>
      <c r="AQ172" s="5">
        <f>IF($B171&lt;=Tabla5[[#This Row],[INVERSIONES FCI]],+Tabla5[[#This Row],[INVERSIONES FCI]]-AQ171,Tabla5[[#This Row],[INVERSIONES FCI]])</f>
        <v>20791591159.570591</v>
      </c>
      <c r="AR172" s="5">
        <f>IF($B171&lt;=Tabla5[[#This Row],[INVERSIONES FCI]],+Tabla5[[#This Row],[INVERSIONES FCI]]-AR171,Tabla5[[#This Row],[INVERSIONES FCI]])</f>
        <v>20791591159.570591</v>
      </c>
      <c r="AS172" s="5">
        <f>IF($B171&lt;=Tabla5[[#This Row],[INVERSIONES FCI]],+Tabla5[[#This Row],[INVERSIONES FCI]]-AS171,Tabla5[[#This Row],[INVERSIONES FCI]])</f>
        <v>20791591159.570591</v>
      </c>
      <c r="AT172" s="5">
        <f>IF($B171&lt;=Tabla5[[#This Row],[INVERSIONES FCI]],+Tabla5[[#This Row],[INVERSIONES FCI]]-AT171,Tabla5[[#This Row],[INVERSIONES FCI]])</f>
        <v>20791591159.570591</v>
      </c>
      <c r="AU172" s="5">
        <f>IF($B171&lt;=Tabla5[[#This Row],[INVERSIONES FCI]],+Tabla5[[#This Row],[INVERSIONES FCI]]-AU171,Tabla5[[#This Row],[INVERSIONES FCI]])</f>
        <v>20791591159.570591</v>
      </c>
      <c r="AV172" s="5">
        <f>IF($B171&lt;=Tabla5[[#This Row],[INVERSIONES FCI]],+Tabla5[[#This Row],[INVERSIONES FCI]]-AV171,Tabla5[[#This Row],[INVERSIONES FCI]])</f>
        <v>20791591159.570591</v>
      </c>
      <c r="AW172" s="5">
        <f>IF($B171&lt;=Tabla5[[#This Row],[INVERSIONES FCI]],+Tabla5[[#This Row],[INVERSIONES FCI]]-AW171,Tabla5[[#This Row],[INVERSIONES FCI]])</f>
        <v>20791591159.570591</v>
      </c>
      <c r="AX172" s="5">
        <f>IF($B171&lt;=Tabla5[[#This Row],[INVERSIONES FCI]],+Tabla5[[#This Row],[INVERSIONES FCI]]-AX171,Tabla5[[#This Row],[INVERSIONES FCI]])</f>
        <v>20791591159.570591</v>
      </c>
      <c r="AY172" s="5">
        <f>IF($B171&lt;=Tabla5[[#This Row],[INVERSIONES FCI]],+Tabla5[[#This Row],[INVERSIONES FCI]]-AY171,Tabla5[[#This Row],[INVERSIONES FCI]])</f>
        <v>20791591159.570591</v>
      </c>
      <c r="AZ172" s="5">
        <f>IF($B171&lt;=Tabla5[[#This Row],[INVERSIONES FCI]],+Tabla5[[#This Row],[INVERSIONES FCI]]-AZ171,Tabla5[[#This Row],[INVERSIONES FCI]])</f>
        <v>20791591159.570591</v>
      </c>
      <c r="BA172" s="5">
        <f>IF($B171&lt;=Tabla5[[#This Row],[INVERSIONES FCI]],+Tabla5[[#This Row],[INVERSIONES FCI]]-BA171,Tabla5[[#This Row],[INVERSIONES FCI]])</f>
        <v>20791591159.570591</v>
      </c>
      <c r="BB172" s="5">
        <f>IF($B171&lt;=Tabla5[[#This Row],[INVERSIONES FCI]],+Tabla5[[#This Row],[INVERSIONES FCI]]-BB171,Tabla5[[#This Row],[INVERSIONES FCI]])</f>
        <v>20791591159.570591</v>
      </c>
      <c r="BC172" s="5">
        <f>IF($B171&lt;=Tabla5[[#This Row],[INVERSIONES FCI]],+Tabla5[[#This Row],[INVERSIONES FCI]]-BC171,Tabla5[[#This Row],[INVERSIONES FCI]])</f>
        <v>20791591159.570591</v>
      </c>
      <c r="BD172" s="5">
        <f>IF($B171&lt;=Tabla5[[#This Row],[INVERSIONES FCI]],+Tabla5[[#This Row],[INVERSIONES FCI]]-BD171,Tabla5[[#This Row],[INVERSIONES FCI]])</f>
        <v>20791591159.570591</v>
      </c>
      <c r="BE172" s="5">
        <f>IF($B171&lt;=Tabla5[[#This Row],[INVERSIONES FCI]],+Tabla5[[#This Row],[INVERSIONES FCI]]-BE171,Tabla5[[#This Row],[INVERSIONES FCI]])</f>
        <v>20791591159.570591</v>
      </c>
      <c r="BF172" s="5">
        <f>IF($B171&lt;=Tabla5[[#This Row],[INVERSIONES FCI]],+Tabla5[[#This Row],[INVERSIONES FCI]]-BF171,Tabla5[[#This Row],[INVERSIONES FCI]])</f>
        <v>20791591159.570591</v>
      </c>
      <c r="BG172" s="5">
        <f>IF($B171&lt;=Tabla5[[#This Row],[INVERSIONES FCI]],+Tabla5[[#This Row],[INVERSIONES FCI]]-BG171,Tabla5[[#This Row],[INVERSIONES FCI]])</f>
        <v>20791591159.570591</v>
      </c>
      <c r="BH172" s="5">
        <f>IF($B171&lt;=Tabla5[[#This Row],[INVERSIONES FCI]],+Tabla5[[#This Row],[INVERSIONES FCI]]-BH171,Tabla5[[#This Row],[INVERSIONES FCI]])</f>
        <v>20791591159.570591</v>
      </c>
      <c r="BI172" s="5">
        <f>IF($B171&lt;=Tabla5[[#This Row],[INVERSIONES FCI]],+Tabla5[[#This Row],[INVERSIONES FCI]]-BI171,Tabla5[[#This Row],[INVERSIONES FCI]])</f>
        <v>20791591159.570591</v>
      </c>
      <c r="BJ172" s="5">
        <f>IF($B171&lt;=Tabla5[[#This Row],[INVERSIONES FCI]],+Tabla5[[#This Row],[INVERSIONES FCI]]-BJ171,Tabla5[[#This Row],[INVERSIONES FCI]])</f>
        <v>20791591159.570591</v>
      </c>
      <c r="BK172" s="5">
        <f>IF($B171&lt;=Tabla5[[#This Row],[INVERSIONES FCI]],+Tabla5[[#This Row],[INVERSIONES FCI]]-BK171,Tabla5[[#This Row],[INVERSIONES FCI]])</f>
        <v>20791591159.570591</v>
      </c>
      <c r="BL172" s="5">
        <f>IF($B171&lt;=Tabla5[[#This Row],[INVERSIONES FCI]],+Tabla5[[#This Row],[INVERSIONES FCI]]-BL171,Tabla5[[#This Row],[INVERSIONES FCI]])</f>
        <v>20791591159.570591</v>
      </c>
      <c r="BM172" s="5">
        <f>IF($B171&lt;=Tabla5[[#This Row],[INVERSIONES FCI]],+Tabla5[[#This Row],[INVERSIONES FCI]]-BM171,Tabla5[[#This Row],[INVERSIONES FCI]])</f>
        <v>20791591159.570591</v>
      </c>
      <c r="BN172" s="5">
        <f>IF($B171&lt;=Tabla5[[#This Row],[INVERSIONES FCI]],+Tabla5[[#This Row],[INVERSIONES FCI]]-BN171,Tabla5[[#This Row],[INVERSIONES FCI]])</f>
        <v>20791591159.570591</v>
      </c>
      <c r="BO172" s="5">
        <f>IF($B171&lt;=Tabla5[[#This Row],[INVERSIONES FCI]],+Tabla5[[#This Row],[INVERSIONES FCI]]-BO171,Tabla5[[#This Row],[INVERSIONES FCI]])</f>
        <v>20791591159.570591</v>
      </c>
      <c r="BP172" s="5">
        <f>IF($B171&lt;=Tabla5[[#This Row],[INVERSIONES FCI]],+Tabla5[[#This Row],[INVERSIONES FCI]]-BP171,Tabla5[[#This Row],[INVERSIONES FCI]])</f>
        <v>20791591159.570591</v>
      </c>
      <c r="BQ172" s="5">
        <f>IF($B171&lt;=Tabla5[[#This Row],[INVERSIONES FCI]],+Tabla5[[#This Row],[INVERSIONES FCI]]-BQ171,Tabla5[[#This Row],[INVERSIONES FCI]])</f>
        <v>20791591159.570591</v>
      </c>
      <c r="BR172" s="5">
        <f>IF($B171&lt;=Tabla5[[#This Row],[INVERSIONES FCI]],+Tabla5[[#This Row],[INVERSIONES FCI]]-BR171,Tabla5[[#This Row],[INVERSIONES FCI]])</f>
        <v>20791591159.570591</v>
      </c>
      <c r="BS172" s="5">
        <f>IF($B171&lt;=Tabla5[[#This Row],[INVERSIONES FCI]],+Tabla5[[#This Row],[INVERSIONES FCI]]-BS171,Tabla5[[#This Row],[INVERSIONES FCI]])</f>
        <v>20791591159.570591</v>
      </c>
      <c r="BT172" s="5">
        <f>IF($B171&lt;=Tabla5[[#This Row],[INVERSIONES FCI]],+Tabla5[[#This Row],[INVERSIONES FCI]]-BT171,Tabla5[[#This Row],[INVERSIONES FCI]])</f>
        <v>20791591159.570591</v>
      </c>
      <c r="BU172" s="5">
        <f>IF($B171&lt;=Tabla5[[#This Row],[INVERSIONES FCI]],+Tabla5[[#This Row],[INVERSIONES FCI]]-BU171,Tabla5[[#This Row],[INVERSIONES FCI]])</f>
        <v>20791591159.570591</v>
      </c>
      <c r="BV172" s="5">
        <f>IF($B171&lt;=Tabla5[[#This Row],[INVERSIONES FCI]],+Tabla5[[#This Row],[INVERSIONES FCI]]-BV171,Tabla5[[#This Row],[INVERSIONES FCI]])</f>
        <v>20791591159.570591</v>
      </c>
      <c r="BW172" s="5">
        <f>IF($B171&lt;=Tabla5[[#This Row],[INVERSIONES FCI]],+Tabla5[[#This Row],[INVERSIONES FCI]]-BW171,Tabla5[[#This Row],[INVERSIONES FCI]])</f>
        <v>20791591159.570591</v>
      </c>
      <c r="BX172" s="5">
        <f>IF($B171&lt;=Tabla5[[#This Row],[INVERSIONES FCI]],+Tabla5[[#This Row],[INVERSIONES FCI]]-BX171,Tabla5[[#This Row],[INVERSIONES FCI]])</f>
        <v>20791591159.570591</v>
      </c>
      <c r="BY172" s="5">
        <f>IF($B171&lt;=Tabla5[[#This Row],[INVERSIONES FCI]],+Tabla5[[#This Row],[INVERSIONES FCI]]-BY171,Tabla5[[#This Row],[INVERSIONES FCI]])</f>
        <v>20791591159.570591</v>
      </c>
      <c r="BZ172" s="5">
        <f>IF($B171&lt;=Tabla5[[#This Row],[INVERSIONES FCI]],+Tabla5[[#This Row],[INVERSIONES FCI]]-BZ171,Tabla5[[#This Row],[INVERSIONES FCI]])</f>
        <v>20791591159.570591</v>
      </c>
      <c r="CA172" s="5">
        <f>IF($B171&lt;=Tabla5[[#This Row],[INVERSIONES FCI]],+Tabla5[[#This Row],[INVERSIONES FCI]]-CA171,Tabla5[[#This Row],[INVERSIONES FCI]])</f>
        <v>20791591159.570591</v>
      </c>
      <c r="CB172" s="5">
        <f>IF($B171&lt;=Tabla5[[#This Row],[INVERSIONES FCI]],+Tabla5[[#This Row],[INVERSIONES FCI]]-CB171,Tabla5[[#This Row],[INVERSIONES FCI]])</f>
        <v>20791591159.570591</v>
      </c>
      <c r="CC172" s="5">
        <f>IF($B171&lt;=Tabla5[[#This Row],[INVERSIONES FCI]],+Tabla5[[#This Row],[INVERSIONES FCI]]-CC171,Tabla5[[#This Row],[INVERSIONES FCI]])</f>
        <v>20791591159.570591</v>
      </c>
      <c r="CD172" s="5">
        <f>IF($B171&lt;=Tabla5[[#This Row],[INVERSIONES FCI]],+Tabla5[[#This Row],[INVERSIONES FCI]]-CD171,Tabla5[[#This Row],[INVERSIONES FCI]])</f>
        <v>20791591159.570591</v>
      </c>
      <c r="CE172" s="5">
        <f>IF($B171&lt;=Tabla5[[#This Row],[INVERSIONES FCI]],+Tabla5[[#This Row],[INVERSIONES FCI]]-CE171,Tabla5[[#This Row],[INVERSIONES FCI]])</f>
        <v>20791591159.570591</v>
      </c>
      <c r="CF172" s="5">
        <f>IF($B171&lt;=Tabla5[[#This Row],[INVERSIONES FCI]],+Tabla5[[#This Row],[INVERSIONES FCI]]-CF171,Tabla5[[#This Row],[INVERSIONES FCI]])</f>
        <v>20791591159.570591</v>
      </c>
      <c r="CG172" s="5">
        <f>IF($B171&lt;=Tabla5[[#This Row],[INVERSIONES FCI]],+Tabla5[[#This Row],[INVERSIONES FCI]]-CG171,Tabla5[[#This Row],[INVERSIONES FCI]])</f>
        <v>20791591159.570591</v>
      </c>
      <c r="CH172" s="5">
        <f>IF($B171&lt;=Tabla5[[#This Row],[INVERSIONES FCI]],+Tabla5[[#This Row],[INVERSIONES FCI]]-CH171,Tabla5[[#This Row],[INVERSIONES FCI]])</f>
        <v>20791591159.570591</v>
      </c>
      <c r="CI172" s="5">
        <f>IF($B171&lt;=Tabla5[[#This Row],[INVERSIONES FCI]],+Tabla5[[#This Row],[INVERSIONES FCI]]-CI171,Tabla5[[#This Row],[INVERSIONES FCI]])</f>
        <v>20791591159.570591</v>
      </c>
      <c r="CJ172" s="5">
        <f>IF($B171&lt;=Tabla5[[#This Row],[INVERSIONES FCI]],+Tabla5[[#This Row],[INVERSIONES FCI]]-CJ171,Tabla5[[#This Row],[INVERSIONES FCI]])</f>
        <v>20791591159.570591</v>
      </c>
      <c r="CK172" s="5">
        <f>IF($B171&lt;=Tabla5[[#This Row],[INVERSIONES FCI]],+Tabla5[[#This Row],[INVERSIONES FCI]]-CK171,Tabla5[[#This Row],[INVERSIONES FCI]])</f>
        <v>20791591159.570591</v>
      </c>
      <c r="CL172" s="5">
        <f>IF($B171&lt;=Tabla5[[#This Row],[INVERSIONES FCI]],+Tabla5[[#This Row],[INVERSIONES FCI]]-CL171,Tabla5[[#This Row],[INVERSIONES FCI]])</f>
        <v>20791591159.570591</v>
      </c>
      <c r="CM172" s="5">
        <f>IF($B171&lt;=Tabla5[[#This Row],[INVERSIONES FCI]],+Tabla5[[#This Row],[INVERSIONES FCI]]-CM171,Tabla5[[#This Row],[INVERSIONES FCI]])</f>
        <v>20791591159.570591</v>
      </c>
      <c r="CN172" s="5">
        <f>IF($B171&lt;=Tabla5[[#This Row],[INVERSIONES FCI]],+Tabla5[[#This Row],[INVERSIONES FCI]]-CN171,Tabla5[[#This Row],[INVERSIONES FCI]])</f>
        <v>20791591159.570591</v>
      </c>
      <c r="CO172" s="5">
        <f>IF($B171&lt;=Tabla5[[#This Row],[INVERSIONES FCI]],+Tabla5[[#This Row],[INVERSIONES FCI]]-CO171,Tabla5[[#This Row],[INVERSIONES FCI]])</f>
        <v>20791591159.570591</v>
      </c>
      <c r="CP172" s="5">
        <f>IF($B171&lt;=Tabla5[[#This Row],[INVERSIONES FCI]],+Tabla5[[#This Row],[INVERSIONES FCI]]-CP171,Tabla5[[#This Row],[INVERSIONES FCI]])</f>
        <v>20791591159.570591</v>
      </c>
      <c r="CQ172" s="5">
        <f>IF($B171&lt;=Tabla5[[#This Row],[INVERSIONES FCI]],+Tabla5[[#This Row],[INVERSIONES FCI]]-CQ171,Tabla5[[#This Row],[INVERSIONES FCI]])</f>
        <v>20791591159.570591</v>
      </c>
      <c r="CR172" s="5">
        <f>IF($B171&lt;=Tabla5[[#This Row],[INVERSIONES FCI]],+Tabla5[[#This Row],[INVERSIONES FCI]]-CR171,Tabla5[[#This Row],[INVERSIONES FCI]])</f>
        <v>20791591159.570591</v>
      </c>
      <c r="CS172" s="5">
        <f>IF($B171&lt;=Tabla5[[#This Row],[INVERSIONES FCI]],+Tabla5[[#This Row],[INVERSIONES FCI]]-CS171,Tabla5[[#This Row],[INVERSIONES FCI]])</f>
        <v>20791591159.570591</v>
      </c>
      <c r="CT172" s="5">
        <f>IF($B171&lt;=Tabla5[[#This Row],[INVERSIONES FCI]],+Tabla5[[#This Row],[INVERSIONES FCI]]-CT171,Tabla5[[#This Row],[INVERSIONES FCI]])</f>
        <v>20791591159.570591</v>
      </c>
      <c r="CU172" s="5">
        <f>IF($B171&lt;=Tabla5[[#This Row],[INVERSIONES FCI]],+Tabla5[[#This Row],[INVERSIONES FCI]]-CU171,Tabla5[[#This Row],[INVERSIONES FCI]])</f>
        <v>20791591159.570591</v>
      </c>
      <c r="CV172" s="5">
        <f>IF($B171&lt;=Tabla5[[#This Row],[INVERSIONES FCI]],+Tabla5[[#This Row],[INVERSIONES FCI]]-CV171,Tabla5[[#This Row],[INVERSIONES FCI]])</f>
        <v>20791591159.570591</v>
      </c>
      <c r="CW172" s="5">
        <f>IF($B171&lt;=Tabla5[[#This Row],[INVERSIONES FCI]],+Tabla5[[#This Row],[INVERSIONES FCI]]-CW171,Tabla5[[#This Row],[INVERSIONES FCI]])</f>
        <v>20791591159.570591</v>
      </c>
      <c r="CX172" s="5">
        <f>IF($B171&lt;=Tabla5[[#This Row],[INVERSIONES FCI]],+Tabla5[[#This Row],[INVERSIONES FCI]]-CX171,Tabla5[[#This Row],[INVERSIONES FCI]])</f>
        <v>20791591159.570591</v>
      </c>
      <c r="CY172" s="5">
        <f>IF($B171&lt;=Tabla5[[#This Row],[INVERSIONES FCI]],+Tabla5[[#This Row],[INVERSIONES FCI]]-CY171,Tabla5[[#This Row],[INVERSIONES FCI]])</f>
        <v>20791591159.570591</v>
      </c>
      <c r="CZ172" s="5">
        <f>IF($B171&lt;=Tabla5[[#This Row],[INVERSIONES FCI]],+Tabla5[[#This Row],[INVERSIONES FCI]]-CZ171,Tabla5[[#This Row],[INVERSIONES FCI]])</f>
        <v>20791591159.570591</v>
      </c>
      <c r="DA172" s="5">
        <f>IF($B171&lt;=Tabla5[[#This Row],[INVERSIONES FCI]],+Tabla5[[#This Row],[INVERSIONES FCI]]-DA171,Tabla5[[#This Row],[INVERSIONES FCI]])</f>
        <v>20791591159.570591</v>
      </c>
      <c r="DB172" s="5">
        <f>IF($B171&lt;=Tabla5[[#This Row],[INVERSIONES FCI]],+Tabla5[[#This Row],[INVERSIONES FCI]]-DB171,Tabla5[[#This Row],[INVERSIONES FCI]])</f>
        <v>20791591159.570591</v>
      </c>
      <c r="DC172" s="5">
        <f>IF($B171&lt;=Tabla5[[#This Row],[INVERSIONES FCI]],+Tabla5[[#This Row],[INVERSIONES FCI]]-DC171,Tabla5[[#This Row],[INVERSIONES FCI]])</f>
        <v>20791591159.570591</v>
      </c>
      <c r="DD172" s="5">
        <f>IF($B171&lt;=Tabla5[[#This Row],[INVERSIONES FCI]],+Tabla5[[#This Row],[INVERSIONES FCI]]-DD171,Tabla5[[#This Row],[INVERSIONES FCI]])</f>
        <v>20791591159.570591</v>
      </c>
      <c r="DE172" s="5">
        <f>IF($B171&lt;=Tabla5[[#This Row],[INVERSIONES FCI]],+Tabla5[[#This Row],[INVERSIONES FCI]]-DE171,Tabla5[[#This Row],[INVERSIONES FCI]])</f>
        <v>20791591159.570591</v>
      </c>
      <c r="DF172" s="5">
        <f>IF($B171&lt;=Tabla5[[#This Row],[INVERSIONES FCI]],+Tabla5[[#This Row],[INVERSIONES FCI]]-DF171,Tabla5[[#This Row],[INVERSIONES FCI]])</f>
        <v>20791591159.570591</v>
      </c>
      <c r="DG172" s="5">
        <f>IF($B171&lt;=Tabla5[[#This Row],[INVERSIONES FCI]],+Tabla5[[#This Row],[INVERSIONES FCI]]-DG171,Tabla5[[#This Row],[INVERSIONES FCI]])</f>
        <v>20791591159.570591</v>
      </c>
      <c r="DH172" s="5">
        <f>IF($B171&lt;=Tabla5[[#This Row],[INVERSIONES FCI]],+Tabla5[[#This Row],[INVERSIONES FCI]]-DH171,Tabla5[[#This Row],[INVERSIONES FCI]])</f>
        <v>20791591159.570591</v>
      </c>
      <c r="DI172" s="5">
        <f>IF($B171&lt;=Tabla5[[#This Row],[INVERSIONES FCI]],+Tabla5[[#This Row],[INVERSIONES FCI]]-DI171,Tabla5[[#This Row],[INVERSIONES FCI]])</f>
        <v>20791591159.570591</v>
      </c>
      <c r="DJ172" s="5">
        <f>IF($B171&lt;=Tabla5[[#This Row],[INVERSIONES FCI]],+Tabla5[[#This Row],[INVERSIONES FCI]]-DJ171,Tabla5[[#This Row],[INVERSIONES FCI]])</f>
        <v>20791591159.570591</v>
      </c>
      <c r="DK172" s="5">
        <f>IF($B171&lt;=Tabla5[[#This Row],[INVERSIONES FCI]],+Tabla5[[#This Row],[INVERSIONES FCI]]-DK171,Tabla5[[#This Row],[INVERSIONES FCI]])</f>
        <v>20791591159.570591</v>
      </c>
      <c r="DL172" s="5"/>
      <c r="DM172" s="5"/>
      <c r="DN172" s="5"/>
      <c r="DO172" s="5"/>
      <c r="DP172" s="5"/>
      <c r="DQ172" s="5"/>
    </row>
    <row r="173" spans="1:121" ht="14.4">
      <c r="A173" s="12" t="s">
        <v>172</v>
      </c>
      <c r="B173" s="5">
        <f>HLOOKUP($A173,ESCENARIO[#All],7,FALSE)</f>
        <v>34693183156.345146</v>
      </c>
      <c r="C173" s="5">
        <f>IF($B172&lt;=Tabla5[[#This Row],[INVERSIONES FCI]],+Tabla5[[#This Row],[INVERSIONES FCI]]-C172,Tabla5[[#This Row],[INVERSIONES FCI]])</f>
        <v>13901591996.774555</v>
      </c>
      <c r="D173" s="5">
        <f>IF($B172&lt;=Tabla5[[#This Row],[INVERSIONES FCI]],+Tabla5[[#This Row],[INVERSIONES FCI]]-D172,Tabla5[[#This Row],[INVERSIONES FCI]])</f>
        <v>13901591996.774555</v>
      </c>
      <c r="E173" s="5">
        <f>IF($B172&lt;=Tabla5[[#This Row],[INVERSIONES FCI]],+Tabla5[[#This Row],[INVERSIONES FCI]]-E172,Tabla5[[#This Row],[INVERSIONES FCI]])</f>
        <v>13901591996.774555</v>
      </c>
      <c r="F173" s="5">
        <f>IF($B172&lt;=Tabla5[[#This Row],[INVERSIONES FCI]],+Tabla5[[#This Row],[INVERSIONES FCI]]-F172,Tabla5[[#This Row],[INVERSIONES FCI]])</f>
        <v>13901591996.774555</v>
      </c>
      <c r="G173" s="5">
        <f>IF($B172&lt;=Tabla5[[#This Row],[INVERSIONES FCI]],+Tabla5[[#This Row],[INVERSIONES FCI]]-G172,Tabla5[[#This Row],[INVERSIONES FCI]])</f>
        <v>13901591996.774555</v>
      </c>
      <c r="H173" s="5">
        <f>IF($B172&lt;=Tabla5[[#This Row],[INVERSIONES FCI]],+Tabla5[[#This Row],[INVERSIONES FCI]]-H172,Tabla5[[#This Row],[INVERSIONES FCI]])</f>
        <v>13901591996.774555</v>
      </c>
      <c r="I173" s="5">
        <f>IF($B172&lt;=Tabla5[[#This Row],[INVERSIONES FCI]],+Tabla5[[#This Row],[INVERSIONES FCI]]-I172,Tabla5[[#This Row],[INVERSIONES FCI]])</f>
        <v>13901591996.774555</v>
      </c>
      <c r="J173" s="5">
        <f>IF($B172&lt;=Tabla5[[#This Row],[INVERSIONES FCI]],+Tabla5[[#This Row],[INVERSIONES FCI]]-J172,Tabla5[[#This Row],[INVERSIONES FCI]])</f>
        <v>13901591996.774555</v>
      </c>
      <c r="K173" s="5">
        <f>IF($B172&lt;=Tabla5[[#This Row],[INVERSIONES FCI]],+Tabla5[[#This Row],[INVERSIONES FCI]]-K172,Tabla5[[#This Row],[INVERSIONES FCI]])</f>
        <v>13901591996.774555</v>
      </c>
      <c r="L173" s="5">
        <f>IF($B172&lt;=Tabla5[[#This Row],[INVERSIONES FCI]],+Tabla5[[#This Row],[INVERSIONES FCI]]-L172,Tabla5[[#This Row],[INVERSIONES FCI]])</f>
        <v>13901591996.774555</v>
      </c>
      <c r="M173" s="5">
        <f>IF($B172&lt;=Tabla5[[#This Row],[INVERSIONES FCI]],+Tabla5[[#This Row],[INVERSIONES FCI]]-M172,Tabla5[[#This Row],[INVERSIONES FCI]])</f>
        <v>13901591996.774555</v>
      </c>
      <c r="N173" s="5">
        <f>IF($B172&lt;=Tabla5[[#This Row],[INVERSIONES FCI]],+Tabla5[[#This Row],[INVERSIONES FCI]]-N172,Tabla5[[#This Row],[INVERSIONES FCI]])</f>
        <v>13901591996.774555</v>
      </c>
      <c r="O173" s="5">
        <f>IF($B172&lt;=Tabla5[[#This Row],[INVERSIONES FCI]],+Tabla5[[#This Row],[INVERSIONES FCI]]-O172,Tabla5[[#This Row],[INVERSIONES FCI]])</f>
        <v>13901591996.774555</v>
      </c>
      <c r="P173" s="5">
        <f>IF($B172&lt;=Tabla5[[#This Row],[INVERSIONES FCI]],+Tabla5[[#This Row],[INVERSIONES FCI]]-P172,Tabla5[[#This Row],[INVERSIONES FCI]])</f>
        <v>13901591996.774555</v>
      </c>
      <c r="Q173" s="5">
        <f>IF($B172&lt;=Tabla5[[#This Row],[INVERSIONES FCI]],+Tabla5[[#This Row],[INVERSIONES FCI]]-Q172,Tabla5[[#This Row],[INVERSIONES FCI]])</f>
        <v>13901591996.774555</v>
      </c>
      <c r="R173" s="5">
        <f>IF($B172&lt;=Tabla5[[#This Row],[INVERSIONES FCI]],+Tabla5[[#This Row],[INVERSIONES FCI]]-R172,Tabla5[[#This Row],[INVERSIONES FCI]])</f>
        <v>13901591996.774555</v>
      </c>
      <c r="S173" s="5">
        <f>IF($B172&lt;=Tabla5[[#This Row],[INVERSIONES FCI]],+Tabla5[[#This Row],[INVERSIONES FCI]]-S172,Tabla5[[#This Row],[INVERSIONES FCI]])</f>
        <v>13901591996.774555</v>
      </c>
      <c r="T173" s="5">
        <f>IF($B172&lt;=Tabla5[[#This Row],[INVERSIONES FCI]],+Tabla5[[#This Row],[INVERSIONES FCI]]-T172,Tabla5[[#This Row],[INVERSIONES FCI]])</f>
        <v>13901591996.774555</v>
      </c>
      <c r="U173" s="5">
        <f>IF($B172&lt;=Tabla5[[#This Row],[INVERSIONES FCI]],+Tabla5[[#This Row],[INVERSIONES FCI]]-U172,Tabla5[[#This Row],[INVERSIONES FCI]])</f>
        <v>13901591996.774555</v>
      </c>
      <c r="V173" s="5">
        <f>IF($B172&lt;=Tabla5[[#This Row],[INVERSIONES FCI]],+Tabla5[[#This Row],[INVERSIONES FCI]]-V172,Tabla5[[#This Row],[INVERSIONES FCI]])</f>
        <v>13901591996.774555</v>
      </c>
      <c r="W173" s="5">
        <f>IF($B172&lt;=Tabla5[[#This Row],[INVERSIONES FCI]],+Tabla5[[#This Row],[INVERSIONES FCI]]-W172,Tabla5[[#This Row],[INVERSIONES FCI]])</f>
        <v>13901591996.774555</v>
      </c>
      <c r="X173" s="5">
        <f>IF($B172&lt;=Tabla5[[#This Row],[INVERSIONES FCI]],+Tabla5[[#This Row],[INVERSIONES FCI]]-X172,Tabla5[[#This Row],[INVERSIONES FCI]])</f>
        <v>13901591996.774555</v>
      </c>
      <c r="Y173" s="5">
        <f>IF($B172&lt;=Tabla5[[#This Row],[INVERSIONES FCI]],+Tabla5[[#This Row],[INVERSIONES FCI]]-Y172,Tabla5[[#This Row],[INVERSIONES FCI]])</f>
        <v>13901591996.774555</v>
      </c>
      <c r="Z173" s="5">
        <f>IF($B172&lt;=Tabla5[[#This Row],[INVERSIONES FCI]],+Tabla5[[#This Row],[INVERSIONES FCI]]-Z172,Tabla5[[#This Row],[INVERSIONES FCI]])</f>
        <v>13901591996.774555</v>
      </c>
      <c r="AA173" s="5">
        <f>IF($B172&lt;=Tabla5[[#This Row],[INVERSIONES FCI]],+Tabla5[[#This Row],[INVERSIONES FCI]]-AA172,Tabla5[[#This Row],[INVERSIONES FCI]])</f>
        <v>13901591996.774555</v>
      </c>
      <c r="AB173" s="5">
        <f>IF($B172&lt;=Tabla5[[#This Row],[INVERSIONES FCI]],+Tabla5[[#This Row],[INVERSIONES FCI]]-AB172,Tabla5[[#This Row],[INVERSIONES FCI]])</f>
        <v>13901591996.774555</v>
      </c>
      <c r="AC173" s="5">
        <f>IF($B172&lt;=Tabla5[[#This Row],[INVERSIONES FCI]],+Tabla5[[#This Row],[INVERSIONES FCI]]-AC172,Tabla5[[#This Row],[INVERSIONES FCI]])</f>
        <v>13901591996.774555</v>
      </c>
      <c r="AD173" s="5">
        <f>IF($B172&lt;=Tabla5[[#This Row],[INVERSIONES FCI]],+Tabla5[[#This Row],[INVERSIONES FCI]]-AD172,Tabla5[[#This Row],[INVERSIONES FCI]])</f>
        <v>13901591996.774555</v>
      </c>
      <c r="AE173" s="5">
        <f>IF($B172&lt;=Tabla5[[#This Row],[INVERSIONES FCI]],+Tabla5[[#This Row],[INVERSIONES FCI]]-AE172,Tabla5[[#This Row],[INVERSIONES FCI]])</f>
        <v>13901591996.774555</v>
      </c>
      <c r="AF173" s="5">
        <f>IF($B172&lt;=Tabla5[[#This Row],[INVERSIONES FCI]],+Tabla5[[#This Row],[INVERSIONES FCI]]-AF172,Tabla5[[#This Row],[INVERSIONES FCI]])</f>
        <v>13901591996.774555</v>
      </c>
      <c r="AG173" s="5">
        <f>IF($B172&lt;=Tabla5[[#This Row],[INVERSIONES FCI]],+Tabla5[[#This Row],[INVERSIONES FCI]]-AG172,Tabla5[[#This Row],[INVERSIONES FCI]])</f>
        <v>13901591996.774555</v>
      </c>
      <c r="AH173" s="5">
        <f>IF($B172&lt;=Tabla5[[#This Row],[INVERSIONES FCI]],+Tabla5[[#This Row],[INVERSIONES FCI]]-AH172,Tabla5[[#This Row],[INVERSIONES FCI]])</f>
        <v>13901591996.774555</v>
      </c>
      <c r="AI173" s="5">
        <f>IF($B172&lt;=Tabla5[[#This Row],[INVERSIONES FCI]],+Tabla5[[#This Row],[INVERSIONES FCI]]-AI172,Tabla5[[#This Row],[INVERSIONES FCI]])</f>
        <v>13901591996.774555</v>
      </c>
      <c r="AJ173" s="5">
        <f>IF($B172&lt;=Tabla5[[#This Row],[INVERSIONES FCI]],+Tabla5[[#This Row],[INVERSIONES FCI]]-AJ172,Tabla5[[#This Row],[INVERSIONES FCI]])</f>
        <v>13901591996.774555</v>
      </c>
      <c r="AK173" s="5">
        <f>IF($B172&lt;=Tabla5[[#This Row],[INVERSIONES FCI]],+Tabla5[[#This Row],[INVERSIONES FCI]]-AK172,Tabla5[[#This Row],[INVERSIONES FCI]])</f>
        <v>13901591996.774555</v>
      </c>
      <c r="AL173" s="5">
        <f>IF($B172&lt;=Tabla5[[#This Row],[INVERSIONES FCI]],+Tabla5[[#This Row],[INVERSIONES FCI]]-AL172,Tabla5[[#This Row],[INVERSIONES FCI]])</f>
        <v>13901591996.774555</v>
      </c>
      <c r="AM173" s="5">
        <f>IF($B172&lt;=Tabla5[[#This Row],[INVERSIONES FCI]],+Tabla5[[#This Row],[INVERSIONES FCI]]-AM172,Tabla5[[#This Row],[INVERSIONES FCI]])</f>
        <v>13901591996.774555</v>
      </c>
      <c r="AN173" s="5">
        <f>IF($B172&lt;=Tabla5[[#This Row],[INVERSIONES FCI]],+Tabla5[[#This Row],[INVERSIONES FCI]]-AN172,Tabla5[[#This Row],[INVERSIONES FCI]])</f>
        <v>13901591996.774555</v>
      </c>
      <c r="AO173" s="5">
        <f>IF($B172&lt;=Tabla5[[#This Row],[INVERSIONES FCI]],+Tabla5[[#This Row],[INVERSIONES FCI]]-AO172,Tabla5[[#This Row],[INVERSIONES FCI]])</f>
        <v>13901591996.774555</v>
      </c>
      <c r="AP173" s="5">
        <f>IF($B172&lt;=Tabla5[[#This Row],[INVERSIONES FCI]],+Tabla5[[#This Row],[INVERSIONES FCI]]-AP172,Tabla5[[#This Row],[INVERSIONES FCI]])</f>
        <v>13901591996.774555</v>
      </c>
      <c r="AQ173" s="5">
        <f>IF($B172&lt;=Tabla5[[#This Row],[INVERSIONES FCI]],+Tabla5[[#This Row],[INVERSIONES FCI]]-AQ172,Tabla5[[#This Row],[INVERSIONES FCI]])</f>
        <v>13901591996.774555</v>
      </c>
      <c r="AR173" s="5">
        <f>IF($B172&lt;=Tabla5[[#This Row],[INVERSIONES FCI]],+Tabla5[[#This Row],[INVERSIONES FCI]]-AR172,Tabla5[[#This Row],[INVERSIONES FCI]])</f>
        <v>13901591996.774555</v>
      </c>
      <c r="AS173" s="5">
        <f>IF($B172&lt;=Tabla5[[#This Row],[INVERSIONES FCI]],+Tabla5[[#This Row],[INVERSIONES FCI]]-AS172,Tabla5[[#This Row],[INVERSIONES FCI]])</f>
        <v>13901591996.774555</v>
      </c>
      <c r="AT173" s="5">
        <f>IF($B172&lt;=Tabla5[[#This Row],[INVERSIONES FCI]],+Tabla5[[#This Row],[INVERSIONES FCI]]-AT172,Tabla5[[#This Row],[INVERSIONES FCI]])</f>
        <v>13901591996.774555</v>
      </c>
      <c r="AU173" s="5">
        <f>IF($B172&lt;=Tabla5[[#This Row],[INVERSIONES FCI]],+Tabla5[[#This Row],[INVERSIONES FCI]]-AU172,Tabla5[[#This Row],[INVERSIONES FCI]])</f>
        <v>13901591996.774555</v>
      </c>
      <c r="AV173" s="5">
        <f>IF($B172&lt;=Tabla5[[#This Row],[INVERSIONES FCI]],+Tabla5[[#This Row],[INVERSIONES FCI]]-AV172,Tabla5[[#This Row],[INVERSIONES FCI]])</f>
        <v>13901591996.774555</v>
      </c>
      <c r="AW173" s="5">
        <f>IF($B172&lt;=Tabla5[[#This Row],[INVERSIONES FCI]],+Tabla5[[#This Row],[INVERSIONES FCI]]-AW172,Tabla5[[#This Row],[INVERSIONES FCI]])</f>
        <v>13901591996.774555</v>
      </c>
      <c r="AX173" s="5">
        <f>IF($B172&lt;=Tabla5[[#This Row],[INVERSIONES FCI]],+Tabla5[[#This Row],[INVERSIONES FCI]]-AX172,Tabla5[[#This Row],[INVERSIONES FCI]])</f>
        <v>13901591996.774555</v>
      </c>
      <c r="AY173" s="5">
        <f>IF($B172&lt;=Tabla5[[#This Row],[INVERSIONES FCI]],+Tabla5[[#This Row],[INVERSIONES FCI]]-AY172,Tabla5[[#This Row],[INVERSIONES FCI]])</f>
        <v>13901591996.774555</v>
      </c>
      <c r="AZ173" s="5">
        <f>IF($B172&lt;=Tabla5[[#This Row],[INVERSIONES FCI]],+Tabla5[[#This Row],[INVERSIONES FCI]]-AZ172,Tabla5[[#This Row],[INVERSIONES FCI]])</f>
        <v>13901591996.774555</v>
      </c>
      <c r="BA173" s="5">
        <f>IF($B172&lt;=Tabla5[[#This Row],[INVERSIONES FCI]],+Tabla5[[#This Row],[INVERSIONES FCI]]-BA172,Tabla5[[#This Row],[INVERSIONES FCI]])</f>
        <v>13901591996.774555</v>
      </c>
      <c r="BB173" s="5">
        <f>IF($B172&lt;=Tabla5[[#This Row],[INVERSIONES FCI]],+Tabla5[[#This Row],[INVERSIONES FCI]]-BB172,Tabla5[[#This Row],[INVERSIONES FCI]])</f>
        <v>13901591996.774555</v>
      </c>
      <c r="BC173" s="5">
        <f>IF($B172&lt;=Tabla5[[#This Row],[INVERSIONES FCI]],+Tabla5[[#This Row],[INVERSIONES FCI]]-BC172,Tabla5[[#This Row],[INVERSIONES FCI]])</f>
        <v>13901591996.774555</v>
      </c>
      <c r="BD173" s="5">
        <f>IF($B172&lt;=Tabla5[[#This Row],[INVERSIONES FCI]],+Tabla5[[#This Row],[INVERSIONES FCI]]-BD172,Tabla5[[#This Row],[INVERSIONES FCI]])</f>
        <v>13901591996.774555</v>
      </c>
      <c r="BE173" s="5">
        <f>IF($B172&lt;=Tabla5[[#This Row],[INVERSIONES FCI]],+Tabla5[[#This Row],[INVERSIONES FCI]]-BE172,Tabla5[[#This Row],[INVERSIONES FCI]])</f>
        <v>13901591996.774555</v>
      </c>
      <c r="BF173" s="5">
        <f>IF($B172&lt;=Tabla5[[#This Row],[INVERSIONES FCI]],+Tabla5[[#This Row],[INVERSIONES FCI]]-BF172,Tabla5[[#This Row],[INVERSIONES FCI]])</f>
        <v>13901591996.774555</v>
      </c>
      <c r="BG173" s="5">
        <f>IF($B172&lt;=Tabla5[[#This Row],[INVERSIONES FCI]],+Tabla5[[#This Row],[INVERSIONES FCI]]-BG172,Tabla5[[#This Row],[INVERSIONES FCI]])</f>
        <v>13901591996.774555</v>
      </c>
      <c r="BH173" s="5">
        <f>IF($B172&lt;=Tabla5[[#This Row],[INVERSIONES FCI]],+Tabla5[[#This Row],[INVERSIONES FCI]]-BH172,Tabla5[[#This Row],[INVERSIONES FCI]])</f>
        <v>13901591996.774555</v>
      </c>
      <c r="BI173" s="5">
        <f>IF($B172&lt;=Tabla5[[#This Row],[INVERSIONES FCI]],+Tabla5[[#This Row],[INVERSIONES FCI]]-BI172,Tabla5[[#This Row],[INVERSIONES FCI]])</f>
        <v>13901591996.774555</v>
      </c>
      <c r="BJ173" s="5">
        <f>IF($B172&lt;=Tabla5[[#This Row],[INVERSIONES FCI]],+Tabla5[[#This Row],[INVERSIONES FCI]]-BJ172,Tabla5[[#This Row],[INVERSIONES FCI]])</f>
        <v>13901591996.774555</v>
      </c>
      <c r="BK173" s="5">
        <f>IF($B172&lt;=Tabla5[[#This Row],[INVERSIONES FCI]],+Tabla5[[#This Row],[INVERSIONES FCI]]-BK172,Tabla5[[#This Row],[INVERSIONES FCI]])</f>
        <v>13901591996.774555</v>
      </c>
      <c r="BL173" s="5">
        <f>IF($B172&lt;=Tabla5[[#This Row],[INVERSIONES FCI]],+Tabla5[[#This Row],[INVERSIONES FCI]]-BL172,Tabla5[[#This Row],[INVERSIONES FCI]])</f>
        <v>13901591996.774555</v>
      </c>
      <c r="BM173" s="5">
        <f>IF($B172&lt;=Tabla5[[#This Row],[INVERSIONES FCI]],+Tabla5[[#This Row],[INVERSIONES FCI]]-BM172,Tabla5[[#This Row],[INVERSIONES FCI]])</f>
        <v>13901591996.774555</v>
      </c>
      <c r="BN173" s="5">
        <f>IF($B172&lt;=Tabla5[[#This Row],[INVERSIONES FCI]],+Tabla5[[#This Row],[INVERSIONES FCI]]-BN172,Tabla5[[#This Row],[INVERSIONES FCI]])</f>
        <v>13901591996.774555</v>
      </c>
      <c r="BO173" s="5">
        <f>IF($B172&lt;=Tabla5[[#This Row],[INVERSIONES FCI]],+Tabla5[[#This Row],[INVERSIONES FCI]]-BO172,Tabla5[[#This Row],[INVERSIONES FCI]])</f>
        <v>13901591996.774555</v>
      </c>
      <c r="BP173" s="5">
        <f>IF($B172&lt;=Tabla5[[#This Row],[INVERSIONES FCI]],+Tabla5[[#This Row],[INVERSIONES FCI]]-BP172,Tabla5[[#This Row],[INVERSIONES FCI]])</f>
        <v>13901591996.774555</v>
      </c>
      <c r="BQ173" s="5">
        <f>IF($B172&lt;=Tabla5[[#This Row],[INVERSIONES FCI]],+Tabla5[[#This Row],[INVERSIONES FCI]]-BQ172,Tabla5[[#This Row],[INVERSIONES FCI]])</f>
        <v>13901591996.774555</v>
      </c>
      <c r="BR173" s="5">
        <f>IF($B172&lt;=Tabla5[[#This Row],[INVERSIONES FCI]],+Tabla5[[#This Row],[INVERSIONES FCI]]-BR172,Tabla5[[#This Row],[INVERSIONES FCI]])</f>
        <v>13901591996.774555</v>
      </c>
      <c r="BS173" s="5">
        <f>IF($B172&lt;=Tabla5[[#This Row],[INVERSIONES FCI]],+Tabla5[[#This Row],[INVERSIONES FCI]]-BS172,Tabla5[[#This Row],[INVERSIONES FCI]])</f>
        <v>13901591996.774555</v>
      </c>
      <c r="BT173" s="5">
        <f>IF($B172&lt;=Tabla5[[#This Row],[INVERSIONES FCI]],+Tabla5[[#This Row],[INVERSIONES FCI]]-BT172,Tabla5[[#This Row],[INVERSIONES FCI]])</f>
        <v>13901591996.774555</v>
      </c>
      <c r="BU173" s="5">
        <f>IF($B172&lt;=Tabla5[[#This Row],[INVERSIONES FCI]],+Tabla5[[#This Row],[INVERSIONES FCI]]-BU172,Tabla5[[#This Row],[INVERSIONES FCI]])</f>
        <v>13901591996.774555</v>
      </c>
      <c r="BV173" s="5">
        <f>IF($B172&lt;=Tabla5[[#This Row],[INVERSIONES FCI]],+Tabla5[[#This Row],[INVERSIONES FCI]]-BV172,Tabla5[[#This Row],[INVERSIONES FCI]])</f>
        <v>13901591996.774555</v>
      </c>
      <c r="BW173" s="5">
        <f>IF($B172&lt;=Tabla5[[#This Row],[INVERSIONES FCI]],+Tabla5[[#This Row],[INVERSIONES FCI]]-BW172,Tabla5[[#This Row],[INVERSIONES FCI]])</f>
        <v>13901591996.774555</v>
      </c>
      <c r="BX173" s="5">
        <f>IF($B172&lt;=Tabla5[[#This Row],[INVERSIONES FCI]],+Tabla5[[#This Row],[INVERSIONES FCI]]-BX172,Tabla5[[#This Row],[INVERSIONES FCI]])</f>
        <v>13901591996.774555</v>
      </c>
      <c r="BY173" s="5">
        <f>IF($B172&lt;=Tabla5[[#This Row],[INVERSIONES FCI]],+Tabla5[[#This Row],[INVERSIONES FCI]]-BY172,Tabla5[[#This Row],[INVERSIONES FCI]])</f>
        <v>13901591996.774555</v>
      </c>
      <c r="BZ173" s="5">
        <f>IF($B172&lt;=Tabla5[[#This Row],[INVERSIONES FCI]],+Tabla5[[#This Row],[INVERSIONES FCI]]-BZ172,Tabla5[[#This Row],[INVERSIONES FCI]])</f>
        <v>13901591996.774555</v>
      </c>
      <c r="CA173" s="5">
        <f>IF($B172&lt;=Tabla5[[#This Row],[INVERSIONES FCI]],+Tabla5[[#This Row],[INVERSIONES FCI]]-CA172,Tabla5[[#This Row],[INVERSIONES FCI]])</f>
        <v>13901591996.774555</v>
      </c>
      <c r="CB173" s="5">
        <f>IF($B172&lt;=Tabla5[[#This Row],[INVERSIONES FCI]],+Tabla5[[#This Row],[INVERSIONES FCI]]-CB172,Tabla5[[#This Row],[INVERSIONES FCI]])</f>
        <v>13901591996.774555</v>
      </c>
      <c r="CC173" s="5">
        <f>IF($B172&lt;=Tabla5[[#This Row],[INVERSIONES FCI]],+Tabla5[[#This Row],[INVERSIONES FCI]]-CC172,Tabla5[[#This Row],[INVERSIONES FCI]])</f>
        <v>13901591996.774555</v>
      </c>
      <c r="CD173" s="5">
        <f>IF($B172&lt;=Tabla5[[#This Row],[INVERSIONES FCI]],+Tabla5[[#This Row],[INVERSIONES FCI]]-CD172,Tabla5[[#This Row],[INVERSIONES FCI]])</f>
        <v>13901591996.774555</v>
      </c>
      <c r="CE173" s="5">
        <f>IF($B172&lt;=Tabla5[[#This Row],[INVERSIONES FCI]],+Tabla5[[#This Row],[INVERSIONES FCI]]-CE172,Tabla5[[#This Row],[INVERSIONES FCI]])</f>
        <v>13901591996.774555</v>
      </c>
      <c r="CF173" s="5">
        <f>IF($B172&lt;=Tabla5[[#This Row],[INVERSIONES FCI]],+Tabla5[[#This Row],[INVERSIONES FCI]]-CF172,Tabla5[[#This Row],[INVERSIONES FCI]])</f>
        <v>13901591996.774555</v>
      </c>
      <c r="CG173" s="5">
        <f>IF($B172&lt;=Tabla5[[#This Row],[INVERSIONES FCI]],+Tabla5[[#This Row],[INVERSIONES FCI]]-CG172,Tabla5[[#This Row],[INVERSIONES FCI]])</f>
        <v>13901591996.774555</v>
      </c>
      <c r="CH173" s="5">
        <f>IF($B172&lt;=Tabla5[[#This Row],[INVERSIONES FCI]],+Tabla5[[#This Row],[INVERSIONES FCI]]-CH172,Tabla5[[#This Row],[INVERSIONES FCI]])</f>
        <v>13901591996.774555</v>
      </c>
      <c r="CI173" s="5">
        <f>IF($B172&lt;=Tabla5[[#This Row],[INVERSIONES FCI]],+Tabla5[[#This Row],[INVERSIONES FCI]]-CI172,Tabla5[[#This Row],[INVERSIONES FCI]])</f>
        <v>13901591996.774555</v>
      </c>
      <c r="CJ173" s="5">
        <f>IF($B172&lt;=Tabla5[[#This Row],[INVERSIONES FCI]],+Tabla5[[#This Row],[INVERSIONES FCI]]-CJ172,Tabla5[[#This Row],[INVERSIONES FCI]])</f>
        <v>13901591996.774555</v>
      </c>
      <c r="CK173" s="5">
        <f>IF($B172&lt;=Tabla5[[#This Row],[INVERSIONES FCI]],+Tabla5[[#This Row],[INVERSIONES FCI]]-CK172,Tabla5[[#This Row],[INVERSIONES FCI]])</f>
        <v>13901591996.774555</v>
      </c>
      <c r="CL173" s="5">
        <f>IF($B172&lt;=Tabla5[[#This Row],[INVERSIONES FCI]],+Tabla5[[#This Row],[INVERSIONES FCI]]-CL172,Tabla5[[#This Row],[INVERSIONES FCI]])</f>
        <v>13901591996.774555</v>
      </c>
      <c r="CM173" s="5">
        <f>IF($B172&lt;=Tabla5[[#This Row],[INVERSIONES FCI]],+Tabla5[[#This Row],[INVERSIONES FCI]]-CM172,Tabla5[[#This Row],[INVERSIONES FCI]])</f>
        <v>13901591996.774555</v>
      </c>
      <c r="CN173" s="5">
        <f>IF($B172&lt;=Tabla5[[#This Row],[INVERSIONES FCI]],+Tabla5[[#This Row],[INVERSIONES FCI]]-CN172,Tabla5[[#This Row],[INVERSIONES FCI]])</f>
        <v>13901591996.774555</v>
      </c>
      <c r="CO173" s="5">
        <f>IF($B172&lt;=Tabla5[[#This Row],[INVERSIONES FCI]],+Tabla5[[#This Row],[INVERSIONES FCI]]-CO172,Tabla5[[#This Row],[INVERSIONES FCI]])</f>
        <v>13901591996.774555</v>
      </c>
      <c r="CP173" s="5">
        <f>IF($B172&lt;=Tabla5[[#This Row],[INVERSIONES FCI]],+Tabla5[[#This Row],[INVERSIONES FCI]]-CP172,Tabla5[[#This Row],[INVERSIONES FCI]])</f>
        <v>13901591996.774555</v>
      </c>
      <c r="CQ173" s="5">
        <f>IF($B172&lt;=Tabla5[[#This Row],[INVERSIONES FCI]],+Tabla5[[#This Row],[INVERSIONES FCI]]-CQ172,Tabla5[[#This Row],[INVERSIONES FCI]])</f>
        <v>13901591996.774555</v>
      </c>
      <c r="CR173" s="5">
        <f>IF($B172&lt;=Tabla5[[#This Row],[INVERSIONES FCI]],+Tabla5[[#This Row],[INVERSIONES FCI]]-CR172,Tabla5[[#This Row],[INVERSIONES FCI]])</f>
        <v>13901591996.774555</v>
      </c>
      <c r="CS173" s="5">
        <f>IF($B172&lt;=Tabla5[[#This Row],[INVERSIONES FCI]],+Tabla5[[#This Row],[INVERSIONES FCI]]-CS172,Tabla5[[#This Row],[INVERSIONES FCI]])</f>
        <v>13901591996.774555</v>
      </c>
      <c r="CT173" s="5">
        <f>IF($B172&lt;=Tabla5[[#This Row],[INVERSIONES FCI]],+Tabla5[[#This Row],[INVERSIONES FCI]]-CT172,Tabla5[[#This Row],[INVERSIONES FCI]])</f>
        <v>13901591996.774555</v>
      </c>
      <c r="CU173" s="5">
        <f>IF($B172&lt;=Tabla5[[#This Row],[INVERSIONES FCI]],+Tabla5[[#This Row],[INVERSIONES FCI]]-CU172,Tabla5[[#This Row],[INVERSIONES FCI]])</f>
        <v>13901591996.774555</v>
      </c>
      <c r="CV173" s="5">
        <f>IF($B172&lt;=Tabla5[[#This Row],[INVERSIONES FCI]],+Tabla5[[#This Row],[INVERSIONES FCI]]-CV172,Tabla5[[#This Row],[INVERSIONES FCI]])</f>
        <v>13901591996.774555</v>
      </c>
      <c r="CW173" s="5">
        <f>IF($B172&lt;=Tabla5[[#This Row],[INVERSIONES FCI]],+Tabla5[[#This Row],[INVERSIONES FCI]]-CW172,Tabla5[[#This Row],[INVERSIONES FCI]])</f>
        <v>13901591996.774555</v>
      </c>
      <c r="CX173" s="5">
        <f>IF($B172&lt;=Tabla5[[#This Row],[INVERSIONES FCI]],+Tabla5[[#This Row],[INVERSIONES FCI]]-CX172,Tabla5[[#This Row],[INVERSIONES FCI]])</f>
        <v>13901591996.774555</v>
      </c>
      <c r="CY173" s="5">
        <f>IF($B172&lt;=Tabla5[[#This Row],[INVERSIONES FCI]],+Tabla5[[#This Row],[INVERSIONES FCI]]-CY172,Tabla5[[#This Row],[INVERSIONES FCI]])</f>
        <v>13901591996.774555</v>
      </c>
      <c r="CZ173" s="5">
        <f>IF($B172&lt;=Tabla5[[#This Row],[INVERSIONES FCI]],+Tabla5[[#This Row],[INVERSIONES FCI]]-CZ172,Tabla5[[#This Row],[INVERSIONES FCI]])</f>
        <v>13901591996.774555</v>
      </c>
      <c r="DA173" s="5">
        <f>IF($B172&lt;=Tabla5[[#This Row],[INVERSIONES FCI]],+Tabla5[[#This Row],[INVERSIONES FCI]]-DA172,Tabla5[[#This Row],[INVERSIONES FCI]])</f>
        <v>13901591996.774555</v>
      </c>
      <c r="DB173" s="5">
        <f>IF($B172&lt;=Tabla5[[#This Row],[INVERSIONES FCI]],+Tabla5[[#This Row],[INVERSIONES FCI]]-DB172,Tabla5[[#This Row],[INVERSIONES FCI]])</f>
        <v>13901591996.774555</v>
      </c>
      <c r="DC173" s="5">
        <f>IF($B172&lt;=Tabla5[[#This Row],[INVERSIONES FCI]],+Tabla5[[#This Row],[INVERSIONES FCI]]-DC172,Tabla5[[#This Row],[INVERSIONES FCI]])</f>
        <v>13901591996.774555</v>
      </c>
      <c r="DD173" s="5">
        <f>IF($B172&lt;=Tabla5[[#This Row],[INVERSIONES FCI]],+Tabla5[[#This Row],[INVERSIONES FCI]]-DD172,Tabla5[[#This Row],[INVERSIONES FCI]])</f>
        <v>13901591996.774555</v>
      </c>
      <c r="DE173" s="5">
        <f>IF($B172&lt;=Tabla5[[#This Row],[INVERSIONES FCI]],+Tabla5[[#This Row],[INVERSIONES FCI]]-DE172,Tabla5[[#This Row],[INVERSIONES FCI]])</f>
        <v>13901591996.774555</v>
      </c>
      <c r="DF173" s="5">
        <f>IF($B172&lt;=Tabla5[[#This Row],[INVERSIONES FCI]],+Tabla5[[#This Row],[INVERSIONES FCI]]-DF172,Tabla5[[#This Row],[INVERSIONES FCI]])</f>
        <v>13901591996.774555</v>
      </c>
      <c r="DG173" s="5">
        <f>IF($B172&lt;=Tabla5[[#This Row],[INVERSIONES FCI]],+Tabla5[[#This Row],[INVERSIONES FCI]]-DG172,Tabla5[[#This Row],[INVERSIONES FCI]])</f>
        <v>13901591996.774555</v>
      </c>
      <c r="DH173" s="5">
        <f>IF($B172&lt;=Tabla5[[#This Row],[INVERSIONES FCI]],+Tabla5[[#This Row],[INVERSIONES FCI]]-DH172,Tabla5[[#This Row],[INVERSIONES FCI]])</f>
        <v>13901591996.774555</v>
      </c>
      <c r="DI173" s="5">
        <f>IF($B172&lt;=Tabla5[[#This Row],[INVERSIONES FCI]],+Tabla5[[#This Row],[INVERSIONES FCI]]-DI172,Tabla5[[#This Row],[INVERSIONES FCI]])</f>
        <v>13901591996.774555</v>
      </c>
      <c r="DJ173" s="5">
        <f>IF($B172&lt;=Tabla5[[#This Row],[INVERSIONES FCI]],+Tabla5[[#This Row],[INVERSIONES FCI]]-DJ172,Tabla5[[#This Row],[INVERSIONES FCI]])</f>
        <v>13901591996.774555</v>
      </c>
      <c r="DK173" s="5">
        <f>IF($B172&lt;=Tabla5[[#This Row],[INVERSIONES FCI]],+Tabla5[[#This Row],[INVERSIONES FCI]]-DK172,Tabla5[[#This Row],[INVERSIONES FCI]])</f>
        <v>13901591996.774555</v>
      </c>
      <c r="DL173" s="5"/>
      <c r="DM173" s="5"/>
      <c r="DN173" s="5"/>
      <c r="DO173" s="5"/>
      <c r="DP173" s="5"/>
      <c r="DQ173" s="5"/>
    </row>
    <row r="174" spans="1:121" ht="14.4">
      <c r="A174" s="12" t="s">
        <v>173</v>
      </c>
      <c r="B174" s="5">
        <f>HLOOKUP($A174,ESCENARIO[#All],7,FALSE)</f>
        <v>37466272114.839111</v>
      </c>
      <c r="C174" s="5">
        <f>IF($B173&lt;=Tabla5[[#This Row],[INVERSIONES FCI]],+Tabla5[[#This Row],[INVERSIONES FCI]]-C173,Tabla5[[#This Row],[INVERSIONES FCI]])</f>
        <v>23564680118.064556</v>
      </c>
      <c r="D174" s="5">
        <f>IF($B173&lt;=Tabla5[[#This Row],[INVERSIONES FCI]],+Tabla5[[#This Row],[INVERSIONES FCI]]-D173,Tabla5[[#This Row],[INVERSIONES FCI]])</f>
        <v>23564680118.064556</v>
      </c>
      <c r="E174" s="5">
        <f>IF($B173&lt;=Tabla5[[#This Row],[INVERSIONES FCI]],+Tabla5[[#This Row],[INVERSIONES FCI]]-E173,Tabla5[[#This Row],[INVERSIONES FCI]])</f>
        <v>23564680118.064556</v>
      </c>
      <c r="F174" s="5">
        <f>IF($B173&lt;=Tabla5[[#This Row],[INVERSIONES FCI]],+Tabla5[[#This Row],[INVERSIONES FCI]]-F173,Tabla5[[#This Row],[INVERSIONES FCI]])</f>
        <v>23564680118.064556</v>
      </c>
      <c r="G174" s="5">
        <f>IF($B173&lt;=Tabla5[[#This Row],[INVERSIONES FCI]],+Tabla5[[#This Row],[INVERSIONES FCI]]-G173,Tabla5[[#This Row],[INVERSIONES FCI]])</f>
        <v>23564680118.064556</v>
      </c>
      <c r="H174" s="5">
        <f>IF($B173&lt;=Tabla5[[#This Row],[INVERSIONES FCI]],+Tabla5[[#This Row],[INVERSIONES FCI]]-H173,Tabla5[[#This Row],[INVERSIONES FCI]])</f>
        <v>23564680118.064556</v>
      </c>
      <c r="I174" s="5">
        <f>IF($B173&lt;=Tabla5[[#This Row],[INVERSIONES FCI]],+Tabla5[[#This Row],[INVERSIONES FCI]]-I173,Tabla5[[#This Row],[INVERSIONES FCI]])</f>
        <v>23564680118.064556</v>
      </c>
      <c r="J174" s="5">
        <f>IF($B173&lt;=Tabla5[[#This Row],[INVERSIONES FCI]],+Tabla5[[#This Row],[INVERSIONES FCI]]-J173,Tabla5[[#This Row],[INVERSIONES FCI]])</f>
        <v>23564680118.064556</v>
      </c>
      <c r="K174" s="5">
        <f>IF($B173&lt;=Tabla5[[#This Row],[INVERSIONES FCI]],+Tabla5[[#This Row],[INVERSIONES FCI]]-K173,Tabla5[[#This Row],[INVERSIONES FCI]])</f>
        <v>23564680118.064556</v>
      </c>
      <c r="L174" s="5">
        <f>IF($B173&lt;=Tabla5[[#This Row],[INVERSIONES FCI]],+Tabla5[[#This Row],[INVERSIONES FCI]]-L173,Tabla5[[#This Row],[INVERSIONES FCI]])</f>
        <v>23564680118.064556</v>
      </c>
      <c r="M174" s="5">
        <f>IF($B173&lt;=Tabla5[[#This Row],[INVERSIONES FCI]],+Tabla5[[#This Row],[INVERSIONES FCI]]-M173,Tabla5[[#This Row],[INVERSIONES FCI]])</f>
        <v>23564680118.064556</v>
      </c>
      <c r="N174" s="5">
        <f>IF($B173&lt;=Tabla5[[#This Row],[INVERSIONES FCI]],+Tabla5[[#This Row],[INVERSIONES FCI]]-N173,Tabla5[[#This Row],[INVERSIONES FCI]])</f>
        <v>23564680118.064556</v>
      </c>
      <c r="O174" s="5">
        <f>IF($B173&lt;=Tabla5[[#This Row],[INVERSIONES FCI]],+Tabla5[[#This Row],[INVERSIONES FCI]]-O173,Tabla5[[#This Row],[INVERSIONES FCI]])</f>
        <v>23564680118.064556</v>
      </c>
      <c r="P174" s="5">
        <f>IF($B173&lt;=Tabla5[[#This Row],[INVERSIONES FCI]],+Tabla5[[#This Row],[INVERSIONES FCI]]-P173,Tabla5[[#This Row],[INVERSIONES FCI]])</f>
        <v>23564680118.064556</v>
      </c>
      <c r="Q174" s="5">
        <f>IF($B173&lt;=Tabla5[[#This Row],[INVERSIONES FCI]],+Tabla5[[#This Row],[INVERSIONES FCI]]-Q173,Tabla5[[#This Row],[INVERSIONES FCI]])</f>
        <v>23564680118.064556</v>
      </c>
      <c r="R174" s="5">
        <f>IF($B173&lt;=Tabla5[[#This Row],[INVERSIONES FCI]],+Tabla5[[#This Row],[INVERSIONES FCI]]-R173,Tabla5[[#This Row],[INVERSIONES FCI]])</f>
        <v>23564680118.064556</v>
      </c>
      <c r="S174" s="5">
        <f>IF($B173&lt;=Tabla5[[#This Row],[INVERSIONES FCI]],+Tabla5[[#This Row],[INVERSIONES FCI]]-S173,Tabla5[[#This Row],[INVERSIONES FCI]])</f>
        <v>23564680118.064556</v>
      </c>
      <c r="T174" s="5">
        <f>IF($B173&lt;=Tabla5[[#This Row],[INVERSIONES FCI]],+Tabla5[[#This Row],[INVERSIONES FCI]]-T173,Tabla5[[#This Row],[INVERSIONES FCI]])</f>
        <v>23564680118.064556</v>
      </c>
      <c r="U174" s="5">
        <f>IF($B173&lt;=Tabla5[[#This Row],[INVERSIONES FCI]],+Tabla5[[#This Row],[INVERSIONES FCI]]-U173,Tabla5[[#This Row],[INVERSIONES FCI]])</f>
        <v>23564680118.064556</v>
      </c>
      <c r="V174" s="5">
        <f>IF($B173&lt;=Tabla5[[#This Row],[INVERSIONES FCI]],+Tabla5[[#This Row],[INVERSIONES FCI]]-V173,Tabla5[[#This Row],[INVERSIONES FCI]])</f>
        <v>23564680118.064556</v>
      </c>
      <c r="W174" s="5">
        <f>IF($B173&lt;=Tabla5[[#This Row],[INVERSIONES FCI]],+Tabla5[[#This Row],[INVERSIONES FCI]]-W173,Tabla5[[#This Row],[INVERSIONES FCI]])</f>
        <v>23564680118.064556</v>
      </c>
      <c r="X174" s="5">
        <f>IF($B173&lt;=Tabla5[[#This Row],[INVERSIONES FCI]],+Tabla5[[#This Row],[INVERSIONES FCI]]-X173,Tabla5[[#This Row],[INVERSIONES FCI]])</f>
        <v>23564680118.064556</v>
      </c>
      <c r="Y174" s="5">
        <f>IF($B173&lt;=Tabla5[[#This Row],[INVERSIONES FCI]],+Tabla5[[#This Row],[INVERSIONES FCI]]-Y173,Tabla5[[#This Row],[INVERSIONES FCI]])</f>
        <v>23564680118.064556</v>
      </c>
      <c r="Z174" s="5">
        <f>IF($B173&lt;=Tabla5[[#This Row],[INVERSIONES FCI]],+Tabla5[[#This Row],[INVERSIONES FCI]]-Z173,Tabla5[[#This Row],[INVERSIONES FCI]])</f>
        <v>23564680118.064556</v>
      </c>
      <c r="AA174" s="5">
        <f>IF($B173&lt;=Tabla5[[#This Row],[INVERSIONES FCI]],+Tabla5[[#This Row],[INVERSIONES FCI]]-AA173,Tabla5[[#This Row],[INVERSIONES FCI]])</f>
        <v>23564680118.064556</v>
      </c>
      <c r="AB174" s="5">
        <f>IF($B173&lt;=Tabla5[[#This Row],[INVERSIONES FCI]],+Tabla5[[#This Row],[INVERSIONES FCI]]-AB173,Tabla5[[#This Row],[INVERSIONES FCI]])</f>
        <v>23564680118.064556</v>
      </c>
      <c r="AC174" s="5">
        <f>IF($B173&lt;=Tabla5[[#This Row],[INVERSIONES FCI]],+Tabla5[[#This Row],[INVERSIONES FCI]]-AC173,Tabla5[[#This Row],[INVERSIONES FCI]])</f>
        <v>23564680118.064556</v>
      </c>
      <c r="AD174" s="5">
        <f>IF($B173&lt;=Tabla5[[#This Row],[INVERSIONES FCI]],+Tabla5[[#This Row],[INVERSIONES FCI]]-AD173,Tabla5[[#This Row],[INVERSIONES FCI]])</f>
        <v>23564680118.064556</v>
      </c>
      <c r="AE174" s="5">
        <f>IF($B173&lt;=Tabla5[[#This Row],[INVERSIONES FCI]],+Tabla5[[#This Row],[INVERSIONES FCI]]-AE173,Tabla5[[#This Row],[INVERSIONES FCI]])</f>
        <v>23564680118.064556</v>
      </c>
      <c r="AF174" s="5">
        <f>IF($B173&lt;=Tabla5[[#This Row],[INVERSIONES FCI]],+Tabla5[[#This Row],[INVERSIONES FCI]]-AF173,Tabla5[[#This Row],[INVERSIONES FCI]])</f>
        <v>23564680118.064556</v>
      </c>
      <c r="AG174" s="5">
        <f>IF($B173&lt;=Tabla5[[#This Row],[INVERSIONES FCI]],+Tabla5[[#This Row],[INVERSIONES FCI]]-AG173,Tabla5[[#This Row],[INVERSIONES FCI]])</f>
        <v>23564680118.064556</v>
      </c>
      <c r="AH174" s="5">
        <f>IF($B173&lt;=Tabla5[[#This Row],[INVERSIONES FCI]],+Tabla5[[#This Row],[INVERSIONES FCI]]-AH173,Tabla5[[#This Row],[INVERSIONES FCI]])</f>
        <v>23564680118.064556</v>
      </c>
      <c r="AI174" s="5">
        <f>IF($B173&lt;=Tabla5[[#This Row],[INVERSIONES FCI]],+Tabla5[[#This Row],[INVERSIONES FCI]]-AI173,Tabla5[[#This Row],[INVERSIONES FCI]])</f>
        <v>23564680118.064556</v>
      </c>
      <c r="AJ174" s="5">
        <f>IF($B173&lt;=Tabla5[[#This Row],[INVERSIONES FCI]],+Tabla5[[#This Row],[INVERSIONES FCI]]-AJ173,Tabla5[[#This Row],[INVERSIONES FCI]])</f>
        <v>23564680118.064556</v>
      </c>
      <c r="AK174" s="5">
        <f>IF($B173&lt;=Tabla5[[#This Row],[INVERSIONES FCI]],+Tabla5[[#This Row],[INVERSIONES FCI]]-AK173,Tabla5[[#This Row],[INVERSIONES FCI]])</f>
        <v>23564680118.064556</v>
      </c>
      <c r="AL174" s="5">
        <f>IF($B173&lt;=Tabla5[[#This Row],[INVERSIONES FCI]],+Tabla5[[#This Row],[INVERSIONES FCI]]-AL173,Tabla5[[#This Row],[INVERSIONES FCI]])</f>
        <v>23564680118.064556</v>
      </c>
      <c r="AM174" s="5">
        <f>IF($B173&lt;=Tabla5[[#This Row],[INVERSIONES FCI]],+Tabla5[[#This Row],[INVERSIONES FCI]]-AM173,Tabla5[[#This Row],[INVERSIONES FCI]])</f>
        <v>23564680118.064556</v>
      </c>
      <c r="AN174" s="5">
        <f>IF($B173&lt;=Tabla5[[#This Row],[INVERSIONES FCI]],+Tabla5[[#This Row],[INVERSIONES FCI]]-AN173,Tabla5[[#This Row],[INVERSIONES FCI]])</f>
        <v>23564680118.064556</v>
      </c>
      <c r="AO174" s="5">
        <f>IF($B173&lt;=Tabla5[[#This Row],[INVERSIONES FCI]],+Tabla5[[#This Row],[INVERSIONES FCI]]-AO173,Tabla5[[#This Row],[INVERSIONES FCI]])</f>
        <v>23564680118.064556</v>
      </c>
      <c r="AP174" s="5">
        <f>IF($B173&lt;=Tabla5[[#This Row],[INVERSIONES FCI]],+Tabla5[[#This Row],[INVERSIONES FCI]]-AP173,Tabla5[[#This Row],[INVERSIONES FCI]])</f>
        <v>23564680118.064556</v>
      </c>
      <c r="AQ174" s="5">
        <f>IF($B173&lt;=Tabla5[[#This Row],[INVERSIONES FCI]],+Tabla5[[#This Row],[INVERSIONES FCI]]-AQ173,Tabla5[[#This Row],[INVERSIONES FCI]])</f>
        <v>23564680118.064556</v>
      </c>
      <c r="AR174" s="5">
        <f>IF($B173&lt;=Tabla5[[#This Row],[INVERSIONES FCI]],+Tabla5[[#This Row],[INVERSIONES FCI]]-AR173,Tabla5[[#This Row],[INVERSIONES FCI]])</f>
        <v>23564680118.064556</v>
      </c>
      <c r="AS174" s="5">
        <f>IF($B173&lt;=Tabla5[[#This Row],[INVERSIONES FCI]],+Tabla5[[#This Row],[INVERSIONES FCI]]-AS173,Tabla5[[#This Row],[INVERSIONES FCI]])</f>
        <v>23564680118.064556</v>
      </c>
      <c r="AT174" s="5">
        <f>IF($B173&lt;=Tabla5[[#This Row],[INVERSIONES FCI]],+Tabla5[[#This Row],[INVERSIONES FCI]]-AT173,Tabla5[[#This Row],[INVERSIONES FCI]])</f>
        <v>23564680118.064556</v>
      </c>
      <c r="AU174" s="5">
        <f>IF($B173&lt;=Tabla5[[#This Row],[INVERSIONES FCI]],+Tabla5[[#This Row],[INVERSIONES FCI]]-AU173,Tabla5[[#This Row],[INVERSIONES FCI]])</f>
        <v>23564680118.064556</v>
      </c>
      <c r="AV174" s="5">
        <f>IF($B173&lt;=Tabla5[[#This Row],[INVERSIONES FCI]],+Tabla5[[#This Row],[INVERSIONES FCI]]-AV173,Tabla5[[#This Row],[INVERSIONES FCI]])</f>
        <v>23564680118.064556</v>
      </c>
      <c r="AW174" s="5">
        <f>IF($B173&lt;=Tabla5[[#This Row],[INVERSIONES FCI]],+Tabla5[[#This Row],[INVERSIONES FCI]]-AW173,Tabla5[[#This Row],[INVERSIONES FCI]])</f>
        <v>23564680118.064556</v>
      </c>
      <c r="AX174" s="5">
        <f>IF($B173&lt;=Tabla5[[#This Row],[INVERSIONES FCI]],+Tabla5[[#This Row],[INVERSIONES FCI]]-AX173,Tabla5[[#This Row],[INVERSIONES FCI]])</f>
        <v>23564680118.064556</v>
      </c>
      <c r="AY174" s="5">
        <f>IF($B173&lt;=Tabla5[[#This Row],[INVERSIONES FCI]],+Tabla5[[#This Row],[INVERSIONES FCI]]-AY173,Tabla5[[#This Row],[INVERSIONES FCI]])</f>
        <v>23564680118.064556</v>
      </c>
      <c r="AZ174" s="5">
        <f>IF($B173&lt;=Tabla5[[#This Row],[INVERSIONES FCI]],+Tabla5[[#This Row],[INVERSIONES FCI]]-AZ173,Tabla5[[#This Row],[INVERSIONES FCI]])</f>
        <v>23564680118.064556</v>
      </c>
      <c r="BA174" s="5">
        <f>IF($B173&lt;=Tabla5[[#This Row],[INVERSIONES FCI]],+Tabla5[[#This Row],[INVERSIONES FCI]]-BA173,Tabla5[[#This Row],[INVERSIONES FCI]])</f>
        <v>23564680118.064556</v>
      </c>
      <c r="BB174" s="5">
        <f>IF($B173&lt;=Tabla5[[#This Row],[INVERSIONES FCI]],+Tabla5[[#This Row],[INVERSIONES FCI]]-BB173,Tabla5[[#This Row],[INVERSIONES FCI]])</f>
        <v>23564680118.064556</v>
      </c>
      <c r="BC174" s="5">
        <f>IF($B173&lt;=Tabla5[[#This Row],[INVERSIONES FCI]],+Tabla5[[#This Row],[INVERSIONES FCI]]-BC173,Tabla5[[#This Row],[INVERSIONES FCI]])</f>
        <v>23564680118.064556</v>
      </c>
      <c r="BD174" s="5">
        <f>IF($B173&lt;=Tabla5[[#This Row],[INVERSIONES FCI]],+Tabla5[[#This Row],[INVERSIONES FCI]]-BD173,Tabla5[[#This Row],[INVERSIONES FCI]])</f>
        <v>23564680118.064556</v>
      </c>
      <c r="BE174" s="5">
        <f>IF($B173&lt;=Tabla5[[#This Row],[INVERSIONES FCI]],+Tabla5[[#This Row],[INVERSIONES FCI]]-BE173,Tabla5[[#This Row],[INVERSIONES FCI]])</f>
        <v>23564680118.064556</v>
      </c>
      <c r="BF174" s="5">
        <f>IF($B173&lt;=Tabla5[[#This Row],[INVERSIONES FCI]],+Tabla5[[#This Row],[INVERSIONES FCI]]-BF173,Tabla5[[#This Row],[INVERSIONES FCI]])</f>
        <v>23564680118.064556</v>
      </c>
      <c r="BG174" s="5">
        <f>IF($B173&lt;=Tabla5[[#This Row],[INVERSIONES FCI]],+Tabla5[[#This Row],[INVERSIONES FCI]]-BG173,Tabla5[[#This Row],[INVERSIONES FCI]])</f>
        <v>23564680118.064556</v>
      </c>
      <c r="BH174" s="5">
        <f>IF($B173&lt;=Tabla5[[#This Row],[INVERSIONES FCI]],+Tabla5[[#This Row],[INVERSIONES FCI]]-BH173,Tabla5[[#This Row],[INVERSIONES FCI]])</f>
        <v>23564680118.064556</v>
      </c>
      <c r="BI174" s="5">
        <f>IF($B173&lt;=Tabla5[[#This Row],[INVERSIONES FCI]],+Tabla5[[#This Row],[INVERSIONES FCI]]-BI173,Tabla5[[#This Row],[INVERSIONES FCI]])</f>
        <v>23564680118.064556</v>
      </c>
      <c r="BJ174" s="5">
        <f>IF($B173&lt;=Tabla5[[#This Row],[INVERSIONES FCI]],+Tabla5[[#This Row],[INVERSIONES FCI]]-BJ173,Tabla5[[#This Row],[INVERSIONES FCI]])</f>
        <v>23564680118.064556</v>
      </c>
      <c r="BK174" s="5">
        <f>IF($B173&lt;=Tabla5[[#This Row],[INVERSIONES FCI]],+Tabla5[[#This Row],[INVERSIONES FCI]]-BK173,Tabla5[[#This Row],[INVERSIONES FCI]])</f>
        <v>23564680118.064556</v>
      </c>
      <c r="BL174" s="5">
        <f>IF($B173&lt;=Tabla5[[#This Row],[INVERSIONES FCI]],+Tabla5[[#This Row],[INVERSIONES FCI]]-BL173,Tabla5[[#This Row],[INVERSIONES FCI]])</f>
        <v>23564680118.064556</v>
      </c>
      <c r="BM174" s="5">
        <f>IF($B173&lt;=Tabla5[[#This Row],[INVERSIONES FCI]],+Tabla5[[#This Row],[INVERSIONES FCI]]-BM173,Tabla5[[#This Row],[INVERSIONES FCI]])</f>
        <v>23564680118.064556</v>
      </c>
      <c r="BN174" s="5">
        <f>IF($B173&lt;=Tabla5[[#This Row],[INVERSIONES FCI]],+Tabla5[[#This Row],[INVERSIONES FCI]]-BN173,Tabla5[[#This Row],[INVERSIONES FCI]])</f>
        <v>23564680118.064556</v>
      </c>
      <c r="BO174" s="5">
        <f>IF($B173&lt;=Tabla5[[#This Row],[INVERSIONES FCI]],+Tabla5[[#This Row],[INVERSIONES FCI]]-BO173,Tabla5[[#This Row],[INVERSIONES FCI]])</f>
        <v>23564680118.064556</v>
      </c>
      <c r="BP174" s="5">
        <f>IF($B173&lt;=Tabla5[[#This Row],[INVERSIONES FCI]],+Tabla5[[#This Row],[INVERSIONES FCI]]-BP173,Tabla5[[#This Row],[INVERSIONES FCI]])</f>
        <v>23564680118.064556</v>
      </c>
      <c r="BQ174" s="5">
        <f>IF($B173&lt;=Tabla5[[#This Row],[INVERSIONES FCI]],+Tabla5[[#This Row],[INVERSIONES FCI]]-BQ173,Tabla5[[#This Row],[INVERSIONES FCI]])</f>
        <v>23564680118.064556</v>
      </c>
      <c r="BR174" s="5">
        <f>IF($B173&lt;=Tabla5[[#This Row],[INVERSIONES FCI]],+Tabla5[[#This Row],[INVERSIONES FCI]]-BR173,Tabla5[[#This Row],[INVERSIONES FCI]])</f>
        <v>23564680118.064556</v>
      </c>
      <c r="BS174" s="5">
        <f>IF($B173&lt;=Tabla5[[#This Row],[INVERSIONES FCI]],+Tabla5[[#This Row],[INVERSIONES FCI]]-BS173,Tabla5[[#This Row],[INVERSIONES FCI]])</f>
        <v>23564680118.064556</v>
      </c>
      <c r="BT174" s="5">
        <f>IF($B173&lt;=Tabla5[[#This Row],[INVERSIONES FCI]],+Tabla5[[#This Row],[INVERSIONES FCI]]-BT173,Tabla5[[#This Row],[INVERSIONES FCI]])</f>
        <v>23564680118.064556</v>
      </c>
      <c r="BU174" s="5">
        <f>IF($B173&lt;=Tabla5[[#This Row],[INVERSIONES FCI]],+Tabla5[[#This Row],[INVERSIONES FCI]]-BU173,Tabla5[[#This Row],[INVERSIONES FCI]])</f>
        <v>23564680118.064556</v>
      </c>
      <c r="BV174" s="5">
        <f>IF($B173&lt;=Tabla5[[#This Row],[INVERSIONES FCI]],+Tabla5[[#This Row],[INVERSIONES FCI]]-BV173,Tabla5[[#This Row],[INVERSIONES FCI]])</f>
        <v>23564680118.064556</v>
      </c>
      <c r="BW174" s="5">
        <f>IF($B173&lt;=Tabla5[[#This Row],[INVERSIONES FCI]],+Tabla5[[#This Row],[INVERSIONES FCI]]-BW173,Tabla5[[#This Row],[INVERSIONES FCI]])</f>
        <v>23564680118.064556</v>
      </c>
      <c r="BX174" s="5">
        <f>IF($B173&lt;=Tabla5[[#This Row],[INVERSIONES FCI]],+Tabla5[[#This Row],[INVERSIONES FCI]]-BX173,Tabla5[[#This Row],[INVERSIONES FCI]])</f>
        <v>23564680118.064556</v>
      </c>
      <c r="BY174" s="5">
        <f>IF($B173&lt;=Tabla5[[#This Row],[INVERSIONES FCI]],+Tabla5[[#This Row],[INVERSIONES FCI]]-BY173,Tabla5[[#This Row],[INVERSIONES FCI]])</f>
        <v>23564680118.064556</v>
      </c>
      <c r="BZ174" s="5">
        <f>IF($B173&lt;=Tabla5[[#This Row],[INVERSIONES FCI]],+Tabla5[[#This Row],[INVERSIONES FCI]]-BZ173,Tabla5[[#This Row],[INVERSIONES FCI]])</f>
        <v>23564680118.064556</v>
      </c>
      <c r="CA174" s="5">
        <f>IF($B173&lt;=Tabla5[[#This Row],[INVERSIONES FCI]],+Tabla5[[#This Row],[INVERSIONES FCI]]-CA173,Tabla5[[#This Row],[INVERSIONES FCI]])</f>
        <v>23564680118.064556</v>
      </c>
      <c r="CB174" s="5">
        <f>IF($B173&lt;=Tabla5[[#This Row],[INVERSIONES FCI]],+Tabla5[[#This Row],[INVERSIONES FCI]]-CB173,Tabla5[[#This Row],[INVERSIONES FCI]])</f>
        <v>23564680118.064556</v>
      </c>
      <c r="CC174" s="5">
        <f>IF($B173&lt;=Tabla5[[#This Row],[INVERSIONES FCI]],+Tabla5[[#This Row],[INVERSIONES FCI]]-CC173,Tabla5[[#This Row],[INVERSIONES FCI]])</f>
        <v>23564680118.064556</v>
      </c>
      <c r="CD174" s="5">
        <f>IF($B173&lt;=Tabla5[[#This Row],[INVERSIONES FCI]],+Tabla5[[#This Row],[INVERSIONES FCI]]-CD173,Tabla5[[#This Row],[INVERSIONES FCI]])</f>
        <v>23564680118.064556</v>
      </c>
      <c r="CE174" s="5">
        <f>IF($B173&lt;=Tabla5[[#This Row],[INVERSIONES FCI]],+Tabla5[[#This Row],[INVERSIONES FCI]]-CE173,Tabla5[[#This Row],[INVERSIONES FCI]])</f>
        <v>23564680118.064556</v>
      </c>
      <c r="CF174" s="5">
        <f>IF($B173&lt;=Tabla5[[#This Row],[INVERSIONES FCI]],+Tabla5[[#This Row],[INVERSIONES FCI]]-CF173,Tabla5[[#This Row],[INVERSIONES FCI]])</f>
        <v>23564680118.064556</v>
      </c>
      <c r="CG174" s="5">
        <f>IF($B173&lt;=Tabla5[[#This Row],[INVERSIONES FCI]],+Tabla5[[#This Row],[INVERSIONES FCI]]-CG173,Tabla5[[#This Row],[INVERSIONES FCI]])</f>
        <v>23564680118.064556</v>
      </c>
      <c r="CH174" s="5">
        <f>IF($B173&lt;=Tabla5[[#This Row],[INVERSIONES FCI]],+Tabla5[[#This Row],[INVERSIONES FCI]]-CH173,Tabla5[[#This Row],[INVERSIONES FCI]])</f>
        <v>23564680118.064556</v>
      </c>
      <c r="CI174" s="5">
        <f>IF($B173&lt;=Tabla5[[#This Row],[INVERSIONES FCI]],+Tabla5[[#This Row],[INVERSIONES FCI]]-CI173,Tabla5[[#This Row],[INVERSIONES FCI]])</f>
        <v>23564680118.064556</v>
      </c>
      <c r="CJ174" s="5">
        <f>IF($B173&lt;=Tabla5[[#This Row],[INVERSIONES FCI]],+Tabla5[[#This Row],[INVERSIONES FCI]]-CJ173,Tabla5[[#This Row],[INVERSIONES FCI]])</f>
        <v>23564680118.064556</v>
      </c>
      <c r="CK174" s="5">
        <f>IF($B173&lt;=Tabla5[[#This Row],[INVERSIONES FCI]],+Tabla5[[#This Row],[INVERSIONES FCI]]-CK173,Tabla5[[#This Row],[INVERSIONES FCI]])</f>
        <v>23564680118.064556</v>
      </c>
      <c r="CL174" s="5">
        <f>IF($B173&lt;=Tabla5[[#This Row],[INVERSIONES FCI]],+Tabla5[[#This Row],[INVERSIONES FCI]]-CL173,Tabla5[[#This Row],[INVERSIONES FCI]])</f>
        <v>23564680118.064556</v>
      </c>
      <c r="CM174" s="5">
        <f>IF($B173&lt;=Tabla5[[#This Row],[INVERSIONES FCI]],+Tabla5[[#This Row],[INVERSIONES FCI]]-CM173,Tabla5[[#This Row],[INVERSIONES FCI]])</f>
        <v>23564680118.064556</v>
      </c>
      <c r="CN174" s="5">
        <f>IF($B173&lt;=Tabla5[[#This Row],[INVERSIONES FCI]],+Tabla5[[#This Row],[INVERSIONES FCI]]-CN173,Tabla5[[#This Row],[INVERSIONES FCI]])</f>
        <v>23564680118.064556</v>
      </c>
      <c r="CO174" s="5">
        <f>IF($B173&lt;=Tabla5[[#This Row],[INVERSIONES FCI]],+Tabla5[[#This Row],[INVERSIONES FCI]]-CO173,Tabla5[[#This Row],[INVERSIONES FCI]])</f>
        <v>23564680118.064556</v>
      </c>
      <c r="CP174" s="5">
        <f>IF($B173&lt;=Tabla5[[#This Row],[INVERSIONES FCI]],+Tabla5[[#This Row],[INVERSIONES FCI]]-CP173,Tabla5[[#This Row],[INVERSIONES FCI]])</f>
        <v>23564680118.064556</v>
      </c>
      <c r="CQ174" s="5">
        <f>IF($B173&lt;=Tabla5[[#This Row],[INVERSIONES FCI]],+Tabla5[[#This Row],[INVERSIONES FCI]]-CQ173,Tabla5[[#This Row],[INVERSIONES FCI]])</f>
        <v>23564680118.064556</v>
      </c>
      <c r="CR174" s="5">
        <f>IF($B173&lt;=Tabla5[[#This Row],[INVERSIONES FCI]],+Tabla5[[#This Row],[INVERSIONES FCI]]-CR173,Tabla5[[#This Row],[INVERSIONES FCI]])</f>
        <v>23564680118.064556</v>
      </c>
      <c r="CS174" s="5">
        <f>IF($B173&lt;=Tabla5[[#This Row],[INVERSIONES FCI]],+Tabla5[[#This Row],[INVERSIONES FCI]]-CS173,Tabla5[[#This Row],[INVERSIONES FCI]])</f>
        <v>23564680118.064556</v>
      </c>
      <c r="CT174" s="5">
        <f>IF($B173&lt;=Tabla5[[#This Row],[INVERSIONES FCI]],+Tabla5[[#This Row],[INVERSIONES FCI]]-CT173,Tabla5[[#This Row],[INVERSIONES FCI]])</f>
        <v>23564680118.064556</v>
      </c>
      <c r="CU174" s="5">
        <f>IF($B173&lt;=Tabla5[[#This Row],[INVERSIONES FCI]],+Tabla5[[#This Row],[INVERSIONES FCI]]-CU173,Tabla5[[#This Row],[INVERSIONES FCI]])</f>
        <v>23564680118.064556</v>
      </c>
      <c r="CV174" s="5">
        <f>IF($B173&lt;=Tabla5[[#This Row],[INVERSIONES FCI]],+Tabla5[[#This Row],[INVERSIONES FCI]]-CV173,Tabla5[[#This Row],[INVERSIONES FCI]])</f>
        <v>23564680118.064556</v>
      </c>
      <c r="CW174" s="5">
        <f>IF($B173&lt;=Tabla5[[#This Row],[INVERSIONES FCI]],+Tabla5[[#This Row],[INVERSIONES FCI]]-CW173,Tabla5[[#This Row],[INVERSIONES FCI]])</f>
        <v>23564680118.064556</v>
      </c>
      <c r="CX174" s="5">
        <f>IF($B173&lt;=Tabla5[[#This Row],[INVERSIONES FCI]],+Tabla5[[#This Row],[INVERSIONES FCI]]-CX173,Tabla5[[#This Row],[INVERSIONES FCI]])</f>
        <v>23564680118.064556</v>
      </c>
      <c r="CY174" s="5">
        <f>IF($B173&lt;=Tabla5[[#This Row],[INVERSIONES FCI]],+Tabla5[[#This Row],[INVERSIONES FCI]]-CY173,Tabla5[[#This Row],[INVERSIONES FCI]])</f>
        <v>23564680118.064556</v>
      </c>
      <c r="CZ174" s="5">
        <f>IF($B173&lt;=Tabla5[[#This Row],[INVERSIONES FCI]],+Tabla5[[#This Row],[INVERSIONES FCI]]-CZ173,Tabla5[[#This Row],[INVERSIONES FCI]])</f>
        <v>23564680118.064556</v>
      </c>
      <c r="DA174" s="5">
        <f>IF($B173&lt;=Tabla5[[#This Row],[INVERSIONES FCI]],+Tabla5[[#This Row],[INVERSIONES FCI]]-DA173,Tabla5[[#This Row],[INVERSIONES FCI]])</f>
        <v>23564680118.064556</v>
      </c>
      <c r="DB174" s="5">
        <f>IF($B173&lt;=Tabla5[[#This Row],[INVERSIONES FCI]],+Tabla5[[#This Row],[INVERSIONES FCI]]-DB173,Tabla5[[#This Row],[INVERSIONES FCI]])</f>
        <v>23564680118.064556</v>
      </c>
      <c r="DC174" s="5">
        <f>IF($B173&lt;=Tabla5[[#This Row],[INVERSIONES FCI]],+Tabla5[[#This Row],[INVERSIONES FCI]]-DC173,Tabla5[[#This Row],[INVERSIONES FCI]])</f>
        <v>23564680118.064556</v>
      </c>
      <c r="DD174" s="5">
        <f>IF($B173&lt;=Tabla5[[#This Row],[INVERSIONES FCI]],+Tabla5[[#This Row],[INVERSIONES FCI]]-DD173,Tabla5[[#This Row],[INVERSIONES FCI]])</f>
        <v>23564680118.064556</v>
      </c>
      <c r="DE174" s="5">
        <f>IF($B173&lt;=Tabla5[[#This Row],[INVERSIONES FCI]],+Tabla5[[#This Row],[INVERSIONES FCI]]-DE173,Tabla5[[#This Row],[INVERSIONES FCI]])</f>
        <v>23564680118.064556</v>
      </c>
      <c r="DF174" s="5">
        <f>IF($B173&lt;=Tabla5[[#This Row],[INVERSIONES FCI]],+Tabla5[[#This Row],[INVERSIONES FCI]]-DF173,Tabla5[[#This Row],[INVERSIONES FCI]])</f>
        <v>23564680118.064556</v>
      </c>
      <c r="DG174" s="5">
        <f>IF($B173&lt;=Tabla5[[#This Row],[INVERSIONES FCI]],+Tabla5[[#This Row],[INVERSIONES FCI]]-DG173,Tabla5[[#This Row],[INVERSIONES FCI]])</f>
        <v>23564680118.064556</v>
      </c>
      <c r="DH174" s="5">
        <f>IF($B173&lt;=Tabla5[[#This Row],[INVERSIONES FCI]],+Tabla5[[#This Row],[INVERSIONES FCI]]-DH173,Tabla5[[#This Row],[INVERSIONES FCI]])</f>
        <v>23564680118.064556</v>
      </c>
      <c r="DI174" s="5">
        <f>IF($B173&lt;=Tabla5[[#This Row],[INVERSIONES FCI]],+Tabla5[[#This Row],[INVERSIONES FCI]]-DI173,Tabla5[[#This Row],[INVERSIONES FCI]])</f>
        <v>23564680118.064556</v>
      </c>
      <c r="DJ174" s="5">
        <f>IF($B173&lt;=Tabla5[[#This Row],[INVERSIONES FCI]],+Tabla5[[#This Row],[INVERSIONES FCI]]-DJ173,Tabla5[[#This Row],[INVERSIONES FCI]])</f>
        <v>23564680118.064556</v>
      </c>
      <c r="DK174" s="5">
        <f>IF($B173&lt;=Tabla5[[#This Row],[INVERSIONES FCI]],+Tabla5[[#This Row],[INVERSIONES FCI]]-DK173,Tabla5[[#This Row],[INVERSIONES FCI]])</f>
        <v>23564680118.064556</v>
      </c>
      <c r="DL174" s="5"/>
      <c r="DM174" s="5"/>
      <c r="DN174" s="5"/>
      <c r="DO174" s="5"/>
      <c r="DP174" s="5"/>
      <c r="DQ174" s="5"/>
    </row>
    <row r="175" spans="1:121" ht="14.4">
      <c r="A175" s="12" t="s">
        <v>174</v>
      </c>
      <c r="B175" s="5">
        <f>HLOOKUP($A175,ESCENARIO[#All],7,FALSE)</f>
        <v>40339752399.550919</v>
      </c>
      <c r="C175" s="5">
        <f>IF($B174&lt;=Tabla5[[#This Row],[INVERSIONES FCI]],+Tabla5[[#This Row],[INVERSIONES FCI]]-C174,Tabla5[[#This Row],[INVERSIONES FCI]])</f>
        <v>16775072281.486362</v>
      </c>
      <c r="D175" s="5">
        <f>IF($B174&lt;=Tabla5[[#This Row],[INVERSIONES FCI]],+Tabla5[[#This Row],[INVERSIONES FCI]]-D174,Tabla5[[#This Row],[INVERSIONES FCI]])</f>
        <v>16775072281.486362</v>
      </c>
      <c r="E175" s="5">
        <f>IF($B174&lt;=Tabla5[[#This Row],[INVERSIONES FCI]],+Tabla5[[#This Row],[INVERSIONES FCI]]-E174,Tabla5[[#This Row],[INVERSIONES FCI]])</f>
        <v>16775072281.486362</v>
      </c>
      <c r="F175" s="5">
        <f>IF($B174&lt;=Tabla5[[#This Row],[INVERSIONES FCI]],+Tabla5[[#This Row],[INVERSIONES FCI]]-F174,Tabla5[[#This Row],[INVERSIONES FCI]])</f>
        <v>16775072281.486362</v>
      </c>
      <c r="G175" s="5">
        <f>IF($B174&lt;=Tabla5[[#This Row],[INVERSIONES FCI]],+Tabla5[[#This Row],[INVERSIONES FCI]]-G174,Tabla5[[#This Row],[INVERSIONES FCI]])</f>
        <v>16775072281.486362</v>
      </c>
      <c r="H175" s="5">
        <f>IF($B174&lt;=Tabla5[[#This Row],[INVERSIONES FCI]],+Tabla5[[#This Row],[INVERSIONES FCI]]-H174,Tabla5[[#This Row],[INVERSIONES FCI]])</f>
        <v>16775072281.486362</v>
      </c>
      <c r="I175" s="5">
        <f>IF($B174&lt;=Tabla5[[#This Row],[INVERSIONES FCI]],+Tabla5[[#This Row],[INVERSIONES FCI]]-I174,Tabla5[[#This Row],[INVERSIONES FCI]])</f>
        <v>16775072281.486362</v>
      </c>
      <c r="J175" s="5">
        <f>IF($B174&lt;=Tabla5[[#This Row],[INVERSIONES FCI]],+Tabla5[[#This Row],[INVERSIONES FCI]]-J174,Tabla5[[#This Row],[INVERSIONES FCI]])</f>
        <v>16775072281.486362</v>
      </c>
      <c r="K175" s="5">
        <f>IF($B174&lt;=Tabla5[[#This Row],[INVERSIONES FCI]],+Tabla5[[#This Row],[INVERSIONES FCI]]-K174,Tabla5[[#This Row],[INVERSIONES FCI]])</f>
        <v>16775072281.486362</v>
      </c>
      <c r="L175" s="5">
        <f>IF($B174&lt;=Tabla5[[#This Row],[INVERSIONES FCI]],+Tabla5[[#This Row],[INVERSIONES FCI]]-L174,Tabla5[[#This Row],[INVERSIONES FCI]])</f>
        <v>16775072281.486362</v>
      </c>
      <c r="M175" s="5">
        <f>IF($B174&lt;=Tabla5[[#This Row],[INVERSIONES FCI]],+Tabla5[[#This Row],[INVERSIONES FCI]]-M174,Tabla5[[#This Row],[INVERSIONES FCI]])</f>
        <v>16775072281.486362</v>
      </c>
      <c r="N175" s="5">
        <f>IF($B174&lt;=Tabla5[[#This Row],[INVERSIONES FCI]],+Tabla5[[#This Row],[INVERSIONES FCI]]-N174,Tabla5[[#This Row],[INVERSIONES FCI]])</f>
        <v>16775072281.486362</v>
      </c>
      <c r="O175" s="5">
        <f>IF($B174&lt;=Tabla5[[#This Row],[INVERSIONES FCI]],+Tabla5[[#This Row],[INVERSIONES FCI]]-O174,Tabla5[[#This Row],[INVERSIONES FCI]])</f>
        <v>16775072281.486362</v>
      </c>
      <c r="P175" s="5">
        <f>IF($B174&lt;=Tabla5[[#This Row],[INVERSIONES FCI]],+Tabla5[[#This Row],[INVERSIONES FCI]]-P174,Tabla5[[#This Row],[INVERSIONES FCI]])</f>
        <v>16775072281.486362</v>
      </c>
      <c r="Q175" s="5">
        <f>IF($B174&lt;=Tabla5[[#This Row],[INVERSIONES FCI]],+Tabla5[[#This Row],[INVERSIONES FCI]]-Q174,Tabla5[[#This Row],[INVERSIONES FCI]])</f>
        <v>16775072281.486362</v>
      </c>
      <c r="R175" s="5">
        <f>IF($B174&lt;=Tabla5[[#This Row],[INVERSIONES FCI]],+Tabla5[[#This Row],[INVERSIONES FCI]]-R174,Tabla5[[#This Row],[INVERSIONES FCI]])</f>
        <v>16775072281.486362</v>
      </c>
      <c r="S175" s="5">
        <f>IF($B174&lt;=Tabla5[[#This Row],[INVERSIONES FCI]],+Tabla5[[#This Row],[INVERSIONES FCI]]-S174,Tabla5[[#This Row],[INVERSIONES FCI]])</f>
        <v>16775072281.486362</v>
      </c>
      <c r="T175" s="5">
        <f>IF($B174&lt;=Tabla5[[#This Row],[INVERSIONES FCI]],+Tabla5[[#This Row],[INVERSIONES FCI]]-T174,Tabla5[[#This Row],[INVERSIONES FCI]])</f>
        <v>16775072281.486362</v>
      </c>
      <c r="U175" s="5">
        <f>IF($B174&lt;=Tabla5[[#This Row],[INVERSIONES FCI]],+Tabla5[[#This Row],[INVERSIONES FCI]]-U174,Tabla5[[#This Row],[INVERSIONES FCI]])</f>
        <v>16775072281.486362</v>
      </c>
      <c r="V175" s="5">
        <f>IF($B174&lt;=Tabla5[[#This Row],[INVERSIONES FCI]],+Tabla5[[#This Row],[INVERSIONES FCI]]-V174,Tabla5[[#This Row],[INVERSIONES FCI]])</f>
        <v>16775072281.486362</v>
      </c>
      <c r="W175" s="5">
        <f>IF($B174&lt;=Tabla5[[#This Row],[INVERSIONES FCI]],+Tabla5[[#This Row],[INVERSIONES FCI]]-W174,Tabla5[[#This Row],[INVERSIONES FCI]])</f>
        <v>16775072281.486362</v>
      </c>
      <c r="X175" s="5">
        <f>IF($B174&lt;=Tabla5[[#This Row],[INVERSIONES FCI]],+Tabla5[[#This Row],[INVERSIONES FCI]]-X174,Tabla5[[#This Row],[INVERSIONES FCI]])</f>
        <v>16775072281.486362</v>
      </c>
      <c r="Y175" s="5">
        <f>IF($B174&lt;=Tabla5[[#This Row],[INVERSIONES FCI]],+Tabla5[[#This Row],[INVERSIONES FCI]]-Y174,Tabla5[[#This Row],[INVERSIONES FCI]])</f>
        <v>16775072281.486362</v>
      </c>
      <c r="Z175" s="5">
        <f>IF($B174&lt;=Tabla5[[#This Row],[INVERSIONES FCI]],+Tabla5[[#This Row],[INVERSIONES FCI]]-Z174,Tabla5[[#This Row],[INVERSIONES FCI]])</f>
        <v>16775072281.486362</v>
      </c>
      <c r="AA175" s="5">
        <f>IF($B174&lt;=Tabla5[[#This Row],[INVERSIONES FCI]],+Tabla5[[#This Row],[INVERSIONES FCI]]-AA174,Tabla5[[#This Row],[INVERSIONES FCI]])</f>
        <v>16775072281.486362</v>
      </c>
      <c r="AB175" s="5">
        <f>IF($B174&lt;=Tabla5[[#This Row],[INVERSIONES FCI]],+Tabla5[[#This Row],[INVERSIONES FCI]]-AB174,Tabla5[[#This Row],[INVERSIONES FCI]])</f>
        <v>16775072281.486362</v>
      </c>
      <c r="AC175" s="5">
        <f>IF($B174&lt;=Tabla5[[#This Row],[INVERSIONES FCI]],+Tabla5[[#This Row],[INVERSIONES FCI]]-AC174,Tabla5[[#This Row],[INVERSIONES FCI]])</f>
        <v>16775072281.486362</v>
      </c>
      <c r="AD175" s="5">
        <f>IF($B174&lt;=Tabla5[[#This Row],[INVERSIONES FCI]],+Tabla5[[#This Row],[INVERSIONES FCI]]-AD174,Tabla5[[#This Row],[INVERSIONES FCI]])</f>
        <v>16775072281.486362</v>
      </c>
      <c r="AE175" s="5">
        <f>IF($B174&lt;=Tabla5[[#This Row],[INVERSIONES FCI]],+Tabla5[[#This Row],[INVERSIONES FCI]]-AE174,Tabla5[[#This Row],[INVERSIONES FCI]])</f>
        <v>16775072281.486362</v>
      </c>
      <c r="AF175" s="5">
        <f>IF($B174&lt;=Tabla5[[#This Row],[INVERSIONES FCI]],+Tabla5[[#This Row],[INVERSIONES FCI]]-AF174,Tabla5[[#This Row],[INVERSIONES FCI]])</f>
        <v>16775072281.486362</v>
      </c>
      <c r="AG175" s="5">
        <f>IF($B174&lt;=Tabla5[[#This Row],[INVERSIONES FCI]],+Tabla5[[#This Row],[INVERSIONES FCI]]-AG174,Tabla5[[#This Row],[INVERSIONES FCI]])</f>
        <v>16775072281.486362</v>
      </c>
      <c r="AH175" s="5">
        <f>IF($B174&lt;=Tabla5[[#This Row],[INVERSIONES FCI]],+Tabla5[[#This Row],[INVERSIONES FCI]]-AH174,Tabla5[[#This Row],[INVERSIONES FCI]])</f>
        <v>16775072281.486362</v>
      </c>
      <c r="AI175" s="5">
        <f>IF($B174&lt;=Tabla5[[#This Row],[INVERSIONES FCI]],+Tabla5[[#This Row],[INVERSIONES FCI]]-AI174,Tabla5[[#This Row],[INVERSIONES FCI]])</f>
        <v>16775072281.486362</v>
      </c>
      <c r="AJ175" s="5">
        <f>IF($B174&lt;=Tabla5[[#This Row],[INVERSIONES FCI]],+Tabla5[[#This Row],[INVERSIONES FCI]]-AJ174,Tabla5[[#This Row],[INVERSIONES FCI]])</f>
        <v>16775072281.486362</v>
      </c>
      <c r="AK175" s="5">
        <f>IF($B174&lt;=Tabla5[[#This Row],[INVERSIONES FCI]],+Tabla5[[#This Row],[INVERSIONES FCI]]-AK174,Tabla5[[#This Row],[INVERSIONES FCI]])</f>
        <v>16775072281.486362</v>
      </c>
      <c r="AL175" s="5">
        <f>IF($B174&lt;=Tabla5[[#This Row],[INVERSIONES FCI]],+Tabla5[[#This Row],[INVERSIONES FCI]]-AL174,Tabla5[[#This Row],[INVERSIONES FCI]])</f>
        <v>16775072281.486362</v>
      </c>
      <c r="AM175" s="5">
        <f>IF($B174&lt;=Tabla5[[#This Row],[INVERSIONES FCI]],+Tabla5[[#This Row],[INVERSIONES FCI]]-AM174,Tabla5[[#This Row],[INVERSIONES FCI]])</f>
        <v>16775072281.486362</v>
      </c>
      <c r="AN175" s="5">
        <f>IF($B174&lt;=Tabla5[[#This Row],[INVERSIONES FCI]],+Tabla5[[#This Row],[INVERSIONES FCI]]-AN174,Tabla5[[#This Row],[INVERSIONES FCI]])</f>
        <v>16775072281.486362</v>
      </c>
      <c r="AO175" s="5">
        <f>IF($B174&lt;=Tabla5[[#This Row],[INVERSIONES FCI]],+Tabla5[[#This Row],[INVERSIONES FCI]]-AO174,Tabla5[[#This Row],[INVERSIONES FCI]])</f>
        <v>16775072281.486362</v>
      </c>
      <c r="AP175" s="5">
        <f>IF($B174&lt;=Tabla5[[#This Row],[INVERSIONES FCI]],+Tabla5[[#This Row],[INVERSIONES FCI]]-AP174,Tabla5[[#This Row],[INVERSIONES FCI]])</f>
        <v>16775072281.486362</v>
      </c>
      <c r="AQ175" s="5">
        <f>IF($B174&lt;=Tabla5[[#This Row],[INVERSIONES FCI]],+Tabla5[[#This Row],[INVERSIONES FCI]]-AQ174,Tabla5[[#This Row],[INVERSIONES FCI]])</f>
        <v>16775072281.486362</v>
      </c>
      <c r="AR175" s="5">
        <f>IF($B174&lt;=Tabla5[[#This Row],[INVERSIONES FCI]],+Tabla5[[#This Row],[INVERSIONES FCI]]-AR174,Tabla5[[#This Row],[INVERSIONES FCI]])</f>
        <v>16775072281.486362</v>
      </c>
      <c r="AS175" s="5">
        <f>IF($B174&lt;=Tabla5[[#This Row],[INVERSIONES FCI]],+Tabla5[[#This Row],[INVERSIONES FCI]]-AS174,Tabla5[[#This Row],[INVERSIONES FCI]])</f>
        <v>16775072281.486362</v>
      </c>
      <c r="AT175" s="5">
        <f>IF($B174&lt;=Tabla5[[#This Row],[INVERSIONES FCI]],+Tabla5[[#This Row],[INVERSIONES FCI]]-AT174,Tabla5[[#This Row],[INVERSIONES FCI]])</f>
        <v>16775072281.486362</v>
      </c>
      <c r="AU175" s="5">
        <f>IF($B174&lt;=Tabla5[[#This Row],[INVERSIONES FCI]],+Tabla5[[#This Row],[INVERSIONES FCI]]-AU174,Tabla5[[#This Row],[INVERSIONES FCI]])</f>
        <v>16775072281.486362</v>
      </c>
      <c r="AV175" s="5">
        <f>IF($B174&lt;=Tabla5[[#This Row],[INVERSIONES FCI]],+Tabla5[[#This Row],[INVERSIONES FCI]]-AV174,Tabla5[[#This Row],[INVERSIONES FCI]])</f>
        <v>16775072281.486362</v>
      </c>
      <c r="AW175" s="5">
        <f>IF($B174&lt;=Tabla5[[#This Row],[INVERSIONES FCI]],+Tabla5[[#This Row],[INVERSIONES FCI]]-AW174,Tabla5[[#This Row],[INVERSIONES FCI]])</f>
        <v>16775072281.486362</v>
      </c>
      <c r="AX175" s="5">
        <f>IF($B174&lt;=Tabla5[[#This Row],[INVERSIONES FCI]],+Tabla5[[#This Row],[INVERSIONES FCI]]-AX174,Tabla5[[#This Row],[INVERSIONES FCI]])</f>
        <v>16775072281.486362</v>
      </c>
      <c r="AY175" s="5">
        <f>IF($B174&lt;=Tabla5[[#This Row],[INVERSIONES FCI]],+Tabla5[[#This Row],[INVERSIONES FCI]]-AY174,Tabla5[[#This Row],[INVERSIONES FCI]])</f>
        <v>16775072281.486362</v>
      </c>
      <c r="AZ175" s="5">
        <f>IF($B174&lt;=Tabla5[[#This Row],[INVERSIONES FCI]],+Tabla5[[#This Row],[INVERSIONES FCI]]-AZ174,Tabla5[[#This Row],[INVERSIONES FCI]])</f>
        <v>16775072281.486362</v>
      </c>
      <c r="BA175" s="5">
        <f>IF($B174&lt;=Tabla5[[#This Row],[INVERSIONES FCI]],+Tabla5[[#This Row],[INVERSIONES FCI]]-BA174,Tabla5[[#This Row],[INVERSIONES FCI]])</f>
        <v>16775072281.486362</v>
      </c>
      <c r="BB175" s="5">
        <f>IF($B174&lt;=Tabla5[[#This Row],[INVERSIONES FCI]],+Tabla5[[#This Row],[INVERSIONES FCI]]-BB174,Tabla5[[#This Row],[INVERSIONES FCI]])</f>
        <v>16775072281.486362</v>
      </c>
      <c r="BC175" s="5">
        <f>IF($B174&lt;=Tabla5[[#This Row],[INVERSIONES FCI]],+Tabla5[[#This Row],[INVERSIONES FCI]]-BC174,Tabla5[[#This Row],[INVERSIONES FCI]])</f>
        <v>16775072281.486362</v>
      </c>
      <c r="BD175" s="5">
        <f>IF($B174&lt;=Tabla5[[#This Row],[INVERSIONES FCI]],+Tabla5[[#This Row],[INVERSIONES FCI]]-BD174,Tabla5[[#This Row],[INVERSIONES FCI]])</f>
        <v>16775072281.486362</v>
      </c>
      <c r="BE175" s="5">
        <f>IF($B174&lt;=Tabla5[[#This Row],[INVERSIONES FCI]],+Tabla5[[#This Row],[INVERSIONES FCI]]-BE174,Tabla5[[#This Row],[INVERSIONES FCI]])</f>
        <v>16775072281.486362</v>
      </c>
      <c r="BF175" s="5">
        <f>IF($B174&lt;=Tabla5[[#This Row],[INVERSIONES FCI]],+Tabla5[[#This Row],[INVERSIONES FCI]]-BF174,Tabla5[[#This Row],[INVERSIONES FCI]])</f>
        <v>16775072281.486362</v>
      </c>
      <c r="BG175" s="5">
        <f>IF($B174&lt;=Tabla5[[#This Row],[INVERSIONES FCI]],+Tabla5[[#This Row],[INVERSIONES FCI]]-BG174,Tabla5[[#This Row],[INVERSIONES FCI]])</f>
        <v>16775072281.486362</v>
      </c>
      <c r="BH175" s="5">
        <f>IF($B174&lt;=Tabla5[[#This Row],[INVERSIONES FCI]],+Tabla5[[#This Row],[INVERSIONES FCI]]-BH174,Tabla5[[#This Row],[INVERSIONES FCI]])</f>
        <v>16775072281.486362</v>
      </c>
      <c r="BI175" s="5">
        <f>IF($B174&lt;=Tabla5[[#This Row],[INVERSIONES FCI]],+Tabla5[[#This Row],[INVERSIONES FCI]]-BI174,Tabla5[[#This Row],[INVERSIONES FCI]])</f>
        <v>16775072281.486362</v>
      </c>
      <c r="BJ175" s="5">
        <f>IF($B174&lt;=Tabla5[[#This Row],[INVERSIONES FCI]],+Tabla5[[#This Row],[INVERSIONES FCI]]-BJ174,Tabla5[[#This Row],[INVERSIONES FCI]])</f>
        <v>16775072281.486362</v>
      </c>
      <c r="BK175" s="5">
        <f>IF($B174&lt;=Tabla5[[#This Row],[INVERSIONES FCI]],+Tabla5[[#This Row],[INVERSIONES FCI]]-BK174,Tabla5[[#This Row],[INVERSIONES FCI]])</f>
        <v>16775072281.486362</v>
      </c>
      <c r="BL175" s="5">
        <f>IF($B174&lt;=Tabla5[[#This Row],[INVERSIONES FCI]],+Tabla5[[#This Row],[INVERSIONES FCI]]-BL174,Tabla5[[#This Row],[INVERSIONES FCI]])</f>
        <v>16775072281.486362</v>
      </c>
      <c r="BM175" s="5">
        <f>IF($B174&lt;=Tabla5[[#This Row],[INVERSIONES FCI]],+Tabla5[[#This Row],[INVERSIONES FCI]]-BM174,Tabla5[[#This Row],[INVERSIONES FCI]])</f>
        <v>16775072281.486362</v>
      </c>
      <c r="BN175" s="5">
        <f>IF($B174&lt;=Tabla5[[#This Row],[INVERSIONES FCI]],+Tabla5[[#This Row],[INVERSIONES FCI]]-BN174,Tabla5[[#This Row],[INVERSIONES FCI]])</f>
        <v>16775072281.486362</v>
      </c>
      <c r="BO175" s="5">
        <f>IF($B174&lt;=Tabla5[[#This Row],[INVERSIONES FCI]],+Tabla5[[#This Row],[INVERSIONES FCI]]-BO174,Tabla5[[#This Row],[INVERSIONES FCI]])</f>
        <v>16775072281.486362</v>
      </c>
      <c r="BP175" s="5">
        <f>IF($B174&lt;=Tabla5[[#This Row],[INVERSIONES FCI]],+Tabla5[[#This Row],[INVERSIONES FCI]]-BP174,Tabla5[[#This Row],[INVERSIONES FCI]])</f>
        <v>16775072281.486362</v>
      </c>
      <c r="BQ175" s="5">
        <f>IF($B174&lt;=Tabla5[[#This Row],[INVERSIONES FCI]],+Tabla5[[#This Row],[INVERSIONES FCI]]-BQ174,Tabla5[[#This Row],[INVERSIONES FCI]])</f>
        <v>16775072281.486362</v>
      </c>
      <c r="BR175" s="5">
        <f>IF($B174&lt;=Tabla5[[#This Row],[INVERSIONES FCI]],+Tabla5[[#This Row],[INVERSIONES FCI]]-BR174,Tabla5[[#This Row],[INVERSIONES FCI]])</f>
        <v>16775072281.486362</v>
      </c>
      <c r="BS175" s="5">
        <f>IF($B174&lt;=Tabla5[[#This Row],[INVERSIONES FCI]],+Tabla5[[#This Row],[INVERSIONES FCI]]-BS174,Tabla5[[#This Row],[INVERSIONES FCI]])</f>
        <v>16775072281.486362</v>
      </c>
      <c r="BT175" s="5">
        <f>IF($B174&lt;=Tabla5[[#This Row],[INVERSIONES FCI]],+Tabla5[[#This Row],[INVERSIONES FCI]]-BT174,Tabla5[[#This Row],[INVERSIONES FCI]])</f>
        <v>16775072281.486362</v>
      </c>
      <c r="BU175" s="5">
        <f>IF($B174&lt;=Tabla5[[#This Row],[INVERSIONES FCI]],+Tabla5[[#This Row],[INVERSIONES FCI]]-BU174,Tabla5[[#This Row],[INVERSIONES FCI]])</f>
        <v>16775072281.486362</v>
      </c>
      <c r="BV175" s="5">
        <f>IF($B174&lt;=Tabla5[[#This Row],[INVERSIONES FCI]],+Tabla5[[#This Row],[INVERSIONES FCI]]-BV174,Tabla5[[#This Row],[INVERSIONES FCI]])</f>
        <v>16775072281.486362</v>
      </c>
      <c r="BW175" s="5">
        <f>IF($B174&lt;=Tabla5[[#This Row],[INVERSIONES FCI]],+Tabla5[[#This Row],[INVERSIONES FCI]]-BW174,Tabla5[[#This Row],[INVERSIONES FCI]])</f>
        <v>16775072281.486362</v>
      </c>
      <c r="BX175" s="5">
        <f>IF($B174&lt;=Tabla5[[#This Row],[INVERSIONES FCI]],+Tabla5[[#This Row],[INVERSIONES FCI]]-BX174,Tabla5[[#This Row],[INVERSIONES FCI]])</f>
        <v>16775072281.486362</v>
      </c>
      <c r="BY175" s="5">
        <f>IF($B174&lt;=Tabla5[[#This Row],[INVERSIONES FCI]],+Tabla5[[#This Row],[INVERSIONES FCI]]-BY174,Tabla5[[#This Row],[INVERSIONES FCI]])</f>
        <v>16775072281.486362</v>
      </c>
      <c r="BZ175" s="5">
        <f>IF($B174&lt;=Tabla5[[#This Row],[INVERSIONES FCI]],+Tabla5[[#This Row],[INVERSIONES FCI]]-BZ174,Tabla5[[#This Row],[INVERSIONES FCI]])</f>
        <v>16775072281.486362</v>
      </c>
      <c r="CA175" s="5">
        <f>IF($B174&lt;=Tabla5[[#This Row],[INVERSIONES FCI]],+Tabla5[[#This Row],[INVERSIONES FCI]]-CA174,Tabla5[[#This Row],[INVERSIONES FCI]])</f>
        <v>16775072281.486362</v>
      </c>
      <c r="CB175" s="5">
        <f>IF($B174&lt;=Tabla5[[#This Row],[INVERSIONES FCI]],+Tabla5[[#This Row],[INVERSIONES FCI]]-CB174,Tabla5[[#This Row],[INVERSIONES FCI]])</f>
        <v>16775072281.486362</v>
      </c>
      <c r="CC175" s="5">
        <f>IF($B174&lt;=Tabla5[[#This Row],[INVERSIONES FCI]],+Tabla5[[#This Row],[INVERSIONES FCI]]-CC174,Tabla5[[#This Row],[INVERSIONES FCI]])</f>
        <v>16775072281.486362</v>
      </c>
      <c r="CD175" s="5">
        <f>IF($B174&lt;=Tabla5[[#This Row],[INVERSIONES FCI]],+Tabla5[[#This Row],[INVERSIONES FCI]]-CD174,Tabla5[[#This Row],[INVERSIONES FCI]])</f>
        <v>16775072281.486362</v>
      </c>
      <c r="CE175" s="5">
        <f>IF($B174&lt;=Tabla5[[#This Row],[INVERSIONES FCI]],+Tabla5[[#This Row],[INVERSIONES FCI]]-CE174,Tabla5[[#This Row],[INVERSIONES FCI]])</f>
        <v>16775072281.486362</v>
      </c>
      <c r="CF175" s="5">
        <f>IF($B174&lt;=Tabla5[[#This Row],[INVERSIONES FCI]],+Tabla5[[#This Row],[INVERSIONES FCI]]-CF174,Tabla5[[#This Row],[INVERSIONES FCI]])</f>
        <v>16775072281.486362</v>
      </c>
      <c r="CG175" s="5">
        <f>IF($B174&lt;=Tabla5[[#This Row],[INVERSIONES FCI]],+Tabla5[[#This Row],[INVERSIONES FCI]]-CG174,Tabla5[[#This Row],[INVERSIONES FCI]])</f>
        <v>16775072281.486362</v>
      </c>
      <c r="CH175" s="5">
        <f>IF($B174&lt;=Tabla5[[#This Row],[INVERSIONES FCI]],+Tabla5[[#This Row],[INVERSIONES FCI]]-CH174,Tabla5[[#This Row],[INVERSIONES FCI]])</f>
        <v>16775072281.486362</v>
      </c>
      <c r="CI175" s="5">
        <f>IF($B174&lt;=Tabla5[[#This Row],[INVERSIONES FCI]],+Tabla5[[#This Row],[INVERSIONES FCI]]-CI174,Tabla5[[#This Row],[INVERSIONES FCI]])</f>
        <v>16775072281.486362</v>
      </c>
      <c r="CJ175" s="5">
        <f>IF($B174&lt;=Tabla5[[#This Row],[INVERSIONES FCI]],+Tabla5[[#This Row],[INVERSIONES FCI]]-CJ174,Tabla5[[#This Row],[INVERSIONES FCI]])</f>
        <v>16775072281.486362</v>
      </c>
      <c r="CK175" s="5">
        <f>IF($B174&lt;=Tabla5[[#This Row],[INVERSIONES FCI]],+Tabla5[[#This Row],[INVERSIONES FCI]]-CK174,Tabla5[[#This Row],[INVERSIONES FCI]])</f>
        <v>16775072281.486362</v>
      </c>
      <c r="CL175" s="5">
        <f>IF($B174&lt;=Tabla5[[#This Row],[INVERSIONES FCI]],+Tabla5[[#This Row],[INVERSIONES FCI]]-CL174,Tabla5[[#This Row],[INVERSIONES FCI]])</f>
        <v>16775072281.486362</v>
      </c>
      <c r="CM175" s="5">
        <f>IF($B174&lt;=Tabla5[[#This Row],[INVERSIONES FCI]],+Tabla5[[#This Row],[INVERSIONES FCI]]-CM174,Tabla5[[#This Row],[INVERSIONES FCI]])</f>
        <v>16775072281.486362</v>
      </c>
      <c r="CN175" s="5">
        <f>IF($B174&lt;=Tabla5[[#This Row],[INVERSIONES FCI]],+Tabla5[[#This Row],[INVERSIONES FCI]]-CN174,Tabla5[[#This Row],[INVERSIONES FCI]])</f>
        <v>16775072281.486362</v>
      </c>
      <c r="CO175" s="5">
        <f>IF($B174&lt;=Tabla5[[#This Row],[INVERSIONES FCI]],+Tabla5[[#This Row],[INVERSIONES FCI]]-CO174,Tabla5[[#This Row],[INVERSIONES FCI]])</f>
        <v>16775072281.486362</v>
      </c>
      <c r="CP175" s="5">
        <f>IF($B174&lt;=Tabla5[[#This Row],[INVERSIONES FCI]],+Tabla5[[#This Row],[INVERSIONES FCI]]-CP174,Tabla5[[#This Row],[INVERSIONES FCI]])</f>
        <v>16775072281.486362</v>
      </c>
      <c r="CQ175" s="5">
        <f>IF($B174&lt;=Tabla5[[#This Row],[INVERSIONES FCI]],+Tabla5[[#This Row],[INVERSIONES FCI]]-CQ174,Tabla5[[#This Row],[INVERSIONES FCI]])</f>
        <v>16775072281.486362</v>
      </c>
      <c r="CR175" s="5">
        <f>IF($B174&lt;=Tabla5[[#This Row],[INVERSIONES FCI]],+Tabla5[[#This Row],[INVERSIONES FCI]]-CR174,Tabla5[[#This Row],[INVERSIONES FCI]])</f>
        <v>16775072281.486362</v>
      </c>
      <c r="CS175" s="5">
        <f>IF($B174&lt;=Tabla5[[#This Row],[INVERSIONES FCI]],+Tabla5[[#This Row],[INVERSIONES FCI]]-CS174,Tabla5[[#This Row],[INVERSIONES FCI]])</f>
        <v>16775072281.486362</v>
      </c>
      <c r="CT175" s="5">
        <f>IF($B174&lt;=Tabla5[[#This Row],[INVERSIONES FCI]],+Tabla5[[#This Row],[INVERSIONES FCI]]-CT174,Tabla5[[#This Row],[INVERSIONES FCI]])</f>
        <v>16775072281.486362</v>
      </c>
      <c r="CU175" s="5">
        <f>IF($B174&lt;=Tabla5[[#This Row],[INVERSIONES FCI]],+Tabla5[[#This Row],[INVERSIONES FCI]]-CU174,Tabla5[[#This Row],[INVERSIONES FCI]])</f>
        <v>16775072281.486362</v>
      </c>
      <c r="CV175" s="5">
        <f>IF($B174&lt;=Tabla5[[#This Row],[INVERSIONES FCI]],+Tabla5[[#This Row],[INVERSIONES FCI]]-CV174,Tabla5[[#This Row],[INVERSIONES FCI]])</f>
        <v>16775072281.486362</v>
      </c>
      <c r="CW175" s="5">
        <f>IF($B174&lt;=Tabla5[[#This Row],[INVERSIONES FCI]],+Tabla5[[#This Row],[INVERSIONES FCI]]-CW174,Tabla5[[#This Row],[INVERSIONES FCI]])</f>
        <v>16775072281.486362</v>
      </c>
      <c r="CX175" s="5">
        <f>IF($B174&lt;=Tabla5[[#This Row],[INVERSIONES FCI]],+Tabla5[[#This Row],[INVERSIONES FCI]]-CX174,Tabla5[[#This Row],[INVERSIONES FCI]])</f>
        <v>16775072281.486362</v>
      </c>
      <c r="CY175" s="5">
        <f>IF($B174&lt;=Tabla5[[#This Row],[INVERSIONES FCI]],+Tabla5[[#This Row],[INVERSIONES FCI]]-CY174,Tabla5[[#This Row],[INVERSIONES FCI]])</f>
        <v>16775072281.486362</v>
      </c>
      <c r="CZ175" s="5">
        <f>IF($B174&lt;=Tabla5[[#This Row],[INVERSIONES FCI]],+Tabla5[[#This Row],[INVERSIONES FCI]]-CZ174,Tabla5[[#This Row],[INVERSIONES FCI]])</f>
        <v>16775072281.486362</v>
      </c>
      <c r="DA175" s="5">
        <f>IF($B174&lt;=Tabla5[[#This Row],[INVERSIONES FCI]],+Tabla5[[#This Row],[INVERSIONES FCI]]-DA174,Tabla5[[#This Row],[INVERSIONES FCI]])</f>
        <v>16775072281.486362</v>
      </c>
      <c r="DB175" s="5">
        <f>IF($B174&lt;=Tabla5[[#This Row],[INVERSIONES FCI]],+Tabla5[[#This Row],[INVERSIONES FCI]]-DB174,Tabla5[[#This Row],[INVERSIONES FCI]])</f>
        <v>16775072281.486362</v>
      </c>
      <c r="DC175" s="5">
        <f>IF($B174&lt;=Tabla5[[#This Row],[INVERSIONES FCI]],+Tabla5[[#This Row],[INVERSIONES FCI]]-DC174,Tabla5[[#This Row],[INVERSIONES FCI]])</f>
        <v>16775072281.486362</v>
      </c>
      <c r="DD175" s="5">
        <f>IF($B174&lt;=Tabla5[[#This Row],[INVERSIONES FCI]],+Tabla5[[#This Row],[INVERSIONES FCI]]-DD174,Tabla5[[#This Row],[INVERSIONES FCI]])</f>
        <v>16775072281.486362</v>
      </c>
      <c r="DE175" s="5">
        <f>IF($B174&lt;=Tabla5[[#This Row],[INVERSIONES FCI]],+Tabla5[[#This Row],[INVERSIONES FCI]]-DE174,Tabla5[[#This Row],[INVERSIONES FCI]])</f>
        <v>16775072281.486362</v>
      </c>
      <c r="DF175" s="5">
        <f>IF($B174&lt;=Tabla5[[#This Row],[INVERSIONES FCI]],+Tabla5[[#This Row],[INVERSIONES FCI]]-DF174,Tabla5[[#This Row],[INVERSIONES FCI]])</f>
        <v>16775072281.486362</v>
      </c>
      <c r="DG175" s="5">
        <f>IF($B174&lt;=Tabla5[[#This Row],[INVERSIONES FCI]],+Tabla5[[#This Row],[INVERSIONES FCI]]-DG174,Tabla5[[#This Row],[INVERSIONES FCI]])</f>
        <v>16775072281.486362</v>
      </c>
      <c r="DH175" s="5">
        <f>IF($B174&lt;=Tabla5[[#This Row],[INVERSIONES FCI]],+Tabla5[[#This Row],[INVERSIONES FCI]]-DH174,Tabla5[[#This Row],[INVERSIONES FCI]])</f>
        <v>16775072281.486362</v>
      </c>
      <c r="DI175" s="5">
        <f>IF($B174&lt;=Tabla5[[#This Row],[INVERSIONES FCI]],+Tabla5[[#This Row],[INVERSIONES FCI]]-DI174,Tabla5[[#This Row],[INVERSIONES FCI]])</f>
        <v>16775072281.486362</v>
      </c>
      <c r="DJ175" s="5">
        <f>IF($B174&lt;=Tabla5[[#This Row],[INVERSIONES FCI]],+Tabla5[[#This Row],[INVERSIONES FCI]]-DJ174,Tabla5[[#This Row],[INVERSIONES FCI]])</f>
        <v>16775072281.486362</v>
      </c>
      <c r="DK175" s="5">
        <f>IF($B174&lt;=Tabla5[[#This Row],[INVERSIONES FCI]],+Tabla5[[#This Row],[INVERSIONES FCI]]-DK174,Tabla5[[#This Row],[INVERSIONES FCI]])</f>
        <v>16775072281.486362</v>
      </c>
      <c r="DL175" s="5"/>
      <c r="DM175" s="5"/>
      <c r="DN175" s="5"/>
      <c r="DO175" s="5"/>
      <c r="DP175" s="5"/>
      <c r="DQ175" s="5"/>
    </row>
    <row r="176" spans="1:121" ht="14.4">
      <c r="A176" s="12" t="s">
        <v>175</v>
      </c>
      <c r="B176" s="5">
        <f>HLOOKUP($A176,ESCENARIO[#All],7,FALSE)</f>
        <v>41956801438.91613</v>
      </c>
      <c r="C176" s="5">
        <f>IF($B175&lt;=Tabla5[[#This Row],[INVERSIONES FCI]],+Tabla5[[#This Row],[INVERSIONES FCI]]-C175,Tabla5[[#This Row],[INVERSIONES FCI]])</f>
        <v>25181729157.429768</v>
      </c>
      <c r="D176" s="5">
        <f>IF($B175&lt;=Tabla5[[#This Row],[INVERSIONES FCI]],+Tabla5[[#This Row],[INVERSIONES FCI]]-D175,Tabla5[[#This Row],[INVERSIONES FCI]])</f>
        <v>25181729157.429768</v>
      </c>
      <c r="E176" s="5">
        <f>IF($B175&lt;=Tabla5[[#This Row],[INVERSIONES FCI]],+Tabla5[[#This Row],[INVERSIONES FCI]]-E175,Tabla5[[#This Row],[INVERSIONES FCI]])</f>
        <v>25181729157.429768</v>
      </c>
      <c r="F176" s="5">
        <f>IF($B175&lt;=Tabla5[[#This Row],[INVERSIONES FCI]],+Tabla5[[#This Row],[INVERSIONES FCI]]-F175,Tabla5[[#This Row],[INVERSIONES FCI]])</f>
        <v>25181729157.429768</v>
      </c>
      <c r="G176" s="5">
        <f>IF($B175&lt;=Tabla5[[#This Row],[INVERSIONES FCI]],+Tabla5[[#This Row],[INVERSIONES FCI]]-G175,Tabla5[[#This Row],[INVERSIONES FCI]])</f>
        <v>25181729157.429768</v>
      </c>
      <c r="H176" s="5">
        <f>IF($B175&lt;=Tabla5[[#This Row],[INVERSIONES FCI]],+Tabla5[[#This Row],[INVERSIONES FCI]]-H175,Tabla5[[#This Row],[INVERSIONES FCI]])</f>
        <v>25181729157.429768</v>
      </c>
      <c r="I176" s="5">
        <f>IF($B175&lt;=Tabla5[[#This Row],[INVERSIONES FCI]],+Tabla5[[#This Row],[INVERSIONES FCI]]-I175,Tabla5[[#This Row],[INVERSIONES FCI]])</f>
        <v>25181729157.429768</v>
      </c>
      <c r="J176" s="5">
        <f>IF($B175&lt;=Tabla5[[#This Row],[INVERSIONES FCI]],+Tabla5[[#This Row],[INVERSIONES FCI]]-J175,Tabla5[[#This Row],[INVERSIONES FCI]])</f>
        <v>25181729157.429768</v>
      </c>
      <c r="K176" s="5">
        <f>IF($B175&lt;=Tabla5[[#This Row],[INVERSIONES FCI]],+Tabla5[[#This Row],[INVERSIONES FCI]]-K175,Tabla5[[#This Row],[INVERSIONES FCI]])</f>
        <v>25181729157.429768</v>
      </c>
      <c r="L176" s="5">
        <f>IF($B175&lt;=Tabla5[[#This Row],[INVERSIONES FCI]],+Tabla5[[#This Row],[INVERSIONES FCI]]-L175,Tabla5[[#This Row],[INVERSIONES FCI]])</f>
        <v>25181729157.429768</v>
      </c>
      <c r="M176" s="5">
        <f>IF($B175&lt;=Tabla5[[#This Row],[INVERSIONES FCI]],+Tabla5[[#This Row],[INVERSIONES FCI]]-M175,Tabla5[[#This Row],[INVERSIONES FCI]])</f>
        <v>25181729157.429768</v>
      </c>
      <c r="N176" s="5">
        <f>IF($B175&lt;=Tabla5[[#This Row],[INVERSIONES FCI]],+Tabla5[[#This Row],[INVERSIONES FCI]]-N175,Tabla5[[#This Row],[INVERSIONES FCI]])</f>
        <v>25181729157.429768</v>
      </c>
      <c r="O176" s="5">
        <f>IF($B175&lt;=Tabla5[[#This Row],[INVERSIONES FCI]],+Tabla5[[#This Row],[INVERSIONES FCI]]-O175,Tabla5[[#This Row],[INVERSIONES FCI]])</f>
        <v>25181729157.429768</v>
      </c>
      <c r="P176" s="5">
        <f>IF($B175&lt;=Tabla5[[#This Row],[INVERSIONES FCI]],+Tabla5[[#This Row],[INVERSIONES FCI]]-P175,Tabla5[[#This Row],[INVERSIONES FCI]])</f>
        <v>25181729157.429768</v>
      </c>
      <c r="Q176" s="5">
        <f>IF($B175&lt;=Tabla5[[#This Row],[INVERSIONES FCI]],+Tabla5[[#This Row],[INVERSIONES FCI]]-Q175,Tabla5[[#This Row],[INVERSIONES FCI]])</f>
        <v>25181729157.429768</v>
      </c>
      <c r="R176" s="5">
        <f>IF($B175&lt;=Tabla5[[#This Row],[INVERSIONES FCI]],+Tabla5[[#This Row],[INVERSIONES FCI]]-R175,Tabla5[[#This Row],[INVERSIONES FCI]])</f>
        <v>25181729157.429768</v>
      </c>
      <c r="S176" s="5">
        <f>IF($B175&lt;=Tabla5[[#This Row],[INVERSIONES FCI]],+Tabla5[[#This Row],[INVERSIONES FCI]]-S175,Tabla5[[#This Row],[INVERSIONES FCI]])</f>
        <v>25181729157.429768</v>
      </c>
      <c r="T176" s="5">
        <f>IF($B175&lt;=Tabla5[[#This Row],[INVERSIONES FCI]],+Tabla5[[#This Row],[INVERSIONES FCI]]-T175,Tabla5[[#This Row],[INVERSIONES FCI]])</f>
        <v>25181729157.429768</v>
      </c>
      <c r="U176" s="5">
        <f>IF($B175&lt;=Tabla5[[#This Row],[INVERSIONES FCI]],+Tabla5[[#This Row],[INVERSIONES FCI]]-U175,Tabla5[[#This Row],[INVERSIONES FCI]])</f>
        <v>25181729157.429768</v>
      </c>
      <c r="V176" s="5">
        <f>IF($B175&lt;=Tabla5[[#This Row],[INVERSIONES FCI]],+Tabla5[[#This Row],[INVERSIONES FCI]]-V175,Tabla5[[#This Row],[INVERSIONES FCI]])</f>
        <v>25181729157.429768</v>
      </c>
      <c r="W176" s="5">
        <f>IF($B175&lt;=Tabla5[[#This Row],[INVERSIONES FCI]],+Tabla5[[#This Row],[INVERSIONES FCI]]-W175,Tabla5[[#This Row],[INVERSIONES FCI]])</f>
        <v>25181729157.429768</v>
      </c>
      <c r="X176" s="5">
        <f>IF($B175&lt;=Tabla5[[#This Row],[INVERSIONES FCI]],+Tabla5[[#This Row],[INVERSIONES FCI]]-X175,Tabla5[[#This Row],[INVERSIONES FCI]])</f>
        <v>25181729157.429768</v>
      </c>
      <c r="Y176" s="5">
        <f>IF($B175&lt;=Tabla5[[#This Row],[INVERSIONES FCI]],+Tabla5[[#This Row],[INVERSIONES FCI]]-Y175,Tabla5[[#This Row],[INVERSIONES FCI]])</f>
        <v>25181729157.429768</v>
      </c>
      <c r="Z176" s="5">
        <f>IF($B175&lt;=Tabla5[[#This Row],[INVERSIONES FCI]],+Tabla5[[#This Row],[INVERSIONES FCI]]-Z175,Tabla5[[#This Row],[INVERSIONES FCI]])</f>
        <v>25181729157.429768</v>
      </c>
      <c r="AA176" s="5">
        <f>IF($B175&lt;=Tabla5[[#This Row],[INVERSIONES FCI]],+Tabla5[[#This Row],[INVERSIONES FCI]]-AA175,Tabla5[[#This Row],[INVERSIONES FCI]])</f>
        <v>25181729157.429768</v>
      </c>
      <c r="AB176" s="5">
        <f>IF($B175&lt;=Tabla5[[#This Row],[INVERSIONES FCI]],+Tabla5[[#This Row],[INVERSIONES FCI]]-AB175,Tabla5[[#This Row],[INVERSIONES FCI]])</f>
        <v>25181729157.429768</v>
      </c>
      <c r="AC176" s="5">
        <f>IF($B175&lt;=Tabla5[[#This Row],[INVERSIONES FCI]],+Tabla5[[#This Row],[INVERSIONES FCI]]-AC175,Tabla5[[#This Row],[INVERSIONES FCI]])</f>
        <v>25181729157.429768</v>
      </c>
      <c r="AD176" s="5">
        <f>IF($B175&lt;=Tabla5[[#This Row],[INVERSIONES FCI]],+Tabla5[[#This Row],[INVERSIONES FCI]]-AD175,Tabla5[[#This Row],[INVERSIONES FCI]])</f>
        <v>25181729157.429768</v>
      </c>
      <c r="AE176" s="5">
        <f>IF($B175&lt;=Tabla5[[#This Row],[INVERSIONES FCI]],+Tabla5[[#This Row],[INVERSIONES FCI]]-AE175,Tabla5[[#This Row],[INVERSIONES FCI]])</f>
        <v>25181729157.429768</v>
      </c>
      <c r="AF176" s="5">
        <f>IF($B175&lt;=Tabla5[[#This Row],[INVERSIONES FCI]],+Tabla5[[#This Row],[INVERSIONES FCI]]-AF175,Tabla5[[#This Row],[INVERSIONES FCI]])</f>
        <v>25181729157.429768</v>
      </c>
      <c r="AG176" s="5">
        <f>IF($B175&lt;=Tabla5[[#This Row],[INVERSIONES FCI]],+Tabla5[[#This Row],[INVERSIONES FCI]]-AG175,Tabla5[[#This Row],[INVERSIONES FCI]])</f>
        <v>25181729157.429768</v>
      </c>
      <c r="AH176" s="5">
        <f>IF($B175&lt;=Tabla5[[#This Row],[INVERSIONES FCI]],+Tabla5[[#This Row],[INVERSIONES FCI]]-AH175,Tabla5[[#This Row],[INVERSIONES FCI]])</f>
        <v>25181729157.429768</v>
      </c>
      <c r="AI176" s="5">
        <f>IF($B175&lt;=Tabla5[[#This Row],[INVERSIONES FCI]],+Tabla5[[#This Row],[INVERSIONES FCI]]-AI175,Tabla5[[#This Row],[INVERSIONES FCI]])</f>
        <v>25181729157.429768</v>
      </c>
      <c r="AJ176" s="5">
        <f>IF($B175&lt;=Tabla5[[#This Row],[INVERSIONES FCI]],+Tabla5[[#This Row],[INVERSIONES FCI]]-AJ175,Tabla5[[#This Row],[INVERSIONES FCI]])</f>
        <v>25181729157.429768</v>
      </c>
      <c r="AK176" s="5">
        <f>IF($B175&lt;=Tabla5[[#This Row],[INVERSIONES FCI]],+Tabla5[[#This Row],[INVERSIONES FCI]]-AK175,Tabla5[[#This Row],[INVERSIONES FCI]])</f>
        <v>25181729157.429768</v>
      </c>
      <c r="AL176" s="5">
        <f>IF($B175&lt;=Tabla5[[#This Row],[INVERSIONES FCI]],+Tabla5[[#This Row],[INVERSIONES FCI]]-AL175,Tabla5[[#This Row],[INVERSIONES FCI]])</f>
        <v>25181729157.429768</v>
      </c>
      <c r="AM176" s="5">
        <f>IF($B175&lt;=Tabla5[[#This Row],[INVERSIONES FCI]],+Tabla5[[#This Row],[INVERSIONES FCI]]-AM175,Tabla5[[#This Row],[INVERSIONES FCI]])</f>
        <v>25181729157.429768</v>
      </c>
      <c r="AN176" s="5">
        <f>IF($B175&lt;=Tabla5[[#This Row],[INVERSIONES FCI]],+Tabla5[[#This Row],[INVERSIONES FCI]]-AN175,Tabla5[[#This Row],[INVERSIONES FCI]])</f>
        <v>25181729157.429768</v>
      </c>
      <c r="AO176" s="5">
        <f>IF($B175&lt;=Tabla5[[#This Row],[INVERSIONES FCI]],+Tabla5[[#This Row],[INVERSIONES FCI]]-AO175,Tabla5[[#This Row],[INVERSIONES FCI]])</f>
        <v>25181729157.429768</v>
      </c>
      <c r="AP176" s="5">
        <f>IF($B175&lt;=Tabla5[[#This Row],[INVERSIONES FCI]],+Tabla5[[#This Row],[INVERSIONES FCI]]-AP175,Tabla5[[#This Row],[INVERSIONES FCI]])</f>
        <v>25181729157.429768</v>
      </c>
      <c r="AQ176" s="5">
        <f>IF($B175&lt;=Tabla5[[#This Row],[INVERSIONES FCI]],+Tabla5[[#This Row],[INVERSIONES FCI]]-AQ175,Tabla5[[#This Row],[INVERSIONES FCI]])</f>
        <v>25181729157.429768</v>
      </c>
      <c r="AR176" s="5">
        <f>IF($B175&lt;=Tabla5[[#This Row],[INVERSIONES FCI]],+Tabla5[[#This Row],[INVERSIONES FCI]]-AR175,Tabla5[[#This Row],[INVERSIONES FCI]])</f>
        <v>25181729157.429768</v>
      </c>
      <c r="AS176" s="5">
        <f>IF($B175&lt;=Tabla5[[#This Row],[INVERSIONES FCI]],+Tabla5[[#This Row],[INVERSIONES FCI]]-AS175,Tabla5[[#This Row],[INVERSIONES FCI]])</f>
        <v>25181729157.429768</v>
      </c>
      <c r="AT176" s="5">
        <f>IF($B175&lt;=Tabla5[[#This Row],[INVERSIONES FCI]],+Tabla5[[#This Row],[INVERSIONES FCI]]-AT175,Tabla5[[#This Row],[INVERSIONES FCI]])</f>
        <v>25181729157.429768</v>
      </c>
      <c r="AU176" s="5">
        <f>IF($B175&lt;=Tabla5[[#This Row],[INVERSIONES FCI]],+Tabla5[[#This Row],[INVERSIONES FCI]]-AU175,Tabla5[[#This Row],[INVERSIONES FCI]])</f>
        <v>25181729157.429768</v>
      </c>
      <c r="AV176" s="5">
        <f>IF($B175&lt;=Tabla5[[#This Row],[INVERSIONES FCI]],+Tabla5[[#This Row],[INVERSIONES FCI]]-AV175,Tabla5[[#This Row],[INVERSIONES FCI]])</f>
        <v>25181729157.429768</v>
      </c>
      <c r="AW176" s="5">
        <f>IF($B175&lt;=Tabla5[[#This Row],[INVERSIONES FCI]],+Tabla5[[#This Row],[INVERSIONES FCI]]-AW175,Tabla5[[#This Row],[INVERSIONES FCI]])</f>
        <v>25181729157.429768</v>
      </c>
      <c r="AX176" s="5">
        <f>IF($B175&lt;=Tabla5[[#This Row],[INVERSIONES FCI]],+Tabla5[[#This Row],[INVERSIONES FCI]]-AX175,Tabla5[[#This Row],[INVERSIONES FCI]])</f>
        <v>25181729157.429768</v>
      </c>
      <c r="AY176" s="5">
        <f>IF($B175&lt;=Tabla5[[#This Row],[INVERSIONES FCI]],+Tabla5[[#This Row],[INVERSIONES FCI]]-AY175,Tabla5[[#This Row],[INVERSIONES FCI]])</f>
        <v>25181729157.429768</v>
      </c>
      <c r="AZ176" s="5">
        <f>IF($B175&lt;=Tabla5[[#This Row],[INVERSIONES FCI]],+Tabla5[[#This Row],[INVERSIONES FCI]]-AZ175,Tabla5[[#This Row],[INVERSIONES FCI]])</f>
        <v>25181729157.429768</v>
      </c>
      <c r="BA176" s="5">
        <f>IF($B175&lt;=Tabla5[[#This Row],[INVERSIONES FCI]],+Tabla5[[#This Row],[INVERSIONES FCI]]-BA175,Tabla5[[#This Row],[INVERSIONES FCI]])</f>
        <v>25181729157.429768</v>
      </c>
      <c r="BB176" s="5">
        <f>IF($B175&lt;=Tabla5[[#This Row],[INVERSIONES FCI]],+Tabla5[[#This Row],[INVERSIONES FCI]]-BB175,Tabla5[[#This Row],[INVERSIONES FCI]])</f>
        <v>25181729157.429768</v>
      </c>
      <c r="BC176" s="5">
        <f>IF($B175&lt;=Tabla5[[#This Row],[INVERSIONES FCI]],+Tabla5[[#This Row],[INVERSIONES FCI]]-BC175,Tabla5[[#This Row],[INVERSIONES FCI]])</f>
        <v>25181729157.429768</v>
      </c>
      <c r="BD176" s="5">
        <f>IF($B175&lt;=Tabla5[[#This Row],[INVERSIONES FCI]],+Tabla5[[#This Row],[INVERSIONES FCI]]-BD175,Tabla5[[#This Row],[INVERSIONES FCI]])</f>
        <v>25181729157.429768</v>
      </c>
      <c r="BE176" s="5">
        <f>IF($B175&lt;=Tabla5[[#This Row],[INVERSIONES FCI]],+Tabla5[[#This Row],[INVERSIONES FCI]]-BE175,Tabla5[[#This Row],[INVERSIONES FCI]])</f>
        <v>25181729157.429768</v>
      </c>
      <c r="BF176" s="5">
        <f>IF($B175&lt;=Tabla5[[#This Row],[INVERSIONES FCI]],+Tabla5[[#This Row],[INVERSIONES FCI]]-BF175,Tabla5[[#This Row],[INVERSIONES FCI]])</f>
        <v>25181729157.429768</v>
      </c>
      <c r="BG176" s="5">
        <f>IF($B175&lt;=Tabla5[[#This Row],[INVERSIONES FCI]],+Tabla5[[#This Row],[INVERSIONES FCI]]-BG175,Tabla5[[#This Row],[INVERSIONES FCI]])</f>
        <v>25181729157.429768</v>
      </c>
      <c r="BH176" s="5">
        <f>IF($B175&lt;=Tabla5[[#This Row],[INVERSIONES FCI]],+Tabla5[[#This Row],[INVERSIONES FCI]]-BH175,Tabla5[[#This Row],[INVERSIONES FCI]])</f>
        <v>25181729157.429768</v>
      </c>
      <c r="BI176" s="5">
        <f>IF($B175&lt;=Tabla5[[#This Row],[INVERSIONES FCI]],+Tabla5[[#This Row],[INVERSIONES FCI]]-BI175,Tabla5[[#This Row],[INVERSIONES FCI]])</f>
        <v>25181729157.429768</v>
      </c>
      <c r="BJ176" s="5">
        <f>IF($B175&lt;=Tabla5[[#This Row],[INVERSIONES FCI]],+Tabla5[[#This Row],[INVERSIONES FCI]]-BJ175,Tabla5[[#This Row],[INVERSIONES FCI]])</f>
        <v>25181729157.429768</v>
      </c>
      <c r="BK176" s="5">
        <f>IF($B175&lt;=Tabla5[[#This Row],[INVERSIONES FCI]],+Tabla5[[#This Row],[INVERSIONES FCI]]-BK175,Tabla5[[#This Row],[INVERSIONES FCI]])</f>
        <v>25181729157.429768</v>
      </c>
      <c r="BL176" s="5">
        <f>IF($B175&lt;=Tabla5[[#This Row],[INVERSIONES FCI]],+Tabla5[[#This Row],[INVERSIONES FCI]]-BL175,Tabla5[[#This Row],[INVERSIONES FCI]])</f>
        <v>25181729157.429768</v>
      </c>
      <c r="BM176" s="5">
        <f>IF($B175&lt;=Tabla5[[#This Row],[INVERSIONES FCI]],+Tabla5[[#This Row],[INVERSIONES FCI]]-BM175,Tabla5[[#This Row],[INVERSIONES FCI]])</f>
        <v>25181729157.429768</v>
      </c>
      <c r="BN176" s="5">
        <f>IF($B175&lt;=Tabla5[[#This Row],[INVERSIONES FCI]],+Tabla5[[#This Row],[INVERSIONES FCI]]-BN175,Tabla5[[#This Row],[INVERSIONES FCI]])</f>
        <v>25181729157.429768</v>
      </c>
      <c r="BO176" s="5">
        <f>IF($B175&lt;=Tabla5[[#This Row],[INVERSIONES FCI]],+Tabla5[[#This Row],[INVERSIONES FCI]]-BO175,Tabla5[[#This Row],[INVERSIONES FCI]])</f>
        <v>25181729157.429768</v>
      </c>
      <c r="BP176" s="5">
        <f>IF($B175&lt;=Tabla5[[#This Row],[INVERSIONES FCI]],+Tabla5[[#This Row],[INVERSIONES FCI]]-BP175,Tabla5[[#This Row],[INVERSIONES FCI]])</f>
        <v>25181729157.429768</v>
      </c>
      <c r="BQ176" s="5">
        <f>IF($B175&lt;=Tabla5[[#This Row],[INVERSIONES FCI]],+Tabla5[[#This Row],[INVERSIONES FCI]]-BQ175,Tabla5[[#This Row],[INVERSIONES FCI]])</f>
        <v>25181729157.429768</v>
      </c>
      <c r="BR176" s="5">
        <f>IF($B175&lt;=Tabla5[[#This Row],[INVERSIONES FCI]],+Tabla5[[#This Row],[INVERSIONES FCI]]-BR175,Tabla5[[#This Row],[INVERSIONES FCI]])</f>
        <v>25181729157.429768</v>
      </c>
      <c r="BS176" s="5">
        <f>IF($B175&lt;=Tabla5[[#This Row],[INVERSIONES FCI]],+Tabla5[[#This Row],[INVERSIONES FCI]]-BS175,Tabla5[[#This Row],[INVERSIONES FCI]])</f>
        <v>25181729157.429768</v>
      </c>
      <c r="BT176" s="5">
        <f>IF($B175&lt;=Tabla5[[#This Row],[INVERSIONES FCI]],+Tabla5[[#This Row],[INVERSIONES FCI]]-BT175,Tabla5[[#This Row],[INVERSIONES FCI]])</f>
        <v>25181729157.429768</v>
      </c>
      <c r="BU176" s="5">
        <f>IF($B175&lt;=Tabla5[[#This Row],[INVERSIONES FCI]],+Tabla5[[#This Row],[INVERSIONES FCI]]-BU175,Tabla5[[#This Row],[INVERSIONES FCI]])</f>
        <v>25181729157.429768</v>
      </c>
      <c r="BV176" s="5">
        <f>IF($B175&lt;=Tabla5[[#This Row],[INVERSIONES FCI]],+Tabla5[[#This Row],[INVERSIONES FCI]]-BV175,Tabla5[[#This Row],[INVERSIONES FCI]])</f>
        <v>25181729157.429768</v>
      </c>
      <c r="BW176" s="5">
        <f>IF($B175&lt;=Tabla5[[#This Row],[INVERSIONES FCI]],+Tabla5[[#This Row],[INVERSIONES FCI]]-BW175,Tabla5[[#This Row],[INVERSIONES FCI]])</f>
        <v>25181729157.429768</v>
      </c>
      <c r="BX176" s="5">
        <f>IF($B175&lt;=Tabla5[[#This Row],[INVERSIONES FCI]],+Tabla5[[#This Row],[INVERSIONES FCI]]-BX175,Tabla5[[#This Row],[INVERSIONES FCI]])</f>
        <v>25181729157.429768</v>
      </c>
      <c r="BY176" s="5">
        <f>IF($B175&lt;=Tabla5[[#This Row],[INVERSIONES FCI]],+Tabla5[[#This Row],[INVERSIONES FCI]]-BY175,Tabla5[[#This Row],[INVERSIONES FCI]])</f>
        <v>25181729157.429768</v>
      </c>
      <c r="BZ176" s="5">
        <f>IF($B175&lt;=Tabla5[[#This Row],[INVERSIONES FCI]],+Tabla5[[#This Row],[INVERSIONES FCI]]-BZ175,Tabla5[[#This Row],[INVERSIONES FCI]])</f>
        <v>25181729157.429768</v>
      </c>
      <c r="CA176" s="5">
        <f>IF($B175&lt;=Tabla5[[#This Row],[INVERSIONES FCI]],+Tabla5[[#This Row],[INVERSIONES FCI]]-CA175,Tabla5[[#This Row],[INVERSIONES FCI]])</f>
        <v>25181729157.429768</v>
      </c>
      <c r="CB176" s="5">
        <f>IF($B175&lt;=Tabla5[[#This Row],[INVERSIONES FCI]],+Tabla5[[#This Row],[INVERSIONES FCI]]-CB175,Tabla5[[#This Row],[INVERSIONES FCI]])</f>
        <v>25181729157.429768</v>
      </c>
      <c r="CC176" s="5">
        <f>IF($B175&lt;=Tabla5[[#This Row],[INVERSIONES FCI]],+Tabla5[[#This Row],[INVERSIONES FCI]]-CC175,Tabla5[[#This Row],[INVERSIONES FCI]])</f>
        <v>25181729157.429768</v>
      </c>
      <c r="CD176" s="5">
        <f>IF($B175&lt;=Tabla5[[#This Row],[INVERSIONES FCI]],+Tabla5[[#This Row],[INVERSIONES FCI]]-CD175,Tabla5[[#This Row],[INVERSIONES FCI]])</f>
        <v>25181729157.429768</v>
      </c>
      <c r="CE176" s="5">
        <f>IF($B175&lt;=Tabla5[[#This Row],[INVERSIONES FCI]],+Tabla5[[#This Row],[INVERSIONES FCI]]-CE175,Tabla5[[#This Row],[INVERSIONES FCI]])</f>
        <v>25181729157.429768</v>
      </c>
      <c r="CF176" s="5">
        <f>IF($B175&lt;=Tabla5[[#This Row],[INVERSIONES FCI]],+Tabla5[[#This Row],[INVERSIONES FCI]]-CF175,Tabla5[[#This Row],[INVERSIONES FCI]])</f>
        <v>25181729157.429768</v>
      </c>
      <c r="CG176" s="5">
        <f>IF($B175&lt;=Tabla5[[#This Row],[INVERSIONES FCI]],+Tabla5[[#This Row],[INVERSIONES FCI]]-CG175,Tabla5[[#This Row],[INVERSIONES FCI]])</f>
        <v>25181729157.429768</v>
      </c>
      <c r="CH176" s="5">
        <f>IF($B175&lt;=Tabla5[[#This Row],[INVERSIONES FCI]],+Tabla5[[#This Row],[INVERSIONES FCI]]-CH175,Tabla5[[#This Row],[INVERSIONES FCI]])</f>
        <v>25181729157.429768</v>
      </c>
      <c r="CI176" s="5">
        <f>IF($B175&lt;=Tabla5[[#This Row],[INVERSIONES FCI]],+Tabla5[[#This Row],[INVERSIONES FCI]]-CI175,Tabla5[[#This Row],[INVERSIONES FCI]])</f>
        <v>25181729157.429768</v>
      </c>
      <c r="CJ176" s="5">
        <f>IF($B175&lt;=Tabla5[[#This Row],[INVERSIONES FCI]],+Tabla5[[#This Row],[INVERSIONES FCI]]-CJ175,Tabla5[[#This Row],[INVERSIONES FCI]])</f>
        <v>25181729157.429768</v>
      </c>
      <c r="CK176" s="5">
        <f>IF($B175&lt;=Tabla5[[#This Row],[INVERSIONES FCI]],+Tabla5[[#This Row],[INVERSIONES FCI]]-CK175,Tabla5[[#This Row],[INVERSIONES FCI]])</f>
        <v>25181729157.429768</v>
      </c>
      <c r="CL176" s="5">
        <f>IF($B175&lt;=Tabla5[[#This Row],[INVERSIONES FCI]],+Tabla5[[#This Row],[INVERSIONES FCI]]-CL175,Tabla5[[#This Row],[INVERSIONES FCI]])</f>
        <v>25181729157.429768</v>
      </c>
      <c r="CM176" s="5">
        <f>IF($B175&lt;=Tabla5[[#This Row],[INVERSIONES FCI]],+Tabla5[[#This Row],[INVERSIONES FCI]]-CM175,Tabla5[[#This Row],[INVERSIONES FCI]])</f>
        <v>25181729157.429768</v>
      </c>
      <c r="CN176" s="5">
        <f>IF($B175&lt;=Tabla5[[#This Row],[INVERSIONES FCI]],+Tabla5[[#This Row],[INVERSIONES FCI]]-CN175,Tabla5[[#This Row],[INVERSIONES FCI]])</f>
        <v>25181729157.429768</v>
      </c>
      <c r="CO176" s="5">
        <f>IF($B175&lt;=Tabla5[[#This Row],[INVERSIONES FCI]],+Tabla5[[#This Row],[INVERSIONES FCI]]-CO175,Tabla5[[#This Row],[INVERSIONES FCI]])</f>
        <v>25181729157.429768</v>
      </c>
      <c r="CP176" s="5">
        <f>IF($B175&lt;=Tabla5[[#This Row],[INVERSIONES FCI]],+Tabla5[[#This Row],[INVERSIONES FCI]]-CP175,Tabla5[[#This Row],[INVERSIONES FCI]])</f>
        <v>25181729157.429768</v>
      </c>
      <c r="CQ176" s="5">
        <f>IF($B175&lt;=Tabla5[[#This Row],[INVERSIONES FCI]],+Tabla5[[#This Row],[INVERSIONES FCI]]-CQ175,Tabla5[[#This Row],[INVERSIONES FCI]])</f>
        <v>25181729157.429768</v>
      </c>
      <c r="CR176" s="5">
        <f>IF($B175&lt;=Tabla5[[#This Row],[INVERSIONES FCI]],+Tabla5[[#This Row],[INVERSIONES FCI]]-CR175,Tabla5[[#This Row],[INVERSIONES FCI]])</f>
        <v>25181729157.429768</v>
      </c>
      <c r="CS176" s="5">
        <f>IF($B175&lt;=Tabla5[[#This Row],[INVERSIONES FCI]],+Tabla5[[#This Row],[INVERSIONES FCI]]-CS175,Tabla5[[#This Row],[INVERSIONES FCI]])</f>
        <v>25181729157.429768</v>
      </c>
      <c r="CT176" s="5">
        <f>IF($B175&lt;=Tabla5[[#This Row],[INVERSIONES FCI]],+Tabla5[[#This Row],[INVERSIONES FCI]]-CT175,Tabla5[[#This Row],[INVERSIONES FCI]])</f>
        <v>25181729157.429768</v>
      </c>
      <c r="CU176" s="5">
        <f>IF($B175&lt;=Tabla5[[#This Row],[INVERSIONES FCI]],+Tabla5[[#This Row],[INVERSIONES FCI]]-CU175,Tabla5[[#This Row],[INVERSIONES FCI]])</f>
        <v>25181729157.429768</v>
      </c>
      <c r="CV176" s="5">
        <f>IF($B175&lt;=Tabla5[[#This Row],[INVERSIONES FCI]],+Tabla5[[#This Row],[INVERSIONES FCI]]-CV175,Tabla5[[#This Row],[INVERSIONES FCI]])</f>
        <v>25181729157.429768</v>
      </c>
      <c r="CW176" s="5">
        <f>IF($B175&lt;=Tabla5[[#This Row],[INVERSIONES FCI]],+Tabla5[[#This Row],[INVERSIONES FCI]]-CW175,Tabla5[[#This Row],[INVERSIONES FCI]])</f>
        <v>25181729157.429768</v>
      </c>
      <c r="CX176" s="5">
        <f>IF($B175&lt;=Tabla5[[#This Row],[INVERSIONES FCI]],+Tabla5[[#This Row],[INVERSIONES FCI]]-CX175,Tabla5[[#This Row],[INVERSIONES FCI]])</f>
        <v>25181729157.429768</v>
      </c>
      <c r="CY176" s="5">
        <f>IF($B175&lt;=Tabla5[[#This Row],[INVERSIONES FCI]],+Tabla5[[#This Row],[INVERSIONES FCI]]-CY175,Tabla5[[#This Row],[INVERSIONES FCI]])</f>
        <v>25181729157.429768</v>
      </c>
      <c r="CZ176" s="5">
        <f>IF($B175&lt;=Tabla5[[#This Row],[INVERSIONES FCI]],+Tabla5[[#This Row],[INVERSIONES FCI]]-CZ175,Tabla5[[#This Row],[INVERSIONES FCI]])</f>
        <v>25181729157.429768</v>
      </c>
      <c r="DA176" s="5">
        <f>IF($B175&lt;=Tabla5[[#This Row],[INVERSIONES FCI]],+Tabla5[[#This Row],[INVERSIONES FCI]]-DA175,Tabla5[[#This Row],[INVERSIONES FCI]])</f>
        <v>25181729157.429768</v>
      </c>
      <c r="DB176" s="5">
        <f>IF($B175&lt;=Tabla5[[#This Row],[INVERSIONES FCI]],+Tabla5[[#This Row],[INVERSIONES FCI]]-DB175,Tabla5[[#This Row],[INVERSIONES FCI]])</f>
        <v>25181729157.429768</v>
      </c>
      <c r="DC176" s="5">
        <f>IF($B175&lt;=Tabla5[[#This Row],[INVERSIONES FCI]],+Tabla5[[#This Row],[INVERSIONES FCI]]-DC175,Tabla5[[#This Row],[INVERSIONES FCI]])</f>
        <v>25181729157.429768</v>
      </c>
      <c r="DD176" s="5">
        <f>IF($B175&lt;=Tabla5[[#This Row],[INVERSIONES FCI]],+Tabla5[[#This Row],[INVERSIONES FCI]]-DD175,Tabla5[[#This Row],[INVERSIONES FCI]])</f>
        <v>25181729157.429768</v>
      </c>
      <c r="DE176" s="5">
        <f>IF($B175&lt;=Tabla5[[#This Row],[INVERSIONES FCI]],+Tabla5[[#This Row],[INVERSIONES FCI]]-DE175,Tabla5[[#This Row],[INVERSIONES FCI]])</f>
        <v>25181729157.429768</v>
      </c>
      <c r="DF176" s="5">
        <f>IF($B175&lt;=Tabla5[[#This Row],[INVERSIONES FCI]],+Tabla5[[#This Row],[INVERSIONES FCI]]-DF175,Tabla5[[#This Row],[INVERSIONES FCI]])</f>
        <v>25181729157.429768</v>
      </c>
      <c r="DG176" s="5">
        <f>IF($B175&lt;=Tabla5[[#This Row],[INVERSIONES FCI]],+Tabla5[[#This Row],[INVERSIONES FCI]]-DG175,Tabla5[[#This Row],[INVERSIONES FCI]])</f>
        <v>25181729157.429768</v>
      </c>
      <c r="DH176" s="5">
        <f>IF($B175&lt;=Tabla5[[#This Row],[INVERSIONES FCI]],+Tabla5[[#This Row],[INVERSIONES FCI]]-DH175,Tabla5[[#This Row],[INVERSIONES FCI]])</f>
        <v>25181729157.429768</v>
      </c>
      <c r="DI176" s="5">
        <f>IF($B175&lt;=Tabla5[[#This Row],[INVERSIONES FCI]],+Tabla5[[#This Row],[INVERSIONES FCI]]-DI175,Tabla5[[#This Row],[INVERSIONES FCI]])</f>
        <v>25181729157.429768</v>
      </c>
      <c r="DJ176" s="5">
        <f>IF($B175&lt;=Tabla5[[#This Row],[INVERSIONES FCI]],+Tabla5[[#This Row],[INVERSIONES FCI]]-DJ175,Tabla5[[#This Row],[INVERSIONES FCI]])</f>
        <v>25181729157.429768</v>
      </c>
      <c r="DK176" s="5">
        <f>IF($B175&lt;=Tabla5[[#This Row],[INVERSIONES FCI]],+Tabla5[[#This Row],[INVERSIONES FCI]]-DK175,Tabla5[[#This Row],[INVERSIONES FCI]])</f>
        <v>25181729157.429768</v>
      </c>
      <c r="DL176" s="5"/>
      <c r="DM176" s="5"/>
      <c r="DN176" s="5"/>
      <c r="DO176" s="5"/>
      <c r="DP176" s="5"/>
      <c r="DQ176" s="5"/>
    </row>
    <row r="177" spans="1:121" ht="14.4">
      <c r="A177" s="12" t="s">
        <v>176</v>
      </c>
      <c r="B177" s="5">
        <f>HLOOKUP($A177,ESCENARIO[#All],7,FALSE)</f>
        <v>41956801438.91613</v>
      </c>
      <c r="C177" s="5">
        <f>IF($B176&lt;=Tabla5[[#This Row],[INVERSIONES FCI]],+Tabla5[[#This Row],[INVERSIONES FCI]]-C176,Tabla5[[#This Row],[INVERSIONES FCI]])</f>
        <v>16775072281.486362</v>
      </c>
      <c r="D177" s="5">
        <f>IF($B176&lt;=Tabla5[[#This Row],[INVERSIONES FCI]],+Tabla5[[#This Row],[INVERSIONES FCI]]-D176,Tabla5[[#This Row],[INVERSIONES FCI]])</f>
        <v>16775072281.486362</v>
      </c>
      <c r="E177" s="5">
        <f>IF($B176&lt;=Tabla5[[#This Row],[INVERSIONES FCI]],+Tabla5[[#This Row],[INVERSIONES FCI]]-E176,Tabla5[[#This Row],[INVERSIONES FCI]])</f>
        <v>16775072281.486362</v>
      </c>
      <c r="F177" s="5">
        <f>IF($B176&lt;=Tabla5[[#This Row],[INVERSIONES FCI]],+Tabla5[[#This Row],[INVERSIONES FCI]]-F176,Tabla5[[#This Row],[INVERSIONES FCI]])</f>
        <v>16775072281.486362</v>
      </c>
      <c r="G177" s="5">
        <f>IF($B176&lt;=Tabla5[[#This Row],[INVERSIONES FCI]],+Tabla5[[#This Row],[INVERSIONES FCI]]-G176,Tabla5[[#This Row],[INVERSIONES FCI]])</f>
        <v>16775072281.486362</v>
      </c>
      <c r="H177" s="5">
        <f>IF($B176&lt;=Tabla5[[#This Row],[INVERSIONES FCI]],+Tabla5[[#This Row],[INVERSIONES FCI]]-H176,Tabla5[[#This Row],[INVERSIONES FCI]])</f>
        <v>16775072281.486362</v>
      </c>
      <c r="I177" s="5">
        <f>IF($B176&lt;=Tabla5[[#This Row],[INVERSIONES FCI]],+Tabla5[[#This Row],[INVERSIONES FCI]]-I176,Tabla5[[#This Row],[INVERSIONES FCI]])</f>
        <v>16775072281.486362</v>
      </c>
      <c r="J177" s="5">
        <f>IF($B176&lt;=Tabla5[[#This Row],[INVERSIONES FCI]],+Tabla5[[#This Row],[INVERSIONES FCI]]-J176,Tabla5[[#This Row],[INVERSIONES FCI]])</f>
        <v>16775072281.486362</v>
      </c>
      <c r="K177" s="5">
        <f>IF($B176&lt;=Tabla5[[#This Row],[INVERSIONES FCI]],+Tabla5[[#This Row],[INVERSIONES FCI]]-K176,Tabla5[[#This Row],[INVERSIONES FCI]])</f>
        <v>16775072281.486362</v>
      </c>
      <c r="L177" s="5">
        <f>IF($B176&lt;=Tabla5[[#This Row],[INVERSIONES FCI]],+Tabla5[[#This Row],[INVERSIONES FCI]]-L176,Tabla5[[#This Row],[INVERSIONES FCI]])</f>
        <v>16775072281.486362</v>
      </c>
      <c r="M177" s="5">
        <f>IF($B176&lt;=Tabla5[[#This Row],[INVERSIONES FCI]],+Tabla5[[#This Row],[INVERSIONES FCI]]-M176,Tabla5[[#This Row],[INVERSIONES FCI]])</f>
        <v>16775072281.486362</v>
      </c>
      <c r="N177" s="5">
        <f>IF($B176&lt;=Tabla5[[#This Row],[INVERSIONES FCI]],+Tabla5[[#This Row],[INVERSIONES FCI]]-N176,Tabla5[[#This Row],[INVERSIONES FCI]])</f>
        <v>16775072281.486362</v>
      </c>
      <c r="O177" s="5">
        <f>IF($B176&lt;=Tabla5[[#This Row],[INVERSIONES FCI]],+Tabla5[[#This Row],[INVERSIONES FCI]]-O176,Tabla5[[#This Row],[INVERSIONES FCI]])</f>
        <v>16775072281.486362</v>
      </c>
      <c r="P177" s="5">
        <f>IF($B176&lt;=Tabla5[[#This Row],[INVERSIONES FCI]],+Tabla5[[#This Row],[INVERSIONES FCI]]-P176,Tabla5[[#This Row],[INVERSIONES FCI]])</f>
        <v>16775072281.486362</v>
      </c>
      <c r="Q177" s="5">
        <f>IF($B176&lt;=Tabla5[[#This Row],[INVERSIONES FCI]],+Tabla5[[#This Row],[INVERSIONES FCI]]-Q176,Tabla5[[#This Row],[INVERSIONES FCI]])</f>
        <v>16775072281.486362</v>
      </c>
      <c r="R177" s="5">
        <f>IF($B176&lt;=Tabla5[[#This Row],[INVERSIONES FCI]],+Tabla5[[#This Row],[INVERSIONES FCI]]-R176,Tabla5[[#This Row],[INVERSIONES FCI]])</f>
        <v>16775072281.486362</v>
      </c>
      <c r="S177" s="5">
        <f>IF($B176&lt;=Tabla5[[#This Row],[INVERSIONES FCI]],+Tabla5[[#This Row],[INVERSIONES FCI]]-S176,Tabla5[[#This Row],[INVERSIONES FCI]])</f>
        <v>16775072281.486362</v>
      </c>
      <c r="T177" s="5">
        <f>IF($B176&lt;=Tabla5[[#This Row],[INVERSIONES FCI]],+Tabla5[[#This Row],[INVERSIONES FCI]]-T176,Tabla5[[#This Row],[INVERSIONES FCI]])</f>
        <v>16775072281.486362</v>
      </c>
      <c r="U177" s="5">
        <f>IF($B176&lt;=Tabla5[[#This Row],[INVERSIONES FCI]],+Tabla5[[#This Row],[INVERSIONES FCI]]-U176,Tabla5[[#This Row],[INVERSIONES FCI]])</f>
        <v>16775072281.486362</v>
      </c>
      <c r="V177" s="5">
        <f>IF($B176&lt;=Tabla5[[#This Row],[INVERSIONES FCI]],+Tabla5[[#This Row],[INVERSIONES FCI]]-V176,Tabla5[[#This Row],[INVERSIONES FCI]])</f>
        <v>16775072281.486362</v>
      </c>
      <c r="W177" s="5">
        <f>IF($B176&lt;=Tabla5[[#This Row],[INVERSIONES FCI]],+Tabla5[[#This Row],[INVERSIONES FCI]]-W176,Tabla5[[#This Row],[INVERSIONES FCI]])</f>
        <v>16775072281.486362</v>
      </c>
      <c r="X177" s="5">
        <f>IF($B176&lt;=Tabla5[[#This Row],[INVERSIONES FCI]],+Tabla5[[#This Row],[INVERSIONES FCI]]-X176,Tabla5[[#This Row],[INVERSIONES FCI]])</f>
        <v>16775072281.486362</v>
      </c>
      <c r="Y177" s="5">
        <f>IF($B176&lt;=Tabla5[[#This Row],[INVERSIONES FCI]],+Tabla5[[#This Row],[INVERSIONES FCI]]-Y176,Tabla5[[#This Row],[INVERSIONES FCI]])</f>
        <v>16775072281.486362</v>
      </c>
      <c r="Z177" s="5">
        <f>IF($B176&lt;=Tabla5[[#This Row],[INVERSIONES FCI]],+Tabla5[[#This Row],[INVERSIONES FCI]]-Z176,Tabla5[[#This Row],[INVERSIONES FCI]])</f>
        <v>16775072281.486362</v>
      </c>
      <c r="AA177" s="5">
        <f>IF($B176&lt;=Tabla5[[#This Row],[INVERSIONES FCI]],+Tabla5[[#This Row],[INVERSIONES FCI]]-AA176,Tabla5[[#This Row],[INVERSIONES FCI]])</f>
        <v>16775072281.486362</v>
      </c>
      <c r="AB177" s="5">
        <f>IF($B176&lt;=Tabla5[[#This Row],[INVERSIONES FCI]],+Tabla5[[#This Row],[INVERSIONES FCI]]-AB176,Tabla5[[#This Row],[INVERSIONES FCI]])</f>
        <v>16775072281.486362</v>
      </c>
      <c r="AC177" s="5">
        <f>IF($B176&lt;=Tabla5[[#This Row],[INVERSIONES FCI]],+Tabla5[[#This Row],[INVERSIONES FCI]]-AC176,Tabla5[[#This Row],[INVERSIONES FCI]])</f>
        <v>16775072281.486362</v>
      </c>
      <c r="AD177" s="5">
        <f>IF($B176&lt;=Tabla5[[#This Row],[INVERSIONES FCI]],+Tabla5[[#This Row],[INVERSIONES FCI]]-AD176,Tabla5[[#This Row],[INVERSIONES FCI]])</f>
        <v>16775072281.486362</v>
      </c>
      <c r="AE177" s="5">
        <f>IF($B176&lt;=Tabla5[[#This Row],[INVERSIONES FCI]],+Tabla5[[#This Row],[INVERSIONES FCI]]-AE176,Tabla5[[#This Row],[INVERSIONES FCI]])</f>
        <v>16775072281.486362</v>
      </c>
      <c r="AF177" s="5">
        <f>IF($B176&lt;=Tabla5[[#This Row],[INVERSIONES FCI]],+Tabla5[[#This Row],[INVERSIONES FCI]]-AF176,Tabla5[[#This Row],[INVERSIONES FCI]])</f>
        <v>16775072281.486362</v>
      </c>
      <c r="AG177" s="5">
        <f>IF($B176&lt;=Tabla5[[#This Row],[INVERSIONES FCI]],+Tabla5[[#This Row],[INVERSIONES FCI]]-AG176,Tabla5[[#This Row],[INVERSIONES FCI]])</f>
        <v>16775072281.486362</v>
      </c>
      <c r="AH177" s="5">
        <f>IF($B176&lt;=Tabla5[[#This Row],[INVERSIONES FCI]],+Tabla5[[#This Row],[INVERSIONES FCI]]-AH176,Tabla5[[#This Row],[INVERSIONES FCI]])</f>
        <v>16775072281.486362</v>
      </c>
      <c r="AI177" s="5">
        <f>IF($B176&lt;=Tabla5[[#This Row],[INVERSIONES FCI]],+Tabla5[[#This Row],[INVERSIONES FCI]]-AI176,Tabla5[[#This Row],[INVERSIONES FCI]])</f>
        <v>16775072281.486362</v>
      </c>
      <c r="AJ177" s="5">
        <f>IF($B176&lt;=Tabla5[[#This Row],[INVERSIONES FCI]],+Tabla5[[#This Row],[INVERSIONES FCI]]-AJ176,Tabla5[[#This Row],[INVERSIONES FCI]])</f>
        <v>16775072281.486362</v>
      </c>
      <c r="AK177" s="5">
        <f>IF($B176&lt;=Tabla5[[#This Row],[INVERSIONES FCI]],+Tabla5[[#This Row],[INVERSIONES FCI]]-AK176,Tabla5[[#This Row],[INVERSIONES FCI]])</f>
        <v>16775072281.486362</v>
      </c>
      <c r="AL177" s="5">
        <f>IF($B176&lt;=Tabla5[[#This Row],[INVERSIONES FCI]],+Tabla5[[#This Row],[INVERSIONES FCI]]-AL176,Tabla5[[#This Row],[INVERSIONES FCI]])</f>
        <v>16775072281.486362</v>
      </c>
      <c r="AM177" s="5">
        <f>IF($B176&lt;=Tabla5[[#This Row],[INVERSIONES FCI]],+Tabla5[[#This Row],[INVERSIONES FCI]]-AM176,Tabla5[[#This Row],[INVERSIONES FCI]])</f>
        <v>16775072281.486362</v>
      </c>
      <c r="AN177" s="5">
        <f>IF($B176&lt;=Tabla5[[#This Row],[INVERSIONES FCI]],+Tabla5[[#This Row],[INVERSIONES FCI]]-AN176,Tabla5[[#This Row],[INVERSIONES FCI]])</f>
        <v>16775072281.486362</v>
      </c>
      <c r="AO177" s="5">
        <f>IF($B176&lt;=Tabla5[[#This Row],[INVERSIONES FCI]],+Tabla5[[#This Row],[INVERSIONES FCI]]-AO176,Tabla5[[#This Row],[INVERSIONES FCI]])</f>
        <v>16775072281.486362</v>
      </c>
      <c r="AP177" s="5">
        <f>IF($B176&lt;=Tabla5[[#This Row],[INVERSIONES FCI]],+Tabla5[[#This Row],[INVERSIONES FCI]]-AP176,Tabla5[[#This Row],[INVERSIONES FCI]])</f>
        <v>16775072281.486362</v>
      </c>
      <c r="AQ177" s="5">
        <f>IF($B176&lt;=Tabla5[[#This Row],[INVERSIONES FCI]],+Tabla5[[#This Row],[INVERSIONES FCI]]-AQ176,Tabla5[[#This Row],[INVERSIONES FCI]])</f>
        <v>16775072281.486362</v>
      </c>
      <c r="AR177" s="5">
        <f>IF($B176&lt;=Tabla5[[#This Row],[INVERSIONES FCI]],+Tabla5[[#This Row],[INVERSIONES FCI]]-AR176,Tabla5[[#This Row],[INVERSIONES FCI]])</f>
        <v>16775072281.486362</v>
      </c>
      <c r="AS177" s="5">
        <f>IF($B176&lt;=Tabla5[[#This Row],[INVERSIONES FCI]],+Tabla5[[#This Row],[INVERSIONES FCI]]-AS176,Tabla5[[#This Row],[INVERSIONES FCI]])</f>
        <v>16775072281.486362</v>
      </c>
      <c r="AT177" s="5">
        <f>IF($B176&lt;=Tabla5[[#This Row],[INVERSIONES FCI]],+Tabla5[[#This Row],[INVERSIONES FCI]]-AT176,Tabla5[[#This Row],[INVERSIONES FCI]])</f>
        <v>16775072281.486362</v>
      </c>
      <c r="AU177" s="5">
        <f>IF($B176&lt;=Tabla5[[#This Row],[INVERSIONES FCI]],+Tabla5[[#This Row],[INVERSIONES FCI]]-AU176,Tabla5[[#This Row],[INVERSIONES FCI]])</f>
        <v>16775072281.486362</v>
      </c>
      <c r="AV177" s="5">
        <f>IF($B176&lt;=Tabla5[[#This Row],[INVERSIONES FCI]],+Tabla5[[#This Row],[INVERSIONES FCI]]-AV176,Tabla5[[#This Row],[INVERSIONES FCI]])</f>
        <v>16775072281.486362</v>
      </c>
      <c r="AW177" s="5">
        <f>IF($B176&lt;=Tabla5[[#This Row],[INVERSIONES FCI]],+Tabla5[[#This Row],[INVERSIONES FCI]]-AW176,Tabla5[[#This Row],[INVERSIONES FCI]])</f>
        <v>16775072281.486362</v>
      </c>
      <c r="AX177" s="5">
        <f>IF($B176&lt;=Tabla5[[#This Row],[INVERSIONES FCI]],+Tabla5[[#This Row],[INVERSIONES FCI]]-AX176,Tabla5[[#This Row],[INVERSIONES FCI]])</f>
        <v>16775072281.486362</v>
      </c>
      <c r="AY177" s="5">
        <f>IF($B176&lt;=Tabla5[[#This Row],[INVERSIONES FCI]],+Tabla5[[#This Row],[INVERSIONES FCI]]-AY176,Tabla5[[#This Row],[INVERSIONES FCI]])</f>
        <v>16775072281.486362</v>
      </c>
      <c r="AZ177" s="5">
        <f>IF($B176&lt;=Tabla5[[#This Row],[INVERSIONES FCI]],+Tabla5[[#This Row],[INVERSIONES FCI]]-AZ176,Tabla5[[#This Row],[INVERSIONES FCI]])</f>
        <v>16775072281.486362</v>
      </c>
      <c r="BA177" s="5">
        <f>IF($B176&lt;=Tabla5[[#This Row],[INVERSIONES FCI]],+Tabla5[[#This Row],[INVERSIONES FCI]]-BA176,Tabla5[[#This Row],[INVERSIONES FCI]])</f>
        <v>16775072281.486362</v>
      </c>
      <c r="BB177" s="5">
        <f>IF($B176&lt;=Tabla5[[#This Row],[INVERSIONES FCI]],+Tabla5[[#This Row],[INVERSIONES FCI]]-BB176,Tabla5[[#This Row],[INVERSIONES FCI]])</f>
        <v>16775072281.486362</v>
      </c>
      <c r="BC177" s="5">
        <f>IF($B176&lt;=Tabla5[[#This Row],[INVERSIONES FCI]],+Tabla5[[#This Row],[INVERSIONES FCI]]-BC176,Tabla5[[#This Row],[INVERSIONES FCI]])</f>
        <v>16775072281.486362</v>
      </c>
      <c r="BD177" s="5">
        <f>IF($B176&lt;=Tabla5[[#This Row],[INVERSIONES FCI]],+Tabla5[[#This Row],[INVERSIONES FCI]]-BD176,Tabla5[[#This Row],[INVERSIONES FCI]])</f>
        <v>16775072281.486362</v>
      </c>
      <c r="BE177" s="5">
        <f>IF($B176&lt;=Tabla5[[#This Row],[INVERSIONES FCI]],+Tabla5[[#This Row],[INVERSIONES FCI]]-BE176,Tabla5[[#This Row],[INVERSIONES FCI]])</f>
        <v>16775072281.486362</v>
      </c>
      <c r="BF177" s="5">
        <f>IF($B176&lt;=Tabla5[[#This Row],[INVERSIONES FCI]],+Tabla5[[#This Row],[INVERSIONES FCI]]-BF176,Tabla5[[#This Row],[INVERSIONES FCI]])</f>
        <v>16775072281.486362</v>
      </c>
      <c r="BG177" s="5">
        <f>IF($B176&lt;=Tabla5[[#This Row],[INVERSIONES FCI]],+Tabla5[[#This Row],[INVERSIONES FCI]]-BG176,Tabla5[[#This Row],[INVERSIONES FCI]])</f>
        <v>16775072281.486362</v>
      </c>
      <c r="BH177" s="5">
        <f>IF($B176&lt;=Tabla5[[#This Row],[INVERSIONES FCI]],+Tabla5[[#This Row],[INVERSIONES FCI]]-BH176,Tabla5[[#This Row],[INVERSIONES FCI]])</f>
        <v>16775072281.486362</v>
      </c>
      <c r="BI177" s="5">
        <f>IF($B176&lt;=Tabla5[[#This Row],[INVERSIONES FCI]],+Tabla5[[#This Row],[INVERSIONES FCI]]-BI176,Tabla5[[#This Row],[INVERSIONES FCI]])</f>
        <v>16775072281.486362</v>
      </c>
      <c r="BJ177" s="5">
        <f>IF($B176&lt;=Tabla5[[#This Row],[INVERSIONES FCI]],+Tabla5[[#This Row],[INVERSIONES FCI]]-BJ176,Tabla5[[#This Row],[INVERSIONES FCI]])</f>
        <v>16775072281.486362</v>
      </c>
      <c r="BK177" s="5">
        <f>IF($B176&lt;=Tabla5[[#This Row],[INVERSIONES FCI]],+Tabla5[[#This Row],[INVERSIONES FCI]]-BK176,Tabla5[[#This Row],[INVERSIONES FCI]])</f>
        <v>16775072281.486362</v>
      </c>
      <c r="BL177" s="5">
        <f>IF($B176&lt;=Tabla5[[#This Row],[INVERSIONES FCI]],+Tabla5[[#This Row],[INVERSIONES FCI]]-BL176,Tabla5[[#This Row],[INVERSIONES FCI]])</f>
        <v>16775072281.486362</v>
      </c>
      <c r="BM177" s="5">
        <f>IF($B176&lt;=Tabla5[[#This Row],[INVERSIONES FCI]],+Tabla5[[#This Row],[INVERSIONES FCI]]-BM176,Tabla5[[#This Row],[INVERSIONES FCI]])</f>
        <v>16775072281.486362</v>
      </c>
      <c r="BN177" s="5">
        <f>IF($B176&lt;=Tabla5[[#This Row],[INVERSIONES FCI]],+Tabla5[[#This Row],[INVERSIONES FCI]]-BN176,Tabla5[[#This Row],[INVERSIONES FCI]])</f>
        <v>16775072281.486362</v>
      </c>
      <c r="BO177" s="5">
        <f>IF($B176&lt;=Tabla5[[#This Row],[INVERSIONES FCI]],+Tabla5[[#This Row],[INVERSIONES FCI]]-BO176,Tabla5[[#This Row],[INVERSIONES FCI]])</f>
        <v>16775072281.486362</v>
      </c>
      <c r="BP177" s="5">
        <f>IF($B176&lt;=Tabla5[[#This Row],[INVERSIONES FCI]],+Tabla5[[#This Row],[INVERSIONES FCI]]-BP176,Tabla5[[#This Row],[INVERSIONES FCI]])</f>
        <v>16775072281.486362</v>
      </c>
      <c r="BQ177" s="5">
        <f>IF($B176&lt;=Tabla5[[#This Row],[INVERSIONES FCI]],+Tabla5[[#This Row],[INVERSIONES FCI]]-BQ176,Tabla5[[#This Row],[INVERSIONES FCI]])</f>
        <v>16775072281.486362</v>
      </c>
      <c r="BR177" s="5">
        <f>IF($B176&lt;=Tabla5[[#This Row],[INVERSIONES FCI]],+Tabla5[[#This Row],[INVERSIONES FCI]]-BR176,Tabla5[[#This Row],[INVERSIONES FCI]])</f>
        <v>16775072281.486362</v>
      </c>
      <c r="BS177" s="5">
        <f>IF($B176&lt;=Tabla5[[#This Row],[INVERSIONES FCI]],+Tabla5[[#This Row],[INVERSIONES FCI]]-BS176,Tabla5[[#This Row],[INVERSIONES FCI]])</f>
        <v>16775072281.486362</v>
      </c>
      <c r="BT177" s="5">
        <f>IF($B176&lt;=Tabla5[[#This Row],[INVERSIONES FCI]],+Tabla5[[#This Row],[INVERSIONES FCI]]-BT176,Tabla5[[#This Row],[INVERSIONES FCI]])</f>
        <v>16775072281.486362</v>
      </c>
      <c r="BU177" s="5">
        <f>IF($B176&lt;=Tabla5[[#This Row],[INVERSIONES FCI]],+Tabla5[[#This Row],[INVERSIONES FCI]]-BU176,Tabla5[[#This Row],[INVERSIONES FCI]])</f>
        <v>16775072281.486362</v>
      </c>
      <c r="BV177" s="5">
        <f>IF($B176&lt;=Tabla5[[#This Row],[INVERSIONES FCI]],+Tabla5[[#This Row],[INVERSIONES FCI]]-BV176,Tabla5[[#This Row],[INVERSIONES FCI]])</f>
        <v>16775072281.486362</v>
      </c>
      <c r="BW177" s="5">
        <f>IF($B176&lt;=Tabla5[[#This Row],[INVERSIONES FCI]],+Tabla5[[#This Row],[INVERSIONES FCI]]-BW176,Tabla5[[#This Row],[INVERSIONES FCI]])</f>
        <v>16775072281.486362</v>
      </c>
      <c r="BX177" s="5">
        <f>IF($B176&lt;=Tabla5[[#This Row],[INVERSIONES FCI]],+Tabla5[[#This Row],[INVERSIONES FCI]]-BX176,Tabla5[[#This Row],[INVERSIONES FCI]])</f>
        <v>16775072281.486362</v>
      </c>
      <c r="BY177" s="5">
        <f>IF($B176&lt;=Tabla5[[#This Row],[INVERSIONES FCI]],+Tabla5[[#This Row],[INVERSIONES FCI]]-BY176,Tabla5[[#This Row],[INVERSIONES FCI]])</f>
        <v>16775072281.486362</v>
      </c>
      <c r="BZ177" s="5">
        <f>IF($B176&lt;=Tabla5[[#This Row],[INVERSIONES FCI]],+Tabla5[[#This Row],[INVERSIONES FCI]]-BZ176,Tabla5[[#This Row],[INVERSIONES FCI]])</f>
        <v>16775072281.486362</v>
      </c>
      <c r="CA177" s="5">
        <f>IF($B176&lt;=Tabla5[[#This Row],[INVERSIONES FCI]],+Tabla5[[#This Row],[INVERSIONES FCI]]-CA176,Tabla5[[#This Row],[INVERSIONES FCI]])</f>
        <v>16775072281.486362</v>
      </c>
      <c r="CB177" s="5">
        <f>IF($B176&lt;=Tabla5[[#This Row],[INVERSIONES FCI]],+Tabla5[[#This Row],[INVERSIONES FCI]]-CB176,Tabla5[[#This Row],[INVERSIONES FCI]])</f>
        <v>16775072281.486362</v>
      </c>
      <c r="CC177" s="5">
        <f>IF($B176&lt;=Tabla5[[#This Row],[INVERSIONES FCI]],+Tabla5[[#This Row],[INVERSIONES FCI]]-CC176,Tabla5[[#This Row],[INVERSIONES FCI]])</f>
        <v>16775072281.486362</v>
      </c>
      <c r="CD177" s="5">
        <f>IF($B176&lt;=Tabla5[[#This Row],[INVERSIONES FCI]],+Tabla5[[#This Row],[INVERSIONES FCI]]-CD176,Tabla5[[#This Row],[INVERSIONES FCI]])</f>
        <v>16775072281.486362</v>
      </c>
      <c r="CE177" s="5">
        <f>IF($B176&lt;=Tabla5[[#This Row],[INVERSIONES FCI]],+Tabla5[[#This Row],[INVERSIONES FCI]]-CE176,Tabla5[[#This Row],[INVERSIONES FCI]])</f>
        <v>16775072281.486362</v>
      </c>
      <c r="CF177" s="5">
        <f>IF($B176&lt;=Tabla5[[#This Row],[INVERSIONES FCI]],+Tabla5[[#This Row],[INVERSIONES FCI]]-CF176,Tabla5[[#This Row],[INVERSIONES FCI]])</f>
        <v>16775072281.486362</v>
      </c>
      <c r="CG177" s="5">
        <f>IF($B176&lt;=Tabla5[[#This Row],[INVERSIONES FCI]],+Tabla5[[#This Row],[INVERSIONES FCI]]-CG176,Tabla5[[#This Row],[INVERSIONES FCI]])</f>
        <v>16775072281.486362</v>
      </c>
      <c r="CH177" s="5">
        <f>IF($B176&lt;=Tabla5[[#This Row],[INVERSIONES FCI]],+Tabla5[[#This Row],[INVERSIONES FCI]]-CH176,Tabla5[[#This Row],[INVERSIONES FCI]])</f>
        <v>16775072281.486362</v>
      </c>
      <c r="CI177" s="5">
        <f>IF($B176&lt;=Tabla5[[#This Row],[INVERSIONES FCI]],+Tabla5[[#This Row],[INVERSIONES FCI]]-CI176,Tabla5[[#This Row],[INVERSIONES FCI]])</f>
        <v>16775072281.486362</v>
      </c>
      <c r="CJ177" s="5">
        <f>IF($B176&lt;=Tabla5[[#This Row],[INVERSIONES FCI]],+Tabla5[[#This Row],[INVERSIONES FCI]]-CJ176,Tabla5[[#This Row],[INVERSIONES FCI]])</f>
        <v>16775072281.486362</v>
      </c>
      <c r="CK177" s="5">
        <f>IF($B176&lt;=Tabla5[[#This Row],[INVERSIONES FCI]],+Tabla5[[#This Row],[INVERSIONES FCI]]-CK176,Tabla5[[#This Row],[INVERSIONES FCI]])</f>
        <v>16775072281.486362</v>
      </c>
      <c r="CL177" s="5">
        <f>IF($B176&lt;=Tabla5[[#This Row],[INVERSIONES FCI]],+Tabla5[[#This Row],[INVERSIONES FCI]]-CL176,Tabla5[[#This Row],[INVERSIONES FCI]])</f>
        <v>16775072281.486362</v>
      </c>
      <c r="CM177" s="5">
        <f>IF($B176&lt;=Tabla5[[#This Row],[INVERSIONES FCI]],+Tabla5[[#This Row],[INVERSIONES FCI]]-CM176,Tabla5[[#This Row],[INVERSIONES FCI]])</f>
        <v>16775072281.486362</v>
      </c>
      <c r="CN177" s="5">
        <f>IF($B176&lt;=Tabla5[[#This Row],[INVERSIONES FCI]],+Tabla5[[#This Row],[INVERSIONES FCI]]-CN176,Tabla5[[#This Row],[INVERSIONES FCI]])</f>
        <v>16775072281.486362</v>
      </c>
      <c r="CO177" s="5">
        <f>IF($B176&lt;=Tabla5[[#This Row],[INVERSIONES FCI]],+Tabla5[[#This Row],[INVERSIONES FCI]]-CO176,Tabla5[[#This Row],[INVERSIONES FCI]])</f>
        <v>16775072281.486362</v>
      </c>
      <c r="CP177" s="5">
        <f>IF($B176&lt;=Tabla5[[#This Row],[INVERSIONES FCI]],+Tabla5[[#This Row],[INVERSIONES FCI]]-CP176,Tabla5[[#This Row],[INVERSIONES FCI]])</f>
        <v>16775072281.486362</v>
      </c>
      <c r="CQ177" s="5">
        <f>IF($B176&lt;=Tabla5[[#This Row],[INVERSIONES FCI]],+Tabla5[[#This Row],[INVERSIONES FCI]]-CQ176,Tabla5[[#This Row],[INVERSIONES FCI]])</f>
        <v>16775072281.486362</v>
      </c>
      <c r="CR177" s="5">
        <f>IF($B176&lt;=Tabla5[[#This Row],[INVERSIONES FCI]],+Tabla5[[#This Row],[INVERSIONES FCI]]-CR176,Tabla5[[#This Row],[INVERSIONES FCI]])</f>
        <v>16775072281.486362</v>
      </c>
      <c r="CS177" s="5">
        <f>IF($B176&lt;=Tabla5[[#This Row],[INVERSIONES FCI]],+Tabla5[[#This Row],[INVERSIONES FCI]]-CS176,Tabla5[[#This Row],[INVERSIONES FCI]])</f>
        <v>16775072281.486362</v>
      </c>
      <c r="CT177" s="5">
        <f>IF($B176&lt;=Tabla5[[#This Row],[INVERSIONES FCI]],+Tabla5[[#This Row],[INVERSIONES FCI]]-CT176,Tabla5[[#This Row],[INVERSIONES FCI]])</f>
        <v>16775072281.486362</v>
      </c>
      <c r="CU177" s="5">
        <f>IF($B176&lt;=Tabla5[[#This Row],[INVERSIONES FCI]],+Tabla5[[#This Row],[INVERSIONES FCI]]-CU176,Tabla5[[#This Row],[INVERSIONES FCI]])</f>
        <v>16775072281.486362</v>
      </c>
      <c r="CV177" s="5">
        <f>IF($B176&lt;=Tabla5[[#This Row],[INVERSIONES FCI]],+Tabla5[[#This Row],[INVERSIONES FCI]]-CV176,Tabla5[[#This Row],[INVERSIONES FCI]])</f>
        <v>16775072281.486362</v>
      </c>
      <c r="CW177" s="5">
        <f>IF($B176&lt;=Tabla5[[#This Row],[INVERSIONES FCI]],+Tabla5[[#This Row],[INVERSIONES FCI]]-CW176,Tabla5[[#This Row],[INVERSIONES FCI]])</f>
        <v>16775072281.486362</v>
      </c>
      <c r="CX177" s="5">
        <f>IF($B176&lt;=Tabla5[[#This Row],[INVERSIONES FCI]],+Tabla5[[#This Row],[INVERSIONES FCI]]-CX176,Tabla5[[#This Row],[INVERSIONES FCI]])</f>
        <v>16775072281.486362</v>
      </c>
      <c r="CY177" s="5">
        <f>IF($B176&lt;=Tabla5[[#This Row],[INVERSIONES FCI]],+Tabla5[[#This Row],[INVERSIONES FCI]]-CY176,Tabla5[[#This Row],[INVERSIONES FCI]])</f>
        <v>16775072281.486362</v>
      </c>
      <c r="CZ177" s="5">
        <f>IF($B176&lt;=Tabla5[[#This Row],[INVERSIONES FCI]],+Tabla5[[#This Row],[INVERSIONES FCI]]-CZ176,Tabla5[[#This Row],[INVERSIONES FCI]])</f>
        <v>16775072281.486362</v>
      </c>
      <c r="DA177" s="5">
        <f>IF($B176&lt;=Tabla5[[#This Row],[INVERSIONES FCI]],+Tabla5[[#This Row],[INVERSIONES FCI]]-DA176,Tabla5[[#This Row],[INVERSIONES FCI]])</f>
        <v>16775072281.486362</v>
      </c>
      <c r="DB177" s="5">
        <f>IF($B176&lt;=Tabla5[[#This Row],[INVERSIONES FCI]],+Tabla5[[#This Row],[INVERSIONES FCI]]-DB176,Tabla5[[#This Row],[INVERSIONES FCI]])</f>
        <v>16775072281.486362</v>
      </c>
      <c r="DC177" s="5">
        <f>IF($B176&lt;=Tabla5[[#This Row],[INVERSIONES FCI]],+Tabla5[[#This Row],[INVERSIONES FCI]]-DC176,Tabla5[[#This Row],[INVERSIONES FCI]])</f>
        <v>16775072281.486362</v>
      </c>
      <c r="DD177" s="5">
        <f>IF($B176&lt;=Tabla5[[#This Row],[INVERSIONES FCI]],+Tabla5[[#This Row],[INVERSIONES FCI]]-DD176,Tabla5[[#This Row],[INVERSIONES FCI]])</f>
        <v>16775072281.486362</v>
      </c>
      <c r="DE177" s="5">
        <f>IF($B176&lt;=Tabla5[[#This Row],[INVERSIONES FCI]],+Tabla5[[#This Row],[INVERSIONES FCI]]-DE176,Tabla5[[#This Row],[INVERSIONES FCI]])</f>
        <v>16775072281.486362</v>
      </c>
      <c r="DF177" s="5">
        <f>IF($B176&lt;=Tabla5[[#This Row],[INVERSIONES FCI]],+Tabla5[[#This Row],[INVERSIONES FCI]]-DF176,Tabla5[[#This Row],[INVERSIONES FCI]])</f>
        <v>16775072281.486362</v>
      </c>
      <c r="DG177" s="5">
        <f>IF($B176&lt;=Tabla5[[#This Row],[INVERSIONES FCI]],+Tabla5[[#This Row],[INVERSIONES FCI]]-DG176,Tabla5[[#This Row],[INVERSIONES FCI]])</f>
        <v>16775072281.486362</v>
      </c>
      <c r="DH177" s="5">
        <f>IF($B176&lt;=Tabla5[[#This Row],[INVERSIONES FCI]],+Tabla5[[#This Row],[INVERSIONES FCI]]-DH176,Tabla5[[#This Row],[INVERSIONES FCI]])</f>
        <v>16775072281.486362</v>
      </c>
      <c r="DI177" s="5">
        <f>IF($B176&lt;=Tabla5[[#This Row],[INVERSIONES FCI]],+Tabla5[[#This Row],[INVERSIONES FCI]]-DI176,Tabla5[[#This Row],[INVERSIONES FCI]])</f>
        <v>16775072281.486362</v>
      </c>
      <c r="DJ177" s="5">
        <f>IF($B176&lt;=Tabla5[[#This Row],[INVERSIONES FCI]],+Tabla5[[#This Row],[INVERSIONES FCI]]-DJ176,Tabla5[[#This Row],[INVERSIONES FCI]])</f>
        <v>16775072281.486362</v>
      </c>
      <c r="DK177" s="5">
        <f>IF($B176&lt;=Tabla5[[#This Row],[INVERSIONES FCI]],+Tabla5[[#This Row],[INVERSIONES FCI]]-DK176,Tabla5[[#This Row],[INVERSIONES FCI]])</f>
        <v>16775072281.486362</v>
      </c>
      <c r="DL177" s="5"/>
      <c r="DM177" s="5"/>
      <c r="DN177" s="5"/>
      <c r="DO177" s="5"/>
      <c r="DP177" s="5"/>
      <c r="DQ177" s="5"/>
    </row>
    <row r="178" spans="1:121" ht="14.4">
      <c r="A178" s="12" t="s">
        <v>177</v>
      </c>
      <c r="B178" s="5">
        <f>HLOOKUP($A178,ESCENARIO[#All],7,FALSE)</f>
        <v>41956801438.91613</v>
      </c>
      <c r="C178" s="5">
        <f>IF($B177&lt;=Tabla5[[#This Row],[INVERSIONES FCI]],+Tabla5[[#This Row],[INVERSIONES FCI]]-C177,Tabla5[[#This Row],[INVERSIONES FCI]])</f>
        <v>25181729157.429768</v>
      </c>
      <c r="D178" s="5">
        <f>IF($B177&lt;=Tabla5[[#This Row],[INVERSIONES FCI]],+Tabla5[[#This Row],[INVERSIONES FCI]]-D177,Tabla5[[#This Row],[INVERSIONES FCI]])</f>
        <v>25181729157.429768</v>
      </c>
      <c r="E178" s="5">
        <f>IF($B177&lt;=Tabla5[[#This Row],[INVERSIONES FCI]],+Tabla5[[#This Row],[INVERSIONES FCI]]-E177,Tabla5[[#This Row],[INVERSIONES FCI]])</f>
        <v>25181729157.429768</v>
      </c>
      <c r="F178" s="5">
        <f>IF($B177&lt;=Tabla5[[#This Row],[INVERSIONES FCI]],+Tabla5[[#This Row],[INVERSIONES FCI]]-F177,Tabla5[[#This Row],[INVERSIONES FCI]])</f>
        <v>25181729157.429768</v>
      </c>
      <c r="G178" s="5">
        <f>IF($B177&lt;=Tabla5[[#This Row],[INVERSIONES FCI]],+Tabla5[[#This Row],[INVERSIONES FCI]]-G177,Tabla5[[#This Row],[INVERSIONES FCI]])</f>
        <v>25181729157.429768</v>
      </c>
      <c r="H178" s="5">
        <f>IF($B177&lt;=Tabla5[[#This Row],[INVERSIONES FCI]],+Tabla5[[#This Row],[INVERSIONES FCI]]-H177,Tabla5[[#This Row],[INVERSIONES FCI]])</f>
        <v>25181729157.429768</v>
      </c>
      <c r="I178" s="5">
        <f>IF($B177&lt;=Tabla5[[#This Row],[INVERSIONES FCI]],+Tabla5[[#This Row],[INVERSIONES FCI]]-I177,Tabla5[[#This Row],[INVERSIONES FCI]])</f>
        <v>25181729157.429768</v>
      </c>
      <c r="J178" s="5">
        <f>IF($B177&lt;=Tabla5[[#This Row],[INVERSIONES FCI]],+Tabla5[[#This Row],[INVERSIONES FCI]]-J177,Tabla5[[#This Row],[INVERSIONES FCI]])</f>
        <v>25181729157.429768</v>
      </c>
      <c r="K178" s="5">
        <f>IF($B177&lt;=Tabla5[[#This Row],[INVERSIONES FCI]],+Tabla5[[#This Row],[INVERSIONES FCI]]-K177,Tabla5[[#This Row],[INVERSIONES FCI]])</f>
        <v>25181729157.429768</v>
      </c>
      <c r="L178" s="5">
        <f>IF($B177&lt;=Tabla5[[#This Row],[INVERSIONES FCI]],+Tabla5[[#This Row],[INVERSIONES FCI]]-L177,Tabla5[[#This Row],[INVERSIONES FCI]])</f>
        <v>25181729157.429768</v>
      </c>
      <c r="M178" s="5">
        <f>IF($B177&lt;=Tabla5[[#This Row],[INVERSIONES FCI]],+Tabla5[[#This Row],[INVERSIONES FCI]]-M177,Tabla5[[#This Row],[INVERSIONES FCI]])</f>
        <v>25181729157.429768</v>
      </c>
      <c r="N178" s="5">
        <f>IF($B177&lt;=Tabla5[[#This Row],[INVERSIONES FCI]],+Tabla5[[#This Row],[INVERSIONES FCI]]-N177,Tabla5[[#This Row],[INVERSIONES FCI]])</f>
        <v>25181729157.429768</v>
      </c>
      <c r="O178" s="5">
        <f>IF($B177&lt;=Tabla5[[#This Row],[INVERSIONES FCI]],+Tabla5[[#This Row],[INVERSIONES FCI]]-O177,Tabla5[[#This Row],[INVERSIONES FCI]])</f>
        <v>25181729157.429768</v>
      </c>
      <c r="P178" s="5">
        <f>IF($B177&lt;=Tabla5[[#This Row],[INVERSIONES FCI]],+Tabla5[[#This Row],[INVERSIONES FCI]]-P177,Tabla5[[#This Row],[INVERSIONES FCI]])</f>
        <v>25181729157.429768</v>
      </c>
      <c r="Q178" s="5">
        <f>IF($B177&lt;=Tabla5[[#This Row],[INVERSIONES FCI]],+Tabla5[[#This Row],[INVERSIONES FCI]]-Q177,Tabla5[[#This Row],[INVERSIONES FCI]])</f>
        <v>25181729157.429768</v>
      </c>
      <c r="R178" s="5">
        <f>IF($B177&lt;=Tabla5[[#This Row],[INVERSIONES FCI]],+Tabla5[[#This Row],[INVERSIONES FCI]]-R177,Tabla5[[#This Row],[INVERSIONES FCI]])</f>
        <v>25181729157.429768</v>
      </c>
      <c r="S178" s="5">
        <f>IF($B177&lt;=Tabla5[[#This Row],[INVERSIONES FCI]],+Tabla5[[#This Row],[INVERSIONES FCI]]-S177,Tabla5[[#This Row],[INVERSIONES FCI]])</f>
        <v>25181729157.429768</v>
      </c>
      <c r="T178" s="5">
        <f>IF($B177&lt;=Tabla5[[#This Row],[INVERSIONES FCI]],+Tabla5[[#This Row],[INVERSIONES FCI]]-T177,Tabla5[[#This Row],[INVERSIONES FCI]])</f>
        <v>25181729157.429768</v>
      </c>
      <c r="U178" s="5">
        <f>IF($B177&lt;=Tabla5[[#This Row],[INVERSIONES FCI]],+Tabla5[[#This Row],[INVERSIONES FCI]]-U177,Tabla5[[#This Row],[INVERSIONES FCI]])</f>
        <v>25181729157.429768</v>
      </c>
      <c r="V178" s="5">
        <f>IF($B177&lt;=Tabla5[[#This Row],[INVERSIONES FCI]],+Tabla5[[#This Row],[INVERSIONES FCI]]-V177,Tabla5[[#This Row],[INVERSIONES FCI]])</f>
        <v>25181729157.429768</v>
      </c>
      <c r="W178" s="5">
        <f>IF($B177&lt;=Tabla5[[#This Row],[INVERSIONES FCI]],+Tabla5[[#This Row],[INVERSIONES FCI]]-W177,Tabla5[[#This Row],[INVERSIONES FCI]])</f>
        <v>25181729157.429768</v>
      </c>
      <c r="X178" s="5">
        <f>IF($B177&lt;=Tabla5[[#This Row],[INVERSIONES FCI]],+Tabla5[[#This Row],[INVERSIONES FCI]]-X177,Tabla5[[#This Row],[INVERSIONES FCI]])</f>
        <v>25181729157.429768</v>
      </c>
      <c r="Y178" s="5">
        <f>IF($B177&lt;=Tabla5[[#This Row],[INVERSIONES FCI]],+Tabla5[[#This Row],[INVERSIONES FCI]]-Y177,Tabla5[[#This Row],[INVERSIONES FCI]])</f>
        <v>25181729157.429768</v>
      </c>
      <c r="Z178" s="5">
        <f>IF($B177&lt;=Tabla5[[#This Row],[INVERSIONES FCI]],+Tabla5[[#This Row],[INVERSIONES FCI]]-Z177,Tabla5[[#This Row],[INVERSIONES FCI]])</f>
        <v>25181729157.429768</v>
      </c>
      <c r="AA178" s="5">
        <f>IF($B177&lt;=Tabla5[[#This Row],[INVERSIONES FCI]],+Tabla5[[#This Row],[INVERSIONES FCI]]-AA177,Tabla5[[#This Row],[INVERSIONES FCI]])</f>
        <v>25181729157.429768</v>
      </c>
      <c r="AB178" s="5">
        <f>IF($B177&lt;=Tabla5[[#This Row],[INVERSIONES FCI]],+Tabla5[[#This Row],[INVERSIONES FCI]]-AB177,Tabla5[[#This Row],[INVERSIONES FCI]])</f>
        <v>25181729157.429768</v>
      </c>
      <c r="AC178" s="5">
        <f>IF($B177&lt;=Tabla5[[#This Row],[INVERSIONES FCI]],+Tabla5[[#This Row],[INVERSIONES FCI]]-AC177,Tabla5[[#This Row],[INVERSIONES FCI]])</f>
        <v>25181729157.429768</v>
      </c>
      <c r="AD178" s="5">
        <f>IF($B177&lt;=Tabla5[[#This Row],[INVERSIONES FCI]],+Tabla5[[#This Row],[INVERSIONES FCI]]-AD177,Tabla5[[#This Row],[INVERSIONES FCI]])</f>
        <v>25181729157.429768</v>
      </c>
      <c r="AE178" s="5">
        <f>IF($B177&lt;=Tabla5[[#This Row],[INVERSIONES FCI]],+Tabla5[[#This Row],[INVERSIONES FCI]]-AE177,Tabla5[[#This Row],[INVERSIONES FCI]])</f>
        <v>25181729157.429768</v>
      </c>
      <c r="AF178" s="5">
        <f>IF($B177&lt;=Tabla5[[#This Row],[INVERSIONES FCI]],+Tabla5[[#This Row],[INVERSIONES FCI]]-AF177,Tabla5[[#This Row],[INVERSIONES FCI]])</f>
        <v>25181729157.429768</v>
      </c>
      <c r="AG178" s="5">
        <f>IF($B177&lt;=Tabla5[[#This Row],[INVERSIONES FCI]],+Tabla5[[#This Row],[INVERSIONES FCI]]-AG177,Tabla5[[#This Row],[INVERSIONES FCI]])</f>
        <v>25181729157.429768</v>
      </c>
      <c r="AH178" s="5">
        <f>IF($B177&lt;=Tabla5[[#This Row],[INVERSIONES FCI]],+Tabla5[[#This Row],[INVERSIONES FCI]]-AH177,Tabla5[[#This Row],[INVERSIONES FCI]])</f>
        <v>25181729157.429768</v>
      </c>
      <c r="AI178" s="5">
        <f>IF($B177&lt;=Tabla5[[#This Row],[INVERSIONES FCI]],+Tabla5[[#This Row],[INVERSIONES FCI]]-AI177,Tabla5[[#This Row],[INVERSIONES FCI]])</f>
        <v>25181729157.429768</v>
      </c>
      <c r="AJ178" s="5">
        <f>IF($B177&lt;=Tabla5[[#This Row],[INVERSIONES FCI]],+Tabla5[[#This Row],[INVERSIONES FCI]]-AJ177,Tabla5[[#This Row],[INVERSIONES FCI]])</f>
        <v>25181729157.429768</v>
      </c>
      <c r="AK178" s="5">
        <f>IF($B177&lt;=Tabla5[[#This Row],[INVERSIONES FCI]],+Tabla5[[#This Row],[INVERSIONES FCI]]-AK177,Tabla5[[#This Row],[INVERSIONES FCI]])</f>
        <v>25181729157.429768</v>
      </c>
      <c r="AL178" s="5">
        <f>IF($B177&lt;=Tabla5[[#This Row],[INVERSIONES FCI]],+Tabla5[[#This Row],[INVERSIONES FCI]]-AL177,Tabla5[[#This Row],[INVERSIONES FCI]])</f>
        <v>25181729157.429768</v>
      </c>
      <c r="AM178" s="5">
        <f>IF($B177&lt;=Tabla5[[#This Row],[INVERSIONES FCI]],+Tabla5[[#This Row],[INVERSIONES FCI]]-AM177,Tabla5[[#This Row],[INVERSIONES FCI]])</f>
        <v>25181729157.429768</v>
      </c>
      <c r="AN178" s="5">
        <f>IF($B177&lt;=Tabla5[[#This Row],[INVERSIONES FCI]],+Tabla5[[#This Row],[INVERSIONES FCI]]-AN177,Tabla5[[#This Row],[INVERSIONES FCI]])</f>
        <v>25181729157.429768</v>
      </c>
      <c r="AO178" s="5">
        <f>IF($B177&lt;=Tabla5[[#This Row],[INVERSIONES FCI]],+Tabla5[[#This Row],[INVERSIONES FCI]]-AO177,Tabla5[[#This Row],[INVERSIONES FCI]])</f>
        <v>25181729157.429768</v>
      </c>
      <c r="AP178" s="5">
        <f>IF($B177&lt;=Tabla5[[#This Row],[INVERSIONES FCI]],+Tabla5[[#This Row],[INVERSIONES FCI]]-AP177,Tabla5[[#This Row],[INVERSIONES FCI]])</f>
        <v>25181729157.429768</v>
      </c>
      <c r="AQ178" s="5">
        <f>IF($B177&lt;=Tabla5[[#This Row],[INVERSIONES FCI]],+Tabla5[[#This Row],[INVERSIONES FCI]]-AQ177,Tabla5[[#This Row],[INVERSIONES FCI]])</f>
        <v>25181729157.429768</v>
      </c>
      <c r="AR178" s="5">
        <f>IF($B177&lt;=Tabla5[[#This Row],[INVERSIONES FCI]],+Tabla5[[#This Row],[INVERSIONES FCI]]-AR177,Tabla5[[#This Row],[INVERSIONES FCI]])</f>
        <v>25181729157.429768</v>
      </c>
      <c r="AS178" s="5">
        <f>IF($B177&lt;=Tabla5[[#This Row],[INVERSIONES FCI]],+Tabla5[[#This Row],[INVERSIONES FCI]]-AS177,Tabla5[[#This Row],[INVERSIONES FCI]])</f>
        <v>25181729157.429768</v>
      </c>
      <c r="AT178" s="5">
        <f>IF($B177&lt;=Tabla5[[#This Row],[INVERSIONES FCI]],+Tabla5[[#This Row],[INVERSIONES FCI]]-AT177,Tabla5[[#This Row],[INVERSIONES FCI]])</f>
        <v>25181729157.429768</v>
      </c>
      <c r="AU178" s="5">
        <f>IF($B177&lt;=Tabla5[[#This Row],[INVERSIONES FCI]],+Tabla5[[#This Row],[INVERSIONES FCI]]-AU177,Tabla5[[#This Row],[INVERSIONES FCI]])</f>
        <v>25181729157.429768</v>
      </c>
      <c r="AV178" s="5">
        <f>IF($B177&lt;=Tabla5[[#This Row],[INVERSIONES FCI]],+Tabla5[[#This Row],[INVERSIONES FCI]]-AV177,Tabla5[[#This Row],[INVERSIONES FCI]])</f>
        <v>25181729157.429768</v>
      </c>
      <c r="AW178" s="5">
        <f>IF($B177&lt;=Tabla5[[#This Row],[INVERSIONES FCI]],+Tabla5[[#This Row],[INVERSIONES FCI]]-AW177,Tabla5[[#This Row],[INVERSIONES FCI]])</f>
        <v>25181729157.429768</v>
      </c>
      <c r="AX178" s="5">
        <f>IF($B177&lt;=Tabla5[[#This Row],[INVERSIONES FCI]],+Tabla5[[#This Row],[INVERSIONES FCI]]-AX177,Tabla5[[#This Row],[INVERSIONES FCI]])</f>
        <v>25181729157.429768</v>
      </c>
      <c r="AY178" s="5">
        <f>IF($B177&lt;=Tabla5[[#This Row],[INVERSIONES FCI]],+Tabla5[[#This Row],[INVERSIONES FCI]]-AY177,Tabla5[[#This Row],[INVERSIONES FCI]])</f>
        <v>25181729157.429768</v>
      </c>
      <c r="AZ178" s="5">
        <f>IF($B177&lt;=Tabla5[[#This Row],[INVERSIONES FCI]],+Tabla5[[#This Row],[INVERSIONES FCI]]-AZ177,Tabla5[[#This Row],[INVERSIONES FCI]])</f>
        <v>25181729157.429768</v>
      </c>
      <c r="BA178" s="5">
        <f>IF($B177&lt;=Tabla5[[#This Row],[INVERSIONES FCI]],+Tabla5[[#This Row],[INVERSIONES FCI]]-BA177,Tabla5[[#This Row],[INVERSIONES FCI]])</f>
        <v>25181729157.429768</v>
      </c>
      <c r="BB178" s="5">
        <f>IF($B177&lt;=Tabla5[[#This Row],[INVERSIONES FCI]],+Tabla5[[#This Row],[INVERSIONES FCI]]-BB177,Tabla5[[#This Row],[INVERSIONES FCI]])</f>
        <v>25181729157.429768</v>
      </c>
      <c r="BC178" s="5">
        <f>IF($B177&lt;=Tabla5[[#This Row],[INVERSIONES FCI]],+Tabla5[[#This Row],[INVERSIONES FCI]]-BC177,Tabla5[[#This Row],[INVERSIONES FCI]])</f>
        <v>25181729157.429768</v>
      </c>
      <c r="BD178" s="5">
        <f>IF($B177&lt;=Tabla5[[#This Row],[INVERSIONES FCI]],+Tabla5[[#This Row],[INVERSIONES FCI]]-BD177,Tabla5[[#This Row],[INVERSIONES FCI]])</f>
        <v>25181729157.429768</v>
      </c>
      <c r="BE178" s="5">
        <f>IF($B177&lt;=Tabla5[[#This Row],[INVERSIONES FCI]],+Tabla5[[#This Row],[INVERSIONES FCI]]-BE177,Tabla5[[#This Row],[INVERSIONES FCI]])</f>
        <v>25181729157.429768</v>
      </c>
      <c r="BF178" s="5">
        <f>IF($B177&lt;=Tabla5[[#This Row],[INVERSIONES FCI]],+Tabla5[[#This Row],[INVERSIONES FCI]]-BF177,Tabla5[[#This Row],[INVERSIONES FCI]])</f>
        <v>25181729157.429768</v>
      </c>
      <c r="BG178" s="5">
        <f>IF($B177&lt;=Tabla5[[#This Row],[INVERSIONES FCI]],+Tabla5[[#This Row],[INVERSIONES FCI]]-BG177,Tabla5[[#This Row],[INVERSIONES FCI]])</f>
        <v>25181729157.429768</v>
      </c>
      <c r="BH178" s="5">
        <f>IF($B177&lt;=Tabla5[[#This Row],[INVERSIONES FCI]],+Tabla5[[#This Row],[INVERSIONES FCI]]-BH177,Tabla5[[#This Row],[INVERSIONES FCI]])</f>
        <v>25181729157.429768</v>
      </c>
      <c r="BI178" s="5">
        <f>IF($B177&lt;=Tabla5[[#This Row],[INVERSIONES FCI]],+Tabla5[[#This Row],[INVERSIONES FCI]]-BI177,Tabla5[[#This Row],[INVERSIONES FCI]])</f>
        <v>25181729157.429768</v>
      </c>
      <c r="BJ178" s="5">
        <f>IF($B177&lt;=Tabla5[[#This Row],[INVERSIONES FCI]],+Tabla5[[#This Row],[INVERSIONES FCI]]-BJ177,Tabla5[[#This Row],[INVERSIONES FCI]])</f>
        <v>25181729157.429768</v>
      </c>
      <c r="BK178" s="5">
        <f>IF($B177&lt;=Tabla5[[#This Row],[INVERSIONES FCI]],+Tabla5[[#This Row],[INVERSIONES FCI]]-BK177,Tabla5[[#This Row],[INVERSIONES FCI]])</f>
        <v>25181729157.429768</v>
      </c>
      <c r="BL178" s="5">
        <f>IF($B177&lt;=Tabla5[[#This Row],[INVERSIONES FCI]],+Tabla5[[#This Row],[INVERSIONES FCI]]-BL177,Tabla5[[#This Row],[INVERSIONES FCI]])</f>
        <v>25181729157.429768</v>
      </c>
      <c r="BM178" s="5">
        <f>IF($B177&lt;=Tabla5[[#This Row],[INVERSIONES FCI]],+Tabla5[[#This Row],[INVERSIONES FCI]]-BM177,Tabla5[[#This Row],[INVERSIONES FCI]])</f>
        <v>25181729157.429768</v>
      </c>
      <c r="BN178" s="5">
        <f>IF($B177&lt;=Tabla5[[#This Row],[INVERSIONES FCI]],+Tabla5[[#This Row],[INVERSIONES FCI]]-BN177,Tabla5[[#This Row],[INVERSIONES FCI]])</f>
        <v>25181729157.429768</v>
      </c>
      <c r="BO178" s="5">
        <f>IF($B177&lt;=Tabla5[[#This Row],[INVERSIONES FCI]],+Tabla5[[#This Row],[INVERSIONES FCI]]-BO177,Tabla5[[#This Row],[INVERSIONES FCI]])</f>
        <v>25181729157.429768</v>
      </c>
      <c r="BP178" s="5">
        <f>IF($B177&lt;=Tabla5[[#This Row],[INVERSIONES FCI]],+Tabla5[[#This Row],[INVERSIONES FCI]]-BP177,Tabla5[[#This Row],[INVERSIONES FCI]])</f>
        <v>25181729157.429768</v>
      </c>
      <c r="BQ178" s="5">
        <f>IF($B177&lt;=Tabla5[[#This Row],[INVERSIONES FCI]],+Tabla5[[#This Row],[INVERSIONES FCI]]-BQ177,Tabla5[[#This Row],[INVERSIONES FCI]])</f>
        <v>25181729157.429768</v>
      </c>
      <c r="BR178" s="5">
        <f>IF($B177&lt;=Tabla5[[#This Row],[INVERSIONES FCI]],+Tabla5[[#This Row],[INVERSIONES FCI]]-BR177,Tabla5[[#This Row],[INVERSIONES FCI]])</f>
        <v>25181729157.429768</v>
      </c>
      <c r="BS178" s="5">
        <f>IF($B177&lt;=Tabla5[[#This Row],[INVERSIONES FCI]],+Tabla5[[#This Row],[INVERSIONES FCI]]-BS177,Tabla5[[#This Row],[INVERSIONES FCI]])</f>
        <v>25181729157.429768</v>
      </c>
      <c r="BT178" s="5">
        <f>IF($B177&lt;=Tabla5[[#This Row],[INVERSIONES FCI]],+Tabla5[[#This Row],[INVERSIONES FCI]]-BT177,Tabla5[[#This Row],[INVERSIONES FCI]])</f>
        <v>25181729157.429768</v>
      </c>
      <c r="BU178" s="5">
        <f>IF($B177&lt;=Tabla5[[#This Row],[INVERSIONES FCI]],+Tabla5[[#This Row],[INVERSIONES FCI]]-BU177,Tabla5[[#This Row],[INVERSIONES FCI]])</f>
        <v>25181729157.429768</v>
      </c>
      <c r="BV178" s="5">
        <f>IF($B177&lt;=Tabla5[[#This Row],[INVERSIONES FCI]],+Tabla5[[#This Row],[INVERSIONES FCI]]-BV177,Tabla5[[#This Row],[INVERSIONES FCI]])</f>
        <v>25181729157.429768</v>
      </c>
      <c r="BW178" s="5">
        <f>IF($B177&lt;=Tabla5[[#This Row],[INVERSIONES FCI]],+Tabla5[[#This Row],[INVERSIONES FCI]]-BW177,Tabla5[[#This Row],[INVERSIONES FCI]])</f>
        <v>25181729157.429768</v>
      </c>
      <c r="BX178" s="5">
        <f>IF($B177&lt;=Tabla5[[#This Row],[INVERSIONES FCI]],+Tabla5[[#This Row],[INVERSIONES FCI]]-BX177,Tabla5[[#This Row],[INVERSIONES FCI]])</f>
        <v>25181729157.429768</v>
      </c>
      <c r="BY178" s="5">
        <f>IF($B177&lt;=Tabla5[[#This Row],[INVERSIONES FCI]],+Tabla5[[#This Row],[INVERSIONES FCI]]-BY177,Tabla5[[#This Row],[INVERSIONES FCI]])</f>
        <v>25181729157.429768</v>
      </c>
      <c r="BZ178" s="5">
        <f>IF($B177&lt;=Tabla5[[#This Row],[INVERSIONES FCI]],+Tabla5[[#This Row],[INVERSIONES FCI]]-BZ177,Tabla5[[#This Row],[INVERSIONES FCI]])</f>
        <v>25181729157.429768</v>
      </c>
      <c r="CA178" s="5">
        <f>IF($B177&lt;=Tabla5[[#This Row],[INVERSIONES FCI]],+Tabla5[[#This Row],[INVERSIONES FCI]]-CA177,Tabla5[[#This Row],[INVERSIONES FCI]])</f>
        <v>25181729157.429768</v>
      </c>
      <c r="CB178" s="5">
        <f>IF($B177&lt;=Tabla5[[#This Row],[INVERSIONES FCI]],+Tabla5[[#This Row],[INVERSIONES FCI]]-CB177,Tabla5[[#This Row],[INVERSIONES FCI]])</f>
        <v>25181729157.429768</v>
      </c>
      <c r="CC178" s="5">
        <f>IF($B177&lt;=Tabla5[[#This Row],[INVERSIONES FCI]],+Tabla5[[#This Row],[INVERSIONES FCI]]-CC177,Tabla5[[#This Row],[INVERSIONES FCI]])</f>
        <v>25181729157.429768</v>
      </c>
      <c r="CD178" s="5">
        <f>IF($B177&lt;=Tabla5[[#This Row],[INVERSIONES FCI]],+Tabla5[[#This Row],[INVERSIONES FCI]]-CD177,Tabla5[[#This Row],[INVERSIONES FCI]])</f>
        <v>25181729157.429768</v>
      </c>
      <c r="CE178" s="5">
        <f>IF($B177&lt;=Tabla5[[#This Row],[INVERSIONES FCI]],+Tabla5[[#This Row],[INVERSIONES FCI]]-CE177,Tabla5[[#This Row],[INVERSIONES FCI]])</f>
        <v>25181729157.429768</v>
      </c>
      <c r="CF178" s="5">
        <f>IF($B177&lt;=Tabla5[[#This Row],[INVERSIONES FCI]],+Tabla5[[#This Row],[INVERSIONES FCI]]-CF177,Tabla5[[#This Row],[INVERSIONES FCI]])</f>
        <v>25181729157.429768</v>
      </c>
      <c r="CG178" s="5">
        <f>IF($B177&lt;=Tabla5[[#This Row],[INVERSIONES FCI]],+Tabla5[[#This Row],[INVERSIONES FCI]]-CG177,Tabla5[[#This Row],[INVERSIONES FCI]])</f>
        <v>25181729157.429768</v>
      </c>
      <c r="CH178" s="5">
        <f>IF($B177&lt;=Tabla5[[#This Row],[INVERSIONES FCI]],+Tabla5[[#This Row],[INVERSIONES FCI]]-CH177,Tabla5[[#This Row],[INVERSIONES FCI]])</f>
        <v>25181729157.429768</v>
      </c>
      <c r="CI178" s="5">
        <f>IF($B177&lt;=Tabla5[[#This Row],[INVERSIONES FCI]],+Tabla5[[#This Row],[INVERSIONES FCI]]-CI177,Tabla5[[#This Row],[INVERSIONES FCI]])</f>
        <v>25181729157.429768</v>
      </c>
      <c r="CJ178" s="5">
        <f>IF($B177&lt;=Tabla5[[#This Row],[INVERSIONES FCI]],+Tabla5[[#This Row],[INVERSIONES FCI]]-CJ177,Tabla5[[#This Row],[INVERSIONES FCI]])</f>
        <v>25181729157.429768</v>
      </c>
      <c r="CK178" s="5">
        <f>IF($B177&lt;=Tabla5[[#This Row],[INVERSIONES FCI]],+Tabla5[[#This Row],[INVERSIONES FCI]]-CK177,Tabla5[[#This Row],[INVERSIONES FCI]])</f>
        <v>25181729157.429768</v>
      </c>
      <c r="CL178" s="5">
        <f>IF($B177&lt;=Tabla5[[#This Row],[INVERSIONES FCI]],+Tabla5[[#This Row],[INVERSIONES FCI]]-CL177,Tabla5[[#This Row],[INVERSIONES FCI]])</f>
        <v>25181729157.429768</v>
      </c>
      <c r="CM178" s="5">
        <f>IF($B177&lt;=Tabla5[[#This Row],[INVERSIONES FCI]],+Tabla5[[#This Row],[INVERSIONES FCI]]-CM177,Tabla5[[#This Row],[INVERSIONES FCI]])</f>
        <v>25181729157.429768</v>
      </c>
      <c r="CN178" s="5">
        <f>IF($B177&lt;=Tabla5[[#This Row],[INVERSIONES FCI]],+Tabla5[[#This Row],[INVERSIONES FCI]]-CN177,Tabla5[[#This Row],[INVERSIONES FCI]])</f>
        <v>25181729157.429768</v>
      </c>
      <c r="CO178" s="5">
        <f>IF($B177&lt;=Tabla5[[#This Row],[INVERSIONES FCI]],+Tabla5[[#This Row],[INVERSIONES FCI]]-CO177,Tabla5[[#This Row],[INVERSIONES FCI]])</f>
        <v>25181729157.429768</v>
      </c>
      <c r="CP178" s="5">
        <f>IF($B177&lt;=Tabla5[[#This Row],[INVERSIONES FCI]],+Tabla5[[#This Row],[INVERSIONES FCI]]-CP177,Tabla5[[#This Row],[INVERSIONES FCI]])</f>
        <v>25181729157.429768</v>
      </c>
      <c r="CQ178" s="5">
        <f>IF($B177&lt;=Tabla5[[#This Row],[INVERSIONES FCI]],+Tabla5[[#This Row],[INVERSIONES FCI]]-CQ177,Tabla5[[#This Row],[INVERSIONES FCI]])</f>
        <v>25181729157.429768</v>
      </c>
      <c r="CR178" s="5">
        <f>IF($B177&lt;=Tabla5[[#This Row],[INVERSIONES FCI]],+Tabla5[[#This Row],[INVERSIONES FCI]]-CR177,Tabla5[[#This Row],[INVERSIONES FCI]])</f>
        <v>25181729157.429768</v>
      </c>
      <c r="CS178" s="5">
        <f>IF($B177&lt;=Tabla5[[#This Row],[INVERSIONES FCI]],+Tabla5[[#This Row],[INVERSIONES FCI]]-CS177,Tabla5[[#This Row],[INVERSIONES FCI]])</f>
        <v>25181729157.429768</v>
      </c>
      <c r="CT178" s="5">
        <f>IF($B177&lt;=Tabla5[[#This Row],[INVERSIONES FCI]],+Tabla5[[#This Row],[INVERSIONES FCI]]-CT177,Tabla5[[#This Row],[INVERSIONES FCI]])</f>
        <v>25181729157.429768</v>
      </c>
      <c r="CU178" s="5">
        <f>IF($B177&lt;=Tabla5[[#This Row],[INVERSIONES FCI]],+Tabla5[[#This Row],[INVERSIONES FCI]]-CU177,Tabla5[[#This Row],[INVERSIONES FCI]])</f>
        <v>25181729157.429768</v>
      </c>
      <c r="CV178" s="5">
        <f>IF($B177&lt;=Tabla5[[#This Row],[INVERSIONES FCI]],+Tabla5[[#This Row],[INVERSIONES FCI]]-CV177,Tabla5[[#This Row],[INVERSIONES FCI]])</f>
        <v>25181729157.429768</v>
      </c>
      <c r="CW178" s="5">
        <f>IF($B177&lt;=Tabla5[[#This Row],[INVERSIONES FCI]],+Tabla5[[#This Row],[INVERSIONES FCI]]-CW177,Tabla5[[#This Row],[INVERSIONES FCI]])</f>
        <v>25181729157.429768</v>
      </c>
      <c r="CX178" s="5">
        <f>IF($B177&lt;=Tabla5[[#This Row],[INVERSIONES FCI]],+Tabla5[[#This Row],[INVERSIONES FCI]]-CX177,Tabla5[[#This Row],[INVERSIONES FCI]])</f>
        <v>25181729157.429768</v>
      </c>
      <c r="CY178" s="5">
        <f>IF($B177&lt;=Tabla5[[#This Row],[INVERSIONES FCI]],+Tabla5[[#This Row],[INVERSIONES FCI]]-CY177,Tabla5[[#This Row],[INVERSIONES FCI]])</f>
        <v>25181729157.429768</v>
      </c>
      <c r="CZ178" s="5">
        <f>IF($B177&lt;=Tabla5[[#This Row],[INVERSIONES FCI]],+Tabla5[[#This Row],[INVERSIONES FCI]]-CZ177,Tabla5[[#This Row],[INVERSIONES FCI]])</f>
        <v>25181729157.429768</v>
      </c>
      <c r="DA178" s="5">
        <f>IF($B177&lt;=Tabla5[[#This Row],[INVERSIONES FCI]],+Tabla5[[#This Row],[INVERSIONES FCI]]-DA177,Tabla5[[#This Row],[INVERSIONES FCI]])</f>
        <v>25181729157.429768</v>
      </c>
      <c r="DB178" s="5">
        <f>IF($B177&lt;=Tabla5[[#This Row],[INVERSIONES FCI]],+Tabla5[[#This Row],[INVERSIONES FCI]]-DB177,Tabla5[[#This Row],[INVERSIONES FCI]])</f>
        <v>25181729157.429768</v>
      </c>
      <c r="DC178" s="5">
        <f>IF($B177&lt;=Tabla5[[#This Row],[INVERSIONES FCI]],+Tabla5[[#This Row],[INVERSIONES FCI]]-DC177,Tabla5[[#This Row],[INVERSIONES FCI]])</f>
        <v>25181729157.429768</v>
      </c>
      <c r="DD178" s="5">
        <f>IF($B177&lt;=Tabla5[[#This Row],[INVERSIONES FCI]],+Tabla5[[#This Row],[INVERSIONES FCI]]-DD177,Tabla5[[#This Row],[INVERSIONES FCI]])</f>
        <v>25181729157.429768</v>
      </c>
      <c r="DE178" s="5">
        <f>IF($B177&lt;=Tabla5[[#This Row],[INVERSIONES FCI]],+Tabla5[[#This Row],[INVERSIONES FCI]]-DE177,Tabla5[[#This Row],[INVERSIONES FCI]])</f>
        <v>25181729157.429768</v>
      </c>
      <c r="DF178" s="5">
        <f>IF($B177&lt;=Tabla5[[#This Row],[INVERSIONES FCI]],+Tabla5[[#This Row],[INVERSIONES FCI]]-DF177,Tabla5[[#This Row],[INVERSIONES FCI]])</f>
        <v>25181729157.429768</v>
      </c>
      <c r="DG178" s="5">
        <f>IF($B177&lt;=Tabla5[[#This Row],[INVERSIONES FCI]],+Tabla5[[#This Row],[INVERSIONES FCI]]-DG177,Tabla5[[#This Row],[INVERSIONES FCI]])</f>
        <v>25181729157.429768</v>
      </c>
      <c r="DH178" s="5">
        <f>IF($B177&lt;=Tabla5[[#This Row],[INVERSIONES FCI]],+Tabla5[[#This Row],[INVERSIONES FCI]]-DH177,Tabla5[[#This Row],[INVERSIONES FCI]])</f>
        <v>25181729157.429768</v>
      </c>
      <c r="DI178" s="5">
        <f>IF($B177&lt;=Tabla5[[#This Row],[INVERSIONES FCI]],+Tabla5[[#This Row],[INVERSIONES FCI]]-DI177,Tabla5[[#This Row],[INVERSIONES FCI]])</f>
        <v>25181729157.429768</v>
      </c>
      <c r="DJ178" s="5">
        <f>IF($B177&lt;=Tabla5[[#This Row],[INVERSIONES FCI]],+Tabla5[[#This Row],[INVERSIONES FCI]]-DJ177,Tabla5[[#This Row],[INVERSIONES FCI]])</f>
        <v>25181729157.429768</v>
      </c>
      <c r="DK178" s="5">
        <f>IF($B177&lt;=Tabla5[[#This Row],[INVERSIONES FCI]],+Tabla5[[#This Row],[INVERSIONES FCI]]-DK177,Tabla5[[#This Row],[INVERSIONES FCI]])</f>
        <v>25181729157.429768</v>
      </c>
      <c r="DL178" s="5"/>
      <c r="DM178" s="5"/>
      <c r="DN178" s="5"/>
      <c r="DO178" s="5"/>
      <c r="DP178" s="5"/>
      <c r="DQ178" s="5"/>
    </row>
    <row r="179" spans="1:121" ht="14.4">
      <c r="A179" s="12" t="s">
        <v>178</v>
      </c>
      <c r="B179" s="5">
        <f>HLOOKUP($A179,ESCENARIO[#All],7,FALSE)</f>
        <v>38625287235.144409</v>
      </c>
      <c r="C179" s="5">
        <f>IF($B178&lt;=Tabla5[[#This Row],[INVERSIONES FCI]],+Tabla5[[#This Row],[INVERSIONES FCI]]-C178,Tabla5[[#This Row],[INVERSIONES FCI]])</f>
        <v>38625287235.144409</v>
      </c>
      <c r="D179" s="5">
        <f>IF($B178&lt;=Tabla5[[#This Row],[INVERSIONES FCI]],+Tabla5[[#This Row],[INVERSIONES FCI]]-D178,Tabla5[[#This Row],[INVERSIONES FCI]])</f>
        <v>38625287235.144409</v>
      </c>
      <c r="E179" s="5">
        <f>IF($B178&lt;=Tabla5[[#This Row],[INVERSIONES FCI]],+Tabla5[[#This Row],[INVERSIONES FCI]]-E178,Tabla5[[#This Row],[INVERSIONES FCI]])</f>
        <v>38625287235.144409</v>
      </c>
      <c r="F179" s="5">
        <f>IF($B178&lt;=Tabla5[[#This Row],[INVERSIONES FCI]],+Tabla5[[#This Row],[INVERSIONES FCI]]-F178,Tabla5[[#This Row],[INVERSIONES FCI]])</f>
        <v>38625287235.144409</v>
      </c>
      <c r="G179" s="5">
        <f>IF($B178&lt;=Tabla5[[#This Row],[INVERSIONES FCI]],+Tabla5[[#This Row],[INVERSIONES FCI]]-G178,Tabla5[[#This Row],[INVERSIONES FCI]])</f>
        <v>38625287235.144409</v>
      </c>
      <c r="H179" s="5">
        <f>IF($B178&lt;=Tabla5[[#This Row],[INVERSIONES FCI]],+Tabla5[[#This Row],[INVERSIONES FCI]]-H178,Tabla5[[#This Row],[INVERSIONES FCI]])</f>
        <v>38625287235.144409</v>
      </c>
      <c r="I179" s="5">
        <f>IF($B178&lt;=Tabla5[[#This Row],[INVERSIONES FCI]],+Tabla5[[#This Row],[INVERSIONES FCI]]-I178,Tabla5[[#This Row],[INVERSIONES FCI]])</f>
        <v>38625287235.144409</v>
      </c>
      <c r="J179" s="5">
        <f>IF($B178&lt;=Tabla5[[#This Row],[INVERSIONES FCI]],+Tabla5[[#This Row],[INVERSIONES FCI]]-J178,Tabla5[[#This Row],[INVERSIONES FCI]])</f>
        <v>38625287235.144409</v>
      </c>
      <c r="K179" s="5">
        <f>IF($B178&lt;=Tabla5[[#This Row],[INVERSIONES FCI]],+Tabla5[[#This Row],[INVERSIONES FCI]]-K178,Tabla5[[#This Row],[INVERSIONES FCI]])</f>
        <v>38625287235.144409</v>
      </c>
      <c r="L179" s="5">
        <f>IF($B178&lt;=Tabla5[[#This Row],[INVERSIONES FCI]],+Tabla5[[#This Row],[INVERSIONES FCI]]-L178,Tabla5[[#This Row],[INVERSIONES FCI]])</f>
        <v>38625287235.144409</v>
      </c>
      <c r="M179" s="5">
        <f>IF($B178&lt;=Tabla5[[#This Row],[INVERSIONES FCI]],+Tabla5[[#This Row],[INVERSIONES FCI]]-M178,Tabla5[[#This Row],[INVERSIONES FCI]])</f>
        <v>38625287235.144409</v>
      </c>
      <c r="N179" s="5">
        <f>IF($B178&lt;=Tabla5[[#This Row],[INVERSIONES FCI]],+Tabla5[[#This Row],[INVERSIONES FCI]]-N178,Tabla5[[#This Row],[INVERSIONES FCI]])</f>
        <v>38625287235.144409</v>
      </c>
      <c r="O179" s="5">
        <f>IF($B178&lt;=Tabla5[[#This Row],[INVERSIONES FCI]],+Tabla5[[#This Row],[INVERSIONES FCI]]-O178,Tabla5[[#This Row],[INVERSIONES FCI]])</f>
        <v>38625287235.144409</v>
      </c>
      <c r="P179" s="5">
        <f>IF($B178&lt;=Tabla5[[#This Row],[INVERSIONES FCI]],+Tabla5[[#This Row],[INVERSIONES FCI]]-P178,Tabla5[[#This Row],[INVERSIONES FCI]])</f>
        <v>38625287235.144409</v>
      </c>
      <c r="Q179" s="5">
        <f>IF($B178&lt;=Tabla5[[#This Row],[INVERSIONES FCI]],+Tabla5[[#This Row],[INVERSIONES FCI]]-Q178,Tabla5[[#This Row],[INVERSIONES FCI]])</f>
        <v>38625287235.144409</v>
      </c>
      <c r="R179" s="5">
        <f>IF($B178&lt;=Tabla5[[#This Row],[INVERSIONES FCI]],+Tabla5[[#This Row],[INVERSIONES FCI]]-R178,Tabla5[[#This Row],[INVERSIONES FCI]])</f>
        <v>38625287235.144409</v>
      </c>
      <c r="S179" s="5">
        <f>IF($B178&lt;=Tabla5[[#This Row],[INVERSIONES FCI]],+Tabla5[[#This Row],[INVERSIONES FCI]]-S178,Tabla5[[#This Row],[INVERSIONES FCI]])</f>
        <v>38625287235.144409</v>
      </c>
      <c r="T179" s="5">
        <f>IF($B178&lt;=Tabla5[[#This Row],[INVERSIONES FCI]],+Tabla5[[#This Row],[INVERSIONES FCI]]-T178,Tabla5[[#This Row],[INVERSIONES FCI]])</f>
        <v>38625287235.144409</v>
      </c>
      <c r="U179" s="5">
        <f>IF($B178&lt;=Tabla5[[#This Row],[INVERSIONES FCI]],+Tabla5[[#This Row],[INVERSIONES FCI]]-U178,Tabla5[[#This Row],[INVERSIONES FCI]])</f>
        <v>38625287235.144409</v>
      </c>
      <c r="V179" s="5">
        <f>IF($B178&lt;=Tabla5[[#This Row],[INVERSIONES FCI]],+Tabla5[[#This Row],[INVERSIONES FCI]]-V178,Tabla5[[#This Row],[INVERSIONES FCI]])</f>
        <v>38625287235.144409</v>
      </c>
      <c r="W179" s="5">
        <f>IF($B178&lt;=Tabla5[[#This Row],[INVERSIONES FCI]],+Tabla5[[#This Row],[INVERSIONES FCI]]-W178,Tabla5[[#This Row],[INVERSIONES FCI]])</f>
        <v>38625287235.144409</v>
      </c>
      <c r="X179" s="5">
        <f>IF($B178&lt;=Tabla5[[#This Row],[INVERSIONES FCI]],+Tabla5[[#This Row],[INVERSIONES FCI]]-X178,Tabla5[[#This Row],[INVERSIONES FCI]])</f>
        <v>38625287235.144409</v>
      </c>
      <c r="Y179" s="5">
        <f>IF($B178&lt;=Tabla5[[#This Row],[INVERSIONES FCI]],+Tabla5[[#This Row],[INVERSIONES FCI]]-Y178,Tabla5[[#This Row],[INVERSIONES FCI]])</f>
        <v>38625287235.144409</v>
      </c>
      <c r="Z179" s="5">
        <f>IF($B178&lt;=Tabla5[[#This Row],[INVERSIONES FCI]],+Tabla5[[#This Row],[INVERSIONES FCI]]-Z178,Tabla5[[#This Row],[INVERSIONES FCI]])</f>
        <v>38625287235.144409</v>
      </c>
      <c r="AA179" s="5">
        <f>IF($B178&lt;=Tabla5[[#This Row],[INVERSIONES FCI]],+Tabla5[[#This Row],[INVERSIONES FCI]]-AA178,Tabla5[[#This Row],[INVERSIONES FCI]])</f>
        <v>38625287235.144409</v>
      </c>
      <c r="AB179" s="5">
        <f>IF($B178&lt;=Tabla5[[#This Row],[INVERSIONES FCI]],+Tabla5[[#This Row],[INVERSIONES FCI]]-AB178,Tabla5[[#This Row],[INVERSIONES FCI]])</f>
        <v>38625287235.144409</v>
      </c>
      <c r="AC179" s="5">
        <f>IF($B178&lt;=Tabla5[[#This Row],[INVERSIONES FCI]],+Tabla5[[#This Row],[INVERSIONES FCI]]-AC178,Tabla5[[#This Row],[INVERSIONES FCI]])</f>
        <v>38625287235.144409</v>
      </c>
      <c r="AD179" s="5">
        <f>IF($B178&lt;=Tabla5[[#This Row],[INVERSIONES FCI]],+Tabla5[[#This Row],[INVERSIONES FCI]]-AD178,Tabla5[[#This Row],[INVERSIONES FCI]])</f>
        <v>38625287235.144409</v>
      </c>
      <c r="AE179" s="5">
        <f>IF($B178&lt;=Tabla5[[#This Row],[INVERSIONES FCI]],+Tabla5[[#This Row],[INVERSIONES FCI]]-AE178,Tabla5[[#This Row],[INVERSIONES FCI]])</f>
        <v>38625287235.144409</v>
      </c>
      <c r="AF179" s="5">
        <f>IF($B178&lt;=Tabla5[[#This Row],[INVERSIONES FCI]],+Tabla5[[#This Row],[INVERSIONES FCI]]-AF178,Tabla5[[#This Row],[INVERSIONES FCI]])</f>
        <v>38625287235.144409</v>
      </c>
      <c r="AG179" s="5">
        <f>IF($B178&lt;=Tabla5[[#This Row],[INVERSIONES FCI]],+Tabla5[[#This Row],[INVERSIONES FCI]]-AG178,Tabla5[[#This Row],[INVERSIONES FCI]])</f>
        <v>38625287235.144409</v>
      </c>
      <c r="AH179" s="5">
        <f>IF($B178&lt;=Tabla5[[#This Row],[INVERSIONES FCI]],+Tabla5[[#This Row],[INVERSIONES FCI]]-AH178,Tabla5[[#This Row],[INVERSIONES FCI]])</f>
        <v>38625287235.144409</v>
      </c>
      <c r="AI179" s="5">
        <f>IF($B178&lt;=Tabla5[[#This Row],[INVERSIONES FCI]],+Tabla5[[#This Row],[INVERSIONES FCI]]-AI178,Tabla5[[#This Row],[INVERSIONES FCI]])</f>
        <v>38625287235.144409</v>
      </c>
      <c r="AJ179" s="5">
        <f>IF($B178&lt;=Tabla5[[#This Row],[INVERSIONES FCI]],+Tabla5[[#This Row],[INVERSIONES FCI]]-AJ178,Tabla5[[#This Row],[INVERSIONES FCI]])</f>
        <v>38625287235.144409</v>
      </c>
      <c r="AK179" s="5">
        <f>IF($B178&lt;=Tabla5[[#This Row],[INVERSIONES FCI]],+Tabla5[[#This Row],[INVERSIONES FCI]]-AK178,Tabla5[[#This Row],[INVERSIONES FCI]])</f>
        <v>38625287235.144409</v>
      </c>
      <c r="AL179" s="5">
        <f>IF($B178&lt;=Tabla5[[#This Row],[INVERSIONES FCI]],+Tabla5[[#This Row],[INVERSIONES FCI]]-AL178,Tabla5[[#This Row],[INVERSIONES FCI]])</f>
        <v>38625287235.144409</v>
      </c>
      <c r="AM179" s="5">
        <f>IF($B178&lt;=Tabla5[[#This Row],[INVERSIONES FCI]],+Tabla5[[#This Row],[INVERSIONES FCI]]-AM178,Tabla5[[#This Row],[INVERSIONES FCI]])</f>
        <v>38625287235.144409</v>
      </c>
      <c r="AN179" s="5">
        <f>IF($B178&lt;=Tabla5[[#This Row],[INVERSIONES FCI]],+Tabla5[[#This Row],[INVERSIONES FCI]]-AN178,Tabla5[[#This Row],[INVERSIONES FCI]])</f>
        <v>38625287235.144409</v>
      </c>
      <c r="AO179" s="5">
        <f>IF($B178&lt;=Tabla5[[#This Row],[INVERSIONES FCI]],+Tabla5[[#This Row],[INVERSIONES FCI]]-AO178,Tabla5[[#This Row],[INVERSIONES FCI]])</f>
        <v>38625287235.144409</v>
      </c>
      <c r="AP179" s="5">
        <f>IF($B178&lt;=Tabla5[[#This Row],[INVERSIONES FCI]],+Tabla5[[#This Row],[INVERSIONES FCI]]-AP178,Tabla5[[#This Row],[INVERSIONES FCI]])</f>
        <v>38625287235.144409</v>
      </c>
      <c r="AQ179" s="5">
        <f>IF($B178&lt;=Tabla5[[#This Row],[INVERSIONES FCI]],+Tabla5[[#This Row],[INVERSIONES FCI]]-AQ178,Tabla5[[#This Row],[INVERSIONES FCI]])</f>
        <v>38625287235.144409</v>
      </c>
      <c r="AR179" s="5">
        <f>IF($B178&lt;=Tabla5[[#This Row],[INVERSIONES FCI]],+Tabla5[[#This Row],[INVERSIONES FCI]]-AR178,Tabla5[[#This Row],[INVERSIONES FCI]])</f>
        <v>38625287235.144409</v>
      </c>
      <c r="AS179" s="5">
        <f>IF($B178&lt;=Tabla5[[#This Row],[INVERSIONES FCI]],+Tabla5[[#This Row],[INVERSIONES FCI]]-AS178,Tabla5[[#This Row],[INVERSIONES FCI]])</f>
        <v>38625287235.144409</v>
      </c>
      <c r="AT179" s="5">
        <f>IF($B178&lt;=Tabla5[[#This Row],[INVERSIONES FCI]],+Tabla5[[#This Row],[INVERSIONES FCI]]-AT178,Tabla5[[#This Row],[INVERSIONES FCI]])</f>
        <v>38625287235.144409</v>
      </c>
      <c r="AU179" s="5">
        <f>IF($B178&lt;=Tabla5[[#This Row],[INVERSIONES FCI]],+Tabla5[[#This Row],[INVERSIONES FCI]]-AU178,Tabla5[[#This Row],[INVERSIONES FCI]])</f>
        <v>38625287235.144409</v>
      </c>
      <c r="AV179" s="5">
        <f>IF($B178&lt;=Tabla5[[#This Row],[INVERSIONES FCI]],+Tabla5[[#This Row],[INVERSIONES FCI]]-AV178,Tabla5[[#This Row],[INVERSIONES FCI]])</f>
        <v>38625287235.144409</v>
      </c>
      <c r="AW179" s="5">
        <f>IF($B178&lt;=Tabla5[[#This Row],[INVERSIONES FCI]],+Tabla5[[#This Row],[INVERSIONES FCI]]-AW178,Tabla5[[#This Row],[INVERSIONES FCI]])</f>
        <v>38625287235.144409</v>
      </c>
      <c r="AX179" s="5">
        <f>IF($B178&lt;=Tabla5[[#This Row],[INVERSIONES FCI]],+Tabla5[[#This Row],[INVERSIONES FCI]]-AX178,Tabla5[[#This Row],[INVERSIONES FCI]])</f>
        <v>38625287235.144409</v>
      </c>
      <c r="AY179" s="5">
        <f>IF($B178&lt;=Tabla5[[#This Row],[INVERSIONES FCI]],+Tabla5[[#This Row],[INVERSIONES FCI]]-AY178,Tabla5[[#This Row],[INVERSIONES FCI]])</f>
        <v>38625287235.144409</v>
      </c>
      <c r="AZ179" s="5">
        <f>IF($B178&lt;=Tabla5[[#This Row],[INVERSIONES FCI]],+Tabla5[[#This Row],[INVERSIONES FCI]]-AZ178,Tabla5[[#This Row],[INVERSIONES FCI]])</f>
        <v>38625287235.144409</v>
      </c>
      <c r="BA179" s="5">
        <f>IF($B178&lt;=Tabla5[[#This Row],[INVERSIONES FCI]],+Tabla5[[#This Row],[INVERSIONES FCI]]-BA178,Tabla5[[#This Row],[INVERSIONES FCI]])</f>
        <v>38625287235.144409</v>
      </c>
      <c r="BB179" s="5">
        <f>IF($B178&lt;=Tabla5[[#This Row],[INVERSIONES FCI]],+Tabla5[[#This Row],[INVERSIONES FCI]]-BB178,Tabla5[[#This Row],[INVERSIONES FCI]])</f>
        <v>38625287235.144409</v>
      </c>
      <c r="BC179" s="5">
        <f>IF($B178&lt;=Tabla5[[#This Row],[INVERSIONES FCI]],+Tabla5[[#This Row],[INVERSIONES FCI]]-BC178,Tabla5[[#This Row],[INVERSIONES FCI]])</f>
        <v>38625287235.144409</v>
      </c>
      <c r="BD179" s="5">
        <f>IF($B178&lt;=Tabla5[[#This Row],[INVERSIONES FCI]],+Tabla5[[#This Row],[INVERSIONES FCI]]-BD178,Tabla5[[#This Row],[INVERSIONES FCI]])</f>
        <v>38625287235.144409</v>
      </c>
      <c r="BE179" s="5">
        <f>IF($B178&lt;=Tabla5[[#This Row],[INVERSIONES FCI]],+Tabla5[[#This Row],[INVERSIONES FCI]]-BE178,Tabla5[[#This Row],[INVERSIONES FCI]])</f>
        <v>38625287235.144409</v>
      </c>
      <c r="BF179" s="5">
        <f>IF($B178&lt;=Tabla5[[#This Row],[INVERSIONES FCI]],+Tabla5[[#This Row],[INVERSIONES FCI]]-BF178,Tabla5[[#This Row],[INVERSIONES FCI]])</f>
        <v>38625287235.144409</v>
      </c>
      <c r="BG179" s="5">
        <f>IF($B178&lt;=Tabla5[[#This Row],[INVERSIONES FCI]],+Tabla5[[#This Row],[INVERSIONES FCI]]-BG178,Tabla5[[#This Row],[INVERSIONES FCI]])</f>
        <v>38625287235.144409</v>
      </c>
      <c r="BH179" s="5">
        <f>IF($B178&lt;=Tabla5[[#This Row],[INVERSIONES FCI]],+Tabla5[[#This Row],[INVERSIONES FCI]]-BH178,Tabla5[[#This Row],[INVERSIONES FCI]])</f>
        <v>38625287235.144409</v>
      </c>
      <c r="BI179" s="5">
        <f>IF($B178&lt;=Tabla5[[#This Row],[INVERSIONES FCI]],+Tabla5[[#This Row],[INVERSIONES FCI]]-BI178,Tabla5[[#This Row],[INVERSIONES FCI]])</f>
        <v>38625287235.144409</v>
      </c>
      <c r="BJ179" s="5">
        <f>IF($B178&lt;=Tabla5[[#This Row],[INVERSIONES FCI]],+Tabla5[[#This Row],[INVERSIONES FCI]]-BJ178,Tabla5[[#This Row],[INVERSIONES FCI]])</f>
        <v>38625287235.144409</v>
      </c>
      <c r="BK179" s="5">
        <f>IF($B178&lt;=Tabla5[[#This Row],[INVERSIONES FCI]],+Tabla5[[#This Row],[INVERSIONES FCI]]-BK178,Tabla5[[#This Row],[INVERSIONES FCI]])</f>
        <v>38625287235.144409</v>
      </c>
      <c r="BL179" s="5">
        <f>IF($B178&lt;=Tabla5[[#This Row],[INVERSIONES FCI]],+Tabla5[[#This Row],[INVERSIONES FCI]]-BL178,Tabla5[[#This Row],[INVERSIONES FCI]])</f>
        <v>38625287235.144409</v>
      </c>
      <c r="BM179" s="5">
        <f>IF($B178&lt;=Tabla5[[#This Row],[INVERSIONES FCI]],+Tabla5[[#This Row],[INVERSIONES FCI]]-BM178,Tabla5[[#This Row],[INVERSIONES FCI]])</f>
        <v>38625287235.144409</v>
      </c>
      <c r="BN179" s="5">
        <f>IF($B178&lt;=Tabla5[[#This Row],[INVERSIONES FCI]],+Tabla5[[#This Row],[INVERSIONES FCI]]-BN178,Tabla5[[#This Row],[INVERSIONES FCI]])</f>
        <v>38625287235.144409</v>
      </c>
      <c r="BO179" s="5">
        <f>IF($B178&lt;=Tabla5[[#This Row],[INVERSIONES FCI]],+Tabla5[[#This Row],[INVERSIONES FCI]]-BO178,Tabla5[[#This Row],[INVERSIONES FCI]])</f>
        <v>38625287235.144409</v>
      </c>
      <c r="BP179" s="5">
        <f>IF($B178&lt;=Tabla5[[#This Row],[INVERSIONES FCI]],+Tabla5[[#This Row],[INVERSIONES FCI]]-BP178,Tabla5[[#This Row],[INVERSIONES FCI]])</f>
        <v>38625287235.144409</v>
      </c>
      <c r="BQ179" s="5">
        <f>IF($B178&lt;=Tabla5[[#This Row],[INVERSIONES FCI]],+Tabla5[[#This Row],[INVERSIONES FCI]]-BQ178,Tabla5[[#This Row],[INVERSIONES FCI]])</f>
        <v>38625287235.144409</v>
      </c>
      <c r="BR179" s="5">
        <f>IF($B178&lt;=Tabla5[[#This Row],[INVERSIONES FCI]],+Tabla5[[#This Row],[INVERSIONES FCI]]-BR178,Tabla5[[#This Row],[INVERSIONES FCI]])</f>
        <v>38625287235.144409</v>
      </c>
      <c r="BS179" s="5">
        <f>IF($B178&lt;=Tabla5[[#This Row],[INVERSIONES FCI]],+Tabla5[[#This Row],[INVERSIONES FCI]]-BS178,Tabla5[[#This Row],[INVERSIONES FCI]])</f>
        <v>38625287235.144409</v>
      </c>
      <c r="BT179" s="5">
        <f>IF($B178&lt;=Tabla5[[#This Row],[INVERSIONES FCI]],+Tabla5[[#This Row],[INVERSIONES FCI]]-BT178,Tabla5[[#This Row],[INVERSIONES FCI]])</f>
        <v>38625287235.144409</v>
      </c>
      <c r="BU179" s="5">
        <f>IF($B178&lt;=Tabla5[[#This Row],[INVERSIONES FCI]],+Tabla5[[#This Row],[INVERSIONES FCI]]-BU178,Tabla5[[#This Row],[INVERSIONES FCI]])</f>
        <v>38625287235.144409</v>
      </c>
      <c r="BV179" s="5">
        <f>IF($B178&lt;=Tabla5[[#This Row],[INVERSIONES FCI]],+Tabla5[[#This Row],[INVERSIONES FCI]]-BV178,Tabla5[[#This Row],[INVERSIONES FCI]])</f>
        <v>38625287235.144409</v>
      </c>
      <c r="BW179" s="5">
        <f>IF($B178&lt;=Tabla5[[#This Row],[INVERSIONES FCI]],+Tabla5[[#This Row],[INVERSIONES FCI]]-BW178,Tabla5[[#This Row],[INVERSIONES FCI]])</f>
        <v>38625287235.144409</v>
      </c>
      <c r="BX179" s="5">
        <f>IF($B178&lt;=Tabla5[[#This Row],[INVERSIONES FCI]],+Tabla5[[#This Row],[INVERSIONES FCI]]-BX178,Tabla5[[#This Row],[INVERSIONES FCI]])</f>
        <v>38625287235.144409</v>
      </c>
      <c r="BY179" s="5">
        <f>IF($B178&lt;=Tabla5[[#This Row],[INVERSIONES FCI]],+Tabla5[[#This Row],[INVERSIONES FCI]]-BY178,Tabla5[[#This Row],[INVERSIONES FCI]])</f>
        <v>38625287235.144409</v>
      </c>
      <c r="BZ179" s="5">
        <f>IF($B178&lt;=Tabla5[[#This Row],[INVERSIONES FCI]],+Tabla5[[#This Row],[INVERSIONES FCI]]-BZ178,Tabla5[[#This Row],[INVERSIONES FCI]])</f>
        <v>38625287235.144409</v>
      </c>
      <c r="CA179" s="5">
        <f>IF($B178&lt;=Tabla5[[#This Row],[INVERSIONES FCI]],+Tabla5[[#This Row],[INVERSIONES FCI]]-CA178,Tabla5[[#This Row],[INVERSIONES FCI]])</f>
        <v>38625287235.144409</v>
      </c>
      <c r="CB179" s="5">
        <f>IF($B178&lt;=Tabla5[[#This Row],[INVERSIONES FCI]],+Tabla5[[#This Row],[INVERSIONES FCI]]-CB178,Tabla5[[#This Row],[INVERSIONES FCI]])</f>
        <v>38625287235.144409</v>
      </c>
      <c r="CC179" s="5">
        <f>IF($B178&lt;=Tabla5[[#This Row],[INVERSIONES FCI]],+Tabla5[[#This Row],[INVERSIONES FCI]]-CC178,Tabla5[[#This Row],[INVERSIONES FCI]])</f>
        <v>38625287235.144409</v>
      </c>
      <c r="CD179" s="5">
        <f>IF($B178&lt;=Tabla5[[#This Row],[INVERSIONES FCI]],+Tabla5[[#This Row],[INVERSIONES FCI]]-CD178,Tabla5[[#This Row],[INVERSIONES FCI]])</f>
        <v>38625287235.144409</v>
      </c>
      <c r="CE179" s="5">
        <f>IF($B178&lt;=Tabla5[[#This Row],[INVERSIONES FCI]],+Tabla5[[#This Row],[INVERSIONES FCI]]-CE178,Tabla5[[#This Row],[INVERSIONES FCI]])</f>
        <v>38625287235.144409</v>
      </c>
      <c r="CF179" s="5">
        <f>IF($B178&lt;=Tabla5[[#This Row],[INVERSIONES FCI]],+Tabla5[[#This Row],[INVERSIONES FCI]]-CF178,Tabla5[[#This Row],[INVERSIONES FCI]])</f>
        <v>38625287235.144409</v>
      </c>
      <c r="CG179" s="5">
        <f>IF($B178&lt;=Tabla5[[#This Row],[INVERSIONES FCI]],+Tabla5[[#This Row],[INVERSIONES FCI]]-CG178,Tabla5[[#This Row],[INVERSIONES FCI]])</f>
        <v>38625287235.144409</v>
      </c>
      <c r="CH179" s="5">
        <f>IF($B178&lt;=Tabla5[[#This Row],[INVERSIONES FCI]],+Tabla5[[#This Row],[INVERSIONES FCI]]-CH178,Tabla5[[#This Row],[INVERSIONES FCI]])</f>
        <v>38625287235.144409</v>
      </c>
      <c r="CI179" s="5">
        <f>IF($B178&lt;=Tabla5[[#This Row],[INVERSIONES FCI]],+Tabla5[[#This Row],[INVERSIONES FCI]]-CI178,Tabla5[[#This Row],[INVERSIONES FCI]])</f>
        <v>38625287235.144409</v>
      </c>
      <c r="CJ179" s="5">
        <f>IF($B178&lt;=Tabla5[[#This Row],[INVERSIONES FCI]],+Tabla5[[#This Row],[INVERSIONES FCI]]-CJ178,Tabla5[[#This Row],[INVERSIONES FCI]])</f>
        <v>38625287235.144409</v>
      </c>
      <c r="CK179" s="5">
        <f>IF($B178&lt;=Tabla5[[#This Row],[INVERSIONES FCI]],+Tabla5[[#This Row],[INVERSIONES FCI]]-CK178,Tabla5[[#This Row],[INVERSIONES FCI]])</f>
        <v>38625287235.144409</v>
      </c>
      <c r="CL179" s="5">
        <f>IF($B178&lt;=Tabla5[[#This Row],[INVERSIONES FCI]],+Tabla5[[#This Row],[INVERSIONES FCI]]-CL178,Tabla5[[#This Row],[INVERSIONES FCI]])</f>
        <v>38625287235.144409</v>
      </c>
      <c r="CM179" s="5">
        <f>IF($B178&lt;=Tabla5[[#This Row],[INVERSIONES FCI]],+Tabla5[[#This Row],[INVERSIONES FCI]]-CM178,Tabla5[[#This Row],[INVERSIONES FCI]])</f>
        <v>38625287235.144409</v>
      </c>
      <c r="CN179" s="5">
        <f>IF($B178&lt;=Tabla5[[#This Row],[INVERSIONES FCI]],+Tabla5[[#This Row],[INVERSIONES FCI]]-CN178,Tabla5[[#This Row],[INVERSIONES FCI]])</f>
        <v>38625287235.144409</v>
      </c>
      <c r="CO179" s="5">
        <f>IF($B178&lt;=Tabla5[[#This Row],[INVERSIONES FCI]],+Tabla5[[#This Row],[INVERSIONES FCI]]-CO178,Tabla5[[#This Row],[INVERSIONES FCI]])</f>
        <v>38625287235.144409</v>
      </c>
      <c r="CP179" s="5">
        <f>IF($B178&lt;=Tabla5[[#This Row],[INVERSIONES FCI]],+Tabla5[[#This Row],[INVERSIONES FCI]]-CP178,Tabla5[[#This Row],[INVERSIONES FCI]])</f>
        <v>38625287235.144409</v>
      </c>
      <c r="CQ179" s="5">
        <f>IF($B178&lt;=Tabla5[[#This Row],[INVERSIONES FCI]],+Tabla5[[#This Row],[INVERSIONES FCI]]-CQ178,Tabla5[[#This Row],[INVERSIONES FCI]])</f>
        <v>38625287235.144409</v>
      </c>
      <c r="CR179" s="5">
        <f>IF($B178&lt;=Tabla5[[#This Row],[INVERSIONES FCI]],+Tabla5[[#This Row],[INVERSIONES FCI]]-CR178,Tabla5[[#This Row],[INVERSIONES FCI]])</f>
        <v>38625287235.144409</v>
      </c>
      <c r="CS179" s="5">
        <f>IF($B178&lt;=Tabla5[[#This Row],[INVERSIONES FCI]],+Tabla5[[#This Row],[INVERSIONES FCI]]-CS178,Tabla5[[#This Row],[INVERSIONES FCI]])</f>
        <v>38625287235.144409</v>
      </c>
      <c r="CT179" s="5">
        <f>IF($B178&lt;=Tabla5[[#This Row],[INVERSIONES FCI]],+Tabla5[[#This Row],[INVERSIONES FCI]]-CT178,Tabla5[[#This Row],[INVERSIONES FCI]])</f>
        <v>38625287235.144409</v>
      </c>
      <c r="CU179" s="5">
        <f>IF($B178&lt;=Tabla5[[#This Row],[INVERSIONES FCI]],+Tabla5[[#This Row],[INVERSIONES FCI]]-CU178,Tabla5[[#This Row],[INVERSIONES FCI]])</f>
        <v>38625287235.144409</v>
      </c>
      <c r="CV179" s="5">
        <f>IF($B178&lt;=Tabla5[[#This Row],[INVERSIONES FCI]],+Tabla5[[#This Row],[INVERSIONES FCI]]-CV178,Tabla5[[#This Row],[INVERSIONES FCI]])</f>
        <v>38625287235.144409</v>
      </c>
      <c r="CW179" s="5">
        <f>IF($B178&lt;=Tabla5[[#This Row],[INVERSIONES FCI]],+Tabla5[[#This Row],[INVERSIONES FCI]]-CW178,Tabla5[[#This Row],[INVERSIONES FCI]])</f>
        <v>38625287235.144409</v>
      </c>
      <c r="CX179" s="5">
        <f>IF($B178&lt;=Tabla5[[#This Row],[INVERSIONES FCI]],+Tabla5[[#This Row],[INVERSIONES FCI]]-CX178,Tabla5[[#This Row],[INVERSIONES FCI]])</f>
        <v>38625287235.144409</v>
      </c>
      <c r="CY179" s="5">
        <f>IF($B178&lt;=Tabla5[[#This Row],[INVERSIONES FCI]],+Tabla5[[#This Row],[INVERSIONES FCI]]-CY178,Tabla5[[#This Row],[INVERSIONES FCI]])</f>
        <v>38625287235.144409</v>
      </c>
      <c r="CZ179" s="5">
        <f>IF($B178&lt;=Tabla5[[#This Row],[INVERSIONES FCI]],+Tabla5[[#This Row],[INVERSIONES FCI]]-CZ178,Tabla5[[#This Row],[INVERSIONES FCI]])</f>
        <v>38625287235.144409</v>
      </c>
      <c r="DA179" s="5">
        <f>IF($B178&lt;=Tabla5[[#This Row],[INVERSIONES FCI]],+Tabla5[[#This Row],[INVERSIONES FCI]]-DA178,Tabla5[[#This Row],[INVERSIONES FCI]])</f>
        <v>38625287235.144409</v>
      </c>
      <c r="DB179" s="5">
        <f>IF($B178&lt;=Tabla5[[#This Row],[INVERSIONES FCI]],+Tabla5[[#This Row],[INVERSIONES FCI]]-DB178,Tabla5[[#This Row],[INVERSIONES FCI]])</f>
        <v>38625287235.144409</v>
      </c>
      <c r="DC179" s="5">
        <f>IF($B178&lt;=Tabla5[[#This Row],[INVERSIONES FCI]],+Tabla5[[#This Row],[INVERSIONES FCI]]-DC178,Tabla5[[#This Row],[INVERSIONES FCI]])</f>
        <v>38625287235.144409</v>
      </c>
      <c r="DD179" s="5">
        <f>IF($B178&lt;=Tabla5[[#This Row],[INVERSIONES FCI]],+Tabla5[[#This Row],[INVERSIONES FCI]]-DD178,Tabla5[[#This Row],[INVERSIONES FCI]])</f>
        <v>38625287235.144409</v>
      </c>
      <c r="DE179" s="5">
        <f>IF($B178&lt;=Tabla5[[#This Row],[INVERSIONES FCI]],+Tabla5[[#This Row],[INVERSIONES FCI]]-DE178,Tabla5[[#This Row],[INVERSIONES FCI]])</f>
        <v>38625287235.144409</v>
      </c>
      <c r="DF179" s="5">
        <f>IF($B178&lt;=Tabla5[[#This Row],[INVERSIONES FCI]],+Tabla5[[#This Row],[INVERSIONES FCI]]-DF178,Tabla5[[#This Row],[INVERSIONES FCI]])</f>
        <v>38625287235.144409</v>
      </c>
      <c r="DG179" s="5">
        <f>IF($B178&lt;=Tabla5[[#This Row],[INVERSIONES FCI]],+Tabla5[[#This Row],[INVERSIONES FCI]]-DG178,Tabla5[[#This Row],[INVERSIONES FCI]])</f>
        <v>38625287235.144409</v>
      </c>
      <c r="DH179" s="5">
        <f>IF($B178&lt;=Tabla5[[#This Row],[INVERSIONES FCI]],+Tabla5[[#This Row],[INVERSIONES FCI]]-DH178,Tabla5[[#This Row],[INVERSIONES FCI]])</f>
        <v>38625287235.144409</v>
      </c>
      <c r="DI179" s="5">
        <f>IF($B178&lt;=Tabla5[[#This Row],[INVERSIONES FCI]],+Tabla5[[#This Row],[INVERSIONES FCI]]-DI178,Tabla5[[#This Row],[INVERSIONES FCI]])</f>
        <v>38625287235.144409</v>
      </c>
      <c r="DJ179" s="5">
        <f>IF($B178&lt;=Tabla5[[#This Row],[INVERSIONES FCI]],+Tabla5[[#This Row],[INVERSIONES FCI]]-DJ178,Tabla5[[#This Row],[INVERSIONES FCI]])</f>
        <v>38625287235.144409</v>
      </c>
      <c r="DK179" s="5">
        <f>IF($B178&lt;=Tabla5[[#This Row],[INVERSIONES FCI]],+Tabla5[[#This Row],[INVERSIONES FCI]]-DK178,Tabla5[[#This Row],[INVERSIONES FCI]])</f>
        <v>38625287235.144409</v>
      </c>
      <c r="DL179" s="5"/>
      <c r="DM179" s="5"/>
      <c r="DN179" s="5"/>
      <c r="DO179" s="5"/>
      <c r="DP179" s="5"/>
      <c r="DQ179" s="5"/>
    </row>
    <row r="180" spans="1:121" ht="14.4">
      <c r="A180" s="12" t="s">
        <v>179</v>
      </c>
      <c r="B180" s="5">
        <f>HLOOKUP($A180,ESCENARIO[#All],7,FALSE)</f>
        <v>39883847304.523392</v>
      </c>
      <c r="C180" s="5">
        <f>IF($B179&lt;=Tabla5[[#This Row],[INVERSIONES FCI]],+Tabla5[[#This Row],[INVERSIONES FCI]]-C179,Tabla5[[#This Row],[INVERSIONES FCI]])</f>
        <v>1258560069.3789825</v>
      </c>
      <c r="D180" s="5">
        <f>IF($B179&lt;=Tabla5[[#This Row],[INVERSIONES FCI]],+Tabla5[[#This Row],[INVERSIONES FCI]]-D179,Tabla5[[#This Row],[INVERSIONES FCI]])</f>
        <v>1258560069.3789825</v>
      </c>
      <c r="E180" s="5">
        <f>IF($B179&lt;=Tabla5[[#This Row],[INVERSIONES FCI]],+Tabla5[[#This Row],[INVERSIONES FCI]]-E179,Tabla5[[#This Row],[INVERSIONES FCI]])</f>
        <v>1258560069.3789825</v>
      </c>
      <c r="F180" s="5">
        <f>IF($B179&lt;=Tabla5[[#This Row],[INVERSIONES FCI]],+Tabla5[[#This Row],[INVERSIONES FCI]]-F179,Tabla5[[#This Row],[INVERSIONES FCI]])</f>
        <v>1258560069.3789825</v>
      </c>
      <c r="G180" s="5">
        <f>IF($B179&lt;=Tabla5[[#This Row],[INVERSIONES FCI]],+Tabla5[[#This Row],[INVERSIONES FCI]]-G179,Tabla5[[#This Row],[INVERSIONES FCI]])</f>
        <v>1258560069.3789825</v>
      </c>
      <c r="H180" s="5">
        <f>IF($B179&lt;=Tabla5[[#This Row],[INVERSIONES FCI]],+Tabla5[[#This Row],[INVERSIONES FCI]]-H179,Tabla5[[#This Row],[INVERSIONES FCI]])</f>
        <v>1258560069.3789825</v>
      </c>
      <c r="I180" s="5">
        <f>IF($B179&lt;=Tabla5[[#This Row],[INVERSIONES FCI]],+Tabla5[[#This Row],[INVERSIONES FCI]]-I179,Tabla5[[#This Row],[INVERSIONES FCI]])</f>
        <v>1258560069.3789825</v>
      </c>
      <c r="J180" s="5">
        <f>IF($B179&lt;=Tabla5[[#This Row],[INVERSIONES FCI]],+Tabla5[[#This Row],[INVERSIONES FCI]]-J179,Tabla5[[#This Row],[INVERSIONES FCI]])</f>
        <v>1258560069.3789825</v>
      </c>
      <c r="K180" s="5">
        <f>IF($B179&lt;=Tabla5[[#This Row],[INVERSIONES FCI]],+Tabla5[[#This Row],[INVERSIONES FCI]]-K179,Tabla5[[#This Row],[INVERSIONES FCI]])</f>
        <v>1258560069.3789825</v>
      </c>
      <c r="L180" s="5">
        <f>IF($B179&lt;=Tabla5[[#This Row],[INVERSIONES FCI]],+Tabla5[[#This Row],[INVERSIONES FCI]]-L179,Tabla5[[#This Row],[INVERSIONES FCI]])</f>
        <v>1258560069.3789825</v>
      </c>
      <c r="M180" s="5">
        <f>IF($B179&lt;=Tabla5[[#This Row],[INVERSIONES FCI]],+Tabla5[[#This Row],[INVERSIONES FCI]]-M179,Tabla5[[#This Row],[INVERSIONES FCI]])</f>
        <v>1258560069.3789825</v>
      </c>
      <c r="N180" s="5">
        <f>IF($B179&lt;=Tabla5[[#This Row],[INVERSIONES FCI]],+Tabla5[[#This Row],[INVERSIONES FCI]]-N179,Tabla5[[#This Row],[INVERSIONES FCI]])</f>
        <v>1258560069.3789825</v>
      </c>
      <c r="O180" s="5">
        <f>IF($B179&lt;=Tabla5[[#This Row],[INVERSIONES FCI]],+Tabla5[[#This Row],[INVERSIONES FCI]]-O179,Tabla5[[#This Row],[INVERSIONES FCI]])</f>
        <v>1258560069.3789825</v>
      </c>
      <c r="P180" s="5">
        <f>IF($B179&lt;=Tabla5[[#This Row],[INVERSIONES FCI]],+Tabla5[[#This Row],[INVERSIONES FCI]]-P179,Tabla5[[#This Row],[INVERSIONES FCI]])</f>
        <v>1258560069.3789825</v>
      </c>
      <c r="Q180" s="5">
        <f>IF($B179&lt;=Tabla5[[#This Row],[INVERSIONES FCI]],+Tabla5[[#This Row],[INVERSIONES FCI]]-Q179,Tabla5[[#This Row],[INVERSIONES FCI]])</f>
        <v>1258560069.3789825</v>
      </c>
      <c r="R180" s="5">
        <f>IF($B179&lt;=Tabla5[[#This Row],[INVERSIONES FCI]],+Tabla5[[#This Row],[INVERSIONES FCI]]-R179,Tabla5[[#This Row],[INVERSIONES FCI]])</f>
        <v>1258560069.3789825</v>
      </c>
      <c r="S180" s="5">
        <f>IF($B179&lt;=Tabla5[[#This Row],[INVERSIONES FCI]],+Tabla5[[#This Row],[INVERSIONES FCI]]-S179,Tabla5[[#This Row],[INVERSIONES FCI]])</f>
        <v>1258560069.3789825</v>
      </c>
      <c r="T180" s="5">
        <f>IF($B179&lt;=Tabla5[[#This Row],[INVERSIONES FCI]],+Tabla5[[#This Row],[INVERSIONES FCI]]-T179,Tabla5[[#This Row],[INVERSIONES FCI]])</f>
        <v>1258560069.3789825</v>
      </c>
      <c r="U180" s="5">
        <f>IF($B179&lt;=Tabla5[[#This Row],[INVERSIONES FCI]],+Tabla5[[#This Row],[INVERSIONES FCI]]-U179,Tabla5[[#This Row],[INVERSIONES FCI]])</f>
        <v>1258560069.3789825</v>
      </c>
      <c r="V180" s="5">
        <f>IF($B179&lt;=Tabla5[[#This Row],[INVERSIONES FCI]],+Tabla5[[#This Row],[INVERSIONES FCI]]-V179,Tabla5[[#This Row],[INVERSIONES FCI]])</f>
        <v>1258560069.3789825</v>
      </c>
      <c r="W180" s="5">
        <f>IF($B179&lt;=Tabla5[[#This Row],[INVERSIONES FCI]],+Tabla5[[#This Row],[INVERSIONES FCI]]-W179,Tabla5[[#This Row],[INVERSIONES FCI]])</f>
        <v>1258560069.3789825</v>
      </c>
      <c r="X180" s="5">
        <f>IF($B179&lt;=Tabla5[[#This Row],[INVERSIONES FCI]],+Tabla5[[#This Row],[INVERSIONES FCI]]-X179,Tabla5[[#This Row],[INVERSIONES FCI]])</f>
        <v>1258560069.3789825</v>
      </c>
      <c r="Y180" s="5">
        <f>IF($B179&lt;=Tabla5[[#This Row],[INVERSIONES FCI]],+Tabla5[[#This Row],[INVERSIONES FCI]]-Y179,Tabla5[[#This Row],[INVERSIONES FCI]])</f>
        <v>1258560069.3789825</v>
      </c>
      <c r="Z180" s="5">
        <f>IF($B179&lt;=Tabla5[[#This Row],[INVERSIONES FCI]],+Tabla5[[#This Row],[INVERSIONES FCI]]-Z179,Tabla5[[#This Row],[INVERSIONES FCI]])</f>
        <v>1258560069.3789825</v>
      </c>
      <c r="AA180" s="5">
        <f>IF($B179&lt;=Tabla5[[#This Row],[INVERSIONES FCI]],+Tabla5[[#This Row],[INVERSIONES FCI]]-AA179,Tabla5[[#This Row],[INVERSIONES FCI]])</f>
        <v>1258560069.3789825</v>
      </c>
      <c r="AB180" s="5">
        <f>IF($B179&lt;=Tabla5[[#This Row],[INVERSIONES FCI]],+Tabla5[[#This Row],[INVERSIONES FCI]]-AB179,Tabla5[[#This Row],[INVERSIONES FCI]])</f>
        <v>1258560069.3789825</v>
      </c>
      <c r="AC180" s="5">
        <f>IF($B179&lt;=Tabla5[[#This Row],[INVERSIONES FCI]],+Tabla5[[#This Row],[INVERSIONES FCI]]-AC179,Tabla5[[#This Row],[INVERSIONES FCI]])</f>
        <v>1258560069.3789825</v>
      </c>
      <c r="AD180" s="5">
        <f>IF($B179&lt;=Tabla5[[#This Row],[INVERSIONES FCI]],+Tabla5[[#This Row],[INVERSIONES FCI]]-AD179,Tabla5[[#This Row],[INVERSIONES FCI]])</f>
        <v>1258560069.3789825</v>
      </c>
      <c r="AE180" s="5">
        <f>IF($B179&lt;=Tabla5[[#This Row],[INVERSIONES FCI]],+Tabla5[[#This Row],[INVERSIONES FCI]]-AE179,Tabla5[[#This Row],[INVERSIONES FCI]])</f>
        <v>1258560069.3789825</v>
      </c>
      <c r="AF180" s="5">
        <f>IF($B179&lt;=Tabla5[[#This Row],[INVERSIONES FCI]],+Tabla5[[#This Row],[INVERSIONES FCI]]-AF179,Tabla5[[#This Row],[INVERSIONES FCI]])</f>
        <v>1258560069.3789825</v>
      </c>
      <c r="AG180" s="5">
        <f>IF($B179&lt;=Tabla5[[#This Row],[INVERSIONES FCI]],+Tabla5[[#This Row],[INVERSIONES FCI]]-AG179,Tabla5[[#This Row],[INVERSIONES FCI]])</f>
        <v>1258560069.3789825</v>
      </c>
      <c r="AH180" s="5">
        <f>IF($B179&lt;=Tabla5[[#This Row],[INVERSIONES FCI]],+Tabla5[[#This Row],[INVERSIONES FCI]]-AH179,Tabla5[[#This Row],[INVERSIONES FCI]])</f>
        <v>1258560069.3789825</v>
      </c>
      <c r="AI180" s="5">
        <f>IF($B179&lt;=Tabla5[[#This Row],[INVERSIONES FCI]],+Tabla5[[#This Row],[INVERSIONES FCI]]-AI179,Tabla5[[#This Row],[INVERSIONES FCI]])</f>
        <v>1258560069.3789825</v>
      </c>
      <c r="AJ180" s="5">
        <f>IF($B179&lt;=Tabla5[[#This Row],[INVERSIONES FCI]],+Tabla5[[#This Row],[INVERSIONES FCI]]-AJ179,Tabla5[[#This Row],[INVERSIONES FCI]])</f>
        <v>1258560069.3789825</v>
      </c>
      <c r="AK180" s="5">
        <f>IF($B179&lt;=Tabla5[[#This Row],[INVERSIONES FCI]],+Tabla5[[#This Row],[INVERSIONES FCI]]-AK179,Tabla5[[#This Row],[INVERSIONES FCI]])</f>
        <v>1258560069.3789825</v>
      </c>
      <c r="AL180" s="5">
        <f>IF($B179&lt;=Tabla5[[#This Row],[INVERSIONES FCI]],+Tabla5[[#This Row],[INVERSIONES FCI]]-AL179,Tabla5[[#This Row],[INVERSIONES FCI]])</f>
        <v>1258560069.3789825</v>
      </c>
      <c r="AM180" s="5">
        <f>IF($B179&lt;=Tabla5[[#This Row],[INVERSIONES FCI]],+Tabla5[[#This Row],[INVERSIONES FCI]]-AM179,Tabla5[[#This Row],[INVERSIONES FCI]])</f>
        <v>1258560069.3789825</v>
      </c>
      <c r="AN180" s="5">
        <f>IF($B179&lt;=Tabla5[[#This Row],[INVERSIONES FCI]],+Tabla5[[#This Row],[INVERSIONES FCI]]-AN179,Tabla5[[#This Row],[INVERSIONES FCI]])</f>
        <v>1258560069.3789825</v>
      </c>
      <c r="AO180" s="5">
        <f>IF($B179&lt;=Tabla5[[#This Row],[INVERSIONES FCI]],+Tabla5[[#This Row],[INVERSIONES FCI]]-AO179,Tabla5[[#This Row],[INVERSIONES FCI]])</f>
        <v>1258560069.3789825</v>
      </c>
      <c r="AP180" s="5">
        <f>IF($B179&lt;=Tabla5[[#This Row],[INVERSIONES FCI]],+Tabla5[[#This Row],[INVERSIONES FCI]]-AP179,Tabla5[[#This Row],[INVERSIONES FCI]])</f>
        <v>1258560069.3789825</v>
      </c>
      <c r="AQ180" s="5">
        <f>IF($B179&lt;=Tabla5[[#This Row],[INVERSIONES FCI]],+Tabla5[[#This Row],[INVERSIONES FCI]]-AQ179,Tabla5[[#This Row],[INVERSIONES FCI]])</f>
        <v>1258560069.3789825</v>
      </c>
      <c r="AR180" s="5">
        <f>IF($B179&lt;=Tabla5[[#This Row],[INVERSIONES FCI]],+Tabla5[[#This Row],[INVERSIONES FCI]]-AR179,Tabla5[[#This Row],[INVERSIONES FCI]])</f>
        <v>1258560069.3789825</v>
      </c>
      <c r="AS180" s="5">
        <f>IF($B179&lt;=Tabla5[[#This Row],[INVERSIONES FCI]],+Tabla5[[#This Row],[INVERSIONES FCI]]-AS179,Tabla5[[#This Row],[INVERSIONES FCI]])</f>
        <v>1258560069.3789825</v>
      </c>
      <c r="AT180" s="5">
        <f>IF($B179&lt;=Tabla5[[#This Row],[INVERSIONES FCI]],+Tabla5[[#This Row],[INVERSIONES FCI]]-AT179,Tabla5[[#This Row],[INVERSIONES FCI]])</f>
        <v>1258560069.3789825</v>
      </c>
      <c r="AU180" s="5">
        <f>IF($B179&lt;=Tabla5[[#This Row],[INVERSIONES FCI]],+Tabla5[[#This Row],[INVERSIONES FCI]]-AU179,Tabla5[[#This Row],[INVERSIONES FCI]])</f>
        <v>1258560069.3789825</v>
      </c>
      <c r="AV180" s="5">
        <f>IF($B179&lt;=Tabla5[[#This Row],[INVERSIONES FCI]],+Tabla5[[#This Row],[INVERSIONES FCI]]-AV179,Tabla5[[#This Row],[INVERSIONES FCI]])</f>
        <v>1258560069.3789825</v>
      </c>
      <c r="AW180" s="5">
        <f>IF($B179&lt;=Tabla5[[#This Row],[INVERSIONES FCI]],+Tabla5[[#This Row],[INVERSIONES FCI]]-AW179,Tabla5[[#This Row],[INVERSIONES FCI]])</f>
        <v>1258560069.3789825</v>
      </c>
      <c r="AX180" s="5">
        <f>IF($B179&lt;=Tabla5[[#This Row],[INVERSIONES FCI]],+Tabla5[[#This Row],[INVERSIONES FCI]]-AX179,Tabla5[[#This Row],[INVERSIONES FCI]])</f>
        <v>1258560069.3789825</v>
      </c>
      <c r="AY180" s="5">
        <f>IF($B179&lt;=Tabla5[[#This Row],[INVERSIONES FCI]],+Tabla5[[#This Row],[INVERSIONES FCI]]-AY179,Tabla5[[#This Row],[INVERSIONES FCI]])</f>
        <v>1258560069.3789825</v>
      </c>
      <c r="AZ180" s="5">
        <f>IF($B179&lt;=Tabla5[[#This Row],[INVERSIONES FCI]],+Tabla5[[#This Row],[INVERSIONES FCI]]-AZ179,Tabla5[[#This Row],[INVERSIONES FCI]])</f>
        <v>1258560069.3789825</v>
      </c>
      <c r="BA180" s="5">
        <f>IF($B179&lt;=Tabla5[[#This Row],[INVERSIONES FCI]],+Tabla5[[#This Row],[INVERSIONES FCI]]-BA179,Tabla5[[#This Row],[INVERSIONES FCI]])</f>
        <v>1258560069.3789825</v>
      </c>
      <c r="BB180" s="5">
        <f>IF($B179&lt;=Tabla5[[#This Row],[INVERSIONES FCI]],+Tabla5[[#This Row],[INVERSIONES FCI]]-BB179,Tabla5[[#This Row],[INVERSIONES FCI]])</f>
        <v>1258560069.3789825</v>
      </c>
      <c r="BC180" s="5">
        <f>IF($B179&lt;=Tabla5[[#This Row],[INVERSIONES FCI]],+Tabla5[[#This Row],[INVERSIONES FCI]]-BC179,Tabla5[[#This Row],[INVERSIONES FCI]])</f>
        <v>1258560069.3789825</v>
      </c>
      <c r="BD180" s="5">
        <f>IF($B179&lt;=Tabla5[[#This Row],[INVERSIONES FCI]],+Tabla5[[#This Row],[INVERSIONES FCI]]-BD179,Tabla5[[#This Row],[INVERSIONES FCI]])</f>
        <v>1258560069.3789825</v>
      </c>
      <c r="BE180" s="5">
        <f>IF($B179&lt;=Tabla5[[#This Row],[INVERSIONES FCI]],+Tabla5[[#This Row],[INVERSIONES FCI]]-BE179,Tabla5[[#This Row],[INVERSIONES FCI]])</f>
        <v>1258560069.3789825</v>
      </c>
      <c r="BF180" s="5">
        <f>IF($B179&lt;=Tabla5[[#This Row],[INVERSIONES FCI]],+Tabla5[[#This Row],[INVERSIONES FCI]]-BF179,Tabla5[[#This Row],[INVERSIONES FCI]])</f>
        <v>1258560069.3789825</v>
      </c>
      <c r="BG180" s="5">
        <f>IF($B179&lt;=Tabla5[[#This Row],[INVERSIONES FCI]],+Tabla5[[#This Row],[INVERSIONES FCI]]-BG179,Tabla5[[#This Row],[INVERSIONES FCI]])</f>
        <v>1258560069.3789825</v>
      </c>
      <c r="BH180" s="5">
        <f>IF($B179&lt;=Tabla5[[#This Row],[INVERSIONES FCI]],+Tabla5[[#This Row],[INVERSIONES FCI]]-BH179,Tabla5[[#This Row],[INVERSIONES FCI]])</f>
        <v>1258560069.3789825</v>
      </c>
      <c r="BI180" s="5">
        <f>IF($B179&lt;=Tabla5[[#This Row],[INVERSIONES FCI]],+Tabla5[[#This Row],[INVERSIONES FCI]]-BI179,Tabla5[[#This Row],[INVERSIONES FCI]])</f>
        <v>1258560069.3789825</v>
      </c>
      <c r="BJ180" s="5">
        <f>IF($B179&lt;=Tabla5[[#This Row],[INVERSIONES FCI]],+Tabla5[[#This Row],[INVERSIONES FCI]]-BJ179,Tabla5[[#This Row],[INVERSIONES FCI]])</f>
        <v>1258560069.3789825</v>
      </c>
      <c r="BK180" s="5">
        <f>IF($B179&lt;=Tabla5[[#This Row],[INVERSIONES FCI]],+Tabla5[[#This Row],[INVERSIONES FCI]]-BK179,Tabla5[[#This Row],[INVERSIONES FCI]])</f>
        <v>1258560069.3789825</v>
      </c>
      <c r="BL180" s="5">
        <f>IF($B179&lt;=Tabla5[[#This Row],[INVERSIONES FCI]],+Tabla5[[#This Row],[INVERSIONES FCI]]-BL179,Tabla5[[#This Row],[INVERSIONES FCI]])</f>
        <v>1258560069.3789825</v>
      </c>
      <c r="BM180" s="5">
        <f>IF($B179&lt;=Tabla5[[#This Row],[INVERSIONES FCI]],+Tabla5[[#This Row],[INVERSIONES FCI]]-BM179,Tabla5[[#This Row],[INVERSIONES FCI]])</f>
        <v>1258560069.3789825</v>
      </c>
      <c r="BN180" s="5">
        <f>IF($B179&lt;=Tabla5[[#This Row],[INVERSIONES FCI]],+Tabla5[[#This Row],[INVERSIONES FCI]]-BN179,Tabla5[[#This Row],[INVERSIONES FCI]])</f>
        <v>1258560069.3789825</v>
      </c>
      <c r="BO180" s="5">
        <f>IF($B179&lt;=Tabla5[[#This Row],[INVERSIONES FCI]],+Tabla5[[#This Row],[INVERSIONES FCI]]-BO179,Tabla5[[#This Row],[INVERSIONES FCI]])</f>
        <v>1258560069.3789825</v>
      </c>
      <c r="BP180" s="5">
        <f>IF($B179&lt;=Tabla5[[#This Row],[INVERSIONES FCI]],+Tabla5[[#This Row],[INVERSIONES FCI]]-BP179,Tabla5[[#This Row],[INVERSIONES FCI]])</f>
        <v>1258560069.3789825</v>
      </c>
      <c r="BQ180" s="5">
        <f>IF($B179&lt;=Tabla5[[#This Row],[INVERSIONES FCI]],+Tabla5[[#This Row],[INVERSIONES FCI]]-BQ179,Tabla5[[#This Row],[INVERSIONES FCI]])</f>
        <v>1258560069.3789825</v>
      </c>
      <c r="BR180" s="5">
        <f>IF($B179&lt;=Tabla5[[#This Row],[INVERSIONES FCI]],+Tabla5[[#This Row],[INVERSIONES FCI]]-BR179,Tabla5[[#This Row],[INVERSIONES FCI]])</f>
        <v>1258560069.3789825</v>
      </c>
      <c r="BS180" s="5">
        <f>IF($B179&lt;=Tabla5[[#This Row],[INVERSIONES FCI]],+Tabla5[[#This Row],[INVERSIONES FCI]]-BS179,Tabla5[[#This Row],[INVERSIONES FCI]])</f>
        <v>1258560069.3789825</v>
      </c>
      <c r="BT180" s="5">
        <f>IF($B179&lt;=Tabla5[[#This Row],[INVERSIONES FCI]],+Tabla5[[#This Row],[INVERSIONES FCI]]-BT179,Tabla5[[#This Row],[INVERSIONES FCI]])</f>
        <v>1258560069.3789825</v>
      </c>
      <c r="BU180" s="5">
        <f>IF($B179&lt;=Tabla5[[#This Row],[INVERSIONES FCI]],+Tabla5[[#This Row],[INVERSIONES FCI]]-BU179,Tabla5[[#This Row],[INVERSIONES FCI]])</f>
        <v>1258560069.3789825</v>
      </c>
      <c r="BV180" s="5">
        <f>IF($B179&lt;=Tabla5[[#This Row],[INVERSIONES FCI]],+Tabla5[[#This Row],[INVERSIONES FCI]]-BV179,Tabla5[[#This Row],[INVERSIONES FCI]])</f>
        <v>1258560069.3789825</v>
      </c>
      <c r="BW180" s="5">
        <f>IF($B179&lt;=Tabla5[[#This Row],[INVERSIONES FCI]],+Tabla5[[#This Row],[INVERSIONES FCI]]-BW179,Tabla5[[#This Row],[INVERSIONES FCI]])</f>
        <v>1258560069.3789825</v>
      </c>
      <c r="BX180" s="5">
        <f>IF($B179&lt;=Tabla5[[#This Row],[INVERSIONES FCI]],+Tabla5[[#This Row],[INVERSIONES FCI]]-BX179,Tabla5[[#This Row],[INVERSIONES FCI]])</f>
        <v>1258560069.3789825</v>
      </c>
      <c r="BY180" s="5">
        <f>IF($B179&lt;=Tabla5[[#This Row],[INVERSIONES FCI]],+Tabla5[[#This Row],[INVERSIONES FCI]]-BY179,Tabla5[[#This Row],[INVERSIONES FCI]])</f>
        <v>1258560069.3789825</v>
      </c>
      <c r="BZ180" s="5">
        <f>IF($B179&lt;=Tabla5[[#This Row],[INVERSIONES FCI]],+Tabla5[[#This Row],[INVERSIONES FCI]]-BZ179,Tabla5[[#This Row],[INVERSIONES FCI]])</f>
        <v>1258560069.3789825</v>
      </c>
      <c r="CA180" s="5">
        <f>IF($B179&lt;=Tabla5[[#This Row],[INVERSIONES FCI]],+Tabla5[[#This Row],[INVERSIONES FCI]]-CA179,Tabla5[[#This Row],[INVERSIONES FCI]])</f>
        <v>1258560069.3789825</v>
      </c>
      <c r="CB180" s="5">
        <f>IF($B179&lt;=Tabla5[[#This Row],[INVERSIONES FCI]],+Tabla5[[#This Row],[INVERSIONES FCI]]-CB179,Tabla5[[#This Row],[INVERSIONES FCI]])</f>
        <v>1258560069.3789825</v>
      </c>
      <c r="CC180" s="5">
        <f>IF($B179&lt;=Tabla5[[#This Row],[INVERSIONES FCI]],+Tabla5[[#This Row],[INVERSIONES FCI]]-CC179,Tabla5[[#This Row],[INVERSIONES FCI]])</f>
        <v>1258560069.3789825</v>
      </c>
      <c r="CD180" s="5">
        <f>IF($B179&lt;=Tabla5[[#This Row],[INVERSIONES FCI]],+Tabla5[[#This Row],[INVERSIONES FCI]]-CD179,Tabla5[[#This Row],[INVERSIONES FCI]])</f>
        <v>1258560069.3789825</v>
      </c>
      <c r="CE180" s="5">
        <f>IF($B179&lt;=Tabla5[[#This Row],[INVERSIONES FCI]],+Tabla5[[#This Row],[INVERSIONES FCI]]-CE179,Tabla5[[#This Row],[INVERSIONES FCI]])</f>
        <v>1258560069.3789825</v>
      </c>
      <c r="CF180" s="5">
        <f>IF($B179&lt;=Tabla5[[#This Row],[INVERSIONES FCI]],+Tabla5[[#This Row],[INVERSIONES FCI]]-CF179,Tabla5[[#This Row],[INVERSIONES FCI]])</f>
        <v>1258560069.3789825</v>
      </c>
      <c r="CG180" s="5">
        <f>IF($B179&lt;=Tabla5[[#This Row],[INVERSIONES FCI]],+Tabla5[[#This Row],[INVERSIONES FCI]]-CG179,Tabla5[[#This Row],[INVERSIONES FCI]])</f>
        <v>1258560069.3789825</v>
      </c>
      <c r="CH180" s="5">
        <f>IF($B179&lt;=Tabla5[[#This Row],[INVERSIONES FCI]],+Tabla5[[#This Row],[INVERSIONES FCI]]-CH179,Tabla5[[#This Row],[INVERSIONES FCI]])</f>
        <v>1258560069.3789825</v>
      </c>
      <c r="CI180" s="5">
        <f>IF($B179&lt;=Tabla5[[#This Row],[INVERSIONES FCI]],+Tabla5[[#This Row],[INVERSIONES FCI]]-CI179,Tabla5[[#This Row],[INVERSIONES FCI]])</f>
        <v>1258560069.3789825</v>
      </c>
      <c r="CJ180" s="5">
        <f>IF($B179&lt;=Tabla5[[#This Row],[INVERSIONES FCI]],+Tabla5[[#This Row],[INVERSIONES FCI]]-CJ179,Tabla5[[#This Row],[INVERSIONES FCI]])</f>
        <v>1258560069.3789825</v>
      </c>
      <c r="CK180" s="5">
        <f>IF($B179&lt;=Tabla5[[#This Row],[INVERSIONES FCI]],+Tabla5[[#This Row],[INVERSIONES FCI]]-CK179,Tabla5[[#This Row],[INVERSIONES FCI]])</f>
        <v>1258560069.3789825</v>
      </c>
      <c r="CL180" s="5">
        <f>IF($B179&lt;=Tabla5[[#This Row],[INVERSIONES FCI]],+Tabla5[[#This Row],[INVERSIONES FCI]]-CL179,Tabla5[[#This Row],[INVERSIONES FCI]])</f>
        <v>1258560069.3789825</v>
      </c>
      <c r="CM180" s="5">
        <f>IF($B179&lt;=Tabla5[[#This Row],[INVERSIONES FCI]],+Tabla5[[#This Row],[INVERSIONES FCI]]-CM179,Tabla5[[#This Row],[INVERSIONES FCI]])</f>
        <v>1258560069.3789825</v>
      </c>
      <c r="CN180" s="5">
        <f>IF($B179&lt;=Tabla5[[#This Row],[INVERSIONES FCI]],+Tabla5[[#This Row],[INVERSIONES FCI]]-CN179,Tabla5[[#This Row],[INVERSIONES FCI]])</f>
        <v>1258560069.3789825</v>
      </c>
      <c r="CO180" s="5">
        <f>IF($B179&lt;=Tabla5[[#This Row],[INVERSIONES FCI]],+Tabla5[[#This Row],[INVERSIONES FCI]]-CO179,Tabla5[[#This Row],[INVERSIONES FCI]])</f>
        <v>1258560069.3789825</v>
      </c>
      <c r="CP180" s="5">
        <f>IF($B179&lt;=Tabla5[[#This Row],[INVERSIONES FCI]],+Tabla5[[#This Row],[INVERSIONES FCI]]-CP179,Tabla5[[#This Row],[INVERSIONES FCI]])</f>
        <v>1258560069.3789825</v>
      </c>
      <c r="CQ180" s="5">
        <f>IF($B179&lt;=Tabla5[[#This Row],[INVERSIONES FCI]],+Tabla5[[#This Row],[INVERSIONES FCI]]-CQ179,Tabla5[[#This Row],[INVERSIONES FCI]])</f>
        <v>1258560069.3789825</v>
      </c>
      <c r="CR180" s="5">
        <f>IF($B179&lt;=Tabla5[[#This Row],[INVERSIONES FCI]],+Tabla5[[#This Row],[INVERSIONES FCI]]-CR179,Tabla5[[#This Row],[INVERSIONES FCI]])</f>
        <v>1258560069.3789825</v>
      </c>
      <c r="CS180" s="5">
        <f>IF($B179&lt;=Tabla5[[#This Row],[INVERSIONES FCI]],+Tabla5[[#This Row],[INVERSIONES FCI]]-CS179,Tabla5[[#This Row],[INVERSIONES FCI]])</f>
        <v>1258560069.3789825</v>
      </c>
      <c r="CT180" s="5">
        <f>IF($B179&lt;=Tabla5[[#This Row],[INVERSIONES FCI]],+Tabla5[[#This Row],[INVERSIONES FCI]]-CT179,Tabla5[[#This Row],[INVERSIONES FCI]])</f>
        <v>1258560069.3789825</v>
      </c>
      <c r="CU180" s="5">
        <f>IF($B179&lt;=Tabla5[[#This Row],[INVERSIONES FCI]],+Tabla5[[#This Row],[INVERSIONES FCI]]-CU179,Tabla5[[#This Row],[INVERSIONES FCI]])</f>
        <v>1258560069.3789825</v>
      </c>
      <c r="CV180" s="5">
        <f>IF($B179&lt;=Tabla5[[#This Row],[INVERSIONES FCI]],+Tabla5[[#This Row],[INVERSIONES FCI]]-CV179,Tabla5[[#This Row],[INVERSIONES FCI]])</f>
        <v>1258560069.3789825</v>
      </c>
      <c r="CW180" s="5">
        <f>IF($B179&lt;=Tabla5[[#This Row],[INVERSIONES FCI]],+Tabla5[[#This Row],[INVERSIONES FCI]]-CW179,Tabla5[[#This Row],[INVERSIONES FCI]])</f>
        <v>1258560069.3789825</v>
      </c>
      <c r="CX180" s="5">
        <f>IF($B179&lt;=Tabla5[[#This Row],[INVERSIONES FCI]],+Tabla5[[#This Row],[INVERSIONES FCI]]-CX179,Tabla5[[#This Row],[INVERSIONES FCI]])</f>
        <v>1258560069.3789825</v>
      </c>
      <c r="CY180" s="5">
        <f>IF($B179&lt;=Tabla5[[#This Row],[INVERSIONES FCI]],+Tabla5[[#This Row],[INVERSIONES FCI]]-CY179,Tabla5[[#This Row],[INVERSIONES FCI]])</f>
        <v>1258560069.3789825</v>
      </c>
      <c r="CZ180" s="5">
        <f>IF($B179&lt;=Tabla5[[#This Row],[INVERSIONES FCI]],+Tabla5[[#This Row],[INVERSIONES FCI]]-CZ179,Tabla5[[#This Row],[INVERSIONES FCI]])</f>
        <v>1258560069.3789825</v>
      </c>
      <c r="DA180" s="5">
        <f>IF($B179&lt;=Tabla5[[#This Row],[INVERSIONES FCI]],+Tabla5[[#This Row],[INVERSIONES FCI]]-DA179,Tabla5[[#This Row],[INVERSIONES FCI]])</f>
        <v>1258560069.3789825</v>
      </c>
      <c r="DB180" s="5">
        <f>IF($B179&lt;=Tabla5[[#This Row],[INVERSIONES FCI]],+Tabla5[[#This Row],[INVERSIONES FCI]]-DB179,Tabla5[[#This Row],[INVERSIONES FCI]])</f>
        <v>1258560069.3789825</v>
      </c>
      <c r="DC180" s="5">
        <f>IF($B179&lt;=Tabla5[[#This Row],[INVERSIONES FCI]],+Tabla5[[#This Row],[INVERSIONES FCI]]-DC179,Tabla5[[#This Row],[INVERSIONES FCI]])</f>
        <v>1258560069.3789825</v>
      </c>
      <c r="DD180" s="5">
        <f>IF($B179&lt;=Tabla5[[#This Row],[INVERSIONES FCI]],+Tabla5[[#This Row],[INVERSIONES FCI]]-DD179,Tabla5[[#This Row],[INVERSIONES FCI]])</f>
        <v>1258560069.3789825</v>
      </c>
      <c r="DE180" s="5">
        <f>IF($B179&lt;=Tabla5[[#This Row],[INVERSIONES FCI]],+Tabla5[[#This Row],[INVERSIONES FCI]]-DE179,Tabla5[[#This Row],[INVERSIONES FCI]])</f>
        <v>1258560069.3789825</v>
      </c>
      <c r="DF180" s="5">
        <f>IF($B179&lt;=Tabla5[[#This Row],[INVERSIONES FCI]],+Tabla5[[#This Row],[INVERSIONES FCI]]-DF179,Tabla5[[#This Row],[INVERSIONES FCI]])</f>
        <v>1258560069.3789825</v>
      </c>
      <c r="DG180" s="5">
        <f>IF($B179&lt;=Tabla5[[#This Row],[INVERSIONES FCI]],+Tabla5[[#This Row],[INVERSIONES FCI]]-DG179,Tabla5[[#This Row],[INVERSIONES FCI]])</f>
        <v>1258560069.3789825</v>
      </c>
      <c r="DH180" s="5">
        <f>IF($B179&lt;=Tabla5[[#This Row],[INVERSIONES FCI]],+Tabla5[[#This Row],[INVERSIONES FCI]]-DH179,Tabla5[[#This Row],[INVERSIONES FCI]])</f>
        <v>1258560069.3789825</v>
      </c>
      <c r="DI180" s="5">
        <f>IF($B179&lt;=Tabla5[[#This Row],[INVERSIONES FCI]],+Tabla5[[#This Row],[INVERSIONES FCI]]-DI179,Tabla5[[#This Row],[INVERSIONES FCI]])</f>
        <v>1258560069.3789825</v>
      </c>
      <c r="DJ180" s="5">
        <f>IF($B179&lt;=Tabla5[[#This Row],[INVERSIONES FCI]],+Tabla5[[#This Row],[INVERSIONES FCI]]-DJ179,Tabla5[[#This Row],[INVERSIONES FCI]])</f>
        <v>1258560069.3789825</v>
      </c>
      <c r="DK180" s="5">
        <f>IF($B179&lt;=Tabla5[[#This Row],[INVERSIONES FCI]],+Tabla5[[#This Row],[INVERSIONES FCI]]-DK179,Tabla5[[#This Row],[INVERSIONES FCI]])</f>
        <v>1258560069.3789825</v>
      </c>
      <c r="DL180" s="5"/>
      <c r="DM180" s="5"/>
      <c r="DN180" s="5"/>
      <c r="DO180" s="5"/>
      <c r="DP180" s="5"/>
      <c r="DQ180" s="5"/>
    </row>
    <row r="181" spans="1:121" ht="14.4">
      <c r="A181" s="12" t="s">
        <v>180</v>
      </c>
      <c r="B181" s="5">
        <f>HLOOKUP($A181,ESCENARIO[#All],7,FALSE)</f>
        <v>41617847036.632767</v>
      </c>
      <c r="C181" s="5">
        <f>IF($B180&lt;=Tabla5[[#This Row],[INVERSIONES FCI]],+Tabla5[[#This Row],[INVERSIONES FCI]]-C180,Tabla5[[#This Row],[INVERSIONES FCI]])</f>
        <v>40359286967.253784</v>
      </c>
      <c r="D181" s="5">
        <f>IF($B180&lt;=Tabla5[[#This Row],[INVERSIONES FCI]],+Tabla5[[#This Row],[INVERSIONES FCI]]-D180,Tabla5[[#This Row],[INVERSIONES FCI]])</f>
        <v>40359286967.253784</v>
      </c>
      <c r="E181" s="5">
        <f>IF($B180&lt;=Tabla5[[#This Row],[INVERSIONES FCI]],+Tabla5[[#This Row],[INVERSIONES FCI]]-E180,Tabla5[[#This Row],[INVERSIONES FCI]])</f>
        <v>40359286967.253784</v>
      </c>
      <c r="F181" s="5">
        <f>IF($B180&lt;=Tabla5[[#This Row],[INVERSIONES FCI]],+Tabla5[[#This Row],[INVERSIONES FCI]]-F180,Tabla5[[#This Row],[INVERSIONES FCI]])</f>
        <v>40359286967.253784</v>
      </c>
      <c r="G181" s="5">
        <f>IF($B180&lt;=Tabla5[[#This Row],[INVERSIONES FCI]],+Tabla5[[#This Row],[INVERSIONES FCI]]-G180,Tabla5[[#This Row],[INVERSIONES FCI]])</f>
        <v>40359286967.253784</v>
      </c>
      <c r="H181" s="5">
        <f>IF($B180&lt;=Tabla5[[#This Row],[INVERSIONES FCI]],+Tabla5[[#This Row],[INVERSIONES FCI]]-H180,Tabla5[[#This Row],[INVERSIONES FCI]])</f>
        <v>40359286967.253784</v>
      </c>
      <c r="I181" s="5">
        <f>IF($B180&lt;=Tabla5[[#This Row],[INVERSIONES FCI]],+Tabla5[[#This Row],[INVERSIONES FCI]]-I180,Tabla5[[#This Row],[INVERSIONES FCI]])</f>
        <v>40359286967.253784</v>
      </c>
      <c r="J181" s="5">
        <f>IF($B180&lt;=Tabla5[[#This Row],[INVERSIONES FCI]],+Tabla5[[#This Row],[INVERSIONES FCI]]-J180,Tabla5[[#This Row],[INVERSIONES FCI]])</f>
        <v>40359286967.253784</v>
      </c>
      <c r="K181" s="5">
        <f>IF($B180&lt;=Tabla5[[#This Row],[INVERSIONES FCI]],+Tabla5[[#This Row],[INVERSIONES FCI]]-K180,Tabla5[[#This Row],[INVERSIONES FCI]])</f>
        <v>40359286967.253784</v>
      </c>
      <c r="L181" s="5">
        <f>IF($B180&lt;=Tabla5[[#This Row],[INVERSIONES FCI]],+Tabla5[[#This Row],[INVERSIONES FCI]]-L180,Tabla5[[#This Row],[INVERSIONES FCI]])</f>
        <v>40359286967.253784</v>
      </c>
      <c r="M181" s="5">
        <f>IF($B180&lt;=Tabla5[[#This Row],[INVERSIONES FCI]],+Tabla5[[#This Row],[INVERSIONES FCI]]-M180,Tabla5[[#This Row],[INVERSIONES FCI]])</f>
        <v>40359286967.253784</v>
      </c>
      <c r="N181" s="5">
        <f>IF($B180&lt;=Tabla5[[#This Row],[INVERSIONES FCI]],+Tabla5[[#This Row],[INVERSIONES FCI]]-N180,Tabla5[[#This Row],[INVERSIONES FCI]])</f>
        <v>40359286967.253784</v>
      </c>
      <c r="O181" s="5">
        <f>IF($B180&lt;=Tabla5[[#This Row],[INVERSIONES FCI]],+Tabla5[[#This Row],[INVERSIONES FCI]]-O180,Tabla5[[#This Row],[INVERSIONES FCI]])</f>
        <v>40359286967.253784</v>
      </c>
      <c r="P181" s="5">
        <f>IF($B180&lt;=Tabla5[[#This Row],[INVERSIONES FCI]],+Tabla5[[#This Row],[INVERSIONES FCI]]-P180,Tabla5[[#This Row],[INVERSIONES FCI]])</f>
        <v>40359286967.253784</v>
      </c>
      <c r="Q181" s="5">
        <f>IF($B180&lt;=Tabla5[[#This Row],[INVERSIONES FCI]],+Tabla5[[#This Row],[INVERSIONES FCI]]-Q180,Tabla5[[#This Row],[INVERSIONES FCI]])</f>
        <v>40359286967.253784</v>
      </c>
      <c r="R181" s="5">
        <f>IF($B180&lt;=Tabla5[[#This Row],[INVERSIONES FCI]],+Tabla5[[#This Row],[INVERSIONES FCI]]-R180,Tabla5[[#This Row],[INVERSIONES FCI]])</f>
        <v>40359286967.253784</v>
      </c>
      <c r="S181" s="5">
        <f>IF($B180&lt;=Tabla5[[#This Row],[INVERSIONES FCI]],+Tabla5[[#This Row],[INVERSIONES FCI]]-S180,Tabla5[[#This Row],[INVERSIONES FCI]])</f>
        <v>40359286967.253784</v>
      </c>
      <c r="T181" s="5">
        <f>IF($B180&lt;=Tabla5[[#This Row],[INVERSIONES FCI]],+Tabla5[[#This Row],[INVERSIONES FCI]]-T180,Tabla5[[#This Row],[INVERSIONES FCI]])</f>
        <v>40359286967.253784</v>
      </c>
      <c r="U181" s="5">
        <f>IF($B180&lt;=Tabla5[[#This Row],[INVERSIONES FCI]],+Tabla5[[#This Row],[INVERSIONES FCI]]-U180,Tabla5[[#This Row],[INVERSIONES FCI]])</f>
        <v>40359286967.253784</v>
      </c>
      <c r="V181" s="5">
        <f>IF($B180&lt;=Tabla5[[#This Row],[INVERSIONES FCI]],+Tabla5[[#This Row],[INVERSIONES FCI]]-V180,Tabla5[[#This Row],[INVERSIONES FCI]])</f>
        <v>40359286967.253784</v>
      </c>
      <c r="W181" s="5">
        <f>IF($B180&lt;=Tabla5[[#This Row],[INVERSIONES FCI]],+Tabla5[[#This Row],[INVERSIONES FCI]]-W180,Tabla5[[#This Row],[INVERSIONES FCI]])</f>
        <v>40359286967.253784</v>
      </c>
      <c r="X181" s="5">
        <f>IF($B180&lt;=Tabla5[[#This Row],[INVERSIONES FCI]],+Tabla5[[#This Row],[INVERSIONES FCI]]-X180,Tabla5[[#This Row],[INVERSIONES FCI]])</f>
        <v>40359286967.253784</v>
      </c>
      <c r="Y181" s="5">
        <f>IF($B180&lt;=Tabla5[[#This Row],[INVERSIONES FCI]],+Tabla5[[#This Row],[INVERSIONES FCI]]-Y180,Tabla5[[#This Row],[INVERSIONES FCI]])</f>
        <v>40359286967.253784</v>
      </c>
      <c r="Z181" s="5">
        <f>IF($B180&lt;=Tabla5[[#This Row],[INVERSIONES FCI]],+Tabla5[[#This Row],[INVERSIONES FCI]]-Z180,Tabla5[[#This Row],[INVERSIONES FCI]])</f>
        <v>40359286967.253784</v>
      </c>
      <c r="AA181" s="5">
        <f>IF($B180&lt;=Tabla5[[#This Row],[INVERSIONES FCI]],+Tabla5[[#This Row],[INVERSIONES FCI]]-AA180,Tabla5[[#This Row],[INVERSIONES FCI]])</f>
        <v>40359286967.253784</v>
      </c>
      <c r="AB181" s="5">
        <f>IF($B180&lt;=Tabla5[[#This Row],[INVERSIONES FCI]],+Tabla5[[#This Row],[INVERSIONES FCI]]-AB180,Tabla5[[#This Row],[INVERSIONES FCI]])</f>
        <v>40359286967.253784</v>
      </c>
      <c r="AC181" s="5">
        <f>IF($B180&lt;=Tabla5[[#This Row],[INVERSIONES FCI]],+Tabla5[[#This Row],[INVERSIONES FCI]]-AC180,Tabla5[[#This Row],[INVERSIONES FCI]])</f>
        <v>40359286967.253784</v>
      </c>
      <c r="AD181" s="5">
        <f>IF($B180&lt;=Tabla5[[#This Row],[INVERSIONES FCI]],+Tabla5[[#This Row],[INVERSIONES FCI]]-AD180,Tabla5[[#This Row],[INVERSIONES FCI]])</f>
        <v>40359286967.253784</v>
      </c>
      <c r="AE181" s="5">
        <f>IF($B180&lt;=Tabla5[[#This Row],[INVERSIONES FCI]],+Tabla5[[#This Row],[INVERSIONES FCI]]-AE180,Tabla5[[#This Row],[INVERSIONES FCI]])</f>
        <v>40359286967.253784</v>
      </c>
      <c r="AF181" s="5">
        <f>IF($B180&lt;=Tabla5[[#This Row],[INVERSIONES FCI]],+Tabla5[[#This Row],[INVERSIONES FCI]]-AF180,Tabla5[[#This Row],[INVERSIONES FCI]])</f>
        <v>40359286967.253784</v>
      </c>
      <c r="AG181" s="5">
        <f>IF($B180&lt;=Tabla5[[#This Row],[INVERSIONES FCI]],+Tabla5[[#This Row],[INVERSIONES FCI]]-AG180,Tabla5[[#This Row],[INVERSIONES FCI]])</f>
        <v>40359286967.253784</v>
      </c>
      <c r="AH181" s="5">
        <f>IF($B180&lt;=Tabla5[[#This Row],[INVERSIONES FCI]],+Tabla5[[#This Row],[INVERSIONES FCI]]-AH180,Tabla5[[#This Row],[INVERSIONES FCI]])</f>
        <v>40359286967.253784</v>
      </c>
      <c r="AI181" s="5">
        <f>IF($B180&lt;=Tabla5[[#This Row],[INVERSIONES FCI]],+Tabla5[[#This Row],[INVERSIONES FCI]]-AI180,Tabla5[[#This Row],[INVERSIONES FCI]])</f>
        <v>40359286967.253784</v>
      </c>
      <c r="AJ181" s="5">
        <f>IF($B180&lt;=Tabla5[[#This Row],[INVERSIONES FCI]],+Tabla5[[#This Row],[INVERSIONES FCI]]-AJ180,Tabla5[[#This Row],[INVERSIONES FCI]])</f>
        <v>40359286967.253784</v>
      </c>
      <c r="AK181" s="5">
        <f>IF($B180&lt;=Tabla5[[#This Row],[INVERSIONES FCI]],+Tabla5[[#This Row],[INVERSIONES FCI]]-AK180,Tabla5[[#This Row],[INVERSIONES FCI]])</f>
        <v>40359286967.253784</v>
      </c>
      <c r="AL181" s="5">
        <f>IF($B180&lt;=Tabla5[[#This Row],[INVERSIONES FCI]],+Tabla5[[#This Row],[INVERSIONES FCI]]-AL180,Tabla5[[#This Row],[INVERSIONES FCI]])</f>
        <v>40359286967.253784</v>
      </c>
      <c r="AM181" s="5">
        <f>IF($B180&lt;=Tabla5[[#This Row],[INVERSIONES FCI]],+Tabla5[[#This Row],[INVERSIONES FCI]]-AM180,Tabla5[[#This Row],[INVERSIONES FCI]])</f>
        <v>40359286967.253784</v>
      </c>
      <c r="AN181" s="5">
        <f>IF($B180&lt;=Tabla5[[#This Row],[INVERSIONES FCI]],+Tabla5[[#This Row],[INVERSIONES FCI]]-AN180,Tabla5[[#This Row],[INVERSIONES FCI]])</f>
        <v>40359286967.253784</v>
      </c>
      <c r="AO181" s="5">
        <f>IF($B180&lt;=Tabla5[[#This Row],[INVERSIONES FCI]],+Tabla5[[#This Row],[INVERSIONES FCI]]-AO180,Tabla5[[#This Row],[INVERSIONES FCI]])</f>
        <v>40359286967.253784</v>
      </c>
      <c r="AP181" s="5">
        <f>IF($B180&lt;=Tabla5[[#This Row],[INVERSIONES FCI]],+Tabla5[[#This Row],[INVERSIONES FCI]]-AP180,Tabla5[[#This Row],[INVERSIONES FCI]])</f>
        <v>40359286967.253784</v>
      </c>
      <c r="AQ181" s="5">
        <f>IF($B180&lt;=Tabla5[[#This Row],[INVERSIONES FCI]],+Tabla5[[#This Row],[INVERSIONES FCI]]-AQ180,Tabla5[[#This Row],[INVERSIONES FCI]])</f>
        <v>40359286967.253784</v>
      </c>
      <c r="AR181" s="5">
        <f>IF($B180&lt;=Tabla5[[#This Row],[INVERSIONES FCI]],+Tabla5[[#This Row],[INVERSIONES FCI]]-AR180,Tabla5[[#This Row],[INVERSIONES FCI]])</f>
        <v>40359286967.253784</v>
      </c>
      <c r="AS181" s="5">
        <f>IF($B180&lt;=Tabla5[[#This Row],[INVERSIONES FCI]],+Tabla5[[#This Row],[INVERSIONES FCI]]-AS180,Tabla5[[#This Row],[INVERSIONES FCI]])</f>
        <v>40359286967.253784</v>
      </c>
      <c r="AT181" s="5">
        <f>IF($B180&lt;=Tabla5[[#This Row],[INVERSIONES FCI]],+Tabla5[[#This Row],[INVERSIONES FCI]]-AT180,Tabla5[[#This Row],[INVERSIONES FCI]])</f>
        <v>40359286967.253784</v>
      </c>
      <c r="AU181" s="5">
        <f>IF($B180&lt;=Tabla5[[#This Row],[INVERSIONES FCI]],+Tabla5[[#This Row],[INVERSIONES FCI]]-AU180,Tabla5[[#This Row],[INVERSIONES FCI]])</f>
        <v>40359286967.253784</v>
      </c>
      <c r="AV181" s="5">
        <f>IF($B180&lt;=Tabla5[[#This Row],[INVERSIONES FCI]],+Tabla5[[#This Row],[INVERSIONES FCI]]-AV180,Tabla5[[#This Row],[INVERSIONES FCI]])</f>
        <v>40359286967.253784</v>
      </c>
      <c r="AW181" s="5">
        <f>IF($B180&lt;=Tabla5[[#This Row],[INVERSIONES FCI]],+Tabla5[[#This Row],[INVERSIONES FCI]]-AW180,Tabla5[[#This Row],[INVERSIONES FCI]])</f>
        <v>40359286967.253784</v>
      </c>
      <c r="AX181" s="5">
        <f>IF($B180&lt;=Tabla5[[#This Row],[INVERSIONES FCI]],+Tabla5[[#This Row],[INVERSIONES FCI]]-AX180,Tabla5[[#This Row],[INVERSIONES FCI]])</f>
        <v>40359286967.253784</v>
      </c>
      <c r="AY181" s="5">
        <f>IF($B180&lt;=Tabla5[[#This Row],[INVERSIONES FCI]],+Tabla5[[#This Row],[INVERSIONES FCI]]-AY180,Tabla5[[#This Row],[INVERSIONES FCI]])</f>
        <v>40359286967.253784</v>
      </c>
      <c r="AZ181" s="5">
        <f>IF($B180&lt;=Tabla5[[#This Row],[INVERSIONES FCI]],+Tabla5[[#This Row],[INVERSIONES FCI]]-AZ180,Tabla5[[#This Row],[INVERSIONES FCI]])</f>
        <v>40359286967.253784</v>
      </c>
      <c r="BA181" s="5">
        <f>IF($B180&lt;=Tabla5[[#This Row],[INVERSIONES FCI]],+Tabla5[[#This Row],[INVERSIONES FCI]]-BA180,Tabla5[[#This Row],[INVERSIONES FCI]])</f>
        <v>40359286967.253784</v>
      </c>
      <c r="BB181" s="5">
        <f>IF($B180&lt;=Tabla5[[#This Row],[INVERSIONES FCI]],+Tabla5[[#This Row],[INVERSIONES FCI]]-BB180,Tabla5[[#This Row],[INVERSIONES FCI]])</f>
        <v>40359286967.253784</v>
      </c>
      <c r="BC181" s="5">
        <f>IF($B180&lt;=Tabla5[[#This Row],[INVERSIONES FCI]],+Tabla5[[#This Row],[INVERSIONES FCI]]-BC180,Tabla5[[#This Row],[INVERSIONES FCI]])</f>
        <v>40359286967.253784</v>
      </c>
      <c r="BD181" s="5">
        <f>IF($B180&lt;=Tabla5[[#This Row],[INVERSIONES FCI]],+Tabla5[[#This Row],[INVERSIONES FCI]]-BD180,Tabla5[[#This Row],[INVERSIONES FCI]])</f>
        <v>40359286967.253784</v>
      </c>
      <c r="BE181" s="5">
        <f>IF($B180&lt;=Tabla5[[#This Row],[INVERSIONES FCI]],+Tabla5[[#This Row],[INVERSIONES FCI]]-BE180,Tabla5[[#This Row],[INVERSIONES FCI]])</f>
        <v>40359286967.253784</v>
      </c>
      <c r="BF181" s="5">
        <f>IF($B180&lt;=Tabla5[[#This Row],[INVERSIONES FCI]],+Tabla5[[#This Row],[INVERSIONES FCI]]-BF180,Tabla5[[#This Row],[INVERSIONES FCI]])</f>
        <v>40359286967.253784</v>
      </c>
      <c r="BG181" s="5">
        <f>IF($B180&lt;=Tabla5[[#This Row],[INVERSIONES FCI]],+Tabla5[[#This Row],[INVERSIONES FCI]]-BG180,Tabla5[[#This Row],[INVERSIONES FCI]])</f>
        <v>40359286967.253784</v>
      </c>
      <c r="BH181" s="5">
        <f>IF($B180&lt;=Tabla5[[#This Row],[INVERSIONES FCI]],+Tabla5[[#This Row],[INVERSIONES FCI]]-BH180,Tabla5[[#This Row],[INVERSIONES FCI]])</f>
        <v>40359286967.253784</v>
      </c>
      <c r="BI181" s="5">
        <f>IF($B180&lt;=Tabla5[[#This Row],[INVERSIONES FCI]],+Tabla5[[#This Row],[INVERSIONES FCI]]-BI180,Tabla5[[#This Row],[INVERSIONES FCI]])</f>
        <v>40359286967.253784</v>
      </c>
      <c r="BJ181" s="5">
        <f>IF($B180&lt;=Tabla5[[#This Row],[INVERSIONES FCI]],+Tabla5[[#This Row],[INVERSIONES FCI]]-BJ180,Tabla5[[#This Row],[INVERSIONES FCI]])</f>
        <v>40359286967.253784</v>
      </c>
      <c r="BK181" s="5">
        <f>IF($B180&lt;=Tabla5[[#This Row],[INVERSIONES FCI]],+Tabla5[[#This Row],[INVERSIONES FCI]]-BK180,Tabla5[[#This Row],[INVERSIONES FCI]])</f>
        <v>40359286967.253784</v>
      </c>
      <c r="BL181" s="5">
        <f>IF($B180&lt;=Tabla5[[#This Row],[INVERSIONES FCI]],+Tabla5[[#This Row],[INVERSIONES FCI]]-BL180,Tabla5[[#This Row],[INVERSIONES FCI]])</f>
        <v>40359286967.253784</v>
      </c>
      <c r="BM181" s="5">
        <f>IF($B180&lt;=Tabla5[[#This Row],[INVERSIONES FCI]],+Tabla5[[#This Row],[INVERSIONES FCI]]-BM180,Tabla5[[#This Row],[INVERSIONES FCI]])</f>
        <v>40359286967.253784</v>
      </c>
      <c r="BN181" s="5">
        <f>IF($B180&lt;=Tabla5[[#This Row],[INVERSIONES FCI]],+Tabla5[[#This Row],[INVERSIONES FCI]]-BN180,Tabla5[[#This Row],[INVERSIONES FCI]])</f>
        <v>40359286967.253784</v>
      </c>
      <c r="BO181" s="5">
        <f>IF($B180&lt;=Tabla5[[#This Row],[INVERSIONES FCI]],+Tabla5[[#This Row],[INVERSIONES FCI]]-BO180,Tabla5[[#This Row],[INVERSIONES FCI]])</f>
        <v>40359286967.253784</v>
      </c>
      <c r="BP181" s="5">
        <f>IF($B180&lt;=Tabla5[[#This Row],[INVERSIONES FCI]],+Tabla5[[#This Row],[INVERSIONES FCI]]-BP180,Tabla5[[#This Row],[INVERSIONES FCI]])</f>
        <v>40359286967.253784</v>
      </c>
      <c r="BQ181" s="5">
        <f>IF($B180&lt;=Tabla5[[#This Row],[INVERSIONES FCI]],+Tabla5[[#This Row],[INVERSIONES FCI]]-BQ180,Tabla5[[#This Row],[INVERSIONES FCI]])</f>
        <v>40359286967.253784</v>
      </c>
      <c r="BR181" s="5">
        <f>IF($B180&lt;=Tabla5[[#This Row],[INVERSIONES FCI]],+Tabla5[[#This Row],[INVERSIONES FCI]]-BR180,Tabla5[[#This Row],[INVERSIONES FCI]])</f>
        <v>40359286967.253784</v>
      </c>
      <c r="BS181" s="5">
        <f>IF($B180&lt;=Tabla5[[#This Row],[INVERSIONES FCI]],+Tabla5[[#This Row],[INVERSIONES FCI]]-BS180,Tabla5[[#This Row],[INVERSIONES FCI]])</f>
        <v>40359286967.253784</v>
      </c>
      <c r="BT181" s="5">
        <f>IF($B180&lt;=Tabla5[[#This Row],[INVERSIONES FCI]],+Tabla5[[#This Row],[INVERSIONES FCI]]-BT180,Tabla5[[#This Row],[INVERSIONES FCI]])</f>
        <v>40359286967.253784</v>
      </c>
      <c r="BU181" s="5">
        <f>IF($B180&lt;=Tabla5[[#This Row],[INVERSIONES FCI]],+Tabla5[[#This Row],[INVERSIONES FCI]]-BU180,Tabla5[[#This Row],[INVERSIONES FCI]])</f>
        <v>40359286967.253784</v>
      </c>
      <c r="BV181" s="5">
        <f>IF($B180&lt;=Tabla5[[#This Row],[INVERSIONES FCI]],+Tabla5[[#This Row],[INVERSIONES FCI]]-BV180,Tabla5[[#This Row],[INVERSIONES FCI]])</f>
        <v>40359286967.253784</v>
      </c>
      <c r="BW181" s="5">
        <f>IF($B180&lt;=Tabla5[[#This Row],[INVERSIONES FCI]],+Tabla5[[#This Row],[INVERSIONES FCI]]-BW180,Tabla5[[#This Row],[INVERSIONES FCI]])</f>
        <v>40359286967.253784</v>
      </c>
      <c r="BX181" s="5">
        <f>IF($B180&lt;=Tabla5[[#This Row],[INVERSIONES FCI]],+Tabla5[[#This Row],[INVERSIONES FCI]]-BX180,Tabla5[[#This Row],[INVERSIONES FCI]])</f>
        <v>40359286967.253784</v>
      </c>
      <c r="BY181" s="5">
        <f>IF($B180&lt;=Tabla5[[#This Row],[INVERSIONES FCI]],+Tabla5[[#This Row],[INVERSIONES FCI]]-BY180,Tabla5[[#This Row],[INVERSIONES FCI]])</f>
        <v>40359286967.253784</v>
      </c>
      <c r="BZ181" s="5">
        <f>IF($B180&lt;=Tabla5[[#This Row],[INVERSIONES FCI]],+Tabla5[[#This Row],[INVERSIONES FCI]]-BZ180,Tabla5[[#This Row],[INVERSIONES FCI]])</f>
        <v>40359286967.253784</v>
      </c>
      <c r="CA181" s="5">
        <f>IF($B180&lt;=Tabla5[[#This Row],[INVERSIONES FCI]],+Tabla5[[#This Row],[INVERSIONES FCI]]-CA180,Tabla5[[#This Row],[INVERSIONES FCI]])</f>
        <v>40359286967.253784</v>
      </c>
      <c r="CB181" s="5">
        <f>IF($B180&lt;=Tabla5[[#This Row],[INVERSIONES FCI]],+Tabla5[[#This Row],[INVERSIONES FCI]]-CB180,Tabla5[[#This Row],[INVERSIONES FCI]])</f>
        <v>40359286967.253784</v>
      </c>
      <c r="CC181" s="5">
        <f>IF($B180&lt;=Tabla5[[#This Row],[INVERSIONES FCI]],+Tabla5[[#This Row],[INVERSIONES FCI]]-CC180,Tabla5[[#This Row],[INVERSIONES FCI]])</f>
        <v>40359286967.253784</v>
      </c>
      <c r="CD181" s="5">
        <f>IF($B180&lt;=Tabla5[[#This Row],[INVERSIONES FCI]],+Tabla5[[#This Row],[INVERSIONES FCI]]-CD180,Tabla5[[#This Row],[INVERSIONES FCI]])</f>
        <v>40359286967.253784</v>
      </c>
      <c r="CE181" s="5">
        <f>IF($B180&lt;=Tabla5[[#This Row],[INVERSIONES FCI]],+Tabla5[[#This Row],[INVERSIONES FCI]]-CE180,Tabla5[[#This Row],[INVERSIONES FCI]])</f>
        <v>40359286967.253784</v>
      </c>
      <c r="CF181" s="5">
        <f>IF($B180&lt;=Tabla5[[#This Row],[INVERSIONES FCI]],+Tabla5[[#This Row],[INVERSIONES FCI]]-CF180,Tabla5[[#This Row],[INVERSIONES FCI]])</f>
        <v>40359286967.253784</v>
      </c>
      <c r="CG181" s="5">
        <f>IF($B180&lt;=Tabla5[[#This Row],[INVERSIONES FCI]],+Tabla5[[#This Row],[INVERSIONES FCI]]-CG180,Tabla5[[#This Row],[INVERSIONES FCI]])</f>
        <v>40359286967.253784</v>
      </c>
      <c r="CH181" s="5">
        <f>IF($B180&lt;=Tabla5[[#This Row],[INVERSIONES FCI]],+Tabla5[[#This Row],[INVERSIONES FCI]]-CH180,Tabla5[[#This Row],[INVERSIONES FCI]])</f>
        <v>40359286967.253784</v>
      </c>
      <c r="CI181" s="5">
        <f>IF($B180&lt;=Tabla5[[#This Row],[INVERSIONES FCI]],+Tabla5[[#This Row],[INVERSIONES FCI]]-CI180,Tabla5[[#This Row],[INVERSIONES FCI]])</f>
        <v>40359286967.253784</v>
      </c>
      <c r="CJ181" s="5">
        <f>IF($B180&lt;=Tabla5[[#This Row],[INVERSIONES FCI]],+Tabla5[[#This Row],[INVERSIONES FCI]]-CJ180,Tabla5[[#This Row],[INVERSIONES FCI]])</f>
        <v>40359286967.253784</v>
      </c>
      <c r="CK181" s="5">
        <f>IF($B180&lt;=Tabla5[[#This Row],[INVERSIONES FCI]],+Tabla5[[#This Row],[INVERSIONES FCI]]-CK180,Tabla5[[#This Row],[INVERSIONES FCI]])</f>
        <v>40359286967.253784</v>
      </c>
      <c r="CL181" s="5">
        <f>IF($B180&lt;=Tabla5[[#This Row],[INVERSIONES FCI]],+Tabla5[[#This Row],[INVERSIONES FCI]]-CL180,Tabla5[[#This Row],[INVERSIONES FCI]])</f>
        <v>40359286967.253784</v>
      </c>
      <c r="CM181" s="5">
        <f>IF($B180&lt;=Tabla5[[#This Row],[INVERSIONES FCI]],+Tabla5[[#This Row],[INVERSIONES FCI]]-CM180,Tabla5[[#This Row],[INVERSIONES FCI]])</f>
        <v>40359286967.253784</v>
      </c>
      <c r="CN181" s="5">
        <f>IF($B180&lt;=Tabla5[[#This Row],[INVERSIONES FCI]],+Tabla5[[#This Row],[INVERSIONES FCI]]-CN180,Tabla5[[#This Row],[INVERSIONES FCI]])</f>
        <v>40359286967.253784</v>
      </c>
      <c r="CO181" s="5">
        <f>IF($B180&lt;=Tabla5[[#This Row],[INVERSIONES FCI]],+Tabla5[[#This Row],[INVERSIONES FCI]]-CO180,Tabla5[[#This Row],[INVERSIONES FCI]])</f>
        <v>40359286967.253784</v>
      </c>
      <c r="CP181" s="5">
        <f>IF($B180&lt;=Tabla5[[#This Row],[INVERSIONES FCI]],+Tabla5[[#This Row],[INVERSIONES FCI]]-CP180,Tabla5[[#This Row],[INVERSIONES FCI]])</f>
        <v>40359286967.253784</v>
      </c>
      <c r="CQ181" s="5">
        <f>IF($B180&lt;=Tabla5[[#This Row],[INVERSIONES FCI]],+Tabla5[[#This Row],[INVERSIONES FCI]]-CQ180,Tabla5[[#This Row],[INVERSIONES FCI]])</f>
        <v>40359286967.253784</v>
      </c>
      <c r="CR181" s="5">
        <f>IF($B180&lt;=Tabla5[[#This Row],[INVERSIONES FCI]],+Tabla5[[#This Row],[INVERSIONES FCI]]-CR180,Tabla5[[#This Row],[INVERSIONES FCI]])</f>
        <v>40359286967.253784</v>
      </c>
      <c r="CS181" s="5">
        <f>IF($B180&lt;=Tabla5[[#This Row],[INVERSIONES FCI]],+Tabla5[[#This Row],[INVERSIONES FCI]]-CS180,Tabla5[[#This Row],[INVERSIONES FCI]])</f>
        <v>40359286967.253784</v>
      </c>
      <c r="CT181" s="5">
        <f>IF($B180&lt;=Tabla5[[#This Row],[INVERSIONES FCI]],+Tabla5[[#This Row],[INVERSIONES FCI]]-CT180,Tabla5[[#This Row],[INVERSIONES FCI]])</f>
        <v>40359286967.253784</v>
      </c>
      <c r="CU181" s="5">
        <f>IF($B180&lt;=Tabla5[[#This Row],[INVERSIONES FCI]],+Tabla5[[#This Row],[INVERSIONES FCI]]-CU180,Tabla5[[#This Row],[INVERSIONES FCI]])</f>
        <v>40359286967.253784</v>
      </c>
      <c r="CV181" s="5">
        <f>IF($B180&lt;=Tabla5[[#This Row],[INVERSIONES FCI]],+Tabla5[[#This Row],[INVERSIONES FCI]]-CV180,Tabla5[[#This Row],[INVERSIONES FCI]])</f>
        <v>40359286967.253784</v>
      </c>
      <c r="CW181" s="5">
        <f>IF($B180&lt;=Tabla5[[#This Row],[INVERSIONES FCI]],+Tabla5[[#This Row],[INVERSIONES FCI]]-CW180,Tabla5[[#This Row],[INVERSIONES FCI]])</f>
        <v>40359286967.253784</v>
      </c>
      <c r="CX181" s="5">
        <f>IF($B180&lt;=Tabla5[[#This Row],[INVERSIONES FCI]],+Tabla5[[#This Row],[INVERSIONES FCI]]-CX180,Tabla5[[#This Row],[INVERSIONES FCI]])</f>
        <v>40359286967.253784</v>
      </c>
      <c r="CY181" s="5">
        <f>IF($B180&lt;=Tabla5[[#This Row],[INVERSIONES FCI]],+Tabla5[[#This Row],[INVERSIONES FCI]]-CY180,Tabla5[[#This Row],[INVERSIONES FCI]])</f>
        <v>40359286967.253784</v>
      </c>
      <c r="CZ181" s="5">
        <f>IF($B180&lt;=Tabla5[[#This Row],[INVERSIONES FCI]],+Tabla5[[#This Row],[INVERSIONES FCI]]-CZ180,Tabla5[[#This Row],[INVERSIONES FCI]])</f>
        <v>40359286967.253784</v>
      </c>
      <c r="DA181" s="5">
        <f>IF($B180&lt;=Tabla5[[#This Row],[INVERSIONES FCI]],+Tabla5[[#This Row],[INVERSIONES FCI]]-DA180,Tabla5[[#This Row],[INVERSIONES FCI]])</f>
        <v>40359286967.253784</v>
      </c>
      <c r="DB181" s="5">
        <f>IF($B180&lt;=Tabla5[[#This Row],[INVERSIONES FCI]],+Tabla5[[#This Row],[INVERSIONES FCI]]-DB180,Tabla5[[#This Row],[INVERSIONES FCI]])</f>
        <v>40359286967.253784</v>
      </c>
      <c r="DC181" s="5">
        <f>IF($B180&lt;=Tabla5[[#This Row],[INVERSIONES FCI]],+Tabla5[[#This Row],[INVERSIONES FCI]]-DC180,Tabla5[[#This Row],[INVERSIONES FCI]])</f>
        <v>40359286967.253784</v>
      </c>
      <c r="DD181" s="5">
        <f>IF($B180&lt;=Tabla5[[#This Row],[INVERSIONES FCI]],+Tabla5[[#This Row],[INVERSIONES FCI]]-DD180,Tabla5[[#This Row],[INVERSIONES FCI]])</f>
        <v>40359286967.253784</v>
      </c>
      <c r="DE181" s="5">
        <f>IF($B180&lt;=Tabla5[[#This Row],[INVERSIONES FCI]],+Tabla5[[#This Row],[INVERSIONES FCI]]-DE180,Tabla5[[#This Row],[INVERSIONES FCI]])</f>
        <v>40359286967.253784</v>
      </c>
      <c r="DF181" s="5">
        <f>IF($B180&lt;=Tabla5[[#This Row],[INVERSIONES FCI]],+Tabla5[[#This Row],[INVERSIONES FCI]]-DF180,Tabla5[[#This Row],[INVERSIONES FCI]])</f>
        <v>40359286967.253784</v>
      </c>
      <c r="DG181" s="5">
        <f>IF($B180&lt;=Tabla5[[#This Row],[INVERSIONES FCI]],+Tabla5[[#This Row],[INVERSIONES FCI]]-DG180,Tabla5[[#This Row],[INVERSIONES FCI]])</f>
        <v>40359286967.253784</v>
      </c>
      <c r="DH181" s="5">
        <f>IF($B180&lt;=Tabla5[[#This Row],[INVERSIONES FCI]],+Tabla5[[#This Row],[INVERSIONES FCI]]-DH180,Tabla5[[#This Row],[INVERSIONES FCI]])</f>
        <v>40359286967.253784</v>
      </c>
      <c r="DI181" s="5">
        <f>IF($B180&lt;=Tabla5[[#This Row],[INVERSIONES FCI]],+Tabla5[[#This Row],[INVERSIONES FCI]]-DI180,Tabla5[[#This Row],[INVERSIONES FCI]])</f>
        <v>40359286967.253784</v>
      </c>
      <c r="DJ181" s="5">
        <f>IF($B180&lt;=Tabla5[[#This Row],[INVERSIONES FCI]],+Tabla5[[#This Row],[INVERSIONES FCI]]-DJ180,Tabla5[[#This Row],[INVERSIONES FCI]])</f>
        <v>40359286967.253784</v>
      </c>
      <c r="DK181" s="5">
        <f>IF($B180&lt;=Tabla5[[#This Row],[INVERSIONES FCI]],+Tabla5[[#This Row],[INVERSIONES FCI]]-DK180,Tabla5[[#This Row],[INVERSIONES FCI]])</f>
        <v>40359286967.253784</v>
      </c>
      <c r="DL181" s="5"/>
      <c r="DM181" s="5"/>
      <c r="DN181" s="5"/>
      <c r="DO181" s="5"/>
      <c r="DP181" s="5"/>
      <c r="DQ181" s="5"/>
    </row>
    <row r="182" spans="1:121" ht="14.4">
      <c r="A182" s="12" t="s">
        <v>181</v>
      </c>
      <c r="B182" s="5">
        <f>HLOOKUP($A182,ESCENARIO[#All],7,FALSE)</f>
        <v>17514150244.232426</v>
      </c>
      <c r="C182" s="5">
        <f>IF($B181&lt;=Tabla5[[#This Row],[INVERSIONES FCI]],+Tabla5[[#This Row],[INVERSIONES FCI]]-C181,Tabla5[[#This Row],[INVERSIONES FCI]])</f>
        <v>17514150244.232426</v>
      </c>
      <c r="D182" s="5">
        <f>IF($B181&lt;=Tabla5[[#This Row],[INVERSIONES FCI]],+Tabla5[[#This Row],[INVERSIONES FCI]]-D181,Tabla5[[#This Row],[INVERSIONES FCI]])</f>
        <v>17514150244.232426</v>
      </c>
      <c r="E182" s="5">
        <f>IF($B181&lt;=Tabla5[[#This Row],[INVERSIONES FCI]],+Tabla5[[#This Row],[INVERSIONES FCI]]-E181,Tabla5[[#This Row],[INVERSIONES FCI]])</f>
        <v>17514150244.232426</v>
      </c>
      <c r="F182" s="5">
        <f>IF($B181&lt;=Tabla5[[#This Row],[INVERSIONES FCI]],+Tabla5[[#This Row],[INVERSIONES FCI]]-F181,Tabla5[[#This Row],[INVERSIONES FCI]])</f>
        <v>17514150244.232426</v>
      </c>
      <c r="G182" s="5">
        <f>IF($B181&lt;=Tabla5[[#This Row],[INVERSIONES FCI]],+Tabla5[[#This Row],[INVERSIONES FCI]]-G181,Tabla5[[#This Row],[INVERSIONES FCI]])</f>
        <v>17514150244.232426</v>
      </c>
      <c r="H182" s="5">
        <f>IF($B181&lt;=Tabla5[[#This Row],[INVERSIONES FCI]],+Tabla5[[#This Row],[INVERSIONES FCI]]-H181,Tabla5[[#This Row],[INVERSIONES FCI]])</f>
        <v>17514150244.232426</v>
      </c>
      <c r="I182" s="5">
        <f>IF($B181&lt;=Tabla5[[#This Row],[INVERSIONES FCI]],+Tabla5[[#This Row],[INVERSIONES FCI]]-I181,Tabla5[[#This Row],[INVERSIONES FCI]])</f>
        <v>17514150244.232426</v>
      </c>
      <c r="J182" s="5">
        <f>IF($B181&lt;=Tabla5[[#This Row],[INVERSIONES FCI]],+Tabla5[[#This Row],[INVERSIONES FCI]]-J181,Tabla5[[#This Row],[INVERSIONES FCI]])</f>
        <v>17514150244.232426</v>
      </c>
      <c r="K182" s="5">
        <f>IF($B181&lt;=Tabla5[[#This Row],[INVERSIONES FCI]],+Tabla5[[#This Row],[INVERSIONES FCI]]-K181,Tabla5[[#This Row],[INVERSIONES FCI]])</f>
        <v>17514150244.232426</v>
      </c>
      <c r="L182" s="5">
        <f>IF($B181&lt;=Tabla5[[#This Row],[INVERSIONES FCI]],+Tabla5[[#This Row],[INVERSIONES FCI]]-L181,Tabla5[[#This Row],[INVERSIONES FCI]])</f>
        <v>17514150244.232426</v>
      </c>
      <c r="M182" s="5">
        <f>IF($B181&lt;=Tabla5[[#This Row],[INVERSIONES FCI]],+Tabla5[[#This Row],[INVERSIONES FCI]]-M181,Tabla5[[#This Row],[INVERSIONES FCI]])</f>
        <v>17514150244.232426</v>
      </c>
      <c r="N182" s="5">
        <f>IF($B181&lt;=Tabla5[[#This Row],[INVERSIONES FCI]],+Tabla5[[#This Row],[INVERSIONES FCI]]-N181,Tabla5[[#This Row],[INVERSIONES FCI]])</f>
        <v>17514150244.232426</v>
      </c>
      <c r="O182" s="5">
        <f>IF($B181&lt;=Tabla5[[#This Row],[INVERSIONES FCI]],+Tabla5[[#This Row],[INVERSIONES FCI]]-O181,Tabla5[[#This Row],[INVERSIONES FCI]])</f>
        <v>17514150244.232426</v>
      </c>
      <c r="P182" s="5">
        <f>IF($B181&lt;=Tabla5[[#This Row],[INVERSIONES FCI]],+Tabla5[[#This Row],[INVERSIONES FCI]]-P181,Tabla5[[#This Row],[INVERSIONES FCI]])</f>
        <v>17514150244.232426</v>
      </c>
      <c r="Q182" s="5">
        <f>IF($B181&lt;=Tabla5[[#This Row],[INVERSIONES FCI]],+Tabla5[[#This Row],[INVERSIONES FCI]]-Q181,Tabla5[[#This Row],[INVERSIONES FCI]])</f>
        <v>17514150244.232426</v>
      </c>
      <c r="R182" s="5">
        <f>IF($B181&lt;=Tabla5[[#This Row],[INVERSIONES FCI]],+Tabla5[[#This Row],[INVERSIONES FCI]]-R181,Tabla5[[#This Row],[INVERSIONES FCI]])</f>
        <v>17514150244.232426</v>
      </c>
      <c r="S182" s="5">
        <f>IF($B181&lt;=Tabla5[[#This Row],[INVERSIONES FCI]],+Tabla5[[#This Row],[INVERSIONES FCI]]-S181,Tabla5[[#This Row],[INVERSIONES FCI]])</f>
        <v>17514150244.232426</v>
      </c>
      <c r="T182" s="5">
        <f>IF($B181&lt;=Tabla5[[#This Row],[INVERSIONES FCI]],+Tabla5[[#This Row],[INVERSIONES FCI]]-T181,Tabla5[[#This Row],[INVERSIONES FCI]])</f>
        <v>17514150244.232426</v>
      </c>
      <c r="U182" s="5">
        <f>IF($B181&lt;=Tabla5[[#This Row],[INVERSIONES FCI]],+Tabla5[[#This Row],[INVERSIONES FCI]]-U181,Tabla5[[#This Row],[INVERSIONES FCI]])</f>
        <v>17514150244.232426</v>
      </c>
      <c r="V182" s="5">
        <f>IF($B181&lt;=Tabla5[[#This Row],[INVERSIONES FCI]],+Tabla5[[#This Row],[INVERSIONES FCI]]-V181,Tabla5[[#This Row],[INVERSIONES FCI]])</f>
        <v>17514150244.232426</v>
      </c>
      <c r="W182" s="5">
        <f>IF($B181&lt;=Tabla5[[#This Row],[INVERSIONES FCI]],+Tabla5[[#This Row],[INVERSIONES FCI]]-W181,Tabla5[[#This Row],[INVERSIONES FCI]])</f>
        <v>17514150244.232426</v>
      </c>
      <c r="X182" s="5">
        <f>IF($B181&lt;=Tabla5[[#This Row],[INVERSIONES FCI]],+Tabla5[[#This Row],[INVERSIONES FCI]]-X181,Tabla5[[#This Row],[INVERSIONES FCI]])</f>
        <v>17514150244.232426</v>
      </c>
      <c r="Y182" s="5">
        <f>IF($B181&lt;=Tabla5[[#This Row],[INVERSIONES FCI]],+Tabla5[[#This Row],[INVERSIONES FCI]]-Y181,Tabla5[[#This Row],[INVERSIONES FCI]])</f>
        <v>17514150244.232426</v>
      </c>
      <c r="Z182" s="5">
        <f>IF($B181&lt;=Tabla5[[#This Row],[INVERSIONES FCI]],+Tabla5[[#This Row],[INVERSIONES FCI]]-Z181,Tabla5[[#This Row],[INVERSIONES FCI]])</f>
        <v>17514150244.232426</v>
      </c>
      <c r="AA182" s="5">
        <f>IF($B181&lt;=Tabla5[[#This Row],[INVERSIONES FCI]],+Tabla5[[#This Row],[INVERSIONES FCI]]-AA181,Tabla5[[#This Row],[INVERSIONES FCI]])</f>
        <v>17514150244.232426</v>
      </c>
      <c r="AB182" s="5">
        <f>IF($B181&lt;=Tabla5[[#This Row],[INVERSIONES FCI]],+Tabla5[[#This Row],[INVERSIONES FCI]]-AB181,Tabla5[[#This Row],[INVERSIONES FCI]])</f>
        <v>17514150244.232426</v>
      </c>
      <c r="AC182" s="5">
        <f>IF($B181&lt;=Tabla5[[#This Row],[INVERSIONES FCI]],+Tabla5[[#This Row],[INVERSIONES FCI]]-AC181,Tabla5[[#This Row],[INVERSIONES FCI]])</f>
        <v>17514150244.232426</v>
      </c>
      <c r="AD182" s="5">
        <f>IF($B181&lt;=Tabla5[[#This Row],[INVERSIONES FCI]],+Tabla5[[#This Row],[INVERSIONES FCI]]-AD181,Tabla5[[#This Row],[INVERSIONES FCI]])</f>
        <v>17514150244.232426</v>
      </c>
      <c r="AE182" s="5">
        <f>IF($B181&lt;=Tabla5[[#This Row],[INVERSIONES FCI]],+Tabla5[[#This Row],[INVERSIONES FCI]]-AE181,Tabla5[[#This Row],[INVERSIONES FCI]])</f>
        <v>17514150244.232426</v>
      </c>
      <c r="AF182" s="5">
        <f>IF($B181&lt;=Tabla5[[#This Row],[INVERSIONES FCI]],+Tabla5[[#This Row],[INVERSIONES FCI]]-AF181,Tabla5[[#This Row],[INVERSIONES FCI]])</f>
        <v>17514150244.232426</v>
      </c>
      <c r="AG182" s="5">
        <f>IF($B181&lt;=Tabla5[[#This Row],[INVERSIONES FCI]],+Tabla5[[#This Row],[INVERSIONES FCI]]-AG181,Tabla5[[#This Row],[INVERSIONES FCI]])</f>
        <v>17514150244.232426</v>
      </c>
      <c r="AH182" s="5">
        <f>IF($B181&lt;=Tabla5[[#This Row],[INVERSIONES FCI]],+Tabla5[[#This Row],[INVERSIONES FCI]]-AH181,Tabla5[[#This Row],[INVERSIONES FCI]])</f>
        <v>17514150244.232426</v>
      </c>
      <c r="AI182" s="5">
        <f>IF($B181&lt;=Tabla5[[#This Row],[INVERSIONES FCI]],+Tabla5[[#This Row],[INVERSIONES FCI]]-AI181,Tabla5[[#This Row],[INVERSIONES FCI]])</f>
        <v>17514150244.232426</v>
      </c>
      <c r="AJ182" s="5">
        <f>IF($B181&lt;=Tabla5[[#This Row],[INVERSIONES FCI]],+Tabla5[[#This Row],[INVERSIONES FCI]]-AJ181,Tabla5[[#This Row],[INVERSIONES FCI]])</f>
        <v>17514150244.232426</v>
      </c>
      <c r="AK182" s="5">
        <f>IF($B181&lt;=Tabla5[[#This Row],[INVERSIONES FCI]],+Tabla5[[#This Row],[INVERSIONES FCI]]-AK181,Tabla5[[#This Row],[INVERSIONES FCI]])</f>
        <v>17514150244.232426</v>
      </c>
      <c r="AL182" s="5">
        <f>IF($B181&lt;=Tabla5[[#This Row],[INVERSIONES FCI]],+Tabla5[[#This Row],[INVERSIONES FCI]]-AL181,Tabla5[[#This Row],[INVERSIONES FCI]])</f>
        <v>17514150244.232426</v>
      </c>
      <c r="AM182" s="5">
        <f>IF($B181&lt;=Tabla5[[#This Row],[INVERSIONES FCI]],+Tabla5[[#This Row],[INVERSIONES FCI]]-AM181,Tabla5[[#This Row],[INVERSIONES FCI]])</f>
        <v>17514150244.232426</v>
      </c>
      <c r="AN182" s="5">
        <f>IF($B181&lt;=Tabla5[[#This Row],[INVERSIONES FCI]],+Tabla5[[#This Row],[INVERSIONES FCI]]-AN181,Tabla5[[#This Row],[INVERSIONES FCI]])</f>
        <v>17514150244.232426</v>
      </c>
      <c r="AO182" s="5">
        <f>IF($B181&lt;=Tabla5[[#This Row],[INVERSIONES FCI]],+Tabla5[[#This Row],[INVERSIONES FCI]]-AO181,Tabla5[[#This Row],[INVERSIONES FCI]])</f>
        <v>17514150244.232426</v>
      </c>
      <c r="AP182" s="5">
        <f>IF($B181&lt;=Tabla5[[#This Row],[INVERSIONES FCI]],+Tabla5[[#This Row],[INVERSIONES FCI]]-AP181,Tabla5[[#This Row],[INVERSIONES FCI]])</f>
        <v>17514150244.232426</v>
      </c>
      <c r="AQ182" s="5">
        <f>IF($B181&lt;=Tabla5[[#This Row],[INVERSIONES FCI]],+Tabla5[[#This Row],[INVERSIONES FCI]]-AQ181,Tabla5[[#This Row],[INVERSIONES FCI]])</f>
        <v>17514150244.232426</v>
      </c>
      <c r="AR182" s="5">
        <f>IF($B181&lt;=Tabla5[[#This Row],[INVERSIONES FCI]],+Tabla5[[#This Row],[INVERSIONES FCI]]-AR181,Tabla5[[#This Row],[INVERSIONES FCI]])</f>
        <v>17514150244.232426</v>
      </c>
      <c r="AS182" s="5">
        <f>IF($B181&lt;=Tabla5[[#This Row],[INVERSIONES FCI]],+Tabla5[[#This Row],[INVERSIONES FCI]]-AS181,Tabla5[[#This Row],[INVERSIONES FCI]])</f>
        <v>17514150244.232426</v>
      </c>
      <c r="AT182" s="5">
        <f>IF($B181&lt;=Tabla5[[#This Row],[INVERSIONES FCI]],+Tabla5[[#This Row],[INVERSIONES FCI]]-AT181,Tabla5[[#This Row],[INVERSIONES FCI]])</f>
        <v>17514150244.232426</v>
      </c>
      <c r="AU182" s="5">
        <f>IF($B181&lt;=Tabla5[[#This Row],[INVERSIONES FCI]],+Tabla5[[#This Row],[INVERSIONES FCI]]-AU181,Tabla5[[#This Row],[INVERSIONES FCI]])</f>
        <v>17514150244.232426</v>
      </c>
      <c r="AV182" s="5">
        <f>IF($B181&lt;=Tabla5[[#This Row],[INVERSIONES FCI]],+Tabla5[[#This Row],[INVERSIONES FCI]]-AV181,Tabla5[[#This Row],[INVERSIONES FCI]])</f>
        <v>17514150244.232426</v>
      </c>
      <c r="AW182" s="5">
        <f>IF($B181&lt;=Tabla5[[#This Row],[INVERSIONES FCI]],+Tabla5[[#This Row],[INVERSIONES FCI]]-AW181,Tabla5[[#This Row],[INVERSIONES FCI]])</f>
        <v>17514150244.232426</v>
      </c>
      <c r="AX182" s="5">
        <f>IF($B181&lt;=Tabla5[[#This Row],[INVERSIONES FCI]],+Tabla5[[#This Row],[INVERSIONES FCI]]-AX181,Tabla5[[#This Row],[INVERSIONES FCI]])</f>
        <v>17514150244.232426</v>
      </c>
      <c r="AY182" s="5">
        <f>IF($B181&lt;=Tabla5[[#This Row],[INVERSIONES FCI]],+Tabla5[[#This Row],[INVERSIONES FCI]]-AY181,Tabla5[[#This Row],[INVERSIONES FCI]])</f>
        <v>17514150244.232426</v>
      </c>
      <c r="AZ182" s="5">
        <f>IF($B181&lt;=Tabla5[[#This Row],[INVERSIONES FCI]],+Tabla5[[#This Row],[INVERSIONES FCI]]-AZ181,Tabla5[[#This Row],[INVERSIONES FCI]])</f>
        <v>17514150244.232426</v>
      </c>
      <c r="BA182" s="5">
        <f>IF($B181&lt;=Tabla5[[#This Row],[INVERSIONES FCI]],+Tabla5[[#This Row],[INVERSIONES FCI]]-BA181,Tabla5[[#This Row],[INVERSIONES FCI]])</f>
        <v>17514150244.232426</v>
      </c>
      <c r="BB182" s="5">
        <f>IF($B181&lt;=Tabla5[[#This Row],[INVERSIONES FCI]],+Tabla5[[#This Row],[INVERSIONES FCI]]-BB181,Tabla5[[#This Row],[INVERSIONES FCI]])</f>
        <v>17514150244.232426</v>
      </c>
      <c r="BC182" s="5">
        <f>IF($B181&lt;=Tabla5[[#This Row],[INVERSIONES FCI]],+Tabla5[[#This Row],[INVERSIONES FCI]]-BC181,Tabla5[[#This Row],[INVERSIONES FCI]])</f>
        <v>17514150244.232426</v>
      </c>
      <c r="BD182" s="5">
        <f>IF($B181&lt;=Tabla5[[#This Row],[INVERSIONES FCI]],+Tabla5[[#This Row],[INVERSIONES FCI]]-BD181,Tabla5[[#This Row],[INVERSIONES FCI]])</f>
        <v>17514150244.232426</v>
      </c>
      <c r="BE182" s="5">
        <f>IF($B181&lt;=Tabla5[[#This Row],[INVERSIONES FCI]],+Tabla5[[#This Row],[INVERSIONES FCI]]-BE181,Tabla5[[#This Row],[INVERSIONES FCI]])</f>
        <v>17514150244.232426</v>
      </c>
      <c r="BF182" s="5">
        <f>IF($B181&lt;=Tabla5[[#This Row],[INVERSIONES FCI]],+Tabla5[[#This Row],[INVERSIONES FCI]]-BF181,Tabla5[[#This Row],[INVERSIONES FCI]])</f>
        <v>17514150244.232426</v>
      </c>
      <c r="BG182" s="5">
        <f>IF($B181&lt;=Tabla5[[#This Row],[INVERSIONES FCI]],+Tabla5[[#This Row],[INVERSIONES FCI]]-BG181,Tabla5[[#This Row],[INVERSIONES FCI]])</f>
        <v>17514150244.232426</v>
      </c>
      <c r="BH182" s="5">
        <f>IF($B181&lt;=Tabla5[[#This Row],[INVERSIONES FCI]],+Tabla5[[#This Row],[INVERSIONES FCI]]-BH181,Tabla5[[#This Row],[INVERSIONES FCI]])</f>
        <v>17514150244.232426</v>
      </c>
      <c r="BI182" s="5">
        <f>IF($B181&lt;=Tabla5[[#This Row],[INVERSIONES FCI]],+Tabla5[[#This Row],[INVERSIONES FCI]]-BI181,Tabla5[[#This Row],[INVERSIONES FCI]])</f>
        <v>17514150244.232426</v>
      </c>
      <c r="BJ182" s="5">
        <f>IF($B181&lt;=Tabla5[[#This Row],[INVERSIONES FCI]],+Tabla5[[#This Row],[INVERSIONES FCI]]-BJ181,Tabla5[[#This Row],[INVERSIONES FCI]])</f>
        <v>17514150244.232426</v>
      </c>
      <c r="BK182" s="5">
        <f>IF($B181&lt;=Tabla5[[#This Row],[INVERSIONES FCI]],+Tabla5[[#This Row],[INVERSIONES FCI]]-BK181,Tabla5[[#This Row],[INVERSIONES FCI]])</f>
        <v>17514150244.232426</v>
      </c>
      <c r="BL182" s="5">
        <f>IF($B181&lt;=Tabla5[[#This Row],[INVERSIONES FCI]],+Tabla5[[#This Row],[INVERSIONES FCI]]-BL181,Tabla5[[#This Row],[INVERSIONES FCI]])</f>
        <v>17514150244.232426</v>
      </c>
      <c r="BM182" s="5">
        <f>IF($B181&lt;=Tabla5[[#This Row],[INVERSIONES FCI]],+Tabla5[[#This Row],[INVERSIONES FCI]]-BM181,Tabla5[[#This Row],[INVERSIONES FCI]])</f>
        <v>17514150244.232426</v>
      </c>
      <c r="BN182" s="5">
        <f>IF($B181&lt;=Tabla5[[#This Row],[INVERSIONES FCI]],+Tabla5[[#This Row],[INVERSIONES FCI]]-BN181,Tabla5[[#This Row],[INVERSIONES FCI]])</f>
        <v>17514150244.232426</v>
      </c>
      <c r="BO182" s="5">
        <f>IF($B181&lt;=Tabla5[[#This Row],[INVERSIONES FCI]],+Tabla5[[#This Row],[INVERSIONES FCI]]-BO181,Tabla5[[#This Row],[INVERSIONES FCI]])</f>
        <v>17514150244.232426</v>
      </c>
      <c r="BP182" s="5">
        <f>IF($B181&lt;=Tabla5[[#This Row],[INVERSIONES FCI]],+Tabla5[[#This Row],[INVERSIONES FCI]]-BP181,Tabla5[[#This Row],[INVERSIONES FCI]])</f>
        <v>17514150244.232426</v>
      </c>
      <c r="BQ182" s="5">
        <f>IF($B181&lt;=Tabla5[[#This Row],[INVERSIONES FCI]],+Tabla5[[#This Row],[INVERSIONES FCI]]-BQ181,Tabla5[[#This Row],[INVERSIONES FCI]])</f>
        <v>17514150244.232426</v>
      </c>
      <c r="BR182" s="5">
        <f>IF($B181&lt;=Tabla5[[#This Row],[INVERSIONES FCI]],+Tabla5[[#This Row],[INVERSIONES FCI]]-BR181,Tabla5[[#This Row],[INVERSIONES FCI]])</f>
        <v>17514150244.232426</v>
      </c>
      <c r="BS182" s="5">
        <f>IF($B181&lt;=Tabla5[[#This Row],[INVERSIONES FCI]],+Tabla5[[#This Row],[INVERSIONES FCI]]-BS181,Tabla5[[#This Row],[INVERSIONES FCI]])</f>
        <v>17514150244.232426</v>
      </c>
      <c r="BT182" s="5">
        <f>IF($B181&lt;=Tabla5[[#This Row],[INVERSIONES FCI]],+Tabla5[[#This Row],[INVERSIONES FCI]]-BT181,Tabla5[[#This Row],[INVERSIONES FCI]])</f>
        <v>17514150244.232426</v>
      </c>
      <c r="BU182" s="5">
        <f>IF($B181&lt;=Tabla5[[#This Row],[INVERSIONES FCI]],+Tabla5[[#This Row],[INVERSIONES FCI]]-BU181,Tabla5[[#This Row],[INVERSIONES FCI]])</f>
        <v>17514150244.232426</v>
      </c>
      <c r="BV182" s="5">
        <f>IF($B181&lt;=Tabla5[[#This Row],[INVERSIONES FCI]],+Tabla5[[#This Row],[INVERSIONES FCI]]-BV181,Tabla5[[#This Row],[INVERSIONES FCI]])</f>
        <v>17514150244.232426</v>
      </c>
      <c r="BW182" s="5">
        <f>IF($B181&lt;=Tabla5[[#This Row],[INVERSIONES FCI]],+Tabla5[[#This Row],[INVERSIONES FCI]]-BW181,Tabla5[[#This Row],[INVERSIONES FCI]])</f>
        <v>17514150244.232426</v>
      </c>
      <c r="BX182" s="5">
        <f>IF($B181&lt;=Tabla5[[#This Row],[INVERSIONES FCI]],+Tabla5[[#This Row],[INVERSIONES FCI]]-BX181,Tabla5[[#This Row],[INVERSIONES FCI]])</f>
        <v>17514150244.232426</v>
      </c>
      <c r="BY182" s="5">
        <f>IF($B181&lt;=Tabla5[[#This Row],[INVERSIONES FCI]],+Tabla5[[#This Row],[INVERSIONES FCI]]-BY181,Tabla5[[#This Row],[INVERSIONES FCI]])</f>
        <v>17514150244.232426</v>
      </c>
      <c r="BZ182" s="5">
        <f>IF($B181&lt;=Tabla5[[#This Row],[INVERSIONES FCI]],+Tabla5[[#This Row],[INVERSIONES FCI]]-BZ181,Tabla5[[#This Row],[INVERSIONES FCI]])</f>
        <v>17514150244.232426</v>
      </c>
      <c r="CA182" s="5">
        <f>IF($B181&lt;=Tabla5[[#This Row],[INVERSIONES FCI]],+Tabla5[[#This Row],[INVERSIONES FCI]]-CA181,Tabla5[[#This Row],[INVERSIONES FCI]])</f>
        <v>17514150244.232426</v>
      </c>
      <c r="CB182" s="5">
        <f>IF($B181&lt;=Tabla5[[#This Row],[INVERSIONES FCI]],+Tabla5[[#This Row],[INVERSIONES FCI]]-CB181,Tabla5[[#This Row],[INVERSIONES FCI]])</f>
        <v>17514150244.232426</v>
      </c>
      <c r="CC182" s="5">
        <f>IF($B181&lt;=Tabla5[[#This Row],[INVERSIONES FCI]],+Tabla5[[#This Row],[INVERSIONES FCI]]-CC181,Tabla5[[#This Row],[INVERSIONES FCI]])</f>
        <v>17514150244.232426</v>
      </c>
      <c r="CD182" s="5">
        <f>IF($B181&lt;=Tabla5[[#This Row],[INVERSIONES FCI]],+Tabla5[[#This Row],[INVERSIONES FCI]]-CD181,Tabla5[[#This Row],[INVERSIONES FCI]])</f>
        <v>17514150244.232426</v>
      </c>
      <c r="CE182" s="5">
        <f>IF($B181&lt;=Tabla5[[#This Row],[INVERSIONES FCI]],+Tabla5[[#This Row],[INVERSIONES FCI]]-CE181,Tabla5[[#This Row],[INVERSIONES FCI]])</f>
        <v>17514150244.232426</v>
      </c>
      <c r="CF182" s="5">
        <f>IF($B181&lt;=Tabla5[[#This Row],[INVERSIONES FCI]],+Tabla5[[#This Row],[INVERSIONES FCI]]-CF181,Tabla5[[#This Row],[INVERSIONES FCI]])</f>
        <v>17514150244.232426</v>
      </c>
      <c r="CG182" s="5">
        <f>IF($B181&lt;=Tabla5[[#This Row],[INVERSIONES FCI]],+Tabla5[[#This Row],[INVERSIONES FCI]]-CG181,Tabla5[[#This Row],[INVERSIONES FCI]])</f>
        <v>17514150244.232426</v>
      </c>
      <c r="CH182" s="5">
        <f>IF($B181&lt;=Tabla5[[#This Row],[INVERSIONES FCI]],+Tabla5[[#This Row],[INVERSIONES FCI]]-CH181,Tabla5[[#This Row],[INVERSIONES FCI]])</f>
        <v>17514150244.232426</v>
      </c>
      <c r="CI182" s="5">
        <f>IF($B181&lt;=Tabla5[[#This Row],[INVERSIONES FCI]],+Tabla5[[#This Row],[INVERSIONES FCI]]-CI181,Tabla5[[#This Row],[INVERSIONES FCI]])</f>
        <v>17514150244.232426</v>
      </c>
      <c r="CJ182" s="5">
        <f>IF($B181&lt;=Tabla5[[#This Row],[INVERSIONES FCI]],+Tabla5[[#This Row],[INVERSIONES FCI]]-CJ181,Tabla5[[#This Row],[INVERSIONES FCI]])</f>
        <v>17514150244.232426</v>
      </c>
      <c r="CK182" s="5">
        <f>IF($B181&lt;=Tabla5[[#This Row],[INVERSIONES FCI]],+Tabla5[[#This Row],[INVERSIONES FCI]]-CK181,Tabla5[[#This Row],[INVERSIONES FCI]])</f>
        <v>17514150244.232426</v>
      </c>
      <c r="CL182" s="5">
        <f>IF($B181&lt;=Tabla5[[#This Row],[INVERSIONES FCI]],+Tabla5[[#This Row],[INVERSIONES FCI]]-CL181,Tabla5[[#This Row],[INVERSIONES FCI]])</f>
        <v>17514150244.232426</v>
      </c>
      <c r="CM182" s="5">
        <f>IF($B181&lt;=Tabla5[[#This Row],[INVERSIONES FCI]],+Tabla5[[#This Row],[INVERSIONES FCI]]-CM181,Tabla5[[#This Row],[INVERSIONES FCI]])</f>
        <v>17514150244.232426</v>
      </c>
      <c r="CN182" s="5">
        <f>IF($B181&lt;=Tabla5[[#This Row],[INVERSIONES FCI]],+Tabla5[[#This Row],[INVERSIONES FCI]]-CN181,Tabla5[[#This Row],[INVERSIONES FCI]])</f>
        <v>17514150244.232426</v>
      </c>
      <c r="CO182" s="5">
        <f>IF($B181&lt;=Tabla5[[#This Row],[INVERSIONES FCI]],+Tabla5[[#This Row],[INVERSIONES FCI]]-CO181,Tabla5[[#This Row],[INVERSIONES FCI]])</f>
        <v>17514150244.232426</v>
      </c>
      <c r="CP182" s="5">
        <f>IF($B181&lt;=Tabla5[[#This Row],[INVERSIONES FCI]],+Tabla5[[#This Row],[INVERSIONES FCI]]-CP181,Tabla5[[#This Row],[INVERSIONES FCI]])</f>
        <v>17514150244.232426</v>
      </c>
      <c r="CQ182" s="5">
        <f>IF($B181&lt;=Tabla5[[#This Row],[INVERSIONES FCI]],+Tabla5[[#This Row],[INVERSIONES FCI]]-CQ181,Tabla5[[#This Row],[INVERSIONES FCI]])</f>
        <v>17514150244.232426</v>
      </c>
      <c r="CR182" s="5">
        <f>IF($B181&lt;=Tabla5[[#This Row],[INVERSIONES FCI]],+Tabla5[[#This Row],[INVERSIONES FCI]]-CR181,Tabla5[[#This Row],[INVERSIONES FCI]])</f>
        <v>17514150244.232426</v>
      </c>
      <c r="CS182" s="5">
        <f>IF($B181&lt;=Tabla5[[#This Row],[INVERSIONES FCI]],+Tabla5[[#This Row],[INVERSIONES FCI]]-CS181,Tabla5[[#This Row],[INVERSIONES FCI]])</f>
        <v>17514150244.232426</v>
      </c>
      <c r="CT182" s="5">
        <f>IF($B181&lt;=Tabla5[[#This Row],[INVERSIONES FCI]],+Tabla5[[#This Row],[INVERSIONES FCI]]-CT181,Tabla5[[#This Row],[INVERSIONES FCI]])</f>
        <v>17514150244.232426</v>
      </c>
      <c r="CU182" s="5">
        <f>IF($B181&lt;=Tabla5[[#This Row],[INVERSIONES FCI]],+Tabla5[[#This Row],[INVERSIONES FCI]]-CU181,Tabla5[[#This Row],[INVERSIONES FCI]])</f>
        <v>17514150244.232426</v>
      </c>
      <c r="CV182" s="5">
        <f>IF($B181&lt;=Tabla5[[#This Row],[INVERSIONES FCI]],+Tabla5[[#This Row],[INVERSIONES FCI]]-CV181,Tabla5[[#This Row],[INVERSIONES FCI]])</f>
        <v>17514150244.232426</v>
      </c>
      <c r="CW182" s="5">
        <f>IF($B181&lt;=Tabla5[[#This Row],[INVERSIONES FCI]],+Tabla5[[#This Row],[INVERSIONES FCI]]-CW181,Tabla5[[#This Row],[INVERSIONES FCI]])</f>
        <v>17514150244.232426</v>
      </c>
      <c r="CX182" s="5">
        <f>IF($B181&lt;=Tabla5[[#This Row],[INVERSIONES FCI]],+Tabla5[[#This Row],[INVERSIONES FCI]]-CX181,Tabla5[[#This Row],[INVERSIONES FCI]])</f>
        <v>17514150244.232426</v>
      </c>
      <c r="CY182" s="5">
        <f>IF($B181&lt;=Tabla5[[#This Row],[INVERSIONES FCI]],+Tabla5[[#This Row],[INVERSIONES FCI]]-CY181,Tabla5[[#This Row],[INVERSIONES FCI]])</f>
        <v>17514150244.232426</v>
      </c>
      <c r="CZ182" s="5">
        <f>IF($B181&lt;=Tabla5[[#This Row],[INVERSIONES FCI]],+Tabla5[[#This Row],[INVERSIONES FCI]]-CZ181,Tabla5[[#This Row],[INVERSIONES FCI]])</f>
        <v>17514150244.232426</v>
      </c>
      <c r="DA182" s="5">
        <f>IF($B181&lt;=Tabla5[[#This Row],[INVERSIONES FCI]],+Tabla5[[#This Row],[INVERSIONES FCI]]-DA181,Tabla5[[#This Row],[INVERSIONES FCI]])</f>
        <v>17514150244.232426</v>
      </c>
      <c r="DB182" s="5">
        <f>IF($B181&lt;=Tabla5[[#This Row],[INVERSIONES FCI]],+Tabla5[[#This Row],[INVERSIONES FCI]]-DB181,Tabla5[[#This Row],[INVERSIONES FCI]])</f>
        <v>17514150244.232426</v>
      </c>
      <c r="DC182" s="5">
        <f>IF($B181&lt;=Tabla5[[#This Row],[INVERSIONES FCI]],+Tabla5[[#This Row],[INVERSIONES FCI]]-DC181,Tabla5[[#This Row],[INVERSIONES FCI]])</f>
        <v>17514150244.232426</v>
      </c>
      <c r="DD182" s="5">
        <f>IF($B181&lt;=Tabla5[[#This Row],[INVERSIONES FCI]],+Tabla5[[#This Row],[INVERSIONES FCI]]-DD181,Tabla5[[#This Row],[INVERSIONES FCI]])</f>
        <v>17514150244.232426</v>
      </c>
      <c r="DE182" s="5">
        <f>IF($B181&lt;=Tabla5[[#This Row],[INVERSIONES FCI]],+Tabla5[[#This Row],[INVERSIONES FCI]]-DE181,Tabla5[[#This Row],[INVERSIONES FCI]])</f>
        <v>17514150244.232426</v>
      </c>
      <c r="DF182" s="5">
        <f>IF($B181&lt;=Tabla5[[#This Row],[INVERSIONES FCI]],+Tabla5[[#This Row],[INVERSIONES FCI]]-DF181,Tabla5[[#This Row],[INVERSIONES FCI]])</f>
        <v>17514150244.232426</v>
      </c>
      <c r="DG182" s="5">
        <f>IF($B181&lt;=Tabla5[[#This Row],[INVERSIONES FCI]],+Tabla5[[#This Row],[INVERSIONES FCI]]-DG181,Tabla5[[#This Row],[INVERSIONES FCI]])</f>
        <v>17514150244.232426</v>
      </c>
      <c r="DH182" s="5">
        <f>IF($B181&lt;=Tabla5[[#This Row],[INVERSIONES FCI]],+Tabla5[[#This Row],[INVERSIONES FCI]]-DH181,Tabla5[[#This Row],[INVERSIONES FCI]])</f>
        <v>17514150244.232426</v>
      </c>
      <c r="DI182" s="5">
        <f>IF($B181&lt;=Tabla5[[#This Row],[INVERSIONES FCI]],+Tabla5[[#This Row],[INVERSIONES FCI]]-DI181,Tabla5[[#This Row],[INVERSIONES FCI]])</f>
        <v>17514150244.232426</v>
      </c>
      <c r="DJ182" s="5">
        <f>IF($B181&lt;=Tabla5[[#This Row],[INVERSIONES FCI]],+Tabla5[[#This Row],[INVERSIONES FCI]]-DJ181,Tabla5[[#This Row],[INVERSIONES FCI]])</f>
        <v>17514150244.232426</v>
      </c>
      <c r="DK182" s="5">
        <f>IF($B181&lt;=Tabla5[[#This Row],[INVERSIONES FCI]],+Tabla5[[#This Row],[INVERSIONES FCI]]-DK181,Tabla5[[#This Row],[INVERSIONES FCI]])</f>
        <v>17514150244.232426</v>
      </c>
      <c r="DL182" s="5"/>
      <c r="DM182" s="5"/>
      <c r="DN182" s="5"/>
      <c r="DO182" s="5"/>
      <c r="DP182" s="5"/>
      <c r="DQ182" s="5"/>
    </row>
    <row r="183" spans="1:121" ht="14.4">
      <c r="A183" s="12" t="s">
        <v>182</v>
      </c>
      <c r="B183" s="5">
        <f>HLOOKUP($A183,ESCENARIO[#All],7,FALSE)</f>
        <v>18705966461.056576</v>
      </c>
      <c r="C183" s="5">
        <f>IF($B182&lt;=Tabla5[[#This Row],[INVERSIONES FCI]],+Tabla5[[#This Row],[INVERSIONES FCI]]-C182,Tabla5[[#This Row],[INVERSIONES FCI]])</f>
        <v>1191816216.8241501</v>
      </c>
      <c r="D183" s="5">
        <f>IF($B182&lt;=Tabla5[[#This Row],[INVERSIONES FCI]],+Tabla5[[#This Row],[INVERSIONES FCI]]-D182,Tabla5[[#This Row],[INVERSIONES FCI]])</f>
        <v>1191816216.8241501</v>
      </c>
      <c r="E183" s="5">
        <f>IF($B182&lt;=Tabla5[[#This Row],[INVERSIONES FCI]],+Tabla5[[#This Row],[INVERSIONES FCI]]-E182,Tabla5[[#This Row],[INVERSIONES FCI]])</f>
        <v>1191816216.8241501</v>
      </c>
      <c r="F183" s="5">
        <f>IF($B182&lt;=Tabla5[[#This Row],[INVERSIONES FCI]],+Tabla5[[#This Row],[INVERSIONES FCI]]-F182,Tabla5[[#This Row],[INVERSIONES FCI]])</f>
        <v>1191816216.8241501</v>
      </c>
      <c r="G183" s="5">
        <f>IF($B182&lt;=Tabla5[[#This Row],[INVERSIONES FCI]],+Tabla5[[#This Row],[INVERSIONES FCI]]-G182,Tabla5[[#This Row],[INVERSIONES FCI]])</f>
        <v>1191816216.8241501</v>
      </c>
      <c r="H183" s="5">
        <f>IF($B182&lt;=Tabla5[[#This Row],[INVERSIONES FCI]],+Tabla5[[#This Row],[INVERSIONES FCI]]-H182,Tabla5[[#This Row],[INVERSIONES FCI]])</f>
        <v>1191816216.8241501</v>
      </c>
      <c r="I183" s="5">
        <f>IF($B182&lt;=Tabla5[[#This Row],[INVERSIONES FCI]],+Tabla5[[#This Row],[INVERSIONES FCI]]-I182,Tabla5[[#This Row],[INVERSIONES FCI]])</f>
        <v>1191816216.8241501</v>
      </c>
      <c r="J183" s="5">
        <f>IF($B182&lt;=Tabla5[[#This Row],[INVERSIONES FCI]],+Tabla5[[#This Row],[INVERSIONES FCI]]-J182,Tabla5[[#This Row],[INVERSIONES FCI]])</f>
        <v>1191816216.8241501</v>
      </c>
      <c r="K183" s="5">
        <f>IF($B182&lt;=Tabla5[[#This Row],[INVERSIONES FCI]],+Tabla5[[#This Row],[INVERSIONES FCI]]-K182,Tabla5[[#This Row],[INVERSIONES FCI]])</f>
        <v>1191816216.8241501</v>
      </c>
      <c r="L183" s="5">
        <f>IF($B182&lt;=Tabla5[[#This Row],[INVERSIONES FCI]],+Tabla5[[#This Row],[INVERSIONES FCI]]-L182,Tabla5[[#This Row],[INVERSIONES FCI]])</f>
        <v>1191816216.8241501</v>
      </c>
      <c r="M183" s="5">
        <f>IF($B182&lt;=Tabla5[[#This Row],[INVERSIONES FCI]],+Tabla5[[#This Row],[INVERSIONES FCI]]-M182,Tabla5[[#This Row],[INVERSIONES FCI]])</f>
        <v>1191816216.8241501</v>
      </c>
      <c r="N183" s="5">
        <f>IF($B182&lt;=Tabla5[[#This Row],[INVERSIONES FCI]],+Tabla5[[#This Row],[INVERSIONES FCI]]-N182,Tabla5[[#This Row],[INVERSIONES FCI]])</f>
        <v>1191816216.8241501</v>
      </c>
      <c r="O183" s="5">
        <f>IF($B182&lt;=Tabla5[[#This Row],[INVERSIONES FCI]],+Tabla5[[#This Row],[INVERSIONES FCI]]-O182,Tabla5[[#This Row],[INVERSIONES FCI]])</f>
        <v>1191816216.8241501</v>
      </c>
      <c r="P183" s="5">
        <f>IF($B182&lt;=Tabla5[[#This Row],[INVERSIONES FCI]],+Tabla5[[#This Row],[INVERSIONES FCI]]-P182,Tabla5[[#This Row],[INVERSIONES FCI]])</f>
        <v>1191816216.8241501</v>
      </c>
      <c r="Q183" s="5">
        <f>IF($B182&lt;=Tabla5[[#This Row],[INVERSIONES FCI]],+Tabla5[[#This Row],[INVERSIONES FCI]]-Q182,Tabla5[[#This Row],[INVERSIONES FCI]])</f>
        <v>1191816216.8241501</v>
      </c>
      <c r="R183" s="5">
        <f>IF($B182&lt;=Tabla5[[#This Row],[INVERSIONES FCI]],+Tabla5[[#This Row],[INVERSIONES FCI]]-R182,Tabla5[[#This Row],[INVERSIONES FCI]])</f>
        <v>1191816216.8241501</v>
      </c>
      <c r="S183" s="5">
        <f>IF($B182&lt;=Tabla5[[#This Row],[INVERSIONES FCI]],+Tabla5[[#This Row],[INVERSIONES FCI]]-S182,Tabla5[[#This Row],[INVERSIONES FCI]])</f>
        <v>1191816216.8241501</v>
      </c>
      <c r="T183" s="5">
        <f>IF($B182&lt;=Tabla5[[#This Row],[INVERSIONES FCI]],+Tabla5[[#This Row],[INVERSIONES FCI]]-T182,Tabla5[[#This Row],[INVERSIONES FCI]])</f>
        <v>1191816216.8241501</v>
      </c>
      <c r="U183" s="5">
        <f>IF($B182&lt;=Tabla5[[#This Row],[INVERSIONES FCI]],+Tabla5[[#This Row],[INVERSIONES FCI]]-U182,Tabla5[[#This Row],[INVERSIONES FCI]])</f>
        <v>1191816216.8241501</v>
      </c>
      <c r="V183" s="5">
        <f>IF($B182&lt;=Tabla5[[#This Row],[INVERSIONES FCI]],+Tabla5[[#This Row],[INVERSIONES FCI]]-V182,Tabla5[[#This Row],[INVERSIONES FCI]])</f>
        <v>1191816216.8241501</v>
      </c>
      <c r="W183" s="5">
        <f>IF($B182&lt;=Tabla5[[#This Row],[INVERSIONES FCI]],+Tabla5[[#This Row],[INVERSIONES FCI]]-W182,Tabla5[[#This Row],[INVERSIONES FCI]])</f>
        <v>1191816216.8241501</v>
      </c>
      <c r="X183" s="5">
        <f>IF($B182&lt;=Tabla5[[#This Row],[INVERSIONES FCI]],+Tabla5[[#This Row],[INVERSIONES FCI]]-X182,Tabla5[[#This Row],[INVERSIONES FCI]])</f>
        <v>1191816216.8241501</v>
      </c>
      <c r="Y183" s="5">
        <f>IF($B182&lt;=Tabla5[[#This Row],[INVERSIONES FCI]],+Tabla5[[#This Row],[INVERSIONES FCI]]-Y182,Tabla5[[#This Row],[INVERSIONES FCI]])</f>
        <v>1191816216.8241501</v>
      </c>
      <c r="Z183" s="5">
        <f>IF($B182&lt;=Tabla5[[#This Row],[INVERSIONES FCI]],+Tabla5[[#This Row],[INVERSIONES FCI]]-Z182,Tabla5[[#This Row],[INVERSIONES FCI]])</f>
        <v>1191816216.8241501</v>
      </c>
      <c r="AA183" s="5">
        <f>IF($B182&lt;=Tabla5[[#This Row],[INVERSIONES FCI]],+Tabla5[[#This Row],[INVERSIONES FCI]]-AA182,Tabla5[[#This Row],[INVERSIONES FCI]])</f>
        <v>1191816216.8241501</v>
      </c>
      <c r="AB183" s="5">
        <f>IF($B182&lt;=Tabla5[[#This Row],[INVERSIONES FCI]],+Tabla5[[#This Row],[INVERSIONES FCI]]-AB182,Tabla5[[#This Row],[INVERSIONES FCI]])</f>
        <v>1191816216.8241501</v>
      </c>
      <c r="AC183" s="5">
        <f>IF($B182&lt;=Tabla5[[#This Row],[INVERSIONES FCI]],+Tabla5[[#This Row],[INVERSIONES FCI]]-AC182,Tabla5[[#This Row],[INVERSIONES FCI]])</f>
        <v>1191816216.8241501</v>
      </c>
      <c r="AD183" s="5">
        <f>IF($B182&lt;=Tabla5[[#This Row],[INVERSIONES FCI]],+Tabla5[[#This Row],[INVERSIONES FCI]]-AD182,Tabla5[[#This Row],[INVERSIONES FCI]])</f>
        <v>1191816216.8241501</v>
      </c>
      <c r="AE183" s="5">
        <f>IF($B182&lt;=Tabla5[[#This Row],[INVERSIONES FCI]],+Tabla5[[#This Row],[INVERSIONES FCI]]-AE182,Tabla5[[#This Row],[INVERSIONES FCI]])</f>
        <v>1191816216.8241501</v>
      </c>
      <c r="AF183" s="5">
        <f>IF($B182&lt;=Tabla5[[#This Row],[INVERSIONES FCI]],+Tabla5[[#This Row],[INVERSIONES FCI]]-AF182,Tabla5[[#This Row],[INVERSIONES FCI]])</f>
        <v>1191816216.8241501</v>
      </c>
      <c r="AG183" s="5">
        <f>IF($B182&lt;=Tabla5[[#This Row],[INVERSIONES FCI]],+Tabla5[[#This Row],[INVERSIONES FCI]]-AG182,Tabla5[[#This Row],[INVERSIONES FCI]])</f>
        <v>1191816216.8241501</v>
      </c>
      <c r="AH183" s="5">
        <f>IF($B182&lt;=Tabla5[[#This Row],[INVERSIONES FCI]],+Tabla5[[#This Row],[INVERSIONES FCI]]-AH182,Tabla5[[#This Row],[INVERSIONES FCI]])</f>
        <v>1191816216.8241501</v>
      </c>
      <c r="AI183" s="5">
        <f>IF($B182&lt;=Tabla5[[#This Row],[INVERSIONES FCI]],+Tabla5[[#This Row],[INVERSIONES FCI]]-AI182,Tabla5[[#This Row],[INVERSIONES FCI]])</f>
        <v>1191816216.8241501</v>
      </c>
      <c r="AJ183" s="5">
        <f>IF($B182&lt;=Tabla5[[#This Row],[INVERSIONES FCI]],+Tabla5[[#This Row],[INVERSIONES FCI]]-AJ182,Tabla5[[#This Row],[INVERSIONES FCI]])</f>
        <v>1191816216.8241501</v>
      </c>
      <c r="AK183" s="5">
        <f>IF($B182&lt;=Tabla5[[#This Row],[INVERSIONES FCI]],+Tabla5[[#This Row],[INVERSIONES FCI]]-AK182,Tabla5[[#This Row],[INVERSIONES FCI]])</f>
        <v>1191816216.8241501</v>
      </c>
      <c r="AL183" s="5">
        <f>IF($B182&lt;=Tabla5[[#This Row],[INVERSIONES FCI]],+Tabla5[[#This Row],[INVERSIONES FCI]]-AL182,Tabla5[[#This Row],[INVERSIONES FCI]])</f>
        <v>1191816216.8241501</v>
      </c>
      <c r="AM183" s="5">
        <f>IF($B182&lt;=Tabla5[[#This Row],[INVERSIONES FCI]],+Tabla5[[#This Row],[INVERSIONES FCI]]-AM182,Tabla5[[#This Row],[INVERSIONES FCI]])</f>
        <v>1191816216.8241501</v>
      </c>
      <c r="AN183" s="5">
        <f>IF($B182&lt;=Tabla5[[#This Row],[INVERSIONES FCI]],+Tabla5[[#This Row],[INVERSIONES FCI]]-AN182,Tabla5[[#This Row],[INVERSIONES FCI]])</f>
        <v>1191816216.8241501</v>
      </c>
      <c r="AO183" s="5">
        <f>IF($B182&lt;=Tabla5[[#This Row],[INVERSIONES FCI]],+Tabla5[[#This Row],[INVERSIONES FCI]]-AO182,Tabla5[[#This Row],[INVERSIONES FCI]])</f>
        <v>1191816216.8241501</v>
      </c>
      <c r="AP183" s="5">
        <f>IF($B182&lt;=Tabla5[[#This Row],[INVERSIONES FCI]],+Tabla5[[#This Row],[INVERSIONES FCI]]-AP182,Tabla5[[#This Row],[INVERSIONES FCI]])</f>
        <v>1191816216.8241501</v>
      </c>
      <c r="AQ183" s="5">
        <f>IF($B182&lt;=Tabla5[[#This Row],[INVERSIONES FCI]],+Tabla5[[#This Row],[INVERSIONES FCI]]-AQ182,Tabla5[[#This Row],[INVERSIONES FCI]])</f>
        <v>1191816216.8241501</v>
      </c>
      <c r="AR183" s="5">
        <f>IF($B182&lt;=Tabla5[[#This Row],[INVERSIONES FCI]],+Tabla5[[#This Row],[INVERSIONES FCI]]-AR182,Tabla5[[#This Row],[INVERSIONES FCI]])</f>
        <v>1191816216.8241501</v>
      </c>
      <c r="AS183" s="5">
        <f>IF($B182&lt;=Tabla5[[#This Row],[INVERSIONES FCI]],+Tabla5[[#This Row],[INVERSIONES FCI]]-AS182,Tabla5[[#This Row],[INVERSIONES FCI]])</f>
        <v>1191816216.8241501</v>
      </c>
      <c r="AT183" s="5">
        <f>IF($B182&lt;=Tabla5[[#This Row],[INVERSIONES FCI]],+Tabla5[[#This Row],[INVERSIONES FCI]]-AT182,Tabla5[[#This Row],[INVERSIONES FCI]])</f>
        <v>1191816216.8241501</v>
      </c>
      <c r="AU183" s="5">
        <f>IF($B182&lt;=Tabla5[[#This Row],[INVERSIONES FCI]],+Tabla5[[#This Row],[INVERSIONES FCI]]-AU182,Tabla5[[#This Row],[INVERSIONES FCI]])</f>
        <v>1191816216.8241501</v>
      </c>
      <c r="AV183" s="5">
        <f>IF($B182&lt;=Tabla5[[#This Row],[INVERSIONES FCI]],+Tabla5[[#This Row],[INVERSIONES FCI]]-AV182,Tabla5[[#This Row],[INVERSIONES FCI]])</f>
        <v>1191816216.8241501</v>
      </c>
      <c r="AW183" s="5">
        <f>IF($B182&lt;=Tabla5[[#This Row],[INVERSIONES FCI]],+Tabla5[[#This Row],[INVERSIONES FCI]]-AW182,Tabla5[[#This Row],[INVERSIONES FCI]])</f>
        <v>1191816216.8241501</v>
      </c>
      <c r="AX183" s="5">
        <f>IF($B182&lt;=Tabla5[[#This Row],[INVERSIONES FCI]],+Tabla5[[#This Row],[INVERSIONES FCI]]-AX182,Tabla5[[#This Row],[INVERSIONES FCI]])</f>
        <v>1191816216.8241501</v>
      </c>
      <c r="AY183" s="5">
        <f>IF($B182&lt;=Tabla5[[#This Row],[INVERSIONES FCI]],+Tabla5[[#This Row],[INVERSIONES FCI]]-AY182,Tabla5[[#This Row],[INVERSIONES FCI]])</f>
        <v>1191816216.8241501</v>
      </c>
      <c r="AZ183" s="5">
        <f>IF($B182&lt;=Tabla5[[#This Row],[INVERSIONES FCI]],+Tabla5[[#This Row],[INVERSIONES FCI]]-AZ182,Tabla5[[#This Row],[INVERSIONES FCI]])</f>
        <v>1191816216.8241501</v>
      </c>
      <c r="BA183" s="5">
        <f>IF($B182&lt;=Tabla5[[#This Row],[INVERSIONES FCI]],+Tabla5[[#This Row],[INVERSIONES FCI]]-BA182,Tabla5[[#This Row],[INVERSIONES FCI]])</f>
        <v>1191816216.8241501</v>
      </c>
      <c r="BB183" s="5">
        <f>IF($B182&lt;=Tabla5[[#This Row],[INVERSIONES FCI]],+Tabla5[[#This Row],[INVERSIONES FCI]]-BB182,Tabla5[[#This Row],[INVERSIONES FCI]])</f>
        <v>1191816216.8241501</v>
      </c>
      <c r="BC183" s="5">
        <f>IF($B182&lt;=Tabla5[[#This Row],[INVERSIONES FCI]],+Tabla5[[#This Row],[INVERSIONES FCI]]-BC182,Tabla5[[#This Row],[INVERSIONES FCI]])</f>
        <v>1191816216.8241501</v>
      </c>
      <c r="BD183" s="5">
        <f>IF($B182&lt;=Tabla5[[#This Row],[INVERSIONES FCI]],+Tabla5[[#This Row],[INVERSIONES FCI]]-BD182,Tabla5[[#This Row],[INVERSIONES FCI]])</f>
        <v>1191816216.8241501</v>
      </c>
      <c r="BE183" s="5">
        <f>IF($B182&lt;=Tabla5[[#This Row],[INVERSIONES FCI]],+Tabla5[[#This Row],[INVERSIONES FCI]]-BE182,Tabla5[[#This Row],[INVERSIONES FCI]])</f>
        <v>1191816216.8241501</v>
      </c>
      <c r="BF183" s="5">
        <f>IF($B182&lt;=Tabla5[[#This Row],[INVERSIONES FCI]],+Tabla5[[#This Row],[INVERSIONES FCI]]-BF182,Tabla5[[#This Row],[INVERSIONES FCI]])</f>
        <v>1191816216.8241501</v>
      </c>
      <c r="BG183" s="5">
        <f>IF($B182&lt;=Tabla5[[#This Row],[INVERSIONES FCI]],+Tabla5[[#This Row],[INVERSIONES FCI]]-BG182,Tabla5[[#This Row],[INVERSIONES FCI]])</f>
        <v>1191816216.8241501</v>
      </c>
      <c r="BH183" s="5">
        <f>IF($B182&lt;=Tabla5[[#This Row],[INVERSIONES FCI]],+Tabla5[[#This Row],[INVERSIONES FCI]]-BH182,Tabla5[[#This Row],[INVERSIONES FCI]])</f>
        <v>1191816216.8241501</v>
      </c>
      <c r="BI183" s="5">
        <f>IF($B182&lt;=Tabla5[[#This Row],[INVERSIONES FCI]],+Tabla5[[#This Row],[INVERSIONES FCI]]-BI182,Tabla5[[#This Row],[INVERSIONES FCI]])</f>
        <v>1191816216.8241501</v>
      </c>
      <c r="BJ183" s="5">
        <f>IF($B182&lt;=Tabla5[[#This Row],[INVERSIONES FCI]],+Tabla5[[#This Row],[INVERSIONES FCI]]-BJ182,Tabla5[[#This Row],[INVERSIONES FCI]])</f>
        <v>1191816216.8241501</v>
      </c>
      <c r="BK183" s="5">
        <f>IF($B182&lt;=Tabla5[[#This Row],[INVERSIONES FCI]],+Tabla5[[#This Row],[INVERSIONES FCI]]-BK182,Tabla5[[#This Row],[INVERSIONES FCI]])</f>
        <v>1191816216.8241501</v>
      </c>
      <c r="BL183" s="5">
        <f>IF($B182&lt;=Tabla5[[#This Row],[INVERSIONES FCI]],+Tabla5[[#This Row],[INVERSIONES FCI]]-BL182,Tabla5[[#This Row],[INVERSIONES FCI]])</f>
        <v>1191816216.8241501</v>
      </c>
      <c r="BM183" s="5">
        <f>IF($B182&lt;=Tabla5[[#This Row],[INVERSIONES FCI]],+Tabla5[[#This Row],[INVERSIONES FCI]]-BM182,Tabla5[[#This Row],[INVERSIONES FCI]])</f>
        <v>1191816216.8241501</v>
      </c>
      <c r="BN183" s="5">
        <f>IF($B182&lt;=Tabla5[[#This Row],[INVERSIONES FCI]],+Tabla5[[#This Row],[INVERSIONES FCI]]-BN182,Tabla5[[#This Row],[INVERSIONES FCI]])</f>
        <v>1191816216.8241501</v>
      </c>
      <c r="BO183" s="5">
        <f>IF($B182&lt;=Tabla5[[#This Row],[INVERSIONES FCI]],+Tabla5[[#This Row],[INVERSIONES FCI]]-BO182,Tabla5[[#This Row],[INVERSIONES FCI]])</f>
        <v>1191816216.8241501</v>
      </c>
      <c r="BP183" s="5">
        <f>IF($B182&lt;=Tabla5[[#This Row],[INVERSIONES FCI]],+Tabla5[[#This Row],[INVERSIONES FCI]]-BP182,Tabla5[[#This Row],[INVERSIONES FCI]])</f>
        <v>1191816216.8241501</v>
      </c>
      <c r="BQ183" s="5">
        <f>IF($B182&lt;=Tabla5[[#This Row],[INVERSIONES FCI]],+Tabla5[[#This Row],[INVERSIONES FCI]]-BQ182,Tabla5[[#This Row],[INVERSIONES FCI]])</f>
        <v>1191816216.8241501</v>
      </c>
      <c r="BR183" s="5">
        <f>IF($B182&lt;=Tabla5[[#This Row],[INVERSIONES FCI]],+Tabla5[[#This Row],[INVERSIONES FCI]]-BR182,Tabla5[[#This Row],[INVERSIONES FCI]])</f>
        <v>1191816216.8241501</v>
      </c>
      <c r="BS183" s="5">
        <f>IF($B182&lt;=Tabla5[[#This Row],[INVERSIONES FCI]],+Tabla5[[#This Row],[INVERSIONES FCI]]-BS182,Tabla5[[#This Row],[INVERSIONES FCI]])</f>
        <v>1191816216.8241501</v>
      </c>
      <c r="BT183" s="5">
        <f>IF($B182&lt;=Tabla5[[#This Row],[INVERSIONES FCI]],+Tabla5[[#This Row],[INVERSIONES FCI]]-BT182,Tabla5[[#This Row],[INVERSIONES FCI]])</f>
        <v>1191816216.8241501</v>
      </c>
      <c r="BU183" s="5">
        <f>IF($B182&lt;=Tabla5[[#This Row],[INVERSIONES FCI]],+Tabla5[[#This Row],[INVERSIONES FCI]]-BU182,Tabla5[[#This Row],[INVERSIONES FCI]])</f>
        <v>1191816216.8241501</v>
      </c>
      <c r="BV183" s="5">
        <f>IF($B182&lt;=Tabla5[[#This Row],[INVERSIONES FCI]],+Tabla5[[#This Row],[INVERSIONES FCI]]-BV182,Tabla5[[#This Row],[INVERSIONES FCI]])</f>
        <v>1191816216.8241501</v>
      </c>
      <c r="BW183" s="5">
        <f>IF($B182&lt;=Tabla5[[#This Row],[INVERSIONES FCI]],+Tabla5[[#This Row],[INVERSIONES FCI]]-BW182,Tabla5[[#This Row],[INVERSIONES FCI]])</f>
        <v>1191816216.8241501</v>
      </c>
      <c r="BX183" s="5">
        <f>IF($B182&lt;=Tabla5[[#This Row],[INVERSIONES FCI]],+Tabla5[[#This Row],[INVERSIONES FCI]]-BX182,Tabla5[[#This Row],[INVERSIONES FCI]])</f>
        <v>1191816216.8241501</v>
      </c>
      <c r="BY183" s="5">
        <f>IF($B182&lt;=Tabla5[[#This Row],[INVERSIONES FCI]],+Tabla5[[#This Row],[INVERSIONES FCI]]-BY182,Tabla5[[#This Row],[INVERSIONES FCI]])</f>
        <v>1191816216.8241501</v>
      </c>
      <c r="BZ183" s="5">
        <f>IF($B182&lt;=Tabla5[[#This Row],[INVERSIONES FCI]],+Tabla5[[#This Row],[INVERSIONES FCI]]-BZ182,Tabla5[[#This Row],[INVERSIONES FCI]])</f>
        <v>1191816216.8241501</v>
      </c>
      <c r="CA183" s="5">
        <f>IF($B182&lt;=Tabla5[[#This Row],[INVERSIONES FCI]],+Tabla5[[#This Row],[INVERSIONES FCI]]-CA182,Tabla5[[#This Row],[INVERSIONES FCI]])</f>
        <v>1191816216.8241501</v>
      </c>
      <c r="CB183" s="5">
        <f>IF($B182&lt;=Tabla5[[#This Row],[INVERSIONES FCI]],+Tabla5[[#This Row],[INVERSIONES FCI]]-CB182,Tabla5[[#This Row],[INVERSIONES FCI]])</f>
        <v>1191816216.8241501</v>
      </c>
      <c r="CC183" s="5">
        <f>IF($B182&lt;=Tabla5[[#This Row],[INVERSIONES FCI]],+Tabla5[[#This Row],[INVERSIONES FCI]]-CC182,Tabla5[[#This Row],[INVERSIONES FCI]])</f>
        <v>1191816216.8241501</v>
      </c>
      <c r="CD183" s="5">
        <f>IF($B182&lt;=Tabla5[[#This Row],[INVERSIONES FCI]],+Tabla5[[#This Row],[INVERSIONES FCI]]-CD182,Tabla5[[#This Row],[INVERSIONES FCI]])</f>
        <v>1191816216.8241501</v>
      </c>
      <c r="CE183" s="5">
        <f>IF($B182&lt;=Tabla5[[#This Row],[INVERSIONES FCI]],+Tabla5[[#This Row],[INVERSIONES FCI]]-CE182,Tabla5[[#This Row],[INVERSIONES FCI]])</f>
        <v>1191816216.8241501</v>
      </c>
      <c r="CF183" s="5">
        <f>IF($B182&lt;=Tabla5[[#This Row],[INVERSIONES FCI]],+Tabla5[[#This Row],[INVERSIONES FCI]]-CF182,Tabla5[[#This Row],[INVERSIONES FCI]])</f>
        <v>1191816216.8241501</v>
      </c>
      <c r="CG183" s="5">
        <f>IF($B182&lt;=Tabla5[[#This Row],[INVERSIONES FCI]],+Tabla5[[#This Row],[INVERSIONES FCI]]-CG182,Tabla5[[#This Row],[INVERSIONES FCI]])</f>
        <v>1191816216.8241501</v>
      </c>
      <c r="CH183" s="5">
        <f>IF($B182&lt;=Tabla5[[#This Row],[INVERSIONES FCI]],+Tabla5[[#This Row],[INVERSIONES FCI]]-CH182,Tabla5[[#This Row],[INVERSIONES FCI]])</f>
        <v>1191816216.8241501</v>
      </c>
      <c r="CI183" s="5">
        <f>IF($B182&lt;=Tabla5[[#This Row],[INVERSIONES FCI]],+Tabla5[[#This Row],[INVERSIONES FCI]]-CI182,Tabla5[[#This Row],[INVERSIONES FCI]])</f>
        <v>1191816216.8241501</v>
      </c>
      <c r="CJ183" s="5">
        <f>IF($B182&lt;=Tabla5[[#This Row],[INVERSIONES FCI]],+Tabla5[[#This Row],[INVERSIONES FCI]]-CJ182,Tabla5[[#This Row],[INVERSIONES FCI]])</f>
        <v>1191816216.8241501</v>
      </c>
      <c r="CK183" s="5">
        <f>IF($B182&lt;=Tabla5[[#This Row],[INVERSIONES FCI]],+Tabla5[[#This Row],[INVERSIONES FCI]]-CK182,Tabla5[[#This Row],[INVERSIONES FCI]])</f>
        <v>1191816216.8241501</v>
      </c>
      <c r="CL183" s="5">
        <f>IF($B182&lt;=Tabla5[[#This Row],[INVERSIONES FCI]],+Tabla5[[#This Row],[INVERSIONES FCI]]-CL182,Tabla5[[#This Row],[INVERSIONES FCI]])</f>
        <v>1191816216.8241501</v>
      </c>
      <c r="CM183" s="5">
        <f>IF($B182&lt;=Tabla5[[#This Row],[INVERSIONES FCI]],+Tabla5[[#This Row],[INVERSIONES FCI]]-CM182,Tabla5[[#This Row],[INVERSIONES FCI]])</f>
        <v>1191816216.8241501</v>
      </c>
      <c r="CN183" s="5">
        <f>IF($B182&lt;=Tabla5[[#This Row],[INVERSIONES FCI]],+Tabla5[[#This Row],[INVERSIONES FCI]]-CN182,Tabla5[[#This Row],[INVERSIONES FCI]])</f>
        <v>1191816216.8241501</v>
      </c>
      <c r="CO183" s="5">
        <f>IF($B182&lt;=Tabla5[[#This Row],[INVERSIONES FCI]],+Tabla5[[#This Row],[INVERSIONES FCI]]-CO182,Tabla5[[#This Row],[INVERSIONES FCI]])</f>
        <v>1191816216.8241501</v>
      </c>
      <c r="CP183" s="5">
        <f>IF($B182&lt;=Tabla5[[#This Row],[INVERSIONES FCI]],+Tabla5[[#This Row],[INVERSIONES FCI]]-CP182,Tabla5[[#This Row],[INVERSIONES FCI]])</f>
        <v>1191816216.8241501</v>
      </c>
      <c r="CQ183" s="5">
        <f>IF($B182&lt;=Tabla5[[#This Row],[INVERSIONES FCI]],+Tabla5[[#This Row],[INVERSIONES FCI]]-CQ182,Tabla5[[#This Row],[INVERSIONES FCI]])</f>
        <v>1191816216.8241501</v>
      </c>
      <c r="CR183" s="5">
        <f>IF($B182&lt;=Tabla5[[#This Row],[INVERSIONES FCI]],+Tabla5[[#This Row],[INVERSIONES FCI]]-CR182,Tabla5[[#This Row],[INVERSIONES FCI]])</f>
        <v>1191816216.8241501</v>
      </c>
      <c r="CS183" s="5">
        <f>IF($B182&lt;=Tabla5[[#This Row],[INVERSIONES FCI]],+Tabla5[[#This Row],[INVERSIONES FCI]]-CS182,Tabla5[[#This Row],[INVERSIONES FCI]])</f>
        <v>1191816216.8241501</v>
      </c>
      <c r="CT183" s="5">
        <f>IF($B182&lt;=Tabla5[[#This Row],[INVERSIONES FCI]],+Tabla5[[#This Row],[INVERSIONES FCI]]-CT182,Tabla5[[#This Row],[INVERSIONES FCI]])</f>
        <v>1191816216.8241501</v>
      </c>
      <c r="CU183" s="5">
        <f>IF($B182&lt;=Tabla5[[#This Row],[INVERSIONES FCI]],+Tabla5[[#This Row],[INVERSIONES FCI]]-CU182,Tabla5[[#This Row],[INVERSIONES FCI]])</f>
        <v>1191816216.8241501</v>
      </c>
      <c r="CV183" s="5">
        <f>IF($B182&lt;=Tabla5[[#This Row],[INVERSIONES FCI]],+Tabla5[[#This Row],[INVERSIONES FCI]]-CV182,Tabla5[[#This Row],[INVERSIONES FCI]])</f>
        <v>1191816216.8241501</v>
      </c>
      <c r="CW183" s="5">
        <f>IF($B182&lt;=Tabla5[[#This Row],[INVERSIONES FCI]],+Tabla5[[#This Row],[INVERSIONES FCI]]-CW182,Tabla5[[#This Row],[INVERSIONES FCI]])</f>
        <v>1191816216.8241501</v>
      </c>
      <c r="CX183" s="5">
        <f>IF($B182&lt;=Tabla5[[#This Row],[INVERSIONES FCI]],+Tabla5[[#This Row],[INVERSIONES FCI]]-CX182,Tabla5[[#This Row],[INVERSIONES FCI]])</f>
        <v>1191816216.8241501</v>
      </c>
      <c r="CY183" s="5">
        <f>IF($B182&lt;=Tabla5[[#This Row],[INVERSIONES FCI]],+Tabla5[[#This Row],[INVERSIONES FCI]]-CY182,Tabla5[[#This Row],[INVERSIONES FCI]])</f>
        <v>1191816216.8241501</v>
      </c>
      <c r="CZ183" s="5">
        <f>IF($B182&lt;=Tabla5[[#This Row],[INVERSIONES FCI]],+Tabla5[[#This Row],[INVERSIONES FCI]]-CZ182,Tabla5[[#This Row],[INVERSIONES FCI]])</f>
        <v>1191816216.8241501</v>
      </c>
      <c r="DA183" s="5">
        <f>IF($B182&lt;=Tabla5[[#This Row],[INVERSIONES FCI]],+Tabla5[[#This Row],[INVERSIONES FCI]]-DA182,Tabla5[[#This Row],[INVERSIONES FCI]])</f>
        <v>1191816216.8241501</v>
      </c>
      <c r="DB183" s="5">
        <f>IF($B182&lt;=Tabla5[[#This Row],[INVERSIONES FCI]],+Tabla5[[#This Row],[INVERSIONES FCI]]-DB182,Tabla5[[#This Row],[INVERSIONES FCI]])</f>
        <v>1191816216.8241501</v>
      </c>
      <c r="DC183" s="5">
        <f>IF($B182&lt;=Tabla5[[#This Row],[INVERSIONES FCI]],+Tabla5[[#This Row],[INVERSIONES FCI]]-DC182,Tabla5[[#This Row],[INVERSIONES FCI]])</f>
        <v>1191816216.8241501</v>
      </c>
      <c r="DD183" s="5">
        <f>IF($B182&lt;=Tabla5[[#This Row],[INVERSIONES FCI]],+Tabla5[[#This Row],[INVERSIONES FCI]]-DD182,Tabla5[[#This Row],[INVERSIONES FCI]])</f>
        <v>1191816216.8241501</v>
      </c>
      <c r="DE183" s="5">
        <f>IF($B182&lt;=Tabla5[[#This Row],[INVERSIONES FCI]],+Tabla5[[#This Row],[INVERSIONES FCI]]-DE182,Tabla5[[#This Row],[INVERSIONES FCI]])</f>
        <v>1191816216.8241501</v>
      </c>
      <c r="DF183" s="5">
        <f>IF($B182&lt;=Tabla5[[#This Row],[INVERSIONES FCI]],+Tabla5[[#This Row],[INVERSIONES FCI]]-DF182,Tabla5[[#This Row],[INVERSIONES FCI]])</f>
        <v>1191816216.8241501</v>
      </c>
      <c r="DG183" s="5">
        <f>IF($B182&lt;=Tabla5[[#This Row],[INVERSIONES FCI]],+Tabla5[[#This Row],[INVERSIONES FCI]]-DG182,Tabla5[[#This Row],[INVERSIONES FCI]])</f>
        <v>1191816216.8241501</v>
      </c>
      <c r="DH183" s="5">
        <f>IF($B182&lt;=Tabla5[[#This Row],[INVERSIONES FCI]],+Tabla5[[#This Row],[INVERSIONES FCI]]-DH182,Tabla5[[#This Row],[INVERSIONES FCI]])</f>
        <v>1191816216.8241501</v>
      </c>
      <c r="DI183" s="5">
        <f>IF($B182&lt;=Tabla5[[#This Row],[INVERSIONES FCI]],+Tabla5[[#This Row],[INVERSIONES FCI]]-DI182,Tabla5[[#This Row],[INVERSIONES FCI]])</f>
        <v>1191816216.8241501</v>
      </c>
      <c r="DJ183" s="5">
        <f>IF($B182&lt;=Tabla5[[#This Row],[INVERSIONES FCI]],+Tabla5[[#This Row],[INVERSIONES FCI]]-DJ182,Tabla5[[#This Row],[INVERSIONES FCI]])</f>
        <v>1191816216.8241501</v>
      </c>
      <c r="DK183" s="5">
        <f>IF($B182&lt;=Tabla5[[#This Row],[INVERSIONES FCI]],+Tabla5[[#This Row],[INVERSIONES FCI]]-DK182,Tabla5[[#This Row],[INVERSIONES FCI]])</f>
        <v>1191816216.8241501</v>
      </c>
      <c r="DL183" s="5"/>
      <c r="DM183" s="5"/>
      <c r="DN183" s="5"/>
      <c r="DO183" s="5"/>
      <c r="DP183" s="5"/>
      <c r="DQ183" s="5"/>
    </row>
    <row r="184" spans="1:121" ht="14.4">
      <c r="A184" s="12" t="s">
        <v>183</v>
      </c>
      <c r="B184" s="5">
        <f>HLOOKUP($A184,ESCENARIO[#All],7,FALSE)</f>
        <v>18705966461.056576</v>
      </c>
      <c r="C184" s="5">
        <f>IF($B183&lt;=Tabla5[[#This Row],[INVERSIONES FCI]],+Tabla5[[#This Row],[INVERSIONES FCI]]-C183,Tabla5[[#This Row],[INVERSIONES FCI]])</f>
        <v>17514150244.232426</v>
      </c>
      <c r="D184" s="5">
        <f>IF($B183&lt;=Tabla5[[#This Row],[INVERSIONES FCI]],+Tabla5[[#This Row],[INVERSIONES FCI]]-D183,Tabla5[[#This Row],[INVERSIONES FCI]])</f>
        <v>17514150244.232426</v>
      </c>
      <c r="E184" s="5">
        <f>IF($B183&lt;=Tabla5[[#This Row],[INVERSIONES FCI]],+Tabla5[[#This Row],[INVERSIONES FCI]]-E183,Tabla5[[#This Row],[INVERSIONES FCI]])</f>
        <v>17514150244.232426</v>
      </c>
      <c r="F184" s="5">
        <f>IF($B183&lt;=Tabla5[[#This Row],[INVERSIONES FCI]],+Tabla5[[#This Row],[INVERSIONES FCI]]-F183,Tabla5[[#This Row],[INVERSIONES FCI]])</f>
        <v>17514150244.232426</v>
      </c>
      <c r="G184" s="5">
        <f>IF($B183&lt;=Tabla5[[#This Row],[INVERSIONES FCI]],+Tabla5[[#This Row],[INVERSIONES FCI]]-G183,Tabla5[[#This Row],[INVERSIONES FCI]])</f>
        <v>17514150244.232426</v>
      </c>
      <c r="H184" s="5">
        <f>IF($B183&lt;=Tabla5[[#This Row],[INVERSIONES FCI]],+Tabla5[[#This Row],[INVERSIONES FCI]]-H183,Tabla5[[#This Row],[INVERSIONES FCI]])</f>
        <v>17514150244.232426</v>
      </c>
      <c r="I184" s="5">
        <f>IF($B183&lt;=Tabla5[[#This Row],[INVERSIONES FCI]],+Tabla5[[#This Row],[INVERSIONES FCI]]-I183,Tabla5[[#This Row],[INVERSIONES FCI]])</f>
        <v>17514150244.232426</v>
      </c>
      <c r="J184" s="5">
        <f>IF($B183&lt;=Tabla5[[#This Row],[INVERSIONES FCI]],+Tabla5[[#This Row],[INVERSIONES FCI]]-J183,Tabla5[[#This Row],[INVERSIONES FCI]])</f>
        <v>17514150244.232426</v>
      </c>
      <c r="K184" s="5">
        <f>IF($B183&lt;=Tabla5[[#This Row],[INVERSIONES FCI]],+Tabla5[[#This Row],[INVERSIONES FCI]]-K183,Tabla5[[#This Row],[INVERSIONES FCI]])</f>
        <v>17514150244.232426</v>
      </c>
      <c r="L184" s="5">
        <f>IF($B183&lt;=Tabla5[[#This Row],[INVERSIONES FCI]],+Tabla5[[#This Row],[INVERSIONES FCI]]-L183,Tabla5[[#This Row],[INVERSIONES FCI]])</f>
        <v>17514150244.232426</v>
      </c>
      <c r="M184" s="5">
        <f>IF($B183&lt;=Tabla5[[#This Row],[INVERSIONES FCI]],+Tabla5[[#This Row],[INVERSIONES FCI]]-M183,Tabla5[[#This Row],[INVERSIONES FCI]])</f>
        <v>17514150244.232426</v>
      </c>
      <c r="N184" s="5">
        <f>IF($B183&lt;=Tabla5[[#This Row],[INVERSIONES FCI]],+Tabla5[[#This Row],[INVERSIONES FCI]]-N183,Tabla5[[#This Row],[INVERSIONES FCI]])</f>
        <v>17514150244.232426</v>
      </c>
      <c r="O184" s="5">
        <f>IF($B183&lt;=Tabla5[[#This Row],[INVERSIONES FCI]],+Tabla5[[#This Row],[INVERSIONES FCI]]-O183,Tabla5[[#This Row],[INVERSIONES FCI]])</f>
        <v>17514150244.232426</v>
      </c>
      <c r="P184" s="5">
        <f>IF($B183&lt;=Tabla5[[#This Row],[INVERSIONES FCI]],+Tabla5[[#This Row],[INVERSIONES FCI]]-P183,Tabla5[[#This Row],[INVERSIONES FCI]])</f>
        <v>17514150244.232426</v>
      </c>
      <c r="Q184" s="5">
        <f>IF($B183&lt;=Tabla5[[#This Row],[INVERSIONES FCI]],+Tabla5[[#This Row],[INVERSIONES FCI]]-Q183,Tabla5[[#This Row],[INVERSIONES FCI]])</f>
        <v>17514150244.232426</v>
      </c>
      <c r="R184" s="5">
        <f>IF($B183&lt;=Tabla5[[#This Row],[INVERSIONES FCI]],+Tabla5[[#This Row],[INVERSIONES FCI]]-R183,Tabla5[[#This Row],[INVERSIONES FCI]])</f>
        <v>17514150244.232426</v>
      </c>
      <c r="S184" s="5">
        <f>IF($B183&lt;=Tabla5[[#This Row],[INVERSIONES FCI]],+Tabla5[[#This Row],[INVERSIONES FCI]]-S183,Tabla5[[#This Row],[INVERSIONES FCI]])</f>
        <v>17514150244.232426</v>
      </c>
      <c r="T184" s="5">
        <f>IF($B183&lt;=Tabla5[[#This Row],[INVERSIONES FCI]],+Tabla5[[#This Row],[INVERSIONES FCI]]-T183,Tabla5[[#This Row],[INVERSIONES FCI]])</f>
        <v>17514150244.232426</v>
      </c>
      <c r="U184" s="5">
        <f>IF($B183&lt;=Tabla5[[#This Row],[INVERSIONES FCI]],+Tabla5[[#This Row],[INVERSIONES FCI]]-U183,Tabla5[[#This Row],[INVERSIONES FCI]])</f>
        <v>17514150244.232426</v>
      </c>
      <c r="V184" s="5">
        <f>IF($B183&lt;=Tabla5[[#This Row],[INVERSIONES FCI]],+Tabla5[[#This Row],[INVERSIONES FCI]]-V183,Tabla5[[#This Row],[INVERSIONES FCI]])</f>
        <v>17514150244.232426</v>
      </c>
      <c r="W184" s="5">
        <f>IF($B183&lt;=Tabla5[[#This Row],[INVERSIONES FCI]],+Tabla5[[#This Row],[INVERSIONES FCI]]-W183,Tabla5[[#This Row],[INVERSIONES FCI]])</f>
        <v>17514150244.232426</v>
      </c>
      <c r="X184" s="5">
        <f>IF($B183&lt;=Tabla5[[#This Row],[INVERSIONES FCI]],+Tabla5[[#This Row],[INVERSIONES FCI]]-X183,Tabla5[[#This Row],[INVERSIONES FCI]])</f>
        <v>17514150244.232426</v>
      </c>
      <c r="Y184" s="5">
        <f>IF($B183&lt;=Tabla5[[#This Row],[INVERSIONES FCI]],+Tabla5[[#This Row],[INVERSIONES FCI]]-Y183,Tabla5[[#This Row],[INVERSIONES FCI]])</f>
        <v>17514150244.232426</v>
      </c>
      <c r="Z184" s="5">
        <f>IF($B183&lt;=Tabla5[[#This Row],[INVERSIONES FCI]],+Tabla5[[#This Row],[INVERSIONES FCI]]-Z183,Tabla5[[#This Row],[INVERSIONES FCI]])</f>
        <v>17514150244.232426</v>
      </c>
      <c r="AA184" s="5">
        <f>IF($B183&lt;=Tabla5[[#This Row],[INVERSIONES FCI]],+Tabla5[[#This Row],[INVERSIONES FCI]]-AA183,Tabla5[[#This Row],[INVERSIONES FCI]])</f>
        <v>17514150244.232426</v>
      </c>
      <c r="AB184" s="5">
        <f>IF($B183&lt;=Tabla5[[#This Row],[INVERSIONES FCI]],+Tabla5[[#This Row],[INVERSIONES FCI]]-AB183,Tabla5[[#This Row],[INVERSIONES FCI]])</f>
        <v>17514150244.232426</v>
      </c>
      <c r="AC184" s="5">
        <f>IF($B183&lt;=Tabla5[[#This Row],[INVERSIONES FCI]],+Tabla5[[#This Row],[INVERSIONES FCI]]-AC183,Tabla5[[#This Row],[INVERSIONES FCI]])</f>
        <v>17514150244.232426</v>
      </c>
      <c r="AD184" s="5">
        <f>IF($B183&lt;=Tabla5[[#This Row],[INVERSIONES FCI]],+Tabla5[[#This Row],[INVERSIONES FCI]]-AD183,Tabla5[[#This Row],[INVERSIONES FCI]])</f>
        <v>17514150244.232426</v>
      </c>
      <c r="AE184" s="5">
        <f>IF($B183&lt;=Tabla5[[#This Row],[INVERSIONES FCI]],+Tabla5[[#This Row],[INVERSIONES FCI]]-AE183,Tabla5[[#This Row],[INVERSIONES FCI]])</f>
        <v>17514150244.232426</v>
      </c>
      <c r="AF184" s="5">
        <f>IF($B183&lt;=Tabla5[[#This Row],[INVERSIONES FCI]],+Tabla5[[#This Row],[INVERSIONES FCI]]-AF183,Tabla5[[#This Row],[INVERSIONES FCI]])</f>
        <v>17514150244.232426</v>
      </c>
      <c r="AG184" s="5">
        <f>IF($B183&lt;=Tabla5[[#This Row],[INVERSIONES FCI]],+Tabla5[[#This Row],[INVERSIONES FCI]]-AG183,Tabla5[[#This Row],[INVERSIONES FCI]])</f>
        <v>17514150244.232426</v>
      </c>
      <c r="AH184" s="5">
        <f>IF($B183&lt;=Tabla5[[#This Row],[INVERSIONES FCI]],+Tabla5[[#This Row],[INVERSIONES FCI]]-AH183,Tabla5[[#This Row],[INVERSIONES FCI]])</f>
        <v>17514150244.232426</v>
      </c>
      <c r="AI184" s="5">
        <f>IF($B183&lt;=Tabla5[[#This Row],[INVERSIONES FCI]],+Tabla5[[#This Row],[INVERSIONES FCI]]-AI183,Tabla5[[#This Row],[INVERSIONES FCI]])</f>
        <v>17514150244.232426</v>
      </c>
      <c r="AJ184" s="5">
        <f>IF($B183&lt;=Tabla5[[#This Row],[INVERSIONES FCI]],+Tabla5[[#This Row],[INVERSIONES FCI]]-AJ183,Tabla5[[#This Row],[INVERSIONES FCI]])</f>
        <v>17514150244.232426</v>
      </c>
      <c r="AK184" s="5">
        <f>IF($B183&lt;=Tabla5[[#This Row],[INVERSIONES FCI]],+Tabla5[[#This Row],[INVERSIONES FCI]]-AK183,Tabla5[[#This Row],[INVERSIONES FCI]])</f>
        <v>17514150244.232426</v>
      </c>
      <c r="AL184" s="5">
        <f>IF($B183&lt;=Tabla5[[#This Row],[INVERSIONES FCI]],+Tabla5[[#This Row],[INVERSIONES FCI]]-AL183,Tabla5[[#This Row],[INVERSIONES FCI]])</f>
        <v>17514150244.232426</v>
      </c>
      <c r="AM184" s="5">
        <f>IF($B183&lt;=Tabla5[[#This Row],[INVERSIONES FCI]],+Tabla5[[#This Row],[INVERSIONES FCI]]-AM183,Tabla5[[#This Row],[INVERSIONES FCI]])</f>
        <v>17514150244.232426</v>
      </c>
      <c r="AN184" s="5">
        <f>IF($B183&lt;=Tabla5[[#This Row],[INVERSIONES FCI]],+Tabla5[[#This Row],[INVERSIONES FCI]]-AN183,Tabla5[[#This Row],[INVERSIONES FCI]])</f>
        <v>17514150244.232426</v>
      </c>
      <c r="AO184" s="5">
        <f>IF($B183&lt;=Tabla5[[#This Row],[INVERSIONES FCI]],+Tabla5[[#This Row],[INVERSIONES FCI]]-AO183,Tabla5[[#This Row],[INVERSIONES FCI]])</f>
        <v>17514150244.232426</v>
      </c>
      <c r="AP184" s="5">
        <f>IF($B183&lt;=Tabla5[[#This Row],[INVERSIONES FCI]],+Tabla5[[#This Row],[INVERSIONES FCI]]-AP183,Tabla5[[#This Row],[INVERSIONES FCI]])</f>
        <v>17514150244.232426</v>
      </c>
      <c r="AQ184" s="5">
        <f>IF($B183&lt;=Tabla5[[#This Row],[INVERSIONES FCI]],+Tabla5[[#This Row],[INVERSIONES FCI]]-AQ183,Tabla5[[#This Row],[INVERSIONES FCI]])</f>
        <v>17514150244.232426</v>
      </c>
      <c r="AR184" s="5">
        <f>IF($B183&lt;=Tabla5[[#This Row],[INVERSIONES FCI]],+Tabla5[[#This Row],[INVERSIONES FCI]]-AR183,Tabla5[[#This Row],[INVERSIONES FCI]])</f>
        <v>17514150244.232426</v>
      </c>
      <c r="AS184" s="5">
        <f>IF($B183&lt;=Tabla5[[#This Row],[INVERSIONES FCI]],+Tabla5[[#This Row],[INVERSIONES FCI]]-AS183,Tabla5[[#This Row],[INVERSIONES FCI]])</f>
        <v>17514150244.232426</v>
      </c>
      <c r="AT184" s="5">
        <f>IF($B183&lt;=Tabla5[[#This Row],[INVERSIONES FCI]],+Tabla5[[#This Row],[INVERSIONES FCI]]-AT183,Tabla5[[#This Row],[INVERSIONES FCI]])</f>
        <v>17514150244.232426</v>
      </c>
      <c r="AU184" s="5">
        <f>IF($B183&lt;=Tabla5[[#This Row],[INVERSIONES FCI]],+Tabla5[[#This Row],[INVERSIONES FCI]]-AU183,Tabla5[[#This Row],[INVERSIONES FCI]])</f>
        <v>17514150244.232426</v>
      </c>
      <c r="AV184" s="5">
        <f>IF($B183&lt;=Tabla5[[#This Row],[INVERSIONES FCI]],+Tabla5[[#This Row],[INVERSIONES FCI]]-AV183,Tabla5[[#This Row],[INVERSIONES FCI]])</f>
        <v>17514150244.232426</v>
      </c>
      <c r="AW184" s="5">
        <f>IF($B183&lt;=Tabla5[[#This Row],[INVERSIONES FCI]],+Tabla5[[#This Row],[INVERSIONES FCI]]-AW183,Tabla5[[#This Row],[INVERSIONES FCI]])</f>
        <v>17514150244.232426</v>
      </c>
      <c r="AX184" s="5">
        <f>IF($B183&lt;=Tabla5[[#This Row],[INVERSIONES FCI]],+Tabla5[[#This Row],[INVERSIONES FCI]]-AX183,Tabla5[[#This Row],[INVERSIONES FCI]])</f>
        <v>17514150244.232426</v>
      </c>
      <c r="AY184" s="5">
        <f>IF($B183&lt;=Tabla5[[#This Row],[INVERSIONES FCI]],+Tabla5[[#This Row],[INVERSIONES FCI]]-AY183,Tabla5[[#This Row],[INVERSIONES FCI]])</f>
        <v>17514150244.232426</v>
      </c>
      <c r="AZ184" s="5">
        <f>IF($B183&lt;=Tabla5[[#This Row],[INVERSIONES FCI]],+Tabla5[[#This Row],[INVERSIONES FCI]]-AZ183,Tabla5[[#This Row],[INVERSIONES FCI]])</f>
        <v>17514150244.232426</v>
      </c>
      <c r="BA184" s="5">
        <f>IF($B183&lt;=Tabla5[[#This Row],[INVERSIONES FCI]],+Tabla5[[#This Row],[INVERSIONES FCI]]-BA183,Tabla5[[#This Row],[INVERSIONES FCI]])</f>
        <v>17514150244.232426</v>
      </c>
      <c r="BB184" s="5">
        <f>IF($B183&lt;=Tabla5[[#This Row],[INVERSIONES FCI]],+Tabla5[[#This Row],[INVERSIONES FCI]]-BB183,Tabla5[[#This Row],[INVERSIONES FCI]])</f>
        <v>17514150244.232426</v>
      </c>
      <c r="BC184" s="5">
        <f>IF($B183&lt;=Tabla5[[#This Row],[INVERSIONES FCI]],+Tabla5[[#This Row],[INVERSIONES FCI]]-BC183,Tabla5[[#This Row],[INVERSIONES FCI]])</f>
        <v>17514150244.232426</v>
      </c>
      <c r="BD184" s="5">
        <f>IF($B183&lt;=Tabla5[[#This Row],[INVERSIONES FCI]],+Tabla5[[#This Row],[INVERSIONES FCI]]-BD183,Tabla5[[#This Row],[INVERSIONES FCI]])</f>
        <v>17514150244.232426</v>
      </c>
      <c r="BE184" s="5">
        <f>IF($B183&lt;=Tabla5[[#This Row],[INVERSIONES FCI]],+Tabla5[[#This Row],[INVERSIONES FCI]]-BE183,Tabla5[[#This Row],[INVERSIONES FCI]])</f>
        <v>17514150244.232426</v>
      </c>
      <c r="BF184" s="5">
        <f>IF($B183&lt;=Tabla5[[#This Row],[INVERSIONES FCI]],+Tabla5[[#This Row],[INVERSIONES FCI]]-BF183,Tabla5[[#This Row],[INVERSIONES FCI]])</f>
        <v>17514150244.232426</v>
      </c>
      <c r="BG184" s="5">
        <f>IF($B183&lt;=Tabla5[[#This Row],[INVERSIONES FCI]],+Tabla5[[#This Row],[INVERSIONES FCI]]-BG183,Tabla5[[#This Row],[INVERSIONES FCI]])</f>
        <v>17514150244.232426</v>
      </c>
      <c r="BH184" s="5">
        <f>IF($B183&lt;=Tabla5[[#This Row],[INVERSIONES FCI]],+Tabla5[[#This Row],[INVERSIONES FCI]]-BH183,Tabla5[[#This Row],[INVERSIONES FCI]])</f>
        <v>17514150244.232426</v>
      </c>
      <c r="BI184" s="5">
        <f>IF($B183&lt;=Tabla5[[#This Row],[INVERSIONES FCI]],+Tabla5[[#This Row],[INVERSIONES FCI]]-BI183,Tabla5[[#This Row],[INVERSIONES FCI]])</f>
        <v>17514150244.232426</v>
      </c>
      <c r="BJ184" s="5">
        <f>IF($B183&lt;=Tabla5[[#This Row],[INVERSIONES FCI]],+Tabla5[[#This Row],[INVERSIONES FCI]]-BJ183,Tabla5[[#This Row],[INVERSIONES FCI]])</f>
        <v>17514150244.232426</v>
      </c>
      <c r="BK184" s="5">
        <f>IF($B183&lt;=Tabla5[[#This Row],[INVERSIONES FCI]],+Tabla5[[#This Row],[INVERSIONES FCI]]-BK183,Tabla5[[#This Row],[INVERSIONES FCI]])</f>
        <v>17514150244.232426</v>
      </c>
      <c r="BL184" s="5">
        <f>IF($B183&lt;=Tabla5[[#This Row],[INVERSIONES FCI]],+Tabla5[[#This Row],[INVERSIONES FCI]]-BL183,Tabla5[[#This Row],[INVERSIONES FCI]])</f>
        <v>17514150244.232426</v>
      </c>
      <c r="BM184" s="5">
        <f>IF($B183&lt;=Tabla5[[#This Row],[INVERSIONES FCI]],+Tabla5[[#This Row],[INVERSIONES FCI]]-BM183,Tabla5[[#This Row],[INVERSIONES FCI]])</f>
        <v>17514150244.232426</v>
      </c>
      <c r="BN184" s="5">
        <f>IF($B183&lt;=Tabla5[[#This Row],[INVERSIONES FCI]],+Tabla5[[#This Row],[INVERSIONES FCI]]-BN183,Tabla5[[#This Row],[INVERSIONES FCI]])</f>
        <v>17514150244.232426</v>
      </c>
      <c r="BO184" s="5">
        <f>IF($B183&lt;=Tabla5[[#This Row],[INVERSIONES FCI]],+Tabla5[[#This Row],[INVERSIONES FCI]]-BO183,Tabla5[[#This Row],[INVERSIONES FCI]])</f>
        <v>17514150244.232426</v>
      </c>
      <c r="BP184" s="5">
        <f>IF($B183&lt;=Tabla5[[#This Row],[INVERSIONES FCI]],+Tabla5[[#This Row],[INVERSIONES FCI]]-BP183,Tabla5[[#This Row],[INVERSIONES FCI]])</f>
        <v>17514150244.232426</v>
      </c>
      <c r="BQ184" s="5">
        <f>IF($B183&lt;=Tabla5[[#This Row],[INVERSIONES FCI]],+Tabla5[[#This Row],[INVERSIONES FCI]]-BQ183,Tabla5[[#This Row],[INVERSIONES FCI]])</f>
        <v>17514150244.232426</v>
      </c>
      <c r="BR184" s="5">
        <f>IF($B183&lt;=Tabla5[[#This Row],[INVERSIONES FCI]],+Tabla5[[#This Row],[INVERSIONES FCI]]-BR183,Tabla5[[#This Row],[INVERSIONES FCI]])</f>
        <v>17514150244.232426</v>
      </c>
      <c r="BS184" s="5">
        <f>IF($B183&lt;=Tabla5[[#This Row],[INVERSIONES FCI]],+Tabla5[[#This Row],[INVERSIONES FCI]]-BS183,Tabla5[[#This Row],[INVERSIONES FCI]])</f>
        <v>17514150244.232426</v>
      </c>
      <c r="BT184" s="5">
        <f>IF($B183&lt;=Tabla5[[#This Row],[INVERSIONES FCI]],+Tabla5[[#This Row],[INVERSIONES FCI]]-BT183,Tabla5[[#This Row],[INVERSIONES FCI]])</f>
        <v>17514150244.232426</v>
      </c>
      <c r="BU184" s="5">
        <f>IF($B183&lt;=Tabla5[[#This Row],[INVERSIONES FCI]],+Tabla5[[#This Row],[INVERSIONES FCI]]-BU183,Tabla5[[#This Row],[INVERSIONES FCI]])</f>
        <v>17514150244.232426</v>
      </c>
      <c r="BV184" s="5">
        <f>IF($B183&lt;=Tabla5[[#This Row],[INVERSIONES FCI]],+Tabla5[[#This Row],[INVERSIONES FCI]]-BV183,Tabla5[[#This Row],[INVERSIONES FCI]])</f>
        <v>17514150244.232426</v>
      </c>
      <c r="BW184" s="5">
        <f>IF($B183&lt;=Tabla5[[#This Row],[INVERSIONES FCI]],+Tabla5[[#This Row],[INVERSIONES FCI]]-BW183,Tabla5[[#This Row],[INVERSIONES FCI]])</f>
        <v>17514150244.232426</v>
      </c>
      <c r="BX184" s="5">
        <f>IF($B183&lt;=Tabla5[[#This Row],[INVERSIONES FCI]],+Tabla5[[#This Row],[INVERSIONES FCI]]-BX183,Tabla5[[#This Row],[INVERSIONES FCI]])</f>
        <v>17514150244.232426</v>
      </c>
      <c r="BY184" s="5">
        <f>IF($B183&lt;=Tabla5[[#This Row],[INVERSIONES FCI]],+Tabla5[[#This Row],[INVERSIONES FCI]]-BY183,Tabla5[[#This Row],[INVERSIONES FCI]])</f>
        <v>17514150244.232426</v>
      </c>
      <c r="BZ184" s="5">
        <f>IF($B183&lt;=Tabla5[[#This Row],[INVERSIONES FCI]],+Tabla5[[#This Row],[INVERSIONES FCI]]-BZ183,Tabla5[[#This Row],[INVERSIONES FCI]])</f>
        <v>17514150244.232426</v>
      </c>
      <c r="CA184" s="5">
        <f>IF($B183&lt;=Tabla5[[#This Row],[INVERSIONES FCI]],+Tabla5[[#This Row],[INVERSIONES FCI]]-CA183,Tabla5[[#This Row],[INVERSIONES FCI]])</f>
        <v>17514150244.232426</v>
      </c>
      <c r="CB184" s="5">
        <f>IF($B183&lt;=Tabla5[[#This Row],[INVERSIONES FCI]],+Tabla5[[#This Row],[INVERSIONES FCI]]-CB183,Tabla5[[#This Row],[INVERSIONES FCI]])</f>
        <v>17514150244.232426</v>
      </c>
      <c r="CC184" s="5">
        <f>IF($B183&lt;=Tabla5[[#This Row],[INVERSIONES FCI]],+Tabla5[[#This Row],[INVERSIONES FCI]]-CC183,Tabla5[[#This Row],[INVERSIONES FCI]])</f>
        <v>17514150244.232426</v>
      </c>
      <c r="CD184" s="5">
        <f>IF($B183&lt;=Tabla5[[#This Row],[INVERSIONES FCI]],+Tabla5[[#This Row],[INVERSIONES FCI]]-CD183,Tabla5[[#This Row],[INVERSIONES FCI]])</f>
        <v>17514150244.232426</v>
      </c>
      <c r="CE184" s="5">
        <f>IF($B183&lt;=Tabla5[[#This Row],[INVERSIONES FCI]],+Tabla5[[#This Row],[INVERSIONES FCI]]-CE183,Tabla5[[#This Row],[INVERSIONES FCI]])</f>
        <v>17514150244.232426</v>
      </c>
      <c r="CF184" s="5">
        <f>IF($B183&lt;=Tabla5[[#This Row],[INVERSIONES FCI]],+Tabla5[[#This Row],[INVERSIONES FCI]]-CF183,Tabla5[[#This Row],[INVERSIONES FCI]])</f>
        <v>17514150244.232426</v>
      </c>
      <c r="CG184" s="5">
        <f>IF($B183&lt;=Tabla5[[#This Row],[INVERSIONES FCI]],+Tabla5[[#This Row],[INVERSIONES FCI]]-CG183,Tabla5[[#This Row],[INVERSIONES FCI]])</f>
        <v>17514150244.232426</v>
      </c>
      <c r="CH184" s="5">
        <f>IF($B183&lt;=Tabla5[[#This Row],[INVERSIONES FCI]],+Tabla5[[#This Row],[INVERSIONES FCI]]-CH183,Tabla5[[#This Row],[INVERSIONES FCI]])</f>
        <v>17514150244.232426</v>
      </c>
      <c r="CI184" s="5">
        <f>IF($B183&lt;=Tabla5[[#This Row],[INVERSIONES FCI]],+Tabla5[[#This Row],[INVERSIONES FCI]]-CI183,Tabla5[[#This Row],[INVERSIONES FCI]])</f>
        <v>17514150244.232426</v>
      </c>
      <c r="CJ184" s="5">
        <f>IF($B183&lt;=Tabla5[[#This Row],[INVERSIONES FCI]],+Tabla5[[#This Row],[INVERSIONES FCI]]-CJ183,Tabla5[[#This Row],[INVERSIONES FCI]])</f>
        <v>17514150244.232426</v>
      </c>
      <c r="CK184" s="5">
        <f>IF($B183&lt;=Tabla5[[#This Row],[INVERSIONES FCI]],+Tabla5[[#This Row],[INVERSIONES FCI]]-CK183,Tabla5[[#This Row],[INVERSIONES FCI]])</f>
        <v>17514150244.232426</v>
      </c>
      <c r="CL184" s="5">
        <f>IF($B183&lt;=Tabla5[[#This Row],[INVERSIONES FCI]],+Tabla5[[#This Row],[INVERSIONES FCI]]-CL183,Tabla5[[#This Row],[INVERSIONES FCI]])</f>
        <v>17514150244.232426</v>
      </c>
      <c r="CM184" s="5">
        <f>IF($B183&lt;=Tabla5[[#This Row],[INVERSIONES FCI]],+Tabla5[[#This Row],[INVERSIONES FCI]]-CM183,Tabla5[[#This Row],[INVERSIONES FCI]])</f>
        <v>17514150244.232426</v>
      </c>
      <c r="CN184" s="5">
        <f>IF($B183&lt;=Tabla5[[#This Row],[INVERSIONES FCI]],+Tabla5[[#This Row],[INVERSIONES FCI]]-CN183,Tabla5[[#This Row],[INVERSIONES FCI]])</f>
        <v>17514150244.232426</v>
      </c>
      <c r="CO184" s="5">
        <f>IF($B183&lt;=Tabla5[[#This Row],[INVERSIONES FCI]],+Tabla5[[#This Row],[INVERSIONES FCI]]-CO183,Tabla5[[#This Row],[INVERSIONES FCI]])</f>
        <v>17514150244.232426</v>
      </c>
      <c r="CP184" s="5">
        <f>IF($B183&lt;=Tabla5[[#This Row],[INVERSIONES FCI]],+Tabla5[[#This Row],[INVERSIONES FCI]]-CP183,Tabla5[[#This Row],[INVERSIONES FCI]])</f>
        <v>17514150244.232426</v>
      </c>
      <c r="CQ184" s="5">
        <f>IF($B183&lt;=Tabla5[[#This Row],[INVERSIONES FCI]],+Tabla5[[#This Row],[INVERSIONES FCI]]-CQ183,Tabla5[[#This Row],[INVERSIONES FCI]])</f>
        <v>17514150244.232426</v>
      </c>
      <c r="CR184" s="5">
        <f>IF($B183&lt;=Tabla5[[#This Row],[INVERSIONES FCI]],+Tabla5[[#This Row],[INVERSIONES FCI]]-CR183,Tabla5[[#This Row],[INVERSIONES FCI]])</f>
        <v>17514150244.232426</v>
      </c>
      <c r="CS184" s="5">
        <f>IF($B183&lt;=Tabla5[[#This Row],[INVERSIONES FCI]],+Tabla5[[#This Row],[INVERSIONES FCI]]-CS183,Tabla5[[#This Row],[INVERSIONES FCI]])</f>
        <v>17514150244.232426</v>
      </c>
      <c r="CT184" s="5">
        <f>IF($B183&lt;=Tabla5[[#This Row],[INVERSIONES FCI]],+Tabla5[[#This Row],[INVERSIONES FCI]]-CT183,Tabla5[[#This Row],[INVERSIONES FCI]])</f>
        <v>17514150244.232426</v>
      </c>
      <c r="CU184" s="5">
        <f>IF($B183&lt;=Tabla5[[#This Row],[INVERSIONES FCI]],+Tabla5[[#This Row],[INVERSIONES FCI]]-CU183,Tabla5[[#This Row],[INVERSIONES FCI]])</f>
        <v>17514150244.232426</v>
      </c>
      <c r="CV184" s="5">
        <f>IF($B183&lt;=Tabla5[[#This Row],[INVERSIONES FCI]],+Tabla5[[#This Row],[INVERSIONES FCI]]-CV183,Tabla5[[#This Row],[INVERSIONES FCI]])</f>
        <v>17514150244.232426</v>
      </c>
      <c r="CW184" s="5">
        <f>IF($B183&lt;=Tabla5[[#This Row],[INVERSIONES FCI]],+Tabla5[[#This Row],[INVERSIONES FCI]]-CW183,Tabla5[[#This Row],[INVERSIONES FCI]])</f>
        <v>17514150244.232426</v>
      </c>
      <c r="CX184" s="5">
        <f>IF($B183&lt;=Tabla5[[#This Row],[INVERSIONES FCI]],+Tabla5[[#This Row],[INVERSIONES FCI]]-CX183,Tabla5[[#This Row],[INVERSIONES FCI]])</f>
        <v>17514150244.232426</v>
      </c>
      <c r="CY184" s="5">
        <f>IF($B183&lt;=Tabla5[[#This Row],[INVERSIONES FCI]],+Tabla5[[#This Row],[INVERSIONES FCI]]-CY183,Tabla5[[#This Row],[INVERSIONES FCI]])</f>
        <v>17514150244.232426</v>
      </c>
      <c r="CZ184" s="5">
        <f>IF($B183&lt;=Tabla5[[#This Row],[INVERSIONES FCI]],+Tabla5[[#This Row],[INVERSIONES FCI]]-CZ183,Tabla5[[#This Row],[INVERSIONES FCI]])</f>
        <v>17514150244.232426</v>
      </c>
      <c r="DA184" s="5">
        <f>IF($B183&lt;=Tabla5[[#This Row],[INVERSIONES FCI]],+Tabla5[[#This Row],[INVERSIONES FCI]]-DA183,Tabla5[[#This Row],[INVERSIONES FCI]])</f>
        <v>17514150244.232426</v>
      </c>
      <c r="DB184" s="5">
        <f>IF($B183&lt;=Tabla5[[#This Row],[INVERSIONES FCI]],+Tabla5[[#This Row],[INVERSIONES FCI]]-DB183,Tabla5[[#This Row],[INVERSIONES FCI]])</f>
        <v>17514150244.232426</v>
      </c>
      <c r="DC184" s="5">
        <f>IF($B183&lt;=Tabla5[[#This Row],[INVERSIONES FCI]],+Tabla5[[#This Row],[INVERSIONES FCI]]-DC183,Tabla5[[#This Row],[INVERSIONES FCI]])</f>
        <v>17514150244.232426</v>
      </c>
      <c r="DD184" s="5">
        <f>IF($B183&lt;=Tabla5[[#This Row],[INVERSIONES FCI]],+Tabla5[[#This Row],[INVERSIONES FCI]]-DD183,Tabla5[[#This Row],[INVERSIONES FCI]])</f>
        <v>17514150244.232426</v>
      </c>
      <c r="DE184" s="5">
        <f>IF($B183&lt;=Tabla5[[#This Row],[INVERSIONES FCI]],+Tabla5[[#This Row],[INVERSIONES FCI]]-DE183,Tabla5[[#This Row],[INVERSIONES FCI]])</f>
        <v>17514150244.232426</v>
      </c>
      <c r="DF184" s="5">
        <f>IF($B183&lt;=Tabla5[[#This Row],[INVERSIONES FCI]],+Tabla5[[#This Row],[INVERSIONES FCI]]-DF183,Tabla5[[#This Row],[INVERSIONES FCI]])</f>
        <v>17514150244.232426</v>
      </c>
      <c r="DG184" s="5">
        <f>IF($B183&lt;=Tabla5[[#This Row],[INVERSIONES FCI]],+Tabla5[[#This Row],[INVERSIONES FCI]]-DG183,Tabla5[[#This Row],[INVERSIONES FCI]])</f>
        <v>17514150244.232426</v>
      </c>
      <c r="DH184" s="5">
        <f>IF($B183&lt;=Tabla5[[#This Row],[INVERSIONES FCI]],+Tabla5[[#This Row],[INVERSIONES FCI]]-DH183,Tabla5[[#This Row],[INVERSIONES FCI]])</f>
        <v>17514150244.232426</v>
      </c>
      <c r="DI184" s="5">
        <f>IF($B183&lt;=Tabla5[[#This Row],[INVERSIONES FCI]],+Tabla5[[#This Row],[INVERSIONES FCI]]-DI183,Tabla5[[#This Row],[INVERSIONES FCI]])</f>
        <v>17514150244.232426</v>
      </c>
      <c r="DJ184" s="5">
        <f>IF($B183&lt;=Tabla5[[#This Row],[INVERSIONES FCI]],+Tabla5[[#This Row],[INVERSIONES FCI]]-DJ183,Tabla5[[#This Row],[INVERSIONES FCI]])</f>
        <v>17514150244.232426</v>
      </c>
      <c r="DK184" s="5">
        <f>IF($B183&lt;=Tabla5[[#This Row],[INVERSIONES FCI]],+Tabla5[[#This Row],[INVERSIONES FCI]]-DK183,Tabla5[[#This Row],[INVERSIONES FCI]])</f>
        <v>17514150244.232426</v>
      </c>
      <c r="DL184" s="5"/>
      <c r="DM184" s="5"/>
      <c r="DN184" s="5"/>
      <c r="DO184" s="5"/>
      <c r="DP184" s="5"/>
      <c r="DQ184" s="5"/>
    </row>
    <row r="185" spans="1:121" ht="14.4">
      <c r="A185" s="12" t="s">
        <v>184</v>
      </c>
      <c r="B185" s="5">
        <f>HLOOKUP($A185,ESCENARIO[#All],7,FALSE)</f>
        <v>18705966461.056576</v>
      </c>
      <c r="C185" s="5">
        <f>IF($B184&lt;=Tabla5[[#This Row],[INVERSIONES FCI]],+Tabla5[[#This Row],[INVERSIONES FCI]]-C184,Tabla5[[#This Row],[INVERSIONES FCI]])</f>
        <v>1191816216.8241501</v>
      </c>
      <c r="D185" s="5">
        <f>IF($B184&lt;=Tabla5[[#This Row],[INVERSIONES FCI]],+Tabla5[[#This Row],[INVERSIONES FCI]]-D184,Tabla5[[#This Row],[INVERSIONES FCI]])</f>
        <v>1191816216.8241501</v>
      </c>
      <c r="E185" s="5">
        <f>IF($B184&lt;=Tabla5[[#This Row],[INVERSIONES FCI]],+Tabla5[[#This Row],[INVERSIONES FCI]]-E184,Tabla5[[#This Row],[INVERSIONES FCI]])</f>
        <v>1191816216.8241501</v>
      </c>
      <c r="F185" s="5">
        <f>IF($B184&lt;=Tabla5[[#This Row],[INVERSIONES FCI]],+Tabla5[[#This Row],[INVERSIONES FCI]]-F184,Tabla5[[#This Row],[INVERSIONES FCI]])</f>
        <v>1191816216.8241501</v>
      </c>
      <c r="G185" s="5">
        <f>IF($B184&lt;=Tabla5[[#This Row],[INVERSIONES FCI]],+Tabla5[[#This Row],[INVERSIONES FCI]]-G184,Tabla5[[#This Row],[INVERSIONES FCI]])</f>
        <v>1191816216.8241501</v>
      </c>
      <c r="H185" s="5">
        <f>IF($B184&lt;=Tabla5[[#This Row],[INVERSIONES FCI]],+Tabla5[[#This Row],[INVERSIONES FCI]]-H184,Tabla5[[#This Row],[INVERSIONES FCI]])</f>
        <v>1191816216.8241501</v>
      </c>
      <c r="I185" s="5">
        <f>IF($B184&lt;=Tabla5[[#This Row],[INVERSIONES FCI]],+Tabla5[[#This Row],[INVERSIONES FCI]]-I184,Tabla5[[#This Row],[INVERSIONES FCI]])</f>
        <v>1191816216.8241501</v>
      </c>
      <c r="J185" s="5">
        <f>IF($B184&lt;=Tabla5[[#This Row],[INVERSIONES FCI]],+Tabla5[[#This Row],[INVERSIONES FCI]]-J184,Tabla5[[#This Row],[INVERSIONES FCI]])</f>
        <v>1191816216.8241501</v>
      </c>
      <c r="K185" s="5">
        <f>IF($B184&lt;=Tabla5[[#This Row],[INVERSIONES FCI]],+Tabla5[[#This Row],[INVERSIONES FCI]]-K184,Tabla5[[#This Row],[INVERSIONES FCI]])</f>
        <v>1191816216.8241501</v>
      </c>
      <c r="L185" s="5">
        <f>IF($B184&lt;=Tabla5[[#This Row],[INVERSIONES FCI]],+Tabla5[[#This Row],[INVERSIONES FCI]]-L184,Tabla5[[#This Row],[INVERSIONES FCI]])</f>
        <v>1191816216.8241501</v>
      </c>
      <c r="M185" s="5">
        <f>IF($B184&lt;=Tabla5[[#This Row],[INVERSIONES FCI]],+Tabla5[[#This Row],[INVERSIONES FCI]]-M184,Tabla5[[#This Row],[INVERSIONES FCI]])</f>
        <v>1191816216.8241501</v>
      </c>
      <c r="N185" s="5">
        <f>IF($B184&lt;=Tabla5[[#This Row],[INVERSIONES FCI]],+Tabla5[[#This Row],[INVERSIONES FCI]]-N184,Tabla5[[#This Row],[INVERSIONES FCI]])</f>
        <v>1191816216.8241501</v>
      </c>
      <c r="O185" s="5">
        <f>IF($B184&lt;=Tabla5[[#This Row],[INVERSIONES FCI]],+Tabla5[[#This Row],[INVERSIONES FCI]]-O184,Tabla5[[#This Row],[INVERSIONES FCI]])</f>
        <v>1191816216.8241501</v>
      </c>
      <c r="P185" s="5">
        <f>IF($B184&lt;=Tabla5[[#This Row],[INVERSIONES FCI]],+Tabla5[[#This Row],[INVERSIONES FCI]]-P184,Tabla5[[#This Row],[INVERSIONES FCI]])</f>
        <v>1191816216.8241501</v>
      </c>
      <c r="Q185" s="5">
        <f>IF($B184&lt;=Tabla5[[#This Row],[INVERSIONES FCI]],+Tabla5[[#This Row],[INVERSIONES FCI]]-Q184,Tabla5[[#This Row],[INVERSIONES FCI]])</f>
        <v>1191816216.8241501</v>
      </c>
      <c r="R185" s="5">
        <f>IF($B184&lt;=Tabla5[[#This Row],[INVERSIONES FCI]],+Tabla5[[#This Row],[INVERSIONES FCI]]-R184,Tabla5[[#This Row],[INVERSIONES FCI]])</f>
        <v>1191816216.8241501</v>
      </c>
      <c r="S185" s="5">
        <f>IF($B184&lt;=Tabla5[[#This Row],[INVERSIONES FCI]],+Tabla5[[#This Row],[INVERSIONES FCI]]-S184,Tabla5[[#This Row],[INVERSIONES FCI]])</f>
        <v>1191816216.8241501</v>
      </c>
      <c r="T185" s="5">
        <f>IF($B184&lt;=Tabla5[[#This Row],[INVERSIONES FCI]],+Tabla5[[#This Row],[INVERSIONES FCI]]-T184,Tabla5[[#This Row],[INVERSIONES FCI]])</f>
        <v>1191816216.8241501</v>
      </c>
      <c r="U185" s="5">
        <f>IF($B184&lt;=Tabla5[[#This Row],[INVERSIONES FCI]],+Tabla5[[#This Row],[INVERSIONES FCI]]-U184,Tabla5[[#This Row],[INVERSIONES FCI]])</f>
        <v>1191816216.8241501</v>
      </c>
      <c r="V185" s="5">
        <f>IF($B184&lt;=Tabla5[[#This Row],[INVERSIONES FCI]],+Tabla5[[#This Row],[INVERSIONES FCI]]-V184,Tabla5[[#This Row],[INVERSIONES FCI]])</f>
        <v>1191816216.8241501</v>
      </c>
      <c r="W185" s="5">
        <f>IF($B184&lt;=Tabla5[[#This Row],[INVERSIONES FCI]],+Tabla5[[#This Row],[INVERSIONES FCI]]-W184,Tabla5[[#This Row],[INVERSIONES FCI]])</f>
        <v>1191816216.8241501</v>
      </c>
      <c r="X185" s="5">
        <f>IF($B184&lt;=Tabla5[[#This Row],[INVERSIONES FCI]],+Tabla5[[#This Row],[INVERSIONES FCI]]-X184,Tabla5[[#This Row],[INVERSIONES FCI]])</f>
        <v>1191816216.8241501</v>
      </c>
      <c r="Y185" s="5">
        <f>IF($B184&lt;=Tabla5[[#This Row],[INVERSIONES FCI]],+Tabla5[[#This Row],[INVERSIONES FCI]]-Y184,Tabla5[[#This Row],[INVERSIONES FCI]])</f>
        <v>1191816216.8241501</v>
      </c>
      <c r="Z185" s="5">
        <f>IF($B184&lt;=Tabla5[[#This Row],[INVERSIONES FCI]],+Tabla5[[#This Row],[INVERSIONES FCI]]-Z184,Tabla5[[#This Row],[INVERSIONES FCI]])</f>
        <v>1191816216.8241501</v>
      </c>
      <c r="AA185" s="5">
        <f>IF($B184&lt;=Tabla5[[#This Row],[INVERSIONES FCI]],+Tabla5[[#This Row],[INVERSIONES FCI]]-AA184,Tabla5[[#This Row],[INVERSIONES FCI]])</f>
        <v>1191816216.8241501</v>
      </c>
      <c r="AB185" s="5">
        <f>IF($B184&lt;=Tabla5[[#This Row],[INVERSIONES FCI]],+Tabla5[[#This Row],[INVERSIONES FCI]]-AB184,Tabla5[[#This Row],[INVERSIONES FCI]])</f>
        <v>1191816216.8241501</v>
      </c>
      <c r="AC185" s="5">
        <f>IF($B184&lt;=Tabla5[[#This Row],[INVERSIONES FCI]],+Tabla5[[#This Row],[INVERSIONES FCI]]-AC184,Tabla5[[#This Row],[INVERSIONES FCI]])</f>
        <v>1191816216.8241501</v>
      </c>
      <c r="AD185" s="5">
        <f>IF($B184&lt;=Tabla5[[#This Row],[INVERSIONES FCI]],+Tabla5[[#This Row],[INVERSIONES FCI]]-AD184,Tabla5[[#This Row],[INVERSIONES FCI]])</f>
        <v>1191816216.8241501</v>
      </c>
      <c r="AE185" s="5">
        <f>IF($B184&lt;=Tabla5[[#This Row],[INVERSIONES FCI]],+Tabla5[[#This Row],[INVERSIONES FCI]]-AE184,Tabla5[[#This Row],[INVERSIONES FCI]])</f>
        <v>1191816216.8241501</v>
      </c>
      <c r="AF185" s="5">
        <f>IF($B184&lt;=Tabla5[[#This Row],[INVERSIONES FCI]],+Tabla5[[#This Row],[INVERSIONES FCI]]-AF184,Tabla5[[#This Row],[INVERSIONES FCI]])</f>
        <v>1191816216.8241501</v>
      </c>
      <c r="AG185" s="5">
        <f>IF($B184&lt;=Tabla5[[#This Row],[INVERSIONES FCI]],+Tabla5[[#This Row],[INVERSIONES FCI]]-AG184,Tabla5[[#This Row],[INVERSIONES FCI]])</f>
        <v>1191816216.8241501</v>
      </c>
      <c r="AH185" s="5">
        <f>IF($B184&lt;=Tabla5[[#This Row],[INVERSIONES FCI]],+Tabla5[[#This Row],[INVERSIONES FCI]]-AH184,Tabla5[[#This Row],[INVERSIONES FCI]])</f>
        <v>1191816216.8241501</v>
      </c>
      <c r="AI185" s="5">
        <f>IF($B184&lt;=Tabla5[[#This Row],[INVERSIONES FCI]],+Tabla5[[#This Row],[INVERSIONES FCI]]-AI184,Tabla5[[#This Row],[INVERSIONES FCI]])</f>
        <v>1191816216.8241501</v>
      </c>
      <c r="AJ185" s="5">
        <f>IF($B184&lt;=Tabla5[[#This Row],[INVERSIONES FCI]],+Tabla5[[#This Row],[INVERSIONES FCI]]-AJ184,Tabla5[[#This Row],[INVERSIONES FCI]])</f>
        <v>1191816216.8241501</v>
      </c>
      <c r="AK185" s="5">
        <f>IF($B184&lt;=Tabla5[[#This Row],[INVERSIONES FCI]],+Tabla5[[#This Row],[INVERSIONES FCI]]-AK184,Tabla5[[#This Row],[INVERSIONES FCI]])</f>
        <v>1191816216.8241501</v>
      </c>
      <c r="AL185" s="5">
        <f>IF($B184&lt;=Tabla5[[#This Row],[INVERSIONES FCI]],+Tabla5[[#This Row],[INVERSIONES FCI]]-AL184,Tabla5[[#This Row],[INVERSIONES FCI]])</f>
        <v>1191816216.8241501</v>
      </c>
      <c r="AM185" s="5">
        <f>IF($B184&lt;=Tabla5[[#This Row],[INVERSIONES FCI]],+Tabla5[[#This Row],[INVERSIONES FCI]]-AM184,Tabla5[[#This Row],[INVERSIONES FCI]])</f>
        <v>1191816216.8241501</v>
      </c>
      <c r="AN185" s="5">
        <f>IF($B184&lt;=Tabla5[[#This Row],[INVERSIONES FCI]],+Tabla5[[#This Row],[INVERSIONES FCI]]-AN184,Tabla5[[#This Row],[INVERSIONES FCI]])</f>
        <v>1191816216.8241501</v>
      </c>
      <c r="AO185" s="5">
        <f>IF($B184&lt;=Tabla5[[#This Row],[INVERSIONES FCI]],+Tabla5[[#This Row],[INVERSIONES FCI]]-AO184,Tabla5[[#This Row],[INVERSIONES FCI]])</f>
        <v>1191816216.8241501</v>
      </c>
      <c r="AP185" s="5">
        <f>IF($B184&lt;=Tabla5[[#This Row],[INVERSIONES FCI]],+Tabla5[[#This Row],[INVERSIONES FCI]]-AP184,Tabla5[[#This Row],[INVERSIONES FCI]])</f>
        <v>1191816216.8241501</v>
      </c>
      <c r="AQ185" s="5">
        <f>IF($B184&lt;=Tabla5[[#This Row],[INVERSIONES FCI]],+Tabla5[[#This Row],[INVERSIONES FCI]]-AQ184,Tabla5[[#This Row],[INVERSIONES FCI]])</f>
        <v>1191816216.8241501</v>
      </c>
      <c r="AR185" s="5">
        <f>IF($B184&lt;=Tabla5[[#This Row],[INVERSIONES FCI]],+Tabla5[[#This Row],[INVERSIONES FCI]]-AR184,Tabla5[[#This Row],[INVERSIONES FCI]])</f>
        <v>1191816216.8241501</v>
      </c>
      <c r="AS185" s="5">
        <f>IF($B184&lt;=Tabla5[[#This Row],[INVERSIONES FCI]],+Tabla5[[#This Row],[INVERSIONES FCI]]-AS184,Tabla5[[#This Row],[INVERSIONES FCI]])</f>
        <v>1191816216.8241501</v>
      </c>
      <c r="AT185" s="5">
        <f>IF($B184&lt;=Tabla5[[#This Row],[INVERSIONES FCI]],+Tabla5[[#This Row],[INVERSIONES FCI]]-AT184,Tabla5[[#This Row],[INVERSIONES FCI]])</f>
        <v>1191816216.8241501</v>
      </c>
      <c r="AU185" s="5">
        <f>IF($B184&lt;=Tabla5[[#This Row],[INVERSIONES FCI]],+Tabla5[[#This Row],[INVERSIONES FCI]]-AU184,Tabla5[[#This Row],[INVERSIONES FCI]])</f>
        <v>1191816216.8241501</v>
      </c>
      <c r="AV185" s="5">
        <f>IF($B184&lt;=Tabla5[[#This Row],[INVERSIONES FCI]],+Tabla5[[#This Row],[INVERSIONES FCI]]-AV184,Tabla5[[#This Row],[INVERSIONES FCI]])</f>
        <v>1191816216.8241501</v>
      </c>
      <c r="AW185" s="5">
        <f>IF($B184&lt;=Tabla5[[#This Row],[INVERSIONES FCI]],+Tabla5[[#This Row],[INVERSIONES FCI]]-AW184,Tabla5[[#This Row],[INVERSIONES FCI]])</f>
        <v>1191816216.8241501</v>
      </c>
      <c r="AX185" s="5">
        <f>IF($B184&lt;=Tabla5[[#This Row],[INVERSIONES FCI]],+Tabla5[[#This Row],[INVERSIONES FCI]]-AX184,Tabla5[[#This Row],[INVERSIONES FCI]])</f>
        <v>1191816216.8241501</v>
      </c>
      <c r="AY185" s="5">
        <f>IF($B184&lt;=Tabla5[[#This Row],[INVERSIONES FCI]],+Tabla5[[#This Row],[INVERSIONES FCI]]-AY184,Tabla5[[#This Row],[INVERSIONES FCI]])</f>
        <v>1191816216.8241501</v>
      </c>
      <c r="AZ185" s="5">
        <f>IF($B184&lt;=Tabla5[[#This Row],[INVERSIONES FCI]],+Tabla5[[#This Row],[INVERSIONES FCI]]-AZ184,Tabla5[[#This Row],[INVERSIONES FCI]])</f>
        <v>1191816216.8241501</v>
      </c>
      <c r="BA185" s="5">
        <f>IF($B184&lt;=Tabla5[[#This Row],[INVERSIONES FCI]],+Tabla5[[#This Row],[INVERSIONES FCI]]-BA184,Tabla5[[#This Row],[INVERSIONES FCI]])</f>
        <v>1191816216.8241501</v>
      </c>
      <c r="BB185" s="5">
        <f>IF($B184&lt;=Tabla5[[#This Row],[INVERSIONES FCI]],+Tabla5[[#This Row],[INVERSIONES FCI]]-BB184,Tabla5[[#This Row],[INVERSIONES FCI]])</f>
        <v>1191816216.8241501</v>
      </c>
      <c r="BC185" s="5">
        <f>IF($B184&lt;=Tabla5[[#This Row],[INVERSIONES FCI]],+Tabla5[[#This Row],[INVERSIONES FCI]]-BC184,Tabla5[[#This Row],[INVERSIONES FCI]])</f>
        <v>1191816216.8241501</v>
      </c>
      <c r="BD185" s="5">
        <f>IF($B184&lt;=Tabla5[[#This Row],[INVERSIONES FCI]],+Tabla5[[#This Row],[INVERSIONES FCI]]-BD184,Tabla5[[#This Row],[INVERSIONES FCI]])</f>
        <v>1191816216.8241501</v>
      </c>
      <c r="BE185" s="5">
        <f>IF($B184&lt;=Tabla5[[#This Row],[INVERSIONES FCI]],+Tabla5[[#This Row],[INVERSIONES FCI]]-BE184,Tabla5[[#This Row],[INVERSIONES FCI]])</f>
        <v>1191816216.8241501</v>
      </c>
      <c r="BF185" s="5">
        <f>IF($B184&lt;=Tabla5[[#This Row],[INVERSIONES FCI]],+Tabla5[[#This Row],[INVERSIONES FCI]]-BF184,Tabla5[[#This Row],[INVERSIONES FCI]])</f>
        <v>1191816216.8241501</v>
      </c>
      <c r="BG185" s="5">
        <f>IF($B184&lt;=Tabla5[[#This Row],[INVERSIONES FCI]],+Tabla5[[#This Row],[INVERSIONES FCI]]-BG184,Tabla5[[#This Row],[INVERSIONES FCI]])</f>
        <v>1191816216.8241501</v>
      </c>
      <c r="BH185" s="5">
        <f>IF($B184&lt;=Tabla5[[#This Row],[INVERSIONES FCI]],+Tabla5[[#This Row],[INVERSIONES FCI]]-BH184,Tabla5[[#This Row],[INVERSIONES FCI]])</f>
        <v>1191816216.8241501</v>
      </c>
      <c r="BI185" s="5">
        <f>IF($B184&lt;=Tabla5[[#This Row],[INVERSIONES FCI]],+Tabla5[[#This Row],[INVERSIONES FCI]]-BI184,Tabla5[[#This Row],[INVERSIONES FCI]])</f>
        <v>1191816216.8241501</v>
      </c>
      <c r="BJ185" s="5">
        <f>IF($B184&lt;=Tabla5[[#This Row],[INVERSIONES FCI]],+Tabla5[[#This Row],[INVERSIONES FCI]]-BJ184,Tabla5[[#This Row],[INVERSIONES FCI]])</f>
        <v>1191816216.8241501</v>
      </c>
      <c r="BK185" s="5">
        <f>IF($B184&lt;=Tabla5[[#This Row],[INVERSIONES FCI]],+Tabla5[[#This Row],[INVERSIONES FCI]]-BK184,Tabla5[[#This Row],[INVERSIONES FCI]])</f>
        <v>1191816216.8241501</v>
      </c>
      <c r="BL185" s="5">
        <f>IF($B184&lt;=Tabla5[[#This Row],[INVERSIONES FCI]],+Tabla5[[#This Row],[INVERSIONES FCI]]-BL184,Tabla5[[#This Row],[INVERSIONES FCI]])</f>
        <v>1191816216.8241501</v>
      </c>
      <c r="BM185" s="5">
        <f>IF($B184&lt;=Tabla5[[#This Row],[INVERSIONES FCI]],+Tabla5[[#This Row],[INVERSIONES FCI]]-BM184,Tabla5[[#This Row],[INVERSIONES FCI]])</f>
        <v>1191816216.8241501</v>
      </c>
      <c r="BN185" s="5">
        <f>IF($B184&lt;=Tabla5[[#This Row],[INVERSIONES FCI]],+Tabla5[[#This Row],[INVERSIONES FCI]]-BN184,Tabla5[[#This Row],[INVERSIONES FCI]])</f>
        <v>1191816216.8241501</v>
      </c>
      <c r="BO185" s="5">
        <f>IF($B184&lt;=Tabla5[[#This Row],[INVERSIONES FCI]],+Tabla5[[#This Row],[INVERSIONES FCI]]-BO184,Tabla5[[#This Row],[INVERSIONES FCI]])</f>
        <v>1191816216.8241501</v>
      </c>
      <c r="BP185" s="5">
        <f>IF($B184&lt;=Tabla5[[#This Row],[INVERSIONES FCI]],+Tabla5[[#This Row],[INVERSIONES FCI]]-BP184,Tabla5[[#This Row],[INVERSIONES FCI]])</f>
        <v>1191816216.8241501</v>
      </c>
      <c r="BQ185" s="5">
        <f>IF($B184&lt;=Tabla5[[#This Row],[INVERSIONES FCI]],+Tabla5[[#This Row],[INVERSIONES FCI]]-BQ184,Tabla5[[#This Row],[INVERSIONES FCI]])</f>
        <v>1191816216.8241501</v>
      </c>
      <c r="BR185" s="5">
        <f>IF($B184&lt;=Tabla5[[#This Row],[INVERSIONES FCI]],+Tabla5[[#This Row],[INVERSIONES FCI]]-BR184,Tabla5[[#This Row],[INVERSIONES FCI]])</f>
        <v>1191816216.8241501</v>
      </c>
      <c r="BS185" s="5">
        <f>IF($B184&lt;=Tabla5[[#This Row],[INVERSIONES FCI]],+Tabla5[[#This Row],[INVERSIONES FCI]]-BS184,Tabla5[[#This Row],[INVERSIONES FCI]])</f>
        <v>1191816216.8241501</v>
      </c>
      <c r="BT185" s="5">
        <f>IF($B184&lt;=Tabla5[[#This Row],[INVERSIONES FCI]],+Tabla5[[#This Row],[INVERSIONES FCI]]-BT184,Tabla5[[#This Row],[INVERSIONES FCI]])</f>
        <v>1191816216.8241501</v>
      </c>
      <c r="BU185" s="5">
        <f>IF($B184&lt;=Tabla5[[#This Row],[INVERSIONES FCI]],+Tabla5[[#This Row],[INVERSIONES FCI]]-BU184,Tabla5[[#This Row],[INVERSIONES FCI]])</f>
        <v>1191816216.8241501</v>
      </c>
      <c r="BV185" s="5">
        <f>IF($B184&lt;=Tabla5[[#This Row],[INVERSIONES FCI]],+Tabla5[[#This Row],[INVERSIONES FCI]]-BV184,Tabla5[[#This Row],[INVERSIONES FCI]])</f>
        <v>1191816216.8241501</v>
      </c>
      <c r="BW185" s="5">
        <f>IF($B184&lt;=Tabla5[[#This Row],[INVERSIONES FCI]],+Tabla5[[#This Row],[INVERSIONES FCI]]-BW184,Tabla5[[#This Row],[INVERSIONES FCI]])</f>
        <v>1191816216.8241501</v>
      </c>
      <c r="BX185" s="5">
        <f>IF($B184&lt;=Tabla5[[#This Row],[INVERSIONES FCI]],+Tabla5[[#This Row],[INVERSIONES FCI]]-BX184,Tabla5[[#This Row],[INVERSIONES FCI]])</f>
        <v>1191816216.8241501</v>
      </c>
      <c r="BY185" s="5">
        <f>IF($B184&lt;=Tabla5[[#This Row],[INVERSIONES FCI]],+Tabla5[[#This Row],[INVERSIONES FCI]]-BY184,Tabla5[[#This Row],[INVERSIONES FCI]])</f>
        <v>1191816216.8241501</v>
      </c>
      <c r="BZ185" s="5">
        <f>IF($B184&lt;=Tabla5[[#This Row],[INVERSIONES FCI]],+Tabla5[[#This Row],[INVERSIONES FCI]]-BZ184,Tabla5[[#This Row],[INVERSIONES FCI]])</f>
        <v>1191816216.8241501</v>
      </c>
      <c r="CA185" s="5">
        <f>IF($B184&lt;=Tabla5[[#This Row],[INVERSIONES FCI]],+Tabla5[[#This Row],[INVERSIONES FCI]]-CA184,Tabla5[[#This Row],[INVERSIONES FCI]])</f>
        <v>1191816216.8241501</v>
      </c>
      <c r="CB185" s="5">
        <f>IF($B184&lt;=Tabla5[[#This Row],[INVERSIONES FCI]],+Tabla5[[#This Row],[INVERSIONES FCI]]-CB184,Tabla5[[#This Row],[INVERSIONES FCI]])</f>
        <v>1191816216.8241501</v>
      </c>
      <c r="CC185" s="5">
        <f>IF($B184&lt;=Tabla5[[#This Row],[INVERSIONES FCI]],+Tabla5[[#This Row],[INVERSIONES FCI]]-CC184,Tabla5[[#This Row],[INVERSIONES FCI]])</f>
        <v>1191816216.8241501</v>
      </c>
      <c r="CD185" s="5">
        <f>IF($B184&lt;=Tabla5[[#This Row],[INVERSIONES FCI]],+Tabla5[[#This Row],[INVERSIONES FCI]]-CD184,Tabla5[[#This Row],[INVERSIONES FCI]])</f>
        <v>1191816216.8241501</v>
      </c>
      <c r="CE185" s="5">
        <f>IF($B184&lt;=Tabla5[[#This Row],[INVERSIONES FCI]],+Tabla5[[#This Row],[INVERSIONES FCI]]-CE184,Tabla5[[#This Row],[INVERSIONES FCI]])</f>
        <v>1191816216.8241501</v>
      </c>
      <c r="CF185" s="5">
        <f>IF($B184&lt;=Tabla5[[#This Row],[INVERSIONES FCI]],+Tabla5[[#This Row],[INVERSIONES FCI]]-CF184,Tabla5[[#This Row],[INVERSIONES FCI]])</f>
        <v>1191816216.8241501</v>
      </c>
      <c r="CG185" s="5">
        <f>IF($B184&lt;=Tabla5[[#This Row],[INVERSIONES FCI]],+Tabla5[[#This Row],[INVERSIONES FCI]]-CG184,Tabla5[[#This Row],[INVERSIONES FCI]])</f>
        <v>1191816216.8241501</v>
      </c>
      <c r="CH185" s="5">
        <f>IF($B184&lt;=Tabla5[[#This Row],[INVERSIONES FCI]],+Tabla5[[#This Row],[INVERSIONES FCI]]-CH184,Tabla5[[#This Row],[INVERSIONES FCI]])</f>
        <v>1191816216.8241501</v>
      </c>
      <c r="CI185" s="5">
        <f>IF($B184&lt;=Tabla5[[#This Row],[INVERSIONES FCI]],+Tabla5[[#This Row],[INVERSIONES FCI]]-CI184,Tabla5[[#This Row],[INVERSIONES FCI]])</f>
        <v>1191816216.8241501</v>
      </c>
      <c r="CJ185" s="5">
        <f>IF($B184&lt;=Tabla5[[#This Row],[INVERSIONES FCI]],+Tabla5[[#This Row],[INVERSIONES FCI]]-CJ184,Tabla5[[#This Row],[INVERSIONES FCI]])</f>
        <v>1191816216.8241501</v>
      </c>
      <c r="CK185" s="5">
        <f>IF($B184&lt;=Tabla5[[#This Row],[INVERSIONES FCI]],+Tabla5[[#This Row],[INVERSIONES FCI]]-CK184,Tabla5[[#This Row],[INVERSIONES FCI]])</f>
        <v>1191816216.8241501</v>
      </c>
      <c r="CL185" s="5">
        <f>IF($B184&lt;=Tabla5[[#This Row],[INVERSIONES FCI]],+Tabla5[[#This Row],[INVERSIONES FCI]]-CL184,Tabla5[[#This Row],[INVERSIONES FCI]])</f>
        <v>1191816216.8241501</v>
      </c>
      <c r="CM185" s="5">
        <f>IF($B184&lt;=Tabla5[[#This Row],[INVERSIONES FCI]],+Tabla5[[#This Row],[INVERSIONES FCI]]-CM184,Tabla5[[#This Row],[INVERSIONES FCI]])</f>
        <v>1191816216.8241501</v>
      </c>
      <c r="CN185" s="5">
        <f>IF($B184&lt;=Tabla5[[#This Row],[INVERSIONES FCI]],+Tabla5[[#This Row],[INVERSIONES FCI]]-CN184,Tabla5[[#This Row],[INVERSIONES FCI]])</f>
        <v>1191816216.8241501</v>
      </c>
      <c r="CO185" s="5">
        <f>IF($B184&lt;=Tabla5[[#This Row],[INVERSIONES FCI]],+Tabla5[[#This Row],[INVERSIONES FCI]]-CO184,Tabla5[[#This Row],[INVERSIONES FCI]])</f>
        <v>1191816216.8241501</v>
      </c>
      <c r="CP185" s="5">
        <f>IF($B184&lt;=Tabla5[[#This Row],[INVERSIONES FCI]],+Tabla5[[#This Row],[INVERSIONES FCI]]-CP184,Tabla5[[#This Row],[INVERSIONES FCI]])</f>
        <v>1191816216.8241501</v>
      </c>
      <c r="CQ185" s="5">
        <f>IF($B184&lt;=Tabla5[[#This Row],[INVERSIONES FCI]],+Tabla5[[#This Row],[INVERSIONES FCI]]-CQ184,Tabla5[[#This Row],[INVERSIONES FCI]])</f>
        <v>1191816216.8241501</v>
      </c>
      <c r="CR185" s="5">
        <f>IF($B184&lt;=Tabla5[[#This Row],[INVERSIONES FCI]],+Tabla5[[#This Row],[INVERSIONES FCI]]-CR184,Tabla5[[#This Row],[INVERSIONES FCI]])</f>
        <v>1191816216.8241501</v>
      </c>
      <c r="CS185" s="5">
        <f>IF($B184&lt;=Tabla5[[#This Row],[INVERSIONES FCI]],+Tabla5[[#This Row],[INVERSIONES FCI]]-CS184,Tabla5[[#This Row],[INVERSIONES FCI]])</f>
        <v>1191816216.8241501</v>
      </c>
      <c r="CT185" s="5">
        <f>IF($B184&lt;=Tabla5[[#This Row],[INVERSIONES FCI]],+Tabla5[[#This Row],[INVERSIONES FCI]]-CT184,Tabla5[[#This Row],[INVERSIONES FCI]])</f>
        <v>1191816216.8241501</v>
      </c>
      <c r="CU185" s="5">
        <f>IF($B184&lt;=Tabla5[[#This Row],[INVERSIONES FCI]],+Tabla5[[#This Row],[INVERSIONES FCI]]-CU184,Tabla5[[#This Row],[INVERSIONES FCI]])</f>
        <v>1191816216.8241501</v>
      </c>
      <c r="CV185" s="5">
        <f>IF($B184&lt;=Tabla5[[#This Row],[INVERSIONES FCI]],+Tabla5[[#This Row],[INVERSIONES FCI]]-CV184,Tabla5[[#This Row],[INVERSIONES FCI]])</f>
        <v>1191816216.8241501</v>
      </c>
      <c r="CW185" s="5">
        <f>IF($B184&lt;=Tabla5[[#This Row],[INVERSIONES FCI]],+Tabla5[[#This Row],[INVERSIONES FCI]]-CW184,Tabla5[[#This Row],[INVERSIONES FCI]])</f>
        <v>1191816216.8241501</v>
      </c>
      <c r="CX185" s="5">
        <f>IF($B184&lt;=Tabla5[[#This Row],[INVERSIONES FCI]],+Tabla5[[#This Row],[INVERSIONES FCI]]-CX184,Tabla5[[#This Row],[INVERSIONES FCI]])</f>
        <v>1191816216.8241501</v>
      </c>
      <c r="CY185" s="5">
        <f>IF($B184&lt;=Tabla5[[#This Row],[INVERSIONES FCI]],+Tabla5[[#This Row],[INVERSIONES FCI]]-CY184,Tabla5[[#This Row],[INVERSIONES FCI]])</f>
        <v>1191816216.8241501</v>
      </c>
      <c r="CZ185" s="5">
        <f>IF($B184&lt;=Tabla5[[#This Row],[INVERSIONES FCI]],+Tabla5[[#This Row],[INVERSIONES FCI]]-CZ184,Tabla5[[#This Row],[INVERSIONES FCI]])</f>
        <v>1191816216.8241501</v>
      </c>
      <c r="DA185" s="5">
        <f>IF($B184&lt;=Tabla5[[#This Row],[INVERSIONES FCI]],+Tabla5[[#This Row],[INVERSIONES FCI]]-DA184,Tabla5[[#This Row],[INVERSIONES FCI]])</f>
        <v>1191816216.8241501</v>
      </c>
      <c r="DB185" s="5">
        <f>IF($B184&lt;=Tabla5[[#This Row],[INVERSIONES FCI]],+Tabla5[[#This Row],[INVERSIONES FCI]]-DB184,Tabla5[[#This Row],[INVERSIONES FCI]])</f>
        <v>1191816216.8241501</v>
      </c>
      <c r="DC185" s="5">
        <f>IF($B184&lt;=Tabla5[[#This Row],[INVERSIONES FCI]],+Tabla5[[#This Row],[INVERSIONES FCI]]-DC184,Tabla5[[#This Row],[INVERSIONES FCI]])</f>
        <v>1191816216.8241501</v>
      </c>
      <c r="DD185" s="5">
        <f>IF($B184&lt;=Tabla5[[#This Row],[INVERSIONES FCI]],+Tabla5[[#This Row],[INVERSIONES FCI]]-DD184,Tabla5[[#This Row],[INVERSIONES FCI]])</f>
        <v>1191816216.8241501</v>
      </c>
      <c r="DE185" s="5">
        <f>IF($B184&lt;=Tabla5[[#This Row],[INVERSIONES FCI]],+Tabla5[[#This Row],[INVERSIONES FCI]]-DE184,Tabla5[[#This Row],[INVERSIONES FCI]])</f>
        <v>1191816216.8241501</v>
      </c>
      <c r="DF185" s="5">
        <f>IF($B184&lt;=Tabla5[[#This Row],[INVERSIONES FCI]],+Tabla5[[#This Row],[INVERSIONES FCI]]-DF184,Tabla5[[#This Row],[INVERSIONES FCI]])</f>
        <v>1191816216.8241501</v>
      </c>
      <c r="DG185" s="5">
        <f>IF($B184&lt;=Tabla5[[#This Row],[INVERSIONES FCI]],+Tabla5[[#This Row],[INVERSIONES FCI]]-DG184,Tabla5[[#This Row],[INVERSIONES FCI]])</f>
        <v>1191816216.8241501</v>
      </c>
      <c r="DH185" s="5">
        <f>IF($B184&lt;=Tabla5[[#This Row],[INVERSIONES FCI]],+Tabla5[[#This Row],[INVERSIONES FCI]]-DH184,Tabla5[[#This Row],[INVERSIONES FCI]])</f>
        <v>1191816216.8241501</v>
      </c>
      <c r="DI185" s="5">
        <f>IF($B184&lt;=Tabla5[[#This Row],[INVERSIONES FCI]],+Tabla5[[#This Row],[INVERSIONES FCI]]-DI184,Tabla5[[#This Row],[INVERSIONES FCI]])</f>
        <v>1191816216.8241501</v>
      </c>
      <c r="DJ185" s="5">
        <f>IF($B184&lt;=Tabla5[[#This Row],[INVERSIONES FCI]],+Tabla5[[#This Row],[INVERSIONES FCI]]-DJ184,Tabla5[[#This Row],[INVERSIONES FCI]])</f>
        <v>1191816216.8241501</v>
      </c>
      <c r="DK185" s="5">
        <f>IF($B184&lt;=Tabla5[[#This Row],[INVERSIONES FCI]],+Tabla5[[#This Row],[INVERSIONES FCI]]-DK184,Tabla5[[#This Row],[INVERSIONES FCI]])</f>
        <v>1191816216.8241501</v>
      </c>
      <c r="DL185" s="5"/>
      <c r="DM185" s="5"/>
      <c r="DN185" s="5"/>
      <c r="DO185" s="5"/>
      <c r="DP185" s="5"/>
      <c r="DQ185" s="5"/>
    </row>
    <row r="186" spans="1:121" ht="14.4">
      <c r="A186" s="12" t="s">
        <v>185</v>
      </c>
      <c r="B186" s="5">
        <f>HLOOKUP($A186,ESCENARIO[#All],7,FALSE)</f>
        <v>18291175143.093716</v>
      </c>
      <c r="C186" s="5">
        <f>IF($B185&lt;=Tabla5[[#This Row],[INVERSIONES FCI]],+Tabla5[[#This Row],[INVERSIONES FCI]]-C185,Tabla5[[#This Row],[INVERSIONES FCI]])</f>
        <v>18291175143.093716</v>
      </c>
      <c r="D186" s="5">
        <f>IF($B185&lt;=Tabla5[[#This Row],[INVERSIONES FCI]],+Tabla5[[#This Row],[INVERSIONES FCI]]-D185,Tabla5[[#This Row],[INVERSIONES FCI]])</f>
        <v>18291175143.093716</v>
      </c>
      <c r="E186" s="5">
        <f>IF($B185&lt;=Tabla5[[#This Row],[INVERSIONES FCI]],+Tabla5[[#This Row],[INVERSIONES FCI]]-E185,Tabla5[[#This Row],[INVERSIONES FCI]])</f>
        <v>18291175143.093716</v>
      </c>
      <c r="F186" s="5">
        <f>IF($B185&lt;=Tabla5[[#This Row],[INVERSIONES FCI]],+Tabla5[[#This Row],[INVERSIONES FCI]]-F185,Tabla5[[#This Row],[INVERSIONES FCI]])</f>
        <v>18291175143.093716</v>
      </c>
      <c r="G186" s="5">
        <f>IF($B185&lt;=Tabla5[[#This Row],[INVERSIONES FCI]],+Tabla5[[#This Row],[INVERSIONES FCI]]-G185,Tabla5[[#This Row],[INVERSIONES FCI]])</f>
        <v>18291175143.093716</v>
      </c>
      <c r="H186" s="5">
        <f>IF($B185&lt;=Tabla5[[#This Row],[INVERSIONES FCI]],+Tabla5[[#This Row],[INVERSIONES FCI]]-H185,Tabla5[[#This Row],[INVERSIONES FCI]])</f>
        <v>18291175143.093716</v>
      </c>
      <c r="I186" s="5">
        <f>IF($B185&lt;=Tabla5[[#This Row],[INVERSIONES FCI]],+Tabla5[[#This Row],[INVERSIONES FCI]]-I185,Tabla5[[#This Row],[INVERSIONES FCI]])</f>
        <v>18291175143.093716</v>
      </c>
      <c r="J186" s="5">
        <f>IF($B185&lt;=Tabla5[[#This Row],[INVERSIONES FCI]],+Tabla5[[#This Row],[INVERSIONES FCI]]-J185,Tabla5[[#This Row],[INVERSIONES FCI]])</f>
        <v>18291175143.093716</v>
      </c>
      <c r="K186" s="5">
        <f>IF($B185&lt;=Tabla5[[#This Row],[INVERSIONES FCI]],+Tabla5[[#This Row],[INVERSIONES FCI]]-K185,Tabla5[[#This Row],[INVERSIONES FCI]])</f>
        <v>18291175143.093716</v>
      </c>
      <c r="L186" s="5">
        <f>IF($B185&lt;=Tabla5[[#This Row],[INVERSIONES FCI]],+Tabla5[[#This Row],[INVERSIONES FCI]]-L185,Tabla5[[#This Row],[INVERSIONES FCI]])</f>
        <v>18291175143.093716</v>
      </c>
      <c r="M186" s="5">
        <f>IF($B185&lt;=Tabla5[[#This Row],[INVERSIONES FCI]],+Tabla5[[#This Row],[INVERSIONES FCI]]-M185,Tabla5[[#This Row],[INVERSIONES FCI]])</f>
        <v>18291175143.093716</v>
      </c>
      <c r="N186" s="5">
        <f>IF($B185&lt;=Tabla5[[#This Row],[INVERSIONES FCI]],+Tabla5[[#This Row],[INVERSIONES FCI]]-N185,Tabla5[[#This Row],[INVERSIONES FCI]])</f>
        <v>18291175143.093716</v>
      </c>
      <c r="O186" s="5">
        <f>IF($B185&lt;=Tabla5[[#This Row],[INVERSIONES FCI]],+Tabla5[[#This Row],[INVERSIONES FCI]]-O185,Tabla5[[#This Row],[INVERSIONES FCI]])</f>
        <v>18291175143.093716</v>
      </c>
      <c r="P186" s="5">
        <f>IF($B185&lt;=Tabla5[[#This Row],[INVERSIONES FCI]],+Tabla5[[#This Row],[INVERSIONES FCI]]-P185,Tabla5[[#This Row],[INVERSIONES FCI]])</f>
        <v>18291175143.093716</v>
      </c>
      <c r="Q186" s="5">
        <f>IF($B185&lt;=Tabla5[[#This Row],[INVERSIONES FCI]],+Tabla5[[#This Row],[INVERSIONES FCI]]-Q185,Tabla5[[#This Row],[INVERSIONES FCI]])</f>
        <v>18291175143.093716</v>
      </c>
      <c r="R186" s="5">
        <f>IF($B185&lt;=Tabla5[[#This Row],[INVERSIONES FCI]],+Tabla5[[#This Row],[INVERSIONES FCI]]-R185,Tabla5[[#This Row],[INVERSIONES FCI]])</f>
        <v>18291175143.093716</v>
      </c>
      <c r="S186" s="5">
        <f>IF($B185&lt;=Tabla5[[#This Row],[INVERSIONES FCI]],+Tabla5[[#This Row],[INVERSIONES FCI]]-S185,Tabla5[[#This Row],[INVERSIONES FCI]])</f>
        <v>18291175143.093716</v>
      </c>
      <c r="T186" s="5">
        <f>IF($B185&lt;=Tabla5[[#This Row],[INVERSIONES FCI]],+Tabla5[[#This Row],[INVERSIONES FCI]]-T185,Tabla5[[#This Row],[INVERSIONES FCI]])</f>
        <v>18291175143.093716</v>
      </c>
      <c r="U186" s="5">
        <f>IF($B185&lt;=Tabla5[[#This Row],[INVERSIONES FCI]],+Tabla5[[#This Row],[INVERSIONES FCI]]-U185,Tabla5[[#This Row],[INVERSIONES FCI]])</f>
        <v>18291175143.093716</v>
      </c>
      <c r="V186" s="5">
        <f>IF($B185&lt;=Tabla5[[#This Row],[INVERSIONES FCI]],+Tabla5[[#This Row],[INVERSIONES FCI]]-V185,Tabla5[[#This Row],[INVERSIONES FCI]])</f>
        <v>18291175143.093716</v>
      </c>
      <c r="W186" s="5">
        <f>IF($B185&lt;=Tabla5[[#This Row],[INVERSIONES FCI]],+Tabla5[[#This Row],[INVERSIONES FCI]]-W185,Tabla5[[#This Row],[INVERSIONES FCI]])</f>
        <v>18291175143.093716</v>
      </c>
      <c r="X186" s="5">
        <f>IF($B185&lt;=Tabla5[[#This Row],[INVERSIONES FCI]],+Tabla5[[#This Row],[INVERSIONES FCI]]-X185,Tabla5[[#This Row],[INVERSIONES FCI]])</f>
        <v>18291175143.093716</v>
      </c>
      <c r="Y186" s="5">
        <f>IF($B185&lt;=Tabla5[[#This Row],[INVERSIONES FCI]],+Tabla5[[#This Row],[INVERSIONES FCI]]-Y185,Tabla5[[#This Row],[INVERSIONES FCI]])</f>
        <v>18291175143.093716</v>
      </c>
      <c r="Z186" s="5">
        <f>IF($B185&lt;=Tabla5[[#This Row],[INVERSIONES FCI]],+Tabla5[[#This Row],[INVERSIONES FCI]]-Z185,Tabla5[[#This Row],[INVERSIONES FCI]])</f>
        <v>18291175143.093716</v>
      </c>
      <c r="AA186" s="5">
        <f>IF($B185&lt;=Tabla5[[#This Row],[INVERSIONES FCI]],+Tabla5[[#This Row],[INVERSIONES FCI]]-AA185,Tabla5[[#This Row],[INVERSIONES FCI]])</f>
        <v>18291175143.093716</v>
      </c>
      <c r="AB186" s="5">
        <f>IF($B185&lt;=Tabla5[[#This Row],[INVERSIONES FCI]],+Tabla5[[#This Row],[INVERSIONES FCI]]-AB185,Tabla5[[#This Row],[INVERSIONES FCI]])</f>
        <v>18291175143.093716</v>
      </c>
      <c r="AC186" s="5">
        <f>IF($B185&lt;=Tabla5[[#This Row],[INVERSIONES FCI]],+Tabla5[[#This Row],[INVERSIONES FCI]]-AC185,Tabla5[[#This Row],[INVERSIONES FCI]])</f>
        <v>18291175143.093716</v>
      </c>
      <c r="AD186" s="5">
        <f>IF($B185&lt;=Tabla5[[#This Row],[INVERSIONES FCI]],+Tabla5[[#This Row],[INVERSIONES FCI]]-AD185,Tabla5[[#This Row],[INVERSIONES FCI]])</f>
        <v>18291175143.093716</v>
      </c>
      <c r="AE186" s="5">
        <f>IF($B185&lt;=Tabla5[[#This Row],[INVERSIONES FCI]],+Tabla5[[#This Row],[INVERSIONES FCI]]-AE185,Tabla5[[#This Row],[INVERSIONES FCI]])</f>
        <v>18291175143.093716</v>
      </c>
      <c r="AF186" s="5">
        <f>IF($B185&lt;=Tabla5[[#This Row],[INVERSIONES FCI]],+Tabla5[[#This Row],[INVERSIONES FCI]]-AF185,Tabla5[[#This Row],[INVERSIONES FCI]])</f>
        <v>18291175143.093716</v>
      </c>
      <c r="AG186" s="5">
        <f>IF($B185&lt;=Tabla5[[#This Row],[INVERSIONES FCI]],+Tabla5[[#This Row],[INVERSIONES FCI]]-AG185,Tabla5[[#This Row],[INVERSIONES FCI]])</f>
        <v>18291175143.093716</v>
      </c>
      <c r="AH186" s="5">
        <f>IF($B185&lt;=Tabla5[[#This Row],[INVERSIONES FCI]],+Tabla5[[#This Row],[INVERSIONES FCI]]-AH185,Tabla5[[#This Row],[INVERSIONES FCI]])</f>
        <v>18291175143.093716</v>
      </c>
      <c r="AI186" s="5">
        <f>IF($B185&lt;=Tabla5[[#This Row],[INVERSIONES FCI]],+Tabla5[[#This Row],[INVERSIONES FCI]]-AI185,Tabla5[[#This Row],[INVERSIONES FCI]])</f>
        <v>18291175143.093716</v>
      </c>
      <c r="AJ186" s="5">
        <f>IF($B185&lt;=Tabla5[[#This Row],[INVERSIONES FCI]],+Tabla5[[#This Row],[INVERSIONES FCI]]-AJ185,Tabla5[[#This Row],[INVERSIONES FCI]])</f>
        <v>18291175143.093716</v>
      </c>
      <c r="AK186" s="5">
        <f>IF($B185&lt;=Tabla5[[#This Row],[INVERSIONES FCI]],+Tabla5[[#This Row],[INVERSIONES FCI]]-AK185,Tabla5[[#This Row],[INVERSIONES FCI]])</f>
        <v>18291175143.093716</v>
      </c>
      <c r="AL186" s="5">
        <f>IF($B185&lt;=Tabla5[[#This Row],[INVERSIONES FCI]],+Tabla5[[#This Row],[INVERSIONES FCI]]-AL185,Tabla5[[#This Row],[INVERSIONES FCI]])</f>
        <v>18291175143.093716</v>
      </c>
      <c r="AM186" s="5">
        <f>IF($B185&lt;=Tabla5[[#This Row],[INVERSIONES FCI]],+Tabla5[[#This Row],[INVERSIONES FCI]]-AM185,Tabla5[[#This Row],[INVERSIONES FCI]])</f>
        <v>18291175143.093716</v>
      </c>
      <c r="AN186" s="5">
        <f>IF($B185&lt;=Tabla5[[#This Row],[INVERSIONES FCI]],+Tabla5[[#This Row],[INVERSIONES FCI]]-AN185,Tabla5[[#This Row],[INVERSIONES FCI]])</f>
        <v>18291175143.093716</v>
      </c>
      <c r="AO186" s="5">
        <f>IF($B185&lt;=Tabla5[[#This Row],[INVERSIONES FCI]],+Tabla5[[#This Row],[INVERSIONES FCI]]-AO185,Tabla5[[#This Row],[INVERSIONES FCI]])</f>
        <v>18291175143.093716</v>
      </c>
      <c r="AP186" s="5">
        <f>IF($B185&lt;=Tabla5[[#This Row],[INVERSIONES FCI]],+Tabla5[[#This Row],[INVERSIONES FCI]]-AP185,Tabla5[[#This Row],[INVERSIONES FCI]])</f>
        <v>18291175143.093716</v>
      </c>
      <c r="AQ186" s="5">
        <f>IF($B185&lt;=Tabla5[[#This Row],[INVERSIONES FCI]],+Tabla5[[#This Row],[INVERSIONES FCI]]-AQ185,Tabla5[[#This Row],[INVERSIONES FCI]])</f>
        <v>18291175143.093716</v>
      </c>
      <c r="AR186" s="5">
        <f>IF($B185&lt;=Tabla5[[#This Row],[INVERSIONES FCI]],+Tabla5[[#This Row],[INVERSIONES FCI]]-AR185,Tabla5[[#This Row],[INVERSIONES FCI]])</f>
        <v>18291175143.093716</v>
      </c>
      <c r="AS186" s="5">
        <f>IF($B185&lt;=Tabla5[[#This Row],[INVERSIONES FCI]],+Tabla5[[#This Row],[INVERSIONES FCI]]-AS185,Tabla5[[#This Row],[INVERSIONES FCI]])</f>
        <v>18291175143.093716</v>
      </c>
      <c r="AT186" s="5">
        <f>IF($B185&lt;=Tabla5[[#This Row],[INVERSIONES FCI]],+Tabla5[[#This Row],[INVERSIONES FCI]]-AT185,Tabla5[[#This Row],[INVERSIONES FCI]])</f>
        <v>18291175143.093716</v>
      </c>
      <c r="AU186" s="5">
        <f>IF($B185&lt;=Tabla5[[#This Row],[INVERSIONES FCI]],+Tabla5[[#This Row],[INVERSIONES FCI]]-AU185,Tabla5[[#This Row],[INVERSIONES FCI]])</f>
        <v>18291175143.093716</v>
      </c>
      <c r="AV186" s="5">
        <f>IF($B185&lt;=Tabla5[[#This Row],[INVERSIONES FCI]],+Tabla5[[#This Row],[INVERSIONES FCI]]-AV185,Tabla5[[#This Row],[INVERSIONES FCI]])</f>
        <v>18291175143.093716</v>
      </c>
      <c r="AW186" s="5">
        <f>IF($B185&lt;=Tabla5[[#This Row],[INVERSIONES FCI]],+Tabla5[[#This Row],[INVERSIONES FCI]]-AW185,Tabla5[[#This Row],[INVERSIONES FCI]])</f>
        <v>18291175143.093716</v>
      </c>
      <c r="AX186" s="5">
        <f>IF($B185&lt;=Tabla5[[#This Row],[INVERSIONES FCI]],+Tabla5[[#This Row],[INVERSIONES FCI]]-AX185,Tabla5[[#This Row],[INVERSIONES FCI]])</f>
        <v>18291175143.093716</v>
      </c>
      <c r="AY186" s="5">
        <f>IF($B185&lt;=Tabla5[[#This Row],[INVERSIONES FCI]],+Tabla5[[#This Row],[INVERSIONES FCI]]-AY185,Tabla5[[#This Row],[INVERSIONES FCI]])</f>
        <v>18291175143.093716</v>
      </c>
      <c r="AZ186" s="5">
        <f>IF($B185&lt;=Tabla5[[#This Row],[INVERSIONES FCI]],+Tabla5[[#This Row],[INVERSIONES FCI]]-AZ185,Tabla5[[#This Row],[INVERSIONES FCI]])</f>
        <v>18291175143.093716</v>
      </c>
      <c r="BA186" s="5">
        <f>IF($B185&lt;=Tabla5[[#This Row],[INVERSIONES FCI]],+Tabla5[[#This Row],[INVERSIONES FCI]]-BA185,Tabla5[[#This Row],[INVERSIONES FCI]])</f>
        <v>18291175143.093716</v>
      </c>
      <c r="BB186" s="5">
        <f>IF($B185&lt;=Tabla5[[#This Row],[INVERSIONES FCI]],+Tabla5[[#This Row],[INVERSIONES FCI]]-BB185,Tabla5[[#This Row],[INVERSIONES FCI]])</f>
        <v>18291175143.093716</v>
      </c>
      <c r="BC186" s="5">
        <f>IF($B185&lt;=Tabla5[[#This Row],[INVERSIONES FCI]],+Tabla5[[#This Row],[INVERSIONES FCI]]-BC185,Tabla5[[#This Row],[INVERSIONES FCI]])</f>
        <v>18291175143.093716</v>
      </c>
      <c r="BD186" s="5">
        <f>IF($B185&lt;=Tabla5[[#This Row],[INVERSIONES FCI]],+Tabla5[[#This Row],[INVERSIONES FCI]]-BD185,Tabla5[[#This Row],[INVERSIONES FCI]])</f>
        <v>18291175143.093716</v>
      </c>
      <c r="BE186" s="5">
        <f>IF($B185&lt;=Tabla5[[#This Row],[INVERSIONES FCI]],+Tabla5[[#This Row],[INVERSIONES FCI]]-BE185,Tabla5[[#This Row],[INVERSIONES FCI]])</f>
        <v>18291175143.093716</v>
      </c>
      <c r="BF186" s="5">
        <f>IF($B185&lt;=Tabla5[[#This Row],[INVERSIONES FCI]],+Tabla5[[#This Row],[INVERSIONES FCI]]-BF185,Tabla5[[#This Row],[INVERSIONES FCI]])</f>
        <v>18291175143.093716</v>
      </c>
      <c r="BG186" s="5">
        <f>IF($B185&lt;=Tabla5[[#This Row],[INVERSIONES FCI]],+Tabla5[[#This Row],[INVERSIONES FCI]]-BG185,Tabla5[[#This Row],[INVERSIONES FCI]])</f>
        <v>18291175143.093716</v>
      </c>
      <c r="BH186" s="5">
        <f>IF($B185&lt;=Tabla5[[#This Row],[INVERSIONES FCI]],+Tabla5[[#This Row],[INVERSIONES FCI]]-BH185,Tabla5[[#This Row],[INVERSIONES FCI]])</f>
        <v>18291175143.093716</v>
      </c>
      <c r="BI186" s="5">
        <f>IF($B185&lt;=Tabla5[[#This Row],[INVERSIONES FCI]],+Tabla5[[#This Row],[INVERSIONES FCI]]-BI185,Tabla5[[#This Row],[INVERSIONES FCI]])</f>
        <v>18291175143.093716</v>
      </c>
      <c r="BJ186" s="5">
        <f>IF($B185&lt;=Tabla5[[#This Row],[INVERSIONES FCI]],+Tabla5[[#This Row],[INVERSIONES FCI]]-BJ185,Tabla5[[#This Row],[INVERSIONES FCI]])</f>
        <v>18291175143.093716</v>
      </c>
      <c r="BK186" s="5">
        <f>IF($B185&lt;=Tabla5[[#This Row],[INVERSIONES FCI]],+Tabla5[[#This Row],[INVERSIONES FCI]]-BK185,Tabla5[[#This Row],[INVERSIONES FCI]])</f>
        <v>18291175143.093716</v>
      </c>
      <c r="BL186" s="5">
        <f>IF($B185&lt;=Tabla5[[#This Row],[INVERSIONES FCI]],+Tabla5[[#This Row],[INVERSIONES FCI]]-BL185,Tabla5[[#This Row],[INVERSIONES FCI]])</f>
        <v>18291175143.093716</v>
      </c>
      <c r="BM186" s="5">
        <f>IF($B185&lt;=Tabla5[[#This Row],[INVERSIONES FCI]],+Tabla5[[#This Row],[INVERSIONES FCI]]-BM185,Tabla5[[#This Row],[INVERSIONES FCI]])</f>
        <v>18291175143.093716</v>
      </c>
      <c r="BN186" s="5">
        <f>IF($B185&lt;=Tabla5[[#This Row],[INVERSIONES FCI]],+Tabla5[[#This Row],[INVERSIONES FCI]]-BN185,Tabla5[[#This Row],[INVERSIONES FCI]])</f>
        <v>18291175143.093716</v>
      </c>
      <c r="BO186" s="5">
        <f>IF($B185&lt;=Tabla5[[#This Row],[INVERSIONES FCI]],+Tabla5[[#This Row],[INVERSIONES FCI]]-BO185,Tabla5[[#This Row],[INVERSIONES FCI]])</f>
        <v>18291175143.093716</v>
      </c>
      <c r="BP186" s="5">
        <f>IF($B185&lt;=Tabla5[[#This Row],[INVERSIONES FCI]],+Tabla5[[#This Row],[INVERSIONES FCI]]-BP185,Tabla5[[#This Row],[INVERSIONES FCI]])</f>
        <v>18291175143.093716</v>
      </c>
      <c r="BQ186" s="5">
        <f>IF($B185&lt;=Tabla5[[#This Row],[INVERSIONES FCI]],+Tabla5[[#This Row],[INVERSIONES FCI]]-BQ185,Tabla5[[#This Row],[INVERSIONES FCI]])</f>
        <v>18291175143.093716</v>
      </c>
      <c r="BR186" s="5">
        <f>IF($B185&lt;=Tabla5[[#This Row],[INVERSIONES FCI]],+Tabla5[[#This Row],[INVERSIONES FCI]]-BR185,Tabla5[[#This Row],[INVERSIONES FCI]])</f>
        <v>18291175143.093716</v>
      </c>
      <c r="BS186" s="5">
        <f>IF($B185&lt;=Tabla5[[#This Row],[INVERSIONES FCI]],+Tabla5[[#This Row],[INVERSIONES FCI]]-BS185,Tabla5[[#This Row],[INVERSIONES FCI]])</f>
        <v>18291175143.093716</v>
      </c>
      <c r="BT186" s="5">
        <f>IF($B185&lt;=Tabla5[[#This Row],[INVERSIONES FCI]],+Tabla5[[#This Row],[INVERSIONES FCI]]-BT185,Tabla5[[#This Row],[INVERSIONES FCI]])</f>
        <v>18291175143.093716</v>
      </c>
      <c r="BU186" s="5">
        <f>IF($B185&lt;=Tabla5[[#This Row],[INVERSIONES FCI]],+Tabla5[[#This Row],[INVERSIONES FCI]]-BU185,Tabla5[[#This Row],[INVERSIONES FCI]])</f>
        <v>18291175143.093716</v>
      </c>
      <c r="BV186" s="5">
        <f>IF($B185&lt;=Tabla5[[#This Row],[INVERSIONES FCI]],+Tabla5[[#This Row],[INVERSIONES FCI]]-BV185,Tabla5[[#This Row],[INVERSIONES FCI]])</f>
        <v>18291175143.093716</v>
      </c>
      <c r="BW186" s="5">
        <f>IF($B185&lt;=Tabla5[[#This Row],[INVERSIONES FCI]],+Tabla5[[#This Row],[INVERSIONES FCI]]-BW185,Tabla5[[#This Row],[INVERSIONES FCI]])</f>
        <v>18291175143.093716</v>
      </c>
      <c r="BX186" s="5">
        <f>IF($B185&lt;=Tabla5[[#This Row],[INVERSIONES FCI]],+Tabla5[[#This Row],[INVERSIONES FCI]]-BX185,Tabla5[[#This Row],[INVERSIONES FCI]])</f>
        <v>18291175143.093716</v>
      </c>
      <c r="BY186" s="5">
        <f>IF($B185&lt;=Tabla5[[#This Row],[INVERSIONES FCI]],+Tabla5[[#This Row],[INVERSIONES FCI]]-BY185,Tabla5[[#This Row],[INVERSIONES FCI]])</f>
        <v>18291175143.093716</v>
      </c>
      <c r="BZ186" s="5">
        <f>IF($B185&lt;=Tabla5[[#This Row],[INVERSIONES FCI]],+Tabla5[[#This Row],[INVERSIONES FCI]]-BZ185,Tabla5[[#This Row],[INVERSIONES FCI]])</f>
        <v>18291175143.093716</v>
      </c>
      <c r="CA186" s="5">
        <f>IF($B185&lt;=Tabla5[[#This Row],[INVERSIONES FCI]],+Tabla5[[#This Row],[INVERSIONES FCI]]-CA185,Tabla5[[#This Row],[INVERSIONES FCI]])</f>
        <v>18291175143.093716</v>
      </c>
      <c r="CB186" s="5">
        <f>IF($B185&lt;=Tabla5[[#This Row],[INVERSIONES FCI]],+Tabla5[[#This Row],[INVERSIONES FCI]]-CB185,Tabla5[[#This Row],[INVERSIONES FCI]])</f>
        <v>18291175143.093716</v>
      </c>
      <c r="CC186" s="5">
        <f>IF($B185&lt;=Tabla5[[#This Row],[INVERSIONES FCI]],+Tabla5[[#This Row],[INVERSIONES FCI]]-CC185,Tabla5[[#This Row],[INVERSIONES FCI]])</f>
        <v>18291175143.093716</v>
      </c>
      <c r="CD186" s="5">
        <f>IF($B185&lt;=Tabla5[[#This Row],[INVERSIONES FCI]],+Tabla5[[#This Row],[INVERSIONES FCI]]-CD185,Tabla5[[#This Row],[INVERSIONES FCI]])</f>
        <v>18291175143.093716</v>
      </c>
      <c r="CE186" s="5">
        <f>IF($B185&lt;=Tabla5[[#This Row],[INVERSIONES FCI]],+Tabla5[[#This Row],[INVERSIONES FCI]]-CE185,Tabla5[[#This Row],[INVERSIONES FCI]])</f>
        <v>18291175143.093716</v>
      </c>
      <c r="CF186" s="5">
        <f>IF($B185&lt;=Tabla5[[#This Row],[INVERSIONES FCI]],+Tabla5[[#This Row],[INVERSIONES FCI]]-CF185,Tabla5[[#This Row],[INVERSIONES FCI]])</f>
        <v>18291175143.093716</v>
      </c>
      <c r="CG186" s="5">
        <f>IF($B185&lt;=Tabla5[[#This Row],[INVERSIONES FCI]],+Tabla5[[#This Row],[INVERSIONES FCI]]-CG185,Tabla5[[#This Row],[INVERSIONES FCI]])</f>
        <v>18291175143.093716</v>
      </c>
      <c r="CH186" s="5">
        <f>IF($B185&lt;=Tabla5[[#This Row],[INVERSIONES FCI]],+Tabla5[[#This Row],[INVERSIONES FCI]]-CH185,Tabla5[[#This Row],[INVERSIONES FCI]])</f>
        <v>18291175143.093716</v>
      </c>
      <c r="CI186" s="5">
        <f>IF($B185&lt;=Tabla5[[#This Row],[INVERSIONES FCI]],+Tabla5[[#This Row],[INVERSIONES FCI]]-CI185,Tabla5[[#This Row],[INVERSIONES FCI]])</f>
        <v>18291175143.093716</v>
      </c>
      <c r="CJ186" s="5">
        <f>IF($B185&lt;=Tabla5[[#This Row],[INVERSIONES FCI]],+Tabla5[[#This Row],[INVERSIONES FCI]]-CJ185,Tabla5[[#This Row],[INVERSIONES FCI]])</f>
        <v>18291175143.093716</v>
      </c>
      <c r="CK186" s="5">
        <f>IF($B185&lt;=Tabla5[[#This Row],[INVERSIONES FCI]],+Tabla5[[#This Row],[INVERSIONES FCI]]-CK185,Tabla5[[#This Row],[INVERSIONES FCI]])</f>
        <v>18291175143.093716</v>
      </c>
      <c r="CL186" s="5">
        <f>IF($B185&lt;=Tabla5[[#This Row],[INVERSIONES FCI]],+Tabla5[[#This Row],[INVERSIONES FCI]]-CL185,Tabla5[[#This Row],[INVERSIONES FCI]])</f>
        <v>18291175143.093716</v>
      </c>
      <c r="CM186" s="5">
        <f>IF($B185&lt;=Tabla5[[#This Row],[INVERSIONES FCI]],+Tabla5[[#This Row],[INVERSIONES FCI]]-CM185,Tabla5[[#This Row],[INVERSIONES FCI]])</f>
        <v>18291175143.093716</v>
      </c>
      <c r="CN186" s="5">
        <f>IF($B185&lt;=Tabla5[[#This Row],[INVERSIONES FCI]],+Tabla5[[#This Row],[INVERSIONES FCI]]-CN185,Tabla5[[#This Row],[INVERSIONES FCI]])</f>
        <v>18291175143.093716</v>
      </c>
      <c r="CO186" s="5">
        <f>IF($B185&lt;=Tabla5[[#This Row],[INVERSIONES FCI]],+Tabla5[[#This Row],[INVERSIONES FCI]]-CO185,Tabla5[[#This Row],[INVERSIONES FCI]])</f>
        <v>18291175143.093716</v>
      </c>
      <c r="CP186" s="5">
        <f>IF($B185&lt;=Tabla5[[#This Row],[INVERSIONES FCI]],+Tabla5[[#This Row],[INVERSIONES FCI]]-CP185,Tabla5[[#This Row],[INVERSIONES FCI]])</f>
        <v>18291175143.093716</v>
      </c>
      <c r="CQ186" s="5">
        <f>IF($B185&lt;=Tabla5[[#This Row],[INVERSIONES FCI]],+Tabla5[[#This Row],[INVERSIONES FCI]]-CQ185,Tabla5[[#This Row],[INVERSIONES FCI]])</f>
        <v>18291175143.093716</v>
      </c>
      <c r="CR186" s="5">
        <f>IF($B185&lt;=Tabla5[[#This Row],[INVERSIONES FCI]],+Tabla5[[#This Row],[INVERSIONES FCI]]-CR185,Tabla5[[#This Row],[INVERSIONES FCI]])</f>
        <v>18291175143.093716</v>
      </c>
      <c r="CS186" s="5">
        <f>IF($B185&lt;=Tabla5[[#This Row],[INVERSIONES FCI]],+Tabla5[[#This Row],[INVERSIONES FCI]]-CS185,Tabla5[[#This Row],[INVERSIONES FCI]])</f>
        <v>18291175143.093716</v>
      </c>
      <c r="CT186" s="5">
        <f>IF($B185&lt;=Tabla5[[#This Row],[INVERSIONES FCI]],+Tabla5[[#This Row],[INVERSIONES FCI]]-CT185,Tabla5[[#This Row],[INVERSIONES FCI]])</f>
        <v>18291175143.093716</v>
      </c>
      <c r="CU186" s="5">
        <f>IF($B185&lt;=Tabla5[[#This Row],[INVERSIONES FCI]],+Tabla5[[#This Row],[INVERSIONES FCI]]-CU185,Tabla5[[#This Row],[INVERSIONES FCI]])</f>
        <v>18291175143.093716</v>
      </c>
      <c r="CV186" s="5">
        <f>IF($B185&lt;=Tabla5[[#This Row],[INVERSIONES FCI]],+Tabla5[[#This Row],[INVERSIONES FCI]]-CV185,Tabla5[[#This Row],[INVERSIONES FCI]])</f>
        <v>18291175143.093716</v>
      </c>
      <c r="CW186" s="5">
        <f>IF($B185&lt;=Tabla5[[#This Row],[INVERSIONES FCI]],+Tabla5[[#This Row],[INVERSIONES FCI]]-CW185,Tabla5[[#This Row],[INVERSIONES FCI]])</f>
        <v>18291175143.093716</v>
      </c>
      <c r="CX186" s="5">
        <f>IF($B185&lt;=Tabla5[[#This Row],[INVERSIONES FCI]],+Tabla5[[#This Row],[INVERSIONES FCI]]-CX185,Tabla5[[#This Row],[INVERSIONES FCI]])</f>
        <v>18291175143.093716</v>
      </c>
      <c r="CY186" s="5">
        <f>IF($B185&lt;=Tabla5[[#This Row],[INVERSIONES FCI]],+Tabla5[[#This Row],[INVERSIONES FCI]]-CY185,Tabla5[[#This Row],[INVERSIONES FCI]])</f>
        <v>18291175143.093716</v>
      </c>
      <c r="CZ186" s="5">
        <f>IF($B185&lt;=Tabla5[[#This Row],[INVERSIONES FCI]],+Tabla5[[#This Row],[INVERSIONES FCI]]-CZ185,Tabla5[[#This Row],[INVERSIONES FCI]])</f>
        <v>18291175143.093716</v>
      </c>
      <c r="DA186" s="5">
        <f>IF($B185&lt;=Tabla5[[#This Row],[INVERSIONES FCI]],+Tabla5[[#This Row],[INVERSIONES FCI]]-DA185,Tabla5[[#This Row],[INVERSIONES FCI]])</f>
        <v>18291175143.093716</v>
      </c>
      <c r="DB186" s="5">
        <f>IF($B185&lt;=Tabla5[[#This Row],[INVERSIONES FCI]],+Tabla5[[#This Row],[INVERSIONES FCI]]-DB185,Tabla5[[#This Row],[INVERSIONES FCI]])</f>
        <v>18291175143.093716</v>
      </c>
      <c r="DC186" s="5">
        <f>IF($B185&lt;=Tabla5[[#This Row],[INVERSIONES FCI]],+Tabla5[[#This Row],[INVERSIONES FCI]]-DC185,Tabla5[[#This Row],[INVERSIONES FCI]])</f>
        <v>18291175143.093716</v>
      </c>
      <c r="DD186" s="5">
        <f>IF($B185&lt;=Tabla5[[#This Row],[INVERSIONES FCI]],+Tabla5[[#This Row],[INVERSIONES FCI]]-DD185,Tabla5[[#This Row],[INVERSIONES FCI]])</f>
        <v>18291175143.093716</v>
      </c>
      <c r="DE186" s="5">
        <f>IF($B185&lt;=Tabla5[[#This Row],[INVERSIONES FCI]],+Tabla5[[#This Row],[INVERSIONES FCI]]-DE185,Tabla5[[#This Row],[INVERSIONES FCI]])</f>
        <v>18291175143.093716</v>
      </c>
      <c r="DF186" s="5">
        <f>IF($B185&lt;=Tabla5[[#This Row],[INVERSIONES FCI]],+Tabla5[[#This Row],[INVERSIONES FCI]]-DF185,Tabla5[[#This Row],[INVERSIONES FCI]])</f>
        <v>18291175143.093716</v>
      </c>
      <c r="DG186" s="5">
        <f>IF($B185&lt;=Tabla5[[#This Row],[INVERSIONES FCI]],+Tabla5[[#This Row],[INVERSIONES FCI]]-DG185,Tabla5[[#This Row],[INVERSIONES FCI]])</f>
        <v>18291175143.093716</v>
      </c>
      <c r="DH186" s="5">
        <f>IF($B185&lt;=Tabla5[[#This Row],[INVERSIONES FCI]],+Tabla5[[#This Row],[INVERSIONES FCI]]-DH185,Tabla5[[#This Row],[INVERSIONES FCI]])</f>
        <v>18291175143.093716</v>
      </c>
      <c r="DI186" s="5">
        <f>IF($B185&lt;=Tabla5[[#This Row],[INVERSIONES FCI]],+Tabla5[[#This Row],[INVERSIONES FCI]]-DI185,Tabla5[[#This Row],[INVERSIONES FCI]])</f>
        <v>18291175143.093716</v>
      </c>
      <c r="DJ186" s="5">
        <f>IF($B185&lt;=Tabla5[[#This Row],[INVERSIONES FCI]],+Tabla5[[#This Row],[INVERSIONES FCI]]-DJ185,Tabla5[[#This Row],[INVERSIONES FCI]])</f>
        <v>18291175143.093716</v>
      </c>
      <c r="DK186" s="5">
        <f>IF($B185&lt;=Tabla5[[#This Row],[INVERSIONES FCI]],+Tabla5[[#This Row],[INVERSIONES FCI]]-DK185,Tabla5[[#This Row],[INVERSIONES FCI]])</f>
        <v>18291175143.093716</v>
      </c>
      <c r="DL186" s="5"/>
      <c r="DM186" s="5"/>
      <c r="DN186" s="5"/>
      <c r="DO186" s="5"/>
      <c r="DP186" s="5"/>
      <c r="DQ186" s="5"/>
    </row>
    <row r="187" spans="1:121" ht="14.4">
      <c r="A187" s="12" t="s">
        <v>186</v>
      </c>
      <c r="B187" s="5">
        <f>HLOOKUP($A187,ESCENARIO[#All],7,FALSE)</f>
        <v>19236039350.024837</v>
      </c>
      <c r="C187" s="5">
        <f>IF($B186&lt;=Tabla5[[#This Row],[INVERSIONES FCI]],+Tabla5[[#This Row],[INVERSIONES FCI]]-C186,Tabla5[[#This Row],[INVERSIONES FCI]])</f>
        <v>944864206.93112183</v>
      </c>
      <c r="D187" s="5">
        <f>IF($B186&lt;=Tabla5[[#This Row],[INVERSIONES FCI]],+Tabla5[[#This Row],[INVERSIONES FCI]]-D186,Tabla5[[#This Row],[INVERSIONES FCI]])</f>
        <v>944864206.93112183</v>
      </c>
      <c r="E187" s="5">
        <f>IF($B186&lt;=Tabla5[[#This Row],[INVERSIONES FCI]],+Tabla5[[#This Row],[INVERSIONES FCI]]-E186,Tabla5[[#This Row],[INVERSIONES FCI]])</f>
        <v>944864206.93112183</v>
      </c>
      <c r="F187" s="5">
        <f>IF($B186&lt;=Tabla5[[#This Row],[INVERSIONES FCI]],+Tabla5[[#This Row],[INVERSIONES FCI]]-F186,Tabla5[[#This Row],[INVERSIONES FCI]])</f>
        <v>944864206.93112183</v>
      </c>
      <c r="G187" s="5">
        <f>IF($B186&lt;=Tabla5[[#This Row],[INVERSIONES FCI]],+Tabla5[[#This Row],[INVERSIONES FCI]]-G186,Tabla5[[#This Row],[INVERSIONES FCI]])</f>
        <v>944864206.93112183</v>
      </c>
      <c r="H187" s="5">
        <f>IF($B186&lt;=Tabla5[[#This Row],[INVERSIONES FCI]],+Tabla5[[#This Row],[INVERSIONES FCI]]-H186,Tabla5[[#This Row],[INVERSIONES FCI]])</f>
        <v>944864206.93112183</v>
      </c>
      <c r="I187" s="5">
        <f>IF($B186&lt;=Tabla5[[#This Row],[INVERSIONES FCI]],+Tabla5[[#This Row],[INVERSIONES FCI]]-I186,Tabla5[[#This Row],[INVERSIONES FCI]])</f>
        <v>944864206.93112183</v>
      </c>
      <c r="J187" s="5">
        <f>IF($B186&lt;=Tabla5[[#This Row],[INVERSIONES FCI]],+Tabla5[[#This Row],[INVERSIONES FCI]]-J186,Tabla5[[#This Row],[INVERSIONES FCI]])</f>
        <v>944864206.93112183</v>
      </c>
      <c r="K187" s="5">
        <f>IF($B186&lt;=Tabla5[[#This Row],[INVERSIONES FCI]],+Tabla5[[#This Row],[INVERSIONES FCI]]-K186,Tabla5[[#This Row],[INVERSIONES FCI]])</f>
        <v>944864206.93112183</v>
      </c>
      <c r="L187" s="5">
        <f>IF($B186&lt;=Tabla5[[#This Row],[INVERSIONES FCI]],+Tabla5[[#This Row],[INVERSIONES FCI]]-L186,Tabla5[[#This Row],[INVERSIONES FCI]])</f>
        <v>944864206.93112183</v>
      </c>
      <c r="M187" s="5">
        <f>IF($B186&lt;=Tabla5[[#This Row],[INVERSIONES FCI]],+Tabla5[[#This Row],[INVERSIONES FCI]]-M186,Tabla5[[#This Row],[INVERSIONES FCI]])</f>
        <v>944864206.93112183</v>
      </c>
      <c r="N187" s="5">
        <f>IF($B186&lt;=Tabla5[[#This Row],[INVERSIONES FCI]],+Tabla5[[#This Row],[INVERSIONES FCI]]-N186,Tabla5[[#This Row],[INVERSIONES FCI]])</f>
        <v>944864206.93112183</v>
      </c>
      <c r="O187" s="5">
        <f>IF($B186&lt;=Tabla5[[#This Row],[INVERSIONES FCI]],+Tabla5[[#This Row],[INVERSIONES FCI]]-O186,Tabla5[[#This Row],[INVERSIONES FCI]])</f>
        <v>944864206.93112183</v>
      </c>
      <c r="P187" s="5">
        <f>IF($B186&lt;=Tabla5[[#This Row],[INVERSIONES FCI]],+Tabla5[[#This Row],[INVERSIONES FCI]]-P186,Tabla5[[#This Row],[INVERSIONES FCI]])</f>
        <v>944864206.93112183</v>
      </c>
      <c r="Q187" s="5">
        <f>IF($B186&lt;=Tabla5[[#This Row],[INVERSIONES FCI]],+Tabla5[[#This Row],[INVERSIONES FCI]]-Q186,Tabla5[[#This Row],[INVERSIONES FCI]])</f>
        <v>944864206.93112183</v>
      </c>
      <c r="R187" s="5">
        <f>IF($B186&lt;=Tabla5[[#This Row],[INVERSIONES FCI]],+Tabla5[[#This Row],[INVERSIONES FCI]]-R186,Tabla5[[#This Row],[INVERSIONES FCI]])</f>
        <v>944864206.93112183</v>
      </c>
      <c r="S187" s="5">
        <f>IF($B186&lt;=Tabla5[[#This Row],[INVERSIONES FCI]],+Tabla5[[#This Row],[INVERSIONES FCI]]-S186,Tabla5[[#This Row],[INVERSIONES FCI]])</f>
        <v>944864206.93112183</v>
      </c>
      <c r="T187" s="5">
        <f>IF($B186&lt;=Tabla5[[#This Row],[INVERSIONES FCI]],+Tabla5[[#This Row],[INVERSIONES FCI]]-T186,Tabla5[[#This Row],[INVERSIONES FCI]])</f>
        <v>944864206.93112183</v>
      </c>
      <c r="U187" s="5">
        <f>IF($B186&lt;=Tabla5[[#This Row],[INVERSIONES FCI]],+Tabla5[[#This Row],[INVERSIONES FCI]]-U186,Tabla5[[#This Row],[INVERSIONES FCI]])</f>
        <v>944864206.93112183</v>
      </c>
      <c r="V187" s="5">
        <f>IF($B186&lt;=Tabla5[[#This Row],[INVERSIONES FCI]],+Tabla5[[#This Row],[INVERSIONES FCI]]-V186,Tabla5[[#This Row],[INVERSIONES FCI]])</f>
        <v>944864206.93112183</v>
      </c>
      <c r="W187" s="5">
        <f>IF($B186&lt;=Tabla5[[#This Row],[INVERSIONES FCI]],+Tabla5[[#This Row],[INVERSIONES FCI]]-W186,Tabla5[[#This Row],[INVERSIONES FCI]])</f>
        <v>944864206.93112183</v>
      </c>
      <c r="X187" s="5">
        <f>IF($B186&lt;=Tabla5[[#This Row],[INVERSIONES FCI]],+Tabla5[[#This Row],[INVERSIONES FCI]]-X186,Tabla5[[#This Row],[INVERSIONES FCI]])</f>
        <v>944864206.93112183</v>
      </c>
      <c r="Y187" s="5">
        <f>IF($B186&lt;=Tabla5[[#This Row],[INVERSIONES FCI]],+Tabla5[[#This Row],[INVERSIONES FCI]]-Y186,Tabla5[[#This Row],[INVERSIONES FCI]])</f>
        <v>944864206.93112183</v>
      </c>
      <c r="Z187" s="5">
        <f>IF($B186&lt;=Tabla5[[#This Row],[INVERSIONES FCI]],+Tabla5[[#This Row],[INVERSIONES FCI]]-Z186,Tabla5[[#This Row],[INVERSIONES FCI]])</f>
        <v>944864206.93112183</v>
      </c>
      <c r="AA187" s="5">
        <f>IF($B186&lt;=Tabla5[[#This Row],[INVERSIONES FCI]],+Tabla5[[#This Row],[INVERSIONES FCI]]-AA186,Tabla5[[#This Row],[INVERSIONES FCI]])</f>
        <v>944864206.93112183</v>
      </c>
      <c r="AB187" s="5">
        <f>IF($B186&lt;=Tabla5[[#This Row],[INVERSIONES FCI]],+Tabla5[[#This Row],[INVERSIONES FCI]]-AB186,Tabla5[[#This Row],[INVERSIONES FCI]])</f>
        <v>944864206.93112183</v>
      </c>
      <c r="AC187" s="5">
        <f>IF($B186&lt;=Tabla5[[#This Row],[INVERSIONES FCI]],+Tabla5[[#This Row],[INVERSIONES FCI]]-AC186,Tabla5[[#This Row],[INVERSIONES FCI]])</f>
        <v>944864206.93112183</v>
      </c>
      <c r="AD187" s="5">
        <f>IF($B186&lt;=Tabla5[[#This Row],[INVERSIONES FCI]],+Tabla5[[#This Row],[INVERSIONES FCI]]-AD186,Tabla5[[#This Row],[INVERSIONES FCI]])</f>
        <v>944864206.93112183</v>
      </c>
      <c r="AE187" s="5">
        <f>IF($B186&lt;=Tabla5[[#This Row],[INVERSIONES FCI]],+Tabla5[[#This Row],[INVERSIONES FCI]]-AE186,Tabla5[[#This Row],[INVERSIONES FCI]])</f>
        <v>944864206.93112183</v>
      </c>
      <c r="AF187" s="5">
        <f>IF($B186&lt;=Tabla5[[#This Row],[INVERSIONES FCI]],+Tabla5[[#This Row],[INVERSIONES FCI]]-AF186,Tabla5[[#This Row],[INVERSIONES FCI]])</f>
        <v>944864206.93112183</v>
      </c>
      <c r="AG187" s="5">
        <f>IF($B186&lt;=Tabla5[[#This Row],[INVERSIONES FCI]],+Tabla5[[#This Row],[INVERSIONES FCI]]-AG186,Tabla5[[#This Row],[INVERSIONES FCI]])</f>
        <v>944864206.93112183</v>
      </c>
      <c r="AH187" s="5">
        <f>IF($B186&lt;=Tabla5[[#This Row],[INVERSIONES FCI]],+Tabla5[[#This Row],[INVERSIONES FCI]]-AH186,Tabla5[[#This Row],[INVERSIONES FCI]])</f>
        <v>944864206.93112183</v>
      </c>
      <c r="AI187" s="5">
        <f>IF($B186&lt;=Tabla5[[#This Row],[INVERSIONES FCI]],+Tabla5[[#This Row],[INVERSIONES FCI]]-AI186,Tabla5[[#This Row],[INVERSIONES FCI]])</f>
        <v>944864206.93112183</v>
      </c>
      <c r="AJ187" s="5">
        <f>IF($B186&lt;=Tabla5[[#This Row],[INVERSIONES FCI]],+Tabla5[[#This Row],[INVERSIONES FCI]]-AJ186,Tabla5[[#This Row],[INVERSIONES FCI]])</f>
        <v>944864206.93112183</v>
      </c>
      <c r="AK187" s="5">
        <f>IF($B186&lt;=Tabla5[[#This Row],[INVERSIONES FCI]],+Tabla5[[#This Row],[INVERSIONES FCI]]-AK186,Tabla5[[#This Row],[INVERSIONES FCI]])</f>
        <v>944864206.93112183</v>
      </c>
      <c r="AL187" s="5">
        <f>IF($B186&lt;=Tabla5[[#This Row],[INVERSIONES FCI]],+Tabla5[[#This Row],[INVERSIONES FCI]]-AL186,Tabla5[[#This Row],[INVERSIONES FCI]])</f>
        <v>944864206.93112183</v>
      </c>
      <c r="AM187" s="5">
        <f>IF($B186&lt;=Tabla5[[#This Row],[INVERSIONES FCI]],+Tabla5[[#This Row],[INVERSIONES FCI]]-AM186,Tabla5[[#This Row],[INVERSIONES FCI]])</f>
        <v>944864206.93112183</v>
      </c>
      <c r="AN187" s="5">
        <f>IF($B186&lt;=Tabla5[[#This Row],[INVERSIONES FCI]],+Tabla5[[#This Row],[INVERSIONES FCI]]-AN186,Tabla5[[#This Row],[INVERSIONES FCI]])</f>
        <v>944864206.93112183</v>
      </c>
      <c r="AO187" s="5">
        <f>IF($B186&lt;=Tabla5[[#This Row],[INVERSIONES FCI]],+Tabla5[[#This Row],[INVERSIONES FCI]]-AO186,Tabla5[[#This Row],[INVERSIONES FCI]])</f>
        <v>944864206.93112183</v>
      </c>
      <c r="AP187" s="5">
        <f>IF($B186&lt;=Tabla5[[#This Row],[INVERSIONES FCI]],+Tabla5[[#This Row],[INVERSIONES FCI]]-AP186,Tabla5[[#This Row],[INVERSIONES FCI]])</f>
        <v>944864206.93112183</v>
      </c>
      <c r="AQ187" s="5">
        <f>IF($B186&lt;=Tabla5[[#This Row],[INVERSIONES FCI]],+Tabla5[[#This Row],[INVERSIONES FCI]]-AQ186,Tabla5[[#This Row],[INVERSIONES FCI]])</f>
        <v>944864206.93112183</v>
      </c>
      <c r="AR187" s="5">
        <f>IF($B186&lt;=Tabla5[[#This Row],[INVERSIONES FCI]],+Tabla5[[#This Row],[INVERSIONES FCI]]-AR186,Tabla5[[#This Row],[INVERSIONES FCI]])</f>
        <v>944864206.93112183</v>
      </c>
      <c r="AS187" s="5">
        <f>IF($B186&lt;=Tabla5[[#This Row],[INVERSIONES FCI]],+Tabla5[[#This Row],[INVERSIONES FCI]]-AS186,Tabla5[[#This Row],[INVERSIONES FCI]])</f>
        <v>944864206.93112183</v>
      </c>
      <c r="AT187" s="5">
        <f>IF($B186&lt;=Tabla5[[#This Row],[INVERSIONES FCI]],+Tabla5[[#This Row],[INVERSIONES FCI]]-AT186,Tabla5[[#This Row],[INVERSIONES FCI]])</f>
        <v>944864206.93112183</v>
      </c>
      <c r="AU187" s="5">
        <f>IF($B186&lt;=Tabla5[[#This Row],[INVERSIONES FCI]],+Tabla5[[#This Row],[INVERSIONES FCI]]-AU186,Tabla5[[#This Row],[INVERSIONES FCI]])</f>
        <v>944864206.93112183</v>
      </c>
      <c r="AV187" s="5">
        <f>IF($B186&lt;=Tabla5[[#This Row],[INVERSIONES FCI]],+Tabla5[[#This Row],[INVERSIONES FCI]]-AV186,Tabla5[[#This Row],[INVERSIONES FCI]])</f>
        <v>944864206.93112183</v>
      </c>
      <c r="AW187" s="5">
        <f>IF($B186&lt;=Tabla5[[#This Row],[INVERSIONES FCI]],+Tabla5[[#This Row],[INVERSIONES FCI]]-AW186,Tabla5[[#This Row],[INVERSIONES FCI]])</f>
        <v>944864206.93112183</v>
      </c>
      <c r="AX187" s="5">
        <f>IF($B186&lt;=Tabla5[[#This Row],[INVERSIONES FCI]],+Tabla5[[#This Row],[INVERSIONES FCI]]-AX186,Tabla5[[#This Row],[INVERSIONES FCI]])</f>
        <v>944864206.93112183</v>
      </c>
      <c r="AY187" s="5">
        <f>IF($B186&lt;=Tabla5[[#This Row],[INVERSIONES FCI]],+Tabla5[[#This Row],[INVERSIONES FCI]]-AY186,Tabla5[[#This Row],[INVERSIONES FCI]])</f>
        <v>944864206.93112183</v>
      </c>
      <c r="AZ187" s="5">
        <f>IF($B186&lt;=Tabla5[[#This Row],[INVERSIONES FCI]],+Tabla5[[#This Row],[INVERSIONES FCI]]-AZ186,Tabla5[[#This Row],[INVERSIONES FCI]])</f>
        <v>944864206.93112183</v>
      </c>
      <c r="BA187" s="5">
        <f>IF($B186&lt;=Tabla5[[#This Row],[INVERSIONES FCI]],+Tabla5[[#This Row],[INVERSIONES FCI]]-BA186,Tabla5[[#This Row],[INVERSIONES FCI]])</f>
        <v>944864206.93112183</v>
      </c>
      <c r="BB187" s="5">
        <f>IF($B186&lt;=Tabla5[[#This Row],[INVERSIONES FCI]],+Tabla5[[#This Row],[INVERSIONES FCI]]-BB186,Tabla5[[#This Row],[INVERSIONES FCI]])</f>
        <v>944864206.93112183</v>
      </c>
      <c r="BC187" s="5">
        <f>IF($B186&lt;=Tabla5[[#This Row],[INVERSIONES FCI]],+Tabla5[[#This Row],[INVERSIONES FCI]]-BC186,Tabla5[[#This Row],[INVERSIONES FCI]])</f>
        <v>944864206.93112183</v>
      </c>
      <c r="BD187" s="5">
        <f>IF($B186&lt;=Tabla5[[#This Row],[INVERSIONES FCI]],+Tabla5[[#This Row],[INVERSIONES FCI]]-BD186,Tabla5[[#This Row],[INVERSIONES FCI]])</f>
        <v>944864206.93112183</v>
      </c>
      <c r="BE187" s="5">
        <f>IF($B186&lt;=Tabla5[[#This Row],[INVERSIONES FCI]],+Tabla5[[#This Row],[INVERSIONES FCI]]-BE186,Tabla5[[#This Row],[INVERSIONES FCI]])</f>
        <v>944864206.93112183</v>
      </c>
      <c r="BF187" s="5">
        <f>IF($B186&lt;=Tabla5[[#This Row],[INVERSIONES FCI]],+Tabla5[[#This Row],[INVERSIONES FCI]]-BF186,Tabla5[[#This Row],[INVERSIONES FCI]])</f>
        <v>944864206.93112183</v>
      </c>
      <c r="BG187" s="5">
        <f>IF($B186&lt;=Tabla5[[#This Row],[INVERSIONES FCI]],+Tabla5[[#This Row],[INVERSIONES FCI]]-BG186,Tabla5[[#This Row],[INVERSIONES FCI]])</f>
        <v>944864206.93112183</v>
      </c>
      <c r="BH187" s="5">
        <f>IF($B186&lt;=Tabla5[[#This Row],[INVERSIONES FCI]],+Tabla5[[#This Row],[INVERSIONES FCI]]-BH186,Tabla5[[#This Row],[INVERSIONES FCI]])</f>
        <v>944864206.93112183</v>
      </c>
      <c r="BI187" s="5">
        <f>IF($B186&lt;=Tabla5[[#This Row],[INVERSIONES FCI]],+Tabla5[[#This Row],[INVERSIONES FCI]]-BI186,Tabla5[[#This Row],[INVERSIONES FCI]])</f>
        <v>944864206.93112183</v>
      </c>
      <c r="BJ187" s="5">
        <f>IF($B186&lt;=Tabla5[[#This Row],[INVERSIONES FCI]],+Tabla5[[#This Row],[INVERSIONES FCI]]-BJ186,Tabla5[[#This Row],[INVERSIONES FCI]])</f>
        <v>944864206.93112183</v>
      </c>
      <c r="BK187" s="5">
        <f>IF($B186&lt;=Tabla5[[#This Row],[INVERSIONES FCI]],+Tabla5[[#This Row],[INVERSIONES FCI]]-BK186,Tabla5[[#This Row],[INVERSIONES FCI]])</f>
        <v>944864206.93112183</v>
      </c>
      <c r="BL187" s="5">
        <f>IF($B186&lt;=Tabla5[[#This Row],[INVERSIONES FCI]],+Tabla5[[#This Row],[INVERSIONES FCI]]-BL186,Tabla5[[#This Row],[INVERSIONES FCI]])</f>
        <v>944864206.93112183</v>
      </c>
      <c r="BM187" s="5">
        <f>IF($B186&lt;=Tabla5[[#This Row],[INVERSIONES FCI]],+Tabla5[[#This Row],[INVERSIONES FCI]]-BM186,Tabla5[[#This Row],[INVERSIONES FCI]])</f>
        <v>944864206.93112183</v>
      </c>
      <c r="BN187" s="5">
        <f>IF($B186&lt;=Tabla5[[#This Row],[INVERSIONES FCI]],+Tabla5[[#This Row],[INVERSIONES FCI]]-BN186,Tabla5[[#This Row],[INVERSIONES FCI]])</f>
        <v>944864206.93112183</v>
      </c>
      <c r="BO187" s="5">
        <f>IF($B186&lt;=Tabla5[[#This Row],[INVERSIONES FCI]],+Tabla5[[#This Row],[INVERSIONES FCI]]-BO186,Tabla5[[#This Row],[INVERSIONES FCI]])</f>
        <v>944864206.93112183</v>
      </c>
      <c r="BP187" s="5">
        <f>IF($B186&lt;=Tabla5[[#This Row],[INVERSIONES FCI]],+Tabla5[[#This Row],[INVERSIONES FCI]]-BP186,Tabla5[[#This Row],[INVERSIONES FCI]])</f>
        <v>944864206.93112183</v>
      </c>
      <c r="BQ187" s="5">
        <f>IF($B186&lt;=Tabla5[[#This Row],[INVERSIONES FCI]],+Tabla5[[#This Row],[INVERSIONES FCI]]-BQ186,Tabla5[[#This Row],[INVERSIONES FCI]])</f>
        <v>944864206.93112183</v>
      </c>
      <c r="BR187" s="5">
        <f>IF($B186&lt;=Tabla5[[#This Row],[INVERSIONES FCI]],+Tabla5[[#This Row],[INVERSIONES FCI]]-BR186,Tabla5[[#This Row],[INVERSIONES FCI]])</f>
        <v>944864206.93112183</v>
      </c>
      <c r="BS187" s="5">
        <f>IF($B186&lt;=Tabla5[[#This Row],[INVERSIONES FCI]],+Tabla5[[#This Row],[INVERSIONES FCI]]-BS186,Tabla5[[#This Row],[INVERSIONES FCI]])</f>
        <v>944864206.93112183</v>
      </c>
      <c r="BT187" s="5">
        <f>IF($B186&lt;=Tabla5[[#This Row],[INVERSIONES FCI]],+Tabla5[[#This Row],[INVERSIONES FCI]]-BT186,Tabla5[[#This Row],[INVERSIONES FCI]])</f>
        <v>944864206.93112183</v>
      </c>
      <c r="BU187" s="5">
        <f>IF($B186&lt;=Tabla5[[#This Row],[INVERSIONES FCI]],+Tabla5[[#This Row],[INVERSIONES FCI]]-BU186,Tabla5[[#This Row],[INVERSIONES FCI]])</f>
        <v>944864206.93112183</v>
      </c>
      <c r="BV187" s="5">
        <f>IF($B186&lt;=Tabla5[[#This Row],[INVERSIONES FCI]],+Tabla5[[#This Row],[INVERSIONES FCI]]-BV186,Tabla5[[#This Row],[INVERSIONES FCI]])</f>
        <v>944864206.93112183</v>
      </c>
      <c r="BW187" s="5">
        <f>IF($B186&lt;=Tabla5[[#This Row],[INVERSIONES FCI]],+Tabla5[[#This Row],[INVERSIONES FCI]]-BW186,Tabla5[[#This Row],[INVERSIONES FCI]])</f>
        <v>944864206.93112183</v>
      </c>
      <c r="BX187" s="5">
        <f>IF($B186&lt;=Tabla5[[#This Row],[INVERSIONES FCI]],+Tabla5[[#This Row],[INVERSIONES FCI]]-BX186,Tabla5[[#This Row],[INVERSIONES FCI]])</f>
        <v>944864206.93112183</v>
      </c>
      <c r="BY187" s="5">
        <f>IF($B186&lt;=Tabla5[[#This Row],[INVERSIONES FCI]],+Tabla5[[#This Row],[INVERSIONES FCI]]-BY186,Tabla5[[#This Row],[INVERSIONES FCI]])</f>
        <v>944864206.93112183</v>
      </c>
      <c r="BZ187" s="5">
        <f>IF($B186&lt;=Tabla5[[#This Row],[INVERSIONES FCI]],+Tabla5[[#This Row],[INVERSIONES FCI]]-BZ186,Tabla5[[#This Row],[INVERSIONES FCI]])</f>
        <v>944864206.93112183</v>
      </c>
      <c r="CA187" s="5">
        <f>IF($B186&lt;=Tabla5[[#This Row],[INVERSIONES FCI]],+Tabla5[[#This Row],[INVERSIONES FCI]]-CA186,Tabla5[[#This Row],[INVERSIONES FCI]])</f>
        <v>944864206.93112183</v>
      </c>
      <c r="CB187" s="5">
        <f>IF($B186&lt;=Tabla5[[#This Row],[INVERSIONES FCI]],+Tabla5[[#This Row],[INVERSIONES FCI]]-CB186,Tabla5[[#This Row],[INVERSIONES FCI]])</f>
        <v>944864206.93112183</v>
      </c>
      <c r="CC187" s="5">
        <f>IF($B186&lt;=Tabla5[[#This Row],[INVERSIONES FCI]],+Tabla5[[#This Row],[INVERSIONES FCI]]-CC186,Tabla5[[#This Row],[INVERSIONES FCI]])</f>
        <v>944864206.93112183</v>
      </c>
      <c r="CD187" s="5">
        <f>IF($B186&lt;=Tabla5[[#This Row],[INVERSIONES FCI]],+Tabla5[[#This Row],[INVERSIONES FCI]]-CD186,Tabla5[[#This Row],[INVERSIONES FCI]])</f>
        <v>944864206.93112183</v>
      </c>
      <c r="CE187" s="5">
        <f>IF($B186&lt;=Tabla5[[#This Row],[INVERSIONES FCI]],+Tabla5[[#This Row],[INVERSIONES FCI]]-CE186,Tabla5[[#This Row],[INVERSIONES FCI]])</f>
        <v>944864206.93112183</v>
      </c>
      <c r="CF187" s="5">
        <f>IF($B186&lt;=Tabla5[[#This Row],[INVERSIONES FCI]],+Tabla5[[#This Row],[INVERSIONES FCI]]-CF186,Tabla5[[#This Row],[INVERSIONES FCI]])</f>
        <v>944864206.93112183</v>
      </c>
      <c r="CG187" s="5">
        <f>IF($B186&lt;=Tabla5[[#This Row],[INVERSIONES FCI]],+Tabla5[[#This Row],[INVERSIONES FCI]]-CG186,Tabla5[[#This Row],[INVERSIONES FCI]])</f>
        <v>944864206.93112183</v>
      </c>
      <c r="CH187" s="5">
        <f>IF($B186&lt;=Tabla5[[#This Row],[INVERSIONES FCI]],+Tabla5[[#This Row],[INVERSIONES FCI]]-CH186,Tabla5[[#This Row],[INVERSIONES FCI]])</f>
        <v>944864206.93112183</v>
      </c>
      <c r="CI187" s="5">
        <f>IF($B186&lt;=Tabla5[[#This Row],[INVERSIONES FCI]],+Tabla5[[#This Row],[INVERSIONES FCI]]-CI186,Tabla5[[#This Row],[INVERSIONES FCI]])</f>
        <v>944864206.93112183</v>
      </c>
      <c r="CJ187" s="5">
        <f>IF($B186&lt;=Tabla5[[#This Row],[INVERSIONES FCI]],+Tabla5[[#This Row],[INVERSIONES FCI]]-CJ186,Tabla5[[#This Row],[INVERSIONES FCI]])</f>
        <v>944864206.93112183</v>
      </c>
      <c r="CK187" s="5">
        <f>IF($B186&lt;=Tabla5[[#This Row],[INVERSIONES FCI]],+Tabla5[[#This Row],[INVERSIONES FCI]]-CK186,Tabla5[[#This Row],[INVERSIONES FCI]])</f>
        <v>944864206.93112183</v>
      </c>
      <c r="CL187" s="5">
        <f>IF($B186&lt;=Tabla5[[#This Row],[INVERSIONES FCI]],+Tabla5[[#This Row],[INVERSIONES FCI]]-CL186,Tabla5[[#This Row],[INVERSIONES FCI]])</f>
        <v>944864206.93112183</v>
      </c>
      <c r="CM187" s="5">
        <f>IF($B186&lt;=Tabla5[[#This Row],[INVERSIONES FCI]],+Tabla5[[#This Row],[INVERSIONES FCI]]-CM186,Tabla5[[#This Row],[INVERSIONES FCI]])</f>
        <v>944864206.93112183</v>
      </c>
      <c r="CN187" s="5">
        <f>IF($B186&lt;=Tabla5[[#This Row],[INVERSIONES FCI]],+Tabla5[[#This Row],[INVERSIONES FCI]]-CN186,Tabla5[[#This Row],[INVERSIONES FCI]])</f>
        <v>944864206.93112183</v>
      </c>
      <c r="CO187" s="5">
        <f>IF($B186&lt;=Tabla5[[#This Row],[INVERSIONES FCI]],+Tabla5[[#This Row],[INVERSIONES FCI]]-CO186,Tabla5[[#This Row],[INVERSIONES FCI]])</f>
        <v>944864206.93112183</v>
      </c>
      <c r="CP187" s="5">
        <f>IF($B186&lt;=Tabla5[[#This Row],[INVERSIONES FCI]],+Tabla5[[#This Row],[INVERSIONES FCI]]-CP186,Tabla5[[#This Row],[INVERSIONES FCI]])</f>
        <v>944864206.93112183</v>
      </c>
      <c r="CQ187" s="5">
        <f>IF($B186&lt;=Tabla5[[#This Row],[INVERSIONES FCI]],+Tabla5[[#This Row],[INVERSIONES FCI]]-CQ186,Tabla5[[#This Row],[INVERSIONES FCI]])</f>
        <v>944864206.93112183</v>
      </c>
      <c r="CR187" s="5">
        <f>IF($B186&lt;=Tabla5[[#This Row],[INVERSIONES FCI]],+Tabla5[[#This Row],[INVERSIONES FCI]]-CR186,Tabla5[[#This Row],[INVERSIONES FCI]])</f>
        <v>944864206.93112183</v>
      </c>
      <c r="CS187" s="5">
        <f>IF($B186&lt;=Tabla5[[#This Row],[INVERSIONES FCI]],+Tabla5[[#This Row],[INVERSIONES FCI]]-CS186,Tabla5[[#This Row],[INVERSIONES FCI]])</f>
        <v>944864206.93112183</v>
      </c>
      <c r="CT187" s="5">
        <f>IF($B186&lt;=Tabla5[[#This Row],[INVERSIONES FCI]],+Tabla5[[#This Row],[INVERSIONES FCI]]-CT186,Tabla5[[#This Row],[INVERSIONES FCI]])</f>
        <v>944864206.93112183</v>
      </c>
      <c r="CU187" s="5">
        <f>IF($B186&lt;=Tabla5[[#This Row],[INVERSIONES FCI]],+Tabla5[[#This Row],[INVERSIONES FCI]]-CU186,Tabla5[[#This Row],[INVERSIONES FCI]])</f>
        <v>944864206.93112183</v>
      </c>
      <c r="CV187" s="5">
        <f>IF($B186&lt;=Tabla5[[#This Row],[INVERSIONES FCI]],+Tabla5[[#This Row],[INVERSIONES FCI]]-CV186,Tabla5[[#This Row],[INVERSIONES FCI]])</f>
        <v>944864206.93112183</v>
      </c>
      <c r="CW187" s="5">
        <f>IF($B186&lt;=Tabla5[[#This Row],[INVERSIONES FCI]],+Tabla5[[#This Row],[INVERSIONES FCI]]-CW186,Tabla5[[#This Row],[INVERSIONES FCI]])</f>
        <v>944864206.93112183</v>
      </c>
      <c r="CX187" s="5">
        <f>IF($B186&lt;=Tabla5[[#This Row],[INVERSIONES FCI]],+Tabla5[[#This Row],[INVERSIONES FCI]]-CX186,Tabla5[[#This Row],[INVERSIONES FCI]])</f>
        <v>944864206.93112183</v>
      </c>
      <c r="CY187" s="5">
        <f>IF($B186&lt;=Tabla5[[#This Row],[INVERSIONES FCI]],+Tabla5[[#This Row],[INVERSIONES FCI]]-CY186,Tabla5[[#This Row],[INVERSIONES FCI]])</f>
        <v>944864206.93112183</v>
      </c>
      <c r="CZ187" s="5">
        <f>IF($B186&lt;=Tabla5[[#This Row],[INVERSIONES FCI]],+Tabla5[[#This Row],[INVERSIONES FCI]]-CZ186,Tabla5[[#This Row],[INVERSIONES FCI]])</f>
        <v>944864206.93112183</v>
      </c>
      <c r="DA187" s="5">
        <f>IF($B186&lt;=Tabla5[[#This Row],[INVERSIONES FCI]],+Tabla5[[#This Row],[INVERSIONES FCI]]-DA186,Tabla5[[#This Row],[INVERSIONES FCI]])</f>
        <v>944864206.93112183</v>
      </c>
      <c r="DB187" s="5">
        <f>IF($B186&lt;=Tabla5[[#This Row],[INVERSIONES FCI]],+Tabla5[[#This Row],[INVERSIONES FCI]]-DB186,Tabla5[[#This Row],[INVERSIONES FCI]])</f>
        <v>944864206.93112183</v>
      </c>
      <c r="DC187" s="5">
        <f>IF($B186&lt;=Tabla5[[#This Row],[INVERSIONES FCI]],+Tabla5[[#This Row],[INVERSIONES FCI]]-DC186,Tabla5[[#This Row],[INVERSIONES FCI]])</f>
        <v>944864206.93112183</v>
      </c>
      <c r="DD187" s="5">
        <f>IF($B186&lt;=Tabla5[[#This Row],[INVERSIONES FCI]],+Tabla5[[#This Row],[INVERSIONES FCI]]-DD186,Tabla5[[#This Row],[INVERSIONES FCI]])</f>
        <v>944864206.93112183</v>
      </c>
      <c r="DE187" s="5">
        <f>IF($B186&lt;=Tabla5[[#This Row],[INVERSIONES FCI]],+Tabla5[[#This Row],[INVERSIONES FCI]]-DE186,Tabla5[[#This Row],[INVERSIONES FCI]])</f>
        <v>944864206.93112183</v>
      </c>
      <c r="DF187" s="5">
        <f>IF($B186&lt;=Tabla5[[#This Row],[INVERSIONES FCI]],+Tabla5[[#This Row],[INVERSIONES FCI]]-DF186,Tabla5[[#This Row],[INVERSIONES FCI]])</f>
        <v>944864206.93112183</v>
      </c>
      <c r="DG187" s="5">
        <f>IF($B186&lt;=Tabla5[[#This Row],[INVERSIONES FCI]],+Tabla5[[#This Row],[INVERSIONES FCI]]-DG186,Tabla5[[#This Row],[INVERSIONES FCI]])</f>
        <v>944864206.93112183</v>
      </c>
      <c r="DH187" s="5">
        <f>IF($B186&lt;=Tabla5[[#This Row],[INVERSIONES FCI]],+Tabla5[[#This Row],[INVERSIONES FCI]]-DH186,Tabla5[[#This Row],[INVERSIONES FCI]])</f>
        <v>944864206.93112183</v>
      </c>
      <c r="DI187" s="5">
        <f>IF($B186&lt;=Tabla5[[#This Row],[INVERSIONES FCI]],+Tabla5[[#This Row],[INVERSIONES FCI]]-DI186,Tabla5[[#This Row],[INVERSIONES FCI]])</f>
        <v>944864206.93112183</v>
      </c>
      <c r="DJ187" s="5">
        <f>IF($B186&lt;=Tabla5[[#This Row],[INVERSIONES FCI]],+Tabla5[[#This Row],[INVERSIONES FCI]]-DJ186,Tabla5[[#This Row],[INVERSIONES FCI]])</f>
        <v>944864206.93112183</v>
      </c>
      <c r="DK187" s="5">
        <f>IF($B186&lt;=Tabla5[[#This Row],[INVERSIONES FCI]],+Tabla5[[#This Row],[INVERSIONES FCI]]-DK186,Tabla5[[#This Row],[INVERSIONES FCI]])</f>
        <v>944864206.93112183</v>
      </c>
      <c r="DL187" s="5"/>
      <c r="DM187" s="5"/>
      <c r="DN187" s="5"/>
      <c r="DO187" s="5"/>
      <c r="DP187" s="5"/>
      <c r="DQ187" s="5"/>
    </row>
    <row r="188" spans="1:121" ht="14.4">
      <c r="A188" s="12" t="s">
        <v>187</v>
      </c>
      <c r="B188" s="5">
        <f>HLOOKUP($A188,ESCENARIO[#All],7,FALSE)</f>
        <v>19774043179.104328</v>
      </c>
      <c r="C188" s="5">
        <f>IF($B187&lt;=Tabla5[[#This Row],[INVERSIONES FCI]],+Tabla5[[#This Row],[INVERSIONES FCI]]-C187,Tabla5[[#This Row],[INVERSIONES FCI]])</f>
        <v>18829178972.173206</v>
      </c>
      <c r="D188" s="5">
        <f>IF($B187&lt;=Tabla5[[#This Row],[INVERSIONES FCI]],+Tabla5[[#This Row],[INVERSIONES FCI]]-D187,Tabla5[[#This Row],[INVERSIONES FCI]])</f>
        <v>18829178972.173206</v>
      </c>
      <c r="E188" s="5">
        <f>IF($B187&lt;=Tabla5[[#This Row],[INVERSIONES FCI]],+Tabla5[[#This Row],[INVERSIONES FCI]]-E187,Tabla5[[#This Row],[INVERSIONES FCI]])</f>
        <v>18829178972.173206</v>
      </c>
      <c r="F188" s="5">
        <f>IF($B187&lt;=Tabla5[[#This Row],[INVERSIONES FCI]],+Tabla5[[#This Row],[INVERSIONES FCI]]-F187,Tabla5[[#This Row],[INVERSIONES FCI]])</f>
        <v>18829178972.173206</v>
      </c>
      <c r="G188" s="5">
        <f>IF($B187&lt;=Tabla5[[#This Row],[INVERSIONES FCI]],+Tabla5[[#This Row],[INVERSIONES FCI]]-G187,Tabla5[[#This Row],[INVERSIONES FCI]])</f>
        <v>18829178972.173206</v>
      </c>
      <c r="H188" s="5">
        <f>IF($B187&lt;=Tabla5[[#This Row],[INVERSIONES FCI]],+Tabla5[[#This Row],[INVERSIONES FCI]]-H187,Tabla5[[#This Row],[INVERSIONES FCI]])</f>
        <v>18829178972.173206</v>
      </c>
      <c r="I188" s="5">
        <f>IF($B187&lt;=Tabla5[[#This Row],[INVERSIONES FCI]],+Tabla5[[#This Row],[INVERSIONES FCI]]-I187,Tabla5[[#This Row],[INVERSIONES FCI]])</f>
        <v>18829178972.173206</v>
      </c>
      <c r="J188" s="5">
        <f>IF($B187&lt;=Tabla5[[#This Row],[INVERSIONES FCI]],+Tabla5[[#This Row],[INVERSIONES FCI]]-J187,Tabla5[[#This Row],[INVERSIONES FCI]])</f>
        <v>18829178972.173206</v>
      </c>
      <c r="K188" s="5">
        <f>IF($B187&lt;=Tabla5[[#This Row],[INVERSIONES FCI]],+Tabla5[[#This Row],[INVERSIONES FCI]]-K187,Tabla5[[#This Row],[INVERSIONES FCI]])</f>
        <v>18829178972.173206</v>
      </c>
      <c r="L188" s="5">
        <f>IF($B187&lt;=Tabla5[[#This Row],[INVERSIONES FCI]],+Tabla5[[#This Row],[INVERSIONES FCI]]-L187,Tabla5[[#This Row],[INVERSIONES FCI]])</f>
        <v>18829178972.173206</v>
      </c>
      <c r="M188" s="5">
        <f>IF($B187&lt;=Tabla5[[#This Row],[INVERSIONES FCI]],+Tabla5[[#This Row],[INVERSIONES FCI]]-M187,Tabla5[[#This Row],[INVERSIONES FCI]])</f>
        <v>18829178972.173206</v>
      </c>
      <c r="N188" s="5">
        <f>IF($B187&lt;=Tabla5[[#This Row],[INVERSIONES FCI]],+Tabla5[[#This Row],[INVERSIONES FCI]]-N187,Tabla5[[#This Row],[INVERSIONES FCI]])</f>
        <v>18829178972.173206</v>
      </c>
      <c r="O188" s="5">
        <f>IF($B187&lt;=Tabla5[[#This Row],[INVERSIONES FCI]],+Tabla5[[#This Row],[INVERSIONES FCI]]-O187,Tabla5[[#This Row],[INVERSIONES FCI]])</f>
        <v>18829178972.173206</v>
      </c>
      <c r="P188" s="5">
        <f>IF($B187&lt;=Tabla5[[#This Row],[INVERSIONES FCI]],+Tabla5[[#This Row],[INVERSIONES FCI]]-P187,Tabla5[[#This Row],[INVERSIONES FCI]])</f>
        <v>18829178972.173206</v>
      </c>
      <c r="Q188" s="5">
        <f>IF($B187&lt;=Tabla5[[#This Row],[INVERSIONES FCI]],+Tabla5[[#This Row],[INVERSIONES FCI]]-Q187,Tabla5[[#This Row],[INVERSIONES FCI]])</f>
        <v>18829178972.173206</v>
      </c>
      <c r="R188" s="5">
        <f>IF($B187&lt;=Tabla5[[#This Row],[INVERSIONES FCI]],+Tabla5[[#This Row],[INVERSIONES FCI]]-R187,Tabla5[[#This Row],[INVERSIONES FCI]])</f>
        <v>18829178972.173206</v>
      </c>
      <c r="S188" s="5">
        <f>IF($B187&lt;=Tabla5[[#This Row],[INVERSIONES FCI]],+Tabla5[[#This Row],[INVERSIONES FCI]]-S187,Tabla5[[#This Row],[INVERSIONES FCI]])</f>
        <v>18829178972.173206</v>
      </c>
      <c r="T188" s="5">
        <f>IF($B187&lt;=Tabla5[[#This Row],[INVERSIONES FCI]],+Tabla5[[#This Row],[INVERSIONES FCI]]-T187,Tabla5[[#This Row],[INVERSIONES FCI]])</f>
        <v>18829178972.173206</v>
      </c>
      <c r="U188" s="5">
        <f>IF($B187&lt;=Tabla5[[#This Row],[INVERSIONES FCI]],+Tabla5[[#This Row],[INVERSIONES FCI]]-U187,Tabla5[[#This Row],[INVERSIONES FCI]])</f>
        <v>18829178972.173206</v>
      </c>
      <c r="V188" s="5">
        <f>IF($B187&lt;=Tabla5[[#This Row],[INVERSIONES FCI]],+Tabla5[[#This Row],[INVERSIONES FCI]]-V187,Tabla5[[#This Row],[INVERSIONES FCI]])</f>
        <v>18829178972.173206</v>
      </c>
      <c r="W188" s="5">
        <f>IF($B187&lt;=Tabla5[[#This Row],[INVERSIONES FCI]],+Tabla5[[#This Row],[INVERSIONES FCI]]-W187,Tabla5[[#This Row],[INVERSIONES FCI]])</f>
        <v>18829178972.173206</v>
      </c>
      <c r="X188" s="5">
        <f>IF($B187&lt;=Tabla5[[#This Row],[INVERSIONES FCI]],+Tabla5[[#This Row],[INVERSIONES FCI]]-X187,Tabla5[[#This Row],[INVERSIONES FCI]])</f>
        <v>18829178972.173206</v>
      </c>
      <c r="Y188" s="5">
        <f>IF($B187&lt;=Tabla5[[#This Row],[INVERSIONES FCI]],+Tabla5[[#This Row],[INVERSIONES FCI]]-Y187,Tabla5[[#This Row],[INVERSIONES FCI]])</f>
        <v>18829178972.173206</v>
      </c>
      <c r="Z188" s="5">
        <f>IF($B187&lt;=Tabla5[[#This Row],[INVERSIONES FCI]],+Tabla5[[#This Row],[INVERSIONES FCI]]-Z187,Tabla5[[#This Row],[INVERSIONES FCI]])</f>
        <v>18829178972.173206</v>
      </c>
      <c r="AA188" s="5">
        <f>IF($B187&lt;=Tabla5[[#This Row],[INVERSIONES FCI]],+Tabla5[[#This Row],[INVERSIONES FCI]]-AA187,Tabla5[[#This Row],[INVERSIONES FCI]])</f>
        <v>18829178972.173206</v>
      </c>
      <c r="AB188" s="5">
        <f>IF($B187&lt;=Tabla5[[#This Row],[INVERSIONES FCI]],+Tabla5[[#This Row],[INVERSIONES FCI]]-AB187,Tabla5[[#This Row],[INVERSIONES FCI]])</f>
        <v>18829178972.173206</v>
      </c>
      <c r="AC188" s="5">
        <f>IF($B187&lt;=Tabla5[[#This Row],[INVERSIONES FCI]],+Tabla5[[#This Row],[INVERSIONES FCI]]-AC187,Tabla5[[#This Row],[INVERSIONES FCI]])</f>
        <v>18829178972.173206</v>
      </c>
      <c r="AD188" s="5">
        <f>IF($B187&lt;=Tabla5[[#This Row],[INVERSIONES FCI]],+Tabla5[[#This Row],[INVERSIONES FCI]]-AD187,Tabla5[[#This Row],[INVERSIONES FCI]])</f>
        <v>18829178972.173206</v>
      </c>
      <c r="AE188" s="5">
        <f>IF($B187&lt;=Tabla5[[#This Row],[INVERSIONES FCI]],+Tabla5[[#This Row],[INVERSIONES FCI]]-AE187,Tabla5[[#This Row],[INVERSIONES FCI]])</f>
        <v>18829178972.173206</v>
      </c>
      <c r="AF188" s="5">
        <f>IF($B187&lt;=Tabla5[[#This Row],[INVERSIONES FCI]],+Tabla5[[#This Row],[INVERSIONES FCI]]-AF187,Tabla5[[#This Row],[INVERSIONES FCI]])</f>
        <v>18829178972.173206</v>
      </c>
      <c r="AG188" s="5">
        <f>IF($B187&lt;=Tabla5[[#This Row],[INVERSIONES FCI]],+Tabla5[[#This Row],[INVERSIONES FCI]]-AG187,Tabla5[[#This Row],[INVERSIONES FCI]])</f>
        <v>18829178972.173206</v>
      </c>
      <c r="AH188" s="5">
        <f>IF($B187&lt;=Tabla5[[#This Row],[INVERSIONES FCI]],+Tabla5[[#This Row],[INVERSIONES FCI]]-AH187,Tabla5[[#This Row],[INVERSIONES FCI]])</f>
        <v>18829178972.173206</v>
      </c>
      <c r="AI188" s="5">
        <f>IF($B187&lt;=Tabla5[[#This Row],[INVERSIONES FCI]],+Tabla5[[#This Row],[INVERSIONES FCI]]-AI187,Tabla5[[#This Row],[INVERSIONES FCI]])</f>
        <v>18829178972.173206</v>
      </c>
      <c r="AJ188" s="5">
        <f>IF($B187&lt;=Tabla5[[#This Row],[INVERSIONES FCI]],+Tabla5[[#This Row],[INVERSIONES FCI]]-AJ187,Tabla5[[#This Row],[INVERSIONES FCI]])</f>
        <v>18829178972.173206</v>
      </c>
      <c r="AK188" s="5">
        <f>IF($B187&lt;=Tabla5[[#This Row],[INVERSIONES FCI]],+Tabla5[[#This Row],[INVERSIONES FCI]]-AK187,Tabla5[[#This Row],[INVERSIONES FCI]])</f>
        <v>18829178972.173206</v>
      </c>
      <c r="AL188" s="5">
        <f>IF($B187&lt;=Tabla5[[#This Row],[INVERSIONES FCI]],+Tabla5[[#This Row],[INVERSIONES FCI]]-AL187,Tabla5[[#This Row],[INVERSIONES FCI]])</f>
        <v>18829178972.173206</v>
      </c>
      <c r="AM188" s="5">
        <f>IF($B187&lt;=Tabla5[[#This Row],[INVERSIONES FCI]],+Tabla5[[#This Row],[INVERSIONES FCI]]-AM187,Tabla5[[#This Row],[INVERSIONES FCI]])</f>
        <v>18829178972.173206</v>
      </c>
      <c r="AN188" s="5">
        <f>IF($B187&lt;=Tabla5[[#This Row],[INVERSIONES FCI]],+Tabla5[[#This Row],[INVERSIONES FCI]]-AN187,Tabla5[[#This Row],[INVERSIONES FCI]])</f>
        <v>18829178972.173206</v>
      </c>
      <c r="AO188" s="5">
        <f>IF($B187&lt;=Tabla5[[#This Row],[INVERSIONES FCI]],+Tabla5[[#This Row],[INVERSIONES FCI]]-AO187,Tabla5[[#This Row],[INVERSIONES FCI]])</f>
        <v>18829178972.173206</v>
      </c>
      <c r="AP188" s="5">
        <f>IF($B187&lt;=Tabla5[[#This Row],[INVERSIONES FCI]],+Tabla5[[#This Row],[INVERSIONES FCI]]-AP187,Tabla5[[#This Row],[INVERSIONES FCI]])</f>
        <v>18829178972.173206</v>
      </c>
      <c r="AQ188" s="5">
        <f>IF($B187&lt;=Tabla5[[#This Row],[INVERSIONES FCI]],+Tabla5[[#This Row],[INVERSIONES FCI]]-AQ187,Tabla5[[#This Row],[INVERSIONES FCI]])</f>
        <v>18829178972.173206</v>
      </c>
      <c r="AR188" s="5">
        <f>IF($B187&lt;=Tabla5[[#This Row],[INVERSIONES FCI]],+Tabla5[[#This Row],[INVERSIONES FCI]]-AR187,Tabla5[[#This Row],[INVERSIONES FCI]])</f>
        <v>18829178972.173206</v>
      </c>
      <c r="AS188" s="5">
        <f>IF($B187&lt;=Tabla5[[#This Row],[INVERSIONES FCI]],+Tabla5[[#This Row],[INVERSIONES FCI]]-AS187,Tabla5[[#This Row],[INVERSIONES FCI]])</f>
        <v>18829178972.173206</v>
      </c>
      <c r="AT188" s="5">
        <f>IF($B187&lt;=Tabla5[[#This Row],[INVERSIONES FCI]],+Tabla5[[#This Row],[INVERSIONES FCI]]-AT187,Tabla5[[#This Row],[INVERSIONES FCI]])</f>
        <v>18829178972.173206</v>
      </c>
      <c r="AU188" s="5">
        <f>IF($B187&lt;=Tabla5[[#This Row],[INVERSIONES FCI]],+Tabla5[[#This Row],[INVERSIONES FCI]]-AU187,Tabla5[[#This Row],[INVERSIONES FCI]])</f>
        <v>18829178972.173206</v>
      </c>
      <c r="AV188" s="5">
        <f>IF($B187&lt;=Tabla5[[#This Row],[INVERSIONES FCI]],+Tabla5[[#This Row],[INVERSIONES FCI]]-AV187,Tabla5[[#This Row],[INVERSIONES FCI]])</f>
        <v>18829178972.173206</v>
      </c>
      <c r="AW188" s="5">
        <f>IF($B187&lt;=Tabla5[[#This Row],[INVERSIONES FCI]],+Tabla5[[#This Row],[INVERSIONES FCI]]-AW187,Tabla5[[#This Row],[INVERSIONES FCI]])</f>
        <v>18829178972.173206</v>
      </c>
      <c r="AX188" s="5">
        <f>IF($B187&lt;=Tabla5[[#This Row],[INVERSIONES FCI]],+Tabla5[[#This Row],[INVERSIONES FCI]]-AX187,Tabla5[[#This Row],[INVERSIONES FCI]])</f>
        <v>18829178972.173206</v>
      </c>
      <c r="AY188" s="5">
        <f>IF($B187&lt;=Tabla5[[#This Row],[INVERSIONES FCI]],+Tabla5[[#This Row],[INVERSIONES FCI]]-AY187,Tabla5[[#This Row],[INVERSIONES FCI]])</f>
        <v>18829178972.173206</v>
      </c>
      <c r="AZ188" s="5">
        <f>IF($B187&lt;=Tabla5[[#This Row],[INVERSIONES FCI]],+Tabla5[[#This Row],[INVERSIONES FCI]]-AZ187,Tabla5[[#This Row],[INVERSIONES FCI]])</f>
        <v>18829178972.173206</v>
      </c>
      <c r="BA188" s="5">
        <f>IF($B187&lt;=Tabla5[[#This Row],[INVERSIONES FCI]],+Tabla5[[#This Row],[INVERSIONES FCI]]-BA187,Tabla5[[#This Row],[INVERSIONES FCI]])</f>
        <v>18829178972.173206</v>
      </c>
      <c r="BB188" s="5">
        <f>IF($B187&lt;=Tabla5[[#This Row],[INVERSIONES FCI]],+Tabla5[[#This Row],[INVERSIONES FCI]]-BB187,Tabla5[[#This Row],[INVERSIONES FCI]])</f>
        <v>18829178972.173206</v>
      </c>
      <c r="BC188" s="5">
        <f>IF($B187&lt;=Tabla5[[#This Row],[INVERSIONES FCI]],+Tabla5[[#This Row],[INVERSIONES FCI]]-BC187,Tabla5[[#This Row],[INVERSIONES FCI]])</f>
        <v>18829178972.173206</v>
      </c>
      <c r="BD188" s="5">
        <f>IF($B187&lt;=Tabla5[[#This Row],[INVERSIONES FCI]],+Tabla5[[#This Row],[INVERSIONES FCI]]-BD187,Tabla5[[#This Row],[INVERSIONES FCI]])</f>
        <v>18829178972.173206</v>
      </c>
      <c r="BE188" s="5">
        <f>IF($B187&lt;=Tabla5[[#This Row],[INVERSIONES FCI]],+Tabla5[[#This Row],[INVERSIONES FCI]]-BE187,Tabla5[[#This Row],[INVERSIONES FCI]])</f>
        <v>18829178972.173206</v>
      </c>
      <c r="BF188" s="5">
        <f>IF($B187&lt;=Tabla5[[#This Row],[INVERSIONES FCI]],+Tabla5[[#This Row],[INVERSIONES FCI]]-BF187,Tabla5[[#This Row],[INVERSIONES FCI]])</f>
        <v>18829178972.173206</v>
      </c>
      <c r="BG188" s="5">
        <f>IF($B187&lt;=Tabla5[[#This Row],[INVERSIONES FCI]],+Tabla5[[#This Row],[INVERSIONES FCI]]-BG187,Tabla5[[#This Row],[INVERSIONES FCI]])</f>
        <v>18829178972.173206</v>
      </c>
      <c r="BH188" s="5">
        <f>IF($B187&lt;=Tabla5[[#This Row],[INVERSIONES FCI]],+Tabla5[[#This Row],[INVERSIONES FCI]]-BH187,Tabla5[[#This Row],[INVERSIONES FCI]])</f>
        <v>18829178972.173206</v>
      </c>
      <c r="BI188" s="5">
        <f>IF($B187&lt;=Tabla5[[#This Row],[INVERSIONES FCI]],+Tabla5[[#This Row],[INVERSIONES FCI]]-BI187,Tabla5[[#This Row],[INVERSIONES FCI]])</f>
        <v>18829178972.173206</v>
      </c>
      <c r="BJ188" s="5">
        <f>IF($B187&lt;=Tabla5[[#This Row],[INVERSIONES FCI]],+Tabla5[[#This Row],[INVERSIONES FCI]]-BJ187,Tabla5[[#This Row],[INVERSIONES FCI]])</f>
        <v>18829178972.173206</v>
      </c>
      <c r="BK188" s="5">
        <f>IF($B187&lt;=Tabla5[[#This Row],[INVERSIONES FCI]],+Tabla5[[#This Row],[INVERSIONES FCI]]-BK187,Tabla5[[#This Row],[INVERSIONES FCI]])</f>
        <v>18829178972.173206</v>
      </c>
      <c r="BL188" s="5">
        <f>IF($B187&lt;=Tabla5[[#This Row],[INVERSIONES FCI]],+Tabla5[[#This Row],[INVERSIONES FCI]]-BL187,Tabla5[[#This Row],[INVERSIONES FCI]])</f>
        <v>18829178972.173206</v>
      </c>
      <c r="BM188" s="5">
        <f>IF($B187&lt;=Tabla5[[#This Row],[INVERSIONES FCI]],+Tabla5[[#This Row],[INVERSIONES FCI]]-BM187,Tabla5[[#This Row],[INVERSIONES FCI]])</f>
        <v>18829178972.173206</v>
      </c>
      <c r="BN188" s="5">
        <f>IF($B187&lt;=Tabla5[[#This Row],[INVERSIONES FCI]],+Tabla5[[#This Row],[INVERSIONES FCI]]-BN187,Tabla5[[#This Row],[INVERSIONES FCI]])</f>
        <v>18829178972.173206</v>
      </c>
      <c r="BO188" s="5">
        <f>IF($B187&lt;=Tabla5[[#This Row],[INVERSIONES FCI]],+Tabla5[[#This Row],[INVERSIONES FCI]]-BO187,Tabla5[[#This Row],[INVERSIONES FCI]])</f>
        <v>18829178972.173206</v>
      </c>
      <c r="BP188" s="5">
        <f>IF($B187&lt;=Tabla5[[#This Row],[INVERSIONES FCI]],+Tabla5[[#This Row],[INVERSIONES FCI]]-BP187,Tabla5[[#This Row],[INVERSIONES FCI]])</f>
        <v>18829178972.173206</v>
      </c>
      <c r="BQ188" s="5">
        <f>IF($B187&lt;=Tabla5[[#This Row],[INVERSIONES FCI]],+Tabla5[[#This Row],[INVERSIONES FCI]]-BQ187,Tabla5[[#This Row],[INVERSIONES FCI]])</f>
        <v>18829178972.173206</v>
      </c>
      <c r="BR188" s="5">
        <f>IF($B187&lt;=Tabla5[[#This Row],[INVERSIONES FCI]],+Tabla5[[#This Row],[INVERSIONES FCI]]-BR187,Tabla5[[#This Row],[INVERSIONES FCI]])</f>
        <v>18829178972.173206</v>
      </c>
      <c r="BS188" s="5">
        <f>IF($B187&lt;=Tabla5[[#This Row],[INVERSIONES FCI]],+Tabla5[[#This Row],[INVERSIONES FCI]]-BS187,Tabla5[[#This Row],[INVERSIONES FCI]])</f>
        <v>18829178972.173206</v>
      </c>
      <c r="BT188" s="5">
        <f>IF($B187&lt;=Tabla5[[#This Row],[INVERSIONES FCI]],+Tabla5[[#This Row],[INVERSIONES FCI]]-BT187,Tabla5[[#This Row],[INVERSIONES FCI]])</f>
        <v>18829178972.173206</v>
      </c>
      <c r="BU188" s="5">
        <f>IF($B187&lt;=Tabla5[[#This Row],[INVERSIONES FCI]],+Tabla5[[#This Row],[INVERSIONES FCI]]-BU187,Tabla5[[#This Row],[INVERSIONES FCI]])</f>
        <v>18829178972.173206</v>
      </c>
      <c r="BV188" s="5">
        <f>IF($B187&lt;=Tabla5[[#This Row],[INVERSIONES FCI]],+Tabla5[[#This Row],[INVERSIONES FCI]]-BV187,Tabla5[[#This Row],[INVERSIONES FCI]])</f>
        <v>18829178972.173206</v>
      </c>
      <c r="BW188" s="5">
        <f>IF($B187&lt;=Tabla5[[#This Row],[INVERSIONES FCI]],+Tabla5[[#This Row],[INVERSIONES FCI]]-BW187,Tabla5[[#This Row],[INVERSIONES FCI]])</f>
        <v>18829178972.173206</v>
      </c>
      <c r="BX188" s="5">
        <f>IF($B187&lt;=Tabla5[[#This Row],[INVERSIONES FCI]],+Tabla5[[#This Row],[INVERSIONES FCI]]-BX187,Tabla5[[#This Row],[INVERSIONES FCI]])</f>
        <v>18829178972.173206</v>
      </c>
      <c r="BY188" s="5">
        <f>IF($B187&lt;=Tabla5[[#This Row],[INVERSIONES FCI]],+Tabla5[[#This Row],[INVERSIONES FCI]]-BY187,Tabla5[[#This Row],[INVERSIONES FCI]])</f>
        <v>18829178972.173206</v>
      </c>
      <c r="BZ188" s="5">
        <f>IF($B187&lt;=Tabla5[[#This Row],[INVERSIONES FCI]],+Tabla5[[#This Row],[INVERSIONES FCI]]-BZ187,Tabla5[[#This Row],[INVERSIONES FCI]])</f>
        <v>18829178972.173206</v>
      </c>
      <c r="CA188" s="5">
        <f>IF($B187&lt;=Tabla5[[#This Row],[INVERSIONES FCI]],+Tabla5[[#This Row],[INVERSIONES FCI]]-CA187,Tabla5[[#This Row],[INVERSIONES FCI]])</f>
        <v>18829178972.173206</v>
      </c>
      <c r="CB188" s="5">
        <f>IF($B187&lt;=Tabla5[[#This Row],[INVERSIONES FCI]],+Tabla5[[#This Row],[INVERSIONES FCI]]-CB187,Tabla5[[#This Row],[INVERSIONES FCI]])</f>
        <v>18829178972.173206</v>
      </c>
      <c r="CC188" s="5">
        <f>IF($B187&lt;=Tabla5[[#This Row],[INVERSIONES FCI]],+Tabla5[[#This Row],[INVERSIONES FCI]]-CC187,Tabla5[[#This Row],[INVERSIONES FCI]])</f>
        <v>18829178972.173206</v>
      </c>
      <c r="CD188" s="5">
        <f>IF($B187&lt;=Tabla5[[#This Row],[INVERSIONES FCI]],+Tabla5[[#This Row],[INVERSIONES FCI]]-CD187,Tabla5[[#This Row],[INVERSIONES FCI]])</f>
        <v>18829178972.173206</v>
      </c>
      <c r="CE188" s="5">
        <f>IF($B187&lt;=Tabla5[[#This Row],[INVERSIONES FCI]],+Tabla5[[#This Row],[INVERSIONES FCI]]-CE187,Tabla5[[#This Row],[INVERSIONES FCI]])</f>
        <v>18829178972.173206</v>
      </c>
      <c r="CF188" s="5">
        <f>IF($B187&lt;=Tabla5[[#This Row],[INVERSIONES FCI]],+Tabla5[[#This Row],[INVERSIONES FCI]]-CF187,Tabla5[[#This Row],[INVERSIONES FCI]])</f>
        <v>18829178972.173206</v>
      </c>
      <c r="CG188" s="5">
        <f>IF($B187&lt;=Tabla5[[#This Row],[INVERSIONES FCI]],+Tabla5[[#This Row],[INVERSIONES FCI]]-CG187,Tabla5[[#This Row],[INVERSIONES FCI]])</f>
        <v>18829178972.173206</v>
      </c>
      <c r="CH188" s="5">
        <f>IF($B187&lt;=Tabla5[[#This Row],[INVERSIONES FCI]],+Tabla5[[#This Row],[INVERSIONES FCI]]-CH187,Tabla5[[#This Row],[INVERSIONES FCI]])</f>
        <v>18829178972.173206</v>
      </c>
      <c r="CI188" s="5">
        <f>IF($B187&lt;=Tabla5[[#This Row],[INVERSIONES FCI]],+Tabla5[[#This Row],[INVERSIONES FCI]]-CI187,Tabla5[[#This Row],[INVERSIONES FCI]])</f>
        <v>18829178972.173206</v>
      </c>
      <c r="CJ188" s="5">
        <f>IF($B187&lt;=Tabla5[[#This Row],[INVERSIONES FCI]],+Tabla5[[#This Row],[INVERSIONES FCI]]-CJ187,Tabla5[[#This Row],[INVERSIONES FCI]])</f>
        <v>18829178972.173206</v>
      </c>
      <c r="CK188" s="5">
        <f>IF($B187&lt;=Tabla5[[#This Row],[INVERSIONES FCI]],+Tabla5[[#This Row],[INVERSIONES FCI]]-CK187,Tabla5[[#This Row],[INVERSIONES FCI]])</f>
        <v>18829178972.173206</v>
      </c>
      <c r="CL188" s="5">
        <f>IF($B187&lt;=Tabla5[[#This Row],[INVERSIONES FCI]],+Tabla5[[#This Row],[INVERSIONES FCI]]-CL187,Tabla5[[#This Row],[INVERSIONES FCI]])</f>
        <v>18829178972.173206</v>
      </c>
      <c r="CM188" s="5">
        <f>IF($B187&lt;=Tabla5[[#This Row],[INVERSIONES FCI]],+Tabla5[[#This Row],[INVERSIONES FCI]]-CM187,Tabla5[[#This Row],[INVERSIONES FCI]])</f>
        <v>18829178972.173206</v>
      </c>
      <c r="CN188" s="5">
        <f>IF($B187&lt;=Tabla5[[#This Row],[INVERSIONES FCI]],+Tabla5[[#This Row],[INVERSIONES FCI]]-CN187,Tabla5[[#This Row],[INVERSIONES FCI]])</f>
        <v>18829178972.173206</v>
      </c>
      <c r="CO188" s="5">
        <f>IF($B187&lt;=Tabla5[[#This Row],[INVERSIONES FCI]],+Tabla5[[#This Row],[INVERSIONES FCI]]-CO187,Tabla5[[#This Row],[INVERSIONES FCI]])</f>
        <v>18829178972.173206</v>
      </c>
      <c r="CP188" s="5">
        <f>IF($B187&lt;=Tabla5[[#This Row],[INVERSIONES FCI]],+Tabla5[[#This Row],[INVERSIONES FCI]]-CP187,Tabla5[[#This Row],[INVERSIONES FCI]])</f>
        <v>18829178972.173206</v>
      </c>
      <c r="CQ188" s="5">
        <f>IF($B187&lt;=Tabla5[[#This Row],[INVERSIONES FCI]],+Tabla5[[#This Row],[INVERSIONES FCI]]-CQ187,Tabla5[[#This Row],[INVERSIONES FCI]])</f>
        <v>18829178972.173206</v>
      </c>
      <c r="CR188" s="5">
        <f>IF($B187&lt;=Tabla5[[#This Row],[INVERSIONES FCI]],+Tabla5[[#This Row],[INVERSIONES FCI]]-CR187,Tabla5[[#This Row],[INVERSIONES FCI]])</f>
        <v>18829178972.173206</v>
      </c>
      <c r="CS188" s="5">
        <f>IF($B187&lt;=Tabla5[[#This Row],[INVERSIONES FCI]],+Tabla5[[#This Row],[INVERSIONES FCI]]-CS187,Tabla5[[#This Row],[INVERSIONES FCI]])</f>
        <v>18829178972.173206</v>
      </c>
      <c r="CT188" s="5">
        <f>IF($B187&lt;=Tabla5[[#This Row],[INVERSIONES FCI]],+Tabla5[[#This Row],[INVERSIONES FCI]]-CT187,Tabla5[[#This Row],[INVERSIONES FCI]])</f>
        <v>18829178972.173206</v>
      </c>
      <c r="CU188" s="5">
        <f>IF($B187&lt;=Tabla5[[#This Row],[INVERSIONES FCI]],+Tabla5[[#This Row],[INVERSIONES FCI]]-CU187,Tabla5[[#This Row],[INVERSIONES FCI]])</f>
        <v>18829178972.173206</v>
      </c>
      <c r="CV188" s="5">
        <f>IF($B187&lt;=Tabla5[[#This Row],[INVERSIONES FCI]],+Tabla5[[#This Row],[INVERSIONES FCI]]-CV187,Tabla5[[#This Row],[INVERSIONES FCI]])</f>
        <v>18829178972.173206</v>
      </c>
      <c r="CW188" s="5">
        <f>IF($B187&lt;=Tabla5[[#This Row],[INVERSIONES FCI]],+Tabla5[[#This Row],[INVERSIONES FCI]]-CW187,Tabla5[[#This Row],[INVERSIONES FCI]])</f>
        <v>18829178972.173206</v>
      </c>
      <c r="CX188" s="5">
        <f>IF($B187&lt;=Tabla5[[#This Row],[INVERSIONES FCI]],+Tabla5[[#This Row],[INVERSIONES FCI]]-CX187,Tabla5[[#This Row],[INVERSIONES FCI]])</f>
        <v>18829178972.173206</v>
      </c>
      <c r="CY188" s="5">
        <f>IF($B187&lt;=Tabla5[[#This Row],[INVERSIONES FCI]],+Tabla5[[#This Row],[INVERSIONES FCI]]-CY187,Tabla5[[#This Row],[INVERSIONES FCI]])</f>
        <v>18829178972.173206</v>
      </c>
      <c r="CZ188" s="5">
        <f>IF($B187&lt;=Tabla5[[#This Row],[INVERSIONES FCI]],+Tabla5[[#This Row],[INVERSIONES FCI]]-CZ187,Tabla5[[#This Row],[INVERSIONES FCI]])</f>
        <v>18829178972.173206</v>
      </c>
      <c r="DA188" s="5">
        <f>IF($B187&lt;=Tabla5[[#This Row],[INVERSIONES FCI]],+Tabla5[[#This Row],[INVERSIONES FCI]]-DA187,Tabla5[[#This Row],[INVERSIONES FCI]])</f>
        <v>18829178972.173206</v>
      </c>
      <c r="DB188" s="5">
        <f>IF($B187&lt;=Tabla5[[#This Row],[INVERSIONES FCI]],+Tabla5[[#This Row],[INVERSIONES FCI]]-DB187,Tabla5[[#This Row],[INVERSIONES FCI]])</f>
        <v>18829178972.173206</v>
      </c>
      <c r="DC188" s="5">
        <f>IF($B187&lt;=Tabla5[[#This Row],[INVERSIONES FCI]],+Tabla5[[#This Row],[INVERSIONES FCI]]-DC187,Tabla5[[#This Row],[INVERSIONES FCI]])</f>
        <v>18829178972.173206</v>
      </c>
      <c r="DD188" s="5">
        <f>IF($B187&lt;=Tabla5[[#This Row],[INVERSIONES FCI]],+Tabla5[[#This Row],[INVERSIONES FCI]]-DD187,Tabla5[[#This Row],[INVERSIONES FCI]])</f>
        <v>18829178972.173206</v>
      </c>
      <c r="DE188" s="5">
        <f>IF($B187&lt;=Tabla5[[#This Row],[INVERSIONES FCI]],+Tabla5[[#This Row],[INVERSIONES FCI]]-DE187,Tabla5[[#This Row],[INVERSIONES FCI]])</f>
        <v>18829178972.173206</v>
      </c>
      <c r="DF188" s="5">
        <f>IF($B187&lt;=Tabla5[[#This Row],[INVERSIONES FCI]],+Tabla5[[#This Row],[INVERSIONES FCI]]-DF187,Tabla5[[#This Row],[INVERSIONES FCI]])</f>
        <v>18829178972.173206</v>
      </c>
      <c r="DG188" s="5">
        <f>IF($B187&lt;=Tabla5[[#This Row],[INVERSIONES FCI]],+Tabla5[[#This Row],[INVERSIONES FCI]]-DG187,Tabla5[[#This Row],[INVERSIONES FCI]])</f>
        <v>18829178972.173206</v>
      </c>
      <c r="DH188" s="5">
        <f>IF($B187&lt;=Tabla5[[#This Row],[INVERSIONES FCI]],+Tabla5[[#This Row],[INVERSIONES FCI]]-DH187,Tabla5[[#This Row],[INVERSIONES FCI]])</f>
        <v>18829178972.173206</v>
      </c>
      <c r="DI188" s="5">
        <f>IF($B187&lt;=Tabla5[[#This Row],[INVERSIONES FCI]],+Tabla5[[#This Row],[INVERSIONES FCI]]-DI187,Tabla5[[#This Row],[INVERSIONES FCI]])</f>
        <v>18829178972.173206</v>
      </c>
      <c r="DJ188" s="5">
        <f>IF($B187&lt;=Tabla5[[#This Row],[INVERSIONES FCI]],+Tabla5[[#This Row],[INVERSIONES FCI]]-DJ187,Tabla5[[#This Row],[INVERSIONES FCI]])</f>
        <v>18829178972.173206</v>
      </c>
      <c r="DK188" s="5">
        <f>IF($B187&lt;=Tabla5[[#This Row],[INVERSIONES FCI]],+Tabla5[[#This Row],[INVERSIONES FCI]]-DK187,Tabla5[[#This Row],[INVERSIONES FCI]])</f>
        <v>18829178972.173206</v>
      </c>
      <c r="DL188" s="5"/>
      <c r="DM188" s="5"/>
      <c r="DN188" s="5"/>
      <c r="DO188" s="5"/>
      <c r="DP188" s="5"/>
      <c r="DQ188" s="5"/>
    </row>
    <row r="189" spans="1:121" ht="14.4">
      <c r="A189" s="12" t="s">
        <v>188</v>
      </c>
      <c r="B189" s="5">
        <f>HLOOKUP($A189,ESCENARIO[#All],7,FALSE)</f>
        <v>20453590540.99073</v>
      </c>
      <c r="C189" s="5">
        <f>IF($B188&lt;=Tabla5[[#This Row],[INVERSIONES FCI]],+Tabla5[[#This Row],[INVERSIONES FCI]]-C188,Tabla5[[#This Row],[INVERSIONES FCI]])</f>
        <v>1624411568.817524</v>
      </c>
      <c r="D189" s="5">
        <f>IF($B188&lt;=Tabla5[[#This Row],[INVERSIONES FCI]],+Tabla5[[#This Row],[INVERSIONES FCI]]-D188,Tabla5[[#This Row],[INVERSIONES FCI]])</f>
        <v>1624411568.817524</v>
      </c>
      <c r="E189" s="5">
        <f>IF($B188&lt;=Tabla5[[#This Row],[INVERSIONES FCI]],+Tabla5[[#This Row],[INVERSIONES FCI]]-E188,Tabla5[[#This Row],[INVERSIONES FCI]])</f>
        <v>1624411568.817524</v>
      </c>
      <c r="F189" s="5">
        <f>IF($B188&lt;=Tabla5[[#This Row],[INVERSIONES FCI]],+Tabla5[[#This Row],[INVERSIONES FCI]]-F188,Tabla5[[#This Row],[INVERSIONES FCI]])</f>
        <v>1624411568.817524</v>
      </c>
      <c r="G189" s="5">
        <f>IF($B188&lt;=Tabla5[[#This Row],[INVERSIONES FCI]],+Tabla5[[#This Row],[INVERSIONES FCI]]-G188,Tabla5[[#This Row],[INVERSIONES FCI]])</f>
        <v>1624411568.817524</v>
      </c>
      <c r="H189" s="5">
        <f>IF($B188&lt;=Tabla5[[#This Row],[INVERSIONES FCI]],+Tabla5[[#This Row],[INVERSIONES FCI]]-H188,Tabla5[[#This Row],[INVERSIONES FCI]])</f>
        <v>1624411568.817524</v>
      </c>
      <c r="I189" s="5">
        <f>IF($B188&lt;=Tabla5[[#This Row],[INVERSIONES FCI]],+Tabla5[[#This Row],[INVERSIONES FCI]]-I188,Tabla5[[#This Row],[INVERSIONES FCI]])</f>
        <v>1624411568.817524</v>
      </c>
      <c r="J189" s="5">
        <f>IF($B188&lt;=Tabla5[[#This Row],[INVERSIONES FCI]],+Tabla5[[#This Row],[INVERSIONES FCI]]-J188,Tabla5[[#This Row],[INVERSIONES FCI]])</f>
        <v>1624411568.817524</v>
      </c>
      <c r="K189" s="5">
        <f>IF($B188&lt;=Tabla5[[#This Row],[INVERSIONES FCI]],+Tabla5[[#This Row],[INVERSIONES FCI]]-K188,Tabla5[[#This Row],[INVERSIONES FCI]])</f>
        <v>1624411568.817524</v>
      </c>
      <c r="L189" s="5">
        <f>IF($B188&lt;=Tabla5[[#This Row],[INVERSIONES FCI]],+Tabla5[[#This Row],[INVERSIONES FCI]]-L188,Tabla5[[#This Row],[INVERSIONES FCI]])</f>
        <v>1624411568.817524</v>
      </c>
      <c r="M189" s="5">
        <f>IF($B188&lt;=Tabla5[[#This Row],[INVERSIONES FCI]],+Tabla5[[#This Row],[INVERSIONES FCI]]-M188,Tabla5[[#This Row],[INVERSIONES FCI]])</f>
        <v>1624411568.817524</v>
      </c>
      <c r="N189" s="5">
        <f>IF($B188&lt;=Tabla5[[#This Row],[INVERSIONES FCI]],+Tabla5[[#This Row],[INVERSIONES FCI]]-N188,Tabla5[[#This Row],[INVERSIONES FCI]])</f>
        <v>1624411568.817524</v>
      </c>
      <c r="O189" s="5">
        <f>IF($B188&lt;=Tabla5[[#This Row],[INVERSIONES FCI]],+Tabla5[[#This Row],[INVERSIONES FCI]]-O188,Tabla5[[#This Row],[INVERSIONES FCI]])</f>
        <v>1624411568.817524</v>
      </c>
      <c r="P189" s="5">
        <f>IF($B188&lt;=Tabla5[[#This Row],[INVERSIONES FCI]],+Tabla5[[#This Row],[INVERSIONES FCI]]-P188,Tabla5[[#This Row],[INVERSIONES FCI]])</f>
        <v>1624411568.817524</v>
      </c>
      <c r="Q189" s="5">
        <f>IF($B188&lt;=Tabla5[[#This Row],[INVERSIONES FCI]],+Tabla5[[#This Row],[INVERSIONES FCI]]-Q188,Tabla5[[#This Row],[INVERSIONES FCI]])</f>
        <v>1624411568.817524</v>
      </c>
      <c r="R189" s="5">
        <f>IF($B188&lt;=Tabla5[[#This Row],[INVERSIONES FCI]],+Tabla5[[#This Row],[INVERSIONES FCI]]-R188,Tabla5[[#This Row],[INVERSIONES FCI]])</f>
        <v>1624411568.817524</v>
      </c>
      <c r="S189" s="5">
        <f>IF($B188&lt;=Tabla5[[#This Row],[INVERSIONES FCI]],+Tabla5[[#This Row],[INVERSIONES FCI]]-S188,Tabla5[[#This Row],[INVERSIONES FCI]])</f>
        <v>1624411568.817524</v>
      </c>
      <c r="T189" s="5">
        <f>IF($B188&lt;=Tabla5[[#This Row],[INVERSIONES FCI]],+Tabla5[[#This Row],[INVERSIONES FCI]]-T188,Tabla5[[#This Row],[INVERSIONES FCI]])</f>
        <v>1624411568.817524</v>
      </c>
      <c r="U189" s="5">
        <f>IF($B188&lt;=Tabla5[[#This Row],[INVERSIONES FCI]],+Tabla5[[#This Row],[INVERSIONES FCI]]-U188,Tabla5[[#This Row],[INVERSIONES FCI]])</f>
        <v>1624411568.817524</v>
      </c>
      <c r="V189" s="5">
        <f>IF($B188&lt;=Tabla5[[#This Row],[INVERSIONES FCI]],+Tabla5[[#This Row],[INVERSIONES FCI]]-V188,Tabla5[[#This Row],[INVERSIONES FCI]])</f>
        <v>1624411568.817524</v>
      </c>
      <c r="W189" s="5">
        <f>IF($B188&lt;=Tabla5[[#This Row],[INVERSIONES FCI]],+Tabla5[[#This Row],[INVERSIONES FCI]]-W188,Tabla5[[#This Row],[INVERSIONES FCI]])</f>
        <v>1624411568.817524</v>
      </c>
      <c r="X189" s="5">
        <f>IF($B188&lt;=Tabla5[[#This Row],[INVERSIONES FCI]],+Tabla5[[#This Row],[INVERSIONES FCI]]-X188,Tabla5[[#This Row],[INVERSIONES FCI]])</f>
        <v>1624411568.817524</v>
      </c>
      <c r="Y189" s="5">
        <f>IF($B188&lt;=Tabla5[[#This Row],[INVERSIONES FCI]],+Tabla5[[#This Row],[INVERSIONES FCI]]-Y188,Tabla5[[#This Row],[INVERSIONES FCI]])</f>
        <v>1624411568.817524</v>
      </c>
      <c r="Z189" s="5">
        <f>IF($B188&lt;=Tabla5[[#This Row],[INVERSIONES FCI]],+Tabla5[[#This Row],[INVERSIONES FCI]]-Z188,Tabla5[[#This Row],[INVERSIONES FCI]])</f>
        <v>1624411568.817524</v>
      </c>
      <c r="AA189" s="5">
        <f>IF($B188&lt;=Tabla5[[#This Row],[INVERSIONES FCI]],+Tabla5[[#This Row],[INVERSIONES FCI]]-AA188,Tabla5[[#This Row],[INVERSIONES FCI]])</f>
        <v>1624411568.817524</v>
      </c>
      <c r="AB189" s="5">
        <f>IF($B188&lt;=Tabla5[[#This Row],[INVERSIONES FCI]],+Tabla5[[#This Row],[INVERSIONES FCI]]-AB188,Tabla5[[#This Row],[INVERSIONES FCI]])</f>
        <v>1624411568.817524</v>
      </c>
      <c r="AC189" s="5">
        <f>IF($B188&lt;=Tabla5[[#This Row],[INVERSIONES FCI]],+Tabla5[[#This Row],[INVERSIONES FCI]]-AC188,Tabla5[[#This Row],[INVERSIONES FCI]])</f>
        <v>1624411568.817524</v>
      </c>
      <c r="AD189" s="5">
        <f>IF($B188&lt;=Tabla5[[#This Row],[INVERSIONES FCI]],+Tabla5[[#This Row],[INVERSIONES FCI]]-AD188,Tabla5[[#This Row],[INVERSIONES FCI]])</f>
        <v>1624411568.817524</v>
      </c>
      <c r="AE189" s="5">
        <f>IF($B188&lt;=Tabla5[[#This Row],[INVERSIONES FCI]],+Tabla5[[#This Row],[INVERSIONES FCI]]-AE188,Tabla5[[#This Row],[INVERSIONES FCI]])</f>
        <v>1624411568.817524</v>
      </c>
      <c r="AF189" s="5">
        <f>IF($B188&lt;=Tabla5[[#This Row],[INVERSIONES FCI]],+Tabla5[[#This Row],[INVERSIONES FCI]]-AF188,Tabla5[[#This Row],[INVERSIONES FCI]])</f>
        <v>1624411568.817524</v>
      </c>
      <c r="AG189" s="5">
        <f>IF($B188&lt;=Tabla5[[#This Row],[INVERSIONES FCI]],+Tabla5[[#This Row],[INVERSIONES FCI]]-AG188,Tabla5[[#This Row],[INVERSIONES FCI]])</f>
        <v>1624411568.817524</v>
      </c>
      <c r="AH189" s="5">
        <f>IF($B188&lt;=Tabla5[[#This Row],[INVERSIONES FCI]],+Tabla5[[#This Row],[INVERSIONES FCI]]-AH188,Tabla5[[#This Row],[INVERSIONES FCI]])</f>
        <v>1624411568.817524</v>
      </c>
      <c r="AI189" s="5">
        <f>IF($B188&lt;=Tabla5[[#This Row],[INVERSIONES FCI]],+Tabla5[[#This Row],[INVERSIONES FCI]]-AI188,Tabla5[[#This Row],[INVERSIONES FCI]])</f>
        <v>1624411568.817524</v>
      </c>
      <c r="AJ189" s="5">
        <f>IF($B188&lt;=Tabla5[[#This Row],[INVERSIONES FCI]],+Tabla5[[#This Row],[INVERSIONES FCI]]-AJ188,Tabla5[[#This Row],[INVERSIONES FCI]])</f>
        <v>1624411568.817524</v>
      </c>
      <c r="AK189" s="5">
        <f>IF($B188&lt;=Tabla5[[#This Row],[INVERSIONES FCI]],+Tabla5[[#This Row],[INVERSIONES FCI]]-AK188,Tabla5[[#This Row],[INVERSIONES FCI]])</f>
        <v>1624411568.817524</v>
      </c>
      <c r="AL189" s="5">
        <f>IF($B188&lt;=Tabla5[[#This Row],[INVERSIONES FCI]],+Tabla5[[#This Row],[INVERSIONES FCI]]-AL188,Tabla5[[#This Row],[INVERSIONES FCI]])</f>
        <v>1624411568.817524</v>
      </c>
      <c r="AM189" s="5">
        <f>IF($B188&lt;=Tabla5[[#This Row],[INVERSIONES FCI]],+Tabla5[[#This Row],[INVERSIONES FCI]]-AM188,Tabla5[[#This Row],[INVERSIONES FCI]])</f>
        <v>1624411568.817524</v>
      </c>
      <c r="AN189" s="5">
        <f>IF($B188&lt;=Tabla5[[#This Row],[INVERSIONES FCI]],+Tabla5[[#This Row],[INVERSIONES FCI]]-AN188,Tabla5[[#This Row],[INVERSIONES FCI]])</f>
        <v>1624411568.817524</v>
      </c>
      <c r="AO189" s="5">
        <f>IF($B188&lt;=Tabla5[[#This Row],[INVERSIONES FCI]],+Tabla5[[#This Row],[INVERSIONES FCI]]-AO188,Tabla5[[#This Row],[INVERSIONES FCI]])</f>
        <v>1624411568.817524</v>
      </c>
      <c r="AP189" s="5">
        <f>IF($B188&lt;=Tabla5[[#This Row],[INVERSIONES FCI]],+Tabla5[[#This Row],[INVERSIONES FCI]]-AP188,Tabla5[[#This Row],[INVERSIONES FCI]])</f>
        <v>1624411568.817524</v>
      </c>
      <c r="AQ189" s="5">
        <f>IF($B188&lt;=Tabla5[[#This Row],[INVERSIONES FCI]],+Tabla5[[#This Row],[INVERSIONES FCI]]-AQ188,Tabla5[[#This Row],[INVERSIONES FCI]])</f>
        <v>1624411568.817524</v>
      </c>
      <c r="AR189" s="5">
        <f>IF($B188&lt;=Tabla5[[#This Row],[INVERSIONES FCI]],+Tabla5[[#This Row],[INVERSIONES FCI]]-AR188,Tabla5[[#This Row],[INVERSIONES FCI]])</f>
        <v>1624411568.817524</v>
      </c>
      <c r="AS189" s="5">
        <f>IF($B188&lt;=Tabla5[[#This Row],[INVERSIONES FCI]],+Tabla5[[#This Row],[INVERSIONES FCI]]-AS188,Tabla5[[#This Row],[INVERSIONES FCI]])</f>
        <v>1624411568.817524</v>
      </c>
      <c r="AT189" s="5">
        <f>IF($B188&lt;=Tabla5[[#This Row],[INVERSIONES FCI]],+Tabla5[[#This Row],[INVERSIONES FCI]]-AT188,Tabla5[[#This Row],[INVERSIONES FCI]])</f>
        <v>1624411568.817524</v>
      </c>
      <c r="AU189" s="5">
        <f>IF($B188&lt;=Tabla5[[#This Row],[INVERSIONES FCI]],+Tabla5[[#This Row],[INVERSIONES FCI]]-AU188,Tabla5[[#This Row],[INVERSIONES FCI]])</f>
        <v>1624411568.817524</v>
      </c>
      <c r="AV189" s="5">
        <f>IF($B188&lt;=Tabla5[[#This Row],[INVERSIONES FCI]],+Tabla5[[#This Row],[INVERSIONES FCI]]-AV188,Tabla5[[#This Row],[INVERSIONES FCI]])</f>
        <v>1624411568.817524</v>
      </c>
      <c r="AW189" s="5">
        <f>IF($B188&lt;=Tabla5[[#This Row],[INVERSIONES FCI]],+Tabla5[[#This Row],[INVERSIONES FCI]]-AW188,Tabla5[[#This Row],[INVERSIONES FCI]])</f>
        <v>1624411568.817524</v>
      </c>
      <c r="AX189" s="5">
        <f>IF($B188&lt;=Tabla5[[#This Row],[INVERSIONES FCI]],+Tabla5[[#This Row],[INVERSIONES FCI]]-AX188,Tabla5[[#This Row],[INVERSIONES FCI]])</f>
        <v>1624411568.817524</v>
      </c>
      <c r="AY189" s="5">
        <f>IF($B188&lt;=Tabla5[[#This Row],[INVERSIONES FCI]],+Tabla5[[#This Row],[INVERSIONES FCI]]-AY188,Tabla5[[#This Row],[INVERSIONES FCI]])</f>
        <v>1624411568.817524</v>
      </c>
      <c r="AZ189" s="5">
        <f>IF($B188&lt;=Tabla5[[#This Row],[INVERSIONES FCI]],+Tabla5[[#This Row],[INVERSIONES FCI]]-AZ188,Tabla5[[#This Row],[INVERSIONES FCI]])</f>
        <v>1624411568.817524</v>
      </c>
      <c r="BA189" s="5">
        <f>IF($B188&lt;=Tabla5[[#This Row],[INVERSIONES FCI]],+Tabla5[[#This Row],[INVERSIONES FCI]]-BA188,Tabla5[[#This Row],[INVERSIONES FCI]])</f>
        <v>1624411568.817524</v>
      </c>
      <c r="BB189" s="5">
        <f>IF($B188&lt;=Tabla5[[#This Row],[INVERSIONES FCI]],+Tabla5[[#This Row],[INVERSIONES FCI]]-BB188,Tabla5[[#This Row],[INVERSIONES FCI]])</f>
        <v>1624411568.817524</v>
      </c>
      <c r="BC189" s="5">
        <f>IF($B188&lt;=Tabla5[[#This Row],[INVERSIONES FCI]],+Tabla5[[#This Row],[INVERSIONES FCI]]-BC188,Tabla5[[#This Row],[INVERSIONES FCI]])</f>
        <v>1624411568.817524</v>
      </c>
      <c r="BD189" s="5">
        <f>IF($B188&lt;=Tabla5[[#This Row],[INVERSIONES FCI]],+Tabla5[[#This Row],[INVERSIONES FCI]]-BD188,Tabla5[[#This Row],[INVERSIONES FCI]])</f>
        <v>1624411568.817524</v>
      </c>
      <c r="BE189" s="5">
        <f>IF($B188&lt;=Tabla5[[#This Row],[INVERSIONES FCI]],+Tabla5[[#This Row],[INVERSIONES FCI]]-BE188,Tabla5[[#This Row],[INVERSIONES FCI]])</f>
        <v>1624411568.817524</v>
      </c>
      <c r="BF189" s="5">
        <f>IF($B188&lt;=Tabla5[[#This Row],[INVERSIONES FCI]],+Tabla5[[#This Row],[INVERSIONES FCI]]-BF188,Tabla5[[#This Row],[INVERSIONES FCI]])</f>
        <v>1624411568.817524</v>
      </c>
      <c r="BG189" s="5">
        <f>IF($B188&lt;=Tabla5[[#This Row],[INVERSIONES FCI]],+Tabla5[[#This Row],[INVERSIONES FCI]]-BG188,Tabla5[[#This Row],[INVERSIONES FCI]])</f>
        <v>1624411568.817524</v>
      </c>
      <c r="BH189" s="5">
        <f>IF($B188&lt;=Tabla5[[#This Row],[INVERSIONES FCI]],+Tabla5[[#This Row],[INVERSIONES FCI]]-BH188,Tabla5[[#This Row],[INVERSIONES FCI]])</f>
        <v>1624411568.817524</v>
      </c>
      <c r="BI189" s="5">
        <f>IF($B188&lt;=Tabla5[[#This Row],[INVERSIONES FCI]],+Tabla5[[#This Row],[INVERSIONES FCI]]-BI188,Tabla5[[#This Row],[INVERSIONES FCI]])</f>
        <v>1624411568.817524</v>
      </c>
      <c r="BJ189" s="5">
        <f>IF($B188&lt;=Tabla5[[#This Row],[INVERSIONES FCI]],+Tabla5[[#This Row],[INVERSIONES FCI]]-BJ188,Tabla5[[#This Row],[INVERSIONES FCI]])</f>
        <v>1624411568.817524</v>
      </c>
      <c r="BK189" s="5">
        <f>IF($B188&lt;=Tabla5[[#This Row],[INVERSIONES FCI]],+Tabla5[[#This Row],[INVERSIONES FCI]]-BK188,Tabla5[[#This Row],[INVERSIONES FCI]])</f>
        <v>1624411568.817524</v>
      </c>
      <c r="BL189" s="5">
        <f>IF($B188&lt;=Tabla5[[#This Row],[INVERSIONES FCI]],+Tabla5[[#This Row],[INVERSIONES FCI]]-BL188,Tabla5[[#This Row],[INVERSIONES FCI]])</f>
        <v>1624411568.817524</v>
      </c>
      <c r="BM189" s="5">
        <f>IF($B188&lt;=Tabla5[[#This Row],[INVERSIONES FCI]],+Tabla5[[#This Row],[INVERSIONES FCI]]-BM188,Tabla5[[#This Row],[INVERSIONES FCI]])</f>
        <v>1624411568.817524</v>
      </c>
      <c r="BN189" s="5">
        <f>IF($B188&lt;=Tabla5[[#This Row],[INVERSIONES FCI]],+Tabla5[[#This Row],[INVERSIONES FCI]]-BN188,Tabla5[[#This Row],[INVERSIONES FCI]])</f>
        <v>1624411568.817524</v>
      </c>
      <c r="BO189" s="5">
        <f>IF($B188&lt;=Tabla5[[#This Row],[INVERSIONES FCI]],+Tabla5[[#This Row],[INVERSIONES FCI]]-BO188,Tabla5[[#This Row],[INVERSIONES FCI]])</f>
        <v>1624411568.817524</v>
      </c>
      <c r="BP189" s="5">
        <f>IF($B188&lt;=Tabla5[[#This Row],[INVERSIONES FCI]],+Tabla5[[#This Row],[INVERSIONES FCI]]-BP188,Tabla5[[#This Row],[INVERSIONES FCI]])</f>
        <v>1624411568.817524</v>
      </c>
      <c r="BQ189" s="5">
        <f>IF($B188&lt;=Tabla5[[#This Row],[INVERSIONES FCI]],+Tabla5[[#This Row],[INVERSIONES FCI]]-BQ188,Tabla5[[#This Row],[INVERSIONES FCI]])</f>
        <v>1624411568.817524</v>
      </c>
      <c r="BR189" s="5">
        <f>IF($B188&lt;=Tabla5[[#This Row],[INVERSIONES FCI]],+Tabla5[[#This Row],[INVERSIONES FCI]]-BR188,Tabla5[[#This Row],[INVERSIONES FCI]])</f>
        <v>1624411568.817524</v>
      </c>
      <c r="BS189" s="5">
        <f>IF($B188&lt;=Tabla5[[#This Row],[INVERSIONES FCI]],+Tabla5[[#This Row],[INVERSIONES FCI]]-BS188,Tabla5[[#This Row],[INVERSIONES FCI]])</f>
        <v>1624411568.817524</v>
      </c>
      <c r="BT189" s="5">
        <f>IF($B188&lt;=Tabla5[[#This Row],[INVERSIONES FCI]],+Tabla5[[#This Row],[INVERSIONES FCI]]-BT188,Tabla5[[#This Row],[INVERSIONES FCI]])</f>
        <v>1624411568.817524</v>
      </c>
      <c r="BU189" s="5">
        <f>IF($B188&lt;=Tabla5[[#This Row],[INVERSIONES FCI]],+Tabla5[[#This Row],[INVERSIONES FCI]]-BU188,Tabla5[[#This Row],[INVERSIONES FCI]])</f>
        <v>1624411568.817524</v>
      </c>
      <c r="BV189" s="5">
        <f>IF($B188&lt;=Tabla5[[#This Row],[INVERSIONES FCI]],+Tabla5[[#This Row],[INVERSIONES FCI]]-BV188,Tabla5[[#This Row],[INVERSIONES FCI]])</f>
        <v>1624411568.817524</v>
      </c>
      <c r="BW189" s="5">
        <f>IF($B188&lt;=Tabla5[[#This Row],[INVERSIONES FCI]],+Tabla5[[#This Row],[INVERSIONES FCI]]-BW188,Tabla5[[#This Row],[INVERSIONES FCI]])</f>
        <v>1624411568.817524</v>
      </c>
      <c r="BX189" s="5">
        <f>IF($B188&lt;=Tabla5[[#This Row],[INVERSIONES FCI]],+Tabla5[[#This Row],[INVERSIONES FCI]]-BX188,Tabla5[[#This Row],[INVERSIONES FCI]])</f>
        <v>1624411568.817524</v>
      </c>
      <c r="BY189" s="5">
        <f>IF($B188&lt;=Tabla5[[#This Row],[INVERSIONES FCI]],+Tabla5[[#This Row],[INVERSIONES FCI]]-BY188,Tabla5[[#This Row],[INVERSIONES FCI]])</f>
        <v>1624411568.817524</v>
      </c>
      <c r="BZ189" s="5">
        <f>IF($B188&lt;=Tabla5[[#This Row],[INVERSIONES FCI]],+Tabla5[[#This Row],[INVERSIONES FCI]]-BZ188,Tabla5[[#This Row],[INVERSIONES FCI]])</f>
        <v>1624411568.817524</v>
      </c>
      <c r="CA189" s="5">
        <f>IF($B188&lt;=Tabla5[[#This Row],[INVERSIONES FCI]],+Tabla5[[#This Row],[INVERSIONES FCI]]-CA188,Tabla5[[#This Row],[INVERSIONES FCI]])</f>
        <v>1624411568.817524</v>
      </c>
      <c r="CB189" s="5">
        <f>IF($B188&lt;=Tabla5[[#This Row],[INVERSIONES FCI]],+Tabla5[[#This Row],[INVERSIONES FCI]]-CB188,Tabla5[[#This Row],[INVERSIONES FCI]])</f>
        <v>1624411568.817524</v>
      </c>
      <c r="CC189" s="5">
        <f>IF($B188&lt;=Tabla5[[#This Row],[INVERSIONES FCI]],+Tabla5[[#This Row],[INVERSIONES FCI]]-CC188,Tabla5[[#This Row],[INVERSIONES FCI]])</f>
        <v>1624411568.817524</v>
      </c>
      <c r="CD189" s="5">
        <f>IF($B188&lt;=Tabla5[[#This Row],[INVERSIONES FCI]],+Tabla5[[#This Row],[INVERSIONES FCI]]-CD188,Tabla5[[#This Row],[INVERSIONES FCI]])</f>
        <v>1624411568.817524</v>
      </c>
      <c r="CE189" s="5">
        <f>IF($B188&lt;=Tabla5[[#This Row],[INVERSIONES FCI]],+Tabla5[[#This Row],[INVERSIONES FCI]]-CE188,Tabla5[[#This Row],[INVERSIONES FCI]])</f>
        <v>1624411568.817524</v>
      </c>
      <c r="CF189" s="5">
        <f>IF($B188&lt;=Tabla5[[#This Row],[INVERSIONES FCI]],+Tabla5[[#This Row],[INVERSIONES FCI]]-CF188,Tabla5[[#This Row],[INVERSIONES FCI]])</f>
        <v>1624411568.817524</v>
      </c>
      <c r="CG189" s="5">
        <f>IF($B188&lt;=Tabla5[[#This Row],[INVERSIONES FCI]],+Tabla5[[#This Row],[INVERSIONES FCI]]-CG188,Tabla5[[#This Row],[INVERSIONES FCI]])</f>
        <v>1624411568.817524</v>
      </c>
      <c r="CH189" s="5">
        <f>IF($B188&lt;=Tabla5[[#This Row],[INVERSIONES FCI]],+Tabla5[[#This Row],[INVERSIONES FCI]]-CH188,Tabla5[[#This Row],[INVERSIONES FCI]])</f>
        <v>1624411568.817524</v>
      </c>
      <c r="CI189" s="5">
        <f>IF($B188&lt;=Tabla5[[#This Row],[INVERSIONES FCI]],+Tabla5[[#This Row],[INVERSIONES FCI]]-CI188,Tabla5[[#This Row],[INVERSIONES FCI]])</f>
        <v>1624411568.817524</v>
      </c>
      <c r="CJ189" s="5">
        <f>IF($B188&lt;=Tabla5[[#This Row],[INVERSIONES FCI]],+Tabla5[[#This Row],[INVERSIONES FCI]]-CJ188,Tabla5[[#This Row],[INVERSIONES FCI]])</f>
        <v>1624411568.817524</v>
      </c>
      <c r="CK189" s="5">
        <f>IF($B188&lt;=Tabla5[[#This Row],[INVERSIONES FCI]],+Tabla5[[#This Row],[INVERSIONES FCI]]-CK188,Tabla5[[#This Row],[INVERSIONES FCI]])</f>
        <v>1624411568.817524</v>
      </c>
      <c r="CL189" s="5">
        <f>IF($B188&lt;=Tabla5[[#This Row],[INVERSIONES FCI]],+Tabla5[[#This Row],[INVERSIONES FCI]]-CL188,Tabla5[[#This Row],[INVERSIONES FCI]])</f>
        <v>1624411568.817524</v>
      </c>
      <c r="CM189" s="5">
        <f>IF($B188&lt;=Tabla5[[#This Row],[INVERSIONES FCI]],+Tabla5[[#This Row],[INVERSIONES FCI]]-CM188,Tabla5[[#This Row],[INVERSIONES FCI]])</f>
        <v>1624411568.817524</v>
      </c>
      <c r="CN189" s="5">
        <f>IF($B188&lt;=Tabla5[[#This Row],[INVERSIONES FCI]],+Tabla5[[#This Row],[INVERSIONES FCI]]-CN188,Tabla5[[#This Row],[INVERSIONES FCI]])</f>
        <v>1624411568.817524</v>
      </c>
      <c r="CO189" s="5">
        <f>IF($B188&lt;=Tabla5[[#This Row],[INVERSIONES FCI]],+Tabla5[[#This Row],[INVERSIONES FCI]]-CO188,Tabla5[[#This Row],[INVERSIONES FCI]])</f>
        <v>1624411568.817524</v>
      </c>
      <c r="CP189" s="5">
        <f>IF($B188&lt;=Tabla5[[#This Row],[INVERSIONES FCI]],+Tabla5[[#This Row],[INVERSIONES FCI]]-CP188,Tabla5[[#This Row],[INVERSIONES FCI]])</f>
        <v>1624411568.817524</v>
      </c>
      <c r="CQ189" s="5">
        <f>IF($B188&lt;=Tabla5[[#This Row],[INVERSIONES FCI]],+Tabla5[[#This Row],[INVERSIONES FCI]]-CQ188,Tabla5[[#This Row],[INVERSIONES FCI]])</f>
        <v>1624411568.817524</v>
      </c>
      <c r="CR189" s="5">
        <f>IF($B188&lt;=Tabla5[[#This Row],[INVERSIONES FCI]],+Tabla5[[#This Row],[INVERSIONES FCI]]-CR188,Tabla5[[#This Row],[INVERSIONES FCI]])</f>
        <v>1624411568.817524</v>
      </c>
      <c r="CS189" s="5">
        <f>IF($B188&lt;=Tabla5[[#This Row],[INVERSIONES FCI]],+Tabla5[[#This Row],[INVERSIONES FCI]]-CS188,Tabla5[[#This Row],[INVERSIONES FCI]])</f>
        <v>1624411568.817524</v>
      </c>
      <c r="CT189" s="5">
        <f>IF($B188&lt;=Tabla5[[#This Row],[INVERSIONES FCI]],+Tabla5[[#This Row],[INVERSIONES FCI]]-CT188,Tabla5[[#This Row],[INVERSIONES FCI]])</f>
        <v>1624411568.817524</v>
      </c>
      <c r="CU189" s="5">
        <f>IF($B188&lt;=Tabla5[[#This Row],[INVERSIONES FCI]],+Tabla5[[#This Row],[INVERSIONES FCI]]-CU188,Tabla5[[#This Row],[INVERSIONES FCI]])</f>
        <v>1624411568.817524</v>
      </c>
      <c r="CV189" s="5">
        <f>IF($B188&lt;=Tabla5[[#This Row],[INVERSIONES FCI]],+Tabla5[[#This Row],[INVERSIONES FCI]]-CV188,Tabla5[[#This Row],[INVERSIONES FCI]])</f>
        <v>1624411568.817524</v>
      </c>
      <c r="CW189" s="5">
        <f>IF($B188&lt;=Tabla5[[#This Row],[INVERSIONES FCI]],+Tabla5[[#This Row],[INVERSIONES FCI]]-CW188,Tabla5[[#This Row],[INVERSIONES FCI]])</f>
        <v>1624411568.817524</v>
      </c>
      <c r="CX189" s="5">
        <f>IF($B188&lt;=Tabla5[[#This Row],[INVERSIONES FCI]],+Tabla5[[#This Row],[INVERSIONES FCI]]-CX188,Tabla5[[#This Row],[INVERSIONES FCI]])</f>
        <v>1624411568.817524</v>
      </c>
      <c r="CY189" s="5">
        <f>IF($B188&lt;=Tabla5[[#This Row],[INVERSIONES FCI]],+Tabla5[[#This Row],[INVERSIONES FCI]]-CY188,Tabla5[[#This Row],[INVERSIONES FCI]])</f>
        <v>1624411568.817524</v>
      </c>
      <c r="CZ189" s="5">
        <f>IF($B188&lt;=Tabla5[[#This Row],[INVERSIONES FCI]],+Tabla5[[#This Row],[INVERSIONES FCI]]-CZ188,Tabla5[[#This Row],[INVERSIONES FCI]])</f>
        <v>1624411568.817524</v>
      </c>
      <c r="DA189" s="5">
        <f>IF($B188&lt;=Tabla5[[#This Row],[INVERSIONES FCI]],+Tabla5[[#This Row],[INVERSIONES FCI]]-DA188,Tabla5[[#This Row],[INVERSIONES FCI]])</f>
        <v>1624411568.817524</v>
      </c>
      <c r="DB189" s="5">
        <f>IF($B188&lt;=Tabla5[[#This Row],[INVERSIONES FCI]],+Tabla5[[#This Row],[INVERSIONES FCI]]-DB188,Tabla5[[#This Row],[INVERSIONES FCI]])</f>
        <v>1624411568.817524</v>
      </c>
      <c r="DC189" s="5">
        <f>IF($B188&lt;=Tabla5[[#This Row],[INVERSIONES FCI]],+Tabla5[[#This Row],[INVERSIONES FCI]]-DC188,Tabla5[[#This Row],[INVERSIONES FCI]])</f>
        <v>1624411568.817524</v>
      </c>
      <c r="DD189" s="5">
        <f>IF($B188&lt;=Tabla5[[#This Row],[INVERSIONES FCI]],+Tabla5[[#This Row],[INVERSIONES FCI]]-DD188,Tabla5[[#This Row],[INVERSIONES FCI]])</f>
        <v>1624411568.817524</v>
      </c>
      <c r="DE189" s="5">
        <f>IF($B188&lt;=Tabla5[[#This Row],[INVERSIONES FCI]],+Tabla5[[#This Row],[INVERSIONES FCI]]-DE188,Tabla5[[#This Row],[INVERSIONES FCI]])</f>
        <v>1624411568.817524</v>
      </c>
      <c r="DF189" s="5">
        <f>IF($B188&lt;=Tabla5[[#This Row],[INVERSIONES FCI]],+Tabla5[[#This Row],[INVERSIONES FCI]]-DF188,Tabla5[[#This Row],[INVERSIONES FCI]])</f>
        <v>1624411568.817524</v>
      </c>
      <c r="DG189" s="5">
        <f>IF($B188&lt;=Tabla5[[#This Row],[INVERSIONES FCI]],+Tabla5[[#This Row],[INVERSIONES FCI]]-DG188,Tabla5[[#This Row],[INVERSIONES FCI]])</f>
        <v>1624411568.817524</v>
      </c>
      <c r="DH189" s="5">
        <f>IF($B188&lt;=Tabla5[[#This Row],[INVERSIONES FCI]],+Tabla5[[#This Row],[INVERSIONES FCI]]-DH188,Tabla5[[#This Row],[INVERSIONES FCI]])</f>
        <v>1624411568.817524</v>
      </c>
      <c r="DI189" s="5">
        <f>IF($B188&lt;=Tabla5[[#This Row],[INVERSIONES FCI]],+Tabla5[[#This Row],[INVERSIONES FCI]]-DI188,Tabla5[[#This Row],[INVERSIONES FCI]])</f>
        <v>1624411568.817524</v>
      </c>
      <c r="DJ189" s="5">
        <f>IF($B188&lt;=Tabla5[[#This Row],[INVERSIONES FCI]],+Tabla5[[#This Row],[INVERSIONES FCI]]-DJ188,Tabla5[[#This Row],[INVERSIONES FCI]])</f>
        <v>1624411568.817524</v>
      </c>
      <c r="DK189" s="5">
        <f>IF($B188&lt;=Tabla5[[#This Row],[INVERSIONES FCI]],+Tabla5[[#This Row],[INVERSIONES FCI]]-DK188,Tabla5[[#This Row],[INVERSIONES FCI]])</f>
        <v>1624411568.817524</v>
      </c>
      <c r="DL189" s="5"/>
      <c r="DM189" s="5"/>
      <c r="DN189" s="5"/>
      <c r="DO189" s="5"/>
      <c r="DP189" s="5"/>
      <c r="DQ189" s="5"/>
    </row>
    <row r="190" spans="1:121" ht="14.4">
      <c r="A190" s="12" t="s">
        <v>189</v>
      </c>
      <c r="B190" s="5">
        <f>HLOOKUP($A190,ESCENARIO[#All],7,FALSE)</f>
        <v>21336135681.123367</v>
      </c>
      <c r="C190" s="5">
        <f>IF($B189&lt;=Tabla5[[#This Row],[INVERSIONES FCI]],+Tabla5[[#This Row],[INVERSIONES FCI]]-C189,Tabla5[[#This Row],[INVERSIONES FCI]])</f>
        <v>19711724112.305843</v>
      </c>
      <c r="D190" s="5">
        <f>IF($B189&lt;=Tabla5[[#This Row],[INVERSIONES FCI]],+Tabla5[[#This Row],[INVERSIONES FCI]]-D189,Tabla5[[#This Row],[INVERSIONES FCI]])</f>
        <v>19711724112.305843</v>
      </c>
      <c r="E190" s="5">
        <f>IF($B189&lt;=Tabla5[[#This Row],[INVERSIONES FCI]],+Tabla5[[#This Row],[INVERSIONES FCI]]-E189,Tabla5[[#This Row],[INVERSIONES FCI]])</f>
        <v>19711724112.305843</v>
      </c>
      <c r="F190" s="5">
        <f>IF($B189&lt;=Tabla5[[#This Row],[INVERSIONES FCI]],+Tabla5[[#This Row],[INVERSIONES FCI]]-F189,Tabla5[[#This Row],[INVERSIONES FCI]])</f>
        <v>19711724112.305843</v>
      </c>
      <c r="G190" s="5">
        <f>IF($B189&lt;=Tabla5[[#This Row],[INVERSIONES FCI]],+Tabla5[[#This Row],[INVERSIONES FCI]]-G189,Tabla5[[#This Row],[INVERSIONES FCI]])</f>
        <v>19711724112.305843</v>
      </c>
      <c r="H190" s="5">
        <f>IF($B189&lt;=Tabla5[[#This Row],[INVERSIONES FCI]],+Tabla5[[#This Row],[INVERSIONES FCI]]-H189,Tabla5[[#This Row],[INVERSIONES FCI]])</f>
        <v>19711724112.305843</v>
      </c>
      <c r="I190" s="5">
        <f>IF($B189&lt;=Tabla5[[#This Row],[INVERSIONES FCI]],+Tabla5[[#This Row],[INVERSIONES FCI]]-I189,Tabla5[[#This Row],[INVERSIONES FCI]])</f>
        <v>19711724112.305843</v>
      </c>
      <c r="J190" s="5">
        <f>IF($B189&lt;=Tabla5[[#This Row],[INVERSIONES FCI]],+Tabla5[[#This Row],[INVERSIONES FCI]]-J189,Tabla5[[#This Row],[INVERSIONES FCI]])</f>
        <v>19711724112.305843</v>
      </c>
      <c r="K190" s="5">
        <f>IF($B189&lt;=Tabla5[[#This Row],[INVERSIONES FCI]],+Tabla5[[#This Row],[INVERSIONES FCI]]-K189,Tabla5[[#This Row],[INVERSIONES FCI]])</f>
        <v>19711724112.305843</v>
      </c>
      <c r="L190" s="5">
        <f>IF($B189&lt;=Tabla5[[#This Row],[INVERSIONES FCI]],+Tabla5[[#This Row],[INVERSIONES FCI]]-L189,Tabla5[[#This Row],[INVERSIONES FCI]])</f>
        <v>19711724112.305843</v>
      </c>
      <c r="M190" s="5">
        <f>IF($B189&lt;=Tabla5[[#This Row],[INVERSIONES FCI]],+Tabla5[[#This Row],[INVERSIONES FCI]]-M189,Tabla5[[#This Row],[INVERSIONES FCI]])</f>
        <v>19711724112.305843</v>
      </c>
      <c r="N190" s="5">
        <f>IF($B189&lt;=Tabla5[[#This Row],[INVERSIONES FCI]],+Tabla5[[#This Row],[INVERSIONES FCI]]-N189,Tabla5[[#This Row],[INVERSIONES FCI]])</f>
        <v>19711724112.305843</v>
      </c>
      <c r="O190" s="5">
        <f>IF($B189&lt;=Tabla5[[#This Row],[INVERSIONES FCI]],+Tabla5[[#This Row],[INVERSIONES FCI]]-O189,Tabla5[[#This Row],[INVERSIONES FCI]])</f>
        <v>19711724112.305843</v>
      </c>
      <c r="P190" s="5">
        <f>IF($B189&lt;=Tabla5[[#This Row],[INVERSIONES FCI]],+Tabla5[[#This Row],[INVERSIONES FCI]]-P189,Tabla5[[#This Row],[INVERSIONES FCI]])</f>
        <v>19711724112.305843</v>
      </c>
      <c r="Q190" s="5">
        <f>IF($B189&lt;=Tabla5[[#This Row],[INVERSIONES FCI]],+Tabla5[[#This Row],[INVERSIONES FCI]]-Q189,Tabla5[[#This Row],[INVERSIONES FCI]])</f>
        <v>19711724112.305843</v>
      </c>
      <c r="R190" s="5">
        <f>IF($B189&lt;=Tabla5[[#This Row],[INVERSIONES FCI]],+Tabla5[[#This Row],[INVERSIONES FCI]]-R189,Tabla5[[#This Row],[INVERSIONES FCI]])</f>
        <v>19711724112.305843</v>
      </c>
      <c r="S190" s="5">
        <f>IF($B189&lt;=Tabla5[[#This Row],[INVERSIONES FCI]],+Tabla5[[#This Row],[INVERSIONES FCI]]-S189,Tabla5[[#This Row],[INVERSIONES FCI]])</f>
        <v>19711724112.305843</v>
      </c>
      <c r="T190" s="5">
        <f>IF($B189&lt;=Tabla5[[#This Row],[INVERSIONES FCI]],+Tabla5[[#This Row],[INVERSIONES FCI]]-T189,Tabla5[[#This Row],[INVERSIONES FCI]])</f>
        <v>19711724112.305843</v>
      </c>
      <c r="U190" s="5">
        <f>IF($B189&lt;=Tabla5[[#This Row],[INVERSIONES FCI]],+Tabla5[[#This Row],[INVERSIONES FCI]]-U189,Tabla5[[#This Row],[INVERSIONES FCI]])</f>
        <v>19711724112.305843</v>
      </c>
      <c r="V190" s="5">
        <f>IF($B189&lt;=Tabla5[[#This Row],[INVERSIONES FCI]],+Tabla5[[#This Row],[INVERSIONES FCI]]-V189,Tabla5[[#This Row],[INVERSIONES FCI]])</f>
        <v>19711724112.305843</v>
      </c>
      <c r="W190" s="5">
        <f>IF($B189&lt;=Tabla5[[#This Row],[INVERSIONES FCI]],+Tabla5[[#This Row],[INVERSIONES FCI]]-W189,Tabla5[[#This Row],[INVERSIONES FCI]])</f>
        <v>19711724112.305843</v>
      </c>
      <c r="X190" s="5">
        <f>IF($B189&lt;=Tabla5[[#This Row],[INVERSIONES FCI]],+Tabla5[[#This Row],[INVERSIONES FCI]]-X189,Tabla5[[#This Row],[INVERSIONES FCI]])</f>
        <v>19711724112.305843</v>
      </c>
      <c r="Y190" s="5">
        <f>IF($B189&lt;=Tabla5[[#This Row],[INVERSIONES FCI]],+Tabla5[[#This Row],[INVERSIONES FCI]]-Y189,Tabla5[[#This Row],[INVERSIONES FCI]])</f>
        <v>19711724112.305843</v>
      </c>
      <c r="Z190" s="5">
        <f>IF($B189&lt;=Tabla5[[#This Row],[INVERSIONES FCI]],+Tabla5[[#This Row],[INVERSIONES FCI]]-Z189,Tabla5[[#This Row],[INVERSIONES FCI]])</f>
        <v>19711724112.305843</v>
      </c>
      <c r="AA190" s="5">
        <f>IF($B189&lt;=Tabla5[[#This Row],[INVERSIONES FCI]],+Tabla5[[#This Row],[INVERSIONES FCI]]-AA189,Tabla5[[#This Row],[INVERSIONES FCI]])</f>
        <v>19711724112.305843</v>
      </c>
      <c r="AB190" s="5">
        <f>IF($B189&lt;=Tabla5[[#This Row],[INVERSIONES FCI]],+Tabla5[[#This Row],[INVERSIONES FCI]]-AB189,Tabla5[[#This Row],[INVERSIONES FCI]])</f>
        <v>19711724112.305843</v>
      </c>
      <c r="AC190" s="5">
        <f>IF($B189&lt;=Tabla5[[#This Row],[INVERSIONES FCI]],+Tabla5[[#This Row],[INVERSIONES FCI]]-AC189,Tabla5[[#This Row],[INVERSIONES FCI]])</f>
        <v>19711724112.305843</v>
      </c>
      <c r="AD190" s="5">
        <f>IF($B189&lt;=Tabla5[[#This Row],[INVERSIONES FCI]],+Tabla5[[#This Row],[INVERSIONES FCI]]-AD189,Tabla5[[#This Row],[INVERSIONES FCI]])</f>
        <v>19711724112.305843</v>
      </c>
      <c r="AE190" s="5">
        <f>IF($B189&lt;=Tabla5[[#This Row],[INVERSIONES FCI]],+Tabla5[[#This Row],[INVERSIONES FCI]]-AE189,Tabla5[[#This Row],[INVERSIONES FCI]])</f>
        <v>19711724112.305843</v>
      </c>
      <c r="AF190" s="5">
        <f>IF($B189&lt;=Tabla5[[#This Row],[INVERSIONES FCI]],+Tabla5[[#This Row],[INVERSIONES FCI]]-AF189,Tabla5[[#This Row],[INVERSIONES FCI]])</f>
        <v>19711724112.305843</v>
      </c>
      <c r="AG190" s="5">
        <f>IF($B189&lt;=Tabla5[[#This Row],[INVERSIONES FCI]],+Tabla5[[#This Row],[INVERSIONES FCI]]-AG189,Tabla5[[#This Row],[INVERSIONES FCI]])</f>
        <v>19711724112.305843</v>
      </c>
      <c r="AH190" s="5">
        <f>IF($B189&lt;=Tabla5[[#This Row],[INVERSIONES FCI]],+Tabla5[[#This Row],[INVERSIONES FCI]]-AH189,Tabla5[[#This Row],[INVERSIONES FCI]])</f>
        <v>19711724112.305843</v>
      </c>
      <c r="AI190" s="5">
        <f>IF($B189&lt;=Tabla5[[#This Row],[INVERSIONES FCI]],+Tabla5[[#This Row],[INVERSIONES FCI]]-AI189,Tabla5[[#This Row],[INVERSIONES FCI]])</f>
        <v>19711724112.305843</v>
      </c>
      <c r="AJ190" s="5">
        <f>IF($B189&lt;=Tabla5[[#This Row],[INVERSIONES FCI]],+Tabla5[[#This Row],[INVERSIONES FCI]]-AJ189,Tabla5[[#This Row],[INVERSIONES FCI]])</f>
        <v>19711724112.305843</v>
      </c>
      <c r="AK190" s="5">
        <f>IF($B189&lt;=Tabla5[[#This Row],[INVERSIONES FCI]],+Tabla5[[#This Row],[INVERSIONES FCI]]-AK189,Tabla5[[#This Row],[INVERSIONES FCI]])</f>
        <v>19711724112.305843</v>
      </c>
      <c r="AL190" s="5">
        <f>IF($B189&lt;=Tabla5[[#This Row],[INVERSIONES FCI]],+Tabla5[[#This Row],[INVERSIONES FCI]]-AL189,Tabla5[[#This Row],[INVERSIONES FCI]])</f>
        <v>19711724112.305843</v>
      </c>
      <c r="AM190" s="5">
        <f>IF($B189&lt;=Tabla5[[#This Row],[INVERSIONES FCI]],+Tabla5[[#This Row],[INVERSIONES FCI]]-AM189,Tabla5[[#This Row],[INVERSIONES FCI]])</f>
        <v>19711724112.305843</v>
      </c>
      <c r="AN190" s="5">
        <f>IF($B189&lt;=Tabla5[[#This Row],[INVERSIONES FCI]],+Tabla5[[#This Row],[INVERSIONES FCI]]-AN189,Tabla5[[#This Row],[INVERSIONES FCI]])</f>
        <v>19711724112.305843</v>
      </c>
      <c r="AO190" s="5">
        <f>IF($B189&lt;=Tabla5[[#This Row],[INVERSIONES FCI]],+Tabla5[[#This Row],[INVERSIONES FCI]]-AO189,Tabla5[[#This Row],[INVERSIONES FCI]])</f>
        <v>19711724112.305843</v>
      </c>
      <c r="AP190" s="5">
        <f>IF($B189&lt;=Tabla5[[#This Row],[INVERSIONES FCI]],+Tabla5[[#This Row],[INVERSIONES FCI]]-AP189,Tabla5[[#This Row],[INVERSIONES FCI]])</f>
        <v>19711724112.305843</v>
      </c>
      <c r="AQ190" s="5">
        <f>IF($B189&lt;=Tabla5[[#This Row],[INVERSIONES FCI]],+Tabla5[[#This Row],[INVERSIONES FCI]]-AQ189,Tabla5[[#This Row],[INVERSIONES FCI]])</f>
        <v>19711724112.305843</v>
      </c>
      <c r="AR190" s="5">
        <f>IF($B189&lt;=Tabla5[[#This Row],[INVERSIONES FCI]],+Tabla5[[#This Row],[INVERSIONES FCI]]-AR189,Tabla5[[#This Row],[INVERSIONES FCI]])</f>
        <v>19711724112.305843</v>
      </c>
      <c r="AS190" s="5">
        <f>IF($B189&lt;=Tabla5[[#This Row],[INVERSIONES FCI]],+Tabla5[[#This Row],[INVERSIONES FCI]]-AS189,Tabla5[[#This Row],[INVERSIONES FCI]])</f>
        <v>19711724112.305843</v>
      </c>
      <c r="AT190" s="5">
        <f>IF($B189&lt;=Tabla5[[#This Row],[INVERSIONES FCI]],+Tabla5[[#This Row],[INVERSIONES FCI]]-AT189,Tabla5[[#This Row],[INVERSIONES FCI]])</f>
        <v>19711724112.305843</v>
      </c>
      <c r="AU190" s="5">
        <f>IF($B189&lt;=Tabla5[[#This Row],[INVERSIONES FCI]],+Tabla5[[#This Row],[INVERSIONES FCI]]-AU189,Tabla5[[#This Row],[INVERSIONES FCI]])</f>
        <v>19711724112.305843</v>
      </c>
      <c r="AV190" s="5">
        <f>IF($B189&lt;=Tabla5[[#This Row],[INVERSIONES FCI]],+Tabla5[[#This Row],[INVERSIONES FCI]]-AV189,Tabla5[[#This Row],[INVERSIONES FCI]])</f>
        <v>19711724112.305843</v>
      </c>
      <c r="AW190" s="5">
        <f>IF($B189&lt;=Tabla5[[#This Row],[INVERSIONES FCI]],+Tabla5[[#This Row],[INVERSIONES FCI]]-AW189,Tabla5[[#This Row],[INVERSIONES FCI]])</f>
        <v>19711724112.305843</v>
      </c>
      <c r="AX190" s="5">
        <f>IF($B189&lt;=Tabla5[[#This Row],[INVERSIONES FCI]],+Tabla5[[#This Row],[INVERSIONES FCI]]-AX189,Tabla5[[#This Row],[INVERSIONES FCI]])</f>
        <v>19711724112.305843</v>
      </c>
      <c r="AY190" s="5">
        <f>IF($B189&lt;=Tabla5[[#This Row],[INVERSIONES FCI]],+Tabla5[[#This Row],[INVERSIONES FCI]]-AY189,Tabla5[[#This Row],[INVERSIONES FCI]])</f>
        <v>19711724112.305843</v>
      </c>
      <c r="AZ190" s="5">
        <f>IF($B189&lt;=Tabla5[[#This Row],[INVERSIONES FCI]],+Tabla5[[#This Row],[INVERSIONES FCI]]-AZ189,Tabla5[[#This Row],[INVERSIONES FCI]])</f>
        <v>19711724112.305843</v>
      </c>
      <c r="BA190" s="5">
        <f>IF($B189&lt;=Tabla5[[#This Row],[INVERSIONES FCI]],+Tabla5[[#This Row],[INVERSIONES FCI]]-BA189,Tabla5[[#This Row],[INVERSIONES FCI]])</f>
        <v>19711724112.305843</v>
      </c>
      <c r="BB190" s="5">
        <f>IF($B189&lt;=Tabla5[[#This Row],[INVERSIONES FCI]],+Tabla5[[#This Row],[INVERSIONES FCI]]-BB189,Tabla5[[#This Row],[INVERSIONES FCI]])</f>
        <v>19711724112.305843</v>
      </c>
      <c r="BC190" s="5">
        <f>IF($B189&lt;=Tabla5[[#This Row],[INVERSIONES FCI]],+Tabla5[[#This Row],[INVERSIONES FCI]]-BC189,Tabla5[[#This Row],[INVERSIONES FCI]])</f>
        <v>19711724112.305843</v>
      </c>
      <c r="BD190" s="5">
        <f>IF($B189&lt;=Tabla5[[#This Row],[INVERSIONES FCI]],+Tabla5[[#This Row],[INVERSIONES FCI]]-BD189,Tabla5[[#This Row],[INVERSIONES FCI]])</f>
        <v>19711724112.305843</v>
      </c>
      <c r="BE190" s="5">
        <f>IF($B189&lt;=Tabla5[[#This Row],[INVERSIONES FCI]],+Tabla5[[#This Row],[INVERSIONES FCI]]-BE189,Tabla5[[#This Row],[INVERSIONES FCI]])</f>
        <v>19711724112.305843</v>
      </c>
      <c r="BF190" s="5">
        <f>IF($B189&lt;=Tabla5[[#This Row],[INVERSIONES FCI]],+Tabla5[[#This Row],[INVERSIONES FCI]]-BF189,Tabla5[[#This Row],[INVERSIONES FCI]])</f>
        <v>19711724112.305843</v>
      </c>
      <c r="BG190" s="5">
        <f>IF($B189&lt;=Tabla5[[#This Row],[INVERSIONES FCI]],+Tabla5[[#This Row],[INVERSIONES FCI]]-BG189,Tabla5[[#This Row],[INVERSIONES FCI]])</f>
        <v>19711724112.305843</v>
      </c>
      <c r="BH190" s="5">
        <f>IF($B189&lt;=Tabla5[[#This Row],[INVERSIONES FCI]],+Tabla5[[#This Row],[INVERSIONES FCI]]-BH189,Tabla5[[#This Row],[INVERSIONES FCI]])</f>
        <v>19711724112.305843</v>
      </c>
      <c r="BI190" s="5">
        <f>IF($B189&lt;=Tabla5[[#This Row],[INVERSIONES FCI]],+Tabla5[[#This Row],[INVERSIONES FCI]]-BI189,Tabla5[[#This Row],[INVERSIONES FCI]])</f>
        <v>19711724112.305843</v>
      </c>
      <c r="BJ190" s="5">
        <f>IF($B189&lt;=Tabla5[[#This Row],[INVERSIONES FCI]],+Tabla5[[#This Row],[INVERSIONES FCI]]-BJ189,Tabla5[[#This Row],[INVERSIONES FCI]])</f>
        <v>19711724112.305843</v>
      </c>
      <c r="BK190" s="5">
        <f>IF($B189&lt;=Tabla5[[#This Row],[INVERSIONES FCI]],+Tabla5[[#This Row],[INVERSIONES FCI]]-BK189,Tabla5[[#This Row],[INVERSIONES FCI]])</f>
        <v>19711724112.305843</v>
      </c>
      <c r="BL190" s="5">
        <f>IF($B189&lt;=Tabla5[[#This Row],[INVERSIONES FCI]],+Tabla5[[#This Row],[INVERSIONES FCI]]-BL189,Tabla5[[#This Row],[INVERSIONES FCI]])</f>
        <v>19711724112.305843</v>
      </c>
      <c r="BM190" s="5">
        <f>IF($B189&lt;=Tabla5[[#This Row],[INVERSIONES FCI]],+Tabla5[[#This Row],[INVERSIONES FCI]]-BM189,Tabla5[[#This Row],[INVERSIONES FCI]])</f>
        <v>19711724112.305843</v>
      </c>
      <c r="BN190" s="5">
        <f>IF($B189&lt;=Tabla5[[#This Row],[INVERSIONES FCI]],+Tabla5[[#This Row],[INVERSIONES FCI]]-BN189,Tabla5[[#This Row],[INVERSIONES FCI]])</f>
        <v>19711724112.305843</v>
      </c>
      <c r="BO190" s="5">
        <f>IF($B189&lt;=Tabla5[[#This Row],[INVERSIONES FCI]],+Tabla5[[#This Row],[INVERSIONES FCI]]-BO189,Tabla5[[#This Row],[INVERSIONES FCI]])</f>
        <v>19711724112.305843</v>
      </c>
      <c r="BP190" s="5">
        <f>IF($B189&lt;=Tabla5[[#This Row],[INVERSIONES FCI]],+Tabla5[[#This Row],[INVERSIONES FCI]]-BP189,Tabla5[[#This Row],[INVERSIONES FCI]])</f>
        <v>19711724112.305843</v>
      </c>
      <c r="BQ190" s="5">
        <f>IF($B189&lt;=Tabla5[[#This Row],[INVERSIONES FCI]],+Tabla5[[#This Row],[INVERSIONES FCI]]-BQ189,Tabla5[[#This Row],[INVERSIONES FCI]])</f>
        <v>19711724112.305843</v>
      </c>
      <c r="BR190" s="5">
        <f>IF($B189&lt;=Tabla5[[#This Row],[INVERSIONES FCI]],+Tabla5[[#This Row],[INVERSIONES FCI]]-BR189,Tabla5[[#This Row],[INVERSIONES FCI]])</f>
        <v>19711724112.305843</v>
      </c>
      <c r="BS190" s="5">
        <f>IF($B189&lt;=Tabla5[[#This Row],[INVERSIONES FCI]],+Tabla5[[#This Row],[INVERSIONES FCI]]-BS189,Tabla5[[#This Row],[INVERSIONES FCI]])</f>
        <v>19711724112.305843</v>
      </c>
      <c r="BT190" s="5">
        <f>IF($B189&lt;=Tabla5[[#This Row],[INVERSIONES FCI]],+Tabla5[[#This Row],[INVERSIONES FCI]]-BT189,Tabla5[[#This Row],[INVERSIONES FCI]])</f>
        <v>19711724112.305843</v>
      </c>
      <c r="BU190" s="5">
        <f>IF($B189&lt;=Tabla5[[#This Row],[INVERSIONES FCI]],+Tabla5[[#This Row],[INVERSIONES FCI]]-BU189,Tabla5[[#This Row],[INVERSIONES FCI]])</f>
        <v>19711724112.305843</v>
      </c>
      <c r="BV190" s="5">
        <f>IF($B189&lt;=Tabla5[[#This Row],[INVERSIONES FCI]],+Tabla5[[#This Row],[INVERSIONES FCI]]-BV189,Tabla5[[#This Row],[INVERSIONES FCI]])</f>
        <v>19711724112.305843</v>
      </c>
      <c r="BW190" s="5">
        <f>IF($B189&lt;=Tabla5[[#This Row],[INVERSIONES FCI]],+Tabla5[[#This Row],[INVERSIONES FCI]]-BW189,Tabla5[[#This Row],[INVERSIONES FCI]])</f>
        <v>19711724112.305843</v>
      </c>
      <c r="BX190" s="5">
        <f>IF($B189&lt;=Tabla5[[#This Row],[INVERSIONES FCI]],+Tabla5[[#This Row],[INVERSIONES FCI]]-BX189,Tabla5[[#This Row],[INVERSIONES FCI]])</f>
        <v>19711724112.305843</v>
      </c>
      <c r="BY190" s="5">
        <f>IF($B189&lt;=Tabla5[[#This Row],[INVERSIONES FCI]],+Tabla5[[#This Row],[INVERSIONES FCI]]-BY189,Tabla5[[#This Row],[INVERSIONES FCI]])</f>
        <v>19711724112.305843</v>
      </c>
      <c r="BZ190" s="5">
        <f>IF($B189&lt;=Tabla5[[#This Row],[INVERSIONES FCI]],+Tabla5[[#This Row],[INVERSIONES FCI]]-BZ189,Tabla5[[#This Row],[INVERSIONES FCI]])</f>
        <v>19711724112.305843</v>
      </c>
      <c r="CA190" s="5">
        <f>IF($B189&lt;=Tabla5[[#This Row],[INVERSIONES FCI]],+Tabla5[[#This Row],[INVERSIONES FCI]]-CA189,Tabla5[[#This Row],[INVERSIONES FCI]])</f>
        <v>19711724112.305843</v>
      </c>
      <c r="CB190" s="5">
        <f>IF($B189&lt;=Tabla5[[#This Row],[INVERSIONES FCI]],+Tabla5[[#This Row],[INVERSIONES FCI]]-CB189,Tabla5[[#This Row],[INVERSIONES FCI]])</f>
        <v>19711724112.305843</v>
      </c>
      <c r="CC190" s="5">
        <f>IF($B189&lt;=Tabla5[[#This Row],[INVERSIONES FCI]],+Tabla5[[#This Row],[INVERSIONES FCI]]-CC189,Tabla5[[#This Row],[INVERSIONES FCI]])</f>
        <v>19711724112.305843</v>
      </c>
      <c r="CD190" s="5">
        <f>IF($B189&lt;=Tabla5[[#This Row],[INVERSIONES FCI]],+Tabla5[[#This Row],[INVERSIONES FCI]]-CD189,Tabla5[[#This Row],[INVERSIONES FCI]])</f>
        <v>19711724112.305843</v>
      </c>
      <c r="CE190" s="5">
        <f>IF($B189&lt;=Tabla5[[#This Row],[INVERSIONES FCI]],+Tabla5[[#This Row],[INVERSIONES FCI]]-CE189,Tabla5[[#This Row],[INVERSIONES FCI]])</f>
        <v>19711724112.305843</v>
      </c>
      <c r="CF190" s="5">
        <f>IF($B189&lt;=Tabla5[[#This Row],[INVERSIONES FCI]],+Tabla5[[#This Row],[INVERSIONES FCI]]-CF189,Tabla5[[#This Row],[INVERSIONES FCI]])</f>
        <v>19711724112.305843</v>
      </c>
      <c r="CG190" s="5">
        <f>IF($B189&lt;=Tabla5[[#This Row],[INVERSIONES FCI]],+Tabla5[[#This Row],[INVERSIONES FCI]]-CG189,Tabla5[[#This Row],[INVERSIONES FCI]])</f>
        <v>19711724112.305843</v>
      </c>
      <c r="CH190" s="5">
        <f>IF($B189&lt;=Tabla5[[#This Row],[INVERSIONES FCI]],+Tabla5[[#This Row],[INVERSIONES FCI]]-CH189,Tabla5[[#This Row],[INVERSIONES FCI]])</f>
        <v>19711724112.305843</v>
      </c>
      <c r="CI190" s="5">
        <f>IF($B189&lt;=Tabla5[[#This Row],[INVERSIONES FCI]],+Tabla5[[#This Row],[INVERSIONES FCI]]-CI189,Tabla5[[#This Row],[INVERSIONES FCI]])</f>
        <v>19711724112.305843</v>
      </c>
      <c r="CJ190" s="5">
        <f>IF($B189&lt;=Tabla5[[#This Row],[INVERSIONES FCI]],+Tabla5[[#This Row],[INVERSIONES FCI]]-CJ189,Tabla5[[#This Row],[INVERSIONES FCI]])</f>
        <v>19711724112.305843</v>
      </c>
      <c r="CK190" s="5">
        <f>IF($B189&lt;=Tabla5[[#This Row],[INVERSIONES FCI]],+Tabla5[[#This Row],[INVERSIONES FCI]]-CK189,Tabla5[[#This Row],[INVERSIONES FCI]])</f>
        <v>19711724112.305843</v>
      </c>
      <c r="CL190" s="5">
        <f>IF($B189&lt;=Tabla5[[#This Row],[INVERSIONES FCI]],+Tabla5[[#This Row],[INVERSIONES FCI]]-CL189,Tabla5[[#This Row],[INVERSIONES FCI]])</f>
        <v>19711724112.305843</v>
      </c>
      <c r="CM190" s="5">
        <f>IF($B189&lt;=Tabla5[[#This Row],[INVERSIONES FCI]],+Tabla5[[#This Row],[INVERSIONES FCI]]-CM189,Tabla5[[#This Row],[INVERSIONES FCI]])</f>
        <v>19711724112.305843</v>
      </c>
      <c r="CN190" s="5">
        <f>IF($B189&lt;=Tabla5[[#This Row],[INVERSIONES FCI]],+Tabla5[[#This Row],[INVERSIONES FCI]]-CN189,Tabla5[[#This Row],[INVERSIONES FCI]])</f>
        <v>19711724112.305843</v>
      </c>
      <c r="CO190" s="5">
        <f>IF($B189&lt;=Tabla5[[#This Row],[INVERSIONES FCI]],+Tabla5[[#This Row],[INVERSIONES FCI]]-CO189,Tabla5[[#This Row],[INVERSIONES FCI]])</f>
        <v>19711724112.305843</v>
      </c>
      <c r="CP190" s="5">
        <f>IF($B189&lt;=Tabla5[[#This Row],[INVERSIONES FCI]],+Tabla5[[#This Row],[INVERSIONES FCI]]-CP189,Tabla5[[#This Row],[INVERSIONES FCI]])</f>
        <v>19711724112.305843</v>
      </c>
      <c r="CQ190" s="5">
        <f>IF($B189&lt;=Tabla5[[#This Row],[INVERSIONES FCI]],+Tabla5[[#This Row],[INVERSIONES FCI]]-CQ189,Tabla5[[#This Row],[INVERSIONES FCI]])</f>
        <v>19711724112.305843</v>
      </c>
      <c r="CR190" s="5">
        <f>IF($B189&lt;=Tabla5[[#This Row],[INVERSIONES FCI]],+Tabla5[[#This Row],[INVERSIONES FCI]]-CR189,Tabla5[[#This Row],[INVERSIONES FCI]])</f>
        <v>19711724112.305843</v>
      </c>
      <c r="CS190" s="5">
        <f>IF($B189&lt;=Tabla5[[#This Row],[INVERSIONES FCI]],+Tabla5[[#This Row],[INVERSIONES FCI]]-CS189,Tabla5[[#This Row],[INVERSIONES FCI]])</f>
        <v>19711724112.305843</v>
      </c>
      <c r="CT190" s="5">
        <f>IF($B189&lt;=Tabla5[[#This Row],[INVERSIONES FCI]],+Tabla5[[#This Row],[INVERSIONES FCI]]-CT189,Tabla5[[#This Row],[INVERSIONES FCI]])</f>
        <v>19711724112.305843</v>
      </c>
      <c r="CU190" s="5">
        <f>IF($B189&lt;=Tabla5[[#This Row],[INVERSIONES FCI]],+Tabla5[[#This Row],[INVERSIONES FCI]]-CU189,Tabla5[[#This Row],[INVERSIONES FCI]])</f>
        <v>19711724112.305843</v>
      </c>
      <c r="CV190" s="5">
        <f>IF($B189&lt;=Tabla5[[#This Row],[INVERSIONES FCI]],+Tabla5[[#This Row],[INVERSIONES FCI]]-CV189,Tabla5[[#This Row],[INVERSIONES FCI]])</f>
        <v>19711724112.305843</v>
      </c>
      <c r="CW190" s="5">
        <f>IF($B189&lt;=Tabla5[[#This Row],[INVERSIONES FCI]],+Tabla5[[#This Row],[INVERSIONES FCI]]-CW189,Tabla5[[#This Row],[INVERSIONES FCI]])</f>
        <v>19711724112.305843</v>
      </c>
      <c r="CX190" s="5">
        <f>IF($B189&lt;=Tabla5[[#This Row],[INVERSIONES FCI]],+Tabla5[[#This Row],[INVERSIONES FCI]]-CX189,Tabla5[[#This Row],[INVERSIONES FCI]])</f>
        <v>19711724112.305843</v>
      </c>
      <c r="CY190" s="5">
        <f>IF($B189&lt;=Tabla5[[#This Row],[INVERSIONES FCI]],+Tabla5[[#This Row],[INVERSIONES FCI]]-CY189,Tabla5[[#This Row],[INVERSIONES FCI]])</f>
        <v>19711724112.305843</v>
      </c>
      <c r="CZ190" s="5">
        <f>IF($B189&lt;=Tabla5[[#This Row],[INVERSIONES FCI]],+Tabla5[[#This Row],[INVERSIONES FCI]]-CZ189,Tabla5[[#This Row],[INVERSIONES FCI]])</f>
        <v>19711724112.305843</v>
      </c>
      <c r="DA190" s="5">
        <f>IF($B189&lt;=Tabla5[[#This Row],[INVERSIONES FCI]],+Tabla5[[#This Row],[INVERSIONES FCI]]-DA189,Tabla5[[#This Row],[INVERSIONES FCI]])</f>
        <v>19711724112.305843</v>
      </c>
      <c r="DB190" s="5">
        <f>IF($B189&lt;=Tabla5[[#This Row],[INVERSIONES FCI]],+Tabla5[[#This Row],[INVERSIONES FCI]]-DB189,Tabla5[[#This Row],[INVERSIONES FCI]])</f>
        <v>19711724112.305843</v>
      </c>
      <c r="DC190" s="5">
        <f>IF($B189&lt;=Tabla5[[#This Row],[INVERSIONES FCI]],+Tabla5[[#This Row],[INVERSIONES FCI]]-DC189,Tabla5[[#This Row],[INVERSIONES FCI]])</f>
        <v>19711724112.305843</v>
      </c>
      <c r="DD190" s="5">
        <f>IF($B189&lt;=Tabla5[[#This Row],[INVERSIONES FCI]],+Tabla5[[#This Row],[INVERSIONES FCI]]-DD189,Tabla5[[#This Row],[INVERSIONES FCI]])</f>
        <v>19711724112.305843</v>
      </c>
      <c r="DE190" s="5">
        <f>IF($B189&lt;=Tabla5[[#This Row],[INVERSIONES FCI]],+Tabla5[[#This Row],[INVERSIONES FCI]]-DE189,Tabla5[[#This Row],[INVERSIONES FCI]])</f>
        <v>19711724112.305843</v>
      </c>
      <c r="DF190" s="5">
        <f>IF($B189&lt;=Tabla5[[#This Row],[INVERSIONES FCI]],+Tabla5[[#This Row],[INVERSIONES FCI]]-DF189,Tabla5[[#This Row],[INVERSIONES FCI]])</f>
        <v>19711724112.305843</v>
      </c>
      <c r="DG190" s="5">
        <f>IF($B189&lt;=Tabla5[[#This Row],[INVERSIONES FCI]],+Tabla5[[#This Row],[INVERSIONES FCI]]-DG189,Tabla5[[#This Row],[INVERSIONES FCI]])</f>
        <v>19711724112.305843</v>
      </c>
      <c r="DH190" s="5">
        <f>IF($B189&lt;=Tabla5[[#This Row],[INVERSIONES FCI]],+Tabla5[[#This Row],[INVERSIONES FCI]]-DH189,Tabla5[[#This Row],[INVERSIONES FCI]])</f>
        <v>19711724112.305843</v>
      </c>
      <c r="DI190" s="5">
        <f>IF($B189&lt;=Tabla5[[#This Row],[INVERSIONES FCI]],+Tabla5[[#This Row],[INVERSIONES FCI]]-DI189,Tabla5[[#This Row],[INVERSIONES FCI]])</f>
        <v>19711724112.305843</v>
      </c>
      <c r="DJ190" s="5">
        <f>IF($B189&lt;=Tabla5[[#This Row],[INVERSIONES FCI]],+Tabla5[[#This Row],[INVERSIONES FCI]]-DJ189,Tabla5[[#This Row],[INVERSIONES FCI]])</f>
        <v>19711724112.305843</v>
      </c>
      <c r="DK190" s="5">
        <f>IF($B189&lt;=Tabla5[[#This Row],[INVERSIONES FCI]],+Tabla5[[#This Row],[INVERSIONES FCI]]-DK189,Tabla5[[#This Row],[INVERSIONES FCI]])</f>
        <v>19711724112.305843</v>
      </c>
      <c r="DL190" s="5"/>
      <c r="DM190" s="5"/>
      <c r="DN190" s="5"/>
      <c r="DO190" s="5"/>
      <c r="DP190" s="5"/>
      <c r="DQ190" s="5"/>
    </row>
    <row r="191" spans="1:121" ht="14.4">
      <c r="A191" s="12" t="s">
        <v>190</v>
      </c>
      <c r="B191" s="5">
        <f>HLOOKUP($A191,ESCENARIO[#All],7,FALSE)</f>
        <v>21336135681.123367</v>
      </c>
      <c r="C191" s="5">
        <f>IF($B190&lt;=Tabla5[[#This Row],[INVERSIONES FCI]],+Tabla5[[#This Row],[INVERSIONES FCI]]-C190,Tabla5[[#This Row],[INVERSIONES FCI]])</f>
        <v>1624411568.817524</v>
      </c>
      <c r="D191" s="5">
        <f>IF($B190&lt;=Tabla5[[#This Row],[INVERSIONES FCI]],+Tabla5[[#This Row],[INVERSIONES FCI]]-D190,Tabla5[[#This Row],[INVERSIONES FCI]])</f>
        <v>1624411568.817524</v>
      </c>
      <c r="E191" s="5">
        <f>IF($B190&lt;=Tabla5[[#This Row],[INVERSIONES FCI]],+Tabla5[[#This Row],[INVERSIONES FCI]]-E190,Tabla5[[#This Row],[INVERSIONES FCI]])</f>
        <v>1624411568.817524</v>
      </c>
      <c r="F191" s="5">
        <f>IF($B190&lt;=Tabla5[[#This Row],[INVERSIONES FCI]],+Tabla5[[#This Row],[INVERSIONES FCI]]-F190,Tabla5[[#This Row],[INVERSIONES FCI]])</f>
        <v>1624411568.817524</v>
      </c>
      <c r="G191" s="5">
        <f>IF($B190&lt;=Tabla5[[#This Row],[INVERSIONES FCI]],+Tabla5[[#This Row],[INVERSIONES FCI]]-G190,Tabla5[[#This Row],[INVERSIONES FCI]])</f>
        <v>1624411568.817524</v>
      </c>
      <c r="H191" s="5">
        <f>IF($B190&lt;=Tabla5[[#This Row],[INVERSIONES FCI]],+Tabla5[[#This Row],[INVERSIONES FCI]]-H190,Tabla5[[#This Row],[INVERSIONES FCI]])</f>
        <v>1624411568.817524</v>
      </c>
      <c r="I191" s="5">
        <f>IF($B190&lt;=Tabla5[[#This Row],[INVERSIONES FCI]],+Tabla5[[#This Row],[INVERSIONES FCI]]-I190,Tabla5[[#This Row],[INVERSIONES FCI]])</f>
        <v>1624411568.817524</v>
      </c>
      <c r="J191" s="5">
        <f>IF($B190&lt;=Tabla5[[#This Row],[INVERSIONES FCI]],+Tabla5[[#This Row],[INVERSIONES FCI]]-J190,Tabla5[[#This Row],[INVERSIONES FCI]])</f>
        <v>1624411568.817524</v>
      </c>
      <c r="K191" s="5">
        <f>IF($B190&lt;=Tabla5[[#This Row],[INVERSIONES FCI]],+Tabla5[[#This Row],[INVERSIONES FCI]]-K190,Tabla5[[#This Row],[INVERSIONES FCI]])</f>
        <v>1624411568.817524</v>
      </c>
      <c r="L191" s="5">
        <f>IF($B190&lt;=Tabla5[[#This Row],[INVERSIONES FCI]],+Tabla5[[#This Row],[INVERSIONES FCI]]-L190,Tabla5[[#This Row],[INVERSIONES FCI]])</f>
        <v>1624411568.817524</v>
      </c>
      <c r="M191" s="5">
        <f>IF($B190&lt;=Tabla5[[#This Row],[INVERSIONES FCI]],+Tabla5[[#This Row],[INVERSIONES FCI]]-M190,Tabla5[[#This Row],[INVERSIONES FCI]])</f>
        <v>1624411568.817524</v>
      </c>
      <c r="N191" s="5">
        <f>IF($B190&lt;=Tabla5[[#This Row],[INVERSIONES FCI]],+Tabla5[[#This Row],[INVERSIONES FCI]]-N190,Tabla5[[#This Row],[INVERSIONES FCI]])</f>
        <v>1624411568.817524</v>
      </c>
      <c r="O191" s="5">
        <f>IF($B190&lt;=Tabla5[[#This Row],[INVERSIONES FCI]],+Tabla5[[#This Row],[INVERSIONES FCI]]-O190,Tabla5[[#This Row],[INVERSIONES FCI]])</f>
        <v>1624411568.817524</v>
      </c>
      <c r="P191" s="5">
        <f>IF($B190&lt;=Tabla5[[#This Row],[INVERSIONES FCI]],+Tabla5[[#This Row],[INVERSIONES FCI]]-P190,Tabla5[[#This Row],[INVERSIONES FCI]])</f>
        <v>1624411568.817524</v>
      </c>
      <c r="Q191" s="5">
        <f>IF($B190&lt;=Tabla5[[#This Row],[INVERSIONES FCI]],+Tabla5[[#This Row],[INVERSIONES FCI]]-Q190,Tabla5[[#This Row],[INVERSIONES FCI]])</f>
        <v>1624411568.817524</v>
      </c>
      <c r="R191" s="5">
        <f>IF($B190&lt;=Tabla5[[#This Row],[INVERSIONES FCI]],+Tabla5[[#This Row],[INVERSIONES FCI]]-R190,Tabla5[[#This Row],[INVERSIONES FCI]])</f>
        <v>1624411568.817524</v>
      </c>
      <c r="S191" s="5">
        <f>IF($B190&lt;=Tabla5[[#This Row],[INVERSIONES FCI]],+Tabla5[[#This Row],[INVERSIONES FCI]]-S190,Tabla5[[#This Row],[INVERSIONES FCI]])</f>
        <v>1624411568.817524</v>
      </c>
      <c r="T191" s="5">
        <f>IF($B190&lt;=Tabla5[[#This Row],[INVERSIONES FCI]],+Tabla5[[#This Row],[INVERSIONES FCI]]-T190,Tabla5[[#This Row],[INVERSIONES FCI]])</f>
        <v>1624411568.817524</v>
      </c>
      <c r="U191" s="5">
        <f>IF($B190&lt;=Tabla5[[#This Row],[INVERSIONES FCI]],+Tabla5[[#This Row],[INVERSIONES FCI]]-U190,Tabla5[[#This Row],[INVERSIONES FCI]])</f>
        <v>1624411568.817524</v>
      </c>
      <c r="V191" s="5">
        <f>IF($B190&lt;=Tabla5[[#This Row],[INVERSIONES FCI]],+Tabla5[[#This Row],[INVERSIONES FCI]]-V190,Tabla5[[#This Row],[INVERSIONES FCI]])</f>
        <v>1624411568.817524</v>
      </c>
      <c r="W191" s="5">
        <f>IF($B190&lt;=Tabla5[[#This Row],[INVERSIONES FCI]],+Tabla5[[#This Row],[INVERSIONES FCI]]-W190,Tabla5[[#This Row],[INVERSIONES FCI]])</f>
        <v>1624411568.817524</v>
      </c>
      <c r="X191" s="5">
        <f>IF($B190&lt;=Tabla5[[#This Row],[INVERSIONES FCI]],+Tabla5[[#This Row],[INVERSIONES FCI]]-X190,Tabla5[[#This Row],[INVERSIONES FCI]])</f>
        <v>1624411568.817524</v>
      </c>
      <c r="Y191" s="5">
        <f>IF($B190&lt;=Tabla5[[#This Row],[INVERSIONES FCI]],+Tabla5[[#This Row],[INVERSIONES FCI]]-Y190,Tabla5[[#This Row],[INVERSIONES FCI]])</f>
        <v>1624411568.817524</v>
      </c>
      <c r="Z191" s="5">
        <f>IF($B190&lt;=Tabla5[[#This Row],[INVERSIONES FCI]],+Tabla5[[#This Row],[INVERSIONES FCI]]-Z190,Tabla5[[#This Row],[INVERSIONES FCI]])</f>
        <v>1624411568.817524</v>
      </c>
      <c r="AA191" s="5">
        <f>IF($B190&lt;=Tabla5[[#This Row],[INVERSIONES FCI]],+Tabla5[[#This Row],[INVERSIONES FCI]]-AA190,Tabla5[[#This Row],[INVERSIONES FCI]])</f>
        <v>1624411568.817524</v>
      </c>
      <c r="AB191" s="5">
        <f>IF($B190&lt;=Tabla5[[#This Row],[INVERSIONES FCI]],+Tabla5[[#This Row],[INVERSIONES FCI]]-AB190,Tabla5[[#This Row],[INVERSIONES FCI]])</f>
        <v>1624411568.817524</v>
      </c>
      <c r="AC191" s="5">
        <f>IF($B190&lt;=Tabla5[[#This Row],[INVERSIONES FCI]],+Tabla5[[#This Row],[INVERSIONES FCI]]-AC190,Tabla5[[#This Row],[INVERSIONES FCI]])</f>
        <v>1624411568.817524</v>
      </c>
      <c r="AD191" s="5">
        <f>IF($B190&lt;=Tabla5[[#This Row],[INVERSIONES FCI]],+Tabla5[[#This Row],[INVERSIONES FCI]]-AD190,Tabla5[[#This Row],[INVERSIONES FCI]])</f>
        <v>1624411568.817524</v>
      </c>
      <c r="AE191" s="5">
        <f>IF($B190&lt;=Tabla5[[#This Row],[INVERSIONES FCI]],+Tabla5[[#This Row],[INVERSIONES FCI]]-AE190,Tabla5[[#This Row],[INVERSIONES FCI]])</f>
        <v>1624411568.817524</v>
      </c>
      <c r="AF191" s="5">
        <f>IF($B190&lt;=Tabla5[[#This Row],[INVERSIONES FCI]],+Tabla5[[#This Row],[INVERSIONES FCI]]-AF190,Tabla5[[#This Row],[INVERSIONES FCI]])</f>
        <v>1624411568.817524</v>
      </c>
      <c r="AG191" s="5">
        <f>IF($B190&lt;=Tabla5[[#This Row],[INVERSIONES FCI]],+Tabla5[[#This Row],[INVERSIONES FCI]]-AG190,Tabla5[[#This Row],[INVERSIONES FCI]])</f>
        <v>1624411568.817524</v>
      </c>
      <c r="AH191" s="5">
        <f>IF($B190&lt;=Tabla5[[#This Row],[INVERSIONES FCI]],+Tabla5[[#This Row],[INVERSIONES FCI]]-AH190,Tabla5[[#This Row],[INVERSIONES FCI]])</f>
        <v>1624411568.817524</v>
      </c>
      <c r="AI191" s="5">
        <f>IF($B190&lt;=Tabla5[[#This Row],[INVERSIONES FCI]],+Tabla5[[#This Row],[INVERSIONES FCI]]-AI190,Tabla5[[#This Row],[INVERSIONES FCI]])</f>
        <v>1624411568.817524</v>
      </c>
      <c r="AJ191" s="5">
        <f>IF($B190&lt;=Tabla5[[#This Row],[INVERSIONES FCI]],+Tabla5[[#This Row],[INVERSIONES FCI]]-AJ190,Tabla5[[#This Row],[INVERSIONES FCI]])</f>
        <v>1624411568.817524</v>
      </c>
      <c r="AK191" s="5">
        <f>IF($B190&lt;=Tabla5[[#This Row],[INVERSIONES FCI]],+Tabla5[[#This Row],[INVERSIONES FCI]]-AK190,Tabla5[[#This Row],[INVERSIONES FCI]])</f>
        <v>1624411568.817524</v>
      </c>
      <c r="AL191" s="5">
        <f>IF($B190&lt;=Tabla5[[#This Row],[INVERSIONES FCI]],+Tabla5[[#This Row],[INVERSIONES FCI]]-AL190,Tabla5[[#This Row],[INVERSIONES FCI]])</f>
        <v>1624411568.817524</v>
      </c>
      <c r="AM191" s="5">
        <f>IF($B190&lt;=Tabla5[[#This Row],[INVERSIONES FCI]],+Tabla5[[#This Row],[INVERSIONES FCI]]-AM190,Tabla5[[#This Row],[INVERSIONES FCI]])</f>
        <v>1624411568.817524</v>
      </c>
      <c r="AN191" s="5">
        <f>IF($B190&lt;=Tabla5[[#This Row],[INVERSIONES FCI]],+Tabla5[[#This Row],[INVERSIONES FCI]]-AN190,Tabla5[[#This Row],[INVERSIONES FCI]])</f>
        <v>1624411568.817524</v>
      </c>
      <c r="AO191" s="5">
        <f>IF($B190&lt;=Tabla5[[#This Row],[INVERSIONES FCI]],+Tabla5[[#This Row],[INVERSIONES FCI]]-AO190,Tabla5[[#This Row],[INVERSIONES FCI]])</f>
        <v>1624411568.817524</v>
      </c>
      <c r="AP191" s="5">
        <f>IF($B190&lt;=Tabla5[[#This Row],[INVERSIONES FCI]],+Tabla5[[#This Row],[INVERSIONES FCI]]-AP190,Tabla5[[#This Row],[INVERSIONES FCI]])</f>
        <v>1624411568.817524</v>
      </c>
      <c r="AQ191" s="5">
        <f>IF($B190&lt;=Tabla5[[#This Row],[INVERSIONES FCI]],+Tabla5[[#This Row],[INVERSIONES FCI]]-AQ190,Tabla5[[#This Row],[INVERSIONES FCI]])</f>
        <v>1624411568.817524</v>
      </c>
      <c r="AR191" s="5">
        <f>IF($B190&lt;=Tabla5[[#This Row],[INVERSIONES FCI]],+Tabla5[[#This Row],[INVERSIONES FCI]]-AR190,Tabla5[[#This Row],[INVERSIONES FCI]])</f>
        <v>1624411568.817524</v>
      </c>
      <c r="AS191" s="5">
        <f>IF($B190&lt;=Tabla5[[#This Row],[INVERSIONES FCI]],+Tabla5[[#This Row],[INVERSIONES FCI]]-AS190,Tabla5[[#This Row],[INVERSIONES FCI]])</f>
        <v>1624411568.817524</v>
      </c>
      <c r="AT191" s="5">
        <f>IF($B190&lt;=Tabla5[[#This Row],[INVERSIONES FCI]],+Tabla5[[#This Row],[INVERSIONES FCI]]-AT190,Tabla5[[#This Row],[INVERSIONES FCI]])</f>
        <v>1624411568.817524</v>
      </c>
      <c r="AU191" s="5">
        <f>IF($B190&lt;=Tabla5[[#This Row],[INVERSIONES FCI]],+Tabla5[[#This Row],[INVERSIONES FCI]]-AU190,Tabla5[[#This Row],[INVERSIONES FCI]])</f>
        <v>1624411568.817524</v>
      </c>
      <c r="AV191" s="5">
        <f>IF($B190&lt;=Tabla5[[#This Row],[INVERSIONES FCI]],+Tabla5[[#This Row],[INVERSIONES FCI]]-AV190,Tabla5[[#This Row],[INVERSIONES FCI]])</f>
        <v>1624411568.817524</v>
      </c>
      <c r="AW191" s="5">
        <f>IF($B190&lt;=Tabla5[[#This Row],[INVERSIONES FCI]],+Tabla5[[#This Row],[INVERSIONES FCI]]-AW190,Tabla5[[#This Row],[INVERSIONES FCI]])</f>
        <v>1624411568.817524</v>
      </c>
      <c r="AX191" s="5">
        <f>IF($B190&lt;=Tabla5[[#This Row],[INVERSIONES FCI]],+Tabla5[[#This Row],[INVERSIONES FCI]]-AX190,Tabla5[[#This Row],[INVERSIONES FCI]])</f>
        <v>1624411568.817524</v>
      </c>
      <c r="AY191" s="5">
        <f>IF($B190&lt;=Tabla5[[#This Row],[INVERSIONES FCI]],+Tabla5[[#This Row],[INVERSIONES FCI]]-AY190,Tabla5[[#This Row],[INVERSIONES FCI]])</f>
        <v>1624411568.817524</v>
      </c>
      <c r="AZ191" s="5">
        <f>IF($B190&lt;=Tabla5[[#This Row],[INVERSIONES FCI]],+Tabla5[[#This Row],[INVERSIONES FCI]]-AZ190,Tabla5[[#This Row],[INVERSIONES FCI]])</f>
        <v>1624411568.817524</v>
      </c>
      <c r="BA191" s="5">
        <f>IF($B190&lt;=Tabla5[[#This Row],[INVERSIONES FCI]],+Tabla5[[#This Row],[INVERSIONES FCI]]-BA190,Tabla5[[#This Row],[INVERSIONES FCI]])</f>
        <v>1624411568.817524</v>
      </c>
      <c r="BB191" s="5">
        <f>IF($B190&lt;=Tabla5[[#This Row],[INVERSIONES FCI]],+Tabla5[[#This Row],[INVERSIONES FCI]]-BB190,Tabla5[[#This Row],[INVERSIONES FCI]])</f>
        <v>1624411568.817524</v>
      </c>
      <c r="BC191" s="5">
        <f>IF($B190&lt;=Tabla5[[#This Row],[INVERSIONES FCI]],+Tabla5[[#This Row],[INVERSIONES FCI]]-BC190,Tabla5[[#This Row],[INVERSIONES FCI]])</f>
        <v>1624411568.817524</v>
      </c>
      <c r="BD191" s="5">
        <f>IF($B190&lt;=Tabla5[[#This Row],[INVERSIONES FCI]],+Tabla5[[#This Row],[INVERSIONES FCI]]-BD190,Tabla5[[#This Row],[INVERSIONES FCI]])</f>
        <v>1624411568.817524</v>
      </c>
      <c r="BE191" s="5">
        <f>IF($B190&lt;=Tabla5[[#This Row],[INVERSIONES FCI]],+Tabla5[[#This Row],[INVERSIONES FCI]]-BE190,Tabla5[[#This Row],[INVERSIONES FCI]])</f>
        <v>1624411568.817524</v>
      </c>
      <c r="BF191" s="5">
        <f>IF($B190&lt;=Tabla5[[#This Row],[INVERSIONES FCI]],+Tabla5[[#This Row],[INVERSIONES FCI]]-BF190,Tabla5[[#This Row],[INVERSIONES FCI]])</f>
        <v>1624411568.817524</v>
      </c>
      <c r="BG191" s="5">
        <f>IF($B190&lt;=Tabla5[[#This Row],[INVERSIONES FCI]],+Tabla5[[#This Row],[INVERSIONES FCI]]-BG190,Tabla5[[#This Row],[INVERSIONES FCI]])</f>
        <v>1624411568.817524</v>
      </c>
      <c r="BH191" s="5">
        <f>IF($B190&lt;=Tabla5[[#This Row],[INVERSIONES FCI]],+Tabla5[[#This Row],[INVERSIONES FCI]]-BH190,Tabla5[[#This Row],[INVERSIONES FCI]])</f>
        <v>1624411568.817524</v>
      </c>
      <c r="BI191" s="5">
        <f>IF($B190&lt;=Tabla5[[#This Row],[INVERSIONES FCI]],+Tabla5[[#This Row],[INVERSIONES FCI]]-BI190,Tabla5[[#This Row],[INVERSIONES FCI]])</f>
        <v>1624411568.817524</v>
      </c>
      <c r="BJ191" s="5">
        <f>IF($B190&lt;=Tabla5[[#This Row],[INVERSIONES FCI]],+Tabla5[[#This Row],[INVERSIONES FCI]]-BJ190,Tabla5[[#This Row],[INVERSIONES FCI]])</f>
        <v>1624411568.817524</v>
      </c>
      <c r="BK191" s="5">
        <f>IF($B190&lt;=Tabla5[[#This Row],[INVERSIONES FCI]],+Tabla5[[#This Row],[INVERSIONES FCI]]-BK190,Tabla5[[#This Row],[INVERSIONES FCI]])</f>
        <v>1624411568.817524</v>
      </c>
      <c r="BL191" s="5">
        <f>IF($B190&lt;=Tabla5[[#This Row],[INVERSIONES FCI]],+Tabla5[[#This Row],[INVERSIONES FCI]]-BL190,Tabla5[[#This Row],[INVERSIONES FCI]])</f>
        <v>1624411568.817524</v>
      </c>
      <c r="BM191" s="5">
        <f>IF($B190&lt;=Tabla5[[#This Row],[INVERSIONES FCI]],+Tabla5[[#This Row],[INVERSIONES FCI]]-BM190,Tabla5[[#This Row],[INVERSIONES FCI]])</f>
        <v>1624411568.817524</v>
      </c>
      <c r="BN191" s="5">
        <f>IF($B190&lt;=Tabla5[[#This Row],[INVERSIONES FCI]],+Tabla5[[#This Row],[INVERSIONES FCI]]-BN190,Tabla5[[#This Row],[INVERSIONES FCI]])</f>
        <v>1624411568.817524</v>
      </c>
      <c r="BO191" s="5">
        <f>IF($B190&lt;=Tabla5[[#This Row],[INVERSIONES FCI]],+Tabla5[[#This Row],[INVERSIONES FCI]]-BO190,Tabla5[[#This Row],[INVERSIONES FCI]])</f>
        <v>1624411568.817524</v>
      </c>
      <c r="BP191" s="5">
        <f>IF($B190&lt;=Tabla5[[#This Row],[INVERSIONES FCI]],+Tabla5[[#This Row],[INVERSIONES FCI]]-BP190,Tabla5[[#This Row],[INVERSIONES FCI]])</f>
        <v>1624411568.817524</v>
      </c>
      <c r="BQ191" s="5">
        <f>IF($B190&lt;=Tabla5[[#This Row],[INVERSIONES FCI]],+Tabla5[[#This Row],[INVERSIONES FCI]]-BQ190,Tabla5[[#This Row],[INVERSIONES FCI]])</f>
        <v>1624411568.817524</v>
      </c>
      <c r="BR191" s="5">
        <f>IF($B190&lt;=Tabla5[[#This Row],[INVERSIONES FCI]],+Tabla5[[#This Row],[INVERSIONES FCI]]-BR190,Tabla5[[#This Row],[INVERSIONES FCI]])</f>
        <v>1624411568.817524</v>
      </c>
      <c r="BS191" s="5">
        <f>IF($B190&lt;=Tabla5[[#This Row],[INVERSIONES FCI]],+Tabla5[[#This Row],[INVERSIONES FCI]]-BS190,Tabla5[[#This Row],[INVERSIONES FCI]])</f>
        <v>1624411568.817524</v>
      </c>
      <c r="BT191" s="5">
        <f>IF($B190&lt;=Tabla5[[#This Row],[INVERSIONES FCI]],+Tabla5[[#This Row],[INVERSIONES FCI]]-BT190,Tabla5[[#This Row],[INVERSIONES FCI]])</f>
        <v>1624411568.817524</v>
      </c>
      <c r="BU191" s="5">
        <f>IF($B190&lt;=Tabla5[[#This Row],[INVERSIONES FCI]],+Tabla5[[#This Row],[INVERSIONES FCI]]-BU190,Tabla5[[#This Row],[INVERSIONES FCI]])</f>
        <v>1624411568.817524</v>
      </c>
      <c r="BV191" s="5">
        <f>IF($B190&lt;=Tabla5[[#This Row],[INVERSIONES FCI]],+Tabla5[[#This Row],[INVERSIONES FCI]]-BV190,Tabla5[[#This Row],[INVERSIONES FCI]])</f>
        <v>1624411568.817524</v>
      </c>
      <c r="BW191" s="5">
        <f>IF($B190&lt;=Tabla5[[#This Row],[INVERSIONES FCI]],+Tabla5[[#This Row],[INVERSIONES FCI]]-BW190,Tabla5[[#This Row],[INVERSIONES FCI]])</f>
        <v>1624411568.817524</v>
      </c>
      <c r="BX191" s="5">
        <f>IF($B190&lt;=Tabla5[[#This Row],[INVERSIONES FCI]],+Tabla5[[#This Row],[INVERSIONES FCI]]-BX190,Tabla5[[#This Row],[INVERSIONES FCI]])</f>
        <v>1624411568.817524</v>
      </c>
      <c r="BY191" s="5">
        <f>IF($B190&lt;=Tabla5[[#This Row],[INVERSIONES FCI]],+Tabla5[[#This Row],[INVERSIONES FCI]]-BY190,Tabla5[[#This Row],[INVERSIONES FCI]])</f>
        <v>1624411568.817524</v>
      </c>
      <c r="BZ191" s="5">
        <f>IF($B190&lt;=Tabla5[[#This Row],[INVERSIONES FCI]],+Tabla5[[#This Row],[INVERSIONES FCI]]-BZ190,Tabla5[[#This Row],[INVERSIONES FCI]])</f>
        <v>1624411568.817524</v>
      </c>
      <c r="CA191" s="5">
        <f>IF($B190&lt;=Tabla5[[#This Row],[INVERSIONES FCI]],+Tabla5[[#This Row],[INVERSIONES FCI]]-CA190,Tabla5[[#This Row],[INVERSIONES FCI]])</f>
        <v>1624411568.817524</v>
      </c>
      <c r="CB191" s="5">
        <f>IF($B190&lt;=Tabla5[[#This Row],[INVERSIONES FCI]],+Tabla5[[#This Row],[INVERSIONES FCI]]-CB190,Tabla5[[#This Row],[INVERSIONES FCI]])</f>
        <v>1624411568.817524</v>
      </c>
      <c r="CC191" s="5">
        <f>IF($B190&lt;=Tabla5[[#This Row],[INVERSIONES FCI]],+Tabla5[[#This Row],[INVERSIONES FCI]]-CC190,Tabla5[[#This Row],[INVERSIONES FCI]])</f>
        <v>1624411568.817524</v>
      </c>
      <c r="CD191" s="5">
        <f>IF($B190&lt;=Tabla5[[#This Row],[INVERSIONES FCI]],+Tabla5[[#This Row],[INVERSIONES FCI]]-CD190,Tabla5[[#This Row],[INVERSIONES FCI]])</f>
        <v>1624411568.817524</v>
      </c>
      <c r="CE191" s="5">
        <f>IF($B190&lt;=Tabla5[[#This Row],[INVERSIONES FCI]],+Tabla5[[#This Row],[INVERSIONES FCI]]-CE190,Tabla5[[#This Row],[INVERSIONES FCI]])</f>
        <v>1624411568.817524</v>
      </c>
      <c r="CF191" s="5">
        <f>IF($B190&lt;=Tabla5[[#This Row],[INVERSIONES FCI]],+Tabla5[[#This Row],[INVERSIONES FCI]]-CF190,Tabla5[[#This Row],[INVERSIONES FCI]])</f>
        <v>1624411568.817524</v>
      </c>
      <c r="CG191" s="5">
        <f>IF($B190&lt;=Tabla5[[#This Row],[INVERSIONES FCI]],+Tabla5[[#This Row],[INVERSIONES FCI]]-CG190,Tabla5[[#This Row],[INVERSIONES FCI]])</f>
        <v>1624411568.817524</v>
      </c>
      <c r="CH191" s="5">
        <f>IF($B190&lt;=Tabla5[[#This Row],[INVERSIONES FCI]],+Tabla5[[#This Row],[INVERSIONES FCI]]-CH190,Tabla5[[#This Row],[INVERSIONES FCI]])</f>
        <v>1624411568.817524</v>
      </c>
      <c r="CI191" s="5">
        <f>IF($B190&lt;=Tabla5[[#This Row],[INVERSIONES FCI]],+Tabla5[[#This Row],[INVERSIONES FCI]]-CI190,Tabla5[[#This Row],[INVERSIONES FCI]])</f>
        <v>1624411568.817524</v>
      </c>
      <c r="CJ191" s="5">
        <f>IF($B190&lt;=Tabla5[[#This Row],[INVERSIONES FCI]],+Tabla5[[#This Row],[INVERSIONES FCI]]-CJ190,Tabla5[[#This Row],[INVERSIONES FCI]])</f>
        <v>1624411568.817524</v>
      </c>
      <c r="CK191" s="5">
        <f>IF($B190&lt;=Tabla5[[#This Row],[INVERSIONES FCI]],+Tabla5[[#This Row],[INVERSIONES FCI]]-CK190,Tabla5[[#This Row],[INVERSIONES FCI]])</f>
        <v>1624411568.817524</v>
      </c>
      <c r="CL191" s="5">
        <f>IF($B190&lt;=Tabla5[[#This Row],[INVERSIONES FCI]],+Tabla5[[#This Row],[INVERSIONES FCI]]-CL190,Tabla5[[#This Row],[INVERSIONES FCI]])</f>
        <v>1624411568.817524</v>
      </c>
      <c r="CM191" s="5">
        <f>IF($B190&lt;=Tabla5[[#This Row],[INVERSIONES FCI]],+Tabla5[[#This Row],[INVERSIONES FCI]]-CM190,Tabla5[[#This Row],[INVERSIONES FCI]])</f>
        <v>1624411568.817524</v>
      </c>
      <c r="CN191" s="5">
        <f>IF($B190&lt;=Tabla5[[#This Row],[INVERSIONES FCI]],+Tabla5[[#This Row],[INVERSIONES FCI]]-CN190,Tabla5[[#This Row],[INVERSIONES FCI]])</f>
        <v>1624411568.817524</v>
      </c>
      <c r="CO191" s="5">
        <f>IF($B190&lt;=Tabla5[[#This Row],[INVERSIONES FCI]],+Tabla5[[#This Row],[INVERSIONES FCI]]-CO190,Tabla5[[#This Row],[INVERSIONES FCI]])</f>
        <v>1624411568.817524</v>
      </c>
      <c r="CP191" s="5">
        <f>IF($B190&lt;=Tabla5[[#This Row],[INVERSIONES FCI]],+Tabla5[[#This Row],[INVERSIONES FCI]]-CP190,Tabla5[[#This Row],[INVERSIONES FCI]])</f>
        <v>1624411568.817524</v>
      </c>
      <c r="CQ191" s="5">
        <f>IF($B190&lt;=Tabla5[[#This Row],[INVERSIONES FCI]],+Tabla5[[#This Row],[INVERSIONES FCI]]-CQ190,Tabla5[[#This Row],[INVERSIONES FCI]])</f>
        <v>1624411568.817524</v>
      </c>
      <c r="CR191" s="5">
        <f>IF($B190&lt;=Tabla5[[#This Row],[INVERSIONES FCI]],+Tabla5[[#This Row],[INVERSIONES FCI]]-CR190,Tabla5[[#This Row],[INVERSIONES FCI]])</f>
        <v>1624411568.817524</v>
      </c>
      <c r="CS191" s="5">
        <f>IF($B190&lt;=Tabla5[[#This Row],[INVERSIONES FCI]],+Tabla5[[#This Row],[INVERSIONES FCI]]-CS190,Tabla5[[#This Row],[INVERSIONES FCI]])</f>
        <v>1624411568.817524</v>
      </c>
      <c r="CT191" s="5">
        <f>IF($B190&lt;=Tabla5[[#This Row],[INVERSIONES FCI]],+Tabla5[[#This Row],[INVERSIONES FCI]]-CT190,Tabla5[[#This Row],[INVERSIONES FCI]])</f>
        <v>1624411568.817524</v>
      </c>
      <c r="CU191" s="5">
        <f>IF($B190&lt;=Tabla5[[#This Row],[INVERSIONES FCI]],+Tabla5[[#This Row],[INVERSIONES FCI]]-CU190,Tabla5[[#This Row],[INVERSIONES FCI]])</f>
        <v>1624411568.817524</v>
      </c>
      <c r="CV191" s="5">
        <f>IF($B190&lt;=Tabla5[[#This Row],[INVERSIONES FCI]],+Tabla5[[#This Row],[INVERSIONES FCI]]-CV190,Tabla5[[#This Row],[INVERSIONES FCI]])</f>
        <v>1624411568.817524</v>
      </c>
      <c r="CW191" s="5">
        <f>IF($B190&lt;=Tabla5[[#This Row],[INVERSIONES FCI]],+Tabla5[[#This Row],[INVERSIONES FCI]]-CW190,Tabla5[[#This Row],[INVERSIONES FCI]])</f>
        <v>1624411568.817524</v>
      </c>
      <c r="CX191" s="5">
        <f>IF($B190&lt;=Tabla5[[#This Row],[INVERSIONES FCI]],+Tabla5[[#This Row],[INVERSIONES FCI]]-CX190,Tabla5[[#This Row],[INVERSIONES FCI]])</f>
        <v>1624411568.817524</v>
      </c>
      <c r="CY191" s="5">
        <f>IF($B190&lt;=Tabla5[[#This Row],[INVERSIONES FCI]],+Tabla5[[#This Row],[INVERSIONES FCI]]-CY190,Tabla5[[#This Row],[INVERSIONES FCI]])</f>
        <v>1624411568.817524</v>
      </c>
      <c r="CZ191" s="5">
        <f>IF($B190&lt;=Tabla5[[#This Row],[INVERSIONES FCI]],+Tabla5[[#This Row],[INVERSIONES FCI]]-CZ190,Tabla5[[#This Row],[INVERSIONES FCI]])</f>
        <v>1624411568.817524</v>
      </c>
      <c r="DA191" s="5">
        <f>IF($B190&lt;=Tabla5[[#This Row],[INVERSIONES FCI]],+Tabla5[[#This Row],[INVERSIONES FCI]]-DA190,Tabla5[[#This Row],[INVERSIONES FCI]])</f>
        <v>1624411568.817524</v>
      </c>
      <c r="DB191" s="5">
        <f>IF($B190&lt;=Tabla5[[#This Row],[INVERSIONES FCI]],+Tabla5[[#This Row],[INVERSIONES FCI]]-DB190,Tabla5[[#This Row],[INVERSIONES FCI]])</f>
        <v>1624411568.817524</v>
      </c>
      <c r="DC191" s="5">
        <f>IF($B190&lt;=Tabla5[[#This Row],[INVERSIONES FCI]],+Tabla5[[#This Row],[INVERSIONES FCI]]-DC190,Tabla5[[#This Row],[INVERSIONES FCI]])</f>
        <v>1624411568.817524</v>
      </c>
      <c r="DD191" s="5">
        <f>IF($B190&lt;=Tabla5[[#This Row],[INVERSIONES FCI]],+Tabla5[[#This Row],[INVERSIONES FCI]]-DD190,Tabla5[[#This Row],[INVERSIONES FCI]])</f>
        <v>1624411568.817524</v>
      </c>
      <c r="DE191" s="5">
        <f>IF($B190&lt;=Tabla5[[#This Row],[INVERSIONES FCI]],+Tabla5[[#This Row],[INVERSIONES FCI]]-DE190,Tabla5[[#This Row],[INVERSIONES FCI]])</f>
        <v>1624411568.817524</v>
      </c>
      <c r="DF191" s="5">
        <f>IF($B190&lt;=Tabla5[[#This Row],[INVERSIONES FCI]],+Tabla5[[#This Row],[INVERSIONES FCI]]-DF190,Tabla5[[#This Row],[INVERSIONES FCI]])</f>
        <v>1624411568.817524</v>
      </c>
      <c r="DG191" s="5">
        <f>IF($B190&lt;=Tabla5[[#This Row],[INVERSIONES FCI]],+Tabla5[[#This Row],[INVERSIONES FCI]]-DG190,Tabla5[[#This Row],[INVERSIONES FCI]])</f>
        <v>1624411568.817524</v>
      </c>
      <c r="DH191" s="5">
        <f>IF($B190&lt;=Tabla5[[#This Row],[INVERSIONES FCI]],+Tabla5[[#This Row],[INVERSIONES FCI]]-DH190,Tabla5[[#This Row],[INVERSIONES FCI]])</f>
        <v>1624411568.817524</v>
      </c>
      <c r="DI191" s="5">
        <f>IF($B190&lt;=Tabla5[[#This Row],[INVERSIONES FCI]],+Tabla5[[#This Row],[INVERSIONES FCI]]-DI190,Tabla5[[#This Row],[INVERSIONES FCI]])</f>
        <v>1624411568.817524</v>
      </c>
      <c r="DJ191" s="5">
        <f>IF($B190&lt;=Tabla5[[#This Row],[INVERSIONES FCI]],+Tabla5[[#This Row],[INVERSIONES FCI]]-DJ190,Tabla5[[#This Row],[INVERSIONES FCI]])</f>
        <v>1624411568.817524</v>
      </c>
      <c r="DK191" s="5">
        <f>IF($B190&lt;=Tabla5[[#This Row],[INVERSIONES FCI]],+Tabla5[[#This Row],[INVERSIONES FCI]]-DK190,Tabla5[[#This Row],[INVERSIONES FCI]])</f>
        <v>1624411568.817524</v>
      </c>
      <c r="DL191" s="5"/>
      <c r="DM191" s="5"/>
      <c r="DN191" s="5"/>
      <c r="DO191" s="5"/>
      <c r="DP191" s="5"/>
      <c r="DQ191" s="5"/>
    </row>
    <row r="192" spans="1:121" ht="14.4">
      <c r="A192" s="12" t="s">
        <v>191</v>
      </c>
      <c r="B192" s="5">
        <f>HLOOKUP($A192,ESCENARIO[#All],7,FALSE)</f>
        <v>21336135681.123367</v>
      </c>
      <c r="C192" s="5">
        <f>IF($B191&lt;=Tabla5[[#This Row],[INVERSIONES FCI]],+Tabla5[[#This Row],[INVERSIONES FCI]]-C191,Tabla5[[#This Row],[INVERSIONES FCI]])</f>
        <v>19711724112.305843</v>
      </c>
      <c r="D192" s="5">
        <f>IF($B191&lt;=Tabla5[[#This Row],[INVERSIONES FCI]],+Tabla5[[#This Row],[INVERSIONES FCI]]-D191,Tabla5[[#This Row],[INVERSIONES FCI]])</f>
        <v>19711724112.305843</v>
      </c>
      <c r="E192" s="5">
        <f>IF($B191&lt;=Tabla5[[#This Row],[INVERSIONES FCI]],+Tabla5[[#This Row],[INVERSIONES FCI]]-E191,Tabla5[[#This Row],[INVERSIONES FCI]])</f>
        <v>19711724112.305843</v>
      </c>
      <c r="F192" s="5">
        <f>IF($B191&lt;=Tabla5[[#This Row],[INVERSIONES FCI]],+Tabla5[[#This Row],[INVERSIONES FCI]]-F191,Tabla5[[#This Row],[INVERSIONES FCI]])</f>
        <v>19711724112.305843</v>
      </c>
      <c r="G192" s="5">
        <f>IF($B191&lt;=Tabla5[[#This Row],[INVERSIONES FCI]],+Tabla5[[#This Row],[INVERSIONES FCI]]-G191,Tabla5[[#This Row],[INVERSIONES FCI]])</f>
        <v>19711724112.305843</v>
      </c>
      <c r="H192" s="5">
        <f>IF($B191&lt;=Tabla5[[#This Row],[INVERSIONES FCI]],+Tabla5[[#This Row],[INVERSIONES FCI]]-H191,Tabla5[[#This Row],[INVERSIONES FCI]])</f>
        <v>19711724112.305843</v>
      </c>
      <c r="I192" s="5">
        <f>IF($B191&lt;=Tabla5[[#This Row],[INVERSIONES FCI]],+Tabla5[[#This Row],[INVERSIONES FCI]]-I191,Tabla5[[#This Row],[INVERSIONES FCI]])</f>
        <v>19711724112.305843</v>
      </c>
      <c r="J192" s="5">
        <f>IF($B191&lt;=Tabla5[[#This Row],[INVERSIONES FCI]],+Tabla5[[#This Row],[INVERSIONES FCI]]-J191,Tabla5[[#This Row],[INVERSIONES FCI]])</f>
        <v>19711724112.305843</v>
      </c>
      <c r="K192" s="5">
        <f>IF($B191&lt;=Tabla5[[#This Row],[INVERSIONES FCI]],+Tabla5[[#This Row],[INVERSIONES FCI]]-K191,Tabla5[[#This Row],[INVERSIONES FCI]])</f>
        <v>19711724112.305843</v>
      </c>
      <c r="L192" s="5">
        <f>IF($B191&lt;=Tabla5[[#This Row],[INVERSIONES FCI]],+Tabla5[[#This Row],[INVERSIONES FCI]]-L191,Tabla5[[#This Row],[INVERSIONES FCI]])</f>
        <v>19711724112.305843</v>
      </c>
      <c r="M192" s="5">
        <f>IF($B191&lt;=Tabla5[[#This Row],[INVERSIONES FCI]],+Tabla5[[#This Row],[INVERSIONES FCI]]-M191,Tabla5[[#This Row],[INVERSIONES FCI]])</f>
        <v>19711724112.305843</v>
      </c>
      <c r="N192" s="5">
        <f>IF($B191&lt;=Tabla5[[#This Row],[INVERSIONES FCI]],+Tabla5[[#This Row],[INVERSIONES FCI]]-N191,Tabla5[[#This Row],[INVERSIONES FCI]])</f>
        <v>19711724112.305843</v>
      </c>
      <c r="O192" s="5">
        <f>IF($B191&lt;=Tabla5[[#This Row],[INVERSIONES FCI]],+Tabla5[[#This Row],[INVERSIONES FCI]]-O191,Tabla5[[#This Row],[INVERSIONES FCI]])</f>
        <v>19711724112.305843</v>
      </c>
      <c r="P192" s="5">
        <f>IF($B191&lt;=Tabla5[[#This Row],[INVERSIONES FCI]],+Tabla5[[#This Row],[INVERSIONES FCI]]-P191,Tabla5[[#This Row],[INVERSIONES FCI]])</f>
        <v>19711724112.305843</v>
      </c>
      <c r="Q192" s="5">
        <f>IF($B191&lt;=Tabla5[[#This Row],[INVERSIONES FCI]],+Tabla5[[#This Row],[INVERSIONES FCI]]-Q191,Tabla5[[#This Row],[INVERSIONES FCI]])</f>
        <v>19711724112.305843</v>
      </c>
      <c r="R192" s="5">
        <f>IF($B191&lt;=Tabla5[[#This Row],[INVERSIONES FCI]],+Tabla5[[#This Row],[INVERSIONES FCI]]-R191,Tabla5[[#This Row],[INVERSIONES FCI]])</f>
        <v>19711724112.305843</v>
      </c>
      <c r="S192" s="5">
        <f>IF($B191&lt;=Tabla5[[#This Row],[INVERSIONES FCI]],+Tabla5[[#This Row],[INVERSIONES FCI]]-S191,Tabla5[[#This Row],[INVERSIONES FCI]])</f>
        <v>19711724112.305843</v>
      </c>
      <c r="T192" s="5">
        <f>IF($B191&lt;=Tabla5[[#This Row],[INVERSIONES FCI]],+Tabla5[[#This Row],[INVERSIONES FCI]]-T191,Tabla5[[#This Row],[INVERSIONES FCI]])</f>
        <v>19711724112.305843</v>
      </c>
      <c r="U192" s="5">
        <f>IF($B191&lt;=Tabla5[[#This Row],[INVERSIONES FCI]],+Tabla5[[#This Row],[INVERSIONES FCI]]-U191,Tabla5[[#This Row],[INVERSIONES FCI]])</f>
        <v>19711724112.305843</v>
      </c>
      <c r="V192" s="5">
        <f>IF($B191&lt;=Tabla5[[#This Row],[INVERSIONES FCI]],+Tabla5[[#This Row],[INVERSIONES FCI]]-V191,Tabla5[[#This Row],[INVERSIONES FCI]])</f>
        <v>19711724112.305843</v>
      </c>
      <c r="W192" s="5">
        <f>IF($B191&lt;=Tabla5[[#This Row],[INVERSIONES FCI]],+Tabla5[[#This Row],[INVERSIONES FCI]]-W191,Tabla5[[#This Row],[INVERSIONES FCI]])</f>
        <v>19711724112.305843</v>
      </c>
      <c r="X192" s="5">
        <f>IF($B191&lt;=Tabla5[[#This Row],[INVERSIONES FCI]],+Tabla5[[#This Row],[INVERSIONES FCI]]-X191,Tabla5[[#This Row],[INVERSIONES FCI]])</f>
        <v>19711724112.305843</v>
      </c>
      <c r="Y192" s="5">
        <f>IF($B191&lt;=Tabla5[[#This Row],[INVERSIONES FCI]],+Tabla5[[#This Row],[INVERSIONES FCI]]-Y191,Tabla5[[#This Row],[INVERSIONES FCI]])</f>
        <v>19711724112.305843</v>
      </c>
      <c r="Z192" s="5">
        <f>IF($B191&lt;=Tabla5[[#This Row],[INVERSIONES FCI]],+Tabla5[[#This Row],[INVERSIONES FCI]]-Z191,Tabla5[[#This Row],[INVERSIONES FCI]])</f>
        <v>19711724112.305843</v>
      </c>
      <c r="AA192" s="5">
        <f>IF($B191&lt;=Tabla5[[#This Row],[INVERSIONES FCI]],+Tabla5[[#This Row],[INVERSIONES FCI]]-AA191,Tabla5[[#This Row],[INVERSIONES FCI]])</f>
        <v>19711724112.305843</v>
      </c>
      <c r="AB192" s="5">
        <f>IF($B191&lt;=Tabla5[[#This Row],[INVERSIONES FCI]],+Tabla5[[#This Row],[INVERSIONES FCI]]-AB191,Tabla5[[#This Row],[INVERSIONES FCI]])</f>
        <v>19711724112.305843</v>
      </c>
      <c r="AC192" s="5">
        <f>IF($B191&lt;=Tabla5[[#This Row],[INVERSIONES FCI]],+Tabla5[[#This Row],[INVERSIONES FCI]]-AC191,Tabla5[[#This Row],[INVERSIONES FCI]])</f>
        <v>19711724112.305843</v>
      </c>
      <c r="AD192" s="5">
        <f>IF($B191&lt;=Tabla5[[#This Row],[INVERSIONES FCI]],+Tabla5[[#This Row],[INVERSIONES FCI]]-AD191,Tabla5[[#This Row],[INVERSIONES FCI]])</f>
        <v>19711724112.305843</v>
      </c>
      <c r="AE192" s="5">
        <f>IF($B191&lt;=Tabla5[[#This Row],[INVERSIONES FCI]],+Tabla5[[#This Row],[INVERSIONES FCI]]-AE191,Tabla5[[#This Row],[INVERSIONES FCI]])</f>
        <v>19711724112.305843</v>
      </c>
      <c r="AF192" s="5">
        <f>IF($B191&lt;=Tabla5[[#This Row],[INVERSIONES FCI]],+Tabla5[[#This Row],[INVERSIONES FCI]]-AF191,Tabla5[[#This Row],[INVERSIONES FCI]])</f>
        <v>19711724112.305843</v>
      </c>
      <c r="AG192" s="5">
        <f>IF($B191&lt;=Tabla5[[#This Row],[INVERSIONES FCI]],+Tabla5[[#This Row],[INVERSIONES FCI]]-AG191,Tabla5[[#This Row],[INVERSIONES FCI]])</f>
        <v>19711724112.305843</v>
      </c>
      <c r="AH192" s="5">
        <f>IF($B191&lt;=Tabla5[[#This Row],[INVERSIONES FCI]],+Tabla5[[#This Row],[INVERSIONES FCI]]-AH191,Tabla5[[#This Row],[INVERSIONES FCI]])</f>
        <v>19711724112.305843</v>
      </c>
      <c r="AI192" s="5">
        <f>IF($B191&lt;=Tabla5[[#This Row],[INVERSIONES FCI]],+Tabla5[[#This Row],[INVERSIONES FCI]]-AI191,Tabla5[[#This Row],[INVERSIONES FCI]])</f>
        <v>19711724112.305843</v>
      </c>
      <c r="AJ192" s="5">
        <f>IF($B191&lt;=Tabla5[[#This Row],[INVERSIONES FCI]],+Tabla5[[#This Row],[INVERSIONES FCI]]-AJ191,Tabla5[[#This Row],[INVERSIONES FCI]])</f>
        <v>19711724112.305843</v>
      </c>
      <c r="AK192" s="5">
        <f>IF($B191&lt;=Tabla5[[#This Row],[INVERSIONES FCI]],+Tabla5[[#This Row],[INVERSIONES FCI]]-AK191,Tabla5[[#This Row],[INVERSIONES FCI]])</f>
        <v>19711724112.305843</v>
      </c>
      <c r="AL192" s="5">
        <f>IF($B191&lt;=Tabla5[[#This Row],[INVERSIONES FCI]],+Tabla5[[#This Row],[INVERSIONES FCI]]-AL191,Tabla5[[#This Row],[INVERSIONES FCI]])</f>
        <v>19711724112.305843</v>
      </c>
      <c r="AM192" s="5">
        <f>IF($B191&lt;=Tabla5[[#This Row],[INVERSIONES FCI]],+Tabla5[[#This Row],[INVERSIONES FCI]]-AM191,Tabla5[[#This Row],[INVERSIONES FCI]])</f>
        <v>19711724112.305843</v>
      </c>
      <c r="AN192" s="5">
        <f>IF($B191&lt;=Tabla5[[#This Row],[INVERSIONES FCI]],+Tabla5[[#This Row],[INVERSIONES FCI]]-AN191,Tabla5[[#This Row],[INVERSIONES FCI]])</f>
        <v>19711724112.305843</v>
      </c>
      <c r="AO192" s="5">
        <f>IF($B191&lt;=Tabla5[[#This Row],[INVERSIONES FCI]],+Tabla5[[#This Row],[INVERSIONES FCI]]-AO191,Tabla5[[#This Row],[INVERSIONES FCI]])</f>
        <v>19711724112.305843</v>
      </c>
      <c r="AP192" s="5">
        <f>IF($B191&lt;=Tabla5[[#This Row],[INVERSIONES FCI]],+Tabla5[[#This Row],[INVERSIONES FCI]]-AP191,Tabla5[[#This Row],[INVERSIONES FCI]])</f>
        <v>19711724112.305843</v>
      </c>
      <c r="AQ192" s="5">
        <f>IF($B191&lt;=Tabla5[[#This Row],[INVERSIONES FCI]],+Tabla5[[#This Row],[INVERSIONES FCI]]-AQ191,Tabla5[[#This Row],[INVERSIONES FCI]])</f>
        <v>19711724112.305843</v>
      </c>
      <c r="AR192" s="5">
        <f>IF($B191&lt;=Tabla5[[#This Row],[INVERSIONES FCI]],+Tabla5[[#This Row],[INVERSIONES FCI]]-AR191,Tabla5[[#This Row],[INVERSIONES FCI]])</f>
        <v>19711724112.305843</v>
      </c>
      <c r="AS192" s="5">
        <f>IF($B191&lt;=Tabla5[[#This Row],[INVERSIONES FCI]],+Tabla5[[#This Row],[INVERSIONES FCI]]-AS191,Tabla5[[#This Row],[INVERSIONES FCI]])</f>
        <v>19711724112.305843</v>
      </c>
      <c r="AT192" s="5">
        <f>IF($B191&lt;=Tabla5[[#This Row],[INVERSIONES FCI]],+Tabla5[[#This Row],[INVERSIONES FCI]]-AT191,Tabla5[[#This Row],[INVERSIONES FCI]])</f>
        <v>19711724112.305843</v>
      </c>
      <c r="AU192" s="5">
        <f>IF($B191&lt;=Tabla5[[#This Row],[INVERSIONES FCI]],+Tabla5[[#This Row],[INVERSIONES FCI]]-AU191,Tabla5[[#This Row],[INVERSIONES FCI]])</f>
        <v>19711724112.305843</v>
      </c>
      <c r="AV192" s="5">
        <f>IF($B191&lt;=Tabla5[[#This Row],[INVERSIONES FCI]],+Tabla5[[#This Row],[INVERSIONES FCI]]-AV191,Tabla5[[#This Row],[INVERSIONES FCI]])</f>
        <v>19711724112.305843</v>
      </c>
      <c r="AW192" s="5">
        <f>IF($B191&lt;=Tabla5[[#This Row],[INVERSIONES FCI]],+Tabla5[[#This Row],[INVERSIONES FCI]]-AW191,Tabla5[[#This Row],[INVERSIONES FCI]])</f>
        <v>19711724112.305843</v>
      </c>
      <c r="AX192" s="5">
        <f>IF($B191&lt;=Tabla5[[#This Row],[INVERSIONES FCI]],+Tabla5[[#This Row],[INVERSIONES FCI]]-AX191,Tabla5[[#This Row],[INVERSIONES FCI]])</f>
        <v>19711724112.305843</v>
      </c>
      <c r="AY192" s="5">
        <f>IF($B191&lt;=Tabla5[[#This Row],[INVERSIONES FCI]],+Tabla5[[#This Row],[INVERSIONES FCI]]-AY191,Tabla5[[#This Row],[INVERSIONES FCI]])</f>
        <v>19711724112.305843</v>
      </c>
      <c r="AZ192" s="5">
        <f>IF($B191&lt;=Tabla5[[#This Row],[INVERSIONES FCI]],+Tabla5[[#This Row],[INVERSIONES FCI]]-AZ191,Tabla5[[#This Row],[INVERSIONES FCI]])</f>
        <v>19711724112.305843</v>
      </c>
      <c r="BA192" s="5">
        <f>IF($B191&lt;=Tabla5[[#This Row],[INVERSIONES FCI]],+Tabla5[[#This Row],[INVERSIONES FCI]]-BA191,Tabla5[[#This Row],[INVERSIONES FCI]])</f>
        <v>19711724112.305843</v>
      </c>
      <c r="BB192" s="5">
        <f>IF($B191&lt;=Tabla5[[#This Row],[INVERSIONES FCI]],+Tabla5[[#This Row],[INVERSIONES FCI]]-BB191,Tabla5[[#This Row],[INVERSIONES FCI]])</f>
        <v>19711724112.305843</v>
      </c>
      <c r="BC192" s="5">
        <f>IF($B191&lt;=Tabla5[[#This Row],[INVERSIONES FCI]],+Tabla5[[#This Row],[INVERSIONES FCI]]-BC191,Tabla5[[#This Row],[INVERSIONES FCI]])</f>
        <v>19711724112.305843</v>
      </c>
      <c r="BD192" s="5">
        <f>IF($B191&lt;=Tabla5[[#This Row],[INVERSIONES FCI]],+Tabla5[[#This Row],[INVERSIONES FCI]]-BD191,Tabla5[[#This Row],[INVERSIONES FCI]])</f>
        <v>19711724112.305843</v>
      </c>
      <c r="BE192" s="5">
        <f>IF($B191&lt;=Tabla5[[#This Row],[INVERSIONES FCI]],+Tabla5[[#This Row],[INVERSIONES FCI]]-BE191,Tabla5[[#This Row],[INVERSIONES FCI]])</f>
        <v>19711724112.305843</v>
      </c>
      <c r="BF192" s="5">
        <f>IF($B191&lt;=Tabla5[[#This Row],[INVERSIONES FCI]],+Tabla5[[#This Row],[INVERSIONES FCI]]-BF191,Tabla5[[#This Row],[INVERSIONES FCI]])</f>
        <v>19711724112.305843</v>
      </c>
      <c r="BG192" s="5">
        <f>IF($B191&lt;=Tabla5[[#This Row],[INVERSIONES FCI]],+Tabla5[[#This Row],[INVERSIONES FCI]]-BG191,Tabla5[[#This Row],[INVERSIONES FCI]])</f>
        <v>19711724112.305843</v>
      </c>
      <c r="BH192" s="5">
        <f>IF($B191&lt;=Tabla5[[#This Row],[INVERSIONES FCI]],+Tabla5[[#This Row],[INVERSIONES FCI]]-BH191,Tabla5[[#This Row],[INVERSIONES FCI]])</f>
        <v>19711724112.305843</v>
      </c>
      <c r="BI192" s="5">
        <f>IF($B191&lt;=Tabla5[[#This Row],[INVERSIONES FCI]],+Tabla5[[#This Row],[INVERSIONES FCI]]-BI191,Tabla5[[#This Row],[INVERSIONES FCI]])</f>
        <v>19711724112.305843</v>
      </c>
      <c r="BJ192" s="5">
        <f>IF($B191&lt;=Tabla5[[#This Row],[INVERSIONES FCI]],+Tabla5[[#This Row],[INVERSIONES FCI]]-BJ191,Tabla5[[#This Row],[INVERSIONES FCI]])</f>
        <v>19711724112.305843</v>
      </c>
      <c r="BK192" s="5">
        <f>IF($B191&lt;=Tabla5[[#This Row],[INVERSIONES FCI]],+Tabla5[[#This Row],[INVERSIONES FCI]]-BK191,Tabla5[[#This Row],[INVERSIONES FCI]])</f>
        <v>19711724112.305843</v>
      </c>
      <c r="BL192" s="5">
        <f>IF($B191&lt;=Tabla5[[#This Row],[INVERSIONES FCI]],+Tabla5[[#This Row],[INVERSIONES FCI]]-BL191,Tabla5[[#This Row],[INVERSIONES FCI]])</f>
        <v>19711724112.305843</v>
      </c>
      <c r="BM192" s="5">
        <f>IF($B191&lt;=Tabla5[[#This Row],[INVERSIONES FCI]],+Tabla5[[#This Row],[INVERSIONES FCI]]-BM191,Tabla5[[#This Row],[INVERSIONES FCI]])</f>
        <v>19711724112.305843</v>
      </c>
      <c r="BN192" s="5">
        <f>IF($B191&lt;=Tabla5[[#This Row],[INVERSIONES FCI]],+Tabla5[[#This Row],[INVERSIONES FCI]]-BN191,Tabla5[[#This Row],[INVERSIONES FCI]])</f>
        <v>19711724112.305843</v>
      </c>
      <c r="BO192" s="5">
        <f>IF($B191&lt;=Tabla5[[#This Row],[INVERSIONES FCI]],+Tabla5[[#This Row],[INVERSIONES FCI]]-BO191,Tabla5[[#This Row],[INVERSIONES FCI]])</f>
        <v>19711724112.305843</v>
      </c>
      <c r="BP192" s="5">
        <f>IF($B191&lt;=Tabla5[[#This Row],[INVERSIONES FCI]],+Tabla5[[#This Row],[INVERSIONES FCI]]-BP191,Tabla5[[#This Row],[INVERSIONES FCI]])</f>
        <v>19711724112.305843</v>
      </c>
      <c r="BQ192" s="5">
        <f>IF($B191&lt;=Tabla5[[#This Row],[INVERSIONES FCI]],+Tabla5[[#This Row],[INVERSIONES FCI]]-BQ191,Tabla5[[#This Row],[INVERSIONES FCI]])</f>
        <v>19711724112.305843</v>
      </c>
      <c r="BR192" s="5">
        <f>IF($B191&lt;=Tabla5[[#This Row],[INVERSIONES FCI]],+Tabla5[[#This Row],[INVERSIONES FCI]]-BR191,Tabla5[[#This Row],[INVERSIONES FCI]])</f>
        <v>19711724112.305843</v>
      </c>
      <c r="BS192" s="5">
        <f>IF($B191&lt;=Tabla5[[#This Row],[INVERSIONES FCI]],+Tabla5[[#This Row],[INVERSIONES FCI]]-BS191,Tabla5[[#This Row],[INVERSIONES FCI]])</f>
        <v>19711724112.305843</v>
      </c>
      <c r="BT192" s="5">
        <f>IF($B191&lt;=Tabla5[[#This Row],[INVERSIONES FCI]],+Tabla5[[#This Row],[INVERSIONES FCI]]-BT191,Tabla5[[#This Row],[INVERSIONES FCI]])</f>
        <v>19711724112.305843</v>
      </c>
      <c r="BU192" s="5">
        <f>IF($B191&lt;=Tabla5[[#This Row],[INVERSIONES FCI]],+Tabla5[[#This Row],[INVERSIONES FCI]]-BU191,Tabla5[[#This Row],[INVERSIONES FCI]])</f>
        <v>19711724112.305843</v>
      </c>
      <c r="BV192" s="5">
        <f>IF($B191&lt;=Tabla5[[#This Row],[INVERSIONES FCI]],+Tabla5[[#This Row],[INVERSIONES FCI]]-BV191,Tabla5[[#This Row],[INVERSIONES FCI]])</f>
        <v>19711724112.305843</v>
      </c>
      <c r="BW192" s="5">
        <f>IF($B191&lt;=Tabla5[[#This Row],[INVERSIONES FCI]],+Tabla5[[#This Row],[INVERSIONES FCI]]-BW191,Tabla5[[#This Row],[INVERSIONES FCI]])</f>
        <v>19711724112.305843</v>
      </c>
      <c r="BX192" s="5">
        <f>IF($B191&lt;=Tabla5[[#This Row],[INVERSIONES FCI]],+Tabla5[[#This Row],[INVERSIONES FCI]]-BX191,Tabla5[[#This Row],[INVERSIONES FCI]])</f>
        <v>19711724112.305843</v>
      </c>
      <c r="BY192" s="5">
        <f>IF($B191&lt;=Tabla5[[#This Row],[INVERSIONES FCI]],+Tabla5[[#This Row],[INVERSIONES FCI]]-BY191,Tabla5[[#This Row],[INVERSIONES FCI]])</f>
        <v>19711724112.305843</v>
      </c>
      <c r="BZ192" s="5">
        <f>IF($B191&lt;=Tabla5[[#This Row],[INVERSIONES FCI]],+Tabla5[[#This Row],[INVERSIONES FCI]]-BZ191,Tabla5[[#This Row],[INVERSIONES FCI]])</f>
        <v>19711724112.305843</v>
      </c>
      <c r="CA192" s="5">
        <f>IF($B191&lt;=Tabla5[[#This Row],[INVERSIONES FCI]],+Tabla5[[#This Row],[INVERSIONES FCI]]-CA191,Tabla5[[#This Row],[INVERSIONES FCI]])</f>
        <v>19711724112.305843</v>
      </c>
      <c r="CB192" s="5">
        <f>IF($B191&lt;=Tabla5[[#This Row],[INVERSIONES FCI]],+Tabla5[[#This Row],[INVERSIONES FCI]]-CB191,Tabla5[[#This Row],[INVERSIONES FCI]])</f>
        <v>19711724112.305843</v>
      </c>
      <c r="CC192" s="5">
        <f>IF($B191&lt;=Tabla5[[#This Row],[INVERSIONES FCI]],+Tabla5[[#This Row],[INVERSIONES FCI]]-CC191,Tabla5[[#This Row],[INVERSIONES FCI]])</f>
        <v>19711724112.305843</v>
      </c>
      <c r="CD192" s="5">
        <f>IF($B191&lt;=Tabla5[[#This Row],[INVERSIONES FCI]],+Tabla5[[#This Row],[INVERSIONES FCI]]-CD191,Tabla5[[#This Row],[INVERSIONES FCI]])</f>
        <v>19711724112.305843</v>
      </c>
      <c r="CE192" s="5">
        <f>IF($B191&lt;=Tabla5[[#This Row],[INVERSIONES FCI]],+Tabla5[[#This Row],[INVERSIONES FCI]]-CE191,Tabla5[[#This Row],[INVERSIONES FCI]])</f>
        <v>19711724112.305843</v>
      </c>
      <c r="CF192" s="5">
        <f>IF($B191&lt;=Tabla5[[#This Row],[INVERSIONES FCI]],+Tabla5[[#This Row],[INVERSIONES FCI]]-CF191,Tabla5[[#This Row],[INVERSIONES FCI]])</f>
        <v>19711724112.305843</v>
      </c>
      <c r="CG192" s="5">
        <f>IF($B191&lt;=Tabla5[[#This Row],[INVERSIONES FCI]],+Tabla5[[#This Row],[INVERSIONES FCI]]-CG191,Tabla5[[#This Row],[INVERSIONES FCI]])</f>
        <v>19711724112.305843</v>
      </c>
      <c r="CH192" s="5">
        <f>IF($B191&lt;=Tabla5[[#This Row],[INVERSIONES FCI]],+Tabla5[[#This Row],[INVERSIONES FCI]]-CH191,Tabla5[[#This Row],[INVERSIONES FCI]])</f>
        <v>19711724112.305843</v>
      </c>
      <c r="CI192" s="5">
        <f>IF($B191&lt;=Tabla5[[#This Row],[INVERSIONES FCI]],+Tabla5[[#This Row],[INVERSIONES FCI]]-CI191,Tabla5[[#This Row],[INVERSIONES FCI]])</f>
        <v>19711724112.305843</v>
      </c>
      <c r="CJ192" s="5">
        <f>IF($B191&lt;=Tabla5[[#This Row],[INVERSIONES FCI]],+Tabla5[[#This Row],[INVERSIONES FCI]]-CJ191,Tabla5[[#This Row],[INVERSIONES FCI]])</f>
        <v>19711724112.305843</v>
      </c>
      <c r="CK192" s="5">
        <f>IF($B191&lt;=Tabla5[[#This Row],[INVERSIONES FCI]],+Tabla5[[#This Row],[INVERSIONES FCI]]-CK191,Tabla5[[#This Row],[INVERSIONES FCI]])</f>
        <v>19711724112.305843</v>
      </c>
      <c r="CL192" s="5">
        <f>IF($B191&lt;=Tabla5[[#This Row],[INVERSIONES FCI]],+Tabla5[[#This Row],[INVERSIONES FCI]]-CL191,Tabla5[[#This Row],[INVERSIONES FCI]])</f>
        <v>19711724112.305843</v>
      </c>
      <c r="CM192" s="5">
        <f>IF($B191&lt;=Tabla5[[#This Row],[INVERSIONES FCI]],+Tabla5[[#This Row],[INVERSIONES FCI]]-CM191,Tabla5[[#This Row],[INVERSIONES FCI]])</f>
        <v>19711724112.305843</v>
      </c>
      <c r="CN192" s="5">
        <f>IF($B191&lt;=Tabla5[[#This Row],[INVERSIONES FCI]],+Tabla5[[#This Row],[INVERSIONES FCI]]-CN191,Tabla5[[#This Row],[INVERSIONES FCI]])</f>
        <v>19711724112.305843</v>
      </c>
      <c r="CO192" s="5">
        <f>IF($B191&lt;=Tabla5[[#This Row],[INVERSIONES FCI]],+Tabla5[[#This Row],[INVERSIONES FCI]]-CO191,Tabla5[[#This Row],[INVERSIONES FCI]])</f>
        <v>19711724112.305843</v>
      </c>
      <c r="CP192" s="5">
        <f>IF($B191&lt;=Tabla5[[#This Row],[INVERSIONES FCI]],+Tabla5[[#This Row],[INVERSIONES FCI]]-CP191,Tabla5[[#This Row],[INVERSIONES FCI]])</f>
        <v>19711724112.305843</v>
      </c>
      <c r="CQ192" s="5">
        <f>IF($B191&lt;=Tabla5[[#This Row],[INVERSIONES FCI]],+Tabla5[[#This Row],[INVERSIONES FCI]]-CQ191,Tabla5[[#This Row],[INVERSIONES FCI]])</f>
        <v>19711724112.305843</v>
      </c>
      <c r="CR192" s="5">
        <f>IF($B191&lt;=Tabla5[[#This Row],[INVERSIONES FCI]],+Tabla5[[#This Row],[INVERSIONES FCI]]-CR191,Tabla5[[#This Row],[INVERSIONES FCI]])</f>
        <v>19711724112.305843</v>
      </c>
      <c r="CS192" s="5">
        <f>IF($B191&lt;=Tabla5[[#This Row],[INVERSIONES FCI]],+Tabla5[[#This Row],[INVERSIONES FCI]]-CS191,Tabla5[[#This Row],[INVERSIONES FCI]])</f>
        <v>19711724112.305843</v>
      </c>
      <c r="CT192" s="5">
        <f>IF($B191&lt;=Tabla5[[#This Row],[INVERSIONES FCI]],+Tabla5[[#This Row],[INVERSIONES FCI]]-CT191,Tabla5[[#This Row],[INVERSIONES FCI]])</f>
        <v>19711724112.305843</v>
      </c>
      <c r="CU192" s="5">
        <f>IF($B191&lt;=Tabla5[[#This Row],[INVERSIONES FCI]],+Tabla5[[#This Row],[INVERSIONES FCI]]-CU191,Tabla5[[#This Row],[INVERSIONES FCI]])</f>
        <v>19711724112.305843</v>
      </c>
      <c r="CV192" s="5">
        <f>IF($B191&lt;=Tabla5[[#This Row],[INVERSIONES FCI]],+Tabla5[[#This Row],[INVERSIONES FCI]]-CV191,Tabla5[[#This Row],[INVERSIONES FCI]])</f>
        <v>19711724112.305843</v>
      </c>
      <c r="CW192" s="5">
        <f>IF($B191&lt;=Tabla5[[#This Row],[INVERSIONES FCI]],+Tabla5[[#This Row],[INVERSIONES FCI]]-CW191,Tabla5[[#This Row],[INVERSIONES FCI]])</f>
        <v>19711724112.305843</v>
      </c>
      <c r="CX192" s="5">
        <f>IF($B191&lt;=Tabla5[[#This Row],[INVERSIONES FCI]],+Tabla5[[#This Row],[INVERSIONES FCI]]-CX191,Tabla5[[#This Row],[INVERSIONES FCI]])</f>
        <v>19711724112.305843</v>
      </c>
      <c r="CY192" s="5">
        <f>IF($B191&lt;=Tabla5[[#This Row],[INVERSIONES FCI]],+Tabla5[[#This Row],[INVERSIONES FCI]]-CY191,Tabla5[[#This Row],[INVERSIONES FCI]])</f>
        <v>19711724112.305843</v>
      </c>
      <c r="CZ192" s="5">
        <f>IF($B191&lt;=Tabla5[[#This Row],[INVERSIONES FCI]],+Tabla5[[#This Row],[INVERSIONES FCI]]-CZ191,Tabla5[[#This Row],[INVERSIONES FCI]])</f>
        <v>19711724112.305843</v>
      </c>
      <c r="DA192" s="5">
        <f>IF($B191&lt;=Tabla5[[#This Row],[INVERSIONES FCI]],+Tabla5[[#This Row],[INVERSIONES FCI]]-DA191,Tabla5[[#This Row],[INVERSIONES FCI]])</f>
        <v>19711724112.305843</v>
      </c>
      <c r="DB192" s="5">
        <f>IF($B191&lt;=Tabla5[[#This Row],[INVERSIONES FCI]],+Tabla5[[#This Row],[INVERSIONES FCI]]-DB191,Tabla5[[#This Row],[INVERSIONES FCI]])</f>
        <v>19711724112.305843</v>
      </c>
      <c r="DC192" s="5">
        <f>IF($B191&lt;=Tabla5[[#This Row],[INVERSIONES FCI]],+Tabla5[[#This Row],[INVERSIONES FCI]]-DC191,Tabla5[[#This Row],[INVERSIONES FCI]])</f>
        <v>19711724112.305843</v>
      </c>
      <c r="DD192" s="5">
        <f>IF($B191&lt;=Tabla5[[#This Row],[INVERSIONES FCI]],+Tabla5[[#This Row],[INVERSIONES FCI]]-DD191,Tabla5[[#This Row],[INVERSIONES FCI]])</f>
        <v>19711724112.305843</v>
      </c>
      <c r="DE192" s="5">
        <f>IF($B191&lt;=Tabla5[[#This Row],[INVERSIONES FCI]],+Tabla5[[#This Row],[INVERSIONES FCI]]-DE191,Tabla5[[#This Row],[INVERSIONES FCI]])</f>
        <v>19711724112.305843</v>
      </c>
      <c r="DF192" s="5">
        <f>IF($B191&lt;=Tabla5[[#This Row],[INVERSIONES FCI]],+Tabla5[[#This Row],[INVERSIONES FCI]]-DF191,Tabla5[[#This Row],[INVERSIONES FCI]])</f>
        <v>19711724112.305843</v>
      </c>
      <c r="DG192" s="5">
        <f>IF($B191&lt;=Tabla5[[#This Row],[INVERSIONES FCI]],+Tabla5[[#This Row],[INVERSIONES FCI]]-DG191,Tabla5[[#This Row],[INVERSIONES FCI]])</f>
        <v>19711724112.305843</v>
      </c>
      <c r="DH192" s="5">
        <f>IF($B191&lt;=Tabla5[[#This Row],[INVERSIONES FCI]],+Tabla5[[#This Row],[INVERSIONES FCI]]-DH191,Tabla5[[#This Row],[INVERSIONES FCI]])</f>
        <v>19711724112.305843</v>
      </c>
      <c r="DI192" s="5">
        <f>IF($B191&lt;=Tabla5[[#This Row],[INVERSIONES FCI]],+Tabla5[[#This Row],[INVERSIONES FCI]]-DI191,Tabla5[[#This Row],[INVERSIONES FCI]])</f>
        <v>19711724112.305843</v>
      </c>
      <c r="DJ192" s="5">
        <f>IF($B191&lt;=Tabla5[[#This Row],[INVERSIONES FCI]],+Tabla5[[#This Row],[INVERSIONES FCI]]-DJ191,Tabla5[[#This Row],[INVERSIONES FCI]])</f>
        <v>19711724112.305843</v>
      </c>
      <c r="DK192" s="5">
        <f>IF($B191&lt;=Tabla5[[#This Row],[INVERSIONES FCI]],+Tabla5[[#This Row],[INVERSIONES FCI]]-DK191,Tabla5[[#This Row],[INVERSIONES FCI]])</f>
        <v>19711724112.305843</v>
      </c>
      <c r="DL192" s="5"/>
      <c r="DM192" s="5"/>
      <c r="DN192" s="5"/>
      <c r="DO192" s="5"/>
      <c r="DP192" s="5"/>
      <c r="DQ192" s="5"/>
    </row>
    <row r="193" spans="1:121" ht="14.4">
      <c r="A193" s="12" t="s">
        <v>192</v>
      </c>
      <c r="B193" s="5">
        <f>HLOOKUP($A193,ESCENARIO[#All],7,FALSE)</f>
        <v>22875923315.161522</v>
      </c>
      <c r="C193" s="5">
        <f>IF($B192&lt;=Tabla5[[#This Row],[INVERSIONES FCI]],+Tabla5[[#This Row],[INVERSIONES FCI]]-C192,Tabla5[[#This Row],[INVERSIONES FCI]])</f>
        <v>3164199202.8556786</v>
      </c>
      <c r="D193" s="5">
        <f>IF($B192&lt;=Tabla5[[#This Row],[INVERSIONES FCI]],+Tabla5[[#This Row],[INVERSIONES FCI]]-D192,Tabla5[[#This Row],[INVERSIONES FCI]])</f>
        <v>3164199202.8556786</v>
      </c>
      <c r="E193" s="5">
        <f>IF($B192&lt;=Tabla5[[#This Row],[INVERSIONES FCI]],+Tabla5[[#This Row],[INVERSIONES FCI]]-E192,Tabla5[[#This Row],[INVERSIONES FCI]])</f>
        <v>3164199202.8556786</v>
      </c>
      <c r="F193" s="5">
        <f>IF($B192&lt;=Tabla5[[#This Row],[INVERSIONES FCI]],+Tabla5[[#This Row],[INVERSIONES FCI]]-F192,Tabla5[[#This Row],[INVERSIONES FCI]])</f>
        <v>3164199202.8556786</v>
      </c>
      <c r="G193" s="5">
        <f>IF($B192&lt;=Tabla5[[#This Row],[INVERSIONES FCI]],+Tabla5[[#This Row],[INVERSIONES FCI]]-G192,Tabla5[[#This Row],[INVERSIONES FCI]])</f>
        <v>3164199202.8556786</v>
      </c>
      <c r="H193" s="5">
        <f>IF($B192&lt;=Tabla5[[#This Row],[INVERSIONES FCI]],+Tabla5[[#This Row],[INVERSIONES FCI]]-H192,Tabla5[[#This Row],[INVERSIONES FCI]])</f>
        <v>3164199202.8556786</v>
      </c>
      <c r="I193" s="5">
        <f>IF($B192&lt;=Tabla5[[#This Row],[INVERSIONES FCI]],+Tabla5[[#This Row],[INVERSIONES FCI]]-I192,Tabla5[[#This Row],[INVERSIONES FCI]])</f>
        <v>3164199202.8556786</v>
      </c>
      <c r="J193" s="5">
        <f>IF($B192&lt;=Tabla5[[#This Row],[INVERSIONES FCI]],+Tabla5[[#This Row],[INVERSIONES FCI]]-J192,Tabla5[[#This Row],[INVERSIONES FCI]])</f>
        <v>3164199202.8556786</v>
      </c>
      <c r="K193" s="5">
        <f>IF($B192&lt;=Tabla5[[#This Row],[INVERSIONES FCI]],+Tabla5[[#This Row],[INVERSIONES FCI]]-K192,Tabla5[[#This Row],[INVERSIONES FCI]])</f>
        <v>3164199202.8556786</v>
      </c>
      <c r="L193" s="5">
        <f>IF($B192&lt;=Tabla5[[#This Row],[INVERSIONES FCI]],+Tabla5[[#This Row],[INVERSIONES FCI]]-L192,Tabla5[[#This Row],[INVERSIONES FCI]])</f>
        <v>3164199202.8556786</v>
      </c>
      <c r="M193" s="5">
        <f>IF($B192&lt;=Tabla5[[#This Row],[INVERSIONES FCI]],+Tabla5[[#This Row],[INVERSIONES FCI]]-M192,Tabla5[[#This Row],[INVERSIONES FCI]])</f>
        <v>3164199202.8556786</v>
      </c>
      <c r="N193" s="5">
        <f>IF($B192&lt;=Tabla5[[#This Row],[INVERSIONES FCI]],+Tabla5[[#This Row],[INVERSIONES FCI]]-N192,Tabla5[[#This Row],[INVERSIONES FCI]])</f>
        <v>3164199202.8556786</v>
      </c>
      <c r="O193" s="5">
        <f>IF($B192&lt;=Tabla5[[#This Row],[INVERSIONES FCI]],+Tabla5[[#This Row],[INVERSIONES FCI]]-O192,Tabla5[[#This Row],[INVERSIONES FCI]])</f>
        <v>3164199202.8556786</v>
      </c>
      <c r="P193" s="5">
        <f>IF($B192&lt;=Tabla5[[#This Row],[INVERSIONES FCI]],+Tabla5[[#This Row],[INVERSIONES FCI]]-P192,Tabla5[[#This Row],[INVERSIONES FCI]])</f>
        <v>3164199202.8556786</v>
      </c>
      <c r="Q193" s="5">
        <f>IF($B192&lt;=Tabla5[[#This Row],[INVERSIONES FCI]],+Tabla5[[#This Row],[INVERSIONES FCI]]-Q192,Tabla5[[#This Row],[INVERSIONES FCI]])</f>
        <v>3164199202.8556786</v>
      </c>
      <c r="R193" s="5">
        <f>IF($B192&lt;=Tabla5[[#This Row],[INVERSIONES FCI]],+Tabla5[[#This Row],[INVERSIONES FCI]]-R192,Tabla5[[#This Row],[INVERSIONES FCI]])</f>
        <v>3164199202.8556786</v>
      </c>
      <c r="S193" s="5">
        <f>IF($B192&lt;=Tabla5[[#This Row],[INVERSIONES FCI]],+Tabla5[[#This Row],[INVERSIONES FCI]]-S192,Tabla5[[#This Row],[INVERSIONES FCI]])</f>
        <v>3164199202.8556786</v>
      </c>
      <c r="T193" s="5">
        <f>IF($B192&lt;=Tabla5[[#This Row],[INVERSIONES FCI]],+Tabla5[[#This Row],[INVERSIONES FCI]]-T192,Tabla5[[#This Row],[INVERSIONES FCI]])</f>
        <v>3164199202.8556786</v>
      </c>
      <c r="U193" s="5">
        <f>IF($B192&lt;=Tabla5[[#This Row],[INVERSIONES FCI]],+Tabla5[[#This Row],[INVERSIONES FCI]]-U192,Tabla5[[#This Row],[INVERSIONES FCI]])</f>
        <v>3164199202.8556786</v>
      </c>
      <c r="V193" s="5">
        <f>IF($B192&lt;=Tabla5[[#This Row],[INVERSIONES FCI]],+Tabla5[[#This Row],[INVERSIONES FCI]]-V192,Tabla5[[#This Row],[INVERSIONES FCI]])</f>
        <v>3164199202.8556786</v>
      </c>
      <c r="W193" s="5">
        <f>IF($B192&lt;=Tabla5[[#This Row],[INVERSIONES FCI]],+Tabla5[[#This Row],[INVERSIONES FCI]]-W192,Tabla5[[#This Row],[INVERSIONES FCI]])</f>
        <v>3164199202.8556786</v>
      </c>
      <c r="X193" s="5">
        <f>IF($B192&lt;=Tabla5[[#This Row],[INVERSIONES FCI]],+Tabla5[[#This Row],[INVERSIONES FCI]]-X192,Tabla5[[#This Row],[INVERSIONES FCI]])</f>
        <v>3164199202.8556786</v>
      </c>
      <c r="Y193" s="5">
        <f>IF($B192&lt;=Tabla5[[#This Row],[INVERSIONES FCI]],+Tabla5[[#This Row],[INVERSIONES FCI]]-Y192,Tabla5[[#This Row],[INVERSIONES FCI]])</f>
        <v>3164199202.8556786</v>
      </c>
      <c r="Z193" s="5">
        <f>IF($B192&lt;=Tabla5[[#This Row],[INVERSIONES FCI]],+Tabla5[[#This Row],[INVERSIONES FCI]]-Z192,Tabla5[[#This Row],[INVERSIONES FCI]])</f>
        <v>3164199202.8556786</v>
      </c>
      <c r="AA193" s="5">
        <f>IF($B192&lt;=Tabla5[[#This Row],[INVERSIONES FCI]],+Tabla5[[#This Row],[INVERSIONES FCI]]-AA192,Tabla5[[#This Row],[INVERSIONES FCI]])</f>
        <v>3164199202.8556786</v>
      </c>
      <c r="AB193" s="5">
        <f>IF($B192&lt;=Tabla5[[#This Row],[INVERSIONES FCI]],+Tabla5[[#This Row],[INVERSIONES FCI]]-AB192,Tabla5[[#This Row],[INVERSIONES FCI]])</f>
        <v>3164199202.8556786</v>
      </c>
      <c r="AC193" s="5">
        <f>IF($B192&lt;=Tabla5[[#This Row],[INVERSIONES FCI]],+Tabla5[[#This Row],[INVERSIONES FCI]]-AC192,Tabla5[[#This Row],[INVERSIONES FCI]])</f>
        <v>3164199202.8556786</v>
      </c>
      <c r="AD193" s="5">
        <f>IF($B192&lt;=Tabla5[[#This Row],[INVERSIONES FCI]],+Tabla5[[#This Row],[INVERSIONES FCI]]-AD192,Tabla5[[#This Row],[INVERSIONES FCI]])</f>
        <v>3164199202.8556786</v>
      </c>
      <c r="AE193" s="5">
        <f>IF($B192&lt;=Tabla5[[#This Row],[INVERSIONES FCI]],+Tabla5[[#This Row],[INVERSIONES FCI]]-AE192,Tabla5[[#This Row],[INVERSIONES FCI]])</f>
        <v>3164199202.8556786</v>
      </c>
      <c r="AF193" s="5">
        <f>IF($B192&lt;=Tabla5[[#This Row],[INVERSIONES FCI]],+Tabla5[[#This Row],[INVERSIONES FCI]]-AF192,Tabla5[[#This Row],[INVERSIONES FCI]])</f>
        <v>3164199202.8556786</v>
      </c>
      <c r="AG193" s="5">
        <f>IF($B192&lt;=Tabla5[[#This Row],[INVERSIONES FCI]],+Tabla5[[#This Row],[INVERSIONES FCI]]-AG192,Tabla5[[#This Row],[INVERSIONES FCI]])</f>
        <v>3164199202.8556786</v>
      </c>
      <c r="AH193" s="5">
        <f>IF($B192&lt;=Tabla5[[#This Row],[INVERSIONES FCI]],+Tabla5[[#This Row],[INVERSIONES FCI]]-AH192,Tabla5[[#This Row],[INVERSIONES FCI]])</f>
        <v>3164199202.8556786</v>
      </c>
      <c r="AI193" s="5">
        <f>IF($B192&lt;=Tabla5[[#This Row],[INVERSIONES FCI]],+Tabla5[[#This Row],[INVERSIONES FCI]]-AI192,Tabla5[[#This Row],[INVERSIONES FCI]])</f>
        <v>3164199202.8556786</v>
      </c>
      <c r="AJ193" s="5">
        <f>IF($B192&lt;=Tabla5[[#This Row],[INVERSIONES FCI]],+Tabla5[[#This Row],[INVERSIONES FCI]]-AJ192,Tabla5[[#This Row],[INVERSIONES FCI]])</f>
        <v>3164199202.8556786</v>
      </c>
      <c r="AK193" s="5">
        <f>IF($B192&lt;=Tabla5[[#This Row],[INVERSIONES FCI]],+Tabla5[[#This Row],[INVERSIONES FCI]]-AK192,Tabla5[[#This Row],[INVERSIONES FCI]])</f>
        <v>3164199202.8556786</v>
      </c>
      <c r="AL193" s="5">
        <f>IF($B192&lt;=Tabla5[[#This Row],[INVERSIONES FCI]],+Tabla5[[#This Row],[INVERSIONES FCI]]-AL192,Tabla5[[#This Row],[INVERSIONES FCI]])</f>
        <v>3164199202.8556786</v>
      </c>
      <c r="AM193" s="5">
        <f>IF($B192&lt;=Tabla5[[#This Row],[INVERSIONES FCI]],+Tabla5[[#This Row],[INVERSIONES FCI]]-AM192,Tabla5[[#This Row],[INVERSIONES FCI]])</f>
        <v>3164199202.8556786</v>
      </c>
      <c r="AN193" s="5">
        <f>IF($B192&lt;=Tabla5[[#This Row],[INVERSIONES FCI]],+Tabla5[[#This Row],[INVERSIONES FCI]]-AN192,Tabla5[[#This Row],[INVERSIONES FCI]])</f>
        <v>3164199202.8556786</v>
      </c>
      <c r="AO193" s="5">
        <f>IF($B192&lt;=Tabla5[[#This Row],[INVERSIONES FCI]],+Tabla5[[#This Row],[INVERSIONES FCI]]-AO192,Tabla5[[#This Row],[INVERSIONES FCI]])</f>
        <v>3164199202.8556786</v>
      </c>
      <c r="AP193" s="5">
        <f>IF($B192&lt;=Tabla5[[#This Row],[INVERSIONES FCI]],+Tabla5[[#This Row],[INVERSIONES FCI]]-AP192,Tabla5[[#This Row],[INVERSIONES FCI]])</f>
        <v>3164199202.8556786</v>
      </c>
      <c r="AQ193" s="5">
        <f>IF($B192&lt;=Tabla5[[#This Row],[INVERSIONES FCI]],+Tabla5[[#This Row],[INVERSIONES FCI]]-AQ192,Tabla5[[#This Row],[INVERSIONES FCI]])</f>
        <v>3164199202.8556786</v>
      </c>
      <c r="AR193" s="5">
        <f>IF($B192&lt;=Tabla5[[#This Row],[INVERSIONES FCI]],+Tabla5[[#This Row],[INVERSIONES FCI]]-AR192,Tabla5[[#This Row],[INVERSIONES FCI]])</f>
        <v>3164199202.8556786</v>
      </c>
      <c r="AS193" s="5">
        <f>IF($B192&lt;=Tabla5[[#This Row],[INVERSIONES FCI]],+Tabla5[[#This Row],[INVERSIONES FCI]]-AS192,Tabla5[[#This Row],[INVERSIONES FCI]])</f>
        <v>3164199202.8556786</v>
      </c>
      <c r="AT193" s="5">
        <f>IF($B192&lt;=Tabla5[[#This Row],[INVERSIONES FCI]],+Tabla5[[#This Row],[INVERSIONES FCI]]-AT192,Tabla5[[#This Row],[INVERSIONES FCI]])</f>
        <v>3164199202.8556786</v>
      </c>
      <c r="AU193" s="5">
        <f>IF($B192&lt;=Tabla5[[#This Row],[INVERSIONES FCI]],+Tabla5[[#This Row],[INVERSIONES FCI]]-AU192,Tabla5[[#This Row],[INVERSIONES FCI]])</f>
        <v>3164199202.8556786</v>
      </c>
      <c r="AV193" s="5">
        <f>IF($B192&lt;=Tabla5[[#This Row],[INVERSIONES FCI]],+Tabla5[[#This Row],[INVERSIONES FCI]]-AV192,Tabla5[[#This Row],[INVERSIONES FCI]])</f>
        <v>3164199202.8556786</v>
      </c>
      <c r="AW193" s="5">
        <f>IF($B192&lt;=Tabla5[[#This Row],[INVERSIONES FCI]],+Tabla5[[#This Row],[INVERSIONES FCI]]-AW192,Tabla5[[#This Row],[INVERSIONES FCI]])</f>
        <v>3164199202.8556786</v>
      </c>
      <c r="AX193" s="5">
        <f>IF($B192&lt;=Tabla5[[#This Row],[INVERSIONES FCI]],+Tabla5[[#This Row],[INVERSIONES FCI]]-AX192,Tabla5[[#This Row],[INVERSIONES FCI]])</f>
        <v>3164199202.8556786</v>
      </c>
      <c r="AY193" s="5">
        <f>IF($B192&lt;=Tabla5[[#This Row],[INVERSIONES FCI]],+Tabla5[[#This Row],[INVERSIONES FCI]]-AY192,Tabla5[[#This Row],[INVERSIONES FCI]])</f>
        <v>3164199202.8556786</v>
      </c>
      <c r="AZ193" s="5">
        <f>IF($B192&lt;=Tabla5[[#This Row],[INVERSIONES FCI]],+Tabla5[[#This Row],[INVERSIONES FCI]]-AZ192,Tabla5[[#This Row],[INVERSIONES FCI]])</f>
        <v>3164199202.8556786</v>
      </c>
      <c r="BA193" s="5">
        <f>IF($B192&lt;=Tabla5[[#This Row],[INVERSIONES FCI]],+Tabla5[[#This Row],[INVERSIONES FCI]]-BA192,Tabla5[[#This Row],[INVERSIONES FCI]])</f>
        <v>3164199202.8556786</v>
      </c>
      <c r="BB193" s="5">
        <f>IF($B192&lt;=Tabla5[[#This Row],[INVERSIONES FCI]],+Tabla5[[#This Row],[INVERSIONES FCI]]-BB192,Tabla5[[#This Row],[INVERSIONES FCI]])</f>
        <v>3164199202.8556786</v>
      </c>
      <c r="BC193" s="5">
        <f>IF($B192&lt;=Tabla5[[#This Row],[INVERSIONES FCI]],+Tabla5[[#This Row],[INVERSIONES FCI]]-BC192,Tabla5[[#This Row],[INVERSIONES FCI]])</f>
        <v>3164199202.8556786</v>
      </c>
      <c r="BD193" s="5">
        <f>IF($B192&lt;=Tabla5[[#This Row],[INVERSIONES FCI]],+Tabla5[[#This Row],[INVERSIONES FCI]]-BD192,Tabla5[[#This Row],[INVERSIONES FCI]])</f>
        <v>3164199202.8556786</v>
      </c>
      <c r="BE193" s="5">
        <f>IF($B192&lt;=Tabla5[[#This Row],[INVERSIONES FCI]],+Tabla5[[#This Row],[INVERSIONES FCI]]-BE192,Tabla5[[#This Row],[INVERSIONES FCI]])</f>
        <v>3164199202.8556786</v>
      </c>
      <c r="BF193" s="5">
        <f>IF($B192&lt;=Tabla5[[#This Row],[INVERSIONES FCI]],+Tabla5[[#This Row],[INVERSIONES FCI]]-BF192,Tabla5[[#This Row],[INVERSIONES FCI]])</f>
        <v>3164199202.8556786</v>
      </c>
      <c r="BG193" s="5">
        <f>IF($B192&lt;=Tabla5[[#This Row],[INVERSIONES FCI]],+Tabla5[[#This Row],[INVERSIONES FCI]]-BG192,Tabla5[[#This Row],[INVERSIONES FCI]])</f>
        <v>3164199202.8556786</v>
      </c>
      <c r="BH193" s="5">
        <f>IF($B192&lt;=Tabla5[[#This Row],[INVERSIONES FCI]],+Tabla5[[#This Row],[INVERSIONES FCI]]-BH192,Tabla5[[#This Row],[INVERSIONES FCI]])</f>
        <v>3164199202.8556786</v>
      </c>
      <c r="BI193" s="5">
        <f>IF($B192&lt;=Tabla5[[#This Row],[INVERSIONES FCI]],+Tabla5[[#This Row],[INVERSIONES FCI]]-BI192,Tabla5[[#This Row],[INVERSIONES FCI]])</f>
        <v>3164199202.8556786</v>
      </c>
      <c r="BJ193" s="5">
        <f>IF($B192&lt;=Tabla5[[#This Row],[INVERSIONES FCI]],+Tabla5[[#This Row],[INVERSIONES FCI]]-BJ192,Tabla5[[#This Row],[INVERSIONES FCI]])</f>
        <v>3164199202.8556786</v>
      </c>
      <c r="BK193" s="5">
        <f>IF($B192&lt;=Tabla5[[#This Row],[INVERSIONES FCI]],+Tabla5[[#This Row],[INVERSIONES FCI]]-BK192,Tabla5[[#This Row],[INVERSIONES FCI]])</f>
        <v>3164199202.8556786</v>
      </c>
      <c r="BL193" s="5">
        <f>IF($B192&lt;=Tabla5[[#This Row],[INVERSIONES FCI]],+Tabla5[[#This Row],[INVERSIONES FCI]]-BL192,Tabla5[[#This Row],[INVERSIONES FCI]])</f>
        <v>3164199202.8556786</v>
      </c>
      <c r="BM193" s="5">
        <f>IF($B192&lt;=Tabla5[[#This Row],[INVERSIONES FCI]],+Tabla5[[#This Row],[INVERSIONES FCI]]-BM192,Tabla5[[#This Row],[INVERSIONES FCI]])</f>
        <v>3164199202.8556786</v>
      </c>
      <c r="BN193" s="5">
        <f>IF($B192&lt;=Tabla5[[#This Row],[INVERSIONES FCI]],+Tabla5[[#This Row],[INVERSIONES FCI]]-BN192,Tabla5[[#This Row],[INVERSIONES FCI]])</f>
        <v>3164199202.8556786</v>
      </c>
      <c r="BO193" s="5">
        <f>IF($B192&lt;=Tabla5[[#This Row],[INVERSIONES FCI]],+Tabla5[[#This Row],[INVERSIONES FCI]]-BO192,Tabla5[[#This Row],[INVERSIONES FCI]])</f>
        <v>3164199202.8556786</v>
      </c>
      <c r="BP193" s="5">
        <f>IF($B192&lt;=Tabla5[[#This Row],[INVERSIONES FCI]],+Tabla5[[#This Row],[INVERSIONES FCI]]-BP192,Tabla5[[#This Row],[INVERSIONES FCI]])</f>
        <v>3164199202.8556786</v>
      </c>
      <c r="BQ193" s="5">
        <f>IF($B192&lt;=Tabla5[[#This Row],[INVERSIONES FCI]],+Tabla5[[#This Row],[INVERSIONES FCI]]-BQ192,Tabla5[[#This Row],[INVERSIONES FCI]])</f>
        <v>3164199202.8556786</v>
      </c>
      <c r="BR193" s="5">
        <f>IF($B192&lt;=Tabla5[[#This Row],[INVERSIONES FCI]],+Tabla5[[#This Row],[INVERSIONES FCI]]-BR192,Tabla5[[#This Row],[INVERSIONES FCI]])</f>
        <v>3164199202.8556786</v>
      </c>
      <c r="BS193" s="5">
        <f>IF($B192&lt;=Tabla5[[#This Row],[INVERSIONES FCI]],+Tabla5[[#This Row],[INVERSIONES FCI]]-BS192,Tabla5[[#This Row],[INVERSIONES FCI]])</f>
        <v>3164199202.8556786</v>
      </c>
      <c r="BT193" s="5">
        <f>IF($B192&lt;=Tabla5[[#This Row],[INVERSIONES FCI]],+Tabla5[[#This Row],[INVERSIONES FCI]]-BT192,Tabla5[[#This Row],[INVERSIONES FCI]])</f>
        <v>3164199202.8556786</v>
      </c>
      <c r="BU193" s="5">
        <f>IF($B192&lt;=Tabla5[[#This Row],[INVERSIONES FCI]],+Tabla5[[#This Row],[INVERSIONES FCI]]-BU192,Tabla5[[#This Row],[INVERSIONES FCI]])</f>
        <v>3164199202.8556786</v>
      </c>
      <c r="BV193" s="5">
        <f>IF($B192&lt;=Tabla5[[#This Row],[INVERSIONES FCI]],+Tabla5[[#This Row],[INVERSIONES FCI]]-BV192,Tabla5[[#This Row],[INVERSIONES FCI]])</f>
        <v>3164199202.8556786</v>
      </c>
      <c r="BW193" s="5">
        <f>IF($B192&lt;=Tabla5[[#This Row],[INVERSIONES FCI]],+Tabla5[[#This Row],[INVERSIONES FCI]]-BW192,Tabla5[[#This Row],[INVERSIONES FCI]])</f>
        <v>3164199202.8556786</v>
      </c>
      <c r="BX193" s="5">
        <f>IF($B192&lt;=Tabla5[[#This Row],[INVERSIONES FCI]],+Tabla5[[#This Row],[INVERSIONES FCI]]-BX192,Tabla5[[#This Row],[INVERSIONES FCI]])</f>
        <v>3164199202.8556786</v>
      </c>
      <c r="BY193" s="5">
        <f>IF($B192&lt;=Tabla5[[#This Row],[INVERSIONES FCI]],+Tabla5[[#This Row],[INVERSIONES FCI]]-BY192,Tabla5[[#This Row],[INVERSIONES FCI]])</f>
        <v>3164199202.8556786</v>
      </c>
      <c r="BZ193" s="5">
        <f>IF($B192&lt;=Tabla5[[#This Row],[INVERSIONES FCI]],+Tabla5[[#This Row],[INVERSIONES FCI]]-BZ192,Tabla5[[#This Row],[INVERSIONES FCI]])</f>
        <v>3164199202.8556786</v>
      </c>
      <c r="CA193" s="5">
        <f>IF($B192&lt;=Tabla5[[#This Row],[INVERSIONES FCI]],+Tabla5[[#This Row],[INVERSIONES FCI]]-CA192,Tabla5[[#This Row],[INVERSIONES FCI]])</f>
        <v>3164199202.8556786</v>
      </c>
      <c r="CB193" s="5">
        <f>IF($B192&lt;=Tabla5[[#This Row],[INVERSIONES FCI]],+Tabla5[[#This Row],[INVERSIONES FCI]]-CB192,Tabla5[[#This Row],[INVERSIONES FCI]])</f>
        <v>3164199202.8556786</v>
      </c>
      <c r="CC193" s="5">
        <f>IF($B192&lt;=Tabla5[[#This Row],[INVERSIONES FCI]],+Tabla5[[#This Row],[INVERSIONES FCI]]-CC192,Tabla5[[#This Row],[INVERSIONES FCI]])</f>
        <v>3164199202.8556786</v>
      </c>
      <c r="CD193" s="5">
        <f>IF($B192&lt;=Tabla5[[#This Row],[INVERSIONES FCI]],+Tabla5[[#This Row],[INVERSIONES FCI]]-CD192,Tabla5[[#This Row],[INVERSIONES FCI]])</f>
        <v>3164199202.8556786</v>
      </c>
      <c r="CE193" s="5">
        <f>IF($B192&lt;=Tabla5[[#This Row],[INVERSIONES FCI]],+Tabla5[[#This Row],[INVERSIONES FCI]]-CE192,Tabla5[[#This Row],[INVERSIONES FCI]])</f>
        <v>3164199202.8556786</v>
      </c>
      <c r="CF193" s="5">
        <f>IF($B192&lt;=Tabla5[[#This Row],[INVERSIONES FCI]],+Tabla5[[#This Row],[INVERSIONES FCI]]-CF192,Tabla5[[#This Row],[INVERSIONES FCI]])</f>
        <v>3164199202.8556786</v>
      </c>
      <c r="CG193" s="5">
        <f>IF($B192&lt;=Tabla5[[#This Row],[INVERSIONES FCI]],+Tabla5[[#This Row],[INVERSIONES FCI]]-CG192,Tabla5[[#This Row],[INVERSIONES FCI]])</f>
        <v>3164199202.8556786</v>
      </c>
      <c r="CH193" s="5">
        <f>IF($B192&lt;=Tabla5[[#This Row],[INVERSIONES FCI]],+Tabla5[[#This Row],[INVERSIONES FCI]]-CH192,Tabla5[[#This Row],[INVERSIONES FCI]])</f>
        <v>3164199202.8556786</v>
      </c>
      <c r="CI193" s="5">
        <f>IF($B192&lt;=Tabla5[[#This Row],[INVERSIONES FCI]],+Tabla5[[#This Row],[INVERSIONES FCI]]-CI192,Tabla5[[#This Row],[INVERSIONES FCI]])</f>
        <v>3164199202.8556786</v>
      </c>
      <c r="CJ193" s="5">
        <f>IF($B192&lt;=Tabla5[[#This Row],[INVERSIONES FCI]],+Tabla5[[#This Row],[INVERSIONES FCI]]-CJ192,Tabla5[[#This Row],[INVERSIONES FCI]])</f>
        <v>3164199202.8556786</v>
      </c>
      <c r="CK193" s="5">
        <f>IF($B192&lt;=Tabla5[[#This Row],[INVERSIONES FCI]],+Tabla5[[#This Row],[INVERSIONES FCI]]-CK192,Tabla5[[#This Row],[INVERSIONES FCI]])</f>
        <v>3164199202.8556786</v>
      </c>
      <c r="CL193" s="5">
        <f>IF($B192&lt;=Tabla5[[#This Row],[INVERSIONES FCI]],+Tabla5[[#This Row],[INVERSIONES FCI]]-CL192,Tabla5[[#This Row],[INVERSIONES FCI]])</f>
        <v>3164199202.8556786</v>
      </c>
      <c r="CM193" s="5">
        <f>IF($B192&lt;=Tabla5[[#This Row],[INVERSIONES FCI]],+Tabla5[[#This Row],[INVERSIONES FCI]]-CM192,Tabla5[[#This Row],[INVERSIONES FCI]])</f>
        <v>3164199202.8556786</v>
      </c>
      <c r="CN193" s="5">
        <f>IF($B192&lt;=Tabla5[[#This Row],[INVERSIONES FCI]],+Tabla5[[#This Row],[INVERSIONES FCI]]-CN192,Tabla5[[#This Row],[INVERSIONES FCI]])</f>
        <v>3164199202.8556786</v>
      </c>
      <c r="CO193" s="5">
        <f>IF($B192&lt;=Tabla5[[#This Row],[INVERSIONES FCI]],+Tabla5[[#This Row],[INVERSIONES FCI]]-CO192,Tabla5[[#This Row],[INVERSIONES FCI]])</f>
        <v>3164199202.8556786</v>
      </c>
      <c r="CP193" s="5">
        <f>IF($B192&lt;=Tabla5[[#This Row],[INVERSIONES FCI]],+Tabla5[[#This Row],[INVERSIONES FCI]]-CP192,Tabla5[[#This Row],[INVERSIONES FCI]])</f>
        <v>3164199202.8556786</v>
      </c>
      <c r="CQ193" s="5">
        <f>IF($B192&lt;=Tabla5[[#This Row],[INVERSIONES FCI]],+Tabla5[[#This Row],[INVERSIONES FCI]]-CQ192,Tabla5[[#This Row],[INVERSIONES FCI]])</f>
        <v>3164199202.8556786</v>
      </c>
      <c r="CR193" s="5">
        <f>IF($B192&lt;=Tabla5[[#This Row],[INVERSIONES FCI]],+Tabla5[[#This Row],[INVERSIONES FCI]]-CR192,Tabla5[[#This Row],[INVERSIONES FCI]])</f>
        <v>3164199202.8556786</v>
      </c>
      <c r="CS193" s="5">
        <f>IF($B192&lt;=Tabla5[[#This Row],[INVERSIONES FCI]],+Tabla5[[#This Row],[INVERSIONES FCI]]-CS192,Tabla5[[#This Row],[INVERSIONES FCI]])</f>
        <v>3164199202.8556786</v>
      </c>
      <c r="CT193" s="5">
        <f>IF($B192&lt;=Tabla5[[#This Row],[INVERSIONES FCI]],+Tabla5[[#This Row],[INVERSIONES FCI]]-CT192,Tabla5[[#This Row],[INVERSIONES FCI]])</f>
        <v>3164199202.8556786</v>
      </c>
      <c r="CU193" s="5">
        <f>IF($B192&lt;=Tabla5[[#This Row],[INVERSIONES FCI]],+Tabla5[[#This Row],[INVERSIONES FCI]]-CU192,Tabla5[[#This Row],[INVERSIONES FCI]])</f>
        <v>3164199202.8556786</v>
      </c>
      <c r="CV193" s="5">
        <f>IF($B192&lt;=Tabla5[[#This Row],[INVERSIONES FCI]],+Tabla5[[#This Row],[INVERSIONES FCI]]-CV192,Tabla5[[#This Row],[INVERSIONES FCI]])</f>
        <v>3164199202.8556786</v>
      </c>
      <c r="CW193" s="5">
        <f>IF($B192&lt;=Tabla5[[#This Row],[INVERSIONES FCI]],+Tabla5[[#This Row],[INVERSIONES FCI]]-CW192,Tabla5[[#This Row],[INVERSIONES FCI]])</f>
        <v>3164199202.8556786</v>
      </c>
      <c r="CX193" s="5">
        <f>IF($B192&lt;=Tabla5[[#This Row],[INVERSIONES FCI]],+Tabla5[[#This Row],[INVERSIONES FCI]]-CX192,Tabla5[[#This Row],[INVERSIONES FCI]])</f>
        <v>3164199202.8556786</v>
      </c>
      <c r="CY193" s="5">
        <f>IF($B192&lt;=Tabla5[[#This Row],[INVERSIONES FCI]],+Tabla5[[#This Row],[INVERSIONES FCI]]-CY192,Tabla5[[#This Row],[INVERSIONES FCI]])</f>
        <v>3164199202.8556786</v>
      </c>
      <c r="CZ193" s="5">
        <f>IF($B192&lt;=Tabla5[[#This Row],[INVERSIONES FCI]],+Tabla5[[#This Row],[INVERSIONES FCI]]-CZ192,Tabla5[[#This Row],[INVERSIONES FCI]])</f>
        <v>3164199202.8556786</v>
      </c>
      <c r="DA193" s="5">
        <f>IF($B192&lt;=Tabla5[[#This Row],[INVERSIONES FCI]],+Tabla5[[#This Row],[INVERSIONES FCI]]-DA192,Tabla5[[#This Row],[INVERSIONES FCI]])</f>
        <v>3164199202.8556786</v>
      </c>
      <c r="DB193" s="5">
        <f>IF($B192&lt;=Tabla5[[#This Row],[INVERSIONES FCI]],+Tabla5[[#This Row],[INVERSIONES FCI]]-DB192,Tabla5[[#This Row],[INVERSIONES FCI]])</f>
        <v>3164199202.8556786</v>
      </c>
      <c r="DC193" s="5">
        <f>IF($B192&lt;=Tabla5[[#This Row],[INVERSIONES FCI]],+Tabla5[[#This Row],[INVERSIONES FCI]]-DC192,Tabla5[[#This Row],[INVERSIONES FCI]])</f>
        <v>3164199202.8556786</v>
      </c>
      <c r="DD193" s="5">
        <f>IF($B192&lt;=Tabla5[[#This Row],[INVERSIONES FCI]],+Tabla5[[#This Row],[INVERSIONES FCI]]-DD192,Tabla5[[#This Row],[INVERSIONES FCI]])</f>
        <v>3164199202.8556786</v>
      </c>
      <c r="DE193" s="5">
        <f>IF($B192&lt;=Tabla5[[#This Row],[INVERSIONES FCI]],+Tabla5[[#This Row],[INVERSIONES FCI]]-DE192,Tabla5[[#This Row],[INVERSIONES FCI]])</f>
        <v>3164199202.8556786</v>
      </c>
      <c r="DF193" s="5">
        <f>IF($B192&lt;=Tabla5[[#This Row],[INVERSIONES FCI]],+Tabla5[[#This Row],[INVERSIONES FCI]]-DF192,Tabla5[[#This Row],[INVERSIONES FCI]])</f>
        <v>3164199202.8556786</v>
      </c>
      <c r="DG193" s="5">
        <f>IF($B192&lt;=Tabla5[[#This Row],[INVERSIONES FCI]],+Tabla5[[#This Row],[INVERSIONES FCI]]-DG192,Tabla5[[#This Row],[INVERSIONES FCI]])</f>
        <v>3164199202.8556786</v>
      </c>
      <c r="DH193" s="5">
        <f>IF($B192&lt;=Tabla5[[#This Row],[INVERSIONES FCI]],+Tabla5[[#This Row],[INVERSIONES FCI]]-DH192,Tabla5[[#This Row],[INVERSIONES FCI]])</f>
        <v>3164199202.8556786</v>
      </c>
      <c r="DI193" s="5">
        <f>IF($B192&lt;=Tabla5[[#This Row],[INVERSIONES FCI]],+Tabla5[[#This Row],[INVERSIONES FCI]]-DI192,Tabla5[[#This Row],[INVERSIONES FCI]])</f>
        <v>3164199202.8556786</v>
      </c>
      <c r="DJ193" s="5">
        <f>IF($B192&lt;=Tabla5[[#This Row],[INVERSIONES FCI]],+Tabla5[[#This Row],[INVERSIONES FCI]]-DJ192,Tabla5[[#This Row],[INVERSIONES FCI]])</f>
        <v>3164199202.8556786</v>
      </c>
      <c r="DK193" s="5">
        <f>IF($B192&lt;=Tabla5[[#This Row],[INVERSIONES FCI]],+Tabla5[[#This Row],[INVERSIONES FCI]]-DK192,Tabla5[[#This Row],[INVERSIONES FCI]])</f>
        <v>3164199202.8556786</v>
      </c>
      <c r="DL193" s="5"/>
      <c r="DM193" s="5"/>
      <c r="DN193" s="5"/>
      <c r="DO193" s="5"/>
      <c r="DP193" s="5"/>
      <c r="DQ193" s="5"/>
    </row>
    <row r="194" spans="1:121" ht="14.4">
      <c r="A194" s="12" t="s">
        <v>193</v>
      </c>
      <c r="B194" s="5">
        <f>HLOOKUP($A194,ESCENARIO[#All],7,FALSE)</f>
        <v>30708238951.522186</v>
      </c>
      <c r="C194" s="5">
        <f>IF($B193&lt;=Tabla5[[#This Row],[INVERSIONES FCI]],+Tabla5[[#This Row],[INVERSIONES FCI]]-C193,Tabla5[[#This Row],[INVERSIONES FCI]])</f>
        <v>27544039748.666508</v>
      </c>
      <c r="D194" s="5">
        <f>IF($B193&lt;=Tabla5[[#This Row],[INVERSIONES FCI]],+Tabla5[[#This Row],[INVERSIONES FCI]]-D193,Tabla5[[#This Row],[INVERSIONES FCI]])</f>
        <v>27544039748.666508</v>
      </c>
      <c r="E194" s="5">
        <f>IF($B193&lt;=Tabla5[[#This Row],[INVERSIONES FCI]],+Tabla5[[#This Row],[INVERSIONES FCI]]-E193,Tabla5[[#This Row],[INVERSIONES FCI]])</f>
        <v>27544039748.666508</v>
      </c>
      <c r="F194" s="5">
        <f>IF($B193&lt;=Tabla5[[#This Row],[INVERSIONES FCI]],+Tabla5[[#This Row],[INVERSIONES FCI]]-F193,Tabla5[[#This Row],[INVERSIONES FCI]])</f>
        <v>27544039748.666508</v>
      </c>
      <c r="G194" s="5">
        <f>IF($B193&lt;=Tabla5[[#This Row],[INVERSIONES FCI]],+Tabla5[[#This Row],[INVERSIONES FCI]]-G193,Tabla5[[#This Row],[INVERSIONES FCI]])</f>
        <v>27544039748.666508</v>
      </c>
      <c r="H194" s="5">
        <f>IF($B193&lt;=Tabla5[[#This Row],[INVERSIONES FCI]],+Tabla5[[#This Row],[INVERSIONES FCI]]-H193,Tabla5[[#This Row],[INVERSIONES FCI]])</f>
        <v>27544039748.666508</v>
      </c>
      <c r="I194" s="5">
        <f>IF($B193&lt;=Tabla5[[#This Row],[INVERSIONES FCI]],+Tabla5[[#This Row],[INVERSIONES FCI]]-I193,Tabla5[[#This Row],[INVERSIONES FCI]])</f>
        <v>27544039748.666508</v>
      </c>
      <c r="J194" s="5">
        <f>IF($B193&lt;=Tabla5[[#This Row],[INVERSIONES FCI]],+Tabla5[[#This Row],[INVERSIONES FCI]]-J193,Tabla5[[#This Row],[INVERSIONES FCI]])</f>
        <v>27544039748.666508</v>
      </c>
      <c r="K194" s="5">
        <f>IF($B193&lt;=Tabla5[[#This Row],[INVERSIONES FCI]],+Tabla5[[#This Row],[INVERSIONES FCI]]-K193,Tabla5[[#This Row],[INVERSIONES FCI]])</f>
        <v>27544039748.666508</v>
      </c>
      <c r="L194" s="5">
        <f>IF($B193&lt;=Tabla5[[#This Row],[INVERSIONES FCI]],+Tabla5[[#This Row],[INVERSIONES FCI]]-L193,Tabla5[[#This Row],[INVERSIONES FCI]])</f>
        <v>27544039748.666508</v>
      </c>
      <c r="M194" s="5">
        <f>IF($B193&lt;=Tabla5[[#This Row],[INVERSIONES FCI]],+Tabla5[[#This Row],[INVERSIONES FCI]]-M193,Tabla5[[#This Row],[INVERSIONES FCI]])</f>
        <v>27544039748.666508</v>
      </c>
      <c r="N194" s="5">
        <f>IF($B193&lt;=Tabla5[[#This Row],[INVERSIONES FCI]],+Tabla5[[#This Row],[INVERSIONES FCI]]-N193,Tabla5[[#This Row],[INVERSIONES FCI]])</f>
        <v>27544039748.666508</v>
      </c>
      <c r="O194" s="5">
        <f>IF($B193&lt;=Tabla5[[#This Row],[INVERSIONES FCI]],+Tabla5[[#This Row],[INVERSIONES FCI]]-O193,Tabla5[[#This Row],[INVERSIONES FCI]])</f>
        <v>27544039748.666508</v>
      </c>
      <c r="P194" s="5">
        <f>IF($B193&lt;=Tabla5[[#This Row],[INVERSIONES FCI]],+Tabla5[[#This Row],[INVERSIONES FCI]]-P193,Tabla5[[#This Row],[INVERSIONES FCI]])</f>
        <v>27544039748.666508</v>
      </c>
      <c r="Q194" s="5">
        <f>IF($B193&lt;=Tabla5[[#This Row],[INVERSIONES FCI]],+Tabla5[[#This Row],[INVERSIONES FCI]]-Q193,Tabla5[[#This Row],[INVERSIONES FCI]])</f>
        <v>27544039748.666508</v>
      </c>
      <c r="R194" s="5">
        <f>IF($B193&lt;=Tabla5[[#This Row],[INVERSIONES FCI]],+Tabla5[[#This Row],[INVERSIONES FCI]]-R193,Tabla5[[#This Row],[INVERSIONES FCI]])</f>
        <v>27544039748.666508</v>
      </c>
      <c r="S194" s="5">
        <f>IF($B193&lt;=Tabla5[[#This Row],[INVERSIONES FCI]],+Tabla5[[#This Row],[INVERSIONES FCI]]-S193,Tabla5[[#This Row],[INVERSIONES FCI]])</f>
        <v>27544039748.666508</v>
      </c>
      <c r="T194" s="5">
        <f>IF($B193&lt;=Tabla5[[#This Row],[INVERSIONES FCI]],+Tabla5[[#This Row],[INVERSIONES FCI]]-T193,Tabla5[[#This Row],[INVERSIONES FCI]])</f>
        <v>27544039748.666508</v>
      </c>
      <c r="U194" s="5">
        <f>IF($B193&lt;=Tabla5[[#This Row],[INVERSIONES FCI]],+Tabla5[[#This Row],[INVERSIONES FCI]]-U193,Tabla5[[#This Row],[INVERSIONES FCI]])</f>
        <v>27544039748.666508</v>
      </c>
      <c r="V194" s="5">
        <f>IF($B193&lt;=Tabla5[[#This Row],[INVERSIONES FCI]],+Tabla5[[#This Row],[INVERSIONES FCI]]-V193,Tabla5[[#This Row],[INVERSIONES FCI]])</f>
        <v>27544039748.666508</v>
      </c>
      <c r="W194" s="5">
        <f>IF($B193&lt;=Tabla5[[#This Row],[INVERSIONES FCI]],+Tabla5[[#This Row],[INVERSIONES FCI]]-W193,Tabla5[[#This Row],[INVERSIONES FCI]])</f>
        <v>27544039748.666508</v>
      </c>
      <c r="X194" s="5">
        <f>IF($B193&lt;=Tabla5[[#This Row],[INVERSIONES FCI]],+Tabla5[[#This Row],[INVERSIONES FCI]]-X193,Tabla5[[#This Row],[INVERSIONES FCI]])</f>
        <v>27544039748.666508</v>
      </c>
      <c r="Y194" s="5">
        <f>IF($B193&lt;=Tabla5[[#This Row],[INVERSIONES FCI]],+Tabla5[[#This Row],[INVERSIONES FCI]]-Y193,Tabla5[[#This Row],[INVERSIONES FCI]])</f>
        <v>27544039748.666508</v>
      </c>
      <c r="Z194" s="5">
        <f>IF($B193&lt;=Tabla5[[#This Row],[INVERSIONES FCI]],+Tabla5[[#This Row],[INVERSIONES FCI]]-Z193,Tabla5[[#This Row],[INVERSIONES FCI]])</f>
        <v>27544039748.666508</v>
      </c>
      <c r="AA194" s="5">
        <f>IF($B193&lt;=Tabla5[[#This Row],[INVERSIONES FCI]],+Tabla5[[#This Row],[INVERSIONES FCI]]-AA193,Tabla5[[#This Row],[INVERSIONES FCI]])</f>
        <v>27544039748.666508</v>
      </c>
      <c r="AB194" s="5">
        <f>IF($B193&lt;=Tabla5[[#This Row],[INVERSIONES FCI]],+Tabla5[[#This Row],[INVERSIONES FCI]]-AB193,Tabla5[[#This Row],[INVERSIONES FCI]])</f>
        <v>27544039748.666508</v>
      </c>
      <c r="AC194" s="5">
        <f>IF($B193&lt;=Tabla5[[#This Row],[INVERSIONES FCI]],+Tabla5[[#This Row],[INVERSIONES FCI]]-AC193,Tabla5[[#This Row],[INVERSIONES FCI]])</f>
        <v>27544039748.666508</v>
      </c>
      <c r="AD194" s="5">
        <f>IF($B193&lt;=Tabla5[[#This Row],[INVERSIONES FCI]],+Tabla5[[#This Row],[INVERSIONES FCI]]-AD193,Tabla5[[#This Row],[INVERSIONES FCI]])</f>
        <v>27544039748.666508</v>
      </c>
      <c r="AE194" s="5">
        <f>IF($B193&lt;=Tabla5[[#This Row],[INVERSIONES FCI]],+Tabla5[[#This Row],[INVERSIONES FCI]]-AE193,Tabla5[[#This Row],[INVERSIONES FCI]])</f>
        <v>27544039748.666508</v>
      </c>
      <c r="AF194" s="5">
        <f>IF($B193&lt;=Tabla5[[#This Row],[INVERSIONES FCI]],+Tabla5[[#This Row],[INVERSIONES FCI]]-AF193,Tabla5[[#This Row],[INVERSIONES FCI]])</f>
        <v>27544039748.666508</v>
      </c>
      <c r="AG194" s="5">
        <f>IF($B193&lt;=Tabla5[[#This Row],[INVERSIONES FCI]],+Tabla5[[#This Row],[INVERSIONES FCI]]-AG193,Tabla5[[#This Row],[INVERSIONES FCI]])</f>
        <v>27544039748.666508</v>
      </c>
      <c r="AH194" s="5">
        <f>IF($B193&lt;=Tabla5[[#This Row],[INVERSIONES FCI]],+Tabla5[[#This Row],[INVERSIONES FCI]]-AH193,Tabla5[[#This Row],[INVERSIONES FCI]])</f>
        <v>27544039748.666508</v>
      </c>
      <c r="AI194" s="5">
        <f>IF($B193&lt;=Tabla5[[#This Row],[INVERSIONES FCI]],+Tabla5[[#This Row],[INVERSIONES FCI]]-AI193,Tabla5[[#This Row],[INVERSIONES FCI]])</f>
        <v>27544039748.666508</v>
      </c>
      <c r="AJ194" s="5">
        <f>IF($B193&lt;=Tabla5[[#This Row],[INVERSIONES FCI]],+Tabla5[[#This Row],[INVERSIONES FCI]]-AJ193,Tabla5[[#This Row],[INVERSIONES FCI]])</f>
        <v>27544039748.666508</v>
      </c>
      <c r="AK194" s="5">
        <f>IF($B193&lt;=Tabla5[[#This Row],[INVERSIONES FCI]],+Tabla5[[#This Row],[INVERSIONES FCI]]-AK193,Tabla5[[#This Row],[INVERSIONES FCI]])</f>
        <v>27544039748.666508</v>
      </c>
      <c r="AL194" s="5">
        <f>IF($B193&lt;=Tabla5[[#This Row],[INVERSIONES FCI]],+Tabla5[[#This Row],[INVERSIONES FCI]]-AL193,Tabla5[[#This Row],[INVERSIONES FCI]])</f>
        <v>27544039748.666508</v>
      </c>
      <c r="AM194" s="5">
        <f>IF($B193&lt;=Tabla5[[#This Row],[INVERSIONES FCI]],+Tabla5[[#This Row],[INVERSIONES FCI]]-AM193,Tabla5[[#This Row],[INVERSIONES FCI]])</f>
        <v>27544039748.666508</v>
      </c>
      <c r="AN194" s="5">
        <f>IF($B193&lt;=Tabla5[[#This Row],[INVERSIONES FCI]],+Tabla5[[#This Row],[INVERSIONES FCI]]-AN193,Tabla5[[#This Row],[INVERSIONES FCI]])</f>
        <v>27544039748.666508</v>
      </c>
      <c r="AO194" s="5">
        <f>IF($B193&lt;=Tabla5[[#This Row],[INVERSIONES FCI]],+Tabla5[[#This Row],[INVERSIONES FCI]]-AO193,Tabla5[[#This Row],[INVERSIONES FCI]])</f>
        <v>27544039748.666508</v>
      </c>
      <c r="AP194" s="5">
        <f>IF($B193&lt;=Tabla5[[#This Row],[INVERSIONES FCI]],+Tabla5[[#This Row],[INVERSIONES FCI]]-AP193,Tabla5[[#This Row],[INVERSIONES FCI]])</f>
        <v>27544039748.666508</v>
      </c>
      <c r="AQ194" s="5">
        <f>IF($B193&lt;=Tabla5[[#This Row],[INVERSIONES FCI]],+Tabla5[[#This Row],[INVERSIONES FCI]]-AQ193,Tabla5[[#This Row],[INVERSIONES FCI]])</f>
        <v>27544039748.666508</v>
      </c>
      <c r="AR194" s="5">
        <f>IF($B193&lt;=Tabla5[[#This Row],[INVERSIONES FCI]],+Tabla5[[#This Row],[INVERSIONES FCI]]-AR193,Tabla5[[#This Row],[INVERSIONES FCI]])</f>
        <v>27544039748.666508</v>
      </c>
      <c r="AS194" s="5">
        <f>IF($B193&lt;=Tabla5[[#This Row],[INVERSIONES FCI]],+Tabla5[[#This Row],[INVERSIONES FCI]]-AS193,Tabla5[[#This Row],[INVERSIONES FCI]])</f>
        <v>27544039748.666508</v>
      </c>
      <c r="AT194" s="5">
        <f>IF($B193&lt;=Tabla5[[#This Row],[INVERSIONES FCI]],+Tabla5[[#This Row],[INVERSIONES FCI]]-AT193,Tabla5[[#This Row],[INVERSIONES FCI]])</f>
        <v>27544039748.666508</v>
      </c>
      <c r="AU194" s="5">
        <f>IF($B193&lt;=Tabla5[[#This Row],[INVERSIONES FCI]],+Tabla5[[#This Row],[INVERSIONES FCI]]-AU193,Tabla5[[#This Row],[INVERSIONES FCI]])</f>
        <v>27544039748.666508</v>
      </c>
      <c r="AV194" s="5">
        <f>IF($B193&lt;=Tabla5[[#This Row],[INVERSIONES FCI]],+Tabla5[[#This Row],[INVERSIONES FCI]]-AV193,Tabla5[[#This Row],[INVERSIONES FCI]])</f>
        <v>27544039748.666508</v>
      </c>
      <c r="AW194" s="5">
        <f>IF($B193&lt;=Tabla5[[#This Row],[INVERSIONES FCI]],+Tabla5[[#This Row],[INVERSIONES FCI]]-AW193,Tabla5[[#This Row],[INVERSIONES FCI]])</f>
        <v>27544039748.666508</v>
      </c>
      <c r="AX194" s="5">
        <f>IF($B193&lt;=Tabla5[[#This Row],[INVERSIONES FCI]],+Tabla5[[#This Row],[INVERSIONES FCI]]-AX193,Tabla5[[#This Row],[INVERSIONES FCI]])</f>
        <v>27544039748.666508</v>
      </c>
      <c r="AY194" s="5">
        <f>IF($B193&lt;=Tabla5[[#This Row],[INVERSIONES FCI]],+Tabla5[[#This Row],[INVERSIONES FCI]]-AY193,Tabla5[[#This Row],[INVERSIONES FCI]])</f>
        <v>27544039748.666508</v>
      </c>
      <c r="AZ194" s="5">
        <f>IF($B193&lt;=Tabla5[[#This Row],[INVERSIONES FCI]],+Tabla5[[#This Row],[INVERSIONES FCI]]-AZ193,Tabla5[[#This Row],[INVERSIONES FCI]])</f>
        <v>27544039748.666508</v>
      </c>
      <c r="BA194" s="5">
        <f>IF($B193&lt;=Tabla5[[#This Row],[INVERSIONES FCI]],+Tabla5[[#This Row],[INVERSIONES FCI]]-BA193,Tabla5[[#This Row],[INVERSIONES FCI]])</f>
        <v>27544039748.666508</v>
      </c>
      <c r="BB194" s="5">
        <f>IF($B193&lt;=Tabla5[[#This Row],[INVERSIONES FCI]],+Tabla5[[#This Row],[INVERSIONES FCI]]-BB193,Tabla5[[#This Row],[INVERSIONES FCI]])</f>
        <v>27544039748.666508</v>
      </c>
      <c r="BC194" s="5">
        <f>IF($B193&lt;=Tabla5[[#This Row],[INVERSIONES FCI]],+Tabla5[[#This Row],[INVERSIONES FCI]]-BC193,Tabla5[[#This Row],[INVERSIONES FCI]])</f>
        <v>27544039748.666508</v>
      </c>
      <c r="BD194" s="5">
        <f>IF($B193&lt;=Tabla5[[#This Row],[INVERSIONES FCI]],+Tabla5[[#This Row],[INVERSIONES FCI]]-BD193,Tabla5[[#This Row],[INVERSIONES FCI]])</f>
        <v>27544039748.666508</v>
      </c>
      <c r="BE194" s="5">
        <f>IF($B193&lt;=Tabla5[[#This Row],[INVERSIONES FCI]],+Tabla5[[#This Row],[INVERSIONES FCI]]-BE193,Tabla5[[#This Row],[INVERSIONES FCI]])</f>
        <v>27544039748.666508</v>
      </c>
      <c r="BF194" s="5">
        <f>IF($B193&lt;=Tabla5[[#This Row],[INVERSIONES FCI]],+Tabla5[[#This Row],[INVERSIONES FCI]]-BF193,Tabla5[[#This Row],[INVERSIONES FCI]])</f>
        <v>27544039748.666508</v>
      </c>
      <c r="BG194" s="5">
        <f>IF($B193&lt;=Tabla5[[#This Row],[INVERSIONES FCI]],+Tabla5[[#This Row],[INVERSIONES FCI]]-BG193,Tabla5[[#This Row],[INVERSIONES FCI]])</f>
        <v>27544039748.666508</v>
      </c>
      <c r="BH194" s="5">
        <f>IF($B193&lt;=Tabla5[[#This Row],[INVERSIONES FCI]],+Tabla5[[#This Row],[INVERSIONES FCI]]-BH193,Tabla5[[#This Row],[INVERSIONES FCI]])</f>
        <v>27544039748.666508</v>
      </c>
      <c r="BI194" s="5">
        <f>IF($B193&lt;=Tabla5[[#This Row],[INVERSIONES FCI]],+Tabla5[[#This Row],[INVERSIONES FCI]]-BI193,Tabla5[[#This Row],[INVERSIONES FCI]])</f>
        <v>27544039748.666508</v>
      </c>
      <c r="BJ194" s="5">
        <f>IF($B193&lt;=Tabla5[[#This Row],[INVERSIONES FCI]],+Tabla5[[#This Row],[INVERSIONES FCI]]-BJ193,Tabla5[[#This Row],[INVERSIONES FCI]])</f>
        <v>27544039748.666508</v>
      </c>
      <c r="BK194" s="5">
        <f>IF($B193&lt;=Tabla5[[#This Row],[INVERSIONES FCI]],+Tabla5[[#This Row],[INVERSIONES FCI]]-BK193,Tabla5[[#This Row],[INVERSIONES FCI]])</f>
        <v>27544039748.666508</v>
      </c>
      <c r="BL194" s="5">
        <f>IF($B193&lt;=Tabla5[[#This Row],[INVERSIONES FCI]],+Tabla5[[#This Row],[INVERSIONES FCI]]-BL193,Tabla5[[#This Row],[INVERSIONES FCI]])</f>
        <v>27544039748.666508</v>
      </c>
      <c r="BM194" s="5">
        <f>IF($B193&lt;=Tabla5[[#This Row],[INVERSIONES FCI]],+Tabla5[[#This Row],[INVERSIONES FCI]]-BM193,Tabla5[[#This Row],[INVERSIONES FCI]])</f>
        <v>27544039748.666508</v>
      </c>
      <c r="BN194" s="5">
        <f>IF($B193&lt;=Tabla5[[#This Row],[INVERSIONES FCI]],+Tabla5[[#This Row],[INVERSIONES FCI]]-BN193,Tabla5[[#This Row],[INVERSIONES FCI]])</f>
        <v>27544039748.666508</v>
      </c>
      <c r="BO194" s="5">
        <f>IF($B193&lt;=Tabla5[[#This Row],[INVERSIONES FCI]],+Tabla5[[#This Row],[INVERSIONES FCI]]-BO193,Tabla5[[#This Row],[INVERSIONES FCI]])</f>
        <v>27544039748.666508</v>
      </c>
      <c r="BP194" s="5">
        <f>IF($B193&lt;=Tabla5[[#This Row],[INVERSIONES FCI]],+Tabla5[[#This Row],[INVERSIONES FCI]]-BP193,Tabla5[[#This Row],[INVERSIONES FCI]])</f>
        <v>27544039748.666508</v>
      </c>
      <c r="BQ194" s="5">
        <f>IF($B193&lt;=Tabla5[[#This Row],[INVERSIONES FCI]],+Tabla5[[#This Row],[INVERSIONES FCI]]-BQ193,Tabla5[[#This Row],[INVERSIONES FCI]])</f>
        <v>27544039748.666508</v>
      </c>
      <c r="BR194" s="5">
        <f>IF($B193&lt;=Tabla5[[#This Row],[INVERSIONES FCI]],+Tabla5[[#This Row],[INVERSIONES FCI]]-BR193,Tabla5[[#This Row],[INVERSIONES FCI]])</f>
        <v>27544039748.666508</v>
      </c>
      <c r="BS194" s="5">
        <f>IF($B193&lt;=Tabla5[[#This Row],[INVERSIONES FCI]],+Tabla5[[#This Row],[INVERSIONES FCI]]-BS193,Tabla5[[#This Row],[INVERSIONES FCI]])</f>
        <v>27544039748.666508</v>
      </c>
      <c r="BT194" s="5">
        <f>IF($B193&lt;=Tabla5[[#This Row],[INVERSIONES FCI]],+Tabla5[[#This Row],[INVERSIONES FCI]]-BT193,Tabla5[[#This Row],[INVERSIONES FCI]])</f>
        <v>27544039748.666508</v>
      </c>
      <c r="BU194" s="5">
        <f>IF($B193&lt;=Tabla5[[#This Row],[INVERSIONES FCI]],+Tabla5[[#This Row],[INVERSIONES FCI]]-BU193,Tabla5[[#This Row],[INVERSIONES FCI]])</f>
        <v>27544039748.666508</v>
      </c>
      <c r="BV194" s="5">
        <f>IF($B193&lt;=Tabla5[[#This Row],[INVERSIONES FCI]],+Tabla5[[#This Row],[INVERSIONES FCI]]-BV193,Tabla5[[#This Row],[INVERSIONES FCI]])</f>
        <v>27544039748.666508</v>
      </c>
      <c r="BW194" s="5">
        <f>IF($B193&lt;=Tabla5[[#This Row],[INVERSIONES FCI]],+Tabla5[[#This Row],[INVERSIONES FCI]]-BW193,Tabla5[[#This Row],[INVERSIONES FCI]])</f>
        <v>27544039748.666508</v>
      </c>
      <c r="BX194" s="5">
        <f>IF($B193&lt;=Tabla5[[#This Row],[INVERSIONES FCI]],+Tabla5[[#This Row],[INVERSIONES FCI]]-BX193,Tabla5[[#This Row],[INVERSIONES FCI]])</f>
        <v>27544039748.666508</v>
      </c>
      <c r="BY194" s="5">
        <f>IF($B193&lt;=Tabla5[[#This Row],[INVERSIONES FCI]],+Tabla5[[#This Row],[INVERSIONES FCI]]-BY193,Tabla5[[#This Row],[INVERSIONES FCI]])</f>
        <v>27544039748.666508</v>
      </c>
      <c r="BZ194" s="5">
        <f>IF($B193&lt;=Tabla5[[#This Row],[INVERSIONES FCI]],+Tabla5[[#This Row],[INVERSIONES FCI]]-BZ193,Tabla5[[#This Row],[INVERSIONES FCI]])</f>
        <v>27544039748.666508</v>
      </c>
      <c r="CA194" s="5">
        <f>IF($B193&lt;=Tabla5[[#This Row],[INVERSIONES FCI]],+Tabla5[[#This Row],[INVERSIONES FCI]]-CA193,Tabla5[[#This Row],[INVERSIONES FCI]])</f>
        <v>27544039748.666508</v>
      </c>
      <c r="CB194" s="5">
        <f>IF($B193&lt;=Tabla5[[#This Row],[INVERSIONES FCI]],+Tabla5[[#This Row],[INVERSIONES FCI]]-CB193,Tabla5[[#This Row],[INVERSIONES FCI]])</f>
        <v>27544039748.666508</v>
      </c>
      <c r="CC194" s="5">
        <f>IF($B193&lt;=Tabla5[[#This Row],[INVERSIONES FCI]],+Tabla5[[#This Row],[INVERSIONES FCI]]-CC193,Tabla5[[#This Row],[INVERSIONES FCI]])</f>
        <v>27544039748.666508</v>
      </c>
      <c r="CD194" s="5">
        <f>IF($B193&lt;=Tabla5[[#This Row],[INVERSIONES FCI]],+Tabla5[[#This Row],[INVERSIONES FCI]]-CD193,Tabla5[[#This Row],[INVERSIONES FCI]])</f>
        <v>27544039748.666508</v>
      </c>
      <c r="CE194" s="5">
        <f>IF($B193&lt;=Tabla5[[#This Row],[INVERSIONES FCI]],+Tabla5[[#This Row],[INVERSIONES FCI]]-CE193,Tabla5[[#This Row],[INVERSIONES FCI]])</f>
        <v>27544039748.666508</v>
      </c>
      <c r="CF194" s="5">
        <f>IF($B193&lt;=Tabla5[[#This Row],[INVERSIONES FCI]],+Tabla5[[#This Row],[INVERSIONES FCI]]-CF193,Tabla5[[#This Row],[INVERSIONES FCI]])</f>
        <v>27544039748.666508</v>
      </c>
      <c r="CG194" s="5">
        <f>IF($B193&lt;=Tabla5[[#This Row],[INVERSIONES FCI]],+Tabla5[[#This Row],[INVERSIONES FCI]]-CG193,Tabla5[[#This Row],[INVERSIONES FCI]])</f>
        <v>27544039748.666508</v>
      </c>
      <c r="CH194" s="5">
        <f>IF($B193&lt;=Tabla5[[#This Row],[INVERSIONES FCI]],+Tabla5[[#This Row],[INVERSIONES FCI]]-CH193,Tabla5[[#This Row],[INVERSIONES FCI]])</f>
        <v>27544039748.666508</v>
      </c>
      <c r="CI194" s="5">
        <f>IF($B193&lt;=Tabla5[[#This Row],[INVERSIONES FCI]],+Tabla5[[#This Row],[INVERSIONES FCI]]-CI193,Tabla5[[#This Row],[INVERSIONES FCI]])</f>
        <v>27544039748.666508</v>
      </c>
      <c r="CJ194" s="5">
        <f>IF($B193&lt;=Tabla5[[#This Row],[INVERSIONES FCI]],+Tabla5[[#This Row],[INVERSIONES FCI]]-CJ193,Tabla5[[#This Row],[INVERSIONES FCI]])</f>
        <v>27544039748.666508</v>
      </c>
      <c r="CK194" s="5">
        <f>IF($B193&lt;=Tabla5[[#This Row],[INVERSIONES FCI]],+Tabla5[[#This Row],[INVERSIONES FCI]]-CK193,Tabla5[[#This Row],[INVERSIONES FCI]])</f>
        <v>27544039748.666508</v>
      </c>
      <c r="CL194" s="5">
        <f>IF($B193&lt;=Tabla5[[#This Row],[INVERSIONES FCI]],+Tabla5[[#This Row],[INVERSIONES FCI]]-CL193,Tabla5[[#This Row],[INVERSIONES FCI]])</f>
        <v>27544039748.666508</v>
      </c>
      <c r="CM194" s="5">
        <f>IF($B193&lt;=Tabla5[[#This Row],[INVERSIONES FCI]],+Tabla5[[#This Row],[INVERSIONES FCI]]-CM193,Tabla5[[#This Row],[INVERSIONES FCI]])</f>
        <v>27544039748.666508</v>
      </c>
      <c r="CN194" s="5">
        <f>IF($B193&lt;=Tabla5[[#This Row],[INVERSIONES FCI]],+Tabla5[[#This Row],[INVERSIONES FCI]]-CN193,Tabla5[[#This Row],[INVERSIONES FCI]])</f>
        <v>27544039748.666508</v>
      </c>
      <c r="CO194" s="5">
        <f>IF($B193&lt;=Tabla5[[#This Row],[INVERSIONES FCI]],+Tabla5[[#This Row],[INVERSIONES FCI]]-CO193,Tabla5[[#This Row],[INVERSIONES FCI]])</f>
        <v>27544039748.666508</v>
      </c>
      <c r="CP194" s="5">
        <f>IF($B193&lt;=Tabla5[[#This Row],[INVERSIONES FCI]],+Tabla5[[#This Row],[INVERSIONES FCI]]-CP193,Tabla5[[#This Row],[INVERSIONES FCI]])</f>
        <v>27544039748.666508</v>
      </c>
      <c r="CQ194" s="5">
        <f>IF($B193&lt;=Tabla5[[#This Row],[INVERSIONES FCI]],+Tabla5[[#This Row],[INVERSIONES FCI]]-CQ193,Tabla5[[#This Row],[INVERSIONES FCI]])</f>
        <v>27544039748.666508</v>
      </c>
      <c r="CR194" s="5">
        <f>IF($B193&lt;=Tabla5[[#This Row],[INVERSIONES FCI]],+Tabla5[[#This Row],[INVERSIONES FCI]]-CR193,Tabla5[[#This Row],[INVERSIONES FCI]])</f>
        <v>27544039748.666508</v>
      </c>
      <c r="CS194" s="5">
        <f>IF($B193&lt;=Tabla5[[#This Row],[INVERSIONES FCI]],+Tabla5[[#This Row],[INVERSIONES FCI]]-CS193,Tabla5[[#This Row],[INVERSIONES FCI]])</f>
        <v>27544039748.666508</v>
      </c>
      <c r="CT194" s="5">
        <f>IF($B193&lt;=Tabla5[[#This Row],[INVERSIONES FCI]],+Tabla5[[#This Row],[INVERSIONES FCI]]-CT193,Tabla5[[#This Row],[INVERSIONES FCI]])</f>
        <v>27544039748.666508</v>
      </c>
      <c r="CU194" s="5">
        <f>IF($B193&lt;=Tabla5[[#This Row],[INVERSIONES FCI]],+Tabla5[[#This Row],[INVERSIONES FCI]]-CU193,Tabla5[[#This Row],[INVERSIONES FCI]])</f>
        <v>27544039748.666508</v>
      </c>
      <c r="CV194" s="5">
        <f>IF($B193&lt;=Tabla5[[#This Row],[INVERSIONES FCI]],+Tabla5[[#This Row],[INVERSIONES FCI]]-CV193,Tabla5[[#This Row],[INVERSIONES FCI]])</f>
        <v>27544039748.666508</v>
      </c>
      <c r="CW194" s="5">
        <f>IF($B193&lt;=Tabla5[[#This Row],[INVERSIONES FCI]],+Tabla5[[#This Row],[INVERSIONES FCI]]-CW193,Tabla5[[#This Row],[INVERSIONES FCI]])</f>
        <v>27544039748.666508</v>
      </c>
      <c r="CX194" s="5">
        <f>IF($B193&lt;=Tabla5[[#This Row],[INVERSIONES FCI]],+Tabla5[[#This Row],[INVERSIONES FCI]]-CX193,Tabla5[[#This Row],[INVERSIONES FCI]])</f>
        <v>27544039748.666508</v>
      </c>
      <c r="CY194" s="5">
        <f>IF($B193&lt;=Tabla5[[#This Row],[INVERSIONES FCI]],+Tabla5[[#This Row],[INVERSIONES FCI]]-CY193,Tabla5[[#This Row],[INVERSIONES FCI]])</f>
        <v>27544039748.666508</v>
      </c>
      <c r="CZ194" s="5">
        <f>IF($B193&lt;=Tabla5[[#This Row],[INVERSIONES FCI]],+Tabla5[[#This Row],[INVERSIONES FCI]]-CZ193,Tabla5[[#This Row],[INVERSIONES FCI]])</f>
        <v>27544039748.666508</v>
      </c>
      <c r="DA194" s="5">
        <f>IF($B193&lt;=Tabla5[[#This Row],[INVERSIONES FCI]],+Tabla5[[#This Row],[INVERSIONES FCI]]-DA193,Tabla5[[#This Row],[INVERSIONES FCI]])</f>
        <v>27544039748.666508</v>
      </c>
      <c r="DB194" s="5">
        <f>IF($B193&lt;=Tabla5[[#This Row],[INVERSIONES FCI]],+Tabla5[[#This Row],[INVERSIONES FCI]]-DB193,Tabla5[[#This Row],[INVERSIONES FCI]])</f>
        <v>27544039748.666508</v>
      </c>
      <c r="DC194" s="5">
        <f>IF($B193&lt;=Tabla5[[#This Row],[INVERSIONES FCI]],+Tabla5[[#This Row],[INVERSIONES FCI]]-DC193,Tabla5[[#This Row],[INVERSIONES FCI]])</f>
        <v>27544039748.666508</v>
      </c>
      <c r="DD194" s="5">
        <f>IF($B193&lt;=Tabla5[[#This Row],[INVERSIONES FCI]],+Tabla5[[#This Row],[INVERSIONES FCI]]-DD193,Tabla5[[#This Row],[INVERSIONES FCI]])</f>
        <v>27544039748.666508</v>
      </c>
      <c r="DE194" s="5">
        <f>IF($B193&lt;=Tabla5[[#This Row],[INVERSIONES FCI]],+Tabla5[[#This Row],[INVERSIONES FCI]]-DE193,Tabla5[[#This Row],[INVERSIONES FCI]])</f>
        <v>27544039748.666508</v>
      </c>
      <c r="DF194" s="5">
        <f>IF($B193&lt;=Tabla5[[#This Row],[INVERSIONES FCI]],+Tabla5[[#This Row],[INVERSIONES FCI]]-DF193,Tabla5[[#This Row],[INVERSIONES FCI]])</f>
        <v>27544039748.666508</v>
      </c>
      <c r="DG194" s="5">
        <f>IF($B193&lt;=Tabla5[[#This Row],[INVERSIONES FCI]],+Tabla5[[#This Row],[INVERSIONES FCI]]-DG193,Tabla5[[#This Row],[INVERSIONES FCI]])</f>
        <v>27544039748.666508</v>
      </c>
      <c r="DH194" s="5">
        <f>IF($B193&lt;=Tabla5[[#This Row],[INVERSIONES FCI]],+Tabla5[[#This Row],[INVERSIONES FCI]]-DH193,Tabla5[[#This Row],[INVERSIONES FCI]])</f>
        <v>27544039748.666508</v>
      </c>
      <c r="DI194" s="5">
        <f>IF($B193&lt;=Tabla5[[#This Row],[INVERSIONES FCI]],+Tabla5[[#This Row],[INVERSIONES FCI]]-DI193,Tabla5[[#This Row],[INVERSIONES FCI]])</f>
        <v>27544039748.666508</v>
      </c>
      <c r="DJ194" s="5">
        <f>IF($B193&lt;=Tabla5[[#This Row],[INVERSIONES FCI]],+Tabla5[[#This Row],[INVERSIONES FCI]]-DJ193,Tabla5[[#This Row],[INVERSIONES FCI]])</f>
        <v>27544039748.666508</v>
      </c>
      <c r="DK194" s="5">
        <f>IF($B193&lt;=Tabla5[[#This Row],[INVERSIONES FCI]],+Tabla5[[#This Row],[INVERSIONES FCI]]-DK193,Tabla5[[#This Row],[INVERSIONES FCI]])</f>
        <v>27544039748.666508</v>
      </c>
      <c r="DL194" s="5"/>
      <c r="DM194" s="5"/>
      <c r="DN194" s="5"/>
      <c r="DO194" s="5"/>
      <c r="DP194" s="5"/>
      <c r="DQ194" s="5"/>
    </row>
    <row r="195" spans="1:121" ht="14.4">
      <c r="A195" s="12" t="s">
        <v>194</v>
      </c>
      <c r="B195" s="5">
        <f>HLOOKUP($A195,ESCENARIO[#All],7,FALSE)</f>
        <v>32225264977.218201</v>
      </c>
      <c r="C195" s="5">
        <f>IF($B194&lt;=Tabla5[[#This Row],[INVERSIONES FCI]],+Tabla5[[#This Row],[INVERSIONES FCI]]-C194,Tabla5[[#This Row],[INVERSIONES FCI]])</f>
        <v>4681225228.551693</v>
      </c>
      <c r="D195" s="5">
        <f>IF($B194&lt;=Tabla5[[#This Row],[INVERSIONES FCI]],+Tabla5[[#This Row],[INVERSIONES FCI]]-D194,Tabla5[[#This Row],[INVERSIONES FCI]])</f>
        <v>4681225228.551693</v>
      </c>
      <c r="E195" s="5">
        <f>IF($B194&lt;=Tabla5[[#This Row],[INVERSIONES FCI]],+Tabla5[[#This Row],[INVERSIONES FCI]]-E194,Tabla5[[#This Row],[INVERSIONES FCI]])</f>
        <v>4681225228.551693</v>
      </c>
      <c r="F195" s="5">
        <f>IF($B194&lt;=Tabla5[[#This Row],[INVERSIONES FCI]],+Tabla5[[#This Row],[INVERSIONES FCI]]-F194,Tabla5[[#This Row],[INVERSIONES FCI]])</f>
        <v>4681225228.551693</v>
      </c>
      <c r="G195" s="5">
        <f>IF($B194&lt;=Tabla5[[#This Row],[INVERSIONES FCI]],+Tabla5[[#This Row],[INVERSIONES FCI]]-G194,Tabla5[[#This Row],[INVERSIONES FCI]])</f>
        <v>4681225228.551693</v>
      </c>
      <c r="H195" s="5">
        <f>IF($B194&lt;=Tabla5[[#This Row],[INVERSIONES FCI]],+Tabla5[[#This Row],[INVERSIONES FCI]]-H194,Tabla5[[#This Row],[INVERSIONES FCI]])</f>
        <v>4681225228.551693</v>
      </c>
      <c r="I195" s="5">
        <f>IF($B194&lt;=Tabla5[[#This Row],[INVERSIONES FCI]],+Tabla5[[#This Row],[INVERSIONES FCI]]-I194,Tabla5[[#This Row],[INVERSIONES FCI]])</f>
        <v>4681225228.551693</v>
      </c>
      <c r="J195" s="5">
        <f>IF($B194&lt;=Tabla5[[#This Row],[INVERSIONES FCI]],+Tabla5[[#This Row],[INVERSIONES FCI]]-J194,Tabla5[[#This Row],[INVERSIONES FCI]])</f>
        <v>4681225228.551693</v>
      </c>
      <c r="K195" s="5">
        <f>IF($B194&lt;=Tabla5[[#This Row],[INVERSIONES FCI]],+Tabla5[[#This Row],[INVERSIONES FCI]]-K194,Tabla5[[#This Row],[INVERSIONES FCI]])</f>
        <v>4681225228.551693</v>
      </c>
      <c r="L195" s="5">
        <f>IF($B194&lt;=Tabla5[[#This Row],[INVERSIONES FCI]],+Tabla5[[#This Row],[INVERSIONES FCI]]-L194,Tabla5[[#This Row],[INVERSIONES FCI]])</f>
        <v>4681225228.551693</v>
      </c>
      <c r="M195" s="5">
        <f>IF($B194&lt;=Tabla5[[#This Row],[INVERSIONES FCI]],+Tabla5[[#This Row],[INVERSIONES FCI]]-M194,Tabla5[[#This Row],[INVERSIONES FCI]])</f>
        <v>4681225228.551693</v>
      </c>
      <c r="N195" s="5">
        <f>IF($B194&lt;=Tabla5[[#This Row],[INVERSIONES FCI]],+Tabla5[[#This Row],[INVERSIONES FCI]]-N194,Tabla5[[#This Row],[INVERSIONES FCI]])</f>
        <v>4681225228.551693</v>
      </c>
      <c r="O195" s="5">
        <f>IF($B194&lt;=Tabla5[[#This Row],[INVERSIONES FCI]],+Tabla5[[#This Row],[INVERSIONES FCI]]-O194,Tabla5[[#This Row],[INVERSIONES FCI]])</f>
        <v>4681225228.551693</v>
      </c>
      <c r="P195" s="5">
        <f>IF($B194&lt;=Tabla5[[#This Row],[INVERSIONES FCI]],+Tabla5[[#This Row],[INVERSIONES FCI]]-P194,Tabla5[[#This Row],[INVERSIONES FCI]])</f>
        <v>4681225228.551693</v>
      </c>
      <c r="Q195" s="5">
        <f>IF($B194&lt;=Tabla5[[#This Row],[INVERSIONES FCI]],+Tabla5[[#This Row],[INVERSIONES FCI]]-Q194,Tabla5[[#This Row],[INVERSIONES FCI]])</f>
        <v>4681225228.551693</v>
      </c>
      <c r="R195" s="5">
        <f>IF($B194&lt;=Tabla5[[#This Row],[INVERSIONES FCI]],+Tabla5[[#This Row],[INVERSIONES FCI]]-R194,Tabla5[[#This Row],[INVERSIONES FCI]])</f>
        <v>4681225228.551693</v>
      </c>
      <c r="S195" s="5">
        <f>IF($B194&lt;=Tabla5[[#This Row],[INVERSIONES FCI]],+Tabla5[[#This Row],[INVERSIONES FCI]]-S194,Tabla5[[#This Row],[INVERSIONES FCI]])</f>
        <v>4681225228.551693</v>
      </c>
      <c r="T195" s="5">
        <f>IF($B194&lt;=Tabla5[[#This Row],[INVERSIONES FCI]],+Tabla5[[#This Row],[INVERSIONES FCI]]-T194,Tabla5[[#This Row],[INVERSIONES FCI]])</f>
        <v>4681225228.551693</v>
      </c>
      <c r="U195" s="5">
        <f>IF($B194&lt;=Tabla5[[#This Row],[INVERSIONES FCI]],+Tabla5[[#This Row],[INVERSIONES FCI]]-U194,Tabla5[[#This Row],[INVERSIONES FCI]])</f>
        <v>4681225228.551693</v>
      </c>
      <c r="V195" s="5">
        <f>IF($B194&lt;=Tabla5[[#This Row],[INVERSIONES FCI]],+Tabla5[[#This Row],[INVERSIONES FCI]]-V194,Tabla5[[#This Row],[INVERSIONES FCI]])</f>
        <v>4681225228.551693</v>
      </c>
      <c r="W195" s="5">
        <f>IF($B194&lt;=Tabla5[[#This Row],[INVERSIONES FCI]],+Tabla5[[#This Row],[INVERSIONES FCI]]-W194,Tabla5[[#This Row],[INVERSIONES FCI]])</f>
        <v>4681225228.551693</v>
      </c>
      <c r="X195" s="5">
        <f>IF($B194&lt;=Tabla5[[#This Row],[INVERSIONES FCI]],+Tabla5[[#This Row],[INVERSIONES FCI]]-X194,Tabla5[[#This Row],[INVERSIONES FCI]])</f>
        <v>4681225228.551693</v>
      </c>
      <c r="Y195" s="5">
        <f>IF($B194&lt;=Tabla5[[#This Row],[INVERSIONES FCI]],+Tabla5[[#This Row],[INVERSIONES FCI]]-Y194,Tabla5[[#This Row],[INVERSIONES FCI]])</f>
        <v>4681225228.551693</v>
      </c>
      <c r="Z195" s="5">
        <f>IF($B194&lt;=Tabla5[[#This Row],[INVERSIONES FCI]],+Tabla5[[#This Row],[INVERSIONES FCI]]-Z194,Tabla5[[#This Row],[INVERSIONES FCI]])</f>
        <v>4681225228.551693</v>
      </c>
      <c r="AA195" s="5">
        <f>IF($B194&lt;=Tabla5[[#This Row],[INVERSIONES FCI]],+Tabla5[[#This Row],[INVERSIONES FCI]]-AA194,Tabla5[[#This Row],[INVERSIONES FCI]])</f>
        <v>4681225228.551693</v>
      </c>
      <c r="AB195" s="5">
        <f>IF($B194&lt;=Tabla5[[#This Row],[INVERSIONES FCI]],+Tabla5[[#This Row],[INVERSIONES FCI]]-AB194,Tabla5[[#This Row],[INVERSIONES FCI]])</f>
        <v>4681225228.551693</v>
      </c>
      <c r="AC195" s="5">
        <f>IF($B194&lt;=Tabla5[[#This Row],[INVERSIONES FCI]],+Tabla5[[#This Row],[INVERSIONES FCI]]-AC194,Tabla5[[#This Row],[INVERSIONES FCI]])</f>
        <v>4681225228.551693</v>
      </c>
      <c r="AD195" s="5">
        <f>IF($B194&lt;=Tabla5[[#This Row],[INVERSIONES FCI]],+Tabla5[[#This Row],[INVERSIONES FCI]]-AD194,Tabla5[[#This Row],[INVERSIONES FCI]])</f>
        <v>4681225228.551693</v>
      </c>
      <c r="AE195" s="5">
        <f>IF($B194&lt;=Tabla5[[#This Row],[INVERSIONES FCI]],+Tabla5[[#This Row],[INVERSIONES FCI]]-AE194,Tabla5[[#This Row],[INVERSIONES FCI]])</f>
        <v>4681225228.551693</v>
      </c>
      <c r="AF195" s="5">
        <f>IF($B194&lt;=Tabla5[[#This Row],[INVERSIONES FCI]],+Tabla5[[#This Row],[INVERSIONES FCI]]-AF194,Tabla5[[#This Row],[INVERSIONES FCI]])</f>
        <v>4681225228.551693</v>
      </c>
      <c r="AG195" s="5">
        <f>IF($B194&lt;=Tabla5[[#This Row],[INVERSIONES FCI]],+Tabla5[[#This Row],[INVERSIONES FCI]]-AG194,Tabla5[[#This Row],[INVERSIONES FCI]])</f>
        <v>4681225228.551693</v>
      </c>
      <c r="AH195" s="5">
        <f>IF($B194&lt;=Tabla5[[#This Row],[INVERSIONES FCI]],+Tabla5[[#This Row],[INVERSIONES FCI]]-AH194,Tabla5[[#This Row],[INVERSIONES FCI]])</f>
        <v>4681225228.551693</v>
      </c>
      <c r="AI195" s="5">
        <f>IF($B194&lt;=Tabla5[[#This Row],[INVERSIONES FCI]],+Tabla5[[#This Row],[INVERSIONES FCI]]-AI194,Tabla5[[#This Row],[INVERSIONES FCI]])</f>
        <v>4681225228.551693</v>
      </c>
      <c r="AJ195" s="5">
        <f>IF($B194&lt;=Tabla5[[#This Row],[INVERSIONES FCI]],+Tabla5[[#This Row],[INVERSIONES FCI]]-AJ194,Tabla5[[#This Row],[INVERSIONES FCI]])</f>
        <v>4681225228.551693</v>
      </c>
      <c r="AK195" s="5">
        <f>IF($B194&lt;=Tabla5[[#This Row],[INVERSIONES FCI]],+Tabla5[[#This Row],[INVERSIONES FCI]]-AK194,Tabla5[[#This Row],[INVERSIONES FCI]])</f>
        <v>4681225228.551693</v>
      </c>
      <c r="AL195" s="5">
        <f>IF($B194&lt;=Tabla5[[#This Row],[INVERSIONES FCI]],+Tabla5[[#This Row],[INVERSIONES FCI]]-AL194,Tabla5[[#This Row],[INVERSIONES FCI]])</f>
        <v>4681225228.551693</v>
      </c>
      <c r="AM195" s="5">
        <f>IF($B194&lt;=Tabla5[[#This Row],[INVERSIONES FCI]],+Tabla5[[#This Row],[INVERSIONES FCI]]-AM194,Tabla5[[#This Row],[INVERSIONES FCI]])</f>
        <v>4681225228.551693</v>
      </c>
      <c r="AN195" s="5">
        <f>IF($B194&lt;=Tabla5[[#This Row],[INVERSIONES FCI]],+Tabla5[[#This Row],[INVERSIONES FCI]]-AN194,Tabla5[[#This Row],[INVERSIONES FCI]])</f>
        <v>4681225228.551693</v>
      </c>
      <c r="AO195" s="5">
        <f>IF($B194&lt;=Tabla5[[#This Row],[INVERSIONES FCI]],+Tabla5[[#This Row],[INVERSIONES FCI]]-AO194,Tabla5[[#This Row],[INVERSIONES FCI]])</f>
        <v>4681225228.551693</v>
      </c>
      <c r="AP195" s="5">
        <f>IF($B194&lt;=Tabla5[[#This Row],[INVERSIONES FCI]],+Tabla5[[#This Row],[INVERSIONES FCI]]-AP194,Tabla5[[#This Row],[INVERSIONES FCI]])</f>
        <v>4681225228.551693</v>
      </c>
      <c r="AQ195" s="5">
        <f>IF($B194&lt;=Tabla5[[#This Row],[INVERSIONES FCI]],+Tabla5[[#This Row],[INVERSIONES FCI]]-AQ194,Tabla5[[#This Row],[INVERSIONES FCI]])</f>
        <v>4681225228.551693</v>
      </c>
      <c r="AR195" s="5">
        <f>IF($B194&lt;=Tabla5[[#This Row],[INVERSIONES FCI]],+Tabla5[[#This Row],[INVERSIONES FCI]]-AR194,Tabla5[[#This Row],[INVERSIONES FCI]])</f>
        <v>4681225228.551693</v>
      </c>
      <c r="AS195" s="5">
        <f>IF($B194&lt;=Tabla5[[#This Row],[INVERSIONES FCI]],+Tabla5[[#This Row],[INVERSIONES FCI]]-AS194,Tabla5[[#This Row],[INVERSIONES FCI]])</f>
        <v>4681225228.551693</v>
      </c>
      <c r="AT195" s="5">
        <f>IF($B194&lt;=Tabla5[[#This Row],[INVERSIONES FCI]],+Tabla5[[#This Row],[INVERSIONES FCI]]-AT194,Tabla5[[#This Row],[INVERSIONES FCI]])</f>
        <v>4681225228.551693</v>
      </c>
      <c r="AU195" s="5">
        <f>IF($B194&lt;=Tabla5[[#This Row],[INVERSIONES FCI]],+Tabla5[[#This Row],[INVERSIONES FCI]]-AU194,Tabla5[[#This Row],[INVERSIONES FCI]])</f>
        <v>4681225228.551693</v>
      </c>
      <c r="AV195" s="5">
        <f>IF($B194&lt;=Tabla5[[#This Row],[INVERSIONES FCI]],+Tabla5[[#This Row],[INVERSIONES FCI]]-AV194,Tabla5[[#This Row],[INVERSIONES FCI]])</f>
        <v>4681225228.551693</v>
      </c>
      <c r="AW195" s="5">
        <f>IF($B194&lt;=Tabla5[[#This Row],[INVERSIONES FCI]],+Tabla5[[#This Row],[INVERSIONES FCI]]-AW194,Tabla5[[#This Row],[INVERSIONES FCI]])</f>
        <v>4681225228.551693</v>
      </c>
      <c r="AX195" s="5">
        <f>IF($B194&lt;=Tabla5[[#This Row],[INVERSIONES FCI]],+Tabla5[[#This Row],[INVERSIONES FCI]]-AX194,Tabla5[[#This Row],[INVERSIONES FCI]])</f>
        <v>4681225228.551693</v>
      </c>
      <c r="AY195" s="5">
        <f>IF($B194&lt;=Tabla5[[#This Row],[INVERSIONES FCI]],+Tabla5[[#This Row],[INVERSIONES FCI]]-AY194,Tabla5[[#This Row],[INVERSIONES FCI]])</f>
        <v>4681225228.551693</v>
      </c>
      <c r="AZ195" s="5">
        <f>IF($B194&lt;=Tabla5[[#This Row],[INVERSIONES FCI]],+Tabla5[[#This Row],[INVERSIONES FCI]]-AZ194,Tabla5[[#This Row],[INVERSIONES FCI]])</f>
        <v>4681225228.551693</v>
      </c>
      <c r="BA195" s="5">
        <f>IF($B194&lt;=Tabla5[[#This Row],[INVERSIONES FCI]],+Tabla5[[#This Row],[INVERSIONES FCI]]-BA194,Tabla5[[#This Row],[INVERSIONES FCI]])</f>
        <v>4681225228.551693</v>
      </c>
      <c r="BB195" s="5">
        <f>IF($B194&lt;=Tabla5[[#This Row],[INVERSIONES FCI]],+Tabla5[[#This Row],[INVERSIONES FCI]]-BB194,Tabla5[[#This Row],[INVERSIONES FCI]])</f>
        <v>4681225228.551693</v>
      </c>
      <c r="BC195" s="5">
        <f>IF($B194&lt;=Tabla5[[#This Row],[INVERSIONES FCI]],+Tabla5[[#This Row],[INVERSIONES FCI]]-BC194,Tabla5[[#This Row],[INVERSIONES FCI]])</f>
        <v>4681225228.551693</v>
      </c>
      <c r="BD195" s="5">
        <f>IF($B194&lt;=Tabla5[[#This Row],[INVERSIONES FCI]],+Tabla5[[#This Row],[INVERSIONES FCI]]-BD194,Tabla5[[#This Row],[INVERSIONES FCI]])</f>
        <v>4681225228.551693</v>
      </c>
      <c r="BE195" s="5">
        <f>IF($B194&lt;=Tabla5[[#This Row],[INVERSIONES FCI]],+Tabla5[[#This Row],[INVERSIONES FCI]]-BE194,Tabla5[[#This Row],[INVERSIONES FCI]])</f>
        <v>4681225228.551693</v>
      </c>
      <c r="BF195" s="5">
        <f>IF($B194&lt;=Tabla5[[#This Row],[INVERSIONES FCI]],+Tabla5[[#This Row],[INVERSIONES FCI]]-BF194,Tabla5[[#This Row],[INVERSIONES FCI]])</f>
        <v>4681225228.551693</v>
      </c>
      <c r="BG195" s="5">
        <f>IF($B194&lt;=Tabla5[[#This Row],[INVERSIONES FCI]],+Tabla5[[#This Row],[INVERSIONES FCI]]-BG194,Tabla5[[#This Row],[INVERSIONES FCI]])</f>
        <v>4681225228.551693</v>
      </c>
      <c r="BH195" s="5">
        <f>IF($B194&lt;=Tabla5[[#This Row],[INVERSIONES FCI]],+Tabla5[[#This Row],[INVERSIONES FCI]]-BH194,Tabla5[[#This Row],[INVERSIONES FCI]])</f>
        <v>4681225228.551693</v>
      </c>
      <c r="BI195" s="5">
        <f>IF($B194&lt;=Tabla5[[#This Row],[INVERSIONES FCI]],+Tabla5[[#This Row],[INVERSIONES FCI]]-BI194,Tabla5[[#This Row],[INVERSIONES FCI]])</f>
        <v>4681225228.551693</v>
      </c>
      <c r="BJ195" s="5">
        <f>IF($B194&lt;=Tabla5[[#This Row],[INVERSIONES FCI]],+Tabla5[[#This Row],[INVERSIONES FCI]]-BJ194,Tabla5[[#This Row],[INVERSIONES FCI]])</f>
        <v>4681225228.551693</v>
      </c>
      <c r="BK195" s="5">
        <f>IF($B194&lt;=Tabla5[[#This Row],[INVERSIONES FCI]],+Tabla5[[#This Row],[INVERSIONES FCI]]-BK194,Tabla5[[#This Row],[INVERSIONES FCI]])</f>
        <v>4681225228.551693</v>
      </c>
      <c r="BL195" s="5">
        <f>IF($B194&lt;=Tabla5[[#This Row],[INVERSIONES FCI]],+Tabla5[[#This Row],[INVERSIONES FCI]]-BL194,Tabla5[[#This Row],[INVERSIONES FCI]])</f>
        <v>4681225228.551693</v>
      </c>
      <c r="BM195" s="5">
        <f>IF($B194&lt;=Tabla5[[#This Row],[INVERSIONES FCI]],+Tabla5[[#This Row],[INVERSIONES FCI]]-BM194,Tabla5[[#This Row],[INVERSIONES FCI]])</f>
        <v>4681225228.551693</v>
      </c>
      <c r="BN195" s="5">
        <f>IF($B194&lt;=Tabla5[[#This Row],[INVERSIONES FCI]],+Tabla5[[#This Row],[INVERSIONES FCI]]-BN194,Tabla5[[#This Row],[INVERSIONES FCI]])</f>
        <v>4681225228.551693</v>
      </c>
      <c r="BO195" s="5">
        <f>IF($B194&lt;=Tabla5[[#This Row],[INVERSIONES FCI]],+Tabla5[[#This Row],[INVERSIONES FCI]]-BO194,Tabla5[[#This Row],[INVERSIONES FCI]])</f>
        <v>4681225228.551693</v>
      </c>
      <c r="BP195" s="5">
        <f>IF($B194&lt;=Tabla5[[#This Row],[INVERSIONES FCI]],+Tabla5[[#This Row],[INVERSIONES FCI]]-BP194,Tabla5[[#This Row],[INVERSIONES FCI]])</f>
        <v>4681225228.551693</v>
      </c>
      <c r="BQ195" s="5">
        <f>IF($B194&lt;=Tabla5[[#This Row],[INVERSIONES FCI]],+Tabla5[[#This Row],[INVERSIONES FCI]]-BQ194,Tabla5[[#This Row],[INVERSIONES FCI]])</f>
        <v>4681225228.551693</v>
      </c>
      <c r="BR195" s="5">
        <f>IF($B194&lt;=Tabla5[[#This Row],[INVERSIONES FCI]],+Tabla5[[#This Row],[INVERSIONES FCI]]-BR194,Tabla5[[#This Row],[INVERSIONES FCI]])</f>
        <v>4681225228.551693</v>
      </c>
      <c r="BS195" s="5">
        <f>IF($B194&lt;=Tabla5[[#This Row],[INVERSIONES FCI]],+Tabla5[[#This Row],[INVERSIONES FCI]]-BS194,Tabla5[[#This Row],[INVERSIONES FCI]])</f>
        <v>4681225228.551693</v>
      </c>
      <c r="BT195" s="5">
        <f>IF($B194&lt;=Tabla5[[#This Row],[INVERSIONES FCI]],+Tabla5[[#This Row],[INVERSIONES FCI]]-BT194,Tabla5[[#This Row],[INVERSIONES FCI]])</f>
        <v>4681225228.551693</v>
      </c>
      <c r="BU195" s="5">
        <f>IF($B194&lt;=Tabla5[[#This Row],[INVERSIONES FCI]],+Tabla5[[#This Row],[INVERSIONES FCI]]-BU194,Tabla5[[#This Row],[INVERSIONES FCI]])</f>
        <v>4681225228.551693</v>
      </c>
      <c r="BV195" s="5">
        <f>IF($B194&lt;=Tabla5[[#This Row],[INVERSIONES FCI]],+Tabla5[[#This Row],[INVERSIONES FCI]]-BV194,Tabla5[[#This Row],[INVERSIONES FCI]])</f>
        <v>4681225228.551693</v>
      </c>
      <c r="BW195" s="5">
        <f>IF($B194&lt;=Tabla5[[#This Row],[INVERSIONES FCI]],+Tabla5[[#This Row],[INVERSIONES FCI]]-BW194,Tabla5[[#This Row],[INVERSIONES FCI]])</f>
        <v>4681225228.551693</v>
      </c>
      <c r="BX195" s="5">
        <f>IF($B194&lt;=Tabla5[[#This Row],[INVERSIONES FCI]],+Tabla5[[#This Row],[INVERSIONES FCI]]-BX194,Tabla5[[#This Row],[INVERSIONES FCI]])</f>
        <v>4681225228.551693</v>
      </c>
      <c r="BY195" s="5">
        <f>IF($B194&lt;=Tabla5[[#This Row],[INVERSIONES FCI]],+Tabla5[[#This Row],[INVERSIONES FCI]]-BY194,Tabla5[[#This Row],[INVERSIONES FCI]])</f>
        <v>4681225228.551693</v>
      </c>
      <c r="BZ195" s="5">
        <f>IF($B194&lt;=Tabla5[[#This Row],[INVERSIONES FCI]],+Tabla5[[#This Row],[INVERSIONES FCI]]-BZ194,Tabla5[[#This Row],[INVERSIONES FCI]])</f>
        <v>4681225228.551693</v>
      </c>
      <c r="CA195" s="5">
        <f>IF($B194&lt;=Tabla5[[#This Row],[INVERSIONES FCI]],+Tabla5[[#This Row],[INVERSIONES FCI]]-CA194,Tabla5[[#This Row],[INVERSIONES FCI]])</f>
        <v>4681225228.551693</v>
      </c>
      <c r="CB195" s="5">
        <f>IF($B194&lt;=Tabla5[[#This Row],[INVERSIONES FCI]],+Tabla5[[#This Row],[INVERSIONES FCI]]-CB194,Tabla5[[#This Row],[INVERSIONES FCI]])</f>
        <v>4681225228.551693</v>
      </c>
      <c r="CC195" s="5">
        <f>IF($B194&lt;=Tabla5[[#This Row],[INVERSIONES FCI]],+Tabla5[[#This Row],[INVERSIONES FCI]]-CC194,Tabla5[[#This Row],[INVERSIONES FCI]])</f>
        <v>4681225228.551693</v>
      </c>
      <c r="CD195" s="5">
        <f>IF($B194&lt;=Tabla5[[#This Row],[INVERSIONES FCI]],+Tabla5[[#This Row],[INVERSIONES FCI]]-CD194,Tabla5[[#This Row],[INVERSIONES FCI]])</f>
        <v>4681225228.551693</v>
      </c>
      <c r="CE195" s="5">
        <f>IF($B194&lt;=Tabla5[[#This Row],[INVERSIONES FCI]],+Tabla5[[#This Row],[INVERSIONES FCI]]-CE194,Tabla5[[#This Row],[INVERSIONES FCI]])</f>
        <v>4681225228.551693</v>
      </c>
      <c r="CF195" s="5">
        <f>IF($B194&lt;=Tabla5[[#This Row],[INVERSIONES FCI]],+Tabla5[[#This Row],[INVERSIONES FCI]]-CF194,Tabla5[[#This Row],[INVERSIONES FCI]])</f>
        <v>4681225228.551693</v>
      </c>
      <c r="CG195" s="5">
        <f>IF($B194&lt;=Tabla5[[#This Row],[INVERSIONES FCI]],+Tabla5[[#This Row],[INVERSIONES FCI]]-CG194,Tabla5[[#This Row],[INVERSIONES FCI]])</f>
        <v>4681225228.551693</v>
      </c>
      <c r="CH195" s="5">
        <f>IF($B194&lt;=Tabla5[[#This Row],[INVERSIONES FCI]],+Tabla5[[#This Row],[INVERSIONES FCI]]-CH194,Tabla5[[#This Row],[INVERSIONES FCI]])</f>
        <v>4681225228.551693</v>
      </c>
      <c r="CI195" s="5">
        <f>IF($B194&lt;=Tabla5[[#This Row],[INVERSIONES FCI]],+Tabla5[[#This Row],[INVERSIONES FCI]]-CI194,Tabla5[[#This Row],[INVERSIONES FCI]])</f>
        <v>4681225228.551693</v>
      </c>
      <c r="CJ195" s="5">
        <f>IF($B194&lt;=Tabla5[[#This Row],[INVERSIONES FCI]],+Tabla5[[#This Row],[INVERSIONES FCI]]-CJ194,Tabla5[[#This Row],[INVERSIONES FCI]])</f>
        <v>4681225228.551693</v>
      </c>
      <c r="CK195" s="5">
        <f>IF($B194&lt;=Tabla5[[#This Row],[INVERSIONES FCI]],+Tabla5[[#This Row],[INVERSIONES FCI]]-CK194,Tabla5[[#This Row],[INVERSIONES FCI]])</f>
        <v>4681225228.551693</v>
      </c>
      <c r="CL195" s="5">
        <f>IF($B194&lt;=Tabla5[[#This Row],[INVERSIONES FCI]],+Tabla5[[#This Row],[INVERSIONES FCI]]-CL194,Tabla5[[#This Row],[INVERSIONES FCI]])</f>
        <v>4681225228.551693</v>
      </c>
      <c r="CM195" s="5">
        <f>IF($B194&lt;=Tabla5[[#This Row],[INVERSIONES FCI]],+Tabla5[[#This Row],[INVERSIONES FCI]]-CM194,Tabla5[[#This Row],[INVERSIONES FCI]])</f>
        <v>4681225228.551693</v>
      </c>
      <c r="CN195" s="5">
        <f>IF($B194&lt;=Tabla5[[#This Row],[INVERSIONES FCI]],+Tabla5[[#This Row],[INVERSIONES FCI]]-CN194,Tabla5[[#This Row],[INVERSIONES FCI]])</f>
        <v>4681225228.551693</v>
      </c>
      <c r="CO195" s="5">
        <f>IF($B194&lt;=Tabla5[[#This Row],[INVERSIONES FCI]],+Tabla5[[#This Row],[INVERSIONES FCI]]-CO194,Tabla5[[#This Row],[INVERSIONES FCI]])</f>
        <v>4681225228.551693</v>
      </c>
      <c r="CP195" s="5">
        <f>IF($B194&lt;=Tabla5[[#This Row],[INVERSIONES FCI]],+Tabla5[[#This Row],[INVERSIONES FCI]]-CP194,Tabla5[[#This Row],[INVERSIONES FCI]])</f>
        <v>4681225228.551693</v>
      </c>
      <c r="CQ195" s="5">
        <f>IF($B194&lt;=Tabla5[[#This Row],[INVERSIONES FCI]],+Tabla5[[#This Row],[INVERSIONES FCI]]-CQ194,Tabla5[[#This Row],[INVERSIONES FCI]])</f>
        <v>4681225228.551693</v>
      </c>
      <c r="CR195" s="5">
        <f>IF($B194&lt;=Tabla5[[#This Row],[INVERSIONES FCI]],+Tabla5[[#This Row],[INVERSIONES FCI]]-CR194,Tabla5[[#This Row],[INVERSIONES FCI]])</f>
        <v>4681225228.551693</v>
      </c>
      <c r="CS195" s="5">
        <f>IF($B194&lt;=Tabla5[[#This Row],[INVERSIONES FCI]],+Tabla5[[#This Row],[INVERSIONES FCI]]-CS194,Tabla5[[#This Row],[INVERSIONES FCI]])</f>
        <v>4681225228.551693</v>
      </c>
      <c r="CT195" s="5">
        <f>IF($B194&lt;=Tabla5[[#This Row],[INVERSIONES FCI]],+Tabla5[[#This Row],[INVERSIONES FCI]]-CT194,Tabla5[[#This Row],[INVERSIONES FCI]])</f>
        <v>4681225228.551693</v>
      </c>
      <c r="CU195" s="5">
        <f>IF($B194&lt;=Tabla5[[#This Row],[INVERSIONES FCI]],+Tabla5[[#This Row],[INVERSIONES FCI]]-CU194,Tabla5[[#This Row],[INVERSIONES FCI]])</f>
        <v>4681225228.551693</v>
      </c>
      <c r="CV195" s="5">
        <f>IF($B194&lt;=Tabla5[[#This Row],[INVERSIONES FCI]],+Tabla5[[#This Row],[INVERSIONES FCI]]-CV194,Tabla5[[#This Row],[INVERSIONES FCI]])</f>
        <v>4681225228.551693</v>
      </c>
      <c r="CW195" s="5">
        <f>IF($B194&lt;=Tabla5[[#This Row],[INVERSIONES FCI]],+Tabla5[[#This Row],[INVERSIONES FCI]]-CW194,Tabla5[[#This Row],[INVERSIONES FCI]])</f>
        <v>4681225228.551693</v>
      </c>
      <c r="CX195" s="5">
        <f>IF($B194&lt;=Tabla5[[#This Row],[INVERSIONES FCI]],+Tabla5[[#This Row],[INVERSIONES FCI]]-CX194,Tabla5[[#This Row],[INVERSIONES FCI]])</f>
        <v>4681225228.551693</v>
      </c>
      <c r="CY195" s="5">
        <f>IF($B194&lt;=Tabla5[[#This Row],[INVERSIONES FCI]],+Tabla5[[#This Row],[INVERSIONES FCI]]-CY194,Tabla5[[#This Row],[INVERSIONES FCI]])</f>
        <v>4681225228.551693</v>
      </c>
      <c r="CZ195" s="5">
        <f>IF($B194&lt;=Tabla5[[#This Row],[INVERSIONES FCI]],+Tabla5[[#This Row],[INVERSIONES FCI]]-CZ194,Tabla5[[#This Row],[INVERSIONES FCI]])</f>
        <v>4681225228.551693</v>
      </c>
      <c r="DA195" s="5">
        <f>IF($B194&lt;=Tabla5[[#This Row],[INVERSIONES FCI]],+Tabla5[[#This Row],[INVERSIONES FCI]]-DA194,Tabla5[[#This Row],[INVERSIONES FCI]])</f>
        <v>4681225228.551693</v>
      </c>
      <c r="DB195" s="5">
        <f>IF($B194&lt;=Tabla5[[#This Row],[INVERSIONES FCI]],+Tabla5[[#This Row],[INVERSIONES FCI]]-DB194,Tabla5[[#This Row],[INVERSIONES FCI]])</f>
        <v>4681225228.551693</v>
      </c>
      <c r="DC195" s="5">
        <f>IF($B194&lt;=Tabla5[[#This Row],[INVERSIONES FCI]],+Tabla5[[#This Row],[INVERSIONES FCI]]-DC194,Tabla5[[#This Row],[INVERSIONES FCI]])</f>
        <v>4681225228.551693</v>
      </c>
      <c r="DD195" s="5">
        <f>IF($B194&lt;=Tabla5[[#This Row],[INVERSIONES FCI]],+Tabla5[[#This Row],[INVERSIONES FCI]]-DD194,Tabla5[[#This Row],[INVERSIONES FCI]])</f>
        <v>4681225228.551693</v>
      </c>
      <c r="DE195" s="5">
        <f>IF($B194&lt;=Tabla5[[#This Row],[INVERSIONES FCI]],+Tabla5[[#This Row],[INVERSIONES FCI]]-DE194,Tabla5[[#This Row],[INVERSIONES FCI]])</f>
        <v>4681225228.551693</v>
      </c>
      <c r="DF195" s="5">
        <f>IF($B194&lt;=Tabla5[[#This Row],[INVERSIONES FCI]],+Tabla5[[#This Row],[INVERSIONES FCI]]-DF194,Tabla5[[#This Row],[INVERSIONES FCI]])</f>
        <v>4681225228.551693</v>
      </c>
      <c r="DG195" s="5">
        <f>IF($B194&lt;=Tabla5[[#This Row],[INVERSIONES FCI]],+Tabla5[[#This Row],[INVERSIONES FCI]]-DG194,Tabla5[[#This Row],[INVERSIONES FCI]])</f>
        <v>4681225228.551693</v>
      </c>
      <c r="DH195" s="5">
        <f>IF($B194&lt;=Tabla5[[#This Row],[INVERSIONES FCI]],+Tabla5[[#This Row],[INVERSIONES FCI]]-DH194,Tabla5[[#This Row],[INVERSIONES FCI]])</f>
        <v>4681225228.551693</v>
      </c>
      <c r="DI195" s="5">
        <f>IF($B194&lt;=Tabla5[[#This Row],[INVERSIONES FCI]],+Tabla5[[#This Row],[INVERSIONES FCI]]-DI194,Tabla5[[#This Row],[INVERSIONES FCI]])</f>
        <v>4681225228.551693</v>
      </c>
      <c r="DJ195" s="5">
        <f>IF($B194&lt;=Tabla5[[#This Row],[INVERSIONES FCI]],+Tabla5[[#This Row],[INVERSIONES FCI]]-DJ194,Tabla5[[#This Row],[INVERSIONES FCI]])</f>
        <v>4681225228.551693</v>
      </c>
      <c r="DK195" s="5">
        <f>IF($B194&lt;=Tabla5[[#This Row],[INVERSIONES FCI]],+Tabla5[[#This Row],[INVERSIONES FCI]]-DK194,Tabla5[[#This Row],[INVERSIONES FCI]])</f>
        <v>4681225228.551693</v>
      </c>
      <c r="DL195" s="5"/>
      <c r="DM195" s="5"/>
      <c r="DN195" s="5"/>
      <c r="DO195" s="5"/>
      <c r="DP195" s="5"/>
      <c r="DQ195" s="5"/>
    </row>
    <row r="196" spans="1:121" ht="14.4">
      <c r="A196" s="12" t="s">
        <v>195</v>
      </c>
      <c r="B196" s="5">
        <f>HLOOKUP($A196,ESCENARIO[#All],7,FALSE)</f>
        <v>32042832587.176289</v>
      </c>
      <c r="C196" s="5">
        <f>IF($B195&lt;=Tabla5[[#This Row],[INVERSIONES FCI]],+Tabla5[[#This Row],[INVERSIONES FCI]]-C195,Tabla5[[#This Row],[INVERSIONES FCI]])</f>
        <v>32042832587.176289</v>
      </c>
      <c r="D196" s="5">
        <f>IF($B195&lt;=Tabla5[[#This Row],[INVERSIONES FCI]],+Tabla5[[#This Row],[INVERSIONES FCI]]-D195,Tabla5[[#This Row],[INVERSIONES FCI]])</f>
        <v>32042832587.176289</v>
      </c>
      <c r="E196" s="5">
        <f>IF($B195&lt;=Tabla5[[#This Row],[INVERSIONES FCI]],+Tabla5[[#This Row],[INVERSIONES FCI]]-E195,Tabla5[[#This Row],[INVERSIONES FCI]])</f>
        <v>32042832587.176289</v>
      </c>
      <c r="F196" s="5">
        <f>IF($B195&lt;=Tabla5[[#This Row],[INVERSIONES FCI]],+Tabla5[[#This Row],[INVERSIONES FCI]]-F195,Tabla5[[#This Row],[INVERSIONES FCI]])</f>
        <v>32042832587.176289</v>
      </c>
      <c r="G196" s="5">
        <f>IF($B195&lt;=Tabla5[[#This Row],[INVERSIONES FCI]],+Tabla5[[#This Row],[INVERSIONES FCI]]-G195,Tabla5[[#This Row],[INVERSIONES FCI]])</f>
        <v>32042832587.176289</v>
      </c>
      <c r="H196" s="5">
        <f>IF($B195&lt;=Tabla5[[#This Row],[INVERSIONES FCI]],+Tabla5[[#This Row],[INVERSIONES FCI]]-H195,Tabla5[[#This Row],[INVERSIONES FCI]])</f>
        <v>32042832587.176289</v>
      </c>
      <c r="I196" s="5">
        <f>IF($B195&lt;=Tabla5[[#This Row],[INVERSIONES FCI]],+Tabla5[[#This Row],[INVERSIONES FCI]]-I195,Tabla5[[#This Row],[INVERSIONES FCI]])</f>
        <v>32042832587.176289</v>
      </c>
      <c r="J196" s="5">
        <f>IF($B195&lt;=Tabla5[[#This Row],[INVERSIONES FCI]],+Tabla5[[#This Row],[INVERSIONES FCI]]-J195,Tabla5[[#This Row],[INVERSIONES FCI]])</f>
        <v>32042832587.176289</v>
      </c>
      <c r="K196" s="5">
        <f>IF($B195&lt;=Tabla5[[#This Row],[INVERSIONES FCI]],+Tabla5[[#This Row],[INVERSIONES FCI]]-K195,Tabla5[[#This Row],[INVERSIONES FCI]])</f>
        <v>32042832587.176289</v>
      </c>
      <c r="L196" s="5">
        <f>IF($B195&lt;=Tabla5[[#This Row],[INVERSIONES FCI]],+Tabla5[[#This Row],[INVERSIONES FCI]]-L195,Tabla5[[#This Row],[INVERSIONES FCI]])</f>
        <v>32042832587.176289</v>
      </c>
      <c r="M196" s="5">
        <f>IF($B195&lt;=Tabla5[[#This Row],[INVERSIONES FCI]],+Tabla5[[#This Row],[INVERSIONES FCI]]-M195,Tabla5[[#This Row],[INVERSIONES FCI]])</f>
        <v>32042832587.176289</v>
      </c>
      <c r="N196" s="5">
        <f>IF($B195&lt;=Tabla5[[#This Row],[INVERSIONES FCI]],+Tabla5[[#This Row],[INVERSIONES FCI]]-N195,Tabla5[[#This Row],[INVERSIONES FCI]])</f>
        <v>32042832587.176289</v>
      </c>
      <c r="O196" s="5">
        <f>IF($B195&lt;=Tabla5[[#This Row],[INVERSIONES FCI]],+Tabla5[[#This Row],[INVERSIONES FCI]]-O195,Tabla5[[#This Row],[INVERSIONES FCI]])</f>
        <v>32042832587.176289</v>
      </c>
      <c r="P196" s="5">
        <f>IF($B195&lt;=Tabla5[[#This Row],[INVERSIONES FCI]],+Tabla5[[#This Row],[INVERSIONES FCI]]-P195,Tabla5[[#This Row],[INVERSIONES FCI]])</f>
        <v>32042832587.176289</v>
      </c>
      <c r="Q196" s="5">
        <f>IF($B195&lt;=Tabla5[[#This Row],[INVERSIONES FCI]],+Tabla5[[#This Row],[INVERSIONES FCI]]-Q195,Tabla5[[#This Row],[INVERSIONES FCI]])</f>
        <v>32042832587.176289</v>
      </c>
      <c r="R196" s="5">
        <f>IF($B195&lt;=Tabla5[[#This Row],[INVERSIONES FCI]],+Tabla5[[#This Row],[INVERSIONES FCI]]-R195,Tabla5[[#This Row],[INVERSIONES FCI]])</f>
        <v>32042832587.176289</v>
      </c>
      <c r="S196" s="5">
        <f>IF($B195&lt;=Tabla5[[#This Row],[INVERSIONES FCI]],+Tabla5[[#This Row],[INVERSIONES FCI]]-S195,Tabla5[[#This Row],[INVERSIONES FCI]])</f>
        <v>32042832587.176289</v>
      </c>
      <c r="T196" s="5">
        <f>IF($B195&lt;=Tabla5[[#This Row],[INVERSIONES FCI]],+Tabla5[[#This Row],[INVERSIONES FCI]]-T195,Tabla5[[#This Row],[INVERSIONES FCI]])</f>
        <v>32042832587.176289</v>
      </c>
      <c r="U196" s="5">
        <f>IF($B195&lt;=Tabla5[[#This Row],[INVERSIONES FCI]],+Tabla5[[#This Row],[INVERSIONES FCI]]-U195,Tabla5[[#This Row],[INVERSIONES FCI]])</f>
        <v>32042832587.176289</v>
      </c>
      <c r="V196" s="5">
        <f>IF($B195&lt;=Tabla5[[#This Row],[INVERSIONES FCI]],+Tabla5[[#This Row],[INVERSIONES FCI]]-V195,Tabla5[[#This Row],[INVERSIONES FCI]])</f>
        <v>32042832587.176289</v>
      </c>
      <c r="W196" s="5">
        <f>IF($B195&lt;=Tabla5[[#This Row],[INVERSIONES FCI]],+Tabla5[[#This Row],[INVERSIONES FCI]]-W195,Tabla5[[#This Row],[INVERSIONES FCI]])</f>
        <v>32042832587.176289</v>
      </c>
      <c r="X196" s="5">
        <f>IF($B195&lt;=Tabla5[[#This Row],[INVERSIONES FCI]],+Tabla5[[#This Row],[INVERSIONES FCI]]-X195,Tabla5[[#This Row],[INVERSIONES FCI]])</f>
        <v>32042832587.176289</v>
      </c>
      <c r="Y196" s="5">
        <f>IF($B195&lt;=Tabla5[[#This Row],[INVERSIONES FCI]],+Tabla5[[#This Row],[INVERSIONES FCI]]-Y195,Tabla5[[#This Row],[INVERSIONES FCI]])</f>
        <v>32042832587.176289</v>
      </c>
      <c r="Z196" s="5">
        <f>IF($B195&lt;=Tabla5[[#This Row],[INVERSIONES FCI]],+Tabla5[[#This Row],[INVERSIONES FCI]]-Z195,Tabla5[[#This Row],[INVERSIONES FCI]])</f>
        <v>32042832587.176289</v>
      </c>
      <c r="AA196" s="5">
        <f>IF($B195&lt;=Tabla5[[#This Row],[INVERSIONES FCI]],+Tabla5[[#This Row],[INVERSIONES FCI]]-AA195,Tabla5[[#This Row],[INVERSIONES FCI]])</f>
        <v>32042832587.176289</v>
      </c>
      <c r="AB196" s="5">
        <f>IF($B195&lt;=Tabla5[[#This Row],[INVERSIONES FCI]],+Tabla5[[#This Row],[INVERSIONES FCI]]-AB195,Tabla5[[#This Row],[INVERSIONES FCI]])</f>
        <v>32042832587.176289</v>
      </c>
      <c r="AC196" s="5">
        <f>IF($B195&lt;=Tabla5[[#This Row],[INVERSIONES FCI]],+Tabla5[[#This Row],[INVERSIONES FCI]]-AC195,Tabla5[[#This Row],[INVERSIONES FCI]])</f>
        <v>32042832587.176289</v>
      </c>
      <c r="AD196" s="5">
        <f>IF($B195&lt;=Tabla5[[#This Row],[INVERSIONES FCI]],+Tabla5[[#This Row],[INVERSIONES FCI]]-AD195,Tabla5[[#This Row],[INVERSIONES FCI]])</f>
        <v>32042832587.176289</v>
      </c>
      <c r="AE196" s="5">
        <f>IF($B195&lt;=Tabla5[[#This Row],[INVERSIONES FCI]],+Tabla5[[#This Row],[INVERSIONES FCI]]-AE195,Tabla5[[#This Row],[INVERSIONES FCI]])</f>
        <v>32042832587.176289</v>
      </c>
      <c r="AF196" s="5">
        <f>IF($B195&lt;=Tabla5[[#This Row],[INVERSIONES FCI]],+Tabla5[[#This Row],[INVERSIONES FCI]]-AF195,Tabla5[[#This Row],[INVERSIONES FCI]])</f>
        <v>32042832587.176289</v>
      </c>
      <c r="AG196" s="5">
        <f>IF($B195&lt;=Tabla5[[#This Row],[INVERSIONES FCI]],+Tabla5[[#This Row],[INVERSIONES FCI]]-AG195,Tabla5[[#This Row],[INVERSIONES FCI]])</f>
        <v>32042832587.176289</v>
      </c>
      <c r="AH196" s="5">
        <f>IF($B195&lt;=Tabla5[[#This Row],[INVERSIONES FCI]],+Tabla5[[#This Row],[INVERSIONES FCI]]-AH195,Tabla5[[#This Row],[INVERSIONES FCI]])</f>
        <v>32042832587.176289</v>
      </c>
      <c r="AI196" s="5">
        <f>IF($B195&lt;=Tabla5[[#This Row],[INVERSIONES FCI]],+Tabla5[[#This Row],[INVERSIONES FCI]]-AI195,Tabla5[[#This Row],[INVERSIONES FCI]])</f>
        <v>32042832587.176289</v>
      </c>
      <c r="AJ196" s="5">
        <f>IF($B195&lt;=Tabla5[[#This Row],[INVERSIONES FCI]],+Tabla5[[#This Row],[INVERSIONES FCI]]-AJ195,Tabla5[[#This Row],[INVERSIONES FCI]])</f>
        <v>32042832587.176289</v>
      </c>
      <c r="AK196" s="5">
        <f>IF($B195&lt;=Tabla5[[#This Row],[INVERSIONES FCI]],+Tabla5[[#This Row],[INVERSIONES FCI]]-AK195,Tabla5[[#This Row],[INVERSIONES FCI]])</f>
        <v>32042832587.176289</v>
      </c>
      <c r="AL196" s="5">
        <f>IF($B195&lt;=Tabla5[[#This Row],[INVERSIONES FCI]],+Tabla5[[#This Row],[INVERSIONES FCI]]-AL195,Tabla5[[#This Row],[INVERSIONES FCI]])</f>
        <v>32042832587.176289</v>
      </c>
      <c r="AM196" s="5">
        <f>IF($B195&lt;=Tabla5[[#This Row],[INVERSIONES FCI]],+Tabla5[[#This Row],[INVERSIONES FCI]]-AM195,Tabla5[[#This Row],[INVERSIONES FCI]])</f>
        <v>32042832587.176289</v>
      </c>
      <c r="AN196" s="5">
        <f>IF($B195&lt;=Tabla5[[#This Row],[INVERSIONES FCI]],+Tabla5[[#This Row],[INVERSIONES FCI]]-AN195,Tabla5[[#This Row],[INVERSIONES FCI]])</f>
        <v>32042832587.176289</v>
      </c>
      <c r="AO196" s="5">
        <f>IF($B195&lt;=Tabla5[[#This Row],[INVERSIONES FCI]],+Tabla5[[#This Row],[INVERSIONES FCI]]-AO195,Tabla5[[#This Row],[INVERSIONES FCI]])</f>
        <v>32042832587.176289</v>
      </c>
      <c r="AP196" s="5">
        <f>IF($B195&lt;=Tabla5[[#This Row],[INVERSIONES FCI]],+Tabla5[[#This Row],[INVERSIONES FCI]]-AP195,Tabla5[[#This Row],[INVERSIONES FCI]])</f>
        <v>32042832587.176289</v>
      </c>
      <c r="AQ196" s="5">
        <f>IF($B195&lt;=Tabla5[[#This Row],[INVERSIONES FCI]],+Tabla5[[#This Row],[INVERSIONES FCI]]-AQ195,Tabla5[[#This Row],[INVERSIONES FCI]])</f>
        <v>32042832587.176289</v>
      </c>
      <c r="AR196" s="5">
        <f>IF($B195&lt;=Tabla5[[#This Row],[INVERSIONES FCI]],+Tabla5[[#This Row],[INVERSIONES FCI]]-AR195,Tabla5[[#This Row],[INVERSIONES FCI]])</f>
        <v>32042832587.176289</v>
      </c>
      <c r="AS196" s="5">
        <f>IF($B195&lt;=Tabla5[[#This Row],[INVERSIONES FCI]],+Tabla5[[#This Row],[INVERSIONES FCI]]-AS195,Tabla5[[#This Row],[INVERSIONES FCI]])</f>
        <v>32042832587.176289</v>
      </c>
      <c r="AT196" s="5">
        <f>IF($B195&lt;=Tabla5[[#This Row],[INVERSIONES FCI]],+Tabla5[[#This Row],[INVERSIONES FCI]]-AT195,Tabla5[[#This Row],[INVERSIONES FCI]])</f>
        <v>32042832587.176289</v>
      </c>
      <c r="AU196" s="5">
        <f>IF($B195&lt;=Tabla5[[#This Row],[INVERSIONES FCI]],+Tabla5[[#This Row],[INVERSIONES FCI]]-AU195,Tabla5[[#This Row],[INVERSIONES FCI]])</f>
        <v>32042832587.176289</v>
      </c>
      <c r="AV196" s="5">
        <f>IF($B195&lt;=Tabla5[[#This Row],[INVERSIONES FCI]],+Tabla5[[#This Row],[INVERSIONES FCI]]-AV195,Tabla5[[#This Row],[INVERSIONES FCI]])</f>
        <v>32042832587.176289</v>
      </c>
      <c r="AW196" s="5">
        <f>IF($B195&lt;=Tabla5[[#This Row],[INVERSIONES FCI]],+Tabla5[[#This Row],[INVERSIONES FCI]]-AW195,Tabla5[[#This Row],[INVERSIONES FCI]])</f>
        <v>32042832587.176289</v>
      </c>
      <c r="AX196" s="5">
        <f>IF($B195&lt;=Tabla5[[#This Row],[INVERSIONES FCI]],+Tabla5[[#This Row],[INVERSIONES FCI]]-AX195,Tabla5[[#This Row],[INVERSIONES FCI]])</f>
        <v>32042832587.176289</v>
      </c>
      <c r="AY196" s="5">
        <f>IF($B195&lt;=Tabla5[[#This Row],[INVERSIONES FCI]],+Tabla5[[#This Row],[INVERSIONES FCI]]-AY195,Tabla5[[#This Row],[INVERSIONES FCI]])</f>
        <v>32042832587.176289</v>
      </c>
      <c r="AZ196" s="5">
        <f>IF($B195&lt;=Tabla5[[#This Row],[INVERSIONES FCI]],+Tabla5[[#This Row],[INVERSIONES FCI]]-AZ195,Tabla5[[#This Row],[INVERSIONES FCI]])</f>
        <v>32042832587.176289</v>
      </c>
      <c r="BA196" s="5">
        <f>IF($B195&lt;=Tabla5[[#This Row],[INVERSIONES FCI]],+Tabla5[[#This Row],[INVERSIONES FCI]]-BA195,Tabla5[[#This Row],[INVERSIONES FCI]])</f>
        <v>32042832587.176289</v>
      </c>
      <c r="BB196" s="5">
        <f>IF($B195&lt;=Tabla5[[#This Row],[INVERSIONES FCI]],+Tabla5[[#This Row],[INVERSIONES FCI]]-BB195,Tabla5[[#This Row],[INVERSIONES FCI]])</f>
        <v>32042832587.176289</v>
      </c>
      <c r="BC196" s="5">
        <f>IF($B195&lt;=Tabla5[[#This Row],[INVERSIONES FCI]],+Tabla5[[#This Row],[INVERSIONES FCI]]-BC195,Tabla5[[#This Row],[INVERSIONES FCI]])</f>
        <v>32042832587.176289</v>
      </c>
      <c r="BD196" s="5">
        <f>IF($B195&lt;=Tabla5[[#This Row],[INVERSIONES FCI]],+Tabla5[[#This Row],[INVERSIONES FCI]]-BD195,Tabla5[[#This Row],[INVERSIONES FCI]])</f>
        <v>32042832587.176289</v>
      </c>
      <c r="BE196" s="5">
        <f>IF($B195&lt;=Tabla5[[#This Row],[INVERSIONES FCI]],+Tabla5[[#This Row],[INVERSIONES FCI]]-BE195,Tabla5[[#This Row],[INVERSIONES FCI]])</f>
        <v>32042832587.176289</v>
      </c>
      <c r="BF196" s="5">
        <f>IF($B195&lt;=Tabla5[[#This Row],[INVERSIONES FCI]],+Tabla5[[#This Row],[INVERSIONES FCI]]-BF195,Tabla5[[#This Row],[INVERSIONES FCI]])</f>
        <v>32042832587.176289</v>
      </c>
      <c r="BG196" s="5">
        <f>IF($B195&lt;=Tabla5[[#This Row],[INVERSIONES FCI]],+Tabla5[[#This Row],[INVERSIONES FCI]]-BG195,Tabla5[[#This Row],[INVERSIONES FCI]])</f>
        <v>32042832587.176289</v>
      </c>
      <c r="BH196" s="5">
        <f>IF($B195&lt;=Tabla5[[#This Row],[INVERSIONES FCI]],+Tabla5[[#This Row],[INVERSIONES FCI]]-BH195,Tabla5[[#This Row],[INVERSIONES FCI]])</f>
        <v>32042832587.176289</v>
      </c>
      <c r="BI196" s="5">
        <f>IF($B195&lt;=Tabla5[[#This Row],[INVERSIONES FCI]],+Tabla5[[#This Row],[INVERSIONES FCI]]-BI195,Tabla5[[#This Row],[INVERSIONES FCI]])</f>
        <v>32042832587.176289</v>
      </c>
      <c r="BJ196" s="5">
        <f>IF($B195&lt;=Tabla5[[#This Row],[INVERSIONES FCI]],+Tabla5[[#This Row],[INVERSIONES FCI]]-BJ195,Tabla5[[#This Row],[INVERSIONES FCI]])</f>
        <v>32042832587.176289</v>
      </c>
      <c r="BK196" s="5">
        <f>IF($B195&lt;=Tabla5[[#This Row],[INVERSIONES FCI]],+Tabla5[[#This Row],[INVERSIONES FCI]]-BK195,Tabla5[[#This Row],[INVERSIONES FCI]])</f>
        <v>32042832587.176289</v>
      </c>
      <c r="BL196" s="5">
        <f>IF($B195&lt;=Tabla5[[#This Row],[INVERSIONES FCI]],+Tabla5[[#This Row],[INVERSIONES FCI]]-BL195,Tabla5[[#This Row],[INVERSIONES FCI]])</f>
        <v>32042832587.176289</v>
      </c>
      <c r="BM196" s="5">
        <f>IF($B195&lt;=Tabla5[[#This Row],[INVERSIONES FCI]],+Tabla5[[#This Row],[INVERSIONES FCI]]-BM195,Tabla5[[#This Row],[INVERSIONES FCI]])</f>
        <v>32042832587.176289</v>
      </c>
      <c r="BN196" s="5">
        <f>IF($B195&lt;=Tabla5[[#This Row],[INVERSIONES FCI]],+Tabla5[[#This Row],[INVERSIONES FCI]]-BN195,Tabla5[[#This Row],[INVERSIONES FCI]])</f>
        <v>32042832587.176289</v>
      </c>
      <c r="BO196" s="5">
        <f>IF($B195&lt;=Tabla5[[#This Row],[INVERSIONES FCI]],+Tabla5[[#This Row],[INVERSIONES FCI]]-BO195,Tabla5[[#This Row],[INVERSIONES FCI]])</f>
        <v>32042832587.176289</v>
      </c>
      <c r="BP196" s="5">
        <f>IF($B195&lt;=Tabla5[[#This Row],[INVERSIONES FCI]],+Tabla5[[#This Row],[INVERSIONES FCI]]-BP195,Tabla5[[#This Row],[INVERSIONES FCI]])</f>
        <v>32042832587.176289</v>
      </c>
      <c r="BQ196" s="5">
        <f>IF($B195&lt;=Tabla5[[#This Row],[INVERSIONES FCI]],+Tabla5[[#This Row],[INVERSIONES FCI]]-BQ195,Tabla5[[#This Row],[INVERSIONES FCI]])</f>
        <v>32042832587.176289</v>
      </c>
      <c r="BR196" s="5">
        <f>IF($B195&lt;=Tabla5[[#This Row],[INVERSIONES FCI]],+Tabla5[[#This Row],[INVERSIONES FCI]]-BR195,Tabla5[[#This Row],[INVERSIONES FCI]])</f>
        <v>32042832587.176289</v>
      </c>
      <c r="BS196" s="5">
        <f>IF($B195&lt;=Tabla5[[#This Row],[INVERSIONES FCI]],+Tabla5[[#This Row],[INVERSIONES FCI]]-BS195,Tabla5[[#This Row],[INVERSIONES FCI]])</f>
        <v>32042832587.176289</v>
      </c>
      <c r="BT196" s="5">
        <f>IF($B195&lt;=Tabla5[[#This Row],[INVERSIONES FCI]],+Tabla5[[#This Row],[INVERSIONES FCI]]-BT195,Tabla5[[#This Row],[INVERSIONES FCI]])</f>
        <v>32042832587.176289</v>
      </c>
      <c r="BU196" s="5">
        <f>IF($B195&lt;=Tabla5[[#This Row],[INVERSIONES FCI]],+Tabla5[[#This Row],[INVERSIONES FCI]]-BU195,Tabla5[[#This Row],[INVERSIONES FCI]])</f>
        <v>32042832587.176289</v>
      </c>
      <c r="BV196" s="5">
        <f>IF($B195&lt;=Tabla5[[#This Row],[INVERSIONES FCI]],+Tabla5[[#This Row],[INVERSIONES FCI]]-BV195,Tabla5[[#This Row],[INVERSIONES FCI]])</f>
        <v>32042832587.176289</v>
      </c>
      <c r="BW196" s="5">
        <f>IF($B195&lt;=Tabla5[[#This Row],[INVERSIONES FCI]],+Tabla5[[#This Row],[INVERSIONES FCI]]-BW195,Tabla5[[#This Row],[INVERSIONES FCI]])</f>
        <v>32042832587.176289</v>
      </c>
      <c r="BX196" s="5">
        <f>IF($B195&lt;=Tabla5[[#This Row],[INVERSIONES FCI]],+Tabla5[[#This Row],[INVERSIONES FCI]]-BX195,Tabla5[[#This Row],[INVERSIONES FCI]])</f>
        <v>32042832587.176289</v>
      </c>
      <c r="BY196" s="5">
        <f>IF($B195&lt;=Tabla5[[#This Row],[INVERSIONES FCI]],+Tabla5[[#This Row],[INVERSIONES FCI]]-BY195,Tabla5[[#This Row],[INVERSIONES FCI]])</f>
        <v>32042832587.176289</v>
      </c>
      <c r="BZ196" s="5">
        <f>IF($B195&lt;=Tabla5[[#This Row],[INVERSIONES FCI]],+Tabla5[[#This Row],[INVERSIONES FCI]]-BZ195,Tabla5[[#This Row],[INVERSIONES FCI]])</f>
        <v>32042832587.176289</v>
      </c>
      <c r="CA196" s="5">
        <f>IF($B195&lt;=Tabla5[[#This Row],[INVERSIONES FCI]],+Tabla5[[#This Row],[INVERSIONES FCI]]-CA195,Tabla5[[#This Row],[INVERSIONES FCI]])</f>
        <v>32042832587.176289</v>
      </c>
      <c r="CB196" s="5">
        <f>IF($B195&lt;=Tabla5[[#This Row],[INVERSIONES FCI]],+Tabla5[[#This Row],[INVERSIONES FCI]]-CB195,Tabla5[[#This Row],[INVERSIONES FCI]])</f>
        <v>32042832587.176289</v>
      </c>
      <c r="CC196" s="5">
        <f>IF($B195&lt;=Tabla5[[#This Row],[INVERSIONES FCI]],+Tabla5[[#This Row],[INVERSIONES FCI]]-CC195,Tabla5[[#This Row],[INVERSIONES FCI]])</f>
        <v>32042832587.176289</v>
      </c>
      <c r="CD196" s="5">
        <f>IF($B195&lt;=Tabla5[[#This Row],[INVERSIONES FCI]],+Tabla5[[#This Row],[INVERSIONES FCI]]-CD195,Tabla5[[#This Row],[INVERSIONES FCI]])</f>
        <v>32042832587.176289</v>
      </c>
      <c r="CE196" s="5">
        <f>IF($B195&lt;=Tabla5[[#This Row],[INVERSIONES FCI]],+Tabla5[[#This Row],[INVERSIONES FCI]]-CE195,Tabla5[[#This Row],[INVERSIONES FCI]])</f>
        <v>32042832587.176289</v>
      </c>
      <c r="CF196" s="5">
        <f>IF($B195&lt;=Tabla5[[#This Row],[INVERSIONES FCI]],+Tabla5[[#This Row],[INVERSIONES FCI]]-CF195,Tabla5[[#This Row],[INVERSIONES FCI]])</f>
        <v>32042832587.176289</v>
      </c>
      <c r="CG196" s="5">
        <f>IF($B195&lt;=Tabla5[[#This Row],[INVERSIONES FCI]],+Tabla5[[#This Row],[INVERSIONES FCI]]-CG195,Tabla5[[#This Row],[INVERSIONES FCI]])</f>
        <v>32042832587.176289</v>
      </c>
      <c r="CH196" s="5">
        <f>IF($B195&lt;=Tabla5[[#This Row],[INVERSIONES FCI]],+Tabla5[[#This Row],[INVERSIONES FCI]]-CH195,Tabla5[[#This Row],[INVERSIONES FCI]])</f>
        <v>32042832587.176289</v>
      </c>
      <c r="CI196" s="5">
        <f>IF($B195&lt;=Tabla5[[#This Row],[INVERSIONES FCI]],+Tabla5[[#This Row],[INVERSIONES FCI]]-CI195,Tabla5[[#This Row],[INVERSIONES FCI]])</f>
        <v>32042832587.176289</v>
      </c>
      <c r="CJ196" s="5">
        <f>IF($B195&lt;=Tabla5[[#This Row],[INVERSIONES FCI]],+Tabla5[[#This Row],[INVERSIONES FCI]]-CJ195,Tabla5[[#This Row],[INVERSIONES FCI]])</f>
        <v>32042832587.176289</v>
      </c>
      <c r="CK196" s="5">
        <f>IF($B195&lt;=Tabla5[[#This Row],[INVERSIONES FCI]],+Tabla5[[#This Row],[INVERSIONES FCI]]-CK195,Tabla5[[#This Row],[INVERSIONES FCI]])</f>
        <v>32042832587.176289</v>
      </c>
      <c r="CL196" s="5">
        <f>IF($B195&lt;=Tabla5[[#This Row],[INVERSIONES FCI]],+Tabla5[[#This Row],[INVERSIONES FCI]]-CL195,Tabla5[[#This Row],[INVERSIONES FCI]])</f>
        <v>32042832587.176289</v>
      </c>
      <c r="CM196" s="5">
        <f>IF($B195&lt;=Tabla5[[#This Row],[INVERSIONES FCI]],+Tabla5[[#This Row],[INVERSIONES FCI]]-CM195,Tabla5[[#This Row],[INVERSIONES FCI]])</f>
        <v>32042832587.176289</v>
      </c>
      <c r="CN196" s="5">
        <f>IF($B195&lt;=Tabla5[[#This Row],[INVERSIONES FCI]],+Tabla5[[#This Row],[INVERSIONES FCI]]-CN195,Tabla5[[#This Row],[INVERSIONES FCI]])</f>
        <v>32042832587.176289</v>
      </c>
      <c r="CO196" s="5">
        <f>IF($B195&lt;=Tabla5[[#This Row],[INVERSIONES FCI]],+Tabla5[[#This Row],[INVERSIONES FCI]]-CO195,Tabla5[[#This Row],[INVERSIONES FCI]])</f>
        <v>32042832587.176289</v>
      </c>
      <c r="CP196" s="5">
        <f>IF($B195&lt;=Tabla5[[#This Row],[INVERSIONES FCI]],+Tabla5[[#This Row],[INVERSIONES FCI]]-CP195,Tabla5[[#This Row],[INVERSIONES FCI]])</f>
        <v>32042832587.176289</v>
      </c>
      <c r="CQ196" s="5">
        <f>IF($B195&lt;=Tabla5[[#This Row],[INVERSIONES FCI]],+Tabla5[[#This Row],[INVERSIONES FCI]]-CQ195,Tabla5[[#This Row],[INVERSIONES FCI]])</f>
        <v>32042832587.176289</v>
      </c>
      <c r="CR196" s="5">
        <f>IF($B195&lt;=Tabla5[[#This Row],[INVERSIONES FCI]],+Tabla5[[#This Row],[INVERSIONES FCI]]-CR195,Tabla5[[#This Row],[INVERSIONES FCI]])</f>
        <v>32042832587.176289</v>
      </c>
      <c r="CS196" s="5">
        <f>IF($B195&lt;=Tabla5[[#This Row],[INVERSIONES FCI]],+Tabla5[[#This Row],[INVERSIONES FCI]]-CS195,Tabla5[[#This Row],[INVERSIONES FCI]])</f>
        <v>32042832587.176289</v>
      </c>
      <c r="CT196" s="5">
        <f>IF($B195&lt;=Tabla5[[#This Row],[INVERSIONES FCI]],+Tabla5[[#This Row],[INVERSIONES FCI]]-CT195,Tabla5[[#This Row],[INVERSIONES FCI]])</f>
        <v>32042832587.176289</v>
      </c>
      <c r="CU196" s="5">
        <f>IF($B195&lt;=Tabla5[[#This Row],[INVERSIONES FCI]],+Tabla5[[#This Row],[INVERSIONES FCI]]-CU195,Tabla5[[#This Row],[INVERSIONES FCI]])</f>
        <v>32042832587.176289</v>
      </c>
      <c r="CV196" s="5">
        <f>IF($B195&lt;=Tabla5[[#This Row],[INVERSIONES FCI]],+Tabla5[[#This Row],[INVERSIONES FCI]]-CV195,Tabla5[[#This Row],[INVERSIONES FCI]])</f>
        <v>32042832587.176289</v>
      </c>
      <c r="CW196" s="5">
        <f>IF($B195&lt;=Tabla5[[#This Row],[INVERSIONES FCI]],+Tabla5[[#This Row],[INVERSIONES FCI]]-CW195,Tabla5[[#This Row],[INVERSIONES FCI]])</f>
        <v>32042832587.176289</v>
      </c>
      <c r="CX196" s="5">
        <f>IF($B195&lt;=Tabla5[[#This Row],[INVERSIONES FCI]],+Tabla5[[#This Row],[INVERSIONES FCI]]-CX195,Tabla5[[#This Row],[INVERSIONES FCI]])</f>
        <v>32042832587.176289</v>
      </c>
      <c r="CY196" s="5">
        <f>IF($B195&lt;=Tabla5[[#This Row],[INVERSIONES FCI]],+Tabla5[[#This Row],[INVERSIONES FCI]]-CY195,Tabla5[[#This Row],[INVERSIONES FCI]])</f>
        <v>32042832587.176289</v>
      </c>
      <c r="CZ196" s="5">
        <f>IF($B195&lt;=Tabla5[[#This Row],[INVERSIONES FCI]],+Tabla5[[#This Row],[INVERSIONES FCI]]-CZ195,Tabla5[[#This Row],[INVERSIONES FCI]])</f>
        <v>32042832587.176289</v>
      </c>
      <c r="DA196" s="5">
        <f>IF($B195&lt;=Tabla5[[#This Row],[INVERSIONES FCI]],+Tabla5[[#This Row],[INVERSIONES FCI]]-DA195,Tabla5[[#This Row],[INVERSIONES FCI]])</f>
        <v>32042832587.176289</v>
      </c>
      <c r="DB196" s="5">
        <f>IF($B195&lt;=Tabla5[[#This Row],[INVERSIONES FCI]],+Tabla5[[#This Row],[INVERSIONES FCI]]-DB195,Tabla5[[#This Row],[INVERSIONES FCI]])</f>
        <v>32042832587.176289</v>
      </c>
      <c r="DC196" s="5">
        <f>IF($B195&lt;=Tabla5[[#This Row],[INVERSIONES FCI]],+Tabla5[[#This Row],[INVERSIONES FCI]]-DC195,Tabla5[[#This Row],[INVERSIONES FCI]])</f>
        <v>32042832587.176289</v>
      </c>
      <c r="DD196" s="5">
        <f>IF($B195&lt;=Tabla5[[#This Row],[INVERSIONES FCI]],+Tabla5[[#This Row],[INVERSIONES FCI]]-DD195,Tabla5[[#This Row],[INVERSIONES FCI]])</f>
        <v>32042832587.176289</v>
      </c>
      <c r="DE196" s="5">
        <f>IF($B195&lt;=Tabla5[[#This Row],[INVERSIONES FCI]],+Tabla5[[#This Row],[INVERSIONES FCI]]-DE195,Tabla5[[#This Row],[INVERSIONES FCI]])</f>
        <v>32042832587.176289</v>
      </c>
      <c r="DF196" s="5">
        <f>IF($B195&lt;=Tabla5[[#This Row],[INVERSIONES FCI]],+Tabla5[[#This Row],[INVERSIONES FCI]]-DF195,Tabla5[[#This Row],[INVERSIONES FCI]])</f>
        <v>32042832587.176289</v>
      </c>
      <c r="DG196" s="5">
        <f>IF($B195&lt;=Tabla5[[#This Row],[INVERSIONES FCI]],+Tabla5[[#This Row],[INVERSIONES FCI]]-DG195,Tabla5[[#This Row],[INVERSIONES FCI]])</f>
        <v>32042832587.176289</v>
      </c>
      <c r="DH196" s="5">
        <f>IF($B195&lt;=Tabla5[[#This Row],[INVERSIONES FCI]],+Tabla5[[#This Row],[INVERSIONES FCI]]-DH195,Tabla5[[#This Row],[INVERSIONES FCI]])</f>
        <v>32042832587.176289</v>
      </c>
      <c r="DI196" s="5">
        <f>IF($B195&lt;=Tabla5[[#This Row],[INVERSIONES FCI]],+Tabla5[[#This Row],[INVERSIONES FCI]]-DI195,Tabla5[[#This Row],[INVERSIONES FCI]])</f>
        <v>32042832587.176289</v>
      </c>
      <c r="DJ196" s="5">
        <f>IF($B195&lt;=Tabla5[[#This Row],[INVERSIONES FCI]],+Tabla5[[#This Row],[INVERSIONES FCI]]-DJ195,Tabla5[[#This Row],[INVERSIONES FCI]])</f>
        <v>32042832587.176289</v>
      </c>
      <c r="DK196" s="5">
        <f>IF($B195&lt;=Tabla5[[#This Row],[INVERSIONES FCI]],+Tabla5[[#This Row],[INVERSIONES FCI]]-DK195,Tabla5[[#This Row],[INVERSIONES FCI]])</f>
        <v>32042832587.176289</v>
      </c>
      <c r="DL196" s="5"/>
      <c r="DM196" s="5"/>
      <c r="DN196" s="5"/>
      <c r="DO196" s="5"/>
      <c r="DP196" s="5"/>
      <c r="DQ196" s="5"/>
    </row>
    <row r="197" spans="1:121" ht="14.4">
      <c r="A197" s="12" t="s">
        <v>196</v>
      </c>
      <c r="B197" s="5">
        <f>HLOOKUP($A197,ESCENARIO[#All],7,FALSE)</f>
        <v>34904586409.496437</v>
      </c>
      <c r="C197" s="5">
        <f>IF($B196&lt;=Tabla5[[#This Row],[INVERSIONES FCI]],+Tabla5[[#This Row],[INVERSIONES FCI]]-C196,Tabla5[[#This Row],[INVERSIONES FCI]])</f>
        <v>2861753822.3201485</v>
      </c>
      <c r="D197" s="5">
        <f>IF($B196&lt;=Tabla5[[#This Row],[INVERSIONES FCI]],+Tabla5[[#This Row],[INVERSIONES FCI]]-D196,Tabla5[[#This Row],[INVERSIONES FCI]])</f>
        <v>2861753822.3201485</v>
      </c>
      <c r="E197" s="5">
        <f>IF($B196&lt;=Tabla5[[#This Row],[INVERSIONES FCI]],+Tabla5[[#This Row],[INVERSIONES FCI]]-E196,Tabla5[[#This Row],[INVERSIONES FCI]])</f>
        <v>2861753822.3201485</v>
      </c>
      <c r="F197" s="5">
        <f>IF($B196&lt;=Tabla5[[#This Row],[INVERSIONES FCI]],+Tabla5[[#This Row],[INVERSIONES FCI]]-F196,Tabla5[[#This Row],[INVERSIONES FCI]])</f>
        <v>2861753822.3201485</v>
      </c>
      <c r="G197" s="5">
        <f>IF($B196&lt;=Tabla5[[#This Row],[INVERSIONES FCI]],+Tabla5[[#This Row],[INVERSIONES FCI]]-G196,Tabla5[[#This Row],[INVERSIONES FCI]])</f>
        <v>2861753822.3201485</v>
      </c>
      <c r="H197" s="5">
        <f>IF($B196&lt;=Tabla5[[#This Row],[INVERSIONES FCI]],+Tabla5[[#This Row],[INVERSIONES FCI]]-H196,Tabla5[[#This Row],[INVERSIONES FCI]])</f>
        <v>2861753822.3201485</v>
      </c>
      <c r="I197" s="5">
        <f>IF($B196&lt;=Tabla5[[#This Row],[INVERSIONES FCI]],+Tabla5[[#This Row],[INVERSIONES FCI]]-I196,Tabla5[[#This Row],[INVERSIONES FCI]])</f>
        <v>2861753822.3201485</v>
      </c>
      <c r="J197" s="5">
        <f>IF($B196&lt;=Tabla5[[#This Row],[INVERSIONES FCI]],+Tabla5[[#This Row],[INVERSIONES FCI]]-J196,Tabla5[[#This Row],[INVERSIONES FCI]])</f>
        <v>2861753822.3201485</v>
      </c>
      <c r="K197" s="5">
        <f>IF($B196&lt;=Tabla5[[#This Row],[INVERSIONES FCI]],+Tabla5[[#This Row],[INVERSIONES FCI]]-K196,Tabla5[[#This Row],[INVERSIONES FCI]])</f>
        <v>2861753822.3201485</v>
      </c>
      <c r="L197" s="5">
        <f>IF($B196&lt;=Tabla5[[#This Row],[INVERSIONES FCI]],+Tabla5[[#This Row],[INVERSIONES FCI]]-L196,Tabla5[[#This Row],[INVERSIONES FCI]])</f>
        <v>2861753822.3201485</v>
      </c>
      <c r="M197" s="5">
        <f>IF($B196&lt;=Tabla5[[#This Row],[INVERSIONES FCI]],+Tabla5[[#This Row],[INVERSIONES FCI]]-M196,Tabla5[[#This Row],[INVERSIONES FCI]])</f>
        <v>2861753822.3201485</v>
      </c>
      <c r="N197" s="5">
        <f>IF($B196&lt;=Tabla5[[#This Row],[INVERSIONES FCI]],+Tabla5[[#This Row],[INVERSIONES FCI]]-N196,Tabla5[[#This Row],[INVERSIONES FCI]])</f>
        <v>2861753822.3201485</v>
      </c>
      <c r="O197" s="5">
        <f>IF($B196&lt;=Tabla5[[#This Row],[INVERSIONES FCI]],+Tabla5[[#This Row],[INVERSIONES FCI]]-O196,Tabla5[[#This Row],[INVERSIONES FCI]])</f>
        <v>2861753822.3201485</v>
      </c>
      <c r="P197" s="5">
        <f>IF($B196&lt;=Tabla5[[#This Row],[INVERSIONES FCI]],+Tabla5[[#This Row],[INVERSIONES FCI]]-P196,Tabla5[[#This Row],[INVERSIONES FCI]])</f>
        <v>2861753822.3201485</v>
      </c>
      <c r="Q197" s="5">
        <f>IF($B196&lt;=Tabla5[[#This Row],[INVERSIONES FCI]],+Tabla5[[#This Row],[INVERSIONES FCI]]-Q196,Tabla5[[#This Row],[INVERSIONES FCI]])</f>
        <v>2861753822.3201485</v>
      </c>
      <c r="R197" s="5">
        <f>IF($B196&lt;=Tabla5[[#This Row],[INVERSIONES FCI]],+Tabla5[[#This Row],[INVERSIONES FCI]]-R196,Tabla5[[#This Row],[INVERSIONES FCI]])</f>
        <v>2861753822.3201485</v>
      </c>
      <c r="S197" s="5">
        <f>IF($B196&lt;=Tabla5[[#This Row],[INVERSIONES FCI]],+Tabla5[[#This Row],[INVERSIONES FCI]]-S196,Tabla5[[#This Row],[INVERSIONES FCI]])</f>
        <v>2861753822.3201485</v>
      </c>
      <c r="T197" s="5">
        <f>IF($B196&lt;=Tabla5[[#This Row],[INVERSIONES FCI]],+Tabla5[[#This Row],[INVERSIONES FCI]]-T196,Tabla5[[#This Row],[INVERSIONES FCI]])</f>
        <v>2861753822.3201485</v>
      </c>
      <c r="U197" s="5">
        <f>IF($B196&lt;=Tabla5[[#This Row],[INVERSIONES FCI]],+Tabla5[[#This Row],[INVERSIONES FCI]]-U196,Tabla5[[#This Row],[INVERSIONES FCI]])</f>
        <v>2861753822.3201485</v>
      </c>
      <c r="V197" s="5">
        <f>IF($B196&lt;=Tabla5[[#This Row],[INVERSIONES FCI]],+Tabla5[[#This Row],[INVERSIONES FCI]]-V196,Tabla5[[#This Row],[INVERSIONES FCI]])</f>
        <v>2861753822.3201485</v>
      </c>
      <c r="W197" s="5">
        <f>IF($B196&lt;=Tabla5[[#This Row],[INVERSIONES FCI]],+Tabla5[[#This Row],[INVERSIONES FCI]]-W196,Tabla5[[#This Row],[INVERSIONES FCI]])</f>
        <v>2861753822.3201485</v>
      </c>
      <c r="X197" s="5">
        <f>IF($B196&lt;=Tabla5[[#This Row],[INVERSIONES FCI]],+Tabla5[[#This Row],[INVERSIONES FCI]]-X196,Tabla5[[#This Row],[INVERSIONES FCI]])</f>
        <v>2861753822.3201485</v>
      </c>
      <c r="Y197" s="5">
        <f>IF($B196&lt;=Tabla5[[#This Row],[INVERSIONES FCI]],+Tabla5[[#This Row],[INVERSIONES FCI]]-Y196,Tabla5[[#This Row],[INVERSIONES FCI]])</f>
        <v>2861753822.3201485</v>
      </c>
      <c r="Z197" s="5">
        <f>IF($B196&lt;=Tabla5[[#This Row],[INVERSIONES FCI]],+Tabla5[[#This Row],[INVERSIONES FCI]]-Z196,Tabla5[[#This Row],[INVERSIONES FCI]])</f>
        <v>2861753822.3201485</v>
      </c>
      <c r="AA197" s="5">
        <f>IF($B196&lt;=Tabla5[[#This Row],[INVERSIONES FCI]],+Tabla5[[#This Row],[INVERSIONES FCI]]-AA196,Tabla5[[#This Row],[INVERSIONES FCI]])</f>
        <v>2861753822.3201485</v>
      </c>
      <c r="AB197" s="5">
        <f>IF($B196&lt;=Tabla5[[#This Row],[INVERSIONES FCI]],+Tabla5[[#This Row],[INVERSIONES FCI]]-AB196,Tabla5[[#This Row],[INVERSIONES FCI]])</f>
        <v>2861753822.3201485</v>
      </c>
      <c r="AC197" s="5">
        <f>IF($B196&lt;=Tabla5[[#This Row],[INVERSIONES FCI]],+Tabla5[[#This Row],[INVERSIONES FCI]]-AC196,Tabla5[[#This Row],[INVERSIONES FCI]])</f>
        <v>2861753822.3201485</v>
      </c>
      <c r="AD197" s="5">
        <f>IF($B196&lt;=Tabla5[[#This Row],[INVERSIONES FCI]],+Tabla5[[#This Row],[INVERSIONES FCI]]-AD196,Tabla5[[#This Row],[INVERSIONES FCI]])</f>
        <v>2861753822.3201485</v>
      </c>
      <c r="AE197" s="5">
        <f>IF($B196&lt;=Tabla5[[#This Row],[INVERSIONES FCI]],+Tabla5[[#This Row],[INVERSIONES FCI]]-AE196,Tabla5[[#This Row],[INVERSIONES FCI]])</f>
        <v>2861753822.3201485</v>
      </c>
      <c r="AF197" s="5">
        <f>IF($B196&lt;=Tabla5[[#This Row],[INVERSIONES FCI]],+Tabla5[[#This Row],[INVERSIONES FCI]]-AF196,Tabla5[[#This Row],[INVERSIONES FCI]])</f>
        <v>2861753822.3201485</v>
      </c>
      <c r="AG197" s="5">
        <f>IF($B196&lt;=Tabla5[[#This Row],[INVERSIONES FCI]],+Tabla5[[#This Row],[INVERSIONES FCI]]-AG196,Tabla5[[#This Row],[INVERSIONES FCI]])</f>
        <v>2861753822.3201485</v>
      </c>
      <c r="AH197" s="5">
        <f>IF($B196&lt;=Tabla5[[#This Row],[INVERSIONES FCI]],+Tabla5[[#This Row],[INVERSIONES FCI]]-AH196,Tabla5[[#This Row],[INVERSIONES FCI]])</f>
        <v>2861753822.3201485</v>
      </c>
      <c r="AI197" s="5">
        <f>IF($B196&lt;=Tabla5[[#This Row],[INVERSIONES FCI]],+Tabla5[[#This Row],[INVERSIONES FCI]]-AI196,Tabla5[[#This Row],[INVERSIONES FCI]])</f>
        <v>2861753822.3201485</v>
      </c>
      <c r="AJ197" s="5">
        <f>IF($B196&lt;=Tabla5[[#This Row],[INVERSIONES FCI]],+Tabla5[[#This Row],[INVERSIONES FCI]]-AJ196,Tabla5[[#This Row],[INVERSIONES FCI]])</f>
        <v>2861753822.3201485</v>
      </c>
      <c r="AK197" s="5">
        <f>IF($B196&lt;=Tabla5[[#This Row],[INVERSIONES FCI]],+Tabla5[[#This Row],[INVERSIONES FCI]]-AK196,Tabla5[[#This Row],[INVERSIONES FCI]])</f>
        <v>2861753822.3201485</v>
      </c>
      <c r="AL197" s="5">
        <f>IF($B196&lt;=Tabla5[[#This Row],[INVERSIONES FCI]],+Tabla5[[#This Row],[INVERSIONES FCI]]-AL196,Tabla5[[#This Row],[INVERSIONES FCI]])</f>
        <v>2861753822.3201485</v>
      </c>
      <c r="AM197" s="5">
        <f>IF($B196&lt;=Tabla5[[#This Row],[INVERSIONES FCI]],+Tabla5[[#This Row],[INVERSIONES FCI]]-AM196,Tabla5[[#This Row],[INVERSIONES FCI]])</f>
        <v>2861753822.3201485</v>
      </c>
      <c r="AN197" s="5">
        <f>IF($B196&lt;=Tabla5[[#This Row],[INVERSIONES FCI]],+Tabla5[[#This Row],[INVERSIONES FCI]]-AN196,Tabla5[[#This Row],[INVERSIONES FCI]])</f>
        <v>2861753822.3201485</v>
      </c>
      <c r="AO197" s="5">
        <f>IF($B196&lt;=Tabla5[[#This Row],[INVERSIONES FCI]],+Tabla5[[#This Row],[INVERSIONES FCI]]-AO196,Tabla5[[#This Row],[INVERSIONES FCI]])</f>
        <v>2861753822.3201485</v>
      </c>
      <c r="AP197" s="5">
        <f>IF($B196&lt;=Tabla5[[#This Row],[INVERSIONES FCI]],+Tabla5[[#This Row],[INVERSIONES FCI]]-AP196,Tabla5[[#This Row],[INVERSIONES FCI]])</f>
        <v>2861753822.3201485</v>
      </c>
      <c r="AQ197" s="5">
        <f>IF($B196&lt;=Tabla5[[#This Row],[INVERSIONES FCI]],+Tabla5[[#This Row],[INVERSIONES FCI]]-AQ196,Tabla5[[#This Row],[INVERSIONES FCI]])</f>
        <v>2861753822.3201485</v>
      </c>
      <c r="AR197" s="5">
        <f>IF($B196&lt;=Tabla5[[#This Row],[INVERSIONES FCI]],+Tabla5[[#This Row],[INVERSIONES FCI]]-AR196,Tabla5[[#This Row],[INVERSIONES FCI]])</f>
        <v>2861753822.3201485</v>
      </c>
      <c r="AS197" s="5">
        <f>IF($B196&lt;=Tabla5[[#This Row],[INVERSIONES FCI]],+Tabla5[[#This Row],[INVERSIONES FCI]]-AS196,Tabla5[[#This Row],[INVERSIONES FCI]])</f>
        <v>2861753822.3201485</v>
      </c>
      <c r="AT197" s="5">
        <f>IF($B196&lt;=Tabla5[[#This Row],[INVERSIONES FCI]],+Tabla5[[#This Row],[INVERSIONES FCI]]-AT196,Tabla5[[#This Row],[INVERSIONES FCI]])</f>
        <v>2861753822.3201485</v>
      </c>
      <c r="AU197" s="5">
        <f>IF($B196&lt;=Tabla5[[#This Row],[INVERSIONES FCI]],+Tabla5[[#This Row],[INVERSIONES FCI]]-AU196,Tabla5[[#This Row],[INVERSIONES FCI]])</f>
        <v>2861753822.3201485</v>
      </c>
      <c r="AV197" s="5">
        <f>IF($B196&lt;=Tabla5[[#This Row],[INVERSIONES FCI]],+Tabla5[[#This Row],[INVERSIONES FCI]]-AV196,Tabla5[[#This Row],[INVERSIONES FCI]])</f>
        <v>2861753822.3201485</v>
      </c>
      <c r="AW197" s="5">
        <f>IF($B196&lt;=Tabla5[[#This Row],[INVERSIONES FCI]],+Tabla5[[#This Row],[INVERSIONES FCI]]-AW196,Tabla5[[#This Row],[INVERSIONES FCI]])</f>
        <v>2861753822.3201485</v>
      </c>
      <c r="AX197" s="5">
        <f>IF($B196&lt;=Tabla5[[#This Row],[INVERSIONES FCI]],+Tabla5[[#This Row],[INVERSIONES FCI]]-AX196,Tabla5[[#This Row],[INVERSIONES FCI]])</f>
        <v>2861753822.3201485</v>
      </c>
      <c r="AY197" s="5">
        <f>IF($B196&lt;=Tabla5[[#This Row],[INVERSIONES FCI]],+Tabla5[[#This Row],[INVERSIONES FCI]]-AY196,Tabla5[[#This Row],[INVERSIONES FCI]])</f>
        <v>2861753822.3201485</v>
      </c>
      <c r="AZ197" s="5">
        <f>IF($B196&lt;=Tabla5[[#This Row],[INVERSIONES FCI]],+Tabla5[[#This Row],[INVERSIONES FCI]]-AZ196,Tabla5[[#This Row],[INVERSIONES FCI]])</f>
        <v>2861753822.3201485</v>
      </c>
      <c r="BA197" s="5">
        <f>IF($B196&lt;=Tabla5[[#This Row],[INVERSIONES FCI]],+Tabla5[[#This Row],[INVERSIONES FCI]]-BA196,Tabla5[[#This Row],[INVERSIONES FCI]])</f>
        <v>2861753822.3201485</v>
      </c>
      <c r="BB197" s="5">
        <f>IF($B196&lt;=Tabla5[[#This Row],[INVERSIONES FCI]],+Tabla5[[#This Row],[INVERSIONES FCI]]-BB196,Tabla5[[#This Row],[INVERSIONES FCI]])</f>
        <v>2861753822.3201485</v>
      </c>
      <c r="BC197" s="5">
        <f>IF($B196&lt;=Tabla5[[#This Row],[INVERSIONES FCI]],+Tabla5[[#This Row],[INVERSIONES FCI]]-BC196,Tabla5[[#This Row],[INVERSIONES FCI]])</f>
        <v>2861753822.3201485</v>
      </c>
      <c r="BD197" s="5">
        <f>IF($B196&lt;=Tabla5[[#This Row],[INVERSIONES FCI]],+Tabla5[[#This Row],[INVERSIONES FCI]]-BD196,Tabla5[[#This Row],[INVERSIONES FCI]])</f>
        <v>2861753822.3201485</v>
      </c>
      <c r="BE197" s="5">
        <f>IF($B196&lt;=Tabla5[[#This Row],[INVERSIONES FCI]],+Tabla5[[#This Row],[INVERSIONES FCI]]-BE196,Tabla5[[#This Row],[INVERSIONES FCI]])</f>
        <v>2861753822.3201485</v>
      </c>
      <c r="BF197" s="5">
        <f>IF($B196&lt;=Tabla5[[#This Row],[INVERSIONES FCI]],+Tabla5[[#This Row],[INVERSIONES FCI]]-BF196,Tabla5[[#This Row],[INVERSIONES FCI]])</f>
        <v>2861753822.3201485</v>
      </c>
      <c r="BG197" s="5">
        <f>IF($B196&lt;=Tabla5[[#This Row],[INVERSIONES FCI]],+Tabla5[[#This Row],[INVERSIONES FCI]]-BG196,Tabla5[[#This Row],[INVERSIONES FCI]])</f>
        <v>2861753822.3201485</v>
      </c>
      <c r="BH197" s="5">
        <f>IF($B196&lt;=Tabla5[[#This Row],[INVERSIONES FCI]],+Tabla5[[#This Row],[INVERSIONES FCI]]-BH196,Tabla5[[#This Row],[INVERSIONES FCI]])</f>
        <v>2861753822.3201485</v>
      </c>
      <c r="BI197" s="5">
        <f>IF($B196&lt;=Tabla5[[#This Row],[INVERSIONES FCI]],+Tabla5[[#This Row],[INVERSIONES FCI]]-BI196,Tabla5[[#This Row],[INVERSIONES FCI]])</f>
        <v>2861753822.3201485</v>
      </c>
      <c r="BJ197" s="5">
        <f>IF($B196&lt;=Tabla5[[#This Row],[INVERSIONES FCI]],+Tabla5[[#This Row],[INVERSIONES FCI]]-BJ196,Tabla5[[#This Row],[INVERSIONES FCI]])</f>
        <v>2861753822.3201485</v>
      </c>
      <c r="BK197" s="5">
        <f>IF($B196&lt;=Tabla5[[#This Row],[INVERSIONES FCI]],+Tabla5[[#This Row],[INVERSIONES FCI]]-BK196,Tabla5[[#This Row],[INVERSIONES FCI]])</f>
        <v>2861753822.3201485</v>
      </c>
      <c r="BL197" s="5">
        <f>IF($B196&lt;=Tabla5[[#This Row],[INVERSIONES FCI]],+Tabla5[[#This Row],[INVERSIONES FCI]]-BL196,Tabla5[[#This Row],[INVERSIONES FCI]])</f>
        <v>2861753822.3201485</v>
      </c>
      <c r="BM197" s="5">
        <f>IF($B196&lt;=Tabla5[[#This Row],[INVERSIONES FCI]],+Tabla5[[#This Row],[INVERSIONES FCI]]-BM196,Tabla5[[#This Row],[INVERSIONES FCI]])</f>
        <v>2861753822.3201485</v>
      </c>
      <c r="BN197" s="5">
        <f>IF($B196&lt;=Tabla5[[#This Row],[INVERSIONES FCI]],+Tabla5[[#This Row],[INVERSIONES FCI]]-BN196,Tabla5[[#This Row],[INVERSIONES FCI]])</f>
        <v>2861753822.3201485</v>
      </c>
      <c r="BO197" s="5">
        <f>IF($B196&lt;=Tabla5[[#This Row],[INVERSIONES FCI]],+Tabla5[[#This Row],[INVERSIONES FCI]]-BO196,Tabla5[[#This Row],[INVERSIONES FCI]])</f>
        <v>2861753822.3201485</v>
      </c>
      <c r="BP197" s="5">
        <f>IF($B196&lt;=Tabla5[[#This Row],[INVERSIONES FCI]],+Tabla5[[#This Row],[INVERSIONES FCI]]-BP196,Tabla5[[#This Row],[INVERSIONES FCI]])</f>
        <v>2861753822.3201485</v>
      </c>
      <c r="BQ197" s="5">
        <f>IF($B196&lt;=Tabla5[[#This Row],[INVERSIONES FCI]],+Tabla5[[#This Row],[INVERSIONES FCI]]-BQ196,Tabla5[[#This Row],[INVERSIONES FCI]])</f>
        <v>2861753822.3201485</v>
      </c>
      <c r="BR197" s="5">
        <f>IF($B196&lt;=Tabla5[[#This Row],[INVERSIONES FCI]],+Tabla5[[#This Row],[INVERSIONES FCI]]-BR196,Tabla5[[#This Row],[INVERSIONES FCI]])</f>
        <v>2861753822.3201485</v>
      </c>
      <c r="BS197" s="5">
        <f>IF($B196&lt;=Tabla5[[#This Row],[INVERSIONES FCI]],+Tabla5[[#This Row],[INVERSIONES FCI]]-BS196,Tabla5[[#This Row],[INVERSIONES FCI]])</f>
        <v>2861753822.3201485</v>
      </c>
      <c r="BT197" s="5">
        <f>IF($B196&lt;=Tabla5[[#This Row],[INVERSIONES FCI]],+Tabla5[[#This Row],[INVERSIONES FCI]]-BT196,Tabla5[[#This Row],[INVERSIONES FCI]])</f>
        <v>2861753822.3201485</v>
      </c>
      <c r="BU197" s="5">
        <f>IF($B196&lt;=Tabla5[[#This Row],[INVERSIONES FCI]],+Tabla5[[#This Row],[INVERSIONES FCI]]-BU196,Tabla5[[#This Row],[INVERSIONES FCI]])</f>
        <v>2861753822.3201485</v>
      </c>
      <c r="BV197" s="5">
        <f>IF($B196&lt;=Tabla5[[#This Row],[INVERSIONES FCI]],+Tabla5[[#This Row],[INVERSIONES FCI]]-BV196,Tabla5[[#This Row],[INVERSIONES FCI]])</f>
        <v>2861753822.3201485</v>
      </c>
      <c r="BW197" s="5">
        <f>IF($B196&lt;=Tabla5[[#This Row],[INVERSIONES FCI]],+Tabla5[[#This Row],[INVERSIONES FCI]]-BW196,Tabla5[[#This Row],[INVERSIONES FCI]])</f>
        <v>2861753822.3201485</v>
      </c>
      <c r="BX197" s="5">
        <f>IF($B196&lt;=Tabla5[[#This Row],[INVERSIONES FCI]],+Tabla5[[#This Row],[INVERSIONES FCI]]-BX196,Tabla5[[#This Row],[INVERSIONES FCI]])</f>
        <v>2861753822.3201485</v>
      </c>
      <c r="BY197" s="5">
        <f>IF($B196&lt;=Tabla5[[#This Row],[INVERSIONES FCI]],+Tabla5[[#This Row],[INVERSIONES FCI]]-BY196,Tabla5[[#This Row],[INVERSIONES FCI]])</f>
        <v>2861753822.3201485</v>
      </c>
      <c r="BZ197" s="5">
        <f>IF($B196&lt;=Tabla5[[#This Row],[INVERSIONES FCI]],+Tabla5[[#This Row],[INVERSIONES FCI]]-BZ196,Tabla5[[#This Row],[INVERSIONES FCI]])</f>
        <v>2861753822.3201485</v>
      </c>
      <c r="CA197" s="5">
        <f>IF($B196&lt;=Tabla5[[#This Row],[INVERSIONES FCI]],+Tabla5[[#This Row],[INVERSIONES FCI]]-CA196,Tabla5[[#This Row],[INVERSIONES FCI]])</f>
        <v>2861753822.3201485</v>
      </c>
      <c r="CB197" s="5">
        <f>IF($B196&lt;=Tabla5[[#This Row],[INVERSIONES FCI]],+Tabla5[[#This Row],[INVERSIONES FCI]]-CB196,Tabla5[[#This Row],[INVERSIONES FCI]])</f>
        <v>2861753822.3201485</v>
      </c>
      <c r="CC197" s="5">
        <f>IF($B196&lt;=Tabla5[[#This Row],[INVERSIONES FCI]],+Tabla5[[#This Row],[INVERSIONES FCI]]-CC196,Tabla5[[#This Row],[INVERSIONES FCI]])</f>
        <v>2861753822.3201485</v>
      </c>
      <c r="CD197" s="5">
        <f>IF($B196&lt;=Tabla5[[#This Row],[INVERSIONES FCI]],+Tabla5[[#This Row],[INVERSIONES FCI]]-CD196,Tabla5[[#This Row],[INVERSIONES FCI]])</f>
        <v>2861753822.3201485</v>
      </c>
      <c r="CE197" s="5">
        <f>IF($B196&lt;=Tabla5[[#This Row],[INVERSIONES FCI]],+Tabla5[[#This Row],[INVERSIONES FCI]]-CE196,Tabla5[[#This Row],[INVERSIONES FCI]])</f>
        <v>2861753822.3201485</v>
      </c>
      <c r="CF197" s="5">
        <f>IF($B196&lt;=Tabla5[[#This Row],[INVERSIONES FCI]],+Tabla5[[#This Row],[INVERSIONES FCI]]-CF196,Tabla5[[#This Row],[INVERSIONES FCI]])</f>
        <v>2861753822.3201485</v>
      </c>
      <c r="CG197" s="5">
        <f>IF($B196&lt;=Tabla5[[#This Row],[INVERSIONES FCI]],+Tabla5[[#This Row],[INVERSIONES FCI]]-CG196,Tabla5[[#This Row],[INVERSIONES FCI]])</f>
        <v>2861753822.3201485</v>
      </c>
      <c r="CH197" s="5">
        <f>IF($B196&lt;=Tabla5[[#This Row],[INVERSIONES FCI]],+Tabla5[[#This Row],[INVERSIONES FCI]]-CH196,Tabla5[[#This Row],[INVERSIONES FCI]])</f>
        <v>2861753822.3201485</v>
      </c>
      <c r="CI197" s="5">
        <f>IF($B196&lt;=Tabla5[[#This Row],[INVERSIONES FCI]],+Tabla5[[#This Row],[INVERSIONES FCI]]-CI196,Tabla5[[#This Row],[INVERSIONES FCI]])</f>
        <v>2861753822.3201485</v>
      </c>
      <c r="CJ197" s="5">
        <f>IF($B196&lt;=Tabla5[[#This Row],[INVERSIONES FCI]],+Tabla5[[#This Row],[INVERSIONES FCI]]-CJ196,Tabla5[[#This Row],[INVERSIONES FCI]])</f>
        <v>2861753822.3201485</v>
      </c>
      <c r="CK197" s="5">
        <f>IF($B196&lt;=Tabla5[[#This Row],[INVERSIONES FCI]],+Tabla5[[#This Row],[INVERSIONES FCI]]-CK196,Tabla5[[#This Row],[INVERSIONES FCI]])</f>
        <v>2861753822.3201485</v>
      </c>
      <c r="CL197" s="5">
        <f>IF($B196&lt;=Tabla5[[#This Row],[INVERSIONES FCI]],+Tabla5[[#This Row],[INVERSIONES FCI]]-CL196,Tabla5[[#This Row],[INVERSIONES FCI]])</f>
        <v>2861753822.3201485</v>
      </c>
      <c r="CM197" s="5">
        <f>IF($B196&lt;=Tabla5[[#This Row],[INVERSIONES FCI]],+Tabla5[[#This Row],[INVERSIONES FCI]]-CM196,Tabla5[[#This Row],[INVERSIONES FCI]])</f>
        <v>2861753822.3201485</v>
      </c>
      <c r="CN197" s="5">
        <f>IF($B196&lt;=Tabla5[[#This Row],[INVERSIONES FCI]],+Tabla5[[#This Row],[INVERSIONES FCI]]-CN196,Tabla5[[#This Row],[INVERSIONES FCI]])</f>
        <v>2861753822.3201485</v>
      </c>
      <c r="CO197" s="5">
        <f>IF($B196&lt;=Tabla5[[#This Row],[INVERSIONES FCI]],+Tabla5[[#This Row],[INVERSIONES FCI]]-CO196,Tabla5[[#This Row],[INVERSIONES FCI]])</f>
        <v>2861753822.3201485</v>
      </c>
      <c r="CP197" s="5">
        <f>IF($B196&lt;=Tabla5[[#This Row],[INVERSIONES FCI]],+Tabla5[[#This Row],[INVERSIONES FCI]]-CP196,Tabla5[[#This Row],[INVERSIONES FCI]])</f>
        <v>2861753822.3201485</v>
      </c>
      <c r="CQ197" s="5">
        <f>IF($B196&lt;=Tabla5[[#This Row],[INVERSIONES FCI]],+Tabla5[[#This Row],[INVERSIONES FCI]]-CQ196,Tabla5[[#This Row],[INVERSIONES FCI]])</f>
        <v>2861753822.3201485</v>
      </c>
      <c r="CR197" s="5">
        <f>IF($B196&lt;=Tabla5[[#This Row],[INVERSIONES FCI]],+Tabla5[[#This Row],[INVERSIONES FCI]]-CR196,Tabla5[[#This Row],[INVERSIONES FCI]])</f>
        <v>2861753822.3201485</v>
      </c>
      <c r="CS197" s="5">
        <f>IF($B196&lt;=Tabla5[[#This Row],[INVERSIONES FCI]],+Tabla5[[#This Row],[INVERSIONES FCI]]-CS196,Tabla5[[#This Row],[INVERSIONES FCI]])</f>
        <v>2861753822.3201485</v>
      </c>
      <c r="CT197" s="5">
        <f>IF($B196&lt;=Tabla5[[#This Row],[INVERSIONES FCI]],+Tabla5[[#This Row],[INVERSIONES FCI]]-CT196,Tabla5[[#This Row],[INVERSIONES FCI]])</f>
        <v>2861753822.3201485</v>
      </c>
      <c r="CU197" s="5">
        <f>IF($B196&lt;=Tabla5[[#This Row],[INVERSIONES FCI]],+Tabla5[[#This Row],[INVERSIONES FCI]]-CU196,Tabla5[[#This Row],[INVERSIONES FCI]])</f>
        <v>2861753822.3201485</v>
      </c>
      <c r="CV197" s="5">
        <f>IF($B196&lt;=Tabla5[[#This Row],[INVERSIONES FCI]],+Tabla5[[#This Row],[INVERSIONES FCI]]-CV196,Tabla5[[#This Row],[INVERSIONES FCI]])</f>
        <v>2861753822.3201485</v>
      </c>
      <c r="CW197" s="5">
        <f>IF($B196&lt;=Tabla5[[#This Row],[INVERSIONES FCI]],+Tabla5[[#This Row],[INVERSIONES FCI]]-CW196,Tabla5[[#This Row],[INVERSIONES FCI]])</f>
        <v>2861753822.3201485</v>
      </c>
      <c r="CX197" s="5">
        <f>IF($B196&lt;=Tabla5[[#This Row],[INVERSIONES FCI]],+Tabla5[[#This Row],[INVERSIONES FCI]]-CX196,Tabla5[[#This Row],[INVERSIONES FCI]])</f>
        <v>2861753822.3201485</v>
      </c>
      <c r="CY197" s="5">
        <f>IF($B196&lt;=Tabla5[[#This Row],[INVERSIONES FCI]],+Tabla5[[#This Row],[INVERSIONES FCI]]-CY196,Tabla5[[#This Row],[INVERSIONES FCI]])</f>
        <v>2861753822.3201485</v>
      </c>
      <c r="CZ197" s="5">
        <f>IF($B196&lt;=Tabla5[[#This Row],[INVERSIONES FCI]],+Tabla5[[#This Row],[INVERSIONES FCI]]-CZ196,Tabla5[[#This Row],[INVERSIONES FCI]])</f>
        <v>2861753822.3201485</v>
      </c>
      <c r="DA197" s="5">
        <f>IF($B196&lt;=Tabla5[[#This Row],[INVERSIONES FCI]],+Tabla5[[#This Row],[INVERSIONES FCI]]-DA196,Tabla5[[#This Row],[INVERSIONES FCI]])</f>
        <v>2861753822.3201485</v>
      </c>
      <c r="DB197" s="5">
        <f>IF($B196&lt;=Tabla5[[#This Row],[INVERSIONES FCI]],+Tabla5[[#This Row],[INVERSIONES FCI]]-DB196,Tabla5[[#This Row],[INVERSIONES FCI]])</f>
        <v>2861753822.3201485</v>
      </c>
      <c r="DC197" s="5">
        <f>IF($B196&lt;=Tabla5[[#This Row],[INVERSIONES FCI]],+Tabla5[[#This Row],[INVERSIONES FCI]]-DC196,Tabla5[[#This Row],[INVERSIONES FCI]])</f>
        <v>2861753822.3201485</v>
      </c>
      <c r="DD197" s="5">
        <f>IF($B196&lt;=Tabla5[[#This Row],[INVERSIONES FCI]],+Tabla5[[#This Row],[INVERSIONES FCI]]-DD196,Tabla5[[#This Row],[INVERSIONES FCI]])</f>
        <v>2861753822.3201485</v>
      </c>
      <c r="DE197" s="5">
        <f>IF($B196&lt;=Tabla5[[#This Row],[INVERSIONES FCI]],+Tabla5[[#This Row],[INVERSIONES FCI]]-DE196,Tabla5[[#This Row],[INVERSIONES FCI]])</f>
        <v>2861753822.3201485</v>
      </c>
      <c r="DF197" s="5">
        <f>IF($B196&lt;=Tabla5[[#This Row],[INVERSIONES FCI]],+Tabla5[[#This Row],[INVERSIONES FCI]]-DF196,Tabla5[[#This Row],[INVERSIONES FCI]])</f>
        <v>2861753822.3201485</v>
      </c>
      <c r="DG197" s="5">
        <f>IF($B196&lt;=Tabla5[[#This Row],[INVERSIONES FCI]],+Tabla5[[#This Row],[INVERSIONES FCI]]-DG196,Tabla5[[#This Row],[INVERSIONES FCI]])</f>
        <v>2861753822.3201485</v>
      </c>
      <c r="DH197" s="5">
        <f>IF($B196&lt;=Tabla5[[#This Row],[INVERSIONES FCI]],+Tabla5[[#This Row],[INVERSIONES FCI]]-DH196,Tabla5[[#This Row],[INVERSIONES FCI]])</f>
        <v>2861753822.3201485</v>
      </c>
      <c r="DI197" s="5">
        <f>IF($B196&lt;=Tabla5[[#This Row],[INVERSIONES FCI]],+Tabla5[[#This Row],[INVERSIONES FCI]]-DI196,Tabla5[[#This Row],[INVERSIONES FCI]])</f>
        <v>2861753822.3201485</v>
      </c>
      <c r="DJ197" s="5">
        <f>IF($B196&lt;=Tabla5[[#This Row],[INVERSIONES FCI]],+Tabla5[[#This Row],[INVERSIONES FCI]]-DJ196,Tabla5[[#This Row],[INVERSIONES FCI]])</f>
        <v>2861753822.3201485</v>
      </c>
      <c r="DK197" s="5">
        <f>IF($B196&lt;=Tabla5[[#This Row],[INVERSIONES FCI]],+Tabla5[[#This Row],[INVERSIONES FCI]]-DK196,Tabla5[[#This Row],[INVERSIONES FCI]])</f>
        <v>2861753822.3201485</v>
      </c>
      <c r="DL197" s="5"/>
      <c r="DM197" s="5"/>
      <c r="DN197" s="5"/>
      <c r="DO197" s="5"/>
      <c r="DP197" s="5"/>
      <c r="DQ197" s="5"/>
    </row>
    <row r="198" spans="1:121" ht="14.4">
      <c r="A198" s="12" t="s">
        <v>197</v>
      </c>
      <c r="B198" s="5">
        <f>HLOOKUP($A198,ESCENARIO[#All],7,FALSE)</f>
        <v>34904586409.496437</v>
      </c>
      <c r="C198" s="5">
        <f>IF($B197&lt;=Tabla5[[#This Row],[INVERSIONES FCI]],+Tabla5[[#This Row],[INVERSIONES FCI]]-C197,Tabla5[[#This Row],[INVERSIONES FCI]])</f>
        <v>32042832587.176289</v>
      </c>
      <c r="D198" s="5">
        <f>IF($B197&lt;=Tabla5[[#This Row],[INVERSIONES FCI]],+Tabla5[[#This Row],[INVERSIONES FCI]]-D197,Tabla5[[#This Row],[INVERSIONES FCI]])</f>
        <v>32042832587.176289</v>
      </c>
      <c r="E198" s="5">
        <f>IF($B197&lt;=Tabla5[[#This Row],[INVERSIONES FCI]],+Tabla5[[#This Row],[INVERSIONES FCI]]-E197,Tabla5[[#This Row],[INVERSIONES FCI]])</f>
        <v>32042832587.176289</v>
      </c>
      <c r="F198" s="5">
        <f>IF($B197&lt;=Tabla5[[#This Row],[INVERSIONES FCI]],+Tabla5[[#This Row],[INVERSIONES FCI]]-F197,Tabla5[[#This Row],[INVERSIONES FCI]])</f>
        <v>32042832587.176289</v>
      </c>
      <c r="G198" s="5">
        <f>IF($B197&lt;=Tabla5[[#This Row],[INVERSIONES FCI]],+Tabla5[[#This Row],[INVERSIONES FCI]]-G197,Tabla5[[#This Row],[INVERSIONES FCI]])</f>
        <v>32042832587.176289</v>
      </c>
      <c r="H198" s="5">
        <f>IF($B197&lt;=Tabla5[[#This Row],[INVERSIONES FCI]],+Tabla5[[#This Row],[INVERSIONES FCI]]-H197,Tabla5[[#This Row],[INVERSIONES FCI]])</f>
        <v>32042832587.176289</v>
      </c>
      <c r="I198" s="5">
        <f>IF($B197&lt;=Tabla5[[#This Row],[INVERSIONES FCI]],+Tabla5[[#This Row],[INVERSIONES FCI]]-I197,Tabla5[[#This Row],[INVERSIONES FCI]])</f>
        <v>32042832587.176289</v>
      </c>
      <c r="J198" s="5">
        <f>IF($B197&lt;=Tabla5[[#This Row],[INVERSIONES FCI]],+Tabla5[[#This Row],[INVERSIONES FCI]]-J197,Tabla5[[#This Row],[INVERSIONES FCI]])</f>
        <v>32042832587.176289</v>
      </c>
      <c r="K198" s="5">
        <f>IF($B197&lt;=Tabla5[[#This Row],[INVERSIONES FCI]],+Tabla5[[#This Row],[INVERSIONES FCI]]-K197,Tabla5[[#This Row],[INVERSIONES FCI]])</f>
        <v>32042832587.176289</v>
      </c>
      <c r="L198" s="5">
        <f>IF($B197&lt;=Tabla5[[#This Row],[INVERSIONES FCI]],+Tabla5[[#This Row],[INVERSIONES FCI]]-L197,Tabla5[[#This Row],[INVERSIONES FCI]])</f>
        <v>32042832587.176289</v>
      </c>
      <c r="M198" s="5">
        <f>IF($B197&lt;=Tabla5[[#This Row],[INVERSIONES FCI]],+Tabla5[[#This Row],[INVERSIONES FCI]]-M197,Tabla5[[#This Row],[INVERSIONES FCI]])</f>
        <v>32042832587.176289</v>
      </c>
      <c r="N198" s="5">
        <f>IF($B197&lt;=Tabla5[[#This Row],[INVERSIONES FCI]],+Tabla5[[#This Row],[INVERSIONES FCI]]-N197,Tabla5[[#This Row],[INVERSIONES FCI]])</f>
        <v>32042832587.176289</v>
      </c>
      <c r="O198" s="5">
        <f>IF($B197&lt;=Tabla5[[#This Row],[INVERSIONES FCI]],+Tabla5[[#This Row],[INVERSIONES FCI]]-O197,Tabla5[[#This Row],[INVERSIONES FCI]])</f>
        <v>32042832587.176289</v>
      </c>
      <c r="P198" s="5">
        <f>IF($B197&lt;=Tabla5[[#This Row],[INVERSIONES FCI]],+Tabla5[[#This Row],[INVERSIONES FCI]]-P197,Tabla5[[#This Row],[INVERSIONES FCI]])</f>
        <v>32042832587.176289</v>
      </c>
      <c r="Q198" s="5">
        <f>IF($B197&lt;=Tabla5[[#This Row],[INVERSIONES FCI]],+Tabla5[[#This Row],[INVERSIONES FCI]]-Q197,Tabla5[[#This Row],[INVERSIONES FCI]])</f>
        <v>32042832587.176289</v>
      </c>
      <c r="R198" s="5">
        <f>IF($B197&lt;=Tabla5[[#This Row],[INVERSIONES FCI]],+Tabla5[[#This Row],[INVERSIONES FCI]]-R197,Tabla5[[#This Row],[INVERSIONES FCI]])</f>
        <v>32042832587.176289</v>
      </c>
      <c r="S198" s="5">
        <f>IF($B197&lt;=Tabla5[[#This Row],[INVERSIONES FCI]],+Tabla5[[#This Row],[INVERSIONES FCI]]-S197,Tabla5[[#This Row],[INVERSIONES FCI]])</f>
        <v>32042832587.176289</v>
      </c>
      <c r="T198" s="5">
        <f>IF($B197&lt;=Tabla5[[#This Row],[INVERSIONES FCI]],+Tabla5[[#This Row],[INVERSIONES FCI]]-T197,Tabla5[[#This Row],[INVERSIONES FCI]])</f>
        <v>32042832587.176289</v>
      </c>
      <c r="U198" s="5">
        <f>IF($B197&lt;=Tabla5[[#This Row],[INVERSIONES FCI]],+Tabla5[[#This Row],[INVERSIONES FCI]]-U197,Tabla5[[#This Row],[INVERSIONES FCI]])</f>
        <v>32042832587.176289</v>
      </c>
      <c r="V198" s="5">
        <f>IF($B197&lt;=Tabla5[[#This Row],[INVERSIONES FCI]],+Tabla5[[#This Row],[INVERSIONES FCI]]-V197,Tabla5[[#This Row],[INVERSIONES FCI]])</f>
        <v>32042832587.176289</v>
      </c>
      <c r="W198" s="5">
        <f>IF($B197&lt;=Tabla5[[#This Row],[INVERSIONES FCI]],+Tabla5[[#This Row],[INVERSIONES FCI]]-W197,Tabla5[[#This Row],[INVERSIONES FCI]])</f>
        <v>32042832587.176289</v>
      </c>
      <c r="X198" s="5">
        <f>IF($B197&lt;=Tabla5[[#This Row],[INVERSIONES FCI]],+Tabla5[[#This Row],[INVERSIONES FCI]]-X197,Tabla5[[#This Row],[INVERSIONES FCI]])</f>
        <v>32042832587.176289</v>
      </c>
      <c r="Y198" s="5">
        <f>IF($B197&lt;=Tabla5[[#This Row],[INVERSIONES FCI]],+Tabla5[[#This Row],[INVERSIONES FCI]]-Y197,Tabla5[[#This Row],[INVERSIONES FCI]])</f>
        <v>32042832587.176289</v>
      </c>
      <c r="Z198" s="5">
        <f>IF($B197&lt;=Tabla5[[#This Row],[INVERSIONES FCI]],+Tabla5[[#This Row],[INVERSIONES FCI]]-Z197,Tabla5[[#This Row],[INVERSIONES FCI]])</f>
        <v>32042832587.176289</v>
      </c>
      <c r="AA198" s="5">
        <f>IF($B197&lt;=Tabla5[[#This Row],[INVERSIONES FCI]],+Tabla5[[#This Row],[INVERSIONES FCI]]-AA197,Tabla5[[#This Row],[INVERSIONES FCI]])</f>
        <v>32042832587.176289</v>
      </c>
      <c r="AB198" s="5">
        <f>IF($B197&lt;=Tabla5[[#This Row],[INVERSIONES FCI]],+Tabla5[[#This Row],[INVERSIONES FCI]]-AB197,Tabla5[[#This Row],[INVERSIONES FCI]])</f>
        <v>32042832587.176289</v>
      </c>
      <c r="AC198" s="5">
        <f>IF($B197&lt;=Tabla5[[#This Row],[INVERSIONES FCI]],+Tabla5[[#This Row],[INVERSIONES FCI]]-AC197,Tabla5[[#This Row],[INVERSIONES FCI]])</f>
        <v>32042832587.176289</v>
      </c>
      <c r="AD198" s="5">
        <f>IF($B197&lt;=Tabla5[[#This Row],[INVERSIONES FCI]],+Tabla5[[#This Row],[INVERSIONES FCI]]-AD197,Tabla5[[#This Row],[INVERSIONES FCI]])</f>
        <v>32042832587.176289</v>
      </c>
      <c r="AE198" s="5">
        <f>IF($B197&lt;=Tabla5[[#This Row],[INVERSIONES FCI]],+Tabla5[[#This Row],[INVERSIONES FCI]]-AE197,Tabla5[[#This Row],[INVERSIONES FCI]])</f>
        <v>32042832587.176289</v>
      </c>
      <c r="AF198" s="5">
        <f>IF($B197&lt;=Tabla5[[#This Row],[INVERSIONES FCI]],+Tabla5[[#This Row],[INVERSIONES FCI]]-AF197,Tabla5[[#This Row],[INVERSIONES FCI]])</f>
        <v>32042832587.176289</v>
      </c>
      <c r="AG198" s="5">
        <f>IF($B197&lt;=Tabla5[[#This Row],[INVERSIONES FCI]],+Tabla5[[#This Row],[INVERSIONES FCI]]-AG197,Tabla5[[#This Row],[INVERSIONES FCI]])</f>
        <v>32042832587.176289</v>
      </c>
      <c r="AH198" s="5">
        <f>IF($B197&lt;=Tabla5[[#This Row],[INVERSIONES FCI]],+Tabla5[[#This Row],[INVERSIONES FCI]]-AH197,Tabla5[[#This Row],[INVERSIONES FCI]])</f>
        <v>32042832587.176289</v>
      </c>
      <c r="AI198" s="5">
        <f>IF($B197&lt;=Tabla5[[#This Row],[INVERSIONES FCI]],+Tabla5[[#This Row],[INVERSIONES FCI]]-AI197,Tabla5[[#This Row],[INVERSIONES FCI]])</f>
        <v>32042832587.176289</v>
      </c>
      <c r="AJ198" s="5">
        <f>IF($B197&lt;=Tabla5[[#This Row],[INVERSIONES FCI]],+Tabla5[[#This Row],[INVERSIONES FCI]]-AJ197,Tabla5[[#This Row],[INVERSIONES FCI]])</f>
        <v>32042832587.176289</v>
      </c>
      <c r="AK198" s="5">
        <f>IF($B197&lt;=Tabla5[[#This Row],[INVERSIONES FCI]],+Tabla5[[#This Row],[INVERSIONES FCI]]-AK197,Tabla5[[#This Row],[INVERSIONES FCI]])</f>
        <v>32042832587.176289</v>
      </c>
      <c r="AL198" s="5">
        <f>IF($B197&lt;=Tabla5[[#This Row],[INVERSIONES FCI]],+Tabla5[[#This Row],[INVERSIONES FCI]]-AL197,Tabla5[[#This Row],[INVERSIONES FCI]])</f>
        <v>32042832587.176289</v>
      </c>
      <c r="AM198" s="5">
        <f>IF($B197&lt;=Tabla5[[#This Row],[INVERSIONES FCI]],+Tabla5[[#This Row],[INVERSIONES FCI]]-AM197,Tabla5[[#This Row],[INVERSIONES FCI]])</f>
        <v>32042832587.176289</v>
      </c>
      <c r="AN198" s="5">
        <f>IF($B197&lt;=Tabla5[[#This Row],[INVERSIONES FCI]],+Tabla5[[#This Row],[INVERSIONES FCI]]-AN197,Tabla5[[#This Row],[INVERSIONES FCI]])</f>
        <v>32042832587.176289</v>
      </c>
      <c r="AO198" s="5">
        <f>IF($B197&lt;=Tabla5[[#This Row],[INVERSIONES FCI]],+Tabla5[[#This Row],[INVERSIONES FCI]]-AO197,Tabla5[[#This Row],[INVERSIONES FCI]])</f>
        <v>32042832587.176289</v>
      </c>
      <c r="AP198" s="5">
        <f>IF($B197&lt;=Tabla5[[#This Row],[INVERSIONES FCI]],+Tabla5[[#This Row],[INVERSIONES FCI]]-AP197,Tabla5[[#This Row],[INVERSIONES FCI]])</f>
        <v>32042832587.176289</v>
      </c>
      <c r="AQ198" s="5">
        <f>IF($B197&lt;=Tabla5[[#This Row],[INVERSIONES FCI]],+Tabla5[[#This Row],[INVERSIONES FCI]]-AQ197,Tabla5[[#This Row],[INVERSIONES FCI]])</f>
        <v>32042832587.176289</v>
      </c>
      <c r="AR198" s="5">
        <f>IF($B197&lt;=Tabla5[[#This Row],[INVERSIONES FCI]],+Tabla5[[#This Row],[INVERSIONES FCI]]-AR197,Tabla5[[#This Row],[INVERSIONES FCI]])</f>
        <v>32042832587.176289</v>
      </c>
      <c r="AS198" s="5">
        <f>IF($B197&lt;=Tabla5[[#This Row],[INVERSIONES FCI]],+Tabla5[[#This Row],[INVERSIONES FCI]]-AS197,Tabla5[[#This Row],[INVERSIONES FCI]])</f>
        <v>32042832587.176289</v>
      </c>
      <c r="AT198" s="5">
        <f>IF($B197&lt;=Tabla5[[#This Row],[INVERSIONES FCI]],+Tabla5[[#This Row],[INVERSIONES FCI]]-AT197,Tabla5[[#This Row],[INVERSIONES FCI]])</f>
        <v>32042832587.176289</v>
      </c>
      <c r="AU198" s="5">
        <f>IF($B197&lt;=Tabla5[[#This Row],[INVERSIONES FCI]],+Tabla5[[#This Row],[INVERSIONES FCI]]-AU197,Tabla5[[#This Row],[INVERSIONES FCI]])</f>
        <v>32042832587.176289</v>
      </c>
      <c r="AV198" s="5">
        <f>IF($B197&lt;=Tabla5[[#This Row],[INVERSIONES FCI]],+Tabla5[[#This Row],[INVERSIONES FCI]]-AV197,Tabla5[[#This Row],[INVERSIONES FCI]])</f>
        <v>32042832587.176289</v>
      </c>
      <c r="AW198" s="5">
        <f>IF($B197&lt;=Tabla5[[#This Row],[INVERSIONES FCI]],+Tabla5[[#This Row],[INVERSIONES FCI]]-AW197,Tabla5[[#This Row],[INVERSIONES FCI]])</f>
        <v>32042832587.176289</v>
      </c>
      <c r="AX198" s="5">
        <f>IF($B197&lt;=Tabla5[[#This Row],[INVERSIONES FCI]],+Tabla5[[#This Row],[INVERSIONES FCI]]-AX197,Tabla5[[#This Row],[INVERSIONES FCI]])</f>
        <v>32042832587.176289</v>
      </c>
      <c r="AY198" s="5">
        <f>IF($B197&lt;=Tabla5[[#This Row],[INVERSIONES FCI]],+Tabla5[[#This Row],[INVERSIONES FCI]]-AY197,Tabla5[[#This Row],[INVERSIONES FCI]])</f>
        <v>32042832587.176289</v>
      </c>
      <c r="AZ198" s="5">
        <f>IF($B197&lt;=Tabla5[[#This Row],[INVERSIONES FCI]],+Tabla5[[#This Row],[INVERSIONES FCI]]-AZ197,Tabla5[[#This Row],[INVERSIONES FCI]])</f>
        <v>32042832587.176289</v>
      </c>
      <c r="BA198" s="5">
        <f>IF($B197&lt;=Tabla5[[#This Row],[INVERSIONES FCI]],+Tabla5[[#This Row],[INVERSIONES FCI]]-BA197,Tabla5[[#This Row],[INVERSIONES FCI]])</f>
        <v>32042832587.176289</v>
      </c>
      <c r="BB198" s="5">
        <f>IF($B197&lt;=Tabla5[[#This Row],[INVERSIONES FCI]],+Tabla5[[#This Row],[INVERSIONES FCI]]-BB197,Tabla5[[#This Row],[INVERSIONES FCI]])</f>
        <v>32042832587.176289</v>
      </c>
      <c r="BC198" s="5">
        <f>IF($B197&lt;=Tabla5[[#This Row],[INVERSIONES FCI]],+Tabla5[[#This Row],[INVERSIONES FCI]]-BC197,Tabla5[[#This Row],[INVERSIONES FCI]])</f>
        <v>32042832587.176289</v>
      </c>
      <c r="BD198" s="5">
        <f>IF($B197&lt;=Tabla5[[#This Row],[INVERSIONES FCI]],+Tabla5[[#This Row],[INVERSIONES FCI]]-BD197,Tabla5[[#This Row],[INVERSIONES FCI]])</f>
        <v>32042832587.176289</v>
      </c>
      <c r="BE198" s="5">
        <f>IF($B197&lt;=Tabla5[[#This Row],[INVERSIONES FCI]],+Tabla5[[#This Row],[INVERSIONES FCI]]-BE197,Tabla5[[#This Row],[INVERSIONES FCI]])</f>
        <v>32042832587.176289</v>
      </c>
      <c r="BF198" s="5">
        <f>IF($B197&lt;=Tabla5[[#This Row],[INVERSIONES FCI]],+Tabla5[[#This Row],[INVERSIONES FCI]]-BF197,Tabla5[[#This Row],[INVERSIONES FCI]])</f>
        <v>32042832587.176289</v>
      </c>
      <c r="BG198" s="5">
        <f>IF($B197&lt;=Tabla5[[#This Row],[INVERSIONES FCI]],+Tabla5[[#This Row],[INVERSIONES FCI]]-BG197,Tabla5[[#This Row],[INVERSIONES FCI]])</f>
        <v>32042832587.176289</v>
      </c>
      <c r="BH198" s="5">
        <f>IF($B197&lt;=Tabla5[[#This Row],[INVERSIONES FCI]],+Tabla5[[#This Row],[INVERSIONES FCI]]-BH197,Tabla5[[#This Row],[INVERSIONES FCI]])</f>
        <v>32042832587.176289</v>
      </c>
      <c r="BI198" s="5">
        <f>IF($B197&lt;=Tabla5[[#This Row],[INVERSIONES FCI]],+Tabla5[[#This Row],[INVERSIONES FCI]]-BI197,Tabla5[[#This Row],[INVERSIONES FCI]])</f>
        <v>32042832587.176289</v>
      </c>
      <c r="BJ198" s="5">
        <f>IF($B197&lt;=Tabla5[[#This Row],[INVERSIONES FCI]],+Tabla5[[#This Row],[INVERSIONES FCI]]-BJ197,Tabla5[[#This Row],[INVERSIONES FCI]])</f>
        <v>32042832587.176289</v>
      </c>
      <c r="BK198" s="5">
        <f>IF($B197&lt;=Tabla5[[#This Row],[INVERSIONES FCI]],+Tabla5[[#This Row],[INVERSIONES FCI]]-BK197,Tabla5[[#This Row],[INVERSIONES FCI]])</f>
        <v>32042832587.176289</v>
      </c>
      <c r="BL198" s="5">
        <f>IF($B197&lt;=Tabla5[[#This Row],[INVERSIONES FCI]],+Tabla5[[#This Row],[INVERSIONES FCI]]-BL197,Tabla5[[#This Row],[INVERSIONES FCI]])</f>
        <v>32042832587.176289</v>
      </c>
      <c r="BM198" s="5">
        <f>IF($B197&lt;=Tabla5[[#This Row],[INVERSIONES FCI]],+Tabla5[[#This Row],[INVERSIONES FCI]]-BM197,Tabla5[[#This Row],[INVERSIONES FCI]])</f>
        <v>32042832587.176289</v>
      </c>
      <c r="BN198" s="5">
        <f>IF($B197&lt;=Tabla5[[#This Row],[INVERSIONES FCI]],+Tabla5[[#This Row],[INVERSIONES FCI]]-BN197,Tabla5[[#This Row],[INVERSIONES FCI]])</f>
        <v>32042832587.176289</v>
      </c>
      <c r="BO198" s="5">
        <f>IF($B197&lt;=Tabla5[[#This Row],[INVERSIONES FCI]],+Tabla5[[#This Row],[INVERSIONES FCI]]-BO197,Tabla5[[#This Row],[INVERSIONES FCI]])</f>
        <v>32042832587.176289</v>
      </c>
      <c r="BP198" s="5">
        <f>IF($B197&lt;=Tabla5[[#This Row],[INVERSIONES FCI]],+Tabla5[[#This Row],[INVERSIONES FCI]]-BP197,Tabla5[[#This Row],[INVERSIONES FCI]])</f>
        <v>32042832587.176289</v>
      </c>
      <c r="BQ198" s="5">
        <f>IF($B197&lt;=Tabla5[[#This Row],[INVERSIONES FCI]],+Tabla5[[#This Row],[INVERSIONES FCI]]-BQ197,Tabla5[[#This Row],[INVERSIONES FCI]])</f>
        <v>32042832587.176289</v>
      </c>
      <c r="BR198" s="5">
        <f>IF($B197&lt;=Tabla5[[#This Row],[INVERSIONES FCI]],+Tabla5[[#This Row],[INVERSIONES FCI]]-BR197,Tabla5[[#This Row],[INVERSIONES FCI]])</f>
        <v>32042832587.176289</v>
      </c>
      <c r="BS198" s="5">
        <f>IF($B197&lt;=Tabla5[[#This Row],[INVERSIONES FCI]],+Tabla5[[#This Row],[INVERSIONES FCI]]-BS197,Tabla5[[#This Row],[INVERSIONES FCI]])</f>
        <v>32042832587.176289</v>
      </c>
      <c r="BT198" s="5">
        <f>IF($B197&lt;=Tabla5[[#This Row],[INVERSIONES FCI]],+Tabla5[[#This Row],[INVERSIONES FCI]]-BT197,Tabla5[[#This Row],[INVERSIONES FCI]])</f>
        <v>32042832587.176289</v>
      </c>
      <c r="BU198" s="5">
        <f>IF($B197&lt;=Tabla5[[#This Row],[INVERSIONES FCI]],+Tabla5[[#This Row],[INVERSIONES FCI]]-BU197,Tabla5[[#This Row],[INVERSIONES FCI]])</f>
        <v>32042832587.176289</v>
      </c>
      <c r="BV198" s="5">
        <f>IF($B197&lt;=Tabla5[[#This Row],[INVERSIONES FCI]],+Tabla5[[#This Row],[INVERSIONES FCI]]-BV197,Tabla5[[#This Row],[INVERSIONES FCI]])</f>
        <v>32042832587.176289</v>
      </c>
      <c r="BW198" s="5">
        <f>IF($B197&lt;=Tabla5[[#This Row],[INVERSIONES FCI]],+Tabla5[[#This Row],[INVERSIONES FCI]]-BW197,Tabla5[[#This Row],[INVERSIONES FCI]])</f>
        <v>32042832587.176289</v>
      </c>
      <c r="BX198" s="5">
        <f>IF($B197&lt;=Tabla5[[#This Row],[INVERSIONES FCI]],+Tabla5[[#This Row],[INVERSIONES FCI]]-BX197,Tabla5[[#This Row],[INVERSIONES FCI]])</f>
        <v>32042832587.176289</v>
      </c>
      <c r="BY198" s="5">
        <f>IF($B197&lt;=Tabla5[[#This Row],[INVERSIONES FCI]],+Tabla5[[#This Row],[INVERSIONES FCI]]-BY197,Tabla5[[#This Row],[INVERSIONES FCI]])</f>
        <v>32042832587.176289</v>
      </c>
      <c r="BZ198" s="5">
        <f>IF($B197&lt;=Tabla5[[#This Row],[INVERSIONES FCI]],+Tabla5[[#This Row],[INVERSIONES FCI]]-BZ197,Tabla5[[#This Row],[INVERSIONES FCI]])</f>
        <v>32042832587.176289</v>
      </c>
      <c r="CA198" s="5">
        <f>IF($B197&lt;=Tabla5[[#This Row],[INVERSIONES FCI]],+Tabla5[[#This Row],[INVERSIONES FCI]]-CA197,Tabla5[[#This Row],[INVERSIONES FCI]])</f>
        <v>32042832587.176289</v>
      </c>
      <c r="CB198" s="5">
        <f>IF($B197&lt;=Tabla5[[#This Row],[INVERSIONES FCI]],+Tabla5[[#This Row],[INVERSIONES FCI]]-CB197,Tabla5[[#This Row],[INVERSIONES FCI]])</f>
        <v>32042832587.176289</v>
      </c>
      <c r="CC198" s="5">
        <f>IF($B197&lt;=Tabla5[[#This Row],[INVERSIONES FCI]],+Tabla5[[#This Row],[INVERSIONES FCI]]-CC197,Tabla5[[#This Row],[INVERSIONES FCI]])</f>
        <v>32042832587.176289</v>
      </c>
      <c r="CD198" s="5">
        <f>IF($B197&lt;=Tabla5[[#This Row],[INVERSIONES FCI]],+Tabla5[[#This Row],[INVERSIONES FCI]]-CD197,Tabla5[[#This Row],[INVERSIONES FCI]])</f>
        <v>32042832587.176289</v>
      </c>
      <c r="CE198" s="5">
        <f>IF($B197&lt;=Tabla5[[#This Row],[INVERSIONES FCI]],+Tabla5[[#This Row],[INVERSIONES FCI]]-CE197,Tabla5[[#This Row],[INVERSIONES FCI]])</f>
        <v>32042832587.176289</v>
      </c>
      <c r="CF198" s="5">
        <f>IF($B197&lt;=Tabla5[[#This Row],[INVERSIONES FCI]],+Tabla5[[#This Row],[INVERSIONES FCI]]-CF197,Tabla5[[#This Row],[INVERSIONES FCI]])</f>
        <v>32042832587.176289</v>
      </c>
      <c r="CG198" s="5">
        <f>IF($B197&lt;=Tabla5[[#This Row],[INVERSIONES FCI]],+Tabla5[[#This Row],[INVERSIONES FCI]]-CG197,Tabla5[[#This Row],[INVERSIONES FCI]])</f>
        <v>32042832587.176289</v>
      </c>
      <c r="CH198" s="5">
        <f>IF($B197&lt;=Tabla5[[#This Row],[INVERSIONES FCI]],+Tabla5[[#This Row],[INVERSIONES FCI]]-CH197,Tabla5[[#This Row],[INVERSIONES FCI]])</f>
        <v>32042832587.176289</v>
      </c>
      <c r="CI198" s="5">
        <f>IF($B197&lt;=Tabla5[[#This Row],[INVERSIONES FCI]],+Tabla5[[#This Row],[INVERSIONES FCI]]-CI197,Tabla5[[#This Row],[INVERSIONES FCI]])</f>
        <v>32042832587.176289</v>
      </c>
      <c r="CJ198" s="5">
        <f>IF($B197&lt;=Tabla5[[#This Row],[INVERSIONES FCI]],+Tabla5[[#This Row],[INVERSIONES FCI]]-CJ197,Tabla5[[#This Row],[INVERSIONES FCI]])</f>
        <v>32042832587.176289</v>
      </c>
      <c r="CK198" s="5">
        <f>IF($B197&lt;=Tabla5[[#This Row],[INVERSIONES FCI]],+Tabla5[[#This Row],[INVERSIONES FCI]]-CK197,Tabla5[[#This Row],[INVERSIONES FCI]])</f>
        <v>32042832587.176289</v>
      </c>
      <c r="CL198" s="5">
        <f>IF($B197&lt;=Tabla5[[#This Row],[INVERSIONES FCI]],+Tabla5[[#This Row],[INVERSIONES FCI]]-CL197,Tabla5[[#This Row],[INVERSIONES FCI]])</f>
        <v>32042832587.176289</v>
      </c>
      <c r="CM198" s="5">
        <f>IF($B197&lt;=Tabla5[[#This Row],[INVERSIONES FCI]],+Tabla5[[#This Row],[INVERSIONES FCI]]-CM197,Tabla5[[#This Row],[INVERSIONES FCI]])</f>
        <v>32042832587.176289</v>
      </c>
      <c r="CN198" s="5">
        <f>IF($B197&lt;=Tabla5[[#This Row],[INVERSIONES FCI]],+Tabla5[[#This Row],[INVERSIONES FCI]]-CN197,Tabla5[[#This Row],[INVERSIONES FCI]])</f>
        <v>32042832587.176289</v>
      </c>
      <c r="CO198" s="5">
        <f>IF($B197&lt;=Tabla5[[#This Row],[INVERSIONES FCI]],+Tabla5[[#This Row],[INVERSIONES FCI]]-CO197,Tabla5[[#This Row],[INVERSIONES FCI]])</f>
        <v>32042832587.176289</v>
      </c>
      <c r="CP198" s="5">
        <f>IF($B197&lt;=Tabla5[[#This Row],[INVERSIONES FCI]],+Tabla5[[#This Row],[INVERSIONES FCI]]-CP197,Tabla5[[#This Row],[INVERSIONES FCI]])</f>
        <v>32042832587.176289</v>
      </c>
      <c r="CQ198" s="5">
        <f>IF($B197&lt;=Tabla5[[#This Row],[INVERSIONES FCI]],+Tabla5[[#This Row],[INVERSIONES FCI]]-CQ197,Tabla5[[#This Row],[INVERSIONES FCI]])</f>
        <v>32042832587.176289</v>
      </c>
      <c r="CR198" s="5">
        <f>IF($B197&lt;=Tabla5[[#This Row],[INVERSIONES FCI]],+Tabla5[[#This Row],[INVERSIONES FCI]]-CR197,Tabla5[[#This Row],[INVERSIONES FCI]])</f>
        <v>32042832587.176289</v>
      </c>
      <c r="CS198" s="5">
        <f>IF($B197&lt;=Tabla5[[#This Row],[INVERSIONES FCI]],+Tabla5[[#This Row],[INVERSIONES FCI]]-CS197,Tabla5[[#This Row],[INVERSIONES FCI]])</f>
        <v>32042832587.176289</v>
      </c>
      <c r="CT198" s="5">
        <f>IF($B197&lt;=Tabla5[[#This Row],[INVERSIONES FCI]],+Tabla5[[#This Row],[INVERSIONES FCI]]-CT197,Tabla5[[#This Row],[INVERSIONES FCI]])</f>
        <v>32042832587.176289</v>
      </c>
      <c r="CU198" s="5">
        <f>IF($B197&lt;=Tabla5[[#This Row],[INVERSIONES FCI]],+Tabla5[[#This Row],[INVERSIONES FCI]]-CU197,Tabla5[[#This Row],[INVERSIONES FCI]])</f>
        <v>32042832587.176289</v>
      </c>
      <c r="CV198" s="5">
        <f>IF($B197&lt;=Tabla5[[#This Row],[INVERSIONES FCI]],+Tabla5[[#This Row],[INVERSIONES FCI]]-CV197,Tabla5[[#This Row],[INVERSIONES FCI]])</f>
        <v>32042832587.176289</v>
      </c>
      <c r="CW198" s="5">
        <f>IF($B197&lt;=Tabla5[[#This Row],[INVERSIONES FCI]],+Tabla5[[#This Row],[INVERSIONES FCI]]-CW197,Tabla5[[#This Row],[INVERSIONES FCI]])</f>
        <v>32042832587.176289</v>
      </c>
      <c r="CX198" s="5">
        <f>IF($B197&lt;=Tabla5[[#This Row],[INVERSIONES FCI]],+Tabla5[[#This Row],[INVERSIONES FCI]]-CX197,Tabla5[[#This Row],[INVERSIONES FCI]])</f>
        <v>32042832587.176289</v>
      </c>
      <c r="CY198" s="5">
        <f>IF($B197&lt;=Tabla5[[#This Row],[INVERSIONES FCI]],+Tabla5[[#This Row],[INVERSIONES FCI]]-CY197,Tabla5[[#This Row],[INVERSIONES FCI]])</f>
        <v>32042832587.176289</v>
      </c>
      <c r="CZ198" s="5">
        <f>IF($B197&lt;=Tabla5[[#This Row],[INVERSIONES FCI]],+Tabla5[[#This Row],[INVERSIONES FCI]]-CZ197,Tabla5[[#This Row],[INVERSIONES FCI]])</f>
        <v>32042832587.176289</v>
      </c>
      <c r="DA198" s="5">
        <f>IF($B197&lt;=Tabla5[[#This Row],[INVERSIONES FCI]],+Tabla5[[#This Row],[INVERSIONES FCI]]-DA197,Tabla5[[#This Row],[INVERSIONES FCI]])</f>
        <v>32042832587.176289</v>
      </c>
      <c r="DB198" s="5">
        <f>IF($B197&lt;=Tabla5[[#This Row],[INVERSIONES FCI]],+Tabla5[[#This Row],[INVERSIONES FCI]]-DB197,Tabla5[[#This Row],[INVERSIONES FCI]])</f>
        <v>32042832587.176289</v>
      </c>
      <c r="DC198" s="5">
        <f>IF($B197&lt;=Tabla5[[#This Row],[INVERSIONES FCI]],+Tabla5[[#This Row],[INVERSIONES FCI]]-DC197,Tabla5[[#This Row],[INVERSIONES FCI]])</f>
        <v>32042832587.176289</v>
      </c>
      <c r="DD198" s="5">
        <f>IF($B197&lt;=Tabla5[[#This Row],[INVERSIONES FCI]],+Tabla5[[#This Row],[INVERSIONES FCI]]-DD197,Tabla5[[#This Row],[INVERSIONES FCI]])</f>
        <v>32042832587.176289</v>
      </c>
      <c r="DE198" s="5">
        <f>IF($B197&lt;=Tabla5[[#This Row],[INVERSIONES FCI]],+Tabla5[[#This Row],[INVERSIONES FCI]]-DE197,Tabla5[[#This Row],[INVERSIONES FCI]])</f>
        <v>32042832587.176289</v>
      </c>
      <c r="DF198" s="5">
        <f>IF($B197&lt;=Tabla5[[#This Row],[INVERSIONES FCI]],+Tabla5[[#This Row],[INVERSIONES FCI]]-DF197,Tabla5[[#This Row],[INVERSIONES FCI]])</f>
        <v>32042832587.176289</v>
      </c>
      <c r="DG198" s="5">
        <f>IF($B197&lt;=Tabla5[[#This Row],[INVERSIONES FCI]],+Tabla5[[#This Row],[INVERSIONES FCI]]-DG197,Tabla5[[#This Row],[INVERSIONES FCI]])</f>
        <v>32042832587.176289</v>
      </c>
      <c r="DH198" s="5">
        <f>IF($B197&lt;=Tabla5[[#This Row],[INVERSIONES FCI]],+Tabla5[[#This Row],[INVERSIONES FCI]]-DH197,Tabla5[[#This Row],[INVERSIONES FCI]])</f>
        <v>32042832587.176289</v>
      </c>
      <c r="DI198" s="5">
        <f>IF($B197&lt;=Tabla5[[#This Row],[INVERSIONES FCI]],+Tabla5[[#This Row],[INVERSIONES FCI]]-DI197,Tabla5[[#This Row],[INVERSIONES FCI]])</f>
        <v>32042832587.176289</v>
      </c>
      <c r="DJ198" s="5">
        <f>IF($B197&lt;=Tabla5[[#This Row],[INVERSIONES FCI]],+Tabla5[[#This Row],[INVERSIONES FCI]]-DJ197,Tabla5[[#This Row],[INVERSIONES FCI]])</f>
        <v>32042832587.176289</v>
      </c>
      <c r="DK198" s="5">
        <f>IF($B197&lt;=Tabla5[[#This Row],[INVERSIONES FCI]],+Tabla5[[#This Row],[INVERSIONES FCI]]-DK197,Tabla5[[#This Row],[INVERSIONES FCI]])</f>
        <v>32042832587.176289</v>
      </c>
      <c r="DL198" s="5"/>
      <c r="DM198" s="5"/>
      <c r="DN198" s="5"/>
      <c r="DO198" s="5"/>
      <c r="DP198" s="5"/>
      <c r="DQ198" s="5"/>
    </row>
    <row r="199" spans="1:121" ht="14.4">
      <c r="A199" s="12" t="s">
        <v>198</v>
      </c>
      <c r="B199" s="5">
        <f>HLOOKUP($A199,ESCENARIO[#All],7,FALSE)</f>
        <v>34904586409.496437</v>
      </c>
      <c r="C199" s="5">
        <f>IF($B198&lt;=Tabla5[[#This Row],[INVERSIONES FCI]],+Tabla5[[#This Row],[INVERSIONES FCI]]-C198,Tabla5[[#This Row],[INVERSIONES FCI]])</f>
        <v>2861753822.3201485</v>
      </c>
      <c r="D199" s="5">
        <f>IF($B198&lt;=Tabla5[[#This Row],[INVERSIONES FCI]],+Tabla5[[#This Row],[INVERSIONES FCI]]-D198,Tabla5[[#This Row],[INVERSIONES FCI]])</f>
        <v>2861753822.3201485</v>
      </c>
      <c r="E199" s="5">
        <f>IF($B198&lt;=Tabla5[[#This Row],[INVERSIONES FCI]],+Tabla5[[#This Row],[INVERSIONES FCI]]-E198,Tabla5[[#This Row],[INVERSIONES FCI]])</f>
        <v>2861753822.3201485</v>
      </c>
      <c r="F199" s="5">
        <f>IF($B198&lt;=Tabla5[[#This Row],[INVERSIONES FCI]],+Tabla5[[#This Row],[INVERSIONES FCI]]-F198,Tabla5[[#This Row],[INVERSIONES FCI]])</f>
        <v>2861753822.3201485</v>
      </c>
      <c r="G199" s="5">
        <f>IF($B198&lt;=Tabla5[[#This Row],[INVERSIONES FCI]],+Tabla5[[#This Row],[INVERSIONES FCI]]-G198,Tabla5[[#This Row],[INVERSIONES FCI]])</f>
        <v>2861753822.3201485</v>
      </c>
      <c r="H199" s="5">
        <f>IF($B198&lt;=Tabla5[[#This Row],[INVERSIONES FCI]],+Tabla5[[#This Row],[INVERSIONES FCI]]-H198,Tabla5[[#This Row],[INVERSIONES FCI]])</f>
        <v>2861753822.3201485</v>
      </c>
      <c r="I199" s="5">
        <f>IF($B198&lt;=Tabla5[[#This Row],[INVERSIONES FCI]],+Tabla5[[#This Row],[INVERSIONES FCI]]-I198,Tabla5[[#This Row],[INVERSIONES FCI]])</f>
        <v>2861753822.3201485</v>
      </c>
      <c r="J199" s="5">
        <f>IF($B198&lt;=Tabla5[[#This Row],[INVERSIONES FCI]],+Tabla5[[#This Row],[INVERSIONES FCI]]-J198,Tabla5[[#This Row],[INVERSIONES FCI]])</f>
        <v>2861753822.3201485</v>
      </c>
      <c r="K199" s="5">
        <f>IF($B198&lt;=Tabla5[[#This Row],[INVERSIONES FCI]],+Tabla5[[#This Row],[INVERSIONES FCI]]-K198,Tabla5[[#This Row],[INVERSIONES FCI]])</f>
        <v>2861753822.3201485</v>
      </c>
      <c r="L199" s="5">
        <f>IF($B198&lt;=Tabla5[[#This Row],[INVERSIONES FCI]],+Tabla5[[#This Row],[INVERSIONES FCI]]-L198,Tabla5[[#This Row],[INVERSIONES FCI]])</f>
        <v>2861753822.3201485</v>
      </c>
      <c r="M199" s="5">
        <f>IF($B198&lt;=Tabla5[[#This Row],[INVERSIONES FCI]],+Tabla5[[#This Row],[INVERSIONES FCI]]-M198,Tabla5[[#This Row],[INVERSIONES FCI]])</f>
        <v>2861753822.3201485</v>
      </c>
      <c r="N199" s="5">
        <f>IF($B198&lt;=Tabla5[[#This Row],[INVERSIONES FCI]],+Tabla5[[#This Row],[INVERSIONES FCI]]-N198,Tabla5[[#This Row],[INVERSIONES FCI]])</f>
        <v>2861753822.3201485</v>
      </c>
      <c r="O199" s="5">
        <f>IF($B198&lt;=Tabla5[[#This Row],[INVERSIONES FCI]],+Tabla5[[#This Row],[INVERSIONES FCI]]-O198,Tabla5[[#This Row],[INVERSIONES FCI]])</f>
        <v>2861753822.3201485</v>
      </c>
      <c r="P199" s="5">
        <f>IF($B198&lt;=Tabla5[[#This Row],[INVERSIONES FCI]],+Tabla5[[#This Row],[INVERSIONES FCI]]-P198,Tabla5[[#This Row],[INVERSIONES FCI]])</f>
        <v>2861753822.3201485</v>
      </c>
      <c r="Q199" s="5">
        <f>IF($B198&lt;=Tabla5[[#This Row],[INVERSIONES FCI]],+Tabla5[[#This Row],[INVERSIONES FCI]]-Q198,Tabla5[[#This Row],[INVERSIONES FCI]])</f>
        <v>2861753822.3201485</v>
      </c>
      <c r="R199" s="5">
        <f>IF($B198&lt;=Tabla5[[#This Row],[INVERSIONES FCI]],+Tabla5[[#This Row],[INVERSIONES FCI]]-R198,Tabla5[[#This Row],[INVERSIONES FCI]])</f>
        <v>2861753822.3201485</v>
      </c>
      <c r="S199" s="5">
        <f>IF($B198&lt;=Tabla5[[#This Row],[INVERSIONES FCI]],+Tabla5[[#This Row],[INVERSIONES FCI]]-S198,Tabla5[[#This Row],[INVERSIONES FCI]])</f>
        <v>2861753822.3201485</v>
      </c>
      <c r="T199" s="5">
        <f>IF($B198&lt;=Tabla5[[#This Row],[INVERSIONES FCI]],+Tabla5[[#This Row],[INVERSIONES FCI]]-T198,Tabla5[[#This Row],[INVERSIONES FCI]])</f>
        <v>2861753822.3201485</v>
      </c>
      <c r="U199" s="5">
        <f>IF($B198&lt;=Tabla5[[#This Row],[INVERSIONES FCI]],+Tabla5[[#This Row],[INVERSIONES FCI]]-U198,Tabla5[[#This Row],[INVERSIONES FCI]])</f>
        <v>2861753822.3201485</v>
      </c>
      <c r="V199" s="5">
        <f>IF($B198&lt;=Tabla5[[#This Row],[INVERSIONES FCI]],+Tabla5[[#This Row],[INVERSIONES FCI]]-V198,Tabla5[[#This Row],[INVERSIONES FCI]])</f>
        <v>2861753822.3201485</v>
      </c>
      <c r="W199" s="5">
        <f>IF($B198&lt;=Tabla5[[#This Row],[INVERSIONES FCI]],+Tabla5[[#This Row],[INVERSIONES FCI]]-W198,Tabla5[[#This Row],[INVERSIONES FCI]])</f>
        <v>2861753822.3201485</v>
      </c>
      <c r="X199" s="5">
        <f>IF($B198&lt;=Tabla5[[#This Row],[INVERSIONES FCI]],+Tabla5[[#This Row],[INVERSIONES FCI]]-X198,Tabla5[[#This Row],[INVERSIONES FCI]])</f>
        <v>2861753822.3201485</v>
      </c>
      <c r="Y199" s="5">
        <f>IF($B198&lt;=Tabla5[[#This Row],[INVERSIONES FCI]],+Tabla5[[#This Row],[INVERSIONES FCI]]-Y198,Tabla5[[#This Row],[INVERSIONES FCI]])</f>
        <v>2861753822.3201485</v>
      </c>
      <c r="Z199" s="5">
        <f>IF($B198&lt;=Tabla5[[#This Row],[INVERSIONES FCI]],+Tabla5[[#This Row],[INVERSIONES FCI]]-Z198,Tabla5[[#This Row],[INVERSIONES FCI]])</f>
        <v>2861753822.3201485</v>
      </c>
      <c r="AA199" s="5">
        <f>IF($B198&lt;=Tabla5[[#This Row],[INVERSIONES FCI]],+Tabla5[[#This Row],[INVERSIONES FCI]]-AA198,Tabla5[[#This Row],[INVERSIONES FCI]])</f>
        <v>2861753822.3201485</v>
      </c>
      <c r="AB199" s="5">
        <f>IF($B198&lt;=Tabla5[[#This Row],[INVERSIONES FCI]],+Tabla5[[#This Row],[INVERSIONES FCI]]-AB198,Tabla5[[#This Row],[INVERSIONES FCI]])</f>
        <v>2861753822.3201485</v>
      </c>
      <c r="AC199" s="5">
        <f>IF($B198&lt;=Tabla5[[#This Row],[INVERSIONES FCI]],+Tabla5[[#This Row],[INVERSIONES FCI]]-AC198,Tabla5[[#This Row],[INVERSIONES FCI]])</f>
        <v>2861753822.3201485</v>
      </c>
      <c r="AD199" s="5">
        <f>IF($B198&lt;=Tabla5[[#This Row],[INVERSIONES FCI]],+Tabla5[[#This Row],[INVERSIONES FCI]]-AD198,Tabla5[[#This Row],[INVERSIONES FCI]])</f>
        <v>2861753822.3201485</v>
      </c>
      <c r="AE199" s="5">
        <f>IF($B198&lt;=Tabla5[[#This Row],[INVERSIONES FCI]],+Tabla5[[#This Row],[INVERSIONES FCI]]-AE198,Tabla5[[#This Row],[INVERSIONES FCI]])</f>
        <v>2861753822.3201485</v>
      </c>
      <c r="AF199" s="5">
        <f>IF($B198&lt;=Tabla5[[#This Row],[INVERSIONES FCI]],+Tabla5[[#This Row],[INVERSIONES FCI]]-AF198,Tabla5[[#This Row],[INVERSIONES FCI]])</f>
        <v>2861753822.3201485</v>
      </c>
      <c r="AG199" s="5">
        <f>IF($B198&lt;=Tabla5[[#This Row],[INVERSIONES FCI]],+Tabla5[[#This Row],[INVERSIONES FCI]]-AG198,Tabla5[[#This Row],[INVERSIONES FCI]])</f>
        <v>2861753822.3201485</v>
      </c>
      <c r="AH199" s="5">
        <f>IF($B198&lt;=Tabla5[[#This Row],[INVERSIONES FCI]],+Tabla5[[#This Row],[INVERSIONES FCI]]-AH198,Tabla5[[#This Row],[INVERSIONES FCI]])</f>
        <v>2861753822.3201485</v>
      </c>
      <c r="AI199" s="5">
        <f>IF($B198&lt;=Tabla5[[#This Row],[INVERSIONES FCI]],+Tabla5[[#This Row],[INVERSIONES FCI]]-AI198,Tabla5[[#This Row],[INVERSIONES FCI]])</f>
        <v>2861753822.3201485</v>
      </c>
      <c r="AJ199" s="5">
        <f>IF($B198&lt;=Tabla5[[#This Row],[INVERSIONES FCI]],+Tabla5[[#This Row],[INVERSIONES FCI]]-AJ198,Tabla5[[#This Row],[INVERSIONES FCI]])</f>
        <v>2861753822.3201485</v>
      </c>
      <c r="AK199" s="5">
        <f>IF($B198&lt;=Tabla5[[#This Row],[INVERSIONES FCI]],+Tabla5[[#This Row],[INVERSIONES FCI]]-AK198,Tabla5[[#This Row],[INVERSIONES FCI]])</f>
        <v>2861753822.3201485</v>
      </c>
      <c r="AL199" s="5">
        <f>IF($B198&lt;=Tabla5[[#This Row],[INVERSIONES FCI]],+Tabla5[[#This Row],[INVERSIONES FCI]]-AL198,Tabla5[[#This Row],[INVERSIONES FCI]])</f>
        <v>2861753822.3201485</v>
      </c>
      <c r="AM199" s="5">
        <f>IF($B198&lt;=Tabla5[[#This Row],[INVERSIONES FCI]],+Tabla5[[#This Row],[INVERSIONES FCI]]-AM198,Tabla5[[#This Row],[INVERSIONES FCI]])</f>
        <v>2861753822.3201485</v>
      </c>
      <c r="AN199" s="5">
        <f>IF($B198&lt;=Tabla5[[#This Row],[INVERSIONES FCI]],+Tabla5[[#This Row],[INVERSIONES FCI]]-AN198,Tabla5[[#This Row],[INVERSIONES FCI]])</f>
        <v>2861753822.3201485</v>
      </c>
      <c r="AO199" s="5">
        <f>IF($B198&lt;=Tabla5[[#This Row],[INVERSIONES FCI]],+Tabla5[[#This Row],[INVERSIONES FCI]]-AO198,Tabla5[[#This Row],[INVERSIONES FCI]])</f>
        <v>2861753822.3201485</v>
      </c>
      <c r="AP199" s="5">
        <f>IF($B198&lt;=Tabla5[[#This Row],[INVERSIONES FCI]],+Tabla5[[#This Row],[INVERSIONES FCI]]-AP198,Tabla5[[#This Row],[INVERSIONES FCI]])</f>
        <v>2861753822.3201485</v>
      </c>
      <c r="AQ199" s="5">
        <f>IF($B198&lt;=Tabla5[[#This Row],[INVERSIONES FCI]],+Tabla5[[#This Row],[INVERSIONES FCI]]-AQ198,Tabla5[[#This Row],[INVERSIONES FCI]])</f>
        <v>2861753822.3201485</v>
      </c>
      <c r="AR199" s="5">
        <f>IF($B198&lt;=Tabla5[[#This Row],[INVERSIONES FCI]],+Tabla5[[#This Row],[INVERSIONES FCI]]-AR198,Tabla5[[#This Row],[INVERSIONES FCI]])</f>
        <v>2861753822.3201485</v>
      </c>
      <c r="AS199" s="5">
        <f>IF($B198&lt;=Tabla5[[#This Row],[INVERSIONES FCI]],+Tabla5[[#This Row],[INVERSIONES FCI]]-AS198,Tabla5[[#This Row],[INVERSIONES FCI]])</f>
        <v>2861753822.3201485</v>
      </c>
      <c r="AT199" s="5">
        <f>IF($B198&lt;=Tabla5[[#This Row],[INVERSIONES FCI]],+Tabla5[[#This Row],[INVERSIONES FCI]]-AT198,Tabla5[[#This Row],[INVERSIONES FCI]])</f>
        <v>2861753822.3201485</v>
      </c>
      <c r="AU199" s="5">
        <f>IF($B198&lt;=Tabla5[[#This Row],[INVERSIONES FCI]],+Tabla5[[#This Row],[INVERSIONES FCI]]-AU198,Tabla5[[#This Row],[INVERSIONES FCI]])</f>
        <v>2861753822.3201485</v>
      </c>
      <c r="AV199" s="5">
        <f>IF($B198&lt;=Tabla5[[#This Row],[INVERSIONES FCI]],+Tabla5[[#This Row],[INVERSIONES FCI]]-AV198,Tabla5[[#This Row],[INVERSIONES FCI]])</f>
        <v>2861753822.3201485</v>
      </c>
      <c r="AW199" s="5">
        <f>IF($B198&lt;=Tabla5[[#This Row],[INVERSIONES FCI]],+Tabla5[[#This Row],[INVERSIONES FCI]]-AW198,Tabla5[[#This Row],[INVERSIONES FCI]])</f>
        <v>2861753822.3201485</v>
      </c>
      <c r="AX199" s="5">
        <f>IF($B198&lt;=Tabla5[[#This Row],[INVERSIONES FCI]],+Tabla5[[#This Row],[INVERSIONES FCI]]-AX198,Tabla5[[#This Row],[INVERSIONES FCI]])</f>
        <v>2861753822.3201485</v>
      </c>
      <c r="AY199" s="5">
        <f>IF($B198&lt;=Tabla5[[#This Row],[INVERSIONES FCI]],+Tabla5[[#This Row],[INVERSIONES FCI]]-AY198,Tabla5[[#This Row],[INVERSIONES FCI]])</f>
        <v>2861753822.3201485</v>
      </c>
      <c r="AZ199" s="5">
        <f>IF($B198&lt;=Tabla5[[#This Row],[INVERSIONES FCI]],+Tabla5[[#This Row],[INVERSIONES FCI]]-AZ198,Tabla5[[#This Row],[INVERSIONES FCI]])</f>
        <v>2861753822.3201485</v>
      </c>
      <c r="BA199" s="5">
        <f>IF($B198&lt;=Tabla5[[#This Row],[INVERSIONES FCI]],+Tabla5[[#This Row],[INVERSIONES FCI]]-BA198,Tabla5[[#This Row],[INVERSIONES FCI]])</f>
        <v>2861753822.3201485</v>
      </c>
      <c r="BB199" s="5">
        <f>IF($B198&lt;=Tabla5[[#This Row],[INVERSIONES FCI]],+Tabla5[[#This Row],[INVERSIONES FCI]]-BB198,Tabla5[[#This Row],[INVERSIONES FCI]])</f>
        <v>2861753822.3201485</v>
      </c>
      <c r="BC199" s="5">
        <f>IF($B198&lt;=Tabla5[[#This Row],[INVERSIONES FCI]],+Tabla5[[#This Row],[INVERSIONES FCI]]-BC198,Tabla5[[#This Row],[INVERSIONES FCI]])</f>
        <v>2861753822.3201485</v>
      </c>
      <c r="BD199" s="5">
        <f>IF($B198&lt;=Tabla5[[#This Row],[INVERSIONES FCI]],+Tabla5[[#This Row],[INVERSIONES FCI]]-BD198,Tabla5[[#This Row],[INVERSIONES FCI]])</f>
        <v>2861753822.3201485</v>
      </c>
      <c r="BE199" s="5">
        <f>IF($B198&lt;=Tabla5[[#This Row],[INVERSIONES FCI]],+Tabla5[[#This Row],[INVERSIONES FCI]]-BE198,Tabla5[[#This Row],[INVERSIONES FCI]])</f>
        <v>2861753822.3201485</v>
      </c>
      <c r="BF199" s="5">
        <f>IF($B198&lt;=Tabla5[[#This Row],[INVERSIONES FCI]],+Tabla5[[#This Row],[INVERSIONES FCI]]-BF198,Tabla5[[#This Row],[INVERSIONES FCI]])</f>
        <v>2861753822.3201485</v>
      </c>
      <c r="BG199" s="5">
        <f>IF($B198&lt;=Tabla5[[#This Row],[INVERSIONES FCI]],+Tabla5[[#This Row],[INVERSIONES FCI]]-BG198,Tabla5[[#This Row],[INVERSIONES FCI]])</f>
        <v>2861753822.3201485</v>
      </c>
      <c r="BH199" s="5">
        <f>IF($B198&lt;=Tabla5[[#This Row],[INVERSIONES FCI]],+Tabla5[[#This Row],[INVERSIONES FCI]]-BH198,Tabla5[[#This Row],[INVERSIONES FCI]])</f>
        <v>2861753822.3201485</v>
      </c>
      <c r="BI199" s="5">
        <f>IF($B198&lt;=Tabla5[[#This Row],[INVERSIONES FCI]],+Tabla5[[#This Row],[INVERSIONES FCI]]-BI198,Tabla5[[#This Row],[INVERSIONES FCI]])</f>
        <v>2861753822.3201485</v>
      </c>
      <c r="BJ199" s="5">
        <f>IF($B198&lt;=Tabla5[[#This Row],[INVERSIONES FCI]],+Tabla5[[#This Row],[INVERSIONES FCI]]-BJ198,Tabla5[[#This Row],[INVERSIONES FCI]])</f>
        <v>2861753822.3201485</v>
      </c>
      <c r="BK199" s="5">
        <f>IF($B198&lt;=Tabla5[[#This Row],[INVERSIONES FCI]],+Tabla5[[#This Row],[INVERSIONES FCI]]-BK198,Tabla5[[#This Row],[INVERSIONES FCI]])</f>
        <v>2861753822.3201485</v>
      </c>
      <c r="BL199" s="5">
        <f>IF($B198&lt;=Tabla5[[#This Row],[INVERSIONES FCI]],+Tabla5[[#This Row],[INVERSIONES FCI]]-BL198,Tabla5[[#This Row],[INVERSIONES FCI]])</f>
        <v>2861753822.3201485</v>
      </c>
      <c r="BM199" s="5">
        <f>IF($B198&lt;=Tabla5[[#This Row],[INVERSIONES FCI]],+Tabla5[[#This Row],[INVERSIONES FCI]]-BM198,Tabla5[[#This Row],[INVERSIONES FCI]])</f>
        <v>2861753822.3201485</v>
      </c>
      <c r="BN199" s="5">
        <f>IF($B198&lt;=Tabla5[[#This Row],[INVERSIONES FCI]],+Tabla5[[#This Row],[INVERSIONES FCI]]-BN198,Tabla5[[#This Row],[INVERSIONES FCI]])</f>
        <v>2861753822.3201485</v>
      </c>
      <c r="BO199" s="5">
        <f>IF($B198&lt;=Tabla5[[#This Row],[INVERSIONES FCI]],+Tabla5[[#This Row],[INVERSIONES FCI]]-BO198,Tabla5[[#This Row],[INVERSIONES FCI]])</f>
        <v>2861753822.3201485</v>
      </c>
      <c r="BP199" s="5">
        <f>IF($B198&lt;=Tabla5[[#This Row],[INVERSIONES FCI]],+Tabla5[[#This Row],[INVERSIONES FCI]]-BP198,Tabla5[[#This Row],[INVERSIONES FCI]])</f>
        <v>2861753822.3201485</v>
      </c>
      <c r="BQ199" s="5">
        <f>IF($B198&lt;=Tabla5[[#This Row],[INVERSIONES FCI]],+Tabla5[[#This Row],[INVERSIONES FCI]]-BQ198,Tabla5[[#This Row],[INVERSIONES FCI]])</f>
        <v>2861753822.3201485</v>
      </c>
      <c r="BR199" s="5">
        <f>IF($B198&lt;=Tabla5[[#This Row],[INVERSIONES FCI]],+Tabla5[[#This Row],[INVERSIONES FCI]]-BR198,Tabla5[[#This Row],[INVERSIONES FCI]])</f>
        <v>2861753822.3201485</v>
      </c>
      <c r="BS199" s="5">
        <f>IF($B198&lt;=Tabla5[[#This Row],[INVERSIONES FCI]],+Tabla5[[#This Row],[INVERSIONES FCI]]-BS198,Tabla5[[#This Row],[INVERSIONES FCI]])</f>
        <v>2861753822.3201485</v>
      </c>
      <c r="BT199" s="5">
        <f>IF($B198&lt;=Tabla5[[#This Row],[INVERSIONES FCI]],+Tabla5[[#This Row],[INVERSIONES FCI]]-BT198,Tabla5[[#This Row],[INVERSIONES FCI]])</f>
        <v>2861753822.3201485</v>
      </c>
      <c r="BU199" s="5">
        <f>IF($B198&lt;=Tabla5[[#This Row],[INVERSIONES FCI]],+Tabla5[[#This Row],[INVERSIONES FCI]]-BU198,Tabla5[[#This Row],[INVERSIONES FCI]])</f>
        <v>2861753822.3201485</v>
      </c>
      <c r="BV199" s="5">
        <f>IF($B198&lt;=Tabla5[[#This Row],[INVERSIONES FCI]],+Tabla5[[#This Row],[INVERSIONES FCI]]-BV198,Tabla5[[#This Row],[INVERSIONES FCI]])</f>
        <v>2861753822.3201485</v>
      </c>
      <c r="BW199" s="5">
        <f>IF($B198&lt;=Tabla5[[#This Row],[INVERSIONES FCI]],+Tabla5[[#This Row],[INVERSIONES FCI]]-BW198,Tabla5[[#This Row],[INVERSIONES FCI]])</f>
        <v>2861753822.3201485</v>
      </c>
      <c r="BX199" s="5">
        <f>IF($B198&lt;=Tabla5[[#This Row],[INVERSIONES FCI]],+Tabla5[[#This Row],[INVERSIONES FCI]]-BX198,Tabla5[[#This Row],[INVERSIONES FCI]])</f>
        <v>2861753822.3201485</v>
      </c>
      <c r="BY199" s="5">
        <f>IF($B198&lt;=Tabla5[[#This Row],[INVERSIONES FCI]],+Tabla5[[#This Row],[INVERSIONES FCI]]-BY198,Tabla5[[#This Row],[INVERSIONES FCI]])</f>
        <v>2861753822.3201485</v>
      </c>
      <c r="BZ199" s="5">
        <f>IF($B198&lt;=Tabla5[[#This Row],[INVERSIONES FCI]],+Tabla5[[#This Row],[INVERSIONES FCI]]-BZ198,Tabla5[[#This Row],[INVERSIONES FCI]])</f>
        <v>2861753822.3201485</v>
      </c>
      <c r="CA199" s="5">
        <f>IF($B198&lt;=Tabla5[[#This Row],[INVERSIONES FCI]],+Tabla5[[#This Row],[INVERSIONES FCI]]-CA198,Tabla5[[#This Row],[INVERSIONES FCI]])</f>
        <v>2861753822.3201485</v>
      </c>
      <c r="CB199" s="5">
        <f>IF($B198&lt;=Tabla5[[#This Row],[INVERSIONES FCI]],+Tabla5[[#This Row],[INVERSIONES FCI]]-CB198,Tabla5[[#This Row],[INVERSIONES FCI]])</f>
        <v>2861753822.3201485</v>
      </c>
      <c r="CC199" s="5">
        <f>IF($B198&lt;=Tabla5[[#This Row],[INVERSIONES FCI]],+Tabla5[[#This Row],[INVERSIONES FCI]]-CC198,Tabla5[[#This Row],[INVERSIONES FCI]])</f>
        <v>2861753822.3201485</v>
      </c>
      <c r="CD199" s="5">
        <f>IF($B198&lt;=Tabla5[[#This Row],[INVERSIONES FCI]],+Tabla5[[#This Row],[INVERSIONES FCI]]-CD198,Tabla5[[#This Row],[INVERSIONES FCI]])</f>
        <v>2861753822.3201485</v>
      </c>
      <c r="CE199" s="5">
        <f>IF($B198&lt;=Tabla5[[#This Row],[INVERSIONES FCI]],+Tabla5[[#This Row],[INVERSIONES FCI]]-CE198,Tabla5[[#This Row],[INVERSIONES FCI]])</f>
        <v>2861753822.3201485</v>
      </c>
      <c r="CF199" s="5">
        <f>IF($B198&lt;=Tabla5[[#This Row],[INVERSIONES FCI]],+Tabla5[[#This Row],[INVERSIONES FCI]]-CF198,Tabla5[[#This Row],[INVERSIONES FCI]])</f>
        <v>2861753822.3201485</v>
      </c>
      <c r="CG199" s="5">
        <f>IF($B198&lt;=Tabla5[[#This Row],[INVERSIONES FCI]],+Tabla5[[#This Row],[INVERSIONES FCI]]-CG198,Tabla5[[#This Row],[INVERSIONES FCI]])</f>
        <v>2861753822.3201485</v>
      </c>
      <c r="CH199" s="5">
        <f>IF($B198&lt;=Tabla5[[#This Row],[INVERSIONES FCI]],+Tabla5[[#This Row],[INVERSIONES FCI]]-CH198,Tabla5[[#This Row],[INVERSIONES FCI]])</f>
        <v>2861753822.3201485</v>
      </c>
      <c r="CI199" s="5">
        <f>IF($B198&lt;=Tabla5[[#This Row],[INVERSIONES FCI]],+Tabla5[[#This Row],[INVERSIONES FCI]]-CI198,Tabla5[[#This Row],[INVERSIONES FCI]])</f>
        <v>2861753822.3201485</v>
      </c>
      <c r="CJ199" s="5">
        <f>IF($B198&lt;=Tabla5[[#This Row],[INVERSIONES FCI]],+Tabla5[[#This Row],[INVERSIONES FCI]]-CJ198,Tabla5[[#This Row],[INVERSIONES FCI]])</f>
        <v>2861753822.3201485</v>
      </c>
      <c r="CK199" s="5">
        <f>IF($B198&lt;=Tabla5[[#This Row],[INVERSIONES FCI]],+Tabla5[[#This Row],[INVERSIONES FCI]]-CK198,Tabla5[[#This Row],[INVERSIONES FCI]])</f>
        <v>2861753822.3201485</v>
      </c>
      <c r="CL199" s="5">
        <f>IF($B198&lt;=Tabla5[[#This Row],[INVERSIONES FCI]],+Tabla5[[#This Row],[INVERSIONES FCI]]-CL198,Tabla5[[#This Row],[INVERSIONES FCI]])</f>
        <v>2861753822.3201485</v>
      </c>
      <c r="CM199" s="5">
        <f>IF($B198&lt;=Tabla5[[#This Row],[INVERSIONES FCI]],+Tabla5[[#This Row],[INVERSIONES FCI]]-CM198,Tabla5[[#This Row],[INVERSIONES FCI]])</f>
        <v>2861753822.3201485</v>
      </c>
      <c r="CN199" s="5">
        <f>IF($B198&lt;=Tabla5[[#This Row],[INVERSIONES FCI]],+Tabla5[[#This Row],[INVERSIONES FCI]]-CN198,Tabla5[[#This Row],[INVERSIONES FCI]])</f>
        <v>2861753822.3201485</v>
      </c>
      <c r="CO199" s="5">
        <f>IF($B198&lt;=Tabla5[[#This Row],[INVERSIONES FCI]],+Tabla5[[#This Row],[INVERSIONES FCI]]-CO198,Tabla5[[#This Row],[INVERSIONES FCI]])</f>
        <v>2861753822.3201485</v>
      </c>
      <c r="CP199" s="5">
        <f>IF($B198&lt;=Tabla5[[#This Row],[INVERSIONES FCI]],+Tabla5[[#This Row],[INVERSIONES FCI]]-CP198,Tabla5[[#This Row],[INVERSIONES FCI]])</f>
        <v>2861753822.3201485</v>
      </c>
      <c r="CQ199" s="5">
        <f>IF($B198&lt;=Tabla5[[#This Row],[INVERSIONES FCI]],+Tabla5[[#This Row],[INVERSIONES FCI]]-CQ198,Tabla5[[#This Row],[INVERSIONES FCI]])</f>
        <v>2861753822.3201485</v>
      </c>
      <c r="CR199" s="5">
        <f>IF($B198&lt;=Tabla5[[#This Row],[INVERSIONES FCI]],+Tabla5[[#This Row],[INVERSIONES FCI]]-CR198,Tabla5[[#This Row],[INVERSIONES FCI]])</f>
        <v>2861753822.3201485</v>
      </c>
      <c r="CS199" s="5">
        <f>IF($B198&lt;=Tabla5[[#This Row],[INVERSIONES FCI]],+Tabla5[[#This Row],[INVERSIONES FCI]]-CS198,Tabla5[[#This Row],[INVERSIONES FCI]])</f>
        <v>2861753822.3201485</v>
      </c>
      <c r="CT199" s="5">
        <f>IF($B198&lt;=Tabla5[[#This Row],[INVERSIONES FCI]],+Tabla5[[#This Row],[INVERSIONES FCI]]-CT198,Tabla5[[#This Row],[INVERSIONES FCI]])</f>
        <v>2861753822.3201485</v>
      </c>
      <c r="CU199" s="5">
        <f>IF($B198&lt;=Tabla5[[#This Row],[INVERSIONES FCI]],+Tabla5[[#This Row],[INVERSIONES FCI]]-CU198,Tabla5[[#This Row],[INVERSIONES FCI]])</f>
        <v>2861753822.3201485</v>
      </c>
      <c r="CV199" s="5">
        <f>IF($B198&lt;=Tabla5[[#This Row],[INVERSIONES FCI]],+Tabla5[[#This Row],[INVERSIONES FCI]]-CV198,Tabla5[[#This Row],[INVERSIONES FCI]])</f>
        <v>2861753822.3201485</v>
      </c>
      <c r="CW199" s="5">
        <f>IF($B198&lt;=Tabla5[[#This Row],[INVERSIONES FCI]],+Tabla5[[#This Row],[INVERSIONES FCI]]-CW198,Tabla5[[#This Row],[INVERSIONES FCI]])</f>
        <v>2861753822.3201485</v>
      </c>
      <c r="CX199" s="5">
        <f>IF($B198&lt;=Tabla5[[#This Row],[INVERSIONES FCI]],+Tabla5[[#This Row],[INVERSIONES FCI]]-CX198,Tabla5[[#This Row],[INVERSIONES FCI]])</f>
        <v>2861753822.3201485</v>
      </c>
      <c r="CY199" s="5">
        <f>IF($B198&lt;=Tabla5[[#This Row],[INVERSIONES FCI]],+Tabla5[[#This Row],[INVERSIONES FCI]]-CY198,Tabla5[[#This Row],[INVERSIONES FCI]])</f>
        <v>2861753822.3201485</v>
      </c>
      <c r="CZ199" s="5">
        <f>IF($B198&lt;=Tabla5[[#This Row],[INVERSIONES FCI]],+Tabla5[[#This Row],[INVERSIONES FCI]]-CZ198,Tabla5[[#This Row],[INVERSIONES FCI]])</f>
        <v>2861753822.3201485</v>
      </c>
      <c r="DA199" s="5">
        <f>IF($B198&lt;=Tabla5[[#This Row],[INVERSIONES FCI]],+Tabla5[[#This Row],[INVERSIONES FCI]]-DA198,Tabla5[[#This Row],[INVERSIONES FCI]])</f>
        <v>2861753822.3201485</v>
      </c>
      <c r="DB199" s="5">
        <f>IF($B198&lt;=Tabla5[[#This Row],[INVERSIONES FCI]],+Tabla5[[#This Row],[INVERSIONES FCI]]-DB198,Tabla5[[#This Row],[INVERSIONES FCI]])</f>
        <v>2861753822.3201485</v>
      </c>
      <c r="DC199" s="5">
        <f>IF($B198&lt;=Tabla5[[#This Row],[INVERSIONES FCI]],+Tabla5[[#This Row],[INVERSIONES FCI]]-DC198,Tabla5[[#This Row],[INVERSIONES FCI]])</f>
        <v>2861753822.3201485</v>
      </c>
      <c r="DD199" s="5">
        <f>IF($B198&lt;=Tabla5[[#This Row],[INVERSIONES FCI]],+Tabla5[[#This Row],[INVERSIONES FCI]]-DD198,Tabla5[[#This Row],[INVERSIONES FCI]])</f>
        <v>2861753822.3201485</v>
      </c>
      <c r="DE199" s="5">
        <f>IF($B198&lt;=Tabla5[[#This Row],[INVERSIONES FCI]],+Tabla5[[#This Row],[INVERSIONES FCI]]-DE198,Tabla5[[#This Row],[INVERSIONES FCI]])</f>
        <v>2861753822.3201485</v>
      </c>
      <c r="DF199" s="5">
        <f>IF($B198&lt;=Tabla5[[#This Row],[INVERSIONES FCI]],+Tabla5[[#This Row],[INVERSIONES FCI]]-DF198,Tabla5[[#This Row],[INVERSIONES FCI]])</f>
        <v>2861753822.3201485</v>
      </c>
      <c r="DG199" s="5">
        <f>IF($B198&lt;=Tabla5[[#This Row],[INVERSIONES FCI]],+Tabla5[[#This Row],[INVERSIONES FCI]]-DG198,Tabla5[[#This Row],[INVERSIONES FCI]])</f>
        <v>2861753822.3201485</v>
      </c>
      <c r="DH199" s="5">
        <f>IF($B198&lt;=Tabla5[[#This Row],[INVERSIONES FCI]],+Tabla5[[#This Row],[INVERSIONES FCI]]-DH198,Tabla5[[#This Row],[INVERSIONES FCI]])</f>
        <v>2861753822.3201485</v>
      </c>
      <c r="DI199" s="5">
        <f>IF($B198&lt;=Tabla5[[#This Row],[INVERSIONES FCI]],+Tabla5[[#This Row],[INVERSIONES FCI]]-DI198,Tabla5[[#This Row],[INVERSIONES FCI]])</f>
        <v>2861753822.3201485</v>
      </c>
      <c r="DJ199" s="5">
        <f>IF($B198&lt;=Tabla5[[#This Row],[INVERSIONES FCI]],+Tabla5[[#This Row],[INVERSIONES FCI]]-DJ198,Tabla5[[#This Row],[INVERSIONES FCI]])</f>
        <v>2861753822.3201485</v>
      </c>
      <c r="DK199" s="5">
        <f>IF($B198&lt;=Tabla5[[#This Row],[INVERSIONES FCI]],+Tabla5[[#This Row],[INVERSIONES FCI]]-DK198,Tabla5[[#This Row],[INVERSIONES FCI]])</f>
        <v>2861753822.3201485</v>
      </c>
      <c r="DL199" s="5"/>
      <c r="DM199" s="5"/>
      <c r="DN199" s="5"/>
      <c r="DO199" s="5"/>
      <c r="DP199" s="5"/>
      <c r="DQ199" s="5"/>
    </row>
    <row r="200" spans="1:121" ht="14.4">
      <c r="A200" s="12" t="s">
        <v>199</v>
      </c>
      <c r="B200" s="5">
        <f>HLOOKUP($A200,ESCENARIO[#All],7,FALSE)</f>
        <v>37520466220.033966</v>
      </c>
      <c r="C200" s="5">
        <f>IF($B199&lt;=Tabla5[[#This Row],[INVERSIONES FCI]],+Tabla5[[#This Row],[INVERSIONES FCI]]-C199,Tabla5[[#This Row],[INVERSIONES FCI]])</f>
        <v>34658712397.713821</v>
      </c>
      <c r="D200" s="5">
        <f>IF($B199&lt;=Tabla5[[#This Row],[INVERSIONES FCI]],+Tabla5[[#This Row],[INVERSIONES FCI]]-D199,Tabla5[[#This Row],[INVERSIONES FCI]])</f>
        <v>34658712397.713821</v>
      </c>
      <c r="E200" s="5">
        <f>IF($B199&lt;=Tabla5[[#This Row],[INVERSIONES FCI]],+Tabla5[[#This Row],[INVERSIONES FCI]]-E199,Tabla5[[#This Row],[INVERSIONES FCI]])</f>
        <v>34658712397.713821</v>
      </c>
      <c r="F200" s="5">
        <f>IF($B199&lt;=Tabla5[[#This Row],[INVERSIONES FCI]],+Tabla5[[#This Row],[INVERSIONES FCI]]-F199,Tabla5[[#This Row],[INVERSIONES FCI]])</f>
        <v>34658712397.713821</v>
      </c>
      <c r="G200" s="5">
        <f>IF($B199&lt;=Tabla5[[#This Row],[INVERSIONES FCI]],+Tabla5[[#This Row],[INVERSIONES FCI]]-G199,Tabla5[[#This Row],[INVERSIONES FCI]])</f>
        <v>34658712397.713821</v>
      </c>
      <c r="H200" s="5">
        <f>IF($B199&lt;=Tabla5[[#This Row],[INVERSIONES FCI]],+Tabla5[[#This Row],[INVERSIONES FCI]]-H199,Tabla5[[#This Row],[INVERSIONES FCI]])</f>
        <v>34658712397.713821</v>
      </c>
      <c r="I200" s="5">
        <f>IF($B199&lt;=Tabla5[[#This Row],[INVERSIONES FCI]],+Tabla5[[#This Row],[INVERSIONES FCI]]-I199,Tabla5[[#This Row],[INVERSIONES FCI]])</f>
        <v>34658712397.713821</v>
      </c>
      <c r="J200" s="5">
        <f>IF($B199&lt;=Tabla5[[#This Row],[INVERSIONES FCI]],+Tabla5[[#This Row],[INVERSIONES FCI]]-J199,Tabla5[[#This Row],[INVERSIONES FCI]])</f>
        <v>34658712397.713821</v>
      </c>
      <c r="K200" s="5">
        <f>IF($B199&lt;=Tabla5[[#This Row],[INVERSIONES FCI]],+Tabla5[[#This Row],[INVERSIONES FCI]]-K199,Tabla5[[#This Row],[INVERSIONES FCI]])</f>
        <v>34658712397.713821</v>
      </c>
      <c r="L200" s="5">
        <f>IF($B199&lt;=Tabla5[[#This Row],[INVERSIONES FCI]],+Tabla5[[#This Row],[INVERSIONES FCI]]-L199,Tabla5[[#This Row],[INVERSIONES FCI]])</f>
        <v>34658712397.713821</v>
      </c>
      <c r="M200" s="5">
        <f>IF($B199&lt;=Tabla5[[#This Row],[INVERSIONES FCI]],+Tabla5[[#This Row],[INVERSIONES FCI]]-M199,Tabla5[[#This Row],[INVERSIONES FCI]])</f>
        <v>34658712397.713821</v>
      </c>
      <c r="N200" s="5">
        <f>IF($B199&lt;=Tabla5[[#This Row],[INVERSIONES FCI]],+Tabla5[[#This Row],[INVERSIONES FCI]]-N199,Tabla5[[#This Row],[INVERSIONES FCI]])</f>
        <v>34658712397.713821</v>
      </c>
      <c r="O200" s="5">
        <f>IF($B199&lt;=Tabla5[[#This Row],[INVERSIONES FCI]],+Tabla5[[#This Row],[INVERSIONES FCI]]-O199,Tabla5[[#This Row],[INVERSIONES FCI]])</f>
        <v>34658712397.713821</v>
      </c>
      <c r="P200" s="5">
        <f>IF($B199&lt;=Tabla5[[#This Row],[INVERSIONES FCI]],+Tabla5[[#This Row],[INVERSIONES FCI]]-P199,Tabla5[[#This Row],[INVERSIONES FCI]])</f>
        <v>34658712397.713821</v>
      </c>
      <c r="Q200" s="5">
        <f>IF($B199&lt;=Tabla5[[#This Row],[INVERSIONES FCI]],+Tabla5[[#This Row],[INVERSIONES FCI]]-Q199,Tabla5[[#This Row],[INVERSIONES FCI]])</f>
        <v>34658712397.713821</v>
      </c>
      <c r="R200" s="5">
        <f>IF($B199&lt;=Tabla5[[#This Row],[INVERSIONES FCI]],+Tabla5[[#This Row],[INVERSIONES FCI]]-R199,Tabla5[[#This Row],[INVERSIONES FCI]])</f>
        <v>34658712397.713821</v>
      </c>
      <c r="S200" s="5">
        <f>IF($B199&lt;=Tabla5[[#This Row],[INVERSIONES FCI]],+Tabla5[[#This Row],[INVERSIONES FCI]]-S199,Tabla5[[#This Row],[INVERSIONES FCI]])</f>
        <v>34658712397.713821</v>
      </c>
      <c r="T200" s="5">
        <f>IF($B199&lt;=Tabla5[[#This Row],[INVERSIONES FCI]],+Tabla5[[#This Row],[INVERSIONES FCI]]-T199,Tabla5[[#This Row],[INVERSIONES FCI]])</f>
        <v>34658712397.713821</v>
      </c>
      <c r="U200" s="5">
        <f>IF($B199&lt;=Tabla5[[#This Row],[INVERSIONES FCI]],+Tabla5[[#This Row],[INVERSIONES FCI]]-U199,Tabla5[[#This Row],[INVERSIONES FCI]])</f>
        <v>34658712397.713821</v>
      </c>
      <c r="V200" s="5">
        <f>IF($B199&lt;=Tabla5[[#This Row],[INVERSIONES FCI]],+Tabla5[[#This Row],[INVERSIONES FCI]]-V199,Tabla5[[#This Row],[INVERSIONES FCI]])</f>
        <v>34658712397.713821</v>
      </c>
      <c r="W200" s="5">
        <f>IF($B199&lt;=Tabla5[[#This Row],[INVERSIONES FCI]],+Tabla5[[#This Row],[INVERSIONES FCI]]-W199,Tabla5[[#This Row],[INVERSIONES FCI]])</f>
        <v>34658712397.713821</v>
      </c>
      <c r="X200" s="5">
        <f>IF($B199&lt;=Tabla5[[#This Row],[INVERSIONES FCI]],+Tabla5[[#This Row],[INVERSIONES FCI]]-X199,Tabla5[[#This Row],[INVERSIONES FCI]])</f>
        <v>34658712397.713821</v>
      </c>
      <c r="Y200" s="5">
        <f>IF($B199&lt;=Tabla5[[#This Row],[INVERSIONES FCI]],+Tabla5[[#This Row],[INVERSIONES FCI]]-Y199,Tabla5[[#This Row],[INVERSIONES FCI]])</f>
        <v>34658712397.713821</v>
      </c>
      <c r="Z200" s="5">
        <f>IF($B199&lt;=Tabla5[[#This Row],[INVERSIONES FCI]],+Tabla5[[#This Row],[INVERSIONES FCI]]-Z199,Tabla5[[#This Row],[INVERSIONES FCI]])</f>
        <v>34658712397.713821</v>
      </c>
      <c r="AA200" s="5">
        <f>IF($B199&lt;=Tabla5[[#This Row],[INVERSIONES FCI]],+Tabla5[[#This Row],[INVERSIONES FCI]]-AA199,Tabla5[[#This Row],[INVERSIONES FCI]])</f>
        <v>34658712397.713821</v>
      </c>
      <c r="AB200" s="5">
        <f>IF($B199&lt;=Tabla5[[#This Row],[INVERSIONES FCI]],+Tabla5[[#This Row],[INVERSIONES FCI]]-AB199,Tabla5[[#This Row],[INVERSIONES FCI]])</f>
        <v>34658712397.713821</v>
      </c>
      <c r="AC200" s="5">
        <f>IF($B199&lt;=Tabla5[[#This Row],[INVERSIONES FCI]],+Tabla5[[#This Row],[INVERSIONES FCI]]-AC199,Tabla5[[#This Row],[INVERSIONES FCI]])</f>
        <v>34658712397.713821</v>
      </c>
      <c r="AD200" s="5">
        <f>IF($B199&lt;=Tabla5[[#This Row],[INVERSIONES FCI]],+Tabla5[[#This Row],[INVERSIONES FCI]]-AD199,Tabla5[[#This Row],[INVERSIONES FCI]])</f>
        <v>34658712397.713821</v>
      </c>
      <c r="AE200" s="5">
        <f>IF($B199&lt;=Tabla5[[#This Row],[INVERSIONES FCI]],+Tabla5[[#This Row],[INVERSIONES FCI]]-AE199,Tabla5[[#This Row],[INVERSIONES FCI]])</f>
        <v>34658712397.713821</v>
      </c>
      <c r="AF200" s="5">
        <f>IF($B199&lt;=Tabla5[[#This Row],[INVERSIONES FCI]],+Tabla5[[#This Row],[INVERSIONES FCI]]-AF199,Tabla5[[#This Row],[INVERSIONES FCI]])</f>
        <v>34658712397.713821</v>
      </c>
      <c r="AG200" s="5">
        <f>IF($B199&lt;=Tabla5[[#This Row],[INVERSIONES FCI]],+Tabla5[[#This Row],[INVERSIONES FCI]]-AG199,Tabla5[[#This Row],[INVERSIONES FCI]])</f>
        <v>34658712397.713821</v>
      </c>
      <c r="AH200" s="5">
        <f>IF($B199&lt;=Tabla5[[#This Row],[INVERSIONES FCI]],+Tabla5[[#This Row],[INVERSIONES FCI]]-AH199,Tabla5[[#This Row],[INVERSIONES FCI]])</f>
        <v>34658712397.713821</v>
      </c>
      <c r="AI200" s="5">
        <f>IF($B199&lt;=Tabla5[[#This Row],[INVERSIONES FCI]],+Tabla5[[#This Row],[INVERSIONES FCI]]-AI199,Tabla5[[#This Row],[INVERSIONES FCI]])</f>
        <v>34658712397.713821</v>
      </c>
      <c r="AJ200" s="5">
        <f>IF($B199&lt;=Tabla5[[#This Row],[INVERSIONES FCI]],+Tabla5[[#This Row],[INVERSIONES FCI]]-AJ199,Tabla5[[#This Row],[INVERSIONES FCI]])</f>
        <v>34658712397.713821</v>
      </c>
      <c r="AK200" s="5">
        <f>IF($B199&lt;=Tabla5[[#This Row],[INVERSIONES FCI]],+Tabla5[[#This Row],[INVERSIONES FCI]]-AK199,Tabla5[[#This Row],[INVERSIONES FCI]])</f>
        <v>34658712397.713821</v>
      </c>
      <c r="AL200" s="5">
        <f>IF($B199&lt;=Tabla5[[#This Row],[INVERSIONES FCI]],+Tabla5[[#This Row],[INVERSIONES FCI]]-AL199,Tabla5[[#This Row],[INVERSIONES FCI]])</f>
        <v>34658712397.713821</v>
      </c>
      <c r="AM200" s="5">
        <f>IF($B199&lt;=Tabla5[[#This Row],[INVERSIONES FCI]],+Tabla5[[#This Row],[INVERSIONES FCI]]-AM199,Tabla5[[#This Row],[INVERSIONES FCI]])</f>
        <v>34658712397.713821</v>
      </c>
      <c r="AN200" s="5">
        <f>IF($B199&lt;=Tabla5[[#This Row],[INVERSIONES FCI]],+Tabla5[[#This Row],[INVERSIONES FCI]]-AN199,Tabla5[[#This Row],[INVERSIONES FCI]])</f>
        <v>34658712397.713821</v>
      </c>
      <c r="AO200" s="5">
        <f>IF($B199&lt;=Tabla5[[#This Row],[INVERSIONES FCI]],+Tabla5[[#This Row],[INVERSIONES FCI]]-AO199,Tabla5[[#This Row],[INVERSIONES FCI]])</f>
        <v>34658712397.713821</v>
      </c>
      <c r="AP200" s="5">
        <f>IF($B199&lt;=Tabla5[[#This Row],[INVERSIONES FCI]],+Tabla5[[#This Row],[INVERSIONES FCI]]-AP199,Tabla5[[#This Row],[INVERSIONES FCI]])</f>
        <v>34658712397.713821</v>
      </c>
      <c r="AQ200" s="5">
        <f>IF($B199&lt;=Tabla5[[#This Row],[INVERSIONES FCI]],+Tabla5[[#This Row],[INVERSIONES FCI]]-AQ199,Tabla5[[#This Row],[INVERSIONES FCI]])</f>
        <v>34658712397.713821</v>
      </c>
      <c r="AR200" s="5">
        <f>IF($B199&lt;=Tabla5[[#This Row],[INVERSIONES FCI]],+Tabla5[[#This Row],[INVERSIONES FCI]]-AR199,Tabla5[[#This Row],[INVERSIONES FCI]])</f>
        <v>34658712397.713821</v>
      </c>
      <c r="AS200" s="5">
        <f>IF($B199&lt;=Tabla5[[#This Row],[INVERSIONES FCI]],+Tabla5[[#This Row],[INVERSIONES FCI]]-AS199,Tabla5[[#This Row],[INVERSIONES FCI]])</f>
        <v>34658712397.713821</v>
      </c>
      <c r="AT200" s="5">
        <f>IF($B199&lt;=Tabla5[[#This Row],[INVERSIONES FCI]],+Tabla5[[#This Row],[INVERSIONES FCI]]-AT199,Tabla5[[#This Row],[INVERSIONES FCI]])</f>
        <v>34658712397.713821</v>
      </c>
      <c r="AU200" s="5">
        <f>IF($B199&lt;=Tabla5[[#This Row],[INVERSIONES FCI]],+Tabla5[[#This Row],[INVERSIONES FCI]]-AU199,Tabla5[[#This Row],[INVERSIONES FCI]])</f>
        <v>34658712397.713821</v>
      </c>
      <c r="AV200" s="5">
        <f>IF($B199&lt;=Tabla5[[#This Row],[INVERSIONES FCI]],+Tabla5[[#This Row],[INVERSIONES FCI]]-AV199,Tabla5[[#This Row],[INVERSIONES FCI]])</f>
        <v>34658712397.713821</v>
      </c>
      <c r="AW200" s="5">
        <f>IF($B199&lt;=Tabla5[[#This Row],[INVERSIONES FCI]],+Tabla5[[#This Row],[INVERSIONES FCI]]-AW199,Tabla5[[#This Row],[INVERSIONES FCI]])</f>
        <v>34658712397.713821</v>
      </c>
      <c r="AX200" s="5">
        <f>IF($B199&lt;=Tabla5[[#This Row],[INVERSIONES FCI]],+Tabla5[[#This Row],[INVERSIONES FCI]]-AX199,Tabla5[[#This Row],[INVERSIONES FCI]])</f>
        <v>34658712397.713821</v>
      </c>
      <c r="AY200" s="5">
        <f>IF($B199&lt;=Tabla5[[#This Row],[INVERSIONES FCI]],+Tabla5[[#This Row],[INVERSIONES FCI]]-AY199,Tabla5[[#This Row],[INVERSIONES FCI]])</f>
        <v>34658712397.713821</v>
      </c>
      <c r="AZ200" s="5">
        <f>IF($B199&lt;=Tabla5[[#This Row],[INVERSIONES FCI]],+Tabla5[[#This Row],[INVERSIONES FCI]]-AZ199,Tabla5[[#This Row],[INVERSIONES FCI]])</f>
        <v>34658712397.713821</v>
      </c>
      <c r="BA200" s="5">
        <f>IF($B199&lt;=Tabla5[[#This Row],[INVERSIONES FCI]],+Tabla5[[#This Row],[INVERSIONES FCI]]-BA199,Tabla5[[#This Row],[INVERSIONES FCI]])</f>
        <v>34658712397.713821</v>
      </c>
      <c r="BB200" s="5">
        <f>IF($B199&lt;=Tabla5[[#This Row],[INVERSIONES FCI]],+Tabla5[[#This Row],[INVERSIONES FCI]]-BB199,Tabla5[[#This Row],[INVERSIONES FCI]])</f>
        <v>34658712397.713821</v>
      </c>
      <c r="BC200" s="5">
        <f>IF($B199&lt;=Tabla5[[#This Row],[INVERSIONES FCI]],+Tabla5[[#This Row],[INVERSIONES FCI]]-BC199,Tabla5[[#This Row],[INVERSIONES FCI]])</f>
        <v>34658712397.713821</v>
      </c>
      <c r="BD200" s="5">
        <f>IF($B199&lt;=Tabla5[[#This Row],[INVERSIONES FCI]],+Tabla5[[#This Row],[INVERSIONES FCI]]-BD199,Tabla5[[#This Row],[INVERSIONES FCI]])</f>
        <v>34658712397.713821</v>
      </c>
      <c r="BE200" s="5">
        <f>IF($B199&lt;=Tabla5[[#This Row],[INVERSIONES FCI]],+Tabla5[[#This Row],[INVERSIONES FCI]]-BE199,Tabla5[[#This Row],[INVERSIONES FCI]])</f>
        <v>34658712397.713821</v>
      </c>
      <c r="BF200" s="5">
        <f>IF($B199&lt;=Tabla5[[#This Row],[INVERSIONES FCI]],+Tabla5[[#This Row],[INVERSIONES FCI]]-BF199,Tabla5[[#This Row],[INVERSIONES FCI]])</f>
        <v>34658712397.713821</v>
      </c>
      <c r="BG200" s="5">
        <f>IF($B199&lt;=Tabla5[[#This Row],[INVERSIONES FCI]],+Tabla5[[#This Row],[INVERSIONES FCI]]-BG199,Tabla5[[#This Row],[INVERSIONES FCI]])</f>
        <v>34658712397.713821</v>
      </c>
      <c r="BH200" s="5">
        <f>IF($B199&lt;=Tabla5[[#This Row],[INVERSIONES FCI]],+Tabla5[[#This Row],[INVERSIONES FCI]]-BH199,Tabla5[[#This Row],[INVERSIONES FCI]])</f>
        <v>34658712397.713821</v>
      </c>
      <c r="BI200" s="5">
        <f>IF($B199&lt;=Tabla5[[#This Row],[INVERSIONES FCI]],+Tabla5[[#This Row],[INVERSIONES FCI]]-BI199,Tabla5[[#This Row],[INVERSIONES FCI]])</f>
        <v>34658712397.713821</v>
      </c>
      <c r="BJ200" s="5">
        <f>IF($B199&lt;=Tabla5[[#This Row],[INVERSIONES FCI]],+Tabla5[[#This Row],[INVERSIONES FCI]]-BJ199,Tabla5[[#This Row],[INVERSIONES FCI]])</f>
        <v>34658712397.713821</v>
      </c>
      <c r="BK200" s="5">
        <f>IF($B199&lt;=Tabla5[[#This Row],[INVERSIONES FCI]],+Tabla5[[#This Row],[INVERSIONES FCI]]-BK199,Tabla5[[#This Row],[INVERSIONES FCI]])</f>
        <v>34658712397.713821</v>
      </c>
      <c r="BL200" s="5">
        <f>IF($B199&lt;=Tabla5[[#This Row],[INVERSIONES FCI]],+Tabla5[[#This Row],[INVERSIONES FCI]]-BL199,Tabla5[[#This Row],[INVERSIONES FCI]])</f>
        <v>34658712397.713821</v>
      </c>
      <c r="BM200" s="5">
        <f>IF($B199&lt;=Tabla5[[#This Row],[INVERSIONES FCI]],+Tabla5[[#This Row],[INVERSIONES FCI]]-BM199,Tabla5[[#This Row],[INVERSIONES FCI]])</f>
        <v>34658712397.713821</v>
      </c>
      <c r="BN200" s="5">
        <f>IF($B199&lt;=Tabla5[[#This Row],[INVERSIONES FCI]],+Tabla5[[#This Row],[INVERSIONES FCI]]-BN199,Tabla5[[#This Row],[INVERSIONES FCI]])</f>
        <v>34658712397.713821</v>
      </c>
      <c r="BO200" s="5">
        <f>IF($B199&lt;=Tabla5[[#This Row],[INVERSIONES FCI]],+Tabla5[[#This Row],[INVERSIONES FCI]]-BO199,Tabla5[[#This Row],[INVERSIONES FCI]])</f>
        <v>34658712397.713821</v>
      </c>
      <c r="BP200" s="5">
        <f>IF($B199&lt;=Tabla5[[#This Row],[INVERSIONES FCI]],+Tabla5[[#This Row],[INVERSIONES FCI]]-BP199,Tabla5[[#This Row],[INVERSIONES FCI]])</f>
        <v>34658712397.713821</v>
      </c>
      <c r="BQ200" s="5">
        <f>IF($B199&lt;=Tabla5[[#This Row],[INVERSIONES FCI]],+Tabla5[[#This Row],[INVERSIONES FCI]]-BQ199,Tabla5[[#This Row],[INVERSIONES FCI]])</f>
        <v>34658712397.713821</v>
      </c>
      <c r="BR200" s="5">
        <f>IF($B199&lt;=Tabla5[[#This Row],[INVERSIONES FCI]],+Tabla5[[#This Row],[INVERSIONES FCI]]-BR199,Tabla5[[#This Row],[INVERSIONES FCI]])</f>
        <v>34658712397.713821</v>
      </c>
      <c r="BS200" s="5">
        <f>IF($B199&lt;=Tabla5[[#This Row],[INVERSIONES FCI]],+Tabla5[[#This Row],[INVERSIONES FCI]]-BS199,Tabla5[[#This Row],[INVERSIONES FCI]])</f>
        <v>34658712397.713821</v>
      </c>
      <c r="BT200" s="5">
        <f>IF($B199&lt;=Tabla5[[#This Row],[INVERSIONES FCI]],+Tabla5[[#This Row],[INVERSIONES FCI]]-BT199,Tabla5[[#This Row],[INVERSIONES FCI]])</f>
        <v>34658712397.713821</v>
      </c>
      <c r="BU200" s="5">
        <f>IF($B199&lt;=Tabla5[[#This Row],[INVERSIONES FCI]],+Tabla5[[#This Row],[INVERSIONES FCI]]-BU199,Tabla5[[#This Row],[INVERSIONES FCI]])</f>
        <v>34658712397.713821</v>
      </c>
      <c r="BV200" s="5">
        <f>IF($B199&lt;=Tabla5[[#This Row],[INVERSIONES FCI]],+Tabla5[[#This Row],[INVERSIONES FCI]]-BV199,Tabla5[[#This Row],[INVERSIONES FCI]])</f>
        <v>34658712397.713821</v>
      </c>
      <c r="BW200" s="5">
        <f>IF($B199&lt;=Tabla5[[#This Row],[INVERSIONES FCI]],+Tabla5[[#This Row],[INVERSIONES FCI]]-BW199,Tabla5[[#This Row],[INVERSIONES FCI]])</f>
        <v>34658712397.713821</v>
      </c>
      <c r="BX200" s="5">
        <f>IF($B199&lt;=Tabla5[[#This Row],[INVERSIONES FCI]],+Tabla5[[#This Row],[INVERSIONES FCI]]-BX199,Tabla5[[#This Row],[INVERSIONES FCI]])</f>
        <v>34658712397.713821</v>
      </c>
      <c r="BY200" s="5">
        <f>IF($B199&lt;=Tabla5[[#This Row],[INVERSIONES FCI]],+Tabla5[[#This Row],[INVERSIONES FCI]]-BY199,Tabla5[[#This Row],[INVERSIONES FCI]])</f>
        <v>34658712397.713821</v>
      </c>
      <c r="BZ200" s="5">
        <f>IF($B199&lt;=Tabla5[[#This Row],[INVERSIONES FCI]],+Tabla5[[#This Row],[INVERSIONES FCI]]-BZ199,Tabla5[[#This Row],[INVERSIONES FCI]])</f>
        <v>34658712397.713821</v>
      </c>
      <c r="CA200" s="5">
        <f>IF($B199&lt;=Tabla5[[#This Row],[INVERSIONES FCI]],+Tabla5[[#This Row],[INVERSIONES FCI]]-CA199,Tabla5[[#This Row],[INVERSIONES FCI]])</f>
        <v>34658712397.713821</v>
      </c>
      <c r="CB200" s="5">
        <f>IF($B199&lt;=Tabla5[[#This Row],[INVERSIONES FCI]],+Tabla5[[#This Row],[INVERSIONES FCI]]-CB199,Tabla5[[#This Row],[INVERSIONES FCI]])</f>
        <v>34658712397.713821</v>
      </c>
      <c r="CC200" s="5">
        <f>IF($B199&lt;=Tabla5[[#This Row],[INVERSIONES FCI]],+Tabla5[[#This Row],[INVERSIONES FCI]]-CC199,Tabla5[[#This Row],[INVERSIONES FCI]])</f>
        <v>34658712397.713821</v>
      </c>
      <c r="CD200" s="5">
        <f>IF($B199&lt;=Tabla5[[#This Row],[INVERSIONES FCI]],+Tabla5[[#This Row],[INVERSIONES FCI]]-CD199,Tabla5[[#This Row],[INVERSIONES FCI]])</f>
        <v>34658712397.713821</v>
      </c>
      <c r="CE200" s="5">
        <f>IF($B199&lt;=Tabla5[[#This Row],[INVERSIONES FCI]],+Tabla5[[#This Row],[INVERSIONES FCI]]-CE199,Tabla5[[#This Row],[INVERSIONES FCI]])</f>
        <v>34658712397.713821</v>
      </c>
      <c r="CF200" s="5">
        <f>IF($B199&lt;=Tabla5[[#This Row],[INVERSIONES FCI]],+Tabla5[[#This Row],[INVERSIONES FCI]]-CF199,Tabla5[[#This Row],[INVERSIONES FCI]])</f>
        <v>34658712397.713821</v>
      </c>
      <c r="CG200" s="5">
        <f>IF($B199&lt;=Tabla5[[#This Row],[INVERSIONES FCI]],+Tabla5[[#This Row],[INVERSIONES FCI]]-CG199,Tabla5[[#This Row],[INVERSIONES FCI]])</f>
        <v>34658712397.713821</v>
      </c>
      <c r="CH200" s="5">
        <f>IF($B199&lt;=Tabla5[[#This Row],[INVERSIONES FCI]],+Tabla5[[#This Row],[INVERSIONES FCI]]-CH199,Tabla5[[#This Row],[INVERSIONES FCI]])</f>
        <v>34658712397.713821</v>
      </c>
      <c r="CI200" s="5">
        <f>IF($B199&lt;=Tabla5[[#This Row],[INVERSIONES FCI]],+Tabla5[[#This Row],[INVERSIONES FCI]]-CI199,Tabla5[[#This Row],[INVERSIONES FCI]])</f>
        <v>34658712397.713821</v>
      </c>
      <c r="CJ200" s="5">
        <f>IF($B199&lt;=Tabla5[[#This Row],[INVERSIONES FCI]],+Tabla5[[#This Row],[INVERSIONES FCI]]-CJ199,Tabla5[[#This Row],[INVERSIONES FCI]])</f>
        <v>34658712397.713821</v>
      </c>
      <c r="CK200" s="5">
        <f>IF($B199&lt;=Tabla5[[#This Row],[INVERSIONES FCI]],+Tabla5[[#This Row],[INVERSIONES FCI]]-CK199,Tabla5[[#This Row],[INVERSIONES FCI]])</f>
        <v>34658712397.713821</v>
      </c>
      <c r="CL200" s="5">
        <f>IF($B199&lt;=Tabla5[[#This Row],[INVERSIONES FCI]],+Tabla5[[#This Row],[INVERSIONES FCI]]-CL199,Tabla5[[#This Row],[INVERSIONES FCI]])</f>
        <v>34658712397.713821</v>
      </c>
      <c r="CM200" s="5">
        <f>IF($B199&lt;=Tabla5[[#This Row],[INVERSIONES FCI]],+Tabla5[[#This Row],[INVERSIONES FCI]]-CM199,Tabla5[[#This Row],[INVERSIONES FCI]])</f>
        <v>34658712397.713821</v>
      </c>
      <c r="CN200" s="5">
        <f>IF($B199&lt;=Tabla5[[#This Row],[INVERSIONES FCI]],+Tabla5[[#This Row],[INVERSIONES FCI]]-CN199,Tabla5[[#This Row],[INVERSIONES FCI]])</f>
        <v>34658712397.713821</v>
      </c>
      <c r="CO200" s="5">
        <f>IF($B199&lt;=Tabla5[[#This Row],[INVERSIONES FCI]],+Tabla5[[#This Row],[INVERSIONES FCI]]-CO199,Tabla5[[#This Row],[INVERSIONES FCI]])</f>
        <v>34658712397.713821</v>
      </c>
      <c r="CP200" s="5">
        <f>IF($B199&lt;=Tabla5[[#This Row],[INVERSIONES FCI]],+Tabla5[[#This Row],[INVERSIONES FCI]]-CP199,Tabla5[[#This Row],[INVERSIONES FCI]])</f>
        <v>34658712397.713821</v>
      </c>
      <c r="CQ200" s="5">
        <f>IF($B199&lt;=Tabla5[[#This Row],[INVERSIONES FCI]],+Tabla5[[#This Row],[INVERSIONES FCI]]-CQ199,Tabla5[[#This Row],[INVERSIONES FCI]])</f>
        <v>34658712397.713821</v>
      </c>
      <c r="CR200" s="5">
        <f>IF($B199&lt;=Tabla5[[#This Row],[INVERSIONES FCI]],+Tabla5[[#This Row],[INVERSIONES FCI]]-CR199,Tabla5[[#This Row],[INVERSIONES FCI]])</f>
        <v>34658712397.713821</v>
      </c>
      <c r="CS200" s="5">
        <f>IF($B199&lt;=Tabla5[[#This Row],[INVERSIONES FCI]],+Tabla5[[#This Row],[INVERSIONES FCI]]-CS199,Tabla5[[#This Row],[INVERSIONES FCI]])</f>
        <v>34658712397.713821</v>
      </c>
      <c r="CT200" s="5">
        <f>IF($B199&lt;=Tabla5[[#This Row],[INVERSIONES FCI]],+Tabla5[[#This Row],[INVERSIONES FCI]]-CT199,Tabla5[[#This Row],[INVERSIONES FCI]])</f>
        <v>34658712397.713821</v>
      </c>
      <c r="CU200" s="5">
        <f>IF($B199&lt;=Tabla5[[#This Row],[INVERSIONES FCI]],+Tabla5[[#This Row],[INVERSIONES FCI]]-CU199,Tabla5[[#This Row],[INVERSIONES FCI]])</f>
        <v>34658712397.713821</v>
      </c>
      <c r="CV200" s="5">
        <f>IF($B199&lt;=Tabla5[[#This Row],[INVERSIONES FCI]],+Tabla5[[#This Row],[INVERSIONES FCI]]-CV199,Tabla5[[#This Row],[INVERSIONES FCI]])</f>
        <v>34658712397.713821</v>
      </c>
      <c r="CW200" s="5">
        <f>IF($B199&lt;=Tabla5[[#This Row],[INVERSIONES FCI]],+Tabla5[[#This Row],[INVERSIONES FCI]]-CW199,Tabla5[[#This Row],[INVERSIONES FCI]])</f>
        <v>34658712397.713821</v>
      </c>
      <c r="CX200" s="5">
        <f>IF($B199&lt;=Tabla5[[#This Row],[INVERSIONES FCI]],+Tabla5[[#This Row],[INVERSIONES FCI]]-CX199,Tabla5[[#This Row],[INVERSIONES FCI]])</f>
        <v>34658712397.713821</v>
      </c>
      <c r="CY200" s="5">
        <f>IF($B199&lt;=Tabla5[[#This Row],[INVERSIONES FCI]],+Tabla5[[#This Row],[INVERSIONES FCI]]-CY199,Tabla5[[#This Row],[INVERSIONES FCI]])</f>
        <v>34658712397.713821</v>
      </c>
      <c r="CZ200" s="5">
        <f>IF($B199&lt;=Tabla5[[#This Row],[INVERSIONES FCI]],+Tabla5[[#This Row],[INVERSIONES FCI]]-CZ199,Tabla5[[#This Row],[INVERSIONES FCI]])</f>
        <v>34658712397.713821</v>
      </c>
      <c r="DA200" s="5">
        <f>IF($B199&lt;=Tabla5[[#This Row],[INVERSIONES FCI]],+Tabla5[[#This Row],[INVERSIONES FCI]]-DA199,Tabla5[[#This Row],[INVERSIONES FCI]])</f>
        <v>34658712397.713821</v>
      </c>
      <c r="DB200" s="5">
        <f>IF($B199&lt;=Tabla5[[#This Row],[INVERSIONES FCI]],+Tabla5[[#This Row],[INVERSIONES FCI]]-DB199,Tabla5[[#This Row],[INVERSIONES FCI]])</f>
        <v>34658712397.713821</v>
      </c>
      <c r="DC200" s="5">
        <f>IF($B199&lt;=Tabla5[[#This Row],[INVERSIONES FCI]],+Tabla5[[#This Row],[INVERSIONES FCI]]-DC199,Tabla5[[#This Row],[INVERSIONES FCI]])</f>
        <v>34658712397.713821</v>
      </c>
      <c r="DD200" s="5">
        <f>IF($B199&lt;=Tabla5[[#This Row],[INVERSIONES FCI]],+Tabla5[[#This Row],[INVERSIONES FCI]]-DD199,Tabla5[[#This Row],[INVERSIONES FCI]])</f>
        <v>34658712397.713821</v>
      </c>
      <c r="DE200" s="5">
        <f>IF($B199&lt;=Tabla5[[#This Row],[INVERSIONES FCI]],+Tabla5[[#This Row],[INVERSIONES FCI]]-DE199,Tabla5[[#This Row],[INVERSIONES FCI]])</f>
        <v>34658712397.713821</v>
      </c>
      <c r="DF200" s="5">
        <f>IF($B199&lt;=Tabla5[[#This Row],[INVERSIONES FCI]],+Tabla5[[#This Row],[INVERSIONES FCI]]-DF199,Tabla5[[#This Row],[INVERSIONES FCI]])</f>
        <v>34658712397.713821</v>
      </c>
      <c r="DG200" s="5">
        <f>IF($B199&lt;=Tabla5[[#This Row],[INVERSIONES FCI]],+Tabla5[[#This Row],[INVERSIONES FCI]]-DG199,Tabla5[[#This Row],[INVERSIONES FCI]])</f>
        <v>34658712397.713821</v>
      </c>
      <c r="DH200" s="5">
        <f>IF($B199&lt;=Tabla5[[#This Row],[INVERSIONES FCI]],+Tabla5[[#This Row],[INVERSIONES FCI]]-DH199,Tabla5[[#This Row],[INVERSIONES FCI]])</f>
        <v>34658712397.713821</v>
      </c>
      <c r="DI200" s="5">
        <f>IF($B199&lt;=Tabla5[[#This Row],[INVERSIONES FCI]],+Tabla5[[#This Row],[INVERSIONES FCI]]-DI199,Tabla5[[#This Row],[INVERSIONES FCI]])</f>
        <v>34658712397.713821</v>
      </c>
      <c r="DJ200" s="5">
        <f>IF($B199&lt;=Tabla5[[#This Row],[INVERSIONES FCI]],+Tabla5[[#This Row],[INVERSIONES FCI]]-DJ199,Tabla5[[#This Row],[INVERSIONES FCI]])</f>
        <v>34658712397.713821</v>
      </c>
      <c r="DK200" s="5">
        <f>IF($B199&lt;=Tabla5[[#This Row],[INVERSIONES FCI]],+Tabla5[[#This Row],[INVERSIONES FCI]]-DK199,Tabla5[[#This Row],[INVERSIONES FCI]])</f>
        <v>34658712397.713821</v>
      </c>
      <c r="DL200" s="5"/>
      <c r="DM200" s="5"/>
      <c r="DN200" s="5"/>
      <c r="DO200" s="5"/>
      <c r="DP200" s="5"/>
      <c r="DQ200" s="5"/>
    </row>
    <row r="201" spans="1:121" ht="14.4">
      <c r="A201" s="12" t="s">
        <v>200</v>
      </c>
      <c r="B201" s="5">
        <f>HLOOKUP($A201,ESCENARIO[#All],7,FALSE)</f>
        <v>38915046262.762207</v>
      </c>
      <c r="C201" s="5">
        <f>IF($B200&lt;=Tabla5[[#This Row],[INVERSIONES FCI]],+Tabla5[[#This Row],[INVERSIONES FCI]]-C200,Tabla5[[#This Row],[INVERSIONES FCI]])</f>
        <v>4256333865.0483856</v>
      </c>
      <c r="D201" s="5">
        <f>IF($B200&lt;=Tabla5[[#This Row],[INVERSIONES FCI]],+Tabla5[[#This Row],[INVERSIONES FCI]]-D200,Tabla5[[#This Row],[INVERSIONES FCI]])</f>
        <v>4256333865.0483856</v>
      </c>
      <c r="E201" s="5">
        <f>IF($B200&lt;=Tabla5[[#This Row],[INVERSIONES FCI]],+Tabla5[[#This Row],[INVERSIONES FCI]]-E200,Tabla5[[#This Row],[INVERSIONES FCI]])</f>
        <v>4256333865.0483856</v>
      </c>
      <c r="F201" s="5">
        <f>IF($B200&lt;=Tabla5[[#This Row],[INVERSIONES FCI]],+Tabla5[[#This Row],[INVERSIONES FCI]]-F200,Tabla5[[#This Row],[INVERSIONES FCI]])</f>
        <v>4256333865.0483856</v>
      </c>
      <c r="G201" s="5">
        <f>IF($B200&lt;=Tabla5[[#This Row],[INVERSIONES FCI]],+Tabla5[[#This Row],[INVERSIONES FCI]]-G200,Tabla5[[#This Row],[INVERSIONES FCI]])</f>
        <v>4256333865.0483856</v>
      </c>
      <c r="H201" s="5">
        <f>IF($B200&lt;=Tabla5[[#This Row],[INVERSIONES FCI]],+Tabla5[[#This Row],[INVERSIONES FCI]]-H200,Tabla5[[#This Row],[INVERSIONES FCI]])</f>
        <v>4256333865.0483856</v>
      </c>
      <c r="I201" s="5">
        <f>IF($B200&lt;=Tabla5[[#This Row],[INVERSIONES FCI]],+Tabla5[[#This Row],[INVERSIONES FCI]]-I200,Tabla5[[#This Row],[INVERSIONES FCI]])</f>
        <v>4256333865.0483856</v>
      </c>
      <c r="J201" s="5">
        <f>IF($B200&lt;=Tabla5[[#This Row],[INVERSIONES FCI]],+Tabla5[[#This Row],[INVERSIONES FCI]]-J200,Tabla5[[#This Row],[INVERSIONES FCI]])</f>
        <v>4256333865.0483856</v>
      </c>
      <c r="K201" s="5">
        <f>IF($B200&lt;=Tabla5[[#This Row],[INVERSIONES FCI]],+Tabla5[[#This Row],[INVERSIONES FCI]]-K200,Tabla5[[#This Row],[INVERSIONES FCI]])</f>
        <v>4256333865.0483856</v>
      </c>
      <c r="L201" s="5">
        <f>IF($B200&lt;=Tabla5[[#This Row],[INVERSIONES FCI]],+Tabla5[[#This Row],[INVERSIONES FCI]]-L200,Tabla5[[#This Row],[INVERSIONES FCI]])</f>
        <v>4256333865.0483856</v>
      </c>
      <c r="M201" s="5">
        <f>IF($B200&lt;=Tabla5[[#This Row],[INVERSIONES FCI]],+Tabla5[[#This Row],[INVERSIONES FCI]]-M200,Tabla5[[#This Row],[INVERSIONES FCI]])</f>
        <v>4256333865.0483856</v>
      </c>
      <c r="N201" s="5">
        <f>IF($B200&lt;=Tabla5[[#This Row],[INVERSIONES FCI]],+Tabla5[[#This Row],[INVERSIONES FCI]]-N200,Tabla5[[#This Row],[INVERSIONES FCI]])</f>
        <v>4256333865.0483856</v>
      </c>
      <c r="O201" s="5">
        <f>IF($B200&lt;=Tabla5[[#This Row],[INVERSIONES FCI]],+Tabla5[[#This Row],[INVERSIONES FCI]]-O200,Tabla5[[#This Row],[INVERSIONES FCI]])</f>
        <v>4256333865.0483856</v>
      </c>
      <c r="P201" s="5">
        <f>IF($B200&lt;=Tabla5[[#This Row],[INVERSIONES FCI]],+Tabla5[[#This Row],[INVERSIONES FCI]]-P200,Tabla5[[#This Row],[INVERSIONES FCI]])</f>
        <v>4256333865.0483856</v>
      </c>
      <c r="Q201" s="5">
        <f>IF($B200&lt;=Tabla5[[#This Row],[INVERSIONES FCI]],+Tabla5[[#This Row],[INVERSIONES FCI]]-Q200,Tabla5[[#This Row],[INVERSIONES FCI]])</f>
        <v>4256333865.0483856</v>
      </c>
      <c r="R201" s="5">
        <f>IF($B200&lt;=Tabla5[[#This Row],[INVERSIONES FCI]],+Tabla5[[#This Row],[INVERSIONES FCI]]-R200,Tabla5[[#This Row],[INVERSIONES FCI]])</f>
        <v>4256333865.0483856</v>
      </c>
      <c r="S201" s="5">
        <f>IF($B200&lt;=Tabla5[[#This Row],[INVERSIONES FCI]],+Tabla5[[#This Row],[INVERSIONES FCI]]-S200,Tabla5[[#This Row],[INVERSIONES FCI]])</f>
        <v>4256333865.0483856</v>
      </c>
      <c r="T201" s="5">
        <f>IF($B200&lt;=Tabla5[[#This Row],[INVERSIONES FCI]],+Tabla5[[#This Row],[INVERSIONES FCI]]-T200,Tabla5[[#This Row],[INVERSIONES FCI]])</f>
        <v>4256333865.0483856</v>
      </c>
      <c r="U201" s="5">
        <f>IF($B200&lt;=Tabla5[[#This Row],[INVERSIONES FCI]],+Tabla5[[#This Row],[INVERSIONES FCI]]-U200,Tabla5[[#This Row],[INVERSIONES FCI]])</f>
        <v>4256333865.0483856</v>
      </c>
      <c r="V201" s="5">
        <f>IF($B200&lt;=Tabla5[[#This Row],[INVERSIONES FCI]],+Tabla5[[#This Row],[INVERSIONES FCI]]-V200,Tabla5[[#This Row],[INVERSIONES FCI]])</f>
        <v>4256333865.0483856</v>
      </c>
      <c r="W201" s="5">
        <f>IF($B200&lt;=Tabla5[[#This Row],[INVERSIONES FCI]],+Tabla5[[#This Row],[INVERSIONES FCI]]-W200,Tabla5[[#This Row],[INVERSIONES FCI]])</f>
        <v>4256333865.0483856</v>
      </c>
      <c r="X201" s="5">
        <f>IF($B200&lt;=Tabla5[[#This Row],[INVERSIONES FCI]],+Tabla5[[#This Row],[INVERSIONES FCI]]-X200,Tabla5[[#This Row],[INVERSIONES FCI]])</f>
        <v>4256333865.0483856</v>
      </c>
      <c r="Y201" s="5">
        <f>IF($B200&lt;=Tabla5[[#This Row],[INVERSIONES FCI]],+Tabla5[[#This Row],[INVERSIONES FCI]]-Y200,Tabla5[[#This Row],[INVERSIONES FCI]])</f>
        <v>4256333865.0483856</v>
      </c>
      <c r="Z201" s="5">
        <f>IF($B200&lt;=Tabla5[[#This Row],[INVERSIONES FCI]],+Tabla5[[#This Row],[INVERSIONES FCI]]-Z200,Tabla5[[#This Row],[INVERSIONES FCI]])</f>
        <v>4256333865.0483856</v>
      </c>
      <c r="AA201" s="5">
        <f>IF($B200&lt;=Tabla5[[#This Row],[INVERSIONES FCI]],+Tabla5[[#This Row],[INVERSIONES FCI]]-AA200,Tabla5[[#This Row],[INVERSIONES FCI]])</f>
        <v>4256333865.0483856</v>
      </c>
      <c r="AB201" s="5">
        <f>IF($B200&lt;=Tabla5[[#This Row],[INVERSIONES FCI]],+Tabla5[[#This Row],[INVERSIONES FCI]]-AB200,Tabla5[[#This Row],[INVERSIONES FCI]])</f>
        <v>4256333865.0483856</v>
      </c>
      <c r="AC201" s="5">
        <f>IF($B200&lt;=Tabla5[[#This Row],[INVERSIONES FCI]],+Tabla5[[#This Row],[INVERSIONES FCI]]-AC200,Tabla5[[#This Row],[INVERSIONES FCI]])</f>
        <v>4256333865.0483856</v>
      </c>
      <c r="AD201" s="5">
        <f>IF($B200&lt;=Tabla5[[#This Row],[INVERSIONES FCI]],+Tabla5[[#This Row],[INVERSIONES FCI]]-AD200,Tabla5[[#This Row],[INVERSIONES FCI]])</f>
        <v>4256333865.0483856</v>
      </c>
      <c r="AE201" s="5">
        <f>IF($B200&lt;=Tabla5[[#This Row],[INVERSIONES FCI]],+Tabla5[[#This Row],[INVERSIONES FCI]]-AE200,Tabla5[[#This Row],[INVERSIONES FCI]])</f>
        <v>4256333865.0483856</v>
      </c>
      <c r="AF201" s="5">
        <f>IF($B200&lt;=Tabla5[[#This Row],[INVERSIONES FCI]],+Tabla5[[#This Row],[INVERSIONES FCI]]-AF200,Tabla5[[#This Row],[INVERSIONES FCI]])</f>
        <v>4256333865.0483856</v>
      </c>
      <c r="AG201" s="5">
        <f>IF($B200&lt;=Tabla5[[#This Row],[INVERSIONES FCI]],+Tabla5[[#This Row],[INVERSIONES FCI]]-AG200,Tabla5[[#This Row],[INVERSIONES FCI]])</f>
        <v>4256333865.0483856</v>
      </c>
      <c r="AH201" s="5">
        <f>IF($B200&lt;=Tabla5[[#This Row],[INVERSIONES FCI]],+Tabla5[[#This Row],[INVERSIONES FCI]]-AH200,Tabla5[[#This Row],[INVERSIONES FCI]])</f>
        <v>4256333865.0483856</v>
      </c>
      <c r="AI201" s="5">
        <f>IF($B200&lt;=Tabla5[[#This Row],[INVERSIONES FCI]],+Tabla5[[#This Row],[INVERSIONES FCI]]-AI200,Tabla5[[#This Row],[INVERSIONES FCI]])</f>
        <v>4256333865.0483856</v>
      </c>
      <c r="AJ201" s="5">
        <f>IF($B200&lt;=Tabla5[[#This Row],[INVERSIONES FCI]],+Tabla5[[#This Row],[INVERSIONES FCI]]-AJ200,Tabla5[[#This Row],[INVERSIONES FCI]])</f>
        <v>4256333865.0483856</v>
      </c>
      <c r="AK201" s="5">
        <f>IF($B200&lt;=Tabla5[[#This Row],[INVERSIONES FCI]],+Tabla5[[#This Row],[INVERSIONES FCI]]-AK200,Tabla5[[#This Row],[INVERSIONES FCI]])</f>
        <v>4256333865.0483856</v>
      </c>
      <c r="AL201" s="5">
        <f>IF($B200&lt;=Tabla5[[#This Row],[INVERSIONES FCI]],+Tabla5[[#This Row],[INVERSIONES FCI]]-AL200,Tabla5[[#This Row],[INVERSIONES FCI]])</f>
        <v>4256333865.0483856</v>
      </c>
      <c r="AM201" s="5">
        <f>IF($B200&lt;=Tabla5[[#This Row],[INVERSIONES FCI]],+Tabla5[[#This Row],[INVERSIONES FCI]]-AM200,Tabla5[[#This Row],[INVERSIONES FCI]])</f>
        <v>4256333865.0483856</v>
      </c>
      <c r="AN201" s="5">
        <f>IF($B200&lt;=Tabla5[[#This Row],[INVERSIONES FCI]],+Tabla5[[#This Row],[INVERSIONES FCI]]-AN200,Tabla5[[#This Row],[INVERSIONES FCI]])</f>
        <v>4256333865.0483856</v>
      </c>
      <c r="AO201" s="5">
        <f>IF($B200&lt;=Tabla5[[#This Row],[INVERSIONES FCI]],+Tabla5[[#This Row],[INVERSIONES FCI]]-AO200,Tabla5[[#This Row],[INVERSIONES FCI]])</f>
        <v>4256333865.0483856</v>
      </c>
      <c r="AP201" s="5">
        <f>IF($B200&lt;=Tabla5[[#This Row],[INVERSIONES FCI]],+Tabla5[[#This Row],[INVERSIONES FCI]]-AP200,Tabla5[[#This Row],[INVERSIONES FCI]])</f>
        <v>4256333865.0483856</v>
      </c>
      <c r="AQ201" s="5">
        <f>IF($B200&lt;=Tabla5[[#This Row],[INVERSIONES FCI]],+Tabla5[[#This Row],[INVERSIONES FCI]]-AQ200,Tabla5[[#This Row],[INVERSIONES FCI]])</f>
        <v>4256333865.0483856</v>
      </c>
      <c r="AR201" s="5">
        <f>IF($B200&lt;=Tabla5[[#This Row],[INVERSIONES FCI]],+Tabla5[[#This Row],[INVERSIONES FCI]]-AR200,Tabla5[[#This Row],[INVERSIONES FCI]])</f>
        <v>4256333865.0483856</v>
      </c>
      <c r="AS201" s="5">
        <f>IF($B200&lt;=Tabla5[[#This Row],[INVERSIONES FCI]],+Tabla5[[#This Row],[INVERSIONES FCI]]-AS200,Tabla5[[#This Row],[INVERSIONES FCI]])</f>
        <v>4256333865.0483856</v>
      </c>
      <c r="AT201" s="5">
        <f>IF($B200&lt;=Tabla5[[#This Row],[INVERSIONES FCI]],+Tabla5[[#This Row],[INVERSIONES FCI]]-AT200,Tabla5[[#This Row],[INVERSIONES FCI]])</f>
        <v>4256333865.0483856</v>
      </c>
      <c r="AU201" s="5">
        <f>IF($B200&lt;=Tabla5[[#This Row],[INVERSIONES FCI]],+Tabla5[[#This Row],[INVERSIONES FCI]]-AU200,Tabla5[[#This Row],[INVERSIONES FCI]])</f>
        <v>4256333865.0483856</v>
      </c>
      <c r="AV201" s="5">
        <f>IF($B200&lt;=Tabla5[[#This Row],[INVERSIONES FCI]],+Tabla5[[#This Row],[INVERSIONES FCI]]-AV200,Tabla5[[#This Row],[INVERSIONES FCI]])</f>
        <v>4256333865.0483856</v>
      </c>
      <c r="AW201" s="5">
        <f>IF($B200&lt;=Tabla5[[#This Row],[INVERSIONES FCI]],+Tabla5[[#This Row],[INVERSIONES FCI]]-AW200,Tabla5[[#This Row],[INVERSIONES FCI]])</f>
        <v>4256333865.0483856</v>
      </c>
      <c r="AX201" s="5">
        <f>IF($B200&lt;=Tabla5[[#This Row],[INVERSIONES FCI]],+Tabla5[[#This Row],[INVERSIONES FCI]]-AX200,Tabla5[[#This Row],[INVERSIONES FCI]])</f>
        <v>4256333865.0483856</v>
      </c>
      <c r="AY201" s="5">
        <f>IF($B200&lt;=Tabla5[[#This Row],[INVERSIONES FCI]],+Tabla5[[#This Row],[INVERSIONES FCI]]-AY200,Tabla5[[#This Row],[INVERSIONES FCI]])</f>
        <v>4256333865.0483856</v>
      </c>
      <c r="AZ201" s="5">
        <f>IF($B200&lt;=Tabla5[[#This Row],[INVERSIONES FCI]],+Tabla5[[#This Row],[INVERSIONES FCI]]-AZ200,Tabla5[[#This Row],[INVERSIONES FCI]])</f>
        <v>4256333865.0483856</v>
      </c>
      <c r="BA201" s="5">
        <f>IF($B200&lt;=Tabla5[[#This Row],[INVERSIONES FCI]],+Tabla5[[#This Row],[INVERSIONES FCI]]-BA200,Tabla5[[#This Row],[INVERSIONES FCI]])</f>
        <v>4256333865.0483856</v>
      </c>
      <c r="BB201" s="5">
        <f>IF($B200&lt;=Tabla5[[#This Row],[INVERSIONES FCI]],+Tabla5[[#This Row],[INVERSIONES FCI]]-BB200,Tabla5[[#This Row],[INVERSIONES FCI]])</f>
        <v>4256333865.0483856</v>
      </c>
      <c r="BC201" s="5">
        <f>IF($B200&lt;=Tabla5[[#This Row],[INVERSIONES FCI]],+Tabla5[[#This Row],[INVERSIONES FCI]]-BC200,Tabla5[[#This Row],[INVERSIONES FCI]])</f>
        <v>4256333865.0483856</v>
      </c>
      <c r="BD201" s="5">
        <f>IF($B200&lt;=Tabla5[[#This Row],[INVERSIONES FCI]],+Tabla5[[#This Row],[INVERSIONES FCI]]-BD200,Tabla5[[#This Row],[INVERSIONES FCI]])</f>
        <v>4256333865.0483856</v>
      </c>
      <c r="BE201" s="5">
        <f>IF($B200&lt;=Tabla5[[#This Row],[INVERSIONES FCI]],+Tabla5[[#This Row],[INVERSIONES FCI]]-BE200,Tabla5[[#This Row],[INVERSIONES FCI]])</f>
        <v>4256333865.0483856</v>
      </c>
      <c r="BF201" s="5">
        <f>IF($B200&lt;=Tabla5[[#This Row],[INVERSIONES FCI]],+Tabla5[[#This Row],[INVERSIONES FCI]]-BF200,Tabla5[[#This Row],[INVERSIONES FCI]])</f>
        <v>4256333865.0483856</v>
      </c>
      <c r="BG201" s="5">
        <f>IF($B200&lt;=Tabla5[[#This Row],[INVERSIONES FCI]],+Tabla5[[#This Row],[INVERSIONES FCI]]-BG200,Tabla5[[#This Row],[INVERSIONES FCI]])</f>
        <v>4256333865.0483856</v>
      </c>
      <c r="BH201" s="5">
        <f>IF($B200&lt;=Tabla5[[#This Row],[INVERSIONES FCI]],+Tabla5[[#This Row],[INVERSIONES FCI]]-BH200,Tabla5[[#This Row],[INVERSIONES FCI]])</f>
        <v>4256333865.0483856</v>
      </c>
      <c r="BI201" s="5">
        <f>IF($B200&lt;=Tabla5[[#This Row],[INVERSIONES FCI]],+Tabla5[[#This Row],[INVERSIONES FCI]]-BI200,Tabla5[[#This Row],[INVERSIONES FCI]])</f>
        <v>4256333865.0483856</v>
      </c>
      <c r="BJ201" s="5">
        <f>IF($B200&lt;=Tabla5[[#This Row],[INVERSIONES FCI]],+Tabla5[[#This Row],[INVERSIONES FCI]]-BJ200,Tabla5[[#This Row],[INVERSIONES FCI]])</f>
        <v>4256333865.0483856</v>
      </c>
      <c r="BK201" s="5">
        <f>IF($B200&lt;=Tabla5[[#This Row],[INVERSIONES FCI]],+Tabla5[[#This Row],[INVERSIONES FCI]]-BK200,Tabla5[[#This Row],[INVERSIONES FCI]])</f>
        <v>4256333865.0483856</v>
      </c>
      <c r="BL201" s="5">
        <f>IF($B200&lt;=Tabla5[[#This Row],[INVERSIONES FCI]],+Tabla5[[#This Row],[INVERSIONES FCI]]-BL200,Tabla5[[#This Row],[INVERSIONES FCI]])</f>
        <v>4256333865.0483856</v>
      </c>
      <c r="BM201" s="5">
        <f>IF($B200&lt;=Tabla5[[#This Row],[INVERSIONES FCI]],+Tabla5[[#This Row],[INVERSIONES FCI]]-BM200,Tabla5[[#This Row],[INVERSIONES FCI]])</f>
        <v>4256333865.0483856</v>
      </c>
      <c r="BN201" s="5">
        <f>IF($B200&lt;=Tabla5[[#This Row],[INVERSIONES FCI]],+Tabla5[[#This Row],[INVERSIONES FCI]]-BN200,Tabla5[[#This Row],[INVERSIONES FCI]])</f>
        <v>4256333865.0483856</v>
      </c>
      <c r="BO201" s="5">
        <f>IF($B200&lt;=Tabla5[[#This Row],[INVERSIONES FCI]],+Tabla5[[#This Row],[INVERSIONES FCI]]-BO200,Tabla5[[#This Row],[INVERSIONES FCI]])</f>
        <v>4256333865.0483856</v>
      </c>
      <c r="BP201" s="5">
        <f>IF($B200&lt;=Tabla5[[#This Row],[INVERSIONES FCI]],+Tabla5[[#This Row],[INVERSIONES FCI]]-BP200,Tabla5[[#This Row],[INVERSIONES FCI]])</f>
        <v>4256333865.0483856</v>
      </c>
      <c r="BQ201" s="5">
        <f>IF($B200&lt;=Tabla5[[#This Row],[INVERSIONES FCI]],+Tabla5[[#This Row],[INVERSIONES FCI]]-BQ200,Tabla5[[#This Row],[INVERSIONES FCI]])</f>
        <v>4256333865.0483856</v>
      </c>
      <c r="BR201" s="5">
        <f>IF($B200&lt;=Tabla5[[#This Row],[INVERSIONES FCI]],+Tabla5[[#This Row],[INVERSIONES FCI]]-BR200,Tabla5[[#This Row],[INVERSIONES FCI]])</f>
        <v>4256333865.0483856</v>
      </c>
      <c r="BS201" s="5">
        <f>IF($B200&lt;=Tabla5[[#This Row],[INVERSIONES FCI]],+Tabla5[[#This Row],[INVERSIONES FCI]]-BS200,Tabla5[[#This Row],[INVERSIONES FCI]])</f>
        <v>4256333865.0483856</v>
      </c>
      <c r="BT201" s="5">
        <f>IF($B200&lt;=Tabla5[[#This Row],[INVERSIONES FCI]],+Tabla5[[#This Row],[INVERSIONES FCI]]-BT200,Tabla5[[#This Row],[INVERSIONES FCI]])</f>
        <v>4256333865.0483856</v>
      </c>
      <c r="BU201" s="5">
        <f>IF($B200&lt;=Tabla5[[#This Row],[INVERSIONES FCI]],+Tabla5[[#This Row],[INVERSIONES FCI]]-BU200,Tabla5[[#This Row],[INVERSIONES FCI]])</f>
        <v>4256333865.0483856</v>
      </c>
      <c r="BV201" s="5">
        <f>IF($B200&lt;=Tabla5[[#This Row],[INVERSIONES FCI]],+Tabla5[[#This Row],[INVERSIONES FCI]]-BV200,Tabla5[[#This Row],[INVERSIONES FCI]])</f>
        <v>4256333865.0483856</v>
      </c>
      <c r="BW201" s="5">
        <f>IF($B200&lt;=Tabla5[[#This Row],[INVERSIONES FCI]],+Tabla5[[#This Row],[INVERSIONES FCI]]-BW200,Tabla5[[#This Row],[INVERSIONES FCI]])</f>
        <v>4256333865.0483856</v>
      </c>
      <c r="BX201" s="5">
        <f>IF($B200&lt;=Tabla5[[#This Row],[INVERSIONES FCI]],+Tabla5[[#This Row],[INVERSIONES FCI]]-BX200,Tabla5[[#This Row],[INVERSIONES FCI]])</f>
        <v>4256333865.0483856</v>
      </c>
      <c r="BY201" s="5">
        <f>IF($B200&lt;=Tabla5[[#This Row],[INVERSIONES FCI]],+Tabla5[[#This Row],[INVERSIONES FCI]]-BY200,Tabla5[[#This Row],[INVERSIONES FCI]])</f>
        <v>4256333865.0483856</v>
      </c>
      <c r="BZ201" s="5">
        <f>IF($B200&lt;=Tabla5[[#This Row],[INVERSIONES FCI]],+Tabla5[[#This Row],[INVERSIONES FCI]]-BZ200,Tabla5[[#This Row],[INVERSIONES FCI]])</f>
        <v>4256333865.0483856</v>
      </c>
      <c r="CA201" s="5">
        <f>IF($B200&lt;=Tabla5[[#This Row],[INVERSIONES FCI]],+Tabla5[[#This Row],[INVERSIONES FCI]]-CA200,Tabla5[[#This Row],[INVERSIONES FCI]])</f>
        <v>4256333865.0483856</v>
      </c>
      <c r="CB201" s="5">
        <f>IF($B200&lt;=Tabla5[[#This Row],[INVERSIONES FCI]],+Tabla5[[#This Row],[INVERSIONES FCI]]-CB200,Tabla5[[#This Row],[INVERSIONES FCI]])</f>
        <v>4256333865.0483856</v>
      </c>
      <c r="CC201" s="5">
        <f>IF($B200&lt;=Tabla5[[#This Row],[INVERSIONES FCI]],+Tabla5[[#This Row],[INVERSIONES FCI]]-CC200,Tabla5[[#This Row],[INVERSIONES FCI]])</f>
        <v>4256333865.0483856</v>
      </c>
      <c r="CD201" s="5">
        <f>IF($B200&lt;=Tabla5[[#This Row],[INVERSIONES FCI]],+Tabla5[[#This Row],[INVERSIONES FCI]]-CD200,Tabla5[[#This Row],[INVERSIONES FCI]])</f>
        <v>4256333865.0483856</v>
      </c>
      <c r="CE201" s="5">
        <f>IF($B200&lt;=Tabla5[[#This Row],[INVERSIONES FCI]],+Tabla5[[#This Row],[INVERSIONES FCI]]-CE200,Tabla5[[#This Row],[INVERSIONES FCI]])</f>
        <v>4256333865.0483856</v>
      </c>
      <c r="CF201" s="5">
        <f>IF($B200&lt;=Tabla5[[#This Row],[INVERSIONES FCI]],+Tabla5[[#This Row],[INVERSIONES FCI]]-CF200,Tabla5[[#This Row],[INVERSIONES FCI]])</f>
        <v>4256333865.0483856</v>
      </c>
      <c r="CG201" s="5">
        <f>IF($B200&lt;=Tabla5[[#This Row],[INVERSIONES FCI]],+Tabla5[[#This Row],[INVERSIONES FCI]]-CG200,Tabla5[[#This Row],[INVERSIONES FCI]])</f>
        <v>4256333865.0483856</v>
      </c>
      <c r="CH201" s="5">
        <f>IF($B200&lt;=Tabla5[[#This Row],[INVERSIONES FCI]],+Tabla5[[#This Row],[INVERSIONES FCI]]-CH200,Tabla5[[#This Row],[INVERSIONES FCI]])</f>
        <v>4256333865.0483856</v>
      </c>
      <c r="CI201" s="5">
        <f>IF($B200&lt;=Tabla5[[#This Row],[INVERSIONES FCI]],+Tabla5[[#This Row],[INVERSIONES FCI]]-CI200,Tabla5[[#This Row],[INVERSIONES FCI]])</f>
        <v>4256333865.0483856</v>
      </c>
      <c r="CJ201" s="5">
        <f>IF($B200&lt;=Tabla5[[#This Row],[INVERSIONES FCI]],+Tabla5[[#This Row],[INVERSIONES FCI]]-CJ200,Tabla5[[#This Row],[INVERSIONES FCI]])</f>
        <v>4256333865.0483856</v>
      </c>
      <c r="CK201" s="5">
        <f>IF($B200&lt;=Tabla5[[#This Row],[INVERSIONES FCI]],+Tabla5[[#This Row],[INVERSIONES FCI]]-CK200,Tabla5[[#This Row],[INVERSIONES FCI]])</f>
        <v>4256333865.0483856</v>
      </c>
      <c r="CL201" s="5">
        <f>IF($B200&lt;=Tabla5[[#This Row],[INVERSIONES FCI]],+Tabla5[[#This Row],[INVERSIONES FCI]]-CL200,Tabla5[[#This Row],[INVERSIONES FCI]])</f>
        <v>4256333865.0483856</v>
      </c>
      <c r="CM201" s="5">
        <f>IF($B200&lt;=Tabla5[[#This Row],[INVERSIONES FCI]],+Tabla5[[#This Row],[INVERSIONES FCI]]-CM200,Tabla5[[#This Row],[INVERSIONES FCI]])</f>
        <v>4256333865.0483856</v>
      </c>
      <c r="CN201" s="5">
        <f>IF($B200&lt;=Tabla5[[#This Row],[INVERSIONES FCI]],+Tabla5[[#This Row],[INVERSIONES FCI]]-CN200,Tabla5[[#This Row],[INVERSIONES FCI]])</f>
        <v>4256333865.0483856</v>
      </c>
      <c r="CO201" s="5">
        <f>IF($B200&lt;=Tabla5[[#This Row],[INVERSIONES FCI]],+Tabla5[[#This Row],[INVERSIONES FCI]]-CO200,Tabla5[[#This Row],[INVERSIONES FCI]])</f>
        <v>4256333865.0483856</v>
      </c>
      <c r="CP201" s="5">
        <f>IF($B200&lt;=Tabla5[[#This Row],[INVERSIONES FCI]],+Tabla5[[#This Row],[INVERSIONES FCI]]-CP200,Tabla5[[#This Row],[INVERSIONES FCI]])</f>
        <v>4256333865.0483856</v>
      </c>
      <c r="CQ201" s="5">
        <f>IF($B200&lt;=Tabla5[[#This Row],[INVERSIONES FCI]],+Tabla5[[#This Row],[INVERSIONES FCI]]-CQ200,Tabla5[[#This Row],[INVERSIONES FCI]])</f>
        <v>4256333865.0483856</v>
      </c>
      <c r="CR201" s="5">
        <f>IF($B200&lt;=Tabla5[[#This Row],[INVERSIONES FCI]],+Tabla5[[#This Row],[INVERSIONES FCI]]-CR200,Tabla5[[#This Row],[INVERSIONES FCI]])</f>
        <v>4256333865.0483856</v>
      </c>
      <c r="CS201" s="5">
        <f>IF($B200&lt;=Tabla5[[#This Row],[INVERSIONES FCI]],+Tabla5[[#This Row],[INVERSIONES FCI]]-CS200,Tabla5[[#This Row],[INVERSIONES FCI]])</f>
        <v>4256333865.0483856</v>
      </c>
      <c r="CT201" s="5">
        <f>IF($B200&lt;=Tabla5[[#This Row],[INVERSIONES FCI]],+Tabla5[[#This Row],[INVERSIONES FCI]]-CT200,Tabla5[[#This Row],[INVERSIONES FCI]])</f>
        <v>4256333865.0483856</v>
      </c>
      <c r="CU201" s="5">
        <f>IF($B200&lt;=Tabla5[[#This Row],[INVERSIONES FCI]],+Tabla5[[#This Row],[INVERSIONES FCI]]-CU200,Tabla5[[#This Row],[INVERSIONES FCI]])</f>
        <v>4256333865.0483856</v>
      </c>
      <c r="CV201" s="5">
        <f>IF($B200&lt;=Tabla5[[#This Row],[INVERSIONES FCI]],+Tabla5[[#This Row],[INVERSIONES FCI]]-CV200,Tabla5[[#This Row],[INVERSIONES FCI]])</f>
        <v>4256333865.0483856</v>
      </c>
      <c r="CW201" s="5">
        <f>IF($B200&lt;=Tabla5[[#This Row],[INVERSIONES FCI]],+Tabla5[[#This Row],[INVERSIONES FCI]]-CW200,Tabla5[[#This Row],[INVERSIONES FCI]])</f>
        <v>4256333865.0483856</v>
      </c>
      <c r="CX201" s="5">
        <f>IF($B200&lt;=Tabla5[[#This Row],[INVERSIONES FCI]],+Tabla5[[#This Row],[INVERSIONES FCI]]-CX200,Tabla5[[#This Row],[INVERSIONES FCI]])</f>
        <v>4256333865.0483856</v>
      </c>
      <c r="CY201" s="5">
        <f>IF($B200&lt;=Tabla5[[#This Row],[INVERSIONES FCI]],+Tabla5[[#This Row],[INVERSIONES FCI]]-CY200,Tabla5[[#This Row],[INVERSIONES FCI]])</f>
        <v>4256333865.0483856</v>
      </c>
      <c r="CZ201" s="5">
        <f>IF($B200&lt;=Tabla5[[#This Row],[INVERSIONES FCI]],+Tabla5[[#This Row],[INVERSIONES FCI]]-CZ200,Tabla5[[#This Row],[INVERSIONES FCI]])</f>
        <v>4256333865.0483856</v>
      </c>
      <c r="DA201" s="5">
        <f>IF($B200&lt;=Tabla5[[#This Row],[INVERSIONES FCI]],+Tabla5[[#This Row],[INVERSIONES FCI]]-DA200,Tabla5[[#This Row],[INVERSIONES FCI]])</f>
        <v>4256333865.0483856</v>
      </c>
      <c r="DB201" s="5">
        <f>IF($B200&lt;=Tabla5[[#This Row],[INVERSIONES FCI]],+Tabla5[[#This Row],[INVERSIONES FCI]]-DB200,Tabla5[[#This Row],[INVERSIONES FCI]])</f>
        <v>4256333865.0483856</v>
      </c>
      <c r="DC201" s="5">
        <f>IF($B200&lt;=Tabla5[[#This Row],[INVERSIONES FCI]],+Tabla5[[#This Row],[INVERSIONES FCI]]-DC200,Tabla5[[#This Row],[INVERSIONES FCI]])</f>
        <v>4256333865.0483856</v>
      </c>
      <c r="DD201" s="5">
        <f>IF($B200&lt;=Tabla5[[#This Row],[INVERSIONES FCI]],+Tabla5[[#This Row],[INVERSIONES FCI]]-DD200,Tabla5[[#This Row],[INVERSIONES FCI]])</f>
        <v>4256333865.0483856</v>
      </c>
      <c r="DE201" s="5">
        <f>IF($B200&lt;=Tabla5[[#This Row],[INVERSIONES FCI]],+Tabla5[[#This Row],[INVERSIONES FCI]]-DE200,Tabla5[[#This Row],[INVERSIONES FCI]])</f>
        <v>4256333865.0483856</v>
      </c>
      <c r="DF201" s="5">
        <f>IF($B200&lt;=Tabla5[[#This Row],[INVERSIONES FCI]],+Tabla5[[#This Row],[INVERSIONES FCI]]-DF200,Tabla5[[#This Row],[INVERSIONES FCI]])</f>
        <v>4256333865.0483856</v>
      </c>
      <c r="DG201" s="5">
        <f>IF($B200&lt;=Tabla5[[#This Row],[INVERSIONES FCI]],+Tabla5[[#This Row],[INVERSIONES FCI]]-DG200,Tabla5[[#This Row],[INVERSIONES FCI]])</f>
        <v>4256333865.0483856</v>
      </c>
      <c r="DH201" s="5">
        <f>IF($B200&lt;=Tabla5[[#This Row],[INVERSIONES FCI]],+Tabla5[[#This Row],[INVERSIONES FCI]]-DH200,Tabla5[[#This Row],[INVERSIONES FCI]])</f>
        <v>4256333865.0483856</v>
      </c>
      <c r="DI201" s="5">
        <f>IF($B200&lt;=Tabla5[[#This Row],[INVERSIONES FCI]],+Tabla5[[#This Row],[INVERSIONES FCI]]-DI200,Tabla5[[#This Row],[INVERSIONES FCI]])</f>
        <v>4256333865.0483856</v>
      </c>
      <c r="DJ201" s="5">
        <f>IF($B200&lt;=Tabla5[[#This Row],[INVERSIONES FCI]],+Tabla5[[#This Row],[INVERSIONES FCI]]-DJ200,Tabla5[[#This Row],[INVERSIONES FCI]])</f>
        <v>4256333865.0483856</v>
      </c>
      <c r="DK201" s="5">
        <f>IF($B200&lt;=Tabla5[[#This Row],[INVERSIONES FCI]],+Tabla5[[#This Row],[INVERSIONES FCI]]-DK200,Tabla5[[#This Row],[INVERSIONES FCI]])</f>
        <v>4256333865.0483856</v>
      </c>
      <c r="DL201" s="5"/>
      <c r="DM201" s="5"/>
      <c r="DN201" s="5"/>
      <c r="DO201" s="5"/>
      <c r="DP201" s="5"/>
      <c r="DQ201" s="5"/>
    </row>
    <row r="202" spans="1:121" ht="14.4">
      <c r="A202" s="12" t="s">
        <v>201</v>
      </c>
      <c r="B202" s="5">
        <f>HLOOKUP($A202,ESCENARIO[#All],7,FALSE)</f>
        <v>40633656339.807373</v>
      </c>
      <c r="C202" s="5">
        <f>IF($B201&lt;=Tabla5[[#This Row],[INVERSIONES FCI]],+Tabla5[[#This Row],[INVERSIONES FCI]]-C201,Tabla5[[#This Row],[INVERSIONES FCI]])</f>
        <v>36377322474.758987</v>
      </c>
      <c r="D202" s="5">
        <f>IF($B201&lt;=Tabla5[[#This Row],[INVERSIONES FCI]],+Tabla5[[#This Row],[INVERSIONES FCI]]-D201,Tabla5[[#This Row],[INVERSIONES FCI]])</f>
        <v>36377322474.758987</v>
      </c>
      <c r="E202" s="5">
        <f>IF($B201&lt;=Tabla5[[#This Row],[INVERSIONES FCI]],+Tabla5[[#This Row],[INVERSIONES FCI]]-E201,Tabla5[[#This Row],[INVERSIONES FCI]])</f>
        <v>36377322474.758987</v>
      </c>
      <c r="F202" s="5">
        <f>IF($B201&lt;=Tabla5[[#This Row],[INVERSIONES FCI]],+Tabla5[[#This Row],[INVERSIONES FCI]]-F201,Tabla5[[#This Row],[INVERSIONES FCI]])</f>
        <v>36377322474.758987</v>
      </c>
      <c r="G202" s="5">
        <f>IF($B201&lt;=Tabla5[[#This Row],[INVERSIONES FCI]],+Tabla5[[#This Row],[INVERSIONES FCI]]-G201,Tabla5[[#This Row],[INVERSIONES FCI]])</f>
        <v>36377322474.758987</v>
      </c>
      <c r="H202" s="5">
        <f>IF($B201&lt;=Tabla5[[#This Row],[INVERSIONES FCI]],+Tabla5[[#This Row],[INVERSIONES FCI]]-H201,Tabla5[[#This Row],[INVERSIONES FCI]])</f>
        <v>36377322474.758987</v>
      </c>
      <c r="I202" s="5">
        <f>IF($B201&lt;=Tabla5[[#This Row],[INVERSIONES FCI]],+Tabla5[[#This Row],[INVERSIONES FCI]]-I201,Tabla5[[#This Row],[INVERSIONES FCI]])</f>
        <v>36377322474.758987</v>
      </c>
      <c r="J202" s="5">
        <f>IF($B201&lt;=Tabla5[[#This Row],[INVERSIONES FCI]],+Tabla5[[#This Row],[INVERSIONES FCI]]-J201,Tabla5[[#This Row],[INVERSIONES FCI]])</f>
        <v>36377322474.758987</v>
      </c>
      <c r="K202" s="5">
        <f>IF($B201&lt;=Tabla5[[#This Row],[INVERSIONES FCI]],+Tabla5[[#This Row],[INVERSIONES FCI]]-K201,Tabla5[[#This Row],[INVERSIONES FCI]])</f>
        <v>36377322474.758987</v>
      </c>
      <c r="L202" s="5">
        <f>IF($B201&lt;=Tabla5[[#This Row],[INVERSIONES FCI]],+Tabla5[[#This Row],[INVERSIONES FCI]]-L201,Tabla5[[#This Row],[INVERSIONES FCI]])</f>
        <v>36377322474.758987</v>
      </c>
      <c r="M202" s="5">
        <f>IF($B201&lt;=Tabla5[[#This Row],[INVERSIONES FCI]],+Tabla5[[#This Row],[INVERSIONES FCI]]-M201,Tabla5[[#This Row],[INVERSIONES FCI]])</f>
        <v>36377322474.758987</v>
      </c>
      <c r="N202" s="5">
        <f>IF($B201&lt;=Tabla5[[#This Row],[INVERSIONES FCI]],+Tabla5[[#This Row],[INVERSIONES FCI]]-N201,Tabla5[[#This Row],[INVERSIONES FCI]])</f>
        <v>36377322474.758987</v>
      </c>
      <c r="O202" s="5">
        <f>IF($B201&lt;=Tabla5[[#This Row],[INVERSIONES FCI]],+Tabla5[[#This Row],[INVERSIONES FCI]]-O201,Tabla5[[#This Row],[INVERSIONES FCI]])</f>
        <v>36377322474.758987</v>
      </c>
      <c r="P202" s="5">
        <f>IF($B201&lt;=Tabla5[[#This Row],[INVERSIONES FCI]],+Tabla5[[#This Row],[INVERSIONES FCI]]-P201,Tabla5[[#This Row],[INVERSIONES FCI]])</f>
        <v>36377322474.758987</v>
      </c>
      <c r="Q202" s="5">
        <f>IF($B201&lt;=Tabla5[[#This Row],[INVERSIONES FCI]],+Tabla5[[#This Row],[INVERSIONES FCI]]-Q201,Tabla5[[#This Row],[INVERSIONES FCI]])</f>
        <v>36377322474.758987</v>
      </c>
      <c r="R202" s="5">
        <f>IF($B201&lt;=Tabla5[[#This Row],[INVERSIONES FCI]],+Tabla5[[#This Row],[INVERSIONES FCI]]-R201,Tabla5[[#This Row],[INVERSIONES FCI]])</f>
        <v>36377322474.758987</v>
      </c>
      <c r="S202" s="5">
        <f>IF($B201&lt;=Tabla5[[#This Row],[INVERSIONES FCI]],+Tabla5[[#This Row],[INVERSIONES FCI]]-S201,Tabla5[[#This Row],[INVERSIONES FCI]])</f>
        <v>36377322474.758987</v>
      </c>
      <c r="T202" s="5">
        <f>IF($B201&lt;=Tabla5[[#This Row],[INVERSIONES FCI]],+Tabla5[[#This Row],[INVERSIONES FCI]]-T201,Tabla5[[#This Row],[INVERSIONES FCI]])</f>
        <v>36377322474.758987</v>
      </c>
      <c r="U202" s="5">
        <f>IF($B201&lt;=Tabla5[[#This Row],[INVERSIONES FCI]],+Tabla5[[#This Row],[INVERSIONES FCI]]-U201,Tabla5[[#This Row],[INVERSIONES FCI]])</f>
        <v>36377322474.758987</v>
      </c>
      <c r="V202" s="5">
        <f>IF($B201&lt;=Tabla5[[#This Row],[INVERSIONES FCI]],+Tabla5[[#This Row],[INVERSIONES FCI]]-V201,Tabla5[[#This Row],[INVERSIONES FCI]])</f>
        <v>36377322474.758987</v>
      </c>
      <c r="W202" s="5">
        <f>IF($B201&lt;=Tabla5[[#This Row],[INVERSIONES FCI]],+Tabla5[[#This Row],[INVERSIONES FCI]]-W201,Tabla5[[#This Row],[INVERSIONES FCI]])</f>
        <v>36377322474.758987</v>
      </c>
      <c r="X202" s="5">
        <f>IF($B201&lt;=Tabla5[[#This Row],[INVERSIONES FCI]],+Tabla5[[#This Row],[INVERSIONES FCI]]-X201,Tabla5[[#This Row],[INVERSIONES FCI]])</f>
        <v>36377322474.758987</v>
      </c>
      <c r="Y202" s="5">
        <f>IF($B201&lt;=Tabla5[[#This Row],[INVERSIONES FCI]],+Tabla5[[#This Row],[INVERSIONES FCI]]-Y201,Tabla5[[#This Row],[INVERSIONES FCI]])</f>
        <v>36377322474.758987</v>
      </c>
      <c r="Z202" s="5">
        <f>IF($B201&lt;=Tabla5[[#This Row],[INVERSIONES FCI]],+Tabla5[[#This Row],[INVERSIONES FCI]]-Z201,Tabla5[[#This Row],[INVERSIONES FCI]])</f>
        <v>36377322474.758987</v>
      </c>
      <c r="AA202" s="5">
        <f>IF($B201&lt;=Tabla5[[#This Row],[INVERSIONES FCI]],+Tabla5[[#This Row],[INVERSIONES FCI]]-AA201,Tabla5[[#This Row],[INVERSIONES FCI]])</f>
        <v>36377322474.758987</v>
      </c>
      <c r="AB202" s="5">
        <f>IF($B201&lt;=Tabla5[[#This Row],[INVERSIONES FCI]],+Tabla5[[#This Row],[INVERSIONES FCI]]-AB201,Tabla5[[#This Row],[INVERSIONES FCI]])</f>
        <v>36377322474.758987</v>
      </c>
      <c r="AC202" s="5">
        <f>IF($B201&lt;=Tabla5[[#This Row],[INVERSIONES FCI]],+Tabla5[[#This Row],[INVERSIONES FCI]]-AC201,Tabla5[[#This Row],[INVERSIONES FCI]])</f>
        <v>36377322474.758987</v>
      </c>
      <c r="AD202" s="5">
        <f>IF($B201&lt;=Tabla5[[#This Row],[INVERSIONES FCI]],+Tabla5[[#This Row],[INVERSIONES FCI]]-AD201,Tabla5[[#This Row],[INVERSIONES FCI]])</f>
        <v>36377322474.758987</v>
      </c>
      <c r="AE202" s="5">
        <f>IF($B201&lt;=Tabla5[[#This Row],[INVERSIONES FCI]],+Tabla5[[#This Row],[INVERSIONES FCI]]-AE201,Tabla5[[#This Row],[INVERSIONES FCI]])</f>
        <v>36377322474.758987</v>
      </c>
      <c r="AF202" s="5">
        <f>IF($B201&lt;=Tabla5[[#This Row],[INVERSIONES FCI]],+Tabla5[[#This Row],[INVERSIONES FCI]]-AF201,Tabla5[[#This Row],[INVERSIONES FCI]])</f>
        <v>36377322474.758987</v>
      </c>
      <c r="AG202" s="5">
        <f>IF($B201&lt;=Tabla5[[#This Row],[INVERSIONES FCI]],+Tabla5[[#This Row],[INVERSIONES FCI]]-AG201,Tabla5[[#This Row],[INVERSIONES FCI]])</f>
        <v>36377322474.758987</v>
      </c>
      <c r="AH202" s="5">
        <f>IF($B201&lt;=Tabla5[[#This Row],[INVERSIONES FCI]],+Tabla5[[#This Row],[INVERSIONES FCI]]-AH201,Tabla5[[#This Row],[INVERSIONES FCI]])</f>
        <v>36377322474.758987</v>
      </c>
      <c r="AI202" s="5">
        <f>IF($B201&lt;=Tabla5[[#This Row],[INVERSIONES FCI]],+Tabla5[[#This Row],[INVERSIONES FCI]]-AI201,Tabla5[[#This Row],[INVERSIONES FCI]])</f>
        <v>36377322474.758987</v>
      </c>
      <c r="AJ202" s="5">
        <f>IF($B201&lt;=Tabla5[[#This Row],[INVERSIONES FCI]],+Tabla5[[#This Row],[INVERSIONES FCI]]-AJ201,Tabla5[[#This Row],[INVERSIONES FCI]])</f>
        <v>36377322474.758987</v>
      </c>
      <c r="AK202" s="5">
        <f>IF($B201&lt;=Tabla5[[#This Row],[INVERSIONES FCI]],+Tabla5[[#This Row],[INVERSIONES FCI]]-AK201,Tabla5[[#This Row],[INVERSIONES FCI]])</f>
        <v>36377322474.758987</v>
      </c>
      <c r="AL202" s="5">
        <f>IF($B201&lt;=Tabla5[[#This Row],[INVERSIONES FCI]],+Tabla5[[#This Row],[INVERSIONES FCI]]-AL201,Tabla5[[#This Row],[INVERSIONES FCI]])</f>
        <v>36377322474.758987</v>
      </c>
      <c r="AM202" s="5">
        <f>IF($B201&lt;=Tabla5[[#This Row],[INVERSIONES FCI]],+Tabla5[[#This Row],[INVERSIONES FCI]]-AM201,Tabla5[[#This Row],[INVERSIONES FCI]])</f>
        <v>36377322474.758987</v>
      </c>
      <c r="AN202" s="5">
        <f>IF($B201&lt;=Tabla5[[#This Row],[INVERSIONES FCI]],+Tabla5[[#This Row],[INVERSIONES FCI]]-AN201,Tabla5[[#This Row],[INVERSIONES FCI]])</f>
        <v>36377322474.758987</v>
      </c>
      <c r="AO202" s="5">
        <f>IF($B201&lt;=Tabla5[[#This Row],[INVERSIONES FCI]],+Tabla5[[#This Row],[INVERSIONES FCI]]-AO201,Tabla5[[#This Row],[INVERSIONES FCI]])</f>
        <v>36377322474.758987</v>
      </c>
      <c r="AP202" s="5">
        <f>IF($B201&lt;=Tabla5[[#This Row],[INVERSIONES FCI]],+Tabla5[[#This Row],[INVERSIONES FCI]]-AP201,Tabla5[[#This Row],[INVERSIONES FCI]])</f>
        <v>36377322474.758987</v>
      </c>
      <c r="AQ202" s="5">
        <f>IF($B201&lt;=Tabla5[[#This Row],[INVERSIONES FCI]],+Tabla5[[#This Row],[INVERSIONES FCI]]-AQ201,Tabla5[[#This Row],[INVERSIONES FCI]])</f>
        <v>36377322474.758987</v>
      </c>
      <c r="AR202" s="5">
        <f>IF($B201&lt;=Tabla5[[#This Row],[INVERSIONES FCI]],+Tabla5[[#This Row],[INVERSIONES FCI]]-AR201,Tabla5[[#This Row],[INVERSIONES FCI]])</f>
        <v>36377322474.758987</v>
      </c>
      <c r="AS202" s="5">
        <f>IF($B201&lt;=Tabla5[[#This Row],[INVERSIONES FCI]],+Tabla5[[#This Row],[INVERSIONES FCI]]-AS201,Tabla5[[#This Row],[INVERSIONES FCI]])</f>
        <v>36377322474.758987</v>
      </c>
      <c r="AT202" s="5">
        <f>IF($B201&lt;=Tabla5[[#This Row],[INVERSIONES FCI]],+Tabla5[[#This Row],[INVERSIONES FCI]]-AT201,Tabla5[[#This Row],[INVERSIONES FCI]])</f>
        <v>36377322474.758987</v>
      </c>
      <c r="AU202" s="5">
        <f>IF($B201&lt;=Tabla5[[#This Row],[INVERSIONES FCI]],+Tabla5[[#This Row],[INVERSIONES FCI]]-AU201,Tabla5[[#This Row],[INVERSIONES FCI]])</f>
        <v>36377322474.758987</v>
      </c>
      <c r="AV202" s="5">
        <f>IF($B201&lt;=Tabla5[[#This Row],[INVERSIONES FCI]],+Tabla5[[#This Row],[INVERSIONES FCI]]-AV201,Tabla5[[#This Row],[INVERSIONES FCI]])</f>
        <v>36377322474.758987</v>
      </c>
      <c r="AW202" s="5">
        <f>IF($B201&lt;=Tabla5[[#This Row],[INVERSIONES FCI]],+Tabla5[[#This Row],[INVERSIONES FCI]]-AW201,Tabla5[[#This Row],[INVERSIONES FCI]])</f>
        <v>36377322474.758987</v>
      </c>
      <c r="AX202" s="5">
        <f>IF($B201&lt;=Tabla5[[#This Row],[INVERSIONES FCI]],+Tabla5[[#This Row],[INVERSIONES FCI]]-AX201,Tabla5[[#This Row],[INVERSIONES FCI]])</f>
        <v>36377322474.758987</v>
      </c>
      <c r="AY202" s="5">
        <f>IF($B201&lt;=Tabla5[[#This Row],[INVERSIONES FCI]],+Tabla5[[#This Row],[INVERSIONES FCI]]-AY201,Tabla5[[#This Row],[INVERSIONES FCI]])</f>
        <v>36377322474.758987</v>
      </c>
      <c r="AZ202" s="5">
        <f>IF($B201&lt;=Tabla5[[#This Row],[INVERSIONES FCI]],+Tabla5[[#This Row],[INVERSIONES FCI]]-AZ201,Tabla5[[#This Row],[INVERSIONES FCI]])</f>
        <v>36377322474.758987</v>
      </c>
      <c r="BA202" s="5">
        <f>IF($B201&lt;=Tabla5[[#This Row],[INVERSIONES FCI]],+Tabla5[[#This Row],[INVERSIONES FCI]]-BA201,Tabla5[[#This Row],[INVERSIONES FCI]])</f>
        <v>36377322474.758987</v>
      </c>
      <c r="BB202" s="5">
        <f>IF($B201&lt;=Tabla5[[#This Row],[INVERSIONES FCI]],+Tabla5[[#This Row],[INVERSIONES FCI]]-BB201,Tabla5[[#This Row],[INVERSIONES FCI]])</f>
        <v>36377322474.758987</v>
      </c>
      <c r="BC202" s="5">
        <f>IF($B201&lt;=Tabla5[[#This Row],[INVERSIONES FCI]],+Tabla5[[#This Row],[INVERSIONES FCI]]-BC201,Tabla5[[#This Row],[INVERSIONES FCI]])</f>
        <v>36377322474.758987</v>
      </c>
      <c r="BD202" s="5">
        <f>IF($B201&lt;=Tabla5[[#This Row],[INVERSIONES FCI]],+Tabla5[[#This Row],[INVERSIONES FCI]]-BD201,Tabla5[[#This Row],[INVERSIONES FCI]])</f>
        <v>36377322474.758987</v>
      </c>
      <c r="BE202" s="5">
        <f>IF($B201&lt;=Tabla5[[#This Row],[INVERSIONES FCI]],+Tabla5[[#This Row],[INVERSIONES FCI]]-BE201,Tabla5[[#This Row],[INVERSIONES FCI]])</f>
        <v>36377322474.758987</v>
      </c>
      <c r="BF202" s="5">
        <f>IF($B201&lt;=Tabla5[[#This Row],[INVERSIONES FCI]],+Tabla5[[#This Row],[INVERSIONES FCI]]-BF201,Tabla5[[#This Row],[INVERSIONES FCI]])</f>
        <v>36377322474.758987</v>
      </c>
      <c r="BG202" s="5">
        <f>IF($B201&lt;=Tabla5[[#This Row],[INVERSIONES FCI]],+Tabla5[[#This Row],[INVERSIONES FCI]]-BG201,Tabla5[[#This Row],[INVERSIONES FCI]])</f>
        <v>36377322474.758987</v>
      </c>
      <c r="BH202" s="5">
        <f>IF($B201&lt;=Tabla5[[#This Row],[INVERSIONES FCI]],+Tabla5[[#This Row],[INVERSIONES FCI]]-BH201,Tabla5[[#This Row],[INVERSIONES FCI]])</f>
        <v>36377322474.758987</v>
      </c>
      <c r="BI202" s="5">
        <f>IF($B201&lt;=Tabla5[[#This Row],[INVERSIONES FCI]],+Tabla5[[#This Row],[INVERSIONES FCI]]-BI201,Tabla5[[#This Row],[INVERSIONES FCI]])</f>
        <v>36377322474.758987</v>
      </c>
      <c r="BJ202" s="5">
        <f>IF($B201&lt;=Tabla5[[#This Row],[INVERSIONES FCI]],+Tabla5[[#This Row],[INVERSIONES FCI]]-BJ201,Tabla5[[#This Row],[INVERSIONES FCI]])</f>
        <v>36377322474.758987</v>
      </c>
      <c r="BK202" s="5">
        <f>IF($B201&lt;=Tabla5[[#This Row],[INVERSIONES FCI]],+Tabla5[[#This Row],[INVERSIONES FCI]]-BK201,Tabla5[[#This Row],[INVERSIONES FCI]])</f>
        <v>36377322474.758987</v>
      </c>
      <c r="BL202" s="5">
        <f>IF($B201&lt;=Tabla5[[#This Row],[INVERSIONES FCI]],+Tabla5[[#This Row],[INVERSIONES FCI]]-BL201,Tabla5[[#This Row],[INVERSIONES FCI]])</f>
        <v>36377322474.758987</v>
      </c>
      <c r="BM202" s="5">
        <f>IF($B201&lt;=Tabla5[[#This Row],[INVERSIONES FCI]],+Tabla5[[#This Row],[INVERSIONES FCI]]-BM201,Tabla5[[#This Row],[INVERSIONES FCI]])</f>
        <v>36377322474.758987</v>
      </c>
      <c r="BN202" s="5">
        <f>IF($B201&lt;=Tabla5[[#This Row],[INVERSIONES FCI]],+Tabla5[[#This Row],[INVERSIONES FCI]]-BN201,Tabla5[[#This Row],[INVERSIONES FCI]])</f>
        <v>36377322474.758987</v>
      </c>
      <c r="BO202" s="5">
        <f>IF($B201&lt;=Tabla5[[#This Row],[INVERSIONES FCI]],+Tabla5[[#This Row],[INVERSIONES FCI]]-BO201,Tabla5[[#This Row],[INVERSIONES FCI]])</f>
        <v>36377322474.758987</v>
      </c>
      <c r="BP202" s="5">
        <f>IF($B201&lt;=Tabla5[[#This Row],[INVERSIONES FCI]],+Tabla5[[#This Row],[INVERSIONES FCI]]-BP201,Tabla5[[#This Row],[INVERSIONES FCI]])</f>
        <v>36377322474.758987</v>
      </c>
      <c r="BQ202" s="5">
        <f>IF($B201&lt;=Tabla5[[#This Row],[INVERSIONES FCI]],+Tabla5[[#This Row],[INVERSIONES FCI]]-BQ201,Tabla5[[#This Row],[INVERSIONES FCI]])</f>
        <v>36377322474.758987</v>
      </c>
      <c r="BR202" s="5">
        <f>IF($B201&lt;=Tabla5[[#This Row],[INVERSIONES FCI]],+Tabla5[[#This Row],[INVERSIONES FCI]]-BR201,Tabla5[[#This Row],[INVERSIONES FCI]])</f>
        <v>36377322474.758987</v>
      </c>
      <c r="BS202" s="5">
        <f>IF($B201&lt;=Tabla5[[#This Row],[INVERSIONES FCI]],+Tabla5[[#This Row],[INVERSIONES FCI]]-BS201,Tabla5[[#This Row],[INVERSIONES FCI]])</f>
        <v>36377322474.758987</v>
      </c>
      <c r="BT202" s="5">
        <f>IF($B201&lt;=Tabla5[[#This Row],[INVERSIONES FCI]],+Tabla5[[#This Row],[INVERSIONES FCI]]-BT201,Tabla5[[#This Row],[INVERSIONES FCI]])</f>
        <v>36377322474.758987</v>
      </c>
      <c r="BU202" s="5">
        <f>IF($B201&lt;=Tabla5[[#This Row],[INVERSIONES FCI]],+Tabla5[[#This Row],[INVERSIONES FCI]]-BU201,Tabla5[[#This Row],[INVERSIONES FCI]])</f>
        <v>36377322474.758987</v>
      </c>
      <c r="BV202" s="5">
        <f>IF($B201&lt;=Tabla5[[#This Row],[INVERSIONES FCI]],+Tabla5[[#This Row],[INVERSIONES FCI]]-BV201,Tabla5[[#This Row],[INVERSIONES FCI]])</f>
        <v>36377322474.758987</v>
      </c>
      <c r="BW202" s="5">
        <f>IF($B201&lt;=Tabla5[[#This Row],[INVERSIONES FCI]],+Tabla5[[#This Row],[INVERSIONES FCI]]-BW201,Tabla5[[#This Row],[INVERSIONES FCI]])</f>
        <v>36377322474.758987</v>
      </c>
      <c r="BX202" s="5">
        <f>IF($B201&lt;=Tabla5[[#This Row],[INVERSIONES FCI]],+Tabla5[[#This Row],[INVERSIONES FCI]]-BX201,Tabla5[[#This Row],[INVERSIONES FCI]])</f>
        <v>36377322474.758987</v>
      </c>
      <c r="BY202" s="5">
        <f>IF($B201&lt;=Tabla5[[#This Row],[INVERSIONES FCI]],+Tabla5[[#This Row],[INVERSIONES FCI]]-BY201,Tabla5[[#This Row],[INVERSIONES FCI]])</f>
        <v>36377322474.758987</v>
      </c>
      <c r="BZ202" s="5">
        <f>IF($B201&lt;=Tabla5[[#This Row],[INVERSIONES FCI]],+Tabla5[[#This Row],[INVERSIONES FCI]]-BZ201,Tabla5[[#This Row],[INVERSIONES FCI]])</f>
        <v>36377322474.758987</v>
      </c>
      <c r="CA202" s="5">
        <f>IF($B201&lt;=Tabla5[[#This Row],[INVERSIONES FCI]],+Tabla5[[#This Row],[INVERSIONES FCI]]-CA201,Tabla5[[#This Row],[INVERSIONES FCI]])</f>
        <v>36377322474.758987</v>
      </c>
      <c r="CB202" s="5">
        <f>IF($B201&lt;=Tabla5[[#This Row],[INVERSIONES FCI]],+Tabla5[[#This Row],[INVERSIONES FCI]]-CB201,Tabla5[[#This Row],[INVERSIONES FCI]])</f>
        <v>36377322474.758987</v>
      </c>
      <c r="CC202" s="5">
        <f>IF($B201&lt;=Tabla5[[#This Row],[INVERSIONES FCI]],+Tabla5[[#This Row],[INVERSIONES FCI]]-CC201,Tabla5[[#This Row],[INVERSIONES FCI]])</f>
        <v>36377322474.758987</v>
      </c>
      <c r="CD202" s="5">
        <f>IF($B201&lt;=Tabla5[[#This Row],[INVERSIONES FCI]],+Tabla5[[#This Row],[INVERSIONES FCI]]-CD201,Tabla5[[#This Row],[INVERSIONES FCI]])</f>
        <v>36377322474.758987</v>
      </c>
      <c r="CE202" s="5">
        <f>IF($B201&lt;=Tabla5[[#This Row],[INVERSIONES FCI]],+Tabla5[[#This Row],[INVERSIONES FCI]]-CE201,Tabla5[[#This Row],[INVERSIONES FCI]])</f>
        <v>36377322474.758987</v>
      </c>
      <c r="CF202" s="5">
        <f>IF($B201&lt;=Tabla5[[#This Row],[INVERSIONES FCI]],+Tabla5[[#This Row],[INVERSIONES FCI]]-CF201,Tabla5[[#This Row],[INVERSIONES FCI]])</f>
        <v>36377322474.758987</v>
      </c>
      <c r="CG202" s="5">
        <f>IF($B201&lt;=Tabla5[[#This Row],[INVERSIONES FCI]],+Tabla5[[#This Row],[INVERSIONES FCI]]-CG201,Tabla5[[#This Row],[INVERSIONES FCI]])</f>
        <v>36377322474.758987</v>
      </c>
      <c r="CH202" s="5">
        <f>IF($B201&lt;=Tabla5[[#This Row],[INVERSIONES FCI]],+Tabla5[[#This Row],[INVERSIONES FCI]]-CH201,Tabla5[[#This Row],[INVERSIONES FCI]])</f>
        <v>36377322474.758987</v>
      </c>
      <c r="CI202" s="5">
        <f>IF($B201&lt;=Tabla5[[#This Row],[INVERSIONES FCI]],+Tabla5[[#This Row],[INVERSIONES FCI]]-CI201,Tabla5[[#This Row],[INVERSIONES FCI]])</f>
        <v>36377322474.758987</v>
      </c>
      <c r="CJ202" s="5">
        <f>IF($B201&lt;=Tabla5[[#This Row],[INVERSIONES FCI]],+Tabla5[[#This Row],[INVERSIONES FCI]]-CJ201,Tabla5[[#This Row],[INVERSIONES FCI]])</f>
        <v>36377322474.758987</v>
      </c>
      <c r="CK202" s="5">
        <f>IF($B201&lt;=Tabla5[[#This Row],[INVERSIONES FCI]],+Tabla5[[#This Row],[INVERSIONES FCI]]-CK201,Tabla5[[#This Row],[INVERSIONES FCI]])</f>
        <v>36377322474.758987</v>
      </c>
      <c r="CL202" s="5">
        <f>IF($B201&lt;=Tabla5[[#This Row],[INVERSIONES FCI]],+Tabla5[[#This Row],[INVERSIONES FCI]]-CL201,Tabla5[[#This Row],[INVERSIONES FCI]])</f>
        <v>36377322474.758987</v>
      </c>
      <c r="CM202" s="5">
        <f>IF($B201&lt;=Tabla5[[#This Row],[INVERSIONES FCI]],+Tabla5[[#This Row],[INVERSIONES FCI]]-CM201,Tabla5[[#This Row],[INVERSIONES FCI]])</f>
        <v>36377322474.758987</v>
      </c>
      <c r="CN202" s="5">
        <f>IF($B201&lt;=Tabla5[[#This Row],[INVERSIONES FCI]],+Tabla5[[#This Row],[INVERSIONES FCI]]-CN201,Tabla5[[#This Row],[INVERSIONES FCI]])</f>
        <v>36377322474.758987</v>
      </c>
      <c r="CO202" s="5">
        <f>IF($B201&lt;=Tabla5[[#This Row],[INVERSIONES FCI]],+Tabla5[[#This Row],[INVERSIONES FCI]]-CO201,Tabla5[[#This Row],[INVERSIONES FCI]])</f>
        <v>36377322474.758987</v>
      </c>
      <c r="CP202" s="5">
        <f>IF($B201&lt;=Tabla5[[#This Row],[INVERSIONES FCI]],+Tabla5[[#This Row],[INVERSIONES FCI]]-CP201,Tabla5[[#This Row],[INVERSIONES FCI]])</f>
        <v>36377322474.758987</v>
      </c>
      <c r="CQ202" s="5">
        <f>IF($B201&lt;=Tabla5[[#This Row],[INVERSIONES FCI]],+Tabla5[[#This Row],[INVERSIONES FCI]]-CQ201,Tabla5[[#This Row],[INVERSIONES FCI]])</f>
        <v>36377322474.758987</v>
      </c>
      <c r="CR202" s="5">
        <f>IF($B201&lt;=Tabla5[[#This Row],[INVERSIONES FCI]],+Tabla5[[#This Row],[INVERSIONES FCI]]-CR201,Tabla5[[#This Row],[INVERSIONES FCI]])</f>
        <v>36377322474.758987</v>
      </c>
      <c r="CS202" s="5">
        <f>IF($B201&lt;=Tabla5[[#This Row],[INVERSIONES FCI]],+Tabla5[[#This Row],[INVERSIONES FCI]]-CS201,Tabla5[[#This Row],[INVERSIONES FCI]])</f>
        <v>36377322474.758987</v>
      </c>
      <c r="CT202" s="5">
        <f>IF($B201&lt;=Tabla5[[#This Row],[INVERSIONES FCI]],+Tabla5[[#This Row],[INVERSIONES FCI]]-CT201,Tabla5[[#This Row],[INVERSIONES FCI]])</f>
        <v>36377322474.758987</v>
      </c>
      <c r="CU202" s="5">
        <f>IF($B201&lt;=Tabla5[[#This Row],[INVERSIONES FCI]],+Tabla5[[#This Row],[INVERSIONES FCI]]-CU201,Tabla5[[#This Row],[INVERSIONES FCI]])</f>
        <v>36377322474.758987</v>
      </c>
      <c r="CV202" s="5">
        <f>IF($B201&lt;=Tabla5[[#This Row],[INVERSIONES FCI]],+Tabla5[[#This Row],[INVERSIONES FCI]]-CV201,Tabla5[[#This Row],[INVERSIONES FCI]])</f>
        <v>36377322474.758987</v>
      </c>
      <c r="CW202" s="5">
        <f>IF($B201&lt;=Tabla5[[#This Row],[INVERSIONES FCI]],+Tabla5[[#This Row],[INVERSIONES FCI]]-CW201,Tabla5[[#This Row],[INVERSIONES FCI]])</f>
        <v>36377322474.758987</v>
      </c>
      <c r="CX202" s="5">
        <f>IF($B201&lt;=Tabla5[[#This Row],[INVERSIONES FCI]],+Tabla5[[#This Row],[INVERSIONES FCI]]-CX201,Tabla5[[#This Row],[INVERSIONES FCI]])</f>
        <v>36377322474.758987</v>
      </c>
      <c r="CY202" s="5">
        <f>IF($B201&lt;=Tabla5[[#This Row],[INVERSIONES FCI]],+Tabla5[[#This Row],[INVERSIONES FCI]]-CY201,Tabla5[[#This Row],[INVERSIONES FCI]])</f>
        <v>36377322474.758987</v>
      </c>
      <c r="CZ202" s="5">
        <f>IF($B201&lt;=Tabla5[[#This Row],[INVERSIONES FCI]],+Tabla5[[#This Row],[INVERSIONES FCI]]-CZ201,Tabla5[[#This Row],[INVERSIONES FCI]])</f>
        <v>36377322474.758987</v>
      </c>
      <c r="DA202" s="5">
        <f>IF($B201&lt;=Tabla5[[#This Row],[INVERSIONES FCI]],+Tabla5[[#This Row],[INVERSIONES FCI]]-DA201,Tabla5[[#This Row],[INVERSIONES FCI]])</f>
        <v>36377322474.758987</v>
      </c>
      <c r="DB202" s="5">
        <f>IF($B201&lt;=Tabla5[[#This Row],[INVERSIONES FCI]],+Tabla5[[#This Row],[INVERSIONES FCI]]-DB201,Tabla5[[#This Row],[INVERSIONES FCI]])</f>
        <v>36377322474.758987</v>
      </c>
      <c r="DC202" s="5">
        <f>IF($B201&lt;=Tabla5[[#This Row],[INVERSIONES FCI]],+Tabla5[[#This Row],[INVERSIONES FCI]]-DC201,Tabla5[[#This Row],[INVERSIONES FCI]])</f>
        <v>36377322474.758987</v>
      </c>
      <c r="DD202" s="5">
        <f>IF($B201&lt;=Tabla5[[#This Row],[INVERSIONES FCI]],+Tabla5[[#This Row],[INVERSIONES FCI]]-DD201,Tabla5[[#This Row],[INVERSIONES FCI]])</f>
        <v>36377322474.758987</v>
      </c>
      <c r="DE202" s="5">
        <f>IF($B201&lt;=Tabla5[[#This Row],[INVERSIONES FCI]],+Tabla5[[#This Row],[INVERSIONES FCI]]-DE201,Tabla5[[#This Row],[INVERSIONES FCI]])</f>
        <v>36377322474.758987</v>
      </c>
      <c r="DF202" s="5">
        <f>IF($B201&lt;=Tabla5[[#This Row],[INVERSIONES FCI]],+Tabla5[[#This Row],[INVERSIONES FCI]]-DF201,Tabla5[[#This Row],[INVERSIONES FCI]])</f>
        <v>36377322474.758987</v>
      </c>
      <c r="DG202" s="5">
        <f>IF($B201&lt;=Tabla5[[#This Row],[INVERSIONES FCI]],+Tabla5[[#This Row],[INVERSIONES FCI]]-DG201,Tabla5[[#This Row],[INVERSIONES FCI]])</f>
        <v>36377322474.758987</v>
      </c>
      <c r="DH202" s="5">
        <f>IF($B201&lt;=Tabla5[[#This Row],[INVERSIONES FCI]],+Tabla5[[#This Row],[INVERSIONES FCI]]-DH201,Tabla5[[#This Row],[INVERSIONES FCI]])</f>
        <v>36377322474.758987</v>
      </c>
      <c r="DI202" s="5">
        <f>IF($B201&lt;=Tabla5[[#This Row],[INVERSIONES FCI]],+Tabla5[[#This Row],[INVERSIONES FCI]]-DI201,Tabla5[[#This Row],[INVERSIONES FCI]])</f>
        <v>36377322474.758987</v>
      </c>
      <c r="DJ202" s="5">
        <f>IF($B201&lt;=Tabla5[[#This Row],[INVERSIONES FCI]],+Tabla5[[#This Row],[INVERSIONES FCI]]-DJ201,Tabla5[[#This Row],[INVERSIONES FCI]])</f>
        <v>36377322474.758987</v>
      </c>
      <c r="DK202" s="5">
        <f>IF($B201&lt;=Tabla5[[#This Row],[INVERSIONES FCI]],+Tabla5[[#This Row],[INVERSIONES FCI]]-DK201,Tabla5[[#This Row],[INVERSIONES FCI]])</f>
        <v>36377322474.758987</v>
      </c>
      <c r="DL202" s="5"/>
      <c r="DM202" s="5"/>
      <c r="DN202" s="5"/>
      <c r="DO202" s="5"/>
      <c r="DP202" s="5"/>
      <c r="DQ202" s="5"/>
    </row>
    <row r="203" spans="1:121" ht="14.4">
      <c r="A203" s="12" t="s">
        <v>202</v>
      </c>
      <c r="B203" s="5">
        <f>HLOOKUP($A203,ESCENARIO[#All],7,FALSE)</f>
        <v>43439809596.761414</v>
      </c>
      <c r="C203" s="5">
        <f>IF($B202&lt;=Tabla5[[#This Row],[INVERSIONES FCI]],+Tabla5[[#This Row],[INVERSIONES FCI]]-C202,Tabla5[[#This Row],[INVERSIONES FCI]])</f>
        <v>7062487122.0024261</v>
      </c>
      <c r="D203" s="5">
        <f>IF($B202&lt;=Tabla5[[#This Row],[INVERSIONES FCI]],+Tabla5[[#This Row],[INVERSIONES FCI]]-D202,Tabla5[[#This Row],[INVERSIONES FCI]])</f>
        <v>7062487122.0024261</v>
      </c>
      <c r="E203" s="5">
        <f>IF($B202&lt;=Tabla5[[#This Row],[INVERSIONES FCI]],+Tabla5[[#This Row],[INVERSIONES FCI]]-E202,Tabla5[[#This Row],[INVERSIONES FCI]])</f>
        <v>7062487122.0024261</v>
      </c>
      <c r="F203" s="5">
        <f>IF($B202&lt;=Tabla5[[#This Row],[INVERSIONES FCI]],+Tabla5[[#This Row],[INVERSIONES FCI]]-F202,Tabla5[[#This Row],[INVERSIONES FCI]])</f>
        <v>7062487122.0024261</v>
      </c>
      <c r="G203" s="5">
        <f>IF($B202&lt;=Tabla5[[#This Row],[INVERSIONES FCI]],+Tabla5[[#This Row],[INVERSIONES FCI]]-G202,Tabla5[[#This Row],[INVERSIONES FCI]])</f>
        <v>7062487122.0024261</v>
      </c>
      <c r="H203" s="5">
        <f>IF($B202&lt;=Tabla5[[#This Row],[INVERSIONES FCI]],+Tabla5[[#This Row],[INVERSIONES FCI]]-H202,Tabla5[[#This Row],[INVERSIONES FCI]])</f>
        <v>7062487122.0024261</v>
      </c>
      <c r="I203" s="5">
        <f>IF($B202&lt;=Tabla5[[#This Row],[INVERSIONES FCI]],+Tabla5[[#This Row],[INVERSIONES FCI]]-I202,Tabla5[[#This Row],[INVERSIONES FCI]])</f>
        <v>7062487122.0024261</v>
      </c>
      <c r="J203" s="5">
        <f>IF($B202&lt;=Tabla5[[#This Row],[INVERSIONES FCI]],+Tabla5[[#This Row],[INVERSIONES FCI]]-J202,Tabla5[[#This Row],[INVERSIONES FCI]])</f>
        <v>7062487122.0024261</v>
      </c>
      <c r="K203" s="5">
        <f>IF($B202&lt;=Tabla5[[#This Row],[INVERSIONES FCI]],+Tabla5[[#This Row],[INVERSIONES FCI]]-K202,Tabla5[[#This Row],[INVERSIONES FCI]])</f>
        <v>7062487122.0024261</v>
      </c>
      <c r="L203" s="5">
        <f>IF($B202&lt;=Tabla5[[#This Row],[INVERSIONES FCI]],+Tabla5[[#This Row],[INVERSIONES FCI]]-L202,Tabla5[[#This Row],[INVERSIONES FCI]])</f>
        <v>7062487122.0024261</v>
      </c>
      <c r="M203" s="5">
        <f>IF($B202&lt;=Tabla5[[#This Row],[INVERSIONES FCI]],+Tabla5[[#This Row],[INVERSIONES FCI]]-M202,Tabla5[[#This Row],[INVERSIONES FCI]])</f>
        <v>7062487122.0024261</v>
      </c>
      <c r="N203" s="5">
        <f>IF($B202&lt;=Tabla5[[#This Row],[INVERSIONES FCI]],+Tabla5[[#This Row],[INVERSIONES FCI]]-N202,Tabla5[[#This Row],[INVERSIONES FCI]])</f>
        <v>7062487122.0024261</v>
      </c>
      <c r="O203" s="5">
        <f>IF($B202&lt;=Tabla5[[#This Row],[INVERSIONES FCI]],+Tabla5[[#This Row],[INVERSIONES FCI]]-O202,Tabla5[[#This Row],[INVERSIONES FCI]])</f>
        <v>7062487122.0024261</v>
      </c>
      <c r="P203" s="5">
        <f>IF($B202&lt;=Tabla5[[#This Row],[INVERSIONES FCI]],+Tabla5[[#This Row],[INVERSIONES FCI]]-P202,Tabla5[[#This Row],[INVERSIONES FCI]])</f>
        <v>7062487122.0024261</v>
      </c>
      <c r="Q203" s="5">
        <f>IF($B202&lt;=Tabla5[[#This Row],[INVERSIONES FCI]],+Tabla5[[#This Row],[INVERSIONES FCI]]-Q202,Tabla5[[#This Row],[INVERSIONES FCI]])</f>
        <v>7062487122.0024261</v>
      </c>
      <c r="R203" s="5">
        <f>IF($B202&lt;=Tabla5[[#This Row],[INVERSIONES FCI]],+Tabla5[[#This Row],[INVERSIONES FCI]]-R202,Tabla5[[#This Row],[INVERSIONES FCI]])</f>
        <v>7062487122.0024261</v>
      </c>
      <c r="S203" s="5">
        <f>IF($B202&lt;=Tabla5[[#This Row],[INVERSIONES FCI]],+Tabla5[[#This Row],[INVERSIONES FCI]]-S202,Tabla5[[#This Row],[INVERSIONES FCI]])</f>
        <v>7062487122.0024261</v>
      </c>
      <c r="T203" s="5">
        <f>IF($B202&lt;=Tabla5[[#This Row],[INVERSIONES FCI]],+Tabla5[[#This Row],[INVERSIONES FCI]]-T202,Tabla5[[#This Row],[INVERSIONES FCI]])</f>
        <v>7062487122.0024261</v>
      </c>
      <c r="U203" s="5">
        <f>IF($B202&lt;=Tabla5[[#This Row],[INVERSIONES FCI]],+Tabla5[[#This Row],[INVERSIONES FCI]]-U202,Tabla5[[#This Row],[INVERSIONES FCI]])</f>
        <v>7062487122.0024261</v>
      </c>
      <c r="V203" s="5">
        <f>IF($B202&lt;=Tabla5[[#This Row],[INVERSIONES FCI]],+Tabla5[[#This Row],[INVERSIONES FCI]]-V202,Tabla5[[#This Row],[INVERSIONES FCI]])</f>
        <v>7062487122.0024261</v>
      </c>
      <c r="W203" s="5">
        <f>IF($B202&lt;=Tabla5[[#This Row],[INVERSIONES FCI]],+Tabla5[[#This Row],[INVERSIONES FCI]]-W202,Tabla5[[#This Row],[INVERSIONES FCI]])</f>
        <v>7062487122.0024261</v>
      </c>
      <c r="X203" s="5">
        <f>IF($B202&lt;=Tabla5[[#This Row],[INVERSIONES FCI]],+Tabla5[[#This Row],[INVERSIONES FCI]]-X202,Tabla5[[#This Row],[INVERSIONES FCI]])</f>
        <v>7062487122.0024261</v>
      </c>
      <c r="Y203" s="5">
        <f>IF($B202&lt;=Tabla5[[#This Row],[INVERSIONES FCI]],+Tabla5[[#This Row],[INVERSIONES FCI]]-Y202,Tabla5[[#This Row],[INVERSIONES FCI]])</f>
        <v>7062487122.0024261</v>
      </c>
      <c r="Z203" s="5">
        <f>IF($B202&lt;=Tabla5[[#This Row],[INVERSIONES FCI]],+Tabla5[[#This Row],[INVERSIONES FCI]]-Z202,Tabla5[[#This Row],[INVERSIONES FCI]])</f>
        <v>7062487122.0024261</v>
      </c>
      <c r="AA203" s="5">
        <f>IF($B202&lt;=Tabla5[[#This Row],[INVERSIONES FCI]],+Tabla5[[#This Row],[INVERSIONES FCI]]-AA202,Tabla5[[#This Row],[INVERSIONES FCI]])</f>
        <v>7062487122.0024261</v>
      </c>
      <c r="AB203" s="5">
        <f>IF($B202&lt;=Tabla5[[#This Row],[INVERSIONES FCI]],+Tabla5[[#This Row],[INVERSIONES FCI]]-AB202,Tabla5[[#This Row],[INVERSIONES FCI]])</f>
        <v>7062487122.0024261</v>
      </c>
      <c r="AC203" s="5">
        <f>IF($B202&lt;=Tabla5[[#This Row],[INVERSIONES FCI]],+Tabla5[[#This Row],[INVERSIONES FCI]]-AC202,Tabla5[[#This Row],[INVERSIONES FCI]])</f>
        <v>7062487122.0024261</v>
      </c>
      <c r="AD203" s="5">
        <f>IF($B202&lt;=Tabla5[[#This Row],[INVERSIONES FCI]],+Tabla5[[#This Row],[INVERSIONES FCI]]-AD202,Tabla5[[#This Row],[INVERSIONES FCI]])</f>
        <v>7062487122.0024261</v>
      </c>
      <c r="AE203" s="5">
        <f>IF($B202&lt;=Tabla5[[#This Row],[INVERSIONES FCI]],+Tabla5[[#This Row],[INVERSIONES FCI]]-AE202,Tabla5[[#This Row],[INVERSIONES FCI]])</f>
        <v>7062487122.0024261</v>
      </c>
      <c r="AF203" s="5">
        <f>IF($B202&lt;=Tabla5[[#This Row],[INVERSIONES FCI]],+Tabla5[[#This Row],[INVERSIONES FCI]]-AF202,Tabla5[[#This Row],[INVERSIONES FCI]])</f>
        <v>7062487122.0024261</v>
      </c>
      <c r="AG203" s="5">
        <f>IF($B202&lt;=Tabla5[[#This Row],[INVERSIONES FCI]],+Tabla5[[#This Row],[INVERSIONES FCI]]-AG202,Tabla5[[#This Row],[INVERSIONES FCI]])</f>
        <v>7062487122.0024261</v>
      </c>
      <c r="AH203" s="5">
        <f>IF($B202&lt;=Tabla5[[#This Row],[INVERSIONES FCI]],+Tabla5[[#This Row],[INVERSIONES FCI]]-AH202,Tabla5[[#This Row],[INVERSIONES FCI]])</f>
        <v>7062487122.0024261</v>
      </c>
      <c r="AI203" s="5">
        <f>IF($B202&lt;=Tabla5[[#This Row],[INVERSIONES FCI]],+Tabla5[[#This Row],[INVERSIONES FCI]]-AI202,Tabla5[[#This Row],[INVERSIONES FCI]])</f>
        <v>7062487122.0024261</v>
      </c>
      <c r="AJ203" s="5">
        <f>IF($B202&lt;=Tabla5[[#This Row],[INVERSIONES FCI]],+Tabla5[[#This Row],[INVERSIONES FCI]]-AJ202,Tabla5[[#This Row],[INVERSIONES FCI]])</f>
        <v>7062487122.0024261</v>
      </c>
      <c r="AK203" s="5">
        <f>IF($B202&lt;=Tabla5[[#This Row],[INVERSIONES FCI]],+Tabla5[[#This Row],[INVERSIONES FCI]]-AK202,Tabla5[[#This Row],[INVERSIONES FCI]])</f>
        <v>7062487122.0024261</v>
      </c>
      <c r="AL203" s="5">
        <f>IF($B202&lt;=Tabla5[[#This Row],[INVERSIONES FCI]],+Tabla5[[#This Row],[INVERSIONES FCI]]-AL202,Tabla5[[#This Row],[INVERSIONES FCI]])</f>
        <v>7062487122.0024261</v>
      </c>
      <c r="AM203" s="5">
        <f>IF($B202&lt;=Tabla5[[#This Row],[INVERSIONES FCI]],+Tabla5[[#This Row],[INVERSIONES FCI]]-AM202,Tabla5[[#This Row],[INVERSIONES FCI]])</f>
        <v>7062487122.0024261</v>
      </c>
      <c r="AN203" s="5">
        <f>IF($B202&lt;=Tabla5[[#This Row],[INVERSIONES FCI]],+Tabla5[[#This Row],[INVERSIONES FCI]]-AN202,Tabla5[[#This Row],[INVERSIONES FCI]])</f>
        <v>7062487122.0024261</v>
      </c>
      <c r="AO203" s="5">
        <f>IF($B202&lt;=Tabla5[[#This Row],[INVERSIONES FCI]],+Tabla5[[#This Row],[INVERSIONES FCI]]-AO202,Tabla5[[#This Row],[INVERSIONES FCI]])</f>
        <v>7062487122.0024261</v>
      </c>
      <c r="AP203" s="5">
        <f>IF($B202&lt;=Tabla5[[#This Row],[INVERSIONES FCI]],+Tabla5[[#This Row],[INVERSIONES FCI]]-AP202,Tabla5[[#This Row],[INVERSIONES FCI]])</f>
        <v>7062487122.0024261</v>
      </c>
      <c r="AQ203" s="5">
        <f>IF($B202&lt;=Tabla5[[#This Row],[INVERSIONES FCI]],+Tabla5[[#This Row],[INVERSIONES FCI]]-AQ202,Tabla5[[#This Row],[INVERSIONES FCI]])</f>
        <v>7062487122.0024261</v>
      </c>
      <c r="AR203" s="5">
        <f>IF($B202&lt;=Tabla5[[#This Row],[INVERSIONES FCI]],+Tabla5[[#This Row],[INVERSIONES FCI]]-AR202,Tabla5[[#This Row],[INVERSIONES FCI]])</f>
        <v>7062487122.0024261</v>
      </c>
      <c r="AS203" s="5">
        <f>IF($B202&lt;=Tabla5[[#This Row],[INVERSIONES FCI]],+Tabla5[[#This Row],[INVERSIONES FCI]]-AS202,Tabla5[[#This Row],[INVERSIONES FCI]])</f>
        <v>7062487122.0024261</v>
      </c>
      <c r="AT203" s="5">
        <f>IF($B202&lt;=Tabla5[[#This Row],[INVERSIONES FCI]],+Tabla5[[#This Row],[INVERSIONES FCI]]-AT202,Tabla5[[#This Row],[INVERSIONES FCI]])</f>
        <v>7062487122.0024261</v>
      </c>
      <c r="AU203" s="5">
        <f>IF($B202&lt;=Tabla5[[#This Row],[INVERSIONES FCI]],+Tabla5[[#This Row],[INVERSIONES FCI]]-AU202,Tabla5[[#This Row],[INVERSIONES FCI]])</f>
        <v>7062487122.0024261</v>
      </c>
      <c r="AV203" s="5">
        <f>IF($B202&lt;=Tabla5[[#This Row],[INVERSIONES FCI]],+Tabla5[[#This Row],[INVERSIONES FCI]]-AV202,Tabla5[[#This Row],[INVERSIONES FCI]])</f>
        <v>7062487122.0024261</v>
      </c>
      <c r="AW203" s="5">
        <f>IF($B202&lt;=Tabla5[[#This Row],[INVERSIONES FCI]],+Tabla5[[#This Row],[INVERSIONES FCI]]-AW202,Tabla5[[#This Row],[INVERSIONES FCI]])</f>
        <v>7062487122.0024261</v>
      </c>
      <c r="AX203" s="5">
        <f>IF($B202&lt;=Tabla5[[#This Row],[INVERSIONES FCI]],+Tabla5[[#This Row],[INVERSIONES FCI]]-AX202,Tabla5[[#This Row],[INVERSIONES FCI]])</f>
        <v>7062487122.0024261</v>
      </c>
      <c r="AY203" s="5">
        <f>IF($B202&lt;=Tabla5[[#This Row],[INVERSIONES FCI]],+Tabla5[[#This Row],[INVERSIONES FCI]]-AY202,Tabla5[[#This Row],[INVERSIONES FCI]])</f>
        <v>7062487122.0024261</v>
      </c>
      <c r="AZ203" s="5">
        <f>IF($B202&lt;=Tabla5[[#This Row],[INVERSIONES FCI]],+Tabla5[[#This Row],[INVERSIONES FCI]]-AZ202,Tabla5[[#This Row],[INVERSIONES FCI]])</f>
        <v>7062487122.0024261</v>
      </c>
      <c r="BA203" s="5">
        <f>IF($B202&lt;=Tabla5[[#This Row],[INVERSIONES FCI]],+Tabla5[[#This Row],[INVERSIONES FCI]]-BA202,Tabla5[[#This Row],[INVERSIONES FCI]])</f>
        <v>7062487122.0024261</v>
      </c>
      <c r="BB203" s="5">
        <f>IF($B202&lt;=Tabla5[[#This Row],[INVERSIONES FCI]],+Tabla5[[#This Row],[INVERSIONES FCI]]-BB202,Tabla5[[#This Row],[INVERSIONES FCI]])</f>
        <v>7062487122.0024261</v>
      </c>
      <c r="BC203" s="5">
        <f>IF($B202&lt;=Tabla5[[#This Row],[INVERSIONES FCI]],+Tabla5[[#This Row],[INVERSIONES FCI]]-BC202,Tabla5[[#This Row],[INVERSIONES FCI]])</f>
        <v>7062487122.0024261</v>
      </c>
      <c r="BD203" s="5">
        <f>IF($B202&lt;=Tabla5[[#This Row],[INVERSIONES FCI]],+Tabla5[[#This Row],[INVERSIONES FCI]]-BD202,Tabla5[[#This Row],[INVERSIONES FCI]])</f>
        <v>7062487122.0024261</v>
      </c>
      <c r="BE203" s="5">
        <f>IF($B202&lt;=Tabla5[[#This Row],[INVERSIONES FCI]],+Tabla5[[#This Row],[INVERSIONES FCI]]-BE202,Tabla5[[#This Row],[INVERSIONES FCI]])</f>
        <v>7062487122.0024261</v>
      </c>
      <c r="BF203" s="5">
        <f>IF($B202&lt;=Tabla5[[#This Row],[INVERSIONES FCI]],+Tabla5[[#This Row],[INVERSIONES FCI]]-BF202,Tabla5[[#This Row],[INVERSIONES FCI]])</f>
        <v>7062487122.0024261</v>
      </c>
      <c r="BG203" s="5">
        <f>IF($B202&lt;=Tabla5[[#This Row],[INVERSIONES FCI]],+Tabla5[[#This Row],[INVERSIONES FCI]]-BG202,Tabla5[[#This Row],[INVERSIONES FCI]])</f>
        <v>7062487122.0024261</v>
      </c>
      <c r="BH203" s="5">
        <f>IF($B202&lt;=Tabla5[[#This Row],[INVERSIONES FCI]],+Tabla5[[#This Row],[INVERSIONES FCI]]-BH202,Tabla5[[#This Row],[INVERSIONES FCI]])</f>
        <v>7062487122.0024261</v>
      </c>
      <c r="BI203" s="5">
        <f>IF($B202&lt;=Tabla5[[#This Row],[INVERSIONES FCI]],+Tabla5[[#This Row],[INVERSIONES FCI]]-BI202,Tabla5[[#This Row],[INVERSIONES FCI]])</f>
        <v>7062487122.0024261</v>
      </c>
      <c r="BJ203" s="5">
        <f>IF($B202&lt;=Tabla5[[#This Row],[INVERSIONES FCI]],+Tabla5[[#This Row],[INVERSIONES FCI]]-BJ202,Tabla5[[#This Row],[INVERSIONES FCI]])</f>
        <v>7062487122.0024261</v>
      </c>
      <c r="BK203" s="5">
        <f>IF($B202&lt;=Tabla5[[#This Row],[INVERSIONES FCI]],+Tabla5[[#This Row],[INVERSIONES FCI]]-BK202,Tabla5[[#This Row],[INVERSIONES FCI]])</f>
        <v>7062487122.0024261</v>
      </c>
      <c r="BL203" s="5">
        <f>IF($B202&lt;=Tabla5[[#This Row],[INVERSIONES FCI]],+Tabla5[[#This Row],[INVERSIONES FCI]]-BL202,Tabla5[[#This Row],[INVERSIONES FCI]])</f>
        <v>7062487122.0024261</v>
      </c>
      <c r="BM203" s="5">
        <f>IF($B202&lt;=Tabla5[[#This Row],[INVERSIONES FCI]],+Tabla5[[#This Row],[INVERSIONES FCI]]-BM202,Tabla5[[#This Row],[INVERSIONES FCI]])</f>
        <v>7062487122.0024261</v>
      </c>
      <c r="BN203" s="5">
        <f>IF($B202&lt;=Tabla5[[#This Row],[INVERSIONES FCI]],+Tabla5[[#This Row],[INVERSIONES FCI]]-BN202,Tabla5[[#This Row],[INVERSIONES FCI]])</f>
        <v>7062487122.0024261</v>
      </c>
      <c r="BO203" s="5">
        <f>IF($B202&lt;=Tabla5[[#This Row],[INVERSIONES FCI]],+Tabla5[[#This Row],[INVERSIONES FCI]]-BO202,Tabla5[[#This Row],[INVERSIONES FCI]])</f>
        <v>7062487122.0024261</v>
      </c>
      <c r="BP203" s="5">
        <f>IF($B202&lt;=Tabla5[[#This Row],[INVERSIONES FCI]],+Tabla5[[#This Row],[INVERSIONES FCI]]-BP202,Tabla5[[#This Row],[INVERSIONES FCI]])</f>
        <v>7062487122.0024261</v>
      </c>
      <c r="BQ203" s="5">
        <f>IF($B202&lt;=Tabla5[[#This Row],[INVERSIONES FCI]],+Tabla5[[#This Row],[INVERSIONES FCI]]-BQ202,Tabla5[[#This Row],[INVERSIONES FCI]])</f>
        <v>7062487122.0024261</v>
      </c>
      <c r="BR203" s="5">
        <f>IF($B202&lt;=Tabla5[[#This Row],[INVERSIONES FCI]],+Tabla5[[#This Row],[INVERSIONES FCI]]-BR202,Tabla5[[#This Row],[INVERSIONES FCI]])</f>
        <v>7062487122.0024261</v>
      </c>
      <c r="BS203" s="5">
        <f>IF($B202&lt;=Tabla5[[#This Row],[INVERSIONES FCI]],+Tabla5[[#This Row],[INVERSIONES FCI]]-BS202,Tabla5[[#This Row],[INVERSIONES FCI]])</f>
        <v>7062487122.0024261</v>
      </c>
      <c r="BT203" s="5">
        <f>IF($B202&lt;=Tabla5[[#This Row],[INVERSIONES FCI]],+Tabla5[[#This Row],[INVERSIONES FCI]]-BT202,Tabla5[[#This Row],[INVERSIONES FCI]])</f>
        <v>7062487122.0024261</v>
      </c>
      <c r="BU203" s="5">
        <f>IF($B202&lt;=Tabla5[[#This Row],[INVERSIONES FCI]],+Tabla5[[#This Row],[INVERSIONES FCI]]-BU202,Tabla5[[#This Row],[INVERSIONES FCI]])</f>
        <v>7062487122.0024261</v>
      </c>
      <c r="BV203" s="5">
        <f>IF($B202&lt;=Tabla5[[#This Row],[INVERSIONES FCI]],+Tabla5[[#This Row],[INVERSIONES FCI]]-BV202,Tabla5[[#This Row],[INVERSIONES FCI]])</f>
        <v>7062487122.0024261</v>
      </c>
      <c r="BW203" s="5">
        <f>IF($B202&lt;=Tabla5[[#This Row],[INVERSIONES FCI]],+Tabla5[[#This Row],[INVERSIONES FCI]]-BW202,Tabla5[[#This Row],[INVERSIONES FCI]])</f>
        <v>7062487122.0024261</v>
      </c>
      <c r="BX203" s="5">
        <f>IF($B202&lt;=Tabla5[[#This Row],[INVERSIONES FCI]],+Tabla5[[#This Row],[INVERSIONES FCI]]-BX202,Tabla5[[#This Row],[INVERSIONES FCI]])</f>
        <v>7062487122.0024261</v>
      </c>
      <c r="BY203" s="5">
        <f>IF($B202&lt;=Tabla5[[#This Row],[INVERSIONES FCI]],+Tabla5[[#This Row],[INVERSIONES FCI]]-BY202,Tabla5[[#This Row],[INVERSIONES FCI]])</f>
        <v>7062487122.0024261</v>
      </c>
      <c r="BZ203" s="5">
        <f>IF($B202&lt;=Tabla5[[#This Row],[INVERSIONES FCI]],+Tabla5[[#This Row],[INVERSIONES FCI]]-BZ202,Tabla5[[#This Row],[INVERSIONES FCI]])</f>
        <v>7062487122.0024261</v>
      </c>
      <c r="CA203" s="5">
        <f>IF($B202&lt;=Tabla5[[#This Row],[INVERSIONES FCI]],+Tabla5[[#This Row],[INVERSIONES FCI]]-CA202,Tabla5[[#This Row],[INVERSIONES FCI]])</f>
        <v>7062487122.0024261</v>
      </c>
      <c r="CB203" s="5">
        <f>IF($B202&lt;=Tabla5[[#This Row],[INVERSIONES FCI]],+Tabla5[[#This Row],[INVERSIONES FCI]]-CB202,Tabla5[[#This Row],[INVERSIONES FCI]])</f>
        <v>7062487122.0024261</v>
      </c>
      <c r="CC203" s="5">
        <f>IF($B202&lt;=Tabla5[[#This Row],[INVERSIONES FCI]],+Tabla5[[#This Row],[INVERSIONES FCI]]-CC202,Tabla5[[#This Row],[INVERSIONES FCI]])</f>
        <v>7062487122.0024261</v>
      </c>
      <c r="CD203" s="5">
        <f>IF($B202&lt;=Tabla5[[#This Row],[INVERSIONES FCI]],+Tabla5[[#This Row],[INVERSIONES FCI]]-CD202,Tabla5[[#This Row],[INVERSIONES FCI]])</f>
        <v>7062487122.0024261</v>
      </c>
      <c r="CE203" s="5">
        <f>IF($B202&lt;=Tabla5[[#This Row],[INVERSIONES FCI]],+Tabla5[[#This Row],[INVERSIONES FCI]]-CE202,Tabla5[[#This Row],[INVERSIONES FCI]])</f>
        <v>7062487122.0024261</v>
      </c>
      <c r="CF203" s="5">
        <f>IF($B202&lt;=Tabla5[[#This Row],[INVERSIONES FCI]],+Tabla5[[#This Row],[INVERSIONES FCI]]-CF202,Tabla5[[#This Row],[INVERSIONES FCI]])</f>
        <v>7062487122.0024261</v>
      </c>
      <c r="CG203" s="5">
        <f>IF($B202&lt;=Tabla5[[#This Row],[INVERSIONES FCI]],+Tabla5[[#This Row],[INVERSIONES FCI]]-CG202,Tabla5[[#This Row],[INVERSIONES FCI]])</f>
        <v>7062487122.0024261</v>
      </c>
      <c r="CH203" s="5">
        <f>IF($B202&lt;=Tabla5[[#This Row],[INVERSIONES FCI]],+Tabla5[[#This Row],[INVERSIONES FCI]]-CH202,Tabla5[[#This Row],[INVERSIONES FCI]])</f>
        <v>7062487122.0024261</v>
      </c>
      <c r="CI203" s="5">
        <f>IF($B202&lt;=Tabla5[[#This Row],[INVERSIONES FCI]],+Tabla5[[#This Row],[INVERSIONES FCI]]-CI202,Tabla5[[#This Row],[INVERSIONES FCI]])</f>
        <v>7062487122.0024261</v>
      </c>
      <c r="CJ203" s="5">
        <f>IF($B202&lt;=Tabla5[[#This Row],[INVERSIONES FCI]],+Tabla5[[#This Row],[INVERSIONES FCI]]-CJ202,Tabla5[[#This Row],[INVERSIONES FCI]])</f>
        <v>7062487122.0024261</v>
      </c>
      <c r="CK203" s="5">
        <f>IF($B202&lt;=Tabla5[[#This Row],[INVERSIONES FCI]],+Tabla5[[#This Row],[INVERSIONES FCI]]-CK202,Tabla5[[#This Row],[INVERSIONES FCI]])</f>
        <v>7062487122.0024261</v>
      </c>
      <c r="CL203" s="5">
        <f>IF($B202&lt;=Tabla5[[#This Row],[INVERSIONES FCI]],+Tabla5[[#This Row],[INVERSIONES FCI]]-CL202,Tabla5[[#This Row],[INVERSIONES FCI]])</f>
        <v>7062487122.0024261</v>
      </c>
      <c r="CM203" s="5">
        <f>IF($B202&lt;=Tabla5[[#This Row],[INVERSIONES FCI]],+Tabla5[[#This Row],[INVERSIONES FCI]]-CM202,Tabla5[[#This Row],[INVERSIONES FCI]])</f>
        <v>7062487122.0024261</v>
      </c>
      <c r="CN203" s="5">
        <f>IF($B202&lt;=Tabla5[[#This Row],[INVERSIONES FCI]],+Tabla5[[#This Row],[INVERSIONES FCI]]-CN202,Tabla5[[#This Row],[INVERSIONES FCI]])</f>
        <v>7062487122.0024261</v>
      </c>
      <c r="CO203" s="5">
        <f>IF($B202&lt;=Tabla5[[#This Row],[INVERSIONES FCI]],+Tabla5[[#This Row],[INVERSIONES FCI]]-CO202,Tabla5[[#This Row],[INVERSIONES FCI]])</f>
        <v>7062487122.0024261</v>
      </c>
      <c r="CP203" s="5">
        <f>IF($B202&lt;=Tabla5[[#This Row],[INVERSIONES FCI]],+Tabla5[[#This Row],[INVERSIONES FCI]]-CP202,Tabla5[[#This Row],[INVERSIONES FCI]])</f>
        <v>7062487122.0024261</v>
      </c>
      <c r="CQ203" s="5">
        <f>IF($B202&lt;=Tabla5[[#This Row],[INVERSIONES FCI]],+Tabla5[[#This Row],[INVERSIONES FCI]]-CQ202,Tabla5[[#This Row],[INVERSIONES FCI]])</f>
        <v>7062487122.0024261</v>
      </c>
      <c r="CR203" s="5">
        <f>IF($B202&lt;=Tabla5[[#This Row],[INVERSIONES FCI]],+Tabla5[[#This Row],[INVERSIONES FCI]]-CR202,Tabla5[[#This Row],[INVERSIONES FCI]])</f>
        <v>7062487122.0024261</v>
      </c>
      <c r="CS203" s="5">
        <f>IF($B202&lt;=Tabla5[[#This Row],[INVERSIONES FCI]],+Tabla5[[#This Row],[INVERSIONES FCI]]-CS202,Tabla5[[#This Row],[INVERSIONES FCI]])</f>
        <v>7062487122.0024261</v>
      </c>
      <c r="CT203" s="5">
        <f>IF($B202&lt;=Tabla5[[#This Row],[INVERSIONES FCI]],+Tabla5[[#This Row],[INVERSIONES FCI]]-CT202,Tabla5[[#This Row],[INVERSIONES FCI]])</f>
        <v>7062487122.0024261</v>
      </c>
      <c r="CU203" s="5">
        <f>IF($B202&lt;=Tabla5[[#This Row],[INVERSIONES FCI]],+Tabla5[[#This Row],[INVERSIONES FCI]]-CU202,Tabla5[[#This Row],[INVERSIONES FCI]])</f>
        <v>7062487122.0024261</v>
      </c>
      <c r="CV203" s="5">
        <f>IF($B202&lt;=Tabla5[[#This Row],[INVERSIONES FCI]],+Tabla5[[#This Row],[INVERSIONES FCI]]-CV202,Tabla5[[#This Row],[INVERSIONES FCI]])</f>
        <v>7062487122.0024261</v>
      </c>
      <c r="CW203" s="5">
        <f>IF($B202&lt;=Tabla5[[#This Row],[INVERSIONES FCI]],+Tabla5[[#This Row],[INVERSIONES FCI]]-CW202,Tabla5[[#This Row],[INVERSIONES FCI]])</f>
        <v>7062487122.0024261</v>
      </c>
      <c r="CX203" s="5">
        <f>IF($B202&lt;=Tabla5[[#This Row],[INVERSIONES FCI]],+Tabla5[[#This Row],[INVERSIONES FCI]]-CX202,Tabla5[[#This Row],[INVERSIONES FCI]])</f>
        <v>7062487122.0024261</v>
      </c>
      <c r="CY203" s="5">
        <f>IF($B202&lt;=Tabla5[[#This Row],[INVERSIONES FCI]],+Tabla5[[#This Row],[INVERSIONES FCI]]-CY202,Tabla5[[#This Row],[INVERSIONES FCI]])</f>
        <v>7062487122.0024261</v>
      </c>
      <c r="CZ203" s="5">
        <f>IF($B202&lt;=Tabla5[[#This Row],[INVERSIONES FCI]],+Tabla5[[#This Row],[INVERSIONES FCI]]-CZ202,Tabla5[[#This Row],[INVERSIONES FCI]])</f>
        <v>7062487122.0024261</v>
      </c>
      <c r="DA203" s="5">
        <f>IF($B202&lt;=Tabla5[[#This Row],[INVERSIONES FCI]],+Tabla5[[#This Row],[INVERSIONES FCI]]-DA202,Tabla5[[#This Row],[INVERSIONES FCI]])</f>
        <v>7062487122.0024261</v>
      </c>
      <c r="DB203" s="5">
        <f>IF($B202&lt;=Tabla5[[#This Row],[INVERSIONES FCI]],+Tabla5[[#This Row],[INVERSIONES FCI]]-DB202,Tabla5[[#This Row],[INVERSIONES FCI]])</f>
        <v>7062487122.0024261</v>
      </c>
      <c r="DC203" s="5">
        <f>IF($B202&lt;=Tabla5[[#This Row],[INVERSIONES FCI]],+Tabla5[[#This Row],[INVERSIONES FCI]]-DC202,Tabla5[[#This Row],[INVERSIONES FCI]])</f>
        <v>7062487122.0024261</v>
      </c>
      <c r="DD203" s="5">
        <f>IF($B202&lt;=Tabla5[[#This Row],[INVERSIONES FCI]],+Tabla5[[#This Row],[INVERSIONES FCI]]-DD202,Tabla5[[#This Row],[INVERSIONES FCI]])</f>
        <v>7062487122.0024261</v>
      </c>
      <c r="DE203" s="5">
        <f>IF($B202&lt;=Tabla5[[#This Row],[INVERSIONES FCI]],+Tabla5[[#This Row],[INVERSIONES FCI]]-DE202,Tabla5[[#This Row],[INVERSIONES FCI]])</f>
        <v>7062487122.0024261</v>
      </c>
      <c r="DF203" s="5">
        <f>IF($B202&lt;=Tabla5[[#This Row],[INVERSIONES FCI]],+Tabla5[[#This Row],[INVERSIONES FCI]]-DF202,Tabla5[[#This Row],[INVERSIONES FCI]])</f>
        <v>7062487122.0024261</v>
      </c>
      <c r="DG203" s="5">
        <f>IF($B202&lt;=Tabla5[[#This Row],[INVERSIONES FCI]],+Tabla5[[#This Row],[INVERSIONES FCI]]-DG202,Tabla5[[#This Row],[INVERSIONES FCI]])</f>
        <v>7062487122.0024261</v>
      </c>
      <c r="DH203" s="5">
        <f>IF($B202&lt;=Tabla5[[#This Row],[INVERSIONES FCI]],+Tabla5[[#This Row],[INVERSIONES FCI]]-DH202,Tabla5[[#This Row],[INVERSIONES FCI]])</f>
        <v>7062487122.0024261</v>
      </c>
      <c r="DI203" s="5">
        <f>IF($B202&lt;=Tabla5[[#This Row],[INVERSIONES FCI]],+Tabla5[[#This Row],[INVERSIONES FCI]]-DI202,Tabla5[[#This Row],[INVERSIONES FCI]])</f>
        <v>7062487122.0024261</v>
      </c>
      <c r="DJ203" s="5">
        <f>IF($B202&lt;=Tabla5[[#This Row],[INVERSIONES FCI]],+Tabla5[[#This Row],[INVERSIONES FCI]]-DJ202,Tabla5[[#This Row],[INVERSIONES FCI]])</f>
        <v>7062487122.0024261</v>
      </c>
      <c r="DK203" s="5">
        <f>IF($B202&lt;=Tabla5[[#This Row],[INVERSIONES FCI]],+Tabla5[[#This Row],[INVERSIONES FCI]]-DK202,Tabla5[[#This Row],[INVERSIONES FCI]])</f>
        <v>7062487122.0024261</v>
      </c>
      <c r="DL203" s="5"/>
      <c r="DM203" s="5"/>
      <c r="DN203" s="5"/>
      <c r="DO203" s="5"/>
      <c r="DP203" s="5"/>
      <c r="DQ203" s="5"/>
    </row>
    <row r="204" spans="1:121" ht="14.4">
      <c r="A204" s="12" t="s">
        <v>203</v>
      </c>
      <c r="B204" s="5">
        <f>HLOOKUP($A204,ESCENARIO[#All],7,FALSE)</f>
        <v>46347551173.186142</v>
      </c>
      <c r="C204" s="5">
        <f>IF($B203&lt;=Tabla5[[#This Row],[INVERSIONES FCI]],+Tabla5[[#This Row],[INVERSIONES FCI]]-C203,Tabla5[[#This Row],[INVERSIONES FCI]])</f>
        <v>39285064051.183716</v>
      </c>
      <c r="D204" s="5">
        <f>IF($B203&lt;=Tabla5[[#This Row],[INVERSIONES FCI]],+Tabla5[[#This Row],[INVERSIONES FCI]]-D203,Tabla5[[#This Row],[INVERSIONES FCI]])</f>
        <v>39285064051.183716</v>
      </c>
      <c r="E204" s="5">
        <f>IF($B203&lt;=Tabla5[[#This Row],[INVERSIONES FCI]],+Tabla5[[#This Row],[INVERSIONES FCI]]-E203,Tabla5[[#This Row],[INVERSIONES FCI]])</f>
        <v>39285064051.183716</v>
      </c>
      <c r="F204" s="5">
        <f>IF($B203&lt;=Tabla5[[#This Row],[INVERSIONES FCI]],+Tabla5[[#This Row],[INVERSIONES FCI]]-F203,Tabla5[[#This Row],[INVERSIONES FCI]])</f>
        <v>39285064051.183716</v>
      </c>
      <c r="G204" s="5">
        <f>IF($B203&lt;=Tabla5[[#This Row],[INVERSIONES FCI]],+Tabla5[[#This Row],[INVERSIONES FCI]]-G203,Tabla5[[#This Row],[INVERSIONES FCI]])</f>
        <v>39285064051.183716</v>
      </c>
      <c r="H204" s="5">
        <f>IF($B203&lt;=Tabla5[[#This Row],[INVERSIONES FCI]],+Tabla5[[#This Row],[INVERSIONES FCI]]-H203,Tabla5[[#This Row],[INVERSIONES FCI]])</f>
        <v>39285064051.183716</v>
      </c>
      <c r="I204" s="5">
        <f>IF($B203&lt;=Tabla5[[#This Row],[INVERSIONES FCI]],+Tabla5[[#This Row],[INVERSIONES FCI]]-I203,Tabla5[[#This Row],[INVERSIONES FCI]])</f>
        <v>39285064051.183716</v>
      </c>
      <c r="J204" s="5">
        <f>IF($B203&lt;=Tabla5[[#This Row],[INVERSIONES FCI]],+Tabla5[[#This Row],[INVERSIONES FCI]]-J203,Tabla5[[#This Row],[INVERSIONES FCI]])</f>
        <v>39285064051.183716</v>
      </c>
      <c r="K204" s="5">
        <f>IF($B203&lt;=Tabla5[[#This Row],[INVERSIONES FCI]],+Tabla5[[#This Row],[INVERSIONES FCI]]-K203,Tabla5[[#This Row],[INVERSIONES FCI]])</f>
        <v>39285064051.183716</v>
      </c>
      <c r="L204" s="5">
        <f>IF($B203&lt;=Tabla5[[#This Row],[INVERSIONES FCI]],+Tabla5[[#This Row],[INVERSIONES FCI]]-L203,Tabla5[[#This Row],[INVERSIONES FCI]])</f>
        <v>39285064051.183716</v>
      </c>
      <c r="M204" s="5">
        <f>IF($B203&lt;=Tabla5[[#This Row],[INVERSIONES FCI]],+Tabla5[[#This Row],[INVERSIONES FCI]]-M203,Tabla5[[#This Row],[INVERSIONES FCI]])</f>
        <v>39285064051.183716</v>
      </c>
      <c r="N204" s="5">
        <f>IF($B203&lt;=Tabla5[[#This Row],[INVERSIONES FCI]],+Tabla5[[#This Row],[INVERSIONES FCI]]-N203,Tabla5[[#This Row],[INVERSIONES FCI]])</f>
        <v>39285064051.183716</v>
      </c>
      <c r="O204" s="5">
        <f>IF($B203&lt;=Tabla5[[#This Row],[INVERSIONES FCI]],+Tabla5[[#This Row],[INVERSIONES FCI]]-O203,Tabla5[[#This Row],[INVERSIONES FCI]])</f>
        <v>39285064051.183716</v>
      </c>
      <c r="P204" s="5">
        <f>IF($B203&lt;=Tabla5[[#This Row],[INVERSIONES FCI]],+Tabla5[[#This Row],[INVERSIONES FCI]]-P203,Tabla5[[#This Row],[INVERSIONES FCI]])</f>
        <v>39285064051.183716</v>
      </c>
      <c r="Q204" s="5">
        <f>IF($B203&lt;=Tabla5[[#This Row],[INVERSIONES FCI]],+Tabla5[[#This Row],[INVERSIONES FCI]]-Q203,Tabla5[[#This Row],[INVERSIONES FCI]])</f>
        <v>39285064051.183716</v>
      </c>
      <c r="R204" s="5">
        <f>IF($B203&lt;=Tabla5[[#This Row],[INVERSIONES FCI]],+Tabla5[[#This Row],[INVERSIONES FCI]]-R203,Tabla5[[#This Row],[INVERSIONES FCI]])</f>
        <v>39285064051.183716</v>
      </c>
      <c r="S204" s="5">
        <f>IF($B203&lt;=Tabla5[[#This Row],[INVERSIONES FCI]],+Tabla5[[#This Row],[INVERSIONES FCI]]-S203,Tabla5[[#This Row],[INVERSIONES FCI]])</f>
        <v>39285064051.183716</v>
      </c>
      <c r="T204" s="5">
        <f>IF($B203&lt;=Tabla5[[#This Row],[INVERSIONES FCI]],+Tabla5[[#This Row],[INVERSIONES FCI]]-T203,Tabla5[[#This Row],[INVERSIONES FCI]])</f>
        <v>39285064051.183716</v>
      </c>
      <c r="U204" s="5">
        <f>IF($B203&lt;=Tabla5[[#This Row],[INVERSIONES FCI]],+Tabla5[[#This Row],[INVERSIONES FCI]]-U203,Tabla5[[#This Row],[INVERSIONES FCI]])</f>
        <v>39285064051.183716</v>
      </c>
      <c r="V204" s="5">
        <f>IF($B203&lt;=Tabla5[[#This Row],[INVERSIONES FCI]],+Tabla5[[#This Row],[INVERSIONES FCI]]-V203,Tabla5[[#This Row],[INVERSIONES FCI]])</f>
        <v>39285064051.183716</v>
      </c>
      <c r="W204" s="5">
        <f>IF($B203&lt;=Tabla5[[#This Row],[INVERSIONES FCI]],+Tabla5[[#This Row],[INVERSIONES FCI]]-W203,Tabla5[[#This Row],[INVERSIONES FCI]])</f>
        <v>39285064051.183716</v>
      </c>
      <c r="X204" s="5">
        <f>IF($B203&lt;=Tabla5[[#This Row],[INVERSIONES FCI]],+Tabla5[[#This Row],[INVERSIONES FCI]]-X203,Tabla5[[#This Row],[INVERSIONES FCI]])</f>
        <v>39285064051.183716</v>
      </c>
      <c r="Y204" s="5">
        <f>IF($B203&lt;=Tabla5[[#This Row],[INVERSIONES FCI]],+Tabla5[[#This Row],[INVERSIONES FCI]]-Y203,Tabla5[[#This Row],[INVERSIONES FCI]])</f>
        <v>39285064051.183716</v>
      </c>
      <c r="Z204" s="5">
        <f>IF($B203&lt;=Tabla5[[#This Row],[INVERSIONES FCI]],+Tabla5[[#This Row],[INVERSIONES FCI]]-Z203,Tabla5[[#This Row],[INVERSIONES FCI]])</f>
        <v>39285064051.183716</v>
      </c>
      <c r="AA204" s="5">
        <f>IF($B203&lt;=Tabla5[[#This Row],[INVERSIONES FCI]],+Tabla5[[#This Row],[INVERSIONES FCI]]-AA203,Tabla5[[#This Row],[INVERSIONES FCI]])</f>
        <v>39285064051.183716</v>
      </c>
      <c r="AB204" s="5">
        <f>IF($B203&lt;=Tabla5[[#This Row],[INVERSIONES FCI]],+Tabla5[[#This Row],[INVERSIONES FCI]]-AB203,Tabla5[[#This Row],[INVERSIONES FCI]])</f>
        <v>39285064051.183716</v>
      </c>
      <c r="AC204" s="5">
        <f>IF($B203&lt;=Tabla5[[#This Row],[INVERSIONES FCI]],+Tabla5[[#This Row],[INVERSIONES FCI]]-AC203,Tabla5[[#This Row],[INVERSIONES FCI]])</f>
        <v>39285064051.183716</v>
      </c>
      <c r="AD204" s="5">
        <f>IF($B203&lt;=Tabla5[[#This Row],[INVERSIONES FCI]],+Tabla5[[#This Row],[INVERSIONES FCI]]-AD203,Tabla5[[#This Row],[INVERSIONES FCI]])</f>
        <v>39285064051.183716</v>
      </c>
      <c r="AE204" s="5">
        <f>IF($B203&lt;=Tabla5[[#This Row],[INVERSIONES FCI]],+Tabla5[[#This Row],[INVERSIONES FCI]]-AE203,Tabla5[[#This Row],[INVERSIONES FCI]])</f>
        <v>39285064051.183716</v>
      </c>
      <c r="AF204" s="5">
        <f>IF($B203&lt;=Tabla5[[#This Row],[INVERSIONES FCI]],+Tabla5[[#This Row],[INVERSIONES FCI]]-AF203,Tabla5[[#This Row],[INVERSIONES FCI]])</f>
        <v>39285064051.183716</v>
      </c>
      <c r="AG204" s="5">
        <f>IF($B203&lt;=Tabla5[[#This Row],[INVERSIONES FCI]],+Tabla5[[#This Row],[INVERSIONES FCI]]-AG203,Tabla5[[#This Row],[INVERSIONES FCI]])</f>
        <v>39285064051.183716</v>
      </c>
      <c r="AH204" s="5">
        <f>IF($B203&lt;=Tabla5[[#This Row],[INVERSIONES FCI]],+Tabla5[[#This Row],[INVERSIONES FCI]]-AH203,Tabla5[[#This Row],[INVERSIONES FCI]])</f>
        <v>39285064051.183716</v>
      </c>
      <c r="AI204" s="5">
        <f>IF($B203&lt;=Tabla5[[#This Row],[INVERSIONES FCI]],+Tabla5[[#This Row],[INVERSIONES FCI]]-AI203,Tabla5[[#This Row],[INVERSIONES FCI]])</f>
        <v>39285064051.183716</v>
      </c>
      <c r="AJ204" s="5">
        <f>IF($B203&lt;=Tabla5[[#This Row],[INVERSIONES FCI]],+Tabla5[[#This Row],[INVERSIONES FCI]]-AJ203,Tabla5[[#This Row],[INVERSIONES FCI]])</f>
        <v>39285064051.183716</v>
      </c>
      <c r="AK204" s="5">
        <f>IF($B203&lt;=Tabla5[[#This Row],[INVERSIONES FCI]],+Tabla5[[#This Row],[INVERSIONES FCI]]-AK203,Tabla5[[#This Row],[INVERSIONES FCI]])</f>
        <v>39285064051.183716</v>
      </c>
      <c r="AL204" s="5">
        <f>IF($B203&lt;=Tabla5[[#This Row],[INVERSIONES FCI]],+Tabla5[[#This Row],[INVERSIONES FCI]]-AL203,Tabla5[[#This Row],[INVERSIONES FCI]])</f>
        <v>39285064051.183716</v>
      </c>
      <c r="AM204" s="5">
        <f>IF($B203&lt;=Tabla5[[#This Row],[INVERSIONES FCI]],+Tabla5[[#This Row],[INVERSIONES FCI]]-AM203,Tabla5[[#This Row],[INVERSIONES FCI]])</f>
        <v>39285064051.183716</v>
      </c>
      <c r="AN204" s="5">
        <f>IF($B203&lt;=Tabla5[[#This Row],[INVERSIONES FCI]],+Tabla5[[#This Row],[INVERSIONES FCI]]-AN203,Tabla5[[#This Row],[INVERSIONES FCI]])</f>
        <v>39285064051.183716</v>
      </c>
      <c r="AO204" s="5">
        <f>IF($B203&lt;=Tabla5[[#This Row],[INVERSIONES FCI]],+Tabla5[[#This Row],[INVERSIONES FCI]]-AO203,Tabla5[[#This Row],[INVERSIONES FCI]])</f>
        <v>39285064051.183716</v>
      </c>
      <c r="AP204" s="5">
        <f>IF($B203&lt;=Tabla5[[#This Row],[INVERSIONES FCI]],+Tabla5[[#This Row],[INVERSIONES FCI]]-AP203,Tabla5[[#This Row],[INVERSIONES FCI]])</f>
        <v>39285064051.183716</v>
      </c>
      <c r="AQ204" s="5">
        <f>IF($B203&lt;=Tabla5[[#This Row],[INVERSIONES FCI]],+Tabla5[[#This Row],[INVERSIONES FCI]]-AQ203,Tabla5[[#This Row],[INVERSIONES FCI]])</f>
        <v>39285064051.183716</v>
      </c>
      <c r="AR204" s="5">
        <f>IF($B203&lt;=Tabla5[[#This Row],[INVERSIONES FCI]],+Tabla5[[#This Row],[INVERSIONES FCI]]-AR203,Tabla5[[#This Row],[INVERSIONES FCI]])</f>
        <v>39285064051.183716</v>
      </c>
      <c r="AS204" s="5">
        <f>IF($B203&lt;=Tabla5[[#This Row],[INVERSIONES FCI]],+Tabla5[[#This Row],[INVERSIONES FCI]]-AS203,Tabla5[[#This Row],[INVERSIONES FCI]])</f>
        <v>39285064051.183716</v>
      </c>
      <c r="AT204" s="5">
        <f>IF($B203&lt;=Tabla5[[#This Row],[INVERSIONES FCI]],+Tabla5[[#This Row],[INVERSIONES FCI]]-AT203,Tabla5[[#This Row],[INVERSIONES FCI]])</f>
        <v>39285064051.183716</v>
      </c>
      <c r="AU204" s="5">
        <f>IF($B203&lt;=Tabla5[[#This Row],[INVERSIONES FCI]],+Tabla5[[#This Row],[INVERSIONES FCI]]-AU203,Tabla5[[#This Row],[INVERSIONES FCI]])</f>
        <v>39285064051.183716</v>
      </c>
      <c r="AV204" s="5">
        <f>IF($B203&lt;=Tabla5[[#This Row],[INVERSIONES FCI]],+Tabla5[[#This Row],[INVERSIONES FCI]]-AV203,Tabla5[[#This Row],[INVERSIONES FCI]])</f>
        <v>39285064051.183716</v>
      </c>
      <c r="AW204" s="5">
        <f>IF($B203&lt;=Tabla5[[#This Row],[INVERSIONES FCI]],+Tabla5[[#This Row],[INVERSIONES FCI]]-AW203,Tabla5[[#This Row],[INVERSIONES FCI]])</f>
        <v>39285064051.183716</v>
      </c>
      <c r="AX204" s="5">
        <f>IF($B203&lt;=Tabla5[[#This Row],[INVERSIONES FCI]],+Tabla5[[#This Row],[INVERSIONES FCI]]-AX203,Tabla5[[#This Row],[INVERSIONES FCI]])</f>
        <v>39285064051.183716</v>
      </c>
      <c r="AY204" s="5">
        <f>IF($B203&lt;=Tabla5[[#This Row],[INVERSIONES FCI]],+Tabla5[[#This Row],[INVERSIONES FCI]]-AY203,Tabla5[[#This Row],[INVERSIONES FCI]])</f>
        <v>39285064051.183716</v>
      </c>
      <c r="AZ204" s="5">
        <f>IF($B203&lt;=Tabla5[[#This Row],[INVERSIONES FCI]],+Tabla5[[#This Row],[INVERSIONES FCI]]-AZ203,Tabla5[[#This Row],[INVERSIONES FCI]])</f>
        <v>39285064051.183716</v>
      </c>
      <c r="BA204" s="5">
        <f>IF($B203&lt;=Tabla5[[#This Row],[INVERSIONES FCI]],+Tabla5[[#This Row],[INVERSIONES FCI]]-BA203,Tabla5[[#This Row],[INVERSIONES FCI]])</f>
        <v>39285064051.183716</v>
      </c>
      <c r="BB204" s="5">
        <f>IF($B203&lt;=Tabla5[[#This Row],[INVERSIONES FCI]],+Tabla5[[#This Row],[INVERSIONES FCI]]-BB203,Tabla5[[#This Row],[INVERSIONES FCI]])</f>
        <v>39285064051.183716</v>
      </c>
      <c r="BC204" s="5">
        <f>IF($B203&lt;=Tabla5[[#This Row],[INVERSIONES FCI]],+Tabla5[[#This Row],[INVERSIONES FCI]]-BC203,Tabla5[[#This Row],[INVERSIONES FCI]])</f>
        <v>39285064051.183716</v>
      </c>
      <c r="BD204" s="5">
        <f>IF($B203&lt;=Tabla5[[#This Row],[INVERSIONES FCI]],+Tabla5[[#This Row],[INVERSIONES FCI]]-BD203,Tabla5[[#This Row],[INVERSIONES FCI]])</f>
        <v>39285064051.183716</v>
      </c>
      <c r="BE204" s="5">
        <f>IF($B203&lt;=Tabla5[[#This Row],[INVERSIONES FCI]],+Tabla5[[#This Row],[INVERSIONES FCI]]-BE203,Tabla5[[#This Row],[INVERSIONES FCI]])</f>
        <v>39285064051.183716</v>
      </c>
      <c r="BF204" s="5">
        <f>IF($B203&lt;=Tabla5[[#This Row],[INVERSIONES FCI]],+Tabla5[[#This Row],[INVERSIONES FCI]]-BF203,Tabla5[[#This Row],[INVERSIONES FCI]])</f>
        <v>39285064051.183716</v>
      </c>
      <c r="BG204" s="5">
        <f>IF($B203&lt;=Tabla5[[#This Row],[INVERSIONES FCI]],+Tabla5[[#This Row],[INVERSIONES FCI]]-BG203,Tabla5[[#This Row],[INVERSIONES FCI]])</f>
        <v>39285064051.183716</v>
      </c>
      <c r="BH204" s="5">
        <f>IF($B203&lt;=Tabla5[[#This Row],[INVERSIONES FCI]],+Tabla5[[#This Row],[INVERSIONES FCI]]-BH203,Tabla5[[#This Row],[INVERSIONES FCI]])</f>
        <v>39285064051.183716</v>
      </c>
      <c r="BI204" s="5">
        <f>IF($B203&lt;=Tabla5[[#This Row],[INVERSIONES FCI]],+Tabla5[[#This Row],[INVERSIONES FCI]]-BI203,Tabla5[[#This Row],[INVERSIONES FCI]])</f>
        <v>39285064051.183716</v>
      </c>
      <c r="BJ204" s="5">
        <f>IF($B203&lt;=Tabla5[[#This Row],[INVERSIONES FCI]],+Tabla5[[#This Row],[INVERSIONES FCI]]-BJ203,Tabla5[[#This Row],[INVERSIONES FCI]])</f>
        <v>39285064051.183716</v>
      </c>
      <c r="BK204" s="5">
        <f>IF($B203&lt;=Tabla5[[#This Row],[INVERSIONES FCI]],+Tabla5[[#This Row],[INVERSIONES FCI]]-BK203,Tabla5[[#This Row],[INVERSIONES FCI]])</f>
        <v>39285064051.183716</v>
      </c>
      <c r="BL204" s="5">
        <f>IF($B203&lt;=Tabla5[[#This Row],[INVERSIONES FCI]],+Tabla5[[#This Row],[INVERSIONES FCI]]-BL203,Tabla5[[#This Row],[INVERSIONES FCI]])</f>
        <v>39285064051.183716</v>
      </c>
      <c r="BM204" s="5">
        <f>IF($B203&lt;=Tabla5[[#This Row],[INVERSIONES FCI]],+Tabla5[[#This Row],[INVERSIONES FCI]]-BM203,Tabla5[[#This Row],[INVERSIONES FCI]])</f>
        <v>39285064051.183716</v>
      </c>
      <c r="BN204" s="5">
        <f>IF($B203&lt;=Tabla5[[#This Row],[INVERSIONES FCI]],+Tabla5[[#This Row],[INVERSIONES FCI]]-BN203,Tabla5[[#This Row],[INVERSIONES FCI]])</f>
        <v>39285064051.183716</v>
      </c>
      <c r="BO204" s="5">
        <f>IF($B203&lt;=Tabla5[[#This Row],[INVERSIONES FCI]],+Tabla5[[#This Row],[INVERSIONES FCI]]-BO203,Tabla5[[#This Row],[INVERSIONES FCI]])</f>
        <v>39285064051.183716</v>
      </c>
      <c r="BP204" s="5">
        <f>IF($B203&lt;=Tabla5[[#This Row],[INVERSIONES FCI]],+Tabla5[[#This Row],[INVERSIONES FCI]]-BP203,Tabla5[[#This Row],[INVERSIONES FCI]])</f>
        <v>39285064051.183716</v>
      </c>
      <c r="BQ204" s="5">
        <f>IF($B203&lt;=Tabla5[[#This Row],[INVERSIONES FCI]],+Tabla5[[#This Row],[INVERSIONES FCI]]-BQ203,Tabla5[[#This Row],[INVERSIONES FCI]])</f>
        <v>39285064051.183716</v>
      </c>
      <c r="BR204" s="5">
        <f>IF($B203&lt;=Tabla5[[#This Row],[INVERSIONES FCI]],+Tabla5[[#This Row],[INVERSIONES FCI]]-BR203,Tabla5[[#This Row],[INVERSIONES FCI]])</f>
        <v>39285064051.183716</v>
      </c>
      <c r="BS204" s="5">
        <f>IF($B203&lt;=Tabla5[[#This Row],[INVERSIONES FCI]],+Tabla5[[#This Row],[INVERSIONES FCI]]-BS203,Tabla5[[#This Row],[INVERSIONES FCI]])</f>
        <v>39285064051.183716</v>
      </c>
      <c r="BT204" s="5">
        <f>IF($B203&lt;=Tabla5[[#This Row],[INVERSIONES FCI]],+Tabla5[[#This Row],[INVERSIONES FCI]]-BT203,Tabla5[[#This Row],[INVERSIONES FCI]])</f>
        <v>39285064051.183716</v>
      </c>
      <c r="BU204" s="5">
        <f>IF($B203&lt;=Tabla5[[#This Row],[INVERSIONES FCI]],+Tabla5[[#This Row],[INVERSIONES FCI]]-BU203,Tabla5[[#This Row],[INVERSIONES FCI]])</f>
        <v>39285064051.183716</v>
      </c>
      <c r="BV204" s="5">
        <f>IF($B203&lt;=Tabla5[[#This Row],[INVERSIONES FCI]],+Tabla5[[#This Row],[INVERSIONES FCI]]-BV203,Tabla5[[#This Row],[INVERSIONES FCI]])</f>
        <v>39285064051.183716</v>
      </c>
      <c r="BW204" s="5">
        <f>IF($B203&lt;=Tabla5[[#This Row],[INVERSIONES FCI]],+Tabla5[[#This Row],[INVERSIONES FCI]]-BW203,Tabla5[[#This Row],[INVERSIONES FCI]])</f>
        <v>39285064051.183716</v>
      </c>
      <c r="BX204" s="5">
        <f>IF($B203&lt;=Tabla5[[#This Row],[INVERSIONES FCI]],+Tabla5[[#This Row],[INVERSIONES FCI]]-BX203,Tabla5[[#This Row],[INVERSIONES FCI]])</f>
        <v>39285064051.183716</v>
      </c>
      <c r="BY204" s="5">
        <f>IF($B203&lt;=Tabla5[[#This Row],[INVERSIONES FCI]],+Tabla5[[#This Row],[INVERSIONES FCI]]-BY203,Tabla5[[#This Row],[INVERSIONES FCI]])</f>
        <v>39285064051.183716</v>
      </c>
      <c r="BZ204" s="5">
        <f>IF($B203&lt;=Tabla5[[#This Row],[INVERSIONES FCI]],+Tabla5[[#This Row],[INVERSIONES FCI]]-BZ203,Tabla5[[#This Row],[INVERSIONES FCI]])</f>
        <v>39285064051.183716</v>
      </c>
      <c r="CA204" s="5">
        <f>IF($B203&lt;=Tabla5[[#This Row],[INVERSIONES FCI]],+Tabla5[[#This Row],[INVERSIONES FCI]]-CA203,Tabla5[[#This Row],[INVERSIONES FCI]])</f>
        <v>39285064051.183716</v>
      </c>
      <c r="CB204" s="5">
        <f>IF($B203&lt;=Tabla5[[#This Row],[INVERSIONES FCI]],+Tabla5[[#This Row],[INVERSIONES FCI]]-CB203,Tabla5[[#This Row],[INVERSIONES FCI]])</f>
        <v>39285064051.183716</v>
      </c>
      <c r="CC204" s="5">
        <f>IF($B203&lt;=Tabla5[[#This Row],[INVERSIONES FCI]],+Tabla5[[#This Row],[INVERSIONES FCI]]-CC203,Tabla5[[#This Row],[INVERSIONES FCI]])</f>
        <v>39285064051.183716</v>
      </c>
      <c r="CD204" s="5">
        <f>IF($B203&lt;=Tabla5[[#This Row],[INVERSIONES FCI]],+Tabla5[[#This Row],[INVERSIONES FCI]]-CD203,Tabla5[[#This Row],[INVERSIONES FCI]])</f>
        <v>39285064051.183716</v>
      </c>
      <c r="CE204" s="5">
        <f>IF($B203&lt;=Tabla5[[#This Row],[INVERSIONES FCI]],+Tabla5[[#This Row],[INVERSIONES FCI]]-CE203,Tabla5[[#This Row],[INVERSIONES FCI]])</f>
        <v>39285064051.183716</v>
      </c>
      <c r="CF204" s="5">
        <f>IF($B203&lt;=Tabla5[[#This Row],[INVERSIONES FCI]],+Tabla5[[#This Row],[INVERSIONES FCI]]-CF203,Tabla5[[#This Row],[INVERSIONES FCI]])</f>
        <v>39285064051.183716</v>
      </c>
      <c r="CG204" s="5">
        <f>IF($B203&lt;=Tabla5[[#This Row],[INVERSIONES FCI]],+Tabla5[[#This Row],[INVERSIONES FCI]]-CG203,Tabla5[[#This Row],[INVERSIONES FCI]])</f>
        <v>39285064051.183716</v>
      </c>
      <c r="CH204" s="5">
        <f>IF($B203&lt;=Tabla5[[#This Row],[INVERSIONES FCI]],+Tabla5[[#This Row],[INVERSIONES FCI]]-CH203,Tabla5[[#This Row],[INVERSIONES FCI]])</f>
        <v>39285064051.183716</v>
      </c>
      <c r="CI204" s="5">
        <f>IF($B203&lt;=Tabla5[[#This Row],[INVERSIONES FCI]],+Tabla5[[#This Row],[INVERSIONES FCI]]-CI203,Tabla5[[#This Row],[INVERSIONES FCI]])</f>
        <v>39285064051.183716</v>
      </c>
      <c r="CJ204" s="5">
        <f>IF($B203&lt;=Tabla5[[#This Row],[INVERSIONES FCI]],+Tabla5[[#This Row],[INVERSIONES FCI]]-CJ203,Tabla5[[#This Row],[INVERSIONES FCI]])</f>
        <v>39285064051.183716</v>
      </c>
      <c r="CK204" s="5">
        <f>IF($B203&lt;=Tabla5[[#This Row],[INVERSIONES FCI]],+Tabla5[[#This Row],[INVERSIONES FCI]]-CK203,Tabla5[[#This Row],[INVERSIONES FCI]])</f>
        <v>39285064051.183716</v>
      </c>
      <c r="CL204" s="5">
        <f>IF($B203&lt;=Tabla5[[#This Row],[INVERSIONES FCI]],+Tabla5[[#This Row],[INVERSIONES FCI]]-CL203,Tabla5[[#This Row],[INVERSIONES FCI]])</f>
        <v>39285064051.183716</v>
      </c>
      <c r="CM204" s="5">
        <f>IF($B203&lt;=Tabla5[[#This Row],[INVERSIONES FCI]],+Tabla5[[#This Row],[INVERSIONES FCI]]-CM203,Tabla5[[#This Row],[INVERSIONES FCI]])</f>
        <v>39285064051.183716</v>
      </c>
      <c r="CN204" s="5">
        <f>IF($B203&lt;=Tabla5[[#This Row],[INVERSIONES FCI]],+Tabla5[[#This Row],[INVERSIONES FCI]]-CN203,Tabla5[[#This Row],[INVERSIONES FCI]])</f>
        <v>39285064051.183716</v>
      </c>
      <c r="CO204" s="5">
        <f>IF($B203&lt;=Tabla5[[#This Row],[INVERSIONES FCI]],+Tabla5[[#This Row],[INVERSIONES FCI]]-CO203,Tabla5[[#This Row],[INVERSIONES FCI]])</f>
        <v>39285064051.183716</v>
      </c>
      <c r="CP204" s="5">
        <f>IF($B203&lt;=Tabla5[[#This Row],[INVERSIONES FCI]],+Tabla5[[#This Row],[INVERSIONES FCI]]-CP203,Tabla5[[#This Row],[INVERSIONES FCI]])</f>
        <v>39285064051.183716</v>
      </c>
      <c r="CQ204" s="5">
        <f>IF($B203&lt;=Tabla5[[#This Row],[INVERSIONES FCI]],+Tabla5[[#This Row],[INVERSIONES FCI]]-CQ203,Tabla5[[#This Row],[INVERSIONES FCI]])</f>
        <v>39285064051.183716</v>
      </c>
      <c r="CR204" s="5">
        <f>IF($B203&lt;=Tabla5[[#This Row],[INVERSIONES FCI]],+Tabla5[[#This Row],[INVERSIONES FCI]]-CR203,Tabla5[[#This Row],[INVERSIONES FCI]])</f>
        <v>39285064051.183716</v>
      </c>
      <c r="CS204" s="5">
        <f>IF($B203&lt;=Tabla5[[#This Row],[INVERSIONES FCI]],+Tabla5[[#This Row],[INVERSIONES FCI]]-CS203,Tabla5[[#This Row],[INVERSIONES FCI]])</f>
        <v>39285064051.183716</v>
      </c>
      <c r="CT204" s="5">
        <f>IF($B203&lt;=Tabla5[[#This Row],[INVERSIONES FCI]],+Tabla5[[#This Row],[INVERSIONES FCI]]-CT203,Tabla5[[#This Row],[INVERSIONES FCI]])</f>
        <v>39285064051.183716</v>
      </c>
      <c r="CU204" s="5">
        <f>IF($B203&lt;=Tabla5[[#This Row],[INVERSIONES FCI]],+Tabla5[[#This Row],[INVERSIONES FCI]]-CU203,Tabla5[[#This Row],[INVERSIONES FCI]])</f>
        <v>39285064051.183716</v>
      </c>
      <c r="CV204" s="5">
        <f>IF($B203&lt;=Tabla5[[#This Row],[INVERSIONES FCI]],+Tabla5[[#This Row],[INVERSIONES FCI]]-CV203,Tabla5[[#This Row],[INVERSIONES FCI]])</f>
        <v>39285064051.183716</v>
      </c>
      <c r="CW204" s="5">
        <f>IF($B203&lt;=Tabla5[[#This Row],[INVERSIONES FCI]],+Tabla5[[#This Row],[INVERSIONES FCI]]-CW203,Tabla5[[#This Row],[INVERSIONES FCI]])</f>
        <v>39285064051.183716</v>
      </c>
      <c r="CX204" s="5">
        <f>IF($B203&lt;=Tabla5[[#This Row],[INVERSIONES FCI]],+Tabla5[[#This Row],[INVERSIONES FCI]]-CX203,Tabla5[[#This Row],[INVERSIONES FCI]])</f>
        <v>39285064051.183716</v>
      </c>
      <c r="CY204" s="5">
        <f>IF($B203&lt;=Tabla5[[#This Row],[INVERSIONES FCI]],+Tabla5[[#This Row],[INVERSIONES FCI]]-CY203,Tabla5[[#This Row],[INVERSIONES FCI]])</f>
        <v>39285064051.183716</v>
      </c>
      <c r="CZ204" s="5">
        <f>IF($B203&lt;=Tabla5[[#This Row],[INVERSIONES FCI]],+Tabla5[[#This Row],[INVERSIONES FCI]]-CZ203,Tabla5[[#This Row],[INVERSIONES FCI]])</f>
        <v>39285064051.183716</v>
      </c>
      <c r="DA204" s="5">
        <f>IF($B203&lt;=Tabla5[[#This Row],[INVERSIONES FCI]],+Tabla5[[#This Row],[INVERSIONES FCI]]-DA203,Tabla5[[#This Row],[INVERSIONES FCI]])</f>
        <v>39285064051.183716</v>
      </c>
      <c r="DB204" s="5">
        <f>IF($B203&lt;=Tabla5[[#This Row],[INVERSIONES FCI]],+Tabla5[[#This Row],[INVERSIONES FCI]]-DB203,Tabla5[[#This Row],[INVERSIONES FCI]])</f>
        <v>39285064051.183716</v>
      </c>
      <c r="DC204" s="5">
        <f>IF($B203&lt;=Tabla5[[#This Row],[INVERSIONES FCI]],+Tabla5[[#This Row],[INVERSIONES FCI]]-DC203,Tabla5[[#This Row],[INVERSIONES FCI]])</f>
        <v>39285064051.183716</v>
      </c>
      <c r="DD204" s="5">
        <f>IF($B203&lt;=Tabla5[[#This Row],[INVERSIONES FCI]],+Tabla5[[#This Row],[INVERSIONES FCI]]-DD203,Tabla5[[#This Row],[INVERSIONES FCI]])</f>
        <v>39285064051.183716</v>
      </c>
      <c r="DE204" s="5">
        <f>IF($B203&lt;=Tabla5[[#This Row],[INVERSIONES FCI]],+Tabla5[[#This Row],[INVERSIONES FCI]]-DE203,Tabla5[[#This Row],[INVERSIONES FCI]])</f>
        <v>39285064051.183716</v>
      </c>
      <c r="DF204" s="5">
        <f>IF($B203&lt;=Tabla5[[#This Row],[INVERSIONES FCI]],+Tabla5[[#This Row],[INVERSIONES FCI]]-DF203,Tabla5[[#This Row],[INVERSIONES FCI]])</f>
        <v>39285064051.183716</v>
      </c>
      <c r="DG204" s="5">
        <f>IF($B203&lt;=Tabla5[[#This Row],[INVERSIONES FCI]],+Tabla5[[#This Row],[INVERSIONES FCI]]-DG203,Tabla5[[#This Row],[INVERSIONES FCI]])</f>
        <v>39285064051.183716</v>
      </c>
      <c r="DH204" s="5">
        <f>IF($B203&lt;=Tabla5[[#This Row],[INVERSIONES FCI]],+Tabla5[[#This Row],[INVERSIONES FCI]]-DH203,Tabla5[[#This Row],[INVERSIONES FCI]])</f>
        <v>39285064051.183716</v>
      </c>
      <c r="DI204" s="5">
        <f>IF($B203&lt;=Tabla5[[#This Row],[INVERSIONES FCI]],+Tabla5[[#This Row],[INVERSIONES FCI]]-DI203,Tabla5[[#This Row],[INVERSIONES FCI]])</f>
        <v>39285064051.183716</v>
      </c>
      <c r="DJ204" s="5">
        <f>IF($B203&lt;=Tabla5[[#This Row],[INVERSIONES FCI]],+Tabla5[[#This Row],[INVERSIONES FCI]]-DJ203,Tabla5[[#This Row],[INVERSIONES FCI]])</f>
        <v>39285064051.183716</v>
      </c>
      <c r="DK204" s="5">
        <f>IF($B203&lt;=Tabla5[[#This Row],[INVERSIONES FCI]],+Tabla5[[#This Row],[INVERSIONES FCI]]-DK203,Tabla5[[#This Row],[INVERSIONES FCI]])</f>
        <v>39285064051.183716</v>
      </c>
      <c r="DL204" s="5"/>
      <c r="DM204" s="5"/>
      <c r="DN204" s="5"/>
      <c r="DO204" s="5"/>
      <c r="DP204" s="5"/>
      <c r="DQ204" s="5"/>
    </row>
    <row r="205" spans="1:121" ht="14.4">
      <c r="A205" s="12" t="s">
        <v>204</v>
      </c>
      <c r="B205" s="5">
        <f>HLOOKUP($A205,ESCENARIO[#All],7,FALSE)</f>
        <v>46347551173.186142</v>
      </c>
      <c r="C205" s="5">
        <f>IF($B204&lt;=Tabla5[[#This Row],[INVERSIONES FCI]],+Tabla5[[#This Row],[INVERSIONES FCI]]-C204,Tabla5[[#This Row],[INVERSIONES FCI]])</f>
        <v>7062487122.0024261</v>
      </c>
      <c r="D205" s="5">
        <f>IF($B204&lt;=Tabla5[[#This Row],[INVERSIONES FCI]],+Tabla5[[#This Row],[INVERSIONES FCI]]-D204,Tabla5[[#This Row],[INVERSIONES FCI]])</f>
        <v>7062487122.0024261</v>
      </c>
      <c r="E205" s="5">
        <f>IF($B204&lt;=Tabla5[[#This Row],[INVERSIONES FCI]],+Tabla5[[#This Row],[INVERSIONES FCI]]-E204,Tabla5[[#This Row],[INVERSIONES FCI]])</f>
        <v>7062487122.0024261</v>
      </c>
      <c r="F205" s="5">
        <f>IF($B204&lt;=Tabla5[[#This Row],[INVERSIONES FCI]],+Tabla5[[#This Row],[INVERSIONES FCI]]-F204,Tabla5[[#This Row],[INVERSIONES FCI]])</f>
        <v>7062487122.0024261</v>
      </c>
      <c r="G205" s="5">
        <f>IF($B204&lt;=Tabla5[[#This Row],[INVERSIONES FCI]],+Tabla5[[#This Row],[INVERSIONES FCI]]-G204,Tabla5[[#This Row],[INVERSIONES FCI]])</f>
        <v>7062487122.0024261</v>
      </c>
      <c r="H205" s="5">
        <f>IF($B204&lt;=Tabla5[[#This Row],[INVERSIONES FCI]],+Tabla5[[#This Row],[INVERSIONES FCI]]-H204,Tabla5[[#This Row],[INVERSIONES FCI]])</f>
        <v>7062487122.0024261</v>
      </c>
      <c r="I205" s="5">
        <f>IF($B204&lt;=Tabla5[[#This Row],[INVERSIONES FCI]],+Tabla5[[#This Row],[INVERSIONES FCI]]-I204,Tabla5[[#This Row],[INVERSIONES FCI]])</f>
        <v>7062487122.0024261</v>
      </c>
      <c r="J205" s="5">
        <f>IF($B204&lt;=Tabla5[[#This Row],[INVERSIONES FCI]],+Tabla5[[#This Row],[INVERSIONES FCI]]-J204,Tabla5[[#This Row],[INVERSIONES FCI]])</f>
        <v>7062487122.0024261</v>
      </c>
      <c r="K205" s="5">
        <f>IF($B204&lt;=Tabla5[[#This Row],[INVERSIONES FCI]],+Tabla5[[#This Row],[INVERSIONES FCI]]-K204,Tabla5[[#This Row],[INVERSIONES FCI]])</f>
        <v>7062487122.0024261</v>
      </c>
      <c r="L205" s="5">
        <f>IF($B204&lt;=Tabla5[[#This Row],[INVERSIONES FCI]],+Tabla5[[#This Row],[INVERSIONES FCI]]-L204,Tabla5[[#This Row],[INVERSIONES FCI]])</f>
        <v>7062487122.0024261</v>
      </c>
      <c r="M205" s="5">
        <f>IF($B204&lt;=Tabla5[[#This Row],[INVERSIONES FCI]],+Tabla5[[#This Row],[INVERSIONES FCI]]-M204,Tabla5[[#This Row],[INVERSIONES FCI]])</f>
        <v>7062487122.0024261</v>
      </c>
      <c r="N205" s="5">
        <f>IF($B204&lt;=Tabla5[[#This Row],[INVERSIONES FCI]],+Tabla5[[#This Row],[INVERSIONES FCI]]-N204,Tabla5[[#This Row],[INVERSIONES FCI]])</f>
        <v>7062487122.0024261</v>
      </c>
      <c r="O205" s="5">
        <f>IF($B204&lt;=Tabla5[[#This Row],[INVERSIONES FCI]],+Tabla5[[#This Row],[INVERSIONES FCI]]-O204,Tabla5[[#This Row],[INVERSIONES FCI]])</f>
        <v>7062487122.0024261</v>
      </c>
      <c r="P205" s="5">
        <f>IF($B204&lt;=Tabla5[[#This Row],[INVERSIONES FCI]],+Tabla5[[#This Row],[INVERSIONES FCI]]-P204,Tabla5[[#This Row],[INVERSIONES FCI]])</f>
        <v>7062487122.0024261</v>
      </c>
      <c r="Q205" s="5">
        <f>IF($B204&lt;=Tabla5[[#This Row],[INVERSIONES FCI]],+Tabla5[[#This Row],[INVERSIONES FCI]]-Q204,Tabla5[[#This Row],[INVERSIONES FCI]])</f>
        <v>7062487122.0024261</v>
      </c>
      <c r="R205" s="5">
        <f>IF($B204&lt;=Tabla5[[#This Row],[INVERSIONES FCI]],+Tabla5[[#This Row],[INVERSIONES FCI]]-R204,Tabla5[[#This Row],[INVERSIONES FCI]])</f>
        <v>7062487122.0024261</v>
      </c>
      <c r="S205" s="5">
        <f>IF($B204&lt;=Tabla5[[#This Row],[INVERSIONES FCI]],+Tabla5[[#This Row],[INVERSIONES FCI]]-S204,Tabla5[[#This Row],[INVERSIONES FCI]])</f>
        <v>7062487122.0024261</v>
      </c>
      <c r="T205" s="5">
        <f>IF($B204&lt;=Tabla5[[#This Row],[INVERSIONES FCI]],+Tabla5[[#This Row],[INVERSIONES FCI]]-T204,Tabla5[[#This Row],[INVERSIONES FCI]])</f>
        <v>7062487122.0024261</v>
      </c>
      <c r="U205" s="5">
        <f>IF($B204&lt;=Tabla5[[#This Row],[INVERSIONES FCI]],+Tabla5[[#This Row],[INVERSIONES FCI]]-U204,Tabla5[[#This Row],[INVERSIONES FCI]])</f>
        <v>7062487122.0024261</v>
      </c>
      <c r="V205" s="5">
        <f>IF($B204&lt;=Tabla5[[#This Row],[INVERSIONES FCI]],+Tabla5[[#This Row],[INVERSIONES FCI]]-V204,Tabla5[[#This Row],[INVERSIONES FCI]])</f>
        <v>7062487122.0024261</v>
      </c>
      <c r="W205" s="5">
        <f>IF($B204&lt;=Tabla5[[#This Row],[INVERSIONES FCI]],+Tabla5[[#This Row],[INVERSIONES FCI]]-W204,Tabla5[[#This Row],[INVERSIONES FCI]])</f>
        <v>7062487122.0024261</v>
      </c>
      <c r="X205" s="5">
        <f>IF($B204&lt;=Tabla5[[#This Row],[INVERSIONES FCI]],+Tabla5[[#This Row],[INVERSIONES FCI]]-X204,Tabla5[[#This Row],[INVERSIONES FCI]])</f>
        <v>7062487122.0024261</v>
      </c>
      <c r="Y205" s="5">
        <f>IF($B204&lt;=Tabla5[[#This Row],[INVERSIONES FCI]],+Tabla5[[#This Row],[INVERSIONES FCI]]-Y204,Tabla5[[#This Row],[INVERSIONES FCI]])</f>
        <v>7062487122.0024261</v>
      </c>
      <c r="Z205" s="5">
        <f>IF($B204&lt;=Tabla5[[#This Row],[INVERSIONES FCI]],+Tabla5[[#This Row],[INVERSIONES FCI]]-Z204,Tabla5[[#This Row],[INVERSIONES FCI]])</f>
        <v>7062487122.0024261</v>
      </c>
      <c r="AA205" s="5">
        <f>IF($B204&lt;=Tabla5[[#This Row],[INVERSIONES FCI]],+Tabla5[[#This Row],[INVERSIONES FCI]]-AA204,Tabla5[[#This Row],[INVERSIONES FCI]])</f>
        <v>7062487122.0024261</v>
      </c>
      <c r="AB205" s="5">
        <f>IF($B204&lt;=Tabla5[[#This Row],[INVERSIONES FCI]],+Tabla5[[#This Row],[INVERSIONES FCI]]-AB204,Tabla5[[#This Row],[INVERSIONES FCI]])</f>
        <v>7062487122.0024261</v>
      </c>
      <c r="AC205" s="5">
        <f>IF($B204&lt;=Tabla5[[#This Row],[INVERSIONES FCI]],+Tabla5[[#This Row],[INVERSIONES FCI]]-AC204,Tabla5[[#This Row],[INVERSIONES FCI]])</f>
        <v>7062487122.0024261</v>
      </c>
      <c r="AD205" s="5">
        <f>IF($B204&lt;=Tabla5[[#This Row],[INVERSIONES FCI]],+Tabla5[[#This Row],[INVERSIONES FCI]]-AD204,Tabla5[[#This Row],[INVERSIONES FCI]])</f>
        <v>7062487122.0024261</v>
      </c>
      <c r="AE205" s="5">
        <f>IF($B204&lt;=Tabla5[[#This Row],[INVERSIONES FCI]],+Tabla5[[#This Row],[INVERSIONES FCI]]-AE204,Tabla5[[#This Row],[INVERSIONES FCI]])</f>
        <v>7062487122.0024261</v>
      </c>
      <c r="AF205" s="5">
        <f>IF($B204&lt;=Tabla5[[#This Row],[INVERSIONES FCI]],+Tabla5[[#This Row],[INVERSIONES FCI]]-AF204,Tabla5[[#This Row],[INVERSIONES FCI]])</f>
        <v>7062487122.0024261</v>
      </c>
      <c r="AG205" s="5">
        <f>IF($B204&lt;=Tabla5[[#This Row],[INVERSIONES FCI]],+Tabla5[[#This Row],[INVERSIONES FCI]]-AG204,Tabla5[[#This Row],[INVERSIONES FCI]])</f>
        <v>7062487122.0024261</v>
      </c>
      <c r="AH205" s="5">
        <f>IF($B204&lt;=Tabla5[[#This Row],[INVERSIONES FCI]],+Tabla5[[#This Row],[INVERSIONES FCI]]-AH204,Tabla5[[#This Row],[INVERSIONES FCI]])</f>
        <v>7062487122.0024261</v>
      </c>
      <c r="AI205" s="5">
        <f>IF($B204&lt;=Tabla5[[#This Row],[INVERSIONES FCI]],+Tabla5[[#This Row],[INVERSIONES FCI]]-AI204,Tabla5[[#This Row],[INVERSIONES FCI]])</f>
        <v>7062487122.0024261</v>
      </c>
      <c r="AJ205" s="5">
        <f>IF($B204&lt;=Tabla5[[#This Row],[INVERSIONES FCI]],+Tabla5[[#This Row],[INVERSIONES FCI]]-AJ204,Tabla5[[#This Row],[INVERSIONES FCI]])</f>
        <v>7062487122.0024261</v>
      </c>
      <c r="AK205" s="5">
        <f>IF($B204&lt;=Tabla5[[#This Row],[INVERSIONES FCI]],+Tabla5[[#This Row],[INVERSIONES FCI]]-AK204,Tabla5[[#This Row],[INVERSIONES FCI]])</f>
        <v>7062487122.0024261</v>
      </c>
      <c r="AL205" s="5">
        <f>IF($B204&lt;=Tabla5[[#This Row],[INVERSIONES FCI]],+Tabla5[[#This Row],[INVERSIONES FCI]]-AL204,Tabla5[[#This Row],[INVERSIONES FCI]])</f>
        <v>7062487122.0024261</v>
      </c>
      <c r="AM205" s="5">
        <f>IF($B204&lt;=Tabla5[[#This Row],[INVERSIONES FCI]],+Tabla5[[#This Row],[INVERSIONES FCI]]-AM204,Tabla5[[#This Row],[INVERSIONES FCI]])</f>
        <v>7062487122.0024261</v>
      </c>
      <c r="AN205" s="5">
        <f>IF($B204&lt;=Tabla5[[#This Row],[INVERSIONES FCI]],+Tabla5[[#This Row],[INVERSIONES FCI]]-AN204,Tabla5[[#This Row],[INVERSIONES FCI]])</f>
        <v>7062487122.0024261</v>
      </c>
      <c r="AO205" s="5">
        <f>IF($B204&lt;=Tabla5[[#This Row],[INVERSIONES FCI]],+Tabla5[[#This Row],[INVERSIONES FCI]]-AO204,Tabla5[[#This Row],[INVERSIONES FCI]])</f>
        <v>7062487122.0024261</v>
      </c>
      <c r="AP205" s="5">
        <f>IF($B204&lt;=Tabla5[[#This Row],[INVERSIONES FCI]],+Tabla5[[#This Row],[INVERSIONES FCI]]-AP204,Tabla5[[#This Row],[INVERSIONES FCI]])</f>
        <v>7062487122.0024261</v>
      </c>
      <c r="AQ205" s="5">
        <f>IF($B204&lt;=Tabla5[[#This Row],[INVERSIONES FCI]],+Tabla5[[#This Row],[INVERSIONES FCI]]-AQ204,Tabla5[[#This Row],[INVERSIONES FCI]])</f>
        <v>7062487122.0024261</v>
      </c>
      <c r="AR205" s="5">
        <f>IF($B204&lt;=Tabla5[[#This Row],[INVERSIONES FCI]],+Tabla5[[#This Row],[INVERSIONES FCI]]-AR204,Tabla5[[#This Row],[INVERSIONES FCI]])</f>
        <v>7062487122.0024261</v>
      </c>
      <c r="AS205" s="5">
        <f>IF($B204&lt;=Tabla5[[#This Row],[INVERSIONES FCI]],+Tabla5[[#This Row],[INVERSIONES FCI]]-AS204,Tabla5[[#This Row],[INVERSIONES FCI]])</f>
        <v>7062487122.0024261</v>
      </c>
      <c r="AT205" s="5">
        <f>IF($B204&lt;=Tabla5[[#This Row],[INVERSIONES FCI]],+Tabla5[[#This Row],[INVERSIONES FCI]]-AT204,Tabla5[[#This Row],[INVERSIONES FCI]])</f>
        <v>7062487122.0024261</v>
      </c>
      <c r="AU205" s="5">
        <f>IF($B204&lt;=Tabla5[[#This Row],[INVERSIONES FCI]],+Tabla5[[#This Row],[INVERSIONES FCI]]-AU204,Tabla5[[#This Row],[INVERSIONES FCI]])</f>
        <v>7062487122.0024261</v>
      </c>
      <c r="AV205" s="5">
        <f>IF($B204&lt;=Tabla5[[#This Row],[INVERSIONES FCI]],+Tabla5[[#This Row],[INVERSIONES FCI]]-AV204,Tabla5[[#This Row],[INVERSIONES FCI]])</f>
        <v>7062487122.0024261</v>
      </c>
      <c r="AW205" s="5">
        <f>IF($B204&lt;=Tabla5[[#This Row],[INVERSIONES FCI]],+Tabla5[[#This Row],[INVERSIONES FCI]]-AW204,Tabla5[[#This Row],[INVERSIONES FCI]])</f>
        <v>7062487122.0024261</v>
      </c>
      <c r="AX205" s="5">
        <f>IF($B204&lt;=Tabla5[[#This Row],[INVERSIONES FCI]],+Tabla5[[#This Row],[INVERSIONES FCI]]-AX204,Tabla5[[#This Row],[INVERSIONES FCI]])</f>
        <v>7062487122.0024261</v>
      </c>
      <c r="AY205" s="5">
        <f>IF($B204&lt;=Tabla5[[#This Row],[INVERSIONES FCI]],+Tabla5[[#This Row],[INVERSIONES FCI]]-AY204,Tabla5[[#This Row],[INVERSIONES FCI]])</f>
        <v>7062487122.0024261</v>
      </c>
      <c r="AZ205" s="5">
        <f>IF($B204&lt;=Tabla5[[#This Row],[INVERSIONES FCI]],+Tabla5[[#This Row],[INVERSIONES FCI]]-AZ204,Tabla5[[#This Row],[INVERSIONES FCI]])</f>
        <v>7062487122.0024261</v>
      </c>
      <c r="BA205" s="5">
        <f>IF($B204&lt;=Tabla5[[#This Row],[INVERSIONES FCI]],+Tabla5[[#This Row],[INVERSIONES FCI]]-BA204,Tabla5[[#This Row],[INVERSIONES FCI]])</f>
        <v>7062487122.0024261</v>
      </c>
      <c r="BB205" s="5">
        <f>IF($B204&lt;=Tabla5[[#This Row],[INVERSIONES FCI]],+Tabla5[[#This Row],[INVERSIONES FCI]]-BB204,Tabla5[[#This Row],[INVERSIONES FCI]])</f>
        <v>7062487122.0024261</v>
      </c>
      <c r="BC205" s="5">
        <f>IF($B204&lt;=Tabla5[[#This Row],[INVERSIONES FCI]],+Tabla5[[#This Row],[INVERSIONES FCI]]-BC204,Tabla5[[#This Row],[INVERSIONES FCI]])</f>
        <v>7062487122.0024261</v>
      </c>
      <c r="BD205" s="5">
        <f>IF($B204&lt;=Tabla5[[#This Row],[INVERSIONES FCI]],+Tabla5[[#This Row],[INVERSIONES FCI]]-BD204,Tabla5[[#This Row],[INVERSIONES FCI]])</f>
        <v>7062487122.0024261</v>
      </c>
      <c r="BE205" s="5">
        <f>IF($B204&lt;=Tabla5[[#This Row],[INVERSIONES FCI]],+Tabla5[[#This Row],[INVERSIONES FCI]]-BE204,Tabla5[[#This Row],[INVERSIONES FCI]])</f>
        <v>7062487122.0024261</v>
      </c>
      <c r="BF205" s="5">
        <f>IF($B204&lt;=Tabla5[[#This Row],[INVERSIONES FCI]],+Tabla5[[#This Row],[INVERSIONES FCI]]-BF204,Tabla5[[#This Row],[INVERSIONES FCI]])</f>
        <v>7062487122.0024261</v>
      </c>
      <c r="BG205" s="5">
        <f>IF($B204&lt;=Tabla5[[#This Row],[INVERSIONES FCI]],+Tabla5[[#This Row],[INVERSIONES FCI]]-BG204,Tabla5[[#This Row],[INVERSIONES FCI]])</f>
        <v>7062487122.0024261</v>
      </c>
      <c r="BH205" s="5">
        <f>IF($B204&lt;=Tabla5[[#This Row],[INVERSIONES FCI]],+Tabla5[[#This Row],[INVERSIONES FCI]]-BH204,Tabla5[[#This Row],[INVERSIONES FCI]])</f>
        <v>7062487122.0024261</v>
      </c>
      <c r="BI205" s="5">
        <f>IF($B204&lt;=Tabla5[[#This Row],[INVERSIONES FCI]],+Tabla5[[#This Row],[INVERSIONES FCI]]-BI204,Tabla5[[#This Row],[INVERSIONES FCI]])</f>
        <v>7062487122.0024261</v>
      </c>
      <c r="BJ205" s="5">
        <f>IF($B204&lt;=Tabla5[[#This Row],[INVERSIONES FCI]],+Tabla5[[#This Row],[INVERSIONES FCI]]-BJ204,Tabla5[[#This Row],[INVERSIONES FCI]])</f>
        <v>7062487122.0024261</v>
      </c>
      <c r="BK205" s="5">
        <f>IF($B204&lt;=Tabla5[[#This Row],[INVERSIONES FCI]],+Tabla5[[#This Row],[INVERSIONES FCI]]-BK204,Tabla5[[#This Row],[INVERSIONES FCI]])</f>
        <v>7062487122.0024261</v>
      </c>
      <c r="BL205" s="5">
        <f>IF($B204&lt;=Tabla5[[#This Row],[INVERSIONES FCI]],+Tabla5[[#This Row],[INVERSIONES FCI]]-BL204,Tabla5[[#This Row],[INVERSIONES FCI]])</f>
        <v>7062487122.0024261</v>
      </c>
      <c r="BM205" s="5">
        <f>IF($B204&lt;=Tabla5[[#This Row],[INVERSIONES FCI]],+Tabla5[[#This Row],[INVERSIONES FCI]]-BM204,Tabla5[[#This Row],[INVERSIONES FCI]])</f>
        <v>7062487122.0024261</v>
      </c>
      <c r="BN205" s="5">
        <f>IF($B204&lt;=Tabla5[[#This Row],[INVERSIONES FCI]],+Tabla5[[#This Row],[INVERSIONES FCI]]-BN204,Tabla5[[#This Row],[INVERSIONES FCI]])</f>
        <v>7062487122.0024261</v>
      </c>
      <c r="BO205" s="5">
        <f>IF($B204&lt;=Tabla5[[#This Row],[INVERSIONES FCI]],+Tabla5[[#This Row],[INVERSIONES FCI]]-BO204,Tabla5[[#This Row],[INVERSIONES FCI]])</f>
        <v>7062487122.0024261</v>
      </c>
      <c r="BP205" s="5">
        <f>IF($B204&lt;=Tabla5[[#This Row],[INVERSIONES FCI]],+Tabla5[[#This Row],[INVERSIONES FCI]]-BP204,Tabla5[[#This Row],[INVERSIONES FCI]])</f>
        <v>7062487122.0024261</v>
      </c>
      <c r="BQ205" s="5">
        <f>IF($B204&lt;=Tabla5[[#This Row],[INVERSIONES FCI]],+Tabla5[[#This Row],[INVERSIONES FCI]]-BQ204,Tabla5[[#This Row],[INVERSIONES FCI]])</f>
        <v>7062487122.0024261</v>
      </c>
      <c r="BR205" s="5">
        <f>IF($B204&lt;=Tabla5[[#This Row],[INVERSIONES FCI]],+Tabla5[[#This Row],[INVERSIONES FCI]]-BR204,Tabla5[[#This Row],[INVERSIONES FCI]])</f>
        <v>7062487122.0024261</v>
      </c>
      <c r="BS205" s="5">
        <f>IF($B204&lt;=Tabla5[[#This Row],[INVERSIONES FCI]],+Tabla5[[#This Row],[INVERSIONES FCI]]-BS204,Tabla5[[#This Row],[INVERSIONES FCI]])</f>
        <v>7062487122.0024261</v>
      </c>
      <c r="BT205" s="5">
        <f>IF($B204&lt;=Tabla5[[#This Row],[INVERSIONES FCI]],+Tabla5[[#This Row],[INVERSIONES FCI]]-BT204,Tabla5[[#This Row],[INVERSIONES FCI]])</f>
        <v>7062487122.0024261</v>
      </c>
      <c r="BU205" s="5">
        <f>IF($B204&lt;=Tabla5[[#This Row],[INVERSIONES FCI]],+Tabla5[[#This Row],[INVERSIONES FCI]]-BU204,Tabla5[[#This Row],[INVERSIONES FCI]])</f>
        <v>7062487122.0024261</v>
      </c>
      <c r="BV205" s="5">
        <f>IF($B204&lt;=Tabla5[[#This Row],[INVERSIONES FCI]],+Tabla5[[#This Row],[INVERSIONES FCI]]-BV204,Tabla5[[#This Row],[INVERSIONES FCI]])</f>
        <v>7062487122.0024261</v>
      </c>
      <c r="BW205" s="5">
        <f>IF($B204&lt;=Tabla5[[#This Row],[INVERSIONES FCI]],+Tabla5[[#This Row],[INVERSIONES FCI]]-BW204,Tabla5[[#This Row],[INVERSIONES FCI]])</f>
        <v>7062487122.0024261</v>
      </c>
      <c r="BX205" s="5">
        <f>IF($B204&lt;=Tabla5[[#This Row],[INVERSIONES FCI]],+Tabla5[[#This Row],[INVERSIONES FCI]]-BX204,Tabla5[[#This Row],[INVERSIONES FCI]])</f>
        <v>7062487122.0024261</v>
      </c>
      <c r="BY205" s="5">
        <f>IF($B204&lt;=Tabla5[[#This Row],[INVERSIONES FCI]],+Tabla5[[#This Row],[INVERSIONES FCI]]-BY204,Tabla5[[#This Row],[INVERSIONES FCI]])</f>
        <v>7062487122.0024261</v>
      </c>
      <c r="BZ205" s="5">
        <f>IF($B204&lt;=Tabla5[[#This Row],[INVERSIONES FCI]],+Tabla5[[#This Row],[INVERSIONES FCI]]-BZ204,Tabla5[[#This Row],[INVERSIONES FCI]])</f>
        <v>7062487122.0024261</v>
      </c>
      <c r="CA205" s="5">
        <f>IF($B204&lt;=Tabla5[[#This Row],[INVERSIONES FCI]],+Tabla5[[#This Row],[INVERSIONES FCI]]-CA204,Tabla5[[#This Row],[INVERSIONES FCI]])</f>
        <v>7062487122.0024261</v>
      </c>
      <c r="CB205" s="5">
        <f>IF($B204&lt;=Tabla5[[#This Row],[INVERSIONES FCI]],+Tabla5[[#This Row],[INVERSIONES FCI]]-CB204,Tabla5[[#This Row],[INVERSIONES FCI]])</f>
        <v>7062487122.0024261</v>
      </c>
      <c r="CC205" s="5">
        <f>IF($B204&lt;=Tabla5[[#This Row],[INVERSIONES FCI]],+Tabla5[[#This Row],[INVERSIONES FCI]]-CC204,Tabla5[[#This Row],[INVERSIONES FCI]])</f>
        <v>7062487122.0024261</v>
      </c>
      <c r="CD205" s="5">
        <f>IF($B204&lt;=Tabla5[[#This Row],[INVERSIONES FCI]],+Tabla5[[#This Row],[INVERSIONES FCI]]-CD204,Tabla5[[#This Row],[INVERSIONES FCI]])</f>
        <v>7062487122.0024261</v>
      </c>
      <c r="CE205" s="5">
        <f>IF($B204&lt;=Tabla5[[#This Row],[INVERSIONES FCI]],+Tabla5[[#This Row],[INVERSIONES FCI]]-CE204,Tabla5[[#This Row],[INVERSIONES FCI]])</f>
        <v>7062487122.0024261</v>
      </c>
      <c r="CF205" s="5">
        <f>IF($B204&lt;=Tabla5[[#This Row],[INVERSIONES FCI]],+Tabla5[[#This Row],[INVERSIONES FCI]]-CF204,Tabla5[[#This Row],[INVERSIONES FCI]])</f>
        <v>7062487122.0024261</v>
      </c>
      <c r="CG205" s="5">
        <f>IF($B204&lt;=Tabla5[[#This Row],[INVERSIONES FCI]],+Tabla5[[#This Row],[INVERSIONES FCI]]-CG204,Tabla5[[#This Row],[INVERSIONES FCI]])</f>
        <v>7062487122.0024261</v>
      </c>
      <c r="CH205" s="5">
        <f>IF($B204&lt;=Tabla5[[#This Row],[INVERSIONES FCI]],+Tabla5[[#This Row],[INVERSIONES FCI]]-CH204,Tabla5[[#This Row],[INVERSIONES FCI]])</f>
        <v>7062487122.0024261</v>
      </c>
      <c r="CI205" s="5">
        <f>IF($B204&lt;=Tabla5[[#This Row],[INVERSIONES FCI]],+Tabla5[[#This Row],[INVERSIONES FCI]]-CI204,Tabla5[[#This Row],[INVERSIONES FCI]])</f>
        <v>7062487122.0024261</v>
      </c>
      <c r="CJ205" s="5">
        <f>IF($B204&lt;=Tabla5[[#This Row],[INVERSIONES FCI]],+Tabla5[[#This Row],[INVERSIONES FCI]]-CJ204,Tabla5[[#This Row],[INVERSIONES FCI]])</f>
        <v>7062487122.0024261</v>
      </c>
      <c r="CK205" s="5">
        <f>IF($B204&lt;=Tabla5[[#This Row],[INVERSIONES FCI]],+Tabla5[[#This Row],[INVERSIONES FCI]]-CK204,Tabla5[[#This Row],[INVERSIONES FCI]])</f>
        <v>7062487122.0024261</v>
      </c>
      <c r="CL205" s="5">
        <f>IF($B204&lt;=Tabla5[[#This Row],[INVERSIONES FCI]],+Tabla5[[#This Row],[INVERSIONES FCI]]-CL204,Tabla5[[#This Row],[INVERSIONES FCI]])</f>
        <v>7062487122.0024261</v>
      </c>
      <c r="CM205" s="5">
        <f>IF($B204&lt;=Tabla5[[#This Row],[INVERSIONES FCI]],+Tabla5[[#This Row],[INVERSIONES FCI]]-CM204,Tabla5[[#This Row],[INVERSIONES FCI]])</f>
        <v>7062487122.0024261</v>
      </c>
      <c r="CN205" s="5">
        <f>IF($B204&lt;=Tabla5[[#This Row],[INVERSIONES FCI]],+Tabla5[[#This Row],[INVERSIONES FCI]]-CN204,Tabla5[[#This Row],[INVERSIONES FCI]])</f>
        <v>7062487122.0024261</v>
      </c>
      <c r="CO205" s="5">
        <f>IF($B204&lt;=Tabla5[[#This Row],[INVERSIONES FCI]],+Tabla5[[#This Row],[INVERSIONES FCI]]-CO204,Tabla5[[#This Row],[INVERSIONES FCI]])</f>
        <v>7062487122.0024261</v>
      </c>
      <c r="CP205" s="5">
        <f>IF($B204&lt;=Tabla5[[#This Row],[INVERSIONES FCI]],+Tabla5[[#This Row],[INVERSIONES FCI]]-CP204,Tabla5[[#This Row],[INVERSIONES FCI]])</f>
        <v>7062487122.0024261</v>
      </c>
      <c r="CQ205" s="5">
        <f>IF($B204&lt;=Tabla5[[#This Row],[INVERSIONES FCI]],+Tabla5[[#This Row],[INVERSIONES FCI]]-CQ204,Tabla5[[#This Row],[INVERSIONES FCI]])</f>
        <v>7062487122.0024261</v>
      </c>
      <c r="CR205" s="5">
        <f>IF($B204&lt;=Tabla5[[#This Row],[INVERSIONES FCI]],+Tabla5[[#This Row],[INVERSIONES FCI]]-CR204,Tabla5[[#This Row],[INVERSIONES FCI]])</f>
        <v>7062487122.0024261</v>
      </c>
      <c r="CS205" s="5">
        <f>IF($B204&lt;=Tabla5[[#This Row],[INVERSIONES FCI]],+Tabla5[[#This Row],[INVERSIONES FCI]]-CS204,Tabla5[[#This Row],[INVERSIONES FCI]])</f>
        <v>7062487122.0024261</v>
      </c>
      <c r="CT205" s="5">
        <f>IF($B204&lt;=Tabla5[[#This Row],[INVERSIONES FCI]],+Tabla5[[#This Row],[INVERSIONES FCI]]-CT204,Tabla5[[#This Row],[INVERSIONES FCI]])</f>
        <v>7062487122.0024261</v>
      </c>
      <c r="CU205" s="5">
        <f>IF($B204&lt;=Tabla5[[#This Row],[INVERSIONES FCI]],+Tabla5[[#This Row],[INVERSIONES FCI]]-CU204,Tabla5[[#This Row],[INVERSIONES FCI]])</f>
        <v>7062487122.0024261</v>
      </c>
      <c r="CV205" s="5">
        <f>IF($B204&lt;=Tabla5[[#This Row],[INVERSIONES FCI]],+Tabla5[[#This Row],[INVERSIONES FCI]]-CV204,Tabla5[[#This Row],[INVERSIONES FCI]])</f>
        <v>7062487122.0024261</v>
      </c>
      <c r="CW205" s="5">
        <f>IF($B204&lt;=Tabla5[[#This Row],[INVERSIONES FCI]],+Tabla5[[#This Row],[INVERSIONES FCI]]-CW204,Tabla5[[#This Row],[INVERSIONES FCI]])</f>
        <v>7062487122.0024261</v>
      </c>
      <c r="CX205" s="5">
        <f>IF($B204&lt;=Tabla5[[#This Row],[INVERSIONES FCI]],+Tabla5[[#This Row],[INVERSIONES FCI]]-CX204,Tabla5[[#This Row],[INVERSIONES FCI]])</f>
        <v>7062487122.0024261</v>
      </c>
      <c r="CY205" s="5">
        <f>IF($B204&lt;=Tabla5[[#This Row],[INVERSIONES FCI]],+Tabla5[[#This Row],[INVERSIONES FCI]]-CY204,Tabla5[[#This Row],[INVERSIONES FCI]])</f>
        <v>7062487122.0024261</v>
      </c>
      <c r="CZ205" s="5">
        <f>IF($B204&lt;=Tabla5[[#This Row],[INVERSIONES FCI]],+Tabla5[[#This Row],[INVERSIONES FCI]]-CZ204,Tabla5[[#This Row],[INVERSIONES FCI]])</f>
        <v>7062487122.0024261</v>
      </c>
      <c r="DA205" s="5">
        <f>IF($B204&lt;=Tabla5[[#This Row],[INVERSIONES FCI]],+Tabla5[[#This Row],[INVERSIONES FCI]]-DA204,Tabla5[[#This Row],[INVERSIONES FCI]])</f>
        <v>7062487122.0024261</v>
      </c>
      <c r="DB205" s="5">
        <f>IF($B204&lt;=Tabla5[[#This Row],[INVERSIONES FCI]],+Tabla5[[#This Row],[INVERSIONES FCI]]-DB204,Tabla5[[#This Row],[INVERSIONES FCI]])</f>
        <v>7062487122.0024261</v>
      </c>
      <c r="DC205" s="5">
        <f>IF($B204&lt;=Tabla5[[#This Row],[INVERSIONES FCI]],+Tabla5[[#This Row],[INVERSIONES FCI]]-DC204,Tabla5[[#This Row],[INVERSIONES FCI]])</f>
        <v>7062487122.0024261</v>
      </c>
      <c r="DD205" s="5">
        <f>IF($B204&lt;=Tabla5[[#This Row],[INVERSIONES FCI]],+Tabla5[[#This Row],[INVERSIONES FCI]]-DD204,Tabla5[[#This Row],[INVERSIONES FCI]])</f>
        <v>7062487122.0024261</v>
      </c>
      <c r="DE205" s="5">
        <f>IF($B204&lt;=Tabla5[[#This Row],[INVERSIONES FCI]],+Tabla5[[#This Row],[INVERSIONES FCI]]-DE204,Tabla5[[#This Row],[INVERSIONES FCI]])</f>
        <v>7062487122.0024261</v>
      </c>
      <c r="DF205" s="5">
        <f>IF($B204&lt;=Tabla5[[#This Row],[INVERSIONES FCI]],+Tabla5[[#This Row],[INVERSIONES FCI]]-DF204,Tabla5[[#This Row],[INVERSIONES FCI]])</f>
        <v>7062487122.0024261</v>
      </c>
      <c r="DG205" s="5">
        <f>IF($B204&lt;=Tabla5[[#This Row],[INVERSIONES FCI]],+Tabla5[[#This Row],[INVERSIONES FCI]]-DG204,Tabla5[[#This Row],[INVERSIONES FCI]])</f>
        <v>7062487122.0024261</v>
      </c>
      <c r="DH205" s="5">
        <f>IF($B204&lt;=Tabla5[[#This Row],[INVERSIONES FCI]],+Tabla5[[#This Row],[INVERSIONES FCI]]-DH204,Tabla5[[#This Row],[INVERSIONES FCI]])</f>
        <v>7062487122.0024261</v>
      </c>
      <c r="DI205" s="5">
        <f>IF($B204&lt;=Tabla5[[#This Row],[INVERSIONES FCI]],+Tabla5[[#This Row],[INVERSIONES FCI]]-DI204,Tabla5[[#This Row],[INVERSIONES FCI]])</f>
        <v>7062487122.0024261</v>
      </c>
      <c r="DJ205" s="5">
        <f>IF($B204&lt;=Tabla5[[#This Row],[INVERSIONES FCI]],+Tabla5[[#This Row],[INVERSIONES FCI]]-DJ204,Tabla5[[#This Row],[INVERSIONES FCI]])</f>
        <v>7062487122.0024261</v>
      </c>
      <c r="DK205" s="5">
        <f>IF($B204&lt;=Tabla5[[#This Row],[INVERSIONES FCI]],+Tabla5[[#This Row],[INVERSIONES FCI]]-DK204,Tabla5[[#This Row],[INVERSIONES FCI]])</f>
        <v>7062487122.0024261</v>
      </c>
      <c r="DL205" s="5"/>
      <c r="DM205" s="5"/>
      <c r="DN205" s="5"/>
      <c r="DO205" s="5"/>
      <c r="DP205" s="5"/>
      <c r="DQ205" s="5"/>
    </row>
    <row r="206" spans="1:121" ht="14.4">
      <c r="A206" s="12" t="s">
        <v>205</v>
      </c>
      <c r="B206" s="5">
        <f>HLOOKUP($A206,ESCENARIO[#All],7,FALSE)</f>
        <v>46347551173.186142</v>
      </c>
      <c r="C206" s="5">
        <f>IF($B205&lt;=Tabla5[[#This Row],[INVERSIONES FCI]],+Tabla5[[#This Row],[INVERSIONES FCI]]-C205,Tabla5[[#This Row],[INVERSIONES FCI]])</f>
        <v>39285064051.183716</v>
      </c>
      <c r="D206" s="5">
        <f>IF($B205&lt;=Tabla5[[#This Row],[INVERSIONES FCI]],+Tabla5[[#This Row],[INVERSIONES FCI]]-D205,Tabla5[[#This Row],[INVERSIONES FCI]])</f>
        <v>39285064051.183716</v>
      </c>
      <c r="E206" s="5">
        <f>IF($B205&lt;=Tabla5[[#This Row],[INVERSIONES FCI]],+Tabla5[[#This Row],[INVERSIONES FCI]]-E205,Tabla5[[#This Row],[INVERSIONES FCI]])</f>
        <v>39285064051.183716</v>
      </c>
      <c r="F206" s="5">
        <f>IF($B205&lt;=Tabla5[[#This Row],[INVERSIONES FCI]],+Tabla5[[#This Row],[INVERSIONES FCI]]-F205,Tabla5[[#This Row],[INVERSIONES FCI]])</f>
        <v>39285064051.183716</v>
      </c>
      <c r="G206" s="5">
        <f>IF($B205&lt;=Tabla5[[#This Row],[INVERSIONES FCI]],+Tabla5[[#This Row],[INVERSIONES FCI]]-G205,Tabla5[[#This Row],[INVERSIONES FCI]])</f>
        <v>39285064051.183716</v>
      </c>
      <c r="H206" s="5">
        <f>IF($B205&lt;=Tabla5[[#This Row],[INVERSIONES FCI]],+Tabla5[[#This Row],[INVERSIONES FCI]]-H205,Tabla5[[#This Row],[INVERSIONES FCI]])</f>
        <v>39285064051.183716</v>
      </c>
      <c r="I206" s="5">
        <f>IF($B205&lt;=Tabla5[[#This Row],[INVERSIONES FCI]],+Tabla5[[#This Row],[INVERSIONES FCI]]-I205,Tabla5[[#This Row],[INVERSIONES FCI]])</f>
        <v>39285064051.183716</v>
      </c>
      <c r="J206" s="5">
        <f>IF($B205&lt;=Tabla5[[#This Row],[INVERSIONES FCI]],+Tabla5[[#This Row],[INVERSIONES FCI]]-J205,Tabla5[[#This Row],[INVERSIONES FCI]])</f>
        <v>39285064051.183716</v>
      </c>
      <c r="K206" s="5">
        <f>IF($B205&lt;=Tabla5[[#This Row],[INVERSIONES FCI]],+Tabla5[[#This Row],[INVERSIONES FCI]]-K205,Tabla5[[#This Row],[INVERSIONES FCI]])</f>
        <v>39285064051.183716</v>
      </c>
      <c r="L206" s="5">
        <f>IF($B205&lt;=Tabla5[[#This Row],[INVERSIONES FCI]],+Tabla5[[#This Row],[INVERSIONES FCI]]-L205,Tabla5[[#This Row],[INVERSIONES FCI]])</f>
        <v>39285064051.183716</v>
      </c>
      <c r="M206" s="5">
        <f>IF($B205&lt;=Tabla5[[#This Row],[INVERSIONES FCI]],+Tabla5[[#This Row],[INVERSIONES FCI]]-M205,Tabla5[[#This Row],[INVERSIONES FCI]])</f>
        <v>39285064051.183716</v>
      </c>
      <c r="N206" s="5">
        <f>IF($B205&lt;=Tabla5[[#This Row],[INVERSIONES FCI]],+Tabla5[[#This Row],[INVERSIONES FCI]]-N205,Tabla5[[#This Row],[INVERSIONES FCI]])</f>
        <v>39285064051.183716</v>
      </c>
      <c r="O206" s="5">
        <f>IF($B205&lt;=Tabla5[[#This Row],[INVERSIONES FCI]],+Tabla5[[#This Row],[INVERSIONES FCI]]-O205,Tabla5[[#This Row],[INVERSIONES FCI]])</f>
        <v>39285064051.183716</v>
      </c>
      <c r="P206" s="5">
        <f>IF($B205&lt;=Tabla5[[#This Row],[INVERSIONES FCI]],+Tabla5[[#This Row],[INVERSIONES FCI]]-P205,Tabla5[[#This Row],[INVERSIONES FCI]])</f>
        <v>39285064051.183716</v>
      </c>
      <c r="Q206" s="5">
        <f>IF($B205&lt;=Tabla5[[#This Row],[INVERSIONES FCI]],+Tabla5[[#This Row],[INVERSIONES FCI]]-Q205,Tabla5[[#This Row],[INVERSIONES FCI]])</f>
        <v>39285064051.183716</v>
      </c>
      <c r="R206" s="5">
        <f>IF($B205&lt;=Tabla5[[#This Row],[INVERSIONES FCI]],+Tabla5[[#This Row],[INVERSIONES FCI]]-R205,Tabla5[[#This Row],[INVERSIONES FCI]])</f>
        <v>39285064051.183716</v>
      </c>
      <c r="S206" s="5">
        <f>IF($B205&lt;=Tabla5[[#This Row],[INVERSIONES FCI]],+Tabla5[[#This Row],[INVERSIONES FCI]]-S205,Tabla5[[#This Row],[INVERSIONES FCI]])</f>
        <v>39285064051.183716</v>
      </c>
      <c r="T206" s="5">
        <f>IF($B205&lt;=Tabla5[[#This Row],[INVERSIONES FCI]],+Tabla5[[#This Row],[INVERSIONES FCI]]-T205,Tabla5[[#This Row],[INVERSIONES FCI]])</f>
        <v>39285064051.183716</v>
      </c>
      <c r="U206" s="5">
        <f>IF($B205&lt;=Tabla5[[#This Row],[INVERSIONES FCI]],+Tabla5[[#This Row],[INVERSIONES FCI]]-U205,Tabla5[[#This Row],[INVERSIONES FCI]])</f>
        <v>39285064051.183716</v>
      </c>
      <c r="V206" s="5">
        <f>IF($B205&lt;=Tabla5[[#This Row],[INVERSIONES FCI]],+Tabla5[[#This Row],[INVERSIONES FCI]]-V205,Tabla5[[#This Row],[INVERSIONES FCI]])</f>
        <v>39285064051.183716</v>
      </c>
      <c r="W206" s="5">
        <f>IF($B205&lt;=Tabla5[[#This Row],[INVERSIONES FCI]],+Tabla5[[#This Row],[INVERSIONES FCI]]-W205,Tabla5[[#This Row],[INVERSIONES FCI]])</f>
        <v>39285064051.183716</v>
      </c>
      <c r="X206" s="5">
        <f>IF($B205&lt;=Tabla5[[#This Row],[INVERSIONES FCI]],+Tabla5[[#This Row],[INVERSIONES FCI]]-X205,Tabla5[[#This Row],[INVERSIONES FCI]])</f>
        <v>39285064051.183716</v>
      </c>
      <c r="Y206" s="5">
        <f>IF($B205&lt;=Tabla5[[#This Row],[INVERSIONES FCI]],+Tabla5[[#This Row],[INVERSIONES FCI]]-Y205,Tabla5[[#This Row],[INVERSIONES FCI]])</f>
        <v>39285064051.183716</v>
      </c>
      <c r="Z206" s="5">
        <f>IF($B205&lt;=Tabla5[[#This Row],[INVERSIONES FCI]],+Tabla5[[#This Row],[INVERSIONES FCI]]-Z205,Tabla5[[#This Row],[INVERSIONES FCI]])</f>
        <v>39285064051.183716</v>
      </c>
      <c r="AA206" s="5">
        <f>IF($B205&lt;=Tabla5[[#This Row],[INVERSIONES FCI]],+Tabla5[[#This Row],[INVERSIONES FCI]]-AA205,Tabla5[[#This Row],[INVERSIONES FCI]])</f>
        <v>39285064051.183716</v>
      </c>
      <c r="AB206" s="5">
        <f>IF($B205&lt;=Tabla5[[#This Row],[INVERSIONES FCI]],+Tabla5[[#This Row],[INVERSIONES FCI]]-AB205,Tabla5[[#This Row],[INVERSIONES FCI]])</f>
        <v>39285064051.183716</v>
      </c>
      <c r="AC206" s="5">
        <f>IF($B205&lt;=Tabla5[[#This Row],[INVERSIONES FCI]],+Tabla5[[#This Row],[INVERSIONES FCI]]-AC205,Tabla5[[#This Row],[INVERSIONES FCI]])</f>
        <v>39285064051.183716</v>
      </c>
      <c r="AD206" s="5">
        <f>IF($B205&lt;=Tabla5[[#This Row],[INVERSIONES FCI]],+Tabla5[[#This Row],[INVERSIONES FCI]]-AD205,Tabla5[[#This Row],[INVERSIONES FCI]])</f>
        <v>39285064051.183716</v>
      </c>
      <c r="AE206" s="5">
        <f>IF($B205&lt;=Tabla5[[#This Row],[INVERSIONES FCI]],+Tabla5[[#This Row],[INVERSIONES FCI]]-AE205,Tabla5[[#This Row],[INVERSIONES FCI]])</f>
        <v>39285064051.183716</v>
      </c>
      <c r="AF206" s="5">
        <f>IF($B205&lt;=Tabla5[[#This Row],[INVERSIONES FCI]],+Tabla5[[#This Row],[INVERSIONES FCI]]-AF205,Tabla5[[#This Row],[INVERSIONES FCI]])</f>
        <v>39285064051.183716</v>
      </c>
      <c r="AG206" s="5">
        <f>IF($B205&lt;=Tabla5[[#This Row],[INVERSIONES FCI]],+Tabla5[[#This Row],[INVERSIONES FCI]]-AG205,Tabla5[[#This Row],[INVERSIONES FCI]])</f>
        <v>39285064051.183716</v>
      </c>
      <c r="AH206" s="5">
        <f>IF($B205&lt;=Tabla5[[#This Row],[INVERSIONES FCI]],+Tabla5[[#This Row],[INVERSIONES FCI]]-AH205,Tabla5[[#This Row],[INVERSIONES FCI]])</f>
        <v>39285064051.183716</v>
      </c>
      <c r="AI206" s="5">
        <f>IF($B205&lt;=Tabla5[[#This Row],[INVERSIONES FCI]],+Tabla5[[#This Row],[INVERSIONES FCI]]-AI205,Tabla5[[#This Row],[INVERSIONES FCI]])</f>
        <v>39285064051.183716</v>
      </c>
      <c r="AJ206" s="5">
        <f>IF($B205&lt;=Tabla5[[#This Row],[INVERSIONES FCI]],+Tabla5[[#This Row],[INVERSIONES FCI]]-AJ205,Tabla5[[#This Row],[INVERSIONES FCI]])</f>
        <v>39285064051.183716</v>
      </c>
      <c r="AK206" s="5">
        <f>IF($B205&lt;=Tabla5[[#This Row],[INVERSIONES FCI]],+Tabla5[[#This Row],[INVERSIONES FCI]]-AK205,Tabla5[[#This Row],[INVERSIONES FCI]])</f>
        <v>39285064051.183716</v>
      </c>
      <c r="AL206" s="5">
        <f>IF($B205&lt;=Tabla5[[#This Row],[INVERSIONES FCI]],+Tabla5[[#This Row],[INVERSIONES FCI]]-AL205,Tabla5[[#This Row],[INVERSIONES FCI]])</f>
        <v>39285064051.183716</v>
      </c>
      <c r="AM206" s="5">
        <f>IF($B205&lt;=Tabla5[[#This Row],[INVERSIONES FCI]],+Tabla5[[#This Row],[INVERSIONES FCI]]-AM205,Tabla5[[#This Row],[INVERSIONES FCI]])</f>
        <v>39285064051.183716</v>
      </c>
      <c r="AN206" s="5">
        <f>IF($B205&lt;=Tabla5[[#This Row],[INVERSIONES FCI]],+Tabla5[[#This Row],[INVERSIONES FCI]]-AN205,Tabla5[[#This Row],[INVERSIONES FCI]])</f>
        <v>39285064051.183716</v>
      </c>
      <c r="AO206" s="5">
        <f>IF($B205&lt;=Tabla5[[#This Row],[INVERSIONES FCI]],+Tabla5[[#This Row],[INVERSIONES FCI]]-AO205,Tabla5[[#This Row],[INVERSIONES FCI]])</f>
        <v>39285064051.183716</v>
      </c>
      <c r="AP206" s="5">
        <f>IF($B205&lt;=Tabla5[[#This Row],[INVERSIONES FCI]],+Tabla5[[#This Row],[INVERSIONES FCI]]-AP205,Tabla5[[#This Row],[INVERSIONES FCI]])</f>
        <v>39285064051.183716</v>
      </c>
      <c r="AQ206" s="5">
        <f>IF($B205&lt;=Tabla5[[#This Row],[INVERSIONES FCI]],+Tabla5[[#This Row],[INVERSIONES FCI]]-AQ205,Tabla5[[#This Row],[INVERSIONES FCI]])</f>
        <v>39285064051.183716</v>
      </c>
      <c r="AR206" s="5">
        <f>IF($B205&lt;=Tabla5[[#This Row],[INVERSIONES FCI]],+Tabla5[[#This Row],[INVERSIONES FCI]]-AR205,Tabla5[[#This Row],[INVERSIONES FCI]])</f>
        <v>39285064051.183716</v>
      </c>
      <c r="AS206" s="5">
        <f>IF($B205&lt;=Tabla5[[#This Row],[INVERSIONES FCI]],+Tabla5[[#This Row],[INVERSIONES FCI]]-AS205,Tabla5[[#This Row],[INVERSIONES FCI]])</f>
        <v>39285064051.183716</v>
      </c>
      <c r="AT206" s="5">
        <f>IF($B205&lt;=Tabla5[[#This Row],[INVERSIONES FCI]],+Tabla5[[#This Row],[INVERSIONES FCI]]-AT205,Tabla5[[#This Row],[INVERSIONES FCI]])</f>
        <v>39285064051.183716</v>
      </c>
      <c r="AU206" s="5">
        <f>IF($B205&lt;=Tabla5[[#This Row],[INVERSIONES FCI]],+Tabla5[[#This Row],[INVERSIONES FCI]]-AU205,Tabla5[[#This Row],[INVERSIONES FCI]])</f>
        <v>39285064051.183716</v>
      </c>
      <c r="AV206" s="5">
        <f>IF($B205&lt;=Tabla5[[#This Row],[INVERSIONES FCI]],+Tabla5[[#This Row],[INVERSIONES FCI]]-AV205,Tabla5[[#This Row],[INVERSIONES FCI]])</f>
        <v>39285064051.183716</v>
      </c>
      <c r="AW206" s="5">
        <f>IF($B205&lt;=Tabla5[[#This Row],[INVERSIONES FCI]],+Tabla5[[#This Row],[INVERSIONES FCI]]-AW205,Tabla5[[#This Row],[INVERSIONES FCI]])</f>
        <v>39285064051.183716</v>
      </c>
      <c r="AX206" s="5">
        <f>IF($B205&lt;=Tabla5[[#This Row],[INVERSIONES FCI]],+Tabla5[[#This Row],[INVERSIONES FCI]]-AX205,Tabla5[[#This Row],[INVERSIONES FCI]])</f>
        <v>39285064051.183716</v>
      </c>
      <c r="AY206" s="5">
        <f>IF($B205&lt;=Tabla5[[#This Row],[INVERSIONES FCI]],+Tabla5[[#This Row],[INVERSIONES FCI]]-AY205,Tabla5[[#This Row],[INVERSIONES FCI]])</f>
        <v>39285064051.183716</v>
      </c>
      <c r="AZ206" s="5">
        <f>IF($B205&lt;=Tabla5[[#This Row],[INVERSIONES FCI]],+Tabla5[[#This Row],[INVERSIONES FCI]]-AZ205,Tabla5[[#This Row],[INVERSIONES FCI]])</f>
        <v>39285064051.183716</v>
      </c>
      <c r="BA206" s="5">
        <f>IF($B205&lt;=Tabla5[[#This Row],[INVERSIONES FCI]],+Tabla5[[#This Row],[INVERSIONES FCI]]-BA205,Tabla5[[#This Row],[INVERSIONES FCI]])</f>
        <v>39285064051.183716</v>
      </c>
      <c r="BB206" s="5">
        <f>IF($B205&lt;=Tabla5[[#This Row],[INVERSIONES FCI]],+Tabla5[[#This Row],[INVERSIONES FCI]]-BB205,Tabla5[[#This Row],[INVERSIONES FCI]])</f>
        <v>39285064051.183716</v>
      </c>
      <c r="BC206" s="5">
        <f>IF($B205&lt;=Tabla5[[#This Row],[INVERSIONES FCI]],+Tabla5[[#This Row],[INVERSIONES FCI]]-BC205,Tabla5[[#This Row],[INVERSIONES FCI]])</f>
        <v>39285064051.183716</v>
      </c>
      <c r="BD206" s="5">
        <f>IF($B205&lt;=Tabla5[[#This Row],[INVERSIONES FCI]],+Tabla5[[#This Row],[INVERSIONES FCI]]-BD205,Tabla5[[#This Row],[INVERSIONES FCI]])</f>
        <v>39285064051.183716</v>
      </c>
      <c r="BE206" s="5">
        <f>IF($B205&lt;=Tabla5[[#This Row],[INVERSIONES FCI]],+Tabla5[[#This Row],[INVERSIONES FCI]]-BE205,Tabla5[[#This Row],[INVERSIONES FCI]])</f>
        <v>39285064051.183716</v>
      </c>
      <c r="BF206" s="5">
        <f>IF($B205&lt;=Tabla5[[#This Row],[INVERSIONES FCI]],+Tabla5[[#This Row],[INVERSIONES FCI]]-BF205,Tabla5[[#This Row],[INVERSIONES FCI]])</f>
        <v>39285064051.183716</v>
      </c>
      <c r="BG206" s="5">
        <f>IF($B205&lt;=Tabla5[[#This Row],[INVERSIONES FCI]],+Tabla5[[#This Row],[INVERSIONES FCI]]-BG205,Tabla5[[#This Row],[INVERSIONES FCI]])</f>
        <v>39285064051.183716</v>
      </c>
      <c r="BH206" s="5">
        <f>IF($B205&lt;=Tabla5[[#This Row],[INVERSIONES FCI]],+Tabla5[[#This Row],[INVERSIONES FCI]]-BH205,Tabla5[[#This Row],[INVERSIONES FCI]])</f>
        <v>39285064051.183716</v>
      </c>
      <c r="BI206" s="5">
        <f>IF($B205&lt;=Tabla5[[#This Row],[INVERSIONES FCI]],+Tabla5[[#This Row],[INVERSIONES FCI]]-BI205,Tabla5[[#This Row],[INVERSIONES FCI]])</f>
        <v>39285064051.183716</v>
      </c>
      <c r="BJ206" s="5">
        <f>IF($B205&lt;=Tabla5[[#This Row],[INVERSIONES FCI]],+Tabla5[[#This Row],[INVERSIONES FCI]]-BJ205,Tabla5[[#This Row],[INVERSIONES FCI]])</f>
        <v>39285064051.183716</v>
      </c>
      <c r="BK206" s="5">
        <f>IF($B205&lt;=Tabla5[[#This Row],[INVERSIONES FCI]],+Tabla5[[#This Row],[INVERSIONES FCI]]-BK205,Tabla5[[#This Row],[INVERSIONES FCI]])</f>
        <v>39285064051.183716</v>
      </c>
      <c r="BL206" s="5">
        <f>IF($B205&lt;=Tabla5[[#This Row],[INVERSIONES FCI]],+Tabla5[[#This Row],[INVERSIONES FCI]]-BL205,Tabla5[[#This Row],[INVERSIONES FCI]])</f>
        <v>39285064051.183716</v>
      </c>
      <c r="BM206" s="5">
        <f>IF($B205&lt;=Tabla5[[#This Row],[INVERSIONES FCI]],+Tabla5[[#This Row],[INVERSIONES FCI]]-BM205,Tabla5[[#This Row],[INVERSIONES FCI]])</f>
        <v>39285064051.183716</v>
      </c>
      <c r="BN206" s="5">
        <f>IF($B205&lt;=Tabla5[[#This Row],[INVERSIONES FCI]],+Tabla5[[#This Row],[INVERSIONES FCI]]-BN205,Tabla5[[#This Row],[INVERSIONES FCI]])</f>
        <v>39285064051.183716</v>
      </c>
      <c r="BO206" s="5">
        <f>IF($B205&lt;=Tabla5[[#This Row],[INVERSIONES FCI]],+Tabla5[[#This Row],[INVERSIONES FCI]]-BO205,Tabla5[[#This Row],[INVERSIONES FCI]])</f>
        <v>39285064051.183716</v>
      </c>
      <c r="BP206" s="5">
        <f>IF($B205&lt;=Tabla5[[#This Row],[INVERSIONES FCI]],+Tabla5[[#This Row],[INVERSIONES FCI]]-BP205,Tabla5[[#This Row],[INVERSIONES FCI]])</f>
        <v>39285064051.183716</v>
      </c>
      <c r="BQ206" s="5">
        <f>IF($B205&lt;=Tabla5[[#This Row],[INVERSIONES FCI]],+Tabla5[[#This Row],[INVERSIONES FCI]]-BQ205,Tabla5[[#This Row],[INVERSIONES FCI]])</f>
        <v>39285064051.183716</v>
      </c>
      <c r="BR206" s="5">
        <f>IF($B205&lt;=Tabla5[[#This Row],[INVERSIONES FCI]],+Tabla5[[#This Row],[INVERSIONES FCI]]-BR205,Tabla5[[#This Row],[INVERSIONES FCI]])</f>
        <v>39285064051.183716</v>
      </c>
      <c r="BS206" s="5">
        <f>IF($B205&lt;=Tabla5[[#This Row],[INVERSIONES FCI]],+Tabla5[[#This Row],[INVERSIONES FCI]]-BS205,Tabla5[[#This Row],[INVERSIONES FCI]])</f>
        <v>39285064051.183716</v>
      </c>
      <c r="BT206" s="5">
        <f>IF($B205&lt;=Tabla5[[#This Row],[INVERSIONES FCI]],+Tabla5[[#This Row],[INVERSIONES FCI]]-BT205,Tabla5[[#This Row],[INVERSIONES FCI]])</f>
        <v>39285064051.183716</v>
      </c>
      <c r="BU206" s="5">
        <f>IF($B205&lt;=Tabla5[[#This Row],[INVERSIONES FCI]],+Tabla5[[#This Row],[INVERSIONES FCI]]-BU205,Tabla5[[#This Row],[INVERSIONES FCI]])</f>
        <v>39285064051.183716</v>
      </c>
      <c r="BV206" s="5">
        <f>IF($B205&lt;=Tabla5[[#This Row],[INVERSIONES FCI]],+Tabla5[[#This Row],[INVERSIONES FCI]]-BV205,Tabla5[[#This Row],[INVERSIONES FCI]])</f>
        <v>39285064051.183716</v>
      </c>
      <c r="BW206" s="5">
        <f>IF($B205&lt;=Tabla5[[#This Row],[INVERSIONES FCI]],+Tabla5[[#This Row],[INVERSIONES FCI]]-BW205,Tabla5[[#This Row],[INVERSIONES FCI]])</f>
        <v>39285064051.183716</v>
      </c>
      <c r="BX206" s="5">
        <f>IF($B205&lt;=Tabla5[[#This Row],[INVERSIONES FCI]],+Tabla5[[#This Row],[INVERSIONES FCI]]-BX205,Tabla5[[#This Row],[INVERSIONES FCI]])</f>
        <v>39285064051.183716</v>
      </c>
      <c r="BY206" s="5">
        <f>IF($B205&lt;=Tabla5[[#This Row],[INVERSIONES FCI]],+Tabla5[[#This Row],[INVERSIONES FCI]]-BY205,Tabla5[[#This Row],[INVERSIONES FCI]])</f>
        <v>39285064051.183716</v>
      </c>
      <c r="BZ206" s="5">
        <f>IF($B205&lt;=Tabla5[[#This Row],[INVERSIONES FCI]],+Tabla5[[#This Row],[INVERSIONES FCI]]-BZ205,Tabla5[[#This Row],[INVERSIONES FCI]])</f>
        <v>39285064051.183716</v>
      </c>
      <c r="CA206" s="5">
        <f>IF($B205&lt;=Tabla5[[#This Row],[INVERSIONES FCI]],+Tabla5[[#This Row],[INVERSIONES FCI]]-CA205,Tabla5[[#This Row],[INVERSIONES FCI]])</f>
        <v>39285064051.183716</v>
      </c>
      <c r="CB206" s="5">
        <f>IF($B205&lt;=Tabla5[[#This Row],[INVERSIONES FCI]],+Tabla5[[#This Row],[INVERSIONES FCI]]-CB205,Tabla5[[#This Row],[INVERSIONES FCI]])</f>
        <v>39285064051.183716</v>
      </c>
      <c r="CC206" s="5">
        <f>IF($B205&lt;=Tabla5[[#This Row],[INVERSIONES FCI]],+Tabla5[[#This Row],[INVERSIONES FCI]]-CC205,Tabla5[[#This Row],[INVERSIONES FCI]])</f>
        <v>39285064051.183716</v>
      </c>
      <c r="CD206" s="5">
        <f>IF($B205&lt;=Tabla5[[#This Row],[INVERSIONES FCI]],+Tabla5[[#This Row],[INVERSIONES FCI]]-CD205,Tabla5[[#This Row],[INVERSIONES FCI]])</f>
        <v>39285064051.183716</v>
      </c>
      <c r="CE206" s="5">
        <f>IF($B205&lt;=Tabla5[[#This Row],[INVERSIONES FCI]],+Tabla5[[#This Row],[INVERSIONES FCI]]-CE205,Tabla5[[#This Row],[INVERSIONES FCI]])</f>
        <v>39285064051.183716</v>
      </c>
      <c r="CF206" s="5">
        <f>IF($B205&lt;=Tabla5[[#This Row],[INVERSIONES FCI]],+Tabla5[[#This Row],[INVERSIONES FCI]]-CF205,Tabla5[[#This Row],[INVERSIONES FCI]])</f>
        <v>39285064051.183716</v>
      </c>
      <c r="CG206" s="5">
        <f>IF($B205&lt;=Tabla5[[#This Row],[INVERSIONES FCI]],+Tabla5[[#This Row],[INVERSIONES FCI]]-CG205,Tabla5[[#This Row],[INVERSIONES FCI]])</f>
        <v>39285064051.183716</v>
      </c>
      <c r="CH206" s="5">
        <f>IF($B205&lt;=Tabla5[[#This Row],[INVERSIONES FCI]],+Tabla5[[#This Row],[INVERSIONES FCI]]-CH205,Tabla5[[#This Row],[INVERSIONES FCI]])</f>
        <v>39285064051.183716</v>
      </c>
      <c r="CI206" s="5">
        <f>IF($B205&lt;=Tabla5[[#This Row],[INVERSIONES FCI]],+Tabla5[[#This Row],[INVERSIONES FCI]]-CI205,Tabla5[[#This Row],[INVERSIONES FCI]])</f>
        <v>39285064051.183716</v>
      </c>
      <c r="CJ206" s="5">
        <f>IF($B205&lt;=Tabla5[[#This Row],[INVERSIONES FCI]],+Tabla5[[#This Row],[INVERSIONES FCI]]-CJ205,Tabla5[[#This Row],[INVERSIONES FCI]])</f>
        <v>39285064051.183716</v>
      </c>
      <c r="CK206" s="5">
        <f>IF($B205&lt;=Tabla5[[#This Row],[INVERSIONES FCI]],+Tabla5[[#This Row],[INVERSIONES FCI]]-CK205,Tabla5[[#This Row],[INVERSIONES FCI]])</f>
        <v>39285064051.183716</v>
      </c>
      <c r="CL206" s="5">
        <f>IF($B205&lt;=Tabla5[[#This Row],[INVERSIONES FCI]],+Tabla5[[#This Row],[INVERSIONES FCI]]-CL205,Tabla5[[#This Row],[INVERSIONES FCI]])</f>
        <v>39285064051.183716</v>
      </c>
      <c r="CM206" s="5">
        <f>IF($B205&lt;=Tabla5[[#This Row],[INVERSIONES FCI]],+Tabla5[[#This Row],[INVERSIONES FCI]]-CM205,Tabla5[[#This Row],[INVERSIONES FCI]])</f>
        <v>39285064051.183716</v>
      </c>
      <c r="CN206" s="5">
        <f>IF($B205&lt;=Tabla5[[#This Row],[INVERSIONES FCI]],+Tabla5[[#This Row],[INVERSIONES FCI]]-CN205,Tabla5[[#This Row],[INVERSIONES FCI]])</f>
        <v>39285064051.183716</v>
      </c>
      <c r="CO206" s="5">
        <f>IF($B205&lt;=Tabla5[[#This Row],[INVERSIONES FCI]],+Tabla5[[#This Row],[INVERSIONES FCI]]-CO205,Tabla5[[#This Row],[INVERSIONES FCI]])</f>
        <v>39285064051.183716</v>
      </c>
      <c r="CP206" s="5">
        <f>IF($B205&lt;=Tabla5[[#This Row],[INVERSIONES FCI]],+Tabla5[[#This Row],[INVERSIONES FCI]]-CP205,Tabla5[[#This Row],[INVERSIONES FCI]])</f>
        <v>39285064051.183716</v>
      </c>
      <c r="CQ206" s="5">
        <f>IF($B205&lt;=Tabla5[[#This Row],[INVERSIONES FCI]],+Tabla5[[#This Row],[INVERSIONES FCI]]-CQ205,Tabla5[[#This Row],[INVERSIONES FCI]])</f>
        <v>39285064051.183716</v>
      </c>
      <c r="CR206" s="5">
        <f>IF($B205&lt;=Tabla5[[#This Row],[INVERSIONES FCI]],+Tabla5[[#This Row],[INVERSIONES FCI]]-CR205,Tabla5[[#This Row],[INVERSIONES FCI]])</f>
        <v>39285064051.183716</v>
      </c>
      <c r="CS206" s="5">
        <f>IF($B205&lt;=Tabla5[[#This Row],[INVERSIONES FCI]],+Tabla5[[#This Row],[INVERSIONES FCI]]-CS205,Tabla5[[#This Row],[INVERSIONES FCI]])</f>
        <v>39285064051.183716</v>
      </c>
      <c r="CT206" s="5">
        <f>IF($B205&lt;=Tabla5[[#This Row],[INVERSIONES FCI]],+Tabla5[[#This Row],[INVERSIONES FCI]]-CT205,Tabla5[[#This Row],[INVERSIONES FCI]])</f>
        <v>39285064051.183716</v>
      </c>
      <c r="CU206" s="5">
        <f>IF($B205&lt;=Tabla5[[#This Row],[INVERSIONES FCI]],+Tabla5[[#This Row],[INVERSIONES FCI]]-CU205,Tabla5[[#This Row],[INVERSIONES FCI]])</f>
        <v>39285064051.183716</v>
      </c>
      <c r="CV206" s="5">
        <f>IF($B205&lt;=Tabla5[[#This Row],[INVERSIONES FCI]],+Tabla5[[#This Row],[INVERSIONES FCI]]-CV205,Tabla5[[#This Row],[INVERSIONES FCI]])</f>
        <v>39285064051.183716</v>
      </c>
      <c r="CW206" s="5">
        <f>IF($B205&lt;=Tabla5[[#This Row],[INVERSIONES FCI]],+Tabla5[[#This Row],[INVERSIONES FCI]]-CW205,Tabla5[[#This Row],[INVERSIONES FCI]])</f>
        <v>39285064051.183716</v>
      </c>
      <c r="CX206" s="5">
        <f>IF($B205&lt;=Tabla5[[#This Row],[INVERSIONES FCI]],+Tabla5[[#This Row],[INVERSIONES FCI]]-CX205,Tabla5[[#This Row],[INVERSIONES FCI]])</f>
        <v>39285064051.183716</v>
      </c>
      <c r="CY206" s="5">
        <f>IF($B205&lt;=Tabla5[[#This Row],[INVERSIONES FCI]],+Tabla5[[#This Row],[INVERSIONES FCI]]-CY205,Tabla5[[#This Row],[INVERSIONES FCI]])</f>
        <v>39285064051.183716</v>
      </c>
      <c r="CZ206" s="5">
        <f>IF($B205&lt;=Tabla5[[#This Row],[INVERSIONES FCI]],+Tabla5[[#This Row],[INVERSIONES FCI]]-CZ205,Tabla5[[#This Row],[INVERSIONES FCI]])</f>
        <v>39285064051.183716</v>
      </c>
      <c r="DA206" s="5">
        <f>IF($B205&lt;=Tabla5[[#This Row],[INVERSIONES FCI]],+Tabla5[[#This Row],[INVERSIONES FCI]]-DA205,Tabla5[[#This Row],[INVERSIONES FCI]])</f>
        <v>39285064051.183716</v>
      </c>
      <c r="DB206" s="5">
        <f>IF($B205&lt;=Tabla5[[#This Row],[INVERSIONES FCI]],+Tabla5[[#This Row],[INVERSIONES FCI]]-DB205,Tabla5[[#This Row],[INVERSIONES FCI]])</f>
        <v>39285064051.183716</v>
      </c>
      <c r="DC206" s="5">
        <f>IF($B205&lt;=Tabla5[[#This Row],[INVERSIONES FCI]],+Tabla5[[#This Row],[INVERSIONES FCI]]-DC205,Tabla5[[#This Row],[INVERSIONES FCI]])</f>
        <v>39285064051.183716</v>
      </c>
      <c r="DD206" s="5">
        <f>IF($B205&lt;=Tabla5[[#This Row],[INVERSIONES FCI]],+Tabla5[[#This Row],[INVERSIONES FCI]]-DD205,Tabla5[[#This Row],[INVERSIONES FCI]])</f>
        <v>39285064051.183716</v>
      </c>
      <c r="DE206" s="5">
        <f>IF($B205&lt;=Tabla5[[#This Row],[INVERSIONES FCI]],+Tabla5[[#This Row],[INVERSIONES FCI]]-DE205,Tabla5[[#This Row],[INVERSIONES FCI]])</f>
        <v>39285064051.183716</v>
      </c>
      <c r="DF206" s="5">
        <f>IF($B205&lt;=Tabla5[[#This Row],[INVERSIONES FCI]],+Tabla5[[#This Row],[INVERSIONES FCI]]-DF205,Tabla5[[#This Row],[INVERSIONES FCI]])</f>
        <v>39285064051.183716</v>
      </c>
      <c r="DG206" s="5">
        <f>IF($B205&lt;=Tabla5[[#This Row],[INVERSIONES FCI]],+Tabla5[[#This Row],[INVERSIONES FCI]]-DG205,Tabla5[[#This Row],[INVERSIONES FCI]])</f>
        <v>39285064051.183716</v>
      </c>
      <c r="DH206" s="5">
        <f>IF($B205&lt;=Tabla5[[#This Row],[INVERSIONES FCI]],+Tabla5[[#This Row],[INVERSIONES FCI]]-DH205,Tabla5[[#This Row],[INVERSIONES FCI]])</f>
        <v>39285064051.183716</v>
      </c>
      <c r="DI206" s="5">
        <f>IF($B205&lt;=Tabla5[[#This Row],[INVERSIONES FCI]],+Tabla5[[#This Row],[INVERSIONES FCI]]-DI205,Tabla5[[#This Row],[INVERSIONES FCI]])</f>
        <v>39285064051.183716</v>
      </c>
      <c r="DJ206" s="5">
        <f>IF($B205&lt;=Tabla5[[#This Row],[INVERSIONES FCI]],+Tabla5[[#This Row],[INVERSIONES FCI]]-DJ205,Tabla5[[#This Row],[INVERSIONES FCI]])</f>
        <v>39285064051.183716</v>
      </c>
      <c r="DK206" s="5">
        <f>IF($B205&lt;=Tabla5[[#This Row],[INVERSIONES FCI]],+Tabla5[[#This Row],[INVERSIONES FCI]]-DK205,Tabla5[[#This Row],[INVERSIONES FCI]])</f>
        <v>39285064051.183716</v>
      </c>
      <c r="DL206" s="5"/>
      <c r="DM206" s="5"/>
      <c r="DN206" s="5"/>
      <c r="DO206" s="5"/>
      <c r="DP206" s="5"/>
      <c r="DQ206" s="5"/>
    </row>
    <row r="207" spans="1:121" ht="14.4">
      <c r="A207" s="12" t="s">
        <v>206</v>
      </c>
      <c r="B207" s="5">
        <f>HLOOKUP($A207,ESCENARIO[#All],7,FALSE)</f>
        <v>41600625734.655281</v>
      </c>
      <c r="C207" s="5">
        <f>IF($B206&lt;=Tabla5[[#This Row],[INVERSIONES FCI]],+Tabla5[[#This Row],[INVERSIONES FCI]]-C206,Tabla5[[#This Row],[INVERSIONES FCI]])</f>
        <v>41600625734.655281</v>
      </c>
      <c r="D207" s="5">
        <f>IF($B206&lt;=Tabla5[[#This Row],[INVERSIONES FCI]],+Tabla5[[#This Row],[INVERSIONES FCI]]-D206,Tabla5[[#This Row],[INVERSIONES FCI]])</f>
        <v>41600625734.655281</v>
      </c>
      <c r="E207" s="5">
        <f>IF($B206&lt;=Tabla5[[#This Row],[INVERSIONES FCI]],+Tabla5[[#This Row],[INVERSIONES FCI]]-E206,Tabla5[[#This Row],[INVERSIONES FCI]])</f>
        <v>41600625734.655281</v>
      </c>
      <c r="F207" s="5">
        <f>IF($B206&lt;=Tabla5[[#This Row],[INVERSIONES FCI]],+Tabla5[[#This Row],[INVERSIONES FCI]]-F206,Tabla5[[#This Row],[INVERSIONES FCI]])</f>
        <v>41600625734.655281</v>
      </c>
      <c r="G207" s="5">
        <f>IF($B206&lt;=Tabla5[[#This Row],[INVERSIONES FCI]],+Tabla5[[#This Row],[INVERSIONES FCI]]-G206,Tabla5[[#This Row],[INVERSIONES FCI]])</f>
        <v>41600625734.655281</v>
      </c>
      <c r="H207" s="5">
        <f>IF($B206&lt;=Tabla5[[#This Row],[INVERSIONES FCI]],+Tabla5[[#This Row],[INVERSIONES FCI]]-H206,Tabla5[[#This Row],[INVERSIONES FCI]])</f>
        <v>41600625734.655281</v>
      </c>
      <c r="I207" s="5">
        <f>IF($B206&lt;=Tabla5[[#This Row],[INVERSIONES FCI]],+Tabla5[[#This Row],[INVERSIONES FCI]]-I206,Tabla5[[#This Row],[INVERSIONES FCI]])</f>
        <v>41600625734.655281</v>
      </c>
      <c r="J207" s="5">
        <f>IF($B206&lt;=Tabla5[[#This Row],[INVERSIONES FCI]],+Tabla5[[#This Row],[INVERSIONES FCI]]-J206,Tabla5[[#This Row],[INVERSIONES FCI]])</f>
        <v>41600625734.655281</v>
      </c>
      <c r="K207" s="5">
        <f>IF($B206&lt;=Tabla5[[#This Row],[INVERSIONES FCI]],+Tabla5[[#This Row],[INVERSIONES FCI]]-K206,Tabla5[[#This Row],[INVERSIONES FCI]])</f>
        <v>41600625734.655281</v>
      </c>
      <c r="L207" s="5">
        <f>IF($B206&lt;=Tabla5[[#This Row],[INVERSIONES FCI]],+Tabla5[[#This Row],[INVERSIONES FCI]]-L206,Tabla5[[#This Row],[INVERSIONES FCI]])</f>
        <v>41600625734.655281</v>
      </c>
      <c r="M207" s="5">
        <f>IF($B206&lt;=Tabla5[[#This Row],[INVERSIONES FCI]],+Tabla5[[#This Row],[INVERSIONES FCI]]-M206,Tabla5[[#This Row],[INVERSIONES FCI]])</f>
        <v>41600625734.655281</v>
      </c>
      <c r="N207" s="5">
        <f>IF($B206&lt;=Tabla5[[#This Row],[INVERSIONES FCI]],+Tabla5[[#This Row],[INVERSIONES FCI]]-N206,Tabla5[[#This Row],[INVERSIONES FCI]])</f>
        <v>41600625734.655281</v>
      </c>
      <c r="O207" s="5">
        <f>IF($B206&lt;=Tabla5[[#This Row],[INVERSIONES FCI]],+Tabla5[[#This Row],[INVERSIONES FCI]]-O206,Tabla5[[#This Row],[INVERSIONES FCI]])</f>
        <v>41600625734.655281</v>
      </c>
      <c r="P207" s="5">
        <f>IF($B206&lt;=Tabla5[[#This Row],[INVERSIONES FCI]],+Tabla5[[#This Row],[INVERSIONES FCI]]-P206,Tabla5[[#This Row],[INVERSIONES FCI]])</f>
        <v>41600625734.655281</v>
      </c>
      <c r="Q207" s="5">
        <f>IF($B206&lt;=Tabla5[[#This Row],[INVERSIONES FCI]],+Tabla5[[#This Row],[INVERSIONES FCI]]-Q206,Tabla5[[#This Row],[INVERSIONES FCI]])</f>
        <v>41600625734.655281</v>
      </c>
      <c r="R207" s="5">
        <f>IF($B206&lt;=Tabla5[[#This Row],[INVERSIONES FCI]],+Tabla5[[#This Row],[INVERSIONES FCI]]-R206,Tabla5[[#This Row],[INVERSIONES FCI]])</f>
        <v>41600625734.655281</v>
      </c>
      <c r="S207" s="5">
        <f>IF($B206&lt;=Tabla5[[#This Row],[INVERSIONES FCI]],+Tabla5[[#This Row],[INVERSIONES FCI]]-S206,Tabla5[[#This Row],[INVERSIONES FCI]])</f>
        <v>41600625734.655281</v>
      </c>
      <c r="T207" s="5">
        <f>IF($B206&lt;=Tabla5[[#This Row],[INVERSIONES FCI]],+Tabla5[[#This Row],[INVERSIONES FCI]]-T206,Tabla5[[#This Row],[INVERSIONES FCI]])</f>
        <v>41600625734.655281</v>
      </c>
      <c r="U207" s="5">
        <f>IF($B206&lt;=Tabla5[[#This Row],[INVERSIONES FCI]],+Tabla5[[#This Row],[INVERSIONES FCI]]-U206,Tabla5[[#This Row],[INVERSIONES FCI]])</f>
        <v>41600625734.655281</v>
      </c>
      <c r="V207" s="5">
        <f>IF($B206&lt;=Tabla5[[#This Row],[INVERSIONES FCI]],+Tabla5[[#This Row],[INVERSIONES FCI]]-V206,Tabla5[[#This Row],[INVERSIONES FCI]])</f>
        <v>41600625734.655281</v>
      </c>
      <c r="W207" s="5">
        <f>IF($B206&lt;=Tabla5[[#This Row],[INVERSIONES FCI]],+Tabla5[[#This Row],[INVERSIONES FCI]]-W206,Tabla5[[#This Row],[INVERSIONES FCI]])</f>
        <v>41600625734.655281</v>
      </c>
      <c r="X207" s="5">
        <f>IF($B206&lt;=Tabla5[[#This Row],[INVERSIONES FCI]],+Tabla5[[#This Row],[INVERSIONES FCI]]-X206,Tabla5[[#This Row],[INVERSIONES FCI]])</f>
        <v>41600625734.655281</v>
      </c>
      <c r="Y207" s="5">
        <f>IF($B206&lt;=Tabla5[[#This Row],[INVERSIONES FCI]],+Tabla5[[#This Row],[INVERSIONES FCI]]-Y206,Tabla5[[#This Row],[INVERSIONES FCI]])</f>
        <v>41600625734.655281</v>
      </c>
      <c r="Z207" s="5">
        <f>IF($B206&lt;=Tabla5[[#This Row],[INVERSIONES FCI]],+Tabla5[[#This Row],[INVERSIONES FCI]]-Z206,Tabla5[[#This Row],[INVERSIONES FCI]])</f>
        <v>41600625734.655281</v>
      </c>
      <c r="AA207" s="5">
        <f>IF($B206&lt;=Tabla5[[#This Row],[INVERSIONES FCI]],+Tabla5[[#This Row],[INVERSIONES FCI]]-AA206,Tabla5[[#This Row],[INVERSIONES FCI]])</f>
        <v>41600625734.655281</v>
      </c>
      <c r="AB207" s="5">
        <f>IF($B206&lt;=Tabla5[[#This Row],[INVERSIONES FCI]],+Tabla5[[#This Row],[INVERSIONES FCI]]-AB206,Tabla5[[#This Row],[INVERSIONES FCI]])</f>
        <v>41600625734.655281</v>
      </c>
      <c r="AC207" s="5">
        <f>IF($B206&lt;=Tabla5[[#This Row],[INVERSIONES FCI]],+Tabla5[[#This Row],[INVERSIONES FCI]]-AC206,Tabla5[[#This Row],[INVERSIONES FCI]])</f>
        <v>41600625734.655281</v>
      </c>
      <c r="AD207" s="5">
        <f>IF($B206&lt;=Tabla5[[#This Row],[INVERSIONES FCI]],+Tabla5[[#This Row],[INVERSIONES FCI]]-AD206,Tabla5[[#This Row],[INVERSIONES FCI]])</f>
        <v>41600625734.655281</v>
      </c>
      <c r="AE207" s="5">
        <f>IF($B206&lt;=Tabla5[[#This Row],[INVERSIONES FCI]],+Tabla5[[#This Row],[INVERSIONES FCI]]-AE206,Tabla5[[#This Row],[INVERSIONES FCI]])</f>
        <v>41600625734.655281</v>
      </c>
      <c r="AF207" s="5">
        <f>IF($B206&lt;=Tabla5[[#This Row],[INVERSIONES FCI]],+Tabla5[[#This Row],[INVERSIONES FCI]]-AF206,Tabla5[[#This Row],[INVERSIONES FCI]])</f>
        <v>41600625734.655281</v>
      </c>
      <c r="AG207" s="5">
        <f>IF($B206&lt;=Tabla5[[#This Row],[INVERSIONES FCI]],+Tabla5[[#This Row],[INVERSIONES FCI]]-AG206,Tabla5[[#This Row],[INVERSIONES FCI]])</f>
        <v>41600625734.655281</v>
      </c>
      <c r="AH207" s="5">
        <f>IF($B206&lt;=Tabla5[[#This Row],[INVERSIONES FCI]],+Tabla5[[#This Row],[INVERSIONES FCI]]-AH206,Tabla5[[#This Row],[INVERSIONES FCI]])</f>
        <v>41600625734.655281</v>
      </c>
      <c r="AI207" s="5">
        <f>IF($B206&lt;=Tabla5[[#This Row],[INVERSIONES FCI]],+Tabla5[[#This Row],[INVERSIONES FCI]]-AI206,Tabla5[[#This Row],[INVERSIONES FCI]])</f>
        <v>41600625734.655281</v>
      </c>
      <c r="AJ207" s="5">
        <f>IF($B206&lt;=Tabla5[[#This Row],[INVERSIONES FCI]],+Tabla5[[#This Row],[INVERSIONES FCI]]-AJ206,Tabla5[[#This Row],[INVERSIONES FCI]])</f>
        <v>41600625734.655281</v>
      </c>
      <c r="AK207" s="5">
        <f>IF($B206&lt;=Tabla5[[#This Row],[INVERSIONES FCI]],+Tabla5[[#This Row],[INVERSIONES FCI]]-AK206,Tabla5[[#This Row],[INVERSIONES FCI]])</f>
        <v>41600625734.655281</v>
      </c>
      <c r="AL207" s="5">
        <f>IF($B206&lt;=Tabla5[[#This Row],[INVERSIONES FCI]],+Tabla5[[#This Row],[INVERSIONES FCI]]-AL206,Tabla5[[#This Row],[INVERSIONES FCI]])</f>
        <v>41600625734.655281</v>
      </c>
      <c r="AM207" s="5">
        <f>IF($B206&lt;=Tabla5[[#This Row],[INVERSIONES FCI]],+Tabla5[[#This Row],[INVERSIONES FCI]]-AM206,Tabla5[[#This Row],[INVERSIONES FCI]])</f>
        <v>41600625734.655281</v>
      </c>
      <c r="AN207" s="5">
        <f>IF($B206&lt;=Tabla5[[#This Row],[INVERSIONES FCI]],+Tabla5[[#This Row],[INVERSIONES FCI]]-AN206,Tabla5[[#This Row],[INVERSIONES FCI]])</f>
        <v>41600625734.655281</v>
      </c>
      <c r="AO207" s="5">
        <f>IF($B206&lt;=Tabla5[[#This Row],[INVERSIONES FCI]],+Tabla5[[#This Row],[INVERSIONES FCI]]-AO206,Tabla5[[#This Row],[INVERSIONES FCI]])</f>
        <v>41600625734.655281</v>
      </c>
      <c r="AP207" s="5">
        <f>IF($B206&lt;=Tabla5[[#This Row],[INVERSIONES FCI]],+Tabla5[[#This Row],[INVERSIONES FCI]]-AP206,Tabla5[[#This Row],[INVERSIONES FCI]])</f>
        <v>41600625734.655281</v>
      </c>
      <c r="AQ207" s="5">
        <f>IF($B206&lt;=Tabla5[[#This Row],[INVERSIONES FCI]],+Tabla5[[#This Row],[INVERSIONES FCI]]-AQ206,Tabla5[[#This Row],[INVERSIONES FCI]])</f>
        <v>41600625734.655281</v>
      </c>
      <c r="AR207" s="5">
        <f>IF($B206&lt;=Tabla5[[#This Row],[INVERSIONES FCI]],+Tabla5[[#This Row],[INVERSIONES FCI]]-AR206,Tabla5[[#This Row],[INVERSIONES FCI]])</f>
        <v>41600625734.655281</v>
      </c>
      <c r="AS207" s="5">
        <f>IF($B206&lt;=Tabla5[[#This Row],[INVERSIONES FCI]],+Tabla5[[#This Row],[INVERSIONES FCI]]-AS206,Tabla5[[#This Row],[INVERSIONES FCI]])</f>
        <v>41600625734.655281</v>
      </c>
      <c r="AT207" s="5">
        <f>IF($B206&lt;=Tabla5[[#This Row],[INVERSIONES FCI]],+Tabla5[[#This Row],[INVERSIONES FCI]]-AT206,Tabla5[[#This Row],[INVERSIONES FCI]])</f>
        <v>41600625734.655281</v>
      </c>
      <c r="AU207" s="5">
        <f>IF($B206&lt;=Tabla5[[#This Row],[INVERSIONES FCI]],+Tabla5[[#This Row],[INVERSIONES FCI]]-AU206,Tabla5[[#This Row],[INVERSIONES FCI]])</f>
        <v>41600625734.655281</v>
      </c>
      <c r="AV207" s="5">
        <f>IF($B206&lt;=Tabla5[[#This Row],[INVERSIONES FCI]],+Tabla5[[#This Row],[INVERSIONES FCI]]-AV206,Tabla5[[#This Row],[INVERSIONES FCI]])</f>
        <v>41600625734.655281</v>
      </c>
      <c r="AW207" s="5">
        <f>IF($B206&lt;=Tabla5[[#This Row],[INVERSIONES FCI]],+Tabla5[[#This Row],[INVERSIONES FCI]]-AW206,Tabla5[[#This Row],[INVERSIONES FCI]])</f>
        <v>41600625734.655281</v>
      </c>
      <c r="AX207" s="5">
        <f>IF($B206&lt;=Tabla5[[#This Row],[INVERSIONES FCI]],+Tabla5[[#This Row],[INVERSIONES FCI]]-AX206,Tabla5[[#This Row],[INVERSIONES FCI]])</f>
        <v>41600625734.655281</v>
      </c>
      <c r="AY207" s="5">
        <f>IF($B206&lt;=Tabla5[[#This Row],[INVERSIONES FCI]],+Tabla5[[#This Row],[INVERSIONES FCI]]-AY206,Tabla5[[#This Row],[INVERSIONES FCI]])</f>
        <v>41600625734.655281</v>
      </c>
      <c r="AZ207" s="5">
        <f>IF($B206&lt;=Tabla5[[#This Row],[INVERSIONES FCI]],+Tabla5[[#This Row],[INVERSIONES FCI]]-AZ206,Tabla5[[#This Row],[INVERSIONES FCI]])</f>
        <v>41600625734.655281</v>
      </c>
      <c r="BA207" s="5">
        <f>IF($B206&lt;=Tabla5[[#This Row],[INVERSIONES FCI]],+Tabla5[[#This Row],[INVERSIONES FCI]]-BA206,Tabla5[[#This Row],[INVERSIONES FCI]])</f>
        <v>41600625734.655281</v>
      </c>
      <c r="BB207" s="5">
        <f>IF($B206&lt;=Tabla5[[#This Row],[INVERSIONES FCI]],+Tabla5[[#This Row],[INVERSIONES FCI]]-BB206,Tabla5[[#This Row],[INVERSIONES FCI]])</f>
        <v>41600625734.655281</v>
      </c>
      <c r="BC207" s="5">
        <f>IF($B206&lt;=Tabla5[[#This Row],[INVERSIONES FCI]],+Tabla5[[#This Row],[INVERSIONES FCI]]-BC206,Tabla5[[#This Row],[INVERSIONES FCI]])</f>
        <v>41600625734.655281</v>
      </c>
      <c r="BD207" s="5">
        <f>IF($B206&lt;=Tabla5[[#This Row],[INVERSIONES FCI]],+Tabla5[[#This Row],[INVERSIONES FCI]]-BD206,Tabla5[[#This Row],[INVERSIONES FCI]])</f>
        <v>41600625734.655281</v>
      </c>
      <c r="BE207" s="5">
        <f>IF($B206&lt;=Tabla5[[#This Row],[INVERSIONES FCI]],+Tabla5[[#This Row],[INVERSIONES FCI]]-BE206,Tabla5[[#This Row],[INVERSIONES FCI]])</f>
        <v>41600625734.655281</v>
      </c>
      <c r="BF207" s="5">
        <f>IF($B206&lt;=Tabla5[[#This Row],[INVERSIONES FCI]],+Tabla5[[#This Row],[INVERSIONES FCI]]-BF206,Tabla5[[#This Row],[INVERSIONES FCI]])</f>
        <v>41600625734.655281</v>
      </c>
      <c r="BG207" s="5">
        <f>IF($B206&lt;=Tabla5[[#This Row],[INVERSIONES FCI]],+Tabla5[[#This Row],[INVERSIONES FCI]]-BG206,Tabla5[[#This Row],[INVERSIONES FCI]])</f>
        <v>41600625734.655281</v>
      </c>
      <c r="BH207" s="5">
        <f>IF($B206&lt;=Tabla5[[#This Row],[INVERSIONES FCI]],+Tabla5[[#This Row],[INVERSIONES FCI]]-BH206,Tabla5[[#This Row],[INVERSIONES FCI]])</f>
        <v>41600625734.655281</v>
      </c>
      <c r="BI207" s="5">
        <f>IF($B206&lt;=Tabla5[[#This Row],[INVERSIONES FCI]],+Tabla5[[#This Row],[INVERSIONES FCI]]-BI206,Tabla5[[#This Row],[INVERSIONES FCI]])</f>
        <v>41600625734.655281</v>
      </c>
      <c r="BJ207" s="5">
        <f>IF($B206&lt;=Tabla5[[#This Row],[INVERSIONES FCI]],+Tabla5[[#This Row],[INVERSIONES FCI]]-BJ206,Tabla5[[#This Row],[INVERSIONES FCI]])</f>
        <v>41600625734.655281</v>
      </c>
      <c r="BK207" s="5">
        <f>IF($B206&lt;=Tabla5[[#This Row],[INVERSIONES FCI]],+Tabla5[[#This Row],[INVERSIONES FCI]]-BK206,Tabla5[[#This Row],[INVERSIONES FCI]])</f>
        <v>41600625734.655281</v>
      </c>
      <c r="BL207" s="5">
        <f>IF($B206&lt;=Tabla5[[#This Row],[INVERSIONES FCI]],+Tabla5[[#This Row],[INVERSIONES FCI]]-BL206,Tabla5[[#This Row],[INVERSIONES FCI]])</f>
        <v>41600625734.655281</v>
      </c>
      <c r="BM207" s="5">
        <f>IF($B206&lt;=Tabla5[[#This Row],[INVERSIONES FCI]],+Tabla5[[#This Row],[INVERSIONES FCI]]-BM206,Tabla5[[#This Row],[INVERSIONES FCI]])</f>
        <v>41600625734.655281</v>
      </c>
      <c r="BN207" s="5">
        <f>IF($B206&lt;=Tabla5[[#This Row],[INVERSIONES FCI]],+Tabla5[[#This Row],[INVERSIONES FCI]]-BN206,Tabla5[[#This Row],[INVERSIONES FCI]])</f>
        <v>41600625734.655281</v>
      </c>
      <c r="BO207" s="5">
        <f>IF($B206&lt;=Tabla5[[#This Row],[INVERSIONES FCI]],+Tabla5[[#This Row],[INVERSIONES FCI]]-BO206,Tabla5[[#This Row],[INVERSIONES FCI]])</f>
        <v>41600625734.655281</v>
      </c>
      <c r="BP207" s="5">
        <f>IF($B206&lt;=Tabla5[[#This Row],[INVERSIONES FCI]],+Tabla5[[#This Row],[INVERSIONES FCI]]-BP206,Tabla5[[#This Row],[INVERSIONES FCI]])</f>
        <v>41600625734.655281</v>
      </c>
      <c r="BQ207" s="5">
        <f>IF($B206&lt;=Tabla5[[#This Row],[INVERSIONES FCI]],+Tabla5[[#This Row],[INVERSIONES FCI]]-BQ206,Tabla5[[#This Row],[INVERSIONES FCI]])</f>
        <v>41600625734.655281</v>
      </c>
      <c r="BR207" s="5">
        <f>IF($B206&lt;=Tabla5[[#This Row],[INVERSIONES FCI]],+Tabla5[[#This Row],[INVERSIONES FCI]]-BR206,Tabla5[[#This Row],[INVERSIONES FCI]])</f>
        <v>41600625734.655281</v>
      </c>
      <c r="BS207" s="5">
        <f>IF($B206&lt;=Tabla5[[#This Row],[INVERSIONES FCI]],+Tabla5[[#This Row],[INVERSIONES FCI]]-BS206,Tabla5[[#This Row],[INVERSIONES FCI]])</f>
        <v>41600625734.655281</v>
      </c>
      <c r="BT207" s="5">
        <f>IF($B206&lt;=Tabla5[[#This Row],[INVERSIONES FCI]],+Tabla5[[#This Row],[INVERSIONES FCI]]-BT206,Tabla5[[#This Row],[INVERSIONES FCI]])</f>
        <v>41600625734.655281</v>
      </c>
      <c r="BU207" s="5">
        <f>IF($B206&lt;=Tabla5[[#This Row],[INVERSIONES FCI]],+Tabla5[[#This Row],[INVERSIONES FCI]]-BU206,Tabla5[[#This Row],[INVERSIONES FCI]])</f>
        <v>41600625734.655281</v>
      </c>
      <c r="BV207" s="5">
        <f>IF($B206&lt;=Tabla5[[#This Row],[INVERSIONES FCI]],+Tabla5[[#This Row],[INVERSIONES FCI]]-BV206,Tabla5[[#This Row],[INVERSIONES FCI]])</f>
        <v>41600625734.655281</v>
      </c>
      <c r="BW207" s="5">
        <f>IF($B206&lt;=Tabla5[[#This Row],[INVERSIONES FCI]],+Tabla5[[#This Row],[INVERSIONES FCI]]-BW206,Tabla5[[#This Row],[INVERSIONES FCI]])</f>
        <v>41600625734.655281</v>
      </c>
      <c r="BX207" s="5">
        <f>IF($B206&lt;=Tabla5[[#This Row],[INVERSIONES FCI]],+Tabla5[[#This Row],[INVERSIONES FCI]]-BX206,Tabla5[[#This Row],[INVERSIONES FCI]])</f>
        <v>41600625734.655281</v>
      </c>
      <c r="BY207" s="5">
        <f>IF($B206&lt;=Tabla5[[#This Row],[INVERSIONES FCI]],+Tabla5[[#This Row],[INVERSIONES FCI]]-BY206,Tabla5[[#This Row],[INVERSIONES FCI]])</f>
        <v>41600625734.655281</v>
      </c>
      <c r="BZ207" s="5">
        <f>IF($B206&lt;=Tabla5[[#This Row],[INVERSIONES FCI]],+Tabla5[[#This Row],[INVERSIONES FCI]]-BZ206,Tabla5[[#This Row],[INVERSIONES FCI]])</f>
        <v>41600625734.655281</v>
      </c>
      <c r="CA207" s="5">
        <f>IF($B206&lt;=Tabla5[[#This Row],[INVERSIONES FCI]],+Tabla5[[#This Row],[INVERSIONES FCI]]-CA206,Tabla5[[#This Row],[INVERSIONES FCI]])</f>
        <v>41600625734.655281</v>
      </c>
      <c r="CB207" s="5">
        <f>IF($B206&lt;=Tabla5[[#This Row],[INVERSIONES FCI]],+Tabla5[[#This Row],[INVERSIONES FCI]]-CB206,Tabla5[[#This Row],[INVERSIONES FCI]])</f>
        <v>41600625734.655281</v>
      </c>
      <c r="CC207" s="5">
        <f>IF($B206&lt;=Tabla5[[#This Row],[INVERSIONES FCI]],+Tabla5[[#This Row],[INVERSIONES FCI]]-CC206,Tabla5[[#This Row],[INVERSIONES FCI]])</f>
        <v>41600625734.655281</v>
      </c>
      <c r="CD207" s="5">
        <f>IF($B206&lt;=Tabla5[[#This Row],[INVERSIONES FCI]],+Tabla5[[#This Row],[INVERSIONES FCI]]-CD206,Tabla5[[#This Row],[INVERSIONES FCI]])</f>
        <v>41600625734.655281</v>
      </c>
      <c r="CE207" s="5">
        <f>IF($B206&lt;=Tabla5[[#This Row],[INVERSIONES FCI]],+Tabla5[[#This Row],[INVERSIONES FCI]]-CE206,Tabla5[[#This Row],[INVERSIONES FCI]])</f>
        <v>41600625734.655281</v>
      </c>
      <c r="CF207" s="5">
        <f>IF($B206&lt;=Tabla5[[#This Row],[INVERSIONES FCI]],+Tabla5[[#This Row],[INVERSIONES FCI]]-CF206,Tabla5[[#This Row],[INVERSIONES FCI]])</f>
        <v>41600625734.655281</v>
      </c>
      <c r="CG207" s="5">
        <f>IF($B206&lt;=Tabla5[[#This Row],[INVERSIONES FCI]],+Tabla5[[#This Row],[INVERSIONES FCI]]-CG206,Tabla5[[#This Row],[INVERSIONES FCI]])</f>
        <v>41600625734.655281</v>
      </c>
      <c r="CH207" s="5">
        <f>IF($B206&lt;=Tabla5[[#This Row],[INVERSIONES FCI]],+Tabla5[[#This Row],[INVERSIONES FCI]]-CH206,Tabla5[[#This Row],[INVERSIONES FCI]])</f>
        <v>41600625734.655281</v>
      </c>
      <c r="CI207" s="5">
        <f>IF($B206&lt;=Tabla5[[#This Row],[INVERSIONES FCI]],+Tabla5[[#This Row],[INVERSIONES FCI]]-CI206,Tabla5[[#This Row],[INVERSIONES FCI]])</f>
        <v>41600625734.655281</v>
      </c>
      <c r="CJ207" s="5">
        <f>IF($B206&lt;=Tabla5[[#This Row],[INVERSIONES FCI]],+Tabla5[[#This Row],[INVERSIONES FCI]]-CJ206,Tabla5[[#This Row],[INVERSIONES FCI]])</f>
        <v>41600625734.655281</v>
      </c>
      <c r="CK207" s="5">
        <f>IF($B206&lt;=Tabla5[[#This Row],[INVERSIONES FCI]],+Tabla5[[#This Row],[INVERSIONES FCI]]-CK206,Tabla5[[#This Row],[INVERSIONES FCI]])</f>
        <v>41600625734.655281</v>
      </c>
      <c r="CL207" s="5">
        <f>IF($B206&lt;=Tabla5[[#This Row],[INVERSIONES FCI]],+Tabla5[[#This Row],[INVERSIONES FCI]]-CL206,Tabla5[[#This Row],[INVERSIONES FCI]])</f>
        <v>41600625734.655281</v>
      </c>
      <c r="CM207" s="5">
        <f>IF($B206&lt;=Tabla5[[#This Row],[INVERSIONES FCI]],+Tabla5[[#This Row],[INVERSIONES FCI]]-CM206,Tabla5[[#This Row],[INVERSIONES FCI]])</f>
        <v>41600625734.655281</v>
      </c>
      <c r="CN207" s="5">
        <f>IF($B206&lt;=Tabla5[[#This Row],[INVERSIONES FCI]],+Tabla5[[#This Row],[INVERSIONES FCI]]-CN206,Tabla5[[#This Row],[INVERSIONES FCI]])</f>
        <v>41600625734.655281</v>
      </c>
      <c r="CO207" s="5">
        <f>IF($B206&lt;=Tabla5[[#This Row],[INVERSIONES FCI]],+Tabla5[[#This Row],[INVERSIONES FCI]]-CO206,Tabla5[[#This Row],[INVERSIONES FCI]])</f>
        <v>41600625734.655281</v>
      </c>
      <c r="CP207" s="5">
        <f>IF($B206&lt;=Tabla5[[#This Row],[INVERSIONES FCI]],+Tabla5[[#This Row],[INVERSIONES FCI]]-CP206,Tabla5[[#This Row],[INVERSIONES FCI]])</f>
        <v>41600625734.655281</v>
      </c>
      <c r="CQ207" s="5">
        <f>IF($B206&lt;=Tabla5[[#This Row],[INVERSIONES FCI]],+Tabla5[[#This Row],[INVERSIONES FCI]]-CQ206,Tabla5[[#This Row],[INVERSIONES FCI]])</f>
        <v>41600625734.655281</v>
      </c>
      <c r="CR207" s="5">
        <f>IF($B206&lt;=Tabla5[[#This Row],[INVERSIONES FCI]],+Tabla5[[#This Row],[INVERSIONES FCI]]-CR206,Tabla5[[#This Row],[INVERSIONES FCI]])</f>
        <v>41600625734.655281</v>
      </c>
      <c r="CS207" s="5">
        <f>IF($B206&lt;=Tabla5[[#This Row],[INVERSIONES FCI]],+Tabla5[[#This Row],[INVERSIONES FCI]]-CS206,Tabla5[[#This Row],[INVERSIONES FCI]])</f>
        <v>41600625734.655281</v>
      </c>
      <c r="CT207" s="5">
        <f>IF($B206&lt;=Tabla5[[#This Row],[INVERSIONES FCI]],+Tabla5[[#This Row],[INVERSIONES FCI]]-CT206,Tabla5[[#This Row],[INVERSIONES FCI]])</f>
        <v>41600625734.655281</v>
      </c>
      <c r="CU207" s="5">
        <f>IF($B206&lt;=Tabla5[[#This Row],[INVERSIONES FCI]],+Tabla5[[#This Row],[INVERSIONES FCI]]-CU206,Tabla5[[#This Row],[INVERSIONES FCI]])</f>
        <v>41600625734.655281</v>
      </c>
      <c r="CV207" s="5">
        <f>IF($B206&lt;=Tabla5[[#This Row],[INVERSIONES FCI]],+Tabla5[[#This Row],[INVERSIONES FCI]]-CV206,Tabla5[[#This Row],[INVERSIONES FCI]])</f>
        <v>41600625734.655281</v>
      </c>
      <c r="CW207" s="5">
        <f>IF($B206&lt;=Tabla5[[#This Row],[INVERSIONES FCI]],+Tabla5[[#This Row],[INVERSIONES FCI]]-CW206,Tabla5[[#This Row],[INVERSIONES FCI]])</f>
        <v>41600625734.655281</v>
      </c>
      <c r="CX207" s="5">
        <f>IF($B206&lt;=Tabla5[[#This Row],[INVERSIONES FCI]],+Tabla5[[#This Row],[INVERSIONES FCI]]-CX206,Tabla5[[#This Row],[INVERSIONES FCI]])</f>
        <v>41600625734.655281</v>
      </c>
      <c r="CY207" s="5">
        <f>IF($B206&lt;=Tabla5[[#This Row],[INVERSIONES FCI]],+Tabla5[[#This Row],[INVERSIONES FCI]]-CY206,Tabla5[[#This Row],[INVERSIONES FCI]])</f>
        <v>41600625734.655281</v>
      </c>
      <c r="CZ207" s="5">
        <f>IF($B206&lt;=Tabla5[[#This Row],[INVERSIONES FCI]],+Tabla5[[#This Row],[INVERSIONES FCI]]-CZ206,Tabla5[[#This Row],[INVERSIONES FCI]])</f>
        <v>41600625734.655281</v>
      </c>
      <c r="DA207" s="5">
        <f>IF($B206&lt;=Tabla5[[#This Row],[INVERSIONES FCI]],+Tabla5[[#This Row],[INVERSIONES FCI]]-DA206,Tabla5[[#This Row],[INVERSIONES FCI]])</f>
        <v>41600625734.655281</v>
      </c>
      <c r="DB207" s="5">
        <f>IF($B206&lt;=Tabla5[[#This Row],[INVERSIONES FCI]],+Tabla5[[#This Row],[INVERSIONES FCI]]-DB206,Tabla5[[#This Row],[INVERSIONES FCI]])</f>
        <v>41600625734.655281</v>
      </c>
      <c r="DC207" s="5">
        <f>IF($B206&lt;=Tabla5[[#This Row],[INVERSIONES FCI]],+Tabla5[[#This Row],[INVERSIONES FCI]]-DC206,Tabla5[[#This Row],[INVERSIONES FCI]])</f>
        <v>41600625734.655281</v>
      </c>
      <c r="DD207" s="5">
        <f>IF($B206&lt;=Tabla5[[#This Row],[INVERSIONES FCI]],+Tabla5[[#This Row],[INVERSIONES FCI]]-DD206,Tabla5[[#This Row],[INVERSIONES FCI]])</f>
        <v>41600625734.655281</v>
      </c>
      <c r="DE207" s="5">
        <f>IF($B206&lt;=Tabla5[[#This Row],[INVERSIONES FCI]],+Tabla5[[#This Row],[INVERSIONES FCI]]-DE206,Tabla5[[#This Row],[INVERSIONES FCI]])</f>
        <v>41600625734.655281</v>
      </c>
      <c r="DF207" s="5">
        <f>IF($B206&lt;=Tabla5[[#This Row],[INVERSIONES FCI]],+Tabla5[[#This Row],[INVERSIONES FCI]]-DF206,Tabla5[[#This Row],[INVERSIONES FCI]])</f>
        <v>41600625734.655281</v>
      </c>
      <c r="DG207" s="5">
        <f>IF($B206&lt;=Tabla5[[#This Row],[INVERSIONES FCI]],+Tabla5[[#This Row],[INVERSIONES FCI]]-DG206,Tabla5[[#This Row],[INVERSIONES FCI]])</f>
        <v>41600625734.655281</v>
      </c>
      <c r="DH207" s="5">
        <f>IF($B206&lt;=Tabla5[[#This Row],[INVERSIONES FCI]],+Tabla5[[#This Row],[INVERSIONES FCI]]-DH206,Tabla5[[#This Row],[INVERSIONES FCI]])</f>
        <v>41600625734.655281</v>
      </c>
      <c r="DI207" s="5">
        <f>IF($B206&lt;=Tabla5[[#This Row],[INVERSIONES FCI]],+Tabla5[[#This Row],[INVERSIONES FCI]]-DI206,Tabla5[[#This Row],[INVERSIONES FCI]])</f>
        <v>41600625734.655281</v>
      </c>
      <c r="DJ207" s="5">
        <f>IF($B206&lt;=Tabla5[[#This Row],[INVERSIONES FCI]],+Tabla5[[#This Row],[INVERSIONES FCI]]-DJ206,Tabla5[[#This Row],[INVERSIONES FCI]])</f>
        <v>41600625734.655281</v>
      </c>
      <c r="DK207" s="5">
        <f>IF($B206&lt;=Tabla5[[#This Row],[INVERSIONES FCI]],+Tabla5[[#This Row],[INVERSIONES FCI]]-DK206,Tabla5[[#This Row],[INVERSIONES FCI]])</f>
        <v>41600625734.655281</v>
      </c>
      <c r="DL207" s="5"/>
      <c r="DM207" s="5"/>
      <c r="DN207" s="5"/>
      <c r="DO207" s="5"/>
      <c r="DP207" s="5"/>
      <c r="DQ207" s="5"/>
    </row>
    <row r="208" spans="1:121" ht="14.4">
      <c r="A208" s="12" t="s">
        <v>207</v>
      </c>
      <c r="B208" s="5">
        <f>HLOOKUP($A208,ESCENARIO[#All],7,FALSE)</f>
        <v>44713582009.848068</v>
      </c>
      <c r="C208" s="5">
        <f>IF($B207&lt;=Tabla5[[#This Row],[INVERSIONES FCI]],+Tabla5[[#This Row],[INVERSIONES FCI]]-C207,Tabla5[[#This Row],[INVERSIONES FCI]])</f>
        <v>3112956275.1927872</v>
      </c>
      <c r="D208" s="5">
        <f>IF($B207&lt;=Tabla5[[#This Row],[INVERSIONES FCI]],+Tabla5[[#This Row],[INVERSIONES FCI]]-D207,Tabla5[[#This Row],[INVERSIONES FCI]])</f>
        <v>3112956275.1927872</v>
      </c>
      <c r="E208" s="5">
        <f>IF($B207&lt;=Tabla5[[#This Row],[INVERSIONES FCI]],+Tabla5[[#This Row],[INVERSIONES FCI]]-E207,Tabla5[[#This Row],[INVERSIONES FCI]])</f>
        <v>3112956275.1927872</v>
      </c>
      <c r="F208" s="5">
        <f>IF($B207&lt;=Tabla5[[#This Row],[INVERSIONES FCI]],+Tabla5[[#This Row],[INVERSIONES FCI]]-F207,Tabla5[[#This Row],[INVERSIONES FCI]])</f>
        <v>3112956275.1927872</v>
      </c>
      <c r="G208" s="5">
        <f>IF($B207&lt;=Tabla5[[#This Row],[INVERSIONES FCI]],+Tabla5[[#This Row],[INVERSIONES FCI]]-G207,Tabla5[[#This Row],[INVERSIONES FCI]])</f>
        <v>3112956275.1927872</v>
      </c>
      <c r="H208" s="5">
        <f>IF($B207&lt;=Tabla5[[#This Row],[INVERSIONES FCI]],+Tabla5[[#This Row],[INVERSIONES FCI]]-H207,Tabla5[[#This Row],[INVERSIONES FCI]])</f>
        <v>3112956275.1927872</v>
      </c>
      <c r="I208" s="5">
        <f>IF($B207&lt;=Tabla5[[#This Row],[INVERSIONES FCI]],+Tabla5[[#This Row],[INVERSIONES FCI]]-I207,Tabla5[[#This Row],[INVERSIONES FCI]])</f>
        <v>3112956275.1927872</v>
      </c>
      <c r="J208" s="5">
        <f>IF($B207&lt;=Tabla5[[#This Row],[INVERSIONES FCI]],+Tabla5[[#This Row],[INVERSIONES FCI]]-J207,Tabla5[[#This Row],[INVERSIONES FCI]])</f>
        <v>3112956275.1927872</v>
      </c>
      <c r="K208" s="5">
        <f>IF($B207&lt;=Tabla5[[#This Row],[INVERSIONES FCI]],+Tabla5[[#This Row],[INVERSIONES FCI]]-K207,Tabla5[[#This Row],[INVERSIONES FCI]])</f>
        <v>3112956275.1927872</v>
      </c>
      <c r="L208" s="5">
        <f>IF($B207&lt;=Tabla5[[#This Row],[INVERSIONES FCI]],+Tabla5[[#This Row],[INVERSIONES FCI]]-L207,Tabla5[[#This Row],[INVERSIONES FCI]])</f>
        <v>3112956275.1927872</v>
      </c>
      <c r="M208" s="5">
        <f>IF($B207&lt;=Tabla5[[#This Row],[INVERSIONES FCI]],+Tabla5[[#This Row],[INVERSIONES FCI]]-M207,Tabla5[[#This Row],[INVERSIONES FCI]])</f>
        <v>3112956275.1927872</v>
      </c>
      <c r="N208" s="5">
        <f>IF($B207&lt;=Tabla5[[#This Row],[INVERSIONES FCI]],+Tabla5[[#This Row],[INVERSIONES FCI]]-N207,Tabla5[[#This Row],[INVERSIONES FCI]])</f>
        <v>3112956275.1927872</v>
      </c>
      <c r="O208" s="5">
        <f>IF($B207&lt;=Tabla5[[#This Row],[INVERSIONES FCI]],+Tabla5[[#This Row],[INVERSIONES FCI]]-O207,Tabla5[[#This Row],[INVERSIONES FCI]])</f>
        <v>3112956275.1927872</v>
      </c>
      <c r="P208" s="5">
        <f>IF($B207&lt;=Tabla5[[#This Row],[INVERSIONES FCI]],+Tabla5[[#This Row],[INVERSIONES FCI]]-P207,Tabla5[[#This Row],[INVERSIONES FCI]])</f>
        <v>3112956275.1927872</v>
      </c>
      <c r="Q208" s="5">
        <f>IF($B207&lt;=Tabla5[[#This Row],[INVERSIONES FCI]],+Tabla5[[#This Row],[INVERSIONES FCI]]-Q207,Tabla5[[#This Row],[INVERSIONES FCI]])</f>
        <v>3112956275.1927872</v>
      </c>
      <c r="R208" s="5">
        <f>IF($B207&lt;=Tabla5[[#This Row],[INVERSIONES FCI]],+Tabla5[[#This Row],[INVERSIONES FCI]]-R207,Tabla5[[#This Row],[INVERSIONES FCI]])</f>
        <v>3112956275.1927872</v>
      </c>
      <c r="S208" s="5">
        <f>IF($B207&lt;=Tabla5[[#This Row],[INVERSIONES FCI]],+Tabla5[[#This Row],[INVERSIONES FCI]]-S207,Tabla5[[#This Row],[INVERSIONES FCI]])</f>
        <v>3112956275.1927872</v>
      </c>
      <c r="T208" s="5">
        <f>IF($B207&lt;=Tabla5[[#This Row],[INVERSIONES FCI]],+Tabla5[[#This Row],[INVERSIONES FCI]]-T207,Tabla5[[#This Row],[INVERSIONES FCI]])</f>
        <v>3112956275.1927872</v>
      </c>
      <c r="U208" s="5">
        <f>IF($B207&lt;=Tabla5[[#This Row],[INVERSIONES FCI]],+Tabla5[[#This Row],[INVERSIONES FCI]]-U207,Tabla5[[#This Row],[INVERSIONES FCI]])</f>
        <v>3112956275.1927872</v>
      </c>
      <c r="V208" s="5">
        <f>IF($B207&lt;=Tabla5[[#This Row],[INVERSIONES FCI]],+Tabla5[[#This Row],[INVERSIONES FCI]]-V207,Tabla5[[#This Row],[INVERSIONES FCI]])</f>
        <v>3112956275.1927872</v>
      </c>
      <c r="W208" s="5">
        <f>IF($B207&lt;=Tabla5[[#This Row],[INVERSIONES FCI]],+Tabla5[[#This Row],[INVERSIONES FCI]]-W207,Tabla5[[#This Row],[INVERSIONES FCI]])</f>
        <v>3112956275.1927872</v>
      </c>
      <c r="X208" s="5">
        <f>IF($B207&lt;=Tabla5[[#This Row],[INVERSIONES FCI]],+Tabla5[[#This Row],[INVERSIONES FCI]]-X207,Tabla5[[#This Row],[INVERSIONES FCI]])</f>
        <v>3112956275.1927872</v>
      </c>
      <c r="Y208" s="5">
        <f>IF($B207&lt;=Tabla5[[#This Row],[INVERSIONES FCI]],+Tabla5[[#This Row],[INVERSIONES FCI]]-Y207,Tabla5[[#This Row],[INVERSIONES FCI]])</f>
        <v>3112956275.1927872</v>
      </c>
      <c r="Z208" s="5">
        <f>IF($B207&lt;=Tabla5[[#This Row],[INVERSIONES FCI]],+Tabla5[[#This Row],[INVERSIONES FCI]]-Z207,Tabla5[[#This Row],[INVERSIONES FCI]])</f>
        <v>3112956275.1927872</v>
      </c>
      <c r="AA208" s="5">
        <f>IF($B207&lt;=Tabla5[[#This Row],[INVERSIONES FCI]],+Tabla5[[#This Row],[INVERSIONES FCI]]-AA207,Tabla5[[#This Row],[INVERSIONES FCI]])</f>
        <v>3112956275.1927872</v>
      </c>
      <c r="AB208" s="5">
        <f>IF($B207&lt;=Tabla5[[#This Row],[INVERSIONES FCI]],+Tabla5[[#This Row],[INVERSIONES FCI]]-AB207,Tabla5[[#This Row],[INVERSIONES FCI]])</f>
        <v>3112956275.1927872</v>
      </c>
      <c r="AC208" s="5">
        <f>IF($B207&lt;=Tabla5[[#This Row],[INVERSIONES FCI]],+Tabla5[[#This Row],[INVERSIONES FCI]]-AC207,Tabla5[[#This Row],[INVERSIONES FCI]])</f>
        <v>3112956275.1927872</v>
      </c>
      <c r="AD208" s="5">
        <f>IF($B207&lt;=Tabla5[[#This Row],[INVERSIONES FCI]],+Tabla5[[#This Row],[INVERSIONES FCI]]-AD207,Tabla5[[#This Row],[INVERSIONES FCI]])</f>
        <v>3112956275.1927872</v>
      </c>
      <c r="AE208" s="5">
        <f>IF($B207&lt;=Tabla5[[#This Row],[INVERSIONES FCI]],+Tabla5[[#This Row],[INVERSIONES FCI]]-AE207,Tabla5[[#This Row],[INVERSIONES FCI]])</f>
        <v>3112956275.1927872</v>
      </c>
      <c r="AF208" s="5">
        <f>IF($B207&lt;=Tabla5[[#This Row],[INVERSIONES FCI]],+Tabla5[[#This Row],[INVERSIONES FCI]]-AF207,Tabla5[[#This Row],[INVERSIONES FCI]])</f>
        <v>3112956275.1927872</v>
      </c>
      <c r="AG208" s="5">
        <f>IF($B207&lt;=Tabla5[[#This Row],[INVERSIONES FCI]],+Tabla5[[#This Row],[INVERSIONES FCI]]-AG207,Tabla5[[#This Row],[INVERSIONES FCI]])</f>
        <v>3112956275.1927872</v>
      </c>
      <c r="AH208" s="5">
        <f>IF($B207&lt;=Tabla5[[#This Row],[INVERSIONES FCI]],+Tabla5[[#This Row],[INVERSIONES FCI]]-AH207,Tabla5[[#This Row],[INVERSIONES FCI]])</f>
        <v>3112956275.1927872</v>
      </c>
      <c r="AI208" s="5">
        <f>IF($B207&lt;=Tabla5[[#This Row],[INVERSIONES FCI]],+Tabla5[[#This Row],[INVERSIONES FCI]]-AI207,Tabla5[[#This Row],[INVERSIONES FCI]])</f>
        <v>3112956275.1927872</v>
      </c>
      <c r="AJ208" s="5">
        <f>IF($B207&lt;=Tabla5[[#This Row],[INVERSIONES FCI]],+Tabla5[[#This Row],[INVERSIONES FCI]]-AJ207,Tabla5[[#This Row],[INVERSIONES FCI]])</f>
        <v>3112956275.1927872</v>
      </c>
      <c r="AK208" s="5">
        <f>IF($B207&lt;=Tabla5[[#This Row],[INVERSIONES FCI]],+Tabla5[[#This Row],[INVERSIONES FCI]]-AK207,Tabla5[[#This Row],[INVERSIONES FCI]])</f>
        <v>3112956275.1927872</v>
      </c>
      <c r="AL208" s="5">
        <f>IF($B207&lt;=Tabla5[[#This Row],[INVERSIONES FCI]],+Tabla5[[#This Row],[INVERSIONES FCI]]-AL207,Tabla5[[#This Row],[INVERSIONES FCI]])</f>
        <v>3112956275.1927872</v>
      </c>
      <c r="AM208" s="5">
        <f>IF($B207&lt;=Tabla5[[#This Row],[INVERSIONES FCI]],+Tabla5[[#This Row],[INVERSIONES FCI]]-AM207,Tabla5[[#This Row],[INVERSIONES FCI]])</f>
        <v>3112956275.1927872</v>
      </c>
      <c r="AN208" s="5">
        <f>IF($B207&lt;=Tabla5[[#This Row],[INVERSIONES FCI]],+Tabla5[[#This Row],[INVERSIONES FCI]]-AN207,Tabla5[[#This Row],[INVERSIONES FCI]])</f>
        <v>3112956275.1927872</v>
      </c>
      <c r="AO208" s="5">
        <f>IF($B207&lt;=Tabla5[[#This Row],[INVERSIONES FCI]],+Tabla5[[#This Row],[INVERSIONES FCI]]-AO207,Tabla5[[#This Row],[INVERSIONES FCI]])</f>
        <v>3112956275.1927872</v>
      </c>
      <c r="AP208" s="5">
        <f>IF($B207&lt;=Tabla5[[#This Row],[INVERSIONES FCI]],+Tabla5[[#This Row],[INVERSIONES FCI]]-AP207,Tabla5[[#This Row],[INVERSIONES FCI]])</f>
        <v>3112956275.1927872</v>
      </c>
      <c r="AQ208" s="5">
        <f>IF($B207&lt;=Tabla5[[#This Row],[INVERSIONES FCI]],+Tabla5[[#This Row],[INVERSIONES FCI]]-AQ207,Tabla5[[#This Row],[INVERSIONES FCI]])</f>
        <v>3112956275.1927872</v>
      </c>
      <c r="AR208" s="5">
        <f>IF($B207&lt;=Tabla5[[#This Row],[INVERSIONES FCI]],+Tabla5[[#This Row],[INVERSIONES FCI]]-AR207,Tabla5[[#This Row],[INVERSIONES FCI]])</f>
        <v>3112956275.1927872</v>
      </c>
      <c r="AS208" s="5">
        <f>IF($B207&lt;=Tabla5[[#This Row],[INVERSIONES FCI]],+Tabla5[[#This Row],[INVERSIONES FCI]]-AS207,Tabla5[[#This Row],[INVERSIONES FCI]])</f>
        <v>3112956275.1927872</v>
      </c>
      <c r="AT208" s="5">
        <f>IF($B207&lt;=Tabla5[[#This Row],[INVERSIONES FCI]],+Tabla5[[#This Row],[INVERSIONES FCI]]-AT207,Tabla5[[#This Row],[INVERSIONES FCI]])</f>
        <v>3112956275.1927872</v>
      </c>
      <c r="AU208" s="5">
        <f>IF($B207&lt;=Tabla5[[#This Row],[INVERSIONES FCI]],+Tabla5[[#This Row],[INVERSIONES FCI]]-AU207,Tabla5[[#This Row],[INVERSIONES FCI]])</f>
        <v>3112956275.1927872</v>
      </c>
      <c r="AV208" s="5">
        <f>IF($B207&lt;=Tabla5[[#This Row],[INVERSIONES FCI]],+Tabla5[[#This Row],[INVERSIONES FCI]]-AV207,Tabla5[[#This Row],[INVERSIONES FCI]])</f>
        <v>3112956275.1927872</v>
      </c>
      <c r="AW208" s="5">
        <f>IF($B207&lt;=Tabla5[[#This Row],[INVERSIONES FCI]],+Tabla5[[#This Row],[INVERSIONES FCI]]-AW207,Tabla5[[#This Row],[INVERSIONES FCI]])</f>
        <v>3112956275.1927872</v>
      </c>
      <c r="AX208" s="5">
        <f>IF($B207&lt;=Tabla5[[#This Row],[INVERSIONES FCI]],+Tabla5[[#This Row],[INVERSIONES FCI]]-AX207,Tabla5[[#This Row],[INVERSIONES FCI]])</f>
        <v>3112956275.1927872</v>
      </c>
      <c r="AY208" s="5">
        <f>IF($B207&lt;=Tabla5[[#This Row],[INVERSIONES FCI]],+Tabla5[[#This Row],[INVERSIONES FCI]]-AY207,Tabla5[[#This Row],[INVERSIONES FCI]])</f>
        <v>3112956275.1927872</v>
      </c>
      <c r="AZ208" s="5">
        <f>IF($B207&lt;=Tabla5[[#This Row],[INVERSIONES FCI]],+Tabla5[[#This Row],[INVERSIONES FCI]]-AZ207,Tabla5[[#This Row],[INVERSIONES FCI]])</f>
        <v>3112956275.1927872</v>
      </c>
      <c r="BA208" s="5">
        <f>IF($B207&lt;=Tabla5[[#This Row],[INVERSIONES FCI]],+Tabla5[[#This Row],[INVERSIONES FCI]]-BA207,Tabla5[[#This Row],[INVERSIONES FCI]])</f>
        <v>3112956275.1927872</v>
      </c>
      <c r="BB208" s="5">
        <f>IF($B207&lt;=Tabla5[[#This Row],[INVERSIONES FCI]],+Tabla5[[#This Row],[INVERSIONES FCI]]-BB207,Tabla5[[#This Row],[INVERSIONES FCI]])</f>
        <v>3112956275.1927872</v>
      </c>
      <c r="BC208" s="5">
        <f>IF($B207&lt;=Tabla5[[#This Row],[INVERSIONES FCI]],+Tabla5[[#This Row],[INVERSIONES FCI]]-BC207,Tabla5[[#This Row],[INVERSIONES FCI]])</f>
        <v>3112956275.1927872</v>
      </c>
      <c r="BD208" s="5">
        <f>IF($B207&lt;=Tabla5[[#This Row],[INVERSIONES FCI]],+Tabla5[[#This Row],[INVERSIONES FCI]]-BD207,Tabla5[[#This Row],[INVERSIONES FCI]])</f>
        <v>3112956275.1927872</v>
      </c>
      <c r="BE208" s="5">
        <f>IF($B207&lt;=Tabla5[[#This Row],[INVERSIONES FCI]],+Tabla5[[#This Row],[INVERSIONES FCI]]-BE207,Tabla5[[#This Row],[INVERSIONES FCI]])</f>
        <v>3112956275.1927872</v>
      </c>
      <c r="BF208" s="5">
        <f>IF($B207&lt;=Tabla5[[#This Row],[INVERSIONES FCI]],+Tabla5[[#This Row],[INVERSIONES FCI]]-BF207,Tabla5[[#This Row],[INVERSIONES FCI]])</f>
        <v>3112956275.1927872</v>
      </c>
      <c r="BG208" s="5">
        <f>IF($B207&lt;=Tabla5[[#This Row],[INVERSIONES FCI]],+Tabla5[[#This Row],[INVERSIONES FCI]]-BG207,Tabla5[[#This Row],[INVERSIONES FCI]])</f>
        <v>3112956275.1927872</v>
      </c>
      <c r="BH208" s="5">
        <f>IF($B207&lt;=Tabla5[[#This Row],[INVERSIONES FCI]],+Tabla5[[#This Row],[INVERSIONES FCI]]-BH207,Tabla5[[#This Row],[INVERSIONES FCI]])</f>
        <v>3112956275.1927872</v>
      </c>
      <c r="BI208" s="5">
        <f>IF($B207&lt;=Tabla5[[#This Row],[INVERSIONES FCI]],+Tabla5[[#This Row],[INVERSIONES FCI]]-BI207,Tabla5[[#This Row],[INVERSIONES FCI]])</f>
        <v>3112956275.1927872</v>
      </c>
      <c r="BJ208" s="5">
        <f>IF($B207&lt;=Tabla5[[#This Row],[INVERSIONES FCI]],+Tabla5[[#This Row],[INVERSIONES FCI]]-BJ207,Tabla5[[#This Row],[INVERSIONES FCI]])</f>
        <v>3112956275.1927872</v>
      </c>
      <c r="BK208" s="5">
        <f>IF($B207&lt;=Tabla5[[#This Row],[INVERSIONES FCI]],+Tabla5[[#This Row],[INVERSIONES FCI]]-BK207,Tabla5[[#This Row],[INVERSIONES FCI]])</f>
        <v>3112956275.1927872</v>
      </c>
      <c r="BL208" s="5">
        <f>IF($B207&lt;=Tabla5[[#This Row],[INVERSIONES FCI]],+Tabla5[[#This Row],[INVERSIONES FCI]]-BL207,Tabla5[[#This Row],[INVERSIONES FCI]])</f>
        <v>3112956275.1927872</v>
      </c>
      <c r="BM208" s="5">
        <f>IF($B207&lt;=Tabla5[[#This Row],[INVERSIONES FCI]],+Tabla5[[#This Row],[INVERSIONES FCI]]-BM207,Tabla5[[#This Row],[INVERSIONES FCI]])</f>
        <v>3112956275.1927872</v>
      </c>
      <c r="BN208" s="5">
        <f>IF($B207&lt;=Tabla5[[#This Row],[INVERSIONES FCI]],+Tabla5[[#This Row],[INVERSIONES FCI]]-BN207,Tabla5[[#This Row],[INVERSIONES FCI]])</f>
        <v>3112956275.1927872</v>
      </c>
      <c r="BO208" s="5">
        <f>IF($B207&lt;=Tabla5[[#This Row],[INVERSIONES FCI]],+Tabla5[[#This Row],[INVERSIONES FCI]]-BO207,Tabla5[[#This Row],[INVERSIONES FCI]])</f>
        <v>3112956275.1927872</v>
      </c>
      <c r="BP208" s="5">
        <f>IF($B207&lt;=Tabla5[[#This Row],[INVERSIONES FCI]],+Tabla5[[#This Row],[INVERSIONES FCI]]-BP207,Tabla5[[#This Row],[INVERSIONES FCI]])</f>
        <v>3112956275.1927872</v>
      </c>
      <c r="BQ208" s="5">
        <f>IF($B207&lt;=Tabla5[[#This Row],[INVERSIONES FCI]],+Tabla5[[#This Row],[INVERSIONES FCI]]-BQ207,Tabla5[[#This Row],[INVERSIONES FCI]])</f>
        <v>3112956275.1927872</v>
      </c>
      <c r="BR208" s="5">
        <f>IF($B207&lt;=Tabla5[[#This Row],[INVERSIONES FCI]],+Tabla5[[#This Row],[INVERSIONES FCI]]-BR207,Tabla5[[#This Row],[INVERSIONES FCI]])</f>
        <v>3112956275.1927872</v>
      </c>
      <c r="BS208" s="5">
        <f>IF($B207&lt;=Tabla5[[#This Row],[INVERSIONES FCI]],+Tabla5[[#This Row],[INVERSIONES FCI]]-BS207,Tabla5[[#This Row],[INVERSIONES FCI]])</f>
        <v>3112956275.1927872</v>
      </c>
      <c r="BT208" s="5">
        <f>IF($B207&lt;=Tabla5[[#This Row],[INVERSIONES FCI]],+Tabla5[[#This Row],[INVERSIONES FCI]]-BT207,Tabla5[[#This Row],[INVERSIONES FCI]])</f>
        <v>3112956275.1927872</v>
      </c>
      <c r="BU208" s="5">
        <f>IF($B207&lt;=Tabla5[[#This Row],[INVERSIONES FCI]],+Tabla5[[#This Row],[INVERSIONES FCI]]-BU207,Tabla5[[#This Row],[INVERSIONES FCI]])</f>
        <v>3112956275.1927872</v>
      </c>
      <c r="BV208" s="5">
        <f>IF($B207&lt;=Tabla5[[#This Row],[INVERSIONES FCI]],+Tabla5[[#This Row],[INVERSIONES FCI]]-BV207,Tabla5[[#This Row],[INVERSIONES FCI]])</f>
        <v>3112956275.1927872</v>
      </c>
      <c r="BW208" s="5">
        <f>IF($B207&lt;=Tabla5[[#This Row],[INVERSIONES FCI]],+Tabla5[[#This Row],[INVERSIONES FCI]]-BW207,Tabla5[[#This Row],[INVERSIONES FCI]])</f>
        <v>3112956275.1927872</v>
      </c>
      <c r="BX208" s="5">
        <f>IF($B207&lt;=Tabla5[[#This Row],[INVERSIONES FCI]],+Tabla5[[#This Row],[INVERSIONES FCI]]-BX207,Tabla5[[#This Row],[INVERSIONES FCI]])</f>
        <v>3112956275.1927872</v>
      </c>
      <c r="BY208" s="5">
        <f>IF($B207&lt;=Tabla5[[#This Row],[INVERSIONES FCI]],+Tabla5[[#This Row],[INVERSIONES FCI]]-BY207,Tabla5[[#This Row],[INVERSIONES FCI]])</f>
        <v>3112956275.1927872</v>
      </c>
      <c r="BZ208" s="5">
        <f>IF($B207&lt;=Tabla5[[#This Row],[INVERSIONES FCI]],+Tabla5[[#This Row],[INVERSIONES FCI]]-BZ207,Tabla5[[#This Row],[INVERSIONES FCI]])</f>
        <v>3112956275.1927872</v>
      </c>
      <c r="CA208" s="5">
        <f>IF($B207&lt;=Tabla5[[#This Row],[INVERSIONES FCI]],+Tabla5[[#This Row],[INVERSIONES FCI]]-CA207,Tabla5[[#This Row],[INVERSIONES FCI]])</f>
        <v>3112956275.1927872</v>
      </c>
      <c r="CB208" s="5">
        <f>IF($B207&lt;=Tabla5[[#This Row],[INVERSIONES FCI]],+Tabla5[[#This Row],[INVERSIONES FCI]]-CB207,Tabla5[[#This Row],[INVERSIONES FCI]])</f>
        <v>3112956275.1927872</v>
      </c>
      <c r="CC208" s="5">
        <f>IF($B207&lt;=Tabla5[[#This Row],[INVERSIONES FCI]],+Tabla5[[#This Row],[INVERSIONES FCI]]-CC207,Tabla5[[#This Row],[INVERSIONES FCI]])</f>
        <v>3112956275.1927872</v>
      </c>
      <c r="CD208" s="5">
        <f>IF($B207&lt;=Tabla5[[#This Row],[INVERSIONES FCI]],+Tabla5[[#This Row],[INVERSIONES FCI]]-CD207,Tabla5[[#This Row],[INVERSIONES FCI]])</f>
        <v>3112956275.1927872</v>
      </c>
      <c r="CE208" s="5">
        <f>IF($B207&lt;=Tabla5[[#This Row],[INVERSIONES FCI]],+Tabla5[[#This Row],[INVERSIONES FCI]]-CE207,Tabla5[[#This Row],[INVERSIONES FCI]])</f>
        <v>3112956275.1927872</v>
      </c>
      <c r="CF208" s="5">
        <f>IF($B207&lt;=Tabla5[[#This Row],[INVERSIONES FCI]],+Tabla5[[#This Row],[INVERSIONES FCI]]-CF207,Tabla5[[#This Row],[INVERSIONES FCI]])</f>
        <v>3112956275.1927872</v>
      </c>
      <c r="CG208" s="5">
        <f>IF($B207&lt;=Tabla5[[#This Row],[INVERSIONES FCI]],+Tabla5[[#This Row],[INVERSIONES FCI]]-CG207,Tabla5[[#This Row],[INVERSIONES FCI]])</f>
        <v>3112956275.1927872</v>
      </c>
      <c r="CH208" s="5">
        <f>IF($B207&lt;=Tabla5[[#This Row],[INVERSIONES FCI]],+Tabla5[[#This Row],[INVERSIONES FCI]]-CH207,Tabla5[[#This Row],[INVERSIONES FCI]])</f>
        <v>3112956275.1927872</v>
      </c>
      <c r="CI208" s="5">
        <f>IF($B207&lt;=Tabla5[[#This Row],[INVERSIONES FCI]],+Tabla5[[#This Row],[INVERSIONES FCI]]-CI207,Tabla5[[#This Row],[INVERSIONES FCI]])</f>
        <v>3112956275.1927872</v>
      </c>
      <c r="CJ208" s="5">
        <f>IF($B207&lt;=Tabla5[[#This Row],[INVERSIONES FCI]],+Tabla5[[#This Row],[INVERSIONES FCI]]-CJ207,Tabla5[[#This Row],[INVERSIONES FCI]])</f>
        <v>3112956275.1927872</v>
      </c>
      <c r="CK208" s="5">
        <f>IF($B207&lt;=Tabla5[[#This Row],[INVERSIONES FCI]],+Tabla5[[#This Row],[INVERSIONES FCI]]-CK207,Tabla5[[#This Row],[INVERSIONES FCI]])</f>
        <v>3112956275.1927872</v>
      </c>
      <c r="CL208" s="5">
        <f>IF($B207&lt;=Tabla5[[#This Row],[INVERSIONES FCI]],+Tabla5[[#This Row],[INVERSIONES FCI]]-CL207,Tabla5[[#This Row],[INVERSIONES FCI]])</f>
        <v>3112956275.1927872</v>
      </c>
      <c r="CM208" s="5">
        <f>IF($B207&lt;=Tabla5[[#This Row],[INVERSIONES FCI]],+Tabla5[[#This Row],[INVERSIONES FCI]]-CM207,Tabla5[[#This Row],[INVERSIONES FCI]])</f>
        <v>3112956275.1927872</v>
      </c>
      <c r="CN208" s="5">
        <f>IF($B207&lt;=Tabla5[[#This Row],[INVERSIONES FCI]],+Tabla5[[#This Row],[INVERSIONES FCI]]-CN207,Tabla5[[#This Row],[INVERSIONES FCI]])</f>
        <v>3112956275.1927872</v>
      </c>
      <c r="CO208" s="5">
        <f>IF($B207&lt;=Tabla5[[#This Row],[INVERSIONES FCI]],+Tabla5[[#This Row],[INVERSIONES FCI]]-CO207,Tabla5[[#This Row],[INVERSIONES FCI]])</f>
        <v>3112956275.1927872</v>
      </c>
      <c r="CP208" s="5">
        <f>IF($B207&lt;=Tabla5[[#This Row],[INVERSIONES FCI]],+Tabla5[[#This Row],[INVERSIONES FCI]]-CP207,Tabla5[[#This Row],[INVERSIONES FCI]])</f>
        <v>3112956275.1927872</v>
      </c>
      <c r="CQ208" s="5">
        <f>IF($B207&lt;=Tabla5[[#This Row],[INVERSIONES FCI]],+Tabla5[[#This Row],[INVERSIONES FCI]]-CQ207,Tabla5[[#This Row],[INVERSIONES FCI]])</f>
        <v>3112956275.1927872</v>
      </c>
      <c r="CR208" s="5">
        <f>IF($B207&lt;=Tabla5[[#This Row],[INVERSIONES FCI]],+Tabla5[[#This Row],[INVERSIONES FCI]]-CR207,Tabla5[[#This Row],[INVERSIONES FCI]])</f>
        <v>3112956275.1927872</v>
      </c>
      <c r="CS208" s="5">
        <f>IF($B207&lt;=Tabla5[[#This Row],[INVERSIONES FCI]],+Tabla5[[#This Row],[INVERSIONES FCI]]-CS207,Tabla5[[#This Row],[INVERSIONES FCI]])</f>
        <v>3112956275.1927872</v>
      </c>
      <c r="CT208" s="5">
        <f>IF($B207&lt;=Tabla5[[#This Row],[INVERSIONES FCI]],+Tabla5[[#This Row],[INVERSIONES FCI]]-CT207,Tabla5[[#This Row],[INVERSIONES FCI]])</f>
        <v>3112956275.1927872</v>
      </c>
      <c r="CU208" s="5">
        <f>IF($B207&lt;=Tabla5[[#This Row],[INVERSIONES FCI]],+Tabla5[[#This Row],[INVERSIONES FCI]]-CU207,Tabla5[[#This Row],[INVERSIONES FCI]])</f>
        <v>3112956275.1927872</v>
      </c>
      <c r="CV208" s="5">
        <f>IF($B207&lt;=Tabla5[[#This Row],[INVERSIONES FCI]],+Tabla5[[#This Row],[INVERSIONES FCI]]-CV207,Tabla5[[#This Row],[INVERSIONES FCI]])</f>
        <v>3112956275.1927872</v>
      </c>
      <c r="CW208" s="5">
        <f>IF($B207&lt;=Tabla5[[#This Row],[INVERSIONES FCI]],+Tabla5[[#This Row],[INVERSIONES FCI]]-CW207,Tabla5[[#This Row],[INVERSIONES FCI]])</f>
        <v>3112956275.1927872</v>
      </c>
      <c r="CX208" s="5">
        <f>IF($B207&lt;=Tabla5[[#This Row],[INVERSIONES FCI]],+Tabla5[[#This Row],[INVERSIONES FCI]]-CX207,Tabla5[[#This Row],[INVERSIONES FCI]])</f>
        <v>3112956275.1927872</v>
      </c>
      <c r="CY208" s="5">
        <f>IF($B207&lt;=Tabla5[[#This Row],[INVERSIONES FCI]],+Tabla5[[#This Row],[INVERSIONES FCI]]-CY207,Tabla5[[#This Row],[INVERSIONES FCI]])</f>
        <v>3112956275.1927872</v>
      </c>
      <c r="CZ208" s="5">
        <f>IF($B207&lt;=Tabla5[[#This Row],[INVERSIONES FCI]],+Tabla5[[#This Row],[INVERSIONES FCI]]-CZ207,Tabla5[[#This Row],[INVERSIONES FCI]])</f>
        <v>3112956275.1927872</v>
      </c>
      <c r="DA208" s="5">
        <f>IF($B207&lt;=Tabla5[[#This Row],[INVERSIONES FCI]],+Tabla5[[#This Row],[INVERSIONES FCI]]-DA207,Tabla5[[#This Row],[INVERSIONES FCI]])</f>
        <v>3112956275.1927872</v>
      </c>
      <c r="DB208" s="5">
        <f>IF($B207&lt;=Tabla5[[#This Row],[INVERSIONES FCI]],+Tabla5[[#This Row],[INVERSIONES FCI]]-DB207,Tabla5[[#This Row],[INVERSIONES FCI]])</f>
        <v>3112956275.1927872</v>
      </c>
      <c r="DC208" s="5">
        <f>IF($B207&lt;=Tabla5[[#This Row],[INVERSIONES FCI]],+Tabla5[[#This Row],[INVERSIONES FCI]]-DC207,Tabla5[[#This Row],[INVERSIONES FCI]])</f>
        <v>3112956275.1927872</v>
      </c>
      <c r="DD208" s="5">
        <f>IF($B207&lt;=Tabla5[[#This Row],[INVERSIONES FCI]],+Tabla5[[#This Row],[INVERSIONES FCI]]-DD207,Tabla5[[#This Row],[INVERSIONES FCI]])</f>
        <v>3112956275.1927872</v>
      </c>
      <c r="DE208" s="5">
        <f>IF($B207&lt;=Tabla5[[#This Row],[INVERSIONES FCI]],+Tabla5[[#This Row],[INVERSIONES FCI]]-DE207,Tabla5[[#This Row],[INVERSIONES FCI]])</f>
        <v>3112956275.1927872</v>
      </c>
      <c r="DF208" s="5">
        <f>IF($B207&lt;=Tabla5[[#This Row],[INVERSIONES FCI]],+Tabla5[[#This Row],[INVERSIONES FCI]]-DF207,Tabla5[[#This Row],[INVERSIONES FCI]])</f>
        <v>3112956275.1927872</v>
      </c>
      <c r="DG208" s="5">
        <f>IF($B207&lt;=Tabla5[[#This Row],[INVERSIONES FCI]],+Tabla5[[#This Row],[INVERSIONES FCI]]-DG207,Tabla5[[#This Row],[INVERSIONES FCI]])</f>
        <v>3112956275.1927872</v>
      </c>
      <c r="DH208" s="5">
        <f>IF($B207&lt;=Tabla5[[#This Row],[INVERSIONES FCI]],+Tabla5[[#This Row],[INVERSIONES FCI]]-DH207,Tabla5[[#This Row],[INVERSIONES FCI]])</f>
        <v>3112956275.1927872</v>
      </c>
      <c r="DI208" s="5">
        <f>IF($B207&lt;=Tabla5[[#This Row],[INVERSIONES FCI]],+Tabla5[[#This Row],[INVERSIONES FCI]]-DI207,Tabla5[[#This Row],[INVERSIONES FCI]])</f>
        <v>3112956275.1927872</v>
      </c>
      <c r="DJ208" s="5">
        <f>IF($B207&lt;=Tabla5[[#This Row],[INVERSIONES FCI]],+Tabla5[[#This Row],[INVERSIONES FCI]]-DJ207,Tabla5[[#This Row],[INVERSIONES FCI]])</f>
        <v>3112956275.1927872</v>
      </c>
      <c r="DK208" s="5">
        <f>IF($B207&lt;=Tabla5[[#This Row],[INVERSIONES FCI]],+Tabla5[[#This Row],[INVERSIONES FCI]]-DK207,Tabla5[[#This Row],[INVERSIONES FCI]])</f>
        <v>3112956275.1927872</v>
      </c>
      <c r="DL208" s="5"/>
      <c r="DM208" s="5"/>
      <c r="DN208" s="5"/>
      <c r="DO208" s="5"/>
      <c r="DP208" s="5"/>
      <c r="DQ208" s="5"/>
    </row>
    <row r="209" spans="1:121" ht="14.4">
      <c r="A209" s="12" t="s">
        <v>208</v>
      </c>
      <c r="B209" s="5">
        <f>HLOOKUP($A209,ESCENARIO[#All],7,FALSE)</f>
        <v>45983888249.371323</v>
      </c>
      <c r="C209" s="5">
        <f>IF($B208&lt;=Tabla5[[#This Row],[INVERSIONES FCI]],+Tabla5[[#This Row],[INVERSIONES FCI]]-C208,Tabla5[[#This Row],[INVERSIONES FCI]])</f>
        <v>42870931974.178535</v>
      </c>
      <c r="D209" s="5">
        <f>IF($B208&lt;=Tabla5[[#This Row],[INVERSIONES FCI]],+Tabla5[[#This Row],[INVERSIONES FCI]]-D208,Tabla5[[#This Row],[INVERSIONES FCI]])</f>
        <v>42870931974.178535</v>
      </c>
      <c r="E209" s="5">
        <f>IF($B208&lt;=Tabla5[[#This Row],[INVERSIONES FCI]],+Tabla5[[#This Row],[INVERSIONES FCI]]-E208,Tabla5[[#This Row],[INVERSIONES FCI]])</f>
        <v>42870931974.178535</v>
      </c>
      <c r="F209" s="5">
        <f>IF($B208&lt;=Tabla5[[#This Row],[INVERSIONES FCI]],+Tabla5[[#This Row],[INVERSIONES FCI]]-F208,Tabla5[[#This Row],[INVERSIONES FCI]])</f>
        <v>42870931974.178535</v>
      </c>
      <c r="G209" s="5">
        <f>IF($B208&lt;=Tabla5[[#This Row],[INVERSIONES FCI]],+Tabla5[[#This Row],[INVERSIONES FCI]]-G208,Tabla5[[#This Row],[INVERSIONES FCI]])</f>
        <v>42870931974.178535</v>
      </c>
      <c r="H209" s="5">
        <f>IF($B208&lt;=Tabla5[[#This Row],[INVERSIONES FCI]],+Tabla5[[#This Row],[INVERSIONES FCI]]-H208,Tabla5[[#This Row],[INVERSIONES FCI]])</f>
        <v>42870931974.178535</v>
      </c>
      <c r="I209" s="5">
        <f>IF($B208&lt;=Tabla5[[#This Row],[INVERSIONES FCI]],+Tabla5[[#This Row],[INVERSIONES FCI]]-I208,Tabla5[[#This Row],[INVERSIONES FCI]])</f>
        <v>42870931974.178535</v>
      </c>
      <c r="J209" s="5">
        <f>IF($B208&lt;=Tabla5[[#This Row],[INVERSIONES FCI]],+Tabla5[[#This Row],[INVERSIONES FCI]]-J208,Tabla5[[#This Row],[INVERSIONES FCI]])</f>
        <v>42870931974.178535</v>
      </c>
      <c r="K209" s="5">
        <f>IF($B208&lt;=Tabla5[[#This Row],[INVERSIONES FCI]],+Tabla5[[#This Row],[INVERSIONES FCI]]-K208,Tabla5[[#This Row],[INVERSIONES FCI]])</f>
        <v>42870931974.178535</v>
      </c>
      <c r="L209" s="5">
        <f>IF($B208&lt;=Tabla5[[#This Row],[INVERSIONES FCI]],+Tabla5[[#This Row],[INVERSIONES FCI]]-L208,Tabla5[[#This Row],[INVERSIONES FCI]])</f>
        <v>42870931974.178535</v>
      </c>
      <c r="M209" s="5">
        <f>IF($B208&lt;=Tabla5[[#This Row],[INVERSIONES FCI]],+Tabla5[[#This Row],[INVERSIONES FCI]]-M208,Tabla5[[#This Row],[INVERSIONES FCI]])</f>
        <v>42870931974.178535</v>
      </c>
      <c r="N209" s="5">
        <f>IF($B208&lt;=Tabla5[[#This Row],[INVERSIONES FCI]],+Tabla5[[#This Row],[INVERSIONES FCI]]-N208,Tabla5[[#This Row],[INVERSIONES FCI]])</f>
        <v>42870931974.178535</v>
      </c>
      <c r="O209" s="5">
        <f>IF($B208&lt;=Tabla5[[#This Row],[INVERSIONES FCI]],+Tabla5[[#This Row],[INVERSIONES FCI]]-O208,Tabla5[[#This Row],[INVERSIONES FCI]])</f>
        <v>42870931974.178535</v>
      </c>
      <c r="P209" s="5">
        <f>IF($B208&lt;=Tabla5[[#This Row],[INVERSIONES FCI]],+Tabla5[[#This Row],[INVERSIONES FCI]]-P208,Tabla5[[#This Row],[INVERSIONES FCI]])</f>
        <v>42870931974.178535</v>
      </c>
      <c r="Q209" s="5">
        <f>IF($B208&lt;=Tabla5[[#This Row],[INVERSIONES FCI]],+Tabla5[[#This Row],[INVERSIONES FCI]]-Q208,Tabla5[[#This Row],[INVERSIONES FCI]])</f>
        <v>42870931974.178535</v>
      </c>
      <c r="R209" s="5">
        <f>IF($B208&lt;=Tabla5[[#This Row],[INVERSIONES FCI]],+Tabla5[[#This Row],[INVERSIONES FCI]]-R208,Tabla5[[#This Row],[INVERSIONES FCI]])</f>
        <v>42870931974.178535</v>
      </c>
      <c r="S209" s="5">
        <f>IF($B208&lt;=Tabla5[[#This Row],[INVERSIONES FCI]],+Tabla5[[#This Row],[INVERSIONES FCI]]-S208,Tabla5[[#This Row],[INVERSIONES FCI]])</f>
        <v>42870931974.178535</v>
      </c>
      <c r="T209" s="5">
        <f>IF($B208&lt;=Tabla5[[#This Row],[INVERSIONES FCI]],+Tabla5[[#This Row],[INVERSIONES FCI]]-T208,Tabla5[[#This Row],[INVERSIONES FCI]])</f>
        <v>42870931974.178535</v>
      </c>
      <c r="U209" s="5">
        <f>IF($B208&lt;=Tabla5[[#This Row],[INVERSIONES FCI]],+Tabla5[[#This Row],[INVERSIONES FCI]]-U208,Tabla5[[#This Row],[INVERSIONES FCI]])</f>
        <v>42870931974.178535</v>
      </c>
      <c r="V209" s="5">
        <f>IF($B208&lt;=Tabla5[[#This Row],[INVERSIONES FCI]],+Tabla5[[#This Row],[INVERSIONES FCI]]-V208,Tabla5[[#This Row],[INVERSIONES FCI]])</f>
        <v>42870931974.178535</v>
      </c>
      <c r="W209" s="5">
        <f>IF($B208&lt;=Tabla5[[#This Row],[INVERSIONES FCI]],+Tabla5[[#This Row],[INVERSIONES FCI]]-W208,Tabla5[[#This Row],[INVERSIONES FCI]])</f>
        <v>42870931974.178535</v>
      </c>
      <c r="X209" s="5">
        <f>IF($B208&lt;=Tabla5[[#This Row],[INVERSIONES FCI]],+Tabla5[[#This Row],[INVERSIONES FCI]]-X208,Tabla5[[#This Row],[INVERSIONES FCI]])</f>
        <v>42870931974.178535</v>
      </c>
      <c r="Y209" s="5">
        <f>IF($B208&lt;=Tabla5[[#This Row],[INVERSIONES FCI]],+Tabla5[[#This Row],[INVERSIONES FCI]]-Y208,Tabla5[[#This Row],[INVERSIONES FCI]])</f>
        <v>42870931974.178535</v>
      </c>
      <c r="Z209" s="5">
        <f>IF($B208&lt;=Tabla5[[#This Row],[INVERSIONES FCI]],+Tabla5[[#This Row],[INVERSIONES FCI]]-Z208,Tabla5[[#This Row],[INVERSIONES FCI]])</f>
        <v>42870931974.178535</v>
      </c>
      <c r="AA209" s="5">
        <f>IF($B208&lt;=Tabla5[[#This Row],[INVERSIONES FCI]],+Tabla5[[#This Row],[INVERSIONES FCI]]-AA208,Tabla5[[#This Row],[INVERSIONES FCI]])</f>
        <v>42870931974.178535</v>
      </c>
      <c r="AB209" s="5">
        <f>IF($B208&lt;=Tabla5[[#This Row],[INVERSIONES FCI]],+Tabla5[[#This Row],[INVERSIONES FCI]]-AB208,Tabla5[[#This Row],[INVERSIONES FCI]])</f>
        <v>42870931974.178535</v>
      </c>
      <c r="AC209" s="5">
        <f>IF($B208&lt;=Tabla5[[#This Row],[INVERSIONES FCI]],+Tabla5[[#This Row],[INVERSIONES FCI]]-AC208,Tabla5[[#This Row],[INVERSIONES FCI]])</f>
        <v>42870931974.178535</v>
      </c>
      <c r="AD209" s="5">
        <f>IF($B208&lt;=Tabla5[[#This Row],[INVERSIONES FCI]],+Tabla5[[#This Row],[INVERSIONES FCI]]-AD208,Tabla5[[#This Row],[INVERSIONES FCI]])</f>
        <v>42870931974.178535</v>
      </c>
      <c r="AE209" s="5">
        <f>IF($B208&lt;=Tabla5[[#This Row],[INVERSIONES FCI]],+Tabla5[[#This Row],[INVERSIONES FCI]]-AE208,Tabla5[[#This Row],[INVERSIONES FCI]])</f>
        <v>42870931974.178535</v>
      </c>
      <c r="AF209" s="5">
        <f>IF($B208&lt;=Tabla5[[#This Row],[INVERSIONES FCI]],+Tabla5[[#This Row],[INVERSIONES FCI]]-AF208,Tabla5[[#This Row],[INVERSIONES FCI]])</f>
        <v>42870931974.178535</v>
      </c>
      <c r="AG209" s="5">
        <f>IF($B208&lt;=Tabla5[[#This Row],[INVERSIONES FCI]],+Tabla5[[#This Row],[INVERSIONES FCI]]-AG208,Tabla5[[#This Row],[INVERSIONES FCI]])</f>
        <v>42870931974.178535</v>
      </c>
      <c r="AH209" s="5">
        <f>IF($B208&lt;=Tabla5[[#This Row],[INVERSIONES FCI]],+Tabla5[[#This Row],[INVERSIONES FCI]]-AH208,Tabla5[[#This Row],[INVERSIONES FCI]])</f>
        <v>42870931974.178535</v>
      </c>
      <c r="AI209" s="5">
        <f>IF($B208&lt;=Tabla5[[#This Row],[INVERSIONES FCI]],+Tabla5[[#This Row],[INVERSIONES FCI]]-AI208,Tabla5[[#This Row],[INVERSIONES FCI]])</f>
        <v>42870931974.178535</v>
      </c>
      <c r="AJ209" s="5">
        <f>IF($B208&lt;=Tabla5[[#This Row],[INVERSIONES FCI]],+Tabla5[[#This Row],[INVERSIONES FCI]]-AJ208,Tabla5[[#This Row],[INVERSIONES FCI]])</f>
        <v>42870931974.178535</v>
      </c>
      <c r="AK209" s="5">
        <f>IF($B208&lt;=Tabla5[[#This Row],[INVERSIONES FCI]],+Tabla5[[#This Row],[INVERSIONES FCI]]-AK208,Tabla5[[#This Row],[INVERSIONES FCI]])</f>
        <v>42870931974.178535</v>
      </c>
      <c r="AL209" s="5">
        <f>IF($B208&lt;=Tabla5[[#This Row],[INVERSIONES FCI]],+Tabla5[[#This Row],[INVERSIONES FCI]]-AL208,Tabla5[[#This Row],[INVERSIONES FCI]])</f>
        <v>42870931974.178535</v>
      </c>
      <c r="AM209" s="5">
        <f>IF($B208&lt;=Tabla5[[#This Row],[INVERSIONES FCI]],+Tabla5[[#This Row],[INVERSIONES FCI]]-AM208,Tabla5[[#This Row],[INVERSIONES FCI]])</f>
        <v>42870931974.178535</v>
      </c>
      <c r="AN209" s="5">
        <f>IF($B208&lt;=Tabla5[[#This Row],[INVERSIONES FCI]],+Tabla5[[#This Row],[INVERSIONES FCI]]-AN208,Tabla5[[#This Row],[INVERSIONES FCI]])</f>
        <v>42870931974.178535</v>
      </c>
      <c r="AO209" s="5">
        <f>IF($B208&lt;=Tabla5[[#This Row],[INVERSIONES FCI]],+Tabla5[[#This Row],[INVERSIONES FCI]]-AO208,Tabla5[[#This Row],[INVERSIONES FCI]])</f>
        <v>42870931974.178535</v>
      </c>
      <c r="AP209" s="5">
        <f>IF($B208&lt;=Tabla5[[#This Row],[INVERSIONES FCI]],+Tabla5[[#This Row],[INVERSIONES FCI]]-AP208,Tabla5[[#This Row],[INVERSIONES FCI]])</f>
        <v>42870931974.178535</v>
      </c>
      <c r="AQ209" s="5">
        <f>IF($B208&lt;=Tabla5[[#This Row],[INVERSIONES FCI]],+Tabla5[[#This Row],[INVERSIONES FCI]]-AQ208,Tabla5[[#This Row],[INVERSIONES FCI]])</f>
        <v>42870931974.178535</v>
      </c>
      <c r="AR209" s="5">
        <f>IF($B208&lt;=Tabla5[[#This Row],[INVERSIONES FCI]],+Tabla5[[#This Row],[INVERSIONES FCI]]-AR208,Tabla5[[#This Row],[INVERSIONES FCI]])</f>
        <v>42870931974.178535</v>
      </c>
      <c r="AS209" s="5">
        <f>IF($B208&lt;=Tabla5[[#This Row],[INVERSIONES FCI]],+Tabla5[[#This Row],[INVERSIONES FCI]]-AS208,Tabla5[[#This Row],[INVERSIONES FCI]])</f>
        <v>42870931974.178535</v>
      </c>
      <c r="AT209" s="5">
        <f>IF($B208&lt;=Tabla5[[#This Row],[INVERSIONES FCI]],+Tabla5[[#This Row],[INVERSIONES FCI]]-AT208,Tabla5[[#This Row],[INVERSIONES FCI]])</f>
        <v>42870931974.178535</v>
      </c>
      <c r="AU209" s="5">
        <f>IF($B208&lt;=Tabla5[[#This Row],[INVERSIONES FCI]],+Tabla5[[#This Row],[INVERSIONES FCI]]-AU208,Tabla5[[#This Row],[INVERSIONES FCI]])</f>
        <v>42870931974.178535</v>
      </c>
      <c r="AV209" s="5">
        <f>IF($B208&lt;=Tabla5[[#This Row],[INVERSIONES FCI]],+Tabla5[[#This Row],[INVERSIONES FCI]]-AV208,Tabla5[[#This Row],[INVERSIONES FCI]])</f>
        <v>42870931974.178535</v>
      </c>
      <c r="AW209" s="5">
        <f>IF($B208&lt;=Tabla5[[#This Row],[INVERSIONES FCI]],+Tabla5[[#This Row],[INVERSIONES FCI]]-AW208,Tabla5[[#This Row],[INVERSIONES FCI]])</f>
        <v>42870931974.178535</v>
      </c>
      <c r="AX209" s="5">
        <f>IF($B208&lt;=Tabla5[[#This Row],[INVERSIONES FCI]],+Tabla5[[#This Row],[INVERSIONES FCI]]-AX208,Tabla5[[#This Row],[INVERSIONES FCI]])</f>
        <v>42870931974.178535</v>
      </c>
      <c r="AY209" s="5">
        <f>IF($B208&lt;=Tabla5[[#This Row],[INVERSIONES FCI]],+Tabla5[[#This Row],[INVERSIONES FCI]]-AY208,Tabla5[[#This Row],[INVERSIONES FCI]])</f>
        <v>42870931974.178535</v>
      </c>
      <c r="AZ209" s="5">
        <f>IF($B208&lt;=Tabla5[[#This Row],[INVERSIONES FCI]],+Tabla5[[#This Row],[INVERSIONES FCI]]-AZ208,Tabla5[[#This Row],[INVERSIONES FCI]])</f>
        <v>42870931974.178535</v>
      </c>
      <c r="BA209" s="5">
        <f>IF($B208&lt;=Tabla5[[#This Row],[INVERSIONES FCI]],+Tabla5[[#This Row],[INVERSIONES FCI]]-BA208,Tabla5[[#This Row],[INVERSIONES FCI]])</f>
        <v>42870931974.178535</v>
      </c>
      <c r="BB209" s="5">
        <f>IF($B208&lt;=Tabla5[[#This Row],[INVERSIONES FCI]],+Tabla5[[#This Row],[INVERSIONES FCI]]-BB208,Tabla5[[#This Row],[INVERSIONES FCI]])</f>
        <v>42870931974.178535</v>
      </c>
      <c r="BC209" s="5">
        <f>IF($B208&lt;=Tabla5[[#This Row],[INVERSIONES FCI]],+Tabla5[[#This Row],[INVERSIONES FCI]]-BC208,Tabla5[[#This Row],[INVERSIONES FCI]])</f>
        <v>42870931974.178535</v>
      </c>
      <c r="BD209" s="5">
        <f>IF($B208&lt;=Tabla5[[#This Row],[INVERSIONES FCI]],+Tabla5[[#This Row],[INVERSIONES FCI]]-BD208,Tabla5[[#This Row],[INVERSIONES FCI]])</f>
        <v>42870931974.178535</v>
      </c>
      <c r="BE209" s="5">
        <f>IF($B208&lt;=Tabla5[[#This Row],[INVERSIONES FCI]],+Tabla5[[#This Row],[INVERSIONES FCI]]-BE208,Tabla5[[#This Row],[INVERSIONES FCI]])</f>
        <v>42870931974.178535</v>
      </c>
      <c r="BF209" s="5">
        <f>IF($B208&lt;=Tabla5[[#This Row],[INVERSIONES FCI]],+Tabla5[[#This Row],[INVERSIONES FCI]]-BF208,Tabla5[[#This Row],[INVERSIONES FCI]])</f>
        <v>42870931974.178535</v>
      </c>
      <c r="BG209" s="5">
        <f>IF($B208&lt;=Tabla5[[#This Row],[INVERSIONES FCI]],+Tabla5[[#This Row],[INVERSIONES FCI]]-BG208,Tabla5[[#This Row],[INVERSIONES FCI]])</f>
        <v>42870931974.178535</v>
      </c>
      <c r="BH209" s="5">
        <f>IF($B208&lt;=Tabla5[[#This Row],[INVERSIONES FCI]],+Tabla5[[#This Row],[INVERSIONES FCI]]-BH208,Tabla5[[#This Row],[INVERSIONES FCI]])</f>
        <v>42870931974.178535</v>
      </c>
      <c r="BI209" s="5">
        <f>IF($B208&lt;=Tabla5[[#This Row],[INVERSIONES FCI]],+Tabla5[[#This Row],[INVERSIONES FCI]]-BI208,Tabla5[[#This Row],[INVERSIONES FCI]])</f>
        <v>42870931974.178535</v>
      </c>
      <c r="BJ209" s="5">
        <f>IF($B208&lt;=Tabla5[[#This Row],[INVERSIONES FCI]],+Tabla5[[#This Row],[INVERSIONES FCI]]-BJ208,Tabla5[[#This Row],[INVERSIONES FCI]])</f>
        <v>42870931974.178535</v>
      </c>
      <c r="BK209" s="5">
        <f>IF($B208&lt;=Tabla5[[#This Row],[INVERSIONES FCI]],+Tabla5[[#This Row],[INVERSIONES FCI]]-BK208,Tabla5[[#This Row],[INVERSIONES FCI]])</f>
        <v>42870931974.178535</v>
      </c>
      <c r="BL209" s="5">
        <f>IF($B208&lt;=Tabla5[[#This Row],[INVERSIONES FCI]],+Tabla5[[#This Row],[INVERSIONES FCI]]-BL208,Tabla5[[#This Row],[INVERSIONES FCI]])</f>
        <v>42870931974.178535</v>
      </c>
      <c r="BM209" s="5">
        <f>IF($B208&lt;=Tabla5[[#This Row],[INVERSIONES FCI]],+Tabla5[[#This Row],[INVERSIONES FCI]]-BM208,Tabla5[[#This Row],[INVERSIONES FCI]])</f>
        <v>42870931974.178535</v>
      </c>
      <c r="BN209" s="5">
        <f>IF($B208&lt;=Tabla5[[#This Row],[INVERSIONES FCI]],+Tabla5[[#This Row],[INVERSIONES FCI]]-BN208,Tabla5[[#This Row],[INVERSIONES FCI]])</f>
        <v>42870931974.178535</v>
      </c>
      <c r="BO209" s="5">
        <f>IF($B208&lt;=Tabla5[[#This Row],[INVERSIONES FCI]],+Tabla5[[#This Row],[INVERSIONES FCI]]-BO208,Tabla5[[#This Row],[INVERSIONES FCI]])</f>
        <v>42870931974.178535</v>
      </c>
      <c r="BP209" s="5">
        <f>IF($B208&lt;=Tabla5[[#This Row],[INVERSIONES FCI]],+Tabla5[[#This Row],[INVERSIONES FCI]]-BP208,Tabla5[[#This Row],[INVERSIONES FCI]])</f>
        <v>42870931974.178535</v>
      </c>
      <c r="BQ209" s="5">
        <f>IF($B208&lt;=Tabla5[[#This Row],[INVERSIONES FCI]],+Tabla5[[#This Row],[INVERSIONES FCI]]-BQ208,Tabla5[[#This Row],[INVERSIONES FCI]])</f>
        <v>42870931974.178535</v>
      </c>
      <c r="BR209" s="5">
        <f>IF($B208&lt;=Tabla5[[#This Row],[INVERSIONES FCI]],+Tabla5[[#This Row],[INVERSIONES FCI]]-BR208,Tabla5[[#This Row],[INVERSIONES FCI]])</f>
        <v>42870931974.178535</v>
      </c>
      <c r="BS209" s="5">
        <f>IF($B208&lt;=Tabla5[[#This Row],[INVERSIONES FCI]],+Tabla5[[#This Row],[INVERSIONES FCI]]-BS208,Tabla5[[#This Row],[INVERSIONES FCI]])</f>
        <v>42870931974.178535</v>
      </c>
      <c r="BT209" s="5">
        <f>IF($B208&lt;=Tabla5[[#This Row],[INVERSIONES FCI]],+Tabla5[[#This Row],[INVERSIONES FCI]]-BT208,Tabla5[[#This Row],[INVERSIONES FCI]])</f>
        <v>42870931974.178535</v>
      </c>
      <c r="BU209" s="5">
        <f>IF($B208&lt;=Tabla5[[#This Row],[INVERSIONES FCI]],+Tabla5[[#This Row],[INVERSIONES FCI]]-BU208,Tabla5[[#This Row],[INVERSIONES FCI]])</f>
        <v>42870931974.178535</v>
      </c>
      <c r="BV209" s="5">
        <f>IF($B208&lt;=Tabla5[[#This Row],[INVERSIONES FCI]],+Tabla5[[#This Row],[INVERSIONES FCI]]-BV208,Tabla5[[#This Row],[INVERSIONES FCI]])</f>
        <v>42870931974.178535</v>
      </c>
      <c r="BW209" s="5">
        <f>IF($B208&lt;=Tabla5[[#This Row],[INVERSIONES FCI]],+Tabla5[[#This Row],[INVERSIONES FCI]]-BW208,Tabla5[[#This Row],[INVERSIONES FCI]])</f>
        <v>42870931974.178535</v>
      </c>
      <c r="BX209" s="5">
        <f>IF($B208&lt;=Tabla5[[#This Row],[INVERSIONES FCI]],+Tabla5[[#This Row],[INVERSIONES FCI]]-BX208,Tabla5[[#This Row],[INVERSIONES FCI]])</f>
        <v>42870931974.178535</v>
      </c>
      <c r="BY209" s="5">
        <f>IF($B208&lt;=Tabla5[[#This Row],[INVERSIONES FCI]],+Tabla5[[#This Row],[INVERSIONES FCI]]-BY208,Tabla5[[#This Row],[INVERSIONES FCI]])</f>
        <v>42870931974.178535</v>
      </c>
      <c r="BZ209" s="5">
        <f>IF($B208&lt;=Tabla5[[#This Row],[INVERSIONES FCI]],+Tabla5[[#This Row],[INVERSIONES FCI]]-BZ208,Tabla5[[#This Row],[INVERSIONES FCI]])</f>
        <v>42870931974.178535</v>
      </c>
      <c r="CA209" s="5">
        <f>IF($B208&lt;=Tabla5[[#This Row],[INVERSIONES FCI]],+Tabla5[[#This Row],[INVERSIONES FCI]]-CA208,Tabla5[[#This Row],[INVERSIONES FCI]])</f>
        <v>42870931974.178535</v>
      </c>
      <c r="CB209" s="5">
        <f>IF($B208&lt;=Tabla5[[#This Row],[INVERSIONES FCI]],+Tabla5[[#This Row],[INVERSIONES FCI]]-CB208,Tabla5[[#This Row],[INVERSIONES FCI]])</f>
        <v>42870931974.178535</v>
      </c>
      <c r="CC209" s="5">
        <f>IF($B208&lt;=Tabla5[[#This Row],[INVERSIONES FCI]],+Tabla5[[#This Row],[INVERSIONES FCI]]-CC208,Tabla5[[#This Row],[INVERSIONES FCI]])</f>
        <v>42870931974.178535</v>
      </c>
      <c r="CD209" s="5">
        <f>IF($B208&lt;=Tabla5[[#This Row],[INVERSIONES FCI]],+Tabla5[[#This Row],[INVERSIONES FCI]]-CD208,Tabla5[[#This Row],[INVERSIONES FCI]])</f>
        <v>42870931974.178535</v>
      </c>
      <c r="CE209" s="5">
        <f>IF($B208&lt;=Tabla5[[#This Row],[INVERSIONES FCI]],+Tabla5[[#This Row],[INVERSIONES FCI]]-CE208,Tabla5[[#This Row],[INVERSIONES FCI]])</f>
        <v>42870931974.178535</v>
      </c>
      <c r="CF209" s="5">
        <f>IF($B208&lt;=Tabla5[[#This Row],[INVERSIONES FCI]],+Tabla5[[#This Row],[INVERSIONES FCI]]-CF208,Tabla5[[#This Row],[INVERSIONES FCI]])</f>
        <v>42870931974.178535</v>
      </c>
      <c r="CG209" s="5">
        <f>IF($B208&lt;=Tabla5[[#This Row],[INVERSIONES FCI]],+Tabla5[[#This Row],[INVERSIONES FCI]]-CG208,Tabla5[[#This Row],[INVERSIONES FCI]])</f>
        <v>42870931974.178535</v>
      </c>
      <c r="CH209" s="5">
        <f>IF($B208&lt;=Tabla5[[#This Row],[INVERSIONES FCI]],+Tabla5[[#This Row],[INVERSIONES FCI]]-CH208,Tabla5[[#This Row],[INVERSIONES FCI]])</f>
        <v>42870931974.178535</v>
      </c>
      <c r="CI209" s="5">
        <f>IF($B208&lt;=Tabla5[[#This Row],[INVERSIONES FCI]],+Tabla5[[#This Row],[INVERSIONES FCI]]-CI208,Tabla5[[#This Row],[INVERSIONES FCI]])</f>
        <v>42870931974.178535</v>
      </c>
      <c r="CJ209" s="5">
        <f>IF($B208&lt;=Tabla5[[#This Row],[INVERSIONES FCI]],+Tabla5[[#This Row],[INVERSIONES FCI]]-CJ208,Tabla5[[#This Row],[INVERSIONES FCI]])</f>
        <v>42870931974.178535</v>
      </c>
      <c r="CK209" s="5">
        <f>IF($B208&lt;=Tabla5[[#This Row],[INVERSIONES FCI]],+Tabla5[[#This Row],[INVERSIONES FCI]]-CK208,Tabla5[[#This Row],[INVERSIONES FCI]])</f>
        <v>42870931974.178535</v>
      </c>
      <c r="CL209" s="5">
        <f>IF($B208&lt;=Tabla5[[#This Row],[INVERSIONES FCI]],+Tabla5[[#This Row],[INVERSIONES FCI]]-CL208,Tabla5[[#This Row],[INVERSIONES FCI]])</f>
        <v>42870931974.178535</v>
      </c>
      <c r="CM209" s="5">
        <f>IF($B208&lt;=Tabla5[[#This Row],[INVERSIONES FCI]],+Tabla5[[#This Row],[INVERSIONES FCI]]-CM208,Tabla5[[#This Row],[INVERSIONES FCI]])</f>
        <v>42870931974.178535</v>
      </c>
      <c r="CN209" s="5">
        <f>IF($B208&lt;=Tabla5[[#This Row],[INVERSIONES FCI]],+Tabla5[[#This Row],[INVERSIONES FCI]]-CN208,Tabla5[[#This Row],[INVERSIONES FCI]])</f>
        <v>42870931974.178535</v>
      </c>
      <c r="CO209" s="5">
        <f>IF($B208&lt;=Tabla5[[#This Row],[INVERSIONES FCI]],+Tabla5[[#This Row],[INVERSIONES FCI]]-CO208,Tabla5[[#This Row],[INVERSIONES FCI]])</f>
        <v>42870931974.178535</v>
      </c>
      <c r="CP209" s="5">
        <f>IF($B208&lt;=Tabla5[[#This Row],[INVERSIONES FCI]],+Tabla5[[#This Row],[INVERSIONES FCI]]-CP208,Tabla5[[#This Row],[INVERSIONES FCI]])</f>
        <v>42870931974.178535</v>
      </c>
      <c r="CQ209" s="5">
        <f>IF($B208&lt;=Tabla5[[#This Row],[INVERSIONES FCI]],+Tabla5[[#This Row],[INVERSIONES FCI]]-CQ208,Tabla5[[#This Row],[INVERSIONES FCI]])</f>
        <v>42870931974.178535</v>
      </c>
      <c r="CR209" s="5">
        <f>IF($B208&lt;=Tabla5[[#This Row],[INVERSIONES FCI]],+Tabla5[[#This Row],[INVERSIONES FCI]]-CR208,Tabla5[[#This Row],[INVERSIONES FCI]])</f>
        <v>42870931974.178535</v>
      </c>
      <c r="CS209" s="5">
        <f>IF($B208&lt;=Tabla5[[#This Row],[INVERSIONES FCI]],+Tabla5[[#This Row],[INVERSIONES FCI]]-CS208,Tabla5[[#This Row],[INVERSIONES FCI]])</f>
        <v>42870931974.178535</v>
      </c>
      <c r="CT209" s="5">
        <f>IF($B208&lt;=Tabla5[[#This Row],[INVERSIONES FCI]],+Tabla5[[#This Row],[INVERSIONES FCI]]-CT208,Tabla5[[#This Row],[INVERSIONES FCI]])</f>
        <v>42870931974.178535</v>
      </c>
      <c r="CU209" s="5">
        <f>IF($B208&lt;=Tabla5[[#This Row],[INVERSIONES FCI]],+Tabla5[[#This Row],[INVERSIONES FCI]]-CU208,Tabla5[[#This Row],[INVERSIONES FCI]])</f>
        <v>42870931974.178535</v>
      </c>
      <c r="CV209" s="5">
        <f>IF($B208&lt;=Tabla5[[#This Row],[INVERSIONES FCI]],+Tabla5[[#This Row],[INVERSIONES FCI]]-CV208,Tabla5[[#This Row],[INVERSIONES FCI]])</f>
        <v>42870931974.178535</v>
      </c>
      <c r="CW209" s="5">
        <f>IF($B208&lt;=Tabla5[[#This Row],[INVERSIONES FCI]],+Tabla5[[#This Row],[INVERSIONES FCI]]-CW208,Tabla5[[#This Row],[INVERSIONES FCI]])</f>
        <v>42870931974.178535</v>
      </c>
      <c r="CX209" s="5">
        <f>IF($B208&lt;=Tabla5[[#This Row],[INVERSIONES FCI]],+Tabla5[[#This Row],[INVERSIONES FCI]]-CX208,Tabla5[[#This Row],[INVERSIONES FCI]])</f>
        <v>42870931974.178535</v>
      </c>
      <c r="CY209" s="5">
        <f>IF($B208&lt;=Tabla5[[#This Row],[INVERSIONES FCI]],+Tabla5[[#This Row],[INVERSIONES FCI]]-CY208,Tabla5[[#This Row],[INVERSIONES FCI]])</f>
        <v>42870931974.178535</v>
      </c>
      <c r="CZ209" s="5">
        <f>IF($B208&lt;=Tabla5[[#This Row],[INVERSIONES FCI]],+Tabla5[[#This Row],[INVERSIONES FCI]]-CZ208,Tabla5[[#This Row],[INVERSIONES FCI]])</f>
        <v>42870931974.178535</v>
      </c>
      <c r="DA209" s="5">
        <f>IF($B208&lt;=Tabla5[[#This Row],[INVERSIONES FCI]],+Tabla5[[#This Row],[INVERSIONES FCI]]-DA208,Tabla5[[#This Row],[INVERSIONES FCI]])</f>
        <v>42870931974.178535</v>
      </c>
      <c r="DB209" s="5">
        <f>IF($B208&lt;=Tabla5[[#This Row],[INVERSIONES FCI]],+Tabla5[[#This Row],[INVERSIONES FCI]]-DB208,Tabla5[[#This Row],[INVERSIONES FCI]])</f>
        <v>42870931974.178535</v>
      </c>
      <c r="DC209" s="5">
        <f>IF($B208&lt;=Tabla5[[#This Row],[INVERSIONES FCI]],+Tabla5[[#This Row],[INVERSIONES FCI]]-DC208,Tabla5[[#This Row],[INVERSIONES FCI]])</f>
        <v>42870931974.178535</v>
      </c>
      <c r="DD209" s="5">
        <f>IF($B208&lt;=Tabla5[[#This Row],[INVERSIONES FCI]],+Tabla5[[#This Row],[INVERSIONES FCI]]-DD208,Tabla5[[#This Row],[INVERSIONES FCI]])</f>
        <v>42870931974.178535</v>
      </c>
      <c r="DE209" s="5">
        <f>IF($B208&lt;=Tabla5[[#This Row],[INVERSIONES FCI]],+Tabla5[[#This Row],[INVERSIONES FCI]]-DE208,Tabla5[[#This Row],[INVERSIONES FCI]])</f>
        <v>42870931974.178535</v>
      </c>
      <c r="DF209" s="5">
        <f>IF($B208&lt;=Tabla5[[#This Row],[INVERSIONES FCI]],+Tabla5[[#This Row],[INVERSIONES FCI]]-DF208,Tabla5[[#This Row],[INVERSIONES FCI]])</f>
        <v>42870931974.178535</v>
      </c>
      <c r="DG209" s="5">
        <f>IF($B208&lt;=Tabla5[[#This Row],[INVERSIONES FCI]],+Tabla5[[#This Row],[INVERSIONES FCI]]-DG208,Tabla5[[#This Row],[INVERSIONES FCI]])</f>
        <v>42870931974.178535</v>
      </c>
      <c r="DH209" s="5">
        <f>IF($B208&lt;=Tabla5[[#This Row],[INVERSIONES FCI]],+Tabla5[[#This Row],[INVERSIONES FCI]]-DH208,Tabla5[[#This Row],[INVERSIONES FCI]])</f>
        <v>42870931974.178535</v>
      </c>
      <c r="DI209" s="5">
        <f>IF($B208&lt;=Tabla5[[#This Row],[INVERSIONES FCI]],+Tabla5[[#This Row],[INVERSIONES FCI]]-DI208,Tabla5[[#This Row],[INVERSIONES FCI]])</f>
        <v>42870931974.178535</v>
      </c>
      <c r="DJ209" s="5">
        <f>IF($B208&lt;=Tabla5[[#This Row],[INVERSIONES FCI]],+Tabla5[[#This Row],[INVERSIONES FCI]]-DJ208,Tabla5[[#This Row],[INVERSIONES FCI]])</f>
        <v>42870931974.178535</v>
      </c>
      <c r="DK209" s="5">
        <f>IF($B208&lt;=Tabla5[[#This Row],[INVERSIONES FCI]],+Tabla5[[#This Row],[INVERSIONES FCI]]-DK208,Tabla5[[#This Row],[INVERSIONES FCI]])</f>
        <v>42870931974.178535</v>
      </c>
      <c r="DL209" s="5"/>
      <c r="DM209" s="5"/>
      <c r="DN209" s="5"/>
      <c r="DO209" s="5"/>
      <c r="DP209" s="5"/>
      <c r="DQ209" s="5"/>
    </row>
    <row r="210" spans="1:121" ht="14.4">
      <c r="A210" s="12" t="s">
        <v>209</v>
      </c>
      <c r="B210" s="5">
        <f>HLOOKUP($A210,ESCENARIO[#All],7,FALSE)</f>
        <v>47738562934.765747</v>
      </c>
      <c r="C210" s="5">
        <f>IF($B209&lt;=Tabla5[[#This Row],[INVERSIONES FCI]],+Tabla5[[#This Row],[INVERSIONES FCI]]-C209,Tabla5[[#This Row],[INVERSIONES FCI]])</f>
        <v>4867630960.5872116</v>
      </c>
      <c r="D210" s="5">
        <f>IF($B209&lt;=Tabla5[[#This Row],[INVERSIONES FCI]],+Tabla5[[#This Row],[INVERSIONES FCI]]-D209,Tabla5[[#This Row],[INVERSIONES FCI]])</f>
        <v>4867630960.5872116</v>
      </c>
      <c r="E210" s="5">
        <f>IF($B209&lt;=Tabla5[[#This Row],[INVERSIONES FCI]],+Tabla5[[#This Row],[INVERSIONES FCI]]-E209,Tabla5[[#This Row],[INVERSIONES FCI]])</f>
        <v>4867630960.5872116</v>
      </c>
      <c r="F210" s="5">
        <f>IF($B209&lt;=Tabla5[[#This Row],[INVERSIONES FCI]],+Tabla5[[#This Row],[INVERSIONES FCI]]-F209,Tabla5[[#This Row],[INVERSIONES FCI]])</f>
        <v>4867630960.5872116</v>
      </c>
      <c r="G210" s="5">
        <f>IF($B209&lt;=Tabla5[[#This Row],[INVERSIONES FCI]],+Tabla5[[#This Row],[INVERSIONES FCI]]-G209,Tabla5[[#This Row],[INVERSIONES FCI]])</f>
        <v>4867630960.5872116</v>
      </c>
      <c r="H210" s="5">
        <f>IF($B209&lt;=Tabla5[[#This Row],[INVERSIONES FCI]],+Tabla5[[#This Row],[INVERSIONES FCI]]-H209,Tabla5[[#This Row],[INVERSIONES FCI]])</f>
        <v>4867630960.5872116</v>
      </c>
      <c r="I210" s="5">
        <f>IF($B209&lt;=Tabla5[[#This Row],[INVERSIONES FCI]],+Tabla5[[#This Row],[INVERSIONES FCI]]-I209,Tabla5[[#This Row],[INVERSIONES FCI]])</f>
        <v>4867630960.5872116</v>
      </c>
      <c r="J210" s="5">
        <f>IF($B209&lt;=Tabla5[[#This Row],[INVERSIONES FCI]],+Tabla5[[#This Row],[INVERSIONES FCI]]-J209,Tabla5[[#This Row],[INVERSIONES FCI]])</f>
        <v>4867630960.5872116</v>
      </c>
      <c r="K210" s="5">
        <f>IF($B209&lt;=Tabla5[[#This Row],[INVERSIONES FCI]],+Tabla5[[#This Row],[INVERSIONES FCI]]-K209,Tabla5[[#This Row],[INVERSIONES FCI]])</f>
        <v>4867630960.5872116</v>
      </c>
      <c r="L210" s="5">
        <f>IF($B209&lt;=Tabla5[[#This Row],[INVERSIONES FCI]],+Tabla5[[#This Row],[INVERSIONES FCI]]-L209,Tabla5[[#This Row],[INVERSIONES FCI]])</f>
        <v>4867630960.5872116</v>
      </c>
      <c r="M210" s="5">
        <f>IF($B209&lt;=Tabla5[[#This Row],[INVERSIONES FCI]],+Tabla5[[#This Row],[INVERSIONES FCI]]-M209,Tabla5[[#This Row],[INVERSIONES FCI]])</f>
        <v>4867630960.5872116</v>
      </c>
      <c r="N210" s="5">
        <f>IF($B209&lt;=Tabla5[[#This Row],[INVERSIONES FCI]],+Tabla5[[#This Row],[INVERSIONES FCI]]-N209,Tabla5[[#This Row],[INVERSIONES FCI]])</f>
        <v>4867630960.5872116</v>
      </c>
      <c r="O210" s="5">
        <f>IF($B209&lt;=Tabla5[[#This Row],[INVERSIONES FCI]],+Tabla5[[#This Row],[INVERSIONES FCI]]-O209,Tabla5[[#This Row],[INVERSIONES FCI]])</f>
        <v>4867630960.5872116</v>
      </c>
      <c r="P210" s="5">
        <f>IF($B209&lt;=Tabla5[[#This Row],[INVERSIONES FCI]],+Tabla5[[#This Row],[INVERSIONES FCI]]-P209,Tabla5[[#This Row],[INVERSIONES FCI]])</f>
        <v>4867630960.5872116</v>
      </c>
      <c r="Q210" s="5">
        <f>IF($B209&lt;=Tabla5[[#This Row],[INVERSIONES FCI]],+Tabla5[[#This Row],[INVERSIONES FCI]]-Q209,Tabla5[[#This Row],[INVERSIONES FCI]])</f>
        <v>4867630960.5872116</v>
      </c>
      <c r="R210" s="5">
        <f>IF($B209&lt;=Tabla5[[#This Row],[INVERSIONES FCI]],+Tabla5[[#This Row],[INVERSIONES FCI]]-R209,Tabla5[[#This Row],[INVERSIONES FCI]])</f>
        <v>4867630960.5872116</v>
      </c>
      <c r="S210" s="5">
        <f>IF($B209&lt;=Tabla5[[#This Row],[INVERSIONES FCI]],+Tabla5[[#This Row],[INVERSIONES FCI]]-S209,Tabla5[[#This Row],[INVERSIONES FCI]])</f>
        <v>4867630960.5872116</v>
      </c>
      <c r="T210" s="5">
        <f>IF($B209&lt;=Tabla5[[#This Row],[INVERSIONES FCI]],+Tabla5[[#This Row],[INVERSIONES FCI]]-T209,Tabla5[[#This Row],[INVERSIONES FCI]])</f>
        <v>4867630960.5872116</v>
      </c>
      <c r="U210" s="5">
        <f>IF($B209&lt;=Tabla5[[#This Row],[INVERSIONES FCI]],+Tabla5[[#This Row],[INVERSIONES FCI]]-U209,Tabla5[[#This Row],[INVERSIONES FCI]])</f>
        <v>4867630960.5872116</v>
      </c>
      <c r="V210" s="5">
        <f>IF($B209&lt;=Tabla5[[#This Row],[INVERSIONES FCI]],+Tabla5[[#This Row],[INVERSIONES FCI]]-V209,Tabla5[[#This Row],[INVERSIONES FCI]])</f>
        <v>4867630960.5872116</v>
      </c>
      <c r="W210" s="5">
        <f>IF($B209&lt;=Tabla5[[#This Row],[INVERSIONES FCI]],+Tabla5[[#This Row],[INVERSIONES FCI]]-W209,Tabla5[[#This Row],[INVERSIONES FCI]])</f>
        <v>4867630960.5872116</v>
      </c>
      <c r="X210" s="5">
        <f>IF($B209&lt;=Tabla5[[#This Row],[INVERSIONES FCI]],+Tabla5[[#This Row],[INVERSIONES FCI]]-X209,Tabla5[[#This Row],[INVERSIONES FCI]])</f>
        <v>4867630960.5872116</v>
      </c>
      <c r="Y210" s="5">
        <f>IF($B209&lt;=Tabla5[[#This Row],[INVERSIONES FCI]],+Tabla5[[#This Row],[INVERSIONES FCI]]-Y209,Tabla5[[#This Row],[INVERSIONES FCI]])</f>
        <v>4867630960.5872116</v>
      </c>
      <c r="Z210" s="5">
        <f>IF($B209&lt;=Tabla5[[#This Row],[INVERSIONES FCI]],+Tabla5[[#This Row],[INVERSIONES FCI]]-Z209,Tabla5[[#This Row],[INVERSIONES FCI]])</f>
        <v>4867630960.5872116</v>
      </c>
      <c r="AA210" s="5">
        <f>IF($B209&lt;=Tabla5[[#This Row],[INVERSIONES FCI]],+Tabla5[[#This Row],[INVERSIONES FCI]]-AA209,Tabla5[[#This Row],[INVERSIONES FCI]])</f>
        <v>4867630960.5872116</v>
      </c>
      <c r="AB210" s="5">
        <f>IF($B209&lt;=Tabla5[[#This Row],[INVERSIONES FCI]],+Tabla5[[#This Row],[INVERSIONES FCI]]-AB209,Tabla5[[#This Row],[INVERSIONES FCI]])</f>
        <v>4867630960.5872116</v>
      </c>
      <c r="AC210" s="5">
        <f>IF($B209&lt;=Tabla5[[#This Row],[INVERSIONES FCI]],+Tabla5[[#This Row],[INVERSIONES FCI]]-AC209,Tabla5[[#This Row],[INVERSIONES FCI]])</f>
        <v>4867630960.5872116</v>
      </c>
      <c r="AD210" s="5">
        <f>IF($B209&lt;=Tabla5[[#This Row],[INVERSIONES FCI]],+Tabla5[[#This Row],[INVERSIONES FCI]]-AD209,Tabla5[[#This Row],[INVERSIONES FCI]])</f>
        <v>4867630960.5872116</v>
      </c>
      <c r="AE210" s="5">
        <f>IF($B209&lt;=Tabla5[[#This Row],[INVERSIONES FCI]],+Tabla5[[#This Row],[INVERSIONES FCI]]-AE209,Tabla5[[#This Row],[INVERSIONES FCI]])</f>
        <v>4867630960.5872116</v>
      </c>
      <c r="AF210" s="5">
        <f>IF($B209&lt;=Tabla5[[#This Row],[INVERSIONES FCI]],+Tabla5[[#This Row],[INVERSIONES FCI]]-AF209,Tabla5[[#This Row],[INVERSIONES FCI]])</f>
        <v>4867630960.5872116</v>
      </c>
      <c r="AG210" s="5">
        <f>IF($B209&lt;=Tabla5[[#This Row],[INVERSIONES FCI]],+Tabla5[[#This Row],[INVERSIONES FCI]]-AG209,Tabla5[[#This Row],[INVERSIONES FCI]])</f>
        <v>4867630960.5872116</v>
      </c>
      <c r="AH210" s="5">
        <f>IF($B209&lt;=Tabla5[[#This Row],[INVERSIONES FCI]],+Tabla5[[#This Row],[INVERSIONES FCI]]-AH209,Tabla5[[#This Row],[INVERSIONES FCI]])</f>
        <v>4867630960.5872116</v>
      </c>
      <c r="AI210" s="5">
        <f>IF($B209&lt;=Tabla5[[#This Row],[INVERSIONES FCI]],+Tabla5[[#This Row],[INVERSIONES FCI]]-AI209,Tabla5[[#This Row],[INVERSIONES FCI]])</f>
        <v>4867630960.5872116</v>
      </c>
      <c r="AJ210" s="5">
        <f>IF($B209&lt;=Tabla5[[#This Row],[INVERSIONES FCI]],+Tabla5[[#This Row],[INVERSIONES FCI]]-AJ209,Tabla5[[#This Row],[INVERSIONES FCI]])</f>
        <v>4867630960.5872116</v>
      </c>
      <c r="AK210" s="5">
        <f>IF($B209&lt;=Tabla5[[#This Row],[INVERSIONES FCI]],+Tabla5[[#This Row],[INVERSIONES FCI]]-AK209,Tabla5[[#This Row],[INVERSIONES FCI]])</f>
        <v>4867630960.5872116</v>
      </c>
      <c r="AL210" s="5">
        <f>IF($B209&lt;=Tabla5[[#This Row],[INVERSIONES FCI]],+Tabla5[[#This Row],[INVERSIONES FCI]]-AL209,Tabla5[[#This Row],[INVERSIONES FCI]])</f>
        <v>4867630960.5872116</v>
      </c>
      <c r="AM210" s="5">
        <f>IF($B209&lt;=Tabla5[[#This Row],[INVERSIONES FCI]],+Tabla5[[#This Row],[INVERSIONES FCI]]-AM209,Tabla5[[#This Row],[INVERSIONES FCI]])</f>
        <v>4867630960.5872116</v>
      </c>
      <c r="AN210" s="5">
        <f>IF($B209&lt;=Tabla5[[#This Row],[INVERSIONES FCI]],+Tabla5[[#This Row],[INVERSIONES FCI]]-AN209,Tabla5[[#This Row],[INVERSIONES FCI]])</f>
        <v>4867630960.5872116</v>
      </c>
      <c r="AO210" s="5">
        <f>IF($B209&lt;=Tabla5[[#This Row],[INVERSIONES FCI]],+Tabla5[[#This Row],[INVERSIONES FCI]]-AO209,Tabla5[[#This Row],[INVERSIONES FCI]])</f>
        <v>4867630960.5872116</v>
      </c>
      <c r="AP210" s="5">
        <f>IF($B209&lt;=Tabla5[[#This Row],[INVERSIONES FCI]],+Tabla5[[#This Row],[INVERSIONES FCI]]-AP209,Tabla5[[#This Row],[INVERSIONES FCI]])</f>
        <v>4867630960.5872116</v>
      </c>
      <c r="AQ210" s="5">
        <f>IF($B209&lt;=Tabla5[[#This Row],[INVERSIONES FCI]],+Tabla5[[#This Row],[INVERSIONES FCI]]-AQ209,Tabla5[[#This Row],[INVERSIONES FCI]])</f>
        <v>4867630960.5872116</v>
      </c>
      <c r="AR210" s="5">
        <f>IF($B209&lt;=Tabla5[[#This Row],[INVERSIONES FCI]],+Tabla5[[#This Row],[INVERSIONES FCI]]-AR209,Tabla5[[#This Row],[INVERSIONES FCI]])</f>
        <v>4867630960.5872116</v>
      </c>
      <c r="AS210" s="5">
        <f>IF($B209&lt;=Tabla5[[#This Row],[INVERSIONES FCI]],+Tabla5[[#This Row],[INVERSIONES FCI]]-AS209,Tabla5[[#This Row],[INVERSIONES FCI]])</f>
        <v>4867630960.5872116</v>
      </c>
      <c r="AT210" s="5">
        <f>IF($B209&lt;=Tabla5[[#This Row],[INVERSIONES FCI]],+Tabla5[[#This Row],[INVERSIONES FCI]]-AT209,Tabla5[[#This Row],[INVERSIONES FCI]])</f>
        <v>4867630960.5872116</v>
      </c>
      <c r="AU210" s="5">
        <f>IF($B209&lt;=Tabla5[[#This Row],[INVERSIONES FCI]],+Tabla5[[#This Row],[INVERSIONES FCI]]-AU209,Tabla5[[#This Row],[INVERSIONES FCI]])</f>
        <v>4867630960.5872116</v>
      </c>
      <c r="AV210" s="5">
        <f>IF($B209&lt;=Tabla5[[#This Row],[INVERSIONES FCI]],+Tabla5[[#This Row],[INVERSIONES FCI]]-AV209,Tabla5[[#This Row],[INVERSIONES FCI]])</f>
        <v>4867630960.5872116</v>
      </c>
      <c r="AW210" s="5">
        <f>IF($B209&lt;=Tabla5[[#This Row],[INVERSIONES FCI]],+Tabla5[[#This Row],[INVERSIONES FCI]]-AW209,Tabla5[[#This Row],[INVERSIONES FCI]])</f>
        <v>4867630960.5872116</v>
      </c>
      <c r="AX210" s="5">
        <f>IF($B209&lt;=Tabla5[[#This Row],[INVERSIONES FCI]],+Tabla5[[#This Row],[INVERSIONES FCI]]-AX209,Tabla5[[#This Row],[INVERSIONES FCI]])</f>
        <v>4867630960.5872116</v>
      </c>
      <c r="AY210" s="5">
        <f>IF($B209&lt;=Tabla5[[#This Row],[INVERSIONES FCI]],+Tabla5[[#This Row],[INVERSIONES FCI]]-AY209,Tabla5[[#This Row],[INVERSIONES FCI]])</f>
        <v>4867630960.5872116</v>
      </c>
      <c r="AZ210" s="5">
        <f>IF($B209&lt;=Tabla5[[#This Row],[INVERSIONES FCI]],+Tabla5[[#This Row],[INVERSIONES FCI]]-AZ209,Tabla5[[#This Row],[INVERSIONES FCI]])</f>
        <v>4867630960.5872116</v>
      </c>
      <c r="BA210" s="5">
        <f>IF($B209&lt;=Tabla5[[#This Row],[INVERSIONES FCI]],+Tabla5[[#This Row],[INVERSIONES FCI]]-BA209,Tabla5[[#This Row],[INVERSIONES FCI]])</f>
        <v>4867630960.5872116</v>
      </c>
      <c r="BB210" s="5">
        <f>IF($B209&lt;=Tabla5[[#This Row],[INVERSIONES FCI]],+Tabla5[[#This Row],[INVERSIONES FCI]]-BB209,Tabla5[[#This Row],[INVERSIONES FCI]])</f>
        <v>4867630960.5872116</v>
      </c>
      <c r="BC210" s="5">
        <f>IF($B209&lt;=Tabla5[[#This Row],[INVERSIONES FCI]],+Tabla5[[#This Row],[INVERSIONES FCI]]-BC209,Tabla5[[#This Row],[INVERSIONES FCI]])</f>
        <v>4867630960.5872116</v>
      </c>
      <c r="BD210" s="5">
        <f>IF($B209&lt;=Tabla5[[#This Row],[INVERSIONES FCI]],+Tabla5[[#This Row],[INVERSIONES FCI]]-BD209,Tabla5[[#This Row],[INVERSIONES FCI]])</f>
        <v>4867630960.5872116</v>
      </c>
      <c r="BE210" s="5">
        <f>IF($B209&lt;=Tabla5[[#This Row],[INVERSIONES FCI]],+Tabla5[[#This Row],[INVERSIONES FCI]]-BE209,Tabla5[[#This Row],[INVERSIONES FCI]])</f>
        <v>4867630960.5872116</v>
      </c>
      <c r="BF210" s="5">
        <f>IF($B209&lt;=Tabla5[[#This Row],[INVERSIONES FCI]],+Tabla5[[#This Row],[INVERSIONES FCI]]-BF209,Tabla5[[#This Row],[INVERSIONES FCI]])</f>
        <v>4867630960.5872116</v>
      </c>
      <c r="BG210" s="5">
        <f>IF($B209&lt;=Tabla5[[#This Row],[INVERSIONES FCI]],+Tabla5[[#This Row],[INVERSIONES FCI]]-BG209,Tabla5[[#This Row],[INVERSIONES FCI]])</f>
        <v>4867630960.5872116</v>
      </c>
      <c r="BH210" s="5">
        <f>IF($B209&lt;=Tabla5[[#This Row],[INVERSIONES FCI]],+Tabla5[[#This Row],[INVERSIONES FCI]]-BH209,Tabla5[[#This Row],[INVERSIONES FCI]])</f>
        <v>4867630960.5872116</v>
      </c>
      <c r="BI210" s="5">
        <f>IF($B209&lt;=Tabla5[[#This Row],[INVERSIONES FCI]],+Tabla5[[#This Row],[INVERSIONES FCI]]-BI209,Tabla5[[#This Row],[INVERSIONES FCI]])</f>
        <v>4867630960.5872116</v>
      </c>
      <c r="BJ210" s="5">
        <f>IF($B209&lt;=Tabla5[[#This Row],[INVERSIONES FCI]],+Tabla5[[#This Row],[INVERSIONES FCI]]-BJ209,Tabla5[[#This Row],[INVERSIONES FCI]])</f>
        <v>4867630960.5872116</v>
      </c>
      <c r="BK210" s="5">
        <f>IF($B209&lt;=Tabla5[[#This Row],[INVERSIONES FCI]],+Tabla5[[#This Row],[INVERSIONES FCI]]-BK209,Tabla5[[#This Row],[INVERSIONES FCI]])</f>
        <v>4867630960.5872116</v>
      </c>
      <c r="BL210" s="5">
        <f>IF($B209&lt;=Tabla5[[#This Row],[INVERSIONES FCI]],+Tabla5[[#This Row],[INVERSIONES FCI]]-BL209,Tabla5[[#This Row],[INVERSIONES FCI]])</f>
        <v>4867630960.5872116</v>
      </c>
      <c r="BM210" s="5">
        <f>IF($B209&lt;=Tabla5[[#This Row],[INVERSIONES FCI]],+Tabla5[[#This Row],[INVERSIONES FCI]]-BM209,Tabla5[[#This Row],[INVERSIONES FCI]])</f>
        <v>4867630960.5872116</v>
      </c>
      <c r="BN210" s="5">
        <f>IF($B209&lt;=Tabla5[[#This Row],[INVERSIONES FCI]],+Tabla5[[#This Row],[INVERSIONES FCI]]-BN209,Tabla5[[#This Row],[INVERSIONES FCI]])</f>
        <v>4867630960.5872116</v>
      </c>
      <c r="BO210" s="5">
        <f>IF($B209&lt;=Tabla5[[#This Row],[INVERSIONES FCI]],+Tabla5[[#This Row],[INVERSIONES FCI]]-BO209,Tabla5[[#This Row],[INVERSIONES FCI]])</f>
        <v>4867630960.5872116</v>
      </c>
      <c r="BP210" s="5">
        <f>IF($B209&lt;=Tabla5[[#This Row],[INVERSIONES FCI]],+Tabla5[[#This Row],[INVERSIONES FCI]]-BP209,Tabla5[[#This Row],[INVERSIONES FCI]])</f>
        <v>4867630960.5872116</v>
      </c>
      <c r="BQ210" s="5">
        <f>IF($B209&lt;=Tabla5[[#This Row],[INVERSIONES FCI]],+Tabla5[[#This Row],[INVERSIONES FCI]]-BQ209,Tabla5[[#This Row],[INVERSIONES FCI]])</f>
        <v>4867630960.5872116</v>
      </c>
      <c r="BR210" s="5">
        <f>IF($B209&lt;=Tabla5[[#This Row],[INVERSIONES FCI]],+Tabla5[[#This Row],[INVERSIONES FCI]]-BR209,Tabla5[[#This Row],[INVERSIONES FCI]])</f>
        <v>4867630960.5872116</v>
      </c>
      <c r="BS210" s="5">
        <f>IF($B209&lt;=Tabla5[[#This Row],[INVERSIONES FCI]],+Tabla5[[#This Row],[INVERSIONES FCI]]-BS209,Tabla5[[#This Row],[INVERSIONES FCI]])</f>
        <v>4867630960.5872116</v>
      </c>
      <c r="BT210" s="5">
        <f>IF($B209&lt;=Tabla5[[#This Row],[INVERSIONES FCI]],+Tabla5[[#This Row],[INVERSIONES FCI]]-BT209,Tabla5[[#This Row],[INVERSIONES FCI]])</f>
        <v>4867630960.5872116</v>
      </c>
      <c r="BU210" s="5">
        <f>IF($B209&lt;=Tabla5[[#This Row],[INVERSIONES FCI]],+Tabla5[[#This Row],[INVERSIONES FCI]]-BU209,Tabla5[[#This Row],[INVERSIONES FCI]])</f>
        <v>4867630960.5872116</v>
      </c>
      <c r="BV210" s="5">
        <f>IF($B209&lt;=Tabla5[[#This Row],[INVERSIONES FCI]],+Tabla5[[#This Row],[INVERSIONES FCI]]-BV209,Tabla5[[#This Row],[INVERSIONES FCI]])</f>
        <v>4867630960.5872116</v>
      </c>
      <c r="BW210" s="5">
        <f>IF($B209&lt;=Tabla5[[#This Row],[INVERSIONES FCI]],+Tabla5[[#This Row],[INVERSIONES FCI]]-BW209,Tabla5[[#This Row],[INVERSIONES FCI]])</f>
        <v>4867630960.5872116</v>
      </c>
      <c r="BX210" s="5">
        <f>IF($B209&lt;=Tabla5[[#This Row],[INVERSIONES FCI]],+Tabla5[[#This Row],[INVERSIONES FCI]]-BX209,Tabla5[[#This Row],[INVERSIONES FCI]])</f>
        <v>4867630960.5872116</v>
      </c>
      <c r="BY210" s="5">
        <f>IF($B209&lt;=Tabla5[[#This Row],[INVERSIONES FCI]],+Tabla5[[#This Row],[INVERSIONES FCI]]-BY209,Tabla5[[#This Row],[INVERSIONES FCI]])</f>
        <v>4867630960.5872116</v>
      </c>
      <c r="BZ210" s="5">
        <f>IF($B209&lt;=Tabla5[[#This Row],[INVERSIONES FCI]],+Tabla5[[#This Row],[INVERSIONES FCI]]-BZ209,Tabla5[[#This Row],[INVERSIONES FCI]])</f>
        <v>4867630960.5872116</v>
      </c>
      <c r="CA210" s="5">
        <f>IF($B209&lt;=Tabla5[[#This Row],[INVERSIONES FCI]],+Tabla5[[#This Row],[INVERSIONES FCI]]-CA209,Tabla5[[#This Row],[INVERSIONES FCI]])</f>
        <v>4867630960.5872116</v>
      </c>
      <c r="CB210" s="5">
        <f>IF($B209&lt;=Tabla5[[#This Row],[INVERSIONES FCI]],+Tabla5[[#This Row],[INVERSIONES FCI]]-CB209,Tabla5[[#This Row],[INVERSIONES FCI]])</f>
        <v>4867630960.5872116</v>
      </c>
      <c r="CC210" s="5">
        <f>IF($B209&lt;=Tabla5[[#This Row],[INVERSIONES FCI]],+Tabla5[[#This Row],[INVERSIONES FCI]]-CC209,Tabla5[[#This Row],[INVERSIONES FCI]])</f>
        <v>4867630960.5872116</v>
      </c>
      <c r="CD210" s="5">
        <f>IF($B209&lt;=Tabla5[[#This Row],[INVERSIONES FCI]],+Tabla5[[#This Row],[INVERSIONES FCI]]-CD209,Tabla5[[#This Row],[INVERSIONES FCI]])</f>
        <v>4867630960.5872116</v>
      </c>
      <c r="CE210" s="5">
        <f>IF($B209&lt;=Tabla5[[#This Row],[INVERSIONES FCI]],+Tabla5[[#This Row],[INVERSIONES FCI]]-CE209,Tabla5[[#This Row],[INVERSIONES FCI]])</f>
        <v>4867630960.5872116</v>
      </c>
      <c r="CF210" s="5">
        <f>IF($B209&lt;=Tabla5[[#This Row],[INVERSIONES FCI]],+Tabla5[[#This Row],[INVERSIONES FCI]]-CF209,Tabla5[[#This Row],[INVERSIONES FCI]])</f>
        <v>4867630960.5872116</v>
      </c>
      <c r="CG210" s="5">
        <f>IF($B209&lt;=Tabla5[[#This Row],[INVERSIONES FCI]],+Tabla5[[#This Row],[INVERSIONES FCI]]-CG209,Tabla5[[#This Row],[INVERSIONES FCI]])</f>
        <v>4867630960.5872116</v>
      </c>
      <c r="CH210" s="5">
        <f>IF($B209&lt;=Tabla5[[#This Row],[INVERSIONES FCI]],+Tabla5[[#This Row],[INVERSIONES FCI]]-CH209,Tabla5[[#This Row],[INVERSIONES FCI]])</f>
        <v>4867630960.5872116</v>
      </c>
      <c r="CI210" s="5">
        <f>IF($B209&lt;=Tabla5[[#This Row],[INVERSIONES FCI]],+Tabla5[[#This Row],[INVERSIONES FCI]]-CI209,Tabla5[[#This Row],[INVERSIONES FCI]])</f>
        <v>4867630960.5872116</v>
      </c>
      <c r="CJ210" s="5">
        <f>IF($B209&lt;=Tabla5[[#This Row],[INVERSIONES FCI]],+Tabla5[[#This Row],[INVERSIONES FCI]]-CJ209,Tabla5[[#This Row],[INVERSIONES FCI]])</f>
        <v>4867630960.5872116</v>
      </c>
      <c r="CK210" s="5">
        <f>IF($B209&lt;=Tabla5[[#This Row],[INVERSIONES FCI]],+Tabla5[[#This Row],[INVERSIONES FCI]]-CK209,Tabla5[[#This Row],[INVERSIONES FCI]])</f>
        <v>4867630960.5872116</v>
      </c>
      <c r="CL210" s="5">
        <f>IF($B209&lt;=Tabla5[[#This Row],[INVERSIONES FCI]],+Tabla5[[#This Row],[INVERSIONES FCI]]-CL209,Tabla5[[#This Row],[INVERSIONES FCI]])</f>
        <v>4867630960.5872116</v>
      </c>
      <c r="CM210" s="5">
        <f>IF($B209&lt;=Tabla5[[#This Row],[INVERSIONES FCI]],+Tabla5[[#This Row],[INVERSIONES FCI]]-CM209,Tabla5[[#This Row],[INVERSIONES FCI]])</f>
        <v>4867630960.5872116</v>
      </c>
      <c r="CN210" s="5">
        <f>IF($B209&lt;=Tabla5[[#This Row],[INVERSIONES FCI]],+Tabla5[[#This Row],[INVERSIONES FCI]]-CN209,Tabla5[[#This Row],[INVERSIONES FCI]])</f>
        <v>4867630960.5872116</v>
      </c>
      <c r="CO210" s="5">
        <f>IF($B209&lt;=Tabla5[[#This Row],[INVERSIONES FCI]],+Tabla5[[#This Row],[INVERSIONES FCI]]-CO209,Tabla5[[#This Row],[INVERSIONES FCI]])</f>
        <v>4867630960.5872116</v>
      </c>
      <c r="CP210" s="5">
        <f>IF($B209&lt;=Tabla5[[#This Row],[INVERSIONES FCI]],+Tabla5[[#This Row],[INVERSIONES FCI]]-CP209,Tabla5[[#This Row],[INVERSIONES FCI]])</f>
        <v>4867630960.5872116</v>
      </c>
      <c r="CQ210" s="5">
        <f>IF($B209&lt;=Tabla5[[#This Row],[INVERSIONES FCI]],+Tabla5[[#This Row],[INVERSIONES FCI]]-CQ209,Tabla5[[#This Row],[INVERSIONES FCI]])</f>
        <v>4867630960.5872116</v>
      </c>
      <c r="CR210" s="5">
        <f>IF($B209&lt;=Tabla5[[#This Row],[INVERSIONES FCI]],+Tabla5[[#This Row],[INVERSIONES FCI]]-CR209,Tabla5[[#This Row],[INVERSIONES FCI]])</f>
        <v>4867630960.5872116</v>
      </c>
      <c r="CS210" s="5">
        <f>IF($B209&lt;=Tabla5[[#This Row],[INVERSIONES FCI]],+Tabla5[[#This Row],[INVERSIONES FCI]]-CS209,Tabla5[[#This Row],[INVERSIONES FCI]])</f>
        <v>4867630960.5872116</v>
      </c>
      <c r="CT210" s="5">
        <f>IF($B209&lt;=Tabla5[[#This Row],[INVERSIONES FCI]],+Tabla5[[#This Row],[INVERSIONES FCI]]-CT209,Tabla5[[#This Row],[INVERSIONES FCI]])</f>
        <v>4867630960.5872116</v>
      </c>
      <c r="CU210" s="5">
        <f>IF($B209&lt;=Tabla5[[#This Row],[INVERSIONES FCI]],+Tabla5[[#This Row],[INVERSIONES FCI]]-CU209,Tabla5[[#This Row],[INVERSIONES FCI]])</f>
        <v>4867630960.5872116</v>
      </c>
      <c r="CV210" s="5">
        <f>IF($B209&lt;=Tabla5[[#This Row],[INVERSIONES FCI]],+Tabla5[[#This Row],[INVERSIONES FCI]]-CV209,Tabla5[[#This Row],[INVERSIONES FCI]])</f>
        <v>4867630960.5872116</v>
      </c>
      <c r="CW210" s="5">
        <f>IF($B209&lt;=Tabla5[[#This Row],[INVERSIONES FCI]],+Tabla5[[#This Row],[INVERSIONES FCI]]-CW209,Tabla5[[#This Row],[INVERSIONES FCI]])</f>
        <v>4867630960.5872116</v>
      </c>
      <c r="CX210" s="5">
        <f>IF($B209&lt;=Tabla5[[#This Row],[INVERSIONES FCI]],+Tabla5[[#This Row],[INVERSIONES FCI]]-CX209,Tabla5[[#This Row],[INVERSIONES FCI]])</f>
        <v>4867630960.5872116</v>
      </c>
      <c r="CY210" s="5">
        <f>IF($B209&lt;=Tabla5[[#This Row],[INVERSIONES FCI]],+Tabla5[[#This Row],[INVERSIONES FCI]]-CY209,Tabla5[[#This Row],[INVERSIONES FCI]])</f>
        <v>4867630960.5872116</v>
      </c>
      <c r="CZ210" s="5">
        <f>IF($B209&lt;=Tabla5[[#This Row],[INVERSIONES FCI]],+Tabla5[[#This Row],[INVERSIONES FCI]]-CZ209,Tabla5[[#This Row],[INVERSIONES FCI]])</f>
        <v>4867630960.5872116</v>
      </c>
      <c r="DA210" s="5">
        <f>IF($B209&lt;=Tabla5[[#This Row],[INVERSIONES FCI]],+Tabla5[[#This Row],[INVERSIONES FCI]]-DA209,Tabla5[[#This Row],[INVERSIONES FCI]])</f>
        <v>4867630960.5872116</v>
      </c>
      <c r="DB210" s="5">
        <f>IF($B209&lt;=Tabla5[[#This Row],[INVERSIONES FCI]],+Tabla5[[#This Row],[INVERSIONES FCI]]-DB209,Tabla5[[#This Row],[INVERSIONES FCI]])</f>
        <v>4867630960.5872116</v>
      </c>
      <c r="DC210" s="5">
        <f>IF($B209&lt;=Tabla5[[#This Row],[INVERSIONES FCI]],+Tabla5[[#This Row],[INVERSIONES FCI]]-DC209,Tabla5[[#This Row],[INVERSIONES FCI]])</f>
        <v>4867630960.5872116</v>
      </c>
      <c r="DD210" s="5">
        <f>IF($B209&lt;=Tabla5[[#This Row],[INVERSIONES FCI]],+Tabla5[[#This Row],[INVERSIONES FCI]]-DD209,Tabla5[[#This Row],[INVERSIONES FCI]])</f>
        <v>4867630960.5872116</v>
      </c>
      <c r="DE210" s="5">
        <f>IF($B209&lt;=Tabla5[[#This Row],[INVERSIONES FCI]],+Tabla5[[#This Row],[INVERSIONES FCI]]-DE209,Tabla5[[#This Row],[INVERSIONES FCI]])</f>
        <v>4867630960.5872116</v>
      </c>
      <c r="DF210" s="5">
        <f>IF($B209&lt;=Tabla5[[#This Row],[INVERSIONES FCI]],+Tabla5[[#This Row],[INVERSIONES FCI]]-DF209,Tabla5[[#This Row],[INVERSIONES FCI]])</f>
        <v>4867630960.5872116</v>
      </c>
      <c r="DG210" s="5">
        <f>IF($B209&lt;=Tabla5[[#This Row],[INVERSIONES FCI]],+Tabla5[[#This Row],[INVERSIONES FCI]]-DG209,Tabla5[[#This Row],[INVERSIONES FCI]])</f>
        <v>4867630960.5872116</v>
      </c>
      <c r="DH210" s="5">
        <f>IF($B209&lt;=Tabla5[[#This Row],[INVERSIONES FCI]],+Tabla5[[#This Row],[INVERSIONES FCI]]-DH209,Tabla5[[#This Row],[INVERSIONES FCI]])</f>
        <v>4867630960.5872116</v>
      </c>
      <c r="DI210" s="5">
        <f>IF($B209&lt;=Tabla5[[#This Row],[INVERSIONES FCI]],+Tabla5[[#This Row],[INVERSIONES FCI]]-DI209,Tabla5[[#This Row],[INVERSIONES FCI]])</f>
        <v>4867630960.5872116</v>
      </c>
      <c r="DJ210" s="5">
        <f>IF($B209&lt;=Tabla5[[#This Row],[INVERSIONES FCI]],+Tabla5[[#This Row],[INVERSIONES FCI]]-DJ209,Tabla5[[#This Row],[INVERSIONES FCI]])</f>
        <v>4867630960.5872116</v>
      </c>
      <c r="DK210" s="5">
        <f>IF($B209&lt;=Tabla5[[#This Row],[INVERSIONES FCI]],+Tabla5[[#This Row],[INVERSIONES FCI]]-DK209,Tabla5[[#This Row],[INVERSIONES FCI]])</f>
        <v>4867630960.5872116</v>
      </c>
      <c r="DL210" s="5"/>
      <c r="DM210" s="5"/>
      <c r="DN210" s="5"/>
      <c r="DO210" s="5"/>
      <c r="DP210" s="5"/>
      <c r="DQ210" s="5"/>
    </row>
    <row r="211" spans="1:121" ht="14.4">
      <c r="A211" s="12" t="s">
        <v>210</v>
      </c>
      <c r="B211" s="5">
        <f>HLOOKUP($A211,ESCENARIO[#All],7,FALSE)</f>
        <v>48327454062.290565</v>
      </c>
      <c r="C211" s="5">
        <f>IF($B210&lt;=Tabla5[[#This Row],[INVERSIONES FCI]],+Tabla5[[#This Row],[INVERSIONES FCI]]-C210,Tabla5[[#This Row],[INVERSIONES FCI]])</f>
        <v>43459823101.703354</v>
      </c>
      <c r="D211" s="5">
        <f>IF($B210&lt;=Tabla5[[#This Row],[INVERSIONES FCI]],+Tabla5[[#This Row],[INVERSIONES FCI]]-D210,Tabla5[[#This Row],[INVERSIONES FCI]])</f>
        <v>43459823101.703354</v>
      </c>
      <c r="E211" s="5">
        <f>IF($B210&lt;=Tabla5[[#This Row],[INVERSIONES FCI]],+Tabla5[[#This Row],[INVERSIONES FCI]]-E210,Tabla5[[#This Row],[INVERSIONES FCI]])</f>
        <v>43459823101.703354</v>
      </c>
      <c r="F211" s="5">
        <f>IF($B210&lt;=Tabla5[[#This Row],[INVERSIONES FCI]],+Tabla5[[#This Row],[INVERSIONES FCI]]-F210,Tabla5[[#This Row],[INVERSIONES FCI]])</f>
        <v>43459823101.703354</v>
      </c>
      <c r="G211" s="5">
        <f>IF($B210&lt;=Tabla5[[#This Row],[INVERSIONES FCI]],+Tabla5[[#This Row],[INVERSIONES FCI]]-G210,Tabla5[[#This Row],[INVERSIONES FCI]])</f>
        <v>43459823101.703354</v>
      </c>
      <c r="H211" s="5">
        <f>IF($B210&lt;=Tabla5[[#This Row],[INVERSIONES FCI]],+Tabla5[[#This Row],[INVERSIONES FCI]]-H210,Tabla5[[#This Row],[INVERSIONES FCI]])</f>
        <v>43459823101.703354</v>
      </c>
      <c r="I211" s="5">
        <f>IF($B210&lt;=Tabla5[[#This Row],[INVERSIONES FCI]],+Tabla5[[#This Row],[INVERSIONES FCI]]-I210,Tabla5[[#This Row],[INVERSIONES FCI]])</f>
        <v>43459823101.703354</v>
      </c>
      <c r="J211" s="5">
        <f>IF($B210&lt;=Tabla5[[#This Row],[INVERSIONES FCI]],+Tabla5[[#This Row],[INVERSIONES FCI]]-J210,Tabla5[[#This Row],[INVERSIONES FCI]])</f>
        <v>43459823101.703354</v>
      </c>
      <c r="K211" s="5">
        <f>IF($B210&lt;=Tabla5[[#This Row],[INVERSIONES FCI]],+Tabla5[[#This Row],[INVERSIONES FCI]]-K210,Tabla5[[#This Row],[INVERSIONES FCI]])</f>
        <v>43459823101.703354</v>
      </c>
      <c r="L211" s="5">
        <f>IF($B210&lt;=Tabla5[[#This Row],[INVERSIONES FCI]],+Tabla5[[#This Row],[INVERSIONES FCI]]-L210,Tabla5[[#This Row],[INVERSIONES FCI]])</f>
        <v>43459823101.703354</v>
      </c>
      <c r="M211" s="5">
        <f>IF($B210&lt;=Tabla5[[#This Row],[INVERSIONES FCI]],+Tabla5[[#This Row],[INVERSIONES FCI]]-M210,Tabla5[[#This Row],[INVERSIONES FCI]])</f>
        <v>43459823101.703354</v>
      </c>
      <c r="N211" s="5">
        <f>IF($B210&lt;=Tabla5[[#This Row],[INVERSIONES FCI]],+Tabla5[[#This Row],[INVERSIONES FCI]]-N210,Tabla5[[#This Row],[INVERSIONES FCI]])</f>
        <v>43459823101.703354</v>
      </c>
      <c r="O211" s="5">
        <f>IF($B210&lt;=Tabla5[[#This Row],[INVERSIONES FCI]],+Tabla5[[#This Row],[INVERSIONES FCI]]-O210,Tabla5[[#This Row],[INVERSIONES FCI]])</f>
        <v>43459823101.703354</v>
      </c>
      <c r="P211" s="5">
        <f>IF($B210&lt;=Tabla5[[#This Row],[INVERSIONES FCI]],+Tabla5[[#This Row],[INVERSIONES FCI]]-P210,Tabla5[[#This Row],[INVERSIONES FCI]])</f>
        <v>43459823101.703354</v>
      </c>
      <c r="Q211" s="5">
        <f>IF($B210&lt;=Tabla5[[#This Row],[INVERSIONES FCI]],+Tabla5[[#This Row],[INVERSIONES FCI]]-Q210,Tabla5[[#This Row],[INVERSIONES FCI]])</f>
        <v>43459823101.703354</v>
      </c>
      <c r="R211" s="5">
        <f>IF($B210&lt;=Tabla5[[#This Row],[INVERSIONES FCI]],+Tabla5[[#This Row],[INVERSIONES FCI]]-R210,Tabla5[[#This Row],[INVERSIONES FCI]])</f>
        <v>43459823101.703354</v>
      </c>
      <c r="S211" s="5">
        <f>IF($B210&lt;=Tabla5[[#This Row],[INVERSIONES FCI]],+Tabla5[[#This Row],[INVERSIONES FCI]]-S210,Tabla5[[#This Row],[INVERSIONES FCI]])</f>
        <v>43459823101.703354</v>
      </c>
      <c r="T211" s="5">
        <f>IF($B210&lt;=Tabla5[[#This Row],[INVERSIONES FCI]],+Tabla5[[#This Row],[INVERSIONES FCI]]-T210,Tabla5[[#This Row],[INVERSIONES FCI]])</f>
        <v>43459823101.703354</v>
      </c>
      <c r="U211" s="5">
        <f>IF($B210&lt;=Tabla5[[#This Row],[INVERSIONES FCI]],+Tabla5[[#This Row],[INVERSIONES FCI]]-U210,Tabla5[[#This Row],[INVERSIONES FCI]])</f>
        <v>43459823101.703354</v>
      </c>
      <c r="V211" s="5">
        <f>IF($B210&lt;=Tabla5[[#This Row],[INVERSIONES FCI]],+Tabla5[[#This Row],[INVERSIONES FCI]]-V210,Tabla5[[#This Row],[INVERSIONES FCI]])</f>
        <v>43459823101.703354</v>
      </c>
      <c r="W211" s="5">
        <f>IF($B210&lt;=Tabla5[[#This Row],[INVERSIONES FCI]],+Tabla5[[#This Row],[INVERSIONES FCI]]-W210,Tabla5[[#This Row],[INVERSIONES FCI]])</f>
        <v>43459823101.703354</v>
      </c>
      <c r="X211" s="5">
        <f>IF($B210&lt;=Tabla5[[#This Row],[INVERSIONES FCI]],+Tabla5[[#This Row],[INVERSIONES FCI]]-X210,Tabla5[[#This Row],[INVERSIONES FCI]])</f>
        <v>43459823101.703354</v>
      </c>
      <c r="Y211" s="5">
        <f>IF($B210&lt;=Tabla5[[#This Row],[INVERSIONES FCI]],+Tabla5[[#This Row],[INVERSIONES FCI]]-Y210,Tabla5[[#This Row],[INVERSIONES FCI]])</f>
        <v>43459823101.703354</v>
      </c>
      <c r="Z211" s="5">
        <f>IF($B210&lt;=Tabla5[[#This Row],[INVERSIONES FCI]],+Tabla5[[#This Row],[INVERSIONES FCI]]-Z210,Tabla5[[#This Row],[INVERSIONES FCI]])</f>
        <v>43459823101.703354</v>
      </c>
      <c r="AA211" s="5">
        <f>IF($B210&lt;=Tabla5[[#This Row],[INVERSIONES FCI]],+Tabla5[[#This Row],[INVERSIONES FCI]]-AA210,Tabla5[[#This Row],[INVERSIONES FCI]])</f>
        <v>43459823101.703354</v>
      </c>
      <c r="AB211" s="5">
        <f>IF($B210&lt;=Tabla5[[#This Row],[INVERSIONES FCI]],+Tabla5[[#This Row],[INVERSIONES FCI]]-AB210,Tabla5[[#This Row],[INVERSIONES FCI]])</f>
        <v>43459823101.703354</v>
      </c>
      <c r="AC211" s="5">
        <f>IF($B210&lt;=Tabla5[[#This Row],[INVERSIONES FCI]],+Tabla5[[#This Row],[INVERSIONES FCI]]-AC210,Tabla5[[#This Row],[INVERSIONES FCI]])</f>
        <v>43459823101.703354</v>
      </c>
      <c r="AD211" s="5">
        <f>IF($B210&lt;=Tabla5[[#This Row],[INVERSIONES FCI]],+Tabla5[[#This Row],[INVERSIONES FCI]]-AD210,Tabla5[[#This Row],[INVERSIONES FCI]])</f>
        <v>43459823101.703354</v>
      </c>
      <c r="AE211" s="5">
        <f>IF($B210&lt;=Tabla5[[#This Row],[INVERSIONES FCI]],+Tabla5[[#This Row],[INVERSIONES FCI]]-AE210,Tabla5[[#This Row],[INVERSIONES FCI]])</f>
        <v>43459823101.703354</v>
      </c>
      <c r="AF211" s="5">
        <f>IF($B210&lt;=Tabla5[[#This Row],[INVERSIONES FCI]],+Tabla5[[#This Row],[INVERSIONES FCI]]-AF210,Tabla5[[#This Row],[INVERSIONES FCI]])</f>
        <v>43459823101.703354</v>
      </c>
      <c r="AG211" s="5">
        <f>IF($B210&lt;=Tabla5[[#This Row],[INVERSIONES FCI]],+Tabla5[[#This Row],[INVERSIONES FCI]]-AG210,Tabla5[[#This Row],[INVERSIONES FCI]])</f>
        <v>43459823101.703354</v>
      </c>
      <c r="AH211" s="5">
        <f>IF($B210&lt;=Tabla5[[#This Row],[INVERSIONES FCI]],+Tabla5[[#This Row],[INVERSIONES FCI]]-AH210,Tabla5[[#This Row],[INVERSIONES FCI]])</f>
        <v>43459823101.703354</v>
      </c>
      <c r="AI211" s="5">
        <f>IF($B210&lt;=Tabla5[[#This Row],[INVERSIONES FCI]],+Tabla5[[#This Row],[INVERSIONES FCI]]-AI210,Tabla5[[#This Row],[INVERSIONES FCI]])</f>
        <v>43459823101.703354</v>
      </c>
      <c r="AJ211" s="5">
        <f>IF($B210&lt;=Tabla5[[#This Row],[INVERSIONES FCI]],+Tabla5[[#This Row],[INVERSIONES FCI]]-AJ210,Tabla5[[#This Row],[INVERSIONES FCI]])</f>
        <v>43459823101.703354</v>
      </c>
      <c r="AK211" s="5">
        <f>IF($B210&lt;=Tabla5[[#This Row],[INVERSIONES FCI]],+Tabla5[[#This Row],[INVERSIONES FCI]]-AK210,Tabla5[[#This Row],[INVERSIONES FCI]])</f>
        <v>43459823101.703354</v>
      </c>
      <c r="AL211" s="5">
        <f>IF($B210&lt;=Tabla5[[#This Row],[INVERSIONES FCI]],+Tabla5[[#This Row],[INVERSIONES FCI]]-AL210,Tabla5[[#This Row],[INVERSIONES FCI]])</f>
        <v>43459823101.703354</v>
      </c>
      <c r="AM211" s="5">
        <f>IF($B210&lt;=Tabla5[[#This Row],[INVERSIONES FCI]],+Tabla5[[#This Row],[INVERSIONES FCI]]-AM210,Tabla5[[#This Row],[INVERSIONES FCI]])</f>
        <v>43459823101.703354</v>
      </c>
      <c r="AN211" s="5">
        <f>IF($B210&lt;=Tabla5[[#This Row],[INVERSIONES FCI]],+Tabla5[[#This Row],[INVERSIONES FCI]]-AN210,Tabla5[[#This Row],[INVERSIONES FCI]])</f>
        <v>43459823101.703354</v>
      </c>
      <c r="AO211" s="5">
        <f>IF($B210&lt;=Tabla5[[#This Row],[INVERSIONES FCI]],+Tabla5[[#This Row],[INVERSIONES FCI]]-AO210,Tabla5[[#This Row],[INVERSIONES FCI]])</f>
        <v>43459823101.703354</v>
      </c>
      <c r="AP211" s="5">
        <f>IF($B210&lt;=Tabla5[[#This Row],[INVERSIONES FCI]],+Tabla5[[#This Row],[INVERSIONES FCI]]-AP210,Tabla5[[#This Row],[INVERSIONES FCI]])</f>
        <v>43459823101.703354</v>
      </c>
      <c r="AQ211" s="5">
        <f>IF($B210&lt;=Tabla5[[#This Row],[INVERSIONES FCI]],+Tabla5[[#This Row],[INVERSIONES FCI]]-AQ210,Tabla5[[#This Row],[INVERSIONES FCI]])</f>
        <v>43459823101.703354</v>
      </c>
      <c r="AR211" s="5">
        <f>IF($B210&lt;=Tabla5[[#This Row],[INVERSIONES FCI]],+Tabla5[[#This Row],[INVERSIONES FCI]]-AR210,Tabla5[[#This Row],[INVERSIONES FCI]])</f>
        <v>43459823101.703354</v>
      </c>
      <c r="AS211" s="5">
        <f>IF($B210&lt;=Tabla5[[#This Row],[INVERSIONES FCI]],+Tabla5[[#This Row],[INVERSIONES FCI]]-AS210,Tabla5[[#This Row],[INVERSIONES FCI]])</f>
        <v>43459823101.703354</v>
      </c>
      <c r="AT211" s="5">
        <f>IF($B210&lt;=Tabla5[[#This Row],[INVERSIONES FCI]],+Tabla5[[#This Row],[INVERSIONES FCI]]-AT210,Tabla5[[#This Row],[INVERSIONES FCI]])</f>
        <v>43459823101.703354</v>
      </c>
      <c r="AU211" s="5">
        <f>IF($B210&lt;=Tabla5[[#This Row],[INVERSIONES FCI]],+Tabla5[[#This Row],[INVERSIONES FCI]]-AU210,Tabla5[[#This Row],[INVERSIONES FCI]])</f>
        <v>43459823101.703354</v>
      </c>
      <c r="AV211" s="5">
        <f>IF($B210&lt;=Tabla5[[#This Row],[INVERSIONES FCI]],+Tabla5[[#This Row],[INVERSIONES FCI]]-AV210,Tabla5[[#This Row],[INVERSIONES FCI]])</f>
        <v>43459823101.703354</v>
      </c>
      <c r="AW211" s="5">
        <f>IF($B210&lt;=Tabla5[[#This Row],[INVERSIONES FCI]],+Tabla5[[#This Row],[INVERSIONES FCI]]-AW210,Tabla5[[#This Row],[INVERSIONES FCI]])</f>
        <v>43459823101.703354</v>
      </c>
      <c r="AX211" s="5">
        <f>IF($B210&lt;=Tabla5[[#This Row],[INVERSIONES FCI]],+Tabla5[[#This Row],[INVERSIONES FCI]]-AX210,Tabla5[[#This Row],[INVERSIONES FCI]])</f>
        <v>43459823101.703354</v>
      </c>
      <c r="AY211" s="5">
        <f>IF($B210&lt;=Tabla5[[#This Row],[INVERSIONES FCI]],+Tabla5[[#This Row],[INVERSIONES FCI]]-AY210,Tabla5[[#This Row],[INVERSIONES FCI]])</f>
        <v>43459823101.703354</v>
      </c>
      <c r="AZ211" s="5">
        <f>IF($B210&lt;=Tabla5[[#This Row],[INVERSIONES FCI]],+Tabla5[[#This Row],[INVERSIONES FCI]]-AZ210,Tabla5[[#This Row],[INVERSIONES FCI]])</f>
        <v>43459823101.703354</v>
      </c>
      <c r="BA211" s="5">
        <f>IF($B210&lt;=Tabla5[[#This Row],[INVERSIONES FCI]],+Tabla5[[#This Row],[INVERSIONES FCI]]-BA210,Tabla5[[#This Row],[INVERSIONES FCI]])</f>
        <v>43459823101.703354</v>
      </c>
      <c r="BB211" s="5">
        <f>IF($B210&lt;=Tabla5[[#This Row],[INVERSIONES FCI]],+Tabla5[[#This Row],[INVERSIONES FCI]]-BB210,Tabla5[[#This Row],[INVERSIONES FCI]])</f>
        <v>43459823101.703354</v>
      </c>
      <c r="BC211" s="5">
        <f>IF($B210&lt;=Tabla5[[#This Row],[INVERSIONES FCI]],+Tabla5[[#This Row],[INVERSIONES FCI]]-BC210,Tabla5[[#This Row],[INVERSIONES FCI]])</f>
        <v>43459823101.703354</v>
      </c>
      <c r="BD211" s="5">
        <f>IF($B210&lt;=Tabla5[[#This Row],[INVERSIONES FCI]],+Tabla5[[#This Row],[INVERSIONES FCI]]-BD210,Tabla5[[#This Row],[INVERSIONES FCI]])</f>
        <v>43459823101.703354</v>
      </c>
      <c r="BE211" s="5">
        <f>IF($B210&lt;=Tabla5[[#This Row],[INVERSIONES FCI]],+Tabla5[[#This Row],[INVERSIONES FCI]]-BE210,Tabla5[[#This Row],[INVERSIONES FCI]])</f>
        <v>43459823101.703354</v>
      </c>
      <c r="BF211" s="5">
        <f>IF($B210&lt;=Tabla5[[#This Row],[INVERSIONES FCI]],+Tabla5[[#This Row],[INVERSIONES FCI]]-BF210,Tabla5[[#This Row],[INVERSIONES FCI]])</f>
        <v>43459823101.703354</v>
      </c>
      <c r="BG211" s="5">
        <f>IF($B210&lt;=Tabla5[[#This Row],[INVERSIONES FCI]],+Tabla5[[#This Row],[INVERSIONES FCI]]-BG210,Tabla5[[#This Row],[INVERSIONES FCI]])</f>
        <v>43459823101.703354</v>
      </c>
      <c r="BH211" s="5">
        <f>IF($B210&lt;=Tabla5[[#This Row],[INVERSIONES FCI]],+Tabla5[[#This Row],[INVERSIONES FCI]]-BH210,Tabla5[[#This Row],[INVERSIONES FCI]])</f>
        <v>43459823101.703354</v>
      </c>
      <c r="BI211" s="5">
        <f>IF($B210&lt;=Tabla5[[#This Row],[INVERSIONES FCI]],+Tabla5[[#This Row],[INVERSIONES FCI]]-BI210,Tabla5[[#This Row],[INVERSIONES FCI]])</f>
        <v>43459823101.703354</v>
      </c>
      <c r="BJ211" s="5">
        <f>IF($B210&lt;=Tabla5[[#This Row],[INVERSIONES FCI]],+Tabla5[[#This Row],[INVERSIONES FCI]]-BJ210,Tabla5[[#This Row],[INVERSIONES FCI]])</f>
        <v>43459823101.703354</v>
      </c>
      <c r="BK211" s="5">
        <f>IF($B210&lt;=Tabla5[[#This Row],[INVERSIONES FCI]],+Tabla5[[#This Row],[INVERSIONES FCI]]-BK210,Tabla5[[#This Row],[INVERSIONES FCI]])</f>
        <v>43459823101.703354</v>
      </c>
      <c r="BL211" s="5">
        <f>IF($B210&lt;=Tabla5[[#This Row],[INVERSIONES FCI]],+Tabla5[[#This Row],[INVERSIONES FCI]]-BL210,Tabla5[[#This Row],[INVERSIONES FCI]])</f>
        <v>43459823101.703354</v>
      </c>
      <c r="BM211" s="5">
        <f>IF($B210&lt;=Tabla5[[#This Row],[INVERSIONES FCI]],+Tabla5[[#This Row],[INVERSIONES FCI]]-BM210,Tabla5[[#This Row],[INVERSIONES FCI]])</f>
        <v>43459823101.703354</v>
      </c>
      <c r="BN211" s="5">
        <f>IF($B210&lt;=Tabla5[[#This Row],[INVERSIONES FCI]],+Tabla5[[#This Row],[INVERSIONES FCI]]-BN210,Tabla5[[#This Row],[INVERSIONES FCI]])</f>
        <v>43459823101.703354</v>
      </c>
      <c r="BO211" s="5">
        <f>IF($B210&lt;=Tabla5[[#This Row],[INVERSIONES FCI]],+Tabla5[[#This Row],[INVERSIONES FCI]]-BO210,Tabla5[[#This Row],[INVERSIONES FCI]])</f>
        <v>43459823101.703354</v>
      </c>
      <c r="BP211" s="5">
        <f>IF($B210&lt;=Tabla5[[#This Row],[INVERSIONES FCI]],+Tabla5[[#This Row],[INVERSIONES FCI]]-BP210,Tabla5[[#This Row],[INVERSIONES FCI]])</f>
        <v>43459823101.703354</v>
      </c>
      <c r="BQ211" s="5">
        <f>IF($B210&lt;=Tabla5[[#This Row],[INVERSIONES FCI]],+Tabla5[[#This Row],[INVERSIONES FCI]]-BQ210,Tabla5[[#This Row],[INVERSIONES FCI]])</f>
        <v>43459823101.703354</v>
      </c>
      <c r="BR211" s="5">
        <f>IF($B210&lt;=Tabla5[[#This Row],[INVERSIONES FCI]],+Tabla5[[#This Row],[INVERSIONES FCI]]-BR210,Tabla5[[#This Row],[INVERSIONES FCI]])</f>
        <v>43459823101.703354</v>
      </c>
      <c r="BS211" s="5">
        <f>IF($B210&lt;=Tabla5[[#This Row],[INVERSIONES FCI]],+Tabla5[[#This Row],[INVERSIONES FCI]]-BS210,Tabla5[[#This Row],[INVERSIONES FCI]])</f>
        <v>43459823101.703354</v>
      </c>
      <c r="BT211" s="5">
        <f>IF($B210&lt;=Tabla5[[#This Row],[INVERSIONES FCI]],+Tabla5[[#This Row],[INVERSIONES FCI]]-BT210,Tabla5[[#This Row],[INVERSIONES FCI]])</f>
        <v>43459823101.703354</v>
      </c>
      <c r="BU211" s="5">
        <f>IF($B210&lt;=Tabla5[[#This Row],[INVERSIONES FCI]],+Tabla5[[#This Row],[INVERSIONES FCI]]-BU210,Tabla5[[#This Row],[INVERSIONES FCI]])</f>
        <v>43459823101.703354</v>
      </c>
      <c r="BV211" s="5">
        <f>IF($B210&lt;=Tabla5[[#This Row],[INVERSIONES FCI]],+Tabla5[[#This Row],[INVERSIONES FCI]]-BV210,Tabla5[[#This Row],[INVERSIONES FCI]])</f>
        <v>43459823101.703354</v>
      </c>
      <c r="BW211" s="5">
        <f>IF($B210&lt;=Tabla5[[#This Row],[INVERSIONES FCI]],+Tabla5[[#This Row],[INVERSIONES FCI]]-BW210,Tabla5[[#This Row],[INVERSIONES FCI]])</f>
        <v>43459823101.703354</v>
      </c>
      <c r="BX211" s="5">
        <f>IF($B210&lt;=Tabla5[[#This Row],[INVERSIONES FCI]],+Tabla5[[#This Row],[INVERSIONES FCI]]-BX210,Tabla5[[#This Row],[INVERSIONES FCI]])</f>
        <v>43459823101.703354</v>
      </c>
      <c r="BY211" s="5">
        <f>IF($B210&lt;=Tabla5[[#This Row],[INVERSIONES FCI]],+Tabla5[[#This Row],[INVERSIONES FCI]]-BY210,Tabla5[[#This Row],[INVERSIONES FCI]])</f>
        <v>43459823101.703354</v>
      </c>
      <c r="BZ211" s="5">
        <f>IF($B210&lt;=Tabla5[[#This Row],[INVERSIONES FCI]],+Tabla5[[#This Row],[INVERSIONES FCI]]-BZ210,Tabla5[[#This Row],[INVERSIONES FCI]])</f>
        <v>43459823101.703354</v>
      </c>
      <c r="CA211" s="5">
        <f>IF($B210&lt;=Tabla5[[#This Row],[INVERSIONES FCI]],+Tabla5[[#This Row],[INVERSIONES FCI]]-CA210,Tabla5[[#This Row],[INVERSIONES FCI]])</f>
        <v>43459823101.703354</v>
      </c>
      <c r="CB211" s="5">
        <f>IF($B210&lt;=Tabla5[[#This Row],[INVERSIONES FCI]],+Tabla5[[#This Row],[INVERSIONES FCI]]-CB210,Tabla5[[#This Row],[INVERSIONES FCI]])</f>
        <v>43459823101.703354</v>
      </c>
      <c r="CC211" s="5">
        <f>IF($B210&lt;=Tabla5[[#This Row],[INVERSIONES FCI]],+Tabla5[[#This Row],[INVERSIONES FCI]]-CC210,Tabla5[[#This Row],[INVERSIONES FCI]])</f>
        <v>43459823101.703354</v>
      </c>
      <c r="CD211" s="5">
        <f>IF($B210&lt;=Tabla5[[#This Row],[INVERSIONES FCI]],+Tabla5[[#This Row],[INVERSIONES FCI]]-CD210,Tabla5[[#This Row],[INVERSIONES FCI]])</f>
        <v>43459823101.703354</v>
      </c>
      <c r="CE211" s="5">
        <f>IF($B210&lt;=Tabla5[[#This Row],[INVERSIONES FCI]],+Tabla5[[#This Row],[INVERSIONES FCI]]-CE210,Tabla5[[#This Row],[INVERSIONES FCI]])</f>
        <v>43459823101.703354</v>
      </c>
      <c r="CF211" s="5">
        <f>IF($B210&lt;=Tabla5[[#This Row],[INVERSIONES FCI]],+Tabla5[[#This Row],[INVERSIONES FCI]]-CF210,Tabla5[[#This Row],[INVERSIONES FCI]])</f>
        <v>43459823101.703354</v>
      </c>
      <c r="CG211" s="5">
        <f>IF($B210&lt;=Tabla5[[#This Row],[INVERSIONES FCI]],+Tabla5[[#This Row],[INVERSIONES FCI]]-CG210,Tabla5[[#This Row],[INVERSIONES FCI]])</f>
        <v>43459823101.703354</v>
      </c>
      <c r="CH211" s="5">
        <f>IF($B210&lt;=Tabla5[[#This Row],[INVERSIONES FCI]],+Tabla5[[#This Row],[INVERSIONES FCI]]-CH210,Tabla5[[#This Row],[INVERSIONES FCI]])</f>
        <v>43459823101.703354</v>
      </c>
      <c r="CI211" s="5">
        <f>IF($B210&lt;=Tabla5[[#This Row],[INVERSIONES FCI]],+Tabla5[[#This Row],[INVERSIONES FCI]]-CI210,Tabla5[[#This Row],[INVERSIONES FCI]])</f>
        <v>43459823101.703354</v>
      </c>
      <c r="CJ211" s="5">
        <f>IF($B210&lt;=Tabla5[[#This Row],[INVERSIONES FCI]],+Tabla5[[#This Row],[INVERSIONES FCI]]-CJ210,Tabla5[[#This Row],[INVERSIONES FCI]])</f>
        <v>43459823101.703354</v>
      </c>
      <c r="CK211" s="5">
        <f>IF($B210&lt;=Tabla5[[#This Row],[INVERSIONES FCI]],+Tabla5[[#This Row],[INVERSIONES FCI]]-CK210,Tabla5[[#This Row],[INVERSIONES FCI]])</f>
        <v>43459823101.703354</v>
      </c>
      <c r="CL211" s="5">
        <f>IF($B210&lt;=Tabla5[[#This Row],[INVERSIONES FCI]],+Tabla5[[#This Row],[INVERSIONES FCI]]-CL210,Tabla5[[#This Row],[INVERSIONES FCI]])</f>
        <v>43459823101.703354</v>
      </c>
      <c r="CM211" s="5">
        <f>IF($B210&lt;=Tabla5[[#This Row],[INVERSIONES FCI]],+Tabla5[[#This Row],[INVERSIONES FCI]]-CM210,Tabla5[[#This Row],[INVERSIONES FCI]])</f>
        <v>43459823101.703354</v>
      </c>
      <c r="CN211" s="5">
        <f>IF($B210&lt;=Tabla5[[#This Row],[INVERSIONES FCI]],+Tabla5[[#This Row],[INVERSIONES FCI]]-CN210,Tabla5[[#This Row],[INVERSIONES FCI]])</f>
        <v>43459823101.703354</v>
      </c>
      <c r="CO211" s="5">
        <f>IF($B210&lt;=Tabla5[[#This Row],[INVERSIONES FCI]],+Tabla5[[#This Row],[INVERSIONES FCI]]-CO210,Tabla5[[#This Row],[INVERSIONES FCI]])</f>
        <v>43459823101.703354</v>
      </c>
      <c r="CP211" s="5">
        <f>IF($B210&lt;=Tabla5[[#This Row],[INVERSIONES FCI]],+Tabla5[[#This Row],[INVERSIONES FCI]]-CP210,Tabla5[[#This Row],[INVERSIONES FCI]])</f>
        <v>43459823101.703354</v>
      </c>
      <c r="CQ211" s="5">
        <f>IF($B210&lt;=Tabla5[[#This Row],[INVERSIONES FCI]],+Tabla5[[#This Row],[INVERSIONES FCI]]-CQ210,Tabla5[[#This Row],[INVERSIONES FCI]])</f>
        <v>43459823101.703354</v>
      </c>
      <c r="CR211" s="5">
        <f>IF($B210&lt;=Tabla5[[#This Row],[INVERSIONES FCI]],+Tabla5[[#This Row],[INVERSIONES FCI]]-CR210,Tabla5[[#This Row],[INVERSIONES FCI]])</f>
        <v>43459823101.703354</v>
      </c>
      <c r="CS211" s="5">
        <f>IF($B210&lt;=Tabla5[[#This Row],[INVERSIONES FCI]],+Tabla5[[#This Row],[INVERSIONES FCI]]-CS210,Tabla5[[#This Row],[INVERSIONES FCI]])</f>
        <v>43459823101.703354</v>
      </c>
      <c r="CT211" s="5">
        <f>IF($B210&lt;=Tabla5[[#This Row],[INVERSIONES FCI]],+Tabla5[[#This Row],[INVERSIONES FCI]]-CT210,Tabla5[[#This Row],[INVERSIONES FCI]])</f>
        <v>43459823101.703354</v>
      </c>
      <c r="CU211" s="5">
        <f>IF($B210&lt;=Tabla5[[#This Row],[INVERSIONES FCI]],+Tabla5[[#This Row],[INVERSIONES FCI]]-CU210,Tabla5[[#This Row],[INVERSIONES FCI]])</f>
        <v>43459823101.703354</v>
      </c>
      <c r="CV211" s="5">
        <f>IF($B210&lt;=Tabla5[[#This Row],[INVERSIONES FCI]],+Tabla5[[#This Row],[INVERSIONES FCI]]-CV210,Tabla5[[#This Row],[INVERSIONES FCI]])</f>
        <v>43459823101.703354</v>
      </c>
      <c r="CW211" s="5">
        <f>IF($B210&lt;=Tabla5[[#This Row],[INVERSIONES FCI]],+Tabla5[[#This Row],[INVERSIONES FCI]]-CW210,Tabla5[[#This Row],[INVERSIONES FCI]])</f>
        <v>43459823101.703354</v>
      </c>
      <c r="CX211" s="5">
        <f>IF($B210&lt;=Tabla5[[#This Row],[INVERSIONES FCI]],+Tabla5[[#This Row],[INVERSIONES FCI]]-CX210,Tabla5[[#This Row],[INVERSIONES FCI]])</f>
        <v>43459823101.703354</v>
      </c>
      <c r="CY211" s="5">
        <f>IF($B210&lt;=Tabla5[[#This Row],[INVERSIONES FCI]],+Tabla5[[#This Row],[INVERSIONES FCI]]-CY210,Tabla5[[#This Row],[INVERSIONES FCI]])</f>
        <v>43459823101.703354</v>
      </c>
      <c r="CZ211" s="5">
        <f>IF($B210&lt;=Tabla5[[#This Row],[INVERSIONES FCI]],+Tabla5[[#This Row],[INVERSIONES FCI]]-CZ210,Tabla5[[#This Row],[INVERSIONES FCI]])</f>
        <v>43459823101.703354</v>
      </c>
      <c r="DA211" s="5">
        <f>IF($B210&lt;=Tabla5[[#This Row],[INVERSIONES FCI]],+Tabla5[[#This Row],[INVERSIONES FCI]]-DA210,Tabla5[[#This Row],[INVERSIONES FCI]])</f>
        <v>43459823101.703354</v>
      </c>
      <c r="DB211" s="5">
        <f>IF($B210&lt;=Tabla5[[#This Row],[INVERSIONES FCI]],+Tabla5[[#This Row],[INVERSIONES FCI]]-DB210,Tabla5[[#This Row],[INVERSIONES FCI]])</f>
        <v>43459823101.703354</v>
      </c>
      <c r="DC211" s="5">
        <f>IF($B210&lt;=Tabla5[[#This Row],[INVERSIONES FCI]],+Tabla5[[#This Row],[INVERSIONES FCI]]-DC210,Tabla5[[#This Row],[INVERSIONES FCI]])</f>
        <v>43459823101.703354</v>
      </c>
      <c r="DD211" s="5">
        <f>IF($B210&lt;=Tabla5[[#This Row],[INVERSIONES FCI]],+Tabla5[[#This Row],[INVERSIONES FCI]]-DD210,Tabla5[[#This Row],[INVERSIONES FCI]])</f>
        <v>43459823101.703354</v>
      </c>
      <c r="DE211" s="5">
        <f>IF($B210&lt;=Tabla5[[#This Row],[INVERSIONES FCI]],+Tabla5[[#This Row],[INVERSIONES FCI]]-DE210,Tabla5[[#This Row],[INVERSIONES FCI]])</f>
        <v>43459823101.703354</v>
      </c>
      <c r="DF211" s="5">
        <f>IF($B210&lt;=Tabla5[[#This Row],[INVERSIONES FCI]],+Tabla5[[#This Row],[INVERSIONES FCI]]-DF210,Tabla5[[#This Row],[INVERSIONES FCI]])</f>
        <v>43459823101.703354</v>
      </c>
      <c r="DG211" s="5">
        <f>IF($B210&lt;=Tabla5[[#This Row],[INVERSIONES FCI]],+Tabla5[[#This Row],[INVERSIONES FCI]]-DG210,Tabla5[[#This Row],[INVERSIONES FCI]])</f>
        <v>43459823101.703354</v>
      </c>
      <c r="DH211" s="5">
        <f>IF($B210&lt;=Tabla5[[#This Row],[INVERSIONES FCI]],+Tabla5[[#This Row],[INVERSIONES FCI]]-DH210,Tabla5[[#This Row],[INVERSIONES FCI]])</f>
        <v>43459823101.703354</v>
      </c>
      <c r="DI211" s="5">
        <f>IF($B210&lt;=Tabla5[[#This Row],[INVERSIONES FCI]],+Tabla5[[#This Row],[INVERSIONES FCI]]-DI210,Tabla5[[#This Row],[INVERSIONES FCI]])</f>
        <v>43459823101.703354</v>
      </c>
      <c r="DJ211" s="5">
        <f>IF($B210&lt;=Tabla5[[#This Row],[INVERSIONES FCI]],+Tabla5[[#This Row],[INVERSIONES FCI]]-DJ210,Tabla5[[#This Row],[INVERSIONES FCI]])</f>
        <v>43459823101.703354</v>
      </c>
      <c r="DK211" s="5">
        <f>IF($B210&lt;=Tabla5[[#This Row],[INVERSIONES FCI]],+Tabla5[[#This Row],[INVERSIONES FCI]]-DK210,Tabla5[[#This Row],[INVERSIONES FCI]])</f>
        <v>43459823101.703354</v>
      </c>
      <c r="DL211" s="5"/>
      <c r="DM211" s="5"/>
      <c r="DN211" s="5"/>
      <c r="DO211" s="5"/>
      <c r="DP211" s="5"/>
      <c r="DQ211" s="5"/>
    </row>
    <row r="212" spans="1:121" ht="14.4">
      <c r="A212" s="12" t="s">
        <v>211</v>
      </c>
      <c r="B212" s="5">
        <f>HLOOKUP($A212,ESCENARIO[#All],7,FALSE)</f>
        <v>48327454062.290565</v>
      </c>
      <c r="C212" s="5">
        <f>IF($B211&lt;=Tabla5[[#This Row],[INVERSIONES FCI]],+Tabla5[[#This Row],[INVERSIONES FCI]]-C211,Tabla5[[#This Row],[INVERSIONES FCI]])</f>
        <v>4867630960.5872116</v>
      </c>
      <c r="D212" s="5">
        <f>IF($B211&lt;=Tabla5[[#This Row],[INVERSIONES FCI]],+Tabla5[[#This Row],[INVERSIONES FCI]]-D211,Tabla5[[#This Row],[INVERSIONES FCI]])</f>
        <v>4867630960.5872116</v>
      </c>
      <c r="E212" s="5">
        <f>IF($B211&lt;=Tabla5[[#This Row],[INVERSIONES FCI]],+Tabla5[[#This Row],[INVERSIONES FCI]]-E211,Tabla5[[#This Row],[INVERSIONES FCI]])</f>
        <v>4867630960.5872116</v>
      </c>
      <c r="F212" s="5">
        <f>IF($B211&lt;=Tabla5[[#This Row],[INVERSIONES FCI]],+Tabla5[[#This Row],[INVERSIONES FCI]]-F211,Tabla5[[#This Row],[INVERSIONES FCI]])</f>
        <v>4867630960.5872116</v>
      </c>
      <c r="G212" s="5">
        <f>IF($B211&lt;=Tabla5[[#This Row],[INVERSIONES FCI]],+Tabla5[[#This Row],[INVERSIONES FCI]]-G211,Tabla5[[#This Row],[INVERSIONES FCI]])</f>
        <v>4867630960.5872116</v>
      </c>
      <c r="H212" s="5">
        <f>IF($B211&lt;=Tabla5[[#This Row],[INVERSIONES FCI]],+Tabla5[[#This Row],[INVERSIONES FCI]]-H211,Tabla5[[#This Row],[INVERSIONES FCI]])</f>
        <v>4867630960.5872116</v>
      </c>
      <c r="I212" s="5">
        <f>IF($B211&lt;=Tabla5[[#This Row],[INVERSIONES FCI]],+Tabla5[[#This Row],[INVERSIONES FCI]]-I211,Tabla5[[#This Row],[INVERSIONES FCI]])</f>
        <v>4867630960.5872116</v>
      </c>
      <c r="J212" s="5">
        <f>IF($B211&lt;=Tabla5[[#This Row],[INVERSIONES FCI]],+Tabla5[[#This Row],[INVERSIONES FCI]]-J211,Tabla5[[#This Row],[INVERSIONES FCI]])</f>
        <v>4867630960.5872116</v>
      </c>
      <c r="K212" s="5">
        <f>IF($B211&lt;=Tabla5[[#This Row],[INVERSIONES FCI]],+Tabla5[[#This Row],[INVERSIONES FCI]]-K211,Tabla5[[#This Row],[INVERSIONES FCI]])</f>
        <v>4867630960.5872116</v>
      </c>
      <c r="L212" s="5">
        <f>IF($B211&lt;=Tabla5[[#This Row],[INVERSIONES FCI]],+Tabla5[[#This Row],[INVERSIONES FCI]]-L211,Tabla5[[#This Row],[INVERSIONES FCI]])</f>
        <v>4867630960.5872116</v>
      </c>
      <c r="M212" s="5">
        <f>IF($B211&lt;=Tabla5[[#This Row],[INVERSIONES FCI]],+Tabla5[[#This Row],[INVERSIONES FCI]]-M211,Tabla5[[#This Row],[INVERSIONES FCI]])</f>
        <v>4867630960.5872116</v>
      </c>
      <c r="N212" s="5">
        <f>IF($B211&lt;=Tabla5[[#This Row],[INVERSIONES FCI]],+Tabla5[[#This Row],[INVERSIONES FCI]]-N211,Tabla5[[#This Row],[INVERSIONES FCI]])</f>
        <v>4867630960.5872116</v>
      </c>
      <c r="O212" s="5">
        <f>IF($B211&lt;=Tabla5[[#This Row],[INVERSIONES FCI]],+Tabla5[[#This Row],[INVERSIONES FCI]]-O211,Tabla5[[#This Row],[INVERSIONES FCI]])</f>
        <v>4867630960.5872116</v>
      </c>
      <c r="P212" s="5">
        <f>IF($B211&lt;=Tabla5[[#This Row],[INVERSIONES FCI]],+Tabla5[[#This Row],[INVERSIONES FCI]]-P211,Tabla5[[#This Row],[INVERSIONES FCI]])</f>
        <v>4867630960.5872116</v>
      </c>
      <c r="Q212" s="5">
        <f>IF($B211&lt;=Tabla5[[#This Row],[INVERSIONES FCI]],+Tabla5[[#This Row],[INVERSIONES FCI]]-Q211,Tabla5[[#This Row],[INVERSIONES FCI]])</f>
        <v>4867630960.5872116</v>
      </c>
      <c r="R212" s="5">
        <f>IF($B211&lt;=Tabla5[[#This Row],[INVERSIONES FCI]],+Tabla5[[#This Row],[INVERSIONES FCI]]-R211,Tabla5[[#This Row],[INVERSIONES FCI]])</f>
        <v>4867630960.5872116</v>
      </c>
      <c r="S212" s="5">
        <f>IF($B211&lt;=Tabla5[[#This Row],[INVERSIONES FCI]],+Tabla5[[#This Row],[INVERSIONES FCI]]-S211,Tabla5[[#This Row],[INVERSIONES FCI]])</f>
        <v>4867630960.5872116</v>
      </c>
      <c r="T212" s="5">
        <f>IF($B211&lt;=Tabla5[[#This Row],[INVERSIONES FCI]],+Tabla5[[#This Row],[INVERSIONES FCI]]-T211,Tabla5[[#This Row],[INVERSIONES FCI]])</f>
        <v>4867630960.5872116</v>
      </c>
      <c r="U212" s="5">
        <f>IF($B211&lt;=Tabla5[[#This Row],[INVERSIONES FCI]],+Tabla5[[#This Row],[INVERSIONES FCI]]-U211,Tabla5[[#This Row],[INVERSIONES FCI]])</f>
        <v>4867630960.5872116</v>
      </c>
      <c r="V212" s="5">
        <f>IF($B211&lt;=Tabla5[[#This Row],[INVERSIONES FCI]],+Tabla5[[#This Row],[INVERSIONES FCI]]-V211,Tabla5[[#This Row],[INVERSIONES FCI]])</f>
        <v>4867630960.5872116</v>
      </c>
      <c r="W212" s="5">
        <f>IF($B211&lt;=Tabla5[[#This Row],[INVERSIONES FCI]],+Tabla5[[#This Row],[INVERSIONES FCI]]-W211,Tabla5[[#This Row],[INVERSIONES FCI]])</f>
        <v>4867630960.5872116</v>
      </c>
      <c r="X212" s="5">
        <f>IF($B211&lt;=Tabla5[[#This Row],[INVERSIONES FCI]],+Tabla5[[#This Row],[INVERSIONES FCI]]-X211,Tabla5[[#This Row],[INVERSIONES FCI]])</f>
        <v>4867630960.5872116</v>
      </c>
      <c r="Y212" s="5">
        <f>IF($B211&lt;=Tabla5[[#This Row],[INVERSIONES FCI]],+Tabla5[[#This Row],[INVERSIONES FCI]]-Y211,Tabla5[[#This Row],[INVERSIONES FCI]])</f>
        <v>4867630960.5872116</v>
      </c>
      <c r="Z212" s="5">
        <f>IF($B211&lt;=Tabla5[[#This Row],[INVERSIONES FCI]],+Tabla5[[#This Row],[INVERSIONES FCI]]-Z211,Tabla5[[#This Row],[INVERSIONES FCI]])</f>
        <v>4867630960.5872116</v>
      </c>
      <c r="AA212" s="5">
        <f>IF($B211&lt;=Tabla5[[#This Row],[INVERSIONES FCI]],+Tabla5[[#This Row],[INVERSIONES FCI]]-AA211,Tabla5[[#This Row],[INVERSIONES FCI]])</f>
        <v>4867630960.5872116</v>
      </c>
      <c r="AB212" s="5">
        <f>IF($B211&lt;=Tabla5[[#This Row],[INVERSIONES FCI]],+Tabla5[[#This Row],[INVERSIONES FCI]]-AB211,Tabla5[[#This Row],[INVERSIONES FCI]])</f>
        <v>4867630960.5872116</v>
      </c>
      <c r="AC212" s="5">
        <f>IF($B211&lt;=Tabla5[[#This Row],[INVERSIONES FCI]],+Tabla5[[#This Row],[INVERSIONES FCI]]-AC211,Tabla5[[#This Row],[INVERSIONES FCI]])</f>
        <v>4867630960.5872116</v>
      </c>
      <c r="AD212" s="5">
        <f>IF($B211&lt;=Tabla5[[#This Row],[INVERSIONES FCI]],+Tabla5[[#This Row],[INVERSIONES FCI]]-AD211,Tabla5[[#This Row],[INVERSIONES FCI]])</f>
        <v>4867630960.5872116</v>
      </c>
      <c r="AE212" s="5">
        <f>IF($B211&lt;=Tabla5[[#This Row],[INVERSIONES FCI]],+Tabla5[[#This Row],[INVERSIONES FCI]]-AE211,Tabla5[[#This Row],[INVERSIONES FCI]])</f>
        <v>4867630960.5872116</v>
      </c>
      <c r="AF212" s="5">
        <f>IF($B211&lt;=Tabla5[[#This Row],[INVERSIONES FCI]],+Tabla5[[#This Row],[INVERSIONES FCI]]-AF211,Tabla5[[#This Row],[INVERSIONES FCI]])</f>
        <v>4867630960.5872116</v>
      </c>
      <c r="AG212" s="5">
        <f>IF($B211&lt;=Tabla5[[#This Row],[INVERSIONES FCI]],+Tabla5[[#This Row],[INVERSIONES FCI]]-AG211,Tabla5[[#This Row],[INVERSIONES FCI]])</f>
        <v>4867630960.5872116</v>
      </c>
      <c r="AH212" s="5">
        <f>IF($B211&lt;=Tabla5[[#This Row],[INVERSIONES FCI]],+Tabla5[[#This Row],[INVERSIONES FCI]]-AH211,Tabla5[[#This Row],[INVERSIONES FCI]])</f>
        <v>4867630960.5872116</v>
      </c>
      <c r="AI212" s="5">
        <f>IF($B211&lt;=Tabla5[[#This Row],[INVERSIONES FCI]],+Tabla5[[#This Row],[INVERSIONES FCI]]-AI211,Tabla5[[#This Row],[INVERSIONES FCI]])</f>
        <v>4867630960.5872116</v>
      </c>
      <c r="AJ212" s="5">
        <f>IF($B211&lt;=Tabla5[[#This Row],[INVERSIONES FCI]],+Tabla5[[#This Row],[INVERSIONES FCI]]-AJ211,Tabla5[[#This Row],[INVERSIONES FCI]])</f>
        <v>4867630960.5872116</v>
      </c>
      <c r="AK212" s="5">
        <f>IF($B211&lt;=Tabla5[[#This Row],[INVERSIONES FCI]],+Tabla5[[#This Row],[INVERSIONES FCI]]-AK211,Tabla5[[#This Row],[INVERSIONES FCI]])</f>
        <v>4867630960.5872116</v>
      </c>
      <c r="AL212" s="5">
        <f>IF($B211&lt;=Tabla5[[#This Row],[INVERSIONES FCI]],+Tabla5[[#This Row],[INVERSIONES FCI]]-AL211,Tabla5[[#This Row],[INVERSIONES FCI]])</f>
        <v>4867630960.5872116</v>
      </c>
      <c r="AM212" s="5">
        <f>IF($B211&lt;=Tabla5[[#This Row],[INVERSIONES FCI]],+Tabla5[[#This Row],[INVERSIONES FCI]]-AM211,Tabla5[[#This Row],[INVERSIONES FCI]])</f>
        <v>4867630960.5872116</v>
      </c>
      <c r="AN212" s="5">
        <f>IF($B211&lt;=Tabla5[[#This Row],[INVERSIONES FCI]],+Tabla5[[#This Row],[INVERSIONES FCI]]-AN211,Tabla5[[#This Row],[INVERSIONES FCI]])</f>
        <v>4867630960.5872116</v>
      </c>
      <c r="AO212" s="5">
        <f>IF($B211&lt;=Tabla5[[#This Row],[INVERSIONES FCI]],+Tabla5[[#This Row],[INVERSIONES FCI]]-AO211,Tabla5[[#This Row],[INVERSIONES FCI]])</f>
        <v>4867630960.5872116</v>
      </c>
      <c r="AP212" s="5">
        <f>IF($B211&lt;=Tabla5[[#This Row],[INVERSIONES FCI]],+Tabla5[[#This Row],[INVERSIONES FCI]]-AP211,Tabla5[[#This Row],[INVERSIONES FCI]])</f>
        <v>4867630960.5872116</v>
      </c>
      <c r="AQ212" s="5">
        <f>IF($B211&lt;=Tabla5[[#This Row],[INVERSIONES FCI]],+Tabla5[[#This Row],[INVERSIONES FCI]]-AQ211,Tabla5[[#This Row],[INVERSIONES FCI]])</f>
        <v>4867630960.5872116</v>
      </c>
      <c r="AR212" s="5">
        <f>IF($B211&lt;=Tabla5[[#This Row],[INVERSIONES FCI]],+Tabla5[[#This Row],[INVERSIONES FCI]]-AR211,Tabla5[[#This Row],[INVERSIONES FCI]])</f>
        <v>4867630960.5872116</v>
      </c>
      <c r="AS212" s="5">
        <f>IF($B211&lt;=Tabla5[[#This Row],[INVERSIONES FCI]],+Tabla5[[#This Row],[INVERSIONES FCI]]-AS211,Tabla5[[#This Row],[INVERSIONES FCI]])</f>
        <v>4867630960.5872116</v>
      </c>
      <c r="AT212" s="5">
        <f>IF($B211&lt;=Tabla5[[#This Row],[INVERSIONES FCI]],+Tabla5[[#This Row],[INVERSIONES FCI]]-AT211,Tabla5[[#This Row],[INVERSIONES FCI]])</f>
        <v>4867630960.5872116</v>
      </c>
      <c r="AU212" s="5">
        <f>IF($B211&lt;=Tabla5[[#This Row],[INVERSIONES FCI]],+Tabla5[[#This Row],[INVERSIONES FCI]]-AU211,Tabla5[[#This Row],[INVERSIONES FCI]])</f>
        <v>4867630960.5872116</v>
      </c>
      <c r="AV212" s="5">
        <f>IF($B211&lt;=Tabla5[[#This Row],[INVERSIONES FCI]],+Tabla5[[#This Row],[INVERSIONES FCI]]-AV211,Tabla5[[#This Row],[INVERSIONES FCI]])</f>
        <v>4867630960.5872116</v>
      </c>
      <c r="AW212" s="5">
        <f>IF($B211&lt;=Tabla5[[#This Row],[INVERSIONES FCI]],+Tabla5[[#This Row],[INVERSIONES FCI]]-AW211,Tabla5[[#This Row],[INVERSIONES FCI]])</f>
        <v>4867630960.5872116</v>
      </c>
      <c r="AX212" s="5">
        <f>IF($B211&lt;=Tabla5[[#This Row],[INVERSIONES FCI]],+Tabla5[[#This Row],[INVERSIONES FCI]]-AX211,Tabla5[[#This Row],[INVERSIONES FCI]])</f>
        <v>4867630960.5872116</v>
      </c>
      <c r="AY212" s="5">
        <f>IF($B211&lt;=Tabla5[[#This Row],[INVERSIONES FCI]],+Tabla5[[#This Row],[INVERSIONES FCI]]-AY211,Tabla5[[#This Row],[INVERSIONES FCI]])</f>
        <v>4867630960.5872116</v>
      </c>
      <c r="AZ212" s="5">
        <f>IF($B211&lt;=Tabla5[[#This Row],[INVERSIONES FCI]],+Tabla5[[#This Row],[INVERSIONES FCI]]-AZ211,Tabla5[[#This Row],[INVERSIONES FCI]])</f>
        <v>4867630960.5872116</v>
      </c>
      <c r="BA212" s="5">
        <f>IF($B211&lt;=Tabla5[[#This Row],[INVERSIONES FCI]],+Tabla5[[#This Row],[INVERSIONES FCI]]-BA211,Tabla5[[#This Row],[INVERSIONES FCI]])</f>
        <v>4867630960.5872116</v>
      </c>
      <c r="BB212" s="5">
        <f>IF($B211&lt;=Tabla5[[#This Row],[INVERSIONES FCI]],+Tabla5[[#This Row],[INVERSIONES FCI]]-BB211,Tabla5[[#This Row],[INVERSIONES FCI]])</f>
        <v>4867630960.5872116</v>
      </c>
      <c r="BC212" s="5">
        <f>IF($B211&lt;=Tabla5[[#This Row],[INVERSIONES FCI]],+Tabla5[[#This Row],[INVERSIONES FCI]]-BC211,Tabla5[[#This Row],[INVERSIONES FCI]])</f>
        <v>4867630960.5872116</v>
      </c>
      <c r="BD212" s="5">
        <f>IF($B211&lt;=Tabla5[[#This Row],[INVERSIONES FCI]],+Tabla5[[#This Row],[INVERSIONES FCI]]-BD211,Tabla5[[#This Row],[INVERSIONES FCI]])</f>
        <v>4867630960.5872116</v>
      </c>
      <c r="BE212" s="5">
        <f>IF($B211&lt;=Tabla5[[#This Row],[INVERSIONES FCI]],+Tabla5[[#This Row],[INVERSIONES FCI]]-BE211,Tabla5[[#This Row],[INVERSIONES FCI]])</f>
        <v>4867630960.5872116</v>
      </c>
      <c r="BF212" s="5">
        <f>IF($B211&lt;=Tabla5[[#This Row],[INVERSIONES FCI]],+Tabla5[[#This Row],[INVERSIONES FCI]]-BF211,Tabla5[[#This Row],[INVERSIONES FCI]])</f>
        <v>4867630960.5872116</v>
      </c>
      <c r="BG212" s="5">
        <f>IF($B211&lt;=Tabla5[[#This Row],[INVERSIONES FCI]],+Tabla5[[#This Row],[INVERSIONES FCI]]-BG211,Tabla5[[#This Row],[INVERSIONES FCI]])</f>
        <v>4867630960.5872116</v>
      </c>
      <c r="BH212" s="5">
        <f>IF($B211&lt;=Tabla5[[#This Row],[INVERSIONES FCI]],+Tabla5[[#This Row],[INVERSIONES FCI]]-BH211,Tabla5[[#This Row],[INVERSIONES FCI]])</f>
        <v>4867630960.5872116</v>
      </c>
      <c r="BI212" s="5">
        <f>IF($B211&lt;=Tabla5[[#This Row],[INVERSIONES FCI]],+Tabla5[[#This Row],[INVERSIONES FCI]]-BI211,Tabla5[[#This Row],[INVERSIONES FCI]])</f>
        <v>4867630960.5872116</v>
      </c>
      <c r="BJ212" s="5">
        <f>IF($B211&lt;=Tabla5[[#This Row],[INVERSIONES FCI]],+Tabla5[[#This Row],[INVERSIONES FCI]]-BJ211,Tabla5[[#This Row],[INVERSIONES FCI]])</f>
        <v>4867630960.5872116</v>
      </c>
      <c r="BK212" s="5">
        <f>IF($B211&lt;=Tabla5[[#This Row],[INVERSIONES FCI]],+Tabla5[[#This Row],[INVERSIONES FCI]]-BK211,Tabla5[[#This Row],[INVERSIONES FCI]])</f>
        <v>4867630960.5872116</v>
      </c>
      <c r="BL212" s="5">
        <f>IF($B211&lt;=Tabla5[[#This Row],[INVERSIONES FCI]],+Tabla5[[#This Row],[INVERSIONES FCI]]-BL211,Tabla5[[#This Row],[INVERSIONES FCI]])</f>
        <v>4867630960.5872116</v>
      </c>
      <c r="BM212" s="5">
        <f>IF($B211&lt;=Tabla5[[#This Row],[INVERSIONES FCI]],+Tabla5[[#This Row],[INVERSIONES FCI]]-BM211,Tabla5[[#This Row],[INVERSIONES FCI]])</f>
        <v>4867630960.5872116</v>
      </c>
      <c r="BN212" s="5">
        <f>IF($B211&lt;=Tabla5[[#This Row],[INVERSIONES FCI]],+Tabla5[[#This Row],[INVERSIONES FCI]]-BN211,Tabla5[[#This Row],[INVERSIONES FCI]])</f>
        <v>4867630960.5872116</v>
      </c>
      <c r="BO212" s="5">
        <f>IF($B211&lt;=Tabla5[[#This Row],[INVERSIONES FCI]],+Tabla5[[#This Row],[INVERSIONES FCI]]-BO211,Tabla5[[#This Row],[INVERSIONES FCI]])</f>
        <v>4867630960.5872116</v>
      </c>
      <c r="BP212" s="5">
        <f>IF($B211&lt;=Tabla5[[#This Row],[INVERSIONES FCI]],+Tabla5[[#This Row],[INVERSIONES FCI]]-BP211,Tabla5[[#This Row],[INVERSIONES FCI]])</f>
        <v>4867630960.5872116</v>
      </c>
      <c r="BQ212" s="5">
        <f>IF($B211&lt;=Tabla5[[#This Row],[INVERSIONES FCI]],+Tabla5[[#This Row],[INVERSIONES FCI]]-BQ211,Tabla5[[#This Row],[INVERSIONES FCI]])</f>
        <v>4867630960.5872116</v>
      </c>
      <c r="BR212" s="5">
        <f>IF($B211&lt;=Tabla5[[#This Row],[INVERSIONES FCI]],+Tabla5[[#This Row],[INVERSIONES FCI]]-BR211,Tabla5[[#This Row],[INVERSIONES FCI]])</f>
        <v>4867630960.5872116</v>
      </c>
      <c r="BS212" s="5">
        <f>IF($B211&lt;=Tabla5[[#This Row],[INVERSIONES FCI]],+Tabla5[[#This Row],[INVERSIONES FCI]]-BS211,Tabla5[[#This Row],[INVERSIONES FCI]])</f>
        <v>4867630960.5872116</v>
      </c>
      <c r="BT212" s="5">
        <f>IF($B211&lt;=Tabla5[[#This Row],[INVERSIONES FCI]],+Tabla5[[#This Row],[INVERSIONES FCI]]-BT211,Tabla5[[#This Row],[INVERSIONES FCI]])</f>
        <v>4867630960.5872116</v>
      </c>
      <c r="BU212" s="5">
        <f>IF($B211&lt;=Tabla5[[#This Row],[INVERSIONES FCI]],+Tabla5[[#This Row],[INVERSIONES FCI]]-BU211,Tabla5[[#This Row],[INVERSIONES FCI]])</f>
        <v>4867630960.5872116</v>
      </c>
      <c r="BV212" s="5">
        <f>IF($B211&lt;=Tabla5[[#This Row],[INVERSIONES FCI]],+Tabla5[[#This Row],[INVERSIONES FCI]]-BV211,Tabla5[[#This Row],[INVERSIONES FCI]])</f>
        <v>4867630960.5872116</v>
      </c>
      <c r="BW212" s="5">
        <f>IF($B211&lt;=Tabla5[[#This Row],[INVERSIONES FCI]],+Tabla5[[#This Row],[INVERSIONES FCI]]-BW211,Tabla5[[#This Row],[INVERSIONES FCI]])</f>
        <v>4867630960.5872116</v>
      </c>
      <c r="BX212" s="5">
        <f>IF($B211&lt;=Tabla5[[#This Row],[INVERSIONES FCI]],+Tabla5[[#This Row],[INVERSIONES FCI]]-BX211,Tabla5[[#This Row],[INVERSIONES FCI]])</f>
        <v>4867630960.5872116</v>
      </c>
      <c r="BY212" s="5">
        <f>IF($B211&lt;=Tabla5[[#This Row],[INVERSIONES FCI]],+Tabla5[[#This Row],[INVERSIONES FCI]]-BY211,Tabla5[[#This Row],[INVERSIONES FCI]])</f>
        <v>4867630960.5872116</v>
      </c>
      <c r="BZ212" s="5">
        <f>IF($B211&lt;=Tabla5[[#This Row],[INVERSIONES FCI]],+Tabla5[[#This Row],[INVERSIONES FCI]]-BZ211,Tabla5[[#This Row],[INVERSIONES FCI]])</f>
        <v>4867630960.5872116</v>
      </c>
      <c r="CA212" s="5">
        <f>IF($B211&lt;=Tabla5[[#This Row],[INVERSIONES FCI]],+Tabla5[[#This Row],[INVERSIONES FCI]]-CA211,Tabla5[[#This Row],[INVERSIONES FCI]])</f>
        <v>4867630960.5872116</v>
      </c>
      <c r="CB212" s="5">
        <f>IF($B211&lt;=Tabla5[[#This Row],[INVERSIONES FCI]],+Tabla5[[#This Row],[INVERSIONES FCI]]-CB211,Tabla5[[#This Row],[INVERSIONES FCI]])</f>
        <v>4867630960.5872116</v>
      </c>
      <c r="CC212" s="5">
        <f>IF($B211&lt;=Tabla5[[#This Row],[INVERSIONES FCI]],+Tabla5[[#This Row],[INVERSIONES FCI]]-CC211,Tabla5[[#This Row],[INVERSIONES FCI]])</f>
        <v>4867630960.5872116</v>
      </c>
      <c r="CD212" s="5">
        <f>IF($B211&lt;=Tabla5[[#This Row],[INVERSIONES FCI]],+Tabla5[[#This Row],[INVERSIONES FCI]]-CD211,Tabla5[[#This Row],[INVERSIONES FCI]])</f>
        <v>4867630960.5872116</v>
      </c>
      <c r="CE212" s="5">
        <f>IF($B211&lt;=Tabla5[[#This Row],[INVERSIONES FCI]],+Tabla5[[#This Row],[INVERSIONES FCI]]-CE211,Tabla5[[#This Row],[INVERSIONES FCI]])</f>
        <v>4867630960.5872116</v>
      </c>
      <c r="CF212" s="5">
        <f>IF($B211&lt;=Tabla5[[#This Row],[INVERSIONES FCI]],+Tabla5[[#This Row],[INVERSIONES FCI]]-CF211,Tabla5[[#This Row],[INVERSIONES FCI]])</f>
        <v>4867630960.5872116</v>
      </c>
      <c r="CG212" s="5">
        <f>IF($B211&lt;=Tabla5[[#This Row],[INVERSIONES FCI]],+Tabla5[[#This Row],[INVERSIONES FCI]]-CG211,Tabla5[[#This Row],[INVERSIONES FCI]])</f>
        <v>4867630960.5872116</v>
      </c>
      <c r="CH212" s="5">
        <f>IF($B211&lt;=Tabla5[[#This Row],[INVERSIONES FCI]],+Tabla5[[#This Row],[INVERSIONES FCI]]-CH211,Tabla5[[#This Row],[INVERSIONES FCI]])</f>
        <v>4867630960.5872116</v>
      </c>
      <c r="CI212" s="5">
        <f>IF($B211&lt;=Tabla5[[#This Row],[INVERSIONES FCI]],+Tabla5[[#This Row],[INVERSIONES FCI]]-CI211,Tabla5[[#This Row],[INVERSIONES FCI]])</f>
        <v>4867630960.5872116</v>
      </c>
      <c r="CJ212" s="5">
        <f>IF($B211&lt;=Tabla5[[#This Row],[INVERSIONES FCI]],+Tabla5[[#This Row],[INVERSIONES FCI]]-CJ211,Tabla5[[#This Row],[INVERSIONES FCI]])</f>
        <v>4867630960.5872116</v>
      </c>
      <c r="CK212" s="5">
        <f>IF($B211&lt;=Tabla5[[#This Row],[INVERSIONES FCI]],+Tabla5[[#This Row],[INVERSIONES FCI]]-CK211,Tabla5[[#This Row],[INVERSIONES FCI]])</f>
        <v>4867630960.5872116</v>
      </c>
      <c r="CL212" s="5">
        <f>IF($B211&lt;=Tabla5[[#This Row],[INVERSIONES FCI]],+Tabla5[[#This Row],[INVERSIONES FCI]]-CL211,Tabla5[[#This Row],[INVERSIONES FCI]])</f>
        <v>4867630960.5872116</v>
      </c>
      <c r="CM212" s="5">
        <f>IF($B211&lt;=Tabla5[[#This Row],[INVERSIONES FCI]],+Tabla5[[#This Row],[INVERSIONES FCI]]-CM211,Tabla5[[#This Row],[INVERSIONES FCI]])</f>
        <v>4867630960.5872116</v>
      </c>
      <c r="CN212" s="5">
        <f>IF($B211&lt;=Tabla5[[#This Row],[INVERSIONES FCI]],+Tabla5[[#This Row],[INVERSIONES FCI]]-CN211,Tabla5[[#This Row],[INVERSIONES FCI]])</f>
        <v>4867630960.5872116</v>
      </c>
      <c r="CO212" s="5">
        <f>IF($B211&lt;=Tabla5[[#This Row],[INVERSIONES FCI]],+Tabla5[[#This Row],[INVERSIONES FCI]]-CO211,Tabla5[[#This Row],[INVERSIONES FCI]])</f>
        <v>4867630960.5872116</v>
      </c>
      <c r="CP212" s="5">
        <f>IF($B211&lt;=Tabla5[[#This Row],[INVERSIONES FCI]],+Tabla5[[#This Row],[INVERSIONES FCI]]-CP211,Tabla5[[#This Row],[INVERSIONES FCI]])</f>
        <v>4867630960.5872116</v>
      </c>
      <c r="CQ212" s="5">
        <f>IF($B211&lt;=Tabla5[[#This Row],[INVERSIONES FCI]],+Tabla5[[#This Row],[INVERSIONES FCI]]-CQ211,Tabla5[[#This Row],[INVERSIONES FCI]])</f>
        <v>4867630960.5872116</v>
      </c>
      <c r="CR212" s="5">
        <f>IF($B211&lt;=Tabla5[[#This Row],[INVERSIONES FCI]],+Tabla5[[#This Row],[INVERSIONES FCI]]-CR211,Tabla5[[#This Row],[INVERSIONES FCI]])</f>
        <v>4867630960.5872116</v>
      </c>
      <c r="CS212" s="5">
        <f>IF($B211&lt;=Tabla5[[#This Row],[INVERSIONES FCI]],+Tabla5[[#This Row],[INVERSIONES FCI]]-CS211,Tabla5[[#This Row],[INVERSIONES FCI]])</f>
        <v>4867630960.5872116</v>
      </c>
      <c r="CT212" s="5">
        <f>IF($B211&lt;=Tabla5[[#This Row],[INVERSIONES FCI]],+Tabla5[[#This Row],[INVERSIONES FCI]]-CT211,Tabla5[[#This Row],[INVERSIONES FCI]])</f>
        <v>4867630960.5872116</v>
      </c>
      <c r="CU212" s="5">
        <f>IF($B211&lt;=Tabla5[[#This Row],[INVERSIONES FCI]],+Tabla5[[#This Row],[INVERSIONES FCI]]-CU211,Tabla5[[#This Row],[INVERSIONES FCI]])</f>
        <v>4867630960.5872116</v>
      </c>
      <c r="CV212" s="5">
        <f>IF($B211&lt;=Tabla5[[#This Row],[INVERSIONES FCI]],+Tabla5[[#This Row],[INVERSIONES FCI]]-CV211,Tabla5[[#This Row],[INVERSIONES FCI]])</f>
        <v>4867630960.5872116</v>
      </c>
      <c r="CW212" s="5">
        <f>IF($B211&lt;=Tabla5[[#This Row],[INVERSIONES FCI]],+Tabla5[[#This Row],[INVERSIONES FCI]]-CW211,Tabla5[[#This Row],[INVERSIONES FCI]])</f>
        <v>4867630960.5872116</v>
      </c>
      <c r="CX212" s="5">
        <f>IF($B211&lt;=Tabla5[[#This Row],[INVERSIONES FCI]],+Tabla5[[#This Row],[INVERSIONES FCI]]-CX211,Tabla5[[#This Row],[INVERSIONES FCI]])</f>
        <v>4867630960.5872116</v>
      </c>
      <c r="CY212" s="5">
        <f>IF($B211&lt;=Tabla5[[#This Row],[INVERSIONES FCI]],+Tabla5[[#This Row],[INVERSIONES FCI]]-CY211,Tabla5[[#This Row],[INVERSIONES FCI]])</f>
        <v>4867630960.5872116</v>
      </c>
      <c r="CZ212" s="5">
        <f>IF($B211&lt;=Tabla5[[#This Row],[INVERSIONES FCI]],+Tabla5[[#This Row],[INVERSIONES FCI]]-CZ211,Tabla5[[#This Row],[INVERSIONES FCI]])</f>
        <v>4867630960.5872116</v>
      </c>
      <c r="DA212" s="5">
        <f>IF($B211&lt;=Tabla5[[#This Row],[INVERSIONES FCI]],+Tabla5[[#This Row],[INVERSIONES FCI]]-DA211,Tabla5[[#This Row],[INVERSIONES FCI]])</f>
        <v>4867630960.5872116</v>
      </c>
      <c r="DB212" s="5">
        <f>IF($B211&lt;=Tabla5[[#This Row],[INVERSIONES FCI]],+Tabla5[[#This Row],[INVERSIONES FCI]]-DB211,Tabla5[[#This Row],[INVERSIONES FCI]])</f>
        <v>4867630960.5872116</v>
      </c>
      <c r="DC212" s="5">
        <f>IF($B211&lt;=Tabla5[[#This Row],[INVERSIONES FCI]],+Tabla5[[#This Row],[INVERSIONES FCI]]-DC211,Tabla5[[#This Row],[INVERSIONES FCI]])</f>
        <v>4867630960.5872116</v>
      </c>
      <c r="DD212" s="5">
        <f>IF($B211&lt;=Tabla5[[#This Row],[INVERSIONES FCI]],+Tabla5[[#This Row],[INVERSIONES FCI]]-DD211,Tabla5[[#This Row],[INVERSIONES FCI]])</f>
        <v>4867630960.5872116</v>
      </c>
      <c r="DE212" s="5">
        <f>IF($B211&lt;=Tabla5[[#This Row],[INVERSIONES FCI]],+Tabla5[[#This Row],[INVERSIONES FCI]]-DE211,Tabla5[[#This Row],[INVERSIONES FCI]])</f>
        <v>4867630960.5872116</v>
      </c>
      <c r="DF212" s="5">
        <f>IF($B211&lt;=Tabla5[[#This Row],[INVERSIONES FCI]],+Tabla5[[#This Row],[INVERSIONES FCI]]-DF211,Tabla5[[#This Row],[INVERSIONES FCI]])</f>
        <v>4867630960.5872116</v>
      </c>
      <c r="DG212" s="5">
        <f>IF($B211&lt;=Tabla5[[#This Row],[INVERSIONES FCI]],+Tabla5[[#This Row],[INVERSIONES FCI]]-DG211,Tabla5[[#This Row],[INVERSIONES FCI]])</f>
        <v>4867630960.5872116</v>
      </c>
      <c r="DH212" s="5">
        <f>IF($B211&lt;=Tabla5[[#This Row],[INVERSIONES FCI]],+Tabla5[[#This Row],[INVERSIONES FCI]]-DH211,Tabla5[[#This Row],[INVERSIONES FCI]])</f>
        <v>4867630960.5872116</v>
      </c>
      <c r="DI212" s="5">
        <f>IF($B211&lt;=Tabla5[[#This Row],[INVERSIONES FCI]],+Tabla5[[#This Row],[INVERSIONES FCI]]-DI211,Tabla5[[#This Row],[INVERSIONES FCI]])</f>
        <v>4867630960.5872116</v>
      </c>
      <c r="DJ212" s="5">
        <f>IF($B211&lt;=Tabla5[[#This Row],[INVERSIONES FCI]],+Tabla5[[#This Row],[INVERSIONES FCI]]-DJ211,Tabla5[[#This Row],[INVERSIONES FCI]])</f>
        <v>4867630960.5872116</v>
      </c>
      <c r="DK212" s="5">
        <f>IF($B211&lt;=Tabla5[[#This Row],[INVERSIONES FCI]],+Tabla5[[#This Row],[INVERSIONES FCI]]-DK211,Tabla5[[#This Row],[INVERSIONES FCI]])</f>
        <v>4867630960.5872116</v>
      </c>
      <c r="DL212" s="5"/>
      <c r="DM212" s="5"/>
      <c r="DN212" s="5"/>
      <c r="DO212" s="5"/>
      <c r="DP212" s="5"/>
      <c r="DQ212" s="5"/>
    </row>
    <row r="213" spans="1:121" ht="14.4">
      <c r="A213" s="12" t="s">
        <v>212</v>
      </c>
      <c r="B213" s="5">
        <f>HLOOKUP($A213,ESCENARIO[#All],7,FALSE)</f>
        <v>26544541283.780567</v>
      </c>
      <c r="C213" s="5">
        <f>IF($B212&lt;=Tabla5[[#This Row],[INVERSIONES FCI]],+Tabla5[[#This Row],[INVERSIONES FCI]]-C212,Tabla5[[#This Row],[INVERSIONES FCI]])</f>
        <v>26544541283.780567</v>
      </c>
      <c r="D213" s="5">
        <f>IF($B212&lt;=Tabla5[[#This Row],[INVERSIONES FCI]],+Tabla5[[#This Row],[INVERSIONES FCI]]-D212,Tabla5[[#This Row],[INVERSIONES FCI]])</f>
        <v>26544541283.780567</v>
      </c>
      <c r="E213" s="5">
        <f>IF($B212&lt;=Tabla5[[#This Row],[INVERSIONES FCI]],+Tabla5[[#This Row],[INVERSIONES FCI]]-E212,Tabla5[[#This Row],[INVERSIONES FCI]])</f>
        <v>26544541283.780567</v>
      </c>
      <c r="F213" s="5">
        <f>IF($B212&lt;=Tabla5[[#This Row],[INVERSIONES FCI]],+Tabla5[[#This Row],[INVERSIONES FCI]]-F212,Tabla5[[#This Row],[INVERSIONES FCI]])</f>
        <v>26544541283.780567</v>
      </c>
      <c r="G213" s="5">
        <f>IF($B212&lt;=Tabla5[[#This Row],[INVERSIONES FCI]],+Tabla5[[#This Row],[INVERSIONES FCI]]-G212,Tabla5[[#This Row],[INVERSIONES FCI]])</f>
        <v>26544541283.780567</v>
      </c>
      <c r="H213" s="5">
        <f>IF($B212&lt;=Tabla5[[#This Row],[INVERSIONES FCI]],+Tabla5[[#This Row],[INVERSIONES FCI]]-H212,Tabla5[[#This Row],[INVERSIONES FCI]])</f>
        <v>26544541283.780567</v>
      </c>
      <c r="I213" s="5">
        <f>IF($B212&lt;=Tabla5[[#This Row],[INVERSIONES FCI]],+Tabla5[[#This Row],[INVERSIONES FCI]]-I212,Tabla5[[#This Row],[INVERSIONES FCI]])</f>
        <v>26544541283.780567</v>
      </c>
      <c r="J213" s="5">
        <f>IF($B212&lt;=Tabla5[[#This Row],[INVERSIONES FCI]],+Tabla5[[#This Row],[INVERSIONES FCI]]-J212,Tabla5[[#This Row],[INVERSIONES FCI]])</f>
        <v>26544541283.780567</v>
      </c>
      <c r="K213" s="5">
        <f>IF($B212&lt;=Tabla5[[#This Row],[INVERSIONES FCI]],+Tabla5[[#This Row],[INVERSIONES FCI]]-K212,Tabla5[[#This Row],[INVERSIONES FCI]])</f>
        <v>26544541283.780567</v>
      </c>
      <c r="L213" s="5">
        <f>IF($B212&lt;=Tabla5[[#This Row],[INVERSIONES FCI]],+Tabla5[[#This Row],[INVERSIONES FCI]]-L212,Tabla5[[#This Row],[INVERSIONES FCI]])</f>
        <v>26544541283.780567</v>
      </c>
      <c r="M213" s="5">
        <f>IF($B212&lt;=Tabla5[[#This Row],[INVERSIONES FCI]],+Tabla5[[#This Row],[INVERSIONES FCI]]-M212,Tabla5[[#This Row],[INVERSIONES FCI]])</f>
        <v>26544541283.780567</v>
      </c>
      <c r="N213" s="5">
        <f>IF($B212&lt;=Tabla5[[#This Row],[INVERSIONES FCI]],+Tabla5[[#This Row],[INVERSIONES FCI]]-N212,Tabla5[[#This Row],[INVERSIONES FCI]])</f>
        <v>26544541283.780567</v>
      </c>
      <c r="O213" s="5">
        <f>IF($B212&lt;=Tabla5[[#This Row],[INVERSIONES FCI]],+Tabla5[[#This Row],[INVERSIONES FCI]]-O212,Tabla5[[#This Row],[INVERSIONES FCI]])</f>
        <v>26544541283.780567</v>
      </c>
      <c r="P213" s="5">
        <f>IF($B212&lt;=Tabla5[[#This Row],[INVERSIONES FCI]],+Tabla5[[#This Row],[INVERSIONES FCI]]-P212,Tabla5[[#This Row],[INVERSIONES FCI]])</f>
        <v>26544541283.780567</v>
      </c>
      <c r="Q213" s="5">
        <f>IF($B212&lt;=Tabla5[[#This Row],[INVERSIONES FCI]],+Tabla5[[#This Row],[INVERSIONES FCI]]-Q212,Tabla5[[#This Row],[INVERSIONES FCI]])</f>
        <v>26544541283.780567</v>
      </c>
      <c r="R213" s="5">
        <f>IF($B212&lt;=Tabla5[[#This Row],[INVERSIONES FCI]],+Tabla5[[#This Row],[INVERSIONES FCI]]-R212,Tabla5[[#This Row],[INVERSIONES FCI]])</f>
        <v>26544541283.780567</v>
      </c>
      <c r="S213" s="5">
        <f>IF($B212&lt;=Tabla5[[#This Row],[INVERSIONES FCI]],+Tabla5[[#This Row],[INVERSIONES FCI]]-S212,Tabla5[[#This Row],[INVERSIONES FCI]])</f>
        <v>26544541283.780567</v>
      </c>
      <c r="T213" s="5">
        <f>IF($B212&lt;=Tabla5[[#This Row],[INVERSIONES FCI]],+Tabla5[[#This Row],[INVERSIONES FCI]]-T212,Tabla5[[#This Row],[INVERSIONES FCI]])</f>
        <v>26544541283.780567</v>
      </c>
      <c r="U213" s="5">
        <f>IF($B212&lt;=Tabla5[[#This Row],[INVERSIONES FCI]],+Tabla5[[#This Row],[INVERSIONES FCI]]-U212,Tabla5[[#This Row],[INVERSIONES FCI]])</f>
        <v>26544541283.780567</v>
      </c>
      <c r="V213" s="5">
        <f>IF($B212&lt;=Tabla5[[#This Row],[INVERSIONES FCI]],+Tabla5[[#This Row],[INVERSIONES FCI]]-V212,Tabla5[[#This Row],[INVERSIONES FCI]])</f>
        <v>26544541283.780567</v>
      </c>
      <c r="W213" s="5">
        <f>IF($B212&lt;=Tabla5[[#This Row],[INVERSIONES FCI]],+Tabla5[[#This Row],[INVERSIONES FCI]]-W212,Tabla5[[#This Row],[INVERSIONES FCI]])</f>
        <v>26544541283.780567</v>
      </c>
      <c r="X213" s="5">
        <f>IF($B212&lt;=Tabla5[[#This Row],[INVERSIONES FCI]],+Tabla5[[#This Row],[INVERSIONES FCI]]-X212,Tabla5[[#This Row],[INVERSIONES FCI]])</f>
        <v>26544541283.780567</v>
      </c>
      <c r="Y213" s="5">
        <f>IF($B212&lt;=Tabla5[[#This Row],[INVERSIONES FCI]],+Tabla5[[#This Row],[INVERSIONES FCI]]-Y212,Tabla5[[#This Row],[INVERSIONES FCI]])</f>
        <v>26544541283.780567</v>
      </c>
      <c r="Z213" s="5">
        <f>IF($B212&lt;=Tabla5[[#This Row],[INVERSIONES FCI]],+Tabla5[[#This Row],[INVERSIONES FCI]]-Z212,Tabla5[[#This Row],[INVERSIONES FCI]])</f>
        <v>26544541283.780567</v>
      </c>
      <c r="AA213" s="5">
        <f>IF($B212&lt;=Tabla5[[#This Row],[INVERSIONES FCI]],+Tabla5[[#This Row],[INVERSIONES FCI]]-AA212,Tabla5[[#This Row],[INVERSIONES FCI]])</f>
        <v>26544541283.780567</v>
      </c>
      <c r="AB213" s="5">
        <f>IF($B212&lt;=Tabla5[[#This Row],[INVERSIONES FCI]],+Tabla5[[#This Row],[INVERSIONES FCI]]-AB212,Tabla5[[#This Row],[INVERSIONES FCI]])</f>
        <v>26544541283.780567</v>
      </c>
      <c r="AC213" s="5">
        <f>IF($B212&lt;=Tabla5[[#This Row],[INVERSIONES FCI]],+Tabla5[[#This Row],[INVERSIONES FCI]]-AC212,Tabla5[[#This Row],[INVERSIONES FCI]])</f>
        <v>26544541283.780567</v>
      </c>
      <c r="AD213" s="5">
        <f>IF($B212&lt;=Tabla5[[#This Row],[INVERSIONES FCI]],+Tabla5[[#This Row],[INVERSIONES FCI]]-AD212,Tabla5[[#This Row],[INVERSIONES FCI]])</f>
        <v>26544541283.780567</v>
      </c>
      <c r="AE213" s="5">
        <f>IF($B212&lt;=Tabla5[[#This Row],[INVERSIONES FCI]],+Tabla5[[#This Row],[INVERSIONES FCI]]-AE212,Tabla5[[#This Row],[INVERSIONES FCI]])</f>
        <v>26544541283.780567</v>
      </c>
      <c r="AF213" s="5">
        <f>IF($B212&lt;=Tabla5[[#This Row],[INVERSIONES FCI]],+Tabla5[[#This Row],[INVERSIONES FCI]]-AF212,Tabla5[[#This Row],[INVERSIONES FCI]])</f>
        <v>26544541283.780567</v>
      </c>
      <c r="AG213" s="5">
        <f>IF($B212&lt;=Tabla5[[#This Row],[INVERSIONES FCI]],+Tabla5[[#This Row],[INVERSIONES FCI]]-AG212,Tabla5[[#This Row],[INVERSIONES FCI]])</f>
        <v>26544541283.780567</v>
      </c>
      <c r="AH213" s="5">
        <f>IF($B212&lt;=Tabla5[[#This Row],[INVERSIONES FCI]],+Tabla5[[#This Row],[INVERSIONES FCI]]-AH212,Tabla5[[#This Row],[INVERSIONES FCI]])</f>
        <v>26544541283.780567</v>
      </c>
      <c r="AI213" s="5">
        <f>IF($B212&lt;=Tabla5[[#This Row],[INVERSIONES FCI]],+Tabla5[[#This Row],[INVERSIONES FCI]]-AI212,Tabla5[[#This Row],[INVERSIONES FCI]])</f>
        <v>26544541283.780567</v>
      </c>
      <c r="AJ213" s="5">
        <f>IF($B212&lt;=Tabla5[[#This Row],[INVERSIONES FCI]],+Tabla5[[#This Row],[INVERSIONES FCI]]-AJ212,Tabla5[[#This Row],[INVERSIONES FCI]])</f>
        <v>26544541283.780567</v>
      </c>
      <c r="AK213" s="5">
        <f>IF($B212&lt;=Tabla5[[#This Row],[INVERSIONES FCI]],+Tabla5[[#This Row],[INVERSIONES FCI]]-AK212,Tabla5[[#This Row],[INVERSIONES FCI]])</f>
        <v>26544541283.780567</v>
      </c>
      <c r="AL213" s="5">
        <f>IF($B212&lt;=Tabla5[[#This Row],[INVERSIONES FCI]],+Tabla5[[#This Row],[INVERSIONES FCI]]-AL212,Tabla5[[#This Row],[INVERSIONES FCI]])</f>
        <v>26544541283.780567</v>
      </c>
      <c r="AM213" s="5">
        <f>IF($B212&lt;=Tabla5[[#This Row],[INVERSIONES FCI]],+Tabla5[[#This Row],[INVERSIONES FCI]]-AM212,Tabla5[[#This Row],[INVERSIONES FCI]])</f>
        <v>26544541283.780567</v>
      </c>
      <c r="AN213" s="5">
        <f>IF($B212&lt;=Tabla5[[#This Row],[INVERSIONES FCI]],+Tabla5[[#This Row],[INVERSIONES FCI]]-AN212,Tabla5[[#This Row],[INVERSIONES FCI]])</f>
        <v>26544541283.780567</v>
      </c>
      <c r="AO213" s="5">
        <f>IF($B212&lt;=Tabla5[[#This Row],[INVERSIONES FCI]],+Tabla5[[#This Row],[INVERSIONES FCI]]-AO212,Tabla5[[#This Row],[INVERSIONES FCI]])</f>
        <v>26544541283.780567</v>
      </c>
      <c r="AP213" s="5">
        <f>IF($B212&lt;=Tabla5[[#This Row],[INVERSIONES FCI]],+Tabla5[[#This Row],[INVERSIONES FCI]]-AP212,Tabla5[[#This Row],[INVERSIONES FCI]])</f>
        <v>26544541283.780567</v>
      </c>
      <c r="AQ213" s="5">
        <f>IF($B212&lt;=Tabla5[[#This Row],[INVERSIONES FCI]],+Tabla5[[#This Row],[INVERSIONES FCI]]-AQ212,Tabla5[[#This Row],[INVERSIONES FCI]])</f>
        <v>26544541283.780567</v>
      </c>
      <c r="AR213" s="5">
        <f>IF($B212&lt;=Tabla5[[#This Row],[INVERSIONES FCI]],+Tabla5[[#This Row],[INVERSIONES FCI]]-AR212,Tabla5[[#This Row],[INVERSIONES FCI]])</f>
        <v>26544541283.780567</v>
      </c>
      <c r="AS213" s="5">
        <f>IF($B212&lt;=Tabla5[[#This Row],[INVERSIONES FCI]],+Tabla5[[#This Row],[INVERSIONES FCI]]-AS212,Tabla5[[#This Row],[INVERSIONES FCI]])</f>
        <v>26544541283.780567</v>
      </c>
      <c r="AT213" s="5">
        <f>IF($B212&lt;=Tabla5[[#This Row],[INVERSIONES FCI]],+Tabla5[[#This Row],[INVERSIONES FCI]]-AT212,Tabla5[[#This Row],[INVERSIONES FCI]])</f>
        <v>26544541283.780567</v>
      </c>
      <c r="AU213" s="5">
        <f>IF($B212&lt;=Tabla5[[#This Row],[INVERSIONES FCI]],+Tabla5[[#This Row],[INVERSIONES FCI]]-AU212,Tabla5[[#This Row],[INVERSIONES FCI]])</f>
        <v>26544541283.780567</v>
      </c>
      <c r="AV213" s="5">
        <f>IF($B212&lt;=Tabla5[[#This Row],[INVERSIONES FCI]],+Tabla5[[#This Row],[INVERSIONES FCI]]-AV212,Tabla5[[#This Row],[INVERSIONES FCI]])</f>
        <v>26544541283.780567</v>
      </c>
      <c r="AW213" s="5">
        <f>IF($B212&lt;=Tabla5[[#This Row],[INVERSIONES FCI]],+Tabla5[[#This Row],[INVERSIONES FCI]]-AW212,Tabla5[[#This Row],[INVERSIONES FCI]])</f>
        <v>26544541283.780567</v>
      </c>
      <c r="AX213" s="5">
        <f>IF($B212&lt;=Tabla5[[#This Row],[INVERSIONES FCI]],+Tabla5[[#This Row],[INVERSIONES FCI]]-AX212,Tabla5[[#This Row],[INVERSIONES FCI]])</f>
        <v>26544541283.780567</v>
      </c>
      <c r="AY213" s="5">
        <f>IF($B212&lt;=Tabla5[[#This Row],[INVERSIONES FCI]],+Tabla5[[#This Row],[INVERSIONES FCI]]-AY212,Tabla5[[#This Row],[INVERSIONES FCI]])</f>
        <v>26544541283.780567</v>
      </c>
      <c r="AZ213" s="5">
        <f>IF($B212&lt;=Tabla5[[#This Row],[INVERSIONES FCI]],+Tabla5[[#This Row],[INVERSIONES FCI]]-AZ212,Tabla5[[#This Row],[INVERSIONES FCI]])</f>
        <v>26544541283.780567</v>
      </c>
      <c r="BA213" s="5">
        <f>IF($B212&lt;=Tabla5[[#This Row],[INVERSIONES FCI]],+Tabla5[[#This Row],[INVERSIONES FCI]]-BA212,Tabla5[[#This Row],[INVERSIONES FCI]])</f>
        <v>26544541283.780567</v>
      </c>
      <c r="BB213" s="5">
        <f>IF($B212&lt;=Tabla5[[#This Row],[INVERSIONES FCI]],+Tabla5[[#This Row],[INVERSIONES FCI]]-BB212,Tabla5[[#This Row],[INVERSIONES FCI]])</f>
        <v>26544541283.780567</v>
      </c>
      <c r="BC213" s="5">
        <f>IF($B212&lt;=Tabla5[[#This Row],[INVERSIONES FCI]],+Tabla5[[#This Row],[INVERSIONES FCI]]-BC212,Tabla5[[#This Row],[INVERSIONES FCI]])</f>
        <v>26544541283.780567</v>
      </c>
      <c r="BD213" s="5">
        <f>IF($B212&lt;=Tabla5[[#This Row],[INVERSIONES FCI]],+Tabla5[[#This Row],[INVERSIONES FCI]]-BD212,Tabla5[[#This Row],[INVERSIONES FCI]])</f>
        <v>26544541283.780567</v>
      </c>
      <c r="BE213" s="5">
        <f>IF($B212&lt;=Tabla5[[#This Row],[INVERSIONES FCI]],+Tabla5[[#This Row],[INVERSIONES FCI]]-BE212,Tabla5[[#This Row],[INVERSIONES FCI]])</f>
        <v>26544541283.780567</v>
      </c>
      <c r="BF213" s="5">
        <f>IF($B212&lt;=Tabla5[[#This Row],[INVERSIONES FCI]],+Tabla5[[#This Row],[INVERSIONES FCI]]-BF212,Tabla5[[#This Row],[INVERSIONES FCI]])</f>
        <v>26544541283.780567</v>
      </c>
      <c r="BG213" s="5">
        <f>IF($B212&lt;=Tabla5[[#This Row],[INVERSIONES FCI]],+Tabla5[[#This Row],[INVERSIONES FCI]]-BG212,Tabla5[[#This Row],[INVERSIONES FCI]])</f>
        <v>26544541283.780567</v>
      </c>
      <c r="BH213" s="5">
        <f>IF($B212&lt;=Tabla5[[#This Row],[INVERSIONES FCI]],+Tabla5[[#This Row],[INVERSIONES FCI]]-BH212,Tabla5[[#This Row],[INVERSIONES FCI]])</f>
        <v>26544541283.780567</v>
      </c>
      <c r="BI213" s="5">
        <f>IF($B212&lt;=Tabla5[[#This Row],[INVERSIONES FCI]],+Tabla5[[#This Row],[INVERSIONES FCI]]-BI212,Tabla5[[#This Row],[INVERSIONES FCI]])</f>
        <v>26544541283.780567</v>
      </c>
      <c r="BJ213" s="5">
        <f>IF($B212&lt;=Tabla5[[#This Row],[INVERSIONES FCI]],+Tabla5[[#This Row],[INVERSIONES FCI]]-BJ212,Tabla5[[#This Row],[INVERSIONES FCI]])</f>
        <v>26544541283.780567</v>
      </c>
      <c r="BK213" s="5">
        <f>IF($B212&lt;=Tabla5[[#This Row],[INVERSIONES FCI]],+Tabla5[[#This Row],[INVERSIONES FCI]]-BK212,Tabla5[[#This Row],[INVERSIONES FCI]])</f>
        <v>26544541283.780567</v>
      </c>
      <c r="BL213" s="5">
        <f>IF($B212&lt;=Tabla5[[#This Row],[INVERSIONES FCI]],+Tabla5[[#This Row],[INVERSIONES FCI]]-BL212,Tabla5[[#This Row],[INVERSIONES FCI]])</f>
        <v>26544541283.780567</v>
      </c>
      <c r="BM213" s="5">
        <f>IF($B212&lt;=Tabla5[[#This Row],[INVERSIONES FCI]],+Tabla5[[#This Row],[INVERSIONES FCI]]-BM212,Tabla5[[#This Row],[INVERSIONES FCI]])</f>
        <v>26544541283.780567</v>
      </c>
      <c r="BN213" s="5">
        <f>IF($B212&lt;=Tabla5[[#This Row],[INVERSIONES FCI]],+Tabla5[[#This Row],[INVERSIONES FCI]]-BN212,Tabla5[[#This Row],[INVERSIONES FCI]])</f>
        <v>26544541283.780567</v>
      </c>
      <c r="BO213" s="5">
        <f>IF($B212&lt;=Tabla5[[#This Row],[INVERSIONES FCI]],+Tabla5[[#This Row],[INVERSIONES FCI]]-BO212,Tabla5[[#This Row],[INVERSIONES FCI]])</f>
        <v>26544541283.780567</v>
      </c>
      <c r="BP213" s="5">
        <f>IF($B212&lt;=Tabla5[[#This Row],[INVERSIONES FCI]],+Tabla5[[#This Row],[INVERSIONES FCI]]-BP212,Tabla5[[#This Row],[INVERSIONES FCI]])</f>
        <v>26544541283.780567</v>
      </c>
      <c r="BQ213" s="5">
        <f>IF($B212&lt;=Tabla5[[#This Row],[INVERSIONES FCI]],+Tabla5[[#This Row],[INVERSIONES FCI]]-BQ212,Tabla5[[#This Row],[INVERSIONES FCI]])</f>
        <v>26544541283.780567</v>
      </c>
      <c r="BR213" s="5">
        <f>IF($B212&lt;=Tabla5[[#This Row],[INVERSIONES FCI]],+Tabla5[[#This Row],[INVERSIONES FCI]]-BR212,Tabla5[[#This Row],[INVERSIONES FCI]])</f>
        <v>26544541283.780567</v>
      </c>
      <c r="BS213" s="5">
        <f>IF($B212&lt;=Tabla5[[#This Row],[INVERSIONES FCI]],+Tabla5[[#This Row],[INVERSIONES FCI]]-BS212,Tabla5[[#This Row],[INVERSIONES FCI]])</f>
        <v>26544541283.780567</v>
      </c>
      <c r="BT213" s="5">
        <f>IF($B212&lt;=Tabla5[[#This Row],[INVERSIONES FCI]],+Tabla5[[#This Row],[INVERSIONES FCI]]-BT212,Tabla5[[#This Row],[INVERSIONES FCI]])</f>
        <v>26544541283.780567</v>
      </c>
      <c r="BU213" s="5">
        <f>IF($B212&lt;=Tabla5[[#This Row],[INVERSIONES FCI]],+Tabla5[[#This Row],[INVERSIONES FCI]]-BU212,Tabla5[[#This Row],[INVERSIONES FCI]])</f>
        <v>26544541283.780567</v>
      </c>
      <c r="BV213" s="5">
        <f>IF($B212&lt;=Tabla5[[#This Row],[INVERSIONES FCI]],+Tabla5[[#This Row],[INVERSIONES FCI]]-BV212,Tabla5[[#This Row],[INVERSIONES FCI]])</f>
        <v>26544541283.780567</v>
      </c>
      <c r="BW213" s="5">
        <f>IF($B212&lt;=Tabla5[[#This Row],[INVERSIONES FCI]],+Tabla5[[#This Row],[INVERSIONES FCI]]-BW212,Tabla5[[#This Row],[INVERSIONES FCI]])</f>
        <v>26544541283.780567</v>
      </c>
      <c r="BX213" s="5">
        <f>IF($B212&lt;=Tabla5[[#This Row],[INVERSIONES FCI]],+Tabla5[[#This Row],[INVERSIONES FCI]]-BX212,Tabla5[[#This Row],[INVERSIONES FCI]])</f>
        <v>26544541283.780567</v>
      </c>
      <c r="BY213" s="5">
        <f>IF($B212&lt;=Tabla5[[#This Row],[INVERSIONES FCI]],+Tabla5[[#This Row],[INVERSIONES FCI]]-BY212,Tabla5[[#This Row],[INVERSIONES FCI]])</f>
        <v>26544541283.780567</v>
      </c>
      <c r="BZ213" s="5">
        <f>IF($B212&lt;=Tabla5[[#This Row],[INVERSIONES FCI]],+Tabla5[[#This Row],[INVERSIONES FCI]]-BZ212,Tabla5[[#This Row],[INVERSIONES FCI]])</f>
        <v>26544541283.780567</v>
      </c>
      <c r="CA213" s="5">
        <f>IF($B212&lt;=Tabla5[[#This Row],[INVERSIONES FCI]],+Tabla5[[#This Row],[INVERSIONES FCI]]-CA212,Tabla5[[#This Row],[INVERSIONES FCI]])</f>
        <v>26544541283.780567</v>
      </c>
      <c r="CB213" s="5">
        <f>IF($B212&lt;=Tabla5[[#This Row],[INVERSIONES FCI]],+Tabla5[[#This Row],[INVERSIONES FCI]]-CB212,Tabla5[[#This Row],[INVERSIONES FCI]])</f>
        <v>26544541283.780567</v>
      </c>
      <c r="CC213" s="5">
        <f>IF($B212&lt;=Tabla5[[#This Row],[INVERSIONES FCI]],+Tabla5[[#This Row],[INVERSIONES FCI]]-CC212,Tabla5[[#This Row],[INVERSIONES FCI]])</f>
        <v>26544541283.780567</v>
      </c>
      <c r="CD213" s="5">
        <f>IF($B212&lt;=Tabla5[[#This Row],[INVERSIONES FCI]],+Tabla5[[#This Row],[INVERSIONES FCI]]-CD212,Tabla5[[#This Row],[INVERSIONES FCI]])</f>
        <v>26544541283.780567</v>
      </c>
      <c r="CE213" s="5">
        <f>IF($B212&lt;=Tabla5[[#This Row],[INVERSIONES FCI]],+Tabla5[[#This Row],[INVERSIONES FCI]]-CE212,Tabla5[[#This Row],[INVERSIONES FCI]])</f>
        <v>26544541283.780567</v>
      </c>
      <c r="CF213" s="5">
        <f>IF($B212&lt;=Tabla5[[#This Row],[INVERSIONES FCI]],+Tabla5[[#This Row],[INVERSIONES FCI]]-CF212,Tabla5[[#This Row],[INVERSIONES FCI]])</f>
        <v>26544541283.780567</v>
      </c>
      <c r="CG213" s="5">
        <f>IF($B212&lt;=Tabla5[[#This Row],[INVERSIONES FCI]],+Tabla5[[#This Row],[INVERSIONES FCI]]-CG212,Tabla5[[#This Row],[INVERSIONES FCI]])</f>
        <v>26544541283.780567</v>
      </c>
      <c r="CH213" s="5">
        <f>IF($B212&lt;=Tabla5[[#This Row],[INVERSIONES FCI]],+Tabla5[[#This Row],[INVERSIONES FCI]]-CH212,Tabla5[[#This Row],[INVERSIONES FCI]])</f>
        <v>26544541283.780567</v>
      </c>
      <c r="CI213" s="5">
        <f>IF($B212&lt;=Tabla5[[#This Row],[INVERSIONES FCI]],+Tabla5[[#This Row],[INVERSIONES FCI]]-CI212,Tabla5[[#This Row],[INVERSIONES FCI]])</f>
        <v>26544541283.780567</v>
      </c>
      <c r="CJ213" s="5">
        <f>IF($B212&lt;=Tabla5[[#This Row],[INVERSIONES FCI]],+Tabla5[[#This Row],[INVERSIONES FCI]]-CJ212,Tabla5[[#This Row],[INVERSIONES FCI]])</f>
        <v>26544541283.780567</v>
      </c>
      <c r="CK213" s="5">
        <f>IF($B212&lt;=Tabla5[[#This Row],[INVERSIONES FCI]],+Tabla5[[#This Row],[INVERSIONES FCI]]-CK212,Tabla5[[#This Row],[INVERSIONES FCI]])</f>
        <v>26544541283.780567</v>
      </c>
      <c r="CL213" s="5">
        <f>IF($B212&lt;=Tabla5[[#This Row],[INVERSIONES FCI]],+Tabla5[[#This Row],[INVERSIONES FCI]]-CL212,Tabla5[[#This Row],[INVERSIONES FCI]])</f>
        <v>26544541283.780567</v>
      </c>
      <c r="CM213" s="5">
        <f>IF($B212&lt;=Tabla5[[#This Row],[INVERSIONES FCI]],+Tabla5[[#This Row],[INVERSIONES FCI]]-CM212,Tabla5[[#This Row],[INVERSIONES FCI]])</f>
        <v>26544541283.780567</v>
      </c>
      <c r="CN213" s="5">
        <f>IF($B212&lt;=Tabla5[[#This Row],[INVERSIONES FCI]],+Tabla5[[#This Row],[INVERSIONES FCI]]-CN212,Tabla5[[#This Row],[INVERSIONES FCI]])</f>
        <v>26544541283.780567</v>
      </c>
      <c r="CO213" s="5">
        <f>IF($B212&lt;=Tabla5[[#This Row],[INVERSIONES FCI]],+Tabla5[[#This Row],[INVERSIONES FCI]]-CO212,Tabla5[[#This Row],[INVERSIONES FCI]])</f>
        <v>26544541283.780567</v>
      </c>
      <c r="CP213" s="5">
        <f>IF($B212&lt;=Tabla5[[#This Row],[INVERSIONES FCI]],+Tabla5[[#This Row],[INVERSIONES FCI]]-CP212,Tabla5[[#This Row],[INVERSIONES FCI]])</f>
        <v>26544541283.780567</v>
      </c>
      <c r="CQ213" s="5">
        <f>IF($B212&lt;=Tabla5[[#This Row],[INVERSIONES FCI]],+Tabla5[[#This Row],[INVERSIONES FCI]]-CQ212,Tabla5[[#This Row],[INVERSIONES FCI]])</f>
        <v>26544541283.780567</v>
      </c>
      <c r="CR213" s="5">
        <f>IF($B212&lt;=Tabla5[[#This Row],[INVERSIONES FCI]],+Tabla5[[#This Row],[INVERSIONES FCI]]-CR212,Tabla5[[#This Row],[INVERSIONES FCI]])</f>
        <v>26544541283.780567</v>
      </c>
      <c r="CS213" s="5">
        <f>IF($B212&lt;=Tabla5[[#This Row],[INVERSIONES FCI]],+Tabla5[[#This Row],[INVERSIONES FCI]]-CS212,Tabla5[[#This Row],[INVERSIONES FCI]])</f>
        <v>26544541283.780567</v>
      </c>
      <c r="CT213" s="5">
        <f>IF($B212&lt;=Tabla5[[#This Row],[INVERSIONES FCI]],+Tabla5[[#This Row],[INVERSIONES FCI]]-CT212,Tabla5[[#This Row],[INVERSIONES FCI]])</f>
        <v>26544541283.780567</v>
      </c>
      <c r="CU213" s="5">
        <f>IF($B212&lt;=Tabla5[[#This Row],[INVERSIONES FCI]],+Tabla5[[#This Row],[INVERSIONES FCI]]-CU212,Tabla5[[#This Row],[INVERSIONES FCI]])</f>
        <v>26544541283.780567</v>
      </c>
      <c r="CV213" s="5">
        <f>IF($B212&lt;=Tabla5[[#This Row],[INVERSIONES FCI]],+Tabla5[[#This Row],[INVERSIONES FCI]]-CV212,Tabla5[[#This Row],[INVERSIONES FCI]])</f>
        <v>26544541283.780567</v>
      </c>
      <c r="CW213" s="5">
        <f>IF($B212&lt;=Tabla5[[#This Row],[INVERSIONES FCI]],+Tabla5[[#This Row],[INVERSIONES FCI]]-CW212,Tabla5[[#This Row],[INVERSIONES FCI]])</f>
        <v>26544541283.780567</v>
      </c>
      <c r="CX213" s="5">
        <f>IF($B212&lt;=Tabla5[[#This Row],[INVERSIONES FCI]],+Tabla5[[#This Row],[INVERSIONES FCI]]-CX212,Tabla5[[#This Row],[INVERSIONES FCI]])</f>
        <v>26544541283.780567</v>
      </c>
      <c r="CY213" s="5">
        <f>IF($B212&lt;=Tabla5[[#This Row],[INVERSIONES FCI]],+Tabla5[[#This Row],[INVERSIONES FCI]]-CY212,Tabla5[[#This Row],[INVERSIONES FCI]])</f>
        <v>26544541283.780567</v>
      </c>
      <c r="CZ213" s="5">
        <f>IF($B212&lt;=Tabla5[[#This Row],[INVERSIONES FCI]],+Tabla5[[#This Row],[INVERSIONES FCI]]-CZ212,Tabla5[[#This Row],[INVERSIONES FCI]])</f>
        <v>26544541283.780567</v>
      </c>
      <c r="DA213" s="5">
        <f>IF($B212&lt;=Tabla5[[#This Row],[INVERSIONES FCI]],+Tabla5[[#This Row],[INVERSIONES FCI]]-DA212,Tabla5[[#This Row],[INVERSIONES FCI]])</f>
        <v>26544541283.780567</v>
      </c>
      <c r="DB213" s="5">
        <f>IF($B212&lt;=Tabla5[[#This Row],[INVERSIONES FCI]],+Tabla5[[#This Row],[INVERSIONES FCI]]-DB212,Tabla5[[#This Row],[INVERSIONES FCI]])</f>
        <v>26544541283.780567</v>
      </c>
      <c r="DC213" s="5">
        <f>IF($B212&lt;=Tabla5[[#This Row],[INVERSIONES FCI]],+Tabla5[[#This Row],[INVERSIONES FCI]]-DC212,Tabla5[[#This Row],[INVERSIONES FCI]])</f>
        <v>26544541283.780567</v>
      </c>
      <c r="DD213" s="5">
        <f>IF($B212&lt;=Tabla5[[#This Row],[INVERSIONES FCI]],+Tabla5[[#This Row],[INVERSIONES FCI]]-DD212,Tabla5[[#This Row],[INVERSIONES FCI]])</f>
        <v>26544541283.780567</v>
      </c>
      <c r="DE213" s="5">
        <f>IF($B212&lt;=Tabla5[[#This Row],[INVERSIONES FCI]],+Tabla5[[#This Row],[INVERSIONES FCI]]-DE212,Tabla5[[#This Row],[INVERSIONES FCI]])</f>
        <v>26544541283.780567</v>
      </c>
      <c r="DF213" s="5">
        <f>IF($B212&lt;=Tabla5[[#This Row],[INVERSIONES FCI]],+Tabla5[[#This Row],[INVERSIONES FCI]]-DF212,Tabla5[[#This Row],[INVERSIONES FCI]])</f>
        <v>26544541283.780567</v>
      </c>
      <c r="DG213" s="5">
        <f>IF($B212&lt;=Tabla5[[#This Row],[INVERSIONES FCI]],+Tabla5[[#This Row],[INVERSIONES FCI]]-DG212,Tabla5[[#This Row],[INVERSIONES FCI]])</f>
        <v>26544541283.780567</v>
      </c>
      <c r="DH213" s="5">
        <f>IF($B212&lt;=Tabla5[[#This Row],[INVERSIONES FCI]],+Tabla5[[#This Row],[INVERSIONES FCI]]-DH212,Tabla5[[#This Row],[INVERSIONES FCI]])</f>
        <v>26544541283.780567</v>
      </c>
      <c r="DI213" s="5">
        <f>IF($B212&lt;=Tabla5[[#This Row],[INVERSIONES FCI]],+Tabla5[[#This Row],[INVERSIONES FCI]]-DI212,Tabla5[[#This Row],[INVERSIONES FCI]])</f>
        <v>26544541283.780567</v>
      </c>
      <c r="DJ213" s="5">
        <f>IF($B212&lt;=Tabla5[[#This Row],[INVERSIONES FCI]],+Tabla5[[#This Row],[INVERSIONES FCI]]-DJ212,Tabla5[[#This Row],[INVERSIONES FCI]])</f>
        <v>26544541283.780567</v>
      </c>
      <c r="DK213" s="5">
        <f>IF($B212&lt;=Tabla5[[#This Row],[INVERSIONES FCI]],+Tabla5[[#This Row],[INVERSIONES FCI]]-DK212,Tabla5[[#This Row],[INVERSIONES FCI]])</f>
        <v>26544541283.780567</v>
      </c>
      <c r="DL213" s="5"/>
      <c r="DM213" s="5"/>
      <c r="DN213" s="5"/>
      <c r="DO213" s="5"/>
      <c r="DP213" s="5"/>
      <c r="DQ213" s="5"/>
    </row>
    <row r="214" spans="1:121" ht="14.4">
      <c r="A214" s="12" t="s">
        <v>213</v>
      </c>
      <c r="B214" s="5">
        <f>HLOOKUP($A214,ESCENARIO[#All],7,FALSE)</f>
        <v>27748045742.398098</v>
      </c>
      <c r="C214" s="5">
        <f>IF($B213&lt;=Tabla5[[#This Row],[INVERSIONES FCI]],+Tabla5[[#This Row],[INVERSIONES FCI]]-C213,Tabla5[[#This Row],[INVERSIONES FCI]])</f>
        <v>1203504458.6175308</v>
      </c>
      <c r="D214" s="5">
        <f>IF($B213&lt;=Tabla5[[#This Row],[INVERSIONES FCI]],+Tabla5[[#This Row],[INVERSIONES FCI]]-D213,Tabla5[[#This Row],[INVERSIONES FCI]])</f>
        <v>1203504458.6175308</v>
      </c>
      <c r="E214" s="5">
        <f>IF($B213&lt;=Tabla5[[#This Row],[INVERSIONES FCI]],+Tabla5[[#This Row],[INVERSIONES FCI]]-E213,Tabla5[[#This Row],[INVERSIONES FCI]])</f>
        <v>1203504458.6175308</v>
      </c>
      <c r="F214" s="5">
        <f>IF($B213&lt;=Tabla5[[#This Row],[INVERSIONES FCI]],+Tabla5[[#This Row],[INVERSIONES FCI]]-F213,Tabla5[[#This Row],[INVERSIONES FCI]])</f>
        <v>1203504458.6175308</v>
      </c>
      <c r="G214" s="5">
        <f>IF($B213&lt;=Tabla5[[#This Row],[INVERSIONES FCI]],+Tabla5[[#This Row],[INVERSIONES FCI]]-G213,Tabla5[[#This Row],[INVERSIONES FCI]])</f>
        <v>1203504458.6175308</v>
      </c>
      <c r="H214" s="5">
        <f>IF($B213&lt;=Tabla5[[#This Row],[INVERSIONES FCI]],+Tabla5[[#This Row],[INVERSIONES FCI]]-H213,Tabla5[[#This Row],[INVERSIONES FCI]])</f>
        <v>1203504458.6175308</v>
      </c>
      <c r="I214" s="5">
        <f>IF($B213&lt;=Tabla5[[#This Row],[INVERSIONES FCI]],+Tabla5[[#This Row],[INVERSIONES FCI]]-I213,Tabla5[[#This Row],[INVERSIONES FCI]])</f>
        <v>1203504458.6175308</v>
      </c>
      <c r="J214" s="5">
        <f>IF($B213&lt;=Tabla5[[#This Row],[INVERSIONES FCI]],+Tabla5[[#This Row],[INVERSIONES FCI]]-J213,Tabla5[[#This Row],[INVERSIONES FCI]])</f>
        <v>1203504458.6175308</v>
      </c>
      <c r="K214" s="5">
        <f>IF($B213&lt;=Tabla5[[#This Row],[INVERSIONES FCI]],+Tabla5[[#This Row],[INVERSIONES FCI]]-K213,Tabla5[[#This Row],[INVERSIONES FCI]])</f>
        <v>1203504458.6175308</v>
      </c>
      <c r="L214" s="5">
        <f>IF($B213&lt;=Tabla5[[#This Row],[INVERSIONES FCI]],+Tabla5[[#This Row],[INVERSIONES FCI]]-L213,Tabla5[[#This Row],[INVERSIONES FCI]])</f>
        <v>1203504458.6175308</v>
      </c>
      <c r="M214" s="5">
        <f>IF($B213&lt;=Tabla5[[#This Row],[INVERSIONES FCI]],+Tabla5[[#This Row],[INVERSIONES FCI]]-M213,Tabla5[[#This Row],[INVERSIONES FCI]])</f>
        <v>1203504458.6175308</v>
      </c>
      <c r="N214" s="5">
        <f>IF($B213&lt;=Tabla5[[#This Row],[INVERSIONES FCI]],+Tabla5[[#This Row],[INVERSIONES FCI]]-N213,Tabla5[[#This Row],[INVERSIONES FCI]])</f>
        <v>1203504458.6175308</v>
      </c>
      <c r="O214" s="5">
        <f>IF($B213&lt;=Tabla5[[#This Row],[INVERSIONES FCI]],+Tabla5[[#This Row],[INVERSIONES FCI]]-O213,Tabla5[[#This Row],[INVERSIONES FCI]])</f>
        <v>1203504458.6175308</v>
      </c>
      <c r="P214" s="5">
        <f>IF($B213&lt;=Tabla5[[#This Row],[INVERSIONES FCI]],+Tabla5[[#This Row],[INVERSIONES FCI]]-P213,Tabla5[[#This Row],[INVERSIONES FCI]])</f>
        <v>1203504458.6175308</v>
      </c>
      <c r="Q214" s="5">
        <f>IF($B213&lt;=Tabla5[[#This Row],[INVERSIONES FCI]],+Tabla5[[#This Row],[INVERSIONES FCI]]-Q213,Tabla5[[#This Row],[INVERSIONES FCI]])</f>
        <v>1203504458.6175308</v>
      </c>
      <c r="R214" s="5">
        <f>IF($B213&lt;=Tabla5[[#This Row],[INVERSIONES FCI]],+Tabla5[[#This Row],[INVERSIONES FCI]]-R213,Tabla5[[#This Row],[INVERSIONES FCI]])</f>
        <v>1203504458.6175308</v>
      </c>
      <c r="S214" s="5">
        <f>IF($B213&lt;=Tabla5[[#This Row],[INVERSIONES FCI]],+Tabla5[[#This Row],[INVERSIONES FCI]]-S213,Tabla5[[#This Row],[INVERSIONES FCI]])</f>
        <v>1203504458.6175308</v>
      </c>
      <c r="T214" s="5">
        <f>IF($B213&lt;=Tabla5[[#This Row],[INVERSIONES FCI]],+Tabla5[[#This Row],[INVERSIONES FCI]]-T213,Tabla5[[#This Row],[INVERSIONES FCI]])</f>
        <v>1203504458.6175308</v>
      </c>
      <c r="U214" s="5">
        <f>IF($B213&lt;=Tabla5[[#This Row],[INVERSIONES FCI]],+Tabla5[[#This Row],[INVERSIONES FCI]]-U213,Tabla5[[#This Row],[INVERSIONES FCI]])</f>
        <v>1203504458.6175308</v>
      </c>
      <c r="V214" s="5">
        <f>IF($B213&lt;=Tabla5[[#This Row],[INVERSIONES FCI]],+Tabla5[[#This Row],[INVERSIONES FCI]]-V213,Tabla5[[#This Row],[INVERSIONES FCI]])</f>
        <v>1203504458.6175308</v>
      </c>
      <c r="W214" s="5">
        <f>IF($B213&lt;=Tabla5[[#This Row],[INVERSIONES FCI]],+Tabla5[[#This Row],[INVERSIONES FCI]]-W213,Tabla5[[#This Row],[INVERSIONES FCI]])</f>
        <v>1203504458.6175308</v>
      </c>
      <c r="X214" s="5">
        <f>IF($B213&lt;=Tabla5[[#This Row],[INVERSIONES FCI]],+Tabla5[[#This Row],[INVERSIONES FCI]]-X213,Tabla5[[#This Row],[INVERSIONES FCI]])</f>
        <v>1203504458.6175308</v>
      </c>
      <c r="Y214" s="5">
        <f>IF($B213&lt;=Tabla5[[#This Row],[INVERSIONES FCI]],+Tabla5[[#This Row],[INVERSIONES FCI]]-Y213,Tabla5[[#This Row],[INVERSIONES FCI]])</f>
        <v>1203504458.6175308</v>
      </c>
      <c r="Z214" s="5">
        <f>IF($B213&lt;=Tabla5[[#This Row],[INVERSIONES FCI]],+Tabla5[[#This Row],[INVERSIONES FCI]]-Z213,Tabla5[[#This Row],[INVERSIONES FCI]])</f>
        <v>1203504458.6175308</v>
      </c>
      <c r="AA214" s="5">
        <f>IF($B213&lt;=Tabla5[[#This Row],[INVERSIONES FCI]],+Tabla5[[#This Row],[INVERSIONES FCI]]-AA213,Tabla5[[#This Row],[INVERSIONES FCI]])</f>
        <v>1203504458.6175308</v>
      </c>
      <c r="AB214" s="5">
        <f>IF($B213&lt;=Tabla5[[#This Row],[INVERSIONES FCI]],+Tabla5[[#This Row],[INVERSIONES FCI]]-AB213,Tabla5[[#This Row],[INVERSIONES FCI]])</f>
        <v>1203504458.6175308</v>
      </c>
      <c r="AC214" s="5">
        <f>IF($B213&lt;=Tabla5[[#This Row],[INVERSIONES FCI]],+Tabla5[[#This Row],[INVERSIONES FCI]]-AC213,Tabla5[[#This Row],[INVERSIONES FCI]])</f>
        <v>1203504458.6175308</v>
      </c>
      <c r="AD214" s="5">
        <f>IF($B213&lt;=Tabla5[[#This Row],[INVERSIONES FCI]],+Tabla5[[#This Row],[INVERSIONES FCI]]-AD213,Tabla5[[#This Row],[INVERSIONES FCI]])</f>
        <v>1203504458.6175308</v>
      </c>
      <c r="AE214" s="5">
        <f>IF($B213&lt;=Tabla5[[#This Row],[INVERSIONES FCI]],+Tabla5[[#This Row],[INVERSIONES FCI]]-AE213,Tabla5[[#This Row],[INVERSIONES FCI]])</f>
        <v>1203504458.6175308</v>
      </c>
      <c r="AF214" s="5">
        <f>IF($B213&lt;=Tabla5[[#This Row],[INVERSIONES FCI]],+Tabla5[[#This Row],[INVERSIONES FCI]]-AF213,Tabla5[[#This Row],[INVERSIONES FCI]])</f>
        <v>1203504458.6175308</v>
      </c>
      <c r="AG214" s="5">
        <f>IF($B213&lt;=Tabla5[[#This Row],[INVERSIONES FCI]],+Tabla5[[#This Row],[INVERSIONES FCI]]-AG213,Tabla5[[#This Row],[INVERSIONES FCI]])</f>
        <v>1203504458.6175308</v>
      </c>
      <c r="AH214" s="5">
        <f>IF($B213&lt;=Tabla5[[#This Row],[INVERSIONES FCI]],+Tabla5[[#This Row],[INVERSIONES FCI]]-AH213,Tabla5[[#This Row],[INVERSIONES FCI]])</f>
        <v>1203504458.6175308</v>
      </c>
      <c r="AI214" s="5">
        <f>IF($B213&lt;=Tabla5[[#This Row],[INVERSIONES FCI]],+Tabla5[[#This Row],[INVERSIONES FCI]]-AI213,Tabla5[[#This Row],[INVERSIONES FCI]])</f>
        <v>1203504458.6175308</v>
      </c>
      <c r="AJ214" s="5">
        <f>IF($B213&lt;=Tabla5[[#This Row],[INVERSIONES FCI]],+Tabla5[[#This Row],[INVERSIONES FCI]]-AJ213,Tabla5[[#This Row],[INVERSIONES FCI]])</f>
        <v>1203504458.6175308</v>
      </c>
      <c r="AK214" s="5">
        <f>IF($B213&lt;=Tabla5[[#This Row],[INVERSIONES FCI]],+Tabla5[[#This Row],[INVERSIONES FCI]]-AK213,Tabla5[[#This Row],[INVERSIONES FCI]])</f>
        <v>1203504458.6175308</v>
      </c>
      <c r="AL214" s="5">
        <f>IF($B213&lt;=Tabla5[[#This Row],[INVERSIONES FCI]],+Tabla5[[#This Row],[INVERSIONES FCI]]-AL213,Tabla5[[#This Row],[INVERSIONES FCI]])</f>
        <v>1203504458.6175308</v>
      </c>
      <c r="AM214" s="5">
        <f>IF($B213&lt;=Tabla5[[#This Row],[INVERSIONES FCI]],+Tabla5[[#This Row],[INVERSIONES FCI]]-AM213,Tabla5[[#This Row],[INVERSIONES FCI]])</f>
        <v>1203504458.6175308</v>
      </c>
      <c r="AN214" s="5">
        <f>IF($B213&lt;=Tabla5[[#This Row],[INVERSIONES FCI]],+Tabla5[[#This Row],[INVERSIONES FCI]]-AN213,Tabla5[[#This Row],[INVERSIONES FCI]])</f>
        <v>1203504458.6175308</v>
      </c>
      <c r="AO214" s="5">
        <f>IF($B213&lt;=Tabla5[[#This Row],[INVERSIONES FCI]],+Tabla5[[#This Row],[INVERSIONES FCI]]-AO213,Tabla5[[#This Row],[INVERSIONES FCI]])</f>
        <v>1203504458.6175308</v>
      </c>
      <c r="AP214" s="5">
        <f>IF($B213&lt;=Tabla5[[#This Row],[INVERSIONES FCI]],+Tabla5[[#This Row],[INVERSIONES FCI]]-AP213,Tabla5[[#This Row],[INVERSIONES FCI]])</f>
        <v>1203504458.6175308</v>
      </c>
      <c r="AQ214" s="5">
        <f>IF($B213&lt;=Tabla5[[#This Row],[INVERSIONES FCI]],+Tabla5[[#This Row],[INVERSIONES FCI]]-AQ213,Tabla5[[#This Row],[INVERSIONES FCI]])</f>
        <v>1203504458.6175308</v>
      </c>
      <c r="AR214" s="5">
        <f>IF($B213&lt;=Tabla5[[#This Row],[INVERSIONES FCI]],+Tabla5[[#This Row],[INVERSIONES FCI]]-AR213,Tabla5[[#This Row],[INVERSIONES FCI]])</f>
        <v>1203504458.6175308</v>
      </c>
      <c r="AS214" s="5">
        <f>IF($B213&lt;=Tabla5[[#This Row],[INVERSIONES FCI]],+Tabla5[[#This Row],[INVERSIONES FCI]]-AS213,Tabla5[[#This Row],[INVERSIONES FCI]])</f>
        <v>1203504458.6175308</v>
      </c>
      <c r="AT214" s="5">
        <f>IF($B213&lt;=Tabla5[[#This Row],[INVERSIONES FCI]],+Tabla5[[#This Row],[INVERSIONES FCI]]-AT213,Tabla5[[#This Row],[INVERSIONES FCI]])</f>
        <v>1203504458.6175308</v>
      </c>
      <c r="AU214" s="5">
        <f>IF($B213&lt;=Tabla5[[#This Row],[INVERSIONES FCI]],+Tabla5[[#This Row],[INVERSIONES FCI]]-AU213,Tabla5[[#This Row],[INVERSIONES FCI]])</f>
        <v>1203504458.6175308</v>
      </c>
      <c r="AV214" s="5">
        <f>IF($B213&lt;=Tabla5[[#This Row],[INVERSIONES FCI]],+Tabla5[[#This Row],[INVERSIONES FCI]]-AV213,Tabla5[[#This Row],[INVERSIONES FCI]])</f>
        <v>1203504458.6175308</v>
      </c>
      <c r="AW214" s="5">
        <f>IF($B213&lt;=Tabla5[[#This Row],[INVERSIONES FCI]],+Tabla5[[#This Row],[INVERSIONES FCI]]-AW213,Tabla5[[#This Row],[INVERSIONES FCI]])</f>
        <v>1203504458.6175308</v>
      </c>
      <c r="AX214" s="5">
        <f>IF($B213&lt;=Tabla5[[#This Row],[INVERSIONES FCI]],+Tabla5[[#This Row],[INVERSIONES FCI]]-AX213,Tabla5[[#This Row],[INVERSIONES FCI]])</f>
        <v>1203504458.6175308</v>
      </c>
      <c r="AY214" s="5">
        <f>IF($B213&lt;=Tabla5[[#This Row],[INVERSIONES FCI]],+Tabla5[[#This Row],[INVERSIONES FCI]]-AY213,Tabla5[[#This Row],[INVERSIONES FCI]])</f>
        <v>1203504458.6175308</v>
      </c>
      <c r="AZ214" s="5">
        <f>IF($B213&lt;=Tabla5[[#This Row],[INVERSIONES FCI]],+Tabla5[[#This Row],[INVERSIONES FCI]]-AZ213,Tabla5[[#This Row],[INVERSIONES FCI]])</f>
        <v>1203504458.6175308</v>
      </c>
      <c r="BA214" s="5">
        <f>IF($B213&lt;=Tabla5[[#This Row],[INVERSIONES FCI]],+Tabla5[[#This Row],[INVERSIONES FCI]]-BA213,Tabla5[[#This Row],[INVERSIONES FCI]])</f>
        <v>1203504458.6175308</v>
      </c>
      <c r="BB214" s="5">
        <f>IF($B213&lt;=Tabla5[[#This Row],[INVERSIONES FCI]],+Tabla5[[#This Row],[INVERSIONES FCI]]-BB213,Tabla5[[#This Row],[INVERSIONES FCI]])</f>
        <v>1203504458.6175308</v>
      </c>
      <c r="BC214" s="5">
        <f>IF($B213&lt;=Tabla5[[#This Row],[INVERSIONES FCI]],+Tabla5[[#This Row],[INVERSIONES FCI]]-BC213,Tabla5[[#This Row],[INVERSIONES FCI]])</f>
        <v>1203504458.6175308</v>
      </c>
      <c r="BD214" s="5">
        <f>IF($B213&lt;=Tabla5[[#This Row],[INVERSIONES FCI]],+Tabla5[[#This Row],[INVERSIONES FCI]]-BD213,Tabla5[[#This Row],[INVERSIONES FCI]])</f>
        <v>1203504458.6175308</v>
      </c>
      <c r="BE214" s="5">
        <f>IF($B213&lt;=Tabla5[[#This Row],[INVERSIONES FCI]],+Tabla5[[#This Row],[INVERSIONES FCI]]-BE213,Tabla5[[#This Row],[INVERSIONES FCI]])</f>
        <v>1203504458.6175308</v>
      </c>
      <c r="BF214" s="5">
        <f>IF($B213&lt;=Tabla5[[#This Row],[INVERSIONES FCI]],+Tabla5[[#This Row],[INVERSIONES FCI]]-BF213,Tabla5[[#This Row],[INVERSIONES FCI]])</f>
        <v>1203504458.6175308</v>
      </c>
      <c r="BG214" s="5">
        <f>IF($B213&lt;=Tabla5[[#This Row],[INVERSIONES FCI]],+Tabla5[[#This Row],[INVERSIONES FCI]]-BG213,Tabla5[[#This Row],[INVERSIONES FCI]])</f>
        <v>1203504458.6175308</v>
      </c>
      <c r="BH214" s="5">
        <f>IF($B213&lt;=Tabla5[[#This Row],[INVERSIONES FCI]],+Tabla5[[#This Row],[INVERSIONES FCI]]-BH213,Tabla5[[#This Row],[INVERSIONES FCI]])</f>
        <v>1203504458.6175308</v>
      </c>
      <c r="BI214" s="5">
        <f>IF($B213&lt;=Tabla5[[#This Row],[INVERSIONES FCI]],+Tabla5[[#This Row],[INVERSIONES FCI]]-BI213,Tabla5[[#This Row],[INVERSIONES FCI]])</f>
        <v>1203504458.6175308</v>
      </c>
      <c r="BJ214" s="5">
        <f>IF($B213&lt;=Tabla5[[#This Row],[INVERSIONES FCI]],+Tabla5[[#This Row],[INVERSIONES FCI]]-BJ213,Tabla5[[#This Row],[INVERSIONES FCI]])</f>
        <v>1203504458.6175308</v>
      </c>
      <c r="BK214" s="5">
        <f>IF($B213&lt;=Tabla5[[#This Row],[INVERSIONES FCI]],+Tabla5[[#This Row],[INVERSIONES FCI]]-BK213,Tabla5[[#This Row],[INVERSIONES FCI]])</f>
        <v>1203504458.6175308</v>
      </c>
      <c r="BL214" s="5">
        <f>IF($B213&lt;=Tabla5[[#This Row],[INVERSIONES FCI]],+Tabla5[[#This Row],[INVERSIONES FCI]]-BL213,Tabla5[[#This Row],[INVERSIONES FCI]])</f>
        <v>1203504458.6175308</v>
      </c>
      <c r="BM214" s="5">
        <f>IF($B213&lt;=Tabla5[[#This Row],[INVERSIONES FCI]],+Tabla5[[#This Row],[INVERSIONES FCI]]-BM213,Tabla5[[#This Row],[INVERSIONES FCI]])</f>
        <v>1203504458.6175308</v>
      </c>
      <c r="BN214" s="5">
        <f>IF($B213&lt;=Tabla5[[#This Row],[INVERSIONES FCI]],+Tabla5[[#This Row],[INVERSIONES FCI]]-BN213,Tabla5[[#This Row],[INVERSIONES FCI]])</f>
        <v>1203504458.6175308</v>
      </c>
      <c r="BO214" s="5">
        <f>IF($B213&lt;=Tabla5[[#This Row],[INVERSIONES FCI]],+Tabla5[[#This Row],[INVERSIONES FCI]]-BO213,Tabla5[[#This Row],[INVERSIONES FCI]])</f>
        <v>1203504458.6175308</v>
      </c>
      <c r="BP214" s="5">
        <f>IF($B213&lt;=Tabla5[[#This Row],[INVERSIONES FCI]],+Tabla5[[#This Row],[INVERSIONES FCI]]-BP213,Tabla5[[#This Row],[INVERSIONES FCI]])</f>
        <v>1203504458.6175308</v>
      </c>
      <c r="BQ214" s="5">
        <f>IF($B213&lt;=Tabla5[[#This Row],[INVERSIONES FCI]],+Tabla5[[#This Row],[INVERSIONES FCI]]-BQ213,Tabla5[[#This Row],[INVERSIONES FCI]])</f>
        <v>1203504458.6175308</v>
      </c>
      <c r="BR214" s="5">
        <f>IF($B213&lt;=Tabla5[[#This Row],[INVERSIONES FCI]],+Tabla5[[#This Row],[INVERSIONES FCI]]-BR213,Tabla5[[#This Row],[INVERSIONES FCI]])</f>
        <v>1203504458.6175308</v>
      </c>
      <c r="BS214" s="5">
        <f>IF($B213&lt;=Tabla5[[#This Row],[INVERSIONES FCI]],+Tabla5[[#This Row],[INVERSIONES FCI]]-BS213,Tabla5[[#This Row],[INVERSIONES FCI]])</f>
        <v>1203504458.6175308</v>
      </c>
      <c r="BT214" s="5">
        <f>IF($B213&lt;=Tabla5[[#This Row],[INVERSIONES FCI]],+Tabla5[[#This Row],[INVERSIONES FCI]]-BT213,Tabla5[[#This Row],[INVERSIONES FCI]])</f>
        <v>1203504458.6175308</v>
      </c>
      <c r="BU214" s="5">
        <f>IF($B213&lt;=Tabla5[[#This Row],[INVERSIONES FCI]],+Tabla5[[#This Row],[INVERSIONES FCI]]-BU213,Tabla5[[#This Row],[INVERSIONES FCI]])</f>
        <v>1203504458.6175308</v>
      </c>
      <c r="BV214" s="5">
        <f>IF($B213&lt;=Tabla5[[#This Row],[INVERSIONES FCI]],+Tabla5[[#This Row],[INVERSIONES FCI]]-BV213,Tabla5[[#This Row],[INVERSIONES FCI]])</f>
        <v>1203504458.6175308</v>
      </c>
      <c r="BW214" s="5">
        <f>IF($B213&lt;=Tabla5[[#This Row],[INVERSIONES FCI]],+Tabla5[[#This Row],[INVERSIONES FCI]]-BW213,Tabla5[[#This Row],[INVERSIONES FCI]])</f>
        <v>1203504458.6175308</v>
      </c>
      <c r="BX214" s="5">
        <f>IF($B213&lt;=Tabla5[[#This Row],[INVERSIONES FCI]],+Tabla5[[#This Row],[INVERSIONES FCI]]-BX213,Tabla5[[#This Row],[INVERSIONES FCI]])</f>
        <v>1203504458.6175308</v>
      </c>
      <c r="BY214" s="5">
        <f>IF($B213&lt;=Tabla5[[#This Row],[INVERSIONES FCI]],+Tabla5[[#This Row],[INVERSIONES FCI]]-BY213,Tabla5[[#This Row],[INVERSIONES FCI]])</f>
        <v>1203504458.6175308</v>
      </c>
      <c r="BZ214" s="5">
        <f>IF($B213&lt;=Tabla5[[#This Row],[INVERSIONES FCI]],+Tabla5[[#This Row],[INVERSIONES FCI]]-BZ213,Tabla5[[#This Row],[INVERSIONES FCI]])</f>
        <v>1203504458.6175308</v>
      </c>
      <c r="CA214" s="5">
        <f>IF($B213&lt;=Tabla5[[#This Row],[INVERSIONES FCI]],+Tabla5[[#This Row],[INVERSIONES FCI]]-CA213,Tabla5[[#This Row],[INVERSIONES FCI]])</f>
        <v>1203504458.6175308</v>
      </c>
      <c r="CB214" s="5">
        <f>IF($B213&lt;=Tabla5[[#This Row],[INVERSIONES FCI]],+Tabla5[[#This Row],[INVERSIONES FCI]]-CB213,Tabla5[[#This Row],[INVERSIONES FCI]])</f>
        <v>1203504458.6175308</v>
      </c>
      <c r="CC214" s="5">
        <f>IF($B213&lt;=Tabla5[[#This Row],[INVERSIONES FCI]],+Tabla5[[#This Row],[INVERSIONES FCI]]-CC213,Tabla5[[#This Row],[INVERSIONES FCI]])</f>
        <v>1203504458.6175308</v>
      </c>
      <c r="CD214" s="5">
        <f>IF($B213&lt;=Tabla5[[#This Row],[INVERSIONES FCI]],+Tabla5[[#This Row],[INVERSIONES FCI]]-CD213,Tabla5[[#This Row],[INVERSIONES FCI]])</f>
        <v>1203504458.6175308</v>
      </c>
      <c r="CE214" s="5">
        <f>IF($B213&lt;=Tabla5[[#This Row],[INVERSIONES FCI]],+Tabla5[[#This Row],[INVERSIONES FCI]]-CE213,Tabla5[[#This Row],[INVERSIONES FCI]])</f>
        <v>1203504458.6175308</v>
      </c>
      <c r="CF214" s="5">
        <f>IF($B213&lt;=Tabla5[[#This Row],[INVERSIONES FCI]],+Tabla5[[#This Row],[INVERSIONES FCI]]-CF213,Tabla5[[#This Row],[INVERSIONES FCI]])</f>
        <v>1203504458.6175308</v>
      </c>
      <c r="CG214" s="5">
        <f>IF($B213&lt;=Tabla5[[#This Row],[INVERSIONES FCI]],+Tabla5[[#This Row],[INVERSIONES FCI]]-CG213,Tabla5[[#This Row],[INVERSIONES FCI]])</f>
        <v>1203504458.6175308</v>
      </c>
      <c r="CH214" s="5">
        <f>IF($B213&lt;=Tabla5[[#This Row],[INVERSIONES FCI]],+Tabla5[[#This Row],[INVERSIONES FCI]]-CH213,Tabla5[[#This Row],[INVERSIONES FCI]])</f>
        <v>1203504458.6175308</v>
      </c>
      <c r="CI214" s="5">
        <f>IF($B213&lt;=Tabla5[[#This Row],[INVERSIONES FCI]],+Tabla5[[#This Row],[INVERSIONES FCI]]-CI213,Tabla5[[#This Row],[INVERSIONES FCI]])</f>
        <v>1203504458.6175308</v>
      </c>
      <c r="CJ214" s="5">
        <f>IF($B213&lt;=Tabla5[[#This Row],[INVERSIONES FCI]],+Tabla5[[#This Row],[INVERSIONES FCI]]-CJ213,Tabla5[[#This Row],[INVERSIONES FCI]])</f>
        <v>1203504458.6175308</v>
      </c>
      <c r="CK214" s="5">
        <f>IF($B213&lt;=Tabla5[[#This Row],[INVERSIONES FCI]],+Tabla5[[#This Row],[INVERSIONES FCI]]-CK213,Tabla5[[#This Row],[INVERSIONES FCI]])</f>
        <v>1203504458.6175308</v>
      </c>
      <c r="CL214" s="5">
        <f>IF($B213&lt;=Tabla5[[#This Row],[INVERSIONES FCI]],+Tabla5[[#This Row],[INVERSIONES FCI]]-CL213,Tabla5[[#This Row],[INVERSIONES FCI]])</f>
        <v>1203504458.6175308</v>
      </c>
      <c r="CM214" s="5">
        <f>IF($B213&lt;=Tabla5[[#This Row],[INVERSIONES FCI]],+Tabla5[[#This Row],[INVERSIONES FCI]]-CM213,Tabla5[[#This Row],[INVERSIONES FCI]])</f>
        <v>1203504458.6175308</v>
      </c>
      <c r="CN214" s="5">
        <f>IF($B213&lt;=Tabla5[[#This Row],[INVERSIONES FCI]],+Tabla5[[#This Row],[INVERSIONES FCI]]-CN213,Tabla5[[#This Row],[INVERSIONES FCI]])</f>
        <v>1203504458.6175308</v>
      </c>
      <c r="CO214" s="5">
        <f>IF($B213&lt;=Tabla5[[#This Row],[INVERSIONES FCI]],+Tabla5[[#This Row],[INVERSIONES FCI]]-CO213,Tabla5[[#This Row],[INVERSIONES FCI]])</f>
        <v>1203504458.6175308</v>
      </c>
      <c r="CP214" s="5">
        <f>IF($B213&lt;=Tabla5[[#This Row],[INVERSIONES FCI]],+Tabla5[[#This Row],[INVERSIONES FCI]]-CP213,Tabla5[[#This Row],[INVERSIONES FCI]])</f>
        <v>1203504458.6175308</v>
      </c>
      <c r="CQ214" s="5">
        <f>IF($B213&lt;=Tabla5[[#This Row],[INVERSIONES FCI]],+Tabla5[[#This Row],[INVERSIONES FCI]]-CQ213,Tabla5[[#This Row],[INVERSIONES FCI]])</f>
        <v>1203504458.6175308</v>
      </c>
      <c r="CR214" s="5">
        <f>IF($B213&lt;=Tabla5[[#This Row],[INVERSIONES FCI]],+Tabla5[[#This Row],[INVERSIONES FCI]]-CR213,Tabla5[[#This Row],[INVERSIONES FCI]])</f>
        <v>1203504458.6175308</v>
      </c>
      <c r="CS214" s="5">
        <f>IF($B213&lt;=Tabla5[[#This Row],[INVERSIONES FCI]],+Tabla5[[#This Row],[INVERSIONES FCI]]-CS213,Tabla5[[#This Row],[INVERSIONES FCI]])</f>
        <v>1203504458.6175308</v>
      </c>
      <c r="CT214" s="5">
        <f>IF($B213&lt;=Tabla5[[#This Row],[INVERSIONES FCI]],+Tabla5[[#This Row],[INVERSIONES FCI]]-CT213,Tabla5[[#This Row],[INVERSIONES FCI]])</f>
        <v>1203504458.6175308</v>
      </c>
      <c r="CU214" s="5">
        <f>IF($B213&lt;=Tabla5[[#This Row],[INVERSIONES FCI]],+Tabla5[[#This Row],[INVERSIONES FCI]]-CU213,Tabla5[[#This Row],[INVERSIONES FCI]])</f>
        <v>1203504458.6175308</v>
      </c>
      <c r="CV214" s="5">
        <f>IF($B213&lt;=Tabla5[[#This Row],[INVERSIONES FCI]],+Tabla5[[#This Row],[INVERSIONES FCI]]-CV213,Tabla5[[#This Row],[INVERSIONES FCI]])</f>
        <v>1203504458.6175308</v>
      </c>
      <c r="CW214" s="5">
        <f>IF($B213&lt;=Tabla5[[#This Row],[INVERSIONES FCI]],+Tabla5[[#This Row],[INVERSIONES FCI]]-CW213,Tabla5[[#This Row],[INVERSIONES FCI]])</f>
        <v>1203504458.6175308</v>
      </c>
      <c r="CX214" s="5">
        <f>IF($B213&lt;=Tabla5[[#This Row],[INVERSIONES FCI]],+Tabla5[[#This Row],[INVERSIONES FCI]]-CX213,Tabla5[[#This Row],[INVERSIONES FCI]])</f>
        <v>1203504458.6175308</v>
      </c>
      <c r="CY214" s="5">
        <f>IF($B213&lt;=Tabla5[[#This Row],[INVERSIONES FCI]],+Tabla5[[#This Row],[INVERSIONES FCI]]-CY213,Tabla5[[#This Row],[INVERSIONES FCI]])</f>
        <v>1203504458.6175308</v>
      </c>
      <c r="CZ214" s="5">
        <f>IF($B213&lt;=Tabla5[[#This Row],[INVERSIONES FCI]],+Tabla5[[#This Row],[INVERSIONES FCI]]-CZ213,Tabla5[[#This Row],[INVERSIONES FCI]])</f>
        <v>1203504458.6175308</v>
      </c>
      <c r="DA214" s="5">
        <f>IF($B213&lt;=Tabla5[[#This Row],[INVERSIONES FCI]],+Tabla5[[#This Row],[INVERSIONES FCI]]-DA213,Tabla5[[#This Row],[INVERSIONES FCI]])</f>
        <v>1203504458.6175308</v>
      </c>
      <c r="DB214" s="5">
        <f>IF($B213&lt;=Tabla5[[#This Row],[INVERSIONES FCI]],+Tabla5[[#This Row],[INVERSIONES FCI]]-DB213,Tabla5[[#This Row],[INVERSIONES FCI]])</f>
        <v>1203504458.6175308</v>
      </c>
      <c r="DC214" s="5">
        <f>IF($B213&lt;=Tabla5[[#This Row],[INVERSIONES FCI]],+Tabla5[[#This Row],[INVERSIONES FCI]]-DC213,Tabla5[[#This Row],[INVERSIONES FCI]])</f>
        <v>1203504458.6175308</v>
      </c>
      <c r="DD214" s="5">
        <f>IF($B213&lt;=Tabla5[[#This Row],[INVERSIONES FCI]],+Tabla5[[#This Row],[INVERSIONES FCI]]-DD213,Tabla5[[#This Row],[INVERSIONES FCI]])</f>
        <v>1203504458.6175308</v>
      </c>
      <c r="DE214" s="5">
        <f>IF($B213&lt;=Tabla5[[#This Row],[INVERSIONES FCI]],+Tabla5[[#This Row],[INVERSIONES FCI]]-DE213,Tabla5[[#This Row],[INVERSIONES FCI]])</f>
        <v>1203504458.6175308</v>
      </c>
      <c r="DF214" s="5">
        <f>IF($B213&lt;=Tabla5[[#This Row],[INVERSIONES FCI]],+Tabla5[[#This Row],[INVERSIONES FCI]]-DF213,Tabla5[[#This Row],[INVERSIONES FCI]])</f>
        <v>1203504458.6175308</v>
      </c>
      <c r="DG214" s="5">
        <f>IF($B213&lt;=Tabla5[[#This Row],[INVERSIONES FCI]],+Tabla5[[#This Row],[INVERSIONES FCI]]-DG213,Tabla5[[#This Row],[INVERSIONES FCI]])</f>
        <v>1203504458.6175308</v>
      </c>
      <c r="DH214" s="5">
        <f>IF($B213&lt;=Tabla5[[#This Row],[INVERSIONES FCI]],+Tabla5[[#This Row],[INVERSIONES FCI]]-DH213,Tabla5[[#This Row],[INVERSIONES FCI]])</f>
        <v>1203504458.6175308</v>
      </c>
      <c r="DI214" s="5">
        <f>IF($B213&lt;=Tabla5[[#This Row],[INVERSIONES FCI]],+Tabla5[[#This Row],[INVERSIONES FCI]]-DI213,Tabla5[[#This Row],[INVERSIONES FCI]])</f>
        <v>1203504458.6175308</v>
      </c>
      <c r="DJ214" s="5">
        <f>IF($B213&lt;=Tabla5[[#This Row],[INVERSIONES FCI]],+Tabla5[[#This Row],[INVERSIONES FCI]]-DJ213,Tabla5[[#This Row],[INVERSIONES FCI]])</f>
        <v>1203504458.6175308</v>
      </c>
      <c r="DK214" s="5">
        <f>IF($B213&lt;=Tabla5[[#This Row],[INVERSIONES FCI]],+Tabla5[[#This Row],[INVERSIONES FCI]]-DK213,Tabla5[[#This Row],[INVERSIONES FCI]])</f>
        <v>1203504458.6175308</v>
      </c>
      <c r="DL214" s="5"/>
      <c r="DM214" s="5"/>
      <c r="DN214" s="5"/>
      <c r="DO214" s="5"/>
      <c r="DP214" s="5"/>
      <c r="DQ214" s="5"/>
    </row>
    <row r="215" spans="1:121" ht="14.4">
      <c r="A215" s="12" t="s">
        <v>214</v>
      </c>
      <c r="B215" s="5">
        <f>HLOOKUP($A215,ESCENARIO[#All],7,FALSE)</f>
        <v>27748045742.398098</v>
      </c>
      <c r="C215" s="5">
        <f>IF($B214&lt;=Tabla5[[#This Row],[INVERSIONES FCI]],+Tabla5[[#This Row],[INVERSIONES FCI]]-C214,Tabla5[[#This Row],[INVERSIONES FCI]])</f>
        <v>26544541283.780567</v>
      </c>
      <c r="D215" s="5">
        <f>IF($B214&lt;=Tabla5[[#This Row],[INVERSIONES FCI]],+Tabla5[[#This Row],[INVERSIONES FCI]]-D214,Tabla5[[#This Row],[INVERSIONES FCI]])</f>
        <v>26544541283.780567</v>
      </c>
      <c r="E215" s="5">
        <f>IF($B214&lt;=Tabla5[[#This Row],[INVERSIONES FCI]],+Tabla5[[#This Row],[INVERSIONES FCI]]-E214,Tabla5[[#This Row],[INVERSIONES FCI]])</f>
        <v>26544541283.780567</v>
      </c>
      <c r="F215" s="5">
        <f>IF($B214&lt;=Tabla5[[#This Row],[INVERSIONES FCI]],+Tabla5[[#This Row],[INVERSIONES FCI]]-F214,Tabla5[[#This Row],[INVERSIONES FCI]])</f>
        <v>26544541283.780567</v>
      </c>
      <c r="G215" s="5">
        <f>IF($B214&lt;=Tabla5[[#This Row],[INVERSIONES FCI]],+Tabla5[[#This Row],[INVERSIONES FCI]]-G214,Tabla5[[#This Row],[INVERSIONES FCI]])</f>
        <v>26544541283.780567</v>
      </c>
      <c r="H215" s="5">
        <f>IF($B214&lt;=Tabla5[[#This Row],[INVERSIONES FCI]],+Tabla5[[#This Row],[INVERSIONES FCI]]-H214,Tabla5[[#This Row],[INVERSIONES FCI]])</f>
        <v>26544541283.780567</v>
      </c>
      <c r="I215" s="5">
        <f>IF($B214&lt;=Tabla5[[#This Row],[INVERSIONES FCI]],+Tabla5[[#This Row],[INVERSIONES FCI]]-I214,Tabla5[[#This Row],[INVERSIONES FCI]])</f>
        <v>26544541283.780567</v>
      </c>
      <c r="J215" s="5">
        <f>IF($B214&lt;=Tabla5[[#This Row],[INVERSIONES FCI]],+Tabla5[[#This Row],[INVERSIONES FCI]]-J214,Tabla5[[#This Row],[INVERSIONES FCI]])</f>
        <v>26544541283.780567</v>
      </c>
      <c r="K215" s="5">
        <f>IF($B214&lt;=Tabla5[[#This Row],[INVERSIONES FCI]],+Tabla5[[#This Row],[INVERSIONES FCI]]-K214,Tabla5[[#This Row],[INVERSIONES FCI]])</f>
        <v>26544541283.780567</v>
      </c>
      <c r="L215" s="5">
        <f>IF($B214&lt;=Tabla5[[#This Row],[INVERSIONES FCI]],+Tabla5[[#This Row],[INVERSIONES FCI]]-L214,Tabla5[[#This Row],[INVERSIONES FCI]])</f>
        <v>26544541283.780567</v>
      </c>
      <c r="M215" s="5">
        <f>IF($B214&lt;=Tabla5[[#This Row],[INVERSIONES FCI]],+Tabla5[[#This Row],[INVERSIONES FCI]]-M214,Tabla5[[#This Row],[INVERSIONES FCI]])</f>
        <v>26544541283.780567</v>
      </c>
      <c r="N215" s="5">
        <f>IF($B214&lt;=Tabla5[[#This Row],[INVERSIONES FCI]],+Tabla5[[#This Row],[INVERSIONES FCI]]-N214,Tabla5[[#This Row],[INVERSIONES FCI]])</f>
        <v>26544541283.780567</v>
      </c>
      <c r="O215" s="5">
        <f>IF($B214&lt;=Tabla5[[#This Row],[INVERSIONES FCI]],+Tabla5[[#This Row],[INVERSIONES FCI]]-O214,Tabla5[[#This Row],[INVERSIONES FCI]])</f>
        <v>26544541283.780567</v>
      </c>
      <c r="P215" s="5">
        <f>IF($B214&lt;=Tabla5[[#This Row],[INVERSIONES FCI]],+Tabla5[[#This Row],[INVERSIONES FCI]]-P214,Tabla5[[#This Row],[INVERSIONES FCI]])</f>
        <v>26544541283.780567</v>
      </c>
      <c r="Q215" s="5">
        <f>IF($B214&lt;=Tabla5[[#This Row],[INVERSIONES FCI]],+Tabla5[[#This Row],[INVERSIONES FCI]]-Q214,Tabla5[[#This Row],[INVERSIONES FCI]])</f>
        <v>26544541283.780567</v>
      </c>
      <c r="R215" s="5">
        <f>IF($B214&lt;=Tabla5[[#This Row],[INVERSIONES FCI]],+Tabla5[[#This Row],[INVERSIONES FCI]]-R214,Tabla5[[#This Row],[INVERSIONES FCI]])</f>
        <v>26544541283.780567</v>
      </c>
      <c r="S215" s="5">
        <f>IF($B214&lt;=Tabla5[[#This Row],[INVERSIONES FCI]],+Tabla5[[#This Row],[INVERSIONES FCI]]-S214,Tabla5[[#This Row],[INVERSIONES FCI]])</f>
        <v>26544541283.780567</v>
      </c>
      <c r="T215" s="5">
        <f>IF($B214&lt;=Tabla5[[#This Row],[INVERSIONES FCI]],+Tabla5[[#This Row],[INVERSIONES FCI]]-T214,Tabla5[[#This Row],[INVERSIONES FCI]])</f>
        <v>26544541283.780567</v>
      </c>
      <c r="U215" s="5">
        <f>IF($B214&lt;=Tabla5[[#This Row],[INVERSIONES FCI]],+Tabla5[[#This Row],[INVERSIONES FCI]]-U214,Tabla5[[#This Row],[INVERSIONES FCI]])</f>
        <v>26544541283.780567</v>
      </c>
      <c r="V215" s="5">
        <f>IF($B214&lt;=Tabla5[[#This Row],[INVERSIONES FCI]],+Tabla5[[#This Row],[INVERSIONES FCI]]-V214,Tabla5[[#This Row],[INVERSIONES FCI]])</f>
        <v>26544541283.780567</v>
      </c>
      <c r="W215" s="5">
        <f>IF($B214&lt;=Tabla5[[#This Row],[INVERSIONES FCI]],+Tabla5[[#This Row],[INVERSIONES FCI]]-W214,Tabla5[[#This Row],[INVERSIONES FCI]])</f>
        <v>26544541283.780567</v>
      </c>
      <c r="X215" s="5">
        <f>IF($B214&lt;=Tabla5[[#This Row],[INVERSIONES FCI]],+Tabla5[[#This Row],[INVERSIONES FCI]]-X214,Tabla5[[#This Row],[INVERSIONES FCI]])</f>
        <v>26544541283.780567</v>
      </c>
      <c r="Y215" s="5">
        <f>IF($B214&lt;=Tabla5[[#This Row],[INVERSIONES FCI]],+Tabla5[[#This Row],[INVERSIONES FCI]]-Y214,Tabla5[[#This Row],[INVERSIONES FCI]])</f>
        <v>26544541283.780567</v>
      </c>
      <c r="Z215" s="5">
        <f>IF($B214&lt;=Tabla5[[#This Row],[INVERSIONES FCI]],+Tabla5[[#This Row],[INVERSIONES FCI]]-Z214,Tabla5[[#This Row],[INVERSIONES FCI]])</f>
        <v>26544541283.780567</v>
      </c>
      <c r="AA215" s="5">
        <f>IF($B214&lt;=Tabla5[[#This Row],[INVERSIONES FCI]],+Tabla5[[#This Row],[INVERSIONES FCI]]-AA214,Tabla5[[#This Row],[INVERSIONES FCI]])</f>
        <v>26544541283.780567</v>
      </c>
      <c r="AB215" s="5">
        <f>IF($B214&lt;=Tabla5[[#This Row],[INVERSIONES FCI]],+Tabla5[[#This Row],[INVERSIONES FCI]]-AB214,Tabla5[[#This Row],[INVERSIONES FCI]])</f>
        <v>26544541283.780567</v>
      </c>
      <c r="AC215" s="5">
        <f>IF($B214&lt;=Tabla5[[#This Row],[INVERSIONES FCI]],+Tabla5[[#This Row],[INVERSIONES FCI]]-AC214,Tabla5[[#This Row],[INVERSIONES FCI]])</f>
        <v>26544541283.780567</v>
      </c>
      <c r="AD215" s="5">
        <f>IF($B214&lt;=Tabla5[[#This Row],[INVERSIONES FCI]],+Tabla5[[#This Row],[INVERSIONES FCI]]-AD214,Tabla5[[#This Row],[INVERSIONES FCI]])</f>
        <v>26544541283.780567</v>
      </c>
      <c r="AE215" s="5">
        <f>IF($B214&lt;=Tabla5[[#This Row],[INVERSIONES FCI]],+Tabla5[[#This Row],[INVERSIONES FCI]]-AE214,Tabla5[[#This Row],[INVERSIONES FCI]])</f>
        <v>26544541283.780567</v>
      </c>
      <c r="AF215" s="5">
        <f>IF($B214&lt;=Tabla5[[#This Row],[INVERSIONES FCI]],+Tabla5[[#This Row],[INVERSIONES FCI]]-AF214,Tabla5[[#This Row],[INVERSIONES FCI]])</f>
        <v>26544541283.780567</v>
      </c>
      <c r="AG215" s="5">
        <f>IF($B214&lt;=Tabla5[[#This Row],[INVERSIONES FCI]],+Tabla5[[#This Row],[INVERSIONES FCI]]-AG214,Tabla5[[#This Row],[INVERSIONES FCI]])</f>
        <v>26544541283.780567</v>
      </c>
      <c r="AH215" s="5">
        <f>IF($B214&lt;=Tabla5[[#This Row],[INVERSIONES FCI]],+Tabla5[[#This Row],[INVERSIONES FCI]]-AH214,Tabla5[[#This Row],[INVERSIONES FCI]])</f>
        <v>26544541283.780567</v>
      </c>
      <c r="AI215" s="5">
        <f>IF($B214&lt;=Tabla5[[#This Row],[INVERSIONES FCI]],+Tabla5[[#This Row],[INVERSIONES FCI]]-AI214,Tabla5[[#This Row],[INVERSIONES FCI]])</f>
        <v>26544541283.780567</v>
      </c>
      <c r="AJ215" s="5">
        <f>IF($B214&lt;=Tabla5[[#This Row],[INVERSIONES FCI]],+Tabla5[[#This Row],[INVERSIONES FCI]]-AJ214,Tabla5[[#This Row],[INVERSIONES FCI]])</f>
        <v>26544541283.780567</v>
      </c>
      <c r="AK215" s="5">
        <f>IF($B214&lt;=Tabla5[[#This Row],[INVERSIONES FCI]],+Tabla5[[#This Row],[INVERSIONES FCI]]-AK214,Tabla5[[#This Row],[INVERSIONES FCI]])</f>
        <v>26544541283.780567</v>
      </c>
      <c r="AL215" s="5">
        <f>IF($B214&lt;=Tabla5[[#This Row],[INVERSIONES FCI]],+Tabla5[[#This Row],[INVERSIONES FCI]]-AL214,Tabla5[[#This Row],[INVERSIONES FCI]])</f>
        <v>26544541283.780567</v>
      </c>
      <c r="AM215" s="5">
        <f>IF($B214&lt;=Tabla5[[#This Row],[INVERSIONES FCI]],+Tabla5[[#This Row],[INVERSIONES FCI]]-AM214,Tabla5[[#This Row],[INVERSIONES FCI]])</f>
        <v>26544541283.780567</v>
      </c>
      <c r="AN215" s="5">
        <f>IF($B214&lt;=Tabla5[[#This Row],[INVERSIONES FCI]],+Tabla5[[#This Row],[INVERSIONES FCI]]-AN214,Tabla5[[#This Row],[INVERSIONES FCI]])</f>
        <v>26544541283.780567</v>
      </c>
      <c r="AO215" s="5">
        <f>IF($B214&lt;=Tabla5[[#This Row],[INVERSIONES FCI]],+Tabla5[[#This Row],[INVERSIONES FCI]]-AO214,Tabla5[[#This Row],[INVERSIONES FCI]])</f>
        <v>26544541283.780567</v>
      </c>
      <c r="AP215" s="5">
        <f>IF($B214&lt;=Tabla5[[#This Row],[INVERSIONES FCI]],+Tabla5[[#This Row],[INVERSIONES FCI]]-AP214,Tabla5[[#This Row],[INVERSIONES FCI]])</f>
        <v>26544541283.780567</v>
      </c>
      <c r="AQ215" s="5">
        <f>IF($B214&lt;=Tabla5[[#This Row],[INVERSIONES FCI]],+Tabla5[[#This Row],[INVERSIONES FCI]]-AQ214,Tabla5[[#This Row],[INVERSIONES FCI]])</f>
        <v>26544541283.780567</v>
      </c>
      <c r="AR215" s="5">
        <f>IF($B214&lt;=Tabla5[[#This Row],[INVERSIONES FCI]],+Tabla5[[#This Row],[INVERSIONES FCI]]-AR214,Tabla5[[#This Row],[INVERSIONES FCI]])</f>
        <v>26544541283.780567</v>
      </c>
      <c r="AS215" s="5">
        <f>IF($B214&lt;=Tabla5[[#This Row],[INVERSIONES FCI]],+Tabla5[[#This Row],[INVERSIONES FCI]]-AS214,Tabla5[[#This Row],[INVERSIONES FCI]])</f>
        <v>26544541283.780567</v>
      </c>
      <c r="AT215" s="5">
        <f>IF($B214&lt;=Tabla5[[#This Row],[INVERSIONES FCI]],+Tabla5[[#This Row],[INVERSIONES FCI]]-AT214,Tabla5[[#This Row],[INVERSIONES FCI]])</f>
        <v>26544541283.780567</v>
      </c>
      <c r="AU215" s="5">
        <f>IF($B214&lt;=Tabla5[[#This Row],[INVERSIONES FCI]],+Tabla5[[#This Row],[INVERSIONES FCI]]-AU214,Tabla5[[#This Row],[INVERSIONES FCI]])</f>
        <v>26544541283.780567</v>
      </c>
      <c r="AV215" s="5">
        <f>IF($B214&lt;=Tabla5[[#This Row],[INVERSIONES FCI]],+Tabla5[[#This Row],[INVERSIONES FCI]]-AV214,Tabla5[[#This Row],[INVERSIONES FCI]])</f>
        <v>26544541283.780567</v>
      </c>
      <c r="AW215" s="5">
        <f>IF($B214&lt;=Tabla5[[#This Row],[INVERSIONES FCI]],+Tabla5[[#This Row],[INVERSIONES FCI]]-AW214,Tabla5[[#This Row],[INVERSIONES FCI]])</f>
        <v>26544541283.780567</v>
      </c>
      <c r="AX215" s="5">
        <f>IF($B214&lt;=Tabla5[[#This Row],[INVERSIONES FCI]],+Tabla5[[#This Row],[INVERSIONES FCI]]-AX214,Tabla5[[#This Row],[INVERSIONES FCI]])</f>
        <v>26544541283.780567</v>
      </c>
      <c r="AY215" s="5">
        <f>IF($B214&lt;=Tabla5[[#This Row],[INVERSIONES FCI]],+Tabla5[[#This Row],[INVERSIONES FCI]]-AY214,Tabla5[[#This Row],[INVERSIONES FCI]])</f>
        <v>26544541283.780567</v>
      </c>
      <c r="AZ215" s="5">
        <f>IF($B214&lt;=Tabla5[[#This Row],[INVERSIONES FCI]],+Tabla5[[#This Row],[INVERSIONES FCI]]-AZ214,Tabla5[[#This Row],[INVERSIONES FCI]])</f>
        <v>26544541283.780567</v>
      </c>
      <c r="BA215" s="5">
        <f>IF($B214&lt;=Tabla5[[#This Row],[INVERSIONES FCI]],+Tabla5[[#This Row],[INVERSIONES FCI]]-BA214,Tabla5[[#This Row],[INVERSIONES FCI]])</f>
        <v>26544541283.780567</v>
      </c>
      <c r="BB215" s="5">
        <f>IF($B214&lt;=Tabla5[[#This Row],[INVERSIONES FCI]],+Tabla5[[#This Row],[INVERSIONES FCI]]-BB214,Tabla5[[#This Row],[INVERSIONES FCI]])</f>
        <v>26544541283.780567</v>
      </c>
      <c r="BC215" s="5">
        <f>IF($B214&lt;=Tabla5[[#This Row],[INVERSIONES FCI]],+Tabla5[[#This Row],[INVERSIONES FCI]]-BC214,Tabla5[[#This Row],[INVERSIONES FCI]])</f>
        <v>26544541283.780567</v>
      </c>
      <c r="BD215" s="5">
        <f>IF($B214&lt;=Tabla5[[#This Row],[INVERSIONES FCI]],+Tabla5[[#This Row],[INVERSIONES FCI]]-BD214,Tabla5[[#This Row],[INVERSIONES FCI]])</f>
        <v>26544541283.780567</v>
      </c>
      <c r="BE215" s="5">
        <f>IF($B214&lt;=Tabla5[[#This Row],[INVERSIONES FCI]],+Tabla5[[#This Row],[INVERSIONES FCI]]-BE214,Tabla5[[#This Row],[INVERSIONES FCI]])</f>
        <v>26544541283.780567</v>
      </c>
      <c r="BF215" s="5">
        <f>IF($B214&lt;=Tabla5[[#This Row],[INVERSIONES FCI]],+Tabla5[[#This Row],[INVERSIONES FCI]]-BF214,Tabla5[[#This Row],[INVERSIONES FCI]])</f>
        <v>26544541283.780567</v>
      </c>
      <c r="BG215" s="5">
        <f>IF($B214&lt;=Tabla5[[#This Row],[INVERSIONES FCI]],+Tabla5[[#This Row],[INVERSIONES FCI]]-BG214,Tabla5[[#This Row],[INVERSIONES FCI]])</f>
        <v>26544541283.780567</v>
      </c>
      <c r="BH215" s="5">
        <f>IF($B214&lt;=Tabla5[[#This Row],[INVERSIONES FCI]],+Tabla5[[#This Row],[INVERSIONES FCI]]-BH214,Tabla5[[#This Row],[INVERSIONES FCI]])</f>
        <v>26544541283.780567</v>
      </c>
      <c r="BI215" s="5">
        <f>IF($B214&lt;=Tabla5[[#This Row],[INVERSIONES FCI]],+Tabla5[[#This Row],[INVERSIONES FCI]]-BI214,Tabla5[[#This Row],[INVERSIONES FCI]])</f>
        <v>26544541283.780567</v>
      </c>
      <c r="BJ215" s="5">
        <f>IF($B214&lt;=Tabla5[[#This Row],[INVERSIONES FCI]],+Tabla5[[#This Row],[INVERSIONES FCI]]-BJ214,Tabla5[[#This Row],[INVERSIONES FCI]])</f>
        <v>26544541283.780567</v>
      </c>
      <c r="BK215" s="5">
        <f>IF($B214&lt;=Tabla5[[#This Row],[INVERSIONES FCI]],+Tabla5[[#This Row],[INVERSIONES FCI]]-BK214,Tabla5[[#This Row],[INVERSIONES FCI]])</f>
        <v>26544541283.780567</v>
      </c>
      <c r="BL215" s="5">
        <f>IF($B214&lt;=Tabla5[[#This Row],[INVERSIONES FCI]],+Tabla5[[#This Row],[INVERSIONES FCI]]-BL214,Tabla5[[#This Row],[INVERSIONES FCI]])</f>
        <v>26544541283.780567</v>
      </c>
      <c r="BM215" s="5">
        <f>IF($B214&lt;=Tabla5[[#This Row],[INVERSIONES FCI]],+Tabla5[[#This Row],[INVERSIONES FCI]]-BM214,Tabla5[[#This Row],[INVERSIONES FCI]])</f>
        <v>26544541283.780567</v>
      </c>
      <c r="BN215" s="5">
        <f>IF($B214&lt;=Tabla5[[#This Row],[INVERSIONES FCI]],+Tabla5[[#This Row],[INVERSIONES FCI]]-BN214,Tabla5[[#This Row],[INVERSIONES FCI]])</f>
        <v>26544541283.780567</v>
      </c>
      <c r="BO215" s="5">
        <f>IF($B214&lt;=Tabla5[[#This Row],[INVERSIONES FCI]],+Tabla5[[#This Row],[INVERSIONES FCI]]-BO214,Tabla5[[#This Row],[INVERSIONES FCI]])</f>
        <v>26544541283.780567</v>
      </c>
      <c r="BP215" s="5">
        <f>IF($B214&lt;=Tabla5[[#This Row],[INVERSIONES FCI]],+Tabla5[[#This Row],[INVERSIONES FCI]]-BP214,Tabla5[[#This Row],[INVERSIONES FCI]])</f>
        <v>26544541283.780567</v>
      </c>
      <c r="BQ215" s="5">
        <f>IF($B214&lt;=Tabla5[[#This Row],[INVERSIONES FCI]],+Tabla5[[#This Row],[INVERSIONES FCI]]-BQ214,Tabla5[[#This Row],[INVERSIONES FCI]])</f>
        <v>26544541283.780567</v>
      </c>
      <c r="BR215" s="5">
        <f>IF($B214&lt;=Tabla5[[#This Row],[INVERSIONES FCI]],+Tabla5[[#This Row],[INVERSIONES FCI]]-BR214,Tabla5[[#This Row],[INVERSIONES FCI]])</f>
        <v>26544541283.780567</v>
      </c>
      <c r="BS215" s="5">
        <f>IF($B214&lt;=Tabla5[[#This Row],[INVERSIONES FCI]],+Tabla5[[#This Row],[INVERSIONES FCI]]-BS214,Tabla5[[#This Row],[INVERSIONES FCI]])</f>
        <v>26544541283.780567</v>
      </c>
      <c r="BT215" s="5">
        <f>IF($B214&lt;=Tabla5[[#This Row],[INVERSIONES FCI]],+Tabla5[[#This Row],[INVERSIONES FCI]]-BT214,Tabla5[[#This Row],[INVERSIONES FCI]])</f>
        <v>26544541283.780567</v>
      </c>
      <c r="BU215" s="5">
        <f>IF($B214&lt;=Tabla5[[#This Row],[INVERSIONES FCI]],+Tabla5[[#This Row],[INVERSIONES FCI]]-BU214,Tabla5[[#This Row],[INVERSIONES FCI]])</f>
        <v>26544541283.780567</v>
      </c>
      <c r="BV215" s="5">
        <f>IF($B214&lt;=Tabla5[[#This Row],[INVERSIONES FCI]],+Tabla5[[#This Row],[INVERSIONES FCI]]-BV214,Tabla5[[#This Row],[INVERSIONES FCI]])</f>
        <v>26544541283.780567</v>
      </c>
      <c r="BW215" s="5">
        <f>IF($B214&lt;=Tabla5[[#This Row],[INVERSIONES FCI]],+Tabla5[[#This Row],[INVERSIONES FCI]]-BW214,Tabla5[[#This Row],[INVERSIONES FCI]])</f>
        <v>26544541283.780567</v>
      </c>
      <c r="BX215" s="5">
        <f>IF($B214&lt;=Tabla5[[#This Row],[INVERSIONES FCI]],+Tabla5[[#This Row],[INVERSIONES FCI]]-BX214,Tabla5[[#This Row],[INVERSIONES FCI]])</f>
        <v>26544541283.780567</v>
      </c>
      <c r="BY215" s="5">
        <f>IF($B214&lt;=Tabla5[[#This Row],[INVERSIONES FCI]],+Tabla5[[#This Row],[INVERSIONES FCI]]-BY214,Tabla5[[#This Row],[INVERSIONES FCI]])</f>
        <v>26544541283.780567</v>
      </c>
      <c r="BZ215" s="5">
        <f>IF($B214&lt;=Tabla5[[#This Row],[INVERSIONES FCI]],+Tabla5[[#This Row],[INVERSIONES FCI]]-BZ214,Tabla5[[#This Row],[INVERSIONES FCI]])</f>
        <v>26544541283.780567</v>
      </c>
      <c r="CA215" s="5">
        <f>IF($B214&lt;=Tabla5[[#This Row],[INVERSIONES FCI]],+Tabla5[[#This Row],[INVERSIONES FCI]]-CA214,Tabla5[[#This Row],[INVERSIONES FCI]])</f>
        <v>26544541283.780567</v>
      </c>
      <c r="CB215" s="5">
        <f>IF($B214&lt;=Tabla5[[#This Row],[INVERSIONES FCI]],+Tabla5[[#This Row],[INVERSIONES FCI]]-CB214,Tabla5[[#This Row],[INVERSIONES FCI]])</f>
        <v>26544541283.780567</v>
      </c>
      <c r="CC215" s="5">
        <f>IF($B214&lt;=Tabla5[[#This Row],[INVERSIONES FCI]],+Tabla5[[#This Row],[INVERSIONES FCI]]-CC214,Tabla5[[#This Row],[INVERSIONES FCI]])</f>
        <v>26544541283.780567</v>
      </c>
      <c r="CD215" s="5">
        <f>IF($B214&lt;=Tabla5[[#This Row],[INVERSIONES FCI]],+Tabla5[[#This Row],[INVERSIONES FCI]]-CD214,Tabla5[[#This Row],[INVERSIONES FCI]])</f>
        <v>26544541283.780567</v>
      </c>
      <c r="CE215" s="5">
        <f>IF($B214&lt;=Tabla5[[#This Row],[INVERSIONES FCI]],+Tabla5[[#This Row],[INVERSIONES FCI]]-CE214,Tabla5[[#This Row],[INVERSIONES FCI]])</f>
        <v>26544541283.780567</v>
      </c>
      <c r="CF215" s="5">
        <f>IF($B214&lt;=Tabla5[[#This Row],[INVERSIONES FCI]],+Tabla5[[#This Row],[INVERSIONES FCI]]-CF214,Tabla5[[#This Row],[INVERSIONES FCI]])</f>
        <v>26544541283.780567</v>
      </c>
      <c r="CG215" s="5">
        <f>IF($B214&lt;=Tabla5[[#This Row],[INVERSIONES FCI]],+Tabla5[[#This Row],[INVERSIONES FCI]]-CG214,Tabla5[[#This Row],[INVERSIONES FCI]])</f>
        <v>26544541283.780567</v>
      </c>
      <c r="CH215" s="5">
        <f>IF($B214&lt;=Tabla5[[#This Row],[INVERSIONES FCI]],+Tabla5[[#This Row],[INVERSIONES FCI]]-CH214,Tabla5[[#This Row],[INVERSIONES FCI]])</f>
        <v>26544541283.780567</v>
      </c>
      <c r="CI215" s="5">
        <f>IF($B214&lt;=Tabla5[[#This Row],[INVERSIONES FCI]],+Tabla5[[#This Row],[INVERSIONES FCI]]-CI214,Tabla5[[#This Row],[INVERSIONES FCI]])</f>
        <v>26544541283.780567</v>
      </c>
      <c r="CJ215" s="5">
        <f>IF($B214&lt;=Tabla5[[#This Row],[INVERSIONES FCI]],+Tabla5[[#This Row],[INVERSIONES FCI]]-CJ214,Tabla5[[#This Row],[INVERSIONES FCI]])</f>
        <v>26544541283.780567</v>
      </c>
      <c r="CK215" s="5">
        <f>IF($B214&lt;=Tabla5[[#This Row],[INVERSIONES FCI]],+Tabla5[[#This Row],[INVERSIONES FCI]]-CK214,Tabla5[[#This Row],[INVERSIONES FCI]])</f>
        <v>26544541283.780567</v>
      </c>
      <c r="CL215" s="5">
        <f>IF($B214&lt;=Tabla5[[#This Row],[INVERSIONES FCI]],+Tabla5[[#This Row],[INVERSIONES FCI]]-CL214,Tabla5[[#This Row],[INVERSIONES FCI]])</f>
        <v>26544541283.780567</v>
      </c>
      <c r="CM215" s="5">
        <f>IF($B214&lt;=Tabla5[[#This Row],[INVERSIONES FCI]],+Tabla5[[#This Row],[INVERSIONES FCI]]-CM214,Tabla5[[#This Row],[INVERSIONES FCI]])</f>
        <v>26544541283.780567</v>
      </c>
      <c r="CN215" s="5">
        <f>IF($B214&lt;=Tabla5[[#This Row],[INVERSIONES FCI]],+Tabla5[[#This Row],[INVERSIONES FCI]]-CN214,Tabla5[[#This Row],[INVERSIONES FCI]])</f>
        <v>26544541283.780567</v>
      </c>
      <c r="CO215" s="5">
        <f>IF($B214&lt;=Tabla5[[#This Row],[INVERSIONES FCI]],+Tabla5[[#This Row],[INVERSIONES FCI]]-CO214,Tabla5[[#This Row],[INVERSIONES FCI]])</f>
        <v>26544541283.780567</v>
      </c>
      <c r="CP215" s="5">
        <f>IF($B214&lt;=Tabla5[[#This Row],[INVERSIONES FCI]],+Tabla5[[#This Row],[INVERSIONES FCI]]-CP214,Tabla5[[#This Row],[INVERSIONES FCI]])</f>
        <v>26544541283.780567</v>
      </c>
      <c r="CQ215" s="5">
        <f>IF($B214&lt;=Tabla5[[#This Row],[INVERSIONES FCI]],+Tabla5[[#This Row],[INVERSIONES FCI]]-CQ214,Tabla5[[#This Row],[INVERSIONES FCI]])</f>
        <v>26544541283.780567</v>
      </c>
      <c r="CR215" s="5">
        <f>IF($B214&lt;=Tabla5[[#This Row],[INVERSIONES FCI]],+Tabla5[[#This Row],[INVERSIONES FCI]]-CR214,Tabla5[[#This Row],[INVERSIONES FCI]])</f>
        <v>26544541283.780567</v>
      </c>
      <c r="CS215" s="5">
        <f>IF($B214&lt;=Tabla5[[#This Row],[INVERSIONES FCI]],+Tabla5[[#This Row],[INVERSIONES FCI]]-CS214,Tabla5[[#This Row],[INVERSIONES FCI]])</f>
        <v>26544541283.780567</v>
      </c>
      <c r="CT215" s="5">
        <f>IF($B214&lt;=Tabla5[[#This Row],[INVERSIONES FCI]],+Tabla5[[#This Row],[INVERSIONES FCI]]-CT214,Tabla5[[#This Row],[INVERSIONES FCI]])</f>
        <v>26544541283.780567</v>
      </c>
      <c r="CU215" s="5">
        <f>IF($B214&lt;=Tabla5[[#This Row],[INVERSIONES FCI]],+Tabla5[[#This Row],[INVERSIONES FCI]]-CU214,Tabla5[[#This Row],[INVERSIONES FCI]])</f>
        <v>26544541283.780567</v>
      </c>
      <c r="CV215" s="5">
        <f>IF($B214&lt;=Tabla5[[#This Row],[INVERSIONES FCI]],+Tabla5[[#This Row],[INVERSIONES FCI]]-CV214,Tabla5[[#This Row],[INVERSIONES FCI]])</f>
        <v>26544541283.780567</v>
      </c>
      <c r="CW215" s="5">
        <f>IF($B214&lt;=Tabla5[[#This Row],[INVERSIONES FCI]],+Tabla5[[#This Row],[INVERSIONES FCI]]-CW214,Tabla5[[#This Row],[INVERSIONES FCI]])</f>
        <v>26544541283.780567</v>
      </c>
      <c r="CX215" s="5">
        <f>IF($B214&lt;=Tabla5[[#This Row],[INVERSIONES FCI]],+Tabla5[[#This Row],[INVERSIONES FCI]]-CX214,Tabla5[[#This Row],[INVERSIONES FCI]])</f>
        <v>26544541283.780567</v>
      </c>
      <c r="CY215" s="5">
        <f>IF($B214&lt;=Tabla5[[#This Row],[INVERSIONES FCI]],+Tabla5[[#This Row],[INVERSIONES FCI]]-CY214,Tabla5[[#This Row],[INVERSIONES FCI]])</f>
        <v>26544541283.780567</v>
      </c>
      <c r="CZ215" s="5">
        <f>IF($B214&lt;=Tabla5[[#This Row],[INVERSIONES FCI]],+Tabla5[[#This Row],[INVERSIONES FCI]]-CZ214,Tabla5[[#This Row],[INVERSIONES FCI]])</f>
        <v>26544541283.780567</v>
      </c>
      <c r="DA215" s="5">
        <f>IF($B214&lt;=Tabla5[[#This Row],[INVERSIONES FCI]],+Tabla5[[#This Row],[INVERSIONES FCI]]-DA214,Tabla5[[#This Row],[INVERSIONES FCI]])</f>
        <v>26544541283.780567</v>
      </c>
      <c r="DB215" s="5">
        <f>IF($B214&lt;=Tabla5[[#This Row],[INVERSIONES FCI]],+Tabla5[[#This Row],[INVERSIONES FCI]]-DB214,Tabla5[[#This Row],[INVERSIONES FCI]])</f>
        <v>26544541283.780567</v>
      </c>
      <c r="DC215" s="5">
        <f>IF($B214&lt;=Tabla5[[#This Row],[INVERSIONES FCI]],+Tabla5[[#This Row],[INVERSIONES FCI]]-DC214,Tabla5[[#This Row],[INVERSIONES FCI]])</f>
        <v>26544541283.780567</v>
      </c>
      <c r="DD215" s="5">
        <f>IF($B214&lt;=Tabla5[[#This Row],[INVERSIONES FCI]],+Tabla5[[#This Row],[INVERSIONES FCI]]-DD214,Tabla5[[#This Row],[INVERSIONES FCI]])</f>
        <v>26544541283.780567</v>
      </c>
      <c r="DE215" s="5">
        <f>IF($B214&lt;=Tabla5[[#This Row],[INVERSIONES FCI]],+Tabla5[[#This Row],[INVERSIONES FCI]]-DE214,Tabla5[[#This Row],[INVERSIONES FCI]])</f>
        <v>26544541283.780567</v>
      </c>
      <c r="DF215" s="5">
        <f>IF($B214&lt;=Tabla5[[#This Row],[INVERSIONES FCI]],+Tabla5[[#This Row],[INVERSIONES FCI]]-DF214,Tabla5[[#This Row],[INVERSIONES FCI]])</f>
        <v>26544541283.780567</v>
      </c>
      <c r="DG215" s="5">
        <f>IF($B214&lt;=Tabla5[[#This Row],[INVERSIONES FCI]],+Tabla5[[#This Row],[INVERSIONES FCI]]-DG214,Tabla5[[#This Row],[INVERSIONES FCI]])</f>
        <v>26544541283.780567</v>
      </c>
      <c r="DH215" s="5">
        <f>IF($B214&lt;=Tabla5[[#This Row],[INVERSIONES FCI]],+Tabla5[[#This Row],[INVERSIONES FCI]]-DH214,Tabla5[[#This Row],[INVERSIONES FCI]])</f>
        <v>26544541283.780567</v>
      </c>
      <c r="DI215" s="5">
        <f>IF($B214&lt;=Tabla5[[#This Row],[INVERSIONES FCI]],+Tabla5[[#This Row],[INVERSIONES FCI]]-DI214,Tabla5[[#This Row],[INVERSIONES FCI]])</f>
        <v>26544541283.780567</v>
      </c>
      <c r="DJ215" s="5">
        <f>IF($B214&lt;=Tabla5[[#This Row],[INVERSIONES FCI]],+Tabla5[[#This Row],[INVERSIONES FCI]]-DJ214,Tabla5[[#This Row],[INVERSIONES FCI]])</f>
        <v>26544541283.780567</v>
      </c>
      <c r="DK215" s="5">
        <f>IF($B214&lt;=Tabla5[[#This Row],[INVERSIONES FCI]],+Tabla5[[#This Row],[INVERSIONES FCI]]-DK214,Tabla5[[#This Row],[INVERSIONES FCI]])</f>
        <v>26544541283.780567</v>
      </c>
      <c r="DL215" s="5"/>
      <c r="DM215" s="5"/>
      <c r="DN215" s="5"/>
      <c r="DO215" s="5"/>
      <c r="DP215" s="5"/>
      <c r="DQ215" s="5"/>
    </row>
    <row r="216" spans="1:121" ht="14.4">
      <c r="A216" s="12" t="s">
        <v>215</v>
      </c>
      <c r="B216" s="5">
        <f>HLOOKUP($A216,ESCENARIO[#All],7,FALSE)</f>
        <v>28463477949.76461</v>
      </c>
      <c r="C216" s="5">
        <f>IF($B215&lt;=Tabla5[[#This Row],[INVERSIONES FCI]],+Tabla5[[#This Row],[INVERSIONES FCI]]-C215,Tabla5[[#This Row],[INVERSIONES FCI]])</f>
        <v>1918936665.9840431</v>
      </c>
      <c r="D216" s="5">
        <f>IF($B215&lt;=Tabla5[[#This Row],[INVERSIONES FCI]],+Tabla5[[#This Row],[INVERSIONES FCI]]-D215,Tabla5[[#This Row],[INVERSIONES FCI]])</f>
        <v>1918936665.9840431</v>
      </c>
      <c r="E216" s="5">
        <f>IF($B215&lt;=Tabla5[[#This Row],[INVERSIONES FCI]],+Tabla5[[#This Row],[INVERSIONES FCI]]-E215,Tabla5[[#This Row],[INVERSIONES FCI]])</f>
        <v>1918936665.9840431</v>
      </c>
      <c r="F216" s="5">
        <f>IF($B215&lt;=Tabla5[[#This Row],[INVERSIONES FCI]],+Tabla5[[#This Row],[INVERSIONES FCI]]-F215,Tabla5[[#This Row],[INVERSIONES FCI]])</f>
        <v>1918936665.9840431</v>
      </c>
      <c r="G216" s="5">
        <f>IF($B215&lt;=Tabla5[[#This Row],[INVERSIONES FCI]],+Tabla5[[#This Row],[INVERSIONES FCI]]-G215,Tabla5[[#This Row],[INVERSIONES FCI]])</f>
        <v>1918936665.9840431</v>
      </c>
      <c r="H216" s="5">
        <f>IF($B215&lt;=Tabla5[[#This Row],[INVERSIONES FCI]],+Tabla5[[#This Row],[INVERSIONES FCI]]-H215,Tabla5[[#This Row],[INVERSIONES FCI]])</f>
        <v>1918936665.9840431</v>
      </c>
      <c r="I216" s="5">
        <f>IF($B215&lt;=Tabla5[[#This Row],[INVERSIONES FCI]],+Tabla5[[#This Row],[INVERSIONES FCI]]-I215,Tabla5[[#This Row],[INVERSIONES FCI]])</f>
        <v>1918936665.9840431</v>
      </c>
      <c r="J216" s="5">
        <f>IF($B215&lt;=Tabla5[[#This Row],[INVERSIONES FCI]],+Tabla5[[#This Row],[INVERSIONES FCI]]-J215,Tabla5[[#This Row],[INVERSIONES FCI]])</f>
        <v>1918936665.9840431</v>
      </c>
      <c r="K216" s="5">
        <f>IF($B215&lt;=Tabla5[[#This Row],[INVERSIONES FCI]],+Tabla5[[#This Row],[INVERSIONES FCI]]-K215,Tabla5[[#This Row],[INVERSIONES FCI]])</f>
        <v>1918936665.9840431</v>
      </c>
      <c r="L216" s="5">
        <f>IF($B215&lt;=Tabla5[[#This Row],[INVERSIONES FCI]],+Tabla5[[#This Row],[INVERSIONES FCI]]-L215,Tabla5[[#This Row],[INVERSIONES FCI]])</f>
        <v>1918936665.9840431</v>
      </c>
      <c r="M216" s="5">
        <f>IF($B215&lt;=Tabla5[[#This Row],[INVERSIONES FCI]],+Tabla5[[#This Row],[INVERSIONES FCI]]-M215,Tabla5[[#This Row],[INVERSIONES FCI]])</f>
        <v>1918936665.9840431</v>
      </c>
      <c r="N216" s="5">
        <f>IF($B215&lt;=Tabla5[[#This Row],[INVERSIONES FCI]],+Tabla5[[#This Row],[INVERSIONES FCI]]-N215,Tabla5[[#This Row],[INVERSIONES FCI]])</f>
        <v>1918936665.9840431</v>
      </c>
      <c r="O216" s="5">
        <f>IF($B215&lt;=Tabla5[[#This Row],[INVERSIONES FCI]],+Tabla5[[#This Row],[INVERSIONES FCI]]-O215,Tabla5[[#This Row],[INVERSIONES FCI]])</f>
        <v>1918936665.9840431</v>
      </c>
      <c r="P216" s="5">
        <f>IF($B215&lt;=Tabla5[[#This Row],[INVERSIONES FCI]],+Tabla5[[#This Row],[INVERSIONES FCI]]-P215,Tabla5[[#This Row],[INVERSIONES FCI]])</f>
        <v>1918936665.9840431</v>
      </c>
      <c r="Q216" s="5">
        <f>IF($B215&lt;=Tabla5[[#This Row],[INVERSIONES FCI]],+Tabla5[[#This Row],[INVERSIONES FCI]]-Q215,Tabla5[[#This Row],[INVERSIONES FCI]])</f>
        <v>1918936665.9840431</v>
      </c>
      <c r="R216" s="5">
        <f>IF($B215&lt;=Tabla5[[#This Row],[INVERSIONES FCI]],+Tabla5[[#This Row],[INVERSIONES FCI]]-R215,Tabla5[[#This Row],[INVERSIONES FCI]])</f>
        <v>1918936665.9840431</v>
      </c>
      <c r="S216" s="5">
        <f>IF($B215&lt;=Tabla5[[#This Row],[INVERSIONES FCI]],+Tabla5[[#This Row],[INVERSIONES FCI]]-S215,Tabla5[[#This Row],[INVERSIONES FCI]])</f>
        <v>1918936665.9840431</v>
      </c>
      <c r="T216" s="5">
        <f>IF($B215&lt;=Tabla5[[#This Row],[INVERSIONES FCI]],+Tabla5[[#This Row],[INVERSIONES FCI]]-T215,Tabla5[[#This Row],[INVERSIONES FCI]])</f>
        <v>1918936665.9840431</v>
      </c>
      <c r="U216" s="5">
        <f>IF($B215&lt;=Tabla5[[#This Row],[INVERSIONES FCI]],+Tabla5[[#This Row],[INVERSIONES FCI]]-U215,Tabla5[[#This Row],[INVERSIONES FCI]])</f>
        <v>1918936665.9840431</v>
      </c>
      <c r="V216" s="5">
        <f>IF($B215&lt;=Tabla5[[#This Row],[INVERSIONES FCI]],+Tabla5[[#This Row],[INVERSIONES FCI]]-V215,Tabla5[[#This Row],[INVERSIONES FCI]])</f>
        <v>1918936665.9840431</v>
      </c>
      <c r="W216" s="5">
        <f>IF($B215&lt;=Tabla5[[#This Row],[INVERSIONES FCI]],+Tabla5[[#This Row],[INVERSIONES FCI]]-W215,Tabla5[[#This Row],[INVERSIONES FCI]])</f>
        <v>1918936665.9840431</v>
      </c>
      <c r="X216" s="5">
        <f>IF($B215&lt;=Tabla5[[#This Row],[INVERSIONES FCI]],+Tabla5[[#This Row],[INVERSIONES FCI]]-X215,Tabla5[[#This Row],[INVERSIONES FCI]])</f>
        <v>1918936665.9840431</v>
      </c>
      <c r="Y216" s="5">
        <f>IF($B215&lt;=Tabla5[[#This Row],[INVERSIONES FCI]],+Tabla5[[#This Row],[INVERSIONES FCI]]-Y215,Tabla5[[#This Row],[INVERSIONES FCI]])</f>
        <v>1918936665.9840431</v>
      </c>
      <c r="Z216" s="5">
        <f>IF($B215&lt;=Tabla5[[#This Row],[INVERSIONES FCI]],+Tabla5[[#This Row],[INVERSIONES FCI]]-Z215,Tabla5[[#This Row],[INVERSIONES FCI]])</f>
        <v>1918936665.9840431</v>
      </c>
      <c r="AA216" s="5">
        <f>IF($B215&lt;=Tabla5[[#This Row],[INVERSIONES FCI]],+Tabla5[[#This Row],[INVERSIONES FCI]]-AA215,Tabla5[[#This Row],[INVERSIONES FCI]])</f>
        <v>1918936665.9840431</v>
      </c>
      <c r="AB216" s="5">
        <f>IF($B215&lt;=Tabla5[[#This Row],[INVERSIONES FCI]],+Tabla5[[#This Row],[INVERSIONES FCI]]-AB215,Tabla5[[#This Row],[INVERSIONES FCI]])</f>
        <v>1918936665.9840431</v>
      </c>
      <c r="AC216" s="5">
        <f>IF($B215&lt;=Tabla5[[#This Row],[INVERSIONES FCI]],+Tabla5[[#This Row],[INVERSIONES FCI]]-AC215,Tabla5[[#This Row],[INVERSIONES FCI]])</f>
        <v>1918936665.9840431</v>
      </c>
      <c r="AD216" s="5">
        <f>IF($B215&lt;=Tabla5[[#This Row],[INVERSIONES FCI]],+Tabla5[[#This Row],[INVERSIONES FCI]]-AD215,Tabla5[[#This Row],[INVERSIONES FCI]])</f>
        <v>1918936665.9840431</v>
      </c>
      <c r="AE216" s="5">
        <f>IF($B215&lt;=Tabla5[[#This Row],[INVERSIONES FCI]],+Tabla5[[#This Row],[INVERSIONES FCI]]-AE215,Tabla5[[#This Row],[INVERSIONES FCI]])</f>
        <v>1918936665.9840431</v>
      </c>
      <c r="AF216" s="5">
        <f>IF($B215&lt;=Tabla5[[#This Row],[INVERSIONES FCI]],+Tabla5[[#This Row],[INVERSIONES FCI]]-AF215,Tabla5[[#This Row],[INVERSIONES FCI]])</f>
        <v>1918936665.9840431</v>
      </c>
      <c r="AG216" s="5">
        <f>IF($B215&lt;=Tabla5[[#This Row],[INVERSIONES FCI]],+Tabla5[[#This Row],[INVERSIONES FCI]]-AG215,Tabla5[[#This Row],[INVERSIONES FCI]])</f>
        <v>1918936665.9840431</v>
      </c>
      <c r="AH216" s="5">
        <f>IF($B215&lt;=Tabla5[[#This Row],[INVERSIONES FCI]],+Tabla5[[#This Row],[INVERSIONES FCI]]-AH215,Tabla5[[#This Row],[INVERSIONES FCI]])</f>
        <v>1918936665.9840431</v>
      </c>
      <c r="AI216" s="5">
        <f>IF($B215&lt;=Tabla5[[#This Row],[INVERSIONES FCI]],+Tabla5[[#This Row],[INVERSIONES FCI]]-AI215,Tabla5[[#This Row],[INVERSIONES FCI]])</f>
        <v>1918936665.9840431</v>
      </c>
      <c r="AJ216" s="5">
        <f>IF($B215&lt;=Tabla5[[#This Row],[INVERSIONES FCI]],+Tabla5[[#This Row],[INVERSIONES FCI]]-AJ215,Tabla5[[#This Row],[INVERSIONES FCI]])</f>
        <v>1918936665.9840431</v>
      </c>
      <c r="AK216" s="5">
        <f>IF($B215&lt;=Tabla5[[#This Row],[INVERSIONES FCI]],+Tabla5[[#This Row],[INVERSIONES FCI]]-AK215,Tabla5[[#This Row],[INVERSIONES FCI]])</f>
        <v>1918936665.9840431</v>
      </c>
      <c r="AL216" s="5">
        <f>IF($B215&lt;=Tabla5[[#This Row],[INVERSIONES FCI]],+Tabla5[[#This Row],[INVERSIONES FCI]]-AL215,Tabla5[[#This Row],[INVERSIONES FCI]])</f>
        <v>1918936665.9840431</v>
      </c>
      <c r="AM216" s="5">
        <f>IF($B215&lt;=Tabla5[[#This Row],[INVERSIONES FCI]],+Tabla5[[#This Row],[INVERSIONES FCI]]-AM215,Tabla5[[#This Row],[INVERSIONES FCI]])</f>
        <v>1918936665.9840431</v>
      </c>
      <c r="AN216" s="5">
        <f>IF($B215&lt;=Tabla5[[#This Row],[INVERSIONES FCI]],+Tabla5[[#This Row],[INVERSIONES FCI]]-AN215,Tabla5[[#This Row],[INVERSIONES FCI]])</f>
        <v>1918936665.9840431</v>
      </c>
      <c r="AO216" s="5">
        <f>IF($B215&lt;=Tabla5[[#This Row],[INVERSIONES FCI]],+Tabla5[[#This Row],[INVERSIONES FCI]]-AO215,Tabla5[[#This Row],[INVERSIONES FCI]])</f>
        <v>1918936665.9840431</v>
      </c>
      <c r="AP216" s="5">
        <f>IF($B215&lt;=Tabla5[[#This Row],[INVERSIONES FCI]],+Tabla5[[#This Row],[INVERSIONES FCI]]-AP215,Tabla5[[#This Row],[INVERSIONES FCI]])</f>
        <v>1918936665.9840431</v>
      </c>
      <c r="AQ216" s="5">
        <f>IF($B215&lt;=Tabla5[[#This Row],[INVERSIONES FCI]],+Tabla5[[#This Row],[INVERSIONES FCI]]-AQ215,Tabla5[[#This Row],[INVERSIONES FCI]])</f>
        <v>1918936665.9840431</v>
      </c>
      <c r="AR216" s="5">
        <f>IF($B215&lt;=Tabla5[[#This Row],[INVERSIONES FCI]],+Tabla5[[#This Row],[INVERSIONES FCI]]-AR215,Tabla5[[#This Row],[INVERSIONES FCI]])</f>
        <v>1918936665.9840431</v>
      </c>
      <c r="AS216" s="5">
        <f>IF($B215&lt;=Tabla5[[#This Row],[INVERSIONES FCI]],+Tabla5[[#This Row],[INVERSIONES FCI]]-AS215,Tabla5[[#This Row],[INVERSIONES FCI]])</f>
        <v>1918936665.9840431</v>
      </c>
      <c r="AT216" s="5">
        <f>IF($B215&lt;=Tabla5[[#This Row],[INVERSIONES FCI]],+Tabla5[[#This Row],[INVERSIONES FCI]]-AT215,Tabla5[[#This Row],[INVERSIONES FCI]])</f>
        <v>1918936665.9840431</v>
      </c>
      <c r="AU216" s="5">
        <f>IF($B215&lt;=Tabla5[[#This Row],[INVERSIONES FCI]],+Tabla5[[#This Row],[INVERSIONES FCI]]-AU215,Tabla5[[#This Row],[INVERSIONES FCI]])</f>
        <v>1918936665.9840431</v>
      </c>
      <c r="AV216" s="5">
        <f>IF($B215&lt;=Tabla5[[#This Row],[INVERSIONES FCI]],+Tabla5[[#This Row],[INVERSIONES FCI]]-AV215,Tabla5[[#This Row],[INVERSIONES FCI]])</f>
        <v>1918936665.9840431</v>
      </c>
      <c r="AW216" s="5">
        <f>IF($B215&lt;=Tabla5[[#This Row],[INVERSIONES FCI]],+Tabla5[[#This Row],[INVERSIONES FCI]]-AW215,Tabla5[[#This Row],[INVERSIONES FCI]])</f>
        <v>1918936665.9840431</v>
      </c>
      <c r="AX216" s="5">
        <f>IF($B215&lt;=Tabla5[[#This Row],[INVERSIONES FCI]],+Tabla5[[#This Row],[INVERSIONES FCI]]-AX215,Tabla5[[#This Row],[INVERSIONES FCI]])</f>
        <v>1918936665.9840431</v>
      </c>
      <c r="AY216" s="5">
        <f>IF($B215&lt;=Tabla5[[#This Row],[INVERSIONES FCI]],+Tabla5[[#This Row],[INVERSIONES FCI]]-AY215,Tabla5[[#This Row],[INVERSIONES FCI]])</f>
        <v>1918936665.9840431</v>
      </c>
      <c r="AZ216" s="5">
        <f>IF($B215&lt;=Tabla5[[#This Row],[INVERSIONES FCI]],+Tabla5[[#This Row],[INVERSIONES FCI]]-AZ215,Tabla5[[#This Row],[INVERSIONES FCI]])</f>
        <v>1918936665.9840431</v>
      </c>
      <c r="BA216" s="5">
        <f>IF($B215&lt;=Tabla5[[#This Row],[INVERSIONES FCI]],+Tabla5[[#This Row],[INVERSIONES FCI]]-BA215,Tabla5[[#This Row],[INVERSIONES FCI]])</f>
        <v>1918936665.9840431</v>
      </c>
      <c r="BB216" s="5">
        <f>IF($B215&lt;=Tabla5[[#This Row],[INVERSIONES FCI]],+Tabla5[[#This Row],[INVERSIONES FCI]]-BB215,Tabla5[[#This Row],[INVERSIONES FCI]])</f>
        <v>1918936665.9840431</v>
      </c>
      <c r="BC216" s="5">
        <f>IF($B215&lt;=Tabla5[[#This Row],[INVERSIONES FCI]],+Tabla5[[#This Row],[INVERSIONES FCI]]-BC215,Tabla5[[#This Row],[INVERSIONES FCI]])</f>
        <v>1918936665.9840431</v>
      </c>
      <c r="BD216" s="5">
        <f>IF($B215&lt;=Tabla5[[#This Row],[INVERSIONES FCI]],+Tabla5[[#This Row],[INVERSIONES FCI]]-BD215,Tabla5[[#This Row],[INVERSIONES FCI]])</f>
        <v>1918936665.9840431</v>
      </c>
      <c r="BE216" s="5">
        <f>IF($B215&lt;=Tabla5[[#This Row],[INVERSIONES FCI]],+Tabla5[[#This Row],[INVERSIONES FCI]]-BE215,Tabla5[[#This Row],[INVERSIONES FCI]])</f>
        <v>1918936665.9840431</v>
      </c>
      <c r="BF216" s="5">
        <f>IF($B215&lt;=Tabla5[[#This Row],[INVERSIONES FCI]],+Tabla5[[#This Row],[INVERSIONES FCI]]-BF215,Tabla5[[#This Row],[INVERSIONES FCI]])</f>
        <v>1918936665.9840431</v>
      </c>
      <c r="BG216" s="5">
        <f>IF($B215&lt;=Tabla5[[#This Row],[INVERSIONES FCI]],+Tabla5[[#This Row],[INVERSIONES FCI]]-BG215,Tabla5[[#This Row],[INVERSIONES FCI]])</f>
        <v>1918936665.9840431</v>
      </c>
      <c r="BH216" s="5">
        <f>IF($B215&lt;=Tabla5[[#This Row],[INVERSIONES FCI]],+Tabla5[[#This Row],[INVERSIONES FCI]]-BH215,Tabla5[[#This Row],[INVERSIONES FCI]])</f>
        <v>1918936665.9840431</v>
      </c>
      <c r="BI216" s="5">
        <f>IF($B215&lt;=Tabla5[[#This Row],[INVERSIONES FCI]],+Tabla5[[#This Row],[INVERSIONES FCI]]-BI215,Tabla5[[#This Row],[INVERSIONES FCI]])</f>
        <v>1918936665.9840431</v>
      </c>
      <c r="BJ216" s="5">
        <f>IF($B215&lt;=Tabla5[[#This Row],[INVERSIONES FCI]],+Tabla5[[#This Row],[INVERSIONES FCI]]-BJ215,Tabla5[[#This Row],[INVERSIONES FCI]])</f>
        <v>1918936665.9840431</v>
      </c>
      <c r="BK216" s="5">
        <f>IF($B215&lt;=Tabla5[[#This Row],[INVERSIONES FCI]],+Tabla5[[#This Row],[INVERSIONES FCI]]-BK215,Tabla5[[#This Row],[INVERSIONES FCI]])</f>
        <v>1918936665.9840431</v>
      </c>
      <c r="BL216" s="5">
        <f>IF($B215&lt;=Tabla5[[#This Row],[INVERSIONES FCI]],+Tabla5[[#This Row],[INVERSIONES FCI]]-BL215,Tabla5[[#This Row],[INVERSIONES FCI]])</f>
        <v>1918936665.9840431</v>
      </c>
      <c r="BM216" s="5">
        <f>IF($B215&lt;=Tabla5[[#This Row],[INVERSIONES FCI]],+Tabla5[[#This Row],[INVERSIONES FCI]]-BM215,Tabla5[[#This Row],[INVERSIONES FCI]])</f>
        <v>1918936665.9840431</v>
      </c>
      <c r="BN216" s="5">
        <f>IF($B215&lt;=Tabla5[[#This Row],[INVERSIONES FCI]],+Tabla5[[#This Row],[INVERSIONES FCI]]-BN215,Tabla5[[#This Row],[INVERSIONES FCI]])</f>
        <v>1918936665.9840431</v>
      </c>
      <c r="BO216" s="5">
        <f>IF($B215&lt;=Tabla5[[#This Row],[INVERSIONES FCI]],+Tabla5[[#This Row],[INVERSIONES FCI]]-BO215,Tabla5[[#This Row],[INVERSIONES FCI]])</f>
        <v>1918936665.9840431</v>
      </c>
      <c r="BP216" s="5">
        <f>IF($B215&lt;=Tabla5[[#This Row],[INVERSIONES FCI]],+Tabla5[[#This Row],[INVERSIONES FCI]]-BP215,Tabla5[[#This Row],[INVERSIONES FCI]])</f>
        <v>1918936665.9840431</v>
      </c>
      <c r="BQ216" s="5">
        <f>IF($B215&lt;=Tabla5[[#This Row],[INVERSIONES FCI]],+Tabla5[[#This Row],[INVERSIONES FCI]]-BQ215,Tabla5[[#This Row],[INVERSIONES FCI]])</f>
        <v>1918936665.9840431</v>
      </c>
      <c r="BR216" s="5">
        <f>IF($B215&lt;=Tabla5[[#This Row],[INVERSIONES FCI]],+Tabla5[[#This Row],[INVERSIONES FCI]]-BR215,Tabla5[[#This Row],[INVERSIONES FCI]])</f>
        <v>1918936665.9840431</v>
      </c>
      <c r="BS216" s="5">
        <f>IF($B215&lt;=Tabla5[[#This Row],[INVERSIONES FCI]],+Tabla5[[#This Row],[INVERSIONES FCI]]-BS215,Tabla5[[#This Row],[INVERSIONES FCI]])</f>
        <v>1918936665.9840431</v>
      </c>
      <c r="BT216" s="5">
        <f>IF($B215&lt;=Tabla5[[#This Row],[INVERSIONES FCI]],+Tabla5[[#This Row],[INVERSIONES FCI]]-BT215,Tabla5[[#This Row],[INVERSIONES FCI]])</f>
        <v>1918936665.9840431</v>
      </c>
      <c r="BU216" s="5">
        <f>IF($B215&lt;=Tabla5[[#This Row],[INVERSIONES FCI]],+Tabla5[[#This Row],[INVERSIONES FCI]]-BU215,Tabla5[[#This Row],[INVERSIONES FCI]])</f>
        <v>1918936665.9840431</v>
      </c>
      <c r="BV216" s="5">
        <f>IF($B215&lt;=Tabla5[[#This Row],[INVERSIONES FCI]],+Tabla5[[#This Row],[INVERSIONES FCI]]-BV215,Tabla5[[#This Row],[INVERSIONES FCI]])</f>
        <v>1918936665.9840431</v>
      </c>
      <c r="BW216" s="5">
        <f>IF($B215&lt;=Tabla5[[#This Row],[INVERSIONES FCI]],+Tabla5[[#This Row],[INVERSIONES FCI]]-BW215,Tabla5[[#This Row],[INVERSIONES FCI]])</f>
        <v>1918936665.9840431</v>
      </c>
      <c r="BX216" s="5">
        <f>IF($B215&lt;=Tabla5[[#This Row],[INVERSIONES FCI]],+Tabla5[[#This Row],[INVERSIONES FCI]]-BX215,Tabla5[[#This Row],[INVERSIONES FCI]])</f>
        <v>1918936665.9840431</v>
      </c>
      <c r="BY216" s="5">
        <f>IF($B215&lt;=Tabla5[[#This Row],[INVERSIONES FCI]],+Tabla5[[#This Row],[INVERSIONES FCI]]-BY215,Tabla5[[#This Row],[INVERSIONES FCI]])</f>
        <v>1918936665.9840431</v>
      </c>
      <c r="BZ216" s="5">
        <f>IF($B215&lt;=Tabla5[[#This Row],[INVERSIONES FCI]],+Tabla5[[#This Row],[INVERSIONES FCI]]-BZ215,Tabla5[[#This Row],[INVERSIONES FCI]])</f>
        <v>1918936665.9840431</v>
      </c>
      <c r="CA216" s="5">
        <f>IF($B215&lt;=Tabla5[[#This Row],[INVERSIONES FCI]],+Tabla5[[#This Row],[INVERSIONES FCI]]-CA215,Tabla5[[#This Row],[INVERSIONES FCI]])</f>
        <v>1918936665.9840431</v>
      </c>
      <c r="CB216" s="5">
        <f>IF($B215&lt;=Tabla5[[#This Row],[INVERSIONES FCI]],+Tabla5[[#This Row],[INVERSIONES FCI]]-CB215,Tabla5[[#This Row],[INVERSIONES FCI]])</f>
        <v>1918936665.9840431</v>
      </c>
      <c r="CC216" s="5">
        <f>IF($B215&lt;=Tabla5[[#This Row],[INVERSIONES FCI]],+Tabla5[[#This Row],[INVERSIONES FCI]]-CC215,Tabla5[[#This Row],[INVERSIONES FCI]])</f>
        <v>1918936665.9840431</v>
      </c>
      <c r="CD216" s="5">
        <f>IF($B215&lt;=Tabla5[[#This Row],[INVERSIONES FCI]],+Tabla5[[#This Row],[INVERSIONES FCI]]-CD215,Tabla5[[#This Row],[INVERSIONES FCI]])</f>
        <v>1918936665.9840431</v>
      </c>
      <c r="CE216" s="5">
        <f>IF($B215&lt;=Tabla5[[#This Row],[INVERSIONES FCI]],+Tabla5[[#This Row],[INVERSIONES FCI]]-CE215,Tabla5[[#This Row],[INVERSIONES FCI]])</f>
        <v>1918936665.9840431</v>
      </c>
      <c r="CF216" s="5">
        <f>IF($B215&lt;=Tabla5[[#This Row],[INVERSIONES FCI]],+Tabla5[[#This Row],[INVERSIONES FCI]]-CF215,Tabla5[[#This Row],[INVERSIONES FCI]])</f>
        <v>1918936665.9840431</v>
      </c>
      <c r="CG216" s="5">
        <f>IF($B215&lt;=Tabla5[[#This Row],[INVERSIONES FCI]],+Tabla5[[#This Row],[INVERSIONES FCI]]-CG215,Tabla5[[#This Row],[INVERSIONES FCI]])</f>
        <v>1918936665.9840431</v>
      </c>
      <c r="CH216" s="5">
        <f>IF($B215&lt;=Tabla5[[#This Row],[INVERSIONES FCI]],+Tabla5[[#This Row],[INVERSIONES FCI]]-CH215,Tabla5[[#This Row],[INVERSIONES FCI]])</f>
        <v>1918936665.9840431</v>
      </c>
      <c r="CI216" s="5">
        <f>IF($B215&lt;=Tabla5[[#This Row],[INVERSIONES FCI]],+Tabla5[[#This Row],[INVERSIONES FCI]]-CI215,Tabla5[[#This Row],[INVERSIONES FCI]])</f>
        <v>1918936665.9840431</v>
      </c>
      <c r="CJ216" s="5">
        <f>IF($B215&lt;=Tabla5[[#This Row],[INVERSIONES FCI]],+Tabla5[[#This Row],[INVERSIONES FCI]]-CJ215,Tabla5[[#This Row],[INVERSIONES FCI]])</f>
        <v>1918936665.9840431</v>
      </c>
      <c r="CK216" s="5">
        <f>IF($B215&lt;=Tabla5[[#This Row],[INVERSIONES FCI]],+Tabla5[[#This Row],[INVERSIONES FCI]]-CK215,Tabla5[[#This Row],[INVERSIONES FCI]])</f>
        <v>1918936665.9840431</v>
      </c>
      <c r="CL216" s="5">
        <f>IF($B215&lt;=Tabla5[[#This Row],[INVERSIONES FCI]],+Tabla5[[#This Row],[INVERSIONES FCI]]-CL215,Tabla5[[#This Row],[INVERSIONES FCI]])</f>
        <v>1918936665.9840431</v>
      </c>
      <c r="CM216" s="5">
        <f>IF($B215&lt;=Tabla5[[#This Row],[INVERSIONES FCI]],+Tabla5[[#This Row],[INVERSIONES FCI]]-CM215,Tabla5[[#This Row],[INVERSIONES FCI]])</f>
        <v>1918936665.9840431</v>
      </c>
      <c r="CN216" s="5">
        <f>IF($B215&lt;=Tabla5[[#This Row],[INVERSIONES FCI]],+Tabla5[[#This Row],[INVERSIONES FCI]]-CN215,Tabla5[[#This Row],[INVERSIONES FCI]])</f>
        <v>1918936665.9840431</v>
      </c>
      <c r="CO216" s="5">
        <f>IF($B215&lt;=Tabla5[[#This Row],[INVERSIONES FCI]],+Tabla5[[#This Row],[INVERSIONES FCI]]-CO215,Tabla5[[#This Row],[INVERSIONES FCI]])</f>
        <v>1918936665.9840431</v>
      </c>
      <c r="CP216" s="5">
        <f>IF($B215&lt;=Tabla5[[#This Row],[INVERSIONES FCI]],+Tabla5[[#This Row],[INVERSIONES FCI]]-CP215,Tabla5[[#This Row],[INVERSIONES FCI]])</f>
        <v>1918936665.9840431</v>
      </c>
      <c r="CQ216" s="5">
        <f>IF($B215&lt;=Tabla5[[#This Row],[INVERSIONES FCI]],+Tabla5[[#This Row],[INVERSIONES FCI]]-CQ215,Tabla5[[#This Row],[INVERSIONES FCI]])</f>
        <v>1918936665.9840431</v>
      </c>
      <c r="CR216" s="5">
        <f>IF($B215&lt;=Tabla5[[#This Row],[INVERSIONES FCI]],+Tabla5[[#This Row],[INVERSIONES FCI]]-CR215,Tabla5[[#This Row],[INVERSIONES FCI]])</f>
        <v>1918936665.9840431</v>
      </c>
      <c r="CS216" s="5">
        <f>IF($B215&lt;=Tabla5[[#This Row],[INVERSIONES FCI]],+Tabla5[[#This Row],[INVERSIONES FCI]]-CS215,Tabla5[[#This Row],[INVERSIONES FCI]])</f>
        <v>1918936665.9840431</v>
      </c>
      <c r="CT216" s="5">
        <f>IF($B215&lt;=Tabla5[[#This Row],[INVERSIONES FCI]],+Tabla5[[#This Row],[INVERSIONES FCI]]-CT215,Tabla5[[#This Row],[INVERSIONES FCI]])</f>
        <v>1918936665.9840431</v>
      </c>
      <c r="CU216" s="5">
        <f>IF($B215&lt;=Tabla5[[#This Row],[INVERSIONES FCI]],+Tabla5[[#This Row],[INVERSIONES FCI]]-CU215,Tabla5[[#This Row],[INVERSIONES FCI]])</f>
        <v>1918936665.9840431</v>
      </c>
      <c r="CV216" s="5">
        <f>IF($B215&lt;=Tabla5[[#This Row],[INVERSIONES FCI]],+Tabla5[[#This Row],[INVERSIONES FCI]]-CV215,Tabla5[[#This Row],[INVERSIONES FCI]])</f>
        <v>1918936665.9840431</v>
      </c>
      <c r="CW216" s="5">
        <f>IF($B215&lt;=Tabla5[[#This Row],[INVERSIONES FCI]],+Tabla5[[#This Row],[INVERSIONES FCI]]-CW215,Tabla5[[#This Row],[INVERSIONES FCI]])</f>
        <v>1918936665.9840431</v>
      </c>
      <c r="CX216" s="5">
        <f>IF($B215&lt;=Tabla5[[#This Row],[INVERSIONES FCI]],+Tabla5[[#This Row],[INVERSIONES FCI]]-CX215,Tabla5[[#This Row],[INVERSIONES FCI]])</f>
        <v>1918936665.9840431</v>
      </c>
      <c r="CY216" s="5">
        <f>IF($B215&lt;=Tabla5[[#This Row],[INVERSIONES FCI]],+Tabla5[[#This Row],[INVERSIONES FCI]]-CY215,Tabla5[[#This Row],[INVERSIONES FCI]])</f>
        <v>1918936665.9840431</v>
      </c>
      <c r="CZ216" s="5">
        <f>IF($B215&lt;=Tabla5[[#This Row],[INVERSIONES FCI]],+Tabla5[[#This Row],[INVERSIONES FCI]]-CZ215,Tabla5[[#This Row],[INVERSIONES FCI]])</f>
        <v>1918936665.9840431</v>
      </c>
      <c r="DA216" s="5">
        <f>IF($B215&lt;=Tabla5[[#This Row],[INVERSIONES FCI]],+Tabla5[[#This Row],[INVERSIONES FCI]]-DA215,Tabla5[[#This Row],[INVERSIONES FCI]])</f>
        <v>1918936665.9840431</v>
      </c>
      <c r="DB216" s="5">
        <f>IF($B215&lt;=Tabla5[[#This Row],[INVERSIONES FCI]],+Tabla5[[#This Row],[INVERSIONES FCI]]-DB215,Tabla5[[#This Row],[INVERSIONES FCI]])</f>
        <v>1918936665.9840431</v>
      </c>
      <c r="DC216" s="5">
        <f>IF($B215&lt;=Tabla5[[#This Row],[INVERSIONES FCI]],+Tabla5[[#This Row],[INVERSIONES FCI]]-DC215,Tabla5[[#This Row],[INVERSIONES FCI]])</f>
        <v>1918936665.9840431</v>
      </c>
      <c r="DD216" s="5">
        <f>IF($B215&lt;=Tabla5[[#This Row],[INVERSIONES FCI]],+Tabla5[[#This Row],[INVERSIONES FCI]]-DD215,Tabla5[[#This Row],[INVERSIONES FCI]])</f>
        <v>1918936665.9840431</v>
      </c>
      <c r="DE216" s="5">
        <f>IF($B215&lt;=Tabla5[[#This Row],[INVERSIONES FCI]],+Tabla5[[#This Row],[INVERSIONES FCI]]-DE215,Tabla5[[#This Row],[INVERSIONES FCI]])</f>
        <v>1918936665.9840431</v>
      </c>
      <c r="DF216" s="5">
        <f>IF($B215&lt;=Tabla5[[#This Row],[INVERSIONES FCI]],+Tabla5[[#This Row],[INVERSIONES FCI]]-DF215,Tabla5[[#This Row],[INVERSIONES FCI]])</f>
        <v>1918936665.9840431</v>
      </c>
      <c r="DG216" s="5">
        <f>IF($B215&lt;=Tabla5[[#This Row],[INVERSIONES FCI]],+Tabla5[[#This Row],[INVERSIONES FCI]]-DG215,Tabla5[[#This Row],[INVERSIONES FCI]])</f>
        <v>1918936665.9840431</v>
      </c>
      <c r="DH216" s="5">
        <f>IF($B215&lt;=Tabla5[[#This Row],[INVERSIONES FCI]],+Tabla5[[#This Row],[INVERSIONES FCI]]-DH215,Tabla5[[#This Row],[INVERSIONES FCI]])</f>
        <v>1918936665.9840431</v>
      </c>
      <c r="DI216" s="5">
        <f>IF($B215&lt;=Tabla5[[#This Row],[INVERSIONES FCI]],+Tabla5[[#This Row],[INVERSIONES FCI]]-DI215,Tabla5[[#This Row],[INVERSIONES FCI]])</f>
        <v>1918936665.9840431</v>
      </c>
      <c r="DJ216" s="5">
        <f>IF($B215&lt;=Tabla5[[#This Row],[INVERSIONES FCI]],+Tabla5[[#This Row],[INVERSIONES FCI]]-DJ215,Tabla5[[#This Row],[INVERSIONES FCI]])</f>
        <v>1918936665.9840431</v>
      </c>
      <c r="DK216" s="5">
        <f>IF($B215&lt;=Tabla5[[#This Row],[INVERSIONES FCI]],+Tabla5[[#This Row],[INVERSIONES FCI]]-DK215,Tabla5[[#This Row],[INVERSIONES FCI]])</f>
        <v>1918936665.9840431</v>
      </c>
      <c r="DL216" s="5"/>
      <c r="DM216" s="5"/>
      <c r="DN216" s="5"/>
      <c r="DO216" s="5"/>
      <c r="DP216" s="5"/>
      <c r="DQ216" s="5"/>
    </row>
    <row r="217" spans="1:121" ht="14.4">
      <c r="A217" s="12" t="s">
        <v>216</v>
      </c>
      <c r="B217" s="5">
        <f>HLOOKUP($A217,ESCENARIO[#All],7,FALSE)</f>
        <v>29439486687.784657</v>
      </c>
      <c r="C217" s="5">
        <f>IF($B216&lt;=Tabla5[[#This Row],[INVERSIONES FCI]],+Tabla5[[#This Row],[INVERSIONES FCI]]-C216,Tabla5[[#This Row],[INVERSIONES FCI]])</f>
        <v>27520550021.800613</v>
      </c>
      <c r="D217" s="5">
        <f>IF($B216&lt;=Tabla5[[#This Row],[INVERSIONES FCI]],+Tabla5[[#This Row],[INVERSIONES FCI]]-D216,Tabla5[[#This Row],[INVERSIONES FCI]])</f>
        <v>27520550021.800613</v>
      </c>
      <c r="E217" s="5">
        <f>IF($B216&lt;=Tabla5[[#This Row],[INVERSIONES FCI]],+Tabla5[[#This Row],[INVERSIONES FCI]]-E216,Tabla5[[#This Row],[INVERSIONES FCI]])</f>
        <v>27520550021.800613</v>
      </c>
      <c r="F217" s="5">
        <f>IF($B216&lt;=Tabla5[[#This Row],[INVERSIONES FCI]],+Tabla5[[#This Row],[INVERSIONES FCI]]-F216,Tabla5[[#This Row],[INVERSIONES FCI]])</f>
        <v>27520550021.800613</v>
      </c>
      <c r="G217" s="5">
        <f>IF($B216&lt;=Tabla5[[#This Row],[INVERSIONES FCI]],+Tabla5[[#This Row],[INVERSIONES FCI]]-G216,Tabla5[[#This Row],[INVERSIONES FCI]])</f>
        <v>27520550021.800613</v>
      </c>
      <c r="H217" s="5">
        <f>IF($B216&lt;=Tabla5[[#This Row],[INVERSIONES FCI]],+Tabla5[[#This Row],[INVERSIONES FCI]]-H216,Tabla5[[#This Row],[INVERSIONES FCI]])</f>
        <v>27520550021.800613</v>
      </c>
      <c r="I217" s="5">
        <f>IF($B216&lt;=Tabla5[[#This Row],[INVERSIONES FCI]],+Tabla5[[#This Row],[INVERSIONES FCI]]-I216,Tabla5[[#This Row],[INVERSIONES FCI]])</f>
        <v>27520550021.800613</v>
      </c>
      <c r="J217" s="5">
        <f>IF($B216&lt;=Tabla5[[#This Row],[INVERSIONES FCI]],+Tabla5[[#This Row],[INVERSIONES FCI]]-J216,Tabla5[[#This Row],[INVERSIONES FCI]])</f>
        <v>27520550021.800613</v>
      </c>
      <c r="K217" s="5">
        <f>IF($B216&lt;=Tabla5[[#This Row],[INVERSIONES FCI]],+Tabla5[[#This Row],[INVERSIONES FCI]]-K216,Tabla5[[#This Row],[INVERSIONES FCI]])</f>
        <v>27520550021.800613</v>
      </c>
      <c r="L217" s="5">
        <f>IF($B216&lt;=Tabla5[[#This Row],[INVERSIONES FCI]],+Tabla5[[#This Row],[INVERSIONES FCI]]-L216,Tabla5[[#This Row],[INVERSIONES FCI]])</f>
        <v>27520550021.800613</v>
      </c>
      <c r="M217" s="5">
        <f>IF($B216&lt;=Tabla5[[#This Row],[INVERSIONES FCI]],+Tabla5[[#This Row],[INVERSIONES FCI]]-M216,Tabla5[[#This Row],[INVERSIONES FCI]])</f>
        <v>27520550021.800613</v>
      </c>
      <c r="N217" s="5">
        <f>IF($B216&lt;=Tabla5[[#This Row],[INVERSIONES FCI]],+Tabla5[[#This Row],[INVERSIONES FCI]]-N216,Tabla5[[#This Row],[INVERSIONES FCI]])</f>
        <v>27520550021.800613</v>
      </c>
      <c r="O217" s="5">
        <f>IF($B216&lt;=Tabla5[[#This Row],[INVERSIONES FCI]],+Tabla5[[#This Row],[INVERSIONES FCI]]-O216,Tabla5[[#This Row],[INVERSIONES FCI]])</f>
        <v>27520550021.800613</v>
      </c>
      <c r="P217" s="5">
        <f>IF($B216&lt;=Tabla5[[#This Row],[INVERSIONES FCI]],+Tabla5[[#This Row],[INVERSIONES FCI]]-P216,Tabla5[[#This Row],[INVERSIONES FCI]])</f>
        <v>27520550021.800613</v>
      </c>
      <c r="Q217" s="5">
        <f>IF($B216&lt;=Tabla5[[#This Row],[INVERSIONES FCI]],+Tabla5[[#This Row],[INVERSIONES FCI]]-Q216,Tabla5[[#This Row],[INVERSIONES FCI]])</f>
        <v>27520550021.800613</v>
      </c>
      <c r="R217" s="5">
        <f>IF($B216&lt;=Tabla5[[#This Row],[INVERSIONES FCI]],+Tabla5[[#This Row],[INVERSIONES FCI]]-R216,Tabla5[[#This Row],[INVERSIONES FCI]])</f>
        <v>27520550021.800613</v>
      </c>
      <c r="S217" s="5">
        <f>IF($B216&lt;=Tabla5[[#This Row],[INVERSIONES FCI]],+Tabla5[[#This Row],[INVERSIONES FCI]]-S216,Tabla5[[#This Row],[INVERSIONES FCI]])</f>
        <v>27520550021.800613</v>
      </c>
      <c r="T217" s="5">
        <f>IF($B216&lt;=Tabla5[[#This Row],[INVERSIONES FCI]],+Tabla5[[#This Row],[INVERSIONES FCI]]-T216,Tabla5[[#This Row],[INVERSIONES FCI]])</f>
        <v>27520550021.800613</v>
      </c>
      <c r="U217" s="5">
        <f>IF($B216&lt;=Tabla5[[#This Row],[INVERSIONES FCI]],+Tabla5[[#This Row],[INVERSIONES FCI]]-U216,Tabla5[[#This Row],[INVERSIONES FCI]])</f>
        <v>27520550021.800613</v>
      </c>
      <c r="V217" s="5">
        <f>IF($B216&lt;=Tabla5[[#This Row],[INVERSIONES FCI]],+Tabla5[[#This Row],[INVERSIONES FCI]]-V216,Tabla5[[#This Row],[INVERSIONES FCI]])</f>
        <v>27520550021.800613</v>
      </c>
      <c r="W217" s="5">
        <f>IF($B216&lt;=Tabla5[[#This Row],[INVERSIONES FCI]],+Tabla5[[#This Row],[INVERSIONES FCI]]-W216,Tabla5[[#This Row],[INVERSIONES FCI]])</f>
        <v>27520550021.800613</v>
      </c>
      <c r="X217" s="5">
        <f>IF($B216&lt;=Tabla5[[#This Row],[INVERSIONES FCI]],+Tabla5[[#This Row],[INVERSIONES FCI]]-X216,Tabla5[[#This Row],[INVERSIONES FCI]])</f>
        <v>27520550021.800613</v>
      </c>
      <c r="Y217" s="5">
        <f>IF($B216&lt;=Tabla5[[#This Row],[INVERSIONES FCI]],+Tabla5[[#This Row],[INVERSIONES FCI]]-Y216,Tabla5[[#This Row],[INVERSIONES FCI]])</f>
        <v>27520550021.800613</v>
      </c>
      <c r="Z217" s="5">
        <f>IF($B216&lt;=Tabla5[[#This Row],[INVERSIONES FCI]],+Tabla5[[#This Row],[INVERSIONES FCI]]-Z216,Tabla5[[#This Row],[INVERSIONES FCI]])</f>
        <v>27520550021.800613</v>
      </c>
      <c r="AA217" s="5">
        <f>IF($B216&lt;=Tabla5[[#This Row],[INVERSIONES FCI]],+Tabla5[[#This Row],[INVERSIONES FCI]]-AA216,Tabla5[[#This Row],[INVERSIONES FCI]])</f>
        <v>27520550021.800613</v>
      </c>
      <c r="AB217" s="5">
        <f>IF($B216&lt;=Tabla5[[#This Row],[INVERSIONES FCI]],+Tabla5[[#This Row],[INVERSIONES FCI]]-AB216,Tabla5[[#This Row],[INVERSIONES FCI]])</f>
        <v>27520550021.800613</v>
      </c>
      <c r="AC217" s="5">
        <f>IF($B216&lt;=Tabla5[[#This Row],[INVERSIONES FCI]],+Tabla5[[#This Row],[INVERSIONES FCI]]-AC216,Tabla5[[#This Row],[INVERSIONES FCI]])</f>
        <v>27520550021.800613</v>
      </c>
      <c r="AD217" s="5">
        <f>IF($B216&lt;=Tabla5[[#This Row],[INVERSIONES FCI]],+Tabla5[[#This Row],[INVERSIONES FCI]]-AD216,Tabla5[[#This Row],[INVERSIONES FCI]])</f>
        <v>27520550021.800613</v>
      </c>
      <c r="AE217" s="5">
        <f>IF($B216&lt;=Tabla5[[#This Row],[INVERSIONES FCI]],+Tabla5[[#This Row],[INVERSIONES FCI]]-AE216,Tabla5[[#This Row],[INVERSIONES FCI]])</f>
        <v>27520550021.800613</v>
      </c>
      <c r="AF217" s="5">
        <f>IF($B216&lt;=Tabla5[[#This Row],[INVERSIONES FCI]],+Tabla5[[#This Row],[INVERSIONES FCI]]-AF216,Tabla5[[#This Row],[INVERSIONES FCI]])</f>
        <v>27520550021.800613</v>
      </c>
      <c r="AG217" s="5">
        <f>IF($B216&lt;=Tabla5[[#This Row],[INVERSIONES FCI]],+Tabla5[[#This Row],[INVERSIONES FCI]]-AG216,Tabla5[[#This Row],[INVERSIONES FCI]])</f>
        <v>27520550021.800613</v>
      </c>
      <c r="AH217" s="5">
        <f>IF($B216&lt;=Tabla5[[#This Row],[INVERSIONES FCI]],+Tabla5[[#This Row],[INVERSIONES FCI]]-AH216,Tabla5[[#This Row],[INVERSIONES FCI]])</f>
        <v>27520550021.800613</v>
      </c>
      <c r="AI217" s="5">
        <f>IF($B216&lt;=Tabla5[[#This Row],[INVERSIONES FCI]],+Tabla5[[#This Row],[INVERSIONES FCI]]-AI216,Tabla5[[#This Row],[INVERSIONES FCI]])</f>
        <v>27520550021.800613</v>
      </c>
      <c r="AJ217" s="5">
        <f>IF($B216&lt;=Tabla5[[#This Row],[INVERSIONES FCI]],+Tabla5[[#This Row],[INVERSIONES FCI]]-AJ216,Tabla5[[#This Row],[INVERSIONES FCI]])</f>
        <v>27520550021.800613</v>
      </c>
      <c r="AK217" s="5">
        <f>IF($B216&lt;=Tabla5[[#This Row],[INVERSIONES FCI]],+Tabla5[[#This Row],[INVERSIONES FCI]]-AK216,Tabla5[[#This Row],[INVERSIONES FCI]])</f>
        <v>27520550021.800613</v>
      </c>
      <c r="AL217" s="5">
        <f>IF($B216&lt;=Tabla5[[#This Row],[INVERSIONES FCI]],+Tabla5[[#This Row],[INVERSIONES FCI]]-AL216,Tabla5[[#This Row],[INVERSIONES FCI]])</f>
        <v>27520550021.800613</v>
      </c>
      <c r="AM217" s="5">
        <f>IF($B216&lt;=Tabla5[[#This Row],[INVERSIONES FCI]],+Tabla5[[#This Row],[INVERSIONES FCI]]-AM216,Tabla5[[#This Row],[INVERSIONES FCI]])</f>
        <v>27520550021.800613</v>
      </c>
      <c r="AN217" s="5">
        <f>IF($B216&lt;=Tabla5[[#This Row],[INVERSIONES FCI]],+Tabla5[[#This Row],[INVERSIONES FCI]]-AN216,Tabla5[[#This Row],[INVERSIONES FCI]])</f>
        <v>27520550021.800613</v>
      </c>
      <c r="AO217" s="5">
        <f>IF($B216&lt;=Tabla5[[#This Row],[INVERSIONES FCI]],+Tabla5[[#This Row],[INVERSIONES FCI]]-AO216,Tabla5[[#This Row],[INVERSIONES FCI]])</f>
        <v>27520550021.800613</v>
      </c>
      <c r="AP217" s="5">
        <f>IF($B216&lt;=Tabla5[[#This Row],[INVERSIONES FCI]],+Tabla5[[#This Row],[INVERSIONES FCI]]-AP216,Tabla5[[#This Row],[INVERSIONES FCI]])</f>
        <v>27520550021.800613</v>
      </c>
      <c r="AQ217" s="5">
        <f>IF($B216&lt;=Tabla5[[#This Row],[INVERSIONES FCI]],+Tabla5[[#This Row],[INVERSIONES FCI]]-AQ216,Tabla5[[#This Row],[INVERSIONES FCI]])</f>
        <v>27520550021.800613</v>
      </c>
      <c r="AR217" s="5">
        <f>IF($B216&lt;=Tabla5[[#This Row],[INVERSIONES FCI]],+Tabla5[[#This Row],[INVERSIONES FCI]]-AR216,Tabla5[[#This Row],[INVERSIONES FCI]])</f>
        <v>27520550021.800613</v>
      </c>
      <c r="AS217" s="5">
        <f>IF($B216&lt;=Tabla5[[#This Row],[INVERSIONES FCI]],+Tabla5[[#This Row],[INVERSIONES FCI]]-AS216,Tabla5[[#This Row],[INVERSIONES FCI]])</f>
        <v>27520550021.800613</v>
      </c>
      <c r="AT217" s="5">
        <f>IF($B216&lt;=Tabla5[[#This Row],[INVERSIONES FCI]],+Tabla5[[#This Row],[INVERSIONES FCI]]-AT216,Tabla5[[#This Row],[INVERSIONES FCI]])</f>
        <v>27520550021.800613</v>
      </c>
      <c r="AU217" s="5">
        <f>IF($B216&lt;=Tabla5[[#This Row],[INVERSIONES FCI]],+Tabla5[[#This Row],[INVERSIONES FCI]]-AU216,Tabla5[[#This Row],[INVERSIONES FCI]])</f>
        <v>27520550021.800613</v>
      </c>
      <c r="AV217" s="5">
        <f>IF($B216&lt;=Tabla5[[#This Row],[INVERSIONES FCI]],+Tabla5[[#This Row],[INVERSIONES FCI]]-AV216,Tabla5[[#This Row],[INVERSIONES FCI]])</f>
        <v>27520550021.800613</v>
      </c>
      <c r="AW217" s="5">
        <f>IF($B216&lt;=Tabla5[[#This Row],[INVERSIONES FCI]],+Tabla5[[#This Row],[INVERSIONES FCI]]-AW216,Tabla5[[#This Row],[INVERSIONES FCI]])</f>
        <v>27520550021.800613</v>
      </c>
      <c r="AX217" s="5">
        <f>IF($B216&lt;=Tabla5[[#This Row],[INVERSIONES FCI]],+Tabla5[[#This Row],[INVERSIONES FCI]]-AX216,Tabla5[[#This Row],[INVERSIONES FCI]])</f>
        <v>27520550021.800613</v>
      </c>
      <c r="AY217" s="5">
        <f>IF($B216&lt;=Tabla5[[#This Row],[INVERSIONES FCI]],+Tabla5[[#This Row],[INVERSIONES FCI]]-AY216,Tabla5[[#This Row],[INVERSIONES FCI]])</f>
        <v>27520550021.800613</v>
      </c>
      <c r="AZ217" s="5">
        <f>IF($B216&lt;=Tabla5[[#This Row],[INVERSIONES FCI]],+Tabla5[[#This Row],[INVERSIONES FCI]]-AZ216,Tabla5[[#This Row],[INVERSIONES FCI]])</f>
        <v>27520550021.800613</v>
      </c>
      <c r="BA217" s="5">
        <f>IF($B216&lt;=Tabla5[[#This Row],[INVERSIONES FCI]],+Tabla5[[#This Row],[INVERSIONES FCI]]-BA216,Tabla5[[#This Row],[INVERSIONES FCI]])</f>
        <v>27520550021.800613</v>
      </c>
      <c r="BB217" s="5">
        <f>IF($B216&lt;=Tabla5[[#This Row],[INVERSIONES FCI]],+Tabla5[[#This Row],[INVERSIONES FCI]]-BB216,Tabla5[[#This Row],[INVERSIONES FCI]])</f>
        <v>27520550021.800613</v>
      </c>
      <c r="BC217" s="5">
        <f>IF($B216&lt;=Tabla5[[#This Row],[INVERSIONES FCI]],+Tabla5[[#This Row],[INVERSIONES FCI]]-BC216,Tabla5[[#This Row],[INVERSIONES FCI]])</f>
        <v>27520550021.800613</v>
      </c>
      <c r="BD217" s="5">
        <f>IF($B216&lt;=Tabla5[[#This Row],[INVERSIONES FCI]],+Tabla5[[#This Row],[INVERSIONES FCI]]-BD216,Tabla5[[#This Row],[INVERSIONES FCI]])</f>
        <v>27520550021.800613</v>
      </c>
      <c r="BE217" s="5">
        <f>IF($B216&lt;=Tabla5[[#This Row],[INVERSIONES FCI]],+Tabla5[[#This Row],[INVERSIONES FCI]]-BE216,Tabla5[[#This Row],[INVERSIONES FCI]])</f>
        <v>27520550021.800613</v>
      </c>
      <c r="BF217" s="5">
        <f>IF($B216&lt;=Tabla5[[#This Row],[INVERSIONES FCI]],+Tabla5[[#This Row],[INVERSIONES FCI]]-BF216,Tabla5[[#This Row],[INVERSIONES FCI]])</f>
        <v>27520550021.800613</v>
      </c>
      <c r="BG217" s="5">
        <f>IF($B216&lt;=Tabla5[[#This Row],[INVERSIONES FCI]],+Tabla5[[#This Row],[INVERSIONES FCI]]-BG216,Tabla5[[#This Row],[INVERSIONES FCI]])</f>
        <v>27520550021.800613</v>
      </c>
      <c r="BH217" s="5">
        <f>IF($B216&lt;=Tabla5[[#This Row],[INVERSIONES FCI]],+Tabla5[[#This Row],[INVERSIONES FCI]]-BH216,Tabla5[[#This Row],[INVERSIONES FCI]])</f>
        <v>27520550021.800613</v>
      </c>
      <c r="BI217" s="5">
        <f>IF($B216&lt;=Tabla5[[#This Row],[INVERSIONES FCI]],+Tabla5[[#This Row],[INVERSIONES FCI]]-BI216,Tabla5[[#This Row],[INVERSIONES FCI]])</f>
        <v>27520550021.800613</v>
      </c>
      <c r="BJ217" s="5">
        <f>IF($B216&lt;=Tabla5[[#This Row],[INVERSIONES FCI]],+Tabla5[[#This Row],[INVERSIONES FCI]]-BJ216,Tabla5[[#This Row],[INVERSIONES FCI]])</f>
        <v>27520550021.800613</v>
      </c>
      <c r="BK217" s="5">
        <f>IF($B216&lt;=Tabla5[[#This Row],[INVERSIONES FCI]],+Tabla5[[#This Row],[INVERSIONES FCI]]-BK216,Tabla5[[#This Row],[INVERSIONES FCI]])</f>
        <v>27520550021.800613</v>
      </c>
      <c r="BL217" s="5">
        <f>IF($B216&lt;=Tabla5[[#This Row],[INVERSIONES FCI]],+Tabla5[[#This Row],[INVERSIONES FCI]]-BL216,Tabla5[[#This Row],[INVERSIONES FCI]])</f>
        <v>27520550021.800613</v>
      </c>
      <c r="BM217" s="5">
        <f>IF($B216&lt;=Tabla5[[#This Row],[INVERSIONES FCI]],+Tabla5[[#This Row],[INVERSIONES FCI]]-BM216,Tabla5[[#This Row],[INVERSIONES FCI]])</f>
        <v>27520550021.800613</v>
      </c>
      <c r="BN217" s="5">
        <f>IF($B216&lt;=Tabla5[[#This Row],[INVERSIONES FCI]],+Tabla5[[#This Row],[INVERSIONES FCI]]-BN216,Tabla5[[#This Row],[INVERSIONES FCI]])</f>
        <v>27520550021.800613</v>
      </c>
      <c r="BO217" s="5">
        <f>IF($B216&lt;=Tabla5[[#This Row],[INVERSIONES FCI]],+Tabla5[[#This Row],[INVERSIONES FCI]]-BO216,Tabla5[[#This Row],[INVERSIONES FCI]])</f>
        <v>27520550021.800613</v>
      </c>
      <c r="BP217" s="5">
        <f>IF($B216&lt;=Tabla5[[#This Row],[INVERSIONES FCI]],+Tabla5[[#This Row],[INVERSIONES FCI]]-BP216,Tabla5[[#This Row],[INVERSIONES FCI]])</f>
        <v>27520550021.800613</v>
      </c>
      <c r="BQ217" s="5">
        <f>IF($B216&lt;=Tabla5[[#This Row],[INVERSIONES FCI]],+Tabla5[[#This Row],[INVERSIONES FCI]]-BQ216,Tabla5[[#This Row],[INVERSIONES FCI]])</f>
        <v>27520550021.800613</v>
      </c>
      <c r="BR217" s="5">
        <f>IF($B216&lt;=Tabla5[[#This Row],[INVERSIONES FCI]],+Tabla5[[#This Row],[INVERSIONES FCI]]-BR216,Tabla5[[#This Row],[INVERSIONES FCI]])</f>
        <v>27520550021.800613</v>
      </c>
      <c r="BS217" s="5">
        <f>IF($B216&lt;=Tabla5[[#This Row],[INVERSIONES FCI]],+Tabla5[[#This Row],[INVERSIONES FCI]]-BS216,Tabla5[[#This Row],[INVERSIONES FCI]])</f>
        <v>27520550021.800613</v>
      </c>
      <c r="BT217" s="5">
        <f>IF($B216&lt;=Tabla5[[#This Row],[INVERSIONES FCI]],+Tabla5[[#This Row],[INVERSIONES FCI]]-BT216,Tabla5[[#This Row],[INVERSIONES FCI]])</f>
        <v>27520550021.800613</v>
      </c>
      <c r="BU217" s="5">
        <f>IF($B216&lt;=Tabla5[[#This Row],[INVERSIONES FCI]],+Tabla5[[#This Row],[INVERSIONES FCI]]-BU216,Tabla5[[#This Row],[INVERSIONES FCI]])</f>
        <v>27520550021.800613</v>
      </c>
      <c r="BV217" s="5">
        <f>IF($B216&lt;=Tabla5[[#This Row],[INVERSIONES FCI]],+Tabla5[[#This Row],[INVERSIONES FCI]]-BV216,Tabla5[[#This Row],[INVERSIONES FCI]])</f>
        <v>27520550021.800613</v>
      </c>
      <c r="BW217" s="5">
        <f>IF($B216&lt;=Tabla5[[#This Row],[INVERSIONES FCI]],+Tabla5[[#This Row],[INVERSIONES FCI]]-BW216,Tabla5[[#This Row],[INVERSIONES FCI]])</f>
        <v>27520550021.800613</v>
      </c>
      <c r="BX217" s="5">
        <f>IF($B216&lt;=Tabla5[[#This Row],[INVERSIONES FCI]],+Tabla5[[#This Row],[INVERSIONES FCI]]-BX216,Tabla5[[#This Row],[INVERSIONES FCI]])</f>
        <v>27520550021.800613</v>
      </c>
      <c r="BY217" s="5">
        <f>IF($B216&lt;=Tabla5[[#This Row],[INVERSIONES FCI]],+Tabla5[[#This Row],[INVERSIONES FCI]]-BY216,Tabla5[[#This Row],[INVERSIONES FCI]])</f>
        <v>27520550021.800613</v>
      </c>
      <c r="BZ217" s="5">
        <f>IF($B216&lt;=Tabla5[[#This Row],[INVERSIONES FCI]],+Tabla5[[#This Row],[INVERSIONES FCI]]-BZ216,Tabla5[[#This Row],[INVERSIONES FCI]])</f>
        <v>27520550021.800613</v>
      </c>
      <c r="CA217" s="5">
        <f>IF($B216&lt;=Tabla5[[#This Row],[INVERSIONES FCI]],+Tabla5[[#This Row],[INVERSIONES FCI]]-CA216,Tabla5[[#This Row],[INVERSIONES FCI]])</f>
        <v>27520550021.800613</v>
      </c>
      <c r="CB217" s="5">
        <f>IF($B216&lt;=Tabla5[[#This Row],[INVERSIONES FCI]],+Tabla5[[#This Row],[INVERSIONES FCI]]-CB216,Tabla5[[#This Row],[INVERSIONES FCI]])</f>
        <v>27520550021.800613</v>
      </c>
      <c r="CC217" s="5">
        <f>IF($B216&lt;=Tabla5[[#This Row],[INVERSIONES FCI]],+Tabla5[[#This Row],[INVERSIONES FCI]]-CC216,Tabla5[[#This Row],[INVERSIONES FCI]])</f>
        <v>27520550021.800613</v>
      </c>
      <c r="CD217" s="5">
        <f>IF($B216&lt;=Tabla5[[#This Row],[INVERSIONES FCI]],+Tabla5[[#This Row],[INVERSIONES FCI]]-CD216,Tabla5[[#This Row],[INVERSIONES FCI]])</f>
        <v>27520550021.800613</v>
      </c>
      <c r="CE217" s="5">
        <f>IF($B216&lt;=Tabla5[[#This Row],[INVERSIONES FCI]],+Tabla5[[#This Row],[INVERSIONES FCI]]-CE216,Tabla5[[#This Row],[INVERSIONES FCI]])</f>
        <v>27520550021.800613</v>
      </c>
      <c r="CF217" s="5">
        <f>IF($B216&lt;=Tabla5[[#This Row],[INVERSIONES FCI]],+Tabla5[[#This Row],[INVERSIONES FCI]]-CF216,Tabla5[[#This Row],[INVERSIONES FCI]])</f>
        <v>27520550021.800613</v>
      </c>
      <c r="CG217" s="5">
        <f>IF($B216&lt;=Tabla5[[#This Row],[INVERSIONES FCI]],+Tabla5[[#This Row],[INVERSIONES FCI]]-CG216,Tabla5[[#This Row],[INVERSIONES FCI]])</f>
        <v>27520550021.800613</v>
      </c>
      <c r="CH217" s="5">
        <f>IF($B216&lt;=Tabla5[[#This Row],[INVERSIONES FCI]],+Tabla5[[#This Row],[INVERSIONES FCI]]-CH216,Tabla5[[#This Row],[INVERSIONES FCI]])</f>
        <v>27520550021.800613</v>
      </c>
      <c r="CI217" s="5">
        <f>IF($B216&lt;=Tabla5[[#This Row],[INVERSIONES FCI]],+Tabla5[[#This Row],[INVERSIONES FCI]]-CI216,Tabla5[[#This Row],[INVERSIONES FCI]])</f>
        <v>27520550021.800613</v>
      </c>
      <c r="CJ217" s="5">
        <f>IF($B216&lt;=Tabla5[[#This Row],[INVERSIONES FCI]],+Tabla5[[#This Row],[INVERSIONES FCI]]-CJ216,Tabla5[[#This Row],[INVERSIONES FCI]])</f>
        <v>27520550021.800613</v>
      </c>
      <c r="CK217" s="5">
        <f>IF($B216&lt;=Tabla5[[#This Row],[INVERSIONES FCI]],+Tabla5[[#This Row],[INVERSIONES FCI]]-CK216,Tabla5[[#This Row],[INVERSIONES FCI]])</f>
        <v>27520550021.800613</v>
      </c>
      <c r="CL217" s="5">
        <f>IF($B216&lt;=Tabla5[[#This Row],[INVERSIONES FCI]],+Tabla5[[#This Row],[INVERSIONES FCI]]-CL216,Tabla5[[#This Row],[INVERSIONES FCI]])</f>
        <v>27520550021.800613</v>
      </c>
      <c r="CM217" s="5">
        <f>IF($B216&lt;=Tabla5[[#This Row],[INVERSIONES FCI]],+Tabla5[[#This Row],[INVERSIONES FCI]]-CM216,Tabla5[[#This Row],[INVERSIONES FCI]])</f>
        <v>27520550021.800613</v>
      </c>
      <c r="CN217" s="5">
        <f>IF($B216&lt;=Tabla5[[#This Row],[INVERSIONES FCI]],+Tabla5[[#This Row],[INVERSIONES FCI]]-CN216,Tabla5[[#This Row],[INVERSIONES FCI]])</f>
        <v>27520550021.800613</v>
      </c>
      <c r="CO217" s="5">
        <f>IF($B216&lt;=Tabla5[[#This Row],[INVERSIONES FCI]],+Tabla5[[#This Row],[INVERSIONES FCI]]-CO216,Tabla5[[#This Row],[INVERSIONES FCI]])</f>
        <v>27520550021.800613</v>
      </c>
      <c r="CP217" s="5">
        <f>IF($B216&lt;=Tabla5[[#This Row],[INVERSIONES FCI]],+Tabla5[[#This Row],[INVERSIONES FCI]]-CP216,Tabla5[[#This Row],[INVERSIONES FCI]])</f>
        <v>27520550021.800613</v>
      </c>
      <c r="CQ217" s="5">
        <f>IF($B216&lt;=Tabla5[[#This Row],[INVERSIONES FCI]],+Tabla5[[#This Row],[INVERSIONES FCI]]-CQ216,Tabla5[[#This Row],[INVERSIONES FCI]])</f>
        <v>27520550021.800613</v>
      </c>
      <c r="CR217" s="5">
        <f>IF($B216&lt;=Tabla5[[#This Row],[INVERSIONES FCI]],+Tabla5[[#This Row],[INVERSIONES FCI]]-CR216,Tabla5[[#This Row],[INVERSIONES FCI]])</f>
        <v>27520550021.800613</v>
      </c>
      <c r="CS217" s="5">
        <f>IF($B216&lt;=Tabla5[[#This Row],[INVERSIONES FCI]],+Tabla5[[#This Row],[INVERSIONES FCI]]-CS216,Tabla5[[#This Row],[INVERSIONES FCI]])</f>
        <v>27520550021.800613</v>
      </c>
      <c r="CT217" s="5">
        <f>IF($B216&lt;=Tabla5[[#This Row],[INVERSIONES FCI]],+Tabla5[[#This Row],[INVERSIONES FCI]]-CT216,Tabla5[[#This Row],[INVERSIONES FCI]])</f>
        <v>27520550021.800613</v>
      </c>
      <c r="CU217" s="5">
        <f>IF($B216&lt;=Tabla5[[#This Row],[INVERSIONES FCI]],+Tabla5[[#This Row],[INVERSIONES FCI]]-CU216,Tabla5[[#This Row],[INVERSIONES FCI]])</f>
        <v>27520550021.800613</v>
      </c>
      <c r="CV217" s="5">
        <f>IF($B216&lt;=Tabla5[[#This Row],[INVERSIONES FCI]],+Tabla5[[#This Row],[INVERSIONES FCI]]-CV216,Tabla5[[#This Row],[INVERSIONES FCI]])</f>
        <v>27520550021.800613</v>
      </c>
      <c r="CW217" s="5">
        <f>IF($B216&lt;=Tabla5[[#This Row],[INVERSIONES FCI]],+Tabla5[[#This Row],[INVERSIONES FCI]]-CW216,Tabla5[[#This Row],[INVERSIONES FCI]])</f>
        <v>27520550021.800613</v>
      </c>
      <c r="CX217" s="5">
        <f>IF($B216&lt;=Tabla5[[#This Row],[INVERSIONES FCI]],+Tabla5[[#This Row],[INVERSIONES FCI]]-CX216,Tabla5[[#This Row],[INVERSIONES FCI]])</f>
        <v>27520550021.800613</v>
      </c>
      <c r="CY217" s="5">
        <f>IF($B216&lt;=Tabla5[[#This Row],[INVERSIONES FCI]],+Tabla5[[#This Row],[INVERSIONES FCI]]-CY216,Tabla5[[#This Row],[INVERSIONES FCI]])</f>
        <v>27520550021.800613</v>
      </c>
      <c r="CZ217" s="5">
        <f>IF($B216&lt;=Tabla5[[#This Row],[INVERSIONES FCI]],+Tabla5[[#This Row],[INVERSIONES FCI]]-CZ216,Tabla5[[#This Row],[INVERSIONES FCI]])</f>
        <v>27520550021.800613</v>
      </c>
      <c r="DA217" s="5">
        <f>IF($B216&lt;=Tabla5[[#This Row],[INVERSIONES FCI]],+Tabla5[[#This Row],[INVERSIONES FCI]]-DA216,Tabla5[[#This Row],[INVERSIONES FCI]])</f>
        <v>27520550021.800613</v>
      </c>
      <c r="DB217" s="5">
        <f>IF($B216&lt;=Tabla5[[#This Row],[INVERSIONES FCI]],+Tabla5[[#This Row],[INVERSIONES FCI]]-DB216,Tabla5[[#This Row],[INVERSIONES FCI]])</f>
        <v>27520550021.800613</v>
      </c>
      <c r="DC217" s="5">
        <f>IF($B216&lt;=Tabla5[[#This Row],[INVERSIONES FCI]],+Tabla5[[#This Row],[INVERSIONES FCI]]-DC216,Tabla5[[#This Row],[INVERSIONES FCI]])</f>
        <v>27520550021.800613</v>
      </c>
      <c r="DD217" s="5">
        <f>IF($B216&lt;=Tabla5[[#This Row],[INVERSIONES FCI]],+Tabla5[[#This Row],[INVERSIONES FCI]]-DD216,Tabla5[[#This Row],[INVERSIONES FCI]])</f>
        <v>27520550021.800613</v>
      </c>
      <c r="DE217" s="5">
        <f>IF($B216&lt;=Tabla5[[#This Row],[INVERSIONES FCI]],+Tabla5[[#This Row],[INVERSIONES FCI]]-DE216,Tabla5[[#This Row],[INVERSIONES FCI]])</f>
        <v>27520550021.800613</v>
      </c>
      <c r="DF217" s="5">
        <f>IF($B216&lt;=Tabla5[[#This Row],[INVERSIONES FCI]],+Tabla5[[#This Row],[INVERSIONES FCI]]-DF216,Tabla5[[#This Row],[INVERSIONES FCI]])</f>
        <v>27520550021.800613</v>
      </c>
      <c r="DG217" s="5">
        <f>IF($B216&lt;=Tabla5[[#This Row],[INVERSIONES FCI]],+Tabla5[[#This Row],[INVERSIONES FCI]]-DG216,Tabla5[[#This Row],[INVERSIONES FCI]])</f>
        <v>27520550021.800613</v>
      </c>
      <c r="DH217" s="5">
        <f>IF($B216&lt;=Tabla5[[#This Row],[INVERSIONES FCI]],+Tabla5[[#This Row],[INVERSIONES FCI]]-DH216,Tabla5[[#This Row],[INVERSIONES FCI]])</f>
        <v>27520550021.800613</v>
      </c>
      <c r="DI217" s="5">
        <f>IF($B216&lt;=Tabla5[[#This Row],[INVERSIONES FCI]],+Tabla5[[#This Row],[INVERSIONES FCI]]-DI216,Tabla5[[#This Row],[INVERSIONES FCI]])</f>
        <v>27520550021.800613</v>
      </c>
      <c r="DJ217" s="5">
        <f>IF($B216&lt;=Tabla5[[#This Row],[INVERSIONES FCI]],+Tabla5[[#This Row],[INVERSIONES FCI]]-DJ216,Tabla5[[#This Row],[INVERSIONES FCI]])</f>
        <v>27520550021.800613</v>
      </c>
      <c r="DK217" s="5">
        <f>IF($B216&lt;=Tabla5[[#This Row],[INVERSIONES FCI]],+Tabla5[[#This Row],[INVERSIONES FCI]]-DK216,Tabla5[[#This Row],[INVERSIONES FCI]])</f>
        <v>27520550021.800613</v>
      </c>
      <c r="DL217" s="5"/>
      <c r="DM217" s="5"/>
      <c r="DN217" s="5"/>
      <c r="DO217" s="5"/>
      <c r="DP217" s="5"/>
      <c r="DQ217" s="5"/>
    </row>
    <row r="218" spans="1:121" ht="14.4">
      <c r="A218" s="12" t="s">
        <v>217</v>
      </c>
      <c r="B218" s="5">
        <f>HLOOKUP($A218,ESCENARIO[#All],7,FALSE)</f>
        <v>29995460167.529823</v>
      </c>
      <c r="C218" s="5">
        <f>IF($B217&lt;=Tabla5[[#This Row],[INVERSIONES FCI]],+Tabla5[[#This Row],[INVERSIONES FCI]]-C217,Tabla5[[#This Row],[INVERSIONES FCI]])</f>
        <v>2474910145.7292099</v>
      </c>
      <c r="D218" s="5">
        <f>IF($B217&lt;=Tabla5[[#This Row],[INVERSIONES FCI]],+Tabla5[[#This Row],[INVERSIONES FCI]]-D217,Tabla5[[#This Row],[INVERSIONES FCI]])</f>
        <v>2474910145.7292099</v>
      </c>
      <c r="E218" s="5">
        <f>IF($B217&lt;=Tabla5[[#This Row],[INVERSIONES FCI]],+Tabla5[[#This Row],[INVERSIONES FCI]]-E217,Tabla5[[#This Row],[INVERSIONES FCI]])</f>
        <v>2474910145.7292099</v>
      </c>
      <c r="F218" s="5">
        <f>IF($B217&lt;=Tabla5[[#This Row],[INVERSIONES FCI]],+Tabla5[[#This Row],[INVERSIONES FCI]]-F217,Tabla5[[#This Row],[INVERSIONES FCI]])</f>
        <v>2474910145.7292099</v>
      </c>
      <c r="G218" s="5">
        <f>IF($B217&lt;=Tabla5[[#This Row],[INVERSIONES FCI]],+Tabla5[[#This Row],[INVERSIONES FCI]]-G217,Tabla5[[#This Row],[INVERSIONES FCI]])</f>
        <v>2474910145.7292099</v>
      </c>
      <c r="H218" s="5">
        <f>IF($B217&lt;=Tabla5[[#This Row],[INVERSIONES FCI]],+Tabla5[[#This Row],[INVERSIONES FCI]]-H217,Tabla5[[#This Row],[INVERSIONES FCI]])</f>
        <v>2474910145.7292099</v>
      </c>
      <c r="I218" s="5">
        <f>IF($B217&lt;=Tabla5[[#This Row],[INVERSIONES FCI]],+Tabla5[[#This Row],[INVERSIONES FCI]]-I217,Tabla5[[#This Row],[INVERSIONES FCI]])</f>
        <v>2474910145.7292099</v>
      </c>
      <c r="J218" s="5">
        <f>IF($B217&lt;=Tabla5[[#This Row],[INVERSIONES FCI]],+Tabla5[[#This Row],[INVERSIONES FCI]]-J217,Tabla5[[#This Row],[INVERSIONES FCI]])</f>
        <v>2474910145.7292099</v>
      </c>
      <c r="K218" s="5">
        <f>IF($B217&lt;=Tabla5[[#This Row],[INVERSIONES FCI]],+Tabla5[[#This Row],[INVERSIONES FCI]]-K217,Tabla5[[#This Row],[INVERSIONES FCI]])</f>
        <v>2474910145.7292099</v>
      </c>
      <c r="L218" s="5">
        <f>IF($B217&lt;=Tabla5[[#This Row],[INVERSIONES FCI]],+Tabla5[[#This Row],[INVERSIONES FCI]]-L217,Tabla5[[#This Row],[INVERSIONES FCI]])</f>
        <v>2474910145.7292099</v>
      </c>
      <c r="M218" s="5">
        <f>IF($B217&lt;=Tabla5[[#This Row],[INVERSIONES FCI]],+Tabla5[[#This Row],[INVERSIONES FCI]]-M217,Tabla5[[#This Row],[INVERSIONES FCI]])</f>
        <v>2474910145.7292099</v>
      </c>
      <c r="N218" s="5">
        <f>IF($B217&lt;=Tabla5[[#This Row],[INVERSIONES FCI]],+Tabla5[[#This Row],[INVERSIONES FCI]]-N217,Tabla5[[#This Row],[INVERSIONES FCI]])</f>
        <v>2474910145.7292099</v>
      </c>
      <c r="O218" s="5">
        <f>IF($B217&lt;=Tabla5[[#This Row],[INVERSIONES FCI]],+Tabla5[[#This Row],[INVERSIONES FCI]]-O217,Tabla5[[#This Row],[INVERSIONES FCI]])</f>
        <v>2474910145.7292099</v>
      </c>
      <c r="P218" s="5">
        <f>IF($B217&lt;=Tabla5[[#This Row],[INVERSIONES FCI]],+Tabla5[[#This Row],[INVERSIONES FCI]]-P217,Tabla5[[#This Row],[INVERSIONES FCI]])</f>
        <v>2474910145.7292099</v>
      </c>
      <c r="Q218" s="5">
        <f>IF($B217&lt;=Tabla5[[#This Row],[INVERSIONES FCI]],+Tabla5[[#This Row],[INVERSIONES FCI]]-Q217,Tabla5[[#This Row],[INVERSIONES FCI]])</f>
        <v>2474910145.7292099</v>
      </c>
      <c r="R218" s="5">
        <f>IF($B217&lt;=Tabla5[[#This Row],[INVERSIONES FCI]],+Tabla5[[#This Row],[INVERSIONES FCI]]-R217,Tabla5[[#This Row],[INVERSIONES FCI]])</f>
        <v>2474910145.7292099</v>
      </c>
      <c r="S218" s="5">
        <f>IF($B217&lt;=Tabla5[[#This Row],[INVERSIONES FCI]],+Tabla5[[#This Row],[INVERSIONES FCI]]-S217,Tabla5[[#This Row],[INVERSIONES FCI]])</f>
        <v>2474910145.7292099</v>
      </c>
      <c r="T218" s="5">
        <f>IF($B217&lt;=Tabla5[[#This Row],[INVERSIONES FCI]],+Tabla5[[#This Row],[INVERSIONES FCI]]-T217,Tabla5[[#This Row],[INVERSIONES FCI]])</f>
        <v>2474910145.7292099</v>
      </c>
      <c r="U218" s="5">
        <f>IF($B217&lt;=Tabla5[[#This Row],[INVERSIONES FCI]],+Tabla5[[#This Row],[INVERSIONES FCI]]-U217,Tabla5[[#This Row],[INVERSIONES FCI]])</f>
        <v>2474910145.7292099</v>
      </c>
      <c r="V218" s="5">
        <f>IF($B217&lt;=Tabla5[[#This Row],[INVERSIONES FCI]],+Tabla5[[#This Row],[INVERSIONES FCI]]-V217,Tabla5[[#This Row],[INVERSIONES FCI]])</f>
        <v>2474910145.7292099</v>
      </c>
      <c r="W218" s="5">
        <f>IF($B217&lt;=Tabla5[[#This Row],[INVERSIONES FCI]],+Tabla5[[#This Row],[INVERSIONES FCI]]-W217,Tabla5[[#This Row],[INVERSIONES FCI]])</f>
        <v>2474910145.7292099</v>
      </c>
      <c r="X218" s="5">
        <f>IF($B217&lt;=Tabla5[[#This Row],[INVERSIONES FCI]],+Tabla5[[#This Row],[INVERSIONES FCI]]-X217,Tabla5[[#This Row],[INVERSIONES FCI]])</f>
        <v>2474910145.7292099</v>
      </c>
      <c r="Y218" s="5">
        <f>IF($B217&lt;=Tabla5[[#This Row],[INVERSIONES FCI]],+Tabla5[[#This Row],[INVERSIONES FCI]]-Y217,Tabla5[[#This Row],[INVERSIONES FCI]])</f>
        <v>2474910145.7292099</v>
      </c>
      <c r="Z218" s="5">
        <f>IF($B217&lt;=Tabla5[[#This Row],[INVERSIONES FCI]],+Tabla5[[#This Row],[INVERSIONES FCI]]-Z217,Tabla5[[#This Row],[INVERSIONES FCI]])</f>
        <v>2474910145.7292099</v>
      </c>
      <c r="AA218" s="5">
        <f>IF($B217&lt;=Tabla5[[#This Row],[INVERSIONES FCI]],+Tabla5[[#This Row],[INVERSIONES FCI]]-AA217,Tabla5[[#This Row],[INVERSIONES FCI]])</f>
        <v>2474910145.7292099</v>
      </c>
      <c r="AB218" s="5">
        <f>IF($B217&lt;=Tabla5[[#This Row],[INVERSIONES FCI]],+Tabla5[[#This Row],[INVERSIONES FCI]]-AB217,Tabla5[[#This Row],[INVERSIONES FCI]])</f>
        <v>2474910145.7292099</v>
      </c>
      <c r="AC218" s="5">
        <f>IF($B217&lt;=Tabla5[[#This Row],[INVERSIONES FCI]],+Tabla5[[#This Row],[INVERSIONES FCI]]-AC217,Tabla5[[#This Row],[INVERSIONES FCI]])</f>
        <v>2474910145.7292099</v>
      </c>
      <c r="AD218" s="5">
        <f>IF($B217&lt;=Tabla5[[#This Row],[INVERSIONES FCI]],+Tabla5[[#This Row],[INVERSIONES FCI]]-AD217,Tabla5[[#This Row],[INVERSIONES FCI]])</f>
        <v>2474910145.7292099</v>
      </c>
      <c r="AE218" s="5">
        <f>IF($B217&lt;=Tabla5[[#This Row],[INVERSIONES FCI]],+Tabla5[[#This Row],[INVERSIONES FCI]]-AE217,Tabla5[[#This Row],[INVERSIONES FCI]])</f>
        <v>2474910145.7292099</v>
      </c>
      <c r="AF218" s="5">
        <f>IF($B217&lt;=Tabla5[[#This Row],[INVERSIONES FCI]],+Tabla5[[#This Row],[INVERSIONES FCI]]-AF217,Tabla5[[#This Row],[INVERSIONES FCI]])</f>
        <v>2474910145.7292099</v>
      </c>
      <c r="AG218" s="5">
        <f>IF($B217&lt;=Tabla5[[#This Row],[INVERSIONES FCI]],+Tabla5[[#This Row],[INVERSIONES FCI]]-AG217,Tabla5[[#This Row],[INVERSIONES FCI]])</f>
        <v>2474910145.7292099</v>
      </c>
      <c r="AH218" s="5">
        <f>IF($B217&lt;=Tabla5[[#This Row],[INVERSIONES FCI]],+Tabla5[[#This Row],[INVERSIONES FCI]]-AH217,Tabla5[[#This Row],[INVERSIONES FCI]])</f>
        <v>2474910145.7292099</v>
      </c>
      <c r="AI218" s="5">
        <f>IF($B217&lt;=Tabla5[[#This Row],[INVERSIONES FCI]],+Tabla5[[#This Row],[INVERSIONES FCI]]-AI217,Tabla5[[#This Row],[INVERSIONES FCI]])</f>
        <v>2474910145.7292099</v>
      </c>
      <c r="AJ218" s="5">
        <f>IF($B217&lt;=Tabla5[[#This Row],[INVERSIONES FCI]],+Tabla5[[#This Row],[INVERSIONES FCI]]-AJ217,Tabla5[[#This Row],[INVERSIONES FCI]])</f>
        <v>2474910145.7292099</v>
      </c>
      <c r="AK218" s="5">
        <f>IF($B217&lt;=Tabla5[[#This Row],[INVERSIONES FCI]],+Tabla5[[#This Row],[INVERSIONES FCI]]-AK217,Tabla5[[#This Row],[INVERSIONES FCI]])</f>
        <v>2474910145.7292099</v>
      </c>
      <c r="AL218" s="5">
        <f>IF($B217&lt;=Tabla5[[#This Row],[INVERSIONES FCI]],+Tabla5[[#This Row],[INVERSIONES FCI]]-AL217,Tabla5[[#This Row],[INVERSIONES FCI]])</f>
        <v>2474910145.7292099</v>
      </c>
      <c r="AM218" s="5">
        <f>IF($B217&lt;=Tabla5[[#This Row],[INVERSIONES FCI]],+Tabla5[[#This Row],[INVERSIONES FCI]]-AM217,Tabla5[[#This Row],[INVERSIONES FCI]])</f>
        <v>2474910145.7292099</v>
      </c>
      <c r="AN218" s="5">
        <f>IF($B217&lt;=Tabla5[[#This Row],[INVERSIONES FCI]],+Tabla5[[#This Row],[INVERSIONES FCI]]-AN217,Tabla5[[#This Row],[INVERSIONES FCI]])</f>
        <v>2474910145.7292099</v>
      </c>
      <c r="AO218" s="5">
        <f>IF($B217&lt;=Tabla5[[#This Row],[INVERSIONES FCI]],+Tabla5[[#This Row],[INVERSIONES FCI]]-AO217,Tabla5[[#This Row],[INVERSIONES FCI]])</f>
        <v>2474910145.7292099</v>
      </c>
      <c r="AP218" s="5">
        <f>IF($B217&lt;=Tabla5[[#This Row],[INVERSIONES FCI]],+Tabla5[[#This Row],[INVERSIONES FCI]]-AP217,Tabla5[[#This Row],[INVERSIONES FCI]])</f>
        <v>2474910145.7292099</v>
      </c>
      <c r="AQ218" s="5">
        <f>IF($B217&lt;=Tabla5[[#This Row],[INVERSIONES FCI]],+Tabla5[[#This Row],[INVERSIONES FCI]]-AQ217,Tabla5[[#This Row],[INVERSIONES FCI]])</f>
        <v>2474910145.7292099</v>
      </c>
      <c r="AR218" s="5">
        <f>IF($B217&lt;=Tabla5[[#This Row],[INVERSIONES FCI]],+Tabla5[[#This Row],[INVERSIONES FCI]]-AR217,Tabla5[[#This Row],[INVERSIONES FCI]])</f>
        <v>2474910145.7292099</v>
      </c>
      <c r="AS218" s="5">
        <f>IF($B217&lt;=Tabla5[[#This Row],[INVERSIONES FCI]],+Tabla5[[#This Row],[INVERSIONES FCI]]-AS217,Tabla5[[#This Row],[INVERSIONES FCI]])</f>
        <v>2474910145.7292099</v>
      </c>
      <c r="AT218" s="5">
        <f>IF($B217&lt;=Tabla5[[#This Row],[INVERSIONES FCI]],+Tabla5[[#This Row],[INVERSIONES FCI]]-AT217,Tabla5[[#This Row],[INVERSIONES FCI]])</f>
        <v>2474910145.7292099</v>
      </c>
      <c r="AU218" s="5">
        <f>IF($B217&lt;=Tabla5[[#This Row],[INVERSIONES FCI]],+Tabla5[[#This Row],[INVERSIONES FCI]]-AU217,Tabla5[[#This Row],[INVERSIONES FCI]])</f>
        <v>2474910145.7292099</v>
      </c>
      <c r="AV218" s="5">
        <f>IF($B217&lt;=Tabla5[[#This Row],[INVERSIONES FCI]],+Tabla5[[#This Row],[INVERSIONES FCI]]-AV217,Tabla5[[#This Row],[INVERSIONES FCI]])</f>
        <v>2474910145.7292099</v>
      </c>
      <c r="AW218" s="5">
        <f>IF($B217&lt;=Tabla5[[#This Row],[INVERSIONES FCI]],+Tabla5[[#This Row],[INVERSIONES FCI]]-AW217,Tabla5[[#This Row],[INVERSIONES FCI]])</f>
        <v>2474910145.7292099</v>
      </c>
      <c r="AX218" s="5">
        <f>IF($B217&lt;=Tabla5[[#This Row],[INVERSIONES FCI]],+Tabla5[[#This Row],[INVERSIONES FCI]]-AX217,Tabla5[[#This Row],[INVERSIONES FCI]])</f>
        <v>2474910145.7292099</v>
      </c>
      <c r="AY218" s="5">
        <f>IF($B217&lt;=Tabla5[[#This Row],[INVERSIONES FCI]],+Tabla5[[#This Row],[INVERSIONES FCI]]-AY217,Tabla5[[#This Row],[INVERSIONES FCI]])</f>
        <v>2474910145.7292099</v>
      </c>
      <c r="AZ218" s="5">
        <f>IF($B217&lt;=Tabla5[[#This Row],[INVERSIONES FCI]],+Tabla5[[#This Row],[INVERSIONES FCI]]-AZ217,Tabla5[[#This Row],[INVERSIONES FCI]])</f>
        <v>2474910145.7292099</v>
      </c>
      <c r="BA218" s="5">
        <f>IF($B217&lt;=Tabla5[[#This Row],[INVERSIONES FCI]],+Tabla5[[#This Row],[INVERSIONES FCI]]-BA217,Tabla5[[#This Row],[INVERSIONES FCI]])</f>
        <v>2474910145.7292099</v>
      </c>
      <c r="BB218" s="5">
        <f>IF($B217&lt;=Tabla5[[#This Row],[INVERSIONES FCI]],+Tabla5[[#This Row],[INVERSIONES FCI]]-BB217,Tabla5[[#This Row],[INVERSIONES FCI]])</f>
        <v>2474910145.7292099</v>
      </c>
      <c r="BC218" s="5">
        <f>IF($B217&lt;=Tabla5[[#This Row],[INVERSIONES FCI]],+Tabla5[[#This Row],[INVERSIONES FCI]]-BC217,Tabla5[[#This Row],[INVERSIONES FCI]])</f>
        <v>2474910145.7292099</v>
      </c>
      <c r="BD218" s="5">
        <f>IF($B217&lt;=Tabla5[[#This Row],[INVERSIONES FCI]],+Tabla5[[#This Row],[INVERSIONES FCI]]-BD217,Tabla5[[#This Row],[INVERSIONES FCI]])</f>
        <v>2474910145.7292099</v>
      </c>
      <c r="BE218" s="5">
        <f>IF($B217&lt;=Tabla5[[#This Row],[INVERSIONES FCI]],+Tabla5[[#This Row],[INVERSIONES FCI]]-BE217,Tabla5[[#This Row],[INVERSIONES FCI]])</f>
        <v>2474910145.7292099</v>
      </c>
      <c r="BF218" s="5">
        <f>IF($B217&lt;=Tabla5[[#This Row],[INVERSIONES FCI]],+Tabla5[[#This Row],[INVERSIONES FCI]]-BF217,Tabla5[[#This Row],[INVERSIONES FCI]])</f>
        <v>2474910145.7292099</v>
      </c>
      <c r="BG218" s="5">
        <f>IF($B217&lt;=Tabla5[[#This Row],[INVERSIONES FCI]],+Tabla5[[#This Row],[INVERSIONES FCI]]-BG217,Tabla5[[#This Row],[INVERSIONES FCI]])</f>
        <v>2474910145.7292099</v>
      </c>
      <c r="BH218" s="5">
        <f>IF($B217&lt;=Tabla5[[#This Row],[INVERSIONES FCI]],+Tabla5[[#This Row],[INVERSIONES FCI]]-BH217,Tabla5[[#This Row],[INVERSIONES FCI]])</f>
        <v>2474910145.7292099</v>
      </c>
      <c r="BI218" s="5">
        <f>IF($B217&lt;=Tabla5[[#This Row],[INVERSIONES FCI]],+Tabla5[[#This Row],[INVERSIONES FCI]]-BI217,Tabla5[[#This Row],[INVERSIONES FCI]])</f>
        <v>2474910145.7292099</v>
      </c>
      <c r="BJ218" s="5">
        <f>IF($B217&lt;=Tabla5[[#This Row],[INVERSIONES FCI]],+Tabla5[[#This Row],[INVERSIONES FCI]]-BJ217,Tabla5[[#This Row],[INVERSIONES FCI]])</f>
        <v>2474910145.7292099</v>
      </c>
      <c r="BK218" s="5">
        <f>IF($B217&lt;=Tabla5[[#This Row],[INVERSIONES FCI]],+Tabla5[[#This Row],[INVERSIONES FCI]]-BK217,Tabla5[[#This Row],[INVERSIONES FCI]])</f>
        <v>2474910145.7292099</v>
      </c>
      <c r="BL218" s="5">
        <f>IF($B217&lt;=Tabla5[[#This Row],[INVERSIONES FCI]],+Tabla5[[#This Row],[INVERSIONES FCI]]-BL217,Tabla5[[#This Row],[INVERSIONES FCI]])</f>
        <v>2474910145.7292099</v>
      </c>
      <c r="BM218" s="5">
        <f>IF($B217&lt;=Tabla5[[#This Row],[INVERSIONES FCI]],+Tabla5[[#This Row],[INVERSIONES FCI]]-BM217,Tabla5[[#This Row],[INVERSIONES FCI]])</f>
        <v>2474910145.7292099</v>
      </c>
      <c r="BN218" s="5">
        <f>IF($B217&lt;=Tabla5[[#This Row],[INVERSIONES FCI]],+Tabla5[[#This Row],[INVERSIONES FCI]]-BN217,Tabla5[[#This Row],[INVERSIONES FCI]])</f>
        <v>2474910145.7292099</v>
      </c>
      <c r="BO218" s="5">
        <f>IF($B217&lt;=Tabla5[[#This Row],[INVERSIONES FCI]],+Tabla5[[#This Row],[INVERSIONES FCI]]-BO217,Tabla5[[#This Row],[INVERSIONES FCI]])</f>
        <v>2474910145.7292099</v>
      </c>
      <c r="BP218" s="5">
        <f>IF($B217&lt;=Tabla5[[#This Row],[INVERSIONES FCI]],+Tabla5[[#This Row],[INVERSIONES FCI]]-BP217,Tabla5[[#This Row],[INVERSIONES FCI]])</f>
        <v>2474910145.7292099</v>
      </c>
      <c r="BQ218" s="5">
        <f>IF($B217&lt;=Tabla5[[#This Row],[INVERSIONES FCI]],+Tabla5[[#This Row],[INVERSIONES FCI]]-BQ217,Tabla5[[#This Row],[INVERSIONES FCI]])</f>
        <v>2474910145.7292099</v>
      </c>
      <c r="BR218" s="5">
        <f>IF($B217&lt;=Tabla5[[#This Row],[INVERSIONES FCI]],+Tabla5[[#This Row],[INVERSIONES FCI]]-BR217,Tabla5[[#This Row],[INVERSIONES FCI]])</f>
        <v>2474910145.7292099</v>
      </c>
      <c r="BS218" s="5">
        <f>IF($B217&lt;=Tabla5[[#This Row],[INVERSIONES FCI]],+Tabla5[[#This Row],[INVERSIONES FCI]]-BS217,Tabla5[[#This Row],[INVERSIONES FCI]])</f>
        <v>2474910145.7292099</v>
      </c>
      <c r="BT218" s="5">
        <f>IF($B217&lt;=Tabla5[[#This Row],[INVERSIONES FCI]],+Tabla5[[#This Row],[INVERSIONES FCI]]-BT217,Tabla5[[#This Row],[INVERSIONES FCI]])</f>
        <v>2474910145.7292099</v>
      </c>
      <c r="BU218" s="5">
        <f>IF($B217&lt;=Tabla5[[#This Row],[INVERSIONES FCI]],+Tabla5[[#This Row],[INVERSIONES FCI]]-BU217,Tabla5[[#This Row],[INVERSIONES FCI]])</f>
        <v>2474910145.7292099</v>
      </c>
      <c r="BV218" s="5">
        <f>IF($B217&lt;=Tabla5[[#This Row],[INVERSIONES FCI]],+Tabla5[[#This Row],[INVERSIONES FCI]]-BV217,Tabla5[[#This Row],[INVERSIONES FCI]])</f>
        <v>2474910145.7292099</v>
      </c>
      <c r="BW218" s="5">
        <f>IF($B217&lt;=Tabla5[[#This Row],[INVERSIONES FCI]],+Tabla5[[#This Row],[INVERSIONES FCI]]-BW217,Tabla5[[#This Row],[INVERSIONES FCI]])</f>
        <v>2474910145.7292099</v>
      </c>
      <c r="BX218" s="5">
        <f>IF($B217&lt;=Tabla5[[#This Row],[INVERSIONES FCI]],+Tabla5[[#This Row],[INVERSIONES FCI]]-BX217,Tabla5[[#This Row],[INVERSIONES FCI]])</f>
        <v>2474910145.7292099</v>
      </c>
      <c r="BY218" s="5">
        <f>IF($B217&lt;=Tabla5[[#This Row],[INVERSIONES FCI]],+Tabla5[[#This Row],[INVERSIONES FCI]]-BY217,Tabla5[[#This Row],[INVERSIONES FCI]])</f>
        <v>2474910145.7292099</v>
      </c>
      <c r="BZ218" s="5">
        <f>IF($B217&lt;=Tabla5[[#This Row],[INVERSIONES FCI]],+Tabla5[[#This Row],[INVERSIONES FCI]]-BZ217,Tabla5[[#This Row],[INVERSIONES FCI]])</f>
        <v>2474910145.7292099</v>
      </c>
      <c r="CA218" s="5">
        <f>IF($B217&lt;=Tabla5[[#This Row],[INVERSIONES FCI]],+Tabla5[[#This Row],[INVERSIONES FCI]]-CA217,Tabla5[[#This Row],[INVERSIONES FCI]])</f>
        <v>2474910145.7292099</v>
      </c>
      <c r="CB218" s="5">
        <f>IF($B217&lt;=Tabla5[[#This Row],[INVERSIONES FCI]],+Tabla5[[#This Row],[INVERSIONES FCI]]-CB217,Tabla5[[#This Row],[INVERSIONES FCI]])</f>
        <v>2474910145.7292099</v>
      </c>
      <c r="CC218" s="5">
        <f>IF($B217&lt;=Tabla5[[#This Row],[INVERSIONES FCI]],+Tabla5[[#This Row],[INVERSIONES FCI]]-CC217,Tabla5[[#This Row],[INVERSIONES FCI]])</f>
        <v>2474910145.7292099</v>
      </c>
      <c r="CD218" s="5">
        <f>IF($B217&lt;=Tabla5[[#This Row],[INVERSIONES FCI]],+Tabla5[[#This Row],[INVERSIONES FCI]]-CD217,Tabla5[[#This Row],[INVERSIONES FCI]])</f>
        <v>2474910145.7292099</v>
      </c>
      <c r="CE218" s="5">
        <f>IF($B217&lt;=Tabla5[[#This Row],[INVERSIONES FCI]],+Tabla5[[#This Row],[INVERSIONES FCI]]-CE217,Tabla5[[#This Row],[INVERSIONES FCI]])</f>
        <v>2474910145.7292099</v>
      </c>
      <c r="CF218" s="5">
        <f>IF($B217&lt;=Tabla5[[#This Row],[INVERSIONES FCI]],+Tabla5[[#This Row],[INVERSIONES FCI]]-CF217,Tabla5[[#This Row],[INVERSIONES FCI]])</f>
        <v>2474910145.7292099</v>
      </c>
      <c r="CG218" s="5">
        <f>IF($B217&lt;=Tabla5[[#This Row],[INVERSIONES FCI]],+Tabla5[[#This Row],[INVERSIONES FCI]]-CG217,Tabla5[[#This Row],[INVERSIONES FCI]])</f>
        <v>2474910145.7292099</v>
      </c>
      <c r="CH218" s="5">
        <f>IF($B217&lt;=Tabla5[[#This Row],[INVERSIONES FCI]],+Tabla5[[#This Row],[INVERSIONES FCI]]-CH217,Tabla5[[#This Row],[INVERSIONES FCI]])</f>
        <v>2474910145.7292099</v>
      </c>
      <c r="CI218" s="5">
        <f>IF($B217&lt;=Tabla5[[#This Row],[INVERSIONES FCI]],+Tabla5[[#This Row],[INVERSIONES FCI]]-CI217,Tabla5[[#This Row],[INVERSIONES FCI]])</f>
        <v>2474910145.7292099</v>
      </c>
      <c r="CJ218" s="5">
        <f>IF($B217&lt;=Tabla5[[#This Row],[INVERSIONES FCI]],+Tabla5[[#This Row],[INVERSIONES FCI]]-CJ217,Tabla5[[#This Row],[INVERSIONES FCI]])</f>
        <v>2474910145.7292099</v>
      </c>
      <c r="CK218" s="5">
        <f>IF($B217&lt;=Tabla5[[#This Row],[INVERSIONES FCI]],+Tabla5[[#This Row],[INVERSIONES FCI]]-CK217,Tabla5[[#This Row],[INVERSIONES FCI]])</f>
        <v>2474910145.7292099</v>
      </c>
      <c r="CL218" s="5">
        <f>IF($B217&lt;=Tabla5[[#This Row],[INVERSIONES FCI]],+Tabla5[[#This Row],[INVERSIONES FCI]]-CL217,Tabla5[[#This Row],[INVERSIONES FCI]])</f>
        <v>2474910145.7292099</v>
      </c>
      <c r="CM218" s="5">
        <f>IF($B217&lt;=Tabla5[[#This Row],[INVERSIONES FCI]],+Tabla5[[#This Row],[INVERSIONES FCI]]-CM217,Tabla5[[#This Row],[INVERSIONES FCI]])</f>
        <v>2474910145.7292099</v>
      </c>
      <c r="CN218" s="5">
        <f>IF($B217&lt;=Tabla5[[#This Row],[INVERSIONES FCI]],+Tabla5[[#This Row],[INVERSIONES FCI]]-CN217,Tabla5[[#This Row],[INVERSIONES FCI]])</f>
        <v>2474910145.7292099</v>
      </c>
      <c r="CO218" s="5">
        <f>IF($B217&lt;=Tabla5[[#This Row],[INVERSIONES FCI]],+Tabla5[[#This Row],[INVERSIONES FCI]]-CO217,Tabla5[[#This Row],[INVERSIONES FCI]])</f>
        <v>2474910145.7292099</v>
      </c>
      <c r="CP218" s="5">
        <f>IF($B217&lt;=Tabla5[[#This Row],[INVERSIONES FCI]],+Tabla5[[#This Row],[INVERSIONES FCI]]-CP217,Tabla5[[#This Row],[INVERSIONES FCI]])</f>
        <v>2474910145.7292099</v>
      </c>
      <c r="CQ218" s="5">
        <f>IF($B217&lt;=Tabla5[[#This Row],[INVERSIONES FCI]],+Tabla5[[#This Row],[INVERSIONES FCI]]-CQ217,Tabla5[[#This Row],[INVERSIONES FCI]])</f>
        <v>2474910145.7292099</v>
      </c>
      <c r="CR218" s="5">
        <f>IF($B217&lt;=Tabla5[[#This Row],[INVERSIONES FCI]],+Tabla5[[#This Row],[INVERSIONES FCI]]-CR217,Tabla5[[#This Row],[INVERSIONES FCI]])</f>
        <v>2474910145.7292099</v>
      </c>
      <c r="CS218" s="5">
        <f>IF($B217&lt;=Tabla5[[#This Row],[INVERSIONES FCI]],+Tabla5[[#This Row],[INVERSIONES FCI]]-CS217,Tabla5[[#This Row],[INVERSIONES FCI]])</f>
        <v>2474910145.7292099</v>
      </c>
      <c r="CT218" s="5">
        <f>IF($B217&lt;=Tabla5[[#This Row],[INVERSIONES FCI]],+Tabla5[[#This Row],[INVERSIONES FCI]]-CT217,Tabla5[[#This Row],[INVERSIONES FCI]])</f>
        <v>2474910145.7292099</v>
      </c>
      <c r="CU218" s="5">
        <f>IF($B217&lt;=Tabla5[[#This Row],[INVERSIONES FCI]],+Tabla5[[#This Row],[INVERSIONES FCI]]-CU217,Tabla5[[#This Row],[INVERSIONES FCI]])</f>
        <v>2474910145.7292099</v>
      </c>
      <c r="CV218" s="5">
        <f>IF($B217&lt;=Tabla5[[#This Row],[INVERSIONES FCI]],+Tabla5[[#This Row],[INVERSIONES FCI]]-CV217,Tabla5[[#This Row],[INVERSIONES FCI]])</f>
        <v>2474910145.7292099</v>
      </c>
      <c r="CW218" s="5">
        <f>IF($B217&lt;=Tabla5[[#This Row],[INVERSIONES FCI]],+Tabla5[[#This Row],[INVERSIONES FCI]]-CW217,Tabla5[[#This Row],[INVERSIONES FCI]])</f>
        <v>2474910145.7292099</v>
      </c>
      <c r="CX218" s="5">
        <f>IF($B217&lt;=Tabla5[[#This Row],[INVERSIONES FCI]],+Tabla5[[#This Row],[INVERSIONES FCI]]-CX217,Tabla5[[#This Row],[INVERSIONES FCI]])</f>
        <v>2474910145.7292099</v>
      </c>
      <c r="CY218" s="5">
        <f>IF($B217&lt;=Tabla5[[#This Row],[INVERSIONES FCI]],+Tabla5[[#This Row],[INVERSIONES FCI]]-CY217,Tabla5[[#This Row],[INVERSIONES FCI]])</f>
        <v>2474910145.7292099</v>
      </c>
      <c r="CZ218" s="5">
        <f>IF($B217&lt;=Tabla5[[#This Row],[INVERSIONES FCI]],+Tabla5[[#This Row],[INVERSIONES FCI]]-CZ217,Tabla5[[#This Row],[INVERSIONES FCI]])</f>
        <v>2474910145.7292099</v>
      </c>
      <c r="DA218" s="5">
        <f>IF($B217&lt;=Tabla5[[#This Row],[INVERSIONES FCI]],+Tabla5[[#This Row],[INVERSIONES FCI]]-DA217,Tabla5[[#This Row],[INVERSIONES FCI]])</f>
        <v>2474910145.7292099</v>
      </c>
      <c r="DB218" s="5">
        <f>IF($B217&lt;=Tabla5[[#This Row],[INVERSIONES FCI]],+Tabla5[[#This Row],[INVERSIONES FCI]]-DB217,Tabla5[[#This Row],[INVERSIONES FCI]])</f>
        <v>2474910145.7292099</v>
      </c>
      <c r="DC218" s="5">
        <f>IF($B217&lt;=Tabla5[[#This Row],[INVERSIONES FCI]],+Tabla5[[#This Row],[INVERSIONES FCI]]-DC217,Tabla5[[#This Row],[INVERSIONES FCI]])</f>
        <v>2474910145.7292099</v>
      </c>
      <c r="DD218" s="5">
        <f>IF($B217&lt;=Tabla5[[#This Row],[INVERSIONES FCI]],+Tabla5[[#This Row],[INVERSIONES FCI]]-DD217,Tabla5[[#This Row],[INVERSIONES FCI]])</f>
        <v>2474910145.7292099</v>
      </c>
      <c r="DE218" s="5">
        <f>IF($B217&lt;=Tabla5[[#This Row],[INVERSIONES FCI]],+Tabla5[[#This Row],[INVERSIONES FCI]]-DE217,Tabla5[[#This Row],[INVERSIONES FCI]])</f>
        <v>2474910145.7292099</v>
      </c>
      <c r="DF218" s="5">
        <f>IF($B217&lt;=Tabla5[[#This Row],[INVERSIONES FCI]],+Tabla5[[#This Row],[INVERSIONES FCI]]-DF217,Tabla5[[#This Row],[INVERSIONES FCI]])</f>
        <v>2474910145.7292099</v>
      </c>
      <c r="DG218" s="5">
        <f>IF($B217&lt;=Tabla5[[#This Row],[INVERSIONES FCI]],+Tabla5[[#This Row],[INVERSIONES FCI]]-DG217,Tabla5[[#This Row],[INVERSIONES FCI]])</f>
        <v>2474910145.7292099</v>
      </c>
      <c r="DH218" s="5">
        <f>IF($B217&lt;=Tabla5[[#This Row],[INVERSIONES FCI]],+Tabla5[[#This Row],[INVERSIONES FCI]]-DH217,Tabla5[[#This Row],[INVERSIONES FCI]])</f>
        <v>2474910145.7292099</v>
      </c>
      <c r="DI218" s="5">
        <f>IF($B217&lt;=Tabla5[[#This Row],[INVERSIONES FCI]],+Tabla5[[#This Row],[INVERSIONES FCI]]-DI217,Tabla5[[#This Row],[INVERSIONES FCI]])</f>
        <v>2474910145.7292099</v>
      </c>
      <c r="DJ218" s="5">
        <f>IF($B217&lt;=Tabla5[[#This Row],[INVERSIONES FCI]],+Tabla5[[#This Row],[INVERSIONES FCI]]-DJ217,Tabla5[[#This Row],[INVERSIONES FCI]])</f>
        <v>2474910145.7292099</v>
      </c>
      <c r="DK218" s="5">
        <f>IF($B217&lt;=Tabla5[[#This Row],[INVERSIONES FCI]],+Tabla5[[#This Row],[INVERSIONES FCI]]-DK217,Tabla5[[#This Row],[INVERSIONES FCI]])</f>
        <v>2474910145.7292099</v>
      </c>
      <c r="DL218" s="5"/>
      <c r="DM218" s="5"/>
      <c r="DN218" s="5"/>
      <c r="DO218" s="5"/>
      <c r="DP218" s="5"/>
      <c r="DQ218" s="5"/>
    </row>
    <row r="219" spans="1:121" ht="14.4">
      <c r="A219" s="12" t="s">
        <v>218</v>
      </c>
      <c r="B219" s="5">
        <f>HLOOKUP($A219,ESCENARIO[#All],7,FALSE)</f>
        <v>29995460167.529823</v>
      </c>
      <c r="C219" s="5">
        <f>IF($B218&lt;=Tabla5[[#This Row],[INVERSIONES FCI]],+Tabla5[[#This Row],[INVERSIONES FCI]]-C218,Tabla5[[#This Row],[INVERSIONES FCI]])</f>
        <v>27520550021.800613</v>
      </c>
      <c r="D219" s="5">
        <f>IF($B218&lt;=Tabla5[[#This Row],[INVERSIONES FCI]],+Tabla5[[#This Row],[INVERSIONES FCI]]-D218,Tabla5[[#This Row],[INVERSIONES FCI]])</f>
        <v>27520550021.800613</v>
      </c>
      <c r="E219" s="5">
        <f>IF($B218&lt;=Tabla5[[#This Row],[INVERSIONES FCI]],+Tabla5[[#This Row],[INVERSIONES FCI]]-E218,Tabla5[[#This Row],[INVERSIONES FCI]])</f>
        <v>27520550021.800613</v>
      </c>
      <c r="F219" s="5">
        <f>IF($B218&lt;=Tabla5[[#This Row],[INVERSIONES FCI]],+Tabla5[[#This Row],[INVERSIONES FCI]]-F218,Tabla5[[#This Row],[INVERSIONES FCI]])</f>
        <v>27520550021.800613</v>
      </c>
      <c r="G219" s="5">
        <f>IF($B218&lt;=Tabla5[[#This Row],[INVERSIONES FCI]],+Tabla5[[#This Row],[INVERSIONES FCI]]-G218,Tabla5[[#This Row],[INVERSIONES FCI]])</f>
        <v>27520550021.800613</v>
      </c>
      <c r="H219" s="5">
        <f>IF($B218&lt;=Tabla5[[#This Row],[INVERSIONES FCI]],+Tabla5[[#This Row],[INVERSIONES FCI]]-H218,Tabla5[[#This Row],[INVERSIONES FCI]])</f>
        <v>27520550021.800613</v>
      </c>
      <c r="I219" s="5">
        <f>IF($B218&lt;=Tabla5[[#This Row],[INVERSIONES FCI]],+Tabla5[[#This Row],[INVERSIONES FCI]]-I218,Tabla5[[#This Row],[INVERSIONES FCI]])</f>
        <v>27520550021.800613</v>
      </c>
      <c r="J219" s="5">
        <f>IF($B218&lt;=Tabla5[[#This Row],[INVERSIONES FCI]],+Tabla5[[#This Row],[INVERSIONES FCI]]-J218,Tabla5[[#This Row],[INVERSIONES FCI]])</f>
        <v>27520550021.800613</v>
      </c>
      <c r="K219" s="5">
        <f>IF($B218&lt;=Tabla5[[#This Row],[INVERSIONES FCI]],+Tabla5[[#This Row],[INVERSIONES FCI]]-K218,Tabla5[[#This Row],[INVERSIONES FCI]])</f>
        <v>27520550021.800613</v>
      </c>
      <c r="L219" s="5">
        <f>IF($B218&lt;=Tabla5[[#This Row],[INVERSIONES FCI]],+Tabla5[[#This Row],[INVERSIONES FCI]]-L218,Tabla5[[#This Row],[INVERSIONES FCI]])</f>
        <v>27520550021.800613</v>
      </c>
      <c r="M219" s="5">
        <f>IF($B218&lt;=Tabla5[[#This Row],[INVERSIONES FCI]],+Tabla5[[#This Row],[INVERSIONES FCI]]-M218,Tabla5[[#This Row],[INVERSIONES FCI]])</f>
        <v>27520550021.800613</v>
      </c>
      <c r="N219" s="5">
        <f>IF($B218&lt;=Tabla5[[#This Row],[INVERSIONES FCI]],+Tabla5[[#This Row],[INVERSIONES FCI]]-N218,Tabla5[[#This Row],[INVERSIONES FCI]])</f>
        <v>27520550021.800613</v>
      </c>
      <c r="O219" s="5">
        <f>IF($B218&lt;=Tabla5[[#This Row],[INVERSIONES FCI]],+Tabla5[[#This Row],[INVERSIONES FCI]]-O218,Tabla5[[#This Row],[INVERSIONES FCI]])</f>
        <v>27520550021.800613</v>
      </c>
      <c r="P219" s="5">
        <f>IF($B218&lt;=Tabla5[[#This Row],[INVERSIONES FCI]],+Tabla5[[#This Row],[INVERSIONES FCI]]-P218,Tabla5[[#This Row],[INVERSIONES FCI]])</f>
        <v>27520550021.800613</v>
      </c>
      <c r="Q219" s="5">
        <f>IF($B218&lt;=Tabla5[[#This Row],[INVERSIONES FCI]],+Tabla5[[#This Row],[INVERSIONES FCI]]-Q218,Tabla5[[#This Row],[INVERSIONES FCI]])</f>
        <v>27520550021.800613</v>
      </c>
      <c r="R219" s="5">
        <f>IF($B218&lt;=Tabla5[[#This Row],[INVERSIONES FCI]],+Tabla5[[#This Row],[INVERSIONES FCI]]-R218,Tabla5[[#This Row],[INVERSIONES FCI]])</f>
        <v>27520550021.800613</v>
      </c>
      <c r="S219" s="5">
        <f>IF($B218&lt;=Tabla5[[#This Row],[INVERSIONES FCI]],+Tabla5[[#This Row],[INVERSIONES FCI]]-S218,Tabla5[[#This Row],[INVERSIONES FCI]])</f>
        <v>27520550021.800613</v>
      </c>
      <c r="T219" s="5">
        <f>IF($B218&lt;=Tabla5[[#This Row],[INVERSIONES FCI]],+Tabla5[[#This Row],[INVERSIONES FCI]]-T218,Tabla5[[#This Row],[INVERSIONES FCI]])</f>
        <v>27520550021.800613</v>
      </c>
      <c r="U219" s="5">
        <f>IF($B218&lt;=Tabla5[[#This Row],[INVERSIONES FCI]],+Tabla5[[#This Row],[INVERSIONES FCI]]-U218,Tabla5[[#This Row],[INVERSIONES FCI]])</f>
        <v>27520550021.800613</v>
      </c>
      <c r="V219" s="5">
        <f>IF($B218&lt;=Tabla5[[#This Row],[INVERSIONES FCI]],+Tabla5[[#This Row],[INVERSIONES FCI]]-V218,Tabla5[[#This Row],[INVERSIONES FCI]])</f>
        <v>27520550021.800613</v>
      </c>
      <c r="W219" s="5">
        <f>IF($B218&lt;=Tabla5[[#This Row],[INVERSIONES FCI]],+Tabla5[[#This Row],[INVERSIONES FCI]]-W218,Tabla5[[#This Row],[INVERSIONES FCI]])</f>
        <v>27520550021.800613</v>
      </c>
      <c r="X219" s="5">
        <f>IF($B218&lt;=Tabla5[[#This Row],[INVERSIONES FCI]],+Tabla5[[#This Row],[INVERSIONES FCI]]-X218,Tabla5[[#This Row],[INVERSIONES FCI]])</f>
        <v>27520550021.800613</v>
      </c>
      <c r="Y219" s="5">
        <f>IF($B218&lt;=Tabla5[[#This Row],[INVERSIONES FCI]],+Tabla5[[#This Row],[INVERSIONES FCI]]-Y218,Tabla5[[#This Row],[INVERSIONES FCI]])</f>
        <v>27520550021.800613</v>
      </c>
      <c r="Z219" s="5">
        <f>IF($B218&lt;=Tabla5[[#This Row],[INVERSIONES FCI]],+Tabla5[[#This Row],[INVERSIONES FCI]]-Z218,Tabla5[[#This Row],[INVERSIONES FCI]])</f>
        <v>27520550021.800613</v>
      </c>
      <c r="AA219" s="5">
        <f>IF($B218&lt;=Tabla5[[#This Row],[INVERSIONES FCI]],+Tabla5[[#This Row],[INVERSIONES FCI]]-AA218,Tabla5[[#This Row],[INVERSIONES FCI]])</f>
        <v>27520550021.800613</v>
      </c>
      <c r="AB219" s="5">
        <f>IF($B218&lt;=Tabla5[[#This Row],[INVERSIONES FCI]],+Tabla5[[#This Row],[INVERSIONES FCI]]-AB218,Tabla5[[#This Row],[INVERSIONES FCI]])</f>
        <v>27520550021.800613</v>
      </c>
      <c r="AC219" s="5">
        <f>IF($B218&lt;=Tabla5[[#This Row],[INVERSIONES FCI]],+Tabla5[[#This Row],[INVERSIONES FCI]]-AC218,Tabla5[[#This Row],[INVERSIONES FCI]])</f>
        <v>27520550021.800613</v>
      </c>
      <c r="AD219" s="5">
        <f>IF($B218&lt;=Tabla5[[#This Row],[INVERSIONES FCI]],+Tabla5[[#This Row],[INVERSIONES FCI]]-AD218,Tabla5[[#This Row],[INVERSIONES FCI]])</f>
        <v>27520550021.800613</v>
      </c>
      <c r="AE219" s="5">
        <f>IF($B218&lt;=Tabla5[[#This Row],[INVERSIONES FCI]],+Tabla5[[#This Row],[INVERSIONES FCI]]-AE218,Tabla5[[#This Row],[INVERSIONES FCI]])</f>
        <v>27520550021.800613</v>
      </c>
      <c r="AF219" s="5">
        <f>IF($B218&lt;=Tabla5[[#This Row],[INVERSIONES FCI]],+Tabla5[[#This Row],[INVERSIONES FCI]]-AF218,Tabla5[[#This Row],[INVERSIONES FCI]])</f>
        <v>27520550021.800613</v>
      </c>
      <c r="AG219" s="5">
        <f>IF($B218&lt;=Tabla5[[#This Row],[INVERSIONES FCI]],+Tabla5[[#This Row],[INVERSIONES FCI]]-AG218,Tabla5[[#This Row],[INVERSIONES FCI]])</f>
        <v>27520550021.800613</v>
      </c>
      <c r="AH219" s="5">
        <f>IF($B218&lt;=Tabla5[[#This Row],[INVERSIONES FCI]],+Tabla5[[#This Row],[INVERSIONES FCI]]-AH218,Tabla5[[#This Row],[INVERSIONES FCI]])</f>
        <v>27520550021.800613</v>
      </c>
      <c r="AI219" s="5">
        <f>IF($B218&lt;=Tabla5[[#This Row],[INVERSIONES FCI]],+Tabla5[[#This Row],[INVERSIONES FCI]]-AI218,Tabla5[[#This Row],[INVERSIONES FCI]])</f>
        <v>27520550021.800613</v>
      </c>
      <c r="AJ219" s="5">
        <f>IF($B218&lt;=Tabla5[[#This Row],[INVERSIONES FCI]],+Tabla5[[#This Row],[INVERSIONES FCI]]-AJ218,Tabla5[[#This Row],[INVERSIONES FCI]])</f>
        <v>27520550021.800613</v>
      </c>
      <c r="AK219" s="5">
        <f>IF($B218&lt;=Tabla5[[#This Row],[INVERSIONES FCI]],+Tabla5[[#This Row],[INVERSIONES FCI]]-AK218,Tabla5[[#This Row],[INVERSIONES FCI]])</f>
        <v>27520550021.800613</v>
      </c>
      <c r="AL219" s="5">
        <f>IF($B218&lt;=Tabla5[[#This Row],[INVERSIONES FCI]],+Tabla5[[#This Row],[INVERSIONES FCI]]-AL218,Tabla5[[#This Row],[INVERSIONES FCI]])</f>
        <v>27520550021.800613</v>
      </c>
      <c r="AM219" s="5">
        <f>IF($B218&lt;=Tabla5[[#This Row],[INVERSIONES FCI]],+Tabla5[[#This Row],[INVERSIONES FCI]]-AM218,Tabla5[[#This Row],[INVERSIONES FCI]])</f>
        <v>27520550021.800613</v>
      </c>
      <c r="AN219" s="5">
        <f>IF($B218&lt;=Tabla5[[#This Row],[INVERSIONES FCI]],+Tabla5[[#This Row],[INVERSIONES FCI]]-AN218,Tabla5[[#This Row],[INVERSIONES FCI]])</f>
        <v>27520550021.800613</v>
      </c>
      <c r="AO219" s="5">
        <f>IF($B218&lt;=Tabla5[[#This Row],[INVERSIONES FCI]],+Tabla5[[#This Row],[INVERSIONES FCI]]-AO218,Tabla5[[#This Row],[INVERSIONES FCI]])</f>
        <v>27520550021.800613</v>
      </c>
      <c r="AP219" s="5">
        <f>IF($B218&lt;=Tabla5[[#This Row],[INVERSIONES FCI]],+Tabla5[[#This Row],[INVERSIONES FCI]]-AP218,Tabla5[[#This Row],[INVERSIONES FCI]])</f>
        <v>27520550021.800613</v>
      </c>
      <c r="AQ219" s="5">
        <f>IF($B218&lt;=Tabla5[[#This Row],[INVERSIONES FCI]],+Tabla5[[#This Row],[INVERSIONES FCI]]-AQ218,Tabla5[[#This Row],[INVERSIONES FCI]])</f>
        <v>27520550021.800613</v>
      </c>
      <c r="AR219" s="5">
        <f>IF($B218&lt;=Tabla5[[#This Row],[INVERSIONES FCI]],+Tabla5[[#This Row],[INVERSIONES FCI]]-AR218,Tabla5[[#This Row],[INVERSIONES FCI]])</f>
        <v>27520550021.800613</v>
      </c>
      <c r="AS219" s="5">
        <f>IF($B218&lt;=Tabla5[[#This Row],[INVERSIONES FCI]],+Tabla5[[#This Row],[INVERSIONES FCI]]-AS218,Tabla5[[#This Row],[INVERSIONES FCI]])</f>
        <v>27520550021.800613</v>
      </c>
      <c r="AT219" s="5">
        <f>IF($B218&lt;=Tabla5[[#This Row],[INVERSIONES FCI]],+Tabla5[[#This Row],[INVERSIONES FCI]]-AT218,Tabla5[[#This Row],[INVERSIONES FCI]])</f>
        <v>27520550021.800613</v>
      </c>
      <c r="AU219" s="5">
        <f>IF($B218&lt;=Tabla5[[#This Row],[INVERSIONES FCI]],+Tabla5[[#This Row],[INVERSIONES FCI]]-AU218,Tabla5[[#This Row],[INVERSIONES FCI]])</f>
        <v>27520550021.800613</v>
      </c>
      <c r="AV219" s="5">
        <f>IF($B218&lt;=Tabla5[[#This Row],[INVERSIONES FCI]],+Tabla5[[#This Row],[INVERSIONES FCI]]-AV218,Tabla5[[#This Row],[INVERSIONES FCI]])</f>
        <v>27520550021.800613</v>
      </c>
      <c r="AW219" s="5">
        <f>IF($B218&lt;=Tabla5[[#This Row],[INVERSIONES FCI]],+Tabla5[[#This Row],[INVERSIONES FCI]]-AW218,Tabla5[[#This Row],[INVERSIONES FCI]])</f>
        <v>27520550021.800613</v>
      </c>
      <c r="AX219" s="5">
        <f>IF($B218&lt;=Tabla5[[#This Row],[INVERSIONES FCI]],+Tabla5[[#This Row],[INVERSIONES FCI]]-AX218,Tabla5[[#This Row],[INVERSIONES FCI]])</f>
        <v>27520550021.800613</v>
      </c>
      <c r="AY219" s="5">
        <f>IF($B218&lt;=Tabla5[[#This Row],[INVERSIONES FCI]],+Tabla5[[#This Row],[INVERSIONES FCI]]-AY218,Tabla5[[#This Row],[INVERSIONES FCI]])</f>
        <v>27520550021.800613</v>
      </c>
      <c r="AZ219" s="5">
        <f>IF($B218&lt;=Tabla5[[#This Row],[INVERSIONES FCI]],+Tabla5[[#This Row],[INVERSIONES FCI]]-AZ218,Tabla5[[#This Row],[INVERSIONES FCI]])</f>
        <v>27520550021.800613</v>
      </c>
      <c r="BA219" s="5">
        <f>IF($B218&lt;=Tabla5[[#This Row],[INVERSIONES FCI]],+Tabla5[[#This Row],[INVERSIONES FCI]]-BA218,Tabla5[[#This Row],[INVERSIONES FCI]])</f>
        <v>27520550021.800613</v>
      </c>
      <c r="BB219" s="5">
        <f>IF($B218&lt;=Tabla5[[#This Row],[INVERSIONES FCI]],+Tabla5[[#This Row],[INVERSIONES FCI]]-BB218,Tabla5[[#This Row],[INVERSIONES FCI]])</f>
        <v>27520550021.800613</v>
      </c>
      <c r="BC219" s="5">
        <f>IF($B218&lt;=Tabla5[[#This Row],[INVERSIONES FCI]],+Tabla5[[#This Row],[INVERSIONES FCI]]-BC218,Tabla5[[#This Row],[INVERSIONES FCI]])</f>
        <v>27520550021.800613</v>
      </c>
      <c r="BD219" s="5">
        <f>IF($B218&lt;=Tabla5[[#This Row],[INVERSIONES FCI]],+Tabla5[[#This Row],[INVERSIONES FCI]]-BD218,Tabla5[[#This Row],[INVERSIONES FCI]])</f>
        <v>27520550021.800613</v>
      </c>
      <c r="BE219" s="5">
        <f>IF($B218&lt;=Tabla5[[#This Row],[INVERSIONES FCI]],+Tabla5[[#This Row],[INVERSIONES FCI]]-BE218,Tabla5[[#This Row],[INVERSIONES FCI]])</f>
        <v>27520550021.800613</v>
      </c>
      <c r="BF219" s="5">
        <f>IF($B218&lt;=Tabla5[[#This Row],[INVERSIONES FCI]],+Tabla5[[#This Row],[INVERSIONES FCI]]-BF218,Tabla5[[#This Row],[INVERSIONES FCI]])</f>
        <v>27520550021.800613</v>
      </c>
      <c r="BG219" s="5">
        <f>IF($B218&lt;=Tabla5[[#This Row],[INVERSIONES FCI]],+Tabla5[[#This Row],[INVERSIONES FCI]]-BG218,Tabla5[[#This Row],[INVERSIONES FCI]])</f>
        <v>27520550021.800613</v>
      </c>
      <c r="BH219" s="5">
        <f>IF($B218&lt;=Tabla5[[#This Row],[INVERSIONES FCI]],+Tabla5[[#This Row],[INVERSIONES FCI]]-BH218,Tabla5[[#This Row],[INVERSIONES FCI]])</f>
        <v>27520550021.800613</v>
      </c>
      <c r="BI219" s="5">
        <f>IF($B218&lt;=Tabla5[[#This Row],[INVERSIONES FCI]],+Tabla5[[#This Row],[INVERSIONES FCI]]-BI218,Tabla5[[#This Row],[INVERSIONES FCI]])</f>
        <v>27520550021.800613</v>
      </c>
      <c r="BJ219" s="5">
        <f>IF($B218&lt;=Tabla5[[#This Row],[INVERSIONES FCI]],+Tabla5[[#This Row],[INVERSIONES FCI]]-BJ218,Tabla5[[#This Row],[INVERSIONES FCI]])</f>
        <v>27520550021.800613</v>
      </c>
      <c r="BK219" s="5">
        <f>IF($B218&lt;=Tabla5[[#This Row],[INVERSIONES FCI]],+Tabla5[[#This Row],[INVERSIONES FCI]]-BK218,Tabla5[[#This Row],[INVERSIONES FCI]])</f>
        <v>27520550021.800613</v>
      </c>
      <c r="BL219" s="5">
        <f>IF($B218&lt;=Tabla5[[#This Row],[INVERSIONES FCI]],+Tabla5[[#This Row],[INVERSIONES FCI]]-BL218,Tabla5[[#This Row],[INVERSIONES FCI]])</f>
        <v>27520550021.800613</v>
      </c>
      <c r="BM219" s="5">
        <f>IF($B218&lt;=Tabla5[[#This Row],[INVERSIONES FCI]],+Tabla5[[#This Row],[INVERSIONES FCI]]-BM218,Tabla5[[#This Row],[INVERSIONES FCI]])</f>
        <v>27520550021.800613</v>
      </c>
      <c r="BN219" s="5">
        <f>IF($B218&lt;=Tabla5[[#This Row],[INVERSIONES FCI]],+Tabla5[[#This Row],[INVERSIONES FCI]]-BN218,Tabla5[[#This Row],[INVERSIONES FCI]])</f>
        <v>27520550021.800613</v>
      </c>
      <c r="BO219" s="5">
        <f>IF($B218&lt;=Tabla5[[#This Row],[INVERSIONES FCI]],+Tabla5[[#This Row],[INVERSIONES FCI]]-BO218,Tabla5[[#This Row],[INVERSIONES FCI]])</f>
        <v>27520550021.800613</v>
      </c>
      <c r="BP219" s="5">
        <f>IF($B218&lt;=Tabla5[[#This Row],[INVERSIONES FCI]],+Tabla5[[#This Row],[INVERSIONES FCI]]-BP218,Tabla5[[#This Row],[INVERSIONES FCI]])</f>
        <v>27520550021.800613</v>
      </c>
      <c r="BQ219" s="5">
        <f>IF($B218&lt;=Tabla5[[#This Row],[INVERSIONES FCI]],+Tabla5[[#This Row],[INVERSIONES FCI]]-BQ218,Tabla5[[#This Row],[INVERSIONES FCI]])</f>
        <v>27520550021.800613</v>
      </c>
      <c r="BR219" s="5">
        <f>IF($B218&lt;=Tabla5[[#This Row],[INVERSIONES FCI]],+Tabla5[[#This Row],[INVERSIONES FCI]]-BR218,Tabla5[[#This Row],[INVERSIONES FCI]])</f>
        <v>27520550021.800613</v>
      </c>
      <c r="BS219" s="5">
        <f>IF($B218&lt;=Tabla5[[#This Row],[INVERSIONES FCI]],+Tabla5[[#This Row],[INVERSIONES FCI]]-BS218,Tabla5[[#This Row],[INVERSIONES FCI]])</f>
        <v>27520550021.800613</v>
      </c>
      <c r="BT219" s="5">
        <f>IF($B218&lt;=Tabla5[[#This Row],[INVERSIONES FCI]],+Tabla5[[#This Row],[INVERSIONES FCI]]-BT218,Tabla5[[#This Row],[INVERSIONES FCI]])</f>
        <v>27520550021.800613</v>
      </c>
      <c r="BU219" s="5">
        <f>IF($B218&lt;=Tabla5[[#This Row],[INVERSIONES FCI]],+Tabla5[[#This Row],[INVERSIONES FCI]]-BU218,Tabla5[[#This Row],[INVERSIONES FCI]])</f>
        <v>27520550021.800613</v>
      </c>
      <c r="BV219" s="5">
        <f>IF($B218&lt;=Tabla5[[#This Row],[INVERSIONES FCI]],+Tabla5[[#This Row],[INVERSIONES FCI]]-BV218,Tabla5[[#This Row],[INVERSIONES FCI]])</f>
        <v>27520550021.800613</v>
      </c>
      <c r="BW219" s="5">
        <f>IF($B218&lt;=Tabla5[[#This Row],[INVERSIONES FCI]],+Tabla5[[#This Row],[INVERSIONES FCI]]-BW218,Tabla5[[#This Row],[INVERSIONES FCI]])</f>
        <v>27520550021.800613</v>
      </c>
      <c r="BX219" s="5">
        <f>IF($B218&lt;=Tabla5[[#This Row],[INVERSIONES FCI]],+Tabla5[[#This Row],[INVERSIONES FCI]]-BX218,Tabla5[[#This Row],[INVERSIONES FCI]])</f>
        <v>27520550021.800613</v>
      </c>
      <c r="BY219" s="5">
        <f>IF($B218&lt;=Tabla5[[#This Row],[INVERSIONES FCI]],+Tabla5[[#This Row],[INVERSIONES FCI]]-BY218,Tabla5[[#This Row],[INVERSIONES FCI]])</f>
        <v>27520550021.800613</v>
      </c>
      <c r="BZ219" s="5">
        <f>IF($B218&lt;=Tabla5[[#This Row],[INVERSIONES FCI]],+Tabla5[[#This Row],[INVERSIONES FCI]]-BZ218,Tabla5[[#This Row],[INVERSIONES FCI]])</f>
        <v>27520550021.800613</v>
      </c>
      <c r="CA219" s="5">
        <f>IF($B218&lt;=Tabla5[[#This Row],[INVERSIONES FCI]],+Tabla5[[#This Row],[INVERSIONES FCI]]-CA218,Tabla5[[#This Row],[INVERSIONES FCI]])</f>
        <v>27520550021.800613</v>
      </c>
      <c r="CB219" s="5">
        <f>IF($B218&lt;=Tabla5[[#This Row],[INVERSIONES FCI]],+Tabla5[[#This Row],[INVERSIONES FCI]]-CB218,Tabla5[[#This Row],[INVERSIONES FCI]])</f>
        <v>27520550021.800613</v>
      </c>
      <c r="CC219" s="5">
        <f>IF($B218&lt;=Tabla5[[#This Row],[INVERSIONES FCI]],+Tabla5[[#This Row],[INVERSIONES FCI]]-CC218,Tabla5[[#This Row],[INVERSIONES FCI]])</f>
        <v>27520550021.800613</v>
      </c>
      <c r="CD219" s="5">
        <f>IF($B218&lt;=Tabla5[[#This Row],[INVERSIONES FCI]],+Tabla5[[#This Row],[INVERSIONES FCI]]-CD218,Tabla5[[#This Row],[INVERSIONES FCI]])</f>
        <v>27520550021.800613</v>
      </c>
      <c r="CE219" s="5">
        <f>IF($B218&lt;=Tabla5[[#This Row],[INVERSIONES FCI]],+Tabla5[[#This Row],[INVERSIONES FCI]]-CE218,Tabla5[[#This Row],[INVERSIONES FCI]])</f>
        <v>27520550021.800613</v>
      </c>
      <c r="CF219" s="5">
        <f>IF($B218&lt;=Tabla5[[#This Row],[INVERSIONES FCI]],+Tabla5[[#This Row],[INVERSIONES FCI]]-CF218,Tabla5[[#This Row],[INVERSIONES FCI]])</f>
        <v>27520550021.800613</v>
      </c>
      <c r="CG219" s="5">
        <f>IF($B218&lt;=Tabla5[[#This Row],[INVERSIONES FCI]],+Tabla5[[#This Row],[INVERSIONES FCI]]-CG218,Tabla5[[#This Row],[INVERSIONES FCI]])</f>
        <v>27520550021.800613</v>
      </c>
      <c r="CH219" s="5">
        <f>IF($B218&lt;=Tabla5[[#This Row],[INVERSIONES FCI]],+Tabla5[[#This Row],[INVERSIONES FCI]]-CH218,Tabla5[[#This Row],[INVERSIONES FCI]])</f>
        <v>27520550021.800613</v>
      </c>
      <c r="CI219" s="5">
        <f>IF($B218&lt;=Tabla5[[#This Row],[INVERSIONES FCI]],+Tabla5[[#This Row],[INVERSIONES FCI]]-CI218,Tabla5[[#This Row],[INVERSIONES FCI]])</f>
        <v>27520550021.800613</v>
      </c>
      <c r="CJ219" s="5">
        <f>IF($B218&lt;=Tabla5[[#This Row],[INVERSIONES FCI]],+Tabla5[[#This Row],[INVERSIONES FCI]]-CJ218,Tabla5[[#This Row],[INVERSIONES FCI]])</f>
        <v>27520550021.800613</v>
      </c>
      <c r="CK219" s="5">
        <f>IF($B218&lt;=Tabla5[[#This Row],[INVERSIONES FCI]],+Tabla5[[#This Row],[INVERSIONES FCI]]-CK218,Tabla5[[#This Row],[INVERSIONES FCI]])</f>
        <v>27520550021.800613</v>
      </c>
      <c r="CL219" s="5">
        <f>IF($B218&lt;=Tabla5[[#This Row],[INVERSIONES FCI]],+Tabla5[[#This Row],[INVERSIONES FCI]]-CL218,Tabla5[[#This Row],[INVERSIONES FCI]])</f>
        <v>27520550021.800613</v>
      </c>
      <c r="CM219" s="5">
        <f>IF($B218&lt;=Tabla5[[#This Row],[INVERSIONES FCI]],+Tabla5[[#This Row],[INVERSIONES FCI]]-CM218,Tabla5[[#This Row],[INVERSIONES FCI]])</f>
        <v>27520550021.800613</v>
      </c>
      <c r="CN219" s="5">
        <f>IF($B218&lt;=Tabla5[[#This Row],[INVERSIONES FCI]],+Tabla5[[#This Row],[INVERSIONES FCI]]-CN218,Tabla5[[#This Row],[INVERSIONES FCI]])</f>
        <v>27520550021.800613</v>
      </c>
      <c r="CO219" s="5">
        <f>IF($B218&lt;=Tabla5[[#This Row],[INVERSIONES FCI]],+Tabla5[[#This Row],[INVERSIONES FCI]]-CO218,Tabla5[[#This Row],[INVERSIONES FCI]])</f>
        <v>27520550021.800613</v>
      </c>
      <c r="CP219" s="5">
        <f>IF($B218&lt;=Tabla5[[#This Row],[INVERSIONES FCI]],+Tabla5[[#This Row],[INVERSIONES FCI]]-CP218,Tabla5[[#This Row],[INVERSIONES FCI]])</f>
        <v>27520550021.800613</v>
      </c>
      <c r="CQ219" s="5">
        <f>IF($B218&lt;=Tabla5[[#This Row],[INVERSIONES FCI]],+Tabla5[[#This Row],[INVERSIONES FCI]]-CQ218,Tabla5[[#This Row],[INVERSIONES FCI]])</f>
        <v>27520550021.800613</v>
      </c>
      <c r="CR219" s="5">
        <f>IF($B218&lt;=Tabla5[[#This Row],[INVERSIONES FCI]],+Tabla5[[#This Row],[INVERSIONES FCI]]-CR218,Tabla5[[#This Row],[INVERSIONES FCI]])</f>
        <v>27520550021.800613</v>
      </c>
      <c r="CS219" s="5">
        <f>IF($B218&lt;=Tabla5[[#This Row],[INVERSIONES FCI]],+Tabla5[[#This Row],[INVERSIONES FCI]]-CS218,Tabla5[[#This Row],[INVERSIONES FCI]])</f>
        <v>27520550021.800613</v>
      </c>
      <c r="CT219" s="5">
        <f>IF($B218&lt;=Tabla5[[#This Row],[INVERSIONES FCI]],+Tabla5[[#This Row],[INVERSIONES FCI]]-CT218,Tabla5[[#This Row],[INVERSIONES FCI]])</f>
        <v>27520550021.800613</v>
      </c>
      <c r="CU219" s="5">
        <f>IF($B218&lt;=Tabla5[[#This Row],[INVERSIONES FCI]],+Tabla5[[#This Row],[INVERSIONES FCI]]-CU218,Tabla5[[#This Row],[INVERSIONES FCI]])</f>
        <v>27520550021.800613</v>
      </c>
      <c r="CV219" s="5">
        <f>IF($B218&lt;=Tabla5[[#This Row],[INVERSIONES FCI]],+Tabla5[[#This Row],[INVERSIONES FCI]]-CV218,Tabla5[[#This Row],[INVERSIONES FCI]])</f>
        <v>27520550021.800613</v>
      </c>
      <c r="CW219" s="5">
        <f>IF($B218&lt;=Tabla5[[#This Row],[INVERSIONES FCI]],+Tabla5[[#This Row],[INVERSIONES FCI]]-CW218,Tabla5[[#This Row],[INVERSIONES FCI]])</f>
        <v>27520550021.800613</v>
      </c>
      <c r="CX219" s="5">
        <f>IF($B218&lt;=Tabla5[[#This Row],[INVERSIONES FCI]],+Tabla5[[#This Row],[INVERSIONES FCI]]-CX218,Tabla5[[#This Row],[INVERSIONES FCI]])</f>
        <v>27520550021.800613</v>
      </c>
      <c r="CY219" s="5">
        <f>IF($B218&lt;=Tabla5[[#This Row],[INVERSIONES FCI]],+Tabla5[[#This Row],[INVERSIONES FCI]]-CY218,Tabla5[[#This Row],[INVERSIONES FCI]])</f>
        <v>27520550021.800613</v>
      </c>
      <c r="CZ219" s="5">
        <f>IF($B218&lt;=Tabla5[[#This Row],[INVERSIONES FCI]],+Tabla5[[#This Row],[INVERSIONES FCI]]-CZ218,Tabla5[[#This Row],[INVERSIONES FCI]])</f>
        <v>27520550021.800613</v>
      </c>
      <c r="DA219" s="5">
        <f>IF($B218&lt;=Tabla5[[#This Row],[INVERSIONES FCI]],+Tabla5[[#This Row],[INVERSIONES FCI]]-DA218,Tabla5[[#This Row],[INVERSIONES FCI]])</f>
        <v>27520550021.800613</v>
      </c>
      <c r="DB219" s="5">
        <f>IF($B218&lt;=Tabla5[[#This Row],[INVERSIONES FCI]],+Tabla5[[#This Row],[INVERSIONES FCI]]-DB218,Tabla5[[#This Row],[INVERSIONES FCI]])</f>
        <v>27520550021.800613</v>
      </c>
      <c r="DC219" s="5">
        <f>IF($B218&lt;=Tabla5[[#This Row],[INVERSIONES FCI]],+Tabla5[[#This Row],[INVERSIONES FCI]]-DC218,Tabla5[[#This Row],[INVERSIONES FCI]])</f>
        <v>27520550021.800613</v>
      </c>
      <c r="DD219" s="5">
        <f>IF($B218&lt;=Tabla5[[#This Row],[INVERSIONES FCI]],+Tabla5[[#This Row],[INVERSIONES FCI]]-DD218,Tabla5[[#This Row],[INVERSIONES FCI]])</f>
        <v>27520550021.800613</v>
      </c>
      <c r="DE219" s="5">
        <f>IF($B218&lt;=Tabla5[[#This Row],[INVERSIONES FCI]],+Tabla5[[#This Row],[INVERSIONES FCI]]-DE218,Tabla5[[#This Row],[INVERSIONES FCI]])</f>
        <v>27520550021.800613</v>
      </c>
      <c r="DF219" s="5">
        <f>IF($B218&lt;=Tabla5[[#This Row],[INVERSIONES FCI]],+Tabla5[[#This Row],[INVERSIONES FCI]]-DF218,Tabla5[[#This Row],[INVERSIONES FCI]])</f>
        <v>27520550021.800613</v>
      </c>
      <c r="DG219" s="5">
        <f>IF($B218&lt;=Tabla5[[#This Row],[INVERSIONES FCI]],+Tabla5[[#This Row],[INVERSIONES FCI]]-DG218,Tabla5[[#This Row],[INVERSIONES FCI]])</f>
        <v>27520550021.800613</v>
      </c>
      <c r="DH219" s="5">
        <f>IF($B218&lt;=Tabla5[[#This Row],[INVERSIONES FCI]],+Tabla5[[#This Row],[INVERSIONES FCI]]-DH218,Tabla5[[#This Row],[INVERSIONES FCI]])</f>
        <v>27520550021.800613</v>
      </c>
      <c r="DI219" s="5">
        <f>IF($B218&lt;=Tabla5[[#This Row],[INVERSIONES FCI]],+Tabla5[[#This Row],[INVERSIONES FCI]]-DI218,Tabla5[[#This Row],[INVERSIONES FCI]])</f>
        <v>27520550021.800613</v>
      </c>
      <c r="DJ219" s="5">
        <f>IF($B218&lt;=Tabla5[[#This Row],[INVERSIONES FCI]],+Tabla5[[#This Row],[INVERSIONES FCI]]-DJ218,Tabla5[[#This Row],[INVERSIONES FCI]])</f>
        <v>27520550021.800613</v>
      </c>
      <c r="DK219" s="5">
        <f>IF($B218&lt;=Tabla5[[#This Row],[INVERSIONES FCI]],+Tabla5[[#This Row],[INVERSIONES FCI]]-DK218,Tabla5[[#This Row],[INVERSIONES FCI]])</f>
        <v>27520550021.800613</v>
      </c>
      <c r="DL219" s="5"/>
      <c r="DM219" s="5"/>
      <c r="DN219" s="5"/>
      <c r="DO219" s="5"/>
      <c r="DP219" s="5"/>
      <c r="DQ219" s="5"/>
    </row>
    <row r="220" spans="1:121" ht="14.4">
      <c r="A220" s="12" t="s">
        <v>219</v>
      </c>
      <c r="B220" s="5">
        <f>HLOOKUP($A220,ESCENARIO[#All],7,FALSE)</f>
        <v>29995460167.529823</v>
      </c>
      <c r="C220" s="5">
        <f>IF($B219&lt;=Tabla5[[#This Row],[INVERSIONES FCI]],+Tabla5[[#This Row],[INVERSIONES FCI]]-C219,Tabla5[[#This Row],[INVERSIONES FCI]])</f>
        <v>2474910145.7292099</v>
      </c>
      <c r="D220" s="5">
        <f>IF($B219&lt;=Tabla5[[#This Row],[INVERSIONES FCI]],+Tabla5[[#This Row],[INVERSIONES FCI]]-D219,Tabla5[[#This Row],[INVERSIONES FCI]])</f>
        <v>2474910145.7292099</v>
      </c>
      <c r="E220" s="5">
        <f>IF($B219&lt;=Tabla5[[#This Row],[INVERSIONES FCI]],+Tabla5[[#This Row],[INVERSIONES FCI]]-E219,Tabla5[[#This Row],[INVERSIONES FCI]])</f>
        <v>2474910145.7292099</v>
      </c>
      <c r="F220" s="5">
        <f>IF($B219&lt;=Tabla5[[#This Row],[INVERSIONES FCI]],+Tabla5[[#This Row],[INVERSIONES FCI]]-F219,Tabla5[[#This Row],[INVERSIONES FCI]])</f>
        <v>2474910145.7292099</v>
      </c>
      <c r="G220" s="5">
        <f>IF($B219&lt;=Tabla5[[#This Row],[INVERSIONES FCI]],+Tabla5[[#This Row],[INVERSIONES FCI]]-G219,Tabla5[[#This Row],[INVERSIONES FCI]])</f>
        <v>2474910145.7292099</v>
      </c>
      <c r="H220" s="5">
        <f>IF($B219&lt;=Tabla5[[#This Row],[INVERSIONES FCI]],+Tabla5[[#This Row],[INVERSIONES FCI]]-H219,Tabla5[[#This Row],[INVERSIONES FCI]])</f>
        <v>2474910145.7292099</v>
      </c>
      <c r="I220" s="5">
        <f>IF($B219&lt;=Tabla5[[#This Row],[INVERSIONES FCI]],+Tabla5[[#This Row],[INVERSIONES FCI]]-I219,Tabla5[[#This Row],[INVERSIONES FCI]])</f>
        <v>2474910145.7292099</v>
      </c>
      <c r="J220" s="5">
        <f>IF($B219&lt;=Tabla5[[#This Row],[INVERSIONES FCI]],+Tabla5[[#This Row],[INVERSIONES FCI]]-J219,Tabla5[[#This Row],[INVERSIONES FCI]])</f>
        <v>2474910145.7292099</v>
      </c>
      <c r="K220" s="5">
        <f>IF($B219&lt;=Tabla5[[#This Row],[INVERSIONES FCI]],+Tabla5[[#This Row],[INVERSIONES FCI]]-K219,Tabla5[[#This Row],[INVERSIONES FCI]])</f>
        <v>2474910145.7292099</v>
      </c>
      <c r="L220" s="5">
        <f>IF($B219&lt;=Tabla5[[#This Row],[INVERSIONES FCI]],+Tabla5[[#This Row],[INVERSIONES FCI]]-L219,Tabla5[[#This Row],[INVERSIONES FCI]])</f>
        <v>2474910145.7292099</v>
      </c>
      <c r="M220" s="5">
        <f>IF($B219&lt;=Tabla5[[#This Row],[INVERSIONES FCI]],+Tabla5[[#This Row],[INVERSIONES FCI]]-M219,Tabla5[[#This Row],[INVERSIONES FCI]])</f>
        <v>2474910145.7292099</v>
      </c>
      <c r="N220" s="5">
        <f>IF($B219&lt;=Tabla5[[#This Row],[INVERSIONES FCI]],+Tabla5[[#This Row],[INVERSIONES FCI]]-N219,Tabla5[[#This Row],[INVERSIONES FCI]])</f>
        <v>2474910145.7292099</v>
      </c>
      <c r="O220" s="5">
        <f>IF($B219&lt;=Tabla5[[#This Row],[INVERSIONES FCI]],+Tabla5[[#This Row],[INVERSIONES FCI]]-O219,Tabla5[[#This Row],[INVERSIONES FCI]])</f>
        <v>2474910145.7292099</v>
      </c>
      <c r="P220" s="5">
        <f>IF($B219&lt;=Tabla5[[#This Row],[INVERSIONES FCI]],+Tabla5[[#This Row],[INVERSIONES FCI]]-P219,Tabla5[[#This Row],[INVERSIONES FCI]])</f>
        <v>2474910145.7292099</v>
      </c>
      <c r="Q220" s="5">
        <f>IF($B219&lt;=Tabla5[[#This Row],[INVERSIONES FCI]],+Tabla5[[#This Row],[INVERSIONES FCI]]-Q219,Tabla5[[#This Row],[INVERSIONES FCI]])</f>
        <v>2474910145.7292099</v>
      </c>
      <c r="R220" s="5">
        <f>IF($B219&lt;=Tabla5[[#This Row],[INVERSIONES FCI]],+Tabla5[[#This Row],[INVERSIONES FCI]]-R219,Tabla5[[#This Row],[INVERSIONES FCI]])</f>
        <v>2474910145.7292099</v>
      </c>
      <c r="S220" s="5">
        <f>IF($B219&lt;=Tabla5[[#This Row],[INVERSIONES FCI]],+Tabla5[[#This Row],[INVERSIONES FCI]]-S219,Tabla5[[#This Row],[INVERSIONES FCI]])</f>
        <v>2474910145.7292099</v>
      </c>
      <c r="T220" s="5">
        <f>IF($B219&lt;=Tabla5[[#This Row],[INVERSIONES FCI]],+Tabla5[[#This Row],[INVERSIONES FCI]]-T219,Tabla5[[#This Row],[INVERSIONES FCI]])</f>
        <v>2474910145.7292099</v>
      </c>
      <c r="U220" s="5">
        <f>IF($B219&lt;=Tabla5[[#This Row],[INVERSIONES FCI]],+Tabla5[[#This Row],[INVERSIONES FCI]]-U219,Tabla5[[#This Row],[INVERSIONES FCI]])</f>
        <v>2474910145.7292099</v>
      </c>
      <c r="V220" s="5">
        <f>IF($B219&lt;=Tabla5[[#This Row],[INVERSIONES FCI]],+Tabla5[[#This Row],[INVERSIONES FCI]]-V219,Tabla5[[#This Row],[INVERSIONES FCI]])</f>
        <v>2474910145.7292099</v>
      </c>
      <c r="W220" s="5">
        <f>IF($B219&lt;=Tabla5[[#This Row],[INVERSIONES FCI]],+Tabla5[[#This Row],[INVERSIONES FCI]]-W219,Tabla5[[#This Row],[INVERSIONES FCI]])</f>
        <v>2474910145.7292099</v>
      </c>
      <c r="X220" s="5">
        <f>IF($B219&lt;=Tabla5[[#This Row],[INVERSIONES FCI]],+Tabla5[[#This Row],[INVERSIONES FCI]]-X219,Tabla5[[#This Row],[INVERSIONES FCI]])</f>
        <v>2474910145.7292099</v>
      </c>
      <c r="Y220" s="5">
        <f>IF($B219&lt;=Tabla5[[#This Row],[INVERSIONES FCI]],+Tabla5[[#This Row],[INVERSIONES FCI]]-Y219,Tabla5[[#This Row],[INVERSIONES FCI]])</f>
        <v>2474910145.7292099</v>
      </c>
      <c r="Z220" s="5">
        <f>IF($B219&lt;=Tabla5[[#This Row],[INVERSIONES FCI]],+Tabla5[[#This Row],[INVERSIONES FCI]]-Z219,Tabla5[[#This Row],[INVERSIONES FCI]])</f>
        <v>2474910145.7292099</v>
      </c>
      <c r="AA220" s="5">
        <f>IF($B219&lt;=Tabla5[[#This Row],[INVERSIONES FCI]],+Tabla5[[#This Row],[INVERSIONES FCI]]-AA219,Tabla5[[#This Row],[INVERSIONES FCI]])</f>
        <v>2474910145.7292099</v>
      </c>
      <c r="AB220" s="5">
        <f>IF($B219&lt;=Tabla5[[#This Row],[INVERSIONES FCI]],+Tabla5[[#This Row],[INVERSIONES FCI]]-AB219,Tabla5[[#This Row],[INVERSIONES FCI]])</f>
        <v>2474910145.7292099</v>
      </c>
      <c r="AC220" s="5">
        <f>IF($B219&lt;=Tabla5[[#This Row],[INVERSIONES FCI]],+Tabla5[[#This Row],[INVERSIONES FCI]]-AC219,Tabla5[[#This Row],[INVERSIONES FCI]])</f>
        <v>2474910145.7292099</v>
      </c>
      <c r="AD220" s="5">
        <f>IF($B219&lt;=Tabla5[[#This Row],[INVERSIONES FCI]],+Tabla5[[#This Row],[INVERSIONES FCI]]-AD219,Tabla5[[#This Row],[INVERSIONES FCI]])</f>
        <v>2474910145.7292099</v>
      </c>
      <c r="AE220" s="5">
        <f>IF($B219&lt;=Tabla5[[#This Row],[INVERSIONES FCI]],+Tabla5[[#This Row],[INVERSIONES FCI]]-AE219,Tabla5[[#This Row],[INVERSIONES FCI]])</f>
        <v>2474910145.7292099</v>
      </c>
      <c r="AF220" s="5">
        <f>IF($B219&lt;=Tabla5[[#This Row],[INVERSIONES FCI]],+Tabla5[[#This Row],[INVERSIONES FCI]]-AF219,Tabla5[[#This Row],[INVERSIONES FCI]])</f>
        <v>2474910145.7292099</v>
      </c>
      <c r="AG220" s="5">
        <f>IF($B219&lt;=Tabla5[[#This Row],[INVERSIONES FCI]],+Tabla5[[#This Row],[INVERSIONES FCI]]-AG219,Tabla5[[#This Row],[INVERSIONES FCI]])</f>
        <v>2474910145.7292099</v>
      </c>
      <c r="AH220" s="5">
        <f>IF($B219&lt;=Tabla5[[#This Row],[INVERSIONES FCI]],+Tabla5[[#This Row],[INVERSIONES FCI]]-AH219,Tabla5[[#This Row],[INVERSIONES FCI]])</f>
        <v>2474910145.7292099</v>
      </c>
      <c r="AI220" s="5">
        <f>IF($B219&lt;=Tabla5[[#This Row],[INVERSIONES FCI]],+Tabla5[[#This Row],[INVERSIONES FCI]]-AI219,Tabla5[[#This Row],[INVERSIONES FCI]])</f>
        <v>2474910145.7292099</v>
      </c>
      <c r="AJ220" s="5">
        <f>IF($B219&lt;=Tabla5[[#This Row],[INVERSIONES FCI]],+Tabla5[[#This Row],[INVERSIONES FCI]]-AJ219,Tabla5[[#This Row],[INVERSIONES FCI]])</f>
        <v>2474910145.7292099</v>
      </c>
      <c r="AK220" s="5">
        <f>IF($B219&lt;=Tabla5[[#This Row],[INVERSIONES FCI]],+Tabla5[[#This Row],[INVERSIONES FCI]]-AK219,Tabla5[[#This Row],[INVERSIONES FCI]])</f>
        <v>2474910145.7292099</v>
      </c>
      <c r="AL220" s="5">
        <f>IF($B219&lt;=Tabla5[[#This Row],[INVERSIONES FCI]],+Tabla5[[#This Row],[INVERSIONES FCI]]-AL219,Tabla5[[#This Row],[INVERSIONES FCI]])</f>
        <v>2474910145.7292099</v>
      </c>
      <c r="AM220" s="5">
        <f>IF($B219&lt;=Tabla5[[#This Row],[INVERSIONES FCI]],+Tabla5[[#This Row],[INVERSIONES FCI]]-AM219,Tabla5[[#This Row],[INVERSIONES FCI]])</f>
        <v>2474910145.7292099</v>
      </c>
      <c r="AN220" s="5">
        <f>IF($B219&lt;=Tabla5[[#This Row],[INVERSIONES FCI]],+Tabla5[[#This Row],[INVERSIONES FCI]]-AN219,Tabla5[[#This Row],[INVERSIONES FCI]])</f>
        <v>2474910145.7292099</v>
      </c>
      <c r="AO220" s="5">
        <f>IF($B219&lt;=Tabla5[[#This Row],[INVERSIONES FCI]],+Tabla5[[#This Row],[INVERSIONES FCI]]-AO219,Tabla5[[#This Row],[INVERSIONES FCI]])</f>
        <v>2474910145.7292099</v>
      </c>
      <c r="AP220" s="5">
        <f>IF($B219&lt;=Tabla5[[#This Row],[INVERSIONES FCI]],+Tabla5[[#This Row],[INVERSIONES FCI]]-AP219,Tabla5[[#This Row],[INVERSIONES FCI]])</f>
        <v>2474910145.7292099</v>
      </c>
      <c r="AQ220" s="5">
        <f>IF($B219&lt;=Tabla5[[#This Row],[INVERSIONES FCI]],+Tabla5[[#This Row],[INVERSIONES FCI]]-AQ219,Tabla5[[#This Row],[INVERSIONES FCI]])</f>
        <v>2474910145.7292099</v>
      </c>
      <c r="AR220" s="5">
        <f>IF($B219&lt;=Tabla5[[#This Row],[INVERSIONES FCI]],+Tabla5[[#This Row],[INVERSIONES FCI]]-AR219,Tabla5[[#This Row],[INVERSIONES FCI]])</f>
        <v>2474910145.7292099</v>
      </c>
      <c r="AS220" s="5">
        <f>IF($B219&lt;=Tabla5[[#This Row],[INVERSIONES FCI]],+Tabla5[[#This Row],[INVERSIONES FCI]]-AS219,Tabla5[[#This Row],[INVERSIONES FCI]])</f>
        <v>2474910145.7292099</v>
      </c>
      <c r="AT220" s="5">
        <f>IF($B219&lt;=Tabla5[[#This Row],[INVERSIONES FCI]],+Tabla5[[#This Row],[INVERSIONES FCI]]-AT219,Tabla5[[#This Row],[INVERSIONES FCI]])</f>
        <v>2474910145.7292099</v>
      </c>
      <c r="AU220" s="5">
        <f>IF($B219&lt;=Tabla5[[#This Row],[INVERSIONES FCI]],+Tabla5[[#This Row],[INVERSIONES FCI]]-AU219,Tabla5[[#This Row],[INVERSIONES FCI]])</f>
        <v>2474910145.7292099</v>
      </c>
      <c r="AV220" s="5">
        <f>IF($B219&lt;=Tabla5[[#This Row],[INVERSIONES FCI]],+Tabla5[[#This Row],[INVERSIONES FCI]]-AV219,Tabla5[[#This Row],[INVERSIONES FCI]])</f>
        <v>2474910145.7292099</v>
      </c>
      <c r="AW220" s="5">
        <f>IF($B219&lt;=Tabla5[[#This Row],[INVERSIONES FCI]],+Tabla5[[#This Row],[INVERSIONES FCI]]-AW219,Tabla5[[#This Row],[INVERSIONES FCI]])</f>
        <v>2474910145.7292099</v>
      </c>
      <c r="AX220" s="5">
        <f>IF($B219&lt;=Tabla5[[#This Row],[INVERSIONES FCI]],+Tabla5[[#This Row],[INVERSIONES FCI]]-AX219,Tabla5[[#This Row],[INVERSIONES FCI]])</f>
        <v>2474910145.7292099</v>
      </c>
      <c r="AY220" s="5">
        <f>IF($B219&lt;=Tabla5[[#This Row],[INVERSIONES FCI]],+Tabla5[[#This Row],[INVERSIONES FCI]]-AY219,Tabla5[[#This Row],[INVERSIONES FCI]])</f>
        <v>2474910145.7292099</v>
      </c>
      <c r="AZ220" s="5">
        <f>IF($B219&lt;=Tabla5[[#This Row],[INVERSIONES FCI]],+Tabla5[[#This Row],[INVERSIONES FCI]]-AZ219,Tabla5[[#This Row],[INVERSIONES FCI]])</f>
        <v>2474910145.7292099</v>
      </c>
      <c r="BA220" s="5">
        <f>IF($B219&lt;=Tabla5[[#This Row],[INVERSIONES FCI]],+Tabla5[[#This Row],[INVERSIONES FCI]]-BA219,Tabla5[[#This Row],[INVERSIONES FCI]])</f>
        <v>2474910145.7292099</v>
      </c>
      <c r="BB220" s="5">
        <f>IF($B219&lt;=Tabla5[[#This Row],[INVERSIONES FCI]],+Tabla5[[#This Row],[INVERSIONES FCI]]-BB219,Tabla5[[#This Row],[INVERSIONES FCI]])</f>
        <v>2474910145.7292099</v>
      </c>
      <c r="BC220" s="5">
        <f>IF($B219&lt;=Tabla5[[#This Row],[INVERSIONES FCI]],+Tabla5[[#This Row],[INVERSIONES FCI]]-BC219,Tabla5[[#This Row],[INVERSIONES FCI]])</f>
        <v>2474910145.7292099</v>
      </c>
      <c r="BD220" s="5">
        <f>IF($B219&lt;=Tabla5[[#This Row],[INVERSIONES FCI]],+Tabla5[[#This Row],[INVERSIONES FCI]]-BD219,Tabla5[[#This Row],[INVERSIONES FCI]])</f>
        <v>2474910145.7292099</v>
      </c>
      <c r="BE220" s="5">
        <f>IF($B219&lt;=Tabla5[[#This Row],[INVERSIONES FCI]],+Tabla5[[#This Row],[INVERSIONES FCI]]-BE219,Tabla5[[#This Row],[INVERSIONES FCI]])</f>
        <v>2474910145.7292099</v>
      </c>
      <c r="BF220" s="5">
        <f>IF($B219&lt;=Tabla5[[#This Row],[INVERSIONES FCI]],+Tabla5[[#This Row],[INVERSIONES FCI]]-BF219,Tabla5[[#This Row],[INVERSIONES FCI]])</f>
        <v>2474910145.7292099</v>
      </c>
      <c r="BG220" s="5">
        <f>IF($B219&lt;=Tabla5[[#This Row],[INVERSIONES FCI]],+Tabla5[[#This Row],[INVERSIONES FCI]]-BG219,Tabla5[[#This Row],[INVERSIONES FCI]])</f>
        <v>2474910145.7292099</v>
      </c>
      <c r="BH220" s="5">
        <f>IF($B219&lt;=Tabla5[[#This Row],[INVERSIONES FCI]],+Tabla5[[#This Row],[INVERSIONES FCI]]-BH219,Tabla5[[#This Row],[INVERSIONES FCI]])</f>
        <v>2474910145.7292099</v>
      </c>
      <c r="BI220" s="5">
        <f>IF($B219&lt;=Tabla5[[#This Row],[INVERSIONES FCI]],+Tabla5[[#This Row],[INVERSIONES FCI]]-BI219,Tabla5[[#This Row],[INVERSIONES FCI]])</f>
        <v>2474910145.7292099</v>
      </c>
      <c r="BJ220" s="5">
        <f>IF($B219&lt;=Tabla5[[#This Row],[INVERSIONES FCI]],+Tabla5[[#This Row],[INVERSIONES FCI]]-BJ219,Tabla5[[#This Row],[INVERSIONES FCI]])</f>
        <v>2474910145.7292099</v>
      </c>
      <c r="BK220" s="5">
        <f>IF($B219&lt;=Tabla5[[#This Row],[INVERSIONES FCI]],+Tabla5[[#This Row],[INVERSIONES FCI]]-BK219,Tabla5[[#This Row],[INVERSIONES FCI]])</f>
        <v>2474910145.7292099</v>
      </c>
      <c r="BL220" s="5">
        <f>IF($B219&lt;=Tabla5[[#This Row],[INVERSIONES FCI]],+Tabla5[[#This Row],[INVERSIONES FCI]]-BL219,Tabla5[[#This Row],[INVERSIONES FCI]])</f>
        <v>2474910145.7292099</v>
      </c>
      <c r="BM220" s="5">
        <f>IF($B219&lt;=Tabla5[[#This Row],[INVERSIONES FCI]],+Tabla5[[#This Row],[INVERSIONES FCI]]-BM219,Tabla5[[#This Row],[INVERSIONES FCI]])</f>
        <v>2474910145.7292099</v>
      </c>
      <c r="BN220" s="5">
        <f>IF($B219&lt;=Tabla5[[#This Row],[INVERSIONES FCI]],+Tabla5[[#This Row],[INVERSIONES FCI]]-BN219,Tabla5[[#This Row],[INVERSIONES FCI]])</f>
        <v>2474910145.7292099</v>
      </c>
      <c r="BO220" s="5">
        <f>IF($B219&lt;=Tabla5[[#This Row],[INVERSIONES FCI]],+Tabla5[[#This Row],[INVERSIONES FCI]]-BO219,Tabla5[[#This Row],[INVERSIONES FCI]])</f>
        <v>2474910145.7292099</v>
      </c>
      <c r="BP220" s="5">
        <f>IF($B219&lt;=Tabla5[[#This Row],[INVERSIONES FCI]],+Tabla5[[#This Row],[INVERSIONES FCI]]-BP219,Tabla5[[#This Row],[INVERSIONES FCI]])</f>
        <v>2474910145.7292099</v>
      </c>
      <c r="BQ220" s="5">
        <f>IF($B219&lt;=Tabla5[[#This Row],[INVERSIONES FCI]],+Tabla5[[#This Row],[INVERSIONES FCI]]-BQ219,Tabla5[[#This Row],[INVERSIONES FCI]])</f>
        <v>2474910145.7292099</v>
      </c>
      <c r="BR220" s="5">
        <f>IF($B219&lt;=Tabla5[[#This Row],[INVERSIONES FCI]],+Tabla5[[#This Row],[INVERSIONES FCI]]-BR219,Tabla5[[#This Row],[INVERSIONES FCI]])</f>
        <v>2474910145.7292099</v>
      </c>
      <c r="BS220" s="5">
        <f>IF($B219&lt;=Tabla5[[#This Row],[INVERSIONES FCI]],+Tabla5[[#This Row],[INVERSIONES FCI]]-BS219,Tabla5[[#This Row],[INVERSIONES FCI]])</f>
        <v>2474910145.7292099</v>
      </c>
      <c r="BT220" s="5">
        <f>IF($B219&lt;=Tabla5[[#This Row],[INVERSIONES FCI]],+Tabla5[[#This Row],[INVERSIONES FCI]]-BT219,Tabla5[[#This Row],[INVERSIONES FCI]])</f>
        <v>2474910145.7292099</v>
      </c>
      <c r="BU220" s="5">
        <f>IF($B219&lt;=Tabla5[[#This Row],[INVERSIONES FCI]],+Tabla5[[#This Row],[INVERSIONES FCI]]-BU219,Tabla5[[#This Row],[INVERSIONES FCI]])</f>
        <v>2474910145.7292099</v>
      </c>
      <c r="BV220" s="5">
        <f>IF($B219&lt;=Tabla5[[#This Row],[INVERSIONES FCI]],+Tabla5[[#This Row],[INVERSIONES FCI]]-BV219,Tabla5[[#This Row],[INVERSIONES FCI]])</f>
        <v>2474910145.7292099</v>
      </c>
      <c r="BW220" s="5">
        <f>IF($B219&lt;=Tabla5[[#This Row],[INVERSIONES FCI]],+Tabla5[[#This Row],[INVERSIONES FCI]]-BW219,Tabla5[[#This Row],[INVERSIONES FCI]])</f>
        <v>2474910145.7292099</v>
      </c>
      <c r="BX220" s="5">
        <f>IF($B219&lt;=Tabla5[[#This Row],[INVERSIONES FCI]],+Tabla5[[#This Row],[INVERSIONES FCI]]-BX219,Tabla5[[#This Row],[INVERSIONES FCI]])</f>
        <v>2474910145.7292099</v>
      </c>
      <c r="BY220" s="5">
        <f>IF($B219&lt;=Tabla5[[#This Row],[INVERSIONES FCI]],+Tabla5[[#This Row],[INVERSIONES FCI]]-BY219,Tabla5[[#This Row],[INVERSIONES FCI]])</f>
        <v>2474910145.7292099</v>
      </c>
      <c r="BZ220" s="5">
        <f>IF($B219&lt;=Tabla5[[#This Row],[INVERSIONES FCI]],+Tabla5[[#This Row],[INVERSIONES FCI]]-BZ219,Tabla5[[#This Row],[INVERSIONES FCI]])</f>
        <v>2474910145.7292099</v>
      </c>
      <c r="CA220" s="5">
        <f>IF($B219&lt;=Tabla5[[#This Row],[INVERSIONES FCI]],+Tabla5[[#This Row],[INVERSIONES FCI]]-CA219,Tabla5[[#This Row],[INVERSIONES FCI]])</f>
        <v>2474910145.7292099</v>
      </c>
      <c r="CB220" s="5">
        <f>IF($B219&lt;=Tabla5[[#This Row],[INVERSIONES FCI]],+Tabla5[[#This Row],[INVERSIONES FCI]]-CB219,Tabla5[[#This Row],[INVERSIONES FCI]])</f>
        <v>2474910145.7292099</v>
      </c>
      <c r="CC220" s="5">
        <f>IF($B219&lt;=Tabla5[[#This Row],[INVERSIONES FCI]],+Tabla5[[#This Row],[INVERSIONES FCI]]-CC219,Tabla5[[#This Row],[INVERSIONES FCI]])</f>
        <v>2474910145.7292099</v>
      </c>
      <c r="CD220" s="5">
        <f>IF($B219&lt;=Tabla5[[#This Row],[INVERSIONES FCI]],+Tabla5[[#This Row],[INVERSIONES FCI]]-CD219,Tabla5[[#This Row],[INVERSIONES FCI]])</f>
        <v>2474910145.7292099</v>
      </c>
      <c r="CE220" s="5">
        <f>IF($B219&lt;=Tabla5[[#This Row],[INVERSIONES FCI]],+Tabla5[[#This Row],[INVERSIONES FCI]]-CE219,Tabla5[[#This Row],[INVERSIONES FCI]])</f>
        <v>2474910145.7292099</v>
      </c>
      <c r="CF220" s="5">
        <f>IF($B219&lt;=Tabla5[[#This Row],[INVERSIONES FCI]],+Tabla5[[#This Row],[INVERSIONES FCI]]-CF219,Tabla5[[#This Row],[INVERSIONES FCI]])</f>
        <v>2474910145.7292099</v>
      </c>
      <c r="CG220" s="5">
        <f>IF($B219&lt;=Tabla5[[#This Row],[INVERSIONES FCI]],+Tabla5[[#This Row],[INVERSIONES FCI]]-CG219,Tabla5[[#This Row],[INVERSIONES FCI]])</f>
        <v>2474910145.7292099</v>
      </c>
      <c r="CH220" s="5">
        <f>IF($B219&lt;=Tabla5[[#This Row],[INVERSIONES FCI]],+Tabla5[[#This Row],[INVERSIONES FCI]]-CH219,Tabla5[[#This Row],[INVERSIONES FCI]])</f>
        <v>2474910145.7292099</v>
      </c>
      <c r="CI220" s="5">
        <f>IF($B219&lt;=Tabla5[[#This Row],[INVERSIONES FCI]],+Tabla5[[#This Row],[INVERSIONES FCI]]-CI219,Tabla5[[#This Row],[INVERSIONES FCI]])</f>
        <v>2474910145.7292099</v>
      </c>
      <c r="CJ220" s="5">
        <f>IF($B219&lt;=Tabla5[[#This Row],[INVERSIONES FCI]],+Tabla5[[#This Row],[INVERSIONES FCI]]-CJ219,Tabla5[[#This Row],[INVERSIONES FCI]])</f>
        <v>2474910145.7292099</v>
      </c>
      <c r="CK220" s="5">
        <f>IF($B219&lt;=Tabla5[[#This Row],[INVERSIONES FCI]],+Tabla5[[#This Row],[INVERSIONES FCI]]-CK219,Tabla5[[#This Row],[INVERSIONES FCI]])</f>
        <v>2474910145.7292099</v>
      </c>
      <c r="CL220" s="5">
        <f>IF($B219&lt;=Tabla5[[#This Row],[INVERSIONES FCI]],+Tabla5[[#This Row],[INVERSIONES FCI]]-CL219,Tabla5[[#This Row],[INVERSIONES FCI]])</f>
        <v>2474910145.7292099</v>
      </c>
      <c r="CM220" s="5">
        <f>IF($B219&lt;=Tabla5[[#This Row],[INVERSIONES FCI]],+Tabla5[[#This Row],[INVERSIONES FCI]]-CM219,Tabla5[[#This Row],[INVERSIONES FCI]])</f>
        <v>2474910145.7292099</v>
      </c>
      <c r="CN220" s="5">
        <f>IF($B219&lt;=Tabla5[[#This Row],[INVERSIONES FCI]],+Tabla5[[#This Row],[INVERSIONES FCI]]-CN219,Tabla5[[#This Row],[INVERSIONES FCI]])</f>
        <v>2474910145.7292099</v>
      </c>
      <c r="CO220" s="5">
        <f>IF($B219&lt;=Tabla5[[#This Row],[INVERSIONES FCI]],+Tabla5[[#This Row],[INVERSIONES FCI]]-CO219,Tabla5[[#This Row],[INVERSIONES FCI]])</f>
        <v>2474910145.7292099</v>
      </c>
      <c r="CP220" s="5">
        <f>IF($B219&lt;=Tabla5[[#This Row],[INVERSIONES FCI]],+Tabla5[[#This Row],[INVERSIONES FCI]]-CP219,Tabla5[[#This Row],[INVERSIONES FCI]])</f>
        <v>2474910145.7292099</v>
      </c>
      <c r="CQ220" s="5">
        <f>IF($B219&lt;=Tabla5[[#This Row],[INVERSIONES FCI]],+Tabla5[[#This Row],[INVERSIONES FCI]]-CQ219,Tabla5[[#This Row],[INVERSIONES FCI]])</f>
        <v>2474910145.7292099</v>
      </c>
      <c r="CR220" s="5">
        <f>IF($B219&lt;=Tabla5[[#This Row],[INVERSIONES FCI]],+Tabla5[[#This Row],[INVERSIONES FCI]]-CR219,Tabla5[[#This Row],[INVERSIONES FCI]])</f>
        <v>2474910145.7292099</v>
      </c>
      <c r="CS220" s="5">
        <f>IF($B219&lt;=Tabla5[[#This Row],[INVERSIONES FCI]],+Tabla5[[#This Row],[INVERSIONES FCI]]-CS219,Tabla5[[#This Row],[INVERSIONES FCI]])</f>
        <v>2474910145.7292099</v>
      </c>
      <c r="CT220" s="5">
        <f>IF($B219&lt;=Tabla5[[#This Row],[INVERSIONES FCI]],+Tabla5[[#This Row],[INVERSIONES FCI]]-CT219,Tabla5[[#This Row],[INVERSIONES FCI]])</f>
        <v>2474910145.7292099</v>
      </c>
      <c r="CU220" s="5">
        <f>IF($B219&lt;=Tabla5[[#This Row],[INVERSIONES FCI]],+Tabla5[[#This Row],[INVERSIONES FCI]]-CU219,Tabla5[[#This Row],[INVERSIONES FCI]])</f>
        <v>2474910145.7292099</v>
      </c>
      <c r="CV220" s="5">
        <f>IF($B219&lt;=Tabla5[[#This Row],[INVERSIONES FCI]],+Tabla5[[#This Row],[INVERSIONES FCI]]-CV219,Tabla5[[#This Row],[INVERSIONES FCI]])</f>
        <v>2474910145.7292099</v>
      </c>
      <c r="CW220" s="5">
        <f>IF($B219&lt;=Tabla5[[#This Row],[INVERSIONES FCI]],+Tabla5[[#This Row],[INVERSIONES FCI]]-CW219,Tabla5[[#This Row],[INVERSIONES FCI]])</f>
        <v>2474910145.7292099</v>
      </c>
      <c r="CX220" s="5">
        <f>IF($B219&lt;=Tabla5[[#This Row],[INVERSIONES FCI]],+Tabla5[[#This Row],[INVERSIONES FCI]]-CX219,Tabla5[[#This Row],[INVERSIONES FCI]])</f>
        <v>2474910145.7292099</v>
      </c>
      <c r="CY220" s="5">
        <f>IF($B219&lt;=Tabla5[[#This Row],[INVERSIONES FCI]],+Tabla5[[#This Row],[INVERSIONES FCI]]-CY219,Tabla5[[#This Row],[INVERSIONES FCI]])</f>
        <v>2474910145.7292099</v>
      </c>
      <c r="CZ220" s="5">
        <f>IF($B219&lt;=Tabla5[[#This Row],[INVERSIONES FCI]],+Tabla5[[#This Row],[INVERSIONES FCI]]-CZ219,Tabla5[[#This Row],[INVERSIONES FCI]])</f>
        <v>2474910145.7292099</v>
      </c>
      <c r="DA220" s="5">
        <f>IF($B219&lt;=Tabla5[[#This Row],[INVERSIONES FCI]],+Tabla5[[#This Row],[INVERSIONES FCI]]-DA219,Tabla5[[#This Row],[INVERSIONES FCI]])</f>
        <v>2474910145.7292099</v>
      </c>
      <c r="DB220" s="5">
        <f>IF($B219&lt;=Tabla5[[#This Row],[INVERSIONES FCI]],+Tabla5[[#This Row],[INVERSIONES FCI]]-DB219,Tabla5[[#This Row],[INVERSIONES FCI]])</f>
        <v>2474910145.7292099</v>
      </c>
      <c r="DC220" s="5">
        <f>IF($B219&lt;=Tabla5[[#This Row],[INVERSIONES FCI]],+Tabla5[[#This Row],[INVERSIONES FCI]]-DC219,Tabla5[[#This Row],[INVERSIONES FCI]])</f>
        <v>2474910145.7292099</v>
      </c>
      <c r="DD220" s="5">
        <f>IF($B219&lt;=Tabla5[[#This Row],[INVERSIONES FCI]],+Tabla5[[#This Row],[INVERSIONES FCI]]-DD219,Tabla5[[#This Row],[INVERSIONES FCI]])</f>
        <v>2474910145.7292099</v>
      </c>
      <c r="DE220" s="5">
        <f>IF($B219&lt;=Tabla5[[#This Row],[INVERSIONES FCI]],+Tabla5[[#This Row],[INVERSIONES FCI]]-DE219,Tabla5[[#This Row],[INVERSIONES FCI]])</f>
        <v>2474910145.7292099</v>
      </c>
      <c r="DF220" s="5">
        <f>IF($B219&lt;=Tabla5[[#This Row],[INVERSIONES FCI]],+Tabla5[[#This Row],[INVERSIONES FCI]]-DF219,Tabla5[[#This Row],[INVERSIONES FCI]])</f>
        <v>2474910145.7292099</v>
      </c>
      <c r="DG220" s="5">
        <f>IF($B219&lt;=Tabla5[[#This Row],[INVERSIONES FCI]],+Tabla5[[#This Row],[INVERSIONES FCI]]-DG219,Tabla5[[#This Row],[INVERSIONES FCI]])</f>
        <v>2474910145.7292099</v>
      </c>
      <c r="DH220" s="5">
        <f>IF($B219&lt;=Tabla5[[#This Row],[INVERSIONES FCI]],+Tabla5[[#This Row],[INVERSIONES FCI]]-DH219,Tabla5[[#This Row],[INVERSIONES FCI]])</f>
        <v>2474910145.7292099</v>
      </c>
      <c r="DI220" s="5">
        <f>IF($B219&lt;=Tabla5[[#This Row],[INVERSIONES FCI]],+Tabla5[[#This Row],[INVERSIONES FCI]]-DI219,Tabla5[[#This Row],[INVERSIONES FCI]])</f>
        <v>2474910145.7292099</v>
      </c>
      <c r="DJ220" s="5">
        <f>IF($B219&lt;=Tabla5[[#This Row],[INVERSIONES FCI]],+Tabla5[[#This Row],[INVERSIONES FCI]]-DJ219,Tabla5[[#This Row],[INVERSIONES FCI]])</f>
        <v>2474910145.7292099</v>
      </c>
      <c r="DK220" s="5">
        <f>IF($B219&lt;=Tabla5[[#This Row],[INVERSIONES FCI]],+Tabla5[[#This Row],[INVERSIONES FCI]]-DK219,Tabla5[[#This Row],[INVERSIONES FCI]])</f>
        <v>2474910145.7292099</v>
      </c>
      <c r="DL220" s="5"/>
      <c r="DM220" s="5"/>
      <c r="DN220" s="5"/>
      <c r="DO220" s="5"/>
      <c r="DP220" s="5"/>
      <c r="DQ220" s="5"/>
    </row>
    <row r="221" spans="1:121" ht="14.4">
      <c r="A221" s="12" t="s">
        <v>220</v>
      </c>
      <c r="B221" s="5">
        <f>HLOOKUP($A221,ESCENARIO[#All],7,FALSE)</f>
        <v>29595704818.996437</v>
      </c>
      <c r="C221" s="5">
        <f>IF($B220&lt;=Tabla5[[#This Row],[INVERSIONES FCI]],+Tabla5[[#This Row],[INVERSIONES FCI]]-C220,Tabla5[[#This Row],[INVERSIONES FCI]])</f>
        <v>29595704818.996437</v>
      </c>
      <c r="D221" s="5">
        <f>IF($B220&lt;=Tabla5[[#This Row],[INVERSIONES FCI]],+Tabla5[[#This Row],[INVERSIONES FCI]]-D220,Tabla5[[#This Row],[INVERSIONES FCI]])</f>
        <v>29595704818.996437</v>
      </c>
      <c r="E221" s="5">
        <f>IF($B220&lt;=Tabla5[[#This Row],[INVERSIONES FCI]],+Tabla5[[#This Row],[INVERSIONES FCI]]-E220,Tabla5[[#This Row],[INVERSIONES FCI]])</f>
        <v>29595704818.996437</v>
      </c>
      <c r="F221" s="5">
        <f>IF($B220&lt;=Tabla5[[#This Row],[INVERSIONES FCI]],+Tabla5[[#This Row],[INVERSIONES FCI]]-F220,Tabla5[[#This Row],[INVERSIONES FCI]])</f>
        <v>29595704818.996437</v>
      </c>
      <c r="G221" s="5">
        <f>IF($B220&lt;=Tabla5[[#This Row],[INVERSIONES FCI]],+Tabla5[[#This Row],[INVERSIONES FCI]]-G220,Tabla5[[#This Row],[INVERSIONES FCI]])</f>
        <v>29595704818.996437</v>
      </c>
      <c r="H221" s="5">
        <f>IF($B220&lt;=Tabla5[[#This Row],[INVERSIONES FCI]],+Tabla5[[#This Row],[INVERSIONES FCI]]-H220,Tabla5[[#This Row],[INVERSIONES FCI]])</f>
        <v>29595704818.996437</v>
      </c>
      <c r="I221" s="5">
        <f>IF($B220&lt;=Tabla5[[#This Row],[INVERSIONES FCI]],+Tabla5[[#This Row],[INVERSIONES FCI]]-I220,Tabla5[[#This Row],[INVERSIONES FCI]])</f>
        <v>29595704818.996437</v>
      </c>
      <c r="J221" s="5">
        <f>IF($B220&lt;=Tabla5[[#This Row],[INVERSIONES FCI]],+Tabla5[[#This Row],[INVERSIONES FCI]]-J220,Tabla5[[#This Row],[INVERSIONES FCI]])</f>
        <v>29595704818.996437</v>
      </c>
      <c r="K221" s="5">
        <f>IF($B220&lt;=Tabla5[[#This Row],[INVERSIONES FCI]],+Tabla5[[#This Row],[INVERSIONES FCI]]-K220,Tabla5[[#This Row],[INVERSIONES FCI]])</f>
        <v>29595704818.996437</v>
      </c>
      <c r="L221" s="5">
        <f>IF($B220&lt;=Tabla5[[#This Row],[INVERSIONES FCI]],+Tabla5[[#This Row],[INVERSIONES FCI]]-L220,Tabla5[[#This Row],[INVERSIONES FCI]])</f>
        <v>29595704818.996437</v>
      </c>
      <c r="M221" s="5">
        <f>IF($B220&lt;=Tabla5[[#This Row],[INVERSIONES FCI]],+Tabla5[[#This Row],[INVERSIONES FCI]]-M220,Tabla5[[#This Row],[INVERSIONES FCI]])</f>
        <v>29595704818.996437</v>
      </c>
      <c r="N221" s="5">
        <f>IF($B220&lt;=Tabla5[[#This Row],[INVERSIONES FCI]],+Tabla5[[#This Row],[INVERSIONES FCI]]-N220,Tabla5[[#This Row],[INVERSIONES FCI]])</f>
        <v>29595704818.996437</v>
      </c>
      <c r="O221" s="5">
        <f>IF($B220&lt;=Tabla5[[#This Row],[INVERSIONES FCI]],+Tabla5[[#This Row],[INVERSIONES FCI]]-O220,Tabla5[[#This Row],[INVERSIONES FCI]])</f>
        <v>29595704818.996437</v>
      </c>
      <c r="P221" s="5">
        <f>IF($B220&lt;=Tabla5[[#This Row],[INVERSIONES FCI]],+Tabla5[[#This Row],[INVERSIONES FCI]]-P220,Tabla5[[#This Row],[INVERSIONES FCI]])</f>
        <v>29595704818.996437</v>
      </c>
      <c r="Q221" s="5">
        <f>IF($B220&lt;=Tabla5[[#This Row],[INVERSIONES FCI]],+Tabla5[[#This Row],[INVERSIONES FCI]]-Q220,Tabla5[[#This Row],[INVERSIONES FCI]])</f>
        <v>29595704818.996437</v>
      </c>
      <c r="R221" s="5">
        <f>IF($B220&lt;=Tabla5[[#This Row],[INVERSIONES FCI]],+Tabla5[[#This Row],[INVERSIONES FCI]]-R220,Tabla5[[#This Row],[INVERSIONES FCI]])</f>
        <v>29595704818.996437</v>
      </c>
      <c r="S221" s="5">
        <f>IF($B220&lt;=Tabla5[[#This Row],[INVERSIONES FCI]],+Tabla5[[#This Row],[INVERSIONES FCI]]-S220,Tabla5[[#This Row],[INVERSIONES FCI]])</f>
        <v>29595704818.996437</v>
      </c>
      <c r="T221" s="5">
        <f>IF($B220&lt;=Tabla5[[#This Row],[INVERSIONES FCI]],+Tabla5[[#This Row],[INVERSIONES FCI]]-T220,Tabla5[[#This Row],[INVERSIONES FCI]])</f>
        <v>29595704818.996437</v>
      </c>
      <c r="U221" s="5">
        <f>IF($B220&lt;=Tabla5[[#This Row],[INVERSIONES FCI]],+Tabla5[[#This Row],[INVERSIONES FCI]]-U220,Tabla5[[#This Row],[INVERSIONES FCI]])</f>
        <v>29595704818.996437</v>
      </c>
      <c r="V221" s="5">
        <f>IF($B220&lt;=Tabla5[[#This Row],[INVERSIONES FCI]],+Tabla5[[#This Row],[INVERSIONES FCI]]-V220,Tabla5[[#This Row],[INVERSIONES FCI]])</f>
        <v>29595704818.996437</v>
      </c>
      <c r="W221" s="5">
        <f>IF($B220&lt;=Tabla5[[#This Row],[INVERSIONES FCI]],+Tabla5[[#This Row],[INVERSIONES FCI]]-W220,Tabla5[[#This Row],[INVERSIONES FCI]])</f>
        <v>29595704818.996437</v>
      </c>
      <c r="X221" s="5">
        <f>IF($B220&lt;=Tabla5[[#This Row],[INVERSIONES FCI]],+Tabla5[[#This Row],[INVERSIONES FCI]]-X220,Tabla5[[#This Row],[INVERSIONES FCI]])</f>
        <v>29595704818.996437</v>
      </c>
      <c r="Y221" s="5">
        <f>IF($B220&lt;=Tabla5[[#This Row],[INVERSIONES FCI]],+Tabla5[[#This Row],[INVERSIONES FCI]]-Y220,Tabla5[[#This Row],[INVERSIONES FCI]])</f>
        <v>29595704818.996437</v>
      </c>
      <c r="Z221" s="5">
        <f>IF($B220&lt;=Tabla5[[#This Row],[INVERSIONES FCI]],+Tabla5[[#This Row],[INVERSIONES FCI]]-Z220,Tabla5[[#This Row],[INVERSIONES FCI]])</f>
        <v>29595704818.996437</v>
      </c>
      <c r="AA221" s="5">
        <f>IF($B220&lt;=Tabla5[[#This Row],[INVERSIONES FCI]],+Tabla5[[#This Row],[INVERSIONES FCI]]-AA220,Tabla5[[#This Row],[INVERSIONES FCI]])</f>
        <v>29595704818.996437</v>
      </c>
      <c r="AB221" s="5">
        <f>IF($B220&lt;=Tabla5[[#This Row],[INVERSIONES FCI]],+Tabla5[[#This Row],[INVERSIONES FCI]]-AB220,Tabla5[[#This Row],[INVERSIONES FCI]])</f>
        <v>29595704818.996437</v>
      </c>
      <c r="AC221" s="5">
        <f>IF($B220&lt;=Tabla5[[#This Row],[INVERSIONES FCI]],+Tabla5[[#This Row],[INVERSIONES FCI]]-AC220,Tabla5[[#This Row],[INVERSIONES FCI]])</f>
        <v>29595704818.996437</v>
      </c>
      <c r="AD221" s="5">
        <f>IF($B220&lt;=Tabla5[[#This Row],[INVERSIONES FCI]],+Tabla5[[#This Row],[INVERSIONES FCI]]-AD220,Tabla5[[#This Row],[INVERSIONES FCI]])</f>
        <v>29595704818.996437</v>
      </c>
      <c r="AE221" s="5">
        <f>IF($B220&lt;=Tabla5[[#This Row],[INVERSIONES FCI]],+Tabla5[[#This Row],[INVERSIONES FCI]]-AE220,Tabla5[[#This Row],[INVERSIONES FCI]])</f>
        <v>29595704818.996437</v>
      </c>
      <c r="AF221" s="5">
        <f>IF($B220&lt;=Tabla5[[#This Row],[INVERSIONES FCI]],+Tabla5[[#This Row],[INVERSIONES FCI]]-AF220,Tabla5[[#This Row],[INVERSIONES FCI]])</f>
        <v>29595704818.996437</v>
      </c>
      <c r="AG221" s="5">
        <f>IF($B220&lt;=Tabla5[[#This Row],[INVERSIONES FCI]],+Tabla5[[#This Row],[INVERSIONES FCI]]-AG220,Tabla5[[#This Row],[INVERSIONES FCI]])</f>
        <v>29595704818.996437</v>
      </c>
      <c r="AH221" s="5">
        <f>IF($B220&lt;=Tabla5[[#This Row],[INVERSIONES FCI]],+Tabla5[[#This Row],[INVERSIONES FCI]]-AH220,Tabla5[[#This Row],[INVERSIONES FCI]])</f>
        <v>29595704818.996437</v>
      </c>
      <c r="AI221" s="5">
        <f>IF($B220&lt;=Tabla5[[#This Row],[INVERSIONES FCI]],+Tabla5[[#This Row],[INVERSIONES FCI]]-AI220,Tabla5[[#This Row],[INVERSIONES FCI]])</f>
        <v>29595704818.996437</v>
      </c>
      <c r="AJ221" s="5">
        <f>IF($B220&lt;=Tabla5[[#This Row],[INVERSIONES FCI]],+Tabla5[[#This Row],[INVERSIONES FCI]]-AJ220,Tabla5[[#This Row],[INVERSIONES FCI]])</f>
        <v>29595704818.996437</v>
      </c>
      <c r="AK221" s="5">
        <f>IF($B220&lt;=Tabla5[[#This Row],[INVERSIONES FCI]],+Tabla5[[#This Row],[INVERSIONES FCI]]-AK220,Tabla5[[#This Row],[INVERSIONES FCI]])</f>
        <v>29595704818.996437</v>
      </c>
      <c r="AL221" s="5">
        <f>IF($B220&lt;=Tabla5[[#This Row],[INVERSIONES FCI]],+Tabla5[[#This Row],[INVERSIONES FCI]]-AL220,Tabla5[[#This Row],[INVERSIONES FCI]])</f>
        <v>29595704818.996437</v>
      </c>
      <c r="AM221" s="5">
        <f>IF($B220&lt;=Tabla5[[#This Row],[INVERSIONES FCI]],+Tabla5[[#This Row],[INVERSIONES FCI]]-AM220,Tabla5[[#This Row],[INVERSIONES FCI]])</f>
        <v>29595704818.996437</v>
      </c>
      <c r="AN221" s="5">
        <f>IF($B220&lt;=Tabla5[[#This Row],[INVERSIONES FCI]],+Tabla5[[#This Row],[INVERSIONES FCI]]-AN220,Tabla5[[#This Row],[INVERSIONES FCI]])</f>
        <v>29595704818.996437</v>
      </c>
      <c r="AO221" s="5">
        <f>IF($B220&lt;=Tabla5[[#This Row],[INVERSIONES FCI]],+Tabla5[[#This Row],[INVERSIONES FCI]]-AO220,Tabla5[[#This Row],[INVERSIONES FCI]])</f>
        <v>29595704818.996437</v>
      </c>
      <c r="AP221" s="5">
        <f>IF($B220&lt;=Tabla5[[#This Row],[INVERSIONES FCI]],+Tabla5[[#This Row],[INVERSIONES FCI]]-AP220,Tabla5[[#This Row],[INVERSIONES FCI]])</f>
        <v>29595704818.996437</v>
      </c>
      <c r="AQ221" s="5">
        <f>IF($B220&lt;=Tabla5[[#This Row],[INVERSIONES FCI]],+Tabla5[[#This Row],[INVERSIONES FCI]]-AQ220,Tabla5[[#This Row],[INVERSIONES FCI]])</f>
        <v>29595704818.996437</v>
      </c>
      <c r="AR221" s="5">
        <f>IF($B220&lt;=Tabla5[[#This Row],[INVERSIONES FCI]],+Tabla5[[#This Row],[INVERSIONES FCI]]-AR220,Tabla5[[#This Row],[INVERSIONES FCI]])</f>
        <v>29595704818.996437</v>
      </c>
      <c r="AS221" s="5">
        <f>IF($B220&lt;=Tabla5[[#This Row],[INVERSIONES FCI]],+Tabla5[[#This Row],[INVERSIONES FCI]]-AS220,Tabla5[[#This Row],[INVERSIONES FCI]])</f>
        <v>29595704818.996437</v>
      </c>
      <c r="AT221" s="5">
        <f>IF($B220&lt;=Tabla5[[#This Row],[INVERSIONES FCI]],+Tabla5[[#This Row],[INVERSIONES FCI]]-AT220,Tabla5[[#This Row],[INVERSIONES FCI]])</f>
        <v>29595704818.996437</v>
      </c>
      <c r="AU221" s="5">
        <f>IF($B220&lt;=Tabla5[[#This Row],[INVERSIONES FCI]],+Tabla5[[#This Row],[INVERSIONES FCI]]-AU220,Tabla5[[#This Row],[INVERSIONES FCI]])</f>
        <v>29595704818.996437</v>
      </c>
      <c r="AV221" s="5">
        <f>IF($B220&lt;=Tabla5[[#This Row],[INVERSIONES FCI]],+Tabla5[[#This Row],[INVERSIONES FCI]]-AV220,Tabla5[[#This Row],[INVERSIONES FCI]])</f>
        <v>29595704818.996437</v>
      </c>
      <c r="AW221" s="5">
        <f>IF($B220&lt;=Tabla5[[#This Row],[INVERSIONES FCI]],+Tabla5[[#This Row],[INVERSIONES FCI]]-AW220,Tabla5[[#This Row],[INVERSIONES FCI]])</f>
        <v>29595704818.996437</v>
      </c>
      <c r="AX221" s="5">
        <f>IF($B220&lt;=Tabla5[[#This Row],[INVERSIONES FCI]],+Tabla5[[#This Row],[INVERSIONES FCI]]-AX220,Tabla5[[#This Row],[INVERSIONES FCI]])</f>
        <v>29595704818.996437</v>
      </c>
      <c r="AY221" s="5">
        <f>IF($B220&lt;=Tabla5[[#This Row],[INVERSIONES FCI]],+Tabla5[[#This Row],[INVERSIONES FCI]]-AY220,Tabla5[[#This Row],[INVERSIONES FCI]])</f>
        <v>29595704818.996437</v>
      </c>
      <c r="AZ221" s="5">
        <f>IF($B220&lt;=Tabla5[[#This Row],[INVERSIONES FCI]],+Tabla5[[#This Row],[INVERSIONES FCI]]-AZ220,Tabla5[[#This Row],[INVERSIONES FCI]])</f>
        <v>29595704818.996437</v>
      </c>
      <c r="BA221" s="5">
        <f>IF($B220&lt;=Tabla5[[#This Row],[INVERSIONES FCI]],+Tabla5[[#This Row],[INVERSIONES FCI]]-BA220,Tabla5[[#This Row],[INVERSIONES FCI]])</f>
        <v>29595704818.996437</v>
      </c>
      <c r="BB221" s="5">
        <f>IF($B220&lt;=Tabla5[[#This Row],[INVERSIONES FCI]],+Tabla5[[#This Row],[INVERSIONES FCI]]-BB220,Tabla5[[#This Row],[INVERSIONES FCI]])</f>
        <v>29595704818.996437</v>
      </c>
      <c r="BC221" s="5">
        <f>IF($B220&lt;=Tabla5[[#This Row],[INVERSIONES FCI]],+Tabla5[[#This Row],[INVERSIONES FCI]]-BC220,Tabla5[[#This Row],[INVERSIONES FCI]])</f>
        <v>29595704818.996437</v>
      </c>
      <c r="BD221" s="5">
        <f>IF($B220&lt;=Tabla5[[#This Row],[INVERSIONES FCI]],+Tabla5[[#This Row],[INVERSIONES FCI]]-BD220,Tabla5[[#This Row],[INVERSIONES FCI]])</f>
        <v>29595704818.996437</v>
      </c>
      <c r="BE221" s="5">
        <f>IF($B220&lt;=Tabla5[[#This Row],[INVERSIONES FCI]],+Tabla5[[#This Row],[INVERSIONES FCI]]-BE220,Tabla5[[#This Row],[INVERSIONES FCI]])</f>
        <v>29595704818.996437</v>
      </c>
      <c r="BF221" s="5">
        <f>IF($B220&lt;=Tabla5[[#This Row],[INVERSIONES FCI]],+Tabla5[[#This Row],[INVERSIONES FCI]]-BF220,Tabla5[[#This Row],[INVERSIONES FCI]])</f>
        <v>29595704818.996437</v>
      </c>
      <c r="BG221" s="5">
        <f>IF($B220&lt;=Tabla5[[#This Row],[INVERSIONES FCI]],+Tabla5[[#This Row],[INVERSIONES FCI]]-BG220,Tabla5[[#This Row],[INVERSIONES FCI]])</f>
        <v>29595704818.996437</v>
      </c>
      <c r="BH221" s="5">
        <f>IF($B220&lt;=Tabla5[[#This Row],[INVERSIONES FCI]],+Tabla5[[#This Row],[INVERSIONES FCI]]-BH220,Tabla5[[#This Row],[INVERSIONES FCI]])</f>
        <v>29595704818.996437</v>
      </c>
      <c r="BI221" s="5">
        <f>IF($B220&lt;=Tabla5[[#This Row],[INVERSIONES FCI]],+Tabla5[[#This Row],[INVERSIONES FCI]]-BI220,Tabla5[[#This Row],[INVERSIONES FCI]])</f>
        <v>29595704818.996437</v>
      </c>
      <c r="BJ221" s="5">
        <f>IF($B220&lt;=Tabla5[[#This Row],[INVERSIONES FCI]],+Tabla5[[#This Row],[INVERSIONES FCI]]-BJ220,Tabla5[[#This Row],[INVERSIONES FCI]])</f>
        <v>29595704818.996437</v>
      </c>
      <c r="BK221" s="5">
        <f>IF($B220&lt;=Tabla5[[#This Row],[INVERSIONES FCI]],+Tabla5[[#This Row],[INVERSIONES FCI]]-BK220,Tabla5[[#This Row],[INVERSIONES FCI]])</f>
        <v>29595704818.996437</v>
      </c>
      <c r="BL221" s="5">
        <f>IF($B220&lt;=Tabla5[[#This Row],[INVERSIONES FCI]],+Tabla5[[#This Row],[INVERSIONES FCI]]-BL220,Tabla5[[#This Row],[INVERSIONES FCI]])</f>
        <v>29595704818.996437</v>
      </c>
      <c r="BM221" s="5">
        <f>IF($B220&lt;=Tabla5[[#This Row],[INVERSIONES FCI]],+Tabla5[[#This Row],[INVERSIONES FCI]]-BM220,Tabla5[[#This Row],[INVERSIONES FCI]])</f>
        <v>29595704818.996437</v>
      </c>
      <c r="BN221" s="5">
        <f>IF($B220&lt;=Tabla5[[#This Row],[INVERSIONES FCI]],+Tabla5[[#This Row],[INVERSIONES FCI]]-BN220,Tabla5[[#This Row],[INVERSIONES FCI]])</f>
        <v>29595704818.996437</v>
      </c>
      <c r="BO221" s="5">
        <f>IF($B220&lt;=Tabla5[[#This Row],[INVERSIONES FCI]],+Tabla5[[#This Row],[INVERSIONES FCI]]-BO220,Tabla5[[#This Row],[INVERSIONES FCI]])</f>
        <v>29595704818.996437</v>
      </c>
      <c r="BP221" s="5">
        <f>IF($B220&lt;=Tabla5[[#This Row],[INVERSIONES FCI]],+Tabla5[[#This Row],[INVERSIONES FCI]]-BP220,Tabla5[[#This Row],[INVERSIONES FCI]])</f>
        <v>29595704818.996437</v>
      </c>
      <c r="BQ221" s="5">
        <f>IF($B220&lt;=Tabla5[[#This Row],[INVERSIONES FCI]],+Tabla5[[#This Row],[INVERSIONES FCI]]-BQ220,Tabla5[[#This Row],[INVERSIONES FCI]])</f>
        <v>29595704818.996437</v>
      </c>
      <c r="BR221" s="5">
        <f>IF($B220&lt;=Tabla5[[#This Row],[INVERSIONES FCI]],+Tabla5[[#This Row],[INVERSIONES FCI]]-BR220,Tabla5[[#This Row],[INVERSIONES FCI]])</f>
        <v>29595704818.996437</v>
      </c>
      <c r="BS221" s="5">
        <f>IF($B220&lt;=Tabla5[[#This Row],[INVERSIONES FCI]],+Tabla5[[#This Row],[INVERSIONES FCI]]-BS220,Tabla5[[#This Row],[INVERSIONES FCI]])</f>
        <v>29595704818.996437</v>
      </c>
      <c r="BT221" s="5">
        <f>IF($B220&lt;=Tabla5[[#This Row],[INVERSIONES FCI]],+Tabla5[[#This Row],[INVERSIONES FCI]]-BT220,Tabla5[[#This Row],[INVERSIONES FCI]])</f>
        <v>29595704818.996437</v>
      </c>
      <c r="BU221" s="5">
        <f>IF($B220&lt;=Tabla5[[#This Row],[INVERSIONES FCI]],+Tabla5[[#This Row],[INVERSIONES FCI]]-BU220,Tabla5[[#This Row],[INVERSIONES FCI]])</f>
        <v>29595704818.996437</v>
      </c>
      <c r="BV221" s="5">
        <f>IF($B220&lt;=Tabla5[[#This Row],[INVERSIONES FCI]],+Tabla5[[#This Row],[INVERSIONES FCI]]-BV220,Tabla5[[#This Row],[INVERSIONES FCI]])</f>
        <v>29595704818.996437</v>
      </c>
      <c r="BW221" s="5">
        <f>IF($B220&lt;=Tabla5[[#This Row],[INVERSIONES FCI]],+Tabla5[[#This Row],[INVERSIONES FCI]]-BW220,Tabla5[[#This Row],[INVERSIONES FCI]])</f>
        <v>29595704818.996437</v>
      </c>
      <c r="BX221" s="5">
        <f>IF($B220&lt;=Tabla5[[#This Row],[INVERSIONES FCI]],+Tabla5[[#This Row],[INVERSIONES FCI]]-BX220,Tabla5[[#This Row],[INVERSIONES FCI]])</f>
        <v>29595704818.996437</v>
      </c>
      <c r="BY221" s="5">
        <f>IF($B220&lt;=Tabla5[[#This Row],[INVERSIONES FCI]],+Tabla5[[#This Row],[INVERSIONES FCI]]-BY220,Tabla5[[#This Row],[INVERSIONES FCI]])</f>
        <v>29595704818.996437</v>
      </c>
      <c r="BZ221" s="5">
        <f>IF($B220&lt;=Tabla5[[#This Row],[INVERSIONES FCI]],+Tabla5[[#This Row],[INVERSIONES FCI]]-BZ220,Tabla5[[#This Row],[INVERSIONES FCI]])</f>
        <v>29595704818.996437</v>
      </c>
      <c r="CA221" s="5">
        <f>IF($B220&lt;=Tabla5[[#This Row],[INVERSIONES FCI]],+Tabla5[[#This Row],[INVERSIONES FCI]]-CA220,Tabla5[[#This Row],[INVERSIONES FCI]])</f>
        <v>29595704818.996437</v>
      </c>
      <c r="CB221" s="5">
        <f>IF($B220&lt;=Tabla5[[#This Row],[INVERSIONES FCI]],+Tabla5[[#This Row],[INVERSIONES FCI]]-CB220,Tabla5[[#This Row],[INVERSIONES FCI]])</f>
        <v>29595704818.996437</v>
      </c>
      <c r="CC221" s="5">
        <f>IF($B220&lt;=Tabla5[[#This Row],[INVERSIONES FCI]],+Tabla5[[#This Row],[INVERSIONES FCI]]-CC220,Tabla5[[#This Row],[INVERSIONES FCI]])</f>
        <v>29595704818.996437</v>
      </c>
      <c r="CD221" s="5">
        <f>IF($B220&lt;=Tabla5[[#This Row],[INVERSIONES FCI]],+Tabla5[[#This Row],[INVERSIONES FCI]]-CD220,Tabla5[[#This Row],[INVERSIONES FCI]])</f>
        <v>29595704818.996437</v>
      </c>
      <c r="CE221" s="5">
        <f>IF($B220&lt;=Tabla5[[#This Row],[INVERSIONES FCI]],+Tabla5[[#This Row],[INVERSIONES FCI]]-CE220,Tabla5[[#This Row],[INVERSIONES FCI]])</f>
        <v>29595704818.996437</v>
      </c>
      <c r="CF221" s="5">
        <f>IF($B220&lt;=Tabla5[[#This Row],[INVERSIONES FCI]],+Tabla5[[#This Row],[INVERSIONES FCI]]-CF220,Tabla5[[#This Row],[INVERSIONES FCI]])</f>
        <v>29595704818.996437</v>
      </c>
      <c r="CG221" s="5">
        <f>IF($B220&lt;=Tabla5[[#This Row],[INVERSIONES FCI]],+Tabla5[[#This Row],[INVERSIONES FCI]]-CG220,Tabla5[[#This Row],[INVERSIONES FCI]])</f>
        <v>29595704818.996437</v>
      </c>
      <c r="CH221" s="5">
        <f>IF($B220&lt;=Tabla5[[#This Row],[INVERSIONES FCI]],+Tabla5[[#This Row],[INVERSIONES FCI]]-CH220,Tabla5[[#This Row],[INVERSIONES FCI]])</f>
        <v>29595704818.996437</v>
      </c>
      <c r="CI221" s="5">
        <f>IF($B220&lt;=Tabla5[[#This Row],[INVERSIONES FCI]],+Tabla5[[#This Row],[INVERSIONES FCI]]-CI220,Tabla5[[#This Row],[INVERSIONES FCI]])</f>
        <v>29595704818.996437</v>
      </c>
      <c r="CJ221" s="5">
        <f>IF($B220&lt;=Tabla5[[#This Row],[INVERSIONES FCI]],+Tabla5[[#This Row],[INVERSIONES FCI]]-CJ220,Tabla5[[#This Row],[INVERSIONES FCI]])</f>
        <v>29595704818.996437</v>
      </c>
      <c r="CK221" s="5">
        <f>IF($B220&lt;=Tabla5[[#This Row],[INVERSIONES FCI]],+Tabla5[[#This Row],[INVERSIONES FCI]]-CK220,Tabla5[[#This Row],[INVERSIONES FCI]])</f>
        <v>29595704818.996437</v>
      </c>
      <c r="CL221" s="5">
        <f>IF($B220&lt;=Tabla5[[#This Row],[INVERSIONES FCI]],+Tabla5[[#This Row],[INVERSIONES FCI]]-CL220,Tabla5[[#This Row],[INVERSIONES FCI]])</f>
        <v>29595704818.996437</v>
      </c>
      <c r="CM221" s="5">
        <f>IF($B220&lt;=Tabla5[[#This Row],[INVERSIONES FCI]],+Tabla5[[#This Row],[INVERSIONES FCI]]-CM220,Tabla5[[#This Row],[INVERSIONES FCI]])</f>
        <v>29595704818.996437</v>
      </c>
      <c r="CN221" s="5">
        <f>IF($B220&lt;=Tabla5[[#This Row],[INVERSIONES FCI]],+Tabla5[[#This Row],[INVERSIONES FCI]]-CN220,Tabla5[[#This Row],[INVERSIONES FCI]])</f>
        <v>29595704818.996437</v>
      </c>
      <c r="CO221" s="5">
        <f>IF($B220&lt;=Tabla5[[#This Row],[INVERSIONES FCI]],+Tabla5[[#This Row],[INVERSIONES FCI]]-CO220,Tabla5[[#This Row],[INVERSIONES FCI]])</f>
        <v>29595704818.996437</v>
      </c>
      <c r="CP221" s="5">
        <f>IF($B220&lt;=Tabla5[[#This Row],[INVERSIONES FCI]],+Tabla5[[#This Row],[INVERSIONES FCI]]-CP220,Tabla5[[#This Row],[INVERSIONES FCI]])</f>
        <v>29595704818.996437</v>
      </c>
      <c r="CQ221" s="5">
        <f>IF($B220&lt;=Tabla5[[#This Row],[INVERSIONES FCI]],+Tabla5[[#This Row],[INVERSIONES FCI]]-CQ220,Tabla5[[#This Row],[INVERSIONES FCI]])</f>
        <v>29595704818.996437</v>
      </c>
      <c r="CR221" s="5">
        <f>IF($B220&lt;=Tabla5[[#This Row],[INVERSIONES FCI]],+Tabla5[[#This Row],[INVERSIONES FCI]]-CR220,Tabla5[[#This Row],[INVERSIONES FCI]])</f>
        <v>29595704818.996437</v>
      </c>
      <c r="CS221" s="5">
        <f>IF($B220&lt;=Tabla5[[#This Row],[INVERSIONES FCI]],+Tabla5[[#This Row],[INVERSIONES FCI]]-CS220,Tabla5[[#This Row],[INVERSIONES FCI]])</f>
        <v>29595704818.996437</v>
      </c>
      <c r="CT221" s="5">
        <f>IF($B220&lt;=Tabla5[[#This Row],[INVERSIONES FCI]],+Tabla5[[#This Row],[INVERSIONES FCI]]-CT220,Tabla5[[#This Row],[INVERSIONES FCI]])</f>
        <v>29595704818.996437</v>
      </c>
      <c r="CU221" s="5">
        <f>IF($B220&lt;=Tabla5[[#This Row],[INVERSIONES FCI]],+Tabla5[[#This Row],[INVERSIONES FCI]]-CU220,Tabla5[[#This Row],[INVERSIONES FCI]])</f>
        <v>29595704818.996437</v>
      </c>
      <c r="CV221" s="5">
        <f>IF($B220&lt;=Tabla5[[#This Row],[INVERSIONES FCI]],+Tabla5[[#This Row],[INVERSIONES FCI]]-CV220,Tabla5[[#This Row],[INVERSIONES FCI]])</f>
        <v>29595704818.996437</v>
      </c>
      <c r="CW221" s="5">
        <f>IF($B220&lt;=Tabla5[[#This Row],[INVERSIONES FCI]],+Tabla5[[#This Row],[INVERSIONES FCI]]-CW220,Tabla5[[#This Row],[INVERSIONES FCI]])</f>
        <v>29595704818.996437</v>
      </c>
      <c r="CX221" s="5">
        <f>IF($B220&lt;=Tabla5[[#This Row],[INVERSIONES FCI]],+Tabla5[[#This Row],[INVERSIONES FCI]]-CX220,Tabla5[[#This Row],[INVERSIONES FCI]])</f>
        <v>29595704818.996437</v>
      </c>
      <c r="CY221" s="5">
        <f>IF($B220&lt;=Tabla5[[#This Row],[INVERSIONES FCI]],+Tabla5[[#This Row],[INVERSIONES FCI]]-CY220,Tabla5[[#This Row],[INVERSIONES FCI]])</f>
        <v>29595704818.996437</v>
      </c>
      <c r="CZ221" s="5">
        <f>IF($B220&lt;=Tabla5[[#This Row],[INVERSIONES FCI]],+Tabla5[[#This Row],[INVERSIONES FCI]]-CZ220,Tabla5[[#This Row],[INVERSIONES FCI]])</f>
        <v>29595704818.996437</v>
      </c>
      <c r="DA221" s="5">
        <f>IF($B220&lt;=Tabla5[[#This Row],[INVERSIONES FCI]],+Tabla5[[#This Row],[INVERSIONES FCI]]-DA220,Tabla5[[#This Row],[INVERSIONES FCI]])</f>
        <v>29595704818.996437</v>
      </c>
      <c r="DB221" s="5">
        <f>IF($B220&lt;=Tabla5[[#This Row],[INVERSIONES FCI]],+Tabla5[[#This Row],[INVERSIONES FCI]]-DB220,Tabla5[[#This Row],[INVERSIONES FCI]])</f>
        <v>29595704818.996437</v>
      </c>
      <c r="DC221" s="5">
        <f>IF($B220&lt;=Tabla5[[#This Row],[INVERSIONES FCI]],+Tabla5[[#This Row],[INVERSIONES FCI]]-DC220,Tabla5[[#This Row],[INVERSIONES FCI]])</f>
        <v>29595704818.996437</v>
      </c>
      <c r="DD221" s="5">
        <f>IF($B220&lt;=Tabla5[[#This Row],[INVERSIONES FCI]],+Tabla5[[#This Row],[INVERSIONES FCI]]-DD220,Tabla5[[#This Row],[INVERSIONES FCI]])</f>
        <v>29595704818.996437</v>
      </c>
      <c r="DE221" s="5">
        <f>IF($B220&lt;=Tabla5[[#This Row],[INVERSIONES FCI]],+Tabla5[[#This Row],[INVERSIONES FCI]]-DE220,Tabla5[[#This Row],[INVERSIONES FCI]])</f>
        <v>29595704818.996437</v>
      </c>
      <c r="DF221" s="5">
        <f>IF($B220&lt;=Tabla5[[#This Row],[INVERSIONES FCI]],+Tabla5[[#This Row],[INVERSIONES FCI]]-DF220,Tabla5[[#This Row],[INVERSIONES FCI]])</f>
        <v>29595704818.996437</v>
      </c>
      <c r="DG221" s="5">
        <f>IF($B220&lt;=Tabla5[[#This Row],[INVERSIONES FCI]],+Tabla5[[#This Row],[INVERSIONES FCI]]-DG220,Tabla5[[#This Row],[INVERSIONES FCI]])</f>
        <v>29595704818.996437</v>
      </c>
      <c r="DH221" s="5">
        <f>IF($B220&lt;=Tabla5[[#This Row],[INVERSIONES FCI]],+Tabla5[[#This Row],[INVERSIONES FCI]]-DH220,Tabla5[[#This Row],[INVERSIONES FCI]])</f>
        <v>29595704818.996437</v>
      </c>
      <c r="DI221" s="5">
        <f>IF($B220&lt;=Tabla5[[#This Row],[INVERSIONES FCI]],+Tabla5[[#This Row],[INVERSIONES FCI]]-DI220,Tabla5[[#This Row],[INVERSIONES FCI]])</f>
        <v>29595704818.996437</v>
      </c>
      <c r="DJ221" s="5">
        <f>IF($B220&lt;=Tabla5[[#This Row],[INVERSIONES FCI]],+Tabla5[[#This Row],[INVERSIONES FCI]]-DJ220,Tabla5[[#This Row],[INVERSIONES FCI]])</f>
        <v>29595704818.996437</v>
      </c>
      <c r="DK221" s="5">
        <f>IF($B220&lt;=Tabla5[[#This Row],[INVERSIONES FCI]],+Tabla5[[#This Row],[INVERSIONES FCI]]-DK220,Tabla5[[#This Row],[INVERSIONES FCI]])</f>
        <v>29595704818.996437</v>
      </c>
      <c r="DL221" s="5"/>
      <c r="DM221" s="5"/>
      <c r="DN221" s="5"/>
      <c r="DO221" s="5"/>
      <c r="DP221" s="5"/>
      <c r="DQ221" s="5"/>
    </row>
    <row r="222" spans="1:121" ht="14.4">
      <c r="A222" s="12" t="s">
        <v>221</v>
      </c>
      <c r="B222" s="5">
        <f>HLOOKUP($A222,ESCENARIO[#All],7,FALSE)</f>
        <v>30508114059.712887</v>
      </c>
      <c r="C222" s="5">
        <f>IF($B221&lt;=Tabla5[[#This Row],[INVERSIONES FCI]],+Tabla5[[#This Row],[INVERSIONES FCI]]-C221,Tabla5[[#This Row],[INVERSIONES FCI]])</f>
        <v>912409240.71644974</v>
      </c>
      <c r="D222" s="5">
        <f>IF($B221&lt;=Tabla5[[#This Row],[INVERSIONES FCI]],+Tabla5[[#This Row],[INVERSIONES FCI]]-D221,Tabla5[[#This Row],[INVERSIONES FCI]])</f>
        <v>912409240.71644974</v>
      </c>
      <c r="E222" s="5">
        <f>IF($B221&lt;=Tabla5[[#This Row],[INVERSIONES FCI]],+Tabla5[[#This Row],[INVERSIONES FCI]]-E221,Tabla5[[#This Row],[INVERSIONES FCI]])</f>
        <v>912409240.71644974</v>
      </c>
      <c r="F222" s="5">
        <f>IF($B221&lt;=Tabla5[[#This Row],[INVERSIONES FCI]],+Tabla5[[#This Row],[INVERSIONES FCI]]-F221,Tabla5[[#This Row],[INVERSIONES FCI]])</f>
        <v>912409240.71644974</v>
      </c>
      <c r="G222" s="5">
        <f>IF($B221&lt;=Tabla5[[#This Row],[INVERSIONES FCI]],+Tabla5[[#This Row],[INVERSIONES FCI]]-G221,Tabla5[[#This Row],[INVERSIONES FCI]])</f>
        <v>912409240.71644974</v>
      </c>
      <c r="H222" s="5">
        <f>IF($B221&lt;=Tabla5[[#This Row],[INVERSIONES FCI]],+Tabla5[[#This Row],[INVERSIONES FCI]]-H221,Tabla5[[#This Row],[INVERSIONES FCI]])</f>
        <v>912409240.71644974</v>
      </c>
      <c r="I222" s="5">
        <f>IF($B221&lt;=Tabla5[[#This Row],[INVERSIONES FCI]],+Tabla5[[#This Row],[INVERSIONES FCI]]-I221,Tabla5[[#This Row],[INVERSIONES FCI]])</f>
        <v>912409240.71644974</v>
      </c>
      <c r="J222" s="5">
        <f>IF($B221&lt;=Tabla5[[#This Row],[INVERSIONES FCI]],+Tabla5[[#This Row],[INVERSIONES FCI]]-J221,Tabla5[[#This Row],[INVERSIONES FCI]])</f>
        <v>912409240.71644974</v>
      </c>
      <c r="K222" s="5">
        <f>IF($B221&lt;=Tabla5[[#This Row],[INVERSIONES FCI]],+Tabla5[[#This Row],[INVERSIONES FCI]]-K221,Tabla5[[#This Row],[INVERSIONES FCI]])</f>
        <v>912409240.71644974</v>
      </c>
      <c r="L222" s="5">
        <f>IF($B221&lt;=Tabla5[[#This Row],[INVERSIONES FCI]],+Tabla5[[#This Row],[INVERSIONES FCI]]-L221,Tabla5[[#This Row],[INVERSIONES FCI]])</f>
        <v>912409240.71644974</v>
      </c>
      <c r="M222" s="5">
        <f>IF($B221&lt;=Tabla5[[#This Row],[INVERSIONES FCI]],+Tabla5[[#This Row],[INVERSIONES FCI]]-M221,Tabla5[[#This Row],[INVERSIONES FCI]])</f>
        <v>912409240.71644974</v>
      </c>
      <c r="N222" s="5">
        <f>IF($B221&lt;=Tabla5[[#This Row],[INVERSIONES FCI]],+Tabla5[[#This Row],[INVERSIONES FCI]]-N221,Tabla5[[#This Row],[INVERSIONES FCI]])</f>
        <v>912409240.71644974</v>
      </c>
      <c r="O222" s="5">
        <f>IF($B221&lt;=Tabla5[[#This Row],[INVERSIONES FCI]],+Tabla5[[#This Row],[INVERSIONES FCI]]-O221,Tabla5[[#This Row],[INVERSIONES FCI]])</f>
        <v>912409240.71644974</v>
      </c>
      <c r="P222" s="5">
        <f>IF($B221&lt;=Tabla5[[#This Row],[INVERSIONES FCI]],+Tabla5[[#This Row],[INVERSIONES FCI]]-P221,Tabla5[[#This Row],[INVERSIONES FCI]])</f>
        <v>912409240.71644974</v>
      </c>
      <c r="Q222" s="5">
        <f>IF($B221&lt;=Tabla5[[#This Row],[INVERSIONES FCI]],+Tabla5[[#This Row],[INVERSIONES FCI]]-Q221,Tabla5[[#This Row],[INVERSIONES FCI]])</f>
        <v>912409240.71644974</v>
      </c>
      <c r="R222" s="5">
        <f>IF($B221&lt;=Tabla5[[#This Row],[INVERSIONES FCI]],+Tabla5[[#This Row],[INVERSIONES FCI]]-R221,Tabla5[[#This Row],[INVERSIONES FCI]])</f>
        <v>912409240.71644974</v>
      </c>
      <c r="S222" s="5">
        <f>IF($B221&lt;=Tabla5[[#This Row],[INVERSIONES FCI]],+Tabla5[[#This Row],[INVERSIONES FCI]]-S221,Tabla5[[#This Row],[INVERSIONES FCI]])</f>
        <v>912409240.71644974</v>
      </c>
      <c r="T222" s="5">
        <f>IF($B221&lt;=Tabla5[[#This Row],[INVERSIONES FCI]],+Tabla5[[#This Row],[INVERSIONES FCI]]-T221,Tabla5[[#This Row],[INVERSIONES FCI]])</f>
        <v>912409240.71644974</v>
      </c>
      <c r="U222" s="5">
        <f>IF($B221&lt;=Tabla5[[#This Row],[INVERSIONES FCI]],+Tabla5[[#This Row],[INVERSIONES FCI]]-U221,Tabla5[[#This Row],[INVERSIONES FCI]])</f>
        <v>912409240.71644974</v>
      </c>
      <c r="V222" s="5">
        <f>IF($B221&lt;=Tabla5[[#This Row],[INVERSIONES FCI]],+Tabla5[[#This Row],[INVERSIONES FCI]]-V221,Tabla5[[#This Row],[INVERSIONES FCI]])</f>
        <v>912409240.71644974</v>
      </c>
      <c r="W222" s="5">
        <f>IF($B221&lt;=Tabla5[[#This Row],[INVERSIONES FCI]],+Tabla5[[#This Row],[INVERSIONES FCI]]-W221,Tabla5[[#This Row],[INVERSIONES FCI]])</f>
        <v>912409240.71644974</v>
      </c>
      <c r="X222" s="5">
        <f>IF($B221&lt;=Tabla5[[#This Row],[INVERSIONES FCI]],+Tabla5[[#This Row],[INVERSIONES FCI]]-X221,Tabla5[[#This Row],[INVERSIONES FCI]])</f>
        <v>912409240.71644974</v>
      </c>
      <c r="Y222" s="5">
        <f>IF($B221&lt;=Tabla5[[#This Row],[INVERSIONES FCI]],+Tabla5[[#This Row],[INVERSIONES FCI]]-Y221,Tabla5[[#This Row],[INVERSIONES FCI]])</f>
        <v>912409240.71644974</v>
      </c>
      <c r="Z222" s="5">
        <f>IF($B221&lt;=Tabla5[[#This Row],[INVERSIONES FCI]],+Tabla5[[#This Row],[INVERSIONES FCI]]-Z221,Tabla5[[#This Row],[INVERSIONES FCI]])</f>
        <v>912409240.71644974</v>
      </c>
      <c r="AA222" s="5">
        <f>IF($B221&lt;=Tabla5[[#This Row],[INVERSIONES FCI]],+Tabla5[[#This Row],[INVERSIONES FCI]]-AA221,Tabla5[[#This Row],[INVERSIONES FCI]])</f>
        <v>912409240.71644974</v>
      </c>
      <c r="AB222" s="5">
        <f>IF($B221&lt;=Tabla5[[#This Row],[INVERSIONES FCI]],+Tabla5[[#This Row],[INVERSIONES FCI]]-AB221,Tabla5[[#This Row],[INVERSIONES FCI]])</f>
        <v>912409240.71644974</v>
      </c>
      <c r="AC222" s="5">
        <f>IF($B221&lt;=Tabla5[[#This Row],[INVERSIONES FCI]],+Tabla5[[#This Row],[INVERSIONES FCI]]-AC221,Tabla5[[#This Row],[INVERSIONES FCI]])</f>
        <v>912409240.71644974</v>
      </c>
      <c r="AD222" s="5">
        <f>IF($B221&lt;=Tabla5[[#This Row],[INVERSIONES FCI]],+Tabla5[[#This Row],[INVERSIONES FCI]]-AD221,Tabla5[[#This Row],[INVERSIONES FCI]])</f>
        <v>912409240.71644974</v>
      </c>
      <c r="AE222" s="5">
        <f>IF($B221&lt;=Tabla5[[#This Row],[INVERSIONES FCI]],+Tabla5[[#This Row],[INVERSIONES FCI]]-AE221,Tabla5[[#This Row],[INVERSIONES FCI]])</f>
        <v>912409240.71644974</v>
      </c>
      <c r="AF222" s="5">
        <f>IF($B221&lt;=Tabla5[[#This Row],[INVERSIONES FCI]],+Tabla5[[#This Row],[INVERSIONES FCI]]-AF221,Tabla5[[#This Row],[INVERSIONES FCI]])</f>
        <v>912409240.71644974</v>
      </c>
      <c r="AG222" s="5">
        <f>IF($B221&lt;=Tabla5[[#This Row],[INVERSIONES FCI]],+Tabla5[[#This Row],[INVERSIONES FCI]]-AG221,Tabla5[[#This Row],[INVERSIONES FCI]])</f>
        <v>912409240.71644974</v>
      </c>
      <c r="AH222" s="5">
        <f>IF($B221&lt;=Tabla5[[#This Row],[INVERSIONES FCI]],+Tabla5[[#This Row],[INVERSIONES FCI]]-AH221,Tabla5[[#This Row],[INVERSIONES FCI]])</f>
        <v>912409240.71644974</v>
      </c>
      <c r="AI222" s="5">
        <f>IF($B221&lt;=Tabla5[[#This Row],[INVERSIONES FCI]],+Tabla5[[#This Row],[INVERSIONES FCI]]-AI221,Tabla5[[#This Row],[INVERSIONES FCI]])</f>
        <v>912409240.71644974</v>
      </c>
      <c r="AJ222" s="5">
        <f>IF($B221&lt;=Tabla5[[#This Row],[INVERSIONES FCI]],+Tabla5[[#This Row],[INVERSIONES FCI]]-AJ221,Tabla5[[#This Row],[INVERSIONES FCI]])</f>
        <v>912409240.71644974</v>
      </c>
      <c r="AK222" s="5">
        <f>IF($B221&lt;=Tabla5[[#This Row],[INVERSIONES FCI]],+Tabla5[[#This Row],[INVERSIONES FCI]]-AK221,Tabla5[[#This Row],[INVERSIONES FCI]])</f>
        <v>912409240.71644974</v>
      </c>
      <c r="AL222" s="5">
        <f>IF($B221&lt;=Tabla5[[#This Row],[INVERSIONES FCI]],+Tabla5[[#This Row],[INVERSIONES FCI]]-AL221,Tabla5[[#This Row],[INVERSIONES FCI]])</f>
        <v>912409240.71644974</v>
      </c>
      <c r="AM222" s="5">
        <f>IF($B221&lt;=Tabla5[[#This Row],[INVERSIONES FCI]],+Tabla5[[#This Row],[INVERSIONES FCI]]-AM221,Tabla5[[#This Row],[INVERSIONES FCI]])</f>
        <v>912409240.71644974</v>
      </c>
      <c r="AN222" s="5">
        <f>IF($B221&lt;=Tabla5[[#This Row],[INVERSIONES FCI]],+Tabla5[[#This Row],[INVERSIONES FCI]]-AN221,Tabla5[[#This Row],[INVERSIONES FCI]])</f>
        <v>912409240.71644974</v>
      </c>
      <c r="AO222" s="5">
        <f>IF($B221&lt;=Tabla5[[#This Row],[INVERSIONES FCI]],+Tabla5[[#This Row],[INVERSIONES FCI]]-AO221,Tabla5[[#This Row],[INVERSIONES FCI]])</f>
        <v>912409240.71644974</v>
      </c>
      <c r="AP222" s="5">
        <f>IF($B221&lt;=Tabla5[[#This Row],[INVERSIONES FCI]],+Tabla5[[#This Row],[INVERSIONES FCI]]-AP221,Tabla5[[#This Row],[INVERSIONES FCI]])</f>
        <v>912409240.71644974</v>
      </c>
      <c r="AQ222" s="5">
        <f>IF($B221&lt;=Tabla5[[#This Row],[INVERSIONES FCI]],+Tabla5[[#This Row],[INVERSIONES FCI]]-AQ221,Tabla5[[#This Row],[INVERSIONES FCI]])</f>
        <v>912409240.71644974</v>
      </c>
      <c r="AR222" s="5">
        <f>IF($B221&lt;=Tabla5[[#This Row],[INVERSIONES FCI]],+Tabla5[[#This Row],[INVERSIONES FCI]]-AR221,Tabla5[[#This Row],[INVERSIONES FCI]])</f>
        <v>912409240.71644974</v>
      </c>
      <c r="AS222" s="5">
        <f>IF($B221&lt;=Tabla5[[#This Row],[INVERSIONES FCI]],+Tabla5[[#This Row],[INVERSIONES FCI]]-AS221,Tabla5[[#This Row],[INVERSIONES FCI]])</f>
        <v>912409240.71644974</v>
      </c>
      <c r="AT222" s="5">
        <f>IF($B221&lt;=Tabla5[[#This Row],[INVERSIONES FCI]],+Tabla5[[#This Row],[INVERSIONES FCI]]-AT221,Tabla5[[#This Row],[INVERSIONES FCI]])</f>
        <v>912409240.71644974</v>
      </c>
      <c r="AU222" s="5">
        <f>IF($B221&lt;=Tabla5[[#This Row],[INVERSIONES FCI]],+Tabla5[[#This Row],[INVERSIONES FCI]]-AU221,Tabla5[[#This Row],[INVERSIONES FCI]])</f>
        <v>912409240.71644974</v>
      </c>
      <c r="AV222" s="5">
        <f>IF($B221&lt;=Tabla5[[#This Row],[INVERSIONES FCI]],+Tabla5[[#This Row],[INVERSIONES FCI]]-AV221,Tabla5[[#This Row],[INVERSIONES FCI]])</f>
        <v>912409240.71644974</v>
      </c>
      <c r="AW222" s="5">
        <f>IF($B221&lt;=Tabla5[[#This Row],[INVERSIONES FCI]],+Tabla5[[#This Row],[INVERSIONES FCI]]-AW221,Tabla5[[#This Row],[INVERSIONES FCI]])</f>
        <v>912409240.71644974</v>
      </c>
      <c r="AX222" s="5">
        <f>IF($B221&lt;=Tabla5[[#This Row],[INVERSIONES FCI]],+Tabla5[[#This Row],[INVERSIONES FCI]]-AX221,Tabla5[[#This Row],[INVERSIONES FCI]])</f>
        <v>912409240.71644974</v>
      </c>
      <c r="AY222" s="5">
        <f>IF($B221&lt;=Tabla5[[#This Row],[INVERSIONES FCI]],+Tabla5[[#This Row],[INVERSIONES FCI]]-AY221,Tabla5[[#This Row],[INVERSIONES FCI]])</f>
        <v>912409240.71644974</v>
      </c>
      <c r="AZ222" s="5">
        <f>IF($B221&lt;=Tabla5[[#This Row],[INVERSIONES FCI]],+Tabla5[[#This Row],[INVERSIONES FCI]]-AZ221,Tabla5[[#This Row],[INVERSIONES FCI]])</f>
        <v>912409240.71644974</v>
      </c>
      <c r="BA222" s="5">
        <f>IF($B221&lt;=Tabla5[[#This Row],[INVERSIONES FCI]],+Tabla5[[#This Row],[INVERSIONES FCI]]-BA221,Tabla5[[#This Row],[INVERSIONES FCI]])</f>
        <v>912409240.71644974</v>
      </c>
      <c r="BB222" s="5">
        <f>IF($B221&lt;=Tabla5[[#This Row],[INVERSIONES FCI]],+Tabla5[[#This Row],[INVERSIONES FCI]]-BB221,Tabla5[[#This Row],[INVERSIONES FCI]])</f>
        <v>912409240.71644974</v>
      </c>
      <c r="BC222" s="5">
        <f>IF($B221&lt;=Tabla5[[#This Row],[INVERSIONES FCI]],+Tabla5[[#This Row],[INVERSIONES FCI]]-BC221,Tabla5[[#This Row],[INVERSIONES FCI]])</f>
        <v>912409240.71644974</v>
      </c>
      <c r="BD222" s="5">
        <f>IF($B221&lt;=Tabla5[[#This Row],[INVERSIONES FCI]],+Tabla5[[#This Row],[INVERSIONES FCI]]-BD221,Tabla5[[#This Row],[INVERSIONES FCI]])</f>
        <v>912409240.71644974</v>
      </c>
      <c r="BE222" s="5">
        <f>IF($B221&lt;=Tabla5[[#This Row],[INVERSIONES FCI]],+Tabla5[[#This Row],[INVERSIONES FCI]]-BE221,Tabla5[[#This Row],[INVERSIONES FCI]])</f>
        <v>912409240.71644974</v>
      </c>
      <c r="BF222" s="5">
        <f>IF($B221&lt;=Tabla5[[#This Row],[INVERSIONES FCI]],+Tabla5[[#This Row],[INVERSIONES FCI]]-BF221,Tabla5[[#This Row],[INVERSIONES FCI]])</f>
        <v>912409240.71644974</v>
      </c>
      <c r="BG222" s="5">
        <f>IF($B221&lt;=Tabla5[[#This Row],[INVERSIONES FCI]],+Tabla5[[#This Row],[INVERSIONES FCI]]-BG221,Tabla5[[#This Row],[INVERSIONES FCI]])</f>
        <v>912409240.71644974</v>
      </c>
      <c r="BH222" s="5">
        <f>IF($B221&lt;=Tabla5[[#This Row],[INVERSIONES FCI]],+Tabla5[[#This Row],[INVERSIONES FCI]]-BH221,Tabla5[[#This Row],[INVERSIONES FCI]])</f>
        <v>912409240.71644974</v>
      </c>
      <c r="BI222" s="5">
        <f>IF($B221&lt;=Tabla5[[#This Row],[INVERSIONES FCI]],+Tabla5[[#This Row],[INVERSIONES FCI]]-BI221,Tabla5[[#This Row],[INVERSIONES FCI]])</f>
        <v>912409240.71644974</v>
      </c>
      <c r="BJ222" s="5">
        <f>IF($B221&lt;=Tabla5[[#This Row],[INVERSIONES FCI]],+Tabla5[[#This Row],[INVERSIONES FCI]]-BJ221,Tabla5[[#This Row],[INVERSIONES FCI]])</f>
        <v>912409240.71644974</v>
      </c>
      <c r="BK222" s="5">
        <f>IF($B221&lt;=Tabla5[[#This Row],[INVERSIONES FCI]],+Tabla5[[#This Row],[INVERSIONES FCI]]-BK221,Tabla5[[#This Row],[INVERSIONES FCI]])</f>
        <v>912409240.71644974</v>
      </c>
      <c r="BL222" s="5">
        <f>IF($B221&lt;=Tabla5[[#This Row],[INVERSIONES FCI]],+Tabla5[[#This Row],[INVERSIONES FCI]]-BL221,Tabla5[[#This Row],[INVERSIONES FCI]])</f>
        <v>912409240.71644974</v>
      </c>
      <c r="BM222" s="5">
        <f>IF($B221&lt;=Tabla5[[#This Row],[INVERSIONES FCI]],+Tabla5[[#This Row],[INVERSIONES FCI]]-BM221,Tabla5[[#This Row],[INVERSIONES FCI]])</f>
        <v>912409240.71644974</v>
      </c>
      <c r="BN222" s="5">
        <f>IF($B221&lt;=Tabla5[[#This Row],[INVERSIONES FCI]],+Tabla5[[#This Row],[INVERSIONES FCI]]-BN221,Tabla5[[#This Row],[INVERSIONES FCI]])</f>
        <v>912409240.71644974</v>
      </c>
      <c r="BO222" s="5">
        <f>IF($B221&lt;=Tabla5[[#This Row],[INVERSIONES FCI]],+Tabla5[[#This Row],[INVERSIONES FCI]]-BO221,Tabla5[[#This Row],[INVERSIONES FCI]])</f>
        <v>912409240.71644974</v>
      </c>
      <c r="BP222" s="5">
        <f>IF($B221&lt;=Tabla5[[#This Row],[INVERSIONES FCI]],+Tabla5[[#This Row],[INVERSIONES FCI]]-BP221,Tabla5[[#This Row],[INVERSIONES FCI]])</f>
        <v>912409240.71644974</v>
      </c>
      <c r="BQ222" s="5">
        <f>IF($B221&lt;=Tabla5[[#This Row],[INVERSIONES FCI]],+Tabla5[[#This Row],[INVERSIONES FCI]]-BQ221,Tabla5[[#This Row],[INVERSIONES FCI]])</f>
        <v>912409240.71644974</v>
      </c>
      <c r="BR222" s="5">
        <f>IF($B221&lt;=Tabla5[[#This Row],[INVERSIONES FCI]],+Tabla5[[#This Row],[INVERSIONES FCI]]-BR221,Tabla5[[#This Row],[INVERSIONES FCI]])</f>
        <v>912409240.71644974</v>
      </c>
      <c r="BS222" s="5">
        <f>IF($B221&lt;=Tabla5[[#This Row],[INVERSIONES FCI]],+Tabla5[[#This Row],[INVERSIONES FCI]]-BS221,Tabla5[[#This Row],[INVERSIONES FCI]])</f>
        <v>912409240.71644974</v>
      </c>
      <c r="BT222" s="5">
        <f>IF($B221&lt;=Tabla5[[#This Row],[INVERSIONES FCI]],+Tabla5[[#This Row],[INVERSIONES FCI]]-BT221,Tabla5[[#This Row],[INVERSIONES FCI]])</f>
        <v>912409240.71644974</v>
      </c>
      <c r="BU222" s="5">
        <f>IF($B221&lt;=Tabla5[[#This Row],[INVERSIONES FCI]],+Tabla5[[#This Row],[INVERSIONES FCI]]-BU221,Tabla5[[#This Row],[INVERSIONES FCI]])</f>
        <v>912409240.71644974</v>
      </c>
      <c r="BV222" s="5">
        <f>IF($B221&lt;=Tabla5[[#This Row],[INVERSIONES FCI]],+Tabla5[[#This Row],[INVERSIONES FCI]]-BV221,Tabla5[[#This Row],[INVERSIONES FCI]])</f>
        <v>912409240.71644974</v>
      </c>
      <c r="BW222" s="5">
        <f>IF($B221&lt;=Tabla5[[#This Row],[INVERSIONES FCI]],+Tabla5[[#This Row],[INVERSIONES FCI]]-BW221,Tabla5[[#This Row],[INVERSIONES FCI]])</f>
        <v>912409240.71644974</v>
      </c>
      <c r="BX222" s="5">
        <f>IF($B221&lt;=Tabla5[[#This Row],[INVERSIONES FCI]],+Tabla5[[#This Row],[INVERSIONES FCI]]-BX221,Tabla5[[#This Row],[INVERSIONES FCI]])</f>
        <v>912409240.71644974</v>
      </c>
      <c r="BY222" s="5">
        <f>IF($B221&lt;=Tabla5[[#This Row],[INVERSIONES FCI]],+Tabla5[[#This Row],[INVERSIONES FCI]]-BY221,Tabla5[[#This Row],[INVERSIONES FCI]])</f>
        <v>912409240.71644974</v>
      </c>
      <c r="BZ222" s="5">
        <f>IF($B221&lt;=Tabla5[[#This Row],[INVERSIONES FCI]],+Tabla5[[#This Row],[INVERSIONES FCI]]-BZ221,Tabla5[[#This Row],[INVERSIONES FCI]])</f>
        <v>912409240.71644974</v>
      </c>
      <c r="CA222" s="5">
        <f>IF($B221&lt;=Tabla5[[#This Row],[INVERSIONES FCI]],+Tabla5[[#This Row],[INVERSIONES FCI]]-CA221,Tabla5[[#This Row],[INVERSIONES FCI]])</f>
        <v>912409240.71644974</v>
      </c>
      <c r="CB222" s="5">
        <f>IF($B221&lt;=Tabla5[[#This Row],[INVERSIONES FCI]],+Tabla5[[#This Row],[INVERSIONES FCI]]-CB221,Tabla5[[#This Row],[INVERSIONES FCI]])</f>
        <v>912409240.71644974</v>
      </c>
      <c r="CC222" s="5">
        <f>IF($B221&lt;=Tabla5[[#This Row],[INVERSIONES FCI]],+Tabla5[[#This Row],[INVERSIONES FCI]]-CC221,Tabla5[[#This Row],[INVERSIONES FCI]])</f>
        <v>912409240.71644974</v>
      </c>
      <c r="CD222" s="5">
        <f>IF($B221&lt;=Tabla5[[#This Row],[INVERSIONES FCI]],+Tabla5[[#This Row],[INVERSIONES FCI]]-CD221,Tabla5[[#This Row],[INVERSIONES FCI]])</f>
        <v>912409240.71644974</v>
      </c>
      <c r="CE222" s="5">
        <f>IF($B221&lt;=Tabla5[[#This Row],[INVERSIONES FCI]],+Tabla5[[#This Row],[INVERSIONES FCI]]-CE221,Tabla5[[#This Row],[INVERSIONES FCI]])</f>
        <v>912409240.71644974</v>
      </c>
      <c r="CF222" s="5">
        <f>IF($B221&lt;=Tabla5[[#This Row],[INVERSIONES FCI]],+Tabla5[[#This Row],[INVERSIONES FCI]]-CF221,Tabla5[[#This Row],[INVERSIONES FCI]])</f>
        <v>912409240.71644974</v>
      </c>
      <c r="CG222" s="5">
        <f>IF($B221&lt;=Tabla5[[#This Row],[INVERSIONES FCI]],+Tabla5[[#This Row],[INVERSIONES FCI]]-CG221,Tabla5[[#This Row],[INVERSIONES FCI]])</f>
        <v>912409240.71644974</v>
      </c>
      <c r="CH222" s="5">
        <f>IF($B221&lt;=Tabla5[[#This Row],[INVERSIONES FCI]],+Tabla5[[#This Row],[INVERSIONES FCI]]-CH221,Tabla5[[#This Row],[INVERSIONES FCI]])</f>
        <v>912409240.71644974</v>
      </c>
      <c r="CI222" s="5">
        <f>IF($B221&lt;=Tabla5[[#This Row],[INVERSIONES FCI]],+Tabla5[[#This Row],[INVERSIONES FCI]]-CI221,Tabla5[[#This Row],[INVERSIONES FCI]])</f>
        <v>912409240.71644974</v>
      </c>
      <c r="CJ222" s="5">
        <f>IF($B221&lt;=Tabla5[[#This Row],[INVERSIONES FCI]],+Tabla5[[#This Row],[INVERSIONES FCI]]-CJ221,Tabla5[[#This Row],[INVERSIONES FCI]])</f>
        <v>912409240.71644974</v>
      </c>
      <c r="CK222" s="5">
        <f>IF($B221&lt;=Tabla5[[#This Row],[INVERSIONES FCI]],+Tabla5[[#This Row],[INVERSIONES FCI]]-CK221,Tabla5[[#This Row],[INVERSIONES FCI]])</f>
        <v>912409240.71644974</v>
      </c>
      <c r="CL222" s="5">
        <f>IF($B221&lt;=Tabla5[[#This Row],[INVERSIONES FCI]],+Tabla5[[#This Row],[INVERSIONES FCI]]-CL221,Tabla5[[#This Row],[INVERSIONES FCI]])</f>
        <v>912409240.71644974</v>
      </c>
      <c r="CM222" s="5">
        <f>IF($B221&lt;=Tabla5[[#This Row],[INVERSIONES FCI]],+Tabla5[[#This Row],[INVERSIONES FCI]]-CM221,Tabla5[[#This Row],[INVERSIONES FCI]])</f>
        <v>912409240.71644974</v>
      </c>
      <c r="CN222" s="5">
        <f>IF($B221&lt;=Tabla5[[#This Row],[INVERSIONES FCI]],+Tabla5[[#This Row],[INVERSIONES FCI]]-CN221,Tabla5[[#This Row],[INVERSIONES FCI]])</f>
        <v>912409240.71644974</v>
      </c>
      <c r="CO222" s="5">
        <f>IF($B221&lt;=Tabla5[[#This Row],[INVERSIONES FCI]],+Tabla5[[#This Row],[INVERSIONES FCI]]-CO221,Tabla5[[#This Row],[INVERSIONES FCI]])</f>
        <v>912409240.71644974</v>
      </c>
      <c r="CP222" s="5">
        <f>IF($B221&lt;=Tabla5[[#This Row],[INVERSIONES FCI]],+Tabla5[[#This Row],[INVERSIONES FCI]]-CP221,Tabla5[[#This Row],[INVERSIONES FCI]])</f>
        <v>912409240.71644974</v>
      </c>
      <c r="CQ222" s="5">
        <f>IF($B221&lt;=Tabla5[[#This Row],[INVERSIONES FCI]],+Tabla5[[#This Row],[INVERSIONES FCI]]-CQ221,Tabla5[[#This Row],[INVERSIONES FCI]])</f>
        <v>912409240.71644974</v>
      </c>
      <c r="CR222" s="5">
        <f>IF($B221&lt;=Tabla5[[#This Row],[INVERSIONES FCI]],+Tabla5[[#This Row],[INVERSIONES FCI]]-CR221,Tabla5[[#This Row],[INVERSIONES FCI]])</f>
        <v>912409240.71644974</v>
      </c>
      <c r="CS222" s="5">
        <f>IF($B221&lt;=Tabla5[[#This Row],[INVERSIONES FCI]],+Tabla5[[#This Row],[INVERSIONES FCI]]-CS221,Tabla5[[#This Row],[INVERSIONES FCI]])</f>
        <v>912409240.71644974</v>
      </c>
      <c r="CT222" s="5">
        <f>IF($B221&lt;=Tabla5[[#This Row],[INVERSIONES FCI]],+Tabla5[[#This Row],[INVERSIONES FCI]]-CT221,Tabla5[[#This Row],[INVERSIONES FCI]])</f>
        <v>912409240.71644974</v>
      </c>
      <c r="CU222" s="5">
        <f>IF($B221&lt;=Tabla5[[#This Row],[INVERSIONES FCI]],+Tabla5[[#This Row],[INVERSIONES FCI]]-CU221,Tabla5[[#This Row],[INVERSIONES FCI]])</f>
        <v>912409240.71644974</v>
      </c>
      <c r="CV222" s="5">
        <f>IF($B221&lt;=Tabla5[[#This Row],[INVERSIONES FCI]],+Tabla5[[#This Row],[INVERSIONES FCI]]-CV221,Tabla5[[#This Row],[INVERSIONES FCI]])</f>
        <v>912409240.71644974</v>
      </c>
      <c r="CW222" s="5">
        <f>IF($B221&lt;=Tabla5[[#This Row],[INVERSIONES FCI]],+Tabla5[[#This Row],[INVERSIONES FCI]]-CW221,Tabla5[[#This Row],[INVERSIONES FCI]])</f>
        <v>912409240.71644974</v>
      </c>
      <c r="CX222" s="5">
        <f>IF($B221&lt;=Tabla5[[#This Row],[INVERSIONES FCI]],+Tabla5[[#This Row],[INVERSIONES FCI]]-CX221,Tabla5[[#This Row],[INVERSIONES FCI]])</f>
        <v>912409240.71644974</v>
      </c>
      <c r="CY222" s="5">
        <f>IF($B221&lt;=Tabla5[[#This Row],[INVERSIONES FCI]],+Tabla5[[#This Row],[INVERSIONES FCI]]-CY221,Tabla5[[#This Row],[INVERSIONES FCI]])</f>
        <v>912409240.71644974</v>
      </c>
      <c r="CZ222" s="5">
        <f>IF($B221&lt;=Tabla5[[#This Row],[INVERSIONES FCI]],+Tabla5[[#This Row],[INVERSIONES FCI]]-CZ221,Tabla5[[#This Row],[INVERSIONES FCI]])</f>
        <v>912409240.71644974</v>
      </c>
      <c r="DA222" s="5">
        <f>IF($B221&lt;=Tabla5[[#This Row],[INVERSIONES FCI]],+Tabla5[[#This Row],[INVERSIONES FCI]]-DA221,Tabla5[[#This Row],[INVERSIONES FCI]])</f>
        <v>912409240.71644974</v>
      </c>
      <c r="DB222" s="5">
        <f>IF($B221&lt;=Tabla5[[#This Row],[INVERSIONES FCI]],+Tabla5[[#This Row],[INVERSIONES FCI]]-DB221,Tabla5[[#This Row],[INVERSIONES FCI]])</f>
        <v>912409240.71644974</v>
      </c>
      <c r="DC222" s="5">
        <f>IF($B221&lt;=Tabla5[[#This Row],[INVERSIONES FCI]],+Tabla5[[#This Row],[INVERSIONES FCI]]-DC221,Tabla5[[#This Row],[INVERSIONES FCI]])</f>
        <v>912409240.71644974</v>
      </c>
      <c r="DD222" s="5">
        <f>IF($B221&lt;=Tabla5[[#This Row],[INVERSIONES FCI]],+Tabla5[[#This Row],[INVERSIONES FCI]]-DD221,Tabla5[[#This Row],[INVERSIONES FCI]])</f>
        <v>912409240.71644974</v>
      </c>
      <c r="DE222" s="5">
        <f>IF($B221&lt;=Tabla5[[#This Row],[INVERSIONES FCI]],+Tabla5[[#This Row],[INVERSIONES FCI]]-DE221,Tabla5[[#This Row],[INVERSIONES FCI]])</f>
        <v>912409240.71644974</v>
      </c>
      <c r="DF222" s="5">
        <f>IF($B221&lt;=Tabla5[[#This Row],[INVERSIONES FCI]],+Tabla5[[#This Row],[INVERSIONES FCI]]-DF221,Tabla5[[#This Row],[INVERSIONES FCI]])</f>
        <v>912409240.71644974</v>
      </c>
      <c r="DG222" s="5">
        <f>IF($B221&lt;=Tabla5[[#This Row],[INVERSIONES FCI]],+Tabla5[[#This Row],[INVERSIONES FCI]]-DG221,Tabla5[[#This Row],[INVERSIONES FCI]])</f>
        <v>912409240.71644974</v>
      </c>
      <c r="DH222" s="5">
        <f>IF($B221&lt;=Tabla5[[#This Row],[INVERSIONES FCI]],+Tabla5[[#This Row],[INVERSIONES FCI]]-DH221,Tabla5[[#This Row],[INVERSIONES FCI]])</f>
        <v>912409240.71644974</v>
      </c>
      <c r="DI222" s="5">
        <f>IF($B221&lt;=Tabla5[[#This Row],[INVERSIONES FCI]],+Tabla5[[#This Row],[INVERSIONES FCI]]-DI221,Tabla5[[#This Row],[INVERSIONES FCI]])</f>
        <v>912409240.71644974</v>
      </c>
      <c r="DJ222" s="5">
        <f>IF($B221&lt;=Tabla5[[#This Row],[INVERSIONES FCI]],+Tabla5[[#This Row],[INVERSIONES FCI]]-DJ221,Tabla5[[#This Row],[INVERSIONES FCI]])</f>
        <v>912409240.71644974</v>
      </c>
      <c r="DK222" s="5">
        <f>IF($B221&lt;=Tabla5[[#This Row],[INVERSIONES FCI]],+Tabla5[[#This Row],[INVERSIONES FCI]]-DK221,Tabla5[[#This Row],[INVERSIONES FCI]])</f>
        <v>912409240.71644974</v>
      </c>
      <c r="DL222" s="5"/>
      <c r="DM222" s="5"/>
      <c r="DN222" s="5"/>
      <c r="DO222" s="5"/>
      <c r="DP222" s="5"/>
      <c r="DQ222" s="5"/>
    </row>
    <row r="223" spans="1:121" ht="14.4">
      <c r="A223" s="12" t="s">
        <v>222</v>
      </c>
      <c r="B223" s="5">
        <f>HLOOKUP($A223,ESCENARIO[#All],7,FALSE)</f>
        <v>32099331524.52071</v>
      </c>
      <c r="C223" s="5">
        <f>IF($B222&lt;=Tabla5[[#This Row],[INVERSIONES FCI]],+Tabla5[[#This Row],[INVERSIONES FCI]]-C222,Tabla5[[#This Row],[INVERSIONES FCI]])</f>
        <v>31186922283.80426</v>
      </c>
      <c r="D223" s="5">
        <f>IF($B222&lt;=Tabla5[[#This Row],[INVERSIONES FCI]],+Tabla5[[#This Row],[INVERSIONES FCI]]-D222,Tabla5[[#This Row],[INVERSIONES FCI]])</f>
        <v>31186922283.80426</v>
      </c>
      <c r="E223" s="5">
        <f>IF($B222&lt;=Tabla5[[#This Row],[INVERSIONES FCI]],+Tabla5[[#This Row],[INVERSIONES FCI]]-E222,Tabla5[[#This Row],[INVERSIONES FCI]])</f>
        <v>31186922283.80426</v>
      </c>
      <c r="F223" s="5">
        <f>IF($B222&lt;=Tabla5[[#This Row],[INVERSIONES FCI]],+Tabla5[[#This Row],[INVERSIONES FCI]]-F222,Tabla5[[#This Row],[INVERSIONES FCI]])</f>
        <v>31186922283.80426</v>
      </c>
      <c r="G223" s="5">
        <f>IF($B222&lt;=Tabla5[[#This Row],[INVERSIONES FCI]],+Tabla5[[#This Row],[INVERSIONES FCI]]-G222,Tabla5[[#This Row],[INVERSIONES FCI]])</f>
        <v>31186922283.80426</v>
      </c>
      <c r="H223" s="5">
        <f>IF($B222&lt;=Tabla5[[#This Row],[INVERSIONES FCI]],+Tabla5[[#This Row],[INVERSIONES FCI]]-H222,Tabla5[[#This Row],[INVERSIONES FCI]])</f>
        <v>31186922283.80426</v>
      </c>
      <c r="I223" s="5">
        <f>IF($B222&lt;=Tabla5[[#This Row],[INVERSIONES FCI]],+Tabla5[[#This Row],[INVERSIONES FCI]]-I222,Tabla5[[#This Row],[INVERSIONES FCI]])</f>
        <v>31186922283.80426</v>
      </c>
      <c r="J223" s="5">
        <f>IF($B222&lt;=Tabla5[[#This Row],[INVERSIONES FCI]],+Tabla5[[#This Row],[INVERSIONES FCI]]-J222,Tabla5[[#This Row],[INVERSIONES FCI]])</f>
        <v>31186922283.80426</v>
      </c>
      <c r="K223" s="5">
        <f>IF($B222&lt;=Tabla5[[#This Row],[INVERSIONES FCI]],+Tabla5[[#This Row],[INVERSIONES FCI]]-K222,Tabla5[[#This Row],[INVERSIONES FCI]])</f>
        <v>31186922283.80426</v>
      </c>
      <c r="L223" s="5">
        <f>IF($B222&lt;=Tabla5[[#This Row],[INVERSIONES FCI]],+Tabla5[[#This Row],[INVERSIONES FCI]]-L222,Tabla5[[#This Row],[INVERSIONES FCI]])</f>
        <v>31186922283.80426</v>
      </c>
      <c r="M223" s="5">
        <f>IF($B222&lt;=Tabla5[[#This Row],[INVERSIONES FCI]],+Tabla5[[#This Row],[INVERSIONES FCI]]-M222,Tabla5[[#This Row],[INVERSIONES FCI]])</f>
        <v>31186922283.80426</v>
      </c>
      <c r="N223" s="5">
        <f>IF($B222&lt;=Tabla5[[#This Row],[INVERSIONES FCI]],+Tabla5[[#This Row],[INVERSIONES FCI]]-N222,Tabla5[[#This Row],[INVERSIONES FCI]])</f>
        <v>31186922283.80426</v>
      </c>
      <c r="O223" s="5">
        <f>IF($B222&lt;=Tabla5[[#This Row],[INVERSIONES FCI]],+Tabla5[[#This Row],[INVERSIONES FCI]]-O222,Tabla5[[#This Row],[INVERSIONES FCI]])</f>
        <v>31186922283.80426</v>
      </c>
      <c r="P223" s="5">
        <f>IF($B222&lt;=Tabla5[[#This Row],[INVERSIONES FCI]],+Tabla5[[#This Row],[INVERSIONES FCI]]-P222,Tabla5[[#This Row],[INVERSIONES FCI]])</f>
        <v>31186922283.80426</v>
      </c>
      <c r="Q223" s="5">
        <f>IF($B222&lt;=Tabla5[[#This Row],[INVERSIONES FCI]],+Tabla5[[#This Row],[INVERSIONES FCI]]-Q222,Tabla5[[#This Row],[INVERSIONES FCI]])</f>
        <v>31186922283.80426</v>
      </c>
      <c r="R223" s="5">
        <f>IF($B222&lt;=Tabla5[[#This Row],[INVERSIONES FCI]],+Tabla5[[#This Row],[INVERSIONES FCI]]-R222,Tabla5[[#This Row],[INVERSIONES FCI]])</f>
        <v>31186922283.80426</v>
      </c>
      <c r="S223" s="5">
        <f>IF($B222&lt;=Tabla5[[#This Row],[INVERSIONES FCI]],+Tabla5[[#This Row],[INVERSIONES FCI]]-S222,Tabla5[[#This Row],[INVERSIONES FCI]])</f>
        <v>31186922283.80426</v>
      </c>
      <c r="T223" s="5">
        <f>IF($B222&lt;=Tabla5[[#This Row],[INVERSIONES FCI]],+Tabla5[[#This Row],[INVERSIONES FCI]]-T222,Tabla5[[#This Row],[INVERSIONES FCI]])</f>
        <v>31186922283.80426</v>
      </c>
      <c r="U223" s="5">
        <f>IF($B222&lt;=Tabla5[[#This Row],[INVERSIONES FCI]],+Tabla5[[#This Row],[INVERSIONES FCI]]-U222,Tabla5[[#This Row],[INVERSIONES FCI]])</f>
        <v>31186922283.80426</v>
      </c>
      <c r="V223" s="5">
        <f>IF($B222&lt;=Tabla5[[#This Row],[INVERSIONES FCI]],+Tabla5[[#This Row],[INVERSIONES FCI]]-V222,Tabla5[[#This Row],[INVERSIONES FCI]])</f>
        <v>31186922283.80426</v>
      </c>
      <c r="W223" s="5">
        <f>IF($B222&lt;=Tabla5[[#This Row],[INVERSIONES FCI]],+Tabla5[[#This Row],[INVERSIONES FCI]]-W222,Tabla5[[#This Row],[INVERSIONES FCI]])</f>
        <v>31186922283.80426</v>
      </c>
      <c r="X223" s="5">
        <f>IF($B222&lt;=Tabla5[[#This Row],[INVERSIONES FCI]],+Tabla5[[#This Row],[INVERSIONES FCI]]-X222,Tabla5[[#This Row],[INVERSIONES FCI]])</f>
        <v>31186922283.80426</v>
      </c>
      <c r="Y223" s="5">
        <f>IF($B222&lt;=Tabla5[[#This Row],[INVERSIONES FCI]],+Tabla5[[#This Row],[INVERSIONES FCI]]-Y222,Tabla5[[#This Row],[INVERSIONES FCI]])</f>
        <v>31186922283.80426</v>
      </c>
      <c r="Z223" s="5">
        <f>IF($B222&lt;=Tabla5[[#This Row],[INVERSIONES FCI]],+Tabla5[[#This Row],[INVERSIONES FCI]]-Z222,Tabla5[[#This Row],[INVERSIONES FCI]])</f>
        <v>31186922283.80426</v>
      </c>
      <c r="AA223" s="5">
        <f>IF($B222&lt;=Tabla5[[#This Row],[INVERSIONES FCI]],+Tabla5[[#This Row],[INVERSIONES FCI]]-AA222,Tabla5[[#This Row],[INVERSIONES FCI]])</f>
        <v>31186922283.80426</v>
      </c>
      <c r="AB223" s="5">
        <f>IF($B222&lt;=Tabla5[[#This Row],[INVERSIONES FCI]],+Tabla5[[#This Row],[INVERSIONES FCI]]-AB222,Tabla5[[#This Row],[INVERSIONES FCI]])</f>
        <v>31186922283.80426</v>
      </c>
      <c r="AC223" s="5">
        <f>IF($B222&lt;=Tabla5[[#This Row],[INVERSIONES FCI]],+Tabla5[[#This Row],[INVERSIONES FCI]]-AC222,Tabla5[[#This Row],[INVERSIONES FCI]])</f>
        <v>31186922283.80426</v>
      </c>
      <c r="AD223" s="5">
        <f>IF($B222&lt;=Tabla5[[#This Row],[INVERSIONES FCI]],+Tabla5[[#This Row],[INVERSIONES FCI]]-AD222,Tabla5[[#This Row],[INVERSIONES FCI]])</f>
        <v>31186922283.80426</v>
      </c>
      <c r="AE223" s="5">
        <f>IF($B222&lt;=Tabla5[[#This Row],[INVERSIONES FCI]],+Tabla5[[#This Row],[INVERSIONES FCI]]-AE222,Tabla5[[#This Row],[INVERSIONES FCI]])</f>
        <v>31186922283.80426</v>
      </c>
      <c r="AF223" s="5">
        <f>IF($B222&lt;=Tabla5[[#This Row],[INVERSIONES FCI]],+Tabla5[[#This Row],[INVERSIONES FCI]]-AF222,Tabla5[[#This Row],[INVERSIONES FCI]])</f>
        <v>31186922283.80426</v>
      </c>
      <c r="AG223" s="5">
        <f>IF($B222&lt;=Tabla5[[#This Row],[INVERSIONES FCI]],+Tabla5[[#This Row],[INVERSIONES FCI]]-AG222,Tabla5[[#This Row],[INVERSIONES FCI]])</f>
        <v>31186922283.80426</v>
      </c>
      <c r="AH223" s="5">
        <f>IF($B222&lt;=Tabla5[[#This Row],[INVERSIONES FCI]],+Tabla5[[#This Row],[INVERSIONES FCI]]-AH222,Tabla5[[#This Row],[INVERSIONES FCI]])</f>
        <v>31186922283.80426</v>
      </c>
      <c r="AI223" s="5">
        <f>IF($B222&lt;=Tabla5[[#This Row],[INVERSIONES FCI]],+Tabla5[[#This Row],[INVERSIONES FCI]]-AI222,Tabla5[[#This Row],[INVERSIONES FCI]])</f>
        <v>31186922283.80426</v>
      </c>
      <c r="AJ223" s="5">
        <f>IF($B222&lt;=Tabla5[[#This Row],[INVERSIONES FCI]],+Tabla5[[#This Row],[INVERSIONES FCI]]-AJ222,Tabla5[[#This Row],[INVERSIONES FCI]])</f>
        <v>31186922283.80426</v>
      </c>
      <c r="AK223" s="5">
        <f>IF($B222&lt;=Tabla5[[#This Row],[INVERSIONES FCI]],+Tabla5[[#This Row],[INVERSIONES FCI]]-AK222,Tabla5[[#This Row],[INVERSIONES FCI]])</f>
        <v>31186922283.80426</v>
      </c>
      <c r="AL223" s="5">
        <f>IF($B222&lt;=Tabla5[[#This Row],[INVERSIONES FCI]],+Tabla5[[#This Row],[INVERSIONES FCI]]-AL222,Tabla5[[#This Row],[INVERSIONES FCI]])</f>
        <v>31186922283.80426</v>
      </c>
      <c r="AM223" s="5">
        <f>IF($B222&lt;=Tabla5[[#This Row],[INVERSIONES FCI]],+Tabla5[[#This Row],[INVERSIONES FCI]]-AM222,Tabla5[[#This Row],[INVERSIONES FCI]])</f>
        <v>31186922283.80426</v>
      </c>
      <c r="AN223" s="5">
        <f>IF($B222&lt;=Tabla5[[#This Row],[INVERSIONES FCI]],+Tabla5[[#This Row],[INVERSIONES FCI]]-AN222,Tabla5[[#This Row],[INVERSIONES FCI]])</f>
        <v>31186922283.80426</v>
      </c>
      <c r="AO223" s="5">
        <f>IF($B222&lt;=Tabla5[[#This Row],[INVERSIONES FCI]],+Tabla5[[#This Row],[INVERSIONES FCI]]-AO222,Tabla5[[#This Row],[INVERSIONES FCI]])</f>
        <v>31186922283.80426</v>
      </c>
      <c r="AP223" s="5">
        <f>IF($B222&lt;=Tabla5[[#This Row],[INVERSIONES FCI]],+Tabla5[[#This Row],[INVERSIONES FCI]]-AP222,Tabla5[[#This Row],[INVERSIONES FCI]])</f>
        <v>31186922283.80426</v>
      </c>
      <c r="AQ223" s="5">
        <f>IF($B222&lt;=Tabla5[[#This Row],[INVERSIONES FCI]],+Tabla5[[#This Row],[INVERSIONES FCI]]-AQ222,Tabla5[[#This Row],[INVERSIONES FCI]])</f>
        <v>31186922283.80426</v>
      </c>
      <c r="AR223" s="5">
        <f>IF($B222&lt;=Tabla5[[#This Row],[INVERSIONES FCI]],+Tabla5[[#This Row],[INVERSIONES FCI]]-AR222,Tabla5[[#This Row],[INVERSIONES FCI]])</f>
        <v>31186922283.80426</v>
      </c>
      <c r="AS223" s="5">
        <f>IF($B222&lt;=Tabla5[[#This Row],[INVERSIONES FCI]],+Tabla5[[#This Row],[INVERSIONES FCI]]-AS222,Tabla5[[#This Row],[INVERSIONES FCI]])</f>
        <v>31186922283.80426</v>
      </c>
      <c r="AT223" s="5">
        <f>IF($B222&lt;=Tabla5[[#This Row],[INVERSIONES FCI]],+Tabla5[[#This Row],[INVERSIONES FCI]]-AT222,Tabla5[[#This Row],[INVERSIONES FCI]])</f>
        <v>31186922283.80426</v>
      </c>
      <c r="AU223" s="5">
        <f>IF($B222&lt;=Tabla5[[#This Row],[INVERSIONES FCI]],+Tabla5[[#This Row],[INVERSIONES FCI]]-AU222,Tabla5[[#This Row],[INVERSIONES FCI]])</f>
        <v>31186922283.80426</v>
      </c>
      <c r="AV223" s="5">
        <f>IF($B222&lt;=Tabla5[[#This Row],[INVERSIONES FCI]],+Tabla5[[#This Row],[INVERSIONES FCI]]-AV222,Tabla5[[#This Row],[INVERSIONES FCI]])</f>
        <v>31186922283.80426</v>
      </c>
      <c r="AW223" s="5">
        <f>IF($B222&lt;=Tabla5[[#This Row],[INVERSIONES FCI]],+Tabla5[[#This Row],[INVERSIONES FCI]]-AW222,Tabla5[[#This Row],[INVERSIONES FCI]])</f>
        <v>31186922283.80426</v>
      </c>
      <c r="AX223" s="5">
        <f>IF($B222&lt;=Tabla5[[#This Row],[INVERSIONES FCI]],+Tabla5[[#This Row],[INVERSIONES FCI]]-AX222,Tabla5[[#This Row],[INVERSIONES FCI]])</f>
        <v>31186922283.80426</v>
      </c>
      <c r="AY223" s="5">
        <f>IF($B222&lt;=Tabla5[[#This Row],[INVERSIONES FCI]],+Tabla5[[#This Row],[INVERSIONES FCI]]-AY222,Tabla5[[#This Row],[INVERSIONES FCI]])</f>
        <v>31186922283.80426</v>
      </c>
      <c r="AZ223" s="5">
        <f>IF($B222&lt;=Tabla5[[#This Row],[INVERSIONES FCI]],+Tabla5[[#This Row],[INVERSIONES FCI]]-AZ222,Tabla5[[#This Row],[INVERSIONES FCI]])</f>
        <v>31186922283.80426</v>
      </c>
      <c r="BA223" s="5">
        <f>IF($B222&lt;=Tabla5[[#This Row],[INVERSIONES FCI]],+Tabla5[[#This Row],[INVERSIONES FCI]]-BA222,Tabla5[[#This Row],[INVERSIONES FCI]])</f>
        <v>31186922283.80426</v>
      </c>
      <c r="BB223" s="5">
        <f>IF($B222&lt;=Tabla5[[#This Row],[INVERSIONES FCI]],+Tabla5[[#This Row],[INVERSIONES FCI]]-BB222,Tabla5[[#This Row],[INVERSIONES FCI]])</f>
        <v>31186922283.80426</v>
      </c>
      <c r="BC223" s="5">
        <f>IF($B222&lt;=Tabla5[[#This Row],[INVERSIONES FCI]],+Tabla5[[#This Row],[INVERSIONES FCI]]-BC222,Tabla5[[#This Row],[INVERSIONES FCI]])</f>
        <v>31186922283.80426</v>
      </c>
      <c r="BD223" s="5">
        <f>IF($B222&lt;=Tabla5[[#This Row],[INVERSIONES FCI]],+Tabla5[[#This Row],[INVERSIONES FCI]]-BD222,Tabla5[[#This Row],[INVERSIONES FCI]])</f>
        <v>31186922283.80426</v>
      </c>
      <c r="BE223" s="5">
        <f>IF($B222&lt;=Tabla5[[#This Row],[INVERSIONES FCI]],+Tabla5[[#This Row],[INVERSIONES FCI]]-BE222,Tabla5[[#This Row],[INVERSIONES FCI]])</f>
        <v>31186922283.80426</v>
      </c>
      <c r="BF223" s="5">
        <f>IF($B222&lt;=Tabla5[[#This Row],[INVERSIONES FCI]],+Tabla5[[#This Row],[INVERSIONES FCI]]-BF222,Tabla5[[#This Row],[INVERSIONES FCI]])</f>
        <v>31186922283.80426</v>
      </c>
      <c r="BG223" s="5">
        <f>IF($B222&lt;=Tabla5[[#This Row],[INVERSIONES FCI]],+Tabla5[[#This Row],[INVERSIONES FCI]]-BG222,Tabla5[[#This Row],[INVERSIONES FCI]])</f>
        <v>31186922283.80426</v>
      </c>
      <c r="BH223" s="5">
        <f>IF($B222&lt;=Tabla5[[#This Row],[INVERSIONES FCI]],+Tabla5[[#This Row],[INVERSIONES FCI]]-BH222,Tabla5[[#This Row],[INVERSIONES FCI]])</f>
        <v>31186922283.80426</v>
      </c>
      <c r="BI223" s="5">
        <f>IF($B222&lt;=Tabla5[[#This Row],[INVERSIONES FCI]],+Tabla5[[#This Row],[INVERSIONES FCI]]-BI222,Tabla5[[#This Row],[INVERSIONES FCI]])</f>
        <v>31186922283.80426</v>
      </c>
      <c r="BJ223" s="5">
        <f>IF($B222&lt;=Tabla5[[#This Row],[INVERSIONES FCI]],+Tabla5[[#This Row],[INVERSIONES FCI]]-BJ222,Tabla5[[#This Row],[INVERSIONES FCI]])</f>
        <v>31186922283.80426</v>
      </c>
      <c r="BK223" s="5">
        <f>IF($B222&lt;=Tabla5[[#This Row],[INVERSIONES FCI]],+Tabla5[[#This Row],[INVERSIONES FCI]]-BK222,Tabla5[[#This Row],[INVERSIONES FCI]])</f>
        <v>31186922283.80426</v>
      </c>
      <c r="BL223" s="5">
        <f>IF($B222&lt;=Tabla5[[#This Row],[INVERSIONES FCI]],+Tabla5[[#This Row],[INVERSIONES FCI]]-BL222,Tabla5[[#This Row],[INVERSIONES FCI]])</f>
        <v>31186922283.80426</v>
      </c>
      <c r="BM223" s="5">
        <f>IF($B222&lt;=Tabla5[[#This Row],[INVERSIONES FCI]],+Tabla5[[#This Row],[INVERSIONES FCI]]-BM222,Tabla5[[#This Row],[INVERSIONES FCI]])</f>
        <v>31186922283.80426</v>
      </c>
      <c r="BN223" s="5">
        <f>IF($B222&lt;=Tabla5[[#This Row],[INVERSIONES FCI]],+Tabla5[[#This Row],[INVERSIONES FCI]]-BN222,Tabla5[[#This Row],[INVERSIONES FCI]])</f>
        <v>31186922283.80426</v>
      </c>
      <c r="BO223" s="5">
        <f>IF($B222&lt;=Tabla5[[#This Row],[INVERSIONES FCI]],+Tabla5[[#This Row],[INVERSIONES FCI]]-BO222,Tabla5[[#This Row],[INVERSIONES FCI]])</f>
        <v>31186922283.80426</v>
      </c>
      <c r="BP223" s="5">
        <f>IF($B222&lt;=Tabla5[[#This Row],[INVERSIONES FCI]],+Tabla5[[#This Row],[INVERSIONES FCI]]-BP222,Tabla5[[#This Row],[INVERSIONES FCI]])</f>
        <v>31186922283.80426</v>
      </c>
      <c r="BQ223" s="5">
        <f>IF($B222&lt;=Tabla5[[#This Row],[INVERSIONES FCI]],+Tabla5[[#This Row],[INVERSIONES FCI]]-BQ222,Tabla5[[#This Row],[INVERSIONES FCI]])</f>
        <v>31186922283.80426</v>
      </c>
      <c r="BR223" s="5">
        <f>IF($B222&lt;=Tabla5[[#This Row],[INVERSIONES FCI]],+Tabla5[[#This Row],[INVERSIONES FCI]]-BR222,Tabla5[[#This Row],[INVERSIONES FCI]])</f>
        <v>31186922283.80426</v>
      </c>
      <c r="BS223" s="5">
        <f>IF($B222&lt;=Tabla5[[#This Row],[INVERSIONES FCI]],+Tabla5[[#This Row],[INVERSIONES FCI]]-BS222,Tabla5[[#This Row],[INVERSIONES FCI]])</f>
        <v>31186922283.80426</v>
      </c>
      <c r="BT223" s="5">
        <f>IF($B222&lt;=Tabla5[[#This Row],[INVERSIONES FCI]],+Tabla5[[#This Row],[INVERSIONES FCI]]-BT222,Tabla5[[#This Row],[INVERSIONES FCI]])</f>
        <v>31186922283.80426</v>
      </c>
      <c r="BU223" s="5">
        <f>IF($B222&lt;=Tabla5[[#This Row],[INVERSIONES FCI]],+Tabla5[[#This Row],[INVERSIONES FCI]]-BU222,Tabla5[[#This Row],[INVERSIONES FCI]])</f>
        <v>31186922283.80426</v>
      </c>
      <c r="BV223" s="5">
        <f>IF($B222&lt;=Tabla5[[#This Row],[INVERSIONES FCI]],+Tabla5[[#This Row],[INVERSIONES FCI]]-BV222,Tabla5[[#This Row],[INVERSIONES FCI]])</f>
        <v>31186922283.80426</v>
      </c>
      <c r="BW223" s="5">
        <f>IF($B222&lt;=Tabla5[[#This Row],[INVERSIONES FCI]],+Tabla5[[#This Row],[INVERSIONES FCI]]-BW222,Tabla5[[#This Row],[INVERSIONES FCI]])</f>
        <v>31186922283.80426</v>
      </c>
      <c r="BX223" s="5">
        <f>IF($B222&lt;=Tabla5[[#This Row],[INVERSIONES FCI]],+Tabla5[[#This Row],[INVERSIONES FCI]]-BX222,Tabla5[[#This Row],[INVERSIONES FCI]])</f>
        <v>31186922283.80426</v>
      </c>
      <c r="BY223" s="5">
        <f>IF($B222&lt;=Tabla5[[#This Row],[INVERSIONES FCI]],+Tabla5[[#This Row],[INVERSIONES FCI]]-BY222,Tabla5[[#This Row],[INVERSIONES FCI]])</f>
        <v>31186922283.80426</v>
      </c>
      <c r="BZ223" s="5">
        <f>IF($B222&lt;=Tabla5[[#This Row],[INVERSIONES FCI]],+Tabla5[[#This Row],[INVERSIONES FCI]]-BZ222,Tabla5[[#This Row],[INVERSIONES FCI]])</f>
        <v>31186922283.80426</v>
      </c>
      <c r="CA223" s="5">
        <f>IF($B222&lt;=Tabla5[[#This Row],[INVERSIONES FCI]],+Tabla5[[#This Row],[INVERSIONES FCI]]-CA222,Tabla5[[#This Row],[INVERSIONES FCI]])</f>
        <v>31186922283.80426</v>
      </c>
      <c r="CB223" s="5">
        <f>IF($B222&lt;=Tabla5[[#This Row],[INVERSIONES FCI]],+Tabla5[[#This Row],[INVERSIONES FCI]]-CB222,Tabla5[[#This Row],[INVERSIONES FCI]])</f>
        <v>31186922283.80426</v>
      </c>
      <c r="CC223" s="5">
        <f>IF($B222&lt;=Tabla5[[#This Row],[INVERSIONES FCI]],+Tabla5[[#This Row],[INVERSIONES FCI]]-CC222,Tabla5[[#This Row],[INVERSIONES FCI]])</f>
        <v>31186922283.80426</v>
      </c>
      <c r="CD223" s="5">
        <f>IF($B222&lt;=Tabla5[[#This Row],[INVERSIONES FCI]],+Tabla5[[#This Row],[INVERSIONES FCI]]-CD222,Tabla5[[#This Row],[INVERSIONES FCI]])</f>
        <v>31186922283.80426</v>
      </c>
      <c r="CE223" s="5">
        <f>IF($B222&lt;=Tabla5[[#This Row],[INVERSIONES FCI]],+Tabla5[[#This Row],[INVERSIONES FCI]]-CE222,Tabla5[[#This Row],[INVERSIONES FCI]])</f>
        <v>31186922283.80426</v>
      </c>
      <c r="CF223" s="5">
        <f>IF($B222&lt;=Tabla5[[#This Row],[INVERSIONES FCI]],+Tabla5[[#This Row],[INVERSIONES FCI]]-CF222,Tabla5[[#This Row],[INVERSIONES FCI]])</f>
        <v>31186922283.80426</v>
      </c>
      <c r="CG223" s="5">
        <f>IF($B222&lt;=Tabla5[[#This Row],[INVERSIONES FCI]],+Tabla5[[#This Row],[INVERSIONES FCI]]-CG222,Tabla5[[#This Row],[INVERSIONES FCI]])</f>
        <v>31186922283.80426</v>
      </c>
      <c r="CH223" s="5">
        <f>IF($B222&lt;=Tabla5[[#This Row],[INVERSIONES FCI]],+Tabla5[[#This Row],[INVERSIONES FCI]]-CH222,Tabla5[[#This Row],[INVERSIONES FCI]])</f>
        <v>31186922283.80426</v>
      </c>
      <c r="CI223" s="5">
        <f>IF($B222&lt;=Tabla5[[#This Row],[INVERSIONES FCI]],+Tabla5[[#This Row],[INVERSIONES FCI]]-CI222,Tabla5[[#This Row],[INVERSIONES FCI]])</f>
        <v>31186922283.80426</v>
      </c>
      <c r="CJ223" s="5">
        <f>IF($B222&lt;=Tabla5[[#This Row],[INVERSIONES FCI]],+Tabla5[[#This Row],[INVERSIONES FCI]]-CJ222,Tabla5[[#This Row],[INVERSIONES FCI]])</f>
        <v>31186922283.80426</v>
      </c>
      <c r="CK223" s="5">
        <f>IF($B222&lt;=Tabla5[[#This Row],[INVERSIONES FCI]],+Tabla5[[#This Row],[INVERSIONES FCI]]-CK222,Tabla5[[#This Row],[INVERSIONES FCI]])</f>
        <v>31186922283.80426</v>
      </c>
      <c r="CL223" s="5">
        <f>IF($B222&lt;=Tabla5[[#This Row],[INVERSIONES FCI]],+Tabla5[[#This Row],[INVERSIONES FCI]]-CL222,Tabla5[[#This Row],[INVERSIONES FCI]])</f>
        <v>31186922283.80426</v>
      </c>
      <c r="CM223" s="5">
        <f>IF($B222&lt;=Tabla5[[#This Row],[INVERSIONES FCI]],+Tabla5[[#This Row],[INVERSIONES FCI]]-CM222,Tabla5[[#This Row],[INVERSIONES FCI]])</f>
        <v>31186922283.80426</v>
      </c>
      <c r="CN223" s="5">
        <f>IF($B222&lt;=Tabla5[[#This Row],[INVERSIONES FCI]],+Tabla5[[#This Row],[INVERSIONES FCI]]-CN222,Tabla5[[#This Row],[INVERSIONES FCI]])</f>
        <v>31186922283.80426</v>
      </c>
      <c r="CO223" s="5">
        <f>IF($B222&lt;=Tabla5[[#This Row],[INVERSIONES FCI]],+Tabla5[[#This Row],[INVERSIONES FCI]]-CO222,Tabla5[[#This Row],[INVERSIONES FCI]])</f>
        <v>31186922283.80426</v>
      </c>
      <c r="CP223" s="5">
        <f>IF($B222&lt;=Tabla5[[#This Row],[INVERSIONES FCI]],+Tabla5[[#This Row],[INVERSIONES FCI]]-CP222,Tabla5[[#This Row],[INVERSIONES FCI]])</f>
        <v>31186922283.80426</v>
      </c>
      <c r="CQ223" s="5">
        <f>IF($B222&lt;=Tabla5[[#This Row],[INVERSIONES FCI]],+Tabla5[[#This Row],[INVERSIONES FCI]]-CQ222,Tabla5[[#This Row],[INVERSIONES FCI]])</f>
        <v>31186922283.80426</v>
      </c>
      <c r="CR223" s="5">
        <f>IF($B222&lt;=Tabla5[[#This Row],[INVERSIONES FCI]],+Tabla5[[#This Row],[INVERSIONES FCI]]-CR222,Tabla5[[#This Row],[INVERSIONES FCI]])</f>
        <v>31186922283.80426</v>
      </c>
      <c r="CS223" s="5">
        <f>IF($B222&lt;=Tabla5[[#This Row],[INVERSIONES FCI]],+Tabla5[[#This Row],[INVERSIONES FCI]]-CS222,Tabla5[[#This Row],[INVERSIONES FCI]])</f>
        <v>31186922283.80426</v>
      </c>
      <c r="CT223" s="5">
        <f>IF($B222&lt;=Tabla5[[#This Row],[INVERSIONES FCI]],+Tabla5[[#This Row],[INVERSIONES FCI]]-CT222,Tabla5[[#This Row],[INVERSIONES FCI]])</f>
        <v>31186922283.80426</v>
      </c>
      <c r="CU223" s="5">
        <f>IF($B222&lt;=Tabla5[[#This Row],[INVERSIONES FCI]],+Tabla5[[#This Row],[INVERSIONES FCI]]-CU222,Tabla5[[#This Row],[INVERSIONES FCI]])</f>
        <v>31186922283.80426</v>
      </c>
      <c r="CV223" s="5">
        <f>IF($B222&lt;=Tabla5[[#This Row],[INVERSIONES FCI]],+Tabla5[[#This Row],[INVERSIONES FCI]]-CV222,Tabla5[[#This Row],[INVERSIONES FCI]])</f>
        <v>31186922283.80426</v>
      </c>
      <c r="CW223" s="5">
        <f>IF($B222&lt;=Tabla5[[#This Row],[INVERSIONES FCI]],+Tabla5[[#This Row],[INVERSIONES FCI]]-CW222,Tabla5[[#This Row],[INVERSIONES FCI]])</f>
        <v>31186922283.80426</v>
      </c>
      <c r="CX223" s="5">
        <f>IF($B222&lt;=Tabla5[[#This Row],[INVERSIONES FCI]],+Tabla5[[#This Row],[INVERSIONES FCI]]-CX222,Tabla5[[#This Row],[INVERSIONES FCI]])</f>
        <v>31186922283.80426</v>
      </c>
      <c r="CY223" s="5">
        <f>IF($B222&lt;=Tabla5[[#This Row],[INVERSIONES FCI]],+Tabla5[[#This Row],[INVERSIONES FCI]]-CY222,Tabla5[[#This Row],[INVERSIONES FCI]])</f>
        <v>31186922283.80426</v>
      </c>
      <c r="CZ223" s="5">
        <f>IF($B222&lt;=Tabla5[[#This Row],[INVERSIONES FCI]],+Tabla5[[#This Row],[INVERSIONES FCI]]-CZ222,Tabla5[[#This Row],[INVERSIONES FCI]])</f>
        <v>31186922283.80426</v>
      </c>
      <c r="DA223" s="5">
        <f>IF($B222&lt;=Tabla5[[#This Row],[INVERSIONES FCI]],+Tabla5[[#This Row],[INVERSIONES FCI]]-DA222,Tabla5[[#This Row],[INVERSIONES FCI]])</f>
        <v>31186922283.80426</v>
      </c>
      <c r="DB223" s="5">
        <f>IF($B222&lt;=Tabla5[[#This Row],[INVERSIONES FCI]],+Tabla5[[#This Row],[INVERSIONES FCI]]-DB222,Tabla5[[#This Row],[INVERSIONES FCI]])</f>
        <v>31186922283.80426</v>
      </c>
      <c r="DC223" s="5">
        <f>IF($B222&lt;=Tabla5[[#This Row],[INVERSIONES FCI]],+Tabla5[[#This Row],[INVERSIONES FCI]]-DC222,Tabla5[[#This Row],[INVERSIONES FCI]])</f>
        <v>31186922283.80426</v>
      </c>
      <c r="DD223" s="5">
        <f>IF($B222&lt;=Tabla5[[#This Row],[INVERSIONES FCI]],+Tabla5[[#This Row],[INVERSIONES FCI]]-DD222,Tabla5[[#This Row],[INVERSIONES FCI]])</f>
        <v>31186922283.80426</v>
      </c>
      <c r="DE223" s="5">
        <f>IF($B222&lt;=Tabla5[[#This Row],[INVERSIONES FCI]],+Tabla5[[#This Row],[INVERSIONES FCI]]-DE222,Tabla5[[#This Row],[INVERSIONES FCI]])</f>
        <v>31186922283.80426</v>
      </c>
      <c r="DF223" s="5">
        <f>IF($B222&lt;=Tabla5[[#This Row],[INVERSIONES FCI]],+Tabla5[[#This Row],[INVERSIONES FCI]]-DF222,Tabla5[[#This Row],[INVERSIONES FCI]])</f>
        <v>31186922283.80426</v>
      </c>
      <c r="DG223" s="5">
        <f>IF($B222&lt;=Tabla5[[#This Row],[INVERSIONES FCI]],+Tabla5[[#This Row],[INVERSIONES FCI]]-DG222,Tabla5[[#This Row],[INVERSIONES FCI]])</f>
        <v>31186922283.80426</v>
      </c>
      <c r="DH223" s="5">
        <f>IF($B222&lt;=Tabla5[[#This Row],[INVERSIONES FCI]],+Tabla5[[#This Row],[INVERSIONES FCI]]-DH222,Tabla5[[#This Row],[INVERSIONES FCI]])</f>
        <v>31186922283.80426</v>
      </c>
      <c r="DI223" s="5">
        <f>IF($B222&lt;=Tabla5[[#This Row],[INVERSIONES FCI]],+Tabla5[[#This Row],[INVERSIONES FCI]]-DI222,Tabla5[[#This Row],[INVERSIONES FCI]])</f>
        <v>31186922283.80426</v>
      </c>
      <c r="DJ223" s="5">
        <f>IF($B222&lt;=Tabla5[[#This Row],[INVERSIONES FCI]],+Tabla5[[#This Row],[INVERSIONES FCI]]-DJ222,Tabla5[[#This Row],[INVERSIONES FCI]])</f>
        <v>31186922283.80426</v>
      </c>
      <c r="DK223" s="5">
        <f>IF($B222&lt;=Tabla5[[#This Row],[INVERSIONES FCI]],+Tabla5[[#This Row],[INVERSIONES FCI]]-DK222,Tabla5[[#This Row],[INVERSIONES FCI]])</f>
        <v>31186922283.80426</v>
      </c>
      <c r="DL223" s="5"/>
      <c r="DM223" s="5"/>
      <c r="DN223" s="5"/>
      <c r="DO223" s="5"/>
      <c r="DP223" s="5"/>
      <c r="DQ223" s="5"/>
    </row>
    <row r="224" spans="1:121" ht="14.4">
      <c r="A224" s="12" t="s">
        <v>223</v>
      </c>
      <c r="B224" s="5">
        <f>HLOOKUP($A224,ESCENARIO[#All],7,FALSE)</f>
        <v>40193251202.119347</v>
      </c>
      <c r="C224" s="5">
        <f>IF($B223&lt;=Tabla5[[#This Row],[INVERSIONES FCI]],+Tabla5[[#This Row],[INVERSIONES FCI]]-C223,Tabla5[[#This Row],[INVERSIONES FCI]])</f>
        <v>9006328918.3150864</v>
      </c>
      <c r="D224" s="5">
        <f>IF($B223&lt;=Tabla5[[#This Row],[INVERSIONES FCI]],+Tabla5[[#This Row],[INVERSIONES FCI]]-D223,Tabla5[[#This Row],[INVERSIONES FCI]])</f>
        <v>9006328918.3150864</v>
      </c>
      <c r="E224" s="5">
        <f>IF($B223&lt;=Tabla5[[#This Row],[INVERSIONES FCI]],+Tabla5[[#This Row],[INVERSIONES FCI]]-E223,Tabla5[[#This Row],[INVERSIONES FCI]])</f>
        <v>9006328918.3150864</v>
      </c>
      <c r="F224" s="5">
        <f>IF($B223&lt;=Tabla5[[#This Row],[INVERSIONES FCI]],+Tabla5[[#This Row],[INVERSIONES FCI]]-F223,Tabla5[[#This Row],[INVERSIONES FCI]])</f>
        <v>9006328918.3150864</v>
      </c>
      <c r="G224" s="5">
        <f>IF($B223&lt;=Tabla5[[#This Row],[INVERSIONES FCI]],+Tabla5[[#This Row],[INVERSIONES FCI]]-G223,Tabla5[[#This Row],[INVERSIONES FCI]])</f>
        <v>9006328918.3150864</v>
      </c>
      <c r="H224" s="5">
        <f>IF($B223&lt;=Tabla5[[#This Row],[INVERSIONES FCI]],+Tabla5[[#This Row],[INVERSIONES FCI]]-H223,Tabla5[[#This Row],[INVERSIONES FCI]])</f>
        <v>9006328918.3150864</v>
      </c>
      <c r="I224" s="5">
        <f>IF($B223&lt;=Tabla5[[#This Row],[INVERSIONES FCI]],+Tabla5[[#This Row],[INVERSIONES FCI]]-I223,Tabla5[[#This Row],[INVERSIONES FCI]])</f>
        <v>9006328918.3150864</v>
      </c>
      <c r="J224" s="5">
        <f>IF($B223&lt;=Tabla5[[#This Row],[INVERSIONES FCI]],+Tabla5[[#This Row],[INVERSIONES FCI]]-J223,Tabla5[[#This Row],[INVERSIONES FCI]])</f>
        <v>9006328918.3150864</v>
      </c>
      <c r="K224" s="5">
        <f>IF($B223&lt;=Tabla5[[#This Row],[INVERSIONES FCI]],+Tabla5[[#This Row],[INVERSIONES FCI]]-K223,Tabla5[[#This Row],[INVERSIONES FCI]])</f>
        <v>9006328918.3150864</v>
      </c>
      <c r="L224" s="5">
        <f>IF($B223&lt;=Tabla5[[#This Row],[INVERSIONES FCI]],+Tabla5[[#This Row],[INVERSIONES FCI]]-L223,Tabla5[[#This Row],[INVERSIONES FCI]])</f>
        <v>9006328918.3150864</v>
      </c>
      <c r="M224" s="5">
        <f>IF($B223&lt;=Tabla5[[#This Row],[INVERSIONES FCI]],+Tabla5[[#This Row],[INVERSIONES FCI]]-M223,Tabla5[[#This Row],[INVERSIONES FCI]])</f>
        <v>9006328918.3150864</v>
      </c>
      <c r="N224" s="5">
        <f>IF($B223&lt;=Tabla5[[#This Row],[INVERSIONES FCI]],+Tabla5[[#This Row],[INVERSIONES FCI]]-N223,Tabla5[[#This Row],[INVERSIONES FCI]])</f>
        <v>9006328918.3150864</v>
      </c>
      <c r="O224" s="5">
        <f>IF($B223&lt;=Tabla5[[#This Row],[INVERSIONES FCI]],+Tabla5[[#This Row],[INVERSIONES FCI]]-O223,Tabla5[[#This Row],[INVERSIONES FCI]])</f>
        <v>9006328918.3150864</v>
      </c>
      <c r="P224" s="5">
        <f>IF($B223&lt;=Tabla5[[#This Row],[INVERSIONES FCI]],+Tabla5[[#This Row],[INVERSIONES FCI]]-P223,Tabla5[[#This Row],[INVERSIONES FCI]])</f>
        <v>9006328918.3150864</v>
      </c>
      <c r="Q224" s="5">
        <f>IF($B223&lt;=Tabla5[[#This Row],[INVERSIONES FCI]],+Tabla5[[#This Row],[INVERSIONES FCI]]-Q223,Tabla5[[#This Row],[INVERSIONES FCI]])</f>
        <v>9006328918.3150864</v>
      </c>
      <c r="R224" s="5">
        <f>IF($B223&lt;=Tabla5[[#This Row],[INVERSIONES FCI]],+Tabla5[[#This Row],[INVERSIONES FCI]]-R223,Tabla5[[#This Row],[INVERSIONES FCI]])</f>
        <v>9006328918.3150864</v>
      </c>
      <c r="S224" s="5">
        <f>IF($B223&lt;=Tabla5[[#This Row],[INVERSIONES FCI]],+Tabla5[[#This Row],[INVERSIONES FCI]]-S223,Tabla5[[#This Row],[INVERSIONES FCI]])</f>
        <v>9006328918.3150864</v>
      </c>
      <c r="T224" s="5">
        <f>IF($B223&lt;=Tabla5[[#This Row],[INVERSIONES FCI]],+Tabla5[[#This Row],[INVERSIONES FCI]]-T223,Tabla5[[#This Row],[INVERSIONES FCI]])</f>
        <v>9006328918.3150864</v>
      </c>
      <c r="U224" s="5">
        <f>IF($B223&lt;=Tabla5[[#This Row],[INVERSIONES FCI]],+Tabla5[[#This Row],[INVERSIONES FCI]]-U223,Tabla5[[#This Row],[INVERSIONES FCI]])</f>
        <v>9006328918.3150864</v>
      </c>
      <c r="V224" s="5">
        <f>IF($B223&lt;=Tabla5[[#This Row],[INVERSIONES FCI]],+Tabla5[[#This Row],[INVERSIONES FCI]]-V223,Tabla5[[#This Row],[INVERSIONES FCI]])</f>
        <v>9006328918.3150864</v>
      </c>
      <c r="W224" s="5">
        <f>IF($B223&lt;=Tabla5[[#This Row],[INVERSIONES FCI]],+Tabla5[[#This Row],[INVERSIONES FCI]]-W223,Tabla5[[#This Row],[INVERSIONES FCI]])</f>
        <v>9006328918.3150864</v>
      </c>
      <c r="X224" s="5">
        <f>IF($B223&lt;=Tabla5[[#This Row],[INVERSIONES FCI]],+Tabla5[[#This Row],[INVERSIONES FCI]]-X223,Tabla5[[#This Row],[INVERSIONES FCI]])</f>
        <v>9006328918.3150864</v>
      </c>
      <c r="Y224" s="5">
        <f>IF($B223&lt;=Tabla5[[#This Row],[INVERSIONES FCI]],+Tabla5[[#This Row],[INVERSIONES FCI]]-Y223,Tabla5[[#This Row],[INVERSIONES FCI]])</f>
        <v>9006328918.3150864</v>
      </c>
      <c r="Z224" s="5">
        <f>IF($B223&lt;=Tabla5[[#This Row],[INVERSIONES FCI]],+Tabla5[[#This Row],[INVERSIONES FCI]]-Z223,Tabla5[[#This Row],[INVERSIONES FCI]])</f>
        <v>9006328918.3150864</v>
      </c>
      <c r="AA224" s="5">
        <f>IF($B223&lt;=Tabla5[[#This Row],[INVERSIONES FCI]],+Tabla5[[#This Row],[INVERSIONES FCI]]-AA223,Tabla5[[#This Row],[INVERSIONES FCI]])</f>
        <v>9006328918.3150864</v>
      </c>
      <c r="AB224" s="5">
        <f>IF($B223&lt;=Tabla5[[#This Row],[INVERSIONES FCI]],+Tabla5[[#This Row],[INVERSIONES FCI]]-AB223,Tabla5[[#This Row],[INVERSIONES FCI]])</f>
        <v>9006328918.3150864</v>
      </c>
      <c r="AC224" s="5">
        <f>IF($B223&lt;=Tabla5[[#This Row],[INVERSIONES FCI]],+Tabla5[[#This Row],[INVERSIONES FCI]]-AC223,Tabla5[[#This Row],[INVERSIONES FCI]])</f>
        <v>9006328918.3150864</v>
      </c>
      <c r="AD224" s="5">
        <f>IF($B223&lt;=Tabla5[[#This Row],[INVERSIONES FCI]],+Tabla5[[#This Row],[INVERSIONES FCI]]-AD223,Tabla5[[#This Row],[INVERSIONES FCI]])</f>
        <v>9006328918.3150864</v>
      </c>
      <c r="AE224" s="5">
        <f>IF($B223&lt;=Tabla5[[#This Row],[INVERSIONES FCI]],+Tabla5[[#This Row],[INVERSIONES FCI]]-AE223,Tabla5[[#This Row],[INVERSIONES FCI]])</f>
        <v>9006328918.3150864</v>
      </c>
      <c r="AF224" s="5">
        <f>IF($B223&lt;=Tabla5[[#This Row],[INVERSIONES FCI]],+Tabla5[[#This Row],[INVERSIONES FCI]]-AF223,Tabla5[[#This Row],[INVERSIONES FCI]])</f>
        <v>9006328918.3150864</v>
      </c>
      <c r="AG224" s="5">
        <f>IF($B223&lt;=Tabla5[[#This Row],[INVERSIONES FCI]],+Tabla5[[#This Row],[INVERSIONES FCI]]-AG223,Tabla5[[#This Row],[INVERSIONES FCI]])</f>
        <v>9006328918.3150864</v>
      </c>
      <c r="AH224" s="5">
        <f>IF($B223&lt;=Tabla5[[#This Row],[INVERSIONES FCI]],+Tabla5[[#This Row],[INVERSIONES FCI]]-AH223,Tabla5[[#This Row],[INVERSIONES FCI]])</f>
        <v>9006328918.3150864</v>
      </c>
      <c r="AI224" s="5">
        <f>IF($B223&lt;=Tabla5[[#This Row],[INVERSIONES FCI]],+Tabla5[[#This Row],[INVERSIONES FCI]]-AI223,Tabla5[[#This Row],[INVERSIONES FCI]])</f>
        <v>9006328918.3150864</v>
      </c>
      <c r="AJ224" s="5">
        <f>IF($B223&lt;=Tabla5[[#This Row],[INVERSIONES FCI]],+Tabla5[[#This Row],[INVERSIONES FCI]]-AJ223,Tabla5[[#This Row],[INVERSIONES FCI]])</f>
        <v>9006328918.3150864</v>
      </c>
      <c r="AK224" s="5">
        <f>IF($B223&lt;=Tabla5[[#This Row],[INVERSIONES FCI]],+Tabla5[[#This Row],[INVERSIONES FCI]]-AK223,Tabla5[[#This Row],[INVERSIONES FCI]])</f>
        <v>9006328918.3150864</v>
      </c>
      <c r="AL224" s="5">
        <f>IF($B223&lt;=Tabla5[[#This Row],[INVERSIONES FCI]],+Tabla5[[#This Row],[INVERSIONES FCI]]-AL223,Tabla5[[#This Row],[INVERSIONES FCI]])</f>
        <v>9006328918.3150864</v>
      </c>
      <c r="AM224" s="5">
        <f>IF($B223&lt;=Tabla5[[#This Row],[INVERSIONES FCI]],+Tabla5[[#This Row],[INVERSIONES FCI]]-AM223,Tabla5[[#This Row],[INVERSIONES FCI]])</f>
        <v>9006328918.3150864</v>
      </c>
      <c r="AN224" s="5">
        <f>IF($B223&lt;=Tabla5[[#This Row],[INVERSIONES FCI]],+Tabla5[[#This Row],[INVERSIONES FCI]]-AN223,Tabla5[[#This Row],[INVERSIONES FCI]])</f>
        <v>9006328918.3150864</v>
      </c>
      <c r="AO224" s="5">
        <f>IF($B223&lt;=Tabla5[[#This Row],[INVERSIONES FCI]],+Tabla5[[#This Row],[INVERSIONES FCI]]-AO223,Tabla5[[#This Row],[INVERSIONES FCI]])</f>
        <v>9006328918.3150864</v>
      </c>
      <c r="AP224" s="5">
        <f>IF($B223&lt;=Tabla5[[#This Row],[INVERSIONES FCI]],+Tabla5[[#This Row],[INVERSIONES FCI]]-AP223,Tabla5[[#This Row],[INVERSIONES FCI]])</f>
        <v>9006328918.3150864</v>
      </c>
      <c r="AQ224" s="5">
        <f>IF($B223&lt;=Tabla5[[#This Row],[INVERSIONES FCI]],+Tabla5[[#This Row],[INVERSIONES FCI]]-AQ223,Tabla5[[#This Row],[INVERSIONES FCI]])</f>
        <v>9006328918.3150864</v>
      </c>
      <c r="AR224" s="5">
        <f>IF($B223&lt;=Tabla5[[#This Row],[INVERSIONES FCI]],+Tabla5[[#This Row],[INVERSIONES FCI]]-AR223,Tabla5[[#This Row],[INVERSIONES FCI]])</f>
        <v>9006328918.3150864</v>
      </c>
      <c r="AS224" s="5">
        <f>IF($B223&lt;=Tabla5[[#This Row],[INVERSIONES FCI]],+Tabla5[[#This Row],[INVERSIONES FCI]]-AS223,Tabla5[[#This Row],[INVERSIONES FCI]])</f>
        <v>9006328918.3150864</v>
      </c>
      <c r="AT224" s="5">
        <f>IF($B223&lt;=Tabla5[[#This Row],[INVERSIONES FCI]],+Tabla5[[#This Row],[INVERSIONES FCI]]-AT223,Tabla5[[#This Row],[INVERSIONES FCI]])</f>
        <v>9006328918.3150864</v>
      </c>
      <c r="AU224" s="5">
        <f>IF($B223&lt;=Tabla5[[#This Row],[INVERSIONES FCI]],+Tabla5[[#This Row],[INVERSIONES FCI]]-AU223,Tabla5[[#This Row],[INVERSIONES FCI]])</f>
        <v>9006328918.3150864</v>
      </c>
      <c r="AV224" s="5">
        <f>IF($B223&lt;=Tabla5[[#This Row],[INVERSIONES FCI]],+Tabla5[[#This Row],[INVERSIONES FCI]]-AV223,Tabla5[[#This Row],[INVERSIONES FCI]])</f>
        <v>9006328918.3150864</v>
      </c>
      <c r="AW224" s="5">
        <f>IF($B223&lt;=Tabla5[[#This Row],[INVERSIONES FCI]],+Tabla5[[#This Row],[INVERSIONES FCI]]-AW223,Tabla5[[#This Row],[INVERSIONES FCI]])</f>
        <v>9006328918.3150864</v>
      </c>
      <c r="AX224" s="5">
        <f>IF($B223&lt;=Tabla5[[#This Row],[INVERSIONES FCI]],+Tabla5[[#This Row],[INVERSIONES FCI]]-AX223,Tabla5[[#This Row],[INVERSIONES FCI]])</f>
        <v>9006328918.3150864</v>
      </c>
      <c r="AY224" s="5">
        <f>IF($B223&lt;=Tabla5[[#This Row],[INVERSIONES FCI]],+Tabla5[[#This Row],[INVERSIONES FCI]]-AY223,Tabla5[[#This Row],[INVERSIONES FCI]])</f>
        <v>9006328918.3150864</v>
      </c>
      <c r="AZ224" s="5">
        <f>IF($B223&lt;=Tabla5[[#This Row],[INVERSIONES FCI]],+Tabla5[[#This Row],[INVERSIONES FCI]]-AZ223,Tabla5[[#This Row],[INVERSIONES FCI]])</f>
        <v>9006328918.3150864</v>
      </c>
      <c r="BA224" s="5">
        <f>IF($B223&lt;=Tabla5[[#This Row],[INVERSIONES FCI]],+Tabla5[[#This Row],[INVERSIONES FCI]]-BA223,Tabla5[[#This Row],[INVERSIONES FCI]])</f>
        <v>9006328918.3150864</v>
      </c>
      <c r="BB224" s="5">
        <f>IF($B223&lt;=Tabla5[[#This Row],[INVERSIONES FCI]],+Tabla5[[#This Row],[INVERSIONES FCI]]-BB223,Tabla5[[#This Row],[INVERSIONES FCI]])</f>
        <v>9006328918.3150864</v>
      </c>
      <c r="BC224" s="5">
        <f>IF($B223&lt;=Tabla5[[#This Row],[INVERSIONES FCI]],+Tabla5[[#This Row],[INVERSIONES FCI]]-BC223,Tabla5[[#This Row],[INVERSIONES FCI]])</f>
        <v>9006328918.3150864</v>
      </c>
      <c r="BD224" s="5">
        <f>IF($B223&lt;=Tabla5[[#This Row],[INVERSIONES FCI]],+Tabla5[[#This Row],[INVERSIONES FCI]]-BD223,Tabla5[[#This Row],[INVERSIONES FCI]])</f>
        <v>9006328918.3150864</v>
      </c>
      <c r="BE224" s="5">
        <f>IF($B223&lt;=Tabla5[[#This Row],[INVERSIONES FCI]],+Tabla5[[#This Row],[INVERSIONES FCI]]-BE223,Tabla5[[#This Row],[INVERSIONES FCI]])</f>
        <v>9006328918.3150864</v>
      </c>
      <c r="BF224" s="5">
        <f>IF($B223&lt;=Tabla5[[#This Row],[INVERSIONES FCI]],+Tabla5[[#This Row],[INVERSIONES FCI]]-BF223,Tabla5[[#This Row],[INVERSIONES FCI]])</f>
        <v>9006328918.3150864</v>
      </c>
      <c r="BG224" s="5">
        <f>IF($B223&lt;=Tabla5[[#This Row],[INVERSIONES FCI]],+Tabla5[[#This Row],[INVERSIONES FCI]]-BG223,Tabla5[[#This Row],[INVERSIONES FCI]])</f>
        <v>9006328918.3150864</v>
      </c>
      <c r="BH224" s="5">
        <f>IF($B223&lt;=Tabla5[[#This Row],[INVERSIONES FCI]],+Tabla5[[#This Row],[INVERSIONES FCI]]-BH223,Tabla5[[#This Row],[INVERSIONES FCI]])</f>
        <v>9006328918.3150864</v>
      </c>
      <c r="BI224" s="5">
        <f>IF($B223&lt;=Tabla5[[#This Row],[INVERSIONES FCI]],+Tabla5[[#This Row],[INVERSIONES FCI]]-BI223,Tabla5[[#This Row],[INVERSIONES FCI]])</f>
        <v>9006328918.3150864</v>
      </c>
      <c r="BJ224" s="5">
        <f>IF($B223&lt;=Tabla5[[#This Row],[INVERSIONES FCI]],+Tabla5[[#This Row],[INVERSIONES FCI]]-BJ223,Tabla5[[#This Row],[INVERSIONES FCI]])</f>
        <v>9006328918.3150864</v>
      </c>
      <c r="BK224" s="5">
        <f>IF($B223&lt;=Tabla5[[#This Row],[INVERSIONES FCI]],+Tabla5[[#This Row],[INVERSIONES FCI]]-BK223,Tabla5[[#This Row],[INVERSIONES FCI]])</f>
        <v>9006328918.3150864</v>
      </c>
      <c r="BL224" s="5">
        <f>IF($B223&lt;=Tabla5[[#This Row],[INVERSIONES FCI]],+Tabla5[[#This Row],[INVERSIONES FCI]]-BL223,Tabla5[[#This Row],[INVERSIONES FCI]])</f>
        <v>9006328918.3150864</v>
      </c>
      <c r="BM224" s="5">
        <f>IF($B223&lt;=Tabla5[[#This Row],[INVERSIONES FCI]],+Tabla5[[#This Row],[INVERSIONES FCI]]-BM223,Tabla5[[#This Row],[INVERSIONES FCI]])</f>
        <v>9006328918.3150864</v>
      </c>
      <c r="BN224" s="5">
        <f>IF($B223&lt;=Tabla5[[#This Row],[INVERSIONES FCI]],+Tabla5[[#This Row],[INVERSIONES FCI]]-BN223,Tabla5[[#This Row],[INVERSIONES FCI]])</f>
        <v>9006328918.3150864</v>
      </c>
      <c r="BO224" s="5">
        <f>IF($B223&lt;=Tabla5[[#This Row],[INVERSIONES FCI]],+Tabla5[[#This Row],[INVERSIONES FCI]]-BO223,Tabla5[[#This Row],[INVERSIONES FCI]])</f>
        <v>9006328918.3150864</v>
      </c>
      <c r="BP224" s="5">
        <f>IF($B223&lt;=Tabla5[[#This Row],[INVERSIONES FCI]],+Tabla5[[#This Row],[INVERSIONES FCI]]-BP223,Tabla5[[#This Row],[INVERSIONES FCI]])</f>
        <v>9006328918.3150864</v>
      </c>
      <c r="BQ224" s="5">
        <f>IF($B223&lt;=Tabla5[[#This Row],[INVERSIONES FCI]],+Tabla5[[#This Row],[INVERSIONES FCI]]-BQ223,Tabla5[[#This Row],[INVERSIONES FCI]])</f>
        <v>9006328918.3150864</v>
      </c>
      <c r="BR224" s="5">
        <f>IF($B223&lt;=Tabla5[[#This Row],[INVERSIONES FCI]],+Tabla5[[#This Row],[INVERSIONES FCI]]-BR223,Tabla5[[#This Row],[INVERSIONES FCI]])</f>
        <v>9006328918.3150864</v>
      </c>
      <c r="BS224" s="5">
        <f>IF($B223&lt;=Tabla5[[#This Row],[INVERSIONES FCI]],+Tabla5[[#This Row],[INVERSIONES FCI]]-BS223,Tabla5[[#This Row],[INVERSIONES FCI]])</f>
        <v>9006328918.3150864</v>
      </c>
      <c r="BT224" s="5">
        <f>IF($B223&lt;=Tabla5[[#This Row],[INVERSIONES FCI]],+Tabla5[[#This Row],[INVERSIONES FCI]]-BT223,Tabla5[[#This Row],[INVERSIONES FCI]])</f>
        <v>9006328918.3150864</v>
      </c>
      <c r="BU224" s="5">
        <f>IF($B223&lt;=Tabla5[[#This Row],[INVERSIONES FCI]],+Tabla5[[#This Row],[INVERSIONES FCI]]-BU223,Tabla5[[#This Row],[INVERSIONES FCI]])</f>
        <v>9006328918.3150864</v>
      </c>
      <c r="BV224" s="5">
        <f>IF($B223&lt;=Tabla5[[#This Row],[INVERSIONES FCI]],+Tabla5[[#This Row],[INVERSIONES FCI]]-BV223,Tabla5[[#This Row],[INVERSIONES FCI]])</f>
        <v>9006328918.3150864</v>
      </c>
      <c r="BW224" s="5">
        <f>IF($B223&lt;=Tabla5[[#This Row],[INVERSIONES FCI]],+Tabla5[[#This Row],[INVERSIONES FCI]]-BW223,Tabla5[[#This Row],[INVERSIONES FCI]])</f>
        <v>9006328918.3150864</v>
      </c>
      <c r="BX224" s="5">
        <f>IF($B223&lt;=Tabla5[[#This Row],[INVERSIONES FCI]],+Tabla5[[#This Row],[INVERSIONES FCI]]-BX223,Tabla5[[#This Row],[INVERSIONES FCI]])</f>
        <v>9006328918.3150864</v>
      </c>
      <c r="BY224" s="5">
        <f>IF($B223&lt;=Tabla5[[#This Row],[INVERSIONES FCI]],+Tabla5[[#This Row],[INVERSIONES FCI]]-BY223,Tabla5[[#This Row],[INVERSIONES FCI]])</f>
        <v>9006328918.3150864</v>
      </c>
      <c r="BZ224" s="5">
        <f>IF($B223&lt;=Tabla5[[#This Row],[INVERSIONES FCI]],+Tabla5[[#This Row],[INVERSIONES FCI]]-BZ223,Tabla5[[#This Row],[INVERSIONES FCI]])</f>
        <v>9006328918.3150864</v>
      </c>
      <c r="CA224" s="5">
        <f>IF($B223&lt;=Tabla5[[#This Row],[INVERSIONES FCI]],+Tabla5[[#This Row],[INVERSIONES FCI]]-CA223,Tabla5[[#This Row],[INVERSIONES FCI]])</f>
        <v>9006328918.3150864</v>
      </c>
      <c r="CB224" s="5">
        <f>IF($B223&lt;=Tabla5[[#This Row],[INVERSIONES FCI]],+Tabla5[[#This Row],[INVERSIONES FCI]]-CB223,Tabla5[[#This Row],[INVERSIONES FCI]])</f>
        <v>9006328918.3150864</v>
      </c>
      <c r="CC224" s="5">
        <f>IF($B223&lt;=Tabla5[[#This Row],[INVERSIONES FCI]],+Tabla5[[#This Row],[INVERSIONES FCI]]-CC223,Tabla5[[#This Row],[INVERSIONES FCI]])</f>
        <v>9006328918.3150864</v>
      </c>
      <c r="CD224" s="5">
        <f>IF($B223&lt;=Tabla5[[#This Row],[INVERSIONES FCI]],+Tabla5[[#This Row],[INVERSIONES FCI]]-CD223,Tabla5[[#This Row],[INVERSIONES FCI]])</f>
        <v>9006328918.3150864</v>
      </c>
      <c r="CE224" s="5">
        <f>IF($B223&lt;=Tabla5[[#This Row],[INVERSIONES FCI]],+Tabla5[[#This Row],[INVERSIONES FCI]]-CE223,Tabla5[[#This Row],[INVERSIONES FCI]])</f>
        <v>9006328918.3150864</v>
      </c>
      <c r="CF224" s="5">
        <f>IF($B223&lt;=Tabla5[[#This Row],[INVERSIONES FCI]],+Tabla5[[#This Row],[INVERSIONES FCI]]-CF223,Tabla5[[#This Row],[INVERSIONES FCI]])</f>
        <v>9006328918.3150864</v>
      </c>
      <c r="CG224" s="5">
        <f>IF($B223&lt;=Tabla5[[#This Row],[INVERSIONES FCI]],+Tabla5[[#This Row],[INVERSIONES FCI]]-CG223,Tabla5[[#This Row],[INVERSIONES FCI]])</f>
        <v>9006328918.3150864</v>
      </c>
      <c r="CH224" s="5">
        <f>IF($B223&lt;=Tabla5[[#This Row],[INVERSIONES FCI]],+Tabla5[[#This Row],[INVERSIONES FCI]]-CH223,Tabla5[[#This Row],[INVERSIONES FCI]])</f>
        <v>9006328918.3150864</v>
      </c>
      <c r="CI224" s="5">
        <f>IF($B223&lt;=Tabla5[[#This Row],[INVERSIONES FCI]],+Tabla5[[#This Row],[INVERSIONES FCI]]-CI223,Tabla5[[#This Row],[INVERSIONES FCI]])</f>
        <v>9006328918.3150864</v>
      </c>
      <c r="CJ224" s="5">
        <f>IF($B223&lt;=Tabla5[[#This Row],[INVERSIONES FCI]],+Tabla5[[#This Row],[INVERSIONES FCI]]-CJ223,Tabla5[[#This Row],[INVERSIONES FCI]])</f>
        <v>9006328918.3150864</v>
      </c>
      <c r="CK224" s="5">
        <f>IF($B223&lt;=Tabla5[[#This Row],[INVERSIONES FCI]],+Tabla5[[#This Row],[INVERSIONES FCI]]-CK223,Tabla5[[#This Row],[INVERSIONES FCI]])</f>
        <v>9006328918.3150864</v>
      </c>
      <c r="CL224" s="5">
        <f>IF($B223&lt;=Tabla5[[#This Row],[INVERSIONES FCI]],+Tabla5[[#This Row],[INVERSIONES FCI]]-CL223,Tabla5[[#This Row],[INVERSIONES FCI]])</f>
        <v>9006328918.3150864</v>
      </c>
      <c r="CM224" s="5">
        <f>IF($B223&lt;=Tabla5[[#This Row],[INVERSIONES FCI]],+Tabla5[[#This Row],[INVERSIONES FCI]]-CM223,Tabla5[[#This Row],[INVERSIONES FCI]])</f>
        <v>9006328918.3150864</v>
      </c>
      <c r="CN224" s="5">
        <f>IF($B223&lt;=Tabla5[[#This Row],[INVERSIONES FCI]],+Tabla5[[#This Row],[INVERSIONES FCI]]-CN223,Tabla5[[#This Row],[INVERSIONES FCI]])</f>
        <v>9006328918.3150864</v>
      </c>
      <c r="CO224" s="5">
        <f>IF($B223&lt;=Tabla5[[#This Row],[INVERSIONES FCI]],+Tabla5[[#This Row],[INVERSIONES FCI]]-CO223,Tabla5[[#This Row],[INVERSIONES FCI]])</f>
        <v>9006328918.3150864</v>
      </c>
      <c r="CP224" s="5">
        <f>IF($B223&lt;=Tabla5[[#This Row],[INVERSIONES FCI]],+Tabla5[[#This Row],[INVERSIONES FCI]]-CP223,Tabla5[[#This Row],[INVERSIONES FCI]])</f>
        <v>9006328918.3150864</v>
      </c>
      <c r="CQ224" s="5">
        <f>IF($B223&lt;=Tabla5[[#This Row],[INVERSIONES FCI]],+Tabla5[[#This Row],[INVERSIONES FCI]]-CQ223,Tabla5[[#This Row],[INVERSIONES FCI]])</f>
        <v>9006328918.3150864</v>
      </c>
      <c r="CR224" s="5">
        <f>IF($B223&lt;=Tabla5[[#This Row],[INVERSIONES FCI]],+Tabla5[[#This Row],[INVERSIONES FCI]]-CR223,Tabla5[[#This Row],[INVERSIONES FCI]])</f>
        <v>9006328918.3150864</v>
      </c>
      <c r="CS224" s="5">
        <f>IF($B223&lt;=Tabla5[[#This Row],[INVERSIONES FCI]],+Tabla5[[#This Row],[INVERSIONES FCI]]-CS223,Tabla5[[#This Row],[INVERSIONES FCI]])</f>
        <v>9006328918.3150864</v>
      </c>
      <c r="CT224" s="5">
        <f>IF($B223&lt;=Tabla5[[#This Row],[INVERSIONES FCI]],+Tabla5[[#This Row],[INVERSIONES FCI]]-CT223,Tabla5[[#This Row],[INVERSIONES FCI]])</f>
        <v>9006328918.3150864</v>
      </c>
      <c r="CU224" s="5">
        <f>IF($B223&lt;=Tabla5[[#This Row],[INVERSIONES FCI]],+Tabla5[[#This Row],[INVERSIONES FCI]]-CU223,Tabla5[[#This Row],[INVERSIONES FCI]])</f>
        <v>9006328918.3150864</v>
      </c>
      <c r="CV224" s="5">
        <f>IF($B223&lt;=Tabla5[[#This Row],[INVERSIONES FCI]],+Tabla5[[#This Row],[INVERSIONES FCI]]-CV223,Tabla5[[#This Row],[INVERSIONES FCI]])</f>
        <v>9006328918.3150864</v>
      </c>
      <c r="CW224" s="5">
        <f>IF($B223&lt;=Tabla5[[#This Row],[INVERSIONES FCI]],+Tabla5[[#This Row],[INVERSIONES FCI]]-CW223,Tabla5[[#This Row],[INVERSIONES FCI]])</f>
        <v>9006328918.3150864</v>
      </c>
      <c r="CX224" s="5">
        <f>IF($B223&lt;=Tabla5[[#This Row],[INVERSIONES FCI]],+Tabla5[[#This Row],[INVERSIONES FCI]]-CX223,Tabla5[[#This Row],[INVERSIONES FCI]])</f>
        <v>9006328918.3150864</v>
      </c>
      <c r="CY224" s="5">
        <f>IF($B223&lt;=Tabla5[[#This Row],[INVERSIONES FCI]],+Tabla5[[#This Row],[INVERSIONES FCI]]-CY223,Tabla5[[#This Row],[INVERSIONES FCI]])</f>
        <v>9006328918.3150864</v>
      </c>
      <c r="CZ224" s="5">
        <f>IF($B223&lt;=Tabla5[[#This Row],[INVERSIONES FCI]],+Tabla5[[#This Row],[INVERSIONES FCI]]-CZ223,Tabla5[[#This Row],[INVERSIONES FCI]])</f>
        <v>9006328918.3150864</v>
      </c>
      <c r="DA224" s="5">
        <f>IF($B223&lt;=Tabla5[[#This Row],[INVERSIONES FCI]],+Tabla5[[#This Row],[INVERSIONES FCI]]-DA223,Tabla5[[#This Row],[INVERSIONES FCI]])</f>
        <v>9006328918.3150864</v>
      </c>
      <c r="DB224" s="5">
        <f>IF($B223&lt;=Tabla5[[#This Row],[INVERSIONES FCI]],+Tabla5[[#This Row],[INVERSIONES FCI]]-DB223,Tabla5[[#This Row],[INVERSIONES FCI]])</f>
        <v>9006328918.3150864</v>
      </c>
      <c r="DC224" s="5">
        <f>IF($B223&lt;=Tabla5[[#This Row],[INVERSIONES FCI]],+Tabla5[[#This Row],[INVERSIONES FCI]]-DC223,Tabla5[[#This Row],[INVERSIONES FCI]])</f>
        <v>9006328918.3150864</v>
      </c>
      <c r="DD224" s="5">
        <f>IF($B223&lt;=Tabla5[[#This Row],[INVERSIONES FCI]],+Tabla5[[#This Row],[INVERSIONES FCI]]-DD223,Tabla5[[#This Row],[INVERSIONES FCI]])</f>
        <v>9006328918.3150864</v>
      </c>
      <c r="DE224" s="5">
        <f>IF($B223&lt;=Tabla5[[#This Row],[INVERSIONES FCI]],+Tabla5[[#This Row],[INVERSIONES FCI]]-DE223,Tabla5[[#This Row],[INVERSIONES FCI]])</f>
        <v>9006328918.3150864</v>
      </c>
      <c r="DF224" s="5">
        <f>IF($B223&lt;=Tabla5[[#This Row],[INVERSIONES FCI]],+Tabla5[[#This Row],[INVERSIONES FCI]]-DF223,Tabla5[[#This Row],[INVERSIONES FCI]])</f>
        <v>9006328918.3150864</v>
      </c>
      <c r="DG224" s="5">
        <f>IF($B223&lt;=Tabla5[[#This Row],[INVERSIONES FCI]],+Tabla5[[#This Row],[INVERSIONES FCI]]-DG223,Tabla5[[#This Row],[INVERSIONES FCI]])</f>
        <v>9006328918.3150864</v>
      </c>
      <c r="DH224" s="5">
        <f>IF($B223&lt;=Tabla5[[#This Row],[INVERSIONES FCI]],+Tabla5[[#This Row],[INVERSIONES FCI]]-DH223,Tabla5[[#This Row],[INVERSIONES FCI]])</f>
        <v>9006328918.3150864</v>
      </c>
      <c r="DI224" s="5">
        <f>IF($B223&lt;=Tabla5[[#This Row],[INVERSIONES FCI]],+Tabla5[[#This Row],[INVERSIONES FCI]]-DI223,Tabla5[[#This Row],[INVERSIONES FCI]])</f>
        <v>9006328918.3150864</v>
      </c>
      <c r="DJ224" s="5">
        <f>IF($B223&lt;=Tabla5[[#This Row],[INVERSIONES FCI]],+Tabla5[[#This Row],[INVERSIONES FCI]]-DJ223,Tabla5[[#This Row],[INVERSIONES FCI]])</f>
        <v>9006328918.3150864</v>
      </c>
      <c r="DK224" s="5">
        <f>IF($B223&lt;=Tabla5[[#This Row],[INVERSIONES FCI]],+Tabla5[[#This Row],[INVERSIONES FCI]]-DK223,Tabla5[[#This Row],[INVERSIONES FCI]])</f>
        <v>9006328918.3150864</v>
      </c>
      <c r="DL224" s="5"/>
      <c r="DM224" s="5"/>
      <c r="DN224" s="5"/>
      <c r="DO224" s="5"/>
      <c r="DP224" s="5"/>
      <c r="DQ224" s="5"/>
    </row>
    <row r="225" spans="1:121" ht="14.4">
      <c r="A225" s="12" t="s">
        <v>224</v>
      </c>
      <c r="B225" s="5">
        <f>HLOOKUP($A225,ESCENARIO[#All],7,FALSE)</f>
        <v>41760946807.210617</v>
      </c>
      <c r="C225" s="5">
        <f>IF($B224&lt;=Tabla5[[#This Row],[INVERSIONES FCI]],+Tabla5[[#This Row],[INVERSIONES FCI]]-C224,Tabla5[[#This Row],[INVERSIONES FCI]])</f>
        <v>32754617888.895531</v>
      </c>
      <c r="D225" s="5">
        <f>IF($B224&lt;=Tabla5[[#This Row],[INVERSIONES FCI]],+Tabla5[[#This Row],[INVERSIONES FCI]]-D224,Tabla5[[#This Row],[INVERSIONES FCI]])</f>
        <v>32754617888.895531</v>
      </c>
      <c r="E225" s="5">
        <f>IF($B224&lt;=Tabla5[[#This Row],[INVERSIONES FCI]],+Tabla5[[#This Row],[INVERSIONES FCI]]-E224,Tabla5[[#This Row],[INVERSIONES FCI]])</f>
        <v>32754617888.895531</v>
      </c>
      <c r="F225" s="5">
        <f>IF($B224&lt;=Tabla5[[#This Row],[INVERSIONES FCI]],+Tabla5[[#This Row],[INVERSIONES FCI]]-F224,Tabla5[[#This Row],[INVERSIONES FCI]])</f>
        <v>32754617888.895531</v>
      </c>
      <c r="G225" s="5">
        <f>IF($B224&lt;=Tabla5[[#This Row],[INVERSIONES FCI]],+Tabla5[[#This Row],[INVERSIONES FCI]]-G224,Tabla5[[#This Row],[INVERSIONES FCI]])</f>
        <v>32754617888.895531</v>
      </c>
      <c r="H225" s="5">
        <f>IF($B224&lt;=Tabla5[[#This Row],[INVERSIONES FCI]],+Tabla5[[#This Row],[INVERSIONES FCI]]-H224,Tabla5[[#This Row],[INVERSIONES FCI]])</f>
        <v>32754617888.895531</v>
      </c>
      <c r="I225" s="5">
        <f>IF($B224&lt;=Tabla5[[#This Row],[INVERSIONES FCI]],+Tabla5[[#This Row],[INVERSIONES FCI]]-I224,Tabla5[[#This Row],[INVERSIONES FCI]])</f>
        <v>32754617888.895531</v>
      </c>
      <c r="J225" s="5">
        <f>IF($B224&lt;=Tabla5[[#This Row],[INVERSIONES FCI]],+Tabla5[[#This Row],[INVERSIONES FCI]]-J224,Tabla5[[#This Row],[INVERSIONES FCI]])</f>
        <v>32754617888.895531</v>
      </c>
      <c r="K225" s="5">
        <f>IF($B224&lt;=Tabla5[[#This Row],[INVERSIONES FCI]],+Tabla5[[#This Row],[INVERSIONES FCI]]-K224,Tabla5[[#This Row],[INVERSIONES FCI]])</f>
        <v>32754617888.895531</v>
      </c>
      <c r="L225" s="5">
        <f>IF($B224&lt;=Tabla5[[#This Row],[INVERSIONES FCI]],+Tabla5[[#This Row],[INVERSIONES FCI]]-L224,Tabla5[[#This Row],[INVERSIONES FCI]])</f>
        <v>32754617888.895531</v>
      </c>
      <c r="M225" s="5">
        <f>IF($B224&lt;=Tabla5[[#This Row],[INVERSIONES FCI]],+Tabla5[[#This Row],[INVERSIONES FCI]]-M224,Tabla5[[#This Row],[INVERSIONES FCI]])</f>
        <v>32754617888.895531</v>
      </c>
      <c r="N225" s="5">
        <f>IF($B224&lt;=Tabla5[[#This Row],[INVERSIONES FCI]],+Tabla5[[#This Row],[INVERSIONES FCI]]-N224,Tabla5[[#This Row],[INVERSIONES FCI]])</f>
        <v>32754617888.895531</v>
      </c>
      <c r="O225" s="5">
        <f>IF($B224&lt;=Tabla5[[#This Row],[INVERSIONES FCI]],+Tabla5[[#This Row],[INVERSIONES FCI]]-O224,Tabla5[[#This Row],[INVERSIONES FCI]])</f>
        <v>32754617888.895531</v>
      </c>
      <c r="P225" s="5">
        <f>IF($B224&lt;=Tabla5[[#This Row],[INVERSIONES FCI]],+Tabla5[[#This Row],[INVERSIONES FCI]]-P224,Tabla5[[#This Row],[INVERSIONES FCI]])</f>
        <v>32754617888.895531</v>
      </c>
      <c r="Q225" s="5">
        <f>IF($B224&lt;=Tabla5[[#This Row],[INVERSIONES FCI]],+Tabla5[[#This Row],[INVERSIONES FCI]]-Q224,Tabla5[[#This Row],[INVERSIONES FCI]])</f>
        <v>32754617888.895531</v>
      </c>
      <c r="R225" s="5">
        <f>IF($B224&lt;=Tabla5[[#This Row],[INVERSIONES FCI]],+Tabla5[[#This Row],[INVERSIONES FCI]]-R224,Tabla5[[#This Row],[INVERSIONES FCI]])</f>
        <v>32754617888.895531</v>
      </c>
      <c r="S225" s="5">
        <f>IF($B224&lt;=Tabla5[[#This Row],[INVERSIONES FCI]],+Tabla5[[#This Row],[INVERSIONES FCI]]-S224,Tabla5[[#This Row],[INVERSIONES FCI]])</f>
        <v>32754617888.895531</v>
      </c>
      <c r="T225" s="5">
        <f>IF($B224&lt;=Tabla5[[#This Row],[INVERSIONES FCI]],+Tabla5[[#This Row],[INVERSIONES FCI]]-T224,Tabla5[[#This Row],[INVERSIONES FCI]])</f>
        <v>32754617888.895531</v>
      </c>
      <c r="U225" s="5">
        <f>IF($B224&lt;=Tabla5[[#This Row],[INVERSIONES FCI]],+Tabla5[[#This Row],[INVERSIONES FCI]]-U224,Tabla5[[#This Row],[INVERSIONES FCI]])</f>
        <v>32754617888.895531</v>
      </c>
      <c r="V225" s="5">
        <f>IF($B224&lt;=Tabla5[[#This Row],[INVERSIONES FCI]],+Tabla5[[#This Row],[INVERSIONES FCI]]-V224,Tabla5[[#This Row],[INVERSIONES FCI]])</f>
        <v>32754617888.895531</v>
      </c>
      <c r="W225" s="5">
        <f>IF($B224&lt;=Tabla5[[#This Row],[INVERSIONES FCI]],+Tabla5[[#This Row],[INVERSIONES FCI]]-W224,Tabla5[[#This Row],[INVERSIONES FCI]])</f>
        <v>32754617888.895531</v>
      </c>
      <c r="X225" s="5">
        <f>IF($B224&lt;=Tabla5[[#This Row],[INVERSIONES FCI]],+Tabla5[[#This Row],[INVERSIONES FCI]]-X224,Tabla5[[#This Row],[INVERSIONES FCI]])</f>
        <v>32754617888.895531</v>
      </c>
      <c r="Y225" s="5">
        <f>IF($B224&lt;=Tabla5[[#This Row],[INVERSIONES FCI]],+Tabla5[[#This Row],[INVERSIONES FCI]]-Y224,Tabla5[[#This Row],[INVERSIONES FCI]])</f>
        <v>32754617888.895531</v>
      </c>
      <c r="Z225" s="5">
        <f>IF($B224&lt;=Tabla5[[#This Row],[INVERSIONES FCI]],+Tabla5[[#This Row],[INVERSIONES FCI]]-Z224,Tabla5[[#This Row],[INVERSIONES FCI]])</f>
        <v>32754617888.895531</v>
      </c>
      <c r="AA225" s="5">
        <f>IF($B224&lt;=Tabla5[[#This Row],[INVERSIONES FCI]],+Tabla5[[#This Row],[INVERSIONES FCI]]-AA224,Tabla5[[#This Row],[INVERSIONES FCI]])</f>
        <v>32754617888.895531</v>
      </c>
      <c r="AB225" s="5">
        <f>IF($B224&lt;=Tabla5[[#This Row],[INVERSIONES FCI]],+Tabla5[[#This Row],[INVERSIONES FCI]]-AB224,Tabla5[[#This Row],[INVERSIONES FCI]])</f>
        <v>32754617888.895531</v>
      </c>
      <c r="AC225" s="5">
        <f>IF($B224&lt;=Tabla5[[#This Row],[INVERSIONES FCI]],+Tabla5[[#This Row],[INVERSIONES FCI]]-AC224,Tabla5[[#This Row],[INVERSIONES FCI]])</f>
        <v>32754617888.895531</v>
      </c>
      <c r="AD225" s="5">
        <f>IF($B224&lt;=Tabla5[[#This Row],[INVERSIONES FCI]],+Tabla5[[#This Row],[INVERSIONES FCI]]-AD224,Tabla5[[#This Row],[INVERSIONES FCI]])</f>
        <v>32754617888.895531</v>
      </c>
      <c r="AE225" s="5">
        <f>IF($B224&lt;=Tabla5[[#This Row],[INVERSIONES FCI]],+Tabla5[[#This Row],[INVERSIONES FCI]]-AE224,Tabla5[[#This Row],[INVERSIONES FCI]])</f>
        <v>32754617888.895531</v>
      </c>
      <c r="AF225" s="5">
        <f>IF($B224&lt;=Tabla5[[#This Row],[INVERSIONES FCI]],+Tabla5[[#This Row],[INVERSIONES FCI]]-AF224,Tabla5[[#This Row],[INVERSIONES FCI]])</f>
        <v>32754617888.895531</v>
      </c>
      <c r="AG225" s="5">
        <f>IF($B224&lt;=Tabla5[[#This Row],[INVERSIONES FCI]],+Tabla5[[#This Row],[INVERSIONES FCI]]-AG224,Tabla5[[#This Row],[INVERSIONES FCI]])</f>
        <v>32754617888.895531</v>
      </c>
      <c r="AH225" s="5">
        <f>IF($B224&lt;=Tabla5[[#This Row],[INVERSIONES FCI]],+Tabla5[[#This Row],[INVERSIONES FCI]]-AH224,Tabla5[[#This Row],[INVERSIONES FCI]])</f>
        <v>32754617888.895531</v>
      </c>
      <c r="AI225" s="5">
        <f>IF($B224&lt;=Tabla5[[#This Row],[INVERSIONES FCI]],+Tabla5[[#This Row],[INVERSIONES FCI]]-AI224,Tabla5[[#This Row],[INVERSIONES FCI]])</f>
        <v>32754617888.895531</v>
      </c>
      <c r="AJ225" s="5">
        <f>IF($B224&lt;=Tabla5[[#This Row],[INVERSIONES FCI]],+Tabla5[[#This Row],[INVERSIONES FCI]]-AJ224,Tabla5[[#This Row],[INVERSIONES FCI]])</f>
        <v>32754617888.895531</v>
      </c>
      <c r="AK225" s="5">
        <f>IF($B224&lt;=Tabla5[[#This Row],[INVERSIONES FCI]],+Tabla5[[#This Row],[INVERSIONES FCI]]-AK224,Tabla5[[#This Row],[INVERSIONES FCI]])</f>
        <v>32754617888.895531</v>
      </c>
      <c r="AL225" s="5">
        <f>IF($B224&lt;=Tabla5[[#This Row],[INVERSIONES FCI]],+Tabla5[[#This Row],[INVERSIONES FCI]]-AL224,Tabla5[[#This Row],[INVERSIONES FCI]])</f>
        <v>32754617888.895531</v>
      </c>
      <c r="AM225" s="5">
        <f>IF($B224&lt;=Tabla5[[#This Row],[INVERSIONES FCI]],+Tabla5[[#This Row],[INVERSIONES FCI]]-AM224,Tabla5[[#This Row],[INVERSIONES FCI]])</f>
        <v>32754617888.895531</v>
      </c>
      <c r="AN225" s="5">
        <f>IF($B224&lt;=Tabla5[[#This Row],[INVERSIONES FCI]],+Tabla5[[#This Row],[INVERSIONES FCI]]-AN224,Tabla5[[#This Row],[INVERSIONES FCI]])</f>
        <v>32754617888.895531</v>
      </c>
      <c r="AO225" s="5">
        <f>IF($B224&lt;=Tabla5[[#This Row],[INVERSIONES FCI]],+Tabla5[[#This Row],[INVERSIONES FCI]]-AO224,Tabla5[[#This Row],[INVERSIONES FCI]])</f>
        <v>32754617888.895531</v>
      </c>
      <c r="AP225" s="5">
        <f>IF($B224&lt;=Tabla5[[#This Row],[INVERSIONES FCI]],+Tabla5[[#This Row],[INVERSIONES FCI]]-AP224,Tabla5[[#This Row],[INVERSIONES FCI]])</f>
        <v>32754617888.895531</v>
      </c>
      <c r="AQ225" s="5">
        <f>IF($B224&lt;=Tabla5[[#This Row],[INVERSIONES FCI]],+Tabla5[[#This Row],[INVERSIONES FCI]]-AQ224,Tabla5[[#This Row],[INVERSIONES FCI]])</f>
        <v>32754617888.895531</v>
      </c>
      <c r="AR225" s="5">
        <f>IF($B224&lt;=Tabla5[[#This Row],[INVERSIONES FCI]],+Tabla5[[#This Row],[INVERSIONES FCI]]-AR224,Tabla5[[#This Row],[INVERSIONES FCI]])</f>
        <v>32754617888.895531</v>
      </c>
      <c r="AS225" s="5">
        <f>IF($B224&lt;=Tabla5[[#This Row],[INVERSIONES FCI]],+Tabla5[[#This Row],[INVERSIONES FCI]]-AS224,Tabla5[[#This Row],[INVERSIONES FCI]])</f>
        <v>32754617888.895531</v>
      </c>
      <c r="AT225" s="5">
        <f>IF($B224&lt;=Tabla5[[#This Row],[INVERSIONES FCI]],+Tabla5[[#This Row],[INVERSIONES FCI]]-AT224,Tabla5[[#This Row],[INVERSIONES FCI]])</f>
        <v>32754617888.895531</v>
      </c>
      <c r="AU225" s="5">
        <f>IF($B224&lt;=Tabla5[[#This Row],[INVERSIONES FCI]],+Tabla5[[#This Row],[INVERSIONES FCI]]-AU224,Tabla5[[#This Row],[INVERSIONES FCI]])</f>
        <v>32754617888.895531</v>
      </c>
      <c r="AV225" s="5">
        <f>IF($B224&lt;=Tabla5[[#This Row],[INVERSIONES FCI]],+Tabla5[[#This Row],[INVERSIONES FCI]]-AV224,Tabla5[[#This Row],[INVERSIONES FCI]])</f>
        <v>32754617888.895531</v>
      </c>
      <c r="AW225" s="5">
        <f>IF($B224&lt;=Tabla5[[#This Row],[INVERSIONES FCI]],+Tabla5[[#This Row],[INVERSIONES FCI]]-AW224,Tabla5[[#This Row],[INVERSIONES FCI]])</f>
        <v>32754617888.895531</v>
      </c>
      <c r="AX225" s="5">
        <f>IF($B224&lt;=Tabla5[[#This Row],[INVERSIONES FCI]],+Tabla5[[#This Row],[INVERSIONES FCI]]-AX224,Tabla5[[#This Row],[INVERSIONES FCI]])</f>
        <v>32754617888.895531</v>
      </c>
      <c r="AY225" s="5">
        <f>IF($B224&lt;=Tabla5[[#This Row],[INVERSIONES FCI]],+Tabla5[[#This Row],[INVERSIONES FCI]]-AY224,Tabla5[[#This Row],[INVERSIONES FCI]])</f>
        <v>32754617888.895531</v>
      </c>
      <c r="AZ225" s="5">
        <f>IF($B224&lt;=Tabla5[[#This Row],[INVERSIONES FCI]],+Tabla5[[#This Row],[INVERSIONES FCI]]-AZ224,Tabla5[[#This Row],[INVERSIONES FCI]])</f>
        <v>32754617888.895531</v>
      </c>
      <c r="BA225" s="5">
        <f>IF($B224&lt;=Tabla5[[#This Row],[INVERSIONES FCI]],+Tabla5[[#This Row],[INVERSIONES FCI]]-BA224,Tabla5[[#This Row],[INVERSIONES FCI]])</f>
        <v>32754617888.895531</v>
      </c>
      <c r="BB225" s="5">
        <f>IF($B224&lt;=Tabla5[[#This Row],[INVERSIONES FCI]],+Tabla5[[#This Row],[INVERSIONES FCI]]-BB224,Tabla5[[#This Row],[INVERSIONES FCI]])</f>
        <v>32754617888.895531</v>
      </c>
      <c r="BC225" s="5">
        <f>IF($B224&lt;=Tabla5[[#This Row],[INVERSIONES FCI]],+Tabla5[[#This Row],[INVERSIONES FCI]]-BC224,Tabla5[[#This Row],[INVERSIONES FCI]])</f>
        <v>32754617888.895531</v>
      </c>
      <c r="BD225" s="5">
        <f>IF($B224&lt;=Tabla5[[#This Row],[INVERSIONES FCI]],+Tabla5[[#This Row],[INVERSIONES FCI]]-BD224,Tabla5[[#This Row],[INVERSIONES FCI]])</f>
        <v>32754617888.895531</v>
      </c>
      <c r="BE225" s="5">
        <f>IF($B224&lt;=Tabla5[[#This Row],[INVERSIONES FCI]],+Tabla5[[#This Row],[INVERSIONES FCI]]-BE224,Tabla5[[#This Row],[INVERSIONES FCI]])</f>
        <v>32754617888.895531</v>
      </c>
      <c r="BF225" s="5">
        <f>IF($B224&lt;=Tabla5[[#This Row],[INVERSIONES FCI]],+Tabla5[[#This Row],[INVERSIONES FCI]]-BF224,Tabla5[[#This Row],[INVERSIONES FCI]])</f>
        <v>32754617888.895531</v>
      </c>
      <c r="BG225" s="5">
        <f>IF($B224&lt;=Tabla5[[#This Row],[INVERSIONES FCI]],+Tabla5[[#This Row],[INVERSIONES FCI]]-BG224,Tabla5[[#This Row],[INVERSIONES FCI]])</f>
        <v>32754617888.895531</v>
      </c>
      <c r="BH225" s="5">
        <f>IF($B224&lt;=Tabla5[[#This Row],[INVERSIONES FCI]],+Tabla5[[#This Row],[INVERSIONES FCI]]-BH224,Tabla5[[#This Row],[INVERSIONES FCI]])</f>
        <v>32754617888.895531</v>
      </c>
      <c r="BI225" s="5">
        <f>IF($B224&lt;=Tabla5[[#This Row],[INVERSIONES FCI]],+Tabla5[[#This Row],[INVERSIONES FCI]]-BI224,Tabla5[[#This Row],[INVERSIONES FCI]])</f>
        <v>32754617888.895531</v>
      </c>
      <c r="BJ225" s="5">
        <f>IF($B224&lt;=Tabla5[[#This Row],[INVERSIONES FCI]],+Tabla5[[#This Row],[INVERSIONES FCI]]-BJ224,Tabla5[[#This Row],[INVERSIONES FCI]])</f>
        <v>32754617888.895531</v>
      </c>
      <c r="BK225" s="5">
        <f>IF($B224&lt;=Tabla5[[#This Row],[INVERSIONES FCI]],+Tabla5[[#This Row],[INVERSIONES FCI]]-BK224,Tabla5[[#This Row],[INVERSIONES FCI]])</f>
        <v>32754617888.895531</v>
      </c>
      <c r="BL225" s="5">
        <f>IF($B224&lt;=Tabla5[[#This Row],[INVERSIONES FCI]],+Tabla5[[#This Row],[INVERSIONES FCI]]-BL224,Tabla5[[#This Row],[INVERSIONES FCI]])</f>
        <v>32754617888.895531</v>
      </c>
      <c r="BM225" s="5">
        <f>IF($B224&lt;=Tabla5[[#This Row],[INVERSIONES FCI]],+Tabla5[[#This Row],[INVERSIONES FCI]]-BM224,Tabla5[[#This Row],[INVERSIONES FCI]])</f>
        <v>32754617888.895531</v>
      </c>
      <c r="BN225" s="5">
        <f>IF($B224&lt;=Tabla5[[#This Row],[INVERSIONES FCI]],+Tabla5[[#This Row],[INVERSIONES FCI]]-BN224,Tabla5[[#This Row],[INVERSIONES FCI]])</f>
        <v>32754617888.895531</v>
      </c>
      <c r="BO225" s="5">
        <f>IF($B224&lt;=Tabla5[[#This Row],[INVERSIONES FCI]],+Tabla5[[#This Row],[INVERSIONES FCI]]-BO224,Tabla5[[#This Row],[INVERSIONES FCI]])</f>
        <v>32754617888.895531</v>
      </c>
      <c r="BP225" s="5">
        <f>IF($B224&lt;=Tabla5[[#This Row],[INVERSIONES FCI]],+Tabla5[[#This Row],[INVERSIONES FCI]]-BP224,Tabla5[[#This Row],[INVERSIONES FCI]])</f>
        <v>32754617888.895531</v>
      </c>
      <c r="BQ225" s="5">
        <f>IF($B224&lt;=Tabla5[[#This Row],[INVERSIONES FCI]],+Tabla5[[#This Row],[INVERSIONES FCI]]-BQ224,Tabla5[[#This Row],[INVERSIONES FCI]])</f>
        <v>32754617888.895531</v>
      </c>
      <c r="BR225" s="5">
        <f>IF($B224&lt;=Tabla5[[#This Row],[INVERSIONES FCI]],+Tabla5[[#This Row],[INVERSIONES FCI]]-BR224,Tabla5[[#This Row],[INVERSIONES FCI]])</f>
        <v>32754617888.895531</v>
      </c>
      <c r="BS225" s="5">
        <f>IF($B224&lt;=Tabla5[[#This Row],[INVERSIONES FCI]],+Tabla5[[#This Row],[INVERSIONES FCI]]-BS224,Tabla5[[#This Row],[INVERSIONES FCI]])</f>
        <v>32754617888.895531</v>
      </c>
      <c r="BT225" s="5">
        <f>IF($B224&lt;=Tabla5[[#This Row],[INVERSIONES FCI]],+Tabla5[[#This Row],[INVERSIONES FCI]]-BT224,Tabla5[[#This Row],[INVERSIONES FCI]])</f>
        <v>32754617888.895531</v>
      </c>
      <c r="BU225" s="5">
        <f>IF($B224&lt;=Tabla5[[#This Row],[INVERSIONES FCI]],+Tabla5[[#This Row],[INVERSIONES FCI]]-BU224,Tabla5[[#This Row],[INVERSIONES FCI]])</f>
        <v>32754617888.895531</v>
      </c>
      <c r="BV225" s="5">
        <f>IF($B224&lt;=Tabla5[[#This Row],[INVERSIONES FCI]],+Tabla5[[#This Row],[INVERSIONES FCI]]-BV224,Tabla5[[#This Row],[INVERSIONES FCI]])</f>
        <v>32754617888.895531</v>
      </c>
      <c r="BW225" s="5">
        <f>IF($B224&lt;=Tabla5[[#This Row],[INVERSIONES FCI]],+Tabla5[[#This Row],[INVERSIONES FCI]]-BW224,Tabla5[[#This Row],[INVERSIONES FCI]])</f>
        <v>32754617888.895531</v>
      </c>
      <c r="BX225" s="5">
        <f>IF($B224&lt;=Tabla5[[#This Row],[INVERSIONES FCI]],+Tabla5[[#This Row],[INVERSIONES FCI]]-BX224,Tabla5[[#This Row],[INVERSIONES FCI]])</f>
        <v>32754617888.895531</v>
      </c>
      <c r="BY225" s="5">
        <f>IF($B224&lt;=Tabla5[[#This Row],[INVERSIONES FCI]],+Tabla5[[#This Row],[INVERSIONES FCI]]-BY224,Tabla5[[#This Row],[INVERSIONES FCI]])</f>
        <v>32754617888.895531</v>
      </c>
      <c r="BZ225" s="5">
        <f>IF($B224&lt;=Tabla5[[#This Row],[INVERSIONES FCI]],+Tabla5[[#This Row],[INVERSIONES FCI]]-BZ224,Tabla5[[#This Row],[INVERSIONES FCI]])</f>
        <v>32754617888.895531</v>
      </c>
      <c r="CA225" s="5">
        <f>IF($B224&lt;=Tabla5[[#This Row],[INVERSIONES FCI]],+Tabla5[[#This Row],[INVERSIONES FCI]]-CA224,Tabla5[[#This Row],[INVERSIONES FCI]])</f>
        <v>32754617888.895531</v>
      </c>
      <c r="CB225" s="5">
        <f>IF($B224&lt;=Tabla5[[#This Row],[INVERSIONES FCI]],+Tabla5[[#This Row],[INVERSIONES FCI]]-CB224,Tabla5[[#This Row],[INVERSIONES FCI]])</f>
        <v>32754617888.895531</v>
      </c>
      <c r="CC225" s="5">
        <f>IF($B224&lt;=Tabla5[[#This Row],[INVERSIONES FCI]],+Tabla5[[#This Row],[INVERSIONES FCI]]-CC224,Tabla5[[#This Row],[INVERSIONES FCI]])</f>
        <v>32754617888.895531</v>
      </c>
      <c r="CD225" s="5">
        <f>IF($B224&lt;=Tabla5[[#This Row],[INVERSIONES FCI]],+Tabla5[[#This Row],[INVERSIONES FCI]]-CD224,Tabla5[[#This Row],[INVERSIONES FCI]])</f>
        <v>32754617888.895531</v>
      </c>
      <c r="CE225" s="5">
        <f>IF($B224&lt;=Tabla5[[#This Row],[INVERSIONES FCI]],+Tabla5[[#This Row],[INVERSIONES FCI]]-CE224,Tabla5[[#This Row],[INVERSIONES FCI]])</f>
        <v>32754617888.895531</v>
      </c>
      <c r="CF225" s="5">
        <f>IF($B224&lt;=Tabla5[[#This Row],[INVERSIONES FCI]],+Tabla5[[#This Row],[INVERSIONES FCI]]-CF224,Tabla5[[#This Row],[INVERSIONES FCI]])</f>
        <v>32754617888.895531</v>
      </c>
      <c r="CG225" s="5">
        <f>IF($B224&lt;=Tabla5[[#This Row],[INVERSIONES FCI]],+Tabla5[[#This Row],[INVERSIONES FCI]]-CG224,Tabla5[[#This Row],[INVERSIONES FCI]])</f>
        <v>32754617888.895531</v>
      </c>
      <c r="CH225" s="5">
        <f>IF($B224&lt;=Tabla5[[#This Row],[INVERSIONES FCI]],+Tabla5[[#This Row],[INVERSIONES FCI]]-CH224,Tabla5[[#This Row],[INVERSIONES FCI]])</f>
        <v>32754617888.895531</v>
      </c>
      <c r="CI225" s="5">
        <f>IF($B224&lt;=Tabla5[[#This Row],[INVERSIONES FCI]],+Tabla5[[#This Row],[INVERSIONES FCI]]-CI224,Tabla5[[#This Row],[INVERSIONES FCI]])</f>
        <v>32754617888.895531</v>
      </c>
      <c r="CJ225" s="5">
        <f>IF($B224&lt;=Tabla5[[#This Row],[INVERSIONES FCI]],+Tabla5[[#This Row],[INVERSIONES FCI]]-CJ224,Tabla5[[#This Row],[INVERSIONES FCI]])</f>
        <v>32754617888.895531</v>
      </c>
      <c r="CK225" s="5">
        <f>IF($B224&lt;=Tabla5[[#This Row],[INVERSIONES FCI]],+Tabla5[[#This Row],[INVERSIONES FCI]]-CK224,Tabla5[[#This Row],[INVERSIONES FCI]])</f>
        <v>32754617888.895531</v>
      </c>
      <c r="CL225" s="5">
        <f>IF($B224&lt;=Tabla5[[#This Row],[INVERSIONES FCI]],+Tabla5[[#This Row],[INVERSIONES FCI]]-CL224,Tabla5[[#This Row],[INVERSIONES FCI]])</f>
        <v>32754617888.895531</v>
      </c>
      <c r="CM225" s="5">
        <f>IF($B224&lt;=Tabla5[[#This Row],[INVERSIONES FCI]],+Tabla5[[#This Row],[INVERSIONES FCI]]-CM224,Tabla5[[#This Row],[INVERSIONES FCI]])</f>
        <v>32754617888.895531</v>
      </c>
      <c r="CN225" s="5">
        <f>IF($B224&lt;=Tabla5[[#This Row],[INVERSIONES FCI]],+Tabla5[[#This Row],[INVERSIONES FCI]]-CN224,Tabla5[[#This Row],[INVERSIONES FCI]])</f>
        <v>32754617888.895531</v>
      </c>
      <c r="CO225" s="5">
        <f>IF($B224&lt;=Tabla5[[#This Row],[INVERSIONES FCI]],+Tabla5[[#This Row],[INVERSIONES FCI]]-CO224,Tabla5[[#This Row],[INVERSIONES FCI]])</f>
        <v>32754617888.895531</v>
      </c>
      <c r="CP225" s="5">
        <f>IF($B224&lt;=Tabla5[[#This Row],[INVERSIONES FCI]],+Tabla5[[#This Row],[INVERSIONES FCI]]-CP224,Tabla5[[#This Row],[INVERSIONES FCI]])</f>
        <v>32754617888.895531</v>
      </c>
      <c r="CQ225" s="5">
        <f>IF($B224&lt;=Tabla5[[#This Row],[INVERSIONES FCI]],+Tabla5[[#This Row],[INVERSIONES FCI]]-CQ224,Tabla5[[#This Row],[INVERSIONES FCI]])</f>
        <v>32754617888.895531</v>
      </c>
      <c r="CR225" s="5">
        <f>IF($B224&lt;=Tabla5[[#This Row],[INVERSIONES FCI]],+Tabla5[[#This Row],[INVERSIONES FCI]]-CR224,Tabla5[[#This Row],[INVERSIONES FCI]])</f>
        <v>32754617888.895531</v>
      </c>
      <c r="CS225" s="5">
        <f>IF($B224&lt;=Tabla5[[#This Row],[INVERSIONES FCI]],+Tabla5[[#This Row],[INVERSIONES FCI]]-CS224,Tabla5[[#This Row],[INVERSIONES FCI]])</f>
        <v>32754617888.895531</v>
      </c>
      <c r="CT225" s="5">
        <f>IF($B224&lt;=Tabla5[[#This Row],[INVERSIONES FCI]],+Tabla5[[#This Row],[INVERSIONES FCI]]-CT224,Tabla5[[#This Row],[INVERSIONES FCI]])</f>
        <v>32754617888.895531</v>
      </c>
      <c r="CU225" s="5">
        <f>IF($B224&lt;=Tabla5[[#This Row],[INVERSIONES FCI]],+Tabla5[[#This Row],[INVERSIONES FCI]]-CU224,Tabla5[[#This Row],[INVERSIONES FCI]])</f>
        <v>32754617888.895531</v>
      </c>
      <c r="CV225" s="5">
        <f>IF($B224&lt;=Tabla5[[#This Row],[INVERSIONES FCI]],+Tabla5[[#This Row],[INVERSIONES FCI]]-CV224,Tabla5[[#This Row],[INVERSIONES FCI]])</f>
        <v>32754617888.895531</v>
      </c>
      <c r="CW225" s="5">
        <f>IF($B224&lt;=Tabla5[[#This Row],[INVERSIONES FCI]],+Tabla5[[#This Row],[INVERSIONES FCI]]-CW224,Tabla5[[#This Row],[INVERSIONES FCI]])</f>
        <v>32754617888.895531</v>
      </c>
      <c r="CX225" s="5">
        <f>IF($B224&lt;=Tabla5[[#This Row],[INVERSIONES FCI]],+Tabla5[[#This Row],[INVERSIONES FCI]]-CX224,Tabla5[[#This Row],[INVERSIONES FCI]])</f>
        <v>32754617888.895531</v>
      </c>
      <c r="CY225" s="5">
        <f>IF($B224&lt;=Tabla5[[#This Row],[INVERSIONES FCI]],+Tabla5[[#This Row],[INVERSIONES FCI]]-CY224,Tabla5[[#This Row],[INVERSIONES FCI]])</f>
        <v>32754617888.895531</v>
      </c>
      <c r="CZ225" s="5">
        <f>IF($B224&lt;=Tabla5[[#This Row],[INVERSIONES FCI]],+Tabla5[[#This Row],[INVERSIONES FCI]]-CZ224,Tabla5[[#This Row],[INVERSIONES FCI]])</f>
        <v>32754617888.895531</v>
      </c>
      <c r="DA225" s="5">
        <f>IF($B224&lt;=Tabla5[[#This Row],[INVERSIONES FCI]],+Tabla5[[#This Row],[INVERSIONES FCI]]-DA224,Tabla5[[#This Row],[INVERSIONES FCI]])</f>
        <v>32754617888.895531</v>
      </c>
      <c r="DB225" s="5">
        <f>IF($B224&lt;=Tabla5[[#This Row],[INVERSIONES FCI]],+Tabla5[[#This Row],[INVERSIONES FCI]]-DB224,Tabla5[[#This Row],[INVERSIONES FCI]])</f>
        <v>32754617888.895531</v>
      </c>
      <c r="DC225" s="5">
        <f>IF($B224&lt;=Tabla5[[#This Row],[INVERSIONES FCI]],+Tabla5[[#This Row],[INVERSIONES FCI]]-DC224,Tabla5[[#This Row],[INVERSIONES FCI]])</f>
        <v>32754617888.895531</v>
      </c>
      <c r="DD225" s="5">
        <f>IF($B224&lt;=Tabla5[[#This Row],[INVERSIONES FCI]],+Tabla5[[#This Row],[INVERSIONES FCI]]-DD224,Tabla5[[#This Row],[INVERSIONES FCI]])</f>
        <v>32754617888.895531</v>
      </c>
      <c r="DE225" s="5">
        <f>IF($B224&lt;=Tabla5[[#This Row],[INVERSIONES FCI]],+Tabla5[[#This Row],[INVERSIONES FCI]]-DE224,Tabla5[[#This Row],[INVERSIONES FCI]])</f>
        <v>32754617888.895531</v>
      </c>
      <c r="DF225" s="5">
        <f>IF($B224&lt;=Tabla5[[#This Row],[INVERSIONES FCI]],+Tabla5[[#This Row],[INVERSIONES FCI]]-DF224,Tabla5[[#This Row],[INVERSIONES FCI]])</f>
        <v>32754617888.895531</v>
      </c>
      <c r="DG225" s="5">
        <f>IF($B224&lt;=Tabla5[[#This Row],[INVERSIONES FCI]],+Tabla5[[#This Row],[INVERSIONES FCI]]-DG224,Tabla5[[#This Row],[INVERSIONES FCI]])</f>
        <v>32754617888.895531</v>
      </c>
      <c r="DH225" s="5">
        <f>IF($B224&lt;=Tabla5[[#This Row],[INVERSIONES FCI]],+Tabla5[[#This Row],[INVERSIONES FCI]]-DH224,Tabla5[[#This Row],[INVERSIONES FCI]])</f>
        <v>32754617888.895531</v>
      </c>
      <c r="DI225" s="5">
        <f>IF($B224&lt;=Tabla5[[#This Row],[INVERSIONES FCI]],+Tabla5[[#This Row],[INVERSIONES FCI]]-DI224,Tabla5[[#This Row],[INVERSIONES FCI]])</f>
        <v>32754617888.895531</v>
      </c>
      <c r="DJ225" s="5">
        <f>IF($B224&lt;=Tabla5[[#This Row],[INVERSIONES FCI]],+Tabla5[[#This Row],[INVERSIONES FCI]]-DJ224,Tabla5[[#This Row],[INVERSIONES FCI]])</f>
        <v>32754617888.895531</v>
      </c>
      <c r="DK225" s="5">
        <f>IF($B224&lt;=Tabla5[[#This Row],[INVERSIONES FCI]],+Tabla5[[#This Row],[INVERSIONES FCI]]-DK224,Tabla5[[#This Row],[INVERSIONES FCI]])</f>
        <v>32754617888.895531</v>
      </c>
      <c r="DL225" s="5"/>
      <c r="DM225" s="5"/>
      <c r="DN225" s="5"/>
      <c r="DO225" s="5"/>
      <c r="DP225" s="5"/>
      <c r="DQ225" s="5"/>
    </row>
    <row r="226" spans="1:121" ht="14.4">
      <c r="A226" s="12" t="s">
        <v>225</v>
      </c>
      <c r="B226" s="5">
        <f>HLOOKUP($A226,ESCENARIO[#All],7,FALSE)</f>
        <v>41760946807.210617</v>
      </c>
      <c r="C226" s="5">
        <f>IF($B225&lt;=Tabla5[[#This Row],[INVERSIONES FCI]],+Tabla5[[#This Row],[INVERSIONES FCI]]-C225,Tabla5[[#This Row],[INVERSIONES FCI]])</f>
        <v>9006328918.3150864</v>
      </c>
      <c r="D226" s="5">
        <f>IF($B225&lt;=Tabla5[[#This Row],[INVERSIONES FCI]],+Tabla5[[#This Row],[INVERSIONES FCI]]-D225,Tabla5[[#This Row],[INVERSIONES FCI]])</f>
        <v>9006328918.3150864</v>
      </c>
      <c r="E226" s="5">
        <f>IF($B225&lt;=Tabla5[[#This Row],[INVERSIONES FCI]],+Tabla5[[#This Row],[INVERSIONES FCI]]-E225,Tabla5[[#This Row],[INVERSIONES FCI]])</f>
        <v>9006328918.3150864</v>
      </c>
      <c r="F226" s="5">
        <f>IF($B225&lt;=Tabla5[[#This Row],[INVERSIONES FCI]],+Tabla5[[#This Row],[INVERSIONES FCI]]-F225,Tabla5[[#This Row],[INVERSIONES FCI]])</f>
        <v>9006328918.3150864</v>
      </c>
      <c r="G226" s="5">
        <f>IF($B225&lt;=Tabla5[[#This Row],[INVERSIONES FCI]],+Tabla5[[#This Row],[INVERSIONES FCI]]-G225,Tabla5[[#This Row],[INVERSIONES FCI]])</f>
        <v>9006328918.3150864</v>
      </c>
      <c r="H226" s="5">
        <f>IF($B225&lt;=Tabla5[[#This Row],[INVERSIONES FCI]],+Tabla5[[#This Row],[INVERSIONES FCI]]-H225,Tabla5[[#This Row],[INVERSIONES FCI]])</f>
        <v>9006328918.3150864</v>
      </c>
      <c r="I226" s="5">
        <f>IF($B225&lt;=Tabla5[[#This Row],[INVERSIONES FCI]],+Tabla5[[#This Row],[INVERSIONES FCI]]-I225,Tabla5[[#This Row],[INVERSIONES FCI]])</f>
        <v>9006328918.3150864</v>
      </c>
      <c r="J226" s="5">
        <f>IF($B225&lt;=Tabla5[[#This Row],[INVERSIONES FCI]],+Tabla5[[#This Row],[INVERSIONES FCI]]-J225,Tabla5[[#This Row],[INVERSIONES FCI]])</f>
        <v>9006328918.3150864</v>
      </c>
      <c r="K226" s="5">
        <f>IF($B225&lt;=Tabla5[[#This Row],[INVERSIONES FCI]],+Tabla5[[#This Row],[INVERSIONES FCI]]-K225,Tabla5[[#This Row],[INVERSIONES FCI]])</f>
        <v>9006328918.3150864</v>
      </c>
      <c r="L226" s="5">
        <f>IF($B225&lt;=Tabla5[[#This Row],[INVERSIONES FCI]],+Tabla5[[#This Row],[INVERSIONES FCI]]-L225,Tabla5[[#This Row],[INVERSIONES FCI]])</f>
        <v>9006328918.3150864</v>
      </c>
      <c r="M226" s="5">
        <f>IF($B225&lt;=Tabla5[[#This Row],[INVERSIONES FCI]],+Tabla5[[#This Row],[INVERSIONES FCI]]-M225,Tabla5[[#This Row],[INVERSIONES FCI]])</f>
        <v>9006328918.3150864</v>
      </c>
      <c r="N226" s="5">
        <f>IF($B225&lt;=Tabla5[[#This Row],[INVERSIONES FCI]],+Tabla5[[#This Row],[INVERSIONES FCI]]-N225,Tabla5[[#This Row],[INVERSIONES FCI]])</f>
        <v>9006328918.3150864</v>
      </c>
      <c r="O226" s="5">
        <f>IF($B225&lt;=Tabla5[[#This Row],[INVERSIONES FCI]],+Tabla5[[#This Row],[INVERSIONES FCI]]-O225,Tabla5[[#This Row],[INVERSIONES FCI]])</f>
        <v>9006328918.3150864</v>
      </c>
      <c r="P226" s="5">
        <f>IF($B225&lt;=Tabla5[[#This Row],[INVERSIONES FCI]],+Tabla5[[#This Row],[INVERSIONES FCI]]-P225,Tabla5[[#This Row],[INVERSIONES FCI]])</f>
        <v>9006328918.3150864</v>
      </c>
      <c r="Q226" s="5">
        <f>IF($B225&lt;=Tabla5[[#This Row],[INVERSIONES FCI]],+Tabla5[[#This Row],[INVERSIONES FCI]]-Q225,Tabla5[[#This Row],[INVERSIONES FCI]])</f>
        <v>9006328918.3150864</v>
      </c>
      <c r="R226" s="5">
        <f>IF($B225&lt;=Tabla5[[#This Row],[INVERSIONES FCI]],+Tabla5[[#This Row],[INVERSIONES FCI]]-R225,Tabla5[[#This Row],[INVERSIONES FCI]])</f>
        <v>9006328918.3150864</v>
      </c>
      <c r="S226" s="5">
        <f>IF($B225&lt;=Tabla5[[#This Row],[INVERSIONES FCI]],+Tabla5[[#This Row],[INVERSIONES FCI]]-S225,Tabla5[[#This Row],[INVERSIONES FCI]])</f>
        <v>9006328918.3150864</v>
      </c>
      <c r="T226" s="5">
        <f>IF($B225&lt;=Tabla5[[#This Row],[INVERSIONES FCI]],+Tabla5[[#This Row],[INVERSIONES FCI]]-T225,Tabla5[[#This Row],[INVERSIONES FCI]])</f>
        <v>9006328918.3150864</v>
      </c>
      <c r="U226" s="5">
        <f>IF($B225&lt;=Tabla5[[#This Row],[INVERSIONES FCI]],+Tabla5[[#This Row],[INVERSIONES FCI]]-U225,Tabla5[[#This Row],[INVERSIONES FCI]])</f>
        <v>9006328918.3150864</v>
      </c>
      <c r="V226" s="5">
        <f>IF($B225&lt;=Tabla5[[#This Row],[INVERSIONES FCI]],+Tabla5[[#This Row],[INVERSIONES FCI]]-V225,Tabla5[[#This Row],[INVERSIONES FCI]])</f>
        <v>9006328918.3150864</v>
      </c>
      <c r="W226" s="5">
        <f>IF($B225&lt;=Tabla5[[#This Row],[INVERSIONES FCI]],+Tabla5[[#This Row],[INVERSIONES FCI]]-W225,Tabla5[[#This Row],[INVERSIONES FCI]])</f>
        <v>9006328918.3150864</v>
      </c>
      <c r="X226" s="5">
        <f>IF($B225&lt;=Tabla5[[#This Row],[INVERSIONES FCI]],+Tabla5[[#This Row],[INVERSIONES FCI]]-X225,Tabla5[[#This Row],[INVERSIONES FCI]])</f>
        <v>9006328918.3150864</v>
      </c>
      <c r="Y226" s="5">
        <f>IF($B225&lt;=Tabla5[[#This Row],[INVERSIONES FCI]],+Tabla5[[#This Row],[INVERSIONES FCI]]-Y225,Tabla5[[#This Row],[INVERSIONES FCI]])</f>
        <v>9006328918.3150864</v>
      </c>
      <c r="Z226" s="5">
        <f>IF($B225&lt;=Tabla5[[#This Row],[INVERSIONES FCI]],+Tabla5[[#This Row],[INVERSIONES FCI]]-Z225,Tabla5[[#This Row],[INVERSIONES FCI]])</f>
        <v>9006328918.3150864</v>
      </c>
      <c r="AA226" s="5">
        <f>IF($B225&lt;=Tabla5[[#This Row],[INVERSIONES FCI]],+Tabla5[[#This Row],[INVERSIONES FCI]]-AA225,Tabla5[[#This Row],[INVERSIONES FCI]])</f>
        <v>9006328918.3150864</v>
      </c>
      <c r="AB226" s="5">
        <f>IF($B225&lt;=Tabla5[[#This Row],[INVERSIONES FCI]],+Tabla5[[#This Row],[INVERSIONES FCI]]-AB225,Tabla5[[#This Row],[INVERSIONES FCI]])</f>
        <v>9006328918.3150864</v>
      </c>
      <c r="AC226" s="5">
        <f>IF($B225&lt;=Tabla5[[#This Row],[INVERSIONES FCI]],+Tabla5[[#This Row],[INVERSIONES FCI]]-AC225,Tabla5[[#This Row],[INVERSIONES FCI]])</f>
        <v>9006328918.3150864</v>
      </c>
      <c r="AD226" s="5">
        <f>IF($B225&lt;=Tabla5[[#This Row],[INVERSIONES FCI]],+Tabla5[[#This Row],[INVERSIONES FCI]]-AD225,Tabla5[[#This Row],[INVERSIONES FCI]])</f>
        <v>9006328918.3150864</v>
      </c>
      <c r="AE226" s="5">
        <f>IF($B225&lt;=Tabla5[[#This Row],[INVERSIONES FCI]],+Tabla5[[#This Row],[INVERSIONES FCI]]-AE225,Tabla5[[#This Row],[INVERSIONES FCI]])</f>
        <v>9006328918.3150864</v>
      </c>
      <c r="AF226" s="5">
        <f>IF($B225&lt;=Tabla5[[#This Row],[INVERSIONES FCI]],+Tabla5[[#This Row],[INVERSIONES FCI]]-AF225,Tabla5[[#This Row],[INVERSIONES FCI]])</f>
        <v>9006328918.3150864</v>
      </c>
      <c r="AG226" s="5">
        <f>IF($B225&lt;=Tabla5[[#This Row],[INVERSIONES FCI]],+Tabla5[[#This Row],[INVERSIONES FCI]]-AG225,Tabla5[[#This Row],[INVERSIONES FCI]])</f>
        <v>9006328918.3150864</v>
      </c>
      <c r="AH226" s="5">
        <f>IF($B225&lt;=Tabla5[[#This Row],[INVERSIONES FCI]],+Tabla5[[#This Row],[INVERSIONES FCI]]-AH225,Tabla5[[#This Row],[INVERSIONES FCI]])</f>
        <v>9006328918.3150864</v>
      </c>
      <c r="AI226" s="5">
        <f>IF($B225&lt;=Tabla5[[#This Row],[INVERSIONES FCI]],+Tabla5[[#This Row],[INVERSIONES FCI]]-AI225,Tabla5[[#This Row],[INVERSIONES FCI]])</f>
        <v>9006328918.3150864</v>
      </c>
      <c r="AJ226" s="5">
        <f>IF($B225&lt;=Tabla5[[#This Row],[INVERSIONES FCI]],+Tabla5[[#This Row],[INVERSIONES FCI]]-AJ225,Tabla5[[#This Row],[INVERSIONES FCI]])</f>
        <v>9006328918.3150864</v>
      </c>
      <c r="AK226" s="5">
        <f>IF($B225&lt;=Tabla5[[#This Row],[INVERSIONES FCI]],+Tabla5[[#This Row],[INVERSIONES FCI]]-AK225,Tabla5[[#This Row],[INVERSIONES FCI]])</f>
        <v>9006328918.3150864</v>
      </c>
      <c r="AL226" s="5">
        <f>IF($B225&lt;=Tabla5[[#This Row],[INVERSIONES FCI]],+Tabla5[[#This Row],[INVERSIONES FCI]]-AL225,Tabla5[[#This Row],[INVERSIONES FCI]])</f>
        <v>9006328918.3150864</v>
      </c>
      <c r="AM226" s="5">
        <f>IF($B225&lt;=Tabla5[[#This Row],[INVERSIONES FCI]],+Tabla5[[#This Row],[INVERSIONES FCI]]-AM225,Tabla5[[#This Row],[INVERSIONES FCI]])</f>
        <v>9006328918.3150864</v>
      </c>
      <c r="AN226" s="5">
        <f>IF($B225&lt;=Tabla5[[#This Row],[INVERSIONES FCI]],+Tabla5[[#This Row],[INVERSIONES FCI]]-AN225,Tabla5[[#This Row],[INVERSIONES FCI]])</f>
        <v>9006328918.3150864</v>
      </c>
      <c r="AO226" s="5">
        <f>IF($B225&lt;=Tabla5[[#This Row],[INVERSIONES FCI]],+Tabla5[[#This Row],[INVERSIONES FCI]]-AO225,Tabla5[[#This Row],[INVERSIONES FCI]])</f>
        <v>9006328918.3150864</v>
      </c>
      <c r="AP226" s="5">
        <f>IF($B225&lt;=Tabla5[[#This Row],[INVERSIONES FCI]],+Tabla5[[#This Row],[INVERSIONES FCI]]-AP225,Tabla5[[#This Row],[INVERSIONES FCI]])</f>
        <v>9006328918.3150864</v>
      </c>
      <c r="AQ226" s="5">
        <f>IF($B225&lt;=Tabla5[[#This Row],[INVERSIONES FCI]],+Tabla5[[#This Row],[INVERSIONES FCI]]-AQ225,Tabla5[[#This Row],[INVERSIONES FCI]])</f>
        <v>9006328918.3150864</v>
      </c>
      <c r="AR226" s="5">
        <f>IF($B225&lt;=Tabla5[[#This Row],[INVERSIONES FCI]],+Tabla5[[#This Row],[INVERSIONES FCI]]-AR225,Tabla5[[#This Row],[INVERSIONES FCI]])</f>
        <v>9006328918.3150864</v>
      </c>
      <c r="AS226" s="5">
        <f>IF($B225&lt;=Tabla5[[#This Row],[INVERSIONES FCI]],+Tabla5[[#This Row],[INVERSIONES FCI]]-AS225,Tabla5[[#This Row],[INVERSIONES FCI]])</f>
        <v>9006328918.3150864</v>
      </c>
      <c r="AT226" s="5">
        <f>IF($B225&lt;=Tabla5[[#This Row],[INVERSIONES FCI]],+Tabla5[[#This Row],[INVERSIONES FCI]]-AT225,Tabla5[[#This Row],[INVERSIONES FCI]])</f>
        <v>9006328918.3150864</v>
      </c>
      <c r="AU226" s="5">
        <f>IF($B225&lt;=Tabla5[[#This Row],[INVERSIONES FCI]],+Tabla5[[#This Row],[INVERSIONES FCI]]-AU225,Tabla5[[#This Row],[INVERSIONES FCI]])</f>
        <v>9006328918.3150864</v>
      </c>
      <c r="AV226" s="5">
        <f>IF($B225&lt;=Tabla5[[#This Row],[INVERSIONES FCI]],+Tabla5[[#This Row],[INVERSIONES FCI]]-AV225,Tabla5[[#This Row],[INVERSIONES FCI]])</f>
        <v>9006328918.3150864</v>
      </c>
      <c r="AW226" s="5">
        <f>IF($B225&lt;=Tabla5[[#This Row],[INVERSIONES FCI]],+Tabla5[[#This Row],[INVERSIONES FCI]]-AW225,Tabla5[[#This Row],[INVERSIONES FCI]])</f>
        <v>9006328918.3150864</v>
      </c>
      <c r="AX226" s="5">
        <f>IF($B225&lt;=Tabla5[[#This Row],[INVERSIONES FCI]],+Tabla5[[#This Row],[INVERSIONES FCI]]-AX225,Tabla5[[#This Row],[INVERSIONES FCI]])</f>
        <v>9006328918.3150864</v>
      </c>
      <c r="AY226" s="5">
        <f>IF($B225&lt;=Tabla5[[#This Row],[INVERSIONES FCI]],+Tabla5[[#This Row],[INVERSIONES FCI]]-AY225,Tabla5[[#This Row],[INVERSIONES FCI]])</f>
        <v>9006328918.3150864</v>
      </c>
      <c r="AZ226" s="5">
        <f>IF($B225&lt;=Tabla5[[#This Row],[INVERSIONES FCI]],+Tabla5[[#This Row],[INVERSIONES FCI]]-AZ225,Tabla5[[#This Row],[INVERSIONES FCI]])</f>
        <v>9006328918.3150864</v>
      </c>
      <c r="BA226" s="5">
        <f>IF($B225&lt;=Tabla5[[#This Row],[INVERSIONES FCI]],+Tabla5[[#This Row],[INVERSIONES FCI]]-BA225,Tabla5[[#This Row],[INVERSIONES FCI]])</f>
        <v>9006328918.3150864</v>
      </c>
      <c r="BB226" s="5">
        <f>IF($B225&lt;=Tabla5[[#This Row],[INVERSIONES FCI]],+Tabla5[[#This Row],[INVERSIONES FCI]]-BB225,Tabla5[[#This Row],[INVERSIONES FCI]])</f>
        <v>9006328918.3150864</v>
      </c>
      <c r="BC226" s="5">
        <f>IF($B225&lt;=Tabla5[[#This Row],[INVERSIONES FCI]],+Tabla5[[#This Row],[INVERSIONES FCI]]-BC225,Tabla5[[#This Row],[INVERSIONES FCI]])</f>
        <v>9006328918.3150864</v>
      </c>
      <c r="BD226" s="5">
        <f>IF($B225&lt;=Tabla5[[#This Row],[INVERSIONES FCI]],+Tabla5[[#This Row],[INVERSIONES FCI]]-BD225,Tabla5[[#This Row],[INVERSIONES FCI]])</f>
        <v>9006328918.3150864</v>
      </c>
      <c r="BE226" s="5">
        <f>IF($B225&lt;=Tabla5[[#This Row],[INVERSIONES FCI]],+Tabla5[[#This Row],[INVERSIONES FCI]]-BE225,Tabla5[[#This Row],[INVERSIONES FCI]])</f>
        <v>9006328918.3150864</v>
      </c>
      <c r="BF226" s="5">
        <f>IF($B225&lt;=Tabla5[[#This Row],[INVERSIONES FCI]],+Tabla5[[#This Row],[INVERSIONES FCI]]-BF225,Tabla5[[#This Row],[INVERSIONES FCI]])</f>
        <v>9006328918.3150864</v>
      </c>
      <c r="BG226" s="5">
        <f>IF($B225&lt;=Tabla5[[#This Row],[INVERSIONES FCI]],+Tabla5[[#This Row],[INVERSIONES FCI]]-BG225,Tabla5[[#This Row],[INVERSIONES FCI]])</f>
        <v>9006328918.3150864</v>
      </c>
      <c r="BH226" s="5">
        <f>IF($B225&lt;=Tabla5[[#This Row],[INVERSIONES FCI]],+Tabla5[[#This Row],[INVERSIONES FCI]]-BH225,Tabla5[[#This Row],[INVERSIONES FCI]])</f>
        <v>9006328918.3150864</v>
      </c>
      <c r="BI226" s="5">
        <f>IF($B225&lt;=Tabla5[[#This Row],[INVERSIONES FCI]],+Tabla5[[#This Row],[INVERSIONES FCI]]-BI225,Tabla5[[#This Row],[INVERSIONES FCI]])</f>
        <v>9006328918.3150864</v>
      </c>
      <c r="BJ226" s="5">
        <f>IF($B225&lt;=Tabla5[[#This Row],[INVERSIONES FCI]],+Tabla5[[#This Row],[INVERSIONES FCI]]-BJ225,Tabla5[[#This Row],[INVERSIONES FCI]])</f>
        <v>9006328918.3150864</v>
      </c>
      <c r="BK226" s="5">
        <f>IF($B225&lt;=Tabla5[[#This Row],[INVERSIONES FCI]],+Tabla5[[#This Row],[INVERSIONES FCI]]-BK225,Tabla5[[#This Row],[INVERSIONES FCI]])</f>
        <v>9006328918.3150864</v>
      </c>
      <c r="BL226" s="5">
        <f>IF($B225&lt;=Tabla5[[#This Row],[INVERSIONES FCI]],+Tabla5[[#This Row],[INVERSIONES FCI]]-BL225,Tabla5[[#This Row],[INVERSIONES FCI]])</f>
        <v>9006328918.3150864</v>
      </c>
      <c r="BM226" s="5">
        <f>IF($B225&lt;=Tabla5[[#This Row],[INVERSIONES FCI]],+Tabla5[[#This Row],[INVERSIONES FCI]]-BM225,Tabla5[[#This Row],[INVERSIONES FCI]])</f>
        <v>9006328918.3150864</v>
      </c>
      <c r="BN226" s="5">
        <f>IF($B225&lt;=Tabla5[[#This Row],[INVERSIONES FCI]],+Tabla5[[#This Row],[INVERSIONES FCI]]-BN225,Tabla5[[#This Row],[INVERSIONES FCI]])</f>
        <v>9006328918.3150864</v>
      </c>
      <c r="BO226" s="5">
        <f>IF($B225&lt;=Tabla5[[#This Row],[INVERSIONES FCI]],+Tabla5[[#This Row],[INVERSIONES FCI]]-BO225,Tabla5[[#This Row],[INVERSIONES FCI]])</f>
        <v>9006328918.3150864</v>
      </c>
      <c r="BP226" s="5">
        <f>IF($B225&lt;=Tabla5[[#This Row],[INVERSIONES FCI]],+Tabla5[[#This Row],[INVERSIONES FCI]]-BP225,Tabla5[[#This Row],[INVERSIONES FCI]])</f>
        <v>9006328918.3150864</v>
      </c>
      <c r="BQ226" s="5">
        <f>IF($B225&lt;=Tabla5[[#This Row],[INVERSIONES FCI]],+Tabla5[[#This Row],[INVERSIONES FCI]]-BQ225,Tabla5[[#This Row],[INVERSIONES FCI]])</f>
        <v>9006328918.3150864</v>
      </c>
      <c r="BR226" s="5">
        <f>IF($B225&lt;=Tabla5[[#This Row],[INVERSIONES FCI]],+Tabla5[[#This Row],[INVERSIONES FCI]]-BR225,Tabla5[[#This Row],[INVERSIONES FCI]])</f>
        <v>9006328918.3150864</v>
      </c>
      <c r="BS226" s="5">
        <f>IF($B225&lt;=Tabla5[[#This Row],[INVERSIONES FCI]],+Tabla5[[#This Row],[INVERSIONES FCI]]-BS225,Tabla5[[#This Row],[INVERSIONES FCI]])</f>
        <v>9006328918.3150864</v>
      </c>
      <c r="BT226" s="5">
        <f>IF($B225&lt;=Tabla5[[#This Row],[INVERSIONES FCI]],+Tabla5[[#This Row],[INVERSIONES FCI]]-BT225,Tabla5[[#This Row],[INVERSIONES FCI]])</f>
        <v>9006328918.3150864</v>
      </c>
      <c r="BU226" s="5">
        <f>IF($B225&lt;=Tabla5[[#This Row],[INVERSIONES FCI]],+Tabla5[[#This Row],[INVERSIONES FCI]]-BU225,Tabla5[[#This Row],[INVERSIONES FCI]])</f>
        <v>9006328918.3150864</v>
      </c>
      <c r="BV226" s="5">
        <f>IF($B225&lt;=Tabla5[[#This Row],[INVERSIONES FCI]],+Tabla5[[#This Row],[INVERSIONES FCI]]-BV225,Tabla5[[#This Row],[INVERSIONES FCI]])</f>
        <v>9006328918.3150864</v>
      </c>
      <c r="BW226" s="5">
        <f>IF($B225&lt;=Tabla5[[#This Row],[INVERSIONES FCI]],+Tabla5[[#This Row],[INVERSIONES FCI]]-BW225,Tabla5[[#This Row],[INVERSIONES FCI]])</f>
        <v>9006328918.3150864</v>
      </c>
      <c r="BX226" s="5">
        <f>IF($B225&lt;=Tabla5[[#This Row],[INVERSIONES FCI]],+Tabla5[[#This Row],[INVERSIONES FCI]]-BX225,Tabla5[[#This Row],[INVERSIONES FCI]])</f>
        <v>9006328918.3150864</v>
      </c>
      <c r="BY226" s="5">
        <f>IF($B225&lt;=Tabla5[[#This Row],[INVERSIONES FCI]],+Tabla5[[#This Row],[INVERSIONES FCI]]-BY225,Tabla5[[#This Row],[INVERSIONES FCI]])</f>
        <v>9006328918.3150864</v>
      </c>
      <c r="BZ226" s="5">
        <f>IF($B225&lt;=Tabla5[[#This Row],[INVERSIONES FCI]],+Tabla5[[#This Row],[INVERSIONES FCI]]-BZ225,Tabla5[[#This Row],[INVERSIONES FCI]])</f>
        <v>9006328918.3150864</v>
      </c>
      <c r="CA226" s="5">
        <f>IF($B225&lt;=Tabla5[[#This Row],[INVERSIONES FCI]],+Tabla5[[#This Row],[INVERSIONES FCI]]-CA225,Tabla5[[#This Row],[INVERSIONES FCI]])</f>
        <v>9006328918.3150864</v>
      </c>
      <c r="CB226" s="5">
        <f>IF($B225&lt;=Tabla5[[#This Row],[INVERSIONES FCI]],+Tabla5[[#This Row],[INVERSIONES FCI]]-CB225,Tabla5[[#This Row],[INVERSIONES FCI]])</f>
        <v>9006328918.3150864</v>
      </c>
      <c r="CC226" s="5">
        <f>IF($B225&lt;=Tabla5[[#This Row],[INVERSIONES FCI]],+Tabla5[[#This Row],[INVERSIONES FCI]]-CC225,Tabla5[[#This Row],[INVERSIONES FCI]])</f>
        <v>9006328918.3150864</v>
      </c>
      <c r="CD226" s="5">
        <f>IF($B225&lt;=Tabla5[[#This Row],[INVERSIONES FCI]],+Tabla5[[#This Row],[INVERSIONES FCI]]-CD225,Tabla5[[#This Row],[INVERSIONES FCI]])</f>
        <v>9006328918.3150864</v>
      </c>
      <c r="CE226" s="5">
        <f>IF($B225&lt;=Tabla5[[#This Row],[INVERSIONES FCI]],+Tabla5[[#This Row],[INVERSIONES FCI]]-CE225,Tabla5[[#This Row],[INVERSIONES FCI]])</f>
        <v>9006328918.3150864</v>
      </c>
      <c r="CF226" s="5">
        <f>IF($B225&lt;=Tabla5[[#This Row],[INVERSIONES FCI]],+Tabla5[[#This Row],[INVERSIONES FCI]]-CF225,Tabla5[[#This Row],[INVERSIONES FCI]])</f>
        <v>9006328918.3150864</v>
      </c>
      <c r="CG226" s="5">
        <f>IF($B225&lt;=Tabla5[[#This Row],[INVERSIONES FCI]],+Tabla5[[#This Row],[INVERSIONES FCI]]-CG225,Tabla5[[#This Row],[INVERSIONES FCI]])</f>
        <v>9006328918.3150864</v>
      </c>
      <c r="CH226" s="5">
        <f>IF($B225&lt;=Tabla5[[#This Row],[INVERSIONES FCI]],+Tabla5[[#This Row],[INVERSIONES FCI]]-CH225,Tabla5[[#This Row],[INVERSIONES FCI]])</f>
        <v>9006328918.3150864</v>
      </c>
      <c r="CI226" s="5">
        <f>IF($B225&lt;=Tabla5[[#This Row],[INVERSIONES FCI]],+Tabla5[[#This Row],[INVERSIONES FCI]]-CI225,Tabla5[[#This Row],[INVERSIONES FCI]])</f>
        <v>9006328918.3150864</v>
      </c>
      <c r="CJ226" s="5">
        <f>IF($B225&lt;=Tabla5[[#This Row],[INVERSIONES FCI]],+Tabla5[[#This Row],[INVERSIONES FCI]]-CJ225,Tabla5[[#This Row],[INVERSIONES FCI]])</f>
        <v>9006328918.3150864</v>
      </c>
      <c r="CK226" s="5">
        <f>IF($B225&lt;=Tabla5[[#This Row],[INVERSIONES FCI]],+Tabla5[[#This Row],[INVERSIONES FCI]]-CK225,Tabla5[[#This Row],[INVERSIONES FCI]])</f>
        <v>9006328918.3150864</v>
      </c>
      <c r="CL226" s="5">
        <f>IF($B225&lt;=Tabla5[[#This Row],[INVERSIONES FCI]],+Tabla5[[#This Row],[INVERSIONES FCI]]-CL225,Tabla5[[#This Row],[INVERSIONES FCI]])</f>
        <v>9006328918.3150864</v>
      </c>
      <c r="CM226" s="5">
        <f>IF($B225&lt;=Tabla5[[#This Row],[INVERSIONES FCI]],+Tabla5[[#This Row],[INVERSIONES FCI]]-CM225,Tabla5[[#This Row],[INVERSIONES FCI]])</f>
        <v>9006328918.3150864</v>
      </c>
      <c r="CN226" s="5">
        <f>IF($B225&lt;=Tabla5[[#This Row],[INVERSIONES FCI]],+Tabla5[[#This Row],[INVERSIONES FCI]]-CN225,Tabla5[[#This Row],[INVERSIONES FCI]])</f>
        <v>9006328918.3150864</v>
      </c>
      <c r="CO226" s="5">
        <f>IF($B225&lt;=Tabla5[[#This Row],[INVERSIONES FCI]],+Tabla5[[#This Row],[INVERSIONES FCI]]-CO225,Tabla5[[#This Row],[INVERSIONES FCI]])</f>
        <v>9006328918.3150864</v>
      </c>
      <c r="CP226" s="5">
        <f>IF($B225&lt;=Tabla5[[#This Row],[INVERSIONES FCI]],+Tabla5[[#This Row],[INVERSIONES FCI]]-CP225,Tabla5[[#This Row],[INVERSIONES FCI]])</f>
        <v>9006328918.3150864</v>
      </c>
      <c r="CQ226" s="5">
        <f>IF($B225&lt;=Tabla5[[#This Row],[INVERSIONES FCI]],+Tabla5[[#This Row],[INVERSIONES FCI]]-CQ225,Tabla5[[#This Row],[INVERSIONES FCI]])</f>
        <v>9006328918.3150864</v>
      </c>
      <c r="CR226" s="5">
        <f>IF($B225&lt;=Tabla5[[#This Row],[INVERSIONES FCI]],+Tabla5[[#This Row],[INVERSIONES FCI]]-CR225,Tabla5[[#This Row],[INVERSIONES FCI]])</f>
        <v>9006328918.3150864</v>
      </c>
      <c r="CS226" s="5">
        <f>IF($B225&lt;=Tabla5[[#This Row],[INVERSIONES FCI]],+Tabla5[[#This Row],[INVERSIONES FCI]]-CS225,Tabla5[[#This Row],[INVERSIONES FCI]])</f>
        <v>9006328918.3150864</v>
      </c>
      <c r="CT226" s="5">
        <f>IF($B225&lt;=Tabla5[[#This Row],[INVERSIONES FCI]],+Tabla5[[#This Row],[INVERSIONES FCI]]-CT225,Tabla5[[#This Row],[INVERSIONES FCI]])</f>
        <v>9006328918.3150864</v>
      </c>
      <c r="CU226" s="5">
        <f>IF($B225&lt;=Tabla5[[#This Row],[INVERSIONES FCI]],+Tabla5[[#This Row],[INVERSIONES FCI]]-CU225,Tabla5[[#This Row],[INVERSIONES FCI]])</f>
        <v>9006328918.3150864</v>
      </c>
      <c r="CV226" s="5">
        <f>IF($B225&lt;=Tabla5[[#This Row],[INVERSIONES FCI]],+Tabla5[[#This Row],[INVERSIONES FCI]]-CV225,Tabla5[[#This Row],[INVERSIONES FCI]])</f>
        <v>9006328918.3150864</v>
      </c>
      <c r="CW226" s="5">
        <f>IF($B225&lt;=Tabla5[[#This Row],[INVERSIONES FCI]],+Tabla5[[#This Row],[INVERSIONES FCI]]-CW225,Tabla5[[#This Row],[INVERSIONES FCI]])</f>
        <v>9006328918.3150864</v>
      </c>
      <c r="CX226" s="5">
        <f>IF($B225&lt;=Tabla5[[#This Row],[INVERSIONES FCI]],+Tabla5[[#This Row],[INVERSIONES FCI]]-CX225,Tabla5[[#This Row],[INVERSIONES FCI]])</f>
        <v>9006328918.3150864</v>
      </c>
      <c r="CY226" s="5">
        <f>IF($B225&lt;=Tabla5[[#This Row],[INVERSIONES FCI]],+Tabla5[[#This Row],[INVERSIONES FCI]]-CY225,Tabla5[[#This Row],[INVERSIONES FCI]])</f>
        <v>9006328918.3150864</v>
      </c>
      <c r="CZ226" s="5">
        <f>IF($B225&lt;=Tabla5[[#This Row],[INVERSIONES FCI]],+Tabla5[[#This Row],[INVERSIONES FCI]]-CZ225,Tabla5[[#This Row],[INVERSIONES FCI]])</f>
        <v>9006328918.3150864</v>
      </c>
      <c r="DA226" s="5">
        <f>IF($B225&lt;=Tabla5[[#This Row],[INVERSIONES FCI]],+Tabla5[[#This Row],[INVERSIONES FCI]]-DA225,Tabla5[[#This Row],[INVERSIONES FCI]])</f>
        <v>9006328918.3150864</v>
      </c>
      <c r="DB226" s="5">
        <f>IF($B225&lt;=Tabla5[[#This Row],[INVERSIONES FCI]],+Tabla5[[#This Row],[INVERSIONES FCI]]-DB225,Tabla5[[#This Row],[INVERSIONES FCI]])</f>
        <v>9006328918.3150864</v>
      </c>
      <c r="DC226" s="5">
        <f>IF($B225&lt;=Tabla5[[#This Row],[INVERSIONES FCI]],+Tabla5[[#This Row],[INVERSIONES FCI]]-DC225,Tabla5[[#This Row],[INVERSIONES FCI]])</f>
        <v>9006328918.3150864</v>
      </c>
      <c r="DD226" s="5">
        <f>IF($B225&lt;=Tabla5[[#This Row],[INVERSIONES FCI]],+Tabla5[[#This Row],[INVERSIONES FCI]]-DD225,Tabla5[[#This Row],[INVERSIONES FCI]])</f>
        <v>9006328918.3150864</v>
      </c>
      <c r="DE226" s="5">
        <f>IF($B225&lt;=Tabla5[[#This Row],[INVERSIONES FCI]],+Tabla5[[#This Row],[INVERSIONES FCI]]-DE225,Tabla5[[#This Row],[INVERSIONES FCI]])</f>
        <v>9006328918.3150864</v>
      </c>
      <c r="DF226" s="5">
        <f>IF($B225&lt;=Tabla5[[#This Row],[INVERSIONES FCI]],+Tabla5[[#This Row],[INVERSIONES FCI]]-DF225,Tabla5[[#This Row],[INVERSIONES FCI]])</f>
        <v>9006328918.3150864</v>
      </c>
      <c r="DG226" s="5">
        <f>IF($B225&lt;=Tabla5[[#This Row],[INVERSIONES FCI]],+Tabla5[[#This Row],[INVERSIONES FCI]]-DG225,Tabla5[[#This Row],[INVERSIONES FCI]])</f>
        <v>9006328918.3150864</v>
      </c>
      <c r="DH226" s="5">
        <f>IF($B225&lt;=Tabla5[[#This Row],[INVERSIONES FCI]],+Tabla5[[#This Row],[INVERSIONES FCI]]-DH225,Tabla5[[#This Row],[INVERSIONES FCI]])</f>
        <v>9006328918.3150864</v>
      </c>
      <c r="DI226" s="5">
        <f>IF($B225&lt;=Tabla5[[#This Row],[INVERSIONES FCI]],+Tabla5[[#This Row],[INVERSIONES FCI]]-DI225,Tabla5[[#This Row],[INVERSIONES FCI]])</f>
        <v>9006328918.3150864</v>
      </c>
      <c r="DJ226" s="5">
        <f>IF($B225&lt;=Tabla5[[#This Row],[INVERSIONES FCI]],+Tabla5[[#This Row],[INVERSIONES FCI]]-DJ225,Tabla5[[#This Row],[INVERSIONES FCI]])</f>
        <v>9006328918.3150864</v>
      </c>
      <c r="DK226" s="5">
        <f>IF($B225&lt;=Tabla5[[#This Row],[INVERSIONES FCI]],+Tabla5[[#This Row],[INVERSIONES FCI]]-DK225,Tabla5[[#This Row],[INVERSIONES FCI]])</f>
        <v>9006328918.3150864</v>
      </c>
      <c r="DL226" s="5"/>
      <c r="DM226" s="5"/>
      <c r="DN226" s="5"/>
      <c r="DO226" s="5"/>
      <c r="DP226" s="5"/>
      <c r="DQ226" s="5"/>
    </row>
    <row r="227" spans="1:121" ht="14.4">
      <c r="A227" s="12" t="s">
        <v>226</v>
      </c>
      <c r="B227" s="5">
        <f>HLOOKUP($A227,ESCENARIO[#All],7,FALSE)</f>
        <v>41760946807.210617</v>
      </c>
      <c r="C227" s="5">
        <f>IF($B226&lt;=Tabla5[[#This Row],[INVERSIONES FCI]],+Tabla5[[#This Row],[INVERSIONES FCI]]-C226,Tabla5[[#This Row],[INVERSIONES FCI]])</f>
        <v>32754617888.895531</v>
      </c>
      <c r="D227" s="5">
        <f>IF($B226&lt;=Tabla5[[#This Row],[INVERSIONES FCI]],+Tabla5[[#This Row],[INVERSIONES FCI]]-D226,Tabla5[[#This Row],[INVERSIONES FCI]])</f>
        <v>32754617888.895531</v>
      </c>
      <c r="E227" s="5">
        <f>IF($B226&lt;=Tabla5[[#This Row],[INVERSIONES FCI]],+Tabla5[[#This Row],[INVERSIONES FCI]]-E226,Tabla5[[#This Row],[INVERSIONES FCI]])</f>
        <v>32754617888.895531</v>
      </c>
      <c r="F227" s="5">
        <f>IF($B226&lt;=Tabla5[[#This Row],[INVERSIONES FCI]],+Tabla5[[#This Row],[INVERSIONES FCI]]-F226,Tabla5[[#This Row],[INVERSIONES FCI]])</f>
        <v>32754617888.895531</v>
      </c>
      <c r="G227" s="5">
        <f>IF($B226&lt;=Tabla5[[#This Row],[INVERSIONES FCI]],+Tabla5[[#This Row],[INVERSIONES FCI]]-G226,Tabla5[[#This Row],[INVERSIONES FCI]])</f>
        <v>32754617888.895531</v>
      </c>
      <c r="H227" s="5">
        <f>IF($B226&lt;=Tabla5[[#This Row],[INVERSIONES FCI]],+Tabla5[[#This Row],[INVERSIONES FCI]]-H226,Tabla5[[#This Row],[INVERSIONES FCI]])</f>
        <v>32754617888.895531</v>
      </c>
      <c r="I227" s="5">
        <f>IF($B226&lt;=Tabla5[[#This Row],[INVERSIONES FCI]],+Tabla5[[#This Row],[INVERSIONES FCI]]-I226,Tabla5[[#This Row],[INVERSIONES FCI]])</f>
        <v>32754617888.895531</v>
      </c>
      <c r="J227" s="5">
        <f>IF($B226&lt;=Tabla5[[#This Row],[INVERSIONES FCI]],+Tabla5[[#This Row],[INVERSIONES FCI]]-J226,Tabla5[[#This Row],[INVERSIONES FCI]])</f>
        <v>32754617888.895531</v>
      </c>
      <c r="K227" s="5">
        <f>IF($B226&lt;=Tabla5[[#This Row],[INVERSIONES FCI]],+Tabla5[[#This Row],[INVERSIONES FCI]]-K226,Tabla5[[#This Row],[INVERSIONES FCI]])</f>
        <v>32754617888.895531</v>
      </c>
      <c r="L227" s="5">
        <f>IF($B226&lt;=Tabla5[[#This Row],[INVERSIONES FCI]],+Tabla5[[#This Row],[INVERSIONES FCI]]-L226,Tabla5[[#This Row],[INVERSIONES FCI]])</f>
        <v>32754617888.895531</v>
      </c>
      <c r="M227" s="5">
        <f>IF($B226&lt;=Tabla5[[#This Row],[INVERSIONES FCI]],+Tabla5[[#This Row],[INVERSIONES FCI]]-M226,Tabla5[[#This Row],[INVERSIONES FCI]])</f>
        <v>32754617888.895531</v>
      </c>
      <c r="N227" s="5">
        <f>IF($B226&lt;=Tabla5[[#This Row],[INVERSIONES FCI]],+Tabla5[[#This Row],[INVERSIONES FCI]]-N226,Tabla5[[#This Row],[INVERSIONES FCI]])</f>
        <v>32754617888.895531</v>
      </c>
      <c r="O227" s="5">
        <f>IF($B226&lt;=Tabla5[[#This Row],[INVERSIONES FCI]],+Tabla5[[#This Row],[INVERSIONES FCI]]-O226,Tabla5[[#This Row],[INVERSIONES FCI]])</f>
        <v>32754617888.895531</v>
      </c>
      <c r="P227" s="5">
        <f>IF($B226&lt;=Tabla5[[#This Row],[INVERSIONES FCI]],+Tabla5[[#This Row],[INVERSIONES FCI]]-P226,Tabla5[[#This Row],[INVERSIONES FCI]])</f>
        <v>32754617888.895531</v>
      </c>
      <c r="Q227" s="5">
        <f>IF($B226&lt;=Tabla5[[#This Row],[INVERSIONES FCI]],+Tabla5[[#This Row],[INVERSIONES FCI]]-Q226,Tabla5[[#This Row],[INVERSIONES FCI]])</f>
        <v>32754617888.895531</v>
      </c>
      <c r="R227" s="5">
        <f>IF($B226&lt;=Tabla5[[#This Row],[INVERSIONES FCI]],+Tabla5[[#This Row],[INVERSIONES FCI]]-R226,Tabla5[[#This Row],[INVERSIONES FCI]])</f>
        <v>32754617888.895531</v>
      </c>
      <c r="S227" s="5">
        <f>IF($B226&lt;=Tabla5[[#This Row],[INVERSIONES FCI]],+Tabla5[[#This Row],[INVERSIONES FCI]]-S226,Tabla5[[#This Row],[INVERSIONES FCI]])</f>
        <v>32754617888.895531</v>
      </c>
      <c r="T227" s="5">
        <f>IF($B226&lt;=Tabla5[[#This Row],[INVERSIONES FCI]],+Tabla5[[#This Row],[INVERSIONES FCI]]-T226,Tabla5[[#This Row],[INVERSIONES FCI]])</f>
        <v>32754617888.895531</v>
      </c>
      <c r="U227" s="5">
        <f>IF($B226&lt;=Tabla5[[#This Row],[INVERSIONES FCI]],+Tabla5[[#This Row],[INVERSIONES FCI]]-U226,Tabla5[[#This Row],[INVERSIONES FCI]])</f>
        <v>32754617888.895531</v>
      </c>
      <c r="V227" s="5">
        <f>IF($B226&lt;=Tabla5[[#This Row],[INVERSIONES FCI]],+Tabla5[[#This Row],[INVERSIONES FCI]]-V226,Tabla5[[#This Row],[INVERSIONES FCI]])</f>
        <v>32754617888.895531</v>
      </c>
      <c r="W227" s="5">
        <f>IF($B226&lt;=Tabla5[[#This Row],[INVERSIONES FCI]],+Tabla5[[#This Row],[INVERSIONES FCI]]-W226,Tabla5[[#This Row],[INVERSIONES FCI]])</f>
        <v>32754617888.895531</v>
      </c>
      <c r="X227" s="5">
        <f>IF($B226&lt;=Tabla5[[#This Row],[INVERSIONES FCI]],+Tabla5[[#This Row],[INVERSIONES FCI]]-X226,Tabla5[[#This Row],[INVERSIONES FCI]])</f>
        <v>32754617888.895531</v>
      </c>
      <c r="Y227" s="5">
        <f>IF($B226&lt;=Tabla5[[#This Row],[INVERSIONES FCI]],+Tabla5[[#This Row],[INVERSIONES FCI]]-Y226,Tabla5[[#This Row],[INVERSIONES FCI]])</f>
        <v>32754617888.895531</v>
      </c>
      <c r="Z227" s="5">
        <f>IF($B226&lt;=Tabla5[[#This Row],[INVERSIONES FCI]],+Tabla5[[#This Row],[INVERSIONES FCI]]-Z226,Tabla5[[#This Row],[INVERSIONES FCI]])</f>
        <v>32754617888.895531</v>
      </c>
      <c r="AA227" s="5">
        <f>IF($B226&lt;=Tabla5[[#This Row],[INVERSIONES FCI]],+Tabla5[[#This Row],[INVERSIONES FCI]]-AA226,Tabla5[[#This Row],[INVERSIONES FCI]])</f>
        <v>32754617888.895531</v>
      </c>
      <c r="AB227" s="5">
        <f>IF($B226&lt;=Tabla5[[#This Row],[INVERSIONES FCI]],+Tabla5[[#This Row],[INVERSIONES FCI]]-AB226,Tabla5[[#This Row],[INVERSIONES FCI]])</f>
        <v>32754617888.895531</v>
      </c>
      <c r="AC227" s="5">
        <f>IF($B226&lt;=Tabla5[[#This Row],[INVERSIONES FCI]],+Tabla5[[#This Row],[INVERSIONES FCI]]-AC226,Tabla5[[#This Row],[INVERSIONES FCI]])</f>
        <v>32754617888.895531</v>
      </c>
      <c r="AD227" s="5">
        <f>IF($B226&lt;=Tabla5[[#This Row],[INVERSIONES FCI]],+Tabla5[[#This Row],[INVERSIONES FCI]]-AD226,Tabla5[[#This Row],[INVERSIONES FCI]])</f>
        <v>32754617888.895531</v>
      </c>
      <c r="AE227" s="5">
        <f>IF($B226&lt;=Tabla5[[#This Row],[INVERSIONES FCI]],+Tabla5[[#This Row],[INVERSIONES FCI]]-AE226,Tabla5[[#This Row],[INVERSIONES FCI]])</f>
        <v>32754617888.895531</v>
      </c>
      <c r="AF227" s="5">
        <f>IF($B226&lt;=Tabla5[[#This Row],[INVERSIONES FCI]],+Tabla5[[#This Row],[INVERSIONES FCI]]-AF226,Tabla5[[#This Row],[INVERSIONES FCI]])</f>
        <v>32754617888.895531</v>
      </c>
      <c r="AG227" s="5">
        <f>IF($B226&lt;=Tabla5[[#This Row],[INVERSIONES FCI]],+Tabla5[[#This Row],[INVERSIONES FCI]]-AG226,Tabla5[[#This Row],[INVERSIONES FCI]])</f>
        <v>32754617888.895531</v>
      </c>
      <c r="AH227" s="5">
        <f>IF($B226&lt;=Tabla5[[#This Row],[INVERSIONES FCI]],+Tabla5[[#This Row],[INVERSIONES FCI]]-AH226,Tabla5[[#This Row],[INVERSIONES FCI]])</f>
        <v>32754617888.895531</v>
      </c>
      <c r="AI227" s="5">
        <f>IF($B226&lt;=Tabla5[[#This Row],[INVERSIONES FCI]],+Tabla5[[#This Row],[INVERSIONES FCI]]-AI226,Tabla5[[#This Row],[INVERSIONES FCI]])</f>
        <v>32754617888.895531</v>
      </c>
      <c r="AJ227" s="5">
        <f>IF($B226&lt;=Tabla5[[#This Row],[INVERSIONES FCI]],+Tabla5[[#This Row],[INVERSIONES FCI]]-AJ226,Tabla5[[#This Row],[INVERSIONES FCI]])</f>
        <v>32754617888.895531</v>
      </c>
      <c r="AK227" s="5">
        <f>IF($B226&lt;=Tabla5[[#This Row],[INVERSIONES FCI]],+Tabla5[[#This Row],[INVERSIONES FCI]]-AK226,Tabla5[[#This Row],[INVERSIONES FCI]])</f>
        <v>32754617888.895531</v>
      </c>
      <c r="AL227" s="5">
        <f>IF($B226&lt;=Tabla5[[#This Row],[INVERSIONES FCI]],+Tabla5[[#This Row],[INVERSIONES FCI]]-AL226,Tabla5[[#This Row],[INVERSIONES FCI]])</f>
        <v>32754617888.895531</v>
      </c>
      <c r="AM227" s="5">
        <f>IF($B226&lt;=Tabla5[[#This Row],[INVERSIONES FCI]],+Tabla5[[#This Row],[INVERSIONES FCI]]-AM226,Tabla5[[#This Row],[INVERSIONES FCI]])</f>
        <v>32754617888.895531</v>
      </c>
      <c r="AN227" s="5">
        <f>IF($B226&lt;=Tabla5[[#This Row],[INVERSIONES FCI]],+Tabla5[[#This Row],[INVERSIONES FCI]]-AN226,Tabla5[[#This Row],[INVERSIONES FCI]])</f>
        <v>32754617888.895531</v>
      </c>
      <c r="AO227" s="5">
        <f>IF($B226&lt;=Tabla5[[#This Row],[INVERSIONES FCI]],+Tabla5[[#This Row],[INVERSIONES FCI]]-AO226,Tabla5[[#This Row],[INVERSIONES FCI]])</f>
        <v>32754617888.895531</v>
      </c>
      <c r="AP227" s="5">
        <f>IF($B226&lt;=Tabla5[[#This Row],[INVERSIONES FCI]],+Tabla5[[#This Row],[INVERSIONES FCI]]-AP226,Tabla5[[#This Row],[INVERSIONES FCI]])</f>
        <v>32754617888.895531</v>
      </c>
      <c r="AQ227" s="5">
        <f>IF($B226&lt;=Tabla5[[#This Row],[INVERSIONES FCI]],+Tabla5[[#This Row],[INVERSIONES FCI]]-AQ226,Tabla5[[#This Row],[INVERSIONES FCI]])</f>
        <v>32754617888.895531</v>
      </c>
      <c r="AR227" s="5">
        <f>IF($B226&lt;=Tabla5[[#This Row],[INVERSIONES FCI]],+Tabla5[[#This Row],[INVERSIONES FCI]]-AR226,Tabla5[[#This Row],[INVERSIONES FCI]])</f>
        <v>32754617888.895531</v>
      </c>
      <c r="AS227" s="5">
        <f>IF($B226&lt;=Tabla5[[#This Row],[INVERSIONES FCI]],+Tabla5[[#This Row],[INVERSIONES FCI]]-AS226,Tabla5[[#This Row],[INVERSIONES FCI]])</f>
        <v>32754617888.895531</v>
      </c>
      <c r="AT227" s="5">
        <f>IF($B226&lt;=Tabla5[[#This Row],[INVERSIONES FCI]],+Tabla5[[#This Row],[INVERSIONES FCI]]-AT226,Tabla5[[#This Row],[INVERSIONES FCI]])</f>
        <v>32754617888.895531</v>
      </c>
      <c r="AU227" s="5">
        <f>IF($B226&lt;=Tabla5[[#This Row],[INVERSIONES FCI]],+Tabla5[[#This Row],[INVERSIONES FCI]]-AU226,Tabla5[[#This Row],[INVERSIONES FCI]])</f>
        <v>32754617888.895531</v>
      </c>
      <c r="AV227" s="5">
        <f>IF($B226&lt;=Tabla5[[#This Row],[INVERSIONES FCI]],+Tabla5[[#This Row],[INVERSIONES FCI]]-AV226,Tabla5[[#This Row],[INVERSIONES FCI]])</f>
        <v>32754617888.895531</v>
      </c>
      <c r="AW227" s="5">
        <f>IF($B226&lt;=Tabla5[[#This Row],[INVERSIONES FCI]],+Tabla5[[#This Row],[INVERSIONES FCI]]-AW226,Tabla5[[#This Row],[INVERSIONES FCI]])</f>
        <v>32754617888.895531</v>
      </c>
      <c r="AX227" s="5">
        <f>IF($B226&lt;=Tabla5[[#This Row],[INVERSIONES FCI]],+Tabla5[[#This Row],[INVERSIONES FCI]]-AX226,Tabla5[[#This Row],[INVERSIONES FCI]])</f>
        <v>32754617888.895531</v>
      </c>
      <c r="AY227" s="5">
        <f>IF($B226&lt;=Tabla5[[#This Row],[INVERSIONES FCI]],+Tabla5[[#This Row],[INVERSIONES FCI]]-AY226,Tabla5[[#This Row],[INVERSIONES FCI]])</f>
        <v>32754617888.895531</v>
      </c>
      <c r="AZ227" s="5">
        <f>IF($B226&lt;=Tabla5[[#This Row],[INVERSIONES FCI]],+Tabla5[[#This Row],[INVERSIONES FCI]]-AZ226,Tabla5[[#This Row],[INVERSIONES FCI]])</f>
        <v>32754617888.895531</v>
      </c>
      <c r="BA227" s="5">
        <f>IF($B226&lt;=Tabla5[[#This Row],[INVERSIONES FCI]],+Tabla5[[#This Row],[INVERSIONES FCI]]-BA226,Tabla5[[#This Row],[INVERSIONES FCI]])</f>
        <v>32754617888.895531</v>
      </c>
      <c r="BB227" s="5">
        <f>IF($B226&lt;=Tabla5[[#This Row],[INVERSIONES FCI]],+Tabla5[[#This Row],[INVERSIONES FCI]]-BB226,Tabla5[[#This Row],[INVERSIONES FCI]])</f>
        <v>32754617888.895531</v>
      </c>
      <c r="BC227" s="5">
        <f>IF($B226&lt;=Tabla5[[#This Row],[INVERSIONES FCI]],+Tabla5[[#This Row],[INVERSIONES FCI]]-BC226,Tabla5[[#This Row],[INVERSIONES FCI]])</f>
        <v>32754617888.895531</v>
      </c>
      <c r="BD227" s="5">
        <f>IF($B226&lt;=Tabla5[[#This Row],[INVERSIONES FCI]],+Tabla5[[#This Row],[INVERSIONES FCI]]-BD226,Tabla5[[#This Row],[INVERSIONES FCI]])</f>
        <v>32754617888.895531</v>
      </c>
      <c r="BE227" s="5">
        <f>IF($B226&lt;=Tabla5[[#This Row],[INVERSIONES FCI]],+Tabla5[[#This Row],[INVERSIONES FCI]]-BE226,Tabla5[[#This Row],[INVERSIONES FCI]])</f>
        <v>32754617888.895531</v>
      </c>
      <c r="BF227" s="5">
        <f>IF($B226&lt;=Tabla5[[#This Row],[INVERSIONES FCI]],+Tabla5[[#This Row],[INVERSIONES FCI]]-BF226,Tabla5[[#This Row],[INVERSIONES FCI]])</f>
        <v>32754617888.895531</v>
      </c>
      <c r="BG227" s="5">
        <f>IF($B226&lt;=Tabla5[[#This Row],[INVERSIONES FCI]],+Tabla5[[#This Row],[INVERSIONES FCI]]-BG226,Tabla5[[#This Row],[INVERSIONES FCI]])</f>
        <v>32754617888.895531</v>
      </c>
      <c r="BH227" s="5">
        <f>IF($B226&lt;=Tabla5[[#This Row],[INVERSIONES FCI]],+Tabla5[[#This Row],[INVERSIONES FCI]]-BH226,Tabla5[[#This Row],[INVERSIONES FCI]])</f>
        <v>32754617888.895531</v>
      </c>
      <c r="BI227" s="5">
        <f>IF($B226&lt;=Tabla5[[#This Row],[INVERSIONES FCI]],+Tabla5[[#This Row],[INVERSIONES FCI]]-BI226,Tabla5[[#This Row],[INVERSIONES FCI]])</f>
        <v>32754617888.895531</v>
      </c>
      <c r="BJ227" s="5">
        <f>IF($B226&lt;=Tabla5[[#This Row],[INVERSIONES FCI]],+Tabla5[[#This Row],[INVERSIONES FCI]]-BJ226,Tabla5[[#This Row],[INVERSIONES FCI]])</f>
        <v>32754617888.895531</v>
      </c>
      <c r="BK227" s="5">
        <f>IF($B226&lt;=Tabla5[[#This Row],[INVERSIONES FCI]],+Tabla5[[#This Row],[INVERSIONES FCI]]-BK226,Tabla5[[#This Row],[INVERSIONES FCI]])</f>
        <v>32754617888.895531</v>
      </c>
      <c r="BL227" s="5">
        <f>IF($B226&lt;=Tabla5[[#This Row],[INVERSIONES FCI]],+Tabla5[[#This Row],[INVERSIONES FCI]]-BL226,Tabla5[[#This Row],[INVERSIONES FCI]])</f>
        <v>32754617888.895531</v>
      </c>
      <c r="BM227" s="5">
        <f>IF($B226&lt;=Tabla5[[#This Row],[INVERSIONES FCI]],+Tabla5[[#This Row],[INVERSIONES FCI]]-BM226,Tabla5[[#This Row],[INVERSIONES FCI]])</f>
        <v>32754617888.895531</v>
      </c>
      <c r="BN227" s="5">
        <f>IF($B226&lt;=Tabla5[[#This Row],[INVERSIONES FCI]],+Tabla5[[#This Row],[INVERSIONES FCI]]-BN226,Tabla5[[#This Row],[INVERSIONES FCI]])</f>
        <v>32754617888.895531</v>
      </c>
      <c r="BO227" s="5">
        <f>IF($B226&lt;=Tabla5[[#This Row],[INVERSIONES FCI]],+Tabla5[[#This Row],[INVERSIONES FCI]]-BO226,Tabla5[[#This Row],[INVERSIONES FCI]])</f>
        <v>32754617888.895531</v>
      </c>
      <c r="BP227" s="5">
        <f>IF($B226&lt;=Tabla5[[#This Row],[INVERSIONES FCI]],+Tabla5[[#This Row],[INVERSIONES FCI]]-BP226,Tabla5[[#This Row],[INVERSIONES FCI]])</f>
        <v>32754617888.895531</v>
      </c>
      <c r="BQ227" s="5">
        <f>IF($B226&lt;=Tabla5[[#This Row],[INVERSIONES FCI]],+Tabla5[[#This Row],[INVERSIONES FCI]]-BQ226,Tabla5[[#This Row],[INVERSIONES FCI]])</f>
        <v>32754617888.895531</v>
      </c>
      <c r="BR227" s="5">
        <f>IF($B226&lt;=Tabla5[[#This Row],[INVERSIONES FCI]],+Tabla5[[#This Row],[INVERSIONES FCI]]-BR226,Tabla5[[#This Row],[INVERSIONES FCI]])</f>
        <v>32754617888.895531</v>
      </c>
      <c r="BS227" s="5">
        <f>IF($B226&lt;=Tabla5[[#This Row],[INVERSIONES FCI]],+Tabla5[[#This Row],[INVERSIONES FCI]]-BS226,Tabla5[[#This Row],[INVERSIONES FCI]])</f>
        <v>32754617888.895531</v>
      </c>
      <c r="BT227" s="5">
        <f>IF($B226&lt;=Tabla5[[#This Row],[INVERSIONES FCI]],+Tabla5[[#This Row],[INVERSIONES FCI]]-BT226,Tabla5[[#This Row],[INVERSIONES FCI]])</f>
        <v>32754617888.895531</v>
      </c>
      <c r="BU227" s="5">
        <f>IF($B226&lt;=Tabla5[[#This Row],[INVERSIONES FCI]],+Tabla5[[#This Row],[INVERSIONES FCI]]-BU226,Tabla5[[#This Row],[INVERSIONES FCI]])</f>
        <v>32754617888.895531</v>
      </c>
      <c r="BV227" s="5">
        <f>IF($B226&lt;=Tabla5[[#This Row],[INVERSIONES FCI]],+Tabla5[[#This Row],[INVERSIONES FCI]]-BV226,Tabla5[[#This Row],[INVERSIONES FCI]])</f>
        <v>32754617888.895531</v>
      </c>
      <c r="BW227" s="5">
        <f>IF($B226&lt;=Tabla5[[#This Row],[INVERSIONES FCI]],+Tabla5[[#This Row],[INVERSIONES FCI]]-BW226,Tabla5[[#This Row],[INVERSIONES FCI]])</f>
        <v>32754617888.895531</v>
      </c>
      <c r="BX227" s="5">
        <f>IF($B226&lt;=Tabla5[[#This Row],[INVERSIONES FCI]],+Tabla5[[#This Row],[INVERSIONES FCI]]-BX226,Tabla5[[#This Row],[INVERSIONES FCI]])</f>
        <v>32754617888.895531</v>
      </c>
      <c r="BY227" s="5">
        <f>IF($B226&lt;=Tabla5[[#This Row],[INVERSIONES FCI]],+Tabla5[[#This Row],[INVERSIONES FCI]]-BY226,Tabla5[[#This Row],[INVERSIONES FCI]])</f>
        <v>32754617888.895531</v>
      </c>
      <c r="BZ227" s="5">
        <f>IF($B226&lt;=Tabla5[[#This Row],[INVERSIONES FCI]],+Tabla5[[#This Row],[INVERSIONES FCI]]-BZ226,Tabla5[[#This Row],[INVERSIONES FCI]])</f>
        <v>32754617888.895531</v>
      </c>
      <c r="CA227" s="5">
        <f>IF($B226&lt;=Tabla5[[#This Row],[INVERSIONES FCI]],+Tabla5[[#This Row],[INVERSIONES FCI]]-CA226,Tabla5[[#This Row],[INVERSIONES FCI]])</f>
        <v>32754617888.895531</v>
      </c>
      <c r="CB227" s="5">
        <f>IF($B226&lt;=Tabla5[[#This Row],[INVERSIONES FCI]],+Tabla5[[#This Row],[INVERSIONES FCI]]-CB226,Tabla5[[#This Row],[INVERSIONES FCI]])</f>
        <v>32754617888.895531</v>
      </c>
      <c r="CC227" s="5">
        <f>IF($B226&lt;=Tabla5[[#This Row],[INVERSIONES FCI]],+Tabla5[[#This Row],[INVERSIONES FCI]]-CC226,Tabla5[[#This Row],[INVERSIONES FCI]])</f>
        <v>32754617888.895531</v>
      </c>
      <c r="CD227" s="5">
        <f>IF($B226&lt;=Tabla5[[#This Row],[INVERSIONES FCI]],+Tabla5[[#This Row],[INVERSIONES FCI]]-CD226,Tabla5[[#This Row],[INVERSIONES FCI]])</f>
        <v>32754617888.895531</v>
      </c>
      <c r="CE227" s="5">
        <f>IF($B226&lt;=Tabla5[[#This Row],[INVERSIONES FCI]],+Tabla5[[#This Row],[INVERSIONES FCI]]-CE226,Tabla5[[#This Row],[INVERSIONES FCI]])</f>
        <v>32754617888.895531</v>
      </c>
      <c r="CF227" s="5">
        <f>IF($B226&lt;=Tabla5[[#This Row],[INVERSIONES FCI]],+Tabla5[[#This Row],[INVERSIONES FCI]]-CF226,Tabla5[[#This Row],[INVERSIONES FCI]])</f>
        <v>32754617888.895531</v>
      </c>
      <c r="CG227" s="5">
        <f>IF($B226&lt;=Tabla5[[#This Row],[INVERSIONES FCI]],+Tabla5[[#This Row],[INVERSIONES FCI]]-CG226,Tabla5[[#This Row],[INVERSIONES FCI]])</f>
        <v>32754617888.895531</v>
      </c>
      <c r="CH227" s="5">
        <f>IF($B226&lt;=Tabla5[[#This Row],[INVERSIONES FCI]],+Tabla5[[#This Row],[INVERSIONES FCI]]-CH226,Tabla5[[#This Row],[INVERSIONES FCI]])</f>
        <v>32754617888.895531</v>
      </c>
      <c r="CI227" s="5">
        <f>IF($B226&lt;=Tabla5[[#This Row],[INVERSIONES FCI]],+Tabla5[[#This Row],[INVERSIONES FCI]]-CI226,Tabla5[[#This Row],[INVERSIONES FCI]])</f>
        <v>32754617888.895531</v>
      </c>
      <c r="CJ227" s="5">
        <f>IF($B226&lt;=Tabla5[[#This Row],[INVERSIONES FCI]],+Tabla5[[#This Row],[INVERSIONES FCI]]-CJ226,Tabla5[[#This Row],[INVERSIONES FCI]])</f>
        <v>32754617888.895531</v>
      </c>
      <c r="CK227" s="5">
        <f>IF($B226&lt;=Tabla5[[#This Row],[INVERSIONES FCI]],+Tabla5[[#This Row],[INVERSIONES FCI]]-CK226,Tabla5[[#This Row],[INVERSIONES FCI]])</f>
        <v>32754617888.895531</v>
      </c>
      <c r="CL227" s="5">
        <f>IF($B226&lt;=Tabla5[[#This Row],[INVERSIONES FCI]],+Tabla5[[#This Row],[INVERSIONES FCI]]-CL226,Tabla5[[#This Row],[INVERSIONES FCI]])</f>
        <v>32754617888.895531</v>
      </c>
      <c r="CM227" s="5">
        <f>IF($B226&lt;=Tabla5[[#This Row],[INVERSIONES FCI]],+Tabla5[[#This Row],[INVERSIONES FCI]]-CM226,Tabla5[[#This Row],[INVERSIONES FCI]])</f>
        <v>32754617888.895531</v>
      </c>
      <c r="CN227" s="5">
        <f>IF($B226&lt;=Tabla5[[#This Row],[INVERSIONES FCI]],+Tabla5[[#This Row],[INVERSIONES FCI]]-CN226,Tabla5[[#This Row],[INVERSIONES FCI]])</f>
        <v>32754617888.895531</v>
      </c>
      <c r="CO227" s="5">
        <f>IF($B226&lt;=Tabla5[[#This Row],[INVERSIONES FCI]],+Tabla5[[#This Row],[INVERSIONES FCI]]-CO226,Tabla5[[#This Row],[INVERSIONES FCI]])</f>
        <v>32754617888.895531</v>
      </c>
      <c r="CP227" s="5">
        <f>IF($B226&lt;=Tabla5[[#This Row],[INVERSIONES FCI]],+Tabla5[[#This Row],[INVERSIONES FCI]]-CP226,Tabla5[[#This Row],[INVERSIONES FCI]])</f>
        <v>32754617888.895531</v>
      </c>
      <c r="CQ227" s="5">
        <f>IF($B226&lt;=Tabla5[[#This Row],[INVERSIONES FCI]],+Tabla5[[#This Row],[INVERSIONES FCI]]-CQ226,Tabla5[[#This Row],[INVERSIONES FCI]])</f>
        <v>32754617888.895531</v>
      </c>
      <c r="CR227" s="5">
        <f>IF($B226&lt;=Tabla5[[#This Row],[INVERSIONES FCI]],+Tabla5[[#This Row],[INVERSIONES FCI]]-CR226,Tabla5[[#This Row],[INVERSIONES FCI]])</f>
        <v>32754617888.895531</v>
      </c>
      <c r="CS227" s="5">
        <f>IF($B226&lt;=Tabla5[[#This Row],[INVERSIONES FCI]],+Tabla5[[#This Row],[INVERSIONES FCI]]-CS226,Tabla5[[#This Row],[INVERSIONES FCI]])</f>
        <v>32754617888.895531</v>
      </c>
      <c r="CT227" s="5">
        <f>IF($B226&lt;=Tabla5[[#This Row],[INVERSIONES FCI]],+Tabla5[[#This Row],[INVERSIONES FCI]]-CT226,Tabla5[[#This Row],[INVERSIONES FCI]])</f>
        <v>32754617888.895531</v>
      </c>
      <c r="CU227" s="5">
        <f>IF($B226&lt;=Tabla5[[#This Row],[INVERSIONES FCI]],+Tabla5[[#This Row],[INVERSIONES FCI]]-CU226,Tabla5[[#This Row],[INVERSIONES FCI]])</f>
        <v>32754617888.895531</v>
      </c>
      <c r="CV227" s="5">
        <f>IF($B226&lt;=Tabla5[[#This Row],[INVERSIONES FCI]],+Tabla5[[#This Row],[INVERSIONES FCI]]-CV226,Tabla5[[#This Row],[INVERSIONES FCI]])</f>
        <v>32754617888.895531</v>
      </c>
      <c r="CW227" s="5">
        <f>IF($B226&lt;=Tabla5[[#This Row],[INVERSIONES FCI]],+Tabla5[[#This Row],[INVERSIONES FCI]]-CW226,Tabla5[[#This Row],[INVERSIONES FCI]])</f>
        <v>32754617888.895531</v>
      </c>
      <c r="CX227" s="5">
        <f>IF($B226&lt;=Tabla5[[#This Row],[INVERSIONES FCI]],+Tabla5[[#This Row],[INVERSIONES FCI]]-CX226,Tabla5[[#This Row],[INVERSIONES FCI]])</f>
        <v>32754617888.895531</v>
      </c>
      <c r="CY227" s="5">
        <f>IF($B226&lt;=Tabla5[[#This Row],[INVERSIONES FCI]],+Tabla5[[#This Row],[INVERSIONES FCI]]-CY226,Tabla5[[#This Row],[INVERSIONES FCI]])</f>
        <v>32754617888.895531</v>
      </c>
      <c r="CZ227" s="5">
        <f>IF($B226&lt;=Tabla5[[#This Row],[INVERSIONES FCI]],+Tabla5[[#This Row],[INVERSIONES FCI]]-CZ226,Tabla5[[#This Row],[INVERSIONES FCI]])</f>
        <v>32754617888.895531</v>
      </c>
      <c r="DA227" s="5">
        <f>IF($B226&lt;=Tabla5[[#This Row],[INVERSIONES FCI]],+Tabla5[[#This Row],[INVERSIONES FCI]]-DA226,Tabla5[[#This Row],[INVERSIONES FCI]])</f>
        <v>32754617888.895531</v>
      </c>
      <c r="DB227" s="5">
        <f>IF($B226&lt;=Tabla5[[#This Row],[INVERSIONES FCI]],+Tabla5[[#This Row],[INVERSIONES FCI]]-DB226,Tabla5[[#This Row],[INVERSIONES FCI]])</f>
        <v>32754617888.895531</v>
      </c>
      <c r="DC227" s="5">
        <f>IF($B226&lt;=Tabla5[[#This Row],[INVERSIONES FCI]],+Tabla5[[#This Row],[INVERSIONES FCI]]-DC226,Tabla5[[#This Row],[INVERSIONES FCI]])</f>
        <v>32754617888.895531</v>
      </c>
      <c r="DD227" s="5">
        <f>IF($B226&lt;=Tabla5[[#This Row],[INVERSIONES FCI]],+Tabla5[[#This Row],[INVERSIONES FCI]]-DD226,Tabla5[[#This Row],[INVERSIONES FCI]])</f>
        <v>32754617888.895531</v>
      </c>
      <c r="DE227" s="5">
        <f>IF($B226&lt;=Tabla5[[#This Row],[INVERSIONES FCI]],+Tabla5[[#This Row],[INVERSIONES FCI]]-DE226,Tabla5[[#This Row],[INVERSIONES FCI]])</f>
        <v>32754617888.895531</v>
      </c>
      <c r="DF227" s="5">
        <f>IF($B226&lt;=Tabla5[[#This Row],[INVERSIONES FCI]],+Tabla5[[#This Row],[INVERSIONES FCI]]-DF226,Tabla5[[#This Row],[INVERSIONES FCI]])</f>
        <v>32754617888.895531</v>
      </c>
      <c r="DG227" s="5">
        <f>IF($B226&lt;=Tabla5[[#This Row],[INVERSIONES FCI]],+Tabla5[[#This Row],[INVERSIONES FCI]]-DG226,Tabla5[[#This Row],[INVERSIONES FCI]])</f>
        <v>32754617888.895531</v>
      </c>
      <c r="DH227" s="5">
        <f>IF($B226&lt;=Tabla5[[#This Row],[INVERSIONES FCI]],+Tabla5[[#This Row],[INVERSIONES FCI]]-DH226,Tabla5[[#This Row],[INVERSIONES FCI]])</f>
        <v>32754617888.895531</v>
      </c>
      <c r="DI227" s="5">
        <f>IF($B226&lt;=Tabla5[[#This Row],[INVERSIONES FCI]],+Tabla5[[#This Row],[INVERSIONES FCI]]-DI226,Tabla5[[#This Row],[INVERSIONES FCI]])</f>
        <v>32754617888.895531</v>
      </c>
      <c r="DJ227" s="5">
        <f>IF($B226&lt;=Tabla5[[#This Row],[INVERSIONES FCI]],+Tabla5[[#This Row],[INVERSIONES FCI]]-DJ226,Tabla5[[#This Row],[INVERSIONES FCI]])</f>
        <v>32754617888.895531</v>
      </c>
      <c r="DK227" s="5">
        <f>IF($B226&lt;=Tabla5[[#This Row],[INVERSIONES FCI]],+Tabla5[[#This Row],[INVERSIONES FCI]]-DK226,Tabla5[[#This Row],[INVERSIONES FCI]])</f>
        <v>32754617888.895531</v>
      </c>
      <c r="DL227" s="5"/>
      <c r="DM227" s="5"/>
      <c r="DN227" s="5"/>
      <c r="DO227" s="5"/>
      <c r="DP227" s="5"/>
      <c r="DQ227" s="5"/>
    </row>
    <row r="228" spans="1:121" ht="14.4">
      <c r="A228" s="12" t="s">
        <v>227</v>
      </c>
      <c r="B228" s="5">
        <f>HLOOKUP($A228,ESCENARIO[#All],7,FALSE)</f>
        <v>41362501785.82914</v>
      </c>
      <c r="C228" s="5">
        <f>IF($B227&lt;=Tabla5[[#This Row],[INVERSIONES FCI]],+Tabla5[[#This Row],[INVERSIONES FCI]]-C227,Tabla5[[#This Row],[INVERSIONES FCI]])</f>
        <v>41362501785.82914</v>
      </c>
      <c r="D228" s="5">
        <f>IF($B227&lt;=Tabla5[[#This Row],[INVERSIONES FCI]],+Tabla5[[#This Row],[INVERSIONES FCI]]-D227,Tabla5[[#This Row],[INVERSIONES FCI]])</f>
        <v>41362501785.82914</v>
      </c>
      <c r="E228" s="5">
        <f>IF($B227&lt;=Tabla5[[#This Row],[INVERSIONES FCI]],+Tabla5[[#This Row],[INVERSIONES FCI]]-E227,Tabla5[[#This Row],[INVERSIONES FCI]])</f>
        <v>41362501785.82914</v>
      </c>
      <c r="F228" s="5">
        <f>IF($B227&lt;=Tabla5[[#This Row],[INVERSIONES FCI]],+Tabla5[[#This Row],[INVERSIONES FCI]]-F227,Tabla5[[#This Row],[INVERSIONES FCI]])</f>
        <v>41362501785.82914</v>
      </c>
      <c r="G228" s="5">
        <f>IF($B227&lt;=Tabla5[[#This Row],[INVERSIONES FCI]],+Tabla5[[#This Row],[INVERSIONES FCI]]-G227,Tabla5[[#This Row],[INVERSIONES FCI]])</f>
        <v>41362501785.82914</v>
      </c>
      <c r="H228" s="5">
        <f>IF($B227&lt;=Tabla5[[#This Row],[INVERSIONES FCI]],+Tabla5[[#This Row],[INVERSIONES FCI]]-H227,Tabla5[[#This Row],[INVERSIONES FCI]])</f>
        <v>41362501785.82914</v>
      </c>
      <c r="I228" s="5">
        <f>IF($B227&lt;=Tabla5[[#This Row],[INVERSIONES FCI]],+Tabla5[[#This Row],[INVERSIONES FCI]]-I227,Tabla5[[#This Row],[INVERSIONES FCI]])</f>
        <v>41362501785.82914</v>
      </c>
      <c r="J228" s="5">
        <f>IF($B227&lt;=Tabla5[[#This Row],[INVERSIONES FCI]],+Tabla5[[#This Row],[INVERSIONES FCI]]-J227,Tabla5[[#This Row],[INVERSIONES FCI]])</f>
        <v>41362501785.82914</v>
      </c>
      <c r="K228" s="5">
        <f>IF($B227&lt;=Tabla5[[#This Row],[INVERSIONES FCI]],+Tabla5[[#This Row],[INVERSIONES FCI]]-K227,Tabla5[[#This Row],[INVERSIONES FCI]])</f>
        <v>41362501785.82914</v>
      </c>
      <c r="L228" s="5">
        <f>IF($B227&lt;=Tabla5[[#This Row],[INVERSIONES FCI]],+Tabla5[[#This Row],[INVERSIONES FCI]]-L227,Tabla5[[#This Row],[INVERSIONES FCI]])</f>
        <v>41362501785.82914</v>
      </c>
      <c r="M228" s="5">
        <f>IF($B227&lt;=Tabla5[[#This Row],[INVERSIONES FCI]],+Tabla5[[#This Row],[INVERSIONES FCI]]-M227,Tabla5[[#This Row],[INVERSIONES FCI]])</f>
        <v>41362501785.82914</v>
      </c>
      <c r="N228" s="5">
        <f>IF($B227&lt;=Tabla5[[#This Row],[INVERSIONES FCI]],+Tabla5[[#This Row],[INVERSIONES FCI]]-N227,Tabla5[[#This Row],[INVERSIONES FCI]])</f>
        <v>41362501785.82914</v>
      </c>
      <c r="O228" s="5">
        <f>IF($B227&lt;=Tabla5[[#This Row],[INVERSIONES FCI]],+Tabla5[[#This Row],[INVERSIONES FCI]]-O227,Tabla5[[#This Row],[INVERSIONES FCI]])</f>
        <v>41362501785.82914</v>
      </c>
      <c r="P228" s="5">
        <f>IF($B227&lt;=Tabla5[[#This Row],[INVERSIONES FCI]],+Tabla5[[#This Row],[INVERSIONES FCI]]-P227,Tabla5[[#This Row],[INVERSIONES FCI]])</f>
        <v>41362501785.82914</v>
      </c>
      <c r="Q228" s="5">
        <f>IF($B227&lt;=Tabla5[[#This Row],[INVERSIONES FCI]],+Tabla5[[#This Row],[INVERSIONES FCI]]-Q227,Tabla5[[#This Row],[INVERSIONES FCI]])</f>
        <v>41362501785.82914</v>
      </c>
      <c r="R228" s="5">
        <f>IF($B227&lt;=Tabla5[[#This Row],[INVERSIONES FCI]],+Tabla5[[#This Row],[INVERSIONES FCI]]-R227,Tabla5[[#This Row],[INVERSIONES FCI]])</f>
        <v>41362501785.82914</v>
      </c>
      <c r="S228" s="5">
        <f>IF($B227&lt;=Tabla5[[#This Row],[INVERSIONES FCI]],+Tabla5[[#This Row],[INVERSIONES FCI]]-S227,Tabla5[[#This Row],[INVERSIONES FCI]])</f>
        <v>41362501785.82914</v>
      </c>
      <c r="T228" s="5">
        <f>IF($B227&lt;=Tabla5[[#This Row],[INVERSIONES FCI]],+Tabla5[[#This Row],[INVERSIONES FCI]]-T227,Tabla5[[#This Row],[INVERSIONES FCI]])</f>
        <v>41362501785.82914</v>
      </c>
      <c r="U228" s="5">
        <f>IF($B227&lt;=Tabla5[[#This Row],[INVERSIONES FCI]],+Tabla5[[#This Row],[INVERSIONES FCI]]-U227,Tabla5[[#This Row],[INVERSIONES FCI]])</f>
        <v>41362501785.82914</v>
      </c>
      <c r="V228" s="5">
        <f>IF($B227&lt;=Tabla5[[#This Row],[INVERSIONES FCI]],+Tabla5[[#This Row],[INVERSIONES FCI]]-V227,Tabla5[[#This Row],[INVERSIONES FCI]])</f>
        <v>41362501785.82914</v>
      </c>
      <c r="W228" s="5">
        <f>IF($B227&lt;=Tabla5[[#This Row],[INVERSIONES FCI]],+Tabla5[[#This Row],[INVERSIONES FCI]]-W227,Tabla5[[#This Row],[INVERSIONES FCI]])</f>
        <v>41362501785.82914</v>
      </c>
      <c r="X228" s="5">
        <f>IF($B227&lt;=Tabla5[[#This Row],[INVERSIONES FCI]],+Tabla5[[#This Row],[INVERSIONES FCI]]-X227,Tabla5[[#This Row],[INVERSIONES FCI]])</f>
        <v>41362501785.82914</v>
      </c>
      <c r="Y228" s="5">
        <f>IF($B227&lt;=Tabla5[[#This Row],[INVERSIONES FCI]],+Tabla5[[#This Row],[INVERSIONES FCI]]-Y227,Tabla5[[#This Row],[INVERSIONES FCI]])</f>
        <v>41362501785.82914</v>
      </c>
      <c r="Z228" s="5">
        <f>IF($B227&lt;=Tabla5[[#This Row],[INVERSIONES FCI]],+Tabla5[[#This Row],[INVERSIONES FCI]]-Z227,Tabla5[[#This Row],[INVERSIONES FCI]])</f>
        <v>41362501785.82914</v>
      </c>
      <c r="AA228" s="5">
        <f>IF($B227&lt;=Tabla5[[#This Row],[INVERSIONES FCI]],+Tabla5[[#This Row],[INVERSIONES FCI]]-AA227,Tabla5[[#This Row],[INVERSIONES FCI]])</f>
        <v>41362501785.82914</v>
      </c>
      <c r="AB228" s="5">
        <f>IF($B227&lt;=Tabla5[[#This Row],[INVERSIONES FCI]],+Tabla5[[#This Row],[INVERSIONES FCI]]-AB227,Tabla5[[#This Row],[INVERSIONES FCI]])</f>
        <v>41362501785.82914</v>
      </c>
      <c r="AC228" s="5">
        <f>IF($B227&lt;=Tabla5[[#This Row],[INVERSIONES FCI]],+Tabla5[[#This Row],[INVERSIONES FCI]]-AC227,Tabla5[[#This Row],[INVERSIONES FCI]])</f>
        <v>41362501785.82914</v>
      </c>
      <c r="AD228" s="5">
        <f>IF($B227&lt;=Tabla5[[#This Row],[INVERSIONES FCI]],+Tabla5[[#This Row],[INVERSIONES FCI]]-AD227,Tabla5[[#This Row],[INVERSIONES FCI]])</f>
        <v>41362501785.82914</v>
      </c>
      <c r="AE228" s="5">
        <f>IF($B227&lt;=Tabla5[[#This Row],[INVERSIONES FCI]],+Tabla5[[#This Row],[INVERSIONES FCI]]-AE227,Tabla5[[#This Row],[INVERSIONES FCI]])</f>
        <v>41362501785.82914</v>
      </c>
      <c r="AF228" s="5">
        <f>IF($B227&lt;=Tabla5[[#This Row],[INVERSIONES FCI]],+Tabla5[[#This Row],[INVERSIONES FCI]]-AF227,Tabla5[[#This Row],[INVERSIONES FCI]])</f>
        <v>41362501785.82914</v>
      </c>
      <c r="AG228" s="5">
        <f>IF($B227&lt;=Tabla5[[#This Row],[INVERSIONES FCI]],+Tabla5[[#This Row],[INVERSIONES FCI]]-AG227,Tabla5[[#This Row],[INVERSIONES FCI]])</f>
        <v>41362501785.82914</v>
      </c>
      <c r="AH228" s="5">
        <f>IF($B227&lt;=Tabla5[[#This Row],[INVERSIONES FCI]],+Tabla5[[#This Row],[INVERSIONES FCI]]-AH227,Tabla5[[#This Row],[INVERSIONES FCI]])</f>
        <v>41362501785.82914</v>
      </c>
      <c r="AI228" s="5">
        <f>IF($B227&lt;=Tabla5[[#This Row],[INVERSIONES FCI]],+Tabla5[[#This Row],[INVERSIONES FCI]]-AI227,Tabla5[[#This Row],[INVERSIONES FCI]])</f>
        <v>41362501785.82914</v>
      </c>
      <c r="AJ228" s="5">
        <f>IF($B227&lt;=Tabla5[[#This Row],[INVERSIONES FCI]],+Tabla5[[#This Row],[INVERSIONES FCI]]-AJ227,Tabla5[[#This Row],[INVERSIONES FCI]])</f>
        <v>41362501785.82914</v>
      </c>
      <c r="AK228" s="5">
        <f>IF($B227&lt;=Tabla5[[#This Row],[INVERSIONES FCI]],+Tabla5[[#This Row],[INVERSIONES FCI]]-AK227,Tabla5[[#This Row],[INVERSIONES FCI]])</f>
        <v>41362501785.82914</v>
      </c>
      <c r="AL228" s="5">
        <f>IF($B227&lt;=Tabla5[[#This Row],[INVERSIONES FCI]],+Tabla5[[#This Row],[INVERSIONES FCI]]-AL227,Tabla5[[#This Row],[INVERSIONES FCI]])</f>
        <v>41362501785.82914</v>
      </c>
      <c r="AM228" s="5">
        <f>IF($B227&lt;=Tabla5[[#This Row],[INVERSIONES FCI]],+Tabla5[[#This Row],[INVERSIONES FCI]]-AM227,Tabla5[[#This Row],[INVERSIONES FCI]])</f>
        <v>41362501785.82914</v>
      </c>
      <c r="AN228" s="5">
        <f>IF($B227&lt;=Tabla5[[#This Row],[INVERSIONES FCI]],+Tabla5[[#This Row],[INVERSIONES FCI]]-AN227,Tabla5[[#This Row],[INVERSIONES FCI]])</f>
        <v>41362501785.82914</v>
      </c>
      <c r="AO228" s="5">
        <f>IF($B227&lt;=Tabla5[[#This Row],[INVERSIONES FCI]],+Tabla5[[#This Row],[INVERSIONES FCI]]-AO227,Tabla5[[#This Row],[INVERSIONES FCI]])</f>
        <v>41362501785.82914</v>
      </c>
      <c r="AP228" s="5">
        <f>IF($B227&lt;=Tabla5[[#This Row],[INVERSIONES FCI]],+Tabla5[[#This Row],[INVERSIONES FCI]]-AP227,Tabla5[[#This Row],[INVERSIONES FCI]])</f>
        <v>41362501785.82914</v>
      </c>
      <c r="AQ228" s="5">
        <f>IF($B227&lt;=Tabla5[[#This Row],[INVERSIONES FCI]],+Tabla5[[#This Row],[INVERSIONES FCI]]-AQ227,Tabla5[[#This Row],[INVERSIONES FCI]])</f>
        <v>41362501785.82914</v>
      </c>
      <c r="AR228" s="5">
        <f>IF($B227&lt;=Tabla5[[#This Row],[INVERSIONES FCI]],+Tabla5[[#This Row],[INVERSIONES FCI]]-AR227,Tabla5[[#This Row],[INVERSIONES FCI]])</f>
        <v>41362501785.82914</v>
      </c>
      <c r="AS228" s="5">
        <f>IF($B227&lt;=Tabla5[[#This Row],[INVERSIONES FCI]],+Tabla5[[#This Row],[INVERSIONES FCI]]-AS227,Tabla5[[#This Row],[INVERSIONES FCI]])</f>
        <v>41362501785.82914</v>
      </c>
      <c r="AT228" s="5">
        <f>IF($B227&lt;=Tabla5[[#This Row],[INVERSIONES FCI]],+Tabla5[[#This Row],[INVERSIONES FCI]]-AT227,Tabla5[[#This Row],[INVERSIONES FCI]])</f>
        <v>41362501785.82914</v>
      </c>
      <c r="AU228" s="5">
        <f>IF($B227&lt;=Tabla5[[#This Row],[INVERSIONES FCI]],+Tabla5[[#This Row],[INVERSIONES FCI]]-AU227,Tabla5[[#This Row],[INVERSIONES FCI]])</f>
        <v>41362501785.82914</v>
      </c>
      <c r="AV228" s="5">
        <f>IF($B227&lt;=Tabla5[[#This Row],[INVERSIONES FCI]],+Tabla5[[#This Row],[INVERSIONES FCI]]-AV227,Tabla5[[#This Row],[INVERSIONES FCI]])</f>
        <v>41362501785.82914</v>
      </c>
      <c r="AW228" s="5">
        <f>IF($B227&lt;=Tabla5[[#This Row],[INVERSIONES FCI]],+Tabla5[[#This Row],[INVERSIONES FCI]]-AW227,Tabla5[[#This Row],[INVERSIONES FCI]])</f>
        <v>41362501785.82914</v>
      </c>
      <c r="AX228" s="5">
        <f>IF($B227&lt;=Tabla5[[#This Row],[INVERSIONES FCI]],+Tabla5[[#This Row],[INVERSIONES FCI]]-AX227,Tabla5[[#This Row],[INVERSIONES FCI]])</f>
        <v>41362501785.82914</v>
      </c>
      <c r="AY228" s="5">
        <f>IF($B227&lt;=Tabla5[[#This Row],[INVERSIONES FCI]],+Tabla5[[#This Row],[INVERSIONES FCI]]-AY227,Tabla5[[#This Row],[INVERSIONES FCI]])</f>
        <v>41362501785.82914</v>
      </c>
      <c r="AZ228" s="5">
        <f>IF($B227&lt;=Tabla5[[#This Row],[INVERSIONES FCI]],+Tabla5[[#This Row],[INVERSIONES FCI]]-AZ227,Tabla5[[#This Row],[INVERSIONES FCI]])</f>
        <v>41362501785.82914</v>
      </c>
      <c r="BA228" s="5">
        <f>IF($B227&lt;=Tabla5[[#This Row],[INVERSIONES FCI]],+Tabla5[[#This Row],[INVERSIONES FCI]]-BA227,Tabla5[[#This Row],[INVERSIONES FCI]])</f>
        <v>41362501785.82914</v>
      </c>
      <c r="BB228" s="5">
        <f>IF($B227&lt;=Tabla5[[#This Row],[INVERSIONES FCI]],+Tabla5[[#This Row],[INVERSIONES FCI]]-BB227,Tabla5[[#This Row],[INVERSIONES FCI]])</f>
        <v>41362501785.82914</v>
      </c>
      <c r="BC228" s="5">
        <f>IF($B227&lt;=Tabla5[[#This Row],[INVERSIONES FCI]],+Tabla5[[#This Row],[INVERSIONES FCI]]-BC227,Tabla5[[#This Row],[INVERSIONES FCI]])</f>
        <v>41362501785.82914</v>
      </c>
      <c r="BD228" s="5">
        <f>IF($B227&lt;=Tabla5[[#This Row],[INVERSIONES FCI]],+Tabla5[[#This Row],[INVERSIONES FCI]]-BD227,Tabla5[[#This Row],[INVERSIONES FCI]])</f>
        <v>41362501785.82914</v>
      </c>
      <c r="BE228" s="5">
        <f>IF($B227&lt;=Tabla5[[#This Row],[INVERSIONES FCI]],+Tabla5[[#This Row],[INVERSIONES FCI]]-BE227,Tabla5[[#This Row],[INVERSIONES FCI]])</f>
        <v>41362501785.82914</v>
      </c>
      <c r="BF228" s="5">
        <f>IF($B227&lt;=Tabla5[[#This Row],[INVERSIONES FCI]],+Tabla5[[#This Row],[INVERSIONES FCI]]-BF227,Tabla5[[#This Row],[INVERSIONES FCI]])</f>
        <v>41362501785.82914</v>
      </c>
      <c r="BG228" s="5">
        <f>IF($B227&lt;=Tabla5[[#This Row],[INVERSIONES FCI]],+Tabla5[[#This Row],[INVERSIONES FCI]]-BG227,Tabla5[[#This Row],[INVERSIONES FCI]])</f>
        <v>41362501785.82914</v>
      </c>
      <c r="BH228" s="5">
        <f>IF($B227&lt;=Tabla5[[#This Row],[INVERSIONES FCI]],+Tabla5[[#This Row],[INVERSIONES FCI]]-BH227,Tabla5[[#This Row],[INVERSIONES FCI]])</f>
        <v>41362501785.82914</v>
      </c>
      <c r="BI228" s="5">
        <f>IF($B227&lt;=Tabla5[[#This Row],[INVERSIONES FCI]],+Tabla5[[#This Row],[INVERSIONES FCI]]-BI227,Tabla5[[#This Row],[INVERSIONES FCI]])</f>
        <v>41362501785.82914</v>
      </c>
      <c r="BJ228" s="5">
        <f>IF($B227&lt;=Tabla5[[#This Row],[INVERSIONES FCI]],+Tabla5[[#This Row],[INVERSIONES FCI]]-BJ227,Tabla5[[#This Row],[INVERSIONES FCI]])</f>
        <v>41362501785.82914</v>
      </c>
      <c r="BK228" s="5">
        <f>IF($B227&lt;=Tabla5[[#This Row],[INVERSIONES FCI]],+Tabla5[[#This Row],[INVERSIONES FCI]]-BK227,Tabla5[[#This Row],[INVERSIONES FCI]])</f>
        <v>41362501785.82914</v>
      </c>
      <c r="BL228" s="5">
        <f>IF($B227&lt;=Tabla5[[#This Row],[INVERSIONES FCI]],+Tabla5[[#This Row],[INVERSIONES FCI]]-BL227,Tabla5[[#This Row],[INVERSIONES FCI]])</f>
        <v>41362501785.82914</v>
      </c>
      <c r="BM228" s="5">
        <f>IF($B227&lt;=Tabla5[[#This Row],[INVERSIONES FCI]],+Tabla5[[#This Row],[INVERSIONES FCI]]-BM227,Tabla5[[#This Row],[INVERSIONES FCI]])</f>
        <v>41362501785.82914</v>
      </c>
      <c r="BN228" s="5">
        <f>IF($B227&lt;=Tabla5[[#This Row],[INVERSIONES FCI]],+Tabla5[[#This Row],[INVERSIONES FCI]]-BN227,Tabla5[[#This Row],[INVERSIONES FCI]])</f>
        <v>41362501785.82914</v>
      </c>
      <c r="BO228" s="5">
        <f>IF($B227&lt;=Tabla5[[#This Row],[INVERSIONES FCI]],+Tabla5[[#This Row],[INVERSIONES FCI]]-BO227,Tabla5[[#This Row],[INVERSIONES FCI]])</f>
        <v>41362501785.82914</v>
      </c>
      <c r="BP228" s="5">
        <f>IF($B227&lt;=Tabla5[[#This Row],[INVERSIONES FCI]],+Tabla5[[#This Row],[INVERSIONES FCI]]-BP227,Tabla5[[#This Row],[INVERSIONES FCI]])</f>
        <v>41362501785.82914</v>
      </c>
      <c r="BQ228" s="5">
        <f>IF($B227&lt;=Tabla5[[#This Row],[INVERSIONES FCI]],+Tabla5[[#This Row],[INVERSIONES FCI]]-BQ227,Tabla5[[#This Row],[INVERSIONES FCI]])</f>
        <v>41362501785.82914</v>
      </c>
      <c r="BR228" s="5">
        <f>IF($B227&lt;=Tabla5[[#This Row],[INVERSIONES FCI]],+Tabla5[[#This Row],[INVERSIONES FCI]]-BR227,Tabla5[[#This Row],[INVERSIONES FCI]])</f>
        <v>41362501785.82914</v>
      </c>
      <c r="BS228" s="5">
        <f>IF($B227&lt;=Tabla5[[#This Row],[INVERSIONES FCI]],+Tabla5[[#This Row],[INVERSIONES FCI]]-BS227,Tabla5[[#This Row],[INVERSIONES FCI]])</f>
        <v>41362501785.82914</v>
      </c>
      <c r="BT228" s="5">
        <f>IF($B227&lt;=Tabla5[[#This Row],[INVERSIONES FCI]],+Tabla5[[#This Row],[INVERSIONES FCI]]-BT227,Tabla5[[#This Row],[INVERSIONES FCI]])</f>
        <v>41362501785.82914</v>
      </c>
      <c r="BU228" s="5">
        <f>IF($B227&lt;=Tabla5[[#This Row],[INVERSIONES FCI]],+Tabla5[[#This Row],[INVERSIONES FCI]]-BU227,Tabla5[[#This Row],[INVERSIONES FCI]])</f>
        <v>41362501785.82914</v>
      </c>
      <c r="BV228" s="5">
        <f>IF($B227&lt;=Tabla5[[#This Row],[INVERSIONES FCI]],+Tabla5[[#This Row],[INVERSIONES FCI]]-BV227,Tabla5[[#This Row],[INVERSIONES FCI]])</f>
        <v>41362501785.82914</v>
      </c>
      <c r="BW228" s="5">
        <f>IF($B227&lt;=Tabla5[[#This Row],[INVERSIONES FCI]],+Tabla5[[#This Row],[INVERSIONES FCI]]-BW227,Tabla5[[#This Row],[INVERSIONES FCI]])</f>
        <v>41362501785.82914</v>
      </c>
      <c r="BX228" s="5">
        <f>IF($B227&lt;=Tabla5[[#This Row],[INVERSIONES FCI]],+Tabla5[[#This Row],[INVERSIONES FCI]]-BX227,Tabla5[[#This Row],[INVERSIONES FCI]])</f>
        <v>41362501785.82914</v>
      </c>
      <c r="BY228" s="5">
        <f>IF($B227&lt;=Tabla5[[#This Row],[INVERSIONES FCI]],+Tabla5[[#This Row],[INVERSIONES FCI]]-BY227,Tabla5[[#This Row],[INVERSIONES FCI]])</f>
        <v>41362501785.82914</v>
      </c>
      <c r="BZ228" s="5">
        <f>IF($B227&lt;=Tabla5[[#This Row],[INVERSIONES FCI]],+Tabla5[[#This Row],[INVERSIONES FCI]]-BZ227,Tabla5[[#This Row],[INVERSIONES FCI]])</f>
        <v>41362501785.82914</v>
      </c>
      <c r="CA228" s="5">
        <f>IF($B227&lt;=Tabla5[[#This Row],[INVERSIONES FCI]],+Tabla5[[#This Row],[INVERSIONES FCI]]-CA227,Tabla5[[#This Row],[INVERSIONES FCI]])</f>
        <v>41362501785.82914</v>
      </c>
      <c r="CB228" s="5">
        <f>IF($B227&lt;=Tabla5[[#This Row],[INVERSIONES FCI]],+Tabla5[[#This Row],[INVERSIONES FCI]]-CB227,Tabla5[[#This Row],[INVERSIONES FCI]])</f>
        <v>41362501785.82914</v>
      </c>
      <c r="CC228" s="5">
        <f>IF($B227&lt;=Tabla5[[#This Row],[INVERSIONES FCI]],+Tabla5[[#This Row],[INVERSIONES FCI]]-CC227,Tabla5[[#This Row],[INVERSIONES FCI]])</f>
        <v>41362501785.82914</v>
      </c>
      <c r="CD228" s="5">
        <f>IF($B227&lt;=Tabla5[[#This Row],[INVERSIONES FCI]],+Tabla5[[#This Row],[INVERSIONES FCI]]-CD227,Tabla5[[#This Row],[INVERSIONES FCI]])</f>
        <v>41362501785.82914</v>
      </c>
      <c r="CE228" s="5">
        <f>IF($B227&lt;=Tabla5[[#This Row],[INVERSIONES FCI]],+Tabla5[[#This Row],[INVERSIONES FCI]]-CE227,Tabla5[[#This Row],[INVERSIONES FCI]])</f>
        <v>41362501785.82914</v>
      </c>
      <c r="CF228" s="5">
        <f>IF($B227&lt;=Tabla5[[#This Row],[INVERSIONES FCI]],+Tabla5[[#This Row],[INVERSIONES FCI]]-CF227,Tabla5[[#This Row],[INVERSIONES FCI]])</f>
        <v>41362501785.82914</v>
      </c>
      <c r="CG228" s="5">
        <f>IF($B227&lt;=Tabla5[[#This Row],[INVERSIONES FCI]],+Tabla5[[#This Row],[INVERSIONES FCI]]-CG227,Tabla5[[#This Row],[INVERSIONES FCI]])</f>
        <v>41362501785.82914</v>
      </c>
      <c r="CH228" s="5">
        <f>IF($B227&lt;=Tabla5[[#This Row],[INVERSIONES FCI]],+Tabla5[[#This Row],[INVERSIONES FCI]]-CH227,Tabla5[[#This Row],[INVERSIONES FCI]])</f>
        <v>41362501785.82914</v>
      </c>
      <c r="CI228" s="5">
        <f>IF($B227&lt;=Tabla5[[#This Row],[INVERSIONES FCI]],+Tabla5[[#This Row],[INVERSIONES FCI]]-CI227,Tabla5[[#This Row],[INVERSIONES FCI]])</f>
        <v>41362501785.82914</v>
      </c>
      <c r="CJ228" s="5">
        <f>IF($B227&lt;=Tabla5[[#This Row],[INVERSIONES FCI]],+Tabla5[[#This Row],[INVERSIONES FCI]]-CJ227,Tabla5[[#This Row],[INVERSIONES FCI]])</f>
        <v>41362501785.82914</v>
      </c>
      <c r="CK228" s="5">
        <f>IF($B227&lt;=Tabla5[[#This Row],[INVERSIONES FCI]],+Tabla5[[#This Row],[INVERSIONES FCI]]-CK227,Tabla5[[#This Row],[INVERSIONES FCI]])</f>
        <v>41362501785.82914</v>
      </c>
      <c r="CL228" s="5">
        <f>IF($B227&lt;=Tabla5[[#This Row],[INVERSIONES FCI]],+Tabla5[[#This Row],[INVERSIONES FCI]]-CL227,Tabla5[[#This Row],[INVERSIONES FCI]])</f>
        <v>41362501785.82914</v>
      </c>
      <c r="CM228" s="5">
        <f>IF($B227&lt;=Tabla5[[#This Row],[INVERSIONES FCI]],+Tabla5[[#This Row],[INVERSIONES FCI]]-CM227,Tabla5[[#This Row],[INVERSIONES FCI]])</f>
        <v>41362501785.82914</v>
      </c>
      <c r="CN228" s="5">
        <f>IF($B227&lt;=Tabla5[[#This Row],[INVERSIONES FCI]],+Tabla5[[#This Row],[INVERSIONES FCI]]-CN227,Tabla5[[#This Row],[INVERSIONES FCI]])</f>
        <v>41362501785.82914</v>
      </c>
      <c r="CO228" s="5">
        <f>IF($B227&lt;=Tabla5[[#This Row],[INVERSIONES FCI]],+Tabla5[[#This Row],[INVERSIONES FCI]]-CO227,Tabla5[[#This Row],[INVERSIONES FCI]])</f>
        <v>41362501785.82914</v>
      </c>
      <c r="CP228" s="5">
        <f>IF($B227&lt;=Tabla5[[#This Row],[INVERSIONES FCI]],+Tabla5[[#This Row],[INVERSIONES FCI]]-CP227,Tabla5[[#This Row],[INVERSIONES FCI]])</f>
        <v>41362501785.82914</v>
      </c>
      <c r="CQ228" s="5">
        <f>IF($B227&lt;=Tabla5[[#This Row],[INVERSIONES FCI]],+Tabla5[[#This Row],[INVERSIONES FCI]]-CQ227,Tabla5[[#This Row],[INVERSIONES FCI]])</f>
        <v>41362501785.82914</v>
      </c>
      <c r="CR228" s="5">
        <f>IF($B227&lt;=Tabla5[[#This Row],[INVERSIONES FCI]],+Tabla5[[#This Row],[INVERSIONES FCI]]-CR227,Tabla5[[#This Row],[INVERSIONES FCI]])</f>
        <v>41362501785.82914</v>
      </c>
      <c r="CS228" s="5">
        <f>IF($B227&lt;=Tabla5[[#This Row],[INVERSIONES FCI]],+Tabla5[[#This Row],[INVERSIONES FCI]]-CS227,Tabla5[[#This Row],[INVERSIONES FCI]])</f>
        <v>41362501785.82914</v>
      </c>
      <c r="CT228" s="5">
        <f>IF($B227&lt;=Tabla5[[#This Row],[INVERSIONES FCI]],+Tabla5[[#This Row],[INVERSIONES FCI]]-CT227,Tabla5[[#This Row],[INVERSIONES FCI]])</f>
        <v>41362501785.82914</v>
      </c>
      <c r="CU228" s="5">
        <f>IF($B227&lt;=Tabla5[[#This Row],[INVERSIONES FCI]],+Tabla5[[#This Row],[INVERSIONES FCI]]-CU227,Tabla5[[#This Row],[INVERSIONES FCI]])</f>
        <v>41362501785.82914</v>
      </c>
      <c r="CV228" s="5">
        <f>IF($B227&lt;=Tabla5[[#This Row],[INVERSIONES FCI]],+Tabla5[[#This Row],[INVERSIONES FCI]]-CV227,Tabla5[[#This Row],[INVERSIONES FCI]])</f>
        <v>41362501785.82914</v>
      </c>
      <c r="CW228" s="5">
        <f>IF($B227&lt;=Tabla5[[#This Row],[INVERSIONES FCI]],+Tabla5[[#This Row],[INVERSIONES FCI]]-CW227,Tabla5[[#This Row],[INVERSIONES FCI]])</f>
        <v>41362501785.82914</v>
      </c>
      <c r="CX228" s="5">
        <f>IF($B227&lt;=Tabla5[[#This Row],[INVERSIONES FCI]],+Tabla5[[#This Row],[INVERSIONES FCI]]-CX227,Tabla5[[#This Row],[INVERSIONES FCI]])</f>
        <v>41362501785.82914</v>
      </c>
      <c r="CY228" s="5">
        <f>IF($B227&lt;=Tabla5[[#This Row],[INVERSIONES FCI]],+Tabla5[[#This Row],[INVERSIONES FCI]]-CY227,Tabla5[[#This Row],[INVERSIONES FCI]])</f>
        <v>41362501785.82914</v>
      </c>
      <c r="CZ228" s="5">
        <f>IF($B227&lt;=Tabla5[[#This Row],[INVERSIONES FCI]],+Tabla5[[#This Row],[INVERSIONES FCI]]-CZ227,Tabla5[[#This Row],[INVERSIONES FCI]])</f>
        <v>41362501785.82914</v>
      </c>
      <c r="DA228" s="5">
        <f>IF($B227&lt;=Tabla5[[#This Row],[INVERSIONES FCI]],+Tabla5[[#This Row],[INVERSIONES FCI]]-DA227,Tabla5[[#This Row],[INVERSIONES FCI]])</f>
        <v>41362501785.82914</v>
      </c>
      <c r="DB228" s="5">
        <f>IF($B227&lt;=Tabla5[[#This Row],[INVERSIONES FCI]],+Tabla5[[#This Row],[INVERSIONES FCI]]-DB227,Tabla5[[#This Row],[INVERSIONES FCI]])</f>
        <v>41362501785.82914</v>
      </c>
      <c r="DC228" s="5">
        <f>IF($B227&lt;=Tabla5[[#This Row],[INVERSIONES FCI]],+Tabla5[[#This Row],[INVERSIONES FCI]]-DC227,Tabla5[[#This Row],[INVERSIONES FCI]])</f>
        <v>41362501785.82914</v>
      </c>
      <c r="DD228" s="5">
        <f>IF($B227&lt;=Tabla5[[#This Row],[INVERSIONES FCI]],+Tabla5[[#This Row],[INVERSIONES FCI]]-DD227,Tabla5[[#This Row],[INVERSIONES FCI]])</f>
        <v>41362501785.82914</v>
      </c>
      <c r="DE228" s="5">
        <f>IF($B227&lt;=Tabla5[[#This Row],[INVERSIONES FCI]],+Tabla5[[#This Row],[INVERSIONES FCI]]-DE227,Tabla5[[#This Row],[INVERSIONES FCI]])</f>
        <v>41362501785.82914</v>
      </c>
      <c r="DF228" s="5">
        <f>IF($B227&lt;=Tabla5[[#This Row],[INVERSIONES FCI]],+Tabla5[[#This Row],[INVERSIONES FCI]]-DF227,Tabla5[[#This Row],[INVERSIONES FCI]])</f>
        <v>41362501785.82914</v>
      </c>
      <c r="DG228" s="5">
        <f>IF($B227&lt;=Tabla5[[#This Row],[INVERSIONES FCI]],+Tabla5[[#This Row],[INVERSIONES FCI]]-DG227,Tabla5[[#This Row],[INVERSIONES FCI]])</f>
        <v>41362501785.82914</v>
      </c>
      <c r="DH228" s="5">
        <f>IF($B227&lt;=Tabla5[[#This Row],[INVERSIONES FCI]],+Tabla5[[#This Row],[INVERSIONES FCI]]-DH227,Tabla5[[#This Row],[INVERSIONES FCI]])</f>
        <v>41362501785.82914</v>
      </c>
      <c r="DI228" s="5">
        <f>IF($B227&lt;=Tabla5[[#This Row],[INVERSIONES FCI]],+Tabla5[[#This Row],[INVERSIONES FCI]]-DI227,Tabla5[[#This Row],[INVERSIONES FCI]])</f>
        <v>41362501785.82914</v>
      </c>
      <c r="DJ228" s="5">
        <f>IF($B227&lt;=Tabla5[[#This Row],[INVERSIONES FCI]],+Tabla5[[#This Row],[INVERSIONES FCI]]-DJ227,Tabla5[[#This Row],[INVERSIONES FCI]])</f>
        <v>41362501785.82914</v>
      </c>
      <c r="DK228" s="5">
        <f>IF($B227&lt;=Tabla5[[#This Row],[INVERSIONES FCI]],+Tabla5[[#This Row],[INVERSIONES FCI]]-DK227,Tabla5[[#This Row],[INVERSIONES FCI]])</f>
        <v>41362501785.82914</v>
      </c>
      <c r="DL228" s="5"/>
      <c r="DM228" s="5"/>
      <c r="DN228" s="5"/>
      <c r="DO228" s="5"/>
      <c r="DP228" s="5"/>
      <c r="DQ228" s="5"/>
    </row>
    <row r="229" spans="1:121" ht="14.4">
      <c r="A229" s="12" t="s">
        <v>228</v>
      </c>
      <c r="B229" s="5">
        <f>HLOOKUP($A229,ESCENARIO[#All],7,FALSE)</f>
        <v>44320042894.662605</v>
      </c>
      <c r="C229" s="5">
        <f>IF($B228&lt;=Tabla5[[#This Row],[INVERSIONES FCI]],+Tabla5[[#This Row],[INVERSIONES FCI]]-C228,Tabla5[[#This Row],[INVERSIONES FCI]])</f>
        <v>2957541108.8334656</v>
      </c>
      <c r="D229" s="5">
        <f>IF($B228&lt;=Tabla5[[#This Row],[INVERSIONES FCI]],+Tabla5[[#This Row],[INVERSIONES FCI]]-D228,Tabla5[[#This Row],[INVERSIONES FCI]])</f>
        <v>2957541108.8334656</v>
      </c>
      <c r="E229" s="5">
        <f>IF($B228&lt;=Tabla5[[#This Row],[INVERSIONES FCI]],+Tabla5[[#This Row],[INVERSIONES FCI]]-E228,Tabla5[[#This Row],[INVERSIONES FCI]])</f>
        <v>2957541108.8334656</v>
      </c>
      <c r="F229" s="5">
        <f>IF($B228&lt;=Tabla5[[#This Row],[INVERSIONES FCI]],+Tabla5[[#This Row],[INVERSIONES FCI]]-F228,Tabla5[[#This Row],[INVERSIONES FCI]])</f>
        <v>2957541108.8334656</v>
      </c>
      <c r="G229" s="5">
        <f>IF($B228&lt;=Tabla5[[#This Row],[INVERSIONES FCI]],+Tabla5[[#This Row],[INVERSIONES FCI]]-G228,Tabla5[[#This Row],[INVERSIONES FCI]])</f>
        <v>2957541108.8334656</v>
      </c>
      <c r="H229" s="5">
        <f>IF($B228&lt;=Tabla5[[#This Row],[INVERSIONES FCI]],+Tabla5[[#This Row],[INVERSIONES FCI]]-H228,Tabla5[[#This Row],[INVERSIONES FCI]])</f>
        <v>2957541108.8334656</v>
      </c>
      <c r="I229" s="5">
        <f>IF($B228&lt;=Tabla5[[#This Row],[INVERSIONES FCI]],+Tabla5[[#This Row],[INVERSIONES FCI]]-I228,Tabla5[[#This Row],[INVERSIONES FCI]])</f>
        <v>2957541108.8334656</v>
      </c>
      <c r="J229" s="5">
        <f>IF($B228&lt;=Tabla5[[#This Row],[INVERSIONES FCI]],+Tabla5[[#This Row],[INVERSIONES FCI]]-J228,Tabla5[[#This Row],[INVERSIONES FCI]])</f>
        <v>2957541108.8334656</v>
      </c>
      <c r="K229" s="5">
        <f>IF($B228&lt;=Tabla5[[#This Row],[INVERSIONES FCI]],+Tabla5[[#This Row],[INVERSIONES FCI]]-K228,Tabla5[[#This Row],[INVERSIONES FCI]])</f>
        <v>2957541108.8334656</v>
      </c>
      <c r="L229" s="5">
        <f>IF($B228&lt;=Tabla5[[#This Row],[INVERSIONES FCI]],+Tabla5[[#This Row],[INVERSIONES FCI]]-L228,Tabla5[[#This Row],[INVERSIONES FCI]])</f>
        <v>2957541108.8334656</v>
      </c>
      <c r="M229" s="5">
        <f>IF($B228&lt;=Tabla5[[#This Row],[INVERSIONES FCI]],+Tabla5[[#This Row],[INVERSIONES FCI]]-M228,Tabla5[[#This Row],[INVERSIONES FCI]])</f>
        <v>2957541108.8334656</v>
      </c>
      <c r="N229" s="5">
        <f>IF($B228&lt;=Tabla5[[#This Row],[INVERSIONES FCI]],+Tabla5[[#This Row],[INVERSIONES FCI]]-N228,Tabla5[[#This Row],[INVERSIONES FCI]])</f>
        <v>2957541108.8334656</v>
      </c>
      <c r="O229" s="5">
        <f>IF($B228&lt;=Tabla5[[#This Row],[INVERSIONES FCI]],+Tabla5[[#This Row],[INVERSIONES FCI]]-O228,Tabla5[[#This Row],[INVERSIONES FCI]])</f>
        <v>2957541108.8334656</v>
      </c>
      <c r="P229" s="5">
        <f>IF($B228&lt;=Tabla5[[#This Row],[INVERSIONES FCI]],+Tabla5[[#This Row],[INVERSIONES FCI]]-P228,Tabla5[[#This Row],[INVERSIONES FCI]])</f>
        <v>2957541108.8334656</v>
      </c>
      <c r="Q229" s="5">
        <f>IF($B228&lt;=Tabla5[[#This Row],[INVERSIONES FCI]],+Tabla5[[#This Row],[INVERSIONES FCI]]-Q228,Tabla5[[#This Row],[INVERSIONES FCI]])</f>
        <v>2957541108.8334656</v>
      </c>
      <c r="R229" s="5">
        <f>IF($B228&lt;=Tabla5[[#This Row],[INVERSIONES FCI]],+Tabla5[[#This Row],[INVERSIONES FCI]]-R228,Tabla5[[#This Row],[INVERSIONES FCI]])</f>
        <v>2957541108.8334656</v>
      </c>
      <c r="S229" s="5">
        <f>IF($B228&lt;=Tabla5[[#This Row],[INVERSIONES FCI]],+Tabla5[[#This Row],[INVERSIONES FCI]]-S228,Tabla5[[#This Row],[INVERSIONES FCI]])</f>
        <v>2957541108.8334656</v>
      </c>
      <c r="T229" s="5">
        <f>IF($B228&lt;=Tabla5[[#This Row],[INVERSIONES FCI]],+Tabla5[[#This Row],[INVERSIONES FCI]]-T228,Tabla5[[#This Row],[INVERSIONES FCI]])</f>
        <v>2957541108.8334656</v>
      </c>
      <c r="U229" s="5">
        <f>IF($B228&lt;=Tabla5[[#This Row],[INVERSIONES FCI]],+Tabla5[[#This Row],[INVERSIONES FCI]]-U228,Tabla5[[#This Row],[INVERSIONES FCI]])</f>
        <v>2957541108.8334656</v>
      </c>
      <c r="V229" s="5">
        <f>IF($B228&lt;=Tabla5[[#This Row],[INVERSIONES FCI]],+Tabla5[[#This Row],[INVERSIONES FCI]]-V228,Tabla5[[#This Row],[INVERSIONES FCI]])</f>
        <v>2957541108.8334656</v>
      </c>
      <c r="W229" s="5">
        <f>IF($B228&lt;=Tabla5[[#This Row],[INVERSIONES FCI]],+Tabla5[[#This Row],[INVERSIONES FCI]]-W228,Tabla5[[#This Row],[INVERSIONES FCI]])</f>
        <v>2957541108.8334656</v>
      </c>
      <c r="X229" s="5">
        <f>IF($B228&lt;=Tabla5[[#This Row],[INVERSIONES FCI]],+Tabla5[[#This Row],[INVERSIONES FCI]]-X228,Tabla5[[#This Row],[INVERSIONES FCI]])</f>
        <v>2957541108.8334656</v>
      </c>
      <c r="Y229" s="5">
        <f>IF($B228&lt;=Tabla5[[#This Row],[INVERSIONES FCI]],+Tabla5[[#This Row],[INVERSIONES FCI]]-Y228,Tabla5[[#This Row],[INVERSIONES FCI]])</f>
        <v>2957541108.8334656</v>
      </c>
      <c r="Z229" s="5">
        <f>IF($B228&lt;=Tabla5[[#This Row],[INVERSIONES FCI]],+Tabla5[[#This Row],[INVERSIONES FCI]]-Z228,Tabla5[[#This Row],[INVERSIONES FCI]])</f>
        <v>2957541108.8334656</v>
      </c>
      <c r="AA229" s="5">
        <f>IF($B228&lt;=Tabla5[[#This Row],[INVERSIONES FCI]],+Tabla5[[#This Row],[INVERSIONES FCI]]-AA228,Tabla5[[#This Row],[INVERSIONES FCI]])</f>
        <v>2957541108.8334656</v>
      </c>
      <c r="AB229" s="5">
        <f>IF($B228&lt;=Tabla5[[#This Row],[INVERSIONES FCI]],+Tabla5[[#This Row],[INVERSIONES FCI]]-AB228,Tabla5[[#This Row],[INVERSIONES FCI]])</f>
        <v>2957541108.8334656</v>
      </c>
      <c r="AC229" s="5">
        <f>IF($B228&lt;=Tabla5[[#This Row],[INVERSIONES FCI]],+Tabla5[[#This Row],[INVERSIONES FCI]]-AC228,Tabla5[[#This Row],[INVERSIONES FCI]])</f>
        <v>2957541108.8334656</v>
      </c>
      <c r="AD229" s="5">
        <f>IF($B228&lt;=Tabla5[[#This Row],[INVERSIONES FCI]],+Tabla5[[#This Row],[INVERSIONES FCI]]-AD228,Tabla5[[#This Row],[INVERSIONES FCI]])</f>
        <v>2957541108.8334656</v>
      </c>
      <c r="AE229" s="5">
        <f>IF($B228&lt;=Tabla5[[#This Row],[INVERSIONES FCI]],+Tabla5[[#This Row],[INVERSIONES FCI]]-AE228,Tabla5[[#This Row],[INVERSIONES FCI]])</f>
        <v>2957541108.8334656</v>
      </c>
      <c r="AF229" s="5">
        <f>IF($B228&lt;=Tabla5[[#This Row],[INVERSIONES FCI]],+Tabla5[[#This Row],[INVERSIONES FCI]]-AF228,Tabla5[[#This Row],[INVERSIONES FCI]])</f>
        <v>2957541108.8334656</v>
      </c>
      <c r="AG229" s="5">
        <f>IF($B228&lt;=Tabla5[[#This Row],[INVERSIONES FCI]],+Tabla5[[#This Row],[INVERSIONES FCI]]-AG228,Tabla5[[#This Row],[INVERSIONES FCI]])</f>
        <v>2957541108.8334656</v>
      </c>
      <c r="AH229" s="5">
        <f>IF($B228&lt;=Tabla5[[#This Row],[INVERSIONES FCI]],+Tabla5[[#This Row],[INVERSIONES FCI]]-AH228,Tabla5[[#This Row],[INVERSIONES FCI]])</f>
        <v>2957541108.8334656</v>
      </c>
      <c r="AI229" s="5">
        <f>IF($B228&lt;=Tabla5[[#This Row],[INVERSIONES FCI]],+Tabla5[[#This Row],[INVERSIONES FCI]]-AI228,Tabla5[[#This Row],[INVERSIONES FCI]])</f>
        <v>2957541108.8334656</v>
      </c>
      <c r="AJ229" s="5">
        <f>IF($B228&lt;=Tabla5[[#This Row],[INVERSIONES FCI]],+Tabla5[[#This Row],[INVERSIONES FCI]]-AJ228,Tabla5[[#This Row],[INVERSIONES FCI]])</f>
        <v>2957541108.8334656</v>
      </c>
      <c r="AK229" s="5">
        <f>IF($B228&lt;=Tabla5[[#This Row],[INVERSIONES FCI]],+Tabla5[[#This Row],[INVERSIONES FCI]]-AK228,Tabla5[[#This Row],[INVERSIONES FCI]])</f>
        <v>2957541108.8334656</v>
      </c>
      <c r="AL229" s="5">
        <f>IF($B228&lt;=Tabla5[[#This Row],[INVERSIONES FCI]],+Tabla5[[#This Row],[INVERSIONES FCI]]-AL228,Tabla5[[#This Row],[INVERSIONES FCI]])</f>
        <v>2957541108.8334656</v>
      </c>
      <c r="AM229" s="5">
        <f>IF($B228&lt;=Tabla5[[#This Row],[INVERSIONES FCI]],+Tabla5[[#This Row],[INVERSIONES FCI]]-AM228,Tabla5[[#This Row],[INVERSIONES FCI]])</f>
        <v>2957541108.8334656</v>
      </c>
      <c r="AN229" s="5">
        <f>IF($B228&lt;=Tabla5[[#This Row],[INVERSIONES FCI]],+Tabla5[[#This Row],[INVERSIONES FCI]]-AN228,Tabla5[[#This Row],[INVERSIONES FCI]])</f>
        <v>2957541108.8334656</v>
      </c>
      <c r="AO229" s="5">
        <f>IF($B228&lt;=Tabla5[[#This Row],[INVERSIONES FCI]],+Tabla5[[#This Row],[INVERSIONES FCI]]-AO228,Tabla5[[#This Row],[INVERSIONES FCI]])</f>
        <v>2957541108.8334656</v>
      </c>
      <c r="AP229" s="5">
        <f>IF($B228&lt;=Tabla5[[#This Row],[INVERSIONES FCI]],+Tabla5[[#This Row],[INVERSIONES FCI]]-AP228,Tabla5[[#This Row],[INVERSIONES FCI]])</f>
        <v>2957541108.8334656</v>
      </c>
      <c r="AQ229" s="5">
        <f>IF($B228&lt;=Tabla5[[#This Row],[INVERSIONES FCI]],+Tabla5[[#This Row],[INVERSIONES FCI]]-AQ228,Tabla5[[#This Row],[INVERSIONES FCI]])</f>
        <v>2957541108.8334656</v>
      </c>
      <c r="AR229" s="5">
        <f>IF($B228&lt;=Tabla5[[#This Row],[INVERSIONES FCI]],+Tabla5[[#This Row],[INVERSIONES FCI]]-AR228,Tabla5[[#This Row],[INVERSIONES FCI]])</f>
        <v>2957541108.8334656</v>
      </c>
      <c r="AS229" s="5">
        <f>IF($B228&lt;=Tabla5[[#This Row],[INVERSIONES FCI]],+Tabla5[[#This Row],[INVERSIONES FCI]]-AS228,Tabla5[[#This Row],[INVERSIONES FCI]])</f>
        <v>2957541108.8334656</v>
      </c>
      <c r="AT229" s="5">
        <f>IF($B228&lt;=Tabla5[[#This Row],[INVERSIONES FCI]],+Tabla5[[#This Row],[INVERSIONES FCI]]-AT228,Tabla5[[#This Row],[INVERSIONES FCI]])</f>
        <v>2957541108.8334656</v>
      </c>
      <c r="AU229" s="5">
        <f>IF($B228&lt;=Tabla5[[#This Row],[INVERSIONES FCI]],+Tabla5[[#This Row],[INVERSIONES FCI]]-AU228,Tabla5[[#This Row],[INVERSIONES FCI]])</f>
        <v>2957541108.8334656</v>
      </c>
      <c r="AV229" s="5">
        <f>IF($B228&lt;=Tabla5[[#This Row],[INVERSIONES FCI]],+Tabla5[[#This Row],[INVERSIONES FCI]]-AV228,Tabla5[[#This Row],[INVERSIONES FCI]])</f>
        <v>2957541108.8334656</v>
      </c>
      <c r="AW229" s="5">
        <f>IF($B228&lt;=Tabla5[[#This Row],[INVERSIONES FCI]],+Tabla5[[#This Row],[INVERSIONES FCI]]-AW228,Tabla5[[#This Row],[INVERSIONES FCI]])</f>
        <v>2957541108.8334656</v>
      </c>
      <c r="AX229" s="5">
        <f>IF($B228&lt;=Tabla5[[#This Row],[INVERSIONES FCI]],+Tabla5[[#This Row],[INVERSIONES FCI]]-AX228,Tabla5[[#This Row],[INVERSIONES FCI]])</f>
        <v>2957541108.8334656</v>
      </c>
      <c r="AY229" s="5">
        <f>IF($B228&lt;=Tabla5[[#This Row],[INVERSIONES FCI]],+Tabla5[[#This Row],[INVERSIONES FCI]]-AY228,Tabla5[[#This Row],[INVERSIONES FCI]])</f>
        <v>2957541108.8334656</v>
      </c>
      <c r="AZ229" s="5">
        <f>IF($B228&lt;=Tabla5[[#This Row],[INVERSIONES FCI]],+Tabla5[[#This Row],[INVERSIONES FCI]]-AZ228,Tabla5[[#This Row],[INVERSIONES FCI]])</f>
        <v>2957541108.8334656</v>
      </c>
      <c r="BA229" s="5">
        <f>IF($B228&lt;=Tabla5[[#This Row],[INVERSIONES FCI]],+Tabla5[[#This Row],[INVERSIONES FCI]]-BA228,Tabla5[[#This Row],[INVERSIONES FCI]])</f>
        <v>2957541108.8334656</v>
      </c>
      <c r="BB229" s="5">
        <f>IF($B228&lt;=Tabla5[[#This Row],[INVERSIONES FCI]],+Tabla5[[#This Row],[INVERSIONES FCI]]-BB228,Tabla5[[#This Row],[INVERSIONES FCI]])</f>
        <v>2957541108.8334656</v>
      </c>
      <c r="BC229" s="5">
        <f>IF($B228&lt;=Tabla5[[#This Row],[INVERSIONES FCI]],+Tabla5[[#This Row],[INVERSIONES FCI]]-BC228,Tabla5[[#This Row],[INVERSIONES FCI]])</f>
        <v>2957541108.8334656</v>
      </c>
      <c r="BD229" s="5">
        <f>IF($B228&lt;=Tabla5[[#This Row],[INVERSIONES FCI]],+Tabla5[[#This Row],[INVERSIONES FCI]]-BD228,Tabla5[[#This Row],[INVERSIONES FCI]])</f>
        <v>2957541108.8334656</v>
      </c>
      <c r="BE229" s="5">
        <f>IF($B228&lt;=Tabla5[[#This Row],[INVERSIONES FCI]],+Tabla5[[#This Row],[INVERSIONES FCI]]-BE228,Tabla5[[#This Row],[INVERSIONES FCI]])</f>
        <v>2957541108.8334656</v>
      </c>
      <c r="BF229" s="5">
        <f>IF($B228&lt;=Tabla5[[#This Row],[INVERSIONES FCI]],+Tabla5[[#This Row],[INVERSIONES FCI]]-BF228,Tabla5[[#This Row],[INVERSIONES FCI]])</f>
        <v>2957541108.8334656</v>
      </c>
      <c r="BG229" s="5">
        <f>IF($B228&lt;=Tabla5[[#This Row],[INVERSIONES FCI]],+Tabla5[[#This Row],[INVERSIONES FCI]]-BG228,Tabla5[[#This Row],[INVERSIONES FCI]])</f>
        <v>2957541108.8334656</v>
      </c>
      <c r="BH229" s="5">
        <f>IF($B228&lt;=Tabla5[[#This Row],[INVERSIONES FCI]],+Tabla5[[#This Row],[INVERSIONES FCI]]-BH228,Tabla5[[#This Row],[INVERSIONES FCI]])</f>
        <v>2957541108.8334656</v>
      </c>
      <c r="BI229" s="5">
        <f>IF($B228&lt;=Tabla5[[#This Row],[INVERSIONES FCI]],+Tabla5[[#This Row],[INVERSIONES FCI]]-BI228,Tabla5[[#This Row],[INVERSIONES FCI]])</f>
        <v>2957541108.8334656</v>
      </c>
      <c r="BJ229" s="5">
        <f>IF($B228&lt;=Tabla5[[#This Row],[INVERSIONES FCI]],+Tabla5[[#This Row],[INVERSIONES FCI]]-BJ228,Tabla5[[#This Row],[INVERSIONES FCI]])</f>
        <v>2957541108.8334656</v>
      </c>
      <c r="BK229" s="5">
        <f>IF($B228&lt;=Tabla5[[#This Row],[INVERSIONES FCI]],+Tabla5[[#This Row],[INVERSIONES FCI]]-BK228,Tabla5[[#This Row],[INVERSIONES FCI]])</f>
        <v>2957541108.8334656</v>
      </c>
      <c r="BL229" s="5">
        <f>IF($B228&lt;=Tabla5[[#This Row],[INVERSIONES FCI]],+Tabla5[[#This Row],[INVERSIONES FCI]]-BL228,Tabla5[[#This Row],[INVERSIONES FCI]])</f>
        <v>2957541108.8334656</v>
      </c>
      <c r="BM229" s="5">
        <f>IF($B228&lt;=Tabla5[[#This Row],[INVERSIONES FCI]],+Tabla5[[#This Row],[INVERSIONES FCI]]-BM228,Tabla5[[#This Row],[INVERSIONES FCI]])</f>
        <v>2957541108.8334656</v>
      </c>
      <c r="BN229" s="5">
        <f>IF($B228&lt;=Tabla5[[#This Row],[INVERSIONES FCI]],+Tabla5[[#This Row],[INVERSIONES FCI]]-BN228,Tabla5[[#This Row],[INVERSIONES FCI]])</f>
        <v>2957541108.8334656</v>
      </c>
      <c r="BO229" s="5">
        <f>IF($B228&lt;=Tabla5[[#This Row],[INVERSIONES FCI]],+Tabla5[[#This Row],[INVERSIONES FCI]]-BO228,Tabla5[[#This Row],[INVERSIONES FCI]])</f>
        <v>2957541108.8334656</v>
      </c>
      <c r="BP229" s="5">
        <f>IF($B228&lt;=Tabla5[[#This Row],[INVERSIONES FCI]],+Tabla5[[#This Row],[INVERSIONES FCI]]-BP228,Tabla5[[#This Row],[INVERSIONES FCI]])</f>
        <v>2957541108.8334656</v>
      </c>
      <c r="BQ229" s="5">
        <f>IF($B228&lt;=Tabla5[[#This Row],[INVERSIONES FCI]],+Tabla5[[#This Row],[INVERSIONES FCI]]-BQ228,Tabla5[[#This Row],[INVERSIONES FCI]])</f>
        <v>2957541108.8334656</v>
      </c>
      <c r="BR229" s="5">
        <f>IF($B228&lt;=Tabla5[[#This Row],[INVERSIONES FCI]],+Tabla5[[#This Row],[INVERSIONES FCI]]-BR228,Tabla5[[#This Row],[INVERSIONES FCI]])</f>
        <v>2957541108.8334656</v>
      </c>
      <c r="BS229" s="5">
        <f>IF($B228&lt;=Tabla5[[#This Row],[INVERSIONES FCI]],+Tabla5[[#This Row],[INVERSIONES FCI]]-BS228,Tabla5[[#This Row],[INVERSIONES FCI]])</f>
        <v>2957541108.8334656</v>
      </c>
      <c r="BT229" s="5">
        <f>IF($B228&lt;=Tabla5[[#This Row],[INVERSIONES FCI]],+Tabla5[[#This Row],[INVERSIONES FCI]]-BT228,Tabla5[[#This Row],[INVERSIONES FCI]])</f>
        <v>2957541108.8334656</v>
      </c>
      <c r="BU229" s="5">
        <f>IF($B228&lt;=Tabla5[[#This Row],[INVERSIONES FCI]],+Tabla5[[#This Row],[INVERSIONES FCI]]-BU228,Tabla5[[#This Row],[INVERSIONES FCI]])</f>
        <v>2957541108.8334656</v>
      </c>
      <c r="BV229" s="5">
        <f>IF($B228&lt;=Tabla5[[#This Row],[INVERSIONES FCI]],+Tabla5[[#This Row],[INVERSIONES FCI]]-BV228,Tabla5[[#This Row],[INVERSIONES FCI]])</f>
        <v>2957541108.8334656</v>
      </c>
      <c r="BW229" s="5">
        <f>IF($B228&lt;=Tabla5[[#This Row],[INVERSIONES FCI]],+Tabla5[[#This Row],[INVERSIONES FCI]]-BW228,Tabla5[[#This Row],[INVERSIONES FCI]])</f>
        <v>2957541108.8334656</v>
      </c>
      <c r="BX229" s="5">
        <f>IF($B228&lt;=Tabla5[[#This Row],[INVERSIONES FCI]],+Tabla5[[#This Row],[INVERSIONES FCI]]-BX228,Tabla5[[#This Row],[INVERSIONES FCI]])</f>
        <v>2957541108.8334656</v>
      </c>
      <c r="BY229" s="5">
        <f>IF($B228&lt;=Tabla5[[#This Row],[INVERSIONES FCI]],+Tabla5[[#This Row],[INVERSIONES FCI]]-BY228,Tabla5[[#This Row],[INVERSIONES FCI]])</f>
        <v>2957541108.8334656</v>
      </c>
      <c r="BZ229" s="5">
        <f>IF($B228&lt;=Tabla5[[#This Row],[INVERSIONES FCI]],+Tabla5[[#This Row],[INVERSIONES FCI]]-BZ228,Tabla5[[#This Row],[INVERSIONES FCI]])</f>
        <v>2957541108.8334656</v>
      </c>
      <c r="CA229" s="5">
        <f>IF($B228&lt;=Tabla5[[#This Row],[INVERSIONES FCI]],+Tabla5[[#This Row],[INVERSIONES FCI]]-CA228,Tabla5[[#This Row],[INVERSIONES FCI]])</f>
        <v>2957541108.8334656</v>
      </c>
      <c r="CB229" s="5">
        <f>IF($B228&lt;=Tabla5[[#This Row],[INVERSIONES FCI]],+Tabla5[[#This Row],[INVERSIONES FCI]]-CB228,Tabla5[[#This Row],[INVERSIONES FCI]])</f>
        <v>2957541108.8334656</v>
      </c>
      <c r="CC229" s="5">
        <f>IF($B228&lt;=Tabla5[[#This Row],[INVERSIONES FCI]],+Tabla5[[#This Row],[INVERSIONES FCI]]-CC228,Tabla5[[#This Row],[INVERSIONES FCI]])</f>
        <v>2957541108.8334656</v>
      </c>
      <c r="CD229" s="5">
        <f>IF($B228&lt;=Tabla5[[#This Row],[INVERSIONES FCI]],+Tabla5[[#This Row],[INVERSIONES FCI]]-CD228,Tabla5[[#This Row],[INVERSIONES FCI]])</f>
        <v>2957541108.8334656</v>
      </c>
      <c r="CE229" s="5">
        <f>IF($B228&lt;=Tabla5[[#This Row],[INVERSIONES FCI]],+Tabla5[[#This Row],[INVERSIONES FCI]]-CE228,Tabla5[[#This Row],[INVERSIONES FCI]])</f>
        <v>2957541108.8334656</v>
      </c>
      <c r="CF229" s="5">
        <f>IF($B228&lt;=Tabla5[[#This Row],[INVERSIONES FCI]],+Tabla5[[#This Row],[INVERSIONES FCI]]-CF228,Tabla5[[#This Row],[INVERSIONES FCI]])</f>
        <v>2957541108.8334656</v>
      </c>
      <c r="CG229" s="5">
        <f>IF($B228&lt;=Tabla5[[#This Row],[INVERSIONES FCI]],+Tabla5[[#This Row],[INVERSIONES FCI]]-CG228,Tabla5[[#This Row],[INVERSIONES FCI]])</f>
        <v>2957541108.8334656</v>
      </c>
      <c r="CH229" s="5">
        <f>IF($B228&lt;=Tabla5[[#This Row],[INVERSIONES FCI]],+Tabla5[[#This Row],[INVERSIONES FCI]]-CH228,Tabla5[[#This Row],[INVERSIONES FCI]])</f>
        <v>2957541108.8334656</v>
      </c>
      <c r="CI229" s="5">
        <f>IF($B228&lt;=Tabla5[[#This Row],[INVERSIONES FCI]],+Tabla5[[#This Row],[INVERSIONES FCI]]-CI228,Tabla5[[#This Row],[INVERSIONES FCI]])</f>
        <v>2957541108.8334656</v>
      </c>
      <c r="CJ229" s="5">
        <f>IF($B228&lt;=Tabla5[[#This Row],[INVERSIONES FCI]],+Tabla5[[#This Row],[INVERSIONES FCI]]-CJ228,Tabla5[[#This Row],[INVERSIONES FCI]])</f>
        <v>2957541108.8334656</v>
      </c>
      <c r="CK229" s="5">
        <f>IF($B228&lt;=Tabla5[[#This Row],[INVERSIONES FCI]],+Tabla5[[#This Row],[INVERSIONES FCI]]-CK228,Tabla5[[#This Row],[INVERSIONES FCI]])</f>
        <v>2957541108.8334656</v>
      </c>
      <c r="CL229" s="5">
        <f>IF($B228&lt;=Tabla5[[#This Row],[INVERSIONES FCI]],+Tabla5[[#This Row],[INVERSIONES FCI]]-CL228,Tabla5[[#This Row],[INVERSIONES FCI]])</f>
        <v>2957541108.8334656</v>
      </c>
      <c r="CM229" s="5">
        <f>IF($B228&lt;=Tabla5[[#This Row],[INVERSIONES FCI]],+Tabla5[[#This Row],[INVERSIONES FCI]]-CM228,Tabla5[[#This Row],[INVERSIONES FCI]])</f>
        <v>2957541108.8334656</v>
      </c>
      <c r="CN229" s="5">
        <f>IF($B228&lt;=Tabla5[[#This Row],[INVERSIONES FCI]],+Tabla5[[#This Row],[INVERSIONES FCI]]-CN228,Tabla5[[#This Row],[INVERSIONES FCI]])</f>
        <v>2957541108.8334656</v>
      </c>
      <c r="CO229" s="5">
        <f>IF($B228&lt;=Tabla5[[#This Row],[INVERSIONES FCI]],+Tabla5[[#This Row],[INVERSIONES FCI]]-CO228,Tabla5[[#This Row],[INVERSIONES FCI]])</f>
        <v>2957541108.8334656</v>
      </c>
      <c r="CP229" s="5">
        <f>IF($B228&lt;=Tabla5[[#This Row],[INVERSIONES FCI]],+Tabla5[[#This Row],[INVERSIONES FCI]]-CP228,Tabla5[[#This Row],[INVERSIONES FCI]])</f>
        <v>2957541108.8334656</v>
      </c>
      <c r="CQ229" s="5">
        <f>IF($B228&lt;=Tabla5[[#This Row],[INVERSIONES FCI]],+Tabla5[[#This Row],[INVERSIONES FCI]]-CQ228,Tabla5[[#This Row],[INVERSIONES FCI]])</f>
        <v>2957541108.8334656</v>
      </c>
      <c r="CR229" s="5">
        <f>IF($B228&lt;=Tabla5[[#This Row],[INVERSIONES FCI]],+Tabla5[[#This Row],[INVERSIONES FCI]]-CR228,Tabla5[[#This Row],[INVERSIONES FCI]])</f>
        <v>2957541108.8334656</v>
      </c>
      <c r="CS229" s="5">
        <f>IF($B228&lt;=Tabla5[[#This Row],[INVERSIONES FCI]],+Tabla5[[#This Row],[INVERSIONES FCI]]-CS228,Tabla5[[#This Row],[INVERSIONES FCI]])</f>
        <v>2957541108.8334656</v>
      </c>
      <c r="CT229" s="5">
        <f>IF($B228&lt;=Tabla5[[#This Row],[INVERSIONES FCI]],+Tabla5[[#This Row],[INVERSIONES FCI]]-CT228,Tabla5[[#This Row],[INVERSIONES FCI]])</f>
        <v>2957541108.8334656</v>
      </c>
      <c r="CU229" s="5">
        <f>IF($B228&lt;=Tabla5[[#This Row],[INVERSIONES FCI]],+Tabla5[[#This Row],[INVERSIONES FCI]]-CU228,Tabla5[[#This Row],[INVERSIONES FCI]])</f>
        <v>2957541108.8334656</v>
      </c>
      <c r="CV229" s="5">
        <f>IF($B228&lt;=Tabla5[[#This Row],[INVERSIONES FCI]],+Tabla5[[#This Row],[INVERSIONES FCI]]-CV228,Tabla5[[#This Row],[INVERSIONES FCI]])</f>
        <v>2957541108.8334656</v>
      </c>
      <c r="CW229" s="5">
        <f>IF($B228&lt;=Tabla5[[#This Row],[INVERSIONES FCI]],+Tabla5[[#This Row],[INVERSIONES FCI]]-CW228,Tabla5[[#This Row],[INVERSIONES FCI]])</f>
        <v>2957541108.8334656</v>
      </c>
      <c r="CX229" s="5">
        <f>IF($B228&lt;=Tabla5[[#This Row],[INVERSIONES FCI]],+Tabla5[[#This Row],[INVERSIONES FCI]]-CX228,Tabla5[[#This Row],[INVERSIONES FCI]])</f>
        <v>2957541108.8334656</v>
      </c>
      <c r="CY229" s="5">
        <f>IF($B228&lt;=Tabla5[[#This Row],[INVERSIONES FCI]],+Tabla5[[#This Row],[INVERSIONES FCI]]-CY228,Tabla5[[#This Row],[INVERSIONES FCI]])</f>
        <v>2957541108.8334656</v>
      </c>
      <c r="CZ229" s="5">
        <f>IF($B228&lt;=Tabla5[[#This Row],[INVERSIONES FCI]],+Tabla5[[#This Row],[INVERSIONES FCI]]-CZ228,Tabla5[[#This Row],[INVERSIONES FCI]])</f>
        <v>2957541108.8334656</v>
      </c>
      <c r="DA229" s="5">
        <f>IF($B228&lt;=Tabla5[[#This Row],[INVERSIONES FCI]],+Tabla5[[#This Row],[INVERSIONES FCI]]-DA228,Tabla5[[#This Row],[INVERSIONES FCI]])</f>
        <v>2957541108.8334656</v>
      </c>
      <c r="DB229" s="5">
        <f>IF($B228&lt;=Tabla5[[#This Row],[INVERSIONES FCI]],+Tabla5[[#This Row],[INVERSIONES FCI]]-DB228,Tabla5[[#This Row],[INVERSIONES FCI]])</f>
        <v>2957541108.8334656</v>
      </c>
      <c r="DC229" s="5">
        <f>IF($B228&lt;=Tabla5[[#This Row],[INVERSIONES FCI]],+Tabla5[[#This Row],[INVERSIONES FCI]]-DC228,Tabla5[[#This Row],[INVERSIONES FCI]])</f>
        <v>2957541108.8334656</v>
      </c>
      <c r="DD229" s="5">
        <f>IF($B228&lt;=Tabla5[[#This Row],[INVERSIONES FCI]],+Tabla5[[#This Row],[INVERSIONES FCI]]-DD228,Tabla5[[#This Row],[INVERSIONES FCI]])</f>
        <v>2957541108.8334656</v>
      </c>
      <c r="DE229" s="5">
        <f>IF($B228&lt;=Tabla5[[#This Row],[INVERSIONES FCI]],+Tabla5[[#This Row],[INVERSIONES FCI]]-DE228,Tabla5[[#This Row],[INVERSIONES FCI]])</f>
        <v>2957541108.8334656</v>
      </c>
      <c r="DF229" s="5">
        <f>IF($B228&lt;=Tabla5[[#This Row],[INVERSIONES FCI]],+Tabla5[[#This Row],[INVERSIONES FCI]]-DF228,Tabla5[[#This Row],[INVERSIONES FCI]])</f>
        <v>2957541108.8334656</v>
      </c>
      <c r="DG229" s="5">
        <f>IF($B228&lt;=Tabla5[[#This Row],[INVERSIONES FCI]],+Tabla5[[#This Row],[INVERSIONES FCI]]-DG228,Tabla5[[#This Row],[INVERSIONES FCI]])</f>
        <v>2957541108.8334656</v>
      </c>
      <c r="DH229" s="5">
        <f>IF($B228&lt;=Tabla5[[#This Row],[INVERSIONES FCI]],+Tabla5[[#This Row],[INVERSIONES FCI]]-DH228,Tabla5[[#This Row],[INVERSIONES FCI]])</f>
        <v>2957541108.8334656</v>
      </c>
      <c r="DI229" s="5">
        <f>IF($B228&lt;=Tabla5[[#This Row],[INVERSIONES FCI]],+Tabla5[[#This Row],[INVERSIONES FCI]]-DI228,Tabla5[[#This Row],[INVERSIONES FCI]])</f>
        <v>2957541108.8334656</v>
      </c>
      <c r="DJ229" s="5">
        <f>IF($B228&lt;=Tabla5[[#This Row],[INVERSIONES FCI]],+Tabla5[[#This Row],[INVERSIONES FCI]]-DJ228,Tabla5[[#This Row],[INVERSIONES FCI]])</f>
        <v>2957541108.8334656</v>
      </c>
      <c r="DK229" s="5">
        <f>IF($B228&lt;=Tabla5[[#This Row],[INVERSIONES FCI]],+Tabla5[[#This Row],[INVERSIONES FCI]]-DK228,Tabla5[[#This Row],[INVERSIONES FCI]])</f>
        <v>2957541108.8334656</v>
      </c>
      <c r="DL229" s="5"/>
      <c r="DM229" s="5"/>
      <c r="DN229" s="5"/>
      <c r="DO229" s="5"/>
      <c r="DP229" s="5"/>
      <c r="DQ229" s="5"/>
    </row>
    <row r="230" spans="1:121" ht="14.4">
      <c r="A230" s="12" t="s">
        <v>229</v>
      </c>
      <c r="B230" s="5">
        <f>HLOOKUP($A230,ESCENARIO[#All],7,FALSE)</f>
        <v>47023294660.26442</v>
      </c>
      <c r="C230" s="5">
        <f>IF($B229&lt;=Tabla5[[#This Row],[INVERSIONES FCI]],+Tabla5[[#This Row],[INVERSIONES FCI]]-C229,Tabla5[[#This Row],[INVERSIONES FCI]])</f>
        <v>44065753551.430954</v>
      </c>
      <c r="D230" s="5">
        <f>IF($B229&lt;=Tabla5[[#This Row],[INVERSIONES FCI]],+Tabla5[[#This Row],[INVERSIONES FCI]]-D229,Tabla5[[#This Row],[INVERSIONES FCI]])</f>
        <v>44065753551.430954</v>
      </c>
      <c r="E230" s="5">
        <f>IF($B229&lt;=Tabla5[[#This Row],[INVERSIONES FCI]],+Tabla5[[#This Row],[INVERSIONES FCI]]-E229,Tabla5[[#This Row],[INVERSIONES FCI]])</f>
        <v>44065753551.430954</v>
      </c>
      <c r="F230" s="5">
        <f>IF($B229&lt;=Tabla5[[#This Row],[INVERSIONES FCI]],+Tabla5[[#This Row],[INVERSIONES FCI]]-F229,Tabla5[[#This Row],[INVERSIONES FCI]])</f>
        <v>44065753551.430954</v>
      </c>
      <c r="G230" s="5">
        <f>IF($B229&lt;=Tabla5[[#This Row],[INVERSIONES FCI]],+Tabla5[[#This Row],[INVERSIONES FCI]]-G229,Tabla5[[#This Row],[INVERSIONES FCI]])</f>
        <v>44065753551.430954</v>
      </c>
      <c r="H230" s="5">
        <f>IF($B229&lt;=Tabla5[[#This Row],[INVERSIONES FCI]],+Tabla5[[#This Row],[INVERSIONES FCI]]-H229,Tabla5[[#This Row],[INVERSIONES FCI]])</f>
        <v>44065753551.430954</v>
      </c>
      <c r="I230" s="5">
        <f>IF($B229&lt;=Tabla5[[#This Row],[INVERSIONES FCI]],+Tabla5[[#This Row],[INVERSIONES FCI]]-I229,Tabla5[[#This Row],[INVERSIONES FCI]])</f>
        <v>44065753551.430954</v>
      </c>
      <c r="J230" s="5">
        <f>IF($B229&lt;=Tabla5[[#This Row],[INVERSIONES FCI]],+Tabla5[[#This Row],[INVERSIONES FCI]]-J229,Tabla5[[#This Row],[INVERSIONES FCI]])</f>
        <v>44065753551.430954</v>
      </c>
      <c r="K230" s="5">
        <f>IF($B229&lt;=Tabla5[[#This Row],[INVERSIONES FCI]],+Tabla5[[#This Row],[INVERSIONES FCI]]-K229,Tabla5[[#This Row],[INVERSIONES FCI]])</f>
        <v>44065753551.430954</v>
      </c>
      <c r="L230" s="5">
        <f>IF($B229&lt;=Tabla5[[#This Row],[INVERSIONES FCI]],+Tabla5[[#This Row],[INVERSIONES FCI]]-L229,Tabla5[[#This Row],[INVERSIONES FCI]])</f>
        <v>44065753551.430954</v>
      </c>
      <c r="M230" s="5">
        <f>IF($B229&lt;=Tabla5[[#This Row],[INVERSIONES FCI]],+Tabla5[[#This Row],[INVERSIONES FCI]]-M229,Tabla5[[#This Row],[INVERSIONES FCI]])</f>
        <v>44065753551.430954</v>
      </c>
      <c r="N230" s="5">
        <f>IF($B229&lt;=Tabla5[[#This Row],[INVERSIONES FCI]],+Tabla5[[#This Row],[INVERSIONES FCI]]-N229,Tabla5[[#This Row],[INVERSIONES FCI]])</f>
        <v>44065753551.430954</v>
      </c>
      <c r="O230" s="5">
        <f>IF($B229&lt;=Tabla5[[#This Row],[INVERSIONES FCI]],+Tabla5[[#This Row],[INVERSIONES FCI]]-O229,Tabla5[[#This Row],[INVERSIONES FCI]])</f>
        <v>44065753551.430954</v>
      </c>
      <c r="P230" s="5">
        <f>IF($B229&lt;=Tabla5[[#This Row],[INVERSIONES FCI]],+Tabla5[[#This Row],[INVERSIONES FCI]]-P229,Tabla5[[#This Row],[INVERSIONES FCI]])</f>
        <v>44065753551.430954</v>
      </c>
      <c r="Q230" s="5">
        <f>IF($B229&lt;=Tabla5[[#This Row],[INVERSIONES FCI]],+Tabla5[[#This Row],[INVERSIONES FCI]]-Q229,Tabla5[[#This Row],[INVERSIONES FCI]])</f>
        <v>44065753551.430954</v>
      </c>
      <c r="R230" s="5">
        <f>IF($B229&lt;=Tabla5[[#This Row],[INVERSIONES FCI]],+Tabla5[[#This Row],[INVERSIONES FCI]]-R229,Tabla5[[#This Row],[INVERSIONES FCI]])</f>
        <v>44065753551.430954</v>
      </c>
      <c r="S230" s="5">
        <f>IF($B229&lt;=Tabla5[[#This Row],[INVERSIONES FCI]],+Tabla5[[#This Row],[INVERSIONES FCI]]-S229,Tabla5[[#This Row],[INVERSIONES FCI]])</f>
        <v>44065753551.430954</v>
      </c>
      <c r="T230" s="5">
        <f>IF($B229&lt;=Tabla5[[#This Row],[INVERSIONES FCI]],+Tabla5[[#This Row],[INVERSIONES FCI]]-T229,Tabla5[[#This Row],[INVERSIONES FCI]])</f>
        <v>44065753551.430954</v>
      </c>
      <c r="U230" s="5">
        <f>IF($B229&lt;=Tabla5[[#This Row],[INVERSIONES FCI]],+Tabla5[[#This Row],[INVERSIONES FCI]]-U229,Tabla5[[#This Row],[INVERSIONES FCI]])</f>
        <v>44065753551.430954</v>
      </c>
      <c r="V230" s="5">
        <f>IF($B229&lt;=Tabla5[[#This Row],[INVERSIONES FCI]],+Tabla5[[#This Row],[INVERSIONES FCI]]-V229,Tabla5[[#This Row],[INVERSIONES FCI]])</f>
        <v>44065753551.430954</v>
      </c>
      <c r="W230" s="5">
        <f>IF($B229&lt;=Tabla5[[#This Row],[INVERSIONES FCI]],+Tabla5[[#This Row],[INVERSIONES FCI]]-W229,Tabla5[[#This Row],[INVERSIONES FCI]])</f>
        <v>44065753551.430954</v>
      </c>
      <c r="X230" s="5">
        <f>IF($B229&lt;=Tabla5[[#This Row],[INVERSIONES FCI]],+Tabla5[[#This Row],[INVERSIONES FCI]]-X229,Tabla5[[#This Row],[INVERSIONES FCI]])</f>
        <v>44065753551.430954</v>
      </c>
      <c r="Y230" s="5">
        <f>IF($B229&lt;=Tabla5[[#This Row],[INVERSIONES FCI]],+Tabla5[[#This Row],[INVERSIONES FCI]]-Y229,Tabla5[[#This Row],[INVERSIONES FCI]])</f>
        <v>44065753551.430954</v>
      </c>
      <c r="Z230" s="5">
        <f>IF($B229&lt;=Tabla5[[#This Row],[INVERSIONES FCI]],+Tabla5[[#This Row],[INVERSIONES FCI]]-Z229,Tabla5[[#This Row],[INVERSIONES FCI]])</f>
        <v>44065753551.430954</v>
      </c>
      <c r="AA230" s="5">
        <f>IF($B229&lt;=Tabla5[[#This Row],[INVERSIONES FCI]],+Tabla5[[#This Row],[INVERSIONES FCI]]-AA229,Tabla5[[#This Row],[INVERSIONES FCI]])</f>
        <v>44065753551.430954</v>
      </c>
      <c r="AB230" s="5">
        <f>IF($B229&lt;=Tabla5[[#This Row],[INVERSIONES FCI]],+Tabla5[[#This Row],[INVERSIONES FCI]]-AB229,Tabla5[[#This Row],[INVERSIONES FCI]])</f>
        <v>44065753551.430954</v>
      </c>
      <c r="AC230" s="5">
        <f>IF($B229&lt;=Tabla5[[#This Row],[INVERSIONES FCI]],+Tabla5[[#This Row],[INVERSIONES FCI]]-AC229,Tabla5[[#This Row],[INVERSIONES FCI]])</f>
        <v>44065753551.430954</v>
      </c>
      <c r="AD230" s="5">
        <f>IF($B229&lt;=Tabla5[[#This Row],[INVERSIONES FCI]],+Tabla5[[#This Row],[INVERSIONES FCI]]-AD229,Tabla5[[#This Row],[INVERSIONES FCI]])</f>
        <v>44065753551.430954</v>
      </c>
      <c r="AE230" s="5">
        <f>IF($B229&lt;=Tabla5[[#This Row],[INVERSIONES FCI]],+Tabla5[[#This Row],[INVERSIONES FCI]]-AE229,Tabla5[[#This Row],[INVERSIONES FCI]])</f>
        <v>44065753551.430954</v>
      </c>
      <c r="AF230" s="5">
        <f>IF($B229&lt;=Tabla5[[#This Row],[INVERSIONES FCI]],+Tabla5[[#This Row],[INVERSIONES FCI]]-AF229,Tabla5[[#This Row],[INVERSIONES FCI]])</f>
        <v>44065753551.430954</v>
      </c>
      <c r="AG230" s="5">
        <f>IF($B229&lt;=Tabla5[[#This Row],[INVERSIONES FCI]],+Tabla5[[#This Row],[INVERSIONES FCI]]-AG229,Tabla5[[#This Row],[INVERSIONES FCI]])</f>
        <v>44065753551.430954</v>
      </c>
      <c r="AH230" s="5">
        <f>IF($B229&lt;=Tabla5[[#This Row],[INVERSIONES FCI]],+Tabla5[[#This Row],[INVERSIONES FCI]]-AH229,Tabla5[[#This Row],[INVERSIONES FCI]])</f>
        <v>44065753551.430954</v>
      </c>
      <c r="AI230" s="5">
        <f>IF($B229&lt;=Tabla5[[#This Row],[INVERSIONES FCI]],+Tabla5[[#This Row],[INVERSIONES FCI]]-AI229,Tabla5[[#This Row],[INVERSIONES FCI]])</f>
        <v>44065753551.430954</v>
      </c>
      <c r="AJ230" s="5">
        <f>IF($B229&lt;=Tabla5[[#This Row],[INVERSIONES FCI]],+Tabla5[[#This Row],[INVERSIONES FCI]]-AJ229,Tabla5[[#This Row],[INVERSIONES FCI]])</f>
        <v>44065753551.430954</v>
      </c>
      <c r="AK230" s="5">
        <f>IF($B229&lt;=Tabla5[[#This Row],[INVERSIONES FCI]],+Tabla5[[#This Row],[INVERSIONES FCI]]-AK229,Tabla5[[#This Row],[INVERSIONES FCI]])</f>
        <v>44065753551.430954</v>
      </c>
      <c r="AL230" s="5">
        <f>IF($B229&lt;=Tabla5[[#This Row],[INVERSIONES FCI]],+Tabla5[[#This Row],[INVERSIONES FCI]]-AL229,Tabla5[[#This Row],[INVERSIONES FCI]])</f>
        <v>44065753551.430954</v>
      </c>
      <c r="AM230" s="5">
        <f>IF($B229&lt;=Tabla5[[#This Row],[INVERSIONES FCI]],+Tabla5[[#This Row],[INVERSIONES FCI]]-AM229,Tabla5[[#This Row],[INVERSIONES FCI]])</f>
        <v>44065753551.430954</v>
      </c>
      <c r="AN230" s="5">
        <f>IF($B229&lt;=Tabla5[[#This Row],[INVERSIONES FCI]],+Tabla5[[#This Row],[INVERSIONES FCI]]-AN229,Tabla5[[#This Row],[INVERSIONES FCI]])</f>
        <v>44065753551.430954</v>
      </c>
      <c r="AO230" s="5">
        <f>IF($B229&lt;=Tabla5[[#This Row],[INVERSIONES FCI]],+Tabla5[[#This Row],[INVERSIONES FCI]]-AO229,Tabla5[[#This Row],[INVERSIONES FCI]])</f>
        <v>44065753551.430954</v>
      </c>
      <c r="AP230" s="5">
        <f>IF($B229&lt;=Tabla5[[#This Row],[INVERSIONES FCI]],+Tabla5[[#This Row],[INVERSIONES FCI]]-AP229,Tabla5[[#This Row],[INVERSIONES FCI]])</f>
        <v>44065753551.430954</v>
      </c>
      <c r="AQ230" s="5">
        <f>IF($B229&lt;=Tabla5[[#This Row],[INVERSIONES FCI]],+Tabla5[[#This Row],[INVERSIONES FCI]]-AQ229,Tabla5[[#This Row],[INVERSIONES FCI]])</f>
        <v>44065753551.430954</v>
      </c>
      <c r="AR230" s="5">
        <f>IF($B229&lt;=Tabla5[[#This Row],[INVERSIONES FCI]],+Tabla5[[#This Row],[INVERSIONES FCI]]-AR229,Tabla5[[#This Row],[INVERSIONES FCI]])</f>
        <v>44065753551.430954</v>
      </c>
      <c r="AS230" s="5">
        <f>IF($B229&lt;=Tabla5[[#This Row],[INVERSIONES FCI]],+Tabla5[[#This Row],[INVERSIONES FCI]]-AS229,Tabla5[[#This Row],[INVERSIONES FCI]])</f>
        <v>44065753551.430954</v>
      </c>
      <c r="AT230" s="5">
        <f>IF($B229&lt;=Tabla5[[#This Row],[INVERSIONES FCI]],+Tabla5[[#This Row],[INVERSIONES FCI]]-AT229,Tabla5[[#This Row],[INVERSIONES FCI]])</f>
        <v>44065753551.430954</v>
      </c>
      <c r="AU230" s="5">
        <f>IF($B229&lt;=Tabla5[[#This Row],[INVERSIONES FCI]],+Tabla5[[#This Row],[INVERSIONES FCI]]-AU229,Tabla5[[#This Row],[INVERSIONES FCI]])</f>
        <v>44065753551.430954</v>
      </c>
      <c r="AV230" s="5">
        <f>IF($B229&lt;=Tabla5[[#This Row],[INVERSIONES FCI]],+Tabla5[[#This Row],[INVERSIONES FCI]]-AV229,Tabla5[[#This Row],[INVERSIONES FCI]])</f>
        <v>44065753551.430954</v>
      </c>
      <c r="AW230" s="5">
        <f>IF($B229&lt;=Tabla5[[#This Row],[INVERSIONES FCI]],+Tabla5[[#This Row],[INVERSIONES FCI]]-AW229,Tabla5[[#This Row],[INVERSIONES FCI]])</f>
        <v>44065753551.430954</v>
      </c>
      <c r="AX230" s="5">
        <f>IF($B229&lt;=Tabla5[[#This Row],[INVERSIONES FCI]],+Tabla5[[#This Row],[INVERSIONES FCI]]-AX229,Tabla5[[#This Row],[INVERSIONES FCI]])</f>
        <v>44065753551.430954</v>
      </c>
      <c r="AY230" s="5">
        <f>IF($B229&lt;=Tabla5[[#This Row],[INVERSIONES FCI]],+Tabla5[[#This Row],[INVERSIONES FCI]]-AY229,Tabla5[[#This Row],[INVERSIONES FCI]])</f>
        <v>44065753551.430954</v>
      </c>
      <c r="AZ230" s="5">
        <f>IF($B229&lt;=Tabla5[[#This Row],[INVERSIONES FCI]],+Tabla5[[#This Row],[INVERSIONES FCI]]-AZ229,Tabla5[[#This Row],[INVERSIONES FCI]])</f>
        <v>44065753551.430954</v>
      </c>
      <c r="BA230" s="5">
        <f>IF($B229&lt;=Tabla5[[#This Row],[INVERSIONES FCI]],+Tabla5[[#This Row],[INVERSIONES FCI]]-BA229,Tabla5[[#This Row],[INVERSIONES FCI]])</f>
        <v>44065753551.430954</v>
      </c>
      <c r="BB230" s="5">
        <f>IF($B229&lt;=Tabla5[[#This Row],[INVERSIONES FCI]],+Tabla5[[#This Row],[INVERSIONES FCI]]-BB229,Tabla5[[#This Row],[INVERSIONES FCI]])</f>
        <v>44065753551.430954</v>
      </c>
      <c r="BC230" s="5">
        <f>IF($B229&lt;=Tabla5[[#This Row],[INVERSIONES FCI]],+Tabla5[[#This Row],[INVERSIONES FCI]]-BC229,Tabla5[[#This Row],[INVERSIONES FCI]])</f>
        <v>44065753551.430954</v>
      </c>
      <c r="BD230" s="5">
        <f>IF($B229&lt;=Tabla5[[#This Row],[INVERSIONES FCI]],+Tabla5[[#This Row],[INVERSIONES FCI]]-BD229,Tabla5[[#This Row],[INVERSIONES FCI]])</f>
        <v>44065753551.430954</v>
      </c>
      <c r="BE230" s="5">
        <f>IF($B229&lt;=Tabla5[[#This Row],[INVERSIONES FCI]],+Tabla5[[#This Row],[INVERSIONES FCI]]-BE229,Tabla5[[#This Row],[INVERSIONES FCI]])</f>
        <v>44065753551.430954</v>
      </c>
      <c r="BF230" s="5">
        <f>IF($B229&lt;=Tabla5[[#This Row],[INVERSIONES FCI]],+Tabla5[[#This Row],[INVERSIONES FCI]]-BF229,Tabla5[[#This Row],[INVERSIONES FCI]])</f>
        <v>44065753551.430954</v>
      </c>
      <c r="BG230" s="5">
        <f>IF($B229&lt;=Tabla5[[#This Row],[INVERSIONES FCI]],+Tabla5[[#This Row],[INVERSIONES FCI]]-BG229,Tabla5[[#This Row],[INVERSIONES FCI]])</f>
        <v>44065753551.430954</v>
      </c>
      <c r="BH230" s="5">
        <f>IF($B229&lt;=Tabla5[[#This Row],[INVERSIONES FCI]],+Tabla5[[#This Row],[INVERSIONES FCI]]-BH229,Tabla5[[#This Row],[INVERSIONES FCI]])</f>
        <v>44065753551.430954</v>
      </c>
      <c r="BI230" s="5">
        <f>IF($B229&lt;=Tabla5[[#This Row],[INVERSIONES FCI]],+Tabla5[[#This Row],[INVERSIONES FCI]]-BI229,Tabla5[[#This Row],[INVERSIONES FCI]])</f>
        <v>44065753551.430954</v>
      </c>
      <c r="BJ230" s="5">
        <f>IF($B229&lt;=Tabla5[[#This Row],[INVERSIONES FCI]],+Tabla5[[#This Row],[INVERSIONES FCI]]-BJ229,Tabla5[[#This Row],[INVERSIONES FCI]])</f>
        <v>44065753551.430954</v>
      </c>
      <c r="BK230" s="5">
        <f>IF($B229&lt;=Tabla5[[#This Row],[INVERSIONES FCI]],+Tabla5[[#This Row],[INVERSIONES FCI]]-BK229,Tabla5[[#This Row],[INVERSIONES FCI]])</f>
        <v>44065753551.430954</v>
      </c>
      <c r="BL230" s="5">
        <f>IF($B229&lt;=Tabla5[[#This Row],[INVERSIONES FCI]],+Tabla5[[#This Row],[INVERSIONES FCI]]-BL229,Tabla5[[#This Row],[INVERSIONES FCI]])</f>
        <v>44065753551.430954</v>
      </c>
      <c r="BM230" s="5">
        <f>IF($B229&lt;=Tabla5[[#This Row],[INVERSIONES FCI]],+Tabla5[[#This Row],[INVERSIONES FCI]]-BM229,Tabla5[[#This Row],[INVERSIONES FCI]])</f>
        <v>44065753551.430954</v>
      </c>
      <c r="BN230" s="5">
        <f>IF($B229&lt;=Tabla5[[#This Row],[INVERSIONES FCI]],+Tabla5[[#This Row],[INVERSIONES FCI]]-BN229,Tabla5[[#This Row],[INVERSIONES FCI]])</f>
        <v>44065753551.430954</v>
      </c>
      <c r="BO230" s="5">
        <f>IF($B229&lt;=Tabla5[[#This Row],[INVERSIONES FCI]],+Tabla5[[#This Row],[INVERSIONES FCI]]-BO229,Tabla5[[#This Row],[INVERSIONES FCI]])</f>
        <v>44065753551.430954</v>
      </c>
      <c r="BP230" s="5">
        <f>IF($B229&lt;=Tabla5[[#This Row],[INVERSIONES FCI]],+Tabla5[[#This Row],[INVERSIONES FCI]]-BP229,Tabla5[[#This Row],[INVERSIONES FCI]])</f>
        <v>44065753551.430954</v>
      </c>
      <c r="BQ230" s="5">
        <f>IF($B229&lt;=Tabla5[[#This Row],[INVERSIONES FCI]],+Tabla5[[#This Row],[INVERSIONES FCI]]-BQ229,Tabla5[[#This Row],[INVERSIONES FCI]])</f>
        <v>44065753551.430954</v>
      </c>
      <c r="BR230" s="5">
        <f>IF($B229&lt;=Tabla5[[#This Row],[INVERSIONES FCI]],+Tabla5[[#This Row],[INVERSIONES FCI]]-BR229,Tabla5[[#This Row],[INVERSIONES FCI]])</f>
        <v>44065753551.430954</v>
      </c>
      <c r="BS230" s="5">
        <f>IF($B229&lt;=Tabla5[[#This Row],[INVERSIONES FCI]],+Tabla5[[#This Row],[INVERSIONES FCI]]-BS229,Tabla5[[#This Row],[INVERSIONES FCI]])</f>
        <v>44065753551.430954</v>
      </c>
      <c r="BT230" s="5">
        <f>IF($B229&lt;=Tabla5[[#This Row],[INVERSIONES FCI]],+Tabla5[[#This Row],[INVERSIONES FCI]]-BT229,Tabla5[[#This Row],[INVERSIONES FCI]])</f>
        <v>44065753551.430954</v>
      </c>
      <c r="BU230" s="5">
        <f>IF($B229&lt;=Tabla5[[#This Row],[INVERSIONES FCI]],+Tabla5[[#This Row],[INVERSIONES FCI]]-BU229,Tabla5[[#This Row],[INVERSIONES FCI]])</f>
        <v>44065753551.430954</v>
      </c>
      <c r="BV230" s="5">
        <f>IF($B229&lt;=Tabla5[[#This Row],[INVERSIONES FCI]],+Tabla5[[#This Row],[INVERSIONES FCI]]-BV229,Tabla5[[#This Row],[INVERSIONES FCI]])</f>
        <v>44065753551.430954</v>
      </c>
      <c r="BW230" s="5">
        <f>IF($B229&lt;=Tabla5[[#This Row],[INVERSIONES FCI]],+Tabla5[[#This Row],[INVERSIONES FCI]]-BW229,Tabla5[[#This Row],[INVERSIONES FCI]])</f>
        <v>44065753551.430954</v>
      </c>
      <c r="BX230" s="5">
        <f>IF($B229&lt;=Tabla5[[#This Row],[INVERSIONES FCI]],+Tabla5[[#This Row],[INVERSIONES FCI]]-BX229,Tabla5[[#This Row],[INVERSIONES FCI]])</f>
        <v>44065753551.430954</v>
      </c>
      <c r="BY230" s="5">
        <f>IF($B229&lt;=Tabla5[[#This Row],[INVERSIONES FCI]],+Tabla5[[#This Row],[INVERSIONES FCI]]-BY229,Tabla5[[#This Row],[INVERSIONES FCI]])</f>
        <v>44065753551.430954</v>
      </c>
      <c r="BZ230" s="5">
        <f>IF($B229&lt;=Tabla5[[#This Row],[INVERSIONES FCI]],+Tabla5[[#This Row],[INVERSIONES FCI]]-BZ229,Tabla5[[#This Row],[INVERSIONES FCI]])</f>
        <v>44065753551.430954</v>
      </c>
      <c r="CA230" s="5">
        <f>IF($B229&lt;=Tabla5[[#This Row],[INVERSIONES FCI]],+Tabla5[[#This Row],[INVERSIONES FCI]]-CA229,Tabla5[[#This Row],[INVERSIONES FCI]])</f>
        <v>44065753551.430954</v>
      </c>
      <c r="CB230" s="5">
        <f>IF($B229&lt;=Tabla5[[#This Row],[INVERSIONES FCI]],+Tabla5[[#This Row],[INVERSIONES FCI]]-CB229,Tabla5[[#This Row],[INVERSIONES FCI]])</f>
        <v>44065753551.430954</v>
      </c>
      <c r="CC230" s="5">
        <f>IF($B229&lt;=Tabla5[[#This Row],[INVERSIONES FCI]],+Tabla5[[#This Row],[INVERSIONES FCI]]-CC229,Tabla5[[#This Row],[INVERSIONES FCI]])</f>
        <v>44065753551.430954</v>
      </c>
      <c r="CD230" s="5">
        <f>IF($B229&lt;=Tabla5[[#This Row],[INVERSIONES FCI]],+Tabla5[[#This Row],[INVERSIONES FCI]]-CD229,Tabla5[[#This Row],[INVERSIONES FCI]])</f>
        <v>44065753551.430954</v>
      </c>
      <c r="CE230" s="5">
        <f>IF($B229&lt;=Tabla5[[#This Row],[INVERSIONES FCI]],+Tabla5[[#This Row],[INVERSIONES FCI]]-CE229,Tabla5[[#This Row],[INVERSIONES FCI]])</f>
        <v>44065753551.430954</v>
      </c>
      <c r="CF230" s="5">
        <f>IF($B229&lt;=Tabla5[[#This Row],[INVERSIONES FCI]],+Tabla5[[#This Row],[INVERSIONES FCI]]-CF229,Tabla5[[#This Row],[INVERSIONES FCI]])</f>
        <v>44065753551.430954</v>
      </c>
      <c r="CG230" s="5">
        <f>IF($B229&lt;=Tabla5[[#This Row],[INVERSIONES FCI]],+Tabla5[[#This Row],[INVERSIONES FCI]]-CG229,Tabla5[[#This Row],[INVERSIONES FCI]])</f>
        <v>44065753551.430954</v>
      </c>
      <c r="CH230" s="5">
        <f>IF($B229&lt;=Tabla5[[#This Row],[INVERSIONES FCI]],+Tabla5[[#This Row],[INVERSIONES FCI]]-CH229,Tabla5[[#This Row],[INVERSIONES FCI]])</f>
        <v>44065753551.430954</v>
      </c>
      <c r="CI230" s="5">
        <f>IF($B229&lt;=Tabla5[[#This Row],[INVERSIONES FCI]],+Tabla5[[#This Row],[INVERSIONES FCI]]-CI229,Tabla5[[#This Row],[INVERSIONES FCI]])</f>
        <v>44065753551.430954</v>
      </c>
      <c r="CJ230" s="5">
        <f>IF($B229&lt;=Tabla5[[#This Row],[INVERSIONES FCI]],+Tabla5[[#This Row],[INVERSIONES FCI]]-CJ229,Tabla5[[#This Row],[INVERSIONES FCI]])</f>
        <v>44065753551.430954</v>
      </c>
      <c r="CK230" s="5">
        <f>IF($B229&lt;=Tabla5[[#This Row],[INVERSIONES FCI]],+Tabla5[[#This Row],[INVERSIONES FCI]]-CK229,Tabla5[[#This Row],[INVERSIONES FCI]])</f>
        <v>44065753551.430954</v>
      </c>
      <c r="CL230" s="5">
        <f>IF($B229&lt;=Tabla5[[#This Row],[INVERSIONES FCI]],+Tabla5[[#This Row],[INVERSIONES FCI]]-CL229,Tabla5[[#This Row],[INVERSIONES FCI]])</f>
        <v>44065753551.430954</v>
      </c>
      <c r="CM230" s="5">
        <f>IF($B229&lt;=Tabla5[[#This Row],[INVERSIONES FCI]],+Tabla5[[#This Row],[INVERSIONES FCI]]-CM229,Tabla5[[#This Row],[INVERSIONES FCI]])</f>
        <v>44065753551.430954</v>
      </c>
      <c r="CN230" s="5">
        <f>IF($B229&lt;=Tabla5[[#This Row],[INVERSIONES FCI]],+Tabla5[[#This Row],[INVERSIONES FCI]]-CN229,Tabla5[[#This Row],[INVERSIONES FCI]])</f>
        <v>44065753551.430954</v>
      </c>
      <c r="CO230" s="5">
        <f>IF($B229&lt;=Tabla5[[#This Row],[INVERSIONES FCI]],+Tabla5[[#This Row],[INVERSIONES FCI]]-CO229,Tabla5[[#This Row],[INVERSIONES FCI]])</f>
        <v>44065753551.430954</v>
      </c>
      <c r="CP230" s="5">
        <f>IF($B229&lt;=Tabla5[[#This Row],[INVERSIONES FCI]],+Tabla5[[#This Row],[INVERSIONES FCI]]-CP229,Tabla5[[#This Row],[INVERSIONES FCI]])</f>
        <v>44065753551.430954</v>
      </c>
      <c r="CQ230" s="5">
        <f>IF($B229&lt;=Tabla5[[#This Row],[INVERSIONES FCI]],+Tabla5[[#This Row],[INVERSIONES FCI]]-CQ229,Tabla5[[#This Row],[INVERSIONES FCI]])</f>
        <v>44065753551.430954</v>
      </c>
      <c r="CR230" s="5">
        <f>IF($B229&lt;=Tabla5[[#This Row],[INVERSIONES FCI]],+Tabla5[[#This Row],[INVERSIONES FCI]]-CR229,Tabla5[[#This Row],[INVERSIONES FCI]])</f>
        <v>44065753551.430954</v>
      </c>
      <c r="CS230" s="5">
        <f>IF($B229&lt;=Tabla5[[#This Row],[INVERSIONES FCI]],+Tabla5[[#This Row],[INVERSIONES FCI]]-CS229,Tabla5[[#This Row],[INVERSIONES FCI]])</f>
        <v>44065753551.430954</v>
      </c>
      <c r="CT230" s="5">
        <f>IF($B229&lt;=Tabla5[[#This Row],[INVERSIONES FCI]],+Tabla5[[#This Row],[INVERSIONES FCI]]-CT229,Tabla5[[#This Row],[INVERSIONES FCI]])</f>
        <v>44065753551.430954</v>
      </c>
      <c r="CU230" s="5">
        <f>IF($B229&lt;=Tabla5[[#This Row],[INVERSIONES FCI]],+Tabla5[[#This Row],[INVERSIONES FCI]]-CU229,Tabla5[[#This Row],[INVERSIONES FCI]])</f>
        <v>44065753551.430954</v>
      </c>
      <c r="CV230" s="5">
        <f>IF($B229&lt;=Tabla5[[#This Row],[INVERSIONES FCI]],+Tabla5[[#This Row],[INVERSIONES FCI]]-CV229,Tabla5[[#This Row],[INVERSIONES FCI]])</f>
        <v>44065753551.430954</v>
      </c>
      <c r="CW230" s="5">
        <f>IF($B229&lt;=Tabla5[[#This Row],[INVERSIONES FCI]],+Tabla5[[#This Row],[INVERSIONES FCI]]-CW229,Tabla5[[#This Row],[INVERSIONES FCI]])</f>
        <v>44065753551.430954</v>
      </c>
      <c r="CX230" s="5">
        <f>IF($B229&lt;=Tabla5[[#This Row],[INVERSIONES FCI]],+Tabla5[[#This Row],[INVERSIONES FCI]]-CX229,Tabla5[[#This Row],[INVERSIONES FCI]])</f>
        <v>44065753551.430954</v>
      </c>
      <c r="CY230" s="5">
        <f>IF($B229&lt;=Tabla5[[#This Row],[INVERSIONES FCI]],+Tabla5[[#This Row],[INVERSIONES FCI]]-CY229,Tabla5[[#This Row],[INVERSIONES FCI]])</f>
        <v>44065753551.430954</v>
      </c>
      <c r="CZ230" s="5">
        <f>IF($B229&lt;=Tabla5[[#This Row],[INVERSIONES FCI]],+Tabla5[[#This Row],[INVERSIONES FCI]]-CZ229,Tabla5[[#This Row],[INVERSIONES FCI]])</f>
        <v>44065753551.430954</v>
      </c>
      <c r="DA230" s="5">
        <f>IF($B229&lt;=Tabla5[[#This Row],[INVERSIONES FCI]],+Tabla5[[#This Row],[INVERSIONES FCI]]-DA229,Tabla5[[#This Row],[INVERSIONES FCI]])</f>
        <v>44065753551.430954</v>
      </c>
      <c r="DB230" s="5">
        <f>IF($B229&lt;=Tabla5[[#This Row],[INVERSIONES FCI]],+Tabla5[[#This Row],[INVERSIONES FCI]]-DB229,Tabla5[[#This Row],[INVERSIONES FCI]])</f>
        <v>44065753551.430954</v>
      </c>
      <c r="DC230" s="5">
        <f>IF($B229&lt;=Tabla5[[#This Row],[INVERSIONES FCI]],+Tabla5[[#This Row],[INVERSIONES FCI]]-DC229,Tabla5[[#This Row],[INVERSIONES FCI]])</f>
        <v>44065753551.430954</v>
      </c>
      <c r="DD230" s="5">
        <f>IF($B229&lt;=Tabla5[[#This Row],[INVERSIONES FCI]],+Tabla5[[#This Row],[INVERSIONES FCI]]-DD229,Tabla5[[#This Row],[INVERSIONES FCI]])</f>
        <v>44065753551.430954</v>
      </c>
      <c r="DE230" s="5">
        <f>IF($B229&lt;=Tabla5[[#This Row],[INVERSIONES FCI]],+Tabla5[[#This Row],[INVERSIONES FCI]]-DE229,Tabla5[[#This Row],[INVERSIONES FCI]])</f>
        <v>44065753551.430954</v>
      </c>
      <c r="DF230" s="5">
        <f>IF($B229&lt;=Tabla5[[#This Row],[INVERSIONES FCI]],+Tabla5[[#This Row],[INVERSIONES FCI]]-DF229,Tabla5[[#This Row],[INVERSIONES FCI]])</f>
        <v>44065753551.430954</v>
      </c>
      <c r="DG230" s="5">
        <f>IF($B229&lt;=Tabla5[[#This Row],[INVERSIONES FCI]],+Tabla5[[#This Row],[INVERSIONES FCI]]-DG229,Tabla5[[#This Row],[INVERSIONES FCI]])</f>
        <v>44065753551.430954</v>
      </c>
      <c r="DH230" s="5">
        <f>IF($B229&lt;=Tabla5[[#This Row],[INVERSIONES FCI]],+Tabla5[[#This Row],[INVERSIONES FCI]]-DH229,Tabla5[[#This Row],[INVERSIONES FCI]])</f>
        <v>44065753551.430954</v>
      </c>
      <c r="DI230" s="5">
        <f>IF($B229&lt;=Tabla5[[#This Row],[INVERSIONES FCI]],+Tabla5[[#This Row],[INVERSIONES FCI]]-DI229,Tabla5[[#This Row],[INVERSIONES FCI]])</f>
        <v>44065753551.430954</v>
      </c>
      <c r="DJ230" s="5">
        <f>IF($B229&lt;=Tabla5[[#This Row],[INVERSIONES FCI]],+Tabla5[[#This Row],[INVERSIONES FCI]]-DJ229,Tabla5[[#This Row],[INVERSIONES FCI]])</f>
        <v>44065753551.430954</v>
      </c>
      <c r="DK230" s="5">
        <f>IF($B229&lt;=Tabla5[[#This Row],[INVERSIONES FCI]],+Tabla5[[#This Row],[INVERSIONES FCI]]-DK229,Tabla5[[#This Row],[INVERSIONES FCI]])</f>
        <v>44065753551.430954</v>
      </c>
      <c r="DL230" s="5"/>
      <c r="DM230" s="5"/>
      <c r="DN230" s="5"/>
      <c r="DO230" s="5"/>
      <c r="DP230" s="5"/>
      <c r="DQ230" s="5"/>
    </row>
    <row r="231" spans="1:121" ht="14.4">
      <c r="A231" s="12" t="s">
        <v>230</v>
      </c>
      <c r="B231" s="5">
        <f>HLOOKUP($A231,ESCENARIO[#All],7,FALSE)</f>
        <v>48464454513.095543</v>
      </c>
      <c r="C231" s="5">
        <f>IF($B230&lt;=Tabla5[[#This Row],[INVERSIONES FCI]],+Tabla5[[#This Row],[INVERSIONES FCI]]-C230,Tabla5[[#This Row],[INVERSIONES FCI]])</f>
        <v>4398700961.6645889</v>
      </c>
      <c r="D231" s="5">
        <f>IF($B230&lt;=Tabla5[[#This Row],[INVERSIONES FCI]],+Tabla5[[#This Row],[INVERSIONES FCI]]-D230,Tabla5[[#This Row],[INVERSIONES FCI]])</f>
        <v>4398700961.6645889</v>
      </c>
      <c r="E231" s="5">
        <f>IF($B230&lt;=Tabla5[[#This Row],[INVERSIONES FCI]],+Tabla5[[#This Row],[INVERSIONES FCI]]-E230,Tabla5[[#This Row],[INVERSIONES FCI]])</f>
        <v>4398700961.6645889</v>
      </c>
      <c r="F231" s="5">
        <f>IF($B230&lt;=Tabla5[[#This Row],[INVERSIONES FCI]],+Tabla5[[#This Row],[INVERSIONES FCI]]-F230,Tabla5[[#This Row],[INVERSIONES FCI]])</f>
        <v>4398700961.6645889</v>
      </c>
      <c r="G231" s="5">
        <f>IF($B230&lt;=Tabla5[[#This Row],[INVERSIONES FCI]],+Tabla5[[#This Row],[INVERSIONES FCI]]-G230,Tabla5[[#This Row],[INVERSIONES FCI]])</f>
        <v>4398700961.6645889</v>
      </c>
      <c r="H231" s="5">
        <f>IF($B230&lt;=Tabla5[[#This Row],[INVERSIONES FCI]],+Tabla5[[#This Row],[INVERSIONES FCI]]-H230,Tabla5[[#This Row],[INVERSIONES FCI]])</f>
        <v>4398700961.6645889</v>
      </c>
      <c r="I231" s="5">
        <f>IF($B230&lt;=Tabla5[[#This Row],[INVERSIONES FCI]],+Tabla5[[#This Row],[INVERSIONES FCI]]-I230,Tabla5[[#This Row],[INVERSIONES FCI]])</f>
        <v>4398700961.6645889</v>
      </c>
      <c r="J231" s="5">
        <f>IF($B230&lt;=Tabla5[[#This Row],[INVERSIONES FCI]],+Tabla5[[#This Row],[INVERSIONES FCI]]-J230,Tabla5[[#This Row],[INVERSIONES FCI]])</f>
        <v>4398700961.6645889</v>
      </c>
      <c r="K231" s="5">
        <f>IF($B230&lt;=Tabla5[[#This Row],[INVERSIONES FCI]],+Tabla5[[#This Row],[INVERSIONES FCI]]-K230,Tabla5[[#This Row],[INVERSIONES FCI]])</f>
        <v>4398700961.6645889</v>
      </c>
      <c r="L231" s="5">
        <f>IF($B230&lt;=Tabla5[[#This Row],[INVERSIONES FCI]],+Tabla5[[#This Row],[INVERSIONES FCI]]-L230,Tabla5[[#This Row],[INVERSIONES FCI]])</f>
        <v>4398700961.6645889</v>
      </c>
      <c r="M231" s="5">
        <f>IF($B230&lt;=Tabla5[[#This Row],[INVERSIONES FCI]],+Tabla5[[#This Row],[INVERSIONES FCI]]-M230,Tabla5[[#This Row],[INVERSIONES FCI]])</f>
        <v>4398700961.6645889</v>
      </c>
      <c r="N231" s="5">
        <f>IF($B230&lt;=Tabla5[[#This Row],[INVERSIONES FCI]],+Tabla5[[#This Row],[INVERSIONES FCI]]-N230,Tabla5[[#This Row],[INVERSIONES FCI]])</f>
        <v>4398700961.6645889</v>
      </c>
      <c r="O231" s="5">
        <f>IF($B230&lt;=Tabla5[[#This Row],[INVERSIONES FCI]],+Tabla5[[#This Row],[INVERSIONES FCI]]-O230,Tabla5[[#This Row],[INVERSIONES FCI]])</f>
        <v>4398700961.6645889</v>
      </c>
      <c r="P231" s="5">
        <f>IF($B230&lt;=Tabla5[[#This Row],[INVERSIONES FCI]],+Tabla5[[#This Row],[INVERSIONES FCI]]-P230,Tabla5[[#This Row],[INVERSIONES FCI]])</f>
        <v>4398700961.6645889</v>
      </c>
      <c r="Q231" s="5">
        <f>IF($B230&lt;=Tabla5[[#This Row],[INVERSIONES FCI]],+Tabla5[[#This Row],[INVERSIONES FCI]]-Q230,Tabla5[[#This Row],[INVERSIONES FCI]])</f>
        <v>4398700961.6645889</v>
      </c>
      <c r="R231" s="5">
        <f>IF($B230&lt;=Tabla5[[#This Row],[INVERSIONES FCI]],+Tabla5[[#This Row],[INVERSIONES FCI]]-R230,Tabla5[[#This Row],[INVERSIONES FCI]])</f>
        <v>4398700961.6645889</v>
      </c>
      <c r="S231" s="5">
        <f>IF($B230&lt;=Tabla5[[#This Row],[INVERSIONES FCI]],+Tabla5[[#This Row],[INVERSIONES FCI]]-S230,Tabla5[[#This Row],[INVERSIONES FCI]])</f>
        <v>4398700961.6645889</v>
      </c>
      <c r="T231" s="5">
        <f>IF($B230&lt;=Tabla5[[#This Row],[INVERSIONES FCI]],+Tabla5[[#This Row],[INVERSIONES FCI]]-T230,Tabla5[[#This Row],[INVERSIONES FCI]])</f>
        <v>4398700961.6645889</v>
      </c>
      <c r="U231" s="5">
        <f>IF($B230&lt;=Tabla5[[#This Row],[INVERSIONES FCI]],+Tabla5[[#This Row],[INVERSIONES FCI]]-U230,Tabla5[[#This Row],[INVERSIONES FCI]])</f>
        <v>4398700961.6645889</v>
      </c>
      <c r="V231" s="5">
        <f>IF($B230&lt;=Tabla5[[#This Row],[INVERSIONES FCI]],+Tabla5[[#This Row],[INVERSIONES FCI]]-V230,Tabla5[[#This Row],[INVERSIONES FCI]])</f>
        <v>4398700961.6645889</v>
      </c>
      <c r="W231" s="5">
        <f>IF($B230&lt;=Tabla5[[#This Row],[INVERSIONES FCI]],+Tabla5[[#This Row],[INVERSIONES FCI]]-W230,Tabla5[[#This Row],[INVERSIONES FCI]])</f>
        <v>4398700961.6645889</v>
      </c>
      <c r="X231" s="5">
        <f>IF($B230&lt;=Tabla5[[#This Row],[INVERSIONES FCI]],+Tabla5[[#This Row],[INVERSIONES FCI]]-X230,Tabla5[[#This Row],[INVERSIONES FCI]])</f>
        <v>4398700961.6645889</v>
      </c>
      <c r="Y231" s="5">
        <f>IF($B230&lt;=Tabla5[[#This Row],[INVERSIONES FCI]],+Tabla5[[#This Row],[INVERSIONES FCI]]-Y230,Tabla5[[#This Row],[INVERSIONES FCI]])</f>
        <v>4398700961.6645889</v>
      </c>
      <c r="Z231" s="5">
        <f>IF($B230&lt;=Tabla5[[#This Row],[INVERSIONES FCI]],+Tabla5[[#This Row],[INVERSIONES FCI]]-Z230,Tabla5[[#This Row],[INVERSIONES FCI]])</f>
        <v>4398700961.6645889</v>
      </c>
      <c r="AA231" s="5">
        <f>IF($B230&lt;=Tabla5[[#This Row],[INVERSIONES FCI]],+Tabla5[[#This Row],[INVERSIONES FCI]]-AA230,Tabla5[[#This Row],[INVERSIONES FCI]])</f>
        <v>4398700961.6645889</v>
      </c>
      <c r="AB231" s="5">
        <f>IF($B230&lt;=Tabla5[[#This Row],[INVERSIONES FCI]],+Tabla5[[#This Row],[INVERSIONES FCI]]-AB230,Tabla5[[#This Row],[INVERSIONES FCI]])</f>
        <v>4398700961.6645889</v>
      </c>
      <c r="AC231" s="5">
        <f>IF($B230&lt;=Tabla5[[#This Row],[INVERSIONES FCI]],+Tabla5[[#This Row],[INVERSIONES FCI]]-AC230,Tabla5[[#This Row],[INVERSIONES FCI]])</f>
        <v>4398700961.6645889</v>
      </c>
      <c r="AD231" s="5">
        <f>IF($B230&lt;=Tabla5[[#This Row],[INVERSIONES FCI]],+Tabla5[[#This Row],[INVERSIONES FCI]]-AD230,Tabla5[[#This Row],[INVERSIONES FCI]])</f>
        <v>4398700961.6645889</v>
      </c>
      <c r="AE231" s="5">
        <f>IF($B230&lt;=Tabla5[[#This Row],[INVERSIONES FCI]],+Tabla5[[#This Row],[INVERSIONES FCI]]-AE230,Tabla5[[#This Row],[INVERSIONES FCI]])</f>
        <v>4398700961.6645889</v>
      </c>
      <c r="AF231" s="5">
        <f>IF($B230&lt;=Tabla5[[#This Row],[INVERSIONES FCI]],+Tabla5[[#This Row],[INVERSIONES FCI]]-AF230,Tabla5[[#This Row],[INVERSIONES FCI]])</f>
        <v>4398700961.6645889</v>
      </c>
      <c r="AG231" s="5">
        <f>IF($B230&lt;=Tabla5[[#This Row],[INVERSIONES FCI]],+Tabla5[[#This Row],[INVERSIONES FCI]]-AG230,Tabla5[[#This Row],[INVERSIONES FCI]])</f>
        <v>4398700961.6645889</v>
      </c>
      <c r="AH231" s="5">
        <f>IF($B230&lt;=Tabla5[[#This Row],[INVERSIONES FCI]],+Tabla5[[#This Row],[INVERSIONES FCI]]-AH230,Tabla5[[#This Row],[INVERSIONES FCI]])</f>
        <v>4398700961.6645889</v>
      </c>
      <c r="AI231" s="5">
        <f>IF($B230&lt;=Tabla5[[#This Row],[INVERSIONES FCI]],+Tabla5[[#This Row],[INVERSIONES FCI]]-AI230,Tabla5[[#This Row],[INVERSIONES FCI]])</f>
        <v>4398700961.6645889</v>
      </c>
      <c r="AJ231" s="5">
        <f>IF($B230&lt;=Tabla5[[#This Row],[INVERSIONES FCI]],+Tabla5[[#This Row],[INVERSIONES FCI]]-AJ230,Tabla5[[#This Row],[INVERSIONES FCI]])</f>
        <v>4398700961.6645889</v>
      </c>
      <c r="AK231" s="5">
        <f>IF($B230&lt;=Tabla5[[#This Row],[INVERSIONES FCI]],+Tabla5[[#This Row],[INVERSIONES FCI]]-AK230,Tabla5[[#This Row],[INVERSIONES FCI]])</f>
        <v>4398700961.6645889</v>
      </c>
      <c r="AL231" s="5">
        <f>IF($B230&lt;=Tabla5[[#This Row],[INVERSIONES FCI]],+Tabla5[[#This Row],[INVERSIONES FCI]]-AL230,Tabla5[[#This Row],[INVERSIONES FCI]])</f>
        <v>4398700961.6645889</v>
      </c>
      <c r="AM231" s="5">
        <f>IF($B230&lt;=Tabla5[[#This Row],[INVERSIONES FCI]],+Tabla5[[#This Row],[INVERSIONES FCI]]-AM230,Tabla5[[#This Row],[INVERSIONES FCI]])</f>
        <v>4398700961.6645889</v>
      </c>
      <c r="AN231" s="5">
        <f>IF($B230&lt;=Tabla5[[#This Row],[INVERSIONES FCI]],+Tabla5[[#This Row],[INVERSIONES FCI]]-AN230,Tabla5[[#This Row],[INVERSIONES FCI]])</f>
        <v>4398700961.6645889</v>
      </c>
      <c r="AO231" s="5">
        <f>IF($B230&lt;=Tabla5[[#This Row],[INVERSIONES FCI]],+Tabla5[[#This Row],[INVERSIONES FCI]]-AO230,Tabla5[[#This Row],[INVERSIONES FCI]])</f>
        <v>4398700961.6645889</v>
      </c>
      <c r="AP231" s="5">
        <f>IF($B230&lt;=Tabla5[[#This Row],[INVERSIONES FCI]],+Tabla5[[#This Row],[INVERSIONES FCI]]-AP230,Tabla5[[#This Row],[INVERSIONES FCI]])</f>
        <v>4398700961.6645889</v>
      </c>
      <c r="AQ231" s="5">
        <f>IF($B230&lt;=Tabla5[[#This Row],[INVERSIONES FCI]],+Tabla5[[#This Row],[INVERSIONES FCI]]-AQ230,Tabla5[[#This Row],[INVERSIONES FCI]])</f>
        <v>4398700961.6645889</v>
      </c>
      <c r="AR231" s="5">
        <f>IF($B230&lt;=Tabla5[[#This Row],[INVERSIONES FCI]],+Tabla5[[#This Row],[INVERSIONES FCI]]-AR230,Tabla5[[#This Row],[INVERSIONES FCI]])</f>
        <v>4398700961.6645889</v>
      </c>
      <c r="AS231" s="5">
        <f>IF($B230&lt;=Tabla5[[#This Row],[INVERSIONES FCI]],+Tabla5[[#This Row],[INVERSIONES FCI]]-AS230,Tabla5[[#This Row],[INVERSIONES FCI]])</f>
        <v>4398700961.6645889</v>
      </c>
      <c r="AT231" s="5">
        <f>IF($B230&lt;=Tabla5[[#This Row],[INVERSIONES FCI]],+Tabla5[[#This Row],[INVERSIONES FCI]]-AT230,Tabla5[[#This Row],[INVERSIONES FCI]])</f>
        <v>4398700961.6645889</v>
      </c>
      <c r="AU231" s="5">
        <f>IF($B230&lt;=Tabla5[[#This Row],[INVERSIONES FCI]],+Tabla5[[#This Row],[INVERSIONES FCI]]-AU230,Tabla5[[#This Row],[INVERSIONES FCI]])</f>
        <v>4398700961.6645889</v>
      </c>
      <c r="AV231" s="5">
        <f>IF($B230&lt;=Tabla5[[#This Row],[INVERSIONES FCI]],+Tabla5[[#This Row],[INVERSIONES FCI]]-AV230,Tabla5[[#This Row],[INVERSIONES FCI]])</f>
        <v>4398700961.6645889</v>
      </c>
      <c r="AW231" s="5">
        <f>IF($B230&lt;=Tabla5[[#This Row],[INVERSIONES FCI]],+Tabla5[[#This Row],[INVERSIONES FCI]]-AW230,Tabla5[[#This Row],[INVERSIONES FCI]])</f>
        <v>4398700961.6645889</v>
      </c>
      <c r="AX231" s="5">
        <f>IF($B230&lt;=Tabla5[[#This Row],[INVERSIONES FCI]],+Tabla5[[#This Row],[INVERSIONES FCI]]-AX230,Tabla5[[#This Row],[INVERSIONES FCI]])</f>
        <v>4398700961.6645889</v>
      </c>
      <c r="AY231" s="5">
        <f>IF($B230&lt;=Tabla5[[#This Row],[INVERSIONES FCI]],+Tabla5[[#This Row],[INVERSIONES FCI]]-AY230,Tabla5[[#This Row],[INVERSIONES FCI]])</f>
        <v>4398700961.6645889</v>
      </c>
      <c r="AZ231" s="5">
        <f>IF($B230&lt;=Tabla5[[#This Row],[INVERSIONES FCI]],+Tabla5[[#This Row],[INVERSIONES FCI]]-AZ230,Tabla5[[#This Row],[INVERSIONES FCI]])</f>
        <v>4398700961.6645889</v>
      </c>
      <c r="BA231" s="5">
        <f>IF($B230&lt;=Tabla5[[#This Row],[INVERSIONES FCI]],+Tabla5[[#This Row],[INVERSIONES FCI]]-BA230,Tabla5[[#This Row],[INVERSIONES FCI]])</f>
        <v>4398700961.6645889</v>
      </c>
      <c r="BB231" s="5">
        <f>IF($B230&lt;=Tabla5[[#This Row],[INVERSIONES FCI]],+Tabla5[[#This Row],[INVERSIONES FCI]]-BB230,Tabla5[[#This Row],[INVERSIONES FCI]])</f>
        <v>4398700961.6645889</v>
      </c>
      <c r="BC231" s="5">
        <f>IF($B230&lt;=Tabla5[[#This Row],[INVERSIONES FCI]],+Tabla5[[#This Row],[INVERSIONES FCI]]-BC230,Tabla5[[#This Row],[INVERSIONES FCI]])</f>
        <v>4398700961.6645889</v>
      </c>
      <c r="BD231" s="5">
        <f>IF($B230&lt;=Tabla5[[#This Row],[INVERSIONES FCI]],+Tabla5[[#This Row],[INVERSIONES FCI]]-BD230,Tabla5[[#This Row],[INVERSIONES FCI]])</f>
        <v>4398700961.6645889</v>
      </c>
      <c r="BE231" s="5">
        <f>IF($B230&lt;=Tabla5[[#This Row],[INVERSIONES FCI]],+Tabla5[[#This Row],[INVERSIONES FCI]]-BE230,Tabla5[[#This Row],[INVERSIONES FCI]])</f>
        <v>4398700961.6645889</v>
      </c>
      <c r="BF231" s="5">
        <f>IF($B230&lt;=Tabla5[[#This Row],[INVERSIONES FCI]],+Tabla5[[#This Row],[INVERSIONES FCI]]-BF230,Tabla5[[#This Row],[INVERSIONES FCI]])</f>
        <v>4398700961.6645889</v>
      </c>
      <c r="BG231" s="5">
        <f>IF($B230&lt;=Tabla5[[#This Row],[INVERSIONES FCI]],+Tabla5[[#This Row],[INVERSIONES FCI]]-BG230,Tabla5[[#This Row],[INVERSIONES FCI]])</f>
        <v>4398700961.6645889</v>
      </c>
      <c r="BH231" s="5">
        <f>IF($B230&lt;=Tabla5[[#This Row],[INVERSIONES FCI]],+Tabla5[[#This Row],[INVERSIONES FCI]]-BH230,Tabla5[[#This Row],[INVERSIONES FCI]])</f>
        <v>4398700961.6645889</v>
      </c>
      <c r="BI231" s="5">
        <f>IF($B230&lt;=Tabla5[[#This Row],[INVERSIONES FCI]],+Tabla5[[#This Row],[INVERSIONES FCI]]-BI230,Tabla5[[#This Row],[INVERSIONES FCI]])</f>
        <v>4398700961.6645889</v>
      </c>
      <c r="BJ231" s="5">
        <f>IF($B230&lt;=Tabla5[[#This Row],[INVERSIONES FCI]],+Tabla5[[#This Row],[INVERSIONES FCI]]-BJ230,Tabla5[[#This Row],[INVERSIONES FCI]])</f>
        <v>4398700961.6645889</v>
      </c>
      <c r="BK231" s="5">
        <f>IF($B230&lt;=Tabla5[[#This Row],[INVERSIONES FCI]],+Tabla5[[#This Row],[INVERSIONES FCI]]-BK230,Tabla5[[#This Row],[INVERSIONES FCI]])</f>
        <v>4398700961.6645889</v>
      </c>
      <c r="BL231" s="5">
        <f>IF($B230&lt;=Tabla5[[#This Row],[INVERSIONES FCI]],+Tabla5[[#This Row],[INVERSIONES FCI]]-BL230,Tabla5[[#This Row],[INVERSIONES FCI]])</f>
        <v>4398700961.6645889</v>
      </c>
      <c r="BM231" s="5">
        <f>IF($B230&lt;=Tabla5[[#This Row],[INVERSIONES FCI]],+Tabla5[[#This Row],[INVERSIONES FCI]]-BM230,Tabla5[[#This Row],[INVERSIONES FCI]])</f>
        <v>4398700961.6645889</v>
      </c>
      <c r="BN231" s="5">
        <f>IF($B230&lt;=Tabla5[[#This Row],[INVERSIONES FCI]],+Tabla5[[#This Row],[INVERSIONES FCI]]-BN230,Tabla5[[#This Row],[INVERSIONES FCI]])</f>
        <v>4398700961.6645889</v>
      </c>
      <c r="BO231" s="5">
        <f>IF($B230&lt;=Tabla5[[#This Row],[INVERSIONES FCI]],+Tabla5[[#This Row],[INVERSIONES FCI]]-BO230,Tabla5[[#This Row],[INVERSIONES FCI]])</f>
        <v>4398700961.6645889</v>
      </c>
      <c r="BP231" s="5">
        <f>IF($B230&lt;=Tabla5[[#This Row],[INVERSIONES FCI]],+Tabla5[[#This Row],[INVERSIONES FCI]]-BP230,Tabla5[[#This Row],[INVERSIONES FCI]])</f>
        <v>4398700961.6645889</v>
      </c>
      <c r="BQ231" s="5">
        <f>IF($B230&lt;=Tabla5[[#This Row],[INVERSIONES FCI]],+Tabla5[[#This Row],[INVERSIONES FCI]]-BQ230,Tabla5[[#This Row],[INVERSIONES FCI]])</f>
        <v>4398700961.6645889</v>
      </c>
      <c r="BR231" s="5">
        <f>IF($B230&lt;=Tabla5[[#This Row],[INVERSIONES FCI]],+Tabla5[[#This Row],[INVERSIONES FCI]]-BR230,Tabla5[[#This Row],[INVERSIONES FCI]])</f>
        <v>4398700961.6645889</v>
      </c>
      <c r="BS231" s="5">
        <f>IF($B230&lt;=Tabla5[[#This Row],[INVERSIONES FCI]],+Tabla5[[#This Row],[INVERSIONES FCI]]-BS230,Tabla5[[#This Row],[INVERSIONES FCI]])</f>
        <v>4398700961.6645889</v>
      </c>
      <c r="BT231" s="5">
        <f>IF($B230&lt;=Tabla5[[#This Row],[INVERSIONES FCI]],+Tabla5[[#This Row],[INVERSIONES FCI]]-BT230,Tabla5[[#This Row],[INVERSIONES FCI]])</f>
        <v>4398700961.6645889</v>
      </c>
      <c r="BU231" s="5">
        <f>IF($B230&lt;=Tabla5[[#This Row],[INVERSIONES FCI]],+Tabla5[[#This Row],[INVERSIONES FCI]]-BU230,Tabla5[[#This Row],[INVERSIONES FCI]])</f>
        <v>4398700961.6645889</v>
      </c>
      <c r="BV231" s="5">
        <f>IF($B230&lt;=Tabla5[[#This Row],[INVERSIONES FCI]],+Tabla5[[#This Row],[INVERSIONES FCI]]-BV230,Tabla5[[#This Row],[INVERSIONES FCI]])</f>
        <v>4398700961.6645889</v>
      </c>
      <c r="BW231" s="5">
        <f>IF($B230&lt;=Tabla5[[#This Row],[INVERSIONES FCI]],+Tabla5[[#This Row],[INVERSIONES FCI]]-BW230,Tabla5[[#This Row],[INVERSIONES FCI]])</f>
        <v>4398700961.6645889</v>
      </c>
      <c r="BX231" s="5">
        <f>IF($B230&lt;=Tabla5[[#This Row],[INVERSIONES FCI]],+Tabla5[[#This Row],[INVERSIONES FCI]]-BX230,Tabla5[[#This Row],[INVERSIONES FCI]])</f>
        <v>4398700961.6645889</v>
      </c>
      <c r="BY231" s="5">
        <f>IF($B230&lt;=Tabla5[[#This Row],[INVERSIONES FCI]],+Tabla5[[#This Row],[INVERSIONES FCI]]-BY230,Tabla5[[#This Row],[INVERSIONES FCI]])</f>
        <v>4398700961.6645889</v>
      </c>
      <c r="BZ231" s="5">
        <f>IF($B230&lt;=Tabla5[[#This Row],[INVERSIONES FCI]],+Tabla5[[#This Row],[INVERSIONES FCI]]-BZ230,Tabla5[[#This Row],[INVERSIONES FCI]])</f>
        <v>4398700961.6645889</v>
      </c>
      <c r="CA231" s="5">
        <f>IF($B230&lt;=Tabla5[[#This Row],[INVERSIONES FCI]],+Tabla5[[#This Row],[INVERSIONES FCI]]-CA230,Tabla5[[#This Row],[INVERSIONES FCI]])</f>
        <v>4398700961.6645889</v>
      </c>
      <c r="CB231" s="5">
        <f>IF($B230&lt;=Tabla5[[#This Row],[INVERSIONES FCI]],+Tabla5[[#This Row],[INVERSIONES FCI]]-CB230,Tabla5[[#This Row],[INVERSIONES FCI]])</f>
        <v>4398700961.6645889</v>
      </c>
      <c r="CC231" s="5">
        <f>IF($B230&lt;=Tabla5[[#This Row],[INVERSIONES FCI]],+Tabla5[[#This Row],[INVERSIONES FCI]]-CC230,Tabla5[[#This Row],[INVERSIONES FCI]])</f>
        <v>4398700961.6645889</v>
      </c>
      <c r="CD231" s="5">
        <f>IF($B230&lt;=Tabla5[[#This Row],[INVERSIONES FCI]],+Tabla5[[#This Row],[INVERSIONES FCI]]-CD230,Tabla5[[#This Row],[INVERSIONES FCI]])</f>
        <v>4398700961.6645889</v>
      </c>
      <c r="CE231" s="5">
        <f>IF($B230&lt;=Tabla5[[#This Row],[INVERSIONES FCI]],+Tabla5[[#This Row],[INVERSIONES FCI]]-CE230,Tabla5[[#This Row],[INVERSIONES FCI]])</f>
        <v>4398700961.6645889</v>
      </c>
      <c r="CF231" s="5">
        <f>IF($B230&lt;=Tabla5[[#This Row],[INVERSIONES FCI]],+Tabla5[[#This Row],[INVERSIONES FCI]]-CF230,Tabla5[[#This Row],[INVERSIONES FCI]])</f>
        <v>4398700961.6645889</v>
      </c>
      <c r="CG231" s="5">
        <f>IF($B230&lt;=Tabla5[[#This Row],[INVERSIONES FCI]],+Tabla5[[#This Row],[INVERSIONES FCI]]-CG230,Tabla5[[#This Row],[INVERSIONES FCI]])</f>
        <v>4398700961.6645889</v>
      </c>
      <c r="CH231" s="5">
        <f>IF($B230&lt;=Tabla5[[#This Row],[INVERSIONES FCI]],+Tabla5[[#This Row],[INVERSIONES FCI]]-CH230,Tabla5[[#This Row],[INVERSIONES FCI]])</f>
        <v>4398700961.6645889</v>
      </c>
      <c r="CI231" s="5">
        <f>IF($B230&lt;=Tabla5[[#This Row],[INVERSIONES FCI]],+Tabla5[[#This Row],[INVERSIONES FCI]]-CI230,Tabla5[[#This Row],[INVERSIONES FCI]])</f>
        <v>4398700961.6645889</v>
      </c>
      <c r="CJ231" s="5">
        <f>IF($B230&lt;=Tabla5[[#This Row],[INVERSIONES FCI]],+Tabla5[[#This Row],[INVERSIONES FCI]]-CJ230,Tabla5[[#This Row],[INVERSIONES FCI]])</f>
        <v>4398700961.6645889</v>
      </c>
      <c r="CK231" s="5">
        <f>IF($B230&lt;=Tabla5[[#This Row],[INVERSIONES FCI]],+Tabla5[[#This Row],[INVERSIONES FCI]]-CK230,Tabla5[[#This Row],[INVERSIONES FCI]])</f>
        <v>4398700961.6645889</v>
      </c>
      <c r="CL231" s="5">
        <f>IF($B230&lt;=Tabla5[[#This Row],[INVERSIONES FCI]],+Tabla5[[#This Row],[INVERSIONES FCI]]-CL230,Tabla5[[#This Row],[INVERSIONES FCI]])</f>
        <v>4398700961.6645889</v>
      </c>
      <c r="CM231" s="5">
        <f>IF($B230&lt;=Tabla5[[#This Row],[INVERSIONES FCI]],+Tabla5[[#This Row],[INVERSIONES FCI]]-CM230,Tabla5[[#This Row],[INVERSIONES FCI]])</f>
        <v>4398700961.6645889</v>
      </c>
      <c r="CN231" s="5">
        <f>IF($B230&lt;=Tabla5[[#This Row],[INVERSIONES FCI]],+Tabla5[[#This Row],[INVERSIONES FCI]]-CN230,Tabla5[[#This Row],[INVERSIONES FCI]])</f>
        <v>4398700961.6645889</v>
      </c>
      <c r="CO231" s="5">
        <f>IF($B230&lt;=Tabla5[[#This Row],[INVERSIONES FCI]],+Tabla5[[#This Row],[INVERSIONES FCI]]-CO230,Tabla5[[#This Row],[INVERSIONES FCI]])</f>
        <v>4398700961.6645889</v>
      </c>
      <c r="CP231" s="5">
        <f>IF($B230&lt;=Tabla5[[#This Row],[INVERSIONES FCI]],+Tabla5[[#This Row],[INVERSIONES FCI]]-CP230,Tabla5[[#This Row],[INVERSIONES FCI]])</f>
        <v>4398700961.6645889</v>
      </c>
      <c r="CQ231" s="5">
        <f>IF($B230&lt;=Tabla5[[#This Row],[INVERSIONES FCI]],+Tabla5[[#This Row],[INVERSIONES FCI]]-CQ230,Tabla5[[#This Row],[INVERSIONES FCI]])</f>
        <v>4398700961.6645889</v>
      </c>
      <c r="CR231" s="5">
        <f>IF($B230&lt;=Tabla5[[#This Row],[INVERSIONES FCI]],+Tabla5[[#This Row],[INVERSIONES FCI]]-CR230,Tabla5[[#This Row],[INVERSIONES FCI]])</f>
        <v>4398700961.6645889</v>
      </c>
      <c r="CS231" s="5">
        <f>IF($B230&lt;=Tabla5[[#This Row],[INVERSIONES FCI]],+Tabla5[[#This Row],[INVERSIONES FCI]]-CS230,Tabla5[[#This Row],[INVERSIONES FCI]])</f>
        <v>4398700961.6645889</v>
      </c>
      <c r="CT231" s="5">
        <f>IF($B230&lt;=Tabla5[[#This Row],[INVERSIONES FCI]],+Tabla5[[#This Row],[INVERSIONES FCI]]-CT230,Tabla5[[#This Row],[INVERSIONES FCI]])</f>
        <v>4398700961.6645889</v>
      </c>
      <c r="CU231" s="5">
        <f>IF($B230&lt;=Tabla5[[#This Row],[INVERSIONES FCI]],+Tabla5[[#This Row],[INVERSIONES FCI]]-CU230,Tabla5[[#This Row],[INVERSIONES FCI]])</f>
        <v>4398700961.6645889</v>
      </c>
      <c r="CV231" s="5">
        <f>IF($B230&lt;=Tabla5[[#This Row],[INVERSIONES FCI]],+Tabla5[[#This Row],[INVERSIONES FCI]]-CV230,Tabla5[[#This Row],[INVERSIONES FCI]])</f>
        <v>4398700961.6645889</v>
      </c>
      <c r="CW231" s="5">
        <f>IF($B230&lt;=Tabla5[[#This Row],[INVERSIONES FCI]],+Tabla5[[#This Row],[INVERSIONES FCI]]-CW230,Tabla5[[#This Row],[INVERSIONES FCI]])</f>
        <v>4398700961.6645889</v>
      </c>
      <c r="CX231" s="5">
        <f>IF($B230&lt;=Tabla5[[#This Row],[INVERSIONES FCI]],+Tabla5[[#This Row],[INVERSIONES FCI]]-CX230,Tabla5[[#This Row],[INVERSIONES FCI]])</f>
        <v>4398700961.6645889</v>
      </c>
      <c r="CY231" s="5">
        <f>IF($B230&lt;=Tabla5[[#This Row],[INVERSIONES FCI]],+Tabla5[[#This Row],[INVERSIONES FCI]]-CY230,Tabla5[[#This Row],[INVERSIONES FCI]])</f>
        <v>4398700961.6645889</v>
      </c>
      <c r="CZ231" s="5">
        <f>IF($B230&lt;=Tabla5[[#This Row],[INVERSIONES FCI]],+Tabla5[[#This Row],[INVERSIONES FCI]]-CZ230,Tabla5[[#This Row],[INVERSIONES FCI]])</f>
        <v>4398700961.6645889</v>
      </c>
      <c r="DA231" s="5">
        <f>IF($B230&lt;=Tabla5[[#This Row],[INVERSIONES FCI]],+Tabla5[[#This Row],[INVERSIONES FCI]]-DA230,Tabla5[[#This Row],[INVERSIONES FCI]])</f>
        <v>4398700961.6645889</v>
      </c>
      <c r="DB231" s="5">
        <f>IF($B230&lt;=Tabla5[[#This Row],[INVERSIONES FCI]],+Tabla5[[#This Row],[INVERSIONES FCI]]-DB230,Tabla5[[#This Row],[INVERSIONES FCI]])</f>
        <v>4398700961.6645889</v>
      </c>
      <c r="DC231" s="5">
        <f>IF($B230&lt;=Tabla5[[#This Row],[INVERSIONES FCI]],+Tabla5[[#This Row],[INVERSIONES FCI]]-DC230,Tabla5[[#This Row],[INVERSIONES FCI]])</f>
        <v>4398700961.6645889</v>
      </c>
      <c r="DD231" s="5">
        <f>IF($B230&lt;=Tabla5[[#This Row],[INVERSIONES FCI]],+Tabla5[[#This Row],[INVERSIONES FCI]]-DD230,Tabla5[[#This Row],[INVERSIONES FCI]])</f>
        <v>4398700961.6645889</v>
      </c>
      <c r="DE231" s="5">
        <f>IF($B230&lt;=Tabla5[[#This Row],[INVERSIONES FCI]],+Tabla5[[#This Row],[INVERSIONES FCI]]-DE230,Tabla5[[#This Row],[INVERSIONES FCI]])</f>
        <v>4398700961.6645889</v>
      </c>
      <c r="DF231" s="5">
        <f>IF($B230&lt;=Tabla5[[#This Row],[INVERSIONES FCI]],+Tabla5[[#This Row],[INVERSIONES FCI]]-DF230,Tabla5[[#This Row],[INVERSIONES FCI]])</f>
        <v>4398700961.6645889</v>
      </c>
      <c r="DG231" s="5">
        <f>IF($B230&lt;=Tabla5[[#This Row],[INVERSIONES FCI]],+Tabla5[[#This Row],[INVERSIONES FCI]]-DG230,Tabla5[[#This Row],[INVERSIONES FCI]])</f>
        <v>4398700961.6645889</v>
      </c>
      <c r="DH231" s="5">
        <f>IF($B230&lt;=Tabla5[[#This Row],[INVERSIONES FCI]],+Tabla5[[#This Row],[INVERSIONES FCI]]-DH230,Tabla5[[#This Row],[INVERSIONES FCI]])</f>
        <v>4398700961.6645889</v>
      </c>
      <c r="DI231" s="5">
        <f>IF($B230&lt;=Tabla5[[#This Row],[INVERSIONES FCI]],+Tabla5[[#This Row],[INVERSIONES FCI]]-DI230,Tabla5[[#This Row],[INVERSIONES FCI]])</f>
        <v>4398700961.6645889</v>
      </c>
      <c r="DJ231" s="5">
        <f>IF($B230&lt;=Tabla5[[#This Row],[INVERSIONES FCI]],+Tabla5[[#This Row],[INVERSIONES FCI]]-DJ230,Tabla5[[#This Row],[INVERSIONES FCI]])</f>
        <v>4398700961.6645889</v>
      </c>
      <c r="DK231" s="5">
        <f>IF($B230&lt;=Tabla5[[#This Row],[INVERSIONES FCI]],+Tabla5[[#This Row],[INVERSIONES FCI]]-DK230,Tabla5[[#This Row],[INVERSIONES FCI]])</f>
        <v>4398700961.6645889</v>
      </c>
      <c r="DL231" s="5"/>
      <c r="DM231" s="5"/>
      <c r="DN231" s="5"/>
      <c r="DO231" s="5"/>
      <c r="DP231" s="5"/>
      <c r="DQ231" s="5"/>
    </row>
    <row r="232" spans="1:121" ht="14.4">
      <c r="A232" s="12" t="s">
        <v>231</v>
      </c>
      <c r="B232" s="5">
        <f>HLOOKUP($A232,ESCENARIO[#All],7,FALSE)</f>
        <v>50240467197.791008</v>
      </c>
      <c r="C232" s="5">
        <f>IF($B231&lt;=Tabla5[[#This Row],[INVERSIONES FCI]],+Tabla5[[#This Row],[INVERSIONES FCI]]-C231,Tabla5[[#This Row],[INVERSIONES FCI]])</f>
        <v>45841766236.126419</v>
      </c>
      <c r="D232" s="5">
        <f>IF($B231&lt;=Tabla5[[#This Row],[INVERSIONES FCI]],+Tabla5[[#This Row],[INVERSIONES FCI]]-D231,Tabla5[[#This Row],[INVERSIONES FCI]])</f>
        <v>45841766236.126419</v>
      </c>
      <c r="E232" s="5">
        <f>IF($B231&lt;=Tabla5[[#This Row],[INVERSIONES FCI]],+Tabla5[[#This Row],[INVERSIONES FCI]]-E231,Tabla5[[#This Row],[INVERSIONES FCI]])</f>
        <v>45841766236.126419</v>
      </c>
      <c r="F232" s="5">
        <f>IF($B231&lt;=Tabla5[[#This Row],[INVERSIONES FCI]],+Tabla5[[#This Row],[INVERSIONES FCI]]-F231,Tabla5[[#This Row],[INVERSIONES FCI]])</f>
        <v>45841766236.126419</v>
      </c>
      <c r="G232" s="5">
        <f>IF($B231&lt;=Tabla5[[#This Row],[INVERSIONES FCI]],+Tabla5[[#This Row],[INVERSIONES FCI]]-G231,Tabla5[[#This Row],[INVERSIONES FCI]])</f>
        <v>45841766236.126419</v>
      </c>
      <c r="H232" s="5">
        <f>IF($B231&lt;=Tabla5[[#This Row],[INVERSIONES FCI]],+Tabla5[[#This Row],[INVERSIONES FCI]]-H231,Tabla5[[#This Row],[INVERSIONES FCI]])</f>
        <v>45841766236.126419</v>
      </c>
      <c r="I232" s="5">
        <f>IF($B231&lt;=Tabla5[[#This Row],[INVERSIONES FCI]],+Tabla5[[#This Row],[INVERSIONES FCI]]-I231,Tabla5[[#This Row],[INVERSIONES FCI]])</f>
        <v>45841766236.126419</v>
      </c>
      <c r="J232" s="5">
        <f>IF($B231&lt;=Tabla5[[#This Row],[INVERSIONES FCI]],+Tabla5[[#This Row],[INVERSIONES FCI]]-J231,Tabla5[[#This Row],[INVERSIONES FCI]])</f>
        <v>45841766236.126419</v>
      </c>
      <c r="K232" s="5">
        <f>IF($B231&lt;=Tabla5[[#This Row],[INVERSIONES FCI]],+Tabla5[[#This Row],[INVERSIONES FCI]]-K231,Tabla5[[#This Row],[INVERSIONES FCI]])</f>
        <v>45841766236.126419</v>
      </c>
      <c r="L232" s="5">
        <f>IF($B231&lt;=Tabla5[[#This Row],[INVERSIONES FCI]],+Tabla5[[#This Row],[INVERSIONES FCI]]-L231,Tabla5[[#This Row],[INVERSIONES FCI]])</f>
        <v>45841766236.126419</v>
      </c>
      <c r="M232" s="5">
        <f>IF($B231&lt;=Tabla5[[#This Row],[INVERSIONES FCI]],+Tabla5[[#This Row],[INVERSIONES FCI]]-M231,Tabla5[[#This Row],[INVERSIONES FCI]])</f>
        <v>45841766236.126419</v>
      </c>
      <c r="N232" s="5">
        <f>IF($B231&lt;=Tabla5[[#This Row],[INVERSIONES FCI]],+Tabla5[[#This Row],[INVERSIONES FCI]]-N231,Tabla5[[#This Row],[INVERSIONES FCI]])</f>
        <v>45841766236.126419</v>
      </c>
      <c r="O232" s="5">
        <f>IF($B231&lt;=Tabla5[[#This Row],[INVERSIONES FCI]],+Tabla5[[#This Row],[INVERSIONES FCI]]-O231,Tabla5[[#This Row],[INVERSIONES FCI]])</f>
        <v>45841766236.126419</v>
      </c>
      <c r="P232" s="5">
        <f>IF($B231&lt;=Tabla5[[#This Row],[INVERSIONES FCI]],+Tabla5[[#This Row],[INVERSIONES FCI]]-P231,Tabla5[[#This Row],[INVERSIONES FCI]])</f>
        <v>45841766236.126419</v>
      </c>
      <c r="Q232" s="5">
        <f>IF($B231&lt;=Tabla5[[#This Row],[INVERSIONES FCI]],+Tabla5[[#This Row],[INVERSIONES FCI]]-Q231,Tabla5[[#This Row],[INVERSIONES FCI]])</f>
        <v>45841766236.126419</v>
      </c>
      <c r="R232" s="5">
        <f>IF($B231&lt;=Tabla5[[#This Row],[INVERSIONES FCI]],+Tabla5[[#This Row],[INVERSIONES FCI]]-R231,Tabla5[[#This Row],[INVERSIONES FCI]])</f>
        <v>45841766236.126419</v>
      </c>
      <c r="S232" s="5">
        <f>IF($B231&lt;=Tabla5[[#This Row],[INVERSIONES FCI]],+Tabla5[[#This Row],[INVERSIONES FCI]]-S231,Tabla5[[#This Row],[INVERSIONES FCI]])</f>
        <v>45841766236.126419</v>
      </c>
      <c r="T232" s="5">
        <f>IF($B231&lt;=Tabla5[[#This Row],[INVERSIONES FCI]],+Tabla5[[#This Row],[INVERSIONES FCI]]-T231,Tabla5[[#This Row],[INVERSIONES FCI]])</f>
        <v>45841766236.126419</v>
      </c>
      <c r="U232" s="5">
        <f>IF($B231&lt;=Tabla5[[#This Row],[INVERSIONES FCI]],+Tabla5[[#This Row],[INVERSIONES FCI]]-U231,Tabla5[[#This Row],[INVERSIONES FCI]])</f>
        <v>45841766236.126419</v>
      </c>
      <c r="V232" s="5">
        <f>IF($B231&lt;=Tabla5[[#This Row],[INVERSIONES FCI]],+Tabla5[[#This Row],[INVERSIONES FCI]]-V231,Tabla5[[#This Row],[INVERSIONES FCI]])</f>
        <v>45841766236.126419</v>
      </c>
      <c r="W232" s="5">
        <f>IF($B231&lt;=Tabla5[[#This Row],[INVERSIONES FCI]],+Tabla5[[#This Row],[INVERSIONES FCI]]-W231,Tabla5[[#This Row],[INVERSIONES FCI]])</f>
        <v>45841766236.126419</v>
      </c>
      <c r="X232" s="5">
        <f>IF($B231&lt;=Tabla5[[#This Row],[INVERSIONES FCI]],+Tabla5[[#This Row],[INVERSIONES FCI]]-X231,Tabla5[[#This Row],[INVERSIONES FCI]])</f>
        <v>45841766236.126419</v>
      </c>
      <c r="Y232" s="5">
        <f>IF($B231&lt;=Tabla5[[#This Row],[INVERSIONES FCI]],+Tabla5[[#This Row],[INVERSIONES FCI]]-Y231,Tabla5[[#This Row],[INVERSIONES FCI]])</f>
        <v>45841766236.126419</v>
      </c>
      <c r="Z232" s="5">
        <f>IF($B231&lt;=Tabla5[[#This Row],[INVERSIONES FCI]],+Tabla5[[#This Row],[INVERSIONES FCI]]-Z231,Tabla5[[#This Row],[INVERSIONES FCI]])</f>
        <v>45841766236.126419</v>
      </c>
      <c r="AA232" s="5">
        <f>IF($B231&lt;=Tabla5[[#This Row],[INVERSIONES FCI]],+Tabla5[[#This Row],[INVERSIONES FCI]]-AA231,Tabla5[[#This Row],[INVERSIONES FCI]])</f>
        <v>45841766236.126419</v>
      </c>
      <c r="AB232" s="5">
        <f>IF($B231&lt;=Tabla5[[#This Row],[INVERSIONES FCI]],+Tabla5[[#This Row],[INVERSIONES FCI]]-AB231,Tabla5[[#This Row],[INVERSIONES FCI]])</f>
        <v>45841766236.126419</v>
      </c>
      <c r="AC232" s="5">
        <f>IF($B231&lt;=Tabla5[[#This Row],[INVERSIONES FCI]],+Tabla5[[#This Row],[INVERSIONES FCI]]-AC231,Tabla5[[#This Row],[INVERSIONES FCI]])</f>
        <v>45841766236.126419</v>
      </c>
      <c r="AD232" s="5">
        <f>IF($B231&lt;=Tabla5[[#This Row],[INVERSIONES FCI]],+Tabla5[[#This Row],[INVERSIONES FCI]]-AD231,Tabla5[[#This Row],[INVERSIONES FCI]])</f>
        <v>45841766236.126419</v>
      </c>
      <c r="AE232" s="5">
        <f>IF($B231&lt;=Tabla5[[#This Row],[INVERSIONES FCI]],+Tabla5[[#This Row],[INVERSIONES FCI]]-AE231,Tabla5[[#This Row],[INVERSIONES FCI]])</f>
        <v>45841766236.126419</v>
      </c>
      <c r="AF232" s="5">
        <f>IF($B231&lt;=Tabla5[[#This Row],[INVERSIONES FCI]],+Tabla5[[#This Row],[INVERSIONES FCI]]-AF231,Tabla5[[#This Row],[INVERSIONES FCI]])</f>
        <v>45841766236.126419</v>
      </c>
      <c r="AG232" s="5">
        <f>IF($B231&lt;=Tabla5[[#This Row],[INVERSIONES FCI]],+Tabla5[[#This Row],[INVERSIONES FCI]]-AG231,Tabla5[[#This Row],[INVERSIONES FCI]])</f>
        <v>45841766236.126419</v>
      </c>
      <c r="AH232" s="5">
        <f>IF($B231&lt;=Tabla5[[#This Row],[INVERSIONES FCI]],+Tabla5[[#This Row],[INVERSIONES FCI]]-AH231,Tabla5[[#This Row],[INVERSIONES FCI]])</f>
        <v>45841766236.126419</v>
      </c>
      <c r="AI232" s="5">
        <f>IF($B231&lt;=Tabla5[[#This Row],[INVERSIONES FCI]],+Tabla5[[#This Row],[INVERSIONES FCI]]-AI231,Tabla5[[#This Row],[INVERSIONES FCI]])</f>
        <v>45841766236.126419</v>
      </c>
      <c r="AJ232" s="5">
        <f>IF($B231&lt;=Tabla5[[#This Row],[INVERSIONES FCI]],+Tabla5[[#This Row],[INVERSIONES FCI]]-AJ231,Tabla5[[#This Row],[INVERSIONES FCI]])</f>
        <v>45841766236.126419</v>
      </c>
      <c r="AK232" s="5">
        <f>IF($B231&lt;=Tabla5[[#This Row],[INVERSIONES FCI]],+Tabla5[[#This Row],[INVERSIONES FCI]]-AK231,Tabla5[[#This Row],[INVERSIONES FCI]])</f>
        <v>45841766236.126419</v>
      </c>
      <c r="AL232" s="5">
        <f>IF($B231&lt;=Tabla5[[#This Row],[INVERSIONES FCI]],+Tabla5[[#This Row],[INVERSIONES FCI]]-AL231,Tabla5[[#This Row],[INVERSIONES FCI]])</f>
        <v>45841766236.126419</v>
      </c>
      <c r="AM232" s="5">
        <f>IF($B231&lt;=Tabla5[[#This Row],[INVERSIONES FCI]],+Tabla5[[#This Row],[INVERSIONES FCI]]-AM231,Tabla5[[#This Row],[INVERSIONES FCI]])</f>
        <v>45841766236.126419</v>
      </c>
      <c r="AN232" s="5">
        <f>IF($B231&lt;=Tabla5[[#This Row],[INVERSIONES FCI]],+Tabla5[[#This Row],[INVERSIONES FCI]]-AN231,Tabla5[[#This Row],[INVERSIONES FCI]])</f>
        <v>45841766236.126419</v>
      </c>
      <c r="AO232" s="5">
        <f>IF($B231&lt;=Tabla5[[#This Row],[INVERSIONES FCI]],+Tabla5[[#This Row],[INVERSIONES FCI]]-AO231,Tabla5[[#This Row],[INVERSIONES FCI]])</f>
        <v>45841766236.126419</v>
      </c>
      <c r="AP232" s="5">
        <f>IF($B231&lt;=Tabla5[[#This Row],[INVERSIONES FCI]],+Tabla5[[#This Row],[INVERSIONES FCI]]-AP231,Tabla5[[#This Row],[INVERSIONES FCI]])</f>
        <v>45841766236.126419</v>
      </c>
      <c r="AQ232" s="5">
        <f>IF($B231&lt;=Tabla5[[#This Row],[INVERSIONES FCI]],+Tabla5[[#This Row],[INVERSIONES FCI]]-AQ231,Tabla5[[#This Row],[INVERSIONES FCI]])</f>
        <v>45841766236.126419</v>
      </c>
      <c r="AR232" s="5">
        <f>IF($B231&lt;=Tabla5[[#This Row],[INVERSIONES FCI]],+Tabla5[[#This Row],[INVERSIONES FCI]]-AR231,Tabla5[[#This Row],[INVERSIONES FCI]])</f>
        <v>45841766236.126419</v>
      </c>
      <c r="AS232" s="5">
        <f>IF($B231&lt;=Tabla5[[#This Row],[INVERSIONES FCI]],+Tabla5[[#This Row],[INVERSIONES FCI]]-AS231,Tabla5[[#This Row],[INVERSIONES FCI]])</f>
        <v>45841766236.126419</v>
      </c>
      <c r="AT232" s="5">
        <f>IF($B231&lt;=Tabla5[[#This Row],[INVERSIONES FCI]],+Tabla5[[#This Row],[INVERSIONES FCI]]-AT231,Tabla5[[#This Row],[INVERSIONES FCI]])</f>
        <v>45841766236.126419</v>
      </c>
      <c r="AU232" s="5">
        <f>IF($B231&lt;=Tabla5[[#This Row],[INVERSIONES FCI]],+Tabla5[[#This Row],[INVERSIONES FCI]]-AU231,Tabla5[[#This Row],[INVERSIONES FCI]])</f>
        <v>45841766236.126419</v>
      </c>
      <c r="AV232" s="5">
        <f>IF($B231&lt;=Tabla5[[#This Row],[INVERSIONES FCI]],+Tabla5[[#This Row],[INVERSIONES FCI]]-AV231,Tabla5[[#This Row],[INVERSIONES FCI]])</f>
        <v>45841766236.126419</v>
      </c>
      <c r="AW232" s="5">
        <f>IF($B231&lt;=Tabla5[[#This Row],[INVERSIONES FCI]],+Tabla5[[#This Row],[INVERSIONES FCI]]-AW231,Tabla5[[#This Row],[INVERSIONES FCI]])</f>
        <v>45841766236.126419</v>
      </c>
      <c r="AX232" s="5">
        <f>IF($B231&lt;=Tabla5[[#This Row],[INVERSIONES FCI]],+Tabla5[[#This Row],[INVERSIONES FCI]]-AX231,Tabla5[[#This Row],[INVERSIONES FCI]])</f>
        <v>45841766236.126419</v>
      </c>
      <c r="AY232" s="5">
        <f>IF($B231&lt;=Tabla5[[#This Row],[INVERSIONES FCI]],+Tabla5[[#This Row],[INVERSIONES FCI]]-AY231,Tabla5[[#This Row],[INVERSIONES FCI]])</f>
        <v>45841766236.126419</v>
      </c>
      <c r="AZ232" s="5">
        <f>IF($B231&lt;=Tabla5[[#This Row],[INVERSIONES FCI]],+Tabla5[[#This Row],[INVERSIONES FCI]]-AZ231,Tabla5[[#This Row],[INVERSIONES FCI]])</f>
        <v>45841766236.126419</v>
      </c>
      <c r="BA232" s="5">
        <f>IF($B231&lt;=Tabla5[[#This Row],[INVERSIONES FCI]],+Tabla5[[#This Row],[INVERSIONES FCI]]-BA231,Tabla5[[#This Row],[INVERSIONES FCI]])</f>
        <v>45841766236.126419</v>
      </c>
      <c r="BB232" s="5">
        <f>IF($B231&lt;=Tabla5[[#This Row],[INVERSIONES FCI]],+Tabla5[[#This Row],[INVERSIONES FCI]]-BB231,Tabla5[[#This Row],[INVERSIONES FCI]])</f>
        <v>45841766236.126419</v>
      </c>
      <c r="BC232" s="5">
        <f>IF($B231&lt;=Tabla5[[#This Row],[INVERSIONES FCI]],+Tabla5[[#This Row],[INVERSIONES FCI]]-BC231,Tabla5[[#This Row],[INVERSIONES FCI]])</f>
        <v>45841766236.126419</v>
      </c>
      <c r="BD232" s="5">
        <f>IF($B231&lt;=Tabla5[[#This Row],[INVERSIONES FCI]],+Tabla5[[#This Row],[INVERSIONES FCI]]-BD231,Tabla5[[#This Row],[INVERSIONES FCI]])</f>
        <v>45841766236.126419</v>
      </c>
      <c r="BE232" s="5">
        <f>IF($B231&lt;=Tabla5[[#This Row],[INVERSIONES FCI]],+Tabla5[[#This Row],[INVERSIONES FCI]]-BE231,Tabla5[[#This Row],[INVERSIONES FCI]])</f>
        <v>45841766236.126419</v>
      </c>
      <c r="BF232" s="5">
        <f>IF($B231&lt;=Tabla5[[#This Row],[INVERSIONES FCI]],+Tabla5[[#This Row],[INVERSIONES FCI]]-BF231,Tabla5[[#This Row],[INVERSIONES FCI]])</f>
        <v>45841766236.126419</v>
      </c>
      <c r="BG232" s="5">
        <f>IF($B231&lt;=Tabla5[[#This Row],[INVERSIONES FCI]],+Tabla5[[#This Row],[INVERSIONES FCI]]-BG231,Tabla5[[#This Row],[INVERSIONES FCI]])</f>
        <v>45841766236.126419</v>
      </c>
      <c r="BH232" s="5">
        <f>IF($B231&lt;=Tabla5[[#This Row],[INVERSIONES FCI]],+Tabla5[[#This Row],[INVERSIONES FCI]]-BH231,Tabla5[[#This Row],[INVERSIONES FCI]])</f>
        <v>45841766236.126419</v>
      </c>
      <c r="BI232" s="5">
        <f>IF($B231&lt;=Tabla5[[#This Row],[INVERSIONES FCI]],+Tabla5[[#This Row],[INVERSIONES FCI]]-BI231,Tabla5[[#This Row],[INVERSIONES FCI]])</f>
        <v>45841766236.126419</v>
      </c>
      <c r="BJ232" s="5">
        <f>IF($B231&lt;=Tabla5[[#This Row],[INVERSIONES FCI]],+Tabla5[[#This Row],[INVERSIONES FCI]]-BJ231,Tabla5[[#This Row],[INVERSIONES FCI]])</f>
        <v>45841766236.126419</v>
      </c>
      <c r="BK232" s="5">
        <f>IF($B231&lt;=Tabla5[[#This Row],[INVERSIONES FCI]],+Tabla5[[#This Row],[INVERSIONES FCI]]-BK231,Tabla5[[#This Row],[INVERSIONES FCI]])</f>
        <v>45841766236.126419</v>
      </c>
      <c r="BL232" s="5">
        <f>IF($B231&lt;=Tabla5[[#This Row],[INVERSIONES FCI]],+Tabla5[[#This Row],[INVERSIONES FCI]]-BL231,Tabla5[[#This Row],[INVERSIONES FCI]])</f>
        <v>45841766236.126419</v>
      </c>
      <c r="BM232" s="5">
        <f>IF($B231&lt;=Tabla5[[#This Row],[INVERSIONES FCI]],+Tabla5[[#This Row],[INVERSIONES FCI]]-BM231,Tabla5[[#This Row],[INVERSIONES FCI]])</f>
        <v>45841766236.126419</v>
      </c>
      <c r="BN232" s="5">
        <f>IF($B231&lt;=Tabla5[[#This Row],[INVERSIONES FCI]],+Tabla5[[#This Row],[INVERSIONES FCI]]-BN231,Tabla5[[#This Row],[INVERSIONES FCI]])</f>
        <v>45841766236.126419</v>
      </c>
      <c r="BO232" s="5">
        <f>IF($B231&lt;=Tabla5[[#This Row],[INVERSIONES FCI]],+Tabla5[[#This Row],[INVERSIONES FCI]]-BO231,Tabla5[[#This Row],[INVERSIONES FCI]])</f>
        <v>45841766236.126419</v>
      </c>
      <c r="BP232" s="5">
        <f>IF($B231&lt;=Tabla5[[#This Row],[INVERSIONES FCI]],+Tabla5[[#This Row],[INVERSIONES FCI]]-BP231,Tabla5[[#This Row],[INVERSIONES FCI]])</f>
        <v>45841766236.126419</v>
      </c>
      <c r="BQ232" s="5">
        <f>IF($B231&lt;=Tabla5[[#This Row],[INVERSIONES FCI]],+Tabla5[[#This Row],[INVERSIONES FCI]]-BQ231,Tabla5[[#This Row],[INVERSIONES FCI]])</f>
        <v>45841766236.126419</v>
      </c>
      <c r="BR232" s="5">
        <f>IF($B231&lt;=Tabla5[[#This Row],[INVERSIONES FCI]],+Tabla5[[#This Row],[INVERSIONES FCI]]-BR231,Tabla5[[#This Row],[INVERSIONES FCI]])</f>
        <v>45841766236.126419</v>
      </c>
      <c r="BS232" s="5">
        <f>IF($B231&lt;=Tabla5[[#This Row],[INVERSIONES FCI]],+Tabla5[[#This Row],[INVERSIONES FCI]]-BS231,Tabla5[[#This Row],[INVERSIONES FCI]])</f>
        <v>45841766236.126419</v>
      </c>
      <c r="BT232" s="5">
        <f>IF($B231&lt;=Tabla5[[#This Row],[INVERSIONES FCI]],+Tabla5[[#This Row],[INVERSIONES FCI]]-BT231,Tabla5[[#This Row],[INVERSIONES FCI]])</f>
        <v>45841766236.126419</v>
      </c>
      <c r="BU232" s="5">
        <f>IF($B231&lt;=Tabla5[[#This Row],[INVERSIONES FCI]],+Tabla5[[#This Row],[INVERSIONES FCI]]-BU231,Tabla5[[#This Row],[INVERSIONES FCI]])</f>
        <v>45841766236.126419</v>
      </c>
      <c r="BV232" s="5">
        <f>IF($B231&lt;=Tabla5[[#This Row],[INVERSIONES FCI]],+Tabla5[[#This Row],[INVERSIONES FCI]]-BV231,Tabla5[[#This Row],[INVERSIONES FCI]])</f>
        <v>45841766236.126419</v>
      </c>
      <c r="BW232" s="5">
        <f>IF($B231&lt;=Tabla5[[#This Row],[INVERSIONES FCI]],+Tabla5[[#This Row],[INVERSIONES FCI]]-BW231,Tabla5[[#This Row],[INVERSIONES FCI]])</f>
        <v>45841766236.126419</v>
      </c>
      <c r="BX232" s="5">
        <f>IF($B231&lt;=Tabla5[[#This Row],[INVERSIONES FCI]],+Tabla5[[#This Row],[INVERSIONES FCI]]-BX231,Tabla5[[#This Row],[INVERSIONES FCI]])</f>
        <v>45841766236.126419</v>
      </c>
      <c r="BY232" s="5">
        <f>IF($B231&lt;=Tabla5[[#This Row],[INVERSIONES FCI]],+Tabla5[[#This Row],[INVERSIONES FCI]]-BY231,Tabla5[[#This Row],[INVERSIONES FCI]])</f>
        <v>45841766236.126419</v>
      </c>
      <c r="BZ232" s="5">
        <f>IF($B231&lt;=Tabla5[[#This Row],[INVERSIONES FCI]],+Tabla5[[#This Row],[INVERSIONES FCI]]-BZ231,Tabla5[[#This Row],[INVERSIONES FCI]])</f>
        <v>45841766236.126419</v>
      </c>
      <c r="CA232" s="5">
        <f>IF($B231&lt;=Tabla5[[#This Row],[INVERSIONES FCI]],+Tabla5[[#This Row],[INVERSIONES FCI]]-CA231,Tabla5[[#This Row],[INVERSIONES FCI]])</f>
        <v>45841766236.126419</v>
      </c>
      <c r="CB232" s="5">
        <f>IF($B231&lt;=Tabla5[[#This Row],[INVERSIONES FCI]],+Tabla5[[#This Row],[INVERSIONES FCI]]-CB231,Tabla5[[#This Row],[INVERSIONES FCI]])</f>
        <v>45841766236.126419</v>
      </c>
      <c r="CC232" s="5">
        <f>IF($B231&lt;=Tabla5[[#This Row],[INVERSIONES FCI]],+Tabla5[[#This Row],[INVERSIONES FCI]]-CC231,Tabla5[[#This Row],[INVERSIONES FCI]])</f>
        <v>45841766236.126419</v>
      </c>
      <c r="CD232" s="5">
        <f>IF($B231&lt;=Tabla5[[#This Row],[INVERSIONES FCI]],+Tabla5[[#This Row],[INVERSIONES FCI]]-CD231,Tabla5[[#This Row],[INVERSIONES FCI]])</f>
        <v>45841766236.126419</v>
      </c>
      <c r="CE232" s="5">
        <f>IF($B231&lt;=Tabla5[[#This Row],[INVERSIONES FCI]],+Tabla5[[#This Row],[INVERSIONES FCI]]-CE231,Tabla5[[#This Row],[INVERSIONES FCI]])</f>
        <v>45841766236.126419</v>
      </c>
      <c r="CF232" s="5">
        <f>IF($B231&lt;=Tabla5[[#This Row],[INVERSIONES FCI]],+Tabla5[[#This Row],[INVERSIONES FCI]]-CF231,Tabla5[[#This Row],[INVERSIONES FCI]])</f>
        <v>45841766236.126419</v>
      </c>
      <c r="CG232" s="5">
        <f>IF($B231&lt;=Tabla5[[#This Row],[INVERSIONES FCI]],+Tabla5[[#This Row],[INVERSIONES FCI]]-CG231,Tabla5[[#This Row],[INVERSIONES FCI]])</f>
        <v>45841766236.126419</v>
      </c>
      <c r="CH232" s="5">
        <f>IF($B231&lt;=Tabla5[[#This Row],[INVERSIONES FCI]],+Tabla5[[#This Row],[INVERSIONES FCI]]-CH231,Tabla5[[#This Row],[INVERSIONES FCI]])</f>
        <v>45841766236.126419</v>
      </c>
      <c r="CI232" s="5">
        <f>IF($B231&lt;=Tabla5[[#This Row],[INVERSIONES FCI]],+Tabla5[[#This Row],[INVERSIONES FCI]]-CI231,Tabla5[[#This Row],[INVERSIONES FCI]])</f>
        <v>45841766236.126419</v>
      </c>
      <c r="CJ232" s="5">
        <f>IF($B231&lt;=Tabla5[[#This Row],[INVERSIONES FCI]],+Tabla5[[#This Row],[INVERSIONES FCI]]-CJ231,Tabla5[[#This Row],[INVERSIONES FCI]])</f>
        <v>45841766236.126419</v>
      </c>
      <c r="CK232" s="5">
        <f>IF($B231&lt;=Tabla5[[#This Row],[INVERSIONES FCI]],+Tabla5[[#This Row],[INVERSIONES FCI]]-CK231,Tabla5[[#This Row],[INVERSIONES FCI]])</f>
        <v>45841766236.126419</v>
      </c>
      <c r="CL232" s="5">
        <f>IF($B231&lt;=Tabla5[[#This Row],[INVERSIONES FCI]],+Tabla5[[#This Row],[INVERSIONES FCI]]-CL231,Tabla5[[#This Row],[INVERSIONES FCI]])</f>
        <v>45841766236.126419</v>
      </c>
      <c r="CM232" s="5">
        <f>IF($B231&lt;=Tabla5[[#This Row],[INVERSIONES FCI]],+Tabla5[[#This Row],[INVERSIONES FCI]]-CM231,Tabla5[[#This Row],[INVERSIONES FCI]])</f>
        <v>45841766236.126419</v>
      </c>
      <c r="CN232" s="5">
        <f>IF($B231&lt;=Tabla5[[#This Row],[INVERSIONES FCI]],+Tabla5[[#This Row],[INVERSIONES FCI]]-CN231,Tabla5[[#This Row],[INVERSIONES FCI]])</f>
        <v>45841766236.126419</v>
      </c>
      <c r="CO232" s="5">
        <f>IF($B231&lt;=Tabla5[[#This Row],[INVERSIONES FCI]],+Tabla5[[#This Row],[INVERSIONES FCI]]-CO231,Tabla5[[#This Row],[INVERSIONES FCI]])</f>
        <v>45841766236.126419</v>
      </c>
      <c r="CP232" s="5">
        <f>IF($B231&lt;=Tabla5[[#This Row],[INVERSIONES FCI]],+Tabla5[[#This Row],[INVERSIONES FCI]]-CP231,Tabla5[[#This Row],[INVERSIONES FCI]])</f>
        <v>45841766236.126419</v>
      </c>
      <c r="CQ232" s="5">
        <f>IF($B231&lt;=Tabla5[[#This Row],[INVERSIONES FCI]],+Tabla5[[#This Row],[INVERSIONES FCI]]-CQ231,Tabla5[[#This Row],[INVERSIONES FCI]])</f>
        <v>45841766236.126419</v>
      </c>
      <c r="CR232" s="5">
        <f>IF($B231&lt;=Tabla5[[#This Row],[INVERSIONES FCI]],+Tabla5[[#This Row],[INVERSIONES FCI]]-CR231,Tabla5[[#This Row],[INVERSIONES FCI]])</f>
        <v>45841766236.126419</v>
      </c>
      <c r="CS232" s="5">
        <f>IF($B231&lt;=Tabla5[[#This Row],[INVERSIONES FCI]],+Tabla5[[#This Row],[INVERSIONES FCI]]-CS231,Tabla5[[#This Row],[INVERSIONES FCI]])</f>
        <v>45841766236.126419</v>
      </c>
      <c r="CT232" s="5">
        <f>IF($B231&lt;=Tabla5[[#This Row],[INVERSIONES FCI]],+Tabla5[[#This Row],[INVERSIONES FCI]]-CT231,Tabla5[[#This Row],[INVERSIONES FCI]])</f>
        <v>45841766236.126419</v>
      </c>
      <c r="CU232" s="5">
        <f>IF($B231&lt;=Tabla5[[#This Row],[INVERSIONES FCI]],+Tabla5[[#This Row],[INVERSIONES FCI]]-CU231,Tabla5[[#This Row],[INVERSIONES FCI]])</f>
        <v>45841766236.126419</v>
      </c>
      <c r="CV232" s="5">
        <f>IF($B231&lt;=Tabla5[[#This Row],[INVERSIONES FCI]],+Tabla5[[#This Row],[INVERSIONES FCI]]-CV231,Tabla5[[#This Row],[INVERSIONES FCI]])</f>
        <v>45841766236.126419</v>
      </c>
      <c r="CW232" s="5">
        <f>IF($B231&lt;=Tabla5[[#This Row],[INVERSIONES FCI]],+Tabla5[[#This Row],[INVERSIONES FCI]]-CW231,Tabla5[[#This Row],[INVERSIONES FCI]])</f>
        <v>45841766236.126419</v>
      </c>
      <c r="CX232" s="5">
        <f>IF($B231&lt;=Tabla5[[#This Row],[INVERSIONES FCI]],+Tabla5[[#This Row],[INVERSIONES FCI]]-CX231,Tabla5[[#This Row],[INVERSIONES FCI]])</f>
        <v>45841766236.126419</v>
      </c>
      <c r="CY232" s="5">
        <f>IF($B231&lt;=Tabla5[[#This Row],[INVERSIONES FCI]],+Tabla5[[#This Row],[INVERSIONES FCI]]-CY231,Tabla5[[#This Row],[INVERSIONES FCI]])</f>
        <v>45841766236.126419</v>
      </c>
      <c r="CZ232" s="5">
        <f>IF($B231&lt;=Tabla5[[#This Row],[INVERSIONES FCI]],+Tabla5[[#This Row],[INVERSIONES FCI]]-CZ231,Tabla5[[#This Row],[INVERSIONES FCI]])</f>
        <v>45841766236.126419</v>
      </c>
      <c r="DA232" s="5">
        <f>IF($B231&lt;=Tabla5[[#This Row],[INVERSIONES FCI]],+Tabla5[[#This Row],[INVERSIONES FCI]]-DA231,Tabla5[[#This Row],[INVERSIONES FCI]])</f>
        <v>45841766236.126419</v>
      </c>
      <c r="DB232" s="5">
        <f>IF($B231&lt;=Tabla5[[#This Row],[INVERSIONES FCI]],+Tabla5[[#This Row],[INVERSIONES FCI]]-DB231,Tabla5[[#This Row],[INVERSIONES FCI]])</f>
        <v>45841766236.126419</v>
      </c>
      <c r="DC232" s="5">
        <f>IF($B231&lt;=Tabla5[[#This Row],[INVERSIONES FCI]],+Tabla5[[#This Row],[INVERSIONES FCI]]-DC231,Tabla5[[#This Row],[INVERSIONES FCI]])</f>
        <v>45841766236.126419</v>
      </c>
      <c r="DD232" s="5">
        <f>IF($B231&lt;=Tabla5[[#This Row],[INVERSIONES FCI]],+Tabla5[[#This Row],[INVERSIONES FCI]]-DD231,Tabla5[[#This Row],[INVERSIONES FCI]])</f>
        <v>45841766236.126419</v>
      </c>
      <c r="DE232" s="5">
        <f>IF($B231&lt;=Tabla5[[#This Row],[INVERSIONES FCI]],+Tabla5[[#This Row],[INVERSIONES FCI]]-DE231,Tabla5[[#This Row],[INVERSIONES FCI]])</f>
        <v>45841766236.126419</v>
      </c>
      <c r="DF232" s="5">
        <f>IF($B231&lt;=Tabla5[[#This Row],[INVERSIONES FCI]],+Tabla5[[#This Row],[INVERSIONES FCI]]-DF231,Tabla5[[#This Row],[INVERSIONES FCI]])</f>
        <v>45841766236.126419</v>
      </c>
      <c r="DG232" s="5">
        <f>IF($B231&lt;=Tabla5[[#This Row],[INVERSIONES FCI]],+Tabla5[[#This Row],[INVERSIONES FCI]]-DG231,Tabla5[[#This Row],[INVERSIONES FCI]])</f>
        <v>45841766236.126419</v>
      </c>
      <c r="DH232" s="5">
        <f>IF($B231&lt;=Tabla5[[#This Row],[INVERSIONES FCI]],+Tabla5[[#This Row],[INVERSIONES FCI]]-DH231,Tabla5[[#This Row],[INVERSIONES FCI]])</f>
        <v>45841766236.126419</v>
      </c>
      <c r="DI232" s="5">
        <f>IF($B231&lt;=Tabla5[[#This Row],[INVERSIONES FCI]],+Tabla5[[#This Row],[INVERSIONES FCI]]-DI231,Tabla5[[#This Row],[INVERSIONES FCI]])</f>
        <v>45841766236.126419</v>
      </c>
      <c r="DJ232" s="5">
        <f>IF($B231&lt;=Tabla5[[#This Row],[INVERSIONES FCI]],+Tabla5[[#This Row],[INVERSIONES FCI]]-DJ231,Tabla5[[#This Row],[INVERSIONES FCI]])</f>
        <v>45841766236.126419</v>
      </c>
      <c r="DK232" s="5">
        <f>IF($B231&lt;=Tabla5[[#This Row],[INVERSIONES FCI]],+Tabla5[[#This Row],[INVERSIONES FCI]]-DK231,Tabla5[[#This Row],[INVERSIONES FCI]])</f>
        <v>45841766236.126419</v>
      </c>
      <c r="DL232" s="5"/>
      <c r="DM232" s="5"/>
      <c r="DN232" s="5"/>
      <c r="DO232" s="5"/>
      <c r="DP232" s="5"/>
      <c r="DQ232" s="5"/>
    </row>
    <row r="233" spans="1:121" ht="14.4">
      <c r="A233" s="12" t="s">
        <v>232</v>
      </c>
      <c r="B233" s="5">
        <f>HLOOKUP($A233,ESCENARIO[#All],7,FALSE)</f>
        <v>50240467197.791008</v>
      </c>
      <c r="C233" s="5">
        <f>IF($B232&lt;=Tabla5[[#This Row],[INVERSIONES FCI]],+Tabla5[[#This Row],[INVERSIONES FCI]]-C232,Tabla5[[#This Row],[INVERSIONES FCI]])</f>
        <v>4398700961.6645889</v>
      </c>
      <c r="D233" s="5">
        <f>IF($B232&lt;=Tabla5[[#This Row],[INVERSIONES FCI]],+Tabla5[[#This Row],[INVERSIONES FCI]]-D232,Tabla5[[#This Row],[INVERSIONES FCI]])</f>
        <v>4398700961.6645889</v>
      </c>
      <c r="E233" s="5">
        <f>IF($B232&lt;=Tabla5[[#This Row],[INVERSIONES FCI]],+Tabla5[[#This Row],[INVERSIONES FCI]]-E232,Tabla5[[#This Row],[INVERSIONES FCI]])</f>
        <v>4398700961.6645889</v>
      </c>
      <c r="F233" s="5">
        <f>IF($B232&lt;=Tabla5[[#This Row],[INVERSIONES FCI]],+Tabla5[[#This Row],[INVERSIONES FCI]]-F232,Tabla5[[#This Row],[INVERSIONES FCI]])</f>
        <v>4398700961.6645889</v>
      </c>
      <c r="G233" s="5">
        <f>IF($B232&lt;=Tabla5[[#This Row],[INVERSIONES FCI]],+Tabla5[[#This Row],[INVERSIONES FCI]]-G232,Tabla5[[#This Row],[INVERSIONES FCI]])</f>
        <v>4398700961.6645889</v>
      </c>
      <c r="H233" s="5">
        <f>IF($B232&lt;=Tabla5[[#This Row],[INVERSIONES FCI]],+Tabla5[[#This Row],[INVERSIONES FCI]]-H232,Tabla5[[#This Row],[INVERSIONES FCI]])</f>
        <v>4398700961.6645889</v>
      </c>
      <c r="I233" s="5">
        <f>IF($B232&lt;=Tabla5[[#This Row],[INVERSIONES FCI]],+Tabla5[[#This Row],[INVERSIONES FCI]]-I232,Tabla5[[#This Row],[INVERSIONES FCI]])</f>
        <v>4398700961.6645889</v>
      </c>
      <c r="J233" s="5">
        <f>IF($B232&lt;=Tabla5[[#This Row],[INVERSIONES FCI]],+Tabla5[[#This Row],[INVERSIONES FCI]]-J232,Tabla5[[#This Row],[INVERSIONES FCI]])</f>
        <v>4398700961.6645889</v>
      </c>
      <c r="K233" s="5">
        <f>IF($B232&lt;=Tabla5[[#This Row],[INVERSIONES FCI]],+Tabla5[[#This Row],[INVERSIONES FCI]]-K232,Tabla5[[#This Row],[INVERSIONES FCI]])</f>
        <v>4398700961.6645889</v>
      </c>
      <c r="L233" s="5">
        <f>IF($B232&lt;=Tabla5[[#This Row],[INVERSIONES FCI]],+Tabla5[[#This Row],[INVERSIONES FCI]]-L232,Tabla5[[#This Row],[INVERSIONES FCI]])</f>
        <v>4398700961.6645889</v>
      </c>
      <c r="M233" s="5">
        <f>IF($B232&lt;=Tabla5[[#This Row],[INVERSIONES FCI]],+Tabla5[[#This Row],[INVERSIONES FCI]]-M232,Tabla5[[#This Row],[INVERSIONES FCI]])</f>
        <v>4398700961.6645889</v>
      </c>
      <c r="N233" s="5">
        <f>IF($B232&lt;=Tabla5[[#This Row],[INVERSIONES FCI]],+Tabla5[[#This Row],[INVERSIONES FCI]]-N232,Tabla5[[#This Row],[INVERSIONES FCI]])</f>
        <v>4398700961.6645889</v>
      </c>
      <c r="O233" s="5">
        <f>IF($B232&lt;=Tabla5[[#This Row],[INVERSIONES FCI]],+Tabla5[[#This Row],[INVERSIONES FCI]]-O232,Tabla5[[#This Row],[INVERSIONES FCI]])</f>
        <v>4398700961.6645889</v>
      </c>
      <c r="P233" s="5">
        <f>IF($B232&lt;=Tabla5[[#This Row],[INVERSIONES FCI]],+Tabla5[[#This Row],[INVERSIONES FCI]]-P232,Tabla5[[#This Row],[INVERSIONES FCI]])</f>
        <v>4398700961.6645889</v>
      </c>
      <c r="Q233" s="5">
        <f>IF($B232&lt;=Tabla5[[#This Row],[INVERSIONES FCI]],+Tabla5[[#This Row],[INVERSIONES FCI]]-Q232,Tabla5[[#This Row],[INVERSIONES FCI]])</f>
        <v>4398700961.6645889</v>
      </c>
      <c r="R233" s="5">
        <f>IF($B232&lt;=Tabla5[[#This Row],[INVERSIONES FCI]],+Tabla5[[#This Row],[INVERSIONES FCI]]-R232,Tabla5[[#This Row],[INVERSIONES FCI]])</f>
        <v>4398700961.6645889</v>
      </c>
      <c r="S233" s="5">
        <f>IF($B232&lt;=Tabla5[[#This Row],[INVERSIONES FCI]],+Tabla5[[#This Row],[INVERSIONES FCI]]-S232,Tabla5[[#This Row],[INVERSIONES FCI]])</f>
        <v>4398700961.6645889</v>
      </c>
      <c r="T233" s="5">
        <f>IF($B232&lt;=Tabla5[[#This Row],[INVERSIONES FCI]],+Tabla5[[#This Row],[INVERSIONES FCI]]-T232,Tabla5[[#This Row],[INVERSIONES FCI]])</f>
        <v>4398700961.6645889</v>
      </c>
      <c r="U233" s="5">
        <f>IF($B232&lt;=Tabla5[[#This Row],[INVERSIONES FCI]],+Tabla5[[#This Row],[INVERSIONES FCI]]-U232,Tabla5[[#This Row],[INVERSIONES FCI]])</f>
        <v>4398700961.6645889</v>
      </c>
      <c r="V233" s="5">
        <f>IF($B232&lt;=Tabla5[[#This Row],[INVERSIONES FCI]],+Tabla5[[#This Row],[INVERSIONES FCI]]-V232,Tabla5[[#This Row],[INVERSIONES FCI]])</f>
        <v>4398700961.6645889</v>
      </c>
      <c r="W233" s="5">
        <f>IF($B232&lt;=Tabla5[[#This Row],[INVERSIONES FCI]],+Tabla5[[#This Row],[INVERSIONES FCI]]-W232,Tabla5[[#This Row],[INVERSIONES FCI]])</f>
        <v>4398700961.6645889</v>
      </c>
      <c r="X233" s="5">
        <f>IF($B232&lt;=Tabla5[[#This Row],[INVERSIONES FCI]],+Tabla5[[#This Row],[INVERSIONES FCI]]-X232,Tabla5[[#This Row],[INVERSIONES FCI]])</f>
        <v>4398700961.6645889</v>
      </c>
      <c r="Y233" s="5">
        <f>IF($B232&lt;=Tabla5[[#This Row],[INVERSIONES FCI]],+Tabla5[[#This Row],[INVERSIONES FCI]]-Y232,Tabla5[[#This Row],[INVERSIONES FCI]])</f>
        <v>4398700961.6645889</v>
      </c>
      <c r="Z233" s="5">
        <f>IF($B232&lt;=Tabla5[[#This Row],[INVERSIONES FCI]],+Tabla5[[#This Row],[INVERSIONES FCI]]-Z232,Tabla5[[#This Row],[INVERSIONES FCI]])</f>
        <v>4398700961.6645889</v>
      </c>
      <c r="AA233" s="5">
        <f>IF($B232&lt;=Tabla5[[#This Row],[INVERSIONES FCI]],+Tabla5[[#This Row],[INVERSIONES FCI]]-AA232,Tabla5[[#This Row],[INVERSIONES FCI]])</f>
        <v>4398700961.6645889</v>
      </c>
      <c r="AB233" s="5">
        <f>IF($B232&lt;=Tabla5[[#This Row],[INVERSIONES FCI]],+Tabla5[[#This Row],[INVERSIONES FCI]]-AB232,Tabla5[[#This Row],[INVERSIONES FCI]])</f>
        <v>4398700961.6645889</v>
      </c>
      <c r="AC233" s="5">
        <f>IF($B232&lt;=Tabla5[[#This Row],[INVERSIONES FCI]],+Tabla5[[#This Row],[INVERSIONES FCI]]-AC232,Tabla5[[#This Row],[INVERSIONES FCI]])</f>
        <v>4398700961.6645889</v>
      </c>
      <c r="AD233" s="5">
        <f>IF($B232&lt;=Tabla5[[#This Row],[INVERSIONES FCI]],+Tabla5[[#This Row],[INVERSIONES FCI]]-AD232,Tabla5[[#This Row],[INVERSIONES FCI]])</f>
        <v>4398700961.6645889</v>
      </c>
      <c r="AE233" s="5">
        <f>IF($B232&lt;=Tabla5[[#This Row],[INVERSIONES FCI]],+Tabla5[[#This Row],[INVERSIONES FCI]]-AE232,Tabla5[[#This Row],[INVERSIONES FCI]])</f>
        <v>4398700961.6645889</v>
      </c>
      <c r="AF233" s="5">
        <f>IF($B232&lt;=Tabla5[[#This Row],[INVERSIONES FCI]],+Tabla5[[#This Row],[INVERSIONES FCI]]-AF232,Tabla5[[#This Row],[INVERSIONES FCI]])</f>
        <v>4398700961.6645889</v>
      </c>
      <c r="AG233" s="5">
        <f>IF($B232&lt;=Tabla5[[#This Row],[INVERSIONES FCI]],+Tabla5[[#This Row],[INVERSIONES FCI]]-AG232,Tabla5[[#This Row],[INVERSIONES FCI]])</f>
        <v>4398700961.6645889</v>
      </c>
      <c r="AH233" s="5">
        <f>IF($B232&lt;=Tabla5[[#This Row],[INVERSIONES FCI]],+Tabla5[[#This Row],[INVERSIONES FCI]]-AH232,Tabla5[[#This Row],[INVERSIONES FCI]])</f>
        <v>4398700961.6645889</v>
      </c>
      <c r="AI233" s="5">
        <f>IF($B232&lt;=Tabla5[[#This Row],[INVERSIONES FCI]],+Tabla5[[#This Row],[INVERSIONES FCI]]-AI232,Tabla5[[#This Row],[INVERSIONES FCI]])</f>
        <v>4398700961.6645889</v>
      </c>
      <c r="AJ233" s="5">
        <f>IF($B232&lt;=Tabla5[[#This Row],[INVERSIONES FCI]],+Tabla5[[#This Row],[INVERSIONES FCI]]-AJ232,Tabla5[[#This Row],[INVERSIONES FCI]])</f>
        <v>4398700961.6645889</v>
      </c>
      <c r="AK233" s="5">
        <f>IF($B232&lt;=Tabla5[[#This Row],[INVERSIONES FCI]],+Tabla5[[#This Row],[INVERSIONES FCI]]-AK232,Tabla5[[#This Row],[INVERSIONES FCI]])</f>
        <v>4398700961.6645889</v>
      </c>
      <c r="AL233" s="5">
        <f>IF($B232&lt;=Tabla5[[#This Row],[INVERSIONES FCI]],+Tabla5[[#This Row],[INVERSIONES FCI]]-AL232,Tabla5[[#This Row],[INVERSIONES FCI]])</f>
        <v>4398700961.6645889</v>
      </c>
      <c r="AM233" s="5">
        <f>IF($B232&lt;=Tabla5[[#This Row],[INVERSIONES FCI]],+Tabla5[[#This Row],[INVERSIONES FCI]]-AM232,Tabla5[[#This Row],[INVERSIONES FCI]])</f>
        <v>4398700961.6645889</v>
      </c>
      <c r="AN233" s="5">
        <f>IF($B232&lt;=Tabla5[[#This Row],[INVERSIONES FCI]],+Tabla5[[#This Row],[INVERSIONES FCI]]-AN232,Tabla5[[#This Row],[INVERSIONES FCI]])</f>
        <v>4398700961.6645889</v>
      </c>
      <c r="AO233" s="5">
        <f>IF($B232&lt;=Tabla5[[#This Row],[INVERSIONES FCI]],+Tabla5[[#This Row],[INVERSIONES FCI]]-AO232,Tabla5[[#This Row],[INVERSIONES FCI]])</f>
        <v>4398700961.6645889</v>
      </c>
      <c r="AP233" s="5">
        <f>IF($B232&lt;=Tabla5[[#This Row],[INVERSIONES FCI]],+Tabla5[[#This Row],[INVERSIONES FCI]]-AP232,Tabla5[[#This Row],[INVERSIONES FCI]])</f>
        <v>4398700961.6645889</v>
      </c>
      <c r="AQ233" s="5">
        <f>IF($B232&lt;=Tabla5[[#This Row],[INVERSIONES FCI]],+Tabla5[[#This Row],[INVERSIONES FCI]]-AQ232,Tabla5[[#This Row],[INVERSIONES FCI]])</f>
        <v>4398700961.6645889</v>
      </c>
      <c r="AR233" s="5">
        <f>IF($B232&lt;=Tabla5[[#This Row],[INVERSIONES FCI]],+Tabla5[[#This Row],[INVERSIONES FCI]]-AR232,Tabla5[[#This Row],[INVERSIONES FCI]])</f>
        <v>4398700961.6645889</v>
      </c>
      <c r="AS233" s="5">
        <f>IF($B232&lt;=Tabla5[[#This Row],[INVERSIONES FCI]],+Tabla5[[#This Row],[INVERSIONES FCI]]-AS232,Tabla5[[#This Row],[INVERSIONES FCI]])</f>
        <v>4398700961.6645889</v>
      </c>
      <c r="AT233" s="5">
        <f>IF($B232&lt;=Tabla5[[#This Row],[INVERSIONES FCI]],+Tabla5[[#This Row],[INVERSIONES FCI]]-AT232,Tabla5[[#This Row],[INVERSIONES FCI]])</f>
        <v>4398700961.6645889</v>
      </c>
      <c r="AU233" s="5">
        <f>IF($B232&lt;=Tabla5[[#This Row],[INVERSIONES FCI]],+Tabla5[[#This Row],[INVERSIONES FCI]]-AU232,Tabla5[[#This Row],[INVERSIONES FCI]])</f>
        <v>4398700961.6645889</v>
      </c>
      <c r="AV233" s="5">
        <f>IF($B232&lt;=Tabla5[[#This Row],[INVERSIONES FCI]],+Tabla5[[#This Row],[INVERSIONES FCI]]-AV232,Tabla5[[#This Row],[INVERSIONES FCI]])</f>
        <v>4398700961.6645889</v>
      </c>
      <c r="AW233" s="5">
        <f>IF($B232&lt;=Tabla5[[#This Row],[INVERSIONES FCI]],+Tabla5[[#This Row],[INVERSIONES FCI]]-AW232,Tabla5[[#This Row],[INVERSIONES FCI]])</f>
        <v>4398700961.6645889</v>
      </c>
      <c r="AX233" s="5">
        <f>IF($B232&lt;=Tabla5[[#This Row],[INVERSIONES FCI]],+Tabla5[[#This Row],[INVERSIONES FCI]]-AX232,Tabla5[[#This Row],[INVERSIONES FCI]])</f>
        <v>4398700961.6645889</v>
      </c>
      <c r="AY233" s="5">
        <f>IF($B232&lt;=Tabla5[[#This Row],[INVERSIONES FCI]],+Tabla5[[#This Row],[INVERSIONES FCI]]-AY232,Tabla5[[#This Row],[INVERSIONES FCI]])</f>
        <v>4398700961.6645889</v>
      </c>
      <c r="AZ233" s="5">
        <f>IF($B232&lt;=Tabla5[[#This Row],[INVERSIONES FCI]],+Tabla5[[#This Row],[INVERSIONES FCI]]-AZ232,Tabla5[[#This Row],[INVERSIONES FCI]])</f>
        <v>4398700961.6645889</v>
      </c>
      <c r="BA233" s="5">
        <f>IF($B232&lt;=Tabla5[[#This Row],[INVERSIONES FCI]],+Tabla5[[#This Row],[INVERSIONES FCI]]-BA232,Tabla5[[#This Row],[INVERSIONES FCI]])</f>
        <v>4398700961.6645889</v>
      </c>
      <c r="BB233" s="5">
        <f>IF($B232&lt;=Tabla5[[#This Row],[INVERSIONES FCI]],+Tabla5[[#This Row],[INVERSIONES FCI]]-BB232,Tabla5[[#This Row],[INVERSIONES FCI]])</f>
        <v>4398700961.6645889</v>
      </c>
      <c r="BC233" s="5">
        <f>IF($B232&lt;=Tabla5[[#This Row],[INVERSIONES FCI]],+Tabla5[[#This Row],[INVERSIONES FCI]]-BC232,Tabla5[[#This Row],[INVERSIONES FCI]])</f>
        <v>4398700961.6645889</v>
      </c>
      <c r="BD233" s="5">
        <f>IF($B232&lt;=Tabla5[[#This Row],[INVERSIONES FCI]],+Tabla5[[#This Row],[INVERSIONES FCI]]-BD232,Tabla5[[#This Row],[INVERSIONES FCI]])</f>
        <v>4398700961.6645889</v>
      </c>
      <c r="BE233" s="5">
        <f>IF($B232&lt;=Tabla5[[#This Row],[INVERSIONES FCI]],+Tabla5[[#This Row],[INVERSIONES FCI]]-BE232,Tabla5[[#This Row],[INVERSIONES FCI]])</f>
        <v>4398700961.6645889</v>
      </c>
      <c r="BF233" s="5">
        <f>IF($B232&lt;=Tabla5[[#This Row],[INVERSIONES FCI]],+Tabla5[[#This Row],[INVERSIONES FCI]]-BF232,Tabla5[[#This Row],[INVERSIONES FCI]])</f>
        <v>4398700961.6645889</v>
      </c>
      <c r="BG233" s="5">
        <f>IF($B232&lt;=Tabla5[[#This Row],[INVERSIONES FCI]],+Tabla5[[#This Row],[INVERSIONES FCI]]-BG232,Tabla5[[#This Row],[INVERSIONES FCI]])</f>
        <v>4398700961.6645889</v>
      </c>
      <c r="BH233" s="5">
        <f>IF($B232&lt;=Tabla5[[#This Row],[INVERSIONES FCI]],+Tabla5[[#This Row],[INVERSIONES FCI]]-BH232,Tabla5[[#This Row],[INVERSIONES FCI]])</f>
        <v>4398700961.6645889</v>
      </c>
      <c r="BI233" s="5">
        <f>IF($B232&lt;=Tabla5[[#This Row],[INVERSIONES FCI]],+Tabla5[[#This Row],[INVERSIONES FCI]]-BI232,Tabla5[[#This Row],[INVERSIONES FCI]])</f>
        <v>4398700961.6645889</v>
      </c>
      <c r="BJ233" s="5">
        <f>IF($B232&lt;=Tabla5[[#This Row],[INVERSIONES FCI]],+Tabla5[[#This Row],[INVERSIONES FCI]]-BJ232,Tabla5[[#This Row],[INVERSIONES FCI]])</f>
        <v>4398700961.6645889</v>
      </c>
      <c r="BK233" s="5">
        <f>IF($B232&lt;=Tabla5[[#This Row],[INVERSIONES FCI]],+Tabla5[[#This Row],[INVERSIONES FCI]]-BK232,Tabla5[[#This Row],[INVERSIONES FCI]])</f>
        <v>4398700961.6645889</v>
      </c>
      <c r="BL233" s="5">
        <f>IF($B232&lt;=Tabla5[[#This Row],[INVERSIONES FCI]],+Tabla5[[#This Row],[INVERSIONES FCI]]-BL232,Tabla5[[#This Row],[INVERSIONES FCI]])</f>
        <v>4398700961.6645889</v>
      </c>
      <c r="BM233" s="5">
        <f>IF($B232&lt;=Tabla5[[#This Row],[INVERSIONES FCI]],+Tabla5[[#This Row],[INVERSIONES FCI]]-BM232,Tabla5[[#This Row],[INVERSIONES FCI]])</f>
        <v>4398700961.6645889</v>
      </c>
      <c r="BN233" s="5">
        <f>IF($B232&lt;=Tabla5[[#This Row],[INVERSIONES FCI]],+Tabla5[[#This Row],[INVERSIONES FCI]]-BN232,Tabla5[[#This Row],[INVERSIONES FCI]])</f>
        <v>4398700961.6645889</v>
      </c>
      <c r="BO233" s="5">
        <f>IF($B232&lt;=Tabla5[[#This Row],[INVERSIONES FCI]],+Tabla5[[#This Row],[INVERSIONES FCI]]-BO232,Tabla5[[#This Row],[INVERSIONES FCI]])</f>
        <v>4398700961.6645889</v>
      </c>
      <c r="BP233" s="5">
        <f>IF($B232&lt;=Tabla5[[#This Row],[INVERSIONES FCI]],+Tabla5[[#This Row],[INVERSIONES FCI]]-BP232,Tabla5[[#This Row],[INVERSIONES FCI]])</f>
        <v>4398700961.6645889</v>
      </c>
      <c r="BQ233" s="5">
        <f>IF($B232&lt;=Tabla5[[#This Row],[INVERSIONES FCI]],+Tabla5[[#This Row],[INVERSIONES FCI]]-BQ232,Tabla5[[#This Row],[INVERSIONES FCI]])</f>
        <v>4398700961.6645889</v>
      </c>
      <c r="BR233" s="5">
        <f>IF($B232&lt;=Tabla5[[#This Row],[INVERSIONES FCI]],+Tabla5[[#This Row],[INVERSIONES FCI]]-BR232,Tabla5[[#This Row],[INVERSIONES FCI]])</f>
        <v>4398700961.6645889</v>
      </c>
      <c r="BS233" s="5">
        <f>IF($B232&lt;=Tabla5[[#This Row],[INVERSIONES FCI]],+Tabla5[[#This Row],[INVERSIONES FCI]]-BS232,Tabla5[[#This Row],[INVERSIONES FCI]])</f>
        <v>4398700961.6645889</v>
      </c>
      <c r="BT233" s="5">
        <f>IF($B232&lt;=Tabla5[[#This Row],[INVERSIONES FCI]],+Tabla5[[#This Row],[INVERSIONES FCI]]-BT232,Tabla5[[#This Row],[INVERSIONES FCI]])</f>
        <v>4398700961.6645889</v>
      </c>
      <c r="BU233" s="5">
        <f>IF($B232&lt;=Tabla5[[#This Row],[INVERSIONES FCI]],+Tabla5[[#This Row],[INVERSIONES FCI]]-BU232,Tabla5[[#This Row],[INVERSIONES FCI]])</f>
        <v>4398700961.6645889</v>
      </c>
      <c r="BV233" s="5">
        <f>IF($B232&lt;=Tabla5[[#This Row],[INVERSIONES FCI]],+Tabla5[[#This Row],[INVERSIONES FCI]]-BV232,Tabla5[[#This Row],[INVERSIONES FCI]])</f>
        <v>4398700961.6645889</v>
      </c>
      <c r="BW233" s="5">
        <f>IF($B232&lt;=Tabla5[[#This Row],[INVERSIONES FCI]],+Tabla5[[#This Row],[INVERSIONES FCI]]-BW232,Tabla5[[#This Row],[INVERSIONES FCI]])</f>
        <v>4398700961.6645889</v>
      </c>
      <c r="BX233" s="5">
        <f>IF($B232&lt;=Tabla5[[#This Row],[INVERSIONES FCI]],+Tabla5[[#This Row],[INVERSIONES FCI]]-BX232,Tabla5[[#This Row],[INVERSIONES FCI]])</f>
        <v>4398700961.6645889</v>
      </c>
      <c r="BY233" s="5">
        <f>IF($B232&lt;=Tabla5[[#This Row],[INVERSIONES FCI]],+Tabla5[[#This Row],[INVERSIONES FCI]]-BY232,Tabla5[[#This Row],[INVERSIONES FCI]])</f>
        <v>4398700961.6645889</v>
      </c>
      <c r="BZ233" s="5">
        <f>IF($B232&lt;=Tabla5[[#This Row],[INVERSIONES FCI]],+Tabla5[[#This Row],[INVERSIONES FCI]]-BZ232,Tabla5[[#This Row],[INVERSIONES FCI]])</f>
        <v>4398700961.6645889</v>
      </c>
      <c r="CA233" s="5">
        <f>IF($B232&lt;=Tabla5[[#This Row],[INVERSIONES FCI]],+Tabla5[[#This Row],[INVERSIONES FCI]]-CA232,Tabla5[[#This Row],[INVERSIONES FCI]])</f>
        <v>4398700961.6645889</v>
      </c>
      <c r="CB233" s="5">
        <f>IF($B232&lt;=Tabla5[[#This Row],[INVERSIONES FCI]],+Tabla5[[#This Row],[INVERSIONES FCI]]-CB232,Tabla5[[#This Row],[INVERSIONES FCI]])</f>
        <v>4398700961.6645889</v>
      </c>
      <c r="CC233" s="5">
        <f>IF($B232&lt;=Tabla5[[#This Row],[INVERSIONES FCI]],+Tabla5[[#This Row],[INVERSIONES FCI]]-CC232,Tabla5[[#This Row],[INVERSIONES FCI]])</f>
        <v>4398700961.6645889</v>
      </c>
      <c r="CD233" s="5">
        <f>IF($B232&lt;=Tabla5[[#This Row],[INVERSIONES FCI]],+Tabla5[[#This Row],[INVERSIONES FCI]]-CD232,Tabla5[[#This Row],[INVERSIONES FCI]])</f>
        <v>4398700961.6645889</v>
      </c>
      <c r="CE233" s="5">
        <f>IF($B232&lt;=Tabla5[[#This Row],[INVERSIONES FCI]],+Tabla5[[#This Row],[INVERSIONES FCI]]-CE232,Tabla5[[#This Row],[INVERSIONES FCI]])</f>
        <v>4398700961.6645889</v>
      </c>
      <c r="CF233" s="5">
        <f>IF($B232&lt;=Tabla5[[#This Row],[INVERSIONES FCI]],+Tabla5[[#This Row],[INVERSIONES FCI]]-CF232,Tabla5[[#This Row],[INVERSIONES FCI]])</f>
        <v>4398700961.6645889</v>
      </c>
      <c r="CG233" s="5">
        <f>IF($B232&lt;=Tabla5[[#This Row],[INVERSIONES FCI]],+Tabla5[[#This Row],[INVERSIONES FCI]]-CG232,Tabla5[[#This Row],[INVERSIONES FCI]])</f>
        <v>4398700961.6645889</v>
      </c>
      <c r="CH233" s="5">
        <f>IF($B232&lt;=Tabla5[[#This Row],[INVERSIONES FCI]],+Tabla5[[#This Row],[INVERSIONES FCI]]-CH232,Tabla5[[#This Row],[INVERSIONES FCI]])</f>
        <v>4398700961.6645889</v>
      </c>
      <c r="CI233" s="5">
        <f>IF($B232&lt;=Tabla5[[#This Row],[INVERSIONES FCI]],+Tabla5[[#This Row],[INVERSIONES FCI]]-CI232,Tabla5[[#This Row],[INVERSIONES FCI]])</f>
        <v>4398700961.6645889</v>
      </c>
      <c r="CJ233" s="5">
        <f>IF($B232&lt;=Tabla5[[#This Row],[INVERSIONES FCI]],+Tabla5[[#This Row],[INVERSIONES FCI]]-CJ232,Tabla5[[#This Row],[INVERSIONES FCI]])</f>
        <v>4398700961.6645889</v>
      </c>
      <c r="CK233" s="5">
        <f>IF($B232&lt;=Tabla5[[#This Row],[INVERSIONES FCI]],+Tabla5[[#This Row],[INVERSIONES FCI]]-CK232,Tabla5[[#This Row],[INVERSIONES FCI]])</f>
        <v>4398700961.6645889</v>
      </c>
      <c r="CL233" s="5">
        <f>IF($B232&lt;=Tabla5[[#This Row],[INVERSIONES FCI]],+Tabla5[[#This Row],[INVERSIONES FCI]]-CL232,Tabla5[[#This Row],[INVERSIONES FCI]])</f>
        <v>4398700961.6645889</v>
      </c>
      <c r="CM233" s="5">
        <f>IF($B232&lt;=Tabla5[[#This Row],[INVERSIONES FCI]],+Tabla5[[#This Row],[INVERSIONES FCI]]-CM232,Tabla5[[#This Row],[INVERSIONES FCI]])</f>
        <v>4398700961.6645889</v>
      </c>
      <c r="CN233" s="5">
        <f>IF($B232&lt;=Tabla5[[#This Row],[INVERSIONES FCI]],+Tabla5[[#This Row],[INVERSIONES FCI]]-CN232,Tabla5[[#This Row],[INVERSIONES FCI]])</f>
        <v>4398700961.6645889</v>
      </c>
      <c r="CO233" s="5">
        <f>IF($B232&lt;=Tabla5[[#This Row],[INVERSIONES FCI]],+Tabla5[[#This Row],[INVERSIONES FCI]]-CO232,Tabla5[[#This Row],[INVERSIONES FCI]])</f>
        <v>4398700961.6645889</v>
      </c>
      <c r="CP233" s="5">
        <f>IF($B232&lt;=Tabla5[[#This Row],[INVERSIONES FCI]],+Tabla5[[#This Row],[INVERSIONES FCI]]-CP232,Tabla5[[#This Row],[INVERSIONES FCI]])</f>
        <v>4398700961.6645889</v>
      </c>
      <c r="CQ233" s="5">
        <f>IF($B232&lt;=Tabla5[[#This Row],[INVERSIONES FCI]],+Tabla5[[#This Row],[INVERSIONES FCI]]-CQ232,Tabla5[[#This Row],[INVERSIONES FCI]])</f>
        <v>4398700961.6645889</v>
      </c>
      <c r="CR233" s="5">
        <f>IF($B232&lt;=Tabla5[[#This Row],[INVERSIONES FCI]],+Tabla5[[#This Row],[INVERSIONES FCI]]-CR232,Tabla5[[#This Row],[INVERSIONES FCI]])</f>
        <v>4398700961.6645889</v>
      </c>
      <c r="CS233" s="5">
        <f>IF($B232&lt;=Tabla5[[#This Row],[INVERSIONES FCI]],+Tabla5[[#This Row],[INVERSIONES FCI]]-CS232,Tabla5[[#This Row],[INVERSIONES FCI]])</f>
        <v>4398700961.6645889</v>
      </c>
      <c r="CT233" s="5">
        <f>IF($B232&lt;=Tabla5[[#This Row],[INVERSIONES FCI]],+Tabla5[[#This Row],[INVERSIONES FCI]]-CT232,Tabla5[[#This Row],[INVERSIONES FCI]])</f>
        <v>4398700961.6645889</v>
      </c>
      <c r="CU233" s="5">
        <f>IF($B232&lt;=Tabla5[[#This Row],[INVERSIONES FCI]],+Tabla5[[#This Row],[INVERSIONES FCI]]-CU232,Tabla5[[#This Row],[INVERSIONES FCI]])</f>
        <v>4398700961.6645889</v>
      </c>
      <c r="CV233" s="5">
        <f>IF($B232&lt;=Tabla5[[#This Row],[INVERSIONES FCI]],+Tabla5[[#This Row],[INVERSIONES FCI]]-CV232,Tabla5[[#This Row],[INVERSIONES FCI]])</f>
        <v>4398700961.6645889</v>
      </c>
      <c r="CW233" s="5">
        <f>IF($B232&lt;=Tabla5[[#This Row],[INVERSIONES FCI]],+Tabla5[[#This Row],[INVERSIONES FCI]]-CW232,Tabla5[[#This Row],[INVERSIONES FCI]])</f>
        <v>4398700961.6645889</v>
      </c>
      <c r="CX233" s="5">
        <f>IF($B232&lt;=Tabla5[[#This Row],[INVERSIONES FCI]],+Tabla5[[#This Row],[INVERSIONES FCI]]-CX232,Tabla5[[#This Row],[INVERSIONES FCI]])</f>
        <v>4398700961.6645889</v>
      </c>
      <c r="CY233" s="5">
        <f>IF($B232&lt;=Tabla5[[#This Row],[INVERSIONES FCI]],+Tabla5[[#This Row],[INVERSIONES FCI]]-CY232,Tabla5[[#This Row],[INVERSIONES FCI]])</f>
        <v>4398700961.6645889</v>
      </c>
      <c r="CZ233" s="5">
        <f>IF($B232&lt;=Tabla5[[#This Row],[INVERSIONES FCI]],+Tabla5[[#This Row],[INVERSIONES FCI]]-CZ232,Tabla5[[#This Row],[INVERSIONES FCI]])</f>
        <v>4398700961.6645889</v>
      </c>
      <c r="DA233" s="5">
        <f>IF($B232&lt;=Tabla5[[#This Row],[INVERSIONES FCI]],+Tabla5[[#This Row],[INVERSIONES FCI]]-DA232,Tabla5[[#This Row],[INVERSIONES FCI]])</f>
        <v>4398700961.6645889</v>
      </c>
      <c r="DB233" s="5">
        <f>IF($B232&lt;=Tabla5[[#This Row],[INVERSIONES FCI]],+Tabla5[[#This Row],[INVERSIONES FCI]]-DB232,Tabla5[[#This Row],[INVERSIONES FCI]])</f>
        <v>4398700961.6645889</v>
      </c>
      <c r="DC233" s="5">
        <f>IF($B232&lt;=Tabla5[[#This Row],[INVERSIONES FCI]],+Tabla5[[#This Row],[INVERSIONES FCI]]-DC232,Tabla5[[#This Row],[INVERSIONES FCI]])</f>
        <v>4398700961.6645889</v>
      </c>
      <c r="DD233" s="5">
        <f>IF($B232&lt;=Tabla5[[#This Row],[INVERSIONES FCI]],+Tabla5[[#This Row],[INVERSIONES FCI]]-DD232,Tabla5[[#This Row],[INVERSIONES FCI]])</f>
        <v>4398700961.6645889</v>
      </c>
      <c r="DE233" s="5">
        <f>IF($B232&lt;=Tabla5[[#This Row],[INVERSIONES FCI]],+Tabla5[[#This Row],[INVERSIONES FCI]]-DE232,Tabla5[[#This Row],[INVERSIONES FCI]])</f>
        <v>4398700961.6645889</v>
      </c>
      <c r="DF233" s="5">
        <f>IF($B232&lt;=Tabla5[[#This Row],[INVERSIONES FCI]],+Tabla5[[#This Row],[INVERSIONES FCI]]-DF232,Tabla5[[#This Row],[INVERSIONES FCI]])</f>
        <v>4398700961.6645889</v>
      </c>
      <c r="DG233" s="5">
        <f>IF($B232&lt;=Tabla5[[#This Row],[INVERSIONES FCI]],+Tabla5[[#This Row],[INVERSIONES FCI]]-DG232,Tabla5[[#This Row],[INVERSIONES FCI]])</f>
        <v>4398700961.6645889</v>
      </c>
      <c r="DH233" s="5">
        <f>IF($B232&lt;=Tabla5[[#This Row],[INVERSIONES FCI]],+Tabla5[[#This Row],[INVERSIONES FCI]]-DH232,Tabla5[[#This Row],[INVERSIONES FCI]])</f>
        <v>4398700961.6645889</v>
      </c>
      <c r="DI233" s="5">
        <f>IF($B232&lt;=Tabla5[[#This Row],[INVERSIONES FCI]],+Tabla5[[#This Row],[INVERSIONES FCI]]-DI232,Tabla5[[#This Row],[INVERSIONES FCI]])</f>
        <v>4398700961.6645889</v>
      </c>
      <c r="DJ233" s="5">
        <f>IF($B232&lt;=Tabla5[[#This Row],[INVERSIONES FCI]],+Tabla5[[#This Row],[INVERSIONES FCI]]-DJ232,Tabla5[[#This Row],[INVERSIONES FCI]])</f>
        <v>4398700961.6645889</v>
      </c>
      <c r="DK233" s="5">
        <f>IF($B232&lt;=Tabla5[[#This Row],[INVERSIONES FCI]],+Tabla5[[#This Row],[INVERSIONES FCI]]-DK232,Tabla5[[#This Row],[INVERSIONES FCI]])</f>
        <v>4398700961.6645889</v>
      </c>
      <c r="DL233" s="5"/>
      <c r="DM233" s="5"/>
      <c r="DN233" s="5"/>
      <c r="DO233" s="5"/>
      <c r="DP233" s="5"/>
      <c r="DQ233" s="5"/>
    </row>
    <row r="234" spans="1:121" ht="14.4">
      <c r="A234" s="12" t="s">
        <v>233</v>
      </c>
      <c r="B234" s="5">
        <f>HLOOKUP($A234,ESCENARIO[#All],7,FALSE)</f>
        <v>50240467197.791008</v>
      </c>
      <c r="C234" s="5">
        <f>IF($B233&lt;=Tabla5[[#This Row],[INVERSIONES FCI]],+Tabla5[[#This Row],[INVERSIONES FCI]]-C233,Tabla5[[#This Row],[INVERSIONES FCI]])</f>
        <v>45841766236.126419</v>
      </c>
      <c r="D234" s="5">
        <f>IF($B233&lt;=Tabla5[[#This Row],[INVERSIONES FCI]],+Tabla5[[#This Row],[INVERSIONES FCI]]-D233,Tabla5[[#This Row],[INVERSIONES FCI]])</f>
        <v>45841766236.126419</v>
      </c>
      <c r="E234" s="5">
        <f>IF($B233&lt;=Tabla5[[#This Row],[INVERSIONES FCI]],+Tabla5[[#This Row],[INVERSIONES FCI]]-E233,Tabla5[[#This Row],[INVERSIONES FCI]])</f>
        <v>45841766236.126419</v>
      </c>
      <c r="F234" s="5">
        <f>IF($B233&lt;=Tabla5[[#This Row],[INVERSIONES FCI]],+Tabla5[[#This Row],[INVERSIONES FCI]]-F233,Tabla5[[#This Row],[INVERSIONES FCI]])</f>
        <v>45841766236.126419</v>
      </c>
      <c r="G234" s="5">
        <f>IF($B233&lt;=Tabla5[[#This Row],[INVERSIONES FCI]],+Tabla5[[#This Row],[INVERSIONES FCI]]-G233,Tabla5[[#This Row],[INVERSIONES FCI]])</f>
        <v>45841766236.126419</v>
      </c>
      <c r="H234" s="5">
        <f>IF($B233&lt;=Tabla5[[#This Row],[INVERSIONES FCI]],+Tabla5[[#This Row],[INVERSIONES FCI]]-H233,Tabla5[[#This Row],[INVERSIONES FCI]])</f>
        <v>45841766236.126419</v>
      </c>
      <c r="I234" s="5">
        <f>IF($B233&lt;=Tabla5[[#This Row],[INVERSIONES FCI]],+Tabla5[[#This Row],[INVERSIONES FCI]]-I233,Tabla5[[#This Row],[INVERSIONES FCI]])</f>
        <v>45841766236.126419</v>
      </c>
      <c r="J234" s="5">
        <f>IF($B233&lt;=Tabla5[[#This Row],[INVERSIONES FCI]],+Tabla5[[#This Row],[INVERSIONES FCI]]-J233,Tabla5[[#This Row],[INVERSIONES FCI]])</f>
        <v>45841766236.126419</v>
      </c>
      <c r="K234" s="5">
        <f>IF($B233&lt;=Tabla5[[#This Row],[INVERSIONES FCI]],+Tabla5[[#This Row],[INVERSIONES FCI]]-K233,Tabla5[[#This Row],[INVERSIONES FCI]])</f>
        <v>45841766236.126419</v>
      </c>
      <c r="L234" s="5">
        <f>IF($B233&lt;=Tabla5[[#This Row],[INVERSIONES FCI]],+Tabla5[[#This Row],[INVERSIONES FCI]]-L233,Tabla5[[#This Row],[INVERSIONES FCI]])</f>
        <v>45841766236.126419</v>
      </c>
      <c r="M234" s="5">
        <f>IF($B233&lt;=Tabla5[[#This Row],[INVERSIONES FCI]],+Tabla5[[#This Row],[INVERSIONES FCI]]-M233,Tabla5[[#This Row],[INVERSIONES FCI]])</f>
        <v>45841766236.126419</v>
      </c>
      <c r="N234" s="5">
        <f>IF($B233&lt;=Tabla5[[#This Row],[INVERSIONES FCI]],+Tabla5[[#This Row],[INVERSIONES FCI]]-N233,Tabla5[[#This Row],[INVERSIONES FCI]])</f>
        <v>45841766236.126419</v>
      </c>
      <c r="O234" s="5">
        <f>IF($B233&lt;=Tabla5[[#This Row],[INVERSIONES FCI]],+Tabla5[[#This Row],[INVERSIONES FCI]]-O233,Tabla5[[#This Row],[INVERSIONES FCI]])</f>
        <v>45841766236.126419</v>
      </c>
      <c r="P234" s="5">
        <f>IF($B233&lt;=Tabla5[[#This Row],[INVERSIONES FCI]],+Tabla5[[#This Row],[INVERSIONES FCI]]-P233,Tabla5[[#This Row],[INVERSIONES FCI]])</f>
        <v>45841766236.126419</v>
      </c>
      <c r="Q234" s="5">
        <f>IF($B233&lt;=Tabla5[[#This Row],[INVERSIONES FCI]],+Tabla5[[#This Row],[INVERSIONES FCI]]-Q233,Tabla5[[#This Row],[INVERSIONES FCI]])</f>
        <v>45841766236.126419</v>
      </c>
      <c r="R234" s="5">
        <f>IF($B233&lt;=Tabla5[[#This Row],[INVERSIONES FCI]],+Tabla5[[#This Row],[INVERSIONES FCI]]-R233,Tabla5[[#This Row],[INVERSIONES FCI]])</f>
        <v>45841766236.126419</v>
      </c>
      <c r="S234" s="5">
        <f>IF($B233&lt;=Tabla5[[#This Row],[INVERSIONES FCI]],+Tabla5[[#This Row],[INVERSIONES FCI]]-S233,Tabla5[[#This Row],[INVERSIONES FCI]])</f>
        <v>45841766236.126419</v>
      </c>
      <c r="T234" s="5">
        <f>IF($B233&lt;=Tabla5[[#This Row],[INVERSIONES FCI]],+Tabla5[[#This Row],[INVERSIONES FCI]]-T233,Tabla5[[#This Row],[INVERSIONES FCI]])</f>
        <v>45841766236.126419</v>
      </c>
      <c r="U234" s="5">
        <f>IF($B233&lt;=Tabla5[[#This Row],[INVERSIONES FCI]],+Tabla5[[#This Row],[INVERSIONES FCI]]-U233,Tabla5[[#This Row],[INVERSIONES FCI]])</f>
        <v>45841766236.126419</v>
      </c>
      <c r="V234" s="5">
        <f>IF($B233&lt;=Tabla5[[#This Row],[INVERSIONES FCI]],+Tabla5[[#This Row],[INVERSIONES FCI]]-V233,Tabla5[[#This Row],[INVERSIONES FCI]])</f>
        <v>45841766236.126419</v>
      </c>
      <c r="W234" s="5">
        <f>IF($B233&lt;=Tabla5[[#This Row],[INVERSIONES FCI]],+Tabla5[[#This Row],[INVERSIONES FCI]]-W233,Tabla5[[#This Row],[INVERSIONES FCI]])</f>
        <v>45841766236.126419</v>
      </c>
      <c r="X234" s="5">
        <f>IF($B233&lt;=Tabla5[[#This Row],[INVERSIONES FCI]],+Tabla5[[#This Row],[INVERSIONES FCI]]-X233,Tabla5[[#This Row],[INVERSIONES FCI]])</f>
        <v>45841766236.126419</v>
      </c>
      <c r="Y234" s="5">
        <f>IF($B233&lt;=Tabla5[[#This Row],[INVERSIONES FCI]],+Tabla5[[#This Row],[INVERSIONES FCI]]-Y233,Tabla5[[#This Row],[INVERSIONES FCI]])</f>
        <v>45841766236.126419</v>
      </c>
      <c r="Z234" s="5">
        <f>IF($B233&lt;=Tabla5[[#This Row],[INVERSIONES FCI]],+Tabla5[[#This Row],[INVERSIONES FCI]]-Z233,Tabla5[[#This Row],[INVERSIONES FCI]])</f>
        <v>45841766236.126419</v>
      </c>
      <c r="AA234" s="5">
        <f>IF($B233&lt;=Tabla5[[#This Row],[INVERSIONES FCI]],+Tabla5[[#This Row],[INVERSIONES FCI]]-AA233,Tabla5[[#This Row],[INVERSIONES FCI]])</f>
        <v>45841766236.126419</v>
      </c>
      <c r="AB234" s="5">
        <f>IF($B233&lt;=Tabla5[[#This Row],[INVERSIONES FCI]],+Tabla5[[#This Row],[INVERSIONES FCI]]-AB233,Tabla5[[#This Row],[INVERSIONES FCI]])</f>
        <v>45841766236.126419</v>
      </c>
      <c r="AC234" s="5">
        <f>IF($B233&lt;=Tabla5[[#This Row],[INVERSIONES FCI]],+Tabla5[[#This Row],[INVERSIONES FCI]]-AC233,Tabla5[[#This Row],[INVERSIONES FCI]])</f>
        <v>45841766236.126419</v>
      </c>
      <c r="AD234" s="5">
        <f>IF($B233&lt;=Tabla5[[#This Row],[INVERSIONES FCI]],+Tabla5[[#This Row],[INVERSIONES FCI]]-AD233,Tabla5[[#This Row],[INVERSIONES FCI]])</f>
        <v>45841766236.126419</v>
      </c>
      <c r="AE234" s="5">
        <f>IF($B233&lt;=Tabla5[[#This Row],[INVERSIONES FCI]],+Tabla5[[#This Row],[INVERSIONES FCI]]-AE233,Tabla5[[#This Row],[INVERSIONES FCI]])</f>
        <v>45841766236.126419</v>
      </c>
      <c r="AF234" s="5">
        <f>IF($B233&lt;=Tabla5[[#This Row],[INVERSIONES FCI]],+Tabla5[[#This Row],[INVERSIONES FCI]]-AF233,Tabla5[[#This Row],[INVERSIONES FCI]])</f>
        <v>45841766236.126419</v>
      </c>
      <c r="AG234" s="5">
        <f>IF($B233&lt;=Tabla5[[#This Row],[INVERSIONES FCI]],+Tabla5[[#This Row],[INVERSIONES FCI]]-AG233,Tabla5[[#This Row],[INVERSIONES FCI]])</f>
        <v>45841766236.126419</v>
      </c>
      <c r="AH234" s="5">
        <f>IF($B233&lt;=Tabla5[[#This Row],[INVERSIONES FCI]],+Tabla5[[#This Row],[INVERSIONES FCI]]-AH233,Tabla5[[#This Row],[INVERSIONES FCI]])</f>
        <v>45841766236.126419</v>
      </c>
      <c r="AI234" s="5">
        <f>IF($B233&lt;=Tabla5[[#This Row],[INVERSIONES FCI]],+Tabla5[[#This Row],[INVERSIONES FCI]]-AI233,Tabla5[[#This Row],[INVERSIONES FCI]])</f>
        <v>45841766236.126419</v>
      </c>
      <c r="AJ234" s="5">
        <f>IF($B233&lt;=Tabla5[[#This Row],[INVERSIONES FCI]],+Tabla5[[#This Row],[INVERSIONES FCI]]-AJ233,Tabla5[[#This Row],[INVERSIONES FCI]])</f>
        <v>45841766236.126419</v>
      </c>
      <c r="AK234" s="5">
        <f>IF($B233&lt;=Tabla5[[#This Row],[INVERSIONES FCI]],+Tabla5[[#This Row],[INVERSIONES FCI]]-AK233,Tabla5[[#This Row],[INVERSIONES FCI]])</f>
        <v>45841766236.126419</v>
      </c>
      <c r="AL234" s="5">
        <f>IF($B233&lt;=Tabla5[[#This Row],[INVERSIONES FCI]],+Tabla5[[#This Row],[INVERSIONES FCI]]-AL233,Tabla5[[#This Row],[INVERSIONES FCI]])</f>
        <v>45841766236.126419</v>
      </c>
      <c r="AM234" s="5">
        <f>IF($B233&lt;=Tabla5[[#This Row],[INVERSIONES FCI]],+Tabla5[[#This Row],[INVERSIONES FCI]]-AM233,Tabla5[[#This Row],[INVERSIONES FCI]])</f>
        <v>45841766236.126419</v>
      </c>
      <c r="AN234" s="5">
        <f>IF($B233&lt;=Tabla5[[#This Row],[INVERSIONES FCI]],+Tabla5[[#This Row],[INVERSIONES FCI]]-AN233,Tabla5[[#This Row],[INVERSIONES FCI]])</f>
        <v>45841766236.126419</v>
      </c>
      <c r="AO234" s="5">
        <f>IF($B233&lt;=Tabla5[[#This Row],[INVERSIONES FCI]],+Tabla5[[#This Row],[INVERSIONES FCI]]-AO233,Tabla5[[#This Row],[INVERSIONES FCI]])</f>
        <v>45841766236.126419</v>
      </c>
      <c r="AP234" s="5">
        <f>IF($B233&lt;=Tabla5[[#This Row],[INVERSIONES FCI]],+Tabla5[[#This Row],[INVERSIONES FCI]]-AP233,Tabla5[[#This Row],[INVERSIONES FCI]])</f>
        <v>45841766236.126419</v>
      </c>
      <c r="AQ234" s="5">
        <f>IF($B233&lt;=Tabla5[[#This Row],[INVERSIONES FCI]],+Tabla5[[#This Row],[INVERSIONES FCI]]-AQ233,Tabla5[[#This Row],[INVERSIONES FCI]])</f>
        <v>45841766236.126419</v>
      </c>
      <c r="AR234" s="5">
        <f>IF($B233&lt;=Tabla5[[#This Row],[INVERSIONES FCI]],+Tabla5[[#This Row],[INVERSIONES FCI]]-AR233,Tabla5[[#This Row],[INVERSIONES FCI]])</f>
        <v>45841766236.126419</v>
      </c>
      <c r="AS234" s="5">
        <f>IF($B233&lt;=Tabla5[[#This Row],[INVERSIONES FCI]],+Tabla5[[#This Row],[INVERSIONES FCI]]-AS233,Tabla5[[#This Row],[INVERSIONES FCI]])</f>
        <v>45841766236.126419</v>
      </c>
      <c r="AT234" s="5">
        <f>IF($B233&lt;=Tabla5[[#This Row],[INVERSIONES FCI]],+Tabla5[[#This Row],[INVERSIONES FCI]]-AT233,Tabla5[[#This Row],[INVERSIONES FCI]])</f>
        <v>45841766236.126419</v>
      </c>
      <c r="AU234" s="5">
        <f>IF($B233&lt;=Tabla5[[#This Row],[INVERSIONES FCI]],+Tabla5[[#This Row],[INVERSIONES FCI]]-AU233,Tabla5[[#This Row],[INVERSIONES FCI]])</f>
        <v>45841766236.126419</v>
      </c>
      <c r="AV234" s="5">
        <f>IF($B233&lt;=Tabla5[[#This Row],[INVERSIONES FCI]],+Tabla5[[#This Row],[INVERSIONES FCI]]-AV233,Tabla5[[#This Row],[INVERSIONES FCI]])</f>
        <v>45841766236.126419</v>
      </c>
      <c r="AW234" s="5">
        <f>IF($B233&lt;=Tabla5[[#This Row],[INVERSIONES FCI]],+Tabla5[[#This Row],[INVERSIONES FCI]]-AW233,Tabla5[[#This Row],[INVERSIONES FCI]])</f>
        <v>45841766236.126419</v>
      </c>
      <c r="AX234" s="5">
        <f>IF($B233&lt;=Tabla5[[#This Row],[INVERSIONES FCI]],+Tabla5[[#This Row],[INVERSIONES FCI]]-AX233,Tabla5[[#This Row],[INVERSIONES FCI]])</f>
        <v>45841766236.126419</v>
      </c>
      <c r="AY234" s="5">
        <f>IF($B233&lt;=Tabla5[[#This Row],[INVERSIONES FCI]],+Tabla5[[#This Row],[INVERSIONES FCI]]-AY233,Tabla5[[#This Row],[INVERSIONES FCI]])</f>
        <v>45841766236.126419</v>
      </c>
      <c r="AZ234" s="5">
        <f>IF($B233&lt;=Tabla5[[#This Row],[INVERSIONES FCI]],+Tabla5[[#This Row],[INVERSIONES FCI]]-AZ233,Tabla5[[#This Row],[INVERSIONES FCI]])</f>
        <v>45841766236.126419</v>
      </c>
      <c r="BA234" s="5">
        <f>IF($B233&lt;=Tabla5[[#This Row],[INVERSIONES FCI]],+Tabla5[[#This Row],[INVERSIONES FCI]]-BA233,Tabla5[[#This Row],[INVERSIONES FCI]])</f>
        <v>45841766236.126419</v>
      </c>
      <c r="BB234" s="5">
        <f>IF($B233&lt;=Tabla5[[#This Row],[INVERSIONES FCI]],+Tabla5[[#This Row],[INVERSIONES FCI]]-BB233,Tabla5[[#This Row],[INVERSIONES FCI]])</f>
        <v>45841766236.126419</v>
      </c>
      <c r="BC234" s="5">
        <f>IF($B233&lt;=Tabla5[[#This Row],[INVERSIONES FCI]],+Tabla5[[#This Row],[INVERSIONES FCI]]-BC233,Tabla5[[#This Row],[INVERSIONES FCI]])</f>
        <v>45841766236.126419</v>
      </c>
      <c r="BD234" s="5">
        <f>IF($B233&lt;=Tabla5[[#This Row],[INVERSIONES FCI]],+Tabla5[[#This Row],[INVERSIONES FCI]]-BD233,Tabla5[[#This Row],[INVERSIONES FCI]])</f>
        <v>45841766236.126419</v>
      </c>
      <c r="BE234" s="5">
        <f>IF($B233&lt;=Tabla5[[#This Row],[INVERSIONES FCI]],+Tabla5[[#This Row],[INVERSIONES FCI]]-BE233,Tabla5[[#This Row],[INVERSIONES FCI]])</f>
        <v>45841766236.126419</v>
      </c>
      <c r="BF234" s="5">
        <f>IF($B233&lt;=Tabla5[[#This Row],[INVERSIONES FCI]],+Tabla5[[#This Row],[INVERSIONES FCI]]-BF233,Tabla5[[#This Row],[INVERSIONES FCI]])</f>
        <v>45841766236.126419</v>
      </c>
      <c r="BG234" s="5">
        <f>IF($B233&lt;=Tabla5[[#This Row],[INVERSIONES FCI]],+Tabla5[[#This Row],[INVERSIONES FCI]]-BG233,Tabla5[[#This Row],[INVERSIONES FCI]])</f>
        <v>45841766236.126419</v>
      </c>
      <c r="BH234" s="5">
        <f>IF($B233&lt;=Tabla5[[#This Row],[INVERSIONES FCI]],+Tabla5[[#This Row],[INVERSIONES FCI]]-BH233,Tabla5[[#This Row],[INVERSIONES FCI]])</f>
        <v>45841766236.126419</v>
      </c>
      <c r="BI234" s="5">
        <f>IF($B233&lt;=Tabla5[[#This Row],[INVERSIONES FCI]],+Tabla5[[#This Row],[INVERSIONES FCI]]-BI233,Tabla5[[#This Row],[INVERSIONES FCI]])</f>
        <v>45841766236.126419</v>
      </c>
      <c r="BJ234" s="5">
        <f>IF($B233&lt;=Tabla5[[#This Row],[INVERSIONES FCI]],+Tabla5[[#This Row],[INVERSIONES FCI]]-BJ233,Tabla5[[#This Row],[INVERSIONES FCI]])</f>
        <v>45841766236.126419</v>
      </c>
      <c r="BK234" s="5">
        <f>IF($B233&lt;=Tabla5[[#This Row],[INVERSIONES FCI]],+Tabla5[[#This Row],[INVERSIONES FCI]]-BK233,Tabla5[[#This Row],[INVERSIONES FCI]])</f>
        <v>45841766236.126419</v>
      </c>
      <c r="BL234" s="5">
        <f>IF($B233&lt;=Tabla5[[#This Row],[INVERSIONES FCI]],+Tabla5[[#This Row],[INVERSIONES FCI]]-BL233,Tabla5[[#This Row],[INVERSIONES FCI]])</f>
        <v>45841766236.126419</v>
      </c>
      <c r="BM234" s="5">
        <f>IF($B233&lt;=Tabla5[[#This Row],[INVERSIONES FCI]],+Tabla5[[#This Row],[INVERSIONES FCI]]-BM233,Tabla5[[#This Row],[INVERSIONES FCI]])</f>
        <v>45841766236.126419</v>
      </c>
      <c r="BN234" s="5">
        <f>IF($B233&lt;=Tabla5[[#This Row],[INVERSIONES FCI]],+Tabla5[[#This Row],[INVERSIONES FCI]]-BN233,Tabla5[[#This Row],[INVERSIONES FCI]])</f>
        <v>45841766236.126419</v>
      </c>
      <c r="BO234" s="5">
        <f>IF($B233&lt;=Tabla5[[#This Row],[INVERSIONES FCI]],+Tabla5[[#This Row],[INVERSIONES FCI]]-BO233,Tabla5[[#This Row],[INVERSIONES FCI]])</f>
        <v>45841766236.126419</v>
      </c>
      <c r="BP234" s="5">
        <f>IF($B233&lt;=Tabla5[[#This Row],[INVERSIONES FCI]],+Tabla5[[#This Row],[INVERSIONES FCI]]-BP233,Tabla5[[#This Row],[INVERSIONES FCI]])</f>
        <v>45841766236.126419</v>
      </c>
      <c r="BQ234" s="5">
        <f>IF($B233&lt;=Tabla5[[#This Row],[INVERSIONES FCI]],+Tabla5[[#This Row],[INVERSIONES FCI]]-BQ233,Tabla5[[#This Row],[INVERSIONES FCI]])</f>
        <v>45841766236.126419</v>
      </c>
      <c r="BR234" s="5">
        <f>IF($B233&lt;=Tabla5[[#This Row],[INVERSIONES FCI]],+Tabla5[[#This Row],[INVERSIONES FCI]]-BR233,Tabla5[[#This Row],[INVERSIONES FCI]])</f>
        <v>45841766236.126419</v>
      </c>
      <c r="BS234" s="5">
        <f>IF($B233&lt;=Tabla5[[#This Row],[INVERSIONES FCI]],+Tabla5[[#This Row],[INVERSIONES FCI]]-BS233,Tabla5[[#This Row],[INVERSIONES FCI]])</f>
        <v>45841766236.126419</v>
      </c>
      <c r="BT234" s="5">
        <f>IF($B233&lt;=Tabla5[[#This Row],[INVERSIONES FCI]],+Tabla5[[#This Row],[INVERSIONES FCI]]-BT233,Tabla5[[#This Row],[INVERSIONES FCI]])</f>
        <v>45841766236.126419</v>
      </c>
      <c r="BU234" s="5">
        <f>IF($B233&lt;=Tabla5[[#This Row],[INVERSIONES FCI]],+Tabla5[[#This Row],[INVERSIONES FCI]]-BU233,Tabla5[[#This Row],[INVERSIONES FCI]])</f>
        <v>45841766236.126419</v>
      </c>
      <c r="BV234" s="5">
        <f>IF($B233&lt;=Tabla5[[#This Row],[INVERSIONES FCI]],+Tabla5[[#This Row],[INVERSIONES FCI]]-BV233,Tabla5[[#This Row],[INVERSIONES FCI]])</f>
        <v>45841766236.126419</v>
      </c>
      <c r="BW234" s="5">
        <f>IF($B233&lt;=Tabla5[[#This Row],[INVERSIONES FCI]],+Tabla5[[#This Row],[INVERSIONES FCI]]-BW233,Tabla5[[#This Row],[INVERSIONES FCI]])</f>
        <v>45841766236.126419</v>
      </c>
      <c r="BX234" s="5">
        <f>IF($B233&lt;=Tabla5[[#This Row],[INVERSIONES FCI]],+Tabla5[[#This Row],[INVERSIONES FCI]]-BX233,Tabla5[[#This Row],[INVERSIONES FCI]])</f>
        <v>45841766236.126419</v>
      </c>
      <c r="BY234" s="5">
        <f>IF($B233&lt;=Tabla5[[#This Row],[INVERSIONES FCI]],+Tabla5[[#This Row],[INVERSIONES FCI]]-BY233,Tabla5[[#This Row],[INVERSIONES FCI]])</f>
        <v>45841766236.126419</v>
      </c>
      <c r="BZ234" s="5">
        <f>IF($B233&lt;=Tabla5[[#This Row],[INVERSIONES FCI]],+Tabla5[[#This Row],[INVERSIONES FCI]]-BZ233,Tabla5[[#This Row],[INVERSIONES FCI]])</f>
        <v>45841766236.126419</v>
      </c>
      <c r="CA234" s="5">
        <f>IF($B233&lt;=Tabla5[[#This Row],[INVERSIONES FCI]],+Tabla5[[#This Row],[INVERSIONES FCI]]-CA233,Tabla5[[#This Row],[INVERSIONES FCI]])</f>
        <v>45841766236.126419</v>
      </c>
      <c r="CB234" s="5">
        <f>IF($B233&lt;=Tabla5[[#This Row],[INVERSIONES FCI]],+Tabla5[[#This Row],[INVERSIONES FCI]]-CB233,Tabla5[[#This Row],[INVERSIONES FCI]])</f>
        <v>45841766236.126419</v>
      </c>
      <c r="CC234" s="5">
        <f>IF($B233&lt;=Tabla5[[#This Row],[INVERSIONES FCI]],+Tabla5[[#This Row],[INVERSIONES FCI]]-CC233,Tabla5[[#This Row],[INVERSIONES FCI]])</f>
        <v>45841766236.126419</v>
      </c>
      <c r="CD234" s="5">
        <f>IF($B233&lt;=Tabla5[[#This Row],[INVERSIONES FCI]],+Tabla5[[#This Row],[INVERSIONES FCI]]-CD233,Tabla5[[#This Row],[INVERSIONES FCI]])</f>
        <v>45841766236.126419</v>
      </c>
      <c r="CE234" s="5">
        <f>IF($B233&lt;=Tabla5[[#This Row],[INVERSIONES FCI]],+Tabla5[[#This Row],[INVERSIONES FCI]]-CE233,Tabla5[[#This Row],[INVERSIONES FCI]])</f>
        <v>45841766236.126419</v>
      </c>
      <c r="CF234" s="5">
        <f>IF($B233&lt;=Tabla5[[#This Row],[INVERSIONES FCI]],+Tabla5[[#This Row],[INVERSIONES FCI]]-CF233,Tabla5[[#This Row],[INVERSIONES FCI]])</f>
        <v>45841766236.126419</v>
      </c>
      <c r="CG234" s="5">
        <f>IF($B233&lt;=Tabla5[[#This Row],[INVERSIONES FCI]],+Tabla5[[#This Row],[INVERSIONES FCI]]-CG233,Tabla5[[#This Row],[INVERSIONES FCI]])</f>
        <v>45841766236.126419</v>
      </c>
      <c r="CH234" s="5">
        <f>IF($B233&lt;=Tabla5[[#This Row],[INVERSIONES FCI]],+Tabla5[[#This Row],[INVERSIONES FCI]]-CH233,Tabla5[[#This Row],[INVERSIONES FCI]])</f>
        <v>45841766236.126419</v>
      </c>
      <c r="CI234" s="5">
        <f>IF($B233&lt;=Tabla5[[#This Row],[INVERSIONES FCI]],+Tabla5[[#This Row],[INVERSIONES FCI]]-CI233,Tabla5[[#This Row],[INVERSIONES FCI]])</f>
        <v>45841766236.126419</v>
      </c>
      <c r="CJ234" s="5">
        <f>IF($B233&lt;=Tabla5[[#This Row],[INVERSIONES FCI]],+Tabla5[[#This Row],[INVERSIONES FCI]]-CJ233,Tabla5[[#This Row],[INVERSIONES FCI]])</f>
        <v>45841766236.126419</v>
      </c>
      <c r="CK234" s="5">
        <f>IF($B233&lt;=Tabla5[[#This Row],[INVERSIONES FCI]],+Tabla5[[#This Row],[INVERSIONES FCI]]-CK233,Tabla5[[#This Row],[INVERSIONES FCI]])</f>
        <v>45841766236.126419</v>
      </c>
      <c r="CL234" s="5">
        <f>IF($B233&lt;=Tabla5[[#This Row],[INVERSIONES FCI]],+Tabla5[[#This Row],[INVERSIONES FCI]]-CL233,Tabla5[[#This Row],[INVERSIONES FCI]])</f>
        <v>45841766236.126419</v>
      </c>
      <c r="CM234" s="5">
        <f>IF($B233&lt;=Tabla5[[#This Row],[INVERSIONES FCI]],+Tabla5[[#This Row],[INVERSIONES FCI]]-CM233,Tabla5[[#This Row],[INVERSIONES FCI]])</f>
        <v>45841766236.126419</v>
      </c>
      <c r="CN234" s="5">
        <f>IF($B233&lt;=Tabla5[[#This Row],[INVERSIONES FCI]],+Tabla5[[#This Row],[INVERSIONES FCI]]-CN233,Tabla5[[#This Row],[INVERSIONES FCI]])</f>
        <v>45841766236.126419</v>
      </c>
      <c r="CO234" s="5">
        <f>IF($B233&lt;=Tabla5[[#This Row],[INVERSIONES FCI]],+Tabla5[[#This Row],[INVERSIONES FCI]]-CO233,Tabla5[[#This Row],[INVERSIONES FCI]])</f>
        <v>45841766236.126419</v>
      </c>
      <c r="CP234" s="5">
        <f>IF($B233&lt;=Tabla5[[#This Row],[INVERSIONES FCI]],+Tabla5[[#This Row],[INVERSIONES FCI]]-CP233,Tabla5[[#This Row],[INVERSIONES FCI]])</f>
        <v>45841766236.126419</v>
      </c>
      <c r="CQ234" s="5">
        <f>IF($B233&lt;=Tabla5[[#This Row],[INVERSIONES FCI]],+Tabla5[[#This Row],[INVERSIONES FCI]]-CQ233,Tabla5[[#This Row],[INVERSIONES FCI]])</f>
        <v>45841766236.126419</v>
      </c>
      <c r="CR234" s="5">
        <f>IF($B233&lt;=Tabla5[[#This Row],[INVERSIONES FCI]],+Tabla5[[#This Row],[INVERSIONES FCI]]-CR233,Tabla5[[#This Row],[INVERSIONES FCI]])</f>
        <v>45841766236.126419</v>
      </c>
      <c r="CS234" s="5">
        <f>IF($B233&lt;=Tabla5[[#This Row],[INVERSIONES FCI]],+Tabla5[[#This Row],[INVERSIONES FCI]]-CS233,Tabla5[[#This Row],[INVERSIONES FCI]])</f>
        <v>45841766236.126419</v>
      </c>
      <c r="CT234" s="5">
        <f>IF($B233&lt;=Tabla5[[#This Row],[INVERSIONES FCI]],+Tabla5[[#This Row],[INVERSIONES FCI]]-CT233,Tabla5[[#This Row],[INVERSIONES FCI]])</f>
        <v>45841766236.126419</v>
      </c>
      <c r="CU234" s="5">
        <f>IF($B233&lt;=Tabla5[[#This Row],[INVERSIONES FCI]],+Tabla5[[#This Row],[INVERSIONES FCI]]-CU233,Tabla5[[#This Row],[INVERSIONES FCI]])</f>
        <v>45841766236.126419</v>
      </c>
      <c r="CV234" s="5">
        <f>IF($B233&lt;=Tabla5[[#This Row],[INVERSIONES FCI]],+Tabla5[[#This Row],[INVERSIONES FCI]]-CV233,Tabla5[[#This Row],[INVERSIONES FCI]])</f>
        <v>45841766236.126419</v>
      </c>
      <c r="CW234" s="5">
        <f>IF($B233&lt;=Tabla5[[#This Row],[INVERSIONES FCI]],+Tabla5[[#This Row],[INVERSIONES FCI]]-CW233,Tabla5[[#This Row],[INVERSIONES FCI]])</f>
        <v>45841766236.126419</v>
      </c>
      <c r="CX234" s="5">
        <f>IF($B233&lt;=Tabla5[[#This Row],[INVERSIONES FCI]],+Tabla5[[#This Row],[INVERSIONES FCI]]-CX233,Tabla5[[#This Row],[INVERSIONES FCI]])</f>
        <v>45841766236.126419</v>
      </c>
      <c r="CY234" s="5">
        <f>IF($B233&lt;=Tabla5[[#This Row],[INVERSIONES FCI]],+Tabla5[[#This Row],[INVERSIONES FCI]]-CY233,Tabla5[[#This Row],[INVERSIONES FCI]])</f>
        <v>45841766236.126419</v>
      </c>
      <c r="CZ234" s="5">
        <f>IF($B233&lt;=Tabla5[[#This Row],[INVERSIONES FCI]],+Tabla5[[#This Row],[INVERSIONES FCI]]-CZ233,Tabla5[[#This Row],[INVERSIONES FCI]])</f>
        <v>45841766236.126419</v>
      </c>
      <c r="DA234" s="5">
        <f>IF($B233&lt;=Tabla5[[#This Row],[INVERSIONES FCI]],+Tabla5[[#This Row],[INVERSIONES FCI]]-DA233,Tabla5[[#This Row],[INVERSIONES FCI]])</f>
        <v>45841766236.126419</v>
      </c>
      <c r="DB234" s="5">
        <f>IF($B233&lt;=Tabla5[[#This Row],[INVERSIONES FCI]],+Tabla5[[#This Row],[INVERSIONES FCI]]-DB233,Tabla5[[#This Row],[INVERSIONES FCI]])</f>
        <v>45841766236.126419</v>
      </c>
      <c r="DC234" s="5">
        <f>IF($B233&lt;=Tabla5[[#This Row],[INVERSIONES FCI]],+Tabla5[[#This Row],[INVERSIONES FCI]]-DC233,Tabla5[[#This Row],[INVERSIONES FCI]])</f>
        <v>45841766236.126419</v>
      </c>
      <c r="DD234" s="5">
        <f>IF($B233&lt;=Tabla5[[#This Row],[INVERSIONES FCI]],+Tabla5[[#This Row],[INVERSIONES FCI]]-DD233,Tabla5[[#This Row],[INVERSIONES FCI]])</f>
        <v>45841766236.126419</v>
      </c>
      <c r="DE234" s="5">
        <f>IF($B233&lt;=Tabla5[[#This Row],[INVERSIONES FCI]],+Tabla5[[#This Row],[INVERSIONES FCI]]-DE233,Tabla5[[#This Row],[INVERSIONES FCI]])</f>
        <v>45841766236.126419</v>
      </c>
      <c r="DF234" s="5">
        <f>IF($B233&lt;=Tabla5[[#This Row],[INVERSIONES FCI]],+Tabla5[[#This Row],[INVERSIONES FCI]]-DF233,Tabla5[[#This Row],[INVERSIONES FCI]])</f>
        <v>45841766236.126419</v>
      </c>
      <c r="DG234" s="5">
        <f>IF($B233&lt;=Tabla5[[#This Row],[INVERSIONES FCI]],+Tabla5[[#This Row],[INVERSIONES FCI]]-DG233,Tabla5[[#This Row],[INVERSIONES FCI]])</f>
        <v>45841766236.126419</v>
      </c>
      <c r="DH234" s="5">
        <f>IF($B233&lt;=Tabla5[[#This Row],[INVERSIONES FCI]],+Tabla5[[#This Row],[INVERSIONES FCI]]-DH233,Tabla5[[#This Row],[INVERSIONES FCI]])</f>
        <v>45841766236.126419</v>
      </c>
      <c r="DI234" s="5">
        <f>IF($B233&lt;=Tabla5[[#This Row],[INVERSIONES FCI]],+Tabla5[[#This Row],[INVERSIONES FCI]]-DI233,Tabla5[[#This Row],[INVERSIONES FCI]])</f>
        <v>45841766236.126419</v>
      </c>
      <c r="DJ234" s="5">
        <f>IF($B233&lt;=Tabla5[[#This Row],[INVERSIONES FCI]],+Tabla5[[#This Row],[INVERSIONES FCI]]-DJ233,Tabla5[[#This Row],[INVERSIONES FCI]])</f>
        <v>45841766236.126419</v>
      </c>
      <c r="DK234" s="5">
        <f>IF($B233&lt;=Tabla5[[#This Row],[INVERSIONES FCI]],+Tabla5[[#This Row],[INVERSIONES FCI]]-DK233,Tabla5[[#This Row],[INVERSIONES FCI]])</f>
        <v>45841766236.126419</v>
      </c>
      <c r="DL234" s="5"/>
      <c r="DM234" s="5"/>
      <c r="DN234" s="5"/>
      <c r="DO234" s="5"/>
      <c r="DP234" s="5"/>
      <c r="DQ234" s="5"/>
    </row>
    <row r="235" spans="1:121" ht="14.4">
      <c r="A235" s="12" t="s">
        <v>234</v>
      </c>
      <c r="B235" s="5">
        <f>HLOOKUP($A235,ESCENARIO[#All],7,FALSE)</f>
        <v>46778914661.00386</v>
      </c>
      <c r="C235" s="5">
        <f>IF($B234&lt;=Tabla5[[#This Row],[INVERSIONES FCI]],+Tabla5[[#This Row],[INVERSIONES FCI]]-C234,Tabla5[[#This Row],[INVERSIONES FCI]])</f>
        <v>46778914661.00386</v>
      </c>
      <c r="D235" s="5">
        <f>IF($B234&lt;=Tabla5[[#This Row],[INVERSIONES FCI]],+Tabla5[[#This Row],[INVERSIONES FCI]]-D234,Tabla5[[#This Row],[INVERSIONES FCI]])</f>
        <v>46778914661.00386</v>
      </c>
      <c r="E235" s="5">
        <f>IF($B234&lt;=Tabla5[[#This Row],[INVERSIONES FCI]],+Tabla5[[#This Row],[INVERSIONES FCI]]-E234,Tabla5[[#This Row],[INVERSIONES FCI]])</f>
        <v>46778914661.00386</v>
      </c>
      <c r="F235" s="5">
        <f>IF($B234&lt;=Tabla5[[#This Row],[INVERSIONES FCI]],+Tabla5[[#This Row],[INVERSIONES FCI]]-F234,Tabla5[[#This Row],[INVERSIONES FCI]])</f>
        <v>46778914661.00386</v>
      </c>
      <c r="G235" s="5">
        <f>IF($B234&lt;=Tabla5[[#This Row],[INVERSIONES FCI]],+Tabla5[[#This Row],[INVERSIONES FCI]]-G234,Tabla5[[#This Row],[INVERSIONES FCI]])</f>
        <v>46778914661.00386</v>
      </c>
      <c r="H235" s="5">
        <f>IF($B234&lt;=Tabla5[[#This Row],[INVERSIONES FCI]],+Tabla5[[#This Row],[INVERSIONES FCI]]-H234,Tabla5[[#This Row],[INVERSIONES FCI]])</f>
        <v>46778914661.00386</v>
      </c>
      <c r="I235" s="5">
        <f>IF($B234&lt;=Tabla5[[#This Row],[INVERSIONES FCI]],+Tabla5[[#This Row],[INVERSIONES FCI]]-I234,Tabla5[[#This Row],[INVERSIONES FCI]])</f>
        <v>46778914661.00386</v>
      </c>
      <c r="J235" s="5">
        <f>IF($B234&lt;=Tabla5[[#This Row],[INVERSIONES FCI]],+Tabla5[[#This Row],[INVERSIONES FCI]]-J234,Tabla5[[#This Row],[INVERSIONES FCI]])</f>
        <v>46778914661.00386</v>
      </c>
      <c r="K235" s="5">
        <f>IF($B234&lt;=Tabla5[[#This Row],[INVERSIONES FCI]],+Tabla5[[#This Row],[INVERSIONES FCI]]-K234,Tabla5[[#This Row],[INVERSIONES FCI]])</f>
        <v>46778914661.00386</v>
      </c>
      <c r="L235" s="5">
        <f>IF($B234&lt;=Tabla5[[#This Row],[INVERSIONES FCI]],+Tabla5[[#This Row],[INVERSIONES FCI]]-L234,Tabla5[[#This Row],[INVERSIONES FCI]])</f>
        <v>46778914661.00386</v>
      </c>
      <c r="M235" s="5">
        <f>IF($B234&lt;=Tabla5[[#This Row],[INVERSIONES FCI]],+Tabla5[[#This Row],[INVERSIONES FCI]]-M234,Tabla5[[#This Row],[INVERSIONES FCI]])</f>
        <v>46778914661.00386</v>
      </c>
      <c r="N235" s="5">
        <f>IF($B234&lt;=Tabla5[[#This Row],[INVERSIONES FCI]],+Tabla5[[#This Row],[INVERSIONES FCI]]-N234,Tabla5[[#This Row],[INVERSIONES FCI]])</f>
        <v>46778914661.00386</v>
      </c>
      <c r="O235" s="5">
        <f>IF($B234&lt;=Tabla5[[#This Row],[INVERSIONES FCI]],+Tabla5[[#This Row],[INVERSIONES FCI]]-O234,Tabla5[[#This Row],[INVERSIONES FCI]])</f>
        <v>46778914661.00386</v>
      </c>
      <c r="P235" s="5">
        <f>IF($B234&lt;=Tabla5[[#This Row],[INVERSIONES FCI]],+Tabla5[[#This Row],[INVERSIONES FCI]]-P234,Tabla5[[#This Row],[INVERSIONES FCI]])</f>
        <v>46778914661.00386</v>
      </c>
      <c r="Q235" s="5">
        <f>IF($B234&lt;=Tabla5[[#This Row],[INVERSIONES FCI]],+Tabla5[[#This Row],[INVERSIONES FCI]]-Q234,Tabla5[[#This Row],[INVERSIONES FCI]])</f>
        <v>46778914661.00386</v>
      </c>
      <c r="R235" s="5">
        <f>IF($B234&lt;=Tabla5[[#This Row],[INVERSIONES FCI]],+Tabla5[[#This Row],[INVERSIONES FCI]]-R234,Tabla5[[#This Row],[INVERSIONES FCI]])</f>
        <v>46778914661.00386</v>
      </c>
      <c r="S235" s="5">
        <f>IF($B234&lt;=Tabla5[[#This Row],[INVERSIONES FCI]],+Tabla5[[#This Row],[INVERSIONES FCI]]-S234,Tabla5[[#This Row],[INVERSIONES FCI]])</f>
        <v>46778914661.00386</v>
      </c>
      <c r="T235" s="5">
        <f>IF($B234&lt;=Tabla5[[#This Row],[INVERSIONES FCI]],+Tabla5[[#This Row],[INVERSIONES FCI]]-T234,Tabla5[[#This Row],[INVERSIONES FCI]])</f>
        <v>46778914661.00386</v>
      </c>
      <c r="U235" s="5">
        <f>IF($B234&lt;=Tabla5[[#This Row],[INVERSIONES FCI]],+Tabla5[[#This Row],[INVERSIONES FCI]]-U234,Tabla5[[#This Row],[INVERSIONES FCI]])</f>
        <v>46778914661.00386</v>
      </c>
      <c r="V235" s="5">
        <f>IF($B234&lt;=Tabla5[[#This Row],[INVERSIONES FCI]],+Tabla5[[#This Row],[INVERSIONES FCI]]-V234,Tabla5[[#This Row],[INVERSIONES FCI]])</f>
        <v>46778914661.00386</v>
      </c>
      <c r="W235" s="5">
        <f>IF($B234&lt;=Tabla5[[#This Row],[INVERSIONES FCI]],+Tabla5[[#This Row],[INVERSIONES FCI]]-W234,Tabla5[[#This Row],[INVERSIONES FCI]])</f>
        <v>46778914661.00386</v>
      </c>
      <c r="X235" s="5">
        <f>IF($B234&lt;=Tabla5[[#This Row],[INVERSIONES FCI]],+Tabla5[[#This Row],[INVERSIONES FCI]]-X234,Tabla5[[#This Row],[INVERSIONES FCI]])</f>
        <v>46778914661.00386</v>
      </c>
      <c r="Y235" s="5">
        <f>IF($B234&lt;=Tabla5[[#This Row],[INVERSIONES FCI]],+Tabla5[[#This Row],[INVERSIONES FCI]]-Y234,Tabla5[[#This Row],[INVERSIONES FCI]])</f>
        <v>46778914661.00386</v>
      </c>
      <c r="Z235" s="5">
        <f>IF($B234&lt;=Tabla5[[#This Row],[INVERSIONES FCI]],+Tabla5[[#This Row],[INVERSIONES FCI]]-Z234,Tabla5[[#This Row],[INVERSIONES FCI]])</f>
        <v>46778914661.00386</v>
      </c>
      <c r="AA235" s="5">
        <f>IF($B234&lt;=Tabla5[[#This Row],[INVERSIONES FCI]],+Tabla5[[#This Row],[INVERSIONES FCI]]-AA234,Tabla5[[#This Row],[INVERSIONES FCI]])</f>
        <v>46778914661.00386</v>
      </c>
      <c r="AB235" s="5">
        <f>IF($B234&lt;=Tabla5[[#This Row],[INVERSIONES FCI]],+Tabla5[[#This Row],[INVERSIONES FCI]]-AB234,Tabla5[[#This Row],[INVERSIONES FCI]])</f>
        <v>46778914661.00386</v>
      </c>
      <c r="AC235" s="5">
        <f>IF($B234&lt;=Tabla5[[#This Row],[INVERSIONES FCI]],+Tabla5[[#This Row],[INVERSIONES FCI]]-AC234,Tabla5[[#This Row],[INVERSIONES FCI]])</f>
        <v>46778914661.00386</v>
      </c>
      <c r="AD235" s="5">
        <f>IF($B234&lt;=Tabla5[[#This Row],[INVERSIONES FCI]],+Tabla5[[#This Row],[INVERSIONES FCI]]-AD234,Tabla5[[#This Row],[INVERSIONES FCI]])</f>
        <v>46778914661.00386</v>
      </c>
      <c r="AE235" s="5">
        <f>IF($B234&lt;=Tabla5[[#This Row],[INVERSIONES FCI]],+Tabla5[[#This Row],[INVERSIONES FCI]]-AE234,Tabla5[[#This Row],[INVERSIONES FCI]])</f>
        <v>46778914661.00386</v>
      </c>
      <c r="AF235" s="5">
        <f>IF($B234&lt;=Tabla5[[#This Row],[INVERSIONES FCI]],+Tabla5[[#This Row],[INVERSIONES FCI]]-AF234,Tabla5[[#This Row],[INVERSIONES FCI]])</f>
        <v>46778914661.00386</v>
      </c>
      <c r="AG235" s="5">
        <f>IF($B234&lt;=Tabla5[[#This Row],[INVERSIONES FCI]],+Tabla5[[#This Row],[INVERSIONES FCI]]-AG234,Tabla5[[#This Row],[INVERSIONES FCI]])</f>
        <v>46778914661.00386</v>
      </c>
      <c r="AH235" s="5">
        <f>IF($B234&lt;=Tabla5[[#This Row],[INVERSIONES FCI]],+Tabla5[[#This Row],[INVERSIONES FCI]]-AH234,Tabla5[[#This Row],[INVERSIONES FCI]])</f>
        <v>46778914661.00386</v>
      </c>
      <c r="AI235" s="5">
        <f>IF($B234&lt;=Tabla5[[#This Row],[INVERSIONES FCI]],+Tabla5[[#This Row],[INVERSIONES FCI]]-AI234,Tabla5[[#This Row],[INVERSIONES FCI]])</f>
        <v>46778914661.00386</v>
      </c>
      <c r="AJ235" s="5">
        <f>IF($B234&lt;=Tabla5[[#This Row],[INVERSIONES FCI]],+Tabla5[[#This Row],[INVERSIONES FCI]]-AJ234,Tabla5[[#This Row],[INVERSIONES FCI]])</f>
        <v>46778914661.00386</v>
      </c>
      <c r="AK235" s="5">
        <f>IF($B234&lt;=Tabla5[[#This Row],[INVERSIONES FCI]],+Tabla5[[#This Row],[INVERSIONES FCI]]-AK234,Tabla5[[#This Row],[INVERSIONES FCI]])</f>
        <v>46778914661.00386</v>
      </c>
      <c r="AL235" s="5">
        <f>IF($B234&lt;=Tabla5[[#This Row],[INVERSIONES FCI]],+Tabla5[[#This Row],[INVERSIONES FCI]]-AL234,Tabla5[[#This Row],[INVERSIONES FCI]])</f>
        <v>46778914661.00386</v>
      </c>
      <c r="AM235" s="5">
        <f>IF($B234&lt;=Tabla5[[#This Row],[INVERSIONES FCI]],+Tabla5[[#This Row],[INVERSIONES FCI]]-AM234,Tabla5[[#This Row],[INVERSIONES FCI]])</f>
        <v>46778914661.00386</v>
      </c>
      <c r="AN235" s="5">
        <f>IF($B234&lt;=Tabla5[[#This Row],[INVERSIONES FCI]],+Tabla5[[#This Row],[INVERSIONES FCI]]-AN234,Tabla5[[#This Row],[INVERSIONES FCI]])</f>
        <v>46778914661.00386</v>
      </c>
      <c r="AO235" s="5">
        <f>IF($B234&lt;=Tabla5[[#This Row],[INVERSIONES FCI]],+Tabla5[[#This Row],[INVERSIONES FCI]]-AO234,Tabla5[[#This Row],[INVERSIONES FCI]])</f>
        <v>46778914661.00386</v>
      </c>
      <c r="AP235" s="5">
        <f>IF($B234&lt;=Tabla5[[#This Row],[INVERSIONES FCI]],+Tabla5[[#This Row],[INVERSIONES FCI]]-AP234,Tabla5[[#This Row],[INVERSIONES FCI]])</f>
        <v>46778914661.00386</v>
      </c>
      <c r="AQ235" s="5">
        <f>IF($B234&lt;=Tabla5[[#This Row],[INVERSIONES FCI]],+Tabla5[[#This Row],[INVERSIONES FCI]]-AQ234,Tabla5[[#This Row],[INVERSIONES FCI]])</f>
        <v>46778914661.00386</v>
      </c>
      <c r="AR235" s="5">
        <f>IF($B234&lt;=Tabla5[[#This Row],[INVERSIONES FCI]],+Tabla5[[#This Row],[INVERSIONES FCI]]-AR234,Tabla5[[#This Row],[INVERSIONES FCI]])</f>
        <v>46778914661.00386</v>
      </c>
      <c r="AS235" s="5">
        <f>IF($B234&lt;=Tabla5[[#This Row],[INVERSIONES FCI]],+Tabla5[[#This Row],[INVERSIONES FCI]]-AS234,Tabla5[[#This Row],[INVERSIONES FCI]])</f>
        <v>46778914661.00386</v>
      </c>
      <c r="AT235" s="5">
        <f>IF($B234&lt;=Tabla5[[#This Row],[INVERSIONES FCI]],+Tabla5[[#This Row],[INVERSIONES FCI]]-AT234,Tabla5[[#This Row],[INVERSIONES FCI]])</f>
        <v>46778914661.00386</v>
      </c>
      <c r="AU235" s="5">
        <f>IF($B234&lt;=Tabla5[[#This Row],[INVERSIONES FCI]],+Tabla5[[#This Row],[INVERSIONES FCI]]-AU234,Tabla5[[#This Row],[INVERSIONES FCI]])</f>
        <v>46778914661.00386</v>
      </c>
      <c r="AV235" s="5">
        <f>IF($B234&lt;=Tabla5[[#This Row],[INVERSIONES FCI]],+Tabla5[[#This Row],[INVERSIONES FCI]]-AV234,Tabla5[[#This Row],[INVERSIONES FCI]])</f>
        <v>46778914661.00386</v>
      </c>
      <c r="AW235" s="5">
        <f>IF($B234&lt;=Tabla5[[#This Row],[INVERSIONES FCI]],+Tabla5[[#This Row],[INVERSIONES FCI]]-AW234,Tabla5[[#This Row],[INVERSIONES FCI]])</f>
        <v>46778914661.00386</v>
      </c>
      <c r="AX235" s="5">
        <f>IF($B234&lt;=Tabla5[[#This Row],[INVERSIONES FCI]],+Tabla5[[#This Row],[INVERSIONES FCI]]-AX234,Tabla5[[#This Row],[INVERSIONES FCI]])</f>
        <v>46778914661.00386</v>
      </c>
      <c r="AY235" s="5">
        <f>IF($B234&lt;=Tabla5[[#This Row],[INVERSIONES FCI]],+Tabla5[[#This Row],[INVERSIONES FCI]]-AY234,Tabla5[[#This Row],[INVERSIONES FCI]])</f>
        <v>46778914661.00386</v>
      </c>
      <c r="AZ235" s="5">
        <f>IF($B234&lt;=Tabla5[[#This Row],[INVERSIONES FCI]],+Tabla5[[#This Row],[INVERSIONES FCI]]-AZ234,Tabla5[[#This Row],[INVERSIONES FCI]])</f>
        <v>46778914661.00386</v>
      </c>
      <c r="BA235" s="5">
        <f>IF($B234&lt;=Tabla5[[#This Row],[INVERSIONES FCI]],+Tabla5[[#This Row],[INVERSIONES FCI]]-BA234,Tabla5[[#This Row],[INVERSIONES FCI]])</f>
        <v>46778914661.00386</v>
      </c>
      <c r="BB235" s="5">
        <f>IF($B234&lt;=Tabla5[[#This Row],[INVERSIONES FCI]],+Tabla5[[#This Row],[INVERSIONES FCI]]-BB234,Tabla5[[#This Row],[INVERSIONES FCI]])</f>
        <v>46778914661.00386</v>
      </c>
      <c r="BC235" s="5">
        <f>IF($B234&lt;=Tabla5[[#This Row],[INVERSIONES FCI]],+Tabla5[[#This Row],[INVERSIONES FCI]]-BC234,Tabla5[[#This Row],[INVERSIONES FCI]])</f>
        <v>46778914661.00386</v>
      </c>
      <c r="BD235" s="5">
        <f>IF($B234&lt;=Tabla5[[#This Row],[INVERSIONES FCI]],+Tabla5[[#This Row],[INVERSIONES FCI]]-BD234,Tabla5[[#This Row],[INVERSIONES FCI]])</f>
        <v>46778914661.00386</v>
      </c>
      <c r="BE235" s="5">
        <f>IF($B234&lt;=Tabla5[[#This Row],[INVERSIONES FCI]],+Tabla5[[#This Row],[INVERSIONES FCI]]-BE234,Tabla5[[#This Row],[INVERSIONES FCI]])</f>
        <v>46778914661.00386</v>
      </c>
      <c r="BF235" s="5">
        <f>IF($B234&lt;=Tabla5[[#This Row],[INVERSIONES FCI]],+Tabla5[[#This Row],[INVERSIONES FCI]]-BF234,Tabla5[[#This Row],[INVERSIONES FCI]])</f>
        <v>46778914661.00386</v>
      </c>
      <c r="BG235" s="5">
        <f>IF($B234&lt;=Tabla5[[#This Row],[INVERSIONES FCI]],+Tabla5[[#This Row],[INVERSIONES FCI]]-BG234,Tabla5[[#This Row],[INVERSIONES FCI]])</f>
        <v>46778914661.00386</v>
      </c>
      <c r="BH235" s="5">
        <f>IF($B234&lt;=Tabla5[[#This Row],[INVERSIONES FCI]],+Tabla5[[#This Row],[INVERSIONES FCI]]-BH234,Tabla5[[#This Row],[INVERSIONES FCI]])</f>
        <v>46778914661.00386</v>
      </c>
      <c r="BI235" s="5">
        <f>IF($B234&lt;=Tabla5[[#This Row],[INVERSIONES FCI]],+Tabla5[[#This Row],[INVERSIONES FCI]]-BI234,Tabla5[[#This Row],[INVERSIONES FCI]])</f>
        <v>46778914661.00386</v>
      </c>
      <c r="BJ235" s="5">
        <f>IF($B234&lt;=Tabla5[[#This Row],[INVERSIONES FCI]],+Tabla5[[#This Row],[INVERSIONES FCI]]-BJ234,Tabla5[[#This Row],[INVERSIONES FCI]])</f>
        <v>46778914661.00386</v>
      </c>
      <c r="BK235" s="5">
        <f>IF($B234&lt;=Tabla5[[#This Row],[INVERSIONES FCI]],+Tabla5[[#This Row],[INVERSIONES FCI]]-BK234,Tabla5[[#This Row],[INVERSIONES FCI]])</f>
        <v>46778914661.00386</v>
      </c>
      <c r="BL235" s="5">
        <f>IF($B234&lt;=Tabla5[[#This Row],[INVERSIONES FCI]],+Tabla5[[#This Row],[INVERSIONES FCI]]-BL234,Tabla5[[#This Row],[INVERSIONES FCI]])</f>
        <v>46778914661.00386</v>
      </c>
      <c r="BM235" s="5">
        <f>IF($B234&lt;=Tabla5[[#This Row],[INVERSIONES FCI]],+Tabla5[[#This Row],[INVERSIONES FCI]]-BM234,Tabla5[[#This Row],[INVERSIONES FCI]])</f>
        <v>46778914661.00386</v>
      </c>
      <c r="BN235" s="5">
        <f>IF($B234&lt;=Tabla5[[#This Row],[INVERSIONES FCI]],+Tabla5[[#This Row],[INVERSIONES FCI]]-BN234,Tabla5[[#This Row],[INVERSIONES FCI]])</f>
        <v>46778914661.00386</v>
      </c>
      <c r="BO235" s="5">
        <f>IF($B234&lt;=Tabla5[[#This Row],[INVERSIONES FCI]],+Tabla5[[#This Row],[INVERSIONES FCI]]-BO234,Tabla5[[#This Row],[INVERSIONES FCI]])</f>
        <v>46778914661.00386</v>
      </c>
      <c r="BP235" s="5">
        <f>IF($B234&lt;=Tabla5[[#This Row],[INVERSIONES FCI]],+Tabla5[[#This Row],[INVERSIONES FCI]]-BP234,Tabla5[[#This Row],[INVERSIONES FCI]])</f>
        <v>46778914661.00386</v>
      </c>
      <c r="BQ235" s="5">
        <f>IF($B234&lt;=Tabla5[[#This Row],[INVERSIONES FCI]],+Tabla5[[#This Row],[INVERSIONES FCI]]-BQ234,Tabla5[[#This Row],[INVERSIONES FCI]])</f>
        <v>46778914661.00386</v>
      </c>
      <c r="BR235" s="5">
        <f>IF($B234&lt;=Tabla5[[#This Row],[INVERSIONES FCI]],+Tabla5[[#This Row],[INVERSIONES FCI]]-BR234,Tabla5[[#This Row],[INVERSIONES FCI]])</f>
        <v>46778914661.00386</v>
      </c>
      <c r="BS235" s="5">
        <f>IF($B234&lt;=Tabla5[[#This Row],[INVERSIONES FCI]],+Tabla5[[#This Row],[INVERSIONES FCI]]-BS234,Tabla5[[#This Row],[INVERSIONES FCI]])</f>
        <v>46778914661.00386</v>
      </c>
      <c r="BT235" s="5">
        <f>IF($B234&lt;=Tabla5[[#This Row],[INVERSIONES FCI]],+Tabla5[[#This Row],[INVERSIONES FCI]]-BT234,Tabla5[[#This Row],[INVERSIONES FCI]])</f>
        <v>46778914661.00386</v>
      </c>
      <c r="BU235" s="5">
        <f>IF($B234&lt;=Tabla5[[#This Row],[INVERSIONES FCI]],+Tabla5[[#This Row],[INVERSIONES FCI]]-BU234,Tabla5[[#This Row],[INVERSIONES FCI]])</f>
        <v>46778914661.00386</v>
      </c>
      <c r="BV235" s="5">
        <f>IF($B234&lt;=Tabla5[[#This Row],[INVERSIONES FCI]],+Tabla5[[#This Row],[INVERSIONES FCI]]-BV234,Tabla5[[#This Row],[INVERSIONES FCI]])</f>
        <v>46778914661.00386</v>
      </c>
      <c r="BW235" s="5">
        <f>IF($B234&lt;=Tabla5[[#This Row],[INVERSIONES FCI]],+Tabla5[[#This Row],[INVERSIONES FCI]]-BW234,Tabla5[[#This Row],[INVERSIONES FCI]])</f>
        <v>46778914661.00386</v>
      </c>
      <c r="BX235" s="5">
        <f>IF($B234&lt;=Tabla5[[#This Row],[INVERSIONES FCI]],+Tabla5[[#This Row],[INVERSIONES FCI]]-BX234,Tabla5[[#This Row],[INVERSIONES FCI]])</f>
        <v>46778914661.00386</v>
      </c>
      <c r="BY235" s="5">
        <f>IF($B234&lt;=Tabla5[[#This Row],[INVERSIONES FCI]],+Tabla5[[#This Row],[INVERSIONES FCI]]-BY234,Tabla5[[#This Row],[INVERSIONES FCI]])</f>
        <v>46778914661.00386</v>
      </c>
      <c r="BZ235" s="5">
        <f>IF($B234&lt;=Tabla5[[#This Row],[INVERSIONES FCI]],+Tabla5[[#This Row],[INVERSIONES FCI]]-BZ234,Tabla5[[#This Row],[INVERSIONES FCI]])</f>
        <v>46778914661.00386</v>
      </c>
      <c r="CA235" s="5">
        <f>IF($B234&lt;=Tabla5[[#This Row],[INVERSIONES FCI]],+Tabla5[[#This Row],[INVERSIONES FCI]]-CA234,Tabla5[[#This Row],[INVERSIONES FCI]])</f>
        <v>46778914661.00386</v>
      </c>
      <c r="CB235" s="5">
        <f>IF($B234&lt;=Tabla5[[#This Row],[INVERSIONES FCI]],+Tabla5[[#This Row],[INVERSIONES FCI]]-CB234,Tabla5[[#This Row],[INVERSIONES FCI]])</f>
        <v>46778914661.00386</v>
      </c>
      <c r="CC235" s="5">
        <f>IF($B234&lt;=Tabla5[[#This Row],[INVERSIONES FCI]],+Tabla5[[#This Row],[INVERSIONES FCI]]-CC234,Tabla5[[#This Row],[INVERSIONES FCI]])</f>
        <v>46778914661.00386</v>
      </c>
      <c r="CD235" s="5">
        <f>IF($B234&lt;=Tabla5[[#This Row],[INVERSIONES FCI]],+Tabla5[[#This Row],[INVERSIONES FCI]]-CD234,Tabla5[[#This Row],[INVERSIONES FCI]])</f>
        <v>46778914661.00386</v>
      </c>
      <c r="CE235" s="5">
        <f>IF($B234&lt;=Tabla5[[#This Row],[INVERSIONES FCI]],+Tabla5[[#This Row],[INVERSIONES FCI]]-CE234,Tabla5[[#This Row],[INVERSIONES FCI]])</f>
        <v>46778914661.00386</v>
      </c>
      <c r="CF235" s="5">
        <f>IF($B234&lt;=Tabla5[[#This Row],[INVERSIONES FCI]],+Tabla5[[#This Row],[INVERSIONES FCI]]-CF234,Tabla5[[#This Row],[INVERSIONES FCI]])</f>
        <v>46778914661.00386</v>
      </c>
      <c r="CG235" s="5">
        <f>IF($B234&lt;=Tabla5[[#This Row],[INVERSIONES FCI]],+Tabla5[[#This Row],[INVERSIONES FCI]]-CG234,Tabla5[[#This Row],[INVERSIONES FCI]])</f>
        <v>46778914661.00386</v>
      </c>
      <c r="CH235" s="5">
        <f>IF($B234&lt;=Tabla5[[#This Row],[INVERSIONES FCI]],+Tabla5[[#This Row],[INVERSIONES FCI]]-CH234,Tabla5[[#This Row],[INVERSIONES FCI]])</f>
        <v>46778914661.00386</v>
      </c>
      <c r="CI235" s="5">
        <f>IF($B234&lt;=Tabla5[[#This Row],[INVERSIONES FCI]],+Tabla5[[#This Row],[INVERSIONES FCI]]-CI234,Tabla5[[#This Row],[INVERSIONES FCI]])</f>
        <v>46778914661.00386</v>
      </c>
      <c r="CJ235" s="5">
        <f>IF($B234&lt;=Tabla5[[#This Row],[INVERSIONES FCI]],+Tabla5[[#This Row],[INVERSIONES FCI]]-CJ234,Tabla5[[#This Row],[INVERSIONES FCI]])</f>
        <v>46778914661.00386</v>
      </c>
      <c r="CK235" s="5">
        <f>IF($B234&lt;=Tabla5[[#This Row],[INVERSIONES FCI]],+Tabla5[[#This Row],[INVERSIONES FCI]]-CK234,Tabla5[[#This Row],[INVERSIONES FCI]])</f>
        <v>46778914661.00386</v>
      </c>
      <c r="CL235" s="5">
        <f>IF($B234&lt;=Tabla5[[#This Row],[INVERSIONES FCI]],+Tabla5[[#This Row],[INVERSIONES FCI]]-CL234,Tabla5[[#This Row],[INVERSIONES FCI]])</f>
        <v>46778914661.00386</v>
      </c>
      <c r="CM235" s="5">
        <f>IF($B234&lt;=Tabla5[[#This Row],[INVERSIONES FCI]],+Tabla5[[#This Row],[INVERSIONES FCI]]-CM234,Tabla5[[#This Row],[INVERSIONES FCI]])</f>
        <v>46778914661.00386</v>
      </c>
      <c r="CN235" s="5">
        <f>IF($B234&lt;=Tabla5[[#This Row],[INVERSIONES FCI]],+Tabla5[[#This Row],[INVERSIONES FCI]]-CN234,Tabla5[[#This Row],[INVERSIONES FCI]])</f>
        <v>46778914661.00386</v>
      </c>
      <c r="CO235" s="5">
        <f>IF($B234&lt;=Tabla5[[#This Row],[INVERSIONES FCI]],+Tabla5[[#This Row],[INVERSIONES FCI]]-CO234,Tabla5[[#This Row],[INVERSIONES FCI]])</f>
        <v>46778914661.00386</v>
      </c>
      <c r="CP235" s="5">
        <f>IF($B234&lt;=Tabla5[[#This Row],[INVERSIONES FCI]],+Tabla5[[#This Row],[INVERSIONES FCI]]-CP234,Tabla5[[#This Row],[INVERSIONES FCI]])</f>
        <v>46778914661.00386</v>
      </c>
      <c r="CQ235" s="5">
        <f>IF($B234&lt;=Tabla5[[#This Row],[INVERSIONES FCI]],+Tabla5[[#This Row],[INVERSIONES FCI]]-CQ234,Tabla5[[#This Row],[INVERSIONES FCI]])</f>
        <v>46778914661.00386</v>
      </c>
      <c r="CR235" s="5">
        <f>IF($B234&lt;=Tabla5[[#This Row],[INVERSIONES FCI]],+Tabla5[[#This Row],[INVERSIONES FCI]]-CR234,Tabla5[[#This Row],[INVERSIONES FCI]])</f>
        <v>46778914661.00386</v>
      </c>
      <c r="CS235" s="5">
        <f>IF($B234&lt;=Tabla5[[#This Row],[INVERSIONES FCI]],+Tabla5[[#This Row],[INVERSIONES FCI]]-CS234,Tabla5[[#This Row],[INVERSIONES FCI]])</f>
        <v>46778914661.00386</v>
      </c>
      <c r="CT235" s="5">
        <f>IF($B234&lt;=Tabla5[[#This Row],[INVERSIONES FCI]],+Tabla5[[#This Row],[INVERSIONES FCI]]-CT234,Tabla5[[#This Row],[INVERSIONES FCI]])</f>
        <v>46778914661.00386</v>
      </c>
      <c r="CU235" s="5">
        <f>IF($B234&lt;=Tabla5[[#This Row],[INVERSIONES FCI]],+Tabla5[[#This Row],[INVERSIONES FCI]]-CU234,Tabla5[[#This Row],[INVERSIONES FCI]])</f>
        <v>46778914661.00386</v>
      </c>
      <c r="CV235" s="5">
        <f>IF($B234&lt;=Tabla5[[#This Row],[INVERSIONES FCI]],+Tabla5[[#This Row],[INVERSIONES FCI]]-CV234,Tabla5[[#This Row],[INVERSIONES FCI]])</f>
        <v>46778914661.00386</v>
      </c>
      <c r="CW235" s="5">
        <f>IF($B234&lt;=Tabla5[[#This Row],[INVERSIONES FCI]],+Tabla5[[#This Row],[INVERSIONES FCI]]-CW234,Tabla5[[#This Row],[INVERSIONES FCI]])</f>
        <v>46778914661.00386</v>
      </c>
      <c r="CX235" s="5">
        <f>IF($B234&lt;=Tabla5[[#This Row],[INVERSIONES FCI]],+Tabla5[[#This Row],[INVERSIONES FCI]]-CX234,Tabla5[[#This Row],[INVERSIONES FCI]])</f>
        <v>46778914661.00386</v>
      </c>
      <c r="CY235" s="5">
        <f>IF($B234&lt;=Tabla5[[#This Row],[INVERSIONES FCI]],+Tabla5[[#This Row],[INVERSIONES FCI]]-CY234,Tabla5[[#This Row],[INVERSIONES FCI]])</f>
        <v>46778914661.00386</v>
      </c>
      <c r="CZ235" s="5">
        <f>IF($B234&lt;=Tabla5[[#This Row],[INVERSIONES FCI]],+Tabla5[[#This Row],[INVERSIONES FCI]]-CZ234,Tabla5[[#This Row],[INVERSIONES FCI]])</f>
        <v>46778914661.00386</v>
      </c>
      <c r="DA235" s="5">
        <f>IF($B234&lt;=Tabla5[[#This Row],[INVERSIONES FCI]],+Tabla5[[#This Row],[INVERSIONES FCI]]-DA234,Tabla5[[#This Row],[INVERSIONES FCI]])</f>
        <v>46778914661.00386</v>
      </c>
      <c r="DB235" s="5">
        <f>IF($B234&lt;=Tabla5[[#This Row],[INVERSIONES FCI]],+Tabla5[[#This Row],[INVERSIONES FCI]]-DB234,Tabla5[[#This Row],[INVERSIONES FCI]])</f>
        <v>46778914661.00386</v>
      </c>
      <c r="DC235" s="5">
        <f>IF($B234&lt;=Tabla5[[#This Row],[INVERSIONES FCI]],+Tabla5[[#This Row],[INVERSIONES FCI]]-DC234,Tabla5[[#This Row],[INVERSIONES FCI]])</f>
        <v>46778914661.00386</v>
      </c>
      <c r="DD235" s="5">
        <f>IF($B234&lt;=Tabla5[[#This Row],[INVERSIONES FCI]],+Tabla5[[#This Row],[INVERSIONES FCI]]-DD234,Tabla5[[#This Row],[INVERSIONES FCI]])</f>
        <v>46778914661.00386</v>
      </c>
      <c r="DE235" s="5">
        <f>IF($B234&lt;=Tabla5[[#This Row],[INVERSIONES FCI]],+Tabla5[[#This Row],[INVERSIONES FCI]]-DE234,Tabla5[[#This Row],[INVERSIONES FCI]])</f>
        <v>46778914661.00386</v>
      </c>
      <c r="DF235" s="5">
        <f>IF($B234&lt;=Tabla5[[#This Row],[INVERSIONES FCI]],+Tabla5[[#This Row],[INVERSIONES FCI]]-DF234,Tabla5[[#This Row],[INVERSIONES FCI]])</f>
        <v>46778914661.00386</v>
      </c>
      <c r="DG235" s="5">
        <f>IF($B234&lt;=Tabla5[[#This Row],[INVERSIONES FCI]],+Tabla5[[#This Row],[INVERSIONES FCI]]-DG234,Tabla5[[#This Row],[INVERSIONES FCI]])</f>
        <v>46778914661.00386</v>
      </c>
      <c r="DH235" s="5">
        <f>IF($B234&lt;=Tabla5[[#This Row],[INVERSIONES FCI]],+Tabla5[[#This Row],[INVERSIONES FCI]]-DH234,Tabla5[[#This Row],[INVERSIONES FCI]])</f>
        <v>46778914661.00386</v>
      </c>
      <c r="DI235" s="5">
        <f>IF($B234&lt;=Tabla5[[#This Row],[INVERSIONES FCI]],+Tabla5[[#This Row],[INVERSIONES FCI]]-DI234,Tabla5[[#This Row],[INVERSIONES FCI]])</f>
        <v>46778914661.00386</v>
      </c>
      <c r="DJ235" s="5">
        <f>IF($B234&lt;=Tabla5[[#This Row],[INVERSIONES FCI]],+Tabla5[[#This Row],[INVERSIONES FCI]]-DJ234,Tabla5[[#This Row],[INVERSIONES FCI]])</f>
        <v>46778914661.00386</v>
      </c>
      <c r="DK235" s="5">
        <f>IF($B234&lt;=Tabla5[[#This Row],[INVERSIONES FCI]],+Tabla5[[#This Row],[INVERSIONES FCI]]-DK234,Tabla5[[#This Row],[INVERSIONES FCI]])</f>
        <v>46778914661.00386</v>
      </c>
      <c r="DL235" s="5"/>
      <c r="DM235" s="5"/>
      <c r="DN235" s="5"/>
      <c r="DO235" s="5"/>
      <c r="DP235" s="5"/>
      <c r="DQ235" s="5"/>
    </row>
    <row r="236" spans="1:121" ht="14.4">
      <c r="A236" s="12" t="s">
        <v>235</v>
      </c>
      <c r="B236" s="5">
        <f>HLOOKUP($A236,ESCENARIO[#All],7,FALSE)</f>
        <v>49787123871.878525</v>
      </c>
      <c r="C236" s="5">
        <f>IF($B235&lt;=Tabla5[[#This Row],[INVERSIONES FCI]],+Tabla5[[#This Row],[INVERSIONES FCI]]-C235,Tabla5[[#This Row],[INVERSIONES FCI]])</f>
        <v>3008209210.8746643</v>
      </c>
      <c r="D236" s="5">
        <f>IF($B235&lt;=Tabla5[[#This Row],[INVERSIONES FCI]],+Tabla5[[#This Row],[INVERSIONES FCI]]-D235,Tabla5[[#This Row],[INVERSIONES FCI]])</f>
        <v>3008209210.8746643</v>
      </c>
      <c r="E236" s="5">
        <f>IF($B235&lt;=Tabla5[[#This Row],[INVERSIONES FCI]],+Tabla5[[#This Row],[INVERSIONES FCI]]-E235,Tabla5[[#This Row],[INVERSIONES FCI]])</f>
        <v>3008209210.8746643</v>
      </c>
      <c r="F236" s="5">
        <f>IF($B235&lt;=Tabla5[[#This Row],[INVERSIONES FCI]],+Tabla5[[#This Row],[INVERSIONES FCI]]-F235,Tabla5[[#This Row],[INVERSIONES FCI]])</f>
        <v>3008209210.8746643</v>
      </c>
      <c r="G236" s="5">
        <f>IF($B235&lt;=Tabla5[[#This Row],[INVERSIONES FCI]],+Tabla5[[#This Row],[INVERSIONES FCI]]-G235,Tabla5[[#This Row],[INVERSIONES FCI]])</f>
        <v>3008209210.8746643</v>
      </c>
      <c r="H236" s="5">
        <f>IF($B235&lt;=Tabla5[[#This Row],[INVERSIONES FCI]],+Tabla5[[#This Row],[INVERSIONES FCI]]-H235,Tabla5[[#This Row],[INVERSIONES FCI]])</f>
        <v>3008209210.8746643</v>
      </c>
      <c r="I236" s="5">
        <f>IF($B235&lt;=Tabla5[[#This Row],[INVERSIONES FCI]],+Tabla5[[#This Row],[INVERSIONES FCI]]-I235,Tabla5[[#This Row],[INVERSIONES FCI]])</f>
        <v>3008209210.8746643</v>
      </c>
      <c r="J236" s="5">
        <f>IF($B235&lt;=Tabla5[[#This Row],[INVERSIONES FCI]],+Tabla5[[#This Row],[INVERSIONES FCI]]-J235,Tabla5[[#This Row],[INVERSIONES FCI]])</f>
        <v>3008209210.8746643</v>
      </c>
      <c r="K236" s="5">
        <f>IF($B235&lt;=Tabla5[[#This Row],[INVERSIONES FCI]],+Tabla5[[#This Row],[INVERSIONES FCI]]-K235,Tabla5[[#This Row],[INVERSIONES FCI]])</f>
        <v>3008209210.8746643</v>
      </c>
      <c r="L236" s="5">
        <f>IF($B235&lt;=Tabla5[[#This Row],[INVERSIONES FCI]],+Tabla5[[#This Row],[INVERSIONES FCI]]-L235,Tabla5[[#This Row],[INVERSIONES FCI]])</f>
        <v>3008209210.8746643</v>
      </c>
      <c r="M236" s="5">
        <f>IF($B235&lt;=Tabla5[[#This Row],[INVERSIONES FCI]],+Tabla5[[#This Row],[INVERSIONES FCI]]-M235,Tabla5[[#This Row],[INVERSIONES FCI]])</f>
        <v>3008209210.8746643</v>
      </c>
      <c r="N236" s="5">
        <f>IF($B235&lt;=Tabla5[[#This Row],[INVERSIONES FCI]],+Tabla5[[#This Row],[INVERSIONES FCI]]-N235,Tabla5[[#This Row],[INVERSIONES FCI]])</f>
        <v>3008209210.8746643</v>
      </c>
      <c r="O236" s="5">
        <f>IF($B235&lt;=Tabla5[[#This Row],[INVERSIONES FCI]],+Tabla5[[#This Row],[INVERSIONES FCI]]-O235,Tabla5[[#This Row],[INVERSIONES FCI]])</f>
        <v>3008209210.8746643</v>
      </c>
      <c r="P236" s="5">
        <f>IF($B235&lt;=Tabla5[[#This Row],[INVERSIONES FCI]],+Tabla5[[#This Row],[INVERSIONES FCI]]-P235,Tabla5[[#This Row],[INVERSIONES FCI]])</f>
        <v>3008209210.8746643</v>
      </c>
      <c r="Q236" s="5">
        <f>IF($B235&lt;=Tabla5[[#This Row],[INVERSIONES FCI]],+Tabla5[[#This Row],[INVERSIONES FCI]]-Q235,Tabla5[[#This Row],[INVERSIONES FCI]])</f>
        <v>3008209210.8746643</v>
      </c>
      <c r="R236" s="5">
        <f>IF($B235&lt;=Tabla5[[#This Row],[INVERSIONES FCI]],+Tabla5[[#This Row],[INVERSIONES FCI]]-R235,Tabla5[[#This Row],[INVERSIONES FCI]])</f>
        <v>3008209210.8746643</v>
      </c>
      <c r="S236" s="5">
        <f>IF($B235&lt;=Tabla5[[#This Row],[INVERSIONES FCI]],+Tabla5[[#This Row],[INVERSIONES FCI]]-S235,Tabla5[[#This Row],[INVERSIONES FCI]])</f>
        <v>3008209210.8746643</v>
      </c>
      <c r="T236" s="5">
        <f>IF($B235&lt;=Tabla5[[#This Row],[INVERSIONES FCI]],+Tabla5[[#This Row],[INVERSIONES FCI]]-T235,Tabla5[[#This Row],[INVERSIONES FCI]])</f>
        <v>3008209210.8746643</v>
      </c>
      <c r="U236" s="5">
        <f>IF($B235&lt;=Tabla5[[#This Row],[INVERSIONES FCI]],+Tabla5[[#This Row],[INVERSIONES FCI]]-U235,Tabla5[[#This Row],[INVERSIONES FCI]])</f>
        <v>3008209210.8746643</v>
      </c>
      <c r="V236" s="5">
        <f>IF($B235&lt;=Tabla5[[#This Row],[INVERSIONES FCI]],+Tabla5[[#This Row],[INVERSIONES FCI]]-V235,Tabla5[[#This Row],[INVERSIONES FCI]])</f>
        <v>3008209210.8746643</v>
      </c>
      <c r="W236" s="5">
        <f>IF($B235&lt;=Tabla5[[#This Row],[INVERSIONES FCI]],+Tabla5[[#This Row],[INVERSIONES FCI]]-W235,Tabla5[[#This Row],[INVERSIONES FCI]])</f>
        <v>3008209210.8746643</v>
      </c>
      <c r="X236" s="5">
        <f>IF($B235&lt;=Tabla5[[#This Row],[INVERSIONES FCI]],+Tabla5[[#This Row],[INVERSIONES FCI]]-X235,Tabla5[[#This Row],[INVERSIONES FCI]])</f>
        <v>3008209210.8746643</v>
      </c>
      <c r="Y236" s="5">
        <f>IF($B235&lt;=Tabla5[[#This Row],[INVERSIONES FCI]],+Tabla5[[#This Row],[INVERSIONES FCI]]-Y235,Tabla5[[#This Row],[INVERSIONES FCI]])</f>
        <v>3008209210.8746643</v>
      </c>
      <c r="Z236" s="5">
        <f>IF($B235&lt;=Tabla5[[#This Row],[INVERSIONES FCI]],+Tabla5[[#This Row],[INVERSIONES FCI]]-Z235,Tabla5[[#This Row],[INVERSIONES FCI]])</f>
        <v>3008209210.8746643</v>
      </c>
      <c r="AA236" s="5">
        <f>IF($B235&lt;=Tabla5[[#This Row],[INVERSIONES FCI]],+Tabla5[[#This Row],[INVERSIONES FCI]]-AA235,Tabla5[[#This Row],[INVERSIONES FCI]])</f>
        <v>3008209210.8746643</v>
      </c>
      <c r="AB236" s="5">
        <f>IF($B235&lt;=Tabla5[[#This Row],[INVERSIONES FCI]],+Tabla5[[#This Row],[INVERSIONES FCI]]-AB235,Tabla5[[#This Row],[INVERSIONES FCI]])</f>
        <v>3008209210.8746643</v>
      </c>
      <c r="AC236" s="5">
        <f>IF($B235&lt;=Tabla5[[#This Row],[INVERSIONES FCI]],+Tabla5[[#This Row],[INVERSIONES FCI]]-AC235,Tabla5[[#This Row],[INVERSIONES FCI]])</f>
        <v>3008209210.8746643</v>
      </c>
      <c r="AD236" s="5">
        <f>IF($B235&lt;=Tabla5[[#This Row],[INVERSIONES FCI]],+Tabla5[[#This Row],[INVERSIONES FCI]]-AD235,Tabla5[[#This Row],[INVERSIONES FCI]])</f>
        <v>3008209210.8746643</v>
      </c>
      <c r="AE236" s="5">
        <f>IF($B235&lt;=Tabla5[[#This Row],[INVERSIONES FCI]],+Tabla5[[#This Row],[INVERSIONES FCI]]-AE235,Tabla5[[#This Row],[INVERSIONES FCI]])</f>
        <v>3008209210.8746643</v>
      </c>
      <c r="AF236" s="5">
        <f>IF($B235&lt;=Tabla5[[#This Row],[INVERSIONES FCI]],+Tabla5[[#This Row],[INVERSIONES FCI]]-AF235,Tabla5[[#This Row],[INVERSIONES FCI]])</f>
        <v>3008209210.8746643</v>
      </c>
      <c r="AG236" s="5">
        <f>IF($B235&lt;=Tabla5[[#This Row],[INVERSIONES FCI]],+Tabla5[[#This Row],[INVERSIONES FCI]]-AG235,Tabla5[[#This Row],[INVERSIONES FCI]])</f>
        <v>3008209210.8746643</v>
      </c>
      <c r="AH236" s="5">
        <f>IF($B235&lt;=Tabla5[[#This Row],[INVERSIONES FCI]],+Tabla5[[#This Row],[INVERSIONES FCI]]-AH235,Tabla5[[#This Row],[INVERSIONES FCI]])</f>
        <v>3008209210.8746643</v>
      </c>
      <c r="AI236" s="5">
        <f>IF($B235&lt;=Tabla5[[#This Row],[INVERSIONES FCI]],+Tabla5[[#This Row],[INVERSIONES FCI]]-AI235,Tabla5[[#This Row],[INVERSIONES FCI]])</f>
        <v>3008209210.8746643</v>
      </c>
      <c r="AJ236" s="5">
        <f>IF($B235&lt;=Tabla5[[#This Row],[INVERSIONES FCI]],+Tabla5[[#This Row],[INVERSIONES FCI]]-AJ235,Tabla5[[#This Row],[INVERSIONES FCI]])</f>
        <v>3008209210.8746643</v>
      </c>
      <c r="AK236" s="5">
        <f>IF($B235&lt;=Tabla5[[#This Row],[INVERSIONES FCI]],+Tabla5[[#This Row],[INVERSIONES FCI]]-AK235,Tabla5[[#This Row],[INVERSIONES FCI]])</f>
        <v>3008209210.8746643</v>
      </c>
      <c r="AL236" s="5">
        <f>IF($B235&lt;=Tabla5[[#This Row],[INVERSIONES FCI]],+Tabla5[[#This Row],[INVERSIONES FCI]]-AL235,Tabla5[[#This Row],[INVERSIONES FCI]])</f>
        <v>3008209210.8746643</v>
      </c>
      <c r="AM236" s="5">
        <f>IF($B235&lt;=Tabla5[[#This Row],[INVERSIONES FCI]],+Tabla5[[#This Row],[INVERSIONES FCI]]-AM235,Tabla5[[#This Row],[INVERSIONES FCI]])</f>
        <v>3008209210.8746643</v>
      </c>
      <c r="AN236" s="5">
        <f>IF($B235&lt;=Tabla5[[#This Row],[INVERSIONES FCI]],+Tabla5[[#This Row],[INVERSIONES FCI]]-AN235,Tabla5[[#This Row],[INVERSIONES FCI]])</f>
        <v>3008209210.8746643</v>
      </c>
      <c r="AO236" s="5">
        <f>IF($B235&lt;=Tabla5[[#This Row],[INVERSIONES FCI]],+Tabla5[[#This Row],[INVERSIONES FCI]]-AO235,Tabla5[[#This Row],[INVERSIONES FCI]])</f>
        <v>3008209210.8746643</v>
      </c>
      <c r="AP236" s="5">
        <f>IF($B235&lt;=Tabla5[[#This Row],[INVERSIONES FCI]],+Tabla5[[#This Row],[INVERSIONES FCI]]-AP235,Tabla5[[#This Row],[INVERSIONES FCI]])</f>
        <v>3008209210.8746643</v>
      </c>
      <c r="AQ236" s="5">
        <f>IF($B235&lt;=Tabla5[[#This Row],[INVERSIONES FCI]],+Tabla5[[#This Row],[INVERSIONES FCI]]-AQ235,Tabla5[[#This Row],[INVERSIONES FCI]])</f>
        <v>3008209210.8746643</v>
      </c>
      <c r="AR236" s="5">
        <f>IF($B235&lt;=Tabla5[[#This Row],[INVERSIONES FCI]],+Tabla5[[#This Row],[INVERSIONES FCI]]-AR235,Tabla5[[#This Row],[INVERSIONES FCI]])</f>
        <v>3008209210.8746643</v>
      </c>
      <c r="AS236" s="5">
        <f>IF($B235&lt;=Tabla5[[#This Row],[INVERSIONES FCI]],+Tabla5[[#This Row],[INVERSIONES FCI]]-AS235,Tabla5[[#This Row],[INVERSIONES FCI]])</f>
        <v>3008209210.8746643</v>
      </c>
      <c r="AT236" s="5">
        <f>IF($B235&lt;=Tabla5[[#This Row],[INVERSIONES FCI]],+Tabla5[[#This Row],[INVERSIONES FCI]]-AT235,Tabla5[[#This Row],[INVERSIONES FCI]])</f>
        <v>3008209210.8746643</v>
      </c>
      <c r="AU236" s="5">
        <f>IF($B235&lt;=Tabla5[[#This Row],[INVERSIONES FCI]],+Tabla5[[#This Row],[INVERSIONES FCI]]-AU235,Tabla5[[#This Row],[INVERSIONES FCI]])</f>
        <v>3008209210.8746643</v>
      </c>
      <c r="AV236" s="5">
        <f>IF($B235&lt;=Tabla5[[#This Row],[INVERSIONES FCI]],+Tabla5[[#This Row],[INVERSIONES FCI]]-AV235,Tabla5[[#This Row],[INVERSIONES FCI]])</f>
        <v>3008209210.8746643</v>
      </c>
      <c r="AW236" s="5">
        <f>IF($B235&lt;=Tabla5[[#This Row],[INVERSIONES FCI]],+Tabla5[[#This Row],[INVERSIONES FCI]]-AW235,Tabla5[[#This Row],[INVERSIONES FCI]])</f>
        <v>3008209210.8746643</v>
      </c>
      <c r="AX236" s="5">
        <f>IF($B235&lt;=Tabla5[[#This Row],[INVERSIONES FCI]],+Tabla5[[#This Row],[INVERSIONES FCI]]-AX235,Tabla5[[#This Row],[INVERSIONES FCI]])</f>
        <v>3008209210.8746643</v>
      </c>
      <c r="AY236" s="5">
        <f>IF($B235&lt;=Tabla5[[#This Row],[INVERSIONES FCI]],+Tabla5[[#This Row],[INVERSIONES FCI]]-AY235,Tabla5[[#This Row],[INVERSIONES FCI]])</f>
        <v>3008209210.8746643</v>
      </c>
      <c r="AZ236" s="5">
        <f>IF($B235&lt;=Tabla5[[#This Row],[INVERSIONES FCI]],+Tabla5[[#This Row],[INVERSIONES FCI]]-AZ235,Tabla5[[#This Row],[INVERSIONES FCI]])</f>
        <v>3008209210.8746643</v>
      </c>
      <c r="BA236" s="5">
        <f>IF($B235&lt;=Tabla5[[#This Row],[INVERSIONES FCI]],+Tabla5[[#This Row],[INVERSIONES FCI]]-BA235,Tabla5[[#This Row],[INVERSIONES FCI]])</f>
        <v>3008209210.8746643</v>
      </c>
      <c r="BB236" s="5">
        <f>IF($B235&lt;=Tabla5[[#This Row],[INVERSIONES FCI]],+Tabla5[[#This Row],[INVERSIONES FCI]]-BB235,Tabla5[[#This Row],[INVERSIONES FCI]])</f>
        <v>3008209210.8746643</v>
      </c>
      <c r="BC236" s="5">
        <f>IF($B235&lt;=Tabla5[[#This Row],[INVERSIONES FCI]],+Tabla5[[#This Row],[INVERSIONES FCI]]-BC235,Tabla5[[#This Row],[INVERSIONES FCI]])</f>
        <v>3008209210.8746643</v>
      </c>
      <c r="BD236" s="5">
        <f>IF($B235&lt;=Tabla5[[#This Row],[INVERSIONES FCI]],+Tabla5[[#This Row],[INVERSIONES FCI]]-BD235,Tabla5[[#This Row],[INVERSIONES FCI]])</f>
        <v>3008209210.8746643</v>
      </c>
      <c r="BE236" s="5">
        <f>IF($B235&lt;=Tabla5[[#This Row],[INVERSIONES FCI]],+Tabla5[[#This Row],[INVERSIONES FCI]]-BE235,Tabla5[[#This Row],[INVERSIONES FCI]])</f>
        <v>3008209210.8746643</v>
      </c>
      <c r="BF236" s="5">
        <f>IF($B235&lt;=Tabla5[[#This Row],[INVERSIONES FCI]],+Tabla5[[#This Row],[INVERSIONES FCI]]-BF235,Tabla5[[#This Row],[INVERSIONES FCI]])</f>
        <v>3008209210.8746643</v>
      </c>
      <c r="BG236" s="5">
        <f>IF($B235&lt;=Tabla5[[#This Row],[INVERSIONES FCI]],+Tabla5[[#This Row],[INVERSIONES FCI]]-BG235,Tabla5[[#This Row],[INVERSIONES FCI]])</f>
        <v>3008209210.8746643</v>
      </c>
      <c r="BH236" s="5">
        <f>IF($B235&lt;=Tabla5[[#This Row],[INVERSIONES FCI]],+Tabla5[[#This Row],[INVERSIONES FCI]]-BH235,Tabla5[[#This Row],[INVERSIONES FCI]])</f>
        <v>3008209210.8746643</v>
      </c>
      <c r="BI236" s="5">
        <f>IF($B235&lt;=Tabla5[[#This Row],[INVERSIONES FCI]],+Tabla5[[#This Row],[INVERSIONES FCI]]-BI235,Tabla5[[#This Row],[INVERSIONES FCI]])</f>
        <v>3008209210.8746643</v>
      </c>
      <c r="BJ236" s="5">
        <f>IF($B235&lt;=Tabla5[[#This Row],[INVERSIONES FCI]],+Tabla5[[#This Row],[INVERSIONES FCI]]-BJ235,Tabla5[[#This Row],[INVERSIONES FCI]])</f>
        <v>3008209210.8746643</v>
      </c>
      <c r="BK236" s="5">
        <f>IF($B235&lt;=Tabla5[[#This Row],[INVERSIONES FCI]],+Tabla5[[#This Row],[INVERSIONES FCI]]-BK235,Tabla5[[#This Row],[INVERSIONES FCI]])</f>
        <v>3008209210.8746643</v>
      </c>
      <c r="BL236" s="5">
        <f>IF($B235&lt;=Tabla5[[#This Row],[INVERSIONES FCI]],+Tabla5[[#This Row],[INVERSIONES FCI]]-BL235,Tabla5[[#This Row],[INVERSIONES FCI]])</f>
        <v>3008209210.8746643</v>
      </c>
      <c r="BM236" s="5">
        <f>IF($B235&lt;=Tabla5[[#This Row],[INVERSIONES FCI]],+Tabla5[[#This Row],[INVERSIONES FCI]]-BM235,Tabla5[[#This Row],[INVERSIONES FCI]])</f>
        <v>3008209210.8746643</v>
      </c>
      <c r="BN236" s="5">
        <f>IF($B235&lt;=Tabla5[[#This Row],[INVERSIONES FCI]],+Tabla5[[#This Row],[INVERSIONES FCI]]-BN235,Tabla5[[#This Row],[INVERSIONES FCI]])</f>
        <v>3008209210.8746643</v>
      </c>
      <c r="BO236" s="5">
        <f>IF($B235&lt;=Tabla5[[#This Row],[INVERSIONES FCI]],+Tabla5[[#This Row],[INVERSIONES FCI]]-BO235,Tabla5[[#This Row],[INVERSIONES FCI]])</f>
        <v>3008209210.8746643</v>
      </c>
      <c r="BP236" s="5">
        <f>IF($B235&lt;=Tabla5[[#This Row],[INVERSIONES FCI]],+Tabla5[[#This Row],[INVERSIONES FCI]]-BP235,Tabla5[[#This Row],[INVERSIONES FCI]])</f>
        <v>3008209210.8746643</v>
      </c>
      <c r="BQ236" s="5">
        <f>IF($B235&lt;=Tabla5[[#This Row],[INVERSIONES FCI]],+Tabla5[[#This Row],[INVERSIONES FCI]]-BQ235,Tabla5[[#This Row],[INVERSIONES FCI]])</f>
        <v>3008209210.8746643</v>
      </c>
      <c r="BR236" s="5">
        <f>IF($B235&lt;=Tabla5[[#This Row],[INVERSIONES FCI]],+Tabla5[[#This Row],[INVERSIONES FCI]]-BR235,Tabla5[[#This Row],[INVERSIONES FCI]])</f>
        <v>3008209210.8746643</v>
      </c>
      <c r="BS236" s="5">
        <f>IF($B235&lt;=Tabla5[[#This Row],[INVERSIONES FCI]],+Tabla5[[#This Row],[INVERSIONES FCI]]-BS235,Tabla5[[#This Row],[INVERSIONES FCI]])</f>
        <v>3008209210.8746643</v>
      </c>
      <c r="BT236" s="5">
        <f>IF($B235&lt;=Tabla5[[#This Row],[INVERSIONES FCI]],+Tabla5[[#This Row],[INVERSIONES FCI]]-BT235,Tabla5[[#This Row],[INVERSIONES FCI]])</f>
        <v>3008209210.8746643</v>
      </c>
      <c r="BU236" s="5">
        <f>IF($B235&lt;=Tabla5[[#This Row],[INVERSIONES FCI]],+Tabla5[[#This Row],[INVERSIONES FCI]]-BU235,Tabla5[[#This Row],[INVERSIONES FCI]])</f>
        <v>3008209210.8746643</v>
      </c>
      <c r="BV236" s="5">
        <f>IF($B235&lt;=Tabla5[[#This Row],[INVERSIONES FCI]],+Tabla5[[#This Row],[INVERSIONES FCI]]-BV235,Tabla5[[#This Row],[INVERSIONES FCI]])</f>
        <v>3008209210.8746643</v>
      </c>
      <c r="BW236" s="5">
        <f>IF($B235&lt;=Tabla5[[#This Row],[INVERSIONES FCI]],+Tabla5[[#This Row],[INVERSIONES FCI]]-BW235,Tabla5[[#This Row],[INVERSIONES FCI]])</f>
        <v>3008209210.8746643</v>
      </c>
      <c r="BX236" s="5">
        <f>IF($B235&lt;=Tabla5[[#This Row],[INVERSIONES FCI]],+Tabla5[[#This Row],[INVERSIONES FCI]]-BX235,Tabla5[[#This Row],[INVERSIONES FCI]])</f>
        <v>3008209210.8746643</v>
      </c>
      <c r="BY236" s="5">
        <f>IF($B235&lt;=Tabla5[[#This Row],[INVERSIONES FCI]],+Tabla5[[#This Row],[INVERSIONES FCI]]-BY235,Tabla5[[#This Row],[INVERSIONES FCI]])</f>
        <v>3008209210.8746643</v>
      </c>
      <c r="BZ236" s="5">
        <f>IF($B235&lt;=Tabla5[[#This Row],[INVERSIONES FCI]],+Tabla5[[#This Row],[INVERSIONES FCI]]-BZ235,Tabla5[[#This Row],[INVERSIONES FCI]])</f>
        <v>3008209210.8746643</v>
      </c>
      <c r="CA236" s="5">
        <f>IF($B235&lt;=Tabla5[[#This Row],[INVERSIONES FCI]],+Tabla5[[#This Row],[INVERSIONES FCI]]-CA235,Tabla5[[#This Row],[INVERSIONES FCI]])</f>
        <v>3008209210.8746643</v>
      </c>
      <c r="CB236" s="5">
        <f>IF($B235&lt;=Tabla5[[#This Row],[INVERSIONES FCI]],+Tabla5[[#This Row],[INVERSIONES FCI]]-CB235,Tabla5[[#This Row],[INVERSIONES FCI]])</f>
        <v>3008209210.8746643</v>
      </c>
      <c r="CC236" s="5">
        <f>IF($B235&lt;=Tabla5[[#This Row],[INVERSIONES FCI]],+Tabla5[[#This Row],[INVERSIONES FCI]]-CC235,Tabla5[[#This Row],[INVERSIONES FCI]])</f>
        <v>3008209210.8746643</v>
      </c>
      <c r="CD236" s="5">
        <f>IF($B235&lt;=Tabla5[[#This Row],[INVERSIONES FCI]],+Tabla5[[#This Row],[INVERSIONES FCI]]-CD235,Tabla5[[#This Row],[INVERSIONES FCI]])</f>
        <v>3008209210.8746643</v>
      </c>
      <c r="CE236" s="5">
        <f>IF($B235&lt;=Tabla5[[#This Row],[INVERSIONES FCI]],+Tabla5[[#This Row],[INVERSIONES FCI]]-CE235,Tabla5[[#This Row],[INVERSIONES FCI]])</f>
        <v>3008209210.8746643</v>
      </c>
      <c r="CF236" s="5">
        <f>IF($B235&lt;=Tabla5[[#This Row],[INVERSIONES FCI]],+Tabla5[[#This Row],[INVERSIONES FCI]]-CF235,Tabla5[[#This Row],[INVERSIONES FCI]])</f>
        <v>3008209210.8746643</v>
      </c>
      <c r="CG236" s="5">
        <f>IF($B235&lt;=Tabla5[[#This Row],[INVERSIONES FCI]],+Tabla5[[#This Row],[INVERSIONES FCI]]-CG235,Tabla5[[#This Row],[INVERSIONES FCI]])</f>
        <v>3008209210.8746643</v>
      </c>
      <c r="CH236" s="5">
        <f>IF($B235&lt;=Tabla5[[#This Row],[INVERSIONES FCI]],+Tabla5[[#This Row],[INVERSIONES FCI]]-CH235,Tabla5[[#This Row],[INVERSIONES FCI]])</f>
        <v>3008209210.8746643</v>
      </c>
      <c r="CI236" s="5">
        <f>IF($B235&lt;=Tabla5[[#This Row],[INVERSIONES FCI]],+Tabla5[[#This Row],[INVERSIONES FCI]]-CI235,Tabla5[[#This Row],[INVERSIONES FCI]])</f>
        <v>3008209210.8746643</v>
      </c>
      <c r="CJ236" s="5">
        <f>IF($B235&lt;=Tabla5[[#This Row],[INVERSIONES FCI]],+Tabla5[[#This Row],[INVERSIONES FCI]]-CJ235,Tabla5[[#This Row],[INVERSIONES FCI]])</f>
        <v>3008209210.8746643</v>
      </c>
      <c r="CK236" s="5">
        <f>IF($B235&lt;=Tabla5[[#This Row],[INVERSIONES FCI]],+Tabla5[[#This Row],[INVERSIONES FCI]]-CK235,Tabla5[[#This Row],[INVERSIONES FCI]])</f>
        <v>3008209210.8746643</v>
      </c>
      <c r="CL236" s="5">
        <f>IF($B235&lt;=Tabla5[[#This Row],[INVERSIONES FCI]],+Tabla5[[#This Row],[INVERSIONES FCI]]-CL235,Tabla5[[#This Row],[INVERSIONES FCI]])</f>
        <v>3008209210.8746643</v>
      </c>
      <c r="CM236" s="5">
        <f>IF($B235&lt;=Tabla5[[#This Row],[INVERSIONES FCI]],+Tabla5[[#This Row],[INVERSIONES FCI]]-CM235,Tabla5[[#This Row],[INVERSIONES FCI]])</f>
        <v>3008209210.8746643</v>
      </c>
      <c r="CN236" s="5">
        <f>IF($B235&lt;=Tabla5[[#This Row],[INVERSIONES FCI]],+Tabla5[[#This Row],[INVERSIONES FCI]]-CN235,Tabla5[[#This Row],[INVERSIONES FCI]])</f>
        <v>3008209210.8746643</v>
      </c>
      <c r="CO236" s="5">
        <f>IF($B235&lt;=Tabla5[[#This Row],[INVERSIONES FCI]],+Tabla5[[#This Row],[INVERSIONES FCI]]-CO235,Tabla5[[#This Row],[INVERSIONES FCI]])</f>
        <v>3008209210.8746643</v>
      </c>
      <c r="CP236" s="5">
        <f>IF($B235&lt;=Tabla5[[#This Row],[INVERSIONES FCI]],+Tabla5[[#This Row],[INVERSIONES FCI]]-CP235,Tabla5[[#This Row],[INVERSIONES FCI]])</f>
        <v>3008209210.8746643</v>
      </c>
      <c r="CQ236" s="5">
        <f>IF($B235&lt;=Tabla5[[#This Row],[INVERSIONES FCI]],+Tabla5[[#This Row],[INVERSIONES FCI]]-CQ235,Tabla5[[#This Row],[INVERSIONES FCI]])</f>
        <v>3008209210.8746643</v>
      </c>
      <c r="CR236" s="5">
        <f>IF($B235&lt;=Tabla5[[#This Row],[INVERSIONES FCI]],+Tabla5[[#This Row],[INVERSIONES FCI]]-CR235,Tabla5[[#This Row],[INVERSIONES FCI]])</f>
        <v>3008209210.8746643</v>
      </c>
      <c r="CS236" s="5">
        <f>IF($B235&lt;=Tabla5[[#This Row],[INVERSIONES FCI]],+Tabla5[[#This Row],[INVERSIONES FCI]]-CS235,Tabla5[[#This Row],[INVERSIONES FCI]])</f>
        <v>3008209210.8746643</v>
      </c>
      <c r="CT236" s="5">
        <f>IF($B235&lt;=Tabla5[[#This Row],[INVERSIONES FCI]],+Tabla5[[#This Row],[INVERSIONES FCI]]-CT235,Tabla5[[#This Row],[INVERSIONES FCI]])</f>
        <v>3008209210.8746643</v>
      </c>
      <c r="CU236" s="5">
        <f>IF($B235&lt;=Tabla5[[#This Row],[INVERSIONES FCI]],+Tabla5[[#This Row],[INVERSIONES FCI]]-CU235,Tabla5[[#This Row],[INVERSIONES FCI]])</f>
        <v>3008209210.8746643</v>
      </c>
      <c r="CV236" s="5">
        <f>IF($B235&lt;=Tabla5[[#This Row],[INVERSIONES FCI]],+Tabla5[[#This Row],[INVERSIONES FCI]]-CV235,Tabla5[[#This Row],[INVERSIONES FCI]])</f>
        <v>3008209210.8746643</v>
      </c>
      <c r="CW236" s="5">
        <f>IF($B235&lt;=Tabla5[[#This Row],[INVERSIONES FCI]],+Tabla5[[#This Row],[INVERSIONES FCI]]-CW235,Tabla5[[#This Row],[INVERSIONES FCI]])</f>
        <v>3008209210.8746643</v>
      </c>
      <c r="CX236" s="5">
        <f>IF($B235&lt;=Tabla5[[#This Row],[INVERSIONES FCI]],+Tabla5[[#This Row],[INVERSIONES FCI]]-CX235,Tabla5[[#This Row],[INVERSIONES FCI]])</f>
        <v>3008209210.8746643</v>
      </c>
      <c r="CY236" s="5">
        <f>IF($B235&lt;=Tabla5[[#This Row],[INVERSIONES FCI]],+Tabla5[[#This Row],[INVERSIONES FCI]]-CY235,Tabla5[[#This Row],[INVERSIONES FCI]])</f>
        <v>3008209210.8746643</v>
      </c>
      <c r="CZ236" s="5">
        <f>IF($B235&lt;=Tabla5[[#This Row],[INVERSIONES FCI]],+Tabla5[[#This Row],[INVERSIONES FCI]]-CZ235,Tabla5[[#This Row],[INVERSIONES FCI]])</f>
        <v>3008209210.8746643</v>
      </c>
      <c r="DA236" s="5">
        <f>IF($B235&lt;=Tabla5[[#This Row],[INVERSIONES FCI]],+Tabla5[[#This Row],[INVERSIONES FCI]]-DA235,Tabla5[[#This Row],[INVERSIONES FCI]])</f>
        <v>3008209210.8746643</v>
      </c>
      <c r="DB236" s="5">
        <f>IF($B235&lt;=Tabla5[[#This Row],[INVERSIONES FCI]],+Tabla5[[#This Row],[INVERSIONES FCI]]-DB235,Tabla5[[#This Row],[INVERSIONES FCI]])</f>
        <v>3008209210.8746643</v>
      </c>
      <c r="DC236" s="5">
        <f>IF($B235&lt;=Tabla5[[#This Row],[INVERSIONES FCI]],+Tabla5[[#This Row],[INVERSIONES FCI]]-DC235,Tabla5[[#This Row],[INVERSIONES FCI]])</f>
        <v>3008209210.8746643</v>
      </c>
      <c r="DD236" s="5">
        <f>IF($B235&lt;=Tabla5[[#This Row],[INVERSIONES FCI]],+Tabla5[[#This Row],[INVERSIONES FCI]]-DD235,Tabla5[[#This Row],[INVERSIONES FCI]])</f>
        <v>3008209210.8746643</v>
      </c>
      <c r="DE236" s="5">
        <f>IF($B235&lt;=Tabla5[[#This Row],[INVERSIONES FCI]],+Tabla5[[#This Row],[INVERSIONES FCI]]-DE235,Tabla5[[#This Row],[INVERSIONES FCI]])</f>
        <v>3008209210.8746643</v>
      </c>
      <c r="DF236" s="5">
        <f>IF($B235&lt;=Tabla5[[#This Row],[INVERSIONES FCI]],+Tabla5[[#This Row],[INVERSIONES FCI]]-DF235,Tabla5[[#This Row],[INVERSIONES FCI]])</f>
        <v>3008209210.8746643</v>
      </c>
      <c r="DG236" s="5">
        <f>IF($B235&lt;=Tabla5[[#This Row],[INVERSIONES FCI]],+Tabla5[[#This Row],[INVERSIONES FCI]]-DG235,Tabla5[[#This Row],[INVERSIONES FCI]])</f>
        <v>3008209210.8746643</v>
      </c>
      <c r="DH236" s="5">
        <f>IF($B235&lt;=Tabla5[[#This Row],[INVERSIONES FCI]],+Tabla5[[#This Row],[INVERSIONES FCI]]-DH235,Tabla5[[#This Row],[INVERSIONES FCI]])</f>
        <v>3008209210.8746643</v>
      </c>
      <c r="DI236" s="5">
        <f>IF($B235&lt;=Tabla5[[#This Row],[INVERSIONES FCI]],+Tabla5[[#This Row],[INVERSIONES FCI]]-DI235,Tabla5[[#This Row],[INVERSIONES FCI]])</f>
        <v>3008209210.8746643</v>
      </c>
      <c r="DJ236" s="5">
        <f>IF($B235&lt;=Tabla5[[#This Row],[INVERSIONES FCI]],+Tabla5[[#This Row],[INVERSIONES FCI]]-DJ235,Tabla5[[#This Row],[INVERSIONES FCI]])</f>
        <v>3008209210.8746643</v>
      </c>
      <c r="DK236" s="5">
        <f>IF($B235&lt;=Tabla5[[#This Row],[INVERSIONES FCI]],+Tabla5[[#This Row],[INVERSIONES FCI]]-DK235,Tabla5[[#This Row],[INVERSIONES FCI]])</f>
        <v>3008209210.8746643</v>
      </c>
      <c r="DL236" s="5"/>
      <c r="DM236" s="5"/>
      <c r="DN236" s="5"/>
      <c r="DO236" s="5"/>
      <c r="DP236" s="5"/>
      <c r="DQ236" s="5"/>
    </row>
    <row r="237" spans="1:121" ht="14.4">
      <c r="A237" s="12" t="s">
        <v>236</v>
      </c>
      <c r="B237" s="5">
        <f>HLOOKUP($A237,ESCENARIO[#All],7,FALSE)</f>
        <v>51478107818.352409</v>
      </c>
      <c r="C237" s="5">
        <f>IF($B236&lt;=Tabla5[[#This Row],[INVERSIONES FCI]],+Tabla5[[#This Row],[INVERSIONES FCI]]-C236,Tabla5[[#This Row],[INVERSIONES FCI]])</f>
        <v>48469898607.477745</v>
      </c>
      <c r="D237" s="5">
        <f>IF($B236&lt;=Tabla5[[#This Row],[INVERSIONES FCI]],+Tabla5[[#This Row],[INVERSIONES FCI]]-D236,Tabla5[[#This Row],[INVERSIONES FCI]])</f>
        <v>48469898607.477745</v>
      </c>
      <c r="E237" s="5">
        <f>IF($B236&lt;=Tabla5[[#This Row],[INVERSIONES FCI]],+Tabla5[[#This Row],[INVERSIONES FCI]]-E236,Tabla5[[#This Row],[INVERSIONES FCI]])</f>
        <v>48469898607.477745</v>
      </c>
      <c r="F237" s="5">
        <f>IF($B236&lt;=Tabla5[[#This Row],[INVERSIONES FCI]],+Tabla5[[#This Row],[INVERSIONES FCI]]-F236,Tabla5[[#This Row],[INVERSIONES FCI]])</f>
        <v>48469898607.477745</v>
      </c>
      <c r="G237" s="5">
        <f>IF($B236&lt;=Tabla5[[#This Row],[INVERSIONES FCI]],+Tabla5[[#This Row],[INVERSIONES FCI]]-G236,Tabla5[[#This Row],[INVERSIONES FCI]])</f>
        <v>48469898607.477745</v>
      </c>
      <c r="H237" s="5">
        <f>IF($B236&lt;=Tabla5[[#This Row],[INVERSIONES FCI]],+Tabla5[[#This Row],[INVERSIONES FCI]]-H236,Tabla5[[#This Row],[INVERSIONES FCI]])</f>
        <v>48469898607.477745</v>
      </c>
      <c r="I237" s="5">
        <f>IF($B236&lt;=Tabla5[[#This Row],[INVERSIONES FCI]],+Tabla5[[#This Row],[INVERSIONES FCI]]-I236,Tabla5[[#This Row],[INVERSIONES FCI]])</f>
        <v>48469898607.477745</v>
      </c>
      <c r="J237" s="5">
        <f>IF($B236&lt;=Tabla5[[#This Row],[INVERSIONES FCI]],+Tabla5[[#This Row],[INVERSIONES FCI]]-J236,Tabla5[[#This Row],[INVERSIONES FCI]])</f>
        <v>48469898607.477745</v>
      </c>
      <c r="K237" s="5">
        <f>IF($B236&lt;=Tabla5[[#This Row],[INVERSIONES FCI]],+Tabla5[[#This Row],[INVERSIONES FCI]]-K236,Tabla5[[#This Row],[INVERSIONES FCI]])</f>
        <v>48469898607.477745</v>
      </c>
      <c r="L237" s="5">
        <f>IF($B236&lt;=Tabla5[[#This Row],[INVERSIONES FCI]],+Tabla5[[#This Row],[INVERSIONES FCI]]-L236,Tabla5[[#This Row],[INVERSIONES FCI]])</f>
        <v>48469898607.477745</v>
      </c>
      <c r="M237" s="5">
        <f>IF($B236&lt;=Tabla5[[#This Row],[INVERSIONES FCI]],+Tabla5[[#This Row],[INVERSIONES FCI]]-M236,Tabla5[[#This Row],[INVERSIONES FCI]])</f>
        <v>48469898607.477745</v>
      </c>
      <c r="N237" s="5">
        <f>IF($B236&lt;=Tabla5[[#This Row],[INVERSIONES FCI]],+Tabla5[[#This Row],[INVERSIONES FCI]]-N236,Tabla5[[#This Row],[INVERSIONES FCI]])</f>
        <v>48469898607.477745</v>
      </c>
      <c r="O237" s="5">
        <f>IF($B236&lt;=Tabla5[[#This Row],[INVERSIONES FCI]],+Tabla5[[#This Row],[INVERSIONES FCI]]-O236,Tabla5[[#This Row],[INVERSIONES FCI]])</f>
        <v>48469898607.477745</v>
      </c>
      <c r="P237" s="5">
        <f>IF($B236&lt;=Tabla5[[#This Row],[INVERSIONES FCI]],+Tabla5[[#This Row],[INVERSIONES FCI]]-P236,Tabla5[[#This Row],[INVERSIONES FCI]])</f>
        <v>48469898607.477745</v>
      </c>
      <c r="Q237" s="5">
        <f>IF($B236&lt;=Tabla5[[#This Row],[INVERSIONES FCI]],+Tabla5[[#This Row],[INVERSIONES FCI]]-Q236,Tabla5[[#This Row],[INVERSIONES FCI]])</f>
        <v>48469898607.477745</v>
      </c>
      <c r="R237" s="5">
        <f>IF($B236&lt;=Tabla5[[#This Row],[INVERSIONES FCI]],+Tabla5[[#This Row],[INVERSIONES FCI]]-R236,Tabla5[[#This Row],[INVERSIONES FCI]])</f>
        <v>48469898607.477745</v>
      </c>
      <c r="S237" s="5">
        <f>IF($B236&lt;=Tabla5[[#This Row],[INVERSIONES FCI]],+Tabla5[[#This Row],[INVERSIONES FCI]]-S236,Tabla5[[#This Row],[INVERSIONES FCI]])</f>
        <v>48469898607.477745</v>
      </c>
      <c r="T237" s="5">
        <f>IF($B236&lt;=Tabla5[[#This Row],[INVERSIONES FCI]],+Tabla5[[#This Row],[INVERSIONES FCI]]-T236,Tabla5[[#This Row],[INVERSIONES FCI]])</f>
        <v>48469898607.477745</v>
      </c>
      <c r="U237" s="5">
        <f>IF($B236&lt;=Tabla5[[#This Row],[INVERSIONES FCI]],+Tabla5[[#This Row],[INVERSIONES FCI]]-U236,Tabla5[[#This Row],[INVERSIONES FCI]])</f>
        <v>48469898607.477745</v>
      </c>
      <c r="V237" s="5">
        <f>IF($B236&lt;=Tabla5[[#This Row],[INVERSIONES FCI]],+Tabla5[[#This Row],[INVERSIONES FCI]]-V236,Tabla5[[#This Row],[INVERSIONES FCI]])</f>
        <v>48469898607.477745</v>
      </c>
      <c r="W237" s="5">
        <f>IF($B236&lt;=Tabla5[[#This Row],[INVERSIONES FCI]],+Tabla5[[#This Row],[INVERSIONES FCI]]-W236,Tabla5[[#This Row],[INVERSIONES FCI]])</f>
        <v>48469898607.477745</v>
      </c>
      <c r="X237" s="5">
        <f>IF($B236&lt;=Tabla5[[#This Row],[INVERSIONES FCI]],+Tabla5[[#This Row],[INVERSIONES FCI]]-X236,Tabla5[[#This Row],[INVERSIONES FCI]])</f>
        <v>48469898607.477745</v>
      </c>
      <c r="Y237" s="5">
        <f>IF($B236&lt;=Tabla5[[#This Row],[INVERSIONES FCI]],+Tabla5[[#This Row],[INVERSIONES FCI]]-Y236,Tabla5[[#This Row],[INVERSIONES FCI]])</f>
        <v>48469898607.477745</v>
      </c>
      <c r="Z237" s="5">
        <f>IF($B236&lt;=Tabla5[[#This Row],[INVERSIONES FCI]],+Tabla5[[#This Row],[INVERSIONES FCI]]-Z236,Tabla5[[#This Row],[INVERSIONES FCI]])</f>
        <v>48469898607.477745</v>
      </c>
      <c r="AA237" s="5">
        <f>IF($B236&lt;=Tabla5[[#This Row],[INVERSIONES FCI]],+Tabla5[[#This Row],[INVERSIONES FCI]]-AA236,Tabla5[[#This Row],[INVERSIONES FCI]])</f>
        <v>48469898607.477745</v>
      </c>
      <c r="AB237" s="5">
        <f>IF($B236&lt;=Tabla5[[#This Row],[INVERSIONES FCI]],+Tabla5[[#This Row],[INVERSIONES FCI]]-AB236,Tabla5[[#This Row],[INVERSIONES FCI]])</f>
        <v>48469898607.477745</v>
      </c>
      <c r="AC237" s="5">
        <f>IF($B236&lt;=Tabla5[[#This Row],[INVERSIONES FCI]],+Tabla5[[#This Row],[INVERSIONES FCI]]-AC236,Tabla5[[#This Row],[INVERSIONES FCI]])</f>
        <v>48469898607.477745</v>
      </c>
      <c r="AD237" s="5">
        <f>IF($B236&lt;=Tabla5[[#This Row],[INVERSIONES FCI]],+Tabla5[[#This Row],[INVERSIONES FCI]]-AD236,Tabla5[[#This Row],[INVERSIONES FCI]])</f>
        <v>48469898607.477745</v>
      </c>
      <c r="AE237" s="5">
        <f>IF($B236&lt;=Tabla5[[#This Row],[INVERSIONES FCI]],+Tabla5[[#This Row],[INVERSIONES FCI]]-AE236,Tabla5[[#This Row],[INVERSIONES FCI]])</f>
        <v>48469898607.477745</v>
      </c>
      <c r="AF237" s="5">
        <f>IF($B236&lt;=Tabla5[[#This Row],[INVERSIONES FCI]],+Tabla5[[#This Row],[INVERSIONES FCI]]-AF236,Tabla5[[#This Row],[INVERSIONES FCI]])</f>
        <v>48469898607.477745</v>
      </c>
      <c r="AG237" s="5">
        <f>IF($B236&lt;=Tabla5[[#This Row],[INVERSIONES FCI]],+Tabla5[[#This Row],[INVERSIONES FCI]]-AG236,Tabla5[[#This Row],[INVERSIONES FCI]])</f>
        <v>48469898607.477745</v>
      </c>
      <c r="AH237" s="5">
        <f>IF($B236&lt;=Tabla5[[#This Row],[INVERSIONES FCI]],+Tabla5[[#This Row],[INVERSIONES FCI]]-AH236,Tabla5[[#This Row],[INVERSIONES FCI]])</f>
        <v>48469898607.477745</v>
      </c>
      <c r="AI237" s="5">
        <f>IF($B236&lt;=Tabla5[[#This Row],[INVERSIONES FCI]],+Tabla5[[#This Row],[INVERSIONES FCI]]-AI236,Tabla5[[#This Row],[INVERSIONES FCI]])</f>
        <v>48469898607.477745</v>
      </c>
      <c r="AJ237" s="5">
        <f>IF($B236&lt;=Tabla5[[#This Row],[INVERSIONES FCI]],+Tabla5[[#This Row],[INVERSIONES FCI]]-AJ236,Tabla5[[#This Row],[INVERSIONES FCI]])</f>
        <v>48469898607.477745</v>
      </c>
      <c r="AK237" s="5">
        <f>IF($B236&lt;=Tabla5[[#This Row],[INVERSIONES FCI]],+Tabla5[[#This Row],[INVERSIONES FCI]]-AK236,Tabla5[[#This Row],[INVERSIONES FCI]])</f>
        <v>48469898607.477745</v>
      </c>
      <c r="AL237" s="5">
        <f>IF($B236&lt;=Tabla5[[#This Row],[INVERSIONES FCI]],+Tabla5[[#This Row],[INVERSIONES FCI]]-AL236,Tabla5[[#This Row],[INVERSIONES FCI]])</f>
        <v>48469898607.477745</v>
      </c>
      <c r="AM237" s="5">
        <f>IF($B236&lt;=Tabla5[[#This Row],[INVERSIONES FCI]],+Tabla5[[#This Row],[INVERSIONES FCI]]-AM236,Tabla5[[#This Row],[INVERSIONES FCI]])</f>
        <v>48469898607.477745</v>
      </c>
      <c r="AN237" s="5">
        <f>IF($B236&lt;=Tabla5[[#This Row],[INVERSIONES FCI]],+Tabla5[[#This Row],[INVERSIONES FCI]]-AN236,Tabla5[[#This Row],[INVERSIONES FCI]])</f>
        <v>48469898607.477745</v>
      </c>
      <c r="AO237" s="5">
        <f>IF($B236&lt;=Tabla5[[#This Row],[INVERSIONES FCI]],+Tabla5[[#This Row],[INVERSIONES FCI]]-AO236,Tabla5[[#This Row],[INVERSIONES FCI]])</f>
        <v>48469898607.477745</v>
      </c>
      <c r="AP237" s="5">
        <f>IF($B236&lt;=Tabla5[[#This Row],[INVERSIONES FCI]],+Tabla5[[#This Row],[INVERSIONES FCI]]-AP236,Tabla5[[#This Row],[INVERSIONES FCI]])</f>
        <v>48469898607.477745</v>
      </c>
      <c r="AQ237" s="5">
        <f>IF($B236&lt;=Tabla5[[#This Row],[INVERSIONES FCI]],+Tabla5[[#This Row],[INVERSIONES FCI]]-AQ236,Tabla5[[#This Row],[INVERSIONES FCI]])</f>
        <v>48469898607.477745</v>
      </c>
      <c r="AR237" s="5">
        <f>IF($B236&lt;=Tabla5[[#This Row],[INVERSIONES FCI]],+Tabla5[[#This Row],[INVERSIONES FCI]]-AR236,Tabla5[[#This Row],[INVERSIONES FCI]])</f>
        <v>48469898607.477745</v>
      </c>
      <c r="AS237" s="5">
        <f>IF($B236&lt;=Tabla5[[#This Row],[INVERSIONES FCI]],+Tabla5[[#This Row],[INVERSIONES FCI]]-AS236,Tabla5[[#This Row],[INVERSIONES FCI]])</f>
        <v>48469898607.477745</v>
      </c>
      <c r="AT237" s="5">
        <f>IF($B236&lt;=Tabla5[[#This Row],[INVERSIONES FCI]],+Tabla5[[#This Row],[INVERSIONES FCI]]-AT236,Tabla5[[#This Row],[INVERSIONES FCI]])</f>
        <v>48469898607.477745</v>
      </c>
      <c r="AU237" s="5">
        <f>IF($B236&lt;=Tabla5[[#This Row],[INVERSIONES FCI]],+Tabla5[[#This Row],[INVERSIONES FCI]]-AU236,Tabla5[[#This Row],[INVERSIONES FCI]])</f>
        <v>48469898607.477745</v>
      </c>
      <c r="AV237" s="5">
        <f>IF($B236&lt;=Tabla5[[#This Row],[INVERSIONES FCI]],+Tabla5[[#This Row],[INVERSIONES FCI]]-AV236,Tabla5[[#This Row],[INVERSIONES FCI]])</f>
        <v>48469898607.477745</v>
      </c>
      <c r="AW237" s="5">
        <f>IF($B236&lt;=Tabla5[[#This Row],[INVERSIONES FCI]],+Tabla5[[#This Row],[INVERSIONES FCI]]-AW236,Tabla5[[#This Row],[INVERSIONES FCI]])</f>
        <v>48469898607.477745</v>
      </c>
      <c r="AX237" s="5">
        <f>IF($B236&lt;=Tabla5[[#This Row],[INVERSIONES FCI]],+Tabla5[[#This Row],[INVERSIONES FCI]]-AX236,Tabla5[[#This Row],[INVERSIONES FCI]])</f>
        <v>48469898607.477745</v>
      </c>
      <c r="AY237" s="5">
        <f>IF($B236&lt;=Tabla5[[#This Row],[INVERSIONES FCI]],+Tabla5[[#This Row],[INVERSIONES FCI]]-AY236,Tabla5[[#This Row],[INVERSIONES FCI]])</f>
        <v>48469898607.477745</v>
      </c>
      <c r="AZ237" s="5">
        <f>IF($B236&lt;=Tabla5[[#This Row],[INVERSIONES FCI]],+Tabla5[[#This Row],[INVERSIONES FCI]]-AZ236,Tabla5[[#This Row],[INVERSIONES FCI]])</f>
        <v>48469898607.477745</v>
      </c>
      <c r="BA237" s="5">
        <f>IF($B236&lt;=Tabla5[[#This Row],[INVERSIONES FCI]],+Tabla5[[#This Row],[INVERSIONES FCI]]-BA236,Tabla5[[#This Row],[INVERSIONES FCI]])</f>
        <v>48469898607.477745</v>
      </c>
      <c r="BB237" s="5">
        <f>IF($B236&lt;=Tabla5[[#This Row],[INVERSIONES FCI]],+Tabla5[[#This Row],[INVERSIONES FCI]]-BB236,Tabla5[[#This Row],[INVERSIONES FCI]])</f>
        <v>48469898607.477745</v>
      </c>
      <c r="BC237" s="5">
        <f>IF($B236&lt;=Tabla5[[#This Row],[INVERSIONES FCI]],+Tabla5[[#This Row],[INVERSIONES FCI]]-BC236,Tabla5[[#This Row],[INVERSIONES FCI]])</f>
        <v>48469898607.477745</v>
      </c>
      <c r="BD237" s="5">
        <f>IF($B236&lt;=Tabla5[[#This Row],[INVERSIONES FCI]],+Tabla5[[#This Row],[INVERSIONES FCI]]-BD236,Tabla5[[#This Row],[INVERSIONES FCI]])</f>
        <v>48469898607.477745</v>
      </c>
      <c r="BE237" s="5">
        <f>IF($B236&lt;=Tabla5[[#This Row],[INVERSIONES FCI]],+Tabla5[[#This Row],[INVERSIONES FCI]]-BE236,Tabla5[[#This Row],[INVERSIONES FCI]])</f>
        <v>48469898607.477745</v>
      </c>
      <c r="BF237" s="5">
        <f>IF($B236&lt;=Tabla5[[#This Row],[INVERSIONES FCI]],+Tabla5[[#This Row],[INVERSIONES FCI]]-BF236,Tabla5[[#This Row],[INVERSIONES FCI]])</f>
        <v>48469898607.477745</v>
      </c>
      <c r="BG237" s="5">
        <f>IF($B236&lt;=Tabla5[[#This Row],[INVERSIONES FCI]],+Tabla5[[#This Row],[INVERSIONES FCI]]-BG236,Tabla5[[#This Row],[INVERSIONES FCI]])</f>
        <v>48469898607.477745</v>
      </c>
      <c r="BH237" s="5">
        <f>IF($B236&lt;=Tabla5[[#This Row],[INVERSIONES FCI]],+Tabla5[[#This Row],[INVERSIONES FCI]]-BH236,Tabla5[[#This Row],[INVERSIONES FCI]])</f>
        <v>48469898607.477745</v>
      </c>
      <c r="BI237" s="5">
        <f>IF($B236&lt;=Tabla5[[#This Row],[INVERSIONES FCI]],+Tabla5[[#This Row],[INVERSIONES FCI]]-BI236,Tabla5[[#This Row],[INVERSIONES FCI]])</f>
        <v>48469898607.477745</v>
      </c>
      <c r="BJ237" s="5">
        <f>IF($B236&lt;=Tabla5[[#This Row],[INVERSIONES FCI]],+Tabla5[[#This Row],[INVERSIONES FCI]]-BJ236,Tabla5[[#This Row],[INVERSIONES FCI]])</f>
        <v>48469898607.477745</v>
      </c>
      <c r="BK237" s="5">
        <f>IF($B236&lt;=Tabla5[[#This Row],[INVERSIONES FCI]],+Tabla5[[#This Row],[INVERSIONES FCI]]-BK236,Tabla5[[#This Row],[INVERSIONES FCI]])</f>
        <v>48469898607.477745</v>
      </c>
      <c r="BL237" s="5">
        <f>IF($B236&lt;=Tabla5[[#This Row],[INVERSIONES FCI]],+Tabla5[[#This Row],[INVERSIONES FCI]]-BL236,Tabla5[[#This Row],[INVERSIONES FCI]])</f>
        <v>48469898607.477745</v>
      </c>
      <c r="BM237" s="5">
        <f>IF($B236&lt;=Tabla5[[#This Row],[INVERSIONES FCI]],+Tabla5[[#This Row],[INVERSIONES FCI]]-BM236,Tabla5[[#This Row],[INVERSIONES FCI]])</f>
        <v>48469898607.477745</v>
      </c>
      <c r="BN237" s="5">
        <f>IF($B236&lt;=Tabla5[[#This Row],[INVERSIONES FCI]],+Tabla5[[#This Row],[INVERSIONES FCI]]-BN236,Tabla5[[#This Row],[INVERSIONES FCI]])</f>
        <v>48469898607.477745</v>
      </c>
      <c r="BO237" s="5">
        <f>IF($B236&lt;=Tabla5[[#This Row],[INVERSIONES FCI]],+Tabla5[[#This Row],[INVERSIONES FCI]]-BO236,Tabla5[[#This Row],[INVERSIONES FCI]])</f>
        <v>48469898607.477745</v>
      </c>
      <c r="BP237" s="5">
        <f>IF($B236&lt;=Tabla5[[#This Row],[INVERSIONES FCI]],+Tabla5[[#This Row],[INVERSIONES FCI]]-BP236,Tabla5[[#This Row],[INVERSIONES FCI]])</f>
        <v>48469898607.477745</v>
      </c>
      <c r="BQ237" s="5">
        <f>IF($B236&lt;=Tabla5[[#This Row],[INVERSIONES FCI]],+Tabla5[[#This Row],[INVERSIONES FCI]]-BQ236,Tabla5[[#This Row],[INVERSIONES FCI]])</f>
        <v>48469898607.477745</v>
      </c>
      <c r="BR237" s="5">
        <f>IF($B236&lt;=Tabla5[[#This Row],[INVERSIONES FCI]],+Tabla5[[#This Row],[INVERSIONES FCI]]-BR236,Tabla5[[#This Row],[INVERSIONES FCI]])</f>
        <v>48469898607.477745</v>
      </c>
      <c r="BS237" s="5">
        <f>IF($B236&lt;=Tabla5[[#This Row],[INVERSIONES FCI]],+Tabla5[[#This Row],[INVERSIONES FCI]]-BS236,Tabla5[[#This Row],[INVERSIONES FCI]])</f>
        <v>48469898607.477745</v>
      </c>
      <c r="BT237" s="5">
        <f>IF($B236&lt;=Tabla5[[#This Row],[INVERSIONES FCI]],+Tabla5[[#This Row],[INVERSIONES FCI]]-BT236,Tabla5[[#This Row],[INVERSIONES FCI]])</f>
        <v>48469898607.477745</v>
      </c>
      <c r="BU237" s="5">
        <f>IF($B236&lt;=Tabla5[[#This Row],[INVERSIONES FCI]],+Tabla5[[#This Row],[INVERSIONES FCI]]-BU236,Tabla5[[#This Row],[INVERSIONES FCI]])</f>
        <v>48469898607.477745</v>
      </c>
      <c r="BV237" s="5">
        <f>IF($B236&lt;=Tabla5[[#This Row],[INVERSIONES FCI]],+Tabla5[[#This Row],[INVERSIONES FCI]]-BV236,Tabla5[[#This Row],[INVERSIONES FCI]])</f>
        <v>48469898607.477745</v>
      </c>
      <c r="BW237" s="5">
        <f>IF($B236&lt;=Tabla5[[#This Row],[INVERSIONES FCI]],+Tabla5[[#This Row],[INVERSIONES FCI]]-BW236,Tabla5[[#This Row],[INVERSIONES FCI]])</f>
        <v>48469898607.477745</v>
      </c>
      <c r="BX237" s="5">
        <f>IF($B236&lt;=Tabla5[[#This Row],[INVERSIONES FCI]],+Tabla5[[#This Row],[INVERSIONES FCI]]-BX236,Tabla5[[#This Row],[INVERSIONES FCI]])</f>
        <v>48469898607.477745</v>
      </c>
      <c r="BY237" s="5">
        <f>IF($B236&lt;=Tabla5[[#This Row],[INVERSIONES FCI]],+Tabla5[[#This Row],[INVERSIONES FCI]]-BY236,Tabla5[[#This Row],[INVERSIONES FCI]])</f>
        <v>48469898607.477745</v>
      </c>
      <c r="BZ237" s="5">
        <f>IF($B236&lt;=Tabla5[[#This Row],[INVERSIONES FCI]],+Tabla5[[#This Row],[INVERSIONES FCI]]-BZ236,Tabla5[[#This Row],[INVERSIONES FCI]])</f>
        <v>48469898607.477745</v>
      </c>
      <c r="CA237" s="5">
        <f>IF($B236&lt;=Tabla5[[#This Row],[INVERSIONES FCI]],+Tabla5[[#This Row],[INVERSIONES FCI]]-CA236,Tabla5[[#This Row],[INVERSIONES FCI]])</f>
        <v>48469898607.477745</v>
      </c>
      <c r="CB237" s="5">
        <f>IF($B236&lt;=Tabla5[[#This Row],[INVERSIONES FCI]],+Tabla5[[#This Row],[INVERSIONES FCI]]-CB236,Tabla5[[#This Row],[INVERSIONES FCI]])</f>
        <v>48469898607.477745</v>
      </c>
      <c r="CC237" s="5">
        <f>IF($B236&lt;=Tabla5[[#This Row],[INVERSIONES FCI]],+Tabla5[[#This Row],[INVERSIONES FCI]]-CC236,Tabla5[[#This Row],[INVERSIONES FCI]])</f>
        <v>48469898607.477745</v>
      </c>
      <c r="CD237" s="5">
        <f>IF($B236&lt;=Tabla5[[#This Row],[INVERSIONES FCI]],+Tabla5[[#This Row],[INVERSIONES FCI]]-CD236,Tabla5[[#This Row],[INVERSIONES FCI]])</f>
        <v>48469898607.477745</v>
      </c>
      <c r="CE237" s="5">
        <f>IF($B236&lt;=Tabla5[[#This Row],[INVERSIONES FCI]],+Tabla5[[#This Row],[INVERSIONES FCI]]-CE236,Tabla5[[#This Row],[INVERSIONES FCI]])</f>
        <v>48469898607.477745</v>
      </c>
      <c r="CF237" s="5">
        <f>IF($B236&lt;=Tabla5[[#This Row],[INVERSIONES FCI]],+Tabla5[[#This Row],[INVERSIONES FCI]]-CF236,Tabla5[[#This Row],[INVERSIONES FCI]])</f>
        <v>48469898607.477745</v>
      </c>
      <c r="CG237" s="5">
        <f>IF($B236&lt;=Tabla5[[#This Row],[INVERSIONES FCI]],+Tabla5[[#This Row],[INVERSIONES FCI]]-CG236,Tabla5[[#This Row],[INVERSIONES FCI]])</f>
        <v>48469898607.477745</v>
      </c>
      <c r="CH237" s="5">
        <f>IF($B236&lt;=Tabla5[[#This Row],[INVERSIONES FCI]],+Tabla5[[#This Row],[INVERSIONES FCI]]-CH236,Tabla5[[#This Row],[INVERSIONES FCI]])</f>
        <v>48469898607.477745</v>
      </c>
      <c r="CI237" s="5">
        <f>IF($B236&lt;=Tabla5[[#This Row],[INVERSIONES FCI]],+Tabla5[[#This Row],[INVERSIONES FCI]]-CI236,Tabla5[[#This Row],[INVERSIONES FCI]])</f>
        <v>48469898607.477745</v>
      </c>
      <c r="CJ237" s="5">
        <f>IF($B236&lt;=Tabla5[[#This Row],[INVERSIONES FCI]],+Tabla5[[#This Row],[INVERSIONES FCI]]-CJ236,Tabla5[[#This Row],[INVERSIONES FCI]])</f>
        <v>48469898607.477745</v>
      </c>
      <c r="CK237" s="5">
        <f>IF($B236&lt;=Tabla5[[#This Row],[INVERSIONES FCI]],+Tabla5[[#This Row],[INVERSIONES FCI]]-CK236,Tabla5[[#This Row],[INVERSIONES FCI]])</f>
        <v>48469898607.477745</v>
      </c>
      <c r="CL237" s="5">
        <f>IF($B236&lt;=Tabla5[[#This Row],[INVERSIONES FCI]],+Tabla5[[#This Row],[INVERSIONES FCI]]-CL236,Tabla5[[#This Row],[INVERSIONES FCI]])</f>
        <v>48469898607.477745</v>
      </c>
      <c r="CM237" s="5">
        <f>IF($B236&lt;=Tabla5[[#This Row],[INVERSIONES FCI]],+Tabla5[[#This Row],[INVERSIONES FCI]]-CM236,Tabla5[[#This Row],[INVERSIONES FCI]])</f>
        <v>48469898607.477745</v>
      </c>
      <c r="CN237" s="5">
        <f>IF($B236&lt;=Tabla5[[#This Row],[INVERSIONES FCI]],+Tabla5[[#This Row],[INVERSIONES FCI]]-CN236,Tabla5[[#This Row],[INVERSIONES FCI]])</f>
        <v>48469898607.477745</v>
      </c>
      <c r="CO237" s="5">
        <f>IF($B236&lt;=Tabla5[[#This Row],[INVERSIONES FCI]],+Tabla5[[#This Row],[INVERSIONES FCI]]-CO236,Tabla5[[#This Row],[INVERSIONES FCI]])</f>
        <v>48469898607.477745</v>
      </c>
      <c r="CP237" s="5">
        <f>IF($B236&lt;=Tabla5[[#This Row],[INVERSIONES FCI]],+Tabla5[[#This Row],[INVERSIONES FCI]]-CP236,Tabla5[[#This Row],[INVERSIONES FCI]])</f>
        <v>48469898607.477745</v>
      </c>
      <c r="CQ237" s="5">
        <f>IF($B236&lt;=Tabla5[[#This Row],[INVERSIONES FCI]],+Tabla5[[#This Row],[INVERSIONES FCI]]-CQ236,Tabla5[[#This Row],[INVERSIONES FCI]])</f>
        <v>48469898607.477745</v>
      </c>
      <c r="CR237" s="5">
        <f>IF($B236&lt;=Tabla5[[#This Row],[INVERSIONES FCI]],+Tabla5[[#This Row],[INVERSIONES FCI]]-CR236,Tabla5[[#This Row],[INVERSIONES FCI]])</f>
        <v>48469898607.477745</v>
      </c>
      <c r="CS237" s="5">
        <f>IF($B236&lt;=Tabla5[[#This Row],[INVERSIONES FCI]],+Tabla5[[#This Row],[INVERSIONES FCI]]-CS236,Tabla5[[#This Row],[INVERSIONES FCI]])</f>
        <v>48469898607.477745</v>
      </c>
      <c r="CT237" s="5">
        <f>IF($B236&lt;=Tabla5[[#This Row],[INVERSIONES FCI]],+Tabla5[[#This Row],[INVERSIONES FCI]]-CT236,Tabla5[[#This Row],[INVERSIONES FCI]])</f>
        <v>48469898607.477745</v>
      </c>
      <c r="CU237" s="5">
        <f>IF($B236&lt;=Tabla5[[#This Row],[INVERSIONES FCI]],+Tabla5[[#This Row],[INVERSIONES FCI]]-CU236,Tabla5[[#This Row],[INVERSIONES FCI]])</f>
        <v>48469898607.477745</v>
      </c>
      <c r="CV237" s="5">
        <f>IF($B236&lt;=Tabla5[[#This Row],[INVERSIONES FCI]],+Tabla5[[#This Row],[INVERSIONES FCI]]-CV236,Tabla5[[#This Row],[INVERSIONES FCI]])</f>
        <v>48469898607.477745</v>
      </c>
      <c r="CW237" s="5">
        <f>IF($B236&lt;=Tabla5[[#This Row],[INVERSIONES FCI]],+Tabla5[[#This Row],[INVERSIONES FCI]]-CW236,Tabla5[[#This Row],[INVERSIONES FCI]])</f>
        <v>48469898607.477745</v>
      </c>
      <c r="CX237" s="5">
        <f>IF($B236&lt;=Tabla5[[#This Row],[INVERSIONES FCI]],+Tabla5[[#This Row],[INVERSIONES FCI]]-CX236,Tabla5[[#This Row],[INVERSIONES FCI]])</f>
        <v>48469898607.477745</v>
      </c>
      <c r="CY237" s="5">
        <f>IF($B236&lt;=Tabla5[[#This Row],[INVERSIONES FCI]],+Tabla5[[#This Row],[INVERSIONES FCI]]-CY236,Tabla5[[#This Row],[INVERSIONES FCI]])</f>
        <v>48469898607.477745</v>
      </c>
      <c r="CZ237" s="5">
        <f>IF($B236&lt;=Tabla5[[#This Row],[INVERSIONES FCI]],+Tabla5[[#This Row],[INVERSIONES FCI]]-CZ236,Tabla5[[#This Row],[INVERSIONES FCI]])</f>
        <v>48469898607.477745</v>
      </c>
      <c r="DA237" s="5">
        <f>IF($B236&lt;=Tabla5[[#This Row],[INVERSIONES FCI]],+Tabla5[[#This Row],[INVERSIONES FCI]]-DA236,Tabla5[[#This Row],[INVERSIONES FCI]])</f>
        <v>48469898607.477745</v>
      </c>
      <c r="DB237" s="5">
        <f>IF($B236&lt;=Tabla5[[#This Row],[INVERSIONES FCI]],+Tabla5[[#This Row],[INVERSIONES FCI]]-DB236,Tabla5[[#This Row],[INVERSIONES FCI]])</f>
        <v>48469898607.477745</v>
      </c>
      <c r="DC237" s="5">
        <f>IF($B236&lt;=Tabla5[[#This Row],[INVERSIONES FCI]],+Tabla5[[#This Row],[INVERSIONES FCI]]-DC236,Tabla5[[#This Row],[INVERSIONES FCI]])</f>
        <v>48469898607.477745</v>
      </c>
      <c r="DD237" s="5">
        <f>IF($B236&lt;=Tabla5[[#This Row],[INVERSIONES FCI]],+Tabla5[[#This Row],[INVERSIONES FCI]]-DD236,Tabla5[[#This Row],[INVERSIONES FCI]])</f>
        <v>48469898607.477745</v>
      </c>
      <c r="DE237" s="5">
        <f>IF($B236&lt;=Tabla5[[#This Row],[INVERSIONES FCI]],+Tabla5[[#This Row],[INVERSIONES FCI]]-DE236,Tabla5[[#This Row],[INVERSIONES FCI]])</f>
        <v>48469898607.477745</v>
      </c>
      <c r="DF237" s="5">
        <f>IF($B236&lt;=Tabla5[[#This Row],[INVERSIONES FCI]],+Tabla5[[#This Row],[INVERSIONES FCI]]-DF236,Tabla5[[#This Row],[INVERSIONES FCI]])</f>
        <v>48469898607.477745</v>
      </c>
      <c r="DG237" s="5">
        <f>IF($B236&lt;=Tabla5[[#This Row],[INVERSIONES FCI]],+Tabla5[[#This Row],[INVERSIONES FCI]]-DG236,Tabla5[[#This Row],[INVERSIONES FCI]])</f>
        <v>48469898607.477745</v>
      </c>
      <c r="DH237" s="5">
        <f>IF($B236&lt;=Tabla5[[#This Row],[INVERSIONES FCI]],+Tabla5[[#This Row],[INVERSIONES FCI]]-DH236,Tabla5[[#This Row],[INVERSIONES FCI]])</f>
        <v>48469898607.477745</v>
      </c>
      <c r="DI237" s="5">
        <f>IF($B236&lt;=Tabla5[[#This Row],[INVERSIONES FCI]],+Tabla5[[#This Row],[INVERSIONES FCI]]-DI236,Tabla5[[#This Row],[INVERSIONES FCI]])</f>
        <v>48469898607.477745</v>
      </c>
      <c r="DJ237" s="5">
        <f>IF($B236&lt;=Tabla5[[#This Row],[INVERSIONES FCI]],+Tabla5[[#This Row],[INVERSIONES FCI]]-DJ236,Tabla5[[#This Row],[INVERSIONES FCI]])</f>
        <v>48469898607.477745</v>
      </c>
      <c r="DK237" s="5">
        <f>IF($B236&lt;=Tabla5[[#This Row],[INVERSIONES FCI]],+Tabla5[[#This Row],[INVERSIONES FCI]]-DK236,Tabla5[[#This Row],[INVERSIONES FCI]])</f>
        <v>48469898607.477745</v>
      </c>
      <c r="DL237" s="5"/>
      <c r="DM237" s="5"/>
      <c r="DN237" s="5"/>
      <c r="DO237" s="5"/>
      <c r="DP237" s="5"/>
      <c r="DQ237" s="5"/>
    </row>
    <row r="238" spans="1:121" ht="14.4">
      <c r="A238" s="12" t="s">
        <v>237</v>
      </c>
      <c r="B238" s="5">
        <f>HLOOKUP($A238,ESCENARIO[#All],7,FALSE)</f>
        <v>54690295105.847679</v>
      </c>
      <c r="C238" s="5">
        <f>IF($B237&lt;=Tabla5[[#This Row],[INVERSIONES FCI]],+Tabla5[[#This Row],[INVERSIONES FCI]]-C237,Tabla5[[#This Row],[INVERSIONES FCI]])</f>
        <v>6220396498.3699341</v>
      </c>
      <c r="D238" s="5">
        <f>IF($B237&lt;=Tabla5[[#This Row],[INVERSIONES FCI]],+Tabla5[[#This Row],[INVERSIONES FCI]]-D237,Tabla5[[#This Row],[INVERSIONES FCI]])</f>
        <v>6220396498.3699341</v>
      </c>
      <c r="E238" s="5">
        <f>IF($B237&lt;=Tabla5[[#This Row],[INVERSIONES FCI]],+Tabla5[[#This Row],[INVERSIONES FCI]]-E237,Tabla5[[#This Row],[INVERSIONES FCI]])</f>
        <v>6220396498.3699341</v>
      </c>
      <c r="F238" s="5">
        <f>IF($B237&lt;=Tabla5[[#This Row],[INVERSIONES FCI]],+Tabla5[[#This Row],[INVERSIONES FCI]]-F237,Tabla5[[#This Row],[INVERSIONES FCI]])</f>
        <v>6220396498.3699341</v>
      </c>
      <c r="G238" s="5">
        <f>IF($B237&lt;=Tabla5[[#This Row],[INVERSIONES FCI]],+Tabla5[[#This Row],[INVERSIONES FCI]]-G237,Tabla5[[#This Row],[INVERSIONES FCI]])</f>
        <v>6220396498.3699341</v>
      </c>
      <c r="H238" s="5">
        <f>IF($B237&lt;=Tabla5[[#This Row],[INVERSIONES FCI]],+Tabla5[[#This Row],[INVERSIONES FCI]]-H237,Tabla5[[#This Row],[INVERSIONES FCI]])</f>
        <v>6220396498.3699341</v>
      </c>
      <c r="I238" s="5">
        <f>IF($B237&lt;=Tabla5[[#This Row],[INVERSIONES FCI]],+Tabla5[[#This Row],[INVERSIONES FCI]]-I237,Tabla5[[#This Row],[INVERSIONES FCI]])</f>
        <v>6220396498.3699341</v>
      </c>
      <c r="J238" s="5">
        <f>IF($B237&lt;=Tabla5[[#This Row],[INVERSIONES FCI]],+Tabla5[[#This Row],[INVERSIONES FCI]]-J237,Tabla5[[#This Row],[INVERSIONES FCI]])</f>
        <v>6220396498.3699341</v>
      </c>
      <c r="K238" s="5">
        <f>IF($B237&lt;=Tabla5[[#This Row],[INVERSIONES FCI]],+Tabla5[[#This Row],[INVERSIONES FCI]]-K237,Tabla5[[#This Row],[INVERSIONES FCI]])</f>
        <v>6220396498.3699341</v>
      </c>
      <c r="L238" s="5">
        <f>IF($B237&lt;=Tabla5[[#This Row],[INVERSIONES FCI]],+Tabla5[[#This Row],[INVERSIONES FCI]]-L237,Tabla5[[#This Row],[INVERSIONES FCI]])</f>
        <v>6220396498.3699341</v>
      </c>
      <c r="M238" s="5">
        <f>IF($B237&lt;=Tabla5[[#This Row],[INVERSIONES FCI]],+Tabla5[[#This Row],[INVERSIONES FCI]]-M237,Tabla5[[#This Row],[INVERSIONES FCI]])</f>
        <v>6220396498.3699341</v>
      </c>
      <c r="N238" s="5">
        <f>IF($B237&lt;=Tabla5[[#This Row],[INVERSIONES FCI]],+Tabla5[[#This Row],[INVERSIONES FCI]]-N237,Tabla5[[#This Row],[INVERSIONES FCI]])</f>
        <v>6220396498.3699341</v>
      </c>
      <c r="O238" s="5">
        <f>IF($B237&lt;=Tabla5[[#This Row],[INVERSIONES FCI]],+Tabla5[[#This Row],[INVERSIONES FCI]]-O237,Tabla5[[#This Row],[INVERSIONES FCI]])</f>
        <v>6220396498.3699341</v>
      </c>
      <c r="P238" s="5">
        <f>IF($B237&lt;=Tabla5[[#This Row],[INVERSIONES FCI]],+Tabla5[[#This Row],[INVERSIONES FCI]]-P237,Tabla5[[#This Row],[INVERSIONES FCI]])</f>
        <v>6220396498.3699341</v>
      </c>
      <c r="Q238" s="5">
        <f>IF($B237&lt;=Tabla5[[#This Row],[INVERSIONES FCI]],+Tabla5[[#This Row],[INVERSIONES FCI]]-Q237,Tabla5[[#This Row],[INVERSIONES FCI]])</f>
        <v>6220396498.3699341</v>
      </c>
      <c r="R238" s="5">
        <f>IF($B237&lt;=Tabla5[[#This Row],[INVERSIONES FCI]],+Tabla5[[#This Row],[INVERSIONES FCI]]-R237,Tabla5[[#This Row],[INVERSIONES FCI]])</f>
        <v>6220396498.3699341</v>
      </c>
      <c r="S238" s="5">
        <f>IF($B237&lt;=Tabla5[[#This Row],[INVERSIONES FCI]],+Tabla5[[#This Row],[INVERSIONES FCI]]-S237,Tabla5[[#This Row],[INVERSIONES FCI]])</f>
        <v>6220396498.3699341</v>
      </c>
      <c r="T238" s="5">
        <f>IF($B237&lt;=Tabla5[[#This Row],[INVERSIONES FCI]],+Tabla5[[#This Row],[INVERSIONES FCI]]-T237,Tabla5[[#This Row],[INVERSIONES FCI]])</f>
        <v>6220396498.3699341</v>
      </c>
      <c r="U238" s="5">
        <f>IF($B237&lt;=Tabla5[[#This Row],[INVERSIONES FCI]],+Tabla5[[#This Row],[INVERSIONES FCI]]-U237,Tabla5[[#This Row],[INVERSIONES FCI]])</f>
        <v>6220396498.3699341</v>
      </c>
      <c r="V238" s="5">
        <f>IF($B237&lt;=Tabla5[[#This Row],[INVERSIONES FCI]],+Tabla5[[#This Row],[INVERSIONES FCI]]-V237,Tabla5[[#This Row],[INVERSIONES FCI]])</f>
        <v>6220396498.3699341</v>
      </c>
      <c r="W238" s="5">
        <f>IF($B237&lt;=Tabla5[[#This Row],[INVERSIONES FCI]],+Tabla5[[#This Row],[INVERSIONES FCI]]-W237,Tabla5[[#This Row],[INVERSIONES FCI]])</f>
        <v>6220396498.3699341</v>
      </c>
      <c r="X238" s="5">
        <f>IF($B237&lt;=Tabla5[[#This Row],[INVERSIONES FCI]],+Tabla5[[#This Row],[INVERSIONES FCI]]-X237,Tabla5[[#This Row],[INVERSIONES FCI]])</f>
        <v>6220396498.3699341</v>
      </c>
      <c r="Y238" s="5">
        <f>IF($B237&lt;=Tabla5[[#This Row],[INVERSIONES FCI]],+Tabla5[[#This Row],[INVERSIONES FCI]]-Y237,Tabla5[[#This Row],[INVERSIONES FCI]])</f>
        <v>6220396498.3699341</v>
      </c>
      <c r="Z238" s="5">
        <f>IF($B237&lt;=Tabla5[[#This Row],[INVERSIONES FCI]],+Tabla5[[#This Row],[INVERSIONES FCI]]-Z237,Tabla5[[#This Row],[INVERSIONES FCI]])</f>
        <v>6220396498.3699341</v>
      </c>
      <c r="AA238" s="5">
        <f>IF($B237&lt;=Tabla5[[#This Row],[INVERSIONES FCI]],+Tabla5[[#This Row],[INVERSIONES FCI]]-AA237,Tabla5[[#This Row],[INVERSIONES FCI]])</f>
        <v>6220396498.3699341</v>
      </c>
      <c r="AB238" s="5">
        <f>IF($B237&lt;=Tabla5[[#This Row],[INVERSIONES FCI]],+Tabla5[[#This Row],[INVERSIONES FCI]]-AB237,Tabla5[[#This Row],[INVERSIONES FCI]])</f>
        <v>6220396498.3699341</v>
      </c>
      <c r="AC238" s="5">
        <f>IF($B237&lt;=Tabla5[[#This Row],[INVERSIONES FCI]],+Tabla5[[#This Row],[INVERSIONES FCI]]-AC237,Tabla5[[#This Row],[INVERSIONES FCI]])</f>
        <v>6220396498.3699341</v>
      </c>
      <c r="AD238" s="5">
        <f>IF($B237&lt;=Tabla5[[#This Row],[INVERSIONES FCI]],+Tabla5[[#This Row],[INVERSIONES FCI]]-AD237,Tabla5[[#This Row],[INVERSIONES FCI]])</f>
        <v>6220396498.3699341</v>
      </c>
      <c r="AE238" s="5">
        <f>IF($B237&lt;=Tabla5[[#This Row],[INVERSIONES FCI]],+Tabla5[[#This Row],[INVERSIONES FCI]]-AE237,Tabla5[[#This Row],[INVERSIONES FCI]])</f>
        <v>6220396498.3699341</v>
      </c>
      <c r="AF238" s="5">
        <f>IF($B237&lt;=Tabla5[[#This Row],[INVERSIONES FCI]],+Tabla5[[#This Row],[INVERSIONES FCI]]-AF237,Tabla5[[#This Row],[INVERSIONES FCI]])</f>
        <v>6220396498.3699341</v>
      </c>
      <c r="AG238" s="5">
        <f>IF($B237&lt;=Tabla5[[#This Row],[INVERSIONES FCI]],+Tabla5[[#This Row],[INVERSIONES FCI]]-AG237,Tabla5[[#This Row],[INVERSIONES FCI]])</f>
        <v>6220396498.3699341</v>
      </c>
      <c r="AH238" s="5">
        <f>IF($B237&lt;=Tabla5[[#This Row],[INVERSIONES FCI]],+Tabla5[[#This Row],[INVERSIONES FCI]]-AH237,Tabla5[[#This Row],[INVERSIONES FCI]])</f>
        <v>6220396498.3699341</v>
      </c>
      <c r="AI238" s="5">
        <f>IF($B237&lt;=Tabla5[[#This Row],[INVERSIONES FCI]],+Tabla5[[#This Row],[INVERSIONES FCI]]-AI237,Tabla5[[#This Row],[INVERSIONES FCI]])</f>
        <v>6220396498.3699341</v>
      </c>
      <c r="AJ238" s="5">
        <f>IF($B237&lt;=Tabla5[[#This Row],[INVERSIONES FCI]],+Tabla5[[#This Row],[INVERSIONES FCI]]-AJ237,Tabla5[[#This Row],[INVERSIONES FCI]])</f>
        <v>6220396498.3699341</v>
      </c>
      <c r="AK238" s="5">
        <f>IF($B237&lt;=Tabla5[[#This Row],[INVERSIONES FCI]],+Tabla5[[#This Row],[INVERSIONES FCI]]-AK237,Tabla5[[#This Row],[INVERSIONES FCI]])</f>
        <v>6220396498.3699341</v>
      </c>
      <c r="AL238" s="5">
        <f>IF($B237&lt;=Tabla5[[#This Row],[INVERSIONES FCI]],+Tabla5[[#This Row],[INVERSIONES FCI]]-AL237,Tabla5[[#This Row],[INVERSIONES FCI]])</f>
        <v>6220396498.3699341</v>
      </c>
      <c r="AM238" s="5">
        <f>IF($B237&lt;=Tabla5[[#This Row],[INVERSIONES FCI]],+Tabla5[[#This Row],[INVERSIONES FCI]]-AM237,Tabla5[[#This Row],[INVERSIONES FCI]])</f>
        <v>6220396498.3699341</v>
      </c>
      <c r="AN238" s="5">
        <f>IF($B237&lt;=Tabla5[[#This Row],[INVERSIONES FCI]],+Tabla5[[#This Row],[INVERSIONES FCI]]-AN237,Tabla5[[#This Row],[INVERSIONES FCI]])</f>
        <v>6220396498.3699341</v>
      </c>
      <c r="AO238" s="5">
        <f>IF($B237&lt;=Tabla5[[#This Row],[INVERSIONES FCI]],+Tabla5[[#This Row],[INVERSIONES FCI]]-AO237,Tabla5[[#This Row],[INVERSIONES FCI]])</f>
        <v>6220396498.3699341</v>
      </c>
      <c r="AP238" s="5">
        <f>IF($B237&lt;=Tabla5[[#This Row],[INVERSIONES FCI]],+Tabla5[[#This Row],[INVERSIONES FCI]]-AP237,Tabla5[[#This Row],[INVERSIONES FCI]])</f>
        <v>6220396498.3699341</v>
      </c>
      <c r="AQ238" s="5">
        <f>IF($B237&lt;=Tabla5[[#This Row],[INVERSIONES FCI]],+Tabla5[[#This Row],[INVERSIONES FCI]]-AQ237,Tabla5[[#This Row],[INVERSIONES FCI]])</f>
        <v>6220396498.3699341</v>
      </c>
      <c r="AR238" s="5">
        <f>IF($B237&lt;=Tabla5[[#This Row],[INVERSIONES FCI]],+Tabla5[[#This Row],[INVERSIONES FCI]]-AR237,Tabla5[[#This Row],[INVERSIONES FCI]])</f>
        <v>6220396498.3699341</v>
      </c>
      <c r="AS238" s="5">
        <f>IF($B237&lt;=Tabla5[[#This Row],[INVERSIONES FCI]],+Tabla5[[#This Row],[INVERSIONES FCI]]-AS237,Tabla5[[#This Row],[INVERSIONES FCI]])</f>
        <v>6220396498.3699341</v>
      </c>
      <c r="AT238" s="5">
        <f>IF($B237&lt;=Tabla5[[#This Row],[INVERSIONES FCI]],+Tabla5[[#This Row],[INVERSIONES FCI]]-AT237,Tabla5[[#This Row],[INVERSIONES FCI]])</f>
        <v>6220396498.3699341</v>
      </c>
      <c r="AU238" s="5">
        <f>IF($B237&lt;=Tabla5[[#This Row],[INVERSIONES FCI]],+Tabla5[[#This Row],[INVERSIONES FCI]]-AU237,Tabla5[[#This Row],[INVERSIONES FCI]])</f>
        <v>6220396498.3699341</v>
      </c>
      <c r="AV238" s="5">
        <f>IF($B237&lt;=Tabla5[[#This Row],[INVERSIONES FCI]],+Tabla5[[#This Row],[INVERSIONES FCI]]-AV237,Tabla5[[#This Row],[INVERSIONES FCI]])</f>
        <v>6220396498.3699341</v>
      </c>
      <c r="AW238" s="5">
        <f>IF($B237&lt;=Tabla5[[#This Row],[INVERSIONES FCI]],+Tabla5[[#This Row],[INVERSIONES FCI]]-AW237,Tabla5[[#This Row],[INVERSIONES FCI]])</f>
        <v>6220396498.3699341</v>
      </c>
      <c r="AX238" s="5">
        <f>IF($B237&lt;=Tabla5[[#This Row],[INVERSIONES FCI]],+Tabla5[[#This Row],[INVERSIONES FCI]]-AX237,Tabla5[[#This Row],[INVERSIONES FCI]])</f>
        <v>6220396498.3699341</v>
      </c>
      <c r="AY238" s="5">
        <f>IF($B237&lt;=Tabla5[[#This Row],[INVERSIONES FCI]],+Tabla5[[#This Row],[INVERSIONES FCI]]-AY237,Tabla5[[#This Row],[INVERSIONES FCI]])</f>
        <v>6220396498.3699341</v>
      </c>
      <c r="AZ238" s="5">
        <f>IF($B237&lt;=Tabla5[[#This Row],[INVERSIONES FCI]],+Tabla5[[#This Row],[INVERSIONES FCI]]-AZ237,Tabla5[[#This Row],[INVERSIONES FCI]])</f>
        <v>6220396498.3699341</v>
      </c>
      <c r="BA238" s="5">
        <f>IF($B237&lt;=Tabla5[[#This Row],[INVERSIONES FCI]],+Tabla5[[#This Row],[INVERSIONES FCI]]-BA237,Tabla5[[#This Row],[INVERSIONES FCI]])</f>
        <v>6220396498.3699341</v>
      </c>
      <c r="BB238" s="5">
        <f>IF($B237&lt;=Tabla5[[#This Row],[INVERSIONES FCI]],+Tabla5[[#This Row],[INVERSIONES FCI]]-BB237,Tabla5[[#This Row],[INVERSIONES FCI]])</f>
        <v>6220396498.3699341</v>
      </c>
      <c r="BC238" s="5">
        <f>IF($B237&lt;=Tabla5[[#This Row],[INVERSIONES FCI]],+Tabla5[[#This Row],[INVERSIONES FCI]]-BC237,Tabla5[[#This Row],[INVERSIONES FCI]])</f>
        <v>6220396498.3699341</v>
      </c>
      <c r="BD238" s="5">
        <f>IF($B237&lt;=Tabla5[[#This Row],[INVERSIONES FCI]],+Tabla5[[#This Row],[INVERSIONES FCI]]-BD237,Tabla5[[#This Row],[INVERSIONES FCI]])</f>
        <v>6220396498.3699341</v>
      </c>
      <c r="BE238" s="5">
        <f>IF($B237&lt;=Tabla5[[#This Row],[INVERSIONES FCI]],+Tabla5[[#This Row],[INVERSIONES FCI]]-BE237,Tabla5[[#This Row],[INVERSIONES FCI]])</f>
        <v>6220396498.3699341</v>
      </c>
      <c r="BF238" s="5">
        <f>IF($B237&lt;=Tabla5[[#This Row],[INVERSIONES FCI]],+Tabla5[[#This Row],[INVERSIONES FCI]]-BF237,Tabla5[[#This Row],[INVERSIONES FCI]])</f>
        <v>6220396498.3699341</v>
      </c>
      <c r="BG238" s="5">
        <f>IF($B237&lt;=Tabla5[[#This Row],[INVERSIONES FCI]],+Tabla5[[#This Row],[INVERSIONES FCI]]-BG237,Tabla5[[#This Row],[INVERSIONES FCI]])</f>
        <v>6220396498.3699341</v>
      </c>
      <c r="BH238" s="5">
        <f>IF($B237&lt;=Tabla5[[#This Row],[INVERSIONES FCI]],+Tabla5[[#This Row],[INVERSIONES FCI]]-BH237,Tabla5[[#This Row],[INVERSIONES FCI]])</f>
        <v>6220396498.3699341</v>
      </c>
      <c r="BI238" s="5">
        <f>IF($B237&lt;=Tabla5[[#This Row],[INVERSIONES FCI]],+Tabla5[[#This Row],[INVERSIONES FCI]]-BI237,Tabla5[[#This Row],[INVERSIONES FCI]])</f>
        <v>6220396498.3699341</v>
      </c>
      <c r="BJ238" s="5">
        <f>IF($B237&lt;=Tabla5[[#This Row],[INVERSIONES FCI]],+Tabla5[[#This Row],[INVERSIONES FCI]]-BJ237,Tabla5[[#This Row],[INVERSIONES FCI]])</f>
        <v>6220396498.3699341</v>
      </c>
      <c r="BK238" s="5">
        <f>IF($B237&lt;=Tabla5[[#This Row],[INVERSIONES FCI]],+Tabla5[[#This Row],[INVERSIONES FCI]]-BK237,Tabla5[[#This Row],[INVERSIONES FCI]])</f>
        <v>6220396498.3699341</v>
      </c>
      <c r="BL238" s="5">
        <f>IF($B237&lt;=Tabla5[[#This Row],[INVERSIONES FCI]],+Tabla5[[#This Row],[INVERSIONES FCI]]-BL237,Tabla5[[#This Row],[INVERSIONES FCI]])</f>
        <v>6220396498.3699341</v>
      </c>
      <c r="BM238" s="5">
        <f>IF($B237&lt;=Tabla5[[#This Row],[INVERSIONES FCI]],+Tabla5[[#This Row],[INVERSIONES FCI]]-BM237,Tabla5[[#This Row],[INVERSIONES FCI]])</f>
        <v>6220396498.3699341</v>
      </c>
      <c r="BN238" s="5">
        <f>IF($B237&lt;=Tabla5[[#This Row],[INVERSIONES FCI]],+Tabla5[[#This Row],[INVERSIONES FCI]]-BN237,Tabla5[[#This Row],[INVERSIONES FCI]])</f>
        <v>6220396498.3699341</v>
      </c>
      <c r="BO238" s="5">
        <f>IF($B237&lt;=Tabla5[[#This Row],[INVERSIONES FCI]],+Tabla5[[#This Row],[INVERSIONES FCI]]-BO237,Tabla5[[#This Row],[INVERSIONES FCI]])</f>
        <v>6220396498.3699341</v>
      </c>
      <c r="BP238" s="5">
        <f>IF($B237&lt;=Tabla5[[#This Row],[INVERSIONES FCI]],+Tabla5[[#This Row],[INVERSIONES FCI]]-BP237,Tabla5[[#This Row],[INVERSIONES FCI]])</f>
        <v>6220396498.3699341</v>
      </c>
      <c r="BQ238" s="5">
        <f>IF($B237&lt;=Tabla5[[#This Row],[INVERSIONES FCI]],+Tabla5[[#This Row],[INVERSIONES FCI]]-BQ237,Tabla5[[#This Row],[INVERSIONES FCI]])</f>
        <v>6220396498.3699341</v>
      </c>
      <c r="BR238" s="5">
        <f>IF($B237&lt;=Tabla5[[#This Row],[INVERSIONES FCI]],+Tabla5[[#This Row],[INVERSIONES FCI]]-BR237,Tabla5[[#This Row],[INVERSIONES FCI]])</f>
        <v>6220396498.3699341</v>
      </c>
      <c r="BS238" s="5">
        <f>IF($B237&lt;=Tabla5[[#This Row],[INVERSIONES FCI]],+Tabla5[[#This Row],[INVERSIONES FCI]]-BS237,Tabla5[[#This Row],[INVERSIONES FCI]])</f>
        <v>6220396498.3699341</v>
      </c>
      <c r="BT238" s="5">
        <f>IF($B237&lt;=Tabla5[[#This Row],[INVERSIONES FCI]],+Tabla5[[#This Row],[INVERSIONES FCI]]-BT237,Tabla5[[#This Row],[INVERSIONES FCI]])</f>
        <v>6220396498.3699341</v>
      </c>
      <c r="BU238" s="5">
        <f>IF($B237&lt;=Tabla5[[#This Row],[INVERSIONES FCI]],+Tabla5[[#This Row],[INVERSIONES FCI]]-BU237,Tabla5[[#This Row],[INVERSIONES FCI]])</f>
        <v>6220396498.3699341</v>
      </c>
      <c r="BV238" s="5">
        <f>IF($B237&lt;=Tabla5[[#This Row],[INVERSIONES FCI]],+Tabla5[[#This Row],[INVERSIONES FCI]]-BV237,Tabla5[[#This Row],[INVERSIONES FCI]])</f>
        <v>6220396498.3699341</v>
      </c>
      <c r="BW238" s="5">
        <f>IF($B237&lt;=Tabla5[[#This Row],[INVERSIONES FCI]],+Tabla5[[#This Row],[INVERSIONES FCI]]-BW237,Tabla5[[#This Row],[INVERSIONES FCI]])</f>
        <v>6220396498.3699341</v>
      </c>
      <c r="BX238" s="5">
        <f>IF($B237&lt;=Tabla5[[#This Row],[INVERSIONES FCI]],+Tabla5[[#This Row],[INVERSIONES FCI]]-BX237,Tabla5[[#This Row],[INVERSIONES FCI]])</f>
        <v>6220396498.3699341</v>
      </c>
      <c r="BY238" s="5">
        <f>IF($B237&lt;=Tabla5[[#This Row],[INVERSIONES FCI]],+Tabla5[[#This Row],[INVERSIONES FCI]]-BY237,Tabla5[[#This Row],[INVERSIONES FCI]])</f>
        <v>6220396498.3699341</v>
      </c>
      <c r="BZ238" s="5">
        <f>IF($B237&lt;=Tabla5[[#This Row],[INVERSIONES FCI]],+Tabla5[[#This Row],[INVERSIONES FCI]]-BZ237,Tabla5[[#This Row],[INVERSIONES FCI]])</f>
        <v>6220396498.3699341</v>
      </c>
      <c r="CA238" s="5">
        <f>IF($B237&lt;=Tabla5[[#This Row],[INVERSIONES FCI]],+Tabla5[[#This Row],[INVERSIONES FCI]]-CA237,Tabla5[[#This Row],[INVERSIONES FCI]])</f>
        <v>6220396498.3699341</v>
      </c>
      <c r="CB238" s="5">
        <f>IF($B237&lt;=Tabla5[[#This Row],[INVERSIONES FCI]],+Tabla5[[#This Row],[INVERSIONES FCI]]-CB237,Tabla5[[#This Row],[INVERSIONES FCI]])</f>
        <v>6220396498.3699341</v>
      </c>
      <c r="CC238" s="5">
        <f>IF($B237&lt;=Tabla5[[#This Row],[INVERSIONES FCI]],+Tabla5[[#This Row],[INVERSIONES FCI]]-CC237,Tabla5[[#This Row],[INVERSIONES FCI]])</f>
        <v>6220396498.3699341</v>
      </c>
      <c r="CD238" s="5">
        <f>IF($B237&lt;=Tabla5[[#This Row],[INVERSIONES FCI]],+Tabla5[[#This Row],[INVERSIONES FCI]]-CD237,Tabla5[[#This Row],[INVERSIONES FCI]])</f>
        <v>6220396498.3699341</v>
      </c>
      <c r="CE238" s="5">
        <f>IF($B237&lt;=Tabla5[[#This Row],[INVERSIONES FCI]],+Tabla5[[#This Row],[INVERSIONES FCI]]-CE237,Tabla5[[#This Row],[INVERSIONES FCI]])</f>
        <v>6220396498.3699341</v>
      </c>
      <c r="CF238" s="5">
        <f>IF($B237&lt;=Tabla5[[#This Row],[INVERSIONES FCI]],+Tabla5[[#This Row],[INVERSIONES FCI]]-CF237,Tabla5[[#This Row],[INVERSIONES FCI]])</f>
        <v>6220396498.3699341</v>
      </c>
      <c r="CG238" s="5">
        <f>IF($B237&lt;=Tabla5[[#This Row],[INVERSIONES FCI]],+Tabla5[[#This Row],[INVERSIONES FCI]]-CG237,Tabla5[[#This Row],[INVERSIONES FCI]])</f>
        <v>6220396498.3699341</v>
      </c>
      <c r="CH238" s="5">
        <f>IF($B237&lt;=Tabla5[[#This Row],[INVERSIONES FCI]],+Tabla5[[#This Row],[INVERSIONES FCI]]-CH237,Tabla5[[#This Row],[INVERSIONES FCI]])</f>
        <v>6220396498.3699341</v>
      </c>
      <c r="CI238" s="5">
        <f>IF($B237&lt;=Tabla5[[#This Row],[INVERSIONES FCI]],+Tabla5[[#This Row],[INVERSIONES FCI]]-CI237,Tabla5[[#This Row],[INVERSIONES FCI]])</f>
        <v>6220396498.3699341</v>
      </c>
      <c r="CJ238" s="5">
        <f>IF($B237&lt;=Tabla5[[#This Row],[INVERSIONES FCI]],+Tabla5[[#This Row],[INVERSIONES FCI]]-CJ237,Tabla5[[#This Row],[INVERSIONES FCI]])</f>
        <v>6220396498.3699341</v>
      </c>
      <c r="CK238" s="5">
        <f>IF($B237&lt;=Tabla5[[#This Row],[INVERSIONES FCI]],+Tabla5[[#This Row],[INVERSIONES FCI]]-CK237,Tabla5[[#This Row],[INVERSIONES FCI]])</f>
        <v>6220396498.3699341</v>
      </c>
      <c r="CL238" s="5">
        <f>IF($B237&lt;=Tabla5[[#This Row],[INVERSIONES FCI]],+Tabla5[[#This Row],[INVERSIONES FCI]]-CL237,Tabla5[[#This Row],[INVERSIONES FCI]])</f>
        <v>6220396498.3699341</v>
      </c>
      <c r="CM238" s="5">
        <f>IF($B237&lt;=Tabla5[[#This Row],[INVERSIONES FCI]],+Tabla5[[#This Row],[INVERSIONES FCI]]-CM237,Tabla5[[#This Row],[INVERSIONES FCI]])</f>
        <v>6220396498.3699341</v>
      </c>
      <c r="CN238" s="5">
        <f>IF($B237&lt;=Tabla5[[#This Row],[INVERSIONES FCI]],+Tabla5[[#This Row],[INVERSIONES FCI]]-CN237,Tabla5[[#This Row],[INVERSIONES FCI]])</f>
        <v>6220396498.3699341</v>
      </c>
      <c r="CO238" s="5">
        <f>IF($B237&lt;=Tabla5[[#This Row],[INVERSIONES FCI]],+Tabla5[[#This Row],[INVERSIONES FCI]]-CO237,Tabla5[[#This Row],[INVERSIONES FCI]])</f>
        <v>6220396498.3699341</v>
      </c>
      <c r="CP238" s="5">
        <f>IF($B237&lt;=Tabla5[[#This Row],[INVERSIONES FCI]],+Tabla5[[#This Row],[INVERSIONES FCI]]-CP237,Tabla5[[#This Row],[INVERSIONES FCI]])</f>
        <v>6220396498.3699341</v>
      </c>
      <c r="CQ238" s="5">
        <f>IF($B237&lt;=Tabla5[[#This Row],[INVERSIONES FCI]],+Tabla5[[#This Row],[INVERSIONES FCI]]-CQ237,Tabla5[[#This Row],[INVERSIONES FCI]])</f>
        <v>6220396498.3699341</v>
      </c>
      <c r="CR238" s="5">
        <f>IF($B237&lt;=Tabla5[[#This Row],[INVERSIONES FCI]],+Tabla5[[#This Row],[INVERSIONES FCI]]-CR237,Tabla5[[#This Row],[INVERSIONES FCI]])</f>
        <v>6220396498.3699341</v>
      </c>
      <c r="CS238" s="5">
        <f>IF($B237&lt;=Tabla5[[#This Row],[INVERSIONES FCI]],+Tabla5[[#This Row],[INVERSIONES FCI]]-CS237,Tabla5[[#This Row],[INVERSIONES FCI]])</f>
        <v>6220396498.3699341</v>
      </c>
      <c r="CT238" s="5">
        <f>IF($B237&lt;=Tabla5[[#This Row],[INVERSIONES FCI]],+Tabla5[[#This Row],[INVERSIONES FCI]]-CT237,Tabla5[[#This Row],[INVERSIONES FCI]])</f>
        <v>6220396498.3699341</v>
      </c>
      <c r="CU238" s="5">
        <f>IF($B237&lt;=Tabla5[[#This Row],[INVERSIONES FCI]],+Tabla5[[#This Row],[INVERSIONES FCI]]-CU237,Tabla5[[#This Row],[INVERSIONES FCI]])</f>
        <v>6220396498.3699341</v>
      </c>
      <c r="CV238" s="5">
        <f>IF($B237&lt;=Tabla5[[#This Row],[INVERSIONES FCI]],+Tabla5[[#This Row],[INVERSIONES FCI]]-CV237,Tabla5[[#This Row],[INVERSIONES FCI]])</f>
        <v>6220396498.3699341</v>
      </c>
      <c r="CW238" s="5">
        <f>IF($B237&lt;=Tabla5[[#This Row],[INVERSIONES FCI]],+Tabla5[[#This Row],[INVERSIONES FCI]]-CW237,Tabla5[[#This Row],[INVERSIONES FCI]])</f>
        <v>6220396498.3699341</v>
      </c>
      <c r="CX238" s="5">
        <f>IF($B237&lt;=Tabla5[[#This Row],[INVERSIONES FCI]],+Tabla5[[#This Row],[INVERSIONES FCI]]-CX237,Tabla5[[#This Row],[INVERSIONES FCI]])</f>
        <v>6220396498.3699341</v>
      </c>
      <c r="CY238" s="5">
        <f>IF($B237&lt;=Tabla5[[#This Row],[INVERSIONES FCI]],+Tabla5[[#This Row],[INVERSIONES FCI]]-CY237,Tabla5[[#This Row],[INVERSIONES FCI]])</f>
        <v>6220396498.3699341</v>
      </c>
      <c r="CZ238" s="5">
        <f>IF($B237&lt;=Tabla5[[#This Row],[INVERSIONES FCI]],+Tabla5[[#This Row],[INVERSIONES FCI]]-CZ237,Tabla5[[#This Row],[INVERSIONES FCI]])</f>
        <v>6220396498.3699341</v>
      </c>
      <c r="DA238" s="5">
        <f>IF($B237&lt;=Tabla5[[#This Row],[INVERSIONES FCI]],+Tabla5[[#This Row],[INVERSIONES FCI]]-DA237,Tabla5[[#This Row],[INVERSIONES FCI]])</f>
        <v>6220396498.3699341</v>
      </c>
      <c r="DB238" s="5">
        <f>IF($B237&lt;=Tabla5[[#This Row],[INVERSIONES FCI]],+Tabla5[[#This Row],[INVERSIONES FCI]]-DB237,Tabla5[[#This Row],[INVERSIONES FCI]])</f>
        <v>6220396498.3699341</v>
      </c>
      <c r="DC238" s="5">
        <f>IF($B237&lt;=Tabla5[[#This Row],[INVERSIONES FCI]],+Tabla5[[#This Row],[INVERSIONES FCI]]-DC237,Tabla5[[#This Row],[INVERSIONES FCI]])</f>
        <v>6220396498.3699341</v>
      </c>
      <c r="DD238" s="5">
        <f>IF($B237&lt;=Tabla5[[#This Row],[INVERSIONES FCI]],+Tabla5[[#This Row],[INVERSIONES FCI]]-DD237,Tabla5[[#This Row],[INVERSIONES FCI]])</f>
        <v>6220396498.3699341</v>
      </c>
      <c r="DE238" s="5">
        <f>IF($B237&lt;=Tabla5[[#This Row],[INVERSIONES FCI]],+Tabla5[[#This Row],[INVERSIONES FCI]]-DE237,Tabla5[[#This Row],[INVERSIONES FCI]])</f>
        <v>6220396498.3699341</v>
      </c>
      <c r="DF238" s="5">
        <f>IF($B237&lt;=Tabla5[[#This Row],[INVERSIONES FCI]],+Tabla5[[#This Row],[INVERSIONES FCI]]-DF237,Tabla5[[#This Row],[INVERSIONES FCI]])</f>
        <v>6220396498.3699341</v>
      </c>
      <c r="DG238" s="5">
        <f>IF($B237&lt;=Tabla5[[#This Row],[INVERSIONES FCI]],+Tabla5[[#This Row],[INVERSIONES FCI]]-DG237,Tabla5[[#This Row],[INVERSIONES FCI]])</f>
        <v>6220396498.3699341</v>
      </c>
      <c r="DH238" s="5">
        <f>IF($B237&lt;=Tabla5[[#This Row],[INVERSIONES FCI]],+Tabla5[[#This Row],[INVERSIONES FCI]]-DH237,Tabla5[[#This Row],[INVERSIONES FCI]])</f>
        <v>6220396498.3699341</v>
      </c>
      <c r="DI238" s="5">
        <f>IF($B237&lt;=Tabla5[[#This Row],[INVERSIONES FCI]],+Tabla5[[#This Row],[INVERSIONES FCI]]-DI237,Tabla5[[#This Row],[INVERSIONES FCI]])</f>
        <v>6220396498.3699341</v>
      </c>
      <c r="DJ238" s="5">
        <f>IF($B237&lt;=Tabla5[[#This Row],[INVERSIONES FCI]],+Tabla5[[#This Row],[INVERSIONES FCI]]-DJ237,Tabla5[[#This Row],[INVERSIONES FCI]])</f>
        <v>6220396498.3699341</v>
      </c>
      <c r="DK238" s="5">
        <f>IF($B237&lt;=Tabla5[[#This Row],[INVERSIONES FCI]],+Tabla5[[#This Row],[INVERSIONES FCI]]-DK237,Tabla5[[#This Row],[INVERSIONES FCI]])</f>
        <v>6220396498.3699341</v>
      </c>
      <c r="DL238" s="5"/>
      <c r="DM238" s="5"/>
      <c r="DN238" s="5"/>
      <c r="DO238" s="5"/>
      <c r="DP238" s="5"/>
      <c r="DQ238" s="5"/>
    </row>
    <row r="239" spans="1:121" ht="14.4">
      <c r="A239" s="12" t="s">
        <v>238</v>
      </c>
      <c r="B239" s="5">
        <f>HLOOKUP($A239,ESCENARIO[#All],7,FALSE)</f>
        <v>56003030335.888931</v>
      </c>
      <c r="C239" s="5">
        <f>IF($B238&lt;=Tabla5[[#This Row],[INVERSIONES FCI]],+Tabla5[[#This Row],[INVERSIONES FCI]]-C238,Tabla5[[#This Row],[INVERSIONES FCI]])</f>
        <v>49782633837.518997</v>
      </c>
      <c r="D239" s="5">
        <f>IF($B238&lt;=Tabla5[[#This Row],[INVERSIONES FCI]],+Tabla5[[#This Row],[INVERSIONES FCI]]-D238,Tabla5[[#This Row],[INVERSIONES FCI]])</f>
        <v>49782633837.518997</v>
      </c>
      <c r="E239" s="5">
        <f>IF($B238&lt;=Tabla5[[#This Row],[INVERSIONES FCI]],+Tabla5[[#This Row],[INVERSIONES FCI]]-E238,Tabla5[[#This Row],[INVERSIONES FCI]])</f>
        <v>49782633837.518997</v>
      </c>
      <c r="F239" s="5">
        <f>IF($B238&lt;=Tabla5[[#This Row],[INVERSIONES FCI]],+Tabla5[[#This Row],[INVERSIONES FCI]]-F238,Tabla5[[#This Row],[INVERSIONES FCI]])</f>
        <v>49782633837.518997</v>
      </c>
      <c r="G239" s="5">
        <f>IF($B238&lt;=Tabla5[[#This Row],[INVERSIONES FCI]],+Tabla5[[#This Row],[INVERSIONES FCI]]-G238,Tabla5[[#This Row],[INVERSIONES FCI]])</f>
        <v>49782633837.518997</v>
      </c>
      <c r="H239" s="5">
        <f>IF($B238&lt;=Tabla5[[#This Row],[INVERSIONES FCI]],+Tabla5[[#This Row],[INVERSIONES FCI]]-H238,Tabla5[[#This Row],[INVERSIONES FCI]])</f>
        <v>49782633837.518997</v>
      </c>
      <c r="I239" s="5">
        <f>IF($B238&lt;=Tabla5[[#This Row],[INVERSIONES FCI]],+Tabla5[[#This Row],[INVERSIONES FCI]]-I238,Tabla5[[#This Row],[INVERSIONES FCI]])</f>
        <v>49782633837.518997</v>
      </c>
      <c r="J239" s="5">
        <f>IF($B238&lt;=Tabla5[[#This Row],[INVERSIONES FCI]],+Tabla5[[#This Row],[INVERSIONES FCI]]-J238,Tabla5[[#This Row],[INVERSIONES FCI]])</f>
        <v>49782633837.518997</v>
      </c>
      <c r="K239" s="5">
        <f>IF($B238&lt;=Tabla5[[#This Row],[INVERSIONES FCI]],+Tabla5[[#This Row],[INVERSIONES FCI]]-K238,Tabla5[[#This Row],[INVERSIONES FCI]])</f>
        <v>49782633837.518997</v>
      </c>
      <c r="L239" s="5">
        <f>IF($B238&lt;=Tabla5[[#This Row],[INVERSIONES FCI]],+Tabla5[[#This Row],[INVERSIONES FCI]]-L238,Tabla5[[#This Row],[INVERSIONES FCI]])</f>
        <v>49782633837.518997</v>
      </c>
      <c r="M239" s="5">
        <f>IF($B238&lt;=Tabla5[[#This Row],[INVERSIONES FCI]],+Tabla5[[#This Row],[INVERSIONES FCI]]-M238,Tabla5[[#This Row],[INVERSIONES FCI]])</f>
        <v>49782633837.518997</v>
      </c>
      <c r="N239" s="5">
        <f>IF($B238&lt;=Tabla5[[#This Row],[INVERSIONES FCI]],+Tabla5[[#This Row],[INVERSIONES FCI]]-N238,Tabla5[[#This Row],[INVERSIONES FCI]])</f>
        <v>49782633837.518997</v>
      </c>
      <c r="O239" s="5">
        <f>IF($B238&lt;=Tabla5[[#This Row],[INVERSIONES FCI]],+Tabla5[[#This Row],[INVERSIONES FCI]]-O238,Tabla5[[#This Row],[INVERSIONES FCI]])</f>
        <v>49782633837.518997</v>
      </c>
      <c r="P239" s="5">
        <f>IF($B238&lt;=Tabla5[[#This Row],[INVERSIONES FCI]],+Tabla5[[#This Row],[INVERSIONES FCI]]-P238,Tabla5[[#This Row],[INVERSIONES FCI]])</f>
        <v>49782633837.518997</v>
      </c>
      <c r="Q239" s="5">
        <f>IF($B238&lt;=Tabla5[[#This Row],[INVERSIONES FCI]],+Tabla5[[#This Row],[INVERSIONES FCI]]-Q238,Tabla5[[#This Row],[INVERSIONES FCI]])</f>
        <v>49782633837.518997</v>
      </c>
      <c r="R239" s="5">
        <f>IF($B238&lt;=Tabla5[[#This Row],[INVERSIONES FCI]],+Tabla5[[#This Row],[INVERSIONES FCI]]-R238,Tabla5[[#This Row],[INVERSIONES FCI]])</f>
        <v>49782633837.518997</v>
      </c>
      <c r="S239" s="5">
        <f>IF($B238&lt;=Tabla5[[#This Row],[INVERSIONES FCI]],+Tabla5[[#This Row],[INVERSIONES FCI]]-S238,Tabla5[[#This Row],[INVERSIONES FCI]])</f>
        <v>49782633837.518997</v>
      </c>
      <c r="T239" s="5">
        <f>IF($B238&lt;=Tabla5[[#This Row],[INVERSIONES FCI]],+Tabla5[[#This Row],[INVERSIONES FCI]]-T238,Tabla5[[#This Row],[INVERSIONES FCI]])</f>
        <v>49782633837.518997</v>
      </c>
      <c r="U239" s="5">
        <f>IF($B238&lt;=Tabla5[[#This Row],[INVERSIONES FCI]],+Tabla5[[#This Row],[INVERSIONES FCI]]-U238,Tabla5[[#This Row],[INVERSIONES FCI]])</f>
        <v>49782633837.518997</v>
      </c>
      <c r="V239" s="5">
        <f>IF($B238&lt;=Tabla5[[#This Row],[INVERSIONES FCI]],+Tabla5[[#This Row],[INVERSIONES FCI]]-V238,Tabla5[[#This Row],[INVERSIONES FCI]])</f>
        <v>49782633837.518997</v>
      </c>
      <c r="W239" s="5">
        <f>IF($B238&lt;=Tabla5[[#This Row],[INVERSIONES FCI]],+Tabla5[[#This Row],[INVERSIONES FCI]]-W238,Tabla5[[#This Row],[INVERSIONES FCI]])</f>
        <v>49782633837.518997</v>
      </c>
      <c r="X239" s="5">
        <f>IF($B238&lt;=Tabla5[[#This Row],[INVERSIONES FCI]],+Tabla5[[#This Row],[INVERSIONES FCI]]-X238,Tabla5[[#This Row],[INVERSIONES FCI]])</f>
        <v>49782633837.518997</v>
      </c>
      <c r="Y239" s="5">
        <f>IF($B238&lt;=Tabla5[[#This Row],[INVERSIONES FCI]],+Tabla5[[#This Row],[INVERSIONES FCI]]-Y238,Tabla5[[#This Row],[INVERSIONES FCI]])</f>
        <v>49782633837.518997</v>
      </c>
      <c r="Z239" s="5">
        <f>IF($B238&lt;=Tabla5[[#This Row],[INVERSIONES FCI]],+Tabla5[[#This Row],[INVERSIONES FCI]]-Z238,Tabla5[[#This Row],[INVERSIONES FCI]])</f>
        <v>49782633837.518997</v>
      </c>
      <c r="AA239" s="5">
        <f>IF($B238&lt;=Tabla5[[#This Row],[INVERSIONES FCI]],+Tabla5[[#This Row],[INVERSIONES FCI]]-AA238,Tabla5[[#This Row],[INVERSIONES FCI]])</f>
        <v>49782633837.518997</v>
      </c>
      <c r="AB239" s="5">
        <f>IF($B238&lt;=Tabla5[[#This Row],[INVERSIONES FCI]],+Tabla5[[#This Row],[INVERSIONES FCI]]-AB238,Tabla5[[#This Row],[INVERSIONES FCI]])</f>
        <v>49782633837.518997</v>
      </c>
      <c r="AC239" s="5">
        <f>IF($B238&lt;=Tabla5[[#This Row],[INVERSIONES FCI]],+Tabla5[[#This Row],[INVERSIONES FCI]]-AC238,Tabla5[[#This Row],[INVERSIONES FCI]])</f>
        <v>49782633837.518997</v>
      </c>
      <c r="AD239" s="5">
        <f>IF($B238&lt;=Tabla5[[#This Row],[INVERSIONES FCI]],+Tabla5[[#This Row],[INVERSIONES FCI]]-AD238,Tabla5[[#This Row],[INVERSIONES FCI]])</f>
        <v>49782633837.518997</v>
      </c>
      <c r="AE239" s="5">
        <f>IF($B238&lt;=Tabla5[[#This Row],[INVERSIONES FCI]],+Tabla5[[#This Row],[INVERSIONES FCI]]-AE238,Tabla5[[#This Row],[INVERSIONES FCI]])</f>
        <v>49782633837.518997</v>
      </c>
      <c r="AF239" s="5">
        <f>IF($B238&lt;=Tabla5[[#This Row],[INVERSIONES FCI]],+Tabla5[[#This Row],[INVERSIONES FCI]]-AF238,Tabla5[[#This Row],[INVERSIONES FCI]])</f>
        <v>49782633837.518997</v>
      </c>
      <c r="AG239" s="5">
        <f>IF($B238&lt;=Tabla5[[#This Row],[INVERSIONES FCI]],+Tabla5[[#This Row],[INVERSIONES FCI]]-AG238,Tabla5[[#This Row],[INVERSIONES FCI]])</f>
        <v>49782633837.518997</v>
      </c>
      <c r="AH239" s="5">
        <f>IF($B238&lt;=Tabla5[[#This Row],[INVERSIONES FCI]],+Tabla5[[#This Row],[INVERSIONES FCI]]-AH238,Tabla5[[#This Row],[INVERSIONES FCI]])</f>
        <v>49782633837.518997</v>
      </c>
      <c r="AI239" s="5">
        <f>IF($B238&lt;=Tabla5[[#This Row],[INVERSIONES FCI]],+Tabla5[[#This Row],[INVERSIONES FCI]]-AI238,Tabla5[[#This Row],[INVERSIONES FCI]])</f>
        <v>49782633837.518997</v>
      </c>
      <c r="AJ239" s="5">
        <f>IF($B238&lt;=Tabla5[[#This Row],[INVERSIONES FCI]],+Tabla5[[#This Row],[INVERSIONES FCI]]-AJ238,Tabla5[[#This Row],[INVERSIONES FCI]])</f>
        <v>49782633837.518997</v>
      </c>
      <c r="AK239" s="5">
        <f>IF($B238&lt;=Tabla5[[#This Row],[INVERSIONES FCI]],+Tabla5[[#This Row],[INVERSIONES FCI]]-AK238,Tabla5[[#This Row],[INVERSIONES FCI]])</f>
        <v>49782633837.518997</v>
      </c>
      <c r="AL239" s="5">
        <f>IF($B238&lt;=Tabla5[[#This Row],[INVERSIONES FCI]],+Tabla5[[#This Row],[INVERSIONES FCI]]-AL238,Tabla5[[#This Row],[INVERSIONES FCI]])</f>
        <v>49782633837.518997</v>
      </c>
      <c r="AM239" s="5">
        <f>IF($B238&lt;=Tabla5[[#This Row],[INVERSIONES FCI]],+Tabla5[[#This Row],[INVERSIONES FCI]]-AM238,Tabla5[[#This Row],[INVERSIONES FCI]])</f>
        <v>49782633837.518997</v>
      </c>
      <c r="AN239" s="5">
        <f>IF($B238&lt;=Tabla5[[#This Row],[INVERSIONES FCI]],+Tabla5[[#This Row],[INVERSIONES FCI]]-AN238,Tabla5[[#This Row],[INVERSIONES FCI]])</f>
        <v>49782633837.518997</v>
      </c>
      <c r="AO239" s="5">
        <f>IF($B238&lt;=Tabla5[[#This Row],[INVERSIONES FCI]],+Tabla5[[#This Row],[INVERSIONES FCI]]-AO238,Tabla5[[#This Row],[INVERSIONES FCI]])</f>
        <v>49782633837.518997</v>
      </c>
      <c r="AP239" s="5">
        <f>IF($B238&lt;=Tabla5[[#This Row],[INVERSIONES FCI]],+Tabla5[[#This Row],[INVERSIONES FCI]]-AP238,Tabla5[[#This Row],[INVERSIONES FCI]])</f>
        <v>49782633837.518997</v>
      </c>
      <c r="AQ239" s="5">
        <f>IF($B238&lt;=Tabla5[[#This Row],[INVERSIONES FCI]],+Tabla5[[#This Row],[INVERSIONES FCI]]-AQ238,Tabla5[[#This Row],[INVERSIONES FCI]])</f>
        <v>49782633837.518997</v>
      </c>
      <c r="AR239" s="5">
        <f>IF($B238&lt;=Tabla5[[#This Row],[INVERSIONES FCI]],+Tabla5[[#This Row],[INVERSIONES FCI]]-AR238,Tabla5[[#This Row],[INVERSIONES FCI]])</f>
        <v>49782633837.518997</v>
      </c>
      <c r="AS239" s="5">
        <f>IF($B238&lt;=Tabla5[[#This Row],[INVERSIONES FCI]],+Tabla5[[#This Row],[INVERSIONES FCI]]-AS238,Tabla5[[#This Row],[INVERSIONES FCI]])</f>
        <v>49782633837.518997</v>
      </c>
      <c r="AT239" s="5">
        <f>IF($B238&lt;=Tabla5[[#This Row],[INVERSIONES FCI]],+Tabla5[[#This Row],[INVERSIONES FCI]]-AT238,Tabla5[[#This Row],[INVERSIONES FCI]])</f>
        <v>49782633837.518997</v>
      </c>
      <c r="AU239" s="5">
        <f>IF($B238&lt;=Tabla5[[#This Row],[INVERSIONES FCI]],+Tabla5[[#This Row],[INVERSIONES FCI]]-AU238,Tabla5[[#This Row],[INVERSIONES FCI]])</f>
        <v>49782633837.518997</v>
      </c>
      <c r="AV239" s="5">
        <f>IF($B238&lt;=Tabla5[[#This Row],[INVERSIONES FCI]],+Tabla5[[#This Row],[INVERSIONES FCI]]-AV238,Tabla5[[#This Row],[INVERSIONES FCI]])</f>
        <v>49782633837.518997</v>
      </c>
      <c r="AW239" s="5">
        <f>IF($B238&lt;=Tabla5[[#This Row],[INVERSIONES FCI]],+Tabla5[[#This Row],[INVERSIONES FCI]]-AW238,Tabla5[[#This Row],[INVERSIONES FCI]])</f>
        <v>49782633837.518997</v>
      </c>
      <c r="AX239" s="5">
        <f>IF($B238&lt;=Tabla5[[#This Row],[INVERSIONES FCI]],+Tabla5[[#This Row],[INVERSIONES FCI]]-AX238,Tabla5[[#This Row],[INVERSIONES FCI]])</f>
        <v>49782633837.518997</v>
      </c>
      <c r="AY239" s="5">
        <f>IF($B238&lt;=Tabla5[[#This Row],[INVERSIONES FCI]],+Tabla5[[#This Row],[INVERSIONES FCI]]-AY238,Tabla5[[#This Row],[INVERSIONES FCI]])</f>
        <v>49782633837.518997</v>
      </c>
      <c r="AZ239" s="5">
        <f>IF($B238&lt;=Tabla5[[#This Row],[INVERSIONES FCI]],+Tabla5[[#This Row],[INVERSIONES FCI]]-AZ238,Tabla5[[#This Row],[INVERSIONES FCI]])</f>
        <v>49782633837.518997</v>
      </c>
      <c r="BA239" s="5">
        <f>IF($B238&lt;=Tabla5[[#This Row],[INVERSIONES FCI]],+Tabla5[[#This Row],[INVERSIONES FCI]]-BA238,Tabla5[[#This Row],[INVERSIONES FCI]])</f>
        <v>49782633837.518997</v>
      </c>
      <c r="BB239" s="5">
        <f>IF($B238&lt;=Tabla5[[#This Row],[INVERSIONES FCI]],+Tabla5[[#This Row],[INVERSIONES FCI]]-BB238,Tabla5[[#This Row],[INVERSIONES FCI]])</f>
        <v>49782633837.518997</v>
      </c>
      <c r="BC239" s="5">
        <f>IF($B238&lt;=Tabla5[[#This Row],[INVERSIONES FCI]],+Tabla5[[#This Row],[INVERSIONES FCI]]-BC238,Tabla5[[#This Row],[INVERSIONES FCI]])</f>
        <v>49782633837.518997</v>
      </c>
      <c r="BD239" s="5">
        <f>IF($B238&lt;=Tabla5[[#This Row],[INVERSIONES FCI]],+Tabla5[[#This Row],[INVERSIONES FCI]]-BD238,Tabla5[[#This Row],[INVERSIONES FCI]])</f>
        <v>49782633837.518997</v>
      </c>
      <c r="BE239" s="5">
        <f>IF($B238&lt;=Tabla5[[#This Row],[INVERSIONES FCI]],+Tabla5[[#This Row],[INVERSIONES FCI]]-BE238,Tabla5[[#This Row],[INVERSIONES FCI]])</f>
        <v>49782633837.518997</v>
      </c>
      <c r="BF239" s="5">
        <f>IF($B238&lt;=Tabla5[[#This Row],[INVERSIONES FCI]],+Tabla5[[#This Row],[INVERSIONES FCI]]-BF238,Tabla5[[#This Row],[INVERSIONES FCI]])</f>
        <v>49782633837.518997</v>
      </c>
      <c r="BG239" s="5">
        <f>IF($B238&lt;=Tabla5[[#This Row],[INVERSIONES FCI]],+Tabla5[[#This Row],[INVERSIONES FCI]]-BG238,Tabla5[[#This Row],[INVERSIONES FCI]])</f>
        <v>49782633837.518997</v>
      </c>
      <c r="BH239" s="5">
        <f>IF($B238&lt;=Tabla5[[#This Row],[INVERSIONES FCI]],+Tabla5[[#This Row],[INVERSIONES FCI]]-BH238,Tabla5[[#This Row],[INVERSIONES FCI]])</f>
        <v>49782633837.518997</v>
      </c>
      <c r="BI239" s="5">
        <f>IF($B238&lt;=Tabla5[[#This Row],[INVERSIONES FCI]],+Tabla5[[#This Row],[INVERSIONES FCI]]-BI238,Tabla5[[#This Row],[INVERSIONES FCI]])</f>
        <v>49782633837.518997</v>
      </c>
      <c r="BJ239" s="5">
        <f>IF($B238&lt;=Tabla5[[#This Row],[INVERSIONES FCI]],+Tabla5[[#This Row],[INVERSIONES FCI]]-BJ238,Tabla5[[#This Row],[INVERSIONES FCI]])</f>
        <v>49782633837.518997</v>
      </c>
      <c r="BK239" s="5">
        <f>IF($B238&lt;=Tabla5[[#This Row],[INVERSIONES FCI]],+Tabla5[[#This Row],[INVERSIONES FCI]]-BK238,Tabla5[[#This Row],[INVERSIONES FCI]])</f>
        <v>49782633837.518997</v>
      </c>
      <c r="BL239" s="5">
        <f>IF($B238&lt;=Tabla5[[#This Row],[INVERSIONES FCI]],+Tabla5[[#This Row],[INVERSIONES FCI]]-BL238,Tabla5[[#This Row],[INVERSIONES FCI]])</f>
        <v>49782633837.518997</v>
      </c>
      <c r="BM239" s="5">
        <f>IF($B238&lt;=Tabla5[[#This Row],[INVERSIONES FCI]],+Tabla5[[#This Row],[INVERSIONES FCI]]-BM238,Tabla5[[#This Row],[INVERSIONES FCI]])</f>
        <v>49782633837.518997</v>
      </c>
      <c r="BN239" s="5">
        <f>IF($B238&lt;=Tabla5[[#This Row],[INVERSIONES FCI]],+Tabla5[[#This Row],[INVERSIONES FCI]]-BN238,Tabla5[[#This Row],[INVERSIONES FCI]])</f>
        <v>49782633837.518997</v>
      </c>
      <c r="BO239" s="5">
        <f>IF($B238&lt;=Tabla5[[#This Row],[INVERSIONES FCI]],+Tabla5[[#This Row],[INVERSIONES FCI]]-BO238,Tabla5[[#This Row],[INVERSIONES FCI]])</f>
        <v>49782633837.518997</v>
      </c>
      <c r="BP239" s="5">
        <f>IF($B238&lt;=Tabla5[[#This Row],[INVERSIONES FCI]],+Tabla5[[#This Row],[INVERSIONES FCI]]-BP238,Tabla5[[#This Row],[INVERSIONES FCI]])</f>
        <v>49782633837.518997</v>
      </c>
      <c r="BQ239" s="5">
        <f>IF($B238&lt;=Tabla5[[#This Row],[INVERSIONES FCI]],+Tabla5[[#This Row],[INVERSIONES FCI]]-BQ238,Tabla5[[#This Row],[INVERSIONES FCI]])</f>
        <v>49782633837.518997</v>
      </c>
      <c r="BR239" s="5">
        <f>IF($B238&lt;=Tabla5[[#This Row],[INVERSIONES FCI]],+Tabla5[[#This Row],[INVERSIONES FCI]]-BR238,Tabla5[[#This Row],[INVERSIONES FCI]])</f>
        <v>49782633837.518997</v>
      </c>
      <c r="BS239" s="5">
        <f>IF($B238&lt;=Tabla5[[#This Row],[INVERSIONES FCI]],+Tabla5[[#This Row],[INVERSIONES FCI]]-BS238,Tabla5[[#This Row],[INVERSIONES FCI]])</f>
        <v>49782633837.518997</v>
      </c>
      <c r="BT239" s="5">
        <f>IF($B238&lt;=Tabla5[[#This Row],[INVERSIONES FCI]],+Tabla5[[#This Row],[INVERSIONES FCI]]-BT238,Tabla5[[#This Row],[INVERSIONES FCI]])</f>
        <v>49782633837.518997</v>
      </c>
      <c r="BU239" s="5">
        <f>IF($B238&lt;=Tabla5[[#This Row],[INVERSIONES FCI]],+Tabla5[[#This Row],[INVERSIONES FCI]]-BU238,Tabla5[[#This Row],[INVERSIONES FCI]])</f>
        <v>49782633837.518997</v>
      </c>
      <c r="BV239" s="5">
        <f>IF($B238&lt;=Tabla5[[#This Row],[INVERSIONES FCI]],+Tabla5[[#This Row],[INVERSIONES FCI]]-BV238,Tabla5[[#This Row],[INVERSIONES FCI]])</f>
        <v>49782633837.518997</v>
      </c>
      <c r="BW239" s="5">
        <f>IF($B238&lt;=Tabla5[[#This Row],[INVERSIONES FCI]],+Tabla5[[#This Row],[INVERSIONES FCI]]-BW238,Tabla5[[#This Row],[INVERSIONES FCI]])</f>
        <v>49782633837.518997</v>
      </c>
      <c r="BX239" s="5">
        <f>IF($B238&lt;=Tabla5[[#This Row],[INVERSIONES FCI]],+Tabla5[[#This Row],[INVERSIONES FCI]]-BX238,Tabla5[[#This Row],[INVERSIONES FCI]])</f>
        <v>49782633837.518997</v>
      </c>
      <c r="BY239" s="5">
        <f>IF($B238&lt;=Tabla5[[#This Row],[INVERSIONES FCI]],+Tabla5[[#This Row],[INVERSIONES FCI]]-BY238,Tabla5[[#This Row],[INVERSIONES FCI]])</f>
        <v>49782633837.518997</v>
      </c>
      <c r="BZ239" s="5">
        <f>IF($B238&lt;=Tabla5[[#This Row],[INVERSIONES FCI]],+Tabla5[[#This Row],[INVERSIONES FCI]]-BZ238,Tabla5[[#This Row],[INVERSIONES FCI]])</f>
        <v>49782633837.518997</v>
      </c>
      <c r="CA239" s="5">
        <f>IF($B238&lt;=Tabla5[[#This Row],[INVERSIONES FCI]],+Tabla5[[#This Row],[INVERSIONES FCI]]-CA238,Tabla5[[#This Row],[INVERSIONES FCI]])</f>
        <v>49782633837.518997</v>
      </c>
      <c r="CB239" s="5">
        <f>IF($B238&lt;=Tabla5[[#This Row],[INVERSIONES FCI]],+Tabla5[[#This Row],[INVERSIONES FCI]]-CB238,Tabla5[[#This Row],[INVERSIONES FCI]])</f>
        <v>49782633837.518997</v>
      </c>
      <c r="CC239" s="5">
        <f>IF($B238&lt;=Tabla5[[#This Row],[INVERSIONES FCI]],+Tabla5[[#This Row],[INVERSIONES FCI]]-CC238,Tabla5[[#This Row],[INVERSIONES FCI]])</f>
        <v>49782633837.518997</v>
      </c>
      <c r="CD239" s="5">
        <f>IF($B238&lt;=Tabla5[[#This Row],[INVERSIONES FCI]],+Tabla5[[#This Row],[INVERSIONES FCI]]-CD238,Tabla5[[#This Row],[INVERSIONES FCI]])</f>
        <v>49782633837.518997</v>
      </c>
      <c r="CE239" s="5">
        <f>IF($B238&lt;=Tabla5[[#This Row],[INVERSIONES FCI]],+Tabla5[[#This Row],[INVERSIONES FCI]]-CE238,Tabla5[[#This Row],[INVERSIONES FCI]])</f>
        <v>49782633837.518997</v>
      </c>
      <c r="CF239" s="5">
        <f>IF($B238&lt;=Tabla5[[#This Row],[INVERSIONES FCI]],+Tabla5[[#This Row],[INVERSIONES FCI]]-CF238,Tabla5[[#This Row],[INVERSIONES FCI]])</f>
        <v>49782633837.518997</v>
      </c>
      <c r="CG239" s="5">
        <f>IF($B238&lt;=Tabla5[[#This Row],[INVERSIONES FCI]],+Tabla5[[#This Row],[INVERSIONES FCI]]-CG238,Tabla5[[#This Row],[INVERSIONES FCI]])</f>
        <v>49782633837.518997</v>
      </c>
      <c r="CH239" s="5">
        <f>IF($B238&lt;=Tabla5[[#This Row],[INVERSIONES FCI]],+Tabla5[[#This Row],[INVERSIONES FCI]]-CH238,Tabla5[[#This Row],[INVERSIONES FCI]])</f>
        <v>49782633837.518997</v>
      </c>
      <c r="CI239" s="5">
        <f>IF($B238&lt;=Tabla5[[#This Row],[INVERSIONES FCI]],+Tabla5[[#This Row],[INVERSIONES FCI]]-CI238,Tabla5[[#This Row],[INVERSIONES FCI]])</f>
        <v>49782633837.518997</v>
      </c>
      <c r="CJ239" s="5">
        <f>IF($B238&lt;=Tabla5[[#This Row],[INVERSIONES FCI]],+Tabla5[[#This Row],[INVERSIONES FCI]]-CJ238,Tabla5[[#This Row],[INVERSIONES FCI]])</f>
        <v>49782633837.518997</v>
      </c>
      <c r="CK239" s="5">
        <f>IF($B238&lt;=Tabla5[[#This Row],[INVERSIONES FCI]],+Tabla5[[#This Row],[INVERSIONES FCI]]-CK238,Tabla5[[#This Row],[INVERSIONES FCI]])</f>
        <v>49782633837.518997</v>
      </c>
      <c r="CL239" s="5">
        <f>IF($B238&lt;=Tabla5[[#This Row],[INVERSIONES FCI]],+Tabla5[[#This Row],[INVERSIONES FCI]]-CL238,Tabla5[[#This Row],[INVERSIONES FCI]])</f>
        <v>49782633837.518997</v>
      </c>
      <c r="CM239" s="5">
        <f>IF($B238&lt;=Tabla5[[#This Row],[INVERSIONES FCI]],+Tabla5[[#This Row],[INVERSIONES FCI]]-CM238,Tabla5[[#This Row],[INVERSIONES FCI]])</f>
        <v>49782633837.518997</v>
      </c>
      <c r="CN239" s="5">
        <f>IF($B238&lt;=Tabla5[[#This Row],[INVERSIONES FCI]],+Tabla5[[#This Row],[INVERSIONES FCI]]-CN238,Tabla5[[#This Row],[INVERSIONES FCI]])</f>
        <v>49782633837.518997</v>
      </c>
      <c r="CO239" s="5">
        <f>IF($B238&lt;=Tabla5[[#This Row],[INVERSIONES FCI]],+Tabla5[[#This Row],[INVERSIONES FCI]]-CO238,Tabla5[[#This Row],[INVERSIONES FCI]])</f>
        <v>49782633837.518997</v>
      </c>
      <c r="CP239" s="5">
        <f>IF($B238&lt;=Tabla5[[#This Row],[INVERSIONES FCI]],+Tabla5[[#This Row],[INVERSIONES FCI]]-CP238,Tabla5[[#This Row],[INVERSIONES FCI]])</f>
        <v>49782633837.518997</v>
      </c>
      <c r="CQ239" s="5">
        <f>IF($B238&lt;=Tabla5[[#This Row],[INVERSIONES FCI]],+Tabla5[[#This Row],[INVERSIONES FCI]]-CQ238,Tabla5[[#This Row],[INVERSIONES FCI]])</f>
        <v>49782633837.518997</v>
      </c>
      <c r="CR239" s="5">
        <f>IF($B238&lt;=Tabla5[[#This Row],[INVERSIONES FCI]],+Tabla5[[#This Row],[INVERSIONES FCI]]-CR238,Tabla5[[#This Row],[INVERSIONES FCI]])</f>
        <v>49782633837.518997</v>
      </c>
      <c r="CS239" s="5">
        <f>IF($B238&lt;=Tabla5[[#This Row],[INVERSIONES FCI]],+Tabla5[[#This Row],[INVERSIONES FCI]]-CS238,Tabla5[[#This Row],[INVERSIONES FCI]])</f>
        <v>49782633837.518997</v>
      </c>
      <c r="CT239" s="5">
        <f>IF($B238&lt;=Tabla5[[#This Row],[INVERSIONES FCI]],+Tabla5[[#This Row],[INVERSIONES FCI]]-CT238,Tabla5[[#This Row],[INVERSIONES FCI]])</f>
        <v>49782633837.518997</v>
      </c>
      <c r="CU239" s="5">
        <f>IF($B238&lt;=Tabla5[[#This Row],[INVERSIONES FCI]],+Tabla5[[#This Row],[INVERSIONES FCI]]-CU238,Tabla5[[#This Row],[INVERSIONES FCI]])</f>
        <v>49782633837.518997</v>
      </c>
      <c r="CV239" s="5">
        <f>IF($B238&lt;=Tabla5[[#This Row],[INVERSIONES FCI]],+Tabla5[[#This Row],[INVERSIONES FCI]]-CV238,Tabla5[[#This Row],[INVERSIONES FCI]])</f>
        <v>49782633837.518997</v>
      </c>
      <c r="CW239" s="5">
        <f>IF($B238&lt;=Tabla5[[#This Row],[INVERSIONES FCI]],+Tabla5[[#This Row],[INVERSIONES FCI]]-CW238,Tabla5[[#This Row],[INVERSIONES FCI]])</f>
        <v>49782633837.518997</v>
      </c>
      <c r="CX239" s="5">
        <f>IF($B238&lt;=Tabla5[[#This Row],[INVERSIONES FCI]],+Tabla5[[#This Row],[INVERSIONES FCI]]-CX238,Tabla5[[#This Row],[INVERSIONES FCI]])</f>
        <v>49782633837.518997</v>
      </c>
      <c r="CY239" s="5">
        <f>IF($B238&lt;=Tabla5[[#This Row],[INVERSIONES FCI]],+Tabla5[[#This Row],[INVERSIONES FCI]]-CY238,Tabla5[[#This Row],[INVERSIONES FCI]])</f>
        <v>49782633837.518997</v>
      </c>
      <c r="CZ239" s="5">
        <f>IF($B238&lt;=Tabla5[[#This Row],[INVERSIONES FCI]],+Tabla5[[#This Row],[INVERSIONES FCI]]-CZ238,Tabla5[[#This Row],[INVERSIONES FCI]])</f>
        <v>49782633837.518997</v>
      </c>
      <c r="DA239" s="5">
        <f>IF($B238&lt;=Tabla5[[#This Row],[INVERSIONES FCI]],+Tabla5[[#This Row],[INVERSIONES FCI]]-DA238,Tabla5[[#This Row],[INVERSIONES FCI]])</f>
        <v>49782633837.518997</v>
      </c>
      <c r="DB239" s="5">
        <f>IF($B238&lt;=Tabla5[[#This Row],[INVERSIONES FCI]],+Tabla5[[#This Row],[INVERSIONES FCI]]-DB238,Tabla5[[#This Row],[INVERSIONES FCI]])</f>
        <v>49782633837.518997</v>
      </c>
      <c r="DC239" s="5">
        <f>IF($B238&lt;=Tabla5[[#This Row],[INVERSIONES FCI]],+Tabla5[[#This Row],[INVERSIONES FCI]]-DC238,Tabla5[[#This Row],[INVERSIONES FCI]])</f>
        <v>49782633837.518997</v>
      </c>
      <c r="DD239" s="5">
        <f>IF($B238&lt;=Tabla5[[#This Row],[INVERSIONES FCI]],+Tabla5[[#This Row],[INVERSIONES FCI]]-DD238,Tabla5[[#This Row],[INVERSIONES FCI]])</f>
        <v>49782633837.518997</v>
      </c>
      <c r="DE239" s="5">
        <f>IF($B238&lt;=Tabla5[[#This Row],[INVERSIONES FCI]],+Tabla5[[#This Row],[INVERSIONES FCI]]-DE238,Tabla5[[#This Row],[INVERSIONES FCI]])</f>
        <v>49782633837.518997</v>
      </c>
      <c r="DF239" s="5">
        <f>IF($B238&lt;=Tabla5[[#This Row],[INVERSIONES FCI]],+Tabla5[[#This Row],[INVERSIONES FCI]]-DF238,Tabla5[[#This Row],[INVERSIONES FCI]])</f>
        <v>49782633837.518997</v>
      </c>
      <c r="DG239" s="5">
        <f>IF($B238&lt;=Tabla5[[#This Row],[INVERSIONES FCI]],+Tabla5[[#This Row],[INVERSIONES FCI]]-DG238,Tabla5[[#This Row],[INVERSIONES FCI]])</f>
        <v>49782633837.518997</v>
      </c>
      <c r="DH239" s="5">
        <f>IF($B238&lt;=Tabla5[[#This Row],[INVERSIONES FCI]],+Tabla5[[#This Row],[INVERSIONES FCI]]-DH238,Tabla5[[#This Row],[INVERSIONES FCI]])</f>
        <v>49782633837.518997</v>
      </c>
      <c r="DI239" s="5">
        <f>IF($B238&lt;=Tabla5[[#This Row],[INVERSIONES FCI]],+Tabla5[[#This Row],[INVERSIONES FCI]]-DI238,Tabla5[[#This Row],[INVERSIONES FCI]])</f>
        <v>49782633837.518997</v>
      </c>
      <c r="DJ239" s="5">
        <f>IF($B238&lt;=Tabla5[[#This Row],[INVERSIONES FCI]],+Tabla5[[#This Row],[INVERSIONES FCI]]-DJ238,Tabla5[[#This Row],[INVERSIONES FCI]])</f>
        <v>49782633837.518997</v>
      </c>
      <c r="DK239" s="5">
        <f>IF($B238&lt;=Tabla5[[#This Row],[INVERSIONES FCI]],+Tabla5[[#This Row],[INVERSIONES FCI]]-DK238,Tabla5[[#This Row],[INVERSIONES FCI]])</f>
        <v>49782633837.518997</v>
      </c>
      <c r="DL239" s="5"/>
      <c r="DM239" s="5"/>
      <c r="DN239" s="5"/>
      <c r="DO239" s="5"/>
      <c r="DP239" s="5"/>
      <c r="DQ239" s="5"/>
    </row>
    <row r="240" spans="1:121" ht="14.4">
      <c r="A240" s="12" t="s">
        <v>239</v>
      </c>
      <c r="B240" s="5">
        <f>HLOOKUP($A240,ESCENARIO[#All],7,FALSE)</f>
        <v>56003030335.888931</v>
      </c>
      <c r="C240" s="5">
        <f>IF($B239&lt;=Tabla5[[#This Row],[INVERSIONES FCI]],+Tabla5[[#This Row],[INVERSIONES FCI]]-C239,Tabla5[[#This Row],[INVERSIONES FCI]])</f>
        <v>6220396498.3699341</v>
      </c>
      <c r="D240" s="5">
        <f>IF($B239&lt;=Tabla5[[#This Row],[INVERSIONES FCI]],+Tabla5[[#This Row],[INVERSIONES FCI]]-D239,Tabla5[[#This Row],[INVERSIONES FCI]])</f>
        <v>6220396498.3699341</v>
      </c>
      <c r="E240" s="5">
        <f>IF($B239&lt;=Tabla5[[#This Row],[INVERSIONES FCI]],+Tabla5[[#This Row],[INVERSIONES FCI]]-E239,Tabla5[[#This Row],[INVERSIONES FCI]])</f>
        <v>6220396498.3699341</v>
      </c>
      <c r="F240" s="5">
        <f>IF($B239&lt;=Tabla5[[#This Row],[INVERSIONES FCI]],+Tabla5[[#This Row],[INVERSIONES FCI]]-F239,Tabla5[[#This Row],[INVERSIONES FCI]])</f>
        <v>6220396498.3699341</v>
      </c>
      <c r="G240" s="5">
        <f>IF($B239&lt;=Tabla5[[#This Row],[INVERSIONES FCI]],+Tabla5[[#This Row],[INVERSIONES FCI]]-G239,Tabla5[[#This Row],[INVERSIONES FCI]])</f>
        <v>6220396498.3699341</v>
      </c>
      <c r="H240" s="5">
        <f>IF($B239&lt;=Tabla5[[#This Row],[INVERSIONES FCI]],+Tabla5[[#This Row],[INVERSIONES FCI]]-H239,Tabla5[[#This Row],[INVERSIONES FCI]])</f>
        <v>6220396498.3699341</v>
      </c>
      <c r="I240" s="5">
        <f>IF($B239&lt;=Tabla5[[#This Row],[INVERSIONES FCI]],+Tabla5[[#This Row],[INVERSIONES FCI]]-I239,Tabla5[[#This Row],[INVERSIONES FCI]])</f>
        <v>6220396498.3699341</v>
      </c>
      <c r="J240" s="5">
        <f>IF($B239&lt;=Tabla5[[#This Row],[INVERSIONES FCI]],+Tabla5[[#This Row],[INVERSIONES FCI]]-J239,Tabla5[[#This Row],[INVERSIONES FCI]])</f>
        <v>6220396498.3699341</v>
      </c>
      <c r="K240" s="5">
        <f>IF($B239&lt;=Tabla5[[#This Row],[INVERSIONES FCI]],+Tabla5[[#This Row],[INVERSIONES FCI]]-K239,Tabla5[[#This Row],[INVERSIONES FCI]])</f>
        <v>6220396498.3699341</v>
      </c>
      <c r="L240" s="5">
        <f>IF($B239&lt;=Tabla5[[#This Row],[INVERSIONES FCI]],+Tabla5[[#This Row],[INVERSIONES FCI]]-L239,Tabla5[[#This Row],[INVERSIONES FCI]])</f>
        <v>6220396498.3699341</v>
      </c>
      <c r="M240" s="5">
        <f>IF($B239&lt;=Tabla5[[#This Row],[INVERSIONES FCI]],+Tabla5[[#This Row],[INVERSIONES FCI]]-M239,Tabla5[[#This Row],[INVERSIONES FCI]])</f>
        <v>6220396498.3699341</v>
      </c>
      <c r="N240" s="5">
        <f>IF($B239&lt;=Tabla5[[#This Row],[INVERSIONES FCI]],+Tabla5[[#This Row],[INVERSIONES FCI]]-N239,Tabla5[[#This Row],[INVERSIONES FCI]])</f>
        <v>6220396498.3699341</v>
      </c>
      <c r="O240" s="5">
        <f>IF($B239&lt;=Tabla5[[#This Row],[INVERSIONES FCI]],+Tabla5[[#This Row],[INVERSIONES FCI]]-O239,Tabla5[[#This Row],[INVERSIONES FCI]])</f>
        <v>6220396498.3699341</v>
      </c>
      <c r="P240" s="5">
        <f>IF($B239&lt;=Tabla5[[#This Row],[INVERSIONES FCI]],+Tabla5[[#This Row],[INVERSIONES FCI]]-P239,Tabla5[[#This Row],[INVERSIONES FCI]])</f>
        <v>6220396498.3699341</v>
      </c>
      <c r="Q240" s="5">
        <f>IF($B239&lt;=Tabla5[[#This Row],[INVERSIONES FCI]],+Tabla5[[#This Row],[INVERSIONES FCI]]-Q239,Tabla5[[#This Row],[INVERSIONES FCI]])</f>
        <v>6220396498.3699341</v>
      </c>
      <c r="R240" s="5">
        <f>IF($B239&lt;=Tabla5[[#This Row],[INVERSIONES FCI]],+Tabla5[[#This Row],[INVERSIONES FCI]]-R239,Tabla5[[#This Row],[INVERSIONES FCI]])</f>
        <v>6220396498.3699341</v>
      </c>
      <c r="S240" s="5">
        <f>IF($B239&lt;=Tabla5[[#This Row],[INVERSIONES FCI]],+Tabla5[[#This Row],[INVERSIONES FCI]]-S239,Tabla5[[#This Row],[INVERSIONES FCI]])</f>
        <v>6220396498.3699341</v>
      </c>
      <c r="T240" s="5">
        <f>IF($B239&lt;=Tabla5[[#This Row],[INVERSIONES FCI]],+Tabla5[[#This Row],[INVERSIONES FCI]]-T239,Tabla5[[#This Row],[INVERSIONES FCI]])</f>
        <v>6220396498.3699341</v>
      </c>
      <c r="U240" s="5">
        <f>IF($B239&lt;=Tabla5[[#This Row],[INVERSIONES FCI]],+Tabla5[[#This Row],[INVERSIONES FCI]]-U239,Tabla5[[#This Row],[INVERSIONES FCI]])</f>
        <v>6220396498.3699341</v>
      </c>
      <c r="V240" s="5">
        <f>IF($B239&lt;=Tabla5[[#This Row],[INVERSIONES FCI]],+Tabla5[[#This Row],[INVERSIONES FCI]]-V239,Tabla5[[#This Row],[INVERSIONES FCI]])</f>
        <v>6220396498.3699341</v>
      </c>
      <c r="W240" s="5">
        <f>IF($B239&lt;=Tabla5[[#This Row],[INVERSIONES FCI]],+Tabla5[[#This Row],[INVERSIONES FCI]]-W239,Tabla5[[#This Row],[INVERSIONES FCI]])</f>
        <v>6220396498.3699341</v>
      </c>
      <c r="X240" s="5">
        <f>IF($B239&lt;=Tabla5[[#This Row],[INVERSIONES FCI]],+Tabla5[[#This Row],[INVERSIONES FCI]]-X239,Tabla5[[#This Row],[INVERSIONES FCI]])</f>
        <v>6220396498.3699341</v>
      </c>
      <c r="Y240" s="5">
        <f>IF($B239&lt;=Tabla5[[#This Row],[INVERSIONES FCI]],+Tabla5[[#This Row],[INVERSIONES FCI]]-Y239,Tabla5[[#This Row],[INVERSIONES FCI]])</f>
        <v>6220396498.3699341</v>
      </c>
      <c r="Z240" s="5">
        <f>IF($B239&lt;=Tabla5[[#This Row],[INVERSIONES FCI]],+Tabla5[[#This Row],[INVERSIONES FCI]]-Z239,Tabla5[[#This Row],[INVERSIONES FCI]])</f>
        <v>6220396498.3699341</v>
      </c>
      <c r="AA240" s="5">
        <f>IF($B239&lt;=Tabla5[[#This Row],[INVERSIONES FCI]],+Tabla5[[#This Row],[INVERSIONES FCI]]-AA239,Tabla5[[#This Row],[INVERSIONES FCI]])</f>
        <v>6220396498.3699341</v>
      </c>
      <c r="AB240" s="5">
        <f>IF($B239&lt;=Tabla5[[#This Row],[INVERSIONES FCI]],+Tabla5[[#This Row],[INVERSIONES FCI]]-AB239,Tabla5[[#This Row],[INVERSIONES FCI]])</f>
        <v>6220396498.3699341</v>
      </c>
      <c r="AC240" s="5">
        <f>IF($B239&lt;=Tabla5[[#This Row],[INVERSIONES FCI]],+Tabla5[[#This Row],[INVERSIONES FCI]]-AC239,Tabla5[[#This Row],[INVERSIONES FCI]])</f>
        <v>6220396498.3699341</v>
      </c>
      <c r="AD240" s="5">
        <f>IF($B239&lt;=Tabla5[[#This Row],[INVERSIONES FCI]],+Tabla5[[#This Row],[INVERSIONES FCI]]-AD239,Tabla5[[#This Row],[INVERSIONES FCI]])</f>
        <v>6220396498.3699341</v>
      </c>
      <c r="AE240" s="5">
        <f>IF($B239&lt;=Tabla5[[#This Row],[INVERSIONES FCI]],+Tabla5[[#This Row],[INVERSIONES FCI]]-AE239,Tabla5[[#This Row],[INVERSIONES FCI]])</f>
        <v>6220396498.3699341</v>
      </c>
      <c r="AF240" s="5">
        <f>IF($B239&lt;=Tabla5[[#This Row],[INVERSIONES FCI]],+Tabla5[[#This Row],[INVERSIONES FCI]]-AF239,Tabla5[[#This Row],[INVERSIONES FCI]])</f>
        <v>6220396498.3699341</v>
      </c>
      <c r="AG240" s="5">
        <f>IF($B239&lt;=Tabla5[[#This Row],[INVERSIONES FCI]],+Tabla5[[#This Row],[INVERSIONES FCI]]-AG239,Tabla5[[#This Row],[INVERSIONES FCI]])</f>
        <v>6220396498.3699341</v>
      </c>
      <c r="AH240" s="5">
        <f>IF($B239&lt;=Tabla5[[#This Row],[INVERSIONES FCI]],+Tabla5[[#This Row],[INVERSIONES FCI]]-AH239,Tabla5[[#This Row],[INVERSIONES FCI]])</f>
        <v>6220396498.3699341</v>
      </c>
      <c r="AI240" s="5">
        <f>IF($B239&lt;=Tabla5[[#This Row],[INVERSIONES FCI]],+Tabla5[[#This Row],[INVERSIONES FCI]]-AI239,Tabla5[[#This Row],[INVERSIONES FCI]])</f>
        <v>6220396498.3699341</v>
      </c>
      <c r="AJ240" s="5">
        <f>IF($B239&lt;=Tabla5[[#This Row],[INVERSIONES FCI]],+Tabla5[[#This Row],[INVERSIONES FCI]]-AJ239,Tabla5[[#This Row],[INVERSIONES FCI]])</f>
        <v>6220396498.3699341</v>
      </c>
      <c r="AK240" s="5">
        <f>IF($B239&lt;=Tabla5[[#This Row],[INVERSIONES FCI]],+Tabla5[[#This Row],[INVERSIONES FCI]]-AK239,Tabla5[[#This Row],[INVERSIONES FCI]])</f>
        <v>6220396498.3699341</v>
      </c>
      <c r="AL240" s="5">
        <f>IF($B239&lt;=Tabla5[[#This Row],[INVERSIONES FCI]],+Tabla5[[#This Row],[INVERSIONES FCI]]-AL239,Tabla5[[#This Row],[INVERSIONES FCI]])</f>
        <v>6220396498.3699341</v>
      </c>
      <c r="AM240" s="5">
        <f>IF($B239&lt;=Tabla5[[#This Row],[INVERSIONES FCI]],+Tabla5[[#This Row],[INVERSIONES FCI]]-AM239,Tabla5[[#This Row],[INVERSIONES FCI]])</f>
        <v>6220396498.3699341</v>
      </c>
      <c r="AN240" s="5">
        <f>IF($B239&lt;=Tabla5[[#This Row],[INVERSIONES FCI]],+Tabla5[[#This Row],[INVERSIONES FCI]]-AN239,Tabla5[[#This Row],[INVERSIONES FCI]])</f>
        <v>6220396498.3699341</v>
      </c>
      <c r="AO240" s="5">
        <f>IF($B239&lt;=Tabla5[[#This Row],[INVERSIONES FCI]],+Tabla5[[#This Row],[INVERSIONES FCI]]-AO239,Tabla5[[#This Row],[INVERSIONES FCI]])</f>
        <v>6220396498.3699341</v>
      </c>
      <c r="AP240" s="5">
        <f>IF($B239&lt;=Tabla5[[#This Row],[INVERSIONES FCI]],+Tabla5[[#This Row],[INVERSIONES FCI]]-AP239,Tabla5[[#This Row],[INVERSIONES FCI]])</f>
        <v>6220396498.3699341</v>
      </c>
      <c r="AQ240" s="5">
        <f>IF($B239&lt;=Tabla5[[#This Row],[INVERSIONES FCI]],+Tabla5[[#This Row],[INVERSIONES FCI]]-AQ239,Tabla5[[#This Row],[INVERSIONES FCI]])</f>
        <v>6220396498.3699341</v>
      </c>
      <c r="AR240" s="5">
        <f>IF($B239&lt;=Tabla5[[#This Row],[INVERSIONES FCI]],+Tabla5[[#This Row],[INVERSIONES FCI]]-AR239,Tabla5[[#This Row],[INVERSIONES FCI]])</f>
        <v>6220396498.3699341</v>
      </c>
      <c r="AS240" s="5">
        <f>IF($B239&lt;=Tabla5[[#This Row],[INVERSIONES FCI]],+Tabla5[[#This Row],[INVERSIONES FCI]]-AS239,Tabla5[[#This Row],[INVERSIONES FCI]])</f>
        <v>6220396498.3699341</v>
      </c>
      <c r="AT240" s="5">
        <f>IF($B239&lt;=Tabla5[[#This Row],[INVERSIONES FCI]],+Tabla5[[#This Row],[INVERSIONES FCI]]-AT239,Tabla5[[#This Row],[INVERSIONES FCI]])</f>
        <v>6220396498.3699341</v>
      </c>
      <c r="AU240" s="5">
        <f>IF($B239&lt;=Tabla5[[#This Row],[INVERSIONES FCI]],+Tabla5[[#This Row],[INVERSIONES FCI]]-AU239,Tabla5[[#This Row],[INVERSIONES FCI]])</f>
        <v>6220396498.3699341</v>
      </c>
      <c r="AV240" s="5">
        <f>IF($B239&lt;=Tabla5[[#This Row],[INVERSIONES FCI]],+Tabla5[[#This Row],[INVERSIONES FCI]]-AV239,Tabla5[[#This Row],[INVERSIONES FCI]])</f>
        <v>6220396498.3699341</v>
      </c>
      <c r="AW240" s="5">
        <f>IF($B239&lt;=Tabla5[[#This Row],[INVERSIONES FCI]],+Tabla5[[#This Row],[INVERSIONES FCI]]-AW239,Tabla5[[#This Row],[INVERSIONES FCI]])</f>
        <v>6220396498.3699341</v>
      </c>
      <c r="AX240" s="5">
        <f>IF($B239&lt;=Tabla5[[#This Row],[INVERSIONES FCI]],+Tabla5[[#This Row],[INVERSIONES FCI]]-AX239,Tabla5[[#This Row],[INVERSIONES FCI]])</f>
        <v>6220396498.3699341</v>
      </c>
      <c r="AY240" s="5">
        <f>IF($B239&lt;=Tabla5[[#This Row],[INVERSIONES FCI]],+Tabla5[[#This Row],[INVERSIONES FCI]]-AY239,Tabla5[[#This Row],[INVERSIONES FCI]])</f>
        <v>6220396498.3699341</v>
      </c>
      <c r="AZ240" s="5">
        <f>IF($B239&lt;=Tabla5[[#This Row],[INVERSIONES FCI]],+Tabla5[[#This Row],[INVERSIONES FCI]]-AZ239,Tabla5[[#This Row],[INVERSIONES FCI]])</f>
        <v>6220396498.3699341</v>
      </c>
      <c r="BA240" s="5">
        <f>IF($B239&lt;=Tabla5[[#This Row],[INVERSIONES FCI]],+Tabla5[[#This Row],[INVERSIONES FCI]]-BA239,Tabla5[[#This Row],[INVERSIONES FCI]])</f>
        <v>6220396498.3699341</v>
      </c>
      <c r="BB240" s="5">
        <f>IF($B239&lt;=Tabla5[[#This Row],[INVERSIONES FCI]],+Tabla5[[#This Row],[INVERSIONES FCI]]-BB239,Tabla5[[#This Row],[INVERSIONES FCI]])</f>
        <v>6220396498.3699341</v>
      </c>
      <c r="BC240" s="5">
        <f>IF($B239&lt;=Tabla5[[#This Row],[INVERSIONES FCI]],+Tabla5[[#This Row],[INVERSIONES FCI]]-BC239,Tabla5[[#This Row],[INVERSIONES FCI]])</f>
        <v>6220396498.3699341</v>
      </c>
      <c r="BD240" s="5">
        <f>IF($B239&lt;=Tabla5[[#This Row],[INVERSIONES FCI]],+Tabla5[[#This Row],[INVERSIONES FCI]]-BD239,Tabla5[[#This Row],[INVERSIONES FCI]])</f>
        <v>6220396498.3699341</v>
      </c>
      <c r="BE240" s="5">
        <f>IF($B239&lt;=Tabla5[[#This Row],[INVERSIONES FCI]],+Tabla5[[#This Row],[INVERSIONES FCI]]-BE239,Tabla5[[#This Row],[INVERSIONES FCI]])</f>
        <v>6220396498.3699341</v>
      </c>
      <c r="BF240" s="5">
        <f>IF($B239&lt;=Tabla5[[#This Row],[INVERSIONES FCI]],+Tabla5[[#This Row],[INVERSIONES FCI]]-BF239,Tabla5[[#This Row],[INVERSIONES FCI]])</f>
        <v>6220396498.3699341</v>
      </c>
      <c r="BG240" s="5">
        <f>IF($B239&lt;=Tabla5[[#This Row],[INVERSIONES FCI]],+Tabla5[[#This Row],[INVERSIONES FCI]]-BG239,Tabla5[[#This Row],[INVERSIONES FCI]])</f>
        <v>6220396498.3699341</v>
      </c>
      <c r="BH240" s="5">
        <f>IF($B239&lt;=Tabla5[[#This Row],[INVERSIONES FCI]],+Tabla5[[#This Row],[INVERSIONES FCI]]-BH239,Tabla5[[#This Row],[INVERSIONES FCI]])</f>
        <v>6220396498.3699341</v>
      </c>
      <c r="BI240" s="5">
        <f>IF($B239&lt;=Tabla5[[#This Row],[INVERSIONES FCI]],+Tabla5[[#This Row],[INVERSIONES FCI]]-BI239,Tabla5[[#This Row],[INVERSIONES FCI]])</f>
        <v>6220396498.3699341</v>
      </c>
      <c r="BJ240" s="5">
        <f>IF($B239&lt;=Tabla5[[#This Row],[INVERSIONES FCI]],+Tabla5[[#This Row],[INVERSIONES FCI]]-BJ239,Tabla5[[#This Row],[INVERSIONES FCI]])</f>
        <v>6220396498.3699341</v>
      </c>
      <c r="BK240" s="5">
        <f>IF($B239&lt;=Tabla5[[#This Row],[INVERSIONES FCI]],+Tabla5[[#This Row],[INVERSIONES FCI]]-BK239,Tabla5[[#This Row],[INVERSIONES FCI]])</f>
        <v>6220396498.3699341</v>
      </c>
      <c r="BL240" s="5">
        <f>IF($B239&lt;=Tabla5[[#This Row],[INVERSIONES FCI]],+Tabla5[[#This Row],[INVERSIONES FCI]]-BL239,Tabla5[[#This Row],[INVERSIONES FCI]])</f>
        <v>6220396498.3699341</v>
      </c>
      <c r="BM240" s="5">
        <f>IF($B239&lt;=Tabla5[[#This Row],[INVERSIONES FCI]],+Tabla5[[#This Row],[INVERSIONES FCI]]-BM239,Tabla5[[#This Row],[INVERSIONES FCI]])</f>
        <v>6220396498.3699341</v>
      </c>
      <c r="BN240" s="5">
        <f>IF($B239&lt;=Tabla5[[#This Row],[INVERSIONES FCI]],+Tabla5[[#This Row],[INVERSIONES FCI]]-BN239,Tabla5[[#This Row],[INVERSIONES FCI]])</f>
        <v>6220396498.3699341</v>
      </c>
      <c r="BO240" s="5">
        <f>IF($B239&lt;=Tabla5[[#This Row],[INVERSIONES FCI]],+Tabla5[[#This Row],[INVERSIONES FCI]]-BO239,Tabla5[[#This Row],[INVERSIONES FCI]])</f>
        <v>6220396498.3699341</v>
      </c>
      <c r="BP240" s="5">
        <f>IF($B239&lt;=Tabla5[[#This Row],[INVERSIONES FCI]],+Tabla5[[#This Row],[INVERSIONES FCI]]-BP239,Tabla5[[#This Row],[INVERSIONES FCI]])</f>
        <v>6220396498.3699341</v>
      </c>
      <c r="BQ240" s="5">
        <f>IF($B239&lt;=Tabla5[[#This Row],[INVERSIONES FCI]],+Tabla5[[#This Row],[INVERSIONES FCI]]-BQ239,Tabla5[[#This Row],[INVERSIONES FCI]])</f>
        <v>6220396498.3699341</v>
      </c>
      <c r="BR240" s="5">
        <f>IF($B239&lt;=Tabla5[[#This Row],[INVERSIONES FCI]],+Tabla5[[#This Row],[INVERSIONES FCI]]-BR239,Tabla5[[#This Row],[INVERSIONES FCI]])</f>
        <v>6220396498.3699341</v>
      </c>
      <c r="BS240" s="5">
        <f>IF($B239&lt;=Tabla5[[#This Row],[INVERSIONES FCI]],+Tabla5[[#This Row],[INVERSIONES FCI]]-BS239,Tabla5[[#This Row],[INVERSIONES FCI]])</f>
        <v>6220396498.3699341</v>
      </c>
      <c r="BT240" s="5">
        <f>IF($B239&lt;=Tabla5[[#This Row],[INVERSIONES FCI]],+Tabla5[[#This Row],[INVERSIONES FCI]]-BT239,Tabla5[[#This Row],[INVERSIONES FCI]])</f>
        <v>6220396498.3699341</v>
      </c>
      <c r="BU240" s="5">
        <f>IF($B239&lt;=Tabla5[[#This Row],[INVERSIONES FCI]],+Tabla5[[#This Row],[INVERSIONES FCI]]-BU239,Tabla5[[#This Row],[INVERSIONES FCI]])</f>
        <v>6220396498.3699341</v>
      </c>
      <c r="BV240" s="5">
        <f>IF($B239&lt;=Tabla5[[#This Row],[INVERSIONES FCI]],+Tabla5[[#This Row],[INVERSIONES FCI]]-BV239,Tabla5[[#This Row],[INVERSIONES FCI]])</f>
        <v>6220396498.3699341</v>
      </c>
      <c r="BW240" s="5">
        <f>IF($B239&lt;=Tabla5[[#This Row],[INVERSIONES FCI]],+Tabla5[[#This Row],[INVERSIONES FCI]]-BW239,Tabla5[[#This Row],[INVERSIONES FCI]])</f>
        <v>6220396498.3699341</v>
      </c>
      <c r="BX240" s="5">
        <f>IF($B239&lt;=Tabla5[[#This Row],[INVERSIONES FCI]],+Tabla5[[#This Row],[INVERSIONES FCI]]-BX239,Tabla5[[#This Row],[INVERSIONES FCI]])</f>
        <v>6220396498.3699341</v>
      </c>
      <c r="BY240" s="5">
        <f>IF($B239&lt;=Tabla5[[#This Row],[INVERSIONES FCI]],+Tabla5[[#This Row],[INVERSIONES FCI]]-BY239,Tabla5[[#This Row],[INVERSIONES FCI]])</f>
        <v>6220396498.3699341</v>
      </c>
      <c r="BZ240" s="5">
        <f>IF($B239&lt;=Tabla5[[#This Row],[INVERSIONES FCI]],+Tabla5[[#This Row],[INVERSIONES FCI]]-BZ239,Tabla5[[#This Row],[INVERSIONES FCI]])</f>
        <v>6220396498.3699341</v>
      </c>
      <c r="CA240" s="5">
        <f>IF($B239&lt;=Tabla5[[#This Row],[INVERSIONES FCI]],+Tabla5[[#This Row],[INVERSIONES FCI]]-CA239,Tabla5[[#This Row],[INVERSIONES FCI]])</f>
        <v>6220396498.3699341</v>
      </c>
      <c r="CB240" s="5">
        <f>IF($B239&lt;=Tabla5[[#This Row],[INVERSIONES FCI]],+Tabla5[[#This Row],[INVERSIONES FCI]]-CB239,Tabla5[[#This Row],[INVERSIONES FCI]])</f>
        <v>6220396498.3699341</v>
      </c>
      <c r="CC240" s="5">
        <f>IF($B239&lt;=Tabla5[[#This Row],[INVERSIONES FCI]],+Tabla5[[#This Row],[INVERSIONES FCI]]-CC239,Tabla5[[#This Row],[INVERSIONES FCI]])</f>
        <v>6220396498.3699341</v>
      </c>
      <c r="CD240" s="5">
        <f>IF($B239&lt;=Tabla5[[#This Row],[INVERSIONES FCI]],+Tabla5[[#This Row],[INVERSIONES FCI]]-CD239,Tabla5[[#This Row],[INVERSIONES FCI]])</f>
        <v>6220396498.3699341</v>
      </c>
      <c r="CE240" s="5">
        <f>IF($B239&lt;=Tabla5[[#This Row],[INVERSIONES FCI]],+Tabla5[[#This Row],[INVERSIONES FCI]]-CE239,Tabla5[[#This Row],[INVERSIONES FCI]])</f>
        <v>6220396498.3699341</v>
      </c>
      <c r="CF240" s="5">
        <f>IF($B239&lt;=Tabla5[[#This Row],[INVERSIONES FCI]],+Tabla5[[#This Row],[INVERSIONES FCI]]-CF239,Tabla5[[#This Row],[INVERSIONES FCI]])</f>
        <v>6220396498.3699341</v>
      </c>
      <c r="CG240" s="5">
        <f>IF($B239&lt;=Tabla5[[#This Row],[INVERSIONES FCI]],+Tabla5[[#This Row],[INVERSIONES FCI]]-CG239,Tabla5[[#This Row],[INVERSIONES FCI]])</f>
        <v>6220396498.3699341</v>
      </c>
      <c r="CH240" s="5">
        <f>IF($B239&lt;=Tabla5[[#This Row],[INVERSIONES FCI]],+Tabla5[[#This Row],[INVERSIONES FCI]]-CH239,Tabla5[[#This Row],[INVERSIONES FCI]])</f>
        <v>6220396498.3699341</v>
      </c>
      <c r="CI240" s="5">
        <f>IF($B239&lt;=Tabla5[[#This Row],[INVERSIONES FCI]],+Tabla5[[#This Row],[INVERSIONES FCI]]-CI239,Tabla5[[#This Row],[INVERSIONES FCI]])</f>
        <v>6220396498.3699341</v>
      </c>
      <c r="CJ240" s="5">
        <f>IF($B239&lt;=Tabla5[[#This Row],[INVERSIONES FCI]],+Tabla5[[#This Row],[INVERSIONES FCI]]-CJ239,Tabla5[[#This Row],[INVERSIONES FCI]])</f>
        <v>6220396498.3699341</v>
      </c>
      <c r="CK240" s="5">
        <f>IF($B239&lt;=Tabla5[[#This Row],[INVERSIONES FCI]],+Tabla5[[#This Row],[INVERSIONES FCI]]-CK239,Tabla5[[#This Row],[INVERSIONES FCI]])</f>
        <v>6220396498.3699341</v>
      </c>
      <c r="CL240" s="5">
        <f>IF($B239&lt;=Tabla5[[#This Row],[INVERSIONES FCI]],+Tabla5[[#This Row],[INVERSIONES FCI]]-CL239,Tabla5[[#This Row],[INVERSIONES FCI]])</f>
        <v>6220396498.3699341</v>
      </c>
      <c r="CM240" s="5">
        <f>IF($B239&lt;=Tabla5[[#This Row],[INVERSIONES FCI]],+Tabla5[[#This Row],[INVERSIONES FCI]]-CM239,Tabla5[[#This Row],[INVERSIONES FCI]])</f>
        <v>6220396498.3699341</v>
      </c>
      <c r="CN240" s="5">
        <f>IF($B239&lt;=Tabla5[[#This Row],[INVERSIONES FCI]],+Tabla5[[#This Row],[INVERSIONES FCI]]-CN239,Tabla5[[#This Row],[INVERSIONES FCI]])</f>
        <v>6220396498.3699341</v>
      </c>
      <c r="CO240" s="5">
        <f>IF($B239&lt;=Tabla5[[#This Row],[INVERSIONES FCI]],+Tabla5[[#This Row],[INVERSIONES FCI]]-CO239,Tabla5[[#This Row],[INVERSIONES FCI]])</f>
        <v>6220396498.3699341</v>
      </c>
      <c r="CP240" s="5">
        <f>IF($B239&lt;=Tabla5[[#This Row],[INVERSIONES FCI]],+Tabla5[[#This Row],[INVERSIONES FCI]]-CP239,Tabla5[[#This Row],[INVERSIONES FCI]])</f>
        <v>6220396498.3699341</v>
      </c>
      <c r="CQ240" s="5">
        <f>IF($B239&lt;=Tabla5[[#This Row],[INVERSIONES FCI]],+Tabla5[[#This Row],[INVERSIONES FCI]]-CQ239,Tabla5[[#This Row],[INVERSIONES FCI]])</f>
        <v>6220396498.3699341</v>
      </c>
      <c r="CR240" s="5">
        <f>IF($B239&lt;=Tabla5[[#This Row],[INVERSIONES FCI]],+Tabla5[[#This Row],[INVERSIONES FCI]]-CR239,Tabla5[[#This Row],[INVERSIONES FCI]])</f>
        <v>6220396498.3699341</v>
      </c>
      <c r="CS240" s="5">
        <f>IF($B239&lt;=Tabla5[[#This Row],[INVERSIONES FCI]],+Tabla5[[#This Row],[INVERSIONES FCI]]-CS239,Tabla5[[#This Row],[INVERSIONES FCI]])</f>
        <v>6220396498.3699341</v>
      </c>
      <c r="CT240" s="5">
        <f>IF($B239&lt;=Tabla5[[#This Row],[INVERSIONES FCI]],+Tabla5[[#This Row],[INVERSIONES FCI]]-CT239,Tabla5[[#This Row],[INVERSIONES FCI]])</f>
        <v>6220396498.3699341</v>
      </c>
      <c r="CU240" s="5">
        <f>IF($B239&lt;=Tabla5[[#This Row],[INVERSIONES FCI]],+Tabla5[[#This Row],[INVERSIONES FCI]]-CU239,Tabla5[[#This Row],[INVERSIONES FCI]])</f>
        <v>6220396498.3699341</v>
      </c>
      <c r="CV240" s="5">
        <f>IF($B239&lt;=Tabla5[[#This Row],[INVERSIONES FCI]],+Tabla5[[#This Row],[INVERSIONES FCI]]-CV239,Tabla5[[#This Row],[INVERSIONES FCI]])</f>
        <v>6220396498.3699341</v>
      </c>
      <c r="CW240" s="5">
        <f>IF($B239&lt;=Tabla5[[#This Row],[INVERSIONES FCI]],+Tabla5[[#This Row],[INVERSIONES FCI]]-CW239,Tabla5[[#This Row],[INVERSIONES FCI]])</f>
        <v>6220396498.3699341</v>
      </c>
      <c r="CX240" s="5">
        <f>IF($B239&lt;=Tabla5[[#This Row],[INVERSIONES FCI]],+Tabla5[[#This Row],[INVERSIONES FCI]]-CX239,Tabla5[[#This Row],[INVERSIONES FCI]])</f>
        <v>6220396498.3699341</v>
      </c>
      <c r="CY240" s="5">
        <f>IF($B239&lt;=Tabla5[[#This Row],[INVERSIONES FCI]],+Tabla5[[#This Row],[INVERSIONES FCI]]-CY239,Tabla5[[#This Row],[INVERSIONES FCI]])</f>
        <v>6220396498.3699341</v>
      </c>
      <c r="CZ240" s="5">
        <f>IF($B239&lt;=Tabla5[[#This Row],[INVERSIONES FCI]],+Tabla5[[#This Row],[INVERSIONES FCI]]-CZ239,Tabla5[[#This Row],[INVERSIONES FCI]])</f>
        <v>6220396498.3699341</v>
      </c>
      <c r="DA240" s="5">
        <f>IF($B239&lt;=Tabla5[[#This Row],[INVERSIONES FCI]],+Tabla5[[#This Row],[INVERSIONES FCI]]-DA239,Tabla5[[#This Row],[INVERSIONES FCI]])</f>
        <v>6220396498.3699341</v>
      </c>
      <c r="DB240" s="5">
        <f>IF($B239&lt;=Tabla5[[#This Row],[INVERSIONES FCI]],+Tabla5[[#This Row],[INVERSIONES FCI]]-DB239,Tabla5[[#This Row],[INVERSIONES FCI]])</f>
        <v>6220396498.3699341</v>
      </c>
      <c r="DC240" s="5">
        <f>IF($B239&lt;=Tabla5[[#This Row],[INVERSIONES FCI]],+Tabla5[[#This Row],[INVERSIONES FCI]]-DC239,Tabla5[[#This Row],[INVERSIONES FCI]])</f>
        <v>6220396498.3699341</v>
      </c>
      <c r="DD240" s="5">
        <f>IF($B239&lt;=Tabla5[[#This Row],[INVERSIONES FCI]],+Tabla5[[#This Row],[INVERSIONES FCI]]-DD239,Tabla5[[#This Row],[INVERSIONES FCI]])</f>
        <v>6220396498.3699341</v>
      </c>
      <c r="DE240" s="5">
        <f>IF($B239&lt;=Tabla5[[#This Row],[INVERSIONES FCI]],+Tabla5[[#This Row],[INVERSIONES FCI]]-DE239,Tabla5[[#This Row],[INVERSIONES FCI]])</f>
        <v>6220396498.3699341</v>
      </c>
      <c r="DF240" s="5">
        <f>IF($B239&lt;=Tabla5[[#This Row],[INVERSIONES FCI]],+Tabla5[[#This Row],[INVERSIONES FCI]]-DF239,Tabla5[[#This Row],[INVERSIONES FCI]])</f>
        <v>6220396498.3699341</v>
      </c>
      <c r="DG240" s="5">
        <f>IF($B239&lt;=Tabla5[[#This Row],[INVERSIONES FCI]],+Tabla5[[#This Row],[INVERSIONES FCI]]-DG239,Tabla5[[#This Row],[INVERSIONES FCI]])</f>
        <v>6220396498.3699341</v>
      </c>
      <c r="DH240" s="5">
        <f>IF($B239&lt;=Tabla5[[#This Row],[INVERSIONES FCI]],+Tabla5[[#This Row],[INVERSIONES FCI]]-DH239,Tabla5[[#This Row],[INVERSIONES FCI]])</f>
        <v>6220396498.3699341</v>
      </c>
      <c r="DI240" s="5">
        <f>IF($B239&lt;=Tabla5[[#This Row],[INVERSIONES FCI]],+Tabla5[[#This Row],[INVERSIONES FCI]]-DI239,Tabla5[[#This Row],[INVERSIONES FCI]])</f>
        <v>6220396498.3699341</v>
      </c>
      <c r="DJ240" s="5">
        <f>IF($B239&lt;=Tabla5[[#This Row],[INVERSIONES FCI]],+Tabla5[[#This Row],[INVERSIONES FCI]]-DJ239,Tabla5[[#This Row],[INVERSIONES FCI]])</f>
        <v>6220396498.3699341</v>
      </c>
      <c r="DK240" s="5">
        <f>IF($B239&lt;=Tabla5[[#This Row],[INVERSIONES FCI]],+Tabla5[[#This Row],[INVERSIONES FCI]]-DK239,Tabla5[[#This Row],[INVERSIONES FCI]])</f>
        <v>6220396498.3699341</v>
      </c>
      <c r="DL240" s="5"/>
      <c r="DM240" s="5"/>
      <c r="DN240" s="5"/>
      <c r="DO240" s="5"/>
      <c r="DP240" s="5"/>
      <c r="DQ240" s="5"/>
    </row>
    <row r="241" spans="1:121" ht="14.4">
      <c r="A241" s="12" t="s">
        <v>240</v>
      </c>
      <c r="B241" s="5">
        <f>HLOOKUP($A241,ESCENARIO[#All],7,FALSE)</f>
        <v>56003030335.888931</v>
      </c>
      <c r="C241" s="5">
        <f>IF($B240&lt;=Tabla5[[#This Row],[INVERSIONES FCI]],+Tabla5[[#This Row],[INVERSIONES FCI]]-C240,Tabla5[[#This Row],[INVERSIONES FCI]])</f>
        <v>49782633837.518997</v>
      </c>
      <c r="D241" s="5">
        <f>IF($B240&lt;=Tabla5[[#This Row],[INVERSIONES FCI]],+Tabla5[[#This Row],[INVERSIONES FCI]]-D240,Tabla5[[#This Row],[INVERSIONES FCI]])</f>
        <v>49782633837.518997</v>
      </c>
      <c r="E241" s="5">
        <f>IF($B240&lt;=Tabla5[[#This Row],[INVERSIONES FCI]],+Tabla5[[#This Row],[INVERSIONES FCI]]-E240,Tabla5[[#This Row],[INVERSIONES FCI]])</f>
        <v>49782633837.518997</v>
      </c>
      <c r="F241" s="5">
        <f>IF($B240&lt;=Tabla5[[#This Row],[INVERSIONES FCI]],+Tabla5[[#This Row],[INVERSIONES FCI]]-F240,Tabla5[[#This Row],[INVERSIONES FCI]])</f>
        <v>49782633837.518997</v>
      </c>
      <c r="G241" s="5">
        <f>IF($B240&lt;=Tabla5[[#This Row],[INVERSIONES FCI]],+Tabla5[[#This Row],[INVERSIONES FCI]]-G240,Tabla5[[#This Row],[INVERSIONES FCI]])</f>
        <v>49782633837.518997</v>
      </c>
      <c r="H241" s="5">
        <f>IF($B240&lt;=Tabla5[[#This Row],[INVERSIONES FCI]],+Tabla5[[#This Row],[INVERSIONES FCI]]-H240,Tabla5[[#This Row],[INVERSIONES FCI]])</f>
        <v>49782633837.518997</v>
      </c>
      <c r="I241" s="5">
        <f>IF($B240&lt;=Tabla5[[#This Row],[INVERSIONES FCI]],+Tabla5[[#This Row],[INVERSIONES FCI]]-I240,Tabla5[[#This Row],[INVERSIONES FCI]])</f>
        <v>49782633837.518997</v>
      </c>
      <c r="J241" s="5">
        <f>IF($B240&lt;=Tabla5[[#This Row],[INVERSIONES FCI]],+Tabla5[[#This Row],[INVERSIONES FCI]]-J240,Tabla5[[#This Row],[INVERSIONES FCI]])</f>
        <v>49782633837.518997</v>
      </c>
      <c r="K241" s="5">
        <f>IF($B240&lt;=Tabla5[[#This Row],[INVERSIONES FCI]],+Tabla5[[#This Row],[INVERSIONES FCI]]-K240,Tabla5[[#This Row],[INVERSIONES FCI]])</f>
        <v>49782633837.518997</v>
      </c>
      <c r="L241" s="5">
        <f>IF($B240&lt;=Tabla5[[#This Row],[INVERSIONES FCI]],+Tabla5[[#This Row],[INVERSIONES FCI]]-L240,Tabla5[[#This Row],[INVERSIONES FCI]])</f>
        <v>49782633837.518997</v>
      </c>
      <c r="M241" s="5">
        <f>IF($B240&lt;=Tabla5[[#This Row],[INVERSIONES FCI]],+Tabla5[[#This Row],[INVERSIONES FCI]]-M240,Tabla5[[#This Row],[INVERSIONES FCI]])</f>
        <v>49782633837.518997</v>
      </c>
      <c r="N241" s="5">
        <f>IF($B240&lt;=Tabla5[[#This Row],[INVERSIONES FCI]],+Tabla5[[#This Row],[INVERSIONES FCI]]-N240,Tabla5[[#This Row],[INVERSIONES FCI]])</f>
        <v>49782633837.518997</v>
      </c>
      <c r="O241" s="5">
        <f>IF($B240&lt;=Tabla5[[#This Row],[INVERSIONES FCI]],+Tabla5[[#This Row],[INVERSIONES FCI]]-O240,Tabla5[[#This Row],[INVERSIONES FCI]])</f>
        <v>49782633837.518997</v>
      </c>
      <c r="P241" s="5">
        <f>IF($B240&lt;=Tabla5[[#This Row],[INVERSIONES FCI]],+Tabla5[[#This Row],[INVERSIONES FCI]]-P240,Tabla5[[#This Row],[INVERSIONES FCI]])</f>
        <v>49782633837.518997</v>
      </c>
      <c r="Q241" s="5">
        <f>IF($B240&lt;=Tabla5[[#This Row],[INVERSIONES FCI]],+Tabla5[[#This Row],[INVERSIONES FCI]]-Q240,Tabla5[[#This Row],[INVERSIONES FCI]])</f>
        <v>49782633837.518997</v>
      </c>
      <c r="R241" s="5">
        <f>IF($B240&lt;=Tabla5[[#This Row],[INVERSIONES FCI]],+Tabla5[[#This Row],[INVERSIONES FCI]]-R240,Tabla5[[#This Row],[INVERSIONES FCI]])</f>
        <v>49782633837.518997</v>
      </c>
      <c r="S241" s="5">
        <f>IF($B240&lt;=Tabla5[[#This Row],[INVERSIONES FCI]],+Tabla5[[#This Row],[INVERSIONES FCI]]-S240,Tabla5[[#This Row],[INVERSIONES FCI]])</f>
        <v>49782633837.518997</v>
      </c>
      <c r="T241" s="5">
        <f>IF($B240&lt;=Tabla5[[#This Row],[INVERSIONES FCI]],+Tabla5[[#This Row],[INVERSIONES FCI]]-T240,Tabla5[[#This Row],[INVERSIONES FCI]])</f>
        <v>49782633837.518997</v>
      </c>
      <c r="U241" s="5">
        <f>IF($B240&lt;=Tabla5[[#This Row],[INVERSIONES FCI]],+Tabla5[[#This Row],[INVERSIONES FCI]]-U240,Tabla5[[#This Row],[INVERSIONES FCI]])</f>
        <v>49782633837.518997</v>
      </c>
      <c r="V241" s="5">
        <f>IF($B240&lt;=Tabla5[[#This Row],[INVERSIONES FCI]],+Tabla5[[#This Row],[INVERSIONES FCI]]-V240,Tabla5[[#This Row],[INVERSIONES FCI]])</f>
        <v>49782633837.518997</v>
      </c>
      <c r="W241" s="5">
        <f>IF($B240&lt;=Tabla5[[#This Row],[INVERSIONES FCI]],+Tabla5[[#This Row],[INVERSIONES FCI]]-W240,Tabla5[[#This Row],[INVERSIONES FCI]])</f>
        <v>49782633837.518997</v>
      </c>
      <c r="X241" s="5">
        <f>IF($B240&lt;=Tabla5[[#This Row],[INVERSIONES FCI]],+Tabla5[[#This Row],[INVERSIONES FCI]]-X240,Tabla5[[#This Row],[INVERSIONES FCI]])</f>
        <v>49782633837.518997</v>
      </c>
      <c r="Y241" s="5">
        <f>IF($B240&lt;=Tabla5[[#This Row],[INVERSIONES FCI]],+Tabla5[[#This Row],[INVERSIONES FCI]]-Y240,Tabla5[[#This Row],[INVERSIONES FCI]])</f>
        <v>49782633837.518997</v>
      </c>
      <c r="Z241" s="5">
        <f>IF($B240&lt;=Tabla5[[#This Row],[INVERSIONES FCI]],+Tabla5[[#This Row],[INVERSIONES FCI]]-Z240,Tabla5[[#This Row],[INVERSIONES FCI]])</f>
        <v>49782633837.518997</v>
      </c>
      <c r="AA241" s="5">
        <f>IF($B240&lt;=Tabla5[[#This Row],[INVERSIONES FCI]],+Tabla5[[#This Row],[INVERSIONES FCI]]-AA240,Tabla5[[#This Row],[INVERSIONES FCI]])</f>
        <v>49782633837.518997</v>
      </c>
      <c r="AB241" s="5">
        <f>IF($B240&lt;=Tabla5[[#This Row],[INVERSIONES FCI]],+Tabla5[[#This Row],[INVERSIONES FCI]]-AB240,Tabla5[[#This Row],[INVERSIONES FCI]])</f>
        <v>49782633837.518997</v>
      </c>
      <c r="AC241" s="5">
        <f>IF($B240&lt;=Tabla5[[#This Row],[INVERSIONES FCI]],+Tabla5[[#This Row],[INVERSIONES FCI]]-AC240,Tabla5[[#This Row],[INVERSIONES FCI]])</f>
        <v>49782633837.518997</v>
      </c>
      <c r="AD241" s="5">
        <f>IF($B240&lt;=Tabla5[[#This Row],[INVERSIONES FCI]],+Tabla5[[#This Row],[INVERSIONES FCI]]-AD240,Tabla5[[#This Row],[INVERSIONES FCI]])</f>
        <v>49782633837.518997</v>
      </c>
      <c r="AE241" s="5">
        <f>IF($B240&lt;=Tabla5[[#This Row],[INVERSIONES FCI]],+Tabla5[[#This Row],[INVERSIONES FCI]]-AE240,Tabla5[[#This Row],[INVERSIONES FCI]])</f>
        <v>49782633837.518997</v>
      </c>
      <c r="AF241" s="5">
        <f>IF($B240&lt;=Tabla5[[#This Row],[INVERSIONES FCI]],+Tabla5[[#This Row],[INVERSIONES FCI]]-AF240,Tabla5[[#This Row],[INVERSIONES FCI]])</f>
        <v>49782633837.518997</v>
      </c>
      <c r="AG241" s="5">
        <f>IF($B240&lt;=Tabla5[[#This Row],[INVERSIONES FCI]],+Tabla5[[#This Row],[INVERSIONES FCI]]-AG240,Tabla5[[#This Row],[INVERSIONES FCI]])</f>
        <v>49782633837.518997</v>
      </c>
      <c r="AH241" s="5">
        <f>IF($B240&lt;=Tabla5[[#This Row],[INVERSIONES FCI]],+Tabla5[[#This Row],[INVERSIONES FCI]]-AH240,Tabla5[[#This Row],[INVERSIONES FCI]])</f>
        <v>49782633837.518997</v>
      </c>
      <c r="AI241" s="5">
        <f>IF($B240&lt;=Tabla5[[#This Row],[INVERSIONES FCI]],+Tabla5[[#This Row],[INVERSIONES FCI]]-AI240,Tabla5[[#This Row],[INVERSIONES FCI]])</f>
        <v>49782633837.518997</v>
      </c>
      <c r="AJ241" s="5">
        <f>IF($B240&lt;=Tabla5[[#This Row],[INVERSIONES FCI]],+Tabla5[[#This Row],[INVERSIONES FCI]]-AJ240,Tabla5[[#This Row],[INVERSIONES FCI]])</f>
        <v>49782633837.518997</v>
      </c>
      <c r="AK241" s="5">
        <f>IF($B240&lt;=Tabla5[[#This Row],[INVERSIONES FCI]],+Tabla5[[#This Row],[INVERSIONES FCI]]-AK240,Tabla5[[#This Row],[INVERSIONES FCI]])</f>
        <v>49782633837.518997</v>
      </c>
      <c r="AL241" s="5">
        <f>IF($B240&lt;=Tabla5[[#This Row],[INVERSIONES FCI]],+Tabla5[[#This Row],[INVERSIONES FCI]]-AL240,Tabla5[[#This Row],[INVERSIONES FCI]])</f>
        <v>49782633837.518997</v>
      </c>
      <c r="AM241" s="5">
        <f>IF($B240&lt;=Tabla5[[#This Row],[INVERSIONES FCI]],+Tabla5[[#This Row],[INVERSIONES FCI]]-AM240,Tabla5[[#This Row],[INVERSIONES FCI]])</f>
        <v>49782633837.518997</v>
      </c>
      <c r="AN241" s="5">
        <f>IF($B240&lt;=Tabla5[[#This Row],[INVERSIONES FCI]],+Tabla5[[#This Row],[INVERSIONES FCI]]-AN240,Tabla5[[#This Row],[INVERSIONES FCI]])</f>
        <v>49782633837.518997</v>
      </c>
      <c r="AO241" s="5">
        <f>IF($B240&lt;=Tabla5[[#This Row],[INVERSIONES FCI]],+Tabla5[[#This Row],[INVERSIONES FCI]]-AO240,Tabla5[[#This Row],[INVERSIONES FCI]])</f>
        <v>49782633837.518997</v>
      </c>
      <c r="AP241" s="5">
        <f>IF($B240&lt;=Tabla5[[#This Row],[INVERSIONES FCI]],+Tabla5[[#This Row],[INVERSIONES FCI]]-AP240,Tabla5[[#This Row],[INVERSIONES FCI]])</f>
        <v>49782633837.518997</v>
      </c>
      <c r="AQ241" s="5">
        <f>IF($B240&lt;=Tabla5[[#This Row],[INVERSIONES FCI]],+Tabla5[[#This Row],[INVERSIONES FCI]]-AQ240,Tabla5[[#This Row],[INVERSIONES FCI]])</f>
        <v>49782633837.518997</v>
      </c>
      <c r="AR241" s="5">
        <f>IF($B240&lt;=Tabla5[[#This Row],[INVERSIONES FCI]],+Tabla5[[#This Row],[INVERSIONES FCI]]-AR240,Tabla5[[#This Row],[INVERSIONES FCI]])</f>
        <v>49782633837.518997</v>
      </c>
      <c r="AS241" s="5">
        <f>IF($B240&lt;=Tabla5[[#This Row],[INVERSIONES FCI]],+Tabla5[[#This Row],[INVERSIONES FCI]]-AS240,Tabla5[[#This Row],[INVERSIONES FCI]])</f>
        <v>49782633837.518997</v>
      </c>
      <c r="AT241" s="5">
        <f>IF($B240&lt;=Tabla5[[#This Row],[INVERSIONES FCI]],+Tabla5[[#This Row],[INVERSIONES FCI]]-AT240,Tabla5[[#This Row],[INVERSIONES FCI]])</f>
        <v>49782633837.518997</v>
      </c>
      <c r="AU241" s="5">
        <f>IF($B240&lt;=Tabla5[[#This Row],[INVERSIONES FCI]],+Tabla5[[#This Row],[INVERSIONES FCI]]-AU240,Tabla5[[#This Row],[INVERSIONES FCI]])</f>
        <v>49782633837.518997</v>
      </c>
      <c r="AV241" s="5">
        <f>IF($B240&lt;=Tabla5[[#This Row],[INVERSIONES FCI]],+Tabla5[[#This Row],[INVERSIONES FCI]]-AV240,Tabla5[[#This Row],[INVERSIONES FCI]])</f>
        <v>49782633837.518997</v>
      </c>
      <c r="AW241" s="5">
        <f>IF($B240&lt;=Tabla5[[#This Row],[INVERSIONES FCI]],+Tabla5[[#This Row],[INVERSIONES FCI]]-AW240,Tabla5[[#This Row],[INVERSIONES FCI]])</f>
        <v>49782633837.518997</v>
      </c>
      <c r="AX241" s="5">
        <f>IF($B240&lt;=Tabla5[[#This Row],[INVERSIONES FCI]],+Tabla5[[#This Row],[INVERSIONES FCI]]-AX240,Tabla5[[#This Row],[INVERSIONES FCI]])</f>
        <v>49782633837.518997</v>
      </c>
      <c r="AY241" s="5">
        <f>IF($B240&lt;=Tabla5[[#This Row],[INVERSIONES FCI]],+Tabla5[[#This Row],[INVERSIONES FCI]]-AY240,Tabla5[[#This Row],[INVERSIONES FCI]])</f>
        <v>49782633837.518997</v>
      </c>
      <c r="AZ241" s="5">
        <f>IF($B240&lt;=Tabla5[[#This Row],[INVERSIONES FCI]],+Tabla5[[#This Row],[INVERSIONES FCI]]-AZ240,Tabla5[[#This Row],[INVERSIONES FCI]])</f>
        <v>49782633837.518997</v>
      </c>
      <c r="BA241" s="5">
        <f>IF($B240&lt;=Tabla5[[#This Row],[INVERSIONES FCI]],+Tabla5[[#This Row],[INVERSIONES FCI]]-BA240,Tabla5[[#This Row],[INVERSIONES FCI]])</f>
        <v>49782633837.518997</v>
      </c>
      <c r="BB241" s="5">
        <f>IF($B240&lt;=Tabla5[[#This Row],[INVERSIONES FCI]],+Tabla5[[#This Row],[INVERSIONES FCI]]-BB240,Tabla5[[#This Row],[INVERSIONES FCI]])</f>
        <v>49782633837.518997</v>
      </c>
      <c r="BC241" s="5">
        <f>IF($B240&lt;=Tabla5[[#This Row],[INVERSIONES FCI]],+Tabla5[[#This Row],[INVERSIONES FCI]]-BC240,Tabla5[[#This Row],[INVERSIONES FCI]])</f>
        <v>49782633837.518997</v>
      </c>
      <c r="BD241" s="5">
        <f>IF($B240&lt;=Tabla5[[#This Row],[INVERSIONES FCI]],+Tabla5[[#This Row],[INVERSIONES FCI]]-BD240,Tabla5[[#This Row],[INVERSIONES FCI]])</f>
        <v>49782633837.518997</v>
      </c>
      <c r="BE241" s="5">
        <f>IF($B240&lt;=Tabla5[[#This Row],[INVERSIONES FCI]],+Tabla5[[#This Row],[INVERSIONES FCI]]-BE240,Tabla5[[#This Row],[INVERSIONES FCI]])</f>
        <v>49782633837.518997</v>
      </c>
      <c r="BF241" s="5">
        <f>IF($B240&lt;=Tabla5[[#This Row],[INVERSIONES FCI]],+Tabla5[[#This Row],[INVERSIONES FCI]]-BF240,Tabla5[[#This Row],[INVERSIONES FCI]])</f>
        <v>49782633837.518997</v>
      </c>
      <c r="BG241" s="5">
        <f>IF($B240&lt;=Tabla5[[#This Row],[INVERSIONES FCI]],+Tabla5[[#This Row],[INVERSIONES FCI]]-BG240,Tabla5[[#This Row],[INVERSIONES FCI]])</f>
        <v>49782633837.518997</v>
      </c>
      <c r="BH241" s="5">
        <f>IF($B240&lt;=Tabla5[[#This Row],[INVERSIONES FCI]],+Tabla5[[#This Row],[INVERSIONES FCI]]-BH240,Tabla5[[#This Row],[INVERSIONES FCI]])</f>
        <v>49782633837.518997</v>
      </c>
      <c r="BI241" s="5">
        <f>IF($B240&lt;=Tabla5[[#This Row],[INVERSIONES FCI]],+Tabla5[[#This Row],[INVERSIONES FCI]]-BI240,Tabla5[[#This Row],[INVERSIONES FCI]])</f>
        <v>49782633837.518997</v>
      </c>
      <c r="BJ241" s="5">
        <f>IF($B240&lt;=Tabla5[[#This Row],[INVERSIONES FCI]],+Tabla5[[#This Row],[INVERSIONES FCI]]-BJ240,Tabla5[[#This Row],[INVERSIONES FCI]])</f>
        <v>49782633837.518997</v>
      </c>
      <c r="BK241" s="5">
        <f>IF($B240&lt;=Tabla5[[#This Row],[INVERSIONES FCI]],+Tabla5[[#This Row],[INVERSIONES FCI]]-BK240,Tabla5[[#This Row],[INVERSIONES FCI]])</f>
        <v>49782633837.518997</v>
      </c>
      <c r="BL241" s="5">
        <f>IF($B240&lt;=Tabla5[[#This Row],[INVERSIONES FCI]],+Tabla5[[#This Row],[INVERSIONES FCI]]-BL240,Tabla5[[#This Row],[INVERSIONES FCI]])</f>
        <v>49782633837.518997</v>
      </c>
      <c r="BM241" s="5">
        <f>IF($B240&lt;=Tabla5[[#This Row],[INVERSIONES FCI]],+Tabla5[[#This Row],[INVERSIONES FCI]]-BM240,Tabla5[[#This Row],[INVERSIONES FCI]])</f>
        <v>49782633837.518997</v>
      </c>
      <c r="BN241" s="5">
        <f>IF($B240&lt;=Tabla5[[#This Row],[INVERSIONES FCI]],+Tabla5[[#This Row],[INVERSIONES FCI]]-BN240,Tabla5[[#This Row],[INVERSIONES FCI]])</f>
        <v>49782633837.518997</v>
      </c>
      <c r="BO241" s="5">
        <f>IF($B240&lt;=Tabla5[[#This Row],[INVERSIONES FCI]],+Tabla5[[#This Row],[INVERSIONES FCI]]-BO240,Tabla5[[#This Row],[INVERSIONES FCI]])</f>
        <v>49782633837.518997</v>
      </c>
      <c r="BP241" s="5">
        <f>IF($B240&lt;=Tabla5[[#This Row],[INVERSIONES FCI]],+Tabla5[[#This Row],[INVERSIONES FCI]]-BP240,Tabla5[[#This Row],[INVERSIONES FCI]])</f>
        <v>49782633837.518997</v>
      </c>
      <c r="BQ241" s="5">
        <f>IF($B240&lt;=Tabla5[[#This Row],[INVERSIONES FCI]],+Tabla5[[#This Row],[INVERSIONES FCI]]-BQ240,Tabla5[[#This Row],[INVERSIONES FCI]])</f>
        <v>49782633837.518997</v>
      </c>
      <c r="BR241" s="5">
        <f>IF($B240&lt;=Tabla5[[#This Row],[INVERSIONES FCI]],+Tabla5[[#This Row],[INVERSIONES FCI]]-BR240,Tabla5[[#This Row],[INVERSIONES FCI]])</f>
        <v>49782633837.518997</v>
      </c>
      <c r="BS241" s="5">
        <f>IF($B240&lt;=Tabla5[[#This Row],[INVERSIONES FCI]],+Tabla5[[#This Row],[INVERSIONES FCI]]-BS240,Tabla5[[#This Row],[INVERSIONES FCI]])</f>
        <v>49782633837.518997</v>
      </c>
      <c r="BT241" s="5">
        <f>IF($B240&lt;=Tabla5[[#This Row],[INVERSIONES FCI]],+Tabla5[[#This Row],[INVERSIONES FCI]]-BT240,Tabla5[[#This Row],[INVERSIONES FCI]])</f>
        <v>49782633837.518997</v>
      </c>
      <c r="BU241" s="5">
        <f>IF($B240&lt;=Tabla5[[#This Row],[INVERSIONES FCI]],+Tabla5[[#This Row],[INVERSIONES FCI]]-BU240,Tabla5[[#This Row],[INVERSIONES FCI]])</f>
        <v>49782633837.518997</v>
      </c>
      <c r="BV241" s="5">
        <f>IF($B240&lt;=Tabla5[[#This Row],[INVERSIONES FCI]],+Tabla5[[#This Row],[INVERSIONES FCI]]-BV240,Tabla5[[#This Row],[INVERSIONES FCI]])</f>
        <v>49782633837.518997</v>
      </c>
      <c r="BW241" s="5">
        <f>IF($B240&lt;=Tabla5[[#This Row],[INVERSIONES FCI]],+Tabla5[[#This Row],[INVERSIONES FCI]]-BW240,Tabla5[[#This Row],[INVERSIONES FCI]])</f>
        <v>49782633837.518997</v>
      </c>
      <c r="BX241" s="5">
        <f>IF($B240&lt;=Tabla5[[#This Row],[INVERSIONES FCI]],+Tabla5[[#This Row],[INVERSIONES FCI]]-BX240,Tabla5[[#This Row],[INVERSIONES FCI]])</f>
        <v>49782633837.518997</v>
      </c>
      <c r="BY241" s="5">
        <f>IF($B240&lt;=Tabla5[[#This Row],[INVERSIONES FCI]],+Tabla5[[#This Row],[INVERSIONES FCI]]-BY240,Tabla5[[#This Row],[INVERSIONES FCI]])</f>
        <v>49782633837.518997</v>
      </c>
      <c r="BZ241" s="5">
        <f>IF($B240&lt;=Tabla5[[#This Row],[INVERSIONES FCI]],+Tabla5[[#This Row],[INVERSIONES FCI]]-BZ240,Tabla5[[#This Row],[INVERSIONES FCI]])</f>
        <v>49782633837.518997</v>
      </c>
      <c r="CA241" s="5">
        <f>IF($B240&lt;=Tabla5[[#This Row],[INVERSIONES FCI]],+Tabla5[[#This Row],[INVERSIONES FCI]]-CA240,Tabla5[[#This Row],[INVERSIONES FCI]])</f>
        <v>49782633837.518997</v>
      </c>
      <c r="CB241" s="5">
        <f>IF($B240&lt;=Tabla5[[#This Row],[INVERSIONES FCI]],+Tabla5[[#This Row],[INVERSIONES FCI]]-CB240,Tabla5[[#This Row],[INVERSIONES FCI]])</f>
        <v>49782633837.518997</v>
      </c>
      <c r="CC241" s="5">
        <f>IF($B240&lt;=Tabla5[[#This Row],[INVERSIONES FCI]],+Tabla5[[#This Row],[INVERSIONES FCI]]-CC240,Tabla5[[#This Row],[INVERSIONES FCI]])</f>
        <v>49782633837.518997</v>
      </c>
      <c r="CD241" s="5">
        <f>IF($B240&lt;=Tabla5[[#This Row],[INVERSIONES FCI]],+Tabla5[[#This Row],[INVERSIONES FCI]]-CD240,Tabla5[[#This Row],[INVERSIONES FCI]])</f>
        <v>49782633837.518997</v>
      </c>
      <c r="CE241" s="5">
        <f>IF($B240&lt;=Tabla5[[#This Row],[INVERSIONES FCI]],+Tabla5[[#This Row],[INVERSIONES FCI]]-CE240,Tabla5[[#This Row],[INVERSIONES FCI]])</f>
        <v>49782633837.518997</v>
      </c>
      <c r="CF241" s="5">
        <f>IF($B240&lt;=Tabla5[[#This Row],[INVERSIONES FCI]],+Tabla5[[#This Row],[INVERSIONES FCI]]-CF240,Tabla5[[#This Row],[INVERSIONES FCI]])</f>
        <v>49782633837.518997</v>
      </c>
      <c r="CG241" s="5">
        <f>IF($B240&lt;=Tabla5[[#This Row],[INVERSIONES FCI]],+Tabla5[[#This Row],[INVERSIONES FCI]]-CG240,Tabla5[[#This Row],[INVERSIONES FCI]])</f>
        <v>49782633837.518997</v>
      </c>
      <c r="CH241" s="5">
        <f>IF($B240&lt;=Tabla5[[#This Row],[INVERSIONES FCI]],+Tabla5[[#This Row],[INVERSIONES FCI]]-CH240,Tabla5[[#This Row],[INVERSIONES FCI]])</f>
        <v>49782633837.518997</v>
      </c>
      <c r="CI241" s="5">
        <f>IF($B240&lt;=Tabla5[[#This Row],[INVERSIONES FCI]],+Tabla5[[#This Row],[INVERSIONES FCI]]-CI240,Tabla5[[#This Row],[INVERSIONES FCI]])</f>
        <v>49782633837.518997</v>
      </c>
      <c r="CJ241" s="5">
        <f>IF($B240&lt;=Tabla5[[#This Row],[INVERSIONES FCI]],+Tabla5[[#This Row],[INVERSIONES FCI]]-CJ240,Tabla5[[#This Row],[INVERSIONES FCI]])</f>
        <v>49782633837.518997</v>
      </c>
      <c r="CK241" s="5">
        <f>IF($B240&lt;=Tabla5[[#This Row],[INVERSIONES FCI]],+Tabla5[[#This Row],[INVERSIONES FCI]]-CK240,Tabla5[[#This Row],[INVERSIONES FCI]])</f>
        <v>49782633837.518997</v>
      </c>
      <c r="CL241" s="5">
        <f>IF($B240&lt;=Tabla5[[#This Row],[INVERSIONES FCI]],+Tabla5[[#This Row],[INVERSIONES FCI]]-CL240,Tabla5[[#This Row],[INVERSIONES FCI]])</f>
        <v>49782633837.518997</v>
      </c>
      <c r="CM241" s="5">
        <f>IF($B240&lt;=Tabla5[[#This Row],[INVERSIONES FCI]],+Tabla5[[#This Row],[INVERSIONES FCI]]-CM240,Tabla5[[#This Row],[INVERSIONES FCI]])</f>
        <v>49782633837.518997</v>
      </c>
      <c r="CN241" s="5">
        <f>IF($B240&lt;=Tabla5[[#This Row],[INVERSIONES FCI]],+Tabla5[[#This Row],[INVERSIONES FCI]]-CN240,Tabla5[[#This Row],[INVERSIONES FCI]])</f>
        <v>49782633837.518997</v>
      </c>
      <c r="CO241" s="5">
        <f>IF($B240&lt;=Tabla5[[#This Row],[INVERSIONES FCI]],+Tabla5[[#This Row],[INVERSIONES FCI]]-CO240,Tabla5[[#This Row],[INVERSIONES FCI]])</f>
        <v>49782633837.518997</v>
      </c>
      <c r="CP241" s="5">
        <f>IF($B240&lt;=Tabla5[[#This Row],[INVERSIONES FCI]],+Tabla5[[#This Row],[INVERSIONES FCI]]-CP240,Tabla5[[#This Row],[INVERSIONES FCI]])</f>
        <v>49782633837.518997</v>
      </c>
      <c r="CQ241" s="5">
        <f>IF($B240&lt;=Tabla5[[#This Row],[INVERSIONES FCI]],+Tabla5[[#This Row],[INVERSIONES FCI]]-CQ240,Tabla5[[#This Row],[INVERSIONES FCI]])</f>
        <v>49782633837.518997</v>
      </c>
      <c r="CR241" s="5">
        <f>IF($B240&lt;=Tabla5[[#This Row],[INVERSIONES FCI]],+Tabla5[[#This Row],[INVERSIONES FCI]]-CR240,Tabla5[[#This Row],[INVERSIONES FCI]])</f>
        <v>49782633837.518997</v>
      </c>
      <c r="CS241" s="5">
        <f>IF($B240&lt;=Tabla5[[#This Row],[INVERSIONES FCI]],+Tabla5[[#This Row],[INVERSIONES FCI]]-CS240,Tabla5[[#This Row],[INVERSIONES FCI]])</f>
        <v>49782633837.518997</v>
      </c>
      <c r="CT241" s="5">
        <f>IF($B240&lt;=Tabla5[[#This Row],[INVERSIONES FCI]],+Tabla5[[#This Row],[INVERSIONES FCI]]-CT240,Tabla5[[#This Row],[INVERSIONES FCI]])</f>
        <v>49782633837.518997</v>
      </c>
      <c r="CU241" s="5">
        <f>IF($B240&lt;=Tabla5[[#This Row],[INVERSIONES FCI]],+Tabla5[[#This Row],[INVERSIONES FCI]]-CU240,Tabla5[[#This Row],[INVERSIONES FCI]])</f>
        <v>49782633837.518997</v>
      </c>
      <c r="CV241" s="5">
        <f>IF($B240&lt;=Tabla5[[#This Row],[INVERSIONES FCI]],+Tabla5[[#This Row],[INVERSIONES FCI]]-CV240,Tabla5[[#This Row],[INVERSIONES FCI]])</f>
        <v>49782633837.518997</v>
      </c>
      <c r="CW241" s="5">
        <f>IF($B240&lt;=Tabla5[[#This Row],[INVERSIONES FCI]],+Tabla5[[#This Row],[INVERSIONES FCI]]-CW240,Tabla5[[#This Row],[INVERSIONES FCI]])</f>
        <v>49782633837.518997</v>
      </c>
      <c r="CX241" s="5">
        <f>IF($B240&lt;=Tabla5[[#This Row],[INVERSIONES FCI]],+Tabla5[[#This Row],[INVERSIONES FCI]]-CX240,Tabla5[[#This Row],[INVERSIONES FCI]])</f>
        <v>49782633837.518997</v>
      </c>
      <c r="CY241" s="5">
        <f>IF($B240&lt;=Tabla5[[#This Row],[INVERSIONES FCI]],+Tabla5[[#This Row],[INVERSIONES FCI]]-CY240,Tabla5[[#This Row],[INVERSIONES FCI]])</f>
        <v>49782633837.518997</v>
      </c>
      <c r="CZ241" s="5">
        <f>IF($B240&lt;=Tabla5[[#This Row],[INVERSIONES FCI]],+Tabla5[[#This Row],[INVERSIONES FCI]]-CZ240,Tabla5[[#This Row],[INVERSIONES FCI]])</f>
        <v>49782633837.518997</v>
      </c>
      <c r="DA241" s="5">
        <f>IF($B240&lt;=Tabla5[[#This Row],[INVERSIONES FCI]],+Tabla5[[#This Row],[INVERSIONES FCI]]-DA240,Tabla5[[#This Row],[INVERSIONES FCI]])</f>
        <v>49782633837.518997</v>
      </c>
      <c r="DB241" s="5">
        <f>IF($B240&lt;=Tabla5[[#This Row],[INVERSIONES FCI]],+Tabla5[[#This Row],[INVERSIONES FCI]]-DB240,Tabla5[[#This Row],[INVERSIONES FCI]])</f>
        <v>49782633837.518997</v>
      </c>
      <c r="DC241" s="5">
        <f>IF($B240&lt;=Tabla5[[#This Row],[INVERSIONES FCI]],+Tabla5[[#This Row],[INVERSIONES FCI]]-DC240,Tabla5[[#This Row],[INVERSIONES FCI]])</f>
        <v>49782633837.518997</v>
      </c>
      <c r="DD241" s="5">
        <f>IF($B240&lt;=Tabla5[[#This Row],[INVERSIONES FCI]],+Tabla5[[#This Row],[INVERSIONES FCI]]-DD240,Tabla5[[#This Row],[INVERSIONES FCI]])</f>
        <v>49782633837.518997</v>
      </c>
      <c r="DE241" s="5">
        <f>IF($B240&lt;=Tabla5[[#This Row],[INVERSIONES FCI]],+Tabla5[[#This Row],[INVERSIONES FCI]]-DE240,Tabla5[[#This Row],[INVERSIONES FCI]])</f>
        <v>49782633837.518997</v>
      </c>
      <c r="DF241" s="5">
        <f>IF($B240&lt;=Tabla5[[#This Row],[INVERSIONES FCI]],+Tabla5[[#This Row],[INVERSIONES FCI]]-DF240,Tabla5[[#This Row],[INVERSIONES FCI]])</f>
        <v>49782633837.518997</v>
      </c>
      <c r="DG241" s="5">
        <f>IF($B240&lt;=Tabla5[[#This Row],[INVERSIONES FCI]],+Tabla5[[#This Row],[INVERSIONES FCI]]-DG240,Tabla5[[#This Row],[INVERSIONES FCI]])</f>
        <v>49782633837.518997</v>
      </c>
      <c r="DH241" s="5">
        <f>IF($B240&lt;=Tabla5[[#This Row],[INVERSIONES FCI]],+Tabla5[[#This Row],[INVERSIONES FCI]]-DH240,Tabla5[[#This Row],[INVERSIONES FCI]])</f>
        <v>49782633837.518997</v>
      </c>
      <c r="DI241" s="5">
        <f>IF($B240&lt;=Tabla5[[#This Row],[INVERSIONES FCI]],+Tabla5[[#This Row],[INVERSIONES FCI]]-DI240,Tabla5[[#This Row],[INVERSIONES FCI]])</f>
        <v>49782633837.518997</v>
      </c>
      <c r="DJ241" s="5">
        <f>IF($B240&lt;=Tabla5[[#This Row],[INVERSIONES FCI]],+Tabla5[[#This Row],[INVERSIONES FCI]]-DJ240,Tabla5[[#This Row],[INVERSIONES FCI]])</f>
        <v>49782633837.518997</v>
      </c>
      <c r="DK241" s="5">
        <f>IF($B240&lt;=Tabla5[[#This Row],[INVERSIONES FCI]],+Tabla5[[#This Row],[INVERSIONES FCI]]-DK240,Tabla5[[#This Row],[INVERSIONES FCI]])</f>
        <v>49782633837.518997</v>
      </c>
      <c r="DL241" s="5"/>
      <c r="DM241" s="5"/>
      <c r="DN241" s="5"/>
      <c r="DO241" s="5"/>
      <c r="DP241" s="5"/>
      <c r="DQ241" s="5"/>
    </row>
    <row r="242" spans="1:121" ht="14.4">
      <c r="A242" s="12" t="s">
        <v>241</v>
      </c>
      <c r="B242" s="5">
        <f>HLOOKUP($A242,ESCENARIO[#All],7,FALSE)</f>
        <v>57816312208.489418</v>
      </c>
      <c r="C242" s="5">
        <f>IF($B241&lt;=Tabla5[[#This Row],[INVERSIONES FCI]],+Tabla5[[#This Row],[INVERSIONES FCI]]-C241,Tabla5[[#This Row],[INVERSIONES FCI]])</f>
        <v>8033678370.9704208</v>
      </c>
      <c r="D242" s="5">
        <f>IF($B241&lt;=Tabla5[[#This Row],[INVERSIONES FCI]],+Tabla5[[#This Row],[INVERSIONES FCI]]-D241,Tabla5[[#This Row],[INVERSIONES FCI]])</f>
        <v>8033678370.9704208</v>
      </c>
      <c r="E242" s="5">
        <f>IF($B241&lt;=Tabla5[[#This Row],[INVERSIONES FCI]],+Tabla5[[#This Row],[INVERSIONES FCI]]-E241,Tabla5[[#This Row],[INVERSIONES FCI]])</f>
        <v>8033678370.9704208</v>
      </c>
      <c r="F242" s="5">
        <f>IF($B241&lt;=Tabla5[[#This Row],[INVERSIONES FCI]],+Tabla5[[#This Row],[INVERSIONES FCI]]-F241,Tabla5[[#This Row],[INVERSIONES FCI]])</f>
        <v>8033678370.9704208</v>
      </c>
      <c r="G242" s="5">
        <f>IF($B241&lt;=Tabla5[[#This Row],[INVERSIONES FCI]],+Tabla5[[#This Row],[INVERSIONES FCI]]-G241,Tabla5[[#This Row],[INVERSIONES FCI]])</f>
        <v>8033678370.9704208</v>
      </c>
      <c r="H242" s="5">
        <f>IF($B241&lt;=Tabla5[[#This Row],[INVERSIONES FCI]],+Tabla5[[#This Row],[INVERSIONES FCI]]-H241,Tabla5[[#This Row],[INVERSIONES FCI]])</f>
        <v>8033678370.9704208</v>
      </c>
      <c r="I242" s="5">
        <f>IF($B241&lt;=Tabla5[[#This Row],[INVERSIONES FCI]],+Tabla5[[#This Row],[INVERSIONES FCI]]-I241,Tabla5[[#This Row],[INVERSIONES FCI]])</f>
        <v>8033678370.9704208</v>
      </c>
      <c r="J242" s="5">
        <f>IF($B241&lt;=Tabla5[[#This Row],[INVERSIONES FCI]],+Tabla5[[#This Row],[INVERSIONES FCI]]-J241,Tabla5[[#This Row],[INVERSIONES FCI]])</f>
        <v>8033678370.9704208</v>
      </c>
      <c r="K242" s="5">
        <f>IF($B241&lt;=Tabla5[[#This Row],[INVERSIONES FCI]],+Tabla5[[#This Row],[INVERSIONES FCI]]-K241,Tabla5[[#This Row],[INVERSIONES FCI]])</f>
        <v>8033678370.9704208</v>
      </c>
      <c r="L242" s="5">
        <f>IF($B241&lt;=Tabla5[[#This Row],[INVERSIONES FCI]],+Tabla5[[#This Row],[INVERSIONES FCI]]-L241,Tabla5[[#This Row],[INVERSIONES FCI]])</f>
        <v>8033678370.9704208</v>
      </c>
      <c r="M242" s="5">
        <f>IF($B241&lt;=Tabla5[[#This Row],[INVERSIONES FCI]],+Tabla5[[#This Row],[INVERSIONES FCI]]-M241,Tabla5[[#This Row],[INVERSIONES FCI]])</f>
        <v>8033678370.9704208</v>
      </c>
      <c r="N242" s="5">
        <f>IF($B241&lt;=Tabla5[[#This Row],[INVERSIONES FCI]],+Tabla5[[#This Row],[INVERSIONES FCI]]-N241,Tabla5[[#This Row],[INVERSIONES FCI]])</f>
        <v>8033678370.9704208</v>
      </c>
      <c r="O242" s="5">
        <f>IF($B241&lt;=Tabla5[[#This Row],[INVERSIONES FCI]],+Tabla5[[#This Row],[INVERSIONES FCI]]-O241,Tabla5[[#This Row],[INVERSIONES FCI]])</f>
        <v>8033678370.9704208</v>
      </c>
      <c r="P242" s="5">
        <f>IF($B241&lt;=Tabla5[[#This Row],[INVERSIONES FCI]],+Tabla5[[#This Row],[INVERSIONES FCI]]-P241,Tabla5[[#This Row],[INVERSIONES FCI]])</f>
        <v>8033678370.9704208</v>
      </c>
      <c r="Q242" s="5">
        <f>IF($B241&lt;=Tabla5[[#This Row],[INVERSIONES FCI]],+Tabla5[[#This Row],[INVERSIONES FCI]]-Q241,Tabla5[[#This Row],[INVERSIONES FCI]])</f>
        <v>8033678370.9704208</v>
      </c>
      <c r="R242" s="5">
        <f>IF($B241&lt;=Tabla5[[#This Row],[INVERSIONES FCI]],+Tabla5[[#This Row],[INVERSIONES FCI]]-R241,Tabla5[[#This Row],[INVERSIONES FCI]])</f>
        <v>8033678370.9704208</v>
      </c>
      <c r="S242" s="5">
        <f>IF($B241&lt;=Tabla5[[#This Row],[INVERSIONES FCI]],+Tabla5[[#This Row],[INVERSIONES FCI]]-S241,Tabla5[[#This Row],[INVERSIONES FCI]])</f>
        <v>8033678370.9704208</v>
      </c>
      <c r="T242" s="5">
        <f>IF($B241&lt;=Tabla5[[#This Row],[INVERSIONES FCI]],+Tabla5[[#This Row],[INVERSIONES FCI]]-T241,Tabla5[[#This Row],[INVERSIONES FCI]])</f>
        <v>8033678370.9704208</v>
      </c>
      <c r="U242" s="5">
        <f>IF($B241&lt;=Tabla5[[#This Row],[INVERSIONES FCI]],+Tabla5[[#This Row],[INVERSIONES FCI]]-U241,Tabla5[[#This Row],[INVERSIONES FCI]])</f>
        <v>8033678370.9704208</v>
      </c>
      <c r="V242" s="5">
        <f>IF($B241&lt;=Tabla5[[#This Row],[INVERSIONES FCI]],+Tabla5[[#This Row],[INVERSIONES FCI]]-V241,Tabla5[[#This Row],[INVERSIONES FCI]])</f>
        <v>8033678370.9704208</v>
      </c>
      <c r="W242" s="5">
        <f>IF($B241&lt;=Tabla5[[#This Row],[INVERSIONES FCI]],+Tabla5[[#This Row],[INVERSIONES FCI]]-W241,Tabla5[[#This Row],[INVERSIONES FCI]])</f>
        <v>8033678370.9704208</v>
      </c>
      <c r="X242" s="5">
        <f>IF($B241&lt;=Tabla5[[#This Row],[INVERSIONES FCI]],+Tabla5[[#This Row],[INVERSIONES FCI]]-X241,Tabla5[[#This Row],[INVERSIONES FCI]])</f>
        <v>8033678370.9704208</v>
      </c>
      <c r="Y242" s="5">
        <f>IF($B241&lt;=Tabla5[[#This Row],[INVERSIONES FCI]],+Tabla5[[#This Row],[INVERSIONES FCI]]-Y241,Tabla5[[#This Row],[INVERSIONES FCI]])</f>
        <v>8033678370.9704208</v>
      </c>
      <c r="Z242" s="5">
        <f>IF($B241&lt;=Tabla5[[#This Row],[INVERSIONES FCI]],+Tabla5[[#This Row],[INVERSIONES FCI]]-Z241,Tabla5[[#This Row],[INVERSIONES FCI]])</f>
        <v>8033678370.9704208</v>
      </c>
      <c r="AA242" s="5">
        <f>IF($B241&lt;=Tabla5[[#This Row],[INVERSIONES FCI]],+Tabla5[[#This Row],[INVERSIONES FCI]]-AA241,Tabla5[[#This Row],[INVERSIONES FCI]])</f>
        <v>8033678370.9704208</v>
      </c>
      <c r="AB242" s="5">
        <f>IF($B241&lt;=Tabla5[[#This Row],[INVERSIONES FCI]],+Tabla5[[#This Row],[INVERSIONES FCI]]-AB241,Tabla5[[#This Row],[INVERSIONES FCI]])</f>
        <v>8033678370.9704208</v>
      </c>
      <c r="AC242" s="5">
        <f>IF($B241&lt;=Tabla5[[#This Row],[INVERSIONES FCI]],+Tabla5[[#This Row],[INVERSIONES FCI]]-AC241,Tabla5[[#This Row],[INVERSIONES FCI]])</f>
        <v>8033678370.9704208</v>
      </c>
      <c r="AD242" s="5">
        <f>IF($B241&lt;=Tabla5[[#This Row],[INVERSIONES FCI]],+Tabla5[[#This Row],[INVERSIONES FCI]]-AD241,Tabla5[[#This Row],[INVERSIONES FCI]])</f>
        <v>8033678370.9704208</v>
      </c>
      <c r="AE242" s="5">
        <f>IF($B241&lt;=Tabla5[[#This Row],[INVERSIONES FCI]],+Tabla5[[#This Row],[INVERSIONES FCI]]-AE241,Tabla5[[#This Row],[INVERSIONES FCI]])</f>
        <v>8033678370.9704208</v>
      </c>
      <c r="AF242" s="5">
        <f>IF($B241&lt;=Tabla5[[#This Row],[INVERSIONES FCI]],+Tabla5[[#This Row],[INVERSIONES FCI]]-AF241,Tabla5[[#This Row],[INVERSIONES FCI]])</f>
        <v>8033678370.9704208</v>
      </c>
      <c r="AG242" s="5">
        <f>IF($B241&lt;=Tabla5[[#This Row],[INVERSIONES FCI]],+Tabla5[[#This Row],[INVERSIONES FCI]]-AG241,Tabla5[[#This Row],[INVERSIONES FCI]])</f>
        <v>8033678370.9704208</v>
      </c>
      <c r="AH242" s="5">
        <f>IF($B241&lt;=Tabla5[[#This Row],[INVERSIONES FCI]],+Tabla5[[#This Row],[INVERSIONES FCI]]-AH241,Tabla5[[#This Row],[INVERSIONES FCI]])</f>
        <v>8033678370.9704208</v>
      </c>
      <c r="AI242" s="5">
        <f>IF($B241&lt;=Tabla5[[#This Row],[INVERSIONES FCI]],+Tabla5[[#This Row],[INVERSIONES FCI]]-AI241,Tabla5[[#This Row],[INVERSIONES FCI]])</f>
        <v>8033678370.9704208</v>
      </c>
      <c r="AJ242" s="5">
        <f>IF($B241&lt;=Tabla5[[#This Row],[INVERSIONES FCI]],+Tabla5[[#This Row],[INVERSIONES FCI]]-AJ241,Tabla5[[#This Row],[INVERSIONES FCI]])</f>
        <v>8033678370.9704208</v>
      </c>
      <c r="AK242" s="5">
        <f>IF($B241&lt;=Tabla5[[#This Row],[INVERSIONES FCI]],+Tabla5[[#This Row],[INVERSIONES FCI]]-AK241,Tabla5[[#This Row],[INVERSIONES FCI]])</f>
        <v>8033678370.9704208</v>
      </c>
      <c r="AL242" s="5">
        <f>IF($B241&lt;=Tabla5[[#This Row],[INVERSIONES FCI]],+Tabla5[[#This Row],[INVERSIONES FCI]]-AL241,Tabla5[[#This Row],[INVERSIONES FCI]])</f>
        <v>8033678370.9704208</v>
      </c>
      <c r="AM242" s="5">
        <f>IF($B241&lt;=Tabla5[[#This Row],[INVERSIONES FCI]],+Tabla5[[#This Row],[INVERSIONES FCI]]-AM241,Tabla5[[#This Row],[INVERSIONES FCI]])</f>
        <v>8033678370.9704208</v>
      </c>
      <c r="AN242" s="5">
        <f>IF($B241&lt;=Tabla5[[#This Row],[INVERSIONES FCI]],+Tabla5[[#This Row],[INVERSIONES FCI]]-AN241,Tabla5[[#This Row],[INVERSIONES FCI]])</f>
        <v>8033678370.9704208</v>
      </c>
      <c r="AO242" s="5">
        <f>IF($B241&lt;=Tabla5[[#This Row],[INVERSIONES FCI]],+Tabla5[[#This Row],[INVERSIONES FCI]]-AO241,Tabla5[[#This Row],[INVERSIONES FCI]])</f>
        <v>8033678370.9704208</v>
      </c>
      <c r="AP242" s="5">
        <f>IF($B241&lt;=Tabla5[[#This Row],[INVERSIONES FCI]],+Tabla5[[#This Row],[INVERSIONES FCI]]-AP241,Tabla5[[#This Row],[INVERSIONES FCI]])</f>
        <v>8033678370.9704208</v>
      </c>
      <c r="AQ242" s="5">
        <f>IF($B241&lt;=Tabla5[[#This Row],[INVERSIONES FCI]],+Tabla5[[#This Row],[INVERSIONES FCI]]-AQ241,Tabla5[[#This Row],[INVERSIONES FCI]])</f>
        <v>8033678370.9704208</v>
      </c>
      <c r="AR242" s="5">
        <f>IF($B241&lt;=Tabla5[[#This Row],[INVERSIONES FCI]],+Tabla5[[#This Row],[INVERSIONES FCI]]-AR241,Tabla5[[#This Row],[INVERSIONES FCI]])</f>
        <v>8033678370.9704208</v>
      </c>
      <c r="AS242" s="5">
        <f>IF($B241&lt;=Tabla5[[#This Row],[INVERSIONES FCI]],+Tabla5[[#This Row],[INVERSIONES FCI]]-AS241,Tabla5[[#This Row],[INVERSIONES FCI]])</f>
        <v>8033678370.9704208</v>
      </c>
      <c r="AT242" s="5">
        <f>IF($B241&lt;=Tabla5[[#This Row],[INVERSIONES FCI]],+Tabla5[[#This Row],[INVERSIONES FCI]]-AT241,Tabla5[[#This Row],[INVERSIONES FCI]])</f>
        <v>8033678370.9704208</v>
      </c>
      <c r="AU242" s="5">
        <f>IF($B241&lt;=Tabla5[[#This Row],[INVERSIONES FCI]],+Tabla5[[#This Row],[INVERSIONES FCI]]-AU241,Tabla5[[#This Row],[INVERSIONES FCI]])</f>
        <v>8033678370.9704208</v>
      </c>
      <c r="AV242" s="5">
        <f>IF($B241&lt;=Tabla5[[#This Row],[INVERSIONES FCI]],+Tabla5[[#This Row],[INVERSIONES FCI]]-AV241,Tabla5[[#This Row],[INVERSIONES FCI]])</f>
        <v>8033678370.9704208</v>
      </c>
      <c r="AW242" s="5">
        <f>IF($B241&lt;=Tabla5[[#This Row],[INVERSIONES FCI]],+Tabla5[[#This Row],[INVERSIONES FCI]]-AW241,Tabla5[[#This Row],[INVERSIONES FCI]])</f>
        <v>8033678370.9704208</v>
      </c>
      <c r="AX242" s="5">
        <f>IF($B241&lt;=Tabla5[[#This Row],[INVERSIONES FCI]],+Tabla5[[#This Row],[INVERSIONES FCI]]-AX241,Tabla5[[#This Row],[INVERSIONES FCI]])</f>
        <v>8033678370.9704208</v>
      </c>
      <c r="AY242" s="5">
        <f>IF($B241&lt;=Tabla5[[#This Row],[INVERSIONES FCI]],+Tabla5[[#This Row],[INVERSIONES FCI]]-AY241,Tabla5[[#This Row],[INVERSIONES FCI]])</f>
        <v>8033678370.9704208</v>
      </c>
      <c r="AZ242" s="5">
        <f>IF($B241&lt;=Tabla5[[#This Row],[INVERSIONES FCI]],+Tabla5[[#This Row],[INVERSIONES FCI]]-AZ241,Tabla5[[#This Row],[INVERSIONES FCI]])</f>
        <v>8033678370.9704208</v>
      </c>
      <c r="BA242" s="5">
        <f>IF($B241&lt;=Tabla5[[#This Row],[INVERSIONES FCI]],+Tabla5[[#This Row],[INVERSIONES FCI]]-BA241,Tabla5[[#This Row],[INVERSIONES FCI]])</f>
        <v>8033678370.9704208</v>
      </c>
      <c r="BB242" s="5">
        <f>IF($B241&lt;=Tabla5[[#This Row],[INVERSIONES FCI]],+Tabla5[[#This Row],[INVERSIONES FCI]]-BB241,Tabla5[[#This Row],[INVERSIONES FCI]])</f>
        <v>8033678370.9704208</v>
      </c>
      <c r="BC242" s="5">
        <f>IF($B241&lt;=Tabla5[[#This Row],[INVERSIONES FCI]],+Tabla5[[#This Row],[INVERSIONES FCI]]-BC241,Tabla5[[#This Row],[INVERSIONES FCI]])</f>
        <v>8033678370.9704208</v>
      </c>
      <c r="BD242" s="5">
        <f>IF($B241&lt;=Tabla5[[#This Row],[INVERSIONES FCI]],+Tabla5[[#This Row],[INVERSIONES FCI]]-BD241,Tabla5[[#This Row],[INVERSIONES FCI]])</f>
        <v>8033678370.9704208</v>
      </c>
      <c r="BE242" s="5">
        <f>IF($B241&lt;=Tabla5[[#This Row],[INVERSIONES FCI]],+Tabla5[[#This Row],[INVERSIONES FCI]]-BE241,Tabla5[[#This Row],[INVERSIONES FCI]])</f>
        <v>8033678370.9704208</v>
      </c>
      <c r="BF242" s="5">
        <f>IF($B241&lt;=Tabla5[[#This Row],[INVERSIONES FCI]],+Tabla5[[#This Row],[INVERSIONES FCI]]-BF241,Tabla5[[#This Row],[INVERSIONES FCI]])</f>
        <v>8033678370.9704208</v>
      </c>
      <c r="BG242" s="5">
        <f>IF($B241&lt;=Tabla5[[#This Row],[INVERSIONES FCI]],+Tabla5[[#This Row],[INVERSIONES FCI]]-BG241,Tabla5[[#This Row],[INVERSIONES FCI]])</f>
        <v>8033678370.9704208</v>
      </c>
      <c r="BH242" s="5">
        <f>IF($B241&lt;=Tabla5[[#This Row],[INVERSIONES FCI]],+Tabla5[[#This Row],[INVERSIONES FCI]]-BH241,Tabla5[[#This Row],[INVERSIONES FCI]])</f>
        <v>8033678370.9704208</v>
      </c>
      <c r="BI242" s="5">
        <f>IF($B241&lt;=Tabla5[[#This Row],[INVERSIONES FCI]],+Tabla5[[#This Row],[INVERSIONES FCI]]-BI241,Tabla5[[#This Row],[INVERSIONES FCI]])</f>
        <v>8033678370.9704208</v>
      </c>
      <c r="BJ242" s="5">
        <f>IF($B241&lt;=Tabla5[[#This Row],[INVERSIONES FCI]],+Tabla5[[#This Row],[INVERSIONES FCI]]-BJ241,Tabla5[[#This Row],[INVERSIONES FCI]])</f>
        <v>8033678370.9704208</v>
      </c>
      <c r="BK242" s="5">
        <f>IF($B241&lt;=Tabla5[[#This Row],[INVERSIONES FCI]],+Tabla5[[#This Row],[INVERSIONES FCI]]-BK241,Tabla5[[#This Row],[INVERSIONES FCI]])</f>
        <v>8033678370.9704208</v>
      </c>
      <c r="BL242" s="5">
        <f>IF($B241&lt;=Tabla5[[#This Row],[INVERSIONES FCI]],+Tabla5[[#This Row],[INVERSIONES FCI]]-BL241,Tabla5[[#This Row],[INVERSIONES FCI]])</f>
        <v>8033678370.9704208</v>
      </c>
      <c r="BM242" s="5">
        <f>IF($B241&lt;=Tabla5[[#This Row],[INVERSIONES FCI]],+Tabla5[[#This Row],[INVERSIONES FCI]]-BM241,Tabla5[[#This Row],[INVERSIONES FCI]])</f>
        <v>8033678370.9704208</v>
      </c>
      <c r="BN242" s="5">
        <f>IF($B241&lt;=Tabla5[[#This Row],[INVERSIONES FCI]],+Tabla5[[#This Row],[INVERSIONES FCI]]-BN241,Tabla5[[#This Row],[INVERSIONES FCI]])</f>
        <v>8033678370.9704208</v>
      </c>
      <c r="BO242" s="5">
        <f>IF($B241&lt;=Tabla5[[#This Row],[INVERSIONES FCI]],+Tabla5[[#This Row],[INVERSIONES FCI]]-BO241,Tabla5[[#This Row],[INVERSIONES FCI]])</f>
        <v>8033678370.9704208</v>
      </c>
      <c r="BP242" s="5">
        <f>IF($B241&lt;=Tabla5[[#This Row],[INVERSIONES FCI]],+Tabla5[[#This Row],[INVERSIONES FCI]]-BP241,Tabla5[[#This Row],[INVERSIONES FCI]])</f>
        <v>8033678370.9704208</v>
      </c>
      <c r="BQ242" s="5">
        <f>IF($B241&lt;=Tabla5[[#This Row],[INVERSIONES FCI]],+Tabla5[[#This Row],[INVERSIONES FCI]]-BQ241,Tabla5[[#This Row],[INVERSIONES FCI]])</f>
        <v>8033678370.9704208</v>
      </c>
      <c r="BR242" s="5">
        <f>IF($B241&lt;=Tabla5[[#This Row],[INVERSIONES FCI]],+Tabla5[[#This Row],[INVERSIONES FCI]]-BR241,Tabla5[[#This Row],[INVERSIONES FCI]])</f>
        <v>8033678370.9704208</v>
      </c>
      <c r="BS242" s="5">
        <f>IF($B241&lt;=Tabla5[[#This Row],[INVERSIONES FCI]],+Tabla5[[#This Row],[INVERSIONES FCI]]-BS241,Tabla5[[#This Row],[INVERSIONES FCI]])</f>
        <v>8033678370.9704208</v>
      </c>
      <c r="BT242" s="5">
        <f>IF($B241&lt;=Tabla5[[#This Row],[INVERSIONES FCI]],+Tabla5[[#This Row],[INVERSIONES FCI]]-BT241,Tabla5[[#This Row],[INVERSIONES FCI]])</f>
        <v>8033678370.9704208</v>
      </c>
      <c r="BU242" s="5">
        <f>IF($B241&lt;=Tabla5[[#This Row],[INVERSIONES FCI]],+Tabla5[[#This Row],[INVERSIONES FCI]]-BU241,Tabla5[[#This Row],[INVERSIONES FCI]])</f>
        <v>8033678370.9704208</v>
      </c>
      <c r="BV242" s="5">
        <f>IF($B241&lt;=Tabla5[[#This Row],[INVERSIONES FCI]],+Tabla5[[#This Row],[INVERSIONES FCI]]-BV241,Tabla5[[#This Row],[INVERSIONES FCI]])</f>
        <v>8033678370.9704208</v>
      </c>
      <c r="BW242" s="5">
        <f>IF($B241&lt;=Tabla5[[#This Row],[INVERSIONES FCI]],+Tabla5[[#This Row],[INVERSIONES FCI]]-BW241,Tabla5[[#This Row],[INVERSIONES FCI]])</f>
        <v>8033678370.9704208</v>
      </c>
      <c r="BX242" s="5">
        <f>IF($B241&lt;=Tabla5[[#This Row],[INVERSIONES FCI]],+Tabla5[[#This Row],[INVERSIONES FCI]]-BX241,Tabla5[[#This Row],[INVERSIONES FCI]])</f>
        <v>8033678370.9704208</v>
      </c>
      <c r="BY242" s="5">
        <f>IF($B241&lt;=Tabla5[[#This Row],[INVERSIONES FCI]],+Tabla5[[#This Row],[INVERSIONES FCI]]-BY241,Tabla5[[#This Row],[INVERSIONES FCI]])</f>
        <v>8033678370.9704208</v>
      </c>
      <c r="BZ242" s="5">
        <f>IF($B241&lt;=Tabla5[[#This Row],[INVERSIONES FCI]],+Tabla5[[#This Row],[INVERSIONES FCI]]-BZ241,Tabla5[[#This Row],[INVERSIONES FCI]])</f>
        <v>8033678370.9704208</v>
      </c>
      <c r="CA242" s="5">
        <f>IF($B241&lt;=Tabla5[[#This Row],[INVERSIONES FCI]],+Tabla5[[#This Row],[INVERSIONES FCI]]-CA241,Tabla5[[#This Row],[INVERSIONES FCI]])</f>
        <v>8033678370.9704208</v>
      </c>
      <c r="CB242" s="5">
        <f>IF($B241&lt;=Tabla5[[#This Row],[INVERSIONES FCI]],+Tabla5[[#This Row],[INVERSIONES FCI]]-CB241,Tabla5[[#This Row],[INVERSIONES FCI]])</f>
        <v>8033678370.9704208</v>
      </c>
      <c r="CC242" s="5">
        <f>IF($B241&lt;=Tabla5[[#This Row],[INVERSIONES FCI]],+Tabla5[[#This Row],[INVERSIONES FCI]]-CC241,Tabla5[[#This Row],[INVERSIONES FCI]])</f>
        <v>8033678370.9704208</v>
      </c>
      <c r="CD242" s="5">
        <f>IF($B241&lt;=Tabla5[[#This Row],[INVERSIONES FCI]],+Tabla5[[#This Row],[INVERSIONES FCI]]-CD241,Tabla5[[#This Row],[INVERSIONES FCI]])</f>
        <v>8033678370.9704208</v>
      </c>
      <c r="CE242" s="5">
        <f>IF($B241&lt;=Tabla5[[#This Row],[INVERSIONES FCI]],+Tabla5[[#This Row],[INVERSIONES FCI]]-CE241,Tabla5[[#This Row],[INVERSIONES FCI]])</f>
        <v>8033678370.9704208</v>
      </c>
      <c r="CF242" s="5">
        <f>IF($B241&lt;=Tabla5[[#This Row],[INVERSIONES FCI]],+Tabla5[[#This Row],[INVERSIONES FCI]]-CF241,Tabla5[[#This Row],[INVERSIONES FCI]])</f>
        <v>8033678370.9704208</v>
      </c>
      <c r="CG242" s="5">
        <f>IF($B241&lt;=Tabla5[[#This Row],[INVERSIONES FCI]],+Tabla5[[#This Row],[INVERSIONES FCI]]-CG241,Tabla5[[#This Row],[INVERSIONES FCI]])</f>
        <v>8033678370.9704208</v>
      </c>
      <c r="CH242" s="5">
        <f>IF($B241&lt;=Tabla5[[#This Row],[INVERSIONES FCI]],+Tabla5[[#This Row],[INVERSIONES FCI]]-CH241,Tabla5[[#This Row],[INVERSIONES FCI]])</f>
        <v>8033678370.9704208</v>
      </c>
      <c r="CI242" s="5">
        <f>IF($B241&lt;=Tabla5[[#This Row],[INVERSIONES FCI]],+Tabla5[[#This Row],[INVERSIONES FCI]]-CI241,Tabla5[[#This Row],[INVERSIONES FCI]])</f>
        <v>8033678370.9704208</v>
      </c>
      <c r="CJ242" s="5">
        <f>IF($B241&lt;=Tabla5[[#This Row],[INVERSIONES FCI]],+Tabla5[[#This Row],[INVERSIONES FCI]]-CJ241,Tabla5[[#This Row],[INVERSIONES FCI]])</f>
        <v>8033678370.9704208</v>
      </c>
      <c r="CK242" s="5">
        <f>IF($B241&lt;=Tabla5[[#This Row],[INVERSIONES FCI]],+Tabla5[[#This Row],[INVERSIONES FCI]]-CK241,Tabla5[[#This Row],[INVERSIONES FCI]])</f>
        <v>8033678370.9704208</v>
      </c>
      <c r="CL242" s="5">
        <f>IF($B241&lt;=Tabla5[[#This Row],[INVERSIONES FCI]],+Tabla5[[#This Row],[INVERSIONES FCI]]-CL241,Tabla5[[#This Row],[INVERSIONES FCI]])</f>
        <v>8033678370.9704208</v>
      </c>
      <c r="CM242" s="5">
        <f>IF($B241&lt;=Tabla5[[#This Row],[INVERSIONES FCI]],+Tabla5[[#This Row],[INVERSIONES FCI]]-CM241,Tabla5[[#This Row],[INVERSIONES FCI]])</f>
        <v>8033678370.9704208</v>
      </c>
      <c r="CN242" s="5">
        <f>IF($B241&lt;=Tabla5[[#This Row],[INVERSIONES FCI]],+Tabla5[[#This Row],[INVERSIONES FCI]]-CN241,Tabla5[[#This Row],[INVERSIONES FCI]])</f>
        <v>8033678370.9704208</v>
      </c>
      <c r="CO242" s="5">
        <f>IF($B241&lt;=Tabla5[[#This Row],[INVERSIONES FCI]],+Tabla5[[#This Row],[INVERSIONES FCI]]-CO241,Tabla5[[#This Row],[INVERSIONES FCI]])</f>
        <v>8033678370.9704208</v>
      </c>
      <c r="CP242" s="5">
        <f>IF($B241&lt;=Tabla5[[#This Row],[INVERSIONES FCI]],+Tabla5[[#This Row],[INVERSIONES FCI]]-CP241,Tabla5[[#This Row],[INVERSIONES FCI]])</f>
        <v>8033678370.9704208</v>
      </c>
      <c r="CQ242" s="5">
        <f>IF($B241&lt;=Tabla5[[#This Row],[INVERSIONES FCI]],+Tabla5[[#This Row],[INVERSIONES FCI]]-CQ241,Tabla5[[#This Row],[INVERSIONES FCI]])</f>
        <v>8033678370.9704208</v>
      </c>
      <c r="CR242" s="5">
        <f>IF($B241&lt;=Tabla5[[#This Row],[INVERSIONES FCI]],+Tabla5[[#This Row],[INVERSIONES FCI]]-CR241,Tabla5[[#This Row],[INVERSIONES FCI]])</f>
        <v>8033678370.9704208</v>
      </c>
      <c r="CS242" s="5">
        <f>IF($B241&lt;=Tabla5[[#This Row],[INVERSIONES FCI]],+Tabla5[[#This Row],[INVERSIONES FCI]]-CS241,Tabla5[[#This Row],[INVERSIONES FCI]])</f>
        <v>8033678370.9704208</v>
      </c>
      <c r="CT242" s="5">
        <f>IF($B241&lt;=Tabla5[[#This Row],[INVERSIONES FCI]],+Tabla5[[#This Row],[INVERSIONES FCI]]-CT241,Tabla5[[#This Row],[INVERSIONES FCI]])</f>
        <v>8033678370.9704208</v>
      </c>
      <c r="CU242" s="5">
        <f>IF($B241&lt;=Tabla5[[#This Row],[INVERSIONES FCI]],+Tabla5[[#This Row],[INVERSIONES FCI]]-CU241,Tabla5[[#This Row],[INVERSIONES FCI]])</f>
        <v>8033678370.9704208</v>
      </c>
      <c r="CV242" s="5">
        <f>IF($B241&lt;=Tabla5[[#This Row],[INVERSIONES FCI]],+Tabla5[[#This Row],[INVERSIONES FCI]]-CV241,Tabla5[[#This Row],[INVERSIONES FCI]])</f>
        <v>8033678370.9704208</v>
      </c>
      <c r="CW242" s="5">
        <f>IF($B241&lt;=Tabla5[[#This Row],[INVERSIONES FCI]],+Tabla5[[#This Row],[INVERSIONES FCI]]-CW241,Tabla5[[#This Row],[INVERSIONES FCI]])</f>
        <v>8033678370.9704208</v>
      </c>
      <c r="CX242" s="5">
        <f>IF($B241&lt;=Tabla5[[#This Row],[INVERSIONES FCI]],+Tabla5[[#This Row],[INVERSIONES FCI]]-CX241,Tabla5[[#This Row],[INVERSIONES FCI]])</f>
        <v>8033678370.9704208</v>
      </c>
      <c r="CY242" s="5">
        <f>IF($B241&lt;=Tabla5[[#This Row],[INVERSIONES FCI]],+Tabla5[[#This Row],[INVERSIONES FCI]]-CY241,Tabla5[[#This Row],[INVERSIONES FCI]])</f>
        <v>8033678370.9704208</v>
      </c>
      <c r="CZ242" s="5">
        <f>IF($B241&lt;=Tabla5[[#This Row],[INVERSIONES FCI]],+Tabla5[[#This Row],[INVERSIONES FCI]]-CZ241,Tabla5[[#This Row],[INVERSIONES FCI]])</f>
        <v>8033678370.9704208</v>
      </c>
      <c r="DA242" s="5">
        <f>IF($B241&lt;=Tabla5[[#This Row],[INVERSIONES FCI]],+Tabla5[[#This Row],[INVERSIONES FCI]]-DA241,Tabla5[[#This Row],[INVERSIONES FCI]])</f>
        <v>8033678370.9704208</v>
      </c>
      <c r="DB242" s="5">
        <f>IF($B241&lt;=Tabla5[[#This Row],[INVERSIONES FCI]],+Tabla5[[#This Row],[INVERSIONES FCI]]-DB241,Tabla5[[#This Row],[INVERSIONES FCI]])</f>
        <v>8033678370.9704208</v>
      </c>
      <c r="DC242" s="5">
        <f>IF($B241&lt;=Tabla5[[#This Row],[INVERSIONES FCI]],+Tabla5[[#This Row],[INVERSIONES FCI]]-DC241,Tabla5[[#This Row],[INVERSIONES FCI]])</f>
        <v>8033678370.9704208</v>
      </c>
      <c r="DD242" s="5">
        <f>IF($B241&lt;=Tabla5[[#This Row],[INVERSIONES FCI]],+Tabla5[[#This Row],[INVERSIONES FCI]]-DD241,Tabla5[[#This Row],[INVERSIONES FCI]])</f>
        <v>8033678370.9704208</v>
      </c>
      <c r="DE242" s="5">
        <f>IF($B241&lt;=Tabla5[[#This Row],[INVERSIONES FCI]],+Tabla5[[#This Row],[INVERSIONES FCI]]-DE241,Tabla5[[#This Row],[INVERSIONES FCI]])</f>
        <v>8033678370.9704208</v>
      </c>
      <c r="DF242" s="5">
        <f>IF($B241&lt;=Tabla5[[#This Row],[INVERSIONES FCI]],+Tabla5[[#This Row],[INVERSIONES FCI]]-DF241,Tabla5[[#This Row],[INVERSIONES FCI]])</f>
        <v>8033678370.9704208</v>
      </c>
      <c r="DG242" s="5">
        <f>IF($B241&lt;=Tabla5[[#This Row],[INVERSIONES FCI]],+Tabla5[[#This Row],[INVERSIONES FCI]]-DG241,Tabla5[[#This Row],[INVERSIONES FCI]])</f>
        <v>8033678370.9704208</v>
      </c>
      <c r="DH242" s="5">
        <f>IF($B241&lt;=Tabla5[[#This Row],[INVERSIONES FCI]],+Tabla5[[#This Row],[INVERSIONES FCI]]-DH241,Tabla5[[#This Row],[INVERSIONES FCI]])</f>
        <v>8033678370.9704208</v>
      </c>
      <c r="DI242" s="5">
        <f>IF($B241&lt;=Tabla5[[#This Row],[INVERSIONES FCI]],+Tabla5[[#This Row],[INVERSIONES FCI]]-DI241,Tabla5[[#This Row],[INVERSIONES FCI]])</f>
        <v>8033678370.9704208</v>
      </c>
      <c r="DJ242" s="5">
        <f>IF($B241&lt;=Tabla5[[#This Row],[INVERSIONES FCI]],+Tabla5[[#This Row],[INVERSIONES FCI]]-DJ241,Tabla5[[#This Row],[INVERSIONES FCI]])</f>
        <v>8033678370.9704208</v>
      </c>
      <c r="DK242" s="5">
        <f>IF($B241&lt;=Tabla5[[#This Row],[INVERSIONES FCI]],+Tabla5[[#This Row],[INVERSIONES FCI]]-DK241,Tabla5[[#This Row],[INVERSIONES FCI]])</f>
        <v>8033678370.9704208</v>
      </c>
      <c r="DL242" s="5"/>
      <c r="DM242" s="5"/>
      <c r="DN242" s="5"/>
      <c r="DO242" s="5"/>
      <c r="DP242" s="5"/>
      <c r="DQ242" s="5"/>
    </row>
    <row r="243" spans="1:121" ht="14.4">
      <c r="A243" s="12" t="s">
        <v>242</v>
      </c>
      <c r="B243" s="5">
        <f>HLOOKUP($A243,ESCENARIO[#All],7,FALSE)</f>
        <v>37261142886.987724</v>
      </c>
      <c r="C243" s="5">
        <f>IF($B242&lt;=Tabla5[[#This Row],[INVERSIONES FCI]],+Tabla5[[#This Row],[INVERSIONES FCI]]-C242,Tabla5[[#This Row],[INVERSIONES FCI]])</f>
        <v>37261142886.987724</v>
      </c>
      <c r="D243" s="5">
        <f>IF($B242&lt;=Tabla5[[#This Row],[INVERSIONES FCI]],+Tabla5[[#This Row],[INVERSIONES FCI]]-D242,Tabla5[[#This Row],[INVERSIONES FCI]])</f>
        <v>37261142886.987724</v>
      </c>
      <c r="E243" s="5">
        <f>IF($B242&lt;=Tabla5[[#This Row],[INVERSIONES FCI]],+Tabla5[[#This Row],[INVERSIONES FCI]]-E242,Tabla5[[#This Row],[INVERSIONES FCI]])</f>
        <v>37261142886.987724</v>
      </c>
      <c r="F243" s="5">
        <f>IF($B242&lt;=Tabla5[[#This Row],[INVERSIONES FCI]],+Tabla5[[#This Row],[INVERSIONES FCI]]-F242,Tabla5[[#This Row],[INVERSIONES FCI]])</f>
        <v>37261142886.987724</v>
      </c>
      <c r="G243" s="5">
        <f>IF($B242&lt;=Tabla5[[#This Row],[INVERSIONES FCI]],+Tabla5[[#This Row],[INVERSIONES FCI]]-G242,Tabla5[[#This Row],[INVERSIONES FCI]])</f>
        <v>37261142886.987724</v>
      </c>
      <c r="H243" s="5">
        <f>IF($B242&lt;=Tabla5[[#This Row],[INVERSIONES FCI]],+Tabla5[[#This Row],[INVERSIONES FCI]]-H242,Tabla5[[#This Row],[INVERSIONES FCI]])</f>
        <v>37261142886.987724</v>
      </c>
      <c r="I243" s="5">
        <f>IF($B242&lt;=Tabla5[[#This Row],[INVERSIONES FCI]],+Tabla5[[#This Row],[INVERSIONES FCI]]-I242,Tabla5[[#This Row],[INVERSIONES FCI]])</f>
        <v>37261142886.987724</v>
      </c>
      <c r="J243" s="5">
        <f>IF($B242&lt;=Tabla5[[#This Row],[INVERSIONES FCI]],+Tabla5[[#This Row],[INVERSIONES FCI]]-J242,Tabla5[[#This Row],[INVERSIONES FCI]])</f>
        <v>37261142886.987724</v>
      </c>
      <c r="K243" s="5">
        <f>IF($B242&lt;=Tabla5[[#This Row],[INVERSIONES FCI]],+Tabla5[[#This Row],[INVERSIONES FCI]]-K242,Tabla5[[#This Row],[INVERSIONES FCI]])</f>
        <v>37261142886.987724</v>
      </c>
      <c r="L243" s="5">
        <f>IF($B242&lt;=Tabla5[[#This Row],[INVERSIONES FCI]],+Tabla5[[#This Row],[INVERSIONES FCI]]-L242,Tabla5[[#This Row],[INVERSIONES FCI]])</f>
        <v>37261142886.987724</v>
      </c>
      <c r="M243" s="5">
        <f>IF($B242&lt;=Tabla5[[#This Row],[INVERSIONES FCI]],+Tabla5[[#This Row],[INVERSIONES FCI]]-M242,Tabla5[[#This Row],[INVERSIONES FCI]])</f>
        <v>37261142886.987724</v>
      </c>
      <c r="N243" s="5">
        <f>IF($B242&lt;=Tabla5[[#This Row],[INVERSIONES FCI]],+Tabla5[[#This Row],[INVERSIONES FCI]]-N242,Tabla5[[#This Row],[INVERSIONES FCI]])</f>
        <v>37261142886.987724</v>
      </c>
      <c r="O243" s="5">
        <f>IF($B242&lt;=Tabla5[[#This Row],[INVERSIONES FCI]],+Tabla5[[#This Row],[INVERSIONES FCI]]-O242,Tabla5[[#This Row],[INVERSIONES FCI]])</f>
        <v>37261142886.987724</v>
      </c>
      <c r="P243" s="5">
        <f>IF($B242&lt;=Tabla5[[#This Row],[INVERSIONES FCI]],+Tabla5[[#This Row],[INVERSIONES FCI]]-P242,Tabla5[[#This Row],[INVERSIONES FCI]])</f>
        <v>37261142886.987724</v>
      </c>
      <c r="Q243" s="5">
        <f>IF($B242&lt;=Tabla5[[#This Row],[INVERSIONES FCI]],+Tabla5[[#This Row],[INVERSIONES FCI]]-Q242,Tabla5[[#This Row],[INVERSIONES FCI]])</f>
        <v>37261142886.987724</v>
      </c>
      <c r="R243" s="5">
        <f>IF($B242&lt;=Tabla5[[#This Row],[INVERSIONES FCI]],+Tabla5[[#This Row],[INVERSIONES FCI]]-R242,Tabla5[[#This Row],[INVERSIONES FCI]])</f>
        <v>37261142886.987724</v>
      </c>
      <c r="S243" s="5">
        <f>IF($B242&lt;=Tabla5[[#This Row],[INVERSIONES FCI]],+Tabla5[[#This Row],[INVERSIONES FCI]]-S242,Tabla5[[#This Row],[INVERSIONES FCI]])</f>
        <v>37261142886.987724</v>
      </c>
      <c r="T243" s="5">
        <f>IF($B242&lt;=Tabla5[[#This Row],[INVERSIONES FCI]],+Tabla5[[#This Row],[INVERSIONES FCI]]-T242,Tabla5[[#This Row],[INVERSIONES FCI]])</f>
        <v>37261142886.987724</v>
      </c>
      <c r="U243" s="5">
        <f>IF($B242&lt;=Tabla5[[#This Row],[INVERSIONES FCI]],+Tabla5[[#This Row],[INVERSIONES FCI]]-U242,Tabla5[[#This Row],[INVERSIONES FCI]])</f>
        <v>37261142886.987724</v>
      </c>
      <c r="V243" s="5">
        <f>IF($B242&lt;=Tabla5[[#This Row],[INVERSIONES FCI]],+Tabla5[[#This Row],[INVERSIONES FCI]]-V242,Tabla5[[#This Row],[INVERSIONES FCI]])</f>
        <v>37261142886.987724</v>
      </c>
      <c r="W243" s="5">
        <f>IF($B242&lt;=Tabla5[[#This Row],[INVERSIONES FCI]],+Tabla5[[#This Row],[INVERSIONES FCI]]-W242,Tabla5[[#This Row],[INVERSIONES FCI]])</f>
        <v>37261142886.987724</v>
      </c>
      <c r="X243" s="5">
        <f>IF($B242&lt;=Tabla5[[#This Row],[INVERSIONES FCI]],+Tabla5[[#This Row],[INVERSIONES FCI]]-X242,Tabla5[[#This Row],[INVERSIONES FCI]])</f>
        <v>37261142886.987724</v>
      </c>
      <c r="Y243" s="5">
        <f>IF($B242&lt;=Tabla5[[#This Row],[INVERSIONES FCI]],+Tabla5[[#This Row],[INVERSIONES FCI]]-Y242,Tabla5[[#This Row],[INVERSIONES FCI]])</f>
        <v>37261142886.987724</v>
      </c>
      <c r="Z243" s="5">
        <f>IF($B242&lt;=Tabla5[[#This Row],[INVERSIONES FCI]],+Tabla5[[#This Row],[INVERSIONES FCI]]-Z242,Tabla5[[#This Row],[INVERSIONES FCI]])</f>
        <v>37261142886.987724</v>
      </c>
      <c r="AA243" s="5">
        <f>IF($B242&lt;=Tabla5[[#This Row],[INVERSIONES FCI]],+Tabla5[[#This Row],[INVERSIONES FCI]]-AA242,Tabla5[[#This Row],[INVERSIONES FCI]])</f>
        <v>37261142886.987724</v>
      </c>
      <c r="AB243" s="5">
        <f>IF($B242&lt;=Tabla5[[#This Row],[INVERSIONES FCI]],+Tabla5[[#This Row],[INVERSIONES FCI]]-AB242,Tabla5[[#This Row],[INVERSIONES FCI]])</f>
        <v>37261142886.987724</v>
      </c>
      <c r="AC243" s="5">
        <f>IF($B242&lt;=Tabla5[[#This Row],[INVERSIONES FCI]],+Tabla5[[#This Row],[INVERSIONES FCI]]-AC242,Tabla5[[#This Row],[INVERSIONES FCI]])</f>
        <v>37261142886.987724</v>
      </c>
      <c r="AD243" s="5">
        <f>IF($B242&lt;=Tabla5[[#This Row],[INVERSIONES FCI]],+Tabla5[[#This Row],[INVERSIONES FCI]]-AD242,Tabla5[[#This Row],[INVERSIONES FCI]])</f>
        <v>37261142886.987724</v>
      </c>
      <c r="AE243" s="5">
        <f>IF($B242&lt;=Tabla5[[#This Row],[INVERSIONES FCI]],+Tabla5[[#This Row],[INVERSIONES FCI]]-AE242,Tabla5[[#This Row],[INVERSIONES FCI]])</f>
        <v>37261142886.987724</v>
      </c>
      <c r="AF243" s="5">
        <f>IF($B242&lt;=Tabla5[[#This Row],[INVERSIONES FCI]],+Tabla5[[#This Row],[INVERSIONES FCI]]-AF242,Tabla5[[#This Row],[INVERSIONES FCI]])</f>
        <v>37261142886.987724</v>
      </c>
      <c r="AG243" s="5">
        <f>IF($B242&lt;=Tabla5[[#This Row],[INVERSIONES FCI]],+Tabla5[[#This Row],[INVERSIONES FCI]]-AG242,Tabla5[[#This Row],[INVERSIONES FCI]])</f>
        <v>37261142886.987724</v>
      </c>
      <c r="AH243" s="5">
        <f>IF($B242&lt;=Tabla5[[#This Row],[INVERSIONES FCI]],+Tabla5[[#This Row],[INVERSIONES FCI]]-AH242,Tabla5[[#This Row],[INVERSIONES FCI]])</f>
        <v>37261142886.987724</v>
      </c>
      <c r="AI243" s="5">
        <f>IF($B242&lt;=Tabla5[[#This Row],[INVERSIONES FCI]],+Tabla5[[#This Row],[INVERSIONES FCI]]-AI242,Tabla5[[#This Row],[INVERSIONES FCI]])</f>
        <v>37261142886.987724</v>
      </c>
      <c r="AJ243" s="5">
        <f>IF($B242&lt;=Tabla5[[#This Row],[INVERSIONES FCI]],+Tabla5[[#This Row],[INVERSIONES FCI]]-AJ242,Tabla5[[#This Row],[INVERSIONES FCI]])</f>
        <v>37261142886.987724</v>
      </c>
      <c r="AK243" s="5">
        <f>IF($B242&lt;=Tabla5[[#This Row],[INVERSIONES FCI]],+Tabla5[[#This Row],[INVERSIONES FCI]]-AK242,Tabla5[[#This Row],[INVERSIONES FCI]])</f>
        <v>37261142886.987724</v>
      </c>
      <c r="AL243" s="5">
        <f>IF($B242&lt;=Tabla5[[#This Row],[INVERSIONES FCI]],+Tabla5[[#This Row],[INVERSIONES FCI]]-AL242,Tabla5[[#This Row],[INVERSIONES FCI]])</f>
        <v>37261142886.987724</v>
      </c>
      <c r="AM243" s="5">
        <f>IF($B242&lt;=Tabla5[[#This Row],[INVERSIONES FCI]],+Tabla5[[#This Row],[INVERSIONES FCI]]-AM242,Tabla5[[#This Row],[INVERSIONES FCI]])</f>
        <v>37261142886.987724</v>
      </c>
      <c r="AN243" s="5">
        <f>IF($B242&lt;=Tabla5[[#This Row],[INVERSIONES FCI]],+Tabla5[[#This Row],[INVERSIONES FCI]]-AN242,Tabla5[[#This Row],[INVERSIONES FCI]])</f>
        <v>37261142886.987724</v>
      </c>
      <c r="AO243" s="5">
        <f>IF($B242&lt;=Tabla5[[#This Row],[INVERSIONES FCI]],+Tabla5[[#This Row],[INVERSIONES FCI]]-AO242,Tabla5[[#This Row],[INVERSIONES FCI]])</f>
        <v>37261142886.987724</v>
      </c>
      <c r="AP243" s="5">
        <f>IF($B242&lt;=Tabla5[[#This Row],[INVERSIONES FCI]],+Tabla5[[#This Row],[INVERSIONES FCI]]-AP242,Tabla5[[#This Row],[INVERSIONES FCI]])</f>
        <v>37261142886.987724</v>
      </c>
      <c r="AQ243" s="5">
        <f>IF($B242&lt;=Tabla5[[#This Row],[INVERSIONES FCI]],+Tabla5[[#This Row],[INVERSIONES FCI]]-AQ242,Tabla5[[#This Row],[INVERSIONES FCI]])</f>
        <v>37261142886.987724</v>
      </c>
      <c r="AR243" s="5">
        <f>IF($B242&lt;=Tabla5[[#This Row],[INVERSIONES FCI]],+Tabla5[[#This Row],[INVERSIONES FCI]]-AR242,Tabla5[[#This Row],[INVERSIONES FCI]])</f>
        <v>37261142886.987724</v>
      </c>
      <c r="AS243" s="5">
        <f>IF($B242&lt;=Tabla5[[#This Row],[INVERSIONES FCI]],+Tabla5[[#This Row],[INVERSIONES FCI]]-AS242,Tabla5[[#This Row],[INVERSIONES FCI]])</f>
        <v>37261142886.987724</v>
      </c>
      <c r="AT243" s="5">
        <f>IF($B242&lt;=Tabla5[[#This Row],[INVERSIONES FCI]],+Tabla5[[#This Row],[INVERSIONES FCI]]-AT242,Tabla5[[#This Row],[INVERSIONES FCI]])</f>
        <v>37261142886.987724</v>
      </c>
      <c r="AU243" s="5">
        <f>IF($B242&lt;=Tabla5[[#This Row],[INVERSIONES FCI]],+Tabla5[[#This Row],[INVERSIONES FCI]]-AU242,Tabla5[[#This Row],[INVERSIONES FCI]])</f>
        <v>37261142886.987724</v>
      </c>
      <c r="AV243" s="5">
        <f>IF($B242&lt;=Tabla5[[#This Row],[INVERSIONES FCI]],+Tabla5[[#This Row],[INVERSIONES FCI]]-AV242,Tabla5[[#This Row],[INVERSIONES FCI]])</f>
        <v>37261142886.987724</v>
      </c>
      <c r="AW243" s="5">
        <f>IF($B242&lt;=Tabla5[[#This Row],[INVERSIONES FCI]],+Tabla5[[#This Row],[INVERSIONES FCI]]-AW242,Tabla5[[#This Row],[INVERSIONES FCI]])</f>
        <v>37261142886.987724</v>
      </c>
      <c r="AX243" s="5">
        <f>IF($B242&lt;=Tabla5[[#This Row],[INVERSIONES FCI]],+Tabla5[[#This Row],[INVERSIONES FCI]]-AX242,Tabla5[[#This Row],[INVERSIONES FCI]])</f>
        <v>37261142886.987724</v>
      </c>
      <c r="AY243" s="5">
        <f>IF($B242&lt;=Tabla5[[#This Row],[INVERSIONES FCI]],+Tabla5[[#This Row],[INVERSIONES FCI]]-AY242,Tabla5[[#This Row],[INVERSIONES FCI]])</f>
        <v>37261142886.987724</v>
      </c>
      <c r="AZ243" s="5">
        <f>IF($B242&lt;=Tabla5[[#This Row],[INVERSIONES FCI]],+Tabla5[[#This Row],[INVERSIONES FCI]]-AZ242,Tabla5[[#This Row],[INVERSIONES FCI]])</f>
        <v>37261142886.987724</v>
      </c>
      <c r="BA243" s="5">
        <f>IF($B242&lt;=Tabla5[[#This Row],[INVERSIONES FCI]],+Tabla5[[#This Row],[INVERSIONES FCI]]-BA242,Tabla5[[#This Row],[INVERSIONES FCI]])</f>
        <v>37261142886.987724</v>
      </c>
      <c r="BB243" s="5">
        <f>IF($B242&lt;=Tabla5[[#This Row],[INVERSIONES FCI]],+Tabla5[[#This Row],[INVERSIONES FCI]]-BB242,Tabla5[[#This Row],[INVERSIONES FCI]])</f>
        <v>37261142886.987724</v>
      </c>
      <c r="BC243" s="5">
        <f>IF($B242&lt;=Tabla5[[#This Row],[INVERSIONES FCI]],+Tabla5[[#This Row],[INVERSIONES FCI]]-BC242,Tabla5[[#This Row],[INVERSIONES FCI]])</f>
        <v>37261142886.987724</v>
      </c>
      <c r="BD243" s="5">
        <f>IF($B242&lt;=Tabla5[[#This Row],[INVERSIONES FCI]],+Tabla5[[#This Row],[INVERSIONES FCI]]-BD242,Tabla5[[#This Row],[INVERSIONES FCI]])</f>
        <v>37261142886.987724</v>
      </c>
      <c r="BE243" s="5">
        <f>IF($B242&lt;=Tabla5[[#This Row],[INVERSIONES FCI]],+Tabla5[[#This Row],[INVERSIONES FCI]]-BE242,Tabla5[[#This Row],[INVERSIONES FCI]])</f>
        <v>37261142886.987724</v>
      </c>
      <c r="BF243" s="5">
        <f>IF($B242&lt;=Tabla5[[#This Row],[INVERSIONES FCI]],+Tabla5[[#This Row],[INVERSIONES FCI]]-BF242,Tabla5[[#This Row],[INVERSIONES FCI]])</f>
        <v>37261142886.987724</v>
      </c>
      <c r="BG243" s="5">
        <f>IF($B242&lt;=Tabla5[[#This Row],[INVERSIONES FCI]],+Tabla5[[#This Row],[INVERSIONES FCI]]-BG242,Tabla5[[#This Row],[INVERSIONES FCI]])</f>
        <v>37261142886.987724</v>
      </c>
      <c r="BH243" s="5">
        <f>IF($B242&lt;=Tabla5[[#This Row],[INVERSIONES FCI]],+Tabla5[[#This Row],[INVERSIONES FCI]]-BH242,Tabla5[[#This Row],[INVERSIONES FCI]])</f>
        <v>37261142886.987724</v>
      </c>
      <c r="BI243" s="5">
        <f>IF($B242&lt;=Tabla5[[#This Row],[INVERSIONES FCI]],+Tabla5[[#This Row],[INVERSIONES FCI]]-BI242,Tabla5[[#This Row],[INVERSIONES FCI]])</f>
        <v>37261142886.987724</v>
      </c>
      <c r="BJ243" s="5">
        <f>IF($B242&lt;=Tabla5[[#This Row],[INVERSIONES FCI]],+Tabla5[[#This Row],[INVERSIONES FCI]]-BJ242,Tabla5[[#This Row],[INVERSIONES FCI]])</f>
        <v>37261142886.987724</v>
      </c>
      <c r="BK243" s="5">
        <f>IF($B242&lt;=Tabla5[[#This Row],[INVERSIONES FCI]],+Tabla5[[#This Row],[INVERSIONES FCI]]-BK242,Tabla5[[#This Row],[INVERSIONES FCI]])</f>
        <v>37261142886.987724</v>
      </c>
      <c r="BL243" s="5">
        <f>IF($B242&lt;=Tabla5[[#This Row],[INVERSIONES FCI]],+Tabla5[[#This Row],[INVERSIONES FCI]]-BL242,Tabla5[[#This Row],[INVERSIONES FCI]])</f>
        <v>37261142886.987724</v>
      </c>
      <c r="BM243" s="5">
        <f>IF($B242&lt;=Tabla5[[#This Row],[INVERSIONES FCI]],+Tabla5[[#This Row],[INVERSIONES FCI]]-BM242,Tabla5[[#This Row],[INVERSIONES FCI]])</f>
        <v>37261142886.987724</v>
      </c>
      <c r="BN243" s="5">
        <f>IF($B242&lt;=Tabla5[[#This Row],[INVERSIONES FCI]],+Tabla5[[#This Row],[INVERSIONES FCI]]-BN242,Tabla5[[#This Row],[INVERSIONES FCI]])</f>
        <v>37261142886.987724</v>
      </c>
      <c r="BO243" s="5">
        <f>IF($B242&lt;=Tabla5[[#This Row],[INVERSIONES FCI]],+Tabla5[[#This Row],[INVERSIONES FCI]]-BO242,Tabla5[[#This Row],[INVERSIONES FCI]])</f>
        <v>37261142886.987724</v>
      </c>
      <c r="BP243" s="5">
        <f>IF($B242&lt;=Tabla5[[#This Row],[INVERSIONES FCI]],+Tabla5[[#This Row],[INVERSIONES FCI]]-BP242,Tabla5[[#This Row],[INVERSIONES FCI]])</f>
        <v>37261142886.987724</v>
      </c>
      <c r="BQ243" s="5">
        <f>IF($B242&lt;=Tabla5[[#This Row],[INVERSIONES FCI]],+Tabla5[[#This Row],[INVERSIONES FCI]]-BQ242,Tabla5[[#This Row],[INVERSIONES FCI]])</f>
        <v>37261142886.987724</v>
      </c>
      <c r="BR243" s="5">
        <f>IF($B242&lt;=Tabla5[[#This Row],[INVERSIONES FCI]],+Tabla5[[#This Row],[INVERSIONES FCI]]-BR242,Tabla5[[#This Row],[INVERSIONES FCI]])</f>
        <v>37261142886.987724</v>
      </c>
      <c r="BS243" s="5">
        <f>IF($B242&lt;=Tabla5[[#This Row],[INVERSIONES FCI]],+Tabla5[[#This Row],[INVERSIONES FCI]]-BS242,Tabla5[[#This Row],[INVERSIONES FCI]])</f>
        <v>37261142886.987724</v>
      </c>
      <c r="BT243" s="5">
        <f>IF($B242&lt;=Tabla5[[#This Row],[INVERSIONES FCI]],+Tabla5[[#This Row],[INVERSIONES FCI]]-BT242,Tabla5[[#This Row],[INVERSIONES FCI]])</f>
        <v>37261142886.987724</v>
      </c>
      <c r="BU243" s="5">
        <f>IF($B242&lt;=Tabla5[[#This Row],[INVERSIONES FCI]],+Tabla5[[#This Row],[INVERSIONES FCI]]-BU242,Tabla5[[#This Row],[INVERSIONES FCI]])</f>
        <v>37261142886.987724</v>
      </c>
      <c r="BV243" s="5">
        <f>IF($B242&lt;=Tabla5[[#This Row],[INVERSIONES FCI]],+Tabla5[[#This Row],[INVERSIONES FCI]]-BV242,Tabla5[[#This Row],[INVERSIONES FCI]])</f>
        <v>37261142886.987724</v>
      </c>
      <c r="BW243" s="5">
        <f>IF($B242&lt;=Tabla5[[#This Row],[INVERSIONES FCI]],+Tabla5[[#This Row],[INVERSIONES FCI]]-BW242,Tabla5[[#This Row],[INVERSIONES FCI]])</f>
        <v>37261142886.987724</v>
      </c>
      <c r="BX243" s="5">
        <f>IF($B242&lt;=Tabla5[[#This Row],[INVERSIONES FCI]],+Tabla5[[#This Row],[INVERSIONES FCI]]-BX242,Tabla5[[#This Row],[INVERSIONES FCI]])</f>
        <v>37261142886.987724</v>
      </c>
      <c r="BY243" s="5">
        <f>IF($B242&lt;=Tabla5[[#This Row],[INVERSIONES FCI]],+Tabla5[[#This Row],[INVERSIONES FCI]]-BY242,Tabla5[[#This Row],[INVERSIONES FCI]])</f>
        <v>37261142886.987724</v>
      </c>
      <c r="BZ243" s="5">
        <f>IF($B242&lt;=Tabla5[[#This Row],[INVERSIONES FCI]],+Tabla5[[#This Row],[INVERSIONES FCI]]-BZ242,Tabla5[[#This Row],[INVERSIONES FCI]])</f>
        <v>37261142886.987724</v>
      </c>
      <c r="CA243" s="5">
        <f>IF($B242&lt;=Tabla5[[#This Row],[INVERSIONES FCI]],+Tabla5[[#This Row],[INVERSIONES FCI]]-CA242,Tabla5[[#This Row],[INVERSIONES FCI]])</f>
        <v>37261142886.987724</v>
      </c>
      <c r="CB243" s="5">
        <f>IF($B242&lt;=Tabla5[[#This Row],[INVERSIONES FCI]],+Tabla5[[#This Row],[INVERSIONES FCI]]-CB242,Tabla5[[#This Row],[INVERSIONES FCI]])</f>
        <v>37261142886.987724</v>
      </c>
      <c r="CC243" s="5">
        <f>IF($B242&lt;=Tabla5[[#This Row],[INVERSIONES FCI]],+Tabla5[[#This Row],[INVERSIONES FCI]]-CC242,Tabla5[[#This Row],[INVERSIONES FCI]])</f>
        <v>37261142886.987724</v>
      </c>
      <c r="CD243" s="5">
        <f>IF($B242&lt;=Tabla5[[#This Row],[INVERSIONES FCI]],+Tabla5[[#This Row],[INVERSIONES FCI]]-CD242,Tabla5[[#This Row],[INVERSIONES FCI]])</f>
        <v>37261142886.987724</v>
      </c>
      <c r="CE243" s="5">
        <f>IF($B242&lt;=Tabla5[[#This Row],[INVERSIONES FCI]],+Tabla5[[#This Row],[INVERSIONES FCI]]-CE242,Tabla5[[#This Row],[INVERSIONES FCI]])</f>
        <v>37261142886.987724</v>
      </c>
      <c r="CF243" s="5">
        <f>IF($B242&lt;=Tabla5[[#This Row],[INVERSIONES FCI]],+Tabla5[[#This Row],[INVERSIONES FCI]]-CF242,Tabla5[[#This Row],[INVERSIONES FCI]])</f>
        <v>37261142886.987724</v>
      </c>
      <c r="CG243" s="5">
        <f>IF($B242&lt;=Tabla5[[#This Row],[INVERSIONES FCI]],+Tabla5[[#This Row],[INVERSIONES FCI]]-CG242,Tabla5[[#This Row],[INVERSIONES FCI]])</f>
        <v>37261142886.987724</v>
      </c>
      <c r="CH243" s="5">
        <f>IF($B242&lt;=Tabla5[[#This Row],[INVERSIONES FCI]],+Tabla5[[#This Row],[INVERSIONES FCI]]-CH242,Tabla5[[#This Row],[INVERSIONES FCI]])</f>
        <v>37261142886.987724</v>
      </c>
      <c r="CI243" s="5">
        <f>IF($B242&lt;=Tabla5[[#This Row],[INVERSIONES FCI]],+Tabla5[[#This Row],[INVERSIONES FCI]]-CI242,Tabla5[[#This Row],[INVERSIONES FCI]])</f>
        <v>37261142886.987724</v>
      </c>
      <c r="CJ243" s="5">
        <f>IF($B242&lt;=Tabla5[[#This Row],[INVERSIONES FCI]],+Tabla5[[#This Row],[INVERSIONES FCI]]-CJ242,Tabla5[[#This Row],[INVERSIONES FCI]])</f>
        <v>37261142886.987724</v>
      </c>
      <c r="CK243" s="5">
        <f>IF($B242&lt;=Tabla5[[#This Row],[INVERSIONES FCI]],+Tabla5[[#This Row],[INVERSIONES FCI]]-CK242,Tabla5[[#This Row],[INVERSIONES FCI]])</f>
        <v>37261142886.987724</v>
      </c>
      <c r="CL243" s="5">
        <f>IF($B242&lt;=Tabla5[[#This Row],[INVERSIONES FCI]],+Tabla5[[#This Row],[INVERSIONES FCI]]-CL242,Tabla5[[#This Row],[INVERSIONES FCI]])</f>
        <v>37261142886.987724</v>
      </c>
      <c r="CM243" s="5">
        <f>IF($B242&lt;=Tabla5[[#This Row],[INVERSIONES FCI]],+Tabla5[[#This Row],[INVERSIONES FCI]]-CM242,Tabla5[[#This Row],[INVERSIONES FCI]])</f>
        <v>37261142886.987724</v>
      </c>
      <c r="CN243" s="5">
        <f>IF($B242&lt;=Tabla5[[#This Row],[INVERSIONES FCI]],+Tabla5[[#This Row],[INVERSIONES FCI]]-CN242,Tabla5[[#This Row],[INVERSIONES FCI]])</f>
        <v>37261142886.987724</v>
      </c>
      <c r="CO243" s="5">
        <f>IF($B242&lt;=Tabla5[[#This Row],[INVERSIONES FCI]],+Tabla5[[#This Row],[INVERSIONES FCI]]-CO242,Tabla5[[#This Row],[INVERSIONES FCI]])</f>
        <v>37261142886.987724</v>
      </c>
      <c r="CP243" s="5">
        <f>IF($B242&lt;=Tabla5[[#This Row],[INVERSIONES FCI]],+Tabla5[[#This Row],[INVERSIONES FCI]]-CP242,Tabla5[[#This Row],[INVERSIONES FCI]])</f>
        <v>37261142886.987724</v>
      </c>
      <c r="CQ243" s="5">
        <f>IF($B242&lt;=Tabla5[[#This Row],[INVERSIONES FCI]],+Tabla5[[#This Row],[INVERSIONES FCI]]-CQ242,Tabla5[[#This Row],[INVERSIONES FCI]])</f>
        <v>37261142886.987724</v>
      </c>
      <c r="CR243" s="5">
        <f>IF($B242&lt;=Tabla5[[#This Row],[INVERSIONES FCI]],+Tabla5[[#This Row],[INVERSIONES FCI]]-CR242,Tabla5[[#This Row],[INVERSIONES FCI]])</f>
        <v>37261142886.987724</v>
      </c>
      <c r="CS243" s="5">
        <f>IF($B242&lt;=Tabla5[[#This Row],[INVERSIONES FCI]],+Tabla5[[#This Row],[INVERSIONES FCI]]-CS242,Tabla5[[#This Row],[INVERSIONES FCI]])</f>
        <v>37261142886.987724</v>
      </c>
      <c r="CT243" s="5">
        <f>IF($B242&lt;=Tabla5[[#This Row],[INVERSIONES FCI]],+Tabla5[[#This Row],[INVERSIONES FCI]]-CT242,Tabla5[[#This Row],[INVERSIONES FCI]])</f>
        <v>37261142886.987724</v>
      </c>
      <c r="CU243" s="5">
        <f>IF($B242&lt;=Tabla5[[#This Row],[INVERSIONES FCI]],+Tabla5[[#This Row],[INVERSIONES FCI]]-CU242,Tabla5[[#This Row],[INVERSIONES FCI]])</f>
        <v>37261142886.987724</v>
      </c>
      <c r="CV243" s="5">
        <f>IF($B242&lt;=Tabla5[[#This Row],[INVERSIONES FCI]],+Tabla5[[#This Row],[INVERSIONES FCI]]-CV242,Tabla5[[#This Row],[INVERSIONES FCI]])</f>
        <v>37261142886.987724</v>
      </c>
      <c r="CW243" s="5">
        <f>IF($B242&lt;=Tabla5[[#This Row],[INVERSIONES FCI]],+Tabla5[[#This Row],[INVERSIONES FCI]]-CW242,Tabla5[[#This Row],[INVERSIONES FCI]])</f>
        <v>37261142886.987724</v>
      </c>
      <c r="CX243" s="5">
        <f>IF($B242&lt;=Tabla5[[#This Row],[INVERSIONES FCI]],+Tabla5[[#This Row],[INVERSIONES FCI]]-CX242,Tabla5[[#This Row],[INVERSIONES FCI]])</f>
        <v>37261142886.987724</v>
      </c>
      <c r="CY243" s="5">
        <f>IF($B242&lt;=Tabla5[[#This Row],[INVERSIONES FCI]],+Tabla5[[#This Row],[INVERSIONES FCI]]-CY242,Tabla5[[#This Row],[INVERSIONES FCI]])</f>
        <v>37261142886.987724</v>
      </c>
      <c r="CZ243" s="5">
        <f>IF($B242&lt;=Tabla5[[#This Row],[INVERSIONES FCI]],+Tabla5[[#This Row],[INVERSIONES FCI]]-CZ242,Tabla5[[#This Row],[INVERSIONES FCI]])</f>
        <v>37261142886.987724</v>
      </c>
      <c r="DA243" s="5">
        <f>IF($B242&lt;=Tabla5[[#This Row],[INVERSIONES FCI]],+Tabla5[[#This Row],[INVERSIONES FCI]]-DA242,Tabla5[[#This Row],[INVERSIONES FCI]])</f>
        <v>37261142886.987724</v>
      </c>
      <c r="DB243" s="5">
        <f>IF($B242&lt;=Tabla5[[#This Row],[INVERSIONES FCI]],+Tabla5[[#This Row],[INVERSIONES FCI]]-DB242,Tabla5[[#This Row],[INVERSIONES FCI]])</f>
        <v>37261142886.987724</v>
      </c>
      <c r="DC243" s="5">
        <f>IF($B242&lt;=Tabla5[[#This Row],[INVERSIONES FCI]],+Tabla5[[#This Row],[INVERSIONES FCI]]-DC242,Tabla5[[#This Row],[INVERSIONES FCI]])</f>
        <v>37261142886.987724</v>
      </c>
      <c r="DD243" s="5">
        <f>IF($B242&lt;=Tabla5[[#This Row],[INVERSIONES FCI]],+Tabla5[[#This Row],[INVERSIONES FCI]]-DD242,Tabla5[[#This Row],[INVERSIONES FCI]])</f>
        <v>37261142886.987724</v>
      </c>
      <c r="DE243" s="5">
        <f>IF($B242&lt;=Tabla5[[#This Row],[INVERSIONES FCI]],+Tabla5[[#This Row],[INVERSIONES FCI]]-DE242,Tabla5[[#This Row],[INVERSIONES FCI]])</f>
        <v>37261142886.987724</v>
      </c>
      <c r="DF243" s="5">
        <f>IF($B242&lt;=Tabla5[[#This Row],[INVERSIONES FCI]],+Tabla5[[#This Row],[INVERSIONES FCI]]-DF242,Tabla5[[#This Row],[INVERSIONES FCI]])</f>
        <v>37261142886.987724</v>
      </c>
      <c r="DG243" s="5">
        <f>IF($B242&lt;=Tabla5[[#This Row],[INVERSIONES FCI]],+Tabla5[[#This Row],[INVERSIONES FCI]]-DG242,Tabla5[[#This Row],[INVERSIONES FCI]])</f>
        <v>37261142886.987724</v>
      </c>
      <c r="DH243" s="5">
        <f>IF($B242&lt;=Tabla5[[#This Row],[INVERSIONES FCI]],+Tabla5[[#This Row],[INVERSIONES FCI]]-DH242,Tabla5[[#This Row],[INVERSIONES FCI]])</f>
        <v>37261142886.987724</v>
      </c>
      <c r="DI243" s="5">
        <f>IF($B242&lt;=Tabla5[[#This Row],[INVERSIONES FCI]],+Tabla5[[#This Row],[INVERSIONES FCI]]-DI242,Tabla5[[#This Row],[INVERSIONES FCI]])</f>
        <v>37261142886.987724</v>
      </c>
      <c r="DJ243" s="5">
        <f>IF($B242&lt;=Tabla5[[#This Row],[INVERSIONES FCI]],+Tabla5[[#This Row],[INVERSIONES FCI]]-DJ242,Tabla5[[#This Row],[INVERSIONES FCI]])</f>
        <v>37261142886.987724</v>
      </c>
      <c r="DK243" s="5">
        <f>IF($B242&lt;=Tabla5[[#This Row],[INVERSIONES FCI]],+Tabla5[[#This Row],[INVERSIONES FCI]]-DK242,Tabla5[[#This Row],[INVERSIONES FCI]])</f>
        <v>37261142886.987724</v>
      </c>
      <c r="DL243" s="5"/>
      <c r="DM243" s="5"/>
      <c r="DN243" s="5"/>
      <c r="DO243" s="5"/>
      <c r="DP243" s="5"/>
      <c r="DQ243" s="5"/>
    </row>
    <row r="244" spans="1:121" ht="14.4">
      <c r="A244" s="12" t="s">
        <v>243</v>
      </c>
      <c r="B244" s="5">
        <f>HLOOKUP($A244,ESCENARIO[#All],7,FALSE)</f>
        <v>38502954335.842773</v>
      </c>
      <c r="C244" s="5">
        <f>IF($B243&lt;=Tabla5[[#This Row],[INVERSIONES FCI]],+Tabla5[[#This Row],[INVERSIONES FCI]]-C243,Tabla5[[#This Row],[INVERSIONES FCI]])</f>
        <v>1241811448.8550491</v>
      </c>
      <c r="D244" s="5">
        <f>IF($B243&lt;=Tabla5[[#This Row],[INVERSIONES FCI]],+Tabla5[[#This Row],[INVERSIONES FCI]]-D243,Tabla5[[#This Row],[INVERSIONES FCI]])</f>
        <v>1241811448.8550491</v>
      </c>
      <c r="E244" s="5">
        <f>IF($B243&lt;=Tabla5[[#This Row],[INVERSIONES FCI]],+Tabla5[[#This Row],[INVERSIONES FCI]]-E243,Tabla5[[#This Row],[INVERSIONES FCI]])</f>
        <v>1241811448.8550491</v>
      </c>
      <c r="F244" s="5">
        <f>IF($B243&lt;=Tabla5[[#This Row],[INVERSIONES FCI]],+Tabla5[[#This Row],[INVERSIONES FCI]]-F243,Tabla5[[#This Row],[INVERSIONES FCI]])</f>
        <v>1241811448.8550491</v>
      </c>
      <c r="G244" s="5">
        <f>IF($B243&lt;=Tabla5[[#This Row],[INVERSIONES FCI]],+Tabla5[[#This Row],[INVERSIONES FCI]]-G243,Tabla5[[#This Row],[INVERSIONES FCI]])</f>
        <v>1241811448.8550491</v>
      </c>
      <c r="H244" s="5">
        <f>IF($B243&lt;=Tabla5[[#This Row],[INVERSIONES FCI]],+Tabla5[[#This Row],[INVERSIONES FCI]]-H243,Tabla5[[#This Row],[INVERSIONES FCI]])</f>
        <v>1241811448.8550491</v>
      </c>
      <c r="I244" s="5">
        <f>IF($B243&lt;=Tabla5[[#This Row],[INVERSIONES FCI]],+Tabla5[[#This Row],[INVERSIONES FCI]]-I243,Tabla5[[#This Row],[INVERSIONES FCI]])</f>
        <v>1241811448.8550491</v>
      </c>
      <c r="J244" s="5">
        <f>IF($B243&lt;=Tabla5[[#This Row],[INVERSIONES FCI]],+Tabla5[[#This Row],[INVERSIONES FCI]]-J243,Tabla5[[#This Row],[INVERSIONES FCI]])</f>
        <v>1241811448.8550491</v>
      </c>
      <c r="K244" s="5">
        <f>IF($B243&lt;=Tabla5[[#This Row],[INVERSIONES FCI]],+Tabla5[[#This Row],[INVERSIONES FCI]]-K243,Tabla5[[#This Row],[INVERSIONES FCI]])</f>
        <v>1241811448.8550491</v>
      </c>
      <c r="L244" s="5">
        <f>IF($B243&lt;=Tabla5[[#This Row],[INVERSIONES FCI]],+Tabla5[[#This Row],[INVERSIONES FCI]]-L243,Tabla5[[#This Row],[INVERSIONES FCI]])</f>
        <v>1241811448.8550491</v>
      </c>
      <c r="M244" s="5">
        <f>IF($B243&lt;=Tabla5[[#This Row],[INVERSIONES FCI]],+Tabla5[[#This Row],[INVERSIONES FCI]]-M243,Tabla5[[#This Row],[INVERSIONES FCI]])</f>
        <v>1241811448.8550491</v>
      </c>
      <c r="N244" s="5">
        <f>IF($B243&lt;=Tabla5[[#This Row],[INVERSIONES FCI]],+Tabla5[[#This Row],[INVERSIONES FCI]]-N243,Tabla5[[#This Row],[INVERSIONES FCI]])</f>
        <v>1241811448.8550491</v>
      </c>
      <c r="O244" s="5">
        <f>IF($B243&lt;=Tabla5[[#This Row],[INVERSIONES FCI]],+Tabla5[[#This Row],[INVERSIONES FCI]]-O243,Tabla5[[#This Row],[INVERSIONES FCI]])</f>
        <v>1241811448.8550491</v>
      </c>
      <c r="P244" s="5">
        <f>IF($B243&lt;=Tabla5[[#This Row],[INVERSIONES FCI]],+Tabla5[[#This Row],[INVERSIONES FCI]]-P243,Tabla5[[#This Row],[INVERSIONES FCI]])</f>
        <v>1241811448.8550491</v>
      </c>
      <c r="Q244" s="5">
        <f>IF($B243&lt;=Tabla5[[#This Row],[INVERSIONES FCI]],+Tabla5[[#This Row],[INVERSIONES FCI]]-Q243,Tabla5[[#This Row],[INVERSIONES FCI]])</f>
        <v>1241811448.8550491</v>
      </c>
      <c r="R244" s="5">
        <f>IF($B243&lt;=Tabla5[[#This Row],[INVERSIONES FCI]],+Tabla5[[#This Row],[INVERSIONES FCI]]-R243,Tabla5[[#This Row],[INVERSIONES FCI]])</f>
        <v>1241811448.8550491</v>
      </c>
      <c r="S244" s="5">
        <f>IF($B243&lt;=Tabla5[[#This Row],[INVERSIONES FCI]],+Tabla5[[#This Row],[INVERSIONES FCI]]-S243,Tabla5[[#This Row],[INVERSIONES FCI]])</f>
        <v>1241811448.8550491</v>
      </c>
      <c r="T244" s="5">
        <f>IF($B243&lt;=Tabla5[[#This Row],[INVERSIONES FCI]],+Tabla5[[#This Row],[INVERSIONES FCI]]-T243,Tabla5[[#This Row],[INVERSIONES FCI]])</f>
        <v>1241811448.8550491</v>
      </c>
      <c r="U244" s="5">
        <f>IF($B243&lt;=Tabla5[[#This Row],[INVERSIONES FCI]],+Tabla5[[#This Row],[INVERSIONES FCI]]-U243,Tabla5[[#This Row],[INVERSIONES FCI]])</f>
        <v>1241811448.8550491</v>
      </c>
      <c r="V244" s="5">
        <f>IF($B243&lt;=Tabla5[[#This Row],[INVERSIONES FCI]],+Tabla5[[#This Row],[INVERSIONES FCI]]-V243,Tabla5[[#This Row],[INVERSIONES FCI]])</f>
        <v>1241811448.8550491</v>
      </c>
      <c r="W244" s="5">
        <f>IF($B243&lt;=Tabla5[[#This Row],[INVERSIONES FCI]],+Tabla5[[#This Row],[INVERSIONES FCI]]-W243,Tabla5[[#This Row],[INVERSIONES FCI]])</f>
        <v>1241811448.8550491</v>
      </c>
      <c r="X244" s="5">
        <f>IF($B243&lt;=Tabla5[[#This Row],[INVERSIONES FCI]],+Tabla5[[#This Row],[INVERSIONES FCI]]-X243,Tabla5[[#This Row],[INVERSIONES FCI]])</f>
        <v>1241811448.8550491</v>
      </c>
      <c r="Y244" s="5">
        <f>IF($B243&lt;=Tabla5[[#This Row],[INVERSIONES FCI]],+Tabla5[[#This Row],[INVERSIONES FCI]]-Y243,Tabla5[[#This Row],[INVERSIONES FCI]])</f>
        <v>1241811448.8550491</v>
      </c>
      <c r="Z244" s="5">
        <f>IF($B243&lt;=Tabla5[[#This Row],[INVERSIONES FCI]],+Tabla5[[#This Row],[INVERSIONES FCI]]-Z243,Tabla5[[#This Row],[INVERSIONES FCI]])</f>
        <v>1241811448.8550491</v>
      </c>
      <c r="AA244" s="5">
        <f>IF($B243&lt;=Tabla5[[#This Row],[INVERSIONES FCI]],+Tabla5[[#This Row],[INVERSIONES FCI]]-AA243,Tabla5[[#This Row],[INVERSIONES FCI]])</f>
        <v>1241811448.8550491</v>
      </c>
      <c r="AB244" s="5">
        <f>IF($B243&lt;=Tabla5[[#This Row],[INVERSIONES FCI]],+Tabla5[[#This Row],[INVERSIONES FCI]]-AB243,Tabla5[[#This Row],[INVERSIONES FCI]])</f>
        <v>1241811448.8550491</v>
      </c>
      <c r="AC244" s="5">
        <f>IF($B243&lt;=Tabla5[[#This Row],[INVERSIONES FCI]],+Tabla5[[#This Row],[INVERSIONES FCI]]-AC243,Tabla5[[#This Row],[INVERSIONES FCI]])</f>
        <v>1241811448.8550491</v>
      </c>
      <c r="AD244" s="5">
        <f>IF($B243&lt;=Tabla5[[#This Row],[INVERSIONES FCI]],+Tabla5[[#This Row],[INVERSIONES FCI]]-AD243,Tabla5[[#This Row],[INVERSIONES FCI]])</f>
        <v>1241811448.8550491</v>
      </c>
      <c r="AE244" s="5">
        <f>IF($B243&lt;=Tabla5[[#This Row],[INVERSIONES FCI]],+Tabla5[[#This Row],[INVERSIONES FCI]]-AE243,Tabla5[[#This Row],[INVERSIONES FCI]])</f>
        <v>1241811448.8550491</v>
      </c>
      <c r="AF244" s="5">
        <f>IF($B243&lt;=Tabla5[[#This Row],[INVERSIONES FCI]],+Tabla5[[#This Row],[INVERSIONES FCI]]-AF243,Tabla5[[#This Row],[INVERSIONES FCI]])</f>
        <v>1241811448.8550491</v>
      </c>
      <c r="AG244" s="5">
        <f>IF($B243&lt;=Tabla5[[#This Row],[INVERSIONES FCI]],+Tabla5[[#This Row],[INVERSIONES FCI]]-AG243,Tabla5[[#This Row],[INVERSIONES FCI]])</f>
        <v>1241811448.8550491</v>
      </c>
      <c r="AH244" s="5">
        <f>IF($B243&lt;=Tabla5[[#This Row],[INVERSIONES FCI]],+Tabla5[[#This Row],[INVERSIONES FCI]]-AH243,Tabla5[[#This Row],[INVERSIONES FCI]])</f>
        <v>1241811448.8550491</v>
      </c>
      <c r="AI244" s="5">
        <f>IF($B243&lt;=Tabla5[[#This Row],[INVERSIONES FCI]],+Tabla5[[#This Row],[INVERSIONES FCI]]-AI243,Tabla5[[#This Row],[INVERSIONES FCI]])</f>
        <v>1241811448.8550491</v>
      </c>
      <c r="AJ244" s="5">
        <f>IF($B243&lt;=Tabla5[[#This Row],[INVERSIONES FCI]],+Tabla5[[#This Row],[INVERSIONES FCI]]-AJ243,Tabla5[[#This Row],[INVERSIONES FCI]])</f>
        <v>1241811448.8550491</v>
      </c>
      <c r="AK244" s="5">
        <f>IF($B243&lt;=Tabla5[[#This Row],[INVERSIONES FCI]],+Tabla5[[#This Row],[INVERSIONES FCI]]-AK243,Tabla5[[#This Row],[INVERSIONES FCI]])</f>
        <v>1241811448.8550491</v>
      </c>
      <c r="AL244" s="5">
        <f>IF($B243&lt;=Tabla5[[#This Row],[INVERSIONES FCI]],+Tabla5[[#This Row],[INVERSIONES FCI]]-AL243,Tabla5[[#This Row],[INVERSIONES FCI]])</f>
        <v>1241811448.8550491</v>
      </c>
      <c r="AM244" s="5">
        <f>IF($B243&lt;=Tabla5[[#This Row],[INVERSIONES FCI]],+Tabla5[[#This Row],[INVERSIONES FCI]]-AM243,Tabla5[[#This Row],[INVERSIONES FCI]])</f>
        <v>1241811448.8550491</v>
      </c>
      <c r="AN244" s="5">
        <f>IF($B243&lt;=Tabla5[[#This Row],[INVERSIONES FCI]],+Tabla5[[#This Row],[INVERSIONES FCI]]-AN243,Tabla5[[#This Row],[INVERSIONES FCI]])</f>
        <v>1241811448.8550491</v>
      </c>
      <c r="AO244" s="5">
        <f>IF($B243&lt;=Tabla5[[#This Row],[INVERSIONES FCI]],+Tabla5[[#This Row],[INVERSIONES FCI]]-AO243,Tabla5[[#This Row],[INVERSIONES FCI]])</f>
        <v>1241811448.8550491</v>
      </c>
      <c r="AP244" s="5">
        <f>IF($B243&lt;=Tabla5[[#This Row],[INVERSIONES FCI]],+Tabla5[[#This Row],[INVERSIONES FCI]]-AP243,Tabla5[[#This Row],[INVERSIONES FCI]])</f>
        <v>1241811448.8550491</v>
      </c>
      <c r="AQ244" s="5">
        <f>IF($B243&lt;=Tabla5[[#This Row],[INVERSIONES FCI]],+Tabla5[[#This Row],[INVERSIONES FCI]]-AQ243,Tabla5[[#This Row],[INVERSIONES FCI]])</f>
        <v>1241811448.8550491</v>
      </c>
      <c r="AR244" s="5">
        <f>IF($B243&lt;=Tabla5[[#This Row],[INVERSIONES FCI]],+Tabla5[[#This Row],[INVERSIONES FCI]]-AR243,Tabla5[[#This Row],[INVERSIONES FCI]])</f>
        <v>1241811448.8550491</v>
      </c>
      <c r="AS244" s="5">
        <f>IF($B243&lt;=Tabla5[[#This Row],[INVERSIONES FCI]],+Tabla5[[#This Row],[INVERSIONES FCI]]-AS243,Tabla5[[#This Row],[INVERSIONES FCI]])</f>
        <v>1241811448.8550491</v>
      </c>
      <c r="AT244" s="5">
        <f>IF($B243&lt;=Tabla5[[#This Row],[INVERSIONES FCI]],+Tabla5[[#This Row],[INVERSIONES FCI]]-AT243,Tabla5[[#This Row],[INVERSIONES FCI]])</f>
        <v>1241811448.8550491</v>
      </c>
      <c r="AU244" s="5">
        <f>IF($B243&lt;=Tabla5[[#This Row],[INVERSIONES FCI]],+Tabla5[[#This Row],[INVERSIONES FCI]]-AU243,Tabla5[[#This Row],[INVERSIONES FCI]])</f>
        <v>1241811448.8550491</v>
      </c>
      <c r="AV244" s="5">
        <f>IF($B243&lt;=Tabla5[[#This Row],[INVERSIONES FCI]],+Tabla5[[#This Row],[INVERSIONES FCI]]-AV243,Tabla5[[#This Row],[INVERSIONES FCI]])</f>
        <v>1241811448.8550491</v>
      </c>
      <c r="AW244" s="5">
        <f>IF($B243&lt;=Tabla5[[#This Row],[INVERSIONES FCI]],+Tabla5[[#This Row],[INVERSIONES FCI]]-AW243,Tabla5[[#This Row],[INVERSIONES FCI]])</f>
        <v>1241811448.8550491</v>
      </c>
      <c r="AX244" s="5">
        <f>IF($B243&lt;=Tabla5[[#This Row],[INVERSIONES FCI]],+Tabla5[[#This Row],[INVERSIONES FCI]]-AX243,Tabla5[[#This Row],[INVERSIONES FCI]])</f>
        <v>1241811448.8550491</v>
      </c>
      <c r="AY244" s="5">
        <f>IF($B243&lt;=Tabla5[[#This Row],[INVERSIONES FCI]],+Tabla5[[#This Row],[INVERSIONES FCI]]-AY243,Tabla5[[#This Row],[INVERSIONES FCI]])</f>
        <v>1241811448.8550491</v>
      </c>
      <c r="AZ244" s="5">
        <f>IF($B243&lt;=Tabla5[[#This Row],[INVERSIONES FCI]],+Tabla5[[#This Row],[INVERSIONES FCI]]-AZ243,Tabla5[[#This Row],[INVERSIONES FCI]])</f>
        <v>1241811448.8550491</v>
      </c>
      <c r="BA244" s="5">
        <f>IF($B243&lt;=Tabla5[[#This Row],[INVERSIONES FCI]],+Tabla5[[#This Row],[INVERSIONES FCI]]-BA243,Tabla5[[#This Row],[INVERSIONES FCI]])</f>
        <v>1241811448.8550491</v>
      </c>
      <c r="BB244" s="5">
        <f>IF($B243&lt;=Tabla5[[#This Row],[INVERSIONES FCI]],+Tabla5[[#This Row],[INVERSIONES FCI]]-BB243,Tabla5[[#This Row],[INVERSIONES FCI]])</f>
        <v>1241811448.8550491</v>
      </c>
      <c r="BC244" s="5">
        <f>IF($B243&lt;=Tabla5[[#This Row],[INVERSIONES FCI]],+Tabla5[[#This Row],[INVERSIONES FCI]]-BC243,Tabla5[[#This Row],[INVERSIONES FCI]])</f>
        <v>1241811448.8550491</v>
      </c>
      <c r="BD244" s="5">
        <f>IF($B243&lt;=Tabla5[[#This Row],[INVERSIONES FCI]],+Tabla5[[#This Row],[INVERSIONES FCI]]-BD243,Tabla5[[#This Row],[INVERSIONES FCI]])</f>
        <v>1241811448.8550491</v>
      </c>
      <c r="BE244" s="5">
        <f>IF($B243&lt;=Tabla5[[#This Row],[INVERSIONES FCI]],+Tabla5[[#This Row],[INVERSIONES FCI]]-BE243,Tabla5[[#This Row],[INVERSIONES FCI]])</f>
        <v>1241811448.8550491</v>
      </c>
      <c r="BF244" s="5">
        <f>IF($B243&lt;=Tabla5[[#This Row],[INVERSIONES FCI]],+Tabla5[[#This Row],[INVERSIONES FCI]]-BF243,Tabla5[[#This Row],[INVERSIONES FCI]])</f>
        <v>1241811448.8550491</v>
      </c>
      <c r="BG244" s="5">
        <f>IF($B243&lt;=Tabla5[[#This Row],[INVERSIONES FCI]],+Tabla5[[#This Row],[INVERSIONES FCI]]-BG243,Tabla5[[#This Row],[INVERSIONES FCI]])</f>
        <v>1241811448.8550491</v>
      </c>
      <c r="BH244" s="5">
        <f>IF($B243&lt;=Tabla5[[#This Row],[INVERSIONES FCI]],+Tabla5[[#This Row],[INVERSIONES FCI]]-BH243,Tabla5[[#This Row],[INVERSIONES FCI]])</f>
        <v>1241811448.8550491</v>
      </c>
      <c r="BI244" s="5">
        <f>IF($B243&lt;=Tabla5[[#This Row],[INVERSIONES FCI]],+Tabla5[[#This Row],[INVERSIONES FCI]]-BI243,Tabla5[[#This Row],[INVERSIONES FCI]])</f>
        <v>1241811448.8550491</v>
      </c>
      <c r="BJ244" s="5">
        <f>IF($B243&lt;=Tabla5[[#This Row],[INVERSIONES FCI]],+Tabla5[[#This Row],[INVERSIONES FCI]]-BJ243,Tabla5[[#This Row],[INVERSIONES FCI]])</f>
        <v>1241811448.8550491</v>
      </c>
      <c r="BK244" s="5">
        <f>IF($B243&lt;=Tabla5[[#This Row],[INVERSIONES FCI]],+Tabla5[[#This Row],[INVERSIONES FCI]]-BK243,Tabla5[[#This Row],[INVERSIONES FCI]])</f>
        <v>1241811448.8550491</v>
      </c>
      <c r="BL244" s="5">
        <f>IF($B243&lt;=Tabla5[[#This Row],[INVERSIONES FCI]],+Tabla5[[#This Row],[INVERSIONES FCI]]-BL243,Tabla5[[#This Row],[INVERSIONES FCI]])</f>
        <v>1241811448.8550491</v>
      </c>
      <c r="BM244" s="5">
        <f>IF($B243&lt;=Tabla5[[#This Row],[INVERSIONES FCI]],+Tabla5[[#This Row],[INVERSIONES FCI]]-BM243,Tabla5[[#This Row],[INVERSIONES FCI]])</f>
        <v>1241811448.8550491</v>
      </c>
      <c r="BN244" s="5">
        <f>IF($B243&lt;=Tabla5[[#This Row],[INVERSIONES FCI]],+Tabla5[[#This Row],[INVERSIONES FCI]]-BN243,Tabla5[[#This Row],[INVERSIONES FCI]])</f>
        <v>1241811448.8550491</v>
      </c>
      <c r="BO244" s="5">
        <f>IF($B243&lt;=Tabla5[[#This Row],[INVERSIONES FCI]],+Tabla5[[#This Row],[INVERSIONES FCI]]-BO243,Tabla5[[#This Row],[INVERSIONES FCI]])</f>
        <v>1241811448.8550491</v>
      </c>
      <c r="BP244" s="5">
        <f>IF($B243&lt;=Tabla5[[#This Row],[INVERSIONES FCI]],+Tabla5[[#This Row],[INVERSIONES FCI]]-BP243,Tabla5[[#This Row],[INVERSIONES FCI]])</f>
        <v>1241811448.8550491</v>
      </c>
      <c r="BQ244" s="5">
        <f>IF($B243&lt;=Tabla5[[#This Row],[INVERSIONES FCI]],+Tabla5[[#This Row],[INVERSIONES FCI]]-BQ243,Tabla5[[#This Row],[INVERSIONES FCI]])</f>
        <v>1241811448.8550491</v>
      </c>
      <c r="BR244" s="5">
        <f>IF($B243&lt;=Tabla5[[#This Row],[INVERSIONES FCI]],+Tabla5[[#This Row],[INVERSIONES FCI]]-BR243,Tabla5[[#This Row],[INVERSIONES FCI]])</f>
        <v>1241811448.8550491</v>
      </c>
      <c r="BS244" s="5">
        <f>IF($B243&lt;=Tabla5[[#This Row],[INVERSIONES FCI]],+Tabla5[[#This Row],[INVERSIONES FCI]]-BS243,Tabla5[[#This Row],[INVERSIONES FCI]])</f>
        <v>1241811448.8550491</v>
      </c>
      <c r="BT244" s="5">
        <f>IF($B243&lt;=Tabla5[[#This Row],[INVERSIONES FCI]],+Tabla5[[#This Row],[INVERSIONES FCI]]-BT243,Tabla5[[#This Row],[INVERSIONES FCI]])</f>
        <v>1241811448.8550491</v>
      </c>
      <c r="BU244" s="5">
        <f>IF($B243&lt;=Tabla5[[#This Row],[INVERSIONES FCI]],+Tabla5[[#This Row],[INVERSIONES FCI]]-BU243,Tabla5[[#This Row],[INVERSIONES FCI]])</f>
        <v>1241811448.8550491</v>
      </c>
      <c r="BV244" s="5">
        <f>IF($B243&lt;=Tabla5[[#This Row],[INVERSIONES FCI]],+Tabla5[[#This Row],[INVERSIONES FCI]]-BV243,Tabla5[[#This Row],[INVERSIONES FCI]])</f>
        <v>1241811448.8550491</v>
      </c>
      <c r="BW244" s="5">
        <f>IF($B243&lt;=Tabla5[[#This Row],[INVERSIONES FCI]],+Tabla5[[#This Row],[INVERSIONES FCI]]-BW243,Tabla5[[#This Row],[INVERSIONES FCI]])</f>
        <v>1241811448.8550491</v>
      </c>
      <c r="BX244" s="5">
        <f>IF($B243&lt;=Tabla5[[#This Row],[INVERSIONES FCI]],+Tabla5[[#This Row],[INVERSIONES FCI]]-BX243,Tabla5[[#This Row],[INVERSIONES FCI]])</f>
        <v>1241811448.8550491</v>
      </c>
      <c r="BY244" s="5">
        <f>IF($B243&lt;=Tabla5[[#This Row],[INVERSIONES FCI]],+Tabla5[[#This Row],[INVERSIONES FCI]]-BY243,Tabla5[[#This Row],[INVERSIONES FCI]])</f>
        <v>1241811448.8550491</v>
      </c>
      <c r="BZ244" s="5">
        <f>IF($B243&lt;=Tabla5[[#This Row],[INVERSIONES FCI]],+Tabla5[[#This Row],[INVERSIONES FCI]]-BZ243,Tabla5[[#This Row],[INVERSIONES FCI]])</f>
        <v>1241811448.8550491</v>
      </c>
      <c r="CA244" s="5">
        <f>IF($B243&lt;=Tabla5[[#This Row],[INVERSIONES FCI]],+Tabla5[[#This Row],[INVERSIONES FCI]]-CA243,Tabla5[[#This Row],[INVERSIONES FCI]])</f>
        <v>1241811448.8550491</v>
      </c>
      <c r="CB244" s="5">
        <f>IF($B243&lt;=Tabla5[[#This Row],[INVERSIONES FCI]],+Tabla5[[#This Row],[INVERSIONES FCI]]-CB243,Tabla5[[#This Row],[INVERSIONES FCI]])</f>
        <v>1241811448.8550491</v>
      </c>
      <c r="CC244" s="5">
        <f>IF($B243&lt;=Tabla5[[#This Row],[INVERSIONES FCI]],+Tabla5[[#This Row],[INVERSIONES FCI]]-CC243,Tabla5[[#This Row],[INVERSIONES FCI]])</f>
        <v>1241811448.8550491</v>
      </c>
      <c r="CD244" s="5">
        <f>IF($B243&lt;=Tabla5[[#This Row],[INVERSIONES FCI]],+Tabla5[[#This Row],[INVERSIONES FCI]]-CD243,Tabla5[[#This Row],[INVERSIONES FCI]])</f>
        <v>1241811448.8550491</v>
      </c>
      <c r="CE244" s="5">
        <f>IF($B243&lt;=Tabla5[[#This Row],[INVERSIONES FCI]],+Tabla5[[#This Row],[INVERSIONES FCI]]-CE243,Tabla5[[#This Row],[INVERSIONES FCI]])</f>
        <v>1241811448.8550491</v>
      </c>
      <c r="CF244" s="5">
        <f>IF($B243&lt;=Tabla5[[#This Row],[INVERSIONES FCI]],+Tabla5[[#This Row],[INVERSIONES FCI]]-CF243,Tabla5[[#This Row],[INVERSIONES FCI]])</f>
        <v>1241811448.8550491</v>
      </c>
      <c r="CG244" s="5">
        <f>IF($B243&lt;=Tabla5[[#This Row],[INVERSIONES FCI]],+Tabla5[[#This Row],[INVERSIONES FCI]]-CG243,Tabla5[[#This Row],[INVERSIONES FCI]])</f>
        <v>1241811448.8550491</v>
      </c>
      <c r="CH244" s="5">
        <f>IF($B243&lt;=Tabla5[[#This Row],[INVERSIONES FCI]],+Tabla5[[#This Row],[INVERSIONES FCI]]-CH243,Tabla5[[#This Row],[INVERSIONES FCI]])</f>
        <v>1241811448.8550491</v>
      </c>
      <c r="CI244" s="5">
        <f>IF($B243&lt;=Tabla5[[#This Row],[INVERSIONES FCI]],+Tabla5[[#This Row],[INVERSIONES FCI]]-CI243,Tabla5[[#This Row],[INVERSIONES FCI]])</f>
        <v>1241811448.8550491</v>
      </c>
      <c r="CJ244" s="5">
        <f>IF($B243&lt;=Tabla5[[#This Row],[INVERSIONES FCI]],+Tabla5[[#This Row],[INVERSIONES FCI]]-CJ243,Tabla5[[#This Row],[INVERSIONES FCI]])</f>
        <v>1241811448.8550491</v>
      </c>
      <c r="CK244" s="5">
        <f>IF($B243&lt;=Tabla5[[#This Row],[INVERSIONES FCI]],+Tabla5[[#This Row],[INVERSIONES FCI]]-CK243,Tabla5[[#This Row],[INVERSIONES FCI]])</f>
        <v>1241811448.8550491</v>
      </c>
      <c r="CL244" s="5">
        <f>IF($B243&lt;=Tabla5[[#This Row],[INVERSIONES FCI]],+Tabla5[[#This Row],[INVERSIONES FCI]]-CL243,Tabla5[[#This Row],[INVERSIONES FCI]])</f>
        <v>1241811448.8550491</v>
      </c>
      <c r="CM244" s="5">
        <f>IF($B243&lt;=Tabla5[[#This Row],[INVERSIONES FCI]],+Tabla5[[#This Row],[INVERSIONES FCI]]-CM243,Tabla5[[#This Row],[INVERSIONES FCI]])</f>
        <v>1241811448.8550491</v>
      </c>
      <c r="CN244" s="5">
        <f>IF($B243&lt;=Tabla5[[#This Row],[INVERSIONES FCI]],+Tabla5[[#This Row],[INVERSIONES FCI]]-CN243,Tabla5[[#This Row],[INVERSIONES FCI]])</f>
        <v>1241811448.8550491</v>
      </c>
      <c r="CO244" s="5">
        <f>IF($B243&lt;=Tabla5[[#This Row],[INVERSIONES FCI]],+Tabla5[[#This Row],[INVERSIONES FCI]]-CO243,Tabla5[[#This Row],[INVERSIONES FCI]])</f>
        <v>1241811448.8550491</v>
      </c>
      <c r="CP244" s="5">
        <f>IF($B243&lt;=Tabla5[[#This Row],[INVERSIONES FCI]],+Tabla5[[#This Row],[INVERSIONES FCI]]-CP243,Tabla5[[#This Row],[INVERSIONES FCI]])</f>
        <v>1241811448.8550491</v>
      </c>
      <c r="CQ244" s="5">
        <f>IF($B243&lt;=Tabla5[[#This Row],[INVERSIONES FCI]],+Tabla5[[#This Row],[INVERSIONES FCI]]-CQ243,Tabla5[[#This Row],[INVERSIONES FCI]])</f>
        <v>1241811448.8550491</v>
      </c>
      <c r="CR244" s="5">
        <f>IF($B243&lt;=Tabla5[[#This Row],[INVERSIONES FCI]],+Tabla5[[#This Row],[INVERSIONES FCI]]-CR243,Tabla5[[#This Row],[INVERSIONES FCI]])</f>
        <v>1241811448.8550491</v>
      </c>
      <c r="CS244" s="5">
        <f>IF($B243&lt;=Tabla5[[#This Row],[INVERSIONES FCI]],+Tabla5[[#This Row],[INVERSIONES FCI]]-CS243,Tabla5[[#This Row],[INVERSIONES FCI]])</f>
        <v>1241811448.8550491</v>
      </c>
      <c r="CT244" s="5">
        <f>IF($B243&lt;=Tabla5[[#This Row],[INVERSIONES FCI]],+Tabla5[[#This Row],[INVERSIONES FCI]]-CT243,Tabla5[[#This Row],[INVERSIONES FCI]])</f>
        <v>1241811448.8550491</v>
      </c>
      <c r="CU244" s="5">
        <f>IF($B243&lt;=Tabla5[[#This Row],[INVERSIONES FCI]],+Tabla5[[#This Row],[INVERSIONES FCI]]-CU243,Tabla5[[#This Row],[INVERSIONES FCI]])</f>
        <v>1241811448.8550491</v>
      </c>
      <c r="CV244" s="5">
        <f>IF($B243&lt;=Tabla5[[#This Row],[INVERSIONES FCI]],+Tabla5[[#This Row],[INVERSIONES FCI]]-CV243,Tabla5[[#This Row],[INVERSIONES FCI]])</f>
        <v>1241811448.8550491</v>
      </c>
      <c r="CW244" s="5">
        <f>IF($B243&lt;=Tabla5[[#This Row],[INVERSIONES FCI]],+Tabla5[[#This Row],[INVERSIONES FCI]]-CW243,Tabla5[[#This Row],[INVERSIONES FCI]])</f>
        <v>1241811448.8550491</v>
      </c>
      <c r="CX244" s="5">
        <f>IF($B243&lt;=Tabla5[[#This Row],[INVERSIONES FCI]],+Tabla5[[#This Row],[INVERSIONES FCI]]-CX243,Tabla5[[#This Row],[INVERSIONES FCI]])</f>
        <v>1241811448.8550491</v>
      </c>
      <c r="CY244" s="5">
        <f>IF($B243&lt;=Tabla5[[#This Row],[INVERSIONES FCI]],+Tabla5[[#This Row],[INVERSIONES FCI]]-CY243,Tabla5[[#This Row],[INVERSIONES FCI]])</f>
        <v>1241811448.8550491</v>
      </c>
      <c r="CZ244" s="5">
        <f>IF($B243&lt;=Tabla5[[#This Row],[INVERSIONES FCI]],+Tabla5[[#This Row],[INVERSIONES FCI]]-CZ243,Tabla5[[#This Row],[INVERSIONES FCI]])</f>
        <v>1241811448.8550491</v>
      </c>
      <c r="DA244" s="5">
        <f>IF($B243&lt;=Tabla5[[#This Row],[INVERSIONES FCI]],+Tabla5[[#This Row],[INVERSIONES FCI]]-DA243,Tabla5[[#This Row],[INVERSIONES FCI]])</f>
        <v>1241811448.8550491</v>
      </c>
      <c r="DB244" s="5">
        <f>IF($B243&lt;=Tabla5[[#This Row],[INVERSIONES FCI]],+Tabla5[[#This Row],[INVERSIONES FCI]]-DB243,Tabla5[[#This Row],[INVERSIONES FCI]])</f>
        <v>1241811448.8550491</v>
      </c>
      <c r="DC244" s="5">
        <f>IF($B243&lt;=Tabla5[[#This Row],[INVERSIONES FCI]],+Tabla5[[#This Row],[INVERSIONES FCI]]-DC243,Tabla5[[#This Row],[INVERSIONES FCI]])</f>
        <v>1241811448.8550491</v>
      </c>
      <c r="DD244" s="5">
        <f>IF($B243&lt;=Tabla5[[#This Row],[INVERSIONES FCI]],+Tabla5[[#This Row],[INVERSIONES FCI]]-DD243,Tabla5[[#This Row],[INVERSIONES FCI]])</f>
        <v>1241811448.8550491</v>
      </c>
      <c r="DE244" s="5">
        <f>IF($B243&lt;=Tabla5[[#This Row],[INVERSIONES FCI]],+Tabla5[[#This Row],[INVERSIONES FCI]]-DE243,Tabla5[[#This Row],[INVERSIONES FCI]])</f>
        <v>1241811448.8550491</v>
      </c>
      <c r="DF244" s="5">
        <f>IF($B243&lt;=Tabla5[[#This Row],[INVERSIONES FCI]],+Tabla5[[#This Row],[INVERSIONES FCI]]-DF243,Tabla5[[#This Row],[INVERSIONES FCI]])</f>
        <v>1241811448.8550491</v>
      </c>
      <c r="DG244" s="5">
        <f>IF($B243&lt;=Tabla5[[#This Row],[INVERSIONES FCI]],+Tabla5[[#This Row],[INVERSIONES FCI]]-DG243,Tabla5[[#This Row],[INVERSIONES FCI]])</f>
        <v>1241811448.8550491</v>
      </c>
      <c r="DH244" s="5">
        <f>IF($B243&lt;=Tabla5[[#This Row],[INVERSIONES FCI]],+Tabla5[[#This Row],[INVERSIONES FCI]]-DH243,Tabla5[[#This Row],[INVERSIONES FCI]])</f>
        <v>1241811448.8550491</v>
      </c>
      <c r="DI244" s="5">
        <f>IF($B243&lt;=Tabla5[[#This Row],[INVERSIONES FCI]],+Tabla5[[#This Row],[INVERSIONES FCI]]-DI243,Tabla5[[#This Row],[INVERSIONES FCI]])</f>
        <v>1241811448.8550491</v>
      </c>
      <c r="DJ244" s="5">
        <f>IF($B243&lt;=Tabla5[[#This Row],[INVERSIONES FCI]],+Tabla5[[#This Row],[INVERSIONES FCI]]-DJ243,Tabla5[[#This Row],[INVERSIONES FCI]])</f>
        <v>1241811448.8550491</v>
      </c>
      <c r="DK244" s="5">
        <f>IF($B243&lt;=Tabla5[[#This Row],[INVERSIONES FCI]],+Tabla5[[#This Row],[INVERSIONES FCI]]-DK243,Tabla5[[#This Row],[INVERSIONES FCI]])</f>
        <v>1241811448.8550491</v>
      </c>
      <c r="DL244" s="5"/>
      <c r="DM244" s="5"/>
      <c r="DN244" s="5"/>
      <c r="DO244" s="5"/>
      <c r="DP244" s="5"/>
      <c r="DQ244" s="5"/>
    </row>
    <row r="245" spans="1:121" ht="14.4">
      <c r="A245" s="12" t="s">
        <v>244</v>
      </c>
      <c r="B245" s="5">
        <f>HLOOKUP($A245,ESCENARIO[#All],7,FALSE)</f>
        <v>39248266201.297012</v>
      </c>
      <c r="C245" s="5">
        <f>IF($B244&lt;=Tabla5[[#This Row],[INVERSIONES FCI]],+Tabla5[[#This Row],[INVERSIONES FCI]]-C244,Tabla5[[#This Row],[INVERSIONES FCI]])</f>
        <v>38006454752.441963</v>
      </c>
      <c r="D245" s="5">
        <f>IF($B244&lt;=Tabla5[[#This Row],[INVERSIONES FCI]],+Tabla5[[#This Row],[INVERSIONES FCI]]-D244,Tabla5[[#This Row],[INVERSIONES FCI]])</f>
        <v>38006454752.441963</v>
      </c>
      <c r="E245" s="5">
        <f>IF($B244&lt;=Tabla5[[#This Row],[INVERSIONES FCI]],+Tabla5[[#This Row],[INVERSIONES FCI]]-E244,Tabla5[[#This Row],[INVERSIONES FCI]])</f>
        <v>38006454752.441963</v>
      </c>
      <c r="F245" s="5">
        <f>IF($B244&lt;=Tabla5[[#This Row],[INVERSIONES FCI]],+Tabla5[[#This Row],[INVERSIONES FCI]]-F244,Tabla5[[#This Row],[INVERSIONES FCI]])</f>
        <v>38006454752.441963</v>
      </c>
      <c r="G245" s="5">
        <f>IF($B244&lt;=Tabla5[[#This Row],[INVERSIONES FCI]],+Tabla5[[#This Row],[INVERSIONES FCI]]-G244,Tabla5[[#This Row],[INVERSIONES FCI]])</f>
        <v>38006454752.441963</v>
      </c>
      <c r="H245" s="5">
        <f>IF($B244&lt;=Tabla5[[#This Row],[INVERSIONES FCI]],+Tabla5[[#This Row],[INVERSIONES FCI]]-H244,Tabla5[[#This Row],[INVERSIONES FCI]])</f>
        <v>38006454752.441963</v>
      </c>
      <c r="I245" s="5">
        <f>IF($B244&lt;=Tabla5[[#This Row],[INVERSIONES FCI]],+Tabla5[[#This Row],[INVERSIONES FCI]]-I244,Tabla5[[#This Row],[INVERSIONES FCI]])</f>
        <v>38006454752.441963</v>
      </c>
      <c r="J245" s="5">
        <f>IF($B244&lt;=Tabla5[[#This Row],[INVERSIONES FCI]],+Tabla5[[#This Row],[INVERSIONES FCI]]-J244,Tabla5[[#This Row],[INVERSIONES FCI]])</f>
        <v>38006454752.441963</v>
      </c>
      <c r="K245" s="5">
        <f>IF($B244&lt;=Tabla5[[#This Row],[INVERSIONES FCI]],+Tabla5[[#This Row],[INVERSIONES FCI]]-K244,Tabla5[[#This Row],[INVERSIONES FCI]])</f>
        <v>38006454752.441963</v>
      </c>
      <c r="L245" s="5">
        <f>IF($B244&lt;=Tabla5[[#This Row],[INVERSIONES FCI]],+Tabla5[[#This Row],[INVERSIONES FCI]]-L244,Tabla5[[#This Row],[INVERSIONES FCI]])</f>
        <v>38006454752.441963</v>
      </c>
      <c r="M245" s="5">
        <f>IF($B244&lt;=Tabla5[[#This Row],[INVERSIONES FCI]],+Tabla5[[#This Row],[INVERSIONES FCI]]-M244,Tabla5[[#This Row],[INVERSIONES FCI]])</f>
        <v>38006454752.441963</v>
      </c>
      <c r="N245" s="5">
        <f>IF($B244&lt;=Tabla5[[#This Row],[INVERSIONES FCI]],+Tabla5[[#This Row],[INVERSIONES FCI]]-N244,Tabla5[[#This Row],[INVERSIONES FCI]])</f>
        <v>38006454752.441963</v>
      </c>
      <c r="O245" s="5">
        <f>IF($B244&lt;=Tabla5[[#This Row],[INVERSIONES FCI]],+Tabla5[[#This Row],[INVERSIONES FCI]]-O244,Tabla5[[#This Row],[INVERSIONES FCI]])</f>
        <v>38006454752.441963</v>
      </c>
      <c r="P245" s="5">
        <f>IF($B244&lt;=Tabla5[[#This Row],[INVERSIONES FCI]],+Tabla5[[#This Row],[INVERSIONES FCI]]-P244,Tabla5[[#This Row],[INVERSIONES FCI]])</f>
        <v>38006454752.441963</v>
      </c>
      <c r="Q245" s="5">
        <f>IF($B244&lt;=Tabla5[[#This Row],[INVERSIONES FCI]],+Tabla5[[#This Row],[INVERSIONES FCI]]-Q244,Tabla5[[#This Row],[INVERSIONES FCI]])</f>
        <v>38006454752.441963</v>
      </c>
      <c r="R245" s="5">
        <f>IF($B244&lt;=Tabla5[[#This Row],[INVERSIONES FCI]],+Tabla5[[#This Row],[INVERSIONES FCI]]-R244,Tabla5[[#This Row],[INVERSIONES FCI]])</f>
        <v>38006454752.441963</v>
      </c>
      <c r="S245" s="5">
        <f>IF($B244&lt;=Tabla5[[#This Row],[INVERSIONES FCI]],+Tabla5[[#This Row],[INVERSIONES FCI]]-S244,Tabla5[[#This Row],[INVERSIONES FCI]])</f>
        <v>38006454752.441963</v>
      </c>
      <c r="T245" s="5">
        <f>IF($B244&lt;=Tabla5[[#This Row],[INVERSIONES FCI]],+Tabla5[[#This Row],[INVERSIONES FCI]]-T244,Tabla5[[#This Row],[INVERSIONES FCI]])</f>
        <v>38006454752.441963</v>
      </c>
      <c r="U245" s="5">
        <f>IF($B244&lt;=Tabla5[[#This Row],[INVERSIONES FCI]],+Tabla5[[#This Row],[INVERSIONES FCI]]-U244,Tabla5[[#This Row],[INVERSIONES FCI]])</f>
        <v>38006454752.441963</v>
      </c>
      <c r="V245" s="5">
        <f>IF($B244&lt;=Tabla5[[#This Row],[INVERSIONES FCI]],+Tabla5[[#This Row],[INVERSIONES FCI]]-V244,Tabla5[[#This Row],[INVERSIONES FCI]])</f>
        <v>38006454752.441963</v>
      </c>
      <c r="W245" s="5">
        <f>IF($B244&lt;=Tabla5[[#This Row],[INVERSIONES FCI]],+Tabla5[[#This Row],[INVERSIONES FCI]]-W244,Tabla5[[#This Row],[INVERSIONES FCI]])</f>
        <v>38006454752.441963</v>
      </c>
      <c r="X245" s="5">
        <f>IF($B244&lt;=Tabla5[[#This Row],[INVERSIONES FCI]],+Tabla5[[#This Row],[INVERSIONES FCI]]-X244,Tabla5[[#This Row],[INVERSIONES FCI]])</f>
        <v>38006454752.441963</v>
      </c>
      <c r="Y245" s="5">
        <f>IF($B244&lt;=Tabla5[[#This Row],[INVERSIONES FCI]],+Tabla5[[#This Row],[INVERSIONES FCI]]-Y244,Tabla5[[#This Row],[INVERSIONES FCI]])</f>
        <v>38006454752.441963</v>
      </c>
      <c r="Z245" s="5">
        <f>IF($B244&lt;=Tabla5[[#This Row],[INVERSIONES FCI]],+Tabla5[[#This Row],[INVERSIONES FCI]]-Z244,Tabla5[[#This Row],[INVERSIONES FCI]])</f>
        <v>38006454752.441963</v>
      </c>
      <c r="AA245" s="5">
        <f>IF($B244&lt;=Tabla5[[#This Row],[INVERSIONES FCI]],+Tabla5[[#This Row],[INVERSIONES FCI]]-AA244,Tabla5[[#This Row],[INVERSIONES FCI]])</f>
        <v>38006454752.441963</v>
      </c>
      <c r="AB245" s="5">
        <f>IF($B244&lt;=Tabla5[[#This Row],[INVERSIONES FCI]],+Tabla5[[#This Row],[INVERSIONES FCI]]-AB244,Tabla5[[#This Row],[INVERSIONES FCI]])</f>
        <v>38006454752.441963</v>
      </c>
      <c r="AC245" s="5">
        <f>IF($B244&lt;=Tabla5[[#This Row],[INVERSIONES FCI]],+Tabla5[[#This Row],[INVERSIONES FCI]]-AC244,Tabla5[[#This Row],[INVERSIONES FCI]])</f>
        <v>38006454752.441963</v>
      </c>
      <c r="AD245" s="5">
        <f>IF($B244&lt;=Tabla5[[#This Row],[INVERSIONES FCI]],+Tabla5[[#This Row],[INVERSIONES FCI]]-AD244,Tabla5[[#This Row],[INVERSIONES FCI]])</f>
        <v>38006454752.441963</v>
      </c>
      <c r="AE245" s="5">
        <f>IF($B244&lt;=Tabla5[[#This Row],[INVERSIONES FCI]],+Tabla5[[#This Row],[INVERSIONES FCI]]-AE244,Tabla5[[#This Row],[INVERSIONES FCI]])</f>
        <v>38006454752.441963</v>
      </c>
      <c r="AF245" s="5">
        <f>IF($B244&lt;=Tabla5[[#This Row],[INVERSIONES FCI]],+Tabla5[[#This Row],[INVERSIONES FCI]]-AF244,Tabla5[[#This Row],[INVERSIONES FCI]])</f>
        <v>38006454752.441963</v>
      </c>
      <c r="AG245" s="5">
        <f>IF($B244&lt;=Tabla5[[#This Row],[INVERSIONES FCI]],+Tabla5[[#This Row],[INVERSIONES FCI]]-AG244,Tabla5[[#This Row],[INVERSIONES FCI]])</f>
        <v>38006454752.441963</v>
      </c>
      <c r="AH245" s="5">
        <f>IF($B244&lt;=Tabla5[[#This Row],[INVERSIONES FCI]],+Tabla5[[#This Row],[INVERSIONES FCI]]-AH244,Tabla5[[#This Row],[INVERSIONES FCI]])</f>
        <v>38006454752.441963</v>
      </c>
      <c r="AI245" s="5">
        <f>IF($B244&lt;=Tabla5[[#This Row],[INVERSIONES FCI]],+Tabla5[[#This Row],[INVERSIONES FCI]]-AI244,Tabla5[[#This Row],[INVERSIONES FCI]])</f>
        <v>38006454752.441963</v>
      </c>
      <c r="AJ245" s="5">
        <f>IF($B244&lt;=Tabla5[[#This Row],[INVERSIONES FCI]],+Tabla5[[#This Row],[INVERSIONES FCI]]-AJ244,Tabla5[[#This Row],[INVERSIONES FCI]])</f>
        <v>38006454752.441963</v>
      </c>
      <c r="AK245" s="5">
        <f>IF($B244&lt;=Tabla5[[#This Row],[INVERSIONES FCI]],+Tabla5[[#This Row],[INVERSIONES FCI]]-AK244,Tabla5[[#This Row],[INVERSIONES FCI]])</f>
        <v>38006454752.441963</v>
      </c>
      <c r="AL245" s="5">
        <f>IF($B244&lt;=Tabla5[[#This Row],[INVERSIONES FCI]],+Tabla5[[#This Row],[INVERSIONES FCI]]-AL244,Tabla5[[#This Row],[INVERSIONES FCI]])</f>
        <v>38006454752.441963</v>
      </c>
      <c r="AM245" s="5">
        <f>IF($B244&lt;=Tabla5[[#This Row],[INVERSIONES FCI]],+Tabla5[[#This Row],[INVERSIONES FCI]]-AM244,Tabla5[[#This Row],[INVERSIONES FCI]])</f>
        <v>38006454752.441963</v>
      </c>
      <c r="AN245" s="5">
        <f>IF($B244&lt;=Tabla5[[#This Row],[INVERSIONES FCI]],+Tabla5[[#This Row],[INVERSIONES FCI]]-AN244,Tabla5[[#This Row],[INVERSIONES FCI]])</f>
        <v>38006454752.441963</v>
      </c>
      <c r="AO245" s="5">
        <f>IF($B244&lt;=Tabla5[[#This Row],[INVERSIONES FCI]],+Tabla5[[#This Row],[INVERSIONES FCI]]-AO244,Tabla5[[#This Row],[INVERSIONES FCI]])</f>
        <v>38006454752.441963</v>
      </c>
      <c r="AP245" s="5">
        <f>IF($B244&lt;=Tabla5[[#This Row],[INVERSIONES FCI]],+Tabla5[[#This Row],[INVERSIONES FCI]]-AP244,Tabla5[[#This Row],[INVERSIONES FCI]])</f>
        <v>38006454752.441963</v>
      </c>
      <c r="AQ245" s="5">
        <f>IF($B244&lt;=Tabla5[[#This Row],[INVERSIONES FCI]],+Tabla5[[#This Row],[INVERSIONES FCI]]-AQ244,Tabla5[[#This Row],[INVERSIONES FCI]])</f>
        <v>38006454752.441963</v>
      </c>
      <c r="AR245" s="5">
        <f>IF($B244&lt;=Tabla5[[#This Row],[INVERSIONES FCI]],+Tabla5[[#This Row],[INVERSIONES FCI]]-AR244,Tabla5[[#This Row],[INVERSIONES FCI]])</f>
        <v>38006454752.441963</v>
      </c>
      <c r="AS245" s="5">
        <f>IF($B244&lt;=Tabla5[[#This Row],[INVERSIONES FCI]],+Tabla5[[#This Row],[INVERSIONES FCI]]-AS244,Tabla5[[#This Row],[INVERSIONES FCI]])</f>
        <v>38006454752.441963</v>
      </c>
      <c r="AT245" s="5">
        <f>IF($B244&lt;=Tabla5[[#This Row],[INVERSIONES FCI]],+Tabla5[[#This Row],[INVERSIONES FCI]]-AT244,Tabla5[[#This Row],[INVERSIONES FCI]])</f>
        <v>38006454752.441963</v>
      </c>
      <c r="AU245" s="5">
        <f>IF($B244&lt;=Tabla5[[#This Row],[INVERSIONES FCI]],+Tabla5[[#This Row],[INVERSIONES FCI]]-AU244,Tabla5[[#This Row],[INVERSIONES FCI]])</f>
        <v>38006454752.441963</v>
      </c>
      <c r="AV245" s="5">
        <f>IF($B244&lt;=Tabla5[[#This Row],[INVERSIONES FCI]],+Tabla5[[#This Row],[INVERSIONES FCI]]-AV244,Tabla5[[#This Row],[INVERSIONES FCI]])</f>
        <v>38006454752.441963</v>
      </c>
      <c r="AW245" s="5">
        <f>IF($B244&lt;=Tabla5[[#This Row],[INVERSIONES FCI]],+Tabla5[[#This Row],[INVERSIONES FCI]]-AW244,Tabla5[[#This Row],[INVERSIONES FCI]])</f>
        <v>38006454752.441963</v>
      </c>
      <c r="AX245" s="5">
        <f>IF($B244&lt;=Tabla5[[#This Row],[INVERSIONES FCI]],+Tabla5[[#This Row],[INVERSIONES FCI]]-AX244,Tabla5[[#This Row],[INVERSIONES FCI]])</f>
        <v>38006454752.441963</v>
      </c>
      <c r="AY245" s="5">
        <f>IF($B244&lt;=Tabla5[[#This Row],[INVERSIONES FCI]],+Tabla5[[#This Row],[INVERSIONES FCI]]-AY244,Tabla5[[#This Row],[INVERSIONES FCI]])</f>
        <v>38006454752.441963</v>
      </c>
      <c r="AZ245" s="5">
        <f>IF($B244&lt;=Tabla5[[#This Row],[INVERSIONES FCI]],+Tabla5[[#This Row],[INVERSIONES FCI]]-AZ244,Tabla5[[#This Row],[INVERSIONES FCI]])</f>
        <v>38006454752.441963</v>
      </c>
      <c r="BA245" s="5">
        <f>IF($B244&lt;=Tabla5[[#This Row],[INVERSIONES FCI]],+Tabla5[[#This Row],[INVERSIONES FCI]]-BA244,Tabla5[[#This Row],[INVERSIONES FCI]])</f>
        <v>38006454752.441963</v>
      </c>
      <c r="BB245" s="5">
        <f>IF($B244&lt;=Tabla5[[#This Row],[INVERSIONES FCI]],+Tabla5[[#This Row],[INVERSIONES FCI]]-BB244,Tabla5[[#This Row],[INVERSIONES FCI]])</f>
        <v>38006454752.441963</v>
      </c>
      <c r="BC245" s="5">
        <f>IF($B244&lt;=Tabla5[[#This Row],[INVERSIONES FCI]],+Tabla5[[#This Row],[INVERSIONES FCI]]-BC244,Tabla5[[#This Row],[INVERSIONES FCI]])</f>
        <v>38006454752.441963</v>
      </c>
      <c r="BD245" s="5">
        <f>IF($B244&lt;=Tabla5[[#This Row],[INVERSIONES FCI]],+Tabla5[[#This Row],[INVERSIONES FCI]]-BD244,Tabla5[[#This Row],[INVERSIONES FCI]])</f>
        <v>38006454752.441963</v>
      </c>
      <c r="BE245" s="5">
        <f>IF($B244&lt;=Tabla5[[#This Row],[INVERSIONES FCI]],+Tabla5[[#This Row],[INVERSIONES FCI]]-BE244,Tabla5[[#This Row],[INVERSIONES FCI]])</f>
        <v>38006454752.441963</v>
      </c>
      <c r="BF245" s="5">
        <f>IF($B244&lt;=Tabla5[[#This Row],[INVERSIONES FCI]],+Tabla5[[#This Row],[INVERSIONES FCI]]-BF244,Tabla5[[#This Row],[INVERSIONES FCI]])</f>
        <v>38006454752.441963</v>
      </c>
      <c r="BG245" s="5">
        <f>IF($B244&lt;=Tabla5[[#This Row],[INVERSIONES FCI]],+Tabla5[[#This Row],[INVERSIONES FCI]]-BG244,Tabla5[[#This Row],[INVERSIONES FCI]])</f>
        <v>38006454752.441963</v>
      </c>
      <c r="BH245" s="5">
        <f>IF($B244&lt;=Tabla5[[#This Row],[INVERSIONES FCI]],+Tabla5[[#This Row],[INVERSIONES FCI]]-BH244,Tabla5[[#This Row],[INVERSIONES FCI]])</f>
        <v>38006454752.441963</v>
      </c>
      <c r="BI245" s="5">
        <f>IF($B244&lt;=Tabla5[[#This Row],[INVERSIONES FCI]],+Tabla5[[#This Row],[INVERSIONES FCI]]-BI244,Tabla5[[#This Row],[INVERSIONES FCI]])</f>
        <v>38006454752.441963</v>
      </c>
      <c r="BJ245" s="5">
        <f>IF($B244&lt;=Tabla5[[#This Row],[INVERSIONES FCI]],+Tabla5[[#This Row],[INVERSIONES FCI]]-BJ244,Tabla5[[#This Row],[INVERSIONES FCI]])</f>
        <v>38006454752.441963</v>
      </c>
      <c r="BK245" s="5">
        <f>IF($B244&lt;=Tabla5[[#This Row],[INVERSIONES FCI]],+Tabla5[[#This Row],[INVERSIONES FCI]]-BK244,Tabla5[[#This Row],[INVERSIONES FCI]])</f>
        <v>38006454752.441963</v>
      </c>
      <c r="BL245" s="5">
        <f>IF($B244&lt;=Tabla5[[#This Row],[INVERSIONES FCI]],+Tabla5[[#This Row],[INVERSIONES FCI]]-BL244,Tabla5[[#This Row],[INVERSIONES FCI]])</f>
        <v>38006454752.441963</v>
      </c>
      <c r="BM245" s="5">
        <f>IF($B244&lt;=Tabla5[[#This Row],[INVERSIONES FCI]],+Tabla5[[#This Row],[INVERSIONES FCI]]-BM244,Tabla5[[#This Row],[INVERSIONES FCI]])</f>
        <v>38006454752.441963</v>
      </c>
      <c r="BN245" s="5">
        <f>IF($B244&lt;=Tabla5[[#This Row],[INVERSIONES FCI]],+Tabla5[[#This Row],[INVERSIONES FCI]]-BN244,Tabla5[[#This Row],[INVERSIONES FCI]])</f>
        <v>38006454752.441963</v>
      </c>
      <c r="BO245" s="5">
        <f>IF($B244&lt;=Tabla5[[#This Row],[INVERSIONES FCI]],+Tabla5[[#This Row],[INVERSIONES FCI]]-BO244,Tabla5[[#This Row],[INVERSIONES FCI]])</f>
        <v>38006454752.441963</v>
      </c>
      <c r="BP245" s="5">
        <f>IF($B244&lt;=Tabla5[[#This Row],[INVERSIONES FCI]],+Tabla5[[#This Row],[INVERSIONES FCI]]-BP244,Tabla5[[#This Row],[INVERSIONES FCI]])</f>
        <v>38006454752.441963</v>
      </c>
      <c r="BQ245" s="5">
        <f>IF($B244&lt;=Tabla5[[#This Row],[INVERSIONES FCI]],+Tabla5[[#This Row],[INVERSIONES FCI]]-BQ244,Tabla5[[#This Row],[INVERSIONES FCI]])</f>
        <v>38006454752.441963</v>
      </c>
      <c r="BR245" s="5">
        <f>IF($B244&lt;=Tabla5[[#This Row],[INVERSIONES FCI]],+Tabla5[[#This Row],[INVERSIONES FCI]]-BR244,Tabla5[[#This Row],[INVERSIONES FCI]])</f>
        <v>38006454752.441963</v>
      </c>
      <c r="BS245" s="5">
        <f>IF($B244&lt;=Tabla5[[#This Row],[INVERSIONES FCI]],+Tabla5[[#This Row],[INVERSIONES FCI]]-BS244,Tabla5[[#This Row],[INVERSIONES FCI]])</f>
        <v>38006454752.441963</v>
      </c>
      <c r="BT245" s="5">
        <f>IF($B244&lt;=Tabla5[[#This Row],[INVERSIONES FCI]],+Tabla5[[#This Row],[INVERSIONES FCI]]-BT244,Tabla5[[#This Row],[INVERSIONES FCI]])</f>
        <v>38006454752.441963</v>
      </c>
      <c r="BU245" s="5">
        <f>IF($B244&lt;=Tabla5[[#This Row],[INVERSIONES FCI]],+Tabla5[[#This Row],[INVERSIONES FCI]]-BU244,Tabla5[[#This Row],[INVERSIONES FCI]])</f>
        <v>38006454752.441963</v>
      </c>
      <c r="BV245" s="5">
        <f>IF($B244&lt;=Tabla5[[#This Row],[INVERSIONES FCI]],+Tabla5[[#This Row],[INVERSIONES FCI]]-BV244,Tabla5[[#This Row],[INVERSIONES FCI]])</f>
        <v>38006454752.441963</v>
      </c>
      <c r="BW245" s="5">
        <f>IF($B244&lt;=Tabla5[[#This Row],[INVERSIONES FCI]],+Tabla5[[#This Row],[INVERSIONES FCI]]-BW244,Tabla5[[#This Row],[INVERSIONES FCI]])</f>
        <v>38006454752.441963</v>
      </c>
      <c r="BX245" s="5">
        <f>IF($B244&lt;=Tabla5[[#This Row],[INVERSIONES FCI]],+Tabla5[[#This Row],[INVERSIONES FCI]]-BX244,Tabla5[[#This Row],[INVERSIONES FCI]])</f>
        <v>38006454752.441963</v>
      </c>
      <c r="BY245" s="5">
        <f>IF($B244&lt;=Tabla5[[#This Row],[INVERSIONES FCI]],+Tabla5[[#This Row],[INVERSIONES FCI]]-BY244,Tabla5[[#This Row],[INVERSIONES FCI]])</f>
        <v>38006454752.441963</v>
      </c>
      <c r="BZ245" s="5">
        <f>IF($B244&lt;=Tabla5[[#This Row],[INVERSIONES FCI]],+Tabla5[[#This Row],[INVERSIONES FCI]]-BZ244,Tabla5[[#This Row],[INVERSIONES FCI]])</f>
        <v>38006454752.441963</v>
      </c>
      <c r="CA245" s="5">
        <f>IF($B244&lt;=Tabla5[[#This Row],[INVERSIONES FCI]],+Tabla5[[#This Row],[INVERSIONES FCI]]-CA244,Tabla5[[#This Row],[INVERSIONES FCI]])</f>
        <v>38006454752.441963</v>
      </c>
      <c r="CB245" s="5">
        <f>IF($B244&lt;=Tabla5[[#This Row],[INVERSIONES FCI]],+Tabla5[[#This Row],[INVERSIONES FCI]]-CB244,Tabla5[[#This Row],[INVERSIONES FCI]])</f>
        <v>38006454752.441963</v>
      </c>
      <c r="CC245" s="5">
        <f>IF($B244&lt;=Tabla5[[#This Row],[INVERSIONES FCI]],+Tabla5[[#This Row],[INVERSIONES FCI]]-CC244,Tabla5[[#This Row],[INVERSIONES FCI]])</f>
        <v>38006454752.441963</v>
      </c>
      <c r="CD245" s="5">
        <f>IF($B244&lt;=Tabla5[[#This Row],[INVERSIONES FCI]],+Tabla5[[#This Row],[INVERSIONES FCI]]-CD244,Tabla5[[#This Row],[INVERSIONES FCI]])</f>
        <v>38006454752.441963</v>
      </c>
      <c r="CE245" s="5">
        <f>IF($B244&lt;=Tabla5[[#This Row],[INVERSIONES FCI]],+Tabla5[[#This Row],[INVERSIONES FCI]]-CE244,Tabla5[[#This Row],[INVERSIONES FCI]])</f>
        <v>38006454752.441963</v>
      </c>
      <c r="CF245" s="5">
        <f>IF($B244&lt;=Tabla5[[#This Row],[INVERSIONES FCI]],+Tabla5[[#This Row],[INVERSIONES FCI]]-CF244,Tabla5[[#This Row],[INVERSIONES FCI]])</f>
        <v>38006454752.441963</v>
      </c>
      <c r="CG245" s="5">
        <f>IF($B244&lt;=Tabla5[[#This Row],[INVERSIONES FCI]],+Tabla5[[#This Row],[INVERSIONES FCI]]-CG244,Tabla5[[#This Row],[INVERSIONES FCI]])</f>
        <v>38006454752.441963</v>
      </c>
      <c r="CH245" s="5">
        <f>IF($B244&lt;=Tabla5[[#This Row],[INVERSIONES FCI]],+Tabla5[[#This Row],[INVERSIONES FCI]]-CH244,Tabla5[[#This Row],[INVERSIONES FCI]])</f>
        <v>38006454752.441963</v>
      </c>
      <c r="CI245" s="5">
        <f>IF($B244&lt;=Tabla5[[#This Row],[INVERSIONES FCI]],+Tabla5[[#This Row],[INVERSIONES FCI]]-CI244,Tabla5[[#This Row],[INVERSIONES FCI]])</f>
        <v>38006454752.441963</v>
      </c>
      <c r="CJ245" s="5">
        <f>IF($B244&lt;=Tabla5[[#This Row],[INVERSIONES FCI]],+Tabla5[[#This Row],[INVERSIONES FCI]]-CJ244,Tabla5[[#This Row],[INVERSIONES FCI]])</f>
        <v>38006454752.441963</v>
      </c>
      <c r="CK245" s="5">
        <f>IF($B244&lt;=Tabla5[[#This Row],[INVERSIONES FCI]],+Tabla5[[#This Row],[INVERSIONES FCI]]-CK244,Tabla5[[#This Row],[INVERSIONES FCI]])</f>
        <v>38006454752.441963</v>
      </c>
      <c r="CL245" s="5">
        <f>IF($B244&lt;=Tabla5[[#This Row],[INVERSIONES FCI]],+Tabla5[[#This Row],[INVERSIONES FCI]]-CL244,Tabla5[[#This Row],[INVERSIONES FCI]])</f>
        <v>38006454752.441963</v>
      </c>
      <c r="CM245" s="5">
        <f>IF($B244&lt;=Tabla5[[#This Row],[INVERSIONES FCI]],+Tabla5[[#This Row],[INVERSIONES FCI]]-CM244,Tabla5[[#This Row],[INVERSIONES FCI]])</f>
        <v>38006454752.441963</v>
      </c>
      <c r="CN245" s="5">
        <f>IF($B244&lt;=Tabla5[[#This Row],[INVERSIONES FCI]],+Tabla5[[#This Row],[INVERSIONES FCI]]-CN244,Tabla5[[#This Row],[INVERSIONES FCI]])</f>
        <v>38006454752.441963</v>
      </c>
      <c r="CO245" s="5">
        <f>IF($B244&lt;=Tabla5[[#This Row],[INVERSIONES FCI]],+Tabla5[[#This Row],[INVERSIONES FCI]]-CO244,Tabla5[[#This Row],[INVERSIONES FCI]])</f>
        <v>38006454752.441963</v>
      </c>
      <c r="CP245" s="5">
        <f>IF($B244&lt;=Tabla5[[#This Row],[INVERSIONES FCI]],+Tabla5[[#This Row],[INVERSIONES FCI]]-CP244,Tabla5[[#This Row],[INVERSIONES FCI]])</f>
        <v>38006454752.441963</v>
      </c>
      <c r="CQ245" s="5">
        <f>IF($B244&lt;=Tabla5[[#This Row],[INVERSIONES FCI]],+Tabla5[[#This Row],[INVERSIONES FCI]]-CQ244,Tabla5[[#This Row],[INVERSIONES FCI]])</f>
        <v>38006454752.441963</v>
      </c>
      <c r="CR245" s="5">
        <f>IF($B244&lt;=Tabla5[[#This Row],[INVERSIONES FCI]],+Tabla5[[#This Row],[INVERSIONES FCI]]-CR244,Tabla5[[#This Row],[INVERSIONES FCI]])</f>
        <v>38006454752.441963</v>
      </c>
      <c r="CS245" s="5">
        <f>IF($B244&lt;=Tabla5[[#This Row],[INVERSIONES FCI]],+Tabla5[[#This Row],[INVERSIONES FCI]]-CS244,Tabla5[[#This Row],[INVERSIONES FCI]])</f>
        <v>38006454752.441963</v>
      </c>
      <c r="CT245" s="5">
        <f>IF($B244&lt;=Tabla5[[#This Row],[INVERSIONES FCI]],+Tabla5[[#This Row],[INVERSIONES FCI]]-CT244,Tabla5[[#This Row],[INVERSIONES FCI]])</f>
        <v>38006454752.441963</v>
      </c>
      <c r="CU245" s="5">
        <f>IF($B244&lt;=Tabla5[[#This Row],[INVERSIONES FCI]],+Tabla5[[#This Row],[INVERSIONES FCI]]-CU244,Tabla5[[#This Row],[INVERSIONES FCI]])</f>
        <v>38006454752.441963</v>
      </c>
      <c r="CV245" s="5">
        <f>IF($B244&lt;=Tabla5[[#This Row],[INVERSIONES FCI]],+Tabla5[[#This Row],[INVERSIONES FCI]]-CV244,Tabla5[[#This Row],[INVERSIONES FCI]])</f>
        <v>38006454752.441963</v>
      </c>
      <c r="CW245" s="5">
        <f>IF($B244&lt;=Tabla5[[#This Row],[INVERSIONES FCI]],+Tabla5[[#This Row],[INVERSIONES FCI]]-CW244,Tabla5[[#This Row],[INVERSIONES FCI]])</f>
        <v>38006454752.441963</v>
      </c>
      <c r="CX245" s="5">
        <f>IF($B244&lt;=Tabla5[[#This Row],[INVERSIONES FCI]],+Tabla5[[#This Row],[INVERSIONES FCI]]-CX244,Tabla5[[#This Row],[INVERSIONES FCI]])</f>
        <v>38006454752.441963</v>
      </c>
      <c r="CY245" s="5">
        <f>IF($B244&lt;=Tabla5[[#This Row],[INVERSIONES FCI]],+Tabla5[[#This Row],[INVERSIONES FCI]]-CY244,Tabla5[[#This Row],[INVERSIONES FCI]])</f>
        <v>38006454752.441963</v>
      </c>
      <c r="CZ245" s="5">
        <f>IF($B244&lt;=Tabla5[[#This Row],[INVERSIONES FCI]],+Tabla5[[#This Row],[INVERSIONES FCI]]-CZ244,Tabla5[[#This Row],[INVERSIONES FCI]])</f>
        <v>38006454752.441963</v>
      </c>
      <c r="DA245" s="5">
        <f>IF($B244&lt;=Tabla5[[#This Row],[INVERSIONES FCI]],+Tabla5[[#This Row],[INVERSIONES FCI]]-DA244,Tabla5[[#This Row],[INVERSIONES FCI]])</f>
        <v>38006454752.441963</v>
      </c>
      <c r="DB245" s="5">
        <f>IF($B244&lt;=Tabla5[[#This Row],[INVERSIONES FCI]],+Tabla5[[#This Row],[INVERSIONES FCI]]-DB244,Tabla5[[#This Row],[INVERSIONES FCI]])</f>
        <v>38006454752.441963</v>
      </c>
      <c r="DC245" s="5">
        <f>IF($B244&lt;=Tabla5[[#This Row],[INVERSIONES FCI]],+Tabla5[[#This Row],[INVERSIONES FCI]]-DC244,Tabla5[[#This Row],[INVERSIONES FCI]])</f>
        <v>38006454752.441963</v>
      </c>
      <c r="DD245" s="5">
        <f>IF($B244&lt;=Tabla5[[#This Row],[INVERSIONES FCI]],+Tabla5[[#This Row],[INVERSIONES FCI]]-DD244,Tabla5[[#This Row],[INVERSIONES FCI]])</f>
        <v>38006454752.441963</v>
      </c>
      <c r="DE245" s="5">
        <f>IF($B244&lt;=Tabla5[[#This Row],[INVERSIONES FCI]],+Tabla5[[#This Row],[INVERSIONES FCI]]-DE244,Tabla5[[#This Row],[INVERSIONES FCI]])</f>
        <v>38006454752.441963</v>
      </c>
      <c r="DF245" s="5">
        <f>IF($B244&lt;=Tabla5[[#This Row],[INVERSIONES FCI]],+Tabla5[[#This Row],[INVERSIONES FCI]]-DF244,Tabla5[[#This Row],[INVERSIONES FCI]])</f>
        <v>38006454752.441963</v>
      </c>
      <c r="DG245" s="5">
        <f>IF($B244&lt;=Tabla5[[#This Row],[INVERSIONES FCI]],+Tabla5[[#This Row],[INVERSIONES FCI]]-DG244,Tabla5[[#This Row],[INVERSIONES FCI]])</f>
        <v>38006454752.441963</v>
      </c>
      <c r="DH245" s="5">
        <f>IF($B244&lt;=Tabla5[[#This Row],[INVERSIONES FCI]],+Tabla5[[#This Row],[INVERSIONES FCI]]-DH244,Tabla5[[#This Row],[INVERSIONES FCI]])</f>
        <v>38006454752.441963</v>
      </c>
      <c r="DI245" s="5">
        <f>IF($B244&lt;=Tabla5[[#This Row],[INVERSIONES FCI]],+Tabla5[[#This Row],[INVERSIONES FCI]]-DI244,Tabla5[[#This Row],[INVERSIONES FCI]])</f>
        <v>38006454752.441963</v>
      </c>
      <c r="DJ245" s="5">
        <f>IF($B244&lt;=Tabla5[[#This Row],[INVERSIONES FCI]],+Tabla5[[#This Row],[INVERSIONES FCI]]-DJ244,Tabla5[[#This Row],[INVERSIONES FCI]])</f>
        <v>38006454752.441963</v>
      </c>
      <c r="DK245" s="5">
        <f>IF($B244&lt;=Tabla5[[#This Row],[INVERSIONES FCI]],+Tabla5[[#This Row],[INVERSIONES FCI]]-DK244,Tabla5[[#This Row],[INVERSIONES FCI]])</f>
        <v>38006454752.441963</v>
      </c>
      <c r="DL245" s="5"/>
      <c r="DM245" s="5"/>
      <c r="DN245" s="5"/>
      <c r="DO245" s="5"/>
      <c r="DP245" s="5"/>
      <c r="DQ245" s="5"/>
    </row>
    <row r="246" spans="1:121" ht="14.4">
      <c r="A246" s="12" t="s">
        <v>245</v>
      </c>
      <c r="B246" s="5">
        <f>HLOOKUP($A246,ESCENARIO[#All],7,FALSE)</f>
        <v>40265037442.15435</v>
      </c>
      <c r="C246" s="5">
        <f>IF($B245&lt;=Tabla5[[#This Row],[INVERSIONES FCI]],+Tabla5[[#This Row],[INVERSIONES FCI]]-C245,Tabla5[[#This Row],[INVERSIONES FCI]])</f>
        <v>2258582689.7123871</v>
      </c>
      <c r="D246" s="5">
        <f>IF($B245&lt;=Tabla5[[#This Row],[INVERSIONES FCI]],+Tabla5[[#This Row],[INVERSIONES FCI]]-D245,Tabla5[[#This Row],[INVERSIONES FCI]])</f>
        <v>2258582689.7123871</v>
      </c>
      <c r="E246" s="5">
        <f>IF($B245&lt;=Tabla5[[#This Row],[INVERSIONES FCI]],+Tabla5[[#This Row],[INVERSIONES FCI]]-E245,Tabla5[[#This Row],[INVERSIONES FCI]])</f>
        <v>2258582689.7123871</v>
      </c>
      <c r="F246" s="5">
        <f>IF($B245&lt;=Tabla5[[#This Row],[INVERSIONES FCI]],+Tabla5[[#This Row],[INVERSIONES FCI]]-F245,Tabla5[[#This Row],[INVERSIONES FCI]])</f>
        <v>2258582689.7123871</v>
      </c>
      <c r="G246" s="5">
        <f>IF($B245&lt;=Tabla5[[#This Row],[INVERSIONES FCI]],+Tabla5[[#This Row],[INVERSIONES FCI]]-G245,Tabla5[[#This Row],[INVERSIONES FCI]])</f>
        <v>2258582689.7123871</v>
      </c>
      <c r="H246" s="5">
        <f>IF($B245&lt;=Tabla5[[#This Row],[INVERSIONES FCI]],+Tabla5[[#This Row],[INVERSIONES FCI]]-H245,Tabla5[[#This Row],[INVERSIONES FCI]])</f>
        <v>2258582689.7123871</v>
      </c>
      <c r="I246" s="5">
        <f>IF($B245&lt;=Tabla5[[#This Row],[INVERSIONES FCI]],+Tabla5[[#This Row],[INVERSIONES FCI]]-I245,Tabla5[[#This Row],[INVERSIONES FCI]])</f>
        <v>2258582689.7123871</v>
      </c>
      <c r="J246" s="5">
        <f>IF($B245&lt;=Tabla5[[#This Row],[INVERSIONES FCI]],+Tabla5[[#This Row],[INVERSIONES FCI]]-J245,Tabla5[[#This Row],[INVERSIONES FCI]])</f>
        <v>2258582689.7123871</v>
      </c>
      <c r="K246" s="5">
        <f>IF($B245&lt;=Tabla5[[#This Row],[INVERSIONES FCI]],+Tabla5[[#This Row],[INVERSIONES FCI]]-K245,Tabla5[[#This Row],[INVERSIONES FCI]])</f>
        <v>2258582689.7123871</v>
      </c>
      <c r="L246" s="5">
        <f>IF($B245&lt;=Tabla5[[#This Row],[INVERSIONES FCI]],+Tabla5[[#This Row],[INVERSIONES FCI]]-L245,Tabla5[[#This Row],[INVERSIONES FCI]])</f>
        <v>2258582689.7123871</v>
      </c>
      <c r="M246" s="5">
        <f>IF($B245&lt;=Tabla5[[#This Row],[INVERSIONES FCI]],+Tabla5[[#This Row],[INVERSIONES FCI]]-M245,Tabla5[[#This Row],[INVERSIONES FCI]])</f>
        <v>2258582689.7123871</v>
      </c>
      <c r="N246" s="5">
        <f>IF($B245&lt;=Tabla5[[#This Row],[INVERSIONES FCI]],+Tabla5[[#This Row],[INVERSIONES FCI]]-N245,Tabla5[[#This Row],[INVERSIONES FCI]])</f>
        <v>2258582689.7123871</v>
      </c>
      <c r="O246" s="5">
        <f>IF($B245&lt;=Tabla5[[#This Row],[INVERSIONES FCI]],+Tabla5[[#This Row],[INVERSIONES FCI]]-O245,Tabla5[[#This Row],[INVERSIONES FCI]])</f>
        <v>2258582689.7123871</v>
      </c>
      <c r="P246" s="5">
        <f>IF($B245&lt;=Tabla5[[#This Row],[INVERSIONES FCI]],+Tabla5[[#This Row],[INVERSIONES FCI]]-P245,Tabla5[[#This Row],[INVERSIONES FCI]])</f>
        <v>2258582689.7123871</v>
      </c>
      <c r="Q246" s="5">
        <f>IF($B245&lt;=Tabla5[[#This Row],[INVERSIONES FCI]],+Tabla5[[#This Row],[INVERSIONES FCI]]-Q245,Tabla5[[#This Row],[INVERSIONES FCI]])</f>
        <v>2258582689.7123871</v>
      </c>
      <c r="R246" s="5">
        <f>IF($B245&lt;=Tabla5[[#This Row],[INVERSIONES FCI]],+Tabla5[[#This Row],[INVERSIONES FCI]]-R245,Tabla5[[#This Row],[INVERSIONES FCI]])</f>
        <v>2258582689.7123871</v>
      </c>
      <c r="S246" s="5">
        <f>IF($B245&lt;=Tabla5[[#This Row],[INVERSIONES FCI]],+Tabla5[[#This Row],[INVERSIONES FCI]]-S245,Tabla5[[#This Row],[INVERSIONES FCI]])</f>
        <v>2258582689.7123871</v>
      </c>
      <c r="T246" s="5">
        <f>IF($B245&lt;=Tabla5[[#This Row],[INVERSIONES FCI]],+Tabla5[[#This Row],[INVERSIONES FCI]]-T245,Tabla5[[#This Row],[INVERSIONES FCI]])</f>
        <v>2258582689.7123871</v>
      </c>
      <c r="U246" s="5">
        <f>IF($B245&lt;=Tabla5[[#This Row],[INVERSIONES FCI]],+Tabla5[[#This Row],[INVERSIONES FCI]]-U245,Tabla5[[#This Row],[INVERSIONES FCI]])</f>
        <v>2258582689.7123871</v>
      </c>
      <c r="V246" s="5">
        <f>IF($B245&lt;=Tabla5[[#This Row],[INVERSIONES FCI]],+Tabla5[[#This Row],[INVERSIONES FCI]]-V245,Tabla5[[#This Row],[INVERSIONES FCI]])</f>
        <v>2258582689.7123871</v>
      </c>
      <c r="W246" s="5">
        <f>IF($B245&lt;=Tabla5[[#This Row],[INVERSIONES FCI]],+Tabla5[[#This Row],[INVERSIONES FCI]]-W245,Tabla5[[#This Row],[INVERSIONES FCI]])</f>
        <v>2258582689.7123871</v>
      </c>
      <c r="X246" s="5">
        <f>IF($B245&lt;=Tabla5[[#This Row],[INVERSIONES FCI]],+Tabla5[[#This Row],[INVERSIONES FCI]]-X245,Tabla5[[#This Row],[INVERSIONES FCI]])</f>
        <v>2258582689.7123871</v>
      </c>
      <c r="Y246" s="5">
        <f>IF($B245&lt;=Tabla5[[#This Row],[INVERSIONES FCI]],+Tabla5[[#This Row],[INVERSIONES FCI]]-Y245,Tabla5[[#This Row],[INVERSIONES FCI]])</f>
        <v>2258582689.7123871</v>
      </c>
      <c r="Z246" s="5">
        <f>IF($B245&lt;=Tabla5[[#This Row],[INVERSIONES FCI]],+Tabla5[[#This Row],[INVERSIONES FCI]]-Z245,Tabla5[[#This Row],[INVERSIONES FCI]])</f>
        <v>2258582689.7123871</v>
      </c>
      <c r="AA246" s="5">
        <f>IF($B245&lt;=Tabla5[[#This Row],[INVERSIONES FCI]],+Tabla5[[#This Row],[INVERSIONES FCI]]-AA245,Tabla5[[#This Row],[INVERSIONES FCI]])</f>
        <v>2258582689.7123871</v>
      </c>
      <c r="AB246" s="5">
        <f>IF($B245&lt;=Tabla5[[#This Row],[INVERSIONES FCI]],+Tabla5[[#This Row],[INVERSIONES FCI]]-AB245,Tabla5[[#This Row],[INVERSIONES FCI]])</f>
        <v>2258582689.7123871</v>
      </c>
      <c r="AC246" s="5">
        <f>IF($B245&lt;=Tabla5[[#This Row],[INVERSIONES FCI]],+Tabla5[[#This Row],[INVERSIONES FCI]]-AC245,Tabla5[[#This Row],[INVERSIONES FCI]])</f>
        <v>2258582689.7123871</v>
      </c>
      <c r="AD246" s="5">
        <f>IF($B245&lt;=Tabla5[[#This Row],[INVERSIONES FCI]],+Tabla5[[#This Row],[INVERSIONES FCI]]-AD245,Tabla5[[#This Row],[INVERSIONES FCI]])</f>
        <v>2258582689.7123871</v>
      </c>
      <c r="AE246" s="5">
        <f>IF($B245&lt;=Tabla5[[#This Row],[INVERSIONES FCI]],+Tabla5[[#This Row],[INVERSIONES FCI]]-AE245,Tabla5[[#This Row],[INVERSIONES FCI]])</f>
        <v>2258582689.7123871</v>
      </c>
      <c r="AF246" s="5">
        <f>IF($B245&lt;=Tabla5[[#This Row],[INVERSIONES FCI]],+Tabla5[[#This Row],[INVERSIONES FCI]]-AF245,Tabla5[[#This Row],[INVERSIONES FCI]])</f>
        <v>2258582689.7123871</v>
      </c>
      <c r="AG246" s="5">
        <f>IF($B245&lt;=Tabla5[[#This Row],[INVERSIONES FCI]],+Tabla5[[#This Row],[INVERSIONES FCI]]-AG245,Tabla5[[#This Row],[INVERSIONES FCI]])</f>
        <v>2258582689.7123871</v>
      </c>
      <c r="AH246" s="5">
        <f>IF($B245&lt;=Tabla5[[#This Row],[INVERSIONES FCI]],+Tabla5[[#This Row],[INVERSIONES FCI]]-AH245,Tabla5[[#This Row],[INVERSIONES FCI]])</f>
        <v>2258582689.7123871</v>
      </c>
      <c r="AI246" s="5">
        <f>IF($B245&lt;=Tabla5[[#This Row],[INVERSIONES FCI]],+Tabla5[[#This Row],[INVERSIONES FCI]]-AI245,Tabla5[[#This Row],[INVERSIONES FCI]])</f>
        <v>2258582689.7123871</v>
      </c>
      <c r="AJ246" s="5">
        <f>IF($B245&lt;=Tabla5[[#This Row],[INVERSIONES FCI]],+Tabla5[[#This Row],[INVERSIONES FCI]]-AJ245,Tabla5[[#This Row],[INVERSIONES FCI]])</f>
        <v>2258582689.7123871</v>
      </c>
      <c r="AK246" s="5">
        <f>IF($B245&lt;=Tabla5[[#This Row],[INVERSIONES FCI]],+Tabla5[[#This Row],[INVERSIONES FCI]]-AK245,Tabla5[[#This Row],[INVERSIONES FCI]])</f>
        <v>2258582689.7123871</v>
      </c>
      <c r="AL246" s="5">
        <f>IF($B245&lt;=Tabla5[[#This Row],[INVERSIONES FCI]],+Tabla5[[#This Row],[INVERSIONES FCI]]-AL245,Tabla5[[#This Row],[INVERSIONES FCI]])</f>
        <v>2258582689.7123871</v>
      </c>
      <c r="AM246" s="5">
        <f>IF($B245&lt;=Tabla5[[#This Row],[INVERSIONES FCI]],+Tabla5[[#This Row],[INVERSIONES FCI]]-AM245,Tabla5[[#This Row],[INVERSIONES FCI]])</f>
        <v>2258582689.7123871</v>
      </c>
      <c r="AN246" s="5">
        <f>IF($B245&lt;=Tabla5[[#This Row],[INVERSIONES FCI]],+Tabla5[[#This Row],[INVERSIONES FCI]]-AN245,Tabla5[[#This Row],[INVERSIONES FCI]])</f>
        <v>2258582689.7123871</v>
      </c>
      <c r="AO246" s="5">
        <f>IF($B245&lt;=Tabla5[[#This Row],[INVERSIONES FCI]],+Tabla5[[#This Row],[INVERSIONES FCI]]-AO245,Tabla5[[#This Row],[INVERSIONES FCI]])</f>
        <v>2258582689.7123871</v>
      </c>
      <c r="AP246" s="5">
        <f>IF($B245&lt;=Tabla5[[#This Row],[INVERSIONES FCI]],+Tabla5[[#This Row],[INVERSIONES FCI]]-AP245,Tabla5[[#This Row],[INVERSIONES FCI]])</f>
        <v>2258582689.7123871</v>
      </c>
      <c r="AQ246" s="5">
        <f>IF($B245&lt;=Tabla5[[#This Row],[INVERSIONES FCI]],+Tabla5[[#This Row],[INVERSIONES FCI]]-AQ245,Tabla5[[#This Row],[INVERSIONES FCI]])</f>
        <v>2258582689.7123871</v>
      </c>
      <c r="AR246" s="5">
        <f>IF($B245&lt;=Tabla5[[#This Row],[INVERSIONES FCI]],+Tabla5[[#This Row],[INVERSIONES FCI]]-AR245,Tabla5[[#This Row],[INVERSIONES FCI]])</f>
        <v>2258582689.7123871</v>
      </c>
      <c r="AS246" s="5">
        <f>IF($B245&lt;=Tabla5[[#This Row],[INVERSIONES FCI]],+Tabla5[[#This Row],[INVERSIONES FCI]]-AS245,Tabla5[[#This Row],[INVERSIONES FCI]])</f>
        <v>2258582689.7123871</v>
      </c>
      <c r="AT246" s="5">
        <f>IF($B245&lt;=Tabla5[[#This Row],[INVERSIONES FCI]],+Tabla5[[#This Row],[INVERSIONES FCI]]-AT245,Tabla5[[#This Row],[INVERSIONES FCI]])</f>
        <v>2258582689.7123871</v>
      </c>
      <c r="AU246" s="5">
        <f>IF($B245&lt;=Tabla5[[#This Row],[INVERSIONES FCI]],+Tabla5[[#This Row],[INVERSIONES FCI]]-AU245,Tabla5[[#This Row],[INVERSIONES FCI]])</f>
        <v>2258582689.7123871</v>
      </c>
      <c r="AV246" s="5">
        <f>IF($B245&lt;=Tabla5[[#This Row],[INVERSIONES FCI]],+Tabla5[[#This Row],[INVERSIONES FCI]]-AV245,Tabla5[[#This Row],[INVERSIONES FCI]])</f>
        <v>2258582689.7123871</v>
      </c>
      <c r="AW246" s="5">
        <f>IF($B245&lt;=Tabla5[[#This Row],[INVERSIONES FCI]],+Tabla5[[#This Row],[INVERSIONES FCI]]-AW245,Tabla5[[#This Row],[INVERSIONES FCI]])</f>
        <v>2258582689.7123871</v>
      </c>
      <c r="AX246" s="5">
        <f>IF($B245&lt;=Tabla5[[#This Row],[INVERSIONES FCI]],+Tabla5[[#This Row],[INVERSIONES FCI]]-AX245,Tabla5[[#This Row],[INVERSIONES FCI]])</f>
        <v>2258582689.7123871</v>
      </c>
      <c r="AY246" s="5">
        <f>IF($B245&lt;=Tabla5[[#This Row],[INVERSIONES FCI]],+Tabla5[[#This Row],[INVERSIONES FCI]]-AY245,Tabla5[[#This Row],[INVERSIONES FCI]])</f>
        <v>2258582689.7123871</v>
      </c>
      <c r="AZ246" s="5">
        <f>IF($B245&lt;=Tabla5[[#This Row],[INVERSIONES FCI]],+Tabla5[[#This Row],[INVERSIONES FCI]]-AZ245,Tabla5[[#This Row],[INVERSIONES FCI]])</f>
        <v>2258582689.7123871</v>
      </c>
      <c r="BA246" s="5">
        <f>IF($B245&lt;=Tabla5[[#This Row],[INVERSIONES FCI]],+Tabla5[[#This Row],[INVERSIONES FCI]]-BA245,Tabla5[[#This Row],[INVERSIONES FCI]])</f>
        <v>2258582689.7123871</v>
      </c>
      <c r="BB246" s="5">
        <f>IF($B245&lt;=Tabla5[[#This Row],[INVERSIONES FCI]],+Tabla5[[#This Row],[INVERSIONES FCI]]-BB245,Tabla5[[#This Row],[INVERSIONES FCI]])</f>
        <v>2258582689.7123871</v>
      </c>
      <c r="BC246" s="5">
        <f>IF($B245&lt;=Tabla5[[#This Row],[INVERSIONES FCI]],+Tabla5[[#This Row],[INVERSIONES FCI]]-BC245,Tabla5[[#This Row],[INVERSIONES FCI]])</f>
        <v>2258582689.7123871</v>
      </c>
      <c r="BD246" s="5">
        <f>IF($B245&lt;=Tabla5[[#This Row],[INVERSIONES FCI]],+Tabla5[[#This Row],[INVERSIONES FCI]]-BD245,Tabla5[[#This Row],[INVERSIONES FCI]])</f>
        <v>2258582689.7123871</v>
      </c>
      <c r="BE246" s="5">
        <f>IF($B245&lt;=Tabla5[[#This Row],[INVERSIONES FCI]],+Tabla5[[#This Row],[INVERSIONES FCI]]-BE245,Tabla5[[#This Row],[INVERSIONES FCI]])</f>
        <v>2258582689.7123871</v>
      </c>
      <c r="BF246" s="5">
        <f>IF($B245&lt;=Tabla5[[#This Row],[INVERSIONES FCI]],+Tabla5[[#This Row],[INVERSIONES FCI]]-BF245,Tabla5[[#This Row],[INVERSIONES FCI]])</f>
        <v>2258582689.7123871</v>
      </c>
      <c r="BG246" s="5">
        <f>IF($B245&lt;=Tabla5[[#This Row],[INVERSIONES FCI]],+Tabla5[[#This Row],[INVERSIONES FCI]]-BG245,Tabla5[[#This Row],[INVERSIONES FCI]])</f>
        <v>2258582689.7123871</v>
      </c>
      <c r="BH246" s="5">
        <f>IF($B245&lt;=Tabla5[[#This Row],[INVERSIONES FCI]],+Tabla5[[#This Row],[INVERSIONES FCI]]-BH245,Tabla5[[#This Row],[INVERSIONES FCI]])</f>
        <v>2258582689.7123871</v>
      </c>
      <c r="BI246" s="5">
        <f>IF($B245&lt;=Tabla5[[#This Row],[INVERSIONES FCI]],+Tabla5[[#This Row],[INVERSIONES FCI]]-BI245,Tabla5[[#This Row],[INVERSIONES FCI]])</f>
        <v>2258582689.7123871</v>
      </c>
      <c r="BJ246" s="5">
        <f>IF($B245&lt;=Tabla5[[#This Row],[INVERSIONES FCI]],+Tabla5[[#This Row],[INVERSIONES FCI]]-BJ245,Tabla5[[#This Row],[INVERSIONES FCI]])</f>
        <v>2258582689.7123871</v>
      </c>
      <c r="BK246" s="5">
        <f>IF($B245&lt;=Tabla5[[#This Row],[INVERSIONES FCI]],+Tabla5[[#This Row],[INVERSIONES FCI]]-BK245,Tabla5[[#This Row],[INVERSIONES FCI]])</f>
        <v>2258582689.7123871</v>
      </c>
      <c r="BL246" s="5">
        <f>IF($B245&lt;=Tabla5[[#This Row],[INVERSIONES FCI]],+Tabla5[[#This Row],[INVERSIONES FCI]]-BL245,Tabla5[[#This Row],[INVERSIONES FCI]])</f>
        <v>2258582689.7123871</v>
      </c>
      <c r="BM246" s="5">
        <f>IF($B245&lt;=Tabla5[[#This Row],[INVERSIONES FCI]],+Tabla5[[#This Row],[INVERSIONES FCI]]-BM245,Tabla5[[#This Row],[INVERSIONES FCI]])</f>
        <v>2258582689.7123871</v>
      </c>
      <c r="BN246" s="5">
        <f>IF($B245&lt;=Tabla5[[#This Row],[INVERSIONES FCI]],+Tabla5[[#This Row],[INVERSIONES FCI]]-BN245,Tabla5[[#This Row],[INVERSIONES FCI]])</f>
        <v>2258582689.7123871</v>
      </c>
      <c r="BO246" s="5">
        <f>IF($B245&lt;=Tabla5[[#This Row],[INVERSIONES FCI]],+Tabla5[[#This Row],[INVERSIONES FCI]]-BO245,Tabla5[[#This Row],[INVERSIONES FCI]])</f>
        <v>2258582689.7123871</v>
      </c>
      <c r="BP246" s="5">
        <f>IF($B245&lt;=Tabla5[[#This Row],[INVERSIONES FCI]],+Tabla5[[#This Row],[INVERSIONES FCI]]-BP245,Tabla5[[#This Row],[INVERSIONES FCI]])</f>
        <v>2258582689.7123871</v>
      </c>
      <c r="BQ246" s="5">
        <f>IF($B245&lt;=Tabla5[[#This Row],[INVERSIONES FCI]],+Tabla5[[#This Row],[INVERSIONES FCI]]-BQ245,Tabla5[[#This Row],[INVERSIONES FCI]])</f>
        <v>2258582689.7123871</v>
      </c>
      <c r="BR246" s="5">
        <f>IF($B245&lt;=Tabla5[[#This Row],[INVERSIONES FCI]],+Tabla5[[#This Row],[INVERSIONES FCI]]-BR245,Tabla5[[#This Row],[INVERSIONES FCI]])</f>
        <v>2258582689.7123871</v>
      </c>
      <c r="BS246" s="5">
        <f>IF($B245&lt;=Tabla5[[#This Row],[INVERSIONES FCI]],+Tabla5[[#This Row],[INVERSIONES FCI]]-BS245,Tabla5[[#This Row],[INVERSIONES FCI]])</f>
        <v>2258582689.7123871</v>
      </c>
      <c r="BT246" s="5">
        <f>IF($B245&lt;=Tabla5[[#This Row],[INVERSIONES FCI]],+Tabla5[[#This Row],[INVERSIONES FCI]]-BT245,Tabla5[[#This Row],[INVERSIONES FCI]])</f>
        <v>2258582689.7123871</v>
      </c>
      <c r="BU246" s="5">
        <f>IF($B245&lt;=Tabla5[[#This Row],[INVERSIONES FCI]],+Tabla5[[#This Row],[INVERSIONES FCI]]-BU245,Tabla5[[#This Row],[INVERSIONES FCI]])</f>
        <v>2258582689.7123871</v>
      </c>
      <c r="BV246" s="5">
        <f>IF($B245&lt;=Tabla5[[#This Row],[INVERSIONES FCI]],+Tabla5[[#This Row],[INVERSIONES FCI]]-BV245,Tabla5[[#This Row],[INVERSIONES FCI]])</f>
        <v>2258582689.7123871</v>
      </c>
      <c r="BW246" s="5">
        <f>IF($B245&lt;=Tabla5[[#This Row],[INVERSIONES FCI]],+Tabla5[[#This Row],[INVERSIONES FCI]]-BW245,Tabla5[[#This Row],[INVERSIONES FCI]])</f>
        <v>2258582689.7123871</v>
      </c>
      <c r="BX246" s="5">
        <f>IF($B245&lt;=Tabla5[[#This Row],[INVERSIONES FCI]],+Tabla5[[#This Row],[INVERSIONES FCI]]-BX245,Tabla5[[#This Row],[INVERSIONES FCI]])</f>
        <v>2258582689.7123871</v>
      </c>
      <c r="BY246" s="5">
        <f>IF($B245&lt;=Tabla5[[#This Row],[INVERSIONES FCI]],+Tabla5[[#This Row],[INVERSIONES FCI]]-BY245,Tabla5[[#This Row],[INVERSIONES FCI]])</f>
        <v>2258582689.7123871</v>
      </c>
      <c r="BZ246" s="5">
        <f>IF($B245&lt;=Tabla5[[#This Row],[INVERSIONES FCI]],+Tabla5[[#This Row],[INVERSIONES FCI]]-BZ245,Tabla5[[#This Row],[INVERSIONES FCI]])</f>
        <v>2258582689.7123871</v>
      </c>
      <c r="CA246" s="5">
        <f>IF($B245&lt;=Tabla5[[#This Row],[INVERSIONES FCI]],+Tabla5[[#This Row],[INVERSIONES FCI]]-CA245,Tabla5[[#This Row],[INVERSIONES FCI]])</f>
        <v>2258582689.7123871</v>
      </c>
      <c r="CB246" s="5">
        <f>IF($B245&lt;=Tabla5[[#This Row],[INVERSIONES FCI]],+Tabla5[[#This Row],[INVERSIONES FCI]]-CB245,Tabla5[[#This Row],[INVERSIONES FCI]])</f>
        <v>2258582689.7123871</v>
      </c>
      <c r="CC246" s="5">
        <f>IF($B245&lt;=Tabla5[[#This Row],[INVERSIONES FCI]],+Tabla5[[#This Row],[INVERSIONES FCI]]-CC245,Tabla5[[#This Row],[INVERSIONES FCI]])</f>
        <v>2258582689.7123871</v>
      </c>
      <c r="CD246" s="5">
        <f>IF($B245&lt;=Tabla5[[#This Row],[INVERSIONES FCI]],+Tabla5[[#This Row],[INVERSIONES FCI]]-CD245,Tabla5[[#This Row],[INVERSIONES FCI]])</f>
        <v>2258582689.7123871</v>
      </c>
      <c r="CE246" s="5">
        <f>IF($B245&lt;=Tabla5[[#This Row],[INVERSIONES FCI]],+Tabla5[[#This Row],[INVERSIONES FCI]]-CE245,Tabla5[[#This Row],[INVERSIONES FCI]])</f>
        <v>2258582689.7123871</v>
      </c>
      <c r="CF246" s="5">
        <f>IF($B245&lt;=Tabla5[[#This Row],[INVERSIONES FCI]],+Tabla5[[#This Row],[INVERSIONES FCI]]-CF245,Tabla5[[#This Row],[INVERSIONES FCI]])</f>
        <v>2258582689.7123871</v>
      </c>
      <c r="CG246" s="5">
        <f>IF($B245&lt;=Tabla5[[#This Row],[INVERSIONES FCI]],+Tabla5[[#This Row],[INVERSIONES FCI]]-CG245,Tabla5[[#This Row],[INVERSIONES FCI]])</f>
        <v>2258582689.7123871</v>
      </c>
      <c r="CH246" s="5">
        <f>IF($B245&lt;=Tabla5[[#This Row],[INVERSIONES FCI]],+Tabla5[[#This Row],[INVERSIONES FCI]]-CH245,Tabla5[[#This Row],[INVERSIONES FCI]])</f>
        <v>2258582689.7123871</v>
      </c>
      <c r="CI246" s="5">
        <f>IF($B245&lt;=Tabla5[[#This Row],[INVERSIONES FCI]],+Tabla5[[#This Row],[INVERSIONES FCI]]-CI245,Tabla5[[#This Row],[INVERSIONES FCI]])</f>
        <v>2258582689.7123871</v>
      </c>
      <c r="CJ246" s="5">
        <f>IF($B245&lt;=Tabla5[[#This Row],[INVERSIONES FCI]],+Tabla5[[#This Row],[INVERSIONES FCI]]-CJ245,Tabla5[[#This Row],[INVERSIONES FCI]])</f>
        <v>2258582689.7123871</v>
      </c>
      <c r="CK246" s="5">
        <f>IF($B245&lt;=Tabla5[[#This Row],[INVERSIONES FCI]],+Tabla5[[#This Row],[INVERSIONES FCI]]-CK245,Tabla5[[#This Row],[INVERSIONES FCI]])</f>
        <v>2258582689.7123871</v>
      </c>
      <c r="CL246" s="5">
        <f>IF($B245&lt;=Tabla5[[#This Row],[INVERSIONES FCI]],+Tabla5[[#This Row],[INVERSIONES FCI]]-CL245,Tabla5[[#This Row],[INVERSIONES FCI]])</f>
        <v>2258582689.7123871</v>
      </c>
      <c r="CM246" s="5">
        <f>IF($B245&lt;=Tabla5[[#This Row],[INVERSIONES FCI]],+Tabla5[[#This Row],[INVERSIONES FCI]]-CM245,Tabla5[[#This Row],[INVERSIONES FCI]])</f>
        <v>2258582689.7123871</v>
      </c>
      <c r="CN246" s="5">
        <f>IF($B245&lt;=Tabla5[[#This Row],[INVERSIONES FCI]],+Tabla5[[#This Row],[INVERSIONES FCI]]-CN245,Tabla5[[#This Row],[INVERSIONES FCI]])</f>
        <v>2258582689.7123871</v>
      </c>
      <c r="CO246" s="5">
        <f>IF($B245&lt;=Tabla5[[#This Row],[INVERSIONES FCI]],+Tabla5[[#This Row],[INVERSIONES FCI]]-CO245,Tabla5[[#This Row],[INVERSIONES FCI]])</f>
        <v>2258582689.7123871</v>
      </c>
      <c r="CP246" s="5">
        <f>IF($B245&lt;=Tabla5[[#This Row],[INVERSIONES FCI]],+Tabla5[[#This Row],[INVERSIONES FCI]]-CP245,Tabla5[[#This Row],[INVERSIONES FCI]])</f>
        <v>2258582689.7123871</v>
      </c>
      <c r="CQ246" s="5">
        <f>IF($B245&lt;=Tabla5[[#This Row],[INVERSIONES FCI]],+Tabla5[[#This Row],[INVERSIONES FCI]]-CQ245,Tabla5[[#This Row],[INVERSIONES FCI]])</f>
        <v>2258582689.7123871</v>
      </c>
      <c r="CR246" s="5">
        <f>IF($B245&lt;=Tabla5[[#This Row],[INVERSIONES FCI]],+Tabla5[[#This Row],[INVERSIONES FCI]]-CR245,Tabla5[[#This Row],[INVERSIONES FCI]])</f>
        <v>2258582689.7123871</v>
      </c>
      <c r="CS246" s="5">
        <f>IF($B245&lt;=Tabla5[[#This Row],[INVERSIONES FCI]],+Tabla5[[#This Row],[INVERSIONES FCI]]-CS245,Tabla5[[#This Row],[INVERSIONES FCI]])</f>
        <v>2258582689.7123871</v>
      </c>
      <c r="CT246" s="5">
        <f>IF($B245&lt;=Tabla5[[#This Row],[INVERSIONES FCI]],+Tabla5[[#This Row],[INVERSIONES FCI]]-CT245,Tabla5[[#This Row],[INVERSIONES FCI]])</f>
        <v>2258582689.7123871</v>
      </c>
      <c r="CU246" s="5">
        <f>IF($B245&lt;=Tabla5[[#This Row],[INVERSIONES FCI]],+Tabla5[[#This Row],[INVERSIONES FCI]]-CU245,Tabla5[[#This Row],[INVERSIONES FCI]])</f>
        <v>2258582689.7123871</v>
      </c>
      <c r="CV246" s="5">
        <f>IF($B245&lt;=Tabla5[[#This Row],[INVERSIONES FCI]],+Tabla5[[#This Row],[INVERSIONES FCI]]-CV245,Tabla5[[#This Row],[INVERSIONES FCI]])</f>
        <v>2258582689.7123871</v>
      </c>
      <c r="CW246" s="5">
        <f>IF($B245&lt;=Tabla5[[#This Row],[INVERSIONES FCI]],+Tabla5[[#This Row],[INVERSIONES FCI]]-CW245,Tabla5[[#This Row],[INVERSIONES FCI]])</f>
        <v>2258582689.7123871</v>
      </c>
      <c r="CX246" s="5">
        <f>IF($B245&lt;=Tabla5[[#This Row],[INVERSIONES FCI]],+Tabla5[[#This Row],[INVERSIONES FCI]]-CX245,Tabla5[[#This Row],[INVERSIONES FCI]])</f>
        <v>2258582689.7123871</v>
      </c>
      <c r="CY246" s="5">
        <f>IF($B245&lt;=Tabla5[[#This Row],[INVERSIONES FCI]],+Tabla5[[#This Row],[INVERSIONES FCI]]-CY245,Tabla5[[#This Row],[INVERSIONES FCI]])</f>
        <v>2258582689.7123871</v>
      </c>
      <c r="CZ246" s="5">
        <f>IF($B245&lt;=Tabla5[[#This Row],[INVERSIONES FCI]],+Tabla5[[#This Row],[INVERSIONES FCI]]-CZ245,Tabla5[[#This Row],[INVERSIONES FCI]])</f>
        <v>2258582689.7123871</v>
      </c>
      <c r="DA246" s="5">
        <f>IF($B245&lt;=Tabla5[[#This Row],[INVERSIONES FCI]],+Tabla5[[#This Row],[INVERSIONES FCI]]-DA245,Tabla5[[#This Row],[INVERSIONES FCI]])</f>
        <v>2258582689.7123871</v>
      </c>
      <c r="DB246" s="5">
        <f>IF($B245&lt;=Tabla5[[#This Row],[INVERSIONES FCI]],+Tabla5[[#This Row],[INVERSIONES FCI]]-DB245,Tabla5[[#This Row],[INVERSIONES FCI]])</f>
        <v>2258582689.7123871</v>
      </c>
      <c r="DC246" s="5">
        <f>IF($B245&lt;=Tabla5[[#This Row],[INVERSIONES FCI]],+Tabla5[[#This Row],[INVERSIONES FCI]]-DC245,Tabla5[[#This Row],[INVERSIONES FCI]])</f>
        <v>2258582689.7123871</v>
      </c>
      <c r="DD246" s="5">
        <f>IF($B245&lt;=Tabla5[[#This Row],[INVERSIONES FCI]],+Tabla5[[#This Row],[INVERSIONES FCI]]-DD245,Tabla5[[#This Row],[INVERSIONES FCI]])</f>
        <v>2258582689.7123871</v>
      </c>
      <c r="DE246" s="5">
        <f>IF($B245&lt;=Tabla5[[#This Row],[INVERSIONES FCI]],+Tabla5[[#This Row],[INVERSIONES FCI]]-DE245,Tabla5[[#This Row],[INVERSIONES FCI]])</f>
        <v>2258582689.7123871</v>
      </c>
      <c r="DF246" s="5">
        <f>IF($B245&lt;=Tabla5[[#This Row],[INVERSIONES FCI]],+Tabla5[[#This Row],[INVERSIONES FCI]]-DF245,Tabla5[[#This Row],[INVERSIONES FCI]])</f>
        <v>2258582689.7123871</v>
      </c>
      <c r="DG246" s="5">
        <f>IF($B245&lt;=Tabla5[[#This Row],[INVERSIONES FCI]],+Tabla5[[#This Row],[INVERSIONES FCI]]-DG245,Tabla5[[#This Row],[INVERSIONES FCI]])</f>
        <v>2258582689.7123871</v>
      </c>
      <c r="DH246" s="5">
        <f>IF($B245&lt;=Tabla5[[#This Row],[INVERSIONES FCI]],+Tabla5[[#This Row],[INVERSIONES FCI]]-DH245,Tabla5[[#This Row],[INVERSIONES FCI]])</f>
        <v>2258582689.7123871</v>
      </c>
      <c r="DI246" s="5">
        <f>IF($B245&lt;=Tabla5[[#This Row],[INVERSIONES FCI]],+Tabla5[[#This Row],[INVERSIONES FCI]]-DI245,Tabla5[[#This Row],[INVERSIONES FCI]])</f>
        <v>2258582689.7123871</v>
      </c>
      <c r="DJ246" s="5">
        <f>IF($B245&lt;=Tabla5[[#This Row],[INVERSIONES FCI]],+Tabla5[[#This Row],[INVERSIONES FCI]]-DJ245,Tabla5[[#This Row],[INVERSIONES FCI]])</f>
        <v>2258582689.7123871</v>
      </c>
      <c r="DK246" s="5">
        <f>IF($B245&lt;=Tabla5[[#This Row],[INVERSIONES FCI]],+Tabla5[[#This Row],[INVERSIONES FCI]]-DK245,Tabla5[[#This Row],[INVERSIONES FCI]])</f>
        <v>2258582689.7123871</v>
      </c>
      <c r="DL246" s="5"/>
      <c r="DM246" s="5"/>
      <c r="DN246" s="5"/>
      <c r="DO246" s="5"/>
      <c r="DP246" s="5"/>
      <c r="DQ246" s="5"/>
    </row>
    <row r="247" spans="1:121" ht="14.4">
      <c r="A247" s="12" t="s">
        <v>246</v>
      </c>
      <c r="B247" s="5">
        <f>HLOOKUP($A247,ESCENARIO[#All],7,FALSE)</f>
        <v>40265037442.15435</v>
      </c>
      <c r="C247" s="5">
        <f>IF($B246&lt;=Tabla5[[#This Row],[INVERSIONES FCI]],+Tabla5[[#This Row],[INVERSIONES FCI]]-C246,Tabla5[[#This Row],[INVERSIONES FCI]])</f>
        <v>38006454752.441963</v>
      </c>
      <c r="D247" s="5">
        <f>IF($B246&lt;=Tabla5[[#This Row],[INVERSIONES FCI]],+Tabla5[[#This Row],[INVERSIONES FCI]]-D246,Tabla5[[#This Row],[INVERSIONES FCI]])</f>
        <v>38006454752.441963</v>
      </c>
      <c r="E247" s="5">
        <f>IF($B246&lt;=Tabla5[[#This Row],[INVERSIONES FCI]],+Tabla5[[#This Row],[INVERSIONES FCI]]-E246,Tabla5[[#This Row],[INVERSIONES FCI]])</f>
        <v>38006454752.441963</v>
      </c>
      <c r="F247" s="5">
        <f>IF($B246&lt;=Tabla5[[#This Row],[INVERSIONES FCI]],+Tabla5[[#This Row],[INVERSIONES FCI]]-F246,Tabla5[[#This Row],[INVERSIONES FCI]])</f>
        <v>38006454752.441963</v>
      </c>
      <c r="G247" s="5">
        <f>IF($B246&lt;=Tabla5[[#This Row],[INVERSIONES FCI]],+Tabla5[[#This Row],[INVERSIONES FCI]]-G246,Tabla5[[#This Row],[INVERSIONES FCI]])</f>
        <v>38006454752.441963</v>
      </c>
      <c r="H247" s="5">
        <f>IF($B246&lt;=Tabla5[[#This Row],[INVERSIONES FCI]],+Tabla5[[#This Row],[INVERSIONES FCI]]-H246,Tabla5[[#This Row],[INVERSIONES FCI]])</f>
        <v>38006454752.441963</v>
      </c>
      <c r="I247" s="5">
        <f>IF($B246&lt;=Tabla5[[#This Row],[INVERSIONES FCI]],+Tabla5[[#This Row],[INVERSIONES FCI]]-I246,Tabla5[[#This Row],[INVERSIONES FCI]])</f>
        <v>38006454752.441963</v>
      </c>
      <c r="J247" s="5">
        <f>IF($B246&lt;=Tabla5[[#This Row],[INVERSIONES FCI]],+Tabla5[[#This Row],[INVERSIONES FCI]]-J246,Tabla5[[#This Row],[INVERSIONES FCI]])</f>
        <v>38006454752.441963</v>
      </c>
      <c r="K247" s="5">
        <f>IF($B246&lt;=Tabla5[[#This Row],[INVERSIONES FCI]],+Tabla5[[#This Row],[INVERSIONES FCI]]-K246,Tabla5[[#This Row],[INVERSIONES FCI]])</f>
        <v>38006454752.441963</v>
      </c>
      <c r="L247" s="5">
        <f>IF($B246&lt;=Tabla5[[#This Row],[INVERSIONES FCI]],+Tabla5[[#This Row],[INVERSIONES FCI]]-L246,Tabla5[[#This Row],[INVERSIONES FCI]])</f>
        <v>38006454752.441963</v>
      </c>
      <c r="M247" s="5">
        <f>IF($B246&lt;=Tabla5[[#This Row],[INVERSIONES FCI]],+Tabla5[[#This Row],[INVERSIONES FCI]]-M246,Tabla5[[#This Row],[INVERSIONES FCI]])</f>
        <v>38006454752.441963</v>
      </c>
      <c r="N247" s="5">
        <f>IF($B246&lt;=Tabla5[[#This Row],[INVERSIONES FCI]],+Tabla5[[#This Row],[INVERSIONES FCI]]-N246,Tabla5[[#This Row],[INVERSIONES FCI]])</f>
        <v>38006454752.441963</v>
      </c>
      <c r="O247" s="5">
        <f>IF($B246&lt;=Tabla5[[#This Row],[INVERSIONES FCI]],+Tabla5[[#This Row],[INVERSIONES FCI]]-O246,Tabla5[[#This Row],[INVERSIONES FCI]])</f>
        <v>38006454752.441963</v>
      </c>
      <c r="P247" s="5">
        <f>IF($B246&lt;=Tabla5[[#This Row],[INVERSIONES FCI]],+Tabla5[[#This Row],[INVERSIONES FCI]]-P246,Tabla5[[#This Row],[INVERSIONES FCI]])</f>
        <v>38006454752.441963</v>
      </c>
      <c r="Q247" s="5">
        <f>IF($B246&lt;=Tabla5[[#This Row],[INVERSIONES FCI]],+Tabla5[[#This Row],[INVERSIONES FCI]]-Q246,Tabla5[[#This Row],[INVERSIONES FCI]])</f>
        <v>38006454752.441963</v>
      </c>
      <c r="R247" s="5">
        <f>IF($B246&lt;=Tabla5[[#This Row],[INVERSIONES FCI]],+Tabla5[[#This Row],[INVERSIONES FCI]]-R246,Tabla5[[#This Row],[INVERSIONES FCI]])</f>
        <v>38006454752.441963</v>
      </c>
      <c r="S247" s="5">
        <f>IF($B246&lt;=Tabla5[[#This Row],[INVERSIONES FCI]],+Tabla5[[#This Row],[INVERSIONES FCI]]-S246,Tabla5[[#This Row],[INVERSIONES FCI]])</f>
        <v>38006454752.441963</v>
      </c>
      <c r="T247" s="5">
        <f>IF($B246&lt;=Tabla5[[#This Row],[INVERSIONES FCI]],+Tabla5[[#This Row],[INVERSIONES FCI]]-T246,Tabla5[[#This Row],[INVERSIONES FCI]])</f>
        <v>38006454752.441963</v>
      </c>
      <c r="U247" s="5">
        <f>IF($B246&lt;=Tabla5[[#This Row],[INVERSIONES FCI]],+Tabla5[[#This Row],[INVERSIONES FCI]]-U246,Tabla5[[#This Row],[INVERSIONES FCI]])</f>
        <v>38006454752.441963</v>
      </c>
      <c r="V247" s="5">
        <f>IF($B246&lt;=Tabla5[[#This Row],[INVERSIONES FCI]],+Tabla5[[#This Row],[INVERSIONES FCI]]-V246,Tabla5[[#This Row],[INVERSIONES FCI]])</f>
        <v>38006454752.441963</v>
      </c>
      <c r="W247" s="5">
        <f>IF($B246&lt;=Tabla5[[#This Row],[INVERSIONES FCI]],+Tabla5[[#This Row],[INVERSIONES FCI]]-W246,Tabla5[[#This Row],[INVERSIONES FCI]])</f>
        <v>38006454752.441963</v>
      </c>
      <c r="X247" s="5">
        <f>IF($B246&lt;=Tabla5[[#This Row],[INVERSIONES FCI]],+Tabla5[[#This Row],[INVERSIONES FCI]]-X246,Tabla5[[#This Row],[INVERSIONES FCI]])</f>
        <v>38006454752.441963</v>
      </c>
      <c r="Y247" s="5">
        <f>IF($B246&lt;=Tabla5[[#This Row],[INVERSIONES FCI]],+Tabla5[[#This Row],[INVERSIONES FCI]]-Y246,Tabla5[[#This Row],[INVERSIONES FCI]])</f>
        <v>38006454752.441963</v>
      </c>
      <c r="Z247" s="5">
        <f>IF($B246&lt;=Tabla5[[#This Row],[INVERSIONES FCI]],+Tabla5[[#This Row],[INVERSIONES FCI]]-Z246,Tabla5[[#This Row],[INVERSIONES FCI]])</f>
        <v>38006454752.441963</v>
      </c>
      <c r="AA247" s="5">
        <f>IF($B246&lt;=Tabla5[[#This Row],[INVERSIONES FCI]],+Tabla5[[#This Row],[INVERSIONES FCI]]-AA246,Tabla5[[#This Row],[INVERSIONES FCI]])</f>
        <v>38006454752.441963</v>
      </c>
      <c r="AB247" s="5">
        <f>IF($B246&lt;=Tabla5[[#This Row],[INVERSIONES FCI]],+Tabla5[[#This Row],[INVERSIONES FCI]]-AB246,Tabla5[[#This Row],[INVERSIONES FCI]])</f>
        <v>38006454752.441963</v>
      </c>
      <c r="AC247" s="5">
        <f>IF($B246&lt;=Tabla5[[#This Row],[INVERSIONES FCI]],+Tabla5[[#This Row],[INVERSIONES FCI]]-AC246,Tabla5[[#This Row],[INVERSIONES FCI]])</f>
        <v>38006454752.441963</v>
      </c>
      <c r="AD247" s="5">
        <f>IF($B246&lt;=Tabla5[[#This Row],[INVERSIONES FCI]],+Tabla5[[#This Row],[INVERSIONES FCI]]-AD246,Tabla5[[#This Row],[INVERSIONES FCI]])</f>
        <v>38006454752.441963</v>
      </c>
      <c r="AE247" s="5">
        <f>IF($B246&lt;=Tabla5[[#This Row],[INVERSIONES FCI]],+Tabla5[[#This Row],[INVERSIONES FCI]]-AE246,Tabla5[[#This Row],[INVERSIONES FCI]])</f>
        <v>38006454752.441963</v>
      </c>
      <c r="AF247" s="5">
        <f>IF($B246&lt;=Tabla5[[#This Row],[INVERSIONES FCI]],+Tabla5[[#This Row],[INVERSIONES FCI]]-AF246,Tabla5[[#This Row],[INVERSIONES FCI]])</f>
        <v>38006454752.441963</v>
      </c>
      <c r="AG247" s="5">
        <f>IF($B246&lt;=Tabla5[[#This Row],[INVERSIONES FCI]],+Tabla5[[#This Row],[INVERSIONES FCI]]-AG246,Tabla5[[#This Row],[INVERSIONES FCI]])</f>
        <v>38006454752.441963</v>
      </c>
      <c r="AH247" s="5">
        <f>IF($B246&lt;=Tabla5[[#This Row],[INVERSIONES FCI]],+Tabla5[[#This Row],[INVERSIONES FCI]]-AH246,Tabla5[[#This Row],[INVERSIONES FCI]])</f>
        <v>38006454752.441963</v>
      </c>
      <c r="AI247" s="5">
        <f>IF($B246&lt;=Tabla5[[#This Row],[INVERSIONES FCI]],+Tabla5[[#This Row],[INVERSIONES FCI]]-AI246,Tabla5[[#This Row],[INVERSIONES FCI]])</f>
        <v>38006454752.441963</v>
      </c>
      <c r="AJ247" s="5">
        <f>IF($B246&lt;=Tabla5[[#This Row],[INVERSIONES FCI]],+Tabla5[[#This Row],[INVERSIONES FCI]]-AJ246,Tabla5[[#This Row],[INVERSIONES FCI]])</f>
        <v>38006454752.441963</v>
      </c>
      <c r="AK247" s="5">
        <f>IF($B246&lt;=Tabla5[[#This Row],[INVERSIONES FCI]],+Tabla5[[#This Row],[INVERSIONES FCI]]-AK246,Tabla5[[#This Row],[INVERSIONES FCI]])</f>
        <v>38006454752.441963</v>
      </c>
      <c r="AL247" s="5">
        <f>IF($B246&lt;=Tabla5[[#This Row],[INVERSIONES FCI]],+Tabla5[[#This Row],[INVERSIONES FCI]]-AL246,Tabla5[[#This Row],[INVERSIONES FCI]])</f>
        <v>38006454752.441963</v>
      </c>
      <c r="AM247" s="5">
        <f>IF($B246&lt;=Tabla5[[#This Row],[INVERSIONES FCI]],+Tabla5[[#This Row],[INVERSIONES FCI]]-AM246,Tabla5[[#This Row],[INVERSIONES FCI]])</f>
        <v>38006454752.441963</v>
      </c>
      <c r="AN247" s="5">
        <f>IF($B246&lt;=Tabla5[[#This Row],[INVERSIONES FCI]],+Tabla5[[#This Row],[INVERSIONES FCI]]-AN246,Tabla5[[#This Row],[INVERSIONES FCI]])</f>
        <v>38006454752.441963</v>
      </c>
      <c r="AO247" s="5">
        <f>IF($B246&lt;=Tabla5[[#This Row],[INVERSIONES FCI]],+Tabla5[[#This Row],[INVERSIONES FCI]]-AO246,Tabla5[[#This Row],[INVERSIONES FCI]])</f>
        <v>38006454752.441963</v>
      </c>
      <c r="AP247" s="5">
        <f>IF($B246&lt;=Tabla5[[#This Row],[INVERSIONES FCI]],+Tabla5[[#This Row],[INVERSIONES FCI]]-AP246,Tabla5[[#This Row],[INVERSIONES FCI]])</f>
        <v>38006454752.441963</v>
      </c>
      <c r="AQ247" s="5">
        <f>IF($B246&lt;=Tabla5[[#This Row],[INVERSIONES FCI]],+Tabla5[[#This Row],[INVERSIONES FCI]]-AQ246,Tabla5[[#This Row],[INVERSIONES FCI]])</f>
        <v>38006454752.441963</v>
      </c>
      <c r="AR247" s="5">
        <f>IF($B246&lt;=Tabla5[[#This Row],[INVERSIONES FCI]],+Tabla5[[#This Row],[INVERSIONES FCI]]-AR246,Tabla5[[#This Row],[INVERSIONES FCI]])</f>
        <v>38006454752.441963</v>
      </c>
      <c r="AS247" s="5">
        <f>IF($B246&lt;=Tabla5[[#This Row],[INVERSIONES FCI]],+Tabla5[[#This Row],[INVERSIONES FCI]]-AS246,Tabla5[[#This Row],[INVERSIONES FCI]])</f>
        <v>38006454752.441963</v>
      </c>
      <c r="AT247" s="5">
        <f>IF($B246&lt;=Tabla5[[#This Row],[INVERSIONES FCI]],+Tabla5[[#This Row],[INVERSIONES FCI]]-AT246,Tabla5[[#This Row],[INVERSIONES FCI]])</f>
        <v>38006454752.441963</v>
      </c>
      <c r="AU247" s="5">
        <f>IF($B246&lt;=Tabla5[[#This Row],[INVERSIONES FCI]],+Tabla5[[#This Row],[INVERSIONES FCI]]-AU246,Tabla5[[#This Row],[INVERSIONES FCI]])</f>
        <v>38006454752.441963</v>
      </c>
      <c r="AV247" s="5">
        <f>IF($B246&lt;=Tabla5[[#This Row],[INVERSIONES FCI]],+Tabla5[[#This Row],[INVERSIONES FCI]]-AV246,Tabla5[[#This Row],[INVERSIONES FCI]])</f>
        <v>38006454752.441963</v>
      </c>
      <c r="AW247" s="5">
        <f>IF($B246&lt;=Tabla5[[#This Row],[INVERSIONES FCI]],+Tabla5[[#This Row],[INVERSIONES FCI]]-AW246,Tabla5[[#This Row],[INVERSIONES FCI]])</f>
        <v>38006454752.441963</v>
      </c>
      <c r="AX247" s="5">
        <f>IF($B246&lt;=Tabla5[[#This Row],[INVERSIONES FCI]],+Tabla5[[#This Row],[INVERSIONES FCI]]-AX246,Tabla5[[#This Row],[INVERSIONES FCI]])</f>
        <v>38006454752.441963</v>
      </c>
      <c r="AY247" s="5">
        <f>IF($B246&lt;=Tabla5[[#This Row],[INVERSIONES FCI]],+Tabla5[[#This Row],[INVERSIONES FCI]]-AY246,Tabla5[[#This Row],[INVERSIONES FCI]])</f>
        <v>38006454752.441963</v>
      </c>
      <c r="AZ247" s="5">
        <f>IF($B246&lt;=Tabla5[[#This Row],[INVERSIONES FCI]],+Tabla5[[#This Row],[INVERSIONES FCI]]-AZ246,Tabla5[[#This Row],[INVERSIONES FCI]])</f>
        <v>38006454752.441963</v>
      </c>
      <c r="BA247" s="5">
        <f>IF($B246&lt;=Tabla5[[#This Row],[INVERSIONES FCI]],+Tabla5[[#This Row],[INVERSIONES FCI]]-BA246,Tabla5[[#This Row],[INVERSIONES FCI]])</f>
        <v>38006454752.441963</v>
      </c>
      <c r="BB247" s="5">
        <f>IF($B246&lt;=Tabla5[[#This Row],[INVERSIONES FCI]],+Tabla5[[#This Row],[INVERSIONES FCI]]-BB246,Tabla5[[#This Row],[INVERSIONES FCI]])</f>
        <v>38006454752.441963</v>
      </c>
      <c r="BC247" s="5">
        <f>IF($B246&lt;=Tabla5[[#This Row],[INVERSIONES FCI]],+Tabla5[[#This Row],[INVERSIONES FCI]]-BC246,Tabla5[[#This Row],[INVERSIONES FCI]])</f>
        <v>38006454752.441963</v>
      </c>
      <c r="BD247" s="5">
        <f>IF($B246&lt;=Tabla5[[#This Row],[INVERSIONES FCI]],+Tabla5[[#This Row],[INVERSIONES FCI]]-BD246,Tabla5[[#This Row],[INVERSIONES FCI]])</f>
        <v>38006454752.441963</v>
      </c>
      <c r="BE247" s="5">
        <f>IF($B246&lt;=Tabla5[[#This Row],[INVERSIONES FCI]],+Tabla5[[#This Row],[INVERSIONES FCI]]-BE246,Tabla5[[#This Row],[INVERSIONES FCI]])</f>
        <v>38006454752.441963</v>
      </c>
      <c r="BF247" s="5">
        <f>IF($B246&lt;=Tabla5[[#This Row],[INVERSIONES FCI]],+Tabla5[[#This Row],[INVERSIONES FCI]]-BF246,Tabla5[[#This Row],[INVERSIONES FCI]])</f>
        <v>38006454752.441963</v>
      </c>
      <c r="BG247" s="5">
        <f>IF($B246&lt;=Tabla5[[#This Row],[INVERSIONES FCI]],+Tabla5[[#This Row],[INVERSIONES FCI]]-BG246,Tabla5[[#This Row],[INVERSIONES FCI]])</f>
        <v>38006454752.441963</v>
      </c>
      <c r="BH247" s="5">
        <f>IF($B246&lt;=Tabla5[[#This Row],[INVERSIONES FCI]],+Tabla5[[#This Row],[INVERSIONES FCI]]-BH246,Tabla5[[#This Row],[INVERSIONES FCI]])</f>
        <v>38006454752.441963</v>
      </c>
      <c r="BI247" s="5">
        <f>IF($B246&lt;=Tabla5[[#This Row],[INVERSIONES FCI]],+Tabla5[[#This Row],[INVERSIONES FCI]]-BI246,Tabla5[[#This Row],[INVERSIONES FCI]])</f>
        <v>38006454752.441963</v>
      </c>
      <c r="BJ247" s="5">
        <f>IF($B246&lt;=Tabla5[[#This Row],[INVERSIONES FCI]],+Tabla5[[#This Row],[INVERSIONES FCI]]-BJ246,Tabla5[[#This Row],[INVERSIONES FCI]])</f>
        <v>38006454752.441963</v>
      </c>
      <c r="BK247" s="5">
        <f>IF($B246&lt;=Tabla5[[#This Row],[INVERSIONES FCI]],+Tabla5[[#This Row],[INVERSIONES FCI]]-BK246,Tabla5[[#This Row],[INVERSIONES FCI]])</f>
        <v>38006454752.441963</v>
      </c>
      <c r="BL247" s="5">
        <f>IF($B246&lt;=Tabla5[[#This Row],[INVERSIONES FCI]],+Tabla5[[#This Row],[INVERSIONES FCI]]-BL246,Tabla5[[#This Row],[INVERSIONES FCI]])</f>
        <v>38006454752.441963</v>
      </c>
      <c r="BM247" s="5">
        <f>IF($B246&lt;=Tabla5[[#This Row],[INVERSIONES FCI]],+Tabla5[[#This Row],[INVERSIONES FCI]]-BM246,Tabla5[[#This Row],[INVERSIONES FCI]])</f>
        <v>38006454752.441963</v>
      </c>
      <c r="BN247" s="5">
        <f>IF($B246&lt;=Tabla5[[#This Row],[INVERSIONES FCI]],+Tabla5[[#This Row],[INVERSIONES FCI]]-BN246,Tabla5[[#This Row],[INVERSIONES FCI]])</f>
        <v>38006454752.441963</v>
      </c>
      <c r="BO247" s="5">
        <f>IF($B246&lt;=Tabla5[[#This Row],[INVERSIONES FCI]],+Tabla5[[#This Row],[INVERSIONES FCI]]-BO246,Tabla5[[#This Row],[INVERSIONES FCI]])</f>
        <v>38006454752.441963</v>
      </c>
      <c r="BP247" s="5">
        <f>IF($B246&lt;=Tabla5[[#This Row],[INVERSIONES FCI]],+Tabla5[[#This Row],[INVERSIONES FCI]]-BP246,Tabla5[[#This Row],[INVERSIONES FCI]])</f>
        <v>38006454752.441963</v>
      </c>
      <c r="BQ247" s="5">
        <f>IF($B246&lt;=Tabla5[[#This Row],[INVERSIONES FCI]],+Tabla5[[#This Row],[INVERSIONES FCI]]-BQ246,Tabla5[[#This Row],[INVERSIONES FCI]])</f>
        <v>38006454752.441963</v>
      </c>
      <c r="BR247" s="5">
        <f>IF($B246&lt;=Tabla5[[#This Row],[INVERSIONES FCI]],+Tabla5[[#This Row],[INVERSIONES FCI]]-BR246,Tabla5[[#This Row],[INVERSIONES FCI]])</f>
        <v>38006454752.441963</v>
      </c>
      <c r="BS247" s="5">
        <f>IF($B246&lt;=Tabla5[[#This Row],[INVERSIONES FCI]],+Tabla5[[#This Row],[INVERSIONES FCI]]-BS246,Tabla5[[#This Row],[INVERSIONES FCI]])</f>
        <v>38006454752.441963</v>
      </c>
      <c r="BT247" s="5">
        <f>IF($B246&lt;=Tabla5[[#This Row],[INVERSIONES FCI]],+Tabla5[[#This Row],[INVERSIONES FCI]]-BT246,Tabla5[[#This Row],[INVERSIONES FCI]])</f>
        <v>38006454752.441963</v>
      </c>
      <c r="BU247" s="5">
        <f>IF($B246&lt;=Tabla5[[#This Row],[INVERSIONES FCI]],+Tabla5[[#This Row],[INVERSIONES FCI]]-BU246,Tabla5[[#This Row],[INVERSIONES FCI]])</f>
        <v>38006454752.441963</v>
      </c>
      <c r="BV247" s="5">
        <f>IF($B246&lt;=Tabla5[[#This Row],[INVERSIONES FCI]],+Tabla5[[#This Row],[INVERSIONES FCI]]-BV246,Tabla5[[#This Row],[INVERSIONES FCI]])</f>
        <v>38006454752.441963</v>
      </c>
      <c r="BW247" s="5">
        <f>IF($B246&lt;=Tabla5[[#This Row],[INVERSIONES FCI]],+Tabla5[[#This Row],[INVERSIONES FCI]]-BW246,Tabla5[[#This Row],[INVERSIONES FCI]])</f>
        <v>38006454752.441963</v>
      </c>
      <c r="BX247" s="5">
        <f>IF($B246&lt;=Tabla5[[#This Row],[INVERSIONES FCI]],+Tabla5[[#This Row],[INVERSIONES FCI]]-BX246,Tabla5[[#This Row],[INVERSIONES FCI]])</f>
        <v>38006454752.441963</v>
      </c>
      <c r="BY247" s="5">
        <f>IF($B246&lt;=Tabla5[[#This Row],[INVERSIONES FCI]],+Tabla5[[#This Row],[INVERSIONES FCI]]-BY246,Tabla5[[#This Row],[INVERSIONES FCI]])</f>
        <v>38006454752.441963</v>
      </c>
      <c r="BZ247" s="5">
        <f>IF($B246&lt;=Tabla5[[#This Row],[INVERSIONES FCI]],+Tabla5[[#This Row],[INVERSIONES FCI]]-BZ246,Tabla5[[#This Row],[INVERSIONES FCI]])</f>
        <v>38006454752.441963</v>
      </c>
      <c r="CA247" s="5">
        <f>IF($B246&lt;=Tabla5[[#This Row],[INVERSIONES FCI]],+Tabla5[[#This Row],[INVERSIONES FCI]]-CA246,Tabla5[[#This Row],[INVERSIONES FCI]])</f>
        <v>38006454752.441963</v>
      </c>
      <c r="CB247" s="5">
        <f>IF($B246&lt;=Tabla5[[#This Row],[INVERSIONES FCI]],+Tabla5[[#This Row],[INVERSIONES FCI]]-CB246,Tabla5[[#This Row],[INVERSIONES FCI]])</f>
        <v>38006454752.441963</v>
      </c>
      <c r="CC247" s="5">
        <f>IF($B246&lt;=Tabla5[[#This Row],[INVERSIONES FCI]],+Tabla5[[#This Row],[INVERSIONES FCI]]-CC246,Tabla5[[#This Row],[INVERSIONES FCI]])</f>
        <v>38006454752.441963</v>
      </c>
      <c r="CD247" s="5">
        <f>IF($B246&lt;=Tabla5[[#This Row],[INVERSIONES FCI]],+Tabla5[[#This Row],[INVERSIONES FCI]]-CD246,Tabla5[[#This Row],[INVERSIONES FCI]])</f>
        <v>38006454752.441963</v>
      </c>
      <c r="CE247" s="5">
        <f>IF($B246&lt;=Tabla5[[#This Row],[INVERSIONES FCI]],+Tabla5[[#This Row],[INVERSIONES FCI]]-CE246,Tabla5[[#This Row],[INVERSIONES FCI]])</f>
        <v>38006454752.441963</v>
      </c>
      <c r="CF247" s="5">
        <f>IF($B246&lt;=Tabla5[[#This Row],[INVERSIONES FCI]],+Tabla5[[#This Row],[INVERSIONES FCI]]-CF246,Tabla5[[#This Row],[INVERSIONES FCI]])</f>
        <v>38006454752.441963</v>
      </c>
      <c r="CG247" s="5">
        <f>IF($B246&lt;=Tabla5[[#This Row],[INVERSIONES FCI]],+Tabla5[[#This Row],[INVERSIONES FCI]]-CG246,Tabla5[[#This Row],[INVERSIONES FCI]])</f>
        <v>38006454752.441963</v>
      </c>
      <c r="CH247" s="5">
        <f>IF($B246&lt;=Tabla5[[#This Row],[INVERSIONES FCI]],+Tabla5[[#This Row],[INVERSIONES FCI]]-CH246,Tabla5[[#This Row],[INVERSIONES FCI]])</f>
        <v>38006454752.441963</v>
      </c>
      <c r="CI247" s="5">
        <f>IF($B246&lt;=Tabla5[[#This Row],[INVERSIONES FCI]],+Tabla5[[#This Row],[INVERSIONES FCI]]-CI246,Tabla5[[#This Row],[INVERSIONES FCI]])</f>
        <v>38006454752.441963</v>
      </c>
      <c r="CJ247" s="5">
        <f>IF($B246&lt;=Tabla5[[#This Row],[INVERSIONES FCI]],+Tabla5[[#This Row],[INVERSIONES FCI]]-CJ246,Tabla5[[#This Row],[INVERSIONES FCI]])</f>
        <v>38006454752.441963</v>
      </c>
      <c r="CK247" s="5">
        <f>IF($B246&lt;=Tabla5[[#This Row],[INVERSIONES FCI]],+Tabla5[[#This Row],[INVERSIONES FCI]]-CK246,Tabla5[[#This Row],[INVERSIONES FCI]])</f>
        <v>38006454752.441963</v>
      </c>
      <c r="CL247" s="5">
        <f>IF($B246&lt;=Tabla5[[#This Row],[INVERSIONES FCI]],+Tabla5[[#This Row],[INVERSIONES FCI]]-CL246,Tabla5[[#This Row],[INVERSIONES FCI]])</f>
        <v>38006454752.441963</v>
      </c>
      <c r="CM247" s="5">
        <f>IF($B246&lt;=Tabla5[[#This Row],[INVERSIONES FCI]],+Tabla5[[#This Row],[INVERSIONES FCI]]-CM246,Tabla5[[#This Row],[INVERSIONES FCI]])</f>
        <v>38006454752.441963</v>
      </c>
      <c r="CN247" s="5">
        <f>IF($B246&lt;=Tabla5[[#This Row],[INVERSIONES FCI]],+Tabla5[[#This Row],[INVERSIONES FCI]]-CN246,Tabla5[[#This Row],[INVERSIONES FCI]])</f>
        <v>38006454752.441963</v>
      </c>
      <c r="CO247" s="5">
        <f>IF($B246&lt;=Tabla5[[#This Row],[INVERSIONES FCI]],+Tabla5[[#This Row],[INVERSIONES FCI]]-CO246,Tabla5[[#This Row],[INVERSIONES FCI]])</f>
        <v>38006454752.441963</v>
      </c>
      <c r="CP247" s="5">
        <f>IF($B246&lt;=Tabla5[[#This Row],[INVERSIONES FCI]],+Tabla5[[#This Row],[INVERSIONES FCI]]-CP246,Tabla5[[#This Row],[INVERSIONES FCI]])</f>
        <v>38006454752.441963</v>
      </c>
      <c r="CQ247" s="5">
        <f>IF($B246&lt;=Tabla5[[#This Row],[INVERSIONES FCI]],+Tabla5[[#This Row],[INVERSIONES FCI]]-CQ246,Tabla5[[#This Row],[INVERSIONES FCI]])</f>
        <v>38006454752.441963</v>
      </c>
      <c r="CR247" s="5">
        <f>IF($B246&lt;=Tabla5[[#This Row],[INVERSIONES FCI]],+Tabla5[[#This Row],[INVERSIONES FCI]]-CR246,Tabla5[[#This Row],[INVERSIONES FCI]])</f>
        <v>38006454752.441963</v>
      </c>
      <c r="CS247" s="5">
        <f>IF($B246&lt;=Tabla5[[#This Row],[INVERSIONES FCI]],+Tabla5[[#This Row],[INVERSIONES FCI]]-CS246,Tabla5[[#This Row],[INVERSIONES FCI]])</f>
        <v>38006454752.441963</v>
      </c>
      <c r="CT247" s="5">
        <f>IF($B246&lt;=Tabla5[[#This Row],[INVERSIONES FCI]],+Tabla5[[#This Row],[INVERSIONES FCI]]-CT246,Tabla5[[#This Row],[INVERSIONES FCI]])</f>
        <v>38006454752.441963</v>
      </c>
      <c r="CU247" s="5">
        <f>IF($B246&lt;=Tabla5[[#This Row],[INVERSIONES FCI]],+Tabla5[[#This Row],[INVERSIONES FCI]]-CU246,Tabla5[[#This Row],[INVERSIONES FCI]])</f>
        <v>38006454752.441963</v>
      </c>
      <c r="CV247" s="5">
        <f>IF($B246&lt;=Tabla5[[#This Row],[INVERSIONES FCI]],+Tabla5[[#This Row],[INVERSIONES FCI]]-CV246,Tabla5[[#This Row],[INVERSIONES FCI]])</f>
        <v>38006454752.441963</v>
      </c>
      <c r="CW247" s="5">
        <f>IF($B246&lt;=Tabla5[[#This Row],[INVERSIONES FCI]],+Tabla5[[#This Row],[INVERSIONES FCI]]-CW246,Tabla5[[#This Row],[INVERSIONES FCI]])</f>
        <v>38006454752.441963</v>
      </c>
      <c r="CX247" s="5">
        <f>IF($B246&lt;=Tabla5[[#This Row],[INVERSIONES FCI]],+Tabla5[[#This Row],[INVERSIONES FCI]]-CX246,Tabla5[[#This Row],[INVERSIONES FCI]])</f>
        <v>38006454752.441963</v>
      </c>
      <c r="CY247" s="5">
        <f>IF($B246&lt;=Tabla5[[#This Row],[INVERSIONES FCI]],+Tabla5[[#This Row],[INVERSIONES FCI]]-CY246,Tabla5[[#This Row],[INVERSIONES FCI]])</f>
        <v>38006454752.441963</v>
      </c>
      <c r="CZ247" s="5">
        <f>IF($B246&lt;=Tabla5[[#This Row],[INVERSIONES FCI]],+Tabla5[[#This Row],[INVERSIONES FCI]]-CZ246,Tabla5[[#This Row],[INVERSIONES FCI]])</f>
        <v>38006454752.441963</v>
      </c>
      <c r="DA247" s="5">
        <f>IF($B246&lt;=Tabla5[[#This Row],[INVERSIONES FCI]],+Tabla5[[#This Row],[INVERSIONES FCI]]-DA246,Tabla5[[#This Row],[INVERSIONES FCI]])</f>
        <v>38006454752.441963</v>
      </c>
      <c r="DB247" s="5">
        <f>IF($B246&lt;=Tabla5[[#This Row],[INVERSIONES FCI]],+Tabla5[[#This Row],[INVERSIONES FCI]]-DB246,Tabla5[[#This Row],[INVERSIONES FCI]])</f>
        <v>38006454752.441963</v>
      </c>
      <c r="DC247" s="5">
        <f>IF($B246&lt;=Tabla5[[#This Row],[INVERSIONES FCI]],+Tabla5[[#This Row],[INVERSIONES FCI]]-DC246,Tabla5[[#This Row],[INVERSIONES FCI]])</f>
        <v>38006454752.441963</v>
      </c>
      <c r="DD247" s="5">
        <f>IF($B246&lt;=Tabla5[[#This Row],[INVERSIONES FCI]],+Tabla5[[#This Row],[INVERSIONES FCI]]-DD246,Tabla5[[#This Row],[INVERSIONES FCI]])</f>
        <v>38006454752.441963</v>
      </c>
      <c r="DE247" s="5">
        <f>IF($B246&lt;=Tabla5[[#This Row],[INVERSIONES FCI]],+Tabla5[[#This Row],[INVERSIONES FCI]]-DE246,Tabla5[[#This Row],[INVERSIONES FCI]])</f>
        <v>38006454752.441963</v>
      </c>
      <c r="DF247" s="5">
        <f>IF($B246&lt;=Tabla5[[#This Row],[INVERSIONES FCI]],+Tabla5[[#This Row],[INVERSIONES FCI]]-DF246,Tabla5[[#This Row],[INVERSIONES FCI]])</f>
        <v>38006454752.441963</v>
      </c>
      <c r="DG247" s="5">
        <f>IF($B246&lt;=Tabla5[[#This Row],[INVERSIONES FCI]],+Tabla5[[#This Row],[INVERSIONES FCI]]-DG246,Tabla5[[#This Row],[INVERSIONES FCI]])</f>
        <v>38006454752.441963</v>
      </c>
      <c r="DH247" s="5">
        <f>IF($B246&lt;=Tabla5[[#This Row],[INVERSIONES FCI]],+Tabla5[[#This Row],[INVERSIONES FCI]]-DH246,Tabla5[[#This Row],[INVERSIONES FCI]])</f>
        <v>38006454752.441963</v>
      </c>
      <c r="DI247" s="5">
        <f>IF($B246&lt;=Tabla5[[#This Row],[INVERSIONES FCI]],+Tabla5[[#This Row],[INVERSIONES FCI]]-DI246,Tabla5[[#This Row],[INVERSIONES FCI]])</f>
        <v>38006454752.441963</v>
      </c>
      <c r="DJ247" s="5">
        <f>IF($B246&lt;=Tabla5[[#This Row],[INVERSIONES FCI]],+Tabla5[[#This Row],[INVERSIONES FCI]]-DJ246,Tabla5[[#This Row],[INVERSIONES FCI]])</f>
        <v>38006454752.441963</v>
      </c>
      <c r="DK247" s="5">
        <f>IF($B246&lt;=Tabla5[[#This Row],[INVERSIONES FCI]],+Tabla5[[#This Row],[INVERSIONES FCI]]-DK246,Tabla5[[#This Row],[INVERSIONES FCI]])</f>
        <v>38006454752.441963</v>
      </c>
      <c r="DL247" s="5"/>
      <c r="DM247" s="5"/>
      <c r="DN247" s="5"/>
      <c r="DO247" s="5"/>
      <c r="DP247" s="5"/>
      <c r="DQ247" s="5"/>
    </row>
    <row r="248" spans="1:121" ht="14.4">
      <c r="A248" s="12" t="s">
        <v>247</v>
      </c>
      <c r="B248" s="5">
        <f>HLOOKUP($A248,ESCENARIO[#All],7,FALSE)</f>
        <v>40265037442.15435</v>
      </c>
      <c r="C248" s="5">
        <f>IF($B247&lt;=Tabla5[[#This Row],[INVERSIONES FCI]],+Tabla5[[#This Row],[INVERSIONES FCI]]-C247,Tabla5[[#This Row],[INVERSIONES FCI]])</f>
        <v>2258582689.7123871</v>
      </c>
      <c r="D248" s="5">
        <f>IF($B247&lt;=Tabla5[[#This Row],[INVERSIONES FCI]],+Tabla5[[#This Row],[INVERSIONES FCI]]-D247,Tabla5[[#This Row],[INVERSIONES FCI]])</f>
        <v>2258582689.7123871</v>
      </c>
      <c r="E248" s="5">
        <f>IF($B247&lt;=Tabla5[[#This Row],[INVERSIONES FCI]],+Tabla5[[#This Row],[INVERSIONES FCI]]-E247,Tabla5[[#This Row],[INVERSIONES FCI]])</f>
        <v>2258582689.7123871</v>
      </c>
      <c r="F248" s="5">
        <f>IF($B247&lt;=Tabla5[[#This Row],[INVERSIONES FCI]],+Tabla5[[#This Row],[INVERSIONES FCI]]-F247,Tabla5[[#This Row],[INVERSIONES FCI]])</f>
        <v>2258582689.7123871</v>
      </c>
      <c r="G248" s="5">
        <f>IF($B247&lt;=Tabla5[[#This Row],[INVERSIONES FCI]],+Tabla5[[#This Row],[INVERSIONES FCI]]-G247,Tabla5[[#This Row],[INVERSIONES FCI]])</f>
        <v>2258582689.7123871</v>
      </c>
      <c r="H248" s="5">
        <f>IF($B247&lt;=Tabla5[[#This Row],[INVERSIONES FCI]],+Tabla5[[#This Row],[INVERSIONES FCI]]-H247,Tabla5[[#This Row],[INVERSIONES FCI]])</f>
        <v>2258582689.7123871</v>
      </c>
      <c r="I248" s="5">
        <f>IF($B247&lt;=Tabla5[[#This Row],[INVERSIONES FCI]],+Tabla5[[#This Row],[INVERSIONES FCI]]-I247,Tabla5[[#This Row],[INVERSIONES FCI]])</f>
        <v>2258582689.7123871</v>
      </c>
      <c r="J248" s="5">
        <f>IF($B247&lt;=Tabla5[[#This Row],[INVERSIONES FCI]],+Tabla5[[#This Row],[INVERSIONES FCI]]-J247,Tabla5[[#This Row],[INVERSIONES FCI]])</f>
        <v>2258582689.7123871</v>
      </c>
      <c r="K248" s="5">
        <f>IF($B247&lt;=Tabla5[[#This Row],[INVERSIONES FCI]],+Tabla5[[#This Row],[INVERSIONES FCI]]-K247,Tabla5[[#This Row],[INVERSIONES FCI]])</f>
        <v>2258582689.7123871</v>
      </c>
      <c r="L248" s="5">
        <f>IF($B247&lt;=Tabla5[[#This Row],[INVERSIONES FCI]],+Tabla5[[#This Row],[INVERSIONES FCI]]-L247,Tabla5[[#This Row],[INVERSIONES FCI]])</f>
        <v>2258582689.7123871</v>
      </c>
      <c r="M248" s="5">
        <f>IF($B247&lt;=Tabla5[[#This Row],[INVERSIONES FCI]],+Tabla5[[#This Row],[INVERSIONES FCI]]-M247,Tabla5[[#This Row],[INVERSIONES FCI]])</f>
        <v>2258582689.7123871</v>
      </c>
      <c r="N248" s="5">
        <f>IF($B247&lt;=Tabla5[[#This Row],[INVERSIONES FCI]],+Tabla5[[#This Row],[INVERSIONES FCI]]-N247,Tabla5[[#This Row],[INVERSIONES FCI]])</f>
        <v>2258582689.7123871</v>
      </c>
      <c r="O248" s="5">
        <f>IF($B247&lt;=Tabla5[[#This Row],[INVERSIONES FCI]],+Tabla5[[#This Row],[INVERSIONES FCI]]-O247,Tabla5[[#This Row],[INVERSIONES FCI]])</f>
        <v>2258582689.7123871</v>
      </c>
      <c r="P248" s="5">
        <f>IF($B247&lt;=Tabla5[[#This Row],[INVERSIONES FCI]],+Tabla5[[#This Row],[INVERSIONES FCI]]-P247,Tabla5[[#This Row],[INVERSIONES FCI]])</f>
        <v>2258582689.7123871</v>
      </c>
      <c r="Q248" s="5">
        <f>IF($B247&lt;=Tabla5[[#This Row],[INVERSIONES FCI]],+Tabla5[[#This Row],[INVERSIONES FCI]]-Q247,Tabla5[[#This Row],[INVERSIONES FCI]])</f>
        <v>2258582689.7123871</v>
      </c>
      <c r="R248" s="5">
        <f>IF($B247&lt;=Tabla5[[#This Row],[INVERSIONES FCI]],+Tabla5[[#This Row],[INVERSIONES FCI]]-R247,Tabla5[[#This Row],[INVERSIONES FCI]])</f>
        <v>2258582689.7123871</v>
      </c>
      <c r="S248" s="5">
        <f>IF($B247&lt;=Tabla5[[#This Row],[INVERSIONES FCI]],+Tabla5[[#This Row],[INVERSIONES FCI]]-S247,Tabla5[[#This Row],[INVERSIONES FCI]])</f>
        <v>2258582689.7123871</v>
      </c>
      <c r="T248" s="5">
        <f>IF($B247&lt;=Tabla5[[#This Row],[INVERSIONES FCI]],+Tabla5[[#This Row],[INVERSIONES FCI]]-T247,Tabla5[[#This Row],[INVERSIONES FCI]])</f>
        <v>2258582689.7123871</v>
      </c>
      <c r="U248" s="5">
        <f>IF($B247&lt;=Tabla5[[#This Row],[INVERSIONES FCI]],+Tabla5[[#This Row],[INVERSIONES FCI]]-U247,Tabla5[[#This Row],[INVERSIONES FCI]])</f>
        <v>2258582689.7123871</v>
      </c>
      <c r="V248" s="5">
        <f>IF($B247&lt;=Tabla5[[#This Row],[INVERSIONES FCI]],+Tabla5[[#This Row],[INVERSIONES FCI]]-V247,Tabla5[[#This Row],[INVERSIONES FCI]])</f>
        <v>2258582689.7123871</v>
      </c>
      <c r="W248" s="5">
        <f>IF($B247&lt;=Tabla5[[#This Row],[INVERSIONES FCI]],+Tabla5[[#This Row],[INVERSIONES FCI]]-W247,Tabla5[[#This Row],[INVERSIONES FCI]])</f>
        <v>2258582689.7123871</v>
      </c>
      <c r="X248" s="5">
        <f>IF($B247&lt;=Tabla5[[#This Row],[INVERSIONES FCI]],+Tabla5[[#This Row],[INVERSIONES FCI]]-X247,Tabla5[[#This Row],[INVERSIONES FCI]])</f>
        <v>2258582689.7123871</v>
      </c>
      <c r="Y248" s="5">
        <f>IF($B247&lt;=Tabla5[[#This Row],[INVERSIONES FCI]],+Tabla5[[#This Row],[INVERSIONES FCI]]-Y247,Tabla5[[#This Row],[INVERSIONES FCI]])</f>
        <v>2258582689.7123871</v>
      </c>
      <c r="Z248" s="5">
        <f>IF($B247&lt;=Tabla5[[#This Row],[INVERSIONES FCI]],+Tabla5[[#This Row],[INVERSIONES FCI]]-Z247,Tabla5[[#This Row],[INVERSIONES FCI]])</f>
        <v>2258582689.7123871</v>
      </c>
      <c r="AA248" s="5">
        <f>IF($B247&lt;=Tabla5[[#This Row],[INVERSIONES FCI]],+Tabla5[[#This Row],[INVERSIONES FCI]]-AA247,Tabla5[[#This Row],[INVERSIONES FCI]])</f>
        <v>2258582689.7123871</v>
      </c>
      <c r="AB248" s="5">
        <f>IF($B247&lt;=Tabla5[[#This Row],[INVERSIONES FCI]],+Tabla5[[#This Row],[INVERSIONES FCI]]-AB247,Tabla5[[#This Row],[INVERSIONES FCI]])</f>
        <v>2258582689.7123871</v>
      </c>
      <c r="AC248" s="5">
        <f>IF($B247&lt;=Tabla5[[#This Row],[INVERSIONES FCI]],+Tabla5[[#This Row],[INVERSIONES FCI]]-AC247,Tabla5[[#This Row],[INVERSIONES FCI]])</f>
        <v>2258582689.7123871</v>
      </c>
      <c r="AD248" s="5">
        <f>IF($B247&lt;=Tabla5[[#This Row],[INVERSIONES FCI]],+Tabla5[[#This Row],[INVERSIONES FCI]]-AD247,Tabla5[[#This Row],[INVERSIONES FCI]])</f>
        <v>2258582689.7123871</v>
      </c>
      <c r="AE248" s="5">
        <f>IF($B247&lt;=Tabla5[[#This Row],[INVERSIONES FCI]],+Tabla5[[#This Row],[INVERSIONES FCI]]-AE247,Tabla5[[#This Row],[INVERSIONES FCI]])</f>
        <v>2258582689.7123871</v>
      </c>
      <c r="AF248" s="5">
        <f>IF($B247&lt;=Tabla5[[#This Row],[INVERSIONES FCI]],+Tabla5[[#This Row],[INVERSIONES FCI]]-AF247,Tabla5[[#This Row],[INVERSIONES FCI]])</f>
        <v>2258582689.7123871</v>
      </c>
      <c r="AG248" s="5">
        <f>IF($B247&lt;=Tabla5[[#This Row],[INVERSIONES FCI]],+Tabla5[[#This Row],[INVERSIONES FCI]]-AG247,Tabla5[[#This Row],[INVERSIONES FCI]])</f>
        <v>2258582689.7123871</v>
      </c>
      <c r="AH248" s="5">
        <f>IF($B247&lt;=Tabla5[[#This Row],[INVERSIONES FCI]],+Tabla5[[#This Row],[INVERSIONES FCI]]-AH247,Tabla5[[#This Row],[INVERSIONES FCI]])</f>
        <v>2258582689.7123871</v>
      </c>
      <c r="AI248" s="5">
        <f>IF($B247&lt;=Tabla5[[#This Row],[INVERSIONES FCI]],+Tabla5[[#This Row],[INVERSIONES FCI]]-AI247,Tabla5[[#This Row],[INVERSIONES FCI]])</f>
        <v>2258582689.7123871</v>
      </c>
      <c r="AJ248" s="5">
        <f>IF($B247&lt;=Tabla5[[#This Row],[INVERSIONES FCI]],+Tabla5[[#This Row],[INVERSIONES FCI]]-AJ247,Tabla5[[#This Row],[INVERSIONES FCI]])</f>
        <v>2258582689.7123871</v>
      </c>
      <c r="AK248" s="5">
        <f>IF($B247&lt;=Tabla5[[#This Row],[INVERSIONES FCI]],+Tabla5[[#This Row],[INVERSIONES FCI]]-AK247,Tabla5[[#This Row],[INVERSIONES FCI]])</f>
        <v>2258582689.7123871</v>
      </c>
      <c r="AL248" s="5">
        <f>IF($B247&lt;=Tabla5[[#This Row],[INVERSIONES FCI]],+Tabla5[[#This Row],[INVERSIONES FCI]]-AL247,Tabla5[[#This Row],[INVERSIONES FCI]])</f>
        <v>2258582689.7123871</v>
      </c>
      <c r="AM248" s="5">
        <f>IF($B247&lt;=Tabla5[[#This Row],[INVERSIONES FCI]],+Tabla5[[#This Row],[INVERSIONES FCI]]-AM247,Tabla5[[#This Row],[INVERSIONES FCI]])</f>
        <v>2258582689.7123871</v>
      </c>
      <c r="AN248" s="5">
        <f>IF($B247&lt;=Tabla5[[#This Row],[INVERSIONES FCI]],+Tabla5[[#This Row],[INVERSIONES FCI]]-AN247,Tabla5[[#This Row],[INVERSIONES FCI]])</f>
        <v>2258582689.7123871</v>
      </c>
      <c r="AO248" s="5">
        <f>IF($B247&lt;=Tabla5[[#This Row],[INVERSIONES FCI]],+Tabla5[[#This Row],[INVERSIONES FCI]]-AO247,Tabla5[[#This Row],[INVERSIONES FCI]])</f>
        <v>2258582689.7123871</v>
      </c>
      <c r="AP248" s="5">
        <f>IF($B247&lt;=Tabla5[[#This Row],[INVERSIONES FCI]],+Tabla5[[#This Row],[INVERSIONES FCI]]-AP247,Tabla5[[#This Row],[INVERSIONES FCI]])</f>
        <v>2258582689.7123871</v>
      </c>
      <c r="AQ248" s="5">
        <f>IF($B247&lt;=Tabla5[[#This Row],[INVERSIONES FCI]],+Tabla5[[#This Row],[INVERSIONES FCI]]-AQ247,Tabla5[[#This Row],[INVERSIONES FCI]])</f>
        <v>2258582689.7123871</v>
      </c>
      <c r="AR248" s="5">
        <f>IF($B247&lt;=Tabla5[[#This Row],[INVERSIONES FCI]],+Tabla5[[#This Row],[INVERSIONES FCI]]-AR247,Tabla5[[#This Row],[INVERSIONES FCI]])</f>
        <v>2258582689.7123871</v>
      </c>
      <c r="AS248" s="5">
        <f>IF($B247&lt;=Tabla5[[#This Row],[INVERSIONES FCI]],+Tabla5[[#This Row],[INVERSIONES FCI]]-AS247,Tabla5[[#This Row],[INVERSIONES FCI]])</f>
        <v>2258582689.7123871</v>
      </c>
      <c r="AT248" s="5">
        <f>IF($B247&lt;=Tabla5[[#This Row],[INVERSIONES FCI]],+Tabla5[[#This Row],[INVERSIONES FCI]]-AT247,Tabla5[[#This Row],[INVERSIONES FCI]])</f>
        <v>2258582689.7123871</v>
      </c>
      <c r="AU248" s="5">
        <f>IF($B247&lt;=Tabla5[[#This Row],[INVERSIONES FCI]],+Tabla5[[#This Row],[INVERSIONES FCI]]-AU247,Tabla5[[#This Row],[INVERSIONES FCI]])</f>
        <v>2258582689.7123871</v>
      </c>
      <c r="AV248" s="5">
        <f>IF($B247&lt;=Tabla5[[#This Row],[INVERSIONES FCI]],+Tabla5[[#This Row],[INVERSIONES FCI]]-AV247,Tabla5[[#This Row],[INVERSIONES FCI]])</f>
        <v>2258582689.7123871</v>
      </c>
      <c r="AW248" s="5">
        <f>IF($B247&lt;=Tabla5[[#This Row],[INVERSIONES FCI]],+Tabla5[[#This Row],[INVERSIONES FCI]]-AW247,Tabla5[[#This Row],[INVERSIONES FCI]])</f>
        <v>2258582689.7123871</v>
      </c>
      <c r="AX248" s="5">
        <f>IF($B247&lt;=Tabla5[[#This Row],[INVERSIONES FCI]],+Tabla5[[#This Row],[INVERSIONES FCI]]-AX247,Tabla5[[#This Row],[INVERSIONES FCI]])</f>
        <v>2258582689.7123871</v>
      </c>
      <c r="AY248" s="5">
        <f>IF($B247&lt;=Tabla5[[#This Row],[INVERSIONES FCI]],+Tabla5[[#This Row],[INVERSIONES FCI]]-AY247,Tabla5[[#This Row],[INVERSIONES FCI]])</f>
        <v>2258582689.7123871</v>
      </c>
      <c r="AZ248" s="5">
        <f>IF($B247&lt;=Tabla5[[#This Row],[INVERSIONES FCI]],+Tabla5[[#This Row],[INVERSIONES FCI]]-AZ247,Tabla5[[#This Row],[INVERSIONES FCI]])</f>
        <v>2258582689.7123871</v>
      </c>
      <c r="BA248" s="5">
        <f>IF($B247&lt;=Tabla5[[#This Row],[INVERSIONES FCI]],+Tabla5[[#This Row],[INVERSIONES FCI]]-BA247,Tabla5[[#This Row],[INVERSIONES FCI]])</f>
        <v>2258582689.7123871</v>
      </c>
      <c r="BB248" s="5">
        <f>IF($B247&lt;=Tabla5[[#This Row],[INVERSIONES FCI]],+Tabla5[[#This Row],[INVERSIONES FCI]]-BB247,Tabla5[[#This Row],[INVERSIONES FCI]])</f>
        <v>2258582689.7123871</v>
      </c>
      <c r="BC248" s="5">
        <f>IF($B247&lt;=Tabla5[[#This Row],[INVERSIONES FCI]],+Tabla5[[#This Row],[INVERSIONES FCI]]-BC247,Tabla5[[#This Row],[INVERSIONES FCI]])</f>
        <v>2258582689.7123871</v>
      </c>
      <c r="BD248" s="5">
        <f>IF($B247&lt;=Tabla5[[#This Row],[INVERSIONES FCI]],+Tabla5[[#This Row],[INVERSIONES FCI]]-BD247,Tabla5[[#This Row],[INVERSIONES FCI]])</f>
        <v>2258582689.7123871</v>
      </c>
      <c r="BE248" s="5">
        <f>IF($B247&lt;=Tabla5[[#This Row],[INVERSIONES FCI]],+Tabla5[[#This Row],[INVERSIONES FCI]]-BE247,Tabla5[[#This Row],[INVERSIONES FCI]])</f>
        <v>2258582689.7123871</v>
      </c>
      <c r="BF248" s="5">
        <f>IF($B247&lt;=Tabla5[[#This Row],[INVERSIONES FCI]],+Tabla5[[#This Row],[INVERSIONES FCI]]-BF247,Tabla5[[#This Row],[INVERSIONES FCI]])</f>
        <v>2258582689.7123871</v>
      </c>
      <c r="BG248" s="5">
        <f>IF($B247&lt;=Tabla5[[#This Row],[INVERSIONES FCI]],+Tabla5[[#This Row],[INVERSIONES FCI]]-BG247,Tabla5[[#This Row],[INVERSIONES FCI]])</f>
        <v>2258582689.7123871</v>
      </c>
      <c r="BH248" s="5">
        <f>IF($B247&lt;=Tabla5[[#This Row],[INVERSIONES FCI]],+Tabla5[[#This Row],[INVERSIONES FCI]]-BH247,Tabla5[[#This Row],[INVERSIONES FCI]])</f>
        <v>2258582689.7123871</v>
      </c>
      <c r="BI248" s="5">
        <f>IF($B247&lt;=Tabla5[[#This Row],[INVERSIONES FCI]],+Tabla5[[#This Row],[INVERSIONES FCI]]-BI247,Tabla5[[#This Row],[INVERSIONES FCI]])</f>
        <v>2258582689.7123871</v>
      </c>
      <c r="BJ248" s="5">
        <f>IF($B247&lt;=Tabla5[[#This Row],[INVERSIONES FCI]],+Tabla5[[#This Row],[INVERSIONES FCI]]-BJ247,Tabla5[[#This Row],[INVERSIONES FCI]])</f>
        <v>2258582689.7123871</v>
      </c>
      <c r="BK248" s="5">
        <f>IF($B247&lt;=Tabla5[[#This Row],[INVERSIONES FCI]],+Tabla5[[#This Row],[INVERSIONES FCI]]-BK247,Tabla5[[#This Row],[INVERSIONES FCI]])</f>
        <v>2258582689.7123871</v>
      </c>
      <c r="BL248" s="5">
        <f>IF($B247&lt;=Tabla5[[#This Row],[INVERSIONES FCI]],+Tabla5[[#This Row],[INVERSIONES FCI]]-BL247,Tabla5[[#This Row],[INVERSIONES FCI]])</f>
        <v>2258582689.7123871</v>
      </c>
      <c r="BM248" s="5">
        <f>IF($B247&lt;=Tabla5[[#This Row],[INVERSIONES FCI]],+Tabla5[[#This Row],[INVERSIONES FCI]]-BM247,Tabla5[[#This Row],[INVERSIONES FCI]])</f>
        <v>2258582689.7123871</v>
      </c>
      <c r="BN248" s="5">
        <f>IF($B247&lt;=Tabla5[[#This Row],[INVERSIONES FCI]],+Tabla5[[#This Row],[INVERSIONES FCI]]-BN247,Tabla5[[#This Row],[INVERSIONES FCI]])</f>
        <v>2258582689.7123871</v>
      </c>
      <c r="BO248" s="5">
        <f>IF($B247&lt;=Tabla5[[#This Row],[INVERSIONES FCI]],+Tabla5[[#This Row],[INVERSIONES FCI]]-BO247,Tabla5[[#This Row],[INVERSIONES FCI]])</f>
        <v>2258582689.7123871</v>
      </c>
      <c r="BP248" s="5">
        <f>IF($B247&lt;=Tabla5[[#This Row],[INVERSIONES FCI]],+Tabla5[[#This Row],[INVERSIONES FCI]]-BP247,Tabla5[[#This Row],[INVERSIONES FCI]])</f>
        <v>2258582689.7123871</v>
      </c>
      <c r="BQ248" s="5">
        <f>IF($B247&lt;=Tabla5[[#This Row],[INVERSIONES FCI]],+Tabla5[[#This Row],[INVERSIONES FCI]]-BQ247,Tabla5[[#This Row],[INVERSIONES FCI]])</f>
        <v>2258582689.7123871</v>
      </c>
      <c r="BR248" s="5">
        <f>IF($B247&lt;=Tabla5[[#This Row],[INVERSIONES FCI]],+Tabla5[[#This Row],[INVERSIONES FCI]]-BR247,Tabla5[[#This Row],[INVERSIONES FCI]])</f>
        <v>2258582689.7123871</v>
      </c>
      <c r="BS248" s="5">
        <f>IF($B247&lt;=Tabla5[[#This Row],[INVERSIONES FCI]],+Tabla5[[#This Row],[INVERSIONES FCI]]-BS247,Tabla5[[#This Row],[INVERSIONES FCI]])</f>
        <v>2258582689.7123871</v>
      </c>
      <c r="BT248" s="5">
        <f>IF($B247&lt;=Tabla5[[#This Row],[INVERSIONES FCI]],+Tabla5[[#This Row],[INVERSIONES FCI]]-BT247,Tabla5[[#This Row],[INVERSIONES FCI]])</f>
        <v>2258582689.7123871</v>
      </c>
      <c r="BU248" s="5">
        <f>IF($B247&lt;=Tabla5[[#This Row],[INVERSIONES FCI]],+Tabla5[[#This Row],[INVERSIONES FCI]]-BU247,Tabla5[[#This Row],[INVERSIONES FCI]])</f>
        <v>2258582689.7123871</v>
      </c>
      <c r="BV248" s="5">
        <f>IF($B247&lt;=Tabla5[[#This Row],[INVERSIONES FCI]],+Tabla5[[#This Row],[INVERSIONES FCI]]-BV247,Tabla5[[#This Row],[INVERSIONES FCI]])</f>
        <v>2258582689.7123871</v>
      </c>
      <c r="BW248" s="5">
        <f>IF($B247&lt;=Tabla5[[#This Row],[INVERSIONES FCI]],+Tabla5[[#This Row],[INVERSIONES FCI]]-BW247,Tabla5[[#This Row],[INVERSIONES FCI]])</f>
        <v>2258582689.7123871</v>
      </c>
      <c r="BX248" s="5">
        <f>IF($B247&lt;=Tabla5[[#This Row],[INVERSIONES FCI]],+Tabla5[[#This Row],[INVERSIONES FCI]]-BX247,Tabla5[[#This Row],[INVERSIONES FCI]])</f>
        <v>2258582689.7123871</v>
      </c>
      <c r="BY248" s="5">
        <f>IF($B247&lt;=Tabla5[[#This Row],[INVERSIONES FCI]],+Tabla5[[#This Row],[INVERSIONES FCI]]-BY247,Tabla5[[#This Row],[INVERSIONES FCI]])</f>
        <v>2258582689.7123871</v>
      </c>
      <c r="BZ248" s="5">
        <f>IF($B247&lt;=Tabla5[[#This Row],[INVERSIONES FCI]],+Tabla5[[#This Row],[INVERSIONES FCI]]-BZ247,Tabla5[[#This Row],[INVERSIONES FCI]])</f>
        <v>2258582689.7123871</v>
      </c>
      <c r="CA248" s="5">
        <f>IF($B247&lt;=Tabla5[[#This Row],[INVERSIONES FCI]],+Tabla5[[#This Row],[INVERSIONES FCI]]-CA247,Tabla5[[#This Row],[INVERSIONES FCI]])</f>
        <v>2258582689.7123871</v>
      </c>
      <c r="CB248" s="5">
        <f>IF($B247&lt;=Tabla5[[#This Row],[INVERSIONES FCI]],+Tabla5[[#This Row],[INVERSIONES FCI]]-CB247,Tabla5[[#This Row],[INVERSIONES FCI]])</f>
        <v>2258582689.7123871</v>
      </c>
      <c r="CC248" s="5">
        <f>IF($B247&lt;=Tabla5[[#This Row],[INVERSIONES FCI]],+Tabla5[[#This Row],[INVERSIONES FCI]]-CC247,Tabla5[[#This Row],[INVERSIONES FCI]])</f>
        <v>2258582689.7123871</v>
      </c>
      <c r="CD248" s="5">
        <f>IF($B247&lt;=Tabla5[[#This Row],[INVERSIONES FCI]],+Tabla5[[#This Row],[INVERSIONES FCI]]-CD247,Tabla5[[#This Row],[INVERSIONES FCI]])</f>
        <v>2258582689.7123871</v>
      </c>
      <c r="CE248" s="5">
        <f>IF($B247&lt;=Tabla5[[#This Row],[INVERSIONES FCI]],+Tabla5[[#This Row],[INVERSIONES FCI]]-CE247,Tabla5[[#This Row],[INVERSIONES FCI]])</f>
        <v>2258582689.7123871</v>
      </c>
      <c r="CF248" s="5">
        <f>IF($B247&lt;=Tabla5[[#This Row],[INVERSIONES FCI]],+Tabla5[[#This Row],[INVERSIONES FCI]]-CF247,Tabla5[[#This Row],[INVERSIONES FCI]])</f>
        <v>2258582689.7123871</v>
      </c>
      <c r="CG248" s="5">
        <f>IF($B247&lt;=Tabla5[[#This Row],[INVERSIONES FCI]],+Tabla5[[#This Row],[INVERSIONES FCI]]-CG247,Tabla5[[#This Row],[INVERSIONES FCI]])</f>
        <v>2258582689.7123871</v>
      </c>
      <c r="CH248" s="5">
        <f>IF($B247&lt;=Tabla5[[#This Row],[INVERSIONES FCI]],+Tabla5[[#This Row],[INVERSIONES FCI]]-CH247,Tabla5[[#This Row],[INVERSIONES FCI]])</f>
        <v>2258582689.7123871</v>
      </c>
      <c r="CI248" s="5">
        <f>IF($B247&lt;=Tabla5[[#This Row],[INVERSIONES FCI]],+Tabla5[[#This Row],[INVERSIONES FCI]]-CI247,Tabla5[[#This Row],[INVERSIONES FCI]])</f>
        <v>2258582689.7123871</v>
      </c>
      <c r="CJ248" s="5">
        <f>IF($B247&lt;=Tabla5[[#This Row],[INVERSIONES FCI]],+Tabla5[[#This Row],[INVERSIONES FCI]]-CJ247,Tabla5[[#This Row],[INVERSIONES FCI]])</f>
        <v>2258582689.7123871</v>
      </c>
      <c r="CK248" s="5">
        <f>IF($B247&lt;=Tabla5[[#This Row],[INVERSIONES FCI]],+Tabla5[[#This Row],[INVERSIONES FCI]]-CK247,Tabla5[[#This Row],[INVERSIONES FCI]])</f>
        <v>2258582689.7123871</v>
      </c>
      <c r="CL248" s="5">
        <f>IF($B247&lt;=Tabla5[[#This Row],[INVERSIONES FCI]],+Tabla5[[#This Row],[INVERSIONES FCI]]-CL247,Tabla5[[#This Row],[INVERSIONES FCI]])</f>
        <v>2258582689.7123871</v>
      </c>
      <c r="CM248" s="5">
        <f>IF($B247&lt;=Tabla5[[#This Row],[INVERSIONES FCI]],+Tabla5[[#This Row],[INVERSIONES FCI]]-CM247,Tabla5[[#This Row],[INVERSIONES FCI]])</f>
        <v>2258582689.7123871</v>
      </c>
      <c r="CN248" s="5">
        <f>IF($B247&lt;=Tabla5[[#This Row],[INVERSIONES FCI]],+Tabla5[[#This Row],[INVERSIONES FCI]]-CN247,Tabla5[[#This Row],[INVERSIONES FCI]])</f>
        <v>2258582689.7123871</v>
      </c>
      <c r="CO248" s="5">
        <f>IF($B247&lt;=Tabla5[[#This Row],[INVERSIONES FCI]],+Tabla5[[#This Row],[INVERSIONES FCI]]-CO247,Tabla5[[#This Row],[INVERSIONES FCI]])</f>
        <v>2258582689.7123871</v>
      </c>
      <c r="CP248" s="5">
        <f>IF($B247&lt;=Tabla5[[#This Row],[INVERSIONES FCI]],+Tabla5[[#This Row],[INVERSIONES FCI]]-CP247,Tabla5[[#This Row],[INVERSIONES FCI]])</f>
        <v>2258582689.7123871</v>
      </c>
      <c r="CQ248" s="5">
        <f>IF($B247&lt;=Tabla5[[#This Row],[INVERSIONES FCI]],+Tabla5[[#This Row],[INVERSIONES FCI]]-CQ247,Tabla5[[#This Row],[INVERSIONES FCI]])</f>
        <v>2258582689.7123871</v>
      </c>
      <c r="CR248" s="5">
        <f>IF($B247&lt;=Tabla5[[#This Row],[INVERSIONES FCI]],+Tabla5[[#This Row],[INVERSIONES FCI]]-CR247,Tabla5[[#This Row],[INVERSIONES FCI]])</f>
        <v>2258582689.7123871</v>
      </c>
      <c r="CS248" s="5">
        <f>IF($B247&lt;=Tabla5[[#This Row],[INVERSIONES FCI]],+Tabla5[[#This Row],[INVERSIONES FCI]]-CS247,Tabla5[[#This Row],[INVERSIONES FCI]])</f>
        <v>2258582689.7123871</v>
      </c>
      <c r="CT248" s="5">
        <f>IF($B247&lt;=Tabla5[[#This Row],[INVERSIONES FCI]],+Tabla5[[#This Row],[INVERSIONES FCI]]-CT247,Tabla5[[#This Row],[INVERSIONES FCI]])</f>
        <v>2258582689.7123871</v>
      </c>
      <c r="CU248" s="5">
        <f>IF($B247&lt;=Tabla5[[#This Row],[INVERSIONES FCI]],+Tabla5[[#This Row],[INVERSIONES FCI]]-CU247,Tabla5[[#This Row],[INVERSIONES FCI]])</f>
        <v>2258582689.7123871</v>
      </c>
      <c r="CV248" s="5">
        <f>IF($B247&lt;=Tabla5[[#This Row],[INVERSIONES FCI]],+Tabla5[[#This Row],[INVERSIONES FCI]]-CV247,Tabla5[[#This Row],[INVERSIONES FCI]])</f>
        <v>2258582689.7123871</v>
      </c>
      <c r="CW248" s="5">
        <f>IF($B247&lt;=Tabla5[[#This Row],[INVERSIONES FCI]],+Tabla5[[#This Row],[INVERSIONES FCI]]-CW247,Tabla5[[#This Row],[INVERSIONES FCI]])</f>
        <v>2258582689.7123871</v>
      </c>
      <c r="CX248" s="5">
        <f>IF($B247&lt;=Tabla5[[#This Row],[INVERSIONES FCI]],+Tabla5[[#This Row],[INVERSIONES FCI]]-CX247,Tabla5[[#This Row],[INVERSIONES FCI]])</f>
        <v>2258582689.7123871</v>
      </c>
      <c r="CY248" s="5">
        <f>IF($B247&lt;=Tabla5[[#This Row],[INVERSIONES FCI]],+Tabla5[[#This Row],[INVERSIONES FCI]]-CY247,Tabla5[[#This Row],[INVERSIONES FCI]])</f>
        <v>2258582689.7123871</v>
      </c>
      <c r="CZ248" s="5">
        <f>IF($B247&lt;=Tabla5[[#This Row],[INVERSIONES FCI]],+Tabla5[[#This Row],[INVERSIONES FCI]]-CZ247,Tabla5[[#This Row],[INVERSIONES FCI]])</f>
        <v>2258582689.7123871</v>
      </c>
      <c r="DA248" s="5">
        <f>IF($B247&lt;=Tabla5[[#This Row],[INVERSIONES FCI]],+Tabla5[[#This Row],[INVERSIONES FCI]]-DA247,Tabla5[[#This Row],[INVERSIONES FCI]])</f>
        <v>2258582689.7123871</v>
      </c>
      <c r="DB248" s="5">
        <f>IF($B247&lt;=Tabla5[[#This Row],[INVERSIONES FCI]],+Tabla5[[#This Row],[INVERSIONES FCI]]-DB247,Tabla5[[#This Row],[INVERSIONES FCI]])</f>
        <v>2258582689.7123871</v>
      </c>
      <c r="DC248" s="5">
        <f>IF($B247&lt;=Tabla5[[#This Row],[INVERSIONES FCI]],+Tabla5[[#This Row],[INVERSIONES FCI]]-DC247,Tabla5[[#This Row],[INVERSIONES FCI]])</f>
        <v>2258582689.7123871</v>
      </c>
      <c r="DD248" s="5">
        <f>IF($B247&lt;=Tabla5[[#This Row],[INVERSIONES FCI]],+Tabla5[[#This Row],[INVERSIONES FCI]]-DD247,Tabla5[[#This Row],[INVERSIONES FCI]])</f>
        <v>2258582689.7123871</v>
      </c>
      <c r="DE248" s="5">
        <f>IF($B247&lt;=Tabla5[[#This Row],[INVERSIONES FCI]],+Tabla5[[#This Row],[INVERSIONES FCI]]-DE247,Tabla5[[#This Row],[INVERSIONES FCI]])</f>
        <v>2258582689.7123871</v>
      </c>
      <c r="DF248" s="5">
        <f>IF($B247&lt;=Tabla5[[#This Row],[INVERSIONES FCI]],+Tabla5[[#This Row],[INVERSIONES FCI]]-DF247,Tabla5[[#This Row],[INVERSIONES FCI]])</f>
        <v>2258582689.7123871</v>
      </c>
      <c r="DG248" s="5">
        <f>IF($B247&lt;=Tabla5[[#This Row],[INVERSIONES FCI]],+Tabla5[[#This Row],[INVERSIONES FCI]]-DG247,Tabla5[[#This Row],[INVERSIONES FCI]])</f>
        <v>2258582689.7123871</v>
      </c>
      <c r="DH248" s="5">
        <f>IF($B247&lt;=Tabla5[[#This Row],[INVERSIONES FCI]],+Tabla5[[#This Row],[INVERSIONES FCI]]-DH247,Tabla5[[#This Row],[INVERSIONES FCI]])</f>
        <v>2258582689.7123871</v>
      </c>
      <c r="DI248" s="5">
        <f>IF($B247&lt;=Tabla5[[#This Row],[INVERSIONES FCI]],+Tabla5[[#This Row],[INVERSIONES FCI]]-DI247,Tabla5[[#This Row],[INVERSIONES FCI]])</f>
        <v>2258582689.7123871</v>
      </c>
      <c r="DJ248" s="5">
        <f>IF($B247&lt;=Tabla5[[#This Row],[INVERSIONES FCI]],+Tabla5[[#This Row],[INVERSIONES FCI]]-DJ247,Tabla5[[#This Row],[INVERSIONES FCI]])</f>
        <v>2258582689.7123871</v>
      </c>
      <c r="DK248" s="5">
        <f>IF($B247&lt;=Tabla5[[#This Row],[INVERSIONES FCI]],+Tabla5[[#This Row],[INVERSIONES FCI]]-DK247,Tabla5[[#This Row],[INVERSIONES FCI]])</f>
        <v>2258582689.7123871</v>
      </c>
      <c r="DL248" s="5"/>
      <c r="DM248" s="5"/>
      <c r="DN248" s="5"/>
      <c r="DO248" s="5"/>
      <c r="DP248" s="5"/>
      <c r="DQ248" s="5"/>
    </row>
    <row r="249" spans="1:121" ht="14.4">
      <c r="A249" s="12" t="s">
        <v>248</v>
      </c>
      <c r="B249" s="5">
        <f>HLOOKUP($A249,ESCENARIO[#All],7,FALSE)</f>
        <v>39737130868.261414</v>
      </c>
      <c r="C249" s="5">
        <f>IF($B248&lt;=Tabla5[[#This Row],[INVERSIONES FCI]],+Tabla5[[#This Row],[INVERSIONES FCI]]-C248,Tabla5[[#This Row],[INVERSIONES FCI]])</f>
        <v>39737130868.261414</v>
      </c>
      <c r="D249" s="5">
        <f>IF($B248&lt;=Tabla5[[#This Row],[INVERSIONES FCI]],+Tabla5[[#This Row],[INVERSIONES FCI]]-D248,Tabla5[[#This Row],[INVERSIONES FCI]])</f>
        <v>39737130868.261414</v>
      </c>
      <c r="E249" s="5">
        <f>IF($B248&lt;=Tabla5[[#This Row],[INVERSIONES FCI]],+Tabla5[[#This Row],[INVERSIONES FCI]]-E248,Tabla5[[#This Row],[INVERSIONES FCI]])</f>
        <v>39737130868.261414</v>
      </c>
      <c r="F249" s="5">
        <f>IF($B248&lt;=Tabla5[[#This Row],[INVERSIONES FCI]],+Tabla5[[#This Row],[INVERSIONES FCI]]-F248,Tabla5[[#This Row],[INVERSIONES FCI]])</f>
        <v>39737130868.261414</v>
      </c>
      <c r="G249" s="5">
        <f>IF($B248&lt;=Tabla5[[#This Row],[INVERSIONES FCI]],+Tabla5[[#This Row],[INVERSIONES FCI]]-G248,Tabla5[[#This Row],[INVERSIONES FCI]])</f>
        <v>39737130868.261414</v>
      </c>
      <c r="H249" s="5">
        <f>IF($B248&lt;=Tabla5[[#This Row],[INVERSIONES FCI]],+Tabla5[[#This Row],[INVERSIONES FCI]]-H248,Tabla5[[#This Row],[INVERSIONES FCI]])</f>
        <v>39737130868.261414</v>
      </c>
      <c r="I249" s="5">
        <f>IF($B248&lt;=Tabla5[[#This Row],[INVERSIONES FCI]],+Tabla5[[#This Row],[INVERSIONES FCI]]-I248,Tabla5[[#This Row],[INVERSIONES FCI]])</f>
        <v>39737130868.261414</v>
      </c>
      <c r="J249" s="5">
        <f>IF($B248&lt;=Tabla5[[#This Row],[INVERSIONES FCI]],+Tabla5[[#This Row],[INVERSIONES FCI]]-J248,Tabla5[[#This Row],[INVERSIONES FCI]])</f>
        <v>39737130868.261414</v>
      </c>
      <c r="K249" s="5">
        <f>IF($B248&lt;=Tabla5[[#This Row],[INVERSIONES FCI]],+Tabla5[[#This Row],[INVERSIONES FCI]]-K248,Tabla5[[#This Row],[INVERSIONES FCI]])</f>
        <v>39737130868.261414</v>
      </c>
      <c r="L249" s="5">
        <f>IF($B248&lt;=Tabla5[[#This Row],[INVERSIONES FCI]],+Tabla5[[#This Row],[INVERSIONES FCI]]-L248,Tabla5[[#This Row],[INVERSIONES FCI]])</f>
        <v>39737130868.261414</v>
      </c>
      <c r="M249" s="5">
        <f>IF($B248&lt;=Tabla5[[#This Row],[INVERSIONES FCI]],+Tabla5[[#This Row],[INVERSIONES FCI]]-M248,Tabla5[[#This Row],[INVERSIONES FCI]])</f>
        <v>39737130868.261414</v>
      </c>
      <c r="N249" s="5">
        <f>IF($B248&lt;=Tabla5[[#This Row],[INVERSIONES FCI]],+Tabla5[[#This Row],[INVERSIONES FCI]]-N248,Tabla5[[#This Row],[INVERSIONES FCI]])</f>
        <v>39737130868.261414</v>
      </c>
      <c r="O249" s="5">
        <f>IF($B248&lt;=Tabla5[[#This Row],[INVERSIONES FCI]],+Tabla5[[#This Row],[INVERSIONES FCI]]-O248,Tabla5[[#This Row],[INVERSIONES FCI]])</f>
        <v>39737130868.261414</v>
      </c>
      <c r="P249" s="5">
        <f>IF($B248&lt;=Tabla5[[#This Row],[INVERSIONES FCI]],+Tabla5[[#This Row],[INVERSIONES FCI]]-P248,Tabla5[[#This Row],[INVERSIONES FCI]])</f>
        <v>39737130868.261414</v>
      </c>
      <c r="Q249" s="5">
        <f>IF($B248&lt;=Tabla5[[#This Row],[INVERSIONES FCI]],+Tabla5[[#This Row],[INVERSIONES FCI]]-Q248,Tabla5[[#This Row],[INVERSIONES FCI]])</f>
        <v>39737130868.261414</v>
      </c>
      <c r="R249" s="5">
        <f>IF($B248&lt;=Tabla5[[#This Row],[INVERSIONES FCI]],+Tabla5[[#This Row],[INVERSIONES FCI]]-R248,Tabla5[[#This Row],[INVERSIONES FCI]])</f>
        <v>39737130868.261414</v>
      </c>
      <c r="S249" s="5">
        <f>IF($B248&lt;=Tabla5[[#This Row],[INVERSIONES FCI]],+Tabla5[[#This Row],[INVERSIONES FCI]]-S248,Tabla5[[#This Row],[INVERSIONES FCI]])</f>
        <v>39737130868.261414</v>
      </c>
      <c r="T249" s="5">
        <f>IF($B248&lt;=Tabla5[[#This Row],[INVERSIONES FCI]],+Tabla5[[#This Row],[INVERSIONES FCI]]-T248,Tabla5[[#This Row],[INVERSIONES FCI]])</f>
        <v>39737130868.261414</v>
      </c>
      <c r="U249" s="5">
        <f>IF($B248&lt;=Tabla5[[#This Row],[INVERSIONES FCI]],+Tabla5[[#This Row],[INVERSIONES FCI]]-U248,Tabla5[[#This Row],[INVERSIONES FCI]])</f>
        <v>39737130868.261414</v>
      </c>
      <c r="V249" s="5">
        <f>IF($B248&lt;=Tabla5[[#This Row],[INVERSIONES FCI]],+Tabla5[[#This Row],[INVERSIONES FCI]]-V248,Tabla5[[#This Row],[INVERSIONES FCI]])</f>
        <v>39737130868.261414</v>
      </c>
      <c r="W249" s="5">
        <f>IF($B248&lt;=Tabla5[[#This Row],[INVERSIONES FCI]],+Tabla5[[#This Row],[INVERSIONES FCI]]-W248,Tabla5[[#This Row],[INVERSIONES FCI]])</f>
        <v>39737130868.261414</v>
      </c>
      <c r="X249" s="5">
        <f>IF($B248&lt;=Tabla5[[#This Row],[INVERSIONES FCI]],+Tabla5[[#This Row],[INVERSIONES FCI]]-X248,Tabla5[[#This Row],[INVERSIONES FCI]])</f>
        <v>39737130868.261414</v>
      </c>
      <c r="Y249" s="5">
        <f>IF($B248&lt;=Tabla5[[#This Row],[INVERSIONES FCI]],+Tabla5[[#This Row],[INVERSIONES FCI]]-Y248,Tabla5[[#This Row],[INVERSIONES FCI]])</f>
        <v>39737130868.261414</v>
      </c>
      <c r="Z249" s="5">
        <f>IF($B248&lt;=Tabla5[[#This Row],[INVERSIONES FCI]],+Tabla5[[#This Row],[INVERSIONES FCI]]-Z248,Tabla5[[#This Row],[INVERSIONES FCI]])</f>
        <v>39737130868.261414</v>
      </c>
      <c r="AA249" s="5">
        <f>IF($B248&lt;=Tabla5[[#This Row],[INVERSIONES FCI]],+Tabla5[[#This Row],[INVERSIONES FCI]]-AA248,Tabla5[[#This Row],[INVERSIONES FCI]])</f>
        <v>39737130868.261414</v>
      </c>
      <c r="AB249" s="5">
        <f>IF($B248&lt;=Tabla5[[#This Row],[INVERSIONES FCI]],+Tabla5[[#This Row],[INVERSIONES FCI]]-AB248,Tabla5[[#This Row],[INVERSIONES FCI]])</f>
        <v>39737130868.261414</v>
      </c>
      <c r="AC249" s="5">
        <f>IF($B248&lt;=Tabla5[[#This Row],[INVERSIONES FCI]],+Tabla5[[#This Row],[INVERSIONES FCI]]-AC248,Tabla5[[#This Row],[INVERSIONES FCI]])</f>
        <v>39737130868.261414</v>
      </c>
      <c r="AD249" s="5">
        <f>IF($B248&lt;=Tabla5[[#This Row],[INVERSIONES FCI]],+Tabla5[[#This Row],[INVERSIONES FCI]]-AD248,Tabla5[[#This Row],[INVERSIONES FCI]])</f>
        <v>39737130868.261414</v>
      </c>
      <c r="AE249" s="5">
        <f>IF($B248&lt;=Tabla5[[#This Row],[INVERSIONES FCI]],+Tabla5[[#This Row],[INVERSIONES FCI]]-AE248,Tabla5[[#This Row],[INVERSIONES FCI]])</f>
        <v>39737130868.261414</v>
      </c>
      <c r="AF249" s="5">
        <f>IF($B248&lt;=Tabla5[[#This Row],[INVERSIONES FCI]],+Tabla5[[#This Row],[INVERSIONES FCI]]-AF248,Tabla5[[#This Row],[INVERSIONES FCI]])</f>
        <v>39737130868.261414</v>
      </c>
      <c r="AG249" s="5">
        <f>IF($B248&lt;=Tabla5[[#This Row],[INVERSIONES FCI]],+Tabla5[[#This Row],[INVERSIONES FCI]]-AG248,Tabla5[[#This Row],[INVERSIONES FCI]])</f>
        <v>39737130868.261414</v>
      </c>
      <c r="AH249" s="5">
        <f>IF($B248&lt;=Tabla5[[#This Row],[INVERSIONES FCI]],+Tabla5[[#This Row],[INVERSIONES FCI]]-AH248,Tabla5[[#This Row],[INVERSIONES FCI]])</f>
        <v>39737130868.261414</v>
      </c>
      <c r="AI249" s="5">
        <f>IF($B248&lt;=Tabla5[[#This Row],[INVERSIONES FCI]],+Tabla5[[#This Row],[INVERSIONES FCI]]-AI248,Tabla5[[#This Row],[INVERSIONES FCI]])</f>
        <v>39737130868.261414</v>
      </c>
      <c r="AJ249" s="5">
        <f>IF($B248&lt;=Tabla5[[#This Row],[INVERSIONES FCI]],+Tabla5[[#This Row],[INVERSIONES FCI]]-AJ248,Tabla5[[#This Row],[INVERSIONES FCI]])</f>
        <v>39737130868.261414</v>
      </c>
      <c r="AK249" s="5">
        <f>IF($B248&lt;=Tabla5[[#This Row],[INVERSIONES FCI]],+Tabla5[[#This Row],[INVERSIONES FCI]]-AK248,Tabla5[[#This Row],[INVERSIONES FCI]])</f>
        <v>39737130868.261414</v>
      </c>
      <c r="AL249" s="5">
        <f>IF($B248&lt;=Tabla5[[#This Row],[INVERSIONES FCI]],+Tabla5[[#This Row],[INVERSIONES FCI]]-AL248,Tabla5[[#This Row],[INVERSIONES FCI]])</f>
        <v>39737130868.261414</v>
      </c>
      <c r="AM249" s="5">
        <f>IF($B248&lt;=Tabla5[[#This Row],[INVERSIONES FCI]],+Tabla5[[#This Row],[INVERSIONES FCI]]-AM248,Tabla5[[#This Row],[INVERSIONES FCI]])</f>
        <v>39737130868.261414</v>
      </c>
      <c r="AN249" s="5">
        <f>IF($B248&lt;=Tabla5[[#This Row],[INVERSIONES FCI]],+Tabla5[[#This Row],[INVERSIONES FCI]]-AN248,Tabla5[[#This Row],[INVERSIONES FCI]])</f>
        <v>39737130868.261414</v>
      </c>
      <c r="AO249" s="5">
        <f>IF($B248&lt;=Tabla5[[#This Row],[INVERSIONES FCI]],+Tabla5[[#This Row],[INVERSIONES FCI]]-AO248,Tabla5[[#This Row],[INVERSIONES FCI]])</f>
        <v>39737130868.261414</v>
      </c>
      <c r="AP249" s="5">
        <f>IF($B248&lt;=Tabla5[[#This Row],[INVERSIONES FCI]],+Tabla5[[#This Row],[INVERSIONES FCI]]-AP248,Tabla5[[#This Row],[INVERSIONES FCI]])</f>
        <v>39737130868.261414</v>
      </c>
      <c r="AQ249" s="5">
        <f>IF($B248&lt;=Tabla5[[#This Row],[INVERSIONES FCI]],+Tabla5[[#This Row],[INVERSIONES FCI]]-AQ248,Tabla5[[#This Row],[INVERSIONES FCI]])</f>
        <v>39737130868.261414</v>
      </c>
      <c r="AR249" s="5">
        <f>IF($B248&lt;=Tabla5[[#This Row],[INVERSIONES FCI]],+Tabla5[[#This Row],[INVERSIONES FCI]]-AR248,Tabla5[[#This Row],[INVERSIONES FCI]])</f>
        <v>39737130868.261414</v>
      </c>
      <c r="AS249" s="5">
        <f>IF($B248&lt;=Tabla5[[#This Row],[INVERSIONES FCI]],+Tabla5[[#This Row],[INVERSIONES FCI]]-AS248,Tabla5[[#This Row],[INVERSIONES FCI]])</f>
        <v>39737130868.261414</v>
      </c>
      <c r="AT249" s="5">
        <f>IF($B248&lt;=Tabla5[[#This Row],[INVERSIONES FCI]],+Tabla5[[#This Row],[INVERSIONES FCI]]-AT248,Tabla5[[#This Row],[INVERSIONES FCI]])</f>
        <v>39737130868.261414</v>
      </c>
      <c r="AU249" s="5">
        <f>IF($B248&lt;=Tabla5[[#This Row],[INVERSIONES FCI]],+Tabla5[[#This Row],[INVERSIONES FCI]]-AU248,Tabla5[[#This Row],[INVERSIONES FCI]])</f>
        <v>39737130868.261414</v>
      </c>
      <c r="AV249" s="5">
        <f>IF($B248&lt;=Tabla5[[#This Row],[INVERSIONES FCI]],+Tabla5[[#This Row],[INVERSIONES FCI]]-AV248,Tabla5[[#This Row],[INVERSIONES FCI]])</f>
        <v>39737130868.261414</v>
      </c>
      <c r="AW249" s="5">
        <f>IF($B248&lt;=Tabla5[[#This Row],[INVERSIONES FCI]],+Tabla5[[#This Row],[INVERSIONES FCI]]-AW248,Tabla5[[#This Row],[INVERSIONES FCI]])</f>
        <v>39737130868.261414</v>
      </c>
      <c r="AX249" s="5">
        <f>IF($B248&lt;=Tabla5[[#This Row],[INVERSIONES FCI]],+Tabla5[[#This Row],[INVERSIONES FCI]]-AX248,Tabla5[[#This Row],[INVERSIONES FCI]])</f>
        <v>39737130868.261414</v>
      </c>
      <c r="AY249" s="5">
        <f>IF($B248&lt;=Tabla5[[#This Row],[INVERSIONES FCI]],+Tabla5[[#This Row],[INVERSIONES FCI]]-AY248,Tabla5[[#This Row],[INVERSIONES FCI]])</f>
        <v>39737130868.261414</v>
      </c>
      <c r="AZ249" s="5">
        <f>IF($B248&lt;=Tabla5[[#This Row],[INVERSIONES FCI]],+Tabla5[[#This Row],[INVERSIONES FCI]]-AZ248,Tabla5[[#This Row],[INVERSIONES FCI]])</f>
        <v>39737130868.261414</v>
      </c>
      <c r="BA249" s="5">
        <f>IF($B248&lt;=Tabla5[[#This Row],[INVERSIONES FCI]],+Tabla5[[#This Row],[INVERSIONES FCI]]-BA248,Tabla5[[#This Row],[INVERSIONES FCI]])</f>
        <v>39737130868.261414</v>
      </c>
      <c r="BB249" s="5">
        <f>IF($B248&lt;=Tabla5[[#This Row],[INVERSIONES FCI]],+Tabla5[[#This Row],[INVERSIONES FCI]]-BB248,Tabla5[[#This Row],[INVERSIONES FCI]])</f>
        <v>39737130868.261414</v>
      </c>
      <c r="BC249" s="5">
        <f>IF($B248&lt;=Tabla5[[#This Row],[INVERSIONES FCI]],+Tabla5[[#This Row],[INVERSIONES FCI]]-BC248,Tabla5[[#This Row],[INVERSIONES FCI]])</f>
        <v>39737130868.261414</v>
      </c>
      <c r="BD249" s="5">
        <f>IF($B248&lt;=Tabla5[[#This Row],[INVERSIONES FCI]],+Tabla5[[#This Row],[INVERSIONES FCI]]-BD248,Tabla5[[#This Row],[INVERSIONES FCI]])</f>
        <v>39737130868.261414</v>
      </c>
      <c r="BE249" s="5">
        <f>IF($B248&lt;=Tabla5[[#This Row],[INVERSIONES FCI]],+Tabla5[[#This Row],[INVERSIONES FCI]]-BE248,Tabla5[[#This Row],[INVERSIONES FCI]])</f>
        <v>39737130868.261414</v>
      </c>
      <c r="BF249" s="5">
        <f>IF($B248&lt;=Tabla5[[#This Row],[INVERSIONES FCI]],+Tabla5[[#This Row],[INVERSIONES FCI]]-BF248,Tabla5[[#This Row],[INVERSIONES FCI]])</f>
        <v>39737130868.261414</v>
      </c>
      <c r="BG249" s="5">
        <f>IF($B248&lt;=Tabla5[[#This Row],[INVERSIONES FCI]],+Tabla5[[#This Row],[INVERSIONES FCI]]-BG248,Tabla5[[#This Row],[INVERSIONES FCI]])</f>
        <v>39737130868.261414</v>
      </c>
      <c r="BH249" s="5">
        <f>IF($B248&lt;=Tabla5[[#This Row],[INVERSIONES FCI]],+Tabla5[[#This Row],[INVERSIONES FCI]]-BH248,Tabla5[[#This Row],[INVERSIONES FCI]])</f>
        <v>39737130868.261414</v>
      </c>
      <c r="BI249" s="5">
        <f>IF($B248&lt;=Tabla5[[#This Row],[INVERSIONES FCI]],+Tabla5[[#This Row],[INVERSIONES FCI]]-BI248,Tabla5[[#This Row],[INVERSIONES FCI]])</f>
        <v>39737130868.261414</v>
      </c>
      <c r="BJ249" s="5">
        <f>IF($B248&lt;=Tabla5[[#This Row],[INVERSIONES FCI]],+Tabla5[[#This Row],[INVERSIONES FCI]]-BJ248,Tabla5[[#This Row],[INVERSIONES FCI]])</f>
        <v>39737130868.261414</v>
      </c>
      <c r="BK249" s="5">
        <f>IF($B248&lt;=Tabla5[[#This Row],[INVERSIONES FCI]],+Tabla5[[#This Row],[INVERSIONES FCI]]-BK248,Tabla5[[#This Row],[INVERSIONES FCI]])</f>
        <v>39737130868.261414</v>
      </c>
      <c r="BL249" s="5">
        <f>IF($B248&lt;=Tabla5[[#This Row],[INVERSIONES FCI]],+Tabla5[[#This Row],[INVERSIONES FCI]]-BL248,Tabla5[[#This Row],[INVERSIONES FCI]])</f>
        <v>39737130868.261414</v>
      </c>
      <c r="BM249" s="5">
        <f>IF($B248&lt;=Tabla5[[#This Row],[INVERSIONES FCI]],+Tabla5[[#This Row],[INVERSIONES FCI]]-BM248,Tabla5[[#This Row],[INVERSIONES FCI]])</f>
        <v>39737130868.261414</v>
      </c>
      <c r="BN249" s="5">
        <f>IF($B248&lt;=Tabla5[[#This Row],[INVERSIONES FCI]],+Tabla5[[#This Row],[INVERSIONES FCI]]-BN248,Tabla5[[#This Row],[INVERSIONES FCI]])</f>
        <v>39737130868.261414</v>
      </c>
      <c r="BO249" s="5">
        <f>IF($B248&lt;=Tabla5[[#This Row],[INVERSIONES FCI]],+Tabla5[[#This Row],[INVERSIONES FCI]]-BO248,Tabla5[[#This Row],[INVERSIONES FCI]])</f>
        <v>39737130868.261414</v>
      </c>
      <c r="BP249" s="5">
        <f>IF($B248&lt;=Tabla5[[#This Row],[INVERSIONES FCI]],+Tabla5[[#This Row],[INVERSIONES FCI]]-BP248,Tabla5[[#This Row],[INVERSIONES FCI]])</f>
        <v>39737130868.261414</v>
      </c>
      <c r="BQ249" s="5">
        <f>IF($B248&lt;=Tabla5[[#This Row],[INVERSIONES FCI]],+Tabla5[[#This Row],[INVERSIONES FCI]]-BQ248,Tabla5[[#This Row],[INVERSIONES FCI]])</f>
        <v>39737130868.261414</v>
      </c>
      <c r="BR249" s="5">
        <f>IF($B248&lt;=Tabla5[[#This Row],[INVERSIONES FCI]],+Tabla5[[#This Row],[INVERSIONES FCI]]-BR248,Tabla5[[#This Row],[INVERSIONES FCI]])</f>
        <v>39737130868.261414</v>
      </c>
      <c r="BS249" s="5">
        <f>IF($B248&lt;=Tabla5[[#This Row],[INVERSIONES FCI]],+Tabla5[[#This Row],[INVERSIONES FCI]]-BS248,Tabla5[[#This Row],[INVERSIONES FCI]])</f>
        <v>39737130868.261414</v>
      </c>
      <c r="BT249" s="5">
        <f>IF($B248&lt;=Tabla5[[#This Row],[INVERSIONES FCI]],+Tabla5[[#This Row],[INVERSIONES FCI]]-BT248,Tabla5[[#This Row],[INVERSIONES FCI]])</f>
        <v>39737130868.261414</v>
      </c>
      <c r="BU249" s="5">
        <f>IF($B248&lt;=Tabla5[[#This Row],[INVERSIONES FCI]],+Tabla5[[#This Row],[INVERSIONES FCI]]-BU248,Tabla5[[#This Row],[INVERSIONES FCI]])</f>
        <v>39737130868.261414</v>
      </c>
      <c r="BV249" s="5">
        <f>IF($B248&lt;=Tabla5[[#This Row],[INVERSIONES FCI]],+Tabla5[[#This Row],[INVERSIONES FCI]]-BV248,Tabla5[[#This Row],[INVERSIONES FCI]])</f>
        <v>39737130868.261414</v>
      </c>
      <c r="BW249" s="5">
        <f>IF($B248&lt;=Tabla5[[#This Row],[INVERSIONES FCI]],+Tabla5[[#This Row],[INVERSIONES FCI]]-BW248,Tabla5[[#This Row],[INVERSIONES FCI]])</f>
        <v>39737130868.261414</v>
      </c>
      <c r="BX249" s="5">
        <f>IF($B248&lt;=Tabla5[[#This Row],[INVERSIONES FCI]],+Tabla5[[#This Row],[INVERSIONES FCI]]-BX248,Tabla5[[#This Row],[INVERSIONES FCI]])</f>
        <v>39737130868.261414</v>
      </c>
      <c r="BY249" s="5">
        <f>IF($B248&lt;=Tabla5[[#This Row],[INVERSIONES FCI]],+Tabla5[[#This Row],[INVERSIONES FCI]]-BY248,Tabla5[[#This Row],[INVERSIONES FCI]])</f>
        <v>39737130868.261414</v>
      </c>
      <c r="BZ249" s="5">
        <f>IF($B248&lt;=Tabla5[[#This Row],[INVERSIONES FCI]],+Tabla5[[#This Row],[INVERSIONES FCI]]-BZ248,Tabla5[[#This Row],[INVERSIONES FCI]])</f>
        <v>39737130868.261414</v>
      </c>
      <c r="CA249" s="5">
        <f>IF($B248&lt;=Tabla5[[#This Row],[INVERSIONES FCI]],+Tabla5[[#This Row],[INVERSIONES FCI]]-CA248,Tabla5[[#This Row],[INVERSIONES FCI]])</f>
        <v>39737130868.261414</v>
      </c>
      <c r="CB249" s="5">
        <f>IF($B248&lt;=Tabla5[[#This Row],[INVERSIONES FCI]],+Tabla5[[#This Row],[INVERSIONES FCI]]-CB248,Tabla5[[#This Row],[INVERSIONES FCI]])</f>
        <v>39737130868.261414</v>
      </c>
      <c r="CC249" s="5">
        <f>IF($B248&lt;=Tabla5[[#This Row],[INVERSIONES FCI]],+Tabla5[[#This Row],[INVERSIONES FCI]]-CC248,Tabla5[[#This Row],[INVERSIONES FCI]])</f>
        <v>39737130868.261414</v>
      </c>
      <c r="CD249" s="5">
        <f>IF($B248&lt;=Tabla5[[#This Row],[INVERSIONES FCI]],+Tabla5[[#This Row],[INVERSIONES FCI]]-CD248,Tabla5[[#This Row],[INVERSIONES FCI]])</f>
        <v>39737130868.261414</v>
      </c>
      <c r="CE249" s="5">
        <f>IF($B248&lt;=Tabla5[[#This Row],[INVERSIONES FCI]],+Tabla5[[#This Row],[INVERSIONES FCI]]-CE248,Tabla5[[#This Row],[INVERSIONES FCI]])</f>
        <v>39737130868.261414</v>
      </c>
      <c r="CF249" s="5">
        <f>IF($B248&lt;=Tabla5[[#This Row],[INVERSIONES FCI]],+Tabla5[[#This Row],[INVERSIONES FCI]]-CF248,Tabla5[[#This Row],[INVERSIONES FCI]])</f>
        <v>39737130868.261414</v>
      </c>
      <c r="CG249" s="5">
        <f>IF($B248&lt;=Tabla5[[#This Row],[INVERSIONES FCI]],+Tabla5[[#This Row],[INVERSIONES FCI]]-CG248,Tabla5[[#This Row],[INVERSIONES FCI]])</f>
        <v>39737130868.261414</v>
      </c>
      <c r="CH249" s="5">
        <f>IF($B248&lt;=Tabla5[[#This Row],[INVERSIONES FCI]],+Tabla5[[#This Row],[INVERSIONES FCI]]-CH248,Tabla5[[#This Row],[INVERSIONES FCI]])</f>
        <v>39737130868.261414</v>
      </c>
      <c r="CI249" s="5">
        <f>IF($B248&lt;=Tabla5[[#This Row],[INVERSIONES FCI]],+Tabla5[[#This Row],[INVERSIONES FCI]]-CI248,Tabla5[[#This Row],[INVERSIONES FCI]])</f>
        <v>39737130868.261414</v>
      </c>
      <c r="CJ249" s="5">
        <f>IF($B248&lt;=Tabla5[[#This Row],[INVERSIONES FCI]],+Tabla5[[#This Row],[INVERSIONES FCI]]-CJ248,Tabla5[[#This Row],[INVERSIONES FCI]])</f>
        <v>39737130868.261414</v>
      </c>
      <c r="CK249" s="5">
        <f>IF($B248&lt;=Tabla5[[#This Row],[INVERSIONES FCI]],+Tabla5[[#This Row],[INVERSIONES FCI]]-CK248,Tabla5[[#This Row],[INVERSIONES FCI]])</f>
        <v>39737130868.261414</v>
      </c>
      <c r="CL249" s="5">
        <f>IF($B248&lt;=Tabla5[[#This Row],[INVERSIONES FCI]],+Tabla5[[#This Row],[INVERSIONES FCI]]-CL248,Tabla5[[#This Row],[INVERSIONES FCI]])</f>
        <v>39737130868.261414</v>
      </c>
      <c r="CM249" s="5">
        <f>IF($B248&lt;=Tabla5[[#This Row],[INVERSIONES FCI]],+Tabla5[[#This Row],[INVERSIONES FCI]]-CM248,Tabla5[[#This Row],[INVERSIONES FCI]])</f>
        <v>39737130868.261414</v>
      </c>
      <c r="CN249" s="5">
        <f>IF($B248&lt;=Tabla5[[#This Row],[INVERSIONES FCI]],+Tabla5[[#This Row],[INVERSIONES FCI]]-CN248,Tabla5[[#This Row],[INVERSIONES FCI]])</f>
        <v>39737130868.261414</v>
      </c>
      <c r="CO249" s="5">
        <f>IF($B248&lt;=Tabla5[[#This Row],[INVERSIONES FCI]],+Tabla5[[#This Row],[INVERSIONES FCI]]-CO248,Tabla5[[#This Row],[INVERSIONES FCI]])</f>
        <v>39737130868.261414</v>
      </c>
      <c r="CP249" s="5">
        <f>IF($B248&lt;=Tabla5[[#This Row],[INVERSIONES FCI]],+Tabla5[[#This Row],[INVERSIONES FCI]]-CP248,Tabla5[[#This Row],[INVERSIONES FCI]])</f>
        <v>39737130868.261414</v>
      </c>
      <c r="CQ249" s="5">
        <f>IF($B248&lt;=Tabla5[[#This Row],[INVERSIONES FCI]],+Tabla5[[#This Row],[INVERSIONES FCI]]-CQ248,Tabla5[[#This Row],[INVERSIONES FCI]])</f>
        <v>39737130868.261414</v>
      </c>
      <c r="CR249" s="5">
        <f>IF($B248&lt;=Tabla5[[#This Row],[INVERSIONES FCI]],+Tabla5[[#This Row],[INVERSIONES FCI]]-CR248,Tabla5[[#This Row],[INVERSIONES FCI]])</f>
        <v>39737130868.261414</v>
      </c>
      <c r="CS249" s="5">
        <f>IF($B248&lt;=Tabla5[[#This Row],[INVERSIONES FCI]],+Tabla5[[#This Row],[INVERSIONES FCI]]-CS248,Tabla5[[#This Row],[INVERSIONES FCI]])</f>
        <v>39737130868.261414</v>
      </c>
      <c r="CT249" s="5">
        <f>IF($B248&lt;=Tabla5[[#This Row],[INVERSIONES FCI]],+Tabla5[[#This Row],[INVERSIONES FCI]]-CT248,Tabla5[[#This Row],[INVERSIONES FCI]])</f>
        <v>39737130868.261414</v>
      </c>
      <c r="CU249" s="5">
        <f>IF($B248&lt;=Tabla5[[#This Row],[INVERSIONES FCI]],+Tabla5[[#This Row],[INVERSIONES FCI]]-CU248,Tabla5[[#This Row],[INVERSIONES FCI]])</f>
        <v>39737130868.261414</v>
      </c>
      <c r="CV249" s="5">
        <f>IF($B248&lt;=Tabla5[[#This Row],[INVERSIONES FCI]],+Tabla5[[#This Row],[INVERSIONES FCI]]-CV248,Tabla5[[#This Row],[INVERSIONES FCI]])</f>
        <v>39737130868.261414</v>
      </c>
      <c r="CW249" s="5">
        <f>IF($B248&lt;=Tabla5[[#This Row],[INVERSIONES FCI]],+Tabla5[[#This Row],[INVERSIONES FCI]]-CW248,Tabla5[[#This Row],[INVERSIONES FCI]])</f>
        <v>39737130868.261414</v>
      </c>
      <c r="CX249" s="5">
        <f>IF($B248&lt;=Tabla5[[#This Row],[INVERSIONES FCI]],+Tabla5[[#This Row],[INVERSIONES FCI]]-CX248,Tabla5[[#This Row],[INVERSIONES FCI]])</f>
        <v>39737130868.261414</v>
      </c>
      <c r="CY249" s="5">
        <f>IF($B248&lt;=Tabla5[[#This Row],[INVERSIONES FCI]],+Tabla5[[#This Row],[INVERSIONES FCI]]-CY248,Tabla5[[#This Row],[INVERSIONES FCI]])</f>
        <v>39737130868.261414</v>
      </c>
      <c r="CZ249" s="5">
        <f>IF($B248&lt;=Tabla5[[#This Row],[INVERSIONES FCI]],+Tabla5[[#This Row],[INVERSIONES FCI]]-CZ248,Tabla5[[#This Row],[INVERSIONES FCI]])</f>
        <v>39737130868.261414</v>
      </c>
      <c r="DA249" s="5">
        <f>IF($B248&lt;=Tabla5[[#This Row],[INVERSIONES FCI]],+Tabla5[[#This Row],[INVERSIONES FCI]]-DA248,Tabla5[[#This Row],[INVERSIONES FCI]])</f>
        <v>39737130868.261414</v>
      </c>
      <c r="DB249" s="5">
        <f>IF($B248&lt;=Tabla5[[#This Row],[INVERSIONES FCI]],+Tabla5[[#This Row],[INVERSIONES FCI]]-DB248,Tabla5[[#This Row],[INVERSIONES FCI]])</f>
        <v>39737130868.261414</v>
      </c>
      <c r="DC249" s="5">
        <f>IF($B248&lt;=Tabla5[[#This Row],[INVERSIONES FCI]],+Tabla5[[#This Row],[INVERSIONES FCI]]-DC248,Tabla5[[#This Row],[INVERSIONES FCI]])</f>
        <v>39737130868.261414</v>
      </c>
      <c r="DD249" s="5">
        <f>IF($B248&lt;=Tabla5[[#This Row],[INVERSIONES FCI]],+Tabla5[[#This Row],[INVERSIONES FCI]]-DD248,Tabla5[[#This Row],[INVERSIONES FCI]])</f>
        <v>39737130868.261414</v>
      </c>
      <c r="DE249" s="5">
        <f>IF($B248&lt;=Tabla5[[#This Row],[INVERSIONES FCI]],+Tabla5[[#This Row],[INVERSIONES FCI]]-DE248,Tabla5[[#This Row],[INVERSIONES FCI]])</f>
        <v>39737130868.261414</v>
      </c>
      <c r="DF249" s="5">
        <f>IF($B248&lt;=Tabla5[[#This Row],[INVERSIONES FCI]],+Tabla5[[#This Row],[INVERSIONES FCI]]-DF248,Tabla5[[#This Row],[INVERSIONES FCI]])</f>
        <v>39737130868.261414</v>
      </c>
      <c r="DG249" s="5">
        <f>IF($B248&lt;=Tabla5[[#This Row],[INVERSIONES FCI]],+Tabla5[[#This Row],[INVERSIONES FCI]]-DG248,Tabla5[[#This Row],[INVERSIONES FCI]])</f>
        <v>39737130868.261414</v>
      </c>
      <c r="DH249" s="5">
        <f>IF($B248&lt;=Tabla5[[#This Row],[INVERSIONES FCI]],+Tabla5[[#This Row],[INVERSIONES FCI]]-DH248,Tabla5[[#This Row],[INVERSIONES FCI]])</f>
        <v>39737130868.261414</v>
      </c>
      <c r="DI249" s="5">
        <f>IF($B248&lt;=Tabla5[[#This Row],[INVERSIONES FCI]],+Tabla5[[#This Row],[INVERSIONES FCI]]-DI248,Tabla5[[#This Row],[INVERSIONES FCI]])</f>
        <v>39737130868.261414</v>
      </c>
      <c r="DJ249" s="5">
        <f>IF($B248&lt;=Tabla5[[#This Row],[INVERSIONES FCI]],+Tabla5[[#This Row],[INVERSIONES FCI]]-DJ248,Tabla5[[#This Row],[INVERSIONES FCI]])</f>
        <v>39737130868.261414</v>
      </c>
      <c r="DK249" s="5">
        <f>IF($B248&lt;=Tabla5[[#This Row],[INVERSIONES FCI]],+Tabla5[[#This Row],[INVERSIONES FCI]]-DK248,Tabla5[[#This Row],[INVERSIONES FCI]])</f>
        <v>39737130868.261414</v>
      </c>
      <c r="DL249" s="5"/>
      <c r="DM249" s="5"/>
      <c r="DN249" s="5"/>
      <c r="DO249" s="5"/>
      <c r="DP249" s="5"/>
      <c r="DQ249" s="5"/>
    </row>
    <row r="250" spans="1:121" ht="14.4">
      <c r="A250" s="12" t="s">
        <v>249</v>
      </c>
      <c r="B250" s="5">
        <f>HLOOKUP($A250,ESCENARIO[#All],7,FALSE)</f>
        <v>40469214891.984863</v>
      </c>
      <c r="C250" s="5">
        <f>IF($B249&lt;=Tabla5[[#This Row],[INVERSIONES FCI]],+Tabla5[[#This Row],[INVERSIONES FCI]]-C249,Tabla5[[#This Row],[INVERSIONES FCI]])</f>
        <v>732084023.72344971</v>
      </c>
      <c r="D250" s="5">
        <f>IF($B249&lt;=Tabla5[[#This Row],[INVERSIONES FCI]],+Tabla5[[#This Row],[INVERSIONES FCI]]-D249,Tabla5[[#This Row],[INVERSIONES FCI]])</f>
        <v>732084023.72344971</v>
      </c>
      <c r="E250" s="5">
        <f>IF($B249&lt;=Tabla5[[#This Row],[INVERSIONES FCI]],+Tabla5[[#This Row],[INVERSIONES FCI]]-E249,Tabla5[[#This Row],[INVERSIONES FCI]])</f>
        <v>732084023.72344971</v>
      </c>
      <c r="F250" s="5">
        <f>IF($B249&lt;=Tabla5[[#This Row],[INVERSIONES FCI]],+Tabla5[[#This Row],[INVERSIONES FCI]]-F249,Tabla5[[#This Row],[INVERSIONES FCI]])</f>
        <v>732084023.72344971</v>
      </c>
      <c r="G250" s="5">
        <f>IF($B249&lt;=Tabla5[[#This Row],[INVERSIONES FCI]],+Tabla5[[#This Row],[INVERSIONES FCI]]-G249,Tabla5[[#This Row],[INVERSIONES FCI]])</f>
        <v>732084023.72344971</v>
      </c>
      <c r="H250" s="5">
        <f>IF($B249&lt;=Tabla5[[#This Row],[INVERSIONES FCI]],+Tabla5[[#This Row],[INVERSIONES FCI]]-H249,Tabla5[[#This Row],[INVERSIONES FCI]])</f>
        <v>732084023.72344971</v>
      </c>
      <c r="I250" s="5">
        <f>IF($B249&lt;=Tabla5[[#This Row],[INVERSIONES FCI]],+Tabla5[[#This Row],[INVERSIONES FCI]]-I249,Tabla5[[#This Row],[INVERSIONES FCI]])</f>
        <v>732084023.72344971</v>
      </c>
      <c r="J250" s="5">
        <f>IF($B249&lt;=Tabla5[[#This Row],[INVERSIONES FCI]],+Tabla5[[#This Row],[INVERSIONES FCI]]-J249,Tabla5[[#This Row],[INVERSIONES FCI]])</f>
        <v>732084023.72344971</v>
      </c>
      <c r="K250" s="5">
        <f>IF($B249&lt;=Tabla5[[#This Row],[INVERSIONES FCI]],+Tabla5[[#This Row],[INVERSIONES FCI]]-K249,Tabla5[[#This Row],[INVERSIONES FCI]])</f>
        <v>732084023.72344971</v>
      </c>
      <c r="L250" s="5">
        <f>IF($B249&lt;=Tabla5[[#This Row],[INVERSIONES FCI]],+Tabla5[[#This Row],[INVERSIONES FCI]]-L249,Tabla5[[#This Row],[INVERSIONES FCI]])</f>
        <v>732084023.72344971</v>
      </c>
      <c r="M250" s="5">
        <f>IF($B249&lt;=Tabla5[[#This Row],[INVERSIONES FCI]],+Tabla5[[#This Row],[INVERSIONES FCI]]-M249,Tabla5[[#This Row],[INVERSIONES FCI]])</f>
        <v>732084023.72344971</v>
      </c>
      <c r="N250" s="5">
        <f>IF($B249&lt;=Tabla5[[#This Row],[INVERSIONES FCI]],+Tabla5[[#This Row],[INVERSIONES FCI]]-N249,Tabla5[[#This Row],[INVERSIONES FCI]])</f>
        <v>732084023.72344971</v>
      </c>
      <c r="O250" s="5">
        <f>IF($B249&lt;=Tabla5[[#This Row],[INVERSIONES FCI]],+Tabla5[[#This Row],[INVERSIONES FCI]]-O249,Tabla5[[#This Row],[INVERSIONES FCI]])</f>
        <v>732084023.72344971</v>
      </c>
      <c r="P250" s="5">
        <f>IF($B249&lt;=Tabla5[[#This Row],[INVERSIONES FCI]],+Tabla5[[#This Row],[INVERSIONES FCI]]-P249,Tabla5[[#This Row],[INVERSIONES FCI]])</f>
        <v>732084023.72344971</v>
      </c>
      <c r="Q250" s="5">
        <f>IF($B249&lt;=Tabla5[[#This Row],[INVERSIONES FCI]],+Tabla5[[#This Row],[INVERSIONES FCI]]-Q249,Tabla5[[#This Row],[INVERSIONES FCI]])</f>
        <v>732084023.72344971</v>
      </c>
      <c r="R250" s="5">
        <f>IF($B249&lt;=Tabla5[[#This Row],[INVERSIONES FCI]],+Tabla5[[#This Row],[INVERSIONES FCI]]-R249,Tabla5[[#This Row],[INVERSIONES FCI]])</f>
        <v>732084023.72344971</v>
      </c>
      <c r="S250" s="5">
        <f>IF($B249&lt;=Tabla5[[#This Row],[INVERSIONES FCI]],+Tabla5[[#This Row],[INVERSIONES FCI]]-S249,Tabla5[[#This Row],[INVERSIONES FCI]])</f>
        <v>732084023.72344971</v>
      </c>
      <c r="T250" s="5">
        <f>IF($B249&lt;=Tabla5[[#This Row],[INVERSIONES FCI]],+Tabla5[[#This Row],[INVERSIONES FCI]]-T249,Tabla5[[#This Row],[INVERSIONES FCI]])</f>
        <v>732084023.72344971</v>
      </c>
      <c r="U250" s="5">
        <f>IF($B249&lt;=Tabla5[[#This Row],[INVERSIONES FCI]],+Tabla5[[#This Row],[INVERSIONES FCI]]-U249,Tabla5[[#This Row],[INVERSIONES FCI]])</f>
        <v>732084023.72344971</v>
      </c>
      <c r="V250" s="5">
        <f>IF($B249&lt;=Tabla5[[#This Row],[INVERSIONES FCI]],+Tabla5[[#This Row],[INVERSIONES FCI]]-V249,Tabla5[[#This Row],[INVERSIONES FCI]])</f>
        <v>732084023.72344971</v>
      </c>
      <c r="W250" s="5">
        <f>IF($B249&lt;=Tabla5[[#This Row],[INVERSIONES FCI]],+Tabla5[[#This Row],[INVERSIONES FCI]]-W249,Tabla5[[#This Row],[INVERSIONES FCI]])</f>
        <v>732084023.72344971</v>
      </c>
      <c r="X250" s="5">
        <f>IF($B249&lt;=Tabla5[[#This Row],[INVERSIONES FCI]],+Tabla5[[#This Row],[INVERSIONES FCI]]-X249,Tabla5[[#This Row],[INVERSIONES FCI]])</f>
        <v>732084023.72344971</v>
      </c>
      <c r="Y250" s="5">
        <f>IF($B249&lt;=Tabla5[[#This Row],[INVERSIONES FCI]],+Tabla5[[#This Row],[INVERSIONES FCI]]-Y249,Tabla5[[#This Row],[INVERSIONES FCI]])</f>
        <v>732084023.72344971</v>
      </c>
      <c r="Z250" s="5">
        <f>IF($B249&lt;=Tabla5[[#This Row],[INVERSIONES FCI]],+Tabla5[[#This Row],[INVERSIONES FCI]]-Z249,Tabla5[[#This Row],[INVERSIONES FCI]])</f>
        <v>732084023.72344971</v>
      </c>
      <c r="AA250" s="5">
        <f>IF($B249&lt;=Tabla5[[#This Row],[INVERSIONES FCI]],+Tabla5[[#This Row],[INVERSIONES FCI]]-AA249,Tabla5[[#This Row],[INVERSIONES FCI]])</f>
        <v>732084023.72344971</v>
      </c>
      <c r="AB250" s="5">
        <f>IF($B249&lt;=Tabla5[[#This Row],[INVERSIONES FCI]],+Tabla5[[#This Row],[INVERSIONES FCI]]-AB249,Tabla5[[#This Row],[INVERSIONES FCI]])</f>
        <v>732084023.72344971</v>
      </c>
      <c r="AC250" s="5">
        <f>IF($B249&lt;=Tabla5[[#This Row],[INVERSIONES FCI]],+Tabla5[[#This Row],[INVERSIONES FCI]]-AC249,Tabla5[[#This Row],[INVERSIONES FCI]])</f>
        <v>732084023.72344971</v>
      </c>
      <c r="AD250" s="5">
        <f>IF($B249&lt;=Tabla5[[#This Row],[INVERSIONES FCI]],+Tabla5[[#This Row],[INVERSIONES FCI]]-AD249,Tabla5[[#This Row],[INVERSIONES FCI]])</f>
        <v>732084023.72344971</v>
      </c>
      <c r="AE250" s="5">
        <f>IF($B249&lt;=Tabla5[[#This Row],[INVERSIONES FCI]],+Tabla5[[#This Row],[INVERSIONES FCI]]-AE249,Tabla5[[#This Row],[INVERSIONES FCI]])</f>
        <v>732084023.72344971</v>
      </c>
      <c r="AF250" s="5">
        <f>IF($B249&lt;=Tabla5[[#This Row],[INVERSIONES FCI]],+Tabla5[[#This Row],[INVERSIONES FCI]]-AF249,Tabla5[[#This Row],[INVERSIONES FCI]])</f>
        <v>732084023.72344971</v>
      </c>
      <c r="AG250" s="5">
        <f>IF($B249&lt;=Tabla5[[#This Row],[INVERSIONES FCI]],+Tabla5[[#This Row],[INVERSIONES FCI]]-AG249,Tabla5[[#This Row],[INVERSIONES FCI]])</f>
        <v>732084023.72344971</v>
      </c>
      <c r="AH250" s="5">
        <f>IF($B249&lt;=Tabla5[[#This Row],[INVERSIONES FCI]],+Tabla5[[#This Row],[INVERSIONES FCI]]-AH249,Tabla5[[#This Row],[INVERSIONES FCI]])</f>
        <v>732084023.72344971</v>
      </c>
      <c r="AI250" s="5">
        <f>IF($B249&lt;=Tabla5[[#This Row],[INVERSIONES FCI]],+Tabla5[[#This Row],[INVERSIONES FCI]]-AI249,Tabla5[[#This Row],[INVERSIONES FCI]])</f>
        <v>732084023.72344971</v>
      </c>
      <c r="AJ250" s="5">
        <f>IF($B249&lt;=Tabla5[[#This Row],[INVERSIONES FCI]],+Tabla5[[#This Row],[INVERSIONES FCI]]-AJ249,Tabla5[[#This Row],[INVERSIONES FCI]])</f>
        <v>732084023.72344971</v>
      </c>
      <c r="AK250" s="5">
        <f>IF($B249&lt;=Tabla5[[#This Row],[INVERSIONES FCI]],+Tabla5[[#This Row],[INVERSIONES FCI]]-AK249,Tabla5[[#This Row],[INVERSIONES FCI]])</f>
        <v>732084023.72344971</v>
      </c>
      <c r="AL250" s="5">
        <f>IF($B249&lt;=Tabla5[[#This Row],[INVERSIONES FCI]],+Tabla5[[#This Row],[INVERSIONES FCI]]-AL249,Tabla5[[#This Row],[INVERSIONES FCI]])</f>
        <v>732084023.72344971</v>
      </c>
      <c r="AM250" s="5">
        <f>IF($B249&lt;=Tabla5[[#This Row],[INVERSIONES FCI]],+Tabla5[[#This Row],[INVERSIONES FCI]]-AM249,Tabla5[[#This Row],[INVERSIONES FCI]])</f>
        <v>732084023.72344971</v>
      </c>
      <c r="AN250" s="5">
        <f>IF($B249&lt;=Tabla5[[#This Row],[INVERSIONES FCI]],+Tabla5[[#This Row],[INVERSIONES FCI]]-AN249,Tabla5[[#This Row],[INVERSIONES FCI]])</f>
        <v>732084023.72344971</v>
      </c>
      <c r="AO250" s="5">
        <f>IF($B249&lt;=Tabla5[[#This Row],[INVERSIONES FCI]],+Tabla5[[#This Row],[INVERSIONES FCI]]-AO249,Tabla5[[#This Row],[INVERSIONES FCI]])</f>
        <v>732084023.72344971</v>
      </c>
      <c r="AP250" s="5">
        <f>IF($B249&lt;=Tabla5[[#This Row],[INVERSIONES FCI]],+Tabla5[[#This Row],[INVERSIONES FCI]]-AP249,Tabla5[[#This Row],[INVERSIONES FCI]])</f>
        <v>732084023.72344971</v>
      </c>
      <c r="AQ250" s="5">
        <f>IF($B249&lt;=Tabla5[[#This Row],[INVERSIONES FCI]],+Tabla5[[#This Row],[INVERSIONES FCI]]-AQ249,Tabla5[[#This Row],[INVERSIONES FCI]])</f>
        <v>732084023.72344971</v>
      </c>
      <c r="AR250" s="5">
        <f>IF($B249&lt;=Tabla5[[#This Row],[INVERSIONES FCI]],+Tabla5[[#This Row],[INVERSIONES FCI]]-AR249,Tabla5[[#This Row],[INVERSIONES FCI]])</f>
        <v>732084023.72344971</v>
      </c>
      <c r="AS250" s="5">
        <f>IF($B249&lt;=Tabla5[[#This Row],[INVERSIONES FCI]],+Tabla5[[#This Row],[INVERSIONES FCI]]-AS249,Tabla5[[#This Row],[INVERSIONES FCI]])</f>
        <v>732084023.72344971</v>
      </c>
      <c r="AT250" s="5">
        <f>IF($B249&lt;=Tabla5[[#This Row],[INVERSIONES FCI]],+Tabla5[[#This Row],[INVERSIONES FCI]]-AT249,Tabla5[[#This Row],[INVERSIONES FCI]])</f>
        <v>732084023.72344971</v>
      </c>
      <c r="AU250" s="5">
        <f>IF($B249&lt;=Tabla5[[#This Row],[INVERSIONES FCI]],+Tabla5[[#This Row],[INVERSIONES FCI]]-AU249,Tabla5[[#This Row],[INVERSIONES FCI]])</f>
        <v>732084023.72344971</v>
      </c>
      <c r="AV250" s="5">
        <f>IF($B249&lt;=Tabla5[[#This Row],[INVERSIONES FCI]],+Tabla5[[#This Row],[INVERSIONES FCI]]-AV249,Tabla5[[#This Row],[INVERSIONES FCI]])</f>
        <v>732084023.72344971</v>
      </c>
      <c r="AW250" s="5">
        <f>IF($B249&lt;=Tabla5[[#This Row],[INVERSIONES FCI]],+Tabla5[[#This Row],[INVERSIONES FCI]]-AW249,Tabla5[[#This Row],[INVERSIONES FCI]])</f>
        <v>732084023.72344971</v>
      </c>
      <c r="AX250" s="5">
        <f>IF($B249&lt;=Tabla5[[#This Row],[INVERSIONES FCI]],+Tabla5[[#This Row],[INVERSIONES FCI]]-AX249,Tabla5[[#This Row],[INVERSIONES FCI]])</f>
        <v>732084023.72344971</v>
      </c>
      <c r="AY250" s="5">
        <f>IF($B249&lt;=Tabla5[[#This Row],[INVERSIONES FCI]],+Tabla5[[#This Row],[INVERSIONES FCI]]-AY249,Tabla5[[#This Row],[INVERSIONES FCI]])</f>
        <v>732084023.72344971</v>
      </c>
      <c r="AZ250" s="5">
        <f>IF($B249&lt;=Tabla5[[#This Row],[INVERSIONES FCI]],+Tabla5[[#This Row],[INVERSIONES FCI]]-AZ249,Tabla5[[#This Row],[INVERSIONES FCI]])</f>
        <v>732084023.72344971</v>
      </c>
      <c r="BA250" s="5">
        <f>IF($B249&lt;=Tabla5[[#This Row],[INVERSIONES FCI]],+Tabla5[[#This Row],[INVERSIONES FCI]]-BA249,Tabla5[[#This Row],[INVERSIONES FCI]])</f>
        <v>732084023.72344971</v>
      </c>
      <c r="BB250" s="5">
        <f>IF($B249&lt;=Tabla5[[#This Row],[INVERSIONES FCI]],+Tabla5[[#This Row],[INVERSIONES FCI]]-BB249,Tabla5[[#This Row],[INVERSIONES FCI]])</f>
        <v>732084023.72344971</v>
      </c>
      <c r="BC250" s="5">
        <f>IF($B249&lt;=Tabla5[[#This Row],[INVERSIONES FCI]],+Tabla5[[#This Row],[INVERSIONES FCI]]-BC249,Tabla5[[#This Row],[INVERSIONES FCI]])</f>
        <v>732084023.72344971</v>
      </c>
      <c r="BD250" s="5">
        <f>IF($B249&lt;=Tabla5[[#This Row],[INVERSIONES FCI]],+Tabla5[[#This Row],[INVERSIONES FCI]]-BD249,Tabla5[[#This Row],[INVERSIONES FCI]])</f>
        <v>732084023.72344971</v>
      </c>
      <c r="BE250" s="5">
        <f>IF($B249&lt;=Tabla5[[#This Row],[INVERSIONES FCI]],+Tabla5[[#This Row],[INVERSIONES FCI]]-BE249,Tabla5[[#This Row],[INVERSIONES FCI]])</f>
        <v>732084023.72344971</v>
      </c>
      <c r="BF250" s="5">
        <f>IF($B249&lt;=Tabla5[[#This Row],[INVERSIONES FCI]],+Tabla5[[#This Row],[INVERSIONES FCI]]-BF249,Tabla5[[#This Row],[INVERSIONES FCI]])</f>
        <v>732084023.72344971</v>
      </c>
      <c r="BG250" s="5">
        <f>IF($B249&lt;=Tabla5[[#This Row],[INVERSIONES FCI]],+Tabla5[[#This Row],[INVERSIONES FCI]]-BG249,Tabla5[[#This Row],[INVERSIONES FCI]])</f>
        <v>732084023.72344971</v>
      </c>
      <c r="BH250" s="5">
        <f>IF($B249&lt;=Tabla5[[#This Row],[INVERSIONES FCI]],+Tabla5[[#This Row],[INVERSIONES FCI]]-BH249,Tabla5[[#This Row],[INVERSIONES FCI]])</f>
        <v>732084023.72344971</v>
      </c>
      <c r="BI250" s="5">
        <f>IF($B249&lt;=Tabla5[[#This Row],[INVERSIONES FCI]],+Tabla5[[#This Row],[INVERSIONES FCI]]-BI249,Tabla5[[#This Row],[INVERSIONES FCI]])</f>
        <v>732084023.72344971</v>
      </c>
      <c r="BJ250" s="5">
        <f>IF($B249&lt;=Tabla5[[#This Row],[INVERSIONES FCI]],+Tabla5[[#This Row],[INVERSIONES FCI]]-BJ249,Tabla5[[#This Row],[INVERSIONES FCI]])</f>
        <v>732084023.72344971</v>
      </c>
      <c r="BK250" s="5">
        <f>IF($B249&lt;=Tabla5[[#This Row],[INVERSIONES FCI]],+Tabla5[[#This Row],[INVERSIONES FCI]]-BK249,Tabla5[[#This Row],[INVERSIONES FCI]])</f>
        <v>732084023.72344971</v>
      </c>
      <c r="BL250" s="5">
        <f>IF($B249&lt;=Tabla5[[#This Row],[INVERSIONES FCI]],+Tabla5[[#This Row],[INVERSIONES FCI]]-BL249,Tabla5[[#This Row],[INVERSIONES FCI]])</f>
        <v>732084023.72344971</v>
      </c>
      <c r="BM250" s="5">
        <f>IF($B249&lt;=Tabla5[[#This Row],[INVERSIONES FCI]],+Tabla5[[#This Row],[INVERSIONES FCI]]-BM249,Tabla5[[#This Row],[INVERSIONES FCI]])</f>
        <v>732084023.72344971</v>
      </c>
      <c r="BN250" s="5">
        <f>IF($B249&lt;=Tabla5[[#This Row],[INVERSIONES FCI]],+Tabla5[[#This Row],[INVERSIONES FCI]]-BN249,Tabla5[[#This Row],[INVERSIONES FCI]])</f>
        <v>732084023.72344971</v>
      </c>
      <c r="BO250" s="5">
        <f>IF($B249&lt;=Tabla5[[#This Row],[INVERSIONES FCI]],+Tabla5[[#This Row],[INVERSIONES FCI]]-BO249,Tabla5[[#This Row],[INVERSIONES FCI]])</f>
        <v>732084023.72344971</v>
      </c>
      <c r="BP250" s="5">
        <f>IF($B249&lt;=Tabla5[[#This Row],[INVERSIONES FCI]],+Tabla5[[#This Row],[INVERSIONES FCI]]-BP249,Tabla5[[#This Row],[INVERSIONES FCI]])</f>
        <v>732084023.72344971</v>
      </c>
      <c r="BQ250" s="5">
        <f>IF($B249&lt;=Tabla5[[#This Row],[INVERSIONES FCI]],+Tabla5[[#This Row],[INVERSIONES FCI]]-BQ249,Tabla5[[#This Row],[INVERSIONES FCI]])</f>
        <v>732084023.72344971</v>
      </c>
      <c r="BR250" s="5">
        <f>IF($B249&lt;=Tabla5[[#This Row],[INVERSIONES FCI]],+Tabla5[[#This Row],[INVERSIONES FCI]]-BR249,Tabla5[[#This Row],[INVERSIONES FCI]])</f>
        <v>732084023.72344971</v>
      </c>
      <c r="BS250" s="5">
        <f>IF($B249&lt;=Tabla5[[#This Row],[INVERSIONES FCI]],+Tabla5[[#This Row],[INVERSIONES FCI]]-BS249,Tabla5[[#This Row],[INVERSIONES FCI]])</f>
        <v>732084023.72344971</v>
      </c>
      <c r="BT250" s="5">
        <f>IF($B249&lt;=Tabla5[[#This Row],[INVERSIONES FCI]],+Tabla5[[#This Row],[INVERSIONES FCI]]-BT249,Tabla5[[#This Row],[INVERSIONES FCI]])</f>
        <v>732084023.72344971</v>
      </c>
      <c r="BU250" s="5">
        <f>IF($B249&lt;=Tabla5[[#This Row],[INVERSIONES FCI]],+Tabla5[[#This Row],[INVERSIONES FCI]]-BU249,Tabla5[[#This Row],[INVERSIONES FCI]])</f>
        <v>732084023.72344971</v>
      </c>
      <c r="BV250" s="5">
        <f>IF($B249&lt;=Tabla5[[#This Row],[INVERSIONES FCI]],+Tabla5[[#This Row],[INVERSIONES FCI]]-BV249,Tabla5[[#This Row],[INVERSIONES FCI]])</f>
        <v>732084023.72344971</v>
      </c>
      <c r="BW250" s="5">
        <f>IF($B249&lt;=Tabla5[[#This Row],[INVERSIONES FCI]],+Tabla5[[#This Row],[INVERSIONES FCI]]-BW249,Tabla5[[#This Row],[INVERSIONES FCI]])</f>
        <v>732084023.72344971</v>
      </c>
      <c r="BX250" s="5">
        <f>IF($B249&lt;=Tabla5[[#This Row],[INVERSIONES FCI]],+Tabla5[[#This Row],[INVERSIONES FCI]]-BX249,Tabla5[[#This Row],[INVERSIONES FCI]])</f>
        <v>732084023.72344971</v>
      </c>
      <c r="BY250" s="5">
        <f>IF($B249&lt;=Tabla5[[#This Row],[INVERSIONES FCI]],+Tabla5[[#This Row],[INVERSIONES FCI]]-BY249,Tabla5[[#This Row],[INVERSIONES FCI]])</f>
        <v>732084023.72344971</v>
      </c>
      <c r="BZ250" s="5">
        <f>IF($B249&lt;=Tabla5[[#This Row],[INVERSIONES FCI]],+Tabla5[[#This Row],[INVERSIONES FCI]]-BZ249,Tabla5[[#This Row],[INVERSIONES FCI]])</f>
        <v>732084023.72344971</v>
      </c>
      <c r="CA250" s="5">
        <f>IF($B249&lt;=Tabla5[[#This Row],[INVERSIONES FCI]],+Tabla5[[#This Row],[INVERSIONES FCI]]-CA249,Tabla5[[#This Row],[INVERSIONES FCI]])</f>
        <v>732084023.72344971</v>
      </c>
      <c r="CB250" s="5">
        <f>IF($B249&lt;=Tabla5[[#This Row],[INVERSIONES FCI]],+Tabla5[[#This Row],[INVERSIONES FCI]]-CB249,Tabla5[[#This Row],[INVERSIONES FCI]])</f>
        <v>732084023.72344971</v>
      </c>
      <c r="CC250" s="5">
        <f>IF($B249&lt;=Tabla5[[#This Row],[INVERSIONES FCI]],+Tabla5[[#This Row],[INVERSIONES FCI]]-CC249,Tabla5[[#This Row],[INVERSIONES FCI]])</f>
        <v>732084023.72344971</v>
      </c>
      <c r="CD250" s="5">
        <f>IF($B249&lt;=Tabla5[[#This Row],[INVERSIONES FCI]],+Tabla5[[#This Row],[INVERSIONES FCI]]-CD249,Tabla5[[#This Row],[INVERSIONES FCI]])</f>
        <v>732084023.72344971</v>
      </c>
      <c r="CE250" s="5">
        <f>IF($B249&lt;=Tabla5[[#This Row],[INVERSIONES FCI]],+Tabla5[[#This Row],[INVERSIONES FCI]]-CE249,Tabla5[[#This Row],[INVERSIONES FCI]])</f>
        <v>732084023.72344971</v>
      </c>
      <c r="CF250" s="5">
        <f>IF($B249&lt;=Tabla5[[#This Row],[INVERSIONES FCI]],+Tabla5[[#This Row],[INVERSIONES FCI]]-CF249,Tabla5[[#This Row],[INVERSIONES FCI]])</f>
        <v>732084023.72344971</v>
      </c>
      <c r="CG250" s="5">
        <f>IF($B249&lt;=Tabla5[[#This Row],[INVERSIONES FCI]],+Tabla5[[#This Row],[INVERSIONES FCI]]-CG249,Tabla5[[#This Row],[INVERSIONES FCI]])</f>
        <v>732084023.72344971</v>
      </c>
      <c r="CH250" s="5">
        <f>IF($B249&lt;=Tabla5[[#This Row],[INVERSIONES FCI]],+Tabla5[[#This Row],[INVERSIONES FCI]]-CH249,Tabla5[[#This Row],[INVERSIONES FCI]])</f>
        <v>732084023.72344971</v>
      </c>
      <c r="CI250" s="5">
        <f>IF($B249&lt;=Tabla5[[#This Row],[INVERSIONES FCI]],+Tabla5[[#This Row],[INVERSIONES FCI]]-CI249,Tabla5[[#This Row],[INVERSIONES FCI]])</f>
        <v>732084023.72344971</v>
      </c>
      <c r="CJ250" s="5">
        <f>IF($B249&lt;=Tabla5[[#This Row],[INVERSIONES FCI]],+Tabla5[[#This Row],[INVERSIONES FCI]]-CJ249,Tabla5[[#This Row],[INVERSIONES FCI]])</f>
        <v>732084023.72344971</v>
      </c>
      <c r="CK250" s="5">
        <f>IF($B249&lt;=Tabla5[[#This Row],[INVERSIONES FCI]],+Tabla5[[#This Row],[INVERSIONES FCI]]-CK249,Tabla5[[#This Row],[INVERSIONES FCI]])</f>
        <v>732084023.72344971</v>
      </c>
      <c r="CL250" s="5">
        <f>IF($B249&lt;=Tabla5[[#This Row],[INVERSIONES FCI]],+Tabla5[[#This Row],[INVERSIONES FCI]]-CL249,Tabla5[[#This Row],[INVERSIONES FCI]])</f>
        <v>732084023.72344971</v>
      </c>
      <c r="CM250" s="5">
        <f>IF($B249&lt;=Tabla5[[#This Row],[INVERSIONES FCI]],+Tabla5[[#This Row],[INVERSIONES FCI]]-CM249,Tabla5[[#This Row],[INVERSIONES FCI]])</f>
        <v>732084023.72344971</v>
      </c>
      <c r="CN250" s="5">
        <f>IF($B249&lt;=Tabla5[[#This Row],[INVERSIONES FCI]],+Tabla5[[#This Row],[INVERSIONES FCI]]-CN249,Tabla5[[#This Row],[INVERSIONES FCI]])</f>
        <v>732084023.72344971</v>
      </c>
      <c r="CO250" s="5">
        <f>IF($B249&lt;=Tabla5[[#This Row],[INVERSIONES FCI]],+Tabla5[[#This Row],[INVERSIONES FCI]]-CO249,Tabla5[[#This Row],[INVERSIONES FCI]])</f>
        <v>732084023.72344971</v>
      </c>
      <c r="CP250" s="5">
        <f>IF($B249&lt;=Tabla5[[#This Row],[INVERSIONES FCI]],+Tabla5[[#This Row],[INVERSIONES FCI]]-CP249,Tabla5[[#This Row],[INVERSIONES FCI]])</f>
        <v>732084023.72344971</v>
      </c>
      <c r="CQ250" s="5">
        <f>IF($B249&lt;=Tabla5[[#This Row],[INVERSIONES FCI]],+Tabla5[[#This Row],[INVERSIONES FCI]]-CQ249,Tabla5[[#This Row],[INVERSIONES FCI]])</f>
        <v>732084023.72344971</v>
      </c>
      <c r="CR250" s="5">
        <f>IF($B249&lt;=Tabla5[[#This Row],[INVERSIONES FCI]],+Tabla5[[#This Row],[INVERSIONES FCI]]-CR249,Tabla5[[#This Row],[INVERSIONES FCI]])</f>
        <v>732084023.72344971</v>
      </c>
      <c r="CS250" s="5">
        <f>IF($B249&lt;=Tabla5[[#This Row],[INVERSIONES FCI]],+Tabla5[[#This Row],[INVERSIONES FCI]]-CS249,Tabla5[[#This Row],[INVERSIONES FCI]])</f>
        <v>732084023.72344971</v>
      </c>
      <c r="CT250" s="5">
        <f>IF($B249&lt;=Tabla5[[#This Row],[INVERSIONES FCI]],+Tabla5[[#This Row],[INVERSIONES FCI]]-CT249,Tabla5[[#This Row],[INVERSIONES FCI]])</f>
        <v>732084023.72344971</v>
      </c>
      <c r="CU250" s="5">
        <f>IF($B249&lt;=Tabla5[[#This Row],[INVERSIONES FCI]],+Tabla5[[#This Row],[INVERSIONES FCI]]-CU249,Tabla5[[#This Row],[INVERSIONES FCI]])</f>
        <v>732084023.72344971</v>
      </c>
      <c r="CV250" s="5">
        <f>IF($B249&lt;=Tabla5[[#This Row],[INVERSIONES FCI]],+Tabla5[[#This Row],[INVERSIONES FCI]]-CV249,Tabla5[[#This Row],[INVERSIONES FCI]])</f>
        <v>732084023.72344971</v>
      </c>
      <c r="CW250" s="5">
        <f>IF($B249&lt;=Tabla5[[#This Row],[INVERSIONES FCI]],+Tabla5[[#This Row],[INVERSIONES FCI]]-CW249,Tabla5[[#This Row],[INVERSIONES FCI]])</f>
        <v>732084023.72344971</v>
      </c>
      <c r="CX250" s="5">
        <f>IF($B249&lt;=Tabla5[[#This Row],[INVERSIONES FCI]],+Tabla5[[#This Row],[INVERSIONES FCI]]-CX249,Tabla5[[#This Row],[INVERSIONES FCI]])</f>
        <v>732084023.72344971</v>
      </c>
      <c r="CY250" s="5">
        <f>IF($B249&lt;=Tabla5[[#This Row],[INVERSIONES FCI]],+Tabla5[[#This Row],[INVERSIONES FCI]]-CY249,Tabla5[[#This Row],[INVERSIONES FCI]])</f>
        <v>732084023.72344971</v>
      </c>
      <c r="CZ250" s="5">
        <f>IF($B249&lt;=Tabla5[[#This Row],[INVERSIONES FCI]],+Tabla5[[#This Row],[INVERSIONES FCI]]-CZ249,Tabla5[[#This Row],[INVERSIONES FCI]])</f>
        <v>732084023.72344971</v>
      </c>
      <c r="DA250" s="5">
        <f>IF($B249&lt;=Tabla5[[#This Row],[INVERSIONES FCI]],+Tabla5[[#This Row],[INVERSIONES FCI]]-DA249,Tabla5[[#This Row],[INVERSIONES FCI]])</f>
        <v>732084023.72344971</v>
      </c>
      <c r="DB250" s="5">
        <f>IF($B249&lt;=Tabla5[[#This Row],[INVERSIONES FCI]],+Tabla5[[#This Row],[INVERSIONES FCI]]-DB249,Tabla5[[#This Row],[INVERSIONES FCI]])</f>
        <v>732084023.72344971</v>
      </c>
      <c r="DC250" s="5">
        <f>IF($B249&lt;=Tabla5[[#This Row],[INVERSIONES FCI]],+Tabla5[[#This Row],[INVERSIONES FCI]]-DC249,Tabla5[[#This Row],[INVERSIONES FCI]])</f>
        <v>732084023.72344971</v>
      </c>
      <c r="DD250" s="5">
        <f>IF($B249&lt;=Tabla5[[#This Row],[INVERSIONES FCI]],+Tabla5[[#This Row],[INVERSIONES FCI]]-DD249,Tabla5[[#This Row],[INVERSIONES FCI]])</f>
        <v>732084023.72344971</v>
      </c>
      <c r="DE250" s="5">
        <f>IF($B249&lt;=Tabla5[[#This Row],[INVERSIONES FCI]],+Tabla5[[#This Row],[INVERSIONES FCI]]-DE249,Tabla5[[#This Row],[INVERSIONES FCI]])</f>
        <v>732084023.72344971</v>
      </c>
      <c r="DF250" s="5">
        <f>IF($B249&lt;=Tabla5[[#This Row],[INVERSIONES FCI]],+Tabla5[[#This Row],[INVERSIONES FCI]]-DF249,Tabla5[[#This Row],[INVERSIONES FCI]])</f>
        <v>732084023.72344971</v>
      </c>
      <c r="DG250" s="5">
        <f>IF($B249&lt;=Tabla5[[#This Row],[INVERSIONES FCI]],+Tabla5[[#This Row],[INVERSIONES FCI]]-DG249,Tabla5[[#This Row],[INVERSIONES FCI]])</f>
        <v>732084023.72344971</v>
      </c>
      <c r="DH250" s="5">
        <f>IF($B249&lt;=Tabla5[[#This Row],[INVERSIONES FCI]],+Tabla5[[#This Row],[INVERSIONES FCI]]-DH249,Tabla5[[#This Row],[INVERSIONES FCI]])</f>
        <v>732084023.72344971</v>
      </c>
      <c r="DI250" s="5">
        <f>IF($B249&lt;=Tabla5[[#This Row],[INVERSIONES FCI]],+Tabla5[[#This Row],[INVERSIONES FCI]]-DI249,Tabla5[[#This Row],[INVERSIONES FCI]])</f>
        <v>732084023.72344971</v>
      </c>
      <c r="DJ250" s="5">
        <f>IF($B249&lt;=Tabla5[[#This Row],[INVERSIONES FCI]],+Tabla5[[#This Row],[INVERSIONES FCI]]-DJ249,Tabla5[[#This Row],[INVERSIONES FCI]])</f>
        <v>732084023.72344971</v>
      </c>
      <c r="DK250" s="5">
        <f>IF($B249&lt;=Tabla5[[#This Row],[INVERSIONES FCI]],+Tabla5[[#This Row],[INVERSIONES FCI]]-DK249,Tabla5[[#This Row],[INVERSIONES FCI]])</f>
        <v>732084023.72344971</v>
      </c>
      <c r="DL250" s="5"/>
      <c r="DM250" s="5"/>
      <c r="DN250" s="5"/>
      <c r="DO250" s="5"/>
      <c r="DP250" s="5"/>
      <c r="DQ250" s="5"/>
    </row>
    <row r="251" spans="1:121" ht="14.4">
      <c r="A251" s="12" t="s">
        <v>250</v>
      </c>
      <c r="B251" s="5">
        <f>HLOOKUP($A251,ESCENARIO[#All],7,FALSE)</f>
        <v>41419327727.207893</v>
      </c>
      <c r="C251" s="5">
        <f>IF($B250&lt;=Tabla5[[#This Row],[INVERSIONES FCI]],+Tabla5[[#This Row],[INVERSIONES FCI]]-C250,Tabla5[[#This Row],[INVERSIONES FCI]])</f>
        <v>40687243703.484444</v>
      </c>
      <c r="D251" s="5">
        <f>IF($B250&lt;=Tabla5[[#This Row],[INVERSIONES FCI]],+Tabla5[[#This Row],[INVERSIONES FCI]]-D250,Tabla5[[#This Row],[INVERSIONES FCI]])</f>
        <v>40687243703.484444</v>
      </c>
      <c r="E251" s="5">
        <f>IF($B250&lt;=Tabla5[[#This Row],[INVERSIONES FCI]],+Tabla5[[#This Row],[INVERSIONES FCI]]-E250,Tabla5[[#This Row],[INVERSIONES FCI]])</f>
        <v>40687243703.484444</v>
      </c>
      <c r="F251" s="5">
        <f>IF($B250&lt;=Tabla5[[#This Row],[INVERSIONES FCI]],+Tabla5[[#This Row],[INVERSIONES FCI]]-F250,Tabla5[[#This Row],[INVERSIONES FCI]])</f>
        <v>40687243703.484444</v>
      </c>
      <c r="G251" s="5">
        <f>IF($B250&lt;=Tabla5[[#This Row],[INVERSIONES FCI]],+Tabla5[[#This Row],[INVERSIONES FCI]]-G250,Tabla5[[#This Row],[INVERSIONES FCI]])</f>
        <v>40687243703.484444</v>
      </c>
      <c r="H251" s="5">
        <f>IF($B250&lt;=Tabla5[[#This Row],[INVERSIONES FCI]],+Tabla5[[#This Row],[INVERSIONES FCI]]-H250,Tabla5[[#This Row],[INVERSIONES FCI]])</f>
        <v>40687243703.484444</v>
      </c>
      <c r="I251" s="5">
        <f>IF($B250&lt;=Tabla5[[#This Row],[INVERSIONES FCI]],+Tabla5[[#This Row],[INVERSIONES FCI]]-I250,Tabla5[[#This Row],[INVERSIONES FCI]])</f>
        <v>40687243703.484444</v>
      </c>
      <c r="J251" s="5">
        <f>IF($B250&lt;=Tabla5[[#This Row],[INVERSIONES FCI]],+Tabla5[[#This Row],[INVERSIONES FCI]]-J250,Tabla5[[#This Row],[INVERSIONES FCI]])</f>
        <v>40687243703.484444</v>
      </c>
      <c r="K251" s="5">
        <f>IF($B250&lt;=Tabla5[[#This Row],[INVERSIONES FCI]],+Tabla5[[#This Row],[INVERSIONES FCI]]-K250,Tabla5[[#This Row],[INVERSIONES FCI]])</f>
        <v>40687243703.484444</v>
      </c>
      <c r="L251" s="5">
        <f>IF($B250&lt;=Tabla5[[#This Row],[INVERSIONES FCI]],+Tabla5[[#This Row],[INVERSIONES FCI]]-L250,Tabla5[[#This Row],[INVERSIONES FCI]])</f>
        <v>40687243703.484444</v>
      </c>
      <c r="M251" s="5">
        <f>IF($B250&lt;=Tabla5[[#This Row],[INVERSIONES FCI]],+Tabla5[[#This Row],[INVERSIONES FCI]]-M250,Tabla5[[#This Row],[INVERSIONES FCI]])</f>
        <v>40687243703.484444</v>
      </c>
      <c r="N251" s="5">
        <f>IF($B250&lt;=Tabla5[[#This Row],[INVERSIONES FCI]],+Tabla5[[#This Row],[INVERSIONES FCI]]-N250,Tabla5[[#This Row],[INVERSIONES FCI]])</f>
        <v>40687243703.484444</v>
      </c>
      <c r="O251" s="5">
        <f>IF($B250&lt;=Tabla5[[#This Row],[INVERSIONES FCI]],+Tabla5[[#This Row],[INVERSIONES FCI]]-O250,Tabla5[[#This Row],[INVERSIONES FCI]])</f>
        <v>40687243703.484444</v>
      </c>
      <c r="P251" s="5">
        <f>IF($B250&lt;=Tabla5[[#This Row],[INVERSIONES FCI]],+Tabla5[[#This Row],[INVERSIONES FCI]]-P250,Tabla5[[#This Row],[INVERSIONES FCI]])</f>
        <v>40687243703.484444</v>
      </c>
      <c r="Q251" s="5">
        <f>IF($B250&lt;=Tabla5[[#This Row],[INVERSIONES FCI]],+Tabla5[[#This Row],[INVERSIONES FCI]]-Q250,Tabla5[[#This Row],[INVERSIONES FCI]])</f>
        <v>40687243703.484444</v>
      </c>
      <c r="R251" s="5">
        <f>IF($B250&lt;=Tabla5[[#This Row],[INVERSIONES FCI]],+Tabla5[[#This Row],[INVERSIONES FCI]]-R250,Tabla5[[#This Row],[INVERSIONES FCI]])</f>
        <v>40687243703.484444</v>
      </c>
      <c r="S251" s="5">
        <f>IF($B250&lt;=Tabla5[[#This Row],[INVERSIONES FCI]],+Tabla5[[#This Row],[INVERSIONES FCI]]-S250,Tabla5[[#This Row],[INVERSIONES FCI]])</f>
        <v>40687243703.484444</v>
      </c>
      <c r="T251" s="5">
        <f>IF($B250&lt;=Tabla5[[#This Row],[INVERSIONES FCI]],+Tabla5[[#This Row],[INVERSIONES FCI]]-T250,Tabla5[[#This Row],[INVERSIONES FCI]])</f>
        <v>40687243703.484444</v>
      </c>
      <c r="U251" s="5">
        <f>IF($B250&lt;=Tabla5[[#This Row],[INVERSIONES FCI]],+Tabla5[[#This Row],[INVERSIONES FCI]]-U250,Tabla5[[#This Row],[INVERSIONES FCI]])</f>
        <v>40687243703.484444</v>
      </c>
      <c r="V251" s="5">
        <f>IF($B250&lt;=Tabla5[[#This Row],[INVERSIONES FCI]],+Tabla5[[#This Row],[INVERSIONES FCI]]-V250,Tabla5[[#This Row],[INVERSIONES FCI]])</f>
        <v>40687243703.484444</v>
      </c>
      <c r="W251" s="5">
        <f>IF($B250&lt;=Tabla5[[#This Row],[INVERSIONES FCI]],+Tabla5[[#This Row],[INVERSIONES FCI]]-W250,Tabla5[[#This Row],[INVERSIONES FCI]])</f>
        <v>40687243703.484444</v>
      </c>
      <c r="X251" s="5">
        <f>IF($B250&lt;=Tabla5[[#This Row],[INVERSIONES FCI]],+Tabla5[[#This Row],[INVERSIONES FCI]]-X250,Tabla5[[#This Row],[INVERSIONES FCI]])</f>
        <v>40687243703.484444</v>
      </c>
      <c r="Y251" s="5">
        <f>IF($B250&lt;=Tabla5[[#This Row],[INVERSIONES FCI]],+Tabla5[[#This Row],[INVERSIONES FCI]]-Y250,Tabla5[[#This Row],[INVERSIONES FCI]])</f>
        <v>40687243703.484444</v>
      </c>
      <c r="Z251" s="5">
        <f>IF($B250&lt;=Tabla5[[#This Row],[INVERSIONES FCI]],+Tabla5[[#This Row],[INVERSIONES FCI]]-Z250,Tabla5[[#This Row],[INVERSIONES FCI]])</f>
        <v>40687243703.484444</v>
      </c>
      <c r="AA251" s="5">
        <f>IF($B250&lt;=Tabla5[[#This Row],[INVERSIONES FCI]],+Tabla5[[#This Row],[INVERSIONES FCI]]-AA250,Tabla5[[#This Row],[INVERSIONES FCI]])</f>
        <v>40687243703.484444</v>
      </c>
      <c r="AB251" s="5">
        <f>IF($B250&lt;=Tabla5[[#This Row],[INVERSIONES FCI]],+Tabla5[[#This Row],[INVERSIONES FCI]]-AB250,Tabla5[[#This Row],[INVERSIONES FCI]])</f>
        <v>40687243703.484444</v>
      </c>
      <c r="AC251" s="5">
        <f>IF($B250&lt;=Tabla5[[#This Row],[INVERSIONES FCI]],+Tabla5[[#This Row],[INVERSIONES FCI]]-AC250,Tabla5[[#This Row],[INVERSIONES FCI]])</f>
        <v>40687243703.484444</v>
      </c>
      <c r="AD251" s="5">
        <f>IF($B250&lt;=Tabla5[[#This Row],[INVERSIONES FCI]],+Tabla5[[#This Row],[INVERSIONES FCI]]-AD250,Tabla5[[#This Row],[INVERSIONES FCI]])</f>
        <v>40687243703.484444</v>
      </c>
      <c r="AE251" s="5">
        <f>IF($B250&lt;=Tabla5[[#This Row],[INVERSIONES FCI]],+Tabla5[[#This Row],[INVERSIONES FCI]]-AE250,Tabla5[[#This Row],[INVERSIONES FCI]])</f>
        <v>40687243703.484444</v>
      </c>
      <c r="AF251" s="5">
        <f>IF($B250&lt;=Tabla5[[#This Row],[INVERSIONES FCI]],+Tabla5[[#This Row],[INVERSIONES FCI]]-AF250,Tabla5[[#This Row],[INVERSIONES FCI]])</f>
        <v>40687243703.484444</v>
      </c>
      <c r="AG251" s="5">
        <f>IF($B250&lt;=Tabla5[[#This Row],[INVERSIONES FCI]],+Tabla5[[#This Row],[INVERSIONES FCI]]-AG250,Tabla5[[#This Row],[INVERSIONES FCI]])</f>
        <v>40687243703.484444</v>
      </c>
      <c r="AH251" s="5">
        <f>IF($B250&lt;=Tabla5[[#This Row],[INVERSIONES FCI]],+Tabla5[[#This Row],[INVERSIONES FCI]]-AH250,Tabla5[[#This Row],[INVERSIONES FCI]])</f>
        <v>40687243703.484444</v>
      </c>
      <c r="AI251" s="5">
        <f>IF($B250&lt;=Tabla5[[#This Row],[INVERSIONES FCI]],+Tabla5[[#This Row],[INVERSIONES FCI]]-AI250,Tabla5[[#This Row],[INVERSIONES FCI]])</f>
        <v>40687243703.484444</v>
      </c>
      <c r="AJ251" s="5">
        <f>IF($B250&lt;=Tabla5[[#This Row],[INVERSIONES FCI]],+Tabla5[[#This Row],[INVERSIONES FCI]]-AJ250,Tabla5[[#This Row],[INVERSIONES FCI]])</f>
        <v>40687243703.484444</v>
      </c>
      <c r="AK251" s="5">
        <f>IF($B250&lt;=Tabla5[[#This Row],[INVERSIONES FCI]],+Tabla5[[#This Row],[INVERSIONES FCI]]-AK250,Tabla5[[#This Row],[INVERSIONES FCI]])</f>
        <v>40687243703.484444</v>
      </c>
      <c r="AL251" s="5">
        <f>IF($B250&lt;=Tabla5[[#This Row],[INVERSIONES FCI]],+Tabla5[[#This Row],[INVERSIONES FCI]]-AL250,Tabla5[[#This Row],[INVERSIONES FCI]])</f>
        <v>40687243703.484444</v>
      </c>
      <c r="AM251" s="5">
        <f>IF($B250&lt;=Tabla5[[#This Row],[INVERSIONES FCI]],+Tabla5[[#This Row],[INVERSIONES FCI]]-AM250,Tabla5[[#This Row],[INVERSIONES FCI]])</f>
        <v>40687243703.484444</v>
      </c>
      <c r="AN251" s="5">
        <f>IF($B250&lt;=Tabla5[[#This Row],[INVERSIONES FCI]],+Tabla5[[#This Row],[INVERSIONES FCI]]-AN250,Tabla5[[#This Row],[INVERSIONES FCI]])</f>
        <v>40687243703.484444</v>
      </c>
      <c r="AO251" s="5">
        <f>IF($B250&lt;=Tabla5[[#This Row],[INVERSIONES FCI]],+Tabla5[[#This Row],[INVERSIONES FCI]]-AO250,Tabla5[[#This Row],[INVERSIONES FCI]])</f>
        <v>40687243703.484444</v>
      </c>
      <c r="AP251" s="5">
        <f>IF($B250&lt;=Tabla5[[#This Row],[INVERSIONES FCI]],+Tabla5[[#This Row],[INVERSIONES FCI]]-AP250,Tabla5[[#This Row],[INVERSIONES FCI]])</f>
        <v>40687243703.484444</v>
      </c>
      <c r="AQ251" s="5">
        <f>IF($B250&lt;=Tabla5[[#This Row],[INVERSIONES FCI]],+Tabla5[[#This Row],[INVERSIONES FCI]]-AQ250,Tabla5[[#This Row],[INVERSIONES FCI]])</f>
        <v>40687243703.484444</v>
      </c>
      <c r="AR251" s="5">
        <f>IF($B250&lt;=Tabla5[[#This Row],[INVERSIONES FCI]],+Tabla5[[#This Row],[INVERSIONES FCI]]-AR250,Tabla5[[#This Row],[INVERSIONES FCI]])</f>
        <v>40687243703.484444</v>
      </c>
      <c r="AS251" s="5">
        <f>IF($B250&lt;=Tabla5[[#This Row],[INVERSIONES FCI]],+Tabla5[[#This Row],[INVERSIONES FCI]]-AS250,Tabla5[[#This Row],[INVERSIONES FCI]])</f>
        <v>40687243703.484444</v>
      </c>
      <c r="AT251" s="5">
        <f>IF($B250&lt;=Tabla5[[#This Row],[INVERSIONES FCI]],+Tabla5[[#This Row],[INVERSIONES FCI]]-AT250,Tabla5[[#This Row],[INVERSIONES FCI]])</f>
        <v>40687243703.484444</v>
      </c>
      <c r="AU251" s="5">
        <f>IF($B250&lt;=Tabla5[[#This Row],[INVERSIONES FCI]],+Tabla5[[#This Row],[INVERSIONES FCI]]-AU250,Tabla5[[#This Row],[INVERSIONES FCI]])</f>
        <v>40687243703.484444</v>
      </c>
      <c r="AV251" s="5">
        <f>IF($B250&lt;=Tabla5[[#This Row],[INVERSIONES FCI]],+Tabla5[[#This Row],[INVERSIONES FCI]]-AV250,Tabla5[[#This Row],[INVERSIONES FCI]])</f>
        <v>40687243703.484444</v>
      </c>
      <c r="AW251" s="5">
        <f>IF($B250&lt;=Tabla5[[#This Row],[INVERSIONES FCI]],+Tabla5[[#This Row],[INVERSIONES FCI]]-AW250,Tabla5[[#This Row],[INVERSIONES FCI]])</f>
        <v>40687243703.484444</v>
      </c>
      <c r="AX251" s="5">
        <f>IF($B250&lt;=Tabla5[[#This Row],[INVERSIONES FCI]],+Tabla5[[#This Row],[INVERSIONES FCI]]-AX250,Tabla5[[#This Row],[INVERSIONES FCI]])</f>
        <v>40687243703.484444</v>
      </c>
      <c r="AY251" s="5">
        <f>IF($B250&lt;=Tabla5[[#This Row],[INVERSIONES FCI]],+Tabla5[[#This Row],[INVERSIONES FCI]]-AY250,Tabla5[[#This Row],[INVERSIONES FCI]])</f>
        <v>40687243703.484444</v>
      </c>
      <c r="AZ251" s="5">
        <f>IF($B250&lt;=Tabla5[[#This Row],[INVERSIONES FCI]],+Tabla5[[#This Row],[INVERSIONES FCI]]-AZ250,Tabla5[[#This Row],[INVERSIONES FCI]])</f>
        <v>40687243703.484444</v>
      </c>
      <c r="BA251" s="5">
        <f>IF($B250&lt;=Tabla5[[#This Row],[INVERSIONES FCI]],+Tabla5[[#This Row],[INVERSIONES FCI]]-BA250,Tabla5[[#This Row],[INVERSIONES FCI]])</f>
        <v>40687243703.484444</v>
      </c>
      <c r="BB251" s="5">
        <f>IF($B250&lt;=Tabla5[[#This Row],[INVERSIONES FCI]],+Tabla5[[#This Row],[INVERSIONES FCI]]-BB250,Tabla5[[#This Row],[INVERSIONES FCI]])</f>
        <v>40687243703.484444</v>
      </c>
      <c r="BC251" s="5">
        <f>IF($B250&lt;=Tabla5[[#This Row],[INVERSIONES FCI]],+Tabla5[[#This Row],[INVERSIONES FCI]]-BC250,Tabla5[[#This Row],[INVERSIONES FCI]])</f>
        <v>40687243703.484444</v>
      </c>
      <c r="BD251" s="5">
        <f>IF($B250&lt;=Tabla5[[#This Row],[INVERSIONES FCI]],+Tabla5[[#This Row],[INVERSIONES FCI]]-BD250,Tabla5[[#This Row],[INVERSIONES FCI]])</f>
        <v>40687243703.484444</v>
      </c>
      <c r="BE251" s="5">
        <f>IF($B250&lt;=Tabla5[[#This Row],[INVERSIONES FCI]],+Tabla5[[#This Row],[INVERSIONES FCI]]-BE250,Tabla5[[#This Row],[INVERSIONES FCI]])</f>
        <v>40687243703.484444</v>
      </c>
      <c r="BF251" s="5">
        <f>IF($B250&lt;=Tabla5[[#This Row],[INVERSIONES FCI]],+Tabla5[[#This Row],[INVERSIONES FCI]]-BF250,Tabla5[[#This Row],[INVERSIONES FCI]])</f>
        <v>40687243703.484444</v>
      </c>
      <c r="BG251" s="5">
        <f>IF($B250&lt;=Tabla5[[#This Row],[INVERSIONES FCI]],+Tabla5[[#This Row],[INVERSIONES FCI]]-BG250,Tabla5[[#This Row],[INVERSIONES FCI]])</f>
        <v>40687243703.484444</v>
      </c>
      <c r="BH251" s="5">
        <f>IF($B250&lt;=Tabla5[[#This Row],[INVERSIONES FCI]],+Tabla5[[#This Row],[INVERSIONES FCI]]-BH250,Tabla5[[#This Row],[INVERSIONES FCI]])</f>
        <v>40687243703.484444</v>
      </c>
      <c r="BI251" s="5">
        <f>IF($B250&lt;=Tabla5[[#This Row],[INVERSIONES FCI]],+Tabla5[[#This Row],[INVERSIONES FCI]]-BI250,Tabla5[[#This Row],[INVERSIONES FCI]])</f>
        <v>40687243703.484444</v>
      </c>
      <c r="BJ251" s="5">
        <f>IF($B250&lt;=Tabla5[[#This Row],[INVERSIONES FCI]],+Tabla5[[#This Row],[INVERSIONES FCI]]-BJ250,Tabla5[[#This Row],[INVERSIONES FCI]])</f>
        <v>40687243703.484444</v>
      </c>
      <c r="BK251" s="5">
        <f>IF($B250&lt;=Tabla5[[#This Row],[INVERSIONES FCI]],+Tabla5[[#This Row],[INVERSIONES FCI]]-BK250,Tabla5[[#This Row],[INVERSIONES FCI]])</f>
        <v>40687243703.484444</v>
      </c>
      <c r="BL251" s="5">
        <f>IF($B250&lt;=Tabla5[[#This Row],[INVERSIONES FCI]],+Tabla5[[#This Row],[INVERSIONES FCI]]-BL250,Tabla5[[#This Row],[INVERSIONES FCI]])</f>
        <v>40687243703.484444</v>
      </c>
      <c r="BM251" s="5">
        <f>IF($B250&lt;=Tabla5[[#This Row],[INVERSIONES FCI]],+Tabla5[[#This Row],[INVERSIONES FCI]]-BM250,Tabla5[[#This Row],[INVERSIONES FCI]])</f>
        <v>40687243703.484444</v>
      </c>
      <c r="BN251" s="5">
        <f>IF($B250&lt;=Tabla5[[#This Row],[INVERSIONES FCI]],+Tabla5[[#This Row],[INVERSIONES FCI]]-BN250,Tabla5[[#This Row],[INVERSIONES FCI]])</f>
        <v>40687243703.484444</v>
      </c>
      <c r="BO251" s="5">
        <f>IF($B250&lt;=Tabla5[[#This Row],[INVERSIONES FCI]],+Tabla5[[#This Row],[INVERSIONES FCI]]-BO250,Tabla5[[#This Row],[INVERSIONES FCI]])</f>
        <v>40687243703.484444</v>
      </c>
      <c r="BP251" s="5">
        <f>IF($B250&lt;=Tabla5[[#This Row],[INVERSIONES FCI]],+Tabla5[[#This Row],[INVERSIONES FCI]]-BP250,Tabla5[[#This Row],[INVERSIONES FCI]])</f>
        <v>40687243703.484444</v>
      </c>
      <c r="BQ251" s="5">
        <f>IF($B250&lt;=Tabla5[[#This Row],[INVERSIONES FCI]],+Tabla5[[#This Row],[INVERSIONES FCI]]-BQ250,Tabla5[[#This Row],[INVERSIONES FCI]])</f>
        <v>40687243703.484444</v>
      </c>
      <c r="BR251" s="5">
        <f>IF($B250&lt;=Tabla5[[#This Row],[INVERSIONES FCI]],+Tabla5[[#This Row],[INVERSIONES FCI]]-BR250,Tabla5[[#This Row],[INVERSIONES FCI]])</f>
        <v>40687243703.484444</v>
      </c>
      <c r="BS251" s="5">
        <f>IF($B250&lt;=Tabla5[[#This Row],[INVERSIONES FCI]],+Tabla5[[#This Row],[INVERSIONES FCI]]-BS250,Tabla5[[#This Row],[INVERSIONES FCI]])</f>
        <v>40687243703.484444</v>
      </c>
      <c r="BT251" s="5">
        <f>IF($B250&lt;=Tabla5[[#This Row],[INVERSIONES FCI]],+Tabla5[[#This Row],[INVERSIONES FCI]]-BT250,Tabla5[[#This Row],[INVERSIONES FCI]])</f>
        <v>40687243703.484444</v>
      </c>
      <c r="BU251" s="5">
        <f>IF($B250&lt;=Tabla5[[#This Row],[INVERSIONES FCI]],+Tabla5[[#This Row],[INVERSIONES FCI]]-BU250,Tabla5[[#This Row],[INVERSIONES FCI]])</f>
        <v>40687243703.484444</v>
      </c>
      <c r="BV251" s="5">
        <f>IF($B250&lt;=Tabla5[[#This Row],[INVERSIONES FCI]],+Tabla5[[#This Row],[INVERSIONES FCI]]-BV250,Tabla5[[#This Row],[INVERSIONES FCI]])</f>
        <v>40687243703.484444</v>
      </c>
      <c r="BW251" s="5">
        <f>IF($B250&lt;=Tabla5[[#This Row],[INVERSIONES FCI]],+Tabla5[[#This Row],[INVERSIONES FCI]]-BW250,Tabla5[[#This Row],[INVERSIONES FCI]])</f>
        <v>40687243703.484444</v>
      </c>
      <c r="BX251" s="5">
        <f>IF($B250&lt;=Tabla5[[#This Row],[INVERSIONES FCI]],+Tabla5[[#This Row],[INVERSIONES FCI]]-BX250,Tabla5[[#This Row],[INVERSIONES FCI]])</f>
        <v>40687243703.484444</v>
      </c>
      <c r="BY251" s="5">
        <f>IF($B250&lt;=Tabla5[[#This Row],[INVERSIONES FCI]],+Tabla5[[#This Row],[INVERSIONES FCI]]-BY250,Tabla5[[#This Row],[INVERSIONES FCI]])</f>
        <v>40687243703.484444</v>
      </c>
      <c r="BZ251" s="5">
        <f>IF($B250&lt;=Tabla5[[#This Row],[INVERSIONES FCI]],+Tabla5[[#This Row],[INVERSIONES FCI]]-BZ250,Tabla5[[#This Row],[INVERSIONES FCI]])</f>
        <v>40687243703.484444</v>
      </c>
      <c r="CA251" s="5">
        <f>IF($B250&lt;=Tabla5[[#This Row],[INVERSIONES FCI]],+Tabla5[[#This Row],[INVERSIONES FCI]]-CA250,Tabla5[[#This Row],[INVERSIONES FCI]])</f>
        <v>40687243703.484444</v>
      </c>
      <c r="CB251" s="5">
        <f>IF($B250&lt;=Tabla5[[#This Row],[INVERSIONES FCI]],+Tabla5[[#This Row],[INVERSIONES FCI]]-CB250,Tabla5[[#This Row],[INVERSIONES FCI]])</f>
        <v>40687243703.484444</v>
      </c>
      <c r="CC251" s="5">
        <f>IF($B250&lt;=Tabla5[[#This Row],[INVERSIONES FCI]],+Tabla5[[#This Row],[INVERSIONES FCI]]-CC250,Tabla5[[#This Row],[INVERSIONES FCI]])</f>
        <v>40687243703.484444</v>
      </c>
      <c r="CD251" s="5">
        <f>IF($B250&lt;=Tabla5[[#This Row],[INVERSIONES FCI]],+Tabla5[[#This Row],[INVERSIONES FCI]]-CD250,Tabla5[[#This Row],[INVERSIONES FCI]])</f>
        <v>40687243703.484444</v>
      </c>
      <c r="CE251" s="5">
        <f>IF($B250&lt;=Tabla5[[#This Row],[INVERSIONES FCI]],+Tabla5[[#This Row],[INVERSIONES FCI]]-CE250,Tabla5[[#This Row],[INVERSIONES FCI]])</f>
        <v>40687243703.484444</v>
      </c>
      <c r="CF251" s="5">
        <f>IF($B250&lt;=Tabla5[[#This Row],[INVERSIONES FCI]],+Tabla5[[#This Row],[INVERSIONES FCI]]-CF250,Tabla5[[#This Row],[INVERSIONES FCI]])</f>
        <v>40687243703.484444</v>
      </c>
      <c r="CG251" s="5">
        <f>IF($B250&lt;=Tabla5[[#This Row],[INVERSIONES FCI]],+Tabla5[[#This Row],[INVERSIONES FCI]]-CG250,Tabla5[[#This Row],[INVERSIONES FCI]])</f>
        <v>40687243703.484444</v>
      </c>
      <c r="CH251" s="5">
        <f>IF($B250&lt;=Tabla5[[#This Row],[INVERSIONES FCI]],+Tabla5[[#This Row],[INVERSIONES FCI]]-CH250,Tabla5[[#This Row],[INVERSIONES FCI]])</f>
        <v>40687243703.484444</v>
      </c>
      <c r="CI251" s="5">
        <f>IF($B250&lt;=Tabla5[[#This Row],[INVERSIONES FCI]],+Tabla5[[#This Row],[INVERSIONES FCI]]-CI250,Tabla5[[#This Row],[INVERSIONES FCI]])</f>
        <v>40687243703.484444</v>
      </c>
      <c r="CJ251" s="5">
        <f>IF($B250&lt;=Tabla5[[#This Row],[INVERSIONES FCI]],+Tabla5[[#This Row],[INVERSIONES FCI]]-CJ250,Tabla5[[#This Row],[INVERSIONES FCI]])</f>
        <v>40687243703.484444</v>
      </c>
      <c r="CK251" s="5">
        <f>IF($B250&lt;=Tabla5[[#This Row],[INVERSIONES FCI]],+Tabla5[[#This Row],[INVERSIONES FCI]]-CK250,Tabla5[[#This Row],[INVERSIONES FCI]])</f>
        <v>40687243703.484444</v>
      </c>
      <c r="CL251" s="5">
        <f>IF($B250&lt;=Tabla5[[#This Row],[INVERSIONES FCI]],+Tabla5[[#This Row],[INVERSIONES FCI]]-CL250,Tabla5[[#This Row],[INVERSIONES FCI]])</f>
        <v>40687243703.484444</v>
      </c>
      <c r="CM251" s="5">
        <f>IF($B250&lt;=Tabla5[[#This Row],[INVERSIONES FCI]],+Tabla5[[#This Row],[INVERSIONES FCI]]-CM250,Tabla5[[#This Row],[INVERSIONES FCI]])</f>
        <v>40687243703.484444</v>
      </c>
      <c r="CN251" s="5">
        <f>IF($B250&lt;=Tabla5[[#This Row],[INVERSIONES FCI]],+Tabla5[[#This Row],[INVERSIONES FCI]]-CN250,Tabla5[[#This Row],[INVERSIONES FCI]])</f>
        <v>40687243703.484444</v>
      </c>
      <c r="CO251" s="5">
        <f>IF($B250&lt;=Tabla5[[#This Row],[INVERSIONES FCI]],+Tabla5[[#This Row],[INVERSIONES FCI]]-CO250,Tabla5[[#This Row],[INVERSIONES FCI]])</f>
        <v>40687243703.484444</v>
      </c>
      <c r="CP251" s="5">
        <f>IF($B250&lt;=Tabla5[[#This Row],[INVERSIONES FCI]],+Tabla5[[#This Row],[INVERSIONES FCI]]-CP250,Tabla5[[#This Row],[INVERSIONES FCI]])</f>
        <v>40687243703.484444</v>
      </c>
      <c r="CQ251" s="5">
        <f>IF($B250&lt;=Tabla5[[#This Row],[INVERSIONES FCI]],+Tabla5[[#This Row],[INVERSIONES FCI]]-CQ250,Tabla5[[#This Row],[INVERSIONES FCI]])</f>
        <v>40687243703.484444</v>
      </c>
      <c r="CR251" s="5">
        <f>IF($B250&lt;=Tabla5[[#This Row],[INVERSIONES FCI]],+Tabla5[[#This Row],[INVERSIONES FCI]]-CR250,Tabla5[[#This Row],[INVERSIONES FCI]])</f>
        <v>40687243703.484444</v>
      </c>
      <c r="CS251" s="5">
        <f>IF($B250&lt;=Tabla5[[#This Row],[INVERSIONES FCI]],+Tabla5[[#This Row],[INVERSIONES FCI]]-CS250,Tabla5[[#This Row],[INVERSIONES FCI]])</f>
        <v>40687243703.484444</v>
      </c>
      <c r="CT251" s="5">
        <f>IF($B250&lt;=Tabla5[[#This Row],[INVERSIONES FCI]],+Tabla5[[#This Row],[INVERSIONES FCI]]-CT250,Tabla5[[#This Row],[INVERSIONES FCI]])</f>
        <v>40687243703.484444</v>
      </c>
      <c r="CU251" s="5">
        <f>IF($B250&lt;=Tabla5[[#This Row],[INVERSIONES FCI]],+Tabla5[[#This Row],[INVERSIONES FCI]]-CU250,Tabla5[[#This Row],[INVERSIONES FCI]])</f>
        <v>40687243703.484444</v>
      </c>
      <c r="CV251" s="5">
        <f>IF($B250&lt;=Tabla5[[#This Row],[INVERSIONES FCI]],+Tabla5[[#This Row],[INVERSIONES FCI]]-CV250,Tabla5[[#This Row],[INVERSIONES FCI]])</f>
        <v>40687243703.484444</v>
      </c>
      <c r="CW251" s="5">
        <f>IF($B250&lt;=Tabla5[[#This Row],[INVERSIONES FCI]],+Tabla5[[#This Row],[INVERSIONES FCI]]-CW250,Tabla5[[#This Row],[INVERSIONES FCI]])</f>
        <v>40687243703.484444</v>
      </c>
      <c r="CX251" s="5">
        <f>IF($B250&lt;=Tabla5[[#This Row],[INVERSIONES FCI]],+Tabla5[[#This Row],[INVERSIONES FCI]]-CX250,Tabla5[[#This Row],[INVERSIONES FCI]])</f>
        <v>40687243703.484444</v>
      </c>
      <c r="CY251" s="5">
        <f>IF($B250&lt;=Tabla5[[#This Row],[INVERSIONES FCI]],+Tabla5[[#This Row],[INVERSIONES FCI]]-CY250,Tabla5[[#This Row],[INVERSIONES FCI]])</f>
        <v>40687243703.484444</v>
      </c>
      <c r="CZ251" s="5">
        <f>IF($B250&lt;=Tabla5[[#This Row],[INVERSIONES FCI]],+Tabla5[[#This Row],[INVERSIONES FCI]]-CZ250,Tabla5[[#This Row],[INVERSIONES FCI]])</f>
        <v>40687243703.484444</v>
      </c>
      <c r="DA251" s="5">
        <f>IF($B250&lt;=Tabla5[[#This Row],[INVERSIONES FCI]],+Tabla5[[#This Row],[INVERSIONES FCI]]-DA250,Tabla5[[#This Row],[INVERSIONES FCI]])</f>
        <v>40687243703.484444</v>
      </c>
      <c r="DB251" s="5">
        <f>IF($B250&lt;=Tabla5[[#This Row],[INVERSIONES FCI]],+Tabla5[[#This Row],[INVERSIONES FCI]]-DB250,Tabla5[[#This Row],[INVERSIONES FCI]])</f>
        <v>40687243703.484444</v>
      </c>
      <c r="DC251" s="5">
        <f>IF($B250&lt;=Tabla5[[#This Row],[INVERSIONES FCI]],+Tabla5[[#This Row],[INVERSIONES FCI]]-DC250,Tabla5[[#This Row],[INVERSIONES FCI]])</f>
        <v>40687243703.484444</v>
      </c>
      <c r="DD251" s="5">
        <f>IF($B250&lt;=Tabla5[[#This Row],[INVERSIONES FCI]],+Tabla5[[#This Row],[INVERSIONES FCI]]-DD250,Tabla5[[#This Row],[INVERSIONES FCI]])</f>
        <v>40687243703.484444</v>
      </c>
      <c r="DE251" s="5">
        <f>IF($B250&lt;=Tabla5[[#This Row],[INVERSIONES FCI]],+Tabla5[[#This Row],[INVERSIONES FCI]]-DE250,Tabla5[[#This Row],[INVERSIONES FCI]])</f>
        <v>40687243703.484444</v>
      </c>
      <c r="DF251" s="5">
        <f>IF($B250&lt;=Tabla5[[#This Row],[INVERSIONES FCI]],+Tabla5[[#This Row],[INVERSIONES FCI]]-DF250,Tabla5[[#This Row],[INVERSIONES FCI]])</f>
        <v>40687243703.484444</v>
      </c>
      <c r="DG251" s="5">
        <f>IF($B250&lt;=Tabla5[[#This Row],[INVERSIONES FCI]],+Tabla5[[#This Row],[INVERSIONES FCI]]-DG250,Tabla5[[#This Row],[INVERSIONES FCI]])</f>
        <v>40687243703.484444</v>
      </c>
      <c r="DH251" s="5">
        <f>IF($B250&lt;=Tabla5[[#This Row],[INVERSIONES FCI]],+Tabla5[[#This Row],[INVERSIONES FCI]]-DH250,Tabla5[[#This Row],[INVERSIONES FCI]])</f>
        <v>40687243703.484444</v>
      </c>
      <c r="DI251" s="5">
        <f>IF($B250&lt;=Tabla5[[#This Row],[INVERSIONES FCI]],+Tabla5[[#This Row],[INVERSIONES FCI]]-DI250,Tabla5[[#This Row],[INVERSIONES FCI]])</f>
        <v>40687243703.484444</v>
      </c>
      <c r="DJ251" s="5">
        <f>IF($B250&lt;=Tabla5[[#This Row],[INVERSIONES FCI]],+Tabla5[[#This Row],[INVERSIONES FCI]]-DJ250,Tabla5[[#This Row],[INVERSIONES FCI]])</f>
        <v>40687243703.484444</v>
      </c>
      <c r="DK251" s="5">
        <f>IF($B250&lt;=Tabla5[[#This Row],[INVERSIONES FCI]],+Tabla5[[#This Row],[INVERSIONES FCI]]-DK250,Tabla5[[#This Row],[INVERSIONES FCI]])</f>
        <v>40687243703.484444</v>
      </c>
      <c r="DL251" s="5"/>
      <c r="DM251" s="5"/>
      <c r="DN251" s="5"/>
      <c r="DO251" s="5"/>
      <c r="DP251" s="5"/>
      <c r="DQ251" s="5"/>
    </row>
    <row r="252" spans="1:121" ht="14.4">
      <c r="A252" s="12" t="s">
        <v>251</v>
      </c>
      <c r="B252" s="5">
        <f>HLOOKUP($A252,ESCENARIO[#All],7,FALSE)</f>
        <v>43077001570.834167</v>
      </c>
      <c r="C252" s="5">
        <f>IF($B251&lt;=Tabla5[[#This Row],[INVERSIONES FCI]],+Tabla5[[#This Row],[INVERSIONES FCI]]-C251,Tabla5[[#This Row],[INVERSIONES FCI]])</f>
        <v>2389757867.3497238</v>
      </c>
      <c r="D252" s="5">
        <f>IF($B251&lt;=Tabla5[[#This Row],[INVERSIONES FCI]],+Tabla5[[#This Row],[INVERSIONES FCI]]-D251,Tabla5[[#This Row],[INVERSIONES FCI]])</f>
        <v>2389757867.3497238</v>
      </c>
      <c r="E252" s="5">
        <f>IF($B251&lt;=Tabla5[[#This Row],[INVERSIONES FCI]],+Tabla5[[#This Row],[INVERSIONES FCI]]-E251,Tabla5[[#This Row],[INVERSIONES FCI]])</f>
        <v>2389757867.3497238</v>
      </c>
      <c r="F252" s="5">
        <f>IF($B251&lt;=Tabla5[[#This Row],[INVERSIONES FCI]],+Tabla5[[#This Row],[INVERSIONES FCI]]-F251,Tabla5[[#This Row],[INVERSIONES FCI]])</f>
        <v>2389757867.3497238</v>
      </c>
      <c r="G252" s="5">
        <f>IF($B251&lt;=Tabla5[[#This Row],[INVERSIONES FCI]],+Tabla5[[#This Row],[INVERSIONES FCI]]-G251,Tabla5[[#This Row],[INVERSIONES FCI]])</f>
        <v>2389757867.3497238</v>
      </c>
      <c r="H252" s="5">
        <f>IF($B251&lt;=Tabla5[[#This Row],[INVERSIONES FCI]],+Tabla5[[#This Row],[INVERSIONES FCI]]-H251,Tabla5[[#This Row],[INVERSIONES FCI]])</f>
        <v>2389757867.3497238</v>
      </c>
      <c r="I252" s="5">
        <f>IF($B251&lt;=Tabla5[[#This Row],[INVERSIONES FCI]],+Tabla5[[#This Row],[INVERSIONES FCI]]-I251,Tabla5[[#This Row],[INVERSIONES FCI]])</f>
        <v>2389757867.3497238</v>
      </c>
      <c r="J252" s="5">
        <f>IF($B251&lt;=Tabla5[[#This Row],[INVERSIONES FCI]],+Tabla5[[#This Row],[INVERSIONES FCI]]-J251,Tabla5[[#This Row],[INVERSIONES FCI]])</f>
        <v>2389757867.3497238</v>
      </c>
      <c r="K252" s="5">
        <f>IF($B251&lt;=Tabla5[[#This Row],[INVERSIONES FCI]],+Tabla5[[#This Row],[INVERSIONES FCI]]-K251,Tabla5[[#This Row],[INVERSIONES FCI]])</f>
        <v>2389757867.3497238</v>
      </c>
      <c r="L252" s="5">
        <f>IF($B251&lt;=Tabla5[[#This Row],[INVERSIONES FCI]],+Tabla5[[#This Row],[INVERSIONES FCI]]-L251,Tabla5[[#This Row],[INVERSIONES FCI]])</f>
        <v>2389757867.3497238</v>
      </c>
      <c r="M252" s="5">
        <f>IF($B251&lt;=Tabla5[[#This Row],[INVERSIONES FCI]],+Tabla5[[#This Row],[INVERSIONES FCI]]-M251,Tabla5[[#This Row],[INVERSIONES FCI]])</f>
        <v>2389757867.3497238</v>
      </c>
      <c r="N252" s="5">
        <f>IF($B251&lt;=Tabla5[[#This Row],[INVERSIONES FCI]],+Tabla5[[#This Row],[INVERSIONES FCI]]-N251,Tabla5[[#This Row],[INVERSIONES FCI]])</f>
        <v>2389757867.3497238</v>
      </c>
      <c r="O252" s="5">
        <f>IF($B251&lt;=Tabla5[[#This Row],[INVERSIONES FCI]],+Tabla5[[#This Row],[INVERSIONES FCI]]-O251,Tabla5[[#This Row],[INVERSIONES FCI]])</f>
        <v>2389757867.3497238</v>
      </c>
      <c r="P252" s="5">
        <f>IF($B251&lt;=Tabla5[[#This Row],[INVERSIONES FCI]],+Tabla5[[#This Row],[INVERSIONES FCI]]-P251,Tabla5[[#This Row],[INVERSIONES FCI]])</f>
        <v>2389757867.3497238</v>
      </c>
      <c r="Q252" s="5">
        <f>IF($B251&lt;=Tabla5[[#This Row],[INVERSIONES FCI]],+Tabla5[[#This Row],[INVERSIONES FCI]]-Q251,Tabla5[[#This Row],[INVERSIONES FCI]])</f>
        <v>2389757867.3497238</v>
      </c>
      <c r="R252" s="5">
        <f>IF($B251&lt;=Tabla5[[#This Row],[INVERSIONES FCI]],+Tabla5[[#This Row],[INVERSIONES FCI]]-R251,Tabla5[[#This Row],[INVERSIONES FCI]])</f>
        <v>2389757867.3497238</v>
      </c>
      <c r="S252" s="5">
        <f>IF($B251&lt;=Tabla5[[#This Row],[INVERSIONES FCI]],+Tabla5[[#This Row],[INVERSIONES FCI]]-S251,Tabla5[[#This Row],[INVERSIONES FCI]])</f>
        <v>2389757867.3497238</v>
      </c>
      <c r="T252" s="5">
        <f>IF($B251&lt;=Tabla5[[#This Row],[INVERSIONES FCI]],+Tabla5[[#This Row],[INVERSIONES FCI]]-T251,Tabla5[[#This Row],[INVERSIONES FCI]])</f>
        <v>2389757867.3497238</v>
      </c>
      <c r="U252" s="5">
        <f>IF($B251&lt;=Tabla5[[#This Row],[INVERSIONES FCI]],+Tabla5[[#This Row],[INVERSIONES FCI]]-U251,Tabla5[[#This Row],[INVERSIONES FCI]])</f>
        <v>2389757867.3497238</v>
      </c>
      <c r="V252" s="5">
        <f>IF($B251&lt;=Tabla5[[#This Row],[INVERSIONES FCI]],+Tabla5[[#This Row],[INVERSIONES FCI]]-V251,Tabla5[[#This Row],[INVERSIONES FCI]])</f>
        <v>2389757867.3497238</v>
      </c>
      <c r="W252" s="5">
        <f>IF($B251&lt;=Tabla5[[#This Row],[INVERSIONES FCI]],+Tabla5[[#This Row],[INVERSIONES FCI]]-W251,Tabla5[[#This Row],[INVERSIONES FCI]])</f>
        <v>2389757867.3497238</v>
      </c>
      <c r="X252" s="5">
        <f>IF($B251&lt;=Tabla5[[#This Row],[INVERSIONES FCI]],+Tabla5[[#This Row],[INVERSIONES FCI]]-X251,Tabla5[[#This Row],[INVERSIONES FCI]])</f>
        <v>2389757867.3497238</v>
      </c>
      <c r="Y252" s="5">
        <f>IF($B251&lt;=Tabla5[[#This Row],[INVERSIONES FCI]],+Tabla5[[#This Row],[INVERSIONES FCI]]-Y251,Tabla5[[#This Row],[INVERSIONES FCI]])</f>
        <v>2389757867.3497238</v>
      </c>
      <c r="Z252" s="5">
        <f>IF($B251&lt;=Tabla5[[#This Row],[INVERSIONES FCI]],+Tabla5[[#This Row],[INVERSIONES FCI]]-Z251,Tabla5[[#This Row],[INVERSIONES FCI]])</f>
        <v>2389757867.3497238</v>
      </c>
      <c r="AA252" s="5">
        <f>IF($B251&lt;=Tabla5[[#This Row],[INVERSIONES FCI]],+Tabla5[[#This Row],[INVERSIONES FCI]]-AA251,Tabla5[[#This Row],[INVERSIONES FCI]])</f>
        <v>2389757867.3497238</v>
      </c>
      <c r="AB252" s="5">
        <f>IF($B251&lt;=Tabla5[[#This Row],[INVERSIONES FCI]],+Tabla5[[#This Row],[INVERSIONES FCI]]-AB251,Tabla5[[#This Row],[INVERSIONES FCI]])</f>
        <v>2389757867.3497238</v>
      </c>
      <c r="AC252" s="5">
        <f>IF($B251&lt;=Tabla5[[#This Row],[INVERSIONES FCI]],+Tabla5[[#This Row],[INVERSIONES FCI]]-AC251,Tabla5[[#This Row],[INVERSIONES FCI]])</f>
        <v>2389757867.3497238</v>
      </c>
      <c r="AD252" s="5">
        <f>IF($B251&lt;=Tabla5[[#This Row],[INVERSIONES FCI]],+Tabla5[[#This Row],[INVERSIONES FCI]]-AD251,Tabla5[[#This Row],[INVERSIONES FCI]])</f>
        <v>2389757867.3497238</v>
      </c>
      <c r="AE252" s="5">
        <f>IF($B251&lt;=Tabla5[[#This Row],[INVERSIONES FCI]],+Tabla5[[#This Row],[INVERSIONES FCI]]-AE251,Tabla5[[#This Row],[INVERSIONES FCI]])</f>
        <v>2389757867.3497238</v>
      </c>
      <c r="AF252" s="5">
        <f>IF($B251&lt;=Tabla5[[#This Row],[INVERSIONES FCI]],+Tabla5[[#This Row],[INVERSIONES FCI]]-AF251,Tabla5[[#This Row],[INVERSIONES FCI]])</f>
        <v>2389757867.3497238</v>
      </c>
      <c r="AG252" s="5">
        <f>IF($B251&lt;=Tabla5[[#This Row],[INVERSIONES FCI]],+Tabla5[[#This Row],[INVERSIONES FCI]]-AG251,Tabla5[[#This Row],[INVERSIONES FCI]])</f>
        <v>2389757867.3497238</v>
      </c>
      <c r="AH252" s="5">
        <f>IF($B251&lt;=Tabla5[[#This Row],[INVERSIONES FCI]],+Tabla5[[#This Row],[INVERSIONES FCI]]-AH251,Tabla5[[#This Row],[INVERSIONES FCI]])</f>
        <v>2389757867.3497238</v>
      </c>
      <c r="AI252" s="5">
        <f>IF($B251&lt;=Tabla5[[#This Row],[INVERSIONES FCI]],+Tabla5[[#This Row],[INVERSIONES FCI]]-AI251,Tabla5[[#This Row],[INVERSIONES FCI]])</f>
        <v>2389757867.3497238</v>
      </c>
      <c r="AJ252" s="5">
        <f>IF($B251&lt;=Tabla5[[#This Row],[INVERSIONES FCI]],+Tabla5[[#This Row],[INVERSIONES FCI]]-AJ251,Tabla5[[#This Row],[INVERSIONES FCI]])</f>
        <v>2389757867.3497238</v>
      </c>
      <c r="AK252" s="5">
        <f>IF($B251&lt;=Tabla5[[#This Row],[INVERSIONES FCI]],+Tabla5[[#This Row],[INVERSIONES FCI]]-AK251,Tabla5[[#This Row],[INVERSIONES FCI]])</f>
        <v>2389757867.3497238</v>
      </c>
      <c r="AL252" s="5">
        <f>IF($B251&lt;=Tabla5[[#This Row],[INVERSIONES FCI]],+Tabla5[[#This Row],[INVERSIONES FCI]]-AL251,Tabla5[[#This Row],[INVERSIONES FCI]])</f>
        <v>2389757867.3497238</v>
      </c>
      <c r="AM252" s="5">
        <f>IF($B251&lt;=Tabla5[[#This Row],[INVERSIONES FCI]],+Tabla5[[#This Row],[INVERSIONES FCI]]-AM251,Tabla5[[#This Row],[INVERSIONES FCI]])</f>
        <v>2389757867.3497238</v>
      </c>
      <c r="AN252" s="5">
        <f>IF($B251&lt;=Tabla5[[#This Row],[INVERSIONES FCI]],+Tabla5[[#This Row],[INVERSIONES FCI]]-AN251,Tabla5[[#This Row],[INVERSIONES FCI]])</f>
        <v>2389757867.3497238</v>
      </c>
      <c r="AO252" s="5">
        <f>IF($B251&lt;=Tabla5[[#This Row],[INVERSIONES FCI]],+Tabla5[[#This Row],[INVERSIONES FCI]]-AO251,Tabla5[[#This Row],[INVERSIONES FCI]])</f>
        <v>2389757867.3497238</v>
      </c>
      <c r="AP252" s="5">
        <f>IF($B251&lt;=Tabla5[[#This Row],[INVERSIONES FCI]],+Tabla5[[#This Row],[INVERSIONES FCI]]-AP251,Tabla5[[#This Row],[INVERSIONES FCI]])</f>
        <v>2389757867.3497238</v>
      </c>
      <c r="AQ252" s="5">
        <f>IF($B251&lt;=Tabla5[[#This Row],[INVERSIONES FCI]],+Tabla5[[#This Row],[INVERSIONES FCI]]-AQ251,Tabla5[[#This Row],[INVERSIONES FCI]])</f>
        <v>2389757867.3497238</v>
      </c>
      <c r="AR252" s="5">
        <f>IF($B251&lt;=Tabla5[[#This Row],[INVERSIONES FCI]],+Tabla5[[#This Row],[INVERSIONES FCI]]-AR251,Tabla5[[#This Row],[INVERSIONES FCI]])</f>
        <v>2389757867.3497238</v>
      </c>
      <c r="AS252" s="5">
        <f>IF($B251&lt;=Tabla5[[#This Row],[INVERSIONES FCI]],+Tabla5[[#This Row],[INVERSIONES FCI]]-AS251,Tabla5[[#This Row],[INVERSIONES FCI]])</f>
        <v>2389757867.3497238</v>
      </c>
      <c r="AT252" s="5">
        <f>IF($B251&lt;=Tabla5[[#This Row],[INVERSIONES FCI]],+Tabla5[[#This Row],[INVERSIONES FCI]]-AT251,Tabla5[[#This Row],[INVERSIONES FCI]])</f>
        <v>2389757867.3497238</v>
      </c>
      <c r="AU252" s="5">
        <f>IF($B251&lt;=Tabla5[[#This Row],[INVERSIONES FCI]],+Tabla5[[#This Row],[INVERSIONES FCI]]-AU251,Tabla5[[#This Row],[INVERSIONES FCI]])</f>
        <v>2389757867.3497238</v>
      </c>
      <c r="AV252" s="5">
        <f>IF($B251&lt;=Tabla5[[#This Row],[INVERSIONES FCI]],+Tabla5[[#This Row],[INVERSIONES FCI]]-AV251,Tabla5[[#This Row],[INVERSIONES FCI]])</f>
        <v>2389757867.3497238</v>
      </c>
      <c r="AW252" s="5">
        <f>IF($B251&lt;=Tabla5[[#This Row],[INVERSIONES FCI]],+Tabla5[[#This Row],[INVERSIONES FCI]]-AW251,Tabla5[[#This Row],[INVERSIONES FCI]])</f>
        <v>2389757867.3497238</v>
      </c>
      <c r="AX252" s="5">
        <f>IF($B251&lt;=Tabla5[[#This Row],[INVERSIONES FCI]],+Tabla5[[#This Row],[INVERSIONES FCI]]-AX251,Tabla5[[#This Row],[INVERSIONES FCI]])</f>
        <v>2389757867.3497238</v>
      </c>
      <c r="AY252" s="5">
        <f>IF($B251&lt;=Tabla5[[#This Row],[INVERSIONES FCI]],+Tabla5[[#This Row],[INVERSIONES FCI]]-AY251,Tabla5[[#This Row],[INVERSIONES FCI]])</f>
        <v>2389757867.3497238</v>
      </c>
      <c r="AZ252" s="5">
        <f>IF($B251&lt;=Tabla5[[#This Row],[INVERSIONES FCI]],+Tabla5[[#This Row],[INVERSIONES FCI]]-AZ251,Tabla5[[#This Row],[INVERSIONES FCI]])</f>
        <v>2389757867.3497238</v>
      </c>
      <c r="BA252" s="5">
        <f>IF($B251&lt;=Tabla5[[#This Row],[INVERSIONES FCI]],+Tabla5[[#This Row],[INVERSIONES FCI]]-BA251,Tabla5[[#This Row],[INVERSIONES FCI]])</f>
        <v>2389757867.3497238</v>
      </c>
      <c r="BB252" s="5">
        <f>IF($B251&lt;=Tabla5[[#This Row],[INVERSIONES FCI]],+Tabla5[[#This Row],[INVERSIONES FCI]]-BB251,Tabla5[[#This Row],[INVERSIONES FCI]])</f>
        <v>2389757867.3497238</v>
      </c>
      <c r="BC252" s="5">
        <f>IF($B251&lt;=Tabla5[[#This Row],[INVERSIONES FCI]],+Tabla5[[#This Row],[INVERSIONES FCI]]-BC251,Tabla5[[#This Row],[INVERSIONES FCI]])</f>
        <v>2389757867.3497238</v>
      </c>
      <c r="BD252" s="5">
        <f>IF($B251&lt;=Tabla5[[#This Row],[INVERSIONES FCI]],+Tabla5[[#This Row],[INVERSIONES FCI]]-BD251,Tabla5[[#This Row],[INVERSIONES FCI]])</f>
        <v>2389757867.3497238</v>
      </c>
      <c r="BE252" s="5">
        <f>IF($B251&lt;=Tabla5[[#This Row],[INVERSIONES FCI]],+Tabla5[[#This Row],[INVERSIONES FCI]]-BE251,Tabla5[[#This Row],[INVERSIONES FCI]])</f>
        <v>2389757867.3497238</v>
      </c>
      <c r="BF252" s="5">
        <f>IF($B251&lt;=Tabla5[[#This Row],[INVERSIONES FCI]],+Tabla5[[#This Row],[INVERSIONES FCI]]-BF251,Tabla5[[#This Row],[INVERSIONES FCI]])</f>
        <v>2389757867.3497238</v>
      </c>
      <c r="BG252" s="5">
        <f>IF($B251&lt;=Tabla5[[#This Row],[INVERSIONES FCI]],+Tabla5[[#This Row],[INVERSIONES FCI]]-BG251,Tabla5[[#This Row],[INVERSIONES FCI]])</f>
        <v>2389757867.3497238</v>
      </c>
      <c r="BH252" s="5">
        <f>IF($B251&lt;=Tabla5[[#This Row],[INVERSIONES FCI]],+Tabla5[[#This Row],[INVERSIONES FCI]]-BH251,Tabla5[[#This Row],[INVERSIONES FCI]])</f>
        <v>2389757867.3497238</v>
      </c>
      <c r="BI252" s="5">
        <f>IF($B251&lt;=Tabla5[[#This Row],[INVERSIONES FCI]],+Tabla5[[#This Row],[INVERSIONES FCI]]-BI251,Tabla5[[#This Row],[INVERSIONES FCI]])</f>
        <v>2389757867.3497238</v>
      </c>
      <c r="BJ252" s="5">
        <f>IF($B251&lt;=Tabla5[[#This Row],[INVERSIONES FCI]],+Tabla5[[#This Row],[INVERSIONES FCI]]-BJ251,Tabla5[[#This Row],[INVERSIONES FCI]])</f>
        <v>2389757867.3497238</v>
      </c>
      <c r="BK252" s="5">
        <f>IF($B251&lt;=Tabla5[[#This Row],[INVERSIONES FCI]],+Tabla5[[#This Row],[INVERSIONES FCI]]-BK251,Tabla5[[#This Row],[INVERSIONES FCI]])</f>
        <v>2389757867.3497238</v>
      </c>
      <c r="BL252" s="5">
        <f>IF($B251&lt;=Tabla5[[#This Row],[INVERSIONES FCI]],+Tabla5[[#This Row],[INVERSIONES FCI]]-BL251,Tabla5[[#This Row],[INVERSIONES FCI]])</f>
        <v>2389757867.3497238</v>
      </c>
      <c r="BM252" s="5">
        <f>IF($B251&lt;=Tabla5[[#This Row],[INVERSIONES FCI]],+Tabla5[[#This Row],[INVERSIONES FCI]]-BM251,Tabla5[[#This Row],[INVERSIONES FCI]])</f>
        <v>2389757867.3497238</v>
      </c>
      <c r="BN252" s="5">
        <f>IF($B251&lt;=Tabla5[[#This Row],[INVERSIONES FCI]],+Tabla5[[#This Row],[INVERSIONES FCI]]-BN251,Tabla5[[#This Row],[INVERSIONES FCI]])</f>
        <v>2389757867.3497238</v>
      </c>
      <c r="BO252" s="5">
        <f>IF($B251&lt;=Tabla5[[#This Row],[INVERSIONES FCI]],+Tabla5[[#This Row],[INVERSIONES FCI]]-BO251,Tabla5[[#This Row],[INVERSIONES FCI]])</f>
        <v>2389757867.3497238</v>
      </c>
      <c r="BP252" s="5">
        <f>IF($B251&lt;=Tabla5[[#This Row],[INVERSIONES FCI]],+Tabla5[[#This Row],[INVERSIONES FCI]]-BP251,Tabla5[[#This Row],[INVERSIONES FCI]])</f>
        <v>2389757867.3497238</v>
      </c>
      <c r="BQ252" s="5">
        <f>IF($B251&lt;=Tabla5[[#This Row],[INVERSIONES FCI]],+Tabla5[[#This Row],[INVERSIONES FCI]]-BQ251,Tabla5[[#This Row],[INVERSIONES FCI]])</f>
        <v>2389757867.3497238</v>
      </c>
      <c r="BR252" s="5">
        <f>IF($B251&lt;=Tabla5[[#This Row],[INVERSIONES FCI]],+Tabla5[[#This Row],[INVERSIONES FCI]]-BR251,Tabla5[[#This Row],[INVERSIONES FCI]])</f>
        <v>2389757867.3497238</v>
      </c>
      <c r="BS252" s="5">
        <f>IF($B251&lt;=Tabla5[[#This Row],[INVERSIONES FCI]],+Tabla5[[#This Row],[INVERSIONES FCI]]-BS251,Tabla5[[#This Row],[INVERSIONES FCI]])</f>
        <v>2389757867.3497238</v>
      </c>
      <c r="BT252" s="5">
        <f>IF($B251&lt;=Tabla5[[#This Row],[INVERSIONES FCI]],+Tabla5[[#This Row],[INVERSIONES FCI]]-BT251,Tabla5[[#This Row],[INVERSIONES FCI]])</f>
        <v>2389757867.3497238</v>
      </c>
      <c r="BU252" s="5">
        <f>IF($B251&lt;=Tabla5[[#This Row],[INVERSIONES FCI]],+Tabla5[[#This Row],[INVERSIONES FCI]]-BU251,Tabla5[[#This Row],[INVERSIONES FCI]])</f>
        <v>2389757867.3497238</v>
      </c>
      <c r="BV252" s="5">
        <f>IF($B251&lt;=Tabla5[[#This Row],[INVERSIONES FCI]],+Tabla5[[#This Row],[INVERSIONES FCI]]-BV251,Tabla5[[#This Row],[INVERSIONES FCI]])</f>
        <v>2389757867.3497238</v>
      </c>
      <c r="BW252" s="5">
        <f>IF($B251&lt;=Tabla5[[#This Row],[INVERSIONES FCI]],+Tabla5[[#This Row],[INVERSIONES FCI]]-BW251,Tabla5[[#This Row],[INVERSIONES FCI]])</f>
        <v>2389757867.3497238</v>
      </c>
      <c r="BX252" s="5">
        <f>IF($B251&lt;=Tabla5[[#This Row],[INVERSIONES FCI]],+Tabla5[[#This Row],[INVERSIONES FCI]]-BX251,Tabla5[[#This Row],[INVERSIONES FCI]])</f>
        <v>2389757867.3497238</v>
      </c>
      <c r="BY252" s="5">
        <f>IF($B251&lt;=Tabla5[[#This Row],[INVERSIONES FCI]],+Tabla5[[#This Row],[INVERSIONES FCI]]-BY251,Tabla5[[#This Row],[INVERSIONES FCI]])</f>
        <v>2389757867.3497238</v>
      </c>
      <c r="BZ252" s="5">
        <f>IF($B251&lt;=Tabla5[[#This Row],[INVERSIONES FCI]],+Tabla5[[#This Row],[INVERSIONES FCI]]-BZ251,Tabla5[[#This Row],[INVERSIONES FCI]])</f>
        <v>2389757867.3497238</v>
      </c>
      <c r="CA252" s="5">
        <f>IF($B251&lt;=Tabla5[[#This Row],[INVERSIONES FCI]],+Tabla5[[#This Row],[INVERSIONES FCI]]-CA251,Tabla5[[#This Row],[INVERSIONES FCI]])</f>
        <v>2389757867.3497238</v>
      </c>
      <c r="CB252" s="5">
        <f>IF($B251&lt;=Tabla5[[#This Row],[INVERSIONES FCI]],+Tabla5[[#This Row],[INVERSIONES FCI]]-CB251,Tabla5[[#This Row],[INVERSIONES FCI]])</f>
        <v>2389757867.3497238</v>
      </c>
      <c r="CC252" s="5">
        <f>IF($B251&lt;=Tabla5[[#This Row],[INVERSIONES FCI]],+Tabla5[[#This Row],[INVERSIONES FCI]]-CC251,Tabla5[[#This Row],[INVERSIONES FCI]])</f>
        <v>2389757867.3497238</v>
      </c>
      <c r="CD252" s="5">
        <f>IF($B251&lt;=Tabla5[[#This Row],[INVERSIONES FCI]],+Tabla5[[#This Row],[INVERSIONES FCI]]-CD251,Tabla5[[#This Row],[INVERSIONES FCI]])</f>
        <v>2389757867.3497238</v>
      </c>
      <c r="CE252" s="5">
        <f>IF($B251&lt;=Tabla5[[#This Row],[INVERSIONES FCI]],+Tabla5[[#This Row],[INVERSIONES FCI]]-CE251,Tabla5[[#This Row],[INVERSIONES FCI]])</f>
        <v>2389757867.3497238</v>
      </c>
      <c r="CF252" s="5">
        <f>IF($B251&lt;=Tabla5[[#This Row],[INVERSIONES FCI]],+Tabla5[[#This Row],[INVERSIONES FCI]]-CF251,Tabla5[[#This Row],[INVERSIONES FCI]])</f>
        <v>2389757867.3497238</v>
      </c>
      <c r="CG252" s="5">
        <f>IF($B251&lt;=Tabla5[[#This Row],[INVERSIONES FCI]],+Tabla5[[#This Row],[INVERSIONES FCI]]-CG251,Tabla5[[#This Row],[INVERSIONES FCI]])</f>
        <v>2389757867.3497238</v>
      </c>
      <c r="CH252" s="5">
        <f>IF($B251&lt;=Tabla5[[#This Row],[INVERSIONES FCI]],+Tabla5[[#This Row],[INVERSIONES FCI]]-CH251,Tabla5[[#This Row],[INVERSIONES FCI]])</f>
        <v>2389757867.3497238</v>
      </c>
      <c r="CI252" s="5">
        <f>IF($B251&lt;=Tabla5[[#This Row],[INVERSIONES FCI]],+Tabla5[[#This Row],[INVERSIONES FCI]]-CI251,Tabla5[[#This Row],[INVERSIONES FCI]])</f>
        <v>2389757867.3497238</v>
      </c>
      <c r="CJ252" s="5">
        <f>IF($B251&lt;=Tabla5[[#This Row],[INVERSIONES FCI]],+Tabla5[[#This Row],[INVERSIONES FCI]]-CJ251,Tabla5[[#This Row],[INVERSIONES FCI]])</f>
        <v>2389757867.3497238</v>
      </c>
      <c r="CK252" s="5">
        <f>IF($B251&lt;=Tabla5[[#This Row],[INVERSIONES FCI]],+Tabla5[[#This Row],[INVERSIONES FCI]]-CK251,Tabla5[[#This Row],[INVERSIONES FCI]])</f>
        <v>2389757867.3497238</v>
      </c>
      <c r="CL252" s="5">
        <f>IF($B251&lt;=Tabla5[[#This Row],[INVERSIONES FCI]],+Tabla5[[#This Row],[INVERSIONES FCI]]-CL251,Tabla5[[#This Row],[INVERSIONES FCI]])</f>
        <v>2389757867.3497238</v>
      </c>
      <c r="CM252" s="5">
        <f>IF($B251&lt;=Tabla5[[#This Row],[INVERSIONES FCI]],+Tabla5[[#This Row],[INVERSIONES FCI]]-CM251,Tabla5[[#This Row],[INVERSIONES FCI]])</f>
        <v>2389757867.3497238</v>
      </c>
      <c r="CN252" s="5">
        <f>IF($B251&lt;=Tabla5[[#This Row],[INVERSIONES FCI]],+Tabla5[[#This Row],[INVERSIONES FCI]]-CN251,Tabla5[[#This Row],[INVERSIONES FCI]])</f>
        <v>2389757867.3497238</v>
      </c>
      <c r="CO252" s="5">
        <f>IF($B251&lt;=Tabla5[[#This Row],[INVERSIONES FCI]],+Tabla5[[#This Row],[INVERSIONES FCI]]-CO251,Tabla5[[#This Row],[INVERSIONES FCI]])</f>
        <v>2389757867.3497238</v>
      </c>
      <c r="CP252" s="5">
        <f>IF($B251&lt;=Tabla5[[#This Row],[INVERSIONES FCI]],+Tabla5[[#This Row],[INVERSIONES FCI]]-CP251,Tabla5[[#This Row],[INVERSIONES FCI]])</f>
        <v>2389757867.3497238</v>
      </c>
      <c r="CQ252" s="5">
        <f>IF($B251&lt;=Tabla5[[#This Row],[INVERSIONES FCI]],+Tabla5[[#This Row],[INVERSIONES FCI]]-CQ251,Tabla5[[#This Row],[INVERSIONES FCI]])</f>
        <v>2389757867.3497238</v>
      </c>
      <c r="CR252" s="5">
        <f>IF($B251&lt;=Tabla5[[#This Row],[INVERSIONES FCI]],+Tabla5[[#This Row],[INVERSIONES FCI]]-CR251,Tabla5[[#This Row],[INVERSIONES FCI]])</f>
        <v>2389757867.3497238</v>
      </c>
      <c r="CS252" s="5">
        <f>IF($B251&lt;=Tabla5[[#This Row],[INVERSIONES FCI]],+Tabla5[[#This Row],[INVERSIONES FCI]]-CS251,Tabla5[[#This Row],[INVERSIONES FCI]])</f>
        <v>2389757867.3497238</v>
      </c>
      <c r="CT252" s="5">
        <f>IF($B251&lt;=Tabla5[[#This Row],[INVERSIONES FCI]],+Tabla5[[#This Row],[INVERSIONES FCI]]-CT251,Tabla5[[#This Row],[INVERSIONES FCI]])</f>
        <v>2389757867.3497238</v>
      </c>
      <c r="CU252" s="5">
        <f>IF($B251&lt;=Tabla5[[#This Row],[INVERSIONES FCI]],+Tabla5[[#This Row],[INVERSIONES FCI]]-CU251,Tabla5[[#This Row],[INVERSIONES FCI]])</f>
        <v>2389757867.3497238</v>
      </c>
      <c r="CV252" s="5">
        <f>IF($B251&lt;=Tabla5[[#This Row],[INVERSIONES FCI]],+Tabla5[[#This Row],[INVERSIONES FCI]]-CV251,Tabla5[[#This Row],[INVERSIONES FCI]])</f>
        <v>2389757867.3497238</v>
      </c>
      <c r="CW252" s="5">
        <f>IF($B251&lt;=Tabla5[[#This Row],[INVERSIONES FCI]],+Tabla5[[#This Row],[INVERSIONES FCI]]-CW251,Tabla5[[#This Row],[INVERSIONES FCI]])</f>
        <v>2389757867.3497238</v>
      </c>
      <c r="CX252" s="5">
        <f>IF($B251&lt;=Tabla5[[#This Row],[INVERSIONES FCI]],+Tabla5[[#This Row],[INVERSIONES FCI]]-CX251,Tabla5[[#This Row],[INVERSIONES FCI]])</f>
        <v>2389757867.3497238</v>
      </c>
      <c r="CY252" s="5">
        <f>IF($B251&lt;=Tabla5[[#This Row],[INVERSIONES FCI]],+Tabla5[[#This Row],[INVERSIONES FCI]]-CY251,Tabla5[[#This Row],[INVERSIONES FCI]])</f>
        <v>2389757867.3497238</v>
      </c>
      <c r="CZ252" s="5">
        <f>IF($B251&lt;=Tabla5[[#This Row],[INVERSIONES FCI]],+Tabla5[[#This Row],[INVERSIONES FCI]]-CZ251,Tabla5[[#This Row],[INVERSIONES FCI]])</f>
        <v>2389757867.3497238</v>
      </c>
      <c r="DA252" s="5">
        <f>IF($B251&lt;=Tabla5[[#This Row],[INVERSIONES FCI]],+Tabla5[[#This Row],[INVERSIONES FCI]]-DA251,Tabla5[[#This Row],[INVERSIONES FCI]])</f>
        <v>2389757867.3497238</v>
      </c>
      <c r="DB252" s="5">
        <f>IF($B251&lt;=Tabla5[[#This Row],[INVERSIONES FCI]],+Tabla5[[#This Row],[INVERSIONES FCI]]-DB251,Tabla5[[#This Row],[INVERSIONES FCI]])</f>
        <v>2389757867.3497238</v>
      </c>
      <c r="DC252" s="5">
        <f>IF($B251&lt;=Tabla5[[#This Row],[INVERSIONES FCI]],+Tabla5[[#This Row],[INVERSIONES FCI]]-DC251,Tabla5[[#This Row],[INVERSIONES FCI]])</f>
        <v>2389757867.3497238</v>
      </c>
      <c r="DD252" s="5">
        <f>IF($B251&lt;=Tabla5[[#This Row],[INVERSIONES FCI]],+Tabla5[[#This Row],[INVERSIONES FCI]]-DD251,Tabla5[[#This Row],[INVERSIONES FCI]])</f>
        <v>2389757867.3497238</v>
      </c>
      <c r="DE252" s="5">
        <f>IF($B251&lt;=Tabla5[[#This Row],[INVERSIONES FCI]],+Tabla5[[#This Row],[INVERSIONES FCI]]-DE251,Tabla5[[#This Row],[INVERSIONES FCI]])</f>
        <v>2389757867.3497238</v>
      </c>
      <c r="DF252" s="5">
        <f>IF($B251&lt;=Tabla5[[#This Row],[INVERSIONES FCI]],+Tabla5[[#This Row],[INVERSIONES FCI]]-DF251,Tabla5[[#This Row],[INVERSIONES FCI]])</f>
        <v>2389757867.3497238</v>
      </c>
      <c r="DG252" s="5">
        <f>IF($B251&lt;=Tabla5[[#This Row],[INVERSIONES FCI]],+Tabla5[[#This Row],[INVERSIONES FCI]]-DG251,Tabla5[[#This Row],[INVERSIONES FCI]])</f>
        <v>2389757867.3497238</v>
      </c>
      <c r="DH252" s="5">
        <f>IF($B251&lt;=Tabla5[[#This Row],[INVERSIONES FCI]],+Tabla5[[#This Row],[INVERSIONES FCI]]-DH251,Tabla5[[#This Row],[INVERSIONES FCI]])</f>
        <v>2389757867.3497238</v>
      </c>
      <c r="DI252" s="5">
        <f>IF($B251&lt;=Tabla5[[#This Row],[INVERSIONES FCI]],+Tabla5[[#This Row],[INVERSIONES FCI]]-DI251,Tabla5[[#This Row],[INVERSIONES FCI]])</f>
        <v>2389757867.3497238</v>
      </c>
      <c r="DJ252" s="5">
        <f>IF($B251&lt;=Tabla5[[#This Row],[INVERSIONES FCI]],+Tabla5[[#This Row],[INVERSIONES FCI]]-DJ251,Tabla5[[#This Row],[INVERSIONES FCI]])</f>
        <v>2389757867.3497238</v>
      </c>
      <c r="DK252" s="5">
        <f>IF($B251&lt;=Tabla5[[#This Row],[INVERSIONES FCI]],+Tabla5[[#This Row],[INVERSIONES FCI]]-DK251,Tabla5[[#This Row],[INVERSIONES FCI]])</f>
        <v>2389757867.3497238</v>
      </c>
      <c r="DL252" s="5"/>
      <c r="DM252" s="5"/>
      <c r="DN252" s="5"/>
      <c r="DO252" s="5"/>
      <c r="DP252" s="5"/>
      <c r="DQ252" s="5"/>
    </row>
    <row r="253" spans="1:121" ht="14.4">
      <c r="A253" s="12" t="s">
        <v>252</v>
      </c>
      <c r="B253" s="5">
        <f>HLOOKUP($A253,ESCENARIO[#All],7,FALSE)</f>
        <v>51508959639.863838</v>
      </c>
      <c r="C253" s="5">
        <f>IF($B252&lt;=Tabla5[[#This Row],[INVERSIONES FCI]],+Tabla5[[#This Row],[INVERSIONES FCI]]-C252,Tabla5[[#This Row],[INVERSIONES FCI]])</f>
        <v>49119201772.514114</v>
      </c>
      <c r="D253" s="5">
        <f>IF($B252&lt;=Tabla5[[#This Row],[INVERSIONES FCI]],+Tabla5[[#This Row],[INVERSIONES FCI]]-D252,Tabla5[[#This Row],[INVERSIONES FCI]])</f>
        <v>49119201772.514114</v>
      </c>
      <c r="E253" s="5">
        <f>IF($B252&lt;=Tabla5[[#This Row],[INVERSIONES FCI]],+Tabla5[[#This Row],[INVERSIONES FCI]]-E252,Tabla5[[#This Row],[INVERSIONES FCI]])</f>
        <v>49119201772.514114</v>
      </c>
      <c r="F253" s="5">
        <f>IF($B252&lt;=Tabla5[[#This Row],[INVERSIONES FCI]],+Tabla5[[#This Row],[INVERSIONES FCI]]-F252,Tabla5[[#This Row],[INVERSIONES FCI]])</f>
        <v>49119201772.514114</v>
      </c>
      <c r="G253" s="5">
        <f>IF($B252&lt;=Tabla5[[#This Row],[INVERSIONES FCI]],+Tabla5[[#This Row],[INVERSIONES FCI]]-G252,Tabla5[[#This Row],[INVERSIONES FCI]])</f>
        <v>49119201772.514114</v>
      </c>
      <c r="H253" s="5">
        <f>IF($B252&lt;=Tabla5[[#This Row],[INVERSIONES FCI]],+Tabla5[[#This Row],[INVERSIONES FCI]]-H252,Tabla5[[#This Row],[INVERSIONES FCI]])</f>
        <v>49119201772.514114</v>
      </c>
      <c r="I253" s="5">
        <f>IF($B252&lt;=Tabla5[[#This Row],[INVERSIONES FCI]],+Tabla5[[#This Row],[INVERSIONES FCI]]-I252,Tabla5[[#This Row],[INVERSIONES FCI]])</f>
        <v>49119201772.514114</v>
      </c>
      <c r="J253" s="5">
        <f>IF($B252&lt;=Tabla5[[#This Row],[INVERSIONES FCI]],+Tabla5[[#This Row],[INVERSIONES FCI]]-J252,Tabla5[[#This Row],[INVERSIONES FCI]])</f>
        <v>49119201772.514114</v>
      </c>
      <c r="K253" s="5">
        <f>IF($B252&lt;=Tabla5[[#This Row],[INVERSIONES FCI]],+Tabla5[[#This Row],[INVERSIONES FCI]]-K252,Tabla5[[#This Row],[INVERSIONES FCI]])</f>
        <v>49119201772.514114</v>
      </c>
      <c r="L253" s="5">
        <f>IF($B252&lt;=Tabla5[[#This Row],[INVERSIONES FCI]],+Tabla5[[#This Row],[INVERSIONES FCI]]-L252,Tabla5[[#This Row],[INVERSIONES FCI]])</f>
        <v>49119201772.514114</v>
      </c>
      <c r="M253" s="5">
        <f>IF($B252&lt;=Tabla5[[#This Row],[INVERSIONES FCI]],+Tabla5[[#This Row],[INVERSIONES FCI]]-M252,Tabla5[[#This Row],[INVERSIONES FCI]])</f>
        <v>49119201772.514114</v>
      </c>
      <c r="N253" s="5">
        <f>IF($B252&lt;=Tabla5[[#This Row],[INVERSIONES FCI]],+Tabla5[[#This Row],[INVERSIONES FCI]]-N252,Tabla5[[#This Row],[INVERSIONES FCI]])</f>
        <v>49119201772.514114</v>
      </c>
      <c r="O253" s="5">
        <f>IF($B252&lt;=Tabla5[[#This Row],[INVERSIONES FCI]],+Tabla5[[#This Row],[INVERSIONES FCI]]-O252,Tabla5[[#This Row],[INVERSIONES FCI]])</f>
        <v>49119201772.514114</v>
      </c>
      <c r="P253" s="5">
        <f>IF($B252&lt;=Tabla5[[#This Row],[INVERSIONES FCI]],+Tabla5[[#This Row],[INVERSIONES FCI]]-P252,Tabla5[[#This Row],[INVERSIONES FCI]])</f>
        <v>49119201772.514114</v>
      </c>
      <c r="Q253" s="5">
        <f>IF($B252&lt;=Tabla5[[#This Row],[INVERSIONES FCI]],+Tabla5[[#This Row],[INVERSIONES FCI]]-Q252,Tabla5[[#This Row],[INVERSIONES FCI]])</f>
        <v>49119201772.514114</v>
      </c>
      <c r="R253" s="5">
        <f>IF($B252&lt;=Tabla5[[#This Row],[INVERSIONES FCI]],+Tabla5[[#This Row],[INVERSIONES FCI]]-R252,Tabla5[[#This Row],[INVERSIONES FCI]])</f>
        <v>49119201772.514114</v>
      </c>
      <c r="S253" s="5">
        <f>IF($B252&lt;=Tabla5[[#This Row],[INVERSIONES FCI]],+Tabla5[[#This Row],[INVERSIONES FCI]]-S252,Tabla5[[#This Row],[INVERSIONES FCI]])</f>
        <v>49119201772.514114</v>
      </c>
      <c r="T253" s="5">
        <f>IF($B252&lt;=Tabla5[[#This Row],[INVERSIONES FCI]],+Tabla5[[#This Row],[INVERSIONES FCI]]-T252,Tabla5[[#This Row],[INVERSIONES FCI]])</f>
        <v>49119201772.514114</v>
      </c>
      <c r="U253" s="5">
        <f>IF($B252&lt;=Tabla5[[#This Row],[INVERSIONES FCI]],+Tabla5[[#This Row],[INVERSIONES FCI]]-U252,Tabla5[[#This Row],[INVERSIONES FCI]])</f>
        <v>49119201772.514114</v>
      </c>
      <c r="V253" s="5">
        <f>IF($B252&lt;=Tabla5[[#This Row],[INVERSIONES FCI]],+Tabla5[[#This Row],[INVERSIONES FCI]]-V252,Tabla5[[#This Row],[INVERSIONES FCI]])</f>
        <v>49119201772.514114</v>
      </c>
      <c r="W253" s="5">
        <f>IF($B252&lt;=Tabla5[[#This Row],[INVERSIONES FCI]],+Tabla5[[#This Row],[INVERSIONES FCI]]-W252,Tabla5[[#This Row],[INVERSIONES FCI]])</f>
        <v>49119201772.514114</v>
      </c>
      <c r="X253" s="5">
        <f>IF($B252&lt;=Tabla5[[#This Row],[INVERSIONES FCI]],+Tabla5[[#This Row],[INVERSIONES FCI]]-X252,Tabla5[[#This Row],[INVERSIONES FCI]])</f>
        <v>49119201772.514114</v>
      </c>
      <c r="Y253" s="5">
        <f>IF($B252&lt;=Tabla5[[#This Row],[INVERSIONES FCI]],+Tabla5[[#This Row],[INVERSIONES FCI]]-Y252,Tabla5[[#This Row],[INVERSIONES FCI]])</f>
        <v>49119201772.514114</v>
      </c>
      <c r="Z253" s="5">
        <f>IF($B252&lt;=Tabla5[[#This Row],[INVERSIONES FCI]],+Tabla5[[#This Row],[INVERSIONES FCI]]-Z252,Tabla5[[#This Row],[INVERSIONES FCI]])</f>
        <v>49119201772.514114</v>
      </c>
      <c r="AA253" s="5">
        <f>IF($B252&lt;=Tabla5[[#This Row],[INVERSIONES FCI]],+Tabla5[[#This Row],[INVERSIONES FCI]]-AA252,Tabla5[[#This Row],[INVERSIONES FCI]])</f>
        <v>49119201772.514114</v>
      </c>
      <c r="AB253" s="5">
        <f>IF($B252&lt;=Tabla5[[#This Row],[INVERSIONES FCI]],+Tabla5[[#This Row],[INVERSIONES FCI]]-AB252,Tabla5[[#This Row],[INVERSIONES FCI]])</f>
        <v>49119201772.514114</v>
      </c>
      <c r="AC253" s="5">
        <f>IF($B252&lt;=Tabla5[[#This Row],[INVERSIONES FCI]],+Tabla5[[#This Row],[INVERSIONES FCI]]-AC252,Tabla5[[#This Row],[INVERSIONES FCI]])</f>
        <v>49119201772.514114</v>
      </c>
      <c r="AD253" s="5">
        <f>IF($B252&lt;=Tabla5[[#This Row],[INVERSIONES FCI]],+Tabla5[[#This Row],[INVERSIONES FCI]]-AD252,Tabla5[[#This Row],[INVERSIONES FCI]])</f>
        <v>49119201772.514114</v>
      </c>
      <c r="AE253" s="5">
        <f>IF($B252&lt;=Tabla5[[#This Row],[INVERSIONES FCI]],+Tabla5[[#This Row],[INVERSIONES FCI]]-AE252,Tabla5[[#This Row],[INVERSIONES FCI]])</f>
        <v>49119201772.514114</v>
      </c>
      <c r="AF253" s="5">
        <f>IF($B252&lt;=Tabla5[[#This Row],[INVERSIONES FCI]],+Tabla5[[#This Row],[INVERSIONES FCI]]-AF252,Tabla5[[#This Row],[INVERSIONES FCI]])</f>
        <v>49119201772.514114</v>
      </c>
      <c r="AG253" s="5">
        <f>IF($B252&lt;=Tabla5[[#This Row],[INVERSIONES FCI]],+Tabla5[[#This Row],[INVERSIONES FCI]]-AG252,Tabla5[[#This Row],[INVERSIONES FCI]])</f>
        <v>49119201772.514114</v>
      </c>
      <c r="AH253" s="5">
        <f>IF($B252&lt;=Tabla5[[#This Row],[INVERSIONES FCI]],+Tabla5[[#This Row],[INVERSIONES FCI]]-AH252,Tabla5[[#This Row],[INVERSIONES FCI]])</f>
        <v>49119201772.514114</v>
      </c>
      <c r="AI253" s="5">
        <f>IF($B252&lt;=Tabla5[[#This Row],[INVERSIONES FCI]],+Tabla5[[#This Row],[INVERSIONES FCI]]-AI252,Tabla5[[#This Row],[INVERSIONES FCI]])</f>
        <v>49119201772.514114</v>
      </c>
      <c r="AJ253" s="5">
        <f>IF($B252&lt;=Tabla5[[#This Row],[INVERSIONES FCI]],+Tabla5[[#This Row],[INVERSIONES FCI]]-AJ252,Tabla5[[#This Row],[INVERSIONES FCI]])</f>
        <v>49119201772.514114</v>
      </c>
      <c r="AK253" s="5">
        <f>IF($B252&lt;=Tabla5[[#This Row],[INVERSIONES FCI]],+Tabla5[[#This Row],[INVERSIONES FCI]]-AK252,Tabla5[[#This Row],[INVERSIONES FCI]])</f>
        <v>49119201772.514114</v>
      </c>
      <c r="AL253" s="5">
        <f>IF($B252&lt;=Tabla5[[#This Row],[INVERSIONES FCI]],+Tabla5[[#This Row],[INVERSIONES FCI]]-AL252,Tabla5[[#This Row],[INVERSIONES FCI]])</f>
        <v>49119201772.514114</v>
      </c>
      <c r="AM253" s="5">
        <f>IF($B252&lt;=Tabla5[[#This Row],[INVERSIONES FCI]],+Tabla5[[#This Row],[INVERSIONES FCI]]-AM252,Tabla5[[#This Row],[INVERSIONES FCI]])</f>
        <v>49119201772.514114</v>
      </c>
      <c r="AN253" s="5">
        <f>IF($B252&lt;=Tabla5[[#This Row],[INVERSIONES FCI]],+Tabla5[[#This Row],[INVERSIONES FCI]]-AN252,Tabla5[[#This Row],[INVERSIONES FCI]])</f>
        <v>49119201772.514114</v>
      </c>
      <c r="AO253" s="5">
        <f>IF($B252&lt;=Tabla5[[#This Row],[INVERSIONES FCI]],+Tabla5[[#This Row],[INVERSIONES FCI]]-AO252,Tabla5[[#This Row],[INVERSIONES FCI]])</f>
        <v>49119201772.514114</v>
      </c>
      <c r="AP253" s="5">
        <f>IF($B252&lt;=Tabla5[[#This Row],[INVERSIONES FCI]],+Tabla5[[#This Row],[INVERSIONES FCI]]-AP252,Tabla5[[#This Row],[INVERSIONES FCI]])</f>
        <v>49119201772.514114</v>
      </c>
      <c r="AQ253" s="5">
        <f>IF($B252&lt;=Tabla5[[#This Row],[INVERSIONES FCI]],+Tabla5[[#This Row],[INVERSIONES FCI]]-AQ252,Tabla5[[#This Row],[INVERSIONES FCI]])</f>
        <v>49119201772.514114</v>
      </c>
      <c r="AR253" s="5">
        <f>IF($B252&lt;=Tabla5[[#This Row],[INVERSIONES FCI]],+Tabla5[[#This Row],[INVERSIONES FCI]]-AR252,Tabla5[[#This Row],[INVERSIONES FCI]])</f>
        <v>49119201772.514114</v>
      </c>
      <c r="AS253" s="5">
        <f>IF($B252&lt;=Tabla5[[#This Row],[INVERSIONES FCI]],+Tabla5[[#This Row],[INVERSIONES FCI]]-AS252,Tabla5[[#This Row],[INVERSIONES FCI]])</f>
        <v>49119201772.514114</v>
      </c>
      <c r="AT253" s="5">
        <f>IF($B252&lt;=Tabla5[[#This Row],[INVERSIONES FCI]],+Tabla5[[#This Row],[INVERSIONES FCI]]-AT252,Tabla5[[#This Row],[INVERSIONES FCI]])</f>
        <v>49119201772.514114</v>
      </c>
      <c r="AU253" s="5">
        <f>IF($B252&lt;=Tabla5[[#This Row],[INVERSIONES FCI]],+Tabla5[[#This Row],[INVERSIONES FCI]]-AU252,Tabla5[[#This Row],[INVERSIONES FCI]])</f>
        <v>49119201772.514114</v>
      </c>
      <c r="AV253" s="5">
        <f>IF($B252&lt;=Tabla5[[#This Row],[INVERSIONES FCI]],+Tabla5[[#This Row],[INVERSIONES FCI]]-AV252,Tabla5[[#This Row],[INVERSIONES FCI]])</f>
        <v>49119201772.514114</v>
      </c>
      <c r="AW253" s="5">
        <f>IF($B252&lt;=Tabla5[[#This Row],[INVERSIONES FCI]],+Tabla5[[#This Row],[INVERSIONES FCI]]-AW252,Tabla5[[#This Row],[INVERSIONES FCI]])</f>
        <v>49119201772.514114</v>
      </c>
      <c r="AX253" s="5">
        <f>IF($B252&lt;=Tabla5[[#This Row],[INVERSIONES FCI]],+Tabla5[[#This Row],[INVERSIONES FCI]]-AX252,Tabla5[[#This Row],[INVERSIONES FCI]])</f>
        <v>49119201772.514114</v>
      </c>
      <c r="AY253" s="5">
        <f>IF($B252&lt;=Tabla5[[#This Row],[INVERSIONES FCI]],+Tabla5[[#This Row],[INVERSIONES FCI]]-AY252,Tabla5[[#This Row],[INVERSIONES FCI]])</f>
        <v>49119201772.514114</v>
      </c>
      <c r="AZ253" s="5">
        <f>IF($B252&lt;=Tabla5[[#This Row],[INVERSIONES FCI]],+Tabla5[[#This Row],[INVERSIONES FCI]]-AZ252,Tabla5[[#This Row],[INVERSIONES FCI]])</f>
        <v>49119201772.514114</v>
      </c>
      <c r="BA253" s="5">
        <f>IF($B252&lt;=Tabla5[[#This Row],[INVERSIONES FCI]],+Tabla5[[#This Row],[INVERSIONES FCI]]-BA252,Tabla5[[#This Row],[INVERSIONES FCI]])</f>
        <v>49119201772.514114</v>
      </c>
      <c r="BB253" s="5">
        <f>IF($B252&lt;=Tabla5[[#This Row],[INVERSIONES FCI]],+Tabla5[[#This Row],[INVERSIONES FCI]]-BB252,Tabla5[[#This Row],[INVERSIONES FCI]])</f>
        <v>49119201772.514114</v>
      </c>
      <c r="BC253" s="5">
        <f>IF($B252&lt;=Tabla5[[#This Row],[INVERSIONES FCI]],+Tabla5[[#This Row],[INVERSIONES FCI]]-BC252,Tabla5[[#This Row],[INVERSIONES FCI]])</f>
        <v>49119201772.514114</v>
      </c>
      <c r="BD253" s="5">
        <f>IF($B252&lt;=Tabla5[[#This Row],[INVERSIONES FCI]],+Tabla5[[#This Row],[INVERSIONES FCI]]-BD252,Tabla5[[#This Row],[INVERSIONES FCI]])</f>
        <v>49119201772.514114</v>
      </c>
      <c r="BE253" s="5">
        <f>IF($B252&lt;=Tabla5[[#This Row],[INVERSIONES FCI]],+Tabla5[[#This Row],[INVERSIONES FCI]]-BE252,Tabla5[[#This Row],[INVERSIONES FCI]])</f>
        <v>49119201772.514114</v>
      </c>
      <c r="BF253" s="5">
        <f>IF($B252&lt;=Tabla5[[#This Row],[INVERSIONES FCI]],+Tabla5[[#This Row],[INVERSIONES FCI]]-BF252,Tabla5[[#This Row],[INVERSIONES FCI]])</f>
        <v>49119201772.514114</v>
      </c>
      <c r="BG253" s="5">
        <f>IF($B252&lt;=Tabla5[[#This Row],[INVERSIONES FCI]],+Tabla5[[#This Row],[INVERSIONES FCI]]-BG252,Tabla5[[#This Row],[INVERSIONES FCI]])</f>
        <v>49119201772.514114</v>
      </c>
      <c r="BH253" s="5">
        <f>IF($B252&lt;=Tabla5[[#This Row],[INVERSIONES FCI]],+Tabla5[[#This Row],[INVERSIONES FCI]]-BH252,Tabla5[[#This Row],[INVERSIONES FCI]])</f>
        <v>49119201772.514114</v>
      </c>
      <c r="BI253" s="5">
        <f>IF($B252&lt;=Tabla5[[#This Row],[INVERSIONES FCI]],+Tabla5[[#This Row],[INVERSIONES FCI]]-BI252,Tabla5[[#This Row],[INVERSIONES FCI]])</f>
        <v>49119201772.514114</v>
      </c>
      <c r="BJ253" s="5">
        <f>IF($B252&lt;=Tabla5[[#This Row],[INVERSIONES FCI]],+Tabla5[[#This Row],[INVERSIONES FCI]]-BJ252,Tabla5[[#This Row],[INVERSIONES FCI]])</f>
        <v>49119201772.514114</v>
      </c>
      <c r="BK253" s="5">
        <f>IF($B252&lt;=Tabla5[[#This Row],[INVERSIONES FCI]],+Tabla5[[#This Row],[INVERSIONES FCI]]-BK252,Tabla5[[#This Row],[INVERSIONES FCI]])</f>
        <v>49119201772.514114</v>
      </c>
      <c r="BL253" s="5">
        <f>IF($B252&lt;=Tabla5[[#This Row],[INVERSIONES FCI]],+Tabla5[[#This Row],[INVERSIONES FCI]]-BL252,Tabla5[[#This Row],[INVERSIONES FCI]])</f>
        <v>49119201772.514114</v>
      </c>
      <c r="BM253" s="5">
        <f>IF($B252&lt;=Tabla5[[#This Row],[INVERSIONES FCI]],+Tabla5[[#This Row],[INVERSIONES FCI]]-BM252,Tabla5[[#This Row],[INVERSIONES FCI]])</f>
        <v>49119201772.514114</v>
      </c>
      <c r="BN253" s="5">
        <f>IF($B252&lt;=Tabla5[[#This Row],[INVERSIONES FCI]],+Tabla5[[#This Row],[INVERSIONES FCI]]-BN252,Tabla5[[#This Row],[INVERSIONES FCI]])</f>
        <v>49119201772.514114</v>
      </c>
      <c r="BO253" s="5">
        <f>IF($B252&lt;=Tabla5[[#This Row],[INVERSIONES FCI]],+Tabla5[[#This Row],[INVERSIONES FCI]]-BO252,Tabla5[[#This Row],[INVERSIONES FCI]])</f>
        <v>49119201772.514114</v>
      </c>
      <c r="BP253" s="5">
        <f>IF($B252&lt;=Tabla5[[#This Row],[INVERSIONES FCI]],+Tabla5[[#This Row],[INVERSIONES FCI]]-BP252,Tabla5[[#This Row],[INVERSIONES FCI]])</f>
        <v>49119201772.514114</v>
      </c>
      <c r="BQ253" s="5">
        <f>IF($B252&lt;=Tabla5[[#This Row],[INVERSIONES FCI]],+Tabla5[[#This Row],[INVERSIONES FCI]]-BQ252,Tabla5[[#This Row],[INVERSIONES FCI]])</f>
        <v>49119201772.514114</v>
      </c>
      <c r="BR253" s="5">
        <f>IF($B252&lt;=Tabla5[[#This Row],[INVERSIONES FCI]],+Tabla5[[#This Row],[INVERSIONES FCI]]-BR252,Tabla5[[#This Row],[INVERSIONES FCI]])</f>
        <v>49119201772.514114</v>
      </c>
      <c r="BS253" s="5">
        <f>IF($B252&lt;=Tabla5[[#This Row],[INVERSIONES FCI]],+Tabla5[[#This Row],[INVERSIONES FCI]]-BS252,Tabla5[[#This Row],[INVERSIONES FCI]])</f>
        <v>49119201772.514114</v>
      </c>
      <c r="BT253" s="5">
        <f>IF($B252&lt;=Tabla5[[#This Row],[INVERSIONES FCI]],+Tabla5[[#This Row],[INVERSIONES FCI]]-BT252,Tabla5[[#This Row],[INVERSIONES FCI]])</f>
        <v>49119201772.514114</v>
      </c>
      <c r="BU253" s="5">
        <f>IF($B252&lt;=Tabla5[[#This Row],[INVERSIONES FCI]],+Tabla5[[#This Row],[INVERSIONES FCI]]-BU252,Tabla5[[#This Row],[INVERSIONES FCI]])</f>
        <v>49119201772.514114</v>
      </c>
      <c r="BV253" s="5">
        <f>IF($B252&lt;=Tabla5[[#This Row],[INVERSIONES FCI]],+Tabla5[[#This Row],[INVERSIONES FCI]]-BV252,Tabla5[[#This Row],[INVERSIONES FCI]])</f>
        <v>49119201772.514114</v>
      </c>
      <c r="BW253" s="5">
        <f>IF($B252&lt;=Tabla5[[#This Row],[INVERSIONES FCI]],+Tabla5[[#This Row],[INVERSIONES FCI]]-BW252,Tabla5[[#This Row],[INVERSIONES FCI]])</f>
        <v>49119201772.514114</v>
      </c>
      <c r="BX253" s="5">
        <f>IF($B252&lt;=Tabla5[[#This Row],[INVERSIONES FCI]],+Tabla5[[#This Row],[INVERSIONES FCI]]-BX252,Tabla5[[#This Row],[INVERSIONES FCI]])</f>
        <v>49119201772.514114</v>
      </c>
      <c r="BY253" s="5">
        <f>IF($B252&lt;=Tabla5[[#This Row],[INVERSIONES FCI]],+Tabla5[[#This Row],[INVERSIONES FCI]]-BY252,Tabla5[[#This Row],[INVERSIONES FCI]])</f>
        <v>49119201772.514114</v>
      </c>
      <c r="BZ253" s="5">
        <f>IF($B252&lt;=Tabla5[[#This Row],[INVERSIONES FCI]],+Tabla5[[#This Row],[INVERSIONES FCI]]-BZ252,Tabla5[[#This Row],[INVERSIONES FCI]])</f>
        <v>49119201772.514114</v>
      </c>
      <c r="CA253" s="5">
        <f>IF($B252&lt;=Tabla5[[#This Row],[INVERSIONES FCI]],+Tabla5[[#This Row],[INVERSIONES FCI]]-CA252,Tabla5[[#This Row],[INVERSIONES FCI]])</f>
        <v>49119201772.514114</v>
      </c>
      <c r="CB253" s="5">
        <f>IF($B252&lt;=Tabla5[[#This Row],[INVERSIONES FCI]],+Tabla5[[#This Row],[INVERSIONES FCI]]-CB252,Tabla5[[#This Row],[INVERSIONES FCI]])</f>
        <v>49119201772.514114</v>
      </c>
      <c r="CC253" s="5">
        <f>IF($B252&lt;=Tabla5[[#This Row],[INVERSIONES FCI]],+Tabla5[[#This Row],[INVERSIONES FCI]]-CC252,Tabla5[[#This Row],[INVERSIONES FCI]])</f>
        <v>49119201772.514114</v>
      </c>
      <c r="CD253" s="5">
        <f>IF($B252&lt;=Tabla5[[#This Row],[INVERSIONES FCI]],+Tabla5[[#This Row],[INVERSIONES FCI]]-CD252,Tabla5[[#This Row],[INVERSIONES FCI]])</f>
        <v>49119201772.514114</v>
      </c>
      <c r="CE253" s="5">
        <f>IF($B252&lt;=Tabla5[[#This Row],[INVERSIONES FCI]],+Tabla5[[#This Row],[INVERSIONES FCI]]-CE252,Tabla5[[#This Row],[INVERSIONES FCI]])</f>
        <v>49119201772.514114</v>
      </c>
      <c r="CF253" s="5">
        <f>IF($B252&lt;=Tabla5[[#This Row],[INVERSIONES FCI]],+Tabla5[[#This Row],[INVERSIONES FCI]]-CF252,Tabla5[[#This Row],[INVERSIONES FCI]])</f>
        <v>49119201772.514114</v>
      </c>
      <c r="CG253" s="5">
        <f>IF($B252&lt;=Tabla5[[#This Row],[INVERSIONES FCI]],+Tabla5[[#This Row],[INVERSIONES FCI]]-CG252,Tabla5[[#This Row],[INVERSIONES FCI]])</f>
        <v>49119201772.514114</v>
      </c>
      <c r="CH253" s="5">
        <f>IF($B252&lt;=Tabla5[[#This Row],[INVERSIONES FCI]],+Tabla5[[#This Row],[INVERSIONES FCI]]-CH252,Tabla5[[#This Row],[INVERSIONES FCI]])</f>
        <v>49119201772.514114</v>
      </c>
      <c r="CI253" s="5">
        <f>IF($B252&lt;=Tabla5[[#This Row],[INVERSIONES FCI]],+Tabla5[[#This Row],[INVERSIONES FCI]]-CI252,Tabla5[[#This Row],[INVERSIONES FCI]])</f>
        <v>49119201772.514114</v>
      </c>
      <c r="CJ253" s="5">
        <f>IF($B252&lt;=Tabla5[[#This Row],[INVERSIONES FCI]],+Tabla5[[#This Row],[INVERSIONES FCI]]-CJ252,Tabla5[[#This Row],[INVERSIONES FCI]])</f>
        <v>49119201772.514114</v>
      </c>
      <c r="CK253" s="5">
        <f>IF($B252&lt;=Tabla5[[#This Row],[INVERSIONES FCI]],+Tabla5[[#This Row],[INVERSIONES FCI]]-CK252,Tabla5[[#This Row],[INVERSIONES FCI]])</f>
        <v>49119201772.514114</v>
      </c>
      <c r="CL253" s="5">
        <f>IF($B252&lt;=Tabla5[[#This Row],[INVERSIONES FCI]],+Tabla5[[#This Row],[INVERSIONES FCI]]-CL252,Tabla5[[#This Row],[INVERSIONES FCI]])</f>
        <v>49119201772.514114</v>
      </c>
      <c r="CM253" s="5">
        <f>IF($B252&lt;=Tabla5[[#This Row],[INVERSIONES FCI]],+Tabla5[[#This Row],[INVERSIONES FCI]]-CM252,Tabla5[[#This Row],[INVERSIONES FCI]])</f>
        <v>49119201772.514114</v>
      </c>
      <c r="CN253" s="5">
        <f>IF($B252&lt;=Tabla5[[#This Row],[INVERSIONES FCI]],+Tabla5[[#This Row],[INVERSIONES FCI]]-CN252,Tabla5[[#This Row],[INVERSIONES FCI]])</f>
        <v>49119201772.514114</v>
      </c>
      <c r="CO253" s="5">
        <f>IF($B252&lt;=Tabla5[[#This Row],[INVERSIONES FCI]],+Tabla5[[#This Row],[INVERSIONES FCI]]-CO252,Tabla5[[#This Row],[INVERSIONES FCI]])</f>
        <v>49119201772.514114</v>
      </c>
      <c r="CP253" s="5">
        <f>IF($B252&lt;=Tabla5[[#This Row],[INVERSIONES FCI]],+Tabla5[[#This Row],[INVERSIONES FCI]]-CP252,Tabla5[[#This Row],[INVERSIONES FCI]])</f>
        <v>49119201772.514114</v>
      </c>
      <c r="CQ253" s="5">
        <f>IF($B252&lt;=Tabla5[[#This Row],[INVERSIONES FCI]],+Tabla5[[#This Row],[INVERSIONES FCI]]-CQ252,Tabla5[[#This Row],[INVERSIONES FCI]])</f>
        <v>49119201772.514114</v>
      </c>
      <c r="CR253" s="5">
        <f>IF($B252&lt;=Tabla5[[#This Row],[INVERSIONES FCI]],+Tabla5[[#This Row],[INVERSIONES FCI]]-CR252,Tabla5[[#This Row],[INVERSIONES FCI]])</f>
        <v>49119201772.514114</v>
      </c>
      <c r="CS253" s="5">
        <f>IF($B252&lt;=Tabla5[[#This Row],[INVERSIONES FCI]],+Tabla5[[#This Row],[INVERSIONES FCI]]-CS252,Tabla5[[#This Row],[INVERSIONES FCI]])</f>
        <v>49119201772.514114</v>
      </c>
      <c r="CT253" s="5">
        <f>IF($B252&lt;=Tabla5[[#This Row],[INVERSIONES FCI]],+Tabla5[[#This Row],[INVERSIONES FCI]]-CT252,Tabla5[[#This Row],[INVERSIONES FCI]])</f>
        <v>49119201772.514114</v>
      </c>
      <c r="CU253" s="5">
        <f>IF($B252&lt;=Tabla5[[#This Row],[INVERSIONES FCI]],+Tabla5[[#This Row],[INVERSIONES FCI]]-CU252,Tabla5[[#This Row],[INVERSIONES FCI]])</f>
        <v>49119201772.514114</v>
      </c>
      <c r="CV253" s="5">
        <f>IF($B252&lt;=Tabla5[[#This Row],[INVERSIONES FCI]],+Tabla5[[#This Row],[INVERSIONES FCI]]-CV252,Tabla5[[#This Row],[INVERSIONES FCI]])</f>
        <v>49119201772.514114</v>
      </c>
      <c r="CW253" s="5">
        <f>IF($B252&lt;=Tabla5[[#This Row],[INVERSIONES FCI]],+Tabla5[[#This Row],[INVERSIONES FCI]]-CW252,Tabla5[[#This Row],[INVERSIONES FCI]])</f>
        <v>49119201772.514114</v>
      </c>
      <c r="CX253" s="5">
        <f>IF($B252&lt;=Tabla5[[#This Row],[INVERSIONES FCI]],+Tabla5[[#This Row],[INVERSIONES FCI]]-CX252,Tabla5[[#This Row],[INVERSIONES FCI]])</f>
        <v>49119201772.514114</v>
      </c>
      <c r="CY253" s="5">
        <f>IF($B252&lt;=Tabla5[[#This Row],[INVERSIONES FCI]],+Tabla5[[#This Row],[INVERSIONES FCI]]-CY252,Tabla5[[#This Row],[INVERSIONES FCI]])</f>
        <v>49119201772.514114</v>
      </c>
      <c r="CZ253" s="5">
        <f>IF($B252&lt;=Tabla5[[#This Row],[INVERSIONES FCI]],+Tabla5[[#This Row],[INVERSIONES FCI]]-CZ252,Tabla5[[#This Row],[INVERSIONES FCI]])</f>
        <v>49119201772.514114</v>
      </c>
      <c r="DA253" s="5">
        <f>IF($B252&lt;=Tabla5[[#This Row],[INVERSIONES FCI]],+Tabla5[[#This Row],[INVERSIONES FCI]]-DA252,Tabla5[[#This Row],[INVERSIONES FCI]])</f>
        <v>49119201772.514114</v>
      </c>
      <c r="DB253" s="5">
        <f>IF($B252&lt;=Tabla5[[#This Row],[INVERSIONES FCI]],+Tabla5[[#This Row],[INVERSIONES FCI]]-DB252,Tabla5[[#This Row],[INVERSIONES FCI]])</f>
        <v>49119201772.514114</v>
      </c>
      <c r="DC253" s="5">
        <f>IF($B252&lt;=Tabla5[[#This Row],[INVERSIONES FCI]],+Tabla5[[#This Row],[INVERSIONES FCI]]-DC252,Tabla5[[#This Row],[INVERSIONES FCI]])</f>
        <v>49119201772.514114</v>
      </c>
      <c r="DD253" s="5">
        <f>IF($B252&lt;=Tabla5[[#This Row],[INVERSIONES FCI]],+Tabla5[[#This Row],[INVERSIONES FCI]]-DD252,Tabla5[[#This Row],[INVERSIONES FCI]])</f>
        <v>49119201772.514114</v>
      </c>
      <c r="DE253" s="5">
        <f>IF($B252&lt;=Tabla5[[#This Row],[INVERSIONES FCI]],+Tabla5[[#This Row],[INVERSIONES FCI]]-DE252,Tabla5[[#This Row],[INVERSIONES FCI]])</f>
        <v>49119201772.514114</v>
      </c>
      <c r="DF253" s="5">
        <f>IF($B252&lt;=Tabla5[[#This Row],[INVERSIONES FCI]],+Tabla5[[#This Row],[INVERSIONES FCI]]-DF252,Tabla5[[#This Row],[INVERSIONES FCI]])</f>
        <v>49119201772.514114</v>
      </c>
      <c r="DG253" s="5">
        <f>IF($B252&lt;=Tabla5[[#This Row],[INVERSIONES FCI]],+Tabla5[[#This Row],[INVERSIONES FCI]]-DG252,Tabla5[[#This Row],[INVERSIONES FCI]])</f>
        <v>49119201772.514114</v>
      </c>
      <c r="DH253" s="5">
        <f>IF($B252&lt;=Tabla5[[#This Row],[INVERSIONES FCI]],+Tabla5[[#This Row],[INVERSIONES FCI]]-DH252,Tabla5[[#This Row],[INVERSIONES FCI]])</f>
        <v>49119201772.514114</v>
      </c>
      <c r="DI253" s="5">
        <f>IF($B252&lt;=Tabla5[[#This Row],[INVERSIONES FCI]],+Tabla5[[#This Row],[INVERSIONES FCI]]-DI252,Tabla5[[#This Row],[INVERSIONES FCI]])</f>
        <v>49119201772.514114</v>
      </c>
      <c r="DJ253" s="5">
        <f>IF($B252&lt;=Tabla5[[#This Row],[INVERSIONES FCI]],+Tabla5[[#This Row],[INVERSIONES FCI]]-DJ252,Tabla5[[#This Row],[INVERSIONES FCI]])</f>
        <v>49119201772.514114</v>
      </c>
      <c r="DK253" s="5">
        <f>IF($B252&lt;=Tabla5[[#This Row],[INVERSIONES FCI]],+Tabla5[[#This Row],[INVERSIONES FCI]]-DK252,Tabla5[[#This Row],[INVERSIONES FCI]])</f>
        <v>49119201772.514114</v>
      </c>
      <c r="DL253" s="5"/>
      <c r="DM253" s="5"/>
      <c r="DN253" s="5"/>
      <c r="DO253" s="5"/>
      <c r="DP253" s="5"/>
      <c r="DQ253" s="5"/>
    </row>
    <row r="254" spans="1:121" ht="14.4">
      <c r="A254" s="12" t="s">
        <v>253</v>
      </c>
      <c r="B254" s="5">
        <f>HLOOKUP($A254,ESCENARIO[#All],7,FALSE)</f>
        <v>51508959639.863838</v>
      </c>
      <c r="C254" s="5">
        <f>IF($B253&lt;=Tabla5[[#This Row],[INVERSIONES FCI]],+Tabla5[[#This Row],[INVERSIONES FCI]]-C253,Tabla5[[#This Row],[INVERSIONES FCI]])</f>
        <v>2389757867.3497238</v>
      </c>
      <c r="D254" s="5">
        <f>IF($B253&lt;=Tabla5[[#This Row],[INVERSIONES FCI]],+Tabla5[[#This Row],[INVERSIONES FCI]]-D253,Tabla5[[#This Row],[INVERSIONES FCI]])</f>
        <v>2389757867.3497238</v>
      </c>
      <c r="E254" s="5">
        <f>IF($B253&lt;=Tabla5[[#This Row],[INVERSIONES FCI]],+Tabla5[[#This Row],[INVERSIONES FCI]]-E253,Tabla5[[#This Row],[INVERSIONES FCI]])</f>
        <v>2389757867.3497238</v>
      </c>
      <c r="F254" s="5">
        <f>IF($B253&lt;=Tabla5[[#This Row],[INVERSIONES FCI]],+Tabla5[[#This Row],[INVERSIONES FCI]]-F253,Tabla5[[#This Row],[INVERSIONES FCI]])</f>
        <v>2389757867.3497238</v>
      </c>
      <c r="G254" s="5">
        <f>IF($B253&lt;=Tabla5[[#This Row],[INVERSIONES FCI]],+Tabla5[[#This Row],[INVERSIONES FCI]]-G253,Tabla5[[#This Row],[INVERSIONES FCI]])</f>
        <v>2389757867.3497238</v>
      </c>
      <c r="H254" s="5">
        <f>IF($B253&lt;=Tabla5[[#This Row],[INVERSIONES FCI]],+Tabla5[[#This Row],[INVERSIONES FCI]]-H253,Tabla5[[#This Row],[INVERSIONES FCI]])</f>
        <v>2389757867.3497238</v>
      </c>
      <c r="I254" s="5">
        <f>IF($B253&lt;=Tabla5[[#This Row],[INVERSIONES FCI]],+Tabla5[[#This Row],[INVERSIONES FCI]]-I253,Tabla5[[#This Row],[INVERSIONES FCI]])</f>
        <v>2389757867.3497238</v>
      </c>
      <c r="J254" s="5">
        <f>IF($B253&lt;=Tabla5[[#This Row],[INVERSIONES FCI]],+Tabla5[[#This Row],[INVERSIONES FCI]]-J253,Tabla5[[#This Row],[INVERSIONES FCI]])</f>
        <v>2389757867.3497238</v>
      </c>
      <c r="K254" s="5">
        <f>IF($B253&lt;=Tabla5[[#This Row],[INVERSIONES FCI]],+Tabla5[[#This Row],[INVERSIONES FCI]]-K253,Tabla5[[#This Row],[INVERSIONES FCI]])</f>
        <v>2389757867.3497238</v>
      </c>
      <c r="L254" s="5">
        <f>IF($B253&lt;=Tabla5[[#This Row],[INVERSIONES FCI]],+Tabla5[[#This Row],[INVERSIONES FCI]]-L253,Tabla5[[#This Row],[INVERSIONES FCI]])</f>
        <v>2389757867.3497238</v>
      </c>
      <c r="M254" s="5">
        <f>IF($B253&lt;=Tabla5[[#This Row],[INVERSIONES FCI]],+Tabla5[[#This Row],[INVERSIONES FCI]]-M253,Tabla5[[#This Row],[INVERSIONES FCI]])</f>
        <v>2389757867.3497238</v>
      </c>
      <c r="N254" s="5">
        <f>IF($B253&lt;=Tabla5[[#This Row],[INVERSIONES FCI]],+Tabla5[[#This Row],[INVERSIONES FCI]]-N253,Tabla5[[#This Row],[INVERSIONES FCI]])</f>
        <v>2389757867.3497238</v>
      </c>
      <c r="O254" s="5">
        <f>IF($B253&lt;=Tabla5[[#This Row],[INVERSIONES FCI]],+Tabla5[[#This Row],[INVERSIONES FCI]]-O253,Tabla5[[#This Row],[INVERSIONES FCI]])</f>
        <v>2389757867.3497238</v>
      </c>
      <c r="P254" s="5">
        <f>IF($B253&lt;=Tabla5[[#This Row],[INVERSIONES FCI]],+Tabla5[[#This Row],[INVERSIONES FCI]]-P253,Tabla5[[#This Row],[INVERSIONES FCI]])</f>
        <v>2389757867.3497238</v>
      </c>
      <c r="Q254" s="5">
        <f>IF($B253&lt;=Tabla5[[#This Row],[INVERSIONES FCI]],+Tabla5[[#This Row],[INVERSIONES FCI]]-Q253,Tabla5[[#This Row],[INVERSIONES FCI]])</f>
        <v>2389757867.3497238</v>
      </c>
      <c r="R254" s="5">
        <f>IF($B253&lt;=Tabla5[[#This Row],[INVERSIONES FCI]],+Tabla5[[#This Row],[INVERSIONES FCI]]-R253,Tabla5[[#This Row],[INVERSIONES FCI]])</f>
        <v>2389757867.3497238</v>
      </c>
      <c r="S254" s="5">
        <f>IF($B253&lt;=Tabla5[[#This Row],[INVERSIONES FCI]],+Tabla5[[#This Row],[INVERSIONES FCI]]-S253,Tabla5[[#This Row],[INVERSIONES FCI]])</f>
        <v>2389757867.3497238</v>
      </c>
      <c r="T254" s="5">
        <f>IF($B253&lt;=Tabla5[[#This Row],[INVERSIONES FCI]],+Tabla5[[#This Row],[INVERSIONES FCI]]-T253,Tabla5[[#This Row],[INVERSIONES FCI]])</f>
        <v>2389757867.3497238</v>
      </c>
      <c r="U254" s="5">
        <f>IF($B253&lt;=Tabla5[[#This Row],[INVERSIONES FCI]],+Tabla5[[#This Row],[INVERSIONES FCI]]-U253,Tabla5[[#This Row],[INVERSIONES FCI]])</f>
        <v>2389757867.3497238</v>
      </c>
      <c r="V254" s="5">
        <f>IF($B253&lt;=Tabla5[[#This Row],[INVERSIONES FCI]],+Tabla5[[#This Row],[INVERSIONES FCI]]-V253,Tabla5[[#This Row],[INVERSIONES FCI]])</f>
        <v>2389757867.3497238</v>
      </c>
      <c r="W254" s="5">
        <f>IF($B253&lt;=Tabla5[[#This Row],[INVERSIONES FCI]],+Tabla5[[#This Row],[INVERSIONES FCI]]-W253,Tabla5[[#This Row],[INVERSIONES FCI]])</f>
        <v>2389757867.3497238</v>
      </c>
      <c r="X254" s="5">
        <f>IF($B253&lt;=Tabla5[[#This Row],[INVERSIONES FCI]],+Tabla5[[#This Row],[INVERSIONES FCI]]-X253,Tabla5[[#This Row],[INVERSIONES FCI]])</f>
        <v>2389757867.3497238</v>
      </c>
      <c r="Y254" s="5">
        <f>IF($B253&lt;=Tabla5[[#This Row],[INVERSIONES FCI]],+Tabla5[[#This Row],[INVERSIONES FCI]]-Y253,Tabla5[[#This Row],[INVERSIONES FCI]])</f>
        <v>2389757867.3497238</v>
      </c>
      <c r="Z254" s="5">
        <f>IF($B253&lt;=Tabla5[[#This Row],[INVERSIONES FCI]],+Tabla5[[#This Row],[INVERSIONES FCI]]-Z253,Tabla5[[#This Row],[INVERSIONES FCI]])</f>
        <v>2389757867.3497238</v>
      </c>
      <c r="AA254" s="5">
        <f>IF($B253&lt;=Tabla5[[#This Row],[INVERSIONES FCI]],+Tabla5[[#This Row],[INVERSIONES FCI]]-AA253,Tabla5[[#This Row],[INVERSIONES FCI]])</f>
        <v>2389757867.3497238</v>
      </c>
      <c r="AB254" s="5">
        <f>IF($B253&lt;=Tabla5[[#This Row],[INVERSIONES FCI]],+Tabla5[[#This Row],[INVERSIONES FCI]]-AB253,Tabla5[[#This Row],[INVERSIONES FCI]])</f>
        <v>2389757867.3497238</v>
      </c>
      <c r="AC254" s="5">
        <f>IF($B253&lt;=Tabla5[[#This Row],[INVERSIONES FCI]],+Tabla5[[#This Row],[INVERSIONES FCI]]-AC253,Tabla5[[#This Row],[INVERSIONES FCI]])</f>
        <v>2389757867.3497238</v>
      </c>
      <c r="AD254" s="5">
        <f>IF($B253&lt;=Tabla5[[#This Row],[INVERSIONES FCI]],+Tabla5[[#This Row],[INVERSIONES FCI]]-AD253,Tabla5[[#This Row],[INVERSIONES FCI]])</f>
        <v>2389757867.3497238</v>
      </c>
      <c r="AE254" s="5">
        <f>IF($B253&lt;=Tabla5[[#This Row],[INVERSIONES FCI]],+Tabla5[[#This Row],[INVERSIONES FCI]]-AE253,Tabla5[[#This Row],[INVERSIONES FCI]])</f>
        <v>2389757867.3497238</v>
      </c>
      <c r="AF254" s="5">
        <f>IF($B253&lt;=Tabla5[[#This Row],[INVERSIONES FCI]],+Tabla5[[#This Row],[INVERSIONES FCI]]-AF253,Tabla5[[#This Row],[INVERSIONES FCI]])</f>
        <v>2389757867.3497238</v>
      </c>
      <c r="AG254" s="5">
        <f>IF($B253&lt;=Tabla5[[#This Row],[INVERSIONES FCI]],+Tabla5[[#This Row],[INVERSIONES FCI]]-AG253,Tabla5[[#This Row],[INVERSIONES FCI]])</f>
        <v>2389757867.3497238</v>
      </c>
      <c r="AH254" s="5">
        <f>IF($B253&lt;=Tabla5[[#This Row],[INVERSIONES FCI]],+Tabla5[[#This Row],[INVERSIONES FCI]]-AH253,Tabla5[[#This Row],[INVERSIONES FCI]])</f>
        <v>2389757867.3497238</v>
      </c>
      <c r="AI254" s="5">
        <f>IF($B253&lt;=Tabla5[[#This Row],[INVERSIONES FCI]],+Tabla5[[#This Row],[INVERSIONES FCI]]-AI253,Tabla5[[#This Row],[INVERSIONES FCI]])</f>
        <v>2389757867.3497238</v>
      </c>
      <c r="AJ254" s="5">
        <f>IF($B253&lt;=Tabla5[[#This Row],[INVERSIONES FCI]],+Tabla5[[#This Row],[INVERSIONES FCI]]-AJ253,Tabla5[[#This Row],[INVERSIONES FCI]])</f>
        <v>2389757867.3497238</v>
      </c>
      <c r="AK254" s="5">
        <f>IF($B253&lt;=Tabla5[[#This Row],[INVERSIONES FCI]],+Tabla5[[#This Row],[INVERSIONES FCI]]-AK253,Tabla5[[#This Row],[INVERSIONES FCI]])</f>
        <v>2389757867.3497238</v>
      </c>
      <c r="AL254" s="5">
        <f>IF($B253&lt;=Tabla5[[#This Row],[INVERSIONES FCI]],+Tabla5[[#This Row],[INVERSIONES FCI]]-AL253,Tabla5[[#This Row],[INVERSIONES FCI]])</f>
        <v>2389757867.3497238</v>
      </c>
      <c r="AM254" s="5">
        <f>IF($B253&lt;=Tabla5[[#This Row],[INVERSIONES FCI]],+Tabla5[[#This Row],[INVERSIONES FCI]]-AM253,Tabla5[[#This Row],[INVERSIONES FCI]])</f>
        <v>2389757867.3497238</v>
      </c>
      <c r="AN254" s="5">
        <f>IF($B253&lt;=Tabla5[[#This Row],[INVERSIONES FCI]],+Tabla5[[#This Row],[INVERSIONES FCI]]-AN253,Tabla5[[#This Row],[INVERSIONES FCI]])</f>
        <v>2389757867.3497238</v>
      </c>
      <c r="AO254" s="5">
        <f>IF($B253&lt;=Tabla5[[#This Row],[INVERSIONES FCI]],+Tabla5[[#This Row],[INVERSIONES FCI]]-AO253,Tabla5[[#This Row],[INVERSIONES FCI]])</f>
        <v>2389757867.3497238</v>
      </c>
      <c r="AP254" s="5">
        <f>IF($B253&lt;=Tabla5[[#This Row],[INVERSIONES FCI]],+Tabla5[[#This Row],[INVERSIONES FCI]]-AP253,Tabla5[[#This Row],[INVERSIONES FCI]])</f>
        <v>2389757867.3497238</v>
      </c>
      <c r="AQ254" s="5">
        <f>IF($B253&lt;=Tabla5[[#This Row],[INVERSIONES FCI]],+Tabla5[[#This Row],[INVERSIONES FCI]]-AQ253,Tabla5[[#This Row],[INVERSIONES FCI]])</f>
        <v>2389757867.3497238</v>
      </c>
      <c r="AR254" s="5">
        <f>IF($B253&lt;=Tabla5[[#This Row],[INVERSIONES FCI]],+Tabla5[[#This Row],[INVERSIONES FCI]]-AR253,Tabla5[[#This Row],[INVERSIONES FCI]])</f>
        <v>2389757867.3497238</v>
      </c>
      <c r="AS254" s="5">
        <f>IF($B253&lt;=Tabla5[[#This Row],[INVERSIONES FCI]],+Tabla5[[#This Row],[INVERSIONES FCI]]-AS253,Tabla5[[#This Row],[INVERSIONES FCI]])</f>
        <v>2389757867.3497238</v>
      </c>
      <c r="AT254" s="5">
        <f>IF($B253&lt;=Tabla5[[#This Row],[INVERSIONES FCI]],+Tabla5[[#This Row],[INVERSIONES FCI]]-AT253,Tabla5[[#This Row],[INVERSIONES FCI]])</f>
        <v>2389757867.3497238</v>
      </c>
      <c r="AU254" s="5">
        <f>IF($B253&lt;=Tabla5[[#This Row],[INVERSIONES FCI]],+Tabla5[[#This Row],[INVERSIONES FCI]]-AU253,Tabla5[[#This Row],[INVERSIONES FCI]])</f>
        <v>2389757867.3497238</v>
      </c>
      <c r="AV254" s="5">
        <f>IF($B253&lt;=Tabla5[[#This Row],[INVERSIONES FCI]],+Tabla5[[#This Row],[INVERSIONES FCI]]-AV253,Tabla5[[#This Row],[INVERSIONES FCI]])</f>
        <v>2389757867.3497238</v>
      </c>
      <c r="AW254" s="5">
        <f>IF($B253&lt;=Tabla5[[#This Row],[INVERSIONES FCI]],+Tabla5[[#This Row],[INVERSIONES FCI]]-AW253,Tabla5[[#This Row],[INVERSIONES FCI]])</f>
        <v>2389757867.3497238</v>
      </c>
      <c r="AX254" s="5">
        <f>IF($B253&lt;=Tabla5[[#This Row],[INVERSIONES FCI]],+Tabla5[[#This Row],[INVERSIONES FCI]]-AX253,Tabla5[[#This Row],[INVERSIONES FCI]])</f>
        <v>2389757867.3497238</v>
      </c>
      <c r="AY254" s="5">
        <f>IF($B253&lt;=Tabla5[[#This Row],[INVERSIONES FCI]],+Tabla5[[#This Row],[INVERSIONES FCI]]-AY253,Tabla5[[#This Row],[INVERSIONES FCI]])</f>
        <v>2389757867.3497238</v>
      </c>
      <c r="AZ254" s="5">
        <f>IF($B253&lt;=Tabla5[[#This Row],[INVERSIONES FCI]],+Tabla5[[#This Row],[INVERSIONES FCI]]-AZ253,Tabla5[[#This Row],[INVERSIONES FCI]])</f>
        <v>2389757867.3497238</v>
      </c>
      <c r="BA254" s="5">
        <f>IF($B253&lt;=Tabla5[[#This Row],[INVERSIONES FCI]],+Tabla5[[#This Row],[INVERSIONES FCI]]-BA253,Tabla5[[#This Row],[INVERSIONES FCI]])</f>
        <v>2389757867.3497238</v>
      </c>
      <c r="BB254" s="5">
        <f>IF($B253&lt;=Tabla5[[#This Row],[INVERSIONES FCI]],+Tabla5[[#This Row],[INVERSIONES FCI]]-BB253,Tabla5[[#This Row],[INVERSIONES FCI]])</f>
        <v>2389757867.3497238</v>
      </c>
      <c r="BC254" s="5">
        <f>IF($B253&lt;=Tabla5[[#This Row],[INVERSIONES FCI]],+Tabla5[[#This Row],[INVERSIONES FCI]]-BC253,Tabla5[[#This Row],[INVERSIONES FCI]])</f>
        <v>2389757867.3497238</v>
      </c>
      <c r="BD254" s="5">
        <f>IF($B253&lt;=Tabla5[[#This Row],[INVERSIONES FCI]],+Tabla5[[#This Row],[INVERSIONES FCI]]-BD253,Tabla5[[#This Row],[INVERSIONES FCI]])</f>
        <v>2389757867.3497238</v>
      </c>
      <c r="BE254" s="5">
        <f>IF($B253&lt;=Tabla5[[#This Row],[INVERSIONES FCI]],+Tabla5[[#This Row],[INVERSIONES FCI]]-BE253,Tabla5[[#This Row],[INVERSIONES FCI]])</f>
        <v>2389757867.3497238</v>
      </c>
      <c r="BF254" s="5">
        <f>IF($B253&lt;=Tabla5[[#This Row],[INVERSIONES FCI]],+Tabla5[[#This Row],[INVERSIONES FCI]]-BF253,Tabla5[[#This Row],[INVERSIONES FCI]])</f>
        <v>2389757867.3497238</v>
      </c>
      <c r="BG254" s="5">
        <f>IF($B253&lt;=Tabla5[[#This Row],[INVERSIONES FCI]],+Tabla5[[#This Row],[INVERSIONES FCI]]-BG253,Tabla5[[#This Row],[INVERSIONES FCI]])</f>
        <v>2389757867.3497238</v>
      </c>
      <c r="BH254" s="5">
        <f>IF($B253&lt;=Tabla5[[#This Row],[INVERSIONES FCI]],+Tabla5[[#This Row],[INVERSIONES FCI]]-BH253,Tabla5[[#This Row],[INVERSIONES FCI]])</f>
        <v>2389757867.3497238</v>
      </c>
      <c r="BI254" s="5">
        <f>IF($B253&lt;=Tabla5[[#This Row],[INVERSIONES FCI]],+Tabla5[[#This Row],[INVERSIONES FCI]]-BI253,Tabla5[[#This Row],[INVERSIONES FCI]])</f>
        <v>2389757867.3497238</v>
      </c>
      <c r="BJ254" s="5">
        <f>IF($B253&lt;=Tabla5[[#This Row],[INVERSIONES FCI]],+Tabla5[[#This Row],[INVERSIONES FCI]]-BJ253,Tabla5[[#This Row],[INVERSIONES FCI]])</f>
        <v>2389757867.3497238</v>
      </c>
      <c r="BK254" s="5">
        <f>IF($B253&lt;=Tabla5[[#This Row],[INVERSIONES FCI]],+Tabla5[[#This Row],[INVERSIONES FCI]]-BK253,Tabla5[[#This Row],[INVERSIONES FCI]])</f>
        <v>2389757867.3497238</v>
      </c>
      <c r="BL254" s="5">
        <f>IF($B253&lt;=Tabla5[[#This Row],[INVERSIONES FCI]],+Tabla5[[#This Row],[INVERSIONES FCI]]-BL253,Tabla5[[#This Row],[INVERSIONES FCI]])</f>
        <v>2389757867.3497238</v>
      </c>
      <c r="BM254" s="5">
        <f>IF($B253&lt;=Tabla5[[#This Row],[INVERSIONES FCI]],+Tabla5[[#This Row],[INVERSIONES FCI]]-BM253,Tabla5[[#This Row],[INVERSIONES FCI]])</f>
        <v>2389757867.3497238</v>
      </c>
      <c r="BN254" s="5">
        <f>IF($B253&lt;=Tabla5[[#This Row],[INVERSIONES FCI]],+Tabla5[[#This Row],[INVERSIONES FCI]]-BN253,Tabla5[[#This Row],[INVERSIONES FCI]])</f>
        <v>2389757867.3497238</v>
      </c>
      <c r="BO254" s="5">
        <f>IF($B253&lt;=Tabla5[[#This Row],[INVERSIONES FCI]],+Tabla5[[#This Row],[INVERSIONES FCI]]-BO253,Tabla5[[#This Row],[INVERSIONES FCI]])</f>
        <v>2389757867.3497238</v>
      </c>
      <c r="BP254" s="5">
        <f>IF($B253&lt;=Tabla5[[#This Row],[INVERSIONES FCI]],+Tabla5[[#This Row],[INVERSIONES FCI]]-BP253,Tabla5[[#This Row],[INVERSIONES FCI]])</f>
        <v>2389757867.3497238</v>
      </c>
      <c r="BQ254" s="5">
        <f>IF($B253&lt;=Tabla5[[#This Row],[INVERSIONES FCI]],+Tabla5[[#This Row],[INVERSIONES FCI]]-BQ253,Tabla5[[#This Row],[INVERSIONES FCI]])</f>
        <v>2389757867.3497238</v>
      </c>
      <c r="BR254" s="5">
        <f>IF($B253&lt;=Tabla5[[#This Row],[INVERSIONES FCI]],+Tabla5[[#This Row],[INVERSIONES FCI]]-BR253,Tabla5[[#This Row],[INVERSIONES FCI]])</f>
        <v>2389757867.3497238</v>
      </c>
      <c r="BS254" s="5">
        <f>IF($B253&lt;=Tabla5[[#This Row],[INVERSIONES FCI]],+Tabla5[[#This Row],[INVERSIONES FCI]]-BS253,Tabla5[[#This Row],[INVERSIONES FCI]])</f>
        <v>2389757867.3497238</v>
      </c>
      <c r="BT254" s="5">
        <f>IF($B253&lt;=Tabla5[[#This Row],[INVERSIONES FCI]],+Tabla5[[#This Row],[INVERSIONES FCI]]-BT253,Tabla5[[#This Row],[INVERSIONES FCI]])</f>
        <v>2389757867.3497238</v>
      </c>
      <c r="BU254" s="5">
        <f>IF($B253&lt;=Tabla5[[#This Row],[INVERSIONES FCI]],+Tabla5[[#This Row],[INVERSIONES FCI]]-BU253,Tabla5[[#This Row],[INVERSIONES FCI]])</f>
        <v>2389757867.3497238</v>
      </c>
      <c r="BV254" s="5">
        <f>IF($B253&lt;=Tabla5[[#This Row],[INVERSIONES FCI]],+Tabla5[[#This Row],[INVERSIONES FCI]]-BV253,Tabla5[[#This Row],[INVERSIONES FCI]])</f>
        <v>2389757867.3497238</v>
      </c>
      <c r="BW254" s="5">
        <f>IF($B253&lt;=Tabla5[[#This Row],[INVERSIONES FCI]],+Tabla5[[#This Row],[INVERSIONES FCI]]-BW253,Tabla5[[#This Row],[INVERSIONES FCI]])</f>
        <v>2389757867.3497238</v>
      </c>
      <c r="BX254" s="5">
        <f>IF($B253&lt;=Tabla5[[#This Row],[INVERSIONES FCI]],+Tabla5[[#This Row],[INVERSIONES FCI]]-BX253,Tabla5[[#This Row],[INVERSIONES FCI]])</f>
        <v>2389757867.3497238</v>
      </c>
      <c r="BY254" s="5">
        <f>IF($B253&lt;=Tabla5[[#This Row],[INVERSIONES FCI]],+Tabla5[[#This Row],[INVERSIONES FCI]]-BY253,Tabla5[[#This Row],[INVERSIONES FCI]])</f>
        <v>2389757867.3497238</v>
      </c>
      <c r="BZ254" s="5">
        <f>IF($B253&lt;=Tabla5[[#This Row],[INVERSIONES FCI]],+Tabla5[[#This Row],[INVERSIONES FCI]]-BZ253,Tabla5[[#This Row],[INVERSIONES FCI]])</f>
        <v>2389757867.3497238</v>
      </c>
      <c r="CA254" s="5">
        <f>IF($B253&lt;=Tabla5[[#This Row],[INVERSIONES FCI]],+Tabla5[[#This Row],[INVERSIONES FCI]]-CA253,Tabla5[[#This Row],[INVERSIONES FCI]])</f>
        <v>2389757867.3497238</v>
      </c>
      <c r="CB254" s="5">
        <f>IF($B253&lt;=Tabla5[[#This Row],[INVERSIONES FCI]],+Tabla5[[#This Row],[INVERSIONES FCI]]-CB253,Tabla5[[#This Row],[INVERSIONES FCI]])</f>
        <v>2389757867.3497238</v>
      </c>
      <c r="CC254" s="5">
        <f>IF($B253&lt;=Tabla5[[#This Row],[INVERSIONES FCI]],+Tabla5[[#This Row],[INVERSIONES FCI]]-CC253,Tabla5[[#This Row],[INVERSIONES FCI]])</f>
        <v>2389757867.3497238</v>
      </c>
      <c r="CD254" s="5">
        <f>IF($B253&lt;=Tabla5[[#This Row],[INVERSIONES FCI]],+Tabla5[[#This Row],[INVERSIONES FCI]]-CD253,Tabla5[[#This Row],[INVERSIONES FCI]])</f>
        <v>2389757867.3497238</v>
      </c>
      <c r="CE254" s="5">
        <f>IF($B253&lt;=Tabla5[[#This Row],[INVERSIONES FCI]],+Tabla5[[#This Row],[INVERSIONES FCI]]-CE253,Tabla5[[#This Row],[INVERSIONES FCI]])</f>
        <v>2389757867.3497238</v>
      </c>
      <c r="CF254" s="5">
        <f>IF($B253&lt;=Tabla5[[#This Row],[INVERSIONES FCI]],+Tabla5[[#This Row],[INVERSIONES FCI]]-CF253,Tabla5[[#This Row],[INVERSIONES FCI]])</f>
        <v>2389757867.3497238</v>
      </c>
      <c r="CG254" s="5">
        <f>IF($B253&lt;=Tabla5[[#This Row],[INVERSIONES FCI]],+Tabla5[[#This Row],[INVERSIONES FCI]]-CG253,Tabla5[[#This Row],[INVERSIONES FCI]])</f>
        <v>2389757867.3497238</v>
      </c>
      <c r="CH254" s="5">
        <f>IF($B253&lt;=Tabla5[[#This Row],[INVERSIONES FCI]],+Tabla5[[#This Row],[INVERSIONES FCI]]-CH253,Tabla5[[#This Row],[INVERSIONES FCI]])</f>
        <v>2389757867.3497238</v>
      </c>
      <c r="CI254" s="5">
        <f>IF($B253&lt;=Tabla5[[#This Row],[INVERSIONES FCI]],+Tabla5[[#This Row],[INVERSIONES FCI]]-CI253,Tabla5[[#This Row],[INVERSIONES FCI]])</f>
        <v>2389757867.3497238</v>
      </c>
      <c r="CJ254" s="5">
        <f>IF($B253&lt;=Tabla5[[#This Row],[INVERSIONES FCI]],+Tabla5[[#This Row],[INVERSIONES FCI]]-CJ253,Tabla5[[#This Row],[INVERSIONES FCI]])</f>
        <v>2389757867.3497238</v>
      </c>
      <c r="CK254" s="5">
        <f>IF($B253&lt;=Tabla5[[#This Row],[INVERSIONES FCI]],+Tabla5[[#This Row],[INVERSIONES FCI]]-CK253,Tabla5[[#This Row],[INVERSIONES FCI]])</f>
        <v>2389757867.3497238</v>
      </c>
      <c r="CL254" s="5">
        <f>IF($B253&lt;=Tabla5[[#This Row],[INVERSIONES FCI]],+Tabla5[[#This Row],[INVERSIONES FCI]]-CL253,Tabla5[[#This Row],[INVERSIONES FCI]])</f>
        <v>2389757867.3497238</v>
      </c>
      <c r="CM254" s="5">
        <f>IF($B253&lt;=Tabla5[[#This Row],[INVERSIONES FCI]],+Tabla5[[#This Row],[INVERSIONES FCI]]-CM253,Tabla5[[#This Row],[INVERSIONES FCI]])</f>
        <v>2389757867.3497238</v>
      </c>
      <c r="CN254" s="5">
        <f>IF($B253&lt;=Tabla5[[#This Row],[INVERSIONES FCI]],+Tabla5[[#This Row],[INVERSIONES FCI]]-CN253,Tabla5[[#This Row],[INVERSIONES FCI]])</f>
        <v>2389757867.3497238</v>
      </c>
      <c r="CO254" s="5">
        <f>IF($B253&lt;=Tabla5[[#This Row],[INVERSIONES FCI]],+Tabla5[[#This Row],[INVERSIONES FCI]]-CO253,Tabla5[[#This Row],[INVERSIONES FCI]])</f>
        <v>2389757867.3497238</v>
      </c>
      <c r="CP254" s="5">
        <f>IF($B253&lt;=Tabla5[[#This Row],[INVERSIONES FCI]],+Tabla5[[#This Row],[INVERSIONES FCI]]-CP253,Tabla5[[#This Row],[INVERSIONES FCI]])</f>
        <v>2389757867.3497238</v>
      </c>
      <c r="CQ254" s="5">
        <f>IF($B253&lt;=Tabla5[[#This Row],[INVERSIONES FCI]],+Tabla5[[#This Row],[INVERSIONES FCI]]-CQ253,Tabla5[[#This Row],[INVERSIONES FCI]])</f>
        <v>2389757867.3497238</v>
      </c>
      <c r="CR254" s="5">
        <f>IF($B253&lt;=Tabla5[[#This Row],[INVERSIONES FCI]],+Tabla5[[#This Row],[INVERSIONES FCI]]-CR253,Tabla5[[#This Row],[INVERSIONES FCI]])</f>
        <v>2389757867.3497238</v>
      </c>
      <c r="CS254" s="5">
        <f>IF($B253&lt;=Tabla5[[#This Row],[INVERSIONES FCI]],+Tabla5[[#This Row],[INVERSIONES FCI]]-CS253,Tabla5[[#This Row],[INVERSIONES FCI]])</f>
        <v>2389757867.3497238</v>
      </c>
      <c r="CT254" s="5">
        <f>IF($B253&lt;=Tabla5[[#This Row],[INVERSIONES FCI]],+Tabla5[[#This Row],[INVERSIONES FCI]]-CT253,Tabla5[[#This Row],[INVERSIONES FCI]])</f>
        <v>2389757867.3497238</v>
      </c>
      <c r="CU254" s="5">
        <f>IF($B253&lt;=Tabla5[[#This Row],[INVERSIONES FCI]],+Tabla5[[#This Row],[INVERSIONES FCI]]-CU253,Tabla5[[#This Row],[INVERSIONES FCI]])</f>
        <v>2389757867.3497238</v>
      </c>
      <c r="CV254" s="5">
        <f>IF($B253&lt;=Tabla5[[#This Row],[INVERSIONES FCI]],+Tabla5[[#This Row],[INVERSIONES FCI]]-CV253,Tabla5[[#This Row],[INVERSIONES FCI]])</f>
        <v>2389757867.3497238</v>
      </c>
      <c r="CW254" s="5">
        <f>IF($B253&lt;=Tabla5[[#This Row],[INVERSIONES FCI]],+Tabla5[[#This Row],[INVERSIONES FCI]]-CW253,Tabla5[[#This Row],[INVERSIONES FCI]])</f>
        <v>2389757867.3497238</v>
      </c>
      <c r="CX254" s="5">
        <f>IF($B253&lt;=Tabla5[[#This Row],[INVERSIONES FCI]],+Tabla5[[#This Row],[INVERSIONES FCI]]-CX253,Tabla5[[#This Row],[INVERSIONES FCI]])</f>
        <v>2389757867.3497238</v>
      </c>
      <c r="CY254" s="5">
        <f>IF($B253&lt;=Tabla5[[#This Row],[INVERSIONES FCI]],+Tabla5[[#This Row],[INVERSIONES FCI]]-CY253,Tabla5[[#This Row],[INVERSIONES FCI]])</f>
        <v>2389757867.3497238</v>
      </c>
      <c r="CZ254" s="5">
        <f>IF($B253&lt;=Tabla5[[#This Row],[INVERSIONES FCI]],+Tabla5[[#This Row],[INVERSIONES FCI]]-CZ253,Tabla5[[#This Row],[INVERSIONES FCI]])</f>
        <v>2389757867.3497238</v>
      </c>
      <c r="DA254" s="5">
        <f>IF($B253&lt;=Tabla5[[#This Row],[INVERSIONES FCI]],+Tabla5[[#This Row],[INVERSIONES FCI]]-DA253,Tabla5[[#This Row],[INVERSIONES FCI]])</f>
        <v>2389757867.3497238</v>
      </c>
      <c r="DB254" s="5">
        <f>IF($B253&lt;=Tabla5[[#This Row],[INVERSIONES FCI]],+Tabla5[[#This Row],[INVERSIONES FCI]]-DB253,Tabla5[[#This Row],[INVERSIONES FCI]])</f>
        <v>2389757867.3497238</v>
      </c>
      <c r="DC254" s="5">
        <f>IF($B253&lt;=Tabla5[[#This Row],[INVERSIONES FCI]],+Tabla5[[#This Row],[INVERSIONES FCI]]-DC253,Tabla5[[#This Row],[INVERSIONES FCI]])</f>
        <v>2389757867.3497238</v>
      </c>
      <c r="DD254" s="5">
        <f>IF($B253&lt;=Tabla5[[#This Row],[INVERSIONES FCI]],+Tabla5[[#This Row],[INVERSIONES FCI]]-DD253,Tabla5[[#This Row],[INVERSIONES FCI]])</f>
        <v>2389757867.3497238</v>
      </c>
      <c r="DE254" s="5">
        <f>IF($B253&lt;=Tabla5[[#This Row],[INVERSIONES FCI]],+Tabla5[[#This Row],[INVERSIONES FCI]]-DE253,Tabla5[[#This Row],[INVERSIONES FCI]])</f>
        <v>2389757867.3497238</v>
      </c>
      <c r="DF254" s="5">
        <f>IF($B253&lt;=Tabla5[[#This Row],[INVERSIONES FCI]],+Tabla5[[#This Row],[INVERSIONES FCI]]-DF253,Tabla5[[#This Row],[INVERSIONES FCI]])</f>
        <v>2389757867.3497238</v>
      </c>
      <c r="DG254" s="5">
        <f>IF($B253&lt;=Tabla5[[#This Row],[INVERSIONES FCI]],+Tabla5[[#This Row],[INVERSIONES FCI]]-DG253,Tabla5[[#This Row],[INVERSIONES FCI]])</f>
        <v>2389757867.3497238</v>
      </c>
      <c r="DH254" s="5">
        <f>IF($B253&lt;=Tabla5[[#This Row],[INVERSIONES FCI]],+Tabla5[[#This Row],[INVERSIONES FCI]]-DH253,Tabla5[[#This Row],[INVERSIONES FCI]])</f>
        <v>2389757867.3497238</v>
      </c>
      <c r="DI254" s="5">
        <f>IF($B253&lt;=Tabla5[[#This Row],[INVERSIONES FCI]],+Tabla5[[#This Row],[INVERSIONES FCI]]-DI253,Tabla5[[#This Row],[INVERSIONES FCI]])</f>
        <v>2389757867.3497238</v>
      </c>
      <c r="DJ254" s="5">
        <f>IF($B253&lt;=Tabla5[[#This Row],[INVERSIONES FCI]],+Tabla5[[#This Row],[INVERSIONES FCI]]-DJ253,Tabla5[[#This Row],[INVERSIONES FCI]])</f>
        <v>2389757867.3497238</v>
      </c>
      <c r="DK254" s="5">
        <f>IF($B253&lt;=Tabla5[[#This Row],[INVERSIONES FCI]],+Tabla5[[#This Row],[INVERSIONES FCI]]-DK253,Tabla5[[#This Row],[INVERSIONES FCI]])</f>
        <v>2389757867.3497238</v>
      </c>
      <c r="DL254" s="5"/>
      <c r="DM254" s="5"/>
      <c r="DN254" s="5"/>
      <c r="DO254" s="5"/>
      <c r="DP254" s="5"/>
      <c r="DQ254" s="5"/>
    </row>
    <row r="255" spans="1:121" ht="14.4">
      <c r="A255" s="12" t="s">
        <v>254</v>
      </c>
      <c r="B255" s="5">
        <f>HLOOKUP($A255,ESCENARIO[#All],7,FALSE)</f>
        <v>51508959639.863838</v>
      </c>
      <c r="C255" s="5">
        <f>IF($B254&lt;=Tabla5[[#This Row],[INVERSIONES FCI]],+Tabla5[[#This Row],[INVERSIONES FCI]]-C254,Tabla5[[#This Row],[INVERSIONES FCI]])</f>
        <v>49119201772.514114</v>
      </c>
      <c r="D255" s="5">
        <f>IF($B254&lt;=Tabla5[[#This Row],[INVERSIONES FCI]],+Tabla5[[#This Row],[INVERSIONES FCI]]-D254,Tabla5[[#This Row],[INVERSIONES FCI]])</f>
        <v>49119201772.514114</v>
      </c>
      <c r="E255" s="5">
        <f>IF($B254&lt;=Tabla5[[#This Row],[INVERSIONES FCI]],+Tabla5[[#This Row],[INVERSIONES FCI]]-E254,Tabla5[[#This Row],[INVERSIONES FCI]])</f>
        <v>49119201772.514114</v>
      </c>
      <c r="F255" s="5">
        <f>IF($B254&lt;=Tabla5[[#This Row],[INVERSIONES FCI]],+Tabla5[[#This Row],[INVERSIONES FCI]]-F254,Tabla5[[#This Row],[INVERSIONES FCI]])</f>
        <v>49119201772.514114</v>
      </c>
      <c r="G255" s="5">
        <f>IF($B254&lt;=Tabla5[[#This Row],[INVERSIONES FCI]],+Tabla5[[#This Row],[INVERSIONES FCI]]-G254,Tabla5[[#This Row],[INVERSIONES FCI]])</f>
        <v>49119201772.514114</v>
      </c>
      <c r="H255" s="5">
        <f>IF($B254&lt;=Tabla5[[#This Row],[INVERSIONES FCI]],+Tabla5[[#This Row],[INVERSIONES FCI]]-H254,Tabla5[[#This Row],[INVERSIONES FCI]])</f>
        <v>49119201772.514114</v>
      </c>
      <c r="I255" s="5">
        <f>IF($B254&lt;=Tabla5[[#This Row],[INVERSIONES FCI]],+Tabla5[[#This Row],[INVERSIONES FCI]]-I254,Tabla5[[#This Row],[INVERSIONES FCI]])</f>
        <v>49119201772.514114</v>
      </c>
      <c r="J255" s="5">
        <f>IF($B254&lt;=Tabla5[[#This Row],[INVERSIONES FCI]],+Tabla5[[#This Row],[INVERSIONES FCI]]-J254,Tabla5[[#This Row],[INVERSIONES FCI]])</f>
        <v>49119201772.514114</v>
      </c>
      <c r="K255" s="5">
        <f>IF($B254&lt;=Tabla5[[#This Row],[INVERSIONES FCI]],+Tabla5[[#This Row],[INVERSIONES FCI]]-K254,Tabla5[[#This Row],[INVERSIONES FCI]])</f>
        <v>49119201772.514114</v>
      </c>
      <c r="L255" s="5">
        <f>IF($B254&lt;=Tabla5[[#This Row],[INVERSIONES FCI]],+Tabla5[[#This Row],[INVERSIONES FCI]]-L254,Tabla5[[#This Row],[INVERSIONES FCI]])</f>
        <v>49119201772.514114</v>
      </c>
      <c r="M255" s="5">
        <f>IF($B254&lt;=Tabla5[[#This Row],[INVERSIONES FCI]],+Tabla5[[#This Row],[INVERSIONES FCI]]-M254,Tabla5[[#This Row],[INVERSIONES FCI]])</f>
        <v>49119201772.514114</v>
      </c>
      <c r="N255" s="5">
        <f>IF($B254&lt;=Tabla5[[#This Row],[INVERSIONES FCI]],+Tabla5[[#This Row],[INVERSIONES FCI]]-N254,Tabla5[[#This Row],[INVERSIONES FCI]])</f>
        <v>49119201772.514114</v>
      </c>
      <c r="O255" s="5">
        <f>IF($B254&lt;=Tabla5[[#This Row],[INVERSIONES FCI]],+Tabla5[[#This Row],[INVERSIONES FCI]]-O254,Tabla5[[#This Row],[INVERSIONES FCI]])</f>
        <v>49119201772.514114</v>
      </c>
      <c r="P255" s="5">
        <f>IF($B254&lt;=Tabla5[[#This Row],[INVERSIONES FCI]],+Tabla5[[#This Row],[INVERSIONES FCI]]-P254,Tabla5[[#This Row],[INVERSIONES FCI]])</f>
        <v>49119201772.514114</v>
      </c>
      <c r="Q255" s="5">
        <f>IF($B254&lt;=Tabla5[[#This Row],[INVERSIONES FCI]],+Tabla5[[#This Row],[INVERSIONES FCI]]-Q254,Tabla5[[#This Row],[INVERSIONES FCI]])</f>
        <v>49119201772.514114</v>
      </c>
      <c r="R255" s="5">
        <f>IF($B254&lt;=Tabla5[[#This Row],[INVERSIONES FCI]],+Tabla5[[#This Row],[INVERSIONES FCI]]-R254,Tabla5[[#This Row],[INVERSIONES FCI]])</f>
        <v>49119201772.514114</v>
      </c>
      <c r="S255" s="5">
        <f>IF($B254&lt;=Tabla5[[#This Row],[INVERSIONES FCI]],+Tabla5[[#This Row],[INVERSIONES FCI]]-S254,Tabla5[[#This Row],[INVERSIONES FCI]])</f>
        <v>49119201772.514114</v>
      </c>
      <c r="T255" s="5">
        <f>IF($B254&lt;=Tabla5[[#This Row],[INVERSIONES FCI]],+Tabla5[[#This Row],[INVERSIONES FCI]]-T254,Tabla5[[#This Row],[INVERSIONES FCI]])</f>
        <v>49119201772.514114</v>
      </c>
      <c r="U255" s="5">
        <f>IF($B254&lt;=Tabla5[[#This Row],[INVERSIONES FCI]],+Tabla5[[#This Row],[INVERSIONES FCI]]-U254,Tabla5[[#This Row],[INVERSIONES FCI]])</f>
        <v>49119201772.514114</v>
      </c>
      <c r="V255" s="5">
        <f>IF($B254&lt;=Tabla5[[#This Row],[INVERSIONES FCI]],+Tabla5[[#This Row],[INVERSIONES FCI]]-V254,Tabla5[[#This Row],[INVERSIONES FCI]])</f>
        <v>49119201772.514114</v>
      </c>
      <c r="W255" s="5">
        <f>IF($B254&lt;=Tabla5[[#This Row],[INVERSIONES FCI]],+Tabla5[[#This Row],[INVERSIONES FCI]]-W254,Tabla5[[#This Row],[INVERSIONES FCI]])</f>
        <v>49119201772.514114</v>
      </c>
      <c r="X255" s="5">
        <f>IF($B254&lt;=Tabla5[[#This Row],[INVERSIONES FCI]],+Tabla5[[#This Row],[INVERSIONES FCI]]-X254,Tabla5[[#This Row],[INVERSIONES FCI]])</f>
        <v>49119201772.514114</v>
      </c>
      <c r="Y255" s="5">
        <f>IF($B254&lt;=Tabla5[[#This Row],[INVERSIONES FCI]],+Tabla5[[#This Row],[INVERSIONES FCI]]-Y254,Tabla5[[#This Row],[INVERSIONES FCI]])</f>
        <v>49119201772.514114</v>
      </c>
      <c r="Z255" s="5">
        <f>IF($B254&lt;=Tabla5[[#This Row],[INVERSIONES FCI]],+Tabla5[[#This Row],[INVERSIONES FCI]]-Z254,Tabla5[[#This Row],[INVERSIONES FCI]])</f>
        <v>49119201772.514114</v>
      </c>
      <c r="AA255" s="5">
        <f>IF($B254&lt;=Tabla5[[#This Row],[INVERSIONES FCI]],+Tabla5[[#This Row],[INVERSIONES FCI]]-AA254,Tabla5[[#This Row],[INVERSIONES FCI]])</f>
        <v>49119201772.514114</v>
      </c>
      <c r="AB255" s="5">
        <f>IF($B254&lt;=Tabla5[[#This Row],[INVERSIONES FCI]],+Tabla5[[#This Row],[INVERSIONES FCI]]-AB254,Tabla5[[#This Row],[INVERSIONES FCI]])</f>
        <v>49119201772.514114</v>
      </c>
      <c r="AC255" s="5">
        <f>IF($B254&lt;=Tabla5[[#This Row],[INVERSIONES FCI]],+Tabla5[[#This Row],[INVERSIONES FCI]]-AC254,Tabla5[[#This Row],[INVERSIONES FCI]])</f>
        <v>49119201772.514114</v>
      </c>
      <c r="AD255" s="5">
        <f>IF($B254&lt;=Tabla5[[#This Row],[INVERSIONES FCI]],+Tabla5[[#This Row],[INVERSIONES FCI]]-AD254,Tabla5[[#This Row],[INVERSIONES FCI]])</f>
        <v>49119201772.514114</v>
      </c>
      <c r="AE255" s="5">
        <f>IF($B254&lt;=Tabla5[[#This Row],[INVERSIONES FCI]],+Tabla5[[#This Row],[INVERSIONES FCI]]-AE254,Tabla5[[#This Row],[INVERSIONES FCI]])</f>
        <v>49119201772.514114</v>
      </c>
      <c r="AF255" s="5">
        <f>IF($B254&lt;=Tabla5[[#This Row],[INVERSIONES FCI]],+Tabla5[[#This Row],[INVERSIONES FCI]]-AF254,Tabla5[[#This Row],[INVERSIONES FCI]])</f>
        <v>49119201772.514114</v>
      </c>
      <c r="AG255" s="5">
        <f>IF($B254&lt;=Tabla5[[#This Row],[INVERSIONES FCI]],+Tabla5[[#This Row],[INVERSIONES FCI]]-AG254,Tabla5[[#This Row],[INVERSIONES FCI]])</f>
        <v>49119201772.514114</v>
      </c>
      <c r="AH255" s="5">
        <f>IF($B254&lt;=Tabla5[[#This Row],[INVERSIONES FCI]],+Tabla5[[#This Row],[INVERSIONES FCI]]-AH254,Tabla5[[#This Row],[INVERSIONES FCI]])</f>
        <v>49119201772.514114</v>
      </c>
      <c r="AI255" s="5">
        <f>IF($B254&lt;=Tabla5[[#This Row],[INVERSIONES FCI]],+Tabla5[[#This Row],[INVERSIONES FCI]]-AI254,Tabla5[[#This Row],[INVERSIONES FCI]])</f>
        <v>49119201772.514114</v>
      </c>
      <c r="AJ255" s="5">
        <f>IF($B254&lt;=Tabla5[[#This Row],[INVERSIONES FCI]],+Tabla5[[#This Row],[INVERSIONES FCI]]-AJ254,Tabla5[[#This Row],[INVERSIONES FCI]])</f>
        <v>49119201772.514114</v>
      </c>
      <c r="AK255" s="5">
        <f>IF($B254&lt;=Tabla5[[#This Row],[INVERSIONES FCI]],+Tabla5[[#This Row],[INVERSIONES FCI]]-AK254,Tabla5[[#This Row],[INVERSIONES FCI]])</f>
        <v>49119201772.514114</v>
      </c>
      <c r="AL255" s="5">
        <f>IF($B254&lt;=Tabla5[[#This Row],[INVERSIONES FCI]],+Tabla5[[#This Row],[INVERSIONES FCI]]-AL254,Tabla5[[#This Row],[INVERSIONES FCI]])</f>
        <v>49119201772.514114</v>
      </c>
      <c r="AM255" s="5">
        <f>IF($B254&lt;=Tabla5[[#This Row],[INVERSIONES FCI]],+Tabla5[[#This Row],[INVERSIONES FCI]]-AM254,Tabla5[[#This Row],[INVERSIONES FCI]])</f>
        <v>49119201772.514114</v>
      </c>
      <c r="AN255" s="5">
        <f>IF($B254&lt;=Tabla5[[#This Row],[INVERSIONES FCI]],+Tabla5[[#This Row],[INVERSIONES FCI]]-AN254,Tabla5[[#This Row],[INVERSIONES FCI]])</f>
        <v>49119201772.514114</v>
      </c>
      <c r="AO255" s="5">
        <f>IF($B254&lt;=Tabla5[[#This Row],[INVERSIONES FCI]],+Tabla5[[#This Row],[INVERSIONES FCI]]-AO254,Tabla5[[#This Row],[INVERSIONES FCI]])</f>
        <v>49119201772.514114</v>
      </c>
      <c r="AP255" s="5">
        <f>IF($B254&lt;=Tabla5[[#This Row],[INVERSIONES FCI]],+Tabla5[[#This Row],[INVERSIONES FCI]]-AP254,Tabla5[[#This Row],[INVERSIONES FCI]])</f>
        <v>49119201772.514114</v>
      </c>
      <c r="AQ255" s="5">
        <f>IF($B254&lt;=Tabla5[[#This Row],[INVERSIONES FCI]],+Tabla5[[#This Row],[INVERSIONES FCI]]-AQ254,Tabla5[[#This Row],[INVERSIONES FCI]])</f>
        <v>49119201772.514114</v>
      </c>
      <c r="AR255" s="5">
        <f>IF($B254&lt;=Tabla5[[#This Row],[INVERSIONES FCI]],+Tabla5[[#This Row],[INVERSIONES FCI]]-AR254,Tabla5[[#This Row],[INVERSIONES FCI]])</f>
        <v>49119201772.514114</v>
      </c>
      <c r="AS255" s="5">
        <f>IF($B254&lt;=Tabla5[[#This Row],[INVERSIONES FCI]],+Tabla5[[#This Row],[INVERSIONES FCI]]-AS254,Tabla5[[#This Row],[INVERSIONES FCI]])</f>
        <v>49119201772.514114</v>
      </c>
      <c r="AT255" s="5">
        <f>IF($B254&lt;=Tabla5[[#This Row],[INVERSIONES FCI]],+Tabla5[[#This Row],[INVERSIONES FCI]]-AT254,Tabla5[[#This Row],[INVERSIONES FCI]])</f>
        <v>49119201772.514114</v>
      </c>
      <c r="AU255" s="5">
        <f>IF($B254&lt;=Tabla5[[#This Row],[INVERSIONES FCI]],+Tabla5[[#This Row],[INVERSIONES FCI]]-AU254,Tabla5[[#This Row],[INVERSIONES FCI]])</f>
        <v>49119201772.514114</v>
      </c>
      <c r="AV255" s="5">
        <f>IF($B254&lt;=Tabla5[[#This Row],[INVERSIONES FCI]],+Tabla5[[#This Row],[INVERSIONES FCI]]-AV254,Tabla5[[#This Row],[INVERSIONES FCI]])</f>
        <v>49119201772.514114</v>
      </c>
      <c r="AW255" s="5">
        <f>IF($B254&lt;=Tabla5[[#This Row],[INVERSIONES FCI]],+Tabla5[[#This Row],[INVERSIONES FCI]]-AW254,Tabla5[[#This Row],[INVERSIONES FCI]])</f>
        <v>49119201772.514114</v>
      </c>
      <c r="AX255" s="5">
        <f>IF($B254&lt;=Tabla5[[#This Row],[INVERSIONES FCI]],+Tabla5[[#This Row],[INVERSIONES FCI]]-AX254,Tabla5[[#This Row],[INVERSIONES FCI]])</f>
        <v>49119201772.514114</v>
      </c>
      <c r="AY255" s="5">
        <f>IF($B254&lt;=Tabla5[[#This Row],[INVERSIONES FCI]],+Tabla5[[#This Row],[INVERSIONES FCI]]-AY254,Tabla5[[#This Row],[INVERSIONES FCI]])</f>
        <v>49119201772.514114</v>
      </c>
      <c r="AZ255" s="5">
        <f>IF($B254&lt;=Tabla5[[#This Row],[INVERSIONES FCI]],+Tabla5[[#This Row],[INVERSIONES FCI]]-AZ254,Tabla5[[#This Row],[INVERSIONES FCI]])</f>
        <v>49119201772.514114</v>
      </c>
      <c r="BA255" s="5">
        <f>IF($B254&lt;=Tabla5[[#This Row],[INVERSIONES FCI]],+Tabla5[[#This Row],[INVERSIONES FCI]]-BA254,Tabla5[[#This Row],[INVERSIONES FCI]])</f>
        <v>49119201772.514114</v>
      </c>
      <c r="BB255" s="5">
        <f>IF($B254&lt;=Tabla5[[#This Row],[INVERSIONES FCI]],+Tabla5[[#This Row],[INVERSIONES FCI]]-BB254,Tabla5[[#This Row],[INVERSIONES FCI]])</f>
        <v>49119201772.514114</v>
      </c>
      <c r="BC255" s="5">
        <f>IF($B254&lt;=Tabla5[[#This Row],[INVERSIONES FCI]],+Tabla5[[#This Row],[INVERSIONES FCI]]-BC254,Tabla5[[#This Row],[INVERSIONES FCI]])</f>
        <v>49119201772.514114</v>
      </c>
      <c r="BD255" s="5">
        <f>IF($B254&lt;=Tabla5[[#This Row],[INVERSIONES FCI]],+Tabla5[[#This Row],[INVERSIONES FCI]]-BD254,Tabla5[[#This Row],[INVERSIONES FCI]])</f>
        <v>49119201772.514114</v>
      </c>
      <c r="BE255" s="5">
        <f>IF($B254&lt;=Tabla5[[#This Row],[INVERSIONES FCI]],+Tabla5[[#This Row],[INVERSIONES FCI]]-BE254,Tabla5[[#This Row],[INVERSIONES FCI]])</f>
        <v>49119201772.514114</v>
      </c>
      <c r="BF255" s="5">
        <f>IF($B254&lt;=Tabla5[[#This Row],[INVERSIONES FCI]],+Tabla5[[#This Row],[INVERSIONES FCI]]-BF254,Tabla5[[#This Row],[INVERSIONES FCI]])</f>
        <v>49119201772.514114</v>
      </c>
      <c r="BG255" s="5">
        <f>IF($B254&lt;=Tabla5[[#This Row],[INVERSIONES FCI]],+Tabla5[[#This Row],[INVERSIONES FCI]]-BG254,Tabla5[[#This Row],[INVERSIONES FCI]])</f>
        <v>49119201772.514114</v>
      </c>
      <c r="BH255" s="5">
        <f>IF($B254&lt;=Tabla5[[#This Row],[INVERSIONES FCI]],+Tabla5[[#This Row],[INVERSIONES FCI]]-BH254,Tabla5[[#This Row],[INVERSIONES FCI]])</f>
        <v>49119201772.514114</v>
      </c>
      <c r="BI255" s="5">
        <f>IF($B254&lt;=Tabla5[[#This Row],[INVERSIONES FCI]],+Tabla5[[#This Row],[INVERSIONES FCI]]-BI254,Tabla5[[#This Row],[INVERSIONES FCI]])</f>
        <v>49119201772.514114</v>
      </c>
      <c r="BJ255" s="5">
        <f>IF($B254&lt;=Tabla5[[#This Row],[INVERSIONES FCI]],+Tabla5[[#This Row],[INVERSIONES FCI]]-BJ254,Tabla5[[#This Row],[INVERSIONES FCI]])</f>
        <v>49119201772.514114</v>
      </c>
      <c r="BK255" s="5">
        <f>IF($B254&lt;=Tabla5[[#This Row],[INVERSIONES FCI]],+Tabla5[[#This Row],[INVERSIONES FCI]]-BK254,Tabla5[[#This Row],[INVERSIONES FCI]])</f>
        <v>49119201772.514114</v>
      </c>
      <c r="BL255" s="5">
        <f>IF($B254&lt;=Tabla5[[#This Row],[INVERSIONES FCI]],+Tabla5[[#This Row],[INVERSIONES FCI]]-BL254,Tabla5[[#This Row],[INVERSIONES FCI]])</f>
        <v>49119201772.514114</v>
      </c>
      <c r="BM255" s="5">
        <f>IF($B254&lt;=Tabla5[[#This Row],[INVERSIONES FCI]],+Tabla5[[#This Row],[INVERSIONES FCI]]-BM254,Tabla5[[#This Row],[INVERSIONES FCI]])</f>
        <v>49119201772.514114</v>
      </c>
      <c r="BN255" s="5">
        <f>IF($B254&lt;=Tabla5[[#This Row],[INVERSIONES FCI]],+Tabla5[[#This Row],[INVERSIONES FCI]]-BN254,Tabla5[[#This Row],[INVERSIONES FCI]])</f>
        <v>49119201772.514114</v>
      </c>
      <c r="BO255" s="5">
        <f>IF($B254&lt;=Tabla5[[#This Row],[INVERSIONES FCI]],+Tabla5[[#This Row],[INVERSIONES FCI]]-BO254,Tabla5[[#This Row],[INVERSIONES FCI]])</f>
        <v>49119201772.514114</v>
      </c>
      <c r="BP255" s="5">
        <f>IF($B254&lt;=Tabla5[[#This Row],[INVERSIONES FCI]],+Tabla5[[#This Row],[INVERSIONES FCI]]-BP254,Tabla5[[#This Row],[INVERSIONES FCI]])</f>
        <v>49119201772.514114</v>
      </c>
      <c r="BQ255" s="5">
        <f>IF($B254&lt;=Tabla5[[#This Row],[INVERSIONES FCI]],+Tabla5[[#This Row],[INVERSIONES FCI]]-BQ254,Tabla5[[#This Row],[INVERSIONES FCI]])</f>
        <v>49119201772.514114</v>
      </c>
      <c r="BR255" s="5">
        <f>IF($B254&lt;=Tabla5[[#This Row],[INVERSIONES FCI]],+Tabla5[[#This Row],[INVERSIONES FCI]]-BR254,Tabla5[[#This Row],[INVERSIONES FCI]])</f>
        <v>49119201772.514114</v>
      </c>
      <c r="BS255" s="5">
        <f>IF($B254&lt;=Tabla5[[#This Row],[INVERSIONES FCI]],+Tabla5[[#This Row],[INVERSIONES FCI]]-BS254,Tabla5[[#This Row],[INVERSIONES FCI]])</f>
        <v>49119201772.514114</v>
      </c>
      <c r="BT255" s="5">
        <f>IF($B254&lt;=Tabla5[[#This Row],[INVERSIONES FCI]],+Tabla5[[#This Row],[INVERSIONES FCI]]-BT254,Tabla5[[#This Row],[INVERSIONES FCI]])</f>
        <v>49119201772.514114</v>
      </c>
      <c r="BU255" s="5">
        <f>IF($B254&lt;=Tabla5[[#This Row],[INVERSIONES FCI]],+Tabla5[[#This Row],[INVERSIONES FCI]]-BU254,Tabla5[[#This Row],[INVERSIONES FCI]])</f>
        <v>49119201772.514114</v>
      </c>
      <c r="BV255" s="5">
        <f>IF($B254&lt;=Tabla5[[#This Row],[INVERSIONES FCI]],+Tabla5[[#This Row],[INVERSIONES FCI]]-BV254,Tabla5[[#This Row],[INVERSIONES FCI]])</f>
        <v>49119201772.514114</v>
      </c>
      <c r="BW255" s="5">
        <f>IF($B254&lt;=Tabla5[[#This Row],[INVERSIONES FCI]],+Tabla5[[#This Row],[INVERSIONES FCI]]-BW254,Tabla5[[#This Row],[INVERSIONES FCI]])</f>
        <v>49119201772.514114</v>
      </c>
      <c r="BX255" s="5">
        <f>IF($B254&lt;=Tabla5[[#This Row],[INVERSIONES FCI]],+Tabla5[[#This Row],[INVERSIONES FCI]]-BX254,Tabla5[[#This Row],[INVERSIONES FCI]])</f>
        <v>49119201772.514114</v>
      </c>
      <c r="BY255" s="5">
        <f>IF($B254&lt;=Tabla5[[#This Row],[INVERSIONES FCI]],+Tabla5[[#This Row],[INVERSIONES FCI]]-BY254,Tabla5[[#This Row],[INVERSIONES FCI]])</f>
        <v>49119201772.514114</v>
      </c>
      <c r="BZ255" s="5">
        <f>IF($B254&lt;=Tabla5[[#This Row],[INVERSIONES FCI]],+Tabla5[[#This Row],[INVERSIONES FCI]]-BZ254,Tabla5[[#This Row],[INVERSIONES FCI]])</f>
        <v>49119201772.514114</v>
      </c>
      <c r="CA255" s="5">
        <f>IF($B254&lt;=Tabla5[[#This Row],[INVERSIONES FCI]],+Tabla5[[#This Row],[INVERSIONES FCI]]-CA254,Tabla5[[#This Row],[INVERSIONES FCI]])</f>
        <v>49119201772.514114</v>
      </c>
      <c r="CB255" s="5">
        <f>IF($B254&lt;=Tabla5[[#This Row],[INVERSIONES FCI]],+Tabla5[[#This Row],[INVERSIONES FCI]]-CB254,Tabla5[[#This Row],[INVERSIONES FCI]])</f>
        <v>49119201772.514114</v>
      </c>
      <c r="CC255" s="5">
        <f>IF($B254&lt;=Tabla5[[#This Row],[INVERSIONES FCI]],+Tabla5[[#This Row],[INVERSIONES FCI]]-CC254,Tabla5[[#This Row],[INVERSIONES FCI]])</f>
        <v>49119201772.514114</v>
      </c>
      <c r="CD255" s="5">
        <f>IF($B254&lt;=Tabla5[[#This Row],[INVERSIONES FCI]],+Tabla5[[#This Row],[INVERSIONES FCI]]-CD254,Tabla5[[#This Row],[INVERSIONES FCI]])</f>
        <v>49119201772.514114</v>
      </c>
      <c r="CE255" s="5">
        <f>IF($B254&lt;=Tabla5[[#This Row],[INVERSIONES FCI]],+Tabla5[[#This Row],[INVERSIONES FCI]]-CE254,Tabla5[[#This Row],[INVERSIONES FCI]])</f>
        <v>49119201772.514114</v>
      </c>
      <c r="CF255" s="5">
        <f>IF($B254&lt;=Tabla5[[#This Row],[INVERSIONES FCI]],+Tabla5[[#This Row],[INVERSIONES FCI]]-CF254,Tabla5[[#This Row],[INVERSIONES FCI]])</f>
        <v>49119201772.514114</v>
      </c>
      <c r="CG255" s="5">
        <f>IF($B254&lt;=Tabla5[[#This Row],[INVERSIONES FCI]],+Tabla5[[#This Row],[INVERSIONES FCI]]-CG254,Tabla5[[#This Row],[INVERSIONES FCI]])</f>
        <v>49119201772.514114</v>
      </c>
      <c r="CH255" s="5">
        <f>IF($B254&lt;=Tabla5[[#This Row],[INVERSIONES FCI]],+Tabla5[[#This Row],[INVERSIONES FCI]]-CH254,Tabla5[[#This Row],[INVERSIONES FCI]])</f>
        <v>49119201772.514114</v>
      </c>
      <c r="CI255" s="5">
        <f>IF($B254&lt;=Tabla5[[#This Row],[INVERSIONES FCI]],+Tabla5[[#This Row],[INVERSIONES FCI]]-CI254,Tabla5[[#This Row],[INVERSIONES FCI]])</f>
        <v>49119201772.514114</v>
      </c>
      <c r="CJ255" s="5">
        <f>IF($B254&lt;=Tabla5[[#This Row],[INVERSIONES FCI]],+Tabla5[[#This Row],[INVERSIONES FCI]]-CJ254,Tabla5[[#This Row],[INVERSIONES FCI]])</f>
        <v>49119201772.514114</v>
      </c>
      <c r="CK255" s="5">
        <f>IF($B254&lt;=Tabla5[[#This Row],[INVERSIONES FCI]],+Tabla5[[#This Row],[INVERSIONES FCI]]-CK254,Tabla5[[#This Row],[INVERSIONES FCI]])</f>
        <v>49119201772.514114</v>
      </c>
      <c r="CL255" s="5">
        <f>IF($B254&lt;=Tabla5[[#This Row],[INVERSIONES FCI]],+Tabla5[[#This Row],[INVERSIONES FCI]]-CL254,Tabla5[[#This Row],[INVERSIONES FCI]])</f>
        <v>49119201772.514114</v>
      </c>
      <c r="CM255" s="5">
        <f>IF($B254&lt;=Tabla5[[#This Row],[INVERSIONES FCI]],+Tabla5[[#This Row],[INVERSIONES FCI]]-CM254,Tabla5[[#This Row],[INVERSIONES FCI]])</f>
        <v>49119201772.514114</v>
      </c>
      <c r="CN255" s="5">
        <f>IF($B254&lt;=Tabla5[[#This Row],[INVERSIONES FCI]],+Tabla5[[#This Row],[INVERSIONES FCI]]-CN254,Tabla5[[#This Row],[INVERSIONES FCI]])</f>
        <v>49119201772.514114</v>
      </c>
      <c r="CO255" s="5">
        <f>IF($B254&lt;=Tabla5[[#This Row],[INVERSIONES FCI]],+Tabla5[[#This Row],[INVERSIONES FCI]]-CO254,Tabla5[[#This Row],[INVERSIONES FCI]])</f>
        <v>49119201772.514114</v>
      </c>
      <c r="CP255" s="5">
        <f>IF($B254&lt;=Tabla5[[#This Row],[INVERSIONES FCI]],+Tabla5[[#This Row],[INVERSIONES FCI]]-CP254,Tabla5[[#This Row],[INVERSIONES FCI]])</f>
        <v>49119201772.514114</v>
      </c>
      <c r="CQ255" s="5">
        <f>IF($B254&lt;=Tabla5[[#This Row],[INVERSIONES FCI]],+Tabla5[[#This Row],[INVERSIONES FCI]]-CQ254,Tabla5[[#This Row],[INVERSIONES FCI]])</f>
        <v>49119201772.514114</v>
      </c>
      <c r="CR255" s="5">
        <f>IF($B254&lt;=Tabla5[[#This Row],[INVERSIONES FCI]],+Tabla5[[#This Row],[INVERSIONES FCI]]-CR254,Tabla5[[#This Row],[INVERSIONES FCI]])</f>
        <v>49119201772.514114</v>
      </c>
      <c r="CS255" s="5">
        <f>IF($B254&lt;=Tabla5[[#This Row],[INVERSIONES FCI]],+Tabla5[[#This Row],[INVERSIONES FCI]]-CS254,Tabla5[[#This Row],[INVERSIONES FCI]])</f>
        <v>49119201772.514114</v>
      </c>
      <c r="CT255" s="5">
        <f>IF($B254&lt;=Tabla5[[#This Row],[INVERSIONES FCI]],+Tabla5[[#This Row],[INVERSIONES FCI]]-CT254,Tabla5[[#This Row],[INVERSIONES FCI]])</f>
        <v>49119201772.514114</v>
      </c>
      <c r="CU255" s="5">
        <f>IF($B254&lt;=Tabla5[[#This Row],[INVERSIONES FCI]],+Tabla5[[#This Row],[INVERSIONES FCI]]-CU254,Tabla5[[#This Row],[INVERSIONES FCI]])</f>
        <v>49119201772.514114</v>
      </c>
      <c r="CV255" s="5">
        <f>IF($B254&lt;=Tabla5[[#This Row],[INVERSIONES FCI]],+Tabla5[[#This Row],[INVERSIONES FCI]]-CV254,Tabla5[[#This Row],[INVERSIONES FCI]])</f>
        <v>49119201772.514114</v>
      </c>
      <c r="CW255" s="5">
        <f>IF($B254&lt;=Tabla5[[#This Row],[INVERSIONES FCI]],+Tabla5[[#This Row],[INVERSIONES FCI]]-CW254,Tabla5[[#This Row],[INVERSIONES FCI]])</f>
        <v>49119201772.514114</v>
      </c>
      <c r="CX255" s="5">
        <f>IF($B254&lt;=Tabla5[[#This Row],[INVERSIONES FCI]],+Tabla5[[#This Row],[INVERSIONES FCI]]-CX254,Tabla5[[#This Row],[INVERSIONES FCI]])</f>
        <v>49119201772.514114</v>
      </c>
      <c r="CY255" s="5">
        <f>IF($B254&lt;=Tabla5[[#This Row],[INVERSIONES FCI]],+Tabla5[[#This Row],[INVERSIONES FCI]]-CY254,Tabla5[[#This Row],[INVERSIONES FCI]])</f>
        <v>49119201772.514114</v>
      </c>
      <c r="CZ255" s="5">
        <f>IF($B254&lt;=Tabla5[[#This Row],[INVERSIONES FCI]],+Tabla5[[#This Row],[INVERSIONES FCI]]-CZ254,Tabla5[[#This Row],[INVERSIONES FCI]])</f>
        <v>49119201772.514114</v>
      </c>
      <c r="DA255" s="5">
        <f>IF($B254&lt;=Tabla5[[#This Row],[INVERSIONES FCI]],+Tabla5[[#This Row],[INVERSIONES FCI]]-DA254,Tabla5[[#This Row],[INVERSIONES FCI]])</f>
        <v>49119201772.514114</v>
      </c>
      <c r="DB255" s="5">
        <f>IF($B254&lt;=Tabla5[[#This Row],[INVERSIONES FCI]],+Tabla5[[#This Row],[INVERSIONES FCI]]-DB254,Tabla5[[#This Row],[INVERSIONES FCI]])</f>
        <v>49119201772.514114</v>
      </c>
      <c r="DC255" s="5">
        <f>IF($B254&lt;=Tabla5[[#This Row],[INVERSIONES FCI]],+Tabla5[[#This Row],[INVERSIONES FCI]]-DC254,Tabla5[[#This Row],[INVERSIONES FCI]])</f>
        <v>49119201772.514114</v>
      </c>
      <c r="DD255" s="5">
        <f>IF($B254&lt;=Tabla5[[#This Row],[INVERSIONES FCI]],+Tabla5[[#This Row],[INVERSIONES FCI]]-DD254,Tabla5[[#This Row],[INVERSIONES FCI]])</f>
        <v>49119201772.514114</v>
      </c>
      <c r="DE255" s="5">
        <f>IF($B254&lt;=Tabla5[[#This Row],[INVERSIONES FCI]],+Tabla5[[#This Row],[INVERSIONES FCI]]-DE254,Tabla5[[#This Row],[INVERSIONES FCI]])</f>
        <v>49119201772.514114</v>
      </c>
      <c r="DF255" s="5">
        <f>IF($B254&lt;=Tabla5[[#This Row],[INVERSIONES FCI]],+Tabla5[[#This Row],[INVERSIONES FCI]]-DF254,Tabla5[[#This Row],[INVERSIONES FCI]])</f>
        <v>49119201772.514114</v>
      </c>
      <c r="DG255" s="5">
        <f>IF($B254&lt;=Tabla5[[#This Row],[INVERSIONES FCI]],+Tabla5[[#This Row],[INVERSIONES FCI]]-DG254,Tabla5[[#This Row],[INVERSIONES FCI]])</f>
        <v>49119201772.514114</v>
      </c>
      <c r="DH255" s="5">
        <f>IF($B254&lt;=Tabla5[[#This Row],[INVERSIONES FCI]],+Tabla5[[#This Row],[INVERSIONES FCI]]-DH254,Tabla5[[#This Row],[INVERSIONES FCI]])</f>
        <v>49119201772.514114</v>
      </c>
      <c r="DI255" s="5">
        <f>IF($B254&lt;=Tabla5[[#This Row],[INVERSIONES FCI]],+Tabla5[[#This Row],[INVERSIONES FCI]]-DI254,Tabla5[[#This Row],[INVERSIONES FCI]])</f>
        <v>49119201772.514114</v>
      </c>
      <c r="DJ255" s="5">
        <f>IF($B254&lt;=Tabla5[[#This Row],[INVERSIONES FCI]],+Tabla5[[#This Row],[INVERSIONES FCI]]-DJ254,Tabla5[[#This Row],[INVERSIONES FCI]])</f>
        <v>49119201772.514114</v>
      </c>
      <c r="DK255" s="5">
        <f>IF($B254&lt;=Tabla5[[#This Row],[INVERSIONES FCI]],+Tabla5[[#This Row],[INVERSIONES FCI]]-DK254,Tabla5[[#This Row],[INVERSIONES FCI]])</f>
        <v>49119201772.514114</v>
      </c>
      <c r="DL255" s="5"/>
      <c r="DM255" s="5"/>
      <c r="DN255" s="5"/>
      <c r="DO255" s="5"/>
      <c r="DP255" s="5"/>
      <c r="DQ255" s="5"/>
    </row>
    <row r="256" spans="1:121" ht="14.4">
      <c r="A256" s="12" t="s">
        <v>255</v>
      </c>
      <c r="B256" s="5">
        <f>HLOOKUP($A256,ESCENARIO[#All],7,FALSE)</f>
        <v>50406959639.863838</v>
      </c>
      <c r="C256" s="5">
        <f>IF($B255&lt;=Tabla5[[#This Row],[INVERSIONES FCI]],+Tabla5[[#This Row],[INVERSIONES FCI]]-C255,Tabla5[[#This Row],[INVERSIONES FCI]])</f>
        <v>50406959639.863838</v>
      </c>
      <c r="D256" s="5">
        <f>IF($B255&lt;=Tabla5[[#This Row],[INVERSIONES FCI]],+Tabla5[[#This Row],[INVERSIONES FCI]]-D255,Tabla5[[#This Row],[INVERSIONES FCI]])</f>
        <v>50406959639.863838</v>
      </c>
      <c r="E256" s="5">
        <f>IF($B255&lt;=Tabla5[[#This Row],[INVERSIONES FCI]],+Tabla5[[#This Row],[INVERSIONES FCI]]-E255,Tabla5[[#This Row],[INVERSIONES FCI]])</f>
        <v>50406959639.863838</v>
      </c>
      <c r="F256" s="5">
        <f>IF($B255&lt;=Tabla5[[#This Row],[INVERSIONES FCI]],+Tabla5[[#This Row],[INVERSIONES FCI]]-F255,Tabla5[[#This Row],[INVERSIONES FCI]])</f>
        <v>50406959639.863838</v>
      </c>
      <c r="G256" s="5">
        <f>IF($B255&lt;=Tabla5[[#This Row],[INVERSIONES FCI]],+Tabla5[[#This Row],[INVERSIONES FCI]]-G255,Tabla5[[#This Row],[INVERSIONES FCI]])</f>
        <v>50406959639.863838</v>
      </c>
      <c r="H256" s="5">
        <f>IF($B255&lt;=Tabla5[[#This Row],[INVERSIONES FCI]],+Tabla5[[#This Row],[INVERSIONES FCI]]-H255,Tabla5[[#This Row],[INVERSIONES FCI]])</f>
        <v>50406959639.863838</v>
      </c>
      <c r="I256" s="5">
        <f>IF($B255&lt;=Tabla5[[#This Row],[INVERSIONES FCI]],+Tabla5[[#This Row],[INVERSIONES FCI]]-I255,Tabla5[[#This Row],[INVERSIONES FCI]])</f>
        <v>50406959639.863838</v>
      </c>
      <c r="J256" s="5">
        <f>IF($B255&lt;=Tabla5[[#This Row],[INVERSIONES FCI]],+Tabla5[[#This Row],[INVERSIONES FCI]]-J255,Tabla5[[#This Row],[INVERSIONES FCI]])</f>
        <v>50406959639.863838</v>
      </c>
      <c r="K256" s="5">
        <f>IF($B255&lt;=Tabla5[[#This Row],[INVERSIONES FCI]],+Tabla5[[#This Row],[INVERSIONES FCI]]-K255,Tabla5[[#This Row],[INVERSIONES FCI]])</f>
        <v>50406959639.863838</v>
      </c>
      <c r="L256" s="5">
        <f>IF($B255&lt;=Tabla5[[#This Row],[INVERSIONES FCI]],+Tabla5[[#This Row],[INVERSIONES FCI]]-L255,Tabla5[[#This Row],[INVERSIONES FCI]])</f>
        <v>50406959639.863838</v>
      </c>
      <c r="M256" s="5">
        <f>IF($B255&lt;=Tabla5[[#This Row],[INVERSIONES FCI]],+Tabla5[[#This Row],[INVERSIONES FCI]]-M255,Tabla5[[#This Row],[INVERSIONES FCI]])</f>
        <v>50406959639.863838</v>
      </c>
      <c r="N256" s="5">
        <f>IF($B255&lt;=Tabla5[[#This Row],[INVERSIONES FCI]],+Tabla5[[#This Row],[INVERSIONES FCI]]-N255,Tabla5[[#This Row],[INVERSIONES FCI]])</f>
        <v>50406959639.863838</v>
      </c>
      <c r="O256" s="5">
        <f>IF($B255&lt;=Tabla5[[#This Row],[INVERSIONES FCI]],+Tabla5[[#This Row],[INVERSIONES FCI]]-O255,Tabla5[[#This Row],[INVERSIONES FCI]])</f>
        <v>50406959639.863838</v>
      </c>
      <c r="P256" s="5">
        <f>IF($B255&lt;=Tabla5[[#This Row],[INVERSIONES FCI]],+Tabla5[[#This Row],[INVERSIONES FCI]]-P255,Tabla5[[#This Row],[INVERSIONES FCI]])</f>
        <v>50406959639.863838</v>
      </c>
      <c r="Q256" s="5">
        <f>IF($B255&lt;=Tabla5[[#This Row],[INVERSIONES FCI]],+Tabla5[[#This Row],[INVERSIONES FCI]]-Q255,Tabla5[[#This Row],[INVERSIONES FCI]])</f>
        <v>50406959639.863838</v>
      </c>
      <c r="R256" s="5">
        <f>IF($B255&lt;=Tabla5[[#This Row],[INVERSIONES FCI]],+Tabla5[[#This Row],[INVERSIONES FCI]]-R255,Tabla5[[#This Row],[INVERSIONES FCI]])</f>
        <v>50406959639.863838</v>
      </c>
      <c r="S256" s="5">
        <f>IF($B255&lt;=Tabla5[[#This Row],[INVERSIONES FCI]],+Tabla5[[#This Row],[INVERSIONES FCI]]-S255,Tabla5[[#This Row],[INVERSIONES FCI]])</f>
        <v>50406959639.863838</v>
      </c>
      <c r="T256" s="5">
        <f>IF($B255&lt;=Tabla5[[#This Row],[INVERSIONES FCI]],+Tabla5[[#This Row],[INVERSIONES FCI]]-T255,Tabla5[[#This Row],[INVERSIONES FCI]])</f>
        <v>50406959639.863838</v>
      </c>
      <c r="U256" s="5">
        <f>IF($B255&lt;=Tabla5[[#This Row],[INVERSIONES FCI]],+Tabla5[[#This Row],[INVERSIONES FCI]]-U255,Tabla5[[#This Row],[INVERSIONES FCI]])</f>
        <v>50406959639.863838</v>
      </c>
      <c r="V256" s="5">
        <f>IF($B255&lt;=Tabla5[[#This Row],[INVERSIONES FCI]],+Tabla5[[#This Row],[INVERSIONES FCI]]-V255,Tabla5[[#This Row],[INVERSIONES FCI]])</f>
        <v>50406959639.863838</v>
      </c>
      <c r="W256" s="5">
        <f>IF($B255&lt;=Tabla5[[#This Row],[INVERSIONES FCI]],+Tabla5[[#This Row],[INVERSIONES FCI]]-W255,Tabla5[[#This Row],[INVERSIONES FCI]])</f>
        <v>50406959639.863838</v>
      </c>
      <c r="X256" s="5">
        <f>IF($B255&lt;=Tabla5[[#This Row],[INVERSIONES FCI]],+Tabla5[[#This Row],[INVERSIONES FCI]]-X255,Tabla5[[#This Row],[INVERSIONES FCI]])</f>
        <v>50406959639.863838</v>
      </c>
      <c r="Y256" s="5">
        <f>IF($B255&lt;=Tabla5[[#This Row],[INVERSIONES FCI]],+Tabla5[[#This Row],[INVERSIONES FCI]]-Y255,Tabla5[[#This Row],[INVERSIONES FCI]])</f>
        <v>50406959639.863838</v>
      </c>
      <c r="Z256" s="5">
        <f>IF($B255&lt;=Tabla5[[#This Row],[INVERSIONES FCI]],+Tabla5[[#This Row],[INVERSIONES FCI]]-Z255,Tabla5[[#This Row],[INVERSIONES FCI]])</f>
        <v>50406959639.863838</v>
      </c>
      <c r="AA256" s="5">
        <f>IF($B255&lt;=Tabla5[[#This Row],[INVERSIONES FCI]],+Tabla5[[#This Row],[INVERSIONES FCI]]-AA255,Tabla5[[#This Row],[INVERSIONES FCI]])</f>
        <v>50406959639.863838</v>
      </c>
      <c r="AB256" s="5">
        <f>IF($B255&lt;=Tabla5[[#This Row],[INVERSIONES FCI]],+Tabla5[[#This Row],[INVERSIONES FCI]]-AB255,Tabla5[[#This Row],[INVERSIONES FCI]])</f>
        <v>50406959639.863838</v>
      </c>
      <c r="AC256" s="5">
        <f>IF($B255&lt;=Tabla5[[#This Row],[INVERSIONES FCI]],+Tabla5[[#This Row],[INVERSIONES FCI]]-AC255,Tabla5[[#This Row],[INVERSIONES FCI]])</f>
        <v>50406959639.863838</v>
      </c>
      <c r="AD256" s="5">
        <f>IF($B255&lt;=Tabla5[[#This Row],[INVERSIONES FCI]],+Tabla5[[#This Row],[INVERSIONES FCI]]-AD255,Tabla5[[#This Row],[INVERSIONES FCI]])</f>
        <v>50406959639.863838</v>
      </c>
      <c r="AE256" s="5">
        <f>IF($B255&lt;=Tabla5[[#This Row],[INVERSIONES FCI]],+Tabla5[[#This Row],[INVERSIONES FCI]]-AE255,Tabla5[[#This Row],[INVERSIONES FCI]])</f>
        <v>50406959639.863838</v>
      </c>
      <c r="AF256" s="5">
        <f>IF($B255&lt;=Tabla5[[#This Row],[INVERSIONES FCI]],+Tabla5[[#This Row],[INVERSIONES FCI]]-AF255,Tabla5[[#This Row],[INVERSIONES FCI]])</f>
        <v>50406959639.863838</v>
      </c>
      <c r="AG256" s="5">
        <f>IF($B255&lt;=Tabla5[[#This Row],[INVERSIONES FCI]],+Tabla5[[#This Row],[INVERSIONES FCI]]-AG255,Tabla5[[#This Row],[INVERSIONES FCI]])</f>
        <v>50406959639.863838</v>
      </c>
      <c r="AH256" s="5">
        <f>IF($B255&lt;=Tabla5[[#This Row],[INVERSIONES FCI]],+Tabla5[[#This Row],[INVERSIONES FCI]]-AH255,Tabla5[[#This Row],[INVERSIONES FCI]])</f>
        <v>50406959639.863838</v>
      </c>
      <c r="AI256" s="5">
        <f>IF($B255&lt;=Tabla5[[#This Row],[INVERSIONES FCI]],+Tabla5[[#This Row],[INVERSIONES FCI]]-AI255,Tabla5[[#This Row],[INVERSIONES FCI]])</f>
        <v>50406959639.863838</v>
      </c>
      <c r="AJ256" s="5">
        <f>IF($B255&lt;=Tabla5[[#This Row],[INVERSIONES FCI]],+Tabla5[[#This Row],[INVERSIONES FCI]]-AJ255,Tabla5[[#This Row],[INVERSIONES FCI]])</f>
        <v>50406959639.863838</v>
      </c>
      <c r="AK256" s="5">
        <f>IF($B255&lt;=Tabla5[[#This Row],[INVERSIONES FCI]],+Tabla5[[#This Row],[INVERSIONES FCI]]-AK255,Tabla5[[#This Row],[INVERSIONES FCI]])</f>
        <v>50406959639.863838</v>
      </c>
      <c r="AL256" s="5">
        <f>IF($B255&lt;=Tabla5[[#This Row],[INVERSIONES FCI]],+Tabla5[[#This Row],[INVERSIONES FCI]]-AL255,Tabla5[[#This Row],[INVERSIONES FCI]])</f>
        <v>50406959639.863838</v>
      </c>
      <c r="AM256" s="5">
        <f>IF($B255&lt;=Tabla5[[#This Row],[INVERSIONES FCI]],+Tabla5[[#This Row],[INVERSIONES FCI]]-AM255,Tabla5[[#This Row],[INVERSIONES FCI]])</f>
        <v>50406959639.863838</v>
      </c>
      <c r="AN256" s="5">
        <f>IF($B255&lt;=Tabla5[[#This Row],[INVERSIONES FCI]],+Tabla5[[#This Row],[INVERSIONES FCI]]-AN255,Tabla5[[#This Row],[INVERSIONES FCI]])</f>
        <v>50406959639.863838</v>
      </c>
      <c r="AO256" s="5">
        <f>IF($B255&lt;=Tabla5[[#This Row],[INVERSIONES FCI]],+Tabla5[[#This Row],[INVERSIONES FCI]]-AO255,Tabla5[[#This Row],[INVERSIONES FCI]])</f>
        <v>50406959639.863838</v>
      </c>
      <c r="AP256" s="5">
        <f>IF($B255&lt;=Tabla5[[#This Row],[INVERSIONES FCI]],+Tabla5[[#This Row],[INVERSIONES FCI]]-AP255,Tabla5[[#This Row],[INVERSIONES FCI]])</f>
        <v>50406959639.863838</v>
      </c>
      <c r="AQ256" s="5">
        <f>IF($B255&lt;=Tabla5[[#This Row],[INVERSIONES FCI]],+Tabla5[[#This Row],[INVERSIONES FCI]]-AQ255,Tabla5[[#This Row],[INVERSIONES FCI]])</f>
        <v>50406959639.863838</v>
      </c>
      <c r="AR256" s="5">
        <f>IF($B255&lt;=Tabla5[[#This Row],[INVERSIONES FCI]],+Tabla5[[#This Row],[INVERSIONES FCI]]-AR255,Tabla5[[#This Row],[INVERSIONES FCI]])</f>
        <v>50406959639.863838</v>
      </c>
      <c r="AS256" s="5">
        <f>IF($B255&lt;=Tabla5[[#This Row],[INVERSIONES FCI]],+Tabla5[[#This Row],[INVERSIONES FCI]]-AS255,Tabla5[[#This Row],[INVERSIONES FCI]])</f>
        <v>50406959639.863838</v>
      </c>
      <c r="AT256" s="5">
        <f>IF($B255&lt;=Tabla5[[#This Row],[INVERSIONES FCI]],+Tabla5[[#This Row],[INVERSIONES FCI]]-AT255,Tabla5[[#This Row],[INVERSIONES FCI]])</f>
        <v>50406959639.863838</v>
      </c>
      <c r="AU256" s="5">
        <f>IF($B255&lt;=Tabla5[[#This Row],[INVERSIONES FCI]],+Tabla5[[#This Row],[INVERSIONES FCI]]-AU255,Tabla5[[#This Row],[INVERSIONES FCI]])</f>
        <v>50406959639.863838</v>
      </c>
      <c r="AV256" s="5">
        <f>IF($B255&lt;=Tabla5[[#This Row],[INVERSIONES FCI]],+Tabla5[[#This Row],[INVERSIONES FCI]]-AV255,Tabla5[[#This Row],[INVERSIONES FCI]])</f>
        <v>50406959639.863838</v>
      </c>
      <c r="AW256" s="5">
        <f>IF($B255&lt;=Tabla5[[#This Row],[INVERSIONES FCI]],+Tabla5[[#This Row],[INVERSIONES FCI]]-AW255,Tabla5[[#This Row],[INVERSIONES FCI]])</f>
        <v>50406959639.863838</v>
      </c>
      <c r="AX256" s="5">
        <f>IF($B255&lt;=Tabla5[[#This Row],[INVERSIONES FCI]],+Tabla5[[#This Row],[INVERSIONES FCI]]-AX255,Tabla5[[#This Row],[INVERSIONES FCI]])</f>
        <v>50406959639.863838</v>
      </c>
      <c r="AY256" s="5">
        <f>IF($B255&lt;=Tabla5[[#This Row],[INVERSIONES FCI]],+Tabla5[[#This Row],[INVERSIONES FCI]]-AY255,Tabla5[[#This Row],[INVERSIONES FCI]])</f>
        <v>50406959639.863838</v>
      </c>
      <c r="AZ256" s="5">
        <f>IF($B255&lt;=Tabla5[[#This Row],[INVERSIONES FCI]],+Tabla5[[#This Row],[INVERSIONES FCI]]-AZ255,Tabla5[[#This Row],[INVERSIONES FCI]])</f>
        <v>50406959639.863838</v>
      </c>
      <c r="BA256" s="5">
        <f>IF($B255&lt;=Tabla5[[#This Row],[INVERSIONES FCI]],+Tabla5[[#This Row],[INVERSIONES FCI]]-BA255,Tabla5[[#This Row],[INVERSIONES FCI]])</f>
        <v>50406959639.863838</v>
      </c>
      <c r="BB256" s="5">
        <f>IF($B255&lt;=Tabla5[[#This Row],[INVERSIONES FCI]],+Tabla5[[#This Row],[INVERSIONES FCI]]-BB255,Tabla5[[#This Row],[INVERSIONES FCI]])</f>
        <v>50406959639.863838</v>
      </c>
      <c r="BC256" s="5">
        <f>IF($B255&lt;=Tabla5[[#This Row],[INVERSIONES FCI]],+Tabla5[[#This Row],[INVERSIONES FCI]]-BC255,Tabla5[[#This Row],[INVERSIONES FCI]])</f>
        <v>50406959639.863838</v>
      </c>
      <c r="BD256" s="5">
        <f>IF($B255&lt;=Tabla5[[#This Row],[INVERSIONES FCI]],+Tabla5[[#This Row],[INVERSIONES FCI]]-BD255,Tabla5[[#This Row],[INVERSIONES FCI]])</f>
        <v>50406959639.863838</v>
      </c>
      <c r="BE256" s="5">
        <f>IF($B255&lt;=Tabla5[[#This Row],[INVERSIONES FCI]],+Tabla5[[#This Row],[INVERSIONES FCI]]-BE255,Tabla5[[#This Row],[INVERSIONES FCI]])</f>
        <v>50406959639.863838</v>
      </c>
      <c r="BF256" s="5">
        <f>IF($B255&lt;=Tabla5[[#This Row],[INVERSIONES FCI]],+Tabla5[[#This Row],[INVERSIONES FCI]]-BF255,Tabla5[[#This Row],[INVERSIONES FCI]])</f>
        <v>50406959639.863838</v>
      </c>
      <c r="BG256" s="5">
        <f>IF($B255&lt;=Tabla5[[#This Row],[INVERSIONES FCI]],+Tabla5[[#This Row],[INVERSIONES FCI]]-BG255,Tabla5[[#This Row],[INVERSIONES FCI]])</f>
        <v>50406959639.863838</v>
      </c>
      <c r="BH256" s="5">
        <f>IF($B255&lt;=Tabla5[[#This Row],[INVERSIONES FCI]],+Tabla5[[#This Row],[INVERSIONES FCI]]-BH255,Tabla5[[#This Row],[INVERSIONES FCI]])</f>
        <v>50406959639.863838</v>
      </c>
      <c r="BI256" s="5">
        <f>IF($B255&lt;=Tabla5[[#This Row],[INVERSIONES FCI]],+Tabla5[[#This Row],[INVERSIONES FCI]]-BI255,Tabla5[[#This Row],[INVERSIONES FCI]])</f>
        <v>50406959639.863838</v>
      </c>
      <c r="BJ256" s="5">
        <f>IF($B255&lt;=Tabla5[[#This Row],[INVERSIONES FCI]],+Tabla5[[#This Row],[INVERSIONES FCI]]-BJ255,Tabla5[[#This Row],[INVERSIONES FCI]])</f>
        <v>50406959639.863838</v>
      </c>
      <c r="BK256" s="5">
        <f>IF($B255&lt;=Tabla5[[#This Row],[INVERSIONES FCI]],+Tabla5[[#This Row],[INVERSIONES FCI]]-BK255,Tabla5[[#This Row],[INVERSIONES FCI]])</f>
        <v>50406959639.863838</v>
      </c>
      <c r="BL256" s="5">
        <f>IF($B255&lt;=Tabla5[[#This Row],[INVERSIONES FCI]],+Tabla5[[#This Row],[INVERSIONES FCI]]-BL255,Tabla5[[#This Row],[INVERSIONES FCI]])</f>
        <v>50406959639.863838</v>
      </c>
      <c r="BM256" s="5">
        <f>IF($B255&lt;=Tabla5[[#This Row],[INVERSIONES FCI]],+Tabla5[[#This Row],[INVERSIONES FCI]]-BM255,Tabla5[[#This Row],[INVERSIONES FCI]])</f>
        <v>50406959639.863838</v>
      </c>
      <c r="BN256" s="5">
        <f>IF($B255&lt;=Tabla5[[#This Row],[INVERSIONES FCI]],+Tabla5[[#This Row],[INVERSIONES FCI]]-BN255,Tabla5[[#This Row],[INVERSIONES FCI]])</f>
        <v>50406959639.863838</v>
      </c>
      <c r="BO256" s="5">
        <f>IF($B255&lt;=Tabla5[[#This Row],[INVERSIONES FCI]],+Tabla5[[#This Row],[INVERSIONES FCI]]-BO255,Tabla5[[#This Row],[INVERSIONES FCI]])</f>
        <v>50406959639.863838</v>
      </c>
      <c r="BP256" s="5">
        <f>IF($B255&lt;=Tabla5[[#This Row],[INVERSIONES FCI]],+Tabla5[[#This Row],[INVERSIONES FCI]]-BP255,Tabla5[[#This Row],[INVERSIONES FCI]])</f>
        <v>50406959639.863838</v>
      </c>
      <c r="BQ256" s="5">
        <f>IF($B255&lt;=Tabla5[[#This Row],[INVERSIONES FCI]],+Tabla5[[#This Row],[INVERSIONES FCI]]-BQ255,Tabla5[[#This Row],[INVERSIONES FCI]])</f>
        <v>50406959639.863838</v>
      </c>
      <c r="BR256" s="5">
        <f>IF($B255&lt;=Tabla5[[#This Row],[INVERSIONES FCI]],+Tabla5[[#This Row],[INVERSIONES FCI]]-BR255,Tabla5[[#This Row],[INVERSIONES FCI]])</f>
        <v>50406959639.863838</v>
      </c>
      <c r="BS256" s="5">
        <f>IF($B255&lt;=Tabla5[[#This Row],[INVERSIONES FCI]],+Tabla5[[#This Row],[INVERSIONES FCI]]-BS255,Tabla5[[#This Row],[INVERSIONES FCI]])</f>
        <v>50406959639.863838</v>
      </c>
      <c r="BT256" s="5">
        <f>IF($B255&lt;=Tabla5[[#This Row],[INVERSIONES FCI]],+Tabla5[[#This Row],[INVERSIONES FCI]]-BT255,Tabla5[[#This Row],[INVERSIONES FCI]])</f>
        <v>50406959639.863838</v>
      </c>
      <c r="BU256" s="5">
        <f>IF($B255&lt;=Tabla5[[#This Row],[INVERSIONES FCI]],+Tabla5[[#This Row],[INVERSIONES FCI]]-BU255,Tabla5[[#This Row],[INVERSIONES FCI]])</f>
        <v>50406959639.863838</v>
      </c>
      <c r="BV256" s="5">
        <f>IF($B255&lt;=Tabla5[[#This Row],[INVERSIONES FCI]],+Tabla5[[#This Row],[INVERSIONES FCI]]-BV255,Tabla5[[#This Row],[INVERSIONES FCI]])</f>
        <v>50406959639.863838</v>
      </c>
      <c r="BW256" s="5">
        <f>IF($B255&lt;=Tabla5[[#This Row],[INVERSIONES FCI]],+Tabla5[[#This Row],[INVERSIONES FCI]]-BW255,Tabla5[[#This Row],[INVERSIONES FCI]])</f>
        <v>50406959639.863838</v>
      </c>
      <c r="BX256" s="5">
        <f>IF($B255&lt;=Tabla5[[#This Row],[INVERSIONES FCI]],+Tabla5[[#This Row],[INVERSIONES FCI]]-BX255,Tabla5[[#This Row],[INVERSIONES FCI]])</f>
        <v>50406959639.863838</v>
      </c>
      <c r="BY256" s="5">
        <f>IF($B255&lt;=Tabla5[[#This Row],[INVERSIONES FCI]],+Tabla5[[#This Row],[INVERSIONES FCI]]-BY255,Tabla5[[#This Row],[INVERSIONES FCI]])</f>
        <v>50406959639.863838</v>
      </c>
      <c r="BZ256" s="5">
        <f>IF($B255&lt;=Tabla5[[#This Row],[INVERSIONES FCI]],+Tabla5[[#This Row],[INVERSIONES FCI]]-BZ255,Tabla5[[#This Row],[INVERSIONES FCI]])</f>
        <v>50406959639.863838</v>
      </c>
      <c r="CA256" s="5">
        <f>IF($B255&lt;=Tabla5[[#This Row],[INVERSIONES FCI]],+Tabla5[[#This Row],[INVERSIONES FCI]]-CA255,Tabla5[[#This Row],[INVERSIONES FCI]])</f>
        <v>50406959639.863838</v>
      </c>
      <c r="CB256" s="5">
        <f>IF($B255&lt;=Tabla5[[#This Row],[INVERSIONES FCI]],+Tabla5[[#This Row],[INVERSIONES FCI]]-CB255,Tabla5[[#This Row],[INVERSIONES FCI]])</f>
        <v>50406959639.863838</v>
      </c>
      <c r="CC256" s="5">
        <f>IF($B255&lt;=Tabla5[[#This Row],[INVERSIONES FCI]],+Tabla5[[#This Row],[INVERSIONES FCI]]-CC255,Tabla5[[#This Row],[INVERSIONES FCI]])</f>
        <v>50406959639.863838</v>
      </c>
      <c r="CD256" s="5">
        <f>IF($B255&lt;=Tabla5[[#This Row],[INVERSIONES FCI]],+Tabla5[[#This Row],[INVERSIONES FCI]]-CD255,Tabla5[[#This Row],[INVERSIONES FCI]])</f>
        <v>50406959639.863838</v>
      </c>
      <c r="CE256" s="5">
        <f>IF($B255&lt;=Tabla5[[#This Row],[INVERSIONES FCI]],+Tabla5[[#This Row],[INVERSIONES FCI]]-CE255,Tabla5[[#This Row],[INVERSIONES FCI]])</f>
        <v>50406959639.863838</v>
      </c>
      <c r="CF256" s="5">
        <f>IF($B255&lt;=Tabla5[[#This Row],[INVERSIONES FCI]],+Tabla5[[#This Row],[INVERSIONES FCI]]-CF255,Tabla5[[#This Row],[INVERSIONES FCI]])</f>
        <v>50406959639.863838</v>
      </c>
      <c r="CG256" s="5">
        <f>IF($B255&lt;=Tabla5[[#This Row],[INVERSIONES FCI]],+Tabla5[[#This Row],[INVERSIONES FCI]]-CG255,Tabla5[[#This Row],[INVERSIONES FCI]])</f>
        <v>50406959639.863838</v>
      </c>
      <c r="CH256" s="5">
        <f>IF($B255&lt;=Tabla5[[#This Row],[INVERSIONES FCI]],+Tabla5[[#This Row],[INVERSIONES FCI]]-CH255,Tabla5[[#This Row],[INVERSIONES FCI]])</f>
        <v>50406959639.863838</v>
      </c>
      <c r="CI256" s="5">
        <f>IF($B255&lt;=Tabla5[[#This Row],[INVERSIONES FCI]],+Tabla5[[#This Row],[INVERSIONES FCI]]-CI255,Tabla5[[#This Row],[INVERSIONES FCI]])</f>
        <v>50406959639.863838</v>
      </c>
      <c r="CJ256" s="5">
        <f>IF($B255&lt;=Tabla5[[#This Row],[INVERSIONES FCI]],+Tabla5[[#This Row],[INVERSIONES FCI]]-CJ255,Tabla5[[#This Row],[INVERSIONES FCI]])</f>
        <v>50406959639.863838</v>
      </c>
      <c r="CK256" s="5">
        <f>IF($B255&lt;=Tabla5[[#This Row],[INVERSIONES FCI]],+Tabla5[[#This Row],[INVERSIONES FCI]]-CK255,Tabla5[[#This Row],[INVERSIONES FCI]])</f>
        <v>50406959639.863838</v>
      </c>
      <c r="CL256" s="5">
        <f>IF($B255&lt;=Tabla5[[#This Row],[INVERSIONES FCI]],+Tabla5[[#This Row],[INVERSIONES FCI]]-CL255,Tabla5[[#This Row],[INVERSIONES FCI]])</f>
        <v>50406959639.863838</v>
      </c>
      <c r="CM256" s="5">
        <f>IF($B255&lt;=Tabla5[[#This Row],[INVERSIONES FCI]],+Tabla5[[#This Row],[INVERSIONES FCI]]-CM255,Tabla5[[#This Row],[INVERSIONES FCI]])</f>
        <v>50406959639.863838</v>
      </c>
      <c r="CN256" s="5">
        <f>IF($B255&lt;=Tabla5[[#This Row],[INVERSIONES FCI]],+Tabla5[[#This Row],[INVERSIONES FCI]]-CN255,Tabla5[[#This Row],[INVERSIONES FCI]])</f>
        <v>50406959639.863838</v>
      </c>
      <c r="CO256" s="5">
        <f>IF($B255&lt;=Tabla5[[#This Row],[INVERSIONES FCI]],+Tabla5[[#This Row],[INVERSIONES FCI]]-CO255,Tabla5[[#This Row],[INVERSIONES FCI]])</f>
        <v>50406959639.863838</v>
      </c>
      <c r="CP256" s="5">
        <f>IF($B255&lt;=Tabla5[[#This Row],[INVERSIONES FCI]],+Tabla5[[#This Row],[INVERSIONES FCI]]-CP255,Tabla5[[#This Row],[INVERSIONES FCI]])</f>
        <v>50406959639.863838</v>
      </c>
      <c r="CQ256" s="5">
        <f>IF($B255&lt;=Tabla5[[#This Row],[INVERSIONES FCI]],+Tabla5[[#This Row],[INVERSIONES FCI]]-CQ255,Tabla5[[#This Row],[INVERSIONES FCI]])</f>
        <v>50406959639.863838</v>
      </c>
      <c r="CR256" s="5">
        <f>IF($B255&lt;=Tabla5[[#This Row],[INVERSIONES FCI]],+Tabla5[[#This Row],[INVERSIONES FCI]]-CR255,Tabla5[[#This Row],[INVERSIONES FCI]])</f>
        <v>50406959639.863838</v>
      </c>
      <c r="CS256" s="5">
        <f>IF($B255&lt;=Tabla5[[#This Row],[INVERSIONES FCI]],+Tabla5[[#This Row],[INVERSIONES FCI]]-CS255,Tabla5[[#This Row],[INVERSIONES FCI]])</f>
        <v>50406959639.863838</v>
      </c>
      <c r="CT256" s="5">
        <f>IF($B255&lt;=Tabla5[[#This Row],[INVERSIONES FCI]],+Tabla5[[#This Row],[INVERSIONES FCI]]-CT255,Tabla5[[#This Row],[INVERSIONES FCI]])</f>
        <v>50406959639.863838</v>
      </c>
      <c r="CU256" s="5">
        <f>IF($B255&lt;=Tabla5[[#This Row],[INVERSIONES FCI]],+Tabla5[[#This Row],[INVERSIONES FCI]]-CU255,Tabla5[[#This Row],[INVERSIONES FCI]])</f>
        <v>50406959639.863838</v>
      </c>
      <c r="CV256" s="5">
        <f>IF($B255&lt;=Tabla5[[#This Row],[INVERSIONES FCI]],+Tabla5[[#This Row],[INVERSIONES FCI]]-CV255,Tabla5[[#This Row],[INVERSIONES FCI]])</f>
        <v>50406959639.863838</v>
      </c>
      <c r="CW256" s="5">
        <f>IF($B255&lt;=Tabla5[[#This Row],[INVERSIONES FCI]],+Tabla5[[#This Row],[INVERSIONES FCI]]-CW255,Tabla5[[#This Row],[INVERSIONES FCI]])</f>
        <v>50406959639.863838</v>
      </c>
      <c r="CX256" s="5">
        <f>IF($B255&lt;=Tabla5[[#This Row],[INVERSIONES FCI]],+Tabla5[[#This Row],[INVERSIONES FCI]]-CX255,Tabla5[[#This Row],[INVERSIONES FCI]])</f>
        <v>50406959639.863838</v>
      </c>
      <c r="CY256" s="5">
        <f>IF($B255&lt;=Tabla5[[#This Row],[INVERSIONES FCI]],+Tabla5[[#This Row],[INVERSIONES FCI]]-CY255,Tabla5[[#This Row],[INVERSIONES FCI]])</f>
        <v>50406959639.863838</v>
      </c>
      <c r="CZ256" s="5">
        <f>IF($B255&lt;=Tabla5[[#This Row],[INVERSIONES FCI]],+Tabla5[[#This Row],[INVERSIONES FCI]]-CZ255,Tabla5[[#This Row],[INVERSIONES FCI]])</f>
        <v>50406959639.863838</v>
      </c>
      <c r="DA256" s="5">
        <f>IF($B255&lt;=Tabla5[[#This Row],[INVERSIONES FCI]],+Tabla5[[#This Row],[INVERSIONES FCI]]-DA255,Tabla5[[#This Row],[INVERSIONES FCI]])</f>
        <v>50406959639.863838</v>
      </c>
      <c r="DB256" s="5">
        <f>IF($B255&lt;=Tabla5[[#This Row],[INVERSIONES FCI]],+Tabla5[[#This Row],[INVERSIONES FCI]]-DB255,Tabla5[[#This Row],[INVERSIONES FCI]])</f>
        <v>50406959639.863838</v>
      </c>
      <c r="DC256" s="5">
        <f>IF($B255&lt;=Tabla5[[#This Row],[INVERSIONES FCI]],+Tabla5[[#This Row],[INVERSIONES FCI]]-DC255,Tabla5[[#This Row],[INVERSIONES FCI]])</f>
        <v>50406959639.863838</v>
      </c>
      <c r="DD256" s="5">
        <f>IF($B255&lt;=Tabla5[[#This Row],[INVERSIONES FCI]],+Tabla5[[#This Row],[INVERSIONES FCI]]-DD255,Tabla5[[#This Row],[INVERSIONES FCI]])</f>
        <v>50406959639.863838</v>
      </c>
      <c r="DE256" s="5">
        <f>IF($B255&lt;=Tabla5[[#This Row],[INVERSIONES FCI]],+Tabla5[[#This Row],[INVERSIONES FCI]]-DE255,Tabla5[[#This Row],[INVERSIONES FCI]])</f>
        <v>50406959639.863838</v>
      </c>
      <c r="DF256" s="5">
        <f>IF($B255&lt;=Tabla5[[#This Row],[INVERSIONES FCI]],+Tabla5[[#This Row],[INVERSIONES FCI]]-DF255,Tabla5[[#This Row],[INVERSIONES FCI]])</f>
        <v>50406959639.863838</v>
      </c>
      <c r="DG256" s="5">
        <f>IF($B255&lt;=Tabla5[[#This Row],[INVERSIONES FCI]],+Tabla5[[#This Row],[INVERSIONES FCI]]-DG255,Tabla5[[#This Row],[INVERSIONES FCI]])</f>
        <v>50406959639.863838</v>
      </c>
      <c r="DH256" s="5">
        <f>IF($B255&lt;=Tabla5[[#This Row],[INVERSIONES FCI]],+Tabla5[[#This Row],[INVERSIONES FCI]]-DH255,Tabla5[[#This Row],[INVERSIONES FCI]])</f>
        <v>50406959639.863838</v>
      </c>
      <c r="DI256" s="5">
        <f>IF($B255&lt;=Tabla5[[#This Row],[INVERSIONES FCI]],+Tabla5[[#This Row],[INVERSIONES FCI]]-DI255,Tabla5[[#This Row],[INVERSIONES FCI]])</f>
        <v>50406959639.863838</v>
      </c>
      <c r="DJ256" s="5">
        <f>IF($B255&lt;=Tabla5[[#This Row],[INVERSIONES FCI]],+Tabla5[[#This Row],[INVERSIONES FCI]]-DJ255,Tabla5[[#This Row],[INVERSIONES FCI]])</f>
        <v>50406959639.863838</v>
      </c>
      <c r="DK256" s="5">
        <f>IF($B255&lt;=Tabla5[[#This Row],[INVERSIONES FCI]],+Tabla5[[#This Row],[INVERSIONES FCI]]-DK255,Tabla5[[#This Row],[INVERSIONES FCI]])</f>
        <v>50406959639.863838</v>
      </c>
      <c r="DL256" s="5"/>
      <c r="DM256" s="5"/>
      <c r="DN256" s="5"/>
      <c r="DO256" s="5"/>
      <c r="DP256" s="5"/>
      <c r="DQ256" s="5"/>
    </row>
    <row r="257" spans="1:121" ht="14.4">
      <c r="A257" s="12" t="s">
        <v>256</v>
      </c>
      <c r="B257" s="5">
        <f>HLOOKUP($A257,ESCENARIO[#All],7,FALSE)</f>
        <v>52041194879.403275</v>
      </c>
      <c r="C257" s="5">
        <f>IF($B256&lt;=Tabla5[[#This Row],[INVERSIONES FCI]],+Tabla5[[#This Row],[INVERSIONES FCI]]-C256,Tabla5[[#This Row],[INVERSIONES FCI]])</f>
        <v>1634235239.5394363</v>
      </c>
      <c r="D257" s="5">
        <f>IF($B256&lt;=Tabla5[[#This Row],[INVERSIONES FCI]],+Tabla5[[#This Row],[INVERSIONES FCI]]-D256,Tabla5[[#This Row],[INVERSIONES FCI]])</f>
        <v>1634235239.5394363</v>
      </c>
      <c r="E257" s="5">
        <f>IF($B256&lt;=Tabla5[[#This Row],[INVERSIONES FCI]],+Tabla5[[#This Row],[INVERSIONES FCI]]-E256,Tabla5[[#This Row],[INVERSIONES FCI]])</f>
        <v>1634235239.5394363</v>
      </c>
      <c r="F257" s="5">
        <f>IF($B256&lt;=Tabla5[[#This Row],[INVERSIONES FCI]],+Tabla5[[#This Row],[INVERSIONES FCI]]-F256,Tabla5[[#This Row],[INVERSIONES FCI]])</f>
        <v>1634235239.5394363</v>
      </c>
      <c r="G257" s="5">
        <f>IF($B256&lt;=Tabla5[[#This Row],[INVERSIONES FCI]],+Tabla5[[#This Row],[INVERSIONES FCI]]-G256,Tabla5[[#This Row],[INVERSIONES FCI]])</f>
        <v>1634235239.5394363</v>
      </c>
      <c r="H257" s="5">
        <f>IF($B256&lt;=Tabla5[[#This Row],[INVERSIONES FCI]],+Tabla5[[#This Row],[INVERSIONES FCI]]-H256,Tabla5[[#This Row],[INVERSIONES FCI]])</f>
        <v>1634235239.5394363</v>
      </c>
      <c r="I257" s="5">
        <f>IF($B256&lt;=Tabla5[[#This Row],[INVERSIONES FCI]],+Tabla5[[#This Row],[INVERSIONES FCI]]-I256,Tabla5[[#This Row],[INVERSIONES FCI]])</f>
        <v>1634235239.5394363</v>
      </c>
      <c r="J257" s="5">
        <f>IF($B256&lt;=Tabla5[[#This Row],[INVERSIONES FCI]],+Tabla5[[#This Row],[INVERSIONES FCI]]-J256,Tabla5[[#This Row],[INVERSIONES FCI]])</f>
        <v>1634235239.5394363</v>
      </c>
      <c r="K257" s="5">
        <f>IF($B256&lt;=Tabla5[[#This Row],[INVERSIONES FCI]],+Tabla5[[#This Row],[INVERSIONES FCI]]-K256,Tabla5[[#This Row],[INVERSIONES FCI]])</f>
        <v>1634235239.5394363</v>
      </c>
      <c r="L257" s="5">
        <f>IF($B256&lt;=Tabla5[[#This Row],[INVERSIONES FCI]],+Tabla5[[#This Row],[INVERSIONES FCI]]-L256,Tabla5[[#This Row],[INVERSIONES FCI]])</f>
        <v>1634235239.5394363</v>
      </c>
      <c r="M257" s="5">
        <f>IF($B256&lt;=Tabla5[[#This Row],[INVERSIONES FCI]],+Tabla5[[#This Row],[INVERSIONES FCI]]-M256,Tabla5[[#This Row],[INVERSIONES FCI]])</f>
        <v>1634235239.5394363</v>
      </c>
      <c r="N257" s="5">
        <f>IF($B256&lt;=Tabla5[[#This Row],[INVERSIONES FCI]],+Tabla5[[#This Row],[INVERSIONES FCI]]-N256,Tabla5[[#This Row],[INVERSIONES FCI]])</f>
        <v>1634235239.5394363</v>
      </c>
      <c r="O257" s="5">
        <f>IF($B256&lt;=Tabla5[[#This Row],[INVERSIONES FCI]],+Tabla5[[#This Row],[INVERSIONES FCI]]-O256,Tabla5[[#This Row],[INVERSIONES FCI]])</f>
        <v>1634235239.5394363</v>
      </c>
      <c r="P257" s="5">
        <f>IF($B256&lt;=Tabla5[[#This Row],[INVERSIONES FCI]],+Tabla5[[#This Row],[INVERSIONES FCI]]-P256,Tabla5[[#This Row],[INVERSIONES FCI]])</f>
        <v>1634235239.5394363</v>
      </c>
      <c r="Q257" s="5">
        <f>IF($B256&lt;=Tabla5[[#This Row],[INVERSIONES FCI]],+Tabla5[[#This Row],[INVERSIONES FCI]]-Q256,Tabla5[[#This Row],[INVERSIONES FCI]])</f>
        <v>1634235239.5394363</v>
      </c>
      <c r="R257" s="5">
        <f>IF($B256&lt;=Tabla5[[#This Row],[INVERSIONES FCI]],+Tabla5[[#This Row],[INVERSIONES FCI]]-R256,Tabla5[[#This Row],[INVERSIONES FCI]])</f>
        <v>1634235239.5394363</v>
      </c>
      <c r="S257" s="5">
        <f>IF($B256&lt;=Tabla5[[#This Row],[INVERSIONES FCI]],+Tabla5[[#This Row],[INVERSIONES FCI]]-S256,Tabla5[[#This Row],[INVERSIONES FCI]])</f>
        <v>1634235239.5394363</v>
      </c>
      <c r="T257" s="5">
        <f>IF($B256&lt;=Tabla5[[#This Row],[INVERSIONES FCI]],+Tabla5[[#This Row],[INVERSIONES FCI]]-T256,Tabla5[[#This Row],[INVERSIONES FCI]])</f>
        <v>1634235239.5394363</v>
      </c>
      <c r="U257" s="5">
        <f>IF($B256&lt;=Tabla5[[#This Row],[INVERSIONES FCI]],+Tabla5[[#This Row],[INVERSIONES FCI]]-U256,Tabla5[[#This Row],[INVERSIONES FCI]])</f>
        <v>1634235239.5394363</v>
      </c>
      <c r="V257" s="5">
        <f>IF($B256&lt;=Tabla5[[#This Row],[INVERSIONES FCI]],+Tabla5[[#This Row],[INVERSIONES FCI]]-V256,Tabla5[[#This Row],[INVERSIONES FCI]])</f>
        <v>1634235239.5394363</v>
      </c>
      <c r="W257" s="5">
        <f>IF($B256&lt;=Tabla5[[#This Row],[INVERSIONES FCI]],+Tabla5[[#This Row],[INVERSIONES FCI]]-W256,Tabla5[[#This Row],[INVERSIONES FCI]])</f>
        <v>1634235239.5394363</v>
      </c>
      <c r="X257" s="5">
        <f>IF($B256&lt;=Tabla5[[#This Row],[INVERSIONES FCI]],+Tabla5[[#This Row],[INVERSIONES FCI]]-X256,Tabla5[[#This Row],[INVERSIONES FCI]])</f>
        <v>1634235239.5394363</v>
      </c>
      <c r="Y257" s="5">
        <f>IF($B256&lt;=Tabla5[[#This Row],[INVERSIONES FCI]],+Tabla5[[#This Row],[INVERSIONES FCI]]-Y256,Tabla5[[#This Row],[INVERSIONES FCI]])</f>
        <v>1634235239.5394363</v>
      </c>
      <c r="Z257" s="5">
        <f>IF($B256&lt;=Tabla5[[#This Row],[INVERSIONES FCI]],+Tabla5[[#This Row],[INVERSIONES FCI]]-Z256,Tabla5[[#This Row],[INVERSIONES FCI]])</f>
        <v>1634235239.5394363</v>
      </c>
      <c r="AA257" s="5">
        <f>IF($B256&lt;=Tabla5[[#This Row],[INVERSIONES FCI]],+Tabla5[[#This Row],[INVERSIONES FCI]]-AA256,Tabla5[[#This Row],[INVERSIONES FCI]])</f>
        <v>1634235239.5394363</v>
      </c>
      <c r="AB257" s="5">
        <f>IF($B256&lt;=Tabla5[[#This Row],[INVERSIONES FCI]],+Tabla5[[#This Row],[INVERSIONES FCI]]-AB256,Tabla5[[#This Row],[INVERSIONES FCI]])</f>
        <v>1634235239.5394363</v>
      </c>
      <c r="AC257" s="5">
        <f>IF($B256&lt;=Tabla5[[#This Row],[INVERSIONES FCI]],+Tabla5[[#This Row],[INVERSIONES FCI]]-AC256,Tabla5[[#This Row],[INVERSIONES FCI]])</f>
        <v>1634235239.5394363</v>
      </c>
      <c r="AD257" s="5">
        <f>IF($B256&lt;=Tabla5[[#This Row],[INVERSIONES FCI]],+Tabla5[[#This Row],[INVERSIONES FCI]]-AD256,Tabla5[[#This Row],[INVERSIONES FCI]])</f>
        <v>1634235239.5394363</v>
      </c>
      <c r="AE257" s="5">
        <f>IF($B256&lt;=Tabla5[[#This Row],[INVERSIONES FCI]],+Tabla5[[#This Row],[INVERSIONES FCI]]-AE256,Tabla5[[#This Row],[INVERSIONES FCI]])</f>
        <v>1634235239.5394363</v>
      </c>
      <c r="AF257" s="5">
        <f>IF($B256&lt;=Tabla5[[#This Row],[INVERSIONES FCI]],+Tabla5[[#This Row],[INVERSIONES FCI]]-AF256,Tabla5[[#This Row],[INVERSIONES FCI]])</f>
        <v>1634235239.5394363</v>
      </c>
      <c r="AG257" s="5">
        <f>IF($B256&lt;=Tabla5[[#This Row],[INVERSIONES FCI]],+Tabla5[[#This Row],[INVERSIONES FCI]]-AG256,Tabla5[[#This Row],[INVERSIONES FCI]])</f>
        <v>1634235239.5394363</v>
      </c>
      <c r="AH257" s="5">
        <f>IF($B256&lt;=Tabla5[[#This Row],[INVERSIONES FCI]],+Tabla5[[#This Row],[INVERSIONES FCI]]-AH256,Tabla5[[#This Row],[INVERSIONES FCI]])</f>
        <v>1634235239.5394363</v>
      </c>
      <c r="AI257" s="5">
        <f>IF($B256&lt;=Tabla5[[#This Row],[INVERSIONES FCI]],+Tabla5[[#This Row],[INVERSIONES FCI]]-AI256,Tabla5[[#This Row],[INVERSIONES FCI]])</f>
        <v>1634235239.5394363</v>
      </c>
      <c r="AJ257" s="5">
        <f>IF($B256&lt;=Tabla5[[#This Row],[INVERSIONES FCI]],+Tabla5[[#This Row],[INVERSIONES FCI]]-AJ256,Tabla5[[#This Row],[INVERSIONES FCI]])</f>
        <v>1634235239.5394363</v>
      </c>
      <c r="AK257" s="5">
        <f>IF($B256&lt;=Tabla5[[#This Row],[INVERSIONES FCI]],+Tabla5[[#This Row],[INVERSIONES FCI]]-AK256,Tabla5[[#This Row],[INVERSIONES FCI]])</f>
        <v>1634235239.5394363</v>
      </c>
      <c r="AL257" s="5">
        <f>IF($B256&lt;=Tabla5[[#This Row],[INVERSIONES FCI]],+Tabla5[[#This Row],[INVERSIONES FCI]]-AL256,Tabla5[[#This Row],[INVERSIONES FCI]])</f>
        <v>1634235239.5394363</v>
      </c>
      <c r="AM257" s="5">
        <f>IF($B256&lt;=Tabla5[[#This Row],[INVERSIONES FCI]],+Tabla5[[#This Row],[INVERSIONES FCI]]-AM256,Tabla5[[#This Row],[INVERSIONES FCI]])</f>
        <v>1634235239.5394363</v>
      </c>
      <c r="AN257" s="5">
        <f>IF($B256&lt;=Tabla5[[#This Row],[INVERSIONES FCI]],+Tabla5[[#This Row],[INVERSIONES FCI]]-AN256,Tabla5[[#This Row],[INVERSIONES FCI]])</f>
        <v>1634235239.5394363</v>
      </c>
      <c r="AO257" s="5">
        <f>IF($B256&lt;=Tabla5[[#This Row],[INVERSIONES FCI]],+Tabla5[[#This Row],[INVERSIONES FCI]]-AO256,Tabla5[[#This Row],[INVERSIONES FCI]])</f>
        <v>1634235239.5394363</v>
      </c>
      <c r="AP257" s="5">
        <f>IF($B256&lt;=Tabla5[[#This Row],[INVERSIONES FCI]],+Tabla5[[#This Row],[INVERSIONES FCI]]-AP256,Tabla5[[#This Row],[INVERSIONES FCI]])</f>
        <v>1634235239.5394363</v>
      </c>
      <c r="AQ257" s="5">
        <f>IF($B256&lt;=Tabla5[[#This Row],[INVERSIONES FCI]],+Tabla5[[#This Row],[INVERSIONES FCI]]-AQ256,Tabla5[[#This Row],[INVERSIONES FCI]])</f>
        <v>1634235239.5394363</v>
      </c>
      <c r="AR257" s="5">
        <f>IF($B256&lt;=Tabla5[[#This Row],[INVERSIONES FCI]],+Tabla5[[#This Row],[INVERSIONES FCI]]-AR256,Tabla5[[#This Row],[INVERSIONES FCI]])</f>
        <v>1634235239.5394363</v>
      </c>
      <c r="AS257" s="5">
        <f>IF($B256&lt;=Tabla5[[#This Row],[INVERSIONES FCI]],+Tabla5[[#This Row],[INVERSIONES FCI]]-AS256,Tabla5[[#This Row],[INVERSIONES FCI]])</f>
        <v>1634235239.5394363</v>
      </c>
      <c r="AT257" s="5">
        <f>IF($B256&lt;=Tabla5[[#This Row],[INVERSIONES FCI]],+Tabla5[[#This Row],[INVERSIONES FCI]]-AT256,Tabla5[[#This Row],[INVERSIONES FCI]])</f>
        <v>1634235239.5394363</v>
      </c>
      <c r="AU257" s="5">
        <f>IF($B256&lt;=Tabla5[[#This Row],[INVERSIONES FCI]],+Tabla5[[#This Row],[INVERSIONES FCI]]-AU256,Tabla5[[#This Row],[INVERSIONES FCI]])</f>
        <v>1634235239.5394363</v>
      </c>
      <c r="AV257" s="5">
        <f>IF($B256&lt;=Tabla5[[#This Row],[INVERSIONES FCI]],+Tabla5[[#This Row],[INVERSIONES FCI]]-AV256,Tabla5[[#This Row],[INVERSIONES FCI]])</f>
        <v>1634235239.5394363</v>
      </c>
      <c r="AW257" s="5">
        <f>IF($B256&lt;=Tabla5[[#This Row],[INVERSIONES FCI]],+Tabla5[[#This Row],[INVERSIONES FCI]]-AW256,Tabla5[[#This Row],[INVERSIONES FCI]])</f>
        <v>1634235239.5394363</v>
      </c>
      <c r="AX257" s="5">
        <f>IF($B256&lt;=Tabla5[[#This Row],[INVERSIONES FCI]],+Tabla5[[#This Row],[INVERSIONES FCI]]-AX256,Tabla5[[#This Row],[INVERSIONES FCI]])</f>
        <v>1634235239.5394363</v>
      </c>
      <c r="AY257" s="5">
        <f>IF($B256&lt;=Tabla5[[#This Row],[INVERSIONES FCI]],+Tabla5[[#This Row],[INVERSIONES FCI]]-AY256,Tabla5[[#This Row],[INVERSIONES FCI]])</f>
        <v>1634235239.5394363</v>
      </c>
      <c r="AZ257" s="5">
        <f>IF($B256&lt;=Tabla5[[#This Row],[INVERSIONES FCI]],+Tabla5[[#This Row],[INVERSIONES FCI]]-AZ256,Tabla5[[#This Row],[INVERSIONES FCI]])</f>
        <v>1634235239.5394363</v>
      </c>
      <c r="BA257" s="5">
        <f>IF($B256&lt;=Tabla5[[#This Row],[INVERSIONES FCI]],+Tabla5[[#This Row],[INVERSIONES FCI]]-BA256,Tabla5[[#This Row],[INVERSIONES FCI]])</f>
        <v>1634235239.5394363</v>
      </c>
      <c r="BB257" s="5">
        <f>IF($B256&lt;=Tabla5[[#This Row],[INVERSIONES FCI]],+Tabla5[[#This Row],[INVERSIONES FCI]]-BB256,Tabla5[[#This Row],[INVERSIONES FCI]])</f>
        <v>1634235239.5394363</v>
      </c>
      <c r="BC257" s="5">
        <f>IF($B256&lt;=Tabla5[[#This Row],[INVERSIONES FCI]],+Tabla5[[#This Row],[INVERSIONES FCI]]-BC256,Tabla5[[#This Row],[INVERSIONES FCI]])</f>
        <v>1634235239.5394363</v>
      </c>
      <c r="BD257" s="5">
        <f>IF($B256&lt;=Tabla5[[#This Row],[INVERSIONES FCI]],+Tabla5[[#This Row],[INVERSIONES FCI]]-BD256,Tabla5[[#This Row],[INVERSIONES FCI]])</f>
        <v>1634235239.5394363</v>
      </c>
      <c r="BE257" s="5">
        <f>IF($B256&lt;=Tabla5[[#This Row],[INVERSIONES FCI]],+Tabla5[[#This Row],[INVERSIONES FCI]]-BE256,Tabla5[[#This Row],[INVERSIONES FCI]])</f>
        <v>1634235239.5394363</v>
      </c>
      <c r="BF257" s="5">
        <f>IF($B256&lt;=Tabla5[[#This Row],[INVERSIONES FCI]],+Tabla5[[#This Row],[INVERSIONES FCI]]-BF256,Tabla5[[#This Row],[INVERSIONES FCI]])</f>
        <v>1634235239.5394363</v>
      </c>
      <c r="BG257" s="5">
        <f>IF($B256&lt;=Tabla5[[#This Row],[INVERSIONES FCI]],+Tabla5[[#This Row],[INVERSIONES FCI]]-BG256,Tabla5[[#This Row],[INVERSIONES FCI]])</f>
        <v>1634235239.5394363</v>
      </c>
      <c r="BH257" s="5">
        <f>IF($B256&lt;=Tabla5[[#This Row],[INVERSIONES FCI]],+Tabla5[[#This Row],[INVERSIONES FCI]]-BH256,Tabla5[[#This Row],[INVERSIONES FCI]])</f>
        <v>1634235239.5394363</v>
      </c>
      <c r="BI257" s="5">
        <f>IF($B256&lt;=Tabla5[[#This Row],[INVERSIONES FCI]],+Tabla5[[#This Row],[INVERSIONES FCI]]-BI256,Tabla5[[#This Row],[INVERSIONES FCI]])</f>
        <v>1634235239.5394363</v>
      </c>
      <c r="BJ257" s="5">
        <f>IF($B256&lt;=Tabla5[[#This Row],[INVERSIONES FCI]],+Tabla5[[#This Row],[INVERSIONES FCI]]-BJ256,Tabla5[[#This Row],[INVERSIONES FCI]])</f>
        <v>1634235239.5394363</v>
      </c>
      <c r="BK257" s="5">
        <f>IF($B256&lt;=Tabla5[[#This Row],[INVERSIONES FCI]],+Tabla5[[#This Row],[INVERSIONES FCI]]-BK256,Tabla5[[#This Row],[INVERSIONES FCI]])</f>
        <v>1634235239.5394363</v>
      </c>
      <c r="BL257" s="5">
        <f>IF($B256&lt;=Tabla5[[#This Row],[INVERSIONES FCI]],+Tabla5[[#This Row],[INVERSIONES FCI]]-BL256,Tabla5[[#This Row],[INVERSIONES FCI]])</f>
        <v>1634235239.5394363</v>
      </c>
      <c r="BM257" s="5">
        <f>IF($B256&lt;=Tabla5[[#This Row],[INVERSIONES FCI]],+Tabla5[[#This Row],[INVERSIONES FCI]]-BM256,Tabla5[[#This Row],[INVERSIONES FCI]])</f>
        <v>1634235239.5394363</v>
      </c>
      <c r="BN257" s="5">
        <f>IF($B256&lt;=Tabla5[[#This Row],[INVERSIONES FCI]],+Tabla5[[#This Row],[INVERSIONES FCI]]-BN256,Tabla5[[#This Row],[INVERSIONES FCI]])</f>
        <v>1634235239.5394363</v>
      </c>
      <c r="BO257" s="5">
        <f>IF($B256&lt;=Tabla5[[#This Row],[INVERSIONES FCI]],+Tabla5[[#This Row],[INVERSIONES FCI]]-BO256,Tabla5[[#This Row],[INVERSIONES FCI]])</f>
        <v>1634235239.5394363</v>
      </c>
      <c r="BP257" s="5">
        <f>IF($B256&lt;=Tabla5[[#This Row],[INVERSIONES FCI]],+Tabla5[[#This Row],[INVERSIONES FCI]]-BP256,Tabla5[[#This Row],[INVERSIONES FCI]])</f>
        <v>1634235239.5394363</v>
      </c>
      <c r="BQ257" s="5">
        <f>IF($B256&lt;=Tabla5[[#This Row],[INVERSIONES FCI]],+Tabla5[[#This Row],[INVERSIONES FCI]]-BQ256,Tabla5[[#This Row],[INVERSIONES FCI]])</f>
        <v>1634235239.5394363</v>
      </c>
      <c r="BR257" s="5">
        <f>IF($B256&lt;=Tabla5[[#This Row],[INVERSIONES FCI]],+Tabla5[[#This Row],[INVERSIONES FCI]]-BR256,Tabla5[[#This Row],[INVERSIONES FCI]])</f>
        <v>1634235239.5394363</v>
      </c>
      <c r="BS257" s="5">
        <f>IF($B256&lt;=Tabla5[[#This Row],[INVERSIONES FCI]],+Tabla5[[#This Row],[INVERSIONES FCI]]-BS256,Tabla5[[#This Row],[INVERSIONES FCI]])</f>
        <v>1634235239.5394363</v>
      </c>
      <c r="BT257" s="5">
        <f>IF($B256&lt;=Tabla5[[#This Row],[INVERSIONES FCI]],+Tabla5[[#This Row],[INVERSIONES FCI]]-BT256,Tabla5[[#This Row],[INVERSIONES FCI]])</f>
        <v>1634235239.5394363</v>
      </c>
      <c r="BU257" s="5">
        <f>IF($B256&lt;=Tabla5[[#This Row],[INVERSIONES FCI]],+Tabla5[[#This Row],[INVERSIONES FCI]]-BU256,Tabla5[[#This Row],[INVERSIONES FCI]])</f>
        <v>1634235239.5394363</v>
      </c>
      <c r="BV257" s="5">
        <f>IF($B256&lt;=Tabla5[[#This Row],[INVERSIONES FCI]],+Tabla5[[#This Row],[INVERSIONES FCI]]-BV256,Tabla5[[#This Row],[INVERSIONES FCI]])</f>
        <v>1634235239.5394363</v>
      </c>
      <c r="BW257" s="5">
        <f>IF($B256&lt;=Tabla5[[#This Row],[INVERSIONES FCI]],+Tabla5[[#This Row],[INVERSIONES FCI]]-BW256,Tabla5[[#This Row],[INVERSIONES FCI]])</f>
        <v>1634235239.5394363</v>
      </c>
      <c r="BX257" s="5">
        <f>IF($B256&lt;=Tabla5[[#This Row],[INVERSIONES FCI]],+Tabla5[[#This Row],[INVERSIONES FCI]]-BX256,Tabla5[[#This Row],[INVERSIONES FCI]])</f>
        <v>1634235239.5394363</v>
      </c>
      <c r="BY257" s="5">
        <f>IF($B256&lt;=Tabla5[[#This Row],[INVERSIONES FCI]],+Tabla5[[#This Row],[INVERSIONES FCI]]-BY256,Tabla5[[#This Row],[INVERSIONES FCI]])</f>
        <v>1634235239.5394363</v>
      </c>
      <c r="BZ257" s="5">
        <f>IF($B256&lt;=Tabla5[[#This Row],[INVERSIONES FCI]],+Tabla5[[#This Row],[INVERSIONES FCI]]-BZ256,Tabla5[[#This Row],[INVERSIONES FCI]])</f>
        <v>1634235239.5394363</v>
      </c>
      <c r="CA257" s="5">
        <f>IF($B256&lt;=Tabla5[[#This Row],[INVERSIONES FCI]],+Tabla5[[#This Row],[INVERSIONES FCI]]-CA256,Tabla5[[#This Row],[INVERSIONES FCI]])</f>
        <v>1634235239.5394363</v>
      </c>
      <c r="CB257" s="5">
        <f>IF($B256&lt;=Tabla5[[#This Row],[INVERSIONES FCI]],+Tabla5[[#This Row],[INVERSIONES FCI]]-CB256,Tabla5[[#This Row],[INVERSIONES FCI]])</f>
        <v>1634235239.5394363</v>
      </c>
      <c r="CC257" s="5">
        <f>IF($B256&lt;=Tabla5[[#This Row],[INVERSIONES FCI]],+Tabla5[[#This Row],[INVERSIONES FCI]]-CC256,Tabla5[[#This Row],[INVERSIONES FCI]])</f>
        <v>1634235239.5394363</v>
      </c>
      <c r="CD257" s="5">
        <f>IF($B256&lt;=Tabla5[[#This Row],[INVERSIONES FCI]],+Tabla5[[#This Row],[INVERSIONES FCI]]-CD256,Tabla5[[#This Row],[INVERSIONES FCI]])</f>
        <v>1634235239.5394363</v>
      </c>
      <c r="CE257" s="5">
        <f>IF($B256&lt;=Tabla5[[#This Row],[INVERSIONES FCI]],+Tabla5[[#This Row],[INVERSIONES FCI]]-CE256,Tabla5[[#This Row],[INVERSIONES FCI]])</f>
        <v>1634235239.5394363</v>
      </c>
      <c r="CF257" s="5">
        <f>IF($B256&lt;=Tabla5[[#This Row],[INVERSIONES FCI]],+Tabla5[[#This Row],[INVERSIONES FCI]]-CF256,Tabla5[[#This Row],[INVERSIONES FCI]])</f>
        <v>1634235239.5394363</v>
      </c>
      <c r="CG257" s="5">
        <f>IF($B256&lt;=Tabla5[[#This Row],[INVERSIONES FCI]],+Tabla5[[#This Row],[INVERSIONES FCI]]-CG256,Tabla5[[#This Row],[INVERSIONES FCI]])</f>
        <v>1634235239.5394363</v>
      </c>
      <c r="CH257" s="5">
        <f>IF($B256&lt;=Tabla5[[#This Row],[INVERSIONES FCI]],+Tabla5[[#This Row],[INVERSIONES FCI]]-CH256,Tabla5[[#This Row],[INVERSIONES FCI]])</f>
        <v>1634235239.5394363</v>
      </c>
      <c r="CI257" s="5">
        <f>IF($B256&lt;=Tabla5[[#This Row],[INVERSIONES FCI]],+Tabla5[[#This Row],[INVERSIONES FCI]]-CI256,Tabla5[[#This Row],[INVERSIONES FCI]])</f>
        <v>1634235239.5394363</v>
      </c>
      <c r="CJ257" s="5">
        <f>IF($B256&lt;=Tabla5[[#This Row],[INVERSIONES FCI]],+Tabla5[[#This Row],[INVERSIONES FCI]]-CJ256,Tabla5[[#This Row],[INVERSIONES FCI]])</f>
        <v>1634235239.5394363</v>
      </c>
      <c r="CK257" s="5">
        <f>IF($B256&lt;=Tabla5[[#This Row],[INVERSIONES FCI]],+Tabla5[[#This Row],[INVERSIONES FCI]]-CK256,Tabla5[[#This Row],[INVERSIONES FCI]])</f>
        <v>1634235239.5394363</v>
      </c>
      <c r="CL257" s="5">
        <f>IF($B256&lt;=Tabla5[[#This Row],[INVERSIONES FCI]],+Tabla5[[#This Row],[INVERSIONES FCI]]-CL256,Tabla5[[#This Row],[INVERSIONES FCI]])</f>
        <v>1634235239.5394363</v>
      </c>
      <c r="CM257" s="5">
        <f>IF($B256&lt;=Tabla5[[#This Row],[INVERSIONES FCI]],+Tabla5[[#This Row],[INVERSIONES FCI]]-CM256,Tabla5[[#This Row],[INVERSIONES FCI]])</f>
        <v>1634235239.5394363</v>
      </c>
      <c r="CN257" s="5">
        <f>IF($B256&lt;=Tabla5[[#This Row],[INVERSIONES FCI]],+Tabla5[[#This Row],[INVERSIONES FCI]]-CN256,Tabla5[[#This Row],[INVERSIONES FCI]])</f>
        <v>1634235239.5394363</v>
      </c>
      <c r="CO257" s="5">
        <f>IF($B256&lt;=Tabla5[[#This Row],[INVERSIONES FCI]],+Tabla5[[#This Row],[INVERSIONES FCI]]-CO256,Tabla5[[#This Row],[INVERSIONES FCI]])</f>
        <v>1634235239.5394363</v>
      </c>
      <c r="CP257" s="5">
        <f>IF($B256&lt;=Tabla5[[#This Row],[INVERSIONES FCI]],+Tabla5[[#This Row],[INVERSIONES FCI]]-CP256,Tabla5[[#This Row],[INVERSIONES FCI]])</f>
        <v>1634235239.5394363</v>
      </c>
      <c r="CQ257" s="5">
        <f>IF($B256&lt;=Tabla5[[#This Row],[INVERSIONES FCI]],+Tabla5[[#This Row],[INVERSIONES FCI]]-CQ256,Tabla5[[#This Row],[INVERSIONES FCI]])</f>
        <v>1634235239.5394363</v>
      </c>
      <c r="CR257" s="5">
        <f>IF($B256&lt;=Tabla5[[#This Row],[INVERSIONES FCI]],+Tabla5[[#This Row],[INVERSIONES FCI]]-CR256,Tabla5[[#This Row],[INVERSIONES FCI]])</f>
        <v>1634235239.5394363</v>
      </c>
      <c r="CS257" s="5">
        <f>IF($B256&lt;=Tabla5[[#This Row],[INVERSIONES FCI]],+Tabla5[[#This Row],[INVERSIONES FCI]]-CS256,Tabla5[[#This Row],[INVERSIONES FCI]])</f>
        <v>1634235239.5394363</v>
      </c>
      <c r="CT257" s="5">
        <f>IF($B256&lt;=Tabla5[[#This Row],[INVERSIONES FCI]],+Tabla5[[#This Row],[INVERSIONES FCI]]-CT256,Tabla5[[#This Row],[INVERSIONES FCI]])</f>
        <v>1634235239.5394363</v>
      </c>
      <c r="CU257" s="5">
        <f>IF($B256&lt;=Tabla5[[#This Row],[INVERSIONES FCI]],+Tabla5[[#This Row],[INVERSIONES FCI]]-CU256,Tabla5[[#This Row],[INVERSIONES FCI]])</f>
        <v>1634235239.5394363</v>
      </c>
      <c r="CV257" s="5">
        <f>IF($B256&lt;=Tabla5[[#This Row],[INVERSIONES FCI]],+Tabla5[[#This Row],[INVERSIONES FCI]]-CV256,Tabla5[[#This Row],[INVERSIONES FCI]])</f>
        <v>1634235239.5394363</v>
      </c>
      <c r="CW257" s="5">
        <f>IF($B256&lt;=Tabla5[[#This Row],[INVERSIONES FCI]],+Tabla5[[#This Row],[INVERSIONES FCI]]-CW256,Tabla5[[#This Row],[INVERSIONES FCI]])</f>
        <v>1634235239.5394363</v>
      </c>
      <c r="CX257" s="5">
        <f>IF($B256&lt;=Tabla5[[#This Row],[INVERSIONES FCI]],+Tabla5[[#This Row],[INVERSIONES FCI]]-CX256,Tabla5[[#This Row],[INVERSIONES FCI]])</f>
        <v>1634235239.5394363</v>
      </c>
      <c r="CY257" s="5">
        <f>IF($B256&lt;=Tabla5[[#This Row],[INVERSIONES FCI]],+Tabla5[[#This Row],[INVERSIONES FCI]]-CY256,Tabla5[[#This Row],[INVERSIONES FCI]])</f>
        <v>1634235239.5394363</v>
      </c>
      <c r="CZ257" s="5">
        <f>IF($B256&lt;=Tabla5[[#This Row],[INVERSIONES FCI]],+Tabla5[[#This Row],[INVERSIONES FCI]]-CZ256,Tabla5[[#This Row],[INVERSIONES FCI]])</f>
        <v>1634235239.5394363</v>
      </c>
      <c r="DA257" s="5">
        <f>IF($B256&lt;=Tabla5[[#This Row],[INVERSIONES FCI]],+Tabla5[[#This Row],[INVERSIONES FCI]]-DA256,Tabla5[[#This Row],[INVERSIONES FCI]])</f>
        <v>1634235239.5394363</v>
      </c>
      <c r="DB257" s="5">
        <f>IF($B256&lt;=Tabla5[[#This Row],[INVERSIONES FCI]],+Tabla5[[#This Row],[INVERSIONES FCI]]-DB256,Tabla5[[#This Row],[INVERSIONES FCI]])</f>
        <v>1634235239.5394363</v>
      </c>
      <c r="DC257" s="5">
        <f>IF($B256&lt;=Tabla5[[#This Row],[INVERSIONES FCI]],+Tabla5[[#This Row],[INVERSIONES FCI]]-DC256,Tabla5[[#This Row],[INVERSIONES FCI]])</f>
        <v>1634235239.5394363</v>
      </c>
      <c r="DD257" s="5">
        <f>IF($B256&lt;=Tabla5[[#This Row],[INVERSIONES FCI]],+Tabla5[[#This Row],[INVERSIONES FCI]]-DD256,Tabla5[[#This Row],[INVERSIONES FCI]])</f>
        <v>1634235239.5394363</v>
      </c>
      <c r="DE257" s="5">
        <f>IF($B256&lt;=Tabla5[[#This Row],[INVERSIONES FCI]],+Tabla5[[#This Row],[INVERSIONES FCI]]-DE256,Tabla5[[#This Row],[INVERSIONES FCI]])</f>
        <v>1634235239.5394363</v>
      </c>
      <c r="DF257" s="5">
        <f>IF($B256&lt;=Tabla5[[#This Row],[INVERSIONES FCI]],+Tabla5[[#This Row],[INVERSIONES FCI]]-DF256,Tabla5[[#This Row],[INVERSIONES FCI]])</f>
        <v>1634235239.5394363</v>
      </c>
      <c r="DG257" s="5">
        <f>IF($B256&lt;=Tabla5[[#This Row],[INVERSIONES FCI]],+Tabla5[[#This Row],[INVERSIONES FCI]]-DG256,Tabla5[[#This Row],[INVERSIONES FCI]])</f>
        <v>1634235239.5394363</v>
      </c>
      <c r="DH257" s="5">
        <f>IF($B256&lt;=Tabla5[[#This Row],[INVERSIONES FCI]],+Tabla5[[#This Row],[INVERSIONES FCI]]-DH256,Tabla5[[#This Row],[INVERSIONES FCI]])</f>
        <v>1634235239.5394363</v>
      </c>
      <c r="DI257" s="5">
        <f>IF($B256&lt;=Tabla5[[#This Row],[INVERSIONES FCI]],+Tabla5[[#This Row],[INVERSIONES FCI]]-DI256,Tabla5[[#This Row],[INVERSIONES FCI]])</f>
        <v>1634235239.5394363</v>
      </c>
      <c r="DJ257" s="5">
        <f>IF($B256&lt;=Tabla5[[#This Row],[INVERSIONES FCI]],+Tabla5[[#This Row],[INVERSIONES FCI]]-DJ256,Tabla5[[#This Row],[INVERSIONES FCI]])</f>
        <v>1634235239.5394363</v>
      </c>
      <c r="DK257" s="5">
        <f>IF($B256&lt;=Tabla5[[#This Row],[INVERSIONES FCI]],+Tabla5[[#This Row],[INVERSIONES FCI]]-DK256,Tabla5[[#This Row],[INVERSIONES FCI]])</f>
        <v>1634235239.5394363</v>
      </c>
      <c r="DL257" s="5"/>
      <c r="DM257" s="5"/>
      <c r="DN257" s="5"/>
      <c r="DO257" s="5"/>
      <c r="DP257" s="5"/>
      <c r="DQ257" s="5"/>
    </row>
    <row r="258" spans="1:121" ht="14.4">
      <c r="A258" s="12" t="s">
        <v>257</v>
      </c>
      <c r="B258" s="5">
        <f>HLOOKUP($A258,ESCENARIO[#All],7,FALSE)</f>
        <v>51686667510.733047</v>
      </c>
      <c r="C258" s="5">
        <f>IF($B257&lt;=Tabla5[[#This Row],[INVERSIONES FCI]],+Tabla5[[#This Row],[INVERSIONES FCI]]-C257,Tabla5[[#This Row],[INVERSIONES FCI]])</f>
        <v>51686667510.733047</v>
      </c>
      <c r="D258" s="5">
        <f>IF($B257&lt;=Tabla5[[#This Row],[INVERSIONES FCI]],+Tabla5[[#This Row],[INVERSIONES FCI]]-D257,Tabla5[[#This Row],[INVERSIONES FCI]])</f>
        <v>51686667510.733047</v>
      </c>
      <c r="E258" s="5">
        <f>IF($B257&lt;=Tabla5[[#This Row],[INVERSIONES FCI]],+Tabla5[[#This Row],[INVERSIONES FCI]]-E257,Tabla5[[#This Row],[INVERSIONES FCI]])</f>
        <v>51686667510.733047</v>
      </c>
      <c r="F258" s="5">
        <f>IF($B257&lt;=Tabla5[[#This Row],[INVERSIONES FCI]],+Tabla5[[#This Row],[INVERSIONES FCI]]-F257,Tabla5[[#This Row],[INVERSIONES FCI]])</f>
        <v>51686667510.733047</v>
      </c>
      <c r="G258" s="5">
        <f>IF($B257&lt;=Tabla5[[#This Row],[INVERSIONES FCI]],+Tabla5[[#This Row],[INVERSIONES FCI]]-G257,Tabla5[[#This Row],[INVERSIONES FCI]])</f>
        <v>51686667510.733047</v>
      </c>
      <c r="H258" s="5">
        <f>IF($B257&lt;=Tabla5[[#This Row],[INVERSIONES FCI]],+Tabla5[[#This Row],[INVERSIONES FCI]]-H257,Tabla5[[#This Row],[INVERSIONES FCI]])</f>
        <v>51686667510.733047</v>
      </c>
      <c r="I258" s="5">
        <f>IF($B257&lt;=Tabla5[[#This Row],[INVERSIONES FCI]],+Tabla5[[#This Row],[INVERSIONES FCI]]-I257,Tabla5[[#This Row],[INVERSIONES FCI]])</f>
        <v>51686667510.733047</v>
      </c>
      <c r="J258" s="5">
        <f>IF($B257&lt;=Tabla5[[#This Row],[INVERSIONES FCI]],+Tabla5[[#This Row],[INVERSIONES FCI]]-J257,Tabla5[[#This Row],[INVERSIONES FCI]])</f>
        <v>51686667510.733047</v>
      </c>
      <c r="K258" s="5">
        <f>IF($B257&lt;=Tabla5[[#This Row],[INVERSIONES FCI]],+Tabla5[[#This Row],[INVERSIONES FCI]]-K257,Tabla5[[#This Row],[INVERSIONES FCI]])</f>
        <v>51686667510.733047</v>
      </c>
      <c r="L258" s="5">
        <f>IF($B257&lt;=Tabla5[[#This Row],[INVERSIONES FCI]],+Tabla5[[#This Row],[INVERSIONES FCI]]-L257,Tabla5[[#This Row],[INVERSIONES FCI]])</f>
        <v>51686667510.733047</v>
      </c>
      <c r="M258" s="5">
        <f>IF($B257&lt;=Tabla5[[#This Row],[INVERSIONES FCI]],+Tabla5[[#This Row],[INVERSIONES FCI]]-M257,Tabla5[[#This Row],[INVERSIONES FCI]])</f>
        <v>51686667510.733047</v>
      </c>
      <c r="N258" s="5">
        <f>IF($B257&lt;=Tabla5[[#This Row],[INVERSIONES FCI]],+Tabla5[[#This Row],[INVERSIONES FCI]]-N257,Tabla5[[#This Row],[INVERSIONES FCI]])</f>
        <v>51686667510.733047</v>
      </c>
      <c r="O258" s="5">
        <f>IF($B257&lt;=Tabla5[[#This Row],[INVERSIONES FCI]],+Tabla5[[#This Row],[INVERSIONES FCI]]-O257,Tabla5[[#This Row],[INVERSIONES FCI]])</f>
        <v>51686667510.733047</v>
      </c>
      <c r="P258" s="5">
        <f>IF($B257&lt;=Tabla5[[#This Row],[INVERSIONES FCI]],+Tabla5[[#This Row],[INVERSIONES FCI]]-P257,Tabla5[[#This Row],[INVERSIONES FCI]])</f>
        <v>51686667510.733047</v>
      </c>
      <c r="Q258" s="5">
        <f>IF($B257&lt;=Tabla5[[#This Row],[INVERSIONES FCI]],+Tabla5[[#This Row],[INVERSIONES FCI]]-Q257,Tabla5[[#This Row],[INVERSIONES FCI]])</f>
        <v>51686667510.733047</v>
      </c>
      <c r="R258" s="5">
        <f>IF($B257&lt;=Tabla5[[#This Row],[INVERSIONES FCI]],+Tabla5[[#This Row],[INVERSIONES FCI]]-R257,Tabla5[[#This Row],[INVERSIONES FCI]])</f>
        <v>51686667510.733047</v>
      </c>
      <c r="S258" s="5">
        <f>IF($B257&lt;=Tabla5[[#This Row],[INVERSIONES FCI]],+Tabla5[[#This Row],[INVERSIONES FCI]]-S257,Tabla5[[#This Row],[INVERSIONES FCI]])</f>
        <v>51686667510.733047</v>
      </c>
      <c r="T258" s="5">
        <f>IF($B257&lt;=Tabla5[[#This Row],[INVERSIONES FCI]],+Tabla5[[#This Row],[INVERSIONES FCI]]-T257,Tabla5[[#This Row],[INVERSIONES FCI]])</f>
        <v>51686667510.733047</v>
      </c>
      <c r="U258" s="5">
        <f>IF($B257&lt;=Tabla5[[#This Row],[INVERSIONES FCI]],+Tabla5[[#This Row],[INVERSIONES FCI]]-U257,Tabla5[[#This Row],[INVERSIONES FCI]])</f>
        <v>51686667510.733047</v>
      </c>
      <c r="V258" s="5">
        <f>IF($B257&lt;=Tabla5[[#This Row],[INVERSIONES FCI]],+Tabla5[[#This Row],[INVERSIONES FCI]]-V257,Tabla5[[#This Row],[INVERSIONES FCI]])</f>
        <v>51686667510.733047</v>
      </c>
      <c r="W258" s="5">
        <f>IF($B257&lt;=Tabla5[[#This Row],[INVERSIONES FCI]],+Tabla5[[#This Row],[INVERSIONES FCI]]-W257,Tabla5[[#This Row],[INVERSIONES FCI]])</f>
        <v>51686667510.733047</v>
      </c>
      <c r="X258" s="5">
        <f>IF($B257&lt;=Tabla5[[#This Row],[INVERSIONES FCI]],+Tabla5[[#This Row],[INVERSIONES FCI]]-X257,Tabla5[[#This Row],[INVERSIONES FCI]])</f>
        <v>51686667510.733047</v>
      </c>
      <c r="Y258" s="5">
        <f>IF($B257&lt;=Tabla5[[#This Row],[INVERSIONES FCI]],+Tabla5[[#This Row],[INVERSIONES FCI]]-Y257,Tabla5[[#This Row],[INVERSIONES FCI]])</f>
        <v>51686667510.733047</v>
      </c>
      <c r="Z258" s="5">
        <f>IF($B257&lt;=Tabla5[[#This Row],[INVERSIONES FCI]],+Tabla5[[#This Row],[INVERSIONES FCI]]-Z257,Tabla5[[#This Row],[INVERSIONES FCI]])</f>
        <v>51686667510.733047</v>
      </c>
      <c r="AA258" s="5">
        <f>IF($B257&lt;=Tabla5[[#This Row],[INVERSIONES FCI]],+Tabla5[[#This Row],[INVERSIONES FCI]]-AA257,Tabla5[[#This Row],[INVERSIONES FCI]])</f>
        <v>51686667510.733047</v>
      </c>
      <c r="AB258" s="5">
        <f>IF($B257&lt;=Tabla5[[#This Row],[INVERSIONES FCI]],+Tabla5[[#This Row],[INVERSIONES FCI]]-AB257,Tabla5[[#This Row],[INVERSIONES FCI]])</f>
        <v>51686667510.733047</v>
      </c>
      <c r="AC258" s="5">
        <f>IF($B257&lt;=Tabla5[[#This Row],[INVERSIONES FCI]],+Tabla5[[#This Row],[INVERSIONES FCI]]-AC257,Tabla5[[#This Row],[INVERSIONES FCI]])</f>
        <v>51686667510.733047</v>
      </c>
      <c r="AD258" s="5">
        <f>IF($B257&lt;=Tabla5[[#This Row],[INVERSIONES FCI]],+Tabla5[[#This Row],[INVERSIONES FCI]]-AD257,Tabla5[[#This Row],[INVERSIONES FCI]])</f>
        <v>51686667510.733047</v>
      </c>
      <c r="AE258" s="5">
        <f>IF($B257&lt;=Tabla5[[#This Row],[INVERSIONES FCI]],+Tabla5[[#This Row],[INVERSIONES FCI]]-AE257,Tabla5[[#This Row],[INVERSIONES FCI]])</f>
        <v>51686667510.733047</v>
      </c>
      <c r="AF258" s="5">
        <f>IF($B257&lt;=Tabla5[[#This Row],[INVERSIONES FCI]],+Tabla5[[#This Row],[INVERSIONES FCI]]-AF257,Tabla5[[#This Row],[INVERSIONES FCI]])</f>
        <v>51686667510.733047</v>
      </c>
      <c r="AG258" s="5">
        <f>IF($B257&lt;=Tabla5[[#This Row],[INVERSIONES FCI]],+Tabla5[[#This Row],[INVERSIONES FCI]]-AG257,Tabla5[[#This Row],[INVERSIONES FCI]])</f>
        <v>51686667510.733047</v>
      </c>
      <c r="AH258" s="5">
        <f>IF($B257&lt;=Tabla5[[#This Row],[INVERSIONES FCI]],+Tabla5[[#This Row],[INVERSIONES FCI]]-AH257,Tabla5[[#This Row],[INVERSIONES FCI]])</f>
        <v>51686667510.733047</v>
      </c>
      <c r="AI258" s="5">
        <f>IF($B257&lt;=Tabla5[[#This Row],[INVERSIONES FCI]],+Tabla5[[#This Row],[INVERSIONES FCI]]-AI257,Tabla5[[#This Row],[INVERSIONES FCI]])</f>
        <v>51686667510.733047</v>
      </c>
      <c r="AJ258" s="5">
        <f>IF($B257&lt;=Tabla5[[#This Row],[INVERSIONES FCI]],+Tabla5[[#This Row],[INVERSIONES FCI]]-AJ257,Tabla5[[#This Row],[INVERSIONES FCI]])</f>
        <v>51686667510.733047</v>
      </c>
      <c r="AK258" s="5">
        <f>IF($B257&lt;=Tabla5[[#This Row],[INVERSIONES FCI]],+Tabla5[[#This Row],[INVERSIONES FCI]]-AK257,Tabla5[[#This Row],[INVERSIONES FCI]])</f>
        <v>51686667510.733047</v>
      </c>
      <c r="AL258" s="5">
        <f>IF($B257&lt;=Tabla5[[#This Row],[INVERSIONES FCI]],+Tabla5[[#This Row],[INVERSIONES FCI]]-AL257,Tabla5[[#This Row],[INVERSIONES FCI]])</f>
        <v>51686667510.733047</v>
      </c>
      <c r="AM258" s="5">
        <f>IF($B257&lt;=Tabla5[[#This Row],[INVERSIONES FCI]],+Tabla5[[#This Row],[INVERSIONES FCI]]-AM257,Tabla5[[#This Row],[INVERSIONES FCI]])</f>
        <v>51686667510.733047</v>
      </c>
      <c r="AN258" s="5">
        <f>IF($B257&lt;=Tabla5[[#This Row],[INVERSIONES FCI]],+Tabla5[[#This Row],[INVERSIONES FCI]]-AN257,Tabla5[[#This Row],[INVERSIONES FCI]])</f>
        <v>51686667510.733047</v>
      </c>
      <c r="AO258" s="5">
        <f>IF($B257&lt;=Tabla5[[#This Row],[INVERSIONES FCI]],+Tabla5[[#This Row],[INVERSIONES FCI]]-AO257,Tabla5[[#This Row],[INVERSIONES FCI]])</f>
        <v>51686667510.733047</v>
      </c>
      <c r="AP258" s="5">
        <f>IF($B257&lt;=Tabla5[[#This Row],[INVERSIONES FCI]],+Tabla5[[#This Row],[INVERSIONES FCI]]-AP257,Tabla5[[#This Row],[INVERSIONES FCI]])</f>
        <v>51686667510.733047</v>
      </c>
      <c r="AQ258" s="5">
        <f>IF($B257&lt;=Tabla5[[#This Row],[INVERSIONES FCI]],+Tabla5[[#This Row],[INVERSIONES FCI]]-AQ257,Tabla5[[#This Row],[INVERSIONES FCI]])</f>
        <v>51686667510.733047</v>
      </c>
      <c r="AR258" s="5">
        <f>IF($B257&lt;=Tabla5[[#This Row],[INVERSIONES FCI]],+Tabla5[[#This Row],[INVERSIONES FCI]]-AR257,Tabla5[[#This Row],[INVERSIONES FCI]])</f>
        <v>51686667510.733047</v>
      </c>
      <c r="AS258" s="5">
        <f>IF($B257&lt;=Tabla5[[#This Row],[INVERSIONES FCI]],+Tabla5[[#This Row],[INVERSIONES FCI]]-AS257,Tabla5[[#This Row],[INVERSIONES FCI]])</f>
        <v>51686667510.733047</v>
      </c>
      <c r="AT258" s="5">
        <f>IF($B257&lt;=Tabla5[[#This Row],[INVERSIONES FCI]],+Tabla5[[#This Row],[INVERSIONES FCI]]-AT257,Tabla5[[#This Row],[INVERSIONES FCI]])</f>
        <v>51686667510.733047</v>
      </c>
      <c r="AU258" s="5">
        <f>IF($B257&lt;=Tabla5[[#This Row],[INVERSIONES FCI]],+Tabla5[[#This Row],[INVERSIONES FCI]]-AU257,Tabla5[[#This Row],[INVERSIONES FCI]])</f>
        <v>51686667510.733047</v>
      </c>
      <c r="AV258" s="5">
        <f>IF($B257&lt;=Tabla5[[#This Row],[INVERSIONES FCI]],+Tabla5[[#This Row],[INVERSIONES FCI]]-AV257,Tabla5[[#This Row],[INVERSIONES FCI]])</f>
        <v>51686667510.733047</v>
      </c>
      <c r="AW258" s="5">
        <f>IF($B257&lt;=Tabla5[[#This Row],[INVERSIONES FCI]],+Tabla5[[#This Row],[INVERSIONES FCI]]-AW257,Tabla5[[#This Row],[INVERSIONES FCI]])</f>
        <v>51686667510.733047</v>
      </c>
      <c r="AX258" s="5">
        <f>IF($B257&lt;=Tabla5[[#This Row],[INVERSIONES FCI]],+Tabla5[[#This Row],[INVERSIONES FCI]]-AX257,Tabla5[[#This Row],[INVERSIONES FCI]])</f>
        <v>51686667510.733047</v>
      </c>
      <c r="AY258" s="5">
        <f>IF($B257&lt;=Tabla5[[#This Row],[INVERSIONES FCI]],+Tabla5[[#This Row],[INVERSIONES FCI]]-AY257,Tabla5[[#This Row],[INVERSIONES FCI]])</f>
        <v>51686667510.733047</v>
      </c>
      <c r="AZ258" s="5">
        <f>IF($B257&lt;=Tabla5[[#This Row],[INVERSIONES FCI]],+Tabla5[[#This Row],[INVERSIONES FCI]]-AZ257,Tabla5[[#This Row],[INVERSIONES FCI]])</f>
        <v>51686667510.733047</v>
      </c>
      <c r="BA258" s="5">
        <f>IF($B257&lt;=Tabla5[[#This Row],[INVERSIONES FCI]],+Tabla5[[#This Row],[INVERSIONES FCI]]-BA257,Tabla5[[#This Row],[INVERSIONES FCI]])</f>
        <v>51686667510.733047</v>
      </c>
      <c r="BB258" s="5">
        <f>IF($B257&lt;=Tabla5[[#This Row],[INVERSIONES FCI]],+Tabla5[[#This Row],[INVERSIONES FCI]]-BB257,Tabla5[[#This Row],[INVERSIONES FCI]])</f>
        <v>51686667510.733047</v>
      </c>
      <c r="BC258" s="5">
        <f>IF($B257&lt;=Tabla5[[#This Row],[INVERSIONES FCI]],+Tabla5[[#This Row],[INVERSIONES FCI]]-BC257,Tabla5[[#This Row],[INVERSIONES FCI]])</f>
        <v>51686667510.733047</v>
      </c>
      <c r="BD258" s="5">
        <f>IF($B257&lt;=Tabla5[[#This Row],[INVERSIONES FCI]],+Tabla5[[#This Row],[INVERSIONES FCI]]-BD257,Tabla5[[#This Row],[INVERSIONES FCI]])</f>
        <v>51686667510.733047</v>
      </c>
      <c r="BE258" s="5">
        <f>IF($B257&lt;=Tabla5[[#This Row],[INVERSIONES FCI]],+Tabla5[[#This Row],[INVERSIONES FCI]]-BE257,Tabla5[[#This Row],[INVERSIONES FCI]])</f>
        <v>51686667510.733047</v>
      </c>
      <c r="BF258" s="5">
        <f>IF($B257&lt;=Tabla5[[#This Row],[INVERSIONES FCI]],+Tabla5[[#This Row],[INVERSIONES FCI]]-BF257,Tabla5[[#This Row],[INVERSIONES FCI]])</f>
        <v>51686667510.733047</v>
      </c>
      <c r="BG258" s="5">
        <f>IF($B257&lt;=Tabla5[[#This Row],[INVERSIONES FCI]],+Tabla5[[#This Row],[INVERSIONES FCI]]-BG257,Tabla5[[#This Row],[INVERSIONES FCI]])</f>
        <v>51686667510.733047</v>
      </c>
      <c r="BH258" s="5">
        <f>IF($B257&lt;=Tabla5[[#This Row],[INVERSIONES FCI]],+Tabla5[[#This Row],[INVERSIONES FCI]]-BH257,Tabla5[[#This Row],[INVERSIONES FCI]])</f>
        <v>51686667510.733047</v>
      </c>
      <c r="BI258" s="5">
        <f>IF($B257&lt;=Tabla5[[#This Row],[INVERSIONES FCI]],+Tabla5[[#This Row],[INVERSIONES FCI]]-BI257,Tabla5[[#This Row],[INVERSIONES FCI]])</f>
        <v>51686667510.733047</v>
      </c>
      <c r="BJ258" s="5">
        <f>IF($B257&lt;=Tabla5[[#This Row],[INVERSIONES FCI]],+Tabla5[[#This Row],[INVERSIONES FCI]]-BJ257,Tabla5[[#This Row],[INVERSIONES FCI]])</f>
        <v>51686667510.733047</v>
      </c>
      <c r="BK258" s="5">
        <f>IF($B257&lt;=Tabla5[[#This Row],[INVERSIONES FCI]],+Tabla5[[#This Row],[INVERSIONES FCI]]-BK257,Tabla5[[#This Row],[INVERSIONES FCI]])</f>
        <v>51686667510.733047</v>
      </c>
      <c r="BL258" s="5">
        <f>IF($B257&lt;=Tabla5[[#This Row],[INVERSIONES FCI]],+Tabla5[[#This Row],[INVERSIONES FCI]]-BL257,Tabla5[[#This Row],[INVERSIONES FCI]])</f>
        <v>51686667510.733047</v>
      </c>
      <c r="BM258" s="5">
        <f>IF($B257&lt;=Tabla5[[#This Row],[INVERSIONES FCI]],+Tabla5[[#This Row],[INVERSIONES FCI]]-BM257,Tabla5[[#This Row],[INVERSIONES FCI]])</f>
        <v>51686667510.733047</v>
      </c>
      <c r="BN258" s="5">
        <f>IF($B257&lt;=Tabla5[[#This Row],[INVERSIONES FCI]],+Tabla5[[#This Row],[INVERSIONES FCI]]-BN257,Tabla5[[#This Row],[INVERSIONES FCI]])</f>
        <v>51686667510.733047</v>
      </c>
      <c r="BO258" s="5">
        <f>IF($B257&lt;=Tabla5[[#This Row],[INVERSIONES FCI]],+Tabla5[[#This Row],[INVERSIONES FCI]]-BO257,Tabla5[[#This Row],[INVERSIONES FCI]])</f>
        <v>51686667510.733047</v>
      </c>
      <c r="BP258" s="5">
        <f>IF($B257&lt;=Tabla5[[#This Row],[INVERSIONES FCI]],+Tabla5[[#This Row],[INVERSIONES FCI]]-BP257,Tabla5[[#This Row],[INVERSIONES FCI]])</f>
        <v>51686667510.733047</v>
      </c>
      <c r="BQ258" s="5">
        <f>IF($B257&lt;=Tabla5[[#This Row],[INVERSIONES FCI]],+Tabla5[[#This Row],[INVERSIONES FCI]]-BQ257,Tabla5[[#This Row],[INVERSIONES FCI]])</f>
        <v>51686667510.733047</v>
      </c>
      <c r="BR258" s="5">
        <f>IF($B257&lt;=Tabla5[[#This Row],[INVERSIONES FCI]],+Tabla5[[#This Row],[INVERSIONES FCI]]-BR257,Tabla5[[#This Row],[INVERSIONES FCI]])</f>
        <v>51686667510.733047</v>
      </c>
      <c r="BS258" s="5">
        <f>IF($B257&lt;=Tabla5[[#This Row],[INVERSIONES FCI]],+Tabla5[[#This Row],[INVERSIONES FCI]]-BS257,Tabla5[[#This Row],[INVERSIONES FCI]])</f>
        <v>51686667510.733047</v>
      </c>
      <c r="BT258" s="5">
        <f>IF($B257&lt;=Tabla5[[#This Row],[INVERSIONES FCI]],+Tabla5[[#This Row],[INVERSIONES FCI]]-BT257,Tabla5[[#This Row],[INVERSIONES FCI]])</f>
        <v>51686667510.733047</v>
      </c>
      <c r="BU258" s="5">
        <f>IF($B257&lt;=Tabla5[[#This Row],[INVERSIONES FCI]],+Tabla5[[#This Row],[INVERSIONES FCI]]-BU257,Tabla5[[#This Row],[INVERSIONES FCI]])</f>
        <v>51686667510.733047</v>
      </c>
      <c r="BV258" s="5">
        <f>IF($B257&lt;=Tabla5[[#This Row],[INVERSIONES FCI]],+Tabla5[[#This Row],[INVERSIONES FCI]]-BV257,Tabla5[[#This Row],[INVERSIONES FCI]])</f>
        <v>51686667510.733047</v>
      </c>
      <c r="BW258" s="5">
        <f>IF($B257&lt;=Tabla5[[#This Row],[INVERSIONES FCI]],+Tabla5[[#This Row],[INVERSIONES FCI]]-BW257,Tabla5[[#This Row],[INVERSIONES FCI]])</f>
        <v>51686667510.733047</v>
      </c>
      <c r="BX258" s="5">
        <f>IF($B257&lt;=Tabla5[[#This Row],[INVERSIONES FCI]],+Tabla5[[#This Row],[INVERSIONES FCI]]-BX257,Tabla5[[#This Row],[INVERSIONES FCI]])</f>
        <v>51686667510.733047</v>
      </c>
      <c r="BY258" s="5">
        <f>IF($B257&lt;=Tabla5[[#This Row],[INVERSIONES FCI]],+Tabla5[[#This Row],[INVERSIONES FCI]]-BY257,Tabla5[[#This Row],[INVERSIONES FCI]])</f>
        <v>51686667510.733047</v>
      </c>
      <c r="BZ258" s="5">
        <f>IF($B257&lt;=Tabla5[[#This Row],[INVERSIONES FCI]],+Tabla5[[#This Row],[INVERSIONES FCI]]-BZ257,Tabla5[[#This Row],[INVERSIONES FCI]])</f>
        <v>51686667510.733047</v>
      </c>
      <c r="CA258" s="5">
        <f>IF($B257&lt;=Tabla5[[#This Row],[INVERSIONES FCI]],+Tabla5[[#This Row],[INVERSIONES FCI]]-CA257,Tabla5[[#This Row],[INVERSIONES FCI]])</f>
        <v>51686667510.733047</v>
      </c>
      <c r="CB258" s="5">
        <f>IF($B257&lt;=Tabla5[[#This Row],[INVERSIONES FCI]],+Tabla5[[#This Row],[INVERSIONES FCI]]-CB257,Tabla5[[#This Row],[INVERSIONES FCI]])</f>
        <v>51686667510.733047</v>
      </c>
      <c r="CC258" s="5">
        <f>IF($B257&lt;=Tabla5[[#This Row],[INVERSIONES FCI]],+Tabla5[[#This Row],[INVERSIONES FCI]]-CC257,Tabla5[[#This Row],[INVERSIONES FCI]])</f>
        <v>51686667510.733047</v>
      </c>
      <c r="CD258" s="5">
        <f>IF($B257&lt;=Tabla5[[#This Row],[INVERSIONES FCI]],+Tabla5[[#This Row],[INVERSIONES FCI]]-CD257,Tabla5[[#This Row],[INVERSIONES FCI]])</f>
        <v>51686667510.733047</v>
      </c>
      <c r="CE258" s="5">
        <f>IF($B257&lt;=Tabla5[[#This Row],[INVERSIONES FCI]],+Tabla5[[#This Row],[INVERSIONES FCI]]-CE257,Tabla5[[#This Row],[INVERSIONES FCI]])</f>
        <v>51686667510.733047</v>
      </c>
      <c r="CF258" s="5">
        <f>IF($B257&lt;=Tabla5[[#This Row],[INVERSIONES FCI]],+Tabla5[[#This Row],[INVERSIONES FCI]]-CF257,Tabla5[[#This Row],[INVERSIONES FCI]])</f>
        <v>51686667510.733047</v>
      </c>
      <c r="CG258" s="5">
        <f>IF($B257&lt;=Tabla5[[#This Row],[INVERSIONES FCI]],+Tabla5[[#This Row],[INVERSIONES FCI]]-CG257,Tabla5[[#This Row],[INVERSIONES FCI]])</f>
        <v>51686667510.733047</v>
      </c>
      <c r="CH258" s="5">
        <f>IF($B257&lt;=Tabla5[[#This Row],[INVERSIONES FCI]],+Tabla5[[#This Row],[INVERSIONES FCI]]-CH257,Tabla5[[#This Row],[INVERSIONES FCI]])</f>
        <v>51686667510.733047</v>
      </c>
      <c r="CI258" s="5">
        <f>IF($B257&lt;=Tabla5[[#This Row],[INVERSIONES FCI]],+Tabla5[[#This Row],[INVERSIONES FCI]]-CI257,Tabla5[[#This Row],[INVERSIONES FCI]])</f>
        <v>51686667510.733047</v>
      </c>
      <c r="CJ258" s="5">
        <f>IF($B257&lt;=Tabla5[[#This Row],[INVERSIONES FCI]],+Tabla5[[#This Row],[INVERSIONES FCI]]-CJ257,Tabla5[[#This Row],[INVERSIONES FCI]])</f>
        <v>51686667510.733047</v>
      </c>
      <c r="CK258" s="5">
        <f>IF($B257&lt;=Tabla5[[#This Row],[INVERSIONES FCI]],+Tabla5[[#This Row],[INVERSIONES FCI]]-CK257,Tabla5[[#This Row],[INVERSIONES FCI]])</f>
        <v>51686667510.733047</v>
      </c>
      <c r="CL258" s="5">
        <f>IF($B257&lt;=Tabla5[[#This Row],[INVERSIONES FCI]],+Tabla5[[#This Row],[INVERSIONES FCI]]-CL257,Tabla5[[#This Row],[INVERSIONES FCI]])</f>
        <v>51686667510.733047</v>
      </c>
      <c r="CM258" s="5">
        <f>IF($B257&lt;=Tabla5[[#This Row],[INVERSIONES FCI]],+Tabla5[[#This Row],[INVERSIONES FCI]]-CM257,Tabla5[[#This Row],[INVERSIONES FCI]])</f>
        <v>51686667510.733047</v>
      </c>
      <c r="CN258" s="5">
        <f>IF($B257&lt;=Tabla5[[#This Row],[INVERSIONES FCI]],+Tabla5[[#This Row],[INVERSIONES FCI]]-CN257,Tabla5[[#This Row],[INVERSIONES FCI]])</f>
        <v>51686667510.733047</v>
      </c>
      <c r="CO258" s="5">
        <f>IF($B257&lt;=Tabla5[[#This Row],[INVERSIONES FCI]],+Tabla5[[#This Row],[INVERSIONES FCI]]-CO257,Tabla5[[#This Row],[INVERSIONES FCI]])</f>
        <v>51686667510.733047</v>
      </c>
      <c r="CP258" s="5">
        <f>IF($B257&lt;=Tabla5[[#This Row],[INVERSIONES FCI]],+Tabla5[[#This Row],[INVERSIONES FCI]]-CP257,Tabla5[[#This Row],[INVERSIONES FCI]])</f>
        <v>51686667510.733047</v>
      </c>
      <c r="CQ258" s="5">
        <f>IF($B257&lt;=Tabla5[[#This Row],[INVERSIONES FCI]],+Tabla5[[#This Row],[INVERSIONES FCI]]-CQ257,Tabla5[[#This Row],[INVERSIONES FCI]])</f>
        <v>51686667510.733047</v>
      </c>
      <c r="CR258" s="5">
        <f>IF($B257&lt;=Tabla5[[#This Row],[INVERSIONES FCI]],+Tabla5[[#This Row],[INVERSIONES FCI]]-CR257,Tabla5[[#This Row],[INVERSIONES FCI]])</f>
        <v>51686667510.733047</v>
      </c>
      <c r="CS258" s="5">
        <f>IF($B257&lt;=Tabla5[[#This Row],[INVERSIONES FCI]],+Tabla5[[#This Row],[INVERSIONES FCI]]-CS257,Tabla5[[#This Row],[INVERSIONES FCI]])</f>
        <v>51686667510.733047</v>
      </c>
      <c r="CT258" s="5">
        <f>IF($B257&lt;=Tabla5[[#This Row],[INVERSIONES FCI]],+Tabla5[[#This Row],[INVERSIONES FCI]]-CT257,Tabla5[[#This Row],[INVERSIONES FCI]])</f>
        <v>51686667510.733047</v>
      </c>
      <c r="CU258" s="5">
        <f>IF($B257&lt;=Tabla5[[#This Row],[INVERSIONES FCI]],+Tabla5[[#This Row],[INVERSIONES FCI]]-CU257,Tabla5[[#This Row],[INVERSIONES FCI]])</f>
        <v>51686667510.733047</v>
      </c>
      <c r="CV258" s="5">
        <f>IF($B257&lt;=Tabla5[[#This Row],[INVERSIONES FCI]],+Tabla5[[#This Row],[INVERSIONES FCI]]-CV257,Tabla5[[#This Row],[INVERSIONES FCI]])</f>
        <v>51686667510.733047</v>
      </c>
      <c r="CW258" s="5">
        <f>IF($B257&lt;=Tabla5[[#This Row],[INVERSIONES FCI]],+Tabla5[[#This Row],[INVERSIONES FCI]]-CW257,Tabla5[[#This Row],[INVERSIONES FCI]])</f>
        <v>51686667510.733047</v>
      </c>
      <c r="CX258" s="5">
        <f>IF($B257&lt;=Tabla5[[#This Row],[INVERSIONES FCI]],+Tabla5[[#This Row],[INVERSIONES FCI]]-CX257,Tabla5[[#This Row],[INVERSIONES FCI]])</f>
        <v>51686667510.733047</v>
      </c>
      <c r="CY258" s="5">
        <f>IF($B257&lt;=Tabla5[[#This Row],[INVERSIONES FCI]],+Tabla5[[#This Row],[INVERSIONES FCI]]-CY257,Tabla5[[#This Row],[INVERSIONES FCI]])</f>
        <v>51686667510.733047</v>
      </c>
      <c r="CZ258" s="5">
        <f>IF($B257&lt;=Tabla5[[#This Row],[INVERSIONES FCI]],+Tabla5[[#This Row],[INVERSIONES FCI]]-CZ257,Tabla5[[#This Row],[INVERSIONES FCI]])</f>
        <v>51686667510.733047</v>
      </c>
      <c r="DA258" s="5">
        <f>IF($B257&lt;=Tabla5[[#This Row],[INVERSIONES FCI]],+Tabla5[[#This Row],[INVERSIONES FCI]]-DA257,Tabla5[[#This Row],[INVERSIONES FCI]])</f>
        <v>51686667510.733047</v>
      </c>
      <c r="DB258" s="5">
        <f>IF($B257&lt;=Tabla5[[#This Row],[INVERSIONES FCI]],+Tabla5[[#This Row],[INVERSIONES FCI]]-DB257,Tabla5[[#This Row],[INVERSIONES FCI]])</f>
        <v>51686667510.733047</v>
      </c>
      <c r="DC258" s="5">
        <f>IF($B257&lt;=Tabla5[[#This Row],[INVERSIONES FCI]],+Tabla5[[#This Row],[INVERSIONES FCI]]-DC257,Tabla5[[#This Row],[INVERSIONES FCI]])</f>
        <v>51686667510.733047</v>
      </c>
      <c r="DD258" s="5">
        <f>IF($B257&lt;=Tabla5[[#This Row],[INVERSIONES FCI]],+Tabla5[[#This Row],[INVERSIONES FCI]]-DD257,Tabla5[[#This Row],[INVERSIONES FCI]])</f>
        <v>51686667510.733047</v>
      </c>
      <c r="DE258" s="5">
        <f>IF($B257&lt;=Tabla5[[#This Row],[INVERSIONES FCI]],+Tabla5[[#This Row],[INVERSIONES FCI]]-DE257,Tabla5[[#This Row],[INVERSIONES FCI]])</f>
        <v>51686667510.733047</v>
      </c>
      <c r="DF258" s="5">
        <f>IF($B257&lt;=Tabla5[[#This Row],[INVERSIONES FCI]],+Tabla5[[#This Row],[INVERSIONES FCI]]-DF257,Tabla5[[#This Row],[INVERSIONES FCI]])</f>
        <v>51686667510.733047</v>
      </c>
      <c r="DG258" s="5">
        <f>IF($B257&lt;=Tabla5[[#This Row],[INVERSIONES FCI]],+Tabla5[[#This Row],[INVERSIONES FCI]]-DG257,Tabla5[[#This Row],[INVERSIONES FCI]])</f>
        <v>51686667510.733047</v>
      </c>
      <c r="DH258" s="5">
        <f>IF($B257&lt;=Tabla5[[#This Row],[INVERSIONES FCI]],+Tabla5[[#This Row],[INVERSIONES FCI]]-DH257,Tabla5[[#This Row],[INVERSIONES FCI]])</f>
        <v>51686667510.733047</v>
      </c>
      <c r="DI258" s="5">
        <f>IF($B257&lt;=Tabla5[[#This Row],[INVERSIONES FCI]],+Tabla5[[#This Row],[INVERSIONES FCI]]-DI257,Tabla5[[#This Row],[INVERSIONES FCI]])</f>
        <v>51686667510.733047</v>
      </c>
      <c r="DJ258" s="5">
        <f>IF($B257&lt;=Tabla5[[#This Row],[INVERSIONES FCI]],+Tabla5[[#This Row],[INVERSIONES FCI]]-DJ257,Tabla5[[#This Row],[INVERSIONES FCI]])</f>
        <v>51686667510.733047</v>
      </c>
      <c r="DK258" s="5">
        <f>IF($B257&lt;=Tabla5[[#This Row],[INVERSIONES FCI]],+Tabla5[[#This Row],[INVERSIONES FCI]]-DK257,Tabla5[[#This Row],[INVERSIONES FCI]])</f>
        <v>51686667510.733047</v>
      </c>
      <c r="DL258" s="5"/>
      <c r="DM258" s="5"/>
      <c r="DN258" s="5"/>
      <c r="DO258" s="5"/>
      <c r="DP258" s="5"/>
      <c r="DQ258" s="5"/>
    </row>
    <row r="259" spans="1:121" ht="14.4">
      <c r="A259" s="12" t="s">
        <v>258</v>
      </c>
      <c r="B259" s="5">
        <f>HLOOKUP($A259,ESCENARIO[#All],7,FALSE)</f>
        <v>54767670242.401291</v>
      </c>
      <c r="C259" s="5">
        <f>IF($B258&lt;=Tabla5[[#This Row],[INVERSIONES FCI]],+Tabla5[[#This Row],[INVERSIONES FCI]]-C258,Tabla5[[#This Row],[INVERSIONES FCI]])</f>
        <v>3081002731.6682434</v>
      </c>
      <c r="D259" s="5">
        <f>IF($B258&lt;=Tabla5[[#This Row],[INVERSIONES FCI]],+Tabla5[[#This Row],[INVERSIONES FCI]]-D258,Tabla5[[#This Row],[INVERSIONES FCI]])</f>
        <v>3081002731.6682434</v>
      </c>
      <c r="E259" s="5">
        <f>IF($B258&lt;=Tabla5[[#This Row],[INVERSIONES FCI]],+Tabla5[[#This Row],[INVERSIONES FCI]]-E258,Tabla5[[#This Row],[INVERSIONES FCI]])</f>
        <v>3081002731.6682434</v>
      </c>
      <c r="F259" s="5">
        <f>IF($B258&lt;=Tabla5[[#This Row],[INVERSIONES FCI]],+Tabla5[[#This Row],[INVERSIONES FCI]]-F258,Tabla5[[#This Row],[INVERSIONES FCI]])</f>
        <v>3081002731.6682434</v>
      </c>
      <c r="G259" s="5">
        <f>IF($B258&lt;=Tabla5[[#This Row],[INVERSIONES FCI]],+Tabla5[[#This Row],[INVERSIONES FCI]]-G258,Tabla5[[#This Row],[INVERSIONES FCI]])</f>
        <v>3081002731.6682434</v>
      </c>
      <c r="H259" s="5">
        <f>IF($B258&lt;=Tabla5[[#This Row],[INVERSIONES FCI]],+Tabla5[[#This Row],[INVERSIONES FCI]]-H258,Tabla5[[#This Row],[INVERSIONES FCI]])</f>
        <v>3081002731.6682434</v>
      </c>
      <c r="I259" s="5">
        <f>IF($B258&lt;=Tabla5[[#This Row],[INVERSIONES FCI]],+Tabla5[[#This Row],[INVERSIONES FCI]]-I258,Tabla5[[#This Row],[INVERSIONES FCI]])</f>
        <v>3081002731.6682434</v>
      </c>
      <c r="J259" s="5">
        <f>IF($B258&lt;=Tabla5[[#This Row],[INVERSIONES FCI]],+Tabla5[[#This Row],[INVERSIONES FCI]]-J258,Tabla5[[#This Row],[INVERSIONES FCI]])</f>
        <v>3081002731.6682434</v>
      </c>
      <c r="K259" s="5">
        <f>IF($B258&lt;=Tabla5[[#This Row],[INVERSIONES FCI]],+Tabla5[[#This Row],[INVERSIONES FCI]]-K258,Tabla5[[#This Row],[INVERSIONES FCI]])</f>
        <v>3081002731.6682434</v>
      </c>
      <c r="L259" s="5">
        <f>IF($B258&lt;=Tabla5[[#This Row],[INVERSIONES FCI]],+Tabla5[[#This Row],[INVERSIONES FCI]]-L258,Tabla5[[#This Row],[INVERSIONES FCI]])</f>
        <v>3081002731.6682434</v>
      </c>
      <c r="M259" s="5">
        <f>IF($B258&lt;=Tabla5[[#This Row],[INVERSIONES FCI]],+Tabla5[[#This Row],[INVERSIONES FCI]]-M258,Tabla5[[#This Row],[INVERSIONES FCI]])</f>
        <v>3081002731.6682434</v>
      </c>
      <c r="N259" s="5">
        <f>IF($B258&lt;=Tabla5[[#This Row],[INVERSIONES FCI]],+Tabla5[[#This Row],[INVERSIONES FCI]]-N258,Tabla5[[#This Row],[INVERSIONES FCI]])</f>
        <v>3081002731.6682434</v>
      </c>
      <c r="O259" s="5">
        <f>IF($B258&lt;=Tabla5[[#This Row],[INVERSIONES FCI]],+Tabla5[[#This Row],[INVERSIONES FCI]]-O258,Tabla5[[#This Row],[INVERSIONES FCI]])</f>
        <v>3081002731.6682434</v>
      </c>
      <c r="P259" s="5">
        <f>IF($B258&lt;=Tabla5[[#This Row],[INVERSIONES FCI]],+Tabla5[[#This Row],[INVERSIONES FCI]]-P258,Tabla5[[#This Row],[INVERSIONES FCI]])</f>
        <v>3081002731.6682434</v>
      </c>
      <c r="Q259" s="5">
        <f>IF($B258&lt;=Tabla5[[#This Row],[INVERSIONES FCI]],+Tabla5[[#This Row],[INVERSIONES FCI]]-Q258,Tabla5[[#This Row],[INVERSIONES FCI]])</f>
        <v>3081002731.6682434</v>
      </c>
      <c r="R259" s="5">
        <f>IF($B258&lt;=Tabla5[[#This Row],[INVERSIONES FCI]],+Tabla5[[#This Row],[INVERSIONES FCI]]-R258,Tabla5[[#This Row],[INVERSIONES FCI]])</f>
        <v>3081002731.6682434</v>
      </c>
      <c r="S259" s="5">
        <f>IF($B258&lt;=Tabla5[[#This Row],[INVERSIONES FCI]],+Tabla5[[#This Row],[INVERSIONES FCI]]-S258,Tabla5[[#This Row],[INVERSIONES FCI]])</f>
        <v>3081002731.6682434</v>
      </c>
      <c r="T259" s="5">
        <f>IF($B258&lt;=Tabla5[[#This Row],[INVERSIONES FCI]],+Tabla5[[#This Row],[INVERSIONES FCI]]-T258,Tabla5[[#This Row],[INVERSIONES FCI]])</f>
        <v>3081002731.6682434</v>
      </c>
      <c r="U259" s="5">
        <f>IF($B258&lt;=Tabla5[[#This Row],[INVERSIONES FCI]],+Tabla5[[#This Row],[INVERSIONES FCI]]-U258,Tabla5[[#This Row],[INVERSIONES FCI]])</f>
        <v>3081002731.6682434</v>
      </c>
      <c r="V259" s="5">
        <f>IF($B258&lt;=Tabla5[[#This Row],[INVERSIONES FCI]],+Tabla5[[#This Row],[INVERSIONES FCI]]-V258,Tabla5[[#This Row],[INVERSIONES FCI]])</f>
        <v>3081002731.6682434</v>
      </c>
      <c r="W259" s="5">
        <f>IF($B258&lt;=Tabla5[[#This Row],[INVERSIONES FCI]],+Tabla5[[#This Row],[INVERSIONES FCI]]-W258,Tabla5[[#This Row],[INVERSIONES FCI]])</f>
        <v>3081002731.6682434</v>
      </c>
      <c r="X259" s="5">
        <f>IF($B258&lt;=Tabla5[[#This Row],[INVERSIONES FCI]],+Tabla5[[#This Row],[INVERSIONES FCI]]-X258,Tabla5[[#This Row],[INVERSIONES FCI]])</f>
        <v>3081002731.6682434</v>
      </c>
      <c r="Y259" s="5">
        <f>IF($B258&lt;=Tabla5[[#This Row],[INVERSIONES FCI]],+Tabla5[[#This Row],[INVERSIONES FCI]]-Y258,Tabla5[[#This Row],[INVERSIONES FCI]])</f>
        <v>3081002731.6682434</v>
      </c>
      <c r="Z259" s="5">
        <f>IF($B258&lt;=Tabla5[[#This Row],[INVERSIONES FCI]],+Tabla5[[#This Row],[INVERSIONES FCI]]-Z258,Tabla5[[#This Row],[INVERSIONES FCI]])</f>
        <v>3081002731.6682434</v>
      </c>
      <c r="AA259" s="5">
        <f>IF($B258&lt;=Tabla5[[#This Row],[INVERSIONES FCI]],+Tabla5[[#This Row],[INVERSIONES FCI]]-AA258,Tabla5[[#This Row],[INVERSIONES FCI]])</f>
        <v>3081002731.6682434</v>
      </c>
      <c r="AB259" s="5">
        <f>IF($B258&lt;=Tabla5[[#This Row],[INVERSIONES FCI]],+Tabla5[[#This Row],[INVERSIONES FCI]]-AB258,Tabla5[[#This Row],[INVERSIONES FCI]])</f>
        <v>3081002731.6682434</v>
      </c>
      <c r="AC259" s="5">
        <f>IF($B258&lt;=Tabla5[[#This Row],[INVERSIONES FCI]],+Tabla5[[#This Row],[INVERSIONES FCI]]-AC258,Tabla5[[#This Row],[INVERSIONES FCI]])</f>
        <v>3081002731.6682434</v>
      </c>
      <c r="AD259" s="5">
        <f>IF($B258&lt;=Tabla5[[#This Row],[INVERSIONES FCI]],+Tabla5[[#This Row],[INVERSIONES FCI]]-AD258,Tabla5[[#This Row],[INVERSIONES FCI]])</f>
        <v>3081002731.6682434</v>
      </c>
      <c r="AE259" s="5">
        <f>IF($B258&lt;=Tabla5[[#This Row],[INVERSIONES FCI]],+Tabla5[[#This Row],[INVERSIONES FCI]]-AE258,Tabla5[[#This Row],[INVERSIONES FCI]])</f>
        <v>3081002731.6682434</v>
      </c>
      <c r="AF259" s="5">
        <f>IF($B258&lt;=Tabla5[[#This Row],[INVERSIONES FCI]],+Tabla5[[#This Row],[INVERSIONES FCI]]-AF258,Tabla5[[#This Row],[INVERSIONES FCI]])</f>
        <v>3081002731.6682434</v>
      </c>
      <c r="AG259" s="5">
        <f>IF($B258&lt;=Tabla5[[#This Row],[INVERSIONES FCI]],+Tabla5[[#This Row],[INVERSIONES FCI]]-AG258,Tabla5[[#This Row],[INVERSIONES FCI]])</f>
        <v>3081002731.6682434</v>
      </c>
      <c r="AH259" s="5">
        <f>IF($B258&lt;=Tabla5[[#This Row],[INVERSIONES FCI]],+Tabla5[[#This Row],[INVERSIONES FCI]]-AH258,Tabla5[[#This Row],[INVERSIONES FCI]])</f>
        <v>3081002731.6682434</v>
      </c>
      <c r="AI259" s="5">
        <f>IF($B258&lt;=Tabla5[[#This Row],[INVERSIONES FCI]],+Tabla5[[#This Row],[INVERSIONES FCI]]-AI258,Tabla5[[#This Row],[INVERSIONES FCI]])</f>
        <v>3081002731.6682434</v>
      </c>
      <c r="AJ259" s="5">
        <f>IF($B258&lt;=Tabla5[[#This Row],[INVERSIONES FCI]],+Tabla5[[#This Row],[INVERSIONES FCI]]-AJ258,Tabla5[[#This Row],[INVERSIONES FCI]])</f>
        <v>3081002731.6682434</v>
      </c>
      <c r="AK259" s="5">
        <f>IF($B258&lt;=Tabla5[[#This Row],[INVERSIONES FCI]],+Tabla5[[#This Row],[INVERSIONES FCI]]-AK258,Tabla5[[#This Row],[INVERSIONES FCI]])</f>
        <v>3081002731.6682434</v>
      </c>
      <c r="AL259" s="5">
        <f>IF($B258&lt;=Tabla5[[#This Row],[INVERSIONES FCI]],+Tabla5[[#This Row],[INVERSIONES FCI]]-AL258,Tabla5[[#This Row],[INVERSIONES FCI]])</f>
        <v>3081002731.6682434</v>
      </c>
      <c r="AM259" s="5">
        <f>IF($B258&lt;=Tabla5[[#This Row],[INVERSIONES FCI]],+Tabla5[[#This Row],[INVERSIONES FCI]]-AM258,Tabla5[[#This Row],[INVERSIONES FCI]])</f>
        <v>3081002731.6682434</v>
      </c>
      <c r="AN259" s="5">
        <f>IF($B258&lt;=Tabla5[[#This Row],[INVERSIONES FCI]],+Tabla5[[#This Row],[INVERSIONES FCI]]-AN258,Tabla5[[#This Row],[INVERSIONES FCI]])</f>
        <v>3081002731.6682434</v>
      </c>
      <c r="AO259" s="5">
        <f>IF($B258&lt;=Tabla5[[#This Row],[INVERSIONES FCI]],+Tabla5[[#This Row],[INVERSIONES FCI]]-AO258,Tabla5[[#This Row],[INVERSIONES FCI]])</f>
        <v>3081002731.6682434</v>
      </c>
      <c r="AP259" s="5">
        <f>IF($B258&lt;=Tabla5[[#This Row],[INVERSIONES FCI]],+Tabla5[[#This Row],[INVERSIONES FCI]]-AP258,Tabla5[[#This Row],[INVERSIONES FCI]])</f>
        <v>3081002731.6682434</v>
      </c>
      <c r="AQ259" s="5">
        <f>IF($B258&lt;=Tabla5[[#This Row],[INVERSIONES FCI]],+Tabla5[[#This Row],[INVERSIONES FCI]]-AQ258,Tabla5[[#This Row],[INVERSIONES FCI]])</f>
        <v>3081002731.6682434</v>
      </c>
      <c r="AR259" s="5">
        <f>IF($B258&lt;=Tabla5[[#This Row],[INVERSIONES FCI]],+Tabla5[[#This Row],[INVERSIONES FCI]]-AR258,Tabla5[[#This Row],[INVERSIONES FCI]])</f>
        <v>3081002731.6682434</v>
      </c>
      <c r="AS259" s="5">
        <f>IF($B258&lt;=Tabla5[[#This Row],[INVERSIONES FCI]],+Tabla5[[#This Row],[INVERSIONES FCI]]-AS258,Tabla5[[#This Row],[INVERSIONES FCI]])</f>
        <v>3081002731.6682434</v>
      </c>
      <c r="AT259" s="5">
        <f>IF($B258&lt;=Tabla5[[#This Row],[INVERSIONES FCI]],+Tabla5[[#This Row],[INVERSIONES FCI]]-AT258,Tabla5[[#This Row],[INVERSIONES FCI]])</f>
        <v>3081002731.6682434</v>
      </c>
      <c r="AU259" s="5">
        <f>IF($B258&lt;=Tabla5[[#This Row],[INVERSIONES FCI]],+Tabla5[[#This Row],[INVERSIONES FCI]]-AU258,Tabla5[[#This Row],[INVERSIONES FCI]])</f>
        <v>3081002731.6682434</v>
      </c>
      <c r="AV259" s="5">
        <f>IF($B258&lt;=Tabla5[[#This Row],[INVERSIONES FCI]],+Tabla5[[#This Row],[INVERSIONES FCI]]-AV258,Tabla5[[#This Row],[INVERSIONES FCI]])</f>
        <v>3081002731.6682434</v>
      </c>
      <c r="AW259" s="5">
        <f>IF($B258&lt;=Tabla5[[#This Row],[INVERSIONES FCI]],+Tabla5[[#This Row],[INVERSIONES FCI]]-AW258,Tabla5[[#This Row],[INVERSIONES FCI]])</f>
        <v>3081002731.6682434</v>
      </c>
      <c r="AX259" s="5">
        <f>IF($B258&lt;=Tabla5[[#This Row],[INVERSIONES FCI]],+Tabla5[[#This Row],[INVERSIONES FCI]]-AX258,Tabla5[[#This Row],[INVERSIONES FCI]])</f>
        <v>3081002731.6682434</v>
      </c>
      <c r="AY259" s="5">
        <f>IF($B258&lt;=Tabla5[[#This Row],[INVERSIONES FCI]],+Tabla5[[#This Row],[INVERSIONES FCI]]-AY258,Tabla5[[#This Row],[INVERSIONES FCI]])</f>
        <v>3081002731.6682434</v>
      </c>
      <c r="AZ259" s="5">
        <f>IF($B258&lt;=Tabla5[[#This Row],[INVERSIONES FCI]],+Tabla5[[#This Row],[INVERSIONES FCI]]-AZ258,Tabla5[[#This Row],[INVERSIONES FCI]])</f>
        <v>3081002731.6682434</v>
      </c>
      <c r="BA259" s="5">
        <f>IF($B258&lt;=Tabla5[[#This Row],[INVERSIONES FCI]],+Tabla5[[#This Row],[INVERSIONES FCI]]-BA258,Tabla5[[#This Row],[INVERSIONES FCI]])</f>
        <v>3081002731.6682434</v>
      </c>
      <c r="BB259" s="5">
        <f>IF($B258&lt;=Tabla5[[#This Row],[INVERSIONES FCI]],+Tabla5[[#This Row],[INVERSIONES FCI]]-BB258,Tabla5[[#This Row],[INVERSIONES FCI]])</f>
        <v>3081002731.6682434</v>
      </c>
      <c r="BC259" s="5">
        <f>IF($B258&lt;=Tabla5[[#This Row],[INVERSIONES FCI]],+Tabla5[[#This Row],[INVERSIONES FCI]]-BC258,Tabla5[[#This Row],[INVERSIONES FCI]])</f>
        <v>3081002731.6682434</v>
      </c>
      <c r="BD259" s="5">
        <f>IF($B258&lt;=Tabla5[[#This Row],[INVERSIONES FCI]],+Tabla5[[#This Row],[INVERSIONES FCI]]-BD258,Tabla5[[#This Row],[INVERSIONES FCI]])</f>
        <v>3081002731.6682434</v>
      </c>
      <c r="BE259" s="5">
        <f>IF($B258&lt;=Tabla5[[#This Row],[INVERSIONES FCI]],+Tabla5[[#This Row],[INVERSIONES FCI]]-BE258,Tabla5[[#This Row],[INVERSIONES FCI]])</f>
        <v>3081002731.6682434</v>
      </c>
      <c r="BF259" s="5">
        <f>IF($B258&lt;=Tabla5[[#This Row],[INVERSIONES FCI]],+Tabla5[[#This Row],[INVERSIONES FCI]]-BF258,Tabla5[[#This Row],[INVERSIONES FCI]])</f>
        <v>3081002731.6682434</v>
      </c>
      <c r="BG259" s="5">
        <f>IF($B258&lt;=Tabla5[[#This Row],[INVERSIONES FCI]],+Tabla5[[#This Row],[INVERSIONES FCI]]-BG258,Tabla5[[#This Row],[INVERSIONES FCI]])</f>
        <v>3081002731.6682434</v>
      </c>
      <c r="BH259" s="5">
        <f>IF($B258&lt;=Tabla5[[#This Row],[INVERSIONES FCI]],+Tabla5[[#This Row],[INVERSIONES FCI]]-BH258,Tabla5[[#This Row],[INVERSIONES FCI]])</f>
        <v>3081002731.6682434</v>
      </c>
      <c r="BI259" s="5">
        <f>IF($B258&lt;=Tabla5[[#This Row],[INVERSIONES FCI]],+Tabla5[[#This Row],[INVERSIONES FCI]]-BI258,Tabla5[[#This Row],[INVERSIONES FCI]])</f>
        <v>3081002731.6682434</v>
      </c>
      <c r="BJ259" s="5">
        <f>IF($B258&lt;=Tabla5[[#This Row],[INVERSIONES FCI]],+Tabla5[[#This Row],[INVERSIONES FCI]]-BJ258,Tabla5[[#This Row],[INVERSIONES FCI]])</f>
        <v>3081002731.6682434</v>
      </c>
      <c r="BK259" s="5">
        <f>IF($B258&lt;=Tabla5[[#This Row],[INVERSIONES FCI]],+Tabla5[[#This Row],[INVERSIONES FCI]]-BK258,Tabla5[[#This Row],[INVERSIONES FCI]])</f>
        <v>3081002731.6682434</v>
      </c>
      <c r="BL259" s="5">
        <f>IF($B258&lt;=Tabla5[[#This Row],[INVERSIONES FCI]],+Tabla5[[#This Row],[INVERSIONES FCI]]-BL258,Tabla5[[#This Row],[INVERSIONES FCI]])</f>
        <v>3081002731.6682434</v>
      </c>
      <c r="BM259" s="5">
        <f>IF($B258&lt;=Tabla5[[#This Row],[INVERSIONES FCI]],+Tabla5[[#This Row],[INVERSIONES FCI]]-BM258,Tabla5[[#This Row],[INVERSIONES FCI]])</f>
        <v>3081002731.6682434</v>
      </c>
      <c r="BN259" s="5">
        <f>IF($B258&lt;=Tabla5[[#This Row],[INVERSIONES FCI]],+Tabla5[[#This Row],[INVERSIONES FCI]]-BN258,Tabla5[[#This Row],[INVERSIONES FCI]])</f>
        <v>3081002731.6682434</v>
      </c>
      <c r="BO259" s="5">
        <f>IF($B258&lt;=Tabla5[[#This Row],[INVERSIONES FCI]],+Tabla5[[#This Row],[INVERSIONES FCI]]-BO258,Tabla5[[#This Row],[INVERSIONES FCI]])</f>
        <v>3081002731.6682434</v>
      </c>
      <c r="BP259" s="5">
        <f>IF($B258&lt;=Tabla5[[#This Row],[INVERSIONES FCI]],+Tabla5[[#This Row],[INVERSIONES FCI]]-BP258,Tabla5[[#This Row],[INVERSIONES FCI]])</f>
        <v>3081002731.6682434</v>
      </c>
      <c r="BQ259" s="5">
        <f>IF($B258&lt;=Tabla5[[#This Row],[INVERSIONES FCI]],+Tabla5[[#This Row],[INVERSIONES FCI]]-BQ258,Tabla5[[#This Row],[INVERSIONES FCI]])</f>
        <v>3081002731.6682434</v>
      </c>
      <c r="BR259" s="5">
        <f>IF($B258&lt;=Tabla5[[#This Row],[INVERSIONES FCI]],+Tabla5[[#This Row],[INVERSIONES FCI]]-BR258,Tabla5[[#This Row],[INVERSIONES FCI]])</f>
        <v>3081002731.6682434</v>
      </c>
      <c r="BS259" s="5">
        <f>IF($B258&lt;=Tabla5[[#This Row],[INVERSIONES FCI]],+Tabla5[[#This Row],[INVERSIONES FCI]]-BS258,Tabla5[[#This Row],[INVERSIONES FCI]])</f>
        <v>3081002731.6682434</v>
      </c>
      <c r="BT259" s="5">
        <f>IF($B258&lt;=Tabla5[[#This Row],[INVERSIONES FCI]],+Tabla5[[#This Row],[INVERSIONES FCI]]-BT258,Tabla5[[#This Row],[INVERSIONES FCI]])</f>
        <v>3081002731.6682434</v>
      </c>
      <c r="BU259" s="5">
        <f>IF($B258&lt;=Tabla5[[#This Row],[INVERSIONES FCI]],+Tabla5[[#This Row],[INVERSIONES FCI]]-BU258,Tabla5[[#This Row],[INVERSIONES FCI]])</f>
        <v>3081002731.6682434</v>
      </c>
      <c r="BV259" s="5">
        <f>IF($B258&lt;=Tabla5[[#This Row],[INVERSIONES FCI]],+Tabla5[[#This Row],[INVERSIONES FCI]]-BV258,Tabla5[[#This Row],[INVERSIONES FCI]])</f>
        <v>3081002731.6682434</v>
      </c>
      <c r="BW259" s="5">
        <f>IF($B258&lt;=Tabla5[[#This Row],[INVERSIONES FCI]],+Tabla5[[#This Row],[INVERSIONES FCI]]-BW258,Tabla5[[#This Row],[INVERSIONES FCI]])</f>
        <v>3081002731.6682434</v>
      </c>
      <c r="BX259" s="5">
        <f>IF($B258&lt;=Tabla5[[#This Row],[INVERSIONES FCI]],+Tabla5[[#This Row],[INVERSIONES FCI]]-BX258,Tabla5[[#This Row],[INVERSIONES FCI]])</f>
        <v>3081002731.6682434</v>
      </c>
      <c r="BY259" s="5">
        <f>IF($B258&lt;=Tabla5[[#This Row],[INVERSIONES FCI]],+Tabla5[[#This Row],[INVERSIONES FCI]]-BY258,Tabla5[[#This Row],[INVERSIONES FCI]])</f>
        <v>3081002731.6682434</v>
      </c>
      <c r="BZ259" s="5">
        <f>IF($B258&lt;=Tabla5[[#This Row],[INVERSIONES FCI]],+Tabla5[[#This Row],[INVERSIONES FCI]]-BZ258,Tabla5[[#This Row],[INVERSIONES FCI]])</f>
        <v>3081002731.6682434</v>
      </c>
      <c r="CA259" s="5">
        <f>IF($B258&lt;=Tabla5[[#This Row],[INVERSIONES FCI]],+Tabla5[[#This Row],[INVERSIONES FCI]]-CA258,Tabla5[[#This Row],[INVERSIONES FCI]])</f>
        <v>3081002731.6682434</v>
      </c>
      <c r="CB259" s="5">
        <f>IF($B258&lt;=Tabla5[[#This Row],[INVERSIONES FCI]],+Tabla5[[#This Row],[INVERSIONES FCI]]-CB258,Tabla5[[#This Row],[INVERSIONES FCI]])</f>
        <v>3081002731.6682434</v>
      </c>
      <c r="CC259" s="5">
        <f>IF($B258&lt;=Tabla5[[#This Row],[INVERSIONES FCI]],+Tabla5[[#This Row],[INVERSIONES FCI]]-CC258,Tabla5[[#This Row],[INVERSIONES FCI]])</f>
        <v>3081002731.6682434</v>
      </c>
      <c r="CD259" s="5">
        <f>IF($B258&lt;=Tabla5[[#This Row],[INVERSIONES FCI]],+Tabla5[[#This Row],[INVERSIONES FCI]]-CD258,Tabla5[[#This Row],[INVERSIONES FCI]])</f>
        <v>3081002731.6682434</v>
      </c>
      <c r="CE259" s="5">
        <f>IF($B258&lt;=Tabla5[[#This Row],[INVERSIONES FCI]],+Tabla5[[#This Row],[INVERSIONES FCI]]-CE258,Tabla5[[#This Row],[INVERSIONES FCI]])</f>
        <v>3081002731.6682434</v>
      </c>
      <c r="CF259" s="5">
        <f>IF($B258&lt;=Tabla5[[#This Row],[INVERSIONES FCI]],+Tabla5[[#This Row],[INVERSIONES FCI]]-CF258,Tabla5[[#This Row],[INVERSIONES FCI]])</f>
        <v>3081002731.6682434</v>
      </c>
      <c r="CG259" s="5">
        <f>IF($B258&lt;=Tabla5[[#This Row],[INVERSIONES FCI]],+Tabla5[[#This Row],[INVERSIONES FCI]]-CG258,Tabla5[[#This Row],[INVERSIONES FCI]])</f>
        <v>3081002731.6682434</v>
      </c>
      <c r="CH259" s="5">
        <f>IF($B258&lt;=Tabla5[[#This Row],[INVERSIONES FCI]],+Tabla5[[#This Row],[INVERSIONES FCI]]-CH258,Tabla5[[#This Row],[INVERSIONES FCI]])</f>
        <v>3081002731.6682434</v>
      </c>
      <c r="CI259" s="5">
        <f>IF($B258&lt;=Tabla5[[#This Row],[INVERSIONES FCI]],+Tabla5[[#This Row],[INVERSIONES FCI]]-CI258,Tabla5[[#This Row],[INVERSIONES FCI]])</f>
        <v>3081002731.6682434</v>
      </c>
      <c r="CJ259" s="5">
        <f>IF($B258&lt;=Tabla5[[#This Row],[INVERSIONES FCI]],+Tabla5[[#This Row],[INVERSIONES FCI]]-CJ258,Tabla5[[#This Row],[INVERSIONES FCI]])</f>
        <v>3081002731.6682434</v>
      </c>
      <c r="CK259" s="5">
        <f>IF($B258&lt;=Tabla5[[#This Row],[INVERSIONES FCI]],+Tabla5[[#This Row],[INVERSIONES FCI]]-CK258,Tabla5[[#This Row],[INVERSIONES FCI]])</f>
        <v>3081002731.6682434</v>
      </c>
      <c r="CL259" s="5">
        <f>IF($B258&lt;=Tabla5[[#This Row],[INVERSIONES FCI]],+Tabla5[[#This Row],[INVERSIONES FCI]]-CL258,Tabla5[[#This Row],[INVERSIONES FCI]])</f>
        <v>3081002731.6682434</v>
      </c>
      <c r="CM259" s="5">
        <f>IF($B258&lt;=Tabla5[[#This Row],[INVERSIONES FCI]],+Tabla5[[#This Row],[INVERSIONES FCI]]-CM258,Tabla5[[#This Row],[INVERSIONES FCI]])</f>
        <v>3081002731.6682434</v>
      </c>
      <c r="CN259" s="5">
        <f>IF($B258&lt;=Tabla5[[#This Row],[INVERSIONES FCI]],+Tabla5[[#This Row],[INVERSIONES FCI]]-CN258,Tabla5[[#This Row],[INVERSIONES FCI]])</f>
        <v>3081002731.6682434</v>
      </c>
      <c r="CO259" s="5">
        <f>IF($B258&lt;=Tabla5[[#This Row],[INVERSIONES FCI]],+Tabla5[[#This Row],[INVERSIONES FCI]]-CO258,Tabla5[[#This Row],[INVERSIONES FCI]])</f>
        <v>3081002731.6682434</v>
      </c>
      <c r="CP259" s="5">
        <f>IF($B258&lt;=Tabla5[[#This Row],[INVERSIONES FCI]],+Tabla5[[#This Row],[INVERSIONES FCI]]-CP258,Tabla5[[#This Row],[INVERSIONES FCI]])</f>
        <v>3081002731.6682434</v>
      </c>
      <c r="CQ259" s="5">
        <f>IF($B258&lt;=Tabla5[[#This Row],[INVERSIONES FCI]],+Tabla5[[#This Row],[INVERSIONES FCI]]-CQ258,Tabla5[[#This Row],[INVERSIONES FCI]])</f>
        <v>3081002731.6682434</v>
      </c>
      <c r="CR259" s="5">
        <f>IF($B258&lt;=Tabla5[[#This Row],[INVERSIONES FCI]],+Tabla5[[#This Row],[INVERSIONES FCI]]-CR258,Tabla5[[#This Row],[INVERSIONES FCI]])</f>
        <v>3081002731.6682434</v>
      </c>
      <c r="CS259" s="5">
        <f>IF($B258&lt;=Tabla5[[#This Row],[INVERSIONES FCI]],+Tabla5[[#This Row],[INVERSIONES FCI]]-CS258,Tabla5[[#This Row],[INVERSIONES FCI]])</f>
        <v>3081002731.6682434</v>
      </c>
      <c r="CT259" s="5">
        <f>IF($B258&lt;=Tabla5[[#This Row],[INVERSIONES FCI]],+Tabla5[[#This Row],[INVERSIONES FCI]]-CT258,Tabla5[[#This Row],[INVERSIONES FCI]])</f>
        <v>3081002731.6682434</v>
      </c>
      <c r="CU259" s="5">
        <f>IF($B258&lt;=Tabla5[[#This Row],[INVERSIONES FCI]],+Tabla5[[#This Row],[INVERSIONES FCI]]-CU258,Tabla5[[#This Row],[INVERSIONES FCI]])</f>
        <v>3081002731.6682434</v>
      </c>
      <c r="CV259" s="5">
        <f>IF($B258&lt;=Tabla5[[#This Row],[INVERSIONES FCI]],+Tabla5[[#This Row],[INVERSIONES FCI]]-CV258,Tabla5[[#This Row],[INVERSIONES FCI]])</f>
        <v>3081002731.6682434</v>
      </c>
      <c r="CW259" s="5">
        <f>IF($B258&lt;=Tabla5[[#This Row],[INVERSIONES FCI]],+Tabla5[[#This Row],[INVERSIONES FCI]]-CW258,Tabla5[[#This Row],[INVERSIONES FCI]])</f>
        <v>3081002731.6682434</v>
      </c>
      <c r="CX259" s="5">
        <f>IF($B258&lt;=Tabla5[[#This Row],[INVERSIONES FCI]],+Tabla5[[#This Row],[INVERSIONES FCI]]-CX258,Tabla5[[#This Row],[INVERSIONES FCI]])</f>
        <v>3081002731.6682434</v>
      </c>
      <c r="CY259" s="5">
        <f>IF($B258&lt;=Tabla5[[#This Row],[INVERSIONES FCI]],+Tabla5[[#This Row],[INVERSIONES FCI]]-CY258,Tabla5[[#This Row],[INVERSIONES FCI]])</f>
        <v>3081002731.6682434</v>
      </c>
      <c r="CZ259" s="5">
        <f>IF($B258&lt;=Tabla5[[#This Row],[INVERSIONES FCI]],+Tabla5[[#This Row],[INVERSIONES FCI]]-CZ258,Tabla5[[#This Row],[INVERSIONES FCI]])</f>
        <v>3081002731.6682434</v>
      </c>
      <c r="DA259" s="5">
        <f>IF($B258&lt;=Tabla5[[#This Row],[INVERSIONES FCI]],+Tabla5[[#This Row],[INVERSIONES FCI]]-DA258,Tabla5[[#This Row],[INVERSIONES FCI]])</f>
        <v>3081002731.6682434</v>
      </c>
      <c r="DB259" s="5">
        <f>IF($B258&lt;=Tabla5[[#This Row],[INVERSIONES FCI]],+Tabla5[[#This Row],[INVERSIONES FCI]]-DB258,Tabla5[[#This Row],[INVERSIONES FCI]])</f>
        <v>3081002731.6682434</v>
      </c>
      <c r="DC259" s="5">
        <f>IF($B258&lt;=Tabla5[[#This Row],[INVERSIONES FCI]],+Tabla5[[#This Row],[INVERSIONES FCI]]-DC258,Tabla5[[#This Row],[INVERSIONES FCI]])</f>
        <v>3081002731.6682434</v>
      </c>
      <c r="DD259" s="5">
        <f>IF($B258&lt;=Tabla5[[#This Row],[INVERSIONES FCI]],+Tabla5[[#This Row],[INVERSIONES FCI]]-DD258,Tabla5[[#This Row],[INVERSIONES FCI]])</f>
        <v>3081002731.6682434</v>
      </c>
      <c r="DE259" s="5">
        <f>IF($B258&lt;=Tabla5[[#This Row],[INVERSIONES FCI]],+Tabla5[[#This Row],[INVERSIONES FCI]]-DE258,Tabla5[[#This Row],[INVERSIONES FCI]])</f>
        <v>3081002731.6682434</v>
      </c>
      <c r="DF259" s="5">
        <f>IF($B258&lt;=Tabla5[[#This Row],[INVERSIONES FCI]],+Tabla5[[#This Row],[INVERSIONES FCI]]-DF258,Tabla5[[#This Row],[INVERSIONES FCI]])</f>
        <v>3081002731.6682434</v>
      </c>
      <c r="DG259" s="5">
        <f>IF($B258&lt;=Tabla5[[#This Row],[INVERSIONES FCI]],+Tabla5[[#This Row],[INVERSIONES FCI]]-DG258,Tabla5[[#This Row],[INVERSIONES FCI]])</f>
        <v>3081002731.6682434</v>
      </c>
      <c r="DH259" s="5">
        <f>IF($B258&lt;=Tabla5[[#This Row],[INVERSIONES FCI]],+Tabla5[[#This Row],[INVERSIONES FCI]]-DH258,Tabla5[[#This Row],[INVERSIONES FCI]])</f>
        <v>3081002731.6682434</v>
      </c>
      <c r="DI259" s="5">
        <f>IF($B258&lt;=Tabla5[[#This Row],[INVERSIONES FCI]],+Tabla5[[#This Row],[INVERSIONES FCI]]-DI258,Tabla5[[#This Row],[INVERSIONES FCI]])</f>
        <v>3081002731.6682434</v>
      </c>
      <c r="DJ259" s="5">
        <f>IF($B258&lt;=Tabla5[[#This Row],[INVERSIONES FCI]],+Tabla5[[#This Row],[INVERSIONES FCI]]-DJ258,Tabla5[[#This Row],[INVERSIONES FCI]])</f>
        <v>3081002731.6682434</v>
      </c>
      <c r="DK259" s="5">
        <f>IF($B258&lt;=Tabla5[[#This Row],[INVERSIONES FCI]],+Tabla5[[#This Row],[INVERSIONES FCI]]-DK258,Tabla5[[#This Row],[INVERSIONES FCI]])</f>
        <v>3081002731.6682434</v>
      </c>
      <c r="DL259" s="5"/>
      <c r="DM259" s="5"/>
      <c r="DN259" s="5"/>
      <c r="DO259" s="5"/>
      <c r="DP259" s="5"/>
      <c r="DQ259" s="5"/>
    </row>
    <row r="260" spans="1:121" ht="14.4">
      <c r="A260" s="12" t="s">
        <v>259</v>
      </c>
      <c r="B260" s="5">
        <f>HLOOKUP($A260,ESCENARIO[#All],7,FALSE)</f>
        <v>57583821927.309975</v>
      </c>
      <c r="C260" s="5">
        <f>IF($B259&lt;=Tabla5[[#This Row],[INVERSIONES FCI]],+Tabla5[[#This Row],[INVERSIONES FCI]]-C259,Tabla5[[#This Row],[INVERSIONES FCI]])</f>
        <v>54502819195.641731</v>
      </c>
      <c r="D260" s="5">
        <f>IF($B259&lt;=Tabla5[[#This Row],[INVERSIONES FCI]],+Tabla5[[#This Row],[INVERSIONES FCI]]-D259,Tabla5[[#This Row],[INVERSIONES FCI]])</f>
        <v>54502819195.641731</v>
      </c>
      <c r="E260" s="5">
        <f>IF($B259&lt;=Tabla5[[#This Row],[INVERSIONES FCI]],+Tabla5[[#This Row],[INVERSIONES FCI]]-E259,Tabla5[[#This Row],[INVERSIONES FCI]])</f>
        <v>54502819195.641731</v>
      </c>
      <c r="F260" s="5">
        <f>IF($B259&lt;=Tabla5[[#This Row],[INVERSIONES FCI]],+Tabla5[[#This Row],[INVERSIONES FCI]]-F259,Tabla5[[#This Row],[INVERSIONES FCI]])</f>
        <v>54502819195.641731</v>
      </c>
      <c r="G260" s="5">
        <f>IF($B259&lt;=Tabla5[[#This Row],[INVERSIONES FCI]],+Tabla5[[#This Row],[INVERSIONES FCI]]-G259,Tabla5[[#This Row],[INVERSIONES FCI]])</f>
        <v>54502819195.641731</v>
      </c>
      <c r="H260" s="5">
        <f>IF($B259&lt;=Tabla5[[#This Row],[INVERSIONES FCI]],+Tabla5[[#This Row],[INVERSIONES FCI]]-H259,Tabla5[[#This Row],[INVERSIONES FCI]])</f>
        <v>54502819195.641731</v>
      </c>
      <c r="I260" s="5">
        <f>IF($B259&lt;=Tabla5[[#This Row],[INVERSIONES FCI]],+Tabla5[[#This Row],[INVERSIONES FCI]]-I259,Tabla5[[#This Row],[INVERSIONES FCI]])</f>
        <v>54502819195.641731</v>
      </c>
      <c r="J260" s="5">
        <f>IF($B259&lt;=Tabla5[[#This Row],[INVERSIONES FCI]],+Tabla5[[#This Row],[INVERSIONES FCI]]-J259,Tabla5[[#This Row],[INVERSIONES FCI]])</f>
        <v>54502819195.641731</v>
      </c>
      <c r="K260" s="5">
        <f>IF($B259&lt;=Tabla5[[#This Row],[INVERSIONES FCI]],+Tabla5[[#This Row],[INVERSIONES FCI]]-K259,Tabla5[[#This Row],[INVERSIONES FCI]])</f>
        <v>54502819195.641731</v>
      </c>
      <c r="L260" s="5">
        <f>IF($B259&lt;=Tabla5[[#This Row],[INVERSIONES FCI]],+Tabla5[[#This Row],[INVERSIONES FCI]]-L259,Tabla5[[#This Row],[INVERSIONES FCI]])</f>
        <v>54502819195.641731</v>
      </c>
      <c r="M260" s="5">
        <f>IF($B259&lt;=Tabla5[[#This Row],[INVERSIONES FCI]],+Tabla5[[#This Row],[INVERSIONES FCI]]-M259,Tabla5[[#This Row],[INVERSIONES FCI]])</f>
        <v>54502819195.641731</v>
      </c>
      <c r="N260" s="5">
        <f>IF($B259&lt;=Tabla5[[#This Row],[INVERSIONES FCI]],+Tabla5[[#This Row],[INVERSIONES FCI]]-N259,Tabla5[[#This Row],[INVERSIONES FCI]])</f>
        <v>54502819195.641731</v>
      </c>
      <c r="O260" s="5">
        <f>IF($B259&lt;=Tabla5[[#This Row],[INVERSIONES FCI]],+Tabla5[[#This Row],[INVERSIONES FCI]]-O259,Tabla5[[#This Row],[INVERSIONES FCI]])</f>
        <v>54502819195.641731</v>
      </c>
      <c r="P260" s="5">
        <f>IF($B259&lt;=Tabla5[[#This Row],[INVERSIONES FCI]],+Tabla5[[#This Row],[INVERSIONES FCI]]-P259,Tabla5[[#This Row],[INVERSIONES FCI]])</f>
        <v>54502819195.641731</v>
      </c>
      <c r="Q260" s="5">
        <f>IF($B259&lt;=Tabla5[[#This Row],[INVERSIONES FCI]],+Tabla5[[#This Row],[INVERSIONES FCI]]-Q259,Tabla5[[#This Row],[INVERSIONES FCI]])</f>
        <v>54502819195.641731</v>
      </c>
      <c r="R260" s="5">
        <f>IF($B259&lt;=Tabla5[[#This Row],[INVERSIONES FCI]],+Tabla5[[#This Row],[INVERSIONES FCI]]-R259,Tabla5[[#This Row],[INVERSIONES FCI]])</f>
        <v>54502819195.641731</v>
      </c>
      <c r="S260" s="5">
        <f>IF($B259&lt;=Tabla5[[#This Row],[INVERSIONES FCI]],+Tabla5[[#This Row],[INVERSIONES FCI]]-S259,Tabla5[[#This Row],[INVERSIONES FCI]])</f>
        <v>54502819195.641731</v>
      </c>
      <c r="T260" s="5">
        <f>IF($B259&lt;=Tabla5[[#This Row],[INVERSIONES FCI]],+Tabla5[[#This Row],[INVERSIONES FCI]]-T259,Tabla5[[#This Row],[INVERSIONES FCI]])</f>
        <v>54502819195.641731</v>
      </c>
      <c r="U260" s="5">
        <f>IF($B259&lt;=Tabla5[[#This Row],[INVERSIONES FCI]],+Tabla5[[#This Row],[INVERSIONES FCI]]-U259,Tabla5[[#This Row],[INVERSIONES FCI]])</f>
        <v>54502819195.641731</v>
      </c>
      <c r="V260" s="5">
        <f>IF($B259&lt;=Tabla5[[#This Row],[INVERSIONES FCI]],+Tabla5[[#This Row],[INVERSIONES FCI]]-V259,Tabla5[[#This Row],[INVERSIONES FCI]])</f>
        <v>54502819195.641731</v>
      </c>
      <c r="W260" s="5">
        <f>IF($B259&lt;=Tabla5[[#This Row],[INVERSIONES FCI]],+Tabla5[[#This Row],[INVERSIONES FCI]]-W259,Tabla5[[#This Row],[INVERSIONES FCI]])</f>
        <v>54502819195.641731</v>
      </c>
      <c r="X260" s="5">
        <f>IF($B259&lt;=Tabla5[[#This Row],[INVERSIONES FCI]],+Tabla5[[#This Row],[INVERSIONES FCI]]-X259,Tabla5[[#This Row],[INVERSIONES FCI]])</f>
        <v>54502819195.641731</v>
      </c>
      <c r="Y260" s="5">
        <f>IF($B259&lt;=Tabla5[[#This Row],[INVERSIONES FCI]],+Tabla5[[#This Row],[INVERSIONES FCI]]-Y259,Tabla5[[#This Row],[INVERSIONES FCI]])</f>
        <v>54502819195.641731</v>
      </c>
      <c r="Z260" s="5">
        <f>IF($B259&lt;=Tabla5[[#This Row],[INVERSIONES FCI]],+Tabla5[[#This Row],[INVERSIONES FCI]]-Z259,Tabla5[[#This Row],[INVERSIONES FCI]])</f>
        <v>54502819195.641731</v>
      </c>
      <c r="AA260" s="5">
        <f>IF($B259&lt;=Tabla5[[#This Row],[INVERSIONES FCI]],+Tabla5[[#This Row],[INVERSIONES FCI]]-AA259,Tabla5[[#This Row],[INVERSIONES FCI]])</f>
        <v>54502819195.641731</v>
      </c>
      <c r="AB260" s="5">
        <f>IF($B259&lt;=Tabla5[[#This Row],[INVERSIONES FCI]],+Tabla5[[#This Row],[INVERSIONES FCI]]-AB259,Tabla5[[#This Row],[INVERSIONES FCI]])</f>
        <v>54502819195.641731</v>
      </c>
      <c r="AC260" s="5">
        <f>IF($B259&lt;=Tabla5[[#This Row],[INVERSIONES FCI]],+Tabla5[[#This Row],[INVERSIONES FCI]]-AC259,Tabla5[[#This Row],[INVERSIONES FCI]])</f>
        <v>54502819195.641731</v>
      </c>
      <c r="AD260" s="5">
        <f>IF($B259&lt;=Tabla5[[#This Row],[INVERSIONES FCI]],+Tabla5[[#This Row],[INVERSIONES FCI]]-AD259,Tabla5[[#This Row],[INVERSIONES FCI]])</f>
        <v>54502819195.641731</v>
      </c>
      <c r="AE260" s="5">
        <f>IF($B259&lt;=Tabla5[[#This Row],[INVERSIONES FCI]],+Tabla5[[#This Row],[INVERSIONES FCI]]-AE259,Tabla5[[#This Row],[INVERSIONES FCI]])</f>
        <v>54502819195.641731</v>
      </c>
      <c r="AF260" s="5">
        <f>IF($B259&lt;=Tabla5[[#This Row],[INVERSIONES FCI]],+Tabla5[[#This Row],[INVERSIONES FCI]]-AF259,Tabla5[[#This Row],[INVERSIONES FCI]])</f>
        <v>54502819195.641731</v>
      </c>
      <c r="AG260" s="5">
        <f>IF($B259&lt;=Tabla5[[#This Row],[INVERSIONES FCI]],+Tabla5[[#This Row],[INVERSIONES FCI]]-AG259,Tabla5[[#This Row],[INVERSIONES FCI]])</f>
        <v>54502819195.641731</v>
      </c>
      <c r="AH260" s="5">
        <f>IF($B259&lt;=Tabla5[[#This Row],[INVERSIONES FCI]],+Tabla5[[#This Row],[INVERSIONES FCI]]-AH259,Tabla5[[#This Row],[INVERSIONES FCI]])</f>
        <v>54502819195.641731</v>
      </c>
      <c r="AI260" s="5">
        <f>IF($B259&lt;=Tabla5[[#This Row],[INVERSIONES FCI]],+Tabla5[[#This Row],[INVERSIONES FCI]]-AI259,Tabla5[[#This Row],[INVERSIONES FCI]])</f>
        <v>54502819195.641731</v>
      </c>
      <c r="AJ260" s="5">
        <f>IF($B259&lt;=Tabla5[[#This Row],[INVERSIONES FCI]],+Tabla5[[#This Row],[INVERSIONES FCI]]-AJ259,Tabla5[[#This Row],[INVERSIONES FCI]])</f>
        <v>54502819195.641731</v>
      </c>
      <c r="AK260" s="5">
        <f>IF($B259&lt;=Tabla5[[#This Row],[INVERSIONES FCI]],+Tabla5[[#This Row],[INVERSIONES FCI]]-AK259,Tabla5[[#This Row],[INVERSIONES FCI]])</f>
        <v>54502819195.641731</v>
      </c>
      <c r="AL260" s="5">
        <f>IF($B259&lt;=Tabla5[[#This Row],[INVERSIONES FCI]],+Tabla5[[#This Row],[INVERSIONES FCI]]-AL259,Tabla5[[#This Row],[INVERSIONES FCI]])</f>
        <v>54502819195.641731</v>
      </c>
      <c r="AM260" s="5">
        <f>IF($B259&lt;=Tabla5[[#This Row],[INVERSIONES FCI]],+Tabla5[[#This Row],[INVERSIONES FCI]]-AM259,Tabla5[[#This Row],[INVERSIONES FCI]])</f>
        <v>54502819195.641731</v>
      </c>
      <c r="AN260" s="5">
        <f>IF($B259&lt;=Tabla5[[#This Row],[INVERSIONES FCI]],+Tabla5[[#This Row],[INVERSIONES FCI]]-AN259,Tabla5[[#This Row],[INVERSIONES FCI]])</f>
        <v>54502819195.641731</v>
      </c>
      <c r="AO260" s="5">
        <f>IF($B259&lt;=Tabla5[[#This Row],[INVERSIONES FCI]],+Tabla5[[#This Row],[INVERSIONES FCI]]-AO259,Tabla5[[#This Row],[INVERSIONES FCI]])</f>
        <v>54502819195.641731</v>
      </c>
      <c r="AP260" s="5">
        <f>IF($B259&lt;=Tabla5[[#This Row],[INVERSIONES FCI]],+Tabla5[[#This Row],[INVERSIONES FCI]]-AP259,Tabla5[[#This Row],[INVERSIONES FCI]])</f>
        <v>54502819195.641731</v>
      </c>
      <c r="AQ260" s="5">
        <f>IF($B259&lt;=Tabla5[[#This Row],[INVERSIONES FCI]],+Tabla5[[#This Row],[INVERSIONES FCI]]-AQ259,Tabla5[[#This Row],[INVERSIONES FCI]])</f>
        <v>54502819195.641731</v>
      </c>
      <c r="AR260" s="5">
        <f>IF($B259&lt;=Tabla5[[#This Row],[INVERSIONES FCI]],+Tabla5[[#This Row],[INVERSIONES FCI]]-AR259,Tabla5[[#This Row],[INVERSIONES FCI]])</f>
        <v>54502819195.641731</v>
      </c>
      <c r="AS260" s="5">
        <f>IF($B259&lt;=Tabla5[[#This Row],[INVERSIONES FCI]],+Tabla5[[#This Row],[INVERSIONES FCI]]-AS259,Tabla5[[#This Row],[INVERSIONES FCI]])</f>
        <v>54502819195.641731</v>
      </c>
      <c r="AT260" s="5">
        <f>IF($B259&lt;=Tabla5[[#This Row],[INVERSIONES FCI]],+Tabla5[[#This Row],[INVERSIONES FCI]]-AT259,Tabla5[[#This Row],[INVERSIONES FCI]])</f>
        <v>54502819195.641731</v>
      </c>
      <c r="AU260" s="5">
        <f>IF($B259&lt;=Tabla5[[#This Row],[INVERSIONES FCI]],+Tabla5[[#This Row],[INVERSIONES FCI]]-AU259,Tabla5[[#This Row],[INVERSIONES FCI]])</f>
        <v>54502819195.641731</v>
      </c>
      <c r="AV260" s="5">
        <f>IF($B259&lt;=Tabla5[[#This Row],[INVERSIONES FCI]],+Tabla5[[#This Row],[INVERSIONES FCI]]-AV259,Tabla5[[#This Row],[INVERSIONES FCI]])</f>
        <v>54502819195.641731</v>
      </c>
      <c r="AW260" s="5">
        <f>IF($B259&lt;=Tabla5[[#This Row],[INVERSIONES FCI]],+Tabla5[[#This Row],[INVERSIONES FCI]]-AW259,Tabla5[[#This Row],[INVERSIONES FCI]])</f>
        <v>54502819195.641731</v>
      </c>
      <c r="AX260" s="5">
        <f>IF($B259&lt;=Tabla5[[#This Row],[INVERSIONES FCI]],+Tabla5[[#This Row],[INVERSIONES FCI]]-AX259,Tabla5[[#This Row],[INVERSIONES FCI]])</f>
        <v>54502819195.641731</v>
      </c>
      <c r="AY260" s="5">
        <f>IF($B259&lt;=Tabla5[[#This Row],[INVERSIONES FCI]],+Tabla5[[#This Row],[INVERSIONES FCI]]-AY259,Tabla5[[#This Row],[INVERSIONES FCI]])</f>
        <v>54502819195.641731</v>
      </c>
      <c r="AZ260" s="5">
        <f>IF($B259&lt;=Tabla5[[#This Row],[INVERSIONES FCI]],+Tabla5[[#This Row],[INVERSIONES FCI]]-AZ259,Tabla5[[#This Row],[INVERSIONES FCI]])</f>
        <v>54502819195.641731</v>
      </c>
      <c r="BA260" s="5">
        <f>IF($B259&lt;=Tabla5[[#This Row],[INVERSIONES FCI]],+Tabla5[[#This Row],[INVERSIONES FCI]]-BA259,Tabla5[[#This Row],[INVERSIONES FCI]])</f>
        <v>54502819195.641731</v>
      </c>
      <c r="BB260" s="5">
        <f>IF($B259&lt;=Tabla5[[#This Row],[INVERSIONES FCI]],+Tabla5[[#This Row],[INVERSIONES FCI]]-BB259,Tabla5[[#This Row],[INVERSIONES FCI]])</f>
        <v>54502819195.641731</v>
      </c>
      <c r="BC260" s="5">
        <f>IF($B259&lt;=Tabla5[[#This Row],[INVERSIONES FCI]],+Tabla5[[#This Row],[INVERSIONES FCI]]-BC259,Tabla5[[#This Row],[INVERSIONES FCI]])</f>
        <v>54502819195.641731</v>
      </c>
      <c r="BD260" s="5">
        <f>IF($B259&lt;=Tabla5[[#This Row],[INVERSIONES FCI]],+Tabla5[[#This Row],[INVERSIONES FCI]]-BD259,Tabla5[[#This Row],[INVERSIONES FCI]])</f>
        <v>54502819195.641731</v>
      </c>
      <c r="BE260" s="5">
        <f>IF($B259&lt;=Tabla5[[#This Row],[INVERSIONES FCI]],+Tabla5[[#This Row],[INVERSIONES FCI]]-BE259,Tabla5[[#This Row],[INVERSIONES FCI]])</f>
        <v>54502819195.641731</v>
      </c>
      <c r="BF260" s="5">
        <f>IF($B259&lt;=Tabla5[[#This Row],[INVERSIONES FCI]],+Tabla5[[#This Row],[INVERSIONES FCI]]-BF259,Tabla5[[#This Row],[INVERSIONES FCI]])</f>
        <v>54502819195.641731</v>
      </c>
      <c r="BG260" s="5">
        <f>IF($B259&lt;=Tabla5[[#This Row],[INVERSIONES FCI]],+Tabla5[[#This Row],[INVERSIONES FCI]]-BG259,Tabla5[[#This Row],[INVERSIONES FCI]])</f>
        <v>54502819195.641731</v>
      </c>
      <c r="BH260" s="5">
        <f>IF($B259&lt;=Tabla5[[#This Row],[INVERSIONES FCI]],+Tabla5[[#This Row],[INVERSIONES FCI]]-BH259,Tabla5[[#This Row],[INVERSIONES FCI]])</f>
        <v>54502819195.641731</v>
      </c>
      <c r="BI260" s="5">
        <f>IF($B259&lt;=Tabla5[[#This Row],[INVERSIONES FCI]],+Tabla5[[#This Row],[INVERSIONES FCI]]-BI259,Tabla5[[#This Row],[INVERSIONES FCI]])</f>
        <v>54502819195.641731</v>
      </c>
      <c r="BJ260" s="5">
        <f>IF($B259&lt;=Tabla5[[#This Row],[INVERSIONES FCI]],+Tabla5[[#This Row],[INVERSIONES FCI]]-BJ259,Tabla5[[#This Row],[INVERSIONES FCI]])</f>
        <v>54502819195.641731</v>
      </c>
      <c r="BK260" s="5">
        <f>IF($B259&lt;=Tabla5[[#This Row],[INVERSIONES FCI]],+Tabla5[[#This Row],[INVERSIONES FCI]]-BK259,Tabla5[[#This Row],[INVERSIONES FCI]])</f>
        <v>54502819195.641731</v>
      </c>
      <c r="BL260" s="5">
        <f>IF($B259&lt;=Tabla5[[#This Row],[INVERSIONES FCI]],+Tabla5[[#This Row],[INVERSIONES FCI]]-BL259,Tabla5[[#This Row],[INVERSIONES FCI]])</f>
        <v>54502819195.641731</v>
      </c>
      <c r="BM260" s="5">
        <f>IF($B259&lt;=Tabla5[[#This Row],[INVERSIONES FCI]],+Tabla5[[#This Row],[INVERSIONES FCI]]-BM259,Tabla5[[#This Row],[INVERSIONES FCI]])</f>
        <v>54502819195.641731</v>
      </c>
      <c r="BN260" s="5">
        <f>IF($B259&lt;=Tabla5[[#This Row],[INVERSIONES FCI]],+Tabla5[[#This Row],[INVERSIONES FCI]]-BN259,Tabla5[[#This Row],[INVERSIONES FCI]])</f>
        <v>54502819195.641731</v>
      </c>
      <c r="BO260" s="5">
        <f>IF($B259&lt;=Tabla5[[#This Row],[INVERSIONES FCI]],+Tabla5[[#This Row],[INVERSIONES FCI]]-BO259,Tabla5[[#This Row],[INVERSIONES FCI]])</f>
        <v>54502819195.641731</v>
      </c>
      <c r="BP260" s="5">
        <f>IF($B259&lt;=Tabla5[[#This Row],[INVERSIONES FCI]],+Tabla5[[#This Row],[INVERSIONES FCI]]-BP259,Tabla5[[#This Row],[INVERSIONES FCI]])</f>
        <v>54502819195.641731</v>
      </c>
      <c r="BQ260" s="5">
        <f>IF($B259&lt;=Tabla5[[#This Row],[INVERSIONES FCI]],+Tabla5[[#This Row],[INVERSIONES FCI]]-BQ259,Tabla5[[#This Row],[INVERSIONES FCI]])</f>
        <v>54502819195.641731</v>
      </c>
      <c r="BR260" s="5">
        <f>IF($B259&lt;=Tabla5[[#This Row],[INVERSIONES FCI]],+Tabla5[[#This Row],[INVERSIONES FCI]]-BR259,Tabla5[[#This Row],[INVERSIONES FCI]])</f>
        <v>54502819195.641731</v>
      </c>
      <c r="BS260" s="5">
        <f>IF($B259&lt;=Tabla5[[#This Row],[INVERSIONES FCI]],+Tabla5[[#This Row],[INVERSIONES FCI]]-BS259,Tabla5[[#This Row],[INVERSIONES FCI]])</f>
        <v>54502819195.641731</v>
      </c>
      <c r="BT260" s="5">
        <f>IF($B259&lt;=Tabla5[[#This Row],[INVERSIONES FCI]],+Tabla5[[#This Row],[INVERSIONES FCI]]-BT259,Tabla5[[#This Row],[INVERSIONES FCI]])</f>
        <v>54502819195.641731</v>
      </c>
      <c r="BU260" s="5">
        <f>IF($B259&lt;=Tabla5[[#This Row],[INVERSIONES FCI]],+Tabla5[[#This Row],[INVERSIONES FCI]]-BU259,Tabla5[[#This Row],[INVERSIONES FCI]])</f>
        <v>54502819195.641731</v>
      </c>
      <c r="BV260" s="5">
        <f>IF($B259&lt;=Tabla5[[#This Row],[INVERSIONES FCI]],+Tabla5[[#This Row],[INVERSIONES FCI]]-BV259,Tabla5[[#This Row],[INVERSIONES FCI]])</f>
        <v>54502819195.641731</v>
      </c>
      <c r="BW260" s="5">
        <f>IF($B259&lt;=Tabla5[[#This Row],[INVERSIONES FCI]],+Tabla5[[#This Row],[INVERSIONES FCI]]-BW259,Tabla5[[#This Row],[INVERSIONES FCI]])</f>
        <v>54502819195.641731</v>
      </c>
      <c r="BX260" s="5">
        <f>IF($B259&lt;=Tabla5[[#This Row],[INVERSIONES FCI]],+Tabla5[[#This Row],[INVERSIONES FCI]]-BX259,Tabla5[[#This Row],[INVERSIONES FCI]])</f>
        <v>54502819195.641731</v>
      </c>
      <c r="BY260" s="5">
        <f>IF($B259&lt;=Tabla5[[#This Row],[INVERSIONES FCI]],+Tabla5[[#This Row],[INVERSIONES FCI]]-BY259,Tabla5[[#This Row],[INVERSIONES FCI]])</f>
        <v>54502819195.641731</v>
      </c>
      <c r="BZ260" s="5">
        <f>IF($B259&lt;=Tabla5[[#This Row],[INVERSIONES FCI]],+Tabla5[[#This Row],[INVERSIONES FCI]]-BZ259,Tabla5[[#This Row],[INVERSIONES FCI]])</f>
        <v>54502819195.641731</v>
      </c>
      <c r="CA260" s="5">
        <f>IF($B259&lt;=Tabla5[[#This Row],[INVERSIONES FCI]],+Tabla5[[#This Row],[INVERSIONES FCI]]-CA259,Tabla5[[#This Row],[INVERSIONES FCI]])</f>
        <v>54502819195.641731</v>
      </c>
      <c r="CB260" s="5">
        <f>IF($B259&lt;=Tabla5[[#This Row],[INVERSIONES FCI]],+Tabla5[[#This Row],[INVERSIONES FCI]]-CB259,Tabla5[[#This Row],[INVERSIONES FCI]])</f>
        <v>54502819195.641731</v>
      </c>
      <c r="CC260" s="5">
        <f>IF($B259&lt;=Tabla5[[#This Row],[INVERSIONES FCI]],+Tabla5[[#This Row],[INVERSIONES FCI]]-CC259,Tabla5[[#This Row],[INVERSIONES FCI]])</f>
        <v>54502819195.641731</v>
      </c>
      <c r="CD260" s="5">
        <f>IF($B259&lt;=Tabla5[[#This Row],[INVERSIONES FCI]],+Tabla5[[#This Row],[INVERSIONES FCI]]-CD259,Tabla5[[#This Row],[INVERSIONES FCI]])</f>
        <v>54502819195.641731</v>
      </c>
      <c r="CE260" s="5">
        <f>IF($B259&lt;=Tabla5[[#This Row],[INVERSIONES FCI]],+Tabla5[[#This Row],[INVERSIONES FCI]]-CE259,Tabla5[[#This Row],[INVERSIONES FCI]])</f>
        <v>54502819195.641731</v>
      </c>
      <c r="CF260" s="5">
        <f>IF($B259&lt;=Tabla5[[#This Row],[INVERSIONES FCI]],+Tabla5[[#This Row],[INVERSIONES FCI]]-CF259,Tabla5[[#This Row],[INVERSIONES FCI]])</f>
        <v>54502819195.641731</v>
      </c>
      <c r="CG260" s="5">
        <f>IF($B259&lt;=Tabla5[[#This Row],[INVERSIONES FCI]],+Tabla5[[#This Row],[INVERSIONES FCI]]-CG259,Tabla5[[#This Row],[INVERSIONES FCI]])</f>
        <v>54502819195.641731</v>
      </c>
      <c r="CH260" s="5">
        <f>IF($B259&lt;=Tabla5[[#This Row],[INVERSIONES FCI]],+Tabla5[[#This Row],[INVERSIONES FCI]]-CH259,Tabla5[[#This Row],[INVERSIONES FCI]])</f>
        <v>54502819195.641731</v>
      </c>
      <c r="CI260" s="5">
        <f>IF($B259&lt;=Tabla5[[#This Row],[INVERSIONES FCI]],+Tabla5[[#This Row],[INVERSIONES FCI]]-CI259,Tabla5[[#This Row],[INVERSIONES FCI]])</f>
        <v>54502819195.641731</v>
      </c>
      <c r="CJ260" s="5">
        <f>IF($B259&lt;=Tabla5[[#This Row],[INVERSIONES FCI]],+Tabla5[[#This Row],[INVERSIONES FCI]]-CJ259,Tabla5[[#This Row],[INVERSIONES FCI]])</f>
        <v>54502819195.641731</v>
      </c>
      <c r="CK260" s="5">
        <f>IF($B259&lt;=Tabla5[[#This Row],[INVERSIONES FCI]],+Tabla5[[#This Row],[INVERSIONES FCI]]-CK259,Tabla5[[#This Row],[INVERSIONES FCI]])</f>
        <v>54502819195.641731</v>
      </c>
      <c r="CL260" s="5">
        <f>IF($B259&lt;=Tabla5[[#This Row],[INVERSIONES FCI]],+Tabla5[[#This Row],[INVERSIONES FCI]]-CL259,Tabla5[[#This Row],[INVERSIONES FCI]])</f>
        <v>54502819195.641731</v>
      </c>
      <c r="CM260" s="5">
        <f>IF($B259&lt;=Tabla5[[#This Row],[INVERSIONES FCI]],+Tabla5[[#This Row],[INVERSIONES FCI]]-CM259,Tabla5[[#This Row],[INVERSIONES FCI]])</f>
        <v>54502819195.641731</v>
      </c>
      <c r="CN260" s="5">
        <f>IF($B259&lt;=Tabla5[[#This Row],[INVERSIONES FCI]],+Tabla5[[#This Row],[INVERSIONES FCI]]-CN259,Tabla5[[#This Row],[INVERSIONES FCI]])</f>
        <v>54502819195.641731</v>
      </c>
      <c r="CO260" s="5">
        <f>IF($B259&lt;=Tabla5[[#This Row],[INVERSIONES FCI]],+Tabla5[[#This Row],[INVERSIONES FCI]]-CO259,Tabla5[[#This Row],[INVERSIONES FCI]])</f>
        <v>54502819195.641731</v>
      </c>
      <c r="CP260" s="5">
        <f>IF($B259&lt;=Tabla5[[#This Row],[INVERSIONES FCI]],+Tabla5[[#This Row],[INVERSIONES FCI]]-CP259,Tabla5[[#This Row],[INVERSIONES FCI]])</f>
        <v>54502819195.641731</v>
      </c>
      <c r="CQ260" s="5">
        <f>IF($B259&lt;=Tabla5[[#This Row],[INVERSIONES FCI]],+Tabla5[[#This Row],[INVERSIONES FCI]]-CQ259,Tabla5[[#This Row],[INVERSIONES FCI]])</f>
        <v>54502819195.641731</v>
      </c>
      <c r="CR260" s="5">
        <f>IF($B259&lt;=Tabla5[[#This Row],[INVERSIONES FCI]],+Tabla5[[#This Row],[INVERSIONES FCI]]-CR259,Tabla5[[#This Row],[INVERSIONES FCI]])</f>
        <v>54502819195.641731</v>
      </c>
      <c r="CS260" s="5">
        <f>IF($B259&lt;=Tabla5[[#This Row],[INVERSIONES FCI]],+Tabla5[[#This Row],[INVERSIONES FCI]]-CS259,Tabla5[[#This Row],[INVERSIONES FCI]])</f>
        <v>54502819195.641731</v>
      </c>
      <c r="CT260" s="5">
        <f>IF($B259&lt;=Tabla5[[#This Row],[INVERSIONES FCI]],+Tabla5[[#This Row],[INVERSIONES FCI]]-CT259,Tabla5[[#This Row],[INVERSIONES FCI]])</f>
        <v>54502819195.641731</v>
      </c>
      <c r="CU260" s="5">
        <f>IF($B259&lt;=Tabla5[[#This Row],[INVERSIONES FCI]],+Tabla5[[#This Row],[INVERSIONES FCI]]-CU259,Tabla5[[#This Row],[INVERSIONES FCI]])</f>
        <v>54502819195.641731</v>
      </c>
      <c r="CV260" s="5">
        <f>IF($B259&lt;=Tabla5[[#This Row],[INVERSIONES FCI]],+Tabla5[[#This Row],[INVERSIONES FCI]]-CV259,Tabla5[[#This Row],[INVERSIONES FCI]])</f>
        <v>54502819195.641731</v>
      </c>
      <c r="CW260" s="5">
        <f>IF($B259&lt;=Tabla5[[#This Row],[INVERSIONES FCI]],+Tabla5[[#This Row],[INVERSIONES FCI]]-CW259,Tabla5[[#This Row],[INVERSIONES FCI]])</f>
        <v>54502819195.641731</v>
      </c>
      <c r="CX260" s="5">
        <f>IF($B259&lt;=Tabla5[[#This Row],[INVERSIONES FCI]],+Tabla5[[#This Row],[INVERSIONES FCI]]-CX259,Tabla5[[#This Row],[INVERSIONES FCI]])</f>
        <v>54502819195.641731</v>
      </c>
      <c r="CY260" s="5">
        <f>IF($B259&lt;=Tabla5[[#This Row],[INVERSIONES FCI]],+Tabla5[[#This Row],[INVERSIONES FCI]]-CY259,Tabla5[[#This Row],[INVERSIONES FCI]])</f>
        <v>54502819195.641731</v>
      </c>
      <c r="CZ260" s="5">
        <f>IF($B259&lt;=Tabla5[[#This Row],[INVERSIONES FCI]],+Tabla5[[#This Row],[INVERSIONES FCI]]-CZ259,Tabla5[[#This Row],[INVERSIONES FCI]])</f>
        <v>54502819195.641731</v>
      </c>
      <c r="DA260" s="5">
        <f>IF($B259&lt;=Tabla5[[#This Row],[INVERSIONES FCI]],+Tabla5[[#This Row],[INVERSIONES FCI]]-DA259,Tabla5[[#This Row],[INVERSIONES FCI]])</f>
        <v>54502819195.641731</v>
      </c>
      <c r="DB260" s="5">
        <f>IF($B259&lt;=Tabla5[[#This Row],[INVERSIONES FCI]],+Tabla5[[#This Row],[INVERSIONES FCI]]-DB259,Tabla5[[#This Row],[INVERSIONES FCI]])</f>
        <v>54502819195.641731</v>
      </c>
      <c r="DC260" s="5">
        <f>IF($B259&lt;=Tabla5[[#This Row],[INVERSIONES FCI]],+Tabla5[[#This Row],[INVERSIONES FCI]]-DC259,Tabla5[[#This Row],[INVERSIONES FCI]])</f>
        <v>54502819195.641731</v>
      </c>
      <c r="DD260" s="5">
        <f>IF($B259&lt;=Tabla5[[#This Row],[INVERSIONES FCI]],+Tabla5[[#This Row],[INVERSIONES FCI]]-DD259,Tabla5[[#This Row],[INVERSIONES FCI]])</f>
        <v>54502819195.641731</v>
      </c>
      <c r="DE260" s="5">
        <f>IF($B259&lt;=Tabla5[[#This Row],[INVERSIONES FCI]],+Tabla5[[#This Row],[INVERSIONES FCI]]-DE259,Tabla5[[#This Row],[INVERSIONES FCI]])</f>
        <v>54502819195.641731</v>
      </c>
      <c r="DF260" s="5">
        <f>IF($B259&lt;=Tabla5[[#This Row],[INVERSIONES FCI]],+Tabla5[[#This Row],[INVERSIONES FCI]]-DF259,Tabla5[[#This Row],[INVERSIONES FCI]])</f>
        <v>54502819195.641731</v>
      </c>
      <c r="DG260" s="5">
        <f>IF($B259&lt;=Tabla5[[#This Row],[INVERSIONES FCI]],+Tabla5[[#This Row],[INVERSIONES FCI]]-DG259,Tabla5[[#This Row],[INVERSIONES FCI]])</f>
        <v>54502819195.641731</v>
      </c>
      <c r="DH260" s="5">
        <f>IF($B259&lt;=Tabla5[[#This Row],[INVERSIONES FCI]],+Tabla5[[#This Row],[INVERSIONES FCI]]-DH259,Tabla5[[#This Row],[INVERSIONES FCI]])</f>
        <v>54502819195.641731</v>
      </c>
      <c r="DI260" s="5">
        <f>IF($B259&lt;=Tabla5[[#This Row],[INVERSIONES FCI]],+Tabla5[[#This Row],[INVERSIONES FCI]]-DI259,Tabla5[[#This Row],[INVERSIONES FCI]])</f>
        <v>54502819195.641731</v>
      </c>
      <c r="DJ260" s="5">
        <f>IF($B259&lt;=Tabla5[[#This Row],[INVERSIONES FCI]],+Tabla5[[#This Row],[INVERSIONES FCI]]-DJ259,Tabla5[[#This Row],[INVERSIONES FCI]])</f>
        <v>54502819195.641731</v>
      </c>
      <c r="DK260" s="5">
        <f>IF($B259&lt;=Tabla5[[#This Row],[INVERSIONES FCI]],+Tabla5[[#This Row],[INVERSIONES FCI]]-DK259,Tabla5[[#This Row],[INVERSIONES FCI]])</f>
        <v>54502819195.641731</v>
      </c>
      <c r="DL260" s="5"/>
      <c r="DM260" s="5"/>
      <c r="DN260" s="5"/>
      <c r="DO260" s="5"/>
      <c r="DP260" s="5"/>
      <c r="DQ260" s="5"/>
    </row>
    <row r="261" spans="1:121" ht="14.4">
      <c r="A261" s="12" t="s">
        <v>260</v>
      </c>
      <c r="B261" s="5">
        <f>HLOOKUP($A261,ESCENARIO[#All],7,FALSE)</f>
        <v>57583821927.309975</v>
      </c>
      <c r="C261" s="5">
        <f>IF($B260&lt;=Tabla5[[#This Row],[INVERSIONES FCI]],+Tabla5[[#This Row],[INVERSIONES FCI]]-C260,Tabla5[[#This Row],[INVERSIONES FCI]])</f>
        <v>3081002731.6682434</v>
      </c>
      <c r="D261" s="5">
        <f>IF($B260&lt;=Tabla5[[#This Row],[INVERSIONES FCI]],+Tabla5[[#This Row],[INVERSIONES FCI]]-D260,Tabla5[[#This Row],[INVERSIONES FCI]])</f>
        <v>3081002731.6682434</v>
      </c>
      <c r="E261" s="5">
        <f>IF($B260&lt;=Tabla5[[#This Row],[INVERSIONES FCI]],+Tabla5[[#This Row],[INVERSIONES FCI]]-E260,Tabla5[[#This Row],[INVERSIONES FCI]])</f>
        <v>3081002731.6682434</v>
      </c>
      <c r="F261" s="5">
        <f>IF($B260&lt;=Tabla5[[#This Row],[INVERSIONES FCI]],+Tabla5[[#This Row],[INVERSIONES FCI]]-F260,Tabla5[[#This Row],[INVERSIONES FCI]])</f>
        <v>3081002731.6682434</v>
      </c>
      <c r="G261" s="5">
        <f>IF($B260&lt;=Tabla5[[#This Row],[INVERSIONES FCI]],+Tabla5[[#This Row],[INVERSIONES FCI]]-G260,Tabla5[[#This Row],[INVERSIONES FCI]])</f>
        <v>3081002731.6682434</v>
      </c>
      <c r="H261" s="5">
        <f>IF($B260&lt;=Tabla5[[#This Row],[INVERSIONES FCI]],+Tabla5[[#This Row],[INVERSIONES FCI]]-H260,Tabla5[[#This Row],[INVERSIONES FCI]])</f>
        <v>3081002731.6682434</v>
      </c>
      <c r="I261" s="5">
        <f>IF($B260&lt;=Tabla5[[#This Row],[INVERSIONES FCI]],+Tabla5[[#This Row],[INVERSIONES FCI]]-I260,Tabla5[[#This Row],[INVERSIONES FCI]])</f>
        <v>3081002731.6682434</v>
      </c>
      <c r="J261" s="5">
        <f>IF($B260&lt;=Tabla5[[#This Row],[INVERSIONES FCI]],+Tabla5[[#This Row],[INVERSIONES FCI]]-J260,Tabla5[[#This Row],[INVERSIONES FCI]])</f>
        <v>3081002731.6682434</v>
      </c>
      <c r="K261" s="5">
        <f>IF($B260&lt;=Tabla5[[#This Row],[INVERSIONES FCI]],+Tabla5[[#This Row],[INVERSIONES FCI]]-K260,Tabla5[[#This Row],[INVERSIONES FCI]])</f>
        <v>3081002731.6682434</v>
      </c>
      <c r="L261" s="5">
        <f>IF($B260&lt;=Tabla5[[#This Row],[INVERSIONES FCI]],+Tabla5[[#This Row],[INVERSIONES FCI]]-L260,Tabla5[[#This Row],[INVERSIONES FCI]])</f>
        <v>3081002731.6682434</v>
      </c>
      <c r="M261" s="5">
        <f>IF($B260&lt;=Tabla5[[#This Row],[INVERSIONES FCI]],+Tabla5[[#This Row],[INVERSIONES FCI]]-M260,Tabla5[[#This Row],[INVERSIONES FCI]])</f>
        <v>3081002731.6682434</v>
      </c>
      <c r="N261" s="5">
        <f>IF($B260&lt;=Tabla5[[#This Row],[INVERSIONES FCI]],+Tabla5[[#This Row],[INVERSIONES FCI]]-N260,Tabla5[[#This Row],[INVERSIONES FCI]])</f>
        <v>3081002731.6682434</v>
      </c>
      <c r="O261" s="5">
        <f>IF($B260&lt;=Tabla5[[#This Row],[INVERSIONES FCI]],+Tabla5[[#This Row],[INVERSIONES FCI]]-O260,Tabla5[[#This Row],[INVERSIONES FCI]])</f>
        <v>3081002731.6682434</v>
      </c>
      <c r="P261" s="5">
        <f>IF($B260&lt;=Tabla5[[#This Row],[INVERSIONES FCI]],+Tabla5[[#This Row],[INVERSIONES FCI]]-P260,Tabla5[[#This Row],[INVERSIONES FCI]])</f>
        <v>3081002731.6682434</v>
      </c>
      <c r="Q261" s="5">
        <f>IF($B260&lt;=Tabla5[[#This Row],[INVERSIONES FCI]],+Tabla5[[#This Row],[INVERSIONES FCI]]-Q260,Tabla5[[#This Row],[INVERSIONES FCI]])</f>
        <v>3081002731.6682434</v>
      </c>
      <c r="R261" s="5">
        <f>IF($B260&lt;=Tabla5[[#This Row],[INVERSIONES FCI]],+Tabla5[[#This Row],[INVERSIONES FCI]]-R260,Tabla5[[#This Row],[INVERSIONES FCI]])</f>
        <v>3081002731.6682434</v>
      </c>
      <c r="S261" s="5">
        <f>IF($B260&lt;=Tabla5[[#This Row],[INVERSIONES FCI]],+Tabla5[[#This Row],[INVERSIONES FCI]]-S260,Tabla5[[#This Row],[INVERSIONES FCI]])</f>
        <v>3081002731.6682434</v>
      </c>
      <c r="T261" s="5">
        <f>IF($B260&lt;=Tabla5[[#This Row],[INVERSIONES FCI]],+Tabla5[[#This Row],[INVERSIONES FCI]]-T260,Tabla5[[#This Row],[INVERSIONES FCI]])</f>
        <v>3081002731.6682434</v>
      </c>
      <c r="U261" s="5">
        <f>IF($B260&lt;=Tabla5[[#This Row],[INVERSIONES FCI]],+Tabla5[[#This Row],[INVERSIONES FCI]]-U260,Tabla5[[#This Row],[INVERSIONES FCI]])</f>
        <v>3081002731.6682434</v>
      </c>
      <c r="V261" s="5">
        <f>IF($B260&lt;=Tabla5[[#This Row],[INVERSIONES FCI]],+Tabla5[[#This Row],[INVERSIONES FCI]]-V260,Tabla5[[#This Row],[INVERSIONES FCI]])</f>
        <v>3081002731.6682434</v>
      </c>
      <c r="W261" s="5">
        <f>IF($B260&lt;=Tabla5[[#This Row],[INVERSIONES FCI]],+Tabla5[[#This Row],[INVERSIONES FCI]]-W260,Tabla5[[#This Row],[INVERSIONES FCI]])</f>
        <v>3081002731.6682434</v>
      </c>
      <c r="X261" s="5">
        <f>IF($B260&lt;=Tabla5[[#This Row],[INVERSIONES FCI]],+Tabla5[[#This Row],[INVERSIONES FCI]]-X260,Tabla5[[#This Row],[INVERSIONES FCI]])</f>
        <v>3081002731.6682434</v>
      </c>
      <c r="Y261" s="5">
        <f>IF($B260&lt;=Tabla5[[#This Row],[INVERSIONES FCI]],+Tabla5[[#This Row],[INVERSIONES FCI]]-Y260,Tabla5[[#This Row],[INVERSIONES FCI]])</f>
        <v>3081002731.6682434</v>
      </c>
      <c r="Z261" s="5">
        <f>IF($B260&lt;=Tabla5[[#This Row],[INVERSIONES FCI]],+Tabla5[[#This Row],[INVERSIONES FCI]]-Z260,Tabla5[[#This Row],[INVERSIONES FCI]])</f>
        <v>3081002731.6682434</v>
      </c>
      <c r="AA261" s="5">
        <f>IF($B260&lt;=Tabla5[[#This Row],[INVERSIONES FCI]],+Tabla5[[#This Row],[INVERSIONES FCI]]-AA260,Tabla5[[#This Row],[INVERSIONES FCI]])</f>
        <v>3081002731.6682434</v>
      </c>
      <c r="AB261" s="5">
        <f>IF($B260&lt;=Tabla5[[#This Row],[INVERSIONES FCI]],+Tabla5[[#This Row],[INVERSIONES FCI]]-AB260,Tabla5[[#This Row],[INVERSIONES FCI]])</f>
        <v>3081002731.6682434</v>
      </c>
      <c r="AC261" s="5">
        <f>IF($B260&lt;=Tabla5[[#This Row],[INVERSIONES FCI]],+Tabla5[[#This Row],[INVERSIONES FCI]]-AC260,Tabla5[[#This Row],[INVERSIONES FCI]])</f>
        <v>3081002731.6682434</v>
      </c>
      <c r="AD261" s="5">
        <f>IF($B260&lt;=Tabla5[[#This Row],[INVERSIONES FCI]],+Tabla5[[#This Row],[INVERSIONES FCI]]-AD260,Tabla5[[#This Row],[INVERSIONES FCI]])</f>
        <v>3081002731.6682434</v>
      </c>
      <c r="AE261" s="5">
        <f>IF($B260&lt;=Tabla5[[#This Row],[INVERSIONES FCI]],+Tabla5[[#This Row],[INVERSIONES FCI]]-AE260,Tabla5[[#This Row],[INVERSIONES FCI]])</f>
        <v>3081002731.6682434</v>
      </c>
      <c r="AF261" s="5">
        <f>IF($B260&lt;=Tabla5[[#This Row],[INVERSIONES FCI]],+Tabla5[[#This Row],[INVERSIONES FCI]]-AF260,Tabla5[[#This Row],[INVERSIONES FCI]])</f>
        <v>3081002731.6682434</v>
      </c>
      <c r="AG261" s="5">
        <f>IF($B260&lt;=Tabla5[[#This Row],[INVERSIONES FCI]],+Tabla5[[#This Row],[INVERSIONES FCI]]-AG260,Tabla5[[#This Row],[INVERSIONES FCI]])</f>
        <v>3081002731.6682434</v>
      </c>
      <c r="AH261" s="5">
        <f>IF($B260&lt;=Tabla5[[#This Row],[INVERSIONES FCI]],+Tabla5[[#This Row],[INVERSIONES FCI]]-AH260,Tabla5[[#This Row],[INVERSIONES FCI]])</f>
        <v>3081002731.6682434</v>
      </c>
      <c r="AI261" s="5">
        <f>IF($B260&lt;=Tabla5[[#This Row],[INVERSIONES FCI]],+Tabla5[[#This Row],[INVERSIONES FCI]]-AI260,Tabla5[[#This Row],[INVERSIONES FCI]])</f>
        <v>3081002731.6682434</v>
      </c>
      <c r="AJ261" s="5">
        <f>IF($B260&lt;=Tabla5[[#This Row],[INVERSIONES FCI]],+Tabla5[[#This Row],[INVERSIONES FCI]]-AJ260,Tabla5[[#This Row],[INVERSIONES FCI]])</f>
        <v>3081002731.6682434</v>
      </c>
      <c r="AK261" s="5">
        <f>IF($B260&lt;=Tabla5[[#This Row],[INVERSIONES FCI]],+Tabla5[[#This Row],[INVERSIONES FCI]]-AK260,Tabla5[[#This Row],[INVERSIONES FCI]])</f>
        <v>3081002731.6682434</v>
      </c>
      <c r="AL261" s="5">
        <f>IF($B260&lt;=Tabla5[[#This Row],[INVERSIONES FCI]],+Tabla5[[#This Row],[INVERSIONES FCI]]-AL260,Tabla5[[#This Row],[INVERSIONES FCI]])</f>
        <v>3081002731.6682434</v>
      </c>
      <c r="AM261" s="5">
        <f>IF($B260&lt;=Tabla5[[#This Row],[INVERSIONES FCI]],+Tabla5[[#This Row],[INVERSIONES FCI]]-AM260,Tabla5[[#This Row],[INVERSIONES FCI]])</f>
        <v>3081002731.6682434</v>
      </c>
      <c r="AN261" s="5">
        <f>IF($B260&lt;=Tabla5[[#This Row],[INVERSIONES FCI]],+Tabla5[[#This Row],[INVERSIONES FCI]]-AN260,Tabla5[[#This Row],[INVERSIONES FCI]])</f>
        <v>3081002731.6682434</v>
      </c>
      <c r="AO261" s="5">
        <f>IF($B260&lt;=Tabla5[[#This Row],[INVERSIONES FCI]],+Tabla5[[#This Row],[INVERSIONES FCI]]-AO260,Tabla5[[#This Row],[INVERSIONES FCI]])</f>
        <v>3081002731.6682434</v>
      </c>
      <c r="AP261" s="5">
        <f>IF($B260&lt;=Tabla5[[#This Row],[INVERSIONES FCI]],+Tabla5[[#This Row],[INVERSIONES FCI]]-AP260,Tabla5[[#This Row],[INVERSIONES FCI]])</f>
        <v>3081002731.6682434</v>
      </c>
      <c r="AQ261" s="5">
        <f>IF($B260&lt;=Tabla5[[#This Row],[INVERSIONES FCI]],+Tabla5[[#This Row],[INVERSIONES FCI]]-AQ260,Tabla5[[#This Row],[INVERSIONES FCI]])</f>
        <v>3081002731.6682434</v>
      </c>
      <c r="AR261" s="5">
        <f>IF($B260&lt;=Tabla5[[#This Row],[INVERSIONES FCI]],+Tabla5[[#This Row],[INVERSIONES FCI]]-AR260,Tabla5[[#This Row],[INVERSIONES FCI]])</f>
        <v>3081002731.6682434</v>
      </c>
      <c r="AS261" s="5">
        <f>IF($B260&lt;=Tabla5[[#This Row],[INVERSIONES FCI]],+Tabla5[[#This Row],[INVERSIONES FCI]]-AS260,Tabla5[[#This Row],[INVERSIONES FCI]])</f>
        <v>3081002731.6682434</v>
      </c>
      <c r="AT261" s="5">
        <f>IF($B260&lt;=Tabla5[[#This Row],[INVERSIONES FCI]],+Tabla5[[#This Row],[INVERSIONES FCI]]-AT260,Tabla5[[#This Row],[INVERSIONES FCI]])</f>
        <v>3081002731.6682434</v>
      </c>
      <c r="AU261" s="5">
        <f>IF($B260&lt;=Tabla5[[#This Row],[INVERSIONES FCI]],+Tabla5[[#This Row],[INVERSIONES FCI]]-AU260,Tabla5[[#This Row],[INVERSIONES FCI]])</f>
        <v>3081002731.6682434</v>
      </c>
      <c r="AV261" s="5">
        <f>IF($B260&lt;=Tabla5[[#This Row],[INVERSIONES FCI]],+Tabla5[[#This Row],[INVERSIONES FCI]]-AV260,Tabla5[[#This Row],[INVERSIONES FCI]])</f>
        <v>3081002731.6682434</v>
      </c>
      <c r="AW261" s="5">
        <f>IF($B260&lt;=Tabla5[[#This Row],[INVERSIONES FCI]],+Tabla5[[#This Row],[INVERSIONES FCI]]-AW260,Tabla5[[#This Row],[INVERSIONES FCI]])</f>
        <v>3081002731.6682434</v>
      </c>
      <c r="AX261" s="5">
        <f>IF($B260&lt;=Tabla5[[#This Row],[INVERSIONES FCI]],+Tabla5[[#This Row],[INVERSIONES FCI]]-AX260,Tabla5[[#This Row],[INVERSIONES FCI]])</f>
        <v>3081002731.6682434</v>
      </c>
      <c r="AY261" s="5">
        <f>IF($B260&lt;=Tabla5[[#This Row],[INVERSIONES FCI]],+Tabla5[[#This Row],[INVERSIONES FCI]]-AY260,Tabla5[[#This Row],[INVERSIONES FCI]])</f>
        <v>3081002731.6682434</v>
      </c>
      <c r="AZ261" s="5">
        <f>IF($B260&lt;=Tabla5[[#This Row],[INVERSIONES FCI]],+Tabla5[[#This Row],[INVERSIONES FCI]]-AZ260,Tabla5[[#This Row],[INVERSIONES FCI]])</f>
        <v>3081002731.6682434</v>
      </c>
      <c r="BA261" s="5">
        <f>IF($B260&lt;=Tabla5[[#This Row],[INVERSIONES FCI]],+Tabla5[[#This Row],[INVERSIONES FCI]]-BA260,Tabla5[[#This Row],[INVERSIONES FCI]])</f>
        <v>3081002731.6682434</v>
      </c>
      <c r="BB261" s="5">
        <f>IF($B260&lt;=Tabla5[[#This Row],[INVERSIONES FCI]],+Tabla5[[#This Row],[INVERSIONES FCI]]-BB260,Tabla5[[#This Row],[INVERSIONES FCI]])</f>
        <v>3081002731.6682434</v>
      </c>
      <c r="BC261" s="5">
        <f>IF($B260&lt;=Tabla5[[#This Row],[INVERSIONES FCI]],+Tabla5[[#This Row],[INVERSIONES FCI]]-BC260,Tabla5[[#This Row],[INVERSIONES FCI]])</f>
        <v>3081002731.6682434</v>
      </c>
      <c r="BD261" s="5">
        <f>IF($B260&lt;=Tabla5[[#This Row],[INVERSIONES FCI]],+Tabla5[[#This Row],[INVERSIONES FCI]]-BD260,Tabla5[[#This Row],[INVERSIONES FCI]])</f>
        <v>3081002731.6682434</v>
      </c>
      <c r="BE261" s="5">
        <f>IF($B260&lt;=Tabla5[[#This Row],[INVERSIONES FCI]],+Tabla5[[#This Row],[INVERSIONES FCI]]-BE260,Tabla5[[#This Row],[INVERSIONES FCI]])</f>
        <v>3081002731.6682434</v>
      </c>
      <c r="BF261" s="5">
        <f>IF($B260&lt;=Tabla5[[#This Row],[INVERSIONES FCI]],+Tabla5[[#This Row],[INVERSIONES FCI]]-BF260,Tabla5[[#This Row],[INVERSIONES FCI]])</f>
        <v>3081002731.6682434</v>
      </c>
      <c r="BG261" s="5">
        <f>IF($B260&lt;=Tabla5[[#This Row],[INVERSIONES FCI]],+Tabla5[[#This Row],[INVERSIONES FCI]]-BG260,Tabla5[[#This Row],[INVERSIONES FCI]])</f>
        <v>3081002731.6682434</v>
      </c>
      <c r="BH261" s="5">
        <f>IF($B260&lt;=Tabla5[[#This Row],[INVERSIONES FCI]],+Tabla5[[#This Row],[INVERSIONES FCI]]-BH260,Tabla5[[#This Row],[INVERSIONES FCI]])</f>
        <v>3081002731.6682434</v>
      </c>
      <c r="BI261" s="5">
        <f>IF($B260&lt;=Tabla5[[#This Row],[INVERSIONES FCI]],+Tabla5[[#This Row],[INVERSIONES FCI]]-BI260,Tabla5[[#This Row],[INVERSIONES FCI]])</f>
        <v>3081002731.6682434</v>
      </c>
      <c r="BJ261" s="5">
        <f>IF($B260&lt;=Tabla5[[#This Row],[INVERSIONES FCI]],+Tabla5[[#This Row],[INVERSIONES FCI]]-BJ260,Tabla5[[#This Row],[INVERSIONES FCI]])</f>
        <v>3081002731.6682434</v>
      </c>
      <c r="BK261" s="5">
        <f>IF($B260&lt;=Tabla5[[#This Row],[INVERSIONES FCI]],+Tabla5[[#This Row],[INVERSIONES FCI]]-BK260,Tabla5[[#This Row],[INVERSIONES FCI]])</f>
        <v>3081002731.6682434</v>
      </c>
      <c r="BL261" s="5">
        <f>IF($B260&lt;=Tabla5[[#This Row],[INVERSIONES FCI]],+Tabla5[[#This Row],[INVERSIONES FCI]]-BL260,Tabla5[[#This Row],[INVERSIONES FCI]])</f>
        <v>3081002731.6682434</v>
      </c>
      <c r="BM261" s="5">
        <f>IF($B260&lt;=Tabla5[[#This Row],[INVERSIONES FCI]],+Tabla5[[#This Row],[INVERSIONES FCI]]-BM260,Tabla5[[#This Row],[INVERSIONES FCI]])</f>
        <v>3081002731.6682434</v>
      </c>
      <c r="BN261" s="5">
        <f>IF($B260&lt;=Tabla5[[#This Row],[INVERSIONES FCI]],+Tabla5[[#This Row],[INVERSIONES FCI]]-BN260,Tabla5[[#This Row],[INVERSIONES FCI]])</f>
        <v>3081002731.6682434</v>
      </c>
      <c r="BO261" s="5">
        <f>IF($B260&lt;=Tabla5[[#This Row],[INVERSIONES FCI]],+Tabla5[[#This Row],[INVERSIONES FCI]]-BO260,Tabla5[[#This Row],[INVERSIONES FCI]])</f>
        <v>3081002731.6682434</v>
      </c>
      <c r="BP261" s="5">
        <f>IF($B260&lt;=Tabla5[[#This Row],[INVERSIONES FCI]],+Tabla5[[#This Row],[INVERSIONES FCI]]-BP260,Tabla5[[#This Row],[INVERSIONES FCI]])</f>
        <v>3081002731.6682434</v>
      </c>
      <c r="BQ261" s="5">
        <f>IF($B260&lt;=Tabla5[[#This Row],[INVERSIONES FCI]],+Tabla5[[#This Row],[INVERSIONES FCI]]-BQ260,Tabla5[[#This Row],[INVERSIONES FCI]])</f>
        <v>3081002731.6682434</v>
      </c>
      <c r="BR261" s="5">
        <f>IF($B260&lt;=Tabla5[[#This Row],[INVERSIONES FCI]],+Tabla5[[#This Row],[INVERSIONES FCI]]-BR260,Tabla5[[#This Row],[INVERSIONES FCI]])</f>
        <v>3081002731.6682434</v>
      </c>
      <c r="BS261" s="5">
        <f>IF($B260&lt;=Tabla5[[#This Row],[INVERSIONES FCI]],+Tabla5[[#This Row],[INVERSIONES FCI]]-BS260,Tabla5[[#This Row],[INVERSIONES FCI]])</f>
        <v>3081002731.6682434</v>
      </c>
      <c r="BT261" s="5">
        <f>IF($B260&lt;=Tabla5[[#This Row],[INVERSIONES FCI]],+Tabla5[[#This Row],[INVERSIONES FCI]]-BT260,Tabla5[[#This Row],[INVERSIONES FCI]])</f>
        <v>3081002731.6682434</v>
      </c>
      <c r="BU261" s="5">
        <f>IF($B260&lt;=Tabla5[[#This Row],[INVERSIONES FCI]],+Tabla5[[#This Row],[INVERSIONES FCI]]-BU260,Tabla5[[#This Row],[INVERSIONES FCI]])</f>
        <v>3081002731.6682434</v>
      </c>
      <c r="BV261" s="5">
        <f>IF($B260&lt;=Tabla5[[#This Row],[INVERSIONES FCI]],+Tabla5[[#This Row],[INVERSIONES FCI]]-BV260,Tabla5[[#This Row],[INVERSIONES FCI]])</f>
        <v>3081002731.6682434</v>
      </c>
      <c r="BW261" s="5">
        <f>IF($B260&lt;=Tabla5[[#This Row],[INVERSIONES FCI]],+Tabla5[[#This Row],[INVERSIONES FCI]]-BW260,Tabla5[[#This Row],[INVERSIONES FCI]])</f>
        <v>3081002731.6682434</v>
      </c>
      <c r="BX261" s="5">
        <f>IF($B260&lt;=Tabla5[[#This Row],[INVERSIONES FCI]],+Tabla5[[#This Row],[INVERSIONES FCI]]-BX260,Tabla5[[#This Row],[INVERSIONES FCI]])</f>
        <v>3081002731.6682434</v>
      </c>
      <c r="BY261" s="5">
        <f>IF($B260&lt;=Tabla5[[#This Row],[INVERSIONES FCI]],+Tabla5[[#This Row],[INVERSIONES FCI]]-BY260,Tabla5[[#This Row],[INVERSIONES FCI]])</f>
        <v>3081002731.6682434</v>
      </c>
      <c r="BZ261" s="5">
        <f>IF($B260&lt;=Tabla5[[#This Row],[INVERSIONES FCI]],+Tabla5[[#This Row],[INVERSIONES FCI]]-BZ260,Tabla5[[#This Row],[INVERSIONES FCI]])</f>
        <v>3081002731.6682434</v>
      </c>
      <c r="CA261" s="5">
        <f>IF($B260&lt;=Tabla5[[#This Row],[INVERSIONES FCI]],+Tabla5[[#This Row],[INVERSIONES FCI]]-CA260,Tabla5[[#This Row],[INVERSIONES FCI]])</f>
        <v>3081002731.6682434</v>
      </c>
      <c r="CB261" s="5">
        <f>IF($B260&lt;=Tabla5[[#This Row],[INVERSIONES FCI]],+Tabla5[[#This Row],[INVERSIONES FCI]]-CB260,Tabla5[[#This Row],[INVERSIONES FCI]])</f>
        <v>3081002731.6682434</v>
      </c>
      <c r="CC261" s="5">
        <f>IF($B260&lt;=Tabla5[[#This Row],[INVERSIONES FCI]],+Tabla5[[#This Row],[INVERSIONES FCI]]-CC260,Tabla5[[#This Row],[INVERSIONES FCI]])</f>
        <v>3081002731.6682434</v>
      </c>
      <c r="CD261" s="5">
        <f>IF($B260&lt;=Tabla5[[#This Row],[INVERSIONES FCI]],+Tabla5[[#This Row],[INVERSIONES FCI]]-CD260,Tabla5[[#This Row],[INVERSIONES FCI]])</f>
        <v>3081002731.6682434</v>
      </c>
      <c r="CE261" s="5">
        <f>IF($B260&lt;=Tabla5[[#This Row],[INVERSIONES FCI]],+Tabla5[[#This Row],[INVERSIONES FCI]]-CE260,Tabla5[[#This Row],[INVERSIONES FCI]])</f>
        <v>3081002731.6682434</v>
      </c>
      <c r="CF261" s="5">
        <f>IF($B260&lt;=Tabla5[[#This Row],[INVERSIONES FCI]],+Tabla5[[#This Row],[INVERSIONES FCI]]-CF260,Tabla5[[#This Row],[INVERSIONES FCI]])</f>
        <v>3081002731.6682434</v>
      </c>
      <c r="CG261" s="5">
        <f>IF($B260&lt;=Tabla5[[#This Row],[INVERSIONES FCI]],+Tabla5[[#This Row],[INVERSIONES FCI]]-CG260,Tabla5[[#This Row],[INVERSIONES FCI]])</f>
        <v>3081002731.6682434</v>
      </c>
      <c r="CH261" s="5">
        <f>IF($B260&lt;=Tabla5[[#This Row],[INVERSIONES FCI]],+Tabla5[[#This Row],[INVERSIONES FCI]]-CH260,Tabla5[[#This Row],[INVERSIONES FCI]])</f>
        <v>3081002731.6682434</v>
      </c>
      <c r="CI261" s="5">
        <f>IF($B260&lt;=Tabla5[[#This Row],[INVERSIONES FCI]],+Tabla5[[#This Row],[INVERSIONES FCI]]-CI260,Tabla5[[#This Row],[INVERSIONES FCI]])</f>
        <v>3081002731.6682434</v>
      </c>
      <c r="CJ261" s="5">
        <f>IF($B260&lt;=Tabla5[[#This Row],[INVERSIONES FCI]],+Tabla5[[#This Row],[INVERSIONES FCI]]-CJ260,Tabla5[[#This Row],[INVERSIONES FCI]])</f>
        <v>3081002731.6682434</v>
      </c>
      <c r="CK261" s="5">
        <f>IF($B260&lt;=Tabla5[[#This Row],[INVERSIONES FCI]],+Tabla5[[#This Row],[INVERSIONES FCI]]-CK260,Tabla5[[#This Row],[INVERSIONES FCI]])</f>
        <v>3081002731.6682434</v>
      </c>
      <c r="CL261" s="5">
        <f>IF($B260&lt;=Tabla5[[#This Row],[INVERSIONES FCI]],+Tabla5[[#This Row],[INVERSIONES FCI]]-CL260,Tabla5[[#This Row],[INVERSIONES FCI]])</f>
        <v>3081002731.6682434</v>
      </c>
      <c r="CM261" s="5">
        <f>IF($B260&lt;=Tabla5[[#This Row],[INVERSIONES FCI]],+Tabla5[[#This Row],[INVERSIONES FCI]]-CM260,Tabla5[[#This Row],[INVERSIONES FCI]])</f>
        <v>3081002731.6682434</v>
      </c>
      <c r="CN261" s="5">
        <f>IF($B260&lt;=Tabla5[[#This Row],[INVERSIONES FCI]],+Tabla5[[#This Row],[INVERSIONES FCI]]-CN260,Tabla5[[#This Row],[INVERSIONES FCI]])</f>
        <v>3081002731.6682434</v>
      </c>
      <c r="CO261" s="5">
        <f>IF($B260&lt;=Tabla5[[#This Row],[INVERSIONES FCI]],+Tabla5[[#This Row],[INVERSIONES FCI]]-CO260,Tabla5[[#This Row],[INVERSIONES FCI]])</f>
        <v>3081002731.6682434</v>
      </c>
      <c r="CP261" s="5">
        <f>IF($B260&lt;=Tabla5[[#This Row],[INVERSIONES FCI]],+Tabla5[[#This Row],[INVERSIONES FCI]]-CP260,Tabla5[[#This Row],[INVERSIONES FCI]])</f>
        <v>3081002731.6682434</v>
      </c>
      <c r="CQ261" s="5">
        <f>IF($B260&lt;=Tabla5[[#This Row],[INVERSIONES FCI]],+Tabla5[[#This Row],[INVERSIONES FCI]]-CQ260,Tabla5[[#This Row],[INVERSIONES FCI]])</f>
        <v>3081002731.6682434</v>
      </c>
      <c r="CR261" s="5">
        <f>IF($B260&lt;=Tabla5[[#This Row],[INVERSIONES FCI]],+Tabla5[[#This Row],[INVERSIONES FCI]]-CR260,Tabla5[[#This Row],[INVERSIONES FCI]])</f>
        <v>3081002731.6682434</v>
      </c>
      <c r="CS261" s="5">
        <f>IF($B260&lt;=Tabla5[[#This Row],[INVERSIONES FCI]],+Tabla5[[#This Row],[INVERSIONES FCI]]-CS260,Tabla5[[#This Row],[INVERSIONES FCI]])</f>
        <v>3081002731.6682434</v>
      </c>
      <c r="CT261" s="5">
        <f>IF($B260&lt;=Tabla5[[#This Row],[INVERSIONES FCI]],+Tabla5[[#This Row],[INVERSIONES FCI]]-CT260,Tabla5[[#This Row],[INVERSIONES FCI]])</f>
        <v>3081002731.6682434</v>
      </c>
      <c r="CU261" s="5">
        <f>IF($B260&lt;=Tabla5[[#This Row],[INVERSIONES FCI]],+Tabla5[[#This Row],[INVERSIONES FCI]]-CU260,Tabla5[[#This Row],[INVERSIONES FCI]])</f>
        <v>3081002731.6682434</v>
      </c>
      <c r="CV261" s="5">
        <f>IF($B260&lt;=Tabla5[[#This Row],[INVERSIONES FCI]],+Tabla5[[#This Row],[INVERSIONES FCI]]-CV260,Tabla5[[#This Row],[INVERSIONES FCI]])</f>
        <v>3081002731.6682434</v>
      </c>
      <c r="CW261" s="5">
        <f>IF($B260&lt;=Tabla5[[#This Row],[INVERSIONES FCI]],+Tabla5[[#This Row],[INVERSIONES FCI]]-CW260,Tabla5[[#This Row],[INVERSIONES FCI]])</f>
        <v>3081002731.6682434</v>
      </c>
      <c r="CX261" s="5">
        <f>IF($B260&lt;=Tabla5[[#This Row],[INVERSIONES FCI]],+Tabla5[[#This Row],[INVERSIONES FCI]]-CX260,Tabla5[[#This Row],[INVERSIONES FCI]])</f>
        <v>3081002731.6682434</v>
      </c>
      <c r="CY261" s="5">
        <f>IF($B260&lt;=Tabla5[[#This Row],[INVERSIONES FCI]],+Tabla5[[#This Row],[INVERSIONES FCI]]-CY260,Tabla5[[#This Row],[INVERSIONES FCI]])</f>
        <v>3081002731.6682434</v>
      </c>
      <c r="CZ261" s="5">
        <f>IF($B260&lt;=Tabla5[[#This Row],[INVERSIONES FCI]],+Tabla5[[#This Row],[INVERSIONES FCI]]-CZ260,Tabla5[[#This Row],[INVERSIONES FCI]])</f>
        <v>3081002731.6682434</v>
      </c>
      <c r="DA261" s="5">
        <f>IF($B260&lt;=Tabla5[[#This Row],[INVERSIONES FCI]],+Tabla5[[#This Row],[INVERSIONES FCI]]-DA260,Tabla5[[#This Row],[INVERSIONES FCI]])</f>
        <v>3081002731.6682434</v>
      </c>
      <c r="DB261" s="5">
        <f>IF($B260&lt;=Tabla5[[#This Row],[INVERSIONES FCI]],+Tabla5[[#This Row],[INVERSIONES FCI]]-DB260,Tabla5[[#This Row],[INVERSIONES FCI]])</f>
        <v>3081002731.6682434</v>
      </c>
      <c r="DC261" s="5">
        <f>IF($B260&lt;=Tabla5[[#This Row],[INVERSIONES FCI]],+Tabla5[[#This Row],[INVERSIONES FCI]]-DC260,Tabla5[[#This Row],[INVERSIONES FCI]])</f>
        <v>3081002731.6682434</v>
      </c>
      <c r="DD261" s="5">
        <f>IF($B260&lt;=Tabla5[[#This Row],[INVERSIONES FCI]],+Tabla5[[#This Row],[INVERSIONES FCI]]-DD260,Tabla5[[#This Row],[INVERSIONES FCI]])</f>
        <v>3081002731.6682434</v>
      </c>
      <c r="DE261" s="5">
        <f>IF($B260&lt;=Tabla5[[#This Row],[INVERSIONES FCI]],+Tabla5[[#This Row],[INVERSIONES FCI]]-DE260,Tabla5[[#This Row],[INVERSIONES FCI]])</f>
        <v>3081002731.6682434</v>
      </c>
      <c r="DF261" s="5">
        <f>IF($B260&lt;=Tabla5[[#This Row],[INVERSIONES FCI]],+Tabla5[[#This Row],[INVERSIONES FCI]]-DF260,Tabla5[[#This Row],[INVERSIONES FCI]])</f>
        <v>3081002731.6682434</v>
      </c>
      <c r="DG261" s="5">
        <f>IF($B260&lt;=Tabla5[[#This Row],[INVERSIONES FCI]],+Tabla5[[#This Row],[INVERSIONES FCI]]-DG260,Tabla5[[#This Row],[INVERSIONES FCI]])</f>
        <v>3081002731.6682434</v>
      </c>
      <c r="DH261" s="5">
        <f>IF($B260&lt;=Tabla5[[#This Row],[INVERSIONES FCI]],+Tabla5[[#This Row],[INVERSIONES FCI]]-DH260,Tabla5[[#This Row],[INVERSIONES FCI]])</f>
        <v>3081002731.6682434</v>
      </c>
      <c r="DI261" s="5">
        <f>IF($B260&lt;=Tabla5[[#This Row],[INVERSIONES FCI]],+Tabla5[[#This Row],[INVERSIONES FCI]]-DI260,Tabla5[[#This Row],[INVERSIONES FCI]])</f>
        <v>3081002731.6682434</v>
      </c>
      <c r="DJ261" s="5">
        <f>IF($B260&lt;=Tabla5[[#This Row],[INVERSIONES FCI]],+Tabla5[[#This Row],[INVERSIONES FCI]]-DJ260,Tabla5[[#This Row],[INVERSIONES FCI]])</f>
        <v>3081002731.6682434</v>
      </c>
      <c r="DK261" s="5">
        <f>IF($B260&lt;=Tabla5[[#This Row],[INVERSIONES FCI]],+Tabla5[[#This Row],[INVERSIONES FCI]]-DK260,Tabla5[[#This Row],[INVERSIONES FCI]])</f>
        <v>3081002731.6682434</v>
      </c>
      <c r="DL261" s="5"/>
      <c r="DM261" s="5"/>
      <c r="DN261" s="5"/>
      <c r="DO261" s="5"/>
      <c r="DP261" s="5"/>
      <c r="DQ261" s="5"/>
    </row>
    <row r="262" spans="1:121" ht="14.4">
      <c r="A262" s="12" t="s">
        <v>261</v>
      </c>
      <c r="B262" s="5">
        <f>HLOOKUP($A262,ESCENARIO[#All],7,FALSE)</f>
        <v>57583821927.309975</v>
      </c>
      <c r="C262" s="5">
        <f>IF($B261&lt;=Tabla5[[#This Row],[INVERSIONES FCI]],+Tabla5[[#This Row],[INVERSIONES FCI]]-C261,Tabla5[[#This Row],[INVERSIONES FCI]])</f>
        <v>54502819195.641731</v>
      </c>
      <c r="D262" s="5">
        <f>IF($B261&lt;=Tabla5[[#This Row],[INVERSIONES FCI]],+Tabla5[[#This Row],[INVERSIONES FCI]]-D261,Tabla5[[#This Row],[INVERSIONES FCI]])</f>
        <v>54502819195.641731</v>
      </c>
      <c r="E262" s="5">
        <f>IF($B261&lt;=Tabla5[[#This Row],[INVERSIONES FCI]],+Tabla5[[#This Row],[INVERSIONES FCI]]-E261,Tabla5[[#This Row],[INVERSIONES FCI]])</f>
        <v>54502819195.641731</v>
      </c>
      <c r="F262" s="5">
        <f>IF($B261&lt;=Tabla5[[#This Row],[INVERSIONES FCI]],+Tabla5[[#This Row],[INVERSIONES FCI]]-F261,Tabla5[[#This Row],[INVERSIONES FCI]])</f>
        <v>54502819195.641731</v>
      </c>
      <c r="G262" s="5">
        <f>IF($B261&lt;=Tabla5[[#This Row],[INVERSIONES FCI]],+Tabla5[[#This Row],[INVERSIONES FCI]]-G261,Tabla5[[#This Row],[INVERSIONES FCI]])</f>
        <v>54502819195.641731</v>
      </c>
      <c r="H262" s="5">
        <f>IF($B261&lt;=Tabla5[[#This Row],[INVERSIONES FCI]],+Tabla5[[#This Row],[INVERSIONES FCI]]-H261,Tabla5[[#This Row],[INVERSIONES FCI]])</f>
        <v>54502819195.641731</v>
      </c>
      <c r="I262" s="5">
        <f>IF($B261&lt;=Tabla5[[#This Row],[INVERSIONES FCI]],+Tabla5[[#This Row],[INVERSIONES FCI]]-I261,Tabla5[[#This Row],[INVERSIONES FCI]])</f>
        <v>54502819195.641731</v>
      </c>
      <c r="J262" s="5">
        <f>IF($B261&lt;=Tabla5[[#This Row],[INVERSIONES FCI]],+Tabla5[[#This Row],[INVERSIONES FCI]]-J261,Tabla5[[#This Row],[INVERSIONES FCI]])</f>
        <v>54502819195.641731</v>
      </c>
      <c r="K262" s="5">
        <f>IF($B261&lt;=Tabla5[[#This Row],[INVERSIONES FCI]],+Tabla5[[#This Row],[INVERSIONES FCI]]-K261,Tabla5[[#This Row],[INVERSIONES FCI]])</f>
        <v>54502819195.641731</v>
      </c>
      <c r="L262" s="5">
        <f>IF($B261&lt;=Tabla5[[#This Row],[INVERSIONES FCI]],+Tabla5[[#This Row],[INVERSIONES FCI]]-L261,Tabla5[[#This Row],[INVERSIONES FCI]])</f>
        <v>54502819195.641731</v>
      </c>
      <c r="M262" s="5">
        <f>IF($B261&lt;=Tabla5[[#This Row],[INVERSIONES FCI]],+Tabla5[[#This Row],[INVERSIONES FCI]]-M261,Tabla5[[#This Row],[INVERSIONES FCI]])</f>
        <v>54502819195.641731</v>
      </c>
      <c r="N262" s="5">
        <f>IF($B261&lt;=Tabla5[[#This Row],[INVERSIONES FCI]],+Tabla5[[#This Row],[INVERSIONES FCI]]-N261,Tabla5[[#This Row],[INVERSIONES FCI]])</f>
        <v>54502819195.641731</v>
      </c>
      <c r="O262" s="5">
        <f>IF($B261&lt;=Tabla5[[#This Row],[INVERSIONES FCI]],+Tabla5[[#This Row],[INVERSIONES FCI]]-O261,Tabla5[[#This Row],[INVERSIONES FCI]])</f>
        <v>54502819195.641731</v>
      </c>
      <c r="P262" s="5">
        <f>IF($B261&lt;=Tabla5[[#This Row],[INVERSIONES FCI]],+Tabla5[[#This Row],[INVERSIONES FCI]]-P261,Tabla5[[#This Row],[INVERSIONES FCI]])</f>
        <v>54502819195.641731</v>
      </c>
      <c r="Q262" s="5">
        <f>IF($B261&lt;=Tabla5[[#This Row],[INVERSIONES FCI]],+Tabla5[[#This Row],[INVERSIONES FCI]]-Q261,Tabla5[[#This Row],[INVERSIONES FCI]])</f>
        <v>54502819195.641731</v>
      </c>
      <c r="R262" s="5">
        <f>IF($B261&lt;=Tabla5[[#This Row],[INVERSIONES FCI]],+Tabla5[[#This Row],[INVERSIONES FCI]]-R261,Tabla5[[#This Row],[INVERSIONES FCI]])</f>
        <v>54502819195.641731</v>
      </c>
      <c r="S262" s="5">
        <f>IF($B261&lt;=Tabla5[[#This Row],[INVERSIONES FCI]],+Tabla5[[#This Row],[INVERSIONES FCI]]-S261,Tabla5[[#This Row],[INVERSIONES FCI]])</f>
        <v>54502819195.641731</v>
      </c>
      <c r="T262" s="5">
        <f>IF($B261&lt;=Tabla5[[#This Row],[INVERSIONES FCI]],+Tabla5[[#This Row],[INVERSIONES FCI]]-T261,Tabla5[[#This Row],[INVERSIONES FCI]])</f>
        <v>54502819195.641731</v>
      </c>
      <c r="U262" s="5">
        <f>IF($B261&lt;=Tabla5[[#This Row],[INVERSIONES FCI]],+Tabla5[[#This Row],[INVERSIONES FCI]]-U261,Tabla5[[#This Row],[INVERSIONES FCI]])</f>
        <v>54502819195.641731</v>
      </c>
      <c r="V262" s="5">
        <f>IF($B261&lt;=Tabla5[[#This Row],[INVERSIONES FCI]],+Tabla5[[#This Row],[INVERSIONES FCI]]-V261,Tabla5[[#This Row],[INVERSIONES FCI]])</f>
        <v>54502819195.641731</v>
      </c>
      <c r="W262" s="5">
        <f>IF($B261&lt;=Tabla5[[#This Row],[INVERSIONES FCI]],+Tabla5[[#This Row],[INVERSIONES FCI]]-W261,Tabla5[[#This Row],[INVERSIONES FCI]])</f>
        <v>54502819195.641731</v>
      </c>
      <c r="X262" s="5">
        <f>IF($B261&lt;=Tabla5[[#This Row],[INVERSIONES FCI]],+Tabla5[[#This Row],[INVERSIONES FCI]]-X261,Tabla5[[#This Row],[INVERSIONES FCI]])</f>
        <v>54502819195.641731</v>
      </c>
      <c r="Y262" s="5">
        <f>IF($B261&lt;=Tabla5[[#This Row],[INVERSIONES FCI]],+Tabla5[[#This Row],[INVERSIONES FCI]]-Y261,Tabla5[[#This Row],[INVERSIONES FCI]])</f>
        <v>54502819195.641731</v>
      </c>
      <c r="Z262" s="5">
        <f>IF($B261&lt;=Tabla5[[#This Row],[INVERSIONES FCI]],+Tabla5[[#This Row],[INVERSIONES FCI]]-Z261,Tabla5[[#This Row],[INVERSIONES FCI]])</f>
        <v>54502819195.641731</v>
      </c>
      <c r="AA262" s="5">
        <f>IF($B261&lt;=Tabla5[[#This Row],[INVERSIONES FCI]],+Tabla5[[#This Row],[INVERSIONES FCI]]-AA261,Tabla5[[#This Row],[INVERSIONES FCI]])</f>
        <v>54502819195.641731</v>
      </c>
      <c r="AB262" s="5">
        <f>IF($B261&lt;=Tabla5[[#This Row],[INVERSIONES FCI]],+Tabla5[[#This Row],[INVERSIONES FCI]]-AB261,Tabla5[[#This Row],[INVERSIONES FCI]])</f>
        <v>54502819195.641731</v>
      </c>
      <c r="AC262" s="5">
        <f>IF($B261&lt;=Tabla5[[#This Row],[INVERSIONES FCI]],+Tabla5[[#This Row],[INVERSIONES FCI]]-AC261,Tabla5[[#This Row],[INVERSIONES FCI]])</f>
        <v>54502819195.641731</v>
      </c>
      <c r="AD262" s="5">
        <f>IF($B261&lt;=Tabla5[[#This Row],[INVERSIONES FCI]],+Tabla5[[#This Row],[INVERSIONES FCI]]-AD261,Tabla5[[#This Row],[INVERSIONES FCI]])</f>
        <v>54502819195.641731</v>
      </c>
      <c r="AE262" s="5">
        <f>IF($B261&lt;=Tabla5[[#This Row],[INVERSIONES FCI]],+Tabla5[[#This Row],[INVERSIONES FCI]]-AE261,Tabla5[[#This Row],[INVERSIONES FCI]])</f>
        <v>54502819195.641731</v>
      </c>
      <c r="AF262" s="5">
        <f>IF($B261&lt;=Tabla5[[#This Row],[INVERSIONES FCI]],+Tabla5[[#This Row],[INVERSIONES FCI]]-AF261,Tabla5[[#This Row],[INVERSIONES FCI]])</f>
        <v>54502819195.641731</v>
      </c>
      <c r="AG262" s="5">
        <f>IF($B261&lt;=Tabla5[[#This Row],[INVERSIONES FCI]],+Tabla5[[#This Row],[INVERSIONES FCI]]-AG261,Tabla5[[#This Row],[INVERSIONES FCI]])</f>
        <v>54502819195.641731</v>
      </c>
      <c r="AH262" s="5">
        <f>IF($B261&lt;=Tabla5[[#This Row],[INVERSIONES FCI]],+Tabla5[[#This Row],[INVERSIONES FCI]]-AH261,Tabla5[[#This Row],[INVERSIONES FCI]])</f>
        <v>54502819195.641731</v>
      </c>
      <c r="AI262" s="5">
        <f>IF($B261&lt;=Tabla5[[#This Row],[INVERSIONES FCI]],+Tabla5[[#This Row],[INVERSIONES FCI]]-AI261,Tabla5[[#This Row],[INVERSIONES FCI]])</f>
        <v>54502819195.641731</v>
      </c>
      <c r="AJ262" s="5">
        <f>IF($B261&lt;=Tabla5[[#This Row],[INVERSIONES FCI]],+Tabla5[[#This Row],[INVERSIONES FCI]]-AJ261,Tabla5[[#This Row],[INVERSIONES FCI]])</f>
        <v>54502819195.641731</v>
      </c>
      <c r="AK262" s="5">
        <f>IF($B261&lt;=Tabla5[[#This Row],[INVERSIONES FCI]],+Tabla5[[#This Row],[INVERSIONES FCI]]-AK261,Tabla5[[#This Row],[INVERSIONES FCI]])</f>
        <v>54502819195.641731</v>
      </c>
      <c r="AL262" s="5">
        <f>IF($B261&lt;=Tabla5[[#This Row],[INVERSIONES FCI]],+Tabla5[[#This Row],[INVERSIONES FCI]]-AL261,Tabla5[[#This Row],[INVERSIONES FCI]])</f>
        <v>54502819195.641731</v>
      </c>
      <c r="AM262" s="5">
        <f>IF($B261&lt;=Tabla5[[#This Row],[INVERSIONES FCI]],+Tabla5[[#This Row],[INVERSIONES FCI]]-AM261,Tabla5[[#This Row],[INVERSIONES FCI]])</f>
        <v>54502819195.641731</v>
      </c>
      <c r="AN262" s="5">
        <f>IF($B261&lt;=Tabla5[[#This Row],[INVERSIONES FCI]],+Tabla5[[#This Row],[INVERSIONES FCI]]-AN261,Tabla5[[#This Row],[INVERSIONES FCI]])</f>
        <v>54502819195.641731</v>
      </c>
      <c r="AO262" s="5">
        <f>IF($B261&lt;=Tabla5[[#This Row],[INVERSIONES FCI]],+Tabla5[[#This Row],[INVERSIONES FCI]]-AO261,Tabla5[[#This Row],[INVERSIONES FCI]])</f>
        <v>54502819195.641731</v>
      </c>
      <c r="AP262" s="5">
        <f>IF($B261&lt;=Tabla5[[#This Row],[INVERSIONES FCI]],+Tabla5[[#This Row],[INVERSIONES FCI]]-AP261,Tabla5[[#This Row],[INVERSIONES FCI]])</f>
        <v>54502819195.641731</v>
      </c>
      <c r="AQ262" s="5">
        <f>IF($B261&lt;=Tabla5[[#This Row],[INVERSIONES FCI]],+Tabla5[[#This Row],[INVERSIONES FCI]]-AQ261,Tabla5[[#This Row],[INVERSIONES FCI]])</f>
        <v>54502819195.641731</v>
      </c>
      <c r="AR262" s="5">
        <f>IF($B261&lt;=Tabla5[[#This Row],[INVERSIONES FCI]],+Tabla5[[#This Row],[INVERSIONES FCI]]-AR261,Tabla5[[#This Row],[INVERSIONES FCI]])</f>
        <v>54502819195.641731</v>
      </c>
      <c r="AS262" s="5">
        <f>IF($B261&lt;=Tabla5[[#This Row],[INVERSIONES FCI]],+Tabla5[[#This Row],[INVERSIONES FCI]]-AS261,Tabla5[[#This Row],[INVERSIONES FCI]])</f>
        <v>54502819195.641731</v>
      </c>
      <c r="AT262" s="5">
        <f>IF($B261&lt;=Tabla5[[#This Row],[INVERSIONES FCI]],+Tabla5[[#This Row],[INVERSIONES FCI]]-AT261,Tabla5[[#This Row],[INVERSIONES FCI]])</f>
        <v>54502819195.641731</v>
      </c>
      <c r="AU262" s="5">
        <f>IF($B261&lt;=Tabla5[[#This Row],[INVERSIONES FCI]],+Tabla5[[#This Row],[INVERSIONES FCI]]-AU261,Tabla5[[#This Row],[INVERSIONES FCI]])</f>
        <v>54502819195.641731</v>
      </c>
      <c r="AV262" s="5">
        <f>IF($B261&lt;=Tabla5[[#This Row],[INVERSIONES FCI]],+Tabla5[[#This Row],[INVERSIONES FCI]]-AV261,Tabla5[[#This Row],[INVERSIONES FCI]])</f>
        <v>54502819195.641731</v>
      </c>
      <c r="AW262" s="5">
        <f>IF($B261&lt;=Tabla5[[#This Row],[INVERSIONES FCI]],+Tabla5[[#This Row],[INVERSIONES FCI]]-AW261,Tabla5[[#This Row],[INVERSIONES FCI]])</f>
        <v>54502819195.641731</v>
      </c>
      <c r="AX262" s="5">
        <f>IF($B261&lt;=Tabla5[[#This Row],[INVERSIONES FCI]],+Tabla5[[#This Row],[INVERSIONES FCI]]-AX261,Tabla5[[#This Row],[INVERSIONES FCI]])</f>
        <v>54502819195.641731</v>
      </c>
      <c r="AY262" s="5">
        <f>IF($B261&lt;=Tabla5[[#This Row],[INVERSIONES FCI]],+Tabla5[[#This Row],[INVERSIONES FCI]]-AY261,Tabla5[[#This Row],[INVERSIONES FCI]])</f>
        <v>54502819195.641731</v>
      </c>
      <c r="AZ262" s="5">
        <f>IF($B261&lt;=Tabla5[[#This Row],[INVERSIONES FCI]],+Tabla5[[#This Row],[INVERSIONES FCI]]-AZ261,Tabla5[[#This Row],[INVERSIONES FCI]])</f>
        <v>54502819195.641731</v>
      </c>
      <c r="BA262" s="5">
        <f>IF($B261&lt;=Tabla5[[#This Row],[INVERSIONES FCI]],+Tabla5[[#This Row],[INVERSIONES FCI]]-BA261,Tabla5[[#This Row],[INVERSIONES FCI]])</f>
        <v>54502819195.641731</v>
      </c>
      <c r="BB262" s="5">
        <f>IF($B261&lt;=Tabla5[[#This Row],[INVERSIONES FCI]],+Tabla5[[#This Row],[INVERSIONES FCI]]-BB261,Tabla5[[#This Row],[INVERSIONES FCI]])</f>
        <v>54502819195.641731</v>
      </c>
      <c r="BC262" s="5">
        <f>IF($B261&lt;=Tabla5[[#This Row],[INVERSIONES FCI]],+Tabla5[[#This Row],[INVERSIONES FCI]]-BC261,Tabla5[[#This Row],[INVERSIONES FCI]])</f>
        <v>54502819195.641731</v>
      </c>
      <c r="BD262" s="5">
        <f>IF($B261&lt;=Tabla5[[#This Row],[INVERSIONES FCI]],+Tabla5[[#This Row],[INVERSIONES FCI]]-BD261,Tabla5[[#This Row],[INVERSIONES FCI]])</f>
        <v>54502819195.641731</v>
      </c>
      <c r="BE262" s="5">
        <f>IF($B261&lt;=Tabla5[[#This Row],[INVERSIONES FCI]],+Tabla5[[#This Row],[INVERSIONES FCI]]-BE261,Tabla5[[#This Row],[INVERSIONES FCI]])</f>
        <v>54502819195.641731</v>
      </c>
      <c r="BF262" s="5">
        <f>IF($B261&lt;=Tabla5[[#This Row],[INVERSIONES FCI]],+Tabla5[[#This Row],[INVERSIONES FCI]]-BF261,Tabla5[[#This Row],[INVERSIONES FCI]])</f>
        <v>54502819195.641731</v>
      </c>
      <c r="BG262" s="5">
        <f>IF($B261&lt;=Tabla5[[#This Row],[INVERSIONES FCI]],+Tabla5[[#This Row],[INVERSIONES FCI]]-BG261,Tabla5[[#This Row],[INVERSIONES FCI]])</f>
        <v>54502819195.641731</v>
      </c>
      <c r="BH262" s="5">
        <f>IF($B261&lt;=Tabla5[[#This Row],[INVERSIONES FCI]],+Tabla5[[#This Row],[INVERSIONES FCI]]-BH261,Tabla5[[#This Row],[INVERSIONES FCI]])</f>
        <v>54502819195.641731</v>
      </c>
      <c r="BI262" s="5">
        <f>IF($B261&lt;=Tabla5[[#This Row],[INVERSIONES FCI]],+Tabla5[[#This Row],[INVERSIONES FCI]]-BI261,Tabla5[[#This Row],[INVERSIONES FCI]])</f>
        <v>54502819195.641731</v>
      </c>
      <c r="BJ262" s="5">
        <f>IF($B261&lt;=Tabla5[[#This Row],[INVERSIONES FCI]],+Tabla5[[#This Row],[INVERSIONES FCI]]-BJ261,Tabla5[[#This Row],[INVERSIONES FCI]])</f>
        <v>54502819195.641731</v>
      </c>
      <c r="BK262" s="5">
        <f>IF($B261&lt;=Tabla5[[#This Row],[INVERSIONES FCI]],+Tabla5[[#This Row],[INVERSIONES FCI]]-BK261,Tabla5[[#This Row],[INVERSIONES FCI]])</f>
        <v>54502819195.641731</v>
      </c>
      <c r="BL262" s="5">
        <f>IF($B261&lt;=Tabla5[[#This Row],[INVERSIONES FCI]],+Tabla5[[#This Row],[INVERSIONES FCI]]-BL261,Tabla5[[#This Row],[INVERSIONES FCI]])</f>
        <v>54502819195.641731</v>
      </c>
      <c r="BM262" s="5">
        <f>IF($B261&lt;=Tabla5[[#This Row],[INVERSIONES FCI]],+Tabla5[[#This Row],[INVERSIONES FCI]]-BM261,Tabla5[[#This Row],[INVERSIONES FCI]])</f>
        <v>54502819195.641731</v>
      </c>
      <c r="BN262" s="5">
        <f>IF($B261&lt;=Tabla5[[#This Row],[INVERSIONES FCI]],+Tabla5[[#This Row],[INVERSIONES FCI]]-BN261,Tabla5[[#This Row],[INVERSIONES FCI]])</f>
        <v>54502819195.641731</v>
      </c>
      <c r="BO262" s="5">
        <f>IF($B261&lt;=Tabla5[[#This Row],[INVERSIONES FCI]],+Tabla5[[#This Row],[INVERSIONES FCI]]-BO261,Tabla5[[#This Row],[INVERSIONES FCI]])</f>
        <v>54502819195.641731</v>
      </c>
      <c r="BP262" s="5">
        <f>IF($B261&lt;=Tabla5[[#This Row],[INVERSIONES FCI]],+Tabla5[[#This Row],[INVERSIONES FCI]]-BP261,Tabla5[[#This Row],[INVERSIONES FCI]])</f>
        <v>54502819195.641731</v>
      </c>
      <c r="BQ262" s="5">
        <f>IF($B261&lt;=Tabla5[[#This Row],[INVERSIONES FCI]],+Tabla5[[#This Row],[INVERSIONES FCI]]-BQ261,Tabla5[[#This Row],[INVERSIONES FCI]])</f>
        <v>54502819195.641731</v>
      </c>
      <c r="BR262" s="5">
        <f>IF($B261&lt;=Tabla5[[#This Row],[INVERSIONES FCI]],+Tabla5[[#This Row],[INVERSIONES FCI]]-BR261,Tabla5[[#This Row],[INVERSIONES FCI]])</f>
        <v>54502819195.641731</v>
      </c>
      <c r="BS262" s="5">
        <f>IF($B261&lt;=Tabla5[[#This Row],[INVERSIONES FCI]],+Tabla5[[#This Row],[INVERSIONES FCI]]-BS261,Tabla5[[#This Row],[INVERSIONES FCI]])</f>
        <v>54502819195.641731</v>
      </c>
      <c r="BT262" s="5">
        <f>IF($B261&lt;=Tabla5[[#This Row],[INVERSIONES FCI]],+Tabla5[[#This Row],[INVERSIONES FCI]]-BT261,Tabla5[[#This Row],[INVERSIONES FCI]])</f>
        <v>54502819195.641731</v>
      </c>
      <c r="BU262" s="5">
        <f>IF($B261&lt;=Tabla5[[#This Row],[INVERSIONES FCI]],+Tabla5[[#This Row],[INVERSIONES FCI]]-BU261,Tabla5[[#This Row],[INVERSIONES FCI]])</f>
        <v>54502819195.641731</v>
      </c>
      <c r="BV262" s="5">
        <f>IF($B261&lt;=Tabla5[[#This Row],[INVERSIONES FCI]],+Tabla5[[#This Row],[INVERSIONES FCI]]-BV261,Tabla5[[#This Row],[INVERSIONES FCI]])</f>
        <v>54502819195.641731</v>
      </c>
      <c r="BW262" s="5">
        <f>IF($B261&lt;=Tabla5[[#This Row],[INVERSIONES FCI]],+Tabla5[[#This Row],[INVERSIONES FCI]]-BW261,Tabla5[[#This Row],[INVERSIONES FCI]])</f>
        <v>54502819195.641731</v>
      </c>
      <c r="BX262" s="5">
        <f>IF($B261&lt;=Tabla5[[#This Row],[INVERSIONES FCI]],+Tabla5[[#This Row],[INVERSIONES FCI]]-BX261,Tabla5[[#This Row],[INVERSIONES FCI]])</f>
        <v>54502819195.641731</v>
      </c>
      <c r="BY262" s="5">
        <f>IF($B261&lt;=Tabla5[[#This Row],[INVERSIONES FCI]],+Tabla5[[#This Row],[INVERSIONES FCI]]-BY261,Tabla5[[#This Row],[INVERSIONES FCI]])</f>
        <v>54502819195.641731</v>
      </c>
      <c r="BZ262" s="5">
        <f>IF($B261&lt;=Tabla5[[#This Row],[INVERSIONES FCI]],+Tabla5[[#This Row],[INVERSIONES FCI]]-BZ261,Tabla5[[#This Row],[INVERSIONES FCI]])</f>
        <v>54502819195.641731</v>
      </c>
      <c r="CA262" s="5">
        <f>IF($B261&lt;=Tabla5[[#This Row],[INVERSIONES FCI]],+Tabla5[[#This Row],[INVERSIONES FCI]]-CA261,Tabla5[[#This Row],[INVERSIONES FCI]])</f>
        <v>54502819195.641731</v>
      </c>
      <c r="CB262" s="5">
        <f>IF($B261&lt;=Tabla5[[#This Row],[INVERSIONES FCI]],+Tabla5[[#This Row],[INVERSIONES FCI]]-CB261,Tabla5[[#This Row],[INVERSIONES FCI]])</f>
        <v>54502819195.641731</v>
      </c>
      <c r="CC262" s="5">
        <f>IF($B261&lt;=Tabla5[[#This Row],[INVERSIONES FCI]],+Tabla5[[#This Row],[INVERSIONES FCI]]-CC261,Tabla5[[#This Row],[INVERSIONES FCI]])</f>
        <v>54502819195.641731</v>
      </c>
      <c r="CD262" s="5">
        <f>IF($B261&lt;=Tabla5[[#This Row],[INVERSIONES FCI]],+Tabla5[[#This Row],[INVERSIONES FCI]]-CD261,Tabla5[[#This Row],[INVERSIONES FCI]])</f>
        <v>54502819195.641731</v>
      </c>
      <c r="CE262" s="5">
        <f>IF($B261&lt;=Tabla5[[#This Row],[INVERSIONES FCI]],+Tabla5[[#This Row],[INVERSIONES FCI]]-CE261,Tabla5[[#This Row],[INVERSIONES FCI]])</f>
        <v>54502819195.641731</v>
      </c>
      <c r="CF262" s="5">
        <f>IF($B261&lt;=Tabla5[[#This Row],[INVERSIONES FCI]],+Tabla5[[#This Row],[INVERSIONES FCI]]-CF261,Tabla5[[#This Row],[INVERSIONES FCI]])</f>
        <v>54502819195.641731</v>
      </c>
      <c r="CG262" s="5">
        <f>IF($B261&lt;=Tabla5[[#This Row],[INVERSIONES FCI]],+Tabla5[[#This Row],[INVERSIONES FCI]]-CG261,Tabla5[[#This Row],[INVERSIONES FCI]])</f>
        <v>54502819195.641731</v>
      </c>
      <c r="CH262" s="5">
        <f>IF($B261&lt;=Tabla5[[#This Row],[INVERSIONES FCI]],+Tabla5[[#This Row],[INVERSIONES FCI]]-CH261,Tabla5[[#This Row],[INVERSIONES FCI]])</f>
        <v>54502819195.641731</v>
      </c>
      <c r="CI262" s="5">
        <f>IF($B261&lt;=Tabla5[[#This Row],[INVERSIONES FCI]],+Tabla5[[#This Row],[INVERSIONES FCI]]-CI261,Tabla5[[#This Row],[INVERSIONES FCI]])</f>
        <v>54502819195.641731</v>
      </c>
      <c r="CJ262" s="5">
        <f>IF($B261&lt;=Tabla5[[#This Row],[INVERSIONES FCI]],+Tabla5[[#This Row],[INVERSIONES FCI]]-CJ261,Tabla5[[#This Row],[INVERSIONES FCI]])</f>
        <v>54502819195.641731</v>
      </c>
      <c r="CK262" s="5">
        <f>IF($B261&lt;=Tabla5[[#This Row],[INVERSIONES FCI]],+Tabla5[[#This Row],[INVERSIONES FCI]]-CK261,Tabla5[[#This Row],[INVERSIONES FCI]])</f>
        <v>54502819195.641731</v>
      </c>
      <c r="CL262" s="5">
        <f>IF($B261&lt;=Tabla5[[#This Row],[INVERSIONES FCI]],+Tabla5[[#This Row],[INVERSIONES FCI]]-CL261,Tabla5[[#This Row],[INVERSIONES FCI]])</f>
        <v>54502819195.641731</v>
      </c>
      <c r="CM262" s="5">
        <f>IF($B261&lt;=Tabla5[[#This Row],[INVERSIONES FCI]],+Tabla5[[#This Row],[INVERSIONES FCI]]-CM261,Tabla5[[#This Row],[INVERSIONES FCI]])</f>
        <v>54502819195.641731</v>
      </c>
      <c r="CN262" s="5">
        <f>IF($B261&lt;=Tabla5[[#This Row],[INVERSIONES FCI]],+Tabla5[[#This Row],[INVERSIONES FCI]]-CN261,Tabla5[[#This Row],[INVERSIONES FCI]])</f>
        <v>54502819195.641731</v>
      </c>
      <c r="CO262" s="5">
        <f>IF($B261&lt;=Tabla5[[#This Row],[INVERSIONES FCI]],+Tabla5[[#This Row],[INVERSIONES FCI]]-CO261,Tabla5[[#This Row],[INVERSIONES FCI]])</f>
        <v>54502819195.641731</v>
      </c>
      <c r="CP262" s="5">
        <f>IF($B261&lt;=Tabla5[[#This Row],[INVERSIONES FCI]],+Tabla5[[#This Row],[INVERSIONES FCI]]-CP261,Tabla5[[#This Row],[INVERSIONES FCI]])</f>
        <v>54502819195.641731</v>
      </c>
      <c r="CQ262" s="5">
        <f>IF($B261&lt;=Tabla5[[#This Row],[INVERSIONES FCI]],+Tabla5[[#This Row],[INVERSIONES FCI]]-CQ261,Tabla5[[#This Row],[INVERSIONES FCI]])</f>
        <v>54502819195.641731</v>
      </c>
      <c r="CR262" s="5">
        <f>IF($B261&lt;=Tabla5[[#This Row],[INVERSIONES FCI]],+Tabla5[[#This Row],[INVERSIONES FCI]]-CR261,Tabla5[[#This Row],[INVERSIONES FCI]])</f>
        <v>54502819195.641731</v>
      </c>
      <c r="CS262" s="5">
        <f>IF($B261&lt;=Tabla5[[#This Row],[INVERSIONES FCI]],+Tabla5[[#This Row],[INVERSIONES FCI]]-CS261,Tabla5[[#This Row],[INVERSIONES FCI]])</f>
        <v>54502819195.641731</v>
      </c>
      <c r="CT262" s="5">
        <f>IF($B261&lt;=Tabla5[[#This Row],[INVERSIONES FCI]],+Tabla5[[#This Row],[INVERSIONES FCI]]-CT261,Tabla5[[#This Row],[INVERSIONES FCI]])</f>
        <v>54502819195.641731</v>
      </c>
      <c r="CU262" s="5">
        <f>IF($B261&lt;=Tabla5[[#This Row],[INVERSIONES FCI]],+Tabla5[[#This Row],[INVERSIONES FCI]]-CU261,Tabla5[[#This Row],[INVERSIONES FCI]])</f>
        <v>54502819195.641731</v>
      </c>
      <c r="CV262" s="5">
        <f>IF($B261&lt;=Tabla5[[#This Row],[INVERSIONES FCI]],+Tabla5[[#This Row],[INVERSIONES FCI]]-CV261,Tabla5[[#This Row],[INVERSIONES FCI]])</f>
        <v>54502819195.641731</v>
      </c>
      <c r="CW262" s="5">
        <f>IF($B261&lt;=Tabla5[[#This Row],[INVERSIONES FCI]],+Tabla5[[#This Row],[INVERSIONES FCI]]-CW261,Tabla5[[#This Row],[INVERSIONES FCI]])</f>
        <v>54502819195.641731</v>
      </c>
      <c r="CX262" s="5">
        <f>IF($B261&lt;=Tabla5[[#This Row],[INVERSIONES FCI]],+Tabla5[[#This Row],[INVERSIONES FCI]]-CX261,Tabla5[[#This Row],[INVERSIONES FCI]])</f>
        <v>54502819195.641731</v>
      </c>
      <c r="CY262" s="5">
        <f>IF($B261&lt;=Tabla5[[#This Row],[INVERSIONES FCI]],+Tabla5[[#This Row],[INVERSIONES FCI]]-CY261,Tabla5[[#This Row],[INVERSIONES FCI]])</f>
        <v>54502819195.641731</v>
      </c>
      <c r="CZ262" s="5">
        <f>IF($B261&lt;=Tabla5[[#This Row],[INVERSIONES FCI]],+Tabla5[[#This Row],[INVERSIONES FCI]]-CZ261,Tabla5[[#This Row],[INVERSIONES FCI]])</f>
        <v>54502819195.641731</v>
      </c>
      <c r="DA262" s="5">
        <f>IF($B261&lt;=Tabla5[[#This Row],[INVERSIONES FCI]],+Tabla5[[#This Row],[INVERSIONES FCI]]-DA261,Tabla5[[#This Row],[INVERSIONES FCI]])</f>
        <v>54502819195.641731</v>
      </c>
      <c r="DB262" s="5">
        <f>IF($B261&lt;=Tabla5[[#This Row],[INVERSIONES FCI]],+Tabla5[[#This Row],[INVERSIONES FCI]]-DB261,Tabla5[[#This Row],[INVERSIONES FCI]])</f>
        <v>54502819195.641731</v>
      </c>
      <c r="DC262" s="5">
        <f>IF($B261&lt;=Tabla5[[#This Row],[INVERSIONES FCI]],+Tabla5[[#This Row],[INVERSIONES FCI]]-DC261,Tabla5[[#This Row],[INVERSIONES FCI]])</f>
        <v>54502819195.641731</v>
      </c>
      <c r="DD262" s="5">
        <f>IF($B261&lt;=Tabla5[[#This Row],[INVERSIONES FCI]],+Tabla5[[#This Row],[INVERSIONES FCI]]-DD261,Tabla5[[#This Row],[INVERSIONES FCI]])</f>
        <v>54502819195.641731</v>
      </c>
      <c r="DE262" s="5">
        <f>IF($B261&lt;=Tabla5[[#This Row],[INVERSIONES FCI]],+Tabla5[[#This Row],[INVERSIONES FCI]]-DE261,Tabla5[[#This Row],[INVERSIONES FCI]])</f>
        <v>54502819195.641731</v>
      </c>
      <c r="DF262" s="5">
        <f>IF($B261&lt;=Tabla5[[#This Row],[INVERSIONES FCI]],+Tabla5[[#This Row],[INVERSIONES FCI]]-DF261,Tabla5[[#This Row],[INVERSIONES FCI]])</f>
        <v>54502819195.641731</v>
      </c>
      <c r="DG262" s="5">
        <f>IF($B261&lt;=Tabla5[[#This Row],[INVERSIONES FCI]],+Tabla5[[#This Row],[INVERSIONES FCI]]-DG261,Tabla5[[#This Row],[INVERSIONES FCI]])</f>
        <v>54502819195.641731</v>
      </c>
      <c r="DH262" s="5">
        <f>IF($B261&lt;=Tabla5[[#This Row],[INVERSIONES FCI]],+Tabla5[[#This Row],[INVERSIONES FCI]]-DH261,Tabla5[[#This Row],[INVERSIONES FCI]])</f>
        <v>54502819195.641731</v>
      </c>
      <c r="DI262" s="5">
        <f>IF($B261&lt;=Tabla5[[#This Row],[INVERSIONES FCI]],+Tabla5[[#This Row],[INVERSIONES FCI]]-DI261,Tabla5[[#This Row],[INVERSIONES FCI]])</f>
        <v>54502819195.641731</v>
      </c>
      <c r="DJ262" s="5">
        <f>IF($B261&lt;=Tabla5[[#This Row],[INVERSIONES FCI]],+Tabla5[[#This Row],[INVERSIONES FCI]]-DJ261,Tabla5[[#This Row],[INVERSIONES FCI]])</f>
        <v>54502819195.641731</v>
      </c>
      <c r="DK262" s="5">
        <f>IF($B261&lt;=Tabla5[[#This Row],[INVERSIONES FCI]],+Tabla5[[#This Row],[INVERSIONES FCI]]-DK261,Tabla5[[#This Row],[INVERSIONES FCI]])</f>
        <v>54502819195.641731</v>
      </c>
      <c r="DL262" s="5"/>
      <c r="DM262" s="5"/>
      <c r="DN262" s="5"/>
      <c r="DO262" s="5"/>
      <c r="DP262" s="5"/>
      <c r="DQ262" s="5"/>
    </row>
    <row r="263" spans="1:121" ht="14.4">
      <c r="A263" s="12" t="s">
        <v>262</v>
      </c>
      <c r="B263" s="5">
        <f>HLOOKUP($A263,ESCENARIO[#All],7,FALSE)</f>
        <v>59085171079.992233</v>
      </c>
      <c r="C263" s="5">
        <f>IF($B262&lt;=Tabla5[[#This Row],[INVERSIONES FCI]],+Tabla5[[#This Row],[INVERSIONES FCI]]-C262,Tabla5[[#This Row],[INVERSIONES FCI]])</f>
        <v>4582351884.350502</v>
      </c>
      <c r="D263" s="5">
        <f>IF($B262&lt;=Tabla5[[#This Row],[INVERSIONES FCI]],+Tabla5[[#This Row],[INVERSIONES FCI]]-D262,Tabla5[[#This Row],[INVERSIONES FCI]])</f>
        <v>4582351884.350502</v>
      </c>
      <c r="E263" s="5">
        <f>IF($B262&lt;=Tabla5[[#This Row],[INVERSIONES FCI]],+Tabla5[[#This Row],[INVERSIONES FCI]]-E262,Tabla5[[#This Row],[INVERSIONES FCI]])</f>
        <v>4582351884.350502</v>
      </c>
      <c r="F263" s="5">
        <f>IF($B262&lt;=Tabla5[[#This Row],[INVERSIONES FCI]],+Tabla5[[#This Row],[INVERSIONES FCI]]-F262,Tabla5[[#This Row],[INVERSIONES FCI]])</f>
        <v>4582351884.350502</v>
      </c>
      <c r="G263" s="5">
        <f>IF($B262&lt;=Tabla5[[#This Row],[INVERSIONES FCI]],+Tabla5[[#This Row],[INVERSIONES FCI]]-G262,Tabla5[[#This Row],[INVERSIONES FCI]])</f>
        <v>4582351884.350502</v>
      </c>
      <c r="H263" s="5">
        <f>IF($B262&lt;=Tabla5[[#This Row],[INVERSIONES FCI]],+Tabla5[[#This Row],[INVERSIONES FCI]]-H262,Tabla5[[#This Row],[INVERSIONES FCI]])</f>
        <v>4582351884.350502</v>
      </c>
      <c r="I263" s="5">
        <f>IF($B262&lt;=Tabla5[[#This Row],[INVERSIONES FCI]],+Tabla5[[#This Row],[INVERSIONES FCI]]-I262,Tabla5[[#This Row],[INVERSIONES FCI]])</f>
        <v>4582351884.350502</v>
      </c>
      <c r="J263" s="5">
        <f>IF($B262&lt;=Tabla5[[#This Row],[INVERSIONES FCI]],+Tabla5[[#This Row],[INVERSIONES FCI]]-J262,Tabla5[[#This Row],[INVERSIONES FCI]])</f>
        <v>4582351884.350502</v>
      </c>
      <c r="K263" s="5">
        <f>IF($B262&lt;=Tabla5[[#This Row],[INVERSIONES FCI]],+Tabla5[[#This Row],[INVERSIONES FCI]]-K262,Tabla5[[#This Row],[INVERSIONES FCI]])</f>
        <v>4582351884.350502</v>
      </c>
      <c r="L263" s="5">
        <f>IF($B262&lt;=Tabla5[[#This Row],[INVERSIONES FCI]],+Tabla5[[#This Row],[INVERSIONES FCI]]-L262,Tabla5[[#This Row],[INVERSIONES FCI]])</f>
        <v>4582351884.350502</v>
      </c>
      <c r="M263" s="5">
        <f>IF($B262&lt;=Tabla5[[#This Row],[INVERSIONES FCI]],+Tabla5[[#This Row],[INVERSIONES FCI]]-M262,Tabla5[[#This Row],[INVERSIONES FCI]])</f>
        <v>4582351884.350502</v>
      </c>
      <c r="N263" s="5">
        <f>IF($B262&lt;=Tabla5[[#This Row],[INVERSIONES FCI]],+Tabla5[[#This Row],[INVERSIONES FCI]]-N262,Tabla5[[#This Row],[INVERSIONES FCI]])</f>
        <v>4582351884.350502</v>
      </c>
      <c r="O263" s="5">
        <f>IF($B262&lt;=Tabla5[[#This Row],[INVERSIONES FCI]],+Tabla5[[#This Row],[INVERSIONES FCI]]-O262,Tabla5[[#This Row],[INVERSIONES FCI]])</f>
        <v>4582351884.350502</v>
      </c>
      <c r="P263" s="5">
        <f>IF($B262&lt;=Tabla5[[#This Row],[INVERSIONES FCI]],+Tabla5[[#This Row],[INVERSIONES FCI]]-P262,Tabla5[[#This Row],[INVERSIONES FCI]])</f>
        <v>4582351884.350502</v>
      </c>
      <c r="Q263" s="5">
        <f>IF($B262&lt;=Tabla5[[#This Row],[INVERSIONES FCI]],+Tabla5[[#This Row],[INVERSIONES FCI]]-Q262,Tabla5[[#This Row],[INVERSIONES FCI]])</f>
        <v>4582351884.350502</v>
      </c>
      <c r="R263" s="5">
        <f>IF($B262&lt;=Tabla5[[#This Row],[INVERSIONES FCI]],+Tabla5[[#This Row],[INVERSIONES FCI]]-R262,Tabla5[[#This Row],[INVERSIONES FCI]])</f>
        <v>4582351884.350502</v>
      </c>
      <c r="S263" s="5">
        <f>IF($B262&lt;=Tabla5[[#This Row],[INVERSIONES FCI]],+Tabla5[[#This Row],[INVERSIONES FCI]]-S262,Tabla5[[#This Row],[INVERSIONES FCI]])</f>
        <v>4582351884.350502</v>
      </c>
      <c r="T263" s="5">
        <f>IF($B262&lt;=Tabla5[[#This Row],[INVERSIONES FCI]],+Tabla5[[#This Row],[INVERSIONES FCI]]-T262,Tabla5[[#This Row],[INVERSIONES FCI]])</f>
        <v>4582351884.350502</v>
      </c>
      <c r="U263" s="5">
        <f>IF($B262&lt;=Tabla5[[#This Row],[INVERSIONES FCI]],+Tabla5[[#This Row],[INVERSIONES FCI]]-U262,Tabla5[[#This Row],[INVERSIONES FCI]])</f>
        <v>4582351884.350502</v>
      </c>
      <c r="V263" s="5">
        <f>IF($B262&lt;=Tabla5[[#This Row],[INVERSIONES FCI]],+Tabla5[[#This Row],[INVERSIONES FCI]]-V262,Tabla5[[#This Row],[INVERSIONES FCI]])</f>
        <v>4582351884.350502</v>
      </c>
      <c r="W263" s="5">
        <f>IF($B262&lt;=Tabla5[[#This Row],[INVERSIONES FCI]],+Tabla5[[#This Row],[INVERSIONES FCI]]-W262,Tabla5[[#This Row],[INVERSIONES FCI]])</f>
        <v>4582351884.350502</v>
      </c>
      <c r="X263" s="5">
        <f>IF($B262&lt;=Tabla5[[#This Row],[INVERSIONES FCI]],+Tabla5[[#This Row],[INVERSIONES FCI]]-X262,Tabla5[[#This Row],[INVERSIONES FCI]])</f>
        <v>4582351884.350502</v>
      </c>
      <c r="Y263" s="5">
        <f>IF($B262&lt;=Tabla5[[#This Row],[INVERSIONES FCI]],+Tabla5[[#This Row],[INVERSIONES FCI]]-Y262,Tabla5[[#This Row],[INVERSIONES FCI]])</f>
        <v>4582351884.350502</v>
      </c>
      <c r="Z263" s="5">
        <f>IF($B262&lt;=Tabla5[[#This Row],[INVERSIONES FCI]],+Tabla5[[#This Row],[INVERSIONES FCI]]-Z262,Tabla5[[#This Row],[INVERSIONES FCI]])</f>
        <v>4582351884.350502</v>
      </c>
      <c r="AA263" s="5">
        <f>IF($B262&lt;=Tabla5[[#This Row],[INVERSIONES FCI]],+Tabla5[[#This Row],[INVERSIONES FCI]]-AA262,Tabla5[[#This Row],[INVERSIONES FCI]])</f>
        <v>4582351884.350502</v>
      </c>
      <c r="AB263" s="5">
        <f>IF($B262&lt;=Tabla5[[#This Row],[INVERSIONES FCI]],+Tabla5[[#This Row],[INVERSIONES FCI]]-AB262,Tabla5[[#This Row],[INVERSIONES FCI]])</f>
        <v>4582351884.350502</v>
      </c>
      <c r="AC263" s="5">
        <f>IF($B262&lt;=Tabla5[[#This Row],[INVERSIONES FCI]],+Tabla5[[#This Row],[INVERSIONES FCI]]-AC262,Tabla5[[#This Row],[INVERSIONES FCI]])</f>
        <v>4582351884.350502</v>
      </c>
      <c r="AD263" s="5">
        <f>IF($B262&lt;=Tabla5[[#This Row],[INVERSIONES FCI]],+Tabla5[[#This Row],[INVERSIONES FCI]]-AD262,Tabla5[[#This Row],[INVERSIONES FCI]])</f>
        <v>4582351884.350502</v>
      </c>
      <c r="AE263" s="5">
        <f>IF($B262&lt;=Tabla5[[#This Row],[INVERSIONES FCI]],+Tabla5[[#This Row],[INVERSIONES FCI]]-AE262,Tabla5[[#This Row],[INVERSIONES FCI]])</f>
        <v>4582351884.350502</v>
      </c>
      <c r="AF263" s="5">
        <f>IF($B262&lt;=Tabla5[[#This Row],[INVERSIONES FCI]],+Tabla5[[#This Row],[INVERSIONES FCI]]-AF262,Tabla5[[#This Row],[INVERSIONES FCI]])</f>
        <v>4582351884.350502</v>
      </c>
      <c r="AG263" s="5">
        <f>IF($B262&lt;=Tabla5[[#This Row],[INVERSIONES FCI]],+Tabla5[[#This Row],[INVERSIONES FCI]]-AG262,Tabla5[[#This Row],[INVERSIONES FCI]])</f>
        <v>4582351884.350502</v>
      </c>
      <c r="AH263" s="5">
        <f>IF($B262&lt;=Tabla5[[#This Row],[INVERSIONES FCI]],+Tabla5[[#This Row],[INVERSIONES FCI]]-AH262,Tabla5[[#This Row],[INVERSIONES FCI]])</f>
        <v>4582351884.350502</v>
      </c>
      <c r="AI263" s="5">
        <f>IF($B262&lt;=Tabla5[[#This Row],[INVERSIONES FCI]],+Tabla5[[#This Row],[INVERSIONES FCI]]-AI262,Tabla5[[#This Row],[INVERSIONES FCI]])</f>
        <v>4582351884.350502</v>
      </c>
      <c r="AJ263" s="5">
        <f>IF($B262&lt;=Tabla5[[#This Row],[INVERSIONES FCI]],+Tabla5[[#This Row],[INVERSIONES FCI]]-AJ262,Tabla5[[#This Row],[INVERSIONES FCI]])</f>
        <v>4582351884.350502</v>
      </c>
      <c r="AK263" s="5">
        <f>IF($B262&lt;=Tabla5[[#This Row],[INVERSIONES FCI]],+Tabla5[[#This Row],[INVERSIONES FCI]]-AK262,Tabla5[[#This Row],[INVERSIONES FCI]])</f>
        <v>4582351884.350502</v>
      </c>
      <c r="AL263" s="5">
        <f>IF($B262&lt;=Tabla5[[#This Row],[INVERSIONES FCI]],+Tabla5[[#This Row],[INVERSIONES FCI]]-AL262,Tabla5[[#This Row],[INVERSIONES FCI]])</f>
        <v>4582351884.350502</v>
      </c>
      <c r="AM263" s="5">
        <f>IF($B262&lt;=Tabla5[[#This Row],[INVERSIONES FCI]],+Tabla5[[#This Row],[INVERSIONES FCI]]-AM262,Tabla5[[#This Row],[INVERSIONES FCI]])</f>
        <v>4582351884.350502</v>
      </c>
      <c r="AN263" s="5">
        <f>IF($B262&lt;=Tabla5[[#This Row],[INVERSIONES FCI]],+Tabla5[[#This Row],[INVERSIONES FCI]]-AN262,Tabla5[[#This Row],[INVERSIONES FCI]])</f>
        <v>4582351884.350502</v>
      </c>
      <c r="AO263" s="5">
        <f>IF($B262&lt;=Tabla5[[#This Row],[INVERSIONES FCI]],+Tabla5[[#This Row],[INVERSIONES FCI]]-AO262,Tabla5[[#This Row],[INVERSIONES FCI]])</f>
        <v>4582351884.350502</v>
      </c>
      <c r="AP263" s="5">
        <f>IF($B262&lt;=Tabla5[[#This Row],[INVERSIONES FCI]],+Tabla5[[#This Row],[INVERSIONES FCI]]-AP262,Tabla5[[#This Row],[INVERSIONES FCI]])</f>
        <v>4582351884.350502</v>
      </c>
      <c r="AQ263" s="5">
        <f>IF($B262&lt;=Tabla5[[#This Row],[INVERSIONES FCI]],+Tabla5[[#This Row],[INVERSIONES FCI]]-AQ262,Tabla5[[#This Row],[INVERSIONES FCI]])</f>
        <v>4582351884.350502</v>
      </c>
      <c r="AR263" s="5">
        <f>IF($B262&lt;=Tabla5[[#This Row],[INVERSIONES FCI]],+Tabla5[[#This Row],[INVERSIONES FCI]]-AR262,Tabla5[[#This Row],[INVERSIONES FCI]])</f>
        <v>4582351884.350502</v>
      </c>
      <c r="AS263" s="5">
        <f>IF($B262&lt;=Tabla5[[#This Row],[INVERSIONES FCI]],+Tabla5[[#This Row],[INVERSIONES FCI]]-AS262,Tabla5[[#This Row],[INVERSIONES FCI]])</f>
        <v>4582351884.350502</v>
      </c>
      <c r="AT263" s="5">
        <f>IF($B262&lt;=Tabla5[[#This Row],[INVERSIONES FCI]],+Tabla5[[#This Row],[INVERSIONES FCI]]-AT262,Tabla5[[#This Row],[INVERSIONES FCI]])</f>
        <v>4582351884.350502</v>
      </c>
      <c r="AU263" s="5">
        <f>IF($B262&lt;=Tabla5[[#This Row],[INVERSIONES FCI]],+Tabla5[[#This Row],[INVERSIONES FCI]]-AU262,Tabla5[[#This Row],[INVERSIONES FCI]])</f>
        <v>4582351884.350502</v>
      </c>
      <c r="AV263" s="5">
        <f>IF($B262&lt;=Tabla5[[#This Row],[INVERSIONES FCI]],+Tabla5[[#This Row],[INVERSIONES FCI]]-AV262,Tabla5[[#This Row],[INVERSIONES FCI]])</f>
        <v>4582351884.350502</v>
      </c>
      <c r="AW263" s="5">
        <f>IF($B262&lt;=Tabla5[[#This Row],[INVERSIONES FCI]],+Tabla5[[#This Row],[INVERSIONES FCI]]-AW262,Tabla5[[#This Row],[INVERSIONES FCI]])</f>
        <v>4582351884.350502</v>
      </c>
      <c r="AX263" s="5">
        <f>IF($B262&lt;=Tabla5[[#This Row],[INVERSIONES FCI]],+Tabla5[[#This Row],[INVERSIONES FCI]]-AX262,Tabla5[[#This Row],[INVERSIONES FCI]])</f>
        <v>4582351884.350502</v>
      </c>
      <c r="AY263" s="5">
        <f>IF($B262&lt;=Tabla5[[#This Row],[INVERSIONES FCI]],+Tabla5[[#This Row],[INVERSIONES FCI]]-AY262,Tabla5[[#This Row],[INVERSIONES FCI]])</f>
        <v>4582351884.350502</v>
      </c>
      <c r="AZ263" s="5">
        <f>IF($B262&lt;=Tabla5[[#This Row],[INVERSIONES FCI]],+Tabla5[[#This Row],[INVERSIONES FCI]]-AZ262,Tabla5[[#This Row],[INVERSIONES FCI]])</f>
        <v>4582351884.350502</v>
      </c>
      <c r="BA263" s="5">
        <f>IF($B262&lt;=Tabla5[[#This Row],[INVERSIONES FCI]],+Tabla5[[#This Row],[INVERSIONES FCI]]-BA262,Tabla5[[#This Row],[INVERSIONES FCI]])</f>
        <v>4582351884.350502</v>
      </c>
      <c r="BB263" s="5">
        <f>IF($B262&lt;=Tabla5[[#This Row],[INVERSIONES FCI]],+Tabla5[[#This Row],[INVERSIONES FCI]]-BB262,Tabla5[[#This Row],[INVERSIONES FCI]])</f>
        <v>4582351884.350502</v>
      </c>
      <c r="BC263" s="5">
        <f>IF($B262&lt;=Tabla5[[#This Row],[INVERSIONES FCI]],+Tabla5[[#This Row],[INVERSIONES FCI]]-BC262,Tabla5[[#This Row],[INVERSIONES FCI]])</f>
        <v>4582351884.350502</v>
      </c>
      <c r="BD263" s="5">
        <f>IF($B262&lt;=Tabla5[[#This Row],[INVERSIONES FCI]],+Tabla5[[#This Row],[INVERSIONES FCI]]-BD262,Tabla5[[#This Row],[INVERSIONES FCI]])</f>
        <v>4582351884.350502</v>
      </c>
      <c r="BE263" s="5">
        <f>IF($B262&lt;=Tabla5[[#This Row],[INVERSIONES FCI]],+Tabla5[[#This Row],[INVERSIONES FCI]]-BE262,Tabla5[[#This Row],[INVERSIONES FCI]])</f>
        <v>4582351884.350502</v>
      </c>
      <c r="BF263" s="5">
        <f>IF($B262&lt;=Tabla5[[#This Row],[INVERSIONES FCI]],+Tabla5[[#This Row],[INVERSIONES FCI]]-BF262,Tabla5[[#This Row],[INVERSIONES FCI]])</f>
        <v>4582351884.350502</v>
      </c>
      <c r="BG263" s="5">
        <f>IF($B262&lt;=Tabla5[[#This Row],[INVERSIONES FCI]],+Tabla5[[#This Row],[INVERSIONES FCI]]-BG262,Tabla5[[#This Row],[INVERSIONES FCI]])</f>
        <v>4582351884.350502</v>
      </c>
      <c r="BH263" s="5">
        <f>IF($B262&lt;=Tabla5[[#This Row],[INVERSIONES FCI]],+Tabla5[[#This Row],[INVERSIONES FCI]]-BH262,Tabla5[[#This Row],[INVERSIONES FCI]])</f>
        <v>4582351884.350502</v>
      </c>
      <c r="BI263" s="5">
        <f>IF($B262&lt;=Tabla5[[#This Row],[INVERSIONES FCI]],+Tabla5[[#This Row],[INVERSIONES FCI]]-BI262,Tabla5[[#This Row],[INVERSIONES FCI]])</f>
        <v>4582351884.350502</v>
      </c>
      <c r="BJ263" s="5">
        <f>IF($B262&lt;=Tabla5[[#This Row],[INVERSIONES FCI]],+Tabla5[[#This Row],[INVERSIONES FCI]]-BJ262,Tabla5[[#This Row],[INVERSIONES FCI]])</f>
        <v>4582351884.350502</v>
      </c>
      <c r="BK263" s="5">
        <f>IF($B262&lt;=Tabla5[[#This Row],[INVERSIONES FCI]],+Tabla5[[#This Row],[INVERSIONES FCI]]-BK262,Tabla5[[#This Row],[INVERSIONES FCI]])</f>
        <v>4582351884.350502</v>
      </c>
      <c r="BL263" s="5">
        <f>IF($B262&lt;=Tabla5[[#This Row],[INVERSIONES FCI]],+Tabla5[[#This Row],[INVERSIONES FCI]]-BL262,Tabla5[[#This Row],[INVERSIONES FCI]])</f>
        <v>4582351884.350502</v>
      </c>
      <c r="BM263" s="5">
        <f>IF($B262&lt;=Tabla5[[#This Row],[INVERSIONES FCI]],+Tabla5[[#This Row],[INVERSIONES FCI]]-BM262,Tabla5[[#This Row],[INVERSIONES FCI]])</f>
        <v>4582351884.350502</v>
      </c>
      <c r="BN263" s="5">
        <f>IF($B262&lt;=Tabla5[[#This Row],[INVERSIONES FCI]],+Tabla5[[#This Row],[INVERSIONES FCI]]-BN262,Tabla5[[#This Row],[INVERSIONES FCI]])</f>
        <v>4582351884.350502</v>
      </c>
      <c r="BO263" s="5">
        <f>IF($B262&lt;=Tabla5[[#This Row],[INVERSIONES FCI]],+Tabla5[[#This Row],[INVERSIONES FCI]]-BO262,Tabla5[[#This Row],[INVERSIONES FCI]])</f>
        <v>4582351884.350502</v>
      </c>
      <c r="BP263" s="5">
        <f>IF($B262&lt;=Tabla5[[#This Row],[INVERSIONES FCI]],+Tabla5[[#This Row],[INVERSIONES FCI]]-BP262,Tabla5[[#This Row],[INVERSIONES FCI]])</f>
        <v>4582351884.350502</v>
      </c>
      <c r="BQ263" s="5">
        <f>IF($B262&lt;=Tabla5[[#This Row],[INVERSIONES FCI]],+Tabla5[[#This Row],[INVERSIONES FCI]]-BQ262,Tabla5[[#This Row],[INVERSIONES FCI]])</f>
        <v>4582351884.350502</v>
      </c>
      <c r="BR263" s="5">
        <f>IF($B262&lt;=Tabla5[[#This Row],[INVERSIONES FCI]],+Tabla5[[#This Row],[INVERSIONES FCI]]-BR262,Tabla5[[#This Row],[INVERSIONES FCI]])</f>
        <v>4582351884.350502</v>
      </c>
      <c r="BS263" s="5">
        <f>IF($B262&lt;=Tabla5[[#This Row],[INVERSIONES FCI]],+Tabla5[[#This Row],[INVERSIONES FCI]]-BS262,Tabla5[[#This Row],[INVERSIONES FCI]])</f>
        <v>4582351884.350502</v>
      </c>
      <c r="BT263" s="5">
        <f>IF($B262&lt;=Tabla5[[#This Row],[INVERSIONES FCI]],+Tabla5[[#This Row],[INVERSIONES FCI]]-BT262,Tabla5[[#This Row],[INVERSIONES FCI]])</f>
        <v>4582351884.350502</v>
      </c>
      <c r="BU263" s="5">
        <f>IF($B262&lt;=Tabla5[[#This Row],[INVERSIONES FCI]],+Tabla5[[#This Row],[INVERSIONES FCI]]-BU262,Tabla5[[#This Row],[INVERSIONES FCI]])</f>
        <v>4582351884.350502</v>
      </c>
      <c r="BV263" s="5">
        <f>IF($B262&lt;=Tabla5[[#This Row],[INVERSIONES FCI]],+Tabla5[[#This Row],[INVERSIONES FCI]]-BV262,Tabla5[[#This Row],[INVERSIONES FCI]])</f>
        <v>4582351884.350502</v>
      </c>
      <c r="BW263" s="5">
        <f>IF($B262&lt;=Tabla5[[#This Row],[INVERSIONES FCI]],+Tabla5[[#This Row],[INVERSIONES FCI]]-BW262,Tabla5[[#This Row],[INVERSIONES FCI]])</f>
        <v>4582351884.350502</v>
      </c>
      <c r="BX263" s="5">
        <f>IF($B262&lt;=Tabla5[[#This Row],[INVERSIONES FCI]],+Tabla5[[#This Row],[INVERSIONES FCI]]-BX262,Tabla5[[#This Row],[INVERSIONES FCI]])</f>
        <v>4582351884.350502</v>
      </c>
      <c r="BY263" s="5">
        <f>IF($B262&lt;=Tabla5[[#This Row],[INVERSIONES FCI]],+Tabla5[[#This Row],[INVERSIONES FCI]]-BY262,Tabla5[[#This Row],[INVERSIONES FCI]])</f>
        <v>4582351884.350502</v>
      </c>
      <c r="BZ263" s="5">
        <f>IF($B262&lt;=Tabla5[[#This Row],[INVERSIONES FCI]],+Tabla5[[#This Row],[INVERSIONES FCI]]-BZ262,Tabla5[[#This Row],[INVERSIONES FCI]])</f>
        <v>4582351884.350502</v>
      </c>
      <c r="CA263" s="5">
        <f>IF($B262&lt;=Tabla5[[#This Row],[INVERSIONES FCI]],+Tabla5[[#This Row],[INVERSIONES FCI]]-CA262,Tabla5[[#This Row],[INVERSIONES FCI]])</f>
        <v>4582351884.350502</v>
      </c>
      <c r="CB263" s="5">
        <f>IF($B262&lt;=Tabla5[[#This Row],[INVERSIONES FCI]],+Tabla5[[#This Row],[INVERSIONES FCI]]-CB262,Tabla5[[#This Row],[INVERSIONES FCI]])</f>
        <v>4582351884.350502</v>
      </c>
      <c r="CC263" s="5">
        <f>IF($B262&lt;=Tabla5[[#This Row],[INVERSIONES FCI]],+Tabla5[[#This Row],[INVERSIONES FCI]]-CC262,Tabla5[[#This Row],[INVERSIONES FCI]])</f>
        <v>4582351884.350502</v>
      </c>
      <c r="CD263" s="5">
        <f>IF($B262&lt;=Tabla5[[#This Row],[INVERSIONES FCI]],+Tabla5[[#This Row],[INVERSIONES FCI]]-CD262,Tabla5[[#This Row],[INVERSIONES FCI]])</f>
        <v>4582351884.350502</v>
      </c>
      <c r="CE263" s="5">
        <f>IF($B262&lt;=Tabla5[[#This Row],[INVERSIONES FCI]],+Tabla5[[#This Row],[INVERSIONES FCI]]-CE262,Tabla5[[#This Row],[INVERSIONES FCI]])</f>
        <v>4582351884.350502</v>
      </c>
      <c r="CF263" s="5">
        <f>IF($B262&lt;=Tabla5[[#This Row],[INVERSIONES FCI]],+Tabla5[[#This Row],[INVERSIONES FCI]]-CF262,Tabla5[[#This Row],[INVERSIONES FCI]])</f>
        <v>4582351884.350502</v>
      </c>
      <c r="CG263" s="5">
        <f>IF($B262&lt;=Tabla5[[#This Row],[INVERSIONES FCI]],+Tabla5[[#This Row],[INVERSIONES FCI]]-CG262,Tabla5[[#This Row],[INVERSIONES FCI]])</f>
        <v>4582351884.350502</v>
      </c>
      <c r="CH263" s="5">
        <f>IF($B262&lt;=Tabla5[[#This Row],[INVERSIONES FCI]],+Tabla5[[#This Row],[INVERSIONES FCI]]-CH262,Tabla5[[#This Row],[INVERSIONES FCI]])</f>
        <v>4582351884.350502</v>
      </c>
      <c r="CI263" s="5">
        <f>IF($B262&lt;=Tabla5[[#This Row],[INVERSIONES FCI]],+Tabla5[[#This Row],[INVERSIONES FCI]]-CI262,Tabla5[[#This Row],[INVERSIONES FCI]])</f>
        <v>4582351884.350502</v>
      </c>
      <c r="CJ263" s="5">
        <f>IF($B262&lt;=Tabla5[[#This Row],[INVERSIONES FCI]],+Tabla5[[#This Row],[INVERSIONES FCI]]-CJ262,Tabla5[[#This Row],[INVERSIONES FCI]])</f>
        <v>4582351884.350502</v>
      </c>
      <c r="CK263" s="5">
        <f>IF($B262&lt;=Tabla5[[#This Row],[INVERSIONES FCI]],+Tabla5[[#This Row],[INVERSIONES FCI]]-CK262,Tabla5[[#This Row],[INVERSIONES FCI]])</f>
        <v>4582351884.350502</v>
      </c>
      <c r="CL263" s="5">
        <f>IF($B262&lt;=Tabla5[[#This Row],[INVERSIONES FCI]],+Tabla5[[#This Row],[INVERSIONES FCI]]-CL262,Tabla5[[#This Row],[INVERSIONES FCI]])</f>
        <v>4582351884.350502</v>
      </c>
      <c r="CM263" s="5">
        <f>IF($B262&lt;=Tabla5[[#This Row],[INVERSIONES FCI]],+Tabla5[[#This Row],[INVERSIONES FCI]]-CM262,Tabla5[[#This Row],[INVERSIONES FCI]])</f>
        <v>4582351884.350502</v>
      </c>
      <c r="CN263" s="5">
        <f>IF($B262&lt;=Tabla5[[#This Row],[INVERSIONES FCI]],+Tabla5[[#This Row],[INVERSIONES FCI]]-CN262,Tabla5[[#This Row],[INVERSIONES FCI]])</f>
        <v>4582351884.350502</v>
      </c>
      <c r="CO263" s="5">
        <f>IF($B262&lt;=Tabla5[[#This Row],[INVERSIONES FCI]],+Tabla5[[#This Row],[INVERSIONES FCI]]-CO262,Tabla5[[#This Row],[INVERSIONES FCI]])</f>
        <v>4582351884.350502</v>
      </c>
      <c r="CP263" s="5">
        <f>IF($B262&lt;=Tabla5[[#This Row],[INVERSIONES FCI]],+Tabla5[[#This Row],[INVERSIONES FCI]]-CP262,Tabla5[[#This Row],[INVERSIONES FCI]])</f>
        <v>4582351884.350502</v>
      </c>
      <c r="CQ263" s="5">
        <f>IF($B262&lt;=Tabla5[[#This Row],[INVERSIONES FCI]],+Tabla5[[#This Row],[INVERSIONES FCI]]-CQ262,Tabla5[[#This Row],[INVERSIONES FCI]])</f>
        <v>4582351884.350502</v>
      </c>
      <c r="CR263" s="5">
        <f>IF($B262&lt;=Tabla5[[#This Row],[INVERSIONES FCI]],+Tabla5[[#This Row],[INVERSIONES FCI]]-CR262,Tabla5[[#This Row],[INVERSIONES FCI]])</f>
        <v>4582351884.350502</v>
      </c>
      <c r="CS263" s="5">
        <f>IF($B262&lt;=Tabla5[[#This Row],[INVERSIONES FCI]],+Tabla5[[#This Row],[INVERSIONES FCI]]-CS262,Tabla5[[#This Row],[INVERSIONES FCI]])</f>
        <v>4582351884.350502</v>
      </c>
      <c r="CT263" s="5">
        <f>IF($B262&lt;=Tabla5[[#This Row],[INVERSIONES FCI]],+Tabla5[[#This Row],[INVERSIONES FCI]]-CT262,Tabla5[[#This Row],[INVERSIONES FCI]])</f>
        <v>4582351884.350502</v>
      </c>
      <c r="CU263" s="5">
        <f>IF($B262&lt;=Tabla5[[#This Row],[INVERSIONES FCI]],+Tabla5[[#This Row],[INVERSIONES FCI]]-CU262,Tabla5[[#This Row],[INVERSIONES FCI]])</f>
        <v>4582351884.350502</v>
      </c>
      <c r="CV263" s="5">
        <f>IF($B262&lt;=Tabla5[[#This Row],[INVERSIONES FCI]],+Tabla5[[#This Row],[INVERSIONES FCI]]-CV262,Tabla5[[#This Row],[INVERSIONES FCI]])</f>
        <v>4582351884.350502</v>
      </c>
      <c r="CW263" s="5">
        <f>IF($B262&lt;=Tabla5[[#This Row],[INVERSIONES FCI]],+Tabla5[[#This Row],[INVERSIONES FCI]]-CW262,Tabla5[[#This Row],[INVERSIONES FCI]])</f>
        <v>4582351884.350502</v>
      </c>
      <c r="CX263" s="5">
        <f>IF($B262&lt;=Tabla5[[#This Row],[INVERSIONES FCI]],+Tabla5[[#This Row],[INVERSIONES FCI]]-CX262,Tabla5[[#This Row],[INVERSIONES FCI]])</f>
        <v>4582351884.350502</v>
      </c>
      <c r="CY263" s="5">
        <f>IF($B262&lt;=Tabla5[[#This Row],[INVERSIONES FCI]],+Tabla5[[#This Row],[INVERSIONES FCI]]-CY262,Tabla5[[#This Row],[INVERSIONES FCI]])</f>
        <v>4582351884.350502</v>
      </c>
      <c r="CZ263" s="5">
        <f>IF($B262&lt;=Tabla5[[#This Row],[INVERSIONES FCI]],+Tabla5[[#This Row],[INVERSIONES FCI]]-CZ262,Tabla5[[#This Row],[INVERSIONES FCI]])</f>
        <v>4582351884.350502</v>
      </c>
      <c r="DA263" s="5">
        <f>IF($B262&lt;=Tabla5[[#This Row],[INVERSIONES FCI]],+Tabla5[[#This Row],[INVERSIONES FCI]]-DA262,Tabla5[[#This Row],[INVERSIONES FCI]])</f>
        <v>4582351884.350502</v>
      </c>
      <c r="DB263" s="5">
        <f>IF($B262&lt;=Tabla5[[#This Row],[INVERSIONES FCI]],+Tabla5[[#This Row],[INVERSIONES FCI]]-DB262,Tabla5[[#This Row],[INVERSIONES FCI]])</f>
        <v>4582351884.350502</v>
      </c>
      <c r="DC263" s="5">
        <f>IF($B262&lt;=Tabla5[[#This Row],[INVERSIONES FCI]],+Tabla5[[#This Row],[INVERSIONES FCI]]-DC262,Tabla5[[#This Row],[INVERSIONES FCI]])</f>
        <v>4582351884.350502</v>
      </c>
      <c r="DD263" s="5">
        <f>IF($B262&lt;=Tabla5[[#This Row],[INVERSIONES FCI]],+Tabla5[[#This Row],[INVERSIONES FCI]]-DD262,Tabla5[[#This Row],[INVERSIONES FCI]])</f>
        <v>4582351884.350502</v>
      </c>
      <c r="DE263" s="5">
        <f>IF($B262&lt;=Tabla5[[#This Row],[INVERSIONES FCI]],+Tabla5[[#This Row],[INVERSIONES FCI]]-DE262,Tabla5[[#This Row],[INVERSIONES FCI]])</f>
        <v>4582351884.350502</v>
      </c>
      <c r="DF263" s="5">
        <f>IF($B262&lt;=Tabla5[[#This Row],[INVERSIONES FCI]],+Tabla5[[#This Row],[INVERSIONES FCI]]-DF262,Tabla5[[#This Row],[INVERSIONES FCI]])</f>
        <v>4582351884.350502</v>
      </c>
      <c r="DG263" s="5">
        <f>IF($B262&lt;=Tabla5[[#This Row],[INVERSIONES FCI]],+Tabla5[[#This Row],[INVERSIONES FCI]]-DG262,Tabla5[[#This Row],[INVERSIONES FCI]])</f>
        <v>4582351884.350502</v>
      </c>
      <c r="DH263" s="5">
        <f>IF($B262&lt;=Tabla5[[#This Row],[INVERSIONES FCI]],+Tabla5[[#This Row],[INVERSIONES FCI]]-DH262,Tabla5[[#This Row],[INVERSIONES FCI]])</f>
        <v>4582351884.350502</v>
      </c>
      <c r="DI263" s="5">
        <f>IF($B262&lt;=Tabla5[[#This Row],[INVERSIONES FCI]],+Tabla5[[#This Row],[INVERSIONES FCI]]-DI262,Tabla5[[#This Row],[INVERSIONES FCI]])</f>
        <v>4582351884.350502</v>
      </c>
      <c r="DJ263" s="5">
        <f>IF($B262&lt;=Tabla5[[#This Row],[INVERSIONES FCI]],+Tabla5[[#This Row],[INVERSIONES FCI]]-DJ262,Tabla5[[#This Row],[INVERSIONES FCI]])</f>
        <v>4582351884.350502</v>
      </c>
      <c r="DK263" s="5">
        <f>IF($B262&lt;=Tabla5[[#This Row],[INVERSIONES FCI]],+Tabla5[[#This Row],[INVERSIONES FCI]]-DK262,Tabla5[[#This Row],[INVERSIONES FCI]])</f>
        <v>4582351884.350502</v>
      </c>
      <c r="DL263" s="5"/>
      <c r="DM263" s="5"/>
      <c r="DN263" s="5"/>
      <c r="DO263" s="5"/>
      <c r="DP263" s="5"/>
      <c r="DQ263" s="5"/>
    </row>
    <row r="264" spans="1:121" ht="14.4">
      <c r="A264" s="12" t="s">
        <v>263</v>
      </c>
      <c r="B264" s="5">
        <f>HLOOKUP($A264,ESCENARIO[#All],7,FALSE)</f>
        <v>60935358020.79715</v>
      </c>
      <c r="C264" s="5">
        <f>IF($B263&lt;=Tabla5[[#This Row],[INVERSIONES FCI]],+Tabla5[[#This Row],[INVERSIONES FCI]]-C263,Tabla5[[#This Row],[INVERSIONES FCI]])</f>
        <v>56353006136.446648</v>
      </c>
      <c r="D264" s="5">
        <f>IF($B263&lt;=Tabla5[[#This Row],[INVERSIONES FCI]],+Tabla5[[#This Row],[INVERSIONES FCI]]-D263,Tabla5[[#This Row],[INVERSIONES FCI]])</f>
        <v>56353006136.446648</v>
      </c>
      <c r="E264" s="5">
        <f>IF($B263&lt;=Tabla5[[#This Row],[INVERSIONES FCI]],+Tabla5[[#This Row],[INVERSIONES FCI]]-E263,Tabla5[[#This Row],[INVERSIONES FCI]])</f>
        <v>56353006136.446648</v>
      </c>
      <c r="F264" s="5">
        <f>IF($B263&lt;=Tabla5[[#This Row],[INVERSIONES FCI]],+Tabla5[[#This Row],[INVERSIONES FCI]]-F263,Tabla5[[#This Row],[INVERSIONES FCI]])</f>
        <v>56353006136.446648</v>
      </c>
      <c r="G264" s="5">
        <f>IF($B263&lt;=Tabla5[[#This Row],[INVERSIONES FCI]],+Tabla5[[#This Row],[INVERSIONES FCI]]-G263,Tabla5[[#This Row],[INVERSIONES FCI]])</f>
        <v>56353006136.446648</v>
      </c>
      <c r="H264" s="5">
        <f>IF($B263&lt;=Tabla5[[#This Row],[INVERSIONES FCI]],+Tabla5[[#This Row],[INVERSIONES FCI]]-H263,Tabla5[[#This Row],[INVERSIONES FCI]])</f>
        <v>56353006136.446648</v>
      </c>
      <c r="I264" s="5">
        <f>IF($B263&lt;=Tabla5[[#This Row],[INVERSIONES FCI]],+Tabla5[[#This Row],[INVERSIONES FCI]]-I263,Tabla5[[#This Row],[INVERSIONES FCI]])</f>
        <v>56353006136.446648</v>
      </c>
      <c r="J264" s="5">
        <f>IF($B263&lt;=Tabla5[[#This Row],[INVERSIONES FCI]],+Tabla5[[#This Row],[INVERSIONES FCI]]-J263,Tabla5[[#This Row],[INVERSIONES FCI]])</f>
        <v>56353006136.446648</v>
      </c>
      <c r="K264" s="5">
        <f>IF($B263&lt;=Tabla5[[#This Row],[INVERSIONES FCI]],+Tabla5[[#This Row],[INVERSIONES FCI]]-K263,Tabla5[[#This Row],[INVERSIONES FCI]])</f>
        <v>56353006136.446648</v>
      </c>
      <c r="L264" s="5">
        <f>IF($B263&lt;=Tabla5[[#This Row],[INVERSIONES FCI]],+Tabla5[[#This Row],[INVERSIONES FCI]]-L263,Tabla5[[#This Row],[INVERSIONES FCI]])</f>
        <v>56353006136.446648</v>
      </c>
      <c r="M264" s="5">
        <f>IF($B263&lt;=Tabla5[[#This Row],[INVERSIONES FCI]],+Tabla5[[#This Row],[INVERSIONES FCI]]-M263,Tabla5[[#This Row],[INVERSIONES FCI]])</f>
        <v>56353006136.446648</v>
      </c>
      <c r="N264" s="5">
        <f>IF($B263&lt;=Tabla5[[#This Row],[INVERSIONES FCI]],+Tabla5[[#This Row],[INVERSIONES FCI]]-N263,Tabla5[[#This Row],[INVERSIONES FCI]])</f>
        <v>56353006136.446648</v>
      </c>
      <c r="O264" s="5">
        <f>IF($B263&lt;=Tabla5[[#This Row],[INVERSIONES FCI]],+Tabla5[[#This Row],[INVERSIONES FCI]]-O263,Tabla5[[#This Row],[INVERSIONES FCI]])</f>
        <v>56353006136.446648</v>
      </c>
      <c r="P264" s="5">
        <f>IF($B263&lt;=Tabla5[[#This Row],[INVERSIONES FCI]],+Tabla5[[#This Row],[INVERSIONES FCI]]-P263,Tabla5[[#This Row],[INVERSIONES FCI]])</f>
        <v>56353006136.446648</v>
      </c>
      <c r="Q264" s="5">
        <f>IF($B263&lt;=Tabla5[[#This Row],[INVERSIONES FCI]],+Tabla5[[#This Row],[INVERSIONES FCI]]-Q263,Tabla5[[#This Row],[INVERSIONES FCI]])</f>
        <v>56353006136.446648</v>
      </c>
      <c r="R264" s="5">
        <f>IF($B263&lt;=Tabla5[[#This Row],[INVERSIONES FCI]],+Tabla5[[#This Row],[INVERSIONES FCI]]-R263,Tabla5[[#This Row],[INVERSIONES FCI]])</f>
        <v>56353006136.446648</v>
      </c>
      <c r="S264" s="5">
        <f>IF($B263&lt;=Tabla5[[#This Row],[INVERSIONES FCI]],+Tabla5[[#This Row],[INVERSIONES FCI]]-S263,Tabla5[[#This Row],[INVERSIONES FCI]])</f>
        <v>56353006136.446648</v>
      </c>
      <c r="T264" s="5">
        <f>IF($B263&lt;=Tabla5[[#This Row],[INVERSIONES FCI]],+Tabla5[[#This Row],[INVERSIONES FCI]]-T263,Tabla5[[#This Row],[INVERSIONES FCI]])</f>
        <v>56353006136.446648</v>
      </c>
      <c r="U264" s="5">
        <f>IF($B263&lt;=Tabla5[[#This Row],[INVERSIONES FCI]],+Tabla5[[#This Row],[INVERSIONES FCI]]-U263,Tabla5[[#This Row],[INVERSIONES FCI]])</f>
        <v>56353006136.446648</v>
      </c>
      <c r="V264" s="5">
        <f>IF($B263&lt;=Tabla5[[#This Row],[INVERSIONES FCI]],+Tabla5[[#This Row],[INVERSIONES FCI]]-V263,Tabla5[[#This Row],[INVERSIONES FCI]])</f>
        <v>56353006136.446648</v>
      </c>
      <c r="W264" s="5">
        <f>IF($B263&lt;=Tabla5[[#This Row],[INVERSIONES FCI]],+Tabla5[[#This Row],[INVERSIONES FCI]]-W263,Tabla5[[#This Row],[INVERSIONES FCI]])</f>
        <v>56353006136.446648</v>
      </c>
      <c r="X264" s="5">
        <f>IF($B263&lt;=Tabla5[[#This Row],[INVERSIONES FCI]],+Tabla5[[#This Row],[INVERSIONES FCI]]-X263,Tabla5[[#This Row],[INVERSIONES FCI]])</f>
        <v>56353006136.446648</v>
      </c>
      <c r="Y264" s="5">
        <f>IF($B263&lt;=Tabla5[[#This Row],[INVERSIONES FCI]],+Tabla5[[#This Row],[INVERSIONES FCI]]-Y263,Tabla5[[#This Row],[INVERSIONES FCI]])</f>
        <v>56353006136.446648</v>
      </c>
      <c r="Z264" s="5">
        <f>IF($B263&lt;=Tabla5[[#This Row],[INVERSIONES FCI]],+Tabla5[[#This Row],[INVERSIONES FCI]]-Z263,Tabla5[[#This Row],[INVERSIONES FCI]])</f>
        <v>56353006136.446648</v>
      </c>
      <c r="AA264" s="5">
        <f>IF($B263&lt;=Tabla5[[#This Row],[INVERSIONES FCI]],+Tabla5[[#This Row],[INVERSIONES FCI]]-AA263,Tabla5[[#This Row],[INVERSIONES FCI]])</f>
        <v>56353006136.446648</v>
      </c>
      <c r="AB264" s="5">
        <f>IF($B263&lt;=Tabla5[[#This Row],[INVERSIONES FCI]],+Tabla5[[#This Row],[INVERSIONES FCI]]-AB263,Tabla5[[#This Row],[INVERSIONES FCI]])</f>
        <v>56353006136.446648</v>
      </c>
      <c r="AC264" s="5">
        <f>IF($B263&lt;=Tabla5[[#This Row],[INVERSIONES FCI]],+Tabla5[[#This Row],[INVERSIONES FCI]]-AC263,Tabla5[[#This Row],[INVERSIONES FCI]])</f>
        <v>56353006136.446648</v>
      </c>
      <c r="AD264" s="5">
        <f>IF($B263&lt;=Tabla5[[#This Row],[INVERSIONES FCI]],+Tabla5[[#This Row],[INVERSIONES FCI]]-AD263,Tabla5[[#This Row],[INVERSIONES FCI]])</f>
        <v>56353006136.446648</v>
      </c>
      <c r="AE264" s="5">
        <f>IF($B263&lt;=Tabla5[[#This Row],[INVERSIONES FCI]],+Tabla5[[#This Row],[INVERSIONES FCI]]-AE263,Tabla5[[#This Row],[INVERSIONES FCI]])</f>
        <v>56353006136.446648</v>
      </c>
      <c r="AF264" s="5">
        <f>IF($B263&lt;=Tabla5[[#This Row],[INVERSIONES FCI]],+Tabla5[[#This Row],[INVERSIONES FCI]]-AF263,Tabla5[[#This Row],[INVERSIONES FCI]])</f>
        <v>56353006136.446648</v>
      </c>
      <c r="AG264" s="5">
        <f>IF($B263&lt;=Tabla5[[#This Row],[INVERSIONES FCI]],+Tabla5[[#This Row],[INVERSIONES FCI]]-AG263,Tabla5[[#This Row],[INVERSIONES FCI]])</f>
        <v>56353006136.446648</v>
      </c>
      <c r="AH264" s="5">
        <f>IF($B263&lt;=Tabla5[[#This Row],[INVERSIONES FCI]],+Tabla5[[#This Row],[INVERSIONES FCI]]-AH263,Tabla5[[#This Row],[INVERSIONES FCI]])</f>
        <v>56353006136.446648</v>
      </c>
      <c r="AI264" s="5">
        <f>IF($B263&lt;=Tabla5[[#This Row],[INVERSIONES FCI]],+Tabla5[[#This Row],[INVERSIONES FCI]]-AI263,Tabla5[[#This Row],[INVERSIONES FCI]])</f>
        <v>56353006136.446648</v>
      </c>
      <c r="AJ264" s="5">
        <f>IF($B263&lt;=Tabla5[[#This Row],[INVERSIONES FCI]],+Tabla5[[#This Row],[INVERSIONES FCI]]-AJ263,Tabla5[[#This Row],[INVERSIONES FCI]])</f>
        <v>56353006136.446648</v>
      </c>
      <c r="AK264" s="5">
        <f>IF($B263&lt;=Tabla5[[#This Row],[INVERSIONES FCI]],+Tabla5[[#This Row],[INVERSIONES FCI]]-AK263,Tabla5[[#This Row],[INVERSIONES FCI]])</f>
        <v>56353006136.446648</v>
      </c>
      <c r="AL264" s="5">
        <f>IF($B263&lt;=Tabla5[[#This Row],[INVERSIONES FCI]],+Tabla5[[#This Row],[INVERSIONES FCI]]-AL263,Tabla5[[#This Row],[INVERSIONES FCI]])</f>
        <v>56353006136.446648</v>
      </c>
      <c r="AM264" s="5">
        <f>IF($B263&lt;=Tabla5[[#This Row],[INVERSIONES FCI]],+Tabla5[[#This Row],[INVERSIONES FCI]]-AM263,Tabla5[[#This Row],[INVERSIONES FCI]])</f>
        <v>56353006136.446648</v>
      </c>
      <c r="AN264" s="5">
        <f>IF($B263&lt;=Tabla5[[#This Row],[INVERSIONES FCI]],+Tabla5[[#This Row],[INVERSIONES FCI]]-AN263,Tabla5[[#This Row],[INVERSIONES FCI]])</f>
        <v>56353006136.446648</v>
      </c>
      <c r="AO264" s="5">
        <f>IF($B263&lt;=Tabla5[[#This Row],[INVERSIONES FCI]],+Tabla5[[#This Row],[INVERSIONES FCI]]-AO263,Tabla5[[#This Row],[INVERSIONES FCI]])</f>
        <v>56353006136.446648</v>
      </c>
      <c r="AP264" s="5">
        <f>IF($B263&lt;=Tabla5[[#This Row],[INVERSIONES FCI]],+Tabla5[[#This Row],[INVERSIONES FCI]]-AP263,Tabla5[[#This Row],[INVERSIONES FCI]])</f>
        <v>56353006136.446648</v>
      </c>
      <c r="AQ264" s="5">
        <f>IF($B263&lt;=Tabla5[[#This Row],[INVERSIONES FCI]],+Tabla5[[#This Row],[INVERSIONES FCI]]-AQ263,Tabla5[[#This Row],[INVERSIONES FCI]])</f>
        <v>56353006136.446648</v>
      </c>
      <c r="AR264" s="5">
        <f>IF($B263&lt;=Tabla5[[#This Row],[INVERSIONES FCI]],+Tabla5[[#This Row],[INVERSIONES FCI]]-AR263,Tabla5[[#This Row],[INVERSIONES FCI]])</f>
        <v>56353006136.446648</v>
      </c>
      <c r="AS264" s="5">
        <f>IF($B263&lt;=Tabla5[[#This Row],[INVERSIONES FCI]],+Tabla5[[#This Row],[INVERSIONES FCI]]-AS263,Tabla5[[#This Row],[INVERSIONES FCI]])</f>
        <v>56353006136.446648</v>
      </c>
      <c r="AT264" s="5">
        <f>IF($B263&lt;=Tabla5[[#This Row],[INVERSIONES FCI]],+Tabla5[[#This Row],[INVERSIONES FCI]]-AT263,Tabla5[[#This Row],[INVERSIONES FCI]])</f>
        <v>56353006136.446648</v>
      </c>
      <c r="AU264" s="5">
        <f>IF($B263&lt;=Tabla5[[#This Row],[INVERSIONES FCI]],+Tabla5[[#This Row],[INVERSIONES FCI]]-AU263,Tabla5[[#This Row],[INVERSIONES FCI]])</f>
        <v>56353006136.446648</v>
      </c>
      <c r="AV264" s="5">
        <f>IF($B263&lt;=Tabla5[[#This Row],[INVERSIONES FCI]],+Tabla5[[#This Row],[INVERSIONES FCI]]-AV263,Tabla5[[#This Row],[INVERSIONES FCI]])</f>
        <v>56353006136.446648</v>
      </c>
      <c r="AW264" s="5">
        <f>IF($B263&lt;=Tabla5[[#This Row],[INVERSIONES FCI]],+Tabla5[[#This Row],[INVERSIONES FCI]]-AW263,Tabla5[[#This Row],[INVERSIONES FCI]])</f>
        <v>56353006136.446648</v>
      </c>
      <c r="AX264" s="5">
        <f>IF($B263&lt;=Tabla5[[#This Row],[INVERSIONES FCI]],+Tabla5[[#This Row],[INVERSIONES FCI]]-AX263,Tabla5[[#This Row],[INVERSIONES FCI]])</f>
        <v>56353006136.446648</v>
      </c>
      <c r="AY264" s="5">
        <f>IF($B263&lt;=Tabla5[[#This Row],[INVERSIONES FCI]],+Tabla5[[#This Row],[INVERSIONES FCI]]-AY263,Tabla5[[#This Row],[INVERSIONES FCI]])</f>
        <v>56353006136.446648</v>
      </c>
      <c r="AZ264" s="5">
        <f>IF($B263&lt;=Tabla5[[#This Row],[INVERSIONES FCI]],+Tabla5[[#This Row],[INVERSIONES FCI]]-AZ263,Tabla5[[#This Row],[INVERSIONES FCI]])</f>
        <v>56353006136.446648</v>
      </c>
      <c r="BA264" s="5">
        <f>IF($B263&lt;=Tabla5[[#This Row],[INVERSIONES FCI]],+Tabla5[[#This Row],[INVERSIONES FCI]]-BA263,Tabla5[[#This Row],[INVERSIONES FCI]])</f>
        <v>56353006136.446648</v>
      </c>
      <c r="BB264" s="5">
        <f>IF($B263&lt;=Tabla5[[#This Row],[INVERSIONES FCI]],+Tabla5[[#This Row],[INVERSIONES FCI]]-BB263,Tabla5[[#This Row],[INVERSIONES FCI]])</f>
        <v>56353006136.446648</v>
      </c>
      <c r="BC264" s="5">
        <f>IF($B263&lt;=Tabla5[[#This Row],[INVERSIONES FCI]],+Tabla5[[#This Row],[INVERSIONES FCI]]-BC263,Tabla5[[#This Row],[INVERSIONES FCI]])</f>
        <v>56353006136.446648</v>
      </c>
      <c r="BD264" s="5">
        <f>IF($B263&lt;=Tabla5[[#This Row],[INVERSIONES FCI]],+Tabla5[[#This Row],[INVERSIONES FCI]]-BD263,Tabla5[[#This Row],[INVERSIONES FCI]])</f>
        <v>56353006136.446648</v>
      </c>
      <c r="BE264" s="5">
        <f>IF($B263&lt;=Tabla5[[#This Row],[INVERSIONES FCI]],+Tabla5[[#This Row],[INVERSIONES FCI]]-BE263,Tabla5[[#This Row],[INVERSIONES FCI]])</f>
        <v>56353006136.446648</v>
      </c>
      <c r="BF264" s="5">
        <f>IF($B263&lt;=Tabla5[[#This Row],[INVERSIONES FCI]],+Tabla5[[#This Row],[INVERSIONES FCI]]-BF263,Tabla5[[#This Row],[INVERSIONES FCI]])</f>
        <v>56353006136.446648</v>
      </c>
      <c r="BG264" s="5">
        <f>IF($B263&lt;=Tabla5[[#This Row],[INVERSIONES FCI]],+Tabla5[[#This Row],[INVERSIONES FCI]]-BG263,Tabla5[[#This Row],[INVERSIONES FCI]])</f>
        <v>56353006136.446648</v>
      </c>
      <c r="BH264" s="5">
        <f>IF($B263&lt;=Tabla5[[#This Row],[INVERSIONES FCI]],+Tabla5[[#This Row],[INVERSIONES FCI]]-BH263,Tabla5[[#This Row],[INVERSIONES FCI]])</f>
        <v>56353006136.446648</v>
      </c>
      <c r="BI264" s="5">
        <f>IF($B263&lt;=Tabla5[[#This Row],[INVERSIONES FCI]],+Tabla5[[#This Row],[INVERSIONES FCI]]-BI263,Tabla5[[#This Row],[INVERSIONES FCI]])</f>
        <v>56353006136.446648</v>
      </c>
      <c r="BJ264" s="5">
        <f>IF($B263&lt;=Tabla5[[#This Row],[INVERSIONES FCI]],+Tabla5[[#This Row],[INVERSIONES FCI]]-BJ263,Tabla5[[#This Row],[INVERSIONES FCI]])</f>
        <v>56353006136.446648</v>
      </c>
      <c r="BK264" s="5">
        <f>IF($B263&lt;=Tabla5[[#This Row],[INVERSIONES FCI]],+Tabla5[[#This Row],[INVERSIONES FCI]]-BK263,Tabla5[[#This Row],[INVERSIONES FCI]])</f>
        <v>56353006136.446648</v>
      </c>
      <c r="BL264" s="5">
        <f>IF($B263&lt;=Tabla5[[#This Row],[INVERSIONES FCI]],+Tabla5[[#This Row],[INVERSIONES FCI]]-BL263,Tabla5[[#This Row],[INVERSIONES FCI]])</f>
        <v>56353006136.446648</v>
      </c>
      <c r="BM264" s="5">
        <f>IF($B263&lt;=Tabla5[[#This Row],[INVERSIONES FCI]],+Tabla5[[#This Row],[INVERSIONES FCI]]-BM263,Tabla5[[#This Row],[INVERSIONES FCI]])</f>
        <v>56353006136.446648</v>
      </c>
      <c r="BN264" s="5">
        <f>IF($B263&lt;=Tabla5[[#This Row],[INVERSIONES FCI]],+Tabla5[[#This Row],[INVERSIONES FCI]]-BN263,Tabla5[[#This Row],[INVERSIONES FCI]])</f>
        <v>56353006136.446648</v>
      </c>
      <c r="BO264" s="5">
        <f>IF($B263&lt;=Tabla5[[#This Row],[INVERSIONES FCI]],+Tabla5[[#This Row],[INVERSIONES FCI]]-BO263,Tabla5[[#This Row],[INVERSIONES FCI]])</f>
        <v>56353006136.446648</v>
      </c>
      <c r="BP264" s="5">
        <f>IF($B263&lt;=Tabla5[[#This Row],[INVERSIONES FCI]],+Tabla5[[#This Row],[INVERSIONES FCI]]-BP263,Tabla5[[#This Row],[INVERSIONES FCI]])</f>
        <v>56353006136.446648</v>
      </c>
      <c r="BQ264" s="5">
        <f>IF($B263&lt;=Tabla5[[#This Row],[INVERSIONES FCI]],+Tabla5[[#This Row],[INVERSIONES FCI]]-BQ263,Tabla5[[#This Row],[INVERSIONES FCI]])</f>
        <v>56353006136.446648</v>
      </c>
      <c r="BR264" s="5">
        <f>IF($B263&lt;=Tabla5[[#This Row],[INVERSIONES FCI]],+Tabla5[[#This Row],[INVERSIONES FCI]]-BR263,Tabla5[[#This Row],[INVERSIONES FCI]])</f>
        <v>56353006136.446648</v>
      </c>
      <c r="BS264" s="5">
        <f>IF($B263&lt;=Tabla5[[#This Row],[INVERSIONES FCI]],+Tabla5[[#This Row],[INVERSIONES FCI]]-BS263,Tabla5[[#This Row],[INVERSIONES FCI]])</f>
        <v>56353006136.446648</v>
      </c>
      <c r="BT264" s="5">
        <f>IF($B263&lt;=Tabla5[[#This Row],[INVERSIONES FCI]],+Tabla5[[#This Row],[INVERSIONES FCI]]-BT263,Tabla5[[#This Row],[INVERSIONES FCI]])</f>
        <v>56353006136.446648</v>
      </c>
      <c r="BU264" s="5">
        <f>IF($B263&lt;=Tabla5[[#This Row],[INVERSIONES FCI]],+Tabla5[[#This Row],[INVERSIONES FCI]]-BU263,Tabla5[[#This Row],[INVERSIONES FCI]])</f>
        <v>56353006136.446648</v>
      </c>
      <c r="BV264" s="5">
        <f>IF($B263&lt;=Tabla5[[#This Row],[INVERSIONES FCI]],+Tabla5[[#This Row],[INVERSIONES FCI]]-BV263,Tabla5[[#This Row],[INVERSIONES FCI]])</f>
        <v>56353006136.446648</v>
      </c>
      <c r="BW264" s="5">
        <f>IF($B263&lt;=Tabla5[[#This Row],[INVERSIONES FCI]],+Tabla5[[#This Row],[INVERSIONES FCI]]-BW263,Tabla5[[#This Row],[INVERSIONES FCI]])</f>
        <v>56353006136.446648</v>
      </c>
      <c r="BX264" s="5">
        <f>IF($B263&lt;=Tabla5[[#This Row],[INVERSIONES FCI]],+Tabla5[[#This Row],[INVERSIONES FCI]]-BX263,Tabla5[[#This Row],[INVERSIONES FCI]])</f>
        <v>56353006136.446648</v>
      </c>
      <c r="BY264" s="5">
        <f>IF($B263&lt;=Tabla5[[#This Row],[INVERSIONES FCI]],+Tabla5[[#This Row],[INVERSIONES FCI]]-BY263,Tabla5[[#This Row],[INVERSIONES FCI]])</f>
        <v>56353006136.446648</v>
      </c>
      <c r="BZ264" s="5">
        <f>IF($B263&lt;=Tabla5[[#This Row],[INVERSIONES FCI]],+Tabla5[[#This Row],[INVERSIONES FCI]]-BZ263,Tabla5[[#This Row],[INVERSIONES FCI]])</f>
        <v>56353006136.446648</v>
      </c>
      <c r="CA264" s="5">
        <f>IF($B263&lt;=Tabla5[[#This Row],[INVERSIONES FCI]],+Tabla5[[#This Row],[INVERSIONES FCI]]-CA263,Tabla5[[#This Row],[INVERSIONES FCI]])</f>
        <v>56353006136.446648</v>
      </c>
      <c r="CB264" s="5">
        <f>IF($B263&lt;=Tabla5[[#This Row],[INVERSIONES FCI]],+Tabla5[[#This Row],[INVERSIONES FCI]]-CB263,Tabla5[[#This Row],[INVERSIONES FCI]])</f>
        <v>56353006136.446648</v>
      </c>
      <c r="CC264" s="5">
        <f>IF($B263&lt;=Tabla5[[#This Row],[INVERSIONES FCI]],+Tabla5[[#This Row],[INVERSIONES FCI]]-CC263,Tabla5[[#This Row],[INVERSIONES FCI]])</f>
        <v>56353006136.446648</v>
      </c>
      <c r="CD264" s="5">
        <f>IF($B263&lt;=Tabla5[[#This Row],[INVERSIONES FCI]],+Tabla5[[#This Row],[INVERSIONES FCI]]-CD263,Tabla5[[#This Row],[INVERSIONES FCI]])</f>
        <v>56353006136.446648</v>
      </c>
      <c r="CE264" s="5">
        <f>IF($B263&lt;=Tabla5[[#This Row],[INVERSIONES FCI]],+Tabla5[[#This Row],[INVERSIONES FCI]]-CE263,Tabla5[[#This Row],[INVERSIONES FCI]])</f>
        <v>56353006136.446648</v>
      </c>
      <c r="CF264" s="5">
        <f>IF($B263&lt;=Tabla5[[#This Row],[INVERSIONES FCI]],+Tabla5[[#This Row],[INVERSIONES FCI]]-CF263,Tabla5[[#This Row],[INVERSIONES FCI]])</f>
        <v>56353006136.446648</v>
      </c>
      <c r="CG264" s="5">
        <f>IF($B263&lt;=Tabla5[[#This Row],[INVERSIONES FCI]],+Tabla5[[#This Row],[INVERSIONES FCI]]-CG263,Tabla5[[#This Row],[INVERSIONES FCI]])</f>
        <v>56353006136.446648</v>
      </c>
      <c r="CH264" s="5">
        <f>IF($B263&lt;=Tabla5[[#This Row],[INVERSIONES FCI]],+Tabla5[[#This Row],[INVERSIONES FCI]]-CH263,Tabla5[[#This Row],[INVERSIONES FCI]])</f>
        <v>56353006136.446648</v>
      </c>
      <c r="CI264" s="5">
        <f>IF($B263&lt;=Tabla5[[#This Row],[INVERSIONES FCI]],+Tabla5[[#This Row],[INVERSIONES FCI]]-CI263,Tabla5[[#This Row],[INVERSIONES FCI]])</f>
        <v>56353006136.446648</v>
      </c>
      <c r="CJ264" s="5">
        <f>IF($B263&lt;=Tabla5[[#This Row],[INVERSIONES FCI]],+Tabla5[[#This Row],[INVERSIONES FCI]]-CJ263,Tabla5[[#This Row],[INVERSIONES FCI]])</f>
        <v>56353006136.446648</v>
      </c>
      <c r="CK264" s="5">
        <f>IF($B263&lt;=Tabla5[[#This Row],[INVERSIONES FCI]],+Tabla5[[#This Row],[INVERSIONES FCI]]-CK263,Tabla5[[#This Row],[INVERSIONES FCI]])</f>
        <v>56353006136.446648</v>
      </c>
      <c r="CL264" s="5">
        <f>IF($B263&lt;=Tabla5[[#This Row],[INVERSIONES FCI]],+Tabla5[[#This Row],[INVERSIONES FCI]]-CL263,Tabla5[[#This Row],[INVERSIONES FCI]])</f>
        <v>56353006136.446648</v>
      </c>
      <c r="CM264" s="5">
        <f>IF($B263&lt;=Tabla5[[#This Row],[INVERSIONES FCI]],+Tabla5[[#This Row],[INVERSIONES FCI]]-CM263,Tabla5[[#This Row],[INVERSIONES FCI]])</f>
        <v>56353006136.446648</v>
      </c>
      <c r="CN264" s="5">
        <f>IF($B263&lt;=Tabla5[[#This Row],[INVERSIONES FCI]],+Tabla5[[#This Row],[INVERSIONES FCI]]-CN263,Tabla5[[#This Row],[INVERSIONES FCI]])</f>
        <v>56353006136.446648</v>
      </c>
      <c r="CO264" s="5">
        <f>IF($B263&lt;=Tabla5[[#This Row],[INVERSIONES FCI]],+Tabla5[[#This Row],[INVERSIONES FCI]]-CO263,Tabla5[[#This Row],[INVERSIONES FCI]])</f>
        <v>56353006136.446648</v>
      </c>
      <c r="CP264" s="5">
        <f>IF($B263&lt;=Tabla5[[#This Row],[INVERSIONES FCI]],+Tabla5[[#This Row],[INVERSIONES FCI]]-CP263,Tabla5[[#This Row],[INVERSIONES FCI]])</f>
        <v>56353006136.446648</v>
      </c>
      <c r="CQ264" s="5">
        <f>IF($B263&lt;=Tabla5[[#This Row],[INVERSIONES FCI]],+Tabla5[[#This Row],[INVERSIONES FCI]]-CQ263,Tabla5[[#This Row],[INVERSIONES FCI]])</f>
        <v>56353006136.446648</v>
      </c>
      <c r="CR264" s="5">
        <f>IF($B263&lt;=Tabla5[[#This Row],[INVERSIONES FCI]],+Tabla5[[#This Row],[INVERSIONES FCI]]-CR263,Tabla5[[#This Row],[INVERSIONES FCI]])</f>
        <v>56353006136.446648</v>
      </c>
      <c r="CS264" s="5">
        <f>IF($B263&lt;=Tabla5[[#This Row],[INVERSIONES FCI]],+Tabla5[[#This Row],[INVERSIONES FCI]]-CS263,Tabla5[[#This Row],[INVERSIONES FCI]])</f>
        <v>56353006136.446648</v>
      </c>
      <c r="CT264" s="5">
        <f>IF($B263&lt;=Tabla5[[#This Row],[INVERSIONES FCI]],+Tabla5[[#This Row],[INVERSIONES FCI]]-CT263,Tabla5[[#This Row],[INVERSIONES FCI]])</f>
        <v>56353006136.446648</v>
      </c>
      <c r="CU264" s="5">
        <f>IF($B263&lt;=Tabla5[[#This Row],[INVERSIONES FCI]],+Tabla5[[#This Row],[INVERSIONES FCI]]-CU263,Tabla5[[#This Row],[INVERSIONES FCI]])</f>
        <v>56353006136.446648</v>
      </c>
      <c r="CV264" s="5">
        <f>IF($B263&lt;=Tabla5[[#This Row],[INVERSIONES FCI]],+Tabla5[[#This Row],[INVERSIONES FCI]]-CV263,Tabla5[[#This Row],[INVERSIONES FCI]])</f>
        <v>56353006136.446648</v>
      </c>
      <c r="CW264" s="5">
        <f>IF($B263&lt;=Tabla5[[#This Row],[INVERSIONES FCI]],+Tabla5[[#This Row],[INVERSIONES FCI]]-CW263,Tabla5[[#This Row],[INVERSIONES FCI]])</f>
        <v>56353006136.446648</v>
      </c>
      <c r="CX264" s="5">
        <f>IF($B263&lt;=Tabla5[[#This Row],[INVERSIONES FCI]],+Tabla5[[#This Row],[INVERSIONES FCI]]-CX263,Tabla5[[#This Row],[INVERSIONES FCI]])</f>
        <v>56353006136.446648</v>
      </c>
      <c r="CY264" s="5">
        <f>IF($B263&lt;=Tabla5[[#This Row],[INVERSIONES FCI]],+Tabla5[[#This Row],[INVERSIONES FCI]]-CY263,Tabla5[[#This Row],[INVERSIONES FCI]])</f>
        <v>56353006136.446648</v>
      </c>
      <c r="CZ264" s="5">
        <f>IF($B263&lt;=Tabla5[[#This Row],[INVERSIONES FCI]],+Tabla5[[#This Row],[INVERSIONES FCI]]-CZ263,Tabla5[[#This Row],[INVERSIONES FCI]])</f>
        <v>56353006136.446648</v>
      </c>
      <c r="DA264" s="5">
        <f>IF($B263&lt;=Tabla5[[#This Row],[INVERSIONES FCI]],+Tabla5[[#This Row],[INVERSIONES FCI]]-DA263,Tabla5[[#This Row],[INVERSIONES FCI]])</f>
        <v>56353006136.446648</v>
      </c>
      <c r="DB264" s="5">
        <f>IF($B263&lt;=Tabla5[[#This Row],[INVERSIONES FCI]],+Tabla5[[#This Row],[INVERSIONES FCI]]-DB263,Tabla5[[#This Row],[INVERSIONES FCI]])</f>
        <v>56353006136.446648</v>
      </c>
      <c r="DC264" s="5">
        <f>IF($B263&lt;=Tabla5[[#This Row],[INVERSIONES FCI]],+Tabla5[[#This Row],[INVERSIONES FCI]]-DC263,Tabla5[[#This Row],[INVERSIONES FCI]])</f>
        <v>56353006136.446648</v>
      </c>
      <c r="DD264" s="5">
        <f>IF($B263&lt;=Tabla5[[#This Row],[INVERSIONES FCI]],+Tabla5[[#This Row],[INVERSIONES FCI]]-DD263,Tabla5[[#This Row],[INVERSIONES FCI]])</f>
        <v>56353006136.446648</v>
      </c>
      <c r="DE264" s="5">
        <f>IF($B263&lt;=Tabla5[[#This Row],[INVERSIONES FCI]],+Tabla5[[#This Row],[INVERSIONES FCI]]-DE263,Tabla5[[#This Row],[INVERSIONES FCI]])</f>
        <v>56353006136.446648</v>
      </c>
      <c r="DF264" s="5">
        <f>IF($B263&lt;=Tabla5[[#This Row],[INVERSIONES FCI]],+Tabla5[[#This Row],[INVERSIONES FCI]]-DF263,Tabla5[[#This Row],[INVERSIONES FCI]])</f>
        <v>56353006136.446648</v>
      </c>
      <c r="DG264" s="5">
        <f>IF($B263&lt;=Tabla5[[#This Row],[INVERSIONES FCI]],+Tabla5[[#This Row],[INVERSIONES FCI]]-DG263,Tabla5[[#This Row],[INVERSIONES FCI]])</f>
        <v>56353006136.446648</v>
      </c>
      <c r="DH264" s="5">
        <f>IF($B263&lt;=Tabla5[[#This Row],[INVERSIONES FCI]],+Tabla5[[#This Row],[INVERSIONES FCI]]-DH263,Tabla5[[#This Row],[INVERSIONES FCI]])</f>
        <v>56353006136.446648</v>
      </c>
      <c r="DI264" s="5">
        <f>IF($B263&lt;=Tabla5[[#This Row],[INVERSIONES FCI]],+Tabla5[[#This Row],[INVERSIONES FCI]]-DI263,Tabla5[[#This Row],[INVERSIONES FCI]])</f>
        <v>56353006136.446648</v>
      </c>
      <c r="DJ264" s="5">
        <f>IF($B263&lt;=Tabla5[[#This Row],[INVERSIONES FCI]],+Tabla5[[#This Row],[INVERSIONES FCI]]-DJ263,Tabla5[[#This Row],[INVERSIONES FCI]])</f>
        <v>56353006136.446648</v>
      </c>
      <c r="DK264" s="5">
        <f>IF($B263&lt;=Tabla5[[#This Row],[INVERSIONES FCI]],+Tabla5[[#This Row],[INVERSIONES FCI]]-DK263,Tabla5[[#This Row],[INVERSIONES FCI]])</f>
        <v>56353006136.446648</v>
      </c>
      <c r="DL264" s="5"/>
      <c r="DM264" s="5"/>
      <c r="DN264" s="5"/>
      <c r="DO264" s="5"/>
      <c r="DP264" s="5"/>
      <c r="DQ264" s="5"/>
    </row>
    <row r="265" spans="1:121" ht="14.4">
      <c r="A265" s="12" t="s">
        <v>264</v>
      </c>
      <c r="B265" s="5">
        <f>HLOOKUP($A265,ESCENARIO[#All],7,FALSE)</f>
        <v>63956350495.623138</v>
      </c>
      <c r="C265" s="5">
        <f>IF($B264&lt;=Tabla5[[#This Row],[INVERSIONES FCI]],+Tabla5[[#This Row],[INVERSIONES FCI]]-C264,Tabla5[[#This Row],[INVERSIONES FCI]])</f>
        <v>7603344359.1764908</v>
      </c>
      <c r="D265" s="5">
        <f>IF($B264&lt;=Tabla5[[#This Row],[INVERSIONES FCI]],+Tabla5[[#This Row],[INVERSIONES FCI]]-D264,Tabla5[[#This Row],[INVERSIONES FCI]])</f>
        <v>7603344359.1764908</v>
      </c>
      <c r="E265" s="5">
        <f>IF($B264&lt;=Tabla5[[#This Row],[INVERSIONES FCI]],+Tabla5[[#This Row],[INVERSIONES FCI]]-E264,Tabla5[[#This Row],[INVERSIONES FCI]])</f>
        <v>7603344359.1764908</v>
      </c>
      <c r="F265" s="5">
        <f>IF($B264&lt;=Tabla5[[#This Row],[INVERSIONES FCI]],+Tabla5[[#This Row],[INVERSIONES FCI]]-F264,Tabla5[[#This Row],[INVERSIONES FCI]])</f>
        <v>7603344359.1764908</v>
      </c>
      <c r="G265" s="5">
        <f>IF($B264&lt;=Tabla5[[#This Row],[INVERSIONES FCI]],+Tabla5[[#This Row],[INVERSIONES FCI]]-G264,Tabla5[[#This Row],[INVERSIONES FCI]])</f>
        <v>7603344359.1764908</v>
      </c>
      <c r="H265" s="5">
        <f>IF($B264&lt;=Tabla5[[#This Row],[INVERSIONES FCI]],+Tabla5[[#This Row],[INVERSIONES FCI]]-H264,Tabla5[[#This Row],[INVERSIONES FCI]])</f>
        <v>7603344359.1764908</v>
      </c>
      <c r="I265" s="5">
        <f>IF($B264&lt;=Tabla5[[#This Row],[INVERSIONES FCI]],+Tabla5[[#This Row],[INVERSIONES FCI]]-I264,Tabla5[[#This Row],[INVERSIONES FCI]])</f>
        <v>7603344359.1764908</v>
      </c>
      <c r="J265" s="5">
        <f>IF($B264&lt;=Tabla5[[#This Row],[INVERSIONES FCI]],+Tabla5[[#This Row],[INVERSIONES FCI]]-J264,Tabla5[[#This Row],[INVERSIONES FCI]])</f>
        <v>7603344359.1764908</v>
      </c>
      <c r="K265" s="5">
        <f>IF($B264&lt;=Tabla5[[#This Row],[INVERSIONES FCI]],+Tabla5[[#This Row],[INVERSIONES FCI]]-K264,Tabla5[[#This Row],[INVERSIONES FCI]])</f>
        <v>7603344359.1764908</v>
      </c>
      <c r="L265" s="5">
        <f>IF($B264&lt;=Tabla5[[#This Row],[INVERSIONES FCI]],+Tabla5[[#This Row],[INVERSIONES FCI]]-L264,Tabla5[[#This Row],[INVERSIONES FCI]])</f>
        <v>7603344359.1764908</v>
      </c>
      <c r="M265" s="5">
        <f>IF($B264&lt;=Tabla5[[#This Row],[INVERSIONES FCI]],+Tabla5[[#This Row],[INVERSIONES FCI]]-M264,Tabla5[[#This Row],[INVERSIONES FCI]])</f>
        <v>7603344359.1764908</v>
      </c>
      <c r="N265" s="5">
        <f>IF($B264&lt;=Tabla5[[#This Row],[INVERSIONES FCI]],+Tabla5[[#This Row],[INVERSIONES FCI]]-N264,Tabla5[[#This Row],[INVERSIONES FCI]])</f>
        <v>7603344359.1764908</v>
      </c>
      <c r="O265" s="5">
        <f>IF($B264&lt;=Tabla5[[#This Row],[INVERSIONES FCI]],+Tabla5[[#This Row],[INVERSIONES FCI]]-O264,Tabla5[[#This Row],[INVERSIONES FCI]])</f>
        <v>7603344359.1764908</v>
      </c>
      <c r="P265" s="5">
        <f>IF($B264&lt;=Tabla5[[#This Row],[INVERSIONES FCI]],+Tabla5[[#This Row],[INVERSIONES FCI]]-P264,Tabla5[[#This Row],[INVERSIONES FCI]])</f>
        <v>7603344359.1764908</v>
      </c>
      <c r="Q265" s="5">
        <f>IF($B264&lt;=Tabla5[[#This Row],[INVERSIONES FCI]],+Tabla5[[#This Row],[INVERSIONES FCI]]-Q264,Tabla5[[#This Row],[INVERSIONES FCI]])</f>
        <v>7603344359.1764908</v>
      </c>
      <c r="R265" s="5">
        <f>IF($B264&lt;=Tabla5[[#This Row],[INVERSIONES FCI]],+Tabla5[[#This Row],[INVERSIONES FCI]]-R264,Tabla5[[#This Row],[INVERSIONES FCI]])</f>
        <v>7603344359.1764908</v>
      </c>
      <c r="S265" s="5">
        <f>IF($B264&lt;=Tabla5[[#This Row],[INVERSIONES FCI]],+Tabla5[[#This Row],[INVERSIONES FCI]]-S264,Tabla5[[#This Row],[INVERSIONES FCI]])</f>
        <v>7603344359.1764908</v>
      </c>
      <c r="T265" s="5">
        <f>IF($B264&lt;=Tabla5[[#This Row],[INVERSIONES FCI]],+Tabla5[[#This Row],[INVERSIONES FCI]]-T264,Tabla5[[#This Row],[INVERSIONES FCI]])</f>
        <v>7603344359.1764908</v>
      </c>
      <c r="U265" s="5">
        <f>IF($B264&lt;=Tabla5[[#This Row],[INVERSIONES FCI]],+Tabla5[[#This Row],[INVERSIONES FCI]]-U264,Tabla5[[#This Row],[INVERSIONES FCI]])</f>
        <v>7603344359.1764908</v>
      </c>
      <c r="V265" s="5">
        <f>IF($B264&lt;=Tabla5[[#This Row],[INVERSIONES FCI]],+Tabla5[[#This Row],[INVERSIONES FCI]]-V264,Tabla5[[#This Row],[INVERSIONES FCI]])</f>
        <v>7603344359.1764908</v>
      </c>
      <c r="W265" s="5">
        <f>IF($B264&lt;=Tabla5[[#This Row],[INVERSIONES FCI]],+Tabla5[[#This Row],[INVERSIONES FCI]]-W264,Tabla5[[#This Row],[INVERSIONES FCI]])</f>
        <v>7603344359.1764908</v>
      </c>
      <c r="X265" s="5">
        <f>IF($B264&lt;=Tabla5[[#This Row],[INVERSIONES FCI]],+Tabla5[[#This Row],[INVERSIONES FCI]]-X264,Tabla5[[#This Row],[INVERSIONES FCI]])</f>
        <v>7603344359.1764908</v>
      </c>
      <c r="Y265" s="5">
        <f>IF($B264&lt;=Tabla5[[#This Row],[INVERSIONES FCI]],+Tabla5[[#This Row],[INVERSIONES FCI]]-Y264,Tabla5[[#This Row],[INVERSIONES FCI]])</f>
        <v>7603344359.1764908</v>
      </c>
      <c r="Z265" s="5">
        <f>IF($B264&lt;=Tabla5[[#This Row],[INVERSIONES FCI]],+Tabla5[[#This Row],[INVERSIONES FCI]]-Z264,Tabla5[[#This Row],[INVERSIONES FCI]])</f>
        <v>7603344359.1764908</v>
      </c>
      <c r="AA265" s="5">
        <f>IF($B264&lt;=Tabla5[[#This Row],[INVERSIONES FCI]],+Tabla5[[#This Row],[INVERSIONES FCI]]-AA264,Tabla5[[#This Row],[INVERSIONES FCI]])</f>
        <v>7603344359.1764908</v>
      </c>
      <c r="AB265" s="5">
        <f>IF($B264&lt;=Tabla5[[#This Row],[INVERSIONES FCI]],+Tabla5[[#This Row],[INVERSIONES FCI]]-AB264,Tabla5[[#This Row],[INVERSIONES FCI]])</f>
        <v>7603344359.1764908</v>
      </c>
      <c r="AC265" s="5">
        <f>IF($B264&lt;=Tabla5[[#This Row],[INVERSIONES FCI]],+Tabla5[[#This Row],[INVERSIONES FCI]]-AC264,Tabla5[[#This Row],[INVERSIONES FCI]])</f>
        <v>7603344359.1764908</v>
      </c>
      <c r="AD265" s="5">
        <f>IF($B264&lt;=Tabla5[[#This Row],[INVERSIONES FCI]],+Tabla5[[#This Row],[INVERSIONES FCI]]-AD264,Tabla5[[#This Row],[INVERSIONES FCI]])</f>
        <v>7603344359.1764908</v>
      </c>
      <c r="AE265" s="5">
        <f>IF($B264&lt;=Tabla5[[#This Row],[INVERSIONES FCI]],+Tabla5[[#This Row],[INVERSIONES FCI]]-AE264,Tabla5[[#This Row],[INVERSIONES FCI]])</f>
        <v>7603344359.1764908</v>
      </c>
      <c r="AF265" s="5">
        <f>IF($B264&lt;=Tabla5[[#This Row],[INVERSIONES FCI]],+Tabla5[[#This Row],[INVERSIONES FCI]]-AF264,Tabla5[[#This Row],[INVERSIONES FCI]])</f>
        <v>7603344359.1764908</v>
      </c>
      <c r="AG265" s="5">
        <f>IF($B264&lt;=Tabla5[[#This Row],[INVERSIONES FCI]],+Tabla5[[#This Row],[INVERSIONES FCI]]-AG264,Tabla5[[#This Row],[INVERSIONES FCI]])</f>
        <v>7603344359.1764908</v>
      </c>
      <c r="AH265" s="5">
        <f>IF($B264&lt;=Tabla5[[#This Row],[INVERSIONES FCI]],+Tabla5[[#This Row],[INVERSIONES FCI]]-AH264,Tabla5[[#This Row],[INVERSIONES FCI]])</f>
        <v>7603344359.1764908</v>
      </c>
      <c r="AI265" s="5">
        <f>IF($B264&lt;=Tabla5[[#This Row],[INVERSIONES FCI]],+Tabla5[[#This Row],[INVERSIONES FCI]]-AI264,Tabla5[[#This Row],[INVERSIONES FCI]])</f>
        <v>7603344359.1764908</v>
      </c>
      <c r="AJ265" s="5">
        <f>IF($B264&lt;=Tabla5[[#This Row],[INVERSIONES FCI]],+Tabla5[[#This Row],[INVERSIONES FCI]]-AJ264,Tabla5[[#This Row],[INVERSIONES FCI]])</f>
        <v>7603344359.1764908</v>
      </c>
      <c r="AK265" s="5">
        <f>IF($B264&lt;=Tabla5[[#This Row],[INVERSIONES FCI]],+Tabla5[[#This Row],[INVERSIONES FCI]]-AK264,Tabla5[[#This Row],[INVERSIONES FCI]])</f>
        <v>7603344359.1764908</v>
      </c>
      <c r="AL265" s="5">
        <f>IF($B264&lt;=Tabla5[[#This Row],[INVERSIONES FCI]],+Tabla5[[#This Row],[INVERSIONES FCI]]-AL264,Tabla5[[#This Row],[INVERSIONES FCI]])</f>
        <v>7603344359.1764908</v>
      </c>
      <c r="AM265" s="5">
        <f>IF($B264&lt;=Tabla5[[#This Row],[INVERSIONES FCI]],+Tabla5[[#This Row],[INVERSIONES FCI]]-AM264,Tabla5[[#This Row],[INVERSIONES FCI]])</f>
        <v>7603344359.1764908</v>
      </c>
      <c r="AN265" s="5">
        <f>IF($B264&lt;=Tabla5[[#This Row],[INVERSIONES FCI]],+Tabla5[[#This Row],[INVERSIONES FCI]]-AN264,Tabla5[[#This Row],[INVERSIONES FCI]])</f>
        <v>7603344359.1764908</v>
      </c>
      <c r="AO265" s="5">
        <f>IF($B264&lt;=Tabla5[[#This Row],[INVERSIONES FCI]],+Tabla5[[#This Row],[INVERSIONES FCI]]-AO264,Tabla5[[#This Row],[INVERSIONES FCI]])</f>
        <v>7603344359.1764908</v>
      </c>
      <c r="AP265" s="5">
        <f>IF($B264&lt;=Tabla5[[#This Row],[INVERSIONES FCI]],+Tabla5[[#This Row],[INVERSIONES FCI]]-AP264,Tabla5[[#This Row],[INVERSIONES FCI]])</f>
        <v>7603344359.1764908</v>
      </c>
      <c r="AQ265" s="5">
        <f>IF($B264&lt;=Tabla5[[#This Row],[INVERSIONES FCI]],+Tabla5[[#This Row],[INVERSIONES FCI]]-AQ264,Tabla5[[#This Row],[INVERSIONES FCI]])</f>
        <v>7603344359.1764908</v>
      </c>
      <c r="AR265" s="5">
        <f>IF($B264&lt;=Tabla5[[#This Row],[INVERSIONES FCI]],+Tabla5[[#This Row],[INVERSIONES FCI]]-AR264,Tabla5[[#This Row],[INVERSIONES FCI]])</f>
        <v>7603344359.1764908</v>
      </c>
      <c r="AS265" s="5">
        <f>IF($B264&lt;=Tabla5[[#This Row],[INVERSIONES FCI]],+Tabla5[[#This Row],[INVERSIONES FCI]]-AS264,Tabla5[[#This Row],[INVERSIONES FCI]])</f>
        <v>7603344359.1764908</v>
      </c>
      <c r="AT265" s="5">
        <f>IF($B264&lt;=Tabla5[[#This Row],[INVERSIONES FCI]],+Tabla5[[#This Row],[INVERSIONES FCI]]-AT264,Tabla5[[#This Row],[INVERSIONES FCI]])</f>
        <v>7603344359.1764908</v>
      </c>
      <c r="AU265" s="5">
        <f>IF($B264&lt;=Tabla5[[#This Row],[INVERSIONES FCI]],+Tabla5[[#This Row],[INVERSIONES FCI]]-AU264,Tabla5[[#This Row],[INVERSIONES FCI]])</f>
        <v>7603344359.1764908</v>
      </c>
      <c r="AV265" s="5">
        <f>IF($B264&lt;=Tabla5[[#This Row],[INVERSIONES FCI]],+Tabla5[[#This Row],[INVERSIONES FCI]]-AV264,Tabla5[[#This Row],[INVERSIONES FCI]])</f>
        <v>7603344359.1764908</v>
      </c>
      <c r="AW265" s="5">
        <f>IF($B264&lt;=Tabla5[[#This Row],[INVERSIONES FCI]],+Tabla5[[#This Row],[INVERSIONES FCI]]-AW264,Tabla5[[#This Row],[INVERSIONES FCI]])</f>
        <v>7603344359.1764908</v>
      </c>
      <c r="AX265" s="5">
        <f>IF($B264&lt;=Tabla5[[#This Row],[INVERSIONES FCI]],+Tabla5[[#This Row],[INVERSIONES FCI]]-AX264,Tabla5[[#This Row],[INVERSIONES FCI]])</f>
        <v>7603344359.1764908</v>
      </c>
      <c r="AY265" s="5">
        <f>IF($B264&lt;=Tabla5[[#This Row],[INVERSIONES FCI]],+Tabla5[[#This Row],[INVERSIONES FCI]]-AY264,Tabla5[[#This Row],[INVERSIONES FCI]])</f>
        <v>7603344359.1764908</v>
      </c>
      <c r="AZ265" s="5">
        <f>IF($B264&lt;=Tabla5[[#This Row],[INVERSIONES FCI]],+Tabla5[[#This Row],[INVERSIONES FCI]]-AZ264,Tabla5[[#This Row],[INVERSIONES FCI]])</f>
        <v>7603344359.1764908</v>
      </c>
      <c r="BA265" s="5">
        <f>IF($B264&lt;=Tabla5[[#This Row],[INVERSIONES FCI]],+Tabla5[[#This Row],[INVERSIONES FCI]]-BA264,Tabla5[[#This Row],[INVERSIONES FCI]])</f>
        <v>7603344359.1764908</v>
      </c>
      <c r="BB265" s="5">
        <f>IF($B264&lt;=Tabla5[[#This Row],[INVERSIONES FCI]],+Tabla5[[#This Row],[INVERSIONES FCI]]-BB264,Tabla5[[#This Row],[INVERSIONES FCI]])</f>
        <v>7603344359.1764908</v>
      </c>
      <c r="BC265" s="5">
        <f>IF($B264&lt;=Tabla5[[#This Row],[INVERSIONES FCI]],+Tabla5[[#This Row],[INVERSIONES FCI]]-BC264,Tabla5[[#This Row],[INVERSIONES FCI]])</f>
        <v>7603344359.1764908</v>
      </c>
      <c r="BD265" s="5">
        <f>IF($B264&lt;=Tabla5[[#This Row],[INVERSIONES FCI]],+Tabla5[[#This Row],[INVERSIONES FCI]]-BD264,Tabla5[[#This Row],[INVERSIONES FCI]])</f>
        <v>7603344359.1764908</v>
      </c>
      <c r="BE265" s="5">
        <f>IF($B264&lt;=Tabla5[[#This Row],[INVERSIONES FCI]],+Tabla5[[#This Row],[INVERSIONES FCI]]-BE264,Tabla5[[#This Row],[INVERSIONES FCI]])</f>
        <v>7603344359.1764908</v>
      </c>
      <c r="BF265" s="5">
        <f>IF($B264&lt;=Tabla5[[#This Row],[INVERSIONES FCI]],+Tabla5[[#This Row],[INVERSIONES FCI]]-BF264,Tabla5[[#This Row],[INVERSIONES FCI]])</f>
        <v>7603344359.1764908</v>
      </c>
      <c r="BG265" s="5">
        <f>IF($B264&lt;=Tabla5[[#This Row],[INVERSIONES FCI]],+Tabla5[[#This Row],[INVERSIONES FCI]]-BG264,Tabla5[[#This Row],[INVERSIONES FCI]])</f>
        <v>7603344359.1764908</v>
      </c>
      <c r="BH265" s="5">
        <f>IF($B264&lt;=Tabla5[[#This Row],[INVERSIONES FCI]],+Tabla5[[#This Row],[INVERSIONES FCI]]-BH264,Tabla5[[#This Row],[INVERSIONES FCI]])</f>
        <v>7603344359.1764908</v>
      </c>
      <c r="BI265" s="5">
        <f>IF($B264&lt;=Tabla5[[#This Row],[INVERSIONES FCI]],+Tabla5[[#This Row],[INVERSIONES FCI]]-BI264,Tabla5[[#This Row],[INVERSIONES FCI]])</f>
        <v>7603344359.1764908</v>
      </c>
      <c r="BJ265" s="5">
        <f>IF($B264&lt;=Tabla5[[#This Row],[INVERSIONES FCI]],+Tabla5[[#This Row],[INVERSIONES FCI]]-BJ264,Tabla5[[#This Row],[INVERSIONES FCI]])</f>
        <v>7603344359.1764908</v>
      </c>
      <c r="BK265" s="5">
        <f>IF($B264&lt;=Tabla5[[#This Row],[INVERSIONES FCI]],+Tabla5[[#This Row],[INVERSIONES FCI]]-BK264,Tabla5[[#This Row],[INVERSIONES FCI]])</f>
        <v>7603344359.1764908</v>
      </c>
      <c r="BL265" s="5">
        <f>IF($B264&lt;=Tabla5[[#This Row],[INVERSIONES FCI]],+Tabla5[[#This Row],[INVERSIONES FCI]]-BL264,Tabla5[[#This Row],[INVERSIONES FCI]])</f>
        <v>7603344359.1764908</v>
      </c>
      <c r="BM265" s="5">
        <f>IF($B264&lt;=Tabla5[[#This Row],[INVERSIONES FCI]],+Tabla5[[#This Row],[INVERSIONES FCI]]-BM264,Tabla5[[#This Row],[INVERSIONES FCI]])</f>
        <v>7603344359.1764908</v>
      </c>
      <c r="BN265" s="5">
        <f>IF($B264&lt;=Tabla5[[#This Row],[INVERSIONES FCI]],+Tabla5[[#This Row],[INVERSIONES FCI]]-BN264,Tabla5[[#This Row],[INVERSIONES FCI]])</f>
        <v>7603344359.1764908</v>
      </c>
      <c r="BO265" s="5">
        <f>IF($B264&lt;=Tabla5[[#This Row],[INVERSIONES FCI]],+Tabla5[[#This Row],[INVERSIONES FCI]]-BO264,Tabla5[[#This Row],[INVERSIONES FCI]])</f>
        <v>7603344359.1764908</v>
      </c>
      <c r="BP265" s="5">
        <f>IF($B264&lt;=Tabla5[[#This Row],[INVERSIONES FCI]],+Tabla5[[#This Row],[INVERSIONES FCI]]-BP264,Tabla5[[#This Row],[INVERSIONES FCI]])</f>
        <v>7603344359.1764908</v>
      </c>
      <c r="BQ265" s="5">
        <f>IF($B264&lt;=Tabla5[[#This Row],[INVERSIONES FCI]],+Tabla5[[#This Row],[INVERSIONES FCI]]-BQ264,Tabla5[[#This Row],[INVERSIONES FCI]])</f>
        <v>7603344359.1764908</v>
      </c>
      <c r="BR265" s="5">
        <f>IF($B264&lt;=Tabla5[[#This Row],[INVERSIONES FCI]],+Tabla5[[#This Row],[INVERSIONES FCI]]-BR264,Tabla5[[#This Row],[INVERSIONES FCI]])</f>
        <v>7603344359.1764908</v>
      </c>
      <c r="BS265" s="5">
        <f>IF($B264&lt;=Tabla5[[#This Row],[INVERSIONES FCI]],+Tabla5[[#This Row],[INVERSIONES FCI]]-BS264,Tabla5[[#This Row],[INVERSIONES FCI]])</f>
        <v>7603344359.1764908</v>
      </c>
      <c r="BT265" s="5">
        <f>IF($B264&lt;=Tabla5[[#This Row],[INVERSIONES FCI]],+Tabla5[[#This Row],[INVERSIONES FCI]]-BT264,Tabla5[[#This Row],[INVERSIONES FCI]])</f>
        <v>7603344359.1764908</v>
      </c>
      <c r="BU265" s="5">
        <f>IF($B264&lt;=Tabla5[[#This Row],[INVERSIONES FCI]],+Tabla5[[#This Row],[INVERSIONES FCI]]-BU264,Tabla5[[#This Row],[INVERSIONES FCI]])</f>
        <v>7603344359.1764908</v>
      </c>
      <c r="BV265" s="5">
        <f>IF($B264&lt;=Tabla5[[#This Row],[INVERSIONES FCI]],+Tabla5[[#This Row],[INVERSIONES FCI]]-BV264,Tabla5[[#This Row],[INVERSIONES FCI]])</f>
        <v>7603344359.1764908</v>
      </c>
      <c r="BW265" s="5">
        <f>IF($B264&lt;=Tabla5[[#This Row],[INVERSIONES FCI]],+Tabla5[[#This Row],[INVERSIONES FCI]]-BW264,Tabla5[[#This Row],[INVERSIONES FCI]])</f>
        <v>7603344359.1764908</v>
      </c>
      <c r="BX265" s="5">
        <f>IF($B264&lt;=Tabla5[[#This Row],[INVERSIONES FCI]],+Tabla5[[#This Row],[INVERSIONES FCI]]-BX264,Tabla5[[#This Row],[INVERSIONES FCI]])</f>
        <v>7603344359.1764908</v>
      </c>
      <c r="BY265" s="5">
        <f>IF($B264&lt;=Tabla5[[#This Row],[INVERSIONES FCI]],+Tabla5[[#This Row],[INVERSIONES FCI]]-BY264,Tabla5[[#This Row],[INVERSIONES FCI]])</f>
        <v>7603344359.1764908</v>
      </c>
      <c r="BZ265" s="5">
        <f>IF($B264&lt;=Tabla5[[#This Row],[INVERSIONES FCI]],+Tabla5[[#This Row],[INVERSIONES FCI]]-BZ264,Tabla5[[#This Row],[INVERSIONES FCI]])</f>
        <v>7603344359.1764908</v>
      </c>
      <c r="CA265" s="5">
        <f>IF($B264&lt;=Tabla5[[#This Row],[INVERSIONES FCI]],+Tabla5[[#This Row],[INVERSIONES FCI]]-CA264,Tabla5[[#This Row],[INVERSIONES FCI]])</f>
        <v>7603344359.1764908</v>
      </c>
      <c r="CB265" s="5">
        <f>IF($B264&lt;=Tabla5[[#This Row],[INVERSIONES FCI]],+Tabla5[[#This Row],[INVERSIONES FCI]]-CB264,Tabla5[[#This Row],[INVERSIONES FCI]])</f>
        <v>7603344359.1764908</v>
      </c>
      <c r="CC265" s="5">
        <f>IF($B264&lt;=Tabla5[[#This Row],[INVERSIONES FCI]],+Tabla5[[#This Row],[INVERSIONES FCI]]-CC264,Tabla5[[#This Row],[INVERSIONES FCI]])</f>
        <v>7603344359.1764908</v>
      </c>
      <c r="CD265" s="5">
        <f>IF($B264&lt;=Tabla5[[#This Row],[INVERSIONES FCI]],+Tabla5[[#This Row],[INVERSIONES FCI]]-CD264,Tabla5[[#This Row],[INVERSIONES FCI]])</f>
        <v>7603344359.1764908</v>
      </c>
      <c r="CE265" s="5">
        <f>IF($B264&lt;=Tabla5[[#This Row],[INVERSIONES FCI]],+Tabla5[[#This Row],[INVERSIONES FCI]]-CE264,Tabla5[[#This Row],[INVERSIONES FCI]])</f>
        <v>7603344359.1764908</v>
      </c>
      <c r="CF265" s="5">
        <f>IF($B264&lt;=Tabla5[[#This Row],[INVERSIONES FCI]],+Tabla5[[#This Row],[INVERSIONES FCI]]-CF264,Tabla5[[#This Row],[INVERSIONES FCI]])</f>
        <v>7603344359.1764908</v>
      </c>
      <c r="CG265" s="5">
        <f>IF($B264&lt;=Tabla5[[#This Row],[INVERSIONES FCI]],+Tabla5[[#This Row],[INVERSIONES FCI]]-CG264,Tabla5[[#This Row],[INVERSIONES FCI]])</f>
        <v>7603344359.1764908</v>
      </c>
      <c r="CH265" s="5">
        <f>IF($B264&lt;=Tabla5[[#This Row],[INVERSIONES FCI]],+Tabla5[[#This Row],[INVERSIONES FCI]]-CH264,Tabla5[[#This Row],[INVERSIONES FCI]])</f>
        <v>7603344359.1764908</v>
      </c>
      <c r="CI265" s="5">
        <f>IF($B264&lt;=Tabla5[[#This Row],[INVERSIONES FCI]],+Tabla5[[#This Row],[INVERSIONES FCI]]-CI264,Tabla5[[#This Row],[INVERSIONES FCI]])</f>
        <v>7603344359.1764908</v>
      </c>
      <c r="CJ265" s="5">
        <f>IF($B264&lt;=Tabla5[[#This Row],[INVERSIONES FCI]],+Tabla5[[#This Row],[INVERSIONES FCI]]-CJ264,Tabla5[[#This Row],[INVERSIONES FCI]])</f>
        <v>7603344359.1764908</v>
      </c>
      <c r="CK265" s="5">
        <f>IF($B264&lt;=Tabla5[[#This Row],[INVERSIONES FCI]],+Tabla5[[#This Row],[INVERSIONES FCI]]-CK264,Tabla5[[#This Row],[INVERSIONES FCI]])</f>
        <v>7603344359.1764908</v>
      </c>
      <c r="CL265" s="5">
        <f>IF($B264&lt;=Tabla5[[#This Row],[INVERSIONES FCI]],+Tabla5[[#This Row],[INVERSIONES FCI]]-CL264,Tabla5[[#This Row],[INVERSIONES FCI]])</f>
        <v>7603344359.1764908</v>
      </c>
      <c r="CM265" s="5">
        <f>IF($B264&lt;=Tabla5[[#This Row],[INVERSIONES FCI]],+Tabla5[[#This Row],[INVERSIONES FCI]]-CM264,Tabla5[[#This Row],[INVERSIONES FCI]])</f>
        <v>7603344359.1764908</v>
      </c>
      <c r="CN265" s="5">
        <f>IF($B264&lt;=Tabla5[[#This Row],[INVERSIONES FCI]],+Tabla5[[#This Row],[INVERSIONES FCI]]-CN264,Tabla5[[#This Row],[INVERSIONES FCI]])</f>
        <v>7603344359.1764908</v>
      </c>
      <c r="CO265" s="5">
        <f>IF($B264&lt;=Tabla5[[#This Row],[INVERSIONES FCI]],+Tabla5[[#This Row],[INVERSIONES FCI]]-CO264,Tabla5[[#This Row],[INVERSIONES FCI]])</f>
        <v>7603344359.1764908</v>
      </c>
      <c r="CP265" s="5">
        <f>IF($B264&lt;=Tabla5[[#This Row],[INVERSIONES FCI]],+Tabla5[[#This Row],[INVERSIONES FCI]]-CP264,Tabla5[[#This Row],[INVERSIONES FCI]])</f>
        <v>7603344359.1764908</v>
      </c>
      <c r="CQ265" s="5">
        <f>IF($B264&lt;=Tabla5[[#This Row],[INVERSIONES FCI]],+Tabla5[[#This Row],[INVERSIONES FCI]]-CQ264,Tabla5[[#This Row],[INVERSIONES FCI]])</f>
        <v>7603344359.1764908</v>
      </c>
      <c r="CR265" s="5">
        <f>IF($B264&lt;=Tabla5[[#This Row],[INVERSIONES FCI]],+Tabla5[[#This Row],[INVERSIONES FCI]]-CR264,Tabla5[[#This Row],[INVERSIONES FCI]])</f>
        <v>7603344359.1764908</v>
      </c>
      <c r="CS265" s="5">
        <f>IF($B264&lt;=Tabla5[[#This Row],[INVERSIONES FCI]],+Tabla5[[#This Row],[INVERSIONES FCI]]-CS264,Tabla5[[#This Row],[INVERSIONES FCI]])</f>
        <v>7603344359.1764908</v>
      </c>
      <c r="CT265" s="5">
        <f>IF($B264&lt;=Tabla5[[#This Row],[INVERSIONES FCI]],+Tabla5[[#This Row],[INVERSIONES FCI]]-CT264,Tabla5[[#This Row],[INVERSIONES FCI]])</f>
        <v>7603344359.1764908</v>
      </c>
      <c r="CU265" s="5">
        <f>IF($B264&lt;=Tabla5[[#This Row],[INVERSIONES FCI]],+Tabla5[[#This Row],[INVERSIONES FCI]]-CU264,Tabla5[[#This Row],[INVERSIONES FCI]])</f>
        <v>7603344359.1764908</v>
      </c>
      <c r="CV265" s="5">
        <f>IF($B264&lt;=Tabla5[[#This Row],[INVERSIONES FCI]],+Tabla5[[#This Row],[INVERSIONES FCI]]-CV264,Tabla5[[#This Row],[INVERSIONES FCI]])</f>
        <v>7603344359.1764908</v>
      </c>
      <c r="CW265" s="5">
        <f>IF($B264&lt;=Tabla5[[#This Row],[INVERSIONES FCI]],+Tabla5[[#This Row],[INVERSIONES FCI]]-CW264,Tabla5[[#This Row],[INVERSIONES FCI]])</f>
        <v>7603344359.1764908</v>
      </c>
      <c r="CX265" s="5">
        <f>IF($B264&lt;=Tabla5[[#This Row],[INVERSIONES FCI]],+Tabla5[[#This Row],[INVERSIONES FCI]]-CX264,Tabla5[[#This Row],[INVERSIONES FCI]])</f>
        <v>7603344359.1764908</v>
      </c>
      <c r="CY265" s="5">
        <f>IF($B264&lt;=Tabla5[[#This Row],[INVERSIONES FCI]],+Tabla5[[#This Row],[INVERSIONES FCI]]-CY264,Tabla5[[#This Row],[INVERSIONES FCI]])</f>
        <v>7603344359.1764908</v>
      </c>
      <c r="CZ265" s="5">
        <f>IF($B264&lt;=Tabla5[[#This Row],[INVERSIONES FCI]],+Tabla5[[#This Row],[INVERSIONES FCI]]-CZ264,Tabla5[[#This Row],[INVERSIONES FCI]])</f>
        <v>7603344359.1764908</v>
      </c>
      <c r="DA265" s="5">
        <f>IF($B264&lt;=Tabla5[[#This Row],[INVERSIONES FCI]],+Tabla5[[#This Row],[INVERSIONES FCI]]-DA264,Tabla5[[#This Row],[INVERSIONES FCI]])</f>
        <v>7603344359.1764908</v>
      </c>
      <c r="DB265" s="5">
        <f>IF($B264&lt;=Tabla5[[#This Row],[INVERSIONES FCI]],+Tabla5[[#This Row],[INVERSIONES FCI]]-DB264,Tabla5[[#This Row],[INVERSIONES FCI]])</f>
        <v>7603344359.1764908</v>
      </c>
      <c r="DC265" s="5">
        <f>IF($B264&lt;=Tabla5[[#This Row],[INVERSIONES FCI]],+Tabla5[[#This Row],[INVERSIONES FCI]]-DC264,Tabla5[[#This Row],[INVERSIONES FCI]])</f>
        <v>7603344359.1764908</v>
      </c>
      <c r="DD265" s="5">
        <f>IF($B264&lt;=Tabla5[[#This Row],[INVERSIONES FCI]],+Tabla5[[#This Row],[INVERSIONES FCI]]-DD264,Tabla5[[#This Row],[INVERSIONES FCI]])</f>
        <v>7603344359.1764908</v>
      </c>
      <c r="DE265" s="5">
        <f>IF($B264&lt;=Tabla5[[#This Row],[INVERSIONES FCI]],+Tabla5[[#This Row],[INVERSIONES FCI]]-DE264,Tabla5[[#This Row],[INVERSIONES FCI]])</f>
        <v>7603344359.1764908</v>
      </c>
      <c r="DF265" s="5">
        <f>IF($B264&lt;=Tabla5[[#This Row],[INVERSIONES FCI]],+Tabla5[[#This Row],[INVERSIONES FCI]]-DF264,Tabla5[[#This Row],[INVERSIONES FCI]])</f>
        <v>7603344359.1764908</v>
      </c>
      <c r="DG265" s="5">
        <f>IF($B264&lt;=Tabla5[[#This Row],[INVERSIONES FCI]],+Tabla5[[#This Row],[INVERSIONES FCI]]-DG264,Tabla5[[#This Row],[INVERSIONES FCI]])</f>
        <v>7603344359.1764908</v>
      </c>
      <c r="DH265" s="5">
        <f>IF($B264&lt;=Tabla5[[#This Row],[INVERSIONES FCI]],+Tabla5[[#This Row],[INVERSIONES FCI]]-DH264,Tabla5[[#This Row],[INVERSIONES FCI]])</f>
        <v>7603344359.1764908</v>
      </c>
      <c r="DI265" s="5">
        <f>IF($B264&lt;=Tabla5[[#This Row],[INVERSIONES FCI]],+Tabla5[[#This Row],[INVERSIONES FCI]]-DI264,Tabla5[[#This Row],[INVERSIONES FCI]])</f>
        <v>7603344359.1764908</v>
      </c>
      <c r="DJ265" s="5">
        <f>IF($B264&lt;=Tabla5[[#This Row],[INVERSIONES FCI]],+Tabla5[[#This Row],[INVERSIONES FCI]]-DJ264,Tabla5[[#This Row],[INVERSIONES FCI]])</f>
        <v>7603344359.1764908</v>
      </c>
      <c r="DK265" s="5">
        <f>IF($B264&lt;=Tabla5[[#This Row],[INVERSIONES FCI]],+Tabla5[[#This Row],[INVERSIONES FCI]]-DK264,Tabla5[[#This Row],[INVERSIONES FCI]])</f>
        <v>7603344359.1764908</v>
      </c>
      <c r="DL265" s="5"/>
      <c r="DM265" s="5"/>
      <c r="DN265" s="5"/>
      <c r="DO265" s="5"/>
      <c r="DP265" s="5"/>
      <c r="DQ265" s="5"/>
    </row>
    <row r="266" spans="1:121" ht="14.4">
      <c r="A266" s="12" t="s">
        <v>265</v>
      </c>
      <c r="B266" s="5">
        <f>HLOOKUP($A266,ESCENARIO[#All],7,FALSE)</f>
        <v>67086708896.166351</v>
      </c>
      <c r="C266" s="5">
        <f>IF($B265&lt;=Tabla5[[#This Row],[INVERSIONES FCI]],+Tabla5[[#This Row],[INVERSIONES FCI]]-C265,Tabla5[[#This Row],[INVERSIONES FCI]])</f>
        <v>59483364536.989861</v>
      </c>
      <c r="D266" s="5">
        <f>IF($B265&lt;=Tabla5[[#This Row],[INVERSIONES FCI]],+Tabla5[[#This Row],[INVERSIONES FCI]]-D265,Tabla5[[#This Row],[INVERSIONES FCI]])</f>
        <v>59483364536.989861</v>
      </c>
      <c r="E266" s="5">
        <f>IF($B265&lt;=Tabla5[[#This Row],[INVERSIONES FCI]],+Tabla5[[#This Row],[INVERSIONES FCI]]-E265,Tabla5[[#This Row],[INVERSIONES FCI]])</f>
        <v>59483364536.989861</v>
      </c>
      <c r="F266" s="5">
        <f>IF($B265&lt;=Tabla5[[#This Row],[INVERSIONES FCI]],+Tabla5[[#This Row],[INVERSIONES FCI]]-F265,Tabla5[[#This Row],[INVERSIONES FCI]])</f>
        <v>59483364536.989861</v>
      </c>
      <c r="G266" s="5">
        <f>IF($B265&lt;=Tabla5[[#This Row],[INVERSIONES FCI]],+Tabla5[[#This Row],[INVERSIONES FCI]]-G265,Tabla5[[#This Row],[INVERSIONES FCI]])</f>
        <v>59483364536.989861</v>
      </c>
      <c r="H266" s="5">
        <f>IF($B265&lt;=Tabla5[[#This Row],[INVERSIONES FCI]],+Tabla5[[#This Row],[INVERSIONES FCI]]-H265,Tabla5[[#This Row],[INVERSIONES FCI]])</f>
        <v>59483364536.989861</v>
      </c>
      <c r="I266" s="5">
        <f>IF($B265&lt;=Tabla5[[#This Row],[INVERSIONES FCI]],+Tabla5[[#This Row],[INVERSIONES FCI]]-I265,Tabla5[[#This Row],[INVERSIONES FCI]])</f>
        <v>59483364536.989861</v>
      </c>
      <c r="J266" s="5">
        <f>IF($B265&lt;=Tabla5[[#This Row],[INVERSIONES FCI]],+Tabla5[[#This Row],[INVERSIONES FCI]]-J265,Tabla5[[#This Row],[INVERSIONES FCI]])</f>
        <v>59483364536.989861</v>
      </c>
      <c r="K266" s="5">
        <f>IF($B265&lt;=Tabla5[[#This Row],[INVERSIONES FCI]],+Tabla5[[#This Row],[INVERSIONES FCI]]-K265,Tabla5[[#This Row],[INVERSIONES FCI]])</f>
        <v>59483364536.989861</v>
      </c>
      <c r="L266" s="5">
        <f>IF($B265&lt;=Tabla5[[#This Row],[INVERSIONES FCI]],+Tabla5[[#This Row],[INVERSIONES FCI]]-L265,Tabla5[[#This Row],[INVERSIONES FCI]])</f>
        <v>59483364536.989861</v>
      </c>
      <c r="M266" s="5">
        <f>IF($B265&lt;=Tabla5[[#This Row],[INVERSIONES FCI]],+Tabla5[[#This Row],[INVERSIONES FCI]]-M265,Tabla5[[#This Row],[INVERSIONES FCI]])</f>
        <v>59483364536.989861</v>
      </c>
      <c r="N266" s="5">
        <f>IF($B265&lt;=Tabla5[[#This Row],[INVERSIONES FCI]],+Tabla5[[#This Row],[INVERSIONES FCI]]-N265,Tabla5[[#This Row],[INVERSIONES FCI]])</f>
        <v>59483364536.989861</v>
      </c>
      <c r="O266" s="5">
        <f>IF($B265&lt;=Tabla5[[#This Row],[INVERSIONES FCI]],+Tabla5[[#This Row],[INVERSIONES FCI]]-O265,Tabla5[[#This Row],[INVERSIONES FCI]])</f>
        <v>59483364536.989861</v>
      </c>
      <c r="P266" s="5">
        <f>IF($B265&lt;=Tabla5[[#This Row],[INVERSIONES FCI]],+Tabla5[[#This Row],[INVERSIONES FCI]]-P265,Tabla5[[#This Row],[INVERSIONES FCI]])</f>
        <v>59483364536.989861</v>
      </c>
      <c r="Q266" s="5">
        <f>IF($B265&lt;=Tabla5[[#This Row],[INVERSIONES FCI]],+Tabla5[[#This Row],[INVERSIONES FCI]]-Q265,Tabla5[[#This Row],[INVERSIONES FCI]])</f>
        <v>59483364536.989861</v>
      </c>
      <c r="R266" s="5">
        <f>IF($B265&lt;=Tabla5[[#This Row],[INVERSIONES FCI]],+Tabla5[[#This Row],[INVERSIONES FCI]]-R265,Tabla5[[#This Row],[INVERSIONES FCI]])</f>
        <v>59483364536.989861</v>
      </c>
      <c r="S266" s="5">
        <f>IF($B265&lt;=Tabla5[[#This Row],[INVERSIONES FCI]],+Tabla5[[#This Row],[INVERSIONES FCI]]-S265,Tabla5[[#This Row],[INVERSIONES FCI]])</f>
        <v>59483364536.989861</v>
      </c>
      <c r="T266" s="5">
        <f>IF($B265&lt;=Tabla5[[#This Row],[INVERSIONES FCI]],+Tabla5[[#This Row],[INVERSIONES FCI]]-T265,Tabla5[[#This Row],[INVERSIONES FCI]])</f>
        <v>59483364536.989861</v>
      </c>
      <c r="U266" s="5">
        <f>IF($B265&lt;=Tabla5[[#This Row],[INVERSIONES FCI]],+Tabla5[[#This Row],[INVERSIONES FCI]]-U265,Tabla5[[#This Row],[INVERSIONES FCI]])</f>
        <v>59483364536.989861</v>
      </c>
      <c r="V266" s="5">
        <f>IF($B265&lt;=Tabla5[[#This Row],[INVERSIONES FCI]],+Tabla5[[#This Row],[INVERSIONES FCI]]-V265,Tabla5[[#This Row],[INVERSIONES FCI]])</f>
        <v>59483364536.989861</v>
      </c>
      <c r="W266" s="5">
        <f>IF($B265&lt;=Tabla5[[#This Row],[INVERSIONES FCI]],+Tabla5[[#This Row],[INVERSIONES FCI]]-W265,Tabla5[[#This Row],[INVERSIONES FCI]])</f>
        <v>59483364536.989861</v>
      </c>
      <c r="X266" s="5">
        <f>IF($B265&lt;=Tabla5[[#This Row],[INVERSIONES FCI]],+Tabla5[[#This Row],[INVERSIONES FCI]]-X265,Tabla5[[#This Row],[INVERSIONES FCI]])</f>
        <v>59483364536.989861</v>
      </c>
      <c r="Y266" s="5">
        <f>IF($B265&lt;=Tabla5[[#This Row],[INVERSIONES FCI]],+Tabla5[[#This Row],[INVERSIONES FCI]]-Y265,Tabla5[[#This Row],[INVERSIONES FCI]])</f>
        <v>59483364536.989861</v>
      </c>
      <c r="Z266" s="5">
        <f>IF($B265&lt;=Tabla5[[#This Row],[INVERSIONES FCI]],+Tabla5[[#This Row],[INVERSIONES FCI]]-Z265,Tabla5[[#This Row],[INVERSIONES FCI]])</f>
        <v>59483364536.989861</v>
      </c>
      <c r="AA266" s="5">
        <f>IF($B265&lt;=Tabla5[[#This Row],[INVERSIONES FCI]],+Tabla5[[#This Row],[INVERSIONES FCI]]-AA265,Tabla5[[#This Row],[INVERSIONES FCI]])</f>
        <v>59483364536.989861</v>
      </c>
      <c r="AB266" s="5">
        <f>IF($B265&lt;=Tabla5[[#This Row],[INVERSIONES FCI]],+Tabla5[[#This Row],[INVERSIONES FCI]]-AB265,Tabla5[[#This Row],[INVERSIONES FCI]])</f>
        <v>59483364536.989861</v>
      </c>
      <c r="AC266" s="5">
        <f>IF($B265&lt;=Tabla5[[#This Row],[INVERSIONES FCI]],+Tabla5[[#This Row],[INVERSIONES FCI]]-AC265,Tabla5[[#This Row],[INVERSIONES FCI]])</f>
        <v>59483364536.989861</v>
      </c>
      <c r="AD266" s="5">
        <f>IF($B265&lt;=Tabla5[[#This Row],[INVERSIONES FCI]],+Tabla5[[#This Row],[INVERSIONES FCI]]-AD265,Tabla5[[#This Row],[INVERSIONES FCI]])</f>
        <v>59483364536.989861</v>
      </c>
      <c r="AE266" s="5">
        <f>IF($B265&lt;=Tabla5[[#This Row],[INVERSIONES FCI]],+Tabla5[[#This Row],[INVERSIONES FCI]]-AE265,Tabla5[[#This Row],[INVERSIONES FCI]])</f>
        <v>59483364536.989861</v>
      </c>
      <c r="AF266" s="5">
        <f>IF($B265&lt;=Tabla5[[#This Row],[INVERSIONES FCI]],+Tabla5[[#This Row],[INVERSIONES FCI]]-AF265,Tabla5[[#This Row],[INVERSIONES FCI]])</f>
        <v>59483364536.989861</v>
      </c>
      <c r="AG266" s="5">
        <f>IF($B265&lt;=Tabla5[[#This Row],[INVERSIONES FCI]],+Tabla5[[#This Row],[INVERSIONES FCI]]-AG265,Tabla5[[#This Row],[INVERSIONES FCI]])</f>
        <v>59483364536.989861</v>
      </c>
      <c r="AH266" s="5">
        <f>IF($B265&lt;=Tabla5[[#This Row],[INVERSIONES FCI]],+Tabla5[[#This Row],[INVERSIONES FCI]]-AH265,Tabla5[[#This Row],[INVERSIONES FCI]])</f>
        <v>59483364536.989861</v>
      </c>
      <c r="AI266" s="5">
        <f>IF($B265&lt;=Tabla5[[#This Row],[INVERSIONES FCI]],+Tabla5[[#This Row],[INVERSIONES FCI]]-AI265,Tabla5[[#This Row],[INVERSIONES FCI]])</f>
        <v>59483364536.989861</v>
      </c>
      <c r="AJ266" s="5">
        <f>IF($B265&lt;=Tabla5[[#This Row],[INVERSIONES FCI]],+Tabla5[[#This Row],[INVERSIONES FCI]]-AJ265,Tabla5[[#This Row],[INVERSIONES FCI]])</f>
        <v>59483364536.989861</v>
      </c>
      <c r="AK266" s="5">
        <f>IF($B265&lt;=Tabla5[[#This Row],[INVERSIONES FCI]],+Tabla5[[#This Row],[INVERSIONES FCI]]-AK265,Tabla5[[#This Row],[INVERSIONES FCI]])</f>
        <v>59483364536.989861</v>
      </c>
      <c r="AL266" s="5">
        <f>IF($B265&lt;=Tabla5[[#This Row],[INVERSIONES FCI]],+Tabla5[[#This Row],[INVERSIONES FCI]]-AL265,Tabla5[[#This Row],[INVERSIONES FCI]])</f>
        <v>59483364536.989861</v>
      </c>
      <c r="AM266" s="5">
        <f>IF($B265&lt;=Tabla5[[#This Row],[INVERSIONES FCI]],+Tabla5[[#This Row],[INVERSIONES FCI]]-AM265,Tabla5[[#This Row],[INVERSIONES FCI]])</f>
        <v>59483364536.989861</v>
      </c>
      <c r="AN266" s="5">
        <f>IF($B265&lt;=Tabla5[[#This Row],[INVERSIONES FCI]],+Tabla5[[#This Row],[INVERSIONES FCI]]-AN265,Tabla5[[#This Row],[INVERSIONES FCI]])</f>
        <v>59483364536.989861</v>
      </c>
      <c r="AO266" s="5">
        <f>IF($B265&lt;=Tabla5[[#This Row],[INVERSIONES FCI]],+Tabla5[[#This Row],[INVERSIONES FCI]]-AO265,Tabla5[[#This Row],[INVERSIONES FCI]])</f>
        <v>59483364536.989861</v>
      </c>
      <c r="AP266" s="5">
        <f>IF($B265&lt;=Tabla5[[#This Row],[INVERSIONES FCI]],+Tabla5[[#This Row],[INVERSIONES FCI]]-AP265,Tabla5[[#This Row],[INVERSIONES FCI]])</f>
        <v>59483364536.989861</v>
      </c>
      <c r="AQ266" s="5">
        <f>IF($B265&lt;=Tabla5[[#This Row],[INVERSIONES FCI]],+Tabla5[[#This Row],[INVERSIONES FCI]]-AQ265,Tabla5[[#This Row],[INVERSIONES FCI]])</f>
        <v>59483364536.989861</v>
      </c>
      <c r="AR266" s="5">
        <f>IF($B265&lt;=Tabla5[[#This Row],[INVERSIONES FCI]],+Tabla5[[#This Row],[INVERSIONES FCI]]-AR265,Tabla5[[#This Row],[INVERSIONES FCI]])</f>
        <v>59483364536.989861</v>
      </c>
      <c r="AS266" s="5">
        <f>IF($B265&lt;=Tabla5[[#This Row],[INVERSIONES FCI]],+Tabla5[[#This Row],[INVERSIONES FCI]]-AS265,Tabla5[[#This Row],[INVERSIONES FCI]])</f>
        <v>59483364536.989861</v>
      </c>
      <c r="AT266" s="5">
        <f>IF($B265&lt;=Tabla5[[#This Row],[INVERSIONES FCI]],+Tabla5[[#This Row],[INVERSIONES FCI]]-AT265,Tabla5[[#This Row],[INVERSIONES FCI]])</f>
        <v>59483364536.989861</v>
      </c>
      <c r="AU266" s="5">
        <f>IF($B265&lt;=Tabla5[[#This Row],[INVERSIONES FCI]],+Tabla5[[#This Row],[INVERSIONES FCI]]-AU265,Tabla5[[#This Row],[INVERSIONES FCI]])</f>
        <v>59483364536.989861</v>
      </c>
      <c r="AV266" s="5">
        <f>IF($B265&lt;=Tabla5[[#This Row],[INVERSIONES FCI]],+Tabla5[[#This Row],[INVERSIONES FCI]]-AV265,Tabla5[[#This Row],[INVERSIONES FCI]])</f>
        <v>59483364536.989861</v>
      </c>
      <c r="AW266" s="5">
        <f>IF($B265&lt;=Tabla5[[#This Row],[INVERSIONES FCI]],+Tabla5[[#This Row],[INVERSIONES FCI]]-AW265,Tabla5[[#This Row],[INVERSIONES FCI]])</f>
        <v>59483364536.989861</v>
      </c>
      <c r="AX266" s="5">
        <f>IF($B265&lt;=Tabla5[[#This Row],[INVERSIONES FCI]],+Tabla5[[#This Row],[INVERSIONES FCI]]-AX265,Tabla5[[#This Row],[INVERSIONES FCI]])</f>
        <v>59483364536.989861</v>
      </c>
      <c r="AY266" s="5">
        <f>IF($B265&lt;=Tabla5[[#This Row],[INVERSIONES FCI]],+Tabla5[[#This Row],[INVERSIONES FCI]]-AY265,Tabla5[[#This Row],[INVERSIONES FCI]])</f>
        <v>59483364536.989861</v>
      </c>
      <c r="AZ266" s="5">
        <f>IF($B265&lt;=Tabla5[[#This Row],[INVERSIONES FCI]],+Tabla5[[#This Row],[INVERSIONES FCI]]-AZ265,Tabla5[[#This Row],[INVERSIONES FCI]])</f>
        <v>59483364536.989861</v>
      </c>
      <c r="BA266" s="5">
        <f>IF($B265&lt;=Tabla5[[#This Row],[INVERSIONES FCI]],+Tabla5[[#This Row],[INVERSIONES FCI]]-BA265,Tabla5[[#This Row],[INVERSIONES FCI]])</f>
        <v>59483364536.989861</v>
      </c>
      <c r="BB266" s="5">
        <f>IF($B265&lt;=Tabla5[[#This Row],[INVERSIONES FCI]],+Tabla5[[#This Row],[INVERSIONES FCI]]-BB265,Tabla5[[#This Row],[INVERSIONES FCI]])</f>
        <v>59483364536.989861</v>
      </c>
      <c r="BC266" s="5">
        <f>IF($B265&lt;=Tabla5[[#This Row],[INVERSIONES FCI]],+Tabla5[[#This Row],[INVERSIONES FCI]]-BC265,Tabla5[[#This Row],[INVERSIONES FCI]])</f>
        <v>59483364536.989861</v>
      </c>
      <c r="BD266" s="5">
        <f>IF($B265&lt;=Tabla5[[#This Row],[INVERSIONES FCI]],+Tabla5[[#This Row],[INVERSIONES FCI]]-BD265,Tabla5[[#This Row],[INVERSIONES FCI]])</f>
        <v>59483364536.989861</v>
      </c>
      <c r="BE266" s="5">
        <f>IF($B265&lt;=Tabla5[[#This Row],[INVERSIONES FCI]],+Tabla5[[#This Row],[INVERSIONES FCI]]-BE265,Tabla5[[#This Row],[INVERSIONES FCI]])</f>
        <v>59483364536.989861</v>
      </c>
      <c r="BF266" s="5">
        <f>IF($B265&lt;=Tabla5[[#This Row],[INVERSIONES FCI]],+Tabla5[[#This Row],[INVERSIONES FCI]]-BF265,Tabla5[[#This Row],[INVERSIONES FCI]])</f>
        <v>59483364536.989861</v>
      </c>
      <c r="BG266" s="5">
        <f>IF($B265&lt;=Tabla5[[#This Row],[INVERSIONES FCI]],+Tabla5[[#This Row],[INVERSIONES FCI]]-BG265,Tabla5[[#This Row],[INVERSIONES FCI]])</f>
        <v>59483364536.989861</v>
      </c>
      <c r="BH266" s="5">
        <f>IF($B265&lt;=Tabla5[[#This Row],[INVERSIONES FCI]],+Tabla5[[#This Row],[INVERSIONES FCI]]-BH265,Tabla5[[#This Row],[INVERSIONES FCI]])</f>
        <v>59483364536.989861</v>
      </c>
      <c r="BI266" s="5">
        <f>IF($B265&lt;=Tabla5[[#This Row],[INVERSIONES FCI]],+Tabla5[[#This Row],[INVERSIONES FCI]]-BI265,Tabla5[[#This Row],[INVERSIONES FCI]])</f>
        <v>59483364536.989861</v>
      </c>
      <c r="BJ266" s="5">
        <f>IF($B265&lt;=Tabla5[[#This Row],[INVERSIONES FCI]],+Tabla5[[#This Row],[INVERSIONES FCI]]-BJ265,Tabla5[[#This Row],[INVERSIONES FCI]])</f>
        <v>59483364536.989861</v>
      </c>
      <c r="BK266" s="5">
        <f>IF($B265&lt;=Tabla5[[#This Row],[INVERSIONES FCI]],+Tabla5[[#This Row],[INVERSIONES FCI]]-BK265,Tabla5[[#This Row],[INVERSIONES FCI]])</f>
        <v>59483364536.989861</v>
      </c>
      <c r="BL266" s="5">
        <f>IF($B265&lt;=Tabla5[[#This Row],[INVERSIONES FCI]],+Tabla5[[#This Row],[INVERSIONES FCI]]-BL265,Tabla5[[#This Row],[INVERSIONES FCI]])</f>
        <v>59483364536.989861</v>
      </c>
      <c r="BM266" s="5">
        <f>IF($B265&lt;=Tabla5[[#This Row],[INVERSIONES FCI]],+Tabla5[[#This Row],[INVERSIONES FCI]]-BM265,Tabla5[[#This Row],[INVERSIONES FCI]])</f>
        <v>59483364536.989861</v>
      </c>
      <c r="BN266" s="5">
        <f>IF($B265&lt;=Tabla5[[#This Row],[INVERSIONES FCI]],+Tabla5[[#This Row],[INVERSIONES FCI]]-BN265,Tabla5[[#This Row],[INVERSIONES FCI]])</f>
        <v>59483364536.989861</v>
      </c>
      <c r="BO266" s="5">
        <f>IF($B265&lt;=Tabla5[[#This Row],[INVERSIONES FCI]],+Tabla5[[#This Row],[INVERSIONES FCI]]-BO265,Tabla5[[#This Row],[INVERSIONES FCI]])</f>
        <v>59483364536.989861</v>
      </c>
      <c r="BP266" s="5">
        <f>IF($B265&lt;=Tabla5[[#This Row],[INVERSIONES FCI]],+Tabla5[[#This Row],[INVERSIONES FCI]]-BP265,Tabla5[[#This Row],[INVERSIONES FCI]])</f>
        <v>59483364536.989861</v>
      </c>
      <c r="BQ266" s="5">
        <f>IF($B265&lt;=Tabla5[[#This Row],[INVERSIONES FCI]],+Tabla5[[#This Row],[INVERSIONES FCI]]-BQ265,Tabla5[[#This Row],[INVERSIONES FCI]])</f>
        <v>59483364536.989861</v>
      </c>
      <c r="BR266" s="5">
        <f>IF($B265&lt;=Tabla5[[#This Row],[INVERSIONES FCI]],+Tabla5[[#This Row],[INVERSIONES FCI]]-BR265,Tabla5[[#This Row],[INVERSIONES FCI]])</f>
        <v>59483364536.989861</v>
      </c>
      <c r="BS266" s="5">
        <f>IF($B265&lt;=Tabla5[[#This Row],[INVERSIONES FCI]],+Tabla5[[#This Row],[INVERSIONES FCI]]-BS265,Tabla5[[#This Row],[INVERSIONES FCI]])</f>
        <v>59483364536.989861</v>
      </c>
      <c r="BT266" s="5">
        <f>IF($B265&lt;=Tabla5[[#This Row],[INVERSIONES FCI]],+Tabla5[[#This Row],[INVERSIONES FCI]]-BT265,Tabla5[[#This Row],[INVERSIONES FCI]])</f>
        <v>59483364536.989861</v>
      </c>
      <c r="BU266" s="5">
        <f>IF($B265&lt;=Tabla5[[#This Row],[INVERSIONES FCI]],+Tabla5[[#This Row],[INVERSIONES FCI]]-BU265,Tabla5[[#This Row],[INVERSIONES FCI]])</f>
        <v>59483364536.989861</v>
      </c>
      <c r="BV266" s="5">
        <f>IF($B265&lt;=Tabla5[[#This Row],[INVERSIONES FCI]],+Tabla5[[#This Row],[INVERSIONES FCI]]-BV265,Tabla5[[#This Row],[INVERSIONES FCI]])</f>
        <v>59483364536.989861</v>
      </c>
      <c r="BW266" s="5">
        <f>IF($B265&lt;=Tabla5[[#This Row],[INVERSIONES FCI]],+Tabla5[[#This Row],[INVERSIONES FCI]]-BW265,Tabla5[[#This Row],[INVERSIONES FCI]])</f>
        <v>59483364536.989861</v>
      </c>
      <c r="BX266" s="5">
        <f>IF($B265&lt;=Tabla5[[#This Row],[INVERSIONES FCI]],+Tabla5[[#This Row],[INVERSIONES FCI]]-BX265,Tabla5[[#This Row],[INVERSIONES FCI]])</f>
        <v>59483364536.989861</v>
      </c>
      <c r="BY266" s="5">
        <f>IF($B265&lt;=Tabla5[[#This Row],[INVERSIONES FCI]],+Tabla5[[#This Row],[INVERSIONES FCI]]-BY265,Tabla5[[#This Row],[INVERSIONES FCI]])</f>
        <v>59483364536.989861</v>
      </c>
      <c r="BZ266" s="5">
        <f>IF($B265&lt;=Tabla5[[#This Row],[INVERSIONES FCI]],+Tabla5[[#This Row],[INVERSIONES FCI]]-BZ265,Tabla5[[#This Row],[INVERSIONES FCI]])</f>
        <v>59483364536.989861</v>
      </c>
      <c r="CA266" s="5">
        <f>IF($B265&lt;=Tabla5[[#This Row],[INVERSIONES FCI]],+Tabla5[[#This Row],[INVERSIONES FCI]]-CA265,Tabla5[[#This Row],[INVERSIONES FCI]])</f>
        <v>59483364536.989861</v>
      </c>
      <c r="CB266" s="5">
        <f>IF($B265&lt;=Tabla5[[#This Row],[INVERSIONES FCI]],+Tabla5[[#This Row],[INVERSIONES FCI]]-CB265,Tabla5[[#This Row],[INVERSIONES FCI]])</f>
        <v>59483364536.989861</v>
      </c>
      <c r="CC266" s="5">
        <f>IF($B265&lt;=Tabla5[[#This Row],[INVERSIONES FCI]],+Tabla5[[#This Row],[INVERSIONES FCI]]-CC265,Tabla5[[#This Row],[INVERSIONES FCI]])</f>
        <v>59483364536.989861</v>
      </c>
      <c r="CD266" s="5">
        <f>IF($B265&lt;=Tabla5[[#This Row],[INVERSIONES FCI]],+Tabla5[[#This Row],[INVERSIONES FCI]]-CD265,Tabla5[[#This Row],[INVERSIONES FCI]])</f>
        <v>59483364536.989861</v>
      </c>
      <c r="CE266" s="5">
        <f>IF($B265&lt;=Tabla5[[#This Row],[INVERSIONES FCI]],+Tabla5[[#This Row],[INVERSIONES FCI]]-CE265,Tabla5[[#This Row],[INVERSIONES FCI]])</f>
        <v>59483364536.989861</v>
      </c>
      <c r="CF266" s="5">
        <f>IF($B265&lt;=Tabla5[[#This Row],[INVERSIONES FCI]],+Tabla5[[#This Row],[INVERSIONES FCI]]-CF265,Tabla5[[#This Row],[INVERSIONES FCI]])</f>
        <v>59483364536.989861</v>
      </c>
      <c r="CG266" s="5">
        <f>IF($B265&lt;=Tabla5[[#This Row],[INVERSIONES FCI]],+Tabla5[[#This Row],[INVERSIONES FCI]]-CG265,Tabla5[[#This Row],[INVERSIONES FCI]])</f>
        <v>59483364536.989861</v>
      </c>
      <c r="CH266" s="5">
        <f>IF($B265&lt;=Tabla5[[#This Row],[INVERSIONES FCI]],+Tabla5[[#This Row],[INVERSIONES FCI]]-CH265,Tabla5[[#This Row],[INVERSIONES FCI]])</f>
        <v>59483364536.989861</v>
      </c>
      <c r="CI266" s="5">
        <f>IF($B265&lt;=Tabla5[[#This Row],[INVERSIONES FCI]],+Tabla5[[#This Row],[INVERSIONES FCI]]-CI265,Tabla5[[#This Row],[INVERSIONES FCI]])</f>
        <v>59483364536.989861</v>
      </c>
      <c r="CJ266" s="5">
        <f>IF($B265&lt;=Tabla5[[#This Row],[INVERSIONES FCI]],+Tabla5[[#This Row],[INVERSIONES FCI]]-CJ265,Tabla5[[#This Row],[INVERSIONES FCI]])</f>
        <v>59483364536.989861</v>
      </c>
      <c r="CK266" s="5">
        <f>IF($B265&lt;=Tabla5[[#This Row],[INVERSIONES FCI]],+Tabla5[[#This Row],[INVERSIONES FCI]]-CK265,Tabla5[[#This Row],[INVERSIONES FCI]])</f>
        <v>59483364536.989861</v>
      </c>
      <c r="CL266" s="5">
        <f>IF($B265&lt;=Tabla5[[#This Row],[INVERSIONES FCI]],+Tabla5[[#This Row],[INVERSIONES FCI]]-CL265,Tabla5[[#This Row],[INVERSIONES FCI]])</f>
        <v>59483364536.989861</v>
      </c>
      <c r="CM266" s="5">
        <f>IF($B265&lt;=Tabla5[[#This Row],[INVERSIONES FCI]],+Tabla5[[#This Row],[INVERSIONES FCI]]-CM265,Tabla5[[#This Row],[INVERSIONES FCI]])</f>
        <v>59483364536.989861</v>
      </c>
      <c r="CN266" s="5">
        <f>IF($B265&lt;=Tabla5[[#This Row],[INVERSIONES FCI]],+Tabla5[[#This Row],[INVERSIONES FCI]]-CN265,Tabla5[[#This Row],[INVERSIONES FCI]])</f>
        <v>59483364536.989861</v>
      </c>
      <c r="CO266" s="5">
        <f>IF($B265&lt;=Tabla5[[#This Row],[INVERSIONES FCI]],+Tabla5[[#This Row],[INVERSIONES FCI]]-CO265,Tabla5[[#This Row],[INVERSIONES FCI]])</f>
        <v>59483364536.989861</v>
      </c>
      <c r="CP266" s="5">
        <f>IF($B265&lt;=Tabla5[[#This Row],[INVERSIONES FCI]],+Tabla5[[#This Row],[INVERSIONES FCI]]-CP265,Tabla5[[#This Row],[INVERSIONES FCI]])</f>
        <v>59483364536.989861</v>
      </c>
      <c r="CQ266" s="5">
        <f>IF($B265&lt;=Tabla5[[#This Row],[INVERSIONES FCI]],+Tabla5[[#This Row],[INVERSIONES FCI]]-CQ265,Tabla5[[#This Row],[INVERSIONES FCI]])</f>
        <v>59483364536.989861</v>
      </c>
      <c r="CR266" s="5">
        <f>IF($B265&lt;=Tabla5[[#This Row],[INVERSIONES FCI]],+Tabla5[[#This Row],[INVERSIONES FCI]]-CR265,Tabla5[[#This Row],[INVERSIONES FCI]])</f>
        <v>59483364536.989861</v>
      </c>
      <c r="CS266" s="5">
        <f>IF($B265&lt;=Tabla5[[#This Row],[INVERSIONES FCI]],+Tabla5[[#This Row],[INVERSIONES FCI]]-CS265,Tabla5[[#This Row],[INVERSIONES FCI]])</f>
        <v>59483364536.989861</v>
      </c>
      <c r="CT266" s="5">
        <f>IF($B265&lt;=Tabla5[[#This Row],[INVERSIONES FCI]],+Tabla5[[#This Row],[INVERSIONES FCI]]-CT265,Tabla5[[#This Row],[INVERSIONES FCI]])</f>
        <v>59483364536.989861</v>
      </c>
      <c r="CU266" s="5">
        <f>IF($B265&lt;=Tabla5[[#This Row],[INVERSIONES FCI]],+Tabla5[[#This Row],[INVERSIONES FCI]]-CU265,Tabla5[[#This Row],[INVERSIONES FCI]])</f>
        <v>59483364536.989861</v>
      </c>
      <c r="CV266" s="5">
        <f>IF($B265&lt;=Tabla5[[#This Row],[INVERSIONES FCI]],+Tabla5[[#This Row],[INVERSIONES FCI]]-CV265,Tabla5[[#This Row],[INVERSIONES FCI]])</f>
        <v>59483364536.989861</v>
      </c>
      <c r="CW266" s="5">
        <f>IF($B265&lt;=Tabla5[[#This Row],[INVERSIONES FCI]],+Tabla5[[#This Row],[INVERSIONES FCI]]-CW265,Tabla5[[#This Row],[INVERSIONES FCI]])</f>
        <v>59483364536.989861</v>
      </c>
      <c r="CX266" s="5">
        <f>IF($B265&lt;=Tabla5[[#This Row],[INVERSIONES FCI]],+Tabla5[[#This Row],[INVERSIONES FCI]]-CX265,Tabla5[[#This Row],[INVERSIONES FCI]])</f>
        <v>59483364536.989861</v>
      </c>
      <c r="CY266" s="5">
        <f>IF($B265&lt;=Tabla5[[#This Row],[INVERSIONES FCI]],+Tabla5[[#This Row],[INVERSIONES FCI]]-CY265,Tabla5[[#This Row],[INVERSIONES FCI]])</f>
        <v>59483364536.989861</v>
      </c>
      <c r="CZ266" s="5">
        <f>IF($B265&lt;=Tabla5[[#This Row],[INVERSIONES FCI]],+Tabla5[[#This Row],[INVERSIONES FCI]]-CZ265,Tabla5[[#This Row],[INVERSIONES FCI]])</f>
        <v>59483364536.989861</v>
      </c>
      <c r="DA266" s="5">
        <f>IF($B265&lt;=Tabla5[[#This Row],[INVERSIONES FCI]],+Tabla5[[#This Row],[INVERSIONES FCI]]-DA265,Tabla5[[#This Row],[INVERSIONES FCI]])</f>
        <v>59483364536.989861</v>
      </c>
      <c r="DB266" s="5">
        <f>IF($B265&lt;=Tabla5[[#This Row],[INVERSIONES FCI]],+Tabla5[[#This Row],[INVERSIONES FCI]]-DB265,Tabla5[[#This Row],[INVERSIONES FCI]])</f>
        <v>59483364536.989861</v>
      </c>
      <c r="DC266" s="5">
        <f>IF($B265&lt;=Tabla5[[#This Row],[INVERSIONES FCI]],+Tabla5[[#This Row],[INVERSIONES FCI]]-DC265,Tabla5[[#This Row],[INVERSIONES FCI]])</f>
        <v>59483364536.989861</v>
      </c>
      <c r="DD266" s="5">
        <f>IF($B265&lt;=Tabla5[[#This Row],[INVERSIONES FCI]],+Tabla5[[#This Row],[INVERSIONES FCI]]-DD265,Tabla5[[#This Row],[INVERSIONES FCI]])</f>
        <v>59483364536.989861</v>
      </c>
      <c r="DE266" s="5">
        <f>IF($B265&lt;=Tabla5[[#This Row],[INVERSIONES FCI]],+Tabla5[[#This Row],[INVERSIONES FCI]]-DE265,Tabla5[[#This Row],[INVERSIONES FCI]])</f>
        <v>59483364536.989861</v>
      </c>
      <c r="DF266" s="5">
        <f>IF($B265&lt;=Tabla5[[#This Row],[INVERSIONES FCI]],+Tabla5[[#This Row],[INVERSIONES FCI]]-DF265,Tabla5[[#This Row],[INVERSIONES FCI]])</f>
        <v>59483364536.989861</v>
      </c>
      <c r="DG266" s="5">
        <f>IF($B265&lt;=Tabla5[[#This Row],[INVERSIONES FCI]],+Tabla5[[#This Row],[INVERSIONES FCI]]-DG265,Tabla5[[#This Row],[INVERSIONES FCI]])</f>
        <v>59483364536.989861</v>
      </c>
      <c r="DH266" s="5">
        <f>IF($B265&lt;=Tabla5[[#This Row],[INVERSIONES FCI]],+Tabla5[[#This Row],[INVERSIONES FCI]]-DH265,Tabla5[[#This Row],[INVERSIONES FCI]])</f>
        <v>59483364536.989861</v>
      </c>
      <c r="DI266" s="5">
        <f>IF($B265&lt;=Tabla5[[#This Row],[INVERSIONES FCI]],+Tabla5[[#This Row],[INVERSIONES FCI]]-DI265,Tabla5[[#This Row],[INVERSIONES FCI]])</f>
        <v>59483364536.989861</v>
      </c>
      <c r="DJ266" s="5">
        <f>IF($B265&lt;=Tabla5[[#This Row],[INVERSIONES FCI]],+Tabla5[[#This Row],[INVERSIONES FCI]]-DJ265,Tabla5[[#This Row],[INVERSIONES FCI]])</f>
        <v>59483364536.989861</v>
      </c>
      <c r="DK266" s="5">
        <f>IF($B265&lt;=Tabla5[[#This Row],[INVERSIONES FCI]],+Tabla5[[#This Row],[INVERSIONES FCI]]-DK265,Tabla5[[#This Row],[INVERSIONES FCI]])</f>
        <v>59483364536.989861</v>
      </c>
      <c r="DL266" s="5"/>
      <c r="DM266" s="5"/>
      <c r="DN266" s="5"/>
      <c r="DO266" s="5"/>
      <c r="DP266" s="5"/>
      <c r="DQ266" s="5"/>
    </row>
    <row r="267" spans="1:121" ht="14.4">
      <c r="A267" s="12" t="s">
        <v>266</v>
      </c>
      <c r="B267" s="5">
        <f>HLOOKUP($A267,ESCENARIO[#All],7,FALSE)</f>
        <v>68848315917.240768</v>
      </c>
      <c r="C267" s="5">
        <f>IF($B266&lt;=Tabla5[[#This Row],[INVERSIONES FCI]],+Tabla5[[#This Row],[INVERSIONES FCI]]-C266,Tabla5[[#This Row],[INVERSIONES FCI]])</f>
        <v>9364951380.2509079</v>
      </c>
      <c r="D267" s="5">
        <f>IF($B266&lt;=Tabla5[[#This Row],[INVERSIONES FCI]],+Tabla5[[#This Row],[INVERSIONES FCI]]-D266,Tabla5[[#This Row],[INVERSIONES FCI]])</f>
        <v>9364951380.2509079</v>
      </c>
      <c r="E267" s="5">
        <f>IF($B266&lt;=Tabla5[[#This Row],[INVERSIONES FCI]],+Tabla5[[#This Row],[INVERSIONES FCI]]-E266,Tabla5[[#This Row],[INVERSIONES FCI]])</f>
        <v>9364951380.2509079</v>
      </c>
      <c r="F267" s="5">
        <f>IF($B266&lt;=Tabla5[[#This Row],[INVERSIONES FCI]],+Tabla5[[#This Row],[INVERSIONES FCI]]-F266,Tabla5[[#This Row],[INVERSIONES FCI]])</f>
        <v>9364951380.2509079</v>
      </c>
      <c r="G267" s="5">
        <f>IF($B266&lt;=Tabla5[[#This Row],[INVERSIONES FCI]],+Tabla5[[#This Row],[INVERSIONES FCI]]-G266,Tabla5[[#This Row],[INVERSIONES FCI]])</f>
        <v>9364951380.2509079</v>
      </c>
      <c r="H267" s="5">
        <f>IF($B266&lt;=Tabla5[[#This Row],[INVERSIONES FCI]],+Tabla5[[#This Row],[INVERSIONES FCI]]-H266,Tabla5[[#This Row],[INVERSIONES FCI]])</f>
        <v>9364951380.2509079</v>
      </c>
      <c r="I267" s="5">
        <f>IF($B266&lt;=Tabla5[[#This Row],[INVERSIONES FCI]],+Tabla5[[#This Row],[INVERSIONES FCI]]-I266,Tabla5[[#This Row],[INVERSIONES FCI]])</f>
        <v>9364951380.2509079</v>
      </c>
      <c r="J267" s="5">
        <f>IF($B266&lt;=Tabla5[[#This Row],[INVERSIONES FCI]],+Tabla5[[#This Row],[INVERSIONES FCI]]-J266,Tabla5[[#This Row],[INVERSIONES FCI]])</f>
        <v>9364951380.2509079</v>
      </c>
      <c r="K267" s="5">
        <f>IF($B266&lt;=Tabla5[[#This Row],[INVERSIONES FCI]],+Tabla5[[#This Row],[INVERSIONES FCI]]-K266,Tabla5[[#This Row],[INVERSIONES FCI]])</f>
        <v>9364951380.2509079</v>
      </c>
      <c r="L267" s="5">
        <f>IF($B266&lt;=Tabla5[[#This Row],[INVERSIONES FCI]],+Tabla5[[#This Row],[INVERSIONES FCI]]-L266,Tabla5[[#This Row],[INVERSIONES FCI]])</f>
        <v>9364951380.2509079</v>
      </c>
      <c r="M267" s="5">
        <f>IF($B266&lt;=Tabla5[[#This Row],[INVERSIONES FCI]],+Tabla5[[#This Row],[INVERSIONES FCI]]-M266,Tabla5[[#This Row],[INVERSIONES FCI]])</f>
        <v>9364951380.2509079</v>
      </c>
      <c r="N267" s="5">
        <f>IF($B266&lt;=Tabla5[[#This Row],[INVERSIONES FCI]],+Tabla5[[#This Row],[INVERSIONES FCI]]-N266,Tabla5[[#This Row],[INVERSIONES FCI]])</f>
        <v>9364951380.2509079</v>
      </c>
      <c r="O267" s="5">
        <f>IF($B266&lt;=Tabla5[[#This Row],[INVERSIONES FCI]],+Tabla5[[#This Row],[INVERSIONES FCI]]-O266,Tabla5[[#This Row],[INVERSIONES FCI]])</f>
        <v>9364951380.2509079</v>
      </c>
      <c r="P267" s="5">
        <f>IF($B266&lt;=Tabla5[[#This Row],[INVERSIONES FCI]],+Tabla5[[#This Row],[INVERSIONES FCI]]-P266,Tabla5[[#This Row],[INVERSIONES FCI]])</f>
        <v>9364951380.2509079</v>
      </c>
      <c r="Q267" s="5">
        <f>IF($B266&lt;=Tabla5[[#This Row],[INVERSIONES FCI]],+Tabla5[[#This Row],[INVERSIONES FCI]]-Q266,Tabla5[[#This Row],[INVERSIONES FCI]])</f>
        <v>9364951380.2509079</v>
      </c>
      <c r="R267" s="5">
        <f>IF($B266&lt;=Tabla5[[#This Row],[INVERSIONES FCI]],+Tabla5[[#This Row],[INVERSIONES FCI]]-R266,Tabla5[[#This Row],[INVERSIONES FCI]])</f>
        <v>9364951380.2509079</v>
      </c>
      <c r="S267" s="5">
        <f>IF($B266&lt;=Tabla5[[#This Row],[INVERSIONES FCI]],+Tabla5[[#This Row],[INVERSIONES FCI]]-S266,Tabla5[[#This Row],[INVERSIONES FCI]])</f>
        <v>9364951380.2509079</v>
      </c>
      <c r="T267" s="5">
        <f>IF($B266&lt;=Tabla5[[#This Row],[INVERSIONES FCI]],+Tabla5[[#This Row],[INVERSIONES FCI]]-T266,Tabla5[[#This Row],[INVERSIONES FCI]])</f>
        <v>9364951380.2509079</v>
      </c>
      <c r="U267" s="5">
        <f>IF($B266&lt;=Tabla5[[#This Row],[INVERSIONES FCI]],+Tabla5[[#This Row],[INVERSIONES FCI]]-U266,Tabla5[[#This Row],[INVERSIONES FCI]])</f>
        <v>9364951380.2509079</v>
      </c>
      <c r="V267" s="5">
        <f>IF($B266&lt;=Tabla5[[#This Row],[INVERSIONES FCI]],+Tabla5[[#This Row],[INVERSIONES FCI]]-V266,Tabla5[[#This Row],[INVERSIONES FCI]])</f>
        <v>9364951380.2509079</v>
      </c>
      <c r="W267" s="5">
        <f>IF($B266&lt;=Tabla5[[#This Row],[INVERSIONES FCI]],+Tabla5[[#This Row],[INVERSIONES FCI]]-W266,Tabla5[[#This Row],[INVERSIONES FCI]])</f>
        <v>9364951380.2509079</v>
      </c>
      <c r="X267" s="5">
        <f>IF($B266&lt;=Tabla5[[#This Row],[INVERSIONES FCI]],+Tabla5[[#This Row],[INVERSIONES FCI]]-X266,Tabla5[[#This Row],[INVERSIONES FCI]])</f>
        <v>9364951380.2509079</v>
      </c>
      <c r="Y267" s="5">
        <f>IF($B266&lt;=Tabla5[[#This Row],[INVERSIONES FCI]],+Tabla5[[#This Row],[INVERSIONES FCI]]-Y266,Tabla5[[#This Row],[INVERSIONES FCI]])</f>
        <v>9364951380.2509079</v>
      </c>
      <c r="Z267" s="5">
        <f>IF($B266&lt;=Tabla5[[#This Row],[INVERSIONES FCI]],+Tabla5[[#This Row],[INVERSIONES FCI]]-Z266,Tabla5[[#This Row],[INVERSIONES FCI]])</f>
        <v>9364951380.2509079</v>
      </c>
      <c r="AA267" s="5">
        <f>IF($B266&lt;=Tabla5[[#This Row],[INVERSIONES FCI]],+Tabla5[[#This Row],[INVERSIONES FCI]]-AA266,Tabla5[[#This Row],[INVERSIONES FCI]])</f>
        <v>9364951380.2509079</v>
      </c>
      <c r="AB267" s="5">
        <f>IF($B266&lt;=Tabla5[[#This Row],[INVERSIONES FCI]],+Tabla5[[#This Row],[INVERSIONES FCI]]-AB266,Tabla5[[#This Row],[INVERSIONES FCI]])</f>
        <v>9364951380.2509079</v>
      </c>
      <c r="AC267" s="5">
        <f>IF($B266&lt;=Tabla5[[#This Row],[INVERSIONES FCI]],+Tabla5[[#This Row],[INVERSIONES FCI]]-AC266,Tabla5[[#This Row],[INVERSIONES FCI]])</f>
        <v>9364951380.2509079</v>
      </c>
      <c r="AD267" s="5">
        <f>IF($B266&lt;=Tabla5[[#This Row],[INVERSIONES FCI]],+Tabla5[[#This Row],[INVERSIONES FCI]]-AD266,Tabla5[[#This Row],[INVERSIONES FCI]])</f>
        <v>9364951380.2509079</v>
      </c>
      <c r="AE267" s="5">
        <f>IF($B266&lt;=Tabla5[[#This Row],[INVERSIONES FCI]],+Tabla5[[#This Row],[INVERSIONES FCI]]-AE266,Tabla5[[#This Row],[INVERSIONES FCI]])</f>
        <v>9364951380.2509079</v>
      </c>
      <c r="AF267" s="5">
        <f>IF($B266&lt;=Tabla5[[#This Row],[INVERSIONES FCI]],+Tabla5[[#This Row],[INVERSIONES FCI]]-AF266,Tabla5[[#This Row],[INVERSIONES FCI]])</f>
        <v>9364951380.2509079</v>
      </c>
      <c r="AG267" s="5">
        <f>IF($B266&lt;=Tabla5[[#This Row],[INVERSIONES FCI]],+Tabla5[[#This Row],[INVERSIONES FCI]]-AG266,Tabla5[[#This Row],[INVERSIONES FCI]])</f>
        <v>9364951380.2509079</v>
      </c>
      <c r="AH267" s="5">
        <f>IF($B266&lt;=Tabla5[[#This Row],[INVERSIONES FCI]],+Tabla5[[#This Row],[INVERSIONES FCI]]-AH266,Tabla5[[#This Row],[INVERSIONES FCI]])</f>
        <v>9364951380.2509079</v>
      </c>
      <c r="AI267" s="5">
        <f>IF($B266&lt;=Tabla5[[#This Row],[INVERSIONES FCI]],+Tabla5[[#This Row],[INVERSIONES FCI]]-AI266,Tabla5[[#This Row],[INVERSIONES FCI]])</f>
        <v>9364951380.2509079</v>
      </c>
      <c r="AJ267" s="5">
        <f>IF($B266&lt;=Tabla5[[#This Row],[INVERSIONES FCI]],+Tabla5[[#This Row],[INVERSIONES FCI]]-AJ266,Tabla5[[#This Row],[INVERSIONES FCI]])</f>
        <v>9364951380.2509079</v>
      </c>
      <c r="AK267" s="5">
        <f>IF($B266&lt;=Tabla5[[#This Row],[INVERSIONES FCI]],+Tabla5[[#This Row],[INVERSIONES FCI]]-AK266,Tabla5[[#This Row],[INVERSIONES FCI]])</f>
        <v>9364951380.2509079</v>
      </c>
      <c r="AL267" s="5">
        <f>IF($B266&lt;=Tabla5[[#This Row],[INVERSIONES FCI]],+Tabla5[[#This Row],[INVERSIONES FCI]]-AL266,Tabla5[[#This Row],[INVERSIONES FCI]])</f>
        <v>9364951380.2509079</v>
      </c>
      <c r="AM267" s="5">
        <f>IF($B266&lt;=Tabla5[[#This Row],[INVERSIONES FCI]],+Tabla5[[#This Row],[INVERSIONES FCI]]-AM266,Tabla5[[#This Row],[INVERSIONES FCI]])</f>
        <v>9364951380.2509079</v>
      </c>
      <c r="AN267" s="5">
        <f>IF($B266&lt;=Tabla5[[#This Row],[INVERSIONES FCI]],+Tabla5[[#This Row],[INVERSIONES FCI]]-AN266,Tabla5[[#This Row],[INVERSIONES FCI]])</f>
        <v>9364951380.2509079</v>
      </c>
      <c r="AO267" s="5">
        <f>IF($B266&lt;=Tabla5[[#This Row],[INVERSIONES FCI]],+Tabla5[[#This Row],[INVERSIONES FCI]]-AO266,Tabla5[[#This Row],[INVERSIONES FCI]])</f>
        <v>9364951380.2509079</v>
      </c>
      <c r="AP267" s="5">
        <f>IF($B266&lt;=Tabla5[[#This Row],[INVERSIONES FCI]],+Tabla5[[#This Row],[INVERSIONES FCI]]-AP266,Tabla5[[#This Row],[INVERSIONES FCI]])</f>
        <v>9364951380.2509079</v>
      </c>
      <c r="AQ267" s="5">
        <f>IF($B266&lt;=Tabla5[[#This Row],[INVERSIONES FCI]],+Tabla5[[#This Row],[INVERSIONES FCI]]-AQ266,Tabla5[[#This Row],[INVERSIONES FCI]])</f>
        <v>9364951380.2509079</v>
      </c>
      <c r="AR267" s="5">
        <f>IF($B266&lt;=Tabla5[[#This Row],[INVERSIONES FCI]],+Tabla5[[#This Row],[INVERSIONES FCI]]-AR266,Tabla5[[#This Row],[INVERSIONES FCI]])</f>
        <v>9364951380.2509079</v>
      </c>
      <c r="AS267" s="5">
        <f>IF($B266&lt;=Tabla5[[#This Row],[INVERSIONES FCI]],+Tabla5[[#This Row],[INVERSIONES FCI]]-AS266,Tabla5[[#This Row],[INVERSIONES FCI]])</f>
        <v>9364951380.2509079</v>
      </c>
      <c r="AT267" s="5">
        <f>IF($B266&lt;=Tabla5[[#This Row],[INVERSIONES FCI]],+Tabla5[[#This Row],[INVERSIONES FCI]]-AT266,Tabla5[[#This Row],[INVERSIONES FCI]])</f>
        <v>9364951380.2509079</v>
      </c>
      <c r="AU267" s="5">
        <f>IF($B266&lt;=Tabla5[[#This Row],[INVERSIONES FCI]],+Tabla5[[#This Row],[INVERSIONES FCI]]-AU266,Tabla5[[#This Row],[INVERSIONES FCI]])</f>
        <v>9364951380.2509079</v>
      </c>
      <c r="AV267" s="5">
        <f>IF($B266&lt;=Tabla5[[#This Row],[INVERSIONES FCI]],+Tabla5[[#This Row],[INVERSIONES FCI]]-AV266,Tabla5[[#This Row],[INVERSIONES FCI]])</f>
        <v>9364951380.2509079</v>
      </c>
      <c r="AW267" s="5">
        <f>IF($B266&lt;=Tabla5[[#This Row],[INVERSIONES FCI]],+Tabla5[[#This Row],[INVERSIONES FCI]]-AW266,Tabla5[[#This Row],[INVERSIONES FCI]])</f>
        <v>9364951380.2509079</v>
      </c>
      <c r="AX267" s="5">
        <f>IF($B266&lt;=Tabla5[[#This Row],[INVERSIONES FCI]],+Tabla5[[#This Row],[INVERSIONES FCI]]-AX266,Tabla5[[#This Row],[INVERSIONES FCI]])</f>
        <v>9364951380.2509079</v>
      </c>
      <c r="AY267" s="5">
        <f>IF($B266&lt;=Tabla5[[#This Row],[INVERSIONES FCI]],+Tabla5[[#This Row],[INVERSIONES FCI]]-AY266,Tabla5[[#This Row],[INVERSIONES FCI]])</f>
        <v>9364951380.2509079</v>
      </c>
      <c r="AZ267" s="5">
        <f>IF($B266&lt;=Tabla5[[#This Row],[INVERSIONES FCI]],+Tabla5[[#This Row],[INVERSIONES FCI]]-AZ266,Tabla5[[#This Row],[INVERSIONES FCI]])</f>
        <v>9364951380.2509079</v>
      </c>
      <c r="BA267" s="5">
        <f>IF($B266&lt;=Tabla5[[#This Row],[INVERSIONES FCI]],+Tabla5[[#This Row],[INVERSIONES FCI]]-BA266,Tabla5[[#This Row],[INVERSIONES FCI]])</f>
        <v>9364951380.2509079</v>
      </c>
      <c r="BB267" s="5">
        <f>IF($B266&lt;=Tabla5[[#This Row],[INVERSIONES FCI]],+Tabla5[[#This Row],[INVERSIONES FCI]]-BB266,Tabla5[[#This Row],[INVERSIONES FCI]])</f>
        <v>9364951380.2509079</v>
      </c>
      <c r="BC267" s="5">
        <f>IF($B266&lt;=Tabla5[[#This Row],[INVERSIONES FCI]],+Tabla5[[#This Row],[INVERSIONES FCI]]-BC266,Tabla5[[#This Row],[INVERSIONES FCI]])</f>
        <v>9364951380.2509079</v>
      </c>
      <c r="BD267" s="5">
        <f>IF($B266&lt;=Tabla5[[#This Row],[INVERSIONES FCI]],+Tabla5[[#This Row],[INVERSIONES FCI]]-BD266,Tabla5[[#This Row],[INVERSIONES FCI]])</f>
        <v>9364951380.2509079</v>
      </c>
      <c r="BE267" s="5">
        <f>IF($B266&lt;=Tabla5[[#This Row],[INVERSIONES FCI]],+Tabla5[[#This Row],[INVERSIONES FCI]]-BE266,Tabla5[[#This Row],[INVERSIONES FCI]])</f>
        <v>9364951380.2509079</v>
      </c>
      <c r="BF267" s="5">
        <f>IF($B266&lt;=Tabla5[[#This Row],[INVERSIONES FCI]],+Tabla5[[#This Row],[INVERSIONES FCI]]-BF266,Tabla5[[#This Row],[INVERSIONES FCI]])</f>
        <v>9364951380.2509079</v>
      </c>
      <c r="BG267" s="5">
        <f>IF($B266&lt;=Tabla5[[#This Row],[INVERSIONES FCI]],+Tabla5[[#This Row],[INVERSIONES FCI]]-BG266,Tabla5[[#This Row],[INVERSIONES FCI]])</f>
        <v>9364951380.2509079</v>
      </c>
      <c r="BH267" s="5">
        <f>IF($B266&lt;=Tabla5[[#This Row],[INVERSIONES FCI]],+Tabla5[[#This Row],[INVERSIONES FCI]]-BH266,Tabla5[[#This Row],[INVERSIONES FCI]])</f>
        <v>9364951380.2509079</v>
      </c>
      <c r="BI267" s="5">
        <f>IF($B266&lt;=Tabla5[[#This Row],[INVERSIONES FCI]],+Tabla5[[#This Row],[INVERSIONES FCI]]-BI266,Tabla5[[#This Row],[INVERSIONES FCI]])</f>
        <v>9364951380.2509079</v>
      </c>
      <c r="BJ267" s="5">
        <f>IF($B266&lt;=Tabla5[[#This Row],[INVERSIONES FCI]],+Tabla5[[#This Row],[INVERSIONES FCI]]-BJ266,Tabla5[[#This Row],[INVERSIONES FCI]])</f>
        <v>9364951380.2509079</v>
      </c>
      <c r="BK267" s="5">
        <f>IF($B266&lt;=Tabla5[[#This Row],[INVERSIONES FCI]],+Tabla5[[#This Row],[INVERSIONES FCI]]-BK266,Tabla5[[#This Row],[INVERSIONES FCI]])</f>
        <v>9364951380.2509079</v>
      </c>
      <c r="BL267" s="5">
        <f>IF($B266&lt;=Tabla5[[#This Row],[INVERSIONES FCI]],+Tabla5[[#This Row],[INVERSIONES FCI]]-BL266,Tabla5[[#This Row],[INVERSIONES FCI]])</f>
        <v>9364951380.2509079</v>
      </c>
      <c r="BM267" s="5">
        <f>IF($B266&lt;=Tabla5[[#This Row],[INVERSIONES FCI]],+Tabla5[[#This Row],[INVERSIONES FCI]]-BM266,Tabla5[[#This Row],[INVERSIONES FCI]])</f>
        <v>9364951380.2509079</v>
      </c>
      <c r="BN267" s="5">
        <f>IF($B266&lt;=Tabla5[[#This Row],[INVERSIONES FCI]],+Tabla5[[#This Row],[INVERSIONES FCI]]-BN266,Tabla5[[#This Row],[INVERSIONES FCI]])</f>
        <v>9364951380.2509079</v>
      </c>
      <c r="BO267" s="5">
        <f>IF($B266&lt;=Tabla5[[#This Row],[INVERSIONES FCI]],+Tabla5[[#This Row],[INVERSIONES FCI]]-BO266,Tabla5[[#This Row],[INVERSIONES FCI]])</f>
        <v>9364951380.2509079</v>
      </c>
      <c r="BP267" s="5">
        <f>IF($B266&lt;=Tabla5[[#This Row],[INVERSIONES FCI]],+Tabla5[[#This Row],[INVERSIONES FCI]]-BP266,Tabla5[[#This Row],[INVERSIONES FCI]])</f>
        <v>9364951380.2509079</v>
      </c>
      <c r="BQ267" s="5">
        <f>IF($B266&lt;=Tabla5[[#This Row],[INVERSIONES FCI]],+Tabla5[[#This Row],[INVERSIONES FCI]]-BQ266,Tabla5[[#This Row],[INVERSIONES FCI]])</f>
        <v>9364951380.2509079</v>
      </c>
      <c r="BR267" s="5">
        <f>IF($B266&lt;=Tabla5[[#This Row],[INVERSIONES FCI]],+Tabla5[[#This Row],[INVERSIONES FCI]]-BR266,Tabla5[[#This Row],[INVERSIONES FCI]])</f>
        <v>9364951380.2509079</v>
      </c>
      <c r="BS267" s="5">
        <f>IF($B266&lt;=Tabla5[[#This Row],[INVERSIONES FCI]],+Tabla5[[#This Row],[INVERSIONES FCI]]-BS266,Tabla5[[#This Row],[INVERSIONES FCI]])</f>
        <v>9364951380.2509079</v>
      </c>
      <c r="BT267" s="5">
        <f>IF($B266&lt;=Tabla5[[#This Row],[INVERSIONES FCI]],+Tabla5[[#This Row],[INVERSIONES FCI]]-BT266,Tabla5[[#This Row],[INVERSIONES FCI]])</f>
        <v>9364951380.2509079</v>
      </c>
      <c r="BU267" s="5">
        <f>IF($B266&lt;=Tabla5[[#This Row],[INVERSIONES FCI]],+Tabla5[[#This Row],[INVERSIONES FCI]]-BU266,Tabla5[[#This Row],[INVERSIONES FCI]])</f>
        <v>9364951380.2509079</v>
      </c>
      <c r="BV267" s="5">
        <f>IF($B266&lt;=Tabla5[[#This Row],[INVERSIONES FCI]],+Tabla5[[#This Row],[INVERSIONES FCI]]-BV266,Tabla5[[#This Row],[INVERSIONES FCI]])</f>
        <v>9364951380.2509079</v>
      </c>
      <c r="BW267" s="5">
        <f>IF($B266&lt;=Tabla5[[#This Row],[INVERSIONES FCI]],+Tabla5[[#This Row],[INVERSIONES FCI]]-BW266,Tabla5[[#This Row],[INVERSIONES FCI]])</f>
        <v>9364951380.2509079</v>
      </c>
      <c r="BX267" s="5">
        <f>IF($B266&lt;=Tabla5[[#This Row],[INVERSIONES FCI]],+Tabla5[[#This Row],[INVERSIONES FCI]]-BX266,Tabla5[[#This Row],[INVERSIONES FCI]])</f>
        <v>9364951380.2509079</v>
      </c>
      <c r="BY267" s="5">
        <f>IF($B266&lt;=Tabla5[[#This Row],[INVERSIONES FCI]],+Tabla5[[#This Row],[INVERSIONES FCI]]-BY266,Tabla5[[#This Row],[INVERSIONES FCI]])</f>
        <v>9364951380.2509079</v>
      </c>
      <c r="BZ267" s="5">
        <f>IF($B266&lt;=Tabla5[[#This Row],[INVERSIONES FCI]],+Tabla5[[#This Row],[INVERSIONES FCI]]-BZ266,Tabla5[[#This Row],[INVERSIONES FCI]])</f>
        <v>9364951380.2509079</v>
      </c>
      <c r="CA267" s="5">
        <f>IF($B266&lt;=Tabla5[[#This Row],[INVERSIONES FCI]],+Tabla5[[#This Row],[INVERSIONES FCI]]-CA266,Tabla5[[#This Row],[INVERSIONES FCI]])</f>
        <v>9364951380.2509079</v>
      </c>
      <c r="CB267" s="5">
        <f>IF($B266&lt;=Tabla5[[#This Row],[INVERSIONES FCI]],+Tabla5[[#This Row],[INVERSIONES FCI]]-CB266,Tabla5[[#This Row],[INVERSIONES FCI]])</f>
        <v>9364951380.2509079</v>
      </c>
      <c r="CC267" s="5">
        <f>IF($B266&lt;=Tabla5[[#This Row],[INVERSIONES FCI]],+Tabla5[[#This Row],[INVERSIONES FCI]]-CC266,Tabla5[[#This Row],[INVERSIONES FCI]])</f>
        <v>9364951380.2509079</v>
      </c>
      <c r="CD267" s="5">
        <f>IF($B266&lt;=Tabla5[[#This Row],[INVERSIONES FCI]],+Tabla5[[#This Row],[INVERSIONES FCI]]-CD266,Tabla5[[#This Row],[INVERSIONES FCI]])</f>
        <v>9364951380.2509079</v>
      </c>
      <c r="CE267" s="5">
        <f>IF($B266&lt;=Tabla5[[#This Row],[INVERSIONES FCI]],+Tabla5[[#This Row],[INVERSIONES FCI]]-CE266,Tabla5[[#This Row],[INVERSIONES FCI]])</f>
        <v>9364951380.2509079</v>
      </c>
      <c r="CF267" s="5">
        <f>IF($B266&lt;=Tabla5[[#This Row],[INVERSIONES FCI]],+Tabla5[[#This Row],[INVERSIONES FCI]]-CF266,Tabla5[[#This Row],[INVERSIONES FCI]])</f>
        <v>9364951380.2509079</v>
      </c>
      <c r="CG267" s="5">
        <f>IF($B266&lt;=Tabla5[[#This Row],[INVERSIONES FCI]],+Tabla5[[#This Row],[INVERSIONES FCI]]-CG266,Tabla5[[#This Row],[INVERSIONES FCI]])</f>
        <v>9364951380.2509079</v>
      </c>
      <c r="CH267" s="5">
        <f>IF($B266&lt;=Tabla5[[#This Row],[INVERSIONES FCI]],+Tabla5[[#This Row],[INVERSIONES FCI]]-CH266,Tabla5[[#This Row],[INVERSIONES FCI]])</f>
        <v>9364951380.2509079</v>
      </c>
      <c r="CI267" s="5">
        <f>IF($B266&lt;=Tabla5[[#This Row],[INVERSIONES FCI]],+Tabla5[[#This Row],[INVERSIONES FCI]]-CI266,Tabla5[[#This Row],[INVERSIONES FCI]])</f>
        <v>9364951380.2509079</v>
      </c>
      <c r="CJ267" s="5">
        <f>IF($B266&lt;=Tabla5[[#This Row],[INVERSIONES FCI]],+Tabla5[[#This Row],[INVERSIONES FCI]]-CJ266,Tabla5[[#This Row],[INVERSIONES FCI]])</f>
        <v>9364951380.2509079</v>
      </c>
      <c r="CK267" s="5">
        <f>IF($B266&lt;=Tabla5[[#This Row],[INVERSIONES FCI]],+Tabla5[[#This Row],[INVERSIONES FCI]]-CK266,Tabla5[[#This Row],[INVERSIONES FCI]])</f>
        <v>9364951380.2509079</v>
      </c>
      <c r="CL267" s="5">
        <f>IF($B266&lt;=Tabla5[[#This Row],[INVERSIONES FCI]],+Tabla5[[#This Row],[INVERSIONES FCI]]-CL266,Tabla5[[#This Row],[INVERSIONES FCI]])</f>
        <v>9364951380.2509079</v>
      </c>
      <c r="CM267" s="5">
        <f>IF($B266&lt;=Tabla5[[#This Row],[INVERSIONES FCI]],+Tabla5[[#This Row],[INVERSIONES FCI]]-CM266,Tabla5[[#This Row],[INVERSIONES FCI]])</f>
        <v>9364951380.2509079</v>
      </c>
      <c r="CN267" s="5">
        <f>IF($B266&lt;=Tabla5[[#This Row],[INVERSIONES FCI]],+Tabla5[[#This Row],[INVERSIONES FCI]]-CN266,Tabla5[[#This Row],[INVERSIONES FCI]])</f>
        <v>9364951380.2509079</v>
      </c>
      <c r="CO267" s="5">
        <f>IF($B266&lt;=Tabla5[[#This Row],[INVERSIONES FCI]],+Tabla5[[#This Row],[INVERSIONES FCI]]-CO266,Tabla5[[#This Row],[INVERSIONES FCI]])</f>
        <v>9364951380.2509079</v>
      </c>
      <c r="CP267" s="5">
        <f>IF($B266&lt;=Tabla5[[#This Row],[INVERSIONES FCI]],+Tabla5[[#This Row],[INVERSIONES FCI]]-CP266,Tabla5[[#This Row],[INVERSIONES FCI]])</f>
        <v>9364951380.2509079</v>
      </c>
      <c r="CQ267" s="5">
        <f>IF($B266&lt;=Tabla5[[#This Row],[INVERSIONES FCI]],+Tabla5[[#This Row],[INVERSIONES FCI]]-CQ266,Tabla5[[#This Row],[INVERSIONES FCI]])</f>
        <v>9364951380.2509079</v>
      </c>
      <c r="CR267" s="5">
        <f>IF($B266&lt;=Tabla5[[#This Row],[INVERSIONES FCI]],+Tabla5[[#This Row],[INVERSIONES FCI]]-CR266,Tabla5[[#This Row],[INVERSIONES FCI]])</f>
        <v>9364951380.2509079</v>
      </c>
      <c r="CS267" s="5">
        <f>IF($B266&lt;=Tabla5[[#This Row],[INVERSIONES FCI]],+Tabla5[[#This Row],[INVERSIONES FCI]]-CS266,Tabla5[[#This Row],[INVERSIONES FCI]])</f>
        <v>9364951380.2509079</v>
      </c>
      <c r="CT267" s="5">
        <f>IF($B266&lt;=Tabla5[[#This Row],[INVERSIONES FCI]],+Tabla5[[#This Row],[INVERSIONES FCI]]-CT266,Tabla5[[#This Row],[INVERSIONES FCI]])</f>
        <v>9364951380.2509079</v>
      </c>
      <c r="CU267" s="5">
        <f>IF($B266&lt;=Tabla5[[#This Row],[INVERSIONES FCI]],+Tabla5[[#This Row],[INVERSIONES FCI]]-CU266,Tabla5[[#This Row],[INVERSIONES FCI]])</f>
        <v>9364951380.2509079</v>
      </c>
      <c r="CV267" s="5">
        <f>IF($B266&lt;=Tabla5[[#This Row],[INVERSIONES FCI]],+Tabla5[[#This Row],[INVERSIONES FCI]]-CV266,Tabla5[[#This Row],[INVERSIONES FCI]])</f>
        <v>9364951380.2509079</v>
      </c>
      <c r="CW267" s="5">
        <f>IF($B266&lt;=Tabla5[[#This Row],[INVERSIONES FCI]],+Tabla5[[#This Row],[INVERSIONES FCI]]-CW266,Tabla5[[#This Row],[INVERSIONES FCI]])</f>
        <v>9364951380.2509079</v>
      </c>
      <c r="CX267" s="5">
        <f>IF($B266&lt;=Tabla5[[#This Row],[INVERSIONES FCI]],+Tabla5[[#This Row],[INVERSIONES FCI]]-CX266,Tabla5[[#This Row],[INVERSIONES FCI]])</f>
        <v>9364951380.2509079</v>
      </c>
      <c r="CY267" s="5">
        <f>IF($B266&lt;=Tabla5[[#This Row],[INVERSIONES FCI]],+Tabla5[[#This Row],[INVERSIONES FCI]]-CY266,Tabla5[[#This Row],[INVERSIONES FCI]])</f>
        <v>9364951380.2509079</v>
      </c>
      <c r="CZ267" s="5">
        <f>IF($B266&lt;=Tabla5[[#This Row],[INVERSIONES FCI]],+Tabla5[[#This Row],[INVERSIONES FCI]]-CZ266,Tabla5[[#This Row],[INVERSIONES FCI]])</f>
        <v>9364951380.2509079</v>
      </c>
      <c r="DA267" s="5">
        <f>IF($B266&lt;=Tabla5[[#This Row],[INVERSIONES FCI]],+Tabla5[[#This Row],[INVERSIONES FCI]]-DA266,Tabla5[[#This Row],[INVERSIONES FCI]])</f>
        <v>9364951380.2509079</v>
      </c>
      <c r="DB267" s="5">
        <f>IF($B266&lt;=Tabla5[[#This Row],[INVERSIONES FCI]],+Tabla5[[#This Row],[INVERSIONES FCI]]-DB266,Tabla5[[#This Row],[INVERSIONES FCI]])</f>
        <v>9364951380.2509079</v>
      </c>
      <c r="DC267" s="5">
        <f>IF($B266&lt;=Tabla5[[#This Row],[INVERSIONES FCI]],+Tabla5[[#This Row],[INVERSIONES FCI]]-DC266,Tabla5[[#This Row],[INVERSIONES FCI]])</f>
        <v>9364951380.2509079</v>
      </c>
      <c r="DD267" s="5">
        <f>IF($B266&lt;=Tabla5[[#This Row],[INVERSIONES FCI]],+Tabla5[[#This Row],[INVERSIONES FCI]]-DD266,Tabla5[[#This Row],[INVERSIONES FCI]])</f>
        <v>9364951380.2509079</v>
      </c>
      <c r="DE267" s="5">
        <f>IF($B266&lt;=Tabla5[[#This Row],[INVERSIONES FCI]],+Tabla5[[#This Row],[INVERSIONES FCI]]-DE266,Tabla5[[#This Row],[INVERSIONES FCI]])</f>
        <v>9364951380.2509079</v>
      </c>
      <c r="DF267" s="5">
        <f>IF($B266&lt;=Tabla5[[#This Row],[INVERSIONES FCI]],+Tabla5[[#This Row],[INVERSIONES FCI]]-DF266,Tabla5[[#This Row],[INVERSIONES FCI]])</f>
        <v>9364951380.2509079</v>
      </c>
      <c r="DG267" s="5">
        <f>IF($B266&lt;=Tabla5[[#This Row],[INVERSIONES FCI]],+Tabla5[[#This Row],[INVERSIONES FCI]]-DG266,Tabla5[[#This Row],[INVERSIONES FCI]])</f>
        <v>9364951380.2509079</v>
      </c>
      <c r="DH267" s="5">
        <f>IF($B266&lt;=Tabla5[[#This Row],[INVERSIONES FCI]],+Tabla5[[#This Row],[INVERSIONES FCI]]-DH266,Tabla5[[#This Row],[INVERSIONES FCI]])</f>
        <v>9364951380.2509079</v>
      </c>
      <c r="DI267" s="5">
        <f>IF($B266&lt;=Tabla5[[#This Row],[INVERSIONES FCI]],+Tabla5[[#This Row],[INVERSIONES FCI]]-DI266,Tabla5[[#This Row],[INVERSIONES FCI]])</f>
        <v>9364951380.2509079</v>
      </c>
      <c r="DJ267" s="5">
        <f>IF($B266&lt;=Tabla5[[#This Row],[INVERSIONES FCI]],+Tabla5[[#This Row],[INVERSIONES FCI]]-DJ266,Tabla5[[#This Row],[INVERSIONES FCI]])</f>
        <v>9364951380.2509079</v>
      </c>
      <c r="DK267" s="5">
        <f>IF($B266&lt;=Tabla5[[#This Row],[INVERSIONES FCI]],+Tabla5[[#This Row],[INVERSIONES FCI]]-DK266,Tabla5[[#This Row],[INVERSIONES FCI]])</f>
        <v>9364951380.2509079</v>
      </c>
      <c r="DL267" s="5"/>
      <c r="DM267" s="5"/>
      <c r="DN267" s="5"/>
      <c r="DO267" s="5"/>
      <c r="DP267" s="5"/>
      <c r="DQ267" s="5"/>
    </row>
    <row r="268" spans="1:121" ht="14.4">
      <c r="A268" s="12" t="s">
        <v>267</v>
      </c>
      <c r="B268" s="5">
        <f>HLOOKUP($A268,ESCENARIO[#All],7,FALSE)</f>
        <v>68848315917.240768</v>
      </c>
      <c r="C268" s="5">
        <f>IF($B267&lt;=Tabla5[[#This Row],[INVERSIONES FCI]],+Tabla5[[#This Row],[INVERSIONES FCI]]-C267,Tabla5[[#This Row],[INVERSIONES FCI]])</f>
        <v>59483364536.989861</v>
      </c>
      <c r="D268" s="5">
        <f>IF($B267&lt;=Tabla5[[#This Row],[INVERSIONES FCI]],+Tabla5[[#This Row],[INVERSIONES FCI]]-D267,Tabla5[[#This Row],[INVERSIONES FCI]])</f>
        <v>59483364536.989861</v>
      </c>
      <c r="E268" s="5">
        <f>IF($B267&lt;=Tabla5[[#This Row],[INVERSIONES FCI]],+Tabla5[[#This Row],[INVERSIONES FCI]]-E267,Tabla5[[#This Row],[INVERSIONES FCI]])</f>
        <v>59483364536.989861</v>
      </c>
      <c r="F268" s="5">
        <f>IF($B267&lt;=Tabla5[[#This Row],[INVERSIONES FCI]],+Tabla5[[#This Row],[INVERSIONES FCI]]-F267,Tabla5[[#This Row],[INVERSIONES FCI]])</f>
        <v>59483364536.989861</v>
      </c>
      <c r="G268" s="5">
        <f>IF($B267&lt;=Tabla5[[#This Row],[INVERSIONES FCI]],+Tabla5[[#This Row],[INVERSIONES FCI]]-G267,Tabla5[[#This Row],[INVERSIONES FCI]])</f>
        <v>59483364536.989861</v>
      </c>
      <c r="H268" s="5">
        <f>IF($B267&lt;=Tabla5[[#This Row],[INVERSIONES FCI]],+Tabla5[[#This Row],[INVERSIONES FCI]]-H267,Tabla5[[#This Row],[INVERSIONES FCI]])</f>
        <v>59483364536.989861</v>
      </c>
      <c r="I268" s="5">
        <f>IF($B267&lt;=Tabla5[[#This Row],[INVERSIONES FCI]],+Tabla5[[#This Row],[INVERSIONES FCI]]-I267,Tabla5[[#This Row],[INVERSIONES FCI]])</f>
        <v>59483364536.989861</v>
      </c>
      <c r="J268" s="5">
        <f>IF($B267&lt;=Tabla5[[#This Row],[INVERSIONES FCI]],+Tabla5[[#This Row],[INVERSIONES FCI]]-J267,Tabla5[[#This Row],[INVERSIONES FCI]])</f>
        <v>59483364536.989861</v>
      </c>
      <c r="K268" s="5">
        <f>IF($B267&lt;=Tabla5[[#This Row],[INVERSIONES FCI]],+Tabla5[[#This Row],[INVERSIONES FCI]]-K267,Tabla5[[#This Row],[INVERSIONES FCI]])</f>
        <v>59483364536.989861</v>
      </c>
      <c r="L268" s="5">
        <f>IF($B267&lt;=Tabla5[[#This Row],[INVERSIONES FCI]],+Tabla5[[#This Row],[INVERSIONES FCI]]-L267,Tabla5[[#This Row],[INVERSIONES FCI]])</f>
        <v>59483364536.989861</v>
      </c>
      <c r="M268" s="5">
        <f>IF($B267&lt;=Tabla5[[#This Row],[INVERSIONES FCI]],+Tabla5[[#This Row],[INVERSIONES FCI]]-M267,Tabla5[[#This Row],[INVERSIONES FCI]])</f>
        <v>59483364536.989861</v>
      </c>
      <c r="N268" s="5">
        <f>IF($B267&lt;=Tabla5[[#This Row],[INVERSIONES FCI]],+Tabla5[[#This Row],[INVERSIONES FCI]]-N267,Tabla5[[#This Row],[INVERSIONES FCI]])</f>
        <v>59483364536.989861</v>
      </c>
      <c r="O268" s="5">
        <f>IF($B267&lt;=Tabla5[[#This Row],[INVERSIONES FCI]],+Tabla5[[#This Row],[INVERSIONES FCI]]-O267,Tabla5[[#This Row],[INVERSIONES FCI]])</f>
        <v>59483364536.989861</v>
      </c>
      <c r="P268" s="5">
        <f>IF($B267&lt;=Tabla5[[#This Row],[INVERSIONES FCI]],+Tabla5[[#This Row],[INVERSIONES FCI]]-P267,Tabla5[[#This Row],[INVERSIONES FCI]])</f>
        <v>59483364536.989861</v>
      </c>
      <c r="Q268" s="5">
        <f>IF($B267&lt;=Tabla5[[#This Row],[INVERSIONES FCI]],+Tabla5[[#This Row],[INVERSIONES FCI]]-Q267,Tabla5[[#This Row],[INVERSIONES FCI]])</f>
        <v>59483364536.989861</v>
      </c>
      <c r="R268" s="5">
        <f>IF($B267&lt;=Tabla5[[#This Row],[INVERSIONES FCI]],+Tabla5[[#This Row],[INVERSIONES FCI]]-R267,Tabla5[[#This Row],[INVERSIONES FCI]])</f>
        <v>59483364536.989861</v>
      </c>
      <c r="S268" s="5">
        <f>IF($B267&lt;=Tabla5[[#This Row],[INVERSIONES FCI]],+Tabla5[[#This Row],[INVERSIONES FCI]]-S267,Tabla5[[#This Row],[INVERSIONES FCI]])</f>
        <v>59483364536.989861</v>
      </c>
      <c r="T268" s="5">
        <f>IF($B267&lt;=Tabla5[[#This Row],[INVERSIONES FCI]],+Tabla5[[#This Row],[INVERSIONES FCI]]-T267,Tabla5[[#This Row],[INVERSIONES FCI]])</f>
        <v>59483364536.989861</v>
      </c>
      <c r="U268" s="5">
        <f>IF($B267&lt;=Tabla5[[#This Row],[INVERSIONES FCI]],+Tabla5[[#This Row],[INVERSIONES FCI]]-U267,Tabla5[[#This Row],[INVERSIONES FCI]])</f>
        <v>59483364536.989861</v>
      </c>
      <c r="V268" s="5">
        <f>IF($B267&lt;=Tabla5[[#This Row],[INVERSIONES FCI]],+Tabla5[[#This Row],[INVERSIONES FCI]]-V267,Tabla5[[#This Row],[INVERSIONES FCI]])</f>
        <v>59483364536.989861</v>
      </c>
      <c r="W268" s="5">
        <f>IF($B267&lt;=Tabla5[[#This Row],[INVERSIONES FCI]],+Tabla5[[#This Row],[INVERSIONES FCI]]-W267,Tabla5[[#This Row],[INVERSIONES FCI]])</f>
        <v>59483364536.989861</v>
      </c>
      <c r="X268" s="5">
        <f>IF($B267&lt;=Tabla5[[#This Row],[INVERSIONES FCI]],+Tabla5[[#This Row],[INVERSIONES FCI]]-X267,Tabla5[[#This Row],[INVERSIONES FCI]])</f>
        <v>59483364536.989861</v>
      </c>
      <c r="Y268" s="5">
        <f>IF($B267&lt;=Tabla5[[#This Row],[INVERSIONES FCI]],+Tabla5[[#This Row],[INVERSIONES FCI]]-Y267,Tabla5[[#This Row],[INVERSIONES FCI]])</f>
        <v>59483364536.989861</v>
      </c>
      <c r="Z268" s="5">
        <f>IF($B267&lt;=Tabla5[[#This Row],[INVERSIONES FCI]],+Tabla5[[#This Row],[INVERSIONES FCI]]-Z267,Tabla5[[#This Row],[INVERSIONES FCI]])</f>
        <v>59483364536.989861</v>
      </c>
      <c r="AA268" s="5">
        <f>IF($B267&lt;=Tabla5[[#This Row],[INVERSIONES FCI]],+Tabla5[[#This Row],[INVERSIONES FCI]]-AA267,Tabla5[[#This Row],[INVERSIONES FCI]])</f>
        <v>59483364536.989861</v>
      </c>
      <c r="AB268" s="5">
        <f>IF($B267&lt;=Tabla5[[#This Row],[INVERSIONES FCI]],+Tabla5[[#This Row],[INVERSIONES FCI]]-AB267,Tabla5[[#This Row],[INVERSIONES FCI]])</f>
        <v>59483364536.989861</v>
      </c>
      <c r="AC268" s="5">
        <f>IF($B267&lt;=Tabla5[[#This Row],[INVERSIONES FCI]],+Tabla5[[#This Row],[INVERSIONES FCI]]-AC267,Tabla5[[#This Row],[INVERSIONES FCI]])</f>
        <v>59483364536.989861</v>
      </c>
      <c r="AD268" s="5">
        <f>IF($B267&lt;=Tabla5[[#This Row],[INVERSIONES FCI]],+Tabla5[[#This Row],[INVERSIONES FCI]]-AD267,Tabla5[[#This Row],[INVERSIONES FCI]])</f>
        <v>59483364536.989861</v>
      </c>
      <c r="AE268" s="5">
        <f>IF($B267&lt;=Tabla5[[#This Row],[INVERSIONES FCI]],+Tabla5[[#This Row],[INVERSIONES FCI]]-AE267,Tabla5[[#This Row],[INVERSIONES FCI]])</f>
        <v>59483364536.989861</v>
      </c>
      <c r="AF268" s="5">
        <f>IF($B267&lt;=Tabla5[[#This Row],[INVERSIONES FCI]],+Tabla5[[#This Row],[INVERSIONES FCI]]-AF267,Tabla5[[#This Row],[INVERSIONES FCI]])</f>
        <v>59483364536.989861</v>
      </c>
      <c r="AG268" s="5">
        <f>IF($B267&lt;=Tabla5[[#This Row],[INVERSIONES FCI]],+Tabla5[[#This Row],[INVERSIONES FCI]]-AG267,Tabla5[[#This Row],[INVERSIONES FCI]])</f>
        <v>59483364536.989861</v>
      </c>
      <c r="AH268" s="5">
        <f>IF($B267&lt;=Tabla5[[#This Row],[INVERSIONES FCI]],+Tabla5[[#This Row],[INVERSIONES FCI]]-AH267,Tabla5[[#This Row],[INVERSIONES FCI]])</f>
        <v>59483364536.989861</v>
      </c>
      <c r="AI268" s="5">
        <f>IF($B267&lt;=Tabla5[[#This Row],[INVERSIONES FCI]],+Tabla5[[#This Row],[INVERSIONES FCI]]-AI267,Tabla5[[#This Row],[INVERSIONES FCI]])</f>
        <v>59483364536.989861</v>
      </c>
      <c r="AJ268" s="5">
        <f>IF($B267&lt;=Tabla5[[#This Row],[INVERSIONES FCI]],+Tabla5[[#This Row],[INVERSIONES FCI]]-AJ267,Tabla5[[#This Row],[INVERSIONES FCI]])</f>
        <v>59483364536.989861</v>
      </c>
      <c r="AK268" s="5">
        <f>IF($B267&lt;=Tabla5[[#This Row],[INVERSIONES FCI]],+Tabla5[[#This Row],[INVERSIONES FCI]]-AK267,Tabla5[[#This Row],[INVERSIONES FCI]])</f>
        <v>59483364536.989861</v>
      </c>
      <c r="AL268" s="5">
        <f>IF($B267&lt;=Tabla5[[#This Row],[INVERSIONES FCI]],+Tabla5[[#This Row],[INVERSIONES FCI]]-AL267,Tabla5[[#This Row],[INVERSIONES FCI]])</f>
        <v>59483364536.989861</v>
      </c>
      <c r="AM268" s="5">
        <f>IF($B267&lt;=Tabla5[[#This Row],[INVERSIONES FCI]],+Tabla5[[#This Row],[INVERSIONES FCI]]-AM267,Tabla5[[#This Row],[INVERSIONES FCI]])</f>
        <v>59483364536.989861</v>
      </c>
      <c r="AN268" s="5">
        <f>IF($B267&lt;=Tabla5[[#This Row],[INVERSIONES FCI]],+Tabla5[[#This Row],[INVERSIONES FCI]]-AN267,Tabla5[[#This Row],[INVERSIONES FCI]])</f>
        <v>59483364536.989861</v>
      </c>
      <c r="AO268" s="5">
        <f>IF($B267&lt;=Tabla5[[#This Row],[INVERSIONES FCI]],+Tabla5[[#This Row],[INVERSIONES FCI]]-AO267,Tabla5[[#This Row],[INVERSIONES FCI]])</f>
        <v>59483364536.989861</v>
      </c>
      <c r="AP268" s="5">
        <f>IF($B267&lt;=Tabla5[[#This Row],[INVERSIONES FCI]],+Tabla5[[#This Row],[INVERSIONES FCI]]-AP267,Tabla5[[#This Row],[INVERSIONES FCI]])</f>
        <v>59483364536.989861</v>
      </c>
      <c r="AQ268" s="5">
        <f>IF($B267&lt;=Tabla5[[#This Row],[INVERSIONES FCI]],+Tabla5[[#This Row],[INVERSIONES FCI]]-AQ267,Tabla5[[#This Row],[INVERSIONES FCI]])</f>
        <v>59483364536.989861</v>
      </c>
      <c r="AR268" s="5">
        <f>IF($B267&lt;=Tabla5[[#This Row],[INVERSIONES FCI]],+Tabla5[[#This Row],[INVERSIONES FCI]]-AR267,Tabla5[[#This Row],[INVERSIONES FCI]])</f>
        <v>59483364536.989861</v>
      </c>
      <c r="AS268" s="5">
        <f>IF($B267&lt;=Tabla5[[#This Row],[INVERSIONES FCI]],+Tabla5[[#This Row],[INVERSIONES FCI]]-AS267,Tabla5[[#This Row],[INVERSIONES FCI]])</f>
        <v>59483364536.989861</v>
      </c>
      <c r="AT268" s="5">
        <f>IF($B267&lt;=Tabla5[[#This Row],[INVERSIONES FCI]],+Tabla5[[#This Row],[INVERSIONES FCI]]-AT267,Tabla5[[#This Row],[INVERSIONES FCI]])</f>
        <v>59483364536.989861</v>
      </c>
      <c r="AU268" s="5">
        <f>IF($B267&lt;=Tabla5[[#This Row],[INVERSIONES FCI]],+Tabla5[[#This Row],[INVERSIONES FCI]]-AU267,Tabla5[[#This Row],[INVERSIONES FCI]])</f>
        <v>59483364536.989861</v>
      </c>
      <c r="AV268" s="5">
        <f>IF($B267&lt;=Tabla5[[#This Row],[INVERSIONES FCI]],+Tabla5[[#This Row],[INVERSIONES FCI]]-AV267,Tabla5[[#This Row],[INVERSIONES FCI]])</f>
        <v>59483364536.989861</v>
      </c>
      <c r="AW268" s="5">
        <f>IF($B267&lt;=Tabla5[[#This Row],[INVERSIONES FCI]],+Tabla5[[#This Row],[INVERSIONES FCI]]-AW267,Tabla5[[#This Row],[INVERSIONES FCI]])</f>
        <v>59483364536.989861</v>
      </c>
      <c r="AX268" s="5">
        <f>IF($B267&lt;=Tabla5[[#This Row],[INVERSIONES FCI]],+Tabla5[[#This Row],[INVERSIONES FCI]]-AX267,Tabla5[[#This Row],[INVERSIONES FCI]])</f>
        <v>59483364536.989861</v>
      </c>
      <c r="AY268" s="5">
        <f>IF($B267&lt;=Tabla5[[#This Row],[INVERSIONES FCI]],+Tabla5[[#This Row],[INVERSIONES FCI]]-AY267,Tabla5[[#This Row],[INVERSIONES FCI]])</f>
        <v>59483364536.989861</v>
      </c>
      <c r="AZ268" s="5">
        <f>IF($B267&lt;=Tabla5[[#This Row],[INVERSIONES FCI]],+Tabla5[[#This Row],[INVERSIONES FCI]]-AZ267,Tabla5[[#This Row],[INVERSIONES FCI]])</f>
        <v>59483364536.989861</v>
      </c>
      <c r="BA268" s="5">
        <f>IF($B267&lt;=Tabla5[[#This Row],[INVERSIONES FCI]],+Tabla5[[#This Row],[INVERSIONES FCI]]-BA267,Tabla5[[#This Row],[INVERSIONES FCI]])</f>
        <v>59483364536.989861</v>
      </c>
      <c r="BB268" s="5">
        <f>IF($B267&lt;=Tabla5[[#This Row],[INVERSIONES FCI]],+Tabla5[[#This Row],[INVERSIONES FCI]]-BB267,Tabla5[[#This Row],[INVERSIONES FCI]])</f>
        <v>59483364536.989861</v>
      </c>
      <c r="BC268" s="5">
        <f>IF($B267&lt;=Tabla5[[#This Row],[INVERSIONES FCI]],+Tabla5[[#This Row],[INVERSIONES FCI]]-BC267,Tabla5[[#This Row],[INVERSIONES FCI]])</f>
        <v>59483364536.989861</v>
      </c>
      <c r="BD268" s="5">
        <f>IF($B267&lt;=Tabla5[[#This Row],[INVERSIONES FCI]],+Tabla5[[#This Row],[INVERSIONES FCI]]-BD267,Tabla5[[#This Row],[INVERSIONES FCI]])</f>
        <v>59483364536.989861</v>
      </c>
      <c r="BE268" s="5">
        <f>IF($B267&lt;=Tabla5[[#This Row],[INVERSIONES FCI]],+Tabla5[[#This Row],[INVERSIONES FCI]]-BE267,Tabla5[[#This Row],[INVERSIONES FCI]])</f>
        <v>59483364536.989861</v>
      </c>
      <c r="BF268" s="5">
        <f>IF($B267&lt;=Tabla5[[#This Row],[INVERSIONES FCI]],+Tabla5[[#This Row],[INVERSIONES FCI]]-BF267,Tabla5[[#This Row],[INVERSIONES FCI]])</f>
        <v>59483364536.989861</v>
      </c>
      <c r="BG268" s="5">
        <f>IF($B267&lt;=Tabla5[[#This Row],[INVERSIONES FCI]],+Tabla5[[#This Row],[INVERSIONES FCI]]-BG267,Tabla5[[#This Row],[INVERSIONES FCI]])</f>
        <v>59483364536.989861</v>
      </c>
      <c r="BH268" s="5">
        <f>IF($B267&lt;=Tabla5[[#This Row],[INVERSIONES FCI]],+Tabla5[[#This Row],[INVERSIONES FCI]]-BH267,Tabla5[[#This Row],[INVERSIONES FCI]])</f>
        <v>59483364536.989861</v>
      </c>
      <c r="BI268" s="5">
        <f>IF($B267&lt;=Tabla5[[#This Row],[INVERSIONES FCI]],+Tabla5[[#This Row],[INVERSIONES FCI]]-BI267,Tabla5[[#This Row],[INVERSIONES FCI]])</f>
        <v>59483364536.989861</v>
      </c>
      <c r="BJ268" s="5">
        <f>IF($B267&lt;=Tabla5[[#This Row],[INVERSIONES FCI]],+Tabla5[[#This Row],[INVERSIONES FCI]]-BJ267,Tabla5[[#This Row],[INVERSIONES FCI]])</f>
        <v>59483364536.989861</v>
      </c>
      <c r="BK268" s="5">
        <f>IF($B267&lt;=Tabla5[[#This Row],[INVERSIONES FCI]],+Tabla5[[#This Row],[INVERSIONES FCI]]-BK267,Tabla5[[#This Row],[INVERSIONES FCI]])</f>
        <v>59483364536.989861</v>
      </c>
      <c r="BL268" s="5">
        <f>IF($B267&lt;=Tabla5[[#This Row],[INVERSIONES FCI]],+Tabla5[[#This Row],[INVERSIONES FCI]]-BL267,Tabla5[[#This Row],[INVERSIONES FCI]])</f>
        <v>59483364536.989861</v>
      </c>
      <c r="BM268" s="5">
        <f>IF($B267&lt;=Tabla5[[#This Row],[INVERSIONES FCI]],+Tabla5[[#This Row],[INVERSIONES FCI]]-BM267,Tabla5[[#This Row],[INVERSIONES FCI]])</f>
        <v>59483364536.989861</v>
      </c>
      <c r="BN268" s="5">
        <f>IF($B267&lt;=Tabla5[[#This Row],[INVERSIONES FCI]],+Tabla5[[#This Row],[INVERSIONES FCI]]-BN267,Tabla5[[#This Row],[INVERSIONES FCI]])</f>
        <v>59483364536.989861</v>
      </c>
      <c r="BO268" s="5">
        <f>IF($B267&lt;=Tabla5[[#This Row],[INVERSIONES FCI]],+Tabla5[[#This Row],[INVERSIONES FCI]]-BO267,Tabla5[[#This Row],[INVERSIONES FCI]])</f>
        <v>59483364536.989861</v>
      </c>
      <c r="BP268" s="5">
        <f>IF($B267&lt;=Tabla5[[#This Row],[INVERSIONES FCI]],+Tabla5[[#This Row],[INVERSIONES FCI]]-BP267,Tabla5[[#This Row],[INVERSIONES FCI]])</f>
        <v>59483364536.989861</v>
      </c>
      <c r="BQ268" s="5">
        <f>IF($B267&lt;=Tabla5[[#This Row],[INVERSIONES FCI]],+Tabla5[[#This Row],[INVERSIONES FCI]]-BQ267,Tabla5[[#This Row],[INVERSIONES FCI]])</f>
        <v>59483364536.989861</v>
      </c>
      <c r="BR268" s="5">
        <f>IF($B267&lt;=Tabla5[[#This Row],[INVERSIONES FCI]],+Tabla5[[#This Row],[INVERSIONES FCI]]-BR267,Tabla5[[#This Row],[INVERSIONES FCI]])</f>
        <v>59483364536.989861</v>
      </c>
      <c r="BS268" s="5">
        <f>IF($B267&lt;=Tabla5[[#This Row],[INVERSIONES FCI]],+Tabla5[[#This Row],[INVERSIONES FCI]]-BS267,Tabla5[[#This Row],[INVERSIONES FCI]])</f>
        <v>59483364536.989861</v>
      </c>
      <c r="BT268" s="5">
        <f>IF($B267&lt;=Tabla5[[#This Row],[INVERSIONES FCI]],+Tabla5[[#This Row],[INVERSIONES FCI]]-BT267,Tabla5[[#This Row],[INVERSIONES FCI]])</f>
        <v>59483364536.989861</v>
      </c>
      <c r="BU268" s="5">
        <f>IF($B267&lt;=Tabla5[[#This Row],[INVERSIONES FCI]],+Tabla5[[#This Row],[INVERSIONES FCI]]-BU267,Tabla5[[#This Row],[INVERSIONES FCI]])</f>
        <v>59483364536.989861</v>
      </c>
      <c r="BV268" s="5">
        <f>IF($B267&lt;=Tabla5[[#This Row],[INVERSIONES FCI]],+Tabla5[[#This Row],[INVERSIONES FCI]]-BV267,Tabla5[[#This Row],[INVERSIONES FCI]])</f>
        <v>59483364536.989861</v>
      </c>
      <c r="BW268" s="5">
        <f>IF($B267&lt;=Tabla5[[#This Row],[INVERSIONES FCI]],+Tabla5[[#This Row],[INVERSIONES FCI]]-BW267,Tabla5[[#This Row],[INVERSIONES FCI]])</f>
        <v>59483364536.989861</v>
      </c>
      <c r="BX268" s="5">
        <f>IF($B267&lt;=Tabla5[[#This Row],[INVERSIONES FCI]],+Tabla5[[#This Row],[INVERSIONES FCI]]-BX267,Tabla5[[#This Row],[INVERSIONES FCI]])</f>
        <v>59483364536.989861</v>
      </c>
      <c r="BY268" s="5">
        <f>IF($B267&lt;=Tabla5[[#This Row],[INVERSIONES FCI]],+Tabla5[[#This Row],[INVERSIONES FCI]]-BY267,Tabla5[[#This Row],[INVERSIONES FCI]])</f>
        <v>59483364536.989861</v>
      </c>
      <c r="BZ268" s="5">
        <f>IF($B267&lt;=Tabla5[[#This Row],[INVERSIONES FCI]],+Tabla5[[#This Row],[INVERSIONES FCI]]-BZ267,Tabla5[[#This Row],[INVERSIONES FCI]])</f>
        <v>59483364536.989861</v>
      </c>
      <c r="CA268" s="5">
        <f>IF($B267&lt;=Tabla5[[#This Row],[INVERSIONES FCI]],+Tabla5[[#This Row],[INVERSIONES FCI]]-CA267,Tabla5[[#This Row],[INVERSIONES FCI]])</f>
        <v>59483364536.989861</v>
      </c>
      <c r="CB268" s="5">
        <f>IF($B267&lt;=Tabla5[[#This Row],[INVERSIONES FCI]],+Tabla5[[#This Row],[INVERSIONES FCI]]-CB267,Tabla5[[#This Row],[INVERSIONES FCI]])</f>
        <v>59483364536.989861</v>
      </c>
      <c r="CC268" s="5">
        <f>IF($B267&lt;=Tabla5[[#This Row],[INVERSIONES FCI]],+Tabla5[[#This Row],[INVERSIONES FCI]]-CC267,Tabla5[[#This Row],[INVERSIONES FCI]])</f>
        <v>59483364536.989861</v>
      </c>
      <c r="CD268" s="5">
        <f>IF($B267&lt;=Tabla5[[#This Row],[INVERSIONES FCI]],+Tabla5[[#This Row],[INVERSIONES FCI]]-CD267,Tabla5[[#This Row],[INVERSIONES FCI]])</f>
        <v>59483364536.989861</v>
      </c>
      <c r="CE268" s="5">
        <f>IF($B267&lt;=Tabla5[[#This Row],[INVERSIONES FCI]],+Tabla5[[#This Row],[INVERSIONES FCI]]-CE267,Tabla5[[#This Row],[INVERSIONES FCI]])</f>
        <v>59483364536.989861</v>
      </c>
      <c r="CF268" s="5">
        <f>IF($B267&lt;=Tabla5[[#This Row],[INVERSIONES FCI]],+Tabla5[[#This Row],[INVERSIONES FCI]]-CF267,Tabla5[[#This Row],[INVERSIONES FCI]])</f>
        <v>59483364536.989861</v>
      </c>
      <c r="CG268" s="5">
        <f>IF($B267&lt;=Tabla5[[#This Row],[INVERSIONES FCI]],+Tabla5[[#This Row],[INVERSIONES FCI]]-CG267,Tabla5[[#This Row],[INVERSIONES FCI]])</f>
        <v>59483364536.989861</v>
      </c>
      <c r="CH268" s="5">
        <f>IF($B267&lt;=Tabla5[[#This Row],[INVERSIONES FCI]],+Tabla5[[#This Row],[INVERSIONES FCI]]-CH267,Tabla5[[#This Row],[INVERSIONES FCI]])</f>
        <v>59483364536.989861</v>
      </c>
      <c r="CI268" s="5">
        <f>IF($B267&lt;=Tabla5[[#This Row],[INVERSIONES FCI]],+Tabla5[[#This Row],[INVERSIONES FCI]]-CI267,Tabla5[[#This Row],[INVERSIONES FCI]])</f>
        <v>59483364536.989861</v>
      </c>
      <c r="CJ268" s="5">
        <f>IF($B267&lt;=Tabla5[[#This Row],[INVERSIONES FCI]],+Tabla5[[#This Row],[INVERSIONES FCI]]-CJ267,Tabla5[[#This Row],[INVERSIONES FCI]])</f>
        <v>59483364536.989861</v>
      </c>
      <c r="CK268" s="5">
        <f>IF($B267&lt;=Tabla5[[#This Row],[INVERSIONES FCI]],+Tabla5[[#This Row],[INVERSIONES FCI]]-CK267,Tabla5[[#This Row],[INVERSIONES FCI]])</f>
        <v>59483364536.989861</v>
      </c>
      <c r="CL268" s="5">
        <f>IF($B267&lt;=Tabla5[[#This Row],[INVERSIONES FCI]],+Tabla5[[#This Row],[INVERSIONES FCI]]-CL267,Tabla5[[#This Row],[INVERSIONES FCI]])</f>
        <v>59483364536.989861</v>
      </c>
      <c r="CM268" s="5">
        <f>IF($B267&lt;=Tabla5[[#This Row],[INVERSIONES FCI]],+Tabla5[[#This Row],[INVERSIONES FCI]]-CM267,Tabla5[[#This Row],[INVERSIONES FCI]])</f>
        <v>59483364536.989861</v>
      </c>
      <c r="CN268" s="5">
        <f>IF($B267&lt;=Tabla5[[#This Row],[INVERSIONES FCI]],+Tabla5[[#This Row],[INVERSIONES FCI]]-CN267,Tabla5[[#This Row],[INVERSIONES FCI]])</f>
        <v>59483364536.989861</v>
      </c>
      <c r="CO268" s="5">
        <f>IF($B267&lt;=Tabla5[[#This Row],[INVERSIONES FCI]],+Tabla5[[#This Row],[INVERSIONES FCI]]-CO267,Tabla5[[#This Row],[INVERSIONES FCI]])</f>
        <v>59483364536.989861</v>
      </c>
      <c r="CP268" s="5">
        <f>IF($B267&lt;=Tabla5[[#This Row],[INVERSIONES FCI]],+Tabla5[[#This Row],[INVERSIONES FCI]]-CP267,Tabla5[[#This Row],[INVERSIONES FCI]])</f>
        <v>59483364536.989861</v>
      </c>
      <c r="CQ268" s="5">
        <f>IF($B267&lt;=Tabla5[[#This Row],[INVERSIONES FCI]],+Tabla5[[#This Row],[INVERSIONES FCI]]-CQ267,Tabla5[[#This Row],[INVERSIONES FCI]])</f>
        <v>59483364536.989861</v>
      </c>
      <c r="CR268" s="5">
        <f>IF($B267&lt;=Tabla5[[#This Row],[INVERSIONES FCI]],+Tabla5[[#This Row],[INVERSIONES FCI]]-CR267,Tabla5[[#This Row],[INVERSIONES FCI]])</f>
        <v>59483364536.989861</v>
      </c>
      <c r="CS268" s="5">
        <f>IF($B267&lt;=Tabla5[[#This Row],[INVERSIONES FCI]],+Tabla5[[#This Row],[INVERSIONES FCI]]-CS267,Tabla5[[#This Row],[INVERSIONES FCI]])</f>
        <v>59483364536.989861</v>
      </c>
      <c r="CT268" s="5">
        <f>IF($B267&lt;=Tabla5[[#This Row],[INVERSIONES FCI]],+Tabla5[[#This Row],[INVERSIONES FCI]]-CT267,Tabla5[[#This Row],[INVERSIONES FCI]])</f>
        <v>59483364536.989861</v>
      </c>
      <c r="CU268" s="5">
        <f>IF($B267&lt;=Tabla5[[#This Row],[INVERSIONES FCI]],+Tabla5[[#This Row],[INVERSIONES FCI]]-CU267,Tabla5[[#This Row],[INVERSIONES FCI]])</f>
        <v>59483364536.989861</v>
      </c>
      <c r="CV268" s="5">
        <f>IF($B267&lt;=Tabla5[[#This Row],[INVERSIONES FCI]],+Tabla5[[#This Row],[INVERSIONES FCI]]-CV267,Tabla5[[#This Row],[INVERSIONES FCI]])</f>
        <v>59483364536.989861</v>
      </c>
      <c r="CW268" s="5">
        <f>IF($B267&lt;=Tabla5[[#This Row],[INVERSIONES FCI]],+Tabla5[[#This Row],[INVERSIONES FCI]]-CW267,Tabla5[[#This Row],[INVERSIONES FCI]])</f>
        <v>59483364536.989861</v>
      </c>
      <c r="CX268" s="5">
        <f>IF($B267&lt;=Tabla5[[#This Row],[INVERSIONES FCI]],+Tabla5[[#This Row],[INVERSIONES FCI]]-CX267,Tabla5[[#This Row],[INVERSIONES FCI]])</f>
        <v>59483364536.989861</v>
      </c>
      <c r="CY268" s="5">
        <f>IF($B267&lt;=Tabla5[[#This Row],[INVERSIONES FCI]],+Tabla5[[#This Row],[INVERSIONES FCI]]-CY267,Tabla5[[#This Row],[INVERSIONES FCI]])</f>
        <v>59483364536.989861</v>
      </c>
      <c r="CZ268" s="5">
        <f>IF($B267&lt;=Tabla5[[#This Row],[INVERSIONES FCI]],+Tabla5[[#This Row],[INVERSIONES FCI]]-CZ267,Tabla5[[#This Row],[INVERSIONES FCI]])</f>
        <v>59483364536.989861</v>
      </c>
      <c r="DA268" s="5">
        <f>IF($B267&lt;=Tabla5[[#This Row],[INVERSIONES FCI]],+Tabla5[[#This Row],[INVERSIONES FCI]]-DA267,Tabla5[[#This Row],[INVERSIONES FCI]])</f>
        <v>59483364536.989861</v>
      </c>
      <c r="DB268" s="5">
        <f>IF($B267&lt;=Tabla5[[#This Row],[INVERSIONES FCI]],+Tabla5[[#This Row],[INVERSIONES FCI]]-DB267,Tabla5[[#This Row],[INVERSIONES FCI]])</f>
        <v>59483364536.989861</v>
      </c>
      <c r="DC268" s="5">
        <f>IF($B267&lt;=Tabla5[[#This Row],[INVERSIONES FCI]],+Tabla5[[#This Row],[INVERSIONES FCI]]-DC267,Tabla5[[#This Row],[INVERSIONES FCI]])</f>
        <v>59483364536.989861</v>
      </c>
      <c r="DD268" s="5">
        <f>IF($B267&lt;=Tabla5[[#This Row],[INVERSIONES FCI]],+Tabla5[[#This Row],[INVERSIONES FCI]]-DD267,Tabla5[[#This Row],[INVERSIONES FCI]])</f>
        <v>59483364536.989861</v>
      </c>
      <c r="DE268" s="5">
        <f>IF($B267&lt;=Tabla5[[#This Row],[INVERSIONES FCI]],+Tabla5[[#This Row],[INVERSIONES FCI]]-DE267,Tabla5[[#This Row],[INVERSIONES FCI]])</f>
        <v>59483364536.989861</v>
      </c>
      <c r="DF268" s="5">
        <f>IF($B267&lt;=Tabla5[[#This Row],[INVERSIONES FCI]],+Tabla5[[#This Row],[INVERSIONES FCI]]-DF267,Tabla5[[#This Row],[INVERSIONES FCI]])</f>
        <v>59483364536.989861</v>
      </c>
      <c r="DG268" s="5">
        <f>IF($B267&lt;=Tabla5[[#This Row],[INVERSIONES FCI]],+Tabla5[[#This Row],[INVERSIONES FCI]]-DG267,Tabla5[[#This Row],[INVERSIONES FCI]])</f>
        <v>59483364536.989861</v>
      </c>
      <c r="DH268" s="5">
        <f>IF($B267&lt;=Tabla5[[#This Row],[INVERSIONES FCI]],+Tabla5[[#This Row],[INVERSIONES FCI]]-DH267,Tabla5[[#This Row],[INVERSIONES FCI]])</f>
        <v>59483364536.989861</v>
      </c>
      <c r="DI268" s="5">
        <f>IF($B267&lt;=Tabla5[[#This Row],[INVERSIONES FCI]],+Tabla5[[#This Row],[INVERSIONES FCI]]-DI267,Tabla5[[#This Row],[INVERSIONES FCI]])</f>
        <v>59483364536.989861</v>
      </c>
      <c r="DJ268" s="5">
        <f>IF($B267&lt;=Tabla5[[#This Row],[INVERSIONES FCI]],+Tabla5[[#This Row],[INVERSIONES FCI]]-DJ267,Tabla5[[#This Row],[INVERSIONES FCI]])</f>
        <v>59483364536.989861</v>
      </c>
      <c r="DK268" s="5">
        <f>IF($B267&lt;=Tabla5[[#This Row],[INVERSIONES FCI]],+Tabla5[[#This Row],[INVERSIONES FCI]]-DK267,Tabla5[[#This Row],[INVERSIONES FCI]])</f>
        <v>59483364536.989861</v>
      </c>
      <c r="DL268" s="5"/>
      <c r="DM268" s="5"/>
      <c r="DN268" s="5"/>
      <c r="DO268" s="5"/>
      <c r="DP268" s="5"/>
      <c r="DQ268" s="5"/>
    </row>
    <row r="269" spans="1:121" ht="14.4">
      <c r="A269" s="12" t="s">
        <v>268</v>
      </c>
      <c r="B269" s="5">
        <f>HLOOKUP($A269,ESCENARIO[#All],7,FALSE)</f>
        <v>68848315917.240768</v>
      </c>
      <c r="C269" s="5">
        <f>IF($B268&lt;=Tabla5[[#This Row],[INVERSIONES FCI]],+Tabla5[[#This Row],[INVERSIONES FCI]]-C268,Tabla5[[#This Row],[INVERSIONES FCI]])</f>
        <v>9364951380.2509079</v>
      </c>
      <c r="D269" s="5">
        <f>IF($B268&lt;=Tabla5[[#This Row],[INVERSIONES FCI]],+Tabla5[[#This Row],[INVERSIONES FCI]]-D268,Tabla5[[#This Row],[INVERSIONES FCI]])</f>
        <v>9364951380.2509079</v>
      </c>
      <c r="E269" s="5">
        <f>IF($B268&lt;=Tabla5[[#This Row],[INVERSIONES FCI]],+Tabla5[[#This Row],[INVERSIONES FCI]]-E268,Tabla5[[#This Row],[INVERSIONES FCI]])</f>
        <v>9364951380.2509079</v>
      </c>
      <c r="F269" s="5">
        <f>IF($B268&lt;=Tabla5[[#This Row],[INVERSIONES FCI]],+Tabla5[[#This Row],[INVERSIONES FCI]]-F268,Tabla5[[#This Row],[INVERSIONES FCI]])</f>
        <v>9364951380.2509079</v>
      </c>
      <c r="G269" s="5">
        <f>IF($B268&lt;=Tabla5[[#This Row],[INVERSIONES FCI]],+Tabla5[[#This Row],[INVERSIONES FCI]]-G268,Tabla5[[#This Row],[INVERSIONES FCI]])</f>
        <v>9364951380.2509079</v>
      </c>
      <c r="H269" s="5">
        <f>IF($B268&lt;=Tabla5[[#This Row],[INVERSIONES FCI]],+Tabla5[[#This Row],[INVERSIONES FCI]]-H268,Tabla5[[#This Row],[INVERSIONES FCI]])</f>
        <v>9364951380.2509079</v>
      </c>
      <c r="I269" s="5">
        <f>IF($B268&lt;=Tabla5[[#This Row],[INVERSIONES FCI]],+Tabla5[[#This Row],[INVERSIONES FCI]]-I268,Tabla5[[#This Row],[INVERSIONES FCI]])</f>
        <v>9364951380.2509079</v>
      </c>
      <c r="J269" s="5">
        <f>IF($B268&lt;=Tabla5[[#This Row],[INVERSIONES FCI]],+Tabla5[[#This Row],[INVERSIONES FCI]]-J268,Tabla5[[#This Row],[INVERSIONES FCI]])</f>
        <v>9364951380.2509079</v>
      </c>
      <c r="K269" s="5">
        <f>IF($B268&lt;=Tabla5[[#This Row],[INVERSIONES FCI]],+Tabla5[[#This Row],[INVERSIONES FCI]]-K268,Tabla5[[#This Row],[INVERSIONES FCI]])</f>
        <v>9364951380.2509079</v>
      </c>
      <c r="L269" s="5">
        <f>IF($B268&lt;=Tabla5[[#This Row],[INVERSIONES FCI]],+Tabla5[[#This Row],[INVERSIONES FCI]]-L268,Tabla5[[#This Row],[INVERSIONES FCI]])</f>
        <v>9364951380.2509079</v>
      </c>
      <c r="M269" s="5">
        <f>IF($B268&lt;=Tabla5[[#This Row],[INVERSIONES FCI]],+Tabla5[[#This Row],[INVERSIONES FCI]]-M268,Tabla5[[#This Row],[INVERSIONES FCI]])</f>
        <v>9364951380.2509079</v>
      </c>
      <c r="N269" s="5">
        <f>IF($B268&lt;=Tabla5[[#This Row],[INVERSIONES FCI]],+Tabla5[[#This Row],[INVERSIONES FCI]]-N268,Tabla5[[#This Row],[INVERSIONES FCI]])</f>
        <v>9364951380.2509079</v>
      </c>
      <c r="O269" s="5">
        <f>IF($B268&lt;=Tabla5[[#This Row],[INVERSIONES FCI]],+Tabla5[[#This Row],[INVERSIONES FCI]]-O268,Tabla5[[#This Row],[INVERSIONES FCI]])</f>
        <v>9364951380.2509079</v>
      </c>
      <c r="P269" s="5">
        <f>IF($B268&lt;=Tabla5[[#This Row],[INVERSIONES FCI]],+Tabla5[[#This Row],[INVERSIONES FCI]]-P268,Tabla5[[#This Row],[INVERSIONES FCI]])</f>
        <v>9364951380.2509079</v>
      </c>
      <c r="Q269" s="5">
        <f>IF($B268&lt;=Tabla5[[#This Row],[INVERSIONES FCI]],+Tabla5[[#This Row],[INVERSIONES FCI]]-Q268,Tabla5[[#This Row],[INVERSIONES FCI]])</f>
        <v>9364951380.2509079</v>
      </c>
      <c r="R269" s="5">
        <f>IF($B268&lt;=Tabla5[[#This Row],[INVERSIONES FCI]],+Tabla5[[#This Row],[INVERSIONES FCI]]-R268,Tabla5[[#This Row],[INVERSIONES FCI]])</f>
        <v>9364951380.2509079</v>
      </c>
      <c r="S269" s="5">
        <f>IF($B268&lt;=Tabla5[[#This Row],[INVERSIONES FCI]],+Tabla5[[#This Row],[INVERSIONES FCI]]-S268,Tabla5[[#This Row],[INVERSIONES FCI]])</f>
        <v>9364951380.2509079</v>
      </c>
      <c r="T269" s="5">
        <f>IF($B268&lt;=Tabla5[[#This Row],[INVERSIONES FCI]],+Tabla5[[#This Row],[INVERSIONES FCI]]-T268,Tabla5[[#This Row],[INVERSIONES FCI]])</f>
        <v>9364951380.2509079</v>
      </c>
      <c r="U269" s="5">
        <f>IF($B268&lt;=Tabla5[[#This Row],[INVERSIONES FCI]],+Tabla5[[#This Row],[INVERSIONES FCI]]-U268,Tabla5[[#This Row],[INVERSIONES FCI]])</f>
        <v>9364951380.2509079</v>
      </c>
      <c r="V269" s="5">
        <f>IF($B268&lt;=Tabla5[[#This Row],[INVERSIONES FCI]],+Tabla5[[#This Row],[INVERSIONES FCI]]-V268,Tabla5[[#This Row],[INVERSIONES FCI]])</f>
        <v>9364951380.2509079</v>
      </c>
      <c r="W269" s="5">
        <f>IF($B268&lt;=Tabla5[[#This Row],[INVERSIONES FCI]],+Tabla5[[#This Row],[INVERSIONES FCI]]-W268,Tabla5[[#This Row],[INVERSIONES FCI]])</f>
        <v>9364951380.2509079</v>
      </c>
      <c r="X269" s="5">
        <f>IF($B268&lt;=Tabla5[[#This Row],[INVERSIONES FCI]],+Tabla5[[#This Row],[INVERSIONES FCI]]-X268,Tabla5[[#This Row],[INVERSIONES FCI]])</f>
        <v>9364951380.2509079</v>
      </c>
      <c r="Y269" s="5">
        <f>IF($B268&lt;=Tabla5[[#This Row],[INVERSIONES FCI]],+Tabla5[[#This Row],[INVERSIONES FCI]]-Y268,Tabla5[[#This Row],[INVERSIONES FCI]])</f>
        <v>9364951380.2509079</v>
      </c>
      <c r="Z269" s="5">
        <f>IF($B268&lt;=Tabla5[[#This Row],[INVERSIONES FCI]],+Tabla5[[#This Row],[INVERSIONES FCI]]-Z268,Tabla5[[#This Row],[INVERSIONES FCI]])</f>
        <v>9364951380.2509079</v>
      </c>
      <c r="AA269" s="5">
        <f>IF($B268&lt;=Tabla5[[#This Row],[INVERSIONES FCI]],+Tabla5[[#This Row],[INVERSIONES FCI]]-AA268,Tabla5[[#This Row],[INVERSIONES FCI]])</f>
        <v>9364951380.2509079</v>
      </c>
      <c r="AB269" s="5">
        <f>IF($B268&lt;=Tabla5[[#This Row],[INVERSIONES FCI]],+Tabla5[[#This Row],[INVERSIONES FCI]]-AB268,Tabla5[[#This Row],[INVERSIONES FCI]])</f>
        <v>9364951380.2509079</v>
      </c>
      <c r="AC269" s="5">
        <f>IF($B268&lt;=Tabla5[[#This Row],[INVERSIONES FCI]],+Tabla5[[#This Row],[INVERSIONES FCI]]-AC268,Tabla5[[#This Row],[INVERSIONES FCI]])</f>
        <v>9364951380.2509079</v>
      </c>
      <c r="AD269" s="5">
        <f>IF($B268&lt;=Tabla5[[#This Row],[INVERSIONES FCI]],+Tabla5[[#This Row],[INVERSIONES FCI]]-AD268,Tabla5[[#This Row],[INVERSIONES FCI]])</f>
        <v>9364951380.2509079</v>
      </c>
      <c r="AE269" s="5">
        <f>IF($B268&lt;=Tabla5[[#This Row],[INVERSIONES FCI]],+Tabla5[[#This Row],[INVERSIONES FCI]]-AE268,Tabla5[[#This Row],[INVERSIONES FCI]])</f>
        <v>9364951380.2509079</v>
      </c>
      <c r="AF269" s="5">
        <f>IF($B268&lt;=Tabla5[[#This Row],[INVERSIONES FCI]],+Tabla5[[#This Row],[INVERSIONES FCI]]-AF268,Tabla5[[#This Row],[INVERSIONES FCI]])</f>
        <v>9364951380.2509079</v>
      </c>
      <c r="AG269" s="5">
        <f>IF($B268&lt;=Tabla5[[#This Row],[INVERSIONES FCI]],+Tabla5[[#This Row],[INVERSIONES FCI]]-AG268,Tabla5[[#This Row],[INVERSIONES FCI]])</f>
        <v>9364951380.2509079</v>
      </c>
      <c r="AH269" s="5">
        <f>IF($B268&lt;=Tabla5[[#This Row],[INVERSIONES FCI]],+Tabla5[[#This Row],[INVERSIONES FCI]]-AH268,Tabla5[[#This Row],[INVERSIONES FCI]])</f>
        <v>9364951380.2509079</v>
      </c>
      <c r="AI269" s="5">
        <f>IF($B268&lt;=Tabla5[[#This Row],[INVERSIONES FCI]],+Tabla5[[#This Row],[INVERSIONES FCI]]-AI268,Tabla5[[#This Row],[INVERSIONES FCI]])</f>
        <v>9364951380.2509079</v>
      </c>
      <c r="AJ269" s="5">
        <f>IF($B268&lt;=Tabla5[[#This Row],[INVERSIONES FCI]],+Tabla5[[#This Row],[INVERSIONES FCI]]-AJ268,Tabla5[[#This Row],[INVERSIONES FCI]])</f>
        <v>9364951380.2509079</v>
      </c>
      <c r="AK269" s="5">
        <f>IF($B268&lt;=Tabla5[[#This Row],[INVERSIONES FCI]],+Tabla5[[#This Row],[INVERSIONES FCI]]-AK268,Tabla5[[#This Row],[INVERSIONES FCI]])</f>
        <v>9364951380.2509079</v>
      </c>
      <c r="AL269" s="5">
        <f>IF($B268&lt;=Tabla5[[#This Row],[INVERSIONES FCI]],+Tabla5[[#This Row],[INVERSIONES FCI]]-AL268,Tabla5[[#This Row],[INVERSIONES FCI]])</f>
        <v>9364951380.2509079</v>
      </c>
      <c r="AM269" s="5">
        <f>IF($B268&lt;=Tabla5[[#This Row],[INVERSIONES FCI]],+Tabla5[[#This Row],[INVERSIONES FCI]]-AM268,Tabla5[[#This Row],[INVERSIONES FCI]])</f>
        <v>9364951380.2509079</v>
      </c>
      <c r="AN269" s="5">
        <f>IF($B268&lt;=Tabla5[[#This Row],[INVERSIONES FCI]],+Tabla5[[#This Row],[INVERSIONES FCI]]-AN268,Tabla5[[#This Row],[INVERSIONES FCI]])</f>
        <v>9364951380.2509079</v>
      </c>
      <c r="AO269" s="5">
        <f>IF($B268&lt;=Tabla5[[#This Row],[INVERSIONES FCI]],+Tabla5[[#This Row],[INVERSIONES FCI]]-AO268,Tabla5[[#This Row],[INVERSIONES FCI]])</f>
        <v>9364951380.2509079</v>
      </c>
      <c r="AP269" s="5">
        <f>IF($B268&lt;=Tabla5[[#This Row],[INVERSIONES FCI]],+Tabla5[[#This Row],[INVERSIONES FCI]]-AP268,Tabla5[[#This Row],[INVERSIONES FCI]])</f>
        <v>9364951380.2509079</v>
      </c>
      <c r="AQ269" s="5">
        <f>IF($B268&lt;=Tabla5[[#This Row],[INVERSIONES FCI]],+Tabla5[[#This Row],[INVERSIONES FCI]]-AQ268,Tabla5[[#This Row],[INVERSIONES FCI]])</f>
        <v>9364951380.2509079</v>
      </c>
      <c r="AR269" s="5">
        <f>IF($B268&lt;=Tabla5[[#This Row],[INVERSIONES FCI]],+Tabla5[[#This Row],[INVERSIONES FCI]]-AR268,Tabla5[[#This Row],[INVERSIONES FCI]])</f>
        <v>9364951380.2509079</v>
      </c>
      <c r="AS269" s="5">
        <f>IF($B268&lt;=Tabla5[[#This Row],[INVERSIONES FCI]],+Tabla5[[#This Row],[INVERSIONES FCI]]-AS268,Tabla5[[#This Row],[INVERSIONES FCI]])</f>
        <v>9364951380.2509079</v>
      </c>
      <c r="AT269" s="5">
        <f>IF($B268&lt;=Tabla5[[#This Row],[INVERSIONES FCI]],+Tabla5[[#This Row],[INVERSIONES FCI]]-AT268,Tabla5[[#This Row],[INVERSIONES FCI]])</f>
        <v>9364951380.2509079</v>
      </c>
      <c r="AU269" s="5">
        <f>IF($B268&lt;=Tabla5[[#This Row],[INVERSIONES FCI]],+Tabla5[[#This Row],[INVERSIONES FCI]]-AU268,Tabla5[[#This Row],[INVERSIONES FCI]])</f>
        <v>9364951380.2509079</v>
      </c>
      <c r="AV269" s="5">
        <f>IF($B268&lt;=Tabla5[[#This Row],[INVERSIONES FCI]],+Tabla5[[#This Row],[INVERSIONES FCI]]-AV268,Tabla5[[#This Row],[INVERSIONES FCI]])</f>
        <v>9364951380.2509079</v>
      </c>
      <c r="AW269" s="5">
        <f>IF($B268&lt;=Tabla5[[#This Row],[INVERSIONES FCI]],+Tabla5[[#This Row],[INVERSIONES FCI]]-AW268,Tabla5[[#This Row],[INVERSIONES FCI]])</f>
        <v>9364951380.2509079</v>
      </c>
      <c r="AX269" s="5">
        <f>IF($B268&lt;=Tabla5[[#This Row],[INVERSIONES FCI]],+Tabla5[[#This Row],[INVERSIONES FCI]]-AX268,Tabla5[[#This Row],[INVERSIONES FCI]])</f>
        <v>9364951380.2509079</v>
      </c>
      <c r="AY269" s="5">
        <f>IF($B268&lt;=Tabla5[[#This Row],[INVERSIONES FCI]],+Tabla5[[#This Row],[INVERSIONES FCI]]-AY268,Tabla5[[#This Row],[INVERSIONES FCI]])</f>
        <v>9364951380.2509079</v>
      </c>
      <c r="AZ269" s="5">
        <f>IF($B268&lt;=Tabla5[[#This Row],[INVERSIONES FCI]],+Tabla5[[#This Row],[INVERSIONES FCI]]-AZ268,Tabla5[[#This Row],[INVERSIONES FCI]])</f>
        <v>9364951380.2509079</v>
      </c>
      <c r="BA269" s="5">
        <f>IF($B268&lt;=Tabla5[[#This Row],[INVERSIONES FCI]],+Tabla5[[#This Row],[INVERSIONES FCI]]-BA268,Tabla5[[#This Row],[INVERSIONES FCI]])</f>
        <v>9364951380.2509079</v>
      </c>
      <c r="BB269" s="5">
        <f>IF($B268&lt;=Tabla5[[#This Row],[INVERSIONES FCI]],+Tabla5[[#This Row],[INVERSIONES FCI]]-BB268,Tabla5[[#This Row],[INVERSIONES FCI]])</f>
        <v>9364951380.2509079</v>
      </c>
      <c r="BC269" s="5">
        <f>IF($B268&lt;=Tabla5[[#This Row],[INVERSIONES FCI]],+Tabla5[[#This Row],[INVERSIONES FCI]]-BC268,Tabla5[[#This Row],[INVERSIONES FCI]])</f>
        <v>9364951380.2509079</v>
      </c>
      <c r="BD269" s="5">
        <f>IF($B268&lt;=Tabla5[[#This Row],[INVERSIONES FCI]],+Tabla5[[#This Row],[INVERSIONES FCI]]-BD268,Tabla5[[#This Row],[INVERSIONES FCI]])</f>
        <v>9364951380.2509079</v>
      </c>
      <c r="BE269" s="5">
        <f>IF($B268&lt;=Tabla5[[#This Row],[INVERSIONES FCI]],+Tabla5[[#This Row],[INVERSIONES FCI]]-BE268,Tabla5[[#This Row],[INVERSIONES FCI]])</f>
        <v>9364951380.2509079</v>
      </c>
      <c r="BF269" s="5">
        <f>IF($B268&lt;=Tabla5[[#This Row],[INVERSIONES FCI]],+Tabla5[[#This Row],[INVERSIONES FCI]]-BF268,Tabla5[[#This Row],[INVERSIONES FCI]])</f>
        <v>9364951380.2509079</v>
      </c>
      <c r="BG269" s="5">
        <f>IF($B268&lt;=Tabla5[[#This Row],[INVERSIONES FCI]],+Tabla5[[#This Row],[INVERSIONES FCI]]-BG268,Tabla5[[#This Row],[INVERSIONES FCI]])</f>
        <v>9364951380.2509079</v>
      </c>
      <c r="BH269" s="5">
        <f>IF($B268&lt;=Tabla5[[#This Row],[INVERSIONES FCI]],+Tabla5[[#This Row],[INVERSIONES FCI]]-BH268,Tabla5[[#This Row],[INVERSIONES FCI]])</f>
        <v>9364951380.2509079</v>
      </c>
      <c r="BI269" s="5">
        <f>IF($B268&lt;=Tabla5[[#This Row],[INVERSIONES FCI]],+Tabla5[[#This Row],[INVERSIONES FCI]]-BI268,Tabla5[[#This Row],[INVERSIONES FCI]])</f>
        <v>9364951380.2509079</v>
      </c>
      <c r="BJ269" s="5">
        <f>IF($B268&lt;=Tabla5[[#This Row],[INVERSIONES FCI]],+Tabla5[[#This Row],[INVERSIONES FCI]]-BJ268,Tabla5[[#This Row],[INVERSIONES FCI]])</f>
        <v>9364951380.2509079</v>
      </c>
      <c r="BK269" s="5">
        <f>IF($B268&lt;=Tabla5[[#This Row],[INVERSIONES FCI]],+Tabla5[[#This Row],[INVERSIONES FCI]]-BK268,Tabla5[[#This Row],[INVERSIONES FCI]])</f>
        <v>9364951380.2509079</v>
      </c>
      <c r="BL269" s="5">
        <f>IF($B268&lt;=Tabla5[[#This Row],[INVERSIONES FCI]],+Tabla5[[#This Row],[INVERSIONES FCI]]-BL268,Tabla5[[#This Row],[INVERSIONES FCI]])</f>
        <v>9364951380.2509079</v>
      </c>
      <c r="BM269" s="5">
        <f>IF($B268&lt;=Tabla5[[#This Row],[INVERSIONES FCI]],+Tabla5[[#This Row],[INVERSIONES FCI]]-BM268,Tabla5[[#This Row],[INVERSIONES FCI]])</f>
        <v>9364951380.2509079</v>
      </c>
      <c r="BN269" s="5">
        <f>IF($B268&lt;=Tabla5[[#This Row],[INVERSIONES FCI]],+Tabla5[[#This Row],[INVERSIONES FCI]]-BN268,Tabla5[[#This Row],[INVERSIONES FCI]])</f>
        <v>9364951380.2509079</v>
      </c>
      <c r="BO269" s="5">
        <f>IF($B268&lt;=Tabla5[[#This Row],[INVERSIONES FCI]],+Tabla5[[#This Row],[INVERSIONES FCI]]-BO268,Tabla5[[#This Row],[INVERSIONES FCI]])</f>
        <v>9364951380.2509079</v>
      </c>
      <c r="BP269" s="5">
        <f>IF($B268&lt;=Tabla5[[#This Row],[INVERSIONES FCI]],+Tabla5[[#This Row],[INVERSIONES FCI]]-BP268,Tabla5[[#This Row],[INVERSIONES FCI]])</f>
        <v>9364951380.2509079</v>
      </c>
      <c r="BQ269" s="5">
        <f>IF($B268&lt;=Tabla5[[#This Row],[INVERSIONES FCI]],+Tabla5[[#This Row],[INVERSIONES FCI]]-BQ268,Tabla5[[#This Row],[INVERSIONES FCI]])</f>
        <v>9364951380.2509079</v>
      </c>
      <c r="BR269" s="5">
        <f>IF($B268&lt;=Tabla5[[#This Row],[INVERSIONES FCI]],+Tabla5[[#This Row],[INVERSIONES FCI]]-BR268,Tabla5[[#This Row],[INVERSIONES FCI]])</f>
        <v>9364951380.2509079</v>
      </c>
      <c r="BS269" s="5">
        <f>IF($B268&lt;=Tabla5[[#This Row],[INVERSIONES FCI]],+Tabla5[[#This Row],[INVERSIONES FCI]]-BS268,Tabla5[[#This Row],[INVERSIONES FCI]])</f>
        <v>9364951380.2509079</v>
      </c>
      <c r="BT269" s="5">
        <f>IF($B268&lt;=Tabla5[[#This Row],[INVERSIONES FCI]],+Tabla5[[#This Row],[INVERSIONES FCI]]-BT268,Tabla5[[#This Row],[INVERSIONES FCI]])</f>
        <v>9364951380.2509079</v>
      </c>
      <c r="BU269" s="5">
        <f>IF($B268&lt;=Tabla5[[#This Row],[INVERSIONES FCI]],+Tabla5[[#This Row],[INVERSIONES FCI]]-BU268,Tabla5[[#This Row],[INVERSIONES FCI]])</f>
        <v>9364951380.2509079</v>
      </c>
      <c r="BV269" s="5">
        <f>IF($B268&lt;=Tabla5[[#This Row],[INVERSIONES FCI]],+Tabla5[[#This Row],[INVERSIONES FCI]]-BV268,Tabla5[[#This Row],[INVERSIONES FCI]])</f>
        <v>9364951380.2509079</v>
      </c>
      <c r="BW269" s="5">
        <f>IF($B268&lt;=Tabla5[[#This Row],[INVERSIONES FCI]],+Tabla5[[#This Row],[INVERSIONES FCI]]-BW268,Tabla5[[#This Row],[INVERSIONES FCI]])</f>
        <v>9364951380.2509079</v>
      </c>
      <c r="BX269" s="5">
        <f>IF($B268&lt;=Tabla5[[#This Row],[INVERSIONES FCI]],+Tabla5[[#This Row],[INVERSIONES FCI]]-BX268,Tabla5[[#This Row],[INVERSIONES FCI]])</f>
        <v>9364951380.2509079</v>
      </c>
      <c r="BY269" s="5">
        <f>IF($B268&lt;=Tabla5[[#This Row],[INVERSIONES FCI]],+Tabla5[[#This Row],[INVERSIONES FCI]]-BY268,Tabla5[[#This Row],[INVERSIONES FCI]])</f>
        <v>9364951380.2509079</v>
      </c>
      <c r="BZ269" s="5">
        <f>IF($B268&lt;=Tabla5[[#This Row],[INVERSIONES FCI]],+Tabla5[[#This Row],[INVERSIONES FCI]]-BZ268,Tabla5[[#This Row],[INVERSIONES FCI]])</f>
        <v>9364951380.2509079</v>
      </c>
      <c r="CA269" s="5">
        <f>IF($B268&lt;=Tabla5[[#This Row],[INVERSIONES FCI]],+Tabla5[[#This Row],[INVERSIONES FCI]]-CA268,Tabla5[[#This Row],[INVERSIONES FCI]])</f>
        <v>9364951380.2509079</v>
      </c>
      <c r="CB269" s="5">
        <f>IF($B268&lt;=Tabla5[[#This Row],[INVERSIONES FCI]],+Tabla5[[#This Row],[INVERSIONES FCI]]-CB268,Tabla5[[#This Row],[INVERSIONES FCI]])</f>
        <v>9364951380.2509079</v>
      </c>
      <c r="CC269" s="5">
        <f>IF($B268&lt;=Tabla5[[#This Row],[INVERSIONES FCI]],+Tabla5[[#This Row],[INVERSIONES FCI]]-CC268,Tabla5[[#This Row],[INVERSIONES FCI]])</f>
        <v>9364951380.2509079</v>
      </c>
      <c r="CD269" s="5">
        <f>IF($B268&lt;=Tabla5[[#This Row],[INVERSIONES FCI]],+Tabla5[[#This Row],[INVERSIONES FCI]]-CD268,Tabla5[[#This Row],[INVERSIONES FCI]])</f>
        <v>9364951380.2509079</v>
      </c>
      <c r="CE269" s="5">
        <f>IF($B268&lt;=Tabla5[[#This Row],[INVERSIONES FCI]],+Tabla5[[#This Row],[INVERSIONES FCI]]-CE268,Tabla5[[#This Row],[INVERSIONES FCI]])</f>
        <v>9364951380.2509079</v>
      </c>
      <c r="CF269" s="5">
        <f>IF($B268&lt;=Tabla5[[#This Row],[INVERSIONES FCI]],+Tabla5[[#This Row],[INVERSIONES FCI]]-CF268,Tabla5[[#This Row],[INVERSIONES FCI]])</f>
        <v>9364951380.2509079</v>
      </c>
      <c r="CG269" s="5">
        <f>IF($B268&lt;=Tabla5[[#This Row],[INVERSIONES FCI]],+Tabla5[[#This Row],[INVERSIONES FCI]]-CG268,Tabla5[[#This Row],[INVERSIONES FCI]])</f>
        <v>9364951380.2509079</v>
      </c>
      <c r="CH269" s="5">
        <f>IF($B268&lt;=Tabla5[[#This Row],[INVERSIONES FCI]],+Tabla5[[#This Row],[INVERSIONES FCI]]-CH268,Tabla5[[#This Row],[INVERSIONES FCI]])</f>
        <v>9364951380.2509079</v>
      </c>
      <c r="CI269" s="5">
        <f>IF($B268&lt;=Tabla5[[#This Row],[INVERSIONES FCI]],+Tabla5[[#This Row],[INVERSIONES FCI]]-CI268,Tabla5[[#This Row],[INVERSIONES FCI]])</f>
        <v>9364951380.2509079</v>
      </c>
      <c r="CJ269" s="5">
        <f>IF($B268&lt;=Tabla5[[#This Row],[INVERSIONES FCI]],+Tabla5[[#This Row],[INVERSIONES FCI]]-CJ268,Tabla5[[#This Row],[INVERSIONES FCI]])</f>
        <v>9364951380.2509079</v>
      </c>
      <c r="CK269" s="5">
        <f>IF($B268&lt;=Tabla5[[#This Row],[INVERSIONES FCI]],+Tabla5[[#This Row],[INVERSIONES FCI]]-CK268,Tabla5[[#This Row],[INVERSIONES FCI]])</f>
        <v>9364951380.2509079</v>
      </c>
      <c r="CL269" s="5">
        <f>IF($B268&lt;=Tabla5[[#This Row],[INVERSIONES FCI]],+Tabla5[[#This Row],[INVERSIONES FCI]]-CL268,Tabla5[[#This Row],[INVERSIONES FCI]])</f>
        <v>9364951380.2509079</v>
      </c>
      <c r="CM269" s="5">
        <f>IF($B268&lt;=Tabla5[[#This Row],[INVERSIONES FCI]],+Tabla5[[#This Row],[INVERSIONES FCI]]-CM268,Tabla5[[#This Row],[INVERSIONES FCI]])</f>
        <v>9364951380.2509079</v>
      </c>
      <c r="CN269" s="5">
        <f>IF($B268&lt;=Tabla5[[#This Row],[INVERSIONES FCI]],+Tabla5[[#This Row],[INVERSIONES FCI]]-CN268,Tabla5[[#This Row],[INVERSIONES FCI]])</f>
        <v>9364951380.2509079</v>
      </c>
      <c r="CO269" s="5">
        <f>IF($B268&lt;=Tabla5[[#This Row],[INVERSIONES FCI]],+Tabla5[[#This Row],[INVERSIONES FCI]]-CO268,Tabla5[[#This Row],[INVERSIONES FCI]])</f>
        <v>9364951380.2509079</v>
      </c>
      <c r="CP269" s="5">
        <f>IF($B268&lt;=Tabla5[[#This Row],[INVERSIONES FCI]],+Tabla5[[#This Row],[INVERSIONES FCI]]-CP268,Tabla5[[#This Row],[INVERSIONES FCI]])</f>
        <v>9364951380.2509079</v>
      </c>
      <c r="CQ269" s="5">
        <f>IF($B268&lt;=Tabla5[[#This Row],[INVERSIONES FCI]],+Tabla5[[#This Row],[INVERSIONES FCI]]-CQ268,Tabla5[[#This Row],[INVERSIONES FCI]])</f>
        <v>9364951380.2509079</v>
      </c>
      <c r="CR269" s="5">
        <f>IF($B268&lt;=Tabla5[[#This Row],[INVERSIONES FCI]],+Tabla5[[#This Row],[INVERSIONES FCI]]-CR268,Tabla5[[#This Row],[INVERSIONES FCI]])</f>
        <v>9364951380.2509079</v>
      </c>
      <c r="CS269" s="5">
        <f>IF($B268&lt;=Tabla5[[#This Row],[INVERSIONES FCI]],+Tabla5[[#This Row],[INVERSIONES FCI]]-CS268,Tabla5[[#This Row],[INVERSIONES FCI]])</f>
        <v>9364951380.2509079</v>
      </c>
      <c r="CT269" s="5">
        <f>IF($B268&lt;=Tabla5[[#This Row],[INVERSIONES FCI]],+Tabla5[[#This Row],[INVERSIONES FCI]]-CT268,Tabla5[[#This Row],[INVERSIONES FCI]])</f>
        <v>9364951380.2509079</v>
      </c>
      <c r="CU269" s="5">
        <f>IF($B268&lt;=Tabla5[[#This Row],[INVERSIONES FCI]],+Tabla5[[#This Row],[INVERSIONES FCI]]-CU268,Tabla5[[#This Row],[INVERSIONES FCI]])</f>
        <v>9364951380.2509079</v>
      </c>
      <c r="CV269" s="5">
        <f>IF($B268&lt;=Tabla5[[#This Row],[INVERSIONES FCI]],+Tabla5[[#This Row],[INVERSIONES FCI]]-CV268,Tabla5[[#This Row],[INVERSIONES FCI]])</f>
        <v>9364951380.2509079</v>
      </c>
      <c r="CW269" s="5">
        <f>IF($B268&lt;=Tabla5[[#This Row],[INVERSIONES FCI]],+Tabla5[[#This Row],[INVERSIONES FCI]]-CW268,Tabla5[[#This Row],[INVERSIONES FCI]])</f>
        <v>9364951380.2509079</v>
      </c>
      <c r="CX269" s="5">
        <f>IF($B268&lt;=Tabla5[[#This Row],[INVERSIONES FCI]],+Tabla5[[#This Row],[INVERSIONES FCI]]-CX268,Tabla5[[#This Row],[INVERSIONES FCI]])</f>
        <v>9364951380.2509079</v>
      </c>
      <c r="CY269" s="5">
        <f>IF($B268&lt;=Tabla5[[#This Row],[INVERSIONES FCI]],+Tabla5[[#This Row],[INVERSIONES FCI]]-CY268,Tabla5[[#This Row],[INVERSIONES FCI]])</f>
        <v>9364951380.2509079</v>
      </c>
      <c r="CZ269" s="5">
        <f>IF($B268&lt;=Tabla5[[#This Row],[INVERSIONES FCI]],+Tabla5[[#This Row],[INVERSIONES FCI]]-CZ268,Tabla5[[#This Row],[INVERSIONES FCI]])</f>
        <v>9364951380.2509079</v>
      </c>
      <c r="DA269" s="5">
        <f>IF($B268&lt;=Tabla5[[#This Row],[INVERSIONES FCI]],+Tabla5[[#This Row],[INVERSIONES FCI]]-DA268,Tabla5[[#This Row],[INVERSIONES FCI]])</f>
        <v>9364951380.2509079</v>
      </c>
      <c r="DB269" s="5">
        <f>IF($B268&lt;=Tabla5[[#This Row],[INVERSIONES FCI]],+Tabla5[[#This Row],[INVERSIONES FCI]]-DB268,Tabla5[[#This Row],[INVERSIONES FCI]])</f>
        <v>9364951380.2509079</v>
      </c>
      <c r="DC269" s="5">
        <f>IF($B268&lt;=Tabla5[[#This Row],[INVERSIONES FCI]],+Tabla5[[#This Row],[INVERSIONES FCI]]-DC268,Tabla5[[#This Row],[INVERSIONES FCI]])</f>
        <v>9364951380.2509079</v>
      </c>
      <c r="DD269" s="5">
        <f>IF($B268&lt;=Tabla5[[#This Row],[INVERSIONES FCI]],+Tabla5[[#This Row],[INVERSIONES FCI]]-DD268,Tabla5[[#This Row],[INVERSIONES FCI]])</f>
        <v>9364951380.2509079</v>
      </c>
      <c r="DE269" s="5">
        <f>IF($B268&lt;=Tabla5[[#This Row],[INVERSIONES FCI]],+Tabla5[[#This Row],[INVERSIONES FCI]]-DE268,Tabla5[[#This Row],[INVERSIONES FCI]])</f>
        <v>9364951380.2509079</v>
      </c>
      <c r="DF269" s="5">
        <f>IF($B268&lt;=Tabla5[[#This Row],[INVERSIONES FCI]],+Tabla5[[#This Row],[INVERSIONES FCI]]-DF268,Tabla5[[#This Row],[INVERSIONES FCI]])</f>
        <v>9364951380.2509079</v>
      </c>
      <c r="DG269" s="5">
        <f>IF($B268&lt;=Tabla5[[#This Row],[INVERSIONES FCI]],+Tabla5[[#This Row],[INVERSIONES FCI]]-DG268,Tabla5[[#This Row],[INVERSIONES FCI]])</f>
        <v>9364951380.2509079</v>
      </c>
      <c r="DH269" s="5">
        <f>IF($B268&lt;=Tabla5[[#This Row],[INVERSIONES FCI]],+Tabla5[[#This Row],[INVERSIONES FCI]]-DH268,Tabla5[[#This Row],[INVERSIONES FCI]])</f>
        <v>9364951380.2509079</v>
      </c>
      <c r="DI269" s="5">
        <f>IF($B268&lt;=Tabla5[[#This Row],[INVERSIONES FCI]],+Tabla5[[#This Row],[INVERSIONES FCI]]-DI268,Tabla5[[#This Row],[INVERSIONES FCI]])</f>
        <v>9364951380.2509079</v>
      </c>
      <c r="DJ269" s="5">
        <f>IF($B268&lt;=Tabla5[[#This Row],[INVERSIONES FCI]],+Tabla5[[#This Row],[INVERSIONES FCI]]-DJ268,Tabla5[[#This Row],[INVERSIONES FCI]])</f>
        <v>9364951380.2509079</v>
      </c>
      <c r="DK269" s="5">
        <f>IF($B268&lt;=Tabla5[[#This Row],[INVERSIONES FCI]],+Tabla5[[#This Row],[INVERSIONES FCI]]-DK268,Tabla5[[#This Row],[INVERSIONES FCI]])</f>
        <v>9364951380.2509079</v>
      </c>
      <c r="DL269" s="5"/>
      <c r="DM269" s="5"/>
      <c r="DN269" s="5"/>
      <c r="DO269" s="5"/>
      <c r="DP269" s="5"/>
      <c r="DQ269" s="5"/>
    </row>
    <row r="270" spans="1:121" ht="14.4">
      <c r="A270" s="12" t="s">
        <v>269</v>
      </c>
      <c r="B270" s="5">
        <f>HLOOKUP($A270,ESCENARIO[#All],7,FALSE)</f>
        <v>65841403558.223724</v>
      </c>
      <c r="C270" s="5">
        <f>IF($B269&lt;=Tabla5[[#This Row],[INVERSIONES FCI]],+Tabla5[[#This Row],[INVERSIONES FCI]]-C269,Tabla5[[#This Row],[INVERSIONES FCI]])</f>
        <v>65841403558.223724</v>
      </c>
      <c r="D270" s="5">
        <f>IF($B269&lt;=Tabla5[[#This Row],[INVERSIONES FCI]],+Tabla5[[#This Row],[INVERSIONES FCI]]-D269,Tabla5[[#This Row],[INVERSIONES FCI]])</f>
        <v>65841403558.223724</v>
      </c>
      <c r="E270" s="5">
        <f>IF($B269&lt;=Tabla5[[#This Row],[INVERSIONES FCI]],+Tabla5[[#This Row],[INVERSIONES FCI]]-E269,Tabla5[[#This Row],[INVERSIONES FCI]])</f>
        <v>65841403558.223724</v>
      </c>
      <c r="F270" s="5">
        <f>IF($B269&lt;=Tabla5[[#This Row],[INVERSIONES FCI]],+Tabla5[[#This Row],[INVERSIONES FCI]]-F269,Tabla5[[#This Row],[INVERSIONES FCI]])</f>
        <v>65841403558.223724</v>
      </c>
      <c r="G270" s="5">
        <f>IF($B269&lt;=Tabla5[[#This Row],[INVERSIONES FCI]],+Tabla5[[#This Row],[INVERSIONES FCI]]-G269,Tabla5[[#This Row],[INVERSIONES FCI]])</f>
        <v>65841403558.223724</v>
      </c>
      <c r="H270" s="5">
        <f>IF($B269&lt;=Tabla5[[#This Row],[INVERSIONES FCI]],+Tabla5[[#This Row],[INVERSIONES FCI]]-H269,Tabla5[[#This Row],[INVERSIONES FCI]])</f>
        <v>65841403558.223724</v>
      </c>
      <c r="I270" s="5">
        <f>IF($B269&lt;=Tabla5[[#This Row],[INVERSIONES FCI]],+Tabla5[[#This Row],[INVERSIONES FCI]]-I269,Tabla5[[#This Row],[INVERSIONES FCI]])</f>
        <v>65841403558.223724</v>
      </c>
      <c r="J270" s="5">
        <f>IF($B269&lt;=Tabla5[[#This Row],[INVERSIONES FCI]],+Tabla5[[#This Row],[INVERSIONES FCI]]-J269,Tabla5[[#This Row],[INVERSIONES FCI]])</f>
        <v>65841403558.223724</v>
      </c>
      <c r="K270" s="5">
        <f>IF($B269&lt;=Tabla5[[#This Row],[INVERSIONES FCI]],+Tabla5[[#This Row],[INVERSIONES FCI]]-K269,Tabla5[[#This Row],[INVERSIONES FCI]])</f>
        <v>65841403558.223724</v>
      </c>
      <c r="L270" s="5">
        <f>IF($B269&lt;=Tabla5[[#This Row],[INVERSIONES FCI]],+Tabla5[[#This Row],[INVERSIONES FCI]]-L269,Tabla5[[#This Row],[INVERSIONES FCI]])</f>
        <v>65841403558.223724</v>
      </c>
      <c r="M270" s="5">
        <f>IF($B269&lt;=Tabla5[[#This Row],[INVERSIONES FCI]],+Tabla5[[#This Row],[INVERSIONES FCI]]-M269,Tabla5[[#This Row],[INVERSIONES FCI]])</f>
        <v>65841403558.223724</v>
      </c>
      <c r="N270" s="5">
        <f>IF($B269&lt;=Tabla5[[#This Row],[INVERSIONES FCI]],+Tabla5[[#This Row],[INVERSIONES FCI]]-N269,Tabla5[[#This Row],[INVERSIONES FCI]])</f>
        <v>65841403558.223724</v>
      </c>
      <c r="O270" s="5">
        <f>IF($B269&lt;=Tabla5[[#This Row],[INVERSIONES FCI]],+Tabla5[[#This Row],[INVERSIONES FCI]]-O269,Tabla5[[#This Row],[INVERSIONES FCI]])</f>
        <v>65841403558.223724</v>
      </c>
      <c r="P270" s="5">
        <f>IF($B269&lt;=Tabla5[[#This Row],[INVERSIONES FCI]],+Tabla5[[#This Row],[INVERSIONES FCI]]-P269,Tabla5[[#This Row],[INVERSIONES FCI]])</f>
        <v>65841403558.223724</v>
      </c>
      <c r="Q270" s="5">
        <f>IF($B269&lt;=Tabla5[[#This Row],[INVERSIONES FCI]],+Tabla5[[#This Row],[INVERSIONES FCI]]-Q269,Tabla5[[#This Row],[INVERSIONES FCI]])</f>
        <v>65841403558.223724</v>
      </c>
      <c r="R270" s="5">
        <f>IF($B269&lt;=Tabla5[[#This Row],[INVERSIONES FCI]],+Tabla5[[#This Row],[INVERSIONES FCI]]-R269,Tabla5[[#This Row],[INVERSIONES FCI]])</f>
        <v>65841403558.223724</v>
      </c>
      <c r="S270" s="5">
        <f>IF($B269&lt;=Tabla5[[#This Row],[INVERSIONES FCI]],+Tabla5[[#This Row],[INVERSIONES FCI]]-S269,Tabla5[[#This Row],[INVERSIONES FCI]])</f>
        <v>65841403558.223724</v>
      </c>
      <c r="T270" s="5">
        <f>IF($B269&lt;=Tabla5[[#This Row],[INVERSIONES FCI]],+Tabla5[[#This Row],[INVERSIONES FCI]]-T269,Tabla5[[#This Row],[INVERSIONES FCI]])</f>
        <v>65841403558.223724</v>
      </c>
      <c r="U270" s="5">
        <f>IF($B269&lt;=Tabla5[[#This Row],[INVERSIONES FCI]],+Tabla5[[#This Row],[INVERSIONES FCI]]-U269,Tabla5[[#This Row],[INVERSIONES FCI]])</f>
        <v>65841403558.223724</v>
      </c>
      <c r="V270" s="5">
        <f>IF($B269&lt;=Tabla5[[#This Row],[INVERSIONES FCI]],+Tabla5[[#This Row],[INVERSIONES FCI]]-V269,Tabla5[[#This Row],[INVERSIONES FCI]])</f>
        <v>65841403558.223724</v>
      </c>
      <c r="W270" s="5">
        <f>IF($B269&lt;=Tabla5[[#This Row],[INVERSIONES FCI]],+Tabla5[[#This Row],[INVERSIONES FCI]]-W269,Tabla5[[#This Row],[INVERSIONES FCI]])</f>
        <v>65841403558.223724</v>
      </c>
      <c r="X270" s="5">
        <f>IF($B269&lt;=Tabla5[[#This Row],[INVERSIONES FCI]],+Tabla5[[#This Row],[INVERSIONES FCI]]-X269,Tabla5[[#This Row],[INVERSIONES FCI]])</f>
        <v>65841403558.223724</v>
      </c>
      <c r="Y270" s="5">
        <f>IF($B269&lt;=Tabla5[[#This Row],[INVERSIONES FCI]],+Tabla5[[#This Row],[INVERSIONES FCI]]-Y269,Tabla5[[#This Row],[INVERSIONES FCI]])</f>
        <v>65841403558.223724</v>
      </c>
      <c r="Z270" s="5">
        <f>IF($B269&lt;=Tabla5[[#This Row],[INVERSIONES FCI]],+Tabla5[[#This Row],[INVERSIONES FCI]]-Z269,Tabla5[[#This Row],[INVERSIONES FCI]])</f>
        <v>65841403558.223724</v>
      </c>
      <c r="AA270" s="5">
        <f>IF($B269&lt;=Tabla5[[#This Row],[INVERSIONES FCI]],+Tabla5[[#This Row],[INVERSIONES FCI]]-AA269,Tabla5[[#This Row],[INVERSIONES FCI]])</f>
        <v>65841403558.223724</v>
      </c>
      <c r="AB270" s="5">
        <f>IF($B269&lt;=Tabla5[[#This Row],[INVERSIONES FCI]],+Tabla5[[#This Row],[INVERSIONES FCI]]-AB269,Tabla5[[#This Row],[INVERSIONES FCI]])</f>
        <v>65841403558.223724</v>
      </c>
      <c r="AC270" s="5">
        <f>IF($B269&lt;=Tabla5[[#This Row],[INVERSIONES FCI]],+Tabla5[[#This Row],[INVERSIONES FCI]]-AC269,Tabla5[[#This Row],[INVERSIONES FCI]])</f>
        <v>65841403558.223724</v>
      </c>
      <c r="AD270" s="5">
        <f>IF($B269&lt;=Tabla5[[#This Row],[INVERSIONES FCI]],+Tabla5[[#This Row],[INVERSIONES FCI]]-AD269,Tabla5[[#This Row],[INVERSIONES FCI]])</f>
        <v>65841403558.223724</v>
      </c>
      <c r="AE270" s="5">
        <f>IF($B269&lt;=Tabla5[[#This Row],[INVERSIONES FCI]],+Tabla5[[#This Row],[INVERSIONES FCI]]-AE269,Tabla5[[#This Row],[INVERSIONES FCI]])</f>
        <v>65841403558.223724</v>
      </c>
      <c r="AF270" s="5">
        <f>IF($B269&lt;=Tabla5[[#This Row],[INVERSIONES FCI]],+Tabla5[[#This Row],[INVERSIONES FCI]]-AF269,Tabla5[[#This Row],[INVERSIONES FCI]])</f>
        <v>65841403558.223724</v>
      </c>
      <c r="AG270" s="5">
        <f>IF($B269&lt;=Tabla5[[#This Row],[INVERSIONES FCI]],+Tabla5[[#This Row],[INVERSIONES FCI]]-AG269,Tabla5[[#This Row],[INVERSIONES FCI]])</f>
        <v>65841403558.223724</v>
      </c>
      <c r="AH270" s="5">
        <f>IF($B269&lt;=Tabla5[[#This Row],[INVERSIONES FCI]],+Tabla5[[#This Row],[INVERSIONES FCI]]-AH269,Tabla5[[#This Row],[INVERSIONES FCI]])</f>
        <v>65841403558.223724</v>
      </c>
      <c r="AI270" s="5">
        <f>IF($B269&lt;=Tabla5[[#This Row],[INVERSIONES FCI]],+Tabla5[[#This Row],[INVERSIONES FCI]]-AI269,Tabla5[[#This Row],[INVERSIONES FCI]])</f>
        <v>65841403558.223724</v>
      </c>
      <c r="AJ270" s="5">
        <f>IF($B269&lt;=Tabla5[[#This Row],[INVERSIONES FCI]],+Tabla5[[#This Row],[INVERSIONES FCI]]-AJ269,Tabla5[[#This Row],[INVERSIONES FCI]])</f>
        <v>65841403558.223724</v>
      </c>
      <c r="AK270" s="5">
        <f>IF($B269&lt;=Tabla5[[#This Row],[INVERSIONES FCI]],+Tabla5[[#This Row],[INVERSIONES FCI]]-AK269,Tabla5[[#This Row],[INVERSIONES FCI]])</f>
        <v>65841403558.223724</v>
      </c>
      <c r="AL270" s="5">
        <f>IF($B269&lt;=Tabla5[[#This Row],[INVERSIONES FCI]],+Tabla5[[#This Row],[INVERSIONES FCI]]-AL269,Tabla5[[#This Row],[INVERSIONES FCI]])</f>
        <v>65841403558.223724</v>
      </c>
      <c r="AM270" s="5">
        <f>IF($B269&lt;=Tabla5[[#This Row],[INVERSIONES FCI]],+Tabla5[[#This Row],[INVERSIONES FCI]]-AM269,Tabla5[[#This Row],[INVERSIONES FCI]])</f>
        <v>65841403558.223724</v>
      </c>
      <c r="AN270" s="5">
        <f>IF($B269&lt;=Tabla5[[#This Row],[INVERSIONES FCI]],+Tabla5[[#This Row],[INVERSIONES FCI]]-AN269,Tabla5[[#This Row],[INVERSIONES FCI]])</f>
        <v>65841403558.223724</v>
      </c>
      <c r="AO270" s="5">
        <f>IF($B269&lt;=Tabla5[[#This Row],[INVERSIONES FCI]],+Tabla5[[#This Row],[INVERSIONES FCI]]-AO269,Tabla5[[#This Row],[INVERSIONES FCI]])</f>
        <v>65841403558.223724</v>
      </c>
      <c r="AP270" s="5">
        <f>IF($B269&lt;=Tabla5[[#This Row],[INVERSIONES FCI]],+Tabla5[[#This Row],[INVERSIONES FCI]]-AP269,Tabla5[[#This Row],[INVERSIONES FCI]])</f>
        <v>65841403558.223724</v>
      </c>
      <c r="AQ270" s="5">
        <f>IF($B269&lt;=Tabla5[[#This Row],[INVERSIONES FCI]],+Tabla5[[#This Row],[INVERSIONES FCI]]-AQ269,Tabla5[[#This Row],[INVERSIONES FCI]])</f>
        <v>65841403558.223724</v>
      </c>
      <c r="AR270" s="5">
        <f>IF($B269&lt;=Tabla5[[#This Row],[INVERSIONES FCI]],+Tabla5[[#This Row],[INVERSIONES FCI]]-AR269,Tabla5[[#This Row],[INVERSIONES FCI]])</f>
        <v>65841403558.223724</v>
      </c>
      <c r="AS270" s="5">
        <f>IF($B269&lt;=Tabla5[[#This Row],[INVERSIONES FCI]],+Tabla5[[#This Row],[INVERSIONES FCI]]-AS269,Tabla5[[#This Row],[INVERSIONES FCI]])</f>
        <v>65841403558.223724</v>
      </c>
      <c r="AT270" s="5">
        <f>IF($B269&lt;=Tabla5[[#This Row],[INVERSIONES FCI]],+Tabla5[[#This Row],[INVERSIONES FCI]]-AT269,Tabla5[[#This Row],[INVERSIONES FCI]])</f>
        <v>65841403558.223724</v>
      </c>
      <c r="AU270" s="5">
        <f>IF($B269&lt;=Tabla5[[#This Row],[INVERSIONES FCI]],+Tabla5[[#This Row],[INVERSIONES FCI]]-AU269,Tabla5[[#This Row],[INVERSIONES FCI]])</f>
        <v>65841403558.223724</v>
      </c>
      <c r="AV270" s="5">
        <f>IF($B269&lt;=Tabla5[[#This Row],[INVERSIONES FCI]],+Tabla5[[#This Row],[INVERSIONES FCI]]-AV269,Tabla5[[#This Row],[INVERSIONES FCI]])</f>
        <v>65841403558.223724</v>
      </c>
      <c r="AW270" s="5">
        <f>IF($B269&lt;=Tabla5[[#This Row],[INVERSIONES FCI]],+Tabla5[[#This Row],[INVERSIONES FCI]]-AW269,Tabla5[[#This Row],[INVERSIONES FCI]])</f>
        <v>65841403558.223724</v>
      </c>
      <c r="AX270" s="5">
        <f>IF($B269&lt;=Tabla5[[#This Row],[INVERSIONES FCI]],+Tabla5[[#This Row],[INVERSIONES FCI]]-AX269,Tabla5[[#This Row],[INVERSIONES FCI]])</f>
        <v>65841403558.223724</v>
      </c>
      <c r="AY270" s="5">
        <f>IF($B269&lt;=Tabla5[[#This Row],[INVERSIONES FCI]],+Tabla5[[#This Row],[INVERSIONES FCI]]-AY269,Tabla5[[#This Row],[INVERSIONES FCI]])</f>
        <v>65841403558.223724</v>
      </c>
      <c r="AZ270" s="5">
        <f>IF($B269&lt;=Tabla5[[#This Row],[INVERSIONES FCI]],+Tabla5[[#This Row],[INVERSIONES FCI]]-AZ269,Tabla5[[#This Row],[INVERSIONES FCI]])</f>
        <v>65841403558.223724</v>
      </c>
      <c r="BA270" s="5">
        <f>IF($B269&lt;=Tabla5[[#This Row],[INVERSIONES FCI]],+Tabla5[[#This Row],[INVERSIONES FCI]]-BA269,Tabla5[[#This Row],[INVERSIONES FCI]])</f>
        <v>65841403558.223724</v>
      </c>
      <c r="BB270" s="5">
        <f>IF($B269&lt;=Tabla5[[#This Row],[INVERSIONES FCI]],+Tabla5[[#This Row],[INVERSIONES FCI]]-BB269,Tabla5[[#This Row],[INVERSIONES FCI]])</f>
        <v>65841403558.223724</v>
      </c>
      <c r="BC270" s="5">
        <f>IF($B269&lt;=Tabla5[[#This Row],[INVERSIONES FCI]],+Tabla5[[#This Row],[INVERSIONES FCI]]-BC269,Tabla5[[#This Row],[INVERSIONES FCI]])</f>
        <v>65841403558.223724</v>
      </c>
      <c r="BD270" s="5">
        <f>IF($B269&lt;=Tabla5[[#This Row],[INVERSIONES FCI]],+Tabla5[[#This Row],[INVERSIONES FCI]]-BD269,Tabla5[[#This Row],[INVERSIONES FCI]])</f>
        <v>65841403558.223724</v>
      </c>
      <c r="BE270" s="5">
        <f>IF($B269&lt;=Tabla5[[#This Row],[INVERSIONES FCI]],+Tabla5[[#This Row],[INVERSIONES FCI]]-BE269,Tabla5[[#This Row],[INVERSIONES FCI]])</f>
        <v>65841403558.223724</v>
      </c>
      <c r="BF270" s="5">
        <f>IF($B269&lt;=Tabla5[[#This Row],[INVERSIONES FCI]],+Tabla5[[#This Row],[INVERSIONES FCI]]-BF269,Tabla5[[#This Row],[INVERSIONES FCI]])</f>
        <v>65841403558.223724</v>
      </c>
      <c r="BG270" s="5">
        <f>IF($B269&lt;=Tabla5[[#This Row],[INVERSIONES FCI]],+Tabla5[[#This Row],[INVERSIONES FCI]]-BG269,Tabla5[[#This Row],[INVERSIONES FCI]])</f>
        <v>65841403558.223724</v>
      </c>
      <c r="BH270" s="5">
        <f>IF($B269&lt;=Tabla5[[#This Row],[INVERSIONES FCI]],+Tabla5[[#This Row],[INVERSIONES FCI]]-BH269,Tabla5[[#This Row],[INVERSIONES FCI]])</f>
        <v>65841403558.223724</v>
      </c>
      <c r="BI270" s="5">
        <f>IF($B269&lt;=Tabla5[[#This Row],[INVERSIONES FCI]],+Tabla5[[#This Row],[INVERSIONES FCI]]-BI269,Tabla5[[#This Row],[INVERSIONES FCI]])</f>
        <v>65841403558.223724</v>
      </c>
      <c r="BJ270" s="5">
        <f>IF($B269&lt;=Tabla5[[#This Row],[INVERSIONES FCI]],+Tabla5[[#This Row],[INVERSIONES FCI]]-BJ269,Tabla5[[#This Row],[INVERSIONES FCI]])</f>
        <v>65841403558.223724</v>
      </c>
      <c r="BK270" s="5">
        <f>IF($B269&lt;=Tabla5[[#This Row],[INVERSIONES FCI]],+Tabla5[[#This Row],[INVERSIONES FCI]]-BK269,Tabla5[[#This Row],[INVERSIONES FCI]])</f>
        <v>65841403558.223724</v>
      </c>
      <c r="BL270" s="5">
        <f>IF($B269&lt;=Tabla5[[#This Row],[INVERSIONES FCI]],+Tabla5[[#This Row],[INVERSIONES FCI]]-BL269,Tabla5[[#This Row],[INVERSIONES FCI]])</f>
        <v>65841403558.223724</v>
      </c>
      <c r="BM270" s="5">
        <f>IF($B269&lt;=Tabla5[[#This Row],[INVERSIONES FCI]],+Tabla5[[#This Row],[INVERSIONES FCI]]-BM269,Tabla5[[#This Row],[INVERSIONES FCI]])</f>
        <v>65841403558.223724</v>
      </c>
      <c r="BN270" s="5">
        <f>IF($B269&lt;=Tabla5[[#This Row],[INVERSIONES FCI]],+Tabla5[[#This Row],[INVERSIONES FCI]]-BN269,Tabla5[[#This Row],[INVERSIONES FCI]])</f>
        <v>65841403558.223724</v>
      </c>
      <c r="BO270" s="5">
        <f>IF($B269&lt;=Tabla5[[#This Row],[INVERSIONES FCI]],+Tabla5[[#This Row],[INVERSIONES FCI]]-BO269,Tabla5[[#This Row],[INVERSIONES FCI]])</f>
        <v>65841403558.223724</v>
      </c>
      <c r="BP270" s="5">
        <f>IF($B269&lt;=Tabla5[[#This Row],[INVERSIONES FCI]],+Tabla5[[#This Row],[INVERSIONES FCI]]-BP269,Tabla5[[#This Row],[INVERSIONES FCI]])</f>
        <v>65841403558.223724</v>
      </c>
      <c r="BQ270" s="5">
        <f>IF($B269&lt;=Tabla5[[#This Row],[INVERSIONES FCI]],+Tabla5[[#This Row],[INVERSIONES FCI]]-BQ269,Tabla5[[#This Row],[INVERSIONES FCI]])</f>
        <v>65841403558.223724</v>
      </c>
      <c r="BR270" s="5">
        <f>IF($B269&lt;=Tabla5[[#This Row],[INVERSIONES FCI]],+Tabla5[[#This Row],[INVERSIONES FCI]]-BR269,Tabla5[[#This Row],[INVERSIONES FCI]])</f>
        <v>65841403558.223724</v>
      </c>
      <c r="BS270" s="5">
        <f>IF($B269&lt;=Tabla5[[#This Row],[INVERSIONES FCI]],+Tabla5[[#This Row],[INVERSIONES FCI]]-BS269,Tabla5[[#This Row],[INVERSIONES FCI]])</f>
        <v>65841403558.223724</v>
      </c>
      <c r="BT270" s="5">
        <f>IF($B269&lt;=Tabla5[[#This Row],[INVERSIONES FCI]],+Tabla5[[#This Row],[INVERSIONES FCI]]-BT269,Tabla5[[#This Row],[INVERSIONES FCI]])</f>
        <v>65841403558.223724</v>
      </c>
      <c r="BU270" s="5">
        <f>IF($B269&lt;=Tabla5[[#This Row],[INVERSIONES FCI]],+Tabla5[[#This Row],[INVERSIONES FCI]]-BU269,Tabla5[[#This Row],[INVERSIONES FCI]])</f>
        <v>65841403558.223724</v>
      </c>
      <c r="BV270" s="5">
        <f>IF($B269&lt;=Tabla5[[#This Row],[INVERSIONES FCI]],+Tabla5[[#This Row],[INVERSIONES FCI]]-BV269,Tabla5[[#This Row],[INVERSIONES FCI]])</f>
        <v>65841403558.223724</v>
      </c>
      <c r="BW270" s="5">
        <f>IF($B269&lt;=Tabla5[[#This Row],[INVERSIONES FCI]],+Tabla5[[#This Row],[INVERSIONES FCI]]-BW269,Tabla5[[#This Row],[INVERSIONES FCI]])</f>
        <v>65841403558.223724</v>
      </c>
      <c r="BX270" s="5">
        <f>IF($B269&lt;=Tabla5[[#This Row],[INVERSIONES FCI]],+Tabla5[[#This Row],[INVERSIONES FCI]]-BX269,Tabla5[[#This Row],[INVERSIONES FCI]])</f>
        <v>65841403558.223724</v>
      </c>
      <c r="BY270" s="5">
        <f>IF($B269&lt;=Tabla5[[#This Row],[INVERSIONES FCI]],+Tabla5[[#This Row],[INVERSIONES FCI]]-BY269,Tabla5[[#This Row],[INVERSIONES FCI]])</f>
        <v>65841403558.223724</v>
      </c>
      <c r="BZ270" s="5">
        <f>IF($B269&lt;=Tabla5[[#This Row],[INVERSIONES FCI]],+Tabla5[[#This Row],[INVERSIONES FCI]]-BZ269,Tabla5[[#This Row],[INVERSIONES FCI]])</f>
        <v>65841403558.223724</v>
      </c>
      <c r="CA270" s="5">
        <f>IF($B269&lt;=Tabla5[[#This Row],[INVERSIONES FCI]],+Tabla5[[#This Row],[INVERSIONES FCI]]-CA269,Tabla5[[#This Row],[INVERSIONES FCI]])</f>
        <v>65841403558.223724</v>
      </c>
      <c r="CB270" s="5">
        <f>IF($B269&lt;=Tabla5[[#This Row],[INVERSIONES FCI]],+Tabla5[[#This Row],[INVERSIONES FCI]]-CB269,Tabla5[[#This Row],[INVERSIONES FCI]])</f>
        <v>65841403558.223724</v>
      </c>
      <c r="CC270" s="5">
        <f>IF($B269&lt;=Tabla5[[#This Row],[INVERSIONES FCI]],+Tabla5[[#This Row],[INVERSIONES FCI]]-CC269,Tabla5[[#This Row],[INVERSIONES FCI]])</f>
        <v>65841403558.223724</v>
      </c>
      <c r="CD270" s="5">
        <f>IF($B269&lt;=Tabla5[[#This Row],[INVERSIONES FCI]],+Tabla5[[#This Row],[INVERSIONES FCI]]-CD269,Tabla5[[#This Row],[INVERSIONES FCI]])</f>
        <v>65841403558.223724</v>
      </c>
      <c r="CE270" s="5">
        <f>IF($B269&lt;=Tabla5[[#This Row],[INVERSIONES FCI]],+Tabla5[[#This Row],[INVERSIONES FCI]]-CE269,Tabla5[[#This Row],[INVERSIONES FCI]])</f>
        <v>65841403558.223724</v>
      </c>
      <c r="CF270" s="5">
        <f>IF($B269&lt;=Tabla5[[#This Row],[INVERSIONES FCI]],+Tabla5[[#This Row],[INVERSIONES FCI]]-CF269,Tabla5[[#This Row],[INVERSIONES FCI]])</f>
        <v>65841403558.223724</v>
      </c>
      <c r="CG270" s="5">
        <f>IF($B269&lt;=Tabla5[[#This Row],[INVERSIONES FCI]],+Tabla5[[#This Row],[INVERSIONES FCI]]-CG269,Tabla5[[#This Row],[INVERSIONES FCI]])</f>
        <v>65841403558.223724</v>
      </c>
      <c r="CH270" s="5">
        <f>IF($B269&lt;=Tabla5[[#This Row],[INVERSIONES FCI]],+Tabla5[[#This Row],[INVERSIONES FCI]]-CH269,Tabla5[[#This Row],[INVERSIONES FCI]])</f>
        <v>65841403558.223724</v>
      </c>
      <c r="CI270" s="5">
        <f>IF($B269&lt;=Tabla5[[#This Row],[INVERSIONES FCI]],+Tabla5[[#This Row],[INVERSIONES FCI]]-CI269,Tabla5[[#This Row],[INVERSIONES FCI]])</f>
        <v>65841403558.223724</v>
      </c>
      <c r="CJ270" s="5">
        <f>IF($B269&lt;=Tabla5[[#This Row],[INVERSIONES FCI]],+Tabla5[[#This Row],[INVERSIONES FCI]]-CJ269,Tabla5[[#This Row],[INVERSIONES FCI]])</f>
        <v>65841403558.223724</v>
      </c>
      <c r="CK270" s="5">
        <f>IF($B269&lt;=Tabla5[[#This Row],[INVERSIONES FCI]],+Tabla5[[#This Row],[INVERSIONES FCI]]-CK269,Tabla5[[#This Row],[INVERSIONES FCI]])</f>
        <v>65841403558.223724</v>
      </c>
      <c r="CL270" s="5">
        <f>IF($B269&lt;=Tabla5[[#This Row],[INVERSIONES FCI]],+Tabla5[[#This Row],[INVERSIONES FCI]]-CL269,Tabla5[[#This Row],[INVERSIONES FCI]])</f>
        <v>65841403558.223724</v>
      </c>
      <c r="CM270" s="5">
        <f>IF($B269&lt;=Tabla5[[#This Row],[INVERSIONES FCI]],+Tabla5[[#This Row],[INVERSIONES FCI]]-CM269,Tabla5[[#This Row],[INVERSIONES FCI]])</f>
        <v>65841403558.223724</v>
      </c>
      <c r="CN270" s="5">
        <f>IF($B269&lt;=Tabla5[[#This Row],[INVERSIONES FCI]],+Tabla5[[#This Row],[INVERSIONES FCI]]-CN269,Tabla5[[#This Row],[INVERSIONES FCI]])</f>
        <v>65841403558.223724</v>
      </c>
      <c r="CO270" s="5">
        <f>IF($B269&lt;=Tabla5[[#This Row],[INVERSIONES FCI]],+Tabla5[[#This Row],[INVERSIONES FCI]]-CO269,Tabla5[[#This Row],[INVERSIONES FCI]])</f>
        <v>65841403558.223724</v>
      </c>
      <c r="CP270" s="5">
        <f>IF($B269&lt;=Tabla5[[#This Row],[INVERSIONES FCI]],+Tabla5[[#This Row],[INVERSIONES FCI]]-CP269,Tabla5[[#This Row],[INVERSIONES FCI]])</f>
        <v>65841403558.223724</v>
      </c>
      <c r="CQ270" s="5">
        <f>IF($B269&lt;=Tabla5[[#This Row],[INVERSIONES FCI]],+Tabla5[[#This Row],[INVERSIONES FCI]]-CQ269,Tabla5[[#This Row],[INVERSIONES FCI]])</f>
        <v>65841403558.223724</v>
      </c>
      <c r="CR270" s="5">
        <f>IF($B269&lt;=Tabla5[[#This Row],[INVERSIONES FCI]],+Tabla5[[#This Row],[INVERSIONES FCI]]-CR269,Tabla5[[#This Row],[INVERSIONES FCI]])</f>
        <v>65841403558.223724</v>
      </c>
      <c r="CS270" s="5">
        <f>IF($B269&lt;=Tabla5[[#This Row],[INVERSIONES FCI]],+Tabla5[[#This Row],[INVERSIONES FCI]]-CS269,Tabla5[[#This Row],[INVERSIONES FCI]])</f>
        <v>65841403558.223724</v>
      </c>
      <c r="CT270" s="5">
        <f>IF($B269&lt;=Tabla5[[#This Row],[INVERSIONES FCI]],+Tabla5[[#This Row],[INVERSIONES FCI]]-CT269,Tabla5[[#This Row],[INVERSIONES FCI]])</f>
        <v>65841403558.223724</v>
      </c>
      <c r="CU270" s="5">
        <f>IF($B269&lt;=Tabla5[[#This Row],[INVERSIONES FCI]],+Tabla5[[#This Row],[INVERSIONES FCI]]-CU269,Tabla5[[#This Row],[INVERSIONES FCI]])</f>
        <v>65841403558.223724</v>
      </c>
      <c r="CV270" s="5">
        <f>IF($B269&lt;=Tabla5[[#This Row],[INVERSIONES FCI]],+Tabla5[[#This Row],[INVERSIONES FCI]]-CV269,Tabla5[[#This Row],[INVERSIONES FCI]])</f>
        <v>65841403558.223724</v>
      </c>
      <c r="CW270" s="5">
        <f>IF($B269&lt;=Tabla5[[#This Row],[INVERSIONES FCI]],+Tabla5[[#This Row],[INVERSIONES FCI]]-CW269,Tabla5[[#This Row],[INVERSIONES FCI]])</f>
        <v>65841403558.223724</v>
      </c>
      <c r="CX270" s="5">
        <f>IF($B269&lt;=Tabla5[[#This Row],[INVERSIONES FCI]],+Tabla5[[#This Row],[INVERSIONES FCI]]-CX269,Tabla5[[#This Row],[INVERSIONES FCI]])</f>
        <v>65841403558.223724</v>
      </c>
      <c r="CY270" s="5">
        <f>IF($B269&lt;=Tabla5[[#This Row],[INVERSIONES FCI]],+Tabla5[[#This Row],[INVERSIONES FCI]]-CY269,Tabla5[[#This Row],[INVERSIONES FCI]])</f>
        <v>65841403558.223724</v>
      </c>
      <c r="CZ270" s="5">
        <f>IF($B269&lt;=Tabla5[[#This Row],[INVERSIONES FCI]],+Tabla5[[#This Row],[INVERSIONES FCI]]-CZ269,Tabla5[[#This Row],[INVERSIONES FCI]])</f>
        <v>65841403558.223724</v>
      </c>
      <c r="DA270" s="5">
        <f>IF($B269&lt;=Tabla5[[#This Row],[INVERSIONES FCI]],+Tabla5[[#This Row],[INVERSIONES FCI]]-DA269,Tabla5[[#This Row],[INVERSIONES FCI]])</f>
        <v>65841403558.223724</v>
      </c>
      <c r="DB270" s="5">
        <f>IF($B269&lt;=Tabla5[[#This Row],[INVERSIONES FCI]],+Tabla5[[#This Row],[INVERSIONES FCI]]-DB269,Tabla5[[#This Row],[INVERSIONES FCI]])</f>
        <v>65841403558.223724</v>
      </c>
      <c r="DC270" s="5">
        <f>IF($B269&lt;=Tabla5[[#This Row],[INVERSIONES FCI]],+Tabla5[[#This Row],[INVERSIONES FCI]]-DC269,Tabla5[[#This Row],[INVERSIONES FCI]])</f>
        <v>65841403558.223724</v>
      </c>
      <c r="DD270" s="5">
        <f>IF($B269&lt;=Tabla5[[#This Row],[INVERSIONES FCI]],+Tabla5[[#This Row],[INVERSIONES FCI]]-DD269,Tabla5[[#This Row],[INVERSIONES FCI]])</f>
        <v>65841403558.223724</v>
      </c>
      <c r="DE270" s="5">
        <f>IF($B269&lt;=Tabla5[[#This Row],[INVERSIONES FCI]],+Tabla5[[#This Row],[INVERSIONES FCI]]-DE269,Tabla5[[#This Row],[INVERSIONES FCI]])</f>
        <v>65841403558.223724</v>
      </c>
      <c r="DF270" s="5">
        <f>IF($B269&lt;=Tabla5[[#This Row],[INVERSIONES FCI]],+Tabla5[[#This Row],[INVERSIONES FCI]]-DF269,Tabla5[[#This Row],[INVERSIONES FCI]])</f>
        <v>65841403558.223724</v>
      </c>
      <c r="DG270" s="5">
        <f>IF($B269&lt;=Tabla5[[#This Row],[INVERSIONES FCI]],+Tabla5[[#This Row],[INVERSIONES FCI]]-DG269,Tabla5[[#This Row],[INVERSIONES FCI]])</f>
        <v>65841403558.223724</v>
      </c>
      <c r="DH270" s="5">
        <f>IF($B269&lt;=Tabla5[[#This Row],[INVERSIONES FCI]],+Tabla5[[#This Row],[INVERSIONES FCI]]-DH269,Tabla5[[#This Row],[INVERSIONES FCI]])</f>
        <v>65841403558.223724</v>
      </c>
      <c r="DI270" s="5">
        <f>IF($B269&lt;=Tabla5[[#This Row],[INVERSIONES FCI]],+Tabla5[[#This Row],[INVERSIONES FCI]]-DI269,Tabla5[[#This Row],[INVERSIONES FCI]])</f>
        <v>65841403558.223724</v>
      </c>
      <c r="DJ270" s="5">
        <f>IF($B269&lt;=Tabla5[[#This Row],[INVERSIONES FCI]],+Tabla5[[#This Row],[INVERSIONES FCI]]-DJ269,Tabla5[[#This Row],[INVERSIONES FCI]])</f>
        <v>65841403558.223724</v>
      </c>
      <c r="DK270" s="5">
        <f>IF($B269&lt;=Tabla5[[#This Row],[INVERSIONES FCI]],+Tabla5[[#This Row],[INVERSIONES FCI]]-DK269,Tabla5[[#This Row],[INVERSIONES FCI]])</f>
        <v>65841403558.223724</v>
      </c>
      <c r="DL270" s="5"/>
      <c r="DM270" s="5"/>
      <c r="DN270" s="5"/>
      <c r="DO270" s="5"/>
      <c r="DP270" s="5"/>
      <c r="DQ270" s="5"/>
    </row>
    <row r="271" spans="1:121" ht="14.4">
      <c r="A271" s="12" t="s">
        <v>270</v>
      </c>
      <c r="B271" s="5">
        <f>HLOOKUP($A271,ESCENARIO[#All],7,FALSE)</f>
        <v>67211872184.064301</v>
      </c>
      <c r="C271" s="5">
        <f>IF($B270&lt;=Tabla5[[#This Row],[INVERSIONES FCI]],+Tabla5[[#This Row],[INVERSIONES FCI]]-C270,Tabla5[[#This Row],[INVERSIONES FCI]])</f>
        <v>1370468625.8405762</v>
      </c>
      <c r="D271" s="5">
        <f>IF($B270&lt;=Tabla5[[#This Row],[INVERSIONES FCI]],+Tabla5[[#This Row],[INVERSIONES FCI]]-D270,Tabla5[[#This Row],[INVERSIONES FCI]])</f>
        <v>1370468625.8405762</v>
      </c>
      <c r="E271" s="5">
        <f>IF($B270&lt;=Tabla5[[#This Row],[INVERSIONES FCI]],+Tabla5[[#This Row],[INVERSIONES FCI]]-E270,Tabla5[[#This Row],[INVERSIONES FCI]])</f>
        <v>1370468625.8405762</v>
      </c>
      <c r="F271" s="5">
        <f>IF($B270&lt;=Tabla5[[#This Row],[INVERSIONES FCI]],+Tabla5[[#This Row],[INVERSIONES FCI]]-F270,Tabla5[[#This Row],[INVERSIONES FCI]])</f>
        <v>1370468625.8405762</v>
      </c>
      <c r="G271" s="5">
        <f>IF($B270&lt;=Tabla5[[#This Row],[INVERSIONES FCI]],+Tabla5[[#This Row],[INVERSIONES FCI]]-G270,Tabla5[[#This Row],[INVERSIONES FCI]])</f>
        <v>1370468625.8405762</v>
      </c>
      <c r="H271" s="5">
        <f>IF($B270&lt;=Tabla5[[#This Row],[INVERSIONES FCI]],+Tabla5[[#This Row],[INVERSIONES FCI]]-H270,Tabla5[[#This Row],[INVERSIONES FCI]])</f>
        <v>1370468625.8405762</v>
      </c>
      <c r="I271" s="5">
        <f>IF($B270&lt;=Tabla5[[#This Row],[INVERSIONES FCI]],+Tabla5[[#This Row],[INVERSIONES FCI]]-I270,Tabla5[[#This Row],[INVERSIONES FCI]])</f>
        <v>1370468625.8405762</v>
      </c>
      <c r="J271" s="5">
        <f>IF($B270&lt;=Tabla5[[#This Row],[INVERSIONES FCI]],+Tabla5[[#This Row],[INVERSIONES FCI]]-J270,Tabla5[[#This Row],[INVERSIONES FCI]])</f>
        <v>1370468625.8405762</v>
      </c>
      <c r="K271" s="5">
        <f>IF($B270&lt;=Tabla5[[#This Row],[INVERSIONES FCI]],+Tabla5[[#This Row],[INVERSIONES FCI]]-K270,Tabla5[[#This Row],[INVERSIONES FCI]])</f>
        <v>1370468625.8405762</v>
      </c>
      <c r="L271" s="5">
        <f>IF($B270&lt;=Tabla5[[#This Row],[INVERSIONES FCI]],+Tabla5[[#This Row],[INVERSIONES FCI]]-L270,Tabla5[[#This Row],[INVERSIONES FCI]])</f>
        <v>1370468625.8405762</v>
      </c>
      <c r="M271" s="5">
        <f>IF($B270&lt;=Tabla5[[#This Row],[INVERSIONES FCI]],+Tabla5[[#This Row],[INVERSIONES FCI]]-M270,Tabla5[[#This Row],[INVERSIONES FCI]])</f>
        <v>1370468625.8405762</v>
      </c>
      <c r="N271" s="5">
        <f>IF($B270&lt;=Tabla5[[#This Row],[INVERSIONES FCI]],+Tabla5[[#This Row],[INVERSIONES FCI]]-N270,Tabla5[[#This Row],[INVERSIONES FCI]])</f>
        <v>1370468625.8405762</v>
      </c>
      <c r="O271" s="5">
        <f>IF($B270&lt;=Tabla5[[#This Row],[INVERSIONES FCI]],+Tabla5[[#This Row],[INVERSIONES FCI]]-O270,Tabla5[[#This Row],[INVERSIONES FCI]])</f>
        <v>1370468625.8405762</v>
      </c>
      <c r="P271" s="5">
        <f>IF($B270&lt;=Tabla5[[#This Row],[INVERSIONES FCI]],+Tabla5[[#This Row],[INVERSIONES FCI]]-P270,Tabla5[[#This Row],[INVERSIONES FCI]])</f>
        <v>1370468625.8405762</v>
      </c>
      <c r="Q271" s="5">
        <f>IF($B270&lt;=Tabla5[[#This Row],[INVERSIONES FCI]],+Tabla5[[#This Row],[INVERSIONES FCI]]-Q270,Tabla5[[#This Row],[INVERSIONES FCI]])</f>
        <v>1370468625.8405762</v>
      </c>
      <c r="R271" s="5">
        <f>IF($B270&lt;=Tabla5[[#This Row],[INVERSIONES FCI]],+Tabla5[[#This Row],[INVERSIONES FCI]]-R270,Tabla5[[#This Row],[INVERSIONES FCI]])</f>
        <v>1370468625.8405762</v>
      </c>
      <c r="S271" s="5">
        <f>IF($B270&lt;=Tabla5[[#This Row],[INVERSIONES FCI]],+Tabla5[[#This Row],[INVERSIONES FCI]]-S270,Tabla5[[#This Row],[INVERSIONES FCI]])</f>
        <v>1370468625.8405762</v>
      </c>
      <c r="T271" s="5">
        <f>IF($B270&lt;=Tabla5[[#This Row],[INVERSIONES FCI]],+Tabla5[[#This Row],[INVERSIONES FCI]]-T270,Tabla5[[#This Row],[INVERSIONES FCI]])</f>
        <v>1370468625.8405762</v>
      </c>
      <c r="U271" s="5">
        <f>IF($B270&lt;=Tabla5[[#This Row],[INVERSIONES FCI]],+Tabla5[[#This Row],[INVERSIONES FCI]]-U270,Tabla5[[#This Row],[INVERSIONES FCI]])</f>
        <v>1370468625.8405762</v>
      </c>
      <c r="V271" s="5">
        <f>IF($B270&lt;=Tabla5[[#This Row],[INVERSIONES FCI]],+Tabla5[[#This Row],[INVERSIONES FCI]]-V270,Tabla5[[#This Row],[INVERSIONES FCI]])</f>
        <v>1370468625.8405762</v>
      </c>
      <c r="W271" s="5">
        <f>IF($B270&lt;=Tabla5[[#This Row],[INVERSIONES FCI]],+Tabla5[[#This Row],[INVERSIONES FCI]]-W270,Tabla5[[#This Row],[INVERSIONES FCI]])</f>
        <v>1370468625.8405762</v>
      </c>
      <c r="X271" s="5">
        <f>IF($B270&lt;=Tabla5[[#This Row],[INVERSIONES FCI]],+Tabla5[[#This Row],[INVERSIONES FCI]]-X270,Tabla5[[#This Row],[INVERSIONES FCI]])</f>
        <v>1370468625.8405762</v>
      </c>
      <c r="Y271" s="5">
        <f>IF($B270&lt;=Tabla5[[#This Row],[INVERSIONES FCI]],+Tabla5[[#This Row],[INVERSIONES FCI]]-Y270,Tabla5[[#This Row],[INVERSIONES FCI]])</f>
        <v>1370468625.8405762</v>
      </c>
      <c r="Z271" s="5">
        <f>IF($B270&lt;=Tabla5[[#This Row],[INVERSIONES FCI]],+Tabla5[[#This Row],[INVERSIONES FCI]]-Z270,Tabla5[[#This Row],[INVERSIONES FCI]])</f>
        <v>1370468625.8405762</v>
      </c>
      <c r="AA271" s="5">
        <f>IF($B270&lt;=Tabla5[[#This Row],[INVERSIONES FCI]],+Tabla5[[#This Row],[INVERSIONES FCI]]-AA270,Tabla5[[#This Row],[INVERSIONES FCI]])</f>
        <v>1370468625.8405762</v>
      </c>
      <c r="AB271" s="5">
        <f>IF($B270&lt;=Tabla5[[#This Row],[INVERSIONES FCI]],+Tabla5[[#This Row],[INVERSIONES FCI]]-AB270,Tabla5[[#This Row],[INVERSIONES FCI]])</f>
        <v>1370468625.8405762</v>
      </c>
      <c r="AC271" s="5">
        <f>IF($B270&lt;=Tabla5[[#This Row],[INVERSIONES FCI]],+Tabla5[[#This Row],[INVERSIONES FCI]]-AC270,Tabla5[[#This Row],[INVERSIONES FCI]])</f>
        <v>1370468625.8405762</v>
      </c>
      <c r="AD271" s="5">
        <f>IF($B270&lt;=Tabla5[[#This Row],[INVERSIONES FCI]],+Tabla5[[#This Row],[INVERSIONES FCI]]-AD270,Tabla5[[#This Row],[INVERSIONES FCI]])</f>
        <v>1370468625.8405762</v>
      </c>
      <c r="AE271" s="5">
        <f>IF($B270&lt;=Tabla5[[#This Row],[INVERSIONES FCI]],+Tabla5[[#This Row],[INVERSIONES FCI]]-AE270,Tabla5[[#This Row],[INVERSIONES FCI]])</f>
        <v>1370468625.8405762</v>
      </c>
      <c r="AF271" s="5">
        <f>IF($B270&lt;=Tabla5[[#This Row],[INVERSIONES FCI]],+Tabla5[[#This Row],[INVERSIONES FCI]]-AF270,Tabla5[[#This Row],[INVERSIONES FCI]])</f>
        <v>1370468625.8405762</v>
      </c>
      <c r="AG271" s="5">
        <f>IF($B270&lt;=Tabla5[[#This Row],[INVERSIONES FCI]],+Tabla5[[#This Row],[INVERSIONES FCI]]-AG270,Tabla5[[#This Row],[INVERSIONES FCI]])</f>
        <v>1370468625.8405762</v>
      </c>
      <c r="AH271" s="5">
        <f>IF($B270&lt;=Tabla5[[#This Row],[INVERSIONES FCI]],+Tabla5[[#This Row],[INVERSIONES FCI]]-AH270,Tabla5[[#This Row],[INVERSIONES FCI]])</f>
        <v>1370468625.8405762</v>
      </c>
      <c r="AI271" s="5">
        <f>IF($B270&lt;=Tabla5[[#This Row],[INVERSIONES FCI]],+Tabla5[[#This Row],[INVERSIONES FCI]]-AI270,Tabla5[[#This Row],[INVERSIONES FCI]])</f>
        <v>1370468625.8405762</v>
      </c>
      <c r="AJ271" s="5">
        <f>IF($B270&lt;=Tabla5[[#This Row],[INVERSIONES FCI]],+Tabla5[[#This Row],[INVERSIONES FCI]]-AJ270,Tabla5[[#This Row],[INVERSIONES FCI]])</f>
        <v>1370468625.8405762</v>
      </c>
      <c r="AK271" s="5">
        <f>IF($B270&lt;=Tabla5[[#This Row],[INVERSIONES FCI]],+Tabla5[[#This Row],[INVERSIONES FCI]]-AK270,Tabla5[[#This Row],[INVERSIONES FCI]])</f>
        <v>1370468625.8405762</v>
      </c>
      <c r="AL271" s="5">
        <f>IF($B270&lt;=Tabla5[[#This Row],[INVERSIONES FCI]],+Tabla5[[#This Row],[INVERSIONES FCI]]-AL270,Tabla5[[#This Row],[INVERSIONES FCI]])</f>
        <v>1370468625.8405762</v>
      </c>
      <c r="AM271" s="5">
        <f>IF($B270&lt;=Tabla5[[#This Row],[INVERSIONES FCI]],+Tabla5[[#This Row],[INVERSIONES FCI]]-AM270,Tabla5[[#This Row],[INVERSIONES FCI]])</f>
        <v>1370468625.8405762</v>
      </c>
      <c r="AN271" s="5">
        <f>IF($B270&lt;=Tabla5[[#This Row],[INVERSIONES FCI]],+Tabla5[[#This Row],[INVERSIONES FCI]]-AN270,Tabla5[[#This Row],[INVERSIONES FCI]])</f>
        <v>1370468625.8405762</v>
      </c>
      <c r="AO271" s="5">
        <f>IF($B270&lt;=Tabla5[[#This Row],[INVERSIONES FCI]],+Tabla5[[#This Row],[INVERSIONES FCI]]-AO270,Tabla5[[#This Row],[INVERSIONES FCI]])</f>
        <v>1370468625.8405762</v>
      </c>
      <c r="AP271" s="5">
        <f>IF($B270&lt;=Tabla5[[#This Row],[INVERSIONES FCI]],+Tabla5[[#This Row],[INVERSIONES FCI]]-AP270,Tabla5[[#This Row],[INVERSIONES FCI]])</f>
        <v>1370468625.8405762</v>
      </c>
      <c r="AQ271" s="5">
        <f>IF($B270&lt;=Tabla5[[#This Row],[INVERSIONES FCI]],+Tabla5[[#This Row],[INVERSIONES FCI]]-AQ270,Tabla5[[#This Row],[INVERSIONES FCI]])</f>
        <v>1370468625.8405762</v>
      </c>
      <c r="AR271" s="5">
        <f>IF($B270&lt;=Tabla5[[#This Row],[INVERSIONES FCI]],+Tabla5[[#This Row],[INVERSIONES FCI]]-AR270,Tabla5[[#This Row],[INVERSIONES FCI]])</f>
        <v>1370468625.8405762</v>
      </c>
      <c r="AS271" s="5">
        <f>IF($B270&lt;=Tabla5[[#This Row],[INVERSIONES FCI]],+Tabla5[[#This Row],[INVERSIONES FCI]]-AS270,Tabla5[[#This Row],[INVERSIONES FCI]])</f>
        <v>1370468625.8405762</v>
      </c>
      <c r="AT271" s="5">
        <f>IF($B270&lt;=Tabla5[[#This Row],[INVERSIONES FCI]],+Tabla5[[#This Row],[INVERSIONES FCI]]-AT270,Tabla5[[#This Row],[INVERSIONES FCI]])</f>
        <v>1370468625.8405762</v>
      </c>
      <c r="AU271" s="5">
        <f>IF($B270&lt;=Tabla5[[#This Row],[INVERSIONES FCI]],+Tabla5[[#This Row],[INVERSIONES FCI]]-AU270,Tabla5[[#This Row],[INVERSIONES FCI]])</f>
        <v>1370468625.8405762</v>
      </c>
      <c r="AV271" s="5">
        <f>IF($B270&lt;=Tabla5[[#This Row],[INVERSIONES FCI]],+Tabla5[[#This Row],[INVERSIONES FCI]]-AV270,Tabla5[[#This Row],[INVERSIONES FCI]])</f>
        <v>1370468625.8405762</v>
      </c>
      <c r="AW271" s="5">
        <f>IF($B270&lt;=Tabla5[[#This Row],[INVERSIONES FCI]],+Tabla5[[#This Row],[INVERSIONES FCI]]-AW270,Tabla5[[#This Row],[INVERSIONES FCI]])</f>
        <v>1370468625.8405762</v>
      </c>
      <c r="AX271" s="5">
        <f>IF($B270&lt;=Tabla5[[#This Row],[INVERSIONES FCI]],+Tabla5[[#This Row],[INVERSIONES FCI]]-AX270,Tabla5[[#This Row],[INVERSIONES FCI]])</f>
        <v>1370468625.8405762</v>
      </c>
      <c r="AY271" s="5">
        <f>IF($B270&lt;=Tabla5[[#This Row],[INVERSIONES FCI]],+Tabla5[[#This Row],[INVERSIONES FCI]]-AY270,Tabla5[[#This Row],[INVERSIONES FCI]])</f>
        <v>1370468625.8405762</v>
      </c>
      <c r="AZ271" s="5">
        <f>IF($B270&lt;=Tabla5[[#This Row],[INVERSIONES FCI]],+Tabla5[[#This Row],[INVERSIONES FCI]]-AZ270,Tabla5[[#This Row],[INVERSIONES FCI]])</f>
        <v>1370468625.8405762</v>
      </c>
      <c r="BA271" s="5">
        <f>IF($B270&lt;=Tabla5[[#This Row],[INVERSIONES FCI]],+Tabla5[[#This Row],[INVERSIONES FCI]]-BA270,Tabla5[[#This Row],[INVERSIONES FCI]])</f>
        <v>1370468625.8405762</v>
      </c>
      <c r="BB271" s="5">
        <f>IF($B270&lt;=Tabla5[[#This Row],[INVERSIONES FCI]],+Tabla5[[#This Row],[INVERSIONES FCI]]-BB270,Tabla5[[#This Row],[INVERSIONES FCI]])</f>
        <v>1370468625.8405762</v>
      </c>
      <c r="BC271" s="5">
        <f>IF($B270&lt;=Tabla5[[#This Row],[INVERSIONES FCI]],+Tabla5[[#This Row],[INVERSIONES FCI]]-BC270,Tabla5[[#This Row],[INVERSIONES FCI]])</f>
        <v>1370468625.8405762</v>
      </c>
      <c r="BD271" s="5">
        <f>IF($B270&lt;=Tabla5[[#This Row],[INVERSIONES FCI]],+Tabla5[[#This Row],[INVERSIONES FCI]]-BD270,Tabla5[[#This Row],[INVERSIONES FCI]])</f>
        <v>1370468625.8405762</v>
      </c>
      <c r="BE271" s="5">
        <f>IF($B270&lt;=Tabla5[[#This Row],[INVERSIONES FCI]],+Tabla5[[#This Row],[INVERSIONES FCI]]-BE270,Tabla5[[#This Row],[INVERSIONES FCI]])</f>
        <v>1370468625.8405762</v>
      </c>
      <c r="BF271" s="5">
        <f>IF($B270&lt;=Tabla5[[#This Row],[INVERSIONES FCI]],+Tabla5[[#This Row],[INVERSIONES FCI]]-BF270,Tabla5[[#This Row],[INVERSIONES FCI]])</f>
        <v>1370468625.8405762</v>
      </c>
      <c r="BG271" s="5">
        <f>IF($B270&lt;=Tabla5[[#This Row],[INVERSIONES FCI]],+Tabla5[[#This Row],[INVERSIONES FCI]]-BG270,Tabla5[[#This Row],[INVERSIONES FCI]])</f>
        <v>1370468625.8405762</v>
      </c>
      <c r="BH271" s="5">
        <f>IF($B270&lt;=Tabla5[[#This Row],[INVERSIONES FCI]],+Tabla5[[#This Row],[INVERSIONES FCI]]-BH270,Tabla5[[#This Row],[INVERSIONES FCI]])</f>
        <v>1370468625.8405762</v>
      </c>
      <c r="BI271" s="5">
        <f>IF($B270&lt;=Tabla5[[#This Row],[INVERSIONES FCI]],+Tabla5[[#This Row],[INVERSIONES FCI]]-BI270,Tabla5[[#This Row],[INVERSIONES FCI]])</f>
        <v>1370468625.8405762</v>
      </c>
      <c r="BJ271" s="5">
        <f>IF($B270&lt;=Tabla5[[#This Row],[INVERSIONES FCI]],+Tabla5[[#This Row],[INVERSIONES FCI]]-BJ270,Tabla5[[#This Row],[INVERSIONES FCI]])</f>
        <v>1370468625.8405762</v>
      </c>
      <c r="BK271" s="5">
        <f>IF($B270&lt;=Tabla5[[#This Row],[INVERSIONES FCI]],+Tabla5[[#This Row],[INVERSIONES FCI]]-BK270,Tabla5[[#This Row],[INVERSIONES FCI]])</f>
        <v>1370468625.8405762</v>
      </c>
      <c r="BL271" s="5">
        <f>IF($B270&lt;=Tabla5[[#This Row],[INVERSIONES FCI]],+Tabla5[[#This Row],[INVERSIONES FCI]]-BL270,Tabla5[[#This Row],[INVERSIONES FCI]])</f>
        <v>1370468625.8405762</v>
      </c>
      <c r="BM271" s="5">
        <f>IF($B270&lt;=Tabla5[[#This Row],[INVERSIONES FCI]],+Tabla5[[#This Row],[INVERSIONES FCI]]-BM270,Tabla5[[#This Row],[INVERSIONES FCI]])</f>
        <v>1370468625.8405762</v>
      </c>
      <c r="BN271" s="5">
        <f>IF($B270&lt;=Tabla5[[#This Row],[INVERSIONES FCI]],+Tabla5[[#This Row],[INVERSIONES FCI]]-BN270,Tabla5[[#This Row],[INVERSIONES FCI]])</f>
        <v>1370468625.8405762</v>
      </c>
      <c r="BO271" s="5">
        <f>IF($B270&lt;=Tabla5[[#This Row],[INVERSIONES FCI]],+Tabla5[[#This Row],[INVERSIONES FCI]]-BO270,Tabla5[[#This Row],[INVERSIONES FCI]])</f>
        <v>1370468625.8405762</v>
      </c>
      <c r="BP271" s="5">
        <f>IF($B270&lt;=Tabla5[[#This Row],[INVERSIONES FCI]],+Tabla5[[#This Row],[INVERSIONES FCI]]-BP270,Tabla5[[#This Row],[INVERSIONES FCI]])</f>
        <v>1370468625.8405762</v>
      </c>
      <c r="BQ271" s="5">
        <f>IF($B270&lt;=Tabla5[[#This Row],[INVERSIONES FCI]],+Tabla5[[#This Row],[INVERSIONES FCI]]-BQ270,Tabla5[[#This Row],[INVERSIONES FCI]])</f>
        <v>1370468625.8405762</v>
      </c>
      <c r="BR271" s="5">
        <f>IF($B270&lt;=Tabla5[[#This Row],[INVERSIONES FCI]],+Tabla5[[#This Row],[INVERSIONES FCI]]-BR270,Tabla5[[#This Row],[INVERSIONES FCI]])</f>
        <v>1370468625.8405762</v>
      </c>
      <c r="BS271" s="5">
        <f>IF($B270&lt;=Tabla5[[#This Row],[INVERSIONES FCI]],+Tabla5[[#This Row],[INVERSIONES FCI]]-BS270,Tabla5[[#This Row],[INVERSIONES FCI]])</f>
        <v>1370468625.8405762</v>
      </c>
      <c r="BT271" s="5">
        <f>IF($B270&lt;=Tabla5[[#This Row],[INVERSIONES FCI]],+Tabla5[[#This Row],[INVERSIONES FCI]]-BT270,Tabla5[[#This Row],[INVERSIONES FCI]])</f>
        <v>1370468625.8405762</v>
      </c>
      <c r="BU271" s="5">
        <f>IF($B270&lt;=Tabla5[[#This Row],[INVERSIONES FCI]],+Tabla5[[#This Row],[INVERSIONES FCI]]-BU270,Tabla5[[#This Row],[INVERSIONES FCI]])</f>
        <v>1370468625.8405762</v>
      </c>
      <c r="BV271" s="5">
        <f>IF($B270&lt;=Tabla5[[#This Row],[INVERSIONES FCI]],+Tabla5[[#This Row],[INVERSIONES FCI]]-BV270,Tabla5[[#This Row],[INVERSIONES FCI]])</f>
        <v>1370468625.8405762</v>
      </c>
      <c r="BW271" s="5">
        <f>IF($B270&lt;=Tabla5[[#This Row],[INVERSIONES FCI]],+Tabla5[[#This Row],[INVERSIONES FCI]]-BW270,Tabla5[[#This Row],[INVERSIONES FCI]])</f>
        <v>1370468625.8405762</v>
      </c>
      <c r="BX271" s="5">
        <f>IF($B270&lt;=Tabla5[[#This Row],[INVERSIONES FCI]],+Tabla5[[#This Row],[INVERSIONES FCI]]-BX270,Tabla5[[#This Row],[INVERSIONES FCI]])</f>
        <v>1370468625.8405762</v>
      </c>
      <c r="BY271" s="5">
        <f>IF($B270&lt;=Tabla5[[#This Row],[INVERSIONES FCI]],+Tabla5[[#This Row],[INVERSIONES FCI]]-BY270,Tabla5[[#This Row],[INVERSIONES FCI]])</f>
        <v>1370468625.8405762</v>
      </c>
      <c r="BZ271" s="5">
        <f>IF($B270&lt;=Tabla5[[#This Row],[INVERSIONES FCI]],+Tabla5[[#This Row],[INVERSIONES FCI]]-BZ270,Tabla5[[#This Row],[INVERSIONES FCI]])</f>
        <v>1370468625.8405762</v>
      </c>
      <c r="CA271" s="5">
        <f>IF($B270&lt;=Tabla5[[#This Row],[INVERSIONES FCI]],+Tabla5[[#This Row],[INVERSIONES FCI]]-CA270,Tabla5[[#This Row],[INVERSIONES FCI]])</f>
        <v>1370468625.8405762</v>
      </c>
      <c r="CB271" s="5">
        <f>IF($B270&lt;=Tabla5[[#This Row],[INVERSIONES FCI]],+Tabla5[[#This Row],[INVERSIONES FCI]]-CB270,Tabla5[[#This Row],[INVERSIONES FCI]])</f>
        <v>1370468625.8405762</v>
      </c>
      <c r="CC271" s="5">
        <f>IF($B270&lt;=Tabla5[[#This Row],[INVERSIONES FCI]],+Tabla5[[#This Row],[INVERSIONES FCI]]-CC270,Tabla5[[#This Row],[INVERSIONES FCI]])</f>
        <v>1370468625.8405762</v>
      </c>
      <c r="CD271" s="5">
        <f>IF($B270&lt;=Tabla5[[#This Row],[INVERSIONES FCI]],+Tabla5[[#This Row],[INVERSIONES FCI]]-CD270,Tabla5[[#This Row],[INVERSIONES FCI]])</f>
        <v>1370468625.8405762</v>
      </c>
      <c r="CE271" s="5">
        <f>IF($B270&lt;=Tabla5[[#This Row],[INVERSIONES FCI]],+Tabla5[[#This Row],[INVERSIONES FCI]]-CE270,Tabla5[[#This Row],[INVERSIONES FCI]])</f>
        <v>1370468625.8405762</v>
      </c>
      <c r="CF271" s="5">
        <f>IF($B270&lt;=Tabla5[[#This Row],[INVERSIONES FCI]],+Tabla5[[#This Row],[INVERSIONES FCI]]-CF270,Tabla5[[#This Row],[INVERSIONES FCI]])</f>
        <v>1370468625.8405762</v>
      </c>
      <c r="CG271" s="5">
        <f>IF($B270&lt;=Tabla5[[#This Row],[INVERSIONES FCI]],+Tabla5[[#This Row],[INVERSIONES FCI]]-CG270,Tabla5[[#This Row],[INVERSIONES FCI]])</f>
        <v>1370468625.8405762</v>
      </c>
      <c r="CH271" s="5">
        <f>IF($B270&lt;=Tabla5[[#This Row],[INVERSIONES FCI]],+Tabla5[[#This Row],[INVERSIONES FCI]]-CH270,Tabla5[[#This Row],[INVERSIONES FCI]])</f>
        <v>1370468625.8405762</v>
      </c>
      <c r="CI271" s="5">
        <f>IF($B270&lt;=Tabla5[[#This Row],[INVERSIONES FCI]],+Tabla5[[#This Row],[INVERSIONES FCI]]-CI270,Tabla5[[#This Row],[INVERSIONES FCI]])</f>
        <v>1370468625.8405762</v>
      </c>
      <c r="CJ271" s="5">
        <f>IF($B270&lt;=Tabla5[[#This Row],[INVERSIONES FCI]],+Tabla5[[#This Row],[INVERSIONES FCI]]-CJ270,Tabla5[[#This Row],[INVERSIONES FCI]])</f>
        <v>1370468625.8405762</v>
      </c>
      <c r="CK271" s="5">
        <f>IF($B270&lt;=Tabla5[[#This Row],[INVERSIONES FCI]],+Tabla5[[#This Row],[INVERSIONES FCI]]-CK270,Tabla5[[#This Row],[INVERSIONES FCI]])</f>
        <v>1370468625.8405762</v>
      </c>
      <c r="CL271" s="5">
        <f>IF($B270&lt;=Tabla5[[#This Row],[INVERSIONES FCI]],+Tabla5[[#This Row],[INVERSIONES FCI]]-CL270,Tabla5[[#This Row],[INVERSIONES FCI]])</f>
        <v>1370468625.8405762</v>
      </c>
      <c r="CM271" s="5">
        <f>IF($B270&lt;=Tabla5[[#This Row],[INVERSIONES FCI]],+Tabla5[[#This Row],[INVERSIONES FCI]]-CM270,Tabla5[[#This Row],[INVERSIONES FCI]])</f>
        <v>1370468625.8405762</v>
      </c>
      <c r="CN271" s="5">
        <f>IF($B270&lt;=Tabla5[[#This Row],[INVERSIONES FCI]],+Tabla5[[#This Row],[INVERSIONES FCI]]-CN270,Tabla5[[#This Row],[INVERSIONES FCI]])</f>
        <v>1370468625.8405762</v>
      </c>
      <c r="CO271" s="5">
        <f>IF($B270&lt;=Tabla5[[#This Row],[INVERSIONES FCI]],+Tabla5[[#This Row],[INVERSIONES FCI]]-CO270,Tabla5[[#This Row],[INVERSIONES FCI]])</f>
        <v>1370468625.8405762</v>
      </c>
      <c r="CP271" s="5">
        <f>IF($B270&lt;=Tabla5[[#This Row],[INVERSIONES FCI]],+Tabla5[[#This Row],[INVERSIONES FCI]]-CP270,Tabla5[[#This Row],[INVERSIONES FCI]])</f>
        <v>1370468625.8405762</v>
      </c>
      <c r="CQ271" s="5">
        <f>IF($B270&lt;=Tabla5[[#This Row],[INVERSIONES FCI]],+Tabla5[[#This Row],[INVERSIONES FCI]]-CQ270,Tabla5[[#This Row],[INVERSIONES FCI]])</f>
        <v>1370468625.8405762</v>
      </c>
      <c r="CR271" s="5">
        <f>IF($B270&lt;=Tabla5[[#This Row],[INVERSIONES FCI]],+Tabla5[[#This Row],[INVERSIONES FCI]]-CR270,Tabla5[[#This Row],[INVERSIONES FCI]])</f>
        <v>1370468625.8405762</v>
      </c>
      <c r="CS271" s="5">
        <f>IF($B270&lt;=Tabla5[[#This Row],[INVERSIONES FCI]],+Tabla5[[#This Row],[INVERSIONES FCI]]-CS270,Tabla5[[#This Row],[INVERSIONES FCI]])</f>
        <v>1370468625.8405762</v>
      </c>
      <c r="CT271" s="5">
        <f>IF($B270&lt;=Tabla5[[#This Row],[INVERSIONES FCI]],+Tabla5[[#This Row],[INVERSIONES FCI]]-CT270,Tabla5[[#This Row],[INVERSIONES FCI]])</f>
        <v>1370468625.8405762</v>
      </c>
      <c r="CU271" s="5">
        <f>IF($B270&lt;=Tabla5[[#This Row],[INVERSIONES FCI]],+Tabla5[[#This Row],[INVERSIONES FCI]]-CU270,Tabla5[[#This Row],[INVERSIONES FCI]])</f>
        <v>1370468625.8405762</v>
      </c>
      <c r="CV271" s="5">
        <f>IF($B270&lt;=Tabla5[[#This Row],[INVERSIONES FCI]],+Tabla5[[#This Row],[INVERSIONES FCI]]-CV270,Tabla5[[#This Row],[INVERSIONES FCI]])</f>
        <v>1370468625.8405762</v>
      </c>
      <c r="CW271" s="5">
        <f>IF($B270&lt;=Tabla5[[#This Row],[INVERSIONES FCI]],+Tabla5[[#This Row],[INVERSIONES FCI]]-CW270,Tabla5[[#This Row],[INVERSIONES FCI]])</f>
        <v>1370468625.8405762</v>
      </c>
      <c r="CX271" s="5">
        <f>IF($B270&lt;=Tabla5[[#This Row],[INVERSIONES FCI]],+Tabla5[[#This Row],[INVERSIONES FCI]]-CX270,Tabla5[[#This Row],[INVERSIONES FCI]])</f>
        <v>1370468625.8405762</v>
      </c>
      <c r="CY271" s="5">
        <f>IF($B270&lt;=Tabla5[[#This Row],[INVERSIONES FCI]],+Tabla5[[#This Row],[INVERSIONES FCI]]-CY270,Tabla5[[#This Row],[INVERSIONES FCI]])</f>
        <v>1370468625.8405762</v>
      </c>
      <c r="CZ271" s="5">
        <f>IF($B270&lt;=Tabla5[[#This Row],[INVERSIONES FCI]],+Tabla5[[#This Row],[INVERSIONES FCI]]-CZ270,Tabla5[[#This Row],[INVERSIONES FCI]])</f>
        <v>1370468625.8405762</v>
      </c>
      <c r="DA271" s="5">
        <f>IF($B270&lt;=Tabla5[[#This Row],[INVERSIONES FCI]],+Tabla5[[#This Row],[INVERSIONES FCI]]-DA270,Tabla5[[#This Row],[INVERSIONES FCI]])</f>
        <v>1370468625.8405762</v>
      </c>
      <c r="DB271" s="5">
        <f>IF($B270&lt;=Tabla5[[#This Row],[INVERSIONES FCI]],+Tabla5[[#This Row],[INVERSIONES FCI]]-DB270,Tabla5[[#This Row],[INVERSIONES FCI]])</f>
        <v>1370468625.8405762</v>
      </c>
      <c r="DC271" s="5">
        <f>IF($B270&lt;=Tabla5[[#This Row],[INVERSIONES FCI]],+Tabla5[[#This Row],[INVERSIONES FCI]]-DC270,Tabla5[[#This Row],[INVERSIONES FCI]])</f>
        <v>1370468625.8405762</v>
      </c>
      <c r="DD271" s="5">
        <f>IF($B270&lt;=Tabla5[[#This Row],[INVERSIONES FCI]],+Tabla5[[#This Row],[INVERSIONES FCI]]-DD270,Tabla5[[#This Row],[INVERSIONES FCI]])</f>
        <v>1370468625.8405762</v>
      </c>
      <c r="DE271" s="5">
        <f>IF($B270&lt;=Tabla5[[#This Row],[INVERSIONES FCI]],+Tabla5[[#This Row],[INVERSIONES FCI]]-DE270,Tabla5[[#This Row],[INVERSIONES FCI]])</f>
        <v>1370468625.8405762</v>
      </c>
      <c r="DF271" s="5">
        <f>IF($B270&lt;=Tabla5[[#This Row],[INVERSIONES FCI]],+Tabla5[[#This Row],[INVERSIONES FCI]]-DF270,Tabla5[[#This Row],[INVERSIONES FCI]])</f>
        <v>1370468625.8405762</v>
      </c>
      <c r="DG271" s="5">
        <f>IF($B270&lt;=Tabla5[[#This Row],[INVERSIONES FCI]],+Tabla5[[#This Row],[INVERSIONES FCI]]-DG270,Tabla5[[#This Row],[INVERSIONES FCI]])</f>
        <v>1370468625.8405762</v>
      </c>
      <c r="DH271" s="5">
        <f>IF($B270&lt;=Tabla5[[#This Row],[INVERSIONES FCI]],+Tabla5[[#This Row],[INVERSIONES FCI]]-DH270,Tabla5[[#This Row],[INVERSIONES FCI]])</f>
        <v>1370468625.8405762</v>
      </c>
      <c r="DI271" s="5">
        <f>IF($B270&lt;=Tabla5[[#This Row],[INVERSIONES FCI]],+Tabla5[[#This Row],[INVERSIONES FCI]]-DI270,Tabla5[[#This Row],[INVERSIONES FCI]])</f>
        <v>1370468625.8405762</v>
      </c>
      <c r="DJ271" s="5">
        <f>IF($B270&lt;=Tabla5[[#This Row],[INVERSIONES FCI]],+Tabla5[[#This Row],[INVERSIONES FCI]]-DJ270,Tabla5[[#This Row],[INVERSIONES FCI]])</f>
        <v>1370468625.8405762</v>
      </c>
      <c r="DK271" s="5">
        <f>IF($B270&lt;=Tabla5[[#This Row],[INVERSIONES FCI]],+Tabla5[[#This Row],[INVERSIONES FCI]]-DK270,Tabla5[[#This Row],[INVERSIONES FCI]])</f>
        <v>1370468625.8405762</v>
      </c>
      <c r="DL271" s="5"/>
      <c r="DM271" s="5"/>
      <c r="DN271" s="5"/>
      <c r="DO271" s="5"/>
      <c r="DP271" s="5"/>
      <c r="DQ271" s="5"/>
    </row>
    <row r="272" spans="1:121" ht="14.4">
      <c r="A272" s="12" t="s">
        <v>271</v>
      </c>
      <c r="B272" s="5">
        <f>HLOOKUP($A272,ESCENARIO[#All],7,FALSE)</f>
        <v>69100884841.234024</v>
      </c>
      <c r="C272" s="5">
        <f>IF($B271&lt;=Tabla5[[#This Row],[INVERSIONES FCI]],+Tabla5[[#This Row],[INVERSIONES FCI]]-C271,Tabla5[[#This Row],[INVERSIONES FCI]])</f>
        <v>67730416215.393448</v>
      </c>
      <c r="D272" s="5">
        <f>IF($B271&lt;=Tabla5[[#This Row],[INVERSIONES FCI]],+Tabla5[[#This Row],[INVERSIONES FCI]]-D271,Tabla5[[#This Row],[INVERSIONES FCI]])</f>
        <v>67730416215.393448</v>
      </c>
      <c r="E272" s="5">
        <f>IF($B271&lt;=Tabla5[[#This Row],[INVERSIONES FCI]],+Tabla5[[#This Row],[INVERSIONES FCI]]-E271,Tabla5[[#This Row],[INVERSIONES FCI]])</f>
        <v>67730416215.393448</v>
      </c>
      <c r="F272" s="5">
        <f>IF($B271&lt;=Tabla5[[#This Row],[INVERSIONES FCI]],+Tabla5[[#This Row],[INVERSIONES FCI]]-F271,Tabla5[[#This Row],[INVERSIONES FCI]])</f>
        <v>67730416215.393448</v>
      </c>
      <c r="G272" s="5">
        <f>IF($B271&lt;=Tabla5[[#This Row],[INVERSIONES FCI]],+Tabla5[[#This Row],[INVERSIONES FCI]]-G271,Tabla5[[#This Row],[INVERSIONES FCI]])</f>
        <v>67730416215.393448</v>
      </c>
      <c r="H272" s="5">
        <f>IF($B271&lt;=Tabla5[[#This Row],[INVERSIONES FCI]],+Tabla5[[#This Row],[INVERSIONES FCI]]-H271,Tabla5[[#This Row],[INVERSIONES FCI]])</f>
        <v>67730416215.393448</v>
      </c>
      <c r="I272" s="5">
        <f>IF($B271&lt;=Tabla5[[#This Row],[INVERSIONES FCI]],+Tabla5[[#This Row],[INVERSIONES FCI]]-I271,Tabla5[[#This Row],[INVERSIONES FCI]])</f>
        <v>67730416215.393448</v>
      </c>
      <c r="J272" s="5">
        <f>IF($B271&lt;=Tabla5[[#This Row],[INVERSIONES FCI]],+Tabla5[[#This Row],[INVERSIONES FCI]]-J271,Tabla5[[#This Row],[INVERSIONES FCI]])</f>
        <v>67730416215.393448</v>
      </c>
      <c r="K272" s="5">
        <f>IF($B271&lt;=Tabla5[[#This Row],[INVERSIONES FCI]],+Tabla5[[#This Row],[INVERSIONES FCI]]-K271,Tabla5[[#This Row],[INVERSIONES FCI]])</f>
        <v>67730416215.393448</v>
      </c>
      <c r="L272" s="5">
        <f>IF($B271&lt;=Tabla5[[#This Row],[INVERSIONES FCI]],+Tabla5[[#This Row],[INVERSIONES FCI]]-L271,Tabla5[[#This Row],[INVERSIONES FCI]])</f>
        <v>67730416215.393448</v>
      </c>
      <c r="M272" s="5">
        <f>IF($B271&lt;=Tabla5[[#This Row],[INVERSIONES FCI]],+Tabla5[[#This Row],[INVERSIONES FCI]]-M271,Tabla5[[#This Row],[INVERSIONES FCI]])</f>
        <v>67730416215.393448</v>
      </c>
      <c r="N272" s="5">
        <f>IF($B271&lt;=Tabla5[[#This Row],[INVERSIONES FCI]],+Tabla5[[#This Row],[INVERSIONES FCI]]-N271,Tabla5[[#This Row],[INVERSIONES FCI]])</f>
        <v>67730416215.393448</v>
      </c>
      <c r="O272" s="5">
        <f>IF($B271&lt;=Tabla5[[#This Row],[INVERSIONES FCI]],+Tabla5[[#This Row],[INVERSIONES FCI]]-O271,Tabla5[[#This Row],[INVERSIONES FCI]])</f>
        <v>67730416215.393448</v>
      </c>
      <c r="P272" s="5">
        <f>IF($B271&lt;=Tabla5[[#This Row],[INVERSIONES FCI]],+Tabla5[[#This Row],[INVERSIONES FCI]]-P271,Tabla5[[#This Row],[INVERSIONES FCI]])</f>
        <v>67730416215.393448</v>
      </c>
      <c r="Q272" s="5">
        <f>IF($B271&lt;=Tabla5[[#This Row],[INVERSIONES FCI]],+Tabla5[[#This Row],[INVERSIONES FCI]]-Q271,Tabla5[[#This Row],[INVERSIONES FCI]])</f>
        <v>67730416215.393448</v>
      </c>
      <c r="R272" s="5">
        <f>IF($B271&lt;=Tabla5[[#This Row],[INVERSIONES FCI]],+Tabla5[[#This Row],[INVERSIONES FCI]]-R271,Tabla5[[#This Row],[INVERSIONES FCI]])</f>
        <v>67730416215.393448</v>
      </c>
      <c r="S272" s="5">
        <f>IF($B271&lt;=Tabla5[[#This Row],[INVERSIONES FCI]],+Tabla5[[#This Row],[INVERSIONES FCI]]-S271,Tabla5[[#This Row],[INVERSIONES FCI]])</f>
        <v>67730416215.393448</v>
      </c>
      <c r="T272" s="5">
        <f>IF($B271&lt;=Tabla5[[#This Row],[INVERSIONES FCI]],+Tabla5[[#This Row],[INVERSIONES FCI]]-T271,Tabla5[[#This Row],[INVERSIONES FCI]])</f>
        <v>67730416215.393448</v>
      </c>
      <c r="U272" s="5">
        <f>IF($B271&lt;=Tabla5[[#This Row],[INVERSIONES FCI]],+Tabla5[[#This Row],[INVERSIONES FCI]]-U271,Tabla5[[#This Row],[INVERSIONES FCI]])</f>
        <v>67730416215.393448</v>
      </c>
      <c r="V272" s="5">
        <f>IF($B271&lt;=Tabla5[[#This Row],[INVERSIONES FCI]],+Tabla5[[#This Row],[INVERSIONES FCI]]-V271,Tabla5[[#This Row],[INVERSIONES FCI]])</f>
        <v>67730416215.393448</v>
      </c>
      <c r="W272" s="5">
        <f>IF($B271&lt;=Tabla5[[#This Row],[INVERSIONES FCI]],+Tabla5[[#This Row],[INVERSIONES FCI]]-W271,Tabla5[[#This Row],[INVERSIONES FCI]])</f>
        <v>67730416215.393448</v>
      </c>
      <c r="X272" s="5">
        <f>IF($B271&lt;=Tabla5[[#This Row],[INVERSIONES FCI]],+Tabla5[[#This Row],[INVERSIONES FCI]]-X271,Tabla5[[#This Row],[INVERSIONES FCI]])</f>
        <v>67730416215.393448</v>
      </c>
      <c r="Y272" s="5">
        <f>IF($B271&lt;=Tabla5[[#This Row],[INVERSIONES FCI]],+Tabla5[[#This Row],[INVERSIONES FCI]]-Y271,Tabla5[[#This Row],[INVERSIONES FCI]])</f>
        <v>67730416215.393448</v>
      </c>
      <c r="Z272" s="5">
        <f>IF($B271&lt;=Tabla5[[#This Row],[INVERSIONES FCI]],+Tabla5[[#This Row],[INVERSIONES FCI]]-Z271,Tabla5[[#This Row],[INVERSIONES FCI]])</f>
        <v>67730416215.393448</v>
      </c>
      <c r="AA272" s="5">
        <f>IF($B271&lt;=Tabla5[[#This Row],[INVERSIONES FCI]],+Tabla5[[#This Row],[INVERSIONES FCI]]-AA271,Tabla5[[#This Row],[INVERSIONES FCI]])</f>
        <v>67730416215.393448</v>
      </c>
      <c r="AB272" s="5">
        <f>IF($B271&lt;=Tabla5[[#This Row],[INVERSIONES FCI]],+Tabla5[[#This Row],[INVERSIONES FCI]]-AB271,Tabla5[[#This Row],[INVERSIONES FCI]])</f>
        <v>67730416215.393448</v>
      </c>
      <c r="AC272" s="5">
        <f>IF($B271&lt;=Tabla5[[#This Row],[INVERSIONES FCI]],+Tabla5[[#This Row],[INVERSIONES FCI]]-AC271,Tabla5[[#This Row],[INVERSIONES FCI]])</f>
        <v>67730416215.393448</v>
      </c>
      <c r="AD272" s="5">
        <f>IF($B271&lt;=Tabla5[[#This Row],[INVERSIONES FCI]],+Tabla5[[#This Row],[INVERSIONES FCI]]-AD271,Tabla5[[#This Row],[INVERSIONES FCI]])</f>
        <v>67730416215.393448</v>
      </c>
      <c r="AE272" s="5">
        <f>IF($B271&lt;=Tabla5[[#This Row],[INVERSIONES FCI]],+Tabla5[[#This Row],[INVERSIONES FCI]]-AE271,Tabla5[[#This Row],[INVERSIONES FCI]])</f>
        <v>67730416215.393448</v>
      </c>
      <c r="AF272" s="5">
        <f>IF($B271&lt;=Tabla5[[#This Row],[INVERSIONES FCI]],+Tabla5[[#This Row],[INVERSIONES FCI]]-AF271,Tabla5[[#This Row],[INVERSIONES FCI]])</f>
        <v>67730416215.393448</v>
      </c>
      <c r="AG272" s="5">
        <f>IF($B271&lt;=Tabla5[[#This Row],[INVERSIONES FCI]],+Tabla5[[#This Row],[INVERSIONES FCI]]-AG271,Tabla5[[#This Row],[INVERSIONES FCI]])</f>
        <v>67730416215.393448</v>
      </c>
      <c r="AH272" s="5">
        <f>IF($B271&lt;=Tabla5[[#This Row],[INVERSIONES FCI]],+Tabla5[[#This Row],[INVERSIONES FCI]]-AH271,Tabla5[[#This Row],[INVERSIONES FCI]])</f>
        <v>67730416215.393448</v>
      </c>
      <c r="AI272" s="5">
        <f>IF($B271&lt;=Tabla5[[#This Row],[INVERSIONES FCI]],+Tabla5[[#This Row],[INVERSIONES FCI]]-AI271,Tabla5[[#This Row],[INVERSIONES FCI]])</f>
        <v>67730416215.393448</v>
      </c>
      <c r="AJ272" s="5">
        <f>IF($B271&lt;=Tabla5[[#This Row],[INVERSIONES FCI]],+Tabla5[[#This Row],[INVERSIONES FCI]]-AJ271,Tabla5[[#This Row],[INVERSIONES FCI]])</f>
        <v>67730416215.393448</v>
      </c>
      <c r="AK272" s="5">
        <f>IF($B271&lt;=Tabla5[[#This Row],[INVERSIONES FCI]],+Tabla5[[#This Row],[INVERSIONES FCI]]-AK271,Tabla5[[#This Row],[INVERSIONES FCI]])</f>
        <v>67730416215.393448</v>
      </c>
      <c r="AL272" s="5">
        <f>IF($B271&lt;=Tabla5[[#This Row],[INVERSIONES FCI]],+Tabla5[[#This Row],[INVERSIONES FCI]]-AL271,Tabla5[[#This Row],[INVERSIONES FCI]])</f>
        <v>67730416215.393448</v>
      </c>
      <c r="AM272" s="5">
        <f>IF($B271&lt;=Tabla5[[#This Row],[INVERSIONES FCI]],+Tabla5[[#This Row],[INVERSIONES FCI]]-AM271,Tabla5[[#This Row],[INVERSIONES FCI]])</f>
        <v>67730416215.393448</v>
      </c>
      <c r="AN272" s="5">
        <f>IF($B271&lt;=Tabla5[[#This Row],[INVERSIONES FCI]],+Tabla5[[#This Row],[INVERSIONES FCI]]-AN271,Tabla5[[#This Row],[INVERSIONES FCI]])</f>
        <v>67730416215.393448</v>
      </c>
      <c r="AO272" s="5">
        <f>IF($B271&lt;=Tabla5[[#This Row],[INVERSIONES FCI]],+Tabla5[[#This Row],[INVERSIONES FCI]]-AO271,Tabla5[[#This Row],[INVERSIONES FCI]])</f>
        <v>67730416215.393448</v>
      </c>
      <c r="AP272" s="5">
        <f>IF($B271&lt;=Tabla5[[#This Row],[INVERSIONES FCI]],+Tabla5[[#This Row],[INVERSIONES FCI]]-AP271,Tabla5[[#This Row],[INVERSIONES FCI]])</f>
        <v>67730416215.393448</v>
      </c>
      <c r="AQ272" s="5">
        <f>IF($B271&lt;=Tabla5[[#This Row],[INVERSIONES FCI]],+Tabla5[[#This Row],[INVERSIONES FCI]]-AQ271,Tabla5[[#This Row],[INVERSIONES FCI]])</f>
        <v>67730416215.393448</v>
      </c>
      <c r="AR272" s="5">
        <f>IF($B271&lt;=Tabla5[[#This Row],[INVERSIONES FCI]],+Tabla5[[#This Row],[INVERSIONES FCI]]-AR271,Tabla5[[#This Row],[INVERSIONES FCI]])</f>
        <v>67730416215.393448</v>
      </c>
      <c r="AS272" s="5">
        <f>IF($B271&lt;=Tabla5[[#This Row],[INVERSIONES FCI]],+Tabla5[[#This Row],[INVERSIONES FCI]]-AS271,Tabla5[[#This Row],[INVERSIONES FCI]])</f>
        <v>67730416215.393448</v>
      </c>
      <c r="AT272" s="5">
        <f>IF($B271&lt;=Tabla5[[#This Row],[INVERSIONES FCI]],+Tabla5[[#This Row],[INVERSIONES FCI]]-AT271,Tabla5[[#This Row],[INVERSIONES FCI]])</f>
        <v>67730416215.393448</v>
      </c>
      <c r="AU272" s="5">
        <f>IF($B271&lt;=Tabla5[[#This Row],[INVERSIONES FCI]],+Tabla5[[#This Row],[INVERSIONES FCI]]-AU271,Tabla5[[#This Row],[INVERSIONES FCI]])</f>
        <v>67730416215.393448</v>
      </c>
      <c r="AV272" s="5">
        <f>IF($B271&lt;=Tabla5[[#This Row],[INVERSIONES FCI]],+Tabla5[[#This Row],[INVERSIONES FCI]]-AV271,Tabla5[[#This Row],[INVERSIONES FCI]])</f>
        <v>67730416215.393448</v>
      </c>
      <c r="AW272" s="5">
        <f>IF($B271&lt;=Tabla5[[#This Row],[INVERSIONES FCI]],+Tabla5[[#This Row],[INVERSIONES FCI]]-AW271,Tabla5[[#This Row],[INVERSIONES FCI]])</f>
        <v>67730416215.393448</v>
      </c>
      <c r="AX272" s="5">
        <f>IF($B271&lt;=Tabla5[[#This Row],[INVERSIONES FCI]],+Tabla5[[#This Row],[INVERSIONES FCI]]-AX271,Tabla5[[#This Row],[INVERSIONES FCI]])</f>
        <v>67730416215.393448</v>
      </c>
      <c r="AY272" s="5">
        <f>IF($B271&lt;=Tabla5[[#This Row],[INVERSIONES FCI]],+Tabla5[[#This Row],[INVERSIONES FCI]]-AY271,Tabla5[[#This Row],[INVERSIONES FCI]])</f>
        <v>67730416215.393448</v>
      </c>
      <c r="AZ272" s="5">
        <f>IF($B271&lt;=Tabla5[[#This Row],[INVERSIONES FCI]],+Tabla5[[#This Row],[INVERSIONES FCI]]-AZ271,Tabla5[[#This Row],[INVERSIONES FCI]])</f>
        <v>67730416215.393448</v>
      </c>
      <c r="BA272" s="5">
        <f>IF($B271&lt;=Tabla5[[#This Row],[INVERSIONES FCI]],+Tabla5[[#This Row],[INVERSIONES FCI]]-BA271,Tabla5[[#This Row],[INVERSIONES FCI]])</f>
        <v>67730416215.393448</v>
      </c>
      <c r="BB272" s="5">
        <f>IF($B271&lt;=Tabla5[[#This Row],[INVERSIONES FCI]],+Tabla5[[#This Row],[INVERSIONES FCI]]-BB271,Tabla5[[#This Row],[INVERSIONES FCI]])</f>
        <v>67730416215.393448</v>
      </c>
      <c r="BC272" s="5">
        <f>IF($B271&lt;=Tabla5[[#This Row],[INVERSIONES FCI]],+Tabla5[[#This Row],[INVERSIONES FCI]]-BC271,Tabla5[[#This Row],[INVERSIONES FCI]])</f>
        <v>67730416215.393448</v>
      </c>
      <c r="BD272" s="5">
        <f>IF($B271&lt;=Tabla5[[#This Row],[INVERSIONES FCI]],+Tabla5[[#This Row],[INVERSIONES FCI]]-BD271,Tabla5[[#This Row],[INVERSIONES FCI]])</f>
        <v>67730416215.393448</v>
      </c>
      <c r="BE272" s="5">
        <f>IF($B271&lt;=Tabla5[[#This Row],[INVERSIONES FCI]],+Tabla5[[#This Row],[INVERSIONES FCI]]-BE271,Tabla5[[#This Row],[INVERSIONES FCI]])</f>
        <v>67730416215.393448</v>
      </c>
      <c r="BF272" s="5">
        <f>IF($B271&lt;=Tabla5[[#This Row],[INVERSIONES FCI]],+Tabla5[[#This Row],[INVERSIONES FCI]]-BF271,Tabla5[[#This Row],[INVERSIONES FCI]])</f>
        <v>67730416215.393448</v>
      </c>
      <c r="BG272" s="5">
        <f>IF($B271&lt;=Tabla5[[#This Row],[INVERSIONES FCI]],+Tabla5[[#This Row],[INVERSIONES FCI]]-BG271,Tabla5[[#This Row],[INVERSIONES FCI]])</f>
        <v>67730416215.393448</v>
      </c>
      <c r="BH272" s="5">
        <f>IF($B271&lt;=Tabla5[[#This Row],[INVERSIONES FCI]],+Tabla5[[#This Row],[INVERSIONES FCI]]-BH271,Tabla5[[#This Row],[INVERSIONES FCI]])</f>
        <v>67730416215.393448</v>
      </c>
      <c r="BI272" s="5">
        <f>IF($B271&lt;=Tabla5[[#This Row],[INVERSIONES FCI]],+Tabla5[[#This Row],[INVERSIONES FCI]]-BI271,Tabla5[[#This Row],[INVERSIONES FCI]])</f>
        <v>67730416215.393448</v>
      </c>
      <c r="BJ272" s="5">
        <f>IF($B271&lt;=Tabla5[[#This Row],[INVERSIONES FCI]],+Tabla5[[#This Row],[INVERSIONES FCI]]-BJ271,Tabla5[[#This Row],[INVERSIONES FCI]])</f>
        <v>67730416215.393448</v>
      </c>
      <c r="BK272" s="5">
        <f>IF($B271&lt;=Tabla5[[#This Row],[INVERSIONES FCI]],+Tabla5[[#This Row],[INVERSIONES FCI]]-BK271,Tabla5[[#This Row],[INVERSIONES FCI]])</f>
        <v>67730416215.393448</v>
      </c>
      <c r="BL272" s="5">
        <f>IF($B271&lt;=Tabla5[[#This Row],[INVERSIONES FCI]],+Tabla5[[#This Row],[INVERSIONES FCI]]-BL271,Tabla5[[#This Row],[INVERSIONES FCI]])</f>
        <v>67730416215.393448</v>
      </c>
      <c r="BM272" s="5">
        <f>IF($B271&lt;=Tabla5[[#This Row],[INVERSIONES FCI]],+Tabla5[[#This Row],[INVERSIONES FCI]]-BM271,Tabla5[[#This Row],[INVERSIONES FCI]])</f>
        <v>67730416215.393448</v>
      </c>
      <c r="BN272" s="5">
        <f>IF($B271&lt;=Tabla5[[#This Row],[INVERSIONES FCI]],+Tabla5[[#This Row],[INVERSIONES FCI]]-BN271,Tabla5[[#This Row],[INVERSIONES FCI]])</f>
        <v>67730416215.393448</v>
      </c>
      <c r="BO272" s="5">
        <f>IF($B271&lt;=Tabla5[[#This Row],[INVERSIONES FCI]],+Tabla5[[#This Row],[INVERSIONES FCI]]-BO271,Tabla5[[#This Row],[INVERSIONES FCI]])</f>
        <v>67730416215.393448</v>
      </c>
      <c r="BP272" s="5">
        <f>IF($B271&lt;=Tabla5[[#This Row],[INVERSIONES FCI]],+Tabla5[[#This Row],[INVERSIONES FCI]]-BP271,Tabla5[[#This Row],[INVERSIONES FCI]])</f>
        <v>67730416215.393448</v>
      </c>
      <c r="BQ272" s="5">
        <f>IF($B271&lt;=Tabla5[[#This Row],[INVERSIONES FCI]],+Tabla5[[#This Row],[INVERSIONES FCI]]-BQ271,Tabla5[[#This Row],[INVERSIONES FCI]])</f>
        <v>67730416215.393448</v>
      </c>
      <c r="BR272" s="5">
        <f>IF($B271&lt;=Tabla5[[#This Row],[INVERSIONES FCI]],+Tabla5[[#This Row],[INVERSIONES FCI]]-BR271,Tabla5[[#This Row],[INVERSIONES FCI]])</f>
        <v>67730416215.393448</v>
      </c>
      <c r="BS272" s="5">
        <f>IF($B271&lt;=Tabla5[[#This Row],[INVERSIONES FCI]],+Tabla5[[#This Row],[INVERSIONES FCI]]-BS271,Tabla5[[#This Row],[INVERSIONES FCI]])</f>
        <v>67730416215.393448</v>
      </c>
      <c r="BT272" s="5">
        <f>IF($B271&lt;=Tabla5[[#This Row],[INVERSIONES FCI]],+Tabla5[[#This Row],[INVERSIONES FCI]]-BT271,Tabla5[[#This Row],[INVERSIONES FCI]])</f>
        <v>67730416215.393448</v>
      </c>
      <c r="BU272" s="5">
        <f>IF($B271&lt;=Tabla5[[#This Row],[INVERSIONES FCI]],+Tabla5[[#This Row],[INVERSIONES FCI]]-BU271,Tabla5[[#This Row],[INVERSIONES FCI]])</f>
        <v>67730416215.393448</v>
      </c>
      <c r="BV272" s="5">
        <f>IF($B271&lt;=Tabla5[[#This Row],[INVERSIONES FCI]],+Tabla5[[#This Row],[INVERSIONES FCI]]-BV271,Tabla5[[#This Row],[INVERSIONES FCI]])</f>
        <v>67730416215.393448</v>
      </c>
      <c r="BW272" s="5">
        <f>IF($B271&lt;=Tabla5[[#This Row],[INVERSIONES FCI]],+Tabla5[[#This Row],[INVERSIONES FCI]]-BW271,Tabla5[[#This Row],[INVERSIONES FCI]])</f>
        <v>67730416215.393448</v>
      </c>
      <c r="BX272" s="5">
        <f>IF($B271&lt;=Tabla5[[#This Row],[INVERSIONES FCI]],+Tabla5[[#This Row],[INVERSIONES FCI]]-BX271,Tabla5[[#This Row],[INVERSIONES FCI]])</f>
        <v>67730416215.393448</v>
      </c>
      <c r="BY272" s="5">
        <f>IF($B271&lt;=Tabla5[[#This Row],[INVERSIONES FCI]],+Tabla5[[#This Row],[INVERSIONES FCI]]-BY271,Tabla5[[#This Row],[INVERSIONES FCI]])</f>
        <v>67730416215.393448</v>
      </c>
      <c r="BZ272" s="5">
        <f>IF($B271&lt;=Tabla5[[#This Row],[INVERSIONES FCI]],+Tabla5[[#This Row],[INVERSIONES FCI]]-BZ271,Tabla5[[#This Row],[INVERSIONES FCI]])</f>
        <v>67730416215.393448</v>
      </c>
      <c r="CA272" s="5">
        <f>IF($B271&lt;=Tabla5[[#This Row],[INVERSIONES FCI]],+Tabla5[[#This Row],[INVERSIONES FCI]]-CA271,Tabla5[[#This Row],[INVERSIONES FCI]])</f>
        <v>67730416215.393448</v>
      </c>
      <c r="CB272" s="5">
        <f>IF($B271&lt;=Tabla5[[#This Row],[INVERSIONES FCI]],+Tabla5[[#This Row],[INVERSIONES FCI]]-CB271,Tabla5[[#This Row],[INVERSIONES FCI]])</f>
        <v>67730416215.393448</v>
      </c>
      <c r="CC272" s="5">
        <f>IF($B271&lt;=Tabla5[[#This Row],[INVERSIONES FCI]],+Tabla5[[#This Row],[INVERSIONES FCI]]-CC271,Tabla5[[#This Row],[INVERSIONES FCI]])</f>
        <v>67730416215.393448</v>
      </c>
      <c r="CD272" s="5">
        <f>IF($B271&lt;=Tabla5[[#This Row],[INVERSIONES FCI]],+Tabla5[[#This Row],[INVERSIONES FCI]]-CD271,Tabla5[[#This Row],[INVERSIONES FCI]])</f>
        <v>67730416215.393448</v>
      </c>
      <c r="CE272" s="5">
        <f>IF($B271&lt;=Tabla5[[#This Row],[INVERSIONES FCI]],+Tabla5[[#This Row],[INVERSIONES FCI]]-CE271,Tabla5[[#This Row],[INVERSIONES FCI]])</f>
        <v>67730416215.393448</v>
      </c>
      <c r="CF272" s="5">
        <f>IF($B271&lt;=Tabla5[[#This Row],[INVERSIONES FCI]],+Tabla5[[#This Row],[INVERSIONES FCI]]-CF271,Tabla5[[#This Row],[INVERSIONES FCI]])</f>
        <v>67730416215.393448</v>
      </c>
      <c r="CG272" s="5">
        <f>IF($B271&lt;=Tabla5[[#This Row],[INVERSIONES FCI]],+Tabla5[[#This Row],[INVERSIONES FCI]]-CG271,Tabla5[[#This Row],[INVERSIONES FCI]])</f>
        <v>67730416215.393448</v>
      </c>
      <c r="CH272" s="5">
        <f>IF($B271&lt;=Tabla5[[#This Row],[INVERSIONES FCI]],+Tabla5[[#This Row],[INVERSIONES FCI]]-CH271,Tabla5[[#This Row],[INVERSIONES FCI]])</f>
        <v>67730416215.393448</v>
      </c>
      <c r="CI272" s="5">
        <f>IF($B271&lt;=Tabla5[[#This Row],[INVERSIONES FCI]],+Tabla5[[#This Row],[INVERSIONES FCI]]-CI271,Tabla5[[#This Row],[INVERSIONES FCI]])</f>
        <v>67730416215.393448</v>
      </c>
      <c r="CJ272" s="5">
        <f>IF($B271&lt;=Tabla5[[#This Row],[INVERSIONES FCI]],+Tabla5[[#This Row],[INVERSIONES FCI]]-CJ271,Tabla5[[#This Row],[INVERSIONES FCI]])</f>
        <v>67730416215.393448</v>
      </c>
      <c r="CK272" s="5">
        <f>IF($B271&lt;=Tabla5[[#This Row],[INVERSIONES FCI]],+Tabla5[[#This Row],[INVERSIONES FCI]]-CK271,Tabla5[[#This Row],[INVERSIONES FCI]])</f>
        <v>67730416215.393448</v>
      </c>
      <c r="CL272" s="5">
        <f>IF($B271&lt;=Tabla5[[#This Row],[INVERSIONES FCI]],+Tabla5[[#This Row],[INVERSIONES FCI]]-CL271,Tabla5[[#This Row],[INVERSIONES FCI]])</f>
        <v>67730416215.393448</v>
      </c>
      <c r="CM272" s="5">
        <f>IF($B271&lt;=Tabla5[[#This Row],[INVERSIONES FCI]],+Tabla5[[#This Row],[INVERSIONES FCI]]-CM271,Tabla5[[#This Row],[INVERSIONES FCI]])</f>
        <v>67730416215.393448</v>
      </c>
      <c r="CN272" s="5">
        <f>IF($B271&lt;=Tabla5[[#This Row],[INVERSIONES FCI]],+Tabla5[[#This Row],[INVERSIONES FCI]]-CN271,Tabla5[[#This Row],[INVERSIONES FCI]])</f>
        <v>67730416215.393448</v>
      </c>
      <c r="CO272" s="5">
        <f>IF($B271&lt;=Tabla5[[#This Row],[INVERSIONES FCI]],+Tabla5[[#This Row],[INVERSIONES FCI]]-CO271,Tabla5[[#This Row],[INVERSIONES FCI]])</f>
        <v>67730416215.393448</v>
      </c>
      <c r="CP272" s="5">
        <f>IF($B271&lt;=Tabla5[[#This Row],[INVERSIONES FCI]],+Tabla5[[#This Row],[INVERSIONES FCI]]-CP271,Tabla5[[#This Row],[INVERSIONES FCI]])</f>
        <v>67730416215.393448</v>
      </c>
      <c r="CQ272" s="5">
        <f>IF($B271&lt;=Tabla5[[#This Row],[INVERSIONES FCI]],+Tabla5[[#This Row],[INVERSIONES FCI]]-CQ271,Tabla5[[#This Row],[INVERSIONES FCI]])</f>
        <v>67730416215.393448</v>
      </c>
      <c r="CR272" s="5">
        <f>IF($B271&lt;=Tabla5[[#This Row],[INVERSIONES FCI]],+Tabla5[[#This Row],[INVERSIONES FCI]]-CR271,Tabla5[[#This Row],[INVERSIONES FCI]])</f>
        <v>67730416215.393448</v>
      </c>
      <c r="CS272" s="5">
        <f>IF($B271&lt;=Tabla5[[#This Row],[INVERSIONES FCI]],+Tabla5[[#This Row],[INVERSIONES FCI]]-CS271,Tabla5[[#This Row],[INVERSIONES FCI]])</f>
        <v>67730416215.393448</v>
      </c>
      <c r="CT272" s="5">
        <f>IF($B271&lt;=Tabla5[[#This Row],[INVERSIONES FCI]],+Tabla5[[#This Row],[INVERSIONES FCI]]-CT271,Tabla5[[#This Row],[INVERSIONES FCI]])</f>
        <v>67730416215.393448</v>
      </c>
      <c r="CU272" s="5">
        <f>IF($B271&lt;=Tabla5[[#This Row],[INVERSIONES FCI]],+Tabla5[[#This Row],[INVERSIONES FCI]]-CU271,Tabla5[[#This Row],[INVERSIONES FCI]])</f>
        <v>67730416215.393448</v>
      </c>
      <c r="CV272" s="5">
        <f>IF($B271&lt;=Tabla5[[#This Row],[INVERSIONES FCI]],+Tabla5[[#This Row],[INVERSIONES FCI]]-CV271,Tabla5[[#This Row],[INVERSIONES FCI]])</f>
        <v>67730416215.393448</v>
      </c>
      <c r="CW272" s="5">
        <f>IF($B271&lt;=Tabla5[[#This Row],[INVERSIONES FCI]],+Tabla5[[#This Row],[INVERSIONES FCI]]-CW271,Tabla5[[#This Row],[INVERSIONES FCI]])</f>
        <v>67730416215.393448</v>
      </c>
      <c r="CX272" s="5">
        <f>IF($B271&lt;=Tabla5[[#This Row],[INVERSIONES FCI]],+Tabla5[[#This Row],[INVERSIONES FCI]]-CX271,Tabla5[[#This Row],[INVERSIONES FCI]])</f>
        <v>67730416215.393448</v>
      </c>
      <c r="CY272" s="5">
        <f>IF($B271&lt;=Tabla5[[#This Row],[INVERSIONES FCI]],+Tabla5[[#This Row],[INVERSIONES FCI]]-CY271,Tabla5[[#This Row],[INVERSIONES FCI]])</f>
        <v>67730416215.393448</v>
      </c>
      <c r="CZ272" s="5">
        <f>IF($B271&lt;=Tabla5[[#This Row],[INVERSIONES FCI]],+Tabla5[[#This Row],[INVERSIONES FCI]]-CZ271,Tabla5[[#This Row],[INVERSIONES FCI]])</f>
        <v>67730416215.393448</v>
      </c>
      <c r="DA272" s="5">
        <f>IF($B271&lt;=Tabla5[[#This Row],[INVERSIONES FCI]],+Tabla5[[#This Row],[INVERSIONES FCI]]-DA271,Tabla5[[#This Row],[INVERSIONES FCI]])</f>
        <v>67730416215.393448</v>
      </c>
      <c r="DB272" s="5">
        <f>IF($B271&lt;=Tabla5[[#This Row],[INVERSIONES FCI]],+Tabla5[[#This Row],[INVERSIONES FCI]]-DB271,Tabla5[[#This Row],[INVERSIONES FCI]])</f>
        <v>67730416215.393448</v>
      </c>
      <c r="DC272" s="5">
        <f>IF($B271&lt;=Tabla5[[#This Row],[INVERSIONES FCI]],+Tabla5[[#This Row],[INVERSIONES FCI]]-DC271,Tabla5[[#This Row],[INVERSIONES FCI]])</f>
        <v>67730416215.393448</v>
      </c>
      <c r="DD272" s="5">
        <f>IF($B271&lt;=Tabla5[[#This Row],[INVERSIONES FCI]],+Tabla5[[#This Row],[INVERSIONES FCI]]-DD271,Tabla5[[#This Row],[INVERSIONES FCI]])</f>
        <v>67730416215.393448</v>
      </c>
      <c r="DE272" s="5">
        <f>IF($B271&lt;=Tabla5[[#This Row],[INVERSIONES FCI]],+Tabla5[[#This Row],[INVERSIONES FCI]]-DE271,Tabla5[[#This Row],[INVERSIONES FCI]])</f>
        <v>67730416215.393448</v>
      </c>
      <c r="DF272" s="5">
        <f>IF($B271&lt;=Tabla5[[#This Row],[INVERSIONES FCI]],+Tabla5[[#This Row],[INVERSIONES FCI]]-DF271,Tabla5[[#This Row],[INVERSIONES FCI]])</f>
        <v>67730416215.393448</v>
      </c>
      <c r="DG272" s="5">
        <f>IF($B271&lt;=Tabla5[[#This Row],[INVERSIONES FCI]],+Tabla5[[#This Row],[INVERSIONES FCI]]-DG271,Tabla5[[#This Row],[INVERSIONES FCI]])</f>
        <v>67730416215.393448</v>
      </c>
      <c r="DH272" s="5">
        <f>IF($B271&lt;=Tabla5[[#This Row],[INVERSIONES FCI]],+Tabla5[[#This Row],[INVERSIONES FCI]]-DH271,Tabla5[[#This Row],[INVERSIONES FCI]])</f>
        <v>67730416215.393448</v>
      </c>
      <c r="DI272" s="5">
        <f>IF($B271&lt;=Tabla5[[#This Row],[INVERSIONES FCI]],+Tabla5[[#This Row],[INVERSIONES FCI]]-DI271,Tabla5[[#This Row],[INVERSIONES FCI]])</f>
        <v>67730416215.393448</v>
      </c>
      <c r="DJ272" s="5">
        <f>IF($B271&lt;=Tabla5[[#This Row],[INVERSIONES FCI]],+Tabla5[[#This Row],[INVERSIONES FCI]]-DJ271,Tabla5[[#This Row],[INVERSIONES FCI]])</f>
        <v>67730416215.393448</v>
      </c>
      <c r="DK272" s="5">
        <f>IF($B271&lt;=Tabla5[[#This Row],[INVERSIONES FCI]],+Tabla5[[#This Row],[INVERSIONES FCI]]-DK271,Tabla5[[#This Row],[INVERSIONES FCI]])</f>
        <v>67730416215.393448</v>
      </c>
      <c r="DL272" s="5"/>
      <c r="DM272" s="5"/>
      <c r="DN272" s="5"/>
      <c r="DO272" s="5"/>
      <c r="DP272" s="5"/>
      <c r="DQ272" s="5"/>
    </row>
    <row r="273" spans="1:121" ht="14.4">
      <c r="A273" s="12" t="s">
        <v>272</v>
      </c>
      <c r="B273" s="5">
        <f>HLOOKUP($A273,ESCENARIO[#All],7,FALSE)</f>
        <v>49245387238.313446</v>
      </c>
      <c r="C273" s="5">
        <f>IF($B272&lt;=Tabla5[[#This Row],[INVERSIONES FCI]],+Tabla5[[#This Row],[INVERSIONES FCI]]-C272,Tabla5[[#This Row],[INVERSIONES FCI]])</f>
        <v>49245387238.313446</v>
      </c>
      <c r="D273" s="5">
        <f>IF($B272&lt;=Tabla5[[#This Row],[INVERSIONES FCI]],+Tabla5[[#This Row],[INVERSIONES FCI]]-D272,Tabla5[[#This Row],[INVERSIONES FCI]])</f>
        <v>49245387238.313446</v>
      </c>
      <c r="E273" s="5">
        <f>IF($B272&lt;=Tabla5[[#This Row],[INVERSIONES FCI]],+Tabla5[[#This Row],[INVERSIONES FCI]]-E272,Tabla5[[#This Row],[INVERSIONES FCI]])</f>
        <v>49245387238.313446</v>
      </c>
      <c r="F273" s="5">
        <f>IF($B272&lt;=Tabla5[[#This Row],[INVERSIONES FCI]],+Tabla5[[#This Row],[INVERSIONES FCI]]-F272,Tabla5[[#This Row],[INVERSIONES FCI]])</f>
        <v>49245387238.313446</v>
      </c>
      <c r="G273" s="5">
        <f>IF($B272&lt;=Tabla5[[#This Row],[INVERSIONES FCI]],+Tabla5[[#This Row],[INVERSIONES FCI]]-G272,Tabla5[[#This Row],[INVERSIONES FCI]])</f>
        <v>49245387238.313446</v>
      </c>
      <c r="H273" s="5">
        <f>IF($B272&lt;=Tabla5[[#This Row],[INVERSIONES FCI]],+Tabla5[[#This Row],[INVERSIONES FCI]]-H272,Tabla5[[#This Row],[INVERSIONES FCI]])</f>
        <v>49245387238.313446</v>
      </c>
      <c r="I273" s="5">
        <f>IF($B272&lt;=Tabla5[[#This Row],[INVERSIONES FCI]],+Tabla5[[#This Row],[INVERSIONES FCI]]-I272,Tabla5[[#This Row],[INVERSIONES FCI]])</f>
        <v>49245387238.313446</v>
      </c>
      <c r="J273" s="5">
        <f>IF($B272&lt;=Tabla5[[#This Row],[INVERSIONES FCI]],+Tabla5[[#This Row],[INVERSIONES FCI]]-J272,Tabla5[[#This Row],[INVERSIONES FCI]])</f>
        <v>49245387238.313446</v>
      </c>
      <c r="K273" s="5">
        <f>IF($B272&lt;=Tabla5[[#This Row],[INVERSIONES FCI]],+Tabla5[[#This Row],[INVERSIONES FCI]]-K272,Tabla5[[#This Row],[INVERSIONES FCI]])</f>
        <v>49245387238.313446</v>
      </c>
      <c r="L273" s="5">
        <f>IF($B272&lt;=Tabla5[[#This Row],[INVERSIONES FCI]],+Tabla5[[#This Row],[INVERSIONES FCI]]-L272,Tabla5[[#This Row],[INVERSIONES FCI]])</f>
        <v>49245387238.313446</v>
      </c>
      <c r="M273" s="5">
        <f>IF($B272&lt;=Tabla5[[#This Row],[INVERSIONES FCI]],+Tabla5[[#This Row],[INVERSIONES FCI]]-M272,Tabla5[[#This Row],[INVERSIONES FCI]])</f>
        <v>49245387238.313446</v>
      </c>
      <c r="N273" s="5">
        <f>IF($B272&lt;=Tabla5[[#This Row],[INVERSIONES FCI]],+Tabla5[[#This Row],[INVERSIONES FCI]]-N272,Tabla5[[#This Row],[INVERSIONES FCI]])</f>
        <v>49245387238.313446</v>
      </c>
      <c r="O273" s="5">
        <f>IF($B272&lt;=Tabla5[[#This Row],[INVERSIONES FCI]],+Tabla5[[#This Row],[INVERSIONES FCI]]-O272,Tabla5[[#This Row],[INVERSIONES FCI]])</f>
        <v>49245387238.313446</v>
      </c>
      <c r="P273" s="5">
        <f>IF($B272&lt;=Tabla5[[#This Row],[INVERSIONES FCI]],+Tabla5[[#This Row],[INVERSIONES FCI]]-P272,Tabla5[[#This Row],[INVERSIONES FCI]])</f>
        <v>49245387238.313446</v>
      </c>
      <c r="Q273" s="5">
        <f>IF($B272&lt;=Tabla5[[#This Row],[INVERSIONES FCI]],+Tabla5[[#This Row],[INVERSIONES FCI]]-Q272,Tabla5[[#This Row],[INVERSIONES FCI]])</f>
        <v>49245387238.313446</v>
      </c>
      <c r="R273" s="5">
        <f>IF($B272&lt;=Tabla5[[#This Row],[INVERSIONES FCI]],+Tabla5[[#This Row],[INVERSIONES FCI]]-R272,Tabla5[[#This Row],[INVERSIONES FCI]])</f>
        <v>49245387238.313446</v>
      </c>
      <c r="S273" s="5">
        <f>IF($B272&lt;=Tabla5[[#This Row],[INVERSIONES FCI]],+Tabla5[[#This Row],[INVERSIONES FCI]]-S272,Tabla5[[#This Row],[INVERSIONES FCI]])</f>
        <v>49245387238.313446</v>
      </c>
      <c r="T273" s="5">
        <f>IF($B272&lt;=Tabla5[[#This Row],[INVERSIONES FCI]],+Tabla5[[#This Row],[INVERSIONES FCI]]-T272,Tabla5[[#This Row],[INVERSIONES FCI]])</f>
        <v>49245387238.313446</v>
      </c>
      <c r="U273" s="5">
        <f>IF($B272&lt;=Tabla5[[#This Row],[INVERSIONES FCI]],+Tabla5[[#This Row],[INVERSIONES FCI]]-U272,Tabla5[[#This Row],[INVERSIONES FCI]])</f>
        <v>49245387238.313446</v>
      </c>
      <c r="V273" s="5">
        <f>IF($B272&lt;=Tabla5[[#This Row],[INVERSIONES FCI]],+Tabla5[[#This Row],[INVERSIONES FCI]]-V272,Tabla5[[#This Row],[INVERSIONES FCI]])</f>
        <v>49245387238.313446</v>
      </c>
      <c r="W273" s="5">
        <f>IF($B272&lt;=Tabla5[[#This Row],[INVERSIONES FCI]],+Tabla5[[#This Row],[INVERSIONES FCI]]-W272,Tabla5[[#This Row],[INVERSIONES FCI]])</f>
        <v>49245387238.313446</v>
      </c>
      <c r="X273" s="5">
        <f>IF($B272&lt;=Tabla5[[#This Row],[INVERSIONES FCI]],+Tabla5[[#This Row],[INVERSIONES FCI]]-X272,Tabla5[[#This Row],[INVERSIONES FCI]])</f>
        <v>49245387238.313446</v>
      </c>
      <c r="Y273" s="5">
        <f>IF($B272&lt;=Tabla5[[#This Row],[INVERSIONES FCI]],+Tabla5[[#This Row],[INVERSIONES FCI]]-Y272,Tabla5[[#This Row],[INVERSIONES FCI]])</f>
        <v>49245387238.313446</v>
      </c>
      <c r="Z273" s="5">
        <f>IF($B272&lt;=Tabla5[[#This Row],[INVERSIONES FCI]],+Tabla5[[#This Row],[INVERSIONES FCI]]-Z272,Tabla5[[#This Row],[INVERSIONES FCI]])</f>
        <v>49245387238.313446</v>
      </c>
      <c r="AA273" s="5">
        <f>IF($B272&lt;=Tabla5[[#This Row],[INVERSIONES FCI]],+Tabla5[[#This Row],[INVERSIONES FCI]]-AA272,Tabla5[[#This Row],[INVERSIONES FCI]])</f>
        <v>49245387238.313446</v>
      </c>
      <c r="AB273" s="5">
        <f>IF($B272&lt;=Tabla5[[#This Row],[INVERSIONES FCI]],+Tabla5[[#This Row],[INVERSIONES FCI]]-AB272,Tabla5[[#This Row],[INVERSIONES FCI]])</f>
        <v>49245387238.313446</v>
      </c>
      <c r="AC273" s="5">
        <f>IF($B272&lt;=Tabla5[[#This Row],[INVERSIONES FCI]],+Tabla5[[#This Row],[INVERSIONES FCI]]-AC272,Tabla5[[#This Row],[INVERSIONES FCI]])</f>
        <v>49245387238.313446</v>
      </c>
      <c r="AD273" s="5">
        <f>IF($B272&lt;=Tabla5[[#This Row],[INVERSIONES FCI]],+Tabla5[[#This Row],[INVERSIONES FCI]]-AD272,Tabla5[[#This Row],[INVERSIONES FCI]])</f>
        <v>49245387238.313446</v>
      </c>
      <c r="AE273" s="5">
        <f>IF($B272&lt;=Tabla5[[#This Row],[INVERSIONES FCI]],+Tabla5[[#This Row],[INVERSIONES FCI]]-AE272,Tabla5[[#This Row],[INVERSIONES FCI]])</f>
        <v>49245387238.313446</v>
      </c>
      <c r="AF273" s="5">
        <f>IF($B272&lt;=Tabla5[[#This Row],[INVERSIONES FCI]],+Tabla5[[#This Row],[INVERSIONES FCI]]-AF272,Tabla5[[#This Row],[INVERSIONES FCI]])</f>
        <v>49245387238.313446</v>
      </c>
      <c r="AG273" s="5">
        <f>IF($B272&lt;=Tabla5[[#This Row],[INVERSIONES FCI]],+Tabla5[[#This Row],[INVERSIONES FCI]]-AG272,Tabla5[[#This Row],[INVERSIONES FCI]])</f>
        <v>49245387238.313446</v>
      </c>
      <c r="AH273" s="5">
        <f>IF($B272&lt;=Tabla5[[#This Row],[INVERSIONES FCI]],+Tabla5[[#This Row],[INVERSIONES FCI]]-AH272,Tabla5[[#This Row],[INVERSIONES FCI]])</f>
        <v>49245387238.313446</v>
      </c>
      <c r="AI273" s="5">
        <f>IF($B272&lt;=Tabla5[[#This Row],[INVERSIONES FCI]],+Tabla5[[#This Row],[INVERSIONES FCI]]-AI272,Tabla5[[#This Row],[INVERSIONES FCI]])</f>
        <v>49245387238.313446</v>
      </c>
      <c r="AJ273" s="5">
        <f>IF($B272&lt;=Tabla5[[#This Row],[INVERSIONES FCI]],+Tabla5[[#This Row],[INVERSIONES FCI]]-AJ272,Tabla5[[#This Row],[INVERSIONES FCI]])</f>
        <v>49245387238.313446</v>
      </c>
      <c r="AK273" s="5">
        <f>IF($B272&lt;=Tabla5[[#This Row],[INVERSIONES FCI]],+Tabla5[[#This Row],[INVERSIONES FCI]]-AK272,Tabla5[[#This Row],[INVERSIONES FCI]])</f>
        <v>49245387238.313446</v>
      </c>
      <c r="AL273" s="5">
        <f>IF($B272&lt;=Tabla5[[#This Row],[INVERSIONES FCI]],+Tabla5[[#This Row],[INVERSIONES FCI]]-AL272,Tabla5[[#This Row],[INVERSIONES FCI]])</f>
        <v>49245387238.313446</v>
      </c>
      <c r="AM273" s="5">
        <f>IF($B272&lt;=Tabla5[[#This Row],[INVERSIONES FCI]],+Tabla5[[#This Row],[INVERSIONES FCI]]-AM272,Tabla5[[#This Row],[INVERSIONES FCI]])</f>
        <v>49245387238.313446</v>
      </c>
      <c r="AN273" s="5">
        <f>IF($B272&lt;=Tabla5[[#This Row],[INVERSIONES FCI]],+Tabla5[[#This Row],[INVERSIONES FCI]]-AN272,Tabla5[[#This Row],[INVERSIONES FCI]])</f>
        <v>49245387238.313446</v>
      </c>
      <c r="AO273" s="5">
        <f>IF($B272&lt;=Tabla5[[#This Row],[INVERSIONES FCI]],+Tabla5[[#This Row],[INVERSIONES FCI]]-AO272,Tabla5[[#This Row],[INVERSIONES FCI]])</f>
        <v>49245387238.313446</v>
      </c>
      <c r="AP273" s="5">
        <f>IF($B272&lt;=Tabla5[[#This Row],[INVERSIONES FCI]],+Tabla5[[#This Row],[INVERSIONES FCI]]-AP272,Tabla5[[#This Row],[INVERSIONES FCI]])</f>
        <v>49245387238.313446</v>
      </c>
      <c r="AQ273" s="5">
        <f>IF($B272&lt;=Tabla5[[#This Row],[INVERSIONES FCI]],+Tabla5[[#This Row],[INVERSIONES FCI]]-AQ272,Tabla5[[#This Row],[INVERSIONES FCI]])</f>
        <v>49245387238.313446</v>
      </c>
      <c r="AR273" s="5">
        <f>IF($B272&lt;=Tabla5[[#This Row],[INVERSIONES FCI]],+Tabla5[[#This Row],[INVERSIONES FCI]]-AR272,Tabla5[[#This Row],[INVERSIONES FCI]])</f>
        <v>49245387238.313446</v>
      </c>
      <c r="AS273" s="5">
        <f>IF($B272&lt;=Tabla5[[#This Row],[INVERSIONES FCI]],+Tabla5[[#This Row],[INVERSIONES FCI]]-AS272,Tabla5[[#This Row],[INVERSIONES FCI]])</f>
        <v>49245387238.313446</v>
      </c>
      <c r="AT273" s="5">
        <f>IF($B272&lt;=Tabla5[[#This Row],[INVERSIONES FCI]],+Tabla5[[#This Row],[INVERSIONES FCI]]-AT272,Tabla5[[#This Row],[INVERSIONES FCI]])</f>
        <v>49245387238.313446</v>
      </c>
      <c r="AU273" s="5">
        <f>IF($B272&lt;=Tabla5[[#This Row],[INVERSIONES FCI]],+Tabla5[[#This Row],[INVERSIONES FCI]]-AU272,Tabla5[[#This Row],[INVERSIONES FCI]])</f>
        <v>49245387238.313446</v>
      </c>
      <c r="AV273" s="5">
        <f>IF($B272&lt;=Tabla5[[#This Row],[INVERSIONES FCI]],+Tabla5[[#This Row],[INVERSIONES FCI]]-AV272,Tabla5[[#This Row],[INVERSIONES FCI]])</f>
        <v>49245387238.313446</v>
      </c>
      <c r="AW273" s="5">
        <f>IF($B272&lt;=Tabla5[[#This Row],[INVERSIONES FCI]],+Tabla5[[#This Row],[INVERSIONES FCI]]-AW272,Tabla5[[#This Row],[INVERSIONES FCI]])</f>
        <v>49245387238.313446</v>
      </c>
      <c r="AX273" s="5">
        <f>IF($B272&lt;=Tabla5[[#This Row],[INVERSIONES FCI]],+Tabla5[[#This Row],[INVERSIONES FCI]]-AX272,Tabla5[[#This Row],[INVERSIONES FCI]])</f>
        <v>49245387238.313446</v>
      </c>
      <c r="AY273" s="5">
        <f>IF($B272&lt;=Tabla5[[#This Row],[INVERSIONES FCI]],+Tabla5[[#This Row],[INVERSIONES FCI]]-AY272,Tabla5[[#This Row],[INVERSIONES FCI]])</f>
        <v>49245387238.313446</v>
      </c>
      <c r="AZ273" s="5">
        <f>IF($B272&lt;=Tabla5[[#This Row],[INVERSIONES FCI]],+Tabla5[[#This Row],[INVERSIONES FCI]]-AZ272,Tabla5[[#This Row],[INVERSIONES FCI]])</f>
        <v>49245387238.313446</v>
      </c>
      <c r="BA273" s="5">
        <f>IF($B272&lt;=Tabla5[[#This Row],[INVERSIONES FCI]],+Tabla5[[#This Row],[INVERSIONES FCI]]-BA272,Tabla5[[#This Row],[INVERSIONES FCI]])</f>
        <v>49245387238.313446</v>
      </c>
      <c r="BB273" s="5">
        <f>IF($B272&lt;=Tabla5[[#This Row],[INVERSIONES FCI]],+Tabla5[[#This Row],[INVERSIONES FCI]]-BB272,Tabla5[[#This Row],[INVERSIONES FCI]])</f>
        <v>49245387238.313446</v>
      </c>
      <c r="BC273" s="5">
        <f>IF($B272&lt;=Tabla5[[#This Row],[INVERSIONES FCI]],+Tabla5[[#This Row],[INVERSIONES FCI]]-BC272,Tabla5[[#This Row],[INVERSIONES FCI]])</f>
        <v>49245387238.313446</v>
      </c>
      <c r="BD273" s="5">
        <f>IF($B272&lt;=Tabla5[[#This Row],[INVERSIONES FCI]],+Tabla5[[#This Row],[INVERSIONES FCI]]-BD272,Tabla5[[#This Row],[INVERSIONES FCI]])</f>
        <v>49245387238.313446</v>
      </c>
      <c r="BE273" s="5">
        <f>IF($B272&lt;=Tabla5[[#This Row],[INVERSIONES FCI]],+Tabla5[[#This Row],[INVERSIONES FCI]]-BE272,Tabla5[[#This Row],[INVERSIONES FCI]])</f>
        <v>49245387238.313446</v>
      </c>
      <c r="BF273" s="5">
        <f>IF($B272&lt;=Tabla5[[#This Row],[INVERSIONES FCI]],+Tabla5[[#This Row],[INVERSIONES FCI]]-BF272,Tabla5[[#This Row],[INVERSIONES FCI]])</f>
        <v>49245387238.313446</v>
      </c>
      <c r="BG273" s="5">
        <f>IF($B272&lt;=Tabla5[[#This Row],[INVERSIONES FCI]],+Tabla5[[#This Row],[INVERSIONES FCI]]-BG272,Tabla5[[#This Row],[INVERSIONES FCI]])</f>
        <v>49245387238.313446</v>
      </c>
      <c r="BH273" s="5">
        <f>IF($B272&lt;=Tabla5[[#This Row],[INVERSIONES FCI]],+Tabla5[[#This Row],[INVERSIONES FCI]]-BH272,Tabla5[[#This Row],[INVERSIONES FCI]])</f>
        <v>49245387238.313446</v>
      </c>
      <c r="BI273" s="5">
        <f>IF($B272&lt;=Tabla5[[#This Row],[INVERSIONES FCI]],+Tabla5[[#This Row],[INVERSIONES FCI]]-BI272,Tabla5[[#This Row],[INVERSIONES FCI]])</f>
        <v>49245387238.313446</v>
      </c>
      <c r="BJ273" s="5">
        <f>IF($B272&lt;=Tabla5[[#This Row],[INVERSIONES FCI]],+Tabla5[[#This Row],[INVERSIONES FCI]]-BJ272,Tabla5[[#This Row],[INVERSIONES FCI]])</f>
        <v>49245387238.313446</v>
      </c>
      <c r="BK273" s="5">
        <f>IF($B272&lt;=Tabla5[[#This Row],[INVERSIONES FCI]],+Tabla5[[#This Row],[INVERSIONES FCI]]-BK272,Tabla5[[#This Row],[INVERSIONES FCI]])</f>
        <v>49245387238.313446</v>
      </c>
      <c r="BL273" s="5">
        <f>IF($B272&lt;=Tabla5[[#This Row],[INVERSIONES FCI]],+Tabla5[[#This Row],[INVERSIONES FCI]]-BL272,Tabla5[[#This Row],[INVERSIONES FCI]])</f>
        <v>49245387238.313446</v>
      </c>
      <c r="BM273" s="5">
        <f>IF($B272&lt;=Tabla5[[#This Row],[INVERSIONES FCI]],+Tabla5[[#This Row],[INVERSIONES FCI]]-BM272,Tabla5[[#This Row],[INVERSIONES FCI]])</f>
        <v>49245387238.313446</v>
      </c>
      <c r="BN273" s="5">
        <f>IF($B272&lt;=Tabla5[[#This Row],[INVERSIONES FCI]],+Tabla5[[#This Row],[INVERSIONES FCI]]-BN272,Tabla5[[#This Row],[INVERSIONES FCI]])</f>
        <v>49245387238.313446</v>
      </c>
      <c r="BO273" s="5">
        <f>IF($B272&lt;=Tabla5[[#This Row],[INVERSIONES FCI]],+Tabla5[[#This Row],[INVERSIONES FCI]]-BO272,Tabla5[[#This Row],[INVERSIONES FCI]])</f>
        <v>49245387238.313446</v>
      </c>
      <c r="BP273" s="5">
        <f>IF($B272&lt;=Tabla5[[#This Row],[INVERSIONES FCI]],+Tabla5[[#This Row],[INVERSIONES FCI]]-BP272,Tabla5[[#This Row],[INVERSIONES FCI]])</f>
        <v>49245387238.313446</v>
      </c>
      <c r="BQ273" s="5">
        <f>IF($B272&lt;=Tabla5[[#This Row],[INVERSIONES FCI]],+Tabla5[[#This Row],[INVERSIONES FCI]]-BQ272,Tabla5[[#This Row],[INVERSIONES FCI]])</f>
        <v>49245387238.313446</v>
      </c>
      <c r="BR273" s="5">
        <f>IF($B272&lt;=Tabla5[[#This Row],[INVERSIONES FCI]],+Tabla5[[#This Row],[INVERSIONES FCI]]-BR272,Tabla5[[#This Row],[INVERSIONES FCI]])</f>
        <v>49245387238.313446</v>
      </c>
      <c r="BS273" s="5">
        <f>IF($B272&lt;=Tabla5[[#This Row],[INVERSIONES FCI]],+Tabla5[[#This Row],[INVERSIONES FCI]]-BS272,Tabla5[[#This Row],[INVERSIONES FCI]])</f>
        <v>49245387238.313446</v>
      </c>
      <c r="BT273" s="5">
        <f>IF($B272&lt;=Tabla5[[#This Row],[INVERSIONES FCI]],+Tabla5[[#This Row],[INVERSIONES FCI]]-BT272,Tabla5[[#This Row],[INVERSIONES FCI]])</f>
        <v>49245387238.313446</v>
      </c>
      <c r="BU273" s="5">
        <f>IF($B272&lt;=Tabla5[[#This Row],[INVERSIONES FCI]],+Tabla5[[#This Row],[INVERSIONES FCI]]-BU272,Tabla5[[#This Row],[INVERSIONES FCI]])</f>
        <v>49245387238.313446</v>
      </c>
      <c r="BV273" s="5">
        <f>IF($B272&lt;=Tabla5[[#This Row],[INVERSIONES FCI]],+Tabla5[[#This Row],[INVERSIONES FCI]]-BV272,Tabla5[[#This Row],[INVERSIONES FCI]])</f>
        <v>49245387238.313446</v>
      </c>
      <c r="BW273" s="5">
        <f>IF($B272&lt;=Tabla5[[#This Row],[INVERSIONES FCI]],+Tabla5[[#This Row],[INVERSIONES FCI]]-BW272,Tabla5[[#This Row],[INVERSIONES FCI]])</f>
        <v>49245387238.313446</v>
      </c>
      <c r="BX273" s="5">
        <f>IF($B272&lt;=Tabla5[[#This Row],[INVERSIONES FCI]],+Tabla5[[#This Row],[INVERSIONES FCI]]-BX272,Tabla5[[#This Row],[INVERSIONES FCI]])</f>
        <v>49245387238.313446</v>
      </c>
      <c r="BY273" s="5">
        <f>IF($B272&lt;=Tabla5[[#This Row],[INVERSIONES FCI]],+Tabla5[[#This Row],[INVERSIONES FCI]]-BY272,Tabla5[[#This Row],[INVERSIONES FCI]])</f>
        <v>49245387238.313446</v>
      </c>
      <c r="BZ273" s="5">
        <f>IF($B272&lt;=Tabla5[[#This Row],[INVERSIONES FCI]],+Tabla5[[#This Row],[INVERSIONES FCI]]-BZ272,Tabla5[[#This Row],[INVERSIONES FCI]])</f>
        <v>49245387238.313446</v>
      </c>
      <c r="CA273" s="5">
        <f>IF($B272&lt;=Tabla5[[#This Row],[INVERSIONES FCI]],+Tabla5[[#This Row],[INVERSIONES FCI]]-CA272,Tabla5[[#This Row],[INVERSIONES FCI]])</f>
        <v>49245387238.313446</v>
      </c>
      <c r="CB273" s="5">
        <f>IF($B272&lt;=Tabla5[[#This Row],[INVERSIONES FCI]],+Tabla5[[#This Row],[INVERSIONES FCI]]-CB272,Tabla5[[#This Row],[INVERSIONES FCI]])</f>
        <v>49245387238.313446</v>
      </c>
      <c r="CC273" s="5">
        <f>IF($B272&lt;=Tabla5[[#This Row],[INVERSIONES FCI]],+Tabla5[[#This Row],[INVERSIONES FCI]]-CC272,Tabla5[[#This Row],[INVERSIONES FCI]])</f>
        <v>49245387238.313446</v>
      </c>
      <c r="CD273" s="5">
        <f>IF($B272&lt;=Tabla5[[#This Row],[INVERSIONES FCI]],+Tabla5[[#This Row],[INVERSIONES FCI]]-CD272,Tabla5[[#This Row],[INVERSIONES FCI]])</f>
        <v>49245387238.313446</v>
      </c>
      <c r="CE273" s="5">
        <f>IF($B272&lt;=Tabla5[[#This Row],[INVERSIONES FCI]],+Tabla5[[#This Row],[INVERSIONES FCI]]-CE272,Tabla5[[#This Row],[INVERSIONES FCI]])</f>
        <v>49245387238.313446</v>
      </c>
      <c r="CF273" s="5">
        <f>IF($B272&lt;=Tabla5[[#This Row],[INVERSIONES FCI]],+Tabla5[[#This Row],[INVERSIONES FCI]]-CF272,Tabla5[[#This Row],[INVERSIONES FCI]])</f>
        <v>49245387238.313446</v>
      </c>
      <c r="CG273" s="5">
        <f>IF($B272&lt;=Tabla5[[#This Row],[INVERSIONES FCI]],+Tabla5[[#This Row],[INVERSIONES FCI]]-CG272,Tabla5[[#This Row],[INVERSIONES FCI]])</f>
        <v>49245387238.313446</v>
      </c>
      <c r="CH273" s="5">
        <f>IF($B272&lt;=Tabla5[[#This Row],[INVERSIONES FCI]],+Tabla5[[#This Row],[INVERSIONES FCI]]-CH272,Tabla5[[#This Row],[INVERSIONES FCI]])</f>
        <v>49245387238.313446</v>
      </c>
      <c r="CI273" s="5">
        <f>IF($B272&lt;=Tabla5[[#This Row],[INVERSIONES FCI]],+Tabla5[[#This Row],[INVERSIONES FCI]]-CI272,Tabla5[[#This Row],[INVERSIONES FCI]])</f>
        <v>49245387238.313446</v>
      </c>
      <c r="CJ273" s="5">
        <f>IF($B272&lt;=Tabla5[[#This Row],[INVERSIONES FCI]],+Tabla5[[#This Row],[INVERSIONES FCI]]-CJ272,Tabla5[[#This Row],[INVERSIONES FCI]])</f>
        <v>49245387238.313446</v>
      </c>
      <c r="CK273" s="5">
        <f>IF($B272&lt;=Tabla5[[#This Row],[INVERSIONES FCI]],+Tabla5[[#This Row],[INVERSIONES FCI]]-CK272,Tabla5[[#This Row],[INVERSIONES FCI]])</f>
        <v>49245387238.313446</v>
      </c>
      <c r="CL273" s="5">
        <f>IF($B272&lt;=Tabla5[[#This Row],[INVERSIONES FCI]],+Tabla5[[#This Row],[INVERSIONES FCI]]-CL272,Tabla5[[#This Row],[INVERSIONES FCI]])</f>
        <v>49245387238.313446</v>
      </c>
      <c r="CM273" s="5">
        <f>IF($B272&lt;=Tabla5[[#This Row],[INVERSIONES FCI]],+Tabla5[[#This Row],[INVERSIONES FCI]]-CM272,Tabla5[[#This Row],[INVERSIONES FCI]])</f>
        <v>49245387238.313446</v>
      </c>
      <c r="CN273" s="5">
        <f>IF($B272&lt;=Tabla5[[#This Row],[INVERSIONES FCI]],+Tabla5[[#This Row],[INVERSIONES FCI]]-CN272,Tabla5[[#This Row],[INVERSIONES FCI]])</f>
        <v>49245387238.313446</v>
      </c>
      <c r="CO273" s="5">
        <f>IF($B272&lt;=Tabla5[[#This Row],[INVERSIONES FCI]],+Tabla5[[#This Row],[INVERSIONES FCI]]-CO272,Tabla5[[#This Row],[INVERSIONES FCI]])</f>
        <v>49245387238.313446</v>
      </c>
      <c r="CP273" s="5">
        <f>IF($B272&lt;=Tabla5[[#This Row],[INVERSIONES FCI]],+Tabla5[[#This Row],[INVERSIONES FCI]]-CP272,Tabla5[[#This Row],[INVERSIONES FCI]])</f>
        <v>49245387238.313446</v>
      </c>
      <c r="CQ273" s="5">
        <f>IF($B272&lt;=Tabla5[[#This Row],[INVERSIONES FCI]],+Tabla5[[#This Row],[INVERSIONES FCI]]-CQ272,Tabla5[[#This Row],[INVERSIONES FCI]])</f>
        <v>49245387238.313446</v>
      </c>
      <c r="CR273" s="5">
        <f>IF($B272&lt;=Tabla5[[#This Row],[INVERSIONES FCI]],+Tabla5[[#This Row],[INVERSIONES FCI]]-CR272,Tabla5[[#This Row],[INVERSIONES FCI]])</f>
        <v>49245387238.313446</v>
      </c>
      <c r="CS273" s="5">
        <f>IF($B272&lt;=Tabla5[[#This Row],[INVERSIONES FCI]],+Tabla5[[#This Row],[INVERSIONES FCI]]-CS272,Tabla5[[#This Row],[INVERSIONES FCI]])</f>
        <v>49245387238.313446</v>
      </c>
      <c r="CT273" s="5">
        <f>IF($B272&lt;=Tabla5[[#This Row],[INVERSIONES FCI]],+Tabla5[[#This Row],[INVERSIONES FCI]]-CT272,Tabla5[[#This Row],[INVERSIONES FCI]])</f>
        <v>49245387238.313446</v>
      </c>
      <c r="CU273" s="5">
        <f>IF($B272&lt;=Tabla5[[#This Row],[INVERSIONES FCI]],+Tabla5[[#This Row],[INVERSIONES FCI]]-CU272,Tabla5[[#This Row],[INVERSIONES FCI]])</f>
        <v>49245387238.313446</v>
      </c>
      <c r="CV273" s="5">
        <f>IF($B272&lt;=Tabla5[[#This Row],[INVERSIONES FCI]],+Tabla5[[#This Row],[INVERSIONES FCI]]-CV272,Tabla5[[#This Row],[INVERSIONES FCI]])</f>
        <v>49245387238.313446</v>
      </c>
      <c r="CW273" s="5">
        <f>IF($B272&lt;=Tabla5[[#This Row],[INVERSIONES FCI]],+Tabla5[[#This Row],[INVERSIONES FCI]]-CW272,Tabla5[[#This Row],[INVERSIONES FCI]])</f>
        <v>49245387238.313446</v>
      </c>
      <c r="CX273" s="5">
        <f>IF($B272&lt;=Tabla5[[#This Row],[INVERSIONES FCI]],+Tabla5[[#This Row],[INVERSIONES FCI]]-CX272,Tabla5[[#This Row],[INVERSIONES FCI]])</f>
        <v>49245387238.313446</v>
      </c>
      <c r="CY273" s="5">
        <f>IF($B272&lt;=Tabla5[[#This Row],[INVERSIONES FCI]],+Tabla5[[#This Row],[INVERSIONES FCI]]-CY272,Tabla5[[#This Row],[INVERSIONES FCI]])</f>
        <v>49245387238.313446</v>
      </c>
      <c r="CZ273" s="5">
        <f>IF($B272&lt;=Tabla5[[#This Row],[INVERSIONES FCI]],+Tabla5[[#This Row],[INVERSIONES FCI]]-CZ272,Tabla5[[#This Row],[INVERSIONES FCI]])</f>
        <v>49245387238.313446</v>
      </c>
      <c r="DA273" s="5">
        <f>IF($B272&lt;=Tabla5[[#This Row],[INVERSIONES FCI]],+Tabla5[[#This Row],[INVERSIONES FCI]]-DA272,Tabla5[[#This Row],[INVERSIONES FCI]])</f>
        <v>49245387238.313446</v>
      </c>
      <c r="DB273" s="5">
        <f>IF($B272&lt;=Tabla5[[#This Row],[INVERSIONES FCI]],+Tabla5[[#This Row],[INVERSIONES FCI]]-DB272,Tabla5[[#This Row],[INVERSIONES FCI]])</f>
        <v>49245387238.313446</v>
      </c>
      <c r="DC273" s="5">
        <f>IF($B272&lt;=Tabla5[[#This Row],[INVERSIONES FCI]],+Tabla5[[#This Row],[INVERSIONES FCI]]-DC272,Tabla5[[#This Row],[INVERSIONES FCI]])</f>
        <v>49245387238.313446</v>
      </c>
      <c r="DD273" s="5">
        <f>IF($B272&lt;=Tabla5[[#This Row],[INVERSIONES FCI]],+Tabla5[[#This Row],[INVERSIONES FCI]]-DD272,Tabla5[[#This Row],[INVERSIONES FCI]])</f>
        <v>49245387238.313446</v>
      </c>
      <c r="DE273" s="5">
        <f>IF($B272&lt;=Tabla5[[#This Row],[INVERSIONES FCI]],+Tabla5[[#This Row],[INVERSIONES FCI]]-DE272,Tabla5[[#This Row],[INVERSIONES FCI]])</f>
        <v>49245387238.313446</v>
      </c>
      <c r="DF273" s="5">
        <f>IF($B272&lt;=Tabla5[[#This Row],[INVERSIONES FCI]],+Tabla5[[#This Row],[INVERSIONES FCI]]-DF272,Tabla5[[#This Row],[INVERSIONES FCI]])</f>
        <v>49245387238.313446</v>
      </c>
      <c r="DG273" s="5">
        <f>IF($B272&lt;=Tabla5[[#This Row],[INVERSIONES FCI]],+Tabla5[[#This Row],[INVERSIONES FCI]]-DG272,Tabla5[[#This Row],[INVERSIONES FCI]])</f>
        <v>49245387238.313446</v>
      </c>
      <c r="DH273" s="5">
        <f>IF($B272&lt;=Tabla5[[#This Row],[INVERSIONES FCI]],+Tabla5[[#This Row],[INVERSIONES FCI]]-DH272,Tabla5[[#This Row],[INVERSIONES FCI]])</f>
        <v>49245387238.313446</v>
      </c>
      <c r="DI273" s="5">
        <f>IF($B272&lt;=Tabla5[[#This Row],[INVERSIONES FCI]],+Tabla5[[#This Row],[INVERSIONES FCI]]-DI272,Tabla5[[#This Row],[INVERSIONES FCI]])</f>
        <v>49245387238.313446</v>
      </c>
      <c r="DJ273" s="5">
        <f>IF($B272&lt;=Tabla5[[#This Row],[INVERSIONES FCI]],+Tabla5[[#This Row],[INVERSIONES FCI]]-DJ272,Tabla5[[#This Row],[INVERSIONES FCI]])</f>
        <v>49245387238.313446</v>
      </c>
      <c r="DK273" s="5">
        <f>IF($B272&lt;=Tabla5[[#This Row],[INVERSIONES FCI]],+Tabla5[[#This Row],[INVERSIONES FCI]]-DK272,Tabla5[[#This Row],[INVERSIONES FCI]])</f>
        <v>49245387238.313446</v>
      </c>
      <c r="DL273" s="5"/>
      <c r="DM273" s="5"/>
      <c r="DN273" s="5"/>
      <c r="DO273" s="5"/>
      <c r="DP273" s="5"/>
      <c r="DQ273" s="5"/>
    </row>
    <row r="274" spans="1:121" ht="14.4">
      <c r="A274" s="12" t="s">
        <v>273</v>
      </c>
      <c r="B274" s="5">
        <f>HLOOKUP($A274,ESCENARIO[#All],7,FALSE)</f>
        <v>50537555574.568413</v>
      </c>
      <c r="C274" s="5">
        <f>IF($B273&lt;=Tabla5[[#This Row],[INVERSIONES FCI]],+Tabla5[[#This Row],[INVERSIONES FCI]]-C273,Tabla5[[#This Row],[INVERSIONES FCI]])</f>
        <v>1292168336.2549667</v>
      </c>
      <c r="D274" s="5">
        <f>IF($B273&lt;=Tabla5[[#This Row],[INVERSIONES FCI]],+Tabla5[[#This Row],[INVERSIONES FCI]]-D273,Tabla5[[#This Row],[INVERSIONES FCI]])</f>
        <v>1292168336.2549667</v>
      </c>
      <c r="E274" s="5">
        <f>IF($B273&lt;=Tabla5[[#This Row],[INVERSIONES FCI]],+Tabla5[[#This Row],[INVERSIONES FCI]]-E273,Tabla5[[#This Row],[INVERSIONES FCI]])</f>
        <v>1292168336.2549667</v>
      </c>
      <c r="F274" s="5">
        <f>IF($B273&lt;=Tabla5[[#This Row],[INVERSIONES FCI]],+Tabla5[[#This Row],[INVERSIONES FCI]]-F273,Tabla5[[#This Row],[INVERSIONES FCI]])</f>
        <v>1292168336.2549667</v>
      </c>
      <c r="G274" s="5">
        <f>IF($B273&lt;=Tabla5[[#This Row],[INVERSIONES FCI]],+Tabla5[[#This Row],[INVERSIONES FCI]]-G273,Tabla5[[#This Row],[INVERSIONES FCI]])</f>
        <v>1292168336.2549667</v>
      </c>
      <c r="H274" s="5">
        <f>IF($B273&lt;=Tabla5[[#This Row],[INVERSIONES FCI]],+Tabla5[[#This Row],[INVERSIONES FCI]]-H273,Tabla5[[#This Row],[INVERSIONES FCI]])</f>
        <v>1292168336.2549667</v>
      </c>
      <c r="I274" s="5">
        <f>IF($B273&lt;=Tabla5[[#This Row],[INVERSIONES FCI]],+Tabla5[[#This Row],[INVERSIONES FCI]]-I273,Tabla5[[#This Row],[INVERSIONES FCI]])</f>
        <v>1292168336.2549667</v>
      </c>
      <c r="J274" s="5">
        <f>IF($B273&lt;=Tabla5[[#This Row],[INVERSIONES FCI]],+Tabla5[[#This Row],[INVERSIONES FCI]]-J273,Tabla5[[#This Row],[INVERSIONES FCI]])</f>
        <v>1292168336.2549667</v>
      </c>
      <c r="K274" s="5">
        <f>IF($B273&lt;=Tabla5[[#This Row],[INVERSIONES FCI]],+Tabla5[[#This Row],[INVERSIONES FCI]]-K273,Tabla5[[#This Row],[INVERSIONES FCI]])</f>
        <v>1292168336.2549667</v>
      </c>
      <c r="L274" s="5">
        <f>IF($B273&lt;=Tabla5[[#This Row],[INVERSIONES FCI]],+Tabla5[[#This Row],[INVERSIONES FCI]]-L273,Tabla5[[#This Row],[INVERSIONES FCI]])</f>
        <v>1292168336.2549667</v>
      </c>
      <c r="M274" s="5">
        <f>IF($B273&lt;=Tabla5[[#This Row],[INVERSIONES FCI]],+Tabla5[[#This Row],[INVERSIONES FCI]]-M273,Tabla5[[#This Row],[INVERSIONES FCI]])</f>
        <v>1292168336.2549667</v>
      </c>
      <c r="N274" s="5">
        <f>IF($B273&lt;=Tabla5[[#This Row],[INVERSIONES FCI]],+Tabla5[[#This Row],[INVERSIONES FCI]]-N273,Tabla5[[#This Row],[INVERSIONES FCI]])</f>
        <v>1292168336.2549667</v>
      </c>
      <c r="O274" s="5">
        <f>IF($B273&lt;=Tabla5[[#This Row],[INVERSIONES FCI]],+Tabla5[[#This Row],[INVERSIONES FCI]]-O273,Tabla5[[#This Row],[INVERSIONES FCI]])</f>
        <v>1292168336.2549667</v>
      </c>
      <c r="P274" s="5">
        <f>IF($B273&lt;=Tabla5[[#This Row],[INVERSIONES FCI]],+Tabla5[[#This Row],[INVERSIONES FCI]]-P273,Tabla5[[#This Row],[INVERSIONES FCI]])</f>
        <v>1292168336.2549667</v>
      </c>
      <c r="Q274" s="5">
        <f>IF($B273&lt;=Tabla5[[#This Row],[INVERSIONES FCI]],+Tabla5[[#This Row],[INVERSIONES FCI]]-Q273,Tabla5[[#This Row],[INVERSIONES FCI]])</f>
        <v>1292168336.2549667</v>
      </c>
      <c r="R274" s="5">
        <f>IF($B273&lt;=Tabla5[[#This Row],[INVERSIONES FCI]],+Tabla5[[#This Row],[INVERSIONES FCI]]-R273,Tabla5[[#This Row],[INVERSIONES FCI]])</f>
        <v>1292168336.2549667</v>
      </c>
      <c r="S274" s="5">
        <f>IF($B273&lt;=Tabla5[[#This Row],[INVERSIONES FCI]],+Tabla5[[#This Row],[INVERSIONES FCI]]-S273,Tabla5[[#This Row],[INVERSIONES FCI]])</f>
        <v>1292168336.2549667</v>
      </c>
      <c r="T274" s="5">
        <f>IF($B273&lt;=Tabla5[[#This Row],[INVERSIONES FCI]],+Tabla5[[#This Row],[INVERSIONES FCI]]-T273,Tabla5[[#This Row],[INVERSIONES FCI]])</f>
        <v>1292168336.2549667</v>
      </c>
      <c r="U274" s="5">
        <f>IF($B273&lt;=Tabla5[[#This Row],[INVERSIONES FCI]],+Tabla5[[#This Row],[INVERSIONES FCI]]-U273,Tabla5[[#This Row],[INVERSIONES FCI]])</f>
        <v>1292168336.2549667</v>
      </c>
      <c r="V274" s="5">
        <f>IF($B273&lt;=Tabla5[[#This Row],[INVERSIONES FCI]],+Tabla5[[#This Row],[INVERSIONES FCI]]-V273,Tabla5[[#This Row],[INVERSIONES FCI]])</f>
        <v>1292168336.2549667</v>
      </c>
      <c r="W274" s="5">
        <f>IF($B273&lt;=Tabla5[[#This Row],[INVERSIONES FCI]],+Tabla5[[#This Row],[INVERSIONES FCI]]-W273,Tabla5[[#This Row],[INVERSIONES FCI]])</f>
        <v>1292168336.2549667</v>
      </c>
      <c r="X274" s="5">
        <f>IF($B273&lt;=Tabla5[[#This Row],[INVERSIONES FCI]],+Tabla5[[#This Row],[INVERSIONES FCI]]-X273,Tabla5[[#This Row],[INVERSIONES FCI]])</f>
        <v>1292168336.2549667</v>
      </c>
      <c r="Y274" s="5">
        <f>IF($B273&lt;=Tabla5[[#This Row],[INVERSIONES FCI]],+Tabla5[[#This Row],[INVERSIONES FCI]]-Y273,Tabla5[[#This Row],[INVERSIONES FCI]])</f>
        <v>1292168336.2549667</v>
      </c>
      <c r="Z274" s="5">
        <f>IF($B273&lt;=Tabla5[[#This Row],[INVERSIONES FCI]],+Tabla5[[#This Row],[INVERSIONES FCI]]-Z273,Tabla5[[#This Row],[INVERSIONES FCI]])</f>
        <v>1292168336.2549667</v>
      </c>
      <c r="AA274" s="5">
        <f>IF($B273&lt;=Tabla5[[#This Row],[INVERSIONES FCI]],+Tabla5[[#This Row],[INVERSIONES FCI]]-AA273,Tabla5[[#This Row],[INVERSIONES FCI]])</f>
        <v>1292168336.2549667</v>
      </c>
      <c r="AB274" s="5">
        <f>IF($B273&lt;=Tabla5[[#This Row],[INVERSIONES FCI]],+Tabla5[[#This Row],[INVERSIONES FCI]]-AB273,Tabla5[[#This Row],[INVERSIONES FCI]])</f>
        <v>1292168336.2549667</v>
      </c>
      <c r="AC274" s="5">
        <f>IF($B273&lt;=Tabla5[[#This Row],[INVERSIONES FCI]],+Tabla5[[#This Row],[INVERSIONES FCI]]-AC273,Tabla5[[#This Row],[INVERSIONES FCI]])</f>
        <v>1292168336.2549667</v>
      </c>
      <c r="AD274" s="5">
        <f>IF($B273&lt;=Tabla5[[#This Row],[INVERSIONES FCI]],+Tabla5[[#This Row],[INVERSIONES FCI]]-AD273,Tabla5[[#This Row],[INVERSIONES FCI]])</f>
        <v>1292168336.2549667</v>
      </c>
      <c r="AE274" s="5">
        <f>IF($B273&lt;=Tabla5[[#This Row],[INVERSIONES FCI]],+Tabla5[[#This Row],[INVERSIONES FCI]]-AE273,Tabla5[[#This Row],[INVERSIONES FCI]])</f>
        <v>1292168336.2549667</v>
      </c>
      <c r="AF274" s="5">
        <f>IF($B273&lt;=Tabla5[[#This Row],[INVERSIONES FCI]],+Tabla5[[#This Row],[INVERSIONES FCI]]-AF273,Tabla5[[#This Row],[INVERSIONES FCI]])</f>
        <v>1292168336.2549667</v>
      </c>
      <c r="AG274" s="5">
        <f>IF($B273&lt;=Tabla5[[#This Row],[INVERSIONES FCI]],+Tabla5[[#This Row],[INVERSIONES FCI]]-AG273,Tabla5[[#This Row],[INVERSIONES FCI]])</f>
        <v>1292168336.2549667</v>
      </c>
      <c r="AH274" s="5">
        <f>IF($B273&lt;=Tabla5[[#This Row],[INVERSIONES FCI]],+Tabla5[[#This Row],[INVERSIONES FCI]]-AH273,Tabla5[[#This Row],[INVERSIONES FCI]])</f>
        <v>1292168336.2549667</v>
      </c>
      <c r="AI274" s="5">
        <f>IF($B273&lt;=Tabla5[[#This Row],[INVERSIONES FCI]],+Tabla5[[#This Row],[INVERSIONES FCI]]-AI273,Tabla5[[#This Row],[INVERSIONES FCI]])</f>
        <v>1292168336.2549667</v>
      </c>
      <c r="AJ274" s="5">
        <f>IF($B273&lt;=Tabla5[[#This Row],[INVERSIONES FCI]],+Tabla5[[#This Row],[INVERSIONES FCI]]-AJ273,Tabla5[[#This Row],[INVERSIONES FCI]])</f>
        <v>1292168336.2549667</v>
      </c>
      <c r="AK274" s="5">
        <f>IF($B273&lt;=Tabla5[[#This Row],[INVERSIONES FCI]],+Tabla5[[#This Row],[INVERSIONES FCI]]-AK273,Tabla5[[#This Row],[INVERSIONES FCI]])</f>
        <v>1292168336.2549667</v>
      </c>
      <c r="AL274" s="5">
        <f>IF($B273&lt;=Tabla5[[#This Row],[INVERSIONES FCI]],+Tabla5[[#This Row],[INVERSIONES FCI]]-AL273,Tabla5[[#This Row],[INVERSIONES FCI]])</f>
        <v>1292168336.2549667</v>
      </c>
      <c r="AM274" s="5">
        <f>IF($B273&lt;=Tabla5[[#This Row],[INVERSIONES FCI]],+Tabla5[[#This Row],[INVERSIONES FCI]]-AM273,Tabla5[[#This Row],[INVERSIONES FCI]])</f>
        <v>1292168336.2549667</v>
      </c>
      <c r="AN274" s="5">
        <f>IF($B273&lt;=Tabla5[[#This Row],[INVERSIONES FCI]],+Tabla5[[#This Row],[INVERSIONES FCI]]-AN273,Tabla5[[#This Row],[INVERSIONES FCI]])</f>
        <v>1292168336.2549667</v>
      </c>
      <c r="AO274" s="5">
        <f>IF($B273&lt;=Tabla5[[#This Row],[INVERSIONES FCI]],+Tabla5[[#This Row],[INVERSIONES FCI]]-AO273,Tabla5[[#This Row],[INVERSIONES FCI]])</f>
        <v>1292168336.2549667</v>
      </c>
      <c r="AP274" s="5">
        <f>IF($B273&lt;=Tabla5[[#This Row],[INVERSIONES FCI]],+Tabla5[[#This Row],[INVERSIONES FCI]]-AP273,Tabla5[[#This Row],[INVERSIONES FCI]])</f>
        <v>1292168336.2549667</v>
      </c>
      <c r="AQ274" s="5">
        <f>IF($B273&lt;=Tabla5[[#This Row],[INVERSIONES FCI]],+Tabla5[[#This Row],[INVERSIONES FCI]]-AQ273,Tabla5[[#This Row],[INVERSIONES FCI]])</f>
        <v>1292168336.2549667</v>
      </c>
      <c r="AR274" s="5">
        <f>IF($B273&lt;=Tabla5[[#This Row],[INVERSIONES FCI]],+Tabla5[[#This Row],[INVERSIONES FCI]]-AR273,Tabla5[[#This Row],[INVERSIONES FCI]])</f>
        <v>1292168336.2549667</v>
      </c>
      <c r="AS274" s="5">
        <f>IF($B273&lt;=Tabla5[[#This Row],[INVERSIONES FCI]],+Tabla5[[#This Row],[INVERSIONES FCI]]-AS273,Tabla5[[#This Row],[INVERSIONES FCI]])</f>
        <v>1292168336.2549667</v>
      </c>
      <c r="AT274" s="5">
        <f>IF($B273&lt;=Tabla5[[#This Row],[INVERSIONES FCI]],+Tabla5[[#This Row],[INVERSIONES FCI]]-AT273,Tabla5[[#This Row],[INVERSIONES FCI]])</f>
        <v>1292168336.2549667</v>
      </c>
      <c r="AU274" s="5">
        <f>IF($B273&lt;=Tabla5[[#This Row],[INVERSIONES FCI]],+Tabla5[[#This Row],[INVERSIONES FCI]]-AU273,Tabla5[[#This Row],[INVERSIONES FCI]])</f>
        <v>1292168336.2549667</v>
      </c>
      <c r="AV274" s="5">
        <f>IF($B273&lt;=Tabla5[[#This Row],[INVERSIONES FCI]],+Tabla5[[#This Row],[INVERSIONES FCI]]-AV273,Tabla5[[#This Row],[INVERSIONES FCI]])</f>
        <v>1292168336.2549667</v>
      </c>
      <c r="AW274" s="5">
        <f>IF($B273&lt;=Tabla5[[#This Row],[INVERSIONES FCI]],+Tabla5[[#This Row],[INVERSIONES FCI]]-AW273,Tabla5[[#This Row],[INVERSIONES FCI]])</f>
        <v>1292168336.2549667</v>
      </c>
      <c r="AX274" s="5">
        <f>IF($B273&lt;=Tabla5[[#This Row],[INVERSIONES FCI]],+Tabla5[[#This Row],[INVERSIONES FCI]]-AX273,Tabla5[[#This Row],[INVERSIONES FCI]])</f>
        <v>1292168336.2549667</v>
      </c>
      <c r="AY274" s="5">
        <f>IF($B273&lt;=Tabla5[[#This Row],[INVERSIONES FCI]],+Tabla5[[#This Row],[INVERSIONES FCI]]-AY273,Tabla5[[#This Row],[INVERSIONES FCI]])</f>
        <v>1292168336.2549667</v>
      </c>
      <c r="AZ274" s="5">
        <f>IF($B273&lt;=Tabla5[[#This Row],[INVERSIONES FCI]],+Tabla5[[#This Row],[INVERSIONES FCI]]-AZ273,Tabla5[[#This Row],[INVERSIONES FCI]])</f>
        <v>1292168336.2549667</v>
      </c>
      <c r="BA274" s="5">
        <f>IF($B273&lt;=Tabla5[[#This Row],[INVERSIONES FCI]],+Tabla5[[#This Row],[INVERSIONES FCI]]-BA273,Tabla5[[#This Row],[INVERSIONES FCI]])</f>
        <v>1292168336.2549667</v>
      </c>
      <c r="BB274" s="5">
        <f>IF($B273&lt;=Tabla5[[#This Row],[INVERSIONES FCI]],+Tabla5[[#This Row],[INVERSIONES FCI]]-BB273,Tabla5[[#This Row],[INVERSIONES FCI]])</f>
        <v>1292168336.2549667</v>
      </c>
      <c r="BC274" s="5">
        <f>IF($B273&lt;=Tabla5[[#This Row],[INVERSIONES FCI]],+Tabla5[[#This Row],[INVERSIONES FCI]]-BC273,Tabla5[[#This Row],[INVERSIONES FCI]])</f>
        <v>1292168336.2549667</v>
      </c>
      <c r="BD274" s="5">
        <f>IF($B273&lt;=Tabla5[[#This Row],[INVERSIONES FCI]],+Tabla5[[#This Row],[INVERSIONES FCI]]-BD273,Tabla5[[#This Row],[INVERSIONES FCI]])</f>
        <v>1292168336.2549667</v>
      </c>
      <c r="BE274" s="5">
        <f>IF($B273&lt;=Tabla5[[#This Row],[INVERSIONES FCI]],+Tabla5[[#This Row],[INVERSIONES FCI]]-BE273,Tabla5[[#This Row],[INVERSIONES FCI]])</f>
        <v>1292168336.2549667</v>
      </c>
      <c r="BF274" s="5">
        <f>IF($B273&lt;=Tabla5[[#This Row],[INVERSIONES FCI]],+Tabla5[[#This Row],[INVERSIONES FCI]]-BF273,Tabla5[[#This Row],[INVERSIONES FCI]])</f>
        <v>1292168336.2549667</v>
      </c>
      <c r="BG274" s="5">
        <f>IF($B273&lt;=Tabla5[[#This Row],[INVERSIONES FCI]],+Tabla5[[#This Row],[INVERSIONES FCI]]-BG273,Tabla5[[#This Row],[INVERSIONES FCI]])</f>
        <v>1292168336.2549667</v>
      </c>
      <c r="BH274" s="5">
        <f>IF($B273&lt;=Tabla5[[#This Row],[INVERSIONES FCI]],+Tabla5[[#This Row],[INVERSIONES FCI]]-BH273,Tabla5[[#This Row],[INVERSIONES FCI]])</f>
        <v>1292168336.2549667</v>
      </c>
      <c r="BI274" s="5">
        <f>IF($B273&lt;=Tabla5[[#This Row],[INVERSIONES FCI]],+Tabla5[[#This Row],[INVERSIONES FCI]]-BI273,Tabla5[[#This Row],[INVERSIONES FCI]])</f>
        <v>1292168336.2549667</v>
      </c>
      <c r="BJ274" s="5">
        <f>IF($B273&lt;=Tabla5[[#This Row],[INVERSIONES FCI]],+Tabla5[[#This Row],[INVERSIONES FCI]]-BJ273,Tabla5[[#This Row],[INVERSIONES FCI]])</f>
        <v>1292168336.2549667</v>
      </c>
      <c r="BK274" s="5">
        <f>IF($B273&lt;=Tabla5[[#This Row],[INVERSIONES FCI]],+Tabla5[[#This Row],[INVERSIONES FCI]]-BK273,Tabla5[[#This Row],[INVERSIONES FCI]])</f>
        <v>1292168336.2549667</v>
      </c>
      <c r="BL274" s="5">
        <f>IF($B273&lt;=Tabla5[[#This Row],[INVERSIONES FCI]],+Tabla5[[#This Row],[INVERSIONES FCI]]-BL273,Tabla5[[#This Row],[INVERSIONES FCI]])</f>
        <v>1292168336.2549667</v>
      </c>
      <c r="BM274" s="5">
        <f>IF($B273&lt;=Tabla5[[#This Row],[INVERSIONES FCI]],+Tabla5[[#This Row],[INVERSIONES FCI]]-BM273,Tabla5[[#This Row],[INVERSIONES FCI]])</f>
        <v>1292168336.2549667</v>
      </c>
      <c r="BN274" s="5">
        <f>IF($B273&lt;=Tabla5[[#This Row],[INVERSIONES FCI]],+Tabla5[[#This Row],[INVERSIONES FCI]]-BN273,Tabla5[[#This Row],[INVERSIONES FCI]])</f>
        <v>1292168336.2549667</v>
      </c>
      <c r="BO274" s="5">
        <f>IF($B273&lt;=Tabla5[[#This Row],[INVERSIONES FCI]],+Tabla5[[#This Row],[INVERSIONES FCI]]-BO273,Tabla5[[#This Row],[INVERSIONES FCI]])</f>
        <v>1292168336.2549667</v>
      </c>
      <c r="BP274" s="5">
        <f>IF($B273&lt;=Tabla5[[#This Row],[INVERSIONES FCI]],+Tabla5[[#This Row],[INVERSIONES FCI]]-BP273,Tabla5[[#This Row],[INVERSIONES FCI]])</f>
        <v>1292168336.2549667</v>
      </c>
      <c r="BQ274" s="5">
        <f>IF($B273&lt;=Tabla5[[#This Row],[INVERSIONES FCI]],+Tabla5[[#This Row],[INVERSIONES FCI]]-BQ273,Tabla5[[#This Row],[INVERSIONES FCI]])</f>
        <v>1292168336.2549667</v>
      </c>
      <c r="BR274" s="5">
        <f>IF($B273&lt;=Tabla5[[#This Row],[INVERSIONES FCI]],+Tabla5[[#This Row],[INVERSIONES FCI]]-BR273,Tabla5[[#This Row],[INVERSIONES FCI]])</f>
        <v>1292168336.2549667</v>
      </c>
      <c r="BS274" s="5">
        <f>IF($B273&lt;=Tabla5[[#This Row],[INVERSIONES FCI]],+Tabla5[[#This Row],[INVERSIONES FCI]]-BS273,Tabla5[[#This Row],[INVERSIONES FCI]])</f>
        <v>1292168336.2549667</v>
      </c>
      <c r="BT274" s="5">
        <f>IF($B273&lt;=Tabla5[[#This Row],[INVERSIONES FCI]],+Tabla5[[#This Row],[INVERSIONES FCI]]-BT273,Tabla5[[#This Row],[INVERSIONES FCI]])</f>
        <v>1292168336.2549667</v>
      </c>
      <c r="BU274" s="5">
        <f>IF($B273&lt;=Tabla5[[#This Row],[INVERSIONES FCI]],+Tabla5[[#This Row],[INVERSIONES FCI]]-BU273,Tabla5[[#This Row],[INVERSIONES FCI]])</f>
        <v>1292168336.2549667</v>
      </c>
      <c r="BV274" s="5">
        <f>IF($B273&lt;=Tabla5[[#This Row],[INVERSIONES FCI]],+Tabla5[[#This Row],[INVERSIONES FCI]]-BV273,Tabla5[[#This Row],[INVERSIONES FCI]])</f>
        <v>1292168336.2549667</v>
      </c>
      <c r="BW274" s="5">
        <f>IF($B273&lt;=Tabla5[[#This Row],[INVERSIONES FCI]],+Tabla5[[#This Row],[INVERSIONES FCI]]-BW273,Tabla5[[#This Row],[INVERSIONES FCI]])</f>
        <v>1292168336.2549667</v>
      </c>
      <c r="BX274" s="5">
        <f>IF($B273&lt;=Tabla5[[#This Row],[INVERSIONES FCI]],+Tabla5[[#This Row],[INVERSIONES FCI]]-BX273,Tabla5[[#This Row],[INVERSIONES FCI]])</f>
        <v>1292168336.2549667</v>
      </c>
      <c r="BY274" s="5">
        <f>IF($B273&lt;=Tabla5[[#This Row],[INVERSIONES FCI]],+Tabla5[[#This Row],[INVERSIONES FCI]]-BY273,Tabla5[[#This Row],[INVERSIONES FCI]])</f>
        <v>1292168336.2549667</v>
      </c>
      <c r="BZ274" s="5">
        <f>IF($B273&lt;=Tabla5[[#This Row],[INVERSIONES FCI]],+Tabla5[[#This Row],[INVERSIONES FCI]]-BZ273,Tabla5[[#This Row],[INVERSIONES FCI]])</f>
        <v>1292168336.2549667</v>
      </c>
      <c r="CA274" s="5">
        <f>IF($B273&lt;=Tabla5[[#This Row],[INVERSIONES FCI]],+Tabla5[[#This Row],[INVERSIONES FCI]]-CA273,Tabla5[[#This Row],[INVERSIONES FCI]])</f>
        <v>1292168336.2549667</v>
      </c>
      <c r="CB274" s="5">
        <f>IF($B273&lt;=Tabla5[[#This Row],[INVERSIONES FCI]],+Tabla5[[#This Row],[INVERSIONES FCI]]-CB273,Tabla5[[#This Row],[INVERSIONES FCI]])</f>
        <v>1292168336.2549667</v>
      </c>
      <c r="CC274" s="5">
        <f>IF($B273&lt;=Tabla5[[#This Row],[INVERSIONES FCI]],+Tabla5[[#This Row],[INVERSIONES FCI]]-CC273,Tabla5[[#This Row],[INVERSIONES FCI]])</f>
        <v>1292168336.2549667</v>
      </c>
      <c r="CD274" s="5">
        <f>IF($B273&lt;=Tabla5[[#This Row],[INVERSIONES FCI]],+Tabla5[[#This Row],[INVERSIONES FCI]]-CD273,Tabla5[[#This Row],[INVERSIONES FCI]])</f>
        <v>1292168336.2549667</v>
      </c>
      <c r="CE274" s="5">
        <f>IF($B273&lt;=Tabla5[[#This Row],[INVERSIONES FCI]],+Tabla5[[#This Row],[INVERSIONES FCI]]-CE273,Tabla5[[#This Row],[INVERSIONES FCI]])</f>
        <v>1292168336.2549667</v>
      </c>
      <c r="CF274" s="5">
        <f>IF($B273&lt;=Tabla5[[#This Row],[INVERSIONES FCI]],+Tabla5[[#This Row],[INVERSIONES FCI]]-CF273,Tabla5[[#This Row],[INVERSIONES FCI]])</f>
        <v>1292168336.2549667</v>
      </c>
      <c r="CG274" s="5">
        <f>IF($B273&lt;=Tabla5[[#This Row],[INVERSIONES FCI]],+Tabla5[[#This Row],[INVERSIONES FCI]]-CG273,Tabla5[[#This Row],[INVERSIONES FCI]])</f>
        <v>1292168336.2549667</v>
      </c>
      <c r="CH274" s="5">
        <f>IF($B273&lt;=Tabla5[[#This Row],[INVERSIONES FCI]],+Tabla5[[#This Row],[INVERSIONES FCI]]-CH273,Tabla5[[#This Row],[INVERSIONES FCI]])</f>
        <v>1292168336.2549667</v>
      </c>
      <c r="CI274" s="5">
        <f>IF($B273&lt;=Tabla5[[#This Row],[INVERSIONES FCI]],+Tabla5[[#This Row],[INVERSIONES FCI]]-CI273,Tabla5[[#This Row],[INVERSIONES FCI]])</f>
        <v>1292168336.2549667</v>
      </c>
      <c r="CJ274" s="5">
        <f>IF($B273&lt;=Tabla5[[#This Row],[INVERSIONES FCI]],+Tabla5[[#This Row],[INVERSIONES FCI]]-CJ273,Tabla5[[#This Row],[INVERSIONES FCI]])</f>
        <v>1292168336.2549667</v>
      </c>
      <c r="CK274" s="5">
        <f>IF($B273&lt;=Tabla5[[#This Row],[INVERSIONES FCI]],+Tabla5[[#This Row],[INVERSIONES FCI]]-CK273,Tabla5[[#This Row],[INVERSIONES FCI]])</f>
        <v>1292168336.2549667</v>
      </c>
      <c r="CL274" s="5">
        <f>IF($B273&lt;=Tabla5[[#This Row],[INVERSIONES FCI]],+Tabla5[[#This Row],[INVERSIONES FCI]]-CL273,Tabla5[[#This Row],[INVERSIONES FCI]])</f>
        <v>1292168336.2549667</v>
      </c>
      <c r="CM274" s="5">
        <f>IF($B273&lt;=Tabla5[[#This Row],[INVERSIONES FCI]],+Tabla5[[#This Row],[INVERSIONES FCI]]-CM273,Tabla5[[#This Row],[INVERSIONES FCI]])</f>
        <v>1292168336.2549667</v>
      </c>
      <c r="CN274" s="5">
        <f>IF($B273&lt;=Tabla5[[#This Row],[INVERSIONES FCI]],+Tabla5[[#This Row],[INVERSIONES FCI]]-CN273,Tabla5[[#This Row],[INVERSIONES FCI]])</f>
        <v>1292168336.2549667</v>
      </c>
      <c r="CO274" s="5">
        <f>IF($B273&lt;=Tabla5[[#This Row],[INVERSIONES FCI]],+Tabla5[[#This Row],[INVERSIONES FCI]]-CO273,Tabla5[[#This Row],[INVERSIONES FCI]])</f>
        <v>1292168336.2549667</v>
      </c>
      <c r="CP274" s="5">
        <f>IF($B273&lt;=Tabla5[[#This Row],[INVERSIONES FCI]],+Tabla5[[#This Row],[INVERSIONES FCI]]-CP273,Tabla5[[#This Row],[INVERSIONES FCI]])</f>
        <v>1292168336.2549667</v>
      </c>
      <c r="CQ274" s="5">
        <f>IF($B273&lt;=Tabla5[[#This Row],[INVERSIONES FCI]],+Tabla5[[#This Row],[INVERSIONES FCI]]-CQ273,Tabla5[[#This Row],[INVERSIONES FCI]])</f>
        <v>1292168336.2549667</v>
      </c>
      <c r="CR274" s="5">
        <f>IF($B273&lt;=Tabla5[[#This Row],[INVERSIONES FCI]],+Tabla5[[#This Row],[INVERSIONES FCI]]-CR273,Tabla5[[#This Row],[INVERSIONES FCI]])</f>
        <v>1292168336.2549667</v>
      </c>
      <c r="CS274" s="5">
        <f>IF($B273&lt;=Tabla5[[#This Row],[INVERSIONES FCI]],+Tabla5[[#This Row],[INVERSIONES FCI]]-CS273,Tabla5[[#This Row],[INVERSIONES FCI]])</f>
        <v>1292168336.2549667</v>
      </c>
      <c r="CT274" s="5">
        <f>IF($B273&lt;=Tabla5[[#This Row],[INVERSIONES FCI]],+Tabla5[[#This Row],[INVERSIONES FCI]]-CT273,Tabla5[[#This Row],[INVERSIONES FCI]])</f>
        <v>1292168336.2549667</v>
      </c>
      <c r="CU274" s="5">
        <f>IF($B273&lt;=Tabla5[[#This Row],[INVERSIONES FCI]],+Tabla5[[#This Row],[INVERSIONES FCI]]-CU273,Tabla5[[#This Row],[INVERSIONES FCI]])</f>
        <v>1292168336.2549667</v>
      </c>
      <c r="CV274" s="5">
        <f>IF($B273&lt;=Tabla5[[#This Row],[INVERSIONES FCI]],+Tabla5[[#This Row],[INVERSIONES FCI]]-CV273,Tabla5[[#This Row],[INVERSIONES FCI]])</f>
        <v>1292168336.2549667</v>
      </c>
      <c r="CW274" s="5">
        <f>IF($B273&lt;=Tabla5[[#This Row],[INVERSIONES FCI]],+Tabla5[[#This Row],[INVERSIONES FCI]]-CW273,Tabla5[[#This Row],[INVERSIONES FCI]])</f>
        <v>1292168336.2549667</v>
      </c>
      <c r="CX274" s="5">
        <f>IF($B273&lt;=Tabla5[[#This Row],[INVERSIONES FCI]],+Tabla5[[#This Row],[INVERSIONES FCI]]-CX273,Tabla5[[#This Row],[INVERSIONES FCI]])</f>
        <v>1292168336.2549667</v>
      </c>
      <c r="CY274" s="5">
        <f>IF($B273&lt;=Tabla5[[#This Row],[INVERSIONES FCI]],+Tabla5[[#This Row],[INVERSIONES FCI]]-CY273,Tabla5[[#This Row],[INVERSIONES FCI]])</f>
        <v>1292168336.2549667</v>
      </c>
      <c r="CZ274" s="5">
        <f>IF($B273&lt;=Tabla5[[#This Row],[INVERSIONES FCI]],+Tabla5[[#This Row],[INVERSIONES FCI]]-CZ273,Tabla5[[#This Row],[INVERSIONES FCI]])</f>
        <v>1292168336.2549667</v>
      </c>
      <c r="DA274" s="5">
        <f>IF($B273&lt;=Tabla5[[#This Row],[INVERSIONES FCI]],+Tabla5[[#This Row],[INVERSIONES FCI]]-DA273,Tabla5[[#This Row],[INVERSIONES FCI]])</f>
        <v>1292168336.2549667</v>
      </c>
      <c r="DB274" s="5">
        <f>IF($B273&lt;=Tabla5[[#This Row],[INVERSIONES FCI]],+Tabla5[[#This Row],[INVERSIONES FCI]]-DB273,Tabla5[[#This Row],[INVERSIONES FCI]])</f>
        <v>1292168336.2549667</v>
      </c>
      <c r="DC274" s="5">
        <f>IF($B273&lt;=Tabla5[[#This Row],[INVERSIONES FCI]],+Tabla5[[#This Row],[INVERSIONES FCI]]-DC273,Tabla5[[#This Row],[INVERSIONES FCI]])</f>
        <v>1292168336.2549667</v>
      </c>
      <c r="DD274" s="5">
        <f>IF($B273&lt;=Tabla5[[#This Row],[INVERSIONES FCI]],+Tabla5[[#This Row],[INVERSIONES FCI]]-DD273,Tabla5[[#This Row],[INVERSIONES FCI]])</f>
        <v>1292168336.2549667</v>
      </c>
      <c r="DE274" s="5">
        <f>IF($B273&lt;=Tabla5[[#This Row],[INVERSIONES FCI]],+Tabla5[[#This Row],[INVERSIONES FCI]]-DE273,Tabla5[[#This Row],[INVERSIONES FCI]])</f>
        <v>1292168336.2549667</v>
      </c>
      <c r="DF274" s="5">
        <f>IF($B273&lt;=Tabla5[[#This Row],[INVERSIONES FCI]],+Tabla5[[#This Row],[INVERSIONES FCI]]-DF273,Tabla5[[#This Row],[INVERSIONES FCI]])</f>
        <v>1292168336.2549667</v>
      </c>
      <c r="DG274" s="5">
        <f>IF($B273&lt;=Tabla5[[#This Row],[INVERSIONES FCI]],+Tabla5[[#This Row],[INVERSIONES FCI]]-DG273,Tabla5[[#This Row],[INVERSIONES FCI]])</f>
        <v>1292168336.2549667</v>
      </c>
      <c r="DH274" s="5">
        <f>IF($B273&lt;=Tabla5[[#This Row],[INVERSIONES FCI]],+Tabla5[[#This Row],[INVERSIONES FCI]]-DH273,Tabla5[[#This Row],[INVERSIONES FCI]])</f>
        <v>1292168336.2549667</v>
      </c>
      <c r="DI274" s="5">
        <f>IF($B273&lt;=Tabla5[[#This Row],[INVERSIONES FCI]],+Tabla5[[#This Row],[INVERSIONES FCI]]-DI273,Tabla5[[#This Row],[INVERSIONES FCI]])</f>
        <v>1292168336.2549667</v>
      </c>
      <c r="DJ274" s="5">
        <f>IF($B273&lt;=Tabla5[[#This Row],[INVERSIONES FCI]],+Tabla5[[#This Row],[INVERSIONES FCI]]-DJ273,Tabla5[[#This Row],[INVERSIONES FCI]])</f>
        <v>1292168336.2549667</v>
      </c>
      <c r="DK274" s="5">
        <f>IF($B273&lt;=Tabla5[[#This Row],[INVERSIONES FCI]],+Tabla5[[#This Row],[INVERSIONES FCI]]-DK273,Tabla5[[#This Row],[INVERSIONES FCI]])</f>
        <v>1292168336.2549667</v>
      </c>
      <c r="DL274" s="5"/>
      <c r="DM274" s="5"/>
      <c r="DN274" s="5"/>
      <c r="DO274" s="5"/>
      <c r="DP274" s="5"/>
      <c r="DQ274" s="5"/>
    </row>
    <row r="275" spans="1:121" ht="14.4">
      <c r="A275" s="12" t="s">
        <v>274</v>
      </c>
      <c r="B275" s="5">
        <f>HLOOKUP($A275,ESCENARIO[#All],7,FALSE)</f>
        <v>50537555574.568413</v>
      </c>
      <c r="C275" s="5">
        <f>IF($B274&lt;=Tabla5[[#This Row],[INVERSIONES FCI]],+Tabla5[[#This Row],[INVERSIONES FCI]]-C274,Tabla5[[#This Row],[INVERSIONES FCI]])</f>
        <v>49245387238.313446</v>
      </c>
      <c r="D275" s="5">
        <f>IF($B274&lt;=Tabla5[[#This Row],[INVERSIONES FCI]],+Tabla5[[#This Row],[INVERSIONES FCI]]-D274,Tabla5[[#This Row],[INVERSIONES FCI]])</f>
        <v>49245387238.313446</v>
      </c>
      <c r="E275" s="5">
        <f>IF($B274&lt;=Tabla5[[#This Row],[INVERSIONES FCI]],+Tabla5[[#This Row],[INVERSIONES FCI]]-E274,Tabla5[[#This Row],[INVERSIONES FCI]])</f>
        <v>49245387238.313446</v>
      </c>
      <c r="F275" s="5">
        <f>IF($B274&lt;=Tabla5[[#This Row],[INVERSIONES FCI]],+Tabla5[[#This Row],[INVERSIONES FCI]]-F274,Tabla5[[#This Row],[INVERSIONES FCI]])</f>
        <v>49245387238.313446</v>
      </c>
      <c r="G275" s="5">
        <f>IF($B274&lt;=Tabla5[[#This Row],[INVERSIONES FCI]],+Tabla5[[#This Row],[INVERSIONES FCI]]-G274,Tabla5[[#This Row],[INVERSIONES FCI]])</f>
        <v>49245387238.313446</v>
      </c>
      <c r="H275" s="5">
        <f>IF($B274&lt;=Tabla5[[#This Row],[INVERSIONES FCI]],+Tabla5[[#This Row],[INVERSIONES FCI]]-H274,Tabla5[[#This Row],[INVERSIONES FCI]])</f>
        <v>49245387238.313446</v>
      </c>
      <c r="I275" s="5">
        <f>IF($B274&lt;=Tabla5[[#This Row],[INVERSIONES FCI]],+Tabla5[[#This Row],[INVERSIONES FCI]]-I274,Tabla5[[#This Row],[INVERSIONES FCI]])</f>
        <v>49245387238.313446</v>
      </c>
      <c r="J275" s="5">
        <f>IF($B274&lt;=Tabla5[[#This Row],[INVERSIONES FCI]],+Tabla5[[#This Row],[INVERSIONES FCI]]-J274,Tabla5[[#This Row],[INVERSIONES FCI]])</f>
        <v>49245387238.313446</v>
      </c>
      <c r="K275" s="5">
        <f>IF($B274&lt;=Tabla5[[#This Row],[INVERSIONES FCI]],+Tabla5[[#This Row],[INVERSIONES FCI]]-K274,Tabla5[[#This Row],[INVERSIONES FCI]])</f>
        <v>49245387238.313446</v>
      </c>
      <c r="L275" s="5">
        <f>IF($B274&lt;=Tabla5[[#This Row],[INVERSIONES FCI]],+Tabla5[[#This Row],[INVERSIONES FCI]]-L274,Tabla5[[#This Row],[INVERSIONES FCI]])</f>
        <v>49245387238.313446</v>
      </c>
      <c r="M275" s="5">
        <f>IF($B274&lt;=Tabla5[[#This Row],[INVERSIONES FCI]],+Tabla5[[#This Row],[INVERSIONES FCI]]-M274,Tabla5[[#This Row],[INVERSIONES FCI]])</f>
        <v>49245387238.313446</v>
      </c>
      <c r="N275" s="5">
        <f>IF($B274&lt;=Tabla5[[#This Row],[INVERSIONES FCI]],+Tabla5[[#This Row],[INVERSIONES FCI]]-N274,Tabla5[[#This Row],[INVERSIONES FCI]])</f>
        <v>49245387238.313446</v>
      </c>
      <c r="O275" s="5">
        <f>IF($B274&lt;=Tabla5[[#This Row],[INVERSIONES FCI]],+Tabla5[[#This Row],[INVERSIONES FCI]]-O274,Tabla5[[#This Row],[INVERSIONES FCI]])</f>
        <v>49245387238.313446</v>
      </c>
      <c r="P275" s="5">
        <f>IF($B274&lt;=Tabla5[[#This Row],[INVERSIONES FCI]],+Tabla5[[#This Row],[INVERSIONES FCI]]-P274,Tabla5[[#This Row],[INVERSIONES FCI]])</f>
        <v>49245387238.313446</v>
      </c>
      <c r="Q275" s="5">
        <f>IF($B274&lt;=Tabla5[[#This Row],[INVERSIONES FCI]],+Tabla5[[#This Row],[INVERSIONES FCI]]-Q274,Tabla5[[#This Row],[INVERSIONES FCI]])</f>
        <v>49245387238.313446</v>
      </c>
      <c r="R275" s="5">
        <f>IF($B274&lt;=Tabla5[[#This Row],[INVERSIONES FCI]],+Tabla5[[#This Row],[INVERSIONES FCI]]-R274,Tabla5[[#This Row],[INVERSIONES FCI]])</f>
        <v>49245387238.313446</v>
      </c>
      <c r="S275" s="5">
        <f>IF($B274&lt;=Tabla5[[#This Row],[INVERSIONES FCI]],+Tabla5[[#This Row],[INVERSIONES FCI]]-S274,Tabla5[[#This Row],[INVERSIONES FCI]])</f>
        <v>49245387238.313446</v>
      </c>
      <c r="T275" s="5">
        <f>IF($B274&lt;=Tabla5[[#This Row],[INVERSIONES FCI]],+Tabla5[[#This Row],[INVERSIONES FCI]]-T274,Tabla5[[#This Row],[INVERSIONES FCI]])</f>
        <v>49245387238.313446</v>
      </c>
      <c r="U275" s="5">
        <f>IF($B274&lt;=Tabla5[[#This Row],[INVERSIONES FCI]],+Tabla5[[#This Row],[INVERSIONES FCI]]-U274,Tabla5[[#This Row],[INVERSIONES FCI]])</f>
        <v>49245387238.313446</v>
      </c>
      <c r="V275" s="5">
        <f>IF($B274&lt;=Tabla5[[#This Row],[INVERSIONES FCI]],+Tabla5[[#This Row],[INVERSIONES FCI]]-V274,Tabla5[[#This Row],[INVERSIONES FCI]])</f>
        <v>49245387238.313446</v>
      </c>
      <c r="W275" s="5">
        <f>IF($B274&lt;=Tabla5[[#This Row],[INVERSIONES FCI]],+Tabla5[[#This Row],[INVERSIONES FCI]]-W274,Tabla5[[#This Row],[INVERSIONES FCI]])</f>
        <v>49245387238.313446</v>
      </c>
      <c r="X275" s="5">
        <f>IF($B274&lt;=Tabla5[[#This Row],[INVERSIONES FCI]],+Tabla5[[#This Row],[INVERSIONES FCI]]-X274,Tabla5[[#This Row],[INVERSIONES FCI]])</f>
        <v>49245387238.313446</v>
      </c>
      <c r="Y275" s="5">
        <f>IF($B274&lt;=Tabla5[[#This Row],[INVERSIONES FCI]],+Tabla5[[#This Row],[INVERSIONES FCI]]-Y274,Tabla5[[#This Row],[INVERSIONES FCI]])</f>
        <v>49245387238.313446</v>
      </c>
      <c r="Z275" s="5">
        <f>IF($B274&lt;=Tabla5[[#This Row],[INVERSIONES FCI]],+Tabla5[[#This Row],[INVERSIONES FCI]]-Z274,Tabla5[[#This Row],[INVERSIONES FCI]])</f>
        <v>49245387238.313446</v>
      </c>
      <c r="AA275" s="5">
        <f>IF($B274&lt;=Tabla5[[#This Row],[INVERSIONES FCI]],+Tabla5[[#This Row],[INVERSIONES FCI]]-AA274,Tabla5[[#This Row],[INVERSIONES FCI]])</f>
        <v>49245387238.313446</v>
      </c>
      <c r="AB275" s="5">
        <f>IF($B274&lt;=Tabla5[[#This Row],[INVERSIONES FCI]],+Tabla5[[#This Row],[INVERSIONES FCI]]-AB274,Tabla5[[#This Row],[INVERSIONES FCI]])</f>
        <v>49245387238.313446</v>
      </c>
      <c r="AC275" s="5">
        <f>IF($B274&lt;=Tabla5[[#This Row],[INVERSIONES FCI]],+Tabla5[[#This Row],[INVERSIONES FCI]]-AC274,Tabla5[[#This Row],[INVERSIONES FCI]])</f>
        <v>49245387238.313446</v>
      </c>
      <c r="AD275" s="5">
        <f>IF($B274&lt;=Tabla5[[#This Row],[INVERSIONES FCI]],+Tabla5[[#This Row],[INVERSIONES FCI]]-AD274,Tabla5[[#This Row],[INVERSIONES FCI]])</f>
        <v>49245387238.313446</v>
      </c>
      <c r="AE275" s="5">
        <f>IF($B274&lt;=Tabla5[[#This Row],[INVERSIONES FCI]],+Tabla5[[#This Row],[INVERSIONES FCI]]-AE274,Tabla5[[#This Row],[INVERSIONES FCI]])</f>
        <v>49245387238.313446</v>
      </c>
      <c r="AF275" s="5">
        <f>IF($B274&lt;=Tabla5[[#This Row],[INVERSIONES FCI]],+Tabla5[[#This Row],[INVERSIONES FCI]]-AF274,Tabla5[[#This Row],[INVERSIONES FCI]])</f>
        <v>49245387238.313446</v>
      </c>
      <c r="AG275" s="5">
        <f>IF($B274&lt;=Tabla5[[#This Row],[INVERSIONES FCI]],+Tabla5[[#This Row],[INVERSIONES FCI]]-AG274,Tabla5[[#This Row],[INVERSIONES FCI]])</f>
        <v>49245387238.313446</v>
      </c>
      <c r="AH275" s="5">
        <f>IF($B274&lt;=Tabla5[[#This Row],[INVERSIONES FCI]],+Tabla5[[#This Row],[INVERSIONES FCI]]-AH274,Tabla5[[#This Row],[INVERSIONES FCI]])</f>
        <v>49245387238.313446</v>
      </c>
      <c r="AI275" s="5">
        <f>IF($B274&lt;=Tabla5[[#This Row],[INVERSIONES FCI]],+Tabla5[[#This Row],[INVERSIONES FCI]]-AI274,Tabla5[[#This Row],[INVERSIONES FCI]])</f>
        <v>49245387238.313446</v>
      </c>
      <c r="AJ275" s="5">
        <f>IF($B274&lt;=Tabla5[[#This Row],[INVERSIONES FCI]],+Tabla5[[#This Row],[INVERSIONES FCI]]-AJ274,Tabla5[[#This Row],[INVERSIONES FCI]])</f>
        <v>49245387238.313446</v>
      </c>
      <c r="AK275" s="5">
        <f>IF($B274&lt;=Tabla5[[#This Row],[INVERSIONES FCI]],+Tabla5[[#This Row],[INVERSIONES FCI]]-AK274,Tabla5[[#This Row],[INVERSIONES FCI]])</f>
        <v>49245387238.313446</v>
      </c>
      <c r="AL275" s="5">
        <f>IF($B274&lt;=Tabla5[[#This Row],[INVERSIONES FCI]],+Tabla5[[#This Row],[INVERSIONES FCI]]-AL274,Tabla5[[#This Row],[INVERSIONES FCI]])</f>
        <v>49245387238.313446</v>
      </c>
      <c r="AM275" s="5">
        <f>IF($B274&lt;=Tabla5[[#This Row],[INVERSIONES FCI]],+Tabla5[[#This Row],[INVERSIONES FCI]]-AM274,Tabla5[[#This Row],[INVERSIONES FCI]])</f>
        <v>49245387238.313446</v>
      </c>
      <c r="AN275" s="5">
        <f>IF($B274&lt;=Tabla5[[#This Row],[INVERSIONES FCI]],+Tabla5[[#This Row],[INVERSIONES FCI]]-AN274,Tabla5[[#This Row],[INVERSIONES FCI]])</f>
        <v>49245387238.313446</v>
      </c>
      <c r="AO275" s="5">
        <f>IF($B274&lt;=Tabla5[[#This Row],[INVERSIONES FCI]],+Tabla5[[#This Row],[INVERSIONES FCI]]-AO274,Tabla5[[#This Row],[INVERSIONES FCI]])</f>
        <v>49245387238.313446</v>
      </c>
      <c r="AP275" s="5">
        <f>IF($B274&lt;=Tabla5[[#This Row],[INVERSIONES FCI]],+Tabla5[[#This Row],[INVERSIONES FCI]]-AP274,Tabla5[[#This Row],[INVERSIONES FCI]])</f>
        <v>49245387238.313446</v>
      </c>
      <c r="AQ275" s="5">
        <f>IF($B274&lt;=Tabla5[[#This Row],[INVERSIONES FCI]],+Tabla5[[#This Row],[INVERSIONES FCI]]-AQ274,Tabla5[[#This Row],[INVERSIONES FCI]])</f>
        <v>49245387238.313446</v>
      </c>
      <c r="AR275" s="5">
        <f>IF($B274&lt;=Tabla5[[#This Row],[INVERSIONES FCI]],+Tabla5[[#This Row],[INVERSIONES FCI]]-AR274,Tabla5[[#This Row],[INVERSIONES FCI]])</f>
        <v>49245387238.313446</v>
      </c>
      <c r="AS275" s="5">
        <f>IF($B274&lt;=Tabla5[[#This Row],[INVERSIONES FCI]],+Tabla5[[#This Row],[INVERSIONES FCI]]-AS274,Tabla5[[#This Row],[INVERSIONES FCI]])</f>
        <v>49245387238.313446</v>
      </c>
      <c r="AT275" s="5">
        <f>IF($B274&lt;=Tabla5[[#This Row],[INVERSIONES FCI]],+Tabla5[[#This Row],[INVERSIONES FCI]]-AT274,Tabla5[[#This Row],[INVERSIONES FCI]])</f>
        <v>49245387238.313446</v>
      </c>
      <c r="AU275" s="5">
        <f>IF($B274&lt;=Tabla5[[#This Row],[INVERSIONES FCI]],+Tabla5[[#This Row],[INVERSIONES FCI]]-AU274,Tabla5[[#This Row],[INVERSIONES FCI]])</f>
        <v>49245387238.313446</v>
      </c>
      <c r="AV275" s="5">
        <f>IF($B274&lt;=Tabla5[[#This Row],[INVERSIONES FCI]],+Tabla5[[#This Row],[INVERSIONES FCI]]-AV274,Tabla5[[#This Row],[INVERSIONES FCI]])</f>
        <v>49245387238.313446</v>
      </c>
      <c r="AW275" s="5">
        <f>IF($B274&lt;=Tabla5[[#This Row],[INVERSIONES FCI]],+Tabla5[[#This Row],[INVERSIONES FCI]]-AW274,Tabla5[[#This Row],[INVERSIONES FCI]])</f>
        <v>49245387238.313446</v>
      </c>
      <c r="AX275" s="5">
        <f>IF($B274&lt;=Tabla5[[#This Row],[INVERSIONES FCI]],+Tabla5[[#This Row],[INVERSIONES FCI]]-AX274,Tabla5[[#This Row],[INVERSIONES FCI]])</f>
        <v>49245387238.313446</v>
      </c>
      <c r="AY275" s="5">
        <f>IF($B274&lt;=Tabla5[[#This Row],[INVERSIONES FCI]],+Tabla5[[#This Row],[INVERSIONES FCI]]-AY274,Tabla5[[#This Row],[INVERSIONES FCI]])</f>
        <v>49245387238.313446</v>
      </c>
      <c r="AZ275" s="5">
        <f>IF($B274&lt;=Tabla5[[#This Row],[INVERSIONES FCI]],+Tabla5[[#This Row],[INVERSIONES FCI]]-AZ274,Tabla5[[#This Row],[INVERSIONES FCI]])</f>
        <v>49245387238.313446</v>
      </c>
      <c r="BA275" s="5">
        <f>IF($B274&lt;=Tabla5[[#This Row],[INVERSIONES FCI]],+Tabla5[[#This Row],[INVERSIONES FCI]]-BA274,Tabla5[[#This Row],[INVERSIONES FCI]])</f>
        <v>49245387238.313446</v>
      </c>
      <c r="BB275" s="5">
        <f>IF($B274&lt;=Tabla5[[#This Row],[INVERSIONES FCI]],+Tabla5[[#This Row],[INVERSIONES FCI]]-BB274,Tabla5[[#This Row],[INVERSIONES FCI]])</f>
        <v>49245387238.313446</v>
      </c>
      <c r="BC275" s="5">
        <f>IF($B274&lt;=Tabla5[[#This Row],[INVERSIONES FCI]],+Tabla5[[#This Row],[INVERSIONES FCI]]-BC274,Tabla5[[#This Row],[INVERSIONES FCI]])</f>
        <v>49245387238.313446</v>
      </c>
      <c r="BD275" s="5">
        <f>IF($B274&lt;=Tabla5[[#This Row],[INVERSIONES FCI]],+Tabla5[[#This Row],[INVERSIONES FCI]]-BD274,Tabla5[[#This Row],[INVERSIONES FCI]])</f>
        <v>49245387238.313446</v>
      </c>
      <c r="BE275" s="5">
        <f>IF($B274&lt;=Tabla5[[#This Row],[INVERSIONES FCI]],+Tabla5[[#This Row],[INVERSIONES FCI]]-BE274,Tabla5[[#This Row],[INVERSIONES FCI]])</f>
        <v>49245387238.313446</v>
      </c>
      <c r="BF275" s="5">
        <f>IF($B274&lt;=Tabla5[[#This Row],[INVERSIONES FCI]],+Tabla5[[#This Row],[INVERSIONES FCI]]-BF274,Tabla5[[#This Row],[INVERSIONES FCI]])</f>
        <v>49245387238.313446</v>
      </c>
      <c r="BG275" s="5">
        <f>IF($B274&lt;=Tabla5[[#This Row],[INVERSIONES FCI]],+Tabla5[[#This Row],[INVERSIONES FCI]]-BG274,Tabla5[[#This Row],[INVERSIONES FCI]])</f>
        <v>49245387238.313446</v>
      </c>
      <c r="BH275" s="5">
        <f>IF($B274&lt;=Tabla5[[#This Row],[INVERSIONES FCI]],+Tabla5[[#This Row],[INVERSIONES FCI]]-BH274,Tabla5[[#This Row],[INVERSIONES FCI]])</f>
        <v>49245387238.313446</v>
      </c>
      <c r="BI275" s="5">
        <f>IF($B274&lt;=Tabla5[[#This Row],[INVERSIONES FCI]],+Tabla5[[#This Row],[INVERSIONES FCI]]-BI274,Tabla5[[#This Row],[INVERSIONES FCI]])</f>
        <v>49245387238.313446</v>
      </c>
      <c r="BJ275" s="5">
        <f>IF($B274&lt;=Tabla5[[#This Row],[INVERSIONES FCI]],+Tabla5[[#This Row],[INVERSIONES FCI]]-BJ274,Tabla5[[#This Row],[INVERSIONES FCI]])</f>
        <v>49245387238.313446</v>
      </c>
      <c r="BK275" s="5">
        <f>IF($B274&lt;=Tabla5[[#This Row],[INVERSIONES FCI]],+Tabla5[[#This Row],[INVERSIONES FCI]]-BK274,Tabla5[[#This Row],[INVERSIONES FCI]])</f>
        <v>49245387238.313446</v>
      </c>
      <c r="BL275" s="5">
        <f>IF($B274&lt;=Tabla5[[#This Row],[INVERSIONES FCI]],+Tabla5[[#This Row],[INVERSIONES FCI]]-BL274,Tabla5[[#This Row],[INVERSIONES FCI]])</f>
        <v>49245387238.313446</v>
      </c>
      <c r="BM275" s="5">
        <f>IF($B274&lt;=Tabla5[[#This Row],[INVERSIONES FCI]],+Tabla5[[#This Row],[INVERSIONES FCI]]-BM274,Tabla5[[#This Row],[INVERSIONES FCI]])</f>
        <v>49245387238.313446</v>
      </c>
      <c r="BN275" s="5">
        <f>IF($B274&lt;=Tabla5[[#This Row],[INVERSIONES FCI]],+Tabla5[[#This Row],[INVERSIONES FCI]]-BN274,Tabla5[[#This Row],[INVERSIONES FCI]])</f>
        <v>49245387238.313446</v>
      </c>
      <c r="BO275" s="5">
        <f>IF($B274&lt;=Tabla5[[#This Row],[INVERSIONES FCI]],+Tabla5[[#This Row],[INVERSIONES FCI]]-BO274,Tabla5[[#This Row],[INVERSIONES FCI]])</f>
        <v>49245387238.313446</v>
      </c>
      <c r="BP275" s="5">
        <f>IF($B274&lt;=Tabla5[[#This Row],[INVERSIONES FCI]],+Tabla5[[#This Row],[INVERSIONES FCI]]-BP274,Tabla5[[#This Row],[INVERSIONES FCI]])</f>
        <v>49245387238.313446</v>
      </c>
      <c r="BQ275" s="5">
        <f>IF($B274&lt;=Tabla5[[#This Row],[INVERSIONES FCI]],+Tabla5[[#This Row],[INVERSIONES FCI]]-BQ274,Tabla5[[#This Row],[INVERSIONES FCI]])</f>
        <v>49245387238.313446</v>
      </c>
      <c r="BR275" s="5">
        <f>IF($B274&lt;=Tabla5[[#This Row],[INVERSIONES FCI]],+Tabla5[[#This Row],[INVERSIONES FCI]]-BR274,Tabla5[[#This Row],[INVERSIONES FCI]])</f>
        <v>49245387238.313446</v>
      </c>
      <c r="BS275" s="5">
        <f>IF($B274&lt;=Tabla5[[#This Row],[INVERSIONES FCI]],+Tabla5[[#This Row],[INVERSIONES FCI]]-BS274,Tabla5[[#This Row],[INVERSIONES FCI]])</f>
        <v>49245387238.313446</v>
      </c>
      <c r="BT275" s="5">
        <f>IF($B274&lt;=Tabla5[[#This Row],[INVERSIONES FCI]],+Tabla5[[#This Row],[INVERSIONES FCI]]-BT274,Tabla5[[#This Row],[INVERSIONES FCI]])</f>
        <v>49245387238.313446</v>
      </c>
      <c r="BU275" s="5">
        <f>IF($B274&lt;=Tabla5[[#This Row],[INVERSIONES FCI]],+Tabla5[[#This Row],[INVERSIONES FCI]]-BU274,Tabla5[[#This Row],[INVERSIONES FCI]])</f>
        <v>49245387238.313446</v>
      </c>
      <c r="BV275" s="5">
        <f>IF($B274&lt;=Tabla5[[#This Row],[INVERSIONES FCI]],+Tabla5[[#This Row],[INVERSIONES FCI]]-BV274,Tabla5[[#This Row],[INVERSIONES FCI]])</f>
        <v>49245387238.313446</v>
      </c>
      <c r="BW275" s="5">
        <f>IF($B274&lt;=Tabla5[[#This Row],[INVERSIONES FCI]],+Tabla5[[#This Row],[INVERSIONES FCI]]-BW274,Tabla5[[#This Row],[INVERSIONES FCI]])</f>
        <v>49245387238.313446</v>
      </c>
      <c r="BX275" s="5">
        <f>IF($B274&lt;=Tabla5[[#This Row],[INVERSIONES FCI]],+Tabla5[[#This Row],[INVERSIONES FCI]]-BX274,Tabla5[[#This Row],[INVERSIONES FCI]])</f>
        <v>49245387238.313446</v>
      </c>
      <c r="BY275" s="5">
        <f>IF($B274&lt;=Tabla5[[#This Row],[INVERSIONES FCI]],+Tabla5[[#This Row],[INVERSIONES FCI]]-BY274,Tabla5[[#This Row],[INVERSIONES FCI]])</f>
        <v>49245387238.313446</v>
      </c>
      <c r="BZ275" s="5">
        <f>IF($B274&lt;=Tabla5[[#This Row],[INVERSIONES FCI]],+Tabla5[[#This Row],[INVERSIONES FCI]]-BZ274,Tabla5[[#This Row],[INVERSIONES FCI]])</f>
        <v>49245387238.313446</v>
      </c>
      <c r="CA275" s="5">
        <f>IF($B274&lt;=Tabla5[[#This Row],[INVERSIONES FCI]],+Tabla5[[#This Row],[INVERSIONES FCI]]-CA274,Tabla5[[#This Row],[INVERSIONES FCI]])</f>
        <v>49245387238.313446</v>
      </c>
      <c r="CB275" s="5">
        <f>IF($B274&lt;=Tabla5[[#This Row],[INVERSIONES FCI]],+Tabla5[[#This Row],[INVERSIONES FCI]]-CB274,Tabla5[[#This Row],[INVERSIONES FCI]])</f>
        <v>49245387238.313446</v>
      </c>
      <c r="CC275" s="5">
        <f>IF($B274&lt;=Tabla5[[#This Row],[INVERSIONES FCI]],+Tabla5[[#This Row],[INVERSIONES FCI]]-CC274,Tabla5[[#This Row],[INVERSIONES FCI]])</f>
        <v>49245387238.313446</v>
      </c>
      <c r="CD275" s="5">
        <f>IF($B274&lt;=Tabla5[[#This Row],[INVERSIONES FCI]],+Tabla5[[#This Row],[INVERSIONES FCI]]-CD274,Tabla5[[#This Row],[INVERSIONES FCI]])</f>
        <v>49245387238.313446</v>
      </c>
      <c r="CE275" s="5">
        <f>IF($B274&lt;=Tabla5[[#This Row],[INVERSIONES FCI]],+Tabla5[[#This Row],[INVERSIONES FCI]]-CE274,Tabla5[[#This Row],[INVERSIONES FCI]])</f>
        <v>49245387238.313446</v>
      </c>
      <c r="CF275" s="5">
        <f>IF($B274&lt;=Tabla5[[#This Row],[INVERSIONES FCI]],+Tabla5[[#This Row],[INVERSIONES FCI]]-CF274,Tabla5[[#This Row],[INVERSIONES FCI]])</f>
        <v>49245387238.313446</v>
      </c>
      <c r="CG275" s="5">
        <f>IF($B274&lt;=Tabla5[[#This Row],[INVERSIONES FCI]],+Tabla5[[#This Row],[INVERSIONES FCI]]-CG274,Tabla5[[#This Row],[INVERSIONES FCI]])</f>
        <v>49245387238.313446</v>
      </c>
      <c r="CH275" s="5">
        <f>IF($B274&lt;=Tabla5[[#This Row],[INVERSIONES FCI]],+Tabla5[[#This Row],[INVERSIONES FCI]]-CH274,Tabla5[[#This Row],[INVERSIONES FCI]])</f>
        <v>49245387238.313446</v>
      </c>
      <c r="CI275" s="5">
        <f>IF($B274&lt;=Tabla5[[#This Row],[INVERSIONES FCI]],+Tabla5[[#This Row],[INVERSIONES FCI]]-CI274,Tabla5[[#This Row],[INVERSIONES FCI]])</f>
        <v>49245387238.313446</v>
      </c>
      <c r="CJ275" s="5">
        <f>IF($B274&lt;=Tabla5[[#This Row],[INVERSIONES FCI]],+Tabla5[[#This Row],[INVERSIONES FCI]]-CJ274,Tabla5[[#This Row],[INVERSIONES FCI]])</f>
        <v>49245387238.313446</v>
      </c>
      <c r="CK275" s="5">
        <f>IF($B274&lt;=Tabla5[[#This Row],[INVERSIONES FCI]],+Tabla5[[#This Row],[INVERSIONES FCI]]-CK274,Tabla5[[#This Row],[INVERSIONES FCI]])</f>
        <v>49245387238.313446</v>
      </c>
      <c r="CL275" s="5">
        <f>IF($B274&lt;=Tabla5[[#This Row],[INVERSIONES FCI]],+Tabla5[[#This Row],[INVERSIONES FCI]]-CL274,Tabla5[[#This Row],[INVERSIONES FCI]])</f>
        <v>49245387238.313446</v>
      </c>
      <c r="CM275" s="5">
        <f>IF($B274&lt;=Tabla5[[#This Row],[INVERSIONES FCI]],+Tabla5[[#This Row],[INVERSIONES FCI]]-CM274,Tabla5[[#This Row],[INVERSIONES FCI]])</f>
        <v>49245387238.313446</v>
      </c>
      <c r="CN275" s="5">
        <f>IF($B274&lt;=Tabla5[[#This Row],[INVERSIONES FCI]],+Tabla5[[#This Row],[INVERSIONES FCI]]-CN274,Tabla5[[#This Row],[INVERSIONES FCI]])</f>
        <v>49245387238.313446</v>
      </c>
      <c r="CO275" s="5">
        <f>IF($B274&lt;=Tabla5[[#This Row],[INVERSIONES FCI]],+Tabla5[[#This Row],[INVERSIONES FCI]]-CO274,Tabla5[[#This Row],[INVERSIONES FCI]])</f>
        <v>49245387238.313446</v>
      </c>
      <c r="CP275" s="5">
        <f>IF($B274&lt;=Tabla5[[#This Row],[INVERSIONES FCI]],+Tabla5[[#This Row],[INVERSIONES FCI]]-CP274,Tabla5[[#This Row],[INVERSIONES FCI]])</f>
        <v>49245387238.313446</v>
      </c>
      <c r="CQ275" s="5">
        <f>IF($B274&lt;=Tabla5[[#This Row],[INVERSIONES FCI]],+Tabla5[[#This Row],[INVERSIONES FCI]]-CQ274,Tabla5[[#This Row],[INVERSIONES FCI]])</f>
        <v>49245387238.313446</v>
      </c>
      <c r="CR275" s="5">
        <f>IF($B274&lt;=Tabla5[[#This Row],[INVERSIONES FCI]],+Tabla5[[#This Row],[INVERSIONES FCI]]-CR274,Tabla5[[#This Row],[INVERSIONES FCI]])</f>
        <v>49245387238.313446</v>
      </c>
      <c r="CS275" s="5">
        <f>IF($B274&lt;=Tabla5[[#This Row],[INVERSIONES FCI]],+Tabla5[[#This Row],[INVERSIONES FCI]]-CS274,Tabla5[[#This Row],[INVERSIONES FCI]])</f>
        <v>49245387238.313446</v>
      </c>
      <c r="CT275" s="5">
        <f>IF($B274&lt;=Tabla5[[#This Row],[INVERSIONES FCI]],+Tabla5[[#This Row],[INVERSIONES FCI]]-CT274,Tabla5[[#This Row],[INVERSIONES FCI]])</f>
        <v>49245387238.313446</v>
      </c>
      <c r="CU275" s="5">
        <f>IF($B274&lt;=Tabla5[[#This Row],[INVERSIONES FCI]],+Tabla5[[#This Row],[INVERSIONES FCI]]-CU274,Tabla5[[#This Row],[INVERSIONES FCI]])</f>
        <v>49245387238.313446</v>
      </c>
      <c r="CV275" s="5">
        <f>IF($B274&lt;=Tabla5[[#This Row],[INVERSIONES FCI]],+Tabla5[[#This Row],[INVERSIONES FCI]]-CV274,Tabla5[[#This Row],[INVERSIONES FCI]])</f>
        <v>49245387238.313446</v>
      </c>
      <c r="CW275" s="5">
        <f>IF($B274&lt;=Tabla5[[#This Row],[INVERSIONES FCI]],+Tabla5[[#This Row],[INVERSIONES FCI]]-CW274,Tabla5[[#This Row],[INVERSIONES FCI]])</f>
        <v>49245387238.313446</v>
      </c>
      <c r="CX275" s="5">
        <f>IF($B274&lt;=Tabla5[[#This Row],[INVERSIONES FCI]],+Tabla5[[#This Row],[INVERSIONES FCI]]-CX274,Tabla5[[#This Row],[INVERSIONES FCI]])</f>
        <v>49245387238.313446</v>
      </c>
      <c r="CY275" s="5">
        <f>IF($B274&lt;=Tabla5[[#This Row],[INVERSIONES FCI]],+Tabla5[[#This Row],[INVERSIONES FCI]]-CY274,Tabla5[[#This Row],[INVERSIONES FCI]])</f>
        <v>49245387238.313446</v>
      </c>
      <c r="CZ275" s="5">
        <f>IF($B274&lt;=Tabla5[[#This Row],[INVERSIONES FCI]],+Tabla5[[#This Row],[INVERSIONES FCI]]-CZ274,Tabla5[[#This Row],[INVERSIONES FCI]])</f>
        <v>49245387238.313446</v>
      </c>
      <c r="DA275" s="5">
        <f>IF($B274&lt;=Tabla5[[#This Row],[INVERSIONES FCI]],+Tabla5[[#This Row],[INVERSIONES FCI]]-DA274,Tabla5[[#This Row],[INVERSIONES FCI]])</f>
        <v>49245387238.313446</v>
      </c>
      <c r="DB275" s="5">
        <f>IF($B274&lt;=Tabla5[[#This Row],[INVERSIONES FCI]],+Tabla5[[#This Row],[INVERSIONES FCI]]-DB274,Tabla5[[#This Row],[INVERSIONES FCI]])</f>
        <v>49245387238.313446</v>
      </c>
      <c r="DC275" s="5">
        <f>IF($B274&lt;=Tabla5[[#This Row],[INVERSIONES FCI]],+Tabla5[[#This Row],[INVERSIONES FCI]]-DC274,Tabla5[[#This Row],[INVERSIONES FCI]])</f>
        <v>49245387238.313446</v>
      </c>
      <c r="DD275" s="5">
        <f>IF($B274&lt;=Tabla5[[#This Row],[INVERSIONES FCI]],+Tabla5[[#This Row],[INVERSIONES FCI]]-DD274,Tabla5[[#This Row],[INVERSIONES FCI]])</f>
        <v>49245387238.313446</v>
      </c>
      <c r="DE275" s="5">
        <f>IF($B274&lt;=Tabla5[[#This Row],[INVERSIONES FCI]],+Tabla5[[#This Row],[INVERSIONES FCI]]-DE274,Tabla5[[#This Row],[INVERSIONES FCI]])</f>
        <v>49245387238.313446</v>
      </c>
      <c r="DF275" s="5">
        <f>IF($B274&lt;=Tabla5[[#This Row],[INVERSIONES FCI]],+Tabla5[[#This Row],[INVERSIONES FCI]]-DF274,Tabla5[[#This Row],[INVERSIONES FCI]])</f>
        <v>49245387238.313446</v>
      </c>
      <c r="DG275" s="5">
        <f>IF($B274&lt;=Tabla5[[#This Row],[INVERSIONES FCI]],+Tabla5[[#This Row],[INVERSIONES FCI]]-DG274,Tabla5[[#This Row],[INVERSIONES FCI]])</f>
        <v>49245387238.313446</v>
      </c>
      <c r="DH275" s="5">
        <f>IF($B274&lt;=Tabla5[[#This Row],[INVERSIONES FCI]],+Tabla5[[#This Row],[INVERSIONES FCI]]-DH274,Tabla5[[#This Row],[INVERSIONES FCI]])</f>
        <v>49245387238.313446</v>
      </c>
      <c r="DI275" s="5">
        <f>IF($B274&lt;=Tabla5[[#This Row],[INVERSIONES FCI]],+Tabla5[[#This Row],[INVERSIONES FCI]]-DI274,Tabla5[[#This Row],[INVERSIONES FCI]])</f>
        <v>49245387238.313446</v>
      </c>
      <c r="DJ275" s="5">
        <f>IF($B274&lt;=Tabla5[[#This Row],[INVERSIONES FCI]],+Tabla5[[#This Row],[INVERSIONES FCI]]-DJ274,Tabla5[[#This Row],[INVERSIONES FCI]])</f>
        <v>49245387238.313446</v>
      </c>
      <c r="DK275" s="5">
        <f>IF($B274&lt;=Tabla5[[#This Row],[INVERSIONES FCI]],+Tabla5[[#This Row],[INVERSIONES FCI]]-DK274,Tabla5[[#This Row],[INVERSIONES FCI]])</f>
        <v>49245387238.313446</v>
      </c>
      <c r="DL275" s="5"/>
      <c r="DM275" s="5"/>
      <c r="DN275" s="5"/>
      <c r="DO275" s="5"/>
      <c r="DP275" s="5"/>
      <c r="DQ275" s="5"/>
    </row>
    <row r="276" spans="1:121" ht="14.4">
      <c r="A276" s="12" t="s">
        <v>275</v>
      </c>
      <c r="B276" s="5">
        <f>HLOOKUP($A276,ESCENARIO[#All],7,FALSE)</f>
        <v>50537555574.568413</v>
      </c>
      <c r="C276" s="5">
        <f>IF($B275&lt;=Tabla5[[#This Row],[INVERSIONES FCI]],+Tabla5[[#This Row],[INVERSIONES FCI]]-C275,Tabla5[[#This Row],[INVERSIONES FCI]])</f>
        <v>1292168336.2549667</v>
      </c>
      <c r="D276" s="5">
        <f>IF($B275&lt;=Tabla5[[#This Row],[INVERSIONES FCI]],+Tabla5[[#This Row],[INVERSIONES FCI]]-D275,Tabla5[[#This Row],[INVERSIONES FCI]])</f>
        <v>1292168336.2549667</v>
      </c>
      <c r="E276" s="5">
        <f>IF($B275&lt;=Tabla5[[#This Row],[INVERSIONES FCI]],+Tabla5[[#This Row],[INVERSIONES FCI]]-E275,Tabla5[[#This Row],[INVERSIONES FCI]])</f>
        <v>1292168336.2549667</v>
      </c>
      <c r="F276" s="5">
        <f>IF($B275&lt;=Tabla5[[#This Row],[INVERSIONES FCI]],+Tabla5[[#This Row],[INVERSIONES FCI]]-F275,Tabla5[[#This Row],[INVERSIONES FCI]])</f>
        <v>1292168336.2549667</v>
      </c>
      <c r="G276" s="5">
        <f>IF($B275&lt;=Tabla5[[#This Row],[INVERSIONES FCI]],+Tabla5[[#This Row],[INVERSIONES FCI]]-G275,Tabla5[[#This Row],[INVERSIONES FCI]])</f>
        <v>1292168336.2549667</v>
      </c>
      <c r="H276" s="5">
        <f>IF($B275&lt;=Tabla5[[#This Row],[INVERSIONES FCI]],+Tabla5[[#This Row],[INVERSIONES FCI]]-H275,Tabla5[[#This Row],[INVERSIONES FCI]])</f>
        <v>1292168336.2549667</v>
      </c>
      <c r="I276" s="5">
        <f>IF($B275&lt;=Tabla5[[#This Row],[INVERSIONES FCI]],+Tabla5[[#This Row],[INVERSIONES FCI]]-I275,Tabla5[[#This Row],[INVERSIONES FCI]])</f>
        <v>1292168336.2549667</v>
      </c>
      <c r="J276" s="5">
        <f>IF($B275&lt;=Tabla5[[#This Row],[INVERSIONES FCI]],+Tabla5[[#This Row],[INVERSIONES FCI]]-J275,Tabla5[[#This Row],[INVERSIONES FCI]])</f>
        <v>1292168336.2549667</v>
      </c>
      <c r="K276" s="5">
        <f>IF($B275&lt;=Tabla5[[#This Row],[INVERSIONES FCI]],+Tabla5[[#This Row],[INVERSIONES FCI]]-K275,Tabla5[[#This Row],[INVERSIONES FCI]])</f>
        <v>1292168336.2549667</v>
      </c>
      <c r="L276" s="5">
        <f>IF($B275&lt;=Tabla5[[#This Row],[INVERSIONES FCI]],+Tabla5[[#This Row],[INVERSIONES FCI]]-L275,Tabla5[[#This Row],[INVERSIONES FCI]])</f>
        <v>1292168336.2549667</v>
      </c>
      <c r="M276" s="5">
        <f>IF($B275&lt;=Tabla5[[#This Row],[INVERSIONES FCI]],+Tabla5[[#This Row],[INVERSIONES FCI]]-M275,Tabla5[[#This Row],[INVERSIONES FCI]])</f>
        <v>1292168336.2549667</v>
      </c>
      <c r="N276" s="5">
        <f>IF($B275&lt;=Tabla5[[#This Row],[INVERSIONES FCI]],+Tabla5[[#This Row],[INVERSIONES FCI]]-N275,Tabla5[[#This Row],[INVERSIONES FCI]])</f>
        <v>1292168336.2549667</v>
      </c>
      <c r="O276" s="5">
        <f>IF($B275&lt;=Tabla5[[#This Row],[INVERSIONES FCI]],+Tabla5[[#This Row],[INVERSIONES FCI]]-O275,Tabla5[[#This Row],[INVERSIONES FCI]])</f>
        <v>1292168336.2549667</v>
      </c>
      <c r="P276" s="5">
        <f>IF($B275&lt;=Tabla5[[#This Row],[INVERSIONES FCI]],+Tabla5[[#This Row],[INVERSIONES FCI]]-P275,Tabla5[[#This Row],[INVERSIONES FCI]])</f>
        <v>1292168336.2549667</v>
      </c>
      <c r="Q276" s="5">
        <f>IF($B275&lt;=Tabla5[[#This Row],[INVERSIONES FCI]],+Tabla5[[#This Row],[INVERSIONES FCI]]-Q275,Tabla5[[#This Row],[INVERSIONES FCI]])</f>
        <v>1292168336.2549667</v>
      </c>
      <c r="R276" s="5">
        <f>IF($B275&lt;=Tabla5[[#This Row],[INVERSIONES FCI]],+Tabla5[[#This Row],[INVERSIONES FCI]]-R275,Tabla5[[#This Row],[INVERSIONES FCI]])</f>
        <v>1292168336.2549667</v>
      </c>
      <c r="S276" s="5">
        <f>IF($B275&lt;=Tabla5[[#This Row],[INVERSIONES FCI]],+Tabla5[[#This Row],[INVERSIONES FCI]]-S275,Tabla5[[#This Row],[INVERSIONES FCI]])</f>
        <v>1292168336.2549667</v>
      </c>
      <c r="T276" s="5">
        <f>IF($B275&lt;=Tabla5[[#This Row],[INVERSIONES FCI]],+Tabla5[[#This Row],[INVERSIONES FCI]]-T275,Tabla5[[#This Row],[INVERSIONES FCI]])</f>
        <v>1292168336.2549667</v>
      </c>
      <c r="U276" s="5">
        <f>IF($B275&lt;=Tabla5[[#This Row],[INVERSIONES FCI]],+Tabla5[[#This Row],[INVERSIONES FCI]]-U275,Tabla5[[#This Row],[INVERSIONES FCI]])</f>
        <v>1292168336.2549667</v>
      </c>
      <c r="V276" s="5">
        <f>IF($B275&lt;=Tabla5[[#This Row],[INVERSIONES FCI]],+Tabla5[[#This Row],[INVERSIONES FCI]]-V275,Tabla5[[#This Row],[INVERSIONES FCI]])</f>
        <v>1292168336.2549667</v>
      </c>
      <c r="W276" s="5">
        <f>IF($B275&lt;=Tabla5[[#This Row],[INVERSIONES FCI]],+Tabla5[[#This Row],[INVERSIONES FCI]]-W275,Tabla5[[#This Row],[INVERSIONES FCI]])</f>
        <v>1292168336.2549667</v>
      </c>
      <c r="X276" s="5">
        <f>IF($B275&lt;=Tabla5[[#This Row],[INVERSIONES FCI]],+Tabla5[[#This Row],[INVERSIONES FCI]]-X275,Tabla5[[#This Row],[INVERSIONES FCI]])</f>
        <v>1292168336.2549667</v>
      </c>
      <c r="Y276" s="5">
        <f>IF($B275&lt;=Tabla5[[#This Row],[INVERSIONES FCI]],+Tabla5[[#This Row],[INVERSIONES FCI]]-Y275,Tabla5[[#This Row],[INVERSIONES FCI]])</f>
        <v>1292168336.2549667</v>
      </c>
      <c r="Z276" s="5">
        <f>IF($B275&lt;=Tabla5[[#This Row],[INVERSIONES FCI]],+Tabla5[[#This Row],[INVERSIONES FCI]]-Z275,Tabla5[[#This Row],[INVERSIONES FCI]])</f>
        <v>1292168336.2549667</v>
      </c>
      <c r="AA276" s="5">
        <f>IF($B275&lt;=Tabla5[[#This Row],[INVERSIONES FCI]],+Tabla5[[#This Row],[INVERSIONES FCI]]-AA275,Tabla5[[#This Row],[INVERSIONES FCI]])</f>
        <v>1292168336.2549667</v>
      </c>
      <c r="AB276" s="5">
        <f>IF($B275&lt;=Tabla5[[#This Row],[INVERSIONES FCI]],+Tabla5[[#This Row],[INVERSIONES FCI]]-AB275,Tabla5[[#This Row],[INVERSIONES FCI]])</f>
        <v>1292168336.2549667</v>
      </c>
      <c r="AC276" s="5">
        <f>IF($B275&lt;=Tabla5[[#This Row],[INVERSIONES FCI]],+Tabla5[[#This Row],[INVERSIONES FCI]]-AC275,Tabla5[[#This Row],[INVERSIONES FCI]])</f>
        <v>1292168336.2549667</v>
      </c>
      <c r="AD276" s="5">
        <f>IF($B275&lt;=Tabla5[[#This Row],[INVERSIONES FCI]],+Tabla5[[#This Row],[INVERSIONES FCI]]-AD275,Tabla5[[#This Row],[INVERSIONES FCI]])</f>
        <v>1292168336.2549667</v>
      </c>
      <c r="AE276" s="5">
        <f>IF($B275&lt;=Tabla5[[#This Row],[INVERSIONES FCI]],+Tabla5[[#This Row],[INVERSIONES FCI]]-AE275,Tabla5[[#This Row],[INVERSIONES FCI]])</f>
        <v>1292168336.2549667</v>
      </c>
      <c r="AF276" s="5">
        <f>IF($B275&lt;=Tabla5[[#This Row],[INVERSIONES FCI]],+Tabla5[[#This Row],[INVERSIONES FCI]]-AF275,Tabla5[[#This Row],[INVERSIONES FCI]])</f>
        <v>1292168336.2549667</v>
      </c>
      <c r="AG276" s="5">
        <f>IF($B275&lt;=Tabla5[[#This Row],[INVERSIONES FCI]],+Tabla5[[#This Row],[INVERSIONES FCI]]-AG275,Tabla5[[#This Row],[INVERSIONES FCI]])</f>
        <v>1292168336.2549667</v>
      </c>
      <c r="AH276" s="5">
        <f>IF($B275&lt;=Tabla5[[#This Row],[INVERSIONES FCI]],+Tabla5[[#This Row],[INVERSIONES FCI]]-AH275,Tabla5[[#This Row],[INVERSIONES FCI]])</f>
        <v>1292168336.2549667</v>
      </c>
      <c r="AI276" s="5">
        <f>IF($B275&lt;=Tabla5[[#This Row],[INVERSIONES FCI]],+Tabla5[[#This Row],[INVERSIONES FCI]]-AI275,Tabla5[[#This Row],[INVERSIONES FCI]])</f>
        <v>1292168336.2549667</v>
      </c>
      <c r="AJ276" s="5">
        <f>IF($B275&lt;=Tabla5[[#This Row],[INVERSIONES FCI]],+Tabla5[[#This Row],[INVERSIONES FCI]]-AJ275,Tabla5[[#This Row],[INVERSIONES FCI]])</f>
        <v>1292168336.2549667</v>
      </c>
      <c r="AK276" s="5">
        <f>IF($B275&lt;=Tabla5[[#This Row],[INVERSIONES FCI]],+Tabla5[[#This Row],[INVERSIONES FCI]]-AK275,Tabla5[[#This Row],[INVERSIONES FCI]])</f>
        <v>1292168336.2549667</v>
      </c>
      <c r="AL276" s="5">
        <f>IF($B275&lt;=Tabla5[[#This Row],[INVERSIONES FCI]],+Tabla5[[#This Row],[INVERSIONES FCI]]-AL275,Tabla5[[#This Row],[INVERSIONES FCI]])</f>
        <v>1292168336.2549667</v>
      </c>
      <c r="AM276" s="5">
        <f>IF($B275&lt;=Tabla5[[#This Row],[INVERSIONES FCI]],+Tabla5[[#This Row],[INVERSIONES FCI]]-AM275,Tabla5[[#This Row],[INVERSIONES FCI]])</f>
        <v>1292168336.2549667</v>
      </c>
      <c r="AN276" s="5">
        <f>IF($B275&lt;=Tabla5[[#This Row],[INVERSIONES FCI]],+Tabla5[[#This Row],[INVERSIONES FCI]]-AN275,Tabla5[[#This Row],[INVERSIONES FCI]])</f>
        <v>1292168336.2549667</v>
      </c>
      <c r="AO276" s="5">
        <f>IF($B275&lt;=Tabla5[[#This Row],[INVERSIONES FCI]],+Tabla5[[#This Row],[INVERSIONES FCI]]-AO275,Tabla5[[#This Row],[INVERSIONES FCI]])</f>
        <v>1292168336.2549667</v>
      </c>
      <c r="AP276" s="5">
        <f>IF($B275&lt;=Tabla5[[#This Row],[INVERSIONES FCI]],+Tabla5[[#This Row],[INVERSIONES FCI]]-AP275,Tabla5[[#This Row],[INVERSIONES FCI]])</f>
        <v>1292168336.2549667</v>
      </c>
      <c r="AQ276" s="5">
        <f>IF($B275&lt;=Tabla5[[#This Row],[INVERSIONES FCI]],+Tabla5[[#This Row],[INVERSIONES FCI]]-AQ275,Tabla5[[#This Row],[INVERSIONES FCI]])</f>
        <v>1292168336.2549667</v>
      </c>
      <c r="AR276" s="5">
        <f>IF($B275&lt;=Tabla5[[#This Row],[INVERSIONES FCI]],+Tabla5[[#This Row],[INVERSIONES FCI]]-AR275,Tabla5[[#This Row],[INVERSIONES FCI]])</f>
        <v>1292168336.2549667</v>
      </c>
      <c r="AS276" s="5">
        <f>IF($B275&lt;=Tabla5[[#This Row],[INVERSIONES FCI]],+Tabla5[[#This Row],[INVERSIONES FCI]]-AS275,Tabla5[[#This Row],[INVERSIONES FCI]])</f>
        <v>1292168336.2549667</v>
      </c>
      <c r="AT276" s="5">
        <f>IF($B275&lt;=Tabla5[[#This Row],[INVERSIONES FCI]],+Tabla5[[#This Row],[INVERSIONES FCI]]-AT275,Tabla5[[#This Row],[INVERSIONES FCI]])</f>
        <v>1292168336.2549667</v>
      </c>
      <c r="AU276" s="5">
        <f>IF($B275&lt;=Tabla5[[#This Row],[INVERSIONES FCI]],+Tabla5[[#This Row],[INVERSIONES FCI]]-AU275,Tabla5[[#This Row],[INVERSIONES FCI]])</f>
        <v>1292168336.2549667</v>
      </c>
      <c r="AV276" s="5">
        <f>IF($B275&lt;=Tabla5[[#This Row],[INVERSIONES FCI]],+Tabla5[[#This Row],[INVERSIONES FCI]]-AV275,Tabla5[[#This Row],[INVERSIONES FCI]])</f>
        <v>1292168336.2549667</v>
      </c>
      <c r="AW276" s="5">
        <f>IF($B275&lt;=Tabla5[[#This Row],[INVERSIONES FCI]],+Tabla5[[#This Row],[INVERSIONES FCI]]-AW275,Tabla5[[#This Row],[INVERSIONES FCI]])</f>
        <v>1292168336.2549667</v>
      </c>
      <c r="AX276" s="5">
        <f>IF($B275&lt;=Tabla5[[#This Row],[INVERSIONES FCI]],+Tabla5[[#This Row],[INVERSIONES FCI]]-AX275,Tabla5[[#This Row],[INVERSIONES FCI]])</f>
        <v>1292168336.2549667</v>
      </c>
      <c r="AY276" s="5">
        <f>IF($B275&lt;=Tabla5[[#This Row],[INVERSIONES FCI]],+Tabla5[[#This Row],[INVERSIONES FCI]]-AY275,Tabla5[[#This Row],[INVERSIONES FCI]])</f>
        <v>1292168336.2549667</v>
      </c>
      <c r="AZ276" s="5">
        <f>IF($B275&lt;=Tabla5[[#This Row],[INVERSIONES FCI]],+Tabla5[[#This Row],[INVERSIONES FCI]]-AZ275,Tabla5[[#This Row],[INVERSIONES FCI]])</f>
        <v>1292168336.2549667</v>
      </c>
      <c r="BA276" s="5">
        <f>IF($B275&lt;=Tabla5[[#This Row],[INVERSIONES FCI]],+Tabla5[[#This Row],[INVERSIONES FCI]]-BA275,Tabla5[[#This Row],[INVERSIONES FCI]])</f>
        <v>1292168336.2549667</v>
      </c>
      <c r="BB276" s="5">
        <f>IF($B275&lt;=Tabla5[[#This Row],[INVERSIONES FCI]],+Tabla5[[#This Row],[INVERSIONES FCI]]-BB275,Tabla5[[#This Row],[INVERSIONES FCI]])</f>
        <v>1292168336.2549667</v>
      </c>
      <c r="BC276" s="5">
        <f>IF($B275&lt;=Tabla5[[#This Row],[INVERSIONES FCI]],+Tabla5[[#This Row],[INVERSIONES FCI]]-BC275,Tabla5[[#This Row],[INVERSIONES FCI]])</f>
        <v>1292168336.2549667</v>
      </c>
      <c r="BD276" s="5">
        <f>IF($B275&lt;=Tabla5[[#This Row],[INVERSIONES FCI]],+Tabla5[[#This Row],[INVERSIONES FCI]]-BD275,Tabla5[[#This Row],[INVERSIONES FCI]])</f>
        <v>1292168336.2549667</v>
      </c>
      <c r="BE276" s="5">
        <f>IF($B275&lt;=Tabla5[[#This Row],[INVERSIONES FCI]],+Tabla5[[#This Row],[INVERSIONES FCI]]-BE275,Tabla5[[#This Row],[INVERSIONES FCI]])</f>
        <v>1292168336.2549667</v>
      </c>
      <c r="BF276" s="5">
        <f>IF($B275&lt;=Tabla5[[#This Row],[INVERSIONES FCI]],+Tabla5[[#This Row],[INVERSIONES FCI]]-BF275,Tabla5[[#This Row],[INVERSIONES FCI]])</f>
        <v>1292168336.2549667</v>
      </c>
      <c r="BG276" s="5">
        <f>IF($B275&lt;=Tabla5[[#This Row],[INVERSIONES FCI]],+Tabla5[[#This Row],[INVERSIONES FCI]]-BG275,Tabla5[[#This Row],[INVERSIONES FCI]])</f>
        <v>1292168336.2549667</v>
      </c>
      <c r="BH276" s="5">
        <f>IF($B275&lt;=Tabla5[[#This Row],[INVERSIONES FCI]],+Tabla5[[#This Row],[INVERSIONES FCI]]-BH275,Tabla5[[#This Row],[INVERSIONES FCI]])</f>
        <v>1292168336.2549667</v>
      </c>
      <c r="BI276" s="5">
        <f>IF($B275&lt;=Tabla5[[#This Row],[INVERSIONES FCI]],+Tabla5[[#This Row],[INVERSIONES FCI]]-BI275,Tabla5[[#This Row],[INVERSIONES FCI]])</f>
        <v>1292168336.2549667</v>
      </c>
      <c r="BJ276" s="5">
        <f>IF($B275&lt;=Tabla5[[#This Row],[INVERSIONES FCI]],+Tabla5[[#This Row],[INVERSIONES FCI]]-BJ275,Tabla5[[#This Row],[INVERSIONES FCI]])</f>
        <v>1292168336.2549667</v>
      </c>
      <c r="BK276" s="5">
        <f>IF($B275&lt;=Tabla5[[#This Row],[INVERSIONES FCI]],+Tabla5[[#This Row],[INVERSIONES FCI]]-BK275,Tabla5[[#This Row],[INVERSIONES FCI]])</f>
        <v>1292168336.2549667</v>
      </c>
      <c r="BL276" s="5">
        <f>IF($B275&lt;=Tabla5[[#This Row],[INVERSIONES FCI]],+Tabla5[[#This Row],[INVERSIONES FCI]]-BL275,Tabla5[[#This Row],[INVERSIONES FCI]])</f>
        <v>1292168336.2549667</v>
      </c>
      <c r="BM276" s="5">
        <f>IF($B275&lt;=Tabla5[[#This Row],[INVERSIONES FCI]],+Tabla5[[#This Row],[INVERSIONES FCI]]-BM275,Tabla5[[#This Row],[INVERSIONES FCI]])</f>
        <v>1292168336.2549667</v>
      </c>
      <c r="BN276" s="5">
        <f>IF($B275&lt;=Tabla5[[#This Row],[INVERSIONES FCI]],+Tabla5[[#This Row],[INVERSIONES FCI]]-BN275,Tabla5[[#This Row],[INVERSIONES FCI]])</f>
        <v>1292168336.2549667</v>
      </c>
      <c r="BO276" s="5">
        <f>IF($B275&lt;=Tabla5[[#This Row],[INVERSIONES FCI]],+Tabla5[[#This Row],[INVERSIONES FCI]]-BO275,Tabla5[[#This Row],[INVERSIONES FCI]])</f>
        <v>1292168336.2549667</v>
      </c>
      <c r="BP276" s="5">
        <f>IF($B275&lt;=Tabla5[[#This Row],[INVERSIONES FCI]],+Tabla5[[#This Row],[INVERSIONES FCI]]-BP275,Tabla5[[#This Row],[INVERSIONES FCI]])</f>
        <v>1292168336.2549667</v>
      </c>
      <c r="BQ276" s="5">
        <f>IF($B275&lt;=Tabla5[[#This Row],[INVERSIONES FCI]],+Tabla5[[#This Row],[INVERSIONES FCI]]-BQ275,Tabla5[[#This Row],[INVERSIONES FCI]])</f>
        <v>1292168336.2549667</v>
      </c>
      <c r="BR276" s="5">
        <f>IF($B275&lt;=Tabla5[[#This Row],[INVERSIONES FCI]],+Tabla5[[#This Row],[INVERSIONES FCI]]-BR275,Tabla5[[#This Row],[INVERSIONES FCI]])</f>
        <v>1292168336.2549667</v>
      </c>
      <c r="BS276" s="5">
        <f>IF($B275&lt;=Tabla5[[#This Row],[INVERSIONES FCI]],+Tabla5[[#This Row],[INVERSIONES FCI]]-BS275,Tabla5[[#This Row],[INVERSIONES FCI]])</f>
        <v>1292168336.2549667</v>
      </c>
      <c r="BT276" s="5">
        <f>IF($B275&lt;=Tabla5[[#This Row],[INVERSIONES FCI]],+Tabla5[[#This Row],[INVERSIONES FCI]]-BT275,Tabla5[[#This Row],[INVERSIONES FCI]])</f>
        <v>1292168336.2549667</v>
      </c>
      <c r="BU276" s="5">
        <f>IF($B275&lt;=Tabla5[[#This Row],[INVERSIONES FCI]],+Tabla5[[#This Row],[INVERSIONES FCI]]-BU275,Tabla5[[#This Row],[INVERSIONES FCI]])</f>
        <v>1292168336.2549667</v>
      </c>
      <c r="BV276" s="5">
        <f>IF($B275&lt;=Tabla5[[#This Row],[INVERSIONES FCI]],+Tabla5[[#This Row],[INVERSIONES FCI]]-BV275,Tabla5[[#This Row],[INVERSIONES FCI]])</f>
        <v>1292168336.2549667</v>
      </c>
      <c r="BW276" s="5">
        <f>IF($B275&lt;=Tabla5[[#This Row],[INVERSIONES FCI]],+Tabla5[[#This Row],[INVERSIONES FCI]]-BW275,Tabla5[[#This Row],[INVERSIONES FCI]])</f>
        <v>1292168336.2549667</v>
      </c>
      <c r="BX276" s="5">
        <f>IF($B275&lt;=Tabla5[[#This Row],[INVERSIONES FCI]],+Tabla5[[#This Row],[INVERSIONES FCI]]-BX275,Tabla5[[#This Row],[INVERSIONES FCI]])</f>
        <v>1292168336.2549667</v>
      </c>
      <c r="BY276" s="5">
        <f>IF($B275&lt;=Tabla5[[#This Row],[INVERSIONES FCI]],+Tabla5[[#This Row],[INVERSIONES FCI]]-BY275,Tabla5[[#This Row],[INVERSIONES FCI]])</f>
        <v>1292168336.2549667</v>
      </c>
      <c r="BZ276" s="5">
        <f>IF($B275&lt;=Tabla5[[#This Row],[INVERSIONES FCI]],+Tabla5[[#This Row],[INVERSIONES FCI]]-BZ275,Tabla5[[#This Row],[INVERSIONES FCI]])</f>
        <v>1292168336.2549667</v>
      </c>
      <c r="CA276" s="5">
        <f>IF($B275&lt;=Tabla5[[#This Row],[INVERSIONES FCI]],+Tabla5[[#This Row],[INVERSIONES FCI]]-CA275,Tabla5[[#This Row],[INVERSIONES FCI]])</f>
        <v>1292168336.2549667</v>
      </c>
      <c r="CB276" s="5">
        <f>IF($B275&lt;=Tabla5[[#This Row],[INVERSIONES FCI]],+Tabla5[[#This Row],[INVERSIONES FCI]]-CB275,Tabla5[[#This Row],[INVERSIONES FCI]])</f>
        <v>1292168336.2549667</v>
      </c>
      <c r="CC276" s="5">
        <f>IF($B275&lt;=Tabla5[[#This Row],[INVERSIONES FCI]],+Tabla5[[#This Row],[INVERSIONES FCI]]-CC275,Tabla5[[#This Row],[INVERSIONES FCI]])</f>
        <v>1292168336.2549667</v>
      </c>
      <c r="CD276" s="5">
        <f>IF($B275&lt;=Tabla5[[#This Row],[INVERSIONES FCI]],+Tabla5[[#This Row],[INVERSIONES FCI]]-CD275,Tabla5[[#This Row],[INVERSIONES FCI]])</f>
        <v>1292168336.2549667</v>
      </c>
      <c r="CE276" s="5">
        <f>IF($B275&lt;=Tabla5[[#This Row],[INVERSIONES FCI]],+Tabla5[[#This Row],[INVERSIONES FCI]]-CE275,Tabla5[[#This Row],[INVERSIONES FCI]])</f>
        <v>1292168336.2549667</v>
      </c>
      <c r="CF276" s="5">
        <f>IF($B275&lt;=Tabla5[[#This Row],[INVERSIONES FCI]],+Tabla5[[#This Row],[INVERSIONES FCI]]-CF275,Tabla5[[#This Row],[INVERSIONES FCI]])</f>
        <v>1292168336.2549667</v>
      </c>
      <c r="CG276" s="5">
        <f>IF($B275&lt;=Tabla5[[#This Row],[INVERSIONES FCI]],+Tabla5[[#This Row],[INVERSIONES FCI]]-CG275,Tabla5[[#This Row],[INVERSIONES FCI]])</f>
        <v>1292168336.2549667</v>
      </c>
      <c r="CH276" s="5">
        <f>IF($B275&lt;=Tabla5[[#This Row],[INVERSIONES FCI]],+Tabla5[[#This Row],[INVERSIONES FCI]]-CH275,Tabla5[[#This Row],[INVERSIONES FCI]])</f>
        <v>1292168336.2549667</v>
      </c>
      <c r="CI276" s="5">
        <f>IF($B275&lt;=Tabla5[[#This Row],[INVERSIONES FCI]],+Tabla5[[#This Row],[INVERSIONES FCI]]-CI275,Tabla5[[#This Row],[INVERSIONES FCI]])</f>
        <v>1292168336.2549667</v>
      </c>
      <c r="CJ276" s="5">
        <f>IF($B275&lt;=Tabla5[[#This Row],[INVERSIONES FCI]],+Tabla5[[#This Row],[INVERSIONES FCI]]-CJ275,Tabla5[[#This Row],[INVERSIONES FCI]])</f>
        <v>1292168336.2549667</v>
      </c>
      <c r="CK276" s="5">
        <f>IF($B275&lt;=Tabla5[[#This Row],[INVERSIONES FCI]],+Tabla5[[#This Row],[INVERSIONES FCI]]-CK275,Tabla5[[#This Row],[INVERSIONES FCI]])</f>
        <v>1292168336.2549667</v>
      </c>
      <c r="CL276" s="5">
        <f>IF($B275&lt;=Tabla5[[#This Row],[INVERSIONES FCI]],+Tabla5[[#This Row],[INVERSIONES FCI]]-CL275,Tabla5[[#This Row],[INVERSIONES FCI]])</f>
        <v>1292168336.2549667</v>
      </c>
      <c r="CM276" s="5">
        <f>IF($B275&lt;=Tabla5[[#This Row],[INVERSIONES FCI]],+Tabla5[[#This Row],[INVERSIONES FCI]]-CM275,Tabla5[[#This Row],[INVERSIONES FCI]])</f>
        <v>1292168336.2549667</v>
      </c>
      <c r="CN276" s="5">
        <f>IF($B275&lt;=Tabla5[[#This Row],[INVERSIONES FCI]],+Tabla5[[#This Row],[INVERSIONES FCI]]-CN275,Tabla5[[#This Row],[INVERSIONES FCI]])</f>
        <v>1292168336.2549667</v>
      </c>
      <c r="CO276" s="5">
        <f>IF($B275&lt;=Tabla5[[#This Row],[INVERSIONES FCI]],+Tabla5[[#This Row],[INVERSIONES FCI]]-CO275,Tabla5[[#This Row],[INVERSIONES FCI]])</f>
        <v>1292168336.2549667</v>
      </c>
      <c r="CP276" s="5">
        <f>IF($B275&lt;=Tabla5[[#This Row],[INVERSIONES FCI]],+Tabla5[[#This Row],[INVERSIONES FCI]]-CP275,Tabla5[[#This Row],[INVERSIONES FCI]])</f>
        <v>1292168336.2549667</v>
      </c>
      <c r="CQ276" s="5">
        <f>IF($B275&lt;=Tabla5[[#This Row],[INVERSIONES FCI]],+Tabla5[[#This Row],[INVERSIONES FCI]]-CQ275,Tabla5[[#This Row],[INVERSIONES FCI]])</f>
        <v>1292168336.2549667</v>
      </c>
      <c r="CR276" s="5">
        <f>IF($B275&lt;=Tabla5[[#This Row],[INVERSIONES FCI]],+Tabla5[[#This Row],[INVERSIONES FCI]]-CR275,Tabla5[[#This Row],[INVERSIONES FCI]])</f>
        <v>1292168336.2549667</v>
      </c>
      <c r="CS276" s="5">
        <f>IF($B275&lt;=Tabla5[[#This Row],[INVERSIONES FCI]],+Tabla5[[#This Row],[INVERSIONES FCI]]-CS275,Tabla5[[#This Row],[INVERSIONES FCI]])</f>
        <v>1292168336.2549667</v>
      </c>
      <c r="CT276" s="5">
        <f>IF($B275&lt;=Tabla5[[#This Row],[INVERSIONES FCI]],+Tabla5[[#This Row],[INVERSIONES FCI]]-CT275,Tabla5[[#This Row],[INVERSIONES FCI]])</f>
        <v>1292168336.2549667</v>
      </c>
      <c r="CU276" s="5">
        <f>IF($B275&lt;=Tabla5[[#This Row],[INVERSIONES FCI]],+Tabla5[[#This Row],[INVERSIONES FCI]]-CU275,Tabla5[[#This Row],[INVERSIONES FCI]])</f>
        <v>1292168336.2549667</v>
      </c>
      <c r="CV276" s="5">
        <f>IF($B275&lt;=Tabla5[[#This Row],[INVERSIONES FCI]],+Tabla5[[#This Row],[INVERSIONES FCI]]-CV275,Tabla5[[#This Row],[INVERSIONES FCI]])</f>
        <v>1292168336.2549667</v>
      </c>
      <c r="CW276" s="5">
        <f>IF($B275&lt;=Tabla5[[#This Row],[INVERSIONES FCI]],+Tabla5[[#This Row],[INVERSIONES FCI]]-CW275,Tabla5[[#This Row],[INVERSIONES FCI]])</f>
        <v>1292168336.2549667</v>
      </c>
      <c r="CX276" s="5">
        <f>IF($B275&lt;=Tabla5[[#This Row],[INVERSIONES FCI]],+Tabla5[[#This Row],[INVERSIONES FCI]]-CX275,Tabla5[[#This Row],[INVERSIONES FCI]])</f>
        <v>1292168336.2549667</v>
      </c>
      <c r="CY276" s="5">
        <f>IF($B275&lt;=Tabla5[[#This Row],[INVERSIONES FCI]],+Tabla5[[#This Row],[INVERSIONES FCI]]-CY275,Tabla5[[#This Row],[INVERSIONES FCI]])</f>
        <v>1292168336.2549667</v>
      </c>
      <c r="CZ276" s="5">
        <f>IF($B275&lt;=Tabla5[[#This Row],[INVERSIONES FCI]],+Tabla5[[#This Row],[INVERSIONES FCI]]-CZ275,Tabla5[[#This Row],[INVERSIONES FCI]])</f>
        <v>1292168336.2549667</v>
      </c>
      <c r="DA276" s="5">
        <f>IF($B275&lt;=Tabla5[[#This Row],[INVERSIONES FCI]],+Tabla5[[#This Row],[INVERSIONES FCI]]-DA275,Tabla5[[#This Row],[INVERSIONES FCI]])</f>
        <v>1292168336.2549667</v>
      </c>
      <c r="DB276" s="5">
        <f>IF($B275&lt;=Tabla5[[#This Row],[INVERSIONES FCI]],+Tabla5[[#This Row],[INVERSIONES FCI]]-DB275,Tabla5[[#This Row],[INVERSIONES FCI]])</f>
        <v>1292168336.2549667</v>
      </c>
      <c r="DC276" s="5">
        <f>IF($B275&lt;=Tabla5[[#This Row],[INVERSIONES FCI]],+Tabla5[[#This Row],[INVERSIONES FCI]]-DC275,Tabla5[[#This Row],[INVERSIONES FCI]])</f>
        <v>1292168336.2549667</v>
      </c>
      <c r="DD276" s="5">
        <f>IF($B275&lt;=Tabla5[[#This Row],[INVERSIONES FCI]],+Tabla5[[#This Row],[INVERSIONES FCI]]-DD275,Tabla5[[#This Row],[INVERSIONES FCI]])</f>
        <v>1292168336.2549667</v>
      </c>
      <c r="DE276" s="5">
        <f>IF($B275&lt;=Tabla5[[#This Row],[INVERSIONES FCI]],+Tabla5[[#This Row],[INVERSIONES FCI]]-DE275,Tabla5[[#This Row],[INVERSIONES FCI]])</f>
        <v>1292168336.2549667</v>
      </c>
      <c r="DF276" s="5">
        <f>IF($B275&lt;=Tabla5[[#This Row],[INVERSIONES FCI]],+Tabla5[[#This Row],[INVERSIONES FCI]]-DF275,Tabla5[[#This Row],[INVERSIONES FCI]])</f>
        <v>1292168336.2549667</v>
      </c>
      <c r="DG276" s="5">
        <f>IF($B275&lt;=Tabla5[[#This Row],[INVERSIONES FCI]],+Tabla5[[#This Row],[INVERSIONES FCI]]-DG275,Tabla5[[#This Row],[INVERSIONES FCI]])</f>
        <v>1292168336.2549667</v>
      </c>
      <c r="DH276" s="5">
        <f>IF($B275&lt;=Tabla5[[#This Row],[INVERSIONES FCI]],+Tabla5[[#This Row],[INVERSIONES FCI]]-DH275,Tabla5[[#This Row],[INVERSIONES FCI]])</f>
        <v>1292168336.2549667</v>
      </c>
      <c r="DI276" s="5">
        <f>IF($B275&lt;=Tabla5[[#This Row],[INVERSIONES FCI]],+Tabla5[[#This Row],[INVERSIONES FCI]]-DI275,Tabla5[[#This Row],[INVERSIONES FCI]])</f>
        <v>1292168336.2549667</v>
      </c>
      <c r="DJ276" s="5">
        <f>IF($B275&lt;=Tabla5[[#This Row],[INVERSIONES FCI]],+Tabla5[[#This Row],[INVERSIONES FCI]]-DJ275,Tabla5[[#This Row],[INVERSIONES FCI]])</f>
        <v>1292168336.2549667</v>
      </c>
      <c r="DK276" s="5">
        <f>IF($B275&lt;=Tabla5[[#This Row],[INVERSIONES FCI]],+Tabla5[[#This Row],[INVERSIONES FCI]]-DK275,Tabla5[[#This Row],[INVERSIONES FCI]])</f>
        <v>1292168336.2549667</v>
      </c>
      <c r="DL276" s="5"/>
      <c r="DM276" s="5"/>
      <c r="DN276" s="5"/>
      <c r="DO276" s="5"/>
      <c r="DP276" s="5"/>
      <c r="DQ276" s="5"/>
    </row>
    <row r="277" spans="1:121" ht="14.4">
      <c r="A277" s="12" t="s">
        <v>276</v>
      </c>
      <c r="B277" s="5">
        <f>HLOOKUP($A277,ESCENARIO[#All],7,FALSE)</f>
        <v>50186711279.612007</v>
      </c>
      <c r="C277" s="5">
        <f>IF($B276&lt;=Tabla5[[#This Row],[INVERSIONES FCI]],+Tabla5[[#This Row],[INVERSIONES FCI]]-C276,Tabla5[[#This Row],[INVERSIONES FCI]])</f>
        <v>50186711279.612007</v>
      </c>
      <c r="D277" s="5">
        <f>IF($B276&lt;=Tabla5[[#This Row],[INVERSIONES FCI]],+Tabla5[[#This Row],[INVERSIONES FCI]]-D276,Tabla5[[#This Row],[INVERSIONES FCI]])</f>
        <v>50186711279.612007</v>
      </c>
      <c r="E277" s="5">
        <f>IF($B276&lt;=Tabla5[[#This Row],[INVERSIONES FCI]],+Tabla5[[#This Row],[INVERSIONES FCI]]-E276,Tabla5[[#This Row],[INVERSIONES FCI]])</f>
        <v>50186711279.612007</v>
      </c>
      <c r="F277" s="5">
        <f>IF($B276&lt;=Tabla5[[#This Row],[INVERSIONES FCI]],+Tabla5[[#This Row],[INVERSIONES FCI]]-F276,Tabla5[[#This Row],[INVERSIONES FCI]])</f>
        <v>50186711279.612007</v>
      </c>
      <c r="G277" s="5">
        <f>IF($B276&lt;=Tabla5[[#This Row],[INVERSIONES FCI]],+Tabla5[[#This Row],[INVERSIONES FCI]]-G276,Tabla5[[#This Row],[INVERSIONES FCI]])</f>
        <v>50186711279.612007</v>
      </c>
      <c r="H277" s="5">
        <f>IF($B276&lt;=Tabla5[[#This Row],[INVERSIONES FCI]],+Tabla5[[#This Row],[INVERSIONES FCI]]-H276,Tabla5[[#This Row],[INVERSIONES FCI]])</f>
        <v>50186711279.612007</v>
      </c>
      <c r="I277" s="5">
        <f>IF($B276&lt;=Tabla5[[#This Row],[INVERSIONES FCI]],+Tabla5[[#This Row],[INVERSIONES FCI]]-I276,Tabla5[[#This Row],[INVERSIONES FCI]])</f>
        <v>50186711279.612007</v>
      </c>
      <c r="J277" s="5">
        <f>IF($B276&lt;=Tabla5[[#This Row],[INVERSIONES FCI]],+Tabla5[[#This Row],[INVERSIONES FCI]]-J276,Tabla5[[#This Row],[INVERSIONES FCI]])</f>
        <v>50186711279.612007</v>
      </c>
      <c r="K277" s="5">
        <f>IF($B276&lt;=Tabla5[[#This Row],[INVERSIONES FCI]],+Tabla5[[#This Row],[INVERSIONES FCI]]-K276,Tabla5[[#This Row],[INVERSIONES FCI]])</f>
        <v>50186711279.612007</v>
      </c>
      <c r="L277" s="5">
        <f>IF($B276&lt;=Tabla5[[#This Row],[INVERSIONES FCI]],+Tabla5[[#This Row],[INVERSIONES FCI]]-L276,Tabla5[[#This Row],[INVERSIONES FCI]])</f>
        <v>50186711279.612007</v>
      </c>
      <c r="M277" s="5">
        <f>IF($B276&lt;=Tabla5[[#This Row],[INVERSIONES FCI]],+Tabla5[[#This Row],[INVERSIONES FCI]]-M276,Tabla5[[#This Row],[INVERSIONES FCI]])</f>
        <v>50186711279.612007</v>
      </c>
      <c r="N277" s="5">
        <f>IF($B276&lt;=Tabla5[[#This Row],[INVERSIONES FCI]],+Tabla5[[#This Row],[INVERSIONES FCI]]-N276,Tabla5[[#This Row],[INVERSIONES FCI]])</f>
        <v>50186711279.612007</v>
      </c>
      <c r="O277" s="5">
        <f>IF($B276&lt;=Tabla5[[#This Row],[INVERSIONES FCI]],+Tabla5[[#This Row],[INVERSIONES FCI]]-O276,Tabla5[[#This Row],[INVERSIONES FCI]])</f>
        <v>50186711279.612007</v>
      </c>
      <c r="P277" s="5">
        <f>IF($B276&lt;=Tabla5[[#This Row],[INVERSIONES FCI]],+Tabla5[[#This Row],[INVERSIONES FCI]]-P276,Tabla5[[#This Row],[INVERSIONES FCI]])</f>
        <v>50186711279.612007</v>
      </c>
      <c r="Q277" s="5">
        <f>IF($B276&lt;=Tabla5[[#This Row],[INVERSIONES FCI]],+Tabla5[[#This Row],[INVERSIONES FCI]]-Q276,Tabla5[[#This Row],[INVERSIONES FCI]])</f>
        <v>50186711279.612007</v>
      </c>
      <c r="R277" s="5">
        <f>IF($B276&lt;=Tabla5[[#This Row],[INVERSIONES FCI]],+Tabla5[[#This Row],[INVERSIONES FCI]]-R276,Tabla5[[#This Row],[INVERSIONES FCI]])</f>
        <v>50186711279.612007</v>
      </c>
      <c r="S277" s="5">
        <f>IF($B276&lt;=Tabla5[[#This Row],[INVERSIONES FCI]],+Tabla5[[#This Row],[INVERSIONES FCI]]-S276,Tabla5[[#This Row],[INVERSIONES FCI]])</f>
        <v>50186711279.612007</v>
      </c>
      <c r="T277" s="5">
        <f>IF($B276&lt;=Tabla5[[#This Row],[INVERSIONES FCI]],+Tabla5[[#This Row],[INVERSIONES FCI]]-T276,Tabla5[[#This Row],[INVERSIONES FCI]])</f>
        <v>50186711279.612007</v>
      </c>
      <c r="U277" s="5">
        <f>IF($B276&lt;=Tabla5[[#This Row],[INVERSIONES FCI]],+Tabla5[[#This Row],[INVERSIONES FCI]]-U276,Tabla5[[#This Row],[INVERSIONES FCI]])</f>
        <v>50186711279.612007</v>
      </c>
      <c r="V277" s="5">
        <f>IF($B276&lt;=Tabla5[[#This Row],[INVERSIONES FCI]],+Tabla5[[#This Row],[INVERSIONES FCI]]-V276,Tabla5[[#This Row],[INVERSIONES FCI]])</f>
        <v>50186711279.612007</v>
      </c>
      <c r="W277" s="5">
        <f>IF($B276&lt;=Tabla5[[#This Row],[INVERSIONES FCI]],+Tabla5[[#This Row],[INVERSIONES FCI]]-W276,Tabla5[[#This Row],[INVERSIONES FCI]])</f>
        <v>50186711279.612007</v>
      </c>
      <c r="X277" s="5">
        <f>IF($B276&lt;=Tabla5[[#This Row],[INVERSIONES FCI]],+Tabla5[[#This Row],[INVERSIONES FCI]]-X276,Tabla5[[#This Row],[INVERSIONES FCI]])</f>
        <v>50186711279.612007</v>
      </c>
      <c r="Y277" s="5">
        <f>IF($B276&lt;=Tabla5[[#This Row],[INVERSIONES FCI]],+Tabla5[[#This Row],[INVERSIONES FCI]]-Y276,Tabla5[[#This Row],[INVERSIONES FCI]])</f>
        <v>50186711279.612007</v>
      </c>
      <c r="Z277" s="5">
        <f>IF($B276&lt;=Tabla5[[#This Row],[INVERSIONES FCI]],+Tabla5[[#This Row],[INVERSIONES FCI]]-Z276,Tabla5[[#This Row],[INVERSIONES FCI]])</f>
        <v>50186711279.612007</v>
      </c>
      <c r="AA277" s="5">
        <f>IF($B276&lt;=Tabla5[[#This Row],[INVERSIONES FCI]],+Tabla5[[#This Row],[INVERSIONES FCI]]-AA276,Tabla5[[#This Row],[INVERSIONES FCI]])</f>
        <v>50186711279.612007</v>
      </c>
      <c r="AB277" s="5">
        <f>IF($B276&lt;=Tabla5[[#This Row],[INVERSIONES FCI]],+Tabla5[[#This Row],[INVERSIONES FCI]]-AB276,Tabla5[[#This Row],[INVERSIONES FCI]])</f>
        <v>50186711279.612007</v>
      </c>
      <c r="AC277" s="5">
        <f>IF($B276&lt;=Tabla5[[#This Row],[INVERSIONES FCI]],+Tabla5[[#This Row],[INVERSIONES FCI]]-AC276,Tabla5[[#This Row],[INVERSIONES FCI]])</f>
        <v>50186711279.612007</v>
      </c>
      <c r="AD277" s="5">
        <f>IF($B276&lt;=Tabla5[[#This Row],[INVERSIONES FCI]],+Tabla5[[#This Row],[INVERSIONES FCI]]-AD276,Tabla5[[#This Row],[INVERSIONES FCI]])</f>
        <v>50186711279.612007</v>
      </c>
      <c r="AE277" s="5">
        <f>IF($B276&lt;=Tabla5[[#This Row],[INVERSIONES FCI]],+Tabla5[[#This Row],[INVERSIONES FCI]]-AE276,Tabla5[[#This Row],[INVERSIONES FCI]])</f>
        <v>50186711279.612007</v>
      </c>
      <c r="AF277" s="5">
        <f>IF($B276&lt;=Tabla5[[#This Row],[INVERSIONES FCI]],+Tabla5[[#This Row],[INVERSIONES FCI]]-AF276,Tabla5[[#This Row],[INVERSIONES FCI]])</f>
        <v>50186711279.612007</v>
      </c>
      <c r="AG277" s="5">
        <f>IF($B276&lt;=Tabla5[[#This Row],[INVERSIONES FCI]],+Tabla5[[#This Row],[INVERSIONES FCI]]-AG276,Tabla5[[#This Row],[INVERSIONES FCI]])</f>
        <v>50186711279.612007</v>
      </c>
      <c r="AH277" s="5">
        <f>IF($B276&lt;=Tabla5[[#This Row],[INVERSIONES FCI]],+Tabla5[[#This Row],[INVERSIONES FCI]]-AH276,Tabla5[[#This Row],[INVERSIONES FCI]])</f>
        <v>50186711279.612007</v>
      </c>
      <c r="AI277" s="5">
        <f>IF($B276&lt;=Tabla5[[#This Row],[INVERSIONES FCI]],+Tabla5[[#This Row],[INVERSIONES FCI]]-AI276,Tabla5[[#This Row],[INVERSIONES FCI]])</f>
        <v>50186711279.612007</v>
      </c>
      <c r="AJ277" s="5">
        <f>IF($B276&lt;=Tabla5[[#This Row],[INVERSIONES FCI]],+Tabla5[[#This Row],[INVERSIONES FCI]]-AJ276,Tabla5[[#This Row],[INVERSIONES FCI]])</f>
        <v>50186711279.612007</v>
      </c>
      <c r="AK277" s="5">
        <f>IF($B276&lt;=Tabla5[[#This Row],[INVERSIONES FCI]],+Tabla5[[#This Row],[INVERSIONES FCI]]-AK276,Tabla5[[#This Row],[INVERSIONES FCI]])</f>
        <v>50186711279.612007</v>
      </c>
      <c r="AL277" s="5">
        <f>IF($B276&lt;=Tabla5[[#This Row],[INVERSIONES FCI]],+Tabla5[[#This Row],[INVERSIONES FCI]]-AL276,Tabla5[[#This Row],[INVERSIONES FCI]])</f>
        <v>50186711279.612007</v>
      </c>
      <c r="AM277" s="5">
        <f>IF($B276&lt;=Tabla5[[#This Row],[INVERSIONES FCI]],+Tabla5[[#This Row],[INVERSIONES FCI]]-AM276,Tabla5[[#This Row],[INVERSIONES FCI]])</f>
        <v>50186711279.612007</v>
      </c>
      <c r="AN277" s="5">
        <f>IF($B276&lt;=Tabla5[[#This Row],[INVERSIONES FCI]],+Tabla5[[#This Row],[INVERSIONES FCI]]-AN276,Tabla5[[#This Row],[INVERSIONES FCI]])</f>
        <v>50186711279.612007</v>
      </c>
      <c r="AO277" s="5">
        <f>IF($B276&lt;=Tabla5[[#This Row],[INVERSIONES FCI]],+Tabla5[[#This Row],[INVERSIONES FCI]]-AO276,Tabla5[[#This Row],[INVERSIONES FCI]])</f>
        <v>50186711279.612007</v>
      </c>
      <c r="AP277" s="5">
        <f>IF($B276&lt;=Tabla5[[#This Row],[INVERSIONES FCI]],+Tabla5[[#This Row],[INVERSIONES FCI]]-AP276,Tabla5[[#This Row],[INVERSIONES FCI]])</f>
        <v>50186711279.612007</v>
      </c>
      <c r="AQ277" s="5">
        <f>IF($B276&lt;=Tabla5[[#This Row],[INVERSIONES FCI]],+Tabla5[[#This Row],[INVERSIONES FCI]]-AQ276,Tabla5[[#This Row],[INVERSIONES FCI]])</f>
        <v>50186711279.612007</v>
      </c>
      <c r="AR277" s="5">
        <f>IF($B276&lt;=Tabla5[[#This Row],[INVERSIONES FCI]],+Tabla5[[#This Row],[INVERSIONES FCI]]-AR276,Tabla5[[#This Row],[INVERSIONES FCI]])</f>
        <v>50186711279.612007</v>
      </c>
      <c r="AS277" s="5">
        <f>IF($B276&lt;=Tabla5[[#This Row],[INVERSIONES FCI]],+Tabla5[[#This Row],[INVERSIONES FCI]]-AS276,Tabla5[[#This Row],[INVERSIONES FCI]])</f>
        <v>50186711279.612007</v>
      </c>
      <c r="AT277" s="5">
        <f>IF($B276&lt;=Tabla5[[#This Row],[INVERSIONES FCI]],+Tabla5[[#This Row],[INVERSIONES FCI]]-AT276,Tabla5[[#This Row],[INVERSIONES FCI]])</f>
        <v>50186711279.612007</v>
      </c>
      <c r="AU277" s="5">
        <f>IF($B276&lt;=Tabla5[[#This Row],[INVERSIONES FCI]],+Tabla5[[#This Row],[INVERSIONES FCI]]-AU276,Tabla5[[#This Row],[INVERSIONES FCI]])</f>
        <v>50186711279.612007</v>
      </c>
      <c r="AV277" s="5">
        <f>IF($B276&lt;=Tabla5[[#This Row],[INVERSIONES FCI]],+Tabla5[[#This Row],[INVERSIONES FCI]]-AV276,Tabla5[[#This Row],[INVERSIONES FCI]])</f>
        <v>50186711279.612007</v>
      </c>
      <c r="AW277" s="5">
        <f>IF($B276&lt;=Tabla5[[#This Row],[INVERSIONES FCI]],+Tabla5[[#This Row],[INVERSIONES FCI]]-AW276,Tabla5[[#This Row],[INVERSIONES FCI]])</f>
        <v>50186711279.612007</v>
      </c>
      <c r="AX277" s="5">
        <f>IF($B276&lt;=Tabla5[[#This Row],[INVERSIONES FCI]],+Tabla5[[#This Row],[INVERSIONES FCI]]-AX276,Tabla5[[#This Row],[INVERSIONES FCI]])</f>
        <v>50186711279.612007</v>
      </c>
      <c r="AY277" s="5">
        <f>IF($B276&lt;=Tabla5[[#This Row],[INVERSIONES FCI]],+Tabla5[[#This Row],[INVERSIONES FCI]]-AY276,Tabla5[[#This Row],[INVERSIONES FCI]])</f>
        <v>50186711279.612007</v>
      </c>
      <c r="AZ277" s="5">
        <f>IF($B276&lt;=Tabla5[[#This Row],[INVERSIONES FCI]],+Tabla5[[#This Row],[INVERSIONES FCI]]-AZ276,Tabla5[[#This Row],[INVERSIONES FCI]])</f>
        <v>50186711279.612007</v>
      </c>
      <c r="BA277" s="5">
        <f>IF($B276&lt;=Tabla5[[#This Row],[INVERSIONES FCI]],+Tabla5[[#This Row],[INVERSIONES FCI]]-BA276,Tabla5[[#This Row],[INVERSIONES FCI]])</f>
        <v>50186711279.612007</v>
      </c>
      <c r="BB277" s="5">
        <f>IF($B276&lt;=Tabla5[[#This Row],[INVERSIONES FCI]],+Tabla5[[#This Row],[INVERSIONES FCI]]-BB276,Tabla5[[#This Row],[INVERSIONES FCI]])</f>
        <v>50186711279.612007</v>
      </c>
      <c r="BC277" s="5">
        <f>IF($B276&lt;=Tabla5[[#This Row],[INVERSIONES FCI]],+Tabla5[[#This Row],[INVERSIONES FCI]]-BC276,Tabla5[[#This Row],[INVERSIONES FCI]])</f>
        <v>50186711279.612007</v>
      </c>
      <c r="BD277" s="5">
        <f>IF($B276&lt;=Tabla5[[#This Row],[INVERSIONES FCI]],+Tabla5[[#This Row],[INVERSIONES FCI]]-BD276,Tabla5[[#This Row],[INVERSIONES FCI]])</f>
        <v>50186711279.612007</v>
      </c>
      <c r="BE277" s="5">
        <f>IF($B276&lt;=Tabla5[[#This Row],[INVERSIONES FCI]],+Tabla5[[#This Row],[INVERSIONES FCI]]-BE276,Tabla5[[#This Row],[INVERSIONES FCI]])</f>
        <v>50186711279.612007</v>
      </c>
      <c r="BF277" s="5">
        <f>IF($B276&lt;=Tabla5[[#This Row],[INVERSIONES FCI]],+Tabla5[[#This Row],[INVERSIONES FCI]]-BF276,Tabla5[[#This Row],[INVERSIONES FCI]])</f>
        <v>50186711279.612007</v>
      </c>
      <c r="BG277" s="5">
        <f>IF($B276&lt;=Tabla5[[#This Row],[INVERSIONES FCI]],+Tabla5[[#This Row],[INVERSIONES FCI]]-BG276,Tabla5[[#This Row],[INVERSIONES FCI]])</f>
        <v>50186711279.612007</v>
      </c>
      <c r="BH277" s="5">
        <f>IF($B276&lt;=Tabla5[[#This Row],[INVERSIONES FCI]],+Tabla5[[#This Row],[INVERSIONES FCI]]-BH276,Tabla5[[#This Row],[INVERSIONES FCI]])</f>
        <v>50186711279.612007</v>
      </c>
      <c r="BI277" s="5">
        <f>IF($B276&lt;=Tabla5[[#This Row],[INVERSIONES FCI]],+Tabla5[[#This Row],[INVERSIONES FCI]]-BI276,Tabla5[[#This Row],[INVERSIONES FCI]])</f>
        <v>50186711279.612007</v>
      </c>
      <c r="BJ277" s="5">
        <f>IF($B276&lt;=Tabla5[[#This Row],[INVERSIONES FCI]],+Tabla5[[#This Row],[INVERSIONES FCI]]-BJ276,Tabla5[[#This Row],[INVERSIONES FCI]])</f>
        <v>50186711279.612007</v>
      </c>
      <c r="BK277" s="5">
        <f>IF($B276&lt;=Tabla5[[#This Row],[INVERSIONES FCI]],+Tabla5[[#This Row],[INVERSIONES FCI]]-BK276,Tabla5[[#This Row],[INVERSIONES FCI]])</f>
        <v>50186711279.612007</v>
      </c>
      <c r="BL277" s="5">
        <f>IF($B276&lt;=Tabla5[[#This Row],[INVERSIONES FCI]],+Tabla5[[#This Row],[INVERSIONES FCI]]-BL276,Tabla5[[#This Row],[INVERSIONES FCI]])</f>
        <v>50186711279.612007</v>
      </c>
      <c r="BM277" s="5">
        <f>IF($B276&lt;=Tabla5[[#This Row],[INVERSIONES FCI]],+Tabla5[[#This Row],[INVERSIONES FCI]]-BM276,Tabla5[[#This Row],[INVERSIONES FCI]])</f>
        <v>50186711279.612007</v>
      </c>
      <c r="BN277" s="5">
        <f>IF($B276&lt;=Tabla5[[#This Row],[INVERSIONES FCI]],+Tabla5[[#This Row],[INVERSIONES FCI]]-BN276,Tabla5[[#This Row],[INVERSIONES FCI]])</f>
        <v>50186711279.612007</v>
      </c>
      <c r="BO277" s="5">
        <f>IF($B276&lt;=Tabla5[[#This Row],[INVERSIONES FCI]],+Tabla5[[#This Row],[INVERSIONES FCI]]-BO276,Tabla5[[#This Row],[INVERSIONES FCI]])</f>
        <v>50186711279.612007</v>
      </c>
      <c r="BP277" s="5">
        <f>IF($B276&lt;=Tabla5[[#This Row],[INVERSIONES FCI]],+Tabla5[[#This Row],[INVERSIONES FCI]]-BP276,Tabla5[[#This Row],[INVERSIONES FCI]])</f>
        <v>50186711279.612007</v>
      </c>
      <c r="BQ277" s="5">
        <f>IF($B276&lt;=Tabla5[[#This Row],[INVERSIONES FCI]],+Tabla5[[#This Row],[INVERSIONES FCI]]-BQ276,Tabla5[[#This Row],[INVERSIONES FCI]])</f>
        <v>50186711279.612007</v>
      </c>
      <c r="BR277" s="5">
        <f>IF($B276&lt;=Tabla5[[#This Row],[INVERSIONES FCI]],+Tabla5[[#This Row],[INVERSIONES FCI]]-BR276,Tabla5[[#This Row],[INVERSIONES FCI]])</f>
        <v>50186711279.612007</v>
      </c>
      <c r="BS277" s="5">
        <f>IF($B276&lt;=Tabla5[[#This Row],[INVERSIONES FCI]],+Tabla5[[#This Row],[INVERSIONES FCI]]-BS276,Tabla5[[#This Row],[INVERSIONES FCI]])</f>
        <v>50186711279.612007</v>
      </c>
      <c r="BT277" s="5">
        <f>IF($B276&lt;=Tabla5[[#This Row],[INVERSIONES FCI]],+Tabla5[[#This Row],[INVERSIONES FCI]]-BT276,Tabla5[[#This Row],[INVERSIONES FCI]])</f>
        <v>50186711279.612007</v>
      </c>
      <c r="BU277" s="5">
        <f>IF($B276&lt;=Tabla5[[#This Row],[INVERSIONES FCI]],+Tabla5[[#This Row],[INVERSIONES FCI]]-BU276,Tabla5[[#This Row],[INVERSIONES FCI]])</f>
        <v>50186711279.612007</v>
      </c>
      <c r="BV277" s="5">
        <f>IF($B276&lt;=Tabla5[[#This Row],[INVERSIONES FCI]],+Tabla5[[#This Row],[INVERSIONES FCI]]-BV276,Tabla5[[#This Row],[INVERSIONES FCI]])</f>
        <v>50186711279.612007</v>
      </c>
      <c r="BW277" s="5">
        <f>IF($B276&lt;=Tabla5[[#This Row],[INVERSIONES FCI]],+Tabla5[[#This Row],[INVERSIONES FCI]]-BW276,Tabla5[[#This Row],[INVERSIONES FCI]])</f>
        <v>50186711279.612007</v>
      </c>
      <c r="BX277" s="5">
        <f>IF($B276&lt;=Tabla5[[#This Row],[INVERSIONES FCI]],+Tabla5[[#This Row],[INVERSIONES FCI]]-BX276,Tabla5[[#This Row],[INVERSIONES FCI]])</f>
        <v>50186711279.612007</v>
      </c>
      <c r="BY277" s="5">
        <f>IF($B276&lt;=Tabla5[[#This Row],[INVERSIONES FCI]],+Tabla5[[#This Row],[INVERSIONES FCI]]-BY276,Tabla5[[#This Row],[INVERSIONES FCI]])</f>
        <v>50186711279.612007</v>
      </c>
      <c r="BZ277" s="5">
        <f>IF($B276&lt;=Tabla5[[#This Row],[INVERSIONES FCI]],+Tabla5[[#This Row],[INVERSIONES FCI]]-BZ276,Tabla5[[#This Row],[INVERSIONES FCI]])</f>
        <v>50186711279.612007</v>
      </c>
      <c r="CA277" s="5">
        <f>IF($B276&lt;=Tabla5[[#This Row],[INVERSIONES FCI]],+Tabla5[[#This Row],[INVERSIONES FCI]]-CA276,Tabla5[[#This Row],[INVERSIONES FCI]])</f>
        <v>50186711279.612007</v>
      </c>
      <c r="CB277" s="5">
        <f>IF($B276&lt;=Tabla5[[#This Row],[INVERSIONES FCI]],+Tabla5[[#This Row],[INVERSIONES FCI]]-CB276,Tabla5[[#This Row],[INVERSIONES FCI]])</f>
        <v>50186711279.612007</v>
      </c>
      <c r="CC277" s="5">
        <f>IF($B276&lt;=Tabla5[[#This Row],[INVERSIONES FCI]],+Tabla5[[#This Row],[INVERSIONES FCI]]-CC276,Tabla5[[#This Row],[INVERSIONES FCI]])</f>
        <v>50186711279.612007</v>
      </c>
      <c r="CD277" s="5">
        <f>IF($B276&lt;=Tabla5[[#This Row],[INVERSIONES FCI]],+Tabla5[[#This Row],[INVERSIONES FCI]]-CD276,Tabla5[[#This Row],[INVERSIONES FCI]])</f>
        <v>50186711279.612007</v>
      </c>
      <c r="CE277" s="5">
        <f>IF($B276&lt;=Tabla5[[#This Row],[INVERSIONES FCI]],+Tabla5[[#This Row],[INVERSIONES FCI]]-CE276,Tabla5[[#This Row],[INVERSIONES FCI]])</f>
        <v>50186711279.612007</v>
      </c>
      <c r="CF277" s="5">
        <f>IF($B276&lt;=Tabla5[[#This Row],[INVERSIONES FCI]],+Tabla5[[#This Row],[INVERSIONES FCI]]-CF276,Tabla5[[#This Row],[INVERSIONES FCI]])</f>
        <v>50186711279.612007</v>
      </c>
      <c r="CG277" s="5">
        <f>IF($B276&lt;=Tabla5[[#This Row],[INVERSIONES FCI]],+Tabla5[[#This Row],[INVERSIONES FCI]]-CG276,Tabla5[[#This Row],[INVERSIONES FCI]])</f>
        <v>50186711279.612007</v>
      </c>
      <c r="CH277" s="5">
        <f>IF($B276&lt;=Tabla5[[#This Row],[INVERSIONES FCI]],+Tabla5[[#This Row],[INVERSIONES FCI]]-CH276,Tabla5[[#This Row],[INVERSIONES FCI]])</f>
        <v>50186711279.612007</v>
      </c>
      <c r="CI277" s="5">
        <f>IF($B276&lt;=Tabla5[[#This Row],[INVERSIONES FCI]],+Tabla5[[#This Row],[INVERSIONES FCI]]-CI276,Tabla5[[#This Row],[INVERSIONES FCI]])</f>
        <v>50186711279.612007</v>
      </c>
      <c r="CJ277" s="5">
        <f>IF($B276&lt;=Tabla5[[#This Row],[INVERSIONES FCI]],+Tabla5[[#This Row],[INVERSIONES FCI]]-CJ276,Tabla5[[#This Row],[INVERSIONES FCI]])</f>
        <v>50186711279.612007</v>
      </c>
      <c r="CK277" s="5">
        <f>IF($B276&lt;=Tabla5[[#This Row],[INVERSIONES FCI]],+Tabla5[[#This Row],[INVERSIONES FCI]]-CK276,Tabla5[[#This Row],[INVERSIONES FCI]])</f>
        <v>50186711279.612007</v>
      </c>
      <c r="CL277" s="5">
        <f>IF($B276&lt;=Tabla5[[#This Row],[INVERSIONES FCI]],+Tabla5[[#This Row],[INVERSIONES FCI]]-CL276,Tabla5[[#This Row],[INVERSIONES FCI]])</f>
        <v>50186711279.612007</v>
      </c>
      <c r="CM277" s="5">
        <f>IF($B276&lt;=Tabla5[[#This Row],[INVERSIONES FCI]],+Tabla5[[#This Row],[INVERSIONES FCI]]-CM276,Tabla5[[#This Row],[INVERSIONES FCI]])</f>
        <v>50186711279.612007</v>
      </c>
      <c r="CN277" s="5">
        <f>IF($B276&lt;=Tabla5[[#This Row],[INVERSIONES FCI]],+Tabla5[[#This Row],[INVERSIONES FCI]]-CN276,Tabla5[[#This Row],[INVERSIONES FCI]])</f>
        <v>50186711279.612007</v>
      </c>
      <c r="CO277" s="5">
        <f>IF($B276&lt;=Tabla5[[#This Row],[INVERSIONES FCI]],+Tabla5[[#This Row],[INVERSIONES FCI]]-CO276,Tabla5[[#This Row],[INVERSIONES FCI]])</f>
        <v>50186711279.612007</v>
      </c>
      <c r="CP277" s="5">
        <f>IF($B276&lt;=Tabla5[[#This Row],[INVERSIONES FCI]],+Tabla5[[#This Row],[INVERSIONES FCI]]-CP276,Tabla5[[#This Row],[INVERSIONES FCI]])</f>
        <v>50186711279.612007</v>
      </c>
      <c r="CQ277" s="5">
        <f>IF($B276&lt;=Tabla5[[#This Row],[INVERSIONES FCI]],+Tabla5[[#This Row],[INVERSIONES FCI]]-CQ276,Tabla5[[#This Row],[INVERSIONES FCI]])</f>
        <v>50186711279.612007</v>
      </c>
      <c r="CR277" s="5">
        <f>IF($B276&lt;=Tabla5[[#This Row],[INVERSIONES FCI]],+Tabla5[[#This Row],[INVERSIONES FCI]]-CR276,Tabla5[[#This Row],[INVERSIONES FCI]])</f>
        <v>50186711279.612007</v>
      </c>
      <c r="CS277" s="5">
        <f>IF($B276&lt;=Tabla5[[#This Row],[INVERSIONES FCI]],+Tabla5[[#This Row],[INVERSIONES FCI]]-CS276,Tabla5[[#This Row],[INVERSIONES FCI]])</f>
        <v>50186711279.612007</v>
      </c>
      <c r="CT277" s="5">
        <f>IF($B276&lt;=Tabla5[[#This Row],[INVERSIONES FCI]],+Tabla5[[#This Row],[INVERSIONES FCI]]-CT276,Tabla5[[#This Row],[INVERSIONES FCI]])</f>
        <v>50186711279.612007</v>
      </c>
      <c r="CU277" s="5">
        <f>IF($B276&lt;=Tabla5[[#This Row],[INVERSIONES FCI]],+Tabla5[[#This Row],[INVERSIONES FCI]]-CU276,Tabla5[[#This Row],[INVERSIONES FCI]])</f>
        <v>50186711279.612007</v>
      </c>
      <c r="CV277" s="5">
        <f>IF($B276&lt;=Tabla5[[#This Row],[INVERSIONES FCI]],+Tabla5[[#This Row],[INVERSIONES FCI]]-CV276,Tabla5[[#This Row],[INVERSIONES FCI]])</f>
        <v>50186711279.612007</v>
      </c>
      <c r="CW277" s="5">
        <f>IF($B276&lt;=Tabla5[[#This Row],[INVERSIONES FCI]],+Tabla5[[#This Row],[INVERSIONES FCI]]-CW276,Tabla5[[#This Row],[INVERSIONES FCI]])</f>
        <v>50186711279.612007</v>
      </c>
      <c r="CX277" s="5">
        <f>IF($B276&lt;=Tabla5[[#This Row],[INVERSIONES FCI]],+Tabla5[[#This Row],[INVERSIONES FCI]]-CX276,Tabla5[[#This Row],[INVERSIONES FCI]])</f>
        <v>50186711279.612007</v>
      </c>
      <c r="CY277" s="5">
        <f>IF($B276&lt;=Tabla5[[#This Row],[INVERSIONES FCI]],+Tabla5[[#This Row],[INVERSIONES FCI]]-CY276,Tabla5[[#This Row],[INVERSIONES FCI]])</f>
        <v>50186711279.612007</v>
      </c>
      <c r="CZ277" s="5">
        <f>IF($B276&lt;=Tabla5[[#This Row],[INVERSIONES FCI]],+Tabla5[[#This Row],[INVERSIONES FCI]]-CZ276,Tabla5[[#This Row],[INVERSIONES FCI]])</f>
        <v>50186711279.612007</v>
      </c>
      <c r="DA277" s="5">
        <f>IF($B276&lt;=Tabla5[[#This Row],[INVERSIONES FCI]],+Tabla5[[#This Row],[INVERSIONES FCI]]-DA276,Tabla5[[#This Row],[INVERSIONES FCI]])</f>
        <v>50186711279.612007</v>
      </c>
      <c r="DB277" s="5">
        <f>IF($B276&lt;=Tabla5[[#This Row],[INVERSIONES FCI]],+Tabla5[[#This Row],[INVERSIONES FCI]]-DB276,Tabla5[[#This Row],[INVERSIONES FCI]])</f>
        <v>50186711279.612007</v>
      </c>
      <c r="DC277" s="5">
        <f>IF($B276&lt;=Tabla5[[#This Row],[INVERSIONES FCI]],+Tabla5[[#This Row],[INVERSIONES FCI]]-DC276,Tabla5[[#This Row],[INVERSIONES FCI]])</f>
        <v>50186711279.612007</v>
      </c>
      <c r="DD277" s="5">
        <f>IF($B276&lt;=Tabla5[[#This Row],[INVERSIONES FCI]],+Tabla5[[#This Row],[INVERSIONES FCI]]-DD276,Tabla5[[#This Row],[INVERSIONES FCI]])</f>
        <v>50186711279.612007</v>
      </c>
      <c r="DE277" s="5">
        <f>IF($B276&lt;=Tabla5[[#This Row],[INVERSIONES FCI]],+Tabla5[[#This Row],[INVERSIONES FCI]]-DE276,Tabla5[[#This Row],[INVERSIONES FCI]])</f>
        <v>50186711279.612007</v>
      </c>
      <c r="DF277" s="5">
        <f>IF($B276&lt;=Tabla5[[#This Row],[INVERSIONES FCI]],+Tabla5[[#This Row],[INVERSIONES FCI]]-DF276,Tabla5[[#This Row],[INVERSIONES FCI]])</f>
        <v>50186711279.612007</v>
      </c>
      <c r="DG277" s="5">
        <f>IF($B276&lt;=Tabla5[[#This Row],[INVERSIONES FCI]],+Tabla5[[#This Row],[INVERSIONES FCI]]-DG276,Tabla5[[#This Row],[INVERSIONES FCI]])</f>
        <v>50186711279.612007</v>
      </c>
      <c r="DH277" s="5">
        <f>IF($B276&lt;=Tabla5[[#This Row],[INVERSIONES FCI]],+Tabla5[[#This Row],[INVERSIONES FCI]]-DH276,Tabla5[[#This Row],[INVERSIONES FCI]])</f>
        <v>50186711279.612007</v>
      </c>
      <c r="DI277" s="5">
        <f>IF($B276&lt;=Tabla5[[#This Row],[INVERSIONES FCI]],+Tabla5[[#This Row],[INVERSIONES FCI]]-DI276,Tabla5[[#This Row],[INVERSIONES FCI]])</f>
        <v>50186711279.612007</v>
      </c>
      <c r="DJ277" s="5">
        <f>IF($B276&lt;=Tabla5[[#This Row],[INVERSIONES FCI]],+Tabla5[[#This Row],[INVERSIONES FCI]]-DJ276,Tabla5[[#This Row],[INVERSIONES FCI]])</f>
        <v>50186711279.612007</v>
      </c>
      <c r="DK277" s="5">
        <f>IF($B276&lt;=Tabla5[[#This Row],[INVERSIONES FCI]],+Tabla5[[#This Row],[INVERSIONES FCI]]-DK276,Tabla5[[#This Row],[INVERSIONES FCI]])</f>
        <v>50186711279.612007</v>
      </c>
      <c r="DL277" s="5"/>
      <c r="DM277" s="5"/>
      <c r="DN277" s="5"/>
      <c r="DO277" s="5"/>
      <c r="DP277" s="5"/>
      <c r="DQ277" s="5"/>
    </row>
    <row r="278" spans="1:121" ht="14.4">
      <c r="A278" s="12" t="s">
        <v>277</v>
      </c>
      <c r="B278" s="5">
        <f>HLOOKUP($A278,ESCENARIO[#All],7,FALSE)</f>
        <v>51218751619.466324</v>
      </c>
      <c r="C278" s="5">
        <f>IF($B277&lt;=Tabla5[[#This Row],[INVERSIONES FCI]],+Tabla5[[#This Row],[INVERSIONES FCI]]-C277,Tabla5[[#This Row],[INVERSIONES FCI]])</f>
        <v>1032040339.8543167</v>
      </c>
      <c r="D278" s="5">
        <f>IF($B277&lt;=Tabla5[[#This Row],[INVERSIONES FCI]],+Tabla5[[#This Row],[INVERSIONES FCI]]-D277,Tabla5[[#This Row],[INVERSIONES FCI]])</f>
        <v>1032040339.8543167</v>
      </c>
      <c r="E278" s="5">
        <f>IF($B277&lt;=Tabla5[[#This Row],[INVERSIONES FCI]],+Tabla5[[#This Row],[INVERSIONES FCI]]-E277,Tabla5[[#This Row],[INVERSIONES FCI]])</f>
        <v>1032040339.8543167</v>
      </c>
      <c r="F278" s="5">
        <f>IF($B277&lt;=Tabla5[[#This Row],[INVERSIONES FCI]],+Tabla5[[#This Row],[INVERSIONES FCI]]-F277,Tabla5[[#This Row],[INVERSIONES FCI]])</f>
        <v>1032040339.8543167</v>
      </c>
      <c r="G278" s="5">
        <f>IF($B277&lt;=Tabla5[[#This Row],[INVERSIONES FCI]],+Tabla5[[#This Row],[INVERSIONES FCI]]-G277,Tabla5[[#This Row],[INVERSIONES FCI]])</f>
        <v>1032040339.8543167</v>
      </c>
      <c r="H278" s="5">
        <f>IF($B277&lt;=Tabla5[[#This Row],[INVERSIONES FCI]],+Tabla5[[#This Row],[INVERSIONES FCI]]-H277,Tabla5[[#This Row],[INVERSIONES FCI]])</f>
        <v>1032040339.8543167</v>
      </c>
      <c r="I278" s="5">
        <f>IF($B277&lt;=Tabla5[[#This Row],[INVERSIONES FCI]],+Tabla5[[#This Row],[INVERSIONES FCI]]-I277,Tabla5[[#This Row],[INVERSIONES FCI]])</f>
        <v>1032040339.8543167</v>
      </c>
      <c r="J278" s="5">
        <f>IF($B277&lt;=Tabla5[[#This Row],[INVERSIONES FCI]],+Tabla5[[#This Row],[INVERSIONES FCI]]-J277,Tabla5[[#This Row],[INVERSIONES FCI]])</f>
        <v>1032040339.8543167</v>
      </c>
      <c r="K278" s="5">
        <f>IF($B277&lt;=Tabla5[[#This Row],[INVERSIONES FCI]],+Tabla5[[#This Row],[INVERSIONES FCI]]-K277,Tabla5[[#This Row],[INVERSIONES FCI]])</f>
        <v>1032040339.8543167</v>
      </c>
      <c r="L278" s="5">
        <f>IF($B277&lt;=Tabla5[[#This Row],[INVERSIONES FCI]],+Tabla5[[#This Row],[INVERSIONES FCI]]-L277,Tabla5[[#This Row],[INVERSIONES FCI]])</f>
        <v>1032040339.8543167</v>
      </c>
      <c r="M278" s="5">
        <f>IF($B277&lt;=Tabla5[[#This Row],[INVERSIONES FCI]],+Tabla5[[#This Row],[INVERSIONES FCI]]-M277,Tabla5[[#This Row],[INVERSIONES FCI]])</f>
        <v>1032040339.8543167</v>
      </c>
      <c r="N278" s="5">
        <f>IF($B277&lt;=Tabla5[[#This Row],[INVERSIONES FCI]],+Tabla5[[#This Row],[INVERSIONES FCI]]-N277,Tabla5[[#This Row],[INVERSIONES FCI]])</f>
        <v>1032040339.8543167</v>
      </c>
      <c r="O278" s="5">
        <f>IF($B277&lt;=Tabla5[[#This Row],[INVERSIONES FCI]],+Tabla5[[#This Row],[INVERSIONES FCI]]-O277,Tabla5[[#This Row],[INVERSIONES FCI]])</f>
        <v>1032040339.8543167</v>
      </c>
      <c r="P278" s="5">
        <f>IF($B277&lt;=Tabla5[[#This Row],[INVERSIONES FCI]],+Tabla5[[#This Row],[INVERSIONES FCI]]-P277,Tabla5[[#This Row],[INVERSIONES FCI]])</f>
        <v>1032040339.8543167</v>
      </c>
      <c r="Q278" s="5">
        <f>IF($B277&lt;=Tabla5[[#This Row],[INVERSIONES FCI]],+Tabla5[[#This Row],[INVERSIONES FCI]]-Q277,Tabla5[[#This Row],[INVERSIONES FCI]])</f>
        <v>1032040339.8543167</v>
      </c>
      <c r="R278" s="5">
        <f>IF($B277&lt;=Tabla5[[#This Row],[INVERSIONES FCI]],+Tabla5[[#This Row],[INVERSIONES FCI]]-R277,Tabla5[[#This Row],[INVERSIONES FCI]])</f>
        <v>1032040339.8543167</v>
      </c>
      <c r="S278" s="5">
        <f>IF($B277&lt;=Tabla5[[#This Row],[INVERSIONES FCI]],+Tabla5[[#This Row],[INVERSIONES FCI]]-S277,Tabla5[[#This Row],[INVERSIONES FCI]])</f>
        <v>1032040339.8543167</v>
      </c>
      <c r="T278" s="5">
        <f>IF($B277&lt;=Tabla5[[#This Row],[INVERSIONES FCI]],+Tabla5[[#This Row],[INVERSIONES FCI]]-T277,Tabla5[[#This Row],[INVERSIONES FCI]])</f>
        <v>1032040339.8543167</v>
      </c>
      <c r="U278" s="5">
        <f>IF($B277&lt;=Tabla5[[#This Row],[INVERSIONES FCI]],+Tabla5[[#This Row],[INVERSIONES FCI]]-U277,Tabla5[[#This Row],[INVERSIONES FCI]])</f>
        <v>1032040339.8543167</v>
      </c>
      <c r="V278" s="5">
        <f>IF($B277&lt;=Tabla5[[#This Row],[INVERSIONES FCI]],+Tabla5[[#This Row],[INVERSIONES FCI]]-V277,Tabla5[[#This Row],[INVERSIONES FCI]])</f>
        <v>1032040339.8543167</v>
      </c>
      <c r="W278" s="5">
        <f>IF($B277&lt;=Tabla5[[#This Row],[INVERSIONES FCI]],+Tabla5[[#This Row],[INVERSIONES FCI]]-W277,Tabla5[[#This Row],[INVERSIONES FCI]])</f>
        <v>1032040339.8543167</v>
      </c>
      <c r="X278" s="5">
        <f>IF($B277&lt;=Tabla5[[#This Row],[INVERSIONES FCI]],+Tabla5[[#This Row],[INVERSIONES FCI]]-X277,Tabla5[[#This Row],[INVERSIONES FCI]])</f>
        <v>1032040339.8543167</v>
      </c>
      <c r="Y278" s="5">
        <f>IF($B277&lt;=Tabla5[[#This Row],[INVERSIONES FCI]],+Tabla5[[#This Row],[INVERSIONES FCI]]-Y277,Tabla5[[#This Row],[INVERSIONES FCI]])</f>
        <v>1032040339.8543167</v>
      </c>
      <c r="Z278" s="5">
        <f>IF($B277&lt;=Tabla5[[#This Row],[INVERSIONES FCI]],+Tabla5[[#This Row],[INVERSIONES FCI]]-Z277,Tabla5[[#This Row],[INVERSIONES FCI]])</f>
        <v>1032040339.8543167</v>
      </c>
      <c r="AA278" s="5">
        <f>IF($B277&lt;=Tabla5[[#This Row],[INVERSIONES FCI]],+Tabla5[[#This Row],[INVERSIONES FCI]]-AA277,Tabla5[[#This Row],[INVERSIONES FCI]])</f>
        <v>1032040339.8543167</v>
      </c>
      <c r="AB278" s="5">
        <f>IF($B277&lt;=Tabla5[[#This Row],[INVERSIONES FCI]],+Tabla5[[#This Row],[INVERSIONES FCI]]-AB277,Tabla5[[#This Row],[INVERSIONES FCI]])</f>
        <v>1032040339.8543167</v>
      </c>
      <c r="AC278" s="5">
        <f>IF($B277&lt;=Tabla5[[#This Row],[INVERSIONES FCI]],+Tabla5[[#This Row],[INVERSIONES FCI]]-AC277,Tabla5[[#This Row],[INVERSIONES FCI]])</f>
        <v>1032040339.8543167</v>
      </c>
      <c r="AD278" s="5">
        <f>IF($B277&lt;=Tabla5[[#This Row],[INVERSIONES FCI]],+Tabla5[[#This Row],[INVERSIONES FCI]]-AD277,Tabla5[[#This Row],[INVERSIONES FCI]])</f>
        <v>1032040339.8543167</v>
      </c>
      <c r="AE278" s="5">
        <f>IF($B277&lt;=Tabla5[[#This Row],[INVERSIONES FCI]],+Tabla5[[#This Row],[INVERSIONES FCI]]-AE277,Tabla5[[#This Row],[INVERSIONES FCI]])</f>
        <v>1032040339.8543167</v>
      </c>
      <c r="AF278" s="5">
        <f>IF($B277&lt;=Tabla5[[#This Row],[INVERSIONES FCI]],+Tabla5[[#This Row],[INVERSIONES FCI]]-AF277,Tabla5[[#This Row],[INVERSIONES FCI]])</f>
        <v>1032040339.8543167</v>
      </c>
      <c r="AG278" s="5">
        <f>IF($B277&lt;=Tabla5[[#This Row],[INVERSIONES FCI]],+Tabla5[[#This Row],[INVERSIONES FCI]]-AG277,Tabla5[[#This Row],[INVERSIONES FCI]])</f>
        <v>1032040339.8543167</v>
      </c>
      <c r="AH278" s="5">
        <f>IF($B277&lt;=Tabla5[[#This Row],[INVERSIONES FCI]],+Tabla5[[#This Row],[INVERSIONES FCI]]-AH277,Tabla5[[#This Row],[INVERSIONES FCI]])</f>
        <v>1032040339.8543167</v>
      </c>
      <c r="AI278" s="5">
        <f>IF($B277&lt;=Tabla5[[#This Row],[INVERSIONES FCI]],+Tabla5[[#This Row],[INVERSIONES FCI]]-AI277,Tabla5[[#This Row],[INVERSIONES FCI]])</f>
        <v>1032040339.8543167</v>
      </c>
      <c r="AJ278" s="5">
        <f>IF($B277&lt;=Tabla5[[#This Row],[INVERSIONES FCI]],+Tabla5[[#This Row],[INVERSIONES FCI]]-AJ277,Tabla5[[#This Row],[INVERSIONES FCI]])</f>
        <v>1032040339.8543167</v>
      </c>
      <c r="AK278" s="5">
        <f>IF($B277&lt;=Tabla5[[#This Row],[INVERSIONES FCI]],+Tabla5[[#This Row],[INVERSIONES FCI]]-AK277,Tabla5[[#This Row],[INVERSIONES FCI]])</f>
        <v>1032040339.8543167</v>
      </c>
      <c r="AL278" s="5">
        <f>IF($B277&lt;=Tabla5[[#This Row],[INVERSIONES FCI]],+Tabla5[[#This Row],[INVERSIONES FCI]]-AL277,Tabla5[[#This Row],[INVERSIONES FCI]])</f>
        <v>1032040339.8543167</v>
      </c>
      <c r="AM278" s="5">
        <f>IF($B277&lt;=Tabla5[[#This Row],[INVERSIONES FCI]],+Tabla5[[#This Row],[INVERSIONES FCI]]-AM277,Tabla5[[#This Row],[INVERSIONES FCI]])</f>
        <v>1032040339.8543167</v>
      </c>
      <c r="AN278" s="5">
        <f>IF($B277&lt;=Tabla5[[#This Row],[INVERSIONES FCI]],+Tabla5[[#This Row],[INVERSIONES FCI]]-AN277,Tabla5[[#This Row],[INVERSIONES FCI]])</f>
        <v>1032040339.8543167</v>
      </c>
      <c r="AO278" s="5">
        <f>IF($B277&lt;=Tabla5[[#This Row],[INVERSIONES FCI]],+Tabla5[[#This Row],[INVERSIONES FCI]]-AO277,Tabla5[[#This Row],[INVERSIONES FCI]])</f>
        <v>1032040339.8543167</v>
      </c>
      <c r="AP278" s="5">
        <f>IF($B277&lt;=Tabla5[[#This Row],[INVERSIONES FCI]],+Tabla5[[#This Row],[INVERSIONES FCI]]-AP277,Tabla5[[#This Row],[INVERSIONES FCI]])</f>
        <v>1032040339.8543167</v>
      </c>
      <c r="AQ278" s="5">
        <f>IF($B277&lt;=Tabla5[[#This Row],[INVERSIONES FCI]],+Tabla5[[#This Row],[INVERSIONES FCI]]-AQ277,Tabla5[[#This Row],[INVERSIONES FCI]])</f>
        <v>1032040339.8543167</v>
      </c>
      <c r="AR278" s="5">
        <f>IF($B277&lt;=Tabla5[[#This Row],[INVERSIONES FCI]],+Tabla5[[#This Row],[INVERSIONES FCI]]-AR277,Tabla5[[#This Row],[INVERSIONES FCI]])</f>
        <v>1032040339.8543167</v>
      </c>
      <c r="AS278" s="5">
        <f>IF($B277&lt;=Tabla5[[#This Row],[INVERSIONES FCI]],+Tabla5[[#This Row],[INVERSIONES FCI]]-AS277,Tabla5[[#This Row],[INVERSIONES FCI]])</f>
        <v>1032040339.8543167</v>
      </c>
      <c r="AT278" s="5">
        <f>IF($B277&lt;=Tabla5[[#This Row],[INVERSIONES FCI]],+Tabla5[[#This Row],[INVERSIONES FCI]]-AT277,Tabla5[[#This Row],[INVERSIONES FCI]])</f>
        <v>1032040339.8543167</v>
      </c>
      <c r="AU278" s="5">
        <f>IF($B277&lt;=Tabla5[[#This Row],[INVERSIONES FCI]],+Tabla5[[#This Row],[INVERSIONES FCI]]-AU277,Tabla5[[#This Row],[INVERSIONES FCI]])</f>
        <v>1032040339.8543167</v>
      </c>
      <c r="AV278" s="5">
        <f>IF($B277&lt;=Tabla5[[#This Row],[INVERSIONES FCI]],+Tabla5[[#This Row],[INVERSIONES FCI]]-AV277,Tabla5[[#This Row],[INVERSIONES FCI]])</f>
        <v>1032040339.8543167</v>
      </c>
      <c r="AW278" s="5">
        <f>IF($B277&lt;=Tabla5[[#This Row],[INVERSIONES FCI]],+Tabla5[[#This Row],[INVERSIONES FCI]]-AW277,Tabla5[[#This Row],[INVERSIONES FCI]])</f>
        <v>1032040339.8543167</v>
      </c>
      <c r="AX278" s="5">
        <f>IF($B277&lt;=Tabla5[[#This Row],[INVERSIONES FCI]],+Tabla5[[#This Row],[INVERSIONES FCI]]-AX277,Tabla5[[#This Row],[INVERSIONES FCI]])</f>
        <v>1032040339.8543167</v>
      </c>
      <c r="AY278" s="5">
        <f>IF($B277&lt;=Tabla5[[#This Row],[INVERSIONES FCI]],+Tabla5[[#This Row],[INVERSIONES FCI]]-AY277,Tabla5[[#This Row],[INVERSIONES FCI]])</f>
        <v>1032040339.8543167</v>
      </c>
      <c r="AZ278" s="5">
        <f>IF($B277&lt;=Tabla5[[#This Row],[INVERSIONES FCI]],+Tabla5[[#This Row],[INVERSIONES FCI]]-AZ277,Tabla5[[#This Row],[INVERSIONES FCI]])</f>
        <v>1032040339.8543167</v>
      </c>
      <c r="BA278" s="5">
        <f>IF($B277&lt;=Tabla5[[#This Row],[INVERSIONES FCI]],+Tabla5[[#This Row],[INVERSIONES FCI]]-BA277,Tabla5[[#This Row],[INVERSIONES FCI]])</f>
        <v>1032040339.8543167</v>
      </c>
      <c r="BB278" s="5">
        <f>IF($B277&lt;=Tabla5[[#This Row],[INVERSIONES FCI]],+Tabla5[[#This Row],[INVERSIONES FCI]]-BB277,Tabla5[[#This Row],[INVERSIONES FCI]])</f>
        <v>1032040339.8543167</v>
      </c>
      <c r="BC278" s="5">
        <f>IF($B277&lt;=Tabla5[[#This Row],[INVERSIONES FCI]],+Tabla5[[#This Row],[INVERSIONES FCI]]-BC277,Tabla5[[#This Row],[INVERSIONES FCI]])</f>
        <v>1032040339.8543167</v>
      </c>
      <c r="BD278" s="5">
        <f>IF($B277&lt;=Tabla5[[#This Row],[INVERSIONES FCI]],+Tabla5[[#This Row],[INVERSIONES FCI]]-BD277,Tabla5[[#This Row],[INVERSIONES FCI]])</f>
        <v>1032040339.8543167</v>
      </c>
      <c r="BE278" s="5">
        <f>IF($B277&lt;=Tabla5[[#This Row],[INVERSIONES FCI]],+Tabla5[[#This Row],[INVERSIONES FCI]]-BE277,Tabla5[[#This Row],[INVERSIONES FCI]])</f>
        <v>1032040339.8543167</v>
      </c>
      <c r="BF278" s="5">
        <f>IF($B277&lt;=Tabla5[[#This Row],[INVERSIONES FCI]],+Tabla5[[#This Row],[INVERSIONES FCI]]-BF277,Tabla5[[#This Row],[INVERSIONES FCI]])</f>
        <v>1032040339.8543167</v>
      </c>
      <c r="BG278" s="5">
        <f>IF($B277&lt;=Tabla5[[#This Row],[INVERSIONES FCI]],+Tabla5[[#This Row],[INVERSIONES FCI]]-BG277,Tabla5[[#This Row],[INVERSIONES FCI]])</f>
        <v>1032040339.8543167</v>
      </c>
      <c r="BH278" s="5">
        <f>IF($B277&lt;=Tabla5[[#This Row],[INVERSIONES FCI]],+Tabla5[[#This Row],[INVERSIONES FCI]]-BH277,Tabla5[[#This Row],[INVERSIONES FCI]])</f>
        <v>1032040339.8543167</v>
      </c>
      <c r="BI278" s="5">
        <f>IF($B277&lt;=Tabla5[[#This Row],[INVERSIONES FCI]],+Tabla5[[#This Row],[INVERSIONES FCI]]-BI277,Tabla5[[#This Row],[INVERSIONES FCI]])</f>
        <v>1032040339.8543167</v>
      </c>
      <c r="BJ278" s="5">
        <f>IF($B277&lt;=Tabla5[[#This Row],[INVERSIONES FCI]],+Tabla5[[#This Row],[INVERSIONES FCI]]-BJ277,Tabla5[[#This Row],[INVERSIONES FCI]])</f>
        <v>1032040339.8543167</v>
      </c>
      <c r="BK278" s="5">
        <f>IF($B277&lt;=Tabla5[[#This Row],[INVERSIONES FCI]],+Tabla5[[#This Row],[INVERSIONES FCI]]-BK277,Tabla5[[#This Row],[INVERSIONES FCI]])</f>
        <v>1032040339.8543167</v>
      </c>
      <c r="BL278" s="5">
        <f>IF($B277&lt;=Tabla5[[#This Row],[INVERSIONES FCI]],+Tabla5[[#This Row],[INVERSIONES FCI]]-BL277,Tabla5[[#This Row],[INVERSIONES FCI]])</f>
        <v>1032040339.8543167</v>
      </c>
      <c r="BM278" s="5">
        <f>IF($B277&lt;=Tabla5[[#This Row],[INVERSIONES FCI]],+Tabla5[[#This Row],[INVERSIONES FCI]]-BM277,Tabla5[[#This Row],[INVERSIONES FCI]])</f>
        <v>1032040339.8543167</v>
      </c>
      <c r="BN278" s="5">
        <f>IF($B277&lt;=Tabla5[[#This Row],[INVERSIONES FCI]],+Tabla5[[#This Row],[INVERSIONES FCI]]-BN277,Tabla5[[#This Row],[INVERSIONES FCI]])</f>
        <v>1032040339.8543167</v>
      </c>
      <c r="BO278" s="5">
        <f>IF($B277&lt;=Tabla5[[#This Row],[INVERSIONES FCI]],+Tabla5[[#This Row],[INVERSIONES FCI]]-BO277,Tabla5[[#This Row],[INVERSIONES FCI]])</f>
        <v>1032040339.8543167</v>
      </c>
      <c r="BP278" s="5">
        <f>IF($B277&lt;=Tabla5[[#This Row],[INVERSIONES FCI]],+Tabla5[[#This Row],[INVERSIONES FCI]]-BP277,Tabla5[[#This Row],[INVERSIONES FCI]])</f>
        <v>1032040339.8543167</v>
      </c>
      <c r="BQ278" s="5">
        <f>IF($B277&lt;=Tabla5[[#This Row],[INVERSIONES FCI]],+Tabla5[[#This Row],[INVERSIONES FCI]]-BQ277,Tabla5[[#This Row],[INVERSIONES FCI]])</f>
        <v>1032040339.8543167</v>
      </c>
      <c r="BR278" s="5">
        <f>IF($B277&lt;=Tabla5[[#This Row],[INVERSIONES FCI]],+Tabla5[[#This Row],[INVERSIONES FCI]]-BR277,Tabla5[[#This Row],[INVERSIONES FCI]])</f>
        <v>1032040339.8543167</v>
      </c>
      <c r="BS278" s="5">
        <f>IF($B277&lt;=Tabla5[[#This Row],[INVERSIONES FCI]],+Tabla5[[#This Row],[INVERSIONES FCI]]-BS277,Tabla5[[#This Row],[INVERSIONES FCI]])</f>
        <v>1032040339.8543167</v>
      </c>
      <c r="BT278" s="5">
        <f>IF($B277&lt;=Tabla5[[#This Row],[INVERSIONES FCI]],+Tabla5[[#This Row],[INVERSIONES FCI]]-BT277,Tabla5[[#This Row],[INVERSIONES FCI]])</f>
        <v>1032040339.8543167</v>
      </c>
      <c r="BU278" s="5">
        <f>IF($B277&lt;=Tabla5[[#This Row],[INVERSIONES FCI]],+Tabla5[[#This Row],[INVERSIONES FCI]]-BU277,Tabla5[[#This Row],[INVERSIONES FCI]])</f>
        <v>1032040339.8543167</v>
      </c>
      <c r="BV278" s="5">
        <f>IF($B277&lt;=Tabla5[[#This Row],[INVERSIONES FCI]],+Tabla5[[#This Row],[INVERSIONES FCI]]-BV277,Tabla5[[#This Row],[INVERSIONES FCI]])</f>
        <v>1032040339.8543167</v>
      </c>
      <c r="BW278" s="5">
        <f>IF($B277&lt;=Tabla5[[#This Row],[INVERSIONES FCI]],+Tabla5[[#This Row],[INVERSIONES FCI]]-BW277,Tabla5[[#This Row],[INVERSIONES FCI]])</f>
        <v>1032040339.8543167</v>
      </c>
      <c r="BX278" s="5">
        <f>IF($B277&lt;=Tabla5[[#This Row],[INVERSIONES FCI]],+Tabla5[[#This Row],[INVERSIONES FCI]]-BX277,Tabla5[[#This Row],[INVERSIONES FCI]])</f>
        <v>1032040339.8543167</v>
      </c>
      <c r="BY278" s="5">
        <f>IF($B277&lt;=Tabla5[[#This Row],[INVERSIONES FCI]],+Tabla5[[#This Row],[INVERSIONES FCI]]-BY277,Tabla5[[#This Row],[INVERSIONES FCI]])</f>
        <v>1032040339.8543167</v>
      </c>
      <c r="BZ278" s="5">
        <f>IF($B277&lt;=Tabla5[[#This Row],[INVERSIONES FCI]],+Tabla5[[#This Row],[INVERSIONES FCI]]-BZ277,Tabla5[[#This Row],[INVERSIONES FCI]])</f>
        <v>1032040339.8543167</v>
      </c>
      <c r="CA278" s="5">
        <f>IF($B277&lt;=Tabla5[[#This Row],[INVERSIONES FCI]],+Tabla5[[#This Row],[INVERSIONES FCI]]-CA277,Tabla5[[#This Row],[INVERSIONES FCI]])</f>
        <v>1032040339.8543167</v>
      </c>
      <c r="CB278" s="5">
        <f>IF($B277&lt;=Tabla5[[#This Row],[INVERSIONES FCI]],+Tabla5[[#This Row],[INVERSIONES FCI]]-CB277,Tabla5[[#This Row],[INVERSIONES FCI]])</f>
        <v>1032040339.8543167</v>
      </c>
      <c r="CC278" s="5">
        <f>IF($B277&lt;=Tabla5[[#This Row],[INVERSIONES FCI]],+Tabla5[[#This Row],[INVERSIONES FCI]]-CC277,Tabla5[[#This Row],[INVERSIONES FCI]])</f>
        <v>1032040339.8543167</v>
      </c>
      <c r="CD278" s="5">
        <f>IF($B277&lt;=Tabla5[[#This Row],[INVERSIONES FCI]],+Tabla5[[#This Row],[INVERSIONES FCI]]-CD277,Tabla5[[#This Row],[INVERSIONES FCI]])</f>
        <v>1032040339.8543167</v>
      </c>
      <c r="CE278" s="5">
        <f>IF($B277&lt;=Tabla5[[#This Row],[INVERSIONES FCI]],+Tabla5[[#This Row],[INVERSIONES FCI]]-CE277,Tabla5[[#This Row],[INVERSIONES FCI]])</f>
        <v>1032040339.8543167</v>
      </c>
      <c r="CF278" s="5">
        <f>IF($B277&lt;=Tabla5[[#This Row],[INVERSIONES FCI]],+Tabla5[[#This Row],[INVERSIONES FCI]]-CF277,Tabla5[[#This Row],[INVERSIONES FCI]])</f>
        <v>1032040339.8543167</v>
      </c>
      <c r="CG278" s="5">
        <f>IF($B277&lt;=Tabla5[[#This Row],[INVERSIONES FCI]],+Tabla5[[#This Row],[INVERSIONES FCI]]-CG277,Tabla5[[#This Row],[INVERSIONES FCI]])</f>
        <v>1032040339.8543167</v>
      </c>
      <c r="CH278" s="5">
        <f>IF($B277&lt;=Tabla5[[#This Row],[INVERSIONES FCI]],+Tabla5[[#This Row],[INVERSIONES FCI]]-CH277,Tabla5[[#This Row],[INVERSIONES FCI]])</f>
        <v>1032040339.8543167</v>
      </c>
      <c r="CI278" s="5">
        <f>IF($B277&lt;=Tabla5[[#This Row],[INVERSIONES FCI]],+Tabla5[[#This Row],[INVERSIONES FCI]]-CI277,Tabla5[[#This Row],[INVERSIONES FCI]])</f>
        <v>1032040339.8543167</v>
      </c>
      <c r="CJ278" s="5">
        <f>IF($B277&lt;=Tabla5[[#This Row],[INVERSIONES FCI]],+Tabla5[[#This Row],[INVERSIONES FCI]]-CJ277,Tabla5[[#This Row],[INVERSIONES FCI]])</f>
        <v>1032040339.8543167</v>
      </c>
      <c r="CK278" s="5">
        <f>IF($B277&lt;=Tabla5[[#This Row],[INVERSIONES FCI]],+Tabla5[[#This Row],[INVERSIONES FCI]]-CK277,Tabla5[[#This Row],[INVERSIONES FCI]])</f>
        <v>1032040339.8543167</v>
      </c>
      <c r="CL278" s="5">
        <f>IF($B277&lt;=Tabla5[[#This Row],[INVERSIONES FCI]],+Tabla5[[#This Row],[INVERSIONES FCI]]-CL277,Tabla5[[#This Row],[INVERSIONES FCI]])</f>
        <v>1032040339.8543167</v>
      </c>
      <c r="CM278" s="5">
        <f>IF($B277&lt;=Tabla5[[#This Row],[INVERSIONES FCI]],+Tabla5[[#This Row],[INVERSIONES FCI]]-CM277,Tabla5[[#This Row],[INVERSIONES FCI]])</f>
        <v>1032040339.8543167</v>
      </c>
      <c r="CN278" s="5">
        <f>IF($B277&lt;=Tabla5[[#This Row],[INVERSIONES FCI]],+Tabla5[[#This Row],[INVERSIONES FCI]]-CN277,Tabla5[[#This Row],[INVERSIONES FCI]])</f>
        <v>1032040339.8543167</v>
      </c>
      <c r="CO278" s="5">
        <f>IF($B277&lt;=Tabla5[[#This Row],[INVERSIONES FCI]],+Tabla5[[#This Row],[INVERSIONES FCI]]-CO277,Tabla5[[#This Row],[INVERSIONES FCI]])</f>
        <v>1032040339.8543167</v>
      </c>
      <c r="CP278" s="5">
        <f>IF($B277&lt;=Tabla5[[#This Row],[INVERSIONES FCI]],+Tabla5[[#This Row],[INVERSIONES FCI]]-CP277,Tabla5[[#This Row],[INVERSIONES FCI]])</f>
        <v>1032040339.8543167</v>
      </c>
      <c r="CQ278" s="5">
        <f>IF($B277&lt;=Tabla5[[#This Row],[INVERSIONES FCI]],+Tabla5[[#This Row],[INVERSIONES FCI]]-CQ277,Tabla5[[#This Row],[INVERSIONES FCI]])</f>
        <v>1032040339.8543167</v>
      </c>
      <c r="CR278" s="5">
        <f>IF($B277&lt;=Tabla5[[#This Row],[INVERSIONES FCI]],+Tabla5[[#This Row],[INVERSIONES FCI]]-CR277,Tabla5[[#This Row],[INVERSIONES FCI]])</f>
        <v>1032040339.8543167</v>
      </c>
      <c r="CS278" s="5">
        <f>IF($B277&lt;=Tabla5[[#This Row],[INVERSIONES FCI]],+Tabla5[[#This Row],[INVERSIONES FCI]]-CS277,Tabla5[[#This Row],[INVERSIONES FCI]])</f>
        <v>1032040339.8543167</v>
      </c>
      <c r="CT278" s="5">
        <f>IF($B277&lt;=Tabla5[[#This Row],[INVERSIONES FCI]],+Tabla5[[#This Row],[INVERSIONES FCI]]-CT277,Tabla5[[#This Row],[INVERSIONES FCI]])</f>
        <v>1032040339.8543167</v>
      </c>
      <c r="CU278" s="5">
        <f>IF($B277&lt;=Tabla5[[#This Row],[INVERSIONES FCI]],+Tabla5[[#This Row],[INVERSIONES FCI]]-CU277,Tabla5[[#This Row],[INVERSIONES FCI]])</f>
        <v>1032040339.8543167</v>
      </c>
      <c r="CV278" s="5">
        <f>IF($B277&lt;=Tabla5[[#This Row],[INVERSIONES FCI]],+Tabla5[[#This Row],[INVERSIONES FCI]]-CV277,Tabla5[[#This Row],[INVERSIONES FCI]])</f>
        <v>1032040339.8543167</v>
      </c>
      <c r="CW278" s="5">
        <f>IF($B277&lt;=Tabla5[[#This Row],[INVERSIONES FCI]],+Tabla5[[#This Row],[INVERSIONES FCI]]-CW277,Tabla5[[#This Row],[INVERSIONES FCI]])</f>
        <v>1032040339.8543167</v>
      </c>
      <c r="CX278" s="5">
        <f>IF($B277&lt;=Tabla5[[#This Row],[INVERSIONES FCI]],+Tabla5[[#This Row],[INVERSIONES FCI]]-CX277,Tabla5[[#This Row],[INVERSIONES FCI]])</f>
        <v>1032040339.8543167</v>
      </c>
      <c r="CY278" s="5">
        <f>IF($B277&lt;=Tabla5[[#This Row],[INVERSIONES FCI]],+Tabla5[[#This Row],[INVERSIONES FCI]]-CY277,Tabla5[[#This Row],[INVERSIONES FCI]])</f>
        <v>1032040339.8543167</v>
      </c>
      <c r="CZ278" s="5">
        <f>IF($B277&lt;=Tabla5[[#This Row],[INVERSIONES FCI]],+Tabla5[[#This Row],[INVERSIONES FCI]]-CZ277,Tabla5[[#This Row],[INVERSIONES FCI]])</f>
        <v>1032040339.8543167</v>
      </c>
      <c r="DA278" s="5">
        <f>IF($B277&lt;=Tabla5[[#This Row],[INVERSIONES FCI]],+Tabla5[[#This Row],[INVERSIONES FCI]]-DA277,Tabla5[[#This Row],[INVERSIONES FCI]])</f>
        <v>1032040339.8543167</v>
      </c>
      <c r="DB278" s="5">
        <f>IF($B277&lt;=Tabla5[[#This Row],[INVERSIONES FCI]],+Tabla5[[#This Row],[INVERSIONES FCI]]-DB277,Tabla5[[#This Row],[INVERSIONES FCI]])</f>
        <v>1032040339.8543167</v>
      </c>
      <c r="DC278" s="5">
        <f>IF($B277&lt;=Tabla5[[#This Row],[INVERSIONES FCI]],+Tabla5[[#This Row],[INVERSIONES FCI]]-DC277,Tabla5[[#This Row],[INVERSIONES FCI]])</f>
        <v>1032040339.8543167</v>
      </c>
      <c r="DD278" s="5">
        <f>IF($B277&lt;=Tabla5[[#This Row],[INVERSIONES FCI]],+Tabla5[[#This Row],[INVERSIONES FCI]]-DD277,Tabla5[[#This Row],[INVERSIONES FCI]])</f>
        <v>1032040339.8543167</v>
      </c>
      <c r="DE278" s="5">
        <f>IF($B277&lt;=Tabla5[[#This Row],[INVERSIONES FCI]],+Tabla5[[#This Row],[INVERSIONES FCI]]-DE277,Tabla5[[#This Row],[INVERSIONES FCI]])</f>
        <v>1032040339.8543167</v>
      </c>
      <c r="DF278" s="5">
        <f>IF($B277&lt;=Tabla5[[#This Row],[INVERSIONES FCI]],+Tabla5[[#This Row],[INVERSIONES FCI]]-DF277,Tabla5[[#This Row],[INVERSIONES FCI]])</f>
        <v>1032040339.8543167</v>
      </c>
      <c r="DG278" s="5">
        <f>IF($B277&lt;=Tabla5[[#This Row],[INVERSIONES FCI]],+Tabla5[[#This Row],[INVERSIONES FCI]]-DG277,Tabla5[[#This Row],[INVERSIONES FCI]])</f>
        <v>1032040339.8543167</v>
      </c>
      <c r="DH278" s="5">
        <f>IF($B277&lt;=Tabla5[[#This Row],[INVERSIONES FCI]],+Tabla5[[#This Row],[INVERSIONES FCI]]-DH277,Tabla5[[#This Row],[INVERSIONES FCI]])</f>
        <v>1032040339.8543167</v>
      </c>
      <c r="DI278" s="5">
        <f>IF($B277&lt;=Tabla5[[#This Row],[INVERSIONES FCI]],+Tabla5[[#This Row],[INVERSIONES FCI]]-DI277,Tabla5[[#This Row],[INVERSIONES FCI]])</f>
        <v>1032040339.8543167</v>
      </c>
      <c r="DJ278" s="5">
        <f>IF($B277&lt;=Tabla5[[#This Row],[INVERSIONES FCI]],+Tabla5[[#This Row],[INVERSIONES FCI]]-DJ277,Tabla5[[#This Row],[INVERSIONES FCI]])</f>
        <v>1032040339.8543167</v>
      </c>
      <c r="DK278" s="5">
        <f>IF($B277&lt;=Tabla5[[#This Row],[INVERSIONES FCI]],+Tabla5[[#This Row],[INVERSIONES FCI]]-DK277,Tabla5[[#This Row],[INVERSIONES FCI]])</f>
        <v>1032040339.8543167</v>
      </c>
      <c r="DL278" s="5"/>
      <c r="DM278" s="5"/>
      <c r="DN278" s="5"/>
      <c r="DO278" s="5"/>
      <c r="DP278" s="5"/>
      <c r="DQ278" s="5"/>
    </row>
    <row r="279" spans="1:121" ht="14.4">
      <c r="A279" s="12" t="s">
        <v>278</v>
      </c>
      <c r="B279" s="5">
        <f>HLOOKUP($A279,ESCENARIO[#All],7,FALSE)</f>
        <v>51806449673.287407</v>
      </c>
      <c r="C279" s="5">
        <f>IF($B278&lt;=Tabla5[[#This Row],[INVERSIONES FCI]],+Tabla5[[#This Row],[INVERSIONES FCI]]-C278,Tabla5[[#This Row],[INVERSIONES FCI]])</f>
        <v>50774409333.43309</v>
      </c>
      <c r="D279" s="5">
        <f>IF($B278&lt;=Tabla5[[#This Row],[INVERSIONES FCI]],+Tabla5[[#This Row],[INVERSIONES FCI]]-D278,Tabla5[[#This Row],[INVERSIONES FCI]])</f>
        <v>50774409333.43309</v>
      </c>
      <c r="E279" s="5">
        <f>IF($B278&lt;=Tabla5[[#This Row],[INVERSIONES FCI]],+Tabla5[[#This Row],[INVERSIONES FCI]]-E278,Tabla5[[#This Row],[INVERSIONES FCI]])</f>
        <v>50774409333.43309</v>
      </c>
      <c r="F279" s="5">
        <f>IF($B278&lt;=Tabla5[[#This Row],[INVERSIONES FCI]],+Tabla5[[#This Row],[INVERSIONES FCI]]-F278,Tabla5[[#This Row],[INVERSIONES FCI]])</f>
        <v>50774409333.43309</v>
      </c>
      <c r="G279" s="5">
        <f>IF($B278&lt;=Tabla5[[#This Row],[INVERSIONES FCI]],+Tabla5[[#This Row],[INVERSIONES FCI]]-G278,Tabla5[[#This Row],[INVERSIONES FCI]])</f>
        <v>50774409333.43309</v>
      </c>
      <c r="H279" s="5">
        <f>IF($B278&lt;=Tabla5[[#This Row],[INVERSIONES FCI]],+Tabla5[[#This Row],[INVERSIONES FCI]]-H278,Tabla5[[#This Row],[INVERSIONES FCI]])</f>
        <v>50774409333.43309</v>
      </c>
      <c r="I279" s="5">
        <f>IF($B278&lt;=Tabla5[[#This Row],[INVERSIONES FCI]],+Tabla5[[#This Row],[INVERSIONES FCI]]-I278,Tabla5[[#This Row],[INVERSIONES FCI]])</f>
        <v>50774409333.43309</v>
      </c>
      <c r="J279" s="5">
        <f>IF($B278&lt;=Tabla5[[#This Row],[INVERSIONES FCI]],+Tabla5[[#This Row],[INVERSIONES FCI]]-J278,Tabla5[[#This Row],[INVERSIONES FCI]])</f>
        <v>50774409333.43309</v>
      </c>
      <c r="K279" s="5">
        <f>IF($B278&lt;=Tabla5[[#This Row],[INVERSIONES FCI]],+Tabla5[[#This Row],[INVERSIONES FCI]]-K278,Tabla5[[#This Row],[INVERSIONES FCI]])</f>
        <v>50774409333.43309</v>
      </c>
      <c r="L279" s="5">
        <f>IF($B278&lt;=Tabla5[[#This Row],[INVERSIONES FCI]],+Tabla5[[#This Row],[INVERSIONES FCI]]-L278,Tabla5[[#This Row],[INVERSIONES FCI]])</f>
        <v>50774409333.43309</v>
      </c>
      <c r="M279" s="5">
        <f>IF($B278&lt;=Tabla5[[#This Row],[INVERSIONES FCI]],+Tabla5[[#This Row],[INVERSIONES FCI]]-M278,Tabla5[[#This Row],[INVERSIONES FCI]])</f>
        <v>50774409333.43309</v>
      </c>
      <c r="N279" s="5">
        <f>IF($B278&lt;=Tabla5[[#This Row],[INVERSIONES FCI]],+Tabla5[[#This Row],[INVERSIONES FCI]]-N278,Tabla5[[#This Row],[INVERSIONES FCI]])</f>
        <v>50774409333.43309</v>
      </c>
      <c r="O279" s="5">
        <f>IF($B278&lt;=Tabla5[[#This Row],[INVERSIONES FCI]],+Tabla5[[#This Row],[INVERSIONES FCI]]-O278,Tabla5[[#This Row],[INVERSIONES FCI]])</f>
        <v>50774409333.43309</v>
      </c>
      <c r="P279" s="5">
        <f>IF($B278&lt;=Tabla5[[#This Row],[INVERSIONES FCI]],+Tabla5[[#This Row],[INVERSIONES FCI]]-P278,Tabla5[[#This Row],[INVERSIONES FCI]])</f>
        <v>50774409333.43309</v>
      </c>
      <c r="Q279" s="5">
        <f>IF($B278&lt;=Tabla5[[#This Row],[INVERSIONES FCI]],+Tabla5[[#This Row],[INVERSIONES FCI]]-Q278,Tabla5[[#This Row],[INVERSIONES FCI]])</f>
        <v>50774409333.43309</v>
      </c>
      <c r="R279" s="5">
        <f>IF($B278&lt;=Tabla5[[#This Row],[INVERSIONES FCI]],+Tabla5[[#This Row],[INVERSIONES FCI]]-R278,Tabla5[[#This Row],[INVERSIONES FCI]])</f>
        <v>50774409333.43309</v>
      </c>
      <c r="S279" s="5">
        <f>IF($B278&lt;=Tabla5[[#This Row],[INVERSIONES FCI]],+Tabla5[[#This Row],[INVERSIONES FCI]]-S278,Tabla5[[#This Row],[INVERSIONES FCI]])</f>
        <v>50774409333.43309</v>
      </c>
      <c r="T279" s="5">
        <f>IF($B278&lt;=Tabla5[[#This Row],[INVERSIONES FCI]],+Tabla5[[#This Row],[INVERSIONES FCI]]-T278,Tabla5[[#This Row],[INVERSIONES FCI]])</f>
        <v>50774409333.43309</v>
      </c>
      <c r="U279" s="5">
        <f>IF($B278&lt;=Tabla5[[#This Row],[INVERSIONES FCI]],+Tabla5[[#This Row],[INVERSIONES FCI]]-U278,Tabla5[[#This Row],[INVERSIONES FCI]])</f>
        <v>50774409333.43309</v>
      </c>
      <c r="V279" s="5">
        <f>IF($B278&lt;=Tabla5[[#This Row],[INVERSIONES FCI]],+Tabla5[[#This Row],[INVERSIONES FCI]]-V278,Tabla5[[#This Row],[INVERSIONES FCI]])</f>
        <v>50774409333.43309</v>
      </c>
      <c r="W279" s="5">
        <f>IF($B278&lt;=Tabla5[[#This Row],[INVERSIONES FCI]],+Tabla5[[#This Row],[INVERSIONES FCI]]-W278,Tabla5[[#This Row],[INVERSIONES FCI]])</f>
        <v>50774409333.43309</v>
      </c>
      <c r="X279" s="5">
        <f>IF($B278&lt;=Tabla5[[#This Row],[INVERSIONES FCI]],+Tabla5[[#This Row],[INVERSIONES FCI]]-X278,Tabla5[[#This Row],[INVERSIONES FCI]])</f>
        <v>50774409333.43309</v>
      </c>
      <c r="Y279" s="5">
        <f>IF($B278&lt;=Tabla5[[#This Row],[INVERSIONES FCI]],+Tabla5[[#This Row],[INVERSIONES FCI]]-Y278,Tabla5[[#This Row],[INVERSIONES FCI]])</f>
        <v>50774409333.43309</v>
      </c>
      <c r="Z279" s="5">
        <f>IF($B278&lt;=Tabla5[[#This Row],[INVERSIONES FCI]],+Tabla5[[#This Row],[INVERSIONES FCI]]-Z278,Tabla5[[#This Row],[INVERSIONES FCI]])</f>
        <v>50774409333.43309</v>
      </c>
      <c r="AA279" s="5">
        <f>IF($B278&lt;=Tabla5[[#This Row],[INVERSIONES FCI]],+Tabla5[[#This Row],[INVERSIONES FCI]]-AA278,Tabla5[[#This Row],[INVERSIONES FCI]])</f>
        <v>50774409333.43309</v>
      </c>
      <c r="AB279" s="5">
        <f>IF($B278&lt;=Tabla5[[#This Row],[INVERSIONES FCI]],+Tabla5[[#This Row],[INVERSIONES FCI]]-AB278,Tabla5[[#This Row],[INVERSIONES FCI]])</f>
        <v>50774409333.43309</v>
      </c>
      <c r="AC279" s="5">
        <f>IF($B278&lt;=Tabla5[[#This Row],[INVERSIONES FCI]],+Tabla5[[#This Row],[INVERSIONES FCI]]-AC278,Tabla5[[#This Row],[INVERSIONES FCI]])</f>
        <v>50774409333.43309</v>
      </c>
      <c r="AD279" s="5">
        <f>IF($B278&lt;=Tabla5[[#This Row],[INVERSIONES FCI]],+Tabla5[[#This Row],[INVERSIONES FCI]]-AD278,Tabla5[[#This Row],[INVERSIONES FCI]])</f>
        <v>50774409333.43309</v>
      </c>
      <c r="AE279" s="5">
        <f>IF($B278&lt;=Tabla5[[#This Row],[INVERSIONES FCI]],+Tabla5[[#This Row],[INVERSIONES FCI]]-AE278,Tabla5[[#This Row],[INVERSIONES FCI]])</f>
        <v>50774409333.43309</v>
      </c>
      <c r="AF279" s="5">
        <f>IF($B278&lt;=Tabla5[[#This Row],[INVERSIONES FCI]],+Tabla5[[#This Row],[INVERSIONES FCI]]-AF278,Tabla5[[#This Row],[INVERSIONES FCI]])</f>
        <v>50774409333.43309</v>
      </c>
      <c r="AG279" s="5">
        <f>IF($B278&lt;=Tabla5[[#This Row],[INVERSIONES FCI]],+Tabla5[[#This Row],[INVERSIONES FCI]]-AG278,Tabla5[[#This Row],[INVERSIONES FCI]])</f>
        <v>50774409333.43309</v>
      </c>
      <c r="AH279" s="5">
        <f>IF($B278&lt;=Tabla5[[#This Row],[INVERSIONES FCI]],+Tabla5[[#This Row],[INVERSIONES FCI]]-AH278,Tabla5[[#This Row],[INVERSIONES FCI]])</f>
        <v>50774409333.43309</v>
      </c>
      <c r="AI279" s="5">
        <f>IF($B278&lt;=Tabla5[[#This Row],[INVERSIONES FCI]],+Tabla5[[#This Row],[INVERSIONES FCI]]-AI278,Tabla5[[#This Row],[INVERSIONES FCI]])</f>
        <v>50774409333.43309</v>
      </c>
      <c r="AJ279" s="5">
        <f>IF($B278&lt;=Tabla5[[#This Row],[INVERSIONES FCI]],+Tabla5[[#This Row],[INVERSIONES FCI]]-AJ278,Tabla5[[#This Row],[INVERSIONES FCI]])</f>
        <v>50774409333.43309</v>
      </c>
      <c r="AK279" s="5">
        <f>IF($B278&lt;=Tabla5[[#This Row],[INVERSIONES FCI]],+Tabla5[[#This Row],[INVERSIONES FCI]]-AK278,Tabla5[[#This Row],[INVERSIONES FCI]])</f>
        <v>50774409333.43309</v>
      </c>
      <c r="AL279" s="5">
        <f>IF($B278&lt;=Tabla5[[#This Row],[INVERSIONES FCI]],+Tabla5[[#This Row],[INVERSIONES FCI]]-AL278,Tabla5[[#This Row],[INVERSIONES FCI]])</f>
        <v>50774409333.43309</v>
      </c>
      <c r="AM279" s="5">
        <f>IF($B278&lt;=Tabla5[[#This Row],[INVERSIONES FCI]],+Tabla5[[#This Row],[INVERSIONES FCI]]-AM278,Tabla5[[#This Row],[INVERSIONES FCI]])</f>
        <v>50774409333.43309</v>
      </c>
      <c r="AN279" s="5">
        <f>IF($B278&lt;=Tabla5[[#This Row],[INVERSIONES FCI]],+Tabla5[[#This Row],[INVERSIONES FCI]]-AN278,Tabla5[[#This Row],[INVERSIONES FCI]])</f>
        <v>50774409333.43309</v>
      </c>
      <c r="AO279" s="5">
        <f>IF($B278&lt;=Tabla5[[#This Row],[INVERSIONES FCI]],+Tabla5[[#This Row],[INVERSIONES FCI]]-AO278,Tabla5[[#This Row],[INVERSIONES FCI]])</f>
        <v>50774409333.43309</v>
      </c>
      <c r="AP279" s="5">
        <f>IF($B278&lt;=Tabla5[[#This Row],[INVERSIONES FCI]],+Tabla5[[#This Row],[INVERSIONES FCI]]-AP278,Tabla5[[#This Row],[INVERSIONES FCI]])</f>
        <v>50774409333.43309</v>
      </c>
      <c r="AQ279" s="5">
        <f>IF($B278&lt;=Tabla5[[#This Row],[INVERSIONES FCI]],+Tabla5[[#This Row],[INVERSIONES FCI]]-AQ278,Tabla5[[#This Row],[INVERSIONES FCI]])</f>
        <v>50774409333.43309</v>
      </c>
      <c r="AR279" s="5">
        <f>IF($B278&lt;=Tabla5[[#This Row],[INVERSIONES FCI]],+Tabla5[[#This Row],[INVERSIONES FCI]]-AR278,Tabla5[[#This Row],[INVERSIONES FCI]])</f>
        <v>50774409333.43309</v>
      </c>
      <c r="AS279" s="5">
        <f>IF($B278&lt;=Tabla5[[#This Row],[INVERSIONES FCI]],+Tabla5[[#This Row],[INVERSIONES FCI]]-AS278,Tabla5[[#This Row],[INVERSIONES FCI]])</f>
        <v>50774409333.43309</v>
      </c>
      <c r="AT279" s="5">
        <f>IF($B278&lt;=Tabla5[[#This Row],[INVERSIONES FCI]],+Tabla5[[#This Row],[INVERSIONES FCI]]-AT278,Tabla5[[#This Row],[INVERSIONES FCI]])</f>
        <v>50774409333.43309</v>
      </c>
      <c r="AU279" s="5">
        <f>IF($B278&lt;=Tabla5[[#This Row],[INVERSIONES FCI]],+Tabla5[[#This Row],[INVERSIONES FCI]]-AU278,Tabla5[[#This Row],[INVERSIONES FCI]])</f>
        <v>50774409333.43309</v>
      </c>
      <c r="AV279" s="5">
        <f>IF($B278&lt;=Tabla5[[#This Row],[INVERSIONES FCI]],+Tabla5[[#This Row],[INVERSIONES FCI]]-AV278,Tabla5[[#This Row],[INVERSIONES FCI]])</f>
        <v>50774409333.43309</v>
      </c>
      <c r="AW279" s="5">
        <f>IF($B278&lt;=Tabla5[[#This Row],[INVERSIONES FCI]],+Tabla5[[#This Row],[INVERSIONES FCI]]-AW278,Tabla5[[#This Row],[INVERSIONES FCI]])</f>
        <v>50774409333.43309</v>
      </c>
      <c r="AX279" s="5">
        <f>IF($B278&lt;=Tabla5[[#This Row],[INVERSIONES FCI]],+Tabla5[[#This Row],[INVERSIONES FCI]]-AX278,Tabla5[[#This Row],[INVERSIONES FCI]])</f>
        <v>50774409333.43309</v>
      </c>
      <c r="AY279" s="5">
        <f>IF($B278&lt;=Tabla5[[#This Row],[INVERSIONES FCI]],+Tabla5[[#This Row],[INVERSIONES FCI]]-AY278,Tabla5[[#This Row],[INVERSIONES FCI]])</f>
        <v>50774409333.43309</v>
      </c>
      <c r="AZ279" s="5">
        <f>IF($B278&lt;=Tabla5[[#This Row],[INVERSIONES FCI]],+Tabla5[[#This Row],[INVERSIONES FCI]]-AZ278,Tabla5[[#This Row],[INVERSIONES FCI]])</f>
        <v>50774409333.43309</v>
      </c>
      <c r="BA279" s="5">
        <f>IF($B278&lt;=Tabla5[[#This Row],[INVERSIONES FCI]],+Tabla5[[#This Row],[INVERSIONES FCI]]-BA278,Tabla5[[#This Row],[INVERSIONES FCI]])</f>
        <v>50774409333.43309</v>
      </c>
      <c r="BB279" s="5">
        <f>IF($B278&lt;=Tabla5[[#This Row],[INVERSIONES FCI]],+Tabla5[[#This Row],[INVERSIONES FCI]]-BB278,Tabla5[[#This Row],[INVERSIONES FCI]])</f>
        <v>50774409333.43309</v>
      </c>
      <c r="BC279" s="5">
        <f>IF($B278&lt;=Tabla5[[#This Row],[INVERSIONES FCI]],+Tabla5[[#This Row],[INVERSIONES FCI]]-BC278,Tabla5[[#This Row],[INVERSIONES FCI]])</f>
        <v>50774409333.43309</v>
      </c>
      <c r="BD279" s="5">
        <f>IF($B278&lt;=Tabla5[[#This Row],[INVERSIONES FCI]],+Tabla5[[#This Row],[INVERSIONES FCI]]-BD278,Tabla5[[#This Row],[INVERSIONES FCI]])</f>
        <v>50774409333.43309</v>
      </c>
      <c r="BE279" s="5">
        <f>IF($B278&lt;=Tabla5[[#This Row],[INVERSIONES FCI]],+Tabla5[[#This Row],[INVERSIONES FCI]]-BE278,Tabla5[[#This Row],[INVERSIONES FCI]])</f>
        <v>50774409333.43309</v>
      </c>
      <c r="BF279" s="5">
        <f>IF($B278&lt;=Tabla5[[#This Row],[INVERSIONES FCI]],+Tabla5[[#This Row],[INVERSIONES FCI]]-BF278,Tabla5[[#This Row],[INVERSIONES FCI]])</f>
        <v>50774409333.43309</v>
      </c>
      <c r="BG279" s="5">
        <f>IF($B278&lt;=Tabla5[[#This Row],[INVERSIONES FCI]],+Tabla5[[#This Row],[INVERSIONES FCI]]-BG278,Tabla5[[#This Row],[INVERSIONES FCI]])</f>
        <v>50774409333.43309</v>
      </c>
      <c r="BH279" s="5">
        <f>IF($B278&lt;=Tabla5[[#This Row],[INVERSIONES FCI]],+Tabla5[[#This Row],[INVERSIONES FCI]]-BH278,Tabla5[[#This Row],[INVERSIONES FCI]])</f>
        <v>50774409333.43309</v>
      </c>
      <c r="BI279" s="5">
        <f>IF($B278&lt;=Tabla5[[#This Row],[INVERSIONES FCI]],+Tabla5[[#This Row],[INVERSIONES FCI]]-BI278,Tabla5[[#This Row],[INVERSIONES FCI]])</f>
        <v>50774409333.43309</v>
      </c>
      <c r="BJ279" s="5">
        <f>IF($B278&lt;=Tabla5[[#This Row],[INVERSIONES FCI]],+Tabla5[[#This Row],[INVERSIONES FCI]]-BJ278,Tabla5[[#This Row],[INVERSIONES FCI]])</f>
        <v>50774409333.43309</v>
      </c>
      <c r="BK279" s="5">
        <f>IF($B278&lt;=Tabla5[[#This Row],[INVERSIONES FCI]],+Tabla5[[#This Row],[INVERSIONES FCI]]-BK278,Tabla5[[#This Row],[INVERSIONES FCI]])</f>
        <v>50774409333.43309</v>
      </c>
      <c r="BL279" s="5">
        <f>IF($B278&lt;=Tabla5[[#This Row],[INVERSIONES FCI]],+Tabla5[[#This Row],[INVERSIONES FCI]]-BL278,Tabla5[[#This Row],[INVERSIONES FCI]])</f>
        <v>50774409333.43309</v>
      </c>
      <c r="BM279" s="5">
        <f>IF($B278&lt;=Tabla5[[#This Row],[INVERSIONES FCI]],+Tabla5[[#This Row],[INVERSIONES FCI]]-BM278,Tabla5[[#This Row],[INVERSIONES FCI]])</f>
        <v>50774409333.43309</v>
      </c>
      <c r="BN279" s="5">
        <f>IF($B278&lt;=Tabla5[[#This Row],[INVERSIONES FCI]],+Tabla5[[#This Row],[INVERSIONES FCI]]-BN278,Tabla5[[#This Row],[INVERSIONES FCI]])</f>
        <v>50774409333.43309</v>
      </c>
      <c r="BO279" s="5">
        <f>IF($B278&lt;=Tabla5[[#This Row],[INVERSIONES FCI]],+Tabla5[[#This Row],[INVERSIONES FCI]]-BO278,Tabla5[[#This Row],[INVERSIONES FCI]])</f>
        <v>50774409333.43309</v>
      </c>
      <c r="BP279" s="5">
        <f>IF($B278&lt;=Tabla5[[#This Row],[INVERSIONES FCI]],+Tabla5[[#This Row],[INVERSIONES FCI]]-BP278,Tabla5[[#This Row],[INVERSIONES FCI]])</f>
        <v>50774409333.43309</v>
      </c>
      <c r="BQ279" s="5">
        <f>IF($B278&lt;=Tabla5[[#This Row],[INVERSIONES FCI]],+Tabla5[[#This Row],[INVERSIONES FCI]]-BQ278,Tabla5[[#This Row],[INVERSIONES FCI]])</f>
        <v>50774409333.43309</v>
      </c>
      <c r="BR279" s="5">
        <f>IF($B278&lt;=Tabla5[[#This Row],[INVERSIONES FCI]],+Tabla5[[#This Row],[INVERSIONES FCI]]-BR278,Tabla5[[#This Row],[INVERSIONES FCI]])</f>
        <v>50774409333.43309</v>
      </c>
      <c r="BS279" s="5">
        <f>IF($B278&lt;=Tabla5[[#This Row],[INVERSIONES FCI]],+Tabla5[[#This Row],[INVERSIONES FCI]]-BS278,Tabla5[[#This Row],[INVERSIONES FCI]])</f>
        <v>50774409333.43309</v>
      </c>
      <c r="BT279" s="5">
        <f>IF($B278&lt;=Tabla5[[#This Row],[INVERSIONES FCI]],+Tabla5[[#This Row],[INVERSIONES FCI]]-BT278,Tabla5[[#This Row],[INVERSIONES FCI]])</f>
        <v>50774409333.43309</v>
      </c>
      <c r="BU279" s="5">
        <f>IF($B278&lt;=Tabla5[[#This Row],[INVERSIONES FCI]],+Tabla5[[#This Row],[INVERSIONES FCI]]-BU278,Tabla5[[#This Row],[INVERSIONES FCI]])</f>
        <v>50774409333.43309</v>
      </c>
      <c r="BV279" s="5">
        <f>IF($B278&lt;=Tabla5[[#This Row],[INVERSIONES FCI]],+Tabla5[[#This Row],[INVERSIONES FCI]]-BV278,Tabla5[[#This Row],[INVERSIONES FCI]])</f>
        <v>50774409333.43309</v>
      </c>
      <c r="BW279" s="5">
        <f>IF($B278&lt;=Tabla5[[#This Row],[INVERSIONES FCI]],+Tabla5[[#This Row],[INVERSIONES FCI]]-BW278,Tabla5[[#This Row],[INVERSIONES FCI]])</f>
        <v>50774409333.43309</v>
      </c>
      <c r="BX279" s="5">
        <f>IF($B278&lt;=Tabla5[[#This Row],[INVERSIONES FCI]],+Tabla5[[#This Row],[INVERSIONES FCI]]-BX278,Tabla5[[#This Row],[INVERSIONES FCI]])</f>
        <v>50774409333.43309</v>
      </c>
      <c r="BY279" s="5">
        <f>IF($B278&lt;=Tabla5[[#This Row],[INVERSIONES FCI]],+Tabla5[[#This Row],[INVERSIONES FCI]]-BY278,Tabla5[[#This Row],[INVERSIONES FCI]])</f>
        <v>50774409333.43309</v>
      </c>
      <c r="BZ279" s="5">
        <f>IF($B278&lt;=Tabla5[[#This Row],[INVERSIONES FCI]],+Tabla5[[#This Row],[INVERSIONES FCI]]-BZ278,Tabla5[[#This Row],[INVERSIONES FCI]])</f>
        <v>50774409333.43309</v>
      </c>
      <c r="CA279" s="5">
        <f>IF($B278&lt;=Tabla5[[#This Row],[INVERSIONES FCI]],+Tabla5[[#This Row],[INVERSIONES FCI]]-CA278,Tabla5[[#This Row],[INVERSIONES FCI]])</f>
        <v>50774409333.43309</v>
      </c>
      <c r="CB279" s="5">
        <f>IF($B278&lt;=Tabla5[[#This Row],[INVERSIONES FCI]],+Tabla5[[#This Row],[INVERSIONES FCI]]-CB278,Tabla5[[#This Row],[INVERSIONES FCI]])</f>
        <v>50774409333.43309</v>
      </c>
      <c r="CC279" s="5">
        <f>IF($B278&lt;=Tabla5[[#This Row],[INVERSIONES FCI]],+Tabla5[[#This Row],[INVERSIONES FCI]]-CC278,Tabla5[[#This Row],[INVERSIONES FCI]])</f>
        <v>50774409333.43309</v>
      </c>
      <c r="CD279" s="5">
        <f>IF($B278&lt;=Tabla5[[#This Row],[INVERSIONES FCI]],+Tabla5[[#This Row],[INVERSIONES FCI]]-CD278,Tabla5[[#This Row],[INVERSIONES FCI]])</f>
        <v>50774409333.43309</v>
      </c>
      <c r="CE279" s="5">
        <f>IF($B278&lt;=Tabla5[[#This Row],[INVERSIONES FCI]],+Tabla5[[#This Row],[INVERSIONES FCI]]-CE278,Tabla5[[#This Row],[INVERSIONES FCI]])</f>
        <v>50774409333.43309</v>
      </c>
      <c r="CF279" s="5">
        <f>IF($B278&lt;=Tabla5[[#This Row],[INVERSIONES FCI]],+Tabla5[[#This Row],[INVERSIONES FCI]]-CF278,Tabla5[[#This Row],[INVERSIONES FCI]])</f>
        <v>50774409333.43309</v>
      </c>
      <c r="CG279" s="5">
        <f>IF($B278&lt;=Tabla5[[#This Row],[INVERSIONES FCI]],+Tabla5[[#This Row],[INVERSIONES FCI]]-CG278,Tabla5[[#This Row],[INVERSIONES FCI]])</f>
        <v>50774409333.43309</v>
      </c>
      <c r="CH279" s="5">
        <f>IF($B278&lt;=Tabla5[[#This Row],[INVERSIONES FCI]],+Tabla5[[#This Row],[INVERSIONES FCI]]-CH278,Tabla5[[#This Row],[INVERSIONES FCI]])</f>
        <v>50774409333.43309</v>
      </c>
      <c r="CI279" s="5">
        <f>IF($B278&lt;=Tabla5[[#This Row],[INVERSIONES FCI]],+Tabla5[[#This Row],[INVERSIONES FCI]]-CI278,Tabla5[[#This Row],[INVERSIONES FCI]])</f>
        <v>50774409333.43309</v>
      </c>
      <c r="CJ279" s="5">
        <f>IF($B278&lt;=Tabla5[[#This Row],[INVERSIONES FCI]],+Tabla5[[#This Row],[INVERSIONES FCI]]-CJ278,Tabla5[[#This Row],[INVERSIONES FCI]])</f>
        <v>50774409333.43309</v>
      </c>
      <c r="CK279" s="5">
        <f>IF($B278&lt;=Tabla5[[#This Row],[INVERSIONES FCI]],+Tabla5[[#This Row],[INVERSIONES FCI]]-CK278,Tabla5[[#This Row],[INVERSIONES FCI]])</f>
        <v>50774409333.43309</v>
      </c>
      <c r="CL279" s="5">
        <f>IF($B278&lt;=Tabla5[[#This Row],[INVERSIONES FCI]],+Tabla5[[#This Row],[INVERSIONES FCI]]-CL278,Tabla5[[#This Row],[INVERSIONES FCI]])</f>
        <v>50774409333.43309</v>
      </c>
      <c r="CM279" s="5">
        <f>IF($B278&lt;=Tabla5[[#This Row],[INVERSIONES FCI]],+Tabla5[[#This Row],[INVERSIONES FCI]]-CM278,Tabla5[[#This Row],[INVERSIONES FCI]])</f>
        <v>50774409333.43309</v>
      </c>
      <c r="CN279" s="5">
        <f>IF($B278&lt;=Tabla5[[#This Row],[INVERSIONES FCI]],+Tabla5[[#This Row],[INVERSIONES FCI]]-CN278,Tabla5[[#This Row],[INVERSIONES FCI]])</f>
        <v>50774409333.43309</v>
      </c>
      <c r="CO279" s="5">
        <f>IF($B278&lt;=Tabla5[[#This Row],[INVERSIONES FCI]],+Tabla5[[#This Row],[INVERSIONES FCI]]-CO278,Tabla5[[#This Row],[INVERSIONES FCI]])</f>
        <v>50774409333.43309</v>
      </c>
      <c r="CP279" s="5">
        <f>IF($B278&lt;=Tabla5[[#This Row],[INVERSIONES FCI]],+Tabla5[[#This Row],[INVERSIONES FCI]]-CP278,Tabla5[[#This Row],[INVERSIONES FCI]])</f>
        <v>50774409333.43309</v>
      </c>
      <c r="CQ279" s="5">
        <f>IF($B278&lt;=Tabla5[[#This Row],[INVERSIONES FCI]],+Tabla5[[#This Row],[INVERSIONES FCI]]-CQ278,Tabla5[[#This Row],[INVERSIONES FCI]])</f>
        <v>50774409333.43309</v>
      </c>
      <c r="CR279" s="5">
        <f>IF($B278&lt;=Tabla5[[#This Row],[INVERSIONES FCI]],+Tabla5[[#This Row],[INVERSIONES FCI]]-CR278,Tabla5[[#This Row],[INVERSIONES FCI]])</f>
        <v>50774409333.43309</v>
      </c>
      <c r="CS279" s="5">
        <f>IF($B278&lt;=Tabla5[[#This Row],[INVERSIONES FCI]],+Tabla5[[#This Row],[INVERSIONES FCI]]-CS278,Tabla5[[#This Row],[INVERSIONES FCI]])</f>
        <v>50774409333.43309</v>
      </c>
      <c r="CT279" s="5">
        <f>IF($B278&lt;=Tabla5[[#This Row],[INVERSIONES FCI]],+Tabla5[[#This Row],[INVERSIONES FCI]]-CT278,Tabla5[[#This Row],[INVERSIONES FCI]])</f>
        <v>50774409333.43309</v>
      </c>
      <c r="CU279" s="5">
        <f>IF($B278&lt;=Tabla5[[#This Row],[INVERSIONES FCI]],+Tabla5[[#This Row],[INVERSIONES FCI]]-CU278,Tabla5[[#This Row],[INVERSIONES FCI]])</f>
        <v>50774409333.43309</v>
      </c>
      <c r="CV279" s="5">
        <f>IF($B278&lt;=Tabla5[[#This Row],[INVERSIONES FCI]],+Tabla5[[#This Row],[INVERSIONES FCI]]-CV278,Tabla5[[#This Row],[INVERSIONES FCI]])</f>
        <v>50774409333.43309</v>
      </c>
      <c r="CW279" s="5">
        <f>IF($B278&lt;=Tabla5[[#This Row],[INVERSIONES FCI]],+Tabla5[[#This Row],[INVERSIONES FCI]]-CW278,Tabla5[[#This Row],[INVERSIONES FCI]])</f>
        <v>50774409333.43309</v>
      </c>
      <c r="CX279" s="5">
        <f>IF($B278&lt;=Tabla5[[#This Row],[INVERSIONES FCI]],+Tabla5[[#This Row],[INVERSIONES FCI]]-CX278,Tabla5[[#This Row],[INVERSIONES FCI]])</f>
        <v>50774409333.43309</v>
      </c>
      <c r="CY279" s="5">
        <f>IF($B278&lt;=Tabla5[[#This Row],[INVERSIONES FCI]],+Tabla5[[#This Row],[INVERSIONES FCI]]-CY278,Tabla5[[#This Row],[INVERSIONES FCI]])</f>
        <v>50774409333.43309</v>
      </c>
      <c r="CZ279" s="5">
        <f>IF($B278&lt;=Tabla5[[#This Row],[INVERSIONES FCI]],+Tabla5[[#This Row],[INVERSIONES FCI]]-CZ278,Tabla5[[#This Row],[INVERSIONES FCI]])</f>
        <v>50774409333.43309</v>
      </c>
      <c r="DA279" s="5">
        <f>IF($B278&lt;=Tabla5[[#This Row],[INVERSIONES FCI]],+Tabla5[[#This Row],[INVERSIONES FCI]]-DA278,Tabla5[[#This Row],[INVERSIONES FCI]])</f>
        <v>50774409333.43309</v>
      </c>
      <c r="DB279" s="5">
        <f>IF($B278&lt;=Tabla5[[#This Row],[INVERSIONES FCI]],+Tabla5[[#This Row],[INVERSIONES FCI]]-DB278,Tabla5[[#This Row],[INVERSIONES FCI]])</f>
        <v>50774409333.43309</v>
      </c>
      <c r="DC279" s="5">
        <f>IF($B278&lt;=Tabla5[[#This Row],[INVERSIONES FCI]],+Tabla5[[#This Row],[INVERSIONES FCI]]-DC278,Tabla5[[#This Row],[INVERSIONES FCI]])</f>
        <v>50774409333.43309</v>
      </c>
      <c r="DD279" s="5">
        <f>IF($B278&lt;=Tabla5[[#This Row],[INVERSIONES FCI]],+Tabla5[[#This Row],[INVERSIONES FCI]]-DD278,Tabla5[[#This Row],[INVERSIONES FCI]])</f>
        <v>50774409333.43309</v>
      </c>
      <c r="DE279" s="5">
        <f>IF($B278&lt;=Tabla5[[#This Row],[INVERSIONES FCI]],+Tabla5[[#This Row],[INVERSIONES FCI]]-DE278,Tabla5[[#This Row],[INVERSIONES FCI]])</f>
        <v>50774409333.43309</v>
      </c>
      <c r="DF279" s="5">
        <f>IF($B278&lt;=Tabla5[[#This Row],[INVERSIONES FCI]],+Tabla5[[#This Row],[INVERSIONES FCI]]-DF278,Tabla5[[#This Row],[INVERSIONES FCI]])</f>
        <v>50774409333.43309</v>
      </c>
      <c r="DG279" s="5">
        <f>IF($B278&lt;=Tabla5[[#This Row],[INVERSIONES FCI]],+Tabla5[[#This Row],[INVERSIONES FCI]]-DG278,Tabla5[[#This Row],[INVERSIONES FCI]])</f>
        <v>50774409333.43309</v>
      </c>
      <c r="DH279" s="5">
        <f>IF($B278&lt;=Tabla5[[#This Row],[INVERSIONES FCI]],+Tabla5[[#This Row],[INVERSIONES FCI]]-DH278,Tabla5[[#This Row],[INVERSIONES FCI]])</f>
        <v>50774409333.43309</v>
      </c>
      <c r="DI279" s="5">
        <f>IF($B278&lt;=Tabla5[[#This Row],[INVERSIONES FCI]],+Tabla5[[#This Row],[INVERSIONES FCI]]-DI278,Tabla5[[#This Row],[INVERSIONES FCI]])</f>
        <v>50774409333.43309</v>
      </c>
      <c r="DJ279" s="5">
        <f>IF($B278&lt;=Tabla5[[#This Row],[INVERSIONES FCI]],+Tabla5[[#This Row],[INVERSIONES FCI]]-DJ278,Tabla5[[#This Row],[INVERSIONES FCI]])</f>
        <v>50774409333.43309</v>
      </c>
      <c r="DK279" s="5">
        <f>IF($B278&lt;=Tabla5[[#This Row],[INVERSIONES FCI]],+Tabla5[[#This Row],[INVERSIONES FCI]]-DK278,Tabla5[[#This Row],[INVERSIONES FCI]])</f>
        <v>50774409333.43309</v>
      </c>
      <c r="DL279" s="5"/>
      <c r="DM279" s="5"/>
      <c r="DN279" s="5"/>
      <c r="DO279" s="5"/>
      <c r="DP279" s="5"/>
      <c r="DQ279" s="5"/>
    </row>
    <row r="280" spans="1:121" ht="14.4">
      <c r="A280" s="12" t="s">
        <v>279</v>
      </c>
      <c r="B280" s="5">
        <f>HLOOKUP($A280,ESCENARIO[#All],7,FALSE)</f>
        <v>52548765323.239563</v>
      </c>
      <c r="C280" s="5">
        <f>IF($B279&lt;=Tabla5[[#This Row],[INVERSIONES FCI]],+Tabla5[[#This Row],[INVERSIONES FCI]]-C279,Tabla5[[#This Row],[INVERSIONES FCI]])</f>
        <v>1774355989.8064728</v>
      </c>
      <c r="D280" s="5">
        <f>IF($B279&lt;=Tabla5[[#This Row],[INVERSIONES FCI]],+Tabla5[[#This Row],[INVERSIONES FCI]]-D279,Tabla5[[#This Row],[INVERSIONES FCI]])</f>
        <v>1774355989.8064728</v>
      </c>
      <c r="E280" s="5">
        <f>IF($B279&lt;=Tabla5[[#This Row],[INVERSIONES FCI]],+Tabla5[[#This Row],[INVERSIONES FCI]]-E279,Tabla5[[#This Row],[INVERSIONES FCI]])</f>
        <v>1774355989.8064728</v>
      </c>
      <c r="F280" s="5">
        <f>IF($B279&lt;=Tabla5[[#This Row],[INVERSIONES FCI]],+Tabla5[[#This Row],[INVERSIONES FCI]]-F279,Tabla5[[#This Row],[INVERSIONES FCI]])</f>
        <v>1774355989.8064728</v>
      </c>
      <c r="G280" s="5">
        <f>IF($B279&lt;=Tabla5[[#This Row],[INVERSIONES FCI]],+Tabla5[[#This Row],[INVERSIONES FCI]]-G279,Tabla5[[#This Row],[INVERSIONES FCI]])</f>
        <v>1774355989.8064728</v>
      </c>
      <c r="H280" s="5">
        <f>IF($B279&lt;=Tabla5[[#This Row],[INVERSIONES FCI]],+Tabla5[[#This Row],[INVERSIONES FCI]]-H279,Tabla5[[#This Row],[INVERSIONES FCI]])</f>
        <v>1774355989.8064728</v>
      </c>
      <c r="I280" s="5">
        <f>IF($B279&lt;=Tabla5[[#This Row],[INVERSIONES FCI]],+Tabla5[[#This Row],[INVERSIONES FCI]]-I279,Tabla5[[#This Row],[INVERSIONES FCI]])</f>
        <v>1774355989.8064728</v>
      </c>
      <c r="J280" s="5">
        <f>IF($B279&lt;=Tabla5[[#This Row],[INVERSIONES FCI]],+Tabla5[[#This Row],[INVERSIONES FCI]]-J279,Tabla5[[#This Row],[INVERSIONES FCI]])</f>
        <v>1774355989.8064728</v>
      </c>
      <c r="K280" s="5">
        <f>IF($B279&lt;=Tabla5[[#This Row],[INVERSIONES FCI]],+Tabla5[[#This Row],[INVERSIONES FCI]]-K279,Tabla5[[#This Row],[INVERSIONES FCI]])</f>
        <v>1774355989.8064728</v>
      </c>
      <c r="L280" s="5">
        <f>IF($B279&lt;=Tabla5[[#This Row],[INVERSIONES FCI]],+Tabla5[[#This Row],[INVERSIONES FCI]]-L279,Tabla5[[#This Row],[INVERSIONES FCI]])</f>
        <v>1774355989.8064728</v>
      </c>
      <c r="M280" s="5">
        <f>IF($B279&lt;=Tabla5[[#This Row],[INVERSIONES FCI]],+Tabla5[[#This Row],[INVERSIONES FCI]]-M279,Tabla5[[#This Row],[INVERSIONES FCI]])</f>
        <v>1774355989.8064728</v>
      </c>
      <c r="N280" s="5">
        <f>IF($B279&lt;=Tabla5[[#This Row],[INVERSIONES FCI]],+Tabla5[[#This Row],[INVERSIONES FCI]]-N279,Tabla5[[#This Row],[INVERSIONES FCI]])</f>
        <v>1774355989.8064728</v>
      </c>
      <c r="O280" s="5">
        <f>IF($B279&lt;=Tabla5[[#This Row],[INVERSIONES FCI]],+Tabla5[[#This Row],[INVERSIONES FCI]]-O279,Tabla5[[#This Row],[INVERSIONES FCI]])</f>
        <v>1774355989.8064728</v>
      </c>
      <c r="P280" s="5">
        <f>IF($B279&lt;=Tabla5[[#This Row],[INVERSIONES FCI]],+Tabla5[[#This Row],[INVERSIONES FCI]]-P279,Tabla5[[#This Row],[INVERSIONES FCI]])</f>
        <v>1774355989.8064728</v>
      </c>
      <c r="Q280" s="5">
        <f>IF($B279&lt;=Tabla5[[#This Row],[INVERSIONES FCI]],+Tabla5[[#This Row],[INVERSIONES FCI]]-Q279,Tabla5[[#This Row],[INVERSIONES FCI]])</f>
        <v>1774355989.8064728</v>
      </c>
      <c r="R280" s="5">
        <f>IF($B279&lt;=Tabla5[[#This Row],[INVERSIONES FCI]],+Tabla5[[#This Row],[INVERSIONES FCI]]-R279,Tabla5[[#This Row],[INVERSIONES FCI]])</f>
        <v>1774355989.8064728</v>
      </c>
      <c r="S280" s="5">
        <f>IF($B279&lt;=Tabla5[[#This Row],[INVERSIONES FCI]],+Tabla5[[#This Row],[INVERSIONES FCI]]-S279,Tabla5[[#This Row],[INVERSIONES FCI]])</f>
        <v>1774355989.8064728</v>
      </c>
      <c r="T280" s="5">
        <f>IF($B279&lt;=Tabla5[[#This Row],[INVERSIONES FCI]],+Tabla5[[#This Row],[INVERSIONES FCI]]-T279,Tabla5[[#This Row],[INVERSIONES FCI]])</f>
        <v>1774355989.8064728</v>
      </c>
      <c r="U280" s="5">
        <f>IF($B279&lt;=Tabla5[[#This Row],[INVERSIONES FCI]],+Tabla5[[#This Row],[INVERSIONES FCI]]-U279,Tabla5[[#This Row],[INVERSIONES FCI]])</f>
        <v>1774355989.8064728</v>
      </c>
      <c r="V280" s="5">
        <f>IF($B279&lt;=Tabla5[[#This Row],[INVERSIONES FCI]],+Tabla5[[#This Row],[INVERSIONES FCI]]-V279,Tabla5[[#This Row],[INVERSIONES FCI]])</f>
        <v>1774355989.8064728</v>
      </c>
      <c r="W280" s="5">
        <f>IF($B279&lt;=Tabla5[[#This Row],[INVERSIONES FCI]],+Tabla5[[#This Row],[INVERSIONES FCI]]-W279,Tabla5[[#This Row],[INVERSIONES FCI]])</f>
        <v>1774355989.8064728</v>
      </c>
      <c r="X280" s="5">
        <f>IF($B279&lt;=Tabla5[[#This Row],[INVERSIONES FCI]],+Tabla5[[#This Row],[INVERSIONES FCI]]-X279,Tabla5[[#This Row],[INVERSIONES FCI]])</f>
        <v>1774355989.8064728</v>
      </c>
      <c r="Y280" s="5">
        <f>IF($B279&lt;=Tabla5[[#This Row],[INVERSIONES FCI]],+Tabla5[[#This Row],[INVERSIONES FCI]]-Y279,Tabla5[[#This Row],[INVERSIONES FCI]])</f>
        <v>1774355989.8064728</v>
      </c>
      <c r="Z280" s="5">
        <f>IF($B279&lt;=Tabla5[[#This Row],[INVERSIONES FCI]],+Tabla5[[#This Row],[INVERSIONES FCI]]-Z279,Tabla5[[#This Row],[INVERSIONES FCI]])</f>
        <v>1774355989.8064728</v>
      </c>
      <c r="AA280" s="5">
        <f>IF($B279&lt;=Tabla5[[#This Row],[INVERSIONES FCI]],+Tabla5[[#This Row],[INVERSIONES FCI]]-AA279,Tabla5[[#This Row],[INVERSIONES FCI]])</f>
        <v>1774355989.8064728</v>
      </c>
      <c r="AB280" s="5">
        <f>IF($B279&lt;=Tabla5[[#This Row],[INVERSIONES FCI]],+Tabla5[[#This Row],[INVERSIONES FCI]]-AB279,Tabla5[[#This Row],[INVERSIONES FCI]])</f>
        <v>1774355989.8064728</v>
      </c>
      <c r="AC280" s="5">
        <f>IF($B279&lt;=Tabla5[[#This Row],[INVERSIONES FCI]],+Tabla5[[#This Row],[INVERSIONES FCI]]-AC279,Tabla5[[#This Row],[INVERSIONES FCI]])</f>
        <v>1774355989.8064728</v>
      </c>
      <c r="AD280" s="5">
        <f>IF($B279&lt;=Tabla5[[#This Row],[INVERSIONES FCI]],+Tabla5[[#This Row],[INVERSIONES FCI]]-AD279,Tabla5[[#This Row],[INVERSIONES FCI]])</f>
        <v>1774355989.8064728</v>
      </c>
      <c r="AE280" s="5">
        <f>IF($B279&lt;=Tabla5[[#This Row],[INVERSIONES FCI]],+Tabla5[[#This Row],[INVERSIONES FCI]]-AE279,Tabla5[[#This Row],[INVERSIONES FCI]])</f>
        <v>1774355989.8064728</v>
      </c>
      <c r="AF280" s="5">
        <f>IF($B279&lt;=Tabla5[[#This Row],[INVERSIONES FCI]],+Tabla5[[#This Row],[INVERSIONES FCI]]-AF279,Tabla5[[#This Row],[INVERSIONES FCI]])</f>
        <v>1774355989.8064728</v>
      </c>
      <c r="AG280" s="5">
        <f>IF($B279&lt;=Tabla5[[#This Row],[INVERSIONES FCI]],+Tabla5[[#This Row],[INVERSIONES FCI]]-AG279,Tabla5[[#This Row],[INVERSIONES FCI]])</f>
        <v>1774355989.8064728</v>
      </c>
      <c r="AH280" s="5">
        <f>IF($B279&lt;=Tabla5[[#This Row],[INVERSIONES FCI]],+Tabla5[[#This Row],[INVERSIONES FCI]]-AH279,Tabla5[[#This Row],[INVERSIONES FCI]])</f>
        <v>1774355989.8064728</v>
      </c>
      <c r="AI280" s="5">
        <f>IF($B279&lt;=Tabla5[[#This Row],[INVERSIONES FCI]],+Tabla5[[#This Row],[INVERSIONES FCI]]-AI279,Tabla5[[#This Row],[INVERSIONES FCI]])</f>
        <v>1774355989.8064728</v>
      </c>
      <c r="AJ280" s="5">
        <f>IF($B279&lt;=Tabla5[[#This Row],[INVERSIONES FCI]],+Tabla5[[#This Row],[INVERSIONES FCI]]-AJ279,Tabla5[[#This Row],[INVERSIONES FCI]])</f>
        <v>1774355989.8064728</v>
      </c>
      <c r="AK280" s="5">
        <f>IF($B279&lt;=Tabla5[[#This Row],[INVERSIONES FCI]],+Tabla5[[#This Row],[INVERSIONES FCI]]-AK279,Tabla5[[#This Row],[INVERSIONES FCI]])</f>
        <v>1774355989.8064728</v>
      </c>
      <c r="AL280" s="5">
        <f>IF($B279&lt;=Tabla5[[#This Row],[INVERSIONES FCI]],+Tabla5[[#This Row],[INVERSIONES FCI]]-AL279,Tabla5[[#This Row],[INVERSIONES FCI]])</f>
        <v>1774355989.8064728</v>
      </c>
      <c r="AM280" s="5">
        <f>IF($B279&lt;=Tabla5[[#This Row],[INVERSIONES FCI]],+Tabla5[[#This Row],[INVERSIONES FCI]]-AM279,Tabla5[[#This Row],[INVERSIONES FCI]])</f>
        <v>1774355989.8064728</v>
      </c>
      <c r="AN280" s="5">
        <f>IF($B279&lt;=Tabla5[[#This Row],[INVERSIONES FCI]],+Tabla5[[#This Row],[INVERSIONES FCI]]-AN279,Tabla5[[#This Row],[INVERSIONES FCI]])</f>
        <v>1774355989.8064728</v>
      </c>
      <c r="AO280" s="5">
        <f>IF($B279&lt;=Tabla5[[#This Row],[INVERSIONES FCI]],+Tabla5[[#This Row],[INVERSIONES FCI]]-AO279,Tabla5[[#This Row],[INVERSIONES FCI]])</f>
        <v>1774355989.8064728</v>
      </c>
      <c r="AP280" s="5">
        <f>IF($B279&lt;=Tabla5[[#This Row],[INVERSIONES FCI]],+Tabla5[[#This Row],[INVERSIONES FCI]]-AP279,Tabla5[[#This Row],[INVERSIONES FCI]])</f>
        <v>1774355989.8064728</v>
      </c>
      <c r="AQ280" s="5">
        <f>IF($B279&lt;=Tabla5[[#This Row],[INVERSIONES FCI]],+Tabla5[[#This Row],[INVERSIONES FCI]]-AQ279,Tabla5[[#This Row],[INVERSIONES FCI]])</f>
        <v>1774355989.8064728</v>
      </c>
      <c r="AR280" s="5">
        <f>IF($B279&lt;=Tabla5[[#This Row],[INVERSIONES FCI]],+Tabla5[[#This Row],[INVERSIONES FCI]]-AR279,Tabla5[[#This Row],[INVERSIONES FCI]])</f>
        <v>1774355989.8064728</v>
      </c>
      <c r="AS280" s="5">
        <f>IF($B279&lt;=Tabla5[[#This Row],[INVERSIONES FCI]],+Tabla5[[#This Row],[INVERSIONES FCI]]-AS279,Tabla5[[#This Row],[INVERSIONES FCI]])</f>
        <v>1774355989.8064728</v>
      </c>
      <c r="AT280" s="5">
        <f>IF($B279&lt;=Tabla5[[#This Row],[INVERSIONES FCI]],+Tabla5[[#This Row],[INVERSIONES FCI]]-AT279,Tabla5[[#This Row],[INVERSIONES FCI]])</f>
        <v>1774355989.8064728</v>
      </c>
      <c r="AU280" s="5">
        <f>IF($B279&lt;=Tabla5[[#This Row],[INVERSIONES FCI]],+Tabla5[[#This Row],[INVERSIONES FCI]]-AU279,Tabla5[[#This Row],[INVERSIONES FCI]])</f>
        <v>1774355989.8064728</v>
      </c>
      <c r="AV280" s="5">
        <f>IF($B279&lt;=Tabla5[[#This Row],[INVERSIONES FCI]],+Tabla5[[#This Row],[INVERSIONES FCI]]-AV279,Tabla5[[#This Row],[INVERSIONES FCI]])</f>
        <v>1774355989.8064728</v>
      </c>
      <c r="AW280" s="5">
        <f>IF($B279&lt;=Tabla5[[#This Row],[INVERSIONES FCI]],+Tabla5[[#This Row],[INVERSIONES FCI]]-AW279,Tabla5[[#This Row],[INVERSIONES FCI]])</f>
        <v>1774355989.8064728</v>
      </c>
      <c r="AX280" s="5">
        <f>IF($B279&lt;=Tabla5[[#This Row],[INVERSIONES FCI]],+Tabla5[[#This Row],[INVERSIONES FCI]]-AX279,Tabla5[[#This Row],[INVERSIONES FCI]])</f>
        <v>1774355989.8064728</v>
      </c>
      <c r="AY280" s="5">
        <f>IF($B279&lt;=Tabla5[[#This Row],[INVERSIONES FCI]],+Tabla5[[#This Row],[INVERSIONES FCI]]-AY279,Tabla5[[#This Row],[INVERSIONES FCI]])</f>
        <v>1774355989.8064728</v>
      </c>
      <c r="AZ280" s="5">
        <f>IF($B279&lt;=Tabla5[[#This Row],[INVERSIONES FCI]],+Tabla5[[#This Row],[INVERSIONES FCI]]-AZ279,Tabla5[[#This Row],[INVERSIONES FCI]])</f>
        <v>1774355989.8064728</v>
      </c>
      <c r="BA280" s="5">
        <f>IF($B279&lt;=Tabla5[[#This Row],[INVERSIONES FCI]],+Tabla5[[#This Row],[INVERSIONES FCI]]-BA279,Tabla5[[#This Row],[INVERSIONES FCI]])</f>
        <v>1774355989.8064728</v>
      </c>
      <c r="BB280" s="5">
        <f>IF($B279&lt;=Tabla5[[#This Row],[INVERSIONES FCI]],+Tabla5[[#This Row],[INVERSIONES FCI]]-BB279,Tabla5[[#This Row],[INVERSIONES FCI]])</f>
        <v>1774355989.8064728</v>
      </c>
      <c r="BC280" s="5">
        <f>IF($B279&lt;=Tabla5[[#This Row],[INVERSIONES FCI]],+Tabla5[[#This Row],[INVERSIONES FCI]]-BC279,Tabla5[[#This Row],[INVERSIONES FCI]])</f>
        <v>1774355989.8064728</v>
      </c>
      <c r="BD280" s="5">
        <f>IF($B279&lt;=Tabla5[[#This Row],[INVERSIONES FCI]],+Tabla5[[#This Row],[INVERSIONES FCI]]-BD279,Tabla5[[#This Row],[INVERSIONES FCI]])</f>
        <v>1774355989.8064728</v>
      </c>
      <c r="BE280" s="5">
        <f>IF($B279&lt;=Tabla5[[#This Row],[INVERSIONES FCI]],+Tabla5[[#This Row],[INVERSIONES FCI]]-BE279,Tabla5[[#This Row],[INVERSIONES FCI]])</f>
        <v>1774355989.8064728</v>
      </c>
      <c r="BF280" s="5">
        <f>IF($B279&lt;=Tabla5[[#This Row],[INVERSIONES FCI]],+Tabla5[[#This Row],[INVERSIONES FCI]]-BF279,Tabla5[[#This Row],[INVERSIONES FCI]])</f>
        <v>1774355989.8064728</v>
      </c>
      <c r="BG280" s="5">
        <f>IF($B279&lt;=Tabla5[[#This Row],[INVERSIONES FCI]],+Tabla5[[#This Row],[INVERSIONES FCI]]-BG279,Tabla5[[#This Row],[INVERSIONES FCI]])</f>
        <v>1774355989.8064728</v>
      </c>
      <c r="BH280" s="5">
        <f>IF($B279&lt;=Tabla5[[#This Row],[INVERSIONES FCI]],+Tabla5[[#This Row],[INVERSIONES FCI]]-BH279,Tabla5[[#This Row],[INVERSIONES FCI]])</f>
        <v>1774355989.8064728</v>
      </c>
      <c r="BI280" s="5">
        <f>IF($B279&lt;=Tabla5[[#This Row],[INVERSIONES FCI]],+Tabla5[[#This Row],[INVERSIONES FCI]]-BI279,Tabla5[[#This Row],[INVERSIONES FCI]])</f>
        <v>1774355989.8064728</v>
      </c>
      <c r="BJ280" s="5">
        <f>IF($B279&lt;=Tabla5[[#This Row],[INVERSIONES FCI]],+Tabla5[[#This Row],[INVERSIONES FCI]]-BJ279,Tabla5[[#This Row],[INVERSIONES FCI]])</f>
        <v>1774355989.8064728</v>
      </c>
      <c r="BK280" s="5">
        <f>IF($B279&lt;=Tabla5[[#This Row],[INVERSIONES FCI]],+Tabla5[[#This Row],[INVERSIONES FCI]]-BK279,Tabla5[[#This Row],[INVERSIONES FCI]])</f>
        <v>1774355989.8064728</v>
      </c>
      <c r="BL280" s="5">
        <f>IF($B279&lt;=Tabla5[[#This Row],[INVERSIONES FCI]],+Tabla5[[#This Row],[INVERSIONES FCI]]-BL279,Tabla5[[#This Row],[INVERSIONES FCI]])</f>
        <v>1774355989.8064728</v>
      </c>
      <c r="BM280" s="5">
        <f>IF($B279&lt;=Tabla5[[#This Row],[INVERSIONES FCI]],+Tabla5[[#This Row],[INVERSIONES FCI]]-BM279,Tabla5[[#This Row],[INVERSIONES FCI]])</f>
        <v>1774355989.8064728</v>
      </c>
      <c r="BN280" s="5">
        <f>IF($B279&lt;=Tabla5[[#This Row],[INVERSIONES FCI]],+Tabla5[[#This Row],[INVERSIONES FCI]]-BN279,Tabla5[[#This Row],[INVERSIONES FCI]])</f>
        <v>1774355989.8064728</v>
      </c>
      <c r="BO280" s="5">
        <f>IF($B279&lt;=Tabla5[[#This Row],[INVERSIONES FCI]],+Tabla5[[#This Row],[INVERSIONES FCI]]-BO279,Tabla5[[#This Row],[INVERSIONES FCI]])</f>
        <v>1774355989.8064728</v>
      </c>
      <c r="BP280" s="5">
        <f>IF($B279&lt;=Tabla5[[#This Row],[INVERSIONES FCI]],+Tabla5[[#This Row],[INVERSIONES FCI]]-BP279,Tabla5[[#This Row],[INVERSIONES FCI]])</f>
        <v>1774355989.8064728</v>
      </c>
      <c r="BQ280" s="5">
        <f>IF($B279&lt;=Tabla5[[#This Row],[INVERSIONES FCI]],+Tabla5[[#This Row],[INVERSIONES FCI]]-BQ279,Tabla5[[#This Row],[INVERSIONES FCI]])</f>
        <v>1774355989.8064728</v>
      </c>
      <c r="BR280" s="5">
        <f>IF($B279&lt;=Tabla5[[#This Row],[INVERSIONES FCI]],+Tabla5[[#This Row],[INVERSIONES FCI]]-BR279,Tabla5[[#This Row],[INVERSIONES FCI]])</f>
        <v>1774355989.8064728</v>
      </c>
      <c r="BS280" s="5">
        <f>IF($B279&lt;=Tabla5[[#This Row],[INVERSIONES FCI]],+Tabla5[[#This Row],[INVERSIONES FCI]]-BS279,Tabla5[[#This Row],[INVERSIONES FCI]])</f>
        <v>1774355989.8064728</v>
      </c>
      <c r="BT280" s="5">
        <f>IF($B279&lt;=Tabla5[[#This Row],[INVERSIONES FCI]],+Tabla5[[#This Row],[INVERSIONES FCI]]-BT279,Tabla5[[#This Row],[INVERSIONES FCI]])</f>
        <v>1774355989.8064728</v>
      </c>
      <c r="BU280" s="5">
        <f>IF($B279&lt;=Tabla5[[#This Row],[INVERSIONES FCI]],+Tabla5[[#This Row],[INVERSIONES FCI]]-BU279,Tabla5[[#This Row],[INVERSIONES FCI]])</f>
        <v>1774355989.8064728</v>
      </c>
      <c r="BV280" s="5">
        <f>IF($B279&lt;=Tabla5[[#This Row],[INVERSIONES FCI]],+Tabla5[[#This Row],[INVERSIONES FCI]]-BV279,Tabla5[[#This Row],[INVERSIONES FCI]])</f>
        <v>1774355989.8064728</v>
      </c>
      <c r="BW280" s="5">
        <f>IF($B279&lt;=Tabla5[[#This Row],[INVERSIONES FCI]],+Tabla5[[#This Row],[INVERSIONES FCI]]-BW279,Tabla5[[#This Row],[INVERSIONES FCI]])</f>
        <v>1774355989.8064728</v>
      </c>
      <c r="BX280" s="5">
        <f>IF($B279&lt;=Tabla5[[#This Row],[INVERSIONES FCI]],+Tabla5[[#This Row],[INVERSIONES FCI]]-BX279,Tabla5[[#This Row],[INVERSIONES FCI]])</f>
        <v>1774355989.8064728</v>
      </c>
      <c r="BY280" s="5">
        <f>IF($B279&lt;=Tabla5[[#This Row],[INVERSIONES FCI]],+Tabla5[[#This Row],[INVERSIONES FCI]]-BY279,Tabla5[[#This Row],[INVERSIONES FCI]])</f>
        <v>1774355989.8064728</v>
      </c>
      <c r="BZ280" s="5">
        <f>IF($B279&lt;=Tabla5[[#This Row],[INVERSIONES FCI]],+Tabla5[[#This Row],[INVERSIONES FCI]]-BZ279,Tabla5[[#This Row],[INVERSIONES FCI]])</f>
        <v>1774355989.8064728</v>
      </c>
      <c r="CA280" s="5">
        <f>IF($B279&lt;=Tabla5[[#This Row],[INVERSIONES FCI]],+Tabla5[[#This Row],[INVERSIONES FCI]]-CA279,Tabla5[[#This Row],[INVERSIONES FCI]])</f>
        <v>1774355989.8064728</v>
      </c>
      <c r="CB280" s="5">
        <f>IF($B279&lt;=Tabla5[[#This Row],[INVERSIONES FCI]],+Tabla5[[#This Row],[INVERSIONES FCI]]-CB279,Tabla5[[#This Row],[INVERSIONES FCI]])</f>
        <v>1774355989.8064728</v>
      </c>
      <c r="CC280" s="5">
        <f>IF($B279&lt;=Tabla5[[#This Row],[INVERSIONES FCI]],+Tabla5[[#This Row],[INVERSIONES FCI]]-CC279,Tabla5[[#This Row],[INVERSIONES FCI]])</f>
        <v>1774355989.8064728</v>
      </c>
      <c r="CD280" s="5">
        <f>IF($B279&lt;=Tabla5[[#This Row],[INVERSIONES FCI]],+Tabla5[[#This Row],[INVERSIONES FCI]]-CD279,Tabla5[[#This Row],[INVERSIONES FCI]])</f>
        <v>1774355989.8064728</v>
      </c>
      <c r="CE280" s="5">
        <f>IF($B279&lt;=Tabla5[[#This Row],[INVERSIONES FCI]],+Tabla5[[#This Row],[INVERSIONES FCI]]-CE279,Tabla5[[#This Row],[INVERSIONES FCI]])</f>
        <v>1774355989.8064728</v>
      </c>
      <c r="CF280" s="5">
        <f>IF($B279&lt;=Tabla5[[#This Row],[INVERSIONES FCI]],+Tabla5[[#This Row],[INVERSIONES FCI]]-CF279,Tabla5[[#This Row],[INVERSIONES FCI]])</f>
        <v>1774355989.8064728</v>
      </c>
      <c r="CG280" s="5">
        <f>IF($B279&lt;=Tabla5[[#This Row],[INVERSIONES FCI]],+Tabla5[[#This Row],[INVERSIONES FCI]]-CG279,Tabla5[[#This Row],[INVERSIONES FCI]])</f>
        <v>1774355989.8064728</v>
      </c>
      <c r="CH280" s="5">
        <f>IF($B279&lt;=Tabla5[[#This Row],[INVERSIONES FCI]],+Tabla5[[#This Row],[INVERSIONES FCI]]-CH279,Tabla5[[#This Row],[INVERSIONES FCI]])</f>
        <v>1774355989.8064728</v>
      </c>
      <c r="CI280" s="5">
        <f>IF($B279&lt;=Tabla5[[#This Row],[INVERSIONES FCI]],+Tabla5[[#This Row],[INVERSIONES FCI]]-CI279,Tabla5[[#This Row],[INVERSIONES FCI]])</f>
        <v>1774355989.8064728</v>
      </c>
      <c r="CJ280" s="5">
        <f>IF($B279&lt;=Tabla5[[#This Row],[INVERSIONES FCI]],+Tabla5[[#This Row],[INVERSIONES FCI]]-CJ279,Tabla5[[#This Row],[INVERSIONES FCI]])</f>
        <v>1774355989.8064728</v>
      </c>
      <c r="CK280" s="5">
        <f>IF($B279&lt;=Tabla5[[#This Row],[INVERSIONES FCI]],+Tabla5[[#This Row],[INVERSIONES FCI]]-CK279,Tabla5[[#This Row],[INVERSIONES FCI]])</f>
        <v>1774355989.8064728</v>
      </c>
      <c r="CL280" s="5">
        <f>IF($B279&lt;=Tabla5[[#This Row],[INVERSIONES FCI]],+Tabla5[[#This Row],[INVERSIONES FCI]]-CL279,Tabla5[[#This Row],[INVERSIONES FCI]])</f>
        <v>1774355989.8064728</v>
      </c>
      <c r="CM280" s="5">
        <f>IF($B279&lt;=Tabla5[[#This Row],[INVERSIONES FCI]],+Tabla5[[#This Row],[INVERSIONES FCI]]-CM279,Tabla5[[#This Row],[INVERSIONES FCI]])</f>
        <v>1774355989.8064728</v>
      </c>
      <c r="CN280" s="5">
        <f>IF($B279&lt;=Tabla5[[#This Row],[INVERSIONES FCI]],+Tabla5[[#This Row],[INVERSIONES FCI]]-CN279,Tabla5[[#This Row],[INVERSIONES FCI]])</f>
        <v>1774355989.8064728</v>
      </c>
      <c r="CO280" s="5">
        <f>IF($B279&lt;=Tabla5[[#This Row],[INVERSIONES FCI]],+Tabla5[[#This Row],[INVERSIONES FCI]]-CO279,Tabla5[[#This Row],[INVERSIONES FCI]])</f>
        <v>1774355989.8064728</v>
      </c>
      <c r="CP280" s="5">
        <f>IF($B279&lt;=Tabla5[[#This Row],[INVERSIONES FCI]],+Tabla5[[#This Row],[INVERSIONES FCI]]-CP279,Tabla5[[#This Row],[INVERSIONES FCI]])</f>
        <v>1774355989.8064728</v>
      </c>
      <c r="CQ280" s="5">
        <f>IF($B279&lt;=Tabla5[[#This Row],[INVERSIONES FCI]],+Tabla5[[#This Row],[INVERSIONES FCI]]-CQ279,Tabla5[[#This Row],[INVERSIONES FCI]])</f>
        <v>1774355989.8064728</v>
      </c>
      <c r="CR280" s="5">
        <f>IF($B279&lt;=Tabla5[[#This Row],[INVERSIONES FCI]],+Tabla5[[#This Row],[INVERSIONES FCI]]-CR279,Tabla5[[#This Row],[INVERSIONES FCI]])</f>
        <v>1774355989.8064728</v>
      </c>
      <c r="CS280" s="5">
        <f>IF($B279&lt;=Tabla5[[#This Row],[INVERSIONES FCI]],+Tabla5[[#This Row],[INVERSIONES FCI]]-CS279,Tabla5[[#This Row],[INVERSIONES FCI]])</f>
        <v>1774355989.8064728</v>
      </c>
      <c r="CT280" s="5">
        <f>IF($B279&lt;=Tabla5[[#This Row],[INVERSIONES FCI]],+Tabla5[[#This Row],[INVERSIONES FCI]]-CT279,Tabla5[[#This Row],[INVERSIONES FCI]])</f>
        <v>1774355989.8064728</v>
      </c>
      <c r="CU280" s="5">
        <f>IF($B279&lt;=Tabla5[[#This Row],[INVERSIONES FCI]],+Tabla5[[#This Row],[INVERSIONES FCI]]-CU279,Tabla5[[#This Row],[INVERSIONES FCI]])</f>
        <v>1774355989.8064728</v>
      </c>
      <c r="CV280" s="5">
        <f>IF($B279&lt;=Tabla5[[#This Row],[INVERSIONES FCI]],+Tabla5[[#This Row],[INVERSIONES FCI]]-CV279,Tabla5[[#This Row],[INVERSIONES FCI]])</f>
        <v>1774355989.8064728</v>
      </c>
      <c r="CW280" s="5">
        <f>IF($B279&lt;=Tabla5[[#This Row],[INVERSIONES FCI]],+Tabla5[[#This Row],[INVERSIONES FCI]]-CW279,Tabla5[[#This Row],[INVERSIONES FCI]])</f>
        <v>1774355989.8064728</v>
      </c>
      <c r="CX280" s="5">
        <f>IF($B279&lt;=Tabla5[[#This Row],[INVERSIONES FCI]],+Tabla5[[#This Row],[INVERSIONES FCI]]-CX279,Tabla5[[#This Row],[INVERSIONES FCI]])</f>
        <v>1774355989.8064728</v>
      </c>
      <c r="CY280" s="5">
        <f>IF($B279&lt;=Tabla5[[#This Row],[INVERSIONES FCI]],+Tabla5[[#This Row],[INVERSIONES FCI]]-CY279,Tabla5[[#This Row],[INVERSIONES FCI]])</f>
        <v>1774355989.8064728</v>
      </c>
      <c r="CZ280" s="5">
        <f>IF($B279&lt;=Tabla5[[#This Row],[INVERSIONES FCI]],+Tabla5[[#This Row],[INVERSIONES FCI]]-CZ279,Tabla5[[#This Row],[INVERSIONES FCI]])</f>
        <v>1774355989.8064728</v>
      </c>
      <c r="DA280" s="5">
        <f>IF($B279&lt;=Tabla5[[#This Row],[INVERSIONES FCI]],+Tabla5[[#This Row],[INVERSIONES FCI]]-DA279,Tabla5[[#This Row],[INVERSIONES FCI]])</f>
        <v>1774355989.8064728</v>
      </c>
      <c r="DB280" s="5">
        <f>IF($B279&lt;=Tabla5[[#This Row],[INVERSIONES FCI]],+Tabla5[[#This Row],[INVERSIONES FCI]]-DB279,Tabla5[[#This Row],[INVERSIONES FCI]])</f>
        <v>1774355989.8064728</v>
      </c>
      <c r="DC280" s="5">
        <f>IF($B279&lt;=Tabla5[[#This Row],[INVERSIONES FCI]],+Tabla5[[#This Row],[INVERSIONES FCI]]-DC279,Tabla5[[#This Row],[INVERSIONES FCI]])</f>
        <v>1774355989.8064728</v>
      </c>
      <c r="DD280" s="5">
        <f>IF($B279&lt;=Tabla5[[#This Row],[INVERSIONES FCI]],+Tabla5[[#This Row],[INVERSIONES FCI]]-DD279,Tabla5[[#This Row],[INVERSIONES FCI]])</f>
        <v>1774355989.8064728</v>
      </c>
      <c r="DE280" s="5">
        <f>IF($B279&lt;=Tabla5[[#This Row],[INVERSIONES FCI]],+Tabla5[[#This Row],[INVERSIONES FCI]]-DE279,Tabla5[[#This Row],[INVERSIONES FCI]])</f>
        <v>1774355989.8064728</v>
      </c>
      <c r="DF280" s="5">
        <f>IF($B279&lt;=Tabla5[[#This Row],[INVERSIONES FCI]],+Tabla5[[#This Row],[INVERSIONES FCI]]-DF279,Tabla5[[#This Row],[INVERSIONES FCI]])</f>
        <v>1774355989.8064728</v>
      </c>
      <c r="DG280" s="5">
        <f>IF($B279&lt;=Tabla5[[#This Row],[INVERSIONES FCI]],+Tabla5[[#This Row],[INVERSIONES FCI]]-DG279,Tabla5[[#This Row],[INVERSIONES FCI]])</f>
        <v>1774355989.8064728</v>
      </c>
      <c r="DH280" s="5">
        <f>IF($B279&lt;=Tabla5[[#This Row],[INVERSIONES FCI]],+Tabla5[[#This Row],[INVERSIONES FCI]]-DH279,Tabla5[[#This Row],[INVERSIONES FCI]])</f>
        <v>1774355989.8064728</v>
      </c>
      <c r="DI280" s="5">
        <f>IF($B279&lt;=Tabla5[[#This Row],[INVERSIONES FCI]],+Tabla5[[#This Row],[INVERSIONES FCI]]-DI279,Tabla5[[#This Row],[INVERSIONES FCI]])</f>
        <v>1774355989.8064728</v>
      </c>
      <c r="DJ280" s="5">
        <f>IF($B279&lt;=Tabla5[[#This Row],[INVERSIONES FCI]],+Tabla5[[#This Row],[INVERSIONES FCI]]-DJ279,Tabla5[[#This Row],[INVERSIONES FCI]])</f>
        <v>1774355989.8064728</v>
      </c>
      <c r="DK280" s="5">
        <f>IF($B279&lt;=Tabla5[[#This Row],[INVERSIONES FCI]],+Tabla5[[#This Row],[INVERSIONES FCI]]-DK279,Tabla5[[#This Row],[INVERSIONES FCI]])</f>
        <v>1774355989.8064728</v>
      </c>
      <c r="DL280" s="5"/>
      <c r="DM280" s="5"/>
      <c r="DN280" s="5"/>
      <c r="DO280" s="5"/>
      <c r="DP280" s="5"/>
      <c r="DQ280" s="5"/>
    </row>
    <row r="281" spans="1:121" ht="14.4">
      <c r="A281" s="12" t="s">
        <v>280</v>
      </c>
      <c r="B281" s="5">
        <f>HLOOKUP($A281,ESCENARIO[#All],7,FALSE)</f>
        <v>53512829207.60379</v>
      </c>
      <c r="C281" s="5">
        <f>IF($B280&lt;=Tabla5[[#This Row],[INVERSIONES FCI]],+Tabla5[[#This Row],[INVERSIONES FCI]]-C280,Tabla5[[#This Row],[INVERSIONES FCI]])</f>
        <v>51738473217.797318</v>
      </c>
      <c r="D281" s="5">
        <f>IF($B280&lt;=Tabla5[[#This Row],[INVERSIONES FCI]],+Tabla5[[#This Row],[INVERSIONES FCI]]-D280,Tabla5[[#This Row],[INVERSIONES FCI]])</f>
        <v>51738473217.797318</v>
      </c>
      <c r="E281" s="5">
        <f>IF($B280&lt;=Tabla5[[#This Row],[INVERSIONES FCI]],+Tabla5[[#This Row],[INVERSIONES FCI]]-E280,Tabla5[[#This Row],[INVERSIONES FCI]])</f>
        <v>51738473217.797318</v>
      </c>
      <c r="F281" s="5">
        <f>IF($B280&lt;=Tabla5[[#This Row],[INVERSIONES FCI]],+Tabla5[[#This Row],[INVERSIONES FCI]]-F280,Tabla5[[#This Row],[INVERSIONES FCI]])</f>
        <v>51738473217.797318</v>
      </c>
      <c r="G281" s="5">
        <f>IF($B280&lt;=Tabla5[[#This Row],[INVERSIONES FCI]],+Tabla5[[#This Row],[INVERSIONES FCI]]-G280,Tabla5[[#This Row],[INVERSIONES FCI]])</f>
        <v>51738473217.797318</v>
      </c>
      <c r="H281" s="5">
        <f>IF($B280&lt;=Tabla5[[#This Row],[INVERSIONES FCI]],+Tabla5[[#This Row],[INVERSIONES FCI]]-H280,Tabla5[[#This Row],[INVERSIONES FCI]])</f>
        <v>51738473217.797318</v>
      </c>
      <c r="I281" s="5">
        <f>IF($B280&lt;=Tabla5[[#This Row],[INVERSIONES FCI]],+Tabla5[[#This Row],[INVERSIONES FCI]]-I280,Tabla5[[#This Row],[INVERSIONES FCI]])</f>
        <v>51738473217.797318</v>
      </c>
      <c r="J281" s="5">
        <f>IF($B280&lt;=Tabla5[[#This Row],[INVERSIONES FCI]],+Tabla5[[#This Row],[INVERSIONES FCI]]-J280,Tabla5[[#This Row],[INVERSIONES FCI]])</f>
        <v>51738473217.797318</v>
      </c>
      <c r="K281" s="5">
        <f>IF($B280&lt;=Tabla5[[#This Row],[INVERSIONES FCI]],+Tabla5[[#This Row],[INVERSIONES FCI]]-K280,Tabla5[[#This Row],[INVERSIONES FCI]])</f>
        <v>51738473217.797318</v>
      </c>
      <c r="L281" s="5">
        <f>IF($B280&lt;=Tabla5[[#This Row],[INVERSIONES FCI]],+Tabla5[[#This Row],[INVERSIONES FCI]]-L280,Tabla5[[#This Row],[INVERSIONES FCI]])</f>
        <v>51738473217.797318</v>
      </c>
      <c r="M281" s="5">
        <f>IF($B280&lt;=Tabla5[[#This Row],[INVERSIONES FCI]],+Tabla5[[#This Row],[INVERSIONES FCI]]-M280,Tabla5[[#This Row],[INVERSIONES FCI]])</f>
        <v>51738473217.797318</v>
      </c>
      <c r="N281" s="5">
        <f>IF($B280&lt;=Tabla5[[#This Row],[INVERSIONES FCI]],+Tabla5[[#This Row],[INVERSIONES FCI]]-N280,Tabla5[[#This Row],[INVERSIONES FCI]])</f>
        <v>51738473217.797318</v>
      </c>
      <c r="O281" s="5">
        <f>IF($B280&lt;=Tabla5[[#This Row],[INVERSIONES FCI]],+Tabla5[[#This Row],[INVERSIONES FCI]]-O280,Tabla5[[#This Row],[INVERSIONES FCI]])</f>
        <v>51738473217.797318</v>
      </c>
      <c r="P281" s="5">
        <f>IF($B280&lt;=Tabla5[[#This Row],[INVERSIONES FCI]],+Tabla5[[#This Row],[INVERSIONES FCI]]-P280,Tabla5[[#This Row],[INVERSIONES FCI]])</f>
        <v>51738473217.797318</v>
      </c>
      <c r="Q281" s="5">
        <f>IF($B280&lt;=Tabla5[[#This Row],[INVERSIONES FCI]],+Tabla5[[#This Row],[INVERSIONES FCI]]-Q280,Tabla5[[#This Row],[INVERSIONES FCI]])</f>
        <v>51738473217.797318</v>
      </c>
      <c r="R281" s="5">
        <f>IF($B280&lt;=Tabla5[[#This Row],[INVERSIONES FCI]],+Tabla5[[#This Row],[INVERSIONES FCI]]-R280,Tabla5[[#This Row],[INVERSIONES FCI]])</f>
        <v>51738473217.797318</v>
      </c>
      <c r="S281" s="5">
        <f>IF($B280&lt;=Tabla5[[#This Row],[INVERSIONES FCI]],+Tabla5[[#This Row],[INVERSIONES FCI]]-S280,Tabla5[[#This Row],[INVERSIONES FCI]])</f>
        <v>51738473217.797318</v>
      </c>
      <c r="T281" s="5">
        <f>IF($B280&lt;=Tabla5[[#This Row],[INVERSIONES FCI]],+Tabla5[[#This Row],[INVERSIONES FCI]]-T280,Tabla5[[#This Row],[INVERSIONES FCI]])</f>
        <v>51738473217.797318</v>
      </c>
      <c r="U281" s="5">
        <f>IF($B280&lt;=Tabla5[[#This Row],[INVERSIONES FCI]],+Tabla5[[#This Row],[INVERSIONES FCI]]-U280,Tabla5[[#This Row],[INVERSIONES FCI]])</f>
        <v>51738473217.797318</v>
      </c>
      <c r="V281" s="5">
        <f>IF($B280&lt;=Tabla5[[#This Row],[INVERSIONES FCI]],+Tabla5[[#This Row],[INVERSIONES FCI]]-V280,Tabla5[[#This Row],[INVERSIONES FCI]])</f>
        <v>51738473217.797318</v>
      </c>
      <c r="W281" s="5">
        <f>IF($B280&lt;=Tabla5[[#This Row],[INVERSIONES FCI]],+Tabla5[[#This Row],[INVERSIONES FCI]]-W280,Tabla5[[#This Row],[INVERSIONES FCI]])</f>
        <v>51738473217.797318</v>
      </c>
      <c r="X281" s="5">
        <f>IF($B280&lt;=Tabla5[[#This Row],[INVERSIONES FCI]],+Tabla5[[#This Row],[INVERSIONES FCI]]-X280,Tabla5[[#This Row],[INVERSIONES FCI]])</f>
        <v>51738473217.797318</v>
      </c>
      <c r="Y281" s="5">
        <f>IF($B280&lt;=Tabla5[[#This Row],[INVERSIONES FCI]],+Tabla5[[#This Row],[INVERSIONES FCI]]-Y280,Tabla5[[#This Row],[INVERSIONES FCI]])</f>
        <v>51738473217.797318</v>
      </c>
      <c r="Z281" s="5">
        <f>IF($B280&lt;=Tabla5[[#This Row],[INVERSIONES FCI]],+Tabla5[[#This Row],[INVERSIONES FCI]]-Z280,Tabla5[[#This Row],[INVERSIONES FCI]])</f>
        <v>51738473217.797318</v>
      </c>
      <c r="AA281" s="5">
        <f>IF($B280&lt;=Tabla5[[#This Row],[INVERSIONES FCI]],+Tabla5[[#This Row],[INVERSIONES FCI]]-AA280,Tabla5[[#This Row],[INVERSIONES FCI]])</f>
        <v>51738473217.797318</v>
      </c>
      <c r="AB281" s="5">
        <f>IF($B280&lt;=Tabla5[[#This Row],[INVERSIONES FCI]],+Tabla5[[#This Row],[INVERSIONES FCI]]-AB280,Tabla5[[#This Row],[INVERSIONES FCI]])</f>
        <v>51738473217.797318</v>
      </c>
      <c r="AC281" s="5">
        <f>IF($B280&lt;=Tabla5[[#This Row],[INVERSIONES FCI]],+Tabla5[[#This Row],[INVERSIONES FCI]]-AC280,Tabla5[[#This Row],[INVERSIONES FCI]])</f>
        <v>51738473217.797318</v>
      </c>
      <c r="AD281" s="5">
        <f>IF($B280&lt;=Tabla5[[#This Row],[INVERSIONES FCI]],+Tabla5[[#This Row],[INVERSIONES FCI]]-AD280,Tabla5[[#This Row],[INVERSIONES FCI]])</f>
        <v>51738473217.797318</v>
      </c>
      <c r="AE281" s="5">
        <f>IF($B280&lt;=Tabla5[[#This Row],[INVERSIONES FCI]],+Tabla5[[#This Row],[INVERSIONES FCI]]-AE280,Tabla5[[#This Row],[INVERSIONES FCI]])</f>
        <v>51738473217.797318</v>
      </c>
      <c r="AF281" s="5">
        <f>IF($B280&lt;=Tabla5[[#This Row],[INVERSIONES FCI]],+Tabla5[[#This Row],[INVERSIONES FCI]]-AF280,Tabla5[[#This Row],[INVERSIONES FCI]])</f>
        <v>51738473217.797318</v>
      </c>
      <c r="AG281" s="5">
        <f>IF($B280&lt;=Tabla5[[#This Row],[INVERSIONES FCI]],+Tabla5[[#This Row],[INVERSIONES FCI]]-AG280,Tabla5[[#This Row],[INVERSIONES FCI]])</f>
        <v>51738473217.797318</v>
      </c>
      <c r="AH281" s="5">
        <f>IF($B280&lt;=Tabla5[[#This Row],[INVERSIONES FCI]],+Tabla5[[#This Row],[INVERSIONES FCI]]-AH280,Tabla5[[#This Row],[INVERSIONES FCI]])</f>
        <v>51738473217.797318</v>
      </c>
      <c r="AI281" s="5">
        <f>IF($B280&lt;=Tabla5[[#This Row],[INVERSIONES FCI]],+Tabla5[[#This Row],[INVERSIONES FCI]]-AI280,Tabla5[[#This Row],[INVERSIONES FCI]])</f>
        <v>51738473217.797318</v>
      </c>
      <c r="AJ281" s="5">
        <f>IF($B280&lt;=Tabla5[[#This Row],[INVERSIONES FCI]],+Tabla5[[#This Row],[INVERSIONES FCI]]-AJ280,Tabla5[[#This Row],[INVERSIONES FCI]])</f>
        <v>51738473217.797318</v>
      </c>
      <c r="AK281" s="5">
        <f>IF($B280&lt;=Tabla5[[#This Row],[INVERSIONES FCI]],+Tabla5[[#This Row],[INVERSIONES FCI]]-AK280,Tabla5[[#This Row],[INVERSIONES FCI]])</f>
        <v>51738473217.797318</v>
      </c>
      <c r="AL281" s="5">
        <f>IF($B280&lt;=Tabla5[[#This Row],[INVERSIONES FCI]],+Tabla5[[#This Row],[INVERSIONES FCI]]-AL280,Tabla5[[#This Row],[INVERSIONES FCI]])</f>
        <v>51738473217.797318</v>
      </c>
      <c r="AM281" s="5">
        <f>IF($B280&lt;=Tabla5[[#This Row],[INVERSIONES FCI]],+Tabla5[[#This Row],[INVERSIONES FCI]]-AM280,Tabla5[[#This Row],[INVERSIONES FCI]])</f>
        <v>51738473217.797318</v>
      </c>
      <c r="AN281" s="5">
        <f>IF($B280&lt;=Tabla5[[#This Row],[INVERSIONES FCI]],+Tabla5[[#This Row],[INVERSIONES FCI]]-AN280,Tabla5[[#This Row],[INVERSIONES FCI]])</f>
        <v>51738473217.797318</v>
      </c>
      <c r="AO281" s="5">
        <f>IF($B280&lt;=Tabla5[[#This Row],[INVERSIONES FCI]],+Tabla5[[#This Row],[INVERSIONES FCI]]-AO280,Tabla5[[#This Row],[INVERSIONES FCI]])</f>
        <v>51738473217.797318</v>
      </c>
      <c r="AP281" s="5">
        <f>IF($B280&lt;=Tabla5[[#This Row],[INVERSIONES FCI]],+Tabla5[[#This Row],[INVERSIONES FCI]]-AP280,Tabla5[[#This Row],[INVERSIONES FCI]])</f>
        <v>51738473217.797318</v>
      </c>
      <c r="AQ281" s="5">
        <f>IF($B280&lt;=Tabla5[[#This Row],[INVERSIONES FCI]],+Tabla5[[#This Row],[INVERSIONES FCI]]-AQ280,Tabla5[[#This Row],[INVERSIONES FCI]])</f>
        <v>51738473217.797318</v>
      </c>
      <c r="AR281" s="5">
        <f>IF($B280&lt;=Tabla5[[#This Row],[INVERSIONES FCI]],+Tabla5[[#This Row],[INVERSIONES FCI]]-AR280,Tabla5[[#This Row],[INVERSIONES FCI]])</f>
        <v>51738473217.797318</v>
      </c>
      <c r="AS281" s="5">
        <f>IF($B280&lt;=Tabla5[[#This Row],[INVERSIONES FCI]],+Tabla5[[#This Row],[INVERSIONES FCI]]-AS280,Tabla5[[#This Row],[INVERSIONES FCI]])</f>
        <v>51738473217.797318</v>
      </c>
      <c r="AT281" s="5">
        <f>IF($B280&lt;=Tabla5[[#This Row],[INVERSIONES FCI]],+Tabla5[[#This Row],[INVERSIONES FCI]]-AT280,Tabla5[[#This Row],[INVERSIONES FCI]])</f>
        <v>51738473217.797318</v>
      </c>
      <c r="AU281" s="5">
        <f>IF($B280&lt;=Tabla5[[#This Row],[INVERSIONES FCI]],+Tabla5[[#This Row],[INVERSIONES FCI]]-AU280,Tabla5[[#This Row],[INVERSIONES FCI]])</f>
        <v>51738473217.797318</v>
      </c>
      <c r="AV281" s="5">
        <f>IF($B280&lt;=Tabla5[[#This Row],[INVERSIONES FCI]],+Tabla5[[#This Row],[INVERSIONES FCI]]-AV280,Tabla5[[#This Row],[INVERSIONES FCI]])</f>
        <v>51738473217.797318</v>
      </c>
      <c r="AW281" s="5">
        <f>IF($B280&lt;=Tabla5[[#This Row],[INVERSIONES FCI]],+Tabla5[[#This Row],[INVERSIONES FCI]]-AW280,Tabla5[[#This Row],[INVERSIONES FCI]])</f>
        <v>51738473217.797318</v>
      </c>
      <c r="AX281" s="5">
        <f>IF($B280&lt;=Tabla5[[#This Row],[INVERSIONES FCI]],+Tabla5[[#This Row],[INVERSIONES FCI]]-AX280,Tabla5[[#This Row],[INVERSIONES FCI]])</f>
        <v>51738473217.797318</v>
      </c>
      <c r="AY281" s="5">
        <f>IF($B280&lt;=Tabla5[[#This Row],[INVERSIONES FCI]],+Tabla5[[#This Row],[INVERSIONES FCI]]-AY280,Tabla5[[#This Row],[INVERSIONES FCI]])</f>
        <v>51738473217.797318</v>
      </c>
      <c r="AZ281" s="5">
        <f>IF($B280&lt;=Tabla5[[#This Row],[INVERSIONES FCI]],+Tabla5[[#This Row],[INVERSIONES FCI]]-AZ280,Tabla5[[#This Row],[INVERSIONES FCI]])</f>
        <v>51738473217.797318</v>
      </c>
      <c r="BA281" s="5">
        <f>IF($B280&lt;=Tabla5[[#This Row],[INVERSIONES FCI]],+Tabla5[[#This Row],[INVERSIONES FCI]]-BA280,Tabla5[[#This Row],[INVERSIONES FCI]])</f>
        <v>51738473217.797318</v>
      </c>
      <c r="BB281" s="5">
        <f>IF($B280&lt;=Tabla5[[#This Row],[INVERSIONES FCI]],+Tabla5[[#This Row],[INVERSIONES FCI]]-BB280,Tabla5[[#This Row],[INVERSIONES FCI]])</f>
        <v>51738473217.797318</v>
      </c>
      <c r="BC281" s="5">
        <f>IF($B280&lt;=Tabla5[[#This Row],[INVERSIONES FCI]],+Tabla5[[#This Row],[INVERSIONES FCI]]-BC280,Tabla5[[#This Row],[INVERSIONES FCI]])</f>
        <v>51738473217.797318</v>
      </c>
      <c r="BD281" s="5">
        <f>IF($B280&lt;=Tabla5[[#This Row],[INVERSIONES FCI]],+Tabla5[[#This Row],[INVERSIONES FCI]]-BD280,Tabla5[[#This Row],[INVERSIONES FCI]])</f>
        <v>51738473217.797318</v>
      </c>
      <c r="BE281" s="5">
        <f>IF($B280&lt;=Tabla5[[#This Row],[INVERSIONES FCI]],+Tabla5[[#This Row],[INVERSIONES FCI]]-BE280,Tabla5[[#This Row],[INVERSIONES FCI]])</f>
        <v>51738473217.797318</v>
      </c>
      <c r="BF281" s="5">
        <f>IF($B280&lt;=Tabla5[[#This Row],[INVERSIONES FCI]],+Tabla5[[#This Row],[INVERSIONES FCI]]-BF280,Tabla5[[#This Row],[INVERSIONES FCI]])</f>
        <v>51738473217.797318</v>
      </c>
      <c r="BG281" s="5">
        <f>IF($B280&lt;=Tabla5[[#This Row],[INVERSIONES FCI]],+Tabla5[[#This Row],[INVERSIONES FCI]]-BG280,Tabla5[[#This Row],[INVERSIONES FCI]])</f>
        <v>51738473217.797318</v>
      </c>
      <c r="BH281" s="5">
        <f>IF($B280&lt;=Tabla5[[#This Row],[INVERSIONES FCI]],+Tabla5[[#This Row],[INVERSIONES FCI]]-BH280,Tabla5[[#This Row],[INVERSIONES FCI]])</f>
        <v>51738473217.797318</v>
      </c>
      <c r="BI281" s="5">
        <f>IF($B280&lt;=Tabla5[[#This Row],[INVERSIONES FCI]],+Tabla5[[#This Row],[INVERSIONES FCI]]-BI280,Tabla5[[#This Row],[INVERSIONES FCI]])</f>
        <v>51738473217.797318</v>
      </c>
      <c r="BJ281" s="5">
        <f>IF($B280&lt;=Tabla5[[#This Row],[INVERSIONES FCI]],+Tabla5[[#This Row],[INVERSIONES FCI]]-BJ280,Tabla5[[#This Row],[INVERSIONES FCI]])</f>
        <v>51738473217.797318</v>
      </c>
      <c r="BK281" s="5">
        <f>IF($B280&lt;=Tabla5[[#This Row],[INVERSIONES FCI]],+Tabla5[[#This Row],[INVERSIONES FCI]]-BK280,Tabla5[[#This Row],[INVERSIONES FCI]])</f>
        <v>51738473217.797318</v>
      </c>
      <c r="BL281" s="5">
        <f>IF($B280&lt;=Tabla5[[#This Row],[INVERSIONES FCI]],+Tabla5[[#This Row],[INVERSIONES FCI]]-BL280,Tabla5[[#This Row],[INVERSIONES FCI]])</f>
        <v>51738473217.797318</v>
      </c>
      <c r="BM281" s="5">
        <f>IF($B280&lt;=Tabla5[[#This Row],[INVERSIONES FCI]],+Tabla5[[#This Row],[INVERSIONES FCI]]-BM280,Tabla5[[#This Row],[INVERSIONES FCI]])</f>
        <v>51738473217.797318</v>
      </c>
      <c r="BN281" s="5">
        <f>IF($B280&lt;=Tabla5[[#This Row],[INVERSIONES FCI]],+Tabla5[[#This Row],[INVERSIONES FCI]]-BN280,Tabla5[[#This Row],[INVERSIONES FCI]])</f>
        <v>51738473217.797318</v>
      </c>
      <c r="BO281" s="5">
        <f>IF($B280&lt;=Tabla5[[#This Row],[INVERSIONES FCI]],+Tabla5[[#This Row],[INVERSIONES FCI]]-BO280,Tabla5[[#This Row],[INVERSIONES FCI]])</f>
        <v>51738473217.797318</v>
      </c>
      <c r="BP281" s="5">
        <f>IF($B280&lt;=Tabla5[[#This Row],[INVERSIONES FCI]],+Tabla5[[#This Row],[INVERSIONES FCI]]-BP280,Tabla5[[#This Row],[INVERSIONES FCI]])</f>
        <v>51738473217.797318</v>
      </c>
      <c r="BQ281" s="5">
        <f>IF($B280&lt;=Tabla5[[#This Row],[INVERSIONES FCI]],+Tabla5[[#This Row],[INVERSIONES FCI]]-BQ280,Tabla5[[#This Row],[INVERSIONES FCI]])</f>
        <v>51738473217.797318</v>
      </c>
      <c r="BR281" s="5">
        <f>IF($B280&lt;=Tabla5[[#This Row],[INVERSIONES FCI]],+Tabla5[[#This Row],[INVERSIONES FCI]]-BR280,Tabla5[[#This Row],[INVERSIONES FCI]])</f>
        <v>51738473217.797318</v>
      </c>
      <c r="BS281" s="5">
        <f>IF($B280&lt;=Tabla5[[#This Row],[INVERSIONES FCI]],+Tabla5[[#This Row],[INVERSIONES FCI]]-BS280,Tabla5[[#This Row],[INVERSIONES FCI]])</f>
        <v>51738473217.797318</v>
      </c>
      <c r="BT281" s="5">
        <f>IF($B280&lt;=Tabla5[[#This Row],[INVERSIONES FCI]],+Tabla5[[#This Row],[INVERSIONES FCI]]-BT280,Tabla5[[#This Row],[INVERSIONES FCI]])</f>
        <v>51738473217.797318</v>
      </c>
      <c r="BU281" s="5">
        <f>IF($B280&lt;=Tabla5[[#This Row],[INVERSIONES FCI]],+Tabla5[[#This Row],[INVERSIONES FCI]]-BU280,Tabla5[[#This Row],[INVERSIONES FCI]])</f>
        <v>51738473217.797318</v>
      </c>
      <c r="BV281" s="5">
        <f>IF($B280&lt;=Tabla5[[#This Row],[INVERSIONES FCI]],+Tabla5[[#This Row],[INVERSIONES FCI]]-BV280,Tabla5[[#This Row],[INVERSIONES FCI]])</f>
        <v>51738473217.797318</v>
      </c>
      <c r="BW281" s="5">
        <f>IF($B280&lt;=Tabla5[[#This Row],[INVERSIONES FCI]],+Tabla5[[#This Row],[INVERSIONES FCI]]-BW280,Tabla5[[#This Row],[INVERSIONES FCI]])</f>
        <v>51738473217.797318</v>
      </c>
      <c r="BX281" s="5">
        <f>IF($B280&lt;=Tabla5[[#This Row],[INVERSIONES FCI]],+Tabla5[[#This Row],[INVERSIONES FCI]]-BX280,Tabla5[[#This Row],[INVERSIONES FCI]])</f>
        <v>51738473217.797318</v>
      </c>
      <c r="BY281" s="5">
        <f>IF($B280&lt;=Tabla5[[#This Row],[INVERSIONES FCI]],+Tabla5[[#This Row],[INVERSIONES FCI]]-BY280,Tabla5[[#This Row],[INVERSIONES FCI]])</f>
        <v>51738473217.797318</v>
      </c>
      <c r="BZ281" s="5">
        <f>IF($B280&lt;=Tabla5[[#This Row],[INVERSIONES FCI]],+Tabla5[[#This Row],[INVERSIONES FCI]]-BZ280,Tabla5[[#This Row],[INVERSIONES FCI]])</f>
        <v>51738473217.797318</v>
      </c>
      <c r="CA281" s="5">
        <f>IF($B280&lt;=Tabla5[[#This Row],[INVERSIONES FCI]],+Tabla5[[#This Row],[INVERSIONES FCI]]-CA280,Tabla5[[#This Row],[INVERSIONES FCI]])</f>
        <v>51738473217.797318</v>
      </c>
      <c r="CB281" s="5">
        <f>IF($B280&lt;=Tabla5[[#This Row],[INVERSIONES FCI]],+Tabla5[[#This Row],[INVERSIONES FCI]]-CB280,Tabla5[[#This Row],[INVERSIONES FCI]])</f>
        <v>51738473217.797318</v>
      </c>
      <c r="CC281" s="5">
        <f>IF($B280&lt;=Tabla5[[#This Row],[INVERSIONES FCI]],+Tabla5[[#This Row],[INVERSIONES FCI]]-CC280,Tabla5[[#This Row],[INVERSIONES FCI]])</f>
        <v>51738473217.797318</v>
      </c>
      <c r="CD281" s="5">
        <f>IF($B280&lt;=Tabla5[[#This Row],[INVERSIONES FCI]],+Tabla5[[#This Row],[INVERSIONES FCI]]-CD280,Tabla5[[#This Row],[INVERSIONES FCI]])</f>
        <v>51738473217.797318</v>
      </c>
      <c r="CE281" s="5">
        <f>IF($B280&lt;=Tabla5[[#This Row],[INVERSIONES FCI]],+Tabla5[[#This Row],[INVERSIONES FCI]]-CE280,Tabla5[[#This Row],[INVERSIONES FCI]])</f>
        <v>51738473217.797318</v>
      </c>
      <c r="CF281" s="5">
        <f>IF($B280&lt;=Tabla5[[#This Row],[INVERSIONES FCI]],+Tabla5[[#This Row],[INVERSIONES FCI]]-CF280,Tabla5[[#This Row],[INVERSIONES FCI]])</f>
        <v>51738473217.797318</v>
      </c>
      <c r="CG281" s="5">
        <f>IF($B280&lt;=Tabla5[[#This Row],[INVERSIONES FCI]],+Tabla5[[#This Row],[INVERSIONES FCI]]-CG280,Tabla5[[#This Row],[INVERSIONES FCI]])</f>
        <v>51738473217.797318</v>
      </c>
      <c r="CH281" s="5">
        <f>IF($B280&lt;=Tabla5[[#This Row],[INVERSIONES FCI]],+Tabla5[[#This Row],[INVERSIONES FCI]]-CH280,Tabla5[[#This Row],[INVERSIONES FCI]])</f>
        <v>51738473217.797318</v>
      </c>
      <c r="CI281" s="5">
        <f>IF($B280&lt;=Tabla5[[#This Row],[INVERSIONES FCI]],+Tabla5[[#This Row],[INVERSIONES FCI]]-CI280,Tabla5[[#This Row],[INVERSIONES FCI]])</f>
        <v>51738473217.797318</v>
      </c>
      <c r="CJ281" s="5">
        <f>IF($B280&lt;=Tabla5[[#This Row],[INVERSIONES FCI]],+Tabla5[[#This Row],[INVERSIONES FCI]]-CJ280,Tabla5[[#This Row],[INVERSIONES FCI]])</f>
        <v>51738473217.797318</v>
      </c>
      <c r="CK281" s="5">
        <f>IF($B280&lt;=Tabla5[[#This Row],[INVERSIONES FCI]],+Tabla5[[#This Row],[INVERSIONES FCI]]-CK280,Tabla5[[#This Row],[INVERSIONES FCI]])</f>
        <v>51738473217.797318</v>
      </c>
      <c r="CL281" s="5">
        <f>IF($B280&lt;=Tabla5[[#This Row],[INVERSIONES FCI]],+Tabla5[[#This Row],[INVERSIONES FCI]]-CL280,Tabla5[[#This Row],[INVERSIONES FCI]])</f>
        <v>51738473217.797318</v>
      </c>
      <c r="CM281" s="5">
        <f>IF($B280&lt;=Tabla5[[#This Row],[INVERSIONES FCI]],+Tabla5[[#This Row],[INVERSIONES FCI]]-CM280,Tabla5[[#This Row],[INVERSIONES FCI]])</f>
        <v>51738473217.797318</v>
      </c>
      <c r="CN281" s="5">
        <f>IF($B280&lt;=Tabla5[[#This Row],[INVERSIONES FCI]],+Tabla5[[#This Row],[INVERSIONES FCI]]-CN280,Tabla5[[#This Row],[INVERSIONES FCI]])</f>
        <v>51738473217.797318</v>
      </c>
      <c r="CO281" s="5">
        <f>IF($B280&lt;=Tabla5[[#This Row],[INVERSIONES FCI]],+Tabla5[[#This Row],[INVERSIONES FCI]]-CO280,Tabla5[[#This Row],[INVERSIONES FCI]])</f>
        <v>51738473217.797318</v>
      </c>
      <c r="CP281" s="5">
        <f>IF($B280&lt;=Tabla5[[#This Row],[INVERSIONES FCI]],+Tabla5[[#This Row],[INVERSIONES FCI]]-CP280,Tabla5[[#This Row],[INVERSIONES FCI]])</f>
        <v>51738473217.797318</v>
      </c>
      <c r="CQ281" s="5">
        <f>IF($B280&lt;=Tabla5[[#This Row],[INVERSIONES FCI]],+Tabla5[[#This Row],[INVERSIONES FCI]]-CQ280,Tabla5[[#This Row],[INVERSIONES FCI]])</f>
        <v>51738473217.797318</v>
      </c>
      <c r="CR281" s="5">
        <f>IF($B280&lt;=Tabla5[[#This Row],[INVERSIONES FCI]],+Tabla5[[#This Row],[INVERSIONES FCI]]-CR280,Tabla5[[#This Row],[INVERSIONES FCI]])</f>
        <v>51738473217.797318</v>
      </c>
      <c r="CS281" s="5">
        <f>IF($B280&lt;=Tabla5[[#This Row],[INVERSIONES FCI]],+Tabla5[[#This Row],[INVERSIONES FCI]]-CS280,Tabla5[[#This Row],[INVERSIONES FCI]])</f>
        <v>51738473217.797318</v>
      </c>
      <c r="CT281" s="5">
        <f>IF($B280&lt;=Tabla5[[#This Row],[INVERSIONES FCI]],+Tabla5[[#This Row],[INVERSIONES FCI]]-CT280,Tabla5[[#This Row],[INVERSIONES FCI]])</f>
        <v>51738473217.797318</v>
      </c>
      <c r="CU281" s="5">
        <f>IF($B280&lt;=Tabla5[[#This Row],[INVERSIONES FCI]],+Tabla5[[#This Row],[INVERSIONES FCI]]-CU280,Tabla5[[#This Row],[INVERSIONES FCI]])</f>
        <v>51738473217.797318</v>
      </c>
      <c r="CV281" s="5">
        <f>IF($B280&lt;=Tabla5[[#This Row],[INVERSIONES FCI]],+Tabla5[[#This Row],[INVERSIONES FCI]]-CV280,Tabla5[[#This Row],[INVERSIONES FCI]])</f>
        <v>51738473217.797318</v>
      </c>
      <c r="CW281" s="5">
        <f>IF($B280&lt;=Tabla5[[#This Row],[INVERSIONES FCI]],+Tabla5[[#This Row],[INVERSIONES FCI]]-CW280,Tabla5[[#This Row],[INVERSIONES FCI]])</f>
        <v>51738473217.797318</v>
      </c>
      <c r="CX281" s="5">
        <f>IF($B280&lt;=Tabla5[[#This Row],[INVERSIONES FCI]],+Tabla5[[#This Row],[INVERSIONES FCI]]-CX280,Tabla5[[#This Row],[INVERSIONES FCI]])</f>
        <v>51738473217.797318</v>
      </c>
      <c r="CY281" s="5">
        <f>IF($B280&lt;=Tabla5[[#This Row],[INVERSIONES FCI]],+Tabla5[[#This Row],[INVERSIONES FCI]]-CY280,Tabla5[[#This Row],[INVERSIONES FCI]])</f>
        <v>51738473217.797318</v>
      </c>
      <c r="CZ281" s="5">
        <f>IF($B280&lt;=Tabla5[[#This Row],[INVERSIONES FCI]],+Tabla5[[#This Row],[INVERSIONES FCI]]-CZ280,Tabla5[[#This Row],[INVERSIONES FCI]])</f>
        <v>51738473217.797318</v>
      </c>
      <c r="DA281" s="5">
        <f>IF($B280&lt;=Tabla5[[#This Row],[INVERSIONES FCI]],+Tabla5[[#This Row],[INVERSIONES FCI]]-DA280,Tabla5[[#This Row],[INVERSIONES FCI]])</f>
        <v>51738473217.797318</v>
      </c>
      <c r="DB281" s="5">
        <f>IF($B280&lt;=Tabla5[[#This Row],[INVERSIONES FCI]],+Tabla5[[#This Row],[INVERSIONES FCI]]-DB280,Tabla5[[#This Row],[INVERSIONES FCI]])</f>
        <v>51738473217.797318</v>
      </c>
      <c r="DC281" s="5">
        <f>IF($B280&lt;=Tabla5[[#This Row],[INVERSIONES FCI]],+Tabla5[[#This Row],[INVERSIONES FCI]]-DC280,Tabla5[[#This Row],[INVERSIONES FCI]])</f>
        <v>51738473217.797318</v>
      </c>
      <c r="DD281" s="5">
        <f>IF($B280&lt;=Tabla5[[#This Row],[INVERSIONES FCI]],+Tabla5[[#This Row],[INVERSIONES FCI]]-DD280,Tabla5[[#This Row],[INVERSIONES FCI]])</f>
        <v>51738473217.797318</v>
      </c>
      <c r="DE281" s="5">
        <f>IF($B280&lt;=Tabla5[[#This Row],[INVERSIONES FCI]],+Tabla5[[#This Row],[INVERSIONES FCI]]-DE280,Tabla5[[#This Row],[INVERSIONES FCI]])</f>
        <v>51738473217.797318</v>
      </c>
      <c r="DF281" s="5">
        <f>IF($B280&lt;=Tabla5[[#This Row],[INVERSIONES FCI]],+Tabla5[[#This Row],[INVERSIONES FCI]]-DF280,Tabla5[[#This Row],[INVERSIONES FCI]])</f>
        <v>51738473217.797318</v>
      </c>
      <c r="DG281" s="5">
        <f>IF($B280&lt;=Tabla5[[#This Row],[INVERSIONES FCI]],+Tabla5[[#This Row],[INVERSIONES FCI]]-DG280,Tabla5[[#This Row],[INVERSIONES FCI]])</f>
        <v>51738473217.797318</v>
      </c>
      <c r="DH281" s="5">
        <f>IF($B280&lt;=Tabla5[[#This Row],[INVERSIONES FCI]],+Tabla5[[#This Row],[INVERSIONES FCI]]-DH280,Tabla5[[#This Row],[INVERSIONES FCI]])</f>
        <v>51738473217.797318</v>
      </c>
      <c r="DI281" s="5">
        <f>IF($B280&lt;=Tabla5[[#This Row],[INVERSIONES FCI]],+Tabla5[[#This Row],[INVERSIONES FCI]]-DI280,Tabla5[[#This Row],[INVERSIONES FCI]])</f>
        <v>51738473217.797318</v>
      </c>
      <c r="DJ281" s="5">
        <f>IF($B280&lt;=Tabla5[[#This Row],[INVERSIONES FCI]],+Tabla5[[#This Row],[INVERSIONES FCI]]-DJ280,Tabla5[[#This Row],[INVERSIONES FCI]])</f>
        <v>51738473217.797318</v>
      </c>
      <c r="DK281" s="5">
        <f>IF($B280&lt;=Tabla5[[#This Row],[INVERSIONES FCI]],+Tabla5[[#This Row],[INVERSIONES FCI]]-DK280,Tabla5[[#This Row],[INVERSIONES FCI]])</f>
        <v>51738473217.797318</v>
      </c>
      <c r="DL281" s="5"/>
      <c r="DM281" s="5"/>
      <c r="DN281" s="5"/>
      <c r="DO281" s="5"/>
      <c r="DP281" s="5"/>
      <c r="DQ281" s="5"/>
    </row>
    <row r="282" spans="1:121" ht="14.4">
      <c r="A282" s="12" t="s">
        <v>281</v>
      </c>
      <c r="B282" s="5">
        <f>HLOOKUP($A282,ESCENARIO[#All],7,FALSE)</f>
        <v>53512829207.60379</v>
      </c>
      <c r="C282" s="5">
        <f>IF($B281&lt;=Tabla5[[#This Row],[INVERSIONES FCI]],+Tabla5[[#This Row],[INVERSIONES FCI]]-C281,Tabla5[[#This Row],[INVERSIONES FCI]])</f>
        <v>1774355989.8064728</v>
      </c>
      <c r="D282" s="5">
        <f>IF($B281&lt;=Tabla5[[#This Row],[INVERSIONES FCI]],+Tabla5[[#This Row],[INVERSIONES FCI]]-D281,Tabla5[[#This Row],[INVERSIONES FCI]])</f>
        <v>1774355989.8064728</v>
      </c>
      <c r="E282" s="5">
        <f>IF($B281&lt;=Tabla5[[#This Row],[INVERSIONES FCI]],+Tabla5[[#This Row],[INVERSIONES FCI]]-E281,Tabla5[[#This Row],[INVERSIONES FCI]])</f>
        <v>1774355989.8064728</v>
      </c>
      <c r="F282" s="5">
        <f>IF($B281&lt;=Tabla5[[#This Row],[INVERSIONES FCI]],+Tabla5[[#This Row],[INVERSIONES FCI]]-F281,Tabla5[[#This Row],[INVERSIONES FCI]])</f>
        <v>1774355989.8064728</v>
      </c>
      <c r="G282" s="5">
        <f>IF($B281&lt;=Tabla5[[#This Row],[INVERSIONES FCI]],+Tabla5[[#This Row],[INVERSIONES FCI]]-G281,Tabla5[[#This Row],[INVERSIONES FCI]])</f>
        <v>1774355989.8064728</v>
      </c>
      <c r="H282" s="5">
        <f>IF($B281&lt;=Tabla5[[#This Row],[INVERSIONES FCI]],+Tabla5[[#This Row],[INVERSIONES FCI]]-H281,Tabla5[[#This Row],[INVERSIONES FCI]])</f>
        <v>1774355989.8064728</v>
      </c>
      <c r="I282" s="5">
        <f>IF($B281&lt;=Tabla5[[#This Row],[INVERSIONES FCI]],+Tabla5[[#This Row],[INVERSIONES FCI]]-I281,Tabla5[[#This Row],[INVERSIONES FCI]])</f>
        <v>1774355989.8064728</v>
      </c>
      <c r="J282" s="5">
        <f>IF($B281&lt;=Tabla5[[#This Row],[INVERSIONES FCI]],+Tabla5[[#This Row],[INVERSIONES FCI]]-J281,Tabla5[[#This Row],[INVERSIONES FCI]])</f>
        <v>1774355989.8064728</v>
      </c>
      <c r="K282" s="5">
        <f>IF($B281&lt;=Tabla5[[#This Row],[INVERSIONES FCI]],+Tabla5[[#This Row],[INVERSIONES FCI]]-K281,Tabla5[[#This Row],[INVERSIONES FCI]])</f>
        <v>1774355989.8064728</v>
      </c>
      <c r="L282" s="5">
        <f>IF($B281&lt;=Tabla5[[#This Row],[INVERSIONES FCI]],+Tabla5[[#This Row],[INVERSIONES FCI]]-L281,Tabla5[[#This Row],[INVERSIONES FCI]])</f>
        <v>1774355989.8064728</v>
      </c>
      <c r="M282" s="5">
        <f>IF($B281&lt;=Tabla5[[#This Row],[INVERSIONES FCI]],+Tabla5[[#This Row],[INVERSIONES FCI]]-M281,Tabla5[[#This Row],[INVERSIONES FCI]])</f>
        <v>1774355989.8064728</v>
      </c>
      <c r="N282" s="5">
        <f>IF($B281&lt;=Tabla5[[#This Row],[INVERSIONES FCI]],+Tabla5[[#This Row],[INVERSIONES FCI]]-N281,Tabla5[[#This Row],[INVERSIONES FCI]])</f>
        <v>1774355989.8064728</v>
      </c>
      <c r="O282" s="5">
        <f>IF($B281&lt;=Tabla5[[#This Row],[INVERSIONES FCI]],+Tabla5[[#This Row],[INVERSIONES FCI]]-O281,Tabla5[[#This Row],[INVERSIONES FCI]])</f>
        <v>1774355989.8064728</v>
      </c>
      <c r="P282" s="5">
        <f>IF($B281&lt;=Tabla5[[#This Row],[INVERSIONES FCI]],+Tabla5[[#This Row],[INVERSIONES FCI]]-P281,Tabla5[[#This Row],[INVERSIONES FCI]])</f>
        <v>1774355989.8064728</v>
      </c>
      <c r="Q282" s="5">
        <f>IF($B281&lt;=Tabla5[[#This Row],[INVERSIONES FCI]],+Tabla5[[#This Row],[INVERSIONES FCI]]-Q281,Tabla5[[#This Row],[INVERSIONES FCI]])</f>
        <v>1774355989.8064728</v>
      </c>
      <c r="R282" s="5">
        <f>IF($B281&lt;=Tabla5[[#This Row],[INVERSIONES FCI]],+Tabla5[[#This Row],[INVERSIONES FCI]]-R281,Tabla5[[#This Row],[INVERSIONES FCI]])</f>
        <v>1774355989.8064728</v>
      </c>
      <c r="S282" s="5">
        <f>IF($B281&lt;=Tabla5[[#This Row],[INVERSIONES FCI]],+Tabla5[[#This Row],[INVERSIONES FCI]]-S281,Tabla5[[#This Row],[INVERSIONES FCI]])</f>
        <v>1774355989.8064728</v>
      </c>
      <c r="T282" s="5">
        <f>IF($B281&lt;=Tabla5[[#This Row],[INVERSIONES FCI]],+Tabla5[[#This Row],[INVERSIONES FCI]]-T281,Tabla5[[#This Row],[INVERSIONES FCI]])</f>
        <v>1774355989.8064728</v>
      </c>
      <c r="U282" s="5">
        <f>IF($B281&lt;=Tabla5[[#This Row],[INVERSIONES FCI]],+Tabla5[[#This Row],[INVERSIONES FCI]]-U281,Tabla5[[#This Row],[INVERSIONES FCI]])</f>
        <v>1774355989.8064728</v>
      </c>
      <c r="V282" s="5">
        <f>IF($B281&lt;=Tabla5[[#This Row],[INVERSIONES FCI]],+Tabla5[[#This Row],[INVERSIONES FCI]]-V281,Tabla5[[#This Row],[INVERSIONES FCI]])</f>
        <v>1774355989.8064728</v>
      </c>
      <c r="W282" s="5">
        <f>IF($B281&lt;=Tabla5[[#This Row],[INVERSIONES FCI]],+Tabla5[[#This Row],[INVERSIONES FCI]]-W281,Tabla5[[#This Row],[INVERSIONES FCI]])</f>
        <v>1774355989.8064728</v>
      </c>
      <c r="X282" s="5">
        <f>IF($B281&lt;=Tabla5[[#This Row],[INVERSIONES FCI]],+Tabla5[[#This Row],[INVERSIONES FCI]]-X281,Tabla5[[#This Row],[INVERSIONES FCI]])</f>
        <v>1774355989.8064728</v>
      </c>
      <c r="Y282" s="5">
        <f>IF($B281&lt;=Tabla5[[#This Row],[INVERSIONES FCI]],+Tabla5[[#This Row],[INVERSIONES FCI]]-Y281,Tabla5[[#This Row],[INVERSIONES FCI]])</f>
        <v>1774355989.8064728</v>
      </c>
      <c r="Z282" s="5">
        <f>IF($B281&lt;=Tabla5[[#This Row],[INVERSIONES FCI]],+Tabla5[[#This Row],[INVERSIONES FCI]]-Z281,Tabla5[[#This Row],[INVERSIONES FCI]])</f>
        <v>1774355989.8064728</v>
      </c>
      <c r="AA282" s="5">
        <f>IF($B281&lt;=Tabla5[[#This Row],[INVERSIONES FCI]],+Tabla5[[#This Row],[INVERSIONES FCI]]-AA281,Tabla5[[#This Row],[INVERSIONES FCI]])</f>
        <v>1774355989.8064728</v>
      </c>
      <c r="AB282" s="5">
        <f>IF($B281&lt;=Tabla5[[#This Row],[INVERSIONES FCI]],+Tabla5[[#This Row],[INVERSIONES FCI]]-AB281,Tabla5[[#This Row],[INVERSIONES FCI]])</f>
        <v>1774355989.8064728</v>
      </c>
      <c r="AC282" s="5">
        <f>IF($B281&lt;=Tabla5[[#This Row],[INVERSIONES FCI]],+Tabla5[[#This Row],[INVERSIONES FCI]]-AC281,Tabla5[[#This Row],[INVERSIONES FCI]])</f>
        <v>1774355989.8064728</v>
      </c>
      <c r="AD282" s="5">
        <f>IF($B281&lt;=Tabla5[[#This Row],[INVERSIONES FCI]],+Tabla5[[#This Row],[INVERSIONES FCI]]-AD281,Tabla5[[#This Row],[INVERSIONES FCI]])</f>
        <v>1774355989.8064728</v>
      </c>
      <c r="AE282" s="5">
        <f>IF($B281&lt;=Tabla5[[#This Row],[INVERSIONES FCI]],+Tabla5[[#This Row],[INVERSIONES FCI]]-AE281,Tabla5[[#This Row],[INVERSIONES FCI]])</f>
        <v>1774355989.8064728</v>
      </c>
      <c r="AF282" s="5">
        <f>IF($B281&lt;=Tabla5[[#This Row],[INVERSIONES FCI]],+Tabla5[[#This Row],[INVERSIONES FCI]]-AF281,Tabla5[[#This Row],[INVERSIONES FCI]])</f>
        <v>1774355989.8064728</v>
      </c>
      <c r="AG282" s="5">
        <f>IF($B281&lt;=Tabla5[[#This Row],[INVERSIONES FCI]],+Tabla5[[#This Row],[INVERSIONES FCI]]-AG281,Tabla5[[#This Row],[INVERSIONES FCI]])</f>
        <v>1774355989.8064728</v>
      </c>
      <c r="AH282" s="5">
        <f>IF($B281&lt;=Tabla5[[#This Row],[INVERSIONES FCI]],+Tabla5[[#This Row],[INVERSIONES FCI]]-AH281,Tabla5[[#This Row],[INVERSIONES FCI]])</f>
        <v>1774355989.8064728</v>
      </c>
      <c r="AI282" s="5">
        <f>IF($B281&lt;=Tabla5[[#This Row],[INVERSIONES FCI]],+Tabla5[[#This Row],[INVERSIONES FCI]]-AI281,Tabla5[[#This Row],[INVERSIONES FCI]])</f>
        <v>1774355989.8064728</v>
      </c>
      <c r="AJ282" s="5">
        <f>IF($B281&lt;=Tabla5[[#This Row],[INVERSIONES FCI]],+Tabla5[[#This Row],[INVERSIONES FCI]]-AJ281,Tabla5[[#This Row],[INVERSIONES FCI]])</f>
        <v>1774355989.8064728</v>
      </c>
      <c r="AK282" s="5">
        <f>IF($B281&lt;=Tabla5[[#This Row],[INVERSIONES FCI]],+Tabla5[[#This Row],[INVERSIONES FCI]]-AK281,Tabla5[[#This Row],[INVERSIONES FCI]])</f>
        <v>1774355989.8064728</v>
      </c>
      <c r="AL282" s="5">
        <f>IF($B281&lt;=Tabla5[[#This Row],[INVERSIONES FCI]],+Tabla5[[#This Row],[INVERSIONES FCI]]-AL281,Tabla5[[#This Row],[INVERSIONES FCI]])</f>
        <v>1774355989.8064728</v>
      </c>
      <c r="AM282" s="5">
        <f>IF($B281&lt;=Tabla5[[#This Row],[INVERSIONES FCI]],+Tabla5[[#This Row],[INVERSIONES FCI]]-AM281,Tabla5[[#This Row],[INVERSIONES FCI]])</f>
        <v>1774355989.8064728</v>
      </c>
      <c r="AN282" s="5">
        <f>IF($B281&lt;=Tabla5[[#This Row],[INVERSIONES FCI]],+Tabla5[[#This Row],[INVERSIONES FCI]]-AN281,Tabla5[[#This Row],[INVERSIONES FCI]])</f>
        <v>1774355989.8064728</v>
      </c>
      <c r="AO282" s="5">
        <f>IF($B281&lt;=Tabla5[[#This Row],[INVERSIONES FCI]],+Tabla5[[#This Row],[INVERSIONES FCI]]-AO281,Tabla5[[#This Row],[INVERSIONES FCI]])</f>
        <v>1774355989.8064728</v>
      </c>
      <c r="AP282" s="5">
        <f>IF($B281&lt;=Tabla5[[#This Row],[INVERSIONES FCI]],+Tabla5[[#This Row],[INVERSIONES FCI]]-AP281,Tabla5[[#This Row],[INVERSIONES FCI]])</f>
        <v>1774355989.8064728</v>
      </c>
      <c r="AQ282" s="5">
        <f>IF($B281&lt;=Tabla5[[#This Row],[INVERSIONES FCI]],+Tabla5[[#This Row],[INVERSIONES FCI]]-AQ281,Tabla5[[#This Row],[INVERSIONES FCI]])</f>
        <v>1774355989.8064728</v>
      </c>
      <c r="AR282" s="5">
        <f>IF($B281&lt;=Tabla5[[#This Row],[INVERSIONES FCI]],+Tabla5[[#This Row],[INVERSIONES FCI]]-AR281,Tabla5[[#This Row],[INVERSIONES FCI]])</f>
        <v>1774355989.8064728</v>
      </c>
      <c r="AS282" s="5">
        <f>IF($B281&lt;=Tabla5[[#This Row],[INVERSIONES FCI]],+Tabla5[[#This Row],[INVERSIONES FCI]]-AS281,Tabla5[[#This Row],[INVERSIONES FCI]])</f>
        <v>1774355989.8064728</v>
      </c>
      <c r="AT282" s="5">
        <f>IF($B281&lt;=Tabla5[[#This Row],[INVERSIONES FCI]],+Tabla5[[#This Row],[INVERSIONES FCI]]-AT281,Tabla5[[#This Row],[INVERSIONES FCI]])</f>
        <v>1774355989.8064728</v>
      </c>
      <c r="AU282" s="5">
        <f>IF($B281&lt;=Tabla5[[#This Row],[INVERSIONES FCI]],+Tabla5[[#This Row],[INVERSIONES FCI]]-AU281,Tabla5[[#This Row],[INVERSIONES FCI]])</f>
        <v>1774355989.8064728</v>
      </c>
      <c r="AV282" s="5">
        <f>IF($B281&lt;=Tabla5[[#This Row],[INVERSIONES FCI]],+Tabla5[[#This Row],[INVERSIONES FCI]]-AV281,Tabla5[[#This Row],[INVERSIONES FCI]])</f>
        <v>1774355989.8064728</v>
      </c>
      <c r="AW282" s="5">
        <f>IF($B281&lt;=Tabla5[[#This Row],[INVERSIONES FCI]],+Tabla5[[#This Row],[INVERSIONES FCI]]-AW281,Tabla5[[#This Row],[INVERSIONES FCI]])</f>
        <v>1774355989.8064728</v>
      </c>
      <c r="AX282" s="5">
        <f>IF($B281&lt;=Tabla5[[#This Row],[INVERSIONES FCI]],+Tabla5[[#This Row],[INVERSIONES FCI]]-AX281,Tabla5[[#This Row],[INVERSIONES FCI]])</f>
        <v>1774355989.8064728</v>
      </c>
      <c r="AY282" s="5">
        <f>IF($B281&lt;=Tabla5[[#This Row],[INVERSIONES FCI]],+Tabla5[[#This Row],[INVERSIONES FCI]]-AY281,Tabla5[[#This Row],[INVERSIONES FCI]])</f>
        <v>1774355989.8064728</v>
      </c>
      <c r="AZ282" s="5">
        <f>IF($B281&lt;=Tabla5[[#This Row],[INVERSIONES FCI]],+Tabla5[[#This Row],[INVERSIONES FCI]]-AZ281,Tabla5[[#This Row],[INVERSIONES FCI]])</f>
        <v>1774355989.8064728</v>
      </c>
      <c r="BA282" s="5">
        <f>IF($B281&lt;=Tabla5[[#This Row],[INVERSIONES FCI]],+Tabla5[[#This Row],[INVERSIONES FCI]]-BA281,Tabla5[[#This Row],[INVERSIONES FCI]])</f>
        <v>1774355989.8064728</v>
      </c>
      <c r="BB282" s="5">
        <f>IF($B281&lt;=Tabla5[[#This Row],[INVERSIONES FCI]],+Tabla5[[#This Row],[INVERSIONES FCI]]-BB281,Tabla5[[#This Row],[INVERSIONES FCI]])</f>
        <v>1774355989.8064728</v>
      </c>
      <c r="BC282" s="5">
        <f>IF($B281&lt;=Tabla5[[#This Row],[INVERSIONES FCI]],+Tabla5[[#This Row],[INVERSIONES FCI]]-BC281,Tabla5[[#This Row],[INVERSIONES FCI]])</f>
        <v>1774355989.8064728</v>
      </c>
      <c r="BD282" s="5">
        <f>IF($B281&lt;=Tabla5[[#This Row],[INVERSIONES FCI]],+Tabla5[[#This Row],[INVERSIONES FCI]]-BD281,Tabla5[[#This Row],[INVERSIONES FCI]])</f>
        <v>1774355989.8064728</v>
      </c>
      <c r="BE282" s="5">
        <f>IF($B281&lt;=Tabla5[[#This Row],[INVERSIONES FCI]],+Tabla5[[#This Row],[INVERSIONES FCI]]-BE281,Tabla5[[#This Row],[INVERSIONES FCI]])</f>
        <v>1774355989.8064728</v>
      </c>
      <c r="BF282" s="5">
        <f>IF($B281&lt;=Tabla5[[#This Row],[INVERSIONES FCI]],+Tabla5[[#This Row],[INVERSIONES FCI]]-BF281,Tabla5[[#This Row],[INVERSIONES FCI]])</f>
        <v>1774355989.8064728</v>
      </c>
      <c r="BG282" s="5">
        <f>IF($B281&lt;=Tabla5[[#This Row],[INVERSIONES FCI]],+Tabla5[[#This Row],[INVERSIONES FCI]]-BG281,Tabla5[[#This Row],[INVERSIONES FCI]])</f>
        <v>1774355989.8064728</v>
      </c>
      <c r="BH282" s="5">
        <f>IF($B281&lt;=Tabla5[[#This Row],[INVERSIONES FCI]],+Tabla5[[#This Row],[INVERSIONES FCI]]-BH281,Tabla5[[#This Row],[INVERSIONES FCI]])</f>
        <v>1774355989.8064728</v>
      </c>
      <c r="BI282" s="5">
        <f>IF($B281&lt;=Tabla5[[#This Row],[INVERSIONES FCI]],+Tabla5[[#This Row],[INVERSIONES FCI]]-BI281,Tabla5[[#This Row],[INVERSIONES FCI]])</f>
        <v>1774355989.8064728</v>
      </c>
      <c r="BJ282" s="5">
        <f>IF($B281&lt;=Tabla5[[#This Row],[INVERSIONES FCI]],+Tabla5[[#This Row],[INVERSIONES FCI]]-BJ281,Tabla5[[#This Row],[INVERSIONES FCI]])</f>
        <v>1774355989.8064728</v>
      </c>
      <c r="BK282" s="5">
        <f>IF($B281&lt;=Tabla5[[#This Row],[INVERSIONES FCI]],+Tabla5[[#This Row],[INVERSIONES FCI]]-BK281,Tabla5[[#This Row],[INVERSIONES FCI]])</f>
        <v>1774355989.8064728</v>
      </c>
      <c r="BL282" s="5">
        <f>IF($B281&lt;=Tabla5[[#This Row],[INVERSIONES FCI]],+Tabla5[[#This Row],[INVERSIONES FCI]]-BL281,Tabla5[[#This Row],[INVERSIONES FCI]])</f>
        <v>1774355989.8064728</v>
      </c>
      <c r="BM282" s="5">
        <f>IF($B281&lt;=Tabla5[[#This Row],[INVERSIONES FCI]],+Tabla5[[#This Row],[INVERSIONES FCI]]-BM281,Tabla5[[#This Row],[INVERSIONES FCI]])</f>
        <v>1774355989.8064728</v>
      </c>
      <c r="BN282" s="5">
        <f>IF($B281&lt;=Tabla5[[#This Row],[INVERSIONES FCI]],+Tabla5[[#This Row],[INVERSIONES FCI]]-BN281,Tabla5[[#This Row],[INVERSIONES FCI]])</f>
        <v>1774355989.8064728</v>
      </c>
      <c r="BO282" s="5">
        <f>IF($B281&lt;=Tabla5[[#This Row],[INVERSIONES FCI]],+Tabla5[[#This Row],[INVERSIONES FCI]]-BO281,Tabla5[[#This Row],[INVERSIONES FCI]])</f>
        <v>1774355989.8064728</v>
      </c>
      <c r="BP282" s="5">
        <f>IF($B281&lt;=Tabla5[[#This Row],[INVERSIONES FCI]],+Tabla5[[#This Row],[INVERSIONES FCI]]-BP281,Tabla5[[#This Row],[INVERSIONES FCI]])</f>
        <v>1774355989.8064728</v>
      </c>
      <c r="BQ282" s="5">
        <f>IF($B281&lt;=Tabla5[[#This Row],[INVERSIONES FCI]],+Tabla5[[#This Row],[INVERSIONES FCI]]-BQ281,Tabla5[[#This Row],[INVERSIONES FCI]])</f>
        <v>1774355989.8064728</v>
      </c>
      <c r="BR282" s="5">
        <f>IF($B281&lt;=Tabla5[[#This Row],[INVERSIONES FCI]],+Tabla5[[#This Row],[INVERSIONES FCI]]-BR281,Tabla5[[#This Row],[INVERSIONES FCI]])</f>
        <v>1774355989.8064728</v>
      </c>
      <c r="BS282" s="5">
        <f>IF($B281&lt;=Tabla5[[#This Row],[INVERSIONES FCI]],+Tabla5[[#This Row],[INVERSIONES FCI]]-BS281,Tabla5[[#This Row],[INVERSIONES FCI]])</f>
        <v>1774355989.8064728</v>
      </c>
      <c r="BT282" s="5">
        <f>IF($B281&lt;=Tabla5[[#This Row],[INVERSIONES FCI]],+Tabla5[[#This Row],[INVERSIONES FCI]]-BT281,Tabla5[[#This Row],[INVERSIONES FCI]])</f>
        <v>1774355989.8064728</v>
      </c>
      <c r="BU282" s="5">
        <f>IF($B281&lt;=Tabla5[[#This Row],[INVERSIONES FCI]],+Tabla5[[#This Row],[INVERSIONES FCI]]-BU281,Tabla5[[#This Row],[INVERSIONES FCI]])</f>
        <v>1774355989.8064728</v>
      </c>
      <c r="BV282" s="5">
        <f>IF($B281&lt;=Tabla5[[#This Row],[INVERSIONES FCI]],+Tabla5[[#This Row],[INVERSIONES FCI]]-BV281,Tabla5[[#This Row],[INVERSIONES FCI]])</f>
        <v>1774355989.8064728</v>
      </c>
      <c r="BW282" s="5">
        <f>IF($B281&lt;=Tabla5[[#This Row],[INVERSIONES FCI]],+Tabla5[[#This Row],[INVERSIONES FCI]]-BW281,Tabla5[[#This Row],[INVERSIONES FCI]])</f>
        <v>1774355989.8064728</v>
      </c>
      <c r="BX282" s="5">
        <f>IF($B281&lt;=Tabla5[[#This Row],[INVERSIONES FCI]],+Tabla5[[#This Row],[INVERSIONES FCI]]-BX281,Tabla5[[#This Row],[INVERSIONES FCI]])</f>
        <v>1774355989.8064728</v>
      </c>
      <c r="BY282" s="5">
        <f>IF($B281&lt;=Tabla5[[#This Row],[INVERSIONES FCI]],+Tabla5[[#This Row],[INVERSIONES FCI]]-BY281,Tabla5[[#This Row],[INVERSIONES FCI]])</f>
        <v>1774355989.8064728</v>
      </c>
      <c r="BZ282" s="5">
        <f>IF($B281&lt;=Tabla5[[#This Row],[INVERSIONES FCI]],+Tabla5[[#This Row],[INVERSIONES FCI]]-BZ281,Tabla5[[#This Row],[INVERSIONES FCI]])</f>
        <v>1774355989.8064728</v>
      </c>
      <c r="CA282" s="5">
        <f>IF($B281&lt;=Tabla5[[#This Row],[INVERSIONES FCI]],+Tabla5[[#This Row],[INVERSIONES FCI]]-CA281,Tabla5[[#This Row],[INVERSIONES FCI]])</f>
        <v>1774355989.8064728</v>
      </c>
      <c r="CB282" s="5">
        <f>IF($B281&lt;=Tabla5[[#This Row],[INVERSIONES FCI]],+Tabla5[[#This Row],[INVERSIONES FCI]]-CB281,Tabla5[[#This Row],[INVERSIONES FCI]])</f>
        <v>1774355989.8064728</v>
      </c>
      <c r="CC282" s="5">
        <f>IF($B281&lt;=Tabla5[[#This Row],[INVERSIONES FCI]],+Tabla5[[#This Row],[INVERSIONES FCI]]-CC281,Tabla5[[#This Row],[INVERSIONES FCI]])</f>
        <v>1774355989.8064728</v>
      </c>
      <c r="CD282" s="5">
        <f>IF($B281&lt;=Tabla5[[#This Row],[INVERSIONES FCI]],+Tabla5[[#This Row],[INVERSIONES FCI]]-CD281,Tabla5[[#This Row],[INVERSIONES FCI]])</f>
        <v>1774355989.8064728</v>
      </c>
      <c r="CE282" s="5">
        <f>IF($B281&lt;=Tabla5[[#This Row],[INVERSIONES FCI]],+Tabla5[[#This Row],[INVERSIONES FCI]]-CE281,Tabla5[[#This Row],[INVERSIONES FCI]])</f>
        <v>1774355989.8064728</v>
      </c>
      <c r="CF282" s="5">
        <f>IF($B281&lt;=Tabla5[[#This Row],[INVERSIONES FCI]],+Tabla5[[#This Row],[INVERSIONES FCI]]-CF281,Tabla5[[#This Row],[INVERSIONES FCI]])</f>
        <v>1774355989.8064728</v>
      </c>
      <c r="CG282" s="5">
        <f>IF($B281&lt;=Tabla5[[#This Row],[INVERSIONES FCI]],+Tabla5[[#This Row],[INVERSIONES FCI]]-CG281,Tabla5[[#This Row],[INVERSIONES FCI]])</f>
        <v>1774355989.8064728</v>
      </c>
      <c r="CH282" s="5">
        <f>IF($B281&lt;=Tabla5[[#This Row],[INVERSIONES FCI]],+Tabla5[[#This Row],[INVERSIONES FCI]]-CH281,Tabla5[[#This Row],[INVERSIONES FCI]])</f>
        <v>1774355989.8064728</v>
      </c>
      <c r="CI282" s="5">
        <f>IF($B281&lt;=Tabla5[[#This Row],[INVERSIONES FCI]],+Tabla5[[#This Row],[INVERSIONES FCI]]-CI281,Tabla5[[#This Row],[INVERSIONES FCI]])</f>
        <v>1774355989.8064728</v>
      </c>
      <c r="CJ282" s="5">
        <f>IF($B281&lt;=Tabla5[[#This Row],[INVERSIONES FCI]],+Tabla5[[#This Row],[INVERSIONES FCI]]-CJ281,Tabla5[[#This Row],[INVERSIONES FCI]])</f>
        <v>1774355989.8064728</v>
      </c>
      <c r="CK282" s="5">
        <f>IF($B281&lt;=Tabla5[[#This Row],[INVERSIONES FCI]],+Tabla5[[#This Row],[INVERSIONES FCI]]-CK281,Tabla5[[#This Row],[INVERSIONES FCI]])</f>
        <v>1774355989.8064728</v>
      </c>
      <c r="CL282" s="5">
        <f>IF($B281&lt;=Tabla5[[#This Row],[INVERSIONES FCI]],+Tabla5[[#This Row],[INVERSIONES FCI]]-CL281,Tabla5[[#This Row],[INVERSIONES FCI]])</f>
        <v>1774355989.8064728</v>
      </c>
      <c r="CM282" s="5">
        <f>IF($B281&lt;=Tabla5[[#This Row],[INVERSIONES FCI]],+Tabla5[[#This Row],[INVERSIONES FCI]]-CM281,Tabla5[[#This Row],[INVERSIONES FCI]])</f>
        <v>1774355989.8064728</v>
      </c>
      <c r="CN282" s="5">
        <f>IF($B281&lt;=Tabla5[[#This Row],[INVERSIONES FCI]],+Tabla5[[#This Row],[INVERSIONES FCI]]-CN281,Tabla5[[#This Row],[INVERSIONES FCI]])</f>
        <v>1774355989.8064728</v>
      </c>
      <c r="CO282" s="5">
        <f>IF($B281&lt;=Tabla5[[#This Row],[INVERSIONES FCI]],+Tabla5[[#This Row],[INVERSIONES FCI]]-CO281,Tabla5[[#This Row],[INVERSIONES FCI]])</f>
        <v>1774355989.8064728</v>
      </c>
      <c r="CP282" s="5">
        <f>IF($B281&lt;=Tabla5[[#This Row],[INVERSIONES FCI]],+Tabla5[[#This Row],[INVERSIONES FCI]]-CP281,Tabla5[[#This Row],[INVERSIONES FCI]])</f>
        <v>1774355989.8064728</v>
      </c>
      <c r="CQ282" s="5">
        <f>IF($B281&lt;=Tabla5[[#This Row],[INVERSIONES FCI]],+Tabla5[[#This Row],[INVERSIONES FCI]]-CQ281,Tabla5[[#This Row],[INVERSIONES FCI]])</f>
        <v>1774355989.8064728</v>
      </c>
      <c r="CR282" s="5">
        <f>IF($B281&lt;=Tabla5[[#This Row],[INVERSIONES FCI]],+Tabla5[[#This Row],[INVERSIONES FCI]]-CR281,Tabla5[[#This Row],[INVERSIONES FCI]])</f>
        <v>1774355989.8064728</v>
      </c>
      <c r="CS282" s="5">
        <f>IF($B281&lt;=Tabla5[[#This Row],[INVERSIONES FCI]],+Tabla5[[#This Row],[INVERSIONES FCI]]-CS281,Tabla5[[#This Row],[INVERSIONES FCI]])</f>
        <v>1774355989.8064728</v>
      </c>
      <c r="CT282" s="5">
        <f>IF($B281&lt;=Tabla5[[#This Row],[INVERSIONES FCI]],+Tabla5[[#This Row],[INVERSIONES FCI]]-CT281,Tabla5[[#This Row],[INVERSIONES FCI]])</f>
        <v>1774355989.8064728</v>
      </c>
      <c r="CU282" s="5">
        <f>IF($B281&lt;=Tabla5[[#This Row],[INVERSIONES FCI]],+Tabla5[[#This Row],[INVERSIONES FCI]]-CU281,Tabla5[[#This Row],[INVERSIONES FCI]])</f>
        <v>1774355989.8064728</v>
      </c>
      <c r="CV282" s="5">
        <f>IF($B281&lt;=Tabla5[[#This Row],[INVERSIONES FCI]],+Tabla5[[#This Row],[INVERSIONES FCI]]-CV281,Tabla5[[#This Row],[INVERSIONES FCI]])</f>
        <v>1774355989.8064728</v>
      </c>
      <c r="CW282" s="5">
        <f>IF($B281&lt;=Tabla5[[#This Row],[INVERSIONES FCI]],+Tabla5[[#This Row],[INVERSIONES FCI]]-CW281,Tabla5[[#This Row],[INVERSIONES FCI]])</f>
        <v>1774355989.8064728</v>
      </c>
      <c r="CX282" s="5">
        <f>IF($B281&lt;=Tabla5[[#This Row],[INVERSIONES FCI]],+Tabla5[[#This Row],[INVERSIONES FCI]]-CX281,Tabla5[[#This Row],[INVERSIONES FCI]])</f>
        <v>1774355989.8064728</v>
      </c>
      <c r="CY282" s="5">
        <f>IF($B281&lt;=Tabla5[[#This Row],[INVERSIONES FCI]],+Tabla5[[#This Row],[INVERSIONES FCI]]-CY281,Tabla5[[#This Row],[INVERSIONES FCI]])</f>
        <v>1774355989.8064728</v>
      </c>
      <c r="CZ282" s="5">
        <f>IF($B281&lt;=Tabla5[[#This Row],[INVERSIONES FCI]],+Tabla5[[#This Row],[INVERSIONES FCI]]-CZ281,Tabla5[[#This Row],[INVERSIONES FCI]])</f>
        <v>1774355989.8064728</v>
      </c>
      <c r="DA282" s="5">
        <f>IF($B281&lt;=Tabla5[[#This Row],[INVERSIONES FCI]],+Tabla5[[#This Row],[INVERSIONES FCI]]-DA281,Tabla5[[#This Row],[INVERSIONES FCI]])</f>
        <v>1774355989.8064728</v>
      </c>
      <c r="DB282" s="5">
        <f>IF($B281&lt;=Tabla5[[#This Row],[INVERSIONES FCI]],+Tabla5[[#This Row],[INVERSIONES FCI]]-DB281,Tabla5[[#This Row],[INVERSIONES FCI]])</f>
        <v>1774355989.8064728</v>
      </c>
      <c r="DC282" s="5">
        <f>IF($B281&lt;=Tabla5[[#This Row],[INVERSIONES FCI]],+Tabla5[[#This Row],[INVERSIONES FCI]]-DC281,Tabla5[[#This Row],[INVERSIONES FCI]])</f>
        <v>1774355989.8064728</v>
      </c>
      <c r="DD282" s="5">
        <f>IF($B281&lt;=Tabla5[[#This Row],[INVERSIONES FCI]],+Tabla5[[#This Row],[INVERSIONES FCI]]-DD281,Tabla5[[#This Row],[INVERSIONES FCI]])</f>
        <v>1774355989.8064728</v>
      </c>
      <c r="DE282" s="5">
        <f>IF($B281&lt;=Tabla5[[#This Row],[INVERSIONES FCI]],+Tabla5[[#This Row],[INVERSIONES FCI]]-DE281,Tabla5[[#This Row],[INVERSIONES FCI]])</f>
        <v>1774355989.8064728</v>
      </c>
      <c r="DF282" s="5">
        <f>IF($B281&lt;=Tabla5[[#This Row],[INVERSIONES FCI]],+Tabla5[[#This Row],[INVERSIONES FCI]]-DF281,Tabla5[[#This Row],[INVERSIONES FCI]])</f>
        <v>1774355989.8064728</v>
      </c>
      <c r="DG282" s="5">
        <f>IF($B281&lt;=Tabla5[[#This Row],[INVERSIONES FCI]],+Tabla5[[#This Row],[INVERSIONES FCI]]-DG281,Tabla5[[#This Row],[INVERSIONES FCI]])</f>
        <v>1774355989.8064728</v>
      </c>
      <c r="DH282" s="5">
        <f>IF($B281&lt;=Tabla5[[#This Row],[INVERSIONES FCI]],+Tabla5[[#This Row],[INVERSIONES FCI]]-DH281,Tabla5[[#This Row],[INVERSIONES FCI]])</f>
        <v>1774355989.8064728</v>
      </c>
      <c r="DI282" s="5">
        <f>IF($B281&lt;=Tabla5[[#This Row],[INVERSIONES FCI]],+Tabla5[[#This Row],[INVERSIONES FCI]]-DI281,Tabla5[[#This Row],[INVERSIONES FCI]])</f>
        <v>1774355989.8064728</v>
      </c>
      <c r="DJ282" s="5">
        <f>IF($B281&lt;=Tabla5[[#This Row],[INVERSIONES FCI]],+Tabla5[[#This Row],[INVERSIONES FCI]]-DJ281,Tabla5[[#This Row],[INVERSIONES FCI]])</f>
        <v>1774355989.8064728</v>
      </c>
      <c r="DK282" s="5">
        <f>IF($B281&lt;=Tabla5[[#This Row],[INVERSIONES FCI]],+Tabla5[[#This Row],[INVERSIONES FCI]]-DK281,Tabla5[[#This Row],[INVERSIONES FCI]])</f>
        <v>1774355989.8064728</v>
      </c>
      <c r="DL282" s="5"/>
      <c r="DM282" s="5"/>
      <c r="DN282" s="5"/>
      <c r="DO282" s="5"/>
      <c r="DP282" s="5"/>
      <c r="DQ282" s="5"/>
    </row>
    <row r="283" spans="1:121" ht="14.4">
      <c r="A283" s="12" t="s">
        <v>282</v>
      </c>
      <c r="B283" s="5">
        <f>HLOOKUP($A283,ESCENARIO[#All],7,FALSE)</f>
        <v>53512829207.60379</v>
      </c>
      <c r="C283" s="5">
        <f>IF($B282&lt;=Tabla5[[#This Row],[INVERSIONES FCI]],+Tabla5[[#This Row],[INVERSIONES FCI]]-C282,Tabla5[[#This Row],[INVERSIONES FCI]])</f>
        <v>51738473217.797318</v>
      </c>
      <c r="D283" s="5">
        <f>IF($B282&lt;=Tabla5[[#This Row],[INVERSIONES FCI]],+Tabla5[[#This Row],[INVERSIONES FCI]]-D282,Tabla5[[#This Row],[INVERSIONES FCI]])</f>
        <v>51738473217.797318</v>
      </c>
      <c r="E283" s="5">
        <f>IF($B282&lt;=Tabla5[[#This Row],[INVERSIONES FCI]],+Tabla5[[#This Row],[INVERSIONES FCI]]-E282,Tabla5[[#This Row],[INVERSIONES FCI]])</f>
        <v>51738473217.797318</v>
      </c>
      <c r="F283" s="5">
        <f>IF($B282&lt;=Tabla5[[#This Row],[INVERSIONES FCI]],+Tabla5[[#This Row],[INVERSIONES FCI]]-F282,Tabla5[[#This Row],[INVERSIONES FCI]])</f>
        <v>51738473217.797318</v>
      </c>
      <c r="G283" s="5">
        <f>IF($B282&lt;=Tabla5[[#This Row],[INVERSIONES FCI]],+Tabla5[[#This Row],[INVERSIONES FCI]]-G282,Tabla5[[#This Row],[INVERSIONES FCI]])</f>
        <v>51738473217.797318</v>
      </c>
      <c r="H283" s="5">
        <f>IF($B282&lt;=Tabla5[[#This Row],[INVERSIONES FCI]],+Tabla5[[#This Row],[INVERSIONES FCI]]-H282,Tabla5[[#This Row],[INVERSIONES FCI]])</f>
        <v>51738473217.797318</v>
      </c>
      <c r="I283" s="5">
        <f>IF($B282&lt;=Tabla5[[#This Row],[INVERSIONES FCI]],+Tabla5[[#This Row],[INVERSIONES FCI]]-I282,Tabla5[[#This Row],[INVERSIONES FCI]])</f>
        <v>51738473217.797318</v>
      </c>
      <c r="J283" s="5">
        <f>IF($B282&lt;=Tabla5[[#This Row],[INVERSIONES FCI]],+Tabla5[[#This Row],[INVERSIONES FCI]]-J282,Tabla5[[#This Row],[INVERSIONES FCI]])</f>
        <v>51738473217.797318</v>
      </c>
      <c r="K283" s="5">
        <f>IF($B282&lt;=Tabla5[[#This Row],[INVERSIONES FCI]],+Tabla5[[#This Row],[INVERSIONES FCI]]-K282,Tabla5[[#This Row],[INVERSIONES FCI]])</f>
        <v>51738473217.797318</v>
      </c>
      <c r="L283" s="5">
        <f>IF($B282&lt;=Tabla5[[#This Row],[INVERSIONES FCI]],+Tabla5[[#This Row],[INVERSIONES FCI]]-L282,Tabla5[[#This Row],[INVERSIONES FCI]])</f>
        <v>51738473217.797318</v>
      </c>
      <c r="M283" s="5">
        <f>IF($B282&lt;=Tabla5[[#This Row],[INVERSIONES FCI]],+Tabla5[[#This Row],[INVERSIONES FCI]]-M282,Tabla5[[#This Row],[INVERSIONES FCI]])</f>
        <v>51738473217.797318</v>
      </c>
      <c r="N283" s="5">
        <f>IF($B282&lt;=Tabla5[[#This Row],[INVERSIONES FCI]],+Tabla5[[#This Row],[INVERSIONES FCI]]-N282,Tabla5[[#This Row],[INVERSIONES FCI]])</f>
        <v>51738473217.797318</v>
      </c>
      <c r="O283" s="5">
        <f>IF($B282&lt;=Tabla5[[#This Row],[INVERSIONES FCI]],+Tabla5[[#This Row],[INVERSIONES FCI]]-O282,Tabla5[[#This Row],[INVERSIONES FCI]])</f>
        <v>51738473217.797318</v>
      </c>
      <c r="P283" s="5">
        <f>IF($B282&lt;=Tabla5[[#This Row],[INVERSIONES FCI]],+Tabla5[[#This Row],[INVERSIONES FCI]]-P282,Tabla5[[#This Row],[INVERSIONES FCI]])</f>
        <v>51738473217.797318</v>
      </c>
      <c r="Q283" s="5">
        <f>IF($B282&lt;=Tabla5[[#This Row],[INVERSIONES FCI]],+Tabla5[[#This Row],[INVERSIONES FCI]]-Q282,Tabla5[[#This Row],[INVERSIONES FCI]])</f>
        <v>51738473217.797318</v>
      </c>
      <c r="R283" s="5">
        <f>IF($B282&lt;=Tabla5[[#This Row],[INVERSIONES FCI]],+Tabla5[[#This Row],[INVERSIONES FCI]]-R282,Tabla5[[#This Row],[INVERSIONES FCI]])</f>
        <v>51738473217.797318</v>
      </c>
      <c r="S283" s="5">
        <f>IF($B282&lt;=Tabla5[[#This Row],[INVERSIONES FCI]],+Tabla5[[#This Row],[INVERSIONES FCI]]-S282,Tabla5[[#This Row],[INVERSIONES FCI]])</f>
        <v>51738473217.797318</v>
      </c>
      <c r="T283" s="5">
        <f>IF($B282&lt;=Tabla5[[#This Row],[INVERSIONES FCI]],+Tabla5[[#This Row],[INVERSIONES FCI]]-T282,Tabla5[[#This Row],[INVERSIONES FCI]])</f>
        <v>51738473217.797318</v>
      </c>
      <c r="U283" s="5">
        <f>IF($B282&lt;=Tabla5[[#This Row],[INVERSIONES FCI]],+Tabla5[[#This Row],[INVERSIONES FCI]]-U282,Tabla5[[#This Row],[INVERSIONES FCI]])</f>
        <v>51738473217.797318</v>
      </c>
      <c r="V283" s="5">
        <f>IF($B282&lt;=Tabla5[[#This Row],[INVERSIONES FCI]],+Tabla5[[#This Row],[INVERSIONES FCI]]-V282,Tabla5[[#This Row],[INVERSIONES FCI]])</f>
        <v>51738473217.797318</v>
      </c>
      <c r="W283" s="5">
        <f>IF($B282&lt;=Tabla5[[#This Row],[INVERSIONES FCI]],+Tabla5[[#This Row],[INVERSIONES FCI]]-W282,Tabla5[[#This Row],[INVERSIONES FCI]])</f>
        <v>51738473217.797318</v>
      </c>
      <c r="X283" s="5">
        <f>IF($B282&lt;=Tabla5[[#This Row],[INVERSIONES FCI]],+Tabla5[[#This Row],[INVERSIONES FCI]]-X282,Tabla5[[#This Row],[INVERSIONES FCI]])</f>
        <v>51738473217.797318</v>
      </c>
      <c r="Y283" s="5">
        <f>IF($B282&lt;=Tabla5[[#This Row],[INVERSIONES FCI]],+Tabla5[[#This Row],[INVERSIONES FCI]]-Y282,Tabla5[[#This Row],[INVERSIONES FCI]])</f>
        <v>51738473217.797318</v>
      </c>
      <c r="Z283" s="5">
        <f>IF($B282&lt;=Tabla5[[#This Row],[INVERSIONES FCI]],+Tabla5[[#This Row],[INVERSIONES FCI]]-Z282,Tabla5[[#This Row],[INVERSIONES FCI]])</f>
        <v>51738473217.797318</v>
      </c>
      <c r="AA283" s="5">
        <f>IF($B282&lt;=Tabla5[[#This Row],[INVERSIONES FCI]],+Tabla5[[#This Row],[INVERSIONES FCI]]-AA282,Tabla5[[#This Row],[INVERSIONES FCI]])</f>
        <v>51738473217.797318</v>
      </c>
      <c r="AB283" s="5">
        <f>IF($B282&lt;=Tabla5[[#This Row],[INVERSIONES FCI]],+Tabla5[[#This Row],[INVERSIONES FCI]]-AB282,Tabla5[[#This Row],[INVERSIONES FCI]])</f>
        <v>51738473217.797318</v>
      </c>
      <c r="AC283" s="5">
        <f>IF($B282&lt;=Tabla5[[#This Row],[INVERSIONES FCI]],+Tabla5[[#This Row],[INVERSIONES FCI]]-AC282,Tabla5[[#This Row],[INVERSIONES FCI]])</f>
        <v>51738473217.797318</v>
      </c>
      <c r="AD283" s="5">
        <f>IF($B282&lt;=Tabla5[[#This Row],[INVERSIONES FCI]],+Tabla5[[#This Row],[INVERSIONES FCI]]-AD282,Tabla5[[#This Row],[INVERSIONES FCI]])</f>
        <v>51738473217.797318</v>
      </c>
      <c r="AE283" s="5">
        <f>IF($B282&lt;=Tabla5[[#This Row],[INVERSIONES FCI]],+Tabla5[[#This Row],[INVERSIONES FCI]]-AE282,Tabla5[[#This Row],[INVERSIONES FCI]])</f>
        <v>51738473217.797318</v>
      </c>
      <c r="AF283" s="5">
        <f>IF($B282&lt;=Tabla5[[#This Row],[INVERSIONES FCI]],+Tabla5[[#This Row],[INVERSIONES FCI]]-AF282,Tabla5[[#This Row],[INVERSIONES FCI]])</f>
        <v>51738473217.797318</v>
      </c>
      <c r="AG283" s="5">
        <f>IF($B282&lt;=Tabla5[[#This Row],[INVERSIONES FCI]],+Tabla5[[#This Row],[INVERSIONES FCI]]-AG282,Tabla5[[#This Row],[INVERSIONES FCI]])</f>
        <v>51738473217.797318</v>
      </c>
      <c r="AH283" s="5">
        <f>IF($B282&lt;=Tabla5[[#This Row],[INVERSIONES FCI]],+Tabla5[[#This Row],[INVERSIONES FCI]]-AH282,Tabla5[[#This Row],[INVERSIONES FCI]])</f>
        <v>51738473217.797318</v>
      </c>
      <c r="AI283" s="5">
        <f>IF($B282&lt;=Tabla5[[#This Row],[INVERSIONES FCI]],+Tabla5[[#This Row],[INVERSIONES FCI]]-AI282,Tabla5[[#This Row],[INVERSIONES FCI]])</f>
        <v>51738473217.797318</v>
      </c>
      <c r="AJ283" s="5">
        <f>IF($B282&lt;=Tabla5[[#This Row],[INVERSIONES FCI]],+Tabla5[[#This Row],[INVERSIONES FCI]]-AJ282,Tabla5[[#This Row],[INVERSIONES FCI]])</f>
        <v>51738473217.797318</v>
      </c>
      <c r="AK283" s="5">
        <f>IF($B282&lt;=Tabla5[[#This Row],[INVERSIONES FCI]],+Tabla5[[#This Row],[INVERSIONES FCI]]-AK282,Tabla5[[#This Row],[INVERSIONES FCI]])</f>
        <v>51738473217.797318</v>
      </c>
      <c r="AL283" s="5">
        <f>IF($B282&lt;=Tabla5[[#This Row],[INVERSIONES FCI]],+Tabla5[[#This Row],[INVERSIONES FCI]]-AL282,Tabla5[[#This Row],[INVERSIONES FCI]])</f>
        <v>51738473217.797318</v>
      </c>
      <c r="AM283" s="5">
        <f>IF($B282&lt;=Tabla5[[#This Row],[INVERSIONES FCI]],+Tabla5[[#This Row],[INVERSIONES FCI]]-AM282,Tabla5[[#This Row],[INVERSIONES FCI]])</f>
        <v>51738473217.797318</v>
      </c>
      <c r="AN283" s="5">
        <f>IF($B282&lt;=Tabla5[[#This Row],[INVERSIONES FCI]],+Tabla5[[#This Row],[INVERSIONES FCI]]-AN282,Tabla5[[#This Row],[INVERSIONES FCI]])</f>
        <v>51738473217.797318</v>
      </c>
      <c r="AO283" s="5">
        <f>IF($B282&lt;=Tabla5[[#This Row],[INVERSIONES FCI]],+Tabla5[[#This Row],[INVERSIONES FCI]]-AO282,Tabla5[[#This Row],[INVERSIONES FCI]])</f>
        <v>51738473217.797318</v>
      </c>
      <c r="AP283" s="5">
        <f>IF($B282&lt;=Tabla5[[#This Row],[INVERSIONES FCI]],+Tabla5[[#This Row],[INVERSIONES FCI]]-AP282,Tabla5[[#This Row],[INVERSIONES FCI]])</f>
        <v>51738473217.797318</v>
      </c>
      <c r="AQ283" s="5">
        <f>IF($B282&lt;=Tabla5[[#This Row],[INVERSIONES FCI]],+Tabla5[[#This Row],[INVERSIONES FCI]]-AQ282,Tabla5[[#This Row],[INVERSIONES FCI]])</f>
        <v>51738473217.797318</v>
      </c>
      <c r="AR283" s="5">
        <f>IF($B282&lt;=Tabla5[[#This Row],[INVERSIONES FCI]],+Tabla5[[#This Row],[INVERSIONES FCI]]-AR282,Tabla5[[#This Row],[INVERSIONES FCI]])</f>
        <v>51738473217.797318</v>
      </c>
      <c r="AS283" s="5">
        <f>IF($B282&lt;=Tabla5[[#This Row],[INVERSIONES FCI]],+Tabla5[[#This Row],[INVERSIONES FCI]]-AS282,Tabla5[[#This Row],[INVERSIONES FCI]])</f>
        <v>51738473217.797318</v>
      </c>
      <c r="AT283" s="5">
        <f>IF($B282&lt;=Tabla5[[#This Row],[INVERSIONES FCI]],+Tabla5[[#This Row],[INVERSIONES FCI]]-AT282,Tabla5[[#This Row],[INVERSIONES FCI]])</f>
        <v>51738473217.797318</v>
      </c>
      <c r="AU283" s="5">
        <f>IF($B282&lt;=Tabla5[[#This Row],[INVERSIONES FCI]],+Tabla5[[#This Row],[INVERSIONES FCI]]-AU282,Tabla5[[#This Row],[INVERSIONES FCI]])</f>
        <v>51738473217.797318</v>
      </c>
      <c r="AV283" s="5">
        <f>IF($B282&lt;=Tabla5[[#This Row],[INVERSIONES FCI]],+Tabla5[[#This Row],[INVERSIONES FCI]]-AV282,Tabla5[[#This Row],[INVERSIONES FCI]])</f>
        <v>51738473217.797318</v>
      </c>
      <c r="AW283" s="5">
        <f>IF($B282&lt;=Tabla5[[#This Row],[INVERSIONES FCI]],+Tabla5[[#This Row],[INVERSIONES FCI]]-AW282,Tabla5[[#This Row],[INVERSIONES FCI]])</f>
        <v>51738473217.797318</v>
      </c>
      <c r="AX283" s="5">
        <f>IF($B282&lt;=Tabla5[[#This Row],[INVERSIONES FCI]],+Tabla5[[#This Row],[INVERSIONES FCI]]-AX282,Tabla5[[#This Row],[INVERSIONES FCI]])</f>
        <v>51738473217.797318</v>
      </c>
      <c r="AY283" s="5">
        <f>IF($B282&lt;=Tabla5[[#This Row],[INVERSIONES FCI]],+Tabla5[[#This Row],[INVERSIONES FCI]]-AY282,Tabla5[[#This Row],[INVERSIONES FCI]])</f>
        <v>51738473217.797318</v>
      </c>
      <c r="AZ283" s="5">
        <f>IF($B282&lt;=Tabla5[[#This Row],[INVERSIONES FCI]],+Tabla5[[#This Row],[INVERSIONES FCI]]-AZ282,Tabla5[[#This Row],[INVERSIONES FCI]])</f>
        <v>51738473217.797318</v>
      </c>
      <c r="BA283" s="5">
        <f>IF($B282&lt;=Tabla5[[#This Row],[INVERSIONES FCI]],+Tabla5[[#This Row],[INVERSIONES FCI]]-BA282,Tabla5[[#This Row],[INVERSIONES FCI]])</f>
        <v>51738473217.797318</v>
      </c>
      <c r="BB283" s="5">
        <f>IF($B282&lt;=Tabla5[[#This Row],[INVERSIONES FCI]],+Tabla5[[#This Row],[INVERSIONES FCI]]-BB282,Tabla5[[#This Row],[INVERSIONES FCI]])</f>
        <v>51738473217.797318</v>
      </c>
      <c r="BC283" s="5">
        <f>IF($B282&lt;=Tabla5[[#This Row],[INVERSIONES FCI]],+Tabla5[[#This Row],[INVERSIONES FCI]]-BC282,Tabla5[[#This Row],[INVERSIONES FCI]])</f>
        <v>51738473217.797318</v>
      </c>
      <c r="BD283" s="5">
        <f>IF($B282&lt;=Tabla5[[#This Row],[INVERSIONES FCI]],+Tabla5[[#This Row],[INVERSIONES FCI]]-BD282,Tabla5[[#This Row],[INVERSIONES FCI]])</f>
        <v>51738473217.797318</v>
      </c>
      <c r="BE283" s="5">
        <f>IF($B282&lt;=Tabla5[[#This Row],[INVERSIONES FCI]],+Tabla5[[#This Row],[INVERSIONES FCI]]-BE282,Tabla5[[#This Row],[INVERSIONES FCI]])</f>
        <v>51738473217.797318</v>
      </c>
      <c r="BF283" s="5">
        <f>IF($B282&lt;=Tabla5[[#This Row],[INVERSIONES FCI]],+Tabla5[[#This Row],[INVERSIONES FCI]]-BF282,Tabla5[[#This Row],[INVERSIONES FCI]])</f>
        <v>51738473217.797318</v>
      </c>
      <c r="BG283" s="5">
        <f>IF($B282&lt;=Tabla5[[#This Row],[INVERSIONES FCI]],+Tabla5[[#This Row],[INVERSIONES FCI]]-BG282,Tabla5[[#This Row],[INVERSIONES FCI]])</f>
        <v>51738473217.797318</v>
      </c>
      <c r="BH283" s="5">
        <f>IF($B282&lt;=Tabla5[[#This Row],[INVERSIONES FCI]],+Tabla5[[#This Row],[INVERSIONES FCI]]-BH282,Tabla5[[#This Row],[INVERSIONES FCI]])</f>
        <v>51738473217.797318</v>
      </c>
      <c r="BI283" s="5">
        <f>IF($B282&lt;=Tabla5[[#This Row],[INVERSIONES FCI]],+Tabla5[[#This Row],[INVERSIONES FCI]]-BI282,Tabla5[[#This Row],[INVERSIONES FCI]])</f>
        <v>51738473217.797318</v>
      </c>
      <c r="BJ283" s="5">
        <f>IF($B282&lt;=Tabla5[[#This Row],[INVERSIONES FCI]],+Tabla5[[#This Row],[INVERSIONES FCI]]-BJ282,Tabla5[[#This Row],[INVERSIONES FCI]])</f>
        <v>51738473217.797318</v>
      </c>
      <c r="BK283" s="5">
        <f>IF($B282&lt;=Tabla5[[#This Row],[INVERSIONES FCI]],+Tabla5[[#This Row],[INVERSIONES FCI]]-BK282,Tabla5[[#This Row],[INVERSIONES FCI]])</f>
        <v>51738473217.797318</v>
      </c>
      <c r="BL283" s="5">
        <f>IF($B282&lt;=Tabla5[[#This Row],[INVERSIONES FCI]],+Tabla5[[#This Row],[INVERSIONES FCI]]-BL282,Tabla5[[#This Row],[INVERSIONES FCI]])</f>
        <v>51738473217.797318</v>
      </c>
      <c r="BM283" s="5">
        <f>IF($B282&lt;=Tabla5[[#This Row],[INVERSIONES FCI]],+Tabla5[[#This Row],[INVERSIONES FCI]]-BM282,Tabla5[[#This Row],[INVERSIONES FCI]])</f>
        <v>51738473217.797318</v>
      </c>
      <c r="BN283" s="5">
        <f>IF($B282&lt;=Tabla5[[#This Row],[INVERSIONES FCI]],+Tabla5[[#This Row],[INVERSIONES FCI]]-BN282,Tabla5[[#This Row],[INVERSIONES FCI]])</f>
        <v>51738473217.797318</v>
      </c>
      <c r="BO283" s="5">
        <f>IF($B282&lt;=Tabla5[[#This Row],[INVERSIONES FCI]],+Tabla5[[#This Row],[INVERSIONES FCI]]-BO282,Tabla5[[#This Row],[INVERSIONES FCI]])</f>
        <v>51738473217.797318</v>
      </c>
      <c r="BP283" s="5">
        <f>IF($B282&lt;=Tabla5[[#This Row],[INVERSIONES FCI]],+Tabla5[[#This Row],[INVERSIONES FCI]]-BP282,Tabla5[[#This Row],[INVERSIONES FCI]])</f>
        <v>51738473217.797318</v>
      </c>
      <c r="BQ283" s="5">
        <f>IF($B282&lt;=Tabla5[[#This Row],[INVERSIONES FCI]],+Tabla5[[#This Row],[INVERSIONES FCI]]-BQ282,Tabla5[[#This Row],[INVERSIONES FCI]])</f>
        <v>51738473217.797318</v>
      </c>
      <c r="BR283" s="5">
        <f>IF($B282&lt;=Tabla5[[#This Row],[INVERSIONES FCI]],+Tabla5[[#This Row],[INVERSIONES FCI]]-BR282,Tabla5[[#This Row],[INVERSIONES FCI]])</f>
        <v>51738473217.797318</v>
      </c>
      <c r="BS283" s="5">
        <f>IF($B282&lt;=Tabla5[[#This Row],[INVERSIONES FCI]],+Tabla5[[#This Row],[INVERSIONES FCI]]-BS282,Tabla5[[#This Row],[INVERSIONES FCI]])</f>
        <v>51738473217.797318</v>
      </c>
      <c r="BT283" s="5">
        <f>IF($B282&lt;=Tabla5[[#This Row],[INVERSIONES FCI]],+Tabla5[[#This Row],[INVERSIONES FCI]]-BT282,Tabla5[[#This Row],[INVERSIONES FCI]])</f>
        <v>51738473217.797318</v>
      </c>
      <c r="BU283" s="5">
        <f>IF($B282&lt;=Tabla5[[#This Row],[INVERSIONES FCI]],+Tabla5[[#This Row],[INVERSIONES FCI]]-BU282,Tabla5[[#This Row],[INVERSIONES FCI]])</f>
        <v>51738473217.797318</v>
      </c>
      <c r="BV283" s="5">
        <f>IF($B282&lt;=Tabla5[[#This Row],[INVERSIONES FCI]],+Tabla5[[#This Row],[INVERSIONES FCI]]-BV282,Tabla5[[#This Row],[INVERSIONES FCI]])</f>
        <v>51738473217.797318</v>
      </c>
      <c r="BW283" s="5">
        <f>IF($B282&lt;=Tabla5[[#This Row],[INVERSIONES FCI]],+Tabla5[[#This Row],[INVERSIONES FCI]]-BW282,Tabla5[[#This Row],[INVERSIONES FCI]])</f>
        <v>51738473217.797318</v>
      </c>
      <c r="BX283" s="5">
        <f>IF($B282&lt;=Tabla5[[#This Row],[INVERSIONES FCI]],+Tabla5[[#This Row],[INVERSIONES FCI]]-BX282,Tabla5[[#This Row],[INVERSIONES FCI]])</f>
        <v>51738473217.797318</v>
      </c>
      <c r="BY283" s="5">
        <f>IF($B282&lt;=Tabla5[[#This Row],[INVERSIONES FCI]],+Tabla5[[#This Row],[INVERSIONES FCI]]-BY282,Tabla5[[#This Row],[INVERSIONES FCI]])</f>
        <v>51738473217.797318</v>
      </c>
      <c r="BZ283" s="5">
        <f>IF($B282&lt;=Tabla5[[#This Row],[INVERSIONES FCI]],+Tabla5[[#This Row],[INVERSIONES FCI]]-BZ282,Tabla5[[#This Row],[INVERSIONES FCI]])</f>
        <v>51738473217.797318</v>
      </c>
      <c r="CA283" s="5">
        <f>IF($B282&lt;=Tabla5[[#This Row],[INVERSIONES FCI]],+Tabla5[[#This Row],[INVERSIONES FCI]]-CA282,Tabla5[[#This Row],[INVERSIONES FCI]])</f>
        <v>51738473217.797318</v>
      </c>
      <c r="CB283" s="5">
        <f>IF($B282&lt;=Tabla5[[#This Row],[INVERSIONES FCI]],+Tabla5[[#This Row],[INVERSIONES FCI]]-CB282,Tabla5[[#This Row],[INVERSIONES FCI]])</f>
        <v>51738473217.797318</v>
      </c>
      <c r="CC283" s="5">
        <f>IF($B282&lt;=Tabla5[[#This Row],[INVERSIONES FCI]],+Tabla5[[#This Row],[INVERSIONES FCI]]-CC282,Tabla5[[#This Row],[INVERSIONES FCI]])</f>
        <v>51738473217.797318</v>
      </c>
      <c r="CD283" s="5">
        <f>IF($B282&lt;=Tabla5[[#This Row],[INVERSIONES FCI]],+Tabla5[[#This Row],[INVERSIONES FCI]]-CD282,Tabla5[[#This Row],[INVERSIONES FCI]])</f>
        <v>51738473217.797318</v>
      </c>
      <c r="CE283" s="5">
        <f>IF($B282&lt;=Tabla5[[#This Row],[INVERSIONES FCI]],+Tabla5[[#This Row],[INVERSIONES FCI]]-CE282,Tabla5[[#This Row],[INVERSIONES FCI]])</f>
        <v>51738473217.797318</v>
      </c>
      <c r="CF283" s="5">
        <f>IF($B282&lt;=Tabla5[[#This Row],[INVERSIONES FCI]],+Tabla5[[#This Row],[INVERSIONES FCI]]-CF282,Tabla5[[#This Row],[INVERSIONES FCI]])</f>
        <v>51738473217.797318</v>
      </c>
      <c r="CG283" s="5">
        <f>IF($B282&lt;=Tabla5[[#This Row],[INVERSIONES FCI]],+Tabla5[[#This Row],[INVERSIONES FCI]]-CG282,Tabla5[[#This Row],[INVERSIONES FCI]])</f>
        <v>51738473217.797318</v>
      </c>
      <c r="CH283" s="5">
        <f>IF($B282&lt;=Tabla5[[#This Row],[INVERSIONES FCI]],+Tabla5[[#This Row],[INVERSIONES FCI]]-CH282,Tabla5[[#This Row],[INVERSIONES FCI]])</f>
        <v>51738473217.797318</v>
      </c>
      <c r="CI283" s="5">
        <f>IF($B282&lt;=Tabla5[[#This Row],[INVERSIONES FCI]],+Tabla5[[#This Row],[INVERSIONES FCI]]-CI282,Tabla5[[#This Row],[INVERSIONES FCI]])</f>
        <v>51738473217.797318</v>
      </c>
      <c r="CJ283" s="5">
        <f>IF($B282&lt;=Tabla5[[#This Row],[INVERSIONES FCI]],+Tabla5[[#This Row],[INVERSIONES FCI]]-CJ282,Tabla5[[#This Row],[INVERSIONES FCI]])</f>
        <v>51738473217.797318</v>
      </c>
      <c r="CK283" s="5">
        <f>IF($B282&lt;=Tabla5[[#This Row],[INVERSIONES FCI]],+Tabla5[[#This Row],[INVERSIONES FCI]]-CK282,Tabla5[[#This Row],[INVERSIONES FCI]])</f>
        <v>51738473217.797318</v>
      </c>
      <c r="CL283" s="5">
        <f>IF($B282&lt;=Tabla5[[#This Row],[INVERSIONES FCI]],+Tabla5[[#This Row],[INVERSIONES FCI]]-CL282,Tabla5[[#This Row],[INVERSIONES FCI]])</f>
        <v>51738473217.797318</v>
      </c>
      <c r="CM283" s="5">
        <f>IF($B282&lt;=Tabla5[[#This Row],[INVERSIONES FCI]],+Tabla5[[#This Row],[INVERSIONES FCI]]-CM282,Tabla5[[#This Row],[INVERSIONES FCI]])</f>
        <v>51738473217.797318</v>
      </c>
      <c r="CN283" s="5">
        <f>IF($B282&lt;=Tabla5[[#This Row],[INVERSIONES FCI]],+Tabla5[[#This Row],[INVERSIONES FCI]]-CN282,Tabla5[[#This Row],[INVERSIONES FCI]])</f>
        <v>51738473217.797318</v>
      </c>
      <c r="CO283" s="5">
        <f>IF($B282&lt;=Tabla5[[#This Row],[INVERSIONES FCI]],+Tabla5[[#This Row],[INVERSIONES FCI]]-CO282,Tabla5[[#This Row],[INVERSIONES FCI]])</f>
        <v>51738473217.797318</v>
      </c>
      <c r="CP283" s="5">
        <f>IF($B282&lt;=Tabla5[[#This Row],[INVERSIONES FCI]],+Tabla5[[#This Row],[INVERSIONES FCI]]-CP282,Tabla5[[#This Row],[INVERSIONES FCI]])</f>
        <v>51738473217.797318</v>
      </c>
      <c r="CQ283" s="5">
        <f>IF($B282&lt;=Tabla5[[#This Row],[INVERSIONES FCI]],+Tabla5[[#This Row],[INVERSIONES FCI]]-CQ282,Tabla5[[#This Row],[INVERSIONES FCI]])</f>
        <v>51738473217.797318</v>
      </c>
      <c r="CR283" s="5">
        <f>IF($B282&lt;=Tabla5[[#This Row],[INVERSIONES FCI]],+Tabla5[[#This Row],[INVERSIONES FCI]]-CR282,Tabla5[[#This Row],[INVERSIONES FCI]])</f>
        <v>51738473217.797318</v>
      </c>
      <c r="CS283" s="5">
        <f>IF($B282&lt;=Tabla5[[#This Row],[INVERSIONES FCI]],+Tabla5[[#This Row],[INVERSIONES FCI]]-CS282,Tabla5[[#This Row],[INVERSIONES FCI]])</f>
        <v>51738473217.797318</v>
      </c>
      <c r="CT283" s="5">
        <f>IF($B282&lt;=Tabla5[[#This Row],[INVERSIONES FCI]],+Tabla5[[#This Row],[INVERSIONES FCI]]-CT282,Tabla5[[#This Row],[INVERSIONES FCI]])</f>
        <v>51738473217.797318</v>
      </c>
      <c r="CU283" s="5">
        <f>IF($B282&lt;=Tabla5[[#This Row],[INVERSIONES FCI]],+Tabla5[[#This Row],[INVERSIONES FCI]]-CU282,Tabla5[[#This Row],[INVERSIONES FCI]])</f>
        <v>51738473217.797318</v>
      </c>
      <c r="CV283" s="5">
        <f>IF($B282&lt;=Tabla5[[#This Row],[INVERSIONES FCI]],+Tabla5[[#This Row],[INVERSIONES FCI]]-CV282,Tabla5[[#This Row],[INVERSIONES FCI]])</f>
        <v>51738473217.797318</v>
      </c>
      <c r="CW283" s="5">
        <f>IF($B282&lt;=Tabla5[[#This Row],[INVERSIONES FCI]],+Tabla5[[#This Row],[INVERSIONES FCI]]-CW282,Tabla5[[#This Row],[INVERSIONES FCI]])</f>
        <v>51738473217.797318</v>
      </c>
      <c r="CX283" s="5">
        <f>IF($B282&lt;=Tabla5[[#This Row],[INVERSIONES FCI]],+Tabla5[[#This Row],[INVERSIONES FCI]]-CX282,Tabla5[[#This Row],[INVERSIONES FCI]])</f>
        <v>51738473217.797318</v>
      </c>
      <c r="CY283" s="5">
        <f>IF($B282&lt;=Tabla5[[#This Row],[INVERSIONES FCI]],+Tabla5[[#This Row],[INVERSIONES FCI]]-CY282,Tabla5[[#This Row],[INVERSIONES FCI]])</f>
        <v>51738473217.797318</v>
      </c>
      <c r="CZ283" s="5">
        <f>IF($B282&lt;=Tabla5[[#This Row],[INVERSIONES FCI]],+Tabla5[[#This Row],[INVERSIONES FCI]]-CZ282,Tabla5[[#This Row],[INVERSIONES FCI]])</f>
        <v>51738473217.797318</v>
      </c>
      <c r="DA283" s="5">
        <f>IF($B282&lt;=Tabla5[[#This Row],[INVERSIONES FCI]],+Tabla5[[#This Row],[INVERSIONES FCI]]-DA282,Tabla5[[#This Row],[INVERSIONES FCI]])</f>
        <v>51738473217.797318</v>
      </c>
      <c r="DB283" s="5">
        <f>IF($B282&lt;=Tabla5[[#This Row],[INVERSIONES FCI]],+Tabla5[[#This Row],[INVERSIONES FCI]]-DB282,Tabla5[[#This Row],[INVERSIONES FCI]])</f>
        <v>51738473217.797318</v>
      </c>
      <c r="DC283" s="5">
        <f>IF($B282&lt;=Tabla5[[#This Row],[INVERSIONES FCI]],+Tabla5[[#This Row],[INVERSIONES FCI]]-DC282,Tabla5[[#This Row],[INVERSIONES FCI]])</f>
        <v>51738473217.797318</v>
      </c>
      <c r="DD283" s="5">
        <f>IF($B282&lt;=Tabla5[[#This Row],[INVERSIONES FCI]],+Tabla5[[#This Row],[INVERSIONES FCI]]-DD282,Tabla5[[#This Row],[INVERSIONES FCI]])</f>
        <v>51738473217.797318</v>
      </c>
      <c r="DE283" s="5">
        <f>IF($B282&lt;=Tabla5[[#This Row],[INVERSIONES FCI]],+Tabla5[[#This Row],[INVERSIONES FCI]]-DE282,Tabla5[[#This Row],[INVERSIONES FCI]])</f>
        <v>51738473217.797318</v>
      </c>
      <c r="DF283" s="5">
        <f>IF($B282&lt;=Tabla5[[#This Row],[INVERSIONES FCI]],+Tabla5[[#This Row],[INVERSIONES FCI]]-DF282,Tabla5[[#This Row],[INVERSIONES FCI]])</f>
        <v>51738473217.797318</v>
      </c>
      <c r="DG283" s="5">
        <f>IF($B282&lt;=Tabla5[[#This Row],[INVERSIONES FCI]],+Tabla5[[#This Row],[INVERSIONES FCI]]-DG282,Tabla5[[#This Row],[INVERSIONES FCI]])</f>
        <v>51738473217.797318</v>
      </c>
      <c r="DH283" s="5">
        <f>IF($B282&lt;=Tabla5[[#This Row],[INVERSIONES FCI]],+Tabla5[[#This Row],[INVERSIONES FCI]]-DH282,Tabla5[[#This Row],[INVERSIONES FCI]])</f>
        <v>51738473217.797318</v>
      </c>
      <c r="DI283" s="5">
        <f>IF($B282&lt;=Tabla5[[#This Row],[INVERSIONES FCI]],+Tabla5[[#This Row],[INVERSIONES FCI]]-DI282,Tabla5[[#This Row],[INVERSIONES FCI]])</f>
        <v>51738473217.797318</v>
      </c>
      <c r="DJ283" s="5">
        <f>IF($B282&lt;=Tabla5[[#This Row],[INVERSIONES FCI]],+Tabla5[[#This Row],[INVERSIONES FCI]]-DJ282,Tabla5[[#This Row],[INVERSIONES FCI]])</f>
        <v>51738473217.797318</v>
      </c>
      <c r="DK283" s="5">
        <f>IF($B282&lt;=Tabla5[[#This Row],[INVERSIONES FCI]],+Tabla5[[#This Row],[INVERSIONES FCI]]-DK282,Tabla5[[#This Row],[INVERSIONES FCI]])</f>
        <v>51738473217.797318</v>
      </c>
      <c r="DL283" s="5"/>
      <c r="DM283" s="5"/>
      <c r="DN283" s="5"/>
      <c r="DO283" s="5"/>
      <c r="DP283" s="5"/>
      <c r="DQ283" s="5"/>
    </row>
    <row r="284" spans="1:121" ht="14.4">
      <c r="A284" s="12" t="s">
        <v>283</v>
      </c>
      <c r="B284" s="5">
        <f>HLOOKUP($A284,ESCENARIO[#All],7,FALSE)</f>
        <v>55194843622.57608</v>
      </c>
      <c r="C284" s="5">
        <f>IF($B283&lt;=Tabla5[[#This Row],[INVERSIONES FCI]],+Tabla5[[#This Row],[INVERSIONES FCI]]-C283,Tabla5[[#This Row],[INVERSIONES FCI]])</f>
        <v>3456370404.7787628</v>
      </c>
      <c r="D284" s="5">
        <f>IF($B283&lt;=Tabla5[[#This Row],[INVERSIONES FCI]],+Tabla5[[#This Row],[INVERSIONES FCI]]-D283,Tabla5[[#This Row],[INVERSIONES FCI]])</f>
        <v>3456370404.7787628</v>
      </c>
      <c r="E284" s="5">
        <f>IF($B283&lt;=Tabla5[[#This Row],[INVERSIONES FCI]],+Tabla5[[#This Row],[INVERSIONES FCI]]-E283,Tabla5[[#This Row],[INVERSIONES FCI]])</f>
        <v>3456370404.7787628</v>
      </c>
      <c r="F284" s="5">
        <f>IF($B283&lt;=Tabla5[[#This Row],[INVERSIONES FCI]],+Tabla5[[#This Row],[INVERSIONES FCI]]-F283,Tabla5[[#This Row],[INVERSIONES FCI]])</f>
        <v>3456370404.7787628</v>
      </c>
      <c r="G284" s="5">
        <f>IF($B283&lt;=Tabla5[[#This Row],[INVERSIONES FCI]],+Tabla5[[#This Row],[INVERSIONES FCI]]-G283,Tabla5[[#This Row],[INVERSIONES FCI]])</f>
        <v>3456370404.7787628</v>
      </c>
      <c r="H284" s="5">
        <f>IF($B283&lt;=Tabla5[[#This Row],[INVERSIONES FCI]],+Tabla5[[#This Row],[INVERSIONES FCI]]-H283,Tabla5[[#This Row],[INVERSIONES FCI]])</f>
        <v>3456370404.7787628</v>
      </c>
      <c r="I284" s="5">
        <f>IF($B283&lt;=Tabla5[[#This Row],[INVERSIONES FCI]],+Tabla5[[#This Row],[INVERSIONES FCI]]-I283,Tabla5[[#This Row],[INVERSIONES FCI]])</f>
        <v>3456370404.7787628</v>
      </c>
      <c r="J284" s="5">
        <f>IF($B283&lt;=Tabla5[[#This Row],[INVERSIONES FCI]],+Tabla5[[#This Row],[INVERSIONES FCI]]-J283,Tabla5[[#This Row],[INVERSIONES FCI]])</f>
        <v>3456370404.7787628</v>
      </c>
      <c r="K284" s="5">
        <f>IF($B283&lt;=Tabla5[[#This Row],[INVERSIONES FCI]],+Tabla5[[#This Row],[INVERSIONES FCI]]-K283,Tabla5[[#This Row],[INVERSIONES FCI]])</f>
        <v>3456370404.7787628</v>
      </c>
      <c r="L284" s="5">
        <f>IF($B283&lt;=Tabla5[[#This Row],[INVERSIONES FCI]],+Tabla5[[#This Row],[INVERSIONES FCI]]-L283,Tabla5[[#This Row],[INVERSIONES FCI]])</f>
        <v>3456370404.7787628</v>
      </c>
      <c r="M284" s="5">
        <f>IF($B283&lt;=Tabla5[[#This Row],[INVERSIONES FCI]],+Tabla5[[#This Row],[INVERSIONES FCI]]-M283,Tabla5[[#This Row],[INVERSIONES FCI]])</f>
        <v>3456370404.7787628</v>
      </c>
      <c r="N284" s="5">
        <f>IF($B283&lt;=Tabla5[[#This Row],[INVERSIONES FCI]],+Tabla5[[#This Row],[INVERSIONES FCI]]-N283,Tabla5[[#This Row],[INVERSIONES FCI]])</f>
        <v>3456370404.7787628</v>
      </c>
      <c r="O284" s="5">
        <f>IF($B283&lt;=Tabla5[[#This Row],[INVERSIONES FCI]],+Tabla5[[#This Row],[INVERSIONES FCI]]-O283,Tabla5[[#This Row],[INVERSIONES FCI]])</f>
        <v>3456370404.7787628</v>
      </c>
      <c r="P284" s="5">
        <f>IF($B283&lt;=Tabla5[[#This Row],[INVERSIONES FCI]],+Tabla5[[#This Row],[INVERSIONES FCI]]-P283,Tabla5[[#This Row],[INVERSIONES FCI]])</f>
        <v>3456370404.7787628</v>
      </c>
      <c r="Q284" s="5">
        <f>IF($B283&lt;=Tabla5[[#This Row],[INVERSIONES FCI]],+Tabla5[[#This Row],[INVERSIONES FCI]]-Q283,Tabla5[[#This Row],[INVERSIONES FCI]])</f>
        <v>3456370404.7787628</v>
      </c>
      <c r="R284" s="5">
        <f>IF($B283&lt;=Tabla5[[#This Row],[INVERSIONES FCI]],+Tabla5[[#This Row],[INVERSIONES FCI]]-R283,Tabla5[[#This Row],[INVERSIONES FCI]])</f>
        <v>3456370404.7787628</v>
      </c>
      <c r="S284" s="5">
        <f>IF($B283&lt;=Tabla5[[#This Row],[INVERSIONES FCI]],+Tabla5[[#This Row],[INVERSIONES FCI]]-S283,Tabla5[[#This Row],[INVERSIONES FCI]])</f>
        <v>3456370404.7787628</v>
      </c>
      <c r="T284" s="5">
        <f>IF($B283&lt;=Tabla5[[#This Row],[INVERSIONES FCI]],+Tabla5[[#This Row],[INVERSIONES FCI]]-T283,Tabla5[[#This Row],[INVERSIONES FCI]])</f>
        <v>3456370404.7787628</v>
      </c>
      <c r="U284" s="5">
        <f>IF($B283&lt;=Tabla5[[#This Row],[INVERSIONES FCI]],+Tabla5[[#This Row],[INVERSIONES FCI]]-U283,Tabla5[[#This Row],[INVERSIONES FCI]])</f>
        <v>3456370404.7787628</v>
      </c>
      <c r="V284" s="5">
        <f>IF($B283&lt;=Tabla5[[#This Row],[INVERSIONES FCI]],+Tabla5[[#This Row],[INVERSIONES FCI]]-V283,Tabla5[[#This Row],[INVERSIONES FCI]])</f>
        <v>3456370404.7787628</v>
      </c>
      <c r="W284" s="5">
        <f>IF($B283&lt;=Tabla5[[#This Row],[INVERSIONES FCI]],+Tabla5[[#This Row],[INVERSIONES FCI]]-W283,Tabla5[[#This Row],[INVERSIONES FCI]])</f>
        <v>3456370404.7787628</v>
      </c>
      <c r="X284" s="5">
        <f>IF($B283&lt;=Tabla5[[#This Row],[INVERSIONES FCI]],+Tabla5[[#This Row],[INVERSIONES FCI]]-X283,Tabla5[[#This Row],[INVERSIONES FCI]])</f>
        <v>3456370404.7787628</v>
      </c>
      <c r="Y284" s="5">
        <f>IF($B283&lt;=Tabla5[[#This Row],[INVERSIONES FCI]],+Tabla5[[#This Row],[INVERSIONES FCI]]-Y283,Tabla5[[#This Row],[INVERSIONES FCI]])</f>
        <v>3456370404.7787628</v>
      </c>
      <c r="Z284" s="5">
        <f>IF($B283&lt;=Tabla5[[#This Row],[INVERSIONES FCI]],+Tabla5[[#This Row],[INVERSIONES FCI]]-Z283,Tabla5[[#This Row],[INVERSIONES FCI]])</f>
        <v>3456370404.7787628</v>
      </c>
      <c r="AA284" s="5">
        <f>IF($B283&lt;=Tabla5[[#This Row],[INVERSIONES FCI]],+Tabla5[[#This Row],[INVERSIONES FCI]]-AA283,Tabla5[[#This Row],[INVERSIONES FCI]])</f>
        <v>3456370404.7787628</v>
      </c>
      <c r="AB284" s="5">
        <f>IF($B283&lt;=Tabla5[[#This Row],[INVERSIONES FCI]],+Tabla5[[#This Row],[INVERSIONES FCI]]-AB283,Tabla5[[#This Row],[INVERSIONES FCI]])</f>
        <v>3456370404.7787628</v>
      </c>
      <c r="AC284" s="5">
        <f>IF($B283&lt;=Tabla5[[#This Row],[INVERSIONES FCI]],+Tabla5[[#This Row],[INVERSIONES FCI]]-AC283,Tabla5[[#This Row],[INVERSIONES FCI]])</f>
        <v>3456370404.7787628</v>
      </c>
      <c r="AD284" s="5">
        <f>IF($B283&lt;=Tabla5[[#This Row],[INVERSIONES FCI]],+Tabla5[[#This Row],[INVERSIONES FCI]]-AD283,Tabla5[[#This Row],[INVERSIONES FCI]])</f>
        <v>3456370404.7787628</v>
      </c>
      <c r="AE284" s="5">
        <f>IF($B283&lt;=Tabla5[[#This Row],[INVERSIONES FCI]],+Tabla5[[#This Row],[INVERSIONES FCI]]-AE283,Tabla5[[#This Row],[INVERSIONES FCI]])</f>
        <v>3456370404.7787628</v>
      </c>
      <c r="AF284" s="5">
        <f>IF($B283&lt;=Tabla5[[#This Row],[INVERSIONES FCI]],+Tabla5[[#This Row],[INVERSIONES FCI]]-AF283,Tabla5[[#This Row],[INVERSIONES FCI]])</f>
        <v>3456370404.7787628</v>
      </c>
      <c r="AG284" s="5">
        <f>IF($B283&lt;=Tabla5[[#This Row],[INVERSIONES FCI]],+Tabla5[[#This Row],[INVERSIONES FCI]]-AG283,Tabla5[[#This Row],[INVERSIONES FCI]])</f>
        <v>3456370404.7787628</v>
      </c>
      <c r="AH284" s="5">
        <f>IF($B283&lt;=Tabla5[[#This Row],[INVERSIONES FCI]],+Tabla5[[#This Row],[INVERSIONES FCI]]-AH283,Tabla5[[#This Row],[INVERSIONES FCI]])</f>
        <v>3456370404.7787628</v>
      </c>
      <c r="AI284" s="5">
        <f>IF($B283&lt;=Tabla5[[#This Row],[INVERSIONES FCI]],+Tabla5[[#This Row],[INVERSIONES FCI]]-AI283,Tabla5[[#This Row],[INVERSIONES FCI]])</f>
        <v>3456370404.7787628</v>
      </c>
      <c r="AJ284" s="5">
        <f>IF($B283&lt;=Tabla5[[#This Row],[INVERSIONES FCI]],+Tabla5[[#This Row],[INVERSIONES FCI]]-AJ283,Tabla5[[#This Row],[INVERSIONES FCI]])</f>
        <v>3456370404.7787628</v>
      </c>
      <c r="AK284" s="5">
        <f>IF($B283&lt;=Tabla5[[#This Row],[INVERSIONES FCI]],+Tabla5[[#This Row],[INVERSIONES FCI]]-AK283,Tabla5[[#This Row],[INVERSIONES FCI]])</f>
        <v>3456370404.7787628</v>
      </c>
      <c r="AL284" s="5">
        <f>IF($B283&lt;=Tabla5[[#This Row],[INVERSIONES FCI]],+Tabla5[[#This Row],[INVERSIONES FCI]]-AL283,Tabla5[[#This Row],[INVERSIONES FCI]])</f>
        <v>3456370404.7787628</v>
      </c>
      <c r="AM284" s="5">
        <f>IF($B283&lt;=Tabla5[[#This Row],[INVERSIONES FCI]],+Tabla5[[#This Row],[INVERSIONES FCI]]-AM283,Tabla5[[#This Row],[INVERSIONES FCI]])</f>
        <v>3456370404.7787628</v>
      </c>
      <c r="AN284" s="5">
        <f>IF($B283&lt;=Tabla5[[#This Row],[INVERSIONES FCI]],+Tabla5[[#This Row],[INVERSIONES FCI]]-AN283,Tabla5[[#This Row],[INVERSIONES FCI]])</f>
        <v>3456370404.7787628</v>
      </c>
      <c r="AO284" s="5">
        <f>IF($B283&lt;=Tabla5[[#This Row],[INVERSIONES FCI]],+Tabla5[[#This Row],[INVERSIONES FCI]]-AO283,Tabla5[[#This Row],[INVERSIONES FCI]])</f>
        <v>3456370404.7787628</v>
      </c>
      <c r="AP284" s="5">
        <f>IF($B283&lt;=Tabla5[[#This Row],[INVERSIONES FCI]],+Tabla5[[#This Row],[INVERSIONES FCI]]-AP283,Tabla5[[#This Row],[INVERSIONES FCI]])</f>
        <v>3456370404.7787628</v>
      </c>
      <c r="AQ284" s="5">
        <f>IF($B283&lt;=Tabla5[[#This Row],[INVERSIONES FCI]],+Tabla5[[#This Row],[INVERSIONES FCI]]-AQ283,Tabla5[[#This Row],[INVERSIONES FCI]])</f>
        <v>3456370404.7787628</v>
      </c>
      <c r="AR284" s="5">
        <f>IF($B283&lt;=Tabla5[[#This Row],[INVERSIONES FCI]],+Tabla5[[#This Row],[INVERSIONES FCI]]-AR283,Tabla5[[#This Row],[INVERSIONES FCI]])</f>
        <v>3456370404.7787628</v>
      </c>
      <c r="AS284" s="5">
        <f>IF($B283&lt;=Tabla5[[#This Row],[INVERSIONES FCI]],+Tabla5[[#This Row],[INVERSIONES FCI]]-AS283,Tabla5[[#This Row],[INVERSIONES FCI]])</f>
        <v>3456370404.7787628</v>
      </c>
      <c r="AT284" s="5">
        <f>IF($B283&lt;=Tabla5[[#This Row],[INVERSIONES FCI]],+Tabla5[[#This Row],[INVERSIONES FCI]]-AT283,Tabla5[[#This Row],[INVERSIONES FCI]])</f>
        <v>3456370404.7787628</v>
      </c>
      <c r="AU284" s="5">
        <f>IF($B283&lt;=Tabla5[[#This Row],[INVERSIONES FCI]],+Tabla5[[#This Row],[INVERSIONES FCI]]-AU283,Tabla5[[#This Row],[INVERSIONES FCI]])</f>
        <v>3456370404.7787628</v>
      </c>
      <c r="AV284" s="5">
        <f>IF($B283&lt;=Tabla5[[#This Row],[INVERSIONES FCI]],+Tabla5[[#This Row],[INVERSIONES FCI]]-AV283,Tabla5[[#This Row],[INVERSIONES FCI]])</f>
        <v>3456370404.7787628</v>
      </c>
      <c r="AW284" s="5">
        <f>IF($B283&lt;=Tabla5[[#This Row],[INVERSIONES FCI]],+Tabla5[[#This Row],[INVERSIONES FCI]]-AW283,Tabla5[[#This Row],[INVERSIONES FCI]])</f>
        <v>3456370404.7787628</v>
      </c>
      <c r="AX284" s="5">
        <f>IF($B283&lt;=Tabla5[[#This Row],[INVERSIONES FCI]],+Tabla5[[#This Row],[INVERSIONES FCI]]-AX283,Tabla5[[#This Row],[INVERSIONES FCI]])</f>
        <v>3456370404.7787628</v>
      </c>
      <c r="AY284" s="5">
        <f>IF($B283&lt;=Tabla5[[#This Row],[INVERSIONES FCI]],+Tabla5[[#This Row],[INVERSIONES FCI]]-AY283,Tabla5[[#This Row],[INVERSIONES FCI]])</f>
        <v>3456370404.7787628</v>
      </c>
      <c r="AZ284" s="5">
        <f>IF($B283&lt;=Tabla5[[#This Row],[INVERSIONES FCI]],+Tabla5[[#This Row],[INVERSIONES FCI]]-AZ283,Tabla5[[#This Row],[INVERSIONES FCI]])</f>
        <v>3456370404.7787628</v>
      </c>
      <c r="BA284" s="5">
        <f>IF($B283&lt;=Tabla5[[#This Row],[INVERSIONES FCI]],+Tabla5[[#This Row],[INVERSIONES FCI]]-BA283,Tabla5[[#This Row],[INVERSIONES FCI]])</f>
        <v>3456370404.7787628</v>
      </c>
      <c r="BB284" s="5">
        <f>IF($B283&lt;=Tabla5[[#This Row],[INVERSIONES FCI]],+Tabla5[[#This Row],[INVERSIONES FCI]]-BB283,Tabla5[[#This Row],[INVERSIONES FCI]])</f>
        <v>3456370404.7787628</v>
      </c>
      <c r="BC284" s="5">
        <f>IF($B283&lt;=Tabla5[[#This Row],[INVERSIONES FCI]],+Tabla5[[#This Row],[INVERSIONES FCI]]-BC283,Tabla5[[#This Row],[INVERSIONES FCI]])</f>
        <v>3456370404.7787628</v>
      </c>
      <c r="BD284" s="5">
        <f>IF($B283&lt;=Tabla5[[#This Row],[INVERSIONES FCI]],+Tabla5[[#This Row],[INVERSIONES FCI]]-BD283,Tabla5[[#This Row],[INVERSIONES FCI]])</f>
        <v>3456370404.7787628</v>
      </c>
      <c r="BE284" s="5">
        <f>IF($B283&lt;=Tabla5[[#This Row],[INVERSIONES FCI]],+Tabla5[[#This Row],[INVERSIONES FCI]]-BE283,Tabla5[[#This Row],[INVERSIONES FCI]])</f>
        <v>3456370404.7787628</v>
      </c>
      <c r="BF284" s="5">
        <f>IF($B283&lt;=Tabla5[[#This Row],[INVERSIONES FCI]],+Tabla5[[#This Row],[INVERSIONES FCI]]-BF283,Tabla5[[#This Row],[INVERSIONES FCI]])</f>
        <v>3456370404.7787628</v>
      </c>
      <c r="BG284" s="5">
        <f>IF($B283&lt;=Tabla5[[#This Row],[INVERSIONES FCI]],+Tabla5[[#This Row],[INVERSIONES FCI]]-BG283,Tabla5[[#This Row],[INVERSIONES FCI]])</f>
        <v>3456370404.7787628</v>
      </c>
      <c r="BH284" s="5">
        <f>IF($B283&lt;=Tabla5[[#This Row],[INVERSIONES FCI]],+Tabla5[[#This Row],[INVERSIONES FCI]]-BH283,Tabla5[[#This Row],[INVERSIONES FCI]])</f>
        <v>3456370404.7787628</v>
      </c>
      <c r="BI284" s="5">
        <f>IF($B283&lt;=Tabla5[[#This Row],[INVERSIONES FCI]],+Tabla5[[#This Row],[INVERSIONES FCI]]-BI283,Tabla5[[#This Row],[INVERSIONES FCI]])</f>
        <v>3456370404.7787628</v>
      </c>
      <c r="BJ284" s="5">
        <f>IF($B283&lt;=Tabla5[[#This Row],[INVERSIONES FCI]],+Tabla5[[#This Row],[INVERSIONES FCI]]-BJ283,Tabla5[[#This Row],[INVERSIONES FCI]])</f>
        <v>3456370404.7787628</v>
      </c>
      <c r="BK284" s="5">
        <f>IF($B283&lt;=Tabla5[[#This Row],[INVERSIONES FCI]],+Tabla5[[#This Row],[INVERSIONES FCI]]-BK283,Tabla5[[#This Row],[INVERSIONES FCI]])</f>
        <v>3456370404.7787628</v>
      </c>
      <c r="BL284" s="5">
        <f>IF($B283&lt;=Tabla5[[#This Row],[INVERSIONES FCI]],+Tabla5[[#This Row],[INVERSIONES FCI]]-BL283,Tabla5[[#This Row],[INVERSIONES FCI]])</f>
        <v>3456370404.7787628</v>
      </c>
      <c r="BM284" s="5">
        <f>IF($B283&lt;=Tabla5[[#This Row],[INVERSIONES FCI]],+Tabla5[[#This Row],[INVERSIONES FCI]]-BM283,Tabla5[[#This Row],[INVERSIONES FCI]])</f>
        <v>3456370404.7787628</v>
      </c>
      <c r="BN284" s="5">
        <f>IF($B283&lt;=Tabla5[[#This Row],[INVERSIONES FCI]],+Tabla5[[#This Row],[INVERSIONES FCI]]-BN283,Tabla5[[#This Row],[INVERSIONES FCI]])</f>
        <v>3456370404.7787628</v>
      </c>
      <c r="BO284" s="5">
        <f>IF($B283&lt;=Tabla5[[#This Row],[INVERSIONES FCI]],+Tabla5[[#This Row],[INVERSIONES FCI]]-BO283,Tabla5[[#This Row],[INVERSIONES FCI]])</f>
        <v>3456370404.7787628</v>
      </c>
      <c r="BP284" s="5">
        <f>IF($B283&lt;=Tabla5[[#This Row],[INVERSIONES FCI]],+Tabla5[[#This Row],[INVERSIONES FCI]]-BP283,Tabla5[[#This Row],[INVERSIONES FCI]])</f>
        <v>3456370404.7787628</v>
      </c>
      <c r="BQ284" s="5">
        <f>IF($B283&lt;=Tabla5[[#This Row],[INVERSIONES FCI]],+Tabla5[[#This Row],[INVERSIONES FCI]]-BQ283,Tabla5[[#This Row],[INVERSIONES FCI]])</f>
        <v>3456370404.7787628</v>
      </c>
      <c r="BR284" s="5">
        <f>IF($B283&lt;=Tabla5[[#This Row],[INVERSIONES FCI]],+Tabla5[[#This Row],[INVERSIONES FCI]]-BR283,Tabla5[[#This Row],[INVERSIONES FCI]])</f>
        <v>3456370404.7787628</v>
      </c>
      <c r="BS284" s="5">
        <f>IF($B283&lt;=Tabla5[[#This Row],[INVERSIONES FCI]],+Tabla5[[#This Row],[INVERSIONES FCI]]-BS283,Tabla5[[#This Row],[INVERSIONES FCI]])</f>
        <v>3456370404.7787628</v>
      </c>
      <c r="BT284" s="5">
        <f>IF($B283&lt;=Tabla5[[#This Row],[INVERSIONES FCI]],+Tabla5[[#This Row],[INVERSIONES FCI]]-BT283,Tabla5[[#This Row],[INVERSIONES FCI]])</f>
        <v>3456370404.7787628</v>
      </c>
      <c r="BU284" s="5">
        <f>IF($B283&lt;=Tabla5[[#This Row],[INVERSIONES FCI]],+Tabla5[[#This Row],[INVERSIONES FCI]]-BU283,Tabla5[[#This Row],[INVERSIONES FCI]])</f>
        <v>3456370404.7787628</v>
      </c>
      <c r="BV284" s="5">
        <f>IF($B283&lt;=Tabla5[[#This Row],[INVERSIONES FCI]],+Tabla5[[#This Row],[INVERSIONES FCI]]-BV283,Tabla5[[#This Row],[INVERSIONES FCI]])</f>
        <v>3456370404.7787628</v>
      </c>
      <c r="BW284" s="5">
        <f>IF($B283&lt;=Tabla5[[#This Row],[INVERSIONES FCI]],+Tabla5[[#This Row],[INVERSIONES FCI]]-BW283,Tabla5[[#This Row],[INVERSIONES FCI]])</f>
        <v>3456370404.7787628</v>
      </c>
      <c r="BX284" s="5">
        <f>IF($B283&lt;=Tabla5[[#This Row],[INVERSIONES FCI]],+Tabla5[[#This Row],[INVERSIONES FCI]]-BX283,Tabla5[[#This Row],[INVERSIONES FCI]])</f>
        <v>3456370404.7787628</v>
      </c>
      <c r="BY284" s="5">
        <f>IF($B283&lt;=Tabla5[[#This Row],[INVERSIONES FCI]],+Tabla5[[#This Row],[INVERSIONES FCI]]-BY283,Tabla5[[#This Row],[INVERSIONES FCI]])</f>
        <v>3456370404.7787628</v>
      </c>
      <c r="BZ284" s="5">
        <f>IF($B283&lt;=Tabla5[[#This Row],[INVERSIONES FCI]],+Tabla5[[#This Row],[INVERSIONES FCI]]-BZ283,Tabla5[[#This Row],[INVERSIONES FCI]])</f>
        <v>3456370404.7787628</v>
      </c>
      <c r="CA284" s="5">
        <f>IF($B283&lt;=Tabla5[[#This Row],[INVERSIONES FCI]],+Tabla5[[#This Row],[INVERSIONES FCI]]-CA283,Tabla5[[#This Row],[INVERSIONES FCI]])</f>
        <v>3456370404.7787628</v>
      </c>
      <c r="CB284" s="5">
        <f>IF($B283&lt;=Tabla5[[#This Row],[INVERSIONES FCI]],+Tabla5[[#This Row],[INVERSIONES FCI]]-CB283,Tabla5[[#This Row],[INVERSIONES FCI]])</f>
        <v>3456370404.7787628</v>
      </c>
      <c r="CC284" s="5">
        <f>IF($B283&lt;=Tabla5[[#This Row],[INVERSIONES FCI]],+Tabla5[[#This Row],[INVERSIONES FCI]]-CC283,Tabla5[[#This Row],[INVERSIONES FCI]])</f>
        <v>3456370404.7787628</v>
      </c>
      <c r="CD284" s="5">
        <f>IF($B283&lt;=Tabla5[[#This Row],[INVERSIONES FCI]],+Tabla5[[#This Row],[INVERSIONES FCI]]-CD283,Tabla5[[#This Row],[INVERSIONES FCI]])</f>
        <v>3456370404.7787628</v>
      </c>
      <c r="CE284" s="5">
        <f>IF($B283&lt;=Tabla5[[#This Row],[INVERSIONES FCI]],+Tabla5[[#This Row],[INVERSIONES FCI]]-CE283,Tabla5[[#This Row],[INVERSIONES FCI]])</f>
        <v>3456370404.7787628</v>
      </c>
      <c r="CF284" s="5">
        <f>IF($B283&lt;=Tabla5[[#This Row],[INVERSIONES FCI]],+Tabla5[[#This Row],[INVERSIONES FCI]]-CF283,Tabla5[[#This Row],[INVERSIONES FCI]])</f>
        <v>3456370404.7787628</v>
      </c>
      <c r="CG284" s="5">
        <f>IF($B283&lt;=Tabla5[[#This Row],[INVERSIONES FCI]],+Tabla5[[#This Row],[INVERSIONES FCI]]-CG283,Tabla5[[#This Row],[INVERSIONES FCI]])</f>
        <v>3456370404.7787628</v>
      </c>
      <c r="CH284" s="5">
        <f>IF($B283&lt;=Tabla5[[#This Row],[INVERSIONES FCI]],+Tabla5[[#This Row],[INVERSIONES FCI]]-CH283,Tabla5[[#This Row],[INVERSIONES FCI]])</f>
        <v>3456370404.7787628</v>
      </c>
      <c r="CI284" s="5">
        <f>IF($B283&lt;=Tabla5[[#This Row],[INVERSIONES FCI]],+Tabla5[[#This Row],[INVERSIONES FCI]]-CI283,Tabla5[[#This Row],[INVERSIONES FCI]])</f>
        <v>3456370404.7787628</v>
      </c>
      <c r="CJ284" s="5">
        <f>IF($B283&lt;=Tabla5[[#This Row],[INVERSIONES FCI]],+Tabla5[[#This Row],[INVERSIONES FCI]]-CJ283,Tabla5[[#This Row],[INVERSIONES FCI]])</f>
        <v>3456370404.7787628</v>
      </c>
      <c r="CK284" s="5">
        <f>IF($B283&lt;=Tabla5[[#This Row],[INVERSIONES FCI]],+Tabla5[[#This Row],[INVERSIONES FCI]]-CK283,Tabla5[[#This Row],[INVERSIONES FCI]])</f>
        <v>3456370404.7787628</v>
      </c>
      <c r="CL284" s="5">
        <f>IF($B283&lt;=Tabla5[[#This Row],[INVERSIONES FCI]],+Tabla5[[#This Row],[INVERSIONES FCI]]-CL283,Tabla5[[#This Row],[INVERSIONES FCI]])</f>
        <v>3456370404.7787628</v>
      </c>
      <c r="CM284" s="5">
        <f>IF($B283&lt;=Tabla5[[#This Row],[INVERSIONES FCI]],+Tabla5[[#This Row],[INVERSIONES FCI]]-CM283,Tabla5[[#This Row],[INVERSIONES FCI]])</f>
        <v>3456370404.7787628</v>
      </c>
      <c r="CN284" s="5">
        <f>IF($B283&lt;=Tabla5[[#This Row],[INVERSIONES FCI]],+Tabla5[[#This Row],[INVERSIONES FCI]]-CN283,Tabla5[[#This Row],[INVERSIONES FCI]])</f>
        <v>3456370404.7787628</v>
      </c>
      <c r="CO284" s="5">
        <f>IF($B283&lt;=Tabla5[[#This Row],[INVERSIONES FCI]],+Tabla5[[#This Row],[INVERSIONES FCI]]-CO283,Tabla5[[#This Row],[INVERSIONES FCI]])</f>
        <v>3456370404.7787628</v>
      </c>
      <c r="CP284" s="5">
        <f>IF($B283&lt;=Tabla5[[#This Row],[INVERSIONES FCI]],+Tabla5[[#This Row],[INVERSIONES FCI]]-CP283,Tabla5[[#This Row],[INVERSIONES FCI]])</f>
        <v>3456370404.7787628</v>
      </c>
      <c r="CQ284" s="5">
        <f>IF($B283&lt;=Tabla5[[#This Row],[INVERSIONES FCI]],+Tabla5[[#This Row],[INVERSIONES FCI]]-CQ283,Tabla5[[#This Row],[INVERSIONES FCI]])</f>
        <v>3456370404.7787628</v>
      </c>
      <c r="CR284" s="5">
        <f>IF($B283&lt;=Tabla5[[#This Row],[INVERSIONES FCI]],+Tabla5[[#This Row],[INVERSIONES FCI]]-CR283,Tabla5[[#This Row],[INVERSIONES FCI]])</f>
        <v>3456370404.7787628</v>
      </c>
      <c r="CS284" s="5">
        <f>IF($B283&lt;=Tabla5[[#This Row],[INVERSIONES FCI]],+Tabla5[[#This Row],[INVERSIONES FCI]]-CS283,Tabla5[[#This Row],[INVERSIONES FCI]])</f>
        <v>3456370404.7787628</v>
      </c>
      <c r="CT284" s="5">
        <f>IF($B283&lt;=Tabla5[[#This Row],[INVERSIONES FCI]],+Tabla5[[#This Row],[INVERSIONES FCI]]-CT283,Tabla5[[#This Row],[INVERSIONES FCI]])</f>
        <v>3456370404.7787628</v>
      </c>
      <c r="CU284" s="5">
        <f>IF($B283&lt;=Tabla5[[#This Row],[INVERSIONES FCI]],+Tabla5[[#This Row],[INVERSIONES FCI]]-CU283,Tabla5[[#This Row],[INVERSIONES FCI]])</f>
        <v>3456370404.7787628</v>
      </c>
      <c r="CV284" s="5">
        <f>IF($B283&lt;=Tabla5[[#This Row],[INVERSIONES FCI]],+Tabla5[[#This Row],[INVERSIONES FCI]]-CV283,Tabla5[[#This Row],[INVERSIONES FCI]])</f>
        <v>3456370404.7787628</v>
      </c>
      <c r="CW284" s="5">
        <f>IF($B283&lt;=Tabla5[[#This Row],[INVERSIONES FCI]],+Tabla5[[#This Row],[INVERSIONES FCI]]-CW283,Tabla5[[#This Row],[INVERSIONES FCI]])</f>
        <v>3456370404.7787628</v>
      </c>
      <c r="CX284" s="5">
        <f>IF($B283&lt;=Tabla5[[#This Row],[INVERSIONES FCI]],+Tabla5[[#This Row],[INVERSIONES FCI]]-CX283,Tabla5[[#This Row],[INVERSIONES FCI]])</f>
        <v>3456370404.7787628</v>
      </c>
      <c r="CY284" s="5">
        <f>IF($B283&lt;=Tabla5[[#This Row],[INVERSIONES FCI]],+Tabla5[[#This Row],[INVERSIONES FCI]]-CY283,Tabla5[[#This Row],[INVERSIONES FCI]])</f>
        <v>3456370404.7787628</v>
      </c>
      <c r="CZ284" s="5">
        <f>IF($B283&lt;=Tabla5[[#This Row],[INVERSIONES FCI]],+Tabla5[[#This Row],[INVERSIONES FCI]]-CZ283,Tabla5[[#This Row],[INVERSIONES FCI]])</f>
        <v>3456370404.7787628</v>
      </c>
      <c r="DA284" s="5">
        <f>IF($B283&lt;=Tabla5[[#This Row],[INVERSIONES FCI]],+Tabla5[[#This Row],[INVERSIONES FCI]]-DA283,Tabla5[[#This Row],[INVERSIONES FCI]])</f>
        <v>3456370404.7787628</v>
      </c>
      <c r="DB284" s="5">
        <f>IF($B283&lt;=Tabla5[[#This Row],[INVERSIONES FCI]],+Tabla5[[#This Row],[INVERSIONES FCI]]-DB283,Tabla5[[#This Row],[INVERSIONES FCI]])</f>
        <v>3456370404.7787628</v>
      </c>
      <c r="DC284" s="5">
        <f>IF($B283&lt;=Tabla5[[#This Row],[INVERSIONES FCI]],+Tabla5[[#This Row],[INVERSIONES FCI]]-DC283,Tabla5[[#This Row],[INVERSIONES FCI]])</f>
        <v>3456370404.7787628</v>
      </c>
      <c r="DD284" s="5">
        <f>IF($B283&lt;=Tabla5[[#This Row],[INVERSIONES FCI]],+Tabla5[[#This Row],[INVERSIONES FCI]]-DD283,Tabla5[[#This Row],[INVERSIONES FCI]])</f>
        <v>3456370404.7787628</v>
      </c>
      <c r="DE284" s="5">
        <f>IF($B283&lt;=Tabla5[[#This Row],[INVERSIONES FCI]],+Tabla5[[#This Row],[INVERSIONES FCI]]-DE283,Tabla5[[#This Row],[INVERSIONES FCI]])</f>
        <v>3456370404.7787628</v>
      </c>
      <c r="DF284" s="5">
        <f>IF($B283&lt;=Tabla5[[#This Row],[INVERSIONES FCI]],+Tabla5[[#This Row],[INVERSIONES FCI]]-DF283,Tabla5[[#This Row],[INVERSIONES FCI]])</f>
        <v>3456370404.7787628</v>
      </c>
      <c r="DG284" s="5">
        <f>IF($B283&lt;=Tabla5[[#This Row],[INVERSIONES FCI]],+Tabla5[[#This Row],[INVERSIONES FCI]]-DG283,Tabla5[[#This Row],[INVERSIONES FCI]])</f>
        <v>3456370404.7787628</v>
      </c>
      <c r="DH284" s="5">
        <f>IF($B283&lt;=Tabla5[[#This Row],[INVERSIONES FCI]],+Tabla5[[#This Row],[INVERSIONES FCI]]-DH283,Tabla5[[#This Row],[INVERSIONES FCI]])</f>
        <v>3456370404.7787628</v>
      </c>
      <c r="DI284" s="5">
        <f>IF($B283&lt;=Tabla5[[#This Row],[INVERSIONES FCI]],+Tabla5[[#This Row],[INVERSIONES FCI]]-DI283,Tabla5[[#This Row],[INVERSIONES FCI]])</f>
        <v>3456370404.7787628</v>
      </c>
      <c r="DJ284" s="5">
        <f>IF($B283&lt;=Tabla5[[#This Row],[INVERSIONES FCI]],+Tabla5[[#This Row],[INVERSIONES FCI]]-DJ283,Tabla5[[#This Row],[INVERSIONES FCI]])</f>
        <v>3456370404.7787628</v>
      </c>
      <c r="DK284" s="5">
        <f>IF($B283&lt;=Tabla5[[#This Row],[INVERSIONES FCI]],+Tabla5[[#This Row],[INVERSIONES FCI]]-DK283,Tabla5[[#This Row],[INVERSIONES FCI]])</f>
        <v>3456370404.7787628</v>
      </c>
      <c r="DL284" s="5"/>
      <c r="DM284" s="5"/>
      <c r="DN284" s="5"/>
      <c r="DO284" s="5"/>
      <c r="DP284" s="5"/>
      <c r="DQ284" s="5"/>
    </row>
    <row r="285" spans="1:121" ht="14.4">
      <c r="A285" s="12" t="s">
        <v>284</v>
      </c>
      <c r="B285" s="5">
        <f>HLOOKUP($A285,ESCENARIO[#All],7,FALSE)</f>
        <v>63750612945.402733</v>
      </c>
      <c r="C285" s="5">
        <f>IF($B284&lt;=Tabla5[[#This Row],[INVERSIONES FCI]],+Tabla5[[#This Row],[INVERSIONES FCI]]-C284,Tabla5[[#This Row],[INVERSIONES FCI]])</f>
        <v>60294242540.62397</v>
      </c>
      <c r="D285" s="5">
        <f>IF($B284&lt;=Tabla5[[#This Row],[INVERSIONES FCI]],+Tabla5[[#This Row],[INVERSIONES FCI]]-D284,Tabla5[[#This Row],[INVERSIONES FCI]])</f>
        <v>60294242540.62397</v>
      </c>
      <c r="E285" s="5">
        <f>IF($B284&lt;=Tabla5[[#This Row],[INVERSIONES FCI]],+Tabla5[[#This Row],[INVERSIONES FCI]]-E284,Tabla5[[#This Row],[INVERSIONES FCI]])</f>
        <v>60294242540.62397</v>
      </c>
      <c r="F285" s="5">
        <f>IF($B284&lt;=Tabla5[[#This Row],[INVERSIONES FCI]],+Tabla5[[#This Row],[INVERSIONES FCI]]-F284,Tabla5[[#This Row],[INVERSIONES FCI]])</f>
        <v>60294242540.62397</v>
      </c>
      <c r="G285" s="5">
        <f>IF($B284&lt;=Tabla5[[#This Row],[INVERSIONES FCI]],+Tabla5[[#This Row],[INVERSIONES FCI]]-G284,Tabla5[[#This Row],[INVERSIONES FCI]])</f>
        <v>60294242540.62397</v>
      </c>
      <c r="H285" s="5">
        <f>IF($B284&lt;=Tabla5[[#This Row],[INVERSIONES FCI]],+Tabla5[[#This Row],[INVERSIONES FCI]]-H284,Tabla5[[#This Row],[INVERSIONES FCI]])</f>
        <v>60294242540.62397</v>
      </c>
      <c r="I285" s="5">
        <f>IF($B284&lt;=Tabla5[[#This Row],[INVERSIONES FCI]],+Tabla5[[#This Row],[INVERSIONES FCI]]-I284,Tabla5[[#This Row],[INVERSIONES FCI]])</f>
        <v>60294242540.62397</v>
      </c>
      <c r="J285" s="5">
        <f>IF($B284&lt;=Tabla5[[#This Row],[INVERSIONES FCI]],+Tabla5[[#This Row],[INVERSIONES FCI]]-J284,Tabla5[[#This Row],[INVERSIONES FCI]])</f>
        <v>60294242540.62397</v>
      </c>
      <c r="K285" s="5">
        <f>IF($B284&lt;=Tabla5[[#This Row],[INVERSIONES FCI]],+Tabla5[[#This Row],[INVERSIONES FCI]]-K284,Tabla5[[#This Row],[INVERSIONES FCI]])</f>
        <v>60294242540.62397</v>
      </c>
      <c r="L285" s="5">
        <f>IF($B284&lt;=Tabla5[[#This Row],[INVERSIONES FCI]],+Tabla5[[#This Row],[INVERSIONES FCI]]-L284,Tabla5[[#This Row],[INVERSIONES FCI]])</f>
        <v>60294242540.62397</v>
      </c>
      <c r="M285" s="5">
        <f>IF($B284&lt;=Tabla5[[#This Row],[INVERSIONES FCI]],+Tabla5[[#This Row],[INVERSIONES FCI]]-M284,Tabla5[[#This Row],[INVERSIONES FCI]])</f>
        <v>60294242540.62397</v>
      </c>
      <c r="N285" s="5">
        <f>IF($B284&lt;=Tabla5[[#This Row],[INVERSIONES FCI]],+Tabla5[[#This Row],[INVERSIONES FCI]]-N284,Tabla5[[#This Row],[INVERSIONES FCI]])</f>
        <v>60294242540.62397</v>
      </c>
      <c r="O285" s="5">
        <f>IF($B284&lt;=Tabla5[[#This Row],[INVERSIONES FCI]],+Tabla5[[#This Row],[INVERSIONES FCI]]-O284,Tabla5[[#This Row],[INVERSIONES FCI]])</f>
        <v>60294242540.62397</v>
      </c>
      <c r="P285" s="5">
        <f>IF($B284&lt;=Tabla5[[#This Row],[INVERSIONES FCI]],+Tabla5[[#This Row],[INVERSIONES FCI]]-P284,Tabla5[[#This Row],[INVERSIONES FCI]])</f>
        <v>60294242540.62397</v>
      </c>
      <c r="Q285" s="5">
        <f>IF($B284&lt;=Tabla5[[#This Row],[INVERSIONES FCI]],+Tabla5[[#This Row],[INVERSIONES FCI]]-Q284,Tabla5[[#This Row],[INVERSIONES FCI]])</f>
        <v>60294242540.62397</v>
      </c>
      <c r="R285" s="5">
        <f>IF($B284&lt;=Tabla5[[#This Row],[INVERSIONES FCI]],+Tabla5[[#This Row],[INVERSIONES FCI]]-R284,Tabla5[[#This Row],[INVERSIONES FCI]])</f>
        <v>60294242540.62397</v>
      </c>
      <c r="S285" s="5">
        <f>IF($B284&lt;=Tabla5[[#This Row],[INVERSIONES FCI]],+Tabla5[[#This Row],[INVERSIONES FCI]]-S284,Tabla5[[#This Row],[INVERSIONES FCI]])</f>
        <v>60294242540.62397</v>
      </c>
      <c r="T285" s="5">
        <f>IF($B284&lt;=Tabla5[[#This Row],[INVERSIONES FCI]],+Tabla5[[#This Row],[INVERSIONES FCI]]-T284,Tabla5[[#This Row],[INVERSIONES FCI]])</f>
        <v>60294242540.62397</v>
      </c>
      <c r="U285" s="5">
        <f>IF($B284&lt;=Tabla5[[#This Row],[INVERSIONES FCI]],+Tabla5[[#This Row],[INVERSIONES FCI]]-U284,Tabla5[[#This Row],[INVERSIONES FCI]])</f>
        <v>60294242540.62397</v>
      </c>
      <c r="V285" s="5">
        <f>IF($B284&lt;=Tabla5[[#This Row],[INVERSIONES FCI]],+Tabla5[[#This Row],[INVERSIONES FCI]]-V284,Tabla5[[#This Row],[INVERSIONES FCI]])</f>
        <v>60294242540.62397</v>
      </c>
      <c r="W285" s="5">
        <f>IF($B284&lt;=Tabla5[[#This Row],[INVERSIONES FCI]],+Tabla5[[#This Row],[INVERSIONES FCI]]-W284,Tabla5[[#This Row],[INVERSIONES FCI]])</f>
        <v>60294242540.62397</v>
      </c>
      <c r="X285" s="5">
        <f>IF($B284&lt;=Tabla5[[#This Row],[INVERSIONES FCI]],+Tabla5[[#This Row],[INVERSIONES FCI]]-X284,Tabla5[[#This Row],[INVERSIONES FCI]])</f>
        <v>60294242540.62397</v>
      </c>
      <c r="Y285" s="5">
        <f>IF($B284&lt;=Tabla5[[#This Row],[INVERSIONES FCI]],+Tabla5[[#This Row],[INVERSIONES FCI]]-Y284,Tabla5[[#This Row],[INVERSIONES FCI]])</f>
        <v>60294242540.62397</v>
      </c>
      <c r="Z285" s="5">
        <f>IF($B284&lt;=Tabla5[[#This Row],[INVERSIONES FCI]],+Tabla5[[#This Row],[INVERSIONES FCI]]-Z284,Tabla5[[#This Row],[INVERSIONES FCI]])</f>
        <v>60294242540.62397</v>
      </c>
      <c r="AA285" s="5">
        <f>IF($B284&lt;=Tabla5[[#This Row],[INVERSIONES FCI]],+Tabla5[[#This Row],[INVERSIONES FCI]]-AA284,Tabla5[[#This Row],[INVERSIONES FCI]])</f>
        <v>60294242540.62397</v>
      </c>
      <c r="AB285" s="5">
        <f>IF($B284&lt;=Tabla5[[#This Row],[INVERSIONES FCI]],+Tabla5[[#This Row],[INVERSIONES FCI]]-AB284,Tabla5[[#This Row],[INVERSIONES FCI]])</f>
        <v>60294242540.62397</v>
      </c>
      <c r="AC285" s="5">
        <f>IF($B284&lt;=Tabla5[[#This Row],[INVERSIONES FCI]],+Tabla5[[#This Row],[INVERSIONES FCI]]-AC284,Tabla5[[#This Row],[INVERSIONES FCI]])</f>
        <v>60294242540.62397</v>
      </c>
      <c r="AD285" s="5">
        <f>IF($B284&lt;=Tabla5[[#This Row],[INVERSIONES FCI]],+Tabla5[[#This Row],[INVERSIONES FCI]]-AD284,Tabla5[[#This Row],[INVERSIONES FCI]])</f>
        <v>60294242540.62397</v>
      </c>
      <c r="AE285" s="5">
        <f>IF($B284&lt;=Tabla5[[#This Row],[INVERSIONES FCI]],+Tabla5[[#This Row],[INVERSIONES FCI]]-AE284,Tabla5[[#This Row],[INVERSIONES FCI]])</f>
        <v>60294242540.62397</v>
      </c>
      <c r="AF285" s="5">
        <f>IF($B284&lt;=Tabla5[[#This Row],[INVERSIONES FCI]],+Tabla5[[#This Row],[INVERSIONES FCI]]-AF284,Tabla5[[#This Row],[INVERSIONES FCI]])</f>
        <v>60294242540.62397</v>
      </c>
      <c r="AG285" s="5">
        <f>IF($B284&lt;=Tabla5[[#This Row],[INVERSIONES FCI]],+Tabla5[[#This Row],[INVERSIONES FCI]]-AG284,Tabla5[[#This Row],[INVERSIONES FCI]])</f>
        <v>60294242540.62397</v>
      </c>
      <c r="AH285" s="5">
        <f>IF($B284&lt;=Tabla5[[#This Row],[INVERSIONES FCI]],+Tabla5[[#This Row],[INVERSIONES FCI]]-AH284,Tabla5[[#This Row],[INVERSIONES FCI]])</f>
        <v>60294242540.62397</v>
      </c>
      <c r="AI285" s="5">
        <f>IF($B284&lt;=Tabla5[[#This Row],[INVERSIONES FCI]],+Tabla5[[#This Row],[INVERSIONES FCI]]-AI284,Tabla5[[#This Row],[INVERSIONES FCI]])</f>
        <v>60294242540.62397</v>
      </c>
      <c r="AJ285" s="5">
        <f>IF($B284&lt;=Tabla5[[#This Row],[INVERSIONES FCI]],+Tabla5[[#This Row],[INVERSIONES FCI]]-AJ284,Tabla5[[#This Row],[INVERSIONES FCI]])</f>
        <v>60294242540.62397</v>
      </c>
      <c r="AK285" s="5">
        <f>IF($B284&lt;=Tabla5[[#This Row],[INVERSIONES FCI]],+Tabla5[[#This Row],[INVERSIONES FCI]]-AK284,Tabla5[[#This Row],[INVERSIONES FCI]])</f>
        <v>60294242540.62397</v>
      </c>
      <c r="AL285" s="5">
        <f>IF($B284&lt;=Tabla5[[#This Row],[INVERSIONES FCI]],+Tabla5[[#This Row],[INVERSIONES FCI]]-AL284,Tabla5[[#This Row],[INVERSIONES FCI]])</f>
        <v>60294242540.62397</v>
      </c>
      <c r="AM285" s="5">
        <f>IF($B284&lt;=Tabla5[[#This Row],[INVERSIONES FCI]],+Tabla5[[#This Row],[INVERSIONES FCI]]-AM284,Tabla5[[#This Row],[INVERSIONES FCI]])</f>
        <v>60294242540.62397</v>
      </c>
      <c r="AN285" s="5">
        <f>IF($B284&lt;=Tabla5[[#This Row],[INVERSIONES FCI]],+Tabla5[[#This Row],[INVERSIONES FCI]]-AN284,Tabla5[[#This Row],[INVERSIONES FCI]])</f>
        <v>60294242540.62397</v>
      </c>
      <c r="AO285" s="5">
        <f>IF($B284&lt;=Tabla5[[#This Row],[INVERSIONES FCI]],+Tabla5[[#This Row],[INVERSIONES FCI]]-AO284,Tabla5[[#This Row],[INVERSIONES FCI]])</f>
        <v>60294242540.62397</v>
      </c>
      <c r="AP285" s="5">
        <f>IF($B284&lt;=Tabla5[[#This Row],[INVERSIONES FCI]],+Tabla5[[#This Row],[INVERSIONES FCI]]-AP284,Tabla5[[#This Row],[INVERSIONES FCI]])</f>
        <v>60294242540.62397</v>
      </c>
      <c r="AQ285" s="5">
        <f>IF($B284&lt;=Tabla5[[#This Row],[INVERSIONES FCI]],+Tabla5[[#This Row],[INVERSIONES FCI]]-AQ284,Tabla5[[#This Row],[INVERSIONES FCI]])</f>
        <v>60294242540.62397</v>
      </c>
      <c r="AR285" s="5">
        <f>IF($B284&lt;=Tabla5[[#This Row],[INVERSIONES FCI]],+Tabla5[[#This Row],[INVERSIONES FCI]]-AR284,Tabla5[[#This Row],[INVERSIONES FCI]])</f>
        <v>60294242540.62397</v>
      </c>
      <c r="AS285" s="5">
        <f>IF($B284&lt;=Tabla5[[#This Row],[INVERSIONES FCI]],+Tabla5[[#This Row],[INVERSIONES FCI]]-AS284,Tabla5[[#This Row],[INVERSIONES FCI]])</f>
        <v>60294242540.62397</v>
      </c>
      <c r="AT285" s="5">
        <f>IF($B284&lt;=Tabla5[[#This Row],[INVERSIONES FCI]],+Tabla5[[#This Row],[INVERSIONES FCI]]-AT284,Tabla5[[#This Row],[INVERSIONES FCI]])</f>
        <v>60294242540.62397</v>
      </c>
      <c r="AU285" s="5">
        <f>IF($B284&lt;=Tabla5[[#This Row],[INVERSIONES FCI]],+Tabla5[[#This Row],[INVERSIONES FCI]]-AU284,Tabla5[[#This Row],[INVERSIONES FCI]])</f>
        <v>60294242540.62397</v>
      </c>
      <c r="AV285" s="5">
        <f>IF($B284&lt;=Tabla5[[#This Row],[INVERSIONES FCI]],+Tabla5[[#This Row],[INVERSIONES FCI]]-AV284,Tabla5[[#This Row],[INVERSIONES FCI]])</f>
        <v>60294242540.62397</v>
      </c>
      <c r="AW285" s="5">
        <f>IF($B284&lt;=Tabla5[[#This Row],[INVERSIONES FCI]],+Tabla5[[#This Row],[INVERSIONES FCI]]-AW284,Tabla5[[#This Row],[INVERSIONES FCI]])</f>
        <v>60294242540.62397</v>
      </c>
      <c r="AX285" s="5">
        <f>IF($B284&lt;=Tabla5[[#This Row],[INVERSIONES FCI]],+Tabla5[[#This Row],[INVERSIONES FCI]]-AX284,Tabla5[[#This Row],[INVERSIONES FCI]])</f>
        <v>60294242540.62397</v>
      </c>
      <c r="AY285" s="5">
        <f>IF($B284&lt;=Tabla5[[#This Row],[INVERSIONES FCI]],+Tabla5[[#This Row],[INVERSIONES FCI]]-AY284,Tabla5[[#This Row],[INVERSIONES FCI]])</f>
        <v>60294242540.62397</v>
      </c>
      <c r="AZ285" s="5">
        <f>IF($B284&lt;=Tabla5[[#This Row],[INVERSIONES FCI]],+Tabla5[[#This Row],[INVERSIONES FCI]]-AZ284,Tabla5[[#This Row],[INVERSIONES FCI]])</f>
        <v>60294242540.62397</v>
      </c>
      <c r="BA285" s="5">
        <f>IF($B284&lt;=Tabla5[[#This Row],[INVERSIONES FCI]],+Tabla5[[#This Row],[INVERSIONES FCI]]-BA284,Tabla5[[#This Row],[INVERSIONES FCI]])</f>
        <v>60294242540.62397</v>
      </c>
      <c r="BB285" s="5">
        <f>IF($B284&lt;=Tabla5[[#This Row],[INVERSIONES FCI]],+Tabla5[[#This Row],[INVERSIONES FCI]]-BB284,Tabla5[[#This Row],[INVERSIONES FCI]])</f>
        <v>60294242540.62397</v>
      </c>
      <c r="BC285" s="5">
        <f>IF($B284&lt;=Tabla5[[#This Row],[INVERSIONES FCI]],+Tabla5[[#This Row],[INVERSIONES FCI]]-BC284,Tabla5[[#This Row],[INVERSIONES FCI]])</f>
        <v>60294242540.62397</v>
      </c>
      <c r="BD285" s="5">
        <f>IF($B284&lt;=Tabla5[[#This Row],[INVERSIONES FCI]],+Tabla5[[#This Row],[INVERSIONES FCI]]-BD284,Tabla5[[#This Row],[INVERSIONES FCI]])</f>
        <v>60294242540.62397</v>
      </c>
      <c r="BE285" s="5">
        <f>IF($B284&lt;=Tabla5[[#This Row],[INVERSIONES FCI]],+Tabla5[[#This Row],[INVERSIONES FCI]]-BE284,Tabla5[[#This Row],[INVERSIONES FCI]])</f>
        <v>60294242540.62397</v>
      </c>
      <c r="BF285" s="5">
        <f>IF($B284&lt;=Tabla5[[#This Row],[INVERSIONES FCI]],+Tabla5[[#This Row],[INVERSIONES FCI]]-BF284,Tabla5[[#This Row],[INVERSIONES FCI]])</f>
        <v>60294242540.62397</v>
      </c>
      <c r="BG285" s="5">
        <f>IF($B284&lt;=Tabla5[[#This Row],[INVERSIONES FCI]],+Tabla5[[#This Row],[INVERSIONES FCI]]-BG284,Tabla5[[#This Row],[INVERSIONES FCI]])</f>
        <v>60294242540.62397</v>
      </c>
      <c r="BH285" s="5">
        <f>IF($B284&lt;=Tabla5[[#This Row],[INVERSIONES FCI]],+Tabla5[[#This Row],[INVERSIONES FCI]]-BH284,Tabla5[[#This Row],[INVERSIONES FCI]])</f>
        <v>60294242540.62397</v>
      </c>
      <c r="BI285" s="5">
        <f>IF($B284&lt;=Tabla5[[#This Row],[INVERSIONES FCI]],+Tabla5[[#This Row],[INVERSIONES FCI]]-BI284,Tabla5[[#This Row],[INVERSIONES FCI]])</f>
        <v>60294242540.62397</v>
      </c>
      <c r="BJ285" s="5">
        <f>IF($B284&lt;=Tabla5[[#This Row],[INVERSIONES FCI]],+Tabla5[[#This Row],[INVERSIONES FCI]]-BJ284,Tabla5[[#This Row],[INVERSIONES FCI]])</f>
        <v>60294242540.62397</v>
      </c>
      <c r="BK285" s="5">
        <f>IF($B284&lt;=Tabla5[[#This Row],[INVERSIONES FCI]],+Tabla5[[#This Row],[INVERSIONES FCI]]-BK284,Tabla5[[#This Row],[INVERSIONES FCI]])</f>
        <v>60294242540.62397</v>
      </c>
      <c r="BL285" s="5">
        <f>IF($B284&lt;=Tabla5[[#This Row],[INVERSIONES FCI]],+Tabla5[[#This Row],[INVERSIONES FCI]]-BL284,Tabla5[[#This Row],[INVERSIONES FCI]])</f>
        <v>60294242540.62397</v>
      </c>
      <c r="BM285" s="5">
        <f>IF($B284&lt;=Tabla5[[#This Row],[INVERSIONES FCI]],+Tabla5[[#This Row],[INVERSIONES FCI]]-BM284,Tabla5[[#This Row],[INVERSIONES FCI]])</f>
        <v>60294242540.62397</v>
      </c>
      <c r="BN285" s="5">
        <f>IF($B284&lt;=Tabla5[[#This Row],[INVERSIONES FCI]],+Tabla5[[#This Row],[INVERSIONES FCI]]-BN284,Tabla5[[#This Row],[INVERSIONES FCI]])</f>
        <v>60294242540.62397</v>
      </c>
      <c r="BO285" s="5">
        <f>IF($B284&lt;=Tabla5[[#This Row],[INVERSIONES FCI]],+Tabla5[[#This Row],[INVERSIONES FCI]]-BO284,Tabla5[[#This Row],[INVERSIONES FCI]])</f>
        <v>60294242540.62397</v>
      </c>
      <c r="BP285" s="5">
        <f>IF($B284&lt;=Tabla5[[#This Row],[INVERSIONES FCI]],+Tabla5[[#This Row],[INVERSIONES FCI]]-BP284,Tabla5[[#This Row],[INVERSIONES FCI]])</f>
        <v>60294242540.62397</v>
      </c>
      <c r="BQ285" s="5">
        <f>IF($B284&lt;=Tabla5[[#This Row],[INVERSIONES FCI]],+Tabla5[[#This Row],[INVERSIONES FCI]]-BQ284,Tabla5[[#This Row],[INVERSIONES FCI]])</f>
        <v>60294242540.62397</v>
      </c>
      <c r="BR285" s="5">
        <f>IF($B284&lt;=Tabla5[[#This Row],[INVERSIONES FCI]],+Tabla5[[#This Row],[INVERSIONES FCI]]-BR284,Tabla5[[#This Row],[INVERSIONES FCI]])</f>
        <v>60294242540.62397</v>
      </c>
      <c r="BS285" s="5">
        <f>IF($B284&lt;=Tabla5[[#This Row],[INVERSIONES FCI]],+Tabla5[[#This Row],[INVERSIONES FCI]]-BS284,Tabla5[[#This Row],[INVERSIONES FCI]])</f>
        <v>60294242540.62397</v>
      </c>
      <c r="BT285" s="5">
        <f>IF($B284&lt;=Tabla5[[#This Row],[INVERSIONES FCI]],+Tabla5[[#This Row],[INVERSIONES FCI]]-BT284,Tabla5[[#This Row],[INVERSIONES FCI]])</f>
        <v>60294242540.62397</v>
      </c>
      <c r="BU285" s="5">
        <f>IF($B284&lt;=Tabla5[[#This Row],[INVERSIONES FCI]],+Tabla5[[#This Row],[INVERSIONES FCI]]-BU284,Tabla5[[#This Row],[INVERSIONES FCI]])</f>
        <v>60294242540.62397</v>
      </c>
      <c r="BV285" s="5">
        <f>IF($B284&lt;=Tabla5[[#This Row],[INVERSIONES FCI]],+Tabla5[[#This Row],[INVERSIONES FCI]]-BV284,Tabla5[[#This Row],[INVERSIONES FCI]])</f>
        <v>60294242540.62397</v>
      </c>
      <c r="BW285" s="5">
        <f>IF($B284&lt;=Tabla5[[#This Row],[INVERSIONES FCI]],+Tabla5[[#This Row],[INVERSIONES FCI]]-BW284,Tabla5[[#This Row],[INVERSIONES FCI]])</f>
        <v>60294242540.62397</v>
      </c>
      <c r="BX285" s="5">
        <f>IF($B284&lt;=Tabla5[[#This Row],[INVERSIONES FCI]],+Tabla5[[#This Row],[INVERSIONES FCI]]-BX284,Tabla5[[#This Row],[INVERSIONES FCI]])</f>
        <v>60294242540.62397</v>
      </c>
      <c r="BY285" s="5">
        <f>IF($B284&lt;=Tabla5[[#This Row],[INVERSIONES FCI]],+Tabla5[[#This Row],[INVERSIONES FCI]]-BY284,Tabla5[[#This Row],[INVERSIONES FCI]])</f>
        <v>60294242540.62397</v>
      </c>
      <c r="BZ285" s="5">
        <f>IF($B284&lt;=Tabla5[[#This Row],[INVERSIONES FCI]],+Tabla5[[#This Row],[INVERSIONES FCI]]-BZ284,Tabla5[[#This Row],[INVERSIONES FCI]])</f>
        <v>60294242540.62397</v>
      </c>
      <c r="CA285" s="5">
        <f>IF($B284&lt;=Tabla5[[#This Row],[INVERSIONES FCI]],+Tabla5[[#This Row],[INVERSIONES FCI]]-CA284,Tabla5[[#This Row],[INVERSIONES FCI]])</f>
        <v>60294242540.62397</v>
      </c>
      <c r="CB285" s="5">
        <f>IF($B284&lt;=Tabla5[[#This Row],[INVERSIONES FCI]],+Tabla5[[#This Row],[INVERSIONES FCI]]-CB284,Tabla5[[#This Row],[INVERSIONES FCI]])</f>
        <v>60294242540.62397</v>
      </c>
      <c r="CC285" s="5">
        <f>IF($B284&lt;=Tabla5[[#This Row],[INVERSIONES FCI]],+Tabla5[[#This Row],[INVERSIONES FCI]]-CC284,Tabla5[[#This Row],[INVERSIONES FCI]])</f>
        <v>60294242540.62397</v>
      </c>
      <c r="CD285" s="5">
        <f>IF($B284&lt;=Tabla5[[#This Row],[INVERSIONES FCI]],+Tabla5[[#This Row],[INVERSIONES FCI]]-CD284,Tabla5[[#This Row],[INVERSIONES FCI]])</f>
        <v>60294242540.62397</v>
      </c>
      <c r="CE285" s="5">
        <f>IF($B284&lt;=Tabla5[[#This Row],[INVERSIONES FCI]],+Tabla5[[#This Row],[INVERSIONES FCI]]-CE284,Tabla5[[#This Row],[INVERSIONES FCI]])</f>
        <v>60294242540.62397</v>
      </c>
      <c r="CF285" s="5">
        <f>IF($B284&lt;=Tabla5[[#This Row],[INVERSIONES FCI]],+Tabla5[[#This Row],[INVERSIONES FCI]]-CF284,Tabla5[[#This Row],[INVERSIONES FCI]])</f>
        <v>60294242540.62397</v>
      </c>
      <c r="CG285" s="5">
        <f>IF($B284&lt;=Tabla5[[#This Row],[INVERSIONES FCI]],+Tabla5[[#This Row],[INVERSIONES FCI]]-CG284,Tabla5[[#This Row],[INVERSIONES FCI]])</f>
        <v>60294242540.62397</v>
      </c>
      <c r="CH285" s="5">
        <f>IF($B284&lt;=Tabla5[[#This Row],[INVERSIONES FCI]],+Tabla5[[#This Row],[INVERSIONES FCI]]-CH284,Tabla5[[#This Row],[INVERSIONES FCI]])</f>
        <v>60294242540.62397</v>
      </c>
      <c r="CI285" s="5">
        <f>IF($B284&lt;=Tabla5[[#This Row],[INVERSIONES FCI]],+Tabla5[[#This Row],[INVERSIONES FCI]]-CI284,Tabla5[[#This Row],[INVERSIONES FCI]])</f>
        <v>60294242540.62397</v>
      </c>
      <c r="CJ285" s="5">
        <f>IF($B284&lt;=Tabla5[[#This Row],[INVERSIONES FCI]],+Tabla5[[#This Row],[INVERSIONES FCI]]-CJ284,Tabla5[[#This Row],[INVERSIONES FCI]])</f>
        <v>60294242540.62397</v>
      </c>
      <c r="CK285" s="5">
        <f>IF($B284&lt;=Tabla5[[#This Row],[INVERSIONES FCI]],+Tabla5[[#This Row],[INVERSIONES FCI]]-CK284,Tabla5[[#This Row],[INVERSIONES FCI]])</f>
        <v>60294242540.62397</v>
      </c>
      <c r="CL285" s="5">
        <f>IF($B284&lt;=Tabla5[[#This Row],[INVERSIONES FCI]],+Tabla5[[#This Row],[INVERSIONES FCI]]-CL284,Tabla5[[#This Row],[INVERSIONES FCI]])</f>
        <v>60294242540.62397</v>
      </c>
      <c r="CM285" s="5">
        <f>IF($B284&lt;=Tabla5[[#This Row],[INVERSIONES FCI]],+Tabla5[[#This Row],[INVERSIONES FCI]]-CM284,Tabla5[[#This Row],[INVERSIONES FCI]])</f>
        <v>60294242540.62397</v>
      </c>
      <c r="CN285" s="5">
        <f>IF($B284&lt;=Tabla5[[#This Row],[INVERSIONES FCI]],+Tabla5[[#This Row],[INVERSIONES FCI]]-CN284,Tabla5[[#This Row],[INVERSIONES FCI]])</f>
        <v>60294242540.62397</v>
      </c>
      <c r="CO285" s="5">
        <f>IF($B284&lt;=Tabla5[[#This Row],[INVERSIONES FCI]],+Tabla5[[#This Row],[INVERSIONES FCI]]-CO284,Tabla5[[#This Row],[INVERSIONES FCI]])</f>
        <v>60294242540.62397</v>
      </c>
      <c r="CP285" s="5">
        <f>IF($B284&lt;=Tabla5[[#This Row],[INVERSIONES FCI]],+Tabla5[[#This Row],[INVERSIONES FCI]]-CP284,Tabla5[[#This Row],[INVERSIONES FCI]])</f>
        <v>60294242540.62397</v>
      </c>
      <c r="CQ285" s="5">
        <f>IF($B284&lt;=Tabla5[[#This Row],[INVERSIONES FCI]],+Tabla5[[#This Row],[INVERSIONES FCI]]-CQ284,Tabla5[[#This Row],[INVERSIONES FCI]])</f>
        <v>60294242540.62397</v>
      </c>
      <c r="CR285" s="5">
        <f>IF($B284&lt;=Tabla5[[#This Row],[INVERSIONES FCI]],+Tabla5[[#This Row],[INVERSIONES FCI]]-CR284,Tabla5[[#This Row],[INVERSIONES FCI]])</f>
        <v>60294242540.62397</v>
      </c>
      <c r="CS285" s="5">
        <f>IF($B284&lt;=Tabla5[[#This Row],[INVERSIONES FCI]],+Tabla5[[#This Row],[INVERSIONES FCI]]-CS284,Tabla5[[#This Row],[INVERSIONES FCI]])</f>
        <v>60294242540.62397</v>
      </c>
      <c r="CT285" s="5">
        <f>IF($B284&lt;=Tabla5[[#This Row],[INVERSIONES FCI]],+Tabla5[[#This Row],[INVERSIONES FCI]]-CT284,Tabla5[[#This Row],[INVERSIONES FCI]])</f>
        <v>60294242540.62397</v>
      </c>
      <c r="CU285" s="5">
        <f>IF($B284&lt;=Tabla5[[#This Row],[INVERSIONES FCI]],+Tabla5[[#This Row],[INVERSIONES FCI]]-CU284,Tabla5[[#This Row],[INVERSIONES FCI]])</f>
        <v>60294242540.62397</v>
      </c>
      <c r="CV285" s="5">
        <f>IF($B284&lt;=Tabla5[[#This Row],[INVERSIONES FCI]],+Tabla5[[#This Row],[INVERSIONES FCI]]-CV284,Tabla5[[#This Row],[INVERSIONES FCI]])</f>
        <v>60294242540.62397</v>
      </c>
      <c r="CW285" s="5">
        <f>IF($B284&lt;=Tabla5[[#This Row],[INVERSIONES FCI]],+Tabla5[[#This Row],[INVERSIONES FCI]]-CW284,Tabla5[[#This Row],[INVERSIONES FCI]])</f>
        <v>60294242540.62397</v>
      </c>
      <c r="CX285" s="5">
        <f>IF($B284&lt;=Tabla5[[#This Row],[INVERSIONES FCI]],+Tabla5[[#This Row],[INVERSIONES FCI]]-CX284,Tabla5[[#This Row],[INVERSIONES FCI]])</f>
        <v>60294242540.62397</v>
      </c>
      <c r="CY285" s="5">
        <f>IF($B284&lt;=Tabla5[[#This Row],[INVERSIONES FCI]],+Tabla5[[#This Row],[INVERSIONES FCI]]-CY284,Tabla5[[#This Row],[INVERSIONES FCI]])</f>
        <v>60294242540.62397</v>
      </c>
      <c r="CZ285" s="5">
        <f>IF($B284&lt;=Tabla5[[#This Row],[INVERSIONES FCI]],+Tabla5[[#This Row],[INVERSIONES FCI]]-CZ284,Tabla5[[#This Row],[INVERSIONES FCI]])</f>
        <v>60294242540.62397</v>
      </c>
      <c r="DA285" s="5">
        <f>IF($B284&lt;=Tabla5[[#This Row],[INVERSIONES FCI]],+Tabla5[[#This Row],[INVERSIONES FCI]]-DA284,Tabla5[[#This Row],[INVERSIONES FCI]])</f>
        <v>60294242540.62397</v>
      </c>
      <c r="DB285" s="5">
        <f>IF($B284&lt;=Tabla5[[#This Row],[INVERSIONES FCI]],+Tabla5[[#This Row],[INVERSIONES FCI]]-DB284,Tabla5[[#This Row],[INVERSIONES FCI]])</f>
        <v>60294242540.62397</v>
      </c>
      <c r="DC285" s="5">
        <f>IF($B284&lt;=Tabla5[[#This Row],[INVERSIONES FCI]],+Tabla5[[#This Row],[INVERSIONES FCI]]-DC284,Tabla5[[#This Row],[INVERSIONES FCI]])</f>
        <v>60294242540.62397</v>
      </c>
      <c r="DD285" s="5">
        <f>IF($B284&lt;=Tabla5[[#This Row],[INVERSIONES FCI]],+Tabla5[[#This Row],[INVERSIONES FCI]]-DD284,Tabla5[[#This Row],[INVERSIONES FCI]])</f>
        <v>60294242540.62397</v>
      </c>
      <c r="DE285" s="5">
        <f>IF($B284&lt;=Tabla5[[#This Row],[INVERSIONES FCI]],+Tabla5[[#This Row],[INVERSIONES FCI]]-DE284,Tabla5[[#This Row],[INVERSIONES FCI]])</f>
        <v>60294242540.62397</v>
      </c>
      <c r="DF285" s="5">
        <f>IF($B284&lt;=Tabla5[[#This Row],[INVERSIONES FCI]],+Tabla5[[#This Row],[INVERSIONES FCI]]-DF284,Tabla5[[#This Row],[INVERSIONES FCI]])</f>
        <v>60294242540.62397</v>
      </c>
      <c r="DG285" s="5">
        <f>IF($B284&lt;=Tabla5[[#This Row],[INVERSIONES FCI]],+Tabla5[[#This Row],[INVERSIONES FCI]]-DG284,Tabla5[[#This Row],[INVERSIONES FCI]])</f>
        <v>60294242540.62397</v>
      </c>
      <c r="DH285" s="5">
        <f>IF($B284&lt;=Tabla5[[#This Row],[INVERSIONES FCI]],+Tabla5[[#This Row],[INVERSIONES FCI]]-DH284,Tabla5[[#This Row],[INVERSIONES FCI]])</f>
        <v>60294242540.62397</v>
      </c>
      <c r="DI285" s="5">
        <f>IF($B284&lt;=Tabla5[[#This Row],[INVERSIONES FCI]],+Tabla5[[#This Row],[INVERSIONES FCI]]-DI284,Tabla5[[#This Row],[INVERSIONES FCI]])</f>
        <v>60294242540.62397</v>
      </c>
      <c r="DJ285" s="5">
        <f>IF($B284&lt;=Tabla5[[#This Row],[INVERSIONES FCI]],+Tabla5[[#This Row],[INVERSIONES FCI]]-DJ284,Tabla5[[#This Row],[INVERSIONES FCI]])</f>
        <v>60294242540.62397</v>
      </c>
      <c r="DK285" s="5">
        <f>IF($B284&lt;=Tabla5[[#This Row],[INVERSIONES FCI]],+Tabla5[[#This Row],[INVERSIONES FCI]]-DK284,Tabla5[[#This Row],[INVERSIONES FCI]])</f>
        <v>60294242540.62397</v>
      </c>
      <c r="DL285" s="5"/>
      <c r="DM285" s="5"/>
      <c r="DN285" s="5"/>
      <c r="DO285" s="5"/>
      <c r="DP285" s="5"/>
      <c r="DQ285" s="5"/>
    </row>
    <row r="286" spans="1:121" ht="14.4">
      <c r="A286" s="12" t="s">
        <v>285</v>
      </c>
      <c r="B286" s="5">
        <f>HLOOKUP($A286,ESCENARIO[#All],7,FALSE)</f>
        <v>65407763312.571861</v>
      </c>
      <c r="C286" s="5">
        <f>IF($B285&lt;=Tabla5[[#This Row],[INVERSIONES FCI]],+Tabla5[[#This Row],[INVERSIONES FCI]]-C285,Tabla5[[#This Row],[INVERSIONES FCI]])</f>
        <v>5113520771.9478912</v>
      </c>
      <c r="D286" s="5">
        <f>IF($B285&lt;=Tabla5[[#This Row],[INVERSIONES FCI]],+Tabla5[[#This Row],[INVERSIONES FCI]]-D285,Tabla5[[#This Row],[INVERSIONES FCI]])</f>
        <v>5113520771.9478912</v>
      </c>
      <c r="E286" s="5">
        <f>IF($B285&lt;=Tabla5[[#This Row],[INVERSIONES FCI]],+Tabla5[[#This Row],[INVERSIONES FCI]]-E285,Tabla5[[#This Row],[INVERSIONES FCI]])</f>
        <v>5113520771.9478912</v>
      </c>
      <c r="F286" s="5">
        <f>IF($B285&lt;=Tabla5[[#This Row],[INVERSIONES FCI]],+Tabla5[[#This Row],[INVERSIONES FCI]]-F285,Tabla5[[#This Row],[INVERSIONES FCI]])</f>
        <v>5113520771.9478912</v>
      </c>
      <c r="G286" s="5">
        <f>IF($B285&lt;=Tabla5[[#This Row],[INVERSIONES FCI]],+Tabla5[[#This Row],[INVERSIONES FCI]]-G285,Tabla5[[#This Row],[INVERSIONES FCI]])</f>
        <v>5113520771.9478912</v>
      </c>
      <c r="H286" s="5">
        <f>IF($B285&lt;=Tabla5[[#This Row],[INVERSIONES FCI]],+Tabla5[[#This Row],[INVERSIONES FCI]]-H285,Tabla5[[#This Row],[INVERSIONES FCI]])</f>
        <v>5113520771.9478912</v>
      </c>
      <c r="I286" s="5">
        <f>IF($B285&lt;=Tabla5[[#This Row],[INVERSIONES FCI]],+Tabla5[[#This Row],[INVERSIONES FCI]]-I285,Tabla5[[#This Row],[INVERSIONES FCI]])</f>
        <v>5113520771.9478912</v>
      </c>
      <c r="J286" s="5">
        <f>IF($B285&lt;=Tabla5[[#This Row],[INVERSIONES FCI]],+Tabla5[[#This Row],[INVERSIONES FCI]]-J285,Tabla5[[#This Row],[INVERSIONES FCI]])</f>
        <v>5113520771.9478912</v>
      </c>
      <c r="K286" s="5">
        <f>IF($B285&lt;=Tabla5[[#This Row],[INVERSIONES FCI]],+Tabla5[[#This Row],[INVERSIONES FCI]]-K285,Tabla5[[#This Row],[INVERSIONES FCI]])</f>
        <v>5113520771.9478912</v>
      </c>
      <c r="L286" s="5">
        <f>IF($B285&lt;=Tabla5[[#This Row],[INVERSIONES FCI]],+Tabla5[[#This Row],[INVERSIONES FCI]]-L285,Tabla5[[#This Row],[INVERSIONES FCI]])</f>
        <v>5113520771.9478912</v>
      </c>
      <c r="M286" s="5">
        <f>IF($B285&lt;=Tabla5[[#This Row],[INVERSIONES FCI]],+Tabla5[[#This Row],[INVERSIONES FCI]]-M285,Tabla5[[#This Row],[INVERSIONES FCI]])</f>
        <v>5113520771.9478912</v>
      </c>
      <c r="N286" s="5">
        <f>IF($B285&lt;=Tabla5[[#This Row],[INVERSIONES FCI]],+Tabla5[[#This Row],[INVERSIONES FCI]]-N285,Tabla5[[#This Row],[INVERSIONES FCI]])</f>
        <v>5113520771.9478912</v>
      </c>
      <c r="O286" s="5">
        <f>IF($B285&lt;=Tabla5[[#This Row],[INVERSIONES FCI]],+Tabla5[[#This Row],[INVERSIONES FCI]]-O285,Tabla5[[#This Row],[INVERSIONES FCI]])</f>
        <v>5113520771.9478912</v>
      </c>
      <c r="P286" s="5">
        <f>IF($B285&lt;=Tabla5[[#This Row],[INVERSIONES FCI]],+Tabla5[[#This Row],[INVERSIONES FCI]]-P285,Tabla5[[#This Row],[INVERSIONES FCI]])</f>
        <v>5113520771.9478912</v>
      </c>
      <c r="Q286" s="5">
        <f>IF($B285&lt;=Tabla5[[#This Row],[INVERSIONES FCI]],+Tabla5[[#This Row],[INVERSIONES FCI]]-Q285,Tabla5[[#This Row],[INVERSIONES FCI]])</f>
        <v>5113520771.9478912</v>
      </c>
      <c r="R286" s="5">
        <f>IF($B285&lt;=Tabla5[[#This Row],[INVERSIONES FCI]],+Tabla5[[#This Row],[INVERSIONES FCI]]-R285,Tabla5[[#This Row],[INVERSIONES FCI]])</f>
        <v>5113520771.9478912</v>
      </c>
      <c r="S286" s="5">
        <f>IF($B285&lt;=Tabla5[[#This Row],[INVERSIONES FCI]],+Tabla5[[#This Row],[INVERSIONES FCI]]-S285,Tabla5[[#This Row],[INVERSIONES FCI]])</f>
        <v>5113520771.9478912</v>
      </c>
      <c r="T286" s="5">
        <f>IF($B285&lt;=Tabla5[[#This Row],[INVERSIONES FCI]],+Tabla5[[#This Row],[INVERSIONES FCI]]-T285,Tabla5[[#This Row],[INVERSIONES FCI]])</f>
        <v>5113520771.9478912</v>
      </c>
      <c r="U286" s="5">
        <f>IF($B285&lt;=Tabla5[[#This Row],[INVERSIONES FCI]],+Tabla5[[#This Row],[INVERSIONES FCI]]-U285,Tabla5[[#This Row],[INVERSIONES FCI]])</f>
        <v>5113520771.9478912</v>
      </c>
      <c r="V286" s="5">
        <f>IF($B285&lt;=Tabla5[[#This Row],[INVERSIONES FCI]],+Tabla5[[#This Row],[INVERSIONES FCI]]-V285,Tabla5[[#This Row],[INVERSIONES FCI]])</f>
        <v>5113520771.9478912</v>
      </c>
      <c r="W286" s="5">
        <f>IF($B285&lt;=Tabla5[[#This Row],[INVERSIONES FCI]],+Tabla5[[#This Row],[INVERSIONES FCI]]-W285,Tabla5[[#This Row],[INVERSIONES FCI]])</f>
        <v>5113520771.9478912</v>
      </c>
      <c r="X286" s="5">
        <f>IF($B285&lt;=Tabla5[[#This Row],[INVERSIONES FCI]],+Tabla5[[#This Row],[INVERSIONES FCI]]-X285,Tabla5[[#This Row],[INVERSIONES FCI]])</f>
        <v>5113520771.9478912</v>
      </c>
      <c r="Y286" s="5">
        <f>IF($B285&lt;=Tabla5[[#This Row],[INVERSIONES FCI]],+Tabla5[[#This Row],[INVERSIONES FCI]]-Y285,Tabla5[[#This Row],[INVERSIONES FCI]])</f>
        <v>5113520771.9478912</v>
      </c>
      <c r="Z286" s="5">
        <f>IF($B285&lt;=Tabla5[[#This Row],[INVERSIONES FCI]],+Tabla5[[#This Row],[INVERSIONES FCI]]-Z285,Tabla5[[#This Row],[INVERSIONES FCI]])</f>
        <v>5113520771.9478912</v>
      </c>
      <c r="AA286" s="5">
        <f>IF($B285&lt;=Tabla5[[#This Row],[INVERSIONES FCI]],+Tabla5[[#This Row],[INVERSIONES FCI]]-AA285,Tabla5[[#This Row],[INVERSIONES FCI]])</f>
        <v>5113520771.9478912</v>
      </c>
      <c r="AB286" s="5">
        <f>IF($B285&lt;=Tabla5[[#This Row],[INVERSIONES FCI]],+Tabla5[[#This Row],[INVERSIONES FCI]]-AB285,Tabla5[[#This Row],[INVERSIONES FCI]])</f>
        <v>5113520771.9478912</v>
      </c>
      <c r="AC286" s="5">
        <f>IF($B285&lt;=Tabla5[[#This Row],[INVERSIONES FCI]],+Tabla5[[#This Row],[INVERSIONES FCI]]-AC285,Tabla5[[#This Row],[INVERSIONES FCI]])</f>
        <v>5113520771.9478912</v>
      </c>
      <c r="AD286" s="5">
        <f>IF($B285&lt;=Tabla5[[#This Row],[INVERSIONES FCI]],+Tabla5[[#This Row],[INVERSIONES FCI]]-AD285,Tabla5[[#This Row],[INVERSIONES FCI]])</f>
        <v>5113520771.9478912</v>
      </c>
      <c r="AE286" s="5">
        <f>IF($B285&lt;=Tabla5[[#This Row],[INVERSIONES FCI]],+Tabla5[[#This Row],[INVERSIONES FCI]]-AE285,Tabla5[[#This Row],[INVERSIONES FCI]])</f>
        <v>5113520771.9478912</v>
      </c>
      <c r="AF286" s="5">
        <f>IF($B285&lt;=Tabla5[[#This Row],[INVERSIONES FCI]],+Tabla5[[#This Row],[INVERSIONES FCI]]-AF285,Tabla5[[#This Row],[INVERSIONES FCI]])</f>
        <v>5113520771.9478912</v>
      </c>
      <c r="AG286" s="5">
        <f>IF($B285&lt;=Tabla5[[#This Row],[INVERSIONES FCI]],+Tabla5[[#This Row],[INVERSIONES FCI]]-AG285,Tabla5[[#This Row],[INVERSIONES FCI]])</f>
        <v>5113520771.9478912</v>
      </c>
      <c r="AH286" s="5">
        <f>IF($B285&lt;=Tabla5[[#This Row],[INVERSIONES FCI]],+Tabla5[[#This Row],[INVERSIONES FCI]]-AH285,Tabla5[[#This Row],[INVERSIONES FCI]])</f>
        <v>5113520771.9478912</v>
      </c>
      <c r="AI286" s="5">
        <f>IF($B285&lt;=Tabla5[[#This Row],[INVERSIONES FCI]],+Tabla5[[#This Row],[INVERSIONES FCI]]-AI285,Tabla5[[#This Row],[INVERSIONES FCI]])</f>
        <v>5113520771.9478912</v>
      </c>
      <c r="AJ286" s="5">
        <f>IF($B285&lt;=Tabla5[[#This Row],[INVERSIONES FCI]],+Tabla5[[#This Row],[INVERSIONES FCI]]-AJ285,Tabla5[[#This Row],[INVERSIONES FCI]])</f>
        <v>5113520771.9478912</v>
      </c>
      <c r="AK286" s="5">
        <f>IF($B285&lt;=Tabla5[[#This Row],[INVERSIONES FCI]],+Tabla5[[#This Row],[INVERSIONES FCI]]-AK285,Tabla5[[#This Row],[INVERSIONES FCI]])</f>
        <v>5113520771.9478912</v>
      </c>
      <c r="AL286" s="5">
        <f>IF($B285&lt;=Tabla5[[#This Row],[INVERSIONES FCI]],+Tabla5[[#This Row],[INVERSIONES FCI]]-AL285,Tabla5[[#This Row],[INVERSIONES FCI]])</f>
        <v>5113520771.9478912</v>
      </c>
      <c r="AM286" s="5">
        <f>IF($B285&lt;=Tabla5[[#This Row],[INVERSIONES FCI]],+Tabla5[[#This Row],[INVERSIONES FCI]]-AM285,Tabla5[[#This Row],[INVERSIONES FCI]])</f>
        <v>5113520771.9478912</v>
      </c>
      <c r="AN286" s="5">
        <f>IF($B285&lt;=Tabla5[[#This Row],[INVERSIONES FCI]],+Tabla5[[#This Row],[INVERSIONES FCI]]-AN285,Tabla5[[#This Row],[INVERSIONES FCI]])</f>
        <v>5113520771.9478912</v>
      </c>
      <c r="AO286" s="5">
        <f>IF($B285&lt;=Tabla5[[#This Row],[INVERSIONES FCI]],+Tabla5[[#This Row],[INVERSIONES FCI]]-AO285,Tabla5[[#This Row],[INVERSIONES FCI]])</f>
        <v>5113520771.9478912</v>
      </c>
      <c r="AP286" s="5">
        <f>IF($B285&lt;=Tabla5[[#This Row],[INVERSIONES FCI]],+Tabla5[[#This Row],[INVERSIONES FCI]]-AP285,Tabla5[[#This Row],[INVERSIONES FCI]])</f>
        <v>5113520771.9478912</v>
      </c>
      <c r="AQ286" s="5">
        <f>IF($B285&lt;=Tabla5[[#This Row],[INVERSIONES FCI]],+Tabla5[[#This Row],[INVERSIONES FCI]]-AQ285,Tabla5[[#This Row],[INVERSIONES FCI]])</f>
        <v>5113520771.9478912</v>
      </c>
      <c r="AR286" s="5">
        <f>IF($B285&lt;=Tabla5[[#This Row],[INVERSIONES FCI]],+Tabla5[[#This Row],[INVERSIONES FCI]]-AR285,Tabla5[[#This Row],[INVERSIONES FCI]])</f>
        <v>5113520771.9478912</v>
      </c>
      <c r="AS286" s="5">
        <f>IF($B285&lt;=Tabla5[[#This Row],[INVERSIONES FCI]],+Tabla5[[#This Row],[INVERSIONES FCI]]-AS285,Tabla5[[#This Row],[INVERSIONES FCI]])</f>
        <v>5113520771.9478912</v>
      </c>
      <c r="AT286" s="5">
        <f>IF($B285&lt;=Tabla5[[#This Row],[INVERSIONES FCI]],+Tabla5[[#This Row],[INVERSIONES FCI]]-AT285,Tabla5[[#This Row],[INVERSIONES FCI]])</f>
        <v>5113520771.9478912</v>
      </c>
      <c r="AU286" s="5">
        <f>IF($B285&lt;=Tabla5[[#This Row],[INVERSIONES FCI]],+Tabla5[[#This Row],[INVERSIONES FCI]]-AU285,Tabla5[[#This Row],[INVERSIONES FCI]])</f>
        <v>5113520771.9478912</v>
      </c>
      <c r="AV286" s="5">
        <f>IF($B285&lt;=Tabla5[[#This Row],[INVERSIONES FCI]],+Tabla5[[#This Row],[INVERSIONES FCI]]-AV285,Tabla5[[#This Row],[INVERSIONES FCI]])</f>
        <v>5113520771.9478912</v>
      </c>
      <c r="AW286" s="5">
        <f>IF($B285&lt;=Tabla5[[#This Row],[INVERSIONES FCI]],+Tabla5[[#This Row],[INVERSIONES FCI]]-AW285,Tabla5[[#This Row],[INVERSIONES FCI]])</f>
        <v>5113520771.9478912</v>
      </c>
      <c r="AX286" s="5">
        <f>IF($B285&lt;=Tabla5[[#This Row],[INVERSIONES FCI]],+Tabla5[[#This Row],[INVERSIONES FCI]]-AX285,Tabla5[[#This Row],[INVERSIONES FCI]])</f>
        <v>5113520771.9478912</v>
      </c>
      <c r="AY286" s="5">
        <f>IF($B285&lt;=Tabla5[[#This Row],[INVERSIONES FCI]],+Tabla5[[#This Row],[INVERSIONES FCI]]-AY285,Tabla5[[#This Row],[INVERSIONES FCI]])</f>
        <v>5113520771.9478912</v>
      </c>
      <c r="AZ286" s="5">
        <f>IF($B285&lt;=Tabla5[[#This Row],[INVERSIONES FCI]],+Tabla5[[#This Row],[INVERSIONES FCI]]-AZ285,Tabla5[[#This Row],[INVERSIONES FCI]])</f>
        <v>5113520771.9478912</v>
      </c>
      <c r="BA286" s="5">
        <f>IF($B285&lt;=Tabla5[[#This Row],[INVERSIONES FCI]],+Tabla5[[#This Row],[INVERSIONES FCI]]-BA285,Tabla5[[#This Row],[INVERSIONES FCI]])</f>
        <v>5113520771.9478912</v>
      </c>
      <c r="BB286" s="5">
        <f>IF($B285&lt;=Tabla5[[#This Row],[INVERSIONES FCI]],+Tabla5[[#This Row],[INVERSIONES FCI]]-BB285,Tabla5[[#This Row],[INVERSIONES FCI]])</f>
        <v>5113520771.9478912</v>
      </c>
      <c r="BC286" s="5">
        <f>IF($B285&lt;=Tabla5[[#This Row],[INVERSIONES FCI]],+Tabla5[[#This Row],[INVERSIONES FCI]]-BC285,Tabla5[[#This Row],[INVERSIONES FCI]])</f>
        <v>5113520771.9478912</v>
      </c>
      <c r="BD286" s="5">
        <f>IF($B285&lt;=Tabla5[[#This Row],[INVERSIONES FCI]],+Tabla5[[#This Row],[INVERSIONES FCI]]-BD285,Tabla5[[#This Row],[INVERSIONES FCI]])</f>
        <v>5113520771.9478912</v>
      </c>
      <c r="BE286" s="5">
        <f>IF($B285&lt;=Tabla5[[#This Row],[INVERSIONES FCI]],+Tabla5[[#This Row],[INVERSIONES FCI]]-BE285,Tabla5[[#This Row],[INVERSIONES FCI]])</f>
        <v>5113520771.9478912</v>
      </c>
      <c r="BF286" s="5">
        <f>IF($B285&lt;=Tabla5[[#This Row],[INVERSIONES FCI]],+Tabla5[[#This Row],[INVERSIONES FCI]]-BF285,Tabla5[[#This Row],[INVERSIONES FCI]])</f>
        <v>5113520771.9478912</v>
      </c>
      <c r="BG286" s="5">
        <f>IF($B285&lt;=Tabla5[[#This Row],[INVERSIONES FCI]],+Tabla5[[#This Row],[INVERSIONES FCI]]-BG285,Tabla5[[#This Row],[INVERSIONES FCI]])</f>
        <v>5113520771.9478912</v>
      </c>
      <c r="BH286" s="5">
        <f>IF($B285&lt;=Tabla5[[#This Row],[INVERSIONES FCI]],+Tabla5[[#This Row],[INVERSIONES FCI]]-BH285,Tabla5[[#This Row],[INVERSIONES FCI]])</f>
        <v>5113520771.9478912</v>
      </c>
      <c r="BI286" s="5">
        <f>IF($B285&lt;=Tabla5[[#This Row],[INVERSIONES FCI]],+Tabla5[[#This Row],[INVERSIONES FCI]]-BI285,Tabla5[[#This Row],[INVERSIONES FCI]])</f>
        <v>5113520771.9478912</v>
      </c>
      <c r="BJ286" s="5">
        <f>IF($B285&lt;=Tabla5[[#This Row],[INVERSIONES FCI]],+Tabla5[[#This Row],[INVERSIONES FCI]]-BJ285,Tabla5[[#This Row],[INVERSIONES FCI]])</f>
        <v>5113520771.9478912</v>
      </c>
      <c r="BK286" s="5">
        <f>IF($B285&lt;=Tabla5[[#This Row],[INVERSIONES FCI]],+Tabla5[[#This Row],[INVERSIONES FCI]]-BK285,Tabla5[[#This Row],[INVERSIONES FCI]])</f>
        <v>5113520771.9478912</v>
      </c>
      <c r="BL286" s="5">
        <f>IF($B285&lt;=Tabla5[[#This Row],[INVERSIONES FCI]],+Tabla5[[#This Row],[INVERSIONES FCI]]-BL285,Tabla5[[#This Row],[INVERSIONES FCI]])</f>
        <v>5113520771.9478912</v>
      </c>
      <c r="BM286" s="5">
        <f>IF($B285&lt;=Tabla5[[#This Row],[INVERSIONES FCI]],+Tabla5[[#This Row],[INVERSIONES FCI]]-BM285,Tabla5[[#This Row],[INVERSIONES FCI]])</f>
        <v>5113520771.9478912</v>
      </c>
      <c r="BN286" s="5">
        <f>IF($B285&lt;=Tabla5[[#This Row],[INVERSIONES FCI]],+Tabla5[[#This Row],[INVERSIONES FCI]]-BN285,Tabla5[[#This Row],[INVERSIONES FCI]])</f>
        <v>5113520771.9478912</v>
      </c>
      <c r="BO286" s="5">
        <f>IF($B285&lt;=Tabla5[[#This Row],[INVERSIONES FCI]],+Tabla5[[#This Row],[INVERSIONES FCI]]-BO285,Tabla5[[#This Row],[INVERSIONES FCI]])</f>
        <v>5113520771.9478912</v>
      </c>
      <c r="BP286" s="5">
        <f>IF($B285&lt;=Tabla5[[#This Row],[INVERSIONES FCI]],+Tabla5[[#This Row],[INVERSIONES FCI]]-BP285,Tabla5[[#This Row],[INVERSIONES FCI]])</f>
        <v>5113520771.9478912</v>
      </c>
      <c r="BQ286" s="5">
        <f>IF($B285&lt;=Tabla5[[#This Row],[INVERSIONES FCI]],+Tabla5[[#This Row],[INVERSIONES FCI]]-BQ285,Tabla5[[#This Row],[INVERSIONES FCI]])</f>
        <v>5113520771.9478912</v>
      </c>
      <c r="BR286" s="5">
        <f>IF($B285&lt;=Tabla5[[#This Row],[INVERSIONES FCI]],+Tabla5[[#This Row],[INVERSIONES FCI]]-BR285,Tabla5[[#This Row],[INVERSIONES FCI]])</f>
        <v>5113520771.9478912</v>
      </c>
      <c r="BS286" s="5">
        <f>IF($B285&lt;=Tabla5[[#This Row],[INVERSIONES FCI]],+Tabla5[[#This Row],[INVERSIONES FCI]]-BS285,Tabla5[[#This Row],[INVERSIONES FCI]])</f>
        <v>5113520771.9478912</v>
      </c>
      <c r="BT286" s="5">
        <f>IF($B285&lt;=Tabla5[[#This Row],[INVERSIONES FCI]],+Tabla5[[#This Row],[INVERSIONES FCI]]-BT285,Tabla5[[#This Row],[INVERSIONES FCI]])</f>
        <v>5113520771.9478912</v>
      </c>
      <c r="BU286" s="5">
        <f>IF($B285&lt;=Tabla5[[#This Row],[INVERSIONES FCI]],+Tabla5[[#This Row],[INVERSIONES FCI]]-BU285,Tabla5[[#This Row],[INVERSIONES FCI]])</f>
        <v>5113520771.9478912</v>
      </c>
      <c r="BV286" s="5">
        <f>IF($B285&lt;=Tabla5[[#This Row],[INVERSIONES FCI]],+Tabla5[[#This Row],[INVERSIONES FCI]]-BV285,Tabla5[[#This Row],[INVERSIONES FCI]])</f>
        <v>5113520771.9478912</v>
      </c>
      <c r="BW286" s="5">
        <f>IF($B285&lt;=Tabla5[[#This Row],[INVERSIONES FCI]],+Tabla5[[#This Row],[INVERSIONES FCI]]-BW285,Tabla5[[#This Row],[INVERSIONES FCI]])</f>
        <v>5113520771.9478912</v>
      </c>
      <c r="BX286" s="5">
        <f>IF($B285&lt;=Tabla5[[#This Row],[INVERSIONES FCI]],+Tabla5[[#This Row],[INVERSIONES FCI]]-BX285,Tabla5[[#This Row],[INVERSIONES FCI]])</f>
        <v>5113520771.9478912</v>
      </c>
      <c r="BY286" s="5">
        <f>IF($B285&lt;=Tabla5[[#This Row],[INVERSIONES FCI]],+Tabla5[[#This Row],[INVERSIONES FCI]]-BY285,Tabla5[[#This Row],[INVERSIONES FCI]])</f>
        <v>5113520771.9478912</v>
      </c>
      <c r="BZ286" s="5">
        <f>IF($B285&lt;=Tabla5[[#This Row],[INVERSIONES FCI]],+Tabla5[[#This Row],[INVERSIONES FCI]]-BZ285,Tabla5[[#This Row],[INVERSIONES FCI]])</f>
        <v>5113520771.9478912</v>
      </c>
      <c r="CA286" s="5">
        <f>IF($B285&lt;=Tabla5[[#This Row],[INVERSIONES FCI]],+Tabla5[[#This Row],[INVERSIONES FCI]]-CA285,Tabla5[[#This Row],[INVERSIONES FCI]])</f>
        <v>5113520771.9478912</v>
      </c>
      <c r="CB286" s="5">
        <f>IF($B285&lt;=Tabla5[[#This Row],[INVERSIONES FCI]],+Tabla5[[#This Row],[INVERSIONES FCI]]-CB285,Tabla5[[#This Row],[INVERSIONES FCI]])</f>
        <v>5113520771.9478912</v>
      </c>
      <c r="CC286" s="5">
        <f>IF($B285&lt;=Tabla5[[#This Row],[INVERSIONES FCI]],+Tabla5[[#This Row],[INVERSIONES FCI]]-CC285,Tabla5[[#This Row],[INVERSIONES FCI]])</f>
        <v>5113520771.9478912</v>
      </c>
      <c r="CD286" s="5">
        <f>IF($B285&lt;=Tabla5[[#This Row],[INVERSIONES FCI]],+Tabla5[[#This Row],[INVERSIONES FCI]]-CD285,Tabla5[[#This Row],[INVERSIONES FCI]])</f>
        <v>5113520771.9478912</v>
      </c>
      <c r="CE286" s="5">
        <f>IF($B285&lt;=Tabla5[[#This Row],[INVERSIONES FCI]],+Tabla5[[#This Row],[INVERSIONES FCI]]-CE285,Tabla5[[#This Row],[INVERSIONES FCI]])</f>
        <v>5113520771.9478912</v>
      </c>
      <c r="CF286" s="5">
        <f>IF($B285&lt;=Tabla5[[#This Row],[INVERSIONES FCI]],+Tabla5[[#This Row],[INVERSIONES FCI]]-CF285,Tabla5[[#This Row],[INVERSIONES FCI]])</f>
        <v>5113520771.9478912</v>
      </c>
      <c r="CG286" s="5">
        <f>IF($B285&lt;=Tabla5[[#This Row],[INVERSIONES FCI]],+Tabla5[[#This Row],[INVERSIONES FCI]]-CG285,Tabla5[[#This Row],[INVERSIONES FCI]])</f>
        <v>5113520771.9478912</v>
      </c>
      <c r="CH286" s="5">
        <f>IF($B285&lt;=Tabla5[[#This Row],[INVERSIONES FCI]],+Tabla5[[#This Row],[INVERSIONES FCI]]-CH285,Tabla5[[#This Row],[INVERSIONES FCI]])</f>
        <v>5113520771.9478912</v>
      </c>
      <c r="CI286" s="5">
        <f>IF($B285&lt;=Tabla5[[#This Row],[INVERSIONES FCI]],+Tabla5[[#This Row],[INVERSIONES FCI]]-CI285,Tabla5[[#This Row],[INVERSIONES FCI]])</f>
        <v>5113520771.9478912</v>
      </c>
      <c r="CJ286" s="5">
        <f>IF($B285&lt;=Tabla5[[#This Row],[INVERSIONES FCI]],+Tabla5[[#This Row],[INVERSIONES FCI]]-CJ285,Tabla5[[#This Row],[INVERSIONES FCI]])</f>
        <v>5113520771.9478912</v>
      </c>
      <c r="CK286" s="5">
        <f>IF($B285&lt;=Tabla5[[#This Row],[INVERSIONES FCI]],+Tabla5[[#This Row],[INVERSIONES FCI]]-CK285,Tabla5[[#This Row],[INVERSIONES FCI]])</f>
        <v>5113520771.9478912</v>
      </c>
      <c r="CL286" s="5">
        <f>IF($B285&lt;=Tabla5[[#This Row],[INVERSIONES FCI]],+Tabla5[[#This Row],[INVERSIONES FCI]]-CL285,Tabla5[[#This Row],[INVERSIONES FCI]])</f>
        <v>5113520771.9478912</v>
      </c>
      <c r="CM286" s="5">
        <f>IF($B285&lt;=Tabla5[[#This Row],[INVERSIONES FCI]],+Tabla5[[#This Row],[INVERSIONES FCI]]-CM285,Tabla5[[#This Row],[INVERSIONES FCI]])</f>
        <v>5113520771.9478912</v>
      </c>
      <c r="CN286" s="5">
        <f>IF($B285&lt;=Tabla5[[#This Row],[INVERSIONES FCI]],+Tabla5[[#This Row],[INVERSIONES FCI]]-CN285,Tabla5[[#This Row],[INVERSIONES FCI]])</f>
        <v>5113520771.9478912</v>
      </c>
      <c r="CO286" s="5">
        <f>IF($B285&lt;=Tabla5[[#This Row],[INVERSIONES FCI]],+Tabla5[[#This Row],[INVERSIONES FCI]]-CO285,Tabla5[[#This Row],[INVERSIONES FCI]])</f>
        <v>5113520771.9478912</v>
      </c>
      <c r="CP286" s="5">
        <f>IF($B285&lt;=Tabla5[[#This Row],[INVERSIONES FCI]],+Tabla5[[#This Row],[INVERSIONES FCI]]-CP285,Tabla5[[#This Row],[INVERSIONES FCI]])</f>
        <v>5113520771.9478912</v>
      </c>
      <c r="CQ286" s="5">
        <f>IF($B285&lt;=Tabla5[[#This Row],[INVERSIONES FCI]],+Tabla5[[#This Row],[INVERSIONES FCI]]-CQ285,Tabla5[[#This Row],[INVERSIONES FCI]])</f>
        <v>5113520771.9478912</v>
      </c>
      <c r="CR286" s="5">
        <f>IF($B285&lt;=Tabla5[[#This Row],[INVERSIONES FCI]],+Tabla5[[#This Row],[INVERSIONES FCI]]-CR285,Tabla5[[#This Row],[INVERSIONES FCI]])</f>
        <v>5113520771.9478912</v>
      </c>
      <c r="CS286" s="5">
        <f>IF($B285&lt;=Tabla5[[#This Row],[INVERSIONES FCI]],+Tabla5[[#This Row],[INVERSIONES FCI]]-CS285,Tabla5[[#This Row],[INVERSIONES FCI]])</f>
        <v>5113520771.9478912</v>
      </c>
      <c r="CT286" s="5">
        <f>IF($B285&lt;=Tabla5[[#This Row],[INVERSIONES FCI]],+Tabla5[[#This Row],[INVERSIONES FCI]]-CT285,Tabla5[[#This Row],[INVERSIONES FCI]])</f>
        <v>5113520771.9478912</v>
      </c>
      <c r="CU286" s="5">
        <f>IF($B285&lt;=Tabla5[[#This Row],[INVERSIONES FCI]],+Tabla5[[#This Row],[INVERSIONES FCI]]-CU285,Tabla5[[#This Row],[INVERSIONES FCI]])</f>
        <v>5113520771.9478912</v>
      </c>
      <c r="CV286" s="5">
        <f>IF($B285&lt;=Tabla5[[#This Row],[INVERSIONES FCI]],+Tabla5[[#This Row],[INVERSIONES FCI]]-CV285,Tabla5[[#This Row],[INVERSIONES FCI]])</f>
        <v>5113520771.9478912</v>
      </c>
      <c r="CW286" s="5">
        <f>IF($B285&lt;=Tabla5[[#This Row],[INVERSIONES FCI]],+Tabla5[[#This Row],[INVERSIONES FCI]]-CW285,Tabla5[[#This Row],[INVERSIONES FCI]])</f>
        <v>5113520771.9478912</v>
      </c>
      <c r="CX286" s="5">
        <f>IF($B285&lt;=Tabla5[[#This Row],[INVERSIONES FCI]],+Tabla5[[#This Row],[INVERSIONES FCI]]-CX285,Tabla5[[#This Row],[INVERSIONES FCI]])</f>
        <v>5113520771.9478912</v>
      </c>
      <c r="CY286" s="5">
        <f>IF($B285&lt;=Tabla5[[#This Row],[INVERSIONES FCI]],+Tabla5[[#This Row],[INVERSIONES FCI]]-CY285,Tabla5[[#This Row],[INVERSIONES FCI]])</f>
        <v>5113520771.9478912</v>
      </c>
      <c r="CZ286" s="5">
        <f>IF($B285&lt;=Tabla5[[#This Row],[INVERSIONES FCI]],+Tabla5[[#This Row],[INVERSIONES FCI]]-CZ285,Tabla5[[#This Row],[INVERSIONES FCI]])</f>
        <v>5113520771.9478912</v>
      </c>
      <c r="DA286" s="5">
        <f>IF($B285&lt;=Tabla5[[#This Row],[INVERSIONES FCI]],+Tabla5[[#This Row],[INVERSIONES FCI]]-DA285,Tabla5[[#This Row],[INVERSIONES FCI]])</f>
        <v>5113520771.9478912</v>
      </c>
      <c r="DB286" s="5">
        <f>IF($B285&lt;=Tabla5[[#This Row],[INVERSIONES FCI]],+Tabla5[[#This Row],[INVERSIONES FCI]]-DB285,Tabla5[[#This Row],[INVERSIONES FCI]])</f>
        <v>5113520771.9478912</v>
      </c>
      <c r="DC286" s="5">
        <f>IF($B285&lt;=Tabla5[[#This Row],[INVERSIONES FCI]],+Tabla5[[#This Row],[INVERSIONES FCI]]-DC285,Tabla5[[#This Row],[INVERSIONES FCI]])</f>
        <v>5113520771.9478912</v>
      </c>
      <c r="DD286" s="5">
        <f>IF($B285&lt;=Tabla5[[#This Row],[INVERSIONES FCI]],+Tabla5[[#This Row],[INVERSIONES FCI]]-DD285,Tabla5[[#This Row],[INVERSIONES FCI]])</f>
        <v>5113520771.9478912</v>
      </c>
      <c r="DE286" s="5">
        <f>IF($B285&lt;=Tabla5[[#This Row],[INVERSIONES FCI]],+Tabla5[[#This Row],[INVERSIONES FCI]]-DE285,Tabla5[[#This Row],[INVERSIONES FCI]])</f>
        <v>5113520771.9478912</v>
      </c>
      <c r="DF286" s="5">
        <f>IF($B285&lt;=Tabla5[[#This Row],[INVERSIONES FCI]],+Tabla5[[#This Row],[INVERSIONES FCI]]-DF285,Tabla5[[#This Row],[INVERSIONES FCI]])</f>
        <v>5113520771.9478912</v>
      </c>
      <c r="DG286" s="5">
        <f>IF($B285&lt;=Tabla5[[#This Row],[INVERSIONES FCI]],+Tabla5[[#This Row],[INVERSIONES FCI]]-DG285,Tabla5[[#This Row],[INVERSIONES FCI]])</f>
        <v>5113520771.9478912</v>
      </c>
      <c r="DH286" s="5">
        <f>IF($B285&lt;=Tabla5[[#This Row],[INVERSIONES FCI]],+Tabla5[[#This Row],[INVERSIONES FCI]]-DH285,Tabla5[[#This Row],[INVERSIONES FCI]])</f>
        <v>5113520771.9478912</v>
      </c>
      <c r="DI286" s="5">
        <f>IF($B285&lt;=Tabla5[[#This Row],[INVERSIONES FCI]],+Tabla5[[#This Row],[INVERSIONES FCI]]-DI285,Tabla5[[#This Row],[INVERSIONES FCI]])</f>
        <v>5113520771.9478912</v>
      </c>
      <c r="DJ286" s="5">
        <f>IF($B285&lt;=Tabla5[[#This Row],[INVERSIONES FCI]],+Tabla5[[#This Row],[INVERSIONES FCI]]-DJ285,Tabla5[[#This Row],[INVERSIONES FCI]])</f>
        <v>5113520771.9478912</v>
      </c>
      <c r="DK286" s="5">
        <f>IF($B285&lt;=Tabla5[[#This Row],[INVERSIONES FCI]],+Tabla5[[#This Row],[INVERSIONES FCI]]-DK285,Tabla5[[#This Row],[INVERSIONES FCI]])</f>
        <v>5113520771.9478912</v>
      </c>
      <c r="DL286" s="5"/>
      <c r="DM286" s="5"/>
      <c r="DN286" s="5"/>
      <c r="DO286" s="5"/>
      <c r="DP286" s="5"/>
      <c r="DQ286" s="5"/>
    </row>
    <row r="287" spans="1:121" ht="14.4">
      <c r="A287" s="12" t="s">
        <v>286</v>
      </c>
      <c r="B287" s="5">
        <f>HLOOKUP($A287,ESCENARIO[#All],7,FALSE)</f>
        <v>65319321393.909195</v>
      </c>
      <c r="C287" s="5">
        <f>IF($B286&lt;=Tabla5[[#This Row],[INVERSIONES FCI]],+Tabla5[[#This Row],[INVERSIONES FCI]]-C286,Tabla5[[#This Row],[INVERSIONES FCI]])</f>
        <v>65319321393.909195</v>
      </c>
      <c r="D287" s="5">
        <f>IF($B286&lt;=Tabla5[[#This Row],[INVERSIONES FCI]],+Tabla5[[#This Row],[INVERSIONES FCI]]-D286,Tabla5[[#This Row],[INVERSIONES FCI]])</f>
        <v>65319321393.909195</v>
      </c>
      <c r="E287" s="5">
        <f>IF($B286&lt;=Tabla5[[#This Row],[INVERSIONES FCI]],+Tabla5[[#This Row],[INVERSIONES FCI]]-E286,Tabla5[[#This Row],[INVERSIONES FCI]])</f>
        <v>65319321393.909195</v>
      </c>
      <c r="F287" s="5">
        <f>IF($B286&lt;=Tabla5[[#This Row],[INVERSIONES FCI]],+Tabla5[[#This Row],[INVERSIONES FCI]]-F286,Tabla5[[#This Row],[INVERSIONES FCI]])</f>
        <v>65319321393.909195</v>
      </c>
      <c r="G287" s="5">
        <f>IF($B286&lt;=Tabla5[[#This Row],[INVERSIONES FCI]],+Tabla5[[#This Row],[INVERSIONES FCI]]-G286,Tabla5[[#This Row],[INVERSIONES FCI]])</f>
        <v>65319321393.909195</v>
      </c>
      <c r="H287" s="5">
        <f>IF($B286&lt;=Tabla5[[#This Row],[INVERSIONES FCI]],+Tabla5[[#This Row],[INVERSIONES FCI]]-H286,Tabla5[[#This Row],[INVERSIONES FCI]])</f>
        <v>65319321393.909195</v>
      </c>
      <c r="I287" s="5">
        <f>IF($B286&lt;=Tabla5[[#This Row],[INVERSIONES FCI]],+Tabla5[[#This Row],[INVERSIONES FCI]]-I286,Tabla5[[#This Row],[INVERSIONES FCI]])</f>
        <v>65319321393.909195</v>
      </c>
      <c r="J287" s="5">
        <f>IF($B286&lt;=Tabla5[[#This Row],[INVERSIONES FCI]],+Tabla5[[#This Row],[INVERSIONES FCI]]-J286,Tabla5[[#This Row],[INVERSIONES FCI]])</f>
        <v>65319321393.909195</v>
      </c>
      <c r="K287" s="5">
        <f>IF($B286&lt;=Tabla5[[#This Row],[INVERSIONES FCI]],+Tabla5[[#This Row],[INVERSIONES FCI]]-K286,Tabla5[[#This Row],[INVERSIONES FCI]])</f>
        <v>65319321393.909195</v>
      </c>
      <c r="L287" s="5">
        <f>IF($B286&lt;=Tabla5[[#This Row],[INVERSIONES FCI]],+Tabla5[[#This Row],[INVERSIONES FCI]]-L286,Tabla5[[#This Row],[INVERSIONES FCI]])</f>
        <v>65319321393.909195</v>
      </c>
      <c r="M287" s="5">
        <f>IF($B286&lt;=Tabla5[[#This Row],[INVERSIONES FCI]],+Tabla5[[#This Row],[INVERSIONES FCI]]-M286,Tabla5[[#This Row],[INVERSIONES FCI]])</f>
        <v>65319321393.909195</v>
      </c>
      <c r="N287" s="5">
        <f>IF($B286&lt;=Tabla5[[#This Row],[INVERSIONES FCI]],+Tabla5[[#This Row],[INVERSIONES FCI]]-N286,Tabla5[[#This Row],[INVERSIONES FCI]])</f>
        <v>65319321393.909195</v>
      </c>
      <c r="O287" s="5">
        <f>IF($B286&lt;=Tabla5[[#This Row],[INVERSIONES FCI]],+Tabla5[[#This Row],[INVERSIONES FCI]]-O286,Tabla5[[#This Row],[INVERSIONES FCI]])</f>
        <v>65319321393.909195</v>
      </c>
      <c r="P287" s="5">
        <f>IF($B286&lt;=Tabla5[[#This Row],[INVERSIONES FCI]],+Tabla5[[#This Row],[INVERSIONES FCI]]-P286,Tabla5[[#This Row],[INVERSIONES FCI]])</f>
        <v>65319321393.909195</v>
      </c>
      <c r="Q287" s="5">
        <f>IF($B286&lt;=Tabla5[[#This Row],[INVERSIONES FCI]],+Tabla5[[#This Row],[INVERSIONES FCI]]-Q286,Tabla5[[#This Row],[INVERSIONES FCI]])</f>
        <v>65319321393.909195</v>
      </c>
      <c r="R287" s="5">
        <f>IF($B286&lt;=Tabla5[[#This Row],[INVERSIONES FCI]],+Tabla5[[#This Row],[INVERSIONES FCI]]-R286,Tabla5[[#This Row],[INVERSIONES FCI]])</f>
        <v>65319321393.909195</v>
      </c>
      <c r="S287" s="5">
        <f>IF($B286&lt;=Tabla5[[#This Row],[INVERSIONES FCI]],+Tabla5[[#This Row],[INVERSIONES FCI]]-S286,Tabla5[[#This Row],[INVERSIONES FCI]])</f>
        <v>65319321393.909195</v>
      </c>
      <c r="T287" s="5">
        <f>IF($B286&lt;=Tabla5[[#This Row],[INVERSIONES FCI]],+Tabla5[[#This Row],[INVERSIONES FCI]]-T286,Tabla5[[#This Row],[INVERSIONES FCI]])</f>
        <v>65319321393.909195</v>
      </c>
      <c r="U287" s="5">
        <f>IF($B286&lt;=Tabla5[[#This Row],[INVERSIONES FCI]],+Tabla5[[#This Row],[INVERSIONES FCI]]-U286,Tabla5[[#This Row],[INVERSIONES FCI]])</f>
        <v>65319321393.909195</v>
      </c>
      <c r="V287" s="5">
        <f>IF($B286&lt;=Tabla5[[#This Row],[INVERSIONES FCI]],+Tabla5[[#This Row],[INVERSIONES FCI]]-V286,Tabla5[[#This Row],[INVERSIONES FCI]])</f>
        <v>65319321393.909195</v>
      </c>
      <c r="W287" s="5">
        <f>IF($B286&lt;=Tabla5[[#This Row],[INVERSIONES FCI]],+Tabla5[[#This Row],[INVERSIONES FCI]]-W286,Tabla5[[#This Row],[INVERSIONES FCI]])</f>
        <v>65319321393.909195</v>
      </c>
      <c r="X287" s="5">
        <f>IF($B286&lt;=Tabla5[[#This Row],[INVERSIONES FCI]],+Tabla5[[#This Row],[INVERSIONES FCI]]-X286,Tabla5[[#This Row],[INVERSIONES FCI]])</f>
        <v>65319321393.909195</v>
      </c>
      <c r="Y287" s="5">
        <f>IF($B286&lt;=Tabla5[[#This Row],[INVERSIONES FCI]],+Tabla5[[#This Row],[INVERSIONES FCI]]-Y286,Tabla5[[#This Row],[INVERSIONES FCI]])</f>
        <v>65319321393.909195</v>
      </c>
      <c r="Z287" s="5">
        <f>IF($B286&lt;=Tabla5[[#This Row],[INVERSIONES FCI]],+Tabla5[[#This Row],[INVERSIONES FCI]]-Z286,Tabla5[[#This Row],[INVERSIONES FCI]])</f>
        <v>65319321393.909195</v>
      </c>
      <c r="AA287" s="5">
        <f>IF($B286&lt;=Tabla5[[#This Row],[INVERSIONES FCI]],+Tabla5[[#This Row],[INVERSIONES FCI]]-AA286,Tabla5[[#This Row],[INVERSIONES FCI]])</f>
        <v>65319321393.909195</v>
      </c>
      <c r="AB287" s="5">
        <f>IF($B286&lt;=Tabla5[[#This Row],[INVERSIONES FCI]],+Tabla5[[#This Row],[INVERSIONES FCI]]-AB286,Tabla5[[#This Row],[INVERSIONES FCI]])</f>
        <v>65319321393.909195</v>
      </c>
      <c r="AC287" s="5">
        <f>IF($B286&lt;=Tabla5[[#This Row],[INVERSIONES FCI]],+Tabla5[[#This Row],[INVERSIONES FCI]]-AC286,Tabla5[[#This Row],[INVERSIONES FCI]])</f>
        <v>65319321393.909195</v>
      </c>
      <c r="AD287" s="5">
        <f>IF($B286&lt;=Tabla5[[#This Row],[INVERSIONES FCI]],+Tabla5[[#This Row],[INVERSIONES FCI]]-AD286,Tabla5[[#This Row],[INVERSIONES FCI]])</f>
        <v>65319321393.909195</v>
      </c>
      <c r="AE287" s="5">
        <f>IF($B286&lt;=Tabla5[[#This Row],[INVERSIONES FCI]],+Tabla5[[#This Row],[INVERSIONES FCI]]-AE286,Tabla5[[#This Row],[INVERSIONES FCI]])</f>
        <v>65319321393.909195</v>
      </c>
      <c r="AF287" s="5">
        <f>IF($B286&lt;=Tabla5[[#This Row],[INVERSIONES FCI]],+Tabla5[[#This Row],[INVERSIONES FCI]]-AF286,Tabla5[[#This Row],[INVERSIONES FCI]])</f>
        <v>65319321393.909195</v>
      </c>
      <c r="AG287" s="5">
        <f>IF($B286&lt;=Tabla5[[#This Row],[INVERSIONES FCI]],+Tabla5[[#This Row],[INVERSIONES FCI]]-AG286,Tabla5[[#This Row],[INVERSIONES FCI]])</f>
        <v>65319321393.909195</v>
      </c>
      <c r="AH287" s="5">
        <f>IF($B286&lt;=Tabla5[[#This Row],[INVERSIONES FCI]],+Tabla5[[#This Row],[INVERSIONES FCI]]-AH286,Tabla5[[#This Row],[INVERSIONES FCI]])</f>
        <v>65319321393.909195</v>
      </c>
      <c r="AI287" s="5">
        <f>IF($B286&lt;=Tabla5[[#This Row],[INVERSIONES FCI]],+Tabla5[[#This Row],[INVERSIONES FCI]]-AI286,Tabla5[[#This Row],[INVERSIONES FCI]])</f>
        <v>65319321393.909195</v>
      </c>
      <c r="AJ287" s="5">
        <f>IF($B286&lt;=Tabla5[[#This Row],[INVERSIONES FCI]],+Tabla5[[#This Row],[INVERSIONES FCI]]-AJ286,Tabla5[[#This Row],[INVERSIONES FCI]])</f>
        <v>65319321393.909195</v>
      </c>
      <c r="AK287" s="5">
        <f>IF($B286&lt;=Tabla5[[#This Row],[INVERSIONES FCI]],+Tabla5[[#This Row],[INVERSIONES FCI]]-AK286,Tabla5[[#This Row],[INVERSIONES FCI]])</f>
        <v>65319321393.909195</v>
      </c>
      <c r="AL287" s="5">
        <f>IF($B286&lt;=Tabla5[[#This Row],[INVERSIONES FCI]],+Tabla5[[#This Row],[INVERSIONES FCI]]-AL286,Tabla5[[#This Row],[INVERSIONES FCI]])</f>
        <v>65319321393.909195</v>
      </c>
      <c r="AM287" s="5">
        <f>IF($B286&lt;=Tabla5[[#This Row],[INVERSIONES FCI]],+Tabla5[[#This Row],[INVERSIONES FCI]]-AM286,Tabla5[[#This Row],[INVERSIONES FCI]])</f>
        <v>65319321393.909195</v>
      </c>
      <c r="AN287" s="5">
        <f>IF($B286&lt;=Tabla5[[#This Row],[INVERSIONES FCI]],+Tabla5[[#This Row],[INVERSIONES FCI]]-AN286,Tabla5[[#This Row],[INVERSIONES FCI]])</f>
        <v>65319321393.909195</v>
      </c>
      <c r="AO287" s="5">
        <f>IF($B286&lt;=Tabla5[[#This Row],[INVERSIONES FCI]],+Tabla5[[#This Row],[INVERSIONES FCI]]-AO286,Tabla5[[#This Row],[INVERSIONES FCI]])</f>
        <v>65319321393.909195</v>
      </c>
      <c r="AP287" s="5">
        <f>IF($B286&lt;=Tabla5[[#This Row],[INVERSIONES FCI]],+Tabla5[[#This Row],[INVERSIONES FCI]]-AP286,Tabla5[[#This Row],[INVERSIONES FCI]])</f>
        <v>65319321393.909195</v>
      </c>
      <c r="AQ287" s="5">
        <f>IF($B286&lt;=Tabla5[[#This Row],[INVERSIONES FCI]],+Tabla5[[#This Row],[INVERSIONES FCI]]-AQ286,Tabla5[[#This Row],[INVERSIONES FCI]])</f>
        <v>65319321393.909195</v>
      </c>
      <c r="AR287" s="5">
        <f>IF($B286&lt;=Tabla5[[#This Row],[INVERSIONES FCI]],+Tabla5[[#This Row],[INVERSIONES FCI]]-AR286,Tabla5[[#This Row],[INVERSIONES FCI]])</f>
        <v>65319321393.909195</v>
      </c>
      <c r="AS287" s="5">
        <f>IF($B286&lt;=Tabla5[[#This Row],[INVERSIONES FCI]],+Tabla5[[#This Row],[INVERSIONES FCI]]-AS286,Tabla5[[#This Row],[INVERSIONES FCI]])</f>
        <v>65319321393.909195</v>
      </c>
      <c r="AT287" s="5">
        <f>IF($B286&lt;=Tabla5[[#This Row],[INVERSIONES FCI]],+Tabla5[[#This Row],[INVERSIONES FCI]]-AT286,Tabla5[[#This Row],[INVERSIONES FCI]])</f>
        <v>65319321393.909195</v>
      </c>
      <c r="AU287" s="5">
        <f>IF($B286&lt;=Tabla5[[#This Row],[INVERSIONES FCI]],+Tabla5[[#This Row],[INVERSIONES FCI]]-AU286,Tabla5[[#This Row],[INVERSIONES FCI]])</f>
        <v>65319321393.909195</v>
      </c>
      <c r="AV287" s="5">
        <f>IF($B286&lt;=Tabla5[[#This Row],[INVERSIONES FCI]],+Tabla5[[#This Row],[INVERSIONES FCI]]-AV286,Tabla5[[#This Row],[INVERSIONES FCI]])</f>
        <v>65319321393.909195</v>
      </c>
      <c r="AW287" s="5">
        <f>IF($B286&lt;=Tabla5[[#This Row],[INVERSIONES FCI]],+Tabla5[[#This Row],[INVERSIONES FCI]]-AW286,Tabla5[[#This Row],[INVERSIONES FCI]])</f>
        <v>65319321393.909195</v>
      </c>
      <c r="AX287" s="5">
        <f>IF($B286&lt;=Tabla5[[#This Row],[INVERSIONES FCI]],+Tabla5[[#This Row],[INVERSIONES FCI]]-AX286,Tabla5[[#This Row],[INVERSIONES FCI]])</f>
        <v>65319321393.909195</v>
      </c>
      <c r="AY287" s="5">
        <f>IF($B286&lt;=Tabla5[[#This Row],[INVERSIONES FCI]],+Tabla5[[#This Row],[INVERSIONES FCI]]-AY286,Tabla5[[#This Row],[INVERSIONES FCI]])</f>
        <v>65319321393.909195</v>
      </c>
      <c r="AZ287" s="5">
        <f>IF($B286&lt;=Tabla5[[#This Row],[INVERSIONES FCI]],+Tabla5[[#This Row],[INVERSIONES FCI]]-AZ286,Tabla5[[#This Row],[INVERSIONES FCI]])</f>
        <v>65319321393.909195</v>
      </c>
      <c r="BA287" s="5">
        <f>IF($B286&lt;=Tabla5[[#This Row],[INVERSIONES FCI]],+Tabla5[[#This Row],[INVERSIONES FCI]]-BA286,Tabla5[[#This Row],[INVERSIONES FCI]])</f>
        <v>65319321393.909195</v>
      </c>
      <c r="BB287" s="5">
        <f>IF($B286&lt;=Tabla5[[#This Row],[INVERSIONES FCI]],+Tabla5[[#This Row],[INVERSIONES FCI]]-BB286,Tabla5[[#This Row],[INVERSIONES FCI]])</f>
        <v>65319321393.909195</v>
      </c>
      <c r="BC287" s="5">
        <f>IF($B286&lt;=Tabla5[[#This Row],[INVERSIONES FCI]],+Tabla5[[#This Row],[INVERSIONES FCI]]-BC286,Tabla5[[#This Row],[INVERSIONES FCI]])</f>
        <v>65319321393.909195</v>
      </c>
      <c r="BD287" s="5">
        <f>IF($B286&lt;=Tabla5[[#This Row],[INVERSIONES FCI]],+Tabla5[[#This Row],[INVERSIONES FCI]]-BD286,Tabla5[[#This Row],[INVERSIONES FCI]])</f>
        <v>65319321393.909195</v>
      </c>
      <c r="BE287" s="5">
        <f>IF($B286&lt;=Tabla5[[#This Row],[INVERSIONES FCI]],+Tabla5[[#This Row],[INVERSIONES FCI]]-BE286,Tabla5[[#This Row],[INVERSIONES FCI]])</f>
        <v>65319321393.909195</v>
      </c>
      <c r="BF287" s="5">
        <f>IF($B286&lt;=Tabla5[[#This Row],[INVERSIONES FCI]],+Tabla5[[#This Row],[INVERSIONES FCI]]-BF286,Tabla5[[#This Row],[INVERSIONES FCI]])</f>
        <v>65319321393.909195</v>
      </c>
      <c r="BG287" s="5">
        <f>IF($B286&lt;=Tabla5[[#This Row],[INVERSIONES FCI]],+Tabla5[[#This Row],[INVERSIONES FCI]]-BG286,Tabla5[[#This Row],[INVERSIONES FCI]])</f>
        <v>65319321393.909195</v>
      </c>
      <c r="BH287" s="5">
        <f>IF($B286&lt;=Tabla5[[#This Row],[INVERSIONES FCI]],+Tabla5[[#This Row],[INVERSIONES FCI]]-BH286,Tabla5[[#This Row],[INVERSIONES FCI]])</f>
        <v>65319321393.909195</v>
      </c>
      <c r="BI287" s="5">
        <f>IF($B286&lt;=Tabla5[[#This Row],[INVERSIONES FCI]],+Tabla5[[#This Row],[INVERSIONES FCI]]-BI286,Tabla5[[#This Row],[INVERSIONES FCI]])</f>
        <v>65319321393.909195</v>
      </c>
      <c r="BJ287" s="5">
        <f>IF($B286&lt;=Tabla5[[#This Row],[INVERSIONES FCI]],+Tabla5[[#This Row],[INVERSIONES FCI]]-BJ286,Tabla5[[#This Row],[INVERSIONES FCI]])</f>
        <v>65319321393.909195</v>
      </c>
      <c r="BK287" s="5">
        <f>IF($B286&lt;=Tabla5[[#This Row],[INVERSIONES FCI]],+Tabla5[[#This Row],[INVERSIONES FCI]]-BK286,Tabla5[[#This Row],[INVERSIONES FCI]])</f>
        <v>65319321393.909195</v>
      </c>
      <c r="BL287" s="5">
        <f>IF($B286&lt;=Tabla5[[#This Row],[INVERSIONES FCI]],+Tabla5[[#This Row],[INVERSIONES FCI]]-BL286,Tabla5[[#This Row],[INVERSIONES FCI]])</f>
        <v>65319321393.909195</v>
      </c>
      <c r="BM287" s="5">
        <f>IF($B286&lt;=Tabla5[[#This Row],[INVERSIONES FCI]],+Tabla5[[#This Row],[INVERSIONES FCI]]-BM286,Tabla5[[#This Row],[INVERSIONES FCI]])</f>
        <v>65319321393.909195</v>
      </c>
      <c r="BN287" s="5">
        <f>IF($B286&lt;=Tabla5[[#This Row],[INVERSIONES FCI]],+Tabla5[[#This Row],[INVERSIONES FCI]]-BN286,Tabla5[[#This Row],[INVERSIONES FCI]])</f>
        <v>65319321393.909195</v>
      </c>
      <c r="BO287" s="5">
        <f>IF($B286&lt;=Tabla5[[#This Row],[INVERSIONES FCI]],+Tabla5[[#This Row],[INVERSIONES FCI]]-BO286,Tabla5[[#This Row],[INVERSIONES FCI]])</f>
        <v>65319321393.909195</v>
      </c>
      <c r="BP287" s="5">
        <f>IF($B286&lt;=Tabla5[[#This Row],[INVERSIONES FCI]],+Tabla5[[#This Row],[INVERSIONES FCI]]-BP286,Tabla5[[#This Row],[INVERSIONES FCI]])</f>
        <v>65319321393.909195</v>
      </c>
      <c r="BQ287" s="5">
        <f>IF($B286&lt;=Tabla5[[#This Row],[INVERSIONES FCI]],+Tabla5[[#This Row],[INVERSIONES FCI]]-BQ286,Tabla5[[#This Row],[INVERSIONES FCI]])</f>
        <v>65319321393.909195</v>
      </c>
      <c r="BR287" s="5">
        <f>IF($B286&lt;=Tabla5[[#This Row],[INVERSIONES FCI]],+Tabla5[[#This Row],[INVERSIONES FCI]]-BR286,Tabla5[[#This Row],[INVERSIONES FCI]])</f>
        <v>65319321393.909195</v>
      </c>
      <c r="BS287" s="5">
        <f>IF($B286&lt;=Tabla5[[#This Row],[INVERSIONES FCI]],+Tabla5[[#This Row],[INVERSIONES FCI]]-BS286,Tabla5[[#This Row],[INVERSIONES FCI]])</f>
        <v>65319321393.909195</v>
      </c>
      <c r="BT287" s="5">
        <f>IF($B286&lt;=Tabla5[[#This Row],[INVERSIONES FCI]],+Tabla5[[#This Row],[INVERSIONES FCI]]-BT286,Tabla5[[#This Row],[INVERSIONES FCI]])</f>
        <v>65319321393.909195</v>
      </c>
      <c r="BU287" s="5">
        <f>IF($B286&lt;=Tabla5[[#This Row],[INVERSIONES FCI]],+Tabla5[[#This Row],[INVERSIONES FCI]]-BU286,Tabla5[[#This Row],[INVERSIONES FCI]])</f>
        <v>65319321393.909195</v>
      </c>
      <c r="BV287" s="5">
        <f>IF($B286&lt;=Tabla5[[#This Row],[INVERSIONES FCI]],+Tabla5[[#This Row],[INVERSIONES FCI]]-BV286,Tabla5[[#This Row],[INVERSIONES FCI]])</f>
        <v>65319321393.909195</v>
      </c>
      <c r="BW287" s="5">
        <f>IF($B286&lt;=Tabla5[[#This Row],[INVERSIONES FCI]],+Tabla5[[#This Row],[INVERSIONES FCI]]-BW286,Tabla5[[#This Row],[INVERSIONES FCI]])</f>
        <v>65319321393.909195</v>
      </c>
      <c r="BX287" s="5">
        <f>IF($B286&lt;=Tabla5[[#This Row],[INVERSIONES FCI]],+Tabla5[[#This Row],[INVERSIONES FCI]]-BX286,Tabla5[[#This Row],[INVERSIONES FCI]])</f>
        <v>65319321393.909195</v>
      </c>
      <c r="BY287" s="5">
        <f>IF($B286&lt;=Tabla5[[#This Row],[INVERSIONES FCI]],+Tabla5[[#This Row],[INVERSIONES FCI]]-BY286,Tabla5[[#This Row],[INVERSIONES FCI]])</f>
        <v>65319321393.909195</v>
      </c>
      <c r="BZ287" s="5">
        <f>IF($B286&lt;=Tabla5[[#This Row],[INVERSIONES FCI]],+Tabla5[[#This Row],[INVERSIONES FCI]]-BZ286,Tabla5[[#This Row],[INVERSIONES FCI]])</f>
        <v>65319321393.909195</v>
      </c>
      <c r="CA287" s="5">
        <f>IF($B286&lt;=Tabla5[[#This Row],[INVERSIONES FCI]],+Tabla5[[#This Row],[INVERSIONES FCI]]-CA286,Tabla5[[#This Row],[INVERSIONES FCI]])</f>
        <v>65319321393.909195</v>
      </c>
      <c r="CB287" s="5">
        <f>IF($B286&lt;=Tabla5[[#This Row],[INVERSIONES FCI]],+Tabla5[[#This Row],[INVERSIONES FCI]]-CB286,Tabla5[[#This Row],[INVERSIONES FCI]])</f>
        <v>65319321393.909195</v>
      </c>
      <c r="CC287" s="5">
        <f>IF($B286&lt;=Tabla5[[#This Row],[INVERSIONES FCI]],+Tabla5[[#This Row],[INVERSIONES FCI]]-CC286,Tabla5[[#This Row],[INVERSIONES FCI]])</f>
        <v>65319321393.909195</v>
      </c>
      <c r="CD287" s="5">
        <f>IF($B286&lt;=Tabla5[[#This Row],[INVERSIONES FCI]],+Tabla5[[#This Row],[INVERSIONES FCI]]-CD286,Tabla5[[#This Row],[INVERSIONES FCI]])</f>
        <v>65319321393.909195</v>
      </c>
      <c r="CE287" s="5">
        <f>IF($B286&lt;=Tabla5[[#This Row],[INVERSIONES FCI]],+Tabla5[[#This Row],[INVERSIONES FCI]]-CE286,Tabla5[[#This Row],[INVERSIONES FCI]])</f>
        <v>65319321393.909195</v>
      </c>
      <c r="CF287" s="5">
        <f>IF($B286&lt;=Tabla5[[#This Row],[INVERSIONES FCI]],+Tabla5[[#This Row],[INVERSIONES FCI]]-CF286,Tabla5[[#This Row],[INVERSIONES FCI]])</f>
        <v>65319321393.909195</v>
      </c>
      <c r="CG287" s="5">
        <f>IF($B286&lt;=Tabla5[[#This Row],[INVERSIONES FCI]],+Tabla5[[#This Row],[INVERSIONES FCI]]-CG286,Tabla5[[#This Row],[INVERSIONES FCI]])</f>
        <v>65319321393.909195</v>
      </c>
      <c r="CH287" s="5">
        <f>IF($B286&lt;=Tabla5[[#This Row],[INVERSIONES FCI]],+Tabla5[[#This Row],[INVERSIONES FCI]]-CH286,Tabla5[[#This Row],[INVERSIONES FCI]])</f>
        <v>65319321393.909195</v>
      </c>
      <c r="CI287" s="5">
        <f>IF($B286&lt;=Tabla5[[#This Row],[INVERSIONES FCI]],+Tabla5[[#This Row],[INVERSIONES FCI]]-CI286,Tabla5[[#This Row],[INVERSIONES FCI]])</f>
        <v>65319321393.909195</v>
      </c>
      <c r="CJ287" s="5">
        <f>IF($B286&lt;=Tabla5[[#This Row],[INVERSIONES FCI]],+Tabla5[[#This Row],[INVERSIONES FCI]]-CJ286,Tabla5[[#This Row],[INVERSIONES FCI]])</f>
        <v>65319321393.909195</v>
      </c>
      <c r="CK287" s="5">
        <f>IF($B286&lt;=Tabla5[[#This Row],[INVERSIONES FCI]],+Tabla5[[#This Row],[INVERSIONES FCI]]-CK286,Tabla5[[#This Row],[INVERSIONES FCI]])</f>
        <v>65319321393.909195</v>
      </c>
      <c r="CL287" s="5">
        <f>IF($B286&lt;=Tabla5[[#This Row],[INVERSIONES FCI]],+Tabla5[[#This Row],[INVERSIONES FCI]]-CL286,Tabla5[[#This Row],[INVERSIONES FCI]])</f>
        <v>65319321393.909195</v>
      </c>
      <c r="CM287" s="5">
        <f>IF($B286&lt;=Tabla5[[#This Row],[INVERSIONES FCI]],+Tabla5[[#This Row],[INVERSIONES FCI]]-CM286,Tabla5[[#This Row],[INVERSIONES FCI]])</f>
        <v>65319321393.909195</v>
      </c>
      <c r="CN287" s="5">
        <f>IF($B286&lt;=Tabla5[[#This Row],[INVERSIONES FCI]],+Tabla5[[#This Row],[INVERSIONES FCI]]-CN286,Tabla5[[#This Row],[INVERSIONES FCI]])</f>
        <v>65319321393.909195</v>
      </c>
      <c r="CO287" s="5">
        <f>IF($B286&lt;=Tabla5[[#This Row],[INVERSIONES FCI]],+Tabla5[[#This Row],[INVERSIONES FCI]]-CO286,Tabla5[[#This Row],[INVERSIONES FCI]])</f>
        <v>65319321393.909195</v>
      </c>
      <c r="CP287" s="5">
        <f>IF($B286&lt;=Tabla5[[#This Row],[INVERSIONES FCI]],+Tabla5[[#This Row],[INVERSIONES FCI]]-CP286,Tabla5[[#This Row],[INVERSIONES FCI]])</f>
        <v>65319321393.909195</v>
      </c>
      <c r="CQ287" s="5">
        <f>IF($B286&lt;=Tabla5[[#This Row],[INVERSIONES FCI]],+Tabla5[[#This Row],[INVERSIONES FCI]]-CQ286,Tabla5[[#This Row],[INVERSIONES FCI]])</f>
        <v>65319321393.909195</v>
      </c>
      <c r="CR287" s="5">
        <f>IF($B286&lt;=Tabla5[[#This Row],[INVERSIONES FCI]],+Tabla5[[#This Row],[INVERSIONES FCI]]-CR286,Tabla5[[#This Row],[INVERSIONES FCI]])</f>
        <v>65319321393.909195</v>
      </c>
      <c r="CS287" s="5">
        <f>IF($B286&lt;=Tabla5[[#This Row],[INVERSIONES FCI]],+Tabla5[[#This Row],[INVERSIONES FCI]]-CS286,Tabla5[[#This Row],[INVERSIONES FCI]])</f>
        <v>65319321393.909195</v>
      </c>
      <c r="CT287" s="5">
        <f>IF($B286&lt;=Tabla5[[#This Row],[INVERSIONES FCI]],+Tabla5[[#This Row],[INVERSIONES FCI]]-CT286,Tabla5[[#This Row],[INVERSIONES FCI]])</f>
        <v>65319321393.909195</v>
      </c>
      <c r="CU287" s="5">
        <f>IF($B286&lt;=Tabla5[[#This Row],[INVERSIONES FCI]],+Tabla5[[#This Row],[INVERSIONES FCI]]-CU286,Tabla5[[#This Row],[INVERSIONES FCI]])</f>
        <v>65319321393.909195</v>
      </c>
      <c r="CV287" s="5">
        <f>IF($B286&lt;=Tabla5[[#This Row],[INVERSIONES FCI]],+Tabla5[[#This Row],[INVERSIONES FCI]]-CV286,Tabla5[[#This Row],[INVERSIONES FCI]])</f>
        <v>65319321393.909195</v>
      </c>
      <c r="CW287" s="5">
        <f>IF($B286&lt;=Tabla5[[#This Row],[INVERSIONES FCI]],+Tabla5[[#This Row],[INVERSIONES FCI]]-CW286,Tabla5[[#This Row],[INVERSIONES FCI]])</f>
        <v>65319321393.909195</v>
      </c>
      <c r="CX287" s="5">
        <f>IF($B286&lt;=Tabla5[[#This Row],[INVERSIONES FCI]],+Tabla5[[#This Row],[INVERSIONES FCI]]-CX286,Tabla5[[#This Row],[INVERSIONES FCI]])</f>
        <v>65319321393.909195</v>
      </c>
      <c r="CY287" s="5">
        <f>IF($B286&lt;=Tabla5[[#This Row],[INVERSIONES FCI]],+Tabla5[[#This Row],[INVERSIONES FCI]]-CY286,Tabla5[[#This Row],[INVERSIONES FCI]])</f>
        <v>65319321393.909195</v>
      </c>
      <c r="CZ287" s="5">
        <f>IF($B286&lt;=Tabla5[[#This Row],[INVERSIONES FCI]],+Tabla5[[#This Row],[INVERSIONES FCI]]-CZ286,Tabla5[[#This Row],[INVERSIONES FCI]])</f>
        <v>65319321393.909195</v>
      </c>
      <c r="DA287" s="5">
        <f>IF($B286&lt;=Tabla5[[#This Row],[INVERSIONES FCI]],+Tabla5[[#This Row],[INVERSIONES FCI]]-DA286,Tabla5[[#This Row],[INVERSIONES FCI]])</f>
        <v>65319321393.909195</v>
      </c>
      <c r="DB287" s="5">
        <f>IF($B286&lt;=Tabla5[[#This Row],[INVERSIONES FCI]],+Tabla5[[#This Row],[INVERSIONES FCI]]-DB286,Tabla5[[#This Row],[INVERSIONES FCI]])</f>
        <v>65319321393.909195</v>
      </c>
      <c r="DC287" s="5">
        <f>IF($B286&lt;=Tabla5[[#This Row],[INVERSIONES FCI]],+Tabla5[[#This Row],[INVERSIONES FCI]]-DC286,Tabla5[[#This Row],[INVERSIONES FCI]])</f>
        <v>65319321393.909195</v>
      </c>
      <c r="DD287" s="5">
        <f>IF($B286&lt;=Tabla5[[#This Row],[INVERSIONES FCI]],+Tabla5[[#This Row],[INVERSIONES FCI]]-DD286,Tabla5[[#This Row],[INVERSIONES FCI]])</f>
        <v>65319321393.909195</v>
      </c>
      <c r="DE287" s="5">
        <f>IF($B286&lt;=Tabla5[[#This Row],[INVERSIONES FCI]],+Tabla5[[#This Row],[INVERSIONES FCI]]-DE286,Tabla5[[#This Row],[INVERSIONES FCI]])</f>
        <v>65319321393.909195</v>
      </c>
      <c r="DF287" s="5">
        <f>IF($B286&lt;=Tabla5[[#This Row],[INVERSIONES FCI]],+Tabla5[[#This Row],[INVERSIONES FCI]]-DF286,Tabla5[[#This Row],[INVERSIONES FCI]])</f>
        <v>65319321393.909195</v>
      </c>
      <c r="DG287" s="5">
        <f>IF($B286&lt;=Tabla5[[#This Row],[INVERSIONES FCI]],+Tabla5[[#This Row],[INVERSIONES FCI]]-DG286,Tabla5[[#This Row],[INVERSIONES FCI]])</f>
        <v>65319321393.909195</v>
      </c>
      <c r="DH287" s="5">
        <f>IF($B286&lt;=Tabla5[[#This Row],[INVERSIONES FCI]],+Tabla5[[#This Row],[INVERSIONES FCI]]-DH286,Tabla5[[#This Row],[INVERSIONES FCI]])</f>
        <v>65319321393.909195</v>
      </c>
      <c r="DI287" s="5">
        <f>IF($B286&lt;=Tabla5[[#This Row],[INVERSIONES FCI]],+Tabla5[[#This Row],[INVERSIONES FCI]]-DI286,Tabla5[[#This Row],[INVERSIONES FCI]])</f>
        <v>65319321393.909195</v>
      </c>
      <c r="DJ287" s="5">
        <f>IF($B286&lt;=Tabla5[[#This Row],[INVERSIONES FCI]],+Tabla5[[#This Row],[INVERSIONES FCI]]-DJ286,Tabla5[[#This Row],[INVERSIONES FCI]])</f>
        <v>65319321393.909195</v>
      </c>
      <c r="DK287" s="5">
        <f>IF($B286&lt;=Tabla5[[#This Row],[INVERSIONES FCI]],+Tabla5[[#This Row],[INVERSIONES FCI]]-DK286,Tabla5[[#This Row],[INVERSIONES FCI]])</f>
        <v>65319321393.909195</v>
      </c>
      <c r="DL287" s="5"/>
      <c r="DM287" s="5"/>
      <c r="DN287" s="5"/>
      <c r="DO287" s="5"/>
      <c r="DP287" s="5"/>
      <c r="DQ287" s="5"/>
    </row>
    <row r="288" spans="1:121" ht="14.4">
      <c r="A288" s="12" t="s">
        <v>287</v>
      </c>
      <c r="B288" s="5">
        <f>HLOOKUP($A288,ESCENARIO[#All],7,FALSE)</f>
        <v>68445301908.939529</v>
      </c>
      <c r="C288" s="5">
        <f>IF($B287&lt;=Tabla5[[#This Row],[INVERSIONES FCI]],+Tabla5[[#This Row],[INVERSIONES FCI]]-C287,Tabla5[[#This Row],[INVERSIONES FCI]])</f>
        <v>3125980515.0303345</v>
      </c>
      <c r="D288" s="5">
        <f>IF($B287&lt;=Tabla5[[#This Row],[INVERSIONES FCI]],+Tabla5[[#This Row],[INVERSIONES FCI]]-D287,Tabla5[[#This Row],[INVERSIONES FCI]])</f>
        <v>3125980515.0303345</v>
      </c>
      <c r="E288" s="5">
        <f>IF($B287&lt;=Tabla5[[#This Row],[INVERSIONES FCI]],+Tabla5[[#This Row],[INVERSIONES FCI]]-E287,Tabla5[[#This Row],[INVERSIONES FCI]])</f>
        <v>3125980515.0303345</v>
      </c>
      <c r="F288" s="5">
        <f>IF($B287&lt;=Tabla5[[#This Row],[INVERSIONES FCI]],+Tabla5[[#This Row],[INVERSIONES FCI]]-F287,Tabla5[[#This Row],[INVERSIONES FCI]])</f>
        <v>3125980515.0303345</v>
      </c>
      <c r="G288" s="5">
        <f>IF($B287&lt;=Tabla5[[#This Row],[INVERSIONES FCI]],+Tabla5[[#This Row],[INVERSIONES FCI]]-G287,Tabla5[[#This Row],[INVERSIONES FCI]])</f>
        <v>3125980515.0303345</v>
      </c>
      <c r="H288" s="5">
        <f>IF($B287&lt;=Tabla5[[#This Row],[INVERSIONES FCI]],+Tabla5[[#This Row],[INVERSIONES FCI]]-H287,Tabla5[[#This Row],[INVERSIONES FCI]])</f>
        <v>3125980515.0303345</v>
      </c>
      <c r="I288" s="5">
        <f>IF($B287&lt;=Tabla5[[#This Row],[INVERSIONES FCI]],+Tabla5[[#This Row],[INVERSIONES FCI]]-I287,Tabla5[[#This Row],[INVERSIONES FCI]])</f>
        <v>3125980515.0303345</v>
      </c>
      <c r="J288" s="5">
        <f>IF($B287&lt;=Tabla5[[#This Row],[INVERSIONES FCI]],+Tabla5[[#This Row],[INVERSIONES FCI]]-J287,Tabla5[[#This Row],[INVERSIONES FCI]])</f>
        <v>3125980515.0303345</v>
      </c>
      <c r="K288" s="5">
        <f>IF($B287&lt;=Tabla5[[#This Row],[INVERSIONES FCI]],+Tabla5[[#This Row],[INVERSIONES FCI]]-K287,Tabla5[[#This Row],[INVERSIONES FCI]])</f>
        <v>3125980515.0303345</v>
      </c>
      <c r="L288" s="5">
        <f>IF($B287&lt;=Tabla5[[#This Row],[INVERSIONES FCI]],+Tabla5[[#This Row],[INVERSIONES FCI]]-L287,Tabla5[[#This Row],[INVERSIONES FCI]])</f>
        <v>3125980515.0303345</v>
      </c>
      <c r="M288" s="5">
        <f>IF($B287&lt;=Tabla5[[#This Row],[INVERSIONES FCI]],+Tabla5[[#This Row],[INVERSIONES FCI]]-M287,Tabla5[[#This Row],[INVERSIONES FCI]])</f>
        <v>3125980515.0303345</v>
      </c>
      <c r="N288" s="5">
        <f>IF($B287&lt;=Tabla5[[#This Row],[INVERSIONES FCI]],+Tabla5[[#This Row],[INVERSIONES FCI]]-N287,Tabla5[[#This Row],[INVERSIONES FCI]])</f>
        <v>3125980515.0303345</v>
      </c>
      <c r="O288" s="5">
        <f>IF($B287&lt;=Tabla5[[#This Row],[INVERSIONES FCI]],+Tabla5[[#This Row],[INVERSIONES FCI]]-O287,Tabla5[[#This Row],[INVERSIONES FCI]])</f>
        <v>3125980515.0303345</v>
      </c>
      <c r="P288" s="5">
        <f>IF($B287&lt;=Tabla5[[#This Row],[INVERSIONES FCI]],+Tabla5[[#This Row],[INVERSIONES FCI]]-P287,Tabla5[[#This Row],[INVERSIONES FCI]])</f>
        <v>3125980515.0303345</v>
      </c>
      <c r="Q288" s="5">
        <f>IF($B287&lt;=Tabla5[[#This Row],[INVERSIONES FCI]],+Tabla5[[#This Row],[INVERSIONES FCI]]-Q287,Tabla5[[#This Row],[INVERSIONES FCI]])</f>
        <v>3125980515.0303345</v>
      </c>
      <c r="R288" s="5">
        <f>IF($B287&lt;=Tabla5[[#This Row],[INVERSIONES FCI]],+Tabla5[[#This Row],[INVERSIONES FCI]]-R287,Tabla5[[#This Row],[INVERSIONES FCI]])</f>
        <v>3125980515.0303345</v>
      </c>
      <c r="S288" s="5">
        <f>IF($B287&lt;=Tabla5[[#This Row],[INVERSIONES FCI]],+Tabla5[[#This Row],[INVERSIONES FCI]]-S287,Tabla5[[#This Row],[INVERSIONES FCI]])</f>
        <v>3125980515.0303345</v>
      </c>
      <c r="T288" s="5">
        <f>IF($B287&lt;=Tabla5[[#This Row],[INVERSIONES FCI]],+Tabla5[[#This Row],[INVERSIONES FCI]]-T287,Tabla5[[#This Row],[INVERSIONES FCI]])</f>
        <v>3125980515.0303345</v>
      </c>
      <c r="U288" s="5">
        <f>IF($B287&lt;=Tabla5[[#This Row],[INVERSIONES FCI]],+Tabla5[[#This Row],[INVERSIONES FCI]]-U287,Tabla5[[#This Row],[INVERSIONES FCI]])</f>
        <v>3125980515.0303345</v>
      </c>
      <c r="V288" s="5">
        <f>IF($B287&lt;=Tabla5[[#This Row],[INVERSIONES FCI]],+Tabla5[[#This Row],[INVERSIONES FCI]]-V287,Tabla5[[#This Row],[INVERSIONES FCI]])</f>
        <v>3125980515.0303345</v>
      </c>
      <c r="W288" s="5">
        <f>IF($B287&lt;=Tabla5[[#This Row],[INVERSIONES FCI]],+Tabla5[[#This Row],[INVERSIONES FCI]]-W287,Tabla5[[#This Row],[INVERSIONES FCI]])</f>
        <v>3125980515.0303345</v>
      </c>
      <c r="X288" s="5">
        <f>IF($B287&lt;=Tabla5[[#This Row],[INVERSIONES FCI]],+Tabla5[[#This Row],[INVERSIONES FCI]]-X287,Tabla5[[#This Row],[INVERSIONES FCI]])</f>
        <v>3125980515.0303345</v>
      </c>
      <c r="Y288" s="5">
        <f>IF($B287&lt;=Tabla5[[#This Row],[INVERSIONES FCI]],+Tabla5[[#This Row],[INVERSIONES FCI]]-Y287,Tabla5[[#This Row],[INVERSIONES FCI]])</f>
        <v>3125980515.0303345</v>
      </c>
      <c r="Z288" s="5">
        <f>IF($B287&lt;=Tabla5[[#This Row],[INVERSIONES FCI]],+Tabla5[[#This Row],[INVERSIONES FCI]]-Z287,Tabla5[[#This Row],[INVERSIONES FCI]])</f>
        <v>3125980515.0303345</v>
      </c>
      <c r="AA288" s="5">
        <f>IF($B287&lt;=Tabla5[[#This Row],[INVERSIONES FCI]],+Tabla5[[#This Row],[INVERSIONES FCI]]-AA287,Tabla5[[#This Row],[INVERSIONES FCI]])</f>
        <v>3125980515.0303345</v>
      </c>
      <c r="AB288" s="5">
        <f>IF($B287&lt;=Tabla5[[#This Row],[INVERSIONES FCI]],+Tabla5[[#This Row],[INVERSIONES FCI]]-AB287,Tabla5[[#This Row],[INVERSIONES FCI]])</f>
        <v>3125980515.0303345</v>
      </c>
      <c r="AC288" s="5">
        <f>IF($B287&lt;=Tabla5[[#This Row],[INVERSIONES FCI]],+Tabla5[[#This Row],[INVERSIONES FCI]]-AC287,Tabla5[[#This Row],[INVERSIONES FCI]])</f>
        <v>3125980515.0303345</v>
      </c>
      <c r="AD288" s="5">
        <f>IF($B287&lt;=Tabla5[[#This Row],[INVERSIONES FCI]],+Tabla5[[#This Row],[INVERSIONES FCI]]-AD287,Tabla5[[#This Row],[INVERSIONES FCI]])</f>
        <v>3125980515.0303345</v>
      </c>
      <c r="AE288" s="5">
        <f>IF($B287&lt;=Tabla5[[#This Row],[INVERSIONES FCI]],+Tabla5[[#This Row],[INVERSIONES FCI]]-AE287,Tabla5[[#This Row],[INVERSIONES FCI]])</f>
        <v>3125980515.0303345</v>
      </c>
      <c r="AF288" s="5">
        <f>IF($B287&lt;=Tabla5[[#This Row],[INVERSIONES FCI]],+Tabla5[[#This Row],[INVERSIONES FCI]]-AF287,Tabla5[[#This Row],[INVERSIONES FCI]])</f>
        <v>3125980515.0303345</v>
      </c>
      <c r="AG288" s="5">
        <f>IF($B287&lt;=Tabla5[[#This Row],[INVERSIONES FCI]],+Tabla5[[#This Row],[INVERSIONES FCI]]-AG287,Tabla5[[#This Row],[INVERSIONES FCI]])</f>
        <v>3125980515.0303345</v>
      </c>
      <c r="AH288" s="5">
        <f>IF($B287&lt;=Tabla5[[#This Row],[INVERSIONES FCI]],+Tabla5[[#This Row],[INVERSIONES FCI]]-AH287,Tabla5[[#This Row],[INVERSIONES FCI]])</f>
        <v>3125980515.0303345</v>
      </c>
      <c r="AI288" s="5">
        <f>IF($B287&lt;=Tabla5[[#This Row],[INVERSIONES FCI]],+Tabla5[[#This Row],[INVERSIONES FCI]]-AI287,Tabla5[[#This Row],[INVERSIONES FCI]])</f>
        <v>3125980515.0303345</v>
      </c>
      <c r="AJ288" s="5">
        <f>IF($B287&lt;=Tabla5[[#This Row],[INVERSIONES FCI]],+Tabla5[[#This Row],[INVERSIONES FCI]]-AJ287,Tabla5[[#This Row],[INVERSIONES FCI]])</f>
        <v>3125980515.0303345</v>
      </c>
      <c r="AK288" s="5">
        <f>IF($B287&lt;=Tabla5[[#This Row],[INVERSIONES FCI]],+Tabla5[[#This Row],[INVERSIONES FCI]]-AK287,Tabla5[[#This Row],[INVERSIONES FCI]])</f>
        <v>3125980515.0303345</v>
      </c>
      <c r="AL288" s="5">
        <f>IF($B287&lt;=Tabla5[[#This Row],[INVERSIONES FCI]],+Tabla5[[#This Row],[INVERSIONES FCI]]-AL287,Tabla5[[#This Row],[INVERSIONES FCI]])</f>
        <v>3125980515.0303345</v>
      </c>
      <c r="AM288" s="5">
        <f>IF($B287&lt;=Tabla5[[#This Row],[INVERSIONES FCI]],+Tabla5[[#This Row],[INVERSIONES FCI]]-AM287,Tabla5[[#This Row],[INVERSIONES FCI]])</f>
        <v>3125980515.0303345</v>
      </c>
      <c r="AN288" s="5">
        <f>IF($B287&lt;=Tabla5[[#This Row],[INVERSIONES FCI]],+Tabla5[[#This Row],[INVERSIONES FCI]]-AN287,Tabla5[[#This Row],[INVERSIONES FCI]])</f>
        <v>3125980515.0303345</v>
      </c>
      <c r="AO288" s="5">
        <f>IF($B287&lt;=Tabla5[[#This Row],[INVERSIONES FCI]],+Tabla5[[#This Row],[INVERSIONES FCI]]-AO287,Tabla5[[#This Row],[INVERSIONES FCI]])</f>
        <v>3125980515.0303345</v>
      </c>
      <c r="AP288" s="5">
        <f>IF($B287&lt;=Tabla5[[#This Row],[INVERSIONES FCI]],+Tabla5[[#This Row],[INVERSIONES FCI]]-AP287,Tabla5[[#This Row],[INVERSIONES FCI]])</f>
        <v>3125980515.0303345</v>
      </c>
      <c r="AQ288" s="5">
        <f>IF($B287&lt;=Tabla5[[#This Row],[INVERSIONES FCI]],+Tabla5[[#This Row],[INVERSIONES FCI]]-AQ287,Tabla5[[#This Row],[INVERSIONES FCI]])</f>
        <v>3125980515.0303345</v>
      </c>
      <c r="AR288" s="5">
        <f>IF($B287&lt;=Tabla5[[#This Row],[INVERSIONES FCI]],+Tabla5[[#This Row],[INVERSIONES FCI]]-AR287,Tabla5[[#This Row],[INVERSIONES FCI]])</f>
        <v>3125980515.0303345</v>
      </c>
      <c r="AS288" s="5">
        <f>IF($B287&lt;=Tabla5[[#This Row],[INVERSIONES FCI]],+Tabla5[[#This Row],[INVERSIONES FCI]]-AS287,Tabla5[[#This Row],[INVERSIONES FCI]])</f>
        <v>3125980515.0303345</v>
      </c>
      <c r="AT288" s="5">
        <f>IF($B287&lt;=Tabla5[[#This Row],[INVERSIONES FCI]],+Tabla5[[#This Row],[INVERSIONES FCI]]-AT287,Tabla5[[#This Row],[INVERSIONES FCI]])</f>
        <v>3125980515.0303345</v>
      </c>
      <c r="AU288" s="5">
        <f>IF($B287&lt;=Tabla5[[#This Row],[INVERSIONES FCI]],+Tabla5[[#This Row],[INVERSIONES FCI]]-AU287,Tabla5[[#This Row],[INVERSIONES FCI]])</f>
        <v>3125980515.0303345</v>
      </c>
      <c r="AV288" s="5">
        <f>IF($B287&lt;=Tabla5[[#This Row],[INVERSIONES FCI]],+Tabla5[[#This Row],[INVERSIONES FCI]]-AV287,Tabla5[[#This Row],[INVERSIONES FCI]])</f>
        <v>3125980515.0303345</v>
      </c>
      <c r="AW288" s="5">
        <f>IF($B287&lt;=Tabla5[[#This Row],[INVERSIONES FCI]],+Tabla5[[#This Row],[INVERSIONES FCI]]-AW287,Tabla5[[#This Row],[INVERSIONES FCI]])</f>
        <v>3125980515.0303345</v>
      </c>
      <c r="AX288" s="5">
        <f>IF($B287&lt;=Tabla5[[#This Row],[INVERSIONES FCI]],+Tabla5[[#This Row],[INVERSIONES FCI]]-AX287,Tabla5[[#This Row],[INVERSIONES FCI]])</f>
        <v>3125980515.0303345</v>
      </c>
      <c r="AY288" s="5">
        <f>IF($B287&lt;=Tabla5[[#This Row],[INVERSIONES FCI]],+Tabla5[[#This Row],[INVERSIONES FCI]]-AY287,Tabla5[[#This Row],[INVERSIONES FCI]])</f>
        <v>3125980515.0303345</v>
      </c>
      <c r="AZ288" s="5">
        <f>IF($B287&lt;=Tabla5[[#This Row],[INVERSIONES FCI]],+Tabla5[[#This Row],[INVERSIONES FCI]]-AZ287,Tabla5[[#This Row],[INVERSIONES FCI]])</f>
        <v>3125980515.0303345</v>
      </c>
      <c r="BA288" s="5">
        <f>IF($B287&lt;=Tabla5[[#This Row],[INVERSIONES FCI]],+Tabla5[[#This Row],[INVERSIONES FCI]]-BA287,Tabla5[[#This Row],[INVERSIONES FCI]])</f>
        <v>3125980515.0303345</v>
      </c>
      <c r="BB288" s="5">
        <f>IF($B287&lt;=Tabla5[[#This Row],[INVERSIONES FCI]],+Tabla5[[#This Row],[INVERSIONES FCI]]-BB287,Tabla5[[#This Row],[INVERSIONES FCI]])</f>
        <v>3125980515.0303345</v>
      </c>
      <c r="BC288" s="5">
        <f>IF($B287&lt;=Tabla5[[#This Row],[INVERSIONES FCI]],+Tabla5[[#This Row],[INVERSIONES FCI]]-BC287,Tabla5[[#This Row],[INVERSIONES FCI]])</f>
        <v>3125980515.0303345</v>
      </c>
      <c r="BD288" s="5">
        <f>IF($B287&lt;=Tabla5[[#This Row],[INVERSIONES FCI]],+Tabla5[[#This Row],[INVERSIONES FCI]]-BD287,Tabla5[[#This Row],[INVERSIONES FCI]])</f>
        <v>3125980515.0303345</v>
      </c>
      <c r="BE288" s="5">
        <f>IF($B287&lt;=Tabla5[[#This Row],[INVERSIONES FCI]],+Tabla5[[#This Row],[INVERSIONES FCI]]-BE287,Tabla5[[#This Row],[INVERSIONES FCI]])</f>
        <v>3125980515.0303345</v>
      </c>
      <c r="BF288" s="5">
        <f>IF($B287&lt;=Tabla5[[#This Row],[INVERSIONES FCI]],+Tabla5[[#This Row],[INVERSIONES FCI]]-BF287,Tabla5[[#This Row],[INVERSIONES FCI]])</f>
        <v>3125980515.0303345</v>
      </c>
      <c r="BG288" s="5">
        <f>IF($B287&lt;=Tabla5[[#This Row],[INVERSIONES FCI]],+Tabla5[[#This Row],[INVERSIONES FCI]]-BG287,Tabla5[[#This Row],[INVERSIONES FCI]])</f>
        <v>3125980515.0303345</v>
      </c>
      <c r="BH288" s="5">
        <f>IF($B287&lt;=Tabla5[[#This Row],[INVERSIONES FCI]],+Tabla5[[#This Row],[INVERSIONES FCI]]-BH287,Tabla5[[#This Row],[INVERSIONES FCI]])</f>
        <v>3125980515.0303345</v>
      </c>
      <c r="BI288" s="5">
        <f>IF($B287&lt;=Tabla5[[#This Row],[INVERSIONES FCI]],+Tabla5[[#This Row],[INVERSIONES FCI]]-BI287,Tabla5[[#This Row],[INVERSIONES FCI]])</f>
        <v>3125980515.0303345</v>
      </c>
      <c r="BJ288" s="5">
        <f>IF($B287&lt;=Tabla5[[#This Row],[INVERSIONES FCI]],+Tabla5[[#This Row],[INVERSIONES FCI]]-BJ287,Tabla5[[#This Row],[INVERSIONES FCI]])</f>
        <v>3125980515.0303345</v>
      </c>
      <c r="BK288" s="5">
        <f>IF($B287&lt;=Tabla5[[#This Row],[INVERSIONES FCI]],+Tabla5[[#This Row],[INVERSIONES FCI]]-BK287,Tabla5[[#This Row],[INVERSIONES FCI]])</f>
        <v>3125980515.0303345</v>
      </c>
      <c r="BL288" s="5">
        <f>IF($B287&lt;=Tabla5[[#This Row],[INVERSIONES FCI]],+Tabla5[[#This Row],[INVERSIONES FCI]]-BL287,Tabla5[[#This Row],[INVERSIONES FCI]])</f>
        <v>3125980515.0303345</v>
      </c>
      <c r="BM288" s="5">
        <f>IF($B287&lt;=Tabla5[[#This Row],[INVERSIONES FCI]],+Tabla5[[#This Row],[INVERSIONES FCI]]-BM287,Tabla5[[#This Row],[INVERSIONES FCI]])</f>
        <v>3125980515.0303345</v>
      </c>
      <c r="BN288" s="5">
        <f>IF($B287&lt;=Tabla5[[#This Row],[INVERSIONES FCI]],+Tabla5[[#This Row],[INVERSIONES FCI]]-BN287,Tabla5[[#This Row],[INVERSIONES FCI]])</f>
        <v>3125980515.0303345</v>
      </c>
      <c r="BO288" s="5">
        <f>IF($B287&lt;=Tabla5[[#This Row],[INVERSIONES FCI]],+Tabla5[[#This Row],[INVERSIONES FCI]]-BO287,Tabla5[[#This Row],[INVERSIONES FCI]])</f>
        <v>3125980515.0303345</v>
      </c>
      <c r="BP288" s="5">
        <f>IF($B287&lt;=Tabla5[[#This Row],[INVERSIONES FCI]],+Tabla5[[#This Row],[INVERSIONES FCI]]-BP287,Tabla5[[#This Row],[INVERSIONES FCI]])</f>
        <v>3125980515.0303345</v>
      </c>
      <c r="BQ288" s="5">
        <f>IF($B287&lt;=Tabla5[[#This Row],[INVERSIONES FCI]],+Tabla5[[#This Row],[INVERSIONES FCI]]-BQ287,Tabla5[[#This Row],[INVERSIONES FCI]])</f>
        <v>3125980515.0303345</v>
      </c>
      <c r="BR288" s="5">
        <f>IF($B287&lt;=Tabla5[[#This Row],[INVERSIONES FCI]],+Tabla5[[#This Row],[INVERSIONES FCI]]-BR287,Tabla5[[#This Row],[INVERSIONES FCI]])</f>
        <v>3125980515.0303345</v>
      </c>
      <c r="BS288" s="5">
        <f>IF($B287&lt;=Tabla5[[#This Row],[INVERSIONES FCI]],+Tabla5[[#This Row],[INVERSIONES FCI]]-BS287,Tabla5[[#This Row],[INVERSIONES FCI]])</f>
        <v>3125980515.0303345</v>
      </c>
      <c r="BT288" s="5">
        <f>IF($B287&lt;=Tabla5[[#This Row],[INVERSIONES FCI]],+Tabla5[[#This Row],[INVERSIONES FCI]]-BT287,Tabla5[[#This Row],[INVERSIONES FCI]])</f>
        <v>3125980515.0303345</v>
      </c>
      <c r="BU288" s="5">
        <f>IF($B287&lt;=Tabla5[[#This Row],[INVERSIONES FCI]],+Tabla5[[#This Row],[INVERSIONES FCI]]-BU287,Tabla5[[#This Row],[INVERSIONES FCI]])</f>
        <v>3125980515.0303345</v>
      </c>
      <c r="BV288" s="5">
        <f>IF($B287&lt;=Tabla5[[#This Row],[INVERSIONES FCI]],+Tabla5[[#This Row],[INVERSIONES FCI]]-BV287,Tabla5[[#This Row],[INVERSIONES FCI]])</f>
        <v>3125980515.0303345</v>
      </c>
      <c r="BW288" s="5">
        <f>IF($B287&lt;=Tabla5[[#This Row],[INVERSIONES FCI]],+Tabla5[[#This Row],[INVERSIONES FCI]]-BW287,Tabla5[[#This Row],[INVERSIONES FCI]])</f>
        <v>3125980515.0303345</v>
      </c>
      <c r="BX288" s="5">
        <f>IF($B287&lt;=Tabla5[[#This Row],[INVERSIONES FCI]],+Tabla5[[#This Row],[INVERSIONES FCI]]-BX287,Tabla5[[#This Row],[INVERSIONES FCI]])</f>
        <v>3125980515.0303345</v>
      </c>
      <c r="BY288" s="5">
        <f>IF($B287&lt;=Tabla5[[#This Row],[INVERSIONES FCI]],+Tabla5[[#This Row],[INVERSIONES FCI]]-BY287,Tabla5[[#This Row],[INVERSIONES FCI]])</f>
        <v>3125980515.0303345</v>
      </c>
      <c r="BZ288" s="5">
        <f>IF($B287&lt;=Tabla5[[#This Row],[INVERSIONES FCI]],+Tabla5[[#This Row],[INVERSIONES FCI]]-BZ287,Tabla5[[#This Row],[INVERSIONES FCI]])</f>
        <v>3125980515.0303345</v>
      </c>
      <c r="CA288" s="5">
        <f>IF($B287&lt;=Tabla5[[#This Row],[INVERSIONES FCI]],+Tabla5[[#This Row],[INVERSIONES FCI]]-CA287,Tabla5[[#This Row],[INVERSIONES FCI]])</f>
        <v>3125980515.0303345</v>
      </c>
      <c r="CB288" s="5">
        <f>IF($B287&lt;=Tabla5[[#This Row],[INVERSIONES FCI]],+Tabla5[[#This Row],[INVERSIONES FCI]]-CB287,Tabla5[[#This Row],[INVERSIONES FCI]])</f>
        <v>3125980515.0303345</v>
      </c>
      <c r="CC288" s="5">
        <f>IF($B287&lt;=Tabla5[[#This Row],[INVERSIONES FCI]],+Tabla5[[#This Row],[INVERSIONES FCI]]-CC287,Tabla5[[#This Row],[INVERSIONES FCI]])</f>
        <v>3125980515.0303345</v>
      </c>
      <c r="CD288" s="5">
        <f>IF($B287&lt;=Tabla5[[#This Row],[INVERSIONES FCI]],+Tabla5[[#This Row],[INVERSIONES FCI]]-CD287,Tabla5[[#This Row],[INVERSIONES FCI]])</f>
        <v>3125980515.0303345</v>
      </c>
      <c r="CE288" s="5">
        <f>IF($B287&lt;=Tabla5[[#This Row],[INVERSIONES FCI]],+Tabla5[[#This Row],[INVERSIONES FCI]]-CE287,Tabla5[[#This Row],[INVERSIONES FCI]])</f>
        <v>3125980515.0303345</v>
      </c>
      <c r="CF288" s="5">
        <f>IF($B287&lt;=Tabla5[[#This Row],[INVERSIONES FCI]],+Tabla5[[#This Row],[INVERSIONES FCI]]-CF287,Tabla5[[#This Row],[INVERSIONES FCI]])</f>
        <v>3125980515.0303345</v>
      </c>
      <c r="CG288" s="5">
        <f>IF($B287&lt;=Tabla5[[#This Row],[INVERSIONES FCI]],+Tabla5[[#This Row],[INVERSIONES FCI]]-CG287,Tabla5[[#This Row],[INVERSIONES FCI]])</f>
        <v>3125980515.0303345</v>
      </c>
      <c r="CH288" s="5">
        <f>IF($B287&lt;=Tabla5[[#This Row],[INVERSIONES FCI]],+Tabla5[[#This Row],[INVERSIONES FCI]]-CH287,Tabla5[[#This Row],[INVERSIONES FCI]])</f>
        <v>3125980515.0303345</v>
      </c>
      <c r="CI288" s="5">
        <f>IF($B287&lt;=Tabla5[[#This Row],[INVERSIONES FCI]],+Tabla5[[#This Row],[INVERSIONES FCI]]-CI287,Tabla5[[#This Row],[INVERSIONES FCI]])</f>
        <v>3125980515.0303345</v>
      </c>
      <c r="CJ288" s="5">
        <f>IF($B287&lt;=Tabla5[[#This Row],[INVERSIONES FCI]],+Tabla5[[#This Row],[INVERSIONES FCI]]-CJ287,Tabla5[[#This Row],[INVERSIONES FCI]])</f>
        <v>3125980515.0303345</v>
      </c>
      <c r="CK288" s="5">
        <f>IF($B287&lt;=Tabla5[[#This Row],[INVERSIONES FCI]],+Tabla5[[#This Row],[INVERSIONES FCI]]-CK287,Tabla5[[#This Row],[INVERSIONES FCI]])</f>
        <v>3125980515.0303345</v>
      </c>
      <c r="CL288" s="5">
        <f>IF($B287&lt;=Tabla5[[#This Row],[INVERSIONES FCI]],+Tabla5[[#This Row],[INVERSIONES FCI]]-CL287,Tabla5[[#This Row],[INVERSIONES FCI]])</f>
        <v>3125980515.0303345</v>
      </c>
      <c r="CM288" s="5">
        <f>IF($B287&lt;=Tabla5[[#This Row],[INVERSIONES FCI]],+Tabla5[[#This Row],[INVERSIONES FCI]]-CM287,Tabla5[[#This Row],[INVERSIONES FCI]])</f>
        <v>3125980515.0303345</v>
      </c>
      <c r="CN288" s="5">
        <f>IF($B287&lt;=Tabla5[[#This Row],[INVERSIONES FCI]],+Tabla5[[#This Row],[INVERSIONES FCI]]-CN287,Tabla5[[#This Row],[INVERSIONES FCI]])</f>
        <v>3125980515.0303345</v>
      </c>
      <c r="CO288" s="5">
        <f>IF($B287&lt;=Tabla5[[#This Row],[INVERSIONES FCI]],+Tabla5[[#This Row],[INVERSIONES FCI]]-CO287,Tabla5[[#This Row],[INVERSIONES FCI]])</f>
        <v>3125980515.0303345</v>
      </c>
      <c r="CP288" s="5">
        <f>IF($B287&lt;=Tabla5[[#This Row],[INVERSIONES FCI]],+Tabla5[[#This Row],[INVERSIONES FCI]]-CP287,Tabla5[[#This Row],[INVERSIONES FCI]])</f>
        <v>3125980515.0303345</v>
      </c>
      <c r="CQ288" s="5">
        <f>IF($B287&lt;=Tabla5[[#This Row],[INVERSIONES FCI]],+Tabla5[[#This Row],[INVERSIONES FCI]]-CQ287,Tabla5[[#This Row],[INVERSIONES FCI]])</f>
        <v>3125980515.0303345</v>
      </c>
      <c r="CR288" s="5">
        <f>IF($B287&lt;=Tabla5[[#This Row],[INVERSIONES FCI]],+Tabla5[[#This Row],[INVERSIONES FCI]]-CR287,Tabla5[[#This Row],[INVERSIONES FCI]])</f>
        <v>3125980515.0303345</v>
      </c>
      <c r="CS288" s="5">
        <f>IF($B287&lt;=Tabla5[[#This Row],[INVERSIONES FCI]],+Tabla5[[#This Row],[INVERSIONES FCI]]-CS287,Tabla5[[#This Row],[INVERSIONES FCI]])</f>
        <v>3125980515.0303345</v>
      </c>
      <c r="CT288" s="5">
        <f>IF($B287&lt;=Tabla5[[#This Row],[INVERSIONES FCI]],+Tabla5[[#This Row],[INVERSIONES FCI]]-CT287,Tabla5[[#This Row],[INVERSIONES FCI]])</f>
        <v>3125980515.0303345</v>
      </c>
      <c r="CU288" s="5">
        <f>IF($B287&lt;=Tabla5[[#This Row],[INVERSIONES FCI]],+Tabla5[[#This Row],[INVERSIONES FCI]]-CU287,Tabla5[[#This Row],[INVERSIONES FCI]])</f>
        <v>3125980515.0303345</v>
      </c>
      <c r="CV288" s="5">
        <f>IF($B287&lt;=Tabla5[[#This Row],[INVERSIONES FCI]],+Tabla5[[#This Row],[INVERSIONES FCI]]-CV287,Tabla5[[#This Row],[INVERSIONES FCI]])</f>
        <v>3125980515.0303345</v>
      </c>
      <c r="CW288" s="5">
        <f>IF($B287&lt;=Tabla5[[#This Row],[INVERSIONES FCI]],+Tabla5[[#This Row],[INVERSIONES FCI]]-CW287,Tabla5[[#This Row],[INVERSIONES FCI]])</f>
        <v>3125980515.0303345</v>
      </c>
      <c r="CX288" s="5">
        <f>IF($B287&lt;=Tabla5[[#This Row],[INVERSIONES FCI]],+Tabla5[[#This Row],[INVERSIONES FCI]]-CX287,Tabla5[[#This Row],[INVERSIONES FCI]])</f>
        <v>3125980515.0303345</v>
      </c>
      <c r="CY288" s="5">
        <f>IF($B287&lt;=Tabla5[[#This Row],[INVERSIONES FCI]],+Tabla5[[#This Row],[INVERSIONES FCI]]-CY287,Tabla5[[#This Row],[INVERSIONES FCI]])</f>
        <v>3125980515.0303345</v>
      </c>
      <c r="CZ288" s="5">
        <f>IF($B287&lt;=Tabla5[[#This Row],[INVERSIONES FCI]],+Tabla5[[#This Row],[INVERSIONES FCI]]-CZ287,Tabla5[[#This Row],[INVERSIONES FCI]])</f>
        <v>3125980515.0303345</v>
      </c>
      <c r="DA288" s="5">
        <f>IF($B287&lt;=Tabla5[[#This Row],[INVERSIONES FCI]],+Tabla5[[#This Row],[INVERSIONES FCI]]-DA287,Tabla5[[#This Row],[INVERSIONES FCI]])</f>
        <v>3125980515.0303345</v>
      </c>
      <c r="DB288" s="5">
        <f>IF($B287&lt;=Tabla5[[#This Row],[INVERSIONES FCI]],+Tabla5[[#This Row],[INVERSIONES FCI]]-DB287,Tabla5[[#This Row],[INVERSIONES FCI]])</f>
        <v>3125980515.0303345</v>
      </c>
      <c r="DC288" s="5">
        <f>IF($B287&lt;=Tabla5[[#This Row],[INVERSIONES FCI]],+Tabla5[[#This Row],[INVERSIONES FCI]]-DC287,Tabla5[[#This Row],[INVERSIONES FCI]])</f>
        <v>3125980515.0303345</v>
      </c>
      <c r="DD288" s="5">
        <f>IF($B287&lt;=Tabla5[[#This Row],[INVERSIONES FCI]],+Tabla5[[#This Row],[INVERSIONES FCI]]-DD287,Tabla5[[#This Row],[INVERSIONES FCI]])</f>
        <v>3125980515.0303345</v>
      </c>
      <c r="DE288" s="5">
        <f>IF($B287&lt;=Tabla5[[#This Row],[INVERSIONES FCI]],+Tabla5[[#This Row],[INVERSIONES FCI]]-DE287,Tabla5[[#This Row],[INVERSIONES FCI]])</f>
        <v>3125980515.0303345</v>
      </c>
      <c r="DF288" s="5">
        <f>IF($B287&lt;=Tabla5[[#This Row],[INVERSIONES FCI]],+Tabla5[[#This Row],[INVERSIONES FCI]]-DF287,Tabla5[[#This Row],[INVERSIONES FCI]])</f>
        <v>3125980515.0303345</v>
      </c>
      <c r="DG288" s="5">
        <f>IF($B287&lt;=Tabla5[[#This Row],[INVERSIONES FCI]],+Tabla5[[#This Row],[INVERSIONES FCI]]-DG287,Tabla5[[#This Row],[INVERSIONES FCI]])</f>
        <v>3125980515.0303345</v>
      </c>
      <c r="DH288" s="5">
        <f>IF($B287&lt;=Tabla5[[#This Row],[INVERSIONES FCI]],+Tabla5[[#This Row],[INVERSIONES FCI]]-DH287,Tabla5[[#This Row],[INVERSIONES FCI]])</f>
        <v>3125980515.0303345</v>
      </c>
      <c r="DI288" s="5">
        <f>IF($B287&lt;=Tabla5[[#This Row],[INVERSIONES FCI]],+Tabla5[[#This Row],[INVERSIONES FCI]]-DI287,Tabla5[[#This Row],[INVERSIONES FCI]])</f>
        <v>3125980515.0303345</v>
      </c>
      <c r="DJ288" s="5">
        <f>IF($B287&lt;=Tabla5[[#This Row],[INVERSIONES FCI]],+Tabla5[[#This Row],[INVERSIONES FCI]]-DJ287,Tabla5[[#This Row],[INVERSIONES FCI]])</f>
        <v>3125980515.0303345</v>
      </c>
      <c r="DK288" s="5">
        <f>IF($B287&lt;=Tabla5[[#This Row],[INVERSIONES FCI]],+Tabla5[[#This Row],[INVERSIONES FCI]]-DK287,Tabla5[[#This Row],[INVERSIONES FCI]])</f>
        <v>3125980515.0303345</v>
      </c>
      <c r="DL288" s="5"/>
      <c r="DM288" s="5"/>
      <c r="DN288" s="5"/>
      <c r="DO288" s="5"/>
      <c r="DP288" s="5"/>
      <c r="DQ288" s="5"/>
    </row>
    <row r="289" spans="1:121" ht="14.4">
      <c r="A289" s="12" t="s">
        <v>288</v>
      </c>
      <c r="B289" s="5">
        <f>HLOOKUP($A289,ESCENARIO[#All],7,FALSE)</f>
        <v>68195301908.939529</v>
      </c>
      <c r="C289" s="5">
        <f>IF($B288&lt;=Tabla5[[#This Row],[INVERSIONES FCI]],+Tabla5[[#This Row],[INVERSIONES FCI]]-C288,Tabla5[[#This Row],[INVERSIONES FCI]])</f>
        <v>68195301908.939529</v>
      </c>
      <c r="D289" s="5">
        <f>IF($B288&lt;=Tabla5[[#This Row],[INVERSIONES FCI]],+Tabla5[[#This Row],[INVERSIONES FCI]]-D288,Tabla5[[#This Row],[INVERSIONES FCI]])</f>
        <v>68195301908.939529</v>
      </c>
      <c r="E289" s="5">
        <f>IF($B288&lt;=Tabla5[[#This Row],[INVERSIONES FCI]],+Tabla5[[#This Row],[INVERSIONES FCI]]-E288,Tabla5[[#This Row],[INVERSIONES FCI]])</f>
        <v>68195301908.939529</v>
      </c>
      <c r="F289" s="5">
        <f>IF($B288&lt;=Tabla5[[#This Row],[INVERSIONES FCI]],+Tabla5[[#This Row],[INVERSIONES FCI]]-F288,Tabla5[[#This Row],[INVERSIONES FCI]])</f>
        <v>68195301908.939529</v>
      </c>
      <c r="G289" s="5">
        <f>IF($B288&lt;=Tabla5[[#This Row],[INVERSIONES FCI]],+Tabla5[[#This Row],[INVERSIONES FCI]]-G288,Tabla5[[#This Row],[INVERSIONES FCI]])</f>
        <v>68195301908.939529</v>
      </c>
      <c r="H289" s="5">
        <f>IF($B288&lt;=Tabla5[[#This Row],[INVERSIONES FCI]],+Tabla5[[#This Row],[INVERSIONES FCI]]-H288,Tabla5[[#This Row],[INVERSIONES FCI]])</f>
        <v>68195301908.939529</v>
      </c>
      <c r="I289" s="5">
        <f>IF($B288&lt;=Tabla5[[#This Row],[INVERSIONES FCI]],+Tabla5[[#This Row],[INVERSIONES FCI]]-I288,Tabla5[[#This Row],[INVERSIONES FCI]])</f>
        <v>68195301908.939529</v>
      </c>
      <c r="J289" s="5">
        <f>IF($B288&lt;=Tabla5[[#This Row],[INVERSIONES FCI]],+Tabla5[[#This Row],[INVERSIONES FCI]]-J288,Tabla5[[#This Row],[INVERSIONES FCI]])</f>
        <v>68195301908.939529</v>
      </c>
      <c r="K289" s="5">
        <f>IF($B288&lt;=Tabla5[[#This Row],[INVERSIONES FCI]],+Tabla5[[#This Row],[INVERSIONES FCI]]-K288,Tabla5[[#This Row],[INVERSIONES FCI]])</f>
        <v>68195301908.939529</v>
      </c>
      <c r="L289" s="5">
        <f>IF($B288&lt;=Tabla5[[#This Row],[INVERSIONES FCI]],+Tabla5[[#This Row],[INVERSIONES FCI]]-L288,Tabla5[[#This Row],[INVERSIONES FCI]])</f>
        <v>68195301908.939529</v>
      </c>
      <c r="M289" s="5">
        <f>IF($B288&lt;=Tabla5[[#This Row],[INVERSIONES FCI]],+Tabla5[[#This Row],[INVERSIONES FCI]]-M288,Tabla5[[#This Row],[INVERSIONES FCI]])</f>
        <v>68195301908.939529</v>
      </c>
      <c r="N289" s="5">
        <f>IF($B288&lt;=Tabla5[[#This Row],[INVERSIONES FCI]],+Tabla5[[#This Row],[INVERSIONES FCI]]-N288,Tabla5[[#This Row],[INVERSIONES FCI]])</f>
        <v>68195301908.939529</v>
      </c>
      <c r="O289" s="5">
        <f>IF($B288&lt;=Tabla5[[#This Row],[INVERSIONES FCI]],+Tabla5[[#This Row],[INVERSIONES FCI]]-O288,Tabla5[[#This Row],[INVERSIONES FCI]])</f>
        <v>68195301908.939529</v>
      </c>
      <c r="P289" s="5">
        <f>IF($B288&lt;=Tabla5[[#This Row],[INVERSIONES FCI]],+Tabla5[[#This Row],[INVERSIONES FCI]]-P288,Tabla5[[#This Row],[INVERSIONES FCI]])</f>
        <v>68195301908.939529</v>
      </c>
      <c r="Q289" s="5">
        <f>IF($B288&lt;=Tabla5[[#This Row],[INVERSIONES FCI]],+Tabla5[[#This Row],[INVERSIONES FCI]]-Q288,Tabla5[[#This Row],[INVERSIONES FCI]])</f>
        <v>68195301908.939529</v>
      </c>
      <c r="R289" s="5">
        <f>IF($B288&lt;=Tabla5[[#This Row],[INVERSIONES FCI]],+Tabla5[[#This Row],[INVERSIONES FCI]]-R288,Tabla5[[#This Row],[INVERSIONES FCI]])</f>
        <v>68195301908.939529</v>
      </c>
      <c r="S289" s="5">
        <f>IF($B288&lt;=Tabla5[[#This Row],[INVERSIONES FCI]],+Tabla5[[#This Row],[INVERSIONES FCI]]-S288,Tabla5[[#This Row],[INVERSIONES FCI]])</f>
        <v>68195301908.939529</v>
      </c>
      <c r="T289" s="5">
        <f>IF($B288&lt;=Tabla5[[#This Row],[INVERSIONES FCI]],+Tabla5[[#This Row],[INVERSIONES FCI]]-T288,Tabla5[[#This Row],[INVERSIONES FCI]])</f>
        <v>68195301908.939529</v>
      </c>
      <c r="U289" s="5">
        <f>IF($B288&lt;=Tabla5[[#This Row],[INVERSIONES FCI]],+Tabla5[[#This Row],[INVERSIONES FCI]]-U288,Tabla5[[#This Row],[INVERSIONES FCI]])</f>
        <v>68195301908.939529</v>
      </c>
      <c r="V289" s="5">
        <f>IF($B288&lt;=Tabla5[[#This Row],[INVERSIONES FCI]],+Tabla5[[#This Row],[INVERSIONES FCI]]-V288,Tabla5[[#This Row],[INVERSIONES FCI]])</f>
        <v>68195301908.939529</v>
      </c>
      <c r="W289" s="5">
        <f>IF($B288&lt;=Tabla5[[#This Row],[INVERSIONES FCI]],+Tabla5[[#This Row],[INVERSIONES FCI]]-W288,Tabla5[[#This Row],[INVERSIONES FCI]])</f>
        <v>68195301908.939529</v>
      </c>
      <c r="X289" s="5">
        <f>IF($B288&lt;=Tabla5[[#This Row],[INVERSIONES FCI]],+Tabla5[[#This Row],[INVERSIONES FCI]]-X288,Tabla5[[#This Row],[INVERSIONES FCI]])</f>
        <v>68195301908.939529</v>
      </c>
      <c r="Y289" s="5">
        <f>IF($B288&lt;=Tabla5[[#This Row],[INVERSIONES FCI]],+Tabla5[[#This Row],[INVERSIONES FCI]]-Y288,Tabla5[[#This Row],[INVERSIONES FCI]])</f>
        <v>68195301908.939529</v>
      </c>
      <c r="Z289" s="5">
        <f>IF($B288&lt;=Tabla5[[#This Row],[INVERSIONES FCI]],+Tabla5[[#This Row],[INVERSIONES FCI]]-Z288,Tabla5[[#This Row],[INVERSIONES FCI]])</f>
        <v>68195301908.939529</v>
      </c>
      <c r="AA289" s="5">
        <f>IF($B288&lt;=Tabla5[[#This Row],[INVERSIONES FCI]],+Tabla5[[#This Row],[INVERSIONES FCI]]-AA288,Tabla5[[#This Row],[INVERSIONES FCI]])</f>
        <v>68195301908.939529</v>
      </c>
      <c r="AB289" s="5">
        <f>IF($B288&lt;=Tabla5[[#This Row],[INVERSIONES FCI]],+Tabla5[[#This Row],[INVERSIONES FCI]]-AB288,Tabla5[[#This Row],[INVERSIONES FCI]])</f>
        <v>68195301908.939529</v>
      </c>
      <c r="AC289" s="5">
        <f>IF($B288&lt;=Tabla5[[#This Row],[INVERSIONES FCI]],+Tabla5[[#This Row],[INVERSIONES FCI]]-AC288,Tabla5[[#This Row],[INVERSIONES FCI]])</f>
        <v>68195301908.939529</v>
      </c>
      <c r="AD289" s="5">
        <f>IF($B288&lt;=Tabla5[[#This Row],[INVERSIONES FCI]],+Tabla5[[#This Row],[INVERSIONES FCI]]-AD288,Tabla5[[#This Row],[INVERSIONES FCI]])</f>
        <v>68195301908.939529</v>
      </c>
      <c r="AE289" s="5">
        <f>IF($B288&lt;=Tabla5[[#This Row],[INVERSIONES FCI]],+Tabla5[[#This Row],[INVERSIONES FCI]]-AE288,Tabla5[[#This Row],[INVERSIONES FCI]])</f>
        <v>68195301908.939529</v>
      </c>
      <c r="AF289" s="5">
        <f>IF($B288&lt;=Tabla5[[#This Row],[INVERSIONES FCI]],+Tabla5[[#This Row],[INVERSIONES FCI]]-AF288,Tabla5[[#This Row],[INVERSIONES FCI]])</f>
        <v>68195301908.939529</v>
      </c>
      <c r="AG289" s="5">
        <f>IF($B288&lt;=Tabla5[[#This Row],[INVERSIONES FCI]],+Tabla5[[#This Row],[INVERSIONES FCI]]-AG288,Tabla5[[#This Row],[INVERSIONES FCI]])</f>
        <v>68195301908.939529</v>
      </c>
      <c r="AH289" s="5">
        <f>IF($B288&lt;=Tabla5[[#This Row],[INVERSIONES FCI]],+Tabla5[[#This Row],[INVERSIONES FCI]]-AH288,Tabla5[[#This Row],[INVERSIONES FCI]])</f>
        <v>68195301908.939529</v>
      </c>
      <c r="AI289" s="5">
        <f>IF($B288&lt;=Tabla5[[#This Row],[INVERSIONES FCI]],+Tabla5[[#This Row],[INVERSIONES FCI]]-AI288,Tabla5[[#This Row],[INVERSIONES FCI]])</f>
        <v>68195301908.939529</v>
      </c>
      <c r="AJ289" s="5">
        <f>IF($B288&lt;=Tabla5[[#This Row],[INVERSIONES FCI]],+Tabla5[[#This Row],[INVERSIONES FCI]]-AJ288,Tabla5[[#This Row],[INVERSIONES FCI]])</f>
        <v>68195301908.939529</v>
      </c>
      <c r="AK289" s="5">
        <f>IF($B288&lt;=Tabla5[[#This Row],[INVERSIONES FCI]],+Tabla5[[#This Row],[INVERSIONES FCI]]-AK288,Tabla5[[#This Row],[INVERSIONES FCI]])</f>
        <v>68195301908.939529</v>
      </c>
      <c r="AL289" s="5">
        <f>IF($B288&lt;=Tabla5[[#This Row],[INVERSIONES FCI]],+Tabla5[[#This Row],[INVERSIONES FCI]]-AL288,Tabla5[[#This Row],[INVERSIONES FCI]])</f>
        <v>68195301908.939529</v>
      </c>
      <c r="AM289" s="5">
        <f>IF($B288&lt;=Tabla5[[#This Row],[INVERSIONES FCI]],+Tabla5[[#This Row],[INVERSIONES FCI]]-AM288,Tabla5[[#This Row],[INVERSIONES FCI]])</f>
        <v>68195301908.939529</v>
      </c>
      <c r="AN289" s="5">
        <f>IF($B288&lt;=Tabla5[[#This Row],[INVERSIONES FCI]],+Tabla5[[#This Row],[INVERSIONES FCI]]-AN288,Tabla5[[#This Row],[INVERSIONES FCI]])</f>
        <v>68195301908.939529</v>
      </c>
      <c r="AO289" s="5">
        <f>IF($B288&lt;=Tabla5[[#This Row],[INVERSIONES FCI]],+Tabla5[[#This Row],[INVERSIONES FCI]]-AO288,Tabla5[[#This Row],[INVERSIONES FCI]])</f>
        <v>68195301908.939529</v>
      </c>
      <c r="AP289" s="5">
        <f>IF($B288&lt;=Tabla5[[#This Row],[INVERSIONES FCI]],+Tabla5[[#This Row],[INVERSIONES FCI]]-AP288,Tabla5[[#This Row],[INVERSIONES FCI]])</f>
        <v>68195301908.939529</v>
      </c>
      <c r="AQ289" s="5">
        <f>IF($B288&lt;=Tabla5[[#This Row],[INVERSIONES FCI]],+Tabla5[[#This Row],[INVERSIONES FCI]]-AQ288,Tabla5[[#This Row],[INVERSIONES FCI]])</f>
        <v>68195301908.939529</v>
      </c>
      <c r="AR289" s="5">
        <f>IF($B288&lt;=Tabla5[[#This Row],[INVERSIONES FCI]],+Tabla5[[#This Row],[INVERSIONES FCI]]-AR288,Tabla5[[#This Row],[INVERSIONES FCI]])</f>
        <v>68195301908.939529</v>
      </c>
      <c r="AS289" s="5">
        <f>IF($B288&lt;=Tabla5[[#This Row],[INVERSIONES FCI]],+Tabla5[[#This Row],[INVERSIONES FCI]]-AS288,Tabla5[[#This Row],[INVERSIONES FCI]])</f>
        <v>68195301908.939529</v>
      </c>
      <c r="AT289" s="5">
        <f>IF($B288&lt;=Tabla5[[#This Row],[INVERSIONES FCI]],+Tabla5[[#This Row],[INVERSIONES FCI]]-AT288,Tabla5[[#This Row],[INVERSIONES FCI]])</f>
        <v>68195301908.939529</v>
      </c>
      <c r="AU289" s="5">
        <f>IF($B288&lt;=Tabla5[[#This Row],[INVERSIONES FCI]],+Tabla5[[#This Row],[INVERSIONES FCI]]-AU288,Tabla5[[#This Row],[INVERSIONES FCI]])</f>
        <v>68195301908.939529</v>
      </c>
      <c r="AV289" s="5">
        <f>IF($B288&lt;=Tabla5[[#This Row],[INVERSIONES FCI]],+Tabla5[[#This Row],[INVERSIONES FCI]]-AV288,Tabla5[[#This Row],[INVERSIONES FCI]])</f>
        <v>68195301908.939529</v>
      </c>
      <c r="AW289" s="5">
        <f>IF($B288&lt;=Tabla5[[#This Row],[INVERSIONES FCI]],+Tabla5[[#This Row],[INVERSIONES FCI]]-AW288,Tabla5[[#This Row],[INVERSIONES FCI]])</f>
        <v>68195301908.939529</v>
      </c>
      <c r="AX289" s="5">
        <f>IF($B288&lt;=Tabla5[[#This Row],[INVERSIONES FCI]],+Tabla5[[#This Row],[INVERSIONES FCI]]-AX288,Tabla5[[#This Row],[INVERSIONES FCI]])</f>
        <v>68195301908.939529</v>
      </c>
      <c r="AY289" s="5">
        <f>IF($B288&lt;=Tabla5[[#This Row],[INVERSIONES FCI]],+Tabla5[[#This Row],[INVERSIONES FCI]]-AY288,Tabla5[[#This Row],[INVERSIONES FCI]])</f>
        <v>68195301908.939529</v>
      </c>
      <c r="AZ289" s="5">
        <f>IF($B288&lt;=Tabla5[[#This Row],[INVERSIONES FCI]],+Tabla5[[#This Row],[INVERSIONES FCI]]-AZ288,Tabla5[[#This Row],[INVERSIONES FCI]])</f>
        <v>68195301908.939529</v>
      </c>
      <c r="BA289" s="5">
        <f>IF($B288&lt;=Tabla5[[#This Row],[INVERSIONES FCI]],+Tabla5[[#This Row],[INVERSIONES FCI]]-BA288,Tabla5[[#This Row],[INVERSIONES FCI]])</f>
        <v>68195301908.939529</v>
      </c>
      <c r="BB289" s="5">
        <f>IF($B288&lt;=Tabla5[[#This Row],[INVERSIONES FCI]],+Tabla5[[#This Row],[INVERSIONES FCI]]-BB288,Tabla5[[#This Row],[INVERSIONES FCI]])</f>
        <v>68195301908.939529</v>
      </c>
      <c r="BC289" s="5">
        <f>IF($B288&lt;=Tabla5[[#This Row],[INVERSIONES FCI]],+Tabla5[[#This Row],[INVERSIONES FCI]]-BC288,Tabla5[[#This Row],[INVERSIONES FCI]])</f>
        <v>68195301908.939529</v>
      </c>
      <c r="BD289" s="5">
        <f>IF($B288&lt;=Tabla5[[#This Row],[INVERSIONES FCI]],+Tabla5[[#This Row],[INVERSIONES FCI]]-BD288,Tabla5[[#This Row],[INVERSIONES FCI]])</f>
        <v>68195301908.939529</v>
      </c>
      <c r="BE289" s="5">
        <f>IF($B288&lt;=Tabla5[[#This Row],[INVERSIONES FCI]],+Tabla5[[#This Row],[INVERSIONES FCI]]-BE288,Tabla5[[#This Row],[INVERSIONES FCI]])</f>
        <v>68195301908.939529</v>
      </c>
      <c r="BF289" s="5">
        <f>IF($B288&lt;=Tabla5[[#This Row],[INVERSIONES FCI]],+Tabla5[[#This Row],[INVERSIONES FCI]]-BF288,Tabla5[[#This Row],[INVERSIONES FCI]])</f>
        <v>68195301908.939529</v>
      </c>
      <c r="BG289" s="5">
        <f>IF($B288&lt;=Tabla5[[#This Row],[INVERSIONES FCI]],+Tabla5[[#This Row],[INVERSIONES FCI]]-BG288,Tabla5[[#This Row],[INVERSIONES FCI]])</f>
        <v>68195301908.939529</v>
      </c>
      <c r="BH289" s="5">
        <f>IF($B288&lt;=Tabla5[[#This Row],[INVERSIONES FCI]],+Tabla5[[#This Row],[INVERSIONES FCI]]-BH288,Tabla5[[#This Row],[INVERSIONES FCI]])</f>
        <v>68195301908.939529</v>
      </c>
      <c r="BI289" s="5">
        <f>IF($B288&lt;=Tabla5[[#This Row],[INVERSIONES FCI]],+Tabla5[[#This Row],[INVERSIONES FCI]]-BI288,Tabla5[[#This Row],[INVERSIONES FCI]])</f>
        <v>68195301908.939529</v>
      </c>
      <c r="BJ289" s="5">
        <f>IF($B288&lt;=Tabla5[[#This Row],[INVERSIONES FCI]],+Tabla5[[#This Row],[INVERSIONES FCI]]-BJ288,Tabla5[[#This Row],[INVERSIONES FCI]])</f>
        <v>68195301908.939529</v>
      </c>
      <c r="BK289" s="5">
        <f>IF($B288&lt;=Tabla5[[#This Row],[INVERSIONES FCI]],+Tabla5[[#This Row],[INVERSIONES FCI]]-BK288,Tabla5[[#This Row],[INVERSIONES FCI]])</f>
        <v>68195301908.939529</v>
      </c>
      <c r="BL289" s="5">
        <f>IF($B288&lt;=Tabla5[[#This Row],[INVERSIONES FCI]],+Tabla5[[#This Row],[INVERSIONES FCI]]-BL288,Tabla5[[#This Row],[INVERSIONES FCI]])</f>
        <v>68195301908.939529</v>
      </c>
      <c r="BM289" s="5">
        <f>IF($B288&lt;=Tabla5[[#This Row],[INVERSIONES FCI]],+Tabla5[[#This Row],[INVERSIONES FCI]]-BM288,Tabla5[[#This Row],[INVERSIONES FCI]])</f>
        <v>68195301908.939529</v>
      </c>
      <c r="BN289" s="5">
        <f>IF($B288&lt;=Tabla5[[#This Row],[INVERSIONES FCI]],+Tabla5[[#This Row],[INVERSIONES FCI]]-BN288,Tabla5[[#This Row],[INVERSIONES FCI]])</f>
        <v>68195301908.939529</v>
      </c>
      <c r="BO289" s="5">
        <f>IF($B288&lt;=Tabla5[[#This Row],[INVERSIONES FCI]],+Tabla5[[#This Row],[INVERSIONES FCI]]-BO288,Tabla5[[#This Row],[INVERSIONES FCI]])</f>
        <v>68195301908.939529</v>
      </c>
      <c r="BP289" s="5">
        <f>IF($B288&lt;=Tabla5[[#This Row],[INVERSIONES FCI]],+Tabla5[[#This Row],[INVERSIONES FCI]]-BP288,Tabla5[[#This Row],[INVERSIONES FCI]])</f>
        <v>68195301908.939529</v>
      </c>
      <c r="BQ289" s="5">
        <f>IF($B288&lt;=Tabla5[[#This Row],[INVERSIONES FCI]],+Tabla5[[#This Row],[INVERSIONES FCI]]-BQ288,Tabla5[[#This Row],[INVERSIONES FCI]])</f>
        <v>68195301908.939529</v>
      </c>
      <c r="BR289" s="5">
        <f>IF($B288&lt;=Tabla5[[#This Row],[INVERSIONES FCI]],+Tabla5[[#This Row],[INVERSIONES FCI]]-BR288,Tabla5[[#This Row],[INVERSIONES FCI]])</f>
        <v>68195301908.939529</v>
      </c>
      <c r="BS289" s="5">
        <f>IF($B288&lt;=Tabla5[[#This Row],[INVERSIONES FCI]],+Tabla5[[#This Row],[INVERSIONES FCI]]-BS288,Tabla5[[#This Row],[INVERSIONES FCI]])</f>
        <v>68195301908.939529</v>
      </c>
      <c r="BT289" s="5">
        <f>IF($B288&lt;=Tabla5[[#This Row],[INVERSIONES FCI]],+Tabla5[[#This Row],[INVERSIONES FCI]]-BT288,Tabla5[[#This Row],[INVERSIONES FCI]])</f>
        <v>68195301908.939529</v>
      </c>
      <c r="BU289" s="5">
        <f>IF($B288&lt;=Tabla5[[#This Row],[INVERSIONES FCI]],+Tabla5[[#This Row],[INVERSIONES FCI]]-BU288,Tabla5[[#This Row],[INVERSIONES FCI]])</f>
        <v>68195301908.939529</v>
      </c>
      <c r="BV289" s="5">
        <f>IF($B288&lt;=Tabla5[[#This Row],[INVERSIONES FCI]],+Tabla5[[#This Row],[INVERSIONES FCI]]-BV288,Tabla5[[#This Row],[INVERSIONES FCI]])</f>
        <v>68195301908.939529</v>
      </c>
      <c r="BW289" s="5">
        <f>IF($B288&lt;=Tabla5[[#This Row],[INVERSIONES FCI]],+Tabla5[[#This Row],[INVERSIONES FCI]]-BW288,Tabla5[[#This Row],[INVERSIONES FCI]])</f>
        <v>68195301908.939529</v>
      </c>
      <c r="BX289" s="5">
        <f>IF($B288&lt;=Tabla5[[#This Row],[INVERSIONES FCI]],+Tabla5[[#This Row],[INVERSIONES FCI]]-BX288,Tabla5[[#This Row],[INVERSIONES FCI]])</f>
        <v>68195301908.939529</v>
      </c>
      <c r="BY289" s="5">
        <f>IF($B288&lt;=Tabla5[[#This Row],[INVERSIONES FCI]],+Tabla5[[#This Row],[INVERSIONES FCI]]-BY288,Tabla5[[#This Row],[INVERSIONES FCI]])</f>
        <v>68195301908.939529</v>
      </c>
      <c r="BZ289" s="5">
        <f>IF($B288&lt;=Tabla5[[#This Row],[INVERSIONES FCI]],+Tabla5[[#This Row],[INVERSIONES FCI]]-BZ288,Tabla5[[#This Row],[INVERSIONES FCI]])</f>
        <v>68195301908.939529</v>
      </c>
      <c r="CA289" s="5">
        <f>IF($B288&lt;=Tabla5[[#This Row],[INVERSIONES FCI]],+Tabla5[[#This Row],[INVERSIONES FCI]]-CA288,Tabla5[[#This Row],[INVERSIONES FCI]])</f>
        <v>68195301908.939529</v>
      </c>
      <c r="CB289" s="5">
        <f>IF($B288&lt;=Tabla5[[#This Row],[INVERSIONES FCI]],+Tabla5[[#This Row],[INVERSIONES FCI]]-CB288,Tabla5[[#This Row],[INVERSIONES FCI]])</f>
        <v>68195301908.939529</v>
      </c>
      <c r="CC289" s="5">
        <f>IF($B288&lt;=Tabla5[[#This Row],[INVERSIONES FCI]],+Tabla5[[#This Row],[INVERSIONES FCI]]-CC288,Tabla5[[#This Row],[INVERSIONES FCI]])</f>
        <v>68195301908.939529</v>
      </c>
      <c r="CD289" s="5">
        <f>IF($B288&lt;=Tabla5[[#This Row],[INVERSIONES FCI]],+Tabla5[[#This Row],[INVERSIONES FCI]]-CD288,Tabla5[[#This Row],[INVERSIONES FCI]])</f>
        <v>68195301908.939529</v>
      </c>
      <c r="CE289" s="5">
        <f>IF($B288&lt;=Tabla5[[#This Row],[INVERSIONES FCI]],+Tabla5[[#This Row],[INVERSIONES FCI]]-CE288,Tabla5[[#This Row],[INVERSIONES FCI]])</f>
        <v>68195301908.939529</v>
      </c>
      <c r="CF289" s="5">
        <f>IF($B288&lt;=Tabla5[[#This Row],[INVERSIONES FCI]],+Tabla5[[#This Row],[INVERSIONES FCI]]-CF288,Tabla5[[#This Row],[INVERSIONES FCI]])</f>
        <v>68195301908.939529</v>
      </c>
      <c r="CG289" s="5">
        <f>IF($B288&lt;=Tabla5[[#This Row],[INVERSIONES FCI]],+Tabla5[[#This Row],[INVERSIONES FCI]]-CG288,Tabla5[[#This Row],[INVERSIONES FCI]])</f>
        <v>68195301908.939529</v>
      </c>
      <c r="CH289" s="5">
        <f>IF($B288&lt;=Tabla5[[#This Row],[INVERSIONES FCI]],+Tabla5[[#This Row],[INVERSIONES FCI]]-CH288,Tabla5[[#This Row],[INVERSIONES FCI]])</f>
        <v>68195301908.939529</v>
      </c>
      <c r="CI289" s="5">
        <f>IF($B288&lt;=Tabla5[[#This Row],[INVERSIONES FCI]],+Tabla5[[#This Row],[INVERSIONES FCI]]-CI288,Tabla5[[#This Row],[INVERSIONES FCI]])</f>
        <v>68195301908.939529</v>
      </c>
      <c r="CJ289" s="5">
        <f>IF($B288&lt;=Tabla5[[#This Row],[INVERSIONES FCI]],+Tabla5[[#This Row],[INVERSIONES FCI]]-CJ288,Tabla5[[#This Row],[INVERSIONES FCI]])</f>
        <v>68195301908.939529</v>
      </c>
      <c r="CK289" s="5">
        <f>IF($B288&lt;=Tabla5[[#This Row],[INVERSIONES FCI]],+Tabla5[[#This Row],[INVERSIONES FCI]]-CK288,Tabla5[[#This Row],[INVERSIONES FCI]])</f>
        <v>68195301908.939529</v>
      </c>
      <c r="CL289" s="5">
        <f>IF($B288&lt;=Tabla5[[#This Row],[INVERSIONES FCI]],+Tabla5[[#This Row],[INVERSIONES FCI]]-CL288,Tabla5[[#This Row],[INVERSIONES FCI]])</f>
        <v>68195301908.939529</v>
      </c>
      <c r="CM289" s="5">
        <f>IF($B288&lt;=Tabla5[[#This Row],[INVERSIONES FCI]],+Tabla5[[#This Row],[INVERSIONES FCI]]-CM288,Tabla5[[#This Row],[INVERSIONES FCI]])</f>
        <v>68195301908.939529</v>
      </c>
      <c r="CN289" s="5">
        <f>IF($B288&lt;=Tabla5[[#This Row],[INVERSIONES FCI]],+Tabla5[[#This Row],[INVERSIONES FCI]]-CN288,Tabla5[[#This Row],[INVERSIONES FCI]])</f>
        <v>68195301908.939529</v>
      </c>
      <c r="CO289" s="5">
        <f>IF($B288&lt;=Tabla5[[#This Row],[INVERSIONES FCI]],+Tabla5[[#This Row],[INVERSIONES FCI]]-CO288,Tabla5[[#This Row],[INVERSIONES FCI]])</f>
        <v>68195301908.939529</v>
      </c>
      <c r="CP289" s="5">
        <f>IF($B288&lt;=Tabla5[[#This Row],[INVERSIONES FCI]],+Tabla5[[#This Row],[INVERSIONES FCI]]-CP288,Tabla5[[#This Row],[INVERSIONES FCI]])</f>
        <v>68195301908.939529</v>
      </c>
      <c r="CQ289" s="5">
        <f>IF($B288&lt;=Tabla5[[#This Row],[INVERSIONES FCI]],+Tabla5[[#This Row],[INVERSIONES FCI]]-CQ288,Tabla5[[#This Row],[INVERSIONES FCI]])</f>
        <v>68195301908.939529</v>
      </c>
      <c r="CR289" s="5">
        <f>IF($B288&lt;=Tabla5[[#This Row],[INVERSIONES FCI]],+Tabla5[[#This Row],[INVERSIONES FCI]]-CR288,Tabla5[[#This Row],[INVERSIONES FCI]])</f>
        <v>68195301908.939529</v>
      </c>
      <c r="CS289" s="5">
        <f>IF($B288&lt;=Tabla5[[#This Row],[INVERSIONES FCI]],+Tabla5[[#This Row],[INVERSIONES FCI]]-CS288,Tabla5[[#This Row],[INVERSIONES FCI]])</f>
        <v>68195301908.939529</v>
      </c>
      <c r="CT289" s="5">
        <f>IF($B288&lt;=Tabla5[[#This Row],[INVERSIONES FCI]],+Tabla5[[#This Row],[INVERSIONES FCI]]-CT288,Tabla5[[#This Row],[INVERSIONES FCI]])</f>
        <v>68195301908.939529</v>
      </c>
      <c r="CU289" s="5">
        <f>IF($B288&lt;=Tabla5[[#This Row],[INVERSIONES FCI]],+Tabla5[[#This Row],[INVERSIONES FCI]]-CU288,Tabla5[[#This Row],[INVERSIONES FCI]])</f>
        <v>68195301908.939529</v>
      </c>
      <c r="CV289" s="5">
        <f>IF($B288&lt;=Tabla5[[#This Row],[INVERSIONES FCI]],+Tabla5[[#This Row],[INVERSIONES FCI]]-CV288,Tabla5[[#This Row],[INVERSIONES FCI]])</f>
        <v>68195301908.939529</v>
      </c>
      <c r="CW289" s="5">
        <f>IF($B288&lt;=Tabla5[[#This Row],[INVERSIONES FCI]],+Tabla5[[#This Row],[INVERSIONES FCI]]-CW288,Tabla5[[#This Row],[INVERSIONES FCI]])</f>
        <v>68195301908.939529</v>
      </c>
      <c r="CX289" s="5">
        <f>IF($B288&lt;=Tabla5[[#This Row],[INVERSIONES FCI]],+Tabla5[[#This Row],[INVERSIONES FCI]]-CX288,Tabla5[[#This Row],[INVERSIONES FCI]])</f>
        <v>68195301908.939529</v>
      </c>
      <c r="CY289" s="5">
        <f>IF($B288&lt;=Tabla5[[#This Row],[INVERSIONES FCI]],+Tabla5[[#This Row],[INVERSIONES FCI]]-CY288,Tabla5[[#This Row],[INVERSIONES FCI]])</f>
        <v>68195301908.939529</v>
      </c>
      <c r="CZ289" s="5">
        <f>IF($B288&lt;=Tabla5[[#This Row],[INVERSIONES FCI]],+Tabla5[[#This Row],[INVERSIONES FCI]]-CZ288,Tabla5[[#This Row],[INVERSIONES FCI]])</f>
        <v>68195301908.939529</v>
      </c>
      <c r="DA289" s="5">
        <f>IF($B288&lt;=Tabla5[[#This Row],[INVERSIONES FCI]],+Tabla5[[#This Row],[INVERSIONES FCI]]-DA288,Tabla5[[#This Row],[INVERSIONES FCI]])</f>
        <v>68195301908.939529</v>
      </c>
      <c r="DB289" s="5">
        <f>IF($B288&lt;=Tabla5[[#This Row],[INVERSIONES FCI]],+Tabla5[[#This Row],[INVERSIONES FCI]]-DB288,Tabla5[[#This Row],[INVERSIONES FCI]])</f>
        <v>68195301908.939529</v>
      </c>
      <c r="DC289" s="5">
        <f>IF($B288&lt;=Tabla5[[#This Row],[INVERSIONES FCI]],+Tabla5[[#This Row],[INVERSIONES FCI]]-DC288,Tabla5[[#This Row],[INVERSIONES FCI]])</f>
        <v>68195301908.939529</v>
      </c>
      <c r="DD289" s="5">
        <f>IF($B288&lt;=Tabla5[[#This Row],[INVERSIONES FCI]],+Tabla5[[#This Row],[INVERSIONES FCI]]-DD288,Tabla5[[#This Row],[INVERSIONES FCI]])</f>
        <v>68195301908.939529</v>
      </c>
      <c r="DE289" s="5">
        <f>IF($B288&lt;=Tabla5[[#This Row],[INVERSIONES FCI]],+Tabla5[[#This Row],[INVERSIONES FCI]]-DE288,Tabla5[[#This Row],[INVERSIONES FCI]])</f>
        <v>68195301908.939529</v>
      </c>
      <c r="DF289" s="5">
        <f>IF($B288&lt;=Tabla5[[#This Row],[INVERSIONES FCI]],+Tabla5[[#This Row],[INVERSIONES FCI]]-DF288,Tabla5[[#This Row],[INVERSIONES FCI]])</f>
        <v>68195301908.939529</v>
      </c>
      <c r="DG289" s="5">
        <f>IF($B288&lt;=Tabla5[[#This Row],[INVERSIONES FCI]],+Tabla5[[#This Row],[INVERSIONES FCI]]-DG288,Tabla5[[#This Row],[INVERSIONES FCI]])</f>
        <v>68195301908.939529</v>
      </c>
      <c r="DH289" s="5">
        <f>IF($B288&lt;=Tabla5[[#This Row],[INVERSIONES FCI]],+Tabla5[[#This Row],[INVERSIONES FCI]]-DH288,Tabla5[[#This Row],[INVERSIONES FCI]])</f>
        <v>68195301908.939529</v>
      </c>
      <c r="DI289" s="5">
        <f>IF($B288&lt;=Tabla5[[#This Row],[INVERSIONES FCI]],+Tabla5[[#This Row],[INVERSIONES FCI]]-DI288,Tabla5[[#This Row],[INVERSIONES FCI]])</f>
        <v>68195301908.939529</v>
      </c>
      <c r="DJ289" s="5">
        <f>IF($B288&lt;=Tabla5[[#This Row],[INVERSIONES FCI]],+Tabla5[[#This Row],[INVERSIONES FCI]]-DJ288,Tabla5[[#This Row],[INVERSIONES FCI]])</f>
        <v>68195301908.939529</v>
      </c>
      <c r="DK289" s="5">
        <f>IF($B288&lt;=Tabla5[[#This Row],[INVERSIONES FCI]],+Tabla5[[#This Row],[INVERSIONES FCI]]-DK288,Tabla5[[#This Row],[INVERSIONES FCI]])</f>
        <v>68195301908.939529</v>
      </c>
      <c r="DL289" s="5"/>
      <c r="DM289" s="5"/>
      <c r="DN289" s="5"/>
      <c r="DO289" s="5"/>
      <c r="DP289" s="5"/>
      <c r="DQ289" s="5"/>
    </row>
    <row r="290" spans="1:121" ht="14.4">
      <c r="A290" s="12" t="s">
        <v>289</v>
      </c>
      <c r="B290" s="5">
        <f>HLOOKUP($A290,ESCENARIO[#All],7,FALSE)</f>
        <v>68195543658.939529</v>
      </c>
      <c r="C290" s="5">
        <f>IF($B289&lt;=Tabla5[[#This Row],[INVERSIONES FCI]],+Tabla5[[#This Row],[INVERSIONES FCI]]-C289,Tabla5[[#This Row],[INVERSIONES FCI]])</f>
        <v>241750</v>
      </c>
      <c r="D290" s="5">
        <f>IF($B289&lt;=Tabla5[[#This Row],[INVERSIONES FCI]],+Tabla5[[#This Row],[INVERSIONES FCI]]-D289,Tabla5[[#This Row],[INVERSIONES FCI]])</f>
        <v>241750</v>
      </c>
      <c r="E290" s="5">
        <f>IF($B289&lt;=Tabla5[[#This Row],[INVERSIONES FCI]],+Tabla5[[#This Row],[INVERSIONES FCI]]-E289,Tabla5[[#This Row],[INVERSIONES FCI]])</f>
        <v>241750</v>
      </c>
      <c r="F290" s="5">
        <f>IF($B289&lt;=Tabla5[[#This Row],[INVERSIONES FCI]],+Tabla5[[#This Row],[INVERSIONES FCI]]-F289,Tabla5[[#This Row],[INVERSIONES FCI]])</f>
        <v>241750</v>
      </c>
      <c r="G290" s="5">
        <f>IF($B289&lt;=Tabla5[[#This Row],[INVERSIONES FCI]],+Tabla5[[#This Row],[INVERSIONES FCI]]-G289,Tabla5[[#This Row],[INVERSIONES FCI]])</f>
        <v>241750</v>
      </c>
      <c r="H290" s="5">
        <f>IF($B289&lt;=Tabla5[[#This Row],[INVERSIONES FCI]],+Tabla5[[#This Row],[INVERSIONES FCI]]-H289,Tabla5[[#This Row],[INVERSIONES FCI]])</f>
        <v>241750</v>
      </c>
      <c r="I290" s="5">
        <f>IF($B289&lt;=Tabla5[[#This Row],[INVERSIONES FCI]],+Tabla5[[#This Row],[INVERSIONES FCI]]-I289,Tabla5[[#This Row],[INVERSIONES FCI]])</f>
        <v>241750</v>
      </c>
      <c r="J290" s="5">
        <f>IF($B289&lt;=Tabla5[[#This Row],[INVERSIONES FCI]],+Tabla5[[#This Row],[INVERSIONES FCI]]-J289,Tabla5[[#This Row],[INVERSIONES FCI]])</f>
        <v>241750</v>
      </c>
      <c r="K290" s="5">
        <f>IF($B289&lt;=Tabla5[[#This Row],[INVERSIONES FCI]],+Tabla5[[#This Row],[INVERSIONES FCI]]-K289,Tabla5[[#This Row],[INVERSIONES FCI]])</f>
        <v>241750</v>
      </c>
      <c r="L290" s="5">
        <f>IF($B289&lt;=Tabla5[[#This Row],[INVERSIONES FCI]],+Tabla5[[#This Row],[INVERSIONES FCI]]-L289,Tabla5[[#This Row],[INVERSIONES FCI]])</f>
        <v>241750</v>
      </c>
      <c r="M290" s="5">
        <f>IF($B289&lt;=Tabla5[[#This Row],[INVERSIONES FCI]],+Tabla5[[#This Row],[INVERSIONES FCI]]-M289,Tabla5[[#This Row],[INVERSIONES FCI]])</f>
        <v>241750</v>
      </c>
      <c r="N290" s="5">
        <f>IF($B289&lt;=Tabla5[[#This Row],[INVERSIONES FCI]],+Tabla5[[#This Row],[INVERSIONES FCI]]-N289,Tabla5[[#This Row],[INVERSIONES FCI]])</f>
        <v>241750</v>
      </c>
      <c r="O290" s="5">
        <f>IF($B289&lt;=Tabla5[[#This Row],[INVERSIONES FCI]],+Tabla5[[#This Row],[INVERSIONES FCI]]-O289,Tabla5[[#This Row],[INVERSIONES FCI]])</f>
        <v>241750</v>
      </c>
      <c r="P290" s="5">
        <f>IF($B289&lt;=Tabla5[[#This Row],[INVERSIONES FCI]],+Tabla5[[#This Row],[INVERSIONES FCI]]-P289,Tabla5[[#This Row],[INVERSIONES FCI]])</f>
        <v>241750</v>
      </c>
      <c r="Q290" s="5">
        <f>IF($B289&lt;=Tabla5[[#This Row],[INVERSIONES FCI]],+Tabla5[[#This Row],[INVERSIONES FCI]]-Q289,Tabla5[[#This Row],[INVERSIONES FCI]])</f>
        <v>241750</v>
      </c>
      <c r="R290" s="5">
        <f>IF($B289&lt;=Tabla5[[#This Row],[INVERSIONES FCI]],+Tabla5[[#This Row],[INVERSIONES FCI]]-R289,Tabla5[[#This Row],[INVERSIONES FCI]])</f>
        <v>241750</v>
      </c>
      <c r="S290" s="5">
        <f>IF($B289&lt;=Tabla5[[#This Row],[INVERSIONES FCI]],+Tabla5[[#This Row],[INVERSIONES FCI]]-S289,Tabla5[[#This Row],[INVERSIONES FCI]])</f>
        <v>241750</v>
      </c>
      <c r="T290" s="5">
        <f>IF($B289&lt;=Tabla5[[#This Row],[INVERSIONES FCI]],+Tabla5[[#This Row],[INVERSIONES FCI]]-T289,Tabla5[[#This Row],[INVERSIONES FCI]])</f>
        <v>241750</v>
      </c>
      <c r="U290" s="5">
        <f>IF($B289&lt;=Tabla5[[#This Row],[INVERSIONES FCI]],+Tabla5[[#This Row],[INVERSIONES FCI]]-U289,Tabla5[[#This Row],[INVERSIONES FCI]])</f>
        <v>241750</v>
      </c>
      <c r="V290" s="5">
        <f>IF($B289&lt;=Tabla5[[#This Row],[INVERSIONES FCI]],+Tabla5[[#This Row],[INVERSIONES FCI]]-V289,Tabla5[[#This Row],[INVERSIONES FCI]])</f>
        <v>241750</v>
      </c>
      <c r="W290" s="5">
        <f>IF($B289&lt;=Tabla5[[#This Row],[INVERSIONES FCI]],+Tabla5[[#This Row],[INVERSIONES FCI]]-W289,Tabla5[[#This Row],[INVERSIONES FCI]])</f>
        <v>241750</v>
      </c>
      <c r="X290" s="5">
        <f>IF($B289&lt;=Tabla5[[#This Row],[INVERSIONES FCI]],+Tabla5[[#This Row],[INVERSIONES FCI]]-X289,Tabla5[[#This Row],[INVERSIONES FCI]])</f>
        <v>241750</v>
      </c>
      <c r="Y290" s="5">
        <f>IF($B289&lt;=Tabla5[[#This Row],[INVERSIONES FCI]],+Tabla5[[#This Row],[INVERSIONES FCI]]-Y289,Tabla5[[#This Row],[INVERSIONES FCI]])</f>
        <v>241750</v>
      </c>
      <c r="Z290" s="5">
        <f>IF($B289&lt;=Tabla5[[#This Row],[INVERSIONES FCI]],+Tabla5[[#This Row],[INVERSIONES FCI]]-Z289,Tabla5[[#This Row],[INVERSIONES FCI]])</f>
        <v>241750</v>
      </c>
      <c r="AA290" s="5">
        <f>IF($B289&lt;=Tabla5[[#This Row],[INVERSIONES FCI]],+Tabla5[[#This Row],[INVERSIONES FCI]]-AA289,Tabla5[[#This Row],[INVERSIONES FCI]])</f>
        <v>241750</v>
      </c>
      <c r="AB290" s="5">
        <f>IF($B289&lt;=Tabla5[[#This Row],[INVERSIONES FCI]],+Tabla5[[#This Row],[INVERSIONES FCI]]-AB289,Tabla5[[#This Row],[INVERSIONES FCI]])</f>
        <v>241750</v>
      </c>
      <c r="AC290" s="5">
        <f>IF($B289&lt;=Tabla5[[#This Row],[INVERSIONES FCI]],+Tabla5[[#This Row],[INVERSIONES FCI]]-AC289,Tabla5[[#This Row],[INVERSIONES FCI]])</f>
        <v>241750</v>
      </c>
      <c r="AD290" s="5">
        <f>IF($B289&lt;=Tabla5[[#This Row],[INVERSIONES FCI]],+Tabla5[[#This Row],[INVERSIONES FCI]]-AD289,Tabla5[[#This Row],[INVERSIONES FCI]])</f>
        <v>241750</v>
      </c>
      <c r="AE290" s="5">
        <f>IF($B289&lt;=Tabla5[[#This Row],[INVERSIONES FCI]],+Tabla5[[#This Row],[INVERSIONES FCI]]-AE289,Tabla5[[#This Row],[INVERSIONES FCI]])</f>
        <v>241750</v>
      </c>
      <c r="AF290" s="5">
        <f>IF($B289&lt;=Tabla5[[#This Row],[INVERSIONES FCI]],+Tabla5[[#This Row],[INVERSIONES FCI]]-AF289,Tabla5[[#This Row],[INVERSIONES FCI]])</f>
        <v>241750</v>
      </c>
      <c r="AG290" s="5">
        <f>IF($B289&lt;=Tabla5[[#This Row],[INVERSIONES FCI]],+Tabla5[[#This Row],[INVERSIONES FCI]]-AG289,Tabla5[[#This Row],[INVERSIONES FCI]])</f>
        <v>241750</v>
      </c>
      <c r="AH290" s="5">
        <f>IF($B289&lt;=Tabla5[[#This Row],[INVERSIONES FCI]],+Tabla5[[#This Row],[INVERSIONES FCI]]-AH289,Tabla5[[#This Row],[INVERSIONES FCI]])</f>
        <v>241750</v>
      </c>
      <c r="AI290" s="5">
        <f>IF($B289&lt;=Tabla5[[#This Row],[INVERSIONES FCI]],+Tabla5[[#This Row],[INVERSIONES FCI]]-AI289,Tabla5[[#This Row],[INVERSIONES FCI]])</f>
        <v>241750</v>
      </c>
      <c r="AJ290" s="5">
        <f>IF($B289&lt;=Tabla5[[#This Row],[INVERSIONES FCI]],+Tabla5[[#This Row],[INVERSIONES FCI]]-AJ289,Tabla5[[#This Row],[INVERSIONES FCI]])</f>
        <v>241750</v>
      </c>
      <c r="AK290" s="5">
        <f>IF($B289&lt;=Tabla5[[#This Row],[INVERSIONES FCI]],+Tabla5[[#This Row],[INVERSIONES FCI]]-AK289,Tabla5[[#This Row],[INVERSIONES FCI]])</f>
        <v>241750</v>
      </c>
      <c r="AL290" s="5">
        <f>IF($B289&lt;=Tabla5[[#This Row],[INVERSIONES FCI]],+Tabla5[[#This Row],[INVERSIONES FCI]]-AL289,Tabla5[[#This Row],[INVERSIONES FCI]])</f>
        <v>241750</v>
      </c>
      <c r="AM290" s="5">
        <f>IF($B289&lt;=Tabla5[[#This Row],[INVERSIONES FCI]],+Tabla5[[#This Row],[INVERSIONES FCI]]-AM289,Tabla5[[#This Row],[INVERSIONES FCI]])</f>
        <v>241750</v>
      </c>
      <c r="AN290" s="5">
        <f>IF($B289&lt;=Tabla5[[#This Row],[INVERSIONES FCI]],+Tabla5[[#This Row],[INVERSIONES FCI]]-AN289,Tabla5[[#This Row],[INVERSIONES FCI]])</f>
        <v>241750</v>
      </c>
      <c r="AO290" s="5">
        <f>IF($B289&lt;=Tabla5[[#This Row],[INVERSIONES FCI]],+Tabla5[[#This Row],[INVERSIONES FCI]]-AO289,Tabla5[[#This Row],[INVERSIONES FCI]])</f>
        <v>241750</v>
      </c>
      <c r="AP290" s="5">
        <f>IF($B289&lt;=Tabla5[[#This Row],[INVERSIONES FCI]],+Tabla5[[#This Row],[INVERSIONES FCI]]-AP289,Tabla5[[#This Row],[INVERSIONES FCI]])</f>
        <v>241750</v>
      </c>
      <c r="AQ290" s="5">
        <f>IF($B289&lt;=Tabla5[[#This Row],[INVERSIONES FCI]],+Tabla5[[#This Row],[INVERSIONES FCI]]-AQ289,Tabla5[[#This Row],[INVERSIONES FCI]])</f>
        <v>241750</v>
      </c>
      <c r="AR290" s="5">
        <f>IF($B289&lt;=Tabla5[[#This Row],[INVERSIONES FCI]],+Tabla5[[#This Row],[INVERSIONES FCI]]-AR289,Tabla5[[#This Row],[INVERSIONES FCI]])</f>
        <v>241750</v>
      </c>
      <c r="AS290" s="5">
        <f>IF($B289&lt;=Tabla5[[#This Row],[INVERSIONES FCI]],+Tabla5[[#This Row],[INVERSIONES FCI]]-AS289,Tabla5[[#This Row],[INVERSIONES FCI]])</f>
        <v>241750</v>
      </c>
      <c r="AT290" s="5">
        <f>IF($B289&lt;=Tabla5[[#This Row],[INVERSIONES FCI]],+Tabla5[[#This Row],[INVERSIONES FCI]]-AT289,Tabla5[[#This Row],[INVERSIONES FCI]])</f>
        <v>241750</v>
      </c>
      <c r="AU290" s="5">
        <f>IF($B289&lt;=Tabla5[[#This Row],[INVERSIONES FCI]],+Tabla5[[#This Row],[INVERSIONES FCI]]-AU289,Tabla5[[#This Row],[INVERSIONES FCI]])</f>
        <v>241750</v>
      </c>
      <c r="AV290" s="5">
        <f>IF($B289&lt;=Tabla5[[#This Row],[INVERSIONES FCI]],+Tabla5[[#This Row],[INVERSIONES FCI]]-AV289,Tabla5[[#This Row],[INVERSIONES FCI]])</f>
        <v>241750</v>
      </c>
      <c r="AW290" s="5">
        <f>IF($B289&lt;=Tabla5[[#This Row],[INVERSIONES FCI]],+Tabla5[[#This Row],[INVERSIONES FCI]]-AW289,Tabla5[[#This Row],[INVERSIONES FCI]])</f>
        <v>241750</v>
      </c>
      <c r="AX290" s="5">
        <f>IF($B289&lt;=Tabla5[[#This Row],[INVERSIONES FCI]],+Tabla5[[#This Row],[INVERSIONES FCI]]-AX289,Tabla5[[#This Row],[INVERSIONES FCI]])</f>
        <v>241750</v>
      </c>
      <c r="AY290" s="5">
        <f>IF($B289&lt;=Tabla5[[#This Row],[INVERSIONES FCI]],+Tabla5[[#This Row],[INVERSIONES FCI]]-AY289,Tabla5[[#This Row],[INVERSIONES FCI]])</f>
        <v>241750</v>
      </c>
      <c r="AZ290" s="5">
        <f>IF($B289&lt;=Tabla5[[#This Row],[INVERSIONES FCI]],+Tabla5[[#This Row],[INVERSIONES FCI]]-AZ289,Tabla5[[#This Row],[INVERSIONES FCI]])</f>
        <v>241750</v>
      </c>
      <c r="BA290" s="5">
        <f>IF($B289&lt;=Tabla5[[#This Row],[INVERSIONES FCI]],+Tabla5[[#This Row],[INVERSIONES FCI]]-BA289,Tabla5[[#This Row],[INVERSIONES FCI]])</f>
        <v>241750</v>
      </c>
      <c r="BB290" s="5">
        <f>IF($B289&lt;=Tabla5[[#This Row],[INVERSIONES FCI]],+Tabla5[[#This Row],[INVERSIONES FCI]]-BB289,Tabla5[[#This Row],[INVERSIONES FCI]])</f>
        <v>241750</v>
      </c>
      <c r="BC290" s="5">
        <f>IF($B289&lt;=Tabla5[[#This Row],[INVERSIONES FCI]],+Tabla5[[#This Row],[INVERSIONES FCI]]-BC289,Tabla5[[#This Row],[INVERSIONES FCI]])</f>
        <v>241750</v>
      </c>
      <c r="BD290" s="5">
        <f>IF($B289&lt;=Tabla5[[#This Row],[INVERSIONES FCI]],+Tabla5[[#This Row],[INVERSIONES FCI]]-BD289,Tabla5[[#This Row],[INVERSIONES FCI]])</f>
        <v>241750</v>
      </c>
      <c r="BE290" s="5">
        <f>IF($B289&lt;=Tabla5[[#This Row],[INVERSIONES FCI]],+Tabla5[[#This Row],[INVERSIONES FCI]]-BE289,Tabla5[[#This Row],[INVERSIONES FCI]])</f>
        <v>241750</v>
      </c>
      <c r="BF290" s="5">
        <f>IF($B289&lt;=Tabla5[[#This Row],[INVERSIONES FCI]],+Tabla5[[#This Row],[INVERSIONES FCI]]-BF289,Tabla5[[#This Row],[INVERSIONES FCI]])</f>
        <v>241750</v>
      </c>
      <c r="BG290" s="5">
        <f>IF($B289&lt;=Tabla5[[#This Row],[INVERSIONES FCI]],+Tabla5[[#This Row],[INVERSIONES FCI]]-BG289,Tabla5[[#This Row],[INVERSIONES FCI]])</f>
        <v>241750</v>
      </c>
      <c r="BH290" s="5">
        <f>IF($B289&lt;=Tabla5[[#This Row],[INVERSIONES FCI]],+Tabla5[[#This Row],[INVERSIONES FCI]]-BH289,Tabla5[[#This Row],[INVERSIONES FCI]])</f>
        <v>241750</v>
      </c>
      <c r="BI290" s="5">
        <f>IF($B289&lt;=Tabla5[[#This Row],[INVERSIONES FCI]],+Tabla5[[#This Row],[INVERSIONES FCI]]-BI289,Tabla5[[#This Row],[INVERSIONES FCI]])</f>
        <v>241750</v>
      </c>
      <c r="BJ290" s="5">
        <f>IF($B289&lt;=Tabla5[[#This Row],[INVERSIONES FCI]],+Tabla5[[#This Row],[INVERSIONES FCI]]-BJ289,Tabla5[[#This Row],[INVERSIONES FCI]])</f>
        <v>241750</v>
      </c>
      <c r="BK290" s="5">
        <f>IF($B289&lt;=Tabla5[[#This Row],[INVERSIONES FCI]],+Tabla5[[#This Row],[INVERSIONES FCI]]-BK289,Tabla5[[#This Row],[INVERSIONES FCI]])</f>
        <v>241750</v>
      </c>
      <c r="BL290" s="5">
        <f>IF($B289&lt;=Tabla5[[#This Row],[INVERSIONES FCI]],+Tabla5[[#This Row],[INVERSIONES FCI]]-BL289,Tabla5[[#This Row],[INVERSIONES FCI]])</f>
        <v>241750</v>
      </c>
      <c r="BM290" s="5">
        <f>IF($B289&lt;=Tabla5[[#This Row],[INVERSIONES FCI]],+Tabla5[[#This Row],[INVERSIONES FCI]]-BM289,Tabla5[[#This Row],[INVERSIONES FCI]])</f>
        <v>241750</v>
      </c>
      <c r="BN290" s="5">
        <f>IF($B289&lt;=Tabla5[[#This Row],[INVERSIONES FCI]],+Tabla5[[#This Row],[INVERSIONES FCI]]-BN289,Tabla5[[#This Row],[INVERSIONES FCI]])</f>
        <v>241750</v>
      </c>
      <c r="BO290" s="5">
        <f>IF($B289&lt;=Tabla5[[#This Row],[INVERSIONES FCI]],+Tabla5[[#This Row],[INVERSIONES FCI]]-BO289,Tabla5[[#This Row],[INVERSIONES FCI]])</f>
        <v>241750</v>
      </c>
      <c r="BP290" s="5">
        <f>IF($B289&lt;=Tabla5[[#This Row],[INVERSIONES FCI]],+Tabla5[[#This Row],[INVERSIONES FCI]]-BP289,Tabla5[[#This Row],[INVERSIONES FCI]])</f>
        <v>241750</v>
      </c>
      <c r="BQ290" s="5">
        <f>IF($B289&lt;=Tabla5[[#This Row],[INVERSIONES FCI]],+Tabla5[[#This Row],[INVERSIONES FCI]]-BQ289,Tabla5[[#This Row],[INVERSIONES FCI]])</f>
        <v>241750</v>
      </c>
      <c r="BR290" s="5">
        <f>IF($B289&lt;=Tabla5[[#This Row],[INVERSIONES FCI]],+Tabla5[[#This Row],[INVERSIONES FCI]]-BR289,Tabla5[[#This Row],[INVERSIONES FCI]])</f>
        <v>241750</v>
      </c>
      <c r="BS290" s="5">
        <f>IF($B289&lt;=Tabla5[[#This Row],[INVERSIONES FCI]],+Tabla5[[#This Row],[INVERSIONES FCI]]-BS289,Tabla5[[#This Row],[INVERSIONES FCI]])</f>
        <v>241750</v>
      </c>
      <c r="BT290" s="5">
        <f>IF($B289&lt;=Tabla5[[#This Row],[INVERSIONES FCI]],+Tabla5[[#This Row],[INVERSIONES FCI]]-BT289,Tabla5[[#This Row],[INVERSIONES FCI]])</f>
        <v>241750</v>
      </c>
      <c r="BU290" s="5">
        <f>IF($B289&lt;=Tabla5[[#This Row],[INVERSIONES FCI]],+Tabla5[[#This Row],[INVERSIONES FCI]]-BU289,Tabla5[[#This Row],[INVERSIONES FCI]])</f>
        <v>241750</v>
      </c>
      <c r="BV290" s="5">
        <f>IF($B289&lt;=Tabla5[[#This Row],[INVERSIONES FCI]],+Tabla5[[#This Row],[INVERSIONES FCI]]-BV289,Tabla5[[#This Row],[INVERSIONES FCI]])</f>
        <v>241750</v>
      </c>
      <c r="BW290" s="5">
        <f>IF($B289&lt;=Tabla5[[#This Row],[INVERSIONES FCI]],+Tabla5[[#This Row],[INVERSIONES FCI]]-BW289,Tabla5[[#This Row],[INVERSIONES FCI]])</f>
        <v>241750</v>
      </c>
      <c r="BX290" s="5">
        <f>IF($B289&lt;=Tabla5[[#This Row],[INVERSIONES FCI]],+Tabla5[[#This Row],[INVERSIONES FCI]]-BX289,Tabla5[[#This Row],[INVERSIONES FCI]])</f>
        <v>241750</v>
      </c>
      <c r="BY290" s="5">
        <f>IF($B289&lt;=Tabla5[[#This Row],[INVERSIONES FCI]],+Tabla5[[#This Row],[INVERSIONES FCI]]-BY289,Tabla5[[#This Row],[INVERSIONES FCI]])</f>
        <v>241750</v>
      </c>
      <c r="BZ290" s="5">
        <f>IF($B289&lt;=Tabla5[[#This Row],[INVERSIONES FCI]],+Tabla5[[#This Row],[INVERSIONES FCI]]-BZ289,Tabla5[[#This Row],[INVERSIONES FCI]])</f>
        <v>241750</v>
      </c>
      <c r="CA290" s="5">
        <f>IF($B289&lt;=Tabla5[[#This Row],[INVERSIONES FCI]],+Tabla5[[#This Row],[INVERSIONES FCI]]-CA289,Tabla5[[#This Row],[INVERSIONES FCI]])</f>
        <v>241750</v>
      </c>
      <c r="CB290" s="5">
        <f>IF($B289&lt;=Tabla5[[#This Row],[INVERSIONES FCI]],+Tabla5[[#This Row],[INVERSIONES FCI]]-CB289,Tabla5[[#This Row],[INVERSIONES FCI]])</f>
        <v>241750</v>
      </c>
      <c r="CC290" s="5">
        <f>IF($B289&lt;=Tabla5[[#This Row],[INVERSIONES FCI]],+Tabla5[[#This Row],[INVERSIONES FCI]]-CC289,Tabla5[[#This Row],[INVERSIONES FCI]])</f>
        <v>241750</v>
      </c>
      <c r="CD290" s="5">
        <f>IF($B289&lt;=Tabla5[[#This Row],[INVERSIONES FCI]],+Tabla5[[#This Row],[INVERSIONES FCI]]-CD289,Tabla5[[#This Row],[INVERSIONES FCI]])</f>
        <v>241750</v>
      </c>
      <c r="CE290" s="5">
        <f>IF($B289&lt;=Tabla5[[#This Row],[INVERSIONES FCI]],+Tabla5[[#This Row],[INVERSIONES FCI]]-CE289,Tabla5[[#This Row],[INVERSIONES FCI]])</f>
        <v>241750</v>
      </c>
      <c r="CF290" s="5">
        <f>IF($B289&lt;=Tabla5[[#This Row],[INVERSIONES FCI]],+Tabla5[[#This Row],[INVERSIONES FCI]]-CF289,Tabla5[[#This Row],[INVERSIONES FCI]])</f>
        <v>241750</v>
      </c>
      <c r="CG290" s="5">
        <f>IF($B289&lt;=Tabla5[[#This Row],[INVERSIONES FCI]],+Tabla5[[#This Row],[INVERSIONES FCI]]-CG289,Tabla5[[#This Row],[INVERSIONES FCI]])</f>
        <v>241750</v>
      </c>
      <c r="CH290" s="5">
        <f>IF($B289&lt;=Tabla5[[#This Row],[INVERSIONES FCI]],+Tabla5[[#This Row],[INVERSIONES FCI]]-CH289,Tabla5[[#This Row],[INVERSIONES FCI]])</f>
        <v>241750</v>
      </c>
      <c r="CI290" s="5">
        <f>IF($B289&lt;=Tabla5[[#This Row],[INVERSIONES FCI]],+Tabla5[[#This Row],[INVERSIONES FCI]]-CI289,Tabla5[[#This Row],[INVERSIONES FCI]])</f>
        <v>241750</v>
      </c>
      <c r="CJ290" s="5">
        <f>IF($B289&lt;=Tabla5[[#This Row],[INVERSIONES FCI]],+Tabla5[[#This Row],[INVERSIONES FCI]]-CJ289,Tabla5[[#This Row],[INVERSIONES FCI]])</f>
        <v>241750</v>
      </c>
      <c r="CK290" s="5">
        <f>IF($B289&lt;=Tabla5[[#This Row],[INVERSIONES FCI]],+Tabla5[[#This Row],[INVERSIONES FCI]]-CK289,Tabla5[[#This Row],[INVERSIONES FCI]])</f>
        <v>241750</v>
      </c>
      <c r="CL290" s="5">
        <f>IF($B289&lt;=Tabla5[[#This Row],[INVERSIONES FCI]],+Tabla5[[#This Row],[INVERSIONES FCI]]-CL289,Tabla5[[#This Row],[INVERSIONES FCI]])</f>
        <v>241750</v>
      </c>
      <c r="CM290" s="5">
        <f>IF($B289&lt;=Tabla5[[#This Row],[INVERSIONES FCI]],+Tabla5[[#This Row],[INVERSIONES FCI]]-CM289,Tabla5[[#This Row],[INVERSIONES FCI]])</f>
        <v>241750</v>
      </c>
      <c r="CN290" s="5">
        <f>IF($B289&lt;=Tabla5[[#This Row],[INVERSIONES FCI]],+Tabla5[[#This Row],[INVERSIONES FCI]]-CN289,Tabla5[[#This Row],[INVERSIONES FCI]])</f>
        <v>241750</v>
      </c>
      <c r="CO290" s="5">
        <f>IF($B289&lt;=Tabla5[[#This Row],[INVERSIONES FCI]],+Tabla5[[#This Row],[INVERSIONES FCI]]-CO289,Tabla5[[#This Row],[INVERSIONES FCI]])</f>
        <v>241750</v>
      </c>
      <c r="CP290" s="5">
        <f>IF($B289&lt;=Tabla5[[#This Row],[INVERSIONES FCI]],+Tabla5[[#This Row],[INVERSIONES FCI]]-CP289,Tabla5[[#This Row],[INVERSIONES FCI]])</f>
        <v>241750</v>
      </c>
      <c r="CQ290" s="5">
        <f>IF($B289&lt;=Tabla5[[#This Row],[INVERSIONES FCI]],+Tabla5[[#This Row],[INVERSIONES FCI]]-CQ289,Tabla5[[#This Row],[INVERSIONES FCI]])</f>
        <v>241750</v>
      </c>
      <c r="CR290" s="5">
        <f>IF($B289&lt;=Tabla5[[#This Row],[INVERSIONES FCI]],+Tabla5[[#This Row],[INVERSIONES FCI]]-CR289,Tabla5[[#This Row],[INVERSIONES FCI]])</f>
        <v>241750</v>
      </c>
      <c r="CS290" s="5">
        <f>IF($B289&lt;=Tabla5[[#This Row],[INVERSIONES FCI]],+Tabla5[[#This Row],[INVERSIONES FCI]]-CS289,Tabla5[[#This Row],[INVERSIONES FCI]])</f>
        <v>241750</v>
      </c>
      <c r="CT290" s="5">
        <f>IF($B289&lt;=Tabla5[[#This Row],[INVERSIONES FCI]],+Tabla5[[#This Row],[INVERSIONES FCI]]-CT289,Tabla5[[#This Row],[INVERSIONES FCI]])</f>
        <v>241750</v>
      </c>
      <c r="CU290" s="5">
        <f>IF($B289&lt;=Tabla5[[#This Row],[INVERSIONES FCI]],+Tabla5[[#This Row],[INVERSIONES FCI]]-CU289,Tabla5[[#This Row],[INVERSIONES FCI]])</f>
        <v>241750</v>
      </c>
      <c r="CV290" s="5">
        <f>IF($B289&lt;=Tabla5[[#This Row],[INVERSIONES FCI]],+Tabla5[[#This Row],[INVERSIONES FCI]]-CV289,Tabla5[[#This Row],[INVERSIONES FCI]])</f>
        <v>241750</v>
      </c>
      <c r="CW290" s="5">
        <f>IF($B289&lt;=Tabla5[[#This Row],[INVERSIONES FCI]],+Tabla5[[#This Row],[INVERSIONES FCI]]-CW289,Tabla5[[#This Row],[INVERSIONES FCI]])</f>
        <v>241750</v>
      </c>
      <c r="CX290" s="5">
        <f>IF($B289&lt;=Tabla5[[#This Row],[INVERSIONES FCI]],+Tabla5[[#This Row],[INVERSIONES FCI]]-CX289,Tabla5[[#This Row],[INVERSIONES FCI]])</f>
        <v>241750</v>
      </c>
      <c r="CY290" s="5">
        <f>IF($B289&lt;=Tabla5[[#This Row],[INVERSIONES FCI]],+Tabla5[[#This Row],[INVERSIONES FCI]]-CY289,Tabla5[[#This Row],[INVERSIONES FCI]])</f>
        <v>241750</v>
      </c>
      <c r="CZ290" s="5">
        <f>IF($B289&lt;=Tabla5[[#This Row],[INVERSIONES FCI]],+Tabla5[[#This Row],[INVERSIONES FCI]]-CZ289,Tabla5[[#This Row],[INVERSIONES FCI]])</f>
        <v>241750</v>
      </c>
      <c r="DA290" s="5">
        <f>IF($B289&lt;=Tabla5[[#This Row],[INVERSIONES FCI]],+Tabla5[[#This Row],[INVERSIONES FCI]]-DA289,Tabla5[[#This Row],[INVERSIONES FCI]])</f>
        <v>241750</v>
      </c>
      <c r="DB290" s="5">
        <f>IF($B289&lt;=Tabla5[[#This Row],[INVERSIONES FCI]],+Tabla5[[#This Row],[INVERSIONES FCI]]-DB289,Tabla5[[#This Row],[INVERSIONES FCI]])</f>
        <v>241750</v>
      </c>
      <c r="DC290" s="5">
        <f>IF($B289&lt;=Tabla5[[#This Row],[INVERSIONES FCI]],+Tabla5[[#This Row],[INVERSIONES FCI]]-DC289,Tabla5[[#This Row],[INVERSIONES FCI]])</f>
        <v>241750</v>
      </c>
      <c r="DD290" s="5">
        <f>IF($B289&lt;=Tabla5[[#This Row],[INVERSIONES FCI]],+Tabla5[[#This Row],[INVERSIONES FCI]]-DD289,Tabla5[[#This Row],[INVERSIONES FCI]])</f>
        <v>241750</v>
      </c>
      <c r="DE290" s="5">
        <f>IF($B289&lt;=Tabla5[[#This Row],[INVERSIONES FCI]],+Tabla5[[#This Row],[INVERSIONES FCI]]-DE289,Tabla5[[#This Row],[INVERSIONES FCI]])</f>
        <v>241750</v>
      </c>
      <c r="DF290" s="5">
        <f>IF($B289&lt;=Tabla5[[#This Row],[INVERSIONES FCI]],+Tabla5[[#This Row],[INVERSIONES FCI]]-DF289,Tabla5[[#This Row],[INVERSIONES FCI]])</f>
        <v>241750</v>
      </c>
      <c r="DG290" s="5">
        <f>IF($B289&lt;=Tabla5[[#This Row],[INVERSIONES FCI]],+Tabla5[[#This Row],[INVERSIONES FCI]]-DG289,Tabla5[[#This Row],[INVERSIONES FCI]])</f>
        <v>241750</v>
      </c>
      <c r="DH290" s="5">
        <f>IF($B289&lt;=Tabla5[[#This Row],[INVERSIONES FCI]],+Tabla5[[#This Row],[INVERSIONES FCI]]-DH289,Tabla5[[#This Row],[INVERSIONES FCI]])</f>
        <v>241750</v>
      </c>
      <c r="DI290" s="5">
        <f>IF($B289&lt;=Tabla5[[#This Row],[INVERSIONES FCI]],+Tabla5[[#This Row],[INVERSIONES FCI]]-DI289,Tabla5[[#This Row],[INVERSIONES FCI]])</f>
        <v>241750</v>
      </c>
      <c r="DJ290" s="5">
        <f>IF($B289&lt;=Tabla5[[#This Row],[INVERSIONES FCI]],+Tabla5[[#This Row],[INVERSIONES FCI]]-DJ289,Tabla5[[#This Row],[INVERSIONES FCI]])</f>
        <v>241750</v>
      </c>
      <c r="DK290" s="5">
        <f>IF($B289&lt;=Tabla5[[#This Row],[INVERSIONES FCI]],+Tabla5[[#This Row],[INVERSIONES FCI]]-DK289,Tabla5[[#This Row],[INVERSIONES FCI]])</f>
        <v>241750</v>
      </c>
      <c r="DL290" s="5"/>
      <c r="DM290" s="5"/>
      <c r="DN290" s="5"/>
      <c r="DO290" s="5"/>
      <c r="DP290" s="5"/>
      <c r="DQ290" s="5"/>
    </row>
    <row r="291" spans="1:121" ht="14.4">
      <c r="A291" s="12" t="s">
        <v>290</v>
      </c>
      <c r="B291" s="5">
        <f>HLOOKUP($A291,ESCENARIO[#All],7,FALSE)</f>
        <v>71053046506.666687</v>
      </c>
      <c r="C291" s="5">
        <f>IF($B290&lt;=Tabla5[[#This Row],[INVERSIONES FCI]],+Tabla5[[#This Row],[INVERSIONES FCI]]-C290,Tabla5[[#This Row],[INVERSIONES FCI]])</f>
        <v>71052804756.666687</v>
      </c>
      <c r="D291" s="5">
        <f>IF($B290&lt;=Tabla5[[#This Row],[INVERSIONES FCI]],+Tabla5[[#This Row],[INVERSIONES FCI]]-D290,Tabla5[[#This Row],[INVERSIONES FCI]])</f>
        <v>71052804756.666687</v>
      </c>
      <c r="E291" s="5">
        <f>IF($B290&lt;=Tabla5[[#This Row],[INVERSIONES FCI]],+Tabla5[[#This Row],[INVERSIONES FCI]]-E290,Tabla5[[#This Row],[INVERSIONES FCI]])</f>
        <v>71052804756.666687</v>
      </c>
      <c r="F291" s="5">
        <f>IF($B290&lt;=Tabla5[[#This Row],[INVERSIONES FCI]],+Tabla5[[#This Row],[INVERSIONES FCI]]-F290,Tabla5[[#This Row],[INVERSIONES FCI]])</f>
        <v>71052804756.666687</v>
      </c>
      <c r="G291" s="5">
        <f>IF($B290&lt;=Tabla5[[#This Row],[INVERSIONES FCI]],+Tabla5[[#This Row],[INVERSIONES FCI]]-G290,Tabla5[[#This Row],[INVERSIONES FCI]])</f>
        <v>71052804756.666687</v>
      </c>
      <c r="H291" s="5">
        <f>IF($B290&lt;=Tabla5[[#This Row],[INVERSIONES FCI]],+Tabla5[[#This Row],[INVERSIONES FCI]]-H290,Tabla5[[#This Row],[INVERSIONES FCI]])</f>
        <v>71052804756.666687</v>
      </c>
      <c r="I291" s="5">
        <f>IF($B290&lt;=Tabla5[[#This Row],[INVERSIONES FCI]],+Tabla5[[#This Row],[INVERSIONES FCI]]-I290,Tabla5[[#This Row],[INVERSIONES FCI]])</f>
        <v>71052804756.666687</v>
      </c>
      <c r="J291" s="5">
        <f>IF($B290&lt;=Tabla5[[#This Row],[INVERSIONES FCI]],+Tabla5[[#This Row],[INVERSIONES FCI]]-J290,Tabla5[[#This Row],[INVERSIONES FCI]])</f>
        <v>71052804756.666687</v>
      </c>
      <c r="K291" s="5">
        <f>IF($B290&lt;=Tabla5[[#This Row],[INVERSIONES FCI]],+Tabla5[[#This Row],[INVERSIONES FCI]]-K290,Tabla5[[#This Row],[INVERSIONES FCI]])</f>
        <v>71052804756.666687</v>
      </c>
      <c r="L291" s="5">
        <f>IF($B290&lt;=Tabla5[[#This Row],[INVERSIONES FCI]],+Tabla5[[#This Row],[INVERSIONES FCI]]-L290,Tabla5[[#This Row],[INVERSIONES FCI]])</f>
        <v>71052804756.666687</v>
      </c>
      <c r="M291" s="5">
        <f>IF($B290&lt;=Tabla5[[#This Row],[INVERSIONES FCI]],+Tabla5[[#This Row],[INVERSIONES FCI]]-M290,Tabla5[[#This Row],[INVERSIONES FCI]])</f>
        <v>71052804756.666687</v>
      </c>
      <c r="N291" s="5">
        <f>IF($B290&lt;=Tabla5[[#This Row],[INVERSIONES FCI]],+Tabla5[[#This Row],[INVERSIONES FCI]]-N290,Tabla5[[#This Row],[INVERSIONES FCI]])</f>
        <v>71052804756.666687</v>
      </c>
      <c r="O291" s="5">
        <f>IF($B290&lt;=Tabla5[[#This Row],[INVERSIONES FCI]],+Tabla5[[#This Row],[INVERSIONES FCI]]-O290,Tabla5[[#This Row],[INVERSIONES FCI]])</f>
        <v>71052804756.666687</v>
      </c>
      <c r="P291" s="5">
        <f>IF($B290&lt;=Tabla5[[#This Row],[INVERSIONES FCI]],+Tabla5[[#This Row],[INVERSIONES FCI]]-P290,Tabla5[[#This Row],[INVERSIONES FCI]])</f>
        <v>71052804756.666687</v>
      </c>
      <c r="Q291" s="5">
        <f>IF($B290&lt;=Tabla5[[#This Row],[INVERSIONES FCI]],+Tabla5[[#This Row],[INVERSIONES FCI]]-Q290,Tabla5[[#This Row],[INVERSIONES FCI]])</f>
        <v>71052804756.666687</v>
      </c>
      <c r="R291" s="5">
        <f>IF($B290&lt;=Tabla5[[#This Row],[INVERSIONES FCI]],+Tabla5[[#This Row],[INVERSIONES FCI]]-R290,Tabla5[[#This Row],[INVERSIONES FCI]])</f>
        <v>71052804756.666687</v>
      </c>
      <c r="S291" s="5">
        <f>IF($B290&lt;=Tabla5[[#This Row],[INVERSIONES FCI]],+Tabla5[[#This Row],[INVERSIONES FCI]]-S290,Tabla5[[#This Row],[INVERSIONES FCI]])</f>
        <v>71052804756.666687</v>
      </c>
      <c r="T291" s="5">
        <f>IF($B290&lt;=Tabla5[[#This Row],[INVERSIONES FCI]],+Tabla5[[#This Row],[INVERSIONES FCI]]-T290,Tabla5[[#This Row],[INVERSIONES FCI]])</f>
        <v>71052804756.666687</v>
      </c>
      <c r="U291" s="5">
        <f>IF($B290&lt;=Tabla5[[#This Row],[INVERSIONES FCI]],+Tabla5[[#This Row],[INVERSIONES FCI]]-U290,Tabla5[[#This Row],[INVERSIONES FCI]])</f>
        <v>71052804756.666687</v>
      </c>
      <c r="V291" s="5">
        <f>IF($B290&lt;=Tabla5[[#This Row],[INVERSIONES FCI]],+Tabla5[[#This Row],[INVERSIONES FCI]]-V290,Tabla5[[#This Row],[INVERSIONES FCI]])</f>
        <v>71052804756.666687</v>
      </c>
      <c r="W291" s="5">
        <f>IF($B290&lt;=Tabla5[[#This Row],[INVERSIONES FCI]],+Tabla5[[#This Row],[INVERSIONES FCI]]-W290,Tabla5[[#This Row],[INVERSIONES FCI]])</f>
        <v>71052804756.666687</v>
      </c>
      <c r="X291" s="5">
        <f>IF($B290&lt;=Tabla5[[#This Row],[INVERSIONES FCI]],+Tabla5[[#This Row],[INVERSIONES FCI]]-X290,Tabla5[[#This Row],[INVERSIONES FCI]])</f>
        <v>71052804756.666687</v>
      </c>
      <c r="Y291" s="5">
        <f>IF($B290&lt;=Tabla5[[#This Row],[INVERSIONES FCI]],+Tabla5[[#This Row],[INVERSIONES FCI]]-Y290,Tabla5[[#This Row],[INVERSIONES FCI]])</f>
        <v>71052804756.666687</v>
      </c>
      <c r="Z291" s="5">
        <f>IF($B290&lt;=Tabla5[[#This Row],[INVERSIONES FCI]],+Tabla5[[#This Row],[INVERSIONES FCI]]-Z290,Tabla5[[#This Row],[INVERSIONES FCI]])</f>
        <v>71052804756.666687</v>
      </c>
      <c r="AA291" s="5">
        <f>IF($B290&lt;=Tabla5[[#This Row],[INVERSIONES FCI]],+Tabla5[[#This Row],[INVERSIONES FCI]]-AA290,Tabla5[[#This Row],[INVERSIONES FCI]])</f>
        <v>71052804756.666687</v>
      </c>
      <c r="AB291" s="5">
        <f>IF($B290&lt;=Tabla5[[#This Row],[INVERSIONES FCI]],+Tabla5[[#This Row],[INVERSIONES FCI]]-AB290,Tabla5[[#This Row],[INVERSIONES FCI]])</f>
        <v>71052804756.666687</v>
      </c>
      <c r="AC291" s="5">
        <f>IF($B290&lt;=Tabla5[[#This Row],[INVERSIONES FCI]],+Tabla5[[#This Row],[INVERSIONES FCI]]-AC290,Tabla5[[#This Row],[INVERSIONES FCI]])</f>
        <v>71052804756.666687</v>
      </c>
      <c r="AD291" s="5">
        <f>IF($B290&lt;=Tabla5[[#This Row],[INVERSIONES FCI]],+Tabla5[[#This Row],[INVERSIONES FCI]]-AD290,Tabla5[[#This Row],[INVERSIONES FCI]])</f>
        <v>71052804756.666687</v>
      </c>
      <c r="AE291" s="5">
        <f>IF($B290&lt;=Tabla5[[#This Row],[INVERSIONES FCI]],+Tabla5[[#This Row],[INVERSIONES FCI]]-AE290,Tabla5[[#This Row],[INVERSIONES FCI]])</f>
        <v>71052804756.666687</v>
      </c>
      <c r="AF291" s="5">
        <f>IF($B290&lt;=Tabla5[[#This Row],[INVERSIONES FCI]],+Tabla5[[#This Row],[INVERSIONES FCI]]-AF290,Tabla5[[#This Row],[INVERSIONES FCI]])</f>
        <v>71052804756.666687</v>
      </c>
      <c r="AG291" s="5">
        <f>IF($B290&lt;=Tabla5[[#This Row],[INVERSIONES FCI]],+Tabla5[[#This Row],[INVERSIONES FCI]]-AG290,Tabla5[[#This Row],[INVERSIONES FCI]])</f>
        <v>71052804756.666687</v>
      </c>
      <c r="AH291" s="5">
        <f>IF($B290&lt;=Tabla5[[#This Row],[INVERSIONES FCI]],+Tabla5[[#This Row],[INVERSIONES FCI]]-AH290,Tabla5[[#This Row],[INVERSIONES FCI]])</f>
        <v>71052804756.666687</v>
      </c>
      <c r="AI291" s="5">
        <f>IF($B290&lt;=Tabla5[[#This Row],[INVERSIONES FCI]],+Tabla5[[#This Row],[INVERSIONES FCI]]-AI290,Tabla5[[#This Row],[INVERSIONES FCI]])</f>
        <v>71052804756.666687</v>
      </c>
      <c r="AJ291" s="5">
        <f>IF($B290&lt;=Tabla5[[#This Row],[INVERSIONES FCI]],+Tabla5[[#This Row],[INVERSIONES FCI]]-AJ290,Tabla5[[#This Row],[INVERSIONES FCI]])</f>
        <v>71052804756.666687</v>
      </c>
      <c r="AK291" s="5">
        <f>IF($B290&lt;=Tabla5[[#This Row],[INVERSIONES FCI]],+Tabla5[[#This Row],[INVERSIONES FCI]]-AK290,Tabla5[[#This Row],[INVERSIONES FCI]])</f>
        <v>71052804756.666687</v>
      </c>
      <c r="AL291" s="5">
        <f>IF($B290&lt;=Tabla5[[#This Row],[INVERSIONES FCI]],+Tabla5[[#This Row],[INVERSIONES FCI]]-AL290,Tabla5[[#This Row],[INVERSIONES FCI]])</f>
        <v>71052804756.666687</v>
      </c>
      <c r="AM291" s="5">
        <f>IF($B290&lt;=Tabla5[[#This Row],[INVERSIONES FCI]],+Tabla5[[#This Row],[INVERSIONES FCI]]-AM290,Tabla5[[#This Row],[INVERSIONES FCI]])</f>
        <v>71052804756.666687</v>
      </c>
      <c r="AN291" s="5">
        <f>IF($B290&lt;=Tabla5[[#This Row],[INVERSIONES FCI]],+Tabla5[[#This Row],[INVERSIONES FCI]]-AN290,Tabla5[[#This Row],[INVERSIONES FCI]])</f>
        <v>71052804756.666687</v>
      </c>
      <c r="AO291" s="5">
        <f>IF($B290&lt;=Tabla5[[#This Row],[INVERSIONES FCI]],+Tabla5[[#This Row],[INVERSIONES FCI]]-AO290,Tabla5[[#This Row],[INVERSIONES FCI]])</f>
        <v>71052804756.666687</v>
      </c>
      <c r="AP291" s="5">
        <f>IF($B290&lt;=Tabla5[[#This Row],[INVERSIONES FCI]],+Tabla5[[#This Row],[INVERSIONES FCI]]-AP290,Tabla5[[#This Row],[INVERSIONES FCI]])</f>
        <v>71052804756.666687</v>
      </c>
      <c r="AQ291" s="5">
        <f>IF($B290&lt;=Tabla5[[#This Row],[INVERSIONES FCI]],+Tabla5[[#This Row],[INVERSIONES FCI]]-AQ290,Tabla5[[#This Row],[INVERSIONES FCI]])</f>
        <v>71052804756.666687</v>
      </c>
      <c r="AR291" s="5">
        <f>IF($B290&lt;=Tabla5[[#This Row],[INVERSIONES FCI]],+Tabla5[[#This Row],[INVERSIONES FCI]]-AR290,Tabla5[[#This Row],[INVERSIONES FCI]])</f>
        <v>71052804756.666687</v>
      </c>
      <c r="AS291" s="5">
        <f>IF($B290&lt;=Tabla5[[#This Row],[INVERSIONES FCI]],+Tabla5[[#This Row],[INVERSIONES FCI]]-AS290,Tabla5[[#This Row],[INVERSIONES FCI]])</f>
        <v>71052804756.666687</v>
      </c>
      <c r="AT291" s="5">
        <f>IF($B290&lt;=Tabla5[[#This Row],[INVERSIONES FCI]],+Tabla5[[#This Row],[INVERSIONES FCI]]-AT290,Tabla5[[#This Row],[INVERSIONES FCI]])</f>
        <v>71052804756.666687</v>
      </c>
      <c r="AU291" s="5">
        <f>IF($B290&lt;=Tabla5[[#This Row],[INVERSIONES FCI]],+Tabla5[[#This Row],[INVERSIONES FCI]]-AU290,Tabla5[[#This Row],[INVERSIONES FCI]])</f>
        <v>71052804756.666687</v>
      </c>
      <c r="AV291" s="5">
        <f>IF($B290&lt;=Tabla5[[#This Row],[INVERSIONES FCI]],+Tabla5[[#This Row],[INVERSIONES FCI]]-AV290,Tabla5[[#This Row],[INVERSIONES FCI]])</f>
        <v>71052804756.666687</v>
      </c>
      <c r="AW291" s="5">
        <f>IF($B290&lt;=Tabla5[[#This Row],[INVERSIONES FCI]],+Tabla5[[#This Row],[INVERSIONES FCI]]-AW290,Tabla5[[#This Row],[INVERSIONES FCI]])</f>
        <v>71052804756.666687</v>
      </c>
      <c r="AX291" s="5">
        <f>IF($B290&lt;=Tabla5[[#This Row],[INVERSIONES FCI]],+Tabla5[[#This Row],[INVERSIONES FCI]]-AX290,Tabla5[[#This Row],[INVERSIONES FCI]])</f>
        <v>71052804756.666687</v>
      </c>
      <c r="AY291" s="5">
        <f>IF($B290&lt;=Tabla5[[#This Row],[INVERSIONES FCI]],+Tabla5[[#This Row],[INVERSIONES FCI]]-AY290,Tabla5[[#This Row],[INVERSIONES FCI]])</f>
        <v>71052804756.666687</v>
      </c>
      <c r="AZ291" s="5">
        <f>IF($B290&lt;=Tabla5[[#This Row],[INVERSIONES FCI]],+Tabla5[[#This Row],[INVERSIONES FCI]]-AZ290,Tabla5[[#This Row],[INVERSIONES FCI]])</f>
        <v>71052804756.666687</v>
      </c>
      <c r="BA291" s="5">
        <f>IF($B290&lt;=Tabla5[[#This Row],[INVERSIONES FCI]],+Tabla5[[#This Row],[INVERSIONES FCI]]-BA290,Tabla5[[#This Row],[INVERSIONES FCI]])</f>
        <v>71052804756.666687</v>
      </c>
      <c r="BB291" s="5">
        <f>IF($B290&lt;=Tabla5[[#This Row],[INVERSIONES FCI]],+Tabla5[[#This Row],[INVERSIONES FCI]]-BB290,Tabla5[[#This Row],[INVERSIONES FCI]])</f>
        <v>71052804756.666687</v>
      </c>
      <c r="BC291" s="5">
        <f>IF($B290&lt;=Tabla5[[#This Row],[INVERSIONES FCI]],+Tabla5[[#This Row],[INVERSIONES FCI]]-BC290,Tabla5[[#This Row],[INVERSIONES FCI]])</f>
        <v>71052804756.666687</v>
      </c>
      <c r="BD291" s="5">
        <f>IF($B290&lt;=Tabla5[[#This Row],[INVERSIONES FCI]],+Tabla5[[#This Row],[INVERSIONES FCI]]-BD290,Tabla5[[#This Row],[INVERSIONES FCI]])</f>
        <v>71052804756.666687</v>
      </c>
      <c r="BE291" s="5">
        <f>IF($B290&lt;=Tabla5[[#This Row],[INVERSIONES FCI]],+Tabla5[[#This Row],[INVERSIONES FCI]]-BE290,Tabla5[[#This Row],[INVERSIONES FCI]])</f>
        <v>71052804756.666687</v>
      </c>
      <c r="BF291" s="5">
        <f>IF($B290&lt;=Tabla5[[#This Row],[INVERSIONES FCI]],+Tabla5[[#This Row],[INVERSIONES FCI]]-BF290,Tabla5[[#This Row],[INVERSIONES FCI]])</f>
        <v>71052804756.666687</v>
      </c>
      <c r="BG291" s="5">
        <f>IF($B290&lt;=Tabla5[[#This Row],[INVERSIONES FCI]],+Tabla5[[#This Row],[INVERSIONES FCI]]-BG290,Tabla5[[#This Row],[INVERSIONES FCI]])</f>
        <v>71052804756.666687</v>
      </c>
      <c r="BH291" s="5">
        <f>IF($B290&lt;=Tabla5[[#This Row],[INVERSIONES FCI]],+Tabla5[[#This Row],[INVERSIONES FCI]]-BH290,Tabla5[[#This Row],[INVERSIONES FCI]])</f>
        <v>71052804756.666687</v>
      </c>
      <c r="BI291" s="5">
        <f>IF($B290&lt;=Tabla5[[#This Row],[INVERSIONES FCI]],+Tabla5[[#This Row],[INVERSIONES FCI]]-BI290,Tabla5[[#This Row],[INVERSIONES FCI]])</f>
        <v>71052804756.666687</v>
      </c>
      <c r="BJ291" s="5">
        <f>IF($B290&lt;=Tabla5[[#This Row],[INVERSIONES FCI]],+Tabla5[[#This Row],[INVERSIONES FCI]]-BJ290,Tabla5[[#This Row],[INVERSIONES FCI]])</f>
        <v>71052804756.666687</v>
      </c>
      <c r="BK291" s="5">
        <f>IF($B290&lt;=Tabla5[[#This Row],[INVERSIONES FCI]],+Tabla5[[#This Row],[INVERSIONES FCI]]-BK290,Tabla5[[#This Row],[INVERSIONES FCI]])</f>
        <v>71052804756.666687</v>
      </c>
      <c r="BL291" s="5">
        <f>IF($B290&lt;=Tabla5[[#This Row],[INVERSIONES FCI]],+Tabla5[[#This Row],[INVERSIONES FCI]]-BL290,Tabla5[[#This Row],[INVERSIONES FCI]])</f>
        <v>71052804756.666687</v>
      </c>
      <c r="BM291" s="5">
        <f>IF($B290&lt;=Tabla5[[#This Row],[INVERSIONES FCI]],+Tabla5[[#This Row],[INVERSIONES FCI]]-BM290,Tabla5[[#This Row],[INVERSIONES FCI]])</f>
        <v>71052804756.666687</v>
      </c>
      <c r="BN291" s="5">
        <f>IF($B290&lt;=Tabla5[[#This Row],[INVERSIONES FCI]],+Tabla5[[#This Row],[INVERSIONES FCI]]-BN290,Tabla5[[#This Row],[INVERSIONES FCI]])</f>
        <v>71052804756.666687</v>
      </c>
      <c r="BO291" s="5">
        <f>IF($B290&lt;=Tabla5[[#This Row],[INVERSIONES FCI]],+Tabla5[[#This Row],[INVERSIONES FCI]]-BO290,Tabla5[[#This Row],[INVERSIONES FCI]])</f>
        <v>71052804756.666687</v>
      </c>
      <c r="BP291" s="5">
        <f>IF($B290&lt;=Tabla5[[#This Row],[INVERSIONES FCI]],+Tabla5[[#This Row],[INVERSIONES FCI]]-BP290,Tabla5[[#This Row],[INVERSIONES FCI]])</f>
        <v>71052804756.666687</v>
      </c>
      <c r="BQ291" s="5">
        <f>IF($B290&lt;=Tabla5[[#This Row],[INVERSIONES FCI]],+Tabla5[[#This Row],[INVERSIONES FCI]]-BQ290,Tabla5[[#This Row],[INVERSIONES FCI]])</f>
        <v>71052804756.666687</v>
      </c>
      <c r="BR291" s="5">
        <f>IF($B290&lt;=Tabla5[[#This Row],[INVERSIONES FCI]],+Tabla5[[#This Row],[INVERSIONES FCI]]-BR290,Tabla5[[#This Row],[INVERSIONES FCI]])</f>
        <v>71052804756.666687</v>
      </c>
      <c r="BS291" s="5">
        <f>IF($B290&lt;=Tabla5[[#This Row],[INVERSIONES FCI]],+Tabla5[[#This Row],[INVERSIONES FCI]]-BS290,Tabla5[[#This Row],[INVERSIONES FCI]])</f>
        <v>71052804756.666687</v>
      </c>
      <c r="BT291" s="5">
        <f>IF($B290&lt;=Tabla5[[#This Row],[INVERSIONES FCI]],+Tabla5[[#This Row],[INVERSIONES FCI]]-BT290,Tabla5[[#This Row],[INVERSIONES FCI]])</f>
        <v>71052804756.666687</v>
      </c>
      <c r="BU291" s="5">
        <f>IF($B290&lt;=Tabla5[[#This Row],[INVERSIONES FCI]],+Tabla5[[#This Row],[INVERSIONES FCI]]-BU290,Tabla5[[#This Row],[INVERSIONES FCI]])</f>
        <v>71052804756.666687</v>
      </c>
      <c r="BV291" s="5">
        <f>IF($B290&lt;=Tabla5[[#This Row],[INVERSIONES FCI]],+Tabla5[[#This Row],[INVERSIONES FCI]]-BV290,Tabla5[[#This Row],[INVERSIONES FCI]])</f>
        <v>71052804756.666687</v>
      </c>
      <c r="BW291" s="5">
        <f>IF($B290&lt;=Tabla5[[#This Row],[INVERSIONES FCI]],+Tabla5[[#This Row],[INVERSIONES FCI]]-BW290,Tabla5[[#This Row],[INVERSIONES FCI]])</f>
        <v>71052804756.666687</v>
      </c>
      <c r="BX291" s="5">
        <f>IF($B290&lt;=Tabla5[[#This Row],[INVERSIONES FCI]],+Tabla5[[#This Row],[INVERSIONES FCI]]-BX290,Tabla5[[#This Row],[INVERSIONES FCI]])</f>
        <v>71052804756.666687</v>
      </c>
      <c r="BY291" s="5">
        <f>IF($B290&lt;=Tabla5[[#This Row],[INVERSIONES FCI]],+Tabla5[[#This Row],[INVERSIONES FCI]]-BY290,Tabla5[[#This Row],[INVERSIONES FCI]])</f>
        <v>71052804756.666687</v>
      </c>
      <c r="BZ291" s="5">
        <f>IF($B290&lt;=Tabla5[[#This Row],[INVERSIONES FCI]],+Tabla5[[#This Row],[INVERSIONES FCI]]-BZ290,Tabla5[[#This Row],[INVERSIONES FCI]])</f>
        <v>71052804756.666687</v>
      </c>
      <c r="CA291" s="5">
        <f>IF($B290&lt;=Tabla5[[#This Row],[INVERSIONES FCI]],+Tabla5[[#This Row],[INVERSIONES FCI]]-CA290,Tabla5[[#This Row],[INVERSIONES FCI]])</f>
        <v>71052804756.666687</v>
      </c>
      <c r="CB291" s="5">
        <f>IF($B290&lt;=Tabla5[[#This Row],[INVERSIONES FCI]],+Tabla5[[#This Row],[INVERSIONES FCI]]-CB290,Tabla5[[#This Row],[INVERSIONES FCI]])</f>
        <v>71052804756.666687</v>
      </c>
      <c r="CC291" s="5">
        <f>IF($B290&lt;=Tabla5[[#This Row],[INVERSIONES FCI]],+Tabla5[[#This Row],[INVERSIONES FCI]]-CC290,Tabla5[[#This Row],[INVERSIONES FCI]])</f>
        <v>71052804756.666687</v>
      </c>
      <c r="CD291" s="5">
        <f>IF($B290&lt;=Tabla5[[#This Row],[INVERSIONES FCI]],+Tabla5[[#This Row],[INVERSIONES FCI]]-CD290,Tabla5[[#This Row],[INVERSIONES FCI]])</f>
        <v>71052804756.666687</v>
      </c>
      <c r="CE291" s="5">
        <f>IF($B290&lt;=Tabla5[[#This Row],[INVERSIONES FCI]],+Tabla5[[#This Row],[INVERSIONES FCI]]-CE290,Tabla5[[#This Row],[INVERSIONES FCI]])</f>
        <v>71052804756.666687</v>
      </c>
      <c r="CF291" s="5">
        <f>IF($B290&lt;=Tabla5[[#This Row],[INVERSIONES FCI]],+Tabla5[[#This Row],[INVERSIONES FCI]]-CF290,Tabla5[[#This Row],[INVERSIONES FCI]])</f>
        <v>71052804756.666687</v>
      </c>
      <c r="CG291" s="5">
        <f>IF($B290&lt;=Tabla5[[#This Row],[INVERSIONES FCI]],+Tabla5[[#This Row],[INVERSIONES FCI]]-CG290,Tabla5[[#This Row],[INVERSIONES FCI]])</f>
        <v>71052804756.666687</v>
      </c>
      <c r="CH291" s="5">
        <f>IF($B290&lt;=Tabla5[[#This Row],[INVERSIONES FCI]],+Tabla5[[#This Row],[INVERSIONES FCI]]-CH290,Tabla5[[#This Row],[INVERSIONES FCI]])</f>
        <v>71052804756.666687</v>
      </c>
      <c r="CI291" s="5">
        <f>IF($B290&lt;=Tabla5[[#This Row],[INVERSIONES FCI]],+Tabla5[[#This Row],[INVERSIONES FCI]]-CI290,Tabla5[[#This Row],[INVERSIONES FCI]])</f>
        <v>71052804756.666687</v>
      </c>
      <c r="CJ291" s="5">
        <f>IF($B290&lt;=Tabla5[[#This Row],[INVERSIONES FCI]],+Tabla5[[#This Row],[INVERSIONES FCI]]-CJ290,Tabla5[[#This Row],[INVERSIONES FCI]])</f>
        <v>71052804756.666687</v>
      </c>
      <c r="CK291" s="5">
        <f>IF($B290&lt;=Tabla5[[#This Row],[INVERSIONES FCI]],+Tabla5[[#This Row],[INVERSIONES FCI]]-CK290,Tabla5[[#This Row],[INVERSIONES FCI]])</f>
        <v>71052804756.666687</v>
      </c>
      <c r="CL291" s="5">
        <f>IF($B290&lt;=Tabla5[[#This Row],[INVERSIONES FCI]],+Tabla5[[#This Row],[INVERSIONES FCI]]-CL290,Tabla5[[#This Row],[INVERSIONES FCI]])</f>
        <v>71052804756.666687</v>
      </c>
      <c r="CM291" s="5">
        <f>IF($B290&lt;=Tabla5[[#This Row],[INVERSIONES FCI]],+Tabla5[[#This Row],[INVERSIONES FCI]]-CM290,Tabla5[[#This Row],[INVERSIONES FCI]])</f>
        <v>71052804756.666687</v>
      </c>
      <c r="CN291" s="5">
        <f>IF($B290&lt;=Tabla5[[#This Row],[INVERSIONES FCI]],+Tabla5[[#This Row],[INVERSIONES FCI]]-CN290,Tabla5[[#This Row],[INVERSIONES FCI]])</f>
        <v>71052804756.666687</v>
      </c>
      <c r="CO291" s="5">
        <f>IF($B290&lt;=Tabla5[[#This Row],[INVERSIONES FCI]],+Tabla5[[#This Row],[INVERSIONES FCI]]-CO290,Tabla5[[#This Row],[INVERSIONES FCI]])</f>
        <v>71052804756.666687</v>
      </c>
      <c r="CP291" s="5">
        <f>IF($B290&lt;=Tabla5[[#This Row],[INVERSIONES FCI]],+Tabla5[[#This Row],[INVERSIONES FCI]]-CP290,Tabla5[[#This Row],[INVERSIONES FCI]])</f>
        <v>71052804756.666687</v>
      </c>
      <c r="CQ291" s="5">
        <f>IF($B290&lt;=Tabla5[[#This Row],[INVERSIONES FCI]],+Tabla5[[#This Row],[INVERSIONES FCI]]-CQ290,Tabla5[[#This Row],[INVERSIONES FCI]])</f>
        <v>71052804756.666687</v>
      </c>
      <c r="CR291" s="5">
        <f>IF($B290&lt;=Tabla5[[#This Row],[INVERSIONES FCI]],+Tabla5[[#This Row],[INVERSIONES FCI]]-CR290,Tabla5[[#This Row],[INVERSIONES FCI]])</f>
        <v>71052804756.666687</v>
      </c>
      <c r="CS291" s="5">
        <f>IF($B290&lt;=Tabla5[[#This Row],[INVERSIONES FCI]],+Tabla5[[#This Row],[INVERSIONES FCI]]-CS290,Tabla5[[#This Row],[INVERSIONES FCI]])</f>
        <v>71052804756.666687</v>
      </c>
      <c r="CT291" s="5">
        <f>IF($B290&lt;=Tabla5[[#This Row],[INVERSIONES FCI]],+Tabla5[[#This Row],[INVERSIONES FCI]]-CT290,Tabla5[[#This Row],[INVERSIONES FCI]])</f>
        <v>71052804756.666687</v>
      </c>
      <c r="CU291" s="5">
        <f>IF($B290&lt;=Tabla5[[#This Row],[INVERSIONES FCI]],+Tabla5[[#This Row],[INVERSIONES FCI]]-CU290,Tabla5[[#This Row],[INVERSIONES FCI]])</f>
        <v>71052804756.666687</v>
      </c>
      <c r="CV291" s="5">
        <f>IF($B290&lt;=Tabla5[[#This Row],[INVERSIONES FCI]],+Tabla5[[#This Row],[INVERSIONES FCI]]-CV290,Tabla5[[#This Row],[INVERSIONES FCI]])</f>
        <v>71052804756.666687</v>
      </c>
      <c r="CW291" s="5">
        <f>IF($B290&lt;=Tabla5[[#This Row],[INVERSIONES FCI]],+Tabla5[[#This Row],[INVERSIONES FCI]]-CW290,Tabla5[[#This Row],[INVERSIONES FCI]])</f>
        <v>71052804756.666687</v>
      </c>
      <c r="CX291" s="5">
        <f>IF($B290&lt;=Tabla5[[#This Row],[INVERSIONES FCI]],+Tabla5[[#This Row],[INVERSIONES FCI]]-CX290,Tabla5[[#This Row],[INVERSIONES FCI]])</f>
        <v>71052804756.666687</v>
      </c>
      <c r="CY291" s="5">
        <f>IF($B290&lt;=Tabla5[[#This Row],[INVERSIONES FCI]],+Tabla5[[#This Row],[INVERSIONES FCI]]-CY290,Tabla5[[#This Row],[INVERSIONES FCI]])</f>
        <v>71052804756.666687</v>
      </c>
      <c r="CZ291" s="5">
        <f>IF($B290&lt;=Tabla5[[#This Row],[INVERSIONES FCI]],+Tabla5[[#This Row],[INVERSIONES FCI]]-CZ290,Tabla5[[#This Row],[INVERSIONES FCI]])</f>
        <v>71052804756.666687</v>
      </c>
      <c r="DA291" s="5">
        <f>IF($B290&lt;=Tabla5[[#This Row],[INVERSIONES FCI]],+Tabla5[[#This Row],[INVERSIONES FCI]]-DA290,Tabla5[[#This Row],[INVERSIONES FCI]])</f>
        <v>71052804756.666687</v>
      </c>
      <c r="DB291" s="5">
        <f>IF($B290&lt;=Tabla5[[#This Row],[INVERSIONES FCI]],+Tabla5[[#This Row],[INVERSIONES FCI]]-DB290,Tabla5[[#This Row],[INVERSIONES FCI]])</f>
        <v>71052804756.666687</v>
      </c>
      <c r="DC291" s="5">
        <f>IF($B290&lt;=Tabla5[[#This Row],[INVERSIONES FCI]],+Tabla5[[#This Row],[INVERSIONES FCI]]-DC290,Tabla5[[#This Row],[INVERSIONES FCI]])</f>
        <v>71052804756.666687</v>
      </c>
      <c r="DD291" s="5">
        <f>IF($B290&lt;=Tabla5[[#This Row],[INVERSIONES FCI]],+Tabla5[[#This Row],[INVERSIONES FCI]]-DD290,Tabla5[[#This Row],[INVERSIONES FCI]])</f>
        <v>71052804756.666687</v>
      </c>
      <c r="DE291" s="5">
        <f>IF($B290&lt;=Tabla5[[#This Row],[INVERSIONES FCI]],+Tabla5[[#This Row],[INVERSIONES FCI]]-DE290,Tabla5[[#This Row],[INVERSIONES FCI]])</f>
        <v>71052804756.666687</v>
      </c>
      <c r="DF291" s="5">
        <f>IF($B290&lt;=Tabla5[[#This Row],[INVERSIONES FCI]],+Tabla5[[#This Row],[INVERSIONES FCI]]-DF290,Tabla5[[#This Row],[INVERSIONES FCI]])</f>
        <v>71052804756.666687</v>
      </c>
      <c r="DG291" s="5">
        <f>IF($B290&lt;=Tabla5[[#This Row],[INVERSIONES FCI]],+Tabla5[[#This Row],[INVERSIONES FCI]]-DG290,Tabla5[[#This Row],[INVERSIONES FCI]])</f>
        <v>71052804756.666687</v>
      </c>
      <c r="DH291" s="5">
        <f>IF($B290&lt;=Tabla5[[#This Row],[INVERSIONES FCI]],+Tabla5[[#This Row],[INVERSIONES FCI]]-DH290,Tabla5[[#This Row],[INVERSIONES FCI]])</f>
        <v>71052804756.666687</v>
      </c>
      <c r="DI291" s="5">
        <f>IF($B290&lt;=Tabla5[[#This Row],[INVERSIONES FCI]],+Tabla5[[#This Row],[INVERSIONES FCI]]-DI290,Tabla5[[#This Row],[INVERSIONES FCI]])</f>
        <v>71052804756.666687</v>
      </c>
      <c r="DJ291" s="5">
        <f>IF($B290&lt;=Tabla5[[#This Row],[INVERSIONES FCI]],+Tabla5[[#This Row],[INVERSIONES FCI]]-DJ290,Tabla5[[#This Row],[INVERSIONES FCI]])</f>
        <v>71052804756.666687</v>
      </c>
      <c r="DK291" s="5">
        <f>IF($B290&lt;=Tabla5[[#This Row],[INVERSIONES FCI]],+Tabla5[[#This Row],[INVERSIONES FCI]]-DK290,Tabla5[[#This Row],[INVERSIONES FCI]])</f>
        <v>71052804756.666687</v>
      </c>
      <c r="DL291" s="5"/>
      <c r="DM291" s="5"/>
      <c r="DN291" s="5"/>
      <c r="DO291" s="5"/>
      <c r="DP291" s="5"/>
      <c r="DQ291" s="5"/>
    </row>
    <row r="292" spans="1:121" ht="14.4">
      <c r="A292" s="12" t="s">
        <v>291</v>
      </c>
      <c r="B292" s="5">
        <f>HLOOKUP($A292,ESCENARIO[#All],7,FALSE)</f>
        <v>72576440826.01828</v>
      </c>
      <c r="C292" s="5">
        <f>IF($B291&lt;=Tabla5[[#This Row],[INVERSIONES FCI]],+Tabla5[[#This Row],[INVERSIONES FCI]]-C291,Tabla5[[#This Row],[INVERSIONES FCI]])</f>
        <v>1523636069.351593</v>
      </c>
      <c r="D292" s="5">
        <f>IF($B291&lt;=Tabla5[[#This Row],[INVERSIONES FCI]],+Tabla5[[#This Row],[INVERSIONES FCI]]-D291,Tabla5[[#This Row],[INVERSIONES FCI]])</f>
        <v>1523636069.351593</v>
      </c>
      <c r="E292" s="5">
        <f>IF($B291&lt;=Tabla5[[#This Row],[INVERSIONES FCI]],+Tabla5[[#This Row],[INVERSIONES FCI]]-E291,Tabla5[[#This Row],[INVERSIONES FCI]])</f>
        <v>1523636069.351593</v>
      </c>
      <c r="F292" s="5">
        <f>IF($B291&lt;=Tabla5[[#This Row],[INVERSIONES FCI]],+Tabla5[[#This Row],[INVERSIONES FCI]]-F291,Tabla5[[#This Row],[INVERSIONES FCI]])</f>
        <v>1523636069.351593</v>
      </c>
      <c r="G292" s="5">
        <f>IF($B291&lt;=Tabla5[[#This Row],[INVERSIONES FCI]],+Tabla5[[#This Row],[INVERSIONES FCI]]-G291,Tabla5[[#This Row],[INVERSIONES FCI]])</f>
        <v>1523636069.351593</v>
      </c>
      <c r="H292" s="5">
        <f>IF($B291&lt;=Tabla5[[#This Row],[INVERSIONES FCI]],+Tabla5[[#This Row],[INVERSIONES FCI]]-H291,Tabla5[[#This Row],[INVERSIONES FCI]])</f>
        <v>1523636069.351593</v>
      </c>
      <c r="I292" s="5">
        <f>IF($B291&lt;=Tabla5[[#This Row],[INVERSIONES FCI]],+Tabla5[[#This Row],[INVERSIONES FCI]]-I291,Tabla5[[#This Row],[INVERSIONES FCI]])</f>
        <v>1523636069.351593</v>
      </c>
      <c r="J292" s="5">
        <f>IF($B291&lt;=Tabla5[[#This Row],[INVERSIONES FCI]],+Tabla5[[#This Row],[INVERSIONES FCI]]-J291,Tabla5[[#This Row],[INVERSIONES FCI]])</f>
        <v>1523636069.351593</v>
      </c>
      <c r="K292" s="5">
        <f>IF($B291&lt;=Tabla5[[#This Row],[INVERSIONES FCI]],+Tabla5[[#This Row],[INVERSIONES FCI]]-K291,Tabla5[[#This Row],[INVERSIONES FCI]])</f>
        <v>1523636069.351593</v>
      </c>
      <c r="L292" s="5">
        <f>IF($B291&lt;=Tabla5[[#This Row],[INVERSIONES FCI]],+Tabla5[[#This Row],[INVERSIONES FCI]]-L291,Tabla5[[#This Row],[INVERSIONES FCI]])</f>
        <v>1523636069.351593</v>
      </c>
      <c r="M292" s="5">
        <f>IF($B291&lt;=Tabla5[[#This Row],[INVERSIONES FCI]],+Tabla5[[#This Row],[INVERSIONES FCI]]-M291,Tabla5[[#This Row],[INVERSIONES FCI]])</f>
        <v>1523636069.351593</v>
      </c>
      <c r="N292" s="5">
        <f>IF($B291&lt;=Tabla5[[#This Row],[INVERSIONES FCI]],+Tabla5[[#This Row],[INVERSIONES FCI]]-N291,Tabla5[[#This Row],[INVERSIONES FCI]])</f>
        <v>1523636069.351593</v>
      </c>
      <c r="O292" s="5">
        <f>IF($B291&lt;=Tabla5[[#This Row],[INVERSIONES FCI]],+Tabla5[[#This Row],[INVERSIONES FCI]]-O291,Tabla5[[#This Row],[INVERSIONES FCI]])</f>
        <v>1523636069.351593</v>
      </c>
      <c r="P292" s="5">
        <f>IF($B291&lt;=Tabla5[[#This Row],[INVERSIONES FCI]],+Tabla5[[#This Row],[INVERSIONES FCI]]-P291,Tabla5[[#This Row],[INVERSIONES FCI]])</f>
        <v>1523636069.351593</v>
      </c>
      <c r="Q292" s="5">
        <f>IF($B291&lt;=Tabla5[[#This Row],[INVERSIONES FCI]],+Tabla5[[#This Row],[INVERSIONES FCI]]-Q291,Tabla5[[#This Row],[INVERSIONES FCI]])</f>
        <v>1523636069.351593</v>
      </c>
      <c r="R292" s="5">
        <f>IF($B291&lt;=Tabla5[[#This Row],[INVERSIONES FCI]],+Tabla5[[#This Row],[INVERSIONES FCI]]-R291,Tabla5[[#This Row],[INVERSIONES FCI]])</f>
        <v>1523636069.351593</v>
      </c>
      <c r="S292" s="5">
        <f>IF($B291&lt;=Tabla5[[#This Row],[INVERSIONES FCI]],+Tabla5[[#This Row],[INVERSIONES FCI]]-S291,Tabla5[[#This Row],[INVERSIONES FCI]])</f>
        <v>1523636069.351593</v>
      </c>
      <c r="T292" s="5">
        <f>IF($B291&lt;=Tabla5[[#This Row],[INVERSIONES FCI]],+Tabla5[[#This Row],[INVERSIONES FCI]]-T291,Tabla5[[#This Row],[INVERSIONES FCI]])</f>
        <v>1523636069.351593</v>
      </c>
      <c r="U292" s="5">
        <f>IF($B291&lt;=Tabla5[[#This Row],[INVERSIONES FCI]],+Tabla5[[#This Row],[INVERSIONES FCI]]-U291,Tabla5[[#This Row],[INVERSIONES FCI]])</f>
        <v>1523636069.351593</v>
      </c>
      <c r="V292" s="5">
        <f>IF($B291&lt;=Tabla5[[#This Row],[INVERSIONES FCI]],+Tabla5[[#This Row],[INVERSIONES FCI]]-V291,Tabla5[[#This Row],[INVERSIONES FCI]])</f>
        <v>1523636069.351593</v>
      </c>
      <c r="W292" s="5">
        <f>IF($B291&lt;=Tabla5[[#This Row],[INVERSIONES FCI]],+Tabla5[[#This Row],[INVERSIONES FCI]]-W291,Tabla5[[#This Row],[INVERSIONES FCI]])</f>
        <v>1523636069.351593</v>
      </c>
      <c r="X292" s="5">
        <f>IF($B291&lt;=Tabla5[[#This Row],[INVERSIONES FCI]],+Tabla5[[#This Row],[INVERSIONES FCI]]-X291,Tabla5[[#This Row],[INVERSIONES FCI]])</f>
        <v>1523636069.351593</v>
      </c>
      <c r="Y292" s="5">
        <f>IF($B291&lt;=Tabla5[[#This Row],[INVERSIONES FCI]],+Tabla5[[#This Row],[INVERSIONES FCI]]-Y291,Tabla5[[#This Row],[INVERSIONES FCI]])</f>
        <v>1523636069.351593</v>
      </c>
      <c r="Z292" s="5">
        <f>IF($B291&lt;=Tabla5[[#This Row],[INVERSIONES FCI]],+Tabla5[[#This Row],[INVERSIONES FCI]]-Z291,Tabla5[[#This Row],[INVERSIONES FCI]])</f>
        <v>1523636069.351593</v>
      </c>
      <c r="AA292" s="5">
        <f>IF($B291&lt;=Tabla5[[#This Row],[INVERSIONES FCI]],+Tabla5[[#This Row],[INVERSIONES FCI]]-AA291,Tabla5[[#This Row],[INVERSIONES FCI]])</f>
        <v>1523636069.351593</v>
      </c>
      <c r="AB292" s="5">
        <f>IF($B291&lt;=Tabla5[[#This Row],[INVERSIONES FCI]],+Tabla5[[#This Row],[INVERSIONES FCI]]-AB291,Tabla5[[#This Row],[INVERSIONES FCI]])</f>
        <v>1523636069.351593</v>
      </c>
      <c r="AC292" s="5">
        <f>IF($B291&lt;=Tabla5[[#This Row],[INVERSIONES FCI]],+Tabla5[[#This Row],[INVERSIONES FCI]]-AC291,Tabla5[[#This Row],[INVERSIONES FCI]])</f>
        <v>1523636069.351593</v>
      </c>
      <c r="AD292" s="5">
        <f>IF($B291&lt;=Tabla5[[#This Row],[INVERSIONES FCI]],+Tabla5[[#This Row],[INVERSIONES FCI]]-AD291,Tabla5[[#This Row],[INVERSIONES FCI]])</f>
        <v>1523636069.351593</v>
      </c>
      <c r="AE292" s="5">
        <f>IF($B291&lt;=Tabla5[[#This Row],[INVERSIONES FCI]],+Tabla5[[#This Row],[INVERSIONES FCI]]-AE291,Tabla5[[#This Row],[INVERSIONES FCI]])</f>
        <v>1523636069.351593</v>
      </c>
      <c r="AF292" s="5">
        <f>IF($B291&lt;=Tabla5[[#This Row],[INVERSIONES FCI]],+Tabla5[[#This Row],[INVERSIONES FCI]]-AF291,Tabla5[[#This Row],[INVERSIONES FCI]])</f>
        <v>1523636069.351593</v>
      </c>
      <c r="AG292" s="5">
        <f>IF($B291&lt;=Tabla5[[#This Row],[INVERSIONES FCI]],+Tabla5[[#This Row],[INVERSIONES FCI]]-AG291,Tabla5[[#This Row],[INVERSIONES FCI]])</f>
        <v>1523636069.351593</v>
      </c>
      <c r="AH292" s="5">
        <f>IF($B291&lt;=Tabla5[[#This Row],[INVERSIONES FCI]],+Tabla5[[#This Row],[INVERSIONES FCI]]-AH291,Tabla5[[#This Row],[INVERSIONES FCI]])</f>
        <v>1523636069.351593</v>
      </c>
      <c r="AI292" s="5">
        <f>IF($B291&lt;=Tabla5[[#This Row],[INVERSIONES FCI]],+Tabla5[[#This Row],[INVERSIONES FCI]]-AI291,Tabla5[[#This Row],[INVERSIONES FCI]])</f>
        <v>1523636069.351593</v>
      </c>
      <c r="AJ292" s="5">
        <f>IF($B291&lt;=Tabla5[[#This Row],[INVERSIONES FCI]],+Tabla5[[#This Row],[INVERSIONES FCI]]-AJ291,Tabla5[[#This Row],[INVERSIONES FCI]])</f>
        <v>1523636069.351593</v>
      </c>
      <c r="AK292" s="5">
        <f>IF($B291&lt;=Tabla5[[#This Row],[INVERSIONES FCI]],+Tabla5[[#This Row],[INVERSIONES FCI]]-AK291,Tabla5[[#This Row],[INVERSIONES FCI]])</f>
        <v>1523636069.351593</v>
      </c>
      <c r="AL292" s="5">
        <f>IF($B291&lt;=Tabla5[[#This Row],[INVERSIONES FCI]],+Tabla5[[#This Row],[INVERSIONES FCI]]-AL291,Tabla5[[#This Row],[INVERSIONES FCI]])</f>
        <v>1523636069.351593</v>
      </c>
      <c r="AM292" s="5">
        <f>IF($B291&lt;=Tabla5[[#This Row],[INVERSIONES FCI]],+Tabla5[[#This Row],[INVERSIONES FCI]]-AM291,Tabla5[[#This Row],[INVERSIONES FCI]])</f>
        <v>1523636069.351593</v>
      </c>
      <c r="AN292" s="5">
        <f>IF($B291&lt;=Tabla5[[#This Row],[INVERSIONES FCI]],+Tabla5[[#This Row],[INVERSIONES FCI]]-AN291,Tabla5[[#This Row],[INVERSIONES FCI]])</f>
        <v>1523636069.351593</v>
      </c>
      <c r="AO292" s="5">
        <f>IF($B291&lt;=Tabla5[[#This Row],[INVERSIONES FCI]],+Tabla5[[#This Row],[INVERSIONES FCI]]-AO291,Tabla5[[#This Row],[INVERSIONES FCI]])</f>
        <v>1523636069.351593</v>
      </c>
      <c r="AP292" s="5">
        <f>IF($B291&lt;=Tabla5[[#This Row],[INVERSIONES FCI]],+Tabla5[[#This Row],[INVERSIONES FCI]]-AP291,Tabla5[[#This Row],[INVERSIONES FCI]])</f>
        <v>1523636069.351593</v>
      </c>
      <c r="AQ292" s="5">
        <f>IF($B291&lt;=Tabla5[[#This Row],[INVERSIONES FCI]],+Tabla5[[#This Row],[INVERSIONES FCI]]-AQ291,Tabla5[[#This Row],[INVERSIONES FCI]])</f>
        <v>1523636069.351593</v>
      </c>
      <c r="AR292" s="5">
        <f>IF($B291&lt;=Tabla5[[#This Row],[INVERSIONES FCI]],+Tabla5[[#This Row],[INVERSIONES FCI]]-AR291,Tabla5[[#This Row],[INVERSIONES FCI]])</f>
        <v>1523636069.351593</v>
      </c>
      <c r="AS292" s="5">
        <f>IF($B291&lt;=Tabla5[[#This Row],[INVERSIONES FCI]],+Tabla5[[#This Row],[INVERSIONES FCI]]-AS291,Tabla5[[#This Row],[INVERSIONES FCI]])</f>
        <v>1523636069.351593</v>
      </c>
      <c r="AT292" s="5">
        <f>IF($B291&lt;=Tabla5[[#This Row],[INVERSIONES FCI]],+Tabla5[[#This Row],[INVERSIONES FCI]]-AT291,Tabla5[[#This Row],[INVERSIONES FCI]])</f>
        <v>1523636069.351593</v>
      </c>
      <c r="AU292" s="5">
        <f>IF($B291&lt;=Tabla5[[#This Row],[INVERSIONES FCI]],+Tabla5[[#This Row],[INVERSIONES FCI]]-AU291,Tabla5[[#This Row],[INVERSIONES FCI]])</f>
        <v>1523636069.351593</v>
      </c>
      <c r="AV292" s="5">
        <f>IF($B291&lt;=Tabla5[[#This Row],[INVERSIONES FCI]],+Tabla5[[#This Row],[INVERSIONES FCI]]-AV291,Tabla5[[#This Row],[INVERSIONES FCI]])</f>
        <v>1523636069.351593</v>
      </c>
      <c r="AW292" s="5">
        <f>IF($B291&lt;=Tabla5[[#This Row],[INVERSIONES FCI]],+Tabla5[[#This Row],[INVERSIONES FCI]]-AW291,Tabla5[[#This Row],[INVERSIONES FCI]])</f>
        <v>1523636069.351593</v>
      </c>
      <c r="AX292" s="5">
        <f>IF($B291&lt;=Tabla5[[#This Row],[INVERSIONES FCI]],+Tabla5[[#This Row],[INVERSIONES FCI]]-AX291,Tabla5[[#This Row],[INVERSIONES FCI]])</f>
        <v>1523636069.351593</v>
      </c>
      <c r="AY292" s="5">
        <f>IF($B291&lt;=Tabla5[[#This Row],[INVERSIONES FCI]],+Tabla5[[#This Row],[INVERSIONES FCI]]-AY291,Tabla5[[#This Row],[INVERSIONES FCI]])</f>
        <v>1523636069.351593</v>
      </c>
      <c r="AZ292" s="5">
        <f>IF($B291&lt;=Tabla5[[#This Row],[INVERSIONES FCI]],+Tabla5[[#This Row],[INVERSIONES FCI]]-AZ291,Tabla5[[#This Row],[INVERSIONES FCI]])</f>
        <v>1523636069.351593</v>
      </c>
      <c r="BA292" s="5">
        <f>IF($B291&lt;=Tabla5[[#This Row],[INVERSIONES FCI]],+Tabla5[[#This Row],[INVERSIONES FCI]]-BA291,Tabla5[[#This Row],[INVERSIONES FCI]])</f>
        <v>1523636069.351593</v>
      </c>
      <c r="BB292" s="5">
        <f>IF($B291&lt;=Tabla5[[#This Row],[INVERSIONES FCI]],+Tabla5[[#This Row],[INVERSIONES FCI]]-BB291,Tabla5[[#This Row],[INVERSIONES FCI]])</f>
        <v>1523636069.351593</v>
      </c>
      <c r="BC292" s="5">
        <f>IF($B291&lt;=Tabla5[[#This Row],[INVERSIONES FCI]],+Tabla5[[#This Row],[INVERSIONES FCI]]-BC291,Tabla5[[#This Row],[INVERSIONES FCI]])</f>
        <v>1523636069.351593</v>
      </c>
      <c r="BD292" s="5">
        <f>IF($B291&lt;=Tabla5[[#This Row],[INVERSIONES FCI]],+Tabla5[[#This Row],[INVERSIONES FCI]]-BD291,Tabla5[[#This Row],[INVERSIONES FCI]])</f>
        <v>1523636069.351593</v>
      </c>
      <c r="BE292" s="5">
        <f>IF($B291&lt;=Tabla5[[#This Row],[INVERSIONES FCI]],+Tabla5[[#This Row],[INVERSIONES FCI]]-BE291,Tabla5[[#This Row],[INVERSIONES FCI]])</f>
        <v>1523636069.351593</v>
      </c>
      <c r="BF292" s="5">
        <f>IF($B291&lt;=Tabla5[[#This Row],[INVERSIONES FCI]],+Tabla5[[#This Row],[INVERSIONES FCI]]-BF291,Tabla5[[#This Row],[INVERSIONES FCI]])</f>
        <v>1523636069.351593</v>
      </c>
      <c r="BG292" s="5">
        <f>IF($B291&lt;=Tabla5[[#This Row],[INVERSIONES FCI]],+Tabla5[[#This Row],[INVERSIONES FCI]]-BG291,Tabla5[[#This Row],[INVERSIONES FCI]])</f>
        <v>1523636069.351593</v>
      </c>
      <c r="BH292" s="5">
        <f>IF($B291&lt;=Tabla5[[#This Row],[INVERSIONES FCI]],+Tabla5[[#This Row],[INVERSIONES FCI]]-BH291,Tabla5[[#This Row],[INVERSIONES FCI]])</f>
        <v>1523636069.351593</v>
      </c>
      <c r="BI292" s="5">
        <f>IF($B291&lt;=Tabla5[[#This Row],[INVERSIONES FCI]],+Tabla5[[#This Row],[INVERSIONES FCI]]-BI291,Tabla5[[#This Row],[INVERSIONES FCI]])</f>
        <v>1523636069.351593</v>
      </c>
      <c r="BJ292" s="5">
        <f>IF($B291&lt;=Tabla5[[#This Row],[INVERSIONES FCI]],+Tabla5[[#This Row],[INVERSIONES FCI]]-BJ291,Tabla5[[#This Row],[INVERSIONES FCI]])</f>
        <v>1523636069.351593</v>
      </c>
      <c r="BK292" s="5">
        <f>IF($B291&lt;=Tabla5[[#This Row],[INVERSIONES FCI]],+Tabla5[[#This Row],[INVERSIONES FCI]]-BK291,Tabla5[[#This Row],[INVERSIONES FCI]])</f>
        <v>1523636069.351593</v>
      </c>
      <c r="BL292" s="5">
        <f>IF($B291&lt;=Tabla5[[#This Row],[INVERSIONES FCI]],+Tabla5[[#This Row],[INVERSIONES FCI]]-BL291,Tabla5[[#This Row],[INVERSIONES FCI]])</f>
        <v>1523636069.351593</v>
      </c>
      <c r="BM292" s="5">
        <f>IF($B291&lt;=Tabla5[[#This Row],[INVERSIONES FCI]],+Tabla5[[#This Row],[INVERSIONES FCI]]-BM291,Tabla5[[#This Row],[INVERSIONES FCI]])</f>
        <v>1523636069.351593</v>
      </c>
      <c r="BN292" s="5">
        <f>IF($B291&lt;=Tabla5[[#This Row],[INVERSIONES FCI]],+Tabla5[[#This Row],[INVERSIONES FCI]]-BN291,Tabla5[[#This Row],[INVERSIONES FCI]])</f>
        <v>1523636069.351593</v>
      </c>
      <c r="BO292" s="5">
        <f>IF($B291&lt;=Tabla5[[#This Row],[INVERSIONES FCI]],+Tabla5[[#This Row],[INVERSIONES FCI]]-BO291,Tabla5[[#This Row],[INVERSIONES FCI]])</f>
        <v>1523636069.351593</v>
      </c>
      <c r="BP292" s="5">
        <f>IF($B291&lt;=Tabla5[[#This Row],[INVERSIONES FCI]],+Tabla5[[#This Row],[INVERSIONES FCI]]-BP291,Tabla5[[#This Row],[INVERSIONES FCI]])</f>
        <v>1523636069.351593</v>
      </c>
      <c r="BQ292" s="5">
        <f>IF($B291&lt;=Tabla5[[#This Row],[INVERSIONES FCI]],+Tabla5[[#This Row],[INVERSIONES FCI]]-BQ291,Tabla5[[#This Row],[INVERSIONES FCI]])</f>
        <v>1523636069.351593</v>
      </c>
      <c r="BR292" s="5">
        <f>IF($B291&lt;=Tabla5[[#This Row],[INVERSIONES FCI]],+Tabla5[[#This Row],[INVERSIONES FCI]]-BR291,Tabla5[[#This Row],[INVERSIONES FCI]])</f>
        <v>1523636069.351593</v>
      </c>
      <c r="BS292" s="5">
        <f>IF($B291&lt;=Tabla5[[#This Row],[INVERSIONES FCI]],+Tabla5[[#This Row],[INVERSIONES FCI]]-BS291,Tabla5[[#This Row],[INVERSIONES FCI]])</f>
        <v>1523636069.351593</v>
      </c>
      <c r="BT292" s="5">
        <f>IF($B291&lt;=Tabla5[[#This Row],[INVERSIONES FCI]],+Tabla5[[#This Row],[INVERSIONES FCI]]-BT291,Tabla5[[#This Row],[INVERSIONES FCI]])</f>
        <v>1523636069.351593</v>
      </c>
      <c r="BU292" s="5">
        <f>IF($B291&lt;=Tabla5[[#This Row],[INVERSIONES FCI]],+Tabla5[[#This Row],[INVERSIONES FCI]]-BU291,Tabla5[[#This Row],[INVERSIONES FCI]])</f>
        <v>1523636069.351593</v>
      </c>
      <c r="BV292" s="5">
        <f>IF($B291&lt;=Tabla5[[#This Row],[INVERSIONES FCI]],+Tabla5[[#This Row],[INVERSIONES FCI]]-BV291,Tabla5[[#This Row],[INVERSIONES FCI]])</f>
        <v>1523636069.351593</v>
      </c>
      <c r="BW292" s="5">
        <f>IF($B291&lt;=Tabla5[[#This Row],[INVERSIONES FCI]],+Tabla5[[#This Row],[INVERSIONES FCI]]-BW291,Tabla5[[#This Row],[INVERSIONES FCI]])</f>
        <v>1523636069.351593</v>
      </c>
      <c r="BX292" s="5">
        <f>IF($B291&lt;=Tabla5[[#This Row],[INVERSIONES FCI]],+Tabla5[[#This Row],[INVERSIONES FCI]]-BX291,Tabla5[[#This Row],[INVERSIONES FCI]])</f>
        <v>1523636069.351593</v>
      </c>
      <c r="BY292" s="5">
        <f>IF($B291&lt;=Tabla5[[#This Row],[INVERSIONES FCI]],+Tabla5[[#This Row],[INVERSIONES FCI]]-BY291,Tabla5[[#This Row],[INVERSIONES FCI]])</f>
        <v>1523636069.351593</v>
      </c>
      <c r="BZ292" s="5">
        <f>IF($B291&lt;=Tabla5[[#This Row],[INVERSIONES FCI]],+Tabla5[[#This Row],[INVERSIONES FCI]]-BZ291,Tabla5[[#This Row],[INVERSIONES FCI]])</f>
        <v>1523636069.351593</v>
      </c>
      <c r="CA292" s="5">
        <f>IF($B291&lt;=Tabla5[[#This Row],[INVERSIONES FCI]],+Tabla5[[#This Row],[INVERSIONES FCI]]-CA291,Tabla5[[#This Row],[INVERSIONES FCI]])</f>
        <v>1523636069.351593</v>
      </c>
      <c r="CB292" s="5">
        <f>IF($B291&lt;=Tabla5[[#This Row],[INVERSIONES FCI]],+Tabla5[[#This Row],[INVERSIONES FCI]]-CB291,Tabla5[[#This Row],[INVERSIONES FCI]])</f>
        <v>1523636069.351593</v>
      </c>
      <c r="CC292" s="5">
        <f>IF($B291&lt;=Tabla5[[#This Row],[INVERSIONES FCI]],+Tabla5[[#This Row],[INVERSIONES FCI]]-CC291,Tabla5[[#This Row],[INVERSIONES FCI]])</f>
        <v>1523636069.351593</v>
      </c>
      <c r="CD292" s="5">
        <f>IF($B291&lt;=Tabla5[[#This Row],[INVERSIONES FCI]],+Tabla5[[#This Row],[INVERSIONES FCI]]-CD291,Tabla5[[#This Row],[INVERSIONES FCI]])</f>
        <v>1523636069.351593</v>
      </c>
      <c r="CE292" s="5">
        <f>IF($B291&lt;=Tabla5[[#This Row],[INVERSIONES FCI]],+Tabla5[[#This Row],[INVERSIONES FCI]]-CE291,Tabla5[[#This Row],[INVERSIONES FCI]])</f>
        <v>1523636069.351593</v>
      </c>
      <c r="CF292" s="5">
        <f>IF($B291&lt;=Tabla5[[#This Row],[INVERSIONES FCI]],+Tabla5[[#This Row],[INVERSIONES FCI]]-CF291,Tabla5[[#This Row],[INVERSIONES FCI]])</f>
        <v>1523636069.351593</v>
      </c>
      <c r="CG292" s="5">
        <f>IF($B291&lt;=Tabla5[[#This Row],[INVERSIONES FCI]],+Tabla5[[#This Row],[INVERSIONES FCI]]-CG291,Tabla5[[#This Row],[INVERSIONES FCI]])</f>
        <v>1523636069.351593</v>
      </c>
      <c r="CH292" s="5">
        <f>IF($B291&lt;=Tabla5[[#This Row],[INVERSIONES FCI]],+Tabla5[[#This Row],[INVERSIONES FCI]]-CH291,Tabla5[[#This Row],[INVERSIONES FCI]])</f>
        <v>1523636069.351593</v>
      </c>
      <c r="CI292" s="5">
        <f>IF($B291&lt;=Tabla5[[#This Row],[INVERSIONES FCI]],+Tabla5[[#This Row],[INVERSIONES FCI]]-CI291,Tabla5[[#This Row],[INVERSIONES FCI]])</f>
        <v>1523636069.351593</v>
      </c>
      <c r="CJ292" s="5">
        <f>IF($B291&lt;=Tabla5[[#This Row],[INVERSIONES FCI]],+Tabla5[[#This Row],[INVERSIONES FCI]]-CJ291,Tabla5[[#This Row],[INVERSIONES FCI]])</f>
        <v>1523636069.351593</v>
      </c>
      <c r="CK292" s="5">
        <f>IF($B291&lt;=Tabla5[[#This Row],[INVERSIONES FCI]],+Tabla5[[#This Row],[INVERSIONES FCI]]-CK291,Tabla5[[#This Row],[INVERSIONES FCI]])</f>
        <v>1523636069.351593</v>
      </c>
      <c r="CL292" s="5">
        <f>IF($B291&lt;=Tabla5[[#This Row],[INVERSIONES FCI]],+Tabla5[[#This Row],[INVERSIONES FCI]]-CL291,Tabla5[[#This Row],[INVERSIONES FCI]])</f>
        <v>1523636069.351593</v>
      </c>
      <c r="CM292" s="5">
        <f>IF($B291&lt;=Tabla5[[#This Row],[INVERSIONES FCI]],+Tabla5[[#This Row],[INVERSIONES FCI]]-CM291,Tabla5[[#This Row],[INVERSIONES FCI]])</f>
        <v>1523636069.351593</v>
      </c>
      <c r="CN292" s="5">
        <f>IF($B291&lt;=Tabla5[[#This Row],[INVERSIONES FCI]],+Tabla5[[#This Row],[INVERSIONES FCI]]-CN291,Tabla5[[#This Row],[INVERSIONES FCI]])</f>
        <v>1523636069.351593</v>
      </c>
      <c r="CO292" s="5">
        <f>IF($B291&lt;=Tabla5[[#This Row],[INVERSIONES FCI]],+Tabla5[[#This Row],[INVERSIONES FCI]]-CO291,Tabla5[[#This Row],[INVERSIONES FCI]])</f>
        <v>1523636069.351593</v>
      </c>
      <c r="CP292" s="5">
        <f>IF($B291&lt;=Tabla5[[#This Row],[INVERSIONES FCI]],+Tabla5[[#This Row],[INVERSIONES FCI]]-CP291,Tabla5[[#This Row],[INVERSIONES FCI]])</f>
        <v>1523636069.351593</v>
      </c>
      <c r="CQ292" s="5">
        <f>IF($B291&lt;=Tabla5[[#This Row],[INVERSIONES FCI]],+Tabla5[[#This Row],[INVERSIONES FCI]]-CQ291,Tabla5[[#This Row],[INVERSIONES FCI]])</f>
        <v>1523636069.351593</v>
      </c>
      <c r="CR292" s="5">
        <f>IF($B291&lt;=Tabla5[[#This Row],[INVERSIONES FCI]],+Tabla5[[#This Row],[INVERSIONES FCI]]-CR291,Tabla5[[#This Row],[INVERSIONES FCI]])</f>
        <v>1523636069.351593</v>
      </c>
      <c r="CS292" s="5">
        <f>IF($B291&lt;=Tabla5[[#This Row],[INVERSIONES FCI]],+Tabla5[[#This Row],[INVERSIONES FCI]]-CS291,Tabla5[[#This Row],[INVERSIONES FCI]])</f>
        <v>1523636069.351593</v>
      </c>
      <c r="CT292" s="5">
        <f>IF($B291&lt;=Tabla5[[#This Row],[INVERSIONES FCI]],+Tabla5[[#This Row],[INVERSIONES FCI]]-CT291,Tabla5[[#This Row],[INVERSIONES FCI]])</f>
        <v>1523636069.351593</v>
      </c>
      <c r="CU292" s="5">
        <f>IF($B291&lt;=Tabla5[[#This Row],[INVERSIONES FCI]],+Tabla5[[#This Row],[INVERSIONES FCI]]-CU291,Tabla5[[#This Row],[INVERSIONES FCI]])</f>
        <v>1523636069.351593</v>
      </c>
      <c r="CV292" s="5">
        <f>IF($B291&lt;=Tabla5[[#This Row],[INVERSIONES FCI]],+Tabla5[[#This Row],[INVERSIONES FCI]]-CV291,Tabla5[[#This Row],[INVERSIONES FCI]])</f>
        <v>1523636069.351593</v>
      </c>
      <c r="CW292" s="5">
        <f>IF($B291&lt;=Tabla5[[#This Row],[INVERSIONES FCI]],+Tabla5[[#This Row],[INVERSIONES FCI]]-CW291,Tabla5[[#This Row],[INVERSIONES FCI]])</f>
        <v>1523636069.351593</v>
      </c>
      <c r="CX292" s="5">
        <f>IF($B291&lt;=Tabla5[[#This Row],[INVERSIONES FCI]],+Tabla5[[#This Row],[INVERSIONES FCI]]-CX291,Tabla5[[#This Row],[INVERSIONES FCI]])</f>
        <v>1523636069.351593</v>
      </c>
      <c r="CY292" s="5">
        <f>IF($B291&lt;=Tabla5[[#This Row],[INVERSIONES FCI]],+Tabla5[[#This Row],[INVERSIONES FCI]]-CY291,Tabla5[[#This Row],[INVERSIONES FCI]])</f>
        <v>1523636069.351593</v>
      </c>
      <c r="CZ292" s="5">
        <f>IF($B291&lt;=Tabla5[[#This Row],[INVERSIONES FCI]],+Tabla5[[#This Row],[INVERSIONES FCI]]-CZ291,Tabla5[[#This Row],[INVERSIONES FCI]])</f>
        <v>1523636069.351593</v>
      </c>
      <c r="DA292" s="5">
        <f>IF($B291&lt;=Tabla5[[#This Row],[INVERSIONES FCI]],+Tabla5[[#This Row],[INVERSIONES FCI]]-DA291,Tabla5[[#This Row],[INVERSIONES FCI]])</f>
        <v>1523636069.351593</v>
      </c>
      <c r="DB292" s="5">
        <f>IF($B291&lt;=Tabla5[[#This Row],[INVERSIONES FCI]],+Tabla5[[#This Row],[INVERSIONES FCI]]-DB291,Tabla5[[#This Row],[INVERSIONES FCI]])</f>
        <v>1523636069.351593</v>
      </c>
      <c r="DC292" s="5">
        <f>IF($B291&lt;=Tabla5[[#This Row],[INVERSIONES FCI]],+Tabla5[[#This Row],[INVERSIONES FCI]]-DC291,Tabla5[[#This Row],[INVERSIONES FCI]])</f>
        <v>1523636069.351593</v>
      </c>
      <c r="DD292" s="5">
        <f>IF($B291&lt;=Tabla5[[#This Row],[INVERSIONES FCI]],+Tabla5[[#This Row],[INVERSIONES FCI]]-DD291,Tabla5[[#This Row],[INVERSIONES FCI]])</f>
        <v>1523636069.351593</v>
      </c>
      <c r="DE292" s="5">
        <f>IF($B291&lt;=Tabla5[[#This Row],[INVERSIONES FCI]],+Tabla5[[#This Row],[INVERSIONES FCI]]-DE291,Tabla5[[#This Row],[INVERSIONES FCI]])</f>
        <v>1523636069.351593</v>
      </c>
      <c r="DF292" s="5">
        <f>IF($B291&lt;=Tabla5[[#This Row],[INVERSIONES FCI]],+Tabla5[[#This Row],[INVERSIONES FCI]]-DF291,Tabla5[[#This Row],[INVERSIONES FCI]])</f>
        <v>1523636069.351593</v>
      </c>
      <c r="DG292" s="5">
        <f>IF($B291&lt;=Tabla5[[#This Row],[INVERSIONES FCI]],+Tabla5[[#This Row],[INVERSIONES FCI]]-DG291,Tabla5[[#This Row],[INVERSIONES FCI]])</f>
        <v>1523636069.351593</v>
      </c>
      <c r="DH292" s="5">
        <f>IF($B291&lt;=Tabla5[[#This Row],[INVERSIONES FCI]],+Tabla5[[#This Row],[INVERSIONES FCI]]-DH291,Tabla5[[#This Row],[INVERSIONES FCI]])</f>
        <v>1523636069.351593</v>
      </c>
      <c r="DI292" s="5">
        <f>IF($B291&lt;=Tabla5[[#This Row],[INVERSIONES FCI]],+Tabla5[[#This Row],[INVERSIONES FCI]]-DI291,Tabla5[[#This Row],[INVERSIONES FCI]])</f>
        <v>1523636069.351593</v>
      </c>
      <c r="DJ292" s="5">
        <f>IF($B291&lt;=Tabla5[[#This Row],[INVERSIONES FCI]],+Tabla5[[#This Row],[INVERSIONES FCI]]-DJ291,Tabla5[[#This Row],[INVERSIONES FCI]])</f>
        <v>1523636069.351593</v>
      </c>
      <c r="DK292" s="5">
        <f>IF($B291&lt;=Tabla5[[#This Row],[INVERSIONES FCI]],+Tabla5[[#This Row],[INVERSIONES FCI]]-DK291,Tabla5[[#This Row],[INVERSIONES FCI]])</f>
        <v>1523636069.351593</v>
      </c>
      <c r="DL292" s="5"/>
      <c r="DM292" s="5"/>
      <c r="DN292" s="5"/>
      <c r="DO292" s="5"/>
      <c r="DP292" s="5"/>
      <c r="DQ292" s="5"/>
    </row>
    <row r="293" spans="1:121" ht="14.4">
      <c r="A293" s="12" t="s">
        <v>292</v>
      </c>
      <c r="B293" s="5">
        <f>HLOOKUP($A293,ESCENARIO[#All],7,FALSE)</f>
        <v>74453795117.873154</v>
      </c>
      <c r="C293" s="5">
        <f>IF($B292&lt;=Tabla5[[#This Row],[INVERSIONES FCI]],+Tabla5[[#This Row],[INVERSIONES FCI]]-C292,Tabla5[[#This Row],[INVERSIONES FCI]])</f>
        <v>72930159048.521561</v>
      </c>
      <c r="D293" s="5">
        <f>IF($B292&lt;=Tabla5[[#This Row],[INVERSIONES FCI]],+Tabla5[[#This Row],[INVERSIONES FCI]]-D292,Tabla5[[#This Row],[INVERSIONES FCI]])</f>
        <v>72930159048.521561</v>
      </c>
      <c r="E293" s="5">
        <f>IF($B292&lt;=Tabla5[[#This Row],[INVERSIONES FCI]],+Tabla5[[#This Row],[INVERSIONES FCI]]-E292,Tabla5[[#This Row],[INVERSIONES FCI]])</f>
        <v>72930159048.521561</v>
      </c>
      <c r="F293" s="5">
        <f>IF($B292&lt;=Tabla5[[#This Row],[INVERSIONES FCI]],+Tabla5[[#This Row],[INVERSIONES FCI]]-F292,Tabla5[[#This Row],[INVERSIONES FCI]])</f>
        <v>72930159048.521561</v>
      </c>
      <c r="G293" s="5">
        <f>IF($B292&lt;=Tabla5[[#This Row],[INVERSIONES FCI]],+Tabla5[[#This Row],[INVERSIONES FCI]]-G292,Tabla5[[#This Row],[INVERSIONES FCI]])</f>
        <v>72930159048.521561</v>
      </c>
      <c r="H293" s="5">
        <f>IF($B292&lt;=Tabla5[[#This Row],[INVERSIONES FCI]],+Tabla5[[#This Row],[INVERSIONES FCI]]-H292,Tabla5[[#This Row],[INVERSIONES FCI]])</f>
        <v>72930159048.521561</v>
      </c>
      <c r="I293" s="5">
        <f>IF($B292&lt;=Tabla5[[#This Row],[INVERSIONES FCI]],+Tabla5[[#This Row],[INVERSIONES FCI]]-I292,Tabla5[[#This Row],[INVERSIONES FCI]])</f>
        <v>72930159048.521561</v>
      </c>
      <c r="J293" s="5">
        <f>IF($B292&lt;=Tabla5[[#This Row],[INVERSIONES FCI]],+Tabla5[[#This Row],[INVERSIONES FCI]]-J292,Tabla5[[#This Row],[INVERSIONES FCI]])</f>
        <v>72930159048.521561</v>
      </c>
      <c r="K293" s="5">
        <f>IF($B292&lt;=Tabla5[[#This Row],[INVERSIONES FCI]],+Tabla5[[#This Row],[INVERSIONES FCI]]-K292,Tabla5[[#This Row],[INVERSIONES FCI]])</f>
        <v>72930159048.521561</v>
      </c>
      <c r="L293" s="5">
        <f>IF($B292&lt;=Tabla5[[#This Row],[INVERSIONES FCI]],+Tabla5[[#This Row],[INVERSIONES FCI]]-L292,Tabla5[[#This Row],[INVERSIONES FCI]])</f>
        <v>72930159048.521561</v>
      </c>
      <c r="M293" s="5">
        <f>IF($B292&lt;=Tabla5[[#This Row],[INVERSIONES FCI]],+Tabla5[[#This Row],[INVERSIONES FCI]]-M292,Tabla5[[#This Row],[INVERSIONES FCI]])</f>
        <v>72930159048.521561</v>
      </c>
      <c r="N293" s="5">
        <f>IF($B292&lt;=Tabla5[[#This Row],[INVERSIONES FCI]],+Tabla5[[#This Row],[INVERSIONES FCI]]-N292,Tabla5[[#This Row],[INVERSIONES FCI]])</f>
        <v>72930159048.521561</v>
      </c>
      <c r="O293" s="5">
        <f>IF($B292&lt;=Tabla5[[#This Row],[INVERSIONES FCI]],+Tabla5[[#This Row],[INVERSIONES FCI]]-O292,Tabla5[[#This Row],[INVERSIONES FCI]])</f>
        <v>72930159048.521561</v>
      </c>
      <c r="P293" s="5">
        <f>IF($B292&lt;=Tabla5[[#This Row],[INVERSIONES FCI]],+Tabla5[[#This Row],[INVERSIONES FCI]]-P292,Tabla5[[#This Row],[INVERSIONES FCI]])</f>
        <v>72930159048.521561</v>
      </c>
      <c r="Q293" s="5">
        <f>IF($B292&lt;=Tabla5[[#This Row],[INVERSIONES FCI]],+Tabla5[[#This Row],[INVERSIONES FCI]]-Q292,Tabla5[[#This Row],[INVERSIONES FCI]])</f>
        <v>72930159048.521561</v>
      </c>
      <c r="R293" s="5">
        <f>IF($B292&lt;=Tabla5[[#This Row],[INVERSIONES FCI]],+Tabla5[[#This Row],[INVERSIONES FCI]]-R292,Tabla5[[#This Row],[INVERSIONES FCI]])</f>
        <v>72930159048.521561</v>
      </c>
      <c r="S293" s="5">
        <f>IF($B292&lt;=Tabla5[[#This Row],[INVERSIONES FCI]],+Tabla5[[#This Row],[INVERSIONES FCI]]-S292,Tabla5[[#This Row],[INVERSIONES FCI]])</f>
        <v>72930159048.521561</v>
      </c>
      <c r="T293" s="5">
        <f>IF($B292&lt;=Tabla5[[#This Row],[INVERSIONES FCI]],+Tabla5[[#This Row],[INVERSIONES FCI]]-T292,Tabla5[[#This Row],[INVERSIONES FCI]])</f>
        <v>72930159048.521561</v>
      </c>
      <c r="U293" s="5">
        <f>IF($B292&lt;=Tabla5[[#This Row],[INVERSIONES FCI]],+Tabla5[[#This Row],[INVERSIONES FCI]]-U292,Tabla5[[#This Row],[INVERSIONES FCI]])</f>
        <v>72930159048.521561</v>
      </c>
      <c r="V293" s="5">
        <f>IF($B292&lt;=Tabla5[[#This Row],[INVERSIONES FCI]],+Tabla5[[#This Row],[INVERSIONES FCI]]-V292,Tabla5[[#This Row],[INVERSIONES FCI]])</f>
        <v>72930159048.521561</v>
      </c>
      <c r="W293" s="5">
        <f>IF($B292&lt;=Tabla5[[#This Row],[INVERSIONES FCI]],+Tabla5[[#This Row],[INVERSIONES FCI]]-W292,Tabla5[[#This Row],[INVERSIONES FCI]])</f>
        <v>72930159048.521561</v>
      </c>
      <c r="X293" s="5">
        <f>IF($B292&lt;=Tabla5[[#This Row],[INVERSIONES FCI]],+Tabla5[[#This Row],[INVERSIONES FCI]]-X292,Tabla5[[#This Row],[INVERSIONES FCI]])</f>
        <v>72930159048.521561</v>
      </c>
      <c r="Y293" s="5">
        <f>IF($B292&lt;=Tabla5[[#This Row],[INVERSIONES FCI]],+Tabla5[[#This Row],[INVERSIONES FCI]]-Y292,Tabla5[[#This Row],[INVERSIONES FCI]])</f>
        <v>72930159048.521561</v>
      </c>
      <c r="Z293" s="5">
        <f>IF($B292&lt;=Tabla5[[#This Row],[INVERSIONES FCI]],+Tabla5[[#This Row],[INVERSIONES FCI]]-Z292,Tabla5[[#This Row],[INVERSIONES FCI]])</f>
        <v>72930159048.521561</v>
      </c>
      <c r="AA293" s="5">
        <f>IF($B292&lt;=Tabla5[[#This Row],[INVERSIONES FCI]],+Tabla5[[#This Row],[INVERSIONES FCI]]-AA292,Tabla5[[#This Row],[INVERSIONES FCI]])</f>
        <v>72930159048.521561</v>
      </c>
      <c r="AB293" s="5">
        <f>IF($B292&lt;=Tabla5[[#This Row],[INVERSIONES FCI]],+Tabla5[[#This Row],[INVERSIONES FCI]]-AB292,Tabla5[[#This Row],[INVERSIONES FCI]])</f>
        <v>72930159048.521561</v>
      </c>
      <c r="AC293" s="5">
        <f>IF($B292&lt;=Tabla5[[#This Row],[INVERSIONES FCI]],+Tabla5[[#This Row],[INVERSIONES FCI]]-AC292,Tabla5[[#This Row],[INVERSIONES FCI]])</f>
        <v>72930159048.521561</v>
      </c>
      <c r="AD293" s="5">
        <f>IF($B292&lt;=Tabla5[[#This Row],[INVERSIONES FCI]],+Tabla5[[#This Row],[INVERSIONES FCI]]-AD292,Tabla5[[#This Row],[INVERSIONES FCI]])</f>
        <v>72930159048.521561</v>
      </c>
      <c r="AE293" s="5">
        <f>IF($B292&lt;=Tabla5[[#This Row],[INVERSIONES FCI]],+Tabla5[[#This Row],[INVERSIONES FCI]]-AE292,Tabla5[[#This Row],[INVERSIONES FCI]])</f>
        <v>72930159048.521561</v>
      </c>
      <c r="AF293" s="5">
        <f>IF($B292&lt;=Tabla5[[#This Row],[INVERSIONES FCI]],+Tabla5[[#This Row],[INVERSIONES FCI]]-AF292,Tabla5[[#This Row],[INVERSIONES FCI]])</f>
        <v>72930159048.521561</v>
      </c>
      <c r="AG293" s="5">
        <f>IF($B292&lt;=Tabla5[[#This Row],[INVERSIONES FCI]],+Tabla5[[#This Row],[INVERSIONES FCI]]-AG292,Tabla5[[#This Row],[INVERSIONES FCI]])</f>
        <v>72930159048.521561</v>
      </c>
      <c r="AH293" s="5">
        <f>IF($B292&lt;=Tabla5[[#This Row],[INVERSIONES FCI]],+Tabla5[[#This Row],[INVERSIONES FCI]]-AH292,Tabla5[[#This Row],[INVERSIONES FCI]])</f>
        <v>72930159048.521561</v>
      </c>
      <c r="AI293" s="5">
        <f>IF($B292&lt;=Tabla5[[#This Row],[INVERSIONES FCI]],+Tabla5[[#This Row],[INVERSIONES FCI]]-AI292,Tabla5[[#This Row],[INVERSIONES FCI]])</f>
        <v>72930159048.521561</v>
      </c>
      <c r="AJ293" s="5">
        <f>IF($B292&lt;=Tabla5[[#This Row],[INVERSIONES FCI]],+Tabla5[[#This Row],[INVERSIONES FCI]]-AJ292,Tabla5[[#This Row],[INVERSIONES FCI]])</f>
        <v>72930159048.521561</v>
      </c>
      <c r="AK293" s="5">
        <f>IF($B292&lt;=Tabla5[[#This Row],[INVERSIONES FCI]],+Tabla5[[#This Row],[INVERSIONES FCI]]-AK292,Tabla5[[#This Row],[INVERSIONES FCI]])</f>
        <v>72930159048.521561</v>
      </c>
      <c r="AL293" s="5">
        <f>IF($B292&lt;=Tabla5[[#This Row],[INVERSIONES FCI]],+Tabla5[[#This Row],[INVERSIONES FCI]]-AL292,Tabla5[[#This Row],[INVERSIONES FCI]])</f>
        <v>72930159048.521561</v>
      </c>
      <c r="AM293" s="5">
        <f>IF($B292&lt;=Tabla5[[#This Row],[INVERSIONES FCI]],+Tabla5[[#This Row],[INVERSIONES FCI]]-AM292,Tabla5[[#This Row],[INVERSIONES FCI]])</f>
        <v>72930159048.521561</v>
      </c>
      <c r="AN293" s="5">
        <f>IF($B292&lt;=Tabla5[[#This Row],[INVERSIONES FCI]],+Tabla5[[#This Row],[INVERSIONES FCI]]-AN292,Tabla5[[#This Row],[INVERSIONES FCI]])</f>
        <v>72930159048.521561</v>
      </c>
      <c r="AO293" s="5">
        <f>IF($B292&lt;=Tabla5[[#This Row],[INVERSIONES FCI]],+Tabla5[[#This Row],[INVERSIONES FCI]]-AO292,Tabla5[[#This Row],[INVERSIONES FCI]])</f>
        <v>72930159048.521561</v>
      </c>
      <c r="AP293" s="5">
        <f>IF($B292&lt;=Tabla5[[#This Row],[INVERSIONES FCI]],+Tabla5[[#This Row],[INVERSIONES FCI]]-AP292,Tabla5[[#This Row],[INVERSIONES FCI]])</f>
        <v>72930159048.521561</v>
      </c>
      <c r="AQ293" s="5">
        <f>IF($B292&lt;=Tabla5[[#This Row],[INVERSIONES FCI]],+Tabla5[[#This Row],[INVERSIONES FCI]]-AQ292,Tabla5[[#This Row],[INVERSIONES FCI]])</f>
        <v>72930159048.521561</v>
      </c>
      <c r="AR293" s="5">
        <f>IF($B292&lt;=Tabla5[[#This Row],[INVERSIONES FCI]],+Tabla5[[#This Row],[INVERSIONES FCI]]-AR292,Tabla5[[#This Row],[INVERSIONES FCI]])</f>
        <v>72930159048.521561</v>
      </c>
      <c r="AS293" s="5">
        <f>IF($B292&lt;=Tabla5[[#This Row],[INVERSIONES FCI]],+Tabla5[[#This Row],[INVERSIONES FCI]]-AS292,Tabla5[[#This Row],[INVERSIONES FCI]])</f>
        <v>72930159048.521561</v>
      </c>
      <c r="AT293" s="5">
        <f>IF($B292&lt;=Tabla5[[#This Row],[INVERSIONES FCI]],+Tabla5[[#This Row],[INVERSIONES FCI]]-AT292,Tabla5[[#This Row],[INVERSIONES FCI]])</f>
        <v>72930159048.521561</v>
      </c>
      <c r="AU293" s="5">
        <f>IF($B292&lt;=Tabla5[[#This Row],[INVERSIONES FCI]],+Tabla5[[#This Row],[INVERSIONES FCI]]-AU292,Tabla5[[#This Row],[INVERSIONES FCI]])</f>
        <v>72930159048.521561</v>
      </c>
      <c r="AV293" s="5">
        <f>IF($B292&lt;=Tabla5[[#This Row],[INVERSIONES FCI]],+Tabla5[[#This Row],[INVERSIONES FCI]]-AV292,Tabla5[[#This Row],[INVERSIONES FCI]])</f>
        <v>72930159048.521561</v>
      </c>
      <c r="AW293" s="5">
        <f>IF($B292&lt;=Tabla5[[#This Row],[INVERSIONES FCI]],+Tabla5[[#This Row],[INVERSIONES FCI]]-AW292,Tabla5[[#This Row],[INVERSIONES FCI]])</f>
        <v>72930159048.521561</v>
      </c>
      <c r="AX293" s="5">
        <f>IF($B292&lt;=Tabla5[[#This Row],[INVERSIONES FCI]],+Tabla5[[#This Row],[INVERSIONES FCI]]-AX292,Tabla5[[#This Row],[INVERSIONES FCI]])</f>
        <v>72930159048.521561</v>
      </c>
      <c r="AY293" s="5">
        <f>IF($B292&lt;=Tabla5[[#This Row],[INVERSIONES FCI]],+Tabla5[[#This Row],[INVERSIONES FCI]]-AY292,Tabla5[[#This Row],[INVERSIONES FCI]])</f>
        <v>72930159048.521561</v>
      </c>
      <c r="AZ293" s="5">
        <f>IF($B292&lt;=Tabla5[[#This Row],[INVERSIONES FCI]],+Tabla5[[#This Row],[INVERSIONES FCI]]-AZ292,Tabla5[[#This Row],[INVERSIONES FCI]])</f>
        <v>72930159048.521561</v>
      </c>
      <c r="BA293" s="5">
        <f>IF($B292&lt;=Tabla5[[#This Row],[INVERSIONES FCI]],+Tabla5[[#This Row],[INVERSIONES FCI]]-BA292,Tabla5[[#This Row],[INVERSIONES FCI]])</f>
        <v>72930159048.521561</v>
      </c>
      <c r="BB293" s="5">
        <f>IF($B292&lt;=Tabla5[[#This Row],[INVERSIONES FCI]],+Tabla5[[#This Row],[INVERSIONES FCI]]-BB292,Tabla5[[#This Row],[INVERSIONES FCI]])</f>
        <v>72930159048.521561</v>
      </c>
      <c r="BC293" s="5">
        <f>IF($B292&lt;=Tabla5[[#This Row],[INVERSIONES FCI]],+Tabla5[[#This Row],[INVERSIONES FCI]]-BC292,Tabla5[[#This Row],[INVERSIONES FCI]])</f>
        <v>72930159048.521561</v>
      </c>
      <c r="BD293" s="5">
        <f>IF($B292&lt;=Tabla5[[#This Row],[INVERSIONES FCI]],+Tabla5[[#This Row],[INVERSIONES FCI]]-BD292,Tabla5[[#This Row],[INVERSIONES FCI]])</f>
        <v>72930159048.521561</v>
      </c>
      <c r="BE293" s="5">
        <f>IF($B292&lt;=Tabla5[[#This Row],[INVERSIONES FCI]],+Tabla5[[#This Row],[INVERSIONES FCI]]-BE292,Tabla5[[#This Row],[INVERSIONES FCI]])</f>
        <v>72930159048.521561</v>
      </c>
      <c r="BF293" s="5">
        <f>IF($B292&lt;=Tabla5[[#This Row],[INVERSIONES FCI]],+Tabla5[[#This Row],[INVERSIONES FCI]]-BF292,Tabla5[[#This Row],[INVERSIONES FCI]])</f>
        <v>72930159048.521561</v>
      </c>
      <c r="BG293" s="5">
        <f>IF($B292&lt;=Tabla5[[#This Row],[INVERSIONES FCI]],+Tabla5[[#This Row],[INVERSIONES FCI]]-BG292,Tabla5[[#This Row],[INVERSIONES FCI]])</f>
        <v>72930159048.521561</v>
      </c>
      <c r="BH293" s="5">
        <f>IF($B292&lt;=Tabla5[[#This Row],[INVERSIONES FCI]],+Tabla5[[#This Row],[INVERSIONES FCI]]-BH292,Tabla5[[#This Row],[INVERSIONES FCI]])</f>
        <v>72930159048.521561</v>
      </c>
      <c r="BI293" s="5">
        <f>IF($B292&lt;=Tabla5[[#This Row],[INVERSIONES FCI]],+Tabla5[[#This Row],[INVERSIONES FCI]]-BI292,Tabla5[[#This Row],[INVERSIONES FCI]])</f>
        <v>72930159048.521561</v>
      </c>
      <c r="BJ293" s="5">
        <f>IF($B292&lt;=Tabla5[[#This Row],[INVERSIONES FCI]],+Tabla5[[#This Row],[INVERSIONES FCI]]-BJ292,Tabla5[[#This Row],[INVERSIONES FCI]])</f>
        <v>72930159048.521561</v>
      </c>
      <c r="BK293" s="5">
        <f>IF($B292&lt;=Tabla5[[#This Row],[INVERSIONES FCI]],+Tabla5[[#This Row],[INVERSIONES FCI]]-BK292,Tabla5[[#This Row],[INVERSIONES FCI]])</f>
        <v>72930159048.521561</v>
      </c>
      <c r="BL293" s="5">
        <f>IF($B292&lt;=Tabla5[[#This Row],[INVERSIONES FCI]],+Tabla5[[#This Row],[INVERSIONES FCI]]-BL292,Tabla5[[#This Row],[INVERSIONES FCI]])</f>
        <v>72930159048.521561</v>
      </c>
      <c r="BM293" s="5">
        <f>IF($B292&lt;=Tabla5[[#This Row],[INVERSIONES FCI]],+Tabla5[[#This Row],[INVERSIONES FCI]]-BM292,Tabla5[[#This Row],[INVERSIONES FCI]])</f>
        <v>72930159048.521561</v>
      </c>
      <c r="BN293" s="5">
        <f>IF($B292&lt;=Tabla5[[#This Row],[INVERSIONES FCI]],+Tabla5[[#This Row],[INVERSIONES FCI]]-BN292,Tabla5[[#This Row],[INVERSIONES FCI]])</f>
        <v>72930159048.521561</v>
      </c>
      <c r="BO293" s="5">
        <f>IF($B292&lt;=Tabla5[[#This Row],[INVERSIONES FCI]],+Tabla5[[#This Row],[INVERSIONES FCI]]-BO292,Tabla5[[#This Row],[INVERSIONES FCI]])</f>
        <v>72930159048.521561</v>
      </c>
      <c r="BP293" s="5">
        <f>IF($B292&lt;=Tabla5[[#This Row],[INVERSIONES FCI]],+Tabla5[[#This Row],[INVERSIONES FCI]]-BP292,Tabla5[[#This Row],[INVERSIONES FCI]])</f>
        <v>72930159048.521561</v>
      </c>
      <c r="BQ293" s="5">
        <f>IF($B292&lt;=Tabla5[[#This Row],[INVERSIONES FCI]],+Tabla5[[#This Row],[INVERSIONES FCI]]-BQ292,Tabla5[[#This Row],[INVERSIONES FCI]])</f>
        <v>72930159048.521561</v>
      </c>
      <c r="BR293" s="5">
        <f>IF($B292&lt;=Tabla5[[#This Row],[INVERSIONES FCI]],+Tabla5[[#This Row],[INVERSIONES FCI]]-BR292,Tabla5[[#This Row],[INVERSIONES FCI]])</f>
        <v>72930159048.521561</v>
      </c>
      <c r="BS293" s="5">
        <f>IF($B292&lt;=Tabla5[[#This Row],[INVERSIONES FCI]],+Tabla5[[#This Row],[INVERSIONES FCI]]-BS292,Tabla5[[#This Row],[INVERSIONES FCI]])</f>
        <v>72930159048.521561</v>
      </c>
      <c r="BT293" s="5">
        <f>IF($B292&lt;=Tabla5[[#This Row],[INVERSIONES FCI]],+Tabla5[[#This Row],[INVERSIONES FCI]]-BT292,Tabla5[[#This Row],[INVERSIONES FCI]])</f>
        <v>72930159048.521561</v>
      </c>
      <c r="BU293" s="5">
        <f>IF($B292&lt;=Tabla5[[#This Row],[INVERSIONES FCI]],+Tabla5[[#This Row],[INVERSIONES FCI]]-BU292,Tabla5[[#This Row],[INVERSIONES FCI]])</f>
        <v>72930159048.521561</v>
      </c>
      <c r="BV293" s="5">
        <f>IF($B292&lt;=Tabla5[[#This Row],[INVERSIONES FCI]],+Tabla5[[#This Row],[INVERSIONES FCI]]-BV292,Tabla5[[#This Row],[INVERSIONES FCI]])</f>
        <v>72930159048.521561</v>
      </c>
      <c r="BW293" s="5">
        <f>IF($B292&lt;=Tabla5[[#This Row],[INVERSIONES FCI]],+Tabla5[[#This Row],[INVERSIONES FCI]]-BW292,Tabla5[[#This Row],[INVERSIONES FCI]])</f>
        <v>72930159048.521561</v>
      </c>
      <c r="BX293" s="5">
        <f>IF($B292&lt;=Tabla5[[#This Row],[INVERSIONES FCI]],+Tabla5[[#This Row],[INVERSIONES FCI]]-BX292,Tabla5[[#This Row],[INVERSIONES FCI]])</f>
        <v>72930159048.521561</v>
      </c>
      <c r="BY293" s="5">
        <f>IF($B292&lt;=Tabla5[[#This Row],[INVERSIONES FCI]],+Tabla5[[#This Row],[INVERSIONES FCI]]-BY292,Tabla5[[#This Row],[INVERSIONES FCI]])</f>
        <v>72930159048.521561</v>
      </c>
      <c r="BZ293" s="5">
        <f>IF($B292&lt;=Tabla5[[#This Row],[INVERSIONES FCI]],+Tabla5[[#This Row],[INVERSIONES FCI]]-BZ292,Tabla5[[#This Row],[INVERSIONES FCI]])</f>
        <v>72930159048.521561</v>
      </c>
      <c r="CA293" s="5">
        <f>IF($B292&lt;=Tabla5[[#This Row],[INVERSIONES FCI]],+Tabla5[[#This Row],[INVERSIONES FCI]]-CA292,Tabla5[[#This Row],[INVERSIONES FCI]])</f>
        <v>72930159048.521561</v>
      </c>
      <c r="CB293" s="5">
        <f>IF($B292&lt;=Tabla5[[#This Row],[INVERSIONES FCI]],+Tabla5[[#This Row],[INVERSIONES FCI]]-CB292,Tabla5[[#This Row],[INVERSIONES FCI]])</f>
        <v>72930159048.521561</v>
      </c>
      <c r="CC293" s="5">
        <f>IF($B292&lt;=Tabla5[[#This Row],[INVERSIONES FCI]],+Tabla5[[#This Row],[INVERSIONES FCI]]-CC292,Tabla5[[#This Row],[INVERSIONES FCI]])</f>
        <v>72930159048.521561</v>
      </c>
      <c r="CD293" s="5">
        <f>IF($B292&lt;=Tabla5[[#This Row],[INVERSIONES FCI]],+Tabla5[[#This Row],[INVERSIONES FCI]]-CD292,Tabla5[[#This Row],[INVERSIONES FCI]])</f>
        <v>72930159048.521561</v>
      </c>
      <c r="CE293" s="5">
        <f>IF($B292&lt;=Tabla5[[#This Row],[INVERSIONES FCI]],+Tabla5[[#This Row],[INVERSIONES FCI]]-CE292,Tabla5[[#This Row],[INVERSIONES FCI]])</f>
        <v>72930159048.521561</v>
      </c>
      <c r="CF293" s="5">
        <f>IF($B292&lt;=Tabla5[[#This Row],[INVERSIONES FCI]],+Tabla5[[#This Row],[INVERSIONES FCI]]-CF292,Tabla5[[#This Row],[INVERSIONES FCI]])</f>
        <v>72930159048.521561</v>
      </c>
      <c r="CG293" s="5">
        <f>IF($B292&lt;=Tabla5[[#This Row],[INVERSIONES FCI]],+Tabla5[[#This Row],[INVERSIONES FCI]]-CG292,Tabla5[[#This Row],[INVERSIONES FCI]])</f>
        <v>72930159048.521561</v>
      </c>
      <c r="CH293" s="5">
        <f>IF($B292&lt;=Tabla5[[#This Row],[INVERSIONES FCI]],+Tabla5[[#This Row],[INVERSIONES FCI]]-CH292,Tabla5[[#This Row],[INVERSIONES FCI]])</f>
        <v>72930159048.521561</v>
      </c>
      <c r="CI293" s="5">
        <f>IF($B292&lt;=Tabla5[[#This Row],[INVERSIONES FCI]],+Tabla5[[#This Row],[INVERSIONES FCI]]-CI292,Tabla5[[#This Row],[INVERSIONES FCI]])</f>
        <v>72930159048.521561</v>
      </c>
      <c r="CJ293" s="5">
        <f>IF($B292&lt;=Tabla5[[#This Row],[INVERSIONES FCI]],+Tabla5[[#This Row],[INVERSIONES FCI]]-CJ292,Tabla5[[#This Row],[INVERSIONES FCI]])</f>
        <v>72930159048.521561</v>
      </c>
      <c r="CK293" s="5">
        <f>IF($B292&lt;=Tabla5[[#This Row],[INVERSIONES FCI]],+Tabla5[[#This Row],[INVERSIONES FCI]]-CK292,Tabla5[[#This Row],[INVERSIONES FCI]])</f>
        <v>72930159048.521561</v>
      </c>
      <c r="CL293" s="5">
        <f>IF($B292&lt;=Tabla5[[#This Row],[INVERSIONES FCI]],+Tabla5[[#This Row],[INVERSIONES FCI]]-CL292,Tabla5[[#This Row],[INVERSIONES FCI]])</f>
        <v>72930159048.521561</v>
      </c>
      <c r="CM293" s="5">
        <f>IF($B292&lt;=Tabla5[[#This Row],[INVERSIONES FCI]],+Tabla5[[#This Row],[INVERSIONES FCI]]-CM292,Tabla5[[#This Row],[INVERSIONES FCI]])</f>
        <v>72930159048.521561</v>
      </c>
      <c r="CN293" s="5">
        <f>IF($B292&lt;=Tabla5[[#This Row],[INVERSIONES FCI]],+Tabla5[[#This Row],[INVERSIONES FCI]]-CN292,Tabla5[[#This Row],[INVERSIONES FCI]])</f>
        <v>72930159048.521561</v>
      </c>
      <c r="CO293" s="5">
        <f>IF($B292&lt;=Tabla5[[#This Row],[INVERSIONES FCI]],+Tabla5[[#This Row],[INVERSIONES FCI]]-CO292,Tabla5[[#This Row],[INVERSIONES FCI]])</f>
        <v>72930159048.521561</v>
      </c>
      <c r="CP293" s="5">
        <f>IF($B292&lt;=Tabla5[[#This Row],[INVERSIONES FCI]],+Tabla5[[#This Row],[INVERSIONES FCI]]-CP292,Tabla5[[#This Row],[INVERSIONES FCI]])</f>
        <v>72930159048.521561</v>
      </c>
      <c r="CQ293" s="5">
        <f>IF($B292&lt;=Tabla5[[#This Row],[INVERSIONES FCI]],+Tabla5[[#This Row],[INVERSIONES FCI]]-CQ292,Tabla5[[#This Row],[INVERSIONES FCI]])</f>
        <v>72930159048.521561</v>
      </c>
      <c r="CR293" s="5">
        <f>IF($B292&lt;=Tabla5[[#This Row],[INVERSIONES FCI]],+Tabla5[[#This Row],[INVERSIONES FCI]]-CR292,Tabla5[[#This Row],[INVERSIONES FCI]])</f>
        <v>72930159048.521561</v>
      </c>
      <c r="CS293" s="5">
        <f>IF($B292&lt;=Tabla5[[#This Row],[INVERSIONES FCI]],+Tabla5[[#This Row],[INVERSIONES FCI]]-CS292,Tabla5[[#This Row],[INVERSIONES FCI]])</f>
        <v>72930159048.521561</v>
      </c>
      <c r="CT293" s="5">
        <f>IF($B292&lt;=Tabla5[[#This Row],[INVERSIONES FCI]],+Tabla5[[#This Row],[INVERSIONES FCI]]-CT292,Tabla5[[#This Row],[INVERSIONES FCI]])</f>
        <v>72930159048.521561</v>
      </c>
      <c r="CU293" s="5">
        <f>IF($B292&lt;=Tabla5[[#This Row],[INVERSIONES FCI]],+Tabla5[[#This Row],[INVERSIONES FCI]]-CU292,Tabla5[[#This Row],[INVERSIONES FCI]])</f>
        <v>72930159048.521561</v>
      </c>
      <c r="CV293" s="5">
        <f>IF($B292&lt;=Tabla5[[#This Row],[INVERSIONES FCI]],+Tabla5[[#This Row],[INVERSIONES FCI]]-CV292,Tabla5[[#This Row],[INVERSIONES FCI]])</f>
        <v>72930159048.521561</v>
      </c>
      <c r="CW293" s="5">
        <f>IF($B292&lt;=Tabla5[[#This Row],[INVERSIONES FCI]],+Tabla5[[#This Row],[INVERSIONES FCI]]-CW292,Tabla5[[#This Row],[INVERSIONES FCI]])</f>
        <v>72930159048.521561</v>
      </c>
      <c r="CX293" s="5">
        <f>IF($B292&lt;=Tabla5[[#This Row],[INVERSIONES FCI]],+Tabla5[[#This Row],[INVERSIONES FCI]]-CX292,Tabla5[[#This Row],[INVERSIONES FCI]])</f>
        <v>72930159048.521561</v>
      </c>
      <c r="CY293" s="5">
        <f>IF($B292&lt;=Tabla5[[#This Row],[INVERSIONES FCI]],+Tabla5[[#This Row],[INVERSIONES FCI]]-CY292,Tabla5[[#This Row],[INVERSIONES FCI]])</f>
        <v>72930159048.521561</v>
      </c>
      <c r="CZ293" s="5">
        <f>IF($B292&lt;=Tabla5[[#This Row],[INVERSIONES FCI]],+Tabla5[[#This Row],[INVERSIONES FCI]]-CZ292,Tabla5[[#This Row],[INVERSIONES FCI]])</f>
        <v>72930159048.521561</v>
      </c>
      <c r="DA293" s="5">
        <f>IF($B292&lt;=Tabla5[[#This Row],[INVERSIONES FCI]],+Tabla5[[#This Row],[INVERSIONES FCI]]-DA292,Tabla5[[#This Row],[INVERSIONES FCI]])</f>
        <v>72930159048.521561</v>
      </c>
      <c r="DB293" s="5">
        <f>IF($B292&lt;=Tabla5[[#This Row],[INVERSIONES FCI]],+Tabla5[[#This Row],[INVERSIONES FCI]]-DB292,Tabla5[[#This Row],[INVERSIONES FCI]])</f>
        <v>72930159048.521561</v>
      </c>
      <c r="DC293" s="5">
        <f>IF($B292&lt;=Tabla5[[#This Row],[INVERSIONES FCI]],+Tabla5[[#This Row],[INVERSIONES FCI]]-DC292,Tabla5[[#This Row],[INVERSIONES FCI]])</f>
        <v>72930159048.521561</v>
      </c>
      <c r="DD293" s="5">
        <f>IF($B292&lt;=Tabla5[[#This Row],[INVERSIONES FCI]],+Tabla5[[#This Row],[INVERSIONES FCI]]-DD292,Tabla5[[#This Row],[INVERSIONES FCI]])</f>
        <v>72930159048.521561</v>
      </c>
      <c r="DE293" s="5">
        <f>IF($B292&lt;=Tabla5[[#This Row],[INVERSIONES FCI]],+Tabla5[[#This Row],[INVERSIONES FCI]]-DE292,Tabla5[[#This Row],[INVERSIONES FCI]])</f>
        <v>72930159048.521561</v>
      </c>
      <c r="DF293" s="5">
        <f>IF($B292&lt;=Tabla5[[#This Row],[INVERSIONES FCI]],+Tabla5[[#This Row],[INVERSIONES FCI]]-DF292,Tabla5[[#This Row],[INVERSIONES FCI]])</f>
        <v>72930159048.521561</v>
      </c>
      <c r="DG293" s="5">
        <f>IF($B292&lt;=Tabla5[[#This Row],[INVERSIONES FCI]],+Tabla5[[#This Row],[INVERSIONES FCI]]-DG292,Tabla5[[#This Row],[INVERSIONES FCI]])</f>
        <v>72930159048.521561</v>
      </c>
      <c r="DH293" s="5">
        <f>IF($B292&lt;=Tabla5[[#This Row],[INVERSIONES FCI]],+Tabla5[[#This Row],[INVERSIONES FCI]]-DH292,Tabla5[[#This Row],[INVERSIONES FCI]])</f>
        <v>72930159048.521561</v>
      </c>
      <c r="DI293" s="5">
        <f>IF($B292&lt;=Tabla5[[#This Row],[INVERSIONES FCI]],+Tabla5[[#This Row],[INVERSIONES FCI]]-DI292,Tabla5[[#This Row],[INVERSIONES FCI]])</f>
        <v>72930159048.521561</v>
      </c>
      <c r="DJ293" s="5">
        <f>IF($B292&lt;=Tabla5[[#This Row],[INVERSIONES FCI]],+Tabla5[[#This Row],[INVERSIONES FCI]]-DJ292,Tabla5[[#This Row],[INVERSIONES FCI]])</f>
        <v>72930159048.521561</v>
      </c>
      <c r="DK293" s="5">
        <f>IF($B292&lt;=Tabla5[[#This Row],[INVERSIONES FCI]],+Tabla5[[#This Row],[INVERSIONES FCI]]-DK292,Tabla5[[#This Row],[INVERSIONES FCI]])</f>
        <v>72930159048.521561</v>
      </c>
      <c r="DL293" s="5"/>
      <c r="DM293" s="5"/>
      <c r="DN293" s="5"/>
      <c r="DO293" s="5"/>
      <c r="DP293" s="5"/>
      <c r="DQ293" s="5"/>
    </row>
    <row r="294" spans="1:121" ht="14.4">
      <c r="A294" s="12" t="s">
        <v>293</v>
      </c>
      <c r="B294" s="5">
        <f>HLOOKUP($A294,ESCENARIO[#All],7,FALSE)</f>
        <v>77519146549.771439</v>
      </c>
      <c r="C294" s="5">
        <f>IF($B293&lt;=Tabla5[[#This Row],[INVERSIONES FCI]],+Tabla5[[#This Row],[INVERSIONES FCI]]-C293,Tabla5[[#This Row],[INVERSIONES FCI]])</f>
        <v>4588987501.2498779</v>
      </c>
      <c r="D294" s="5">
        <f>IF($B293&lt;=Tabla5[[#This Row],[INVERSIONES FCI]],+Tabla5[[#This Row],[INVERSIONES FCI]]-D293,Tabla5[[#This Row],[INVERSIONES FCI]])</f>
        <v>4588987501.2498779</v>
      </c>
      <c r="E294" s="5">
        <f>IF($B293&lt;=Tabla5[[#This Row],[INVERSIONES FCI]],+Tabla5[[#This Row],[INVERSIONES FCI]]-E293,Tabla5[[#This Row],[INVERSIONES FCI]])</f>
        <v>4588987501.2498779</v>
      </c>
      <c r="F294" s="5">
        <f>IF($B293&lt;=Tabla5[[#This Row],[INVERSIONES FCI]],+Tabla5[[#This Row],[INVERSIONES FCI]]-F293,Tabla5[[#This Row],[INVERSIONES FCI]])</f>
        <v>4588987501.2498779</v>
      </c>
      <c r="G294" s="5">
        <f>IF($B293&lt;=Tabla5[[#This Row],[INVERSIONES FCI]],+Tabla5[[#This Row],[INVERSIONES FCI]]-G293,Tabla5[[#This Row],[INVERSIONES FCI]])</f>
        <v>4588987501.2498779</v>
      </c>
      <c r="H294" s="5">
        <f>IF($B293&lt;=Tabla5[[#This Row],[INVERSIONES FCI]],+Tabla5[[#This Row],[INVERSIONES FCI]]-H293,Tabla5[[#This Row],[INVERSIONES FCI]])</f>
        <v>4588987501.2498779</v>
      </c>
      <c r="I294" s="5">
        <f>IF($B293&lt;=Tabla5[[#This Row],[INVERSIONES FCI]],+Tabla5[[#This Row],[INVERSIONES FCI]]-I293,Tabla5[[#This Row],[INVERSIONES FCI]])</f>
        <v>4588987501.2498779</v>
      </c>
      <c r="J294" s="5">
        <f>IF($B293&lt;=Tabla5[[#This Row],[INVERSIONES FCI]],+Tabla5[[#This Row],[INVERSIONES FCI]]-J293,Tabla5[[#This Row],[INVERSIONES FCI]])</f>
        <v>4588987501.2498779</v>
      </c>
      <c r="K294" s="5">
        <f>IF($B293&lt;=Tabla5[[#This Row],[INVERSIONES FCI]],+Tabla5[[#This Row],[INVERSIONES FCI]]-K293,Tabla5[[#This Row],[INVERSIONES FCI]])</f>
        <v>4588987501.2498779</v>
      </c>
      <c r="L294" s="5">
        <f>IF($B293&lt;=Tabla5[[#This Row],[INVERSIONES FCI]],+Tabla5[[#This Row],[INVERSIONES FCI]]-L293,Tabla5[[#This Row],[INVERSIONES FCI]])</f>
        <v>4588987501.2498779</v>
      </c>
      <c r="M294" s="5">
        <f>IF($B293&lt;=Tabla5[[#This Row],[INVERSIONES FCI]],+Tabla5[[#This Row],[INVERSIONES FCI]]-M293,Tabla5[[#This Row],[INVERSIONES FCI]])</f>
        <v>4588987501.2498779</v>
      </c>
      <c r="N294" s="5">
        <f>IF($B293&lt;=Tabla5[[#This Row],[INVERSIONES FCI]],+Tabla5[[#This Row],[INVERSIONES FCI]]-N293,Tabla5[[#This Row],[INVERSIONES FCI]])</f>
        <v>4588987501.2498779</v>
      </c>
      <c r="O294" s="5">
        <f>IF($B293&lt;=Tabla5[[#This Row],[INVERSIONES FCI]],+Tabla5[[#This Row],[INVERSIONES FCI]]-O293,Tabla5[[#This Row],[INVERSIONES FCI]])</f>
        <v>4588987501.2498779</v>
      </c>
      <c r="P294" s="5">
        <f>IF($B293&lt;=Tabla5[[#This Row],[INVERSIONES FCI]],+Tabla5[[#This Row],[INVERSIONES FCI]]-P293,Tabla5[[#This Row],[INVERSIONES FCI]])</f>
        <v>4588987501.2498779</v>
      </c>
      <c r="Q294" s="5">
        <f>IF($B293&lt;=Tabla5[[#This Row],[INVERSIONES FCI]],+Tabla5[[#This Row],[INVERSIONES FCI]]-Q293,Tabla5[[#This Row],[INVERSIONES FCI]])</f>
        <v>4588987501.2498779</v>
      </c>
      <c r="R294" s="5">
        <f>IF($B293&lt;=Tabla5[[#This Row],[INVERSIONES FCI]],+Tabla5[[#This Row],[INVERSIONES FCI]]-R293,Tabla5[[#This Row],[INVERSIONES FCI]])</f>
        <v>4588987501.2498779</v>
      </c>
      <c r="S294" s="5">
        <f>IF($B293&lt;=Tabla5[[#This Row],[INVERSIONES FCI]],+Tabla5[[#This Row],[INVERSIONES FCI]]-S293,Tabla5[[#This Row],[INVERSIONES FCI]])</f>
        <v>4588987501.2498779</v>
      </c>
      <c r="T294" s="5">
        <f>IF($B293&lt;=Tabla5[[#This Row],[INVERSIONES FCI]],+Tabla5[[#This Row],[INVERSIONES FCI]]-T293,Tabla5[[#This Row],[INVERSIONES FCI]])</f>
        <v>4588987501.2498779</v>
      </c>
      <c r="U294" s="5">
        <f>IF($B293&lt;=Tabla5[[#This Row],[INVERSIONES FCI]],+Tabla5[[#This Row],[INVERSIONES FCI]]-U293,Tabla5[[#This Row],[INVERSIONES FCI]])</f>
        <v>4588987501.2498779</v>
      </c>
      <c r="V294" s="5">
        <f>IF($B293&lt;=Tabla5[[#This Row],[INVERSIONES FCI]],+Tabla5[[#This Row],[INVERSIONES FCI]]-V293,Tabla5[[#This Row],[INVERSIONES FCI]])</f>
        <v>4588987501.2498779</v>
      </c>
      <c r="W294" s="5">
        <f>IF($B293&lt;=Tabla5[[#This Row],[INVERSIONES FCI]],+Tabla5[[#This Row],[INVERSIONES FCI]]-W293,Tabla5[[#This Row],[INVERSIONES FCI]])</f>
        <v>4588987501.2498779</v>
      </c>
      <c r="X294" s="5">
        <f>IF($B293&lt;=Tabla5[[#This Row],[INVERSIONES FCI]],+Tabla5[[#This Row],[INVERSIONES FCI]]-X293,Tabla5[[#This Row],[INVERSIONES FCI]])</f>
        <v>4588987501.2498779</v>
      </c>
      <c r="Y294" s="5">
        <f>IF($B293&lt;=Tabla5[[#This Row],[INVERSIONES FCI]],+Tabla5[[#This Row],[INVERSIONES FCI]]-Y293,Tabla5[[#This Row],[INVERSIONES FCI]])</f>
        <v>4588987501.2498779</v>
      </c>
      <c r="Z294" s="5">
        <f>IF($B293&lt;=Tabla5[[#This Row],[INVERSIONES FCI]],+Tabla5[[#This Row],[INVERSIONES FCI]]-Z293,Tabla5[[#This Row],[INVERSIONES FCI]])</f>
        <v>4588987501.2498779</v>
      </c>
      <c r="AA294" s="5">
        <f>IF($B293&lt;=Tabla5[[#This Row],[INVERSIONES FCI]],+Tabla5[[#This Row],[INVERSIONES FCI]]-AA293,Tabla5[[#This Row],[INVERSIONES FCI]])</f>
        <v>4588987501.2498779</v>
      </c>
      <c r="AB294" s="5">
        <f>IF($B293&lt;=Tabla5[[#This Row],[INVERSIONES FCI]],+Tabla5[[#This Row],[INVERSIONES FCI]]-AB293,Tabla5[[#This Row],[INVERSIONES FCI]])</f>
        <v>4588987501.2498779</v>
      </c>
      <c r="AC294" s="5">
        <f>IF($B293&lt;=Tabla5[[#This Row],[INVERSIONES FCI]],+Tabla5[[#This Row],[INVERSIONES FCI]]-AC293,Tabla5[[#This Row],[INVERSIONES FCI]])</f>
        <v>4588987501.2498779</v>
      </c>
      <c r="AD294" s="5">
        <f>IF($B293&lt;=Tabla5[[#This Row],[INVERSIONES FCI]],+Tabla5[[#This Row],[INVERSIONES FCI]]-AD293,Tabla5[[#This Row],[INVERSIONES FCI]])</f>
        <v>4588987501.2498779</v>
      </c>
      <c r="AE294" s="5">
        <f>IF($B293&lt;=Tabla5[[#This Row],[INVERSIONES FCI]],+Tabla5[[#This Row],[INVERSIONES FCI]]-AE293,Tabla5[[#This Row],[INVERSIONES FCI]])</f>
        <v>4588987501.2498779</v>
      </c>
      <c r="AF294" s="5">
        <f>IF($B293&lt;=Tabla5[[#This Row],[INVERSIONES FCI]],+Tabla5[[#This Row],[INVERSIONES FCI]]-AF293,Tabla5[[#This Row],[INVERSIONES FCI]])</f>
        <v>4588987501.2498779</v>
      </c>
      <c r="AG294" s="5">
        <f>IF($B293&lt;=Tabla5[[#This Row],[INVERSIONES FCI]],+Tabla5[[#This Row],[INVERSIONES FCI]]-AG293,Tabla5[[#This Row],[INVERSIONES FCI]])</f>
        <v>4588987501.2498779</v>
      </c>
      <c r="AH294" s="5">
        <f>IF($B293&lt;=Tabla5[[#This Row],[INVERSIONES FCI]],+Tabla5[[#This Row],[INVERSIONES FCI]]-AH293,Tabla5[[#This Row],[INVERSIONES FCI]])</f>
        <v>4588987501.2498779</v>
      </c>
      <c r="AI294" s="5">
        <f>IF($B293&lt;=Tabla5[[#This Row],[INVERSIONES FCI]],+Tabla5[[#This Row],[INVERSIONES FCI]]-AI293,Tabla5[[#This Row],[INVERSIONES FCI]])</f>
        <v>4588987501.2498779</v>
      </c>
      <c r="AJ294" s="5">
        <f>IF($B293&lt;=Tabla5[[#This Row],[INVERSIONES FCI]],+Tabla5[[#This Row],[INVERSIONES FCI]]-AJ293,Tabla5[[#This Row],[INVERSIONES FCI]])</f>
        <v>4588987501.2498779</v>
      </c>
      <c r="AK294" s="5">
        <f>IF($B293&lt;=Tabla5[[#This Row],[INVERSIONES FCI]],+Tabla5[[#This Row],[INVERSIONES FCI]]-AK293,Tabla5[[#This Row],[INVERSIONES FCI]])</f>
        <v>4588987501.2498779</v>
      </c>
      <c r="AL294" s="5">
        <f>IF($B293&lt;=Tabla5[[#This Row],[INVERSIONES FCI]],+Tabla5[[#This Row],[INVERSIONES FCI]]-AL293,Tabla5[[#This Row],[INVERSIONES FCI]])</f>
        <v>4588987501.2498779</v>
      </c>
      <c r="AM294" s="5">
        <f>IF($B293&lt;=Tabla5[[#This Row],[INVERSIONES FCI]],+Tabla5[[#This Row],[INVERSIONES FCI]]-AM293,Tabla5[[#This Row],[INVERSIONES FCI]])</f>
        <v>4588987501.2498779</v>
      </c>
      <c r="AN294" s="5">
        <f>IF($B293&lt;=Tabla5[[#This Row],[INVERSIONES FCI]],+Tabla5[[#This Row],[INVERSIONES FCI]]-AN293,Tabla5[[#This Row],[INVERSIONES FCI]])</f>
        <v>4588987501.2498779</v>
      </c>
      <c r="AO294" s="5">
        <f>IF($B293&lt;=Tabla5[[#This Row],[INVERSIONES FCI]],+Tabla5[[#This Row],[INVERSIONES FCI]]-AO293,Tabla5[[#This Row],[INVERSIONES FCI]])</f>
        <v>4588987501.2498779</v>
      </c>
      <c r="AP294" s="5">
        <f>IF($B293&lt;=Tabla5[[#This Row],[INVERSIONES FCI]],+Tabla5[[#This Row],[INVERSIONES FCI]]-AP293,Tabla5[[#This Row],[INVERSIONES FCI]])</f>
        <v>4588987501.2498779</v>
      </c>
      <c r="AQ294" s="5">
        <f>IF($B293&lt;=Tabla5[[#This Row],[INVERSIONES FCI]],+Tabla5[[#This Row],[INVERSIONES FCI]]-AQ293,Tabla5[[#This Row],[INVERSIONES FCI]])</f>
        <v>4588987501.2498779</v>
      </c>
      <c r="AR294" s="5">
        <f>IF($B293&lt;=Tabla5[[#This Row],[INVERSIONES FCI]],+Tabla5[[#This Row],[INVERSIONES FCI]]-AR293,Tabla5[[#This Row],[INVERSIONES FCI]])</f>
        <v>4588987501.2498779</v>
      </c>
      <c r="AS294" s="5">
        <f>IF($B293&lt;=Tabla5[[#This Row],[INVERSIONES FCI]],+Tabla5[[#This Row],[INVERSIONES FCI]]-AS293,Tabla5[[#This Row],[INVERSIONES FCI]])</f>
        <v>4588987501.2498779</v>
      </c>
      <c r="AT294" s="5">
        <f>IF($B293&lt;=Tabla5[[#This Row],[INVERSIONES FCI]],+Tabla5[[#This Row],[INVERSIONES FCI]]-AT293,Tabla5[[#This Row],[INVERSIONES FCI]])</f>
        <v>4588987501.2498779</v>
      </c>
      <c r="AU294" s="5">
        <f>IF($B293&lt;=Tabla5[[#This Row],[INVERSIONES FCI]],+Tabla5[[#This Row],[INVERSIONES FCI]]-AU293,Tabla5[[#This Row],[INVERSIONES FCI]])</f>
        <v>4588987501.2498779</v>
      </c>
      <c r="AV294" s="5">
        <f>IF($B293&lt;=Tabla5[[#This Row],[INVERSIONES FCI]],+Tabla5[[#This Row],[INVERSIONES FCI]]-AV293,Tabla5[[#This Row],[INVERSIONES FCI]])</f>
        <v>4588987501.2498779</v>
      </c>
      <c r="AW294" s="5">
        <f>IF($B293&lt;=Tabla5[[#This Row],[INVERSIONES FCI]],+Tabla5[[#This Row],[INVERSIONES FCI]]-AW293,Tabla5[[#This Row],[INVERSIONES FCI]])</f>
        <v>4588987501.2498779</v>
      </c>
      <c r="AX294" s="5">
        <f>IF($B293&lt;=Tabla5[[#This Row],[INVERSIONES FCI]],+Tabla5[[#This Row],[INVERSIONES FCI]]-AX293,Tabla5[[#This Row],[INVERSIONES FCI]])</f>
        <v>4588987501.2498779</v>
      </c>
      <c r="AY294" s="5">
        <f>IF($B293&lt;=Tabla5[[#This Row],[INVERSIONES FCI]],+Tabla5[[#This Row],[INVERSIONES FCI]]-AY293,Tabla5[[#This Row],[INVERSIONES FCI]])</f>
        <v>4588987501.2498779</v>
      </c>
      <c r="AZ294" s="5">
        <f>IF($B293&lt;=Tabla5[[#This Row],[INVERSIONES FCI]],+Tabla5[[#This Row],[INVERSIONES FCI]]-AZ293,Tabla5[[#This Row],[INVERSIONES FCI]])</f>
        <v>4588987501.2498779</v>
      </c>
      <c r="BA294" s="5">
        <f>IF($B293&lt;=Tabla5[[#This Row],[INVERSIONES FCI]],+Tabla5[[#This Row],[INVERSIONES FCI]]-BA293,Tabla5[[#This Row],[INVERSIONES FCI]])</f>
        <v>4588987501.2498779</v>
      </c>
      <c r="BB294" s="5">
        <f>IF($B293&lt;=Tabla5[[#This Row],[INVERSIONES FCI]],+Tabla5[[#This Row],[INVERSIONES FCI]]-BB293,Tabla5[[#This Row],[INVERSIONES FCI]])</f>
        <v>4588987501.2498779</v>
      </c>
      <c r="BC294" s="5">
        <f>IF($B293&lt;=Tabla5[[#This Row],[INVERSIONES FCI]],+Tabla5[[#This Row],[INVERSIONES FCI]]-BC293,Tabla5[[#This Row],[INVERSIONES FCI]])</f>
        <v>4588987501.2498779</v>
      </c>
      <c r="BD294" s="5">
        <f>IF($B293&lt;=Tabla5[[#This Row],[INVERSIONES FCI]],+Tabla5[[#This Row],[INVERSIONES FCI]]-BD293,Tabla5[[#This Row],[INVERSIONES FCI]])</f>
        <v>4588987501.2498779</v>
      </c>
      <c r="BE294" s="5">
        <f>IF($B293&lt;=Tabla5[[#This Row],[INVERSIONES FCI]],+Tabla5[[#This Row],[INVERSIONES FCI]]-BE293,Tabla5[[#This Row],[INVERSIONES FCI]])</f>
        <v>4588987501.2498779</v>
      </c>
      <c r="BF294" s="5">
        <f>IF($B293&lt;=Tabla5[[#This Row],[INVERSIONES FCI]],+Tabla5[[#This Row],[INVERSIONES FCI]]-BF293,Tabla5[[#This Row],[INVERSIONES FCI]])</f>
        <v>4588987501.2498779</v>
      </c>
      <c r="BG294" s="5">
        <f>IF($B293&lt;=Tabla5[[#This Row],[INVERSIONES FCI]],+Tabla5[[#This Row],[INVERSIONES FCI]]-BG293,Tabla5[[#This Row],[INVERSIONES FCI]])</f>
        <v>4588987501.2498779</v>
      </c>
      <c r="BH294" s="5">
        <f>IF($B293&lt;=Tabla5[[#This Row],[INVERSIONES FCI]],+Tabla5[[#This Row],[INVERSIONES FCI]]-BH293,Tabla5[[#This Row],[INVERSIONES FCI]])</f>
        <v>4588987501.2498779</v>
      </c>
      <c r="BI294" s="5">
        <f>IF($B293&lt;=Tabla5[[#This Row],[INVERSIONES FCI]],+Tabla5[[#This Row],[INVERSIONES FCI]]-BI293,Tabla5[[#This Row],[INVERSIONES FCI]])</f>
        <v>4588987501.2498779</v>
      </c>
      <c r="BJ294" s="5">
        <f>IF($B293&lt;=Tabla5[[#This Row],[INVERSIONES FCI]],+Tabla5[[#This Row],[INVERSIONES FCI]]-BJ293,Tabla5[[#This Row],[INVERSIONES FCI]])</f>
        <v>4588987501.2498779</v>
      </c>
      <c r="BK294" s="5">
        <f>IF($B293&lt;=Tabla5[[#This Row],[INVERSIONES FCI]],+Tabla5[[#This Row],[INVERSIONES FCI]]-BK293,Tabla5[[#This Row],[INVERSIONES FCI]])</f>
        <v>4588987501.2498779</v>
      </c>
      <c r="BL294" s="5">
        <f>IF($B293&lt;=Tabla5[[#This Row],[INVERSIONES FCI]],+Tabla5[[#This Row],[INVERSIONES FCI]]-BL293,Tabla5[[#This Row],[INVERSIONES FCI]])</f>
        <v>4588987501.2498779</v>
      </c>
      <c r="BM294" s="5">
        <f>IF($B293&lt;=Tabla5[[#This Row],[INVERSIONES FCI]],+Tabla5[[#This Row],[INVERSIONES FCI]]-BM293,Tabla5[[#This Row],[INVERSIONES FCI]])</f>
        <v>4588987501.2498779</v>
      </c>
      <c r="BN294" s="5">
        <f>IF($B293&lt;=Tabla5[[#This Row],[INVERSIONES FCI]],+Tabla5[[#This Row],[INVERSIONES FCI]]-BN293,Tabla5[[#This Row],[INVERSIONES FCI]])</f>
        <v>4588987501.2498779</v>
      </c>
      <c r="BO294" s="5">
        <f>IF($B293&lt;=Tabla5[[#This Row],[INVERSIONES FCI]],+Tabla5[[#This Row],[INVERSIONES FCI]]-BO293,Tabla5[[#This Row],[INVERSIONES FCI]])</f>
        <v>4588987501.2498779</v>
      </c>
      <c r="BP294" s="5">
        <f>IF($B293&lt;=Tabla5[[#This Row],[INVERSIONES FCI]],+Tabla5[[#This Row],[INVERSIONES FCI]]-BP293,Tabla5[[#This Row],[INVERSIONES FCI]])</f>
        <v>4588987501.2498779</v>
      </c>
      <c r="BQ294" s="5">
        <f>IF($B293&lt;=Tabla5[[#This Row],[INVERSIONES FCI]],+Tabla5[[#This Row],[INVERSIONES FCI]]-BQ293,Tabla5[[#This Row],[INVERSIONES FCI]])</f>
        <v>4588987501.2498779</v>
      </c>
      <c r="BR294" s="5">
        <f>IF($B293&lt;=Tabla5[[#This Row],[INVERSIONES FCI]],+Tabla5[[#This Row],[INVERSIONES FCI]]-BR293,Tabla5[[#This Row],[INVERSIONES FCI]])</f>
        <v>4588987501.2498779</v>
      </c>
      <c r="BS294" s="5">
        <f>IF($B293&lt;=Tabla5[[#This Row],[INVERSIONES FCI]],+Tabla5[[#This Row],[INVERSIONES FCI]]-BS293,Tabla5[[#This Row],[INVERSIONES FCI]])</f>
        <v>4588987501.2498779</v>
      </c>
      <c r="BT294" s="5">
        <f>IF($B293&lt;=Tabla5[[#This Row],[INVERSIONES FCI]],+Tabla5[[#This Row],[INVERSIONES FCI]]-BT293,Tabla5[[#This Row],[INVERSIONES FCI]])</f>
        <v>4588987501.2498779</v>
      </c>
      <c r="BU294" s="5">
        <f>IF($B293&lt;=Tabla5[[#This Row],[INVERSIONES FCI]],+Tabla5[[#This Row],[INVERSIONES FCI]]-BU293,Tabla5[[#This Row],[INVERSIONES FCI]])</f>
        <v>4588987501.2498779</v>
      </c>
      <c r="BV294" s="5">
        <f>IF($B293&lt;=Tabla5[[#This Row],[INVERSIONES FCI]],+Tabla5[[#This Row],[INVERSIONES FCI]]-BV293,Tabla5[[#This Row],[INVERSIONES FCI]])</f>
        <v>4588987501.2498779</v>
      </c>
      <c r="BW294" s="5">
        <f>IF($B293&lt;=Tabla5[[#This Row],[INVERSIONES FCI]],+Tabla5[[#This Row],[INVERSIONES FCI]]-BW293,Tabla5[[#This Row],[INVERSIONES FCI]])</f>
        <v>4588987501.2498779</v>
      </c>
      <c r="BX294" s="5">
        <f>IF($B293&lt;=Tabla5[[#This Row],[INVERSIONES FCI]],+Tabla5[[#This Row],[INVERSIONES FCI]]-BX293,Tabla5[[#This Row],[INVERSIONES FCI]])</f>
        <v>4588987501.2498779</v>
      </c>
      <c r="BY294" s="5">
        <f>IF($B293&lt;=Tabla5[[#This Row],[INVERSIONES FCI]],+Tabla5[[#This Row],[INVERSIONES FCI]]-BY293,Tabla5[[#This Row],[INVERSIONES FCI]])</f>
        <v>4588987501.2498779</v>
      </c>
      <c r="BZ294" s="5">
        <f>IF($B293&lt;=Tabla5[[#This Row],[INVERSIONES FCI]],+Tabla5[[#This Row],[INVERSIONES FCI]]-BZ293,Tabla5[[#This Row],[INVERSIONES FCI]])</f>
        <v>4588987501.2498779</v>
      </c>
      <c r="CA294" s="5">
        <f>IF($B293&lt;=Tabla5[[#This Row],[INVERSIONES FCI]],+Tabla5[[#This Row],[INVERSIONES FCI]]-CA293,Tabla5[[#This Row],[INVERSIONES FCI]])</f>
        <v>4588987501.2498779</v>
      </c>
      <c r="CB294" s="5">
        <f>IF($B293&lt;=Tabla5[[#This Row],[INVERSIONES FCI]],+Tabla5[[#This Row],[INVERSIONES FCI]]-CB293,Tabla5[[#This Row],[INVERSIONES FCI]])</f>
        <v>4588987501.2498779</v>
      </c>
      <c r="CC294" s="5">
        <f>IF($B293&lt;=Tabla5[[#This Row],[INVERSIONES FCI]],+Tabla5[[#This Row],[INVERSIONES FCI]]-CC293,Tabla5[[#This Row],[INVERSIONES FCI]])</f>
        <v>4588987501.2498779</v>
      </c>
      <c r="CD294" s="5">
        <f>IF($B293&lt;=Tabla5[[#This Row],[INVERSIONES FCI]],+Tabla5[[#This Row],[INVERSIONES FCI]]-CD293,Tabla5[[#This Row],[INVERSIONES FCI]])</f>
        <v>4588987501.2498779</v>
      </c>
      <c r="CE294" s="5">
        <f>IF($B293&lt;=Tabla5[[#This Row],[INVERSIONES FCI]],+Tabla5[[#This Row],[INVERSIONES FCI]]-CE293,Tabla5[[#This Row],[INVERSIONES FCI]])</f>
        <v>4588987501.2498779</v>
      </c>
      <c r="CF294" s="5">
        <f>IF($B293&lt;=Tabla5[[#This Row],[INVERSIONES FCI]],+Tabla5[[#This Row],[INVERSIONES FCI]]-CF293,Tabla5[[#This Row],[INVERSIONES FCI]])</f>
        <v>4588987501.2498779</v>
      </c>
      <c r="CG294" s="5">
        <f>IF($B293&lt;=Tabla5[[#This Row],[INVERSIONES FCI]],+Tabla5[[#This Row],[INVERSIONES FCI]]-CG293,Tabla5[[#This Row],[INVERSIONES FCI]])</f>
        <v>4588987501.2498779</v>
      </c>
      <c r="CH294" s="5">
        <f>IF($B293&lt;=Tabla5[[#This Row],[INVERSIONES FCI]],+Tabla5[[#This Row],[INVERSIONES FCI]]-CH293,Tabla5[[#This Row],[INVERSIONES FCI]])</f>
        <v>4588987501.2498779</v>
      </c>
      <c r="CI294" s="5">
        <f>IF($B293&lt;=Tabla5[[#This Row],[INVERSIONES FCI]],+Tabla5[[#This Row],[INVERSIONES FCI]]-CI293,Tabla5[[#This Row],[INVERSIONES FCI]])</f>
        <v>4588987501.2498779</v>
      </c>
      <c r="CJ294" s="5">
        <f>IF($B293&lt;=Tabla5[[#This Row],[INVERSIONES FCI]],+Tabla5[[#This Row],[INVERSIONES FCI]]-CJ293,Tabla5[[#This Row],[INVERSIONES FCI]])</f>
        <v>4588987501.2498779</v>
      </c>
      <c r="CK294" s="5">
        <f>IF($B293&lt;=Tabla5[[#This Row],[INVERSIONES FCI]],+Tabla5[[#This Row],[INVERSIONES FCI]]-CK293,Tabla5[[#This Row],[INVERSIONES FCI]])</f>
        <v>4588987501.2498779</v>
      </c>
      <c r="CL294" s="5">
        <f>IF($B293&lt;=Tabla5[[#This Row],[INVERSIONES FCI]],+Tabla5[[#This Row],[INVERSIONES FCI]]-CL293,Tabla5[[#This Row],[INVERSIONES FCI]])</f>
        <v>4588987501.2498779</v>
      </c>
      <c r="CM294" s="5">
        <f>IF($B293&lt;=Tabla5[[#This Row],[INVERSIONES FCI]],+Tabla5[[#This Row],[INVERSIONES FCI]]-CM293,Tabla5[[#This Row],[INVERSIONES FCI]])</f>
        <v>4588987501.2498779</v>
      </c>
      <c r="CN294" s="5">
        <f>IF($B293&lt;=Tabla5[[#This Row],[INVERSIONES FCI]],+Tabla5[[#This Row],[INVERSIONES FCI]]-CN293,Tabla5[[#This Row],[INVERSIONES FCI]])</f>
        <v>4588987501.2498779</v>
      </c>
      <c r="CO294" s="5">
        <f>IF($B293&lt;=Tabla5[[#This Row],[INVERSIONES FCI]],+Tabla5[[#This Row],[INVERSIONES FCI]]-CO293,Tabla5[[#This Row],[INVERSIONES FCI]])</f>
        <v>4588987501.2498779</v>
      </c>
      <c r="CP294" s="5">
        <f>IF($B293&lt;=Tabla5[[#This Row],[INVERSIONES FCI]],+Tabla5[[#This Row],[INVERSIONES FCI]]-CP293,Tabla5[[#This Row],[INVERSIONES FCI]])</f>
        <v>4588987501.2498779</v>
      </c>
      <c r="CQ294" s="5">
        <f>IF($B293&lt;=Tabla5[[#This Row],[INVERSIONES FCI]],+Tabla5[[#This Row],[INVERSIONES FCI]]-CQ293,Tabla5[[#This Row],[INVERSIONES FCI]])</f>
        <v>4588987501.2498779</v>
      </c>
      <c r="CR294" s="5">
        <f>IF($B293&lt;=Tabla5[[#This Row],[INVERSIONES FCI]],+Tabla5[[#This Row],[INVERSIONES FCI]]-CR293,Tabla5[[#This Row],[INVERSIONES FCI]])</f>
        <v>4588987501.2498779</v>
      </c>
      <c r="CS294" s="5">
        <f>IF($B293&lt;=Tabla5[[#This Row],[INVERSIONES FCI]],+Tabla5[[#This Row],[INVERSIONES FCI]]-CS293,Tabla5[[#This Row],[INVERSIONES FCI]])</f>
        <v>4588987501.2498779</v>
      </c>
      <c r="CT294" s="5">
        <f>IF($B293&lt;=Tabla5[[#This Row],[INVERSIONES FCI]],+Tabla5[[#This Row],[INVERSIONES FCI]]-CT293,Tabla5[[#This Row],[INVERSIONES FCI]])</f>
        <v>4588987501.2498779</v>
      </c>
      <c r="CU294" s="5">
        <f>IF($B293&lt;=Tabla5[[#This Row],[INVERSIONES FCI]],+Tabla5[[#This Row],[INVERSIONES FCI]]-CU293,Tabla5[[#This Row],[INVERSIONES FCI]])</f>
        <v>4588987501.2498779</v>
      </c>
      <c r="CV294" s="5">
        <f>IF($B293&lt;=Tabla5[[#This Row],[INVERSIONES FCI]],+Tabla5[[#This Row],[INVERSIONES FCI]]-CV293,Tabla5[[#This Row],[INVERSIONES FCI]])</f>
        <v>4588987501.2498779</v>
      </c>
      <c r="CW294" s="5">
        <f>IF($B293&lt;=Tabla5[[#This Row],[INVERSIONES FCI]],+Tabla5[[#This Row],[INVERSIONES FCI]]-CW293,Tabla5[[#This Row],[INVERSIONES FCI]])</f>
        <v>4588987501.2498779</v>
      </c>
      <c r="CX294" s="5">
        <f>IF($B293&lt;=Tabla5[[#This Row],[INVERSIONES FCI]],+Tabla5[[#This Row],[INVERSIONES FCI]]-CX293,Tabla5[[#This Row],[INVERSIONES FCI]])</f>
        <v>4588987501.2498779</v>
      </c>
      <c r="CY294" s="5">
        <f>IF($B293&lt;=Tabla5[[#This Row],[INVERSIONES FCI]],+Tabla5[[#This Row],[INVERSIONES FCI]]-CY293,Tabla5[[#This Row],[INVERSIONES FCI]])</f>
        <v>4588987501.2498779</v>
      </c>
      <c r="CZ294" s="5">
        <f>IF($B293&lt;=Tabla5[[#This Row],[INVERSIONES FCI]],+Tabla5[[#This Row],[INVERSIONES FCI]]-CZ293,Tabla5[[#This Row],[INVERSIONES FCI]])</f>
        <v>4588987501.2498779</v>
      </c>
      <c r="DA294" s="5">
        <f>IF($B293&lt;=Tabla5[[#This Row],[INVERSIONES FCI]],+Tabla5[[#This Row],[INVERSIONES FCI]]-DA293,Tabla5[[#This Row],[INVERSIONES FCI]])</f>
        <v>4588987501.2498779</v>
      </c>
      <c r="DB294" s="5">
        <f>IF($B293&lt;=Tabla5[[#This Row],[INVERSIONES FCI]],+Tabla5[[#This Row],[INVERSIONES FCI]]-DB293,Tabla5[[#This Row],[INVERSIONES FCI]])</f>
        <v>4588987501.2498779</v>
      </c>
      <c r="DC294" s="5">
        <f>IF($B293&lt;=Tabla5[[#This Row],[INVERSIONES FCI]],+Tabla5[[#This Row],[INVERSIONES FCI]]-DC293,Tabla5[[#This Row],[INVERSIONES FCI]])</f>
        <v>4588987501.2498779</v>
      </c>
      <c r="DD294" s="5">
        <f>IF($B293&lt;=Tabla5[[#This Row],[INVERSIONES FCI]],+Tabla5[[#This Row],[INVERSIONES FCI]]-DD293,Tabla5[[#This Row],[INVERSIONES FCI]])</f>
        <v>4588987501.2498779</v>
      </c>
      <c r="DE294" s="5">
        <f>IF($B293&lt;=Tabla5[[#This Row],[INVERSIONES FCI]],+Tabla5[[#This Row],[INVERSIONES FCI]]-DE293,Tabla5[[#This Row],[INVERSIONES FCI]])</f>
        <v>4588987501.2498779</v>
      </c>
      <c r="DF294" s="5">
        <f>IF($B293&lt;=Tabla5[[#This Row],[INVERSIONES FCI]],+Tabla5[[#This Row],[INVERSIONES FCI]]-DF293,Tabla5[[#This Row],[INVERSIONES FCI]])</f>
        <v>4588987501.2498779</v>
      </c>
      <c r="DG294" s="5">
        <f>IF($B293&lt;=Tabla5[[#This Row],[INVERSIONES FCI]],+Tabla5[[#This Row],[INVERSIONES FCI]]-DG293,Tabla5[[#This Row],[INVERSIONES FCI]])</f>
        <v>4588987501.2498779</v>
      </c>
      <c r="DH294" s="5">
        <f>IF($B293&lt;=Tabla5[[#This Row],[INVERSIONES FCI]],+Tabla5[[#This Row],[INVERSIONES FCI]]-DH293,Tabla5[[#This Row],[INVERSIONES FCI]])</f>
        <v>4588987501.2498779</v>
      </c>
      <c r="DI294" s="5">
        <f>IF($B293&lt;=Tabla5[[#This Row],[INVERSIONES FCI]],+Tabla5[[#This Row],[INVERSIONES FCI]]-DI293,Tabla5[[#This Row],[INVERSIONES FCI]])</f>
        <v>4588987501.2498779</v>
      </c>
      <c r="DJ294" s="5">
        <f>IF($B293&lt;=Tabla5[[#This Row],[INVERSIONES FCI]],+Tabla5[[#This Row],[INVERSIONES FCI]]-DJ293,Tabla5[[#This Row],[INVERSIONES FCI]])</f>
        <v>4588987501.2498779</v>
      </c>
      <c r="DK294" s="5">
        <f>IF($B293&lt;=Tabla5[[#This Row],[INVERSIONES FCI]],+Tabla5[[#This Row],[INVERSIONES FCI]]-DK293,Tabla5[[#This Row],[INVERSIONES FCI]])</f>
        <v>4588987501.2498779</v>
      </c>
      <c r="DL294" s="5"/>
      <c r="DM294" s="5"/>
      <c r="DN294" s="5"/>
      <c r="DO294" s="5"/>
      <c r="DP294" s="5"/>
      <c r="DQ294" s="5"/>
    </row>
    <row r="295" spans="1:121" ht="14.4">
      <c r="A295" s="12" t="s">
        <v>294</v>
      </c>
      <c r="B295" s="5">
        <f>HLOOKUP($A295,ESCENARIO[#All],7,FALSE)</f>
        <v>80695469789.706909</v>
      </c>
      <c r="C295" s="5">
        <f>IF($B294&lt;=Tabla5[[#This Row],[INVERSIONES FCI]],+Tabla5[[#This Row],[INVERSIONES FCI]]-C294,Tabla5[[#This Row],[INVERSIONES FCI]])</f>
        <v>76106482288.457031</v>
      </c>
      <c r="D295" s="5">
        <f>IF($B294&lt;=Tabla5[[#This Row],[INVERSIONES FCI]],+Tabla5[[#This Row],[INVERSIONES FCI]]-D294,Tabla5[[#This Row],[INVERSIONES FCI]])</f>
        <v>76106482288.457031</v>
      </c>
      <c r="E295" s="5">
        <f>IF($B294&lt;=Tabla5[[#This Row],[INVERSIONES FCI]],+Tabla5[[#This Row],[INVERSIONES FCI]]-E294,Tabla5[[#This Row],[INVERSIONES FCI]])</f>
        <v>76106482288.457031</v>
      </c>
      <c r="F295" s="5">
        <f>IF($B294&lt;=Tabla5[[#This Row],[INVERSIONES FCI]],+Tabla5[[#This Row],[INVERSIONES FCI]]-F294,Tabla5[[#This Row],[INVERSIONES FCI]])</f>
        <v>76106482288.457031</v>
      </c>
      <c r="G295" s="5">
        <f>IF($B294&lt;=Tabla5[[#This Row],[INVERSIONES FCI]],+Tabla5[[#This Row],[INVERSIONES FCI]]-G294,Tabla5[[#This Row],[INVERSIONES FCI]])</f>
        <v>76106482288.457031</v>
      </c>
      <c r="H295" s="5">
        <f>IF($B294&lt;=Tabla5[[#This Row],[INVERSIONES FCI]],+Tabla5[[#This Row],[INVERSIONES FCI]]-H294,Tabla5[[#This Row],[INVERSIONES FCI]])</f>
        <v>76106482288.457031</v>
      </c>
      <c r="I295" s="5">
        <f>IF($B294&lt;=Tabla5[[#This Row],[INVERSIONES FCI]],+Tabla5[[#This Row],[INVERSIONES FCI]]-I294,Tabla5[[#This Row],[INVERSIONES FCI]])</f>
        <v>76106482288.457031</v>
      </c>
      <c r="J295" s="5">
        <f>IF($B294&lt;=Tabla5[[#This Row],[INVERSIONES FCI]],+Tabla5[[#This Row],[INVERSIONES FCI]]-J294,Tabla5[[#This Row],[INVERSIONES FCI]])</f>
        <v>76106482288.457031</v>
      </c>
      <c r="K295" s="5">
        <f>IF($B294&lt;=Tabla5[[#This Row],[INVERSIONES FCI]],+Tabla5[[#This Row],[INVERSIONES FCI]]-K294,Tabla5[[#This Row],[INVERSIONES FCI]])</f>
        <v>76106482288.457031</v>
      </c>
      <c r="L295" s="5">
        <f>IF($B294&lt;=Tabla5[[#This Row],[INVERSIONES FCI]],+Tabla5[[#This Row],[INVERSIONES FCI]]-L294,Tabla5[[#This Row],[INVERSIONES FCI]])</f>
        <v>76106482288.457031</v>
      </c>
      <c r="M295" s="5">
        <f>IF($B294&lt;=Tabla5[[#This Row],[INVERSIONES FCI]],+Tabla5[[#This Row],[INVERSIONES FCI]]-M294,Tabla5[[#This Row],[INVERSIONES FCI]])</f>
        <v>76106482288.457031</v>
      </c>
      <c r="N295" s="5">
        <f>IF($B294&lt;=Tabla5[[#This Row],[INVERSIONES FCI]],+Tabla5[[#This Row],[INVERSIONES FCI]]-N294,Tabla5[[#This Row],[INVERSIONES FCI]])</f>
        <v>76106482288.457031</v>
      </c>
      <c r="O295" s="5">
        <f>IF($B294&lt;=Tabla5[[#This Row],[INVERSIONES FCI]],+Tabla5[[#This Row],[INVERSIONES FCI]]-O294,Tabla5[[#This Row],[INVERSIONES FCI]])</f>
        <v>76106482288.457031</v>
      </c>
      <c r="P295" s="5">
        <f>IF($B294&lt;=Tabla5[[#This Row],[INVERSIONES FCI]],+Tabla5[[#This Row],[INVERSIONES FCI]]-P294,Tabla5[[#This Row],[INVERSIONES FCI]])</f>
        <v>76106482288.457031</v>
      </c>
      <c r="Q295" s="5">
        <f>IF($B294&lt;=Tabla5[[#This Row],[INVERSIONES FCI]],+Tabla5[[#This Row],[INVERSIONES FCI]]-Q294,Tabla5[[#This Row],[INVERSIONES FCI]])</f>
        <v>76106482288.457031</v>
      </c>
      <c r="R295" s="5">
        <f>IF($B294&lt;=Tabla5[[#This Row],[INVERSIONES FCI]],+Tabla5[[#This Row],[INVERSIONES FCI]]-R294,Tabla5[[#This Row],[INVERSIONES FCI]])</f>
        <v>76106482288.457031</v>
      </c>
      <c r="S295" s="5">
        <f>IF($B294&lt;=Tabla5[[#This Row],[INVERSIONES FCI]],+Tabla5[[#This Row],[INVERSIONES FCI]]-S294,Tabla5[[#This Row],[INVERSIONES FCI]])</f>
        <v>76106482288.457031</v>
      </c>
      <c r="T295" s="5">
        <f>IF($B294&lt;=Tabla5[[#This Row],[INVERSIONES FCI]],+Tabla5[[#This Row],[INVERSIONES FCI]]-T294,Tabla5[[#This Row],[INVERSIONES FCI]])</f>
        <v>76106482288.457031</v>
      </c>
      <c r="U295" s="5">
        <f>IF($B294&lt;=Tabla5[[#This Row],[INVERSIONES FCI]],+Tabla5[[#This Row],[INVERSIONES FCI]]-U294,Tabla5[[#This Row],[INVERSIONES FCI]])</f>
        <v>76106482288.457031</v>
      </c>
      <c r="V295" s="5">
        <f>IF($B294&lt;=Tabla5[[#This Row],[INVERSIONES FCI]],+Tabla5[[#This Row],[INVERSIONES FCI]]-V294,Tabla5[[#This Row],[INVERSIONES FCI]])</f>
        <v>76106482288.457031</v>
      </c>
      <c r="W295" s="5">
        <f>IF($B294&lt;=Tabla5[[#This Row],[INVERSIONES FCI]],+Tabla5[[#This Row],[INVERSIONES FCI]]-W294,Tabla5[[#This Row],[INVERSIONES FCI]])</f>
        <v>76106482288.457031</v>
      </c>
      <c r="X295" s="5">
        <f>IF($B294&lt;=Tabla5[[#This Row],[INVERSIONES FCI]],+Tabla5[[#This Row],[INVERSIONES FCI]]-X294,Tabla5[[#This Row],[INVERSIONES FCI]])</f>
        <v>76106482288.457031</v>
      </c>
      <c r="Y295" s="5">
        <f>IF($B294&lt;=Tabla5[[#This Row],[INVERSIONES FCI]],+Tabla5[[#This Row],[INVERSIONES FCI]]-Y294,Tabla5[[#This Row],[INVERSIONES FCI]])</f>
        <v>76106482288.457031</v>
      </c>
      <c r="Z295" s="5">
        <f>IF($B294&lt;=Tabla5[[#This Row],[INVERSIONES FCI]],+Tabla5[[#This Row],[INVERSIONES FCI]]-Z294,Tabla5[[#This Row],[INVERSIONES FCI]])</f>
        <v>76106482288.457031</v>
      </c>
      <c r="AA295" s="5">
        <f>IF($B294&lt;=Tabla5[[#This Row],[INVERSIONES FCI]],+Tabla5[[#This Row],[INVERSIONES FCI]]-AA294,Tabla5[[#This Row],[INVERSIONES FCI]])</f>
        <v>76106482288.457031</v>
      </c>
      <c r="AB295" s="5">
        <f>IF($B294&lt;=Tabla5[[#This Row],[INVERSIONES FCI]],+Tabla5[[#This Row],[INVERSIONES FCI]]-AB294,Tabla5[[#This Row],[INVERSIONES FCI]])</f>
        <v>76106482288.457031</v>
      </c>
      <c r="AC295" s="5">
        <f>IF($B294&lt;=Tabla5[[#This Row],[INVERSIONES FCI]],+Tabla5[[#This Row],[INVERSIONES FCI]]-AC294,Tabla5[[#This Row],[INVERSIONES FCI]])</f>
        <v>76106482288.457031</v>
      </c>
      <c r="AD295" s="5">
        <f>IF($B294&lt;=Tabla5[[#This Row],[INVERSIONES FCI]],+Tabla5[[#This Row],[INVERSIONES FCI]]-AD294,Tabla5[[#This Row],[INVERSIONES FCI]])</f>
        <v>76106482288.457031</v>
      </c>
      <c r="AE295" s="5">
        <f>IF($B294&lt;=Tabla5[[#This Row],[INVERSIONES FCI]],+Tabla5[[#This Row],[INVERSIONES FCI]]-AE294,Tabla5[[#This Row],[INVERSIONES FCI]])</f>
        <v>76106482288.457031</v>
      </c>
      <c r="AF295" s="5">
        <f>IF($B294&lt;=Tabla5[[#This Row],[INVERSIONES FCI]],+Tabla5[[#This Row],[INVERSIONES FCI]]-AF294,Tabla5[[#This Row],[INVERSIONES FCI]])</f>
        <v>76106482288.457031</v>
      </c>
      <c r="AG295" s="5">
        <f>IF($B294&lt;=Tabla5[[#This Row],[INVERSIONES FCI]],+Tabla5[[#This Row],[INVERSIONES FCI]]-AG294,Tabla5[[#This Row],[INVERSIONES FCI]])</f>
        <v>76106482288.457031</v>
      </c>
      <c r="AH295" s="5">
        <f>IF($B294&lt;=Tabla5[[#This Row],[INVERSIONES FCI]],+Tabla5[[#This Row],[INVERSIONES FCI]]-AH294,Tabla5[[#This Row],[INVERSIONES FCI]])</f>
        <v>76106482288.457031</v>
      </c>
      <c r="AI295" s="5">
        <f>IF($B294&lt;=Tabla5[[#This Row],[INVERSIONES FCI]],+Tabla5[[#This Row],[INVERSIONES FCI]]-AI294,Tabla5[[#This Row],[INVERSIONES FCI]])</f>
        <v>76106482288.457031</v>
      </c>
      <c r="AJ295" s="5">
        <f>IF($B294&lt;=Tabla5[[#This Row],[INVERSIONES FCI]],+Tabla5[[#This Row],[INVERSIONES FCI]]-AJ294,Tabla5[[#This Row],[INVERSIONES FCI]])</f>
        <v>76106482288.457031</v>
      </c>
      <c r="AK295" s="5">
        <f>IF($B294&lt;=Tabla5[[#This Row],[INVERSIONES FCI]],+Tabla5[[#This Row],[INVERSIONES FCI]]-AK294,Tabla5[[#This Row],[INVERSIONES FCI]])</f>
        <v>76106482288.457031</v>
      </c>
      <c r="AL295" s="5">
        <f>IF($B294&lt;=Tabla5[[#This Row],[INVERSIONES FCI]],+Tabla5[[#This Row],[INVERSIONES FCI]]-AL294,Tabla5[[#This Row],[INVERSIONES FCI]])</f>
        <v>76106482288.457031</v>
      </c>
      <c r="AM295" s="5">
        <f>IF($B294&lt;=Tabla5[[#This Row],[INVERSIONES FCI]],+Tabla5[[#This Row],[INVERSIONES FCI]]-AM294,Tabla5[[#This Row],[INVERSIONES FCI]])</f>
        <v>76106482288.457031</v>
      </c>
      <c r="AN295" s="5">
        <f>IF($B294&lt;=Tabla5[[#This Row],[INVERSIONES FCI]],+Tabla5[[#This Row],[INVERSIONES FCI]]-AN294,Tabla5[[#This Row],[INVERSIONES FCI]])</f>
        <v>76106482288.457031</v>
      </c>
      <c r="AO295" s="5">
        <f>IF($B294&lt;=Tabla5[[#This Row],[INVERSIONES FCI]],+Tabla5[[#This Row],[INVERSIONES FCI]]-AO294,Tabla5[[#This Row],[INVERSIONES FCI]])</f>
        <v>76106482288.457031</v>
      </c>
      <c r="AP295" s="5">
        <f>IF($B294&lt;=Tabla5[[#This Row],[INVERSIONES FCI]],+Tabla5[[#This Row],[INVERSIONES FCI]]-AP294,Tabla5[[#This Row],[INVERSIONES FCI]])</f>
        <v>76106482288.457031</v>
      </c>
      <c r="AQ295" s="5">
        <f>IF($B294&lt;=Tabla5[[#This Row],[INVERSIONES FCI]],+Tabla5[[#This Row],[INVERSIONES FCI]]-AQ294,Tabla5[[#This Row],[INVERSIONES FCI]])</f>
        <v>76106482288.457031</v>
      </c>
      <c r="AR295" s="5">
        <f>IF($B294&lt;=Tabla5[[#This Row],[INVERSIONES FCI]],+Tabla5[[#This Row],[INVERSIONES FCI]]-AR294,Tabla5[[#This Row],[INVERSIONES FCI]])</f>
        <v>76106482288.457031</v>
      </c>
      <c r="AS295" s="5">
        <f>IF($B294&lt;=Tabla5[[#This Row],[INVERSIONES FCI]],+Tabla5[[#This Row],[INVERSIONES FCI]]-AS294,Tabla5[[#This Row],[INVERSIONES FCI]])</f>
        <v>76106482288.457031</v>
      </c>
      <c r="AT295" s="5">
        <f>IF($B294&lt;=Tabla5[[#This Row],[INVERSIONES FCI]],+Tabla5[[#This Row],[INVERSIONES FCI]]-AT294,Tabla5[[#This Row],[INVERSIONES FCI]])</f>
        <v>76106482288.457031</v>
      </c>
      <c r="AU295" s="5">
        <f>IF($B294&lt;=Tabla5[[#This Row],[INVERSIONES FCI]],+Tabla5[[#This Row],[INVERSIONES FCI]]-AU294,Tabla5[[#This Row],[INVERSIONES FCI]])</f>
        <v>76106482288.457031</v>
      </c>
      <c r="AV295" s="5">
        <f>IF($B294&lt;=Tabla5[[#This Row],[INVERSIONES FCI]],+Tabla5[[#This Row],[INVERSIONES FCI]]-AV294,Tabla5[[#This Row],[INVERSIONES FCI]])</f>
        <v>76106482288.457031</v>
      </c>
      <c r="AW295" s="5">
        <f>IF($B294&lt;=Tabla5[[#This Row],[INVERSIONES FCI]],+Tabla5[[#This Row],[INVERSIONES FCI]]-AW294,Tabla5[[#This Row],[INVERSIONES FCI]])</f>
        <v>76106482288.457031</v>
      </c>
      <c r="AX295" s="5">
        <f>IF($B294&lt;=Tabla5[[#This Row],[INVERSIONES FCI]],+Tabla5[[#This Row],[INVERSIONES FCI]]-AX294,Tabla5[[#This Row],[INVERSIONES FCI]])</f>
        <v>76106482288.457031</v>
      </c>
      <c r="AY295" s="5">
        <f>IF($B294&lt;=Tabla5[[#This Row],[INVERSIONES FCI]],+Tabla5[[#This Row],[INVERSIONES FCI]]-AY294,Tabla5[[#This Row],[INVERSIONES FCI]])</f>
        <v>76106482288.457031</v>
      </c>
      <c r="AZ295" s="5">
        <f>IF($B294&lt;=Tabla5[[#This Row],[INVERSIONES FCI]],+Tabla5[[#This Row],[INVERSIONES FCI]]-AZ294,Tabla5[[#This Row],[INVERSIONES FCI]])</f>
        <v>76106482288.457031</v>
      </c>
      <c r="BA295" s="5">
        <f>IF($B294&lt;=Tabla5[[#This Row],[INVERSIONES FCI]],+Tabla5[[#This Row],[INVERSIONES FCI]]-BA294,Tabla5[[#This Row],[INVERSIONES FCI]])</f>
        <v>76106482288.457031</v>
      </c>
      <c r="BB295" s="5">
        <f>IF($B294&lt;=Tabla5[[#This Row],[INVERSIONES FCI]],+Tabla5[[#This Row],[INVERSIONES FCI]]-BB294,Tabla5[[#This Row],[INVERSIONES FCI]])</f>
        <v>76106482288.457031</v>
      </c>
      <c r="BC295" s="5">
        <f>IF($B294&lt;=Tabla5[[#This Row],[INVERSIONES FCI]],+Tabla5[[#This Row],[INVERSIONES FCI]]-BC294,Tabla5[[#This Row],[INVERSIONES FCI]])</f>
        <v>76106482288.457031</v>
      </c>
      <c r="BD295" s="5">
        <f>IF($B294&lt;=Tabla5[[#This Row],[INVERSIONES FCI]],+Tabla5[[#This Row],[INVERSIONES FCI]]-BD294,Tabla5[[#This Row],[INVERSIONES FCI]])</f>
        <v>76106482288.457031</v>
      </c>
      <c r="BE295" s="5">
        <f>IF($B294&lt;=Tabla5[[#This Row],[INVERSIONES FCI]],+Tabla5[[#This Row],[INVERSIONES FCI]]-BE294,Tabla5[[#This Row],[INVERSIONES FCI]])</f>
        <v>76106482288.457031</v>
      </c>
      <c r="BF295" s="5">
        <f>IF($B294&lt;=Tabla5[[#This Row],[INVERSIONES FCI]],+Tabla5[[#This Row],[INVERSIONES FCI]]-BF294,Tabla5[[#This Row],[INVERSIONES FCI]])</f>
        <v>76106482288.457031</v>
      </c>
      <c r="BG295" s="5">
        <f>IF($B294&lt;=Tabla5[[#This Row],[INVERSIONES FCI]],+Tabla5[[#This Row],[INVERSIONES FCI]]-BG294,Tabla5[[#This Row],[INVERSIONES FCI]])</f>
        <v>76106482288.457031</v>
      </c>
      <c r="BH295" s="5">
        <f>IF($B294&lt;=Tabla5[[#This Row],[INVERSIONES FCI]],+Tabla5[[#This Row],[INVERSIONES FCI]]-BH294,Tabla5[[#This Row],[INVERSIONES FCI]])</f>
        <v>76106482288.457031</v>
      </c>
      <c r="BI295" s="5">
        <f>IF($B294&lt;=Tabla5[[#This Row],[INVERSIONES FCI]],+Tabla5[[#This Row],[INVERSIONES FCI]]-BI294,Tabla5[[#This Row],[INVERSIONES FCI]])</f>
        <v>76106482288.457031</v>
      </c>
      <c r="BJ295" s="5">
        <f>IF($B294&lt;=Tabla5[[#This Row],[INVERSIONES FCI]],+Tabla5[[#This Row],[INVERSIONES FCI]]-BJ294,Tabla5[[#This Row],[INVERSIONES FCI]])</f>
        <v>76106482288.457031</v>
      </c>
      <c r="BK295" s="5">
        <f>IF($B294&lt;=Tabla5[[#This Row],[INVERSIONES FCI]],+Tabla5[[#This Row],[INVERSIONES FCI]]-BK294,Tabla5[[#This Row],[INVERSIONES FCI]])</f>
        <v>76106482288.457031</v>
      </c>
      <c r="BL295" s="5">
        <f>IF($B294&lt;=Tabla5[[#This Row],[INVERSIONES FCI]],+Tabla5[[#This Row],[INVERSIONES FCI]]-BL294,Tabla5[[#This Row],[INVERSIONES FCI]])</f>
        <v>76106482288.457031</v>
      </c>
      <c r="BM295" s="5">
        <f>IF($B294&lt;=Tabla5[[#This Row],[INVERSIONES FCI]],+Tabla5[[#This Row],[INVERSIONES FCI]]-BM294,Tabla5[[#This Row],[INVERSIONES FCI]])</f>
        <v>76106482288.457031</v>
      </c>
      <c r="BN295" s="5">
        <f>IF($B294&lt;=Tabla5[[#This Row],[INVERSIONES FCI]],+Tabla5[[#This Row],[INVERSIONES FCI]]-BN294,Tabla5[[#This Row],[INVERSIONES FCI]])</f>
        <v>76106482288.457031</v>
      </c>
      <c r="BO295" s="5">
        <f>IF($B294&lt;=Tabla5[[#This Row],[INVERSIONES FCI]],+Tabla5[[#This Row],[INVERSIONES FCI]]-BO294,Tabla5[[#This Row],[INVERSIONES FCI]])</f>
        <v>76106482288.457031</v>
      </c>
      <c r="BP295" s="5">
        <f>IF($B294&lt;=Tabla5[[#This Row],[INVERSIONES FCI]],+Tabla5[[#This Row],[INVERSIONES FCI]]-BP294,Tabla5[[#This Row],[INVERSIONES FCI]])</f>
        <v>76106482288.457031</v>
      </c>
      <c r="BQ295" s="5">
        <f>IF($B294&lt;=Tabla5[[#This Row],[INVERSIONES FCI]],+Tabla5[[#This Row],[INVERSIONES FCI]]-BQ294,Tabla5[[#This Row],[INVERSIONES FCI]])</f>
        <v>76106482288.457031</v>
      </c>
      <c r="BR295" s="5">
        <f>IF($B294&lt;=Tabla5[[#This Row],[INVERSIONES FCI]],+Tabla5[[#This Row],[INVERSIONES FCI]]-BR294,Tabla5[[#This Row],[INVERSIONES FCI]])</f>
        <v>76106482288.457031</v>
      </c>
      <c r="BS295" s="5">
        <f>IF($B294&lt;=Tabla5[[#This Row],[INVERSIONES FCI]],+Tabla5[[#This Row],[INVERSIONES FCI]]-BS294,Tabla5[[#This Row],[INVERSIONES FCI]])</f>
        <v>76106482288.457031</v>
      </c>
      <c r="BT295" s="5">
        <f>IF($B294&lt;=Tabla5[[#This Row],[INVERSIONES FCI]],+Tabla5[[#This Row],[INVERSIONES FCI]]-BT294,Tabla5[[#This Row],[INVERSIONES FCI]])</f>
        <v>76106482288.457031</v>
      </c>
      <c r="BU295" s="5">
        <f>IF($B294&lt;=Tabla5[[#This Row],[INVERSIONES FCI]],+Tabla5[[#This Row],[INVERSIONES FCI]]-BU294,Tabla5[[#This Row],[INVERSIONES FCI]])</f>
        <v>76106482288.457031</v>
      </c>
      <c r="BV295" s="5">
        <f>IF($B294&lt;=Tabla5[[#This Row],[INVERSIONES FCI]],+Tabla5[[#This Row],[INVERSIONES FCI]]-BV294,Tabla5[[#This Row],[INVERSIONES FCI]])</f>
        <v>76106482288.457031</v>
      </c>
      <c r="BW295" s="5">
        <f>IF($B294&lt;=Tabla5[[#This Row],[INVERSIONES FCI]],+Tabla5[[#This Row],[INVERSIONES FCI]]-BW294,Tabla5[[#This Row],[INVERSIONES FCI]])</f>
        <v>76106482288.457031</v>
      </c>
      <c r="BX295" s="5">
        <f>IF($B294&lt;=Tabla5[[#This Row],[INVERSIONES FCI]],+Tabla5[[#This Row],[INVERSIONES FCI]]-BX294,Tabla5[[#This Row],[INVERSIONES FCI]])</f>
        <v>76106482288.457031</v>
      </c>
      <c r="BY295" s="5">
        <f>IF($B294&lt;=Tabla5[[#This Row],[INVERSIONES FCI]],+Tabla5[[#This Row],[INVERSIONES FCI]]-BY294,Tabla5[[#This Row],[INVERSIONES FCI]])</f>
        <v>76106482288.457031</v>
      </c>
      <c r="BZ295" s="5">
        <f>IF($B294&lt;=Tabla5[[#This Row],[INVERSIONES FCI]],+Tabla5[[#This Row],[INVERSIONES FCI]]-BZ294,Tabla5[[#This Row],[INVERSIONES FCI]])</f>
        <v>76106482288.457031</v>
      </c>
      <c r="CA295" s="5">
        <f>IF($B294&lt;=Tabla5[[#This Row],[INVERSIONES FCI]],+Tabla5[[#This Row],[INVERSIONES FCI]]-CA294,Tabla5[[#This Row],[INVERSIONES FCI]])</f>
        <v>76106482288.457031</v>
      </c>
      <c r="CB295" s="5">
        <f>IF($B294&lt;=Tabla5[[#This Row],[INVERSIONES FCI]],+Tabla5[[#This Row],[INVERSIONES FCI]]-CB294,Tabla5[[#This Row],[INVERSIONES FCI]])</f>
        <v>76106482288.457031</v>
      </c>
      <c r="CC295" s="5">
        <f>IF($B294&lt;=Tabla5[[#This Row],[INVERSIONES FCI]],+Tabla5[[#This Row],[INVERSIONES FCI]]-CC294,Tabla5[[#This Row],[INVERSIONES FCI]])</f>
        <v>76106482288.457031</v>
      </c>
      <c r="CD295" s="5">
        <f>IF($B294&lt;=Tabla5[[#This Row],[INVERSIONES FCI]],+Tabla5[[#This Row],[INVERSIONES FCI]]-CD294,Tabla5[[#This Row],[INVERSIONES FCI]])</f>
        <v>76106482288.457031</v>
      </c>
      <c r="CE295" s="5">
        <f>IF($B294&lt;=Tabla5[[#This Row],[INVERSIONES FCI]],+Tabla5[[#This Row],[INVERSIONES FCI]]-CE294,Tabla5[[#This Row],[INVERSIONES FCI]])</f>
        <v>76106482288.457031</v>
      </c>
      <c r="CF295" s="5">
        <f>IF($B294&lt;=Tabla5[[#This Row],[INVERSIONES FCI]],+Tabla5[[#This Row],[INVERSIONES FCI]]-CF294,Tabla5[[#This Row],[INVERSIONES FCI]])</f>
        <v>76106482288.457031</v>
      </c>
      <c r="CG295" s="5">
        <f>IF($B294&lt;=Tabla5[[#This Row],[INVERSIONES FCI]],+Tabla5[[#This Row],[INVERSIONES FCI]]-CG294,Tabla5[[#This Row],[INVERSIONES FCI]])</f>
        <v>76106482288.457031</v>
      </c>
      <c r="CH295" s="5">
        <f>IF($B294&lt;=Tabla5[[#This Row],[INVERSIONES FCI]],+Tabla5[[#This Row],[INVERSIONES FCI]]-CH294,Tabla5[[#This Row],[INVERSIONES FCI]])</f>
        <v>76106482288.457031</v>
      </c>
      <c r="CI295" s="5">
        <f>IF($B294&lt;=Tabla5[[#This Row],[INVERSIONES FCI]],+Tabla5[[#This Row],[INVERSIONES FCI]]-CI294,Tabla5[[#This Row],[INVERSIONES FCI]])</f>
        <v>76106482288.457031</v>
      </c>
      <c r="CJ295" s="5">
        <f>IF($B294&lt;=Tabla5[[#This Row],[INVERSIONES FCI]],+Tabla5[[#This Row],[INVERSIONES FCI]]-CJ294,Tabla5[[#This Row],[INVERSIONES FCI]])</f>
        <v>76106482288.457031</v>
      </c>
      <c r="CK295" s="5">
        <f>IF($B294&lt;=Tabla5[[#This Row],[INVERSIONES FCI]],+Tabla5[[#This Row],[INVERSIONES FCI]]-CK294,Tabla5[[#This Row],[INVERSIONES FCI]])</f>
        <v>76106482288.457031</v>
      </c>
      <c r="CL295" s="5">
        <f>IF($B294&lt;=Tabla5[[#This Row],[INVERSIONES FCI]],+Tabla5[[#This Row],[INVERSIONES FCI]]-CL294,Tabla5[[#This Row],[INVERSIONES FCI]])</f>
        <v>76106482288.457031</v>
      </c>
      <c r="CM295" s="5">
        <f>IF($B294&lt;=Tabla5[[#This Row],[INVERSIONES FCI]],+Tabla5[[#This Row],[INVERSIONES FCI]]-CM294,Tabla5[[#This Row],[INVERSIONES FCI]])</f>
        <v>76106482288.457031</v>
      </c>
      <c r="CN295" s="5">
        <f>IF($B294&lt;=Tabla5[[#This Row],[INVERSIONES FCI]],+Tabla5[[#This Row],[INVERSIONES FCI]]-CN294,Tabla5[[#This Row],[INVERSIONES FCI]])</f>
        <v>76106482288.457031</v>
      </c>
      <c r="CO295" s="5">
        <f>IF($B294&lt;=Tabla5[[#This Row],[INVERSIONES FCI]],+Tabla5[[#This Row],[INVERSIONES FCI]]-CO294,Tabla5[[#This Row],[INVERSIONES FCI]])</f>
        <v>76106482288.457031</v>
      </c>
      <c r="CP295" s="5">
        <f>IF($B294&lt;=Tabla5[[#This Row],[INVERSIONES FCI]],+Tabla5[[#This Row],[INVERSIONES FCI]]-CP294,Tabla5[[#This Row],[INVERSIONES FCI]])</f>
        <v>76106482288.457031</v>
      </c>
      <c r="CQ295" s="5">
        <f>IF($B294&lt;=Tabla5[[#This Row],[INVERSIONES FCI]],+Tabla5[[#This Row],[INVERSIONES FCI]]-CQ294,Tabla5[[#This Row],[INVERSIONES FCI]])</f>
        <v>76106482288.457031</v>
      </c>
      <c r="CR295" s="5">
        <f>IF($B294&lt;=Tabla5[[#This Row],[INVERSIONES FCI]],+Tabla5[[#This Row],[INVERSIONES FCI]]-CR294,Tabla5[[#This Row],[INVERSIONES FCI]])</f>
        <v>76106482288.457031</v>
      </c>
      <c r="CS295" s="5">
        <f>IF($B294&lt;=Tabla5[[#This Row],[INVERSIONES FCI]],+Tabla5[[#This Row],[INVERSIONES FCI]]-CS294,Tabla5[[#This Row],[INVERSIONES FCI]])</f>
        <v>76106482288.457031</v>
      </c>
      <c r="CT295" s="5">
        <f>IF($B294&lt;=Tabla5[[#This Row],[INVERSIONES FCI]],+Tabla5[[#This Row],[INVERSIONES FCI]]-CT294,Tabla5[[#This Row],[INVERSIONES FCI]])</f>
        <v>76106482288.457031</v>
      </c>
      <c r="CU295" s="5">
        <f>IF($B294&lt;=Tabla5[[#This Row],[INVERSIONES FCI]],+Tabla5[[#This Row],[INVERSIONES FCI]]-CU294,Tabla5[[#This Row],[INVERSIONES FCI]])</f>
        <v>76106482288.457031</v>
      </c>
      <c r="CV295" s="5">
        <f>IF($B294&lt;=Tabla5[[#This Row],[INVERSIONES FCI]],+Tabla5[[#This Row],[INVERSIONES FCI]]-CV294,Tabla5[[#This Row],[INVERSIONES FCI]])</f>
        <v>76106482288.457031</v>
      </c>
      <c r="CW295" s="5">
        <f>IF($B294&lt;=Tabla5[[#This Row],[INVERSIONES FCI]],+Tabla5[[#This Row],[INVERSIONES FCI]]-CW294,Tabla5[[#This Row],[INVERSIONES FCI]])</f>
        <v>76106482288.457031</v>
      </c>
      <c r="CX295" s="5">
        <f>IF($B294&lt;=Tabla5[[#This Row],[INVERSIONES FCI]],+Tabla5[[#This Row],[INVERSIONES FCI]]-CX294,Tabla5[[#This Row],[INVERSIONES FCI]])</f>
        <v>76106482288.457031</v>
      </c>
      <c r="CY295" s="5">
        <f>IF($B294&lt;=Tabla5[[#This Row],[INVERSIONES FCI]],+Tabla5[[#This Row],[INVERSIONES FCI]]-CY294,Tabla5[[#This Row],[INVERSIONES FCI]])</f>
        <v>76106482288.457031</v>
      </c>
      <c r="CZ295" s="5">
        <f>IF($B294&lt;=Tabla5[[#This Row],[INVERSIONES FCI]],+Tabla5[[#This Row],[INVERSIONES FCI]]-CZ294,Tabla5[[#This Row],[INVERSIONES FCI]])</f>
        <v>76106482288.457031</v>
      </c>
      <c r="DA295" s="5">
        <f>IF($B294&lt;=Tabla5[[#This Row],[INVERSIONES FCI]],+Tabla5[[#This Row],[INVERSIONES FCI]]-DA294,Tabla5[[#This Row],[INVERSIONES FCI]])</f>
        <v>76106482288.457031</v>
      </c>
      <c r="DB295" s="5">
        <f>IF($B294&lt;=Tabla5[[#This Row],[INVERSIONES FCI]],+Tabla5[[#This Row],[INVERSIONES FCI]]-DB294,Tabla5[[#This Row],[INVERSIONES FCI]])</f>
        <v>76106482288.457031</v>
      </c>
      <c r="DC295" s="5">
        <f>IF($B294&lt;=Tabla5[[#This Row],[INVERSIONES FCI]],+Tabla5[[#This Row],[INVERSIONES FCI]]-DC294,Tabla5[[#This Row],[INVERSIONES FCI]])</f>
        <v>76106482288.457031</v>
      </c>
      <c r="DD295" s="5">
        <f>IF($B294&lt;=Tabla5[[#This Row],[INVERSIONES FCI]],+Tabla5[[#This Row],[INVERSIONES FCI]]-DD294,Tabla5[[#This Row],[INVERSIONES FCI]])</f>
        <v>76106482288.457031</v>
      </c>
      <c r="DE295" s="5">
        <f>IF($B294&lt;=Tabla5[[#This Row],[INVERSIONES FCI]],+Tabla5[[#This Row],[INVERSIONES FCI]]-DE294,Tabla5[[#This Row],[INVERSIONES FCI]])</f>
        <v>76106482288.457031</v>
      </c>
      <c r="DF295" s="5">
        <f>IF($B294&lt;=Tabla5[[#This Row],[INVERSIONES FCI]],+Tabla5[[#This Row],[INVERSIONES FCI]]-DF294,Tabla5[[#This Row],[INVERSIONES FCI]])</f>
        <v>76106482288.457031</v>
      </c>
      <c r="DG295" s="5">
        <f>IF($B294&lt;=Tabla5[[#This Row],[INVERSIONES FCI]],+Tabla5[[#This Row],[INVERSIONES FCI]]-DG294,Tabla5[[#This Row],[INVERSIONES FCI]])</f>
        <v>76106482288.457031</v>
      </c>
      <c r="DH295" s="5">
        <f>IF($B294&lt;=Tabla5[[#This Row],[INVERSIONES FCI]],+Tabla5[[#This Row],[INVERSIONES FCI]]-DH294,Tabla5[[#This Row],[INVERSIONES FCI]])</f>
        <v>76106482288.457031</v>
      </c>
      <c r="DI295" s="5">
        <f>IF($B294&lt;=Tabla5[[#This Row],[INVERSIONES FCI]],+Tabla5[[#This Row],[INVERSIONES FCI]]-DI294,Tabla5[[#This Row],[INVERSIONES FCI]])</f>
        <v>76106482288.457031</v>
      </c>
      <c r="DJ295" s="5">
        <f>IF($B294&lt;=Tabla5[[#This Row],[INVERSIONES FCI]],+Tabla5[[#This Row],[INVERSIONES FCI]]-DJ294,Tabla5[[#This Row],[INVERSIONES FCI]])</f>
        <v>76106482288.457031</v>
      </c>
      <c r="DK295" s="5">
        <f>IF($B294&lt;=Tabla5[[#This Row],[INVERSIONES FCI]],+Tabla5[[#This Row],[INVERSIONES FCI]]-DK294,Tabla5[[#This Row],[INVERSIONES FCI]])</f>
        <v>76106482288.457031</v>
      </c>
      <c r="DL295" s="5"/>
      <c r="DM295" s="5"/>
      <c r="DN295" s="5"/>
      <c r="DO295" s="5"/>
      <c r="DP295" s="5"/>
      <c r="DQ295" s="5"/>
    </row>
    <row r="296" spans="1:121" ht="14.4">
      <c r="A296" s="12" t="s">
        <v>295</v>
      </c>
      <c r="B296" s="5">
        <f>HLOOKUP($A296,ESCENARIO[#All],7,FALSE)</f>
        <v>80695469789.706909</v>
      </c>
      <c r="C296" s="5">
        <f>IF($B295&lt;=Tabla5[[#This Row],[INVERSIONES FCI]],+Tabla5[[#This Row],[INVERSIONES FCI]]-C295,Tabla5[[#This Row],[INVERSIONES FCI]])</f>
        <v>4588987501.2498779</v>
      </c>
      <c r="D296" s="5">
        <f>IF($B295&lt;=Tabla5[[#This Row],[INVERSIONES FCI]],+Tabla5[[#This Row],[INVERSIONES FCI]]-D295,Tabla5[[#This Row],[INVERSIONES FCI]])</f>
        <v>4588987501.2498779</v>
      </c>
      <c r="E296" s="5">
        <f>IF($B295&lt;=Tabla5[[#This Row],[INVERSIONES FCI]],+Tabla5[[#This Row],[INVERSIONES FCI]]-E295,Tabla5[[#This Row],[INVERSIONES FCI]])</f>
        <v>4588987501.2498779</v>
      </c>
      <c r="F296" s="5">
        <f>IF($B295&lt;=Tabla5[[#This Row],[INVERSIONES FCI]],+Tabla5[[#This Row],[INVERSIONES FCI]]-F295,Tabla5[[#This Row],[INVERSIONES FCI]])</f>
        <v>4588987501.2498779</v>
      </c>
      <c r="G296" s="5">
        <f>IF($B295&lt;=Tabla5[[#This Row],[INVERSIONES FCI]],+Tabla5[[#This Row],[INVERSIONES FCI]]-G295,Tabla5[[#This Row],[INVERSIONES FCI]])</f>
        <v>4588987501.2498779</v>
      </c>
      <c r="H296" s="5">
        <f>IF($B295&lt;=Tabla5[[#This Row],[INVERSIONES FCI]],+Tabla5[[#This Row],[INVERSIONES FCI]]-H295,Tabla5[[#This Row],[INVERSIONES FCI]])</f>
        <v>4588987501.2498779</v>
      </c>
      <c r="I296" s="5">
        <f>IF($B295&lt;=Tabla5[[#This Row],[INVERSIONES FCI]],+Tabla5[[#This Row],[INVERSIONES FCI]]-I295,Tabla5[[#This Row],[INVERSIONES FCI]])</f>
        <v>4588987501.2498779</v>
      </c>
      <c r="J296" s="5">
        <f>IF($B295&lt;=Tabla5[[#This Row],[INVERSIONES FCI]],+Tabla5[[#This Row],[INVERSIONES FCI]]-J295,Tabla5[[#This Row],[INVERSIONES FCI]])</f>
        <v>4588987501.2498779</v>
      </c>
      <c r="K296" s="5">
        <f>IF($B295&lt;=Tabla5[[#This Row],[INVERSIONES FCI]],+Tabla5[[#This Row],[INVERSIONES FCI]]-K295,Tabla5[[#This Row],[INVERSIONES FCI]])</f>
        <v>4588987501.2498779</v>
      </c>
      <c r="L296" s="5">
        <f>IF($B295&lt;=Tabla5[[#This Row],[INVERSIONES FCI]],+Tabla5[[#This Row],[INVERSIONES FCI]]-L295,Tabla5[[#This Row],[INVERSIONES FCI]])</f>
        <v>4588987501.2498779</v>
      </c>
      <c r="M296" s="5">
        <f>IF($B295&lt;=Tabla5[[#This Row],[INVERSIONES FCI]],+Tabla5[[#This Row],[INVERSIONES FCI]]-M295,Tabla5[[#This Row],[INVERSIONES FCI]])</f>
        <v>4588987501.2498779</v>
      </c>
      <c r="N296" s="5">
        <f>IF($B295&lt;=Tabla5[[#This Row],[INVERSIONES FCI]],+Tabla5[[#This Row],[INVERSIONES FCI]]-N295,Tabla5[[#This Row],[INVERSIONES FCI]])</f>
        <v>4588987501.2498779</v>
      </c>
      <c r="O296" s="5">
        <f>IF($B295&lt;=Tabla5[[#This Row],[INVERSIONES FCI]],+Tabla5[[#This Row],[INVERSIONES FCI]]-O295,Tabla5[[#This Row],[INVERSIONES FCI]])</f>
        <v>4588987501.2498779</v>
      </c>
      <c r="P296" s="5">
        <f>IF($B295&lt;=Tabla5[[#This Row],[INVERSIONES FCI]],+Tabla5[[#This Row],[INVERSIONES FCI]]-P295,Tabla5[[#This Row],[INVERSIONES FCI]])</f>
        <v>4588987501.2498779</v>
      </c>
      <c r="Q296" s="5">
        <f>IF($B295&lt;=Tabla5[[#This Row],[INVERSIONES FCI]],+Tabla5[[#This Row],[INVERSIONES FCI]]-Q295,Tabla5[[#This Row],[INVERSIONES FCI]])</f>
        <v>4588987501.2498779</v>
      </c>
      <c r="R296" s="5">
        <f>IF($B295&lt;=Tabla5[[#This Row],[INVERSIONES FCI]],+Tabla5[[#This Row],[INVERSIONES FCI]]-R295,Tabla5[[#This Row],[INVERSIONES FCI]])</f>
        <v>4588987501.2498779</v>
      </c>
      <c r="S296" s="5">
        <f>IF($B295&lt;=Tabla5[[#This Row],[INVERSIONES FCI]],+Tabla5[[#This Row],[INVERSIONES FCI]]-S295,Tabla5[[#This Row],[INVERSIONES FCI]])</f>
        <v>4588987501.2498779</v>
      </c>
      <c r="T296" s="5">
        <f>IF($B295&lt;=Tabla5[[#This Row],[INVERSIONES FCI]],+Tabla5[[#This Row],[INVERSIONES FCI]]-T295,Tabla5[[#This Row],[INVERSIONES FCI]])</f>
        <v>4588987501.2498779</v>
      </c>
      <c r="U296" s="5">
        <f>IF($B295&lt;=Tabla5[[#This Row],[INVERSIONES FCI]],+Tabla5[[#This Row],[INVERSIONES FCI]]-U295,Tabla5[[#This Row],[INVERSIONES FCI]])</f>
        <v>4588987501.2498779</v>
      </c>
      <c r="V296" s="5">
        <f>IF($B295&lt;=Tabla5[[#This Row],[INVERSIONES FCI]],+Tabla5[[#This Row],[INVERSIONES FCI]]-V295,Tabla5[[#This Row],[INVERSIONES FCI]])</f>
        <v>4588987501.2498779</v>
      </c>
      <c r="W296" s="5">
        <f>IF($B295&lt;=Tabla5[[#This Row],[INVERSIONES FCI]],+Tabla5[[#This Row],[INVERSIONES FCI]]-W295,Tabla5[[#This Row],[INVERSIONES FCI]])</f>
        <v>4588987501.2498779</v>
      </c>
      <c r="X296" s="5">
        <f>IF($B295&lt;=Tabla5[[#This Row],[INVERSIONES FCI]],+Tabla5[[#This Row],[INVERSIONES FCI]]-X295,Tabla5[[#This Row],[INVERSIONES FCI]])</f>
        <v>4588987501.2498779</v>
      </c>
      <c r="Y296" s="5">
        <f>IF($B295&lt;=Tabla5[[#This Row],[INVERSIONES FCI]],+Tabla5[[#This Row],[INVERSIONES FCI]]-Y295,Tabla5[[#This Row],[INVERSIONES FCI]])</f>
        <v>4588987501.2498779</v>
      </c>
      <c r="Z296" s="5">
        <f>IF($B295&lt;=Tabla5[[#This Row],[INVERSIONES FCI]],+Tabla5[[#This Row],[INVERSIONES FCI]]-Z295,Tabla5[[#This Row],[INVERSIONES FCI]])</f>
        <v>4588987501.2498779</v>
      </c>
      <c r="AA296" s="5">
        <f>IF($B295&lt;=Tabla5[[#This Row],[INVERSIONES FCI]],+Tabla5[[#This Row],[INVERSIONES FCI]]-AA295,Tabla5[[#This Row],[INVERSIONES FCI]])</f>
        <v>4588987501.2498779</v>
      </c>
      <c r="AB296" s="5">
        <f>IF($B295&lt;=Tabla5[[#This Row],[INVERSIONES FCI]],+Tabla5[[#This Row],[INVERSIONES FCI]]-AB295,Tabla5[[#This Row],[INVERSIONES FCI]])</f>
        <v>4588987501.2498779</v>
      </c>
      <c r="AC296" s="5">
        <f>IF($B295&lt;=Tabla5[[#This Row],[INVERSIONES FCI]],+Tabla5[[#This Row],[INVERSIONES FCI]]-AC295,Tabla5[[#This Row],[INVERSIONES FCI]])</f>
        <v>4588987501.2498779</v>
      </c>
      <c r="AD296" s="5">
        <f>IF($B295&lt;=Tabla5[[#This Row],[INVERSIONES FCI]],+Tabla5[[#This Row],[INVERSIONES FCI]]-AD295,Tabla5[[#This Row],[INVERSIONES FCI]])</f>
        <v>4588987501.2498779</v>
      </c>
      <c r="AE296" s="5">
        <f>IF($B295&lt;=Tabla5[[#This Row],[INVERSIONES FCI]],+Tabla5[[#This Row],[INVERSIONES FCI]]-AE295,Tabla5[[#This Row],[INVERSIONES FCI]])</f>
        <v>4588987501.2498779</v>
      </c>
      <c r="AF296" s="5">
        <f>IF($B295&lt;=Tabla5[[#This Row],[INVERSIONES FCI]],+Tabla5[[#This Row],[INVERSIONES FCI]]-AF295,Tabla5[[#This Row],[INVERSIONES FCI]])</f>
        <v>4588987501.2498779</v>
      </c>
      <c r="AG296" s="5">
        <f>IF($B295&lt;=Tabla5[[#This Row],[INVERSIONES FCI]],+Tabla5[[#This Row],[INVERSIONES FCI]]-AG295,Tabla5[[#This Row],[INVERSIONES FCI]])</f>
        <v>4588987501.2498779</v>
      </c>
      <c r="AH296" s="5">
        <f>IF($B295&lt;=Tabla5[[#This Row],[INVERSIONES FCI]],+Tabla5[[#This Row],[INVERSIONES FCI]]-AH295,Tabla5[[#This Row],[INVERSIONES FCI]])</f>
        <v>4588987501.2498779</v>
      </c>
      <c r="AI296" s="5">
        <f>IF($B295&lt;=Tabla5[[#This Row],[INVERSIONES FCI]],+Tabla5[[#This Row],[INVERSIONES FCI]]-AI295,Tabla5[[#This Row],[INVERSIONES FCI]])</f>
        <v>4588987501.2498779</v>
      </c>
      <c r="AJ296" s="5">
        <f>IF($B295&lt;=Tabla5[[#This Row],[INVERSIONES FCI]],+Tabla5[[#This Row],[INVERSIONES FCI]]-AJ295,Tabla5[[#This Row],[INVERSIONES FCI]])</f>
        <v>4588987501.2498779</v>
      </c>
      <c r="AK296" s="5">
        <f>IF($B295&lt;=Tabla5[[#This Row],[INVERSIONES FCI]],+Tabla5[[#This Row],[INVERSIONES FCI]]-AK295,Tabla5[[#This Row],[INVERSIONES FCI]])</f>
        <v>4588987501.2498779</v>
      </c>
      <c r="AL296" s="5">
        <f>IF($B295&lt;=Tabla5[[#This Row],[INVERSIONES FCI]],+Tabla5[[#This Row],[INVERSIONES FCI]]-AL295,Tabla5[[#This Row],[INVERSIONES FCI]])</f>
        <v>4588987501.2498779</v>
      </c>
      <c r="AM296" s="5">
        <f>IF($B295&lt;=Tabla5[[#This Row],[INVERSIONES FCI]],+Tabla5[[#This Row],[INVERSIONES FCI]]-AM295,Tabla5[[#This Row],[INVERSIONES FCI]])</f>
        <v>4588987501.2498779</v>
      </c>
      <c r="AN296" s="5">
        <f>IF($B295&lt;=Tabla5[[#This Row],[INVERSIONES FCI]],+Tabla5[[#This Row],[INVERSIONES FCI]]-AN295,Tabla5[[#This Row],[INVERSIONES FCI]])</f>
        <v>4588987501.2498779</v>
      </c>
      <c r="AO296" s="5">
        <f>IF($B295&lt;=Tabla5[[#This Row],[INVERSIONES FCI]],+Tabla5[[#This Row],[INVERSIONES FCI]]-AO295,Tabla5[[#This Row],[INVERSIONES FCI]])</f>
        <v>4588987501.2498779</v>
      </c>
      <c r="AP296" s="5">
        <f>IF($B295&lt;=Tabla5[[#This Row],[INVERSIONES FCI]],+Tabla5[[#This Row],[INVERSIONES FCI]]-AP295,Tabla5[[#This Row],[INVERSIONES FCI]])</f>
        <v>4588987501.2498779</v>
      </c>
      <c r="AQ296" s="5">
        <f>IF($B295&lt;=Tabla5[[#This Row],[INVERSIONES FCI]],+Tabla5[[#This Row],[INVERSIONES FCI]]-AQ295,Tabla5[[#This Row],[INVERSIONES FCI]])</f>
        <v>4588987501.2498779</v>
      </c>
      <c r="AR296" s="5">
        <f>IF($B295&lt;=Tabla5[[#This Row],[INVERSIONES FCI]],+Tabla5[[#This Row],[INVERSIONES FCI]]-AR295,Tabla5[[#This Row],[INVERSIONES FCI]])</f>
        <v>4588987501.2498779</v>
      </c>
      <c r="AS296" s="5">
        <f>IF($B295&lt;=Tabla5[[#This Row],[INVERSIONES FCI]],+Tabla5[[#This Row],[INVERSIONES FCI]]-AS295,Tabla5[[#This Row],[INVERSIONES FCI]])</f>
        <v>4588987501.2498779</v>
      </c>
      <c r="AT296" s="5">
        <f>IF($B295&lt;=Tabla5[[#This Row],[INVERSIONES FCI]],+Tabla5[[#This Row],[INVERSIONES FCI]]-AT295,Tabla5[[#This Row],[INVERSIONES FCI]])</f>
        <v>4588987501.2498779</v>
      </c>
      <c r="AU296" s="5">
        <f>IF($B295&lt;=Tabla5[[#This Row],[INVERSIONES FCI]],+Tabla5[[#This Row],[INVERSIONES FCI]]-AU295,Tabla5[[#This Row],[INVERSIONES FCI]])</f>
        <v>4588987501.2498779</v>
      </c>
      <c r="AV296" s="5">
        <f>IF($B295&lt;=Tabla5[[#This Row],[INVERSIONES FCI]],+Tabla5[[#This Row],[INVERSIONES FCI]]-AV295,Tabla5[[#This Row],[INVERSIONES FCI]])</f>
        <v>4588987501.2498779</v>
      </c>
      <c r="AW296" s="5">
        <f>IF($B295&lt;=Tabla5[[#This Row],[INVERSIONES FCI]],+Tabla5[[#This Row],[INVERSIONES FCI]]-AW295,Tabla5[[#This Row],[INVERSIONES FCI]])</f>
        <v>4588987501.2498779</v>
      </c>
      <c r="AX296" s="5">
        <f>IF($B295&lt;=Tabla5[[#This Row],[INVERSIONES FCI]],+Tabla5[[#This Row],[INVERSIONES FCI]]-AX295,Tabla5[[#This Row],[INVERSIONES FCI]])</f>
        <v>4588987501.2498779</v>
      </c>
      <c r="AY296" s="5">
        <f>IF($B295&lt;=Tabla5[[#This Row],[INVERSIONES FCI]],+Tabla5[[#This Row],[INVERSIONES FCI]]-AY295,Tabla5[[#This Row],[INVERSIONES FCI]])</f>
        <v>4588987501.2498779</v>
      </c>
      <c r="AZ296" s="5">
        <f>IF($B295&lt;=Tabla5[[#This Row],[INVERSIONES FCI]],+Tabla5[[#This Row],[INVERSIONES FCI]]-AZ295,Tabla5[[#This Row],[INVERSIONES FCI]])</f>
        <v>4588987501.2498779</v>
      </c>
      <c r="BA296" s="5">
        <f>IF($B295&lt;=Tabla5[[#This Row],[INVERSIONES FCI]],+Tabla5[[#This Row],[INVERSIONES FCI]]-BA295,Tabla5[[#This Row],[INVERSIONES FCI]])</f>
        <v>4588987501.2498779</v>
      </c>
      <c r="BB296" s="5">
        <f>IF($B295&lt;=Tabla5[[#This Row],[INVERSIONES FCI]],+Tabla5[[#This Row],[INVERSIONES FCI]]-BB295,Tabla5[[#This Row],[INVERSIONES FCI]])</f>
        <v>4588987501.2498779</v>
      </c>
      <c r="BC296" s="5">
        <f>IF($B295&lt;=Tabla5[[#This Row],[INVERSIONES FCI]],+Tabla5[[#This Row],[INVERSIONES FCI]]-BC295,Tabla5[[#This Row],[INVERSIONES FCI]])</f>
        <v>4588987501.2498779</v>
      </c>
      <c r="BD296" s="5">
        <f>IF($B295&lt;=Tabla5[[#This Row],[INVERSIONES FCI]],+Tabla5[[#This Row],[INVERSIONES FCI]]-BD295,Tabla5[[#This Row],[INVERSIONES FCI]])</f>
        <v>4588987501.2498779</v>
      </c>
      <c r="BE296" s="5">
        <f>IF($B295&lt;=Tabla5[[#This Row],[INVERSIONES FCI]],+Tabla5[[#This Row],[INVERSIONES FCI]]-BE295,Tabla5[[#This Row],[INVERSIONES FCI]])</f>
        <v>4588987501.2498779</v>
      </c>
      <c r="BF296" s="5">
        <f>IF($B295&lt;=Tabla5[[#This Row],[INVERSIONES FCI]],+Tabla5[[#This Row],[INVERSIONES FCI]]-BF295,Tabla5[[#This Row],[INVERSIONES FCI]])</f>
        <v>4588987501.2498779</v>
      </c>
      <c r="BG296" s="5">
        <f>IF($B295&lt;=Tabla5[[#This Row],[INVERSIONES FCI]],+Tabla5[[#This Row],[INVERSIONES FCI]]-BG295,Tabla5[[#This Row],[INVERSIONES FCI]])</f>
        <v>4588987501.2498779</v>
      </c>
      <c r="BH296" s="5">
        <f>IF($B295&lt;=Tabla5[[#This Row],[INVERSIONES FCI]],+Tabla5[[#This Row],[INVERSIONES FCI]]-BH295,Tabla5[[#This Row],[INVERSIONES FCI]])</f>
        <v>4588987501.2498779</v>
      </c>
      <c r="BI296" s="5">
        <f>IF($B295&lt;=Tabla5[[#This Row],[INVERSIONES FCI]],+Tabla5[[#This Row],[INVERSIONES FCI]]-BI295,Tabla5[[#This Row],[INVERSIONES FCI]])</f>
        <v>4588987501.2498779</v>
      </c>
      <c r="BJ296" s="5">
        <f>IF($B295&lt;=Tabla5[[#This Row],[INVERSIONES FCI]],+Tabla5[[#This Row],[INVERSIONES FCI]]-BJ295,Tabla5[[#This Row],[INVERSIONES FCI]])</f>
        <v>4588987501.2498779</v>
      </c>
      <c r="BK296" s="5">
        <f>IF($B295&lt;=Tabla5[[#This Row],[INVERSIONES FCI]],+Tabla5[[#This Row],[INVERSIONES FCI]]-BK295,Tabla5[[#This Row],[INVERSIONES FCI]])</f>
        <v>4588987501.2498779</v>
      </c>
      <c r="BL296" s="5">
        <f>IF($B295&lt;=Tabla5[[#This Row],[INVERSIONES FCI]],+Tabla5[[#This Row],[INVERSIONES FCI]]-BL295,Tabla5[[#This Row],[INVERSIONES FCI]])</f>
        <v>4588987501.2498779</v>
      </c>
      <c r="BM296" s="5">
        <f>IF($B295&lt;=Tabla5[[#This Row],[INVERSIONES FCI]],+Tabla5[[#This Row],[INVERSIONES FCI]]-BM295,Tabla5[[#This Row],[INVERSIONES FCI]])</f>
        <v>4588987501.2498779</v>
      </c>
      <c r="BN296" s="5">
        <f>IF($B295&lt;=Tabla5[[#This Row],[INVERSIONES FCI]],+Tabla5[[#This Row],[INVERSIONES FCI]]-BN295,Tabla5[[#This Row],[INVERSIONES FCI]])</f>
        <v>4588987501.2498779</v>
      </c>
      <c r="BO296" s="5">
        <f>IF($B295&lt;=Tabla5[[#This Row],[INVERSIONES FCI]],+Tabla5[[#This Row],[INVERSIONES FCI]]-BO295,Tabla5[[#This Row],[INVERSIONES FCI]])</f>
        <v>4588987501.2498779</v>
      </c>
      <c r="BP296" s="5">
        <f>IF($B295&lt;=Tabla5[[#This Row],[INVERSIONES FCI]],+Tabla5[[#This Row],[INVERSIONES FCI]]-BP295,Tabla5[[#This Row],[INVERSIONES FCI]])</f>
        <v>4588987501.2498779</v>
      </c>
      <c r="BQ296" s="5">
        <f>IF($B295&lt;=Tabla5[[#This Row],[INVERSIONES FCI]],+Tabla5[[#This Row],[INVERSIONES FCI]]-BQ295,Tabla5[[#This Row],[INVERSIONES FCI]])</f>
        <v>4588987501.2498779</v>
      </c>
      <c r="BR296" s="5">
        <f>IF($B295&lt;=Tabla5[[#This Row],[INVERSIONES FCI]],+Tabla5[[#This Row],[INVERSIONES FCI]]-BR295,Tabla5[[#This Row],[INVERSIONES FCI]])</f>
        <v>4588987501.2498779</v>
      </c>
      <c r="BS296" s="5">
        <f>IF($B295&lt;=Tabla5[[#This Row],[INVERSIONES FCI]],+Tabla5[[#This Row],[INVERSIONES FCI]]-BS295,Tabla5[[#This Row],[INVERSIONES FCI]])</f>
        <v>4588987501.2498779</v>
      </c>
      <c r="BT296" s="5">
        <f>IF($B295&lt;=Tabla5[[#This Row],[INVERSIONES FCI]],+Tabla5[[#This Row],[INVERSIONES FCI]]-BT295,Tabla5[[#This Row],[INVERSIONES FCI]])</f>
        <v>4588987501.2498779</v>
      </c>
      <c r="BU296" s="5">
        <f>IF($B295&lt;=Tabla5[[#This Row],[INVERSIONES FCI]],+Tabla5[[#This Row],[INVERSIONES FCI]]-BU295,Tabla5[[#This Row],[INVERSIONES FCI]])</f>
        <v>4588987501.2498779</v>
      </c>
      <c r="BV296" s="5">
        <f>IF($B295&lt;=Tabla5[[#This Row],[INVERSIONES FCI]],+Tabla5[[#This Row],[INVERSIONES FCI]]-BV295,Tabla5[[#This Row],[INVERSIONES FCI]])</f>
        <v>4588987501.2498779</v>
      </c>
      <c r="BW296" s="5">
        <f>IF($B295&lt;=Tabla5[[#This Row],[INVERSIONES FCI]],+Tabla5[[#This Row],[INVERSIONES FCI]]-BW295,Tabla5[[#This Row],[INVERSIONES FCI]])</f>
        <v>4588987501.2498779</v>
      </c>
      <c r="BX296" s="5">
        <f>IF($B295&lt;=Tabla5[[#This Row],[INVERSIONES FCI]],+Tabla5[[#This Row],[INVERSIONES FCI]]-BX295,Tabla5[[#This Row],[INVERSIONES FCI]])</f>
        <v>4588987501.2498779</v>
      </c>
      <c r="BY296" s="5">
        <f>IF($B295&lt;=Tabla5[[#This Row],[INVERSIONES FCI]],+Tabla5[[#This Row],[INVERSIONES FCI]]-BY295,Tabla5[[#This Row],[INVERSIONES FCI]])</f>
        <v>4588987501.2498779</v>
      </c>
      <c r="BZ296" s="5">
        <f>IF($B295&lt;=Tabla5[[#This Row],[INVERSIONES FCI]],+Tabla5[[#This Row],[INVERSIONES FCI]]-BZ295,Tabla5[[#This Row],[INVERSIONES FCI]])</f>
        <v>4588987501.2498779</v>
      </c>
      <c r="CA296" s="5">
        <f>IF($B295&lt;=Tabla5[[#This Row],[INVERSIONES FCI]],+Tabla5[[#This Row],[INVERSIONES FCI]]-CA295,Tabla5[[#This Row],[INVERSIONES FCI]])</f>
        <v>4588987501.2498779</v>
      </c>
      <c r="CB296" s="5">
        <f>IF($B295&lt;=Tabla5[[#This Row],[INVERSIONES FCI]],+Tabla5[[#This Row],[INVERSIONES FCI]]-CB295,Tabla5[[#This Row],[INVERSIONES FCI]])</f>
        <v>4588987501.2498779</v>
      </c>
      <c r="CC296" s="5">
        <f>IF($B295&lt;=Tabla5[[#This Row],[INVERSIONES FCI]],+Tabla5[[#This Row],[INVERSIONES FCI]]-CC295,Tabla5[[#This Row],[INVERSIONES FCI]])</f>
        <v>4588987501.2498779</v>
      </c>
      <c r="CD296" s="5">
        <f>IF($B295&lt;=Tabla5[[#This Row],[INVERSIONES FCI]],+Tabla5[[#This Row],[INVERSIONES FCI]]-CD295,Tabla5[[#This Row],[INVERSIONES FCI]])</f>
        <v>4588987501.2498779</v>
      </c>
      <c r="CE296" s="5">
        <f>IF($B295&lt;=Tabla5[[#This Row],[INVERSIONES FCI]],+Tabla5[[#This Row],[INVERSIONES FCI]]-CE295,Tabla5[[#This Row],[INVERSIONES FCI]])</f>
        <v>4588987501.2498779</v>
      </c>
      <c r="CF296" s="5">
        <f>IF($B295&lt;=Tabla5[[#This Row],[INVERSIONES FCI]],+Tabla5[[#This Row],[INVERSIONES FCI]]-CF295,Tabla5[[#This Row],[INVERSIONES FCI]])</f>
        <v>4588987501.2498779</v>
      </c>
      <c r="CG296" s="5">
        <f>IF($B295&lt;=Tabla5[[#This Row],[INVERSIONES FCI]],+Tabla5[[#This Row],[INVERSIONES FCI]]-CG295,Tabla5[[#This Row],[INVERSIONES FCI]])</f>
        <v>4588987501.2498779</v>
      </c>
      <c r="CH296" s="5">
        <f>IF($B295&lt;=Tabla5[[#This Row],[INVERSIONES FCI]],+Tabla5[[#This Row],[INVERSIONES FCI]]-CH295,Tabla5[[#This Row],[INVERSIONES FCI]])</f>
        <v>4588987501.2498779</v>
      </c>
      <c r="CI296" s="5">
        <f>IF($B295&lt;=Tabla5[[#This Row],[INVERSIONES FCI]],+Tabla5[[#This Row],[INVERSIONES FCI]]-CI295,Tabla5[[#This Row],[INVERSIONES FCI]])</f>
        <v>4588987501.2498779</v>
      </c>
      <c r="CJ296" s="5">
        <f>IF($B295&lt;=Tabla5[[#This Row],[INVERSIONES FCI]],+Tabla5[[#This Row],[INVERSIONES FCI]]-CJ295,Tabla5[[#This Row],[INVERSIONES FCI]])</f>
        <v>4588987501.2498779</v>
      </c>
      <c r="CK296" s="5">
        <f>IF($B295&lt;=Tabla5[[#This Row],[INVERSIONES FCI]],+Tabla5[[#This Row],[INVERSIONES FCI]]-CK295,Tabla5[[#This Row],[INVERSIONES FCI]])</f>
        <v>4588987501.2498779</v>
      </c>
      <c r="CL296" s="5">
        <f>IF($B295&lt;=Tabla5[[#This Row],[INVERSIONES FCI]],+Tabla5[[#This Row],[INVERSIONES FCI]]-CL295,Tabla5[[#This Row],[INVERSIONES FCI]])</f>
        <v>4588987501.2498779</v>
      </c>
      <c r="CM296" s="5">
        <f>IF($B295&lt;=Tabla5[[#This Row],[INVERSIONES FCI]],+Tabla5[[#This Row],[INVERSIONES FCI]]-CM295,Tabla5[[#This Row],[INVERSIONES FCI]])</f>
        <v>4588987501.2498779</v>
      </c>
      <c r="CN296" s="5">
        <f>IF($B295&lt;=Tabla5[[#This Row],[INVERSIONES FCI]],+Tabla5[[#This Row],[INVERSIONES FCI]]-CN295,Tabla5[[#This Row],[INVERSIONES FCI]])</f>
        <v>4588987501.2498779</v>
      </c>
      <c r="CO296" s="5">
        <f>IF($B295&lt;=Tabla5[[#This Row],[INVERSIONES FCI]],+Tabla5[[#This Row],[INVERSIONES FCI]]-CO295,Tabla5[[#This Row],[INVERSIONES FCI]])</f>
        <v>4588987501.2498779</v>
      </c>
      <c r="CP296" s="5">
        <f>IF($B295&lt;=Tabla5[[#This Row],[INVERSIONES FCI]],+Tabla5[[#This Row],[INVERSIONES FCI]]-CP295,Tabla5[[#This Row],[INVERSIONES FCI]])</f>
        <v>4588987501.2498779</v>
      </c>
      <c r="CQ296" s="5">
        <f>IF($B295&lt;=Tabla5[[#This Row],[INVERSIONES FCI]],+Tabla5[[#This Row],[INVERSIONES FCI]]-CQ295,Tabla5[[#This Row],[INVERSIONES FCI]])</f>
        <v>4588987501.2498779</v>
      </c>
      <c r="CR296" s="5">
        <f>IF($B295&lt;=Tabla5[[#This Row],[INVERSIONES FCI]],+Tabla5[[#This Row],[INVERSIONES FCI]]-CR295,Tabla5[[#This Row],[INVERSIONES FCI]])</f>
        <v>4588987501.2498779</v>
      </c>
      <c r="CS296" s="5">
        <f>IF($B295&lt;=Tabla5[[#This Row],[INVERSIONES FCI]],+Tabla5[[#This Row],[INVERSIONES FCI]]-CS295,Tabla5[[#This Row],[INVERSIONES FCI]])</f>
        <v>4588987501.2498779</v>
      </c>
      <c r="CT296" s="5">
        <f>IF($B295&lt;=Tabla5[[#This Row],[INVERSIONES FCI]],+Tabla5[[#This Row],[INVERSIONES FCI]]-CT295,Tabla5[[#This Row],[INVERSIONES FCI]])</f>
        <v>4588987501.2498779</v>
      </c>
      <c r="CU296" s="5">
        <f>IF($B295&lt;=Tabla5[[#This Row],[INVERSIONES FCI]],+Tabla5[[#This Row],[INVERSIONES FCI]]-CU295,Tabla5[[#This Row],[INVERSIONES FCI]])</f>
        <v>4588987501.2498779</v>
      </c>
      <c r="CV296" s="5">
        <f>IF($B295&lt;=Tabla5[[#This Row],[INVERSIONES FCI]],+Tabla5[[#This Row],[INVERSIONES FCI]]-CV295,Tabla5[[#This Row],[INVERSIONES FCI]])</f>
        <v>4588987501.2498779</v>
      </c>
      <c r="CW296" s="5">
        <f>IF($B295&lt;=Tabla5[[#This Row],[INVERSIONES FCI]],+Tabla5[[#This Row],[INVERSIONES FCI]]-CW295,Tabla5[[#This Row],[INVERSIONES FCI]])</f>
        <v>4588987501.2498779</v>
      </c>
      <c r="CX296" s="5">
        <f>IF($B295&lt;=Tabla5[[#This Row],[INVERSIONES FCI]],+Tabla5[[#This Row],[INVERSIONES FCI]]-CX295,Tabla5[[#This Row],[INVERSIONES FCI]])</f>
        <v>4588987501.2498779</v>
      </c>
      <c r="CY296" s="5">
        <f>IF($B295&lt;=Tabla5[[#This Row],[INVERSIONES FCI]],+Tabla5[[#This Row],[INVERSIONES FCI]]-CY295,Tabla5[[#This Row],[INVERSIONES FCI]])</f>
        <v>4588987501.2498779</v>
      </c>
      <c r="CZ296" s="5">
        <f>IF($B295&lt;=Tabla5[[#This Row],[INVERSIONES FCI]],+Tabla5[[#This Row],[INVERSIONES FCI]]-CZ295,Tabla5[[#This Row],[INVERSIONES FCI]])</f>
        <v>4588987501.2498779</v>
      </c>
      <c r="DA296" s="5">
        <f>IF($B295&lt;=Tabla5[[#This Row],[INVERSIONES FCI]],+Tabla5[[#This Row],[INVERSIONES FCI]]-DA295,Tabla5[[#This Row],[INVERSIONES FCI]])</f>
        <v>4588987501.2498779</v>
      </c>
      <c r="DB296" s="5">
        <f>IF($B295&lt;=Tabla5[[#This Row],[INVERSIONES FCI]],+Tabla5[[#This Row],[INVERSIONES FCI]]-DB295,Tabla5[[#This Row],[INVERSIONES FCI]])</f>
        <v>4588987501.2498779</v>
      </c>
      <c r="DC296" s="5">
        <f>IF($B295&lt;=Tabla5[[#This Row],[INVERSIONES FCI]],+Tabla5[[#This Row],[INVERSIONES FCI]]-DC295,Tabla5[[#This Row],[INVERSIONES FCI]])</f>
        <v>4588987501.2498779</v>
      </c>
      <c r="DD296" s="5">
        <f>IF($B295&lt;=Tabla5[[#This Row],[INVERSIONES FCI]],+Tabla5[[#This Row],[INVERSIONES FCI]]-DD295,Tabla5[[#This Row],[INVERSIONES FCI]])</f>
        <v>4588987501.2498779</v>
      </c>
      <c r="DE296" s="5">
        <f>IF($B295&lt;=Tabla5[[#This Row],[INVERSIONES FCI]],+Tabla5[[#This Row],[INVERSIONES FCI]]-DE295,Tabla5[[#This Row],[INVERSIONES FCI]])</f>
        <v>4588987501.2498779</v>
      </c>
      <c r="DF296" s="5">
        <f>IF($B295&lt;=Tabla5[[#This Row],[INVERSIONES FCI]],+Tabla5[[#This Row],[INVERSIONES FCI]]-DF295,Tabla5[[#This Row],[INVERSIONES FCI]])</f>
        <v>4588987501.2498779</v>
      </c>
      <c r="DG296" s="5">
        <f>IF($B295&lt;=Tabla5[[#This Row],[INVERSIONES FCI]],+Tabla5[[#This Row],[INVERSIONES FCI]]-DG295,Tabla5[[#This Row],[INVERSIONES FCI]])</f>
        <v>4588987501.2498779</v>
      </c>
      <c r="DH296" s="5">
        <f>IF($B295&lt;=Tabla5[[#This Row],[INVERSIONES FCI]],+Tabla5[[#This Row],[INVERSIONES FCI]]-DH295,Tabla5[[#This Row],[INVERSIONES FCI]])</f>
        <v>4588987501.2498779</v>
      </c>
      <c r="DI296" s="5">
        <f>IF($B295&lt;=Tabla5[[#This Row],[INVERSIONES FCI]],+Tabla5[[#This Row],[INVERSIONES FCI]]-DI295,Tabla5[[#This Row],[INVERSIONES FCI]])</f>
        <v>4588987501.2498779</v>
      </c>
      <c r="DJ296" s="5">
        <f>IF($B295&lt;=Tabla5[[#This Row],[INVERSIONES FCI]],+Tabla5[[#This Row],[INVERSIONES FCI]]-DJ295,Tabla5[[#This Row],[INVERSIONES FCI]])</f>
        <v>4588987501.2498779</v>
      </c>
      <c r="DK296" s="5">
        <f>IF($B295&lt;=Tabla5[[#This Row],[INVERSIONES FCI]],+Tabla5[[#This Row],[INVERSIONES FCI]]-DK295,Tabla5[[#This Row],[INVERSIONES FCI]])</f>
        <v>4588987501.2498779</v>
      </c>
      <c r="DL296" s="5"/>
      <c r="DM296" s="5"/>
      <c r="DN296" s="5"/>
      <c r="DO296" s="5"/>
      <c r="DP296" s="5"/>
      <c r="DQ296" s="5"/>
    </row>
    <row r="297" spans="1:121" ht="14.4">
      <c r="A297" s="12" t="s">
        <v>296</v>
      </c>
      <c r="B297" s="5">
        <f>HLOOKUP($A297,ESCENARIO[#All],7,FALSE)</f>
        <v>80695469789.706909</v>
      </c>
      <c r="C297" s="5">
        <f>IF($B296&lt;=Tabla5[[#This Row],[INVERSIONES FCI]],+Tabla5[[#This Row],[INVERSIONES FCI]]-C296,Tabla5[[#This Row],[INVERSIONES FCI]])</f>
        <v>76106482288.457031</v>
      </c>
      <c r="D297" s="5">
        <f>IF($B296&lt;=Tabla5[[#This Row],[INVERSIONES FCI]],+Tabla5[[#This Row],[INVERSIONES FCI]]-D296,Tabla5[[#This Row],[INVERSIONES FCI]])</f>
        <v>76106482288.457031</v>
      </c>
      <c r="E297" s="5">
        <f>IF($B296&lt;=Tabla5[[#This Row],[INVERSIONES FCI]],+Tabla5[[#This Row],[INVERSIONES FCI]]-E296,Tabla5[[#This Row],[INVERSIONES FCI]])</f>
        <v>76106482288.457031</v>
      </c>
      <c r="F297" s="5">
        <f>IF($B296&lt;=Tabla5[[#This Row],[INVERSIONES FCI]],+Tabla5[[#This Row],[INVERSIONES FCI]]-F296,Tabla5[[#This Row],[INVERSIONES FCI]])</f>
        <v>76106482288.457031</v>
      </c>
      <c r="G297" s="5">
        <f>IF($B296&lt;=Tabla5[[#This Row],[INVERSIONES FCI]],+Tabla5[[#This Row],[INVERSIONES FCI]]-G296,Tabla5[[#This Row],[INVERSIONES FCI]])</f>
        <v>76106482288.457031</v>
      </c>
      <c r="H297" s="5">
        <f>IF($B296&lt;=Tabla5[[#This Row],[INVERSIONES FCI]],+Tabla5[[#This Row],[INVERSIONES FCI]]-H296,Tabla5[[#This Row],[INVERSIONES FCI]])</f>
        <v>76106482288.457031</v>
      </c>
      <c r="I297" s="5">
        <f>IF($B296&lt;=Tabla5[[#This Row],[INVERSIONES FCI]],+Tabla5[[#This Row],[INVERSIONES FCI]]-I296,Tabla5[[#This Row],[INVERSIONES FCI]])</f>
        <v>76106482288.457031</v>
      </c>
      <c r="J297" s="5">
        <f>IF($B296&lt;=Tabla5[[#This Row],[INVERSIONES FCI]],+Tabla5[[#This Row],[INVERSIONES FCI]]-J296,Tabla5[[#This Row],[INVERSIONES FCI]])</f>
        <v>76106482288.457031</v>
      </c>
      <c r="K297" s="5">
        <f>IF($B296&lt;=Tabla5[[#This Row],[INVERSIONES FCI]],+Tabla5[[#This Row],[INVERSIONES FCI]]-K296,Tabla5[[#This Row],[INVERSIONES FCI]])</f>
        <v>76106482288.457031</v>
      </c>
      <c r="L297" s="5">
        <f>IF($B296&lt;=Tabla5[[#This Row],[INVERSIONES FCI]],+Tabla5[[#This Row],[INVERSIONES FCI]]-L296,Tabla5[[#This Row],[INVERSIONES FCI]])</f>
        <v>76106482288.457031</v>
      </c>
      <c r="M297" s="5">
        <f>IF($B296&lt;=Tabla5[[#This Row],[INVERSIONES FCI]],+Tabla5[[#This Row],[INVERSIONES FCI]]-M296,Tabla5[[#This Row],[INVERSIONES FCI]])</f>
        <v>76106482288.457031</v>
      </c>
      <c r="N297" s="5">
        <f>IF($B296&lt;=Tabla5[[#This Row],[INVERSIONES FCI]],+Tabla5[[#This Row],[INVERSIONES FCI]]-N296,Tabla5[[#This Row],[INVERSIONES FCI]])</f>
        <v>76106482288.457031</v>
      </c>
      <c r="O297" s="5">
        <f>IF($B296&lt;=Tabla5[[#This Row],[INVERSIONES FCI]],+Tabla5[[#This Row],[INVERSIONES FCI]]-O296,Tabla5[[#This Row],[INVERSIONES FCI]])</f>
        <v>76106482288.457031</v>
      </c>
      <c r="P297" s="5">
        <f>IF($B296&lt;=Tabla5[[#This Row],[INVERSIONES FCI]],+Tabla5[[#This Row],[INVERSIONES FCI]]-P296,Tabla5[[#This Row],[INVERSIONES FCI]])</f>
        <v>76106482288.457031</v>
      </c>
      <c r="Q297" s="5">
        <f>IF($B296&lt;=Tabla5[[#This Row],[INVERSIONES FCI]],+Tabla5[[#This Row],[INVERSIONES FCI]]-Q296,Tabla5[[#This Row],[INVERSIONES FCI]])</f>
        <v>76106482288.457031</v>
      </c>
      <c r="R297" s="5">
        <f>IF($B296&lt;=Tabla5[[#This Row],[INVERSIONES FCI]],+Tabla5[[#This Row],[INVERSIONES FCI]]-R296,Tabla5[[#This Row],[INVERSIONES FCI]])</f>
        <v>76106482288.457031</v>
      </c>
      <c r="S297" s="5">
        <f>IF($B296&lt;=Tabla5[[#This Row],[INVERSIONES FCI]],+Tabla5[[#This Row],[INVERSIONES FCI]]-S296,Tabla5[[#This Row],[INVERSIONES FCI]])</f>
        <v>76106482288.457031</v>
      </c>
      <c r="T297" s="5">
        <f>IF($B296&lt;=Tabla5[[#This Row],[INVERSIONES FCI]],+Tabla5[[#This Row],[INVERSIONES FCI]]-T296,Tabla5[[#This Row],[INVERSIONES FCI]])</f>
        <v>76106482288.457031</v>
      </c>
      <c r="U297" s="5">
        <f>IF($B296&lt;=Tabla5[[#This Row],[INVERSIONES FCI]],+Tabla5[[#This Row],[INVERSIONES FCI]]-U296,Tabla5[[#This Row],[INVERSIONES FCI]])</f>
        <v>76106482288.457031</v>
      </c>
      <c r="V297" s="5">
        <f>IF($B296&lt;=Tabla5[[#This Row],[INVERSIONES FCI]],+Tabla5[[#This Row],[INVERSIONES FCI]]-V296,Tabla5[[#This Row],[INVERSIONES FCI]])</f>
        <v>76106482288.457031</v>
      </c>
      <c r="W297" s="5">
        <f>IF($B296&lt;=Tabla5[[#This Row],[INVERSIONES FCI]],+Tabla5[[#This Row],[INVERSIONES FCI]]-W296,Tabla5[[#This Row],[INVERSIONES FCI]])</f>
        <v>76106482288.457031</v>
      </c>
      <c r="X297" s="5">
        <f>IF($B296&lt;=Tabla5[[#This Row],[INVERSIONES FCI]],+Tabla5[[#This Row],[INVERSIONES FCI]]-X296,Tabla5[[#This Row],[INVERSIONES FCI]])</f>
        <v>76106482288.457031</v>
      </c>
      <c r="Y297" s="5">
        <f>IF($B296&lt;=Tabla5[[#This Row],[INVERSIONES FCI]],+Tabla5[[#This Row],[INVERSIONES FCI]]-Y296,Tabla5[[#This Row],[INVERSIONES FCI]])</f>
        <v>76106482288.457031</v>
      </c>
      <c r="Z297" s="5">
        <f>IF($B296&lt;=Tabla5[[#This Row],[INVERSIONES FCI]],+Tabla5[[#This Row],[INVERSIONES FCI]]-Z296,Tabla5[[#This Row],[INVERSIONES FCI]])</f>
        <v>76106482288.457031</v>
      </c>
      <c r="AA297" s="5">
        <f>IF($B296&lt;=Tabla5[[#This Row],[INVERSIONES FCI]],+Tabla5[[#This Row],[INVERSIONES FCI]]-AA296,Tabla5[[#This Row],[INVERSIONES FCI]])</f>
        <v>76106482288.457031</v>
      </c>
      <c r="AB297" s="5">
        <f>IF($B296&lt;=Tabla5[[#This Row],[INVERSIONES FCI]],+Tabla5[[#This Row],[INVERSIONES FCI]]-AB296,Tabla5[[#This Row],[INVERSIONES FCI]])</f>
        <v>76106482288.457031</v>
      </c>
      <c r="AC297" s="5">
        <f>IF($B296&lt;=Tabla5[[#This Row],[INVERSIONES FCI]],+Tabla5[[#This Row],[INVERSIONES FCI]]-AC296,Tabla5[[#This Row],[INVERSIONES FCI]])</f>
        <v>76106482288.457031</v>
      </c>
      <c r="AD297" s="5">
        <f>IF($B296&lt;=Tabla5[[#This Row],[INVERSIONES FCI]],+Tabla5[[#This Row],[INVERSIONES FCI]]-AD296,Tabla5[[#This Row],[INVERSIONES FCI]])</f>
        <v>76106482288.457031</v>
      </c>
      <c r="AE297" s="5">
        <f>IF($B296&lt;=Tabla5[[#This Row],[INVERSIONES FCI]],+Tabla5[[#This Row],[INVERSIONES FCI]]-AE296,Tabla5[[#This Row],[INVERSIONES FCI]])</f>
        <v>76106482288.457031</v>
      </c>
      <c r="AF297" s="5">
        <f>IF($B296&lt;=Tabla5[[#This Row],[INVERSIONES FCI]],+Tabla5[[#This Row],[INVERSIONES FCI]]-AF296,Tabla5[[#This Row],[INVERSIONES FCI]])</f>
        <v>76106482288.457031</v>
      </c>
      <c r="AG297" s="5">
        <f>IF($B296&lt;=Tabla5[[#This Row],[INVERSIONES FCI]],+Tabla5[[#This Row],[INVERSIONES FCI]]-AG296,Tabla5[[#This Row],[INVERSIONES FCI]])</f>
        <v>76106482288.457031</v>
      </c>
      <c r="AH297" s="5">
        <f>IF($B296&lt;=Tabla5[[#This Row],[INVERSIONES FCI]],+Tabla5[[#This Row],[INVERSIONES FCI]]-AH296,Tabla5[[#This Row],[INVERSIONES FCI]])</f>
        <v>76106482288.457031</v>
      </c>
      <c r="AI297" s="5">
        <f>IF($B296&lt;=Tabla5[[#This Row],[INVERSIONES FCI]],+Tabla5[[#This Row],[INVERSIONES FCI]]-AI296,Tabla5[[#This Row],[INVERSIONES FCI]])</f>
        <v>76106482288.457031</v>
      </c>
      <c r="AJ297" s="5">
        <f>IF($B296&lt;=Tabla5[[#This Row],[INVERSIONES FCI]],+Tabla5[[#This Row],[INVERSIONES FCI]]-AJ296,Tabla5[[#This Row],[INVERSIONES FCI]])</f>
        <v>76106482288.457031</v>
      </c>
      <c r="AK297" s="5">
        <f>IF($B296&lt;=Tabla5[[#This Row],[INVERSIONES FCI]],+Tabla5[[#This Row],[INVERSIONES FCI]]-AK296,Tabla5[[#This Row],[INVERSIONES FCI]])</f>
        <v>76106482288.457031</v>
      </c>
      <c r="AL297" s="5">
        <f>IF($B296&lt;=Tabla5[[#This Row],[INVERSIONES FCI]],+Tabla5[[#This Row],[INVERSIONES FCI]]-AL296,Tabla5[[#This Row],[INVERSIONES FCI]])</f>
        <v>76106482288.457031</v>
      </c>
      <c r="AM297" s="5">
        <f>IF($B296&lt;=Tabla5[[#This Row],[INVERSIONES FCI]],+Tabla5[[#This Row],[INVERSIONES FCI]]-AM296,Tabla5[[#This Row],[INVERSIONES FCI]])</f>
        <v>76106482288.457031</v>
      </c>
      <c r="AN297" s="5">
        <f>IF($B296&lt;=Tabla5[[#This Row],[INVERSIONES FCI]],+Tabla5[[#This Row],[INVERSIONES FCI]]-AN296,Tabla5[[#This Row],[INVERSIONES FCI]])</f>
        <v>76106482288.457031</v>
      </c>
      <c r="AO297" s="5">
        <f>IF($B296&lt;=Tabla5[[#This Row],[INVERSIONES FCI]],+Tabla5[[#This Row],[INVERSIONES FCI]]-AO296,Tabla5[[#This Row],[INVERSIONES FCI]])</f>
        <v>76106482288.457031</v>
      </c>
      <c r="AP297" s="5">
        <f>IF($B296&lt;=Tabla5[[#This Row],[INVERSIONES FCI]],+Tabla5[[#This Row],[INVERSIONES FCI]]-AP296,Tabla5[[#This Row],[INVERSIONES FCI]])</f>
        <v>76106482288.457031</v>
      </c>
      <c r="AQ297" s="5">
        <f>IF($B296&lt;=Tabla5[[#This Row],[INVERSIONES FCI]],+Tabla5[[#This Row],[INVERSIONES FCI]]-AQ296,Tabla5[[#This Row],[INVERSIONES FCI]])</f>
        <v>76106482288.457031</v>
      </c>
      <c r="AR297" s="5">
        <f>IF($B296&lt;=Tabla5[[#This Row],[INVERSIONES FCI]],+Tabla5[[#This Row],[INVERSIONES FCI]]-AR296,Tabla5[[#This Row],[INVERSIONES FCI]])</f>
        <v>76106482288.457031</v>
      </c>
      <c r="AS297" s="5">
        <f>IF($B296&lt;=Tabla5[[#This Row],[INVERSIONES FCI]],+Tabla5[[#This Row],[INVERSIONES FCI]]-AS296,Tabla5[[#This Row],[INVERSIONES FCI]])</f>
        <v>76106482288.457031</v>
      </c>
      <c r="AT297" s="5">
        <f>IF($B296&lt;=Tabla5[[#This Row],[INVERSIONES FCI]],+Tabla5[[#This Row],[INVERSIONES FCI]]-AT296,Tabla5[[#This Row],[INVERSIONES FCI]])</f>
        <v>76106482288.457031</v>
      </c>
      <c r="AU297" s="5">
        <f>IF($B296&lt;=Tabla5[[#This Row],[INVERSIONES FCI]],+Tabla5[[#This Row],[INVERSIONES FCI]]-AU296,Tabla5[[#This Row],[INVERSIONES FCI]])</f>
        <v>76106482288.457031</v>
      </c>
      <c r="AV297" s="5">
        <f>IF($B296&lt;=Tabla5[[#This Row],[INVERSIONES FCI]],+Tabla5[[#This Row],[INVERSIONES FCI]]-AV296,Tabla5[[#This Row],[INVERSIONES FCI]])</f>
        <v>76106482288.457031</v>
      </c>
      <c r="AW297" s="5">
        <f>IF($B296&lt;=Tabla5[[#This Row],[INVERSIONES FCI]],+Tabla5[[#This Row],[INVERSIONES FCI]]-AW296,Tabla5[[#This Row],[INVERSIONES FCI]])</f>
        <v>76106482288.457031</v>
      </c>
      <c r="AX297" s="5">
        <f>IF($B296&lt;=Tabla5[[#This Row],[INVERSIONES FCI]],+Tabla5[[#This Row],[INVERSIONES FCI]]-AX296,Tabla5[[#This Row],[INVERSIONES FCI]])</f>
        <v>76106482288.457031</v>
      </c>
      <c r="AY297" s="5">
        <f>IF($B296&lt;=Tabla5[[#This Row],[INVERSIONES FCI]],+Tabla5[[#This Row],[INVERSIONES FCI]]-AY296,Tabla5[[#This Row],[INVERSIONES FCI]])</f>
        <v>76106482288.457031</v>
      </c>
      <c r="AZ297" s="5">
        <f>IF($B296&lt;=Tabla5[[#This Row],[INVERSIONES FCI]],+Tabla5[[#This Row],[INVERSIONES FCI]]-AZ296,Tabla5[[#This Row],[INVERSIONES FCI]])</f>
        <v>76106482288.457031</v>
      </c>
      <c r="BA297" s="5">
        <f>IF($B296&lt;=Tabla5[[#This Row],[INVERSIONES FCI]],+Tabla5[[#This Row],[INVERSIONES FCI]]-BA296,Tabla5[[#This Row],[INVERSIONES FCI]])</f>
        <v>76106482288.457031</v>
      </c>
      <c r="BB297" s="5">
        <f>IF($B296&lt;=Tabla5[[#This Row],[INVERSIONES FCI]],+Tabla5[[#This Row],[INVERSIONES FCI]]-BB296,Tabla5[[#This Row],[INVERSIONES FCI]])</f>
        <v>76106482288.457031</v>
      </c>
      <c r="BC297" s="5">
        <f>IF($B296&lt;=Tabla5[[#This Row],[INVERSIONES FCI]],+Tabla5[[#This Row],[INVERSIONES FCI]]-BC296,Tabla5[[#This Row],[INVERSIONES FCI]])</f>
        <v>76106482288.457031</v>
      </c>
      <c r="BD297" s="5">
        <f>IF($B296&lt;=Tabla5[[#This Row],[INVERSIONES FCI]],+Tabla5[[#This Row],[INVERSIONES FCI]]-BD296,Tabla5[[#This Row],[INVERSIONES FCI]])</f>
        <v>76106482288.457031</v>
      </c>
      <c r="BE297" s="5">
        <f>IF($B296&lt;=Tabla5[[#This Row],[INVERSIONES FCI]],+Tabla5[[#This Row],[INVERSIONES FCI]]-BE296,Tabla5[[#This Row],[INVERSIONES FCI]])</f>
        <v>76106482288.457031</v>
      </c>
      <c r="BF297" s="5">
        <f>IF($B296&lt;=Tabla5[[#This Row],[INVERSIONES FCI]],+Tabla5[[#This Row],[INVERSIONES FCI]]-BF296,Tabla5[[#This Row],[INVERSIONES FCI]])</f>
        <v>76106482288.457031</v>
      </c>
      <c r="BG297" s="5">
        <f>IF($B296&lt;=Tabla5[[#This Row],[INVERSIONES FCI]],+Tabla5[[#This Row],[INVERSIONES FCI]]-BG296,Tabla5[[#This Row],[INVERSIONES FCI]])</f>
        <v>76106482288.457031</v>
      </c>
      <c r="BH297" s="5">
        <f>IF($B296&lt;=Tabla5[[#This Row],[INVERSIONES FCI]],+Tabla5[[#This Row],[INVERSIONES FCI]]-BH296,Tabla5[[#This Row],[INVERSIONES FCI]])</f>
        <v>76106482288.457031</v>
      </c>
      <c r="BI297" s="5">
        <f>IF($B296&lt;=Tabla5[[#This Row],[INVERSIONES FCI]],+Tabla5[[#This Row],[INVERSIONES FCI]]-BI296,Tabla5[[#This Row],[INVERSIONES FCI]])</f>
        <v>76106482288.457031</v>
      </c>
      <c r="BJ297" s="5">
        <f>IF($B296&lt;=Tabla5[[#This Row],[INVERSIONES FCI]],+Tabla5[[#This Row],[INVERSIONES FCI]]-BJ296,Tabla5[[#This Row],[INVERSIONES FCI]])</f>
        <v>76106482288.457031</v>
      </c>
      <c r="BK297" s="5">
        <f>IF($B296&lt;=Tabla5[[#This Row],[INVERSIONES FCI]],+Tabla5[[#This Row],[INVERSIONES FCI]]-BK296,Tabla5[[#This Row],[INVERSIONES FCI]])</f>
        <v>76106482288.457031</v>
      </c>
      <c r="BL297" s="5">
        <f>IF($B296&lt;=Tabla5[[#This Row],[INVERSIONES FCI]],+Tabla5[[#This Row],[INVERSIONES FCI]]-BL296,Tabla5[[#This Row],[INVERSIONES FCI]])</f>
        <v>76106482288.457031</v>
      </c>
      <c r="BM297" s="5">
        <f>IF($B296&lt;=Tabla5[[#This Row],[INVERSIONES FCI]],+Tabla5[[#This Row],[INVERSIONES FCI]]-BM296,Tabla5[[#This Row],[INVERSIONES FCI]])</f>
        <v>76106482288.457031</v>
      </c>
      <c r="BN297" s="5">
        <f>IF($B296&lt;=Tabla5[[#This Row],[INVERSIONES FCI]],+Tabla5[[#This Row],[INVERSIONES FCI]]-BN296,Tabla5[[#This Row],[INVERSIONES FCI]])</f>
        <v>76106482288.457031</v>
      </c>
      <c r="BO297" s="5">
        <f>IF($B296&lt;=Tabla5[[#This Row],[INVERSIONES FCI]],+Tabla5[[#This Row],[INVERSIONES FCI]]-BO296,Tabla5[[#This Row],[INVERSIONES FCI]])</f>
        <v>76106482288.457031</v>
      </c>
      <c r="BP297" s="5">
        <f>IF($B296&lt;=Tabla5[[#This Row],[INVERSIONES FCI]],+Tabla5[[#This Row],[INVERSIONES FCI]]-BP296,Tabla5[[#This Row],[INVERSIONES FCI]])</f>
        <v>76106482288.457031</v>
      </c>
      <c r="BQ297" s="5">
        <f>IF($B296&lt;=Tabla5[[#This Row],[INVERSIONES FCI]],+Tabla5[[#This Row],[INVERSIONES FCI]]-BQ296,Tabla5[[#This Row],[INVERSIONES FCI]])</f>
        <v>76106482288.457031</v>
      </c>
      <c r="BR297" s="5">
        <f>IF($B296&lt;=Tabla5[[#This Row],[INVERSIONES FCI]],+Tabla5[[#This Row],[INVERSIONES FCI]]-BR296,Tabla5[[#This Row],[INVERSIONES FCI]])</f>
        <v>76106482288.457031</v>
      </c>
      <c r="BS297" s="5">
        <f>IF($B296&lt;=Tabla5[[#This Row],[INVERSIONES FCI]],+Tabla5[[#This Row],[INVERSIONES FCI]]-BS296,Tabla5[[#This Row],[INVERSIONES FCI]])</f>
        <v>76106482288.457031</v>
      </c>
      <c r="BT297" s="5">
        <f>IF($B296&lt;=Tabla5[[#This Row],[INVERSIONES FCI]],+Tabla5[[#This Row],[INVERSIONES FCI]]-BT296,Tabla5[[#This Row],[INVERSIONES FCI]])</f>
        <v>76106482288.457031</v>
      </c>
      <c r="BU297" s="5">
        <f>IF($B296&lt;=Tabla5[[#This Row],[INVERSIONES FCI]],+Tabla5[[#This Row],[INVERSIONES FCI]]-BU296,Tabla5[[#This Row],[INVERSIONES FCI]])</f>
        <v>76106482288.457031</v>
      </c>
      <c r="BV297" s="5">
        <f>IF($B296&lt;=Tabla5[[#This Row],[INVERSIONES FCI]],+Tabla5[[#This Row],[INVERSIONES FCI]]-BV296,Tabla5[[#This Row],[INVERSIONES FCI]])</f>
        <v>76106482288.457031</v>
      </c>
      <c r="BW297" s="5">
        <f>IF($B296&lt;=Tabla5[[#This Row],[INVERSIONES FCI]],+Tabla5[[#This Row],[INVERSIONES FCI]]-BW296,Tabla5[[#This Row],[INVERSIONES FCI]])</f>
        <v>76106482288.457031</v>
      </c>
      <c r="BX297" s="5">
        <f>IF($B296&lt;=Tabla5[[#This Row],[INVERSIONES FCI]],+Tabla5[[#This Row],[INVERSIONES FCI]]-BX296,Tabla5[[#This Row],[INVERSIONES FCI]])</f>
        <v>76106482288.457031</v>
      </c>
      <c r="BY297" s="5">
        <f>IF($B296&lt;=Tabla5[[#This Row],[INVERSIONES FCI]],+Tabla5[[#This Row],[INVERSIONES FCI]]-BY296,Tabla5[[#This Row],[INVERSIONES FCI]])</f>
        <v>76106482288.457031</v>
      </c>
      <c r="BZ297" s="5">
        <f>IF($B296&lt;=Tabla5[[#This Row],[INVERSIONES FCI]],+Tabla5[[#This Row],[INVERSIONES FCI]]-BZ296,Tabla5[[#This Row],[INVERSIONES FCI]])</f>
        <v>76106482288.457031</v>
      </c>
      <c r="CA297" s="5">
        <f>IF($B296&lt;=Tabla5[[#This Row],[INVERSIONES FCI]],+Tabla5[[#This Row],[INVERSIONES FCI]]-CA296,Tabla5[[#This Row],[INVERSIONES FCI]])</f>
        <v>76106482288.457031</v>
      </c>
      <c r="CB297" s="5">
        <f>IF($B296&lt;=Tabla5[[#This Row],[INVERSIONES FCI]],+Tabla5[[#This Row],[INVERSIONES FCI]]-CB296,Tabla5[[#This Row],[INVERSIONES FCI]])</f>
        <v>76106482288.457031</v>
      </c>
      <c r="CC297" s="5">
        <f>IF($B296&lt;=Tabla5[[#This Row],[INVERSIONES FCI]],+Tabla5[[#This Row],[INVERSIONES FCI]]-CC296,Tabla5[[#This Row],[INVERSIONES FCI]])</f>
        <v>76106482288.457031</v>
      </c>
      <c r="CD297" s="5">
        <f>IF($B296&lt;=Tabla5[[#This Row],[INVERSIONES FCI]],+Tabla5[[#This Row],[INVERSIONES FCI]]-CD296,Tabla5[[#This Row],[INVERSIONES FCI]])</f>
        <v>76106482288.457031</v>
      </c>
      <c r="CE297" s="5">
        <f>IF($B296&lt;=Tabla5[[#This Row],[INVERSIONES FCI]],+Tabla5[[#This Row],[INVERSIONES FCI]]-CE296,Tabla5[[#This Row],[INVERSIONES FCI]])</f>
        <v>76106482288.457031</v>
      </c>
      <c r="CF297" s="5">
        <f>IF($B296&lt;=Tabla5[[#This Row],[INVERSIONES FCI]],+Tabla5[[#This Row],[INVERSIONES FCI]]-CF296,Tabla5[[#This Row],[INVERSIONES FCI]])</f>
        <v>76106482288.457031</v>
      </c>
      <c r="CG297" s="5">
        <f>IF($B296&lt;=Tabla5[[#This Row],[INVERSIONES FCI]],+Tabla5[[#This Row],[INVERSIONES FCI]]-CG296,Tabla5[[#This Row],[INVERSIONES FCI]])</f>
        <v>76106482288.457031</v>
      </c>
      <c r="CH297" s="5">
        <f>IF($B296&lt;=Tabla5[[#This Row],[INVERSIONES FCI]],+Tabla5[[#This Row],[INVERSIONES FCI]]-CH296,Tabla5[[#This Row],[INVERSIONES FCI]])</f>
        <v>76106482288.457031</v>
      </c>
      <c r="CI297" s="5">
        <f>IF($B296&lt;=Tabla5[[#This Row],[INVERSIONES FCI]],+Tabla5[[#This Row],[INVERSIONES FCI]]-CI296,Tabla5[[#This Row],[INVERSIONES FCI]])</f>
        <v>76106482288.457031</v>
      </c>
      <c r="CJ297" s="5">
        <f>IF($B296&lt;=Tabla5[[#This Row],[INVERSIONES FCI]],+Tabla5[[#This Row],[INVERSIONES FCI]]-CJ296,Tabla5[[#This Row],[INVERSIONES FCI]])</f>
        <v>76106482288.457031</v>
      </c>
      <c r="CK297" s="5">
        <f>IF($B296&lt;=Tabla5[[#This Row],[INVERSIONES FCI]],+Tabla5[[#This Row],[INVERSIONES FCI]]-CK296,Tabla5[[#This Row],[INVERSIONES FCI]])</f>
        <v>76106482288.457031</v>
      </c>
      <c r="CL297" s="5">
        <f>IF($B296&lt;=Tabla5[[#This Row],[INVERSIONES FCI]],+Tabla5[[#This Row],[INVERSIONES FCI]]-CL296,Tabla5[[#This Row],[INVERSIONES FCI]])</f>
        <v>76106482288.457031</v>
      </c>
      <c r="CM297" s="5">
        <f>IF($B296&lt;=Tabla5[[#This Row],[INVERSIONES FCI]],+Tabla5[[#This Row],[INVERSIONES FCI]]-CM296,Tabla5[[#This Row],[INVERSIONES FCI]])</f>
        <v>76106482288.457031</v>
      </c>
      <c r="CN297" s="5">
        <f>IF($B296&lt;=Tabla5[[#This Row],[INVERSIONES FCI]],+Tabla5[[#This Row],[INVERSIONES FCI]]-CN296,Tabla5[[#This Row],[INVERSIONES FCI]])</f>
        <v>76106482288.457031</v>
      </c>
      <c r="CO297" s="5">
        <f>IF($B296&lt;=Tabla5[[#This Row],[INVERSIONES FCI]],+Tabla5[[#This Row],[INVERSIONES FCI]]-CO296,Tabla5[[#This Row],[INVERSIONES FCI]])</f>
        <v>76106482288.457031</v>
      </c>
      <c r="CP297" s="5">
        <f>IF($B296&lt;=Tabla5[[#This Row],[INVERSIONES FCI]],+Tabla5[[#This Row],[INVERSIONES FCI]]-CP296,Tabla5[[#This Row],[INVERSIONES FCI]])</f>
        <v>76106482288.457031</v>
      </c>
      <c r="CQ297" s="5">
        <f>IF($B296&lt;=Tabla5[[#This Row],[INVERSIONES FCI]],+Tabla5[[#This Row],[INVERSIONES FCI]]-CQ296,Tabla5[[#This Row],[INVERSIONES FCI]])</f>
        <v>76106482288.457031</v>
      </c>
      <c r="CR297" s="5">
        <f>IF($B296&lt;=Tabla5[[#This Row],[INVERSIONES FCI]],+Tabla5[[#This Row],[INVERSIONES FCI]]-CR296,Tabla5[[#This Row],[INVERSIONES FCI]])</f>
        <v>76106482288.457031</v>
      </c>
      <c r="CS297" s="5">
        <f>IF($B296&lt;=Tabla5[[#This Row],[INVERSIONES FCI]],+Tabla5[[#This Row],[INVERSIONES FCI]]-CS296,Tabla5[[#This Row],[INVERSIONES FCI]])</f>
        <v>76106482288.457031</v>
      </c>
      <c r="CT297" s="5">
        <f>IF($B296&lt;=Tabla5[[#This Row],[INVERSIONES FCI]],+Tabla5[[#This Row],[INVERSIONES FCI]]-CT296,Tabla5[[#This Row],[INVERSIONES FCI]])</f>
        <v>76106482288.457031</v>
      </c>
      <c r="CU297" s="5">
        <f>IF($B296&lt;=Tabla5[[#This Row],[INVERSIONES FCI]],+Tabla5[[#This Row],[INVERSIONES FCI]]-CU296,Tabla5[[#This Row],[INVERSIONES FCI]])</f>
        <v>76106482288.457031</v>
      </c>
      <c r="CV297" s="5">
        <f>IF($B296&lt;=Tabla5[[#This Row],[INVERSIONES FCI]],+Tabla5[[#This Row],[INVERSIONES FCI]]-CV296,Tabla5[[#This Row],[INVERSIONES FCI]])</f>
        <v>76106482288.457031</v>
      </c>
      <c r="CW297" s="5">
        <f>IF($B296&lt;=Tabla5[[#This Row],[INVERSIONES FCI]],+Tabla5[[#This Row],[INVERSIONES FCI]]-CW296,Tabla5[[#This Row],[INVERSIONES FCI]])</f>
        <v>76106482288.457031</v>
      </c>
      <c r="CX297" s="5">
        <f>IF($B296&lt;=Tabla5[[#This Row],[INVERSIONES FCI]],+Tabla5[[#This Row],[INVERSIONES FCI]]-CX296,Tabla5[[#This Row],[INVERSIONES FCI]])</f>
        <v>76106482288.457031</v>
      </c>
      <c r="CY297" s="5">
        <f>IF($B296&lt;=Tabla5[[#This Row],[INVERSIONES FCI]],+Tabla5[[#This Row],[INVERSIONES FCI]]-CY296,Tabla5[[#This Row],[INVERSIONES FCI]])</f>
        <v>76106482288.457031</v>
      </c>
      <c r="CZ297" s="5">
        <f>IF($B296&lt;=Tabla5[[#This Row],[INVERSIONES FCI]],+Tabla5[[#This Row],[INVERSIONES FCI]]-CZ296,Tabla5[[#This Row],[INVERSIONES FCI]])</f>
        <v>76106482288.457031</v>
      </c>
      <c r="DA297" s="5">
        <f>IF($B296&lt;=Tabla5[[#This Row],[INVERSIONES FCI]],+Tabla5[[#This Row],[INVERSIONES FCI]]-DA296,Tabla5[[#This Row],[INVERSIONES FCI]])</f>
        <v>76106482288.457031</v>
      </c>
      <c r="DB297" s="5">
        <f>IF($B296&lt;=Tabla5[[#This Row],[INVERSIONES FCI]],+Tabla5[[#This Row],[INVERSIONES FCI]]-DB296,Tabla5[[#This Row],[INVERSIONES FCI]])</f>
        <v>76106482288.457031</v>
      </c>
      <c r="DC297" s="5">
        <f>IF($B296&lt;=Tabla5[[#This Row],[INVERSIONES FCI]],+Tabla5[[#This Row],[INVERSIONES FCI]]-DC296,Tabla5[[#This Row],[INVERSIONES FCI]])</f>
        <v>76106482288.457031</v>
      </c>
      <c r="DD297" s="5">
        <f>IF($B296&lt;=Tabla5[[#This Row],[INVERSIONES FCI]],+Tabla5[[#This Row],[INVERSIONES FCI]]-DD296,Tabla5[[#This Row],[INVERSIONES FCI]])</f>
        <v>76106482288.457031</v>
      </c>
      <c r="DE297" s="5">
        <f>IF($B296&lt;=Tabla5[[#This Row],[INVERSIONES FCI]],+Tabla5[[#This Row],[INVERSIONES FCI]]-DE296,Tabla5[[#This Row],[INVERSIONES FCI]])</f>
        <v>76106482288.457031</v>
      </c>
      <c r="DF297" s="5">
        <f>IF($B296&lt;=Tabla5[[#This Row],[INVERSIONES FCI]],+Tabla5[[#This Row],[INVERSIONES FCI]]-DF296,Tabla5[[#This Row],[INVERSIONES FCI]])</f>
        <v>76106482288.457031</v>
      </c>
      <c r="DG297" s="5">
        <f>IF($B296&lt;=Tabla5[[#This Row],[INVERSIONES FCI]],+Tabla5[[#This Row],[INVERSIONES FCI]]-DG296,Tabla5[[#This Row],[INVERSIONES FCI]])</f>
        <v>76106482288.457031</v>
      </c>
      <c r="DH297" s="5">
        <f>IF($B296&lt;=Tabla5[[#This Row],[INVERSIONES FCI]],+Tabla5[[#This Row],[INVERSIONES FCI]]-DH296,Tabla5[[#This Row],[INVERSIONES FCI]])</f>
        <v>76106482288.457031</v>
      </c>
      <c r="DI297" s="5">
        <f>IF($B296&lt;=Tabla5[[#This Row],[INVERSIONES FCI]],+Tabla5[[#This Row],[INVERSIONES FCI]]-DI296,Tabla5[[#This Row],[INVERSIONES FCI]])</f>
        <v>76106482288.457031</v>
      </c>
      <c r="DJ297" s="5">
        <f>IF($B296&lt;=Tabla5[[#This Row],[INVERSIONES FCI]],+Tabla5[[#This Row],[INVERSIONES FCI]]-DJ296,Tabla5[[#This Row],[INVERSIONES FCI]])</f>
        <v>76106482288.457031</v>
      </c>
      <c r="DK297" s="5">
        <f>IF($B296&lt;=Tabla5[[#This Row],[INVERSIONES FCI]],+Tabla5[[#This Row],[INVERSIONES FCI]]-DK296,Tabla5[[#This Row],[INVERSIONES FCI]])</f>
        <v>76106482288.457031</v>
      </c>
      <c r="DL297" s="5"/>
      <c r="DM297" s="5"/>
      <c r="DN297" s="5"/>
      <c r="DO297" s="5"/>
      <c r="DP297" s="5"/>
      <c r="DQ297" s="5"/>
    </row>
    <row r="298" spans="1:121" ht="14.4">
      <c r="A298" s="12" t="s">
        <v>297</v>
      </c>
      <c r="B298" s="5">
        <f>HLOOKUP($A298,ESCENARIO[#All],7,FALSE)</f>
        <v>74342214793.636902</v>
      </c>
      <c r="C298" s="5">
        <f>IF($B297&lt;=Tabla5[[#This Row],[INVERSIONES FCI]],+Tabla5[[#This Row],[INVERSIONES FCI]]-C297,Tabla5[[#This Row],[INVERSIONES FCI]])</f>
        <v>74342214793.636902</v>
      </c>
      <c r="D298" s="5">
        <f>IF($B297&lt;=Tabla5[[#This Row],[INVERSIONES FCI]],+Tabla5[[#This Row],[INVERSIONES FCI]]-D297,Tabla5[[#This Row],[INVERSIONES FCI]])</f>
        <v>74342214793.636902</v>
      </c>
      <c r="E298" s="5">
        <f>IF($B297&lt;=Tabla5[[#This Row],[INVERSIONES FCI]],+Tabla5[[#This Row],[INVERSIONES FCI]]-E297,Tabla5[[#This Row],[INVERSIONES FCI]])</f>
        <v>74342214793.636902</v>
      </c>
      <c r="F298" s="5">
        <f>IF($B297&lt;=Tabla5[[#This Row],[INVERSIONES FCI]],+Tabla5[[#This Row],[INVERSIONES FCI]]-F297,Tabla5[[#This Row],[INVERSIONES FCI]])</f>
        <v>74342214793.636902</v>
      </c>
      <c r="G298" s="5">
        <f>IF($B297&lt;=Tabla5[[#This Row],[INVERSIONES FCI]],+Tabla5[[#This Row],[INVERSIONES FCI]]-G297,Tabla5[[#This Row],[INVERSIONES FCI]])</f>
        <v>74342214793.636902</v>
      </c>
      <c r="H298" s="5">
        <f>IF($B297&lt;=Tabla5[[#This Row],[INVERSIONES FCI]],+Tabla5[[#This Row],[INVERSIONES FCI]]-H297,Tabla5[[#This Row],[INVERSIONES FCI]])</f>
        <v>74342214793.636902</v>
      </c>
      <c r="I298" s="5">
        <f>IF($B297&lt;=Tabla5[[#This Row],[INVERSIONES FCI]],+Tabla5[[#This Row],[INVERSIONES FCI]]-I297,Tabla5[[#This Row],[INVERSIONES FCI]])</f>
        <v>74342214793.636902</v>
      </c>
      <c r="J298" s="5">
        <f>IF($B297&lt;=Tabla5[[#This Row],[INVERSIONES FCI]],+Tabla5[[#This Row],[INVERSIONES FCI]]-J297,Tabla5[[#This Row],[INVERSIONES FCI]])</f>
        <v>74342214793.636902</v>
      </c>
      <c r="K298" s="5">
        <f>IF($B297&lt;=Tabla5[[#This Row],[INVERSIONES FCI]],+Tabla5[[#This Row],[INVERSIONES FCI]]-K297,Tabla5[[#This Row],[INVERSIONES FCI]])</f>
        <v>74342214793.636902</v>
      </c>
      <c r="L298" s="5">
        <f>IF($B297&lt;=Tabla5[[#This Row],[INVERSIONES FCI]],+Tabla5[[#This Row],[INVERSIONES FCI]]-L297,Tabla5[[#This Row],[INVERSIONES FCI]])</f>
        <v>74342214793.636902</v>
      </c>
      <c r="M298" s="5">
        <f>IF($B297&lt;=Tabla5[[#This Row],[INVERSIONES FCI]],+Tabla5[[#This Row],[INVERSIONES FCI]]-M297,Tabla5[[#This Row],[INVERSIONES FCI]])</f>
        <v>74342214793.636902</v>
      </c>
      <c r="N298" s="5">
        <f>IF($B297&lt;=Tabla5[[#This Row],[INVERSIONES FCI]],+Tabla5[[#This Row],[INVERSIONES FCI]]-N297,Tabla5[[#This Row],[INVERSIONES FCI]])</f>
        <v>74342214793.636902</v>
      </c>
      <c r="O298" s="5">
        <f>IF($B297&lt;=Tabla5[[#This Row],[INVERSIONES FCI]],+Tabla5[[#This Row],[INVERSIONES FCI]]-O297,Tabla5[[#This Row],[INVERSIONES FCI]])</f>
        <v>74342214793.636902</v>
      </c>
      <c r="P298" s="5">
        <f>IF($B297&lt;=Tabla5[[#This Row],[INVERSIONES FCI]],+Tabla5[[#This Row],[INVERSIONES FCI]]-P297,Tabla5[[#This Row],[INVERSIONES FCI]])</f>
        <v>74342214793.636902</v>
      </c>
      <c r="Q298" s="5">
        <f>IF($B297&lt;=Tabla5[[#This Row],[INVERSIONES FCI]],+Tabla5[[#This Row],[INVERSIONES FCI]]-Q297,Tabla5[[#This Row],[INVERSIONES FCI]])</f>
        <v>74342214793.636902</v>
      </c>
      <c r="R298" s="5">
        <f>IF($B297&lt;=Tabla5[[#This Row],[INVERSIONES FCI]],+Tabla5[[#This Row],[INVERSIONES FCI]]-R297,Tabla5[[#This Row],[INVERSIONES FCI]])</f>
        <v>74342214793.636902</v>
      </c>
      <c r="S298" s="5">
        <f>IF($B297&lt;=Tabla5[[#This Row],[INVERSIONES FCI]],+Tabla5[[#This Row],[INVERSIONES FCI]]-S297,Tabla5[[#This Row],[INVERSIONES FCI]])</f>
        <v>74342214793.636902</v>
      </c>
      <c r="T298" s="5">
        <f>IF($B297&lt;=Tabla5[[#This Row],[INVERSIONES FCI]],+Tabla5[[#This Row],[INVERSIONES FCI]]-T297,Tabla5[[#This Row],[INVERSIONES FCI]])</f>
        <v>74342214793.636902</v>
      </c>
      <c r="U298" s="5">
        <f>IF($B297&lt;=Tabla5[[#This Row],[INVERSIONES FCI]],+Tabla5[[#This Row],[INVERSIONES FCI]]-U297,Tabla5[[#This Row],[INVERSIONES FCI]])</f>
        <v>74342214793.636902</v>
      </c>
      <c r="V298" s="5">
        <f>IF($B297&lt;=Tabla5[[#This Row],[INVERSIONES FCI]],+Tabla5[[#This Row],[INVERSIONES FCI]]-V297,Tabla5[[#This Row],[INVERSIONES FCI]])</f>
        <v>74342214793.636902</v>
      </c>
      <c r="W298" s="5">
        <f>IF($B297&lt;=Tabla5[[#This Row],[INVERSIONES FCI]],+Tabla5[[#This Row],[INVERSIONES FCI]]-W297,Tabla5[[#This Row],[INVERSIONES FCI]])</f>
        <v>74342214793.636902</v>
      </c>
      <c r="X298" s="5">
        <f>IF($B297&lt;=Tabla5[[#This Row],[INVERSIONES FCI]],+Tabla5[[#This Row],[INVERSIONES FCI]]-X297,Tabla5[[#This Row],[INVERSIONES FCI]])</f>
        <v>74342214793.636902</v>
      </c>
      <c r="Y298" s="5">
        <f>IF($B297&lt;=Tabla5[[#This Row],[INVERSIONES FCI]],+Tabla5[[#This Row],[INVERSIONES FCI]]-Y297,Tabla5[[#This Row],[INVERSIONES FCI]])</f>
        <v>74342214793.636902</v>
      </c>
      <c r="Z298" s="5">
        <f>IF($B297&lt;=Tabla5[[#This Row],[INVERSIONES FCI]],+Tabla5[[#This Row],[INVERSIONES FCI]]-Z297,Tabla5[[#This Row],[INVERSIONES FCI]])</f>
        <v>74342214793.636902</v>
      </c>
      <c r="AA298" s="5">
        <f>IF($B297&lt;=Tabla5[[#This Row],[INVERSIONES FCI]],+Tabla5[[#This Row],[INVERSIONES FCI]]-AA297,Tabla5[[#This Row],[INVERSIONES FCI]])</f>
        <v>74342214793.636902</v>
      </c>
      <c r="AB298" s="5">
        <f>IF($B297&lt;=Tabla5[[#This Row],[INVERSIONES FCI]],+Tabla5[[#This Row],[INVERSIONES FCI]]-AB297,Tabla5[[#This Row],[INVERSIONES FCI]])</f>
        <v>74342214793.636902</v>
      </c>
      <c r="AC298" s="5">
        <f>IF($B297&lt;=Tabla5[[#This Row],[INVERSIONES FCI]],+Tabla5[[#This Row],[INVERSIONES FCI]]-AC297,Tabla5[[#This Row],[INVERSIONES FCI]])</f>
        <v>74342214793.636902</v>
      </c>
      <c r="AD298" s="5">
        <f>IF($B297&lt;=Tabla5[[#This Row],[INVERSIONES FCI]],+Tabla5[[#This Row],[INVERSIONES FCI]]-AD297,Tabla5[[#This Row],[INVERSIONES FCI]])</f>
        <v>74342214793.636902</v>
      </c>
      <c r="AE298" s="5">
        <f>IF($B297&lt;=Tabla5[[#This Row],[INVERSIONES FCI]],+Tabla5[[#This Row],[INVERSIONES FCI]]-AE297,Tabla5[[#This Row],[INVERSIONES FCI]])</f>
        <v>74342214793.636902</v>
      </c>
      <c r="AF298" s="5">
        <f>IF($B297&lt;=Tabla5[[#This Row],[INVERSIONES FCI]],+Tabla5[[#This Row],[INVERSIONES FCI]]-AF297,Tabla5[[#This Row],[INVERSIONES FCI]])</f>
        <v>74342214793.636902</v>
      </c>
      <c r="AG298" s="5">
        <f>IF($B297&lt;=Tabla5[[#This Row],[INVERSIONES FCI]],+Tabla5[[#This Row],[INVERSIONES FCI]]-AG297,Tabla5[[#This Row],[INVERSIONES FCI]])</f>
        <v>74342214793.636902</v>
      </c>
      <c r="AH298" s="5">
        <f>IF($B297&lt;=Tabla5[[#This Row],[INVERSIONES FCI]],+Tabla5[[#This Row],[INVERSIONES FCI]]-AH297,Tabla5[[#This Row],[INVERSIONES FCI]])</f>
        <v>74342214793.636902</v>
      </c>
      <c r="AI298" s="5">
        <f>IF($B297&lt;=Tabla5[[#This Row],[INVERSIONES FCI]],+Tabla5[[#This Row],[INVERSIONES FCI]]-AI297,Tabla5[[#This Row],[INVERSIONES FCI]])</f>
        <v>74342214793.636902</v>
      </c>
      <c r="AJ298" s="5">
        <f>IF($B297&lt;=Tabla5[[#This Row],[INVERSIONES FCI]],+Tabla5[[#This Row],[INVERSIONES FCI]]-AJ297,Tabla5[[#This Row],[INVERSIONES FCI]])</f>
        <v>74342214793.636902</v>
      </c>
      <c r="AK298" s="5">
        <f>IF($B297&lt;=Tabla5[[#This Row],[INVERSIONES FCI]],+Tabla5[[#This Row],[INVERSIONES FCI]]-AK297,Tabla5[[#This Row],[INVERSIONES FCI]])</f>
        <v>74342214793.636902</v>
      </c>
      <c r="AL298" s="5">
        <f>IF($B297&lt;=Tabla5[[#This Row],[INVERSIONES FCI]],+Tabla5[[#This Row],[INVERSIONES FCI]]-AL297,Tabla5[[#This Row],[INVERSIONES FCI]])</f>
        <v>74342214793.636902</v>
      </c>
      <c r="AM298" s="5">
        <f>IF($B297&lt;=Tabla5[[#This Row],[INVERSIONES FCI]],+Tabla5[[#This Row],[INVERSIONES FCI]]-AM297,Tabla5[[#This Row],[INVERSIONES FCI]])</f>
        <v>74342214793.636902</v>
      </c>
      <c r="AN298" s="5">
        <f>IF($B297&lt;=Tabla5[[#This Row],[INVERSIONES FCI]],+Tabla5[[#This Row],[INVERSIONES FCI]]-AN297,Tabla5[[#This Row],[INVERSIONES FCI]])</f>
        <v>74342214793.636902</v>
      </c>
      <c r="AO298" s="5">
        <f>IF($B297&lt;=Tabla5[[#This Row],[INVERSIONES FCI]],+Tabla5[[#This Row],[INVERSIONES FCI]]-AO297,Tabla5[[#This Row],[INVERSIONES FCI]])</f>
        <v>74342214793.636902</v>
      </c>
      <c r="AP298" s="5">
        <f>IF($B297&lt;=Tabla5[[#This Row],[INVERSIONES FCI]],+Tabla5[[#This Row],[INVERSIONES FCI]]-AP297,Tabla5[[#This Row],[INVERSIONES FCI]])</f>
        <v>74342214793.636902</v>
      </c>
      <c r="AQ298" s="5">
        <f>IF($B297&lt;=Tabla5[[#This Row],[INVERSIONES FCI]],+Tabla5[[#This Row],[INVERSIONES FCI]]-AQ297,Tabla5[[#This Row],[INVERSIONES FCI]])</f>
        <v>74342214793.636902</v>
      </c>
      <c r="AR298" s="5">
        <f>IF($B297&lt;=Tabla5[[#This Row],[INVERSIONES FCI]],+Tabla5[[#This Row],[INVERSIONES FCI]]-AR297,Tabla5[[#This Row],[INVERSIONES FCI]])</f>
        <v>74342214793.636902</v>
      </c>
      <c r="AS298" s="5">
        <f>IF($B297&lt;=Tabla5[[#This Row],[INVERSIONES FCI]],+Tabla5[[#This Row],[INVERSIONES FCI]]-AS297,Tabla5[[#This Row],[INVERSIONES FCI]])</f>
        <v>74342214793.636902</v>
      </c>
      <c r="AT298" s="5">
        <f>IF($B297&lt;=Tabla5[[#This Row],[INVERSIONES FCI]],+Tabla5[[#This Row],[INVERSIONES FCI]]-AT297,Tabla5[[#This Row],[INVERSIONES FCI]])</f>
        <v>74342214793.636902</v>
      </c>
      <c r="AU298" s="5">
        <f>IF($B297&lt;=Tabla5[[#This Row],[INVERSIONES FCI]],+Tabla5[[#This Row],[INVERSIONES FCI]]-AU297,Tabla5[[#This Row],[INVERSIONES FCI]])</f>
        <v>74342214793.636902</v>
      </c>
      <c r="AV298" s="5">
        <f>IF($B297&lt;=Tabla5[[#This Row],[INVERSIONES FCI]],+Tabla5[[#This Row],[INVERSIONES FCI]]-AV297,Tabla5[[#This Row],[INVERSIONES FCI]])</f>
        <v>74342214793.636902</v>
      </c>
      <c r="AW298" s="5">
        <f>IF($B297&lt;=Tabla5[[#This Row],[INVERSIONES FCI]],+Tabla5[[#This Row],[INVERSIONES FCI]]-AW297,Tabla5[[#This Row],[INVERSIONES FCI]])</f>
        <v>74342214793.636902</v>
      </c>
      <c r="AX298" s="5">
        <f>IF($B297&lt;=Tabla5[[#This Row],[INVERSIONES FCI]],+Tabla5[[#This Row],[INVERSIONES FCI]]-AX297,Tabla5[[#This Row],[INVERSIONES FCI]])</f>
        <v>74342214793.636902</v>
      </c>
      <c r="AY298" s="5">
        <f>IF($B297&lt;=Tabla5[[#This Row],[INVERSIONES FCI]],+Tabla5[[#This Row],[INVERSIONES FCI]]-AY297,Tabla5[[#This Row],[INVERSIONES FCI]])</f>
        <v>74342214793.636902</v>
      </c>
      <c r="AZ298" s="5">
        <f>IF($B297&lt;=Tabla5[[#This Row],[INVERSIONES FCI]],+Tabla5[[#This Row],[INVERSIONES FCI]]-AZ297,Tabla5[[#This Row],[INVERSIONES FCI]])</f>
        <v>74342214793.636902</v>
      </c>
      <c r="BA298" s="5">
        <f>IF($B297&lt;=Tabla5[[#This Row],[INVERSIONES FCI]],+Tabla5[[#This Row],[INVERSIONES FCI]]-BA297,Tabla5[[#This Row],[INVERSIONES FCI]])</f>
        <v>74342214793.636902</v>
      </c>
      <c r="BB298" s="5">
        <f>IF($B297&lt;=Tabla5[[#This Row],[INVERSIONES FCI]],+Tabla5[[#This Row],[INVERSIONES FCI]]-BB297,Tabla5[[#This Row],[INVERSIONES FCI]])</f>
        <v>74342214793.636902</v>
      </c>
      <c r="BC298" s="5">
        <f>IF($B297&lt;=Tabla5[[#This Row],[INVERSIONES FCI]],+Tabla5[[#This Row],[INVERSIONES FCI]]-BC297,Tabla5[[#This Row],[INVERSIONES FCI]])</f>
        <v>74342214793.636902</v>
      </c>
      <c r="BD298" s="5">
        <f>IF($B297&lt;=Tabla5[[#This Row],[INVERSIONES FCI]],+Tabla5[[#This Row],[INVERSIONES FCI]]-BD297,Tabla5[[#This Row],[INVERSIONES FCI]])</f>
        <v>74342214793.636902</v>
      </c>
      <c r="BE298" s="5">
        <f>IF($B297&lt;=Tabla5[[#This Row],[INVERSIONES FCI]],+Tabla5[[#This Row],[INVERSIONES FCI]]-BE297,Tabla5[[#This Row],[INVERSIONES FCI]])</f>
        <v>74342214793.636902</v>
      </c>
      <c r="BF298" s="5">
        <f>IF($B297&lt;=Tabla5[[#This Row],[INVERSIONES FCI]],+Tabla5[[#This Row],[INVERSIONES FCI]]-BF297,Tabla5[[#This Row],[INVERSIONES FCI]])</f>
        <v>74342214793.636902</v>
      </c>
      <c r="BG298" s="5">
        <f>IF($B297&lt;=Tabla5[[#This Row],[INVERSIONES FCI]],+Tabla5[[#This Row],[INVERSIONES FCI]]-BG297,Tabla5[[#This Row],[INVERSIONES FCI]])</f>
        <v>74342214793.636902</v>
      </c>
      <c r="BH298" s="5">
        <f>IF($B297&lt;=Tabla5[[#This Row],[INVERSIONES FCI]],+Tabla5[[#This Row],[INVERSIONES FCI]]-BH297,Tabla5[[#This Row],[INVERSIONES FCI]])</f>
        <v>74342214793.636902</v>
      </c>
      <c r="BI298" s="5">
        <f>IF($B297&lt;=Tabla5[[#This Row],[INVERSIONES FCI]],+Tabla5[[#This Row],[INVERSIONES FCI]]-BI297,Tabla5[[#This Row],[INVERSIONES FCI]])</f>
        <v>74342214793.636902</v>
      </c>
      <c r="BJ298" s="5">
        <f>IF($B297&lt;=Tabla5[[#This Row],[INVERSIONES FCI]],+Tabla5[[#This Row],[INVERSIONES FCI]]-BJ297,Tabla5[[#This Row],[INVERSIONES FCI]])</f>
        <v>74342214793.636902</v>
      </c>
      <c r="BK298" s="5">
        <f>IF($B297&lt;=Tabla5[[#This Row],[INVERSIONES FCI]],+Tabla5[[#This Row],[INVERSIONES FCI]]-BK297,Tabla5[[#This Row],[INVERSIONES FCI]])</f>
        <v>74342214793.636902</v>
      </c>
      <c r="BL298" s="5">
        <f>IF($B297&lt;=Tabla5[[#This Row],[INVERSIONES FCI]],+Tabla5[[#This Row],[INVERSIONES FCI]]-BL297,Tabla5[[#This Row],[INVERSIONES FCI]])</f>
        <v>74342214793.636902</v>
      </c>
      <c r="BM298" s="5">
        <f>IF($B297&lt;=Tabla5[[#This Row],[INVERSIONES FCI]],+Tabla5[[#This Row],[INVERSIONES FCI]]-BM297,Tabla5[[#This Row],[INVERSIONES FCI]])</f>
        <v>74342214793.636902</v>
      </c>
      <c r="BN298" s="5">
        <f>IF($B297&lt;=Tabla5[[#This Row],[INVERSIONES FCI]],+Tabla5[[#This Row],[INVERSIONES FCI]]-BN297,Tabla5[[#This Row],[INVERSIONES FCI]])</f>
        <v>74342214793.636902</v>
      </c>
      <c r="BO298" s="5">
        <f>IF($B297&lt;=Tabla5[[#This Row],[INVERSIONES FCI]],+Tabla5[[#This Row],[INVERSIONES FCI]]-BO297,Tabla5[[#This Row],[INVERSIONES FCI]])</f>
        <v>74342214793.636902</v>
      </c>
      <c r="BP298" s="5">
        <f>IF($B297&lt;=Tabla5[[#This Row],[INVERSIONES FCI]],+Tabla5[[#This Row],[INVERSIONES FCI]]-BP297,Tabla5[[#This Row],[INVERSIONES FCI]])</f>
        <v>74342214793.636902</v>
      </c>
      <c r="BQ298" s="5">
        <f>IF($B297&lt;=Tabla5[[#This Row],[INVERSIONES FCI]],+Tabla5[[#This Row],[INVERSIONES FCI]]-BQ297,Tabla5[[#This Row],[INVERSIONES FCI]])</f>
        <v>74342214793.636902</v>
      </c>
      <c r="BR298" s="5">
        <f>IF($B297&lt;=Tabla5[[#This Row],[INVERSIONES FCI]],+Tabla5[[#This Row],[INVERSIONES FCI]]-BR297,Tabla5[[#This Row],[INVERSIONES FCI]])</f>
        <v>74342214793.636902</v>
      </c>
      <c r="BS298" s="5">
        <f>IF($B297&lt;=Tabla5[[#This Row],[INVERSIONES FCI]],+Tabla5[[#This Row],[INVERSIONES FCI]]-BS297,Tabla5[[#This Row],[INVERSIONES FCI]])</f>
        <v>74342214793.636902</v>
      </c>
      <c r="BT298" s="5">
        <f>IF($B297&lt;=Tabla5[[#This Row],[INVERSIONES FCI]],+Tabla5[[#This Row],[INVERSIONES FCI]]-BT297,Tabla5[[#This Row],[INVERSIONES FCI]])</f>
        <v>74342214793.636902</v>
      </c>
      <c r="BU298" s="5">
        <f>IF($B297&lt;=Tabla5[[#This Row],[INVERSIONES FCI]],+Tabla5[[#This Row],[INVERSIONES FCI]]-BU297,Tabla5[[#This Row],[INVERSIONES FCI]])</f>
        <v>74342214793.636902</v>
      </c>
      <c r="BV298" s="5">
        <f>IF($B297&lt;=Tabla5[[#This Row],[INVERSIONES FCI]],+Tabla5[[#This Row],[INVERSIONES FCI]]-BV297,Tabla5[[#This Row],[INVERSIONES FCI]])</f>
        <v>74342214793.636902</v>
      </c>
      <c r="BW298" s="5">
        <f>IF($B297&lt;=Tabla5[[#This Row],[INVERSIONES FCI]],+Tabla5[[#This Row],[INVERSIONES FCI]]-BW297,Tabla5[[#This Row],[INVERSIONES FCI]])</f>
        <v>74342214793.636902</v>
      </c>
      <c r="BX298" s="5">
        <f>IF($B297&lt;=Tabla5[[#This Row],[INVERSIONES FCI]],+Tabla5[[#This Row],[INVERSIONES FCI]]-BX297,Tabla5[[#This Row],[INVERSIONES FCI]])</f>
        <v>74342214793.636902</v>
      </c>
      <c r="BY298" s="5">
        <f>IF($B297&lt;=Tabla5[[#This Row],[INVERSIONES FCI]],+Tabla5[[#This Row],[INVERSIONES FCI]]-BY297,Tabla5[[#This Row],[INVERSIONES FCI]])</f>
        <v>74342214793.636902</v>
      </c>
      <c r="BZ298" s="5">
        <f>IF($B297&lt;=Tabla5[[#This Row],[INVERSIONES FCI]],+Tabla5[[#This Row],[INVERSIONES FCI]]-BZ297,Tabla5[[#This Row],[INVERSIONES FCI]])</f>
        <v>74342214793.636902</v>
      </c>
      <c r="CA298" s="5">
        <f>IF($B297&lt;=Tabla5[[#This Row],[INVERSIONES FCI]],+Tabla5[[#This Row],[INVERSIONES FCI]]-CA297,Tabla5[[#This Row],[INVERSIONES FCI]])</f>
        <v>74342214793.636902</v>
      </c>
      <c r="CB298" s="5">
        <f>IF($B297&lt;=Tabla5[[#This Row],[INVERSIONES FCI]],+Tabla5[[#This Row],[INVERSIONES FCI]]-CB297,Tabla5[[#This Row],[INVERSIONES FCI]])</f>
        <v>74342214793.636902</v>
      </c>
      <c r="CC298" s="5">
        <f>IF($B297&lt;=Tabla5[[#This Row],[INVERSIONES FCI]],+Tabla5[[#This Row],[INVERSIONES FCI]]-CC297,Tabla5[[#This Row],[INVERSIONES FCI]])</f>
        <v>74342214793.636902</v>
      </c>
      <c r="CD298" s="5">
        <f>IF($B297&lt;=Tabla5[[#This Row],[INVERSIONES FCI]],+Tabla5[[#This Row],[INVERSIONES FCI]]-CD297,Tabla5[[#This Row],[INVERSIONES FCI]])</f>
        <v>74342214793.636902</v>
      </c>
      <c r="CE298" s="5">
        <f>IF($B297&lt;=Tabla5[[#This Row],[INVERSIONES FCI]],+Tabla5[[#This Row],[INVERSIONES FCI]]-CE297,Tabla5[[#This Row],[INVERSIONES FCI]])</f>
        <v>74342214793.636902</v>
      </c>
      <c r="CF298" s="5">
        <f>IF($B297&lt;=Tabla5[[#This Row],[INVERSIONES FCI]],+Tabla5[[#This Row],[INVERSIONES FCI]]-CF297,Tabla5[[#This Row],[INVERSIONES FCI]])</f>
        <v>74342214793.636902</v>
      </c>
      <c r="CG298" s="5">
        <f>IF($B297&lt;=Tabla5[[#This Row],[INVERSIONES FCI]],+Tabla5[[#This Row],[INVERSIONES FCI]]-CG297,Tabla5[[#This Row],[INVERSIONES FCI]])</f>
        <v>74342214793.636902</v>
      </c>
      <c r="CH298" s="5">
        <f>IF($B297&lt;=Tabla5[[#This Row],[INVERSIONES FCI]],+Tabla5[[#This Row],[INVERSIONES FCI]]-CH297,Tabla5[[#This Row],[INVERSIONES FCI]])</f>
        <v>74342214793.636902</v>
      </c>
      <c r="CI298" s="5">
        <f>IF($B297&lt;=Tabla5[[#This Row],[INVERSIONES FCI]],+Tabla5[[#This Row],[INVERSIONES FCI]]-CI297,Tabla5[[#This Row],[INVERSIONES FCI]])</f>
        <v>74342214793.636902</v>
      </c>
      <c r="CJ298" s="5">
        <f>IF($B297&lt;=Tabla5[[#This Row],[INVERSIONES FCI]],+Tabla5[[#This Row],[INVERSIONES FCI]]-CJ297,Tabla5[[#This Row],[INVERSIONES FCI]])</f>
        <v>74342214793.636902</v>
      </c>
      <c r="CK298" s="5">
        <f>IF($B297&lt;=Tabla5[[#This Row],[INVERSIONES FCI]],+Tabla5[[#This Row],[INVERSIONES FCI]]-CK297,Tabla5[[#This Row],[INVERSIONES FCI]])</f>
        <v>74342214793.636902</v>
      </c>
      <c r="CL298" s="5">
        <f>IF($B297&lt;=Tabla5[[#This Row],[INVERSIONES FCI]],+Tabla5[[#This Row],[INVERSIONES FCI]]-CL297,Tabla5[[#This Row],[INVERSIONES FCI]])</f>
        <v>74342214793.636902</v>
      </c>
      <c r="CM298" s="5">
        <f>IF($B297&lt;=Tabla5[[#This Row],[INVERSIONES FCI]],+Tabla5[[#This Row],[INVERSIONES FCI]]-CM297,Tabla5[[#This Row],[INVERSIONES FCI]])</f>
        <v>74342214793.636902</v>
      </c>
      <c r="CN298" s="5">
        <f>IF($B297&lt;=Tabla5[[#This Row],[INVERSIONES FCI]],+Tabla5[[#This Row],[INVERSIONES FCI]]-CN297,Tabla5[[#This Row],[INVERSIONES FCI]])</f>
        <v>74342214793.636902</v>
      </c>
      <c r="CO298" s="5">
        <f>IF($B297&lt;=Tabla5[[#This Row],[INVERSIONES FCI]],+Tabla5[[#This Row],[INVERSIONES FCI]]-CO297,Tabla5[[#This Row],[INVERSIONES FCI]])</f>
        <v>74342214793.636902</v>
      </c>
      <c r="CP298" s="5">
        <f>IF($B297&lt;=Tabla5[[#This Row],[INVERSIONES FCI]],+Tabla5[[#This Row],[INVERSIONES FCI]]-CP297,Tabla5[[#This Row],[INVERSIONES FCI]])</f>
        <v>74342214793.636902</v>
      </c>
      <c r="CQ298" s="5">
        <f>IF($B297&lt;=Tabla5[[#This Row],[INVERSIONES FCI]],+Tabla5[[#This Row],[INVERSIONES FCI]]-CQ297,Tabla5[[#This Row],[INVERSIONES FCI]])</f>
        <v>74342214793.636902</v>
      </c>
      <c r="CR298" s="5">
        <f>IF($B297&lt;=Tabla5[[#This Row],[INVERSIONES FCI]],+Tabla5[[#This Row],[INVERSIONES FCI]]-CR297,Tabla5[[#This Row],[INVERSIONES FCI]])</f>
        <v>74342214793.636902</v>
      </c>
      <c r="CS298" s="5">
        <f>IF($B297&lt;=Tabla5[[#This Row],[INVERSIONES FCI]],+Tabla5[[#This Row],[INVERSIONES FCI]]-CS297,Tabla5[[#This Row],[INVERSIONES FCI]])</f>
        <v>74342214793.636902</v>
      </c>
      <c r="CT298" s="5">
        <f>IF($B297&lt;=Tabla5[[#This Row],[INVERSIONES FCI]],+Tabla5[[#This Row],[INVERSIONES FCI]]-CT297,Tabla5[[#This Row],[INVERSIONES FCI]])</f>
        <v>74342214793.636902</v>
      </c>
      <c r="CU298" s="5">
        <f>IF($B297&lt;=Tabla5[[#This Row],[INVERSIONES FCI]],+Tabla5[[#This Row],[INVERSIONES FCI]]-CU297,Tabla5[[#This Row],[INVERSIONES FCI]])</f>
        <v>74342214793.636902</v>
      </c>
      <c r="CV298" s="5">
        <f>IF($B297&lt;=Tabla5[[#This Row],[INVERSIONES FCI]],+Tabla5[[#This Row],[INVERSIONES FCI]]-CV297,Tabla5[[#This Row],[INVERSIONES FCI]])</f>
        <v>74342214793.636902</v>
      </c>
      <c r="CW298" s="5">
        <f>IF($B297&lt;=Tabla5[[#This Row],[INVERSIONES FCI]],+Tabla5[[#This Row],[INVERSIONES FCI]]-CW297,Tabla5[[#This Row],[INVERSIONES FCI]])</f>
        <v>74342214793.636902</v>
      </c>
      <c r="CX298" s="5">
        <f>IF($B297&lt;=Tabla5[[#This Row],[INVERSIONES FCI]],+Tabla5[[#This Row],[INVERSIONES FCI]]-CX297,Tabla5[[#This Row],[INVERSIONES FCI]])</f>
        <v>74342214793.636902</v>
      </c>
      <c r="CY298" s="5">
        <f>IF($B297&lt;=Tabla5[[#This Row],[INVERSIONES FCI]],+Tabla5[[#This Row],[INVERSIONES FCI]]-CY297,Tabla5[[#This Row],[INVERSIONES FCI]])</f>
        <v>74342214793.636902</v>
      </c>
      <c r="CZ298" s="5">
        <f>IF($B297&lt;=Tabla5[[#This Row],[INVERSIONES FCI]],+Tabla5[[#This Row],[INVERSIONES FCI]]-CZ297,Tabla5[[#This Row],[INVERSIONES FCI]])</f>
        <v>74342214793.636902</v>
      </c>
      <c r="DA298" s="5">
        <f>IF($B297&lt;=Tabla5[[#This Row],[INVERSIONES FCI]],+Tabla5[[#This Row],[INVERSIONES FCI]]-DA297,Tabla5[[#This Row],[INVERSIONES FCI]])</f>
        <v>74342214793.636902</v>
      </c>
      <c r="DB298" s="5">
        <f>IF($B297&lt;=Tabla5[[#This Row],[INVERSIONES FCI]],+Tabla5[[#This Row],[INVERSIONES FCI]]-DB297,Tabla5[[#This Row],[INVERSIONES FCI]])</f>
        <v>74342214793.636902</v>
      </c>
      <c r="DC298" s="5">
        <f>IF($B297&lt;=Tabla5[[#This Row],[INVERSIONES FCI]],+Tabla5[[#This Row],[INVERSIONES FCI]]-DC297,Tabla5[[#This Row],[INVERSIONES FCI]])</f>
        <v>74342214793.636902</v>
      </c>
      <c r="DD298" s="5">
        <f>IF($B297&lt;=Tabla5[[#This Row],[INVERSIONES FCI]],+Tabla5[[#This Row],[INVERSIONES FCI]]-DD297,Tabla5[[#This Row],[INVERSIONES FCI]])</f>
        <v>74342214793.636902</v>
      </c>
      <c r="DE298" s="5">
        <f>IF($B297&lt;=Tabla5[[#This Row],[INVERSIONES FCI]],+Tabla5[[#This Row],[INVERSIONES FCI]]-DE297,Tabla5[[#This Row],[INVERSIONES FCI]])</f>
        <v>74342214793.636902</v>
      </c>
      <c r="DF298" s="5">
        <f>IF($B297&lt;=Tabla5[[#This Row],[INVERSIONES FCI]],+Tabla5[[#This Row],[INVERSIONES FCI]]-DF297,Tabla5[[#This Row],[INVERSIONES FCI]])</f>
        <v>74342214793.636902</v>
      </c>
      <c r="DG298" s="5">
        <f>IF($B297&lt;=Tabla5[[#This Row],[INVERSIONES FCI]],+Tabla5[[#This Row],[INVERSIONES FCI]]-DG297,Tabla5[[#This Row],[INVERSIONES FCI]])</f>
        <v>74342214793.636902</v>
      </c>
      <c r="DH298" s="5">
        <f>IF($B297&lt;=Tabla5[[#This Row],[INVERSIONES FCI]],+Tabla5[[#This Row],[INVERSIONES FCI]]-DH297,Tabla5[[#This Row],[INVERSIONES FCI]])</f>
        <v>74342214793.636902</v>
      </c>
      <c r="DI298" s="5">
        <f>IF($B297&lt;=Tabla5[[#This Row],[INVERSIONES FCI]],+Tabla5[[#This Row],[INVERSIONES FCI]]-DI297,Tabla5[[#This Row],[INVERSIONES FCI]])</f>
        <v>74342214793.636902</v>
      </c>
      <c r="DJ298" s="5">
        <f>IF($B297&lt;=Tabla5[[#This Row],[INVERSIONES FCI]],+Tabla5[[#This Row],[INVERSIONES FCI]]-DJ297,Tabla5[[#This Row],[INVERSIONES FCI]])</f>
        <v>74342214793.636902</v>
      </c>
      <c r="DK298" s="5">
        <f>IF($B297&lt;=Tabla5[[#This Row],[INVERSIONES FCI]],+Tabla5[[#This Row],[INVERSIONES FCI]]-DK297,Tabla5[[#This Row],[INVERSIONES FCI]])</f>
        <v>74342214793.636902</v>
      </c>
      <c r="DL298" s="5"/>
      <c r="DM298" s="5"/>
      <c r="DN298" s="5"/>
      <c r="DO298" s="5"/>
      <c r="DP298" s="5"/>
      <c r="DQ298" s="5"/>
    </row>
    <row r="299" spans="1:121" ht="14.4">
      <c r="A299" s="12" t="s">
        <v>298</v>
      </c>
      <c r="B299" s="5">
        <f>HLOOKUP($A299,ESCENARIO[#All],7,FALSE)</f>
        <v>76135832093.814316</v>
      </c>
      <c r="C299" s="5">
        <f>IF($B298&lt;=Tabla5[[#This Row],[INVERSIONES FCI]],+Tabla5[[#This Row],[INVERSIONES FCI]]-C298,Tabla5[[#This Row],[INVERSIONES FCI]])</f>
        <v>1793617300.1774139</v>
      </c>
      <c r="D299" s="5">
        <f>IF($B298&lt;=Tabla5[[#This Row],[INVERSIONES FCI]],+Tabla5[[#This Row],[INVERSIONES FCI]]-D298,Tabla5[[#This Row],[INVERSIONES FCI]])</f>
        <v>1793617300.1774139</v>
      </c>
      <c r="E299" s="5">
        <f>IF($B298&lt;=Tabla5[[#This Row],[INVERSIONES FCI]],+Tabla5[[#This Row],[INVERSIONES FCI]]-E298,Tabla5[[#This Row],[INVERSIONES FCI]])</f>
        <v>1793617300.1774139</v>
      </c>
      <c r="F299" s="5">
        <f>IF($B298&lt;=Tabla5[[#This Row],[INVERSIONES FCI]],+Tabla5[[#This Row],[INVERSIONES FCI]]-F298,Tabla5[[#This Row],[INVERSIONES FCI]])</f>
        <v>1793617300.1774139</v>
      </c>
      <c r="G299" s="5">
        <f>IF($B298&lt;=Tabla5[[#This Row],[INVERSIONES FCI]],+Tabla5[[#This Row],[INVERSIONES FCI]]-G298,Tabla5[[#This Row],[INVERSIONES FCI]])</f>
        <v>1793617300.1774139</v>
      </c>
      <c r="H299" s="5">
        <f>IF($B298&lt;=Tabla5[[#This Row],[INVERSIONES FCI]],+Tabla5[[#This Row],[INVERSIONES FCI]]-H298,Tabla5[[#This Row],[INVERSIONES FCI]])</f>
        <v>1793617300.1774139</v>
      </c>
      <c r="I299" s="5">
        <f>IF($B298&lt;=Tabla5[[#This Row],[INVERSIONES FCI]],+Tabla5[[#This Row],[INVERSIONES FCI]]-I298,Tabla5[[#This Row],[INVERSIONES FCI]])</f>
        <v>1793617300.1774139</v>
      </c>
      <c r="J299" s="5">
        <f>IF($B298&lt;=Tabla5[[#This Row],[INVERSIONES FCI]],+Tabla5[[#This Row],[INVERSIONES FCI]]-J298,Tabla5[[#This Row],[INVERSIONES FCI]])</f>
        <v>1793617300.1774139</v>
      </c>
      <c r="K299" s="5">
        <f>IF($B298&lt;=Tabla5[[#This Row],[INVERSIONES FCI]],+Tabla5[[#This Row],[INVERSIONES FCI]]-K298,Tabla5[[#This Row],[INVERSIONES FCI]])</f>
        <v>1793617300.1774139</v>
      </c>
      <c r="L299" s="5">
        <f>IF($B298&lt;=Tabla5[[#This Row],[INVERSIONES FCI]],+Tabla5[[#This Row],[INVERSIONES FCI]]-L298,Tabla5[[#This Row],[INVERSIONES FCI]])</f>
        <v>1793617300.1774139</v>
      </c>
      <c r="M299" s="5">
        <f>IF($B298&lt;=Tabla5[[#This Row],[INVERSIONES FCI]],+Tabla5[[#This Row],[INVERSIONES FCI]]-M298,Tabla5[[#This Row],[INVERSIONES FCI]])</f>
        <v>1793617300.1774139</v>
      </c>
      <c r="N299" s="5">
        <f>IF($B298&lt;=Tabla5[[#This Row],[INVERSIONES FCI]],+Tabla5[[#This Row],[INVERSIONES FCI]]-N298,Tabla5[[#This Row],[INVERSIONES FCI]])</f>
        <v>1793617300.1774139</v>
      </c>
      <c r="O299" s="5">
        <f>IF($B298&lt;=Tabla5[[#This Row],[INVERSIONES FCI]],+Tabla5[[#This Row],[INVERSIONES FCI]]-O298,Tabla5[[#This Row],[INVERSIONES FCI]])</f>
        <v>1793617300.1774139</v>
      </c>
      <c r="P299" s="5">
        <f>IF($B298&lt;=Tabla5[[#This Row],[INVERSIONES FCI]],+Tabla5[[#This Row],[INVERSIONES FCI]]-P298,Tabla5[[#This Row],[INVERSIONES FCI]])</f>
        <v>1793617300.1774139</v>
      </c>
      <c r="Q299" s="5">
        <f>IF($B298&lt;=Tabla5[[#This Row],[INVERSIONES FCI]],+Tabla5[[#This Row],[INVERSIONES FCI]]-Q298,Tabla5[[#This Row],[INVERSIONES FCI]])</f>
        <v>1793617300.1774139</v>
      </c>
      <c r="R299" s="5">
        <f>IF($B298&lt;=Tabla5[[#This Row],[INVERSIONES FCI]],+Tabla5[[#This Row],[INVERSIONES FCI]]-R298,Tabla5[[#This Row],[INVERSIONES FCI]])</f>
        <v>1793617300.1774139</v>
      </c>
      <c r="S299" s="5">
        <f>IF($B298&lt;=Tabla5[[#This Row],[INVERSIONES FCI]],+Tabla5[[#This Row],[INVERSIONES FCI]]-S298,Tabla5[[#This Row],[INVERSIONES FCI]])</f>
        <v>1793617300.1774139</v>
      </c>
      <c r="T299" s="5">
        <f>IF($B298&lt;=Tabla5[[#This Row],[INVERSIONES FCI]],+Tabla5[[#This Row],[INVERSIONES FCI]]-T298,Tabla5[[#This Row],[INVERSIONES FCI]])</f>
        <v>1793617300.1774139</v>
      </c>
      <c r="U299" s="5">
        <f>IF($B298&lt;=Tabla5[[#This Row],[INVERSIONES FCI]],+Tabla5[[#This Row],[INVERSIONES FCI]]-U298,Tabla5[[#This Row],[INVERSIONES FCI]])</f>
        <v>1793617300.1774139</v>
      </c>
      <c r="V299" s="5">
        <f>IF($B298&lt;=Tabla5[[#This Row],[INVERSIONES FCI]],+Tabla5[[#This Row],[INVERSIONES FCI]]-V298,Tabla5[[#This Row],[INVERSIONES FCI]])</f>
        <v>1793617300.1774139</v>
      </c>
      <c r="W299" s="5">
        <f>IF($B298&lt;=Tabla5[[#This Row],[INVERSIONES FCI]],+Tabla5[[#This Row],[INVERSIONES FCI]]-W298,Tabla5[[#This Row],[INVERSIONES FCI]])</f>
        <v>1793617300.1774139</v>
      </c>
      <c r="X299" s="5">
        <f>IF($B298&lt;=Tabla5[[#This Row],[INVERSIONES FCI]],+Tabla5[[#This Row],[INVERSIONES FCI]]-X298,Tabla5[[#This Row],[INVERSIONES FCI]])</f>
        <v>1793617300.1774139</v>
      </c>
      <c r="Y299" s="5">
        <f>IF($B298&lt;=Tabla5[[#This Row],[INVERSIONES FCI]],+Tabla5[[#This Row],[INVERSIONES FCI]]-Y298,Tabla5[[#This Row],[INVERSIONES FCI]])</f>
        <v>1793617300.1774139</v>
      </c>
      <c r="Z299" s="5">
        <f>IF($B298&lt;=Tabla5[[#This Row],[INVERSIONES FCI]],+Tabla5[[#This Row],[INVERSIONES FCI]]-Z298,Tabla5[[#This Row],[INVERSIONES FCI]])</f>
        <v>1793617300.1774139</v>
      </c>
      <c r="AA299" s="5">
        <f>IF($B298&lt;=Tabla5[[#This Row],[INVERSIONES FCI]],+Tabla5[[#This Row],[INVERSIONES FCI]]-AA298,Tabla5[[#This Row],[INVERSIONES FCI]])</f>
        <v>1793617300.1774139</v>
      </c>
      <c r="AB299" s="5">
        <f>IF($B298&lt;=Tabla5[[#This Row],[INVERSIONES FCI]],+Tabla5[[#This Row],[INVERSIONES FCI]]-AB298,Tabla5[[#This Row],[INVERSIONES FCI]])</f>
        <v>1793617300.1774139</v>
      </c>
      <c r="AC299" s="5">
        <f>IF($B298&lt;=Tabla5[[#This Row],[INVERSIONES FCI]],+Tabla5[[#This Row],[INVERSIONES FCI]]-AC298,Tabla5[[#This Row],[INVERSIONES FCI]])</f>
        <v>1793617300.1774139</v>
      </c>
      <c r="AD299" s="5">
        <f>IF($B298&lt;=Tabla5[[#This Row],[INVERSIONES FCI]],+Tabla5[[#This Row],[INVERSIONES FCI]]-AD298,Tabla5[[#This Row],[INVERSIONES FCI]])</f>
        <v>1793617300.1774139</v>
      </c>
      <c r="AE299" s="5">
        <f>IF($B298&lt;=Tabla5[[#This Row],[INVERSIONES FCI]],+Tabla5[[#This Row],[INVERSIONES FCI]]-AE298,Tabla5[[#This Row],[INVERSIONES FCI]])</f>
        <v>1793617300.1774139</v>
      </c>
      <c r="AF299" s="5">
        <f>IF($B298&lt;=Tabla5[[#This Row],[INVERSIONES FCI]],+Tabla5[[#This Row],[INVERSIONES FCI]]-AF298,Tabla5[[#This Row],[INVERSIONES FCI]])</f>
        <v>1793617300.1774139</v>
      </c>
      <c r="AG299" s="5">
        <f>IF($B298&lt;=Tabla5[[#This Row],[INVERSIONES FCI]],+Tabla5[[#This Row],[INVERSIONES FCI]]-AG298,Tabla5[[#This Row],[INVERSIONES FCI]])</f>
        <v>1793617300.1774139</v>
      </c>
      <c r="AH299" s="5">
        <f>IF($B298&lt;=Tabla5[[#This Row],[INVERSIONES FCI]],+Tabla5[[#This Row],[INVERSIONES FCI]]-AH298,Tabla5[[#This Row],[INVERSIONES FCI]])</f>
        <v>1793617300.1774139</v>
      </c>
      <c r="AI299" s="5">
        <f>IF($B298&lt;=Tabla5[[#This Row],[INVERSIONES FCI]],+Tabla5[[#This Row],[INVERSIONES FCI]]-AI298,Tabla5[[#This Row],[INVERSIONES FCI]])</f>
        <v>1793617300.1774139</v>
      </c>
      <c r="AJ299" s="5">
        <f>IF($B298&lt;=Tabla5[[#This Row],[INVERSIONES FCI]],+Tabla5[[#This Row],[INVERSIONES FCI]]-AJ298,Tabla5[[#This Row],[INVERSIONES FCI]])</f>
        <v>1793617300.1774139</v>
      </c>
      <c r="AK299" s="5">
        <f>IF($B298&lt;=Tabla5[[#This Row],[INVERSIONES FCI]],+Tabla5[[#This Row],[INVERSIONES FCI]]-AK298,Tabla5[[#This Row],[INVERSIONES FCI]])</f>
        <v>1793617300.1774139</v>
      </c>
      <c r="AL299" s="5">
        <f>IF($B298&lt;=Tabla5[[#This Row],[INVERSIONES FCI]],+Tabla5[[#This Row],[INVERSIONES FCI]]-AL298,Tabla5[[#This Row],[INVERSIONES FCI]])</f>
        <v>1793617300.1774139</v>
      </c>
      <c r="AM299" s="5">
        <f>IF($B298&lt;=Tabla5[[#This Row],[INVERSIONES FCI]],+Tabla5[[#This Row],[INVERSIONES FCI]]-AM298,Tabla5[[#This Row],[INVERSIONES FCI]])</f>
        <v>1793617300.1774139</v>
      </c>
      <c r="AN299" s="5">
        <f>IF($B298&lt;=Tabla5[[#This Row],[INVERSIONES FCI]],+Tabla5[[#This Row],[INVERSIONES FCI]]-AN298,Tabla5[[#This Row],[INVERSIONES FCI]])</f>
        <v>1793617300.1774139</v>
      </c>
      <c r="AO299" s="5">
        <f>IF($B298&lt;=Tabla5[[#This Row],[INVERSIONES FCI]],+Tabla5[[#This Row],[INVERSIONES FCI]]-AO298,Tabla5[[#This Row],[INVERSIONES FCI]])</f>
        <v>1793617300.1774139</v>
      </c>
      <c r="AP299" s="5">
        <f>IF($B298&lt;=Tabla5[[#This Row],[INVERSIONES FCI]],+Tabla5[[#This Row],[INVERSIONES FCI]]-AP298,Tabla5[[#This Row],[INVERSIONES FCI]])</f>
        <v>1793617300.1774139</v>
      </c>
      <c r="AQ299" s="5">
        <f>IF($B298&lt;=Tabla5[[#This Row],[INVERSIONES FCI]],+Tabla5[[#This Row],[INVERSIONES FCI]]-AQ298,Tabla5[[#This Row],[INVERSIONES FCI]])</f>
        <v>1793617300.1774139</v>
      </c>
      <c r="AR299" s="5">
        <f>IF($B298&lt;=Tabla5[[#This Row],[INVERSIONES FCI]],+Tabla5[[#This Row],[INVERSIONES FCI]]-AR298,Tabla5[[#This Row],[INVERSIONES FCI]])</f>
        <v>1793617300.1774139</v>
      </c>
      <c r="AS299" s="5">
        <f>IF($B298&lt;=Tabla5[[#This Row],[INVERSIONES FCI]],+Tabla5[[#This Row],[INVERSIONES FCI]]-AS298,Tabla5[[#This Row],[INVERSIONES FCI]])</f>
        <v>1793617300.1774139</v>
      </c>
      <c r="AT299" s="5">
        <f>IF($B298&lt;=Tabla5[[#This Row],[INVERSIONES FCI]],+Tabla5[[#This Row],[INVERSIONES FCI]]-AT298,Tabla5[[#This Row],[INVERSIONES FCI]])</f>
        <v>1793617300.1774139</v>
      </c>
      <c r="AU299" s="5">
        <f>IF($B298&lt;=Tabla5[[#This Row],[INVERSIONES FCI]],+Tabla5[[#This Row],[INVERSIONES FCI]]-AU298,Tabla5[[#This Row],[INVERSIONES FCI]])</f>
        <v>1793617300.1774139</v>
      </c>
      <c r="AV299" s="5">
        <f>IF($B298&lt;=Tabla5[[#This Row],[INVERSIONES FCI]],+Tabla5[[#This Row],[INVERSIONES FCI]]-AV298,Tabla5[[#This Row],[INVERSIONES FCI]])</f>
        <v>1793617300.1774139</v>
      </c>
      <c r="AW299" s="5">
        <f>IF($B298&lt;=Tabla5[[#This Row],[INVERSIONES FCI]],+Tabla5[[#This Row],[INVERSIONES FCI]]-AW298,Tabla5[[#This Row],[INVERSIONES FCI]])</f>
        <v>1793617300.1774139</v>
      </c>
      <c r="AX299" s="5">
        <f>IF($B298&lt;=Tabla5[[#This Row],[INVERSIONES FCI]],+Tabla5[[#This Row],[INVERSIONES FCI]]-AX298,Tabla5[[#This Row],[INVERSIONES FCI]])</f>
        <v>1793617300.1774139</v>
      </c>
      <c r="AY299" s="5">
        <f>IF($B298&lt;=Tabla5[[#This Row],[INVERSIONES FCI]],+Tabla5[[#This Row],[INVERSIONES FCI]]-AY298,Tabla5[[#This Row],[INVERSIONES FCI]])</f>
        <v>1793617300.1774139</v>
      </c>
      <c r="AZ299" s="5">
        <f>IF($B298&lt;=Tabla5[[#This Row],[INVERSIONES FCI]],+Tabla5[[#This Row],[INVERSIONES FCI]]-AZ298,Tabla5[[#This Row],[INVERSIONES FCI]])</f>
        <v>1793617300.1774139</v>
      </c>
      <c r="BA299" s="5">
        <f>IF($B298&lt;=Tabla5[[#This Row],[INVERSIONES FCI]],+Tabla5[[#This Row],[INVERSIONES FCI]]-BA298,Tabla5[[#This Row],[INVERSIONES FCI]])</f>
        <v>1793617300.1774139</v>
      </c>
      <c r="BB299" s="5">
        <f>IF($B298&lt;=Tabla5[[#This Row],[INVERSIONES FCI]],+Tabla5[[#This Row],[INVERSIONES FCI]]-BB298,Tabla5[[#This Row],[INVERSIONES FCI]])</f>
        <v>1793617300.1774139</v>
      </c>
      <c r="BC299" s="5">
        <f>IF($B298&lt;=Tabla5[[#This Row],[INVERSIONES FCI]],+Tabla5[[#This Row],[INVERSIONES FCI]]-BC298,Tabla5[[#This Row],[INVERSIONES FCI]])</f>
        <v>1793617300.1774139</v>
      </c>
      <c r="BD299" s="5">
        <f>IF($B298&lt;=Tabla5[[#This Row],[INVERSIONES FCI]],+Tabla5[[#This Row],[INVERSIONES FCI]]-BD298,Tabla5[[#This Row],[INVERSIONES FCI]])</f>
        <v>1793617300.1774139</v>
      </c>
      <c r="BE299" s="5">
        <f>IF($B298&lt;=Tabla5[[#This Row],[INVERSIONES FCI]],+Tabla5[[#This Row],[INVERSIONES FCI]]-BE298,Tabla5[[#This Row],[INVERSIONES FCI]])</f>
        <v>1793617300.1774139</v>
      </c>
      <c r="BF299" s="5">
        <f>IF($B298&lt;=Tabla5[[#This Row],[INVERSIONES FCI]],+Tabla5[[#This Row],[INVERSIONES FCI]]-BF298,Tabla5[[#This Row],[INVERSIONES FCI]])</f>
        <v>1793617300.1774139</v>
      </c>
      <c r="BG299" s="5">
        <f>IF($B298&lt;=Tabla5[[#This Row],[INVERSIONES FCI]],+Tabla5[[#This Row],[INVERSIONES FCI]]-BG298,Tabla5[[#This Row],[INVERSIONES FCI]])</f>
        <v>1793617300.1774139</v>
      </c>
      <c r="BH299" s="5">
        <f>IF($B298&lt;=Tabla5[[#This Row],[INVERSIONES FCI]],+Tabla5[[#This Row],[INVERSIONES FCI]]-BH298,Tabla5[[#This Row],[INVERSIONES FCI]])</f>
        <v>1793617300.1774139</v>
      </c>
      <c r="BI299" s="5">
        <f>IF($B298&lt;=Tabla5[[#This Row],[INVERSIONES FCI]],+Tabla5[[#This Row],[INVERSIONES FCI]]-BI298,Tabla5[[#This Row],[INVERSIONES FCI]])</f>
        <v>1793617300.1774139</v>
      </c>
      <c r="BJ299" s="5">
        <f>IF($B298&lt;=Tabla5[[#This Row],[INVERSIONES FCI]],+Tabla5[[#This Row],[INVERSIONES FCI]]-BJ298,Tabla5[[#This Row],[INVERSIONES FCI]])</f>
        <v>1793617300.1774139</v>
      </c>
      <c r="BK299" s="5">
        <f>IF($B298&lt;=Tabla5[[#This Row],[INVERSIONES FCI]],+Tabla5[[#This Row],[INVERSIONES FCI]]-BK298,Tabla5[[#This Row],[INVERSIONES FCI]])</f>
        <v>1793617300.1774139</v>
      </c>
      <c r="BL299" s="5">
        <f>IF($B298&lt;=Tabla5[[#This Row],[INVERSIONES FCI]],+Tabla5[[#This Row],[INVERSIONES FCI]]-BL298,Tabla5[[#This Row],[INVERSIONES FCI]])</f>
        <v>1793617300.1774139</v>
      </c>
      <c r="BM299" s="5">
        <f>IF($B298&lt;=Tabla5[[#This Row],[INVERSIONES FCI]],+Tabla5[[#This Row],[INVERSIONES FCI]]-BM298,Tabla5[[#This Row],[INVERSIONES FCI]])</f>
        <v>1793617300.1774139</v>
      </c>
      <c r="BN299" s="5">
        <f>IF($B298&lt;=Tabla5[[#This Row],[INVERSIONES FCI]],+Tabla5[[#This Row],[INVERSIONES FCI]]-BN298,Tabla5[[#This Row],[INVERSIONES FCI]])</f>
        <v>1793617300.1774139</v>
      </c>
      <c r="BO299" s="5">
        <f>IF($B298&lt;=Tabla5[[#This Row],[INVERSIONES FCI]],+Tabla5[[#This Row],[INVERSIONES FCI]]-BO298,Tabla5[[#This Row],[INVERSIONES FCI]])</f>
        <v>1793617300.1774139</v>
      </c>
      <c r="BP299" s="5">
        <f>IF($B298&lt;=Tabla5[[#This Row],[INVERSIONES FCI]],+Tabla5[[#This Row],[INVERSIONES FCI]]-BP298,Tabla5[[#This Row],[INVERSIONES FCI]])</f>
        <v>1793617300.1774139</v>
      </c>
      <c r="BQ299" s="5">
        <f>IF($B298&lt;=Tabla5[[#This Row],[INVERSIONES FCI]],+Tabla5[[#This Row],[INVERSIONES FCI]]-BQ298,Tabla5[[#This Row],[INVERSIONES FCI]])</f>
        <v>1793617300.1774139</v>
      </c>
      <c r="BR299" s="5">
        <f>IF($B298&lt;=Tabla5[[#This Row],[INVERSIONES FCI]],+Tabla5[[#This Row],[INVERSIONES FCI]]-BR298,Tabla5[[#This Row],[INVERSIONES FCI]])</f>
        <v>1793617300.1774139</v>
      </c>
      <c r="BS299" s="5">
        <f>IF($B298&lt;=Tabla5[[#This Row],[INVERSIONES FCI]],+Tabla5[[#This Row],[INVERSIONES FCI]]-BS298,Tabla5[[#This Row],[INVERSIONES FCI]])</f>
        <v>1793617300.1774139</v>
      </c>
      <c r="BT299" s="5">
        <f>IF($B298&lt;=Tabla5[[#This Row],[INVERSIONES FCI]],+Tabla5[[#This Row],[INVERSIONES FCI]]-BT298,Tabla5[[#This Row],[INVERSIONES FCI]])</f>
        <v>1793617300.1774139</v>
      </c>
      <c r="BU299" s="5">
        <f>IF($B298&lt;=Tabla5[[#This Row],[INVERSIONES FCI]],+Tabla5[[#This Row],[INVERSIONES FCI]]-BU298,Tabla5[[#This Row],[INVERSIONES FCI]])</f>
        <v>1793617300.1774139</v>
      </c>
      <c r="BV299" s="5">
        <f>IF($B298&lt;=Tabla5[[#This Row],[INVERSIONES FCI]],+Tabla5[[#This Row],[INVERSIONES FCI]]-BV298,Tabla5[[#This Row],[INVERSIONES FCI]])</f>
        <v>1793617300.1774139</v>
      </c>
      <c r="BW299" s="5">
        <f>IF($B298&lt;=Tabla5[[#This Row],[INVERSIONES FCI]],+Tabla5[[#This Row],[INVERSIONES FCI]]-BW298,Tabla5[[#This Row],[INVERSIONES FCI]])</f>
        <v>1793617300.1774139</v>
      </c>
      <c r="BX299" s="5">
        <f>IF($B298&lt;=Tabla5[[#This Row],[INVERSIONES FCI]],+Tabla5[[#This Row],[INVERSIONES FCI]]-BX298,Tabla5[[#This Row],[INVERSIONES FCI]])</f>
        <v>1793617300.1774139</v>
      </c>
      <c r="BY299" s="5">
        <f>IF($B298&lt;=Tabla5[[#This Row],[INVERSIONES FCI]],+Tabla5[[#This Row],[INVERSIONES FCI]]-BY298,Tabla5[[#This Row],[INVERSIONES FCI]])</f>
        <v>1793617300.1774139</v>
      </c>
      <c r="BZ299" s="5">
        <f>IF($B298&lt;=Tabla5[[#This Row],[INVERSIONES FCI]],+Tabla5[[#This Row],[INVERSIONES FCI]]-BZ298,Tabla5[[#This Row],[INVERSIONES FCI]])</f>
        <v>1793617300.1774139</v>
      </c>
      <c r="CA299" s="5">
        <f>IF($B298&lt;=Tabla5[[#This Row],[INVERSIONES FCI]],+Tabla5[[#This Row],[INVERSIONES FCI]]-CA298,Tabla5[[#This Row],[INVERSIONES FCI]])</f>
        <v>1793617300.1774139</v>
      </c>
      <c r="CB299" s="5">
        <f>IF($B298&lt;=Tabla5[[#This Row],[INVERSIONES FCI]],+Tabla5[[#This Row],[INVERSIONES FCI]]-CB298,Tabla5[[#This Row],[INVERSIONES FCI]])</f>
        <v>1793617300.1774139</v>
      </c>
      <c r="CC299" s="5">
        <f>IF($B298&lt;=Tabla5[[#This Row],[INVERSIONES FCI]],+Tabla5[[#This Row],[INVERSIONES FCI]]-CC298,Tabla5[[#This Row],[INVERSIONES FCI]])</f>
        <v>1793617300.1774139</v>
      </c>
      <c r="CD299" s="5">
        <f>IF($B298&lt;=Tabla5[[#This Row],[INVERSIONES FCI]],+Tabla5[[#This Row],[INVERSIONES FCI]]-CD298,Tabla5[[#This Row],[INVERSIONES FCI]])</f>
        <v>1793617300.1774139</v>
      </c>
      <c r="CE299" s="5">
        <f>IF($B298&lt;=Tabla5[[#This Row],[INVERSIONES FCI]],+Tabla5[[#This Row],[INVERSIONES FCI]]-CE298,Tabla5[[#This Row],[INVERSIONES FCI]])</f>
        <v>1793617300.1774139</v>
      </c>
      <c r="CF299" s="5">
        <f>IF($B298&lt;=Tabla5[[#This Row],[INVERSIONES FCI]],+Tabla5[[#This Row],[INVERSIONES FCI]]-CF298,Tabla5[[#This Row],[INVERSIONES FCI]])</f>
        <v>1793617300.1774139</v>
      </c>
      <c r="CG299" s="5">
        <f>IF($B298&lt;=Tabla5[[#This Row],[INVERSIONES FCI]],+Tabla5[[#This Row],[INVERSIONES FCI]]-CG298,Tabla5[[#This Row],[INVERSIONES FCI]])</f>
        <v>1793617300.1774139</v>
      </c>
      <c r="CH299" s="5">
        <f>IF($B298&lt;=Tabla5[[#This Row],[INVERSIONES FCI]],+Tabla5[[#This Row],[INVERSIONES FCI]]-CH298,Tabla5[[#This Row],[INVERSIONES FCI]])</f>
        <v>1793617300.1774139</v>
      </c>
      <c r="CI299" s="5">
        <f>IF($B298&lt;=Tabla5[[#This Row],[INVERSIONES FCI]],+Tabla5[[#This Row],[INVERSIONES FCI]]-CI298,Tabla5[[#This Row],[INVERSIONES FCI]])</f>
        <v>1793617300.1774139</v>
      </c>
      <c r="CJ299" s="5">
        <f>IF($B298&lt;=Tabla5[[#This Row],[INVERSIONES FCI]],+Tabla5[[#This Row],[INVERSIONES FCI]]-CJ298,Tabla5[[#This Row],[INVERSIONES FCI]])</f>
        <v>1793617300.1774139</v>
      </c>
      <c r="CK299" s="5">
        <f>IF($B298&lt;=Tabla5[[#This Row],[INVERSIONES FCI]],+Tabla5[[#This Row],[INVERSIONES FCI]]-CK298,Tabla5[[#This Row],[INVERSIONES FCI]])</f>
        <v>1793617300.1774139</v>
      </c>
      <c r="CL299" s="5">
        <f>IF($B298&lt;=Tabla5[[#This Row],[INVERSIONES FCI]],+Tabla5[[#This Row],[INVERSIONES FCI]]-CL298,Tabla5[[#This Row],[INVERSIONES FCI]])</f>
        <v>1793617300.1774139</v>
      </c>
      <c r="CM299" s="5">
        <f>IF($B298&lt;=Tabla5[[#This Row],[INVERSIONES FCI]],+Tabla5[[#This Row],[INVERSIONES FCI]]-CM298,Tabla5[[#This Row],[INVERSIONES FCI]])</f>
        <v>1793617300.1774139</v>
      </c>
      <c r="CN299" s="5">
        <f>IF($B298&lt;=Tabla5[[#This Row],[INVERSIONES FCI]],+Tabla5[[#This Row],[INVERSIONES FCI]]-CN298,Tabla5[[#This Row],[INVERSIONES FCI]])</f>
        <v>1793617300.1774139</v>
      </c>
      <c r="CO299" s="5">
        <f>IF($B298&lt;=Tabla5[[#This Row],[INVERSIONES FCI]],+Tabla5[[#This Row],[INVERSIONES FCI]]-CO298,Tabla5[[#This Row],[INVERSIONES FCI]])</f>
        <v>1793617300.1774139</v>
      </c>
      <c r="CP299" s="5">
        <f>IF($B298&lt;=Tabla5[[#This Row],[INVERSIONES FCI]],+Tabla5[[#This Row],[INVERSIONES FCI]]-CP298,Tabla5[[#This Row],[INVERSIONES FCI]])</f>
        <v>1793617300.1774139</v>
      </c>
      <c r="CQ299" s="5">
        <f>IF($B298&lt;=Tabla5[[#This Row],[INVERSIONES FCI]],+Tabla5[[#This Row],[INVERSIONES FCI]]-CQ298,Tabla5[[#This Row],[INVERSIONES FCI]])</f>
        <v>1793617300.1774139</v>
      </c>
      <c r="CR299" s="5">
        <f>IF($B298&lt;=Tabla5[[#This Row],[INVERSIONES FCI]],+Tabla5[[#This Row],[INVERSIONES FCI]]-CR298,Tabla5[[#This Row],[INVERSIONES FCI]])</f>
        <v>1793617300.1774139</v>
      </c>
      <c r="CS299" s="5">
        <f>IF($B298&lt;=Tabla5[[#This Row],[INVERSIONES FCI]],+Tabla5[[#This Row],[INVERSIONES FCI]]-CS298,Tabla5[[#This Row],[INVERSIONES FCI]])</f>
        <v>1793617300.1774139</v>
      </c>
      <c r="CT299" s="5">
        <f>IF($B298&lt;=Tabla5[[#This Row],[INVERSIONES FCI]],+Tabla5[[#This Row],[INVERSIONES FCI]]-CT298,Tabla5[[#This Row],[INVERSIONES FCI]])</f>
        <v>1793617300.1774139</v>
      </c>
      <c r="CU299" s="5">
        <f>IF($B298&lt;=Tabla5[[#This Row],[INVERSIONES FCI]],+Tabla5[[#This Row],[INVERSIONES FCI]]-CU298,Tabla5[[#This Row],[INVERSIONES FCI]])</f>
        <v>1793617300.1774139</v>
      </c>
      <c r="CV299" s="5">
        <f>IF($B298&lt;=Tabla5[[#This Row],[INVERSIONES FCI]],+Tabla5[[#This Row],[INVERSIONES FCI]]-CV298,Tabla5[[#This Row],[INVERSIONES FCI]])</f>
        <v>1793617300.1774139</v>
      </c>
      <c r="CW299" s="5">
        <f>IF($B298&lt;=Tabla5[[#This Row],[INVERSIONES FCI]],+Tabla5[[#This Row],[INVERSIONES FCI]]-CW298,Tabla5[[#This Row],[INVERSIONES FCI]])</f>
        <v>1793617300.1774139</v>
      </c>
      <c r="CX299" s="5">
        <f>IF($B298&lt;=Tabla5[[#This Row],[INVERSIONES FCI]],+Tabla5[[#This Row],[INVERSIONES FCI]]-CX298,Tabla5[[#This Row],[INVERSIONES FCI]])</f>
        <v>1793617300.1774139</v>
      </c>
      <c r="CY299" s="5">
        <f>IF($B298&lt;=Tabla5[[#This Row],[INVERSIONES FCI]],+Tabla5[[#This Row],[INVERSIONES FCI]]-CY298,Tabla5[[#This Row],[INVERSIONES FCI]])</f>
        <v>1793617300.1774139</v>
      </c>
      <c r="CZ299" s="5">
        <f>IF($B298&lt;=Tabla5[[#This Row],[INVERSIONES FCI]],+Tabla5[[#This Row],[INVERSIONES FCI]]-CZ298,Tabla5[[#This Row],[INVERSIONES FCI]])</f>
        <v>1793617300.1774139</v>
      </c>
      <c r="DA299" s="5">
        <f>IF($B298&lt;=Tabla5[[#This Row],[INVERSIONES FCI]],+Tabla5[[#This Row],[INVERSIONES FCI]]-DA298,Tabla5[[#This Row],[INVERSIONES FCI]])</f>
        <v>1793617300.1774139</v>
      </c>
      <c r="DB299" s="5">
        <f>IF($B298&lt;=Tabla5[[#This Row],[INVERSIONES FCI]],+Tabla5[[#This Row],[INVERSIONES FCI]]-DB298,Tabla5[[#This Row],[INVERSIONES FCI]])</f>
        <v>1793617300.1774139</v>
      </c>
      <c r="DC299" s="5">
        <f>IF($B298&lt;=Tabla5[[#This Row],[INVERSIONES FCI]],+Tabla5[[#This Row],[INVERSIONES FCI]]-DC298,Tabla5[[#This Row],[INVERSIONES FCI]])</f>
        <v>1793617300.1774139</v>
      </c>
      <c r="DD299" s="5">
        <f>IF($B298&lt;=Tabla5[[#This Row],[INVERSIONES FCI]],+Tabla5[[#This Row],[INVERSIONES FCI]]-DD298,Tabla5[[#This Row],[INVERSIONES FCI]])</f>
        <v>1793617300.1774139</v>
      </c>
      <c r="DE299" s="5">
        <f>IF($B298&lt;=Tabla5[[#This Row],[INVERSIONES FCI]],+Tabla5[[#This Row],[INVERSIONES FCI]]-DE298,Tabla5[[#This Row],[INVERSIONES FCI]])</f>
        <v>1793617300.1774139</v>
      </c>
      <c r="DF299" s="5">
        <f>IF($B298&lt;=Tabla5[[#This Row],[INVERSIONES FCI]],+Tabla5[[#This Row],[INVERSIONES FCI]]-DF298,Tabla5[[#This Row],[INVERSIONES FCI]])</f>
        <v>1793617300.1774139</v>
      </c>
      <c r="DG299" s="5">
        <f>IF($B298&lt;=Tabla5[[#This Row],[INVERSIONES FCI]],+Tabla5[[#This Row],[INVERSIONES FCI]]-DG298,Tabla5[[#This Row],[INVERSIONES FCI]])</f>
        <v>1793617300.1774139</v>
      </c>
      <c r="DH299" s="5">
        <f>IF($B298&lt;=Tabla5[[#This Row],[INVERSIONES FCI]],+Tabla5[[#This Row],[INVERSIONES FCI]]-DH298,Tabla5[[#This Row],[INVERSIONES FCI]])</f>
        <v>1793617300.1774139</v>
      </c>
      <c r="DI299" s="5">
        <f>IF($B298&lt;=Tabla5[[#This Row],[INVERSIONES FCI]],+Tabla5[[#This Row],[INVERSIONES FCI]]-DI298,Tabla5[[#This Row],[INVERSIONES FCI]])</f>
        <v>1793617300.1774139</v>
      </c>
      <c r="DJ299" s="5">
        <f>IF($B298&lt;=Tabla5[[#This Row],[INVERSIONES FCI]],+Tabla5[[#This Row],[INVERSIONES FCI]]-DJ298,Tabla5[[#This Row],[INVERSIONES FCI]])</f>
        <v>1793617300.1774139</v>
      </c>
      <c r="DK299" s="5">
        <f>IF($B298&lt;=Tabla5[[#This Row],[INVERSIONES FCI]],+Tabla5[[#This Row],[INVERSIONES FCI]]-DK298,Tabla5[[#This Row],[INVERSIONES FCI]])</f>
        <v>1793617300.1774139</v>
      </c>
      <c r="DL299" s="5"/>
      <c r="DM299" s="5"/>
      <c r="DN299" s="5"/>
      <c r="DO299" s="5"/>
      <c r="DP299" s="5"/>
      <c r="DQ299" s="5"/>
    </row>
    <row r="300" spans="1:121" ht="14.4">
      <c r="A300" s="12" t="s">
        <v>299</v>
      </c>
      <c r="B300" s="5">
        <f>HLOOKUP($A300,ESCENARIO[#All],7,FALSE)</f>
        <v>79531310990.101013</v>
      </c>
      <c r="C300" s="5">
        <f>IF($B299&lt;=Tabla5[[#This Row],[INVERSIONES FCI]],+Tabla5[[#This Row],[INVERSIONES FCI]]-C299,Tabla5[[#This Row],[INVERSIONES FCI]])</f>
        <v>77737693689.923599</v>
      </c>
      <c r="D300" s="5">
        <f>IF($B299&lt;=Tabla5[[#This Row],[INVERSIONES FCI]],+Tabla5[[#This Row],[INVERSIONES FCI]]-D299,Tabla5[[#This Row],[INVERSIONES FCI]])</f>
        <v>77737693689.923599</v>
      </c>
      <c r="E300" s="5">
        <f>IF($B299&lt;=Tabla5[[#This Row],[INVERSIONES FCI]],+Tabla5[[#This Row],[INVERSIONES FCI]]-E299,Tabla5[[#This Row],[INVERSIONES FCI]])</f>
        <v>77737693689.923599</v>
      </c>
      <c r="F300" s="5">
        <f>IF($B299&lt;=Tabla5[[#This Row],[INVERSIONES FCI]],+Tabla5[[#This Row],[INVERSIONES FCI]]-F299,Tabla5[[#This Row],[INVERSIONES FCI]])</f>
        <v>77737693689.923599</v>
      </c>
      <c r="G300" s="5">
        <f>IF($B299&lt;=Tabla5[[#This Row],[INVERSIONES FCI]],+Tabla5[[#This Row],[INVERSIONES FCI]]-G299,Tabla5[[#This Row],[INVERSIONES FCI]])</f>
        <v>77737693689.923599</v>
      </c>
      <c r="H300" s="5">
        <f>IF($B299&lt;=Tabla5[[#This Row],[INVERSIONES FCI]],+Tabla5[[#This Row],[INVERSIONES FCI]]-H299,Tabla5[[#This Row],[INVERSIONES FCI]])</f>
        <v>77737693689.923599</v>
      </c>
      <c r="I300" s="5">
        <f>IF($B299&lt;=Tabla5[[#This Row],[INVERSIONES FCI]],+Tabla5[[#This Row],[INVERSIONES FCI]]-I299,Tabla5[[#This Row],[INVERSIONES FCI]])</f>
        <v>77737693689.923599</v>
      </c>
      <c r="J300" s="5">
        <f>IF($B299&lt;=Tabla5[[#This Row],[INVERSIONES FCI]],+Tabla5[[#This Row],[INVERSIONES FCI]]-J299,Tabla5[[#This Row],[INVERSIONES FCI]])</f>
        <v>77737693689.923599</v>
      </c>
      <c r="K300" s="5">
        <f>IF($B299&lt;=Tabla5[[#This Row],[INVERSIONES FCI]],+Tabla5[[#This Row],[INVERSIONES FCI]]-K299,Tabla5[[#This Row],[INVERSIONES FCI]])</f>
        <v>77737693689.923599</v>
      </c>
      <c r="L300" s="5">
        <f>IF($B299&lt;=Tabla5[[#This Row],[INVERSIONES FCI]],+Tabla5[[#This Row],[INVERSIONES FCI]]-L299,Tabla5[[#This Row],[INVERSIONES FCI]])</f>
        <v>77737693689.923599</v>
      </c>
      <c r="M300" s="5">
        <f>IF($B299&lt;=Tabla5[[#This Row],[INVERSIONES FCI]],+Tabla5[[#This Row],[INVERSIONES FCI]]-M299,Tabla5[[#This Row],[INVERSIONES FCI]])</f>
        <v>77737693689.923599</v>
      </c>
      <c r="N300" s="5">
        <f>IF($B299&lt;=Tabla5[[#This Row],[INVERSIONES FCI]],+Tabla5[[#This Row],[INVERSIONES FCI]]-N299,Tabla5[[#This Row],[INVERSIONES FCI]])</f>
        <v>77737693689.923599</v>
      </c>
      <c r="O300" s="5">
        <f>IF($B299&lt;=Tabla5[[#This Row],[INVERSIONES FCI]],+Tabla5[[#This Row],[INVERSIONES FCI]]-O299,Tabla5[[#This Row],[INVERSIONES FCI]])</f>
        <v>77737693689.923599</v>
      </c>
      <c r="P300" s="5">
        <f>IF($B299&lt;=Tabla5[[#This Row],[INVERSIONES FCI]],+Tabla5[[#This Row],[INVERSIONES FCI]]-P299,Tabla5[[#This Row],[INVERSIONES FCI]])</f>
        <v>77737693689.923599</v>
      </c>
      <c r="Q300" s="5">
        <f>IF($B299&lt;=Tabla5[[#This Row],[INVERSIONES FCI]],+Tabla5[[#This Row],[INVERSIONES FCI]]-Q299,Tabla5[[#This Row],[INVERSIONES FCI]])</f>
        <v>77737693689.923599</v>
      </c>
      <c r="R300" s="5">
        <f>IF($B299&lt;=Tabla5[[#This Row],[INVERSIONES FCI]],+Tabla5[[#This Row],[INVERSIONES FCI]]-R299,Tabla5[[#This Row],[INVERSIONES FCI]])</f>
        <v>77737693689.923599</v>
      </c>
      <c r="S300" s="5">
        <f>IF($B299&lt;=Tabla5[[#This Row],[INVERSIONES FCI]],+Tabla5[[#This Row],[INVERSIONES FCI]]-S299,Tabla5[[#This Row],[INVERSIONES FCI]])</f>
        <v>77737693689.923599</v>
      </c>
      <c r="T300" s="5">
        <f>IF($B299&lt;=Tabla5[[#This Row],[INVERSIONES FCI]],+Tabla5[[#This Row],[INVERSIONES FCI]]-T299,Tabla5[[#This Row],[INVERSIONES FCI]])</f>
        <v>77737693689.923599</v>
      </c>
      <c r="U300" s="5">
        <f>IF($B299&lt;=Tabla5[[#This Row],[INVERSIONES FCI]],+Tabla5[[#This Row],[INVERSIONES FCI]]-U299,Tabla5[[#This Row],[INVERSIONES FCI]])</f>
        <v>77737693689.923599</v>
      </c>
      <c r="V300" s="5">
        <f>IF($B299&lt;=Tabla5[[#This Row],[INVERSIONES FCI]],+Tabla5[[#This Row],[INVERSIONES FCI]]-V299,Tabla5[[#This Row],[INVERSIONES FCI]])</f>
        <v>77737693689.923599</v>
      </c>
      <c r="W300" s="5">
        <f>IF($B299&lt;=Tabla5[[#This Row],[INVERSIONES FCI]],+Tabla5[[#This Row],[INVERSIONES FCI]]-W299,Tabla5[[#This Row],[INVERSIONES FCI]])</f>
        <v>77737693689.923599</v>
      </c>
      <c r="X300" s="5">
        <f>IF($B299&lt;=Tabla5[[#This Row],[INVERSIONES FCI]],+Tabla5[[#This Row],[INVERSIONES FCI]]-X299,Tabla5[[#This Row],[INVERSIONES FCI]])</f>
        <v>77737693689.923599</v>
      </c>
      <c r="Y300" s="5">
        <f>IF($B299&lt;=Tabla5[[#This Row],[INVERSIONES FCI]],+Tabla5[[#This Row],[INVERSIONES FCI]]-Y299,Tabla5[[#This Row],[INVERSIONES FCI]])</f>
        <v>77737693689.923599</v>
      </c>
      <c r="Z300" s="5">
        <f>IF($B299&lt;=Tabla5[[#This Row],[INVERSIONES FCI]],+Tabla5[[#This Row],[INVERSIONES FCI]]-Z299,Tabla5[[#This Row],[INVERSIONES FCI]])</f>
        <v>77737693689.923599</v>
      </c>
      <c r="AA300" s="5">
        <f>IF($B299&lt;=Tabla5[[#This Row],[INVERSIONES FCI]],+Tabla5[[#This Row],[INVERSIONES FCI]]-AA299,Tabla5[[#This Row],[INVERSIONES FCI]])</f>
        <v>77737693689.923599</v>
      </c>
      <c r="AB300" s="5">
        <f>IF($B299&lt;=Tabla5[[#This Row],[INVERSIONES FCI]],+Tabla5[[#This Row],[INVERSIONES FCI]]-AB299,Tabla5[[#This Row],[INVERSIONES FCI]])</f>
        <v>77737693689.923599</v>
      </c>
      <c r="AC300" s="5">
        <f>IF($B299&lt;=Tabla5[[#This Row],[INVERSIONES FCI]],+Tabla5[[#This Row],[INVERSIONES FCI]]-AC299,Tabla5[[#This Row],[INVERSIONES FCI]])</f>
        <v>77737693689.923599</v>
      </c>
      <c r="AD300" s="5">
        <f>IF($B299&lt;=Tabla5[[#This Row],[INVERSIONES FCI]],+Tabla5[[#This Row],[INVERSIONES FCI]]-AD299,Tabla5[[#This Row],[INVERSIONES FCI]])</f>
        <v>77737693689.923599</v>
      </c>
      <c r="AE300" s="5">
        <f>IF($B299&lt;=Tabla5[[#This Row],[INVERSIONES FCI]],+Tabla5[[#This Row],[INVERSIONES FCI]]-AE299,Tabla5[[#This Row],[INVERSIONES FCI]])</f>
        <v>77737693689.923599</v>
      </c>
      <c r="AF300" s="5">
        <f>IF($B299&lt;=Tabla5[[#This Row],[INVERSIONES FCI]],+Tabla5[[#This Row],[INVERSIONES FCI]]-AF299,Tabla5[[#This Row],[INVERSIONES FCI]])</f>
        <v>77737693689.923599</v>
      </c>
      <c r="AG300" s="5">
        <f>IF($B299&lt;=Tabla5[[#This Row],[INVERSIONES FCI]],+Tabla5[[#This Row],[INVERSIONES FCI]]-AG299,Tabla5[[#This Row],[INVERSIONES FCI]])</f>
        <v>77737693689.923599</v>
      </c>
      <c r="AH300" s="5">
        <f>IF($B299&lt;=Tabla5[[#This Row],[INVERSIONES FCI]],+Tabla5[[#This Row],[INVERSIONES FCI]]-AH299,Tabla5[[#This Row],[INVERSIONES FCI]])</f>
        <v>77737693689.923599</v>
      </c>
      <c r="AI300" s="5">
        <f>IF($B299&lt;=Tabla5[[#This Row],[INVERSIONES FCI]],+Tabla5[[#This Row],[INVERSIONES FCI]]-AI299,Tabla5[[#This Row],[INVERSIONES FCI]])</f>
        <v>77737693689.923599</v>
      </c>
      <c r="AJ300" s="5">
        <f>IF($B299&lt;=Tabla5[[#This Row],[INVERSIONES FCI]],+Tabla5[[#This Row],[INVERSIONES FCI]]-AJ299,Tabla5[[#This Row],[INVERSIONES FCI]])</f>
        <v>77737693689.923599</v>
      </c>
      <c r="AK300" s="5">
        <f>IF($B299&lt;=Tabla5[[#This Row],[INVERSIONES FCI]],+Tabla5[[#This Row],[INVERSIONES FCI]]-AK299,Tabla5[[#This Row],[INVERSIONES FCI]])</f>
        <v>77737693689.923599</v>
      </c>
      <c r="AL300" s="5">
        <f>IF($B299&lt;=Tabla5[[#This Row],[INVERSIONES FCI]],+Tabla5[[#This Row],[INVERSIONES FCI]]-AL299,Tabla5[[#This Row],[INVERSIONES FCI]])</f>
        <v>77737693689.923599</v>
      </c>
      <c r="AM300" s="5">
        <f>IF($B299&lt;=Tabla5[[#This Row],[INVERSIONES FCI]],+Tabla5[[#This Row],[INVERSIONES FCI]]-AM299,Tabla5[[#This Row],[INVERSIONES FCI]])</f>
        <v>77737693689.923599</v>
      </c>
      <c r="AN300" s="5">
        <f>IF($B299&lt;=Tabla5[[#This Row],[INVERSIONES FCI]],+Tabla5[[#This Row],[INVERSIONES FCI]]-AN299,Tabla5[[#This Row],[INVERSIONES FCI]])</f>
        <v>77737693689.923599</v>
      </c>
      <c r="AO300" s="5">
        <f>IF($B299&lt;=Tabla5[[#This Row],[INVERSIONES FCI]],+Tabla5[[#This Row],[INVERSIONES FCI]]-AO299,Tabla5[[#This Row],[INVERSIONES FCI]])</f>
        <v>77737693689.923599</v>
      </c>
      <c r="AP300" s="5">
        <f>IF($B299&lt;=Tabla5[[#This Row],[INVERSIONES FCI]],+Tabla5[[#This Row],[INVERSIONES FCI]]-AP299,Tabla5[[#This Row],[INVERSIONES FCI]])</f>
        <v>77737693689.923599</v>
      </c>
      <c r="AQ300" s="5">
        <f>IF($B299&lt;=Tabla5[[#This Row],[INVERSIONES FCI]],+Tabla5[[#This Row],[INVERSIONES FCI]]-AQ299,Tabla5[[#This Row],[INVERSIONES FCI]])</f>
        <v>77737693689.923599</v>
      </c>
      <c r="AR300" s="5">
        <f>IF($B299&lt;=Tabla5[[#This Row],[INVERSIONES FCI]],+Tabla5[[#This Row],[INVERSIONES FCI]]-AR299,Tabla5[[#This Row],[INVERSIONES FCI]])</f>
        <v>77737693689.923599</v>
      </c>
      <c r="AS300" s="5">
        <f>IF($B299&lt;=Tabla5[[#This Row],[INVERSIONES FCI]],+Tabla5[[#This Row],[INVERSIONES FCI]]-AS299,Tabla5[[#This Row],[INVERSIONES FCI]])</f>
        <v>77737693689.923599</v>
      </c>
      <c r="AT300" s="5">
        <f>IF($B299&lt;=Tabla5[[#This Row],[INVERSIONES FCI]],+Tabla5[[#This Row],[INVERSIONES FCI]]-AT299,Tabla5[[#This Row],[INVERSIONES FCI]])</f>
        <v>77737693689.923599</v>
      </c>
      <c r="AU300" s="5">
        <f>IF($B299&lt;=Tabla5[[#This Row],[INVERSIONES FCI]],+Tabla5[[#This Row],[INVERSIONES FCI]]-AU299,Tabla5[[#This Row],[INVERSIONES FCI]])</f>
        <v>77737693689.923599</v>
      </c>
      <c r="AV300" s="5">
        <f>IF($B299&lt;=Tabla5[[#This Row],[INVERSIONES FCI]],+Tabla5[[#This Row],[INVERSIONES FCI]]-AV299,Tabla5[[#This Row],[INVERSIONES FCI]])</f>
        <v>77737693689.923599</v>
      </c>
      <c r="AW300" s="5">
        <f>IF($B299&lt;=Tabla5[[#This Row],[INVERSIONES FCI]],+Tabla5[[#This Row],[INVERSIONES FCI]]-AW299,Tabla5[[#This Row],[INVERSIONES FCI]])</f>
        <v>77737693689.923599</v>
      </c>
      <c r="AX300" s="5">
        <f>IF($B299&lt;=Tabla5[[#This Row],[INVERSIONES FCI]],+Tabla5[[#This Row],[INVERSIONES FCI]]-AX299,Tabla5[[#This Row],[INVERSIONES FCI]])</f>
        <v>77737693689.923599</v>
      </c>
      <c r="AY300" s="5">
        <f>IF($B299&lt;=Tabla5[[#This Row],[INVERSIONES FCI]],+Tabla5[[#This Row],[INVERSIONES FCI]]-AY299,Tabla5[[#This Row],[INVERSIONES FCI]])</f>
        <v>77737693689.923599</v>
      </c>
      <c r="AZ300" s="5">
        <f>IF($B299&lt;=Tabla5[[#This Row],[INVERSIONES FCI]],+Tabla5[[#This Row],[INVERSIONES FCI]]-AZ299,Tabla5[[#This Row],[INVERSIONES FCI]])</f>
        <v>77737693689.923599</v>
      </c>
      <c r="BA300" s="5">
        <f>IF($B299&lt;=Tabla5[[#This Row],[INVERSIONES FCI]],+Tabla5[[#This Row],[INVERSIONES FCI]]-BA299,Tabla5[[#This Row],[INVERSIONES FCI]])</f>
        <v>77737693689.923599</v>
      </c>
      <c r="BB300" s="5">
        <f>IF($B299&lt;=Tabla5[[#This Row],[INVERSIONES FCI]],+Tabla5[[#This Row],[INVERSIONES FCI]]-BB299,Tabla5[[#This Row],[INVERSIONES FCI]])</f>
        <v>77737693689.923599</v>
      </c>
      <c r="BC300" s="5">
        <f>IF($B299&lt;=Tabla5[[#This Row],[INVERSIONES FCI]],+Tabla5[[#This Row],[INVERSIONES FCI]]-BC299,Tabla5[[#This Row],[INVERSIONES FCI]])</f>
        <v>77737693689.923599</v>
      </c>
      <c r="BD300" s="5">
        <f>IF($B299&lt;=Tabla5[[#This Row],[INVERSIONES FCI]],+Tabla5[[#This Row],[INVERSIONES FCI]]-BD299,Tabla5[[#This Row],[INVERSIONES FCI]])</f>
        <v>77737693689.923599</v>
      </c>
      <c r="BE300" s="5">
        <f>IF($B299&lt;=Tabla5[[#This Row],[INVERSIONES FCI]],+Tabla5[[#This Row],[INVERSIONES FCI]]-BE299,Tabla5[[#This Row],[INVERSIONES FCI]])</f>
        <v>77737693689.923599</v>
      </c>
      <c r="BF300" s="5">
        <f>IF($B299&lt;=Tabla5[[#This Row],[INVERSIONES FCI]],+Tabla5[[#This Row],[INVERSIONES FCI]]-BF299,Tabla5[[#This Row],[INVERSIONES FCI]])</f>
        <v>77737693689.923599</v>
      </c>
      <c r="BG300" s="5">
        <f>IF($B299&lt;=Tabla5[[#This Row],[INVERSIONES FCI]],+Tabla5[[#This Row],[INVERSIONES FCI]]-BG299,Tabla5[[#This Row],[INVERSIONES FCI]])</f>
        <v>77737693689.923599</v>
      </c>
      <c r="BH300" s="5">
        <f>IF($B299&lt;=Tabla5[[#This Row],[INVERSIONES FCI]],+Tabla5[[#This Row],[INVERSIONES FCI]]-BH299,Tabla5[[#This Row],[INVERSIONES FCI]])</f>
        <v>77737693689.923599</v>
      </c>
      <c r="BI300" s="5">
        <f>IF($B299&lt;=Tabla5[[#This Row],[INVERSIONES FCI]],+Tabla5[[#This Row],[INVERSIONES FCI]]-BI299,Tabla5[[#This Row],[INVERSIONES FCI]])</f>
        <v>77737693689.923599</v>
      </c>
      <c r="BJ300" s="5">
        <f>IF($B299&lt;=Tabla5[[#This Row],[INVERSIONES FCI]],+Tabla5[[#This Row],[INVERSIONES FCI]]-BJ299,Tabla5[[#This Row],[INVERSIONES FCI]])</f>
        <v>77737693689.923599</v>
      </c>
      <c r="BK300" s="5">
        <f>IF($B299&lt;=Tabla5[[#This Row],[INVERSIONES FCI]],+Tabla5[[#This Row],[INVERSIONES FCI]]-BK299,Tabla5[[#This Row],[INVERSIONES FCI]])</f>
        <v>77737693689.923599</v>
      </c>
      <c r="BL300" s="5">
        <f>IF($B299&lt;=Tabla5[[#This Row],[INVERSIONES FCI]],+Tabla5[[#This Row],[INVERSIONES FCI]]-BL299,Tabla5[[#This Row],[INVERSIONES FCI]])</f>
        <v>77737693689.923599</v>
      </c>
      <c r="BM300" s="5">
        <f>IF($B299&lt;=Tabla5[[#This Row],[INVERSIONES FCI]],+Tabla5[[#This Row],[INVERSIONES FCI]]-BM299,Tabla5[[#This Row],[INVERSIONES FCI]])</f>
        <v>77737693689.923599</v>
      </c>
      <c r="BN300" s="5">
        <f>IF($B299&lt;=Tabla5[[#This Row],[INVERSIONES FCI]],+Tabla5[[#This Row],[INVERSIONES FCI]]-BN299,Tabla5[[#This Row],[INVERSIONES FCI]])</f>
        <v>77737693689.923599</v>
      </c>
      <c r="BO300" s="5">
        <f>IF($B299&lt;=Tabla5[[#This Row],[INVERSIONES FCI]],+Tabla5[[#This Row],[INVERSIONES FCI]]-BO299,Tabla5[[#This Row],[INVERSIONES FCI]])</f>
        <v>77737693689.923599</v>
      </c>
      <c r="BP300" s="5">
        <f>IF($B299&lt;=Tabla5[[#This Row],[INVERSIONES FCI]],+Tabla5[[#This Row],[INVERSIONES FCI]]-BP299,Tabla5[[#This Row],[INVERSIONES FCI]])</f>
        <v>77737693689.923599</v>
      </c>
      <c r="BQ300" s="5">
        <f>IF($B299&lt;=Tabla5[[#This Row],[INVERSIONES FCI]],+Tabla5[[#This Row],[INVERSIONES FCI]]-BQ299,Tabla5[[#This Row],[INVERSIONES FCI]])</f>
        <v>77737693689.923599</v>
      </c>
      <c r="BR300" s="5">
        <f>IF($B299&lt;=Tabla5[[#This Row],[INVERSIONES FCI]],+Tabla5[[#This Row],[INVERSIONES FCI]]-BR299,Tabla5[[#This Row],[INVERSIONES FCI]])</f>
        <v>77737693689.923599</v>
      </c>
      <c r="BS300" s="5">
        <f>IF($B299&lt;=Tabla5[[#This Row],[INVERSIONES FCI]],+Tabla5[[#This Row],[INVERSIONES FCI]]-BS299,Tabla5[[#This Row],[INVERSIONES FCI]])</f>
        <v>77737693689.923599</v>
      </c>
      <c r="BT300" s="5">
        <f>IF($B299&lt;=Tabla5[[#This Row],[INVERSIONES FCI]],+Tabla5[[#This Row],[INVERSIONES FCI]]-BT299,Tabla5[[#This Row],[INVERSIONES FCI]])</f>
        <v>77737693689.923599</v>
      </c>
      <c r="BU300" s="5">
        <f>IF($B299&lt;=Tabla5[[#This Row],[INVERSIONES FCI]],+Tabla5[[#This Row],[INVERSIONES FCI]]-BU299,Tabla5[[#This Row],[INVERSIONES FCI]])</f>
        <v>77737693689.923599</v>
      </c>
      <c r="BV300" s="5">
        <f>IF($B299&lt;=Tabla5[[#This Row],[INVERSIONES FCI]],+Tabla5[[#This Row],[INVERSIONES FCI]]-BV299,Tabla5[[#This Row],[INVERSIONES FCI]])</f>
        <v>77737693689.923599</v>
      </c>
      <c r="BW300" s="5">
        <f>IF($B299&lt;=Tabla5[[#This Row],[INVERSIONES FCI]],+Tabla5[[#This Row],[INVERSIONES FCI]]-BW299,Tabla5[[#This Row],[INVERSIONES FCI]])</f>
        <v>77737693689.923599</v>
      </c>
      <c r="BX300" s="5">
        <f>IF($B299&lt;=Tabla5[[#This Row],[INVERSIONES FCI]],+Tabla5[[#This Row],[INVERSIONES FCI]]-BX299,Tabla5[[#This Row],[INVERSIONES FCI]])</f>
        <v>77737693689.923599</v>
      </c>
      <c r="BY300" s="5">
        <f>IF($B299&lt;=Tabla5[[#This Row],[INVERSIONES FCI]],+Tabla5[[#This Row],[INVERSIONES FCI]]-BY299,Tabla5[[#This Row],[INVERSIONES FCI]])</f>
        <v>77737693689.923599</v>
      </c>
      <c r="BZ300" s="5">
        <f>IF($B299&lt;=Tabla5[[#This Row],[INVERSIONES FCI]],+Tabla5[[#This Row],[INVERSIONES FCI]]-BZ299,Tabla5[[#This Row],[INVERSIONES FCI]])</f>
        <v>77737693689.923599</v>
      </c>
      <c r="CA300" s="5">
        <f>IF($B299&lt;=Tabla5[[#This Row],[INVERSIONES FCI]],+Tabla5[[#This Row],[INVERSIONES FCI]]-CA299,Tabla5[[#This Row],[INVERSIONES FCI]])</f>
        <v>77737693689.923599</v>
      </c>
      <c r="CB300" s="5">
        <f>IF($B299&lt;=Tabla5[[#This Row],[INVERSIONES FCI]],+Tabla5[[#This Row],[INVERSIONES FCI]]-CB299,Tabla5[[#This Row],[INVERSIONES FCI]])</f>
        <v>77737693689.923599</v>
      </c>
      <c r="CC300" s="5">
        <f>IF($B299&lt;=Tabla5[[#This Row],[INVERSIONES FCI]],+Tabla5[[#This Row],[INVERSIONES FCI]]-CC299,Tabla5[[#This Row],[INVERSIONES FCI]])</f>
        <v>77737693689.923599</v>
      </c>
      <c r="CD300" s="5">
        <f>IF($B299&lt;=Tabla5[[#This Row],[INVERSIONES FCI]],+Tabla5[[#This Row],[INVERSIONES FCI]]-CD299,Tabla5[[#This Row],[INVERSIONES FCI]])</f>
        <v>77737693689.923599</v>
      </c>
      <c r="CE300" s="5">
        <f>IF($B299&lt;=Tabla5[[#This Row],[INVERSIONES FCI]],+Tabla5[[#This Row],[INVERSIONES FCI]]-CE299,Tabla5[[#This Row],[INVERSIONES FCI]])</f>
        <v>77737693689.923599</v>
      </c>
      <c r="CF300" s="5">
        <f>IF($B299&lt;=Tabla5[[#This Row],[INVERSIONES FCI]],+Tabla5[[#This Row],[INVERSIONES FCI]]-CF299,Tabla5[[#This Row],[INVERSIONES FCI]])</f>
        <v>77737693689.923599</v>
      </c>
      <c r="CG300" s="5">
        <f>IF($B299&lt;=Tabla5[[#This Row],[INVERSIONES FCI]],+Tabla5[[#This Row],[INVERSIONES FCI]]-CG299,Tabla5[[#This Row],[INVERSIONES FCI]])</f>
        <v>77737693689.923599</v>
      </c>
      <c r="CH300" s="5">
        <f>IF($B299&lt;=Tabla5[[#This Row],[INVERSIONES FCI]],+Tabla5[[#This Row],[INVERSIONES FCI]]-CH299,Tabla5[[#This Row],[INVERSIONES FCI]])</f>
        <v>77737693689.923599</v>
      </c>
      <c r="CI300" s="5">
        <f>IF($B299&lt;=Tabla5[[#This Row],[INVERSIONES FCI]],+Tabla5[[#This Row],[INVERSIONES FCI]]-CI299,Tabla5[[#This Row],[INVERSIONES FCI]])</f>
        <v>77737693689.923599</v>
      </c>
      <c r="CJ300" s="5">
        <f>IF($B299&lt;=Tabla5[[#This Row],[INVERSIONES FCI]],+Tabla5[[#This Row],[INVERSIONES FCI]]-CJ299,Tabla5[[#This Row],[INVERSIONES FCI]])</f>
        <v>77737693689.923599</v>
      </c>
      <c r="CK300" s="5">
        <f>IF($B299&lt;=Tabla5[[#This Row],[INVERSIONES FCI]],+Tabla5[[#This Row],[INVERSIONES FCI]]-CK299,Tabla5[[#This Row],[INVERSIONES FCI]])</f>
        <v>77737693689.923599</v>
      </c>
      <c r="CL300" s="5">
        <f>IF($B299&lt;=Tabla5[[#This Row],[INVERSIONES FCI]],+Tabla5[[#This Row],[INVERSIONES FCI]]-CL299,Tabla5[[#This Row],[INVERSIONES FCI]])</f>
        <v>77737693689.923599</v>
      </c>
      <c r="CM300" s="5">
        <f>IF($B299&lt;=Tabla5[[#This Row],[INVERSIONES FCI]],+Tabla5[[#This Row],[INVERSIONES FCI]]-CM299,Tabla5[[#This Row],[INVERSIONES FCI]])</f>
        <v>77737693689.923599</v>
      </c>
      <c r="CN300" s="5">
        <f>IF($B299&lt;=Tabla5[[#This Row],[INVERSIONES FCI]],+Tabla5[[#This Row],[INVERSIONES FCI]]-CN299,Tabla5[[#This Row],[INVERSIONES FCI]])</f>
        <v>77737693689.923599</v>
      </c>
      <c r="CO300" s="5">
        <f>IF($B299&lt;=Tabla5[[#This Row],[INVERSIONES FCI]],+Tabla5[[#This Row],[INVERSIONES FCI]]-CO299,Tabla5[[#This Row],[INVERSIONES FCI]])</f>
        <v>77737693689.923599</v>
      </c>
      <c r="CP300" s="5">
        <f>IF($B299&lt;=Tabla5[[#This Row],[INVERSIONES FCI]],+Tabla5[[#This Row],[INVERSIONES FCI]]-CP299,Tabla5[[#This Row],[INVERSIONES FCI]])</f>
        <v>77737693689.923599</v>
      </c>
      <c r="CQ300" s="5">
        <f>IF($B299&lt;=Tabla5[[#This Row],[INVERSIONES FCI]],+Tabla5[[#This Row],[INVERSIONES FCI]]-CQ299,Tabla5[[#This Row],[INVERSIONES FCI]])</f>
        <v>77737693689.923599</v>
      </c>
      <c r="CR300" s="5">
        <f>IF($B299&lt;=Tabla5[[#This Row],[INVERSIONES FCI]],+Tabla5[[#This Row],[INVERSIONES FCI]]-CR299,Tabla5[[#This Row],[INVERSIONES FCI]])</f>
        <v>77737693689.923599</v>
      </c>
      <c r="CS300" s="5">
        <f>IF($B299&lt;=Tabla5[[#This Row],[INVERSIONES FCI]],+Tabla5[[#This Row],[INVERSIONES FCI]]-CS299,Tabla5[[#This Row],[INVERSIONES FCI]])</f>
        <v>77737693689.923599</v>
      </c>
      <c r="CT300" s="5">
        <f>IF($B299&lt;=Tabla5[[#This Row],[INVERSIONES FCI]],+Tabla5[[#This Row],[INVERSIONES FCI]]-CT299,Tabla5[[#This Row],[INVERSIONES FCI]])</f>
        <v>77737693689.923599</v>
      </c>
      <c r="CU300" s="5">
        <f>IF($B299&lt;=Tabla5[[#This Row],[INVERSIONES FCI]],+Tabla5[[#This Row],[INVERSIONES FCI]]-CU299,Tabla5[[#This Row],[INVERSIONES FCI]])</f>
        <v>77737693689.923599</v>
      </c>
      <c r="CV300" s="5">
        <f>IF($B299&lt;=Tabla5[[#This Row],[INVERSIONES FCI]],+Tabla5[[#This Row],[INVERSIONES FCI]]-CV299,Tabla5[[#This Row],[INVERSIONES FCI]])</f>
        <v>77737693689.923599</v>
      </c>
      <c r="CW300" s="5">
        <f>IF($B299&lt;=Tabla5[[#This Row],[INVERSIONES FCI]],+Tabla5[[#This Row],[INVERSIONES FCI]]-CW299,Tabla5[[#This Row],[INVERSIONES FCI]])</f>
        <v>77737693689.923599</v>
      </c>
      <c r="CX300" s="5">
        <f>IF($B299&lt;=Tabla5[[#This Row],[INVERSIONES FCI]],+Tabla5[[#This Row],[INVERSIONES FCI]]-CX299,Tabla5[[#This Row],[INVERSIONES FCI]])</f>
        <v>77737693689.923599</v>
      </c>
      <c r="CY300" s="5">
        <f>IF($B299&lt;=Tabla5[[#This Row],[INVERSIONES FCI]],+Tabla5[[#This Row],[INVERSIONES FCI]]-CY299,Tabla5[[#This Row],[INVERSIONES FCI]])</f>
        <v>77737693689.923599</v>
      </c>
      <c r="CZ300" s="5">
        <f>IF($B299&lt;=Tabla5[[#This Row],[INVERSIONES FCI]],+Tabla5[[#This Row],[INVERSIONES FCI]]-CZ299,Tabla5[[#This Row],[INVERSIONES FCI]])</f>
        <v>77737693689.923599</v>
      </c>
      <c r="DA300" s="5">
        <f>IF($B299&lt;=Tabla5[[#This Row],[INVERSIONES FCI]],+Tabla5[[#This Row],[INVERSIONES FCI]]-DA299,Tabla5[[#This Row],[INVERSIONES FCI]])</f>
        <v>77737693689.923599</v>
      </c>
      <c r="DB300" s="5">
        <f>IF($B299&lt;=Tabla5[[#This Row],[INVERSIONES FCI]],+Tabla5[[#This Row],[INVERSIONES FCI]]-DB299,Tabla5[[#This Row],[INVERSIONES FCI]])</f>
        <v>77737693689.923599</v>
      </c>
      <c r="DC300" s="5">
        <f>IF($B299&lt;=Tabla5[[#This Row],[INVERSIONES FCI]],+Tabla5[[#This Row],[INVERSIONES FCI]]-DC299,Tabla5[[#This Row],[INVERSIONES FCI]])</f>
        <v>77737693689.923599</v>
      </c>
      <c r="DD300" s="5">
        <f>IF($B299&lt;=Tabla5[[#This Row],[INVERSIONES FCI]],+Tabla5[[#This Row],[INVERSIONES FCI]]-DD299,Tabla5[[#This Row],[INVERSIONES FCI]])</f>
        <v>77737693689.923599</v>
      </c>
      <c r="DE300" s="5">
        <f>IF($B299&lt;=Tabla5[[#This Row],[INVERSIONES FCI]],+Tabla5[[#This Row],[INVERSIONES FCI]]-DE299,Tabla5[[#This Row],[INVERSIONES FCI]])</f>
        <v>77737693689.923599</v>
      </c>
      <c r="DF300" s="5">
        <f>IF($B299&lt;=Tabla5[[#This Row],[INVERSIONES FCI]],+Tabla5[[#This Row],[INVERSIONES FCI]]-DF299,Tabla5[[#This Row],[INVERSIONES FCI]])</f>
        <v>77737693689.923599</v>
      </c>
      <c r="DG300" s="5">
        <f>IF($B299&lt;=Tabla5[[#This Row],[INVERSIONES FCI]],+Tabla5[[#This Row],[INVERSIONES FCI]]-DG299,Tabla5[[#This Row],[INVERSIONES FCI]])</f>
        <v>77737693689.923599</v>
      </c>
      <c r="DH300" s="5">
        <f>IF($B299&lt;=Tabla5[[#This Row],[INVERSIONES FCI]],+Tabla5[[#This Row],[INVERSIONES FCI]]-DH299,Tabla5[[#This Row],[INVERSIONES FCI]])</f>
        <v>77737693689.923599</v>
      </c>
      <c r="DI300" s="5">
        <f>IF($B299&lt;=Tabla5[[#This Row],[INVERSIONES FCI]],+Tabla5[[#This Row],[INVERSIONES FCI]]-DI299,Tabla5[[#This Row],[INVERSIONES FCI]])</f>
        <v>77737693689.923599</v>
      </c>
      <c r="DJ300" s="5">
        <f>IF($B299&lt;=Tabla5[[#This Row],[INVERSIONES FCI]],+Tabla5[[#This Row],[INVERSIONES FCI]]-DJ299,Tabla5[[#This Row],[INVERSIONES FCI]])</f>
        <v>77737693689.923599</v>
      </c>
      <c r="DK300" s="5">
        <f>IF($B299&lt;=Tabla5[[#This Row],[INVERSIONES FCI]],+Tabla5[[#This Row],[INVERSIONES FCI]]-DK299,Tabla5[[#This Row],[INVERSIONES FCI]])</f>
        <v>77737693689.923599</v>
      </c>
      <c r="DL300" s="5"/>
      <c r="DM300" s="5"/>
      <c r="DN300" s="5"/>
      <c r="DO300" s="5"/>
      <c r="DP300" s="5"/>
      <c r="DQ300" s="5"/>
    </row>
    <row r="301" spans="1:121" ht="14.4">
      <c r="A301" s="12" t="s">
        <v>300</v>
      </c>
      <c r="B301" s="5">
        <f>HLOOKUP($A301,ESCENARIO[#All],7,FALSE)</f>
        <v>80918952609.681915</v>
      </c>
      <c r="C301" s="5">
        <f>IF($B300&lt;=Tabla5[[#This Row],[INVERSIONES FCI]],+Tabla5[[#This Row],[INVERSIONES FCI]]-C300,Tabla5[[#This Row],[INVERSIONES FCI]])</f>
        <v>3181258919.758316</v>
      </c>
      <c r="D301" s="5">
        <f>IF($B300&lt;=Tabla5[[#This Row],[INVERSIONES FCI]],+Tabla5[[#This Row],[INVERSIONES FCI]]-D300,Tabla5[[#This Row],[INVERSIONES FCI]])</f>
        <v>3181258919.758316</v>
      </c>
      <c r="E301" s="5">
        <f>IF($B300&lt;=Tabla5[[#This Row],[INVERSIONES FCI]],+Tabla5[[#This Row],[INVERSIONES FCI]]-E300,Tabla5[[#This Row],[INVERSIONES FCI]])</f>
        <v>3181258919.758316</v>
      </c>
      <c r="F301" s="5">
        <f>IF($B300&lt;=Tabla5[[#This Row],[INVERSIONES FCI]],+Tabla5[[#This Row],[INVERSIONES FCI]]-F300,Tabla5[[#This Row],[INVERSIONES FCI]])</f>
        <v>3181258919.758316</v>
      </c>
      <c r="G301" s="5">
        <f>IF($B300&lt;=Tabla5[[#This Row],[INVERSIONES FCI]],+Tabla5[[#This Row],[INVERSIONES FCI]]-G300,Tabla5[[#This Row],[INVERSIONES FCI]])</f>
        <v>3181258919.758316</v>
      </c>
      <c r="H301" s="5">
        <f>IF($B300&lt;=Tabla5[[#This Row],[INVERSIONES FCI]],+Tabla5[[#This Row],[INVERSIONES FCI]]-H300,Tabla5[[#This Row],[INVERSIONES FCI]])</f>
        <v>3181258919.758316</v>
      </c>
      <c r="I301" s="5">
        <f>IF($B300&lt;=Tabla5[[#This Row],[INVERSIONES FCI]],+Tabla5[[#This Row],[INVERSIONES FCI]]-I300,Tabla5[[#This Row],[INVERSIONES FCI]])</f>
        <v>3181258919.758316</v>
      </c>
      <c r="J301" s="5">
        <f>IF($B300&lt;=Tabla5[[#This Row],[INVERSIONES FCI]],+Tabla5[[#This Row],[INVERSIONES FCI]]-J300,Tabla5[[#This Row],[INVERSIONES FCI]])</f>
        <v>3181258919.758316</v>
      </c>
      <c r="K301" s="5">
        <f>IF($B300&lt;=Tabla5[[#This Row],[INVERSIONES FCI]],+Tabla5[[#This Row],[INVERSIONES FCI]]-K300,Tabla5[[#This Row],[INVERSIONES FCI]])</f>
        <v>3181258919.758316</v>
      </c>
      <c r="L301" s="5">
        <f>IF($B300&lt;=Tabla5[[#This Row],[INVERSIONES FCI]],+Tabla5[[#This Row],[INVERSIONES FCI]]-L300,Tabla5[[#This Row],[INVERSIONES FCI]])</f>
        <v>3181258919.758316</v>
      </c>
      <c r="M301" s="5">
        <f>IF($B300&lt;=Tabla5[[#This Row],[INVERSIONES FCI]],+Tabla5[[#This Row],[INVERSIONES FCI]]-M300,Tabla5[[#This Row],[INVERSIONES FCI]])</f>
        <v>3181258919.758316</v>
      </c>
      <c r="N301" s="5">
        <f>IF($B300&lt;=Tabla5[[#This Row],[INVERSIONES FCI]],+Tabla5[[#This Row],[INVERSIONES FCI]]-N300,Tabla5[[#This Row],[INVERSIONES FCI]])</f>
        <v>3181258919.758316</v>
      </c>
      <c r="O301" s="5">
        <f>IF($B300&lt;=Tabla5[[#This Row],[INVERSIONES FCI]],+Tabla5[[#This Row],[INVERSIONES FCI]]-O300,Tabla5[[#This Row],[INVERSIONES FCI]])</f>
        <v>3181258919.758316</v>
      </c>
      <c r="P301" s="5">
        <f>IF($B300&lt;=Tabla5[[#This Row],[INVERSIONES FCI]],+Tabla5[[#This Row],[INVERSIONES FCI]]-P300,Tabla5[[#This Row],[INVERSIONES FCI]])</f>
        <v>3181258919.758316</v>
      </c>
      <c r="Q301" s="5">
        <f>IF($B300&lt;=Tabla5[[#This Row],[INVERSIONES FCI]],+Tabla5[[#This Row],[INVERSIONES FCI]]-Q300,Tabla5[[#This Row],[INVERSIONES FCI]])</f>
        <v>3181258919.758316</v>
      </c>
      <c r="R301" s="5">
        <f>IF($B300&lt;=Tabla5[[#This Row],[INVERSIONES FCI]],+Tabla5[[#This Row],[INVERSIONES FCI]]-R300,Tabla5[[#This Row],[INVERSIONES FCI]])</f>
        <v>3181258919.758316</v>
      </c>
      <c r="S301" s="5">
        <f>IF($B300&lt;=Tabla5[[#This Row],[INVERSIONES FCI]],+Tabla5[[#This Row],[INVERSIONES FCI]]-S300,Tabla5[[#This Row],[INVERSIONES FCI]])</f>
        <v>3181258919.758316</v>
      </c>
      <c r="T301" s="5">
        <f>IF($B300&lt;=Tabla5[[#This Row],[INVERSIONES FCI]],+Tabla5[[#This Row],[INVERSIONES FCI]]-T300,Tabla5[[#This Row],[INVERSIONES FCI]])</f>
        <v>3181258919.758316</v>
      </c>
      <c r="U301" s="5">
        <f>IF($B300&lt;=Tabla5[[#This Row],[INVERSIONES FCI]],+Tabla5[[#This Row],[INVERSIONES FCI]]-U300,Tabla5[[#This Row],[INVERSIONES FCI]])</f>
        <v>3181258919.758316</v>
      </c>
      <c r="V301" s="5">
        <f>IF($B300&lt;=Tabla5[[#This Row],[INVERSIONES FCI]],+Tabla5[[#This Row],[INVERSIONES FCI]]-V300,Tabla5[[#This Row],[INVERSIONES FCI]])</f>
        <v>3181258919.758316</v>
      </c>
      <c r="W301" s="5">
        <f>IF($B300&lt;=Tabla5[[#This Row],[INVERSIONES FCI]],+Tabla5[[#This Row],[INVERSIONES FCI]]-W300,Tabla5[[#This Row],[INVERSIONES FCI]])</f>
        <v>3181258919.758316</v>
      </c>
      <c r="X301" s="5">
        <f>IF($B300&lt;=Tabla5[[#This Row],[INVERSIONES FCI]],+Tabla5[[#This Row],[INVERSIONES FCI]]-X300,Tabla5[[#This Row],[INVERSIONES FCI]])</f>
        <v>3181258919.758316</v>
      </c>
      <c r="Y301" s="5">
        <f>IF($B300&lt;=Tabla5[[#This Row],[INVERSIONES FCI]],+Tabla5[[#This Row],[INVERSIONES FCI]]-Y300,Tabla5[[#This Row],[INVERSIONES FCI]])</f>
        <v>3181258919.758316</v>
      </c>
      <c r="Z301" s="5">
        <f>IF($B300&lt;=Tabla5[[#This Row],[INVERSIONES FCI]],+Tabla5[[#This Row],[INVERSIONES FCI]]-Z300,Tabla5[[#This Row],[INVERSIONES FCI]])</f>
        <v>3181258919.758316</v>
      </c>
      <c r="AA301" s="5">
        <f>IF($B300&lt;=Tabla5[[#This Row],[INVERSIONES FCI]],+Tabla5[[#This Row],[INVERSIONES FCI]]-AA300,Tabla5[[#This Row],[INVERSIONES FCI]])</f>
        <v>3181258919.758316</v>
      </c>
      <c r="AB301" s="5">
        <f>IF($B300&lt;=Tabla5[[#This Row],[INVERSIONES FCI]],+Tabla5[[#This Row],[INVERSIONES FCI]]-AB300,Tabla5[[#This Row],[INVERSIONES FCI]])</f>
        <v>3181258919.758316</v>
      </c>
      <c r="AC301" s="5">
        <f>IF($B300&lt;=Tabla5[[#This Row],[INVERSIONES FCI]],+Tabla5[[#This Row],[INVERSIONES FCI]]-AC300,Tabla5[[#This Row],[INVERSIONES FCI]])</f>
        <v>3181258919.758316</v>
      </c>
      <c r="AD301" s="5">
        <f>IF($B300&lt;=Tabla5[[#This Row],[INVERSIONES FCI]],+Tabla5[[#This Row],[INVERSIONES FCI]]-AD300,Tabla5[[#This Row],[INVERSIONES FCI]])</f>
        <v>3181258919.758316</v>
      </c>
      <c r="AE301" s="5">
        <f>IF($B300&lt;=Tabla5[[#This Row],[INVERSIONES FCI]],+Tabla5[[#This Row],[INVERSIONES FCI]]-AE300,Tabla5[[#This Row],[INVERSIONES FCI]])</f>
        <v>3181258919.758316</v>
      </c>
      <c r="AF301" s="5">
        <f>IF($B300&lt;=Tabla5[[#This Row],[INVERSIONES FCI]],+Tabla5[[#This Row],[INVERSIONES FCI]]-AF300,Tabla5[[#This Row],[INVERSIONES FCI]])</f>
        <v>3181258919.758316</v>
      </c>
      <c r="AG301" s="5">
        <f>IF($B300&lt;=Tabla5[[#This Row],[INVERSIONES FCI]],+Tabla5[[#This Row],[INVERSIONES FCI]]-AG300,Tabla5[[#This Row],[INVERSIONES FCI]])</f>
        <v>3181258919.758316</v>
      </c>
      <c r="AH301" s="5">
        <f>IF($B300&lt;=Tabla5[[#This Row],[INVERSIONES FCI]],+Tabla5[[#This Row],[INVERSIONES FCI]]-AH300,Tabla5[[#This Row],[INVERSIONES FCI]])</f>
        <v>3181258919.758316</v>
      </c>
      <c r="AI301" s="5">
        <f>IF($B300&lt;=Tabla5[[#This Row],[INVERSIONES FCI]],+Tabla5[[#This Row],[INVERSIONES FCI]]-AI300,Tabla5[[#This Row],[INVERSIONES FCI]])</f>
        <v>3181258919.758316</v>
      </c>
      <c r="AJ301" s="5">
        <f>IF($B300&lt;=Tabla5[[#This Row],[INVERSIONES FCI]],+Tabla5[[#This Row],[INVERSIONES FCI]]-AJ300,Tabla5[[#This Row],[INVERSIONES FCI]])</f>
        <v>3181258919.758316</v>
      </c>
      <c r="AK301" s="5">
        <f>IF($B300&lt;=Tabla5[[#This Row],[INVERSIONES FCI]],+Tabla5[[#This Row],[INVERSIONES FCI]]-AK300,Tabla5[[#This Row],[INVERSIONES FCI]])</f>
        <v>3181258919.758316</v>
      </c>
      <c r="AL301" s="5">
        <f>IF($B300&lt;=Tabla5[[#This Row],[INVERSIONES FCI]],+Tabla5[[#This Row],[INVERSIONES FCI]]-AL300,Tabla5[[#This Row],[INVERSIONES FCI]])</f>
        <v>3181258919.758316</v>
      </c>
      <c r="AM301" s="5">
        <f>IF($B300&lt;=Tabla5[[#This Row],[INVERSIONES FCI]],+Tabla5[[#This Row],[INVERSIONES FCI]]-AM300,Tabla5[[#This Row],[INVERSIONES FCI]])</f>
        <v>3181258919.758316</v>
      </c>
      <c r="AN301" s="5">
        <f>IF($B300&lt;=Tabla5[[#This Row],[INVERSIONES FCI]],+Tabla5[[#This Row],[INVERSIONES FCI]]-AN300,Tabla5[[#This Row],[INVERSIONES FCI]])</f>
        <v>3181258919.758316</v>
      </c>
      <c r="AO301" s="5">
        <f>IF($B300&lt;=Tabla5[[#This Row],[INVERSIONES FCI]],+Tabla5[[#This Row],[INVERSIONES FCI]]-AO300,Tabla5[[#This Row],[INVERSIONES FCI]])</f>
        <v>3181258919.758316</v>
      </c>
      <c r="AP301" s="5">
        <f>IF($B300&lt;=Tabla5[[#This Row],[INVERSIONES FCI]],+Tabla5[[#This Row],[INVERSIONES FCI]]-AP300,Tabla5[[#This Row],[INVERSIONES FCI]])</f>
        <v>3181258919.758316</v>
      </c>
      <c r="AQ301" s="5">
        <f>IF($B300&lt;=Tabla5[[#This Row],[INVERSIONES FCI]],+Tabla5[[#This Row],[INVERSIONES FCI]]-AQ300,Tabla5[[#This Row],[INVERSIONES FCI]])</f>
        <v>3181258919.758316</v>
      </c>
      <c r="AR301" s="5">
        <f>IF($B300&lt;=Tabla5[[#This Row],[INVERSIONES FCI]],+Tabla5[[#This Row],[INVERSIONES FCI]]-AR300,Tabla5[[#This Row],[INVERSIONES FCI]])</f>
        <v>3181258919.758316</v>
      </c>
      <c r="AS301" s="5">
        <f>IF($B300&lt;=Tabla5[[#This Row],[INVERSIONES FCI]],+Tabla5[[#This Row],[INVERSIONES FCI]]-AS300,Tabla5[[#This Row],[INVERSIONES FCI]])</f>
        <v>3181258919.758316</v>
      </c>
      <c r="AT301" s="5">
        <f>IF($B300&lt;=Tabla5[[#This Row],[INVERSIONES FCI]],+Tabla5[[#This Row],[INVERSIONES FCI]]-AT300,Tabla5[[#This Row],[INVERSIONES FCI]])</f>
        <v>3181258919.758316</v>
      </c>
      <c r="AU301" s="5">
        <f>IF($B300&lt;=Tabla5[[#This Row],[INVERSIONES FCI]],+Tabla5[[#This Row],[INVERSIONES FCI]]-AU300,Tabla5[[#This Row],[INVERSIONES FCI]])</f>
        <v>3181258919.758316</v>
      </c>
      <c r="AV301" s="5">
        <f>IF($B300&lt;=Tabla5[[#This Row],[INVERSIONES FCI]],+Tabla5[[#This Row],[INVERSIONES FCI]]-AV300,Tabla5[[#This Row],[INVERSIONES FCI]])</f>
        <v>3181258919.758316</v>
      </c>
      <c r="AW301" s="5">
        <f>IF($B300&lt;=Tabla5[[#This Row],[INVERSIONES FCI]],+Tabla5[[#This Row],[INVERSIONES FCI]]-AW300,Tabla5[[#This Row],[INVERSIONES FCI]])</f>
        <v>3181258919.758316</v>
      </c>
      <c r="AX301" s="5">
        <f>IF($B300&lt;=Tabla5[[#This Row],[INVERSIONES FCI]],+Tabla5[[#This Row],[INVERSIONES FCI]]-AX300,Tabla5[[#This Row],[INVERSIONES FCI]])</f>
        <v>3181258919.758316</v>
      </c>
      <c r="AY301" s="5">
        <f>IF($B300&lt;=Tabla5[[#This Row],[INVERSIONES FCI]],+Tabla5[[#This Row],[INVERSIONES FCI]]-AY300,Tabla5[[#This Row],[INVERSIONES FCI]])</f>
        <v>3181258919.758316</v>
      </c>
      <c r="AZ301" s="5">
        <f>IF($B300&lt;=Tabla5[[#This Row],[INVERSIONES FCI]],+Tabla5[[#This Row],[INVERSIONES FCI]]-AZ300,Tabla5[[#This Row],[INVERSIONES FCI]])</f>
        <v>3181258919.758316</v>
      </c>
      <c r="BA301" s="5">
        <f>IF($B300&lt;=Tabla5[[#This Row],[INVERSIONES FCI]],+Tabla5[[#This Row],[INVERSIONES FCI]]-BA300,Tabla5[[#This Row],[INVERSIONES FCI]])</f>
        <v>3181258919.758316</v>
      </c>
      <c r="BB301" s="5">
        <f>IF($B300&lt;=Tabla5[[#This Row],[INVERSIONES FCI]],+Tabla5[[#This Row],[INVERSIONES FCI]]-BB300,Tabla5[[#This Row],[INVERSIONES FCI]])</f>
        <v>3181258919.758316</v>
      </c>
      <c r="BC301" s="5">
        <f>IF($B300&lt;=Tabla5[[#This Row],[INVERSIONES FCI]],+Tabla5[[#This Row],[INVERSIONES FCI]]-BC300,Tabla5[[#This Row],[INVERSIONES FCI]])</f>
        <v>3181258919.758316</v>
      </c>
      <c r="BD301" s="5">
        <f>IF($B300&lt;=Tabla5[[#This Row],[INVERSIONES FCI]],+Tabla5[[#This Row],[INVERSIONES FCI]]-BD300,Tabla5[[#This Row],[INVERSIONES FCI]])</f>
        <v>3181258919.758316</v>
      </c>
      <c r="BE301" s="5">
        <f>IF($B300&lt;=Tabla5[[#This Row],[INVERSIONES FCI]],+Tabla5[[#This Row],[INVERSIONES FCI]]-BE300,Tabla5[[#This Row],[INVERSIONES FCI]])</f>
        <v>3181258919.758316</v>
      </c>
      <c r="BF301" s="5">
        <f>IF($B300&lt;=Tabla5[[#This Row],[INVERSIONES FCI]],+Tabla5[[#This Row],[INVERSIONES FCI]]-BF300,Tabla5[[#This Row],[INVERSIONES FCI]])</f>
        <v>3181258919.758316</v>
      </c>
      <c r="BG301" s="5">
        <f>IF($B300&lt;=Tabla5[[#This Row],[INVERSIONES FCI]],+Tabla5[[#This Row],[INVERSIONES FCI]]-BG300,Tabla5[[#This Row],[INVERSIONES FCI]])</f>
        <v>3181258919.758316</v>
      </c>
      <c r="BH301" s="5">
        <f>IF($B300&lt;=Tabla5[[#This Row],[INVERSIONES FCI]],+Tabla5[[#This Row],[INVERSIONES FCI]]-BH300,Tabla5[[#This Row],[INVERSIONES FCI]])</f>
        <v>3181258919.758316</v>
      </c>
      <c r="BI301" s="5">
        <f>IF($B300&lt;=Tabla5[[#This Row],[INVERSIONES FCI]],+Tabla5[[#This Row],[INVERSIONES FCI]]-BI300,Tabla5[[#This Row],[INVERSIONES FCI]])</f>
        <v>3181258919.758316</v>
      </c>
      <c r="BJ301" s="5">
        <f>IF($B300&lt;=Tabla5[[#This Row],[INVERSIONES FCI]],+Tabla5[[#This Row],[INVERSIONES FCI]]-BJ300,Tabla5[[#This Row],[INVERSIONES FCI]])</f>
        <v>3181258919.758316</v>
      </c>
      <c r="BK301" s="5">
        <f>IF($B300&lt;=Tabla5[[#This Row],[INVERSIONES FCI]],+Tabla5[[#This Row],[INVERSIONES FCI]]-BK300,Tabla5[[#This Row],[INVERSIONES FCI]])</f>
        <v>3181258919.758316</v>
      </c>
      <c r="BL301" s="5">
        <f>IF($B300&lt;=Tabla5[[#This Row],[INVERSIONES FCI]],+Tabla5[[#This Row],[INVERSIONES FCI]]-BL300,Tabla5[[#This Row],[INVERSIONES FCI]])</f>
        <v>3181258919.758316</v>
      </c>
      <c r="BM301" s="5">
        <f>IF($B300&lt;=Tabla5[[#This Row],[INVERSIONES FCI]],+Tabla5[[#This Row],[INVERSIONES FCI]]-BM300,Tabla5[[#This Row],[INVERSIONES FCI]])</f>
        <v>3181258919.758316</v>
      </c>
      <c r="BN301" s="5">
        <f>IF($B300&lt;=Tabla5[[#This Row],[INVERSIONES FCI]],+Tabla5[[#This Row],[INVERSIONES FCI]]-BN300,Tabla5[[#This Row],[INVERSIONES FCI]])</f>
        <v>3181258919.758316</v>
      </c>
      <c r="BO301" s="5">
        <f>IF($B300&lt;=Tabla5[[#This Row],[INVERSIONES FCI]],+Tabla5[[#This Row],[INVERSIONES FCI]]-BO300,Tabla5[[#This Row],[INVERSIONES FCI]])</f>
        <v>3181258919.758316</v>
      </c>
      <c r="BP301" s="5">
        <f>IF($B300&lt;=Tabla5[[#This Row],[INVERSIONES FCI]],+Tabla5[[#This Row],[INVERSIONES FCI]]-BP300,Tabla5[[#This Row],[INVERSIONES FCI]])</f>
        <v>3181258919.758316</v>
      </c>
      <c r="BQ301" s="5">
        <f>IF($B300&lt;=Tabla5[[#This Row],[INVERSIONES FCI]],+Tabla5[[#This Row],[INVERSIONES FCI]]-BQ300,Tabla5[[#This Row],[INVERSIONES FCI]])</f>
        <v>3181258919.758316</v>
      </c>
      <c r="BR301" s="5">
        <f>IF($B300&lt;=Tabla5[[#This Row],[INVERSIONES FCI]],+Tabla5[[#This Row],[INVERSIONES FCI]]-BR300,Tabla5[[#This Row],[INVERSIONES FCI]])</f>
        <v>3181258919.758316</v>
      </c>
      <c r="BS301" s="5">
        <f>IF($B300&lt;=Tabla5[[#This Row],[INVERSIONES FCI]],+Tabla5[[#This Row],[INVERSIONES FCI]]-BS300,Tabla5[[#This Row],[INVERSIONES FCI]])</f>
        <v>3181258919.758316</v>
      </c>
      <c r="BT301" s="5">
        <f>IF($B300&lt;=Tabla5[[#This Row],[INVERSIONES FCI]],+Tabla5[[#This Row],[INVERSIONES FCI]]-BT300,Tabla5[[#This Row],[INVERSIONES FCI]])</f>
        <v>3181258919.758316</v>
      </c>
      <c r="BU301" s="5">
        <f>IF($B300&lt;=Tabla5[[#This Row],[INVERSIONES FCI]],+Tabla5[[#This Row],[INVERSIONES FCI]]-BU300,Tabla5[[#This Row],[INVERSIONES FCI]])</f>
        <v>3181258919.758316</v>
      </c>
      <c r="BV301" s="5">
        <f>IF($B300&lt;=Tabla5[[#This Row],[INVERSIONES FCI]],+Tabla5[[#This Row],[INVERSIONES FCI]]-BV300,Tabla5[[#This Row],[INVERSIONES FCI]])</f>
        <v>3181258919.758316</v>
      </c>
      <c r="BW301" s="5">
        <f>IF($B300&lt;=Tabla5[[#This Row],[INVERSIONES FCI]],+Tabla5[[#This Row],[INVERSIONES FCI]]-BW300,Tabla5[[#This Row],[INVERSIONES FCI]])</f>
        <v>3181258919.758316</v>
      </c>
      <c r="BX301" s="5">
        <f>IF($B300&lt;=Tabla5[[#This Row],[INVERSIONES FCI]],+Tabla5[[#This Row],[INVERSIONES FCI]]-BX300,Tabla5[[#This Row],[INVERSIONES FCI]])</f>
        <v>3181258919.758316</v>
      </c>
      <c r="BY301" s="5">
        <f>IF($B300&lt;=Tabla5[[#This Row],[INVERSIONES FCI]],+Tabla5[[#This Row],[INVERSIONES FCI]]-BY300,Tabla5[[#This Row],[INVERSIONES FCI]])</f>
        <v>3181258919.758316</v>
      </c>
      <c r="BZ301" s="5">
        <f>IF($B300&lt;=Tabla5[[#This Row],[INVERSIONES FCI]],+Tabla5[[#This Row],[INVERSIONES FCI]]-BZ300,Tabla5[[#This Row],[INVERSIONES FCI]])</f>
        <v>3181258919.758316</v>
      </c>
      <c r="CA301" s="5">
        <f>IF($B300&lt;=Tabla5[[#This Row],[INVERSIONES FCI]],+Tabla5[[#This Row],[INVERSIONES FCI]]-CA300,Tabla5[[#This Row],[INVERSIONES FCI]])</f>
        <v>3181258919.758316</v>
      </c>
      <c r="CB301" s="5">
        <f>IF($B300&lt;=Tabla5[[#This Row],[INVERSIONES FCI]],+Tabla5[[#This Row],[INVERSIONES FCI]]-CB300,Tabla5[[#This Row],[INVERSIONES FCI]])</f>
        <v>3181258919.758316</v>
      </c>
      <c r="CC301" s="5">
        <f>IF($B300&lt;=Tabla5[[#This Row],[INVERSIONES FCI]],+Tabla5[[#This Row],[INVERSIONES FCI]]-CC300,Tabla5[[#This Row],[INVERSIONES FCI]])</f>
        <v>3181258919.758316</v>
      </c>
      <c r="CD301" s="5">
        <f>IF($B300&lt;=Tabla5[[#This Row],[INVERSIONES FCI]],+Tabla5[[#This Row],[INVERSIONES FCI]]-CD300,Tabla5[[#This Row],[INVERSIONES FCI]])</f>
        <v>3181258919.758316</v>
      </c>
      <c r="CE301" s="5">
        <f>IF($B300&lt;=Tabla5[[#This Row],[INVERSIONES FCI]],+Tabla5[[#This Row],[INVERSIONES FCI]]-CE300,Tabla5[[#This Row],[INVERSIONES FCI]])</f>
        <v>3181258919.758316</v>
      </c>
      <c r="CF301" s="5">
        <f>IF($B300&lt;=Tabla5[[#This Row],[INVERSIONES FCI]],+Tabla5[[#This Row],[INVERSIONES FCI]]-CF300,Tabla5[[#This Row],[INVERSIONES FCI]])</f>
        <v>3181258919.758316</v>
      </c>
      <c r="CG301" s="5">
        <f>IF($B300&lt;=Tabla5[[#This Row],[INVERSIONES FCI]],+Tabla5[[#This Row],[INVERSIONES FCI]]-CG300,Tabla5[[#This Row],[INVERSIONES FCI]])</f>
        <v>3181258919.758316</v>
      </c>
      <c r="CH301" s="5">
        <f>IF($B300&lt;=Tabla5[[#This Row],[INVERSIONES FCI]],+Tabla5[[#This Row],[INVERSIONES FCI]]-CH300,Tabla5[[#This Row],[INVERSIONES FCI]])</f>
        <v>3181258919.758316</v>
      </c>
      <c r="CI301" s="5">
        <f>IF($B300&lt;=Tabla5[[#This Row],[INVERSIONES FCI]],+Tabla5[[#This Row],[INVERSIONES FCI]]-CI300,Tabla5[[#This Row],[INVERSIONES FCI]])</f>
        <v>3181258919.758316</v>
      </c>
      <c r="CJ301" s="5">
        <f>IF($B300&lt;=Tabla5[[#This Row],[INVERSIONES FCI]],+Tabla5[[#This Row],[INVERSIONES FCI]]-CJ300,Tabla5[[#This Row],[INVERSIONES FCI]])</f>
        <v>3181258919.758316</v>
      </c>
      <c r="CK301" s="5">
        <f>IF($B300&lt;=Tabla5[[#This Row],[INVERSIONES FCI]],+Tabla5[[#This Row],[INVERSIONES FCI]]-CK300,Tabla5[[#This Row],[INVERSIONES FCI]])</f>
        <v>3181258919.758316</v>
      </c>
      <c r="CL301" s="5">
        <f>IF($B300&lt;=Tabla5[[#This Row],[INVERSIONES FCI]],+Tabla5[[#This Row],[INVERSIONES FCI]]-CL300,Tabla5[[#This Row],[INVERSIONES FCI]])</f>
        <v>3181258919.758316</v>
      </c>
      <c r="CM301" s="5">
        <f>IF($B300&lt;=Tabla5[[#This Row],[INVERSIONES FCI]],+Tabla5[[#This Row],[INVERSIONES FCI]]-CM300,Tabla5[[#This Row],[INVERSIONES FCI]])</f>
        <v>3181258919.758316</v>
      </c>
      <c r="CN301" s="5">
        <f>IF($B300&lt;=Tabla5[[#This Row],[INVERSIONES FCI]],+Tabla5[[#This Row],[INVERSIONES FCI]]-CN300,Tabla5[[#This Row],[INVERSIONES FCI]])</f>
        <v>3181258919.758316</v>
      </c>
      <c r="CO301" s="5">
        <f>IF($B300&lt;=Tabla5[[#This Row],[INVERSIONES FCI]],+Tabla5[[#This Row],[INVERSIONES FCI]]-CO300,Tabla5[[#This Row],[INVERSIONES FCI]])</f>
        <v>3181258919.758316</v>
      </c>
      <c r="CP301" s="5">
        <f>IF($B300&lt;=Tabla5[[#This Row],[INVERSIONES FCI]],+Tabla5[[#This Row],[INVERSIONES FCI]]-CP300,Tabla5[[#This Row],[INVERSIONES FCI]])</f>
        <v>3181258919.758316</v>
      </c>
      <c r="CQ301" s="5">
        <f>IF($B300&lt;=Tabla5[[#This Row],[INVERSIONES FCI]],+Tabla5[[#This Row],[INVERSIONES FCI]]-CQ300,Tabla5[[#This Row],[INVERSIONES FCI]])</f>
        <v>3181258919.758316</v>
      </c>
      <c r="CR301" s="5">
        <f>IF($B300&lt;=Tabla5[[#This Row],[INVERSIONES FCI]],+Tabla5[[#This Row],[INVERSIONES FCI]]-CR300,Tabla5[[#This Row],[INVERSIONES FCI]])</f>
        <v>3181258919.758316</v>
      </c>
      <c r="CS301" s="5">
        <f>IF($B300&lt;=Tabla5[[#This Row],[INVERSIONES FCI]],+Tabla5[[#This Row],[INVERSIONES FCI]]-CS300,Tabla5[[#This Row],[INVERSIONES FCI]])</f>
        <v>3181258919.758316</v>
      </c>
      <c r="CT301" s="5">
        <f>IF($B300&lt;=Tabla5[[#This Row],[INVERSIONES FCI]],+Tabla5[[#This Row],[INVERSIONES FCI]]-CT300,Tabla5[[#This Row],[INVERSIONES FCI]])</f>
        <v>3181258919.758316</v>
      </c>
      <c r="CU301" s="5">
        <f>IF($B300&lt;=Tabla5[[#This Row],[INVERSIONES FCI]],+Tabla5[[#This Row],[INVERSIONES FCI]]-CU300,Tabla5[[#This Row],[INVERSIONES FCI]])</f>
        <v>3181258919.758316</v>
      </c>
      <c r="CV301" s="5">
        <f>IF($B300&lt;=Tabla5[[#This Row],[INVERSIONES FCI]],+Tabla5[[#This Row],[INVERSIONES FCI]]-CV300,Tabla5[[#This Row],[INVERSIONES FCI]])</f>
        <v>3181258919.758316</v>
      </c>
      <c r="CW301" s="5">
        <f>IF($B300&lt;=Tabla5[[#This Row],[INVERSIONES FCI]],+Tabla5[[#This Row],[INVERSIONES FCI]]-CW300,Tabla5[[#This Row],[INVERSIONES FCI]])</f>
        <v>3181258919.758316</v>
      </c>
      <c r="CX301" s="5">
        <f>IF($B300&lt;=Tabla5[[#This Row],[INVERSIONES FCI]],+Tabla5[[#This Row],[INVERSIONES FCI]]-CX300,Tabla5[[#This Row],[INVERSIONES FCI]])</f>
        <v>3181258919.758316</v>
      </c>
      <c r="CY301" s="5">
        <f>IF($B300&lt;=Tabla5[[#This Row],[INVERSIONES FCI]],+Tabla5[[#This Row],[INVERSIONES FCI]]-CY300,Tabla5[[#This Row],[INVERSIONES FCI]])</f>
        <v>3181258919.758316</v>
      </c>
      <c r="CZ301" s="5">
        <f>IF($B300&lt;=Tabla5[[#This Row],[INVERSIONES FCI]],+Tabla5[[#This Row],[INVERSIONES FCI]]-CZ300,Tabla5[[#This Row],[INVERSIONES FCI]])</f>
        <v>3181258919.758316</v>
      </c>
      <c r="DA301" s="5">
        <f>IF($B300&lt;=Tabla5[[#This Row],[INVERSIONES FCI]],+Tabla5[[#This Row],[INVERSIONES FCI]]-DA300,Tabla5[[#This Row],[INVERSIONES FCI]])</f>
        <v>3181258919.758316</v>
      </c>
      <c r="DB301" s="5">
        <f>IF($B300&lt;=Tabla5[[#This Row],[INVERSIONES FCI]],+Tabla5[[#This Row],[INVERSIONES FCI]]-DB300,Tabla5[[#This Row],[INVERSIONES FCI]])</f>
        <v>3181258919.758316</v>
      </c>
      <c r="DC301" s="5">
        <f>IF($B300&lt;=Tabla5[[#This Row],[INVERSIONES FCI]],+Tabla5[[#This Row],[INVERSIONES FCI]]-DC300,Tabla5[[#This Row],[INVERSIONES FCI]])</f>
        <v>3181258919.758316</v>
      </c>
      <c r="DD301" s="5">
        <f>IF($B300&lt;=Tabla5[[#This Row],[INVERSIONES FCI]],+Tabla5[[#This Row],[INVERSIONES FCI]]-DD300,Tabla5[[#This Row],[INVERSIONES FCI]])</f>
        <v>3181258919.758316</v>
      </c>
      <c r="DE301" s="5">
        <f>IF($B300&lt;=Tabla5[[#This Row],[INVERSIONES FCI]],+Tabla5[[#This Row],[INVERSIONES FCI]]-DE300,Tabla5[[#This Row],[INVERSIONES FCI]])</f>
        <v>3181258919.758316</v>
      </c>
      <c r="DF301" s="5">
        <f>IF($B300&lt;=Tabla5[[#This Row],[INVERSIONES FCI]],+Tabla5[[#This Row],[INVERSIONES FCI]]-DF300,Tabla5[[#This Row],[INVERSIONES FCI]])</f>
        <v>3181258919.758316</v>
      </c>
      <c r="DG301" s="5">
        <f>IF($B300&lt;=Tabla5[[#This Row],[INVERSIONES FCI]],+Tabla5[[#This Row],[INVERSIONES FCI]]-DG300,Tabla5[[#This Row],[INVERSIONES FCI]])</f>
        <v>3181258919.758316</v>
      </c>
      <c r="DH301" s="5">
        <f>IF($B300&lt;=Tabla5[[#This Row],[INVERSIONES FCI]],+Tabla5[[#This Row],[INVERSIONES FCI]]-DH300,Tabla5[[#This Row],[INVERSIONES FCI]])</f>
        <v>3181258919.758316</v>
      </c>
      <c r="DI301" s="5">
        <f>IF($B300&lt;=Tabla5[[#This Row],[INVERSIONES FCI]],+Tabla5[[#This Row],[INVERSIONES FCI]]-DI300,Tabla5[[#This Row],[INVERSIONES FCI]])</f>
        <v>3181258919.758316</v>
      </c>
      <c r="DJ301" s="5">
        <f>IF($B300&lt;=Tabla5[[#This Row],[INVERSIONES FCI]],+Tabla5[[#This Row],[INVERSIONES FCI]]-DJ300,Tabla5[[#This Row],[INVERSIONES FCI]])</f>
        <v>3181258919.758316</v>
      </c>
      <c r="DK301" s="5">
        <f>IF($B300&lt;=Tabla5[[#This Row],[INVERSIONES FCI]],+Tabla5[[#This Row],[INVERSIONES FCI]]-DK300,Tabla5[[#This Row],[INVERSIONES FCI]])</f>
        <v>3181258919.758316</v>
      </c>
      <c r="DL301" s="5"/>
      <c r="DM301" s="5"/>
      <c r="DN301" s="5"/>
      <c r="DO301" s="5"/>
      <c r="DP301" s="5"/>
      <c r="DQ301" s="5"/>
    </row>
    <row r="302" spans="1:121" ht="14.4">
      <c r="A302" s="12" t="s">
        <v>301</v>
      </c>
      <c r="B302" s="5">
        <f>HLOOKUP($A302,ESCENARIO[#All],7,FALSE)</f>
        <v>82835702718.059036</v>
      </c>
      <c r="C302" s="5">
        <f>IF($B301&lt;=Tabla5[[#This Row],[INVERSIONES FCI]],+Tabla5[[#This Row],[INVERSIONES FCI]]-C301,Tabla5[[#This Row],[INVERSIONES FCI]])</f>
        <v>79654443798.30072</v>
      </c>
      <c r="D302" s="5">
        <f>IF($B301&lt;=Tabla5[[#This Row],[INVERSIONES FCI]],+Tabla5[[#This Row],[INVERSIONES FCI]]-D301,Tabla5[[#This Row],[INVERSIONES FCI]])</f>
        <v>79654443798.30072</v>
      </c>
      <c r="E302" s="5">
        <f>IF($B301&lt;=Tabla5[[#This Row],[INVERSIONES FCI]],+Tabla5[[#This Row],[INVERSIONES FCI]]-E301,Tabla5[[#This Row],[INVERSIONES FCI]])</f>
        <v>79654443798.30072</v>
      </c>
      <c r="F302" s="5">
        <f>IF($B301&lt;=Tabla5[[#This Row],[INVERSIONES FCI]],+Tabla5[[#This Row],[INVERSIONES FCI]]-F301,Tabla5[[#This Row],[INVERSIONES FCI]])</f>
        <v>79654443798.30072</v>
      </c>
      <c r="G302" s="5">
        <f>IF($B301&lt;=Tabla5[[#This Row],[INVERSIONES FCI]],+Tabla5[[#This Row],[INVERSIONES FCI]]-G301,Tabla5[[#This Row],[INVERSIONES FCI]])</f>
        <v>79654443798.30072</v>
      </c>
      <c r="H302" s="5">
        <f>IF($B301&lt;=Tabla5[[#This Row],[INVERSIONES FCI]],+Tabla5[[#This Row],[INVERSIONES FCI]]-H301,Tabla5[[#This Row],[INVERSIONES FCI]])</f>
        <v>79654443798.30072</v>
      </c>
      <c r="I302" s="5">
        <f>IF($B301&lt;=Tabla5[[#This Row],[INVERSIONES FCI]],+Tabla5[[#This Row],[INVERSIONES FCI]]-I301,Tabla5[[#This Row],[INVERSIONES FCI]])</f>
        <v>79654443798.30072</v>
      </c>
      <c r="J302" s="5">
        <f>IF($B301&lt;=Tabla5[[#This Row],[INVERSIONES FCI]],+Tabla5[[#This Row],[INVERSIONES FCI]]-J301,Tabla5[[#This Row],[INVERSIONES FCI]])</f>
        <v>79654443798.30072</v>
      </c>
      <c r="K302" s="5">
        <f>IF($B301&lt;=Tabla5[[#This Row],[INVERSIONES FCI]],+Tabla5[[#This Row],[INVERSIONES FCI]]-K301,Tabla5[[#This Row],[INVERSIONES FCI]])</f>
        <v>79654443798.30072</v>
      </c>
      <c r="L302" s="5">
        <f>IF($B301&lt;=Tabla5[[#This Row],[INVERSIONES FCI]],+Tabla5[[#This Row],[INVERSIONES FCI]]-L301,Tabla5[[#This Row],[INVERSIONES FCI]])</f>
        <v>79654443798.30072</v>
      </c>
      <c r="M302" s="5">
        <f>IF($B301&lt;=Tabla5[[#This Row],[INVERSIONES FCI]],+Tabla5[[#This Row],[INVERSIONES FCI]]-M301,Tabla5[[#This Row],[INVERSIONES FCI]])</f>
        <v>79654443798.30072</v>
      </c>
      <c r="N302" s="5">
        <f>IF($B301&lt;=Tabla5[[#This Row],[INVERSIONES FCI]],+Tabla5[[#This Row],[INVERSIONES FCI]]-N301,Tabla5[[#This Row],[INVERSIONES FCI]])</f>
        <v>79654443798.30072</v>
      </c>
      <c r="O302" s="5">
        <f>IF($B301&lt;=Tabla5[[#This Row],[INVERSIONES FCI]],+Tabla5[[#This Row],[INVERSIONES FCI]]-O301,Tabla5[[#This Row],[INVERSIONES FCI]])</f>
        <v>79654443798.30072</v>
      </c>
      <c r="P302" s="5">
        <f>IF($B301&lt;=Tabla5[[#This Row],[INVERSIONES FCI]],+Tabla5[[#This Row],[INVERSIONES FCI]]-P301,Tabla5[[#This Row],[INVERSIONES FCI]])</f>
        <v>79654443798.30072</v>
      </c>
      <c r="Q302" s="5">
        <f>IF($B301&lt;=Tabla5[[#This Row],[INVERSIONES FCI]],+Tabla5[[#This Row],[INVERSIONES FCI]]-Q301,Tabla5[[#This Row],[INVERSIONES FCI]])</f>
        <v>79654443798.30072</v>
      </c>
      <c r="R302" s="5">
        <f>IF($B301&lt;=Tabla5[[#This Row],[INVERSIONES FCI]],+Tabla5[[#This Row],[INVERSIONES FCI]]-R301,Tabla5[[#This Row],[INVERSIONES FCI]])</f>
        <v>79654443798.30072</v>
      </c>
      <c r="S302" s="5">
        <f>IF($B301&lt;=Tabla5[[#This Row],[INVERSIONES FCI]],+Tabla5[[#This Row],[INVERSIONES FCI]]-S301,Tabla5[[#This Row],[INVERSIONES FCI]])</f>
        <v>79654443798.30072</v>
      </c>
      <c r="T302" s="5">
        <f>IF($B301&lt;=Tabla5[[#This Row],[INVERSIONES FCI]],+Tabla5[[#This Row],[INVERSIONES FCI]]-T301,Tabla5[[#This Row],[INVERSIONES FCI]])</f>
        <v>79654443798.30072</v>
      </c>
      <c r="U302" s="5">
        <f>IF($B301&lt;=Tabla5[[#This Row],[INVERSIONES FCI]],+Tabla5[[#This Row],[INVERSIONES FCI]]-U301,Tabla5[[#This Row],[INVERSIONES FCI]])</f>
        <v>79654443798.30072</v>
      </c>
      <c r="V302" s="5">
        <f>IF($B301&lt;=Tabla5[[#This Row],[INVERSIONES FCI]],+Tabla5[[#This Row],[INVERSIONES FCI]]-V301,Tabla5[[#This Row],[INVERSIONES FCI]])</f>
        <v>79654443798.30072</v>
      </c>
      <c r="W302" s="5">
        <f>IF($B301&lt;=Tabla5[[#This Row],[INVERSIONES FCI]],+Tabla5[[#This Row],[INVERSIONES FCI]]-W301,Tabla5[[#This Row],[INVERSIONES FCI]])</f>
        <v>79654443798.30072</v>
      </c>
      <c r="X302" s="5">
        <f>IF($B301&lt;=Tabla5[[#This Row],[INVERSIONES FCI]],+Tabla5[[#This Row],[INVERSIONES FCI]]-X301,Tabla5[[#This Row],[INVERSIONES FCI]])</f>
        <v>79654443798.30072</v>
      </c>
      <c r="Y302" s="5">
        <f>IF($B301&lt;=Tabla5[[#This Row],[INVERSIONES FCI]],+Tabla5[[#This Row],[INVERSIONES FCI]]-Y301,Tabla5[[#This Row],[INVERSIONES FCI]])</f>
        <v>79654443798.30072</v>
      </c>
      <c r="Z302" s="5">
        <f>IF($B301&lt;=Tabla5[[#This Row],[INVERSIONES FCI]],+Tabla5[[#This Row],[INVERSIONES FCI]]-Z301,Tabla5[[#This Row],[INVERSIONES FCI]])</f>
        <v>79654443798.30072</v>
      </c>
      <c r="AA302" s="5">
        <f>IF($B301&lt;=Tabla5[[#This Row],[INVERSIONES FCI]],+Tabla5[[#This Row],[INVERSIONES FCI]]-AA301,Tabla5[[#This Row],[INVERSIONES FCI]])</f>
        <v>79654443798.30072</v>
      </c>
      <c r="AB302" s="5">
        <f>IF($B301&lt;=Tabla5[[#This Row],[INVERSIONES FCI]],+Tabla5[[#This Row],[INVERSIONES FCI]]-AB301,Tabla5[[#This Row],[INVERSIONES FCI]])</f>
        <v>79654443798.30072</v>
      </c>
      <c r="AC302" s="5">
        <f>IF($B301&lt;=Tabla5[[#This Row],[INVERSIONES FCI]],+Tabla5[[#This Row],[INVERSIONES FCI]]-AC301,Tabla5[[#This Row],[INVERSIONES FCI]])</f>
        <v>79654443798.30072</v>
      </c>
      <c r="AD302" s="5">
        <f>IF($B301&lt;=Tabla5[[#This Row],[INVERSIONES FCI]],+Tabla5[[#This Row],[INVERSIONES FCI]]-AD301,Tabla5[[#This Row],[INVERSIONES FCI]])</f>
        <v>79654443798.30072</v>
      </c>
      <c r="AE302" s="5">
        <f>IF($B301&lt;=Tabla5[[#This Row],[INVERSIONES FCI]],+Tabla5[[#This Row],[INVERSIONES FCI]]-AE301,Tabla5[[#This Row],[INVERSIONES FCI]])</f>
        <v>79654443798.30072</v>
      </c>
      <c r="AF302" s="5">
        <f>IF($B301&lt;=Tabla5[[#This Row],[INVERSIONES FCI]],+Tabla5[[#This Row],[INVERSIONES FCI]]-AF301,Tabla5[[#This Row],[INVERSIONES FCI]])</f>
        <v>79654443798.30072</v>
      </c>
      <c r="AG302" s="5">
        <f>IF($B301&lt;=Tabla5[[#This Row],[INVERSIONES FCI]],+Tabla5[[#This Row],[INVERSIONES FCI]]-AG301,Tabla5[[#This Row],[INVERSIONES FCI]])</f>
        <v>79654443798.30072</v>
      </c>
      <c r="AH302" s="5">
        <f>IF($B301&lt;=Tabla5[[#This Row],[INVERSIONES FCI]],+Tabla5[[#This Row],[INVERSIONES FCI]]-AH301,Tabla5[[#This Row],[INVERSIONES FCI]])</f>
        <v>79654443798.30072</v>
      </c>
      <c r="AI302" s="5">
        <f>IF($B301&lt;=Tabla5[[#This Row],[INVERSIONES FCI]],+Tabla5[[#This Row],[INVERSIONES FCI]]-AI301,Tabla5[[#This Row],[INVERSIONES FCI]])</f>
        <v>79654443798.30072</v>
      </c>
      <c r="AJ302" s="5">
        <f>IF($B301&lt;=Tabla5[[#This Row],[INVERSIONES FCI]],+Tabla5[[#This Row],[INVERSIONES FCI]]-AJ301,Tabla5[[#This Row],[INVERSIONES FCI]])</f>
        <v>79654443798.30072</v>
      </c>
      <c r="AK302" s="5">
        <f>IF($B301&lt;=Tabla5[[#This Row],[INVERSIONES FCI]],+Tabla5[[#This Row],[INVERSIONES FCI]]-AK301,Tabla5[[#This Row],[INVERSIONES FCI]])</f>
        <v>79654443798.30072</v>
      </c>
      <c r="AL302" s="5">
        <f>IF($B301&lt;=Tabla5[[#This Row],[INVERSIONES FCI]],+Tabla5[[#This Row],[INVERSIONES FCI]]-AL301,Tabla5[[#This Row],[INVERSIONES FCI]])</f>
        <v>79654443798.30072</v>
      </c>
      <c r="AM302" s="5">
        <f>IF($B301&lt;=Tabla5[[#This Row],[INVERSIONES FCI]],+Tabla5[[#This Row],[INVERSIONES FCI]]-AM301,Tabla5[[#This Row],[INVERSIONES FCI]])</f>
        <v>79654443798.30072</v>
      </c>
      <c r="AN302" s="5">
        <f>IF($B301&lt;=Tabla5[[#This Row],[INVERSIONES FCI]],+Tabla5[[#This Row],[INVERSIONES FCI]]-AN301,Tabla5[[#This Row],[INVERSIONES FCI]])</f>
        <v>79654443798.30072</v>
      </c>
      <c r="AO302" s="5">
        <f>IF($B301&lt;=Tabla5[[#This Row],[INVERSIONES FCI]],+Tabla5[[#This Row],[INVERSIONES FCI]]-AO301,Tabla5[[#This Row],[INVERSIONES FCI]])</f>
        <v>79654443798.30072</v>
      </c>
      <c r="AP302" s="5">
        <f>IF($B301&lt;=Tabla5[[#This Row],[INVERSIONES FCI]],+Tabla5[[#This Row],[INVERSIONES FCI]]-AP301,Tabla5[[#This Row],[INVERSIONES FCI]])</f>
        <v>79654443798.30072</v>
      </c>
      <c r="AQ302" s="5">
        <f>IF($B301&lt;=Tabla5[[#This Row],[INVERSIONES FCI]],+Tabla5[[#This Row],[INVERSIONES FCI]]-AQ301,Tabla5[[#This Row],[INVERSIONES FCI]])</f>
        <v>79654443798.30072</v>
      </c>
      <c r="AR302" s="5">
        <f>IF($B301&lt;=Tabla5[[#This Row],[INVERSIONES FCI]],+Tabla5[[#This Row],[INVERSIONES FCI]]-AR301,Tabla5[[#This Row],[INVERSIONES FCI]])</f>
        <v>79654443798.30072</v>
      </c>
      <c r="AS302" s="5">
        <f>IF($B301&lt;=Tabla5[[#This Row],[INVERSIONES FCI]],+Tabla5[[#This Row],[INVERSIONES FCI]]-AS301,Tabla5[[#This Row],[INVERSIONES FCI]])</f>
        <v>79654443798.30072</v>
      </c>
      <c r="AT302" s="5">
        <f>IF($B301&lt;=Tabla5[[#This Row],[INVERSIONES FCI]],+Tabla5[[#This Row],[INVERSIONES FCI]]-AT301,Tabla5[[#This Row],[INVERSIONES FCI]])</f>
        <v>79654443798.30072</v>
      </c>
      <c r="AU302" s="5">
        <f>IF($B301&lt;=Tabla5[[#This Row],[INVERSIONES FCI]],+Tabla5[[#This Row],[INVERSIONES FCI]]-AU301,Tabla5[[#This Row],[INVERSIONES FCI]])</f>
        <v>79654443798.30072</v>
      </c>
      <c r="AV302" s="5">
        <f>IF($B301&lt;=Tabla5[[#This Row],[INVERSIONES FCI]],+Tabla5[[#This Row],[INVERSIONES FCI]]-AV301,Tabla5[[#This Row],[INVERSIONES FCI]])</f>
        <v>79654443798.30072</v>
      </c>
      <c r="AW302" s="5">
        <f>IF($B301&lt;=Tabla5[[#This Row],[INVERSIONES FCI]],+Tabla5[[#This Row],[INVERSIONES FCI]]-AW301,Tabla5[[#This Row],[INVERSIONES FCI]])</f>
        <v>79654443798.30072</v>
      </c>
      <c r="AX302" s="5">
        <f>IF($B301&lt;=Tabla5[[#This Row],[INVERSIONES FCI]],+Tabla5[[#This Row],[INVERSIONES FCI]]-AX301,Tabla5[[#This Row],[INVERSIONES FCI]])</f>
        <v>79654443798.30072</v>
      </c>
      <c r="AY302" s="5">
        <f>IF($B301&lt;=Tabla5[[#This Row],[INVERSIONES FCI]],+Tabla5[[#This Row],[INVERSIONES FCI]]-AY301,Tabla5[[#This Row],[INVERSIONES FCI]])</f>
        <v>79654443798.30072</v>
      </c>
      <c r="AZ302" s="5">
        <f>IF($B301&lt;=Tabla5[[#This Row],[INVERSIONES FCI]],+Tabla5[[#This Row],[INVERSIONES FCI]]-AZ301,Tabla5[[#This Row],[INVERSIONES FCI]])</f>
        <v>79654443798.30072</v>
      </c>
      <c r="BA302" s="5">
        <f>IF($B301&lt;=Tabla5[[#This Row],[INVERSIONES FCI]],+Tabla5[[#This Row],[INVERSIONES FCI]]-BA301,Tabla5[[#This Row],[INVERSIONES FCI]])</f>
        <v>79654443798.30072</v>
      </c>
      <c r="BB302" s="5">
        <f>IF($B301&lt;=Tabla5[[#This Row],[INVERSIONES FCI]],+Tabla5[[#This Row],[INVERSIONES FCI]]-BB301,Tabla5[[#This Row],[INVERSIONES FCI]])</f>
        <v>79654443798.30072</v>
      </c>
      <c r="BC302" s="5">
        <f>IF($B301&lt;=Tabla5[[#This Row],[INVERSIONES FCI]],+Tabla5[[#This Row],[INVERSIONES FCI]]-BC301,Tabla5[[#This Row],[INVERSIONES FCI]])</f>
        <v>79654443798.30072</v>
      </c>
      <c r="BD302" s="5">
        <f>IF($B301&lt;=Tabla5[[#This Row],[INVERSIONES FCI]],+Tabla5[[#This Row],[INVERSIONES FCI]]-BD301,Tabla5[[#This Row],[INVERSIONES FCI]])</f>
        <v>79654443798.30072</v>
      </c>
      <c r="BE302" s="5">
        <f>IF($B301&lt;=Tabla5[[#This Row],[INVERSIONES FCI]],+Tabla5[[#This Row],[INVERSIONES FCI]]-BE301,Tabla5[[#This Row],[INVERSIONES FCI]])</f>
        <v>79654443798.30072</v>
      </c>
      <c r="BF302" s="5">
        <f>IF($B301&lt;=Tabla5[[#This Row],[INVERSIONES FCI]],+Tabla5[[#This Row],[INVERSIONES FCI]]-BF301,Tabla5[[#This Row],[INVERSIONES FCI]])</f>
        <v>79654443798.30072</v>
      </c>
      <c r="BG302" s="5">
        <f>IF($B301&lt;=Tabla5[[#This Row],[INVERSIONES FCI]],+Tabla5[[#This Row],[INVERSIONES FCI]]-BG301,Tabla5[[#This Row],[INVERSIONES FCI]])</f>
        <v>79654443798.30072</v>
      </c>
      <c r="BH302" s="5">
        <f>IF($B301&lt;=Tabla5[[#This Row],[INVERSIONES FCI]],+Tabla5[[#This Row],[INVERSIONES FCI]]-BH301,Tabla5[[#This Row],[INVERSIONES FCI]])</f>
        <v>79654443798.30072</v>
      </c>
      <c r="BI302" s="5">
        <f>IF($B301&lt;=Tabla5[[#This Row],[INVERSIONES FCI]],+Tabla5[[#This Row],[INVERSIONES FCI]]-BI301,Tabla5[[#This Row],[INVERSIONES FCI]])</f>
        <v>79654443798.30072</v>
      </c>
      <c r="BJ302" s="5">
        <f>IF($B301&lt;=Tabla5[[#This Row],[INVERSIONES FCI]],+Tabla5[[#This Row],[INVERSIONES FCI]]-BJ301,Tabla5[[#This Row],[INVERSIONES FCI]])</f>
        <v>79654443798.30072</v>
      </c>
      <c r="BK302" s="5">
        <f>IF($B301&lt;=Tabla5[[#This Row],[INVERSIONES FCI]],+Tabla5[[#This Row],[INVERSIONES FCI]]-BK301,Tabla5[[#This Row],[INVERSIONES FCI]])</f>
        <v>79654443798.30072</v>
      </c>
      <c r="BL302" s="5">
        <f>IF($B301&lt;=Tabla5[[#This Row],[INVERSIONES FCI]],+Tabla5[[#This Row],[INVERSIONES FCI]]-BL301,Tabla5[[#This Row],[INVERSIONES FCI]])</f>
        <v>79654443798.30072</v>
      </c>
      <c r="BM302" s="5">
        <f>IF($B301&lt;=Tabla5[[#This Row],[INVERSIONES FCI]],+Tabla5[[#This Row],[INVERSIONES FCI]]-BM301,Tabla5[[#This Row],[INVERSIONES FCI]])</f>
        <v>79654443798.30072</v>
      </c>
      <c r="BN302" s="5">
        <f>IF($B301&lt;=Tabla5[[#This Row],[INVERSIONES FCI]],+Tabla5[[#This Row],[INVERSIONES FCI]]-BN301,Tabla5[[#This Row],[INVERSIONES FCI]])</f>
        <v>79654443798.30072</v>
      </c>
      <c r="BO302" s="5">
        <f>IF($B301&lt;=Tabla5[[#This Row],[INVERSIONES FCI]],+Tabla5[[#This Row],[INVERSIONES FCI]]-BO301,Tabla5[[#This Row],[INVERSIONES FCI]])</f>
        <v>79654443798.30072</v>
      </c>
      <c r="BP302" s="5">
        <f>IF($B301&lt;=Tabla5[[#This Row],[INVERSIONES FCI]],+Tabla5[[#This Row],[INVERSIONES FCI]]-BP301,Tabla5[[#This Row],[INVERSIONES FCI]])</f>
        <v>79654443798.30072</v>
      </c>
      <c r="BQ302" s="5">
        <f>IF($B301&lt;=Tabla5[[#This Row],[INVERSIONES FCI]],+Tabla5[[#This Row],[INVERSIONES FCI]]-BQ301,Tabla5[[#This Row],[INVERSIONES FCI]])</f>
        <v>79654443798.30072</v>
      </c>
      <c r="BR302" s="5">
        <f>IF($B301&lt;=Tabla5[[#This Row],[INVERSIONES FCI]],+Tabla5[[#This Row],[INVERSIONES FCI]]-BR301,Tabla5[[#This Row],[INVERSIONES FCI]])</f>
        <v>79654443798.30072</v>
      </c>
      <c r="BS302" s="5">
        <f>IF($B301&lt;=Tabla5[[#This Row],[INVERSIONES FCI]],+Tabla5[[#This Row],[INVERSIONES FCI]]-BS301,Tabla5[[#This Row],[INVERSIONES FCI]])</f>
        <v>79654443798.30072</v>
      </c>
      <c r="BT302" s="5">
        <f>IF($B301&lt;=Tabla5[[#This Row],[INVERSIONES FCI]],+Tabla5[[#This Row],[INVERSIONES FCI]]-BT301,Tabla5[[#This Row],[INVERSIONES FCI]])</f>
        <v>79654443798.30072</v>
      </c>
      <c r="BU302" s="5">
        <f>IF($B301&lt;=Tabla5[[#This Row],[INVERSIONES FCI]],+Tabla5[[#This Row],[INVERSIONES FCI]]-BU301,Tabla5[[#This Row],[INVERSIONES FCI]])</f>
        <v>79654443798.30072</v>
      </c>
      <c r="BV302" s="5">
        <f>IF($B301&lt;=Tabla5[[#This Row],[INVERSIONES FCI]],+Tabla5[[#This Row],[INVERSIONES FCI]]-BV301,Tabla5[[#This Row],[INVERSIONES FCI]])</f>
        <v>79654443798.30072</v>
      </c>
      <c r="BW302" s="5">
        <f>IF($B301&lt;=Tabla5[[#This Row],[INVERSIONES FCI]],+Tabla5[[#This Row],[INVERSIONES FCI]]-BW301,Tabla5[[#This Row],[INVERSIONES FCI]])</f>
        <v>79654443798.30072</v>
      </c>
      <c r="BX302" s="5">
        <f>IF($B301&lt;=Tabla5[[#This Row],[INVERSIONES FCI]],+Tabla5[[#This Row],[INVERSIONES FCI]]-BX301,Tabla5[[#This Row],[INVERSIONES FCI]])</f>
        <v>79654443798.30072</v>
      </c>
      <c r="BY302" s="5">
        <f>IF($B301&lt;=Tabla5[[#This Row],[INVERSIONES FCI]],+Tabla5[[#This Row],[INVERSIONES FCI]]-BY301,Tabla5[[#This Row],[INVERSIONES FCI]])</f>
        <v>79654443798.30072</v>
      </c>
      <c r="BZ302" s="5">
        <f>IF($B301&lt;=Tabla5[[#This Row],[INVERSIONES FCI]],+Tabla5[[#This Row],[INVERSIONES FCI]]-BZ301,Tabla5[[#This Row],[INVERSIONES FCI]])</f>
        <v>79654443798.30072</v>
      </c>
      <c r="CA302" s="5">
        <f>IF($B301&lt;=Tabla5[[#This Row],[INVERSIONES FCI]],+Tabla5[[#This Row],[INVERSIONES FCI]]-CA301,Tabla5[[#This Row],[INVERSIONES FCI]])</f>
        <v>79654443798.30072</v>
      </c>
      <c r="CB302" s="5">
        <f>IF($B301&lt;=Tabla5[[#This Row],[INVERSIONES FCI]],+Tabla5[[#This Row],[INVERSIONES FCI]]-CB301,Tabla5[[#This Row],[INVERSIONES FCI]])</f>
        <v>79654443798.30072</v>
      </c>
      <c r="CC302" s="5">
        <f>IF($B301&lt;=Tabla5[[#This Row],[INVERSIONES FCI]],+Tabla5[[#This Row],[INVERSIONES FCI]]-CC301,Tabla5[[#This Row],[INVERSIONES FCI]])</f>
        <v>79654443798.30072</v>
      </c>
      <c r="CD302" s="5">
        <f>IF($B301&lt;=Tabla5[[#This Row],[INVERSIONES FCI]],+Tabla5[[#This Row],[INVERSIONES FCI]]-CD301,Tabla5[[#This Row],[INVERSIONES FCI]])</f>
        <v>79654443798.30072</v>
      </c>
      <c r="CE302" s="5">
        <f>IF($B301&lt;=Tabla5[[#This Row],[INVERSIONES FCI]],+Tabla5[[#This Row],[INVERSIONES FCI]]-CE301,Tabla5[[#This Row],[INVERSIONES FCI]])</f>
        <v>79654443798.30072</v>
      </c>
      <c r="CF302" s="5">
        <f>IF($B301&lt;=Tabla5[[#This Row],[INVERSIONES FCI]],+Tabla5[[#This Row],[INVERSIONES FCI]]-CF301,Tabla5[[#This Row],[INVERSIONES FCI]])</f>
        <v>79654443798.30072</v>
      </c>
      <c r="CG302" s="5">
        <f>IF($B301&lt;=Tabla5[[#This Row],[INVERSIONES FCI]],+Tabla5[[#This Row],[INVERSIONES FCI]]-CG301,Tabla5[[#This Row],[INVERSIONES FCI]])</f>
        <v>79654443798.30072</v>
      </c>
      <c r="CH302" s="5">
        <f>IF($B301&lt;=Tabla5[[#This Row],[INVERSIONES FCI]],+Tabla5[[#This Row],[INVERSIONES FCI]]-CH301,Tabla5[[#This Row],[INVERSIONES FCI]])</f>
        <v>79654443798.30072</v>
      </c>
      <c r="CI302" s="5">
        <f>IF($B301&lt;=Tabla5[[#This Row],[INVERSIONES FCI]],+Tabla5[[#This Row],[INVERSIONES FCI]]-CI301,Tabla5[[#This Row],[INVERSIONES FCI]])</f>
        <v>79654443798.30072</v>
      </c>
      <c r="CJ302" s="5">
        <f>IF($B301&lt;=Tabla5[[#This Row],[INVERSIONES FCI]],+Tabla5[[#This Row],[INVERSIONES FCI]]-CJ301,Tabla5[[#This Row],[INVERSIONES FCI]])</f>
        <v>79654443798.30072</v>
      </c>
      <c r="CK302" s="5">
        <f>IF($B301&lt;=Tabla5[[#This Row],[INVERSIONES FCI]],+Tabla5[[#This Row],[INVERSIONES FCI]]-CK301,Tabla5[[#This Row],[INVERSIONES FCI]])</f>
        <v>79654443798.30072</v>
      </c>
      <c r="CL302" s="5">
        <f>IF($B301&lt;=Tabla5[[#This Row],[INVERSIONES FCI]],+Tabla5[[#This Row],[INVERSIONES FCI]]-CL301,Tabla5[[#This Row],[INVERSIONES FCI]])</f>
        <v>79654443798.30072</v>
      </c>
      <c r="CM302" s="5">
        <f>IF($B301&lt;=Tabla5[[#This Row],[INVERSIONES FCI]],+Tabla5[[#This Row],[INVERSIONES FCI]]-CM301,Tabla5[[#This Row],[INVERSIONES FCI]])</f>
        <v>79654443798.30072</v>
      </c>
      <c r="CN302" s="5">
        <f>IF($B301&lt;=Tabla5[[#This Row],[INVERSIONES FCI]],+Tabla5[[#This Row],[INVERSIONES FCI]]-CN301,Tabla5[[#This Row],[INVERSIONES FCI]])</f>
        <v>79654443798.30072</v>
      </c>
      <c r="CO302" s="5">
        <f>IF($B301&lt;=Tabla5[[#This Row],[INVERSIONES FCI]],+Tabla5[[#This Row],[INVERSIONES FCI]]-CO301,Tabla5[[#This Row],[INVERSIONES FCI]])</f>
        <v>79654443798.30072</v>
      </c>
      <c r="CP302" s="5">
        <f>IF($B301&lt;=Tabla5[[#This Row],[INVERSIONES FCI]],+Tabla5[[#This Row],[INVERSIONES FCI]]-CP301,Tabla5[[#This Row],[INVERSIONES FCI]])</f>
        <v>79654443798.30072</v>
      </c>
      <c r="CQ302" s="5">
        <f>IF($B301&lt;=Tabla5[[#This Row],[INVERSIONES FCI]],+Tabla5[[#This Row],[INVERSIONES FCI]]-CQ301,Tabla5[[#This Row],[INVERSIONES FCI]])</f>
        <v>79654443798.30072</v>
      </c>
      <c r="CR302" s="5">
        <f>IF($B301&lt;=Tabla5[[#This Row],[INVERSIONES FCI]],+Tabla5[[#This Row],[INVERSIONES FCI]]-CR301,Tabla5[[#This Row],[INVERSIONES FCI]])</f>
        <v>79654443798.30072</v>
      </c>
      <c r="CS302" s="5">
        <f>IF($B301&lt;=Tabla5[[#This Row],[INVERSIONES FCI]],+Tabla5[[#This Row],[INVERSIONES FCI]]-CS301,Tabla5[[#This Row],[INVERSIONES FCI]])</f>
        <v>79654443798.30072</v>
      </c>
      <c r="CT302" s="5">
        <f>IF($B301&lt;=Tabla5[[#This Row],[INVERSIONES FCI]],+Tabla5[[#This Row],[INVERSIONES FCI]]-CT301,Tabla5[[#This Row],[INVERSIONES FCI]])</f>
        <v>79654443798.30072</v>
      </c>
      <c r="CU302" s="5">
        <f>IF($B301&lt;=Tabla5[[#This Row],[INVERSIONES FCI]],+Tabla5[[#This Row],[INVERSIONES FCI]]-CU301,Tabla5[[#This Row],[INVERSIONES FCI]])</f>
        <v>79654443798.30072</v>
      </c>
      <c r="CV302" s="5">
        <f>IF($B301&lt;=Tabla5[[#This Row],[INVERSIONES FCI]],+Tabla5[[#This Row],[INVERSIONES FCI]]-CV301,Tabla5[[#This Row],[INVERSIONES FCI]])</f>
        <v>79654443798.30072</v>
      </c>
      <c r="CW302" s="5">
        <f>IF($B301&lt;=Tabla5[[#This Row],[INVERSIONES FCI]],+Tabla5[[#This Row],[INVERSIONES FCI]]-CW301,Tabla5[[#This Row],[INVERSIONES FCI]])</f>
        <v>79654443798.30072</v>
      </c>
      <c r="CX302" s="5">
        <f>IF($B301&lt;=Tabla5[[#This Row],[INVERSIONES FCI]],+Tabla5[[#This Row],[INVERSIONES FCI]]-CX301,Tabla5[[#This Row],[INVERSIONES FCI]])</f>
        <v>79654443798.30072</v>
      </c>
      <c r="CY302" s="5">
        <f>IF($B301&lt;=Tabla5[[#This Row],[INVERSIONES FCI]],+Tabla5[[#This Row],[INVERSIONES FCI]]-CY301,Tabla5[[#This Row],[INVERSIONES FCI]])</f>
        <v>79654443798.30072</v>
      </c>
      <c r="CZ302" s="5">
        <f>IF($B301&lt;=Tabla5[[#This Row],[INVERSIONES FCI]],+Tabla5[[#This Row],[INVERSIONES FCI]]-CZ301,Tabla5[[#This Row],[INVERSIONES FCI]])</f>
        <v>79654443798.30072</v>
      </c>
      <c r="DA302" s="5">
        <f>IF($B301&lt;=Tabla5[[#This Row],[INVERSIONES FCI]],+Tabla5[[#This Row],[INVERSIONES FCI]]-DA301,Tabla5[[#This Row],[INVERSIONES FCI]])</f>
        <v>79654443798.30072</v>
      </c>
      <c r="DB302" s="5">
        <f>IF($B301&lt;=Tabla5[[#This Row],[INVERSIONES FCI]],+Tabla5[[#This Row],[INVERSIONES FCI]]-DB301,Tabla5[[#This Row],[INVERSIONES FCI]])</f>
        <v>79654443798.30072</v>
      </c>
      <c r="DC302" s="5">
        <f>IF($B301&lt;=Tabla5[[#This Row],[INVERSIONES FCI]],+Tabla5[[#This Row],[INVERSIONES FCI]]-DC301,Tabla5[[#This Row],[INVERSIONES FCI]])</f>
        <v>79654443798.30072</v>
      </c>
      <c r="DD302" s="5">
        <f>IF($B301&lt;=Tabla5[[#This Row],[INVERSIONES FCI]],+Tabla5[[#This Row],[INVERSIONES FCI]]-DD301,Tabla5[[#This Row],[INVERSIONES FCI]])</f>
        <v>79654443798.30072</v>
      </c>
      <c r="DE302" s="5">
        <f>IF($B301&lt;=Tabla5[[#This Row],[INVERSIONES FCI]],+Tabla5[[#This Row],[INVERSIONES FCI]]-DE301,Tabla5[[#This Row],[INVERSIONES FCI]])</f>
        <v>79654443798.30072</v>
      </c>
      <c r="DF302" s="5">
        <f>IF($B301&lt;=Tabla5[[#This Row],[INVERSIONES FCI]],+Tabla5[[#This Row],[INVERSIONES FCI]]-DF301,Tabla5[[#This Row],[INVERSIONES FCI]])</f>
        <v>79654443798.30072</v>
      </c>
      <c r="DG302" s="5">
        <f>IF($B301&lt;=Tabla5[[#This Row],[INVERSIONES FCI]],+Tabla5[[#This Row],[INVERSIONES FCI]]-DG301,Tabla5[[#This Row],[INVERSIONES FCI]])</f>
        <v>79654443798.30072</v>
      </c>
      <c r="DH302" s="5">
        <f>IF($B301&lt;=Tabla5[[#This Row],[INVERSIONES FCI]],+Tabla5[[#This Row],[INVERSIONES FCI]]-DH301,Tabla5[[#This Row],[INVERSIONES FCI]])</f>
        <v>79654443798.30072</v>
      </c>
      <c r="DI302" s="5">
        <f>IF($B301&lt;=Tabla5[[#This Row],[INVERSIONES FCI]],+Tabla5[[#This Row],[INVERSIONES FCI]]-DI301,Tabla5[[#This Row],[INVERSIONES FCI]])</f>
        <v>79654443798.30072</v>
      </c>
      <c r="DJ302" s="5">
        <f>IF($B301&lt;=Tabla5[[#This Row],[INVERSIONES FCI]],+Tabla5[[#This Row],[INVERSIONES FCI]]-DJ301,Tabla5[[#This Row],[INVERSIONES FCI]])</f>
        <v>79654443798.30072</v>
      </c>
      <c r="DK302" s="5">
        <f>IF($B301&lt;=Tabla5[[#This Row],[INVERSIONES FCI]],+Tabla5[[#This Row],[INVERSIONES FCI]]-DK301,Tabla5[[#This Row],[INVERSIONES FCI]])</f>
        <v>79654443798.30072</v>
      </c>
      <c r="DL302" s="5"/>
      <c r="DM302" s="5"/>
      <c r="DN302" s="5"/>
      <c r="DO302" s="5"/>
      <c r="DP302" s="5"/>
      <c r="DQ302" s="5"/>
    </row>
    <row r="303" spans="1:121" ht="14.4">
      <c r="A303" s="12" t="s">
        <v>302</v>
      </c>
      <c r="B303" s="5">
        <f>HLOOKUP($A303,ESCENARIO[#All],7,FALSE)</f>
        <v>82835702718.059036</v>
      </c>
      <c r="C303" s="5">
        <f>IF($B302&lt;=Tabla5[[#This Row],[INVERSIONES FCI]],+Tabla5[[#This Row],[INVERSIONES FCI]]-C302,Tabla5[[#This Row],[INVERSIONES FCI]])</f>
        <v>3181258919.758316</v>
      </c>
      <c r="D303" s="5">
        <f>IF($B302&lt;=Tabla5[[#This Row],[INVERSIONES FCI]],+Tabla5[[#This Row],[INVERSIONES FCI]]-D302,Tabla5[[#This Row],[INVERSIONES FCI]])</f>
        <v>3181258919.758316</v>
      </c>
      <c r="E303" s="5">
        <f>IF($B302&lt;=Tabla5[[#This Row],[INVERSIONES FCI]],+Tabla5[[#This Row],[INVERSIONES FCI]]-E302,Tabla5[[#This Row],[INVERSIONES FCI]])</f>
        <v>3181258919.758316</v>
      </c>
      <c r="F303" s="5">
        <f>IF($B302&lt;=Tabla5[[#This Row],[INVERSIONES FCI]],+Tabla5[[#This Row],[INVERSIONES FCI]]-F302,Tabla5[[#This Row],[INVERSIONES FCI]])</f>
        <v>3181258919.758316</v>
      </c>
      <c r="G303" s="5">
        <f>IF($B302&lt;=Tabla5[[#This Row],[INVERSIONES FCI]],+Tabla5[[#This Row],[INVERSIONES FCI]]-G302,Tabla5[[#This Row],[INVERSIONES FCI]])</f>
        <v>3181258919.758316</v>
      </c>
      <c r="H303" s="5">
        <f>IF($B302&lt;=Tabla5[[#This Row],[INVERSIONES FCI]],+Tabla5[[#This Row],[INVERSIONES FCI]]-H302,Tabla5[[#This Row],[INVERSIONES FCI]])</f>
        <v>3181258919.758316</v>
      </c>
      <c r="I303" s="5">
        <f>IF($B302&lt;=Tabla5[[#This Row],[INVERSIONES FCI]],+Tabla5[[#This Row],[INVERSIONES FCI]]-I302,Tabla5[[#This Row],[INVERSIONES FCI]])</f>
        <v>3181258919.758316</v>
      </c>
      <c r="J303" s="5">
        <f>IF($B302&lt;=Tabla5[[#This Row],[INVERSIONES FCI]],+Tabla5[[#This Row],[INVERSIONES FCI]]-J302,Tabla5[[#This Row],[INVERSIONES FCI]])</f>
        <v>3181258919.758316</v>
      </c>
      <c r="K303" s="5">
        <f>IF($B302&lt;=Tabla5[[#This Row],[INVERSIONES FCI]],+Tabla5[[#This Row],[INVERSIONES FCI]]-K302,Tabla5[[#This Row],[INVERSIONES FCI]])</f>
        <v>3181258919.758316</v>
      </c>
      <c r="L303" s="5">
        <f>IF($B302&lt;=Tabla5[[#This Row],[INVERSIONES FCI]],+Tabla5[[#This Row],[INVERSIONES FCI]]-L302,Tabla5[[#This Row],[INVERSIONES FCI]])</f>
        <v>3181258919.758316</v>
      </c>
      <c r="M303" s="5">
        <f>IF($B302&lt;=Tabla5[[#This Row],[INVERSIONES FCI]],+Tabla5[[#This Row],[INVERSIONES FCI]]-M302,Tabla5[[#This Row],[INVERSIONES FCI]])</f>
        <v>3181258919.758316</v>
      </c>
      <c r="N303" s="5">
        <f>IF($B302&lt;=Tabla5[[#This Row],[INVERSIONES FCI]],+Tabla5[[#This Row],[INVERSIONES FCI]]-N302,Tabla5[[#This Row],[INVERSIONES FCI]])</f>
        <v>3181258919.758316</v>
      </c>
      <c r="O303" s="5">
        <f>IF($B302&lt;=Tabla5[[#This Row],[INVERSIONES FCI]],+Tabla5[[#This Row],[INVERSIONES FCI]]-O302,Tabla5[[#This Row],[INVERSIONES FCI]])</f>
        <v>3181258919.758316</v>
      </c>
      <c r="P303" s="5">
        <f>IF($B302&lt;=Tabla5[[#This Row],[INVERSIONES FCI]],+Tabla5[[#This Row],[INVERSIONES FCI]]-P302,Tabla5[[#This Row],[INVERSIONES FCI]])</f>
        <v>3181258919.758316</v>
      </c>
      <c r="Q303" s="5">
        <f>IF($B302&lt;=Tabla5[[#This Row],[INVERSIONES FCI]],+Tabla5[[#This Row],[INVERSIONES FCI]]-Q302,Tabla5[[#This Row],[INVERSIONES FCI]])</f>
        <v>3181258919.758316</v>
      </c>
      <c r="R303" s="5">
        <f>IF($B302&lt;=Tabla5[[#This Row],[INVERSIONES FCI]],+Tabla5[[#This Row],[INVERSIONES FCI]]-R302,Tabla5[[#This Row],[INVERSIONES FCI]])</f>
        <v>3181258919.758316</v>
      </c>
      <c r="S303" s="5">
        <f>IF($B302&lt;=Tabla5[[#This Row],[INVERSIONES FCI]],+Tabla5[[#This Row],[INVERSIONES FCI]]-S302,Tabla5[[#This Row],[INVERSIONES FCI]])</f>
        <v>3181258919.758316</v>
      </c>
      <c r="T303" s="5">
        <f>IF($B302&lt;=Tabla5[[#This Row],[INVERSIONES FCI]],+Tabla5[[#This Row],[INVERSIONES FCI]]-T302,Tabla5[[#This Row],[INVERSIONES FCI]])</f>
        <v>3181258919.758316</v>
      </c>
      <c r="U303" s="5">
        <f>IF($B302&lt;=Tabla5[[#This Row],[INVERSIONES FCI]],+Tabla5[[#This Row],[INVERSIONES FCI]]-U302,Tabla5[[#This Row],[INVERSIONES FCI]])</f>
        <v>3181258919.758316</v>
      </c>
      <c r="V303" s="5">
        <f>IF($B302&lt;=Tabla5[[#This Row],[INVERSIONES FCI]],+Tabla5[[#This Row],[INVERSIONES FCI]]-V302,Tabla5[[#This Row],[INVERSIONES FCI]])</f>
        <v>3181258919.758316</v>
      </c>
      <c r="W303" s="5">
        <f>IF($B302&lt;=Tabla5[[#This Row],[INVERSIONES FCI]],+Tabla5[[#This Row],[INVERSIONES FCI]]-W302,Tabla5[[#This Row],[INVERSIONES FCI]])</f>
        <v>3181258919.758316</v>
      </c>
      <c r="X303" s="5">
        <f>IF($B302&lt;=Tabla5[[#This Row],[INVERSIONES FCI]],+Tabla5[[#This Row],[INVERSIONES FCI]]-X302,Tabla5[[#This Row],[INVERSIONES FCI]])</f>
        <v>3181258919.758316</v>
      </c>
      <c r="Y303" s="5">
        <f>IF($B302&lt;=Tabla5[[#This Row],[INVERSIONES FCI]],+Tabla5[[#This Row],[INVERSIONES FCI]]-Y302,Tabla5[[#This Row],[INVERSIONES FCI]])</f>
        <v>3181258919.758316</v>
      </c>
      <c r="Z303" s="5">
        <f>IF($B302&lt;=Tabla5[[#This Row],[INVERSIONES FCI]],+Tabla5[[#This Row],[INVERSIONES FCI]]-Z302,Tabla5[[#This Row],[INVERSIONES FCI]])</f>
        <v>3181258919.758316</v>
      </c>
      <c r="AA303" s="5">
        <f>IF($B302&lt;=Tabla5[[#This Row],[INVERSIONES FCI]],+Tabla5[[#This Row],[INVERSIONES FCI]]-AA302,Tabla5[[#This Row],[INVERSIONES FCI]])</f>
        <v>3181258919.758316</v>
      </c>
      <c r="AB303" s="5">
        <f>IF($B302&lt;=Tabla5[[#This Row],[INVERSIONES FCI]],+Tabla5[[#This Row],[INVERSIONES FCI]]-AB302,Tabla5[[#This Row],[INVERSIONES FCI]])</f>
        <v>3181258919.758316</v>
      </c>
      <c r="AC303" s="5">
        <f>IF($B302&lt;=Tabla5[[#This Row],[INVERSIONES FCI]],+Tabla5[[#This Row],[INVERSIONES FCI]]-AC302,Tabla5[[#This Row],[INVERSIONES FCI]])</f>
        <v>3181258919.758316</v>
      </c>
      <c r="AD303" s="5">
        <f>IF($B302&lt;=Tabla5[[#This Row],[INVERSIONES FCI]],+Tabla5[[#This Row],[INVERSIONES FCI]]-AD302,Tabla5[[#This Row],[INVERSIONES FCI]])</f>
        <v>3181258919.758316</v>
      </c>
      <c r="AE303" s="5">
        <f>IF($B302&lt;=Tabla5[[#This Row],[INVERSIONES FCI]],+Tabla5[[#This Row],[INVERSIONES FCI]]-AE302,Tabla5[[#This Row],[INVERSIONES FCI]])</f>
        <v>3181258919.758316</v>
      </c>
      <c r="AF303" s="5">
        <f>IF($B302&lt;=Tabla5[[#This Row],[INVERSIONES FCI]],+Tabla5[[#This Row],[INVERSIONES FCI]]-AF302,Tabla5[[#This Row],[INVERSIONES FCI]])</f>
        <v>3181258919.758316</v>
      </c>
      <c r="AG303" s="5">
        <f>IF($B302&lt;=Tabla5[[#This Row],[INVERSIONES FCI]],+Tabla5[[#This Row],[INVERSIONES FCI]]-AG302,Tabla5[[#This Row],[INVERSIONES FCI]])</f>
        <v>3181258919.758316</v>
      </c>
      <c r="AH303" s="5">
        <f>IF($B302&lt;=Tabla5[[#This Row],[INVERSIONES FCI]],+Tabla5[[#This Row],[INVERSIONES FCI]]-AH302,Tabla5[[#This Row],[INVERSIONES FCI]])</f>
        <v>3181258919.758316</v>
      </c>
      <c r="AI303" s="5">
        <f>IF($B302&lt;=Tabla5[[#This Row],[INVERSIONES FCI]],+Tabla5[[#This Row],[INVERSIONES FCI]]-AI302,Tabla5[[#This Row],[INVERSIONES FCI]])</f>
        <v>3181258919.758316</v>
      </c>
      <c r="AJ303" s="5">
        <f>IF($B302&lt;=Tabla5[[#This Row],[INVERSIONES FCI]],+Tabla5[[#This Row],[INVERSIONES FCI]]-AJ302,Tabla5[[#This Row],[INVERSIONES FCI]])</f>
        <v>3181258919.758316</v>
      </c>
      <c r="AK303" s="5">
        <f>IF($B302&lt;=Tabla5[[#This Row],[INVERSIONES FCI]],+Tabla5[[#This Row],[INVERSIONES FCI]]-AK302,Tabla5[[#This Row],[INVERSIONES FCI]])</f>
        <v>3181258919.758316</v>
      </c>
      <c r="AL303" s="5">
        <f>IF($B302&lt;=Tabla5[[#This Row],[INVERSIONES FCI]],+Tabla5[[#This Row],[INVERSIONES FCI]]-AL302,Tabla5[[#This Row],[INVERSIONES FCI]])</f>
        <v>3181258919.758316</v>
      </c>
      <c r="AM303" s="5">
        <f>IF($B302&lt;=Tabla5[[#This Row],[INVERSIONES FCI]],+Tabla5[[#This Row],[INVERSIONES FCI]]-AM302,Tabla5[[#This Row],[INVERSIONES FCI]])</f>
        <v>3181258919.758316</v>
      </c>
      <c r="AN303" s="5">
        <f>IF($B302&lt;=Tabla5[[#This Row],[INVERSIONES FCI]],+Tabla5[[#This Row],[INVERSIONES FCI]]-AN302,Tabla5[[#This Row],[INVERSIONES FCI]])</f>
        <v>3181258919.758316</v>
      </c>
      <c r="AO303" s="5">
        <f>IF($B302&lt;=Tabla5[[#This Row],[INVERSIONES FCI]],+Tabla5[[#This Row],[INVERSIONES FCI]]-AO302,Tabla5[[#This Row],[INVERSIONES FCI]])</f>
        <v>3181258919.758316</v>
      </c>
      <c r="AP303" s="5">
        <f>IF($B302&lt;=Tabla5[[#This Row],[INVERSIONES FCI]],+Tabla5[[#This Row],[INVERSIONES FCI]]-AP302,Tabla5[[#This Row],[INVERSIONES FCI]])</f>
        <v>3181258919.758316</v>
      </c>
      <c r="AQ303" s="5">
        <f>IF($B302&lt;=Tabla5[[#This Row],[INVERSIONES FCI]],+Tabla5[[#This Row],[INVERSIONES FCI]]-AQ302,Tabla5[[#This Row],[INVERSIONES FCI]])</f>
        <v>3181258919.758316</v>
      </c>
      <c r="AR303" s="5">
        <f>IF($B302&lt;=Tabla5[[#This Row],[INVERSIONES FCI]],+Tabla5[[#This Row],[INVERSIONES FCI]]-AR302,Tabla5[[#This Row],[INVERSIONES FCI]])</f>
        <v>3181258919.758316</v>
      </c>
      <c r="AS303" s="5">
        <f>IF($B302&lt;=Tabla5[[#This Row],[INVERSIONES FCI]],+Tabla5[[#This Row],[INVERSIONES FCI]]-AS302,Tabla5[[#This Row],[INVERSIONES FCI]])</f>
        <v>3181258919.758316</v>
      </c>
      <c r="AT303" s="5">
        <f>IF($B302&lt;=Tabla5[[#This Row],[INVERSIONES FCI]],+Tabla5[[#This Row],[INVERSIONES FCI]]-AT302,Tabla5[[#This Row],[INVERSIONES FCI]])</f>
        <v>3181258919.758316</v>
      </c>
      <c r="AU303" s="5">
        <f>IF($B302&lt;=Tabla5[[#This Row],[INVERSIONES FCI]],+Tabla5[[#This Row],[INVERSIONES FCI]]-AU302,Tabla5[[#This Row],[INVERSIONES FCI]])</f>
        <v>3181258919.758316</v>
      </c>
      <c r="AV303" s="5">
        <f>IF($B302&lt;=Tabla5[[#This Row],[INVERSIONES FCI]],+Tabla5[[#This Row],[INVERSIONES FCI]]-AV302,Tabla5[[#This Row],[INVERSIONES FCI]])</f>
        <v>3181258919.758316</v>
      </c>
      <c r="AW303" s="5">
        <f>IF($B302&lt;=Tabla5[[#This Row],[INVERSIONES FCI]],+Tabla5[[#This Row],[INVERSIONES FCI]]-AW302,Tabla5[[#This Row],[INVERSIONES FCI]])</f>
        <v>3181258919.758316</v>
      </c>
      <c r="AX303" s="5">
        <f>IF($B302&lt;=Tabla5[[#This Row],[INVERSIONES FCI]],+Tabla5[[#This Row],[INVERSIONES FCI]]-AX302,Tabla5[[#This Row],[INVERSIONES FCI]])</f>
        <v>3181258919.758316</v>
      </c>
      <c r="AY303" s="5">
        <f>IF($B302&lt;=Tabla5[[#This Row],[INVERSIONES FCI]],+Tabla5[[#This Row],[INVERSIONES FCI]]-AY302,Tabla5[[#This Row],[INVERSIONES FCI]])</f>
        <v>3181258919.758316</v>
      </c>
      <c r="AZ303" s="5">
        <f>IF($B302&lt;=Tabla5[[#This Row],[INVERSIONES FCI]],+Tabla5[[#This Row],[INVERSIONES FCI]]-AZ302,Tabla5[[#This Row],[INVERSIONES FCI]])</f>
        <v>3181258919.758316</v>
      </c>
      <c r="BA303" s="5">
        <f>IF($B302&lt;=Tabla5[[#This Row],[INVERSIONES FCI]],+Tabla5[[#This Row],[INVERSIONES FCI]]-BA302,Tabla5[[#This Row],[INVERSIONES FCI]])</f>
        <v>3181258919.758316</v>
      </c>
      <c r="BB303" s="5">
        <f>IF($B302&lt;=Tabla5[[#This Row],[INVERSIONES FCI]],+Tabla5[[#This Row],[INVERSIONES FCI]]-BB302,Tabla5[[#This Row],[INVERSIONES FCI]])</f>
        <v>3181258919.758316</v>
      </c>
      <c r="BC303" s="5">
        <f>IF($B302&lt;=Tabla5[[#This Row],[INVERSIONES FCI]],+Tabla5[[#This Row],[INVERSIONES FCI]]-BC302,Tabla5[[#This Row],[INVERSIONES FCI]])</f>
        <v>3181258919.758316</v>
      </c>
      <c r="BD303" s="5">
        <f>IF($B302&lt;=Tabla5[[#This Row],[INVERSIONES FCI]],+Tabla5[[#This Row],[INVERSIONES FCI]]-BD302,Tabla5[[#This Row],[INVERSIONES FCI]])</f>
        <v>3181258919.758316</v>
      </c>
      <c r="BE303" s="5">
        <f>IF($B302&lt;=Tabla5[[#This Row],[INVERSIONES FCI]],+Tabla5[[#This Row],[INVERSIONES FCI]]-BE302,Tabla5[[#This Row],[INVERSIONES FCI]])</f>
        <v>3181258919.758316</v>
      </c>
      <c r="BF303" s="5">
        <f>IF($B302&lt;=Tabla5[[#This Row],[INVERSIONES FCI]],+Tabla5[[#This Row],[INVERSIONES FCI]]-BF302,Tabla5[[#This Row],[INVERSIONES FCI]])</f>
        <v>3181258919.758316</v>
      </c>
      <c r="BG303" s="5">
        <f>IF($B302&lt;=Tabla5[[#This Row],[INVERSIONES FCI]],+Tabla5[[#This Row],[INVERSIONES FCI]]-BG302,Tabla5[[#This Row],[INVERSIONES FCI]])</f>
        <v>3181258919.758316</v>
      </c>
      <c r="BH303" s="5">
        <f>IF($B302&lt;=Tabla5[[#This Row],[INVERSIONES FCI]],+Tabla5[[#This Row],[INVERSIONES FCI]]-BH302,Tabla5[[#This Row],[INVERSIONES FCI]])</f>
        <v>3181258919.758316</v>
      </c>
      <c r="BI303" s="5">
        <f>IF($B302&lt;=Tabla5[[#This Row],[INVERSIONES FCI]],+Tabla5[[#This Row],[INVERSIONES FCI]]-BI302,Tabla5[[#This Row],[INVERSIONES FCI]])</f>
        <v>3181258919.758316</v>
      </c>
      <c r="BJ303" s="5">
        <f>IF($B302&lt;=Tabla5[[#This Row],[INVERSIONES FCI]],+Tabla5[[#This Row],[INVERSIONES FCI]]-BJ302,Tabla5[[#This Row],[INVERSIONES FCI]])</f>
        <v>3181258919.758316</v>
      </c>
      <c r="BK303" s="5">
        <f>IF($B302&lt;=Tabla5[[#This Row],[INVERSIONES FCI]],+Tabla5[[#This Row],[INVERSIONES FCI]]-BK302,Tabla5[[#This Row],[INVERSIONES FCI]])</f>
        <v>3181258919.758316</v>
      </c>
      <c r="BL303" s="5">
        <f>IF($B302&lt;=Tabla5[[#This Row],[INVERSIONES FCI]],+Tabla5[[#This Row],[INVERSIONES FCI]]-BL302,Tabla5[[#This Row],[INVERSIONES FCI]])</f>
        <v>3181258919.758316</v>
      </c>
      <c r="BM303" s="5">
        <f>IF($B302&lt;=Tabla5[[#This Row],[INVERSIONES FCI]],+Tabla5[[#This Row],[INVERSIONES FCI]]-BM302,Tabla5[[#This Row],[INVERSIONES FCI]])</f>
        <v>3181258919.758316</v>
      </c>
      <c r="BN303" s="5">
        <f>IF($B302&lt;=Tabla5[[#This Row],[INVERSIONES FCI]],+Tabla5[[#This Row],[INVERSIONES FCI]]-BN302,Tabla5[[#This Row],[INVERSIONES FCI]])</f>
        <v>3181258919.758316</v>
      </c>
      <c r="BO303" s="5">
        <f>IF($B302&lt;=Tabla5[[#This Row],[INVERSIONES FCI]],+Tabla5[[#This Row],[INVERSIONES FCI]]-BO302,Tabla5[[#This Row],[INVERSIONES FCI]])</f>
        <v>3181258919.758316</v>
      </c>
      <c r="BP303" s="5">
        <f>IF($B302&lt;=Tabla5[[#This Row],[INVERSIONES FCI]],+Tabla5[[#This Row],[INVERSIONES FCI]]-BP302,Tabla5[[#This Row],[INVERSIONES FCI]])</f>
        <v>3181258919.758316</v>
      </c>
      <c r="BQ303" s="5">
        <f>IF($B302&lt;=Tabla5[[#This Row],[INVERSIONES FCI]],+Tabla5[[#This Row],[INVERSIONES FCI]]-BQ302,Tabla5[[#This Row],[INVERSIONES FCI]])</f>
        <v>3181258919.758316</v>
      </c>
      <c r="BR303" s="5">
        <f>IF($B302&lt;=Tabla5[[#This Row],[INVERSIONES FCI]],+Tabla5[[#This Row],[INVERSIONES FCI]]-BR302,Tabla5[[#This Row],[INVERSIONES FCI]])</f>
        <v>3181258919.758316</v>
      </c>
      <c r="BS303" s="5">
        <f>IF($B302&lt;=Tabla5[[#This Row],[INVERSIONES FCI]],+Tabla5[[#This Row],[INVERSIONES FCI]]-BS302,Tabla5[[#This Row],[INVERSIONES FCI]])</f>
        <v>3181258919.758316</v>
      </c>
      <c r="BT303" s="5">
        <f>IF($B302&lt;=Tabla5[[#This Row],[INVERSIONES FCI]],+Tabla5[[#This Row],[INVERSIONES FCI]]-BT302,Tabla5[[#This Row],[INVERSIONES FCI]])</f>
        <v>3181258919.758316</v>
      </c>
      <c r="BU303" s="5">
        <f>IF($B302&lt;=Tabla5[[#This Row],[INVERSIONES FCI]],+Tabla5[[#This Row],[INVERSIONES FCI]]-BU302,Tabla5[[#This Row],[INVERSIONES FCI]])</f>
        <v>3181258919.758316</v>
      </c>
      <c r="BV303" s="5">
        <f>IF($B302&lt;=Tabla5[[#This Row],[INVERSIONES FCI]],+Tabla5[[#This Row],[INVERSIONES FCI]]-BV302,Tabla5[[#This Row],[INVERSIONES FCI]])</f>
        <v>3181258919.758316</v>
      </c>
      <c r="BW303" s="5">
        <f>IF($B302&lt;=Tabla5[[#This Row],[INVERSIONES FCI]],+Tabla5[[#This Row],[INVERSIONES FCI]]-BW302,Tabla5[[#This Row],[INVERSIONES FCI]])</f>
        <v>3181258919.758316</v>
      </c>
      <c r="BX303" s="5">
        <f>IF($B302&lt;=Tabla5[[#This Row],[INVERSIONES FCI]],+Tabla5[[#This Row],[INVERSIONES FCI]]-BX302,Tabla5[[#This Row],[INVERSIONES FCI]])</f>
        <v>3181258919.758316</v>
      </c>
      <c r="BY303" s="5">
        <f>IF($B302&lt;=Tabla5[[#This Row],[INVERSIONES FCI]],+Tabla5[[#This Row],[INVERSIONES FCI]]-BY302,Tabla5[[#This Row],[INVERSIONES FCI]])</f>
        <v>3181258919.758316</v>
      </c>
      <c r="BZ303" s="5">
        <f>IF($B302&lt;=Tabla5[[#This Row],[INVERSIONES FCI]],+Tabla5[[#This Row],[INVERSIONES FCI]]-BZ302,Tabla5[[#This Row],[INVERSIONES FCI]])</f>
        <v>3181258919.758316</v>
      </c>
      <c r="CA303" s="5">
        <f>IF($B302&lt;=Tabla5[[#This Row],[INVERSIONES FCI]],+Tabla5[[#This Row],[INVERSIONES FCI]]-CA302,Tabla5[[#This Row],[INVERSIONES FCI]])</f>
        <v>3181258919.758316</v>
      </c>
      <c r="CB303" s="5">
        <f>IF($B302&lt;=Tabla5[[#This Row],[INVERSIONES FCI]],+Tabla5[[#This Row],[INVERSIONES FCI]]-CB302,Tabla5[[#This Row],[INVERSIONES FCI]])</f>
        <v>3181258919.758316</v>
      </c>
      <c r="CC303" s="5">
        <f>IF($B302&lt;=Tabla5[[#This Row],[INVERSIONES FCI]],+Tabla5[[#This Row],[INVERSIONES FCI]]-CC302,Tabla5[[#This Row],[INVERSIONES FCI]])</f>
        <v>3181258919.758316</v>
      </c>
      <c r="CD303" s="5">
        <f>IF($B302&lt;=Tabla5[[#This Row],[INVERSIONES FCI]],+Tabla5[[#This Row],[INVERSIONES FCI]]-CD302,Tabla5[[#This Row],[INVERSIONES FCI]])</f>
        <v>3181258919.758316</v>
      </c>
      <c r="CE303" s="5">
        <f>IF($B302&lt;=Tabla5[[#This Row],[INVERSIONES FCI]],+Tabla5[[#This Row],[INVERSIONES FCI]]-CE302,Tabla5[[#This Row],[INVERSIONES FCI]])</f>
        <v>3181258919.758316</v>
      </c>
      <c r="CF303" s="5">
        <f>IF($B302&lt;=Tabla5[[#This Row],[INVERSIONES FCI]],+Tabla5[[#This Row],[INVERSIONES FCI]]-CF302,Tabla5[[#This Row],[INVERSIONES FCI]])</f>
        <v>3181258919.758316</v>
      </c>
      <c r="CG303" s="5">
        <f>IF($B302&lt;=Tabla5[[#This Row],[INVERSIONES FCI]],+Tabla5[[#This Row],[INVERSIONES FCI]]-CG302,Tabla5[[#This Row],[INVERSIONES FCI]])</f>
        <v>3181258919.758316</v>
      </c>
      <c r="CH303" s="5">
        <f>IF($B302&lt;=Tabla5[[#This Row],[INVERSIONES FCI]],+Tabla5[[#This Row],[INVERSIONES FCI]]-CH302,Tabla5[[#This Row],[INVERSIONES FCI]])</f>
        <v>3181258919.758316</v>
      </c>
      <c r="CI303" s="5">
        <f>IF($B302&lt;=Tabla5[[#This Row],[INVERSIONES FCI]],+Tabla5[[#This Row],[INVERSIONES FCI]]-CI302,Tabla5[[#This Row],[INVERSIONES FCI]])</f>
        <v>3181258919.758316</v>
      </c>
      <c r="CJ303" s="5">
        <f>IF($B302&lt;=Tabla5[[#This Row],[INVERSIONES FCI]],+Tabla5[[#This Row],[INVERSIONES FCI]]-CJ302,Tabla5[[#This Row],[INVERSIONES FCI]])</f>
        <v>3181258919.758316</v>
      </c>
      <c r="CK303" s="5">
        <f>IF($B302&lt;=Tabla5[[#This Row],[INVERSIONES FCI]],+Tabla5[[#This Row],[INVERSIONES FCI]]-CK302,Tabla5[[#This Row],[INVERSIONES FCI]])</f>
        <v>3181258919.758316</v>
      </c>
      <c r="CL303" s="5">
        <f>IF($B302&lt;=Tabla5[[#This Row],[INVERSIONES FCI]],+Tabla5[[#This Row],[INVERSIONES FCI]]-CL302,Tabla5[[#This Row],[INVERSIONES FCI]])</f>
        <v>3181258919.758316</v>
      </c>
      <c r="CM303" s="5">
        <f>IF($B302&lt;=Tabla5[[#This Row],[INVERSIONES FCI]],+Tabla5[[#This Row],[INVERSIONES FCI]]-CM302,Tabla5[[#This Row],[INVERSIONES FCI]])</f>
        <v>3181258919.758316</v>
      </c>
      <c r="CN303" s="5">
        <f>IF($B302&lt;=Tabla5[[#This Row],[INVERSIONES FCI]],+Tabla5[[#This Row],[INVERSIONES FCI]]-CN302,Tabla5[[#This Row],[INVERSIONES FCI]])</f>
        <v>3181258919.758316</v>
      </c>
      <c r="CO303" s="5">
        <f>IF($B302&lt;=Tabla5[[#This Row],[INVERSIONES FCI]],+Tabla5[[#This Row],[INVERSIONES FCI]]-CO302,Tabla5[[#This Row],[INVERSIONES FCI]])</f>
        <v>3181258919.758316</v>
      </c>
      <c r="CP303" s="5">
        <f>IF($B302&lt;=Tabla5[[#This Row],[INVERSIONES FCI]],+Tabla5[[#This Row],[INVERSIONES FCI]]-CP302,Tabla5[[#This Row],[INVERSIONES FCI]])</f>
        <v>3181258919.758316</v>
      </c>
      <c r="CQ303" s="5">
        <f>IF($B302&lt;=Tabla5[[#This Row],[INVERSIONES FCI]],+Tabla5[[#This Row],[INVERSIONES FCI]]-CQ302,Tabla5[[#This Row],[INVERSIONES FCI]])</f>
        <v>3181258919.758316</v>
      </c>
      <c r="CR303" s="5">
        <f>IF($B302&lt;=Tabla5[[#This Row],[INVERSIONES FCI]],+Tabla5[[#This Row],[INVERSIONES FCI]]-CR302,Tabla5[[#This Row],[INVERSIONES FCI]])</f>
        <v>3181258919.758316</v>
      </c>
      <c r="CS303" s="5">
        <f>IF($B302&lt;=Tabla5[[#This Row],[INVERSIONES FCI]],+Tabla5[[#This Row],[INVERSIONES FCI]]-CS302,Tabla5[[#This Row],[INVERSIONES FCI]])</f>
        <v>3181258919.758316</v>
      </c>
      <c r="CT303" s="5">
        <f>IF($B302&lt;=Tabla5[[#This Row],[INVERSIONES FCI]],+Tabla5[[#This Row],[INVERSIONES FCI]]-CT302,Tabla5[[#This Row],[INVERSIONES FCI]])</f>
        <v>3181258919.758316</v>
      </c>
      <c r="CU303" s="5">
        <f>IF($B302&lt;=Tabla5[[#This Row],[INVERSIONES FCI]],+Tabla5[[#This Row],[INVERSIONES FCI]]-CU302,Tabla5[[#This Row],[INVERSIONES FCI]])</f>
        <v>3181258919.758316</v>
      </c>
      <c r="CV303" s="5">
        <f>IF($B302&lt;=Tabla5[[#This Row],[INVERSIONES FCI]],+Tabla5[[#This Row],[INVERSIONES FCI]]-CV302,Tabla5[[#This Row],[INVERSIONES FCI]])</f>
        <v>3181258919.758316</v>
      </c>
      <c r="CW303" s="5">
        <f>IF($B302&lt;=Tabla5[[#This Row],[INVERSIONES FCI]],+Tabla5[[#This Row],[INVERSIONES FCI]]-CW302,Tabla5[[#This Row],[INVERSIONES FCI]])</f>
        <v>3181258919.758316</v>
      </c>
      <c r="CX303" s="5">
        <f>IF($B302&lt;=Tabla5[[#This Row],[INVERSIONES FCI]],+Tabla5[[#This Row],[INVERSIONES FCI]]-CX302,Tabla5[[#This Row],[INVERSIONES FCI]])</f>
        <v>3181258919.758316</v>
      </c>
      <c r="CY303" s="5">
        <f>IF($B302&lt;=Tabla5[[#This Row],[INVERSIONES FCI]],+Tabla5[[#This Row],[INVERSIONES FCI]]-CY302,Tabla5[[#This Row],[INVERSIONES FCI]])</f>
        <v>3181258919.758316</v>
      </c>
      <c r="CZ303" s="5">
        <f>IF($B302&lt;=Tabla5[[#This Row],[INVERSIONES FCI]],+Tabla5[[#This Row],[INVERSIONES FCI]]-CZ302,Tabla5[[#This Row],[INVERSIONES FCI]])</f>
        <v>3181258919.758316</v>
      </c>
      <c r="DA303" s="5">
        <f>IF($B302&lt;=Tabla5[[#This Row],[INVERSIONES FCI]],+Tabla5[[#This Row],[INVERSIONES FCI]]-DA302,Tabla5[[#This Row],[INVERSIONES FCI]])</f>
        <v>3181258919.758316</v>
      </c>
      <c r="DB303" s="5">
        <f>IF($B302&lt;=Tabla5[[#This Row],[INVERSIONES FCI]],+Tabla5[[#This Row],[INVERSIONES FCI]]-DB302,Tabla5[[#This Row],[INVERSIONES FCI]])</f>
        <v>3181258919.758316</v>
      </c>
      <c r="DC303" s="5">
        <f>IF($B302&lt;=Tabla5[[#This Row],[INVERSIONES FCI]],+Tabla5[[#This Row],[INVERSIONES FCI]]-DC302,Tabla5[[#This Row],[INVERSIONES FCI]])</f>
        <v>3181258919.758316</v>
      </c>
      <c r="DD303" s="5">
        <f>IF($B302&lt;=Tabla5[[#This Row],[INVERSIONES FCI]],+Tabla5[[#This Row],[INVERSIONES FCI]]-DD302,Tabla5[[#This Row],[INVERSIONES FCI]])</f>
        <v>3181258919.758316</v>
      </c>
      <c r="DE303" s="5">
        <f>IF($B302&lt;=Tabla5[[#This Row],[INVERSIONES FCI]],+Tabla5[[#This Row],[INVERSIONES FCI]]-DE302,Tabla5[[#This Row],[INVERSIONES FCI]])</f>
        <v>3181258919.758316</v>
      </c>
      <c r="DF303" s="5">
        <f>IF($B302&lt;=Tabla5[[#This Row],[INVERSIONES FCI]],+Tabla5[[#This Row],[INVERSIONES FCI]]-DF302,Tabla5[[#This Row],[INVERSIONES FCI]])</f>
        <v>3181258919.758316</v>
      </c>
      <c r="DG303" s="5">
        <f>IF($B302&lt;=Tabla5[[#This Row],[INVERSIONES FCI]],+Tabla5[[#This Row],[INVERSIONES FCI]]-DG302,Tabla5[[#This Row],[INVERSIONES FCI]])</f>
        <v>3181258919.758316</v>
      </c>
      <c r="DH303" s="5">
        <f>IF($B302&lt;=Tabla5[[#This Row],[INVERSIONES FCI]],+Tabla5[[#This Row],[INVERSIONES FCI]]-DH302,Tabla5[[#This Row],[INVERSIONES FCI]])</f>
        <v>3181258919.758316</v>
      </c>
      <c r="DI303" s="5">
        <f>IF($B302&lt;=Tabla5[[#This Row],[INVERSIONES FCI]],+Tabla5[[#This Row],[INVERSIONES FCI]]-DI302,Tabla5[[#This Row],[INVERSIONES FCI]])</f>
        <v>3181258919.758316</v>
      </c>
      <c r="DJ303" s="5">
        <f>IF($B302&lt;=Tabla5[[#This Row],[INVERSIONES FCI]],+Tabla5[[#This Row],[INVERSIONES FCI]]-DJ302,Tabla5[[#This Row],[INVERSIONES FCI]])</f>
        <v>3181258919.758316</v>
      </c>
      <c r="DK303" s="5">
        <f>IF($B302&lt;=Tabla5[[#This Row],[INVERSIONES FCI]],+Tabla5[[#This Row],[INVERSIONES FCI]]-DK302,Tabla5[[#This Row],[INVERSIONES FCI]])</f>
        <v>3181258919.758316</v>
      </c>
      <c r="DL303" s="5"/>
      <c r="DM303" s="5"/>
      <c r="DN303" s="5"/>
      <c r="DO303" s="5"/>
      <c r="DP303" s="5"/>
      <c r="DQ303" s="5"/>
    </row>
    <row r="304" spans="1:121" ht="14.4">
      <c r="A304" s="12" t="s">
        <v>303</v>
      </c>
      <c r="B304" s="5">
        <f>HLOOKUP($A304,ESCENARIO[#All],7,FALSE)</f>
        <v>62286569986.299034</v>
      </c>
      <c r="C304" s="5">
        <f>IF($B303&lt;=Tabla5[[#This Row],[INVERSIONES FCI]],+Tabla5[[#This Row],[INVERSIONES FCI]]-C303,Tabla5[[#This Row],[INVERSIONES FCI]])</f>
        <v>62286569986.299034</v>
      </c>
      <c r="D304" s="5">
        <f>IF($B303&lt;=Tabla5[[#This Row],[INVERSIONES FCI]],+Tabla5[[#This Row],[INVERSIONES FCI]]-D303,Tabla5[[#This Row],[INVERSIONES FCI]])</f>
        <v>62286569986.299034</v>
      </c>
      <c r="E304" s="5">
        <f>IF($B303&lt;=Tabla5[[#This Row],[INVERSIONES FCI]],+Tabla5[[#This Row],[INVERSIONES FCI]]-E303,Tabla5[[#This Row],[INVERSIONES FCI]])</f>
        <v>62286569986.299034</v>
      </c>
      <c r="F304" s="5">
        <f>IF($B303&lt;=Tabla5[[#This Row],[INVERSIONES FCI]],+Tabla5[[#This Row],[INVERSIONES FCI]]-F303,Tabla5[[#This Row],[INVERSIONES FCI]])</f>
        <v>62286569986.299034</v>
      </c>
      <c r="G304" s="5">
        <f>IF($B303&lt;=Tabla5[[#This Row],[INVERSIONES FCI]],+Tabla5[[#This Row],[INVERSIONES FCI]]-G303,Tabla5[[#This Row],[INVERSIONES FCI]])</f>
        <v>62286569986.299034</v>
      </c>
      <c r="H304" s="5">
        <f>IF($B303&lt;=Tabla5[[#This Row],[INVERSIONES FCI]],+Tabla5[[#This Row],[INVERSIONES FCI]]-H303,Tabla5[[#This Row],[INVERSIONES FCI]])</f>
        <v>62286569986.299034</v>
      </c>
      <c r="I304" s="5">
        <f>IF($B303&lt;=Tabla5[[#This Row],[INVERSIONES FCI]],+Tabla5[[#This Row],[INVERSIONES FCI]]-I303,Tabla5[[#This Row],[INVERSIONES FCI]])</f>
        <v>62286569986.299034</v>
      </c>
      <c r="J304" s="5">
        <f>IF($B303&lt;=Tabla5[[#This Row],[INVERSIONES FCI]],+Tabla5[[#This Row],[INVERSIONES FCI]]-J303,Tabla5[[#This Row],[INVERSIONES FCI]])</f>
        <v>62286569986.299034</v>
      </c>
      <c r="K304" s="5">
        <f>IF($B303&lt;=Tabla5[[#This Row],[INVERSIONES FCI]],+Tabla5[[#This Row],[INVERSIONES FCI]]-K303,Tabla5[[#This Row],[INVERSIONES FCI]])</f>
        <v>62286569986.299034</v>
      </c>
      <c r="L304" s="5">
        <f>IF($B303&lt;=Tabla5[[#This Row],[INVERSIONES FCI]],+Tabla5[[#This Row],[INVERSIONES FCI]]-L303,Tabla5[[#This Row],[INVERSIONES FCI]])</f>
        <v>62286569986.299034</v>
      </c>
      <c r="M304" s="5">
        <f>IF($B303&lt;=Tabla5[[#This Row],[INVERSIONES FCI]],+Tabla5[[#This Row],[INVERSIONES FCI]]-M303,Tabla5[[#This Row],[INVERSIONES FCI]])</f>
        <v>62286569986.299034</v>
      </c>
      <c r="N304" s="5">
        <f>IF($B303&lt;=Tabla5[[#This Row],[INVERSIONES FCI]],+Tabla5[[#This Row],[INVERSIONES FCI]]-N303,Tabla5[[#This Row],[INVERSIONES FCI]])</f>
        <v>62286569986.299034</v>
      </c>
      <c r="O304" s="5">
        <f>IF($B303&lt;=Tabla5[[#This Row],[INVERSIONES FCI]],+Tabla5[[#This Row],[INVERSIONES FCI]]-O303,Tabla5[[#This Row],[INVERSIONES FCI]])</f>
        <v>62286569986.299034</v>
      </c>
      <c r="P304" s="5">
        <f>IF($B303&lt;=Tabla5[[#This Row],[INVERSIONES FCI]],+Tabla5[[#This Row],[INVERSIONES FCI]]-P303,Tabla5[[#This Row],[INVERSIONES FCI]])</f>
        <v>62286569986.299034</v>
      </c>
      <c r="Q304" s="5">
        <f>IF($B303&lt;=Tabla5[[#This Row],[INVERSIONES FCI]],+Tabla5[[#This Row],[INVERSIONES FCI]]-Q303,Tabla5[[#This Row],[INVERSIONES FCI]])</f>
        <v>62286569986.299034</v>
      </c>
      <c r="R304" s="5">
        <f>IF($B303&lt;=Tabla5[[#This Row],[INVERSIONES FCI]],+Tabla5[[#This Row],[INVERSIONES FCI]]-R303,Tabla5[[#This Row],[INVERSIONES FCI]])</f>
        <v>62286569986.299034</v>
      </c>
      <c r="S304" s="5">
        <f>IF($B303&lt;=Tabla5[[#This Row],[INVERSIONES FCI]],+Tabla5[[#This Row],[INVERSIONES FCI]]-S303,Tabla5[[#This Row],[INVERSIONES FCI]])</f>
        <v>62286569986.299034</v>
      </c>
      <c r="T304" s="5">
        <f>IF($B303&lt;=Tabla5[[#This Row],[INVERSIONES FCI]],+Tabla5[[#This Row],[INVERSIONES FCI]]-T303,Tabla5[[#This Row],[INVERSIONES FCI]])</f>
        <v>62286569986.299034</v>
      </c>
      <c r="U304" s="5">
        <f>IF($B303&lt;=Tabla5[[#This Row],[INVERSIONES FCI]],+Tabla5[[#This Row],[INVERSIONES FCI]]-U303,Tabla5[[#This Row],[INVERSIONES FCI]])</f>
        <v>62286569986.299034</v>
      </c>
      <c r="V304" s="5">
        <f>IF($B303&lt;=Tabla5[[#This Row],[INVERSIONES FCI]],+Tabla5[[#This Row],[INVERSIONES FCI]]-V303,Tabla5[[#This Row],[INVERSIONES FCI]])</f>
        <v>62286569986.299034</v>
      </c>
      <c r="W304" s="5">
        <f>IF($B303&lt;=Tabla5[[#This Row],[INVERSIONES FCI]],+Tabla5[[#This Row],[INVERSIONES FCI]]-W303,Tabla5[[#This Row],[INVERSIONES FCI]])</f>
        <v>62286569986.299034</v>
      </c>
      <c r="X304" s="5">
        <f>IF($B303&lt;=Tabla5[[#This Row],[INVERSIONES FCI]],+Tabla5[[#This Row],[INVERSIONES FCI]]-X303,Tabla5[[#This Row],[INVERSIONES FCI]])</f>
        <v>62286569986.299034</v>
      </c>
      <c r="Y304" s="5">
        <f>IF($B303&lt;=Tabla5[[#This Row],[INVERSIONES FCI]],+Tabla5[[#This Row],[INVERSIONES FCI]]-Y303,Tabla5[[#This Row],[INVERSIONES FCI]])</f>
        <v>62286569986.299034</v>
      </c>
      <c r="Z304" s="5">
        <f>IF($B303&lt;=Tabla5[[#This Row],[INVERSIONES FCI]],+Tabla5[[#This Row],[INVERSIONES FCI]]-Z303,Tabla5[[#This Row],[INVERSIONES FCI]])</f>
        <v>62286569986.299034</v>
      </c>
      <c r="AA304" s="5">
        <f>IF($B303&lt;=Tabla5[[#This Row],[INVERSIONES FCI]],+Tabla5[[#This Row],[INVERSIONES FCI]]-AA303,Tabla5[[#This Row],[INVERSIONES FCI]])</f>
        <v>62286569986.299034</v>
      </c>
      <c r="AB304" s="5">
        <f>IF($B303&lt;=Tabla5[[#This Row],[INVERSIONES FCI]],+Tabla5[[#This Row],[INVERSIONES FCI]]-AB303,Tabla5[[#This Row],[INVERSIONES FCI]])</f>
        <v>62286569986.299034</v>
      </c>
      <c r="AC304" s="5">
        <f>IF($B303&lt;=Tabla5[[#This Row],[INVERSIONES FCI]],+Tabla5[[#This Row],[INVERSIONES FCI]]-AC303,Tabla5[[#This Row],[INVERSIONES FCI]])</f>
        <v>62286569986.299034</v>
      </c>
      <c r="AD304" s="5">
        <f>IF($B303&lt;=Tabla5[[#This Row],[INVERSIONES FCI]],+Tabla5[[#This Row],[INVERSIONES FCI]]-AD303,Tabla5[[#This Row],[INVERSIONES FCI]])</f>
        <v>62286569986.299034</v>
      </c>
      <c r="AE304" s="5">
        <f>IF($B303&lt;=Tabla5[[#This Row],[INVERSIONES FCI]],+Tabla5[[#This Row],[INVERSIONES FCI]]-AE303,Tabla5[[#This Row],[INVERSIONES FCI]])</f>
        <v>62286569986.299034</v>
      </c>
      <c r="AF304" s="5">
        <f>IF($B303&lt;=Tabla5[[#This Row],[INVERSIONES FCI]],+Tabla5[[#This Row],[INVERSIONES FCI]]-AF303,Tabla5[[#This Row],[INVERSIONES FCI]])</f>
        <v>62286569986.299034</v>
      </c>
      <c r="AG304" s="5">
        <f>IF($B303&lt;=Tabla5[[#This Row],[INVERSIONES FCI]],+Tabla5[[#This Row],[INVERSIONES FCI]]-AG303,Tabla5[[#This Row],[INVERSIONES FCI]])</f>
        <v>62286569986.299034</v>
      </c>
      <c r="AH304" s="5">
        <f>IF($B303&lt;=Tabla5[[#This Row],[INVERSIONES FCI]],+Tabla5[[#This Row],[INVERSIONES FCI]]-AH303,Tabla5[[#This Row],[INVERSIONES FCI]])</f>
        <v>62286569986.299034</v>
      </c>
      <c r="AI304" s="5">
        <f>IF($B303&lt;=Tabla5[[#This Row],[INVERSIONES FCI]],+Tabla5[[#This Row],[INVERSIONES FCI]]-AI303,Tabla5[[#This Row],[INVERSIONES FCI]])</f>
        <v>62286569986.299034</v>
      </c>
      <c r="AJ304" s="5">
        <f>IF($B303&lt;=Tabla5[[#This Row],[INVERSIONES FCI]],+Tabla5[[#This Row],[INVERSIONES FCI]]-AJ303,Tabla5[[#This Row],[INVERSIONES FCI]])</f>
        <v>62286569986.299034</v>
      </c>
      <c r="AK304" s="5">
        <f>IF($B303&lt;=Tabla5[[#This Row],[INVERSIONES FCI]],+Tabla5[[#This Row],[INVERSIONES FCI]]-AK303,Tabla5[[#This Row],[INVERSIONES FCI]])</f>
        <v>62286569986.299034</v>
      </c>
      <c r="AL304" s="5">
        <f>IF($B303&lt;=Tabla5[[#This Row],[INVERSIONES FCI]],+Tabla5[[#This Row],[INVERSIONES FCI]]-AL303,Tabla5[[#This Row],[INVERSIONES FCI]])</f>
        <v>62286569986.299034</v>
      </c>
      <c r="AM304" s="5">
        <f>IF($B303&lt;=Tabla5[[#This Row],[INVERSIONES FCI]],+Tabla5[[#This Row],[INVERSIONES FCI]]-AM303,Tabla5[[#This Row],[INVERSIONES FCI]])</f>
        <v>62286569986.299034</v>
      </c>
      <c r="AN304" s="5">
        <f>IF($B303&lt;=Tabla5[[#This Row],[INVERSIONES FCI]],+Tabla5[[#This Row],[INVERSIONES FCI]]-AN303,Tabla5[[#This Row],[INVERSIONES FCI]])</f>
        <v>62286569986.299034</v>
      </c>
      <c r="AO304" s="5">
        <f>IF($B303&lt;=Tabla5[[#This Row],[INVERSIONES FCI]],+Tabla5[[#This Row],[INVERSIONES FCI]]-AO303,Tabla5[[#This Row],[INVERSIONES FCI]])</f>
        <v>62286569986.299034</v>
      </c>
      <c r="AP304" s="5">
        <f>IF($B303&lt;=Tabla5[[#This Row],[INVERSIONES FCI]],+Tabla5[[#This Row],[INVERSIONES FCI]]-AP303,Tabla5[[#This Row],[INVERSIONES FCI]])</f>
        <v>62286569986.299034</v>
      </c>
      <c r="AQ304" s="5">
        <f>IF($B303&lt;=Tabla5[[#This Row],[INVERSIONES FCI]],+Tabla5[[#This Row],[INVERSIONES FCI]]-AQ303,Tabla5[[#This Row],[INVERSIONES FCI]])</f>
        <v>62286569986.299034</v>
      </c>
      <c r="AR304" s="5">
        <f>IF($B303&lt;=Tabla5[[#This Row],[INVERSIONES FCI]],+Tabla5[[#This Row],[INVERSIONES FCI]]-AR303,Tabla5[[#This Row],[INVERSIONES FCI]])</f>
        <v>62286569986.299034</v>
      </c>
      <c r="AS304" s="5">
        <f>IF($B303&lt;=Tabla5[[#This Row],[INVERSIONES FCI]],+Tabla5[[#This Row],[INVERSIONES FCI]]-AS303,Tabla5[[#This Row],[INVERSIONES FCI]])</f>
        <v>62286569986.299034</v>
      </c>
      <c r="AT304" s="5">
        <f>IF($B303&lt;=Tabla5[[#This Row],[INVERSIONES FCI]],+Tabla5[[#This Row],[INVERSIONES FCI]]-AT303,Tabla5[[#This Row],[INVERSIONES FCI]])</f>
        <v>62286569986.299034</v>
      </c>
      <c r="AU304" s="5">
        <f>IF($B303&lt;=Tabla5[[#This Row],[INVERSIONES FCI]],+Tabla5[[#This Row],[INVERSIONES FCI]]-AU303,Tabla5[[#This Row],[INVERSIONES FCI]])</f>
        <v>62286569986.299034</v>
      </c>
      <c r="AV304" s="5">
        <f>IF($B303&lt;=Tabla5[[#This Row],[INVERSIONES FCI]],+Tabla5[[#This Row],[INVERSIONES FCI]]-AV303,Tabla5[[#This Row],[INVERSIONES FCI]])</f>
        <v>62286569986.299034</v>
      </c>
      <c r="AW304" s="5">
        <f>IF($B303&lt;=Tabla5[[#This Row],[INVERSIONES FCI]],+Tabla5[[#This Row],[INVERSIONES FCI]]-AW303,Tabla5[[#This Row],[INVERSIONES FCI]])</f>
        <v>62286569986.299034</v>
      </c>
      <c r="AX304" s="5">
        <f>IF($B303&lt;=Tabla5[[#This Row],[INVERSIONES FCI]],+Tabla5[[#This Row],[INVERSIONES FCI]]-AX303,Tabla5[[#This Row],[INVERSIONES FCI]])</f>
        <v>62286569986.299034</v>
      </c>
      <c r="AY304" s="5">
        <f>IF($B303&lt;=Tabla5[[#This Row],[INVERSIONES FCI]],+Tabla5[[#This Row],[INVERSIONES FCI]]-AY303,Tabla5[[#This Row],[INVERSIONES FCI]])</f>
        <v>62286569986.299034</v>
      </c>
      <c r="AZ304" s="5">
        <f>IF($B303&lt;=Tabla5[[#This Row],[INVERSIONES FCI]],+Tabla5[[#This Row],[INVERSIONES FCI]]-AZ303,Tabla5[[#This Row],[INVERSIONES FCI]])</f>
        <v>62286569986.299034</v>
      </c>
      <c r="BA304" s="5">
        <f>IF($B303&lt;=Tabla5[[#This Row],[INVERSIONES FCI]],+Tabla5[[#This Row],[INVERSIONES FCI]]-BA303,Tabla5[[#This Row],[INVERSIONES FCI]])</f>
        <v>62286569986.299034</v>
      </c>
      <c r="BB304" s="5">
        <f>IF($B303&lt;=Tabla5[[#This Row],[INVERSIONES FCI]],+Tabla5[[#This Row],[INVERSIONES FCI]]-BB303,Tabla5[[#This Row],[INVERSIONES FCI]])</f>
        <v>62286569986.299034</v>
      </c>
      <c r="BC304" s="5">
        <f>IF($B303&lt;=Tabla5[[#This Row],[INVERSIONES FCI]],+Tabla5[[#This Row],[INVERSIONES FCI]]-BC303,Tabla5[[#This Row],[INVERSIONES FCI]])</f>
        <v>62286569986.299034</v>
      </c>
      <c r="BD304" s="5">
        <f>IF($B303&lt;=Tabla5[[#This Row],[INVERSIONES FCI]],+Tabla5[[#This Row],[INVERSIONES FCI]]-BD303,Tabla5[[#This Row],[INVERSIONES FCI]])</f>
        <v>62286569986.299034</v>
      </c>
      <c r="BE304" s="5">
        <f>IF($B303&lt;=Tabla5[[#This Row],[INVERSIONES FCI]],+Tabla5[[#This Row],[INVERSIONES FCI]]-BE303,Tabla5[[#This Row],[INVERSIONES FCI]])</f>
        <v>62286569986.299034</v>
      </c>
      <c r="BF304" s="5">
        <f>IF($B303&lt;=Tabla5[[#This Row],[INVERSIONES FCI]],+Tabla5[[#This Row],[INVERSIONES FCI]]-BF303,Tabla5[[#This Row],[INVERSIONES FCI]])</f>
        <v>62286569986.299034</v>
      </c>
      <c r="BG304" s="5">
        <f>IF($B303&lt;=Tabla5[[#This Row],[INVERSIONES FCI]],+Tabla5[[#This Row],[INVERSIONES FCI]]-BG303,Tabla5[[#This Row],[INVERSIONES FCI]])</f>
        <v>62286569986.299034</v>
      </c>
      <c r="BH304" s="5">
        <f>IF($B303&lt;=Tabla5[[#This Row],[INVERSIONES FCI]],+Tabla5[[#This Row],[INVERSIONES FCI]]-BH303,Tabla5[[#This Row],[INVERSIONES FCI]])</f>
        <v>62286569986.299034</v>
      </c>
      <c r="BI304" s="5">
        <f>IF($B303&lt;=Tabla5[[#This Row],[INVERSIONES FCI]],+Tabla5[[#This Row],[INVERSIONES FCI]]-BI303,Tabla5[[#This Row],[INVERSIONES FCI]])</f>
        <v>62286569986.299034</v>
      </c>
      <c r="BJ304" s="5">
        <f>IF($B303&lt;=Tabla5[[#This Row],[INVERSIONES FCI]],+Tabla5[[#This Row],[INVERSIONES FCI]]-BJ303,Tabla5[[#This Row],[INVERSIONES FCI]])</f>
        <v>62286569986.299034</v>
      </c>
      <c r="BK304" s="5">
        <f>IF($B303&lt;=Tabla5[[#This Row],[INVERSIONES FCI]],+Tabla5[[#This Row],[INVERSIONES FCI]]-BK303,Tabla5[[#This Row],[INVERSIONES FCI]])</f>
        <v>62286569986.299034</v>
      </c>
      <c r="BL304" s="5">
        <f>IF($B303&lt;=Tabla5[[#This Row],[INVERSIONES FCI]],+Tabla5[[#This Row],[INVERSIONES FCI]]-BL303,Tabla5[[#This Row],[INVERSIONES FCI]])</f>
        <v>62286569986.299034</v>
      </c>
      <c r="BM304" s="5">
        <f>IF($B303&lt;=Tabla5[[#This Row],[INVERSIONES FCI]],+Tabla5[[#This Row],[INVERSIONES FCI]]-BM303,Tabla5[[#This Row],[INVERSIONES FCI]])</f>
        <v>62286569986.299034</v>
      </c>
      <c r="BN304" s="5">
        <f>IF($B303&lt;=Tabla5[[#This Row],[INVERSIONES FCI]],+Tabla5[[#This Row],[INVERSIONES FCI]]-BN303,Tabla5[[#This Row],[INVERSIONES FCI]])</f>
        <v>62286569986.299034</v>
      </c>
      <c r="BO304" s="5">
        <f>IF($B303&lt;=Tabla5[[#This Row],[INVERSIONES FCI]],+Tabla5[[#This Row],[INVERSIONES FCI]]-BO303,Tabla5[[#This Row],[INVERSIONES FCI]])</f>
        <v>62286569986.299034</v>
      </c>
      <c r="BP304" s="5">
        <f>IF($B303&lt;=Tabla5[[#This Row],[INVERSIONES FCI]],+Tabla5[[#This Row],[INVERSIONES FCI]]-BP303,Tabla5[[#This Row],[INVERSIONES FCI]])</f>
        <v>62286569986.299034</v>
      </c>
      <c r="BQ304" s="5">
        <f>IF($B303&lt;=Tabla5[[#This Row],[INVERSIONES FCI]],+Tabla5[[#This Row],[INVERSIONES FCI]]-BQ303,Tabla5[[#This Row],[INVERSIONES FCI]])</f>
        <v>62286569986.299034</v>
      </c>
      <c r="BR304" s="5">
        <f>IF($B303&lt;=Tabla5[[#This Row],[INVERSIONES FCI]],+Tabla5[[#This Row],[INVERSIONES FCI]]-BR303,Tabla5[[#This Row],[INVERSIONES FCI]])</f>
        <v>62286569986.299034</v>
      </c>
      <c r="BS304" s="5">
        <f>IF($B303&lt;=Tabla5[[#This Row],[INVERSIONES FCI]],+Tabla5[[#This Row],[INVERSIONES FCI]]-BS303,Tabla5[[#This Row],[INVERSIONES FCI]])</f>
        <v>62286569986.299034</v>
      </c>
      <c r="BT304" s="5">
        <f>IF($B303&lt;=Tabla5[[#This Row],[INVERSIONES FCI]],+Tabla5[[#This Row],[INVERSIONES FCI]]-BT303,Tabla5[[#This Row],[INVERSIONES FCI]])</f>
        <v>62286569986.299034</v>
      </c>
      <c r="BU304" s="5">
        <f>IF($B303&lt;=Tabla5[[#This Row],[INVERSIONES FCI]],+Tabla5[[#This Row],[INVERSIONES FCI]]-BU303,Tabla5[[#This Row],[INVERSIONES FCI]])</f>
        <v>62286569986.299034</v>
      </c>
      <c r="BV304" s="5">
        <f>IF($B303&lt;=Tabla5[[#This Row],[INVERSIONES FCI]],+Tabla5[[#This Row],[INVERSIONES FCI]]-BV303,Tabla5[[#This Row],[INVERSIONES FCI]])</f>
        <v>62286569986.299034</v>
      </c>
      <c r="BW304" s="5">
        <f>IF($B303&lt;=Tabla5[[#This Row],[INVERSIONES FCI]],+Tabla5[[#This Row],[INVERSIONES FCI]]-BW303,Tabla5[[#This Row],[INVERSIONES FCI]])</f>
        <v>62286569986.299034</v>
      </c>
      <c r="BX304" s="5">
        <f>IF($B303&lt;=Tabla5[[#This Row],[INVERSIONES FCI]],+Tabla5[[#This Row],[INVERSIONES FCI]]-BX303,Tabla5[[#This Row],[INVERSIONES FCI]])</f>
        <v>62286569986.299034</v>
      </c>
      <c r="BY304" s="5">
        <f>IF($B303&lt;=Tabla5[[#This Row],[INVERSIONES FCI]],+Tabla5[[#This Row],[INVERSIONES FCI]]-BY303,Tabla5[[#This Row],[INVERSIONES FCI]])</f>
        <v>62286569986.299034</v>
      </c>
      <c r="BZ304" s="5">
        <f>IF($B303&lt;=Tabla5[[#This Row],[INVERSIONES FCI]],+Tabla5[[#This Row],[INVERSIONES FCI]]-BZ303,Tabla5[[#This Row],[INVERSIONES FCI]])</f>
        <v>62286569986.299034</v>
      </c>
      <c r="CA304" s="5">
        <f>IF($B303&lt;=Tabla5[[#This Row],[INVERSIONES FCI]],+Tabla5[[#This Row],[INVERSIONES FCI]]-CA303,Tabla5[[#This Row],[INVERSIONES FCI]])</f>
        <v>62286569986.299034</v>
      </c>
      <c r="CB304" s="5">
        <f>IF($B303&lt;=Tabla5[[#This Row],[INVERSIONES FCI]],+Tabla5[[#This Row],[INVERSIONES FCI]]-CB303,Tabla5[[#This Row],[INVERSIONES FCI]])</f>
        <v>62286569986.299034</v>
      </c>
      <c r="CC304" s="5">
        <f>IF($B303&lt;=Tabla5[[#This Row],[INVERSIONES FCI]],+Tabla5[[#This Row],[INVERSIONES FCI]]-CC303,Tabla5[[#This Row],[INVERSIONES FCI]])</f>
        <v>62286569986.299034</v>
      </c>
      <c r="CD304" s="5">
        <f>IF($B303&lt;=Tabla5[[#This Row],[INVERSIONES FCI]],+Tabla5[[#This Row],[INVERSIONES FCI]]-CD303,Tabla5[[#This Row],[INVERSIONES FCI]])</f>
        <v>62286569986.299034</v>
      </c>
      <c r="CE304" s="5">
        <f>IF($B303&lt;=Tabla5[[#This Row],[INVERSIONES FCI]],+Tabla5[[#This Row],[INVERSIONES FCI]]-CE303,Tabla5[[#This Row],[INVERSIONES FCI]])</f>
        <v>62286569986.299034</v>
      </c>
      <c r="CF304" s="5">
        <f>IF($B303&lt;=Tabla5[[#This Row],[INVERSIONES FCI]],+Tabla5[[#This Row],[INVERSIONES FCI]]-CF303,Tabla5[[#This Row],[INVERSIONES FCI]])</f>
        <v>62286569986.299034</v>
      </c>
      <c r="CG304" s="5">
        <f>IF($B303&lt;=Tabla5[[#This Row],[INVERSIONES FCI]],+Tabla5[[#This Row],[INVERSIONES FCI]]-CG303,Tabla5[[#This Row],[INVERSIONES FCI]])</f>
        <v>62286569986.299034</v>
      </c>
      <c r="CH304" s="5">
        <f>IF($B303&lt;=Tabla5[[#This Row],[INVERSIONES FCI]],+Tabla5[[#This Row],[INVERSIONES FCI]]-CH303,Tabla5[[#This Row],[INVERSIONES FCI]])</f>
        <v>62286569986.299034</v>
      </c>
      <c r="CI304" s="5">
        <f>IF($B303&lt;=Tabla5[[#This Row],[INVERSIONES FCI]],+Tabla5[[#This Row],[INVERSIONES FCI]]-CI303,Tabla5[[#This Row],[INVERSIONES FCI]])</f>
        <v>62286569986.299034</v>
      </c>
      <c r="CJ304" s="5">
        <f>IF($B303&lt;=Tabla5[[#This Row],[INVERSIONES FCI]],+Tabla5[[#This Row],[INVERSIONES FCI]]-CJ303,Tabla5[[#This Row],[INVERSIONES FCI]])</f>
        <v>62286569986.299034</v>
      </c>
      <c r="CK304" s="5">
        <f>IF($B303&lt;=Tabla5[[#This Row],[INVERSIONES FCI]],+Tabla5[[#This Row],[INVERSIONES FCI]]-CK303,Tabla5[[#This Row],[INVERSIONES FCI]])</f>
        <v>62286569986.299034</v>
      </c>
      <c r="CL304" s="5">
        <f>IF($B303&lt;=Tabla5[[#This Row],[INVERSIONES FCI]],+Tabla5[[#This Row],[INVERSIONES FCI]]-CL303,Tabla5[[#This Row],[INVERSIONES FCI]])</f>
        <v>62286569986.299034</v>
      </c>
      <c r="CM304" s="5">
        <f>IF($B303&lt;=Tabla5[[#This Row],[INVERSIONES FCI]],+Tabla5[[#This Row],[INVERSIONES FCI]]-CM303,Tabla5[[#This Row],[INVERSIONES FCI]])</f>
        <v>62286569986.299034</v>
      </c>
      <c r="CN304" s="5">
        <f>IF($B303&lt;=Tabla5[[#This Row],[INVERSIONES FCI]],+Tabla5[[#This Row],[INVERSIONES FCI]]-CN303,Tabla5[[#This Row],[INVERSIONES FCI]])</f>
        <v>62286569986.299034</v>
      </c>
      <c r="CO304" s="5">
        <f>IF($B303&lt;=Tabla5[[#This Row],[INVERSIONES FCI]],+Tabla5[[#This Row],[INVERSIONES FCI]]-CO303,Tabla5[[#This Row],[INVERSIONES FCI]])</f>
        <v>62286569986.299034</v>
      </c>
      <c r="CP304" s="5">
        <f>IF($B303&lt;=Tabla5[[#This Row],[INVERSIONES FCI]],+Tabla5[[#This Row],[INVERSIONES FCI]]-CP303,Tabla5[[#This Row],[INVERSIONES FCI]])</f>
        <v>62286569986.299034</v>
      </c>
      <c r="CQ304" s="5">
        <f>IF($B303&lt;=Tabla5[[#This Row],[INVERSIONES FCI]],+Tabla5[[#This Row],[INVERSIONES FCI]]-CQ303,Tabla5[[#This Row],[INVERSIONES FCI]])</f>
        <v>62286569986.299034</v>
      </c>
      <c r="CR304" s="5">
        <f>IF($B303&lt;=Tabla5[[#This Row],[INVERSIONES FCI]],+Tabla5[[#This Row],[INVERSIONES FCI]]-CR303,Tabla5[[#This Row],[INVERSIONES FCI]])</f>
        <v>62286569986.299034</v>
      </c>
      <c r="CS304" s="5">
        <f>IF($B303&lt;=Tabla5[[#This Row],[INVERSIONES FCI]],+Tabla5[[#This Row],[INVERSIONES FCI]]-CS303,Tabla5[[#This Row],[INVERSIONES FCI]])</f>
        <v>62286569986.299034</v>
      </c>
      <c r="CT304" s="5">
        <f>IF($B303&lt;=Tabla5[[#This Row],[INVERSIONES FCI]],+Tabla5[[#This Row],[INVERSIONES FCI]]-CT303,Tabla5[[#This Row],[INVERSIONES FCI]])</f>
        <v>62286569986.299034</v>
      </c>
      <c r="CU304" s="5">
        <f>IF($B303&lt;=Tabla5[[#This Row],[INVERSIONES FCI]],+Tabla5[[#This Row],[INVERSIONES FCI]]-CU303,Tabla5[[#This Row],[INVERSIONES FCI]])</f>
        <v>62286569986.299034</v>
      </c>
      <c r="CV304" s="5">
        <f>IF($B303&lt;=Tabla5[[#This Row],[INVERSIONES FCI]],+Tabla5[[#This Row],[INVERSIONES FCI]]-CV303,Tabla5[[#This Row],[INVERSIONES FCI]])</f>
        <v>62286569986.299034</v>
      </c>
      <c r="CW304" s="5">
        <f>IF($B303&lt;=Tabla5[[#This Row],[INVERSIONES FCI]],+Tabla5[[#This Row],[INVERSIONES FCI]]-CW303,Tabla5[[#This Row],[INVERSIONES FCI]])</f>
        <v>62286569986.299034</v>
      </c>
      <c r="CX304" s="5">
        <f>IF($B303&lt;=Tabla5[[#This Row],[INVERSIONES FCI]],+Tabla5[[#This Row],[INVERSIONES FCI]]-CX303,Tabla5[[#This Row],[INVERSIONES FCI]])</f>
        <v>62286569986.299034</v>
      </c>
      <c r="CY304" s="5">
        <f>IF($B303&lt;=Tabla5[[#This Row],[INVERSIONES FCI]],+Tabla5[[#This Row],[INVERSIONES FCI]]-CY303,Tabla5[[#This Row],[INVERSIONES FCI]])</f>
        <v>62286569986.299034</v>
      </c>
      <c r="CZ304" s="5">
        <f>IF($B303&lt;=Tabla5[[#This Row],[INVERSIONES FCI]],+Tabla5[[#This Row],[INVERSIONES FCI]]-CZ303,Tabla5[[#This Row],[INVERSIONES FCI]])</f>
        <v>62286569986.299034</v>
      </c>
      <c r="DA304" s="5">
        <f>IF($B303&lt;=Tabla5[[#This Row],[INVERSIONES FCI]],+Tabla5[[#This Row],[INVERSIONES FCI]]-DA303,Tabla5[[#This Row],[INVERSIONES FCI]])</f>
        <v>62286569986.299034</v>
      </c>
      <c r="DB304" s="5">
        <f>IF($B303&lt;=Tabla5[[#This Row],[INVERSIONES FCI]],+Tabla5[[#This Row],[INVERSIONES FCI]]-DB303,Tabla5[[#This Row],[INVERSIONES FCI]])</f>
        <v>62286569986.299034</v>
      </c>
      <c r="DC304" s="5">
        <f>IF($B303&lt;=Tabla5[[#This Row],[INVERSIONES FCI]],+Tabla5[[#This Row],[INVERSIONES FCI]]-DC303,Tabla5[[#This Row],[INVERSIONES FCI]])</f>
        <v>62286569986.299034</v>
      </c>
      <c r="DD304" s="5">
        <f>IF($B303&lt;=Tabla5[[#This Row],[INVERSIONES FCI]],+Tabla5[[#This Row],[INVERSIONES FCI]]-DD303,Tabla5[[#This Row],[INVERSIONES FCI]])</f>
        <v>62286569986.299034</v>
      </c>
      <c r="DE304" s="5">
        <f>IF($B303&lt;=Tabla5[[#This Row],[INVERSIONES FCI]],+Tabla5[[#This Row],[INVERSIONES FCI]]-DE303,Tabla5[[#This Row],[INVERSIONES FCI]])</f>
        <v>62286569986.299034</v>
      </c>
      <c r="DF304" s="5">
        <f>IF($B303&lt;=Tabla5[[#This Row],[INVERSIONES FCI]],+Tabla5[[#This Row],[INVERSIONES FCI]]-DF303,Tabla5[[#This Row],[INVERSIONES FCI]])</f>
        <v>62286569986.299034</v>
      </c>
      <c r="DG304" s="5">
        <f>IF($B303&lt;=Tabla5[[#This Row],[INVERSIONES FCI]],+Tabla5[[#This Row],[INVERSIONES FCI]]-DG303,Tabla5[[#This Row],[INVERSIONES FCI]])</f>
        <v>62286569986.299034</v>
      </c>
      <c r="DH304" s="5">
        <f>IF($B303&lt;=Tabla5[[#This Row],[INVERSIONES FCI]],+Tabla5[[#This Row],[INVERSIONES FCI]]-DH303,Tabla5[[#This Row],[INVERSIONES FCI]])</f>
        <v>62286569986.299034</v>
      </c>
      <c r="DI304" s="5">
        <f>IF($B303&lt;=Tabla5[[#This Row],[INVERSIONES FCI]],+Tabla5[[#This Row],[INVERSIONES FCI]]-DI303,Tabla5[[#This Row],[INVERSIONES FCI]])</f>
        <v>62286569986.299034</v>
      </c>
      <c r="DJ304" s="5">
        <f>IF($B303&lt;=Tabla5[[#This Row],[INVERSIONES FCI]],+Tabla5[[#This Row],[INVERSIONES FCI]]-DJ303,Tabla5[[#This Row],[INVERSIONES FCI]])</f>
        <v>62286569986.299034</v>
      </c>
      <c r="DK304" s="5">
        <f>IF($B303&lt;=Tabla5[[#This Row],[INVERSIONES FCI]],+Tabla5[[#This Row],[INVERSIONES FCI]]-DK303,Tabla5[[#This Row],[INVERSIONES FCI]])</f>
        <v>62286569986.299034</v>
      </c>
      <c r="DL304" s="5"/>
      <c r="DM304" s="5"/>
      <c r="DN304" s="5"/>
      <c r="DO304" s="5"/>
      <c r="DP304" s="5"/>
      <c r="DQ304" s="5"/>
    </row>
    <row r="305" spans="1:121" ht="14.4">
      <c r="A305" s="12" t="s">
        <v>304</v>
      </c>
      <c r="B305" s="5">
        <f>HLOOKUP($A305,ESCENARIO[#All],7,FALSE)</f>
        <v>64241386484.149765</v>
      </c>
      <c r="C305" s="5">
        <f>IF($B304&lt;=Tabla5[[#This Row],[INVERSIONES FCI]],+Tabla5[[#This Row],[INVERSIONES FCI]]-C304,Tabla5[[#This Row],[INVERSIONES FCI]])</f>
        <v>1954816497.8507309</v>
      </c>
      <c r="D305" s="5">
        <f>IF($B304&lt;=Tabla5[[#This Row],[INVERSIONES FCI]],+Tabla5[[#This Row],[INVERSIONES FCI]]-D304,Tabla5[[#This Row],[INVERSIONES FCI]])</f>
        <v>1954816497.8507309</v>
      </c>
      <c r="E305" s="5">
        <f>IF($B304&lt;=Tabla5[[#This Row],[INVERSIONES FCI]],+Tabla5[[#This Row],[INVERSIONES FCI]]-E304,Tabla5[[#This Row],[INVERSIONES FCI]])</f>
        <v>1954816497.8507309</v>
      </c>
      <c r="F305" s="5">
        <f>IF($B304&lt;=Tabla5[[#This Row],[INVERSIONES FCI]],+Tabla5[[#This Row],[INVERSIONES FCI]]-F304,Tabla5[[#This Row],[INVERSIONES FCI]])</f>
        <v>1954816497.8507309</v>
      </c>
      <c r="G305" s="5">
        <f>IF($B304&lt;=Tabla5[[#This Row],[INVERSIONES FCI]],+Tabla5[[#This Row],[INVERSIONES FCI]]-G304,Tabla5[[#This Row],[INVERSIONES FCI]])</f>
        <v>1954816497.8507309</v>
      </c>
      <c r="H305" s="5">
        <f>IF($B304&lt;=Tabla5[[#This Row],[INVERSIONES FCI]],+Tabla5[[#This Row],[INVERSIONES FCI]]-H304,Tabla5[[#This Row],[INVERSIONES FCI]])</f>
        <v>1954816497.8507309</v>
      </c>
      <c r="I305" s="5">
        <f>IF($B304&lt;=Tabla5[[#This Row],[INVERSIONES FCI]],+Tabla5[[#This Row],[INVERSIONES FCI]]-I304,Tabla5[[#This Row],[INVERSIONES FCI]])</f>
        <v>1954816497.8507309</v>
      </c>
      <c r="J305" s="5">
        <f>IF($B304&lt;=Tabla5[[#This Row],[INVERSIONES FCI]],+Tabla5[[#This Row],[INVERSIONES FCI]]-J304,Tabla5[[#This Row],[INVERSIONES FCI]])</f>
        <v>1954816497.8507309</v>
      </c>
      <c r="K305" s="5">
        <f>IF($B304&lt;=Tabla5[[#This Row],[INVERSIONES FCI]],+Tabla5[[#This Row],[INVERSIONES FCI]]-K304,Tabla5[[#This Row],[INVERSIONES FCI]])</f>
        <v>1954816497.8507309</v>
      </c>
      <c r="L305" s="5">
        <f>IF($B304&lt;=Tabla5[[#This Row],[INVERSIONES FCI]],+Tabla5[[#This Row],[INVERSIONES FCI]]-L304,Tabla5[[#This Row],[INVERSIONES FCI]])</f>
        <v>1954816497.8507309</v>
      </c>
      <c r="M305" s="5">
        <f>IF($B304&lt;=Tabla5[[#This Row],[INVERSIONES FCI]],+Tabla5[[#This Row],[INVERSIONES FCI]]-M304,Tabla5[[#This Row],[INVERSIONES FCI]])</f>
        <v>1954816497.8507309</v>
      </c>
      <c r="N305" s="5">
        <f>IF($B304&lt;=Tabla5[[#This Row],[INVERSIONES FCI]],+Tabla5[[#This Row],[INVERSIONES FCI]]-N304,Tabla5[[#This Row],[INVERSIONES FCI]])</f>
        <v>1954816497.8507309</v>
      </c>
      <c r="O305" s="5">
        <f>IF($B304&lt;=Tabla5[[#This Row],[INVERSIONES FCI]],+Tabla5[[#This Row],[INVERSIONES FCI]]-O304,Tabla5[[#This Row],[INVERSIONES FCI]])</f>
        <v>1954816497.8507309</v>
      </c>
      <c r="P305" s="5">
        <f>IF($B304&lt;=Tabla5[[#This Row],[INVERSIONES FCI]],+Tabla5[[#This Row],[INVERSIONES FCI]]-P304,Tabla5[[#This Row],[INVERSIONES FCI]])</f>
        <v>1954816497.8507309</v>
      </c>
      <c r="Q305" s="5">
        <f>IF($B304&lt;=Tabla5[[#This Row],[INVERSIONES FCI]],+Tabla5[[#This Row],[INVERSIONES FCI]]-Q304,Tabla5[[#This Row],[INVERSIONES FCI]])</f>
        <v>1954816497.8507309</v>
      </c>
      <c r="R305" s="5">
        <f>IF($B304&lt;=Tabla5[[#This Row],[INVERSIONES FCI]],+Tabla5[[#This Row],[INVERSIONES FCI]]-R304,Tabla5[[#This Row],[INVERSIONES FCI]])</f>
        <v>1954816497.8507309</v>
      </c>
      <c r="S305" s="5">
        <f>IF($B304&lt;=Tabla5[[#This Row],[INVERSIONES FCI]],+Tabla5[[#This Row],[INVERSIONES FCI]]-S304,Tabla5[[#This Row],[INVERSIONES FCI]])</f>
        <v>1954816497.8507309</v>
      </c>
      <c r="T305" s="5">
        <f>IF($B304&lt;=Tabla5[[#This Row],[INVERSIONES FCI]],+Tabla5[[#This Row],[INVERSIONES FCI]]-T304,Tabla5[[#This Row],[INVERSIONES FCI]])</f>
        <v>1954816497.8507309</v>
      </c>
      <c r="U305" s="5">
        <f>IF($B304&lt;=Tabla5[[#This Row],[INVERSIONES FCI]],+Tabla5[[#This Row],[INVERSIONES FCI]]-U304,Tabla5[[#This Row],[INVERSIONES FCI]])</f>
        <v>1954816497.8507309</v>
      </c>
      <c r="V305" s="5">
        <f>IF($B304&lt;=Tabla5[[#This Row],[INVERSIONES FCI]],+Tabla5[[#This Row],[INVERSIONES FCI]]-V304,Tabla5[[#This Row],[INVERSIONES FCI]])</f>
        <v>1954816497.8507309</v>
      </c>
      <c r="W305" s="5">
        <f>IF($B304&lt;=Tabla5[[#This Row],[INVERSIONES FCI]],+Tabla5[[#This Row],[INVERSIONES FCI]]-W304,Tabla5[[#This Row],[INVERSIONES FCI]])</f>
        <v>1954816497.8507309</v>
      </c>
      <c r="X305" s="5">
        <f>IF($B304&lt;=Tabla5[[#This Row],[INVERSIONES FCI]],+Tabla5[[#This Row],[INVERSIONES FCI]]-X304,Tabla5[[#This Row],[INVERSIONES FCI]])</f>
        <v>1954816497.8507309</v>
      </c>
      <c r="Y305" s="5">
        <f>IF($B304&lt;=Tabla5[[#This Row],[INVERSIONES FCI]],+Tabla5[[#This Row],[INVERSIONES FCI]]-Y304,Tabla5[[#This Row],[INVERSIONES FCI]])</f>
        <v>1954816497.8507309</v>
      </c>
      <c r="Z305" s="5">
        <f>IF($B304&lt;=Tabla5[[#This Row],[INVERSIONES FCI]],+Tabla5[[#This Row],[INVERSIONES FCI]]-Z304,Tabla5[[#This Row],[INVERSIONES FCI]])</f>
        <v>1954816497.8507309</v>
      </c>
      <c r="AA305" s="5">
        <f>IF($B304&lt;=Tabla5[[#This Row],[INVERSIONES FCI]],+Tabla5[[#This Row],[INVERSIONES FCI]]-AA304,Tabla5[[#This Row],[INVERSIONES FCI]])</f>
        <v>1954816497.8507309</v>
      </c>
      <c r="AB305" s="5">
        <f>IF($B304&lt;=Tabla5[[#This Row],[INVERSIONES FCI]],+Tabla5[[#This Row],[INVERSIONES FCI]]-AB304,Tabla5[[#This Row],[INVERSIONES FCI]])</f>
        <v>1954816497.8507309</v>
      </c>
      <c r="AC305" s="5">
        <f>IF($B304&lt;=Tabla5[[#This Row],[INVERSIONES FCI]],+Tabla5[[#This Row],[INVERSIONES FCI]]-AC304,Tabla5[[#This Row],[INVERSIONES FCI]])</f>
        <v>1954816497.8507309</v>
      </c>
      <c r="AD305" s="5">
        <f>IF($B304&lt;=Tabla5[[#This Row],[INVERSIONES FCI]],+Tabla5[[#This Row],[INVERSIONES FCI]]-AD304,Tabla5[[#This Row],[INVERSIONES FCI]])</f>
        <v>1954816497.8507309</v>
      </c>
      <c r="AE305" s="5">
        <f>IF($B304&lt;=Tabla5[[#This Row],[INVERSIONES FCI]],+Tabla5[[#This Row],[INVERSIONES FCI]]-AE304,Tabla5[[#This Row],[INVERSIONES FCI]])</f>
        <v>1954816497.8507309</v>
      </c>
      <c r="AF305" s="5">
        <f>IF($B304&lt;=Tabla5[[#This Row],[INVERSIONES FCI]],+Tabla5[[#This Row],[INVERSIONES FCI]]-AF304,Tabla5[[#This Row],[INVERSIONES FCI]])</f>
        <v>1954816497.8507309</v>
      </c>
      <c r="AG305" s="5">
        <f>IF($B304&lt;=Tabla5[[#This Row],[INVERSIONES FCI]],+Tabla5[[#This Row],[INVERSIONES FCI]]-AG304,Tabla5[[#This Row],[INVERSIONES FCI]])</f>
        <v>1954816497.8507309</v>
      </c>
      <c r="AH305" s="5">
        <f>IF($B304&lt;=Tabla5[[#This Row],[INVERSIONES FCI]],+Tabla5[[#This Row],[INVERSIONES FCI]]-AH304,Tabla5[[#This Row],[INVERSIONES FCI]])</f>
        <v>1954816497.8507309</v>
      </c>
      <c r="AI305" s="5">
        <f>IF($B304&lt;=Tabla5[[#This Row],[INVERSIONES FCI]],+Tabla5[[#This Row],[INVERSIONES FCI]]-AI304,Tabla5[[#This Row],[INVERSIONES FCI]])</f>
        <v>1954816497.8507309</v>
      </c>
      <c r="AJ305" s="5">
        <f>IF($B304&lt;=Tabla5[[#This Row],[INVERSIONES FCI]],+Tabla5[[#This Row],[INVERSIONES FCI]]-AJ304,Tabla5[[#This Row],[INVERSIONES FCI]])</f>
        <v>1954816497.8507309</v>
      </c>
      <c r="AK305" s="5">
        <f>IF($B304&lt;=Tabla5[[#This Row],[INVERSIONES FCI]],+Tabla5[[#This Row],[INVERSIONES FCI]]-AK304,Tabla5[[#This Row],[INVERSIONES FCI]])</f>
        <v>1954816497.8507309</v>
      </c>
      <c r="AL305" s="5">
        <f>IF($B304&lt;=Tabla5[[#This Row],[INVERSIONES FCI]],+Tabla5[[#This Row],[INVERSIONES FCI]]-AL304,Tabla5[[#This Row],[INVERSIONES FCI]])</f>
        <v>1954816497.8507309</v>
      </c>
      <c r="AM305" s="5">
        <f>IF($B304&lt;=Tabla5[[#This Row],[INVERSIONES FCI]],+Tabla5[[#This Row],[INVERSIONES FCI]]-AM304,Tabla5[[#This Row],[INVERSIONES FCI]])</f>
        <v>1954816497.8507309</v>
      </c>
      <c r="AN305" s="5">
        <f>IF($B304&lt;=Tabla5[[#This Row],[INVERSIONES FCI]],+Tabla5[[#This Row],[INVERSIONES FCI]]-AN304,Tabla5[[#This Row],[INVERSIONES FCI]])</f>
        <v>1954816497.8507309</v>
      </c>
      <c r="AO305" s="5">
        <f>IF($B304&lt;=Tabla5[[#This Row],[INVERSIONES FCI]],+Tabla5[[#This Row],[INVERSIONES FCI]]-AO304,Tabla5[[#This Row],[INVERSIONES FCI]])</f>
        <v>1954816497.8507309</v>
      </c>
      <c r="AP305" s="5">
        <f>IF($B304&lt;=Tabla5[[#This Row],[INVERSIONES FCI]],+Tabla5[[#This Row],[INVERSIONES FCI]]-AP304,Tabla5[[#This Row],[INVERSIONES FCI]])</f>
        <v>1954816497.8507309</v>
      </c>
      <c r="AQ305" s="5">
        <f>IF($B304&lt;=Tabla5[[#This Row],[INVERSIONES FCI]],+Tabla5[[#This Row],[INVERSIONES FCI]]-AQ304,Tabla5[[#This Row],[INVERSIONES FCI]])</f>
        <v>1954816497.8507309</v>
      </c>
      <c r="AR305" s="5">
        <f>IF($B304&lt;=Tabla5[[#This Row],[INVERSIONES FCI]],+Tabla5[[#This Row],[INVERSIONES FCI]]-AR304,Tabla5[[#This Row],[INVERSIONES FCI]])</f>
        <v>1954816497.8507309</v>
      </c>
      <c r="AS305" s="5">
        <f>IF($B304&lt;=Tabla5[[#This Row],[INVERSIONES FCI]],+Tabla5[[#This Row],[INVERSIONES FCI]]-AS304,Tabla5[[#This Row],[INVERSIONES FCI]])</f>
        <v>1954816497.8507309</v>
      </c>
      <c r="AT305" s="5">
        <f>IF($B304&lt;=Tabla5[[#This Row],[INVERSIONES FCI]],+Tabla5[[#This Row],[INVERSIONES FCI]]-AT304,Tabla5[[#This Row],[INVERSIONES FCI]])</f>
        <v>1954816497.8507309</v>
      </c>
      <c r="AU305" s="5">
        <f>IF($B304&lt;=Tabla5[[#This Row],[INVERSIONES FCI]],+Tabla5[[#This Row],[INVERSIONES FCI]]-AU304,Tabla5[[#This Row],[INVERSIONES FCI]])</f>
        <v>1954816497.8507309</v>
      </c>
      <c r="AV305" s="5">
        <f>IF($B304&lt;=Tabla5[[#This Row],[INVERSIONES FCI]],+Tabla5[[#This Row],[INVERSIONES FCI]]-AV304,Tabla5[[#This Row],[INVERSIONES FCI]])</f>
        <v>1954816497.8507309</v>
      </c>
      <c r="AW305" s="5">
        <f>IF($B304&lt;=Tabla5[[#This Row],[INVERSIONES FCI]],+Tabla5[[#This Row],[INVERSIONES FCI]]-AW304,Tabla5[[#This Row],[INVERSIONES FCI]])</f>
        <v>1954816497.8507309</v>
      </c>
      <c r="AX305" s="5">
        <f>IF($B304&lt;=Tabla5[[#This Row],[INVERSIONES FCI]],+Tabla5[[#This Row],[INVERSIONES FCI]]-AX304,Tabla5[[#This Row],[INVERSIONES FCI]])</f>
        <v>1954816497.8507309</v>
      </c>
      <c r="AY305" s="5">
        <f>IF($B304&lt;=Tabla5[[#This Row],[INVERSIONES FCI]],+Tabla5[[#This Row],[INVERSIONES FCI]]-AY304,Tabla5[[#This Row],[INVERSIONES FCI]])</f>
        <v>1954816497.8507309</v>
      </c>
      <c r="AZ305" s="5">
        <f>IF($B304&lt;=Tabla5[[#This Row],[INVERSIONES FCI]],+Tabla5[[#This Row],[INVERSIONES FCI]]-AZ304,Tabla5[[#This Row],[INVERSIONES FCI]])</f>
        <v>1954816497.8507309</v>
      </c>
      <c r="BA305" s="5">
        <f>IF($B304&lt;=Tabla5[[#This Row],[INVERSIONES FCI]],+Tabla5[[#This Row],[INVERSIONES FCI]]-BA304,Tabla5[[#This Row],[INVERSIONES FCI]])</f>
        <v>1954816497.8507309</v>
      </c>
      <c r="BB305" s="5">
        <f>IF($B304&lt;=Tabla5[[#This Row],[INVERSIONES FCI]],+Tabla5[[#This Row],[INVERSIONES FCI]]-BB304,Tabla5[[#This Row],[INVERSIONES FCI]])</f>
        <v>1954816497.8507309</v>
      </c>
      <c r="BC305" s="5">
        <f>IF($B304&lt;=Tabla5[[#This Row],[INVERSIONES FCI]],+Tabla5[[#This Row],[INVERSIONES FCI]]-BC304,Tabla5[[#This Row],[INVERSIONES FCI]])</f>
        <v>1954816497.8507309</v>
      </c>
      <c r="BD305" s="5">
        <f>IF($B304&lt;=Tabla5[[#This Row],[INVERSIONES FCI]],+Tabla5[[#This Row],[INVERSIONES FCI]]-BD304,Tabla5[[#This Row],[INVERSIONES FCI]])</f>
        <v>1954816497.8507309</v>
      </c>
      <c r="BE305" s="5">
        <f>IF($B304&lt;=Tabla5[[#This Row],[INVERSIONES FCI]],+Tabla5[[#This Row],[INVERSIONES FCI]]-BE304,Tabla5[[#This Row],[INVERSIONES FCI]])</f>
        <v>1954816497.8507309</v>
      </c>
      <c r="BF305" s="5">
        <f>IF($B304&lt;=Tabla5[[#This Row],[INVERSIONES FCI]],+Tabla5[[#This Row],[INVERSIONES FCI]]-BF304,Tabla5[[#This Row],[INVERSIONES FCI]])</f>
        <v>1954816497.8507309</v>
      </c>
      <c r="BG305" s="5">
        <f>IF($B304&lt;=Tabla5[[#This Row],[INVERSIONES FCI]],+Tabla5[[#This Row],[INVERSIONES FCI]]-BG304,Tabla5[[#This Row],[INVERSIONES FCI]])</f>
        <v>1954816497.8507309</v>
      </c>
      <c r="BH305" s="5">
        <f>IF($B304&lt;=Tabla5[[#This Row],[INVERSIONES FCI]],+Tabla5[[#This Row],[INVERSIONES FCI]]-BH304,Tabla5[[#This Row],[INVERSIONES FCI]])</f>
        <v>1954816497.8507309</v>
      </c>
      <c r="BI305" s="5">
        <f>IF($B304&lt;=Tabla5[[#This Row],[INVERSIONES FCI]],+Tabla5[[#This Row],[INVERSIONES FCI]]-BI304,Tabla5[[#This Row],[INVERSIONES FCI]])</f>
        <v>1954816497.8507309</v>
      </c>
      <c r="BJ305" s="5">
        <f>IF($B304&lt;=Tabla5[[#This Row],[INVERSIONES FCI]],+Tabla5[[#This Row],[INVERSIONES FCI]]-BJ304,Tabla5[[#This Row],[INVERSIONES FCI]])</f>
        <v>1954816497.8507309</v>
      </c>
      <c r="BK305" s="5">
        <f>IF($B304&lt;=Tabla5[[#This Row],[INVERSIONES FCI]],+Tabla5[[#This Row],[INVERSIONES FCI]]-BK304,Tabla5[[#This Row],[INVERSIONES FCI]])</f>
        <v>1954816497.8507309</v>
      </c>
      <c r="BL305" s="5">
        <f>IF($B304&lt;=Tabla5[[#This Row],[INVERSIONES FCI]],+Tabla5[[#This Row],[INVERSIONES FCI]]-BL304,Tabla5[[#This Row],[INVERSIONES FCI]])</f>
        <v>1954816497.8507309</v>
      </c>
      <c r="BM305" s="5">
        <f>IF($B304&lt;=Tabla5[[#This Row],[INVERSIONES FCI]],+Tabla5[[#This Row],[INVERSIONES FCI]]-BM304,Tabla5[[#This Row],[INVERSIONES FCI]])</f>
        <v>1954816497.8507309</v>
      </c>
      <c r="BN305" s="5">
        <f>IF($B304&lt;=Tabla5[[#This Row],[INVERSIONES FCI]],+Tabla5[[#This Row],[INVERSIONES FCI]]-BN304,Tabla5[[#This Row],[INVERSIONES FCI]])</f>
        <v>1954816497.8507309</v>
      </c>
      <c r="BO305" s="5">
        <f>IF($B304&lt;=Tabla5[[#This Row],[INVERSIONES FCI]],+Tabla5[[#This Row],[INVERSIONES FCI]]-BO304,Tabla5[[#This Row],[INVERSIONES FCI]])</f>
        <v>1954816497.8507309</v>
      </c>
      <c r="BP305" s="5">
        <f>IF($B304&lt;=Tabla5[[#This Row],[INVERSIONES FCI]],+Tabla5[[#This Row],[INVERSIONES FCI]]-BP304,Tabla5[[#This Row],[INVERSIONES FCI]])</f>
        <v>1954816497.8507309</v>
      </c>
      <c r="BQ305" s="5">
        <f>IF($B304&lt;=Tabla5[[#This Row],[INVERSIONES FCI]],+Tabla5[[#This Row],[INVERSIONES FCI]]-BQ304,Tabla5[[#This Row],[INVERSIONES FCI]])</f>
        <v>1954816497.8507309</v>
      </c>
      <c r="BR305" s="5">
        <f>IF($B304&lt;=Tabla5[[#This Row],[INVERSIONES FCI]],+Tabla5[[#This Row],[INVERSIONES FCI]]-BR304,Tabla5[[#This Row],[INVERSIONES FCI]])</f>
        <v>1954816497.8507309</v>
      </c>
      <c r="BS305" s="5">
        <f>IF($B304&lt;=Tabla5[[#This Row],[INVERSIONES FCI]],+Tabla5[[#This Row],[INVERSIONES FCI]]-BS304,Tabla5[[#This Row],[INVERSIONES FCI]])</f>
        <v>1954816497.8507309</v>
      </c>
      <c r="BT305" s="5">
        <f>IF($B304&lt;=Tabla5[[#This Row],[INVERSIONES FCI]],+Tabla5[[#This Row],[INVERSIONES FCI]]-BT304,Tabla5[[#This Row],[INVERSIONES FCI]])</f>
        <v>1954816497.8507309</v>
      </c>
      <c r="BU305" s="5">
        <f>IF($B304&lt;=Tabla5[[#This Row],[INVERSIONES FCI]],+Tabla5[[#This Row],[INVERSIONES FCI]]-BU304,Tabla5[[#This Row],[INVERSIONES FCI]])</f>
        <v>1954816497.8507309</v>
      </c>
      <c r="BV305" s="5">
        <f>IF($B304&lt;=Tabla5[[#This Row],[INVERSIONES FCI]],+Tabla5[[#This Row],[INVERSIONES FCI]]-BV304,Tabla5[[#This Row],[INVERSIONES FCI]])</f>
        <v>1954816497.8507309</v>
      </c>
      <c r="BW305" s="5">
        <f>IF($B304&lt;=Tabla5[[#This Row],[INVERSIONES FCI]],+Tabla5[[#This Row],[INVERSIONES FCI]]-BW304,Tabla5[[#This Row],[INVERSIONES FCI]])</f>
        <v>1954816497.8507309</v>
      </c>
      <c r="BX305" s="5">
        <f>IF($B304&lt;=Tabla5[[#This Row],[INVERSIONES FCI]],+Tabla5[[#This Row],[INVERSIONES FCI]]-BX304,Tabla5[[#This Row],[INVERSIONES FCI]])</f>
        <v>1954816497.8507309</v>
      </c>
      <c r="BY305" s="5">
        <f>IF($B304&lt;=Tabla5[[#This Row],[INVERSIONES FCI]],+Tabla5[[#This Row],[INVERSIONES FCI]]-BY304,Tabla5[[#This Row],[INVERSIONES FCI]])</f>
        <v>1954816497.8507309</v>
      </c>
      <c r="BZ305" s="5">
        <f>IF($B304&lt;=Tabla5[[#This Row],[INVERSIONES FCI]],+Tabla5[[#This Row],[INVERSIONES FCI]]-BZ304,Tabla5[[#This Row],[INVERSIONES FCI]])</f>
        <v>1954816497.8507309</v>
      </c>
      <c r="CA305" s="5">
        <f>IF($B304&lt;=Tabla5[[#This Row],[INVERSIONES FCI]],+Tabla5[[#This Row],[INVERSIONES FCI]]-CA304,Tabla5[[#This Row],[INVERSIONES FCI]])</f>
        <v>1954816497.8507309</v>
      </c>
      <c r="CB305" s="5">
        <f>IF($B304&lt;=Tabla5[[#This Row],[INVERSIONES FCI]],+Tabla5[[#This Row],[INVERSIONES FCI]]-CB304,Tabla5[[#This Row],[INVERSIONES FCI]])</f>
        <v>1954816497.8507309</v>
      </c>
      <c r="CC305" s="5">
        <f>IF($B304&lt;=Tabla5[[#This Row],[INVERSIONES FCI]],+Tabla5[[#This Row],[INVERSIONES FCI]]-CC304,Tabla5[[#This Row],[INVERSIONES FCI]])</f>
        <v>1954816497.8507309</v>
      </c>
      <c r="CD305" s="5">
        <f>IF($B304&lt;=Tabla5[[#This Row],[INVERSIONES FCI]],+Tabla5[[#This Row],[INVERSIONES FCI]]-CD304,Tabla5[[#This Row],[INVERSIONES FCI]])</f>
        <v>1954816497.8507309</v>
      </c>
      <c r="CE305" s="5">
        <f>IF($B304&lt;=Tabla5[[#This Row],[INVERSIONES FCI]],+Tabla5[[#This Row],[INVERSIONES FCI]]-CE304,Tabla5[[#This Row],[INVERSIONES FCI]])</f>
        <v>1954816497.8507309</v>
      </c>
      <c r="CF305" s="5">
        <f>IF($B304&lt;=Tabla5[[#This Row],[INVERSIONES FCI]],+Tabla5[[#This Row],[INVERSIONES FCI]]-CF304,Tabla5[[#This Row],[INVERSIONES FCI]])</f>
        <v>1954816497.8507309</v>
      </c>
      <c r="CG305" s="5">
        <f>IF($B304&lt;=Tabla5[[#This Row],[INVERSIONES FCI]],+Tabla5[[#This Row],[INVERSIONES FCI]]-CG304,Tabla5[[#This Row],[INVERSIONES FCI]])</f>
        <v>1954816497.8507309</v>
      </c>
      <c r="CH305" s="5">
        <f>IF($B304&lt;=Tabla5[[#This Row],[INVERSIONES FCI]],+Tabla5[[#This Row],[INVERSIONES FCI]]-CH304,Tabla5[[#This Row],[INVERSIONES FCI]])</f>
        <v>1954816497.8507309</v>
      </c>
      <c r="CI305" s="5">
        <f>IF($B304&lt;=Tabla5[[#This Row],[INVERSIONES FCI]],+Tabla5[[#This Row],[INVERSIONES FCI]]-CI304,Tabla5[[#This Row],[INVERSIONES FCI]])</f>
        <v>1954816497.8507309</v>
      </c>
      <c r="CJ305" s="5">
        <f>IF($B304&lt;=Tabla5[[#This Row],[INVERSIONES FCI]],+Tabla5[[#This Row],[INVERSIONES FCI]]-CJ304,Tabla5[[#This Row],[INVERSIONES FCI]])</f>
        <v>1954816497.8507309</v>
      </c>
      <c r="CK305" s="5">
        <f>IF($B304&lt;=Tabla5[[#This Row],[INVERSIONES FCI]],+Tabla5[[#This Row],[INVERSIONES FCI]]-CK304,Tabla5[[#This Row],[INVERSIONES FCI]])</f>
        <v>1954816497.8507309</v>
      </c>
      <c r="CL305" s="5">
        <f>IF($B304&lt;=Tabla5[[#This Row],[INVERSIONES FCI]],+Tabla5[[#This Row],[INVERSIONES FCI]]-CL304,Tabla5[[#This Row],[INVERSIONES FCI]])</f>
        <v>1954816497.8507309</v>
      </c>
      <c r="CM305" s="5">
        <f>IF($B304&lt;=Tabla5[[#This Row],[INVERSIONES FCI]],+Tabla5[[#This Row],[INVERSIONES FCI]]-CM304,Tabla5[[#This Row],[INVERSIONES FCI]])</f>
        <v>1954816497.8507309</v>
      </c>
      <c r="CN305" s="5">
        <f>IF($B304&lt;=Tabla5[[#This Row],[INVERSIONES FCI]],+Tabla5[[#This Row],[INVERSIONES FCI]]-CN304,Tabla5[[#This Row],[INVERSIONES FCI]])</f>
        <v>1954816497.8507309</v>
      </c>
      <c r="CO305" s="5">
        <f>IF($B304&lt;=Tabla5[[#This Row],[INVERSIONES FCI]],+Tabla5[[#This Row],[INVERSIONES FCI]]-CO304,Tabla5[[#This Row],[INVERSIONES FCI]])</f>
        <v>1954816497.8507309</v>
      </c>
      <c r="CP305" s="5">
        <f>IF($B304&lt;=Tabla5[[#This Row],[INVERSIONES FCI]],+Tabla5[[#This Row],[INVERSIONES FCI]]-CP304,Tabla5[[#This Row],[INVERSIONES FCI]])</f>
        <v>1954816497.8507309</v>
      </c>
      <c r="CQ305" s="5">
        <f>IF($B304&lt;=Tabla5[[#This Row],[INVERSIONES FCI]],+Tabla5[[#This Row],[INVERSIONES FCI]]-CQ304,Tabla5[[#This Row],[INVERSIONES FCI]])</f>
        <v>1954816497.8507309</v>
      </c>
      <c r="CR305" s="5">
        <f>IF($B304&lt;=Tabla5[[#This Row],[INVERSIONES FCI]],+Tabla5[[#This Row],[INVERSIONES FCI]]-CR304,Tabla5[[#This Row],[INVERSIONES FCI]])</f>
        <v>1954816497.8507309</v>
      </c>
      <c r="CS305" s="5">
        <f>IF($B304&lt;=Tabla5[[#This Row],[INVERSIONES FCI]],+Tabla5[[#This Row],[INVERSIONES FCI]]-CS304,Tabla5[[#This Row],[INVERSIONES FCI]])</f>
        <v>1954816497.8507309</v>
      </c>
      <c r="CT305" s="5">
        <f>IF($B304&lt;=Tabla5[[#This Row],[INVERSIONES FCI]],+Tabla5[[#This Row],[INVERSIONES FCI]]-CT304,Tabla5[[#This Row],[INVERSIONES FCI]])</f>
        <v>1954816497.8507309</v>
      </c>
      <c r="CU305" s="5">
        <f>IF($B304&lt;=Tabla5[[#This Row],[INVERSIONES FCI]],+Tabla5[[#This Row],[INVERSIONES FCI]]-CU304,Tabla5[[#This Row],[INVERSIONES FCI]])</f>
        <v>1954816497.8507309</v>
      </c>
      <c r="CV305" s="5">
        <f>IF($B304&lt;=Tabla5[[#This Row],[INVERSIONES FCI]],+Tabla5[[#This Row],[INVERSIONES FCI]]-CV304,Tabla5[[#This Row],[INVERSIONES FCI]])</f>
        <v>1954816497.8507309</v>
      </c>
      <c r="CW305" s="5">
        <f>IF($B304&lt;=Tabla5[[#This Row],[INVERSIONES FCI]],+Tabla5[[#This Row],[INVERSIONES FCI]]-CW304,Tabla5[[#This Row],[INVERSIONES FCI]])</f>
        <v>1954816497.8507309</v>
      </c>
      <c r="CX305" s="5">
        <f>IF($B304&lt;=Tabla5[[#This Row],[INVERSIONES FCI]],+Tabla5[[#This Row],[INVERSIONES FCI]]-CX304,Tabla5[[#This Row],[INVERSIONES FCI]])</f>
        <v>1954816497.8507309</v>
      </c>
      <c r="CY305" s="5">
        <f>IF($B304&lt;=Tabla5[[#This Row],[INVERSIONES FCI]],+Tabla5[[#This Row],[INVERSIONES FCI]]-CY304,Tabla5[[#This Row],[INVERSIONES FCI]])</f>
        <v>1954816497.8507309</v>
      </c>
      <c r="CZ305" s="5">
        <f>IF($B304&lt;=Tabla5[[#This Row],[INVERSIONES FCI]],+Tabla5[[#This Row],[INVERSIONES FCI]]-CZ304,Tabla5[[#This Row],[INVERSIONES FCI]])</f>
        <v>1954816497.8507309</v>
      </c>
      <c r="DA305" s="5">
        <f>IF($B304&lt;=Tabla5[[#This Row],[INVERSIONES FCI]],+Tabla5[[#This Row],[INVERSIONES FCI]]-DA304,Tabla5[[#This Row],[INVERSIONES FCI]])</f>
        <v>1954816497.8507309</v>
      </c>
      <c r="DB305" s="5">
        <f>IF($B304&lt;=Tabla5[[#This Row],[INVERSIONES FCI]],+Tabla5[[#This Row],[INVERSIONES FCI]]-DB304,Tabla5[[#This Row],[INVERSIONES FCI]])</f>
        <v>1954816497.8507309</v>
      </c>
      <c r="DC305" s="5">
        <f>IF($B304&lt;=Tabla5[[#This Row],[INVERSIONES FCI]],+Tabla5[[#This Row],[INVERSIONES FCI]]-DC304,Tabla5[[#This Row],[INVERSIONES FCI]])</f>
        <v>1954816497.8507309</v>
      </c>
      <c r="DD305" s="5">
        <f>IF($B304&lt;=Tabla5[[#This Row],[INVERSIONES FCI]],+Tabla5[[#This Row],[INVERSIONES FCI]]-DD304,Tabla5[[#This Row],[INVERSIONES FCI]])</f>
        <v>1954816497.8507309</v>
      </c>
      <c r="DE305" s="5">
        <f>IF($B304&lt;=Tabla5[[#This Row],[INVERSIONES FCI]],+Tabla5[[#This Row],[INVERSIONES FCI]]-DE304,Tabla5[[#This Row],[INVERSIONES FCI]])</f>
        <v>1954816497.8507309</v>
      </c>
      <c r="DF305" s="5">
        <f>IF($B304&lt;=Tabla5[[#This Row],[INVERSIONES FCI]],+Tabla5[[#This Row],[INVERSIONES FCI]]-DF304,Tabla5[[#This Row],[INVERSIONES FCI]])</f>
        <v>1954816497.8507309</v>
      </c>
      <c r="DG305" s="5">
        <f>IF($B304&lt;=Tabla5[[#This Row],[INVERSIONES FCI]],+Tabla5[[#This Row],[INVERSIONES FCI]]-DG304,Tabla5[[#This Row],[INVERSIONES FCI]])</f>
        <v>1954816497.8507309</v>
      </c>
      <c r="DH305" s="5">
        <f>IF($B304&lt;=Tabla5[[#This Row],[INVERSIONES FCI]],+Tabla5[[#This Row],[INVERSIONES FCI]]-DH304,Tabla5[[#This Row],[INVERSIONES FCI]])</f>
        <v>1954816497.8507309</v>
      </c>
      <c r="DI305" s="5">
        <f>IF($B304&lt;=Tabla5[[#This Row],[INVERSIONES FCI]],+Tabla5[[#This Row],[INVERSIONES FCI]]-DI304,Tabla5[[#This Row],[INVERSIONES FCI]])</f>
        <v>1954816497.8507309</v>
      </c>
      <c r="DJ305" s="5">
        <f>IF($B304&lt;=Tabla5[[#This Row],[INVERSIONES FCI]],+Tabla5[[#This Row],[INVERSIONES FCI]]-DJ304,Tabla5[[#This Row],[INVERSIONES FCI]])</f>
        <v>1954816497.8507309</v>
      </c>
      <c r="DK305" s="5">
        <f>IF($B304&lt;=Tabla5[[#This Row],[INVERSIONES FCI]],+Tabla5[[#This Row],[INVERSIONES FCI]]-DK304,Tabla5[[#This Row],[INVERSIONES FCI]])</f>
        <v>1954816497.8507309</v>
      </c>
      <c r="DL305" s="5"/>
      <c r="DM305" s="5"/>
      <c r="DN305" s="5"/>
      <c r="DO305" s="5"/>
      <c r="DP305" s="5"/>
      <c r="DQ305" s="5"/>
    </row>
    <row r="306" spans="1:121" ht="14.4">
      <c r="A306" s="12" t="s">
        <v>305</v>
      </c>
      <c r="B306" s="5">
        <f>HLOOKUP($A306,ESCENARIO[#All],7,FALSE)</f>
        <v>65032791340.697128</v>
      </c>
      <c r="C306" s="5">
        <f>IF($B305&lt;=Tabla5[[#This Row],[INVERSIONES FCI]],+Tabla5[[#This Row],[INVERSIONES FCI]]-C305,Tabla5[[#This Row],[INVERSIONES FCI]])</f>
        <v>63077974842.846397</v>
      </c>
      <c r="D306" s="5">
        <f>IF($B305&lt;=Tabla5[[#This Row],[INVERSIONES FCI]],+Tabla5[[#This Row],[INVERSIONES FCI]]-D305,Tabla5[[#This Row],[INVERSIONES FCI]])</f>
        <v>63077974842.846397</v>
      </c>
      <c r="E306" s="5">
        <f>IF($B305&lt;=Tabla5[[#This Row],[INVERSIONES FCI]],+Tabla5[[#This Row],[INVERSIONES FCI]]-E305,Tabla5[[#This Row],[INVERSIONES FCI]])</f>
        <v>63077974842.846397</v>
      </c>
      <c r="F306" s="5">
        <f>IF($B305&lt;=Tabla5[[#This Row],[INVERSIONES FCI]],+Tabla5[[#This Row],[INVERSIONES FCI]]-F305,Tabla5[[#This Row],[INVERSIONES FCI]])</f>
        <v>63077974842.846397</v>
      </c>
      <c r="G306" s="5">
        <f>IF($B305&lt;=Tabla5[[#This Row],[INVERSIONES FCI]],+Tabla5[[#This Row],[INVERSIONES FCI]]-G305,Tabla5[[#This Row],[INVERSIONES FCI]])</f>
        <v>63077974842.846397</v>
      </c>
      <c r="H306" s="5">
        <f>IF($B305&lt;=Tabla5[[#This Row],[INVERSIONES FCI]],+Tabla5[[#This Row],[INVERSIONES FCI]]-H305,Tabla5[[#This Row],[INVERSIONES FCI]])</f>
        <v>63077974842.846397</v>
      </c>
      <c r="I306" s="5">
        <f>IF($B305&lt;=Tabla5[[#This Row],[INVERSIONES FCI]],+Tabla5[[#This Row],[INVERSIONES FCI]]-I305,Tabla5[[#This Row],[INVERSIONES FCI]])</f>
        <v>63077974842.846397</v>
      </c>
      <c r="J306" s="5">
        <f>IF($B305&lt;=Tabla5[[#This Row],[INVERSIONES FCI]],+Tabla5[[#This Row],[INVERSIONES FCI]]-J305,Tabla5[[#This Row],[INVERSIONES FCI]])</f>
        <v>63077974842.846397</v>
      </c>
      <c r="K306" s="5">
        <f>IF($B305&lt;=Tabla5[[#This Row],[INVERSIONES FCI]],+Tabla5[[#This Row],[INVERSIONES FCI]]-K305,Tabla5[[#This Row],[INVERSIONES FCI]])</f>
        <v>63077974842.846397</v>
      </c>
      <c r="L306" s="5">
        <f>IF($B305&lt;=Tabla5[[#This Row],[INVERSIONES FCI]],+Tabla5[[#This Row],[INVERSIONES FCI]]-L305,Tabla5[[#This Row],[INVERSIONES FCI]])</f>
        <v>63077974842.846397</v>
      </c>
      <c r="M306" s="5">
        <f>IF($B305&lt;=Tabla5[[#This Row],[INVERSIONES FCI]],+Tabla5[[#This Row],[INVERSIONES FCI]]-M305,Tabla5[[#This Row],[INVERSIONES FCI]])</f>
        <v>63077974842.846397</v>
      </c>
      <c r="N306" s="5">
        <f>IF($B305&lt;=Tabla5[[#This Row],[INVERSIONES FCI]],+Tabla5[[#This Row],[INVERSIONES FCI]]-N305,Tabla5[[#This Row],[INVERSIONES FCI]])</f>
        <v>63077974842.846397</v>
      </c>
      <c r="O306" s="5">
        <f>IF($B305&lt;=Tabla5[[#This Row],[INVERSIONES FCI]],+Tabla5[[#This Row],[INVERSIONES FCI]]-O305,Tabla5[[#This Row],[INVERSIONES FCI]])</f>
        <v>63077974842.846397</v>
      </c>
      <c r="P306" s="5">
        <f>IF($B305&lt;=Tabla5[[#This Row],[INVERSIONES FCI]],+Tabla5[[#This Row],[INVERSIONES FCI]]-P305,Tabla5[[#This Row],[INVERSIONES FCI]])</f>
        <v>63077974842.846397</v>
      </c>
      <c r="Q306" s="5">
        <f>IF($B305&lt;=Tabla5[[#This Row],[INVERSIONES FCI]],+Tabla5[[#This Row],[INVERSIONES FCI]]-Q305,Tabla5[[#This Row],[INVERSIONES FCI]])</f>
        <v>63077974842.846397</v>
      </c>
      <c r="R306" s="5">
        <f>IF($B305&lt;=Tabla5[[#This Row],[INVERSIONES FCI]],+Tabla5[[#This Row],[INVERSIONES FCI]]-R305,Tabla5[[#This Row],[INVERSIONES FCI]])</f>
        <v>63077974842.846397</v>
      </c>
      <c r="S306" s="5">
        <f>IF($B305&lt;=Tabla5[[#This Row],[INVERSIONES FCI]],+Tabla5[[#This Row],[INVERSIONES FCI]]-S305,Tabla5[[#This Row],[INVERSIONES FCI]])</f>
        <v>63077974842.846397</v>
      </c>
      <c r="T306" s="5">
        <f>IF($B305&lt;=Tabla5[[#This Row],[INVERSIONES FCI]],+Tabla5[[#This Row],[INVERSIONES FCI]]-T305,Tabla5[[#This Row],[INVERSIONES FCI]])</f>
        <v>63077974842.846397</v>
      </c>
      <c r="U306" s="5">
        <f>IF($B305&lt;=Tabla5[[#This Row],[INVERSIONES FCI]],+Tabla5[[#This Row],[INVERSIONES FCI]]-U305,Tabla5[[#This Row],[INVERSIONES FCI]])</f>
        <v>63077974842.846397</v>
      </c>
      <c r="V306" s="5">
        <f>IF($B305&lt;=Tabla5[[#This Row],[INVERSIONES FCI]],+Tabla5[[#This Row],[INVERSIONES FCI]]-V305,Tabla5[[#This Row],[INVERSIONES FCI]])</f>
        <v>63077974842.846397</v>
      </c>
      <c r="W306" s="5">
        <f>IF($B305&lt;=Tabla5[[#This Row],[INVERSIONES FCI]],+Tabla5[[#This Row],[INVERSIONES FCI]]-W305,Tabla5[[#This Row],[INVERSIONES FCI]])</f>
        <v>63077974842.846397</v>
      </c>
      <c r="X306" s="5">
        <f>IF($B305&lt;=Tabla5[[#This Row],[INVERSIONES FCI]],+Tabla5[[#This Row],[INVERSIONES FCI]]-X305,Tabla5[[#This Row],[INVERSIONES FCI]])</f>
        <v>63077974842.846397</v>
      </c>
      <c r="Y306" s="5">
        <f>IF($B305&lt;=Tabla5[[#This Row],[INVERSIONES FCI]],+Tabla5[[#This Row],[INVERSIONES FCI]]-Y305,Tabla5[[#This Row],[INVERSIONES FCI]])</f>
        <v>63077974842.846397</v>
      </c>
      <c r="Z306" s="5">
        <f>IF($B305&lt;=Tabla5[[#This Row],[INVERSIONES FCI]],+Tabla5[[#This Row],[INVERSIONES FCI]]-Z305,Tabla5[[#This Row],[INVERSIONES FCI]])</f>
        <v>63077974842.846397</v>
      </c>
      <c r="AA306" s="5">
        <f>IF($B305&lt;=Tabla5[[#This Row],[INVERSIONES FCI]],+Tabla5[[#This Row],[INVERSIONES FCI]]-AA305,Tabla5[[#This Row],[INVERSIONES FCI]])</f>
        <v>63077974842.846397</v>
      </c>
      <c r="AB306" s="5">
        <f>IF($B305&lt;=Tabla5[[#This Row],[INVERSIONES FCI]],+Tabla5[[#This Row],[INVERSIONES FCI]]-AB305,Tabla5[[#This Row],[INVERSIONES FCI]])</f>
        <v>63077974842.846397</v>
      </c>
      <c r="AC306" s="5">
        <f>IF($B305&lt;=Tabla5[[#This Row],[INVERSIONES FCI]],+Tabla5[[#This Row],[INVERSIONES FCI]]-AC305,Tabla5[[#This Row],[INVERSIONES FCI]])</f>
        <v>63077974842.846397</v>
      </c>
      <c r="AD306" s="5">
        <f>IF($B305&lt;=Tabla5[[#This Row],[INVERSIONES FCI]],+Tabla5[[#This Row],[INVERSIONES FCI]]-AD305,Tabla5[[#This Row],[INVERSIONES FCI]])</f>
        <v>63077974842.846397</v>
      </c>
      <c r="AE306" s="5">
        <f>IF($B305&lt;=Tabla5[[#This Row],[INVERSIONES FCI]],+Tabla5[[#This Row],[INVERSIONES FCI]]-AE305,Tabla5[[#This Row],[INVERSIONES FCI]])</f>
        <v>63077974842.846397</v>
      </c>
      <c r="AF306" s="5">
        <f>IF($B305&lt;=Tabla5[[#This Row],[INVERSIONES FCI]],+Tabla5[[#This Row],[INVERSIONES FCI]]-AF305,Tabla5[[#This Row],[INVERSIONES FCI]])</f>
        <v>63077974842.846397</v>
      </c>
      <c r="AG306" s="5">
        <f>IF($B305&lt;=Tabla5[[#This Row],[INVERSIONES FCI]],+Tabla5[[#This Row],[INVERSIONES FCI]]-AG305,Tabla5[[#This Row],[INVERSIONES FCI]])</f>
        <v>63077974842.846397</v>
      </c>
      <c r="AH306" s="5">
        <f>IF($B305&lt;=Tabla5[[#This Row],[INVERSIONES FCI]],+Tabla5[[#This Row],[INVERSIONES FCI]]-AH305,Tabla5[[#This Row],[INVERSIONES FCI]])</f>
        <v>63077974842.846397</v>
      </c>
      <c r="AI306" s="5">
        <f>IF($B305&lt;=Tabla5[[#This Row],[INVERSIONES FCI]],+Tabla5[[#This Row],[INVERSIONES FCI]]-AI305,Tabla5[[#This Row],[INVERSIONES FCI]])</f>
        <v>63077974842.846397</v>
      </c>
      <c r="AJ306" s="5">
        <f>IF($B305&lt;=Tabla5[[#This Row],[INVERSIONES FCI]],+Tabla5[[#This Row],[INVERSIONES FCI]]-AJ305,Tabla5[[#This Row],[INVERSIONES FCI]])</f>
        <v>63077974842.846397</v>
      </c>
      <c r="AK306" s="5">
        <f>IF($B305&lt;=Tabla5[[#This Row],[INVERSIONES FCI]],+Tabla5[[#This Row],[INVERSIONES FCI]]-AK305,Tabla5[[#This Row],[INVERSIONES FCI]])</f>
        <v>63077974842.846397</v>
      </c>
      <c r="AL306" s="5">
        <f>IF($B305&lt;=Tabla5[[#This Row],[INVERSIONES FCI]],+Tabla5[[#This Row],[INVERSIONES FCI]]-AL305,Tabla5[[#This Row],[INVERSIONES FCI]])</f>
        <v>63077974842.846397</v>
      </c>
      <c r="AM306" s="5">
        <f>IF($B305&lt;=Tabla5[[#This Row],[INVERSIONES FCI]],+Tabla5[[#This Row],[INVERSIONES FCI]]-AM305,Tabla5[[#This Row],[INVERSIONES FCI]])</f>
        <v>63077974842.846397</v>
      </c>
      <c r="AN306" s="5">
        <f>IF($B305&lt;=Tabla5[[#This Row],[INVERSIONES FCI]],+Tabla5[[#This Row],[INVERSIONES FCI]]-AN305,Tabla5[[#This Row],[INVERSIONES FCI]])</f>
        <v>63077974842.846397</v>
      </c>
      <c r="AO306" s="5">
        <f>IF($B305&lt;=Tabla5[[#This Row],[INVERSIONES FCI]],+Tabla5[[#This Row],[INVERSIONES FCI]]-AO305,Tabla5[[#This Row],[INVERSIONES FCI]])</f>
        <v>63077974842.846397</v>
      </c>
      <c r="AP306" s="5">
        <f>IF($B305&lt;=Tabla5[[#This Row],[INVERSIONES FCI]],+Tabla5[[#This Row],[INVERSIONES FCI]]-AP305,Tabla5[[#This Row],[INVERSIONES FCI]])</f>
        <v>63077974842.846397</v>
      </c>
      <c r="AQ306" s="5">
        <f>IF($B305&lt;=Tabla5[[#This Row],[INVERSIONES FCI]],+Tabla5[[#This Row],[INVERSIONES FCI]]-AQ305,Tabla5[[#This Row],[INVERSIONES FCI]])</f>
        <v>63077974842.846397</v>
      </c>
      <c r="AR306" s="5">
        <f>IF($B305&lt;=Tabla5[[#This Row],[INVERSIONES FCI]],+Tabla5[[#This Row],[INVERSIONES FCI]]-AR305,Tabla5[[#This Row],[INVERSIONES FCI]])</f>
        <v>63077974842.846397</v>
      </c>
      <c r="AS306" s="5">
        <f>IF($B305&lt;=Tabla5[[#This Row],[INVERSIONES FCI]],+Tabla5[[#This Row],[INVERSIONES FCI]]-AS305,Tabla5[[#This Row],[INVERSIONES FCI]])</f>
        <v>63077974842.846397</v>
      </c>
      <c r="AT306" s="5">
        <f>IF($B305&lt;=Tabla5[[#This Row],[INVERSIONES FCI]],+Tabla5[[#This Row],[INVERSIONES FCI]]-AT305,Tabla5[[#This Row],[INVERSIONES FCI]])</f>
        <v>63077974842.846397</v>
      </c>
      <c r="AU306" s="5">
        <f>IF($B305&lt;=Tabla5[[#This Row],[INVERSIONES FCI]],+Tabla5[[#This Row],[INVERSIONES FCI]]-AU305,Tabla5[[#This Row],[INVERSIONES FCI]])</f>
        <v>63077974842.846397</v>
      </c>
      <c r="AV306" s="5">
        <f>IF($B305&lt;=Tabla5[[#This Row],[INVERSIONES FCI]],+Tabla5[[#This Row],[INVERSIONES FCI]]-AV305,Tabla5[[#This Row],[INVERSIONES FCI]])</f>
        <v>63077974842.846397</v>
      </c>
      <c r="AW306" s="5">
        <f>IF($B305&lt;=Tabla5[[#This Row],[INVERSIONES FCI]],+Tabla5[[#This Row],[INVERSIONES FCI]]-AW305,Tabla5[[#This Row],[INVERSIONES FCI]])</f>
        <v>63077974842.846397</v>
      </c>
      <c r="AX306" s="5">
        <f>IF($B305&lt;=Tabla5[[#This Row],[INVERSIONES FCI]],+Tabla5[[#This Row],[INVERSIONES FCI]]-AX305,Tabla5[[#This Row],[INVERSIONES FCI]])</f>
        <v>63077974842.846397</v>
      </c>
      <c r="AY306" s="5">
        <f>IF($B305&lt;=Tabla5[[#This Row],[INVERSIONES FCI]],+Tabla5[[#This Row],[INVERSIONES FCI]]-AY305,Tabla5[[#This Row],[INVERSIONES FCI]])</f>
        <v>63077974842.846397</v>
      </c>
      <c r="AZ306" s="5">
        <f>IF($B305&lt;=Tabla5[[#This Row],[INVERSIONES FCI]],+Tabla5[[#This Row],[INVERSIONES FCI]]-AZ305,Tabla5[[#This Row],[INVERSIONES FCI]])</f>
        <v>63077974842.846397</v>
      </c>
      <c r="BA306" s="5">
        <f>IF($B305&lt;=Tabla5[[#This Row],[INVERSIONES FCI]],+Tabla5[[#This Row],[INVERSIONES FCI]]-BA305,Tabla5[[#This Row],[INVERSIONES FCI]])</f>
        <v>63077974842.846397</v>
      </c>
      <c r="BB306" s="5">
        <f>IF($B305&lt;=Tabla5[[#This Row],[INVERSIONES FCI]],+Tabla5[[#This Row],[INVERSIONES FCI]]-BB305,Tabla5[[#This Row],[INVERSIONES FCI]])</f>
        <v>63077974842.846397</v>
      </c>
      <c r="BC306" s="5">
        <f>IF($B305&lt;=Tabla5[[#This Row],[INVERSIONES FCI]],+Tabla5[[#This Row],[INVERSIONES FCI]]-BC305,Tabla5[[#This Row],[INVERSIONES FCI]])</f>
        <v>63077974842.846397</v>
      </c>
      <c r="BD306" s="5">
        <f>IF($B305&lt;=Tabla5[[#This Row],[INVERSIONES FCI]],+Tabla5[[#This Row],[INVERSIONES FCI]]-BD305,Tabla5[[#This Row],[INVERSIONES FCI]])</f>
        <v>63077974842.846397</v>
      </c>
      <c r="BE306" s="5">
        <f>IF($B305&lt;=Tabla5[[#This Row],[INVERSIONES FCI]],+Tabla5[[#This Row],[INVERSIONES FCI]]-BE305,Tabla5[[#This Row],[INVERSIONES FCI]])</f>
        <v>63077974842.846397</v>
      </c>
      <c r="BF306" s="5">
        <f>IF($B305&lt;=Tabla5[[#This Row],[INVERSIONES FCI]],+Tabla5[[#This Row],[INVERSIONES FCI]]-BF305,Tabla5[[#This Row],[INVERSIONES FCI]])</f>
        <v>63077974842.846397</v>
      </c>
      <c r="BG306" s="5">
        <f>IF($B305&lt;=Tabla5[[#This Row],[INVERSIONES FCI]],+Tabla5[[#This Row],[INVERSIONES FCI]]-BG305,Tabla5[[#This Row],[INVERSIONES FCI]])</f>
        <v>63077974842.846397</v>
      </c>
      <c r="BH306" s="5">
        <f>IF($B305&lt;=Tabla5[[#This Row],[INVERSIONES FCI]],+Tabla5[[#This Row],[INVERSIONES FCI]]-BH305,Tabla5[[#This Row],[INVERSIONES FCI]])</f>
        <v>63077974842.846397</v>
      </c>
      <c r="BI306" s="5">
        <f>IF($B305&lt;=Tabla5[[#This Row],[INVERSIONES FCI]],+Tabla5[[#This Row],[INVERSIONES FCI]]-BI305,Tabla5[[#This Row],[INVERSIONES FCI]])</f>
        <v>63077974842.846397</v>
      </c>
      <c r="BJ306" s="5">
        <f>IF($B305&lt;=Tabla5[[#This Row],[INVERSIONES FCI]],+Tabla5[[#This Row],[INVERSIONES FCI]]-BJ305,Tabla5[[#This Row],[INVERSIONES FCI]])</f>
        <v>63077974842.846397</v>
      </c>
      <c r="BK306" s="5">
        <f>IF($B305&lt;=Tabla5[[#This Row],[INVERSIONES FCI]],+Tabla5[[#This Row],[INVERSIONES FCI]]-BK305,Tabla5[[#This Row],[INVERSIONES FCI]])</f>
        <v>63077974842.846397</v>
      </c>
      <c r="BL306" s="5">
        <f>IF($B305&lt;=Tabla5[[#This Row],[INVERSIONES FCI]],+Tabla5[[#This Row],[INVERSIONES FCI]]-BL305,Tabla5[[#This Row],[INVERSIONES FCI]])</f>
        <v>63077974842.846397</v>
      </c>
      <c r="BM306" s="5">
        <f>IF($B305&lt;=Tabla5[[#This Row],[INVERSIONES FCI]],+Tabla5[[#This Row],[INVERSIONES FCI]]-BM305,Tabla5[[#This Row],[INVERSIONES FCI]])</f>
        <v>63077974842.846397</v>
      </c>
      <c r="BN306" s="5">
        <f>IF($B305&lt;=Tabla5[[#This Row],[INVERSIONES FCI]],+Tabla5[[#This Row],[INVERSIONES FCI]]-BN305,Tabla5[[#This Row],[INVERSIONES FCI]])</f>
        <v>63077974842.846397</v>
      </c>
      <c r="BO306" s="5">
        <f>IF($B305&lt;=Tabla5[[#This Row],[INVERSIONES FCI]],+Tabla5[[#This Row],[INVERSIONES FCI]]-BO305,Tabla5[[#This Row],[INVERSIONES FCI]])</f>
        <v>63077974842.846397</v>
      </c>
      <c r="BP306" s="5">
        <f>IF($B305&lt;=Tabla5[[#This Row],[INVERSIONES FCI]],+Tabla5[[#This Row],[INVERSIONES FCI]]-BP305,Tabla5[[#This Row],[INVERSIONES FCI]])</f>
        <v>63077974842.846397</v>
      </c>
      <c r="BQ306" s="5">
        <f>IF($B305&lt;=Tabla5[[#This Row],[INVERSIONES FCI]],+Tabla5[[#This Row],[INVERSIONES FCI]]-BQ305,Tabla5[[#This Row],[INVERSIONES FCI]])</f>
        <v>63077974842.846397</v>
      </c>
      <c r="BR306" s="5">
        <f>IF($B305&lt;=Tabla5[[#This Row],[INVERSIONES FCI]],+Tabla5[[#This Row],[INVERSIONES FCI]]-BR305,Tabla5[[#This Row],[INVERSIONES FCI]])</f>
        <v>63077974842.846397</v>
      </c>
      <c r="BS306" s="5">
        <f>IF($B305&lt;=Tabla5[[#This Row],[INVERSIONES FCI]],+Tabla5[[#This Row],[INVERSIONES FCI]]-BS305,Tabla5[[#This Row],[INVERSIONES FCI]])</f>
        <v>63077974842.846397</v>
      </c>
      <c r="BT306" s="5">
        <f>IF($B305&lt;=Tabla5[[#This Row],[INVERSIONES FCI]],+Tabla5[[#This Row],[INVERSIONES FCI]]-BT305,Tabla5[[#This Row],[INVERSIONES FCI]])</f>
        <v>63077974842.846397</v>
      </c>
      <c r="BU306" s="5">
        <f>IF($B305&lt;=Tabla5[[#This Row],[INVERSIONES FCI]],+Tabla5[[#This Row],[INVERSIONES FCI]]-BU305,Tabla5[[#This Row],[INVERSIONES FCI]])</f>
        <v>63077974842.846397</v>
      </c>
      <c r="BV306" s="5">
        <f>IF($B305&lt;=Tabla5[[#This Row],[INVERSIONES FCI]],+Tabla5[[#This Row],[INVERSIONES FCI]]-BV305,Tabla5[[#This Row],[INVERSIONES FCI]])</f>
        <v>63077974842.846397</v>
      </c>
      <c r="BW306" s="5">
        <f>IF($B305&lt;=Tabla5[[#This Row],[INVERSIONES FCI]],+Tabla5[[#This Row],[INVERSIONES FCI]]-BW305,Tabla5[[#This Row],[INVERSIONES FCI]])</f>
        <v>63077974842.846397</v>
      </c>
      <c r="BX306" s="5">
        <f>IF($B305&lt;=Tabla5[[#This Row],[INVERSIONES FCI]],+Tabla5[[#This Row],[INVERSIONES FCI]]-BX305,Tabla5[[#This Row],[INVERSIONES FCI]])</f>
        <v>63077974842.846397</v>
      </c>
      <c r="BY306" s="5">
        <f>IF($B305&lt;=Tabla5[[#This Row],[INVERSIONES FCI]],+Tabla5[[#This Row],[INVERSIONES FCI]]-BY305,Tabla5[[#This Row],[INVERSIONES FCI]])</f>
        <v>63077974842.846397</v>
      </c>
      <c r="BZ306" s="5">
        <f>IF($B305&lt;=Tabla5[[#This Row],[INVERSIONES FCI]],+Tabla5[[#This Row],[INVERSIONES FCI]]-BZ305,Tabla5[[#This Row],[INVERSIONES FCI]])</f>
        <v>63077974842.846397</v>
      </c>
      <c r="CA306" s="5">
        <f>IF($B305&lt;=Tabla5[[#This Row],[INVERSIONES FCI]],+Tabla5[[#This Row],[INVERSIONES FCI]]-CA305,Tabla5[[#This Row],[INVERSIONES FCI]])</f>
        <v>63077974842.846397</v>
      </c>
      <c r="CB306" s="5">
        <f>IF($B305&lt;=Tabla5[[#This Row],[INVERSIONES FCI]],+Tabla5[[#This Row],[INVERSIONES FCI]]-CB305,Tabla5[[#This Row],[INVERSIONES FCI]])</f>
        <v>63077974842.846397</v>
      </c>
      <c r="CC306" s="5">
        <f>IF($B305&lt;=Tabla5[[#This Row],[INVERSIONES FCI]],+Tabla5[[#This Row],[INVERSIONES FCI]]-CC305,Tabla5[[#This Row],[INVERSIONES FCI]])</f>
        <v>63077974842.846397</v>
      </c>
      <c r="CD306" s="5">
        <f>IF($B305&lt;=Tabla5[[#This Row],[INVERSIONES FCI]],+Tabla5[[#This Row],[INVERSIONES FCI]]-CD305,Tabla5[[#This Row],[INVERSIONES FCI]])</f>
        <v>63077974842.846397</v>
      </c>
      <c r="CE306" s="5">
        <f>IF($B305&lt;=Tabla5[[#This Row],[INVERSIONES FCI]],+Tabla5[[#This Row],[INVERSIONES FCI]]-CE305,Tabla5[[#This Row],[INVERSIONES FCI]])</f>
        <v>63077974842.846397</v>
      </c>
      <c r="CF306" s="5">
        <f>IF($B305&lt;=Tabla5[[#This Row],[INVERSIONES FCI]],+Tabla5[[#This Row],[INVERSIONES FCI]]-CF305,Tabla5[[#This Row],[INVERSIONES FCI]])</f>
        <v>63077974842.846397</v>
      </c>
      <c r="CG306" s="5">
        <f>IF($B305&lt;=Tabla5[[#This Row],[INVERSIONES FCI]],+Tabla5[[#This Row],[INVERSIONES FCI]]-CG305,Tabla5[[#This Row],[INVERSIONES FCI]])</f>
        <v>63077974842.846397</v>
      </c>
      <c r="CH306" s="5">
        <f>IF($B305&lt;=Tabla5[[#This Row],[INVERSIONES FCI]],+Tabla5[[#This Row],[INVERSIONES FCI]]-CH305,Tabla5[[#This Row],[INVERSIONES FCI]])</f>
        <v>63077974842.846397</v>
      </c>
      <c r="CI306" s="5">
        <f>IF($B305&lt;=Tabla5[[#This Row],[INVERSIONES FCI]],+Tabla5[[#This Row],[INVERSIONES FCI]]-CI305,Tabla5[[#This Row],[INVERSIONES FCI]])</f>
        <v>63077974842.846397</v>
      </c>
      <c r="CJ306" s="5">
        <f>IF($B305&lt;=Tabla5[[#This Row],[INVERSIONES FCI]],+Tabla5[[#This Row],[INVERSIONES FCI]]-CJ305,Tabla5[[#This Row],[INVERSIONES FCI]])</f>
        <v>63077974842.846397</v>
      </c>
      <c r="CK306" s="5">
        <f>IF($B305&lt;=Tabla5[[#This Row],[INVERSIONES FCI]],+Tabla5[[#This Row],[INVERSIONES FCI]]-CK305,Tabla5[[#This Row],[INVERSIONES FCI]])</f>
        <v>63077974842.846397</v>
      </c>
      <c r="CL306" s="5">
        <f>IF($B305&lt;=Tabla5[[#This Row],[INVERSIONES FCI]],+Tabla5[[#This Row],[INVERSIONES FCI]]-CL305,Tabla5[[#This Row],[INVERSIONES FCI]])</f>
        <v>63077974842.846397</v>
      </c>
      <c r="CM306" s="5">
        <f>IF($B305&lt;=Tabla5[[#This Row],[INVERSIONES FCI]],+Tabla5[[#This Row],[INVERSIONES FCI]]-CM305,Tabla5[[#This Row],[INVERSIONES FCI]])</f>
        <v>63077974842.846397</v>
      </c>
      <c r="CN306" s="5">
        <f>IF($B305&lt;=Tabla5[[#This Row],[INVERSIONES FCI]],+Tabla5[[#This Row],[INVERSIONES FCI]]-CN305,Tabla5[[#This Row],[INVERSIONES FCI]])</f>
        <v>63077974842.846397</v>
      </c>
      <c r="CO306" s="5">
        <f>IF($B305&lt;=Tabla5[[#This Row],[INVERSIONES FCI]],+Tabla5[[#This Row],[INVERSIONES FCI]]-CO305,Tabla5[[#This Row],[INVERSIONES FCI]])</f>
        <v>63077974842.846397</v>
      </c>
      <c r="CP306" s="5">
        <f>IF($B305&lt;=Tabla5[[#This Row],[INVERSIONES FCI]],+Tabla5[[#This Row],[INVERSIONES FCI]]-CP305,Tabla5[[#This Row],[INVERSIONES FCI]])</f>
        <v>63077974842.846397</v>
      </c>
      <c r="CQ306" s="5">
        <f>IF($B305&lt;=Tabla5[[#This Row],[INVERSIONES FCI]],+Tabla5[[#This Row],[INVERSIONES FCI]]-CQ305,Tabla5[[#This Row],[INVERSIONES FCI]])</f>
        <v>63077974842.846397</v>
      </c>
      <c r="CR306" s="5">
        <f>IF($B305&lt;=Tabla5[[#This Row],[INVERSIONES FCI]],+Tabla5[[#This Row],[INVERSIONES FCI]]-CR305,Tabla5[[#This Row],[INVERSIONES FCI]])</f>
        <v>63077974842.846397</v>
      </c>
      <c r="CS306" s="5">
        <f>IF($B305&lt;=Tabla5[[#This Row],[INVERSIONES FCI]],+Tabla5[[#This Row],[INVERSIONES FCI]]-CS305,Tabla5[[#This Row],[INVERSIONES FCI]])</f>
        <v>63077974842.846397</v>
      </c>
      <c r="CT306" s="5">
        <f>IF($B305&lt;=Tabla5[[#This Row],[INVERSIONES FCI]],+Tabla5[[#This Row],[INVERSIONES FCI]]-CT305,Tabla5[[#This Row],[INVERSIONES FCI]])</f>
        <v>63077974842.846397</v>
      </c>
      <c r="CU306" s="5">
        <f>IF($B305&lt;=Tabla5[[#This Row],[INVERSIONES FCI]],+Tabla5[[#This Row],[INVERSIONES FCI]]-CU305,Tabla5[[#This Row],[INVERSIONES FCI]])</f>
        <v>63077974842.846397</v>
      </c>
      <c r="CV306" s="5">
        <f>IF($B305&lt;=Tabla5[[#This Row],[INVERSIONES FCI]],+Tabla5[[#This Row],[INVERSIONES FCI]]-CV305,Tabla5[[#This Row],[INVERSIONES FCI]])</f>
        <v>63077974842.846397</v>
      </c>
      <c r="CW306" s="5">
        <f>IF($B305&lt;=Tabla5[[#This Row],[INVERSIONES FCI]],+Tabla5[[#This Row],[INVERSIONES FCI]]-CW305,Tabla5[[#This Row],[INVERSIONES FCI]])</f>
        <v>63077974842.846397</v>
      </c>
      <c r="CX306" s="5">
        <f>IF($B305&lt;=Tabla5[[#This Row],[INVERSIONES FCI]],+Tabla5[[#This Row],[INVERSIONES FCI]]-CX305,Tabla5[[#This Row],[INVERSIONES FCI]])</f>
        <v>63077974842.846397</v>
      </c>
      <c r="CY306" s="5">
        <f>IF($B305&lt;=Tabla5[[#This Row],[INVERSIONES FCI]],+Tabla5[[#This Row],[INVERSIONES FCI]]-CY305,Tabla5[[#This Row],[INVERSIONES FCI]])</f>
        <v>63077974842.846397</v>
      </c>
      <c r="CZ306" s="5">
        <f>IF($B305&lt;=Tabla5[[#This Row],[INVERSIONES FCI]],+Tabla5[[#This Row],[INVERSIONES FCI]]-CZ305,Tabla5[[#This Row],[INVERSIONES FCI]])</f>
        <v>63077974842.846397</v>
      </c>
      <c r="DA306" s="5">
        <f>IF($B305&lt;=Tabla5[[#This Row],[INVERSIONES FCI]],+Tabla5[[#This Row],[INVERSIONES FCI]]-DA305,Tabla5[[#This Row],[INVERSIONES FCI]])</f>
        <v>63077974842.846397</v>
      </c>
      <c r="DB306" s="5">
        <f>IF($B305&lt;=Tabla5[[#This Row],[INVERSIONES FCI]],+Tabla5[[#This Row],[INVERSIONES FCI]]-DB305,Tabla5[[#This Row],[INVERSIONES FCI]])</f>
        <v>63077974842.846397</v>
      </c>
      <c r="DC306" s="5">
        <f>IF($B305&lt;=Tabla5[[#This Row],[INVERSIONES FCI]],+Tabla5[[#This Row],[INVERSIONES FCI]]-DC305,Tabla5[[#This Row],[INVERSIONES FCI]])</f>
        <v>63077974842.846397</v>
      </c>
      <c r="DD306" s="5">
        <f>IF($B305&lt;=Tabla5[[#This Row],[INVERSIONES FCI]],+Tabla5[[#This Row],[INVERSIONES FCI]]-DD305,Tabla5[[#This Row],[INVERSIONES FCI]])</f>
        <v>63077974842.846397</v>
      </c>
      <c r="DE306" s="5">
        <f>IF($B305&lt;=Tabla5[[#This Row],[INVERSIONES FCI]],+Tabla5[[#This Row],[INVERSIONES FCI]]-DE305,Tabla5[[#This Row],[INVERSIONES FCI]])</f>
        <v>63077974842.846397</v>
      </c>
      <c r="DF306" s="5">
        <f>IF($B305&lt;=Tabla5[[#This Row],[INVERSIONES FCI]],+Tabla5[[#This Row],[INVERSIONES FCI]]-DF305,Tabla5[[#This Row],[INVERSIONES FCI]])</f>
        <v>63077974842.846397</v>
      </c>
      <c r="DG306" s="5">
        <f>IF($B305&lt;=Tabla5[[#This Row],[INVERSIONES FCI]],+Tabla5[[#This Row],[INVERSIONES FCI]]-DG305,Tabla5[[#This Row],[INVERSIONES FCI]])</f>
        <v>63077974842.846397</v>
      </c>
      <c r="DH306" s="5">
        <f>IF($B305&lt;=Tabla5[[#This Row],[INVERSIONES FCI]],+Tabla5[[#This Row],[INVERSIONES FCI]]-DH305,Tabla5[[#This Row],[INVERSIONES FCI]])</f>
        <v>63077974842.846397</v>
      </c>
      <c r="DI306" s="5">
        <f>IF($B305&lt;=Tabla5[[#This Row],[INVERSIONES FCI]],+Tabla5[[#This Row],[INVERSIONES FCI]]-DI305,Tabla5[[#This Row],[INVERSIONES FCI]])</f>
        <v>63077974842.846397</v>
      </c>
      <c r="DJ306" s="5">
        <f>IF($B305&lt;=Tabla5[[#This Row],[INVERSIONES FCI]],+Tabla5[[#This Row],[INVERSIONES FCI]]-DJ305,Tabla5[[#This Row],[INVERSIONES FCI]])</f>
        <v>63077974842.846397</v>
      </c>
      <c r="DK306" s="5">
        <f>IF($B305&lt;=Tabla5[[#This Row],[INVERSIONES FCI]],+Tabla5[[#This Row],[INVERSIONES FCI]]-DK305,Tabla5[[#This Row],[INVERSIONES FCI]])</f>
        <v>63077974842.846397</v>
      </c>
      <c r="DL306" s="5"/>
      <c r="DM306" s="5"/>
      <c r="DN306" s="5"/>
      <c r="DO306" s="5"/>
      <c r="DP306" s="5"/>
      <c r="DQ306" s="5"/>
    </row>
    <row r="307" spans="1:121" ht="14.4">
      <c r="A307" s="12" t="s">
        <v>306</v>
      </c>
      <c r="B307" s="5">
        <f>HLOOKUP($A307,ESCENARIO[#All],7,FALSE)</f>
        <v>66112443678.61042</v>
      </c>
      <c r="C307" s="5">
        <f>IF($B306&lt;=Tabla5[[#This Row],[INVERSIONES FCI]],+Tabla5[[#This Row],[INVERSIONES FCI]]-C306,Tabla5[[#This Row],[INVERSIONES FCI]])</f>
        <v>3034468835.7640228</v>
      </c>
      <c r="D307" s="5">
        <f>IF($B306&lt;=Tabla5[[#This Row],[INVERSIONES FCI]],+Tabla5[[#This Row],[INVERSIONES FCI]]-D306,Tabla5[[#This Row],[INVERSIONES FCI]])</f>
        <v>3034468835.7640228</v>
      </c>
      <c r="E307" s="5">
        <f>IF($B306&lt;=Tabla5[[#This Row],[INVERSIONES FCI]],+Tabla5[[#This Row],[INVERSIONES FCI]]-E306,Tabla5[[#This Row],[INVERSIONES FCI]])</f>
        <v>3034468835.7640228</v>
      </c>
      <c r="F307" s="5">
        <f>IF($B306&lt;=Tabla5[[#This Row],[INVERSIONES FCI]],+Tabla5[[#This Row],[INVERSIONES FCI]]-F306,Tabla5[[#This Row],[INVERSIONES FCI]])</f>
        <v>3034468835.7640228</v>
      </c>
      <c r="G307" s="5">
        <f>IF($B306&lt;=Tabla5[[#This Row],[INVERSIONES FCI]],+Tabla5[[#This Row],[INVERSIONES FCI]]-G306,Tabla5[[#This Row],[INVERSIONES FCI]])</f>
        <v>3034468835.7640228</v>
      </c>
      <c r="H307" s="5">
        <f>IF($B306&lt;=Tabla5[[#This Row],[INVERSIONES FCI]],+Tabla5[[#This Row],[INVERSIONES FCI]]-H306,Tabla5[[#This Row],[INVERSIONES FCI]])</f>
        <v>3034468835.7640228</v>
      </c>
      <c r="I307" s="5">
        <f>IF($B306&lt;=Tabla5[[#This Row],[INVERSIONES FCI]],+Tabla5[[#This Row],[INVERSIONES FCI]]-I306,Tabla5[[#This Row],[INVERSIONES FCI]])</f>
        <v>3034468835.7640228</v>
      </c>
      <c r="J307" s="5">
        <f>IF($B306&lt;=Tabla5[[#This Row],[INVERSIONES FCI]],+Tabla5[[#This Row],[INVERSIONES FCI]]-J306,Tabla5[[#This Row],[INVERSIONES FCI]])</f>
        <v>3034468835.7640228</v>
      </c>
      <c r="K307" s="5">
        <f>IF($B306&lt;=Tabla5[[#This Row],[INVERSIONES FCI]],+Tabla5[[#This Row],[INVERSIONES FCI]]-K306,Tabla5[[#This Row],[INVERSIONES FCI]])</f>
        <v>3034468835.7640228</v>
      </c>
      <c r="L307" s="5">
        <f>IF($B306&lt;=Tabla5[[#This Row],[INVERSIONES FCI]],+Tabla5[[#This Row],[INVERSIONES FCI]]-L306,Tabla5[[#This Row],[INVERSIONES FCI]])</f>
        <v>3034468835.7640228</v>
      </c>
      <c r="M307" s="5">
        <f>IF($B306&lt;=Tabla5[[#This Row],[INVERSIONES FCI]],+Tabla5[[#This Row],[INVERSIONES FCI]]-M306,Tabla5[[#This Row],[INVERSIONES FCI]])</f>
        <v>3034468835.7640228</v>
      </c>
      <c r="N307" s="5">
        <f>IF($B306&lt;=Tabla5[[#This Row],[INVERSIONES FCI]],+Tabla5[[#This Row],[INVERSIONES FCI]]-N306,Tabla5[[#This Row],[INVERSIONES FCI]])</f>
        <v>3034468835.7640228</v>
      </c>
      <c r="O307" s="5">
        <f>IF($B306&lt;=Tabla5[[#This Row],[INVERSIONES FCI]],+Tabla5[[#This Row],[INVERSIONES FCI]]-O306,Tabla5[[#This Row],[INVERSIONES FCI]])</f>
        <v>3034468835.7640228</v>
      </c>
      <c r="P307" s="5">
        <f>IF($B306&lt;=Tabla5[[#This Row],[INVERSIONES FCI]],+Tabla5[[#This Row],[INVERSIONES FCI]]-P306,Tabla5[[#This Row],[INVERSIONES FCI]])</f>
        <v>3034468835.7640228</v>
      </c>
      <c r="Q307" s="5">
        <f>IF($B306&lt;=Tabla5[[#This Row],[INVERSIONES FCI]],+Tabla5[[#This Row],[INVERSIONES FCI]]-Q306,Tabla5[[#This Row],[INVERSIONES FCI]])</f>
        <v>3034468835.7640228</v>
      </c>
      <c r="R307" s="5">
        <f>IF($B306&lt;=Tabla5[[#This Row],[INVERSIONES FCI]],+Tabla5[[#This Row],[INVERSIONES FCI]]-R306,Tabla5[[#This Row],[INVERSIONES FCI]])</f>
        <v>3034468835.7640228</v>
      </c>
      <c r="S307" s="5">
        <f>IF($B306&lt;=Tabla5[[#This Row],[INVERSIONES FCI]],+Tabla5[[#This Row],[INVERSIONES FCI]]-S306,Tabla5[[#This Row],[INVERSIONES FCI]])</f>
        <v>3034468835.7640228</v>
      </c>
      <c r="T307" s="5">
        <f>IF($B306&lt;=Tabla5[[#This Row],[INVERSIONES FCI]],+Tabla5[[#This Row],[INVERSIONES FCI]]-T306,Tabla5[[#This Row],[INVERSIONES FCI]])</f>
        <v>3034468835.7640228</v>
      </c>
      <c r="U307" s="5">
        <f>IF($B306&lt;=Tabla5[[#This Row],[INVERSIONES FCI]],+Tabla5[[#This Row],[INVERSIONES FCI]]-U306,Tabla5[[#This Row],[INVERSIONES FCI]])</f>
        <v>3034468835.7640228</v>
      </c>
      <c r="V307" s="5">
        <f>IF($B306&lt;=Tabla5[[#This Row],[INVERSIONES FCI]],+Tabla5[[#This Row],[INVERSIONES FCI]]-V306,Tabla5[[#This Row],[INVERSIONES FCI]])</f>
        <v>3034468835.7640228</v>
      </c>
      <c r="W307" s="5">
        <f>IF($B306&lt;=Tabla5[[#This Row],[INVERSIONES FCI]],+Tabla5[[#This Row],[INVERSIONES FCI]]-W306,Tabla5[[#This Row],[INVERSIONES FCI]])</f>
        <v>3034468835.7640228</v>
      </c>
      <c r="X307" s="5">
        <f>IF($B306&lt;=Tabla5[[#This Row],[INVERSIONES FCI]],+Tabla5[[#This Row],[INVERSIONES FCI]]-X306,Tabla5[[#This Row],[INVERSIONES FCI]])</f>
        <v>3034468835.7640228</v>
      </c>
      <c r="Y307" s="5">
        <f>IF($B306&lt;=Tabla5[[#This Row],[INVERSIONES FCI]],+Tabla5[[#This Row],[INVERSIONES FCI]]-Y306,Tabla5[[#This Row],[INVERSIONES FCI]])</f>
        <v>3034468835.7640228</v>
      </c>
      <c r="Z307" s="5">
        <f>IF($B306&lt;=Tabla5[[#This Row],[INVERSIONES FCI]],+Tabla5[[#This Row],[INVERSIONES FCI]]-Z306,Tabla5[[#This Row],[INVERSIONES FCI]])</f>
        <v>3034468835.7640228</v>
      </c>
      <c r="AA307" s="5">
        <f>IF($B306&lt;=Tabla5[[#This Row],[INVERSIONES FCI]],+Tabla5[[#This Row],[INVERSIONES FCI]]-AA306,Tabla5[[#This Row],[INVERSIONES FCI]])</f>
        <v>3034468835.7640228</v>
      </c>
      <c r="AB307" s="5">
        <f>IF($B306&lt;=Tabla5[[#This Row],[INVERSIONES FCI]],+Tabla5[[#This Row],[INVERSIONES FCI]]-AB306,Tabla5[[#This Row],[INVERSIONES FCI]])</f>
        <v>3034468835.7640228</v>
      </c>
      <c r="AC307" s="5">
        <f>IF($B306&lt;=Tabla5[[#This Row],[INVERSIONES FCI]],+Tabla5[[#This Row],[INVERSIONES FCI]]-AC306,Tabla5[[#This Row],[INVERSIONES FCI]])</f>
        <v>3034468835.7640228</v>
      </c>
      <c r="AD307" s="5">
        <f>IF($B306&lt;=Tabla5[[#This Row],[INVERSIONES FCI]],+Tabla5[[#This Row],[INVERSIONES FCI]]-AD306,Tabla5[[#This Row],[INVERSIONES FCI]])</f>
        <v>3034468835.7640228</v>
      </c>
      <c r="AE307" s="5">
        <f>IF($B306&lt;=Tabla5[[#This Row],[INVERSIONES FCI]],+Tabla5[[#This Row],[INVERSIONES FCI]]-AE306,Tabla5[[#This Row],[INVERSIONES FCI]])</f>
        <v>3034468835.7640228</v>
      </c>
      <c r="AF307" s="5">
        <f>IF($B306&lt;=Tabla5[[#This Row],[INVERSIONES FCI]],+Tabla5[[#This Row],[INVERSIONES FCI]]-AF306,Tabla5[[#This Row],[INVERSIONES FCI]])</f>
        <v>3034468835.7640228</v>
      </c>
      <c r="AG307" s="5">
        <f>IF($B306&lt;=Tabla5[[#This Row],[INVERSIONES FCI]],+Tabla5[[#This Row],[INVERSIONES FCI]]-AG306,Tabla5[[#This Row],[INVERSIONES FCI]])</f>
        <v>3034468835.7640228</v>
      </c>
      <c r="AH307" s="5">
        <f>IF($B306&lt;=Tabla5[[#This Row],[INVERSIONES FCI]],+Tabla5[[#This Row],[INVERSIONES FCI]]-AH306,Tabla5[[#This Row],[INVERSIONES FCI]])</f>
        <v>3034468835.7640228</v>
      </c>
      <c r="AI307" s="5">
        <f>IF($B306&lt;=Tabla5[[#This Row],[INVERSIONES FCI]],+Tabla5[[#This Row],[INVERSIONES FCI]]-AI306,Tabla5[[#This Row],[INVERSIONES FCI]])</f>
        <v>3034468835.7640228</v>
      </c>
      <c r="AJ307" s="5">
        <f>IF($B306&lt;=Tabla5[[#This Row],[INVERSIONES FCI]],+Tabla5[[#This Row],[INVERSIONES FCI]]-AJ306,Tabla5[[#This Row],[INVERSIONES FCI]])</f>
        <v>3034468835.7640228</v>
      </c>
      <c r="AK307" s="5">
        <f>IF($B306&lt;=Tabla5[[#This Row],[INVERSIONES FCI]],+Tabla5[[#This Row],[INVERSIONES FCI]]-AK306,Tabla5[[#This Row],[INVERSIONES FCI]])</f>
        <v>3034468835.7640228</v>
      </c>
      <c r="AL307" s="5">
        <f>IF($B306&lt;=Tabla5[[#This Row],[INVERSIONES FCI]],+Tabla5[[#This Row],[INVERSIONES FCI]]-AL306,Tabla5[[#This Row],[INVERSIONES FCI]])</f>
        <v>3034468835.7640228</v>
      </c>
      <c r="AM307" s="5">
        <f>IF($B306&lt;=Tabla5[[#This Row],[INVERSIONES FCI]],+Tabla5[[#This Row],[INVERSIONES FCI]]-AM306,Tabla5[[#This Row],[INVERSIONES FCI]])</f>
        <v>3034468835.7640228</v>
      </c>
      <c r="AN307" s="5">
        <f>IF($B306&lt;=Tabla5[[#This Row],[INVERSIONES FCI]],+Tabla5[[#This Row],[INVERSIONES FCI]]-AN306,Tabla5[[#This Row],[INVERSIONES FCI]])</f>
        <v>3034468835.7640228</v>
      </c>
      <c r="AO307" s="5">
        <f>IF($B306&lt;=Tabla5[[#This Row],[INVERSIONES FCI]],+Tabla5[[#This Row],[INVERSIONES FCI]]-AO306,Tabla5[[#This Row],[INVERSIONES FCI]])</f>
        <v>3034468835.7640228</v>
      </c>
      <c r="AP307" s="5">
        <f>IF($B306&lt;=Tabla5[[#This Row],[INVERSIONES FCI]],+Tabla5[[#This Row],[INVERSIONES FCI]]-AP306,Tabla5[[#This Row],[INVERSIONES FCI]])</f>
        <v>3034468835.7640228</v>
      </c>
      <c r="AQ307" s="5">
        <f>IF($B306&lt;=Tabla5[[#This Row],[INVERSIONES FCI]],+Tabla5[[#This Row],[INVERSIONES FCI]]-AQ306,Tabla5[[#This Row],[INVERSIONES FCI]])</f>
        <v>3034468835.7640228</v>
      </c>
      <c r="AR307" s="5">
        <f>IF($B306&lt;=Tabla5[[#This Row],[INVERSIONES FCI]],+Tabla5[[#This Row],[INVERSIONES FCI]]-AR306,Tabla5[[#This Row],[INVERSIONES FCI]])</f>
        <v>3034468835.7640228</v>
      </c>
      <c r="AS307" s="5">
        <f>IF($B306&lt;=Tabla5[[#This Row],[INVERSIONES FCI]],+Tabla5[[#This Row],[INVERSIONES FCI]]-AS306,Tabla5[[#This Row],[INVERSIONES FCI]])</f>
        <v>3034468835.7640228</v>
      </c>
      <c r="AT307" s="5">
        <f>IF($B306&lt;=Tabla5[[#This Row],[INVERSIONES FCI]],+Tabla5[[#This Row],[INVERSIONES FCI]]-AT306,Tabla5[[#This Row],[INVERSIONES FCI]])</f>
        <v>3034468835.7640228</v>
      </c>
      <c r="AU307" s="5">
        <f>IF($B306&lt;=Tabla5[[#This Row],[INVERSIONES FCI]],+Tabla5[[#This Row],[INVERSIONES FCI]]-AU306,Tabla5[[#This Row],[INVERSIONES FCI]])</f>
        <v>3034468835.7640228</v>
      </c>
      <c r="AV307" s="5">
        <f>IF($B306&lt;=Tabla5[[#This Row],[INVERSIONES FCI]],+Tabla5[[#This Row],[INVERSIONES FCI]]-AV306,Tabla5[[#This Row],[INVERSIONES FCI]])</f>
        <v>3034468835.7640228</v>
      </c>
      <c r="AW307" s="5">
        <f>IF($B306&lt;=Tabla5[[#This Row],[INVERSIONES FCI]],+Tabla5[[#This Row],[INVERSIONES FCI]]-AW306,Tabla5[[#This Row],[INVERSIONES FCI]])</f>
        <v>3034468835.7640228</v>
      </c>
      <c r="AX307" s="5">
        <f>IF($B306&lt;=Tabla5[[#This Row],[INVERSIONES FCI]],+Tabla5[[#This Row],[INVERSIONES FCI]]-AX306,Tabla5[[#This Row],[INVERSIONES FCI]])</f>
        <v>3034468835.7640228</v>
      </c>
      <c r="AY307" s="5">
        <f>IF($B306&lt;=Tabla5[[#This Row],[INVERSIONES FCI]],+Tabla5[[#This Row],[INVERSIONES FCI]]-AY306,Tabla5[[#This Row],[INVERSIONES FCI]])</f>
        <v>3034468835.7640228</v>
      </c>
      <c r="AZ307" s="5">
        <f>IF($B306&lt;=Tabla5[[#This Row],[INVERSIONES FCI]],+Tabla5[[#This Row],[INVERSIONES FCI]]-AZ306,Tabla5[[#This Row],[INVERSIONES FCI]])</f>
        <v>3034468835.7640228</v>
      </c>
      <c r="BA307" s="5">
        <f>IF($B306&lt;=Tabla5[[#This Row],[INVERSIONES FCI]],+Tabla5[[#This Row],[INVERSIONES FCI]]-BA306,Tabla5[[#This Row],[INVERSIONES FCI]])</f>
        <v>3034468835.7640228</v>
      </c>
      <c r="BB307" s="5">
        <f>IF($B306&lt;=Tabla5[[#This Row],[INVERSIONES FCI]],+Tabla5[[#This Row],[INVERSIONES FCI]]-BB306,Tabla5[[#This Row],[INVERSIONES FCI]])</f>
        <v>3034468835.7640228</v>
      </c>
      <c r="BC307" s="5">
        <f>IF($B306&lt;=Tabla5[[#This Row],[INVERSIONES FCI]],+Tabla5[[#This Row],[INVERSIONES FCI]]-BC306,Tabla5[[#This Row],[INVERSIONES FCI]])</f>
        <v>3034468835.7640228</v>
      </c>
      <c r="BD307" s="5">
        <f>IF($B306&lt;=Tabla5[[#This Row],[INVERSIONES FCI]],+Tabla5[[#This Row],[INVERSIONES FCI]]-BD306,Tabla5[[#This Row],[INVERSIONES FCI]])</f>
        <v>3034468835.7640228</v>
      </c>
      <c r="BE307" s="5">
        <f>IF($B306&lt;=Tabla5[[#This Row],[INVERSIONES FCI]],+Tabla5[[#This Row],[INVERSIONES FCI]]-BE306,Tabla5[[#This Row],[INVERSIONES FCI]])</f>
        <v>3034468835.7640228</v>
      </c>
      <c r="BF307" s="5">
        <f>IF($B306&lt;=Tabla5[[#This Row],[INVERSIONES FCI]],+Tabla5[[#This Row],[INVERSIONES FCI]]-BF306,Tabla5[[#This Row],[INVERSIONES FCI]])</f>
        <v>3034468835.7640228</v>
      </c>
      <c r="BG307" s="5">
        <f>IF($B306&lt;=Tabla5[[#This Row],[INVERSIONES FCI]],+Tabla5[[#This Row],[INVERSIONES FCI]]-BG306,Tabla5[[#This Row],[INVERSIONES FCI]])</f>
        <v>3034468835.7640228</v>
      </c>
      <c r="BH307" s="5">
        <f>IF($B306&lt;=Tabla5[[#This Row],[INVERSIONES FCI]],+Tabla5[[#This Row],[INVERSIONES FCI]]-BH306,Tabla5[[#This Row],[INVERSIONES FCI]])</f>
        <v>3034468835.7640228</v>
      </c>
      <c r="BI307" s="5">
        <f>IF($B306&lt;=Tabla5[[#This Row],[INVERSIONES FCI]],+Tabla5[[#This Row],[INVERSIONES FCI]]-BI306,Tabla5[[#This Row],[INVERSIONES FCI]])</f>
        <v>3034468835.7640228</v>
      </c>
      <c r="BJ307" s="5">
        <f>IF($B306&lt;=Tabla5[[#This Row],[INVERSIONES FCI]],+Tabla5[[#This Row],[INVERSIONES FCI]]-BJ306,Tabla5[[#This Row],[INVERSIONES FCI]])</f>
        <v>3034468835.7640228</v>
      </c>
      <c r="BK307" s="5">
        <f>IF($B306&lt;=Tabla5[[#This Row],[INVERSIONES FCI]],+Tabla5[[#This Row],[INVERSIONES FCI]]-BK306,Tabla5[[#This Row],[INVERSIONES FCI]])</f>
        <v>3034468835.7640228</v>
      </c>
      <c r="BL307" s="5">
        <f>IF($B306&lt;=Tabla5[[#This Row],[INVERSIONES FCI]],+Tabla5[[#This Row],[INVERSIONES FCI]]-BL306,Tabla5[[#This Row],[INVERSIONES FCI]])</f>
        <v>3034468835.7640228</v>
      </c>
      <c r="BM307" s="5">
        <f>IF($B306&lt;=Tabla5[[#This Row],[INVERSIONES FCI]],+Tabla5[[#This Row],[INVERSIONES FCI]]-BM306,Tabla5[[#This Row],[INVERSIONES FCI]])</f>
        <v>3034468835.7640228</v>
      </c>
      <c r="BN307" s="5">
        <f>IF($B306&lt;=Tabla5[[#This Row],[INVERSIONES FCI]],+Tabla5[[#This Row],[INVERSIONES FCI]]-BN306,Tabla5[[#This Row],[INVERSIONES FCI]])</f>
        <v>3034468835.7640228</v>
      </c>
      <c r="BO307" s="5">
        <f>IF($B306&lt;=Tabla5[[#This Row],[INVERSIONES FCI]],+Tabla5[[#This Row],[INVERSIONES FCI]]-BO306,Tabla5[[#This Row],[INVERSIONES FCI]])</f>
        <v>3034468835.7640228</v>
      </c>
      <c r="BP307" s="5">
        <f>IF($B306&lt;=Tabla5[[#This Row],[INVERSIONES FCI]],+Tabla5[[#This Row],[INVERSIONES FCI]]-BP306,Tabla5[[#This Row],[INVERSIONES FCI]])</f>
        <v>3034468835.7640228</v>
      </c>
      <c r="BQ307" s="5">
        <f>IF($B306&lt;=Tabla5[[#This Row],[INVERSIONES FCI]],+Tabla5[[#This Row],[INVERSIONES FCI]]-BQ306,Tabla5[[#This Row],[INVERSIONES FCI]])</f>
        <v>3034468835.7640228</v>
      </c>
      <c r="BR307" s="5">
        <f>IF($B306&lt;=Tabla5[[#This Row],[INVERSIONES FCI]],+Tabla5[[#This Row],[INVERSIONES FCI]]-BR306,Tabla5[[#This Row],[INVERSIONES FCI]])</f>
        <v>3034468835.7640228</v>
      </c>
      <c r="BS307" s="5">
        <f>IF($B306&lt;=Tabla5[[#This Row],[INVERSIONES FCI]],+Tabla5[[#This Row],[INVERSIONES FCI]]-BS306,Tabla5[[#This Row],[INVERSIONES FCI]])</f>
        <v>3034468835.7640228</v>
      </c>
      <c r="BT307" s="5">
        <f>IF($B306&lt;=Tabla5[[#This Row],[INVERSIONES FCI]],+Tabla5[[#This Row],[INVERSIONES FCI]]-BT306,Tabla5[[#This Row],[INVERSIONES FCI]])</f>
        <v>3034468835.7640228</v>
      </c>
      <c r="BU307" s="5">
        <f>IF($B306&lt;=Tabla5[[#This Row],[INVERSIONES FCI]],+Tabla5[[#This Row],[INVERSIONES FCI]]-BU306,Tabla5[[#This Row],[INVERSIONES FCI]])</f>
        <v>3034468835.7640228</v>
      </c>
      <c r="BV307" s="5">
        <f>IF($B306&lt;=Tabla5[[#This Row],[INVERSIONES FCI]],+Tabla5[[#This Row],[INVERSIONES FCI]]-BV306,Tabla5[[#This Row],[INVERSIONES FCI]])</f>
        <v>3034468835.7640228</v>
      </c>
      <c r="BW307" s="5">
        <f>IF($B306&lt;=Tabla5[[#This Row],[INVERSIONES FCI]],+Tabla5[[#This Row],[INVERSIONES FCI]]-BW306,Tabla5[[#This Row],[INVERSIONES FCI]])</f>
        <v>3034468835.7640228</v>
      </c>
      <c r="BX307" s="5">
        <f>IF($B306&lt;=Tabla5[[#This Row],[INVERSIONES FCI]],+Tabla5[[#This Row],[INVERSIONES FCI]]-BX306,Tabla5[[#This Row],[INVERSIONES FCI]])</f>
        <v>3034468835.7640228</v>
      </c>
      <c r="BY307" s="5">
        <f>IF($B306&lt;=Tabla5[[#This Row],[INVERSIONES FCI]],+Tabla5[[#This Row],[INVERSIONES FCI]]-BY306,Tabla5[[#This Row],[INVERSIONES FCI]])</f>
        <v>3034468835.7640228</v>
      </c>
      <c r="BZ307" s="5">
        <f>IF($B306&lt;=Tabla5[[#This Row],[INVERSIONES FCI]],+Tabla5[[#This Row],[INVERSIONES FCI]]-BZ306,Tabla5[[#This Row],[INVERSIONES FCI]])</f>
        <v>3034468835.7640228</v>
      </c>
      <c r="CA307" s="5">
        <f>IF($B306&lt;=Tabla5[[#This Row],[INVERSIONES FCI]],+Tabla5[[#This Row],[INVERSIONES FCI]]-CA306,Tabla5[[#This Row],[INVERSIONES FCI]])</f>
        <v>3034468835.7640228</v>
      </c>
      <c r="CB307" s="5">
        <f>IF($B306&lt;=Tabla5[[#This Row],[INVERSIONES FCI]],+Tabla5[[#This Row],[INVERSIONES FCI]]-CB306,Tabla5[[#This Row],[INVERSIONES FCI]])</f>
        <v>3034468835.7640228</v>
      </c>
      <c r="CC307" s="5">
        <f>IF($B306&lt;=Tabla5[[#This Row],[INVERSIONES FCI]],+Tabla5[[#This Row],[INVERSIONES FCI]]-CC306,Tabla5[[#This Row],[INVERSIONES FCI]])</f>
        <v>3034468835.7640228</v>
      </c>
      <c r="CD307" s="5">
        <f>IF($B306&lt;=Tabla5[[#This Row],[INVERSIONES FCI]],+Tabla5[[#This Row],[INVERSIONES FCI]]-CD306,Tabla5[[#This Row],[INVERSIONES FCI]])</f>
        <v>3034468835.7640228</v>
      </c>
      <c r="CE307" s="5">
        <f>IF($B306&lt;=Tabla5[[#This Row],[INVERSIONES FCI]],+Tabla5[[#This Row],[INVERSIONES FCI]]-CE306,Tabla5[[#This Row],[INVERSIONES FCI]])</f>
        <v>3034468835.7640228</v>
      </c>
      <c r="CF307" s="5">
        <f>IF($B306&lt;=Tabla5[[#This Row],[INVERSIONES FCI]],+Tabla5[[#This Row],[INVERSIONES FCI]]-CF306,Tabla5[[#This Row],[INVERSIONES FCI]])</f>
        <v>3034468835.7640228</v>
      </c>
      <c r="CG307" s="5">
        <f>IF($B306&lt;=Tabla5[[#This Row],[INVERSIONES FCI]],+Tabla5[[#This Row],[INVERSIONES FCI]]-CG306,Tabla5[[#This Row],[INVERSIONES FCI]])</f>
        <v>3034468835.7640228</v>
      </c>
      <c r="CH307" s="5">
        <f>IF($B306&lt;=Tabla5[[#This Row],[INVERSIONES FCI]],+Tabla5[[#This Row],[INVERSIONES FCI]]-CH306,Tabla5[[#This Row],[INVERSIONES FCI]])</f>
        <v>3034468835.7640228</v>
      </c>
      <c r="CI307" s="5">
        <f>IF($B306&lt;=Tabla5[[#This Row],[INVERSIONES FCI]],+Tabla5[[#This Row],[INVERSIONES FCI]]-CI306,Tabla5[[#This Row],[INVERSIONES FCI]])</f>
        <v>3034468835.7640228</v>
      </c>
      <c r="CJ307" s="5">
        <f>IF($B306&lt;=Tabla5[[#This Row],[INVERSIONES FCI]],+Tabla5[[#This Row],[INVERSIONES FCI]]-CJ306,Tabla5[[#This Row],[INVERSIONES FCI]])</f>
        <v>3034468835.7640228</v>
      </c>
      <c r="CK307" s="5">
        <f>IF($B306&lt;=Tabla5[[#This Row],[INVERSIONES FCI]],+Tabla5[[#This Row],[INVERSIONES FCI]]-CK306,Tabla5[[#This Row],[INVERSIONES FCI]])</f>
        <v>3034468835.7640228</v>
      </c>
      <c r="CL307" s="5">
        <f>IF($B306&lt;=Tabla5[[#This Row],[INVERSIONES FCI]],+Tabla5[[#This Row],[INVERSIONES FCI]]-CL306,Tabla5[[#This Row],[INVERSIONES FCI]])</f>
        <v>3034468835.7640228</v>
      </c>
      <c r="CM307" s="5">
        <f>IF($B306&lt;=Tabla5[[#This Row],[INVERSIONES FCI]],+Tabla5[[#This Row],[INVERSIONES FCI]]-CM306,Tabla5[[#This Row],[INVERSIONES FCI]])</f>
        <v>3034468835.7640228</v>
      </c>
      <c r="CN307" s="5">
        <f>IF($B306&lt;=Tabla5[[#This Row],[INVERSIONES FCI]],+Tabla5[[#This Row],[INVERSIONES FCI]]-CN306,Tabla5[[#This Row],[INVERSIONES FCI]])</f>
        <v>3034468835.7640228</v>
      </c>
      <c r="CO307" s="5">
        <f>IF($B306&lt;=Tabla5[[#This Row],[INVERSIONES FCI]],+Tabla5[[#This Row],[INVERSIONES FCI]]-CO306,Tabla5[[#This Row],[INVERSIONES FCI]])</f>
        <v>3034468835.7640228</v>
      </c>
      <c r="CP307" s="5">
        <f>IF($B306&lt;=Tabla5[[#This Row],[INVERSIONES FCI]],+Tabla5[[#This Row],[INVERSIONES FCI]]-CP306,Tabla5[[#This Row],[INVERSIONES FCI]])</f>
        <v>3034468835.7640228</v>
      </c>
      <c r="CQ307" s="5">
        <f>IF($B306&lt;=Tabla5[[#This Row],[INVERSIONES FCI]],+Tabla5[[#This Row],[INVERSIONES FCI]]-CQ306,Tabla5[[#This Row],[INVERSIONES FCI]])</f>
        <v>3034468835.7640228</v>
      </c>
      <c r="CR307" s="5">
        <f>IF($B306&lt;=Tabla5[[#This Row],[INVERSIONES FCI]],+Tabla5[[#This Row],[INVERSIONES FCI]]-CR306,Tabla5[[#This Row],[INVERSIONES FCI]])</f>
        <v>3034468835.7640228</v>
      </c>
      <c r="CS307" s="5">
        <f>IF($B306&lt;=Tabla5[[#This Row],[INVERSIONES FCI]],+Tabla5[[#This Row],[INVERSIONES FCI]]-CS306,Tabla5[[#This Row],[INVERSIONES FCI]])</f>
        <v>3034468835.7640228</v>
      </c>
      <c r="CT307" s="5">
        <f>IF($B306&lt;=Tabla5[[#This Row],[INVERSIONES FCI]],+Tabla5[[#This Row],[INVERSIONES FCI]]-CT306,Tabla5[[#This Row],[INVERSIONES FCI]])</f>
        <v>3034468835.7640228</v>
      </c>
      <c r="CU307" s="5">
        <f>IF($B306&lt;=Tabla5[[#This Row],[INVERSIONES FCI]],+Tabla5[[#This Row],[INVERSIONES FCI]]-CU306,Tabla5[[#This Row],[INVERSIONES FCI]])</f>
        <v>3034468835.7640228</v>
      </c>
      <c r="CV307" s="5">
        <f>IF($B306&lt;=Tabla5[[#This Row],[INVERSIONES FCI]],+Tabla5[[#This Row],[INVERSIONES FCI]]-CV306,Tabla5[[#This Row],[INVERSIONES FCI]])</f>
        <v>3034468835.7640228</v>
      </c>
      <c r="CW307" s="5">
        <f>IF($B306&lt;=Tabla5[[#This Row],[INVERSIONES FCI]],+Tabla5[[#This Row],[INVERSIONES FCI]]-CW306,Tabla5[[#This Row],[INVERSIONES FCI]])</f>
        <v>3034468835.7640228</v>
      </c>
      <c r="CX307" s="5">
        <f>IF($B306&lt;=Tabla5[[#This Row],[INVERSIONES FCI]],+Tabla5[[#This Row],[INVERSIONES FCI]]-CX306,Tabla5[[#This Row],[INVERSIONES FCI]])</f>
        <v>3034468835.7640228</v>
      </c>
      <c r="CY307" s="5">
        <f>IF($B306&lt;=Tabla5[[#This Row],[INVERSIONES FCI]],+Tabla5[[#This Row],[INVERSIONES FCI]]-CY306,Tabla5[[#This Row],[INVERSIONES FCI]])</f>
        <v>3034468835.7640228</v>
      </c>
      <c r="CZ307" s="5">
        <f>IF($B306&lt;=Tabla5[[#This Row],[INVERSIONES FCI]],+Tabla5[[#This Row],[INVERSIONES FCI]]-CZ306,Tabla5[[#This Row],[INVERSIONES FCI]])</f>
        <v>3034468835.7640228</v>
      </c>
      <c r="DA307" s="5">
        <f>IF($B306&lt;=Tabla5[[#This Row],[INVERSIONES FCI]],+Tabla5[[#This Row],[INVERSIONES FCI]]-DA306,Tabla5[[#This Row],[INVERSIONES FCI]])</f>
        <v>3034468835.7640228</v>
      </c>
      <c r="DB307" s="5">
        <f>IF($B306&lt;=Tabla5[[#This Row],[INVERSIONES FCI]],+Tabla5[[#This Row],[INVERSIONES FCI]]-DB306,Tabla5[[#This Row],[INVERSIONES FCI]])</f>
        <v>3034468835.7640228</v>
      </c>
      <c r="DC307" s="5">
        <f>IF($B306&lt;=Tabla5[[#This Row],[INVERSIONES FCI]],+Tabla5[[#This Row],[INVERSIONES FCI]]-DC306,Tabla5[[#This Row],[INVERSIONES FCI]])</f>
        <v>3034468835.7640228</v>
      </c>
      <c r="DD307" s="5">
        <f>IF($B306&lt;=Tabla5[[#This Row],[INVERSIONES FCI]],+Tabla5[[#This Row],[INVERSIONES FCI]]-DD306,Tabla5[[#This Row],[INVERSIONES FCI]])</f>
        <v>3034468835.7640228</v>
      </c>
      <c r="DE307" s="5">
        <f>IF($B306&lt;=Tabla5[[#This Row],[INVERSIONES FCI]],+Tabla5[[#This Row],[INVERSIONES FCI]]-DE306,Tabla5[[#This Row],[INVERSIONES FCI]])</f>
        <v>3034468835.7640228</v>
      </c>
      <c r="DF307" s="5">
        <f>IF($B306&lt;=Tabla5[[#This Row],[INVERSIONES FCI]],+Tabla5[[#This Row],[INVERSIONES FCI]]-DF306,Tabla5[[#This Row],[INVERSIONES FCI]])</f>
        <v>3034468835.7640228</v>
      </c>
      <c r="DG307" s="5">
        <f>IF($B306&lt;=Tabla5[[#This Row],[INVERSIONES FCI]],+Tabla5[[#This Row],[INVERSIONES FCI]]-DG306,Tabla5[[#This Row],[INVERSIONES FCI]])</f>
        <v>3034468835.7640228</v>
      </c>
      <c r="DH307" s="5">
        <f>IF($B306&lt;=Tabla5[[#This Row],[INVERSIONES FCI]],+Tabla5[[#This Row],[INVERSIONES FCI]]-DH306,Tabla5[[#This Row],[INVERSIONES FCI]])</f>
        <v>3034468835.7640228</v>
      </c>
      <c r="DI307" s="5">
        <f>IF($B306&lt;=Tabla5[[#This Row],[INVERSIONES FCI]],+Tabla5[[#This Row],[INVERSIONES FCI]]-DI306,Tabla5[[#This Row],[INVERSIONES FCI]])</f>
        <v>3034468835.7640228</v>
      </c>
      <c r="DJ307" s="5">
        <f>IF($B306&lt;=Tabla5[[#This Row],[INVERSIONES FCI]],+Tabla5[[#This Row],[INVERSIONES FCI]]-DJ306,Tabla5[[#This Row],[INVERSIONES FCI]])</f>
        <v>3034468835.7640228</v>
      </c>
      <c r="DK307" s="5">
        <f>IF($B306&lt;=Tabla5[[#This Row],[INVERSIONES FCI]],+Tabla5[[#This Row],[INVERSIONES FCI]]-DK306,Tabla5[[#This Row],[INVERSIONES FCI]])</f>
        <v>3034468835.7640228</v>
      </c>
      <c r="DL307" s="5"/>
      <c r="DM307" s="5"/>
      <c r="DN307" s="5"/>
      <c r="DO307" s="5"/>
      <c r="DP307" s="5"/>
      <c r="DQ307" s="5"/>
    </row>
    <row r="308" spans="1:121" ht="14.4">
      <c r="A308" s="12" t="s">
        <v>307</v>
      </c>
      <c r="B308" s="5">
        <f>HLOOKUP($A308,ESCENARIO[#All],7,FALSE)</f>
        <v>66727456683.967682</v>
      </c>
      <c r="C308" s="5">
        <f>IF($B307&lt;=Tabla5[[#This Row],[INVERSIONES FCI]],+Tabla5[[#This Row],[INVERSIONES FCI]]-C307,Tabla5[[#This Row],[INVERSIONES FCI]])</f>
        <v>63692987848.203659</v>
      </c>
      <c r="D308" s="5">
        <f>IF($B307&lt;=Tabla5[[#This Row],[INVERSIONES FCI]],+Tabla5[[#This Row],[INVERSIONES FCI]]-D307,Tabla5[[#This Row],[INVERSIONES FCI]])</f>
        <v>63692987848.203659</v>
      </c>
      <c r="E308" s="5">
        <f>IF($B307&lt;=Tabla5[[#This Row],[INVERSIONES FCI]],+Tabla5[[#This Row],[INVERSIONES FCI]]-E307,Tabla5[[#This Row],[INVERSIONES FCI]])</f>
        <v>63692987848.203659</v>
      </c>
      <c r="F308" s="5">
        <f>IF($B307&lt;=Tabla5[[#This Row],[INVERSIONES FCI]],+Tabla5[[#This Row],[INVERSIONES FCI]]-F307,Tabla5[[#This Row],[INVERSIONES FCI]])</f>
        <v>63692987848.203659</v>
      </c>
      <c r="G308" s="5">
        <f>IF($B307&lt;=Tabla5[[#This Row],[INVERSIONES FCI]],+Tabla5[[#This Row],[INVERSIONES FCI]]-G307,Tabla5[[#This Row],[INVERSIONES FCI]])</f>
        <v>63692987848.203659</v>
      </c>
      <c r="H308" s="5">
        <f>IF($B307&lt;=Tabla5[[#This Row],[INVERSIONES FCI]],+Tabla5[[#This Row],[INVERSIONES FCI]]-H307,Tabla5[[#This Row],[INVERSIONES FCI]])</f>
        <v>63692987848.203659</v>
      </c>
      <c r="I308" s="5">
        <f>IF($B307&lt;=Tabla5[[#This Row],[INVERSIONES FCI]],+Tabla5[[#This Row],[INVERSIONES FCI]]-I307,Tabla5[[#This Row],[INVERSIONES FCI]])</f>
        <v>63692987848.203659</v>
      </c>
      <c r="J308" s="5">
        <f>IF($B307&lt;=Tabla5[[#This Row],[INVERSIONES FCI]],+Tabla5[[#This Row],[INVERSIONES FCI]]-J307,Tabla5[[#This Row],[INVERSIONES FCI]])</f>
        <v>63692987848.203659</v>
      </c>
      <c r="K308" s="5">
        <f>IF($B307&lt;=Tabla5[[#This Row],[INVERSIONES FCI]],+Tabla5[[#This Row],[INVERSIONES FCI]]-K307,Tabla5[[#This Row],[INVERSIONES FCI]])</f>
        <v>63692987848.203659</v>
      </c>
      <c r="L308" s="5">
        <f>IF($B307&lt;=Tabla5[[#This Row],[INVERSIONES FCI]],+Tabla5[[#This Row],[INVERSIONES FCI]]-L307,Tabla5[[#This Row],[INVERSIONES FCI]])</f>
        <v>63692987848.203659</v>
      </c>
      <c r="M308" s="5">
        <f>IF($B307&lt;=Tabla5[[#This Row],[INVERSIONES FCI]],+Tabla5[[#This Row],[INVERSIONES FCI]]-M307,Tabla5[[#This Row],[INVERSIONES FCI]])</f>
        <v>63692987848.203659</v>
      </c>
      <c r="N308" s="5">
        <f>IF($B307&lt;=Tabla5[[#This Row],[INVERSIONES FCI]],+Tabla5[[#This Row],[INVERSIONES FCI]]-N307,Tabla5[[#This Row],[INVERSIONES FCI]])</f>
        <v>63692987848.203659</v>
      </c>
      <c r="O308" s="5">
        <f>IF($B307&lt;=Tabla5[[#This Row],[INVERSIONES FCI]],+Tabla5[[#This Row],[INVERSIONES FCI]]-O307,Tabla5[[#This Row],[INVERSIONES FCI]])</f>
        <v>63692987848.203659</v>
      </c>
      <c r="P308" s="5">
        <f>IF($B307&lt;=Tabla5[[#This Row],[INVERSIONES FCI]],+Tabla5[[#This Row],[INVERSIONES FCI]]-P307,Tabla5[[#This Row],[INVERSIONES FCI]])</f>
        <v>63692987848.203659</v>
      </c>
      <c r="Q308" s="5">
        <f>IF($B307&lt;=Tabla5[[#This Row],[INVERSIONES FCI]],+Tabla5[[#This Row],[INVERSIONES FCI]]-Q307,Tabla5[[#This Row],[INVERSIONES FCI]])</f>
        <v>63692987848.203659</v>
      </c>
      <c r="R308" s="5">
        <f>IF($B307&lt;=Tabla5[[#This Row],[INVERSIONES FCI]],+Tabla5[[#This Row],[INVERSIONES FCI]]-R307,Tabla5[[#This Row],[INVERSIONES FCI]])</f>
        <v>63692987848.203659</v>
      </c>
      <c r="S308" s="5">
        <f>IF($B307&lt;=Tabla5[[#This Row],[INVERSIONES FCI]],+Tabla5[[#This Row],[INVERSIONES FCI]]-S307,Tabla5[[#This Row],[INVERSIONES FCI]])</f>
        <v>63692987848.203659</v>
      </c>
      <c r="T308" s="5">
        <f>IF($B307&lt;=Tabla5[[#This Row],[INVERSIONES FCI]],+Tabla5[[#This Row],[INVERSIONES FCI]]-T307,Tabla5[[#This Row],[INVERSIONES FCI]])</f>
        <v>63692987848.203659</v>
      </c>
      <c r="U308" s="5">
        <f>IF($B307&lt;=Tabla5[[#This Row],[INVERSIONES FCI]],+Tabla5[[#This Row],[INVERSIONES FCI]]-U307,Tabla5[[#This Row],[INVERSIONES FCI]])</f>
        <v>63692987848.203659</v>
      </c>
      <c r="V308" s="5">
        <f>IF($B307&lt;=Tabla5[[#This Row],[INVERSIONES FCI]],+Tabla5[[#This Row],[INVERSIONES FCI]]-V307,Tabla5[[#This Row],[INVERSIONES FCI]])</f>
        <v>63692987848.203659</v>
      </c>
      <c r="W308" s="5">
        <f>IF($B307&lt;=Tabla5[[#This Row],[INVERSIONES FCI]],+Tabla5[[#This Row],[INVERSIONES FCI]]-W307,Tabla5[[#This Row],[INVERSIONES FCI]])</f>
        <v>63692987848.203659</v>
      </c>
      <c r="X308" s="5">
        <f>IF($B307&lt;=Tabla5[[#This Row],[INVERSIONES FCI]],+Tabla5[[#This Row],[INVERSIONES FCI]]-X307,Tabla5[[#This Row],[INVERSIONES FCI]])</f>
        <v>63692987848.203659</v>
      </c>
      <c r="Y308" s="5">
        <f>IF($B307&lt;=Tabla5[[#This Row],[INVERSIONES FCI]],+Tabla5[[#This Row],[INVERSIONES FCI]]-Y307,Tabla5[[#This Row],[INVERSIONES FCI]])</f>
        <v>63692987848.203659</v>
      </c>
      <c r="Z308" s="5">
        <f>IF($B307&lt;=Tabla5[[#This Row],[INVERSIONES FCI]],+Tabla5[[#This Row],[INVERSIONES FCI]]-Z307,Tabla5[[#This Row],[INVERSIONES FCI]])</f>
        <v>63692987848.203659</v>
      </c>
      <c r="AA308" s="5">
        <f>IF($B307&lt;=Tabla5[[#This Row],[INVERSIONES FCI]],+Tabla5[[#This Row],[INVERSIONES FCI]]-AA307,Tabla5[[#This Row],[INVERSIONES FCI]])</f>
        <v>63692987848.203659</v>
      </c>
      <c r="AB308" s="5">
        <f>IF($B307&lt;=Tabla5[[#This Row],[INVERSIONES FCI]],+Tabla5[[#This Row],[INVERSIONES FCI]]-AB307,Tabla5[[#This Row],[INVERSIONES FCI]])</f>
        <v>63692987848.203659</v>
      </c>
      <c r="AC308" s="5">
        <f>IF($B307&lt;=Tabla5[[#This Row],[INVERSIONES FCI]],+Tabla5[[#This Row],[INVERSIONES FCI]]-AC307,Tabla5[[#This Row],[INVERSIONES FCI]])</f>
        <v>63692987848.203659</v>
      </c>
      <c r="AD308" s="5">
        <f>IF($B307&lt;=Tabla5[[#This Row],[INVERSIONES FCI]],+Tabla5[[#This Row],[INVERSIONES FCI]]-AD307,Tabla5[[#This Row],[INVERSIONES FCI]])</f>
        <v>63692987848.203659</v>
      </c>
      <c r="AE308" s="5">
        <f>IF($B307&lt;=Tabla5[[#This Row],[INVERSIONES FCI]],+Tabla5[[#This Row],[INVERSIONES FCI]]-AE307,Tabla5[[#This Row],[INVERSIONES FCI]])</f>
        <v>63692987848.203659</v>
      </c>
      <c r="AF308" s="5">
        <f>IF($B307&lt;=Tabla5[[#This Row],[INVERSIONES FCI]],+Tabla5[[#This Row],[INVERSIONES FCI]]-AF307,Tabla5[[#This Row],[INVERSIONES FCI]])</f>
        <v>63692987848.203659</v>
      </c>
      <c r="AG308" s="5">
        <f>IF($B307&lt;=Tabla5[[#This Row],[INVERSIONES FCI]],+Tabla5[[#This Row],[INVERSIONES FCI]]-AG307,Tabla5[[#This Row],[INVERSIONES FCI]])</f>
        <v>63692987848.203659</v>
      </c>
      <c r="AH308" s="5">
        <f>IF($B307&lt;=Tabla5[[#This Row],[INVERSIONES FCI]],+Tabla5[[#This Row],[INVERSIONES FCI]]-AH307,Tabla5[[#This Row],[INVERSIONES FCI]])</f>
        <v>63692987848.203659</v>
      </c>
      <c r="AI308" s="5">
        <f>IF($B307&lt;=Tabla5[[#This Row],[INVERSIONES FCI]],+Tabla5[[#This Row],[INVERSIONES FCI]]-AI307,Tabla5[[#This Row],[INVERSIONES FCI]])</f>
        <v>63692987848.203659</v>
      </c>
      <c r="AJ308" s="5">
        <f>IF($B307&lt;=Tabla5[[#This Row],[INVERSIONES FCI]],+Tabla5[[#This Row],[INVERSIONES FCI]]-AJ307,Tabla5[[#This Row],[INVERSIONES FCI]])</f>
        <v>63692987848.203659</v>
      </c>
      <c r="AK308" s="5">
        <f>IF($B307&lt;=Tabla5[[#This Row],[INVERSIONES FCI]],+Tabla5[[#This Row],[INVERSIONES FCI]]-AK307,Tabla5[[#This Row],[INVERSIONES FCI]])</f>
        <v>63692987848.203659</v>
      </c>
      <c r="AL308" s="5">
        <f>IF($B307&lt;=Tabla5[[#This Row],[INVERSIONES FCI]],+Tabla5[[#This Row],[INVERSIONES FCI]]-AL307,Tabla5[[#This Row],[INVERSIONES FCI]])</f>
        <v>63692987848.203659</v>
      </c>
      <c r="AM308" s="5">
        <f>IF($B307&lt;=Tabla5[[#This Row],[INVERSIONES FCI]],+Tabla5[[#This Row],[INVERSIONES FCI]]-AM307,Tabla5[[#This Row],[INVERSIONES FCI]])</f>
        <v>63692987848.203659</v>
      </c>
      <c r="AN308" s="5">
        <f>IF($B307&lt;=Tabla5[[#This Row],[INVERSIONES FCI]],+Tabla5[[#This Row],[INVERSIONES FCI]]-AN307,Tabla5[[#This Row],[INVERSIONES FCI]])</f>
        <v>63692987848.203659</v>
      </c>
      <c r="AO308" s="5">
        <f>IF($B307&lt;=Tabla5[[#This Row],[INVERSIONES FCI]],+Tabla5[[#This Row],[INVERSIONES FCI]]-AO307,Tabla5[[#This Row],[INVERSIONES FCI]])</f>
        <v>63692987848.203659</v>
      </c>
      <c r="AP308" s="5">
        <f>IF($B307&lt;=Tabla5[[#This Row],[INVERSIONES FCI]],+Tabla5[[#This Row],[INVERSIONES FCI]]-AP307,Tabla5[[#This Row],[INVERSIONES FCI]])</f>
        <v>63692987848.203659</v>
      </c>
      <c r="AQ308" s="5">
        <f>IF($B307&lt;=Tabla5[[#This Row],[INVERSIONES FCI]],+Tabla5[[#This Row],[INVERSIONES FCI]]-AQ307,Tabla5[[#This Row],[INVERSIONES FCI]])</f>
        <v>63692987848.203659</v>
      </c>
      <c r="AR308" s="5">
        <f>IF($B307&lt;=Tabla5[[#This Row],[INVERSIONES FCI]],+Tabla5[[#This Row],[INVERSIONES FCI]]-AR307,Tabla5[[#This Row],[INVERSIONES FCI]])</f>
        <v>63692987848.203659</v>
      </c>
      <c r="AS308" s="5">
        <f>IF($B307&lt;=Tabla5[[#This Row],[INVERSIONES FCI]],+Tabla5[[#This Row],[INVERSIONES FCI]]-AS307,Tabla5[[#This Row],[INVERSIONES FCI]])</f>
        <v>63692987848.203659</v>
      </c>
      <c r="AT308" s="5">
        <f>IF($B307&lt;=Tabla5[[#This Row],[INVERSIONES FCI]],+Tabla5[[#This Row],[INVERSIONES FCI]]-AT307,Tabla5[[#This Row],[INVERSIONES FCI]])</f>
        <v>63692987848.203659</v>
      </c>
      <c r="AU308" s="5">
        <f>IF($B307&lt;=Tabla5[[#This Row],[INVERSIONES FCI]],+Tabla5[[#This Row],[INVERSIONES FCI]]-AU307,Tabla5[[#This Row],[INVERSIONES FCI]])</f>
        <v>63692987848.203659</v>
      </c>
      <c r="AV308" s="5">
        <f>IF($B307&lt;=Tabla5[[#This Row],[INVERSIONES FCI]],+Tabla5[[#This Row],[INVERSIONES FCI]]-AV307,Tabla5[[#This Row],[INVERSIONES FCI]])</f>
        <v>63692987848.203659</v>
      </c>
      <c r="AW308" s="5">
        <f>IF($B307&lt;=Tabla5[[#This Row],[INVERSIONES FCI]],+Tabla5[[#This Row],[INVERSIONES FCI]]-AW307,Tabla5[[#This Row],[INVERSIONES FCI]])</f>
        <v>63692987848.203659</v>
      </c>
      <c r="AX308" s="5">
        <f>IF($B307&lt;=Tabla5[[#This Row],[INVERSIONES FCI]],+Tabla5[[#This Row],[INVERSIONES FCI]]-AX307,Tabla5[[#This Row],[INVERSIONES FCI]])</f>
        <v>63692987848.203659</v>
      </c>
      <c r="AY308" s="5">
        <f>IF($B307&lt;=Tabla5[[#This Row],[INVERSIONES FCI]],+Tabla5[[#This Row],[INVERSIONES FCI]]-AY307,Tabla5[[#This Row],[INVERSIONES FCI]])</f>
        <v>63692987848.203659</v>
      </c>
      <c r="AZ308" s="5">
        <f>IF($B307&lt;=Tabla5[[#This Row],[INVERSIONES FCI]],+Tabla5[[#This Row],[INVERSIONES FCI]]-AZ307,Tabla5[[#This Row],[INVERSIONES FCI]])</f>
        <v>63692987848.203659</v>
      </c>
      <c r="BA308" s="5">
        <f>IF($B307&lt;=Tabla5[[#This Row],[INVERSIONES FCI]],+Tabla5[[#This Row],[INVERSIONES FCI]]-BA307,Tabla5[[#This Row],[INVERSIONES FCI]])</f>
        <v>63692987848.203659</v>
      </c>
      <c r="BB308" s="5">
        <f>IF($B307&lt;=Tabla5[[#This Row],[INVERSIONES FCI]],+Tabla5[[#This Row],[INVERSIONES FCI]]-BB307,Tabla5[[#This Row],[INVERSIONES FCI]])</f>
        <v>63692987848.203659</v>
      </c>
      <c r="BC308" s="5">
        <f>IF($B307&lt;=Tabla5[[#This Row],[INVERSIONES FCI]],+Tabla5[[#This Row],[INVERSIONES FCI]]-BC307,Tabla5[[#This Row],[INVERSIONES FCI]])</f>
        <v>63692987848.203659</v>
      </c>
      <c r="BD308" s="5">
        <f>IF($B307&lt;=Tabla5[[#This Row],[INVERSIONES FCI]],+Tabla5[[#This Row],[INVERSIONES FCI]]-BD307,Tabla5[[#This Row],[INVERSIONES FCI]])</f>
        <v>63692987848.203659</v>
      </c>
      <c r="BE308" s="5">
        <f>IF($B307&lt;=Tabla5[[#This Row],[INVERSIONES FCI]],+Tabla5[[#This Row],[INVERSIONES FCI]]-BE307,Tabla5[[#This Row],[INVERSIONES FCI]])</f>
        <v>63692987848.203659</v>
      </c>
      <c r="BF308" s="5">
        <f>IF($B307&lt;=Tabla5[[#This Row],[INVERSIONES FCI]],+Tabla5[[#This Row],[INVERSIONES FCI]]-BF307,Tabla5[[#This Row],[INVERSIONES FCI]])</f>
        <v>63692987848.203659</v>
      </c>
      <c r="BG308" s="5">
        <f>IF($B307&lt;=Tabla5[[#This Row],[INVERSIONES FCI]],+Tabla5[[#This Row],[INVERSIONES FCI]]-BG307,Tabla5[[#This Row],[INVERSIONES FCI]])</f>
        <v>63692987848.203659</v>
      </c>
      <c r="BH308" s="5">
        <f>IF($B307&lt;=Tabla5[[#This Row],[INVERSIONES FCI]],+Tabla5[[#This Row],[INVERSIONES FCI]]-BH307,Tabla5[[#This Row],[INVERSIONES FCI]])</f>
        <v>63692987848.203659</v>
      </c>
      <c r="BI308" s="5">
        <f>IF($B307&lt;=Tabla5[[#This Row],[INVERSIONES FCI]],+Tabla5[[#This Row],[INVERSIONES FCI]]-BI307,Tabla5[[#This Row],[INVERSIONES FCI]])</f>
        <v>63692987848.203659</v>
      </c>
      <c r="BJ308" s="5">
        <f>IF($B307&lt;=Tabla5[[#This Row],[INVERSIONES FCI]],+Tabla5[[#This Row],[INVERSIONES FCI]]-BJ307,Tabla5[[#This Row],[INVERSIONES FCI]])</f>
        <v>63692987848.203659</v>
      </c>
      <c r="BK308" s="5">
        <f>IF($B307&lt;=Tabla5[[#This Row],[INVERSIONES FCI]],+Tabla5[[#This Row],[INVERSIONES FCI]]-BK307,Tabla5[[#This Row],[INVERSIONES FCI]])</f>
        <v>63692987848.203659</v>
      </c>
      <c r="BL308" s="5">
        <f>IF($B307&lt;=Tabla5[[#This Row],[INVERSIONES FCI]],+Tabla5[[#This Row],[INVERSIONES FCI]]-BL307,Tabla5[[#This Row],[INVERSIONES FCI]])</f>
        <v>63692987848.203659</v>
      </c>
      <c r="BM308" s="5">
        <f>IF($B307&lt;=Tabla5[[#This Row],[INVERSIONES FCI]],+Tabla5[[#This Row],[INVERSIONES FCI]]-BM307,Tabla5[[#This Row],[INVERSIONES FCI]])</f>
        <v>63692987848.203659</v>
      </c>
      <c r="BN308" s="5">
        <f>IF($B307&lt;=Tabla5[[#This Row],[INVERSIONES FCI]],+Tabla5[[#This Row],[INVERSIONES FCI]]-BN307,Tabla5[[#This Row],[INVERSIONES FCI]])</f>
        <v>63692987848.203659</v>
      </c>
      <c r="BO308" s="5">
        <f>IF($B307&lt;=Tabla5[[#This Row],[INVERSIONES FCI]],+Tabla5[[#This Row],[INVERSIONES FCI]]-BO307,Tabla5[[#This Row],[INVERSIONES FCI]])</f>
        <v>63692987848.203659</v>
      </c>
      <c r="BP308" s="5">
        <f>IF($B307&lt;=Tabla5[[#This Row],[INVERSIONES FCI]],+Tabla5[[#This Row],[INVERSIONES FCI]]-BP307,Tabla5[[#This Row],[INVERSIONES FCI]])</f>
        <v>63692987848.203659</v>
      </c>
      <c r="BQ308" s="5">
        <f>IF($B307&lt;=Tabla5[[#This Row],[INVERSIONES FCI]],+Tabla5[[#This Row],[INVERSIONES FCI]]-BQ307,Tabla5[[#This Row],[INVERSIONES FCI]])</f>
        <v>63692987848.203659</v>
      </c>
      <c r="BR308" s="5">
        <f>IF($B307&lt;=Tabla5[[#This Row],[INVERSIONES FCI]],+Tabla5[[#This Row],[INVERSIONES FCI]]-BR307,Tabla5[[#This Row],[INVERSIONES FCI]])</f>
        <v>63692987848.203659</v>
      </c>
      <c r="BS308" s="5">
        <f>IF($B307&lt;=Tabla5[[#This Row],[INVERSIONES FCI]],+Tabla5[[#This Row],[INVERSIONES FCI]]-BS307,Tabla5[[#This Row],[INVERSIONES FCI]])</f>
        <v>63692987848.203659</v>
      </c>
      <c r="BT308" s="5">
        <f>IF($B307&lt;=Tabla5[[#This Row],[INVERSIONES FCI]],+Tabla5[[#This Row],[INVERSIONES FCI]]-BT307,Tabla5[[#This Row],[INVERSIONES FCI]])</f>
        <v>63692987848.203659</v>
      </c>
      <c r="BU308" s="5">
        <f>IF($B307&lt;=Tabla5[[#This Row],[INVERSIONES FCI]],+Tabla5[[#This Row],[INVERSIONES FCI]]-BU307,Tabla5[[#This Row],[INVERSIONES FCI]])</f>
        <v>63692987848.203659</v>
      </c>
      <c r="BV308" s="5">
        <f>IF($B307&lt;=Tabla5[[#This Row],[INVERSIONES FCI]],+Tabla5[[#This Row],[INVERSIONES FCI]]-BV307,Tabla5[[#This Row],[INVERSIONES FCI]])</f>
        <v>63692987848.203659</v>
      </c>
      <c r="BW308" s="5">
        <f>IF($B307&lt;=Tabla5[[#This Row],[INVERSIONES FCI]],+Tabla5[[#This Row],[INVERSIONES FCI]]-BW307,Tabla5[[#This Row],[INVERSIONES FCI]])</f>
        <v>63692987848.203659</v>
      </c>
      <c r="BX308" s="5">
        <f>IF($B307&lt;=Tabla5[[#This Row],[INVERSIONES FCI]],+Tabla5[[#This Row],[INVERSIONES FCI]]-BX307,Tabla5[[#This Row],[INVERSIONES FCI]])</f>
        <v>63692987848.203659</v>
      </c>
      <c r="BY308" s="5">
        <f>IF($B307&lt;=Tabla5[[#This Row],[INVERSIONES FCI]],+Tabla5[[#This Row],[INVERSIONES FCI]]-BY307,Tabla5[[#This Row],[INVERSIONES FCI]])</f>
        <v>63692987848.203659</v>
      </c>
      <c r="BZ308" s="5">
        <f>IF($B307&lt;=Tabla5[[#This Row],[INVERSIONES FCI]],+Tabla5[[#This Row],[INVERSIONES FCI]]-BZ307,Tabla5[[#This Row],[INVERSIONES FCI]])</f>
        <v>63692987848.203659</v>
      </c>
      <c r="CA308" s="5">
        <f>IF($B307&lt;=Tabla5[[#This Row],[INVERSIONES FCI]],+Tabla5[[#This Row],[INVERSIONES FCI]]-CA307,Tabla5[[#This Row],[INVERSIONES FCI]])</f>
        <v>63692987848.203659</v>
      </c>
      <c r="CB308" s="5">
        <f>IF($B307&lt;=Tabla5[[#This Row],[INVERSIONES FCI]],+Tabla5[[#This Row],[INVERSIONES FCI]]-CB307,Tabla5[[#This Row],[INVERSIONES FCI]])</f>
        <v>63692987848.203659</v>
      </c>
      <c r="CC308" s="5">
        <f>IF($B307&lt;=Tabla5[[#This Row],[INVERSIONES FCI]],+Tabla5[[#This Row],[INVERSIONES FCI]]-CC307,Tabla5[[#This Row],[INVERSIONES FCI]])</f>
        <v>63692987848.203659</v>
      </c>
      <c r="CD308" s="5">
        <f>IF($B307&lt;=Tabla5[[#This Row],[INVERSIONES FCI]],+Tabla5[[#This Row],[INVERSIONES FCI]]-CD307,Tabla5[[#This Row],[INVERSIONES FCI]])</f>
        <v>63692987848.203659</v>
      </c>
      <c r="CE308" s="5">
        <f>IF($B307&lt;=Tabla5[[#This Row],[INVERSIONES FCI]],+Tabla5[[#This Row],[INVERSIONES FCI]]-CE307,Tabla5[[#This Row],[INVERSIONES FCI]])</f>
        <v>63692987848.203659</v>
      </c>
      <c r="CF308" s="5">
        <f>IF($B307&lt;=Tabla5[[#This Row],[INVERSIONES FCI]],+Tabla5[[#This Row],[INVERSIONES FCI]]-CF307,Tabla5[[#This Row],[INVERSIONES FCI]])</f>
        <v>63692987848.203659</v>
      </c>
      <c r="CG308" s="5">
        <f>IF($B307&lt;=Tabla5[[#This Row],[INVERSIONES FCI]],+Tabla5[[#This Row],[INVERSIONES FCI]]-CG307,Tabla5[[#This Row],[INVERSIONES FCI]])</f>
        <v>63692987848.203659</v>
      </c>
      <c r="CH308" s="5">
        <f>IF($B307&lt;=Tabla5[[#This Row],[INVERSIONES FCI]],+Tabla5[[#This Row],[INVERSIONES FCI]]-CH307,Tabla5[[#This Row],[INVERSIONES FCI]])</f>
        <v>63692987848.203659</v>
      </c>
      <c r="CI308" s="5">
        <f>IF($B307&lt;=Tabla5[[#This Row],[INVERSIONES FCI]],+Tabla5[[#This Row],[INVERSIONES FCI]]-CI307,Tabla5[[#This Row],[INVERSIONES FCI]])</f>
        <v>63692987848.203659</v>
      </c>
      <c r="CJ308" s="5">
        <f>IF($B307&lt;=Tabla5[[#This Row],[INVERSIONES FCI]],+Tabla5[[#This Row],[INVERSIONES FCI]]-CJ307,Tabla5[[#This Row],[INVERSIONES FCI]])</f>
        <v>63692987848.203659</v>
      </c>
      <c r="CK308" s="5">
        <f>IF($B307&lt;=Tabla5[[#This Row],[INVERSIONES FCI]],+Tabla5[[#This Row],[INVERSIONES FCI]]-CK307,Tabla5[[#This Row],[INVERSIONES FCI]])</f>
        <v>63692987848.203659</v>
      </c>
      <c r="CL308" s="5">
        <f>IF($B307&lt;=Tabla5[[#This Row],[INVERSIONES FCI]],+Tabla5[[#This Row],[INVERSIONES FCI]]-CL307,Tabla5[[#This Row],[INVERSIONES FCI]])</f>
        <v>63692987848.203659</v>
      </c>
      <c r="CM308" s="5">
        <f>IF($B307&lt;=Tabla5[[#This Row],[INVERSIONES FCI]],+Tabla5[[#This Row],[INVERSIONES FCI]]-CM307,Tabla5[[#This Row],[INVERSIONES FCI]])</f>
        <v>63692987848.203659</v>
      </c>
      <c r="CN308" s="5">
        <f>IF($B307&lt;=Tabla5[[#This Row],[INVERSIONES FCI]],+Tabla5[[#This Row],[INVERSIONES FCI]]-CN307,Tabla5[[#This Row],[INVERSIONES FCI]])</f>
        <v>63692987848.203659</v>
      </c>
      <c r="CO308" s="5">
        <f>IF($B307&lt;=Tabla5[[#This Row],[INVERSIONES FCI]],+Tabla5[[#This Row],[INVERSIONES FCI]]-CO307,Tabla5[[#This Row],[INVERSIONES FCI]])</f>
        <v>63692987848.203659</v>
      </c>
      <c r="CP308" s="5">
        <f>IF($B307&lt;=Tabla5[[#This Row],[INVERSIONES FCI]],+Tabla5[[#This Row],[INVERSIONES FCI]]-CP307,Tabla5[[#This Row],[INVERSIONES FCI]])</f>
        <v>63692987848.203659</v>
      </c>
      <c r="CQ308" s="5">
        <f>IF($B307&lt;=Tabla5[[#This Row],[INVERSIONES FCI]],+Tabla5[[#This Row],[INVERSIONES FCI]]-CQ307,Tabla5[[#This Row],[INVERSIONES FCI]])</f>
        <v>63692987848.203659</v>
      </c>
      <c r="CR308" s="5">
        <f>IF($B307&lt;=Tabla5[[#This Row],[INVERSIONES FCI]],+Tabla5[[#This Row],[INVERSIONES FCI]]-CR307,Tabla5[[#This Row],[INVERSIONES FCI]])</f>
        <v>63692987848.203659</v>
      </c>
      <c r="CS308" s="5">
        <f>IF($B307&lt;=Tabla5[[#This Row],[INVERSIONES FCI]],+Tabla5[[#This Row],[INVERSIONES FCI]]-CS307,Tabla5[[#This Row],[INVERSIONES FCI]])</f>
        <v>63692987848.203659</v>
      </c>
      <c r="CT308" s="5">
        <f>IF($B307&lt;=Tabla5[[#This Row],[INVERSIONES FCI]],+Tabla5[[#This Row],[INVERSIONES FCI]]-CT307,Tabla5[[#This Row],[INVERSIONES FCI]])</f>
        <v>63692987848.203659</v>
      </c>
      <c r="CU308" s="5">
        <f>IF($B307&lt;=Tabla5[[#This Row],[INVERSIONES FCI]],+Tabla5[[#This Row],[INVERSIONES FCI]]-CU307,Tabla5[[#This Row],[INVERSIONES FCI]])</f>
        <v>63692987848.203659</v>
      </c>
      <c r="CV308" s="5">
        <f>IF($B307&lt;=Tabla5[[#This Row],[INVERSIONES FCI]],+Tabla5[[#This Row],[INVERSIONES FCI]]-CV307,Tabla5[[#This Row],[INVERSIONES FCI]])</f>
        <v>63692987848.203659</v>
      </c>
      <c r="CW308" s="5">
        <f>IF($B307&lt;=Tabla5[[#This Row],[INVERSIONES FCI]],+Tabla5[[#This Row],[INVERSIONES FCI]]-CW307,Tabla5[[#This Row],[INVERSIONES FCI]])</f>
        <v>63692987848.203659</v>
      </c>
      <c r="CX308" s="5">
        <f>IF($B307&lt;=Tabla5[[#This Row],[INVERSIONES FCI]],+Tabla5[[#This Row],[INVERSIONES FCI]]-CX307,Tabla5[[#This Row],[INVERSIONES FCI]])</f>
        <v>63692987848.203659</v>
      </c>
      <c r="CY308" s="5">
        <f>IF($B307&lt;=Tabla5[[#This Row],[INVERSIONES FCI]],+Tabla5[[#This Row],[INVERSIONES FCI]]-CY307,Tabla5[[#This Row],[INVERSIONES FCI]])</f>
        <v>63692987848.203659</v>
      </c>
      <c r="CZ308" s="5">
        <f>IF($B307&lt;=Tabla5[[#This Row],[INVERSIONES FCI]],+Tabla5[[#This Row],[INVERSIONES FCI]]-CZ307,Tabla5[[#This Row],[INVERSIONES FCI]])</f>
        <v>63692987848.203659</v>
      </c>
      <c r="DA308" s="5">
        <f>IF($B307&lt;=Tabla5[[#This Row],[INVERSIONES FCI]],+Tabla5[[#This Row],[INVERSIONES FCI]]-DA307,Tabla5[[#This Row],[INVERSIONES FCI]])</f>
        <v>63692987848.203659</v>
      </c>
      <c r="DB308" s="5">
        <f>IF($B307&lt;=Tabla5[[#This Row],[INVERSIONES FCI]],+Tabla5[[#This Row],[INVERSIONES FCI]]-DB307,Tabla5[[#This Row],[INVERSIONES FCI]])</f>
        <v>63692987848.203659</v>
      </c>
      <c r="DC308" s="5">
        <f>IF($B307&lt;=Tabla5[[#This Row],[INVERSIONES FCI]],+Tabla5[[#This Row],[INVERSIONES FCI]]-DC307,Tabla5[[#This Row],[INVERSIONES FCI]])</f>
        <v>63692987848.203659</v>
      </c>
      <c r="DD308" s="5">
        <f>IF($B307&lt;=Tabla5[[#This Row],[INVERSIONES FCI]],+Tabla5[[#This Row],[INVERSIONES FCI]]-DD307,Tabla5[[#This Row],[INVERSIONES FCI]])</f>
        <v>63692987848.203659</v>
      </c>
      <c r="DE308" s="5">
        <f>IF($B307&lt;=Tabla5[[#This Row],[INVERSIONES FCI]],+Tabla5[[#This Row],[INVERSIONES FCI]]-DE307,Tabla5[[#This Row],[INVERSIONES FCI]])</f>
        <v>63692987848.203659</v>
      </c>
      <c r="DF308" s="5">
        <f>IF($B307&lt;=Tabla5[[#This Row],[INVERSIONES FCI]],+Tabla5[[#This Row],[INVERSIONES FCI]]-DF307,Tabla5[[#This Row],[INVERSIONES FCI]])</f>
        <v>63692987848.203659</v>
      </c>
      <c r="DG308" s="5">
        <f>IF($B307&lt;=Tabla5[[#This Row],[INVERSIONES FCI]],+Tabla5[[#This Row],[INVERSIONES FCI]]-DG307,Tabla5[[#This Row],[INVERSIONES FCI]])</f>
        <v>63692987848.203659</v>
      </c>
      <c r="DH308" s="5">
        <f>IF($B307&lt;=Tabla5[[#This Row],[INVERSIONES FCI]],+Tabla5[[#This Row],[INVERSIONES FCI]]-DH307,Tabla5[[#This Row],[INVERSIONES FCI]])</f>
        <v>63692987848.203659</v>
      </c>
      <c r="DI308" s="5">
        <f>IF($B307&lt;=Tabla5[[#This Row],[INVERSIONES FCI]],+Tabla5[[#This Row],[INVERSIONES FCI]]-DI307,Tabla5[[#This Row],[INVERSIONES FCI]])</f>
        <v>63692987848.203659</v>
      </c>
      <c r="DJ308" s="5">
        <f>IF($B307&lt;=Tabla5[[#This Row],[INVERSIONES FCI]],+Tabla5[[#This Row],[INVERSIONES FCI]]-DJ307,Tabla5[[#This Row],[INVERSIONES FCI]])</f>
        <v>63692987848.203659</v>
      </c>
      <c r="DK308" s="5">
        <f>IF($B307&lt;=Tabla5[[#This Row],[INVERSIONES FCI]],+Tabla5[[#This Row],[INVERSIONES FCI]]-DK307,Tabla5[[#This Row],[INVERSIONES FCI]])</f>
        <v>63692987848.203659</v>
      </c>
      <c r="DL308" s="5"/>
      <c r="DM308" s="5"/>
      <c r="DN308" s="5"/>
      <c r="DO308" s="5"/>
      <c r="DP308" s="5"/>
      <c r="DQ308" s="5"/>
    </row>
    <row r="309" spans="1:121" ht="14.4">
      <c r="A309" s="12" t="s">
        <v>308</v>
      </c>
      <c r="B309" s="5">
        <f>HLOOKUP($A309,ESCENARIO[#All],7,FALSE)</f>
        <v>67504273581.407654</v>
      </c>
      <c r="C309" s="5">
        <f>IF($B308&lt;=Tabla5[[#This Row],[INVERSIONES FCI]],+Tabla5[[#This Row],[INVERSIONES FCI]]-C308,Tabla5[[#This Row],[INVERSIONES FCI]])</f>
        <v>3811285733.2039948</v>
      </c>
      <c r="D309" s="5">
        <f>IF($B308&lt;=Tabla5[[#This Row],[INVERSIONES FCI]],+Tabla5[[#This Row],[INVERSIONES FCI]]-D308,Tabla5[[#This Row],[INVERSIONES FCI]])</f>
        <v>3811285733.2039948</v>
      </c>
      <c r="E309" s="5">
        <f>IF($B308&lt;=Tabla5[[#This Row],[INVERSIONES FCI]],+Tabla5[[#This Row],[INVERSIONES FCI]]-E308,Tabla5[[#This Row],[INVERSIONES FCI]])</f>
        <v>3811285733.2039948</v>
      </c>
      <c r="F309" s="5">
        <f>IF($B308&lt;=Tabla5[[#This Row],[INVERSIONES FCI]],+Tabla5[[#This Row],[INVERSIONES FCI]]-F308,Tabla5[[#This Row],[INVERSIONES FCI]])</f>
        <v>3811285733.2039948</v>
      </c>
      <c r="G309" s="5">
        <f>IF($B308&lt;=Tabla5[[#This Row],[INVERSIONES FCI]],+Tabla5[[#This Row],[INVERSIONES FCI]]-G308,Tabla5[[#This Row],[INVERSIONES FCI]])</f>
        <v>3811285733.2039948</v>
      </c>
      <c r="H309" s="5">
        <f>IF($B308&lt;=Tabla5[[#This Row],[INVERSIONES FCI]],+Tabla5[[#This Row],[INVERSIONES FCI]]-H308,Tabla5[[#This Row],[INVERSIONES FCI]])</f>
        <v>3811285733.2039948</v>
      </c>
      <c r="I309" s="5">
        <f>IF($B308&lt;=Tabla5[[#This Row],[INVERSIONES FCI]],+Tabla5[[#This Row],[INVERSIONES FCI]]-I308,Tabla5[[#This Row],[INVERSIONES FCI]])</f>
        <v>3811285733.2039948</v>
      </c>
      <c r="J309" s="5">
        <f>IF($B308&lt;=Tabla5[[#This Row],[INVERSIONES FCI]],+Tabla5[[#This Row],[INVERSIONES FCI]]-J308,Tabla5[[#This Row],[INVERSIONES FCI]])</f>
        <v>3811285733.2039948</v>
      </c>
      <c r="K309" s="5">
        <f>IF($B308&lt;=Tabla5[[#This Row],[INVERSIONES FCI]],+Tabla5[[#This Row],[INVERSIONES FCI]]-K308,Tabla5[[#This Row],[INVERSIONES FCI]])</f>
        <v>3811285733.2039948</v>
      </c>
      <c r="L309" s="5">
        <f>IF($B308&lt;=Tabla5[[#This Row],[INVERSIONES FCI]],+Tabla5[[#This Row],[INVERSIONES FCI]]-L308,Tabla5[[#This Row],[INVERSIONES FCI]])</f>
        <v>3811285733.2039948</v>
      </c>
      <c r="M309" s="5">
        <f>IF($B308&lt;=Tabla5[[#This Row],[INVERSIONES FCI]],+Tabla5[[#This Row],[INVERSIONES FCI]]-M308,Tabla5[[#This Row],[INVERSIONES FCI]])</f>
        <v>3811285733.2039948</v>
      </c>
      <c r="N309" s="5">
        <f>IF($B308&lt;=Tabla5[[#This Row],[INVERSIONES FCI]],+Tabla5[[#This Row],[INVERSIONES FCI]]-N308,Tabla5[[#This Row],[INVERSIONES FCI]])</f>
        <v>3811285733.2039948</v>
      </c>
      <c r="O309" s="5">
        <f>IF($B308&lt;=Tabla5[[#This Row],[INVERSIONES FCI]],+Tabla5[[#This Row],[INVERSIONES FCI]]-O308,Tabla5[[#This Row],[INVERSIONES FCI]])</f>
        <v>3811285733.2039948</v>
      </c>
      <c r="P309" s="5">
        <f>IF($B308&lt;=Tabla5[[#This Row],[INVERSIONES FCI]],+Tabla5[[#This Row],[INVERSIONES FCI]]-P308,Tabla5[[#This Row],[INVERSIONES FCI]])</f>
        <v>3811285733.2039948</v>
      </c>
      <c r="Q309" s="5">
        <f>IF($B308&lt;=Tabla5[[#This Row],[INVERSIONES FCI]],+Tabla5[[#This Row],[INVERSIONES FCI]]-Q308,Tabla5[[#This Row],[INVERSIONES FCI]])</f>
        <v>3811285733.2039948</v>
      </c>
      <c r="R309" s="5">
        <f>IF($B308&lt;=Tabla5[[#This Row],[INVERSIONES FCI]],+Tabla5[[#This Row],[INVERSIONES FCI]]-R308,Tabla5[[#This Row],[INVERSIONES FCI]])</f>
        <v>3811285733.2039948</v>
      </c>
      <c r="S309" s="5">
        <f>IF($B308&lt;=Tabla5[[#This Row],[INVERSIONES FCI]],+Tabla5[[#This Row],[INVERSIONES FCI]]-S308,Tabla5[[#This Row],[INVERSIONES FCI]])</f>
        <v>3811285733.2039948</v>
      </c>
      <c r="T309" s="5">
        <f>IF($B308&lt;=Tabla5[[#This Row],[INVERSIONES FCI]],+Tabla5[[#This Row],[INVERSIONES FCI]]-T308,Tabla5[[#This Row],[INVERSIONES FCI]])</f>
        <v>3811285733.2039948</v>
      </c>
      <c r="U309" s="5">
        <f>IF($B308&lt;=Tabla5[[#This Row],[INVERSIONES FCI]],+Tabla5[[#This Row],[INVERSIONES FCI]]-U308,Tabla5[[#This Row],[INVERSIONES FCI]])</f>
        <v>3811285733.2039948</v>
      </c>
      <c r="V309" s="5">
        <f>IF($B308&lt;=Tabla5[[#This Row],[INVERSIONES FCI]],+Tabla5[[#This Row],[INVERSIONES FCI]]-V308,Tabla5[[#This Row],[INVERSIONES FCI]])</f>
        <v>3811285733.2039948</v>
      </c>
      <c r="W309" s="5">
        <f>IF($B308&lt;=Tabla5[[#This Row],[INVERSIONES FCI]],+Tabla5[[#This Row],[INVERSIONES FCI]]-W308,Tabla5[[#This Row],[INVERSIONES FCI]])</f>
        <v>3811285733.2039948</v>
      </c>
      <c r="X309" s="5">
        <f>IF($B308&lt;=Tabla5[[#This Row],[INVERSIONES FCI]],+Tabla5[[#This Row],[INVERSIONES FCI]]-X308,Tabla5[[#This Row],[INVERSIONES FCI]])</f>
        <v>3811285733.2039948</v>
      </c>
      <c r="Y309" s="5">
        <f>IF($B308&lt;=Tabla5[[#This Row],[INVERSIONES FCI]],+Tabla5[[#This Row],[INVERSIONES FCI]]-Y308,Tabla5[[#This Row],[INVERSIONES FCI]])</f>
        <v>3811285733.2039948</v>
      </c>
      <c r="Z309" s="5">
        <f>IF($B308&lt;=Tabla5[[#This Row],[INVERSIONES FCI]],+Tabla5[[#This Row],[INVERSIONES FCI]]-Z308,Tabla5[[#This Row],[INVERSIONES FCI]])</f>
        <v>3811285733.2039948</v>
      </c>
      <c r="AA309" s="5">
        <f>IF($B308&lt;=Tabla5[[#This Row],[INVERSIONES FCI]],+Tabla5[[#This Row],[INVERSIONES FCI]]-AA308,Tabla5[[#This Row],[INVERSIONES FCI]])</f>
        <v>3811285733.2039948</v>
      </c>
      <c r="AB309" s="5">
        <f>IF($B308&lt;=Tabla5[[#This Row],[INVERSIONES FCI]],+Tabla5[[#This Row],[INVERSIONES FCI]]-AB308,Tabla5[[#This Row],[INVERSIONES FCI]])</f>
        <v>3811285733.2039948</v>
      </c>
      <c r="AC309" s="5">
        <f>IF($B308&lt;=Tabla5[[#This Row],[INVERSIONES FCI]],+Tabla5[[#This Row],[INVERSIONES FCI]]-AC308,Tabla5[[#This Row],[INVERSIONES FCI]])</f>
        <v>3811285733.2039948</v>
      </c>
      <c r="AD309" s="5">
        <f>IF($B308&lt;=Tabla5[[#This Row],[INVERSIONES FCI]],+Tabla5[[#This Row],[INVERSIONES FCI]]-AD308,Tabla5[[#This Row],[INVERSIONES FCI]])</f>
        <v>3811285733.2039948</v>
      </c>
      <c r="AE309" s="5">
        <f>IF($B308&lt;=Tabla5[[#This Row],[INVERSIONES FCI]],+Tabla5[[#This Row],[INVERSIONES FCI]]-AE308,Tabla5[[#This Row],[INVERSIONES FCI]])</f>
        <v>3811285733.2039948</v>
      </c>
      <c r="AF309" s="5">
        <f>IF($B308&lt;=Tabla5[[#This Row],[INVERSIONES FCI]],+Tabla5[[#This Row],[INVERSIONES FCI]]-AF308,Tabla5[[#This Row],[INVERSIONES FCI]])</f>
        <v>3811285733.2039948</v>
      </c>
      <c r="AG309" s="5">
        <f>IF($B308&lt;=Tabla5[[#This Row],[INVERSIONES FCI]],+Tabla5[[#This Row],[INVERSIONES FCI]]-AG308,Tabla5[[#This Row],[INVERSIONES FCI]])</f>
        <v>3811285733.2039948</v>
      </c>
      <c r="AH309" s="5">
        <f>IF($B308&lt;=Tabla5[[#This Row],[INVERSIONES FCI]],+Tabla5[[#This Row],[INVERSIONES FCI]]-AH308,Tabla5[[#This Row],[INVERSIONES FCI]])</f>
        <v>3811285733.2039948</v>
      </c>
      <c r="AI309" s="5">
        <f>IF($B308&lt;=Tabla5[[#This Row],[INVERSIONES FCI]],+Tabla5[[#This Row],[INVERSIONES FCI]]-AI308,Tabla5[[#This Row],[INVERSIONES FCI]])</f>
        <v>3811285733.2039948</v>
      </c>
      <c r="AJ309" s="5">
        <f>IF($B308&lt;=Tabla5[[#This Row],[INVERSIONES FCI]],+Tabla5[[#This Row],[INVERSIONES FCI]]-AJ308,Tabla5[[#This Row],[INVERSIONES FCI]])</f>
        <v>3811285733.2039948</v>
      </c>
      <c r="AK309" s="5">
        <f>IF($B308&lt;=Tabla5[[#This Row],[INVERSIONES FCI]],+Tabla5[[#This Row],[INVERSIONES FCI]]-AK308,Tabla5[[#This Row],[INVERSIONES FCI]])</f>
        <v>3811285733.2039948</v>
      </c>
      <c r="AL309" s="5">
        <f>IF($B308&lt;=Tabla5[[#This Row],[INVERSIONES FCI]],+Tabla5[[#This Row],[INVERSIONES FCI]]-AL308,Tabla5[[#This Row],[INVERSIONES FCI]])</f>
        <v>3811285733.2039948</v>
      </c>
      <c r="AM309" s="5">
        <f>IF($B308&lt;=Tabla5[[#This Row],[INVERSIONES FCI]],+Tabla5[[#This Row],[INVERSIONES FCI]]-AM308,Tabla5[[#This Row],[INVERSIONES FCI]])</f>
        <v>3811285733.2039948</v>
      </c>
      <c r="AN309" s="5">
        <f>IF($B308&lt;=Tabla5[[#This Row],[INVERSIONES FCI]],+Tabla5[[#This Row],[INVERSIONES FCI]]-AN308,Tabla5[[#This Row],[INVERSIONES FCI]])</f>
        <v>3811285733.2039948</v>
      </c>
      <c r="AO309" s="5">
        <f>IF($B308&lt;=Tabla5[[#This Row],[INVERSIONES FCI]],+Tabla5[[#This Row],[INVERSIONES FCI]]-AO308,Tabla5[[#This Row],[INVERSIONES FCI]])</f>
        <v>3811285733.2039948</v>
      </c>
      <c r="AP309" s="5">
        <f>IF($B308&lt;=Tabla5[[#This Row],[INVERSIONES FCI]],+Tabla5[[#This Row],[INVERSIONES FCI]]-AP308,Tabla5[[#This Row],[INVERSIONES FCI]])</f>
        <v>3811285733.2039948</v>
      </c>
      <c r="AQ309" s="5">
        <f>IF($B308&lt;=Tabla5[[#This Row],[INVERSIONES FCI]],+Tabla5[[#This Row],[INVERSIONES FCI]]-AQ308,Tabla5[[#This Row],[INVERSIONES FCI]])</f>
        <v>3811285733.2039948</v>
      </c>
      <c r="AR309" s="5">
        <f>IF($B308&lt;=Tabla5[[#This Row],[INVERSIONES FCI]],+Tabla5[[#This Row],[INVERSIONES FCI]]-AR308,Tabla5[[#This Row],[INVERSIONES FCI]])</f>
        <v>3811285733.2039948</v>
      </c>
      <c r="AS309" s="5">
        <f>IF($B308&lt;=Tabla5[[#This Row],[INVERSIONES FCI]],+Tabla5[[#This Row],[INVERSIONES FCI]]-AS308,Tabla5[[#This Row],[INVERSIONES FCI]])</f>
        <v>3811285733.2039948</v>
      </c>
      <c r="AT309" s="5">
        <f>IF($B308&lt;=Tabla5[[#This Row],[INVERSIONES FCI]],+Tabla5[[#This Row],[INVERSIONES FCI]]-AT308,Tabla5[[#This Row],[INVERSIONES FCI]])</f>
        <v>3811285733.2039948</v>
      </c>
      <c r="AU309" s="5">
        <f>IF($B308&lt;=Tabla5[[#This Row],[INVERSIONES FCI]],+Tabla5[[#This Row],[INVERSIONES FCI]]-AU308,Tabla5[[#This Row],[INVERSIONES FCI]])</f>
        <v>3811285733.2039948</v>
      </c>
      <c r="AV309" s="5">
        <f>IF($B308&lt;=Tabla5[[#This Row],[INVERSIONES FCI]],+Tabla5[[#This Row],[INVERSIONES FCI]]-AV308,Tabla5[[#This Row],[INVERSIONES FCI]])</f>
        <v>3811285733.2039948</v>
      </c>
      <c r="AW309" s="5">
        <f>IF($B308&lt;=Tabla5[[#This Row],[INVERSIONES FCI]],+Tabla5[[#This Row],[INVERSIONES FCI]]-AW308,Tabla5[[#This Row],[INVERSIONES FCI]])</f>
        <v>3811285733.2039948</v>
      </c>
      <c r="AX309" s="5">
        <f>IF($B308&lt;=Tabla5[[#This Row],[INVERSIONES FCI]],+Tabla5[[#This Row],[INVERSIONES FCI]]-AX308,Tabla5[[#This Row],[INVERSIONES FCI]])</f>
        <v>3811285733.2039948</v>
      </c>
      <c r="AY309" s="5">
        <f>IF($B308&lt;=Tabla5[[#This Row],[INVERSIONES FCI]],+Tabla5[[#This Row],[INVERSIONES FCI]]-AY308,Tabla5[[#This Row],[INVERSIONES FCI]])</f>
        <v>3811285733.2039948</v>
      </c>
      <c r="AZ309" s="5">
        <f>IF($B308&lt;=Tabla5[[#This Row],[INVERSIONES FCI]],+Tabla5[[#This Row],[INVERSIONES FCI]]-AZ308,Tabla5[[#This Row],[INVERSIONES FCI]])</f>
        <v>3811285733.2039948</v>
      </c>
      <c r="BA309" s="5">
        <f>IF($B308&lt;=Tabla5[[#This Row],[INVERSIONES FCI]],+Tabla5[[#This Row],[INVERSIONES FCI]]-BA308,Tabla5[[#This Row],[INVERSIONES FCI]])</f>
        <v>3811285733.2039948</v>
      </c>
      <c r="BB309" s="5">
        <f>IF($B308&lt;=Tabla5[[#This Row],[INVERSIONES FCI]],+Tabla5[[#This Row],[INVERSIONES FCI]]-BB308,Tabla5[[#This Row],[INVERSIONES FCI]])</f>
        <v>3811285733.2039948</v>
      </c>
      <c r="BC309" s="5">
        <f>IF($B308&lt;=Tabla5[[#This Row],[INVERSIONES FCI]],+Tabla5[[#This Row],[INVERSIONES FCI]]-BC308,Tabla5[[#This Row],[INVERSIONES FCI]])</f>
        <v>3811285733.2039948</v>
      </c>
      <c r="BD309" s="5">
        <f>IF($B308&lt;=Tabla5[[#This Row],[INVERSIONES FCI]],+Tabla5[[#This Row],[INVERSIONES FCI]]-BD308,Tabla5[[#This Row],[INVERSIONES FCI]])</f>
        <v>3811285733.2039948</v>
      </c>
      <c r="BE309" s="5">
        <f>IF($B308&lt;=Tabla5[[#This Row],[INVERSIONES FCI]],+Tabla5[[#This Row],[INVERSIONES FCI]]-BE308,Tabla5[[#This Row],[INVERSIONES FCI]])</f>
        <v>3811285733.2039948</v>
      </c>
      <c r="BF309" s="5">
        <f>IF($B308&lt;=Tabla5[[#This Row],[INVERSIONES FCI]],+Tabla5[[#This Row],[INVERSIONES FCI]]-BF308,Tabla5[[#This Row],[INVERSIONES FCI]])</f>
        <v>3811285733.2039948</v>
      </c>
      <c r="BG309" s="5">
        <f>IF($B308&lt;=Tabla5[[#This Row],[INVERSIONES FCI]],+Tabla5[[#This Row],[INVERSIONES FCI]]-BG308,Tabla5[[#This Row],[INVERSIONES FCI]])</f>
        <v>3811285733.2039948</v>
      </c>
      <c r="BH309" s="5">
        <f>IF($B308&lt;=Tabla5[[#This Row],[INVERSIONES FCI]],+Tabla5[[#This Row],[INVERSIONES FCI]]-BH308,Tabla5[[#This Row],[INVERSIONES FCI]])</f>
        <v>3811285733.2039948</v>
      </c>
      <c r="BI309" s="5">
        <f>IF($B308&lt;=Tabla5[[#This Row],[INVERSIONES FCI]],+Tabla5[[#This Row],[INVERSIONES FCI]]-BI308,Tabla5[[#This Row],[INVERSIONES FCI]])</f>
        <v>3811285733.2039948</v>
      </c>
      <c r="BJ309" s="5">
        <f>IF($B308&lt;=Tabla5[[#This Row],[INVERSIONES FCI]],+Tabla5[[#This Row],[INVERSIONES FCI]]-BJ308,Tabla5[[#This Row],[INVERSIONES FCI]])</f>
        <v>3811285733.2039948</v>
      </c>
      <c r="BK309" s="5">
        <f>IF($B308&lt;=Tabla5[[#This Row],[INVERSIONES FCI]],+Tabla5[[#This Row],[INVERSIONES FCI]]-BK308,Tabla5[[#This Row],[INVERSIONES FCI]])</f>
        <v>3811285733.2039948</v>
      </c>
      <c r="BL309" s="5">
        <f>IF($B308&lt;=Tabla5[[#This Row],[INVERSIONES FCI]],+Tabla5[[#This Row],[INVERSIONES FCI]]-BL308,Tabla5[[#This Row],[INVERSIONES FCI]])</f>
        <v>3811285733.2039948</v>
      </c>
      <c r="BM309" s="5">
        <f>IF($B308&lt;=Tabla5[[#This Row],[INVERSIONES FCI]],+Tabla5[[#This Row],[INVERSIONES FCI]]-BM308,Tabla5[[#This Row],[INVERSIONES FCI]])</f>
        <v>3811285733.2039948</v>
      </c>
      <c r="BN309" s="5">
        <f>IF($B308&lt;=Tabla5[[#This Row],[INVERSIONES FCI]],+Tabla5[[#This Row],[INVERSIONES FCI]]-BN308,Tabla5[[#This Row],[INVERSIONES FCI]])</f>
        <v>3811285733.2039948</v>
      </c>
      <c r="BO309" s="5">
        <f>IF($B308&lt;=Tabla5[[#This Row],[INVERSIONES FCI]],+Tabla5[[#This Row],[INVERSIONES FCI]]-BO308,Tabla5[[#This Row],[INVERSIONES FCI]])</f>
        <v>3811285733.2039948</v>
      </c>
      <c r="BP309" s="5">
        <f>IF($B308&lt;=Tabla5[[#This Row],[INVERSIONES FCI]],+Tabla5[[#This Row],[INVERSIONES FCI]]-BP308,Tabla5[[#This Row],[INVERSIONES FCI]])</f>
        <v>3811285733.2039948</v>
      </c>
      <c r="BQ309" s="5">
        <f>IF($B308&lt;=Tabla5[[#This Row],[INVERSIONES FCI]],+Tabla5[[#This Row],[INVERSIONES FCI]]-BQ308,Tabla5[[#This Row],[INVERSIONES FCI]])</f>
        <v>3811285733.2039948</v>
      </c>
      <c r="BR309" s="5">
        <f>IF($B308&lt;=Tabla5[[#This Row],[INVERSIONES FCI]],+Tabla5[[#This Row],[INVERSIONES FCI]]-BR308,Tabla5[[#This Row],[INVERSIONES FCI]])</f>
        <v>3811285733.2039948</v>
      </c>
      <c r="BS309" s="5">
        <f>IF($B308&lt;=Tabla5[[#This Row],[INVERSIONES FCI]],+Tabla5[[#This Row],[INVERSIONES FCI]]-BS308,Tabla5[[#This Row],[INVERSIONES FCI]])</f>
        <v>3811285733.2039948</v>
      </c>
      <c r="BT309" s="5">
        <f>IF($B308&lt;=Tabla5[[#This Row],[INVERSIONES FCI]],+Tabla5[[#This Row],[INVERSIONES FCI]]-BT308,Tabla5[[#This Row],[INVERSIONES FCI]])</f>
        <v>3811285733.2039948</v>
      </c>
      <c r="BU309" s="5">
        <f>IF($B308&lt;=Tabla5[[#This Row],[INVERSIONES FCI]],+Tabla5[[#This Row],[INVERSIONES FCI]]-BU308,Tabla5[[#This Row],[INVERSIONES FCI]])</f>
        <v>3811285733.2039948</v>
      </c>
      <c r="BV309" s="5">
        <f>IF($B308&lt;=Tabla5[[#This Row],[INVERSIONES FCI]],+Tabla5[[#This Row],[INVERSIONES FCI]]-BV308,Tabla5[[#This Row],[INVERSIONES FCI]])</f>
        <v>3811285733.2039948</v>
      </c>
      <c r="BW309" s="5">
        <f>IF($B308&lt;=Tabla5[[#This Row],[INVERSIONES FCI]],+Tabla5[[#This Row],[INVERSIONES FCI]]-BW308,Tabla5[[#This Row],[INVERSIONES FCI]])</f>
        <v>3811285733.2039948</v>
      </c>
      <c r="BX309" s="5">
        <f>IF($B308&lt;=Tabla5[[#This Row],[INVERSIONES FCI]],+Tabla5[[#This Row],[INVERSIONES FCI]]-BX308,Tabla5[[#This Row],[INVERSIONES FCI]])</f>
        <v>3811285733.2039948</v>
      </c>
      <c r="BY309" s="5">
        <f>IF($B308&lt;=Tabla5[[#This Row],[INVERSIONES FCI]],+Tabla5[[#This Row],[INVERSIONES FCI]]-BY308,Tabla5[[#This Row],[INVERSIONES FCI]])</f>
        <v>3811285733.2039948</v>
      </c>
      <c r="BZ309" s="5">
        <f>IF($B308&lt;=Tabla5[[#This Row],[INVERSIONES FCI]],+Tabla5[[#This Row],[INVERSIONES FCI]]-BZ308,Tabla5[[#This Row],[INVERSIONES FCI]])</f>
        <v>3811285733.2039948</v>
      </c>
      <c r="CA309" s="5">
        <f>IF($B308&lt;=Tabla5[[#This Row],[INVERSIONES FCI]],+Tabla5[[#This Row],[INVERSIONES FCI]]-CA308,Tabla5[[#This Row],[INVERSIONES FCI]])</f>
        <v>3811285733.2039948</v>
      </c>
      <c r="CB309" s="5">
        <f>IF($B308&lt;=Tabla5[[#This Row],[INVERSIONES FCI]],+Tabla5[[#This Row],[INVERSIONES FCI]]-CB308,Tabla5[[#This Row],[INVERSIONES FCI]])</f>
        <v>3811285733.2039948</v>
      </c>
      <c r="CC309" s="5">
        <f>IF($B308&lt;=Tabla5[[#This Row],[INVERSIONES FCI]],+Tabla5[[#This Row],[INVERSIONES FCI]]-CC308,Tabla5[[#This Row],[INVERSIONES FCI]])</f>
        <v>3811285733.2039948</v>
      </c>
      <c r="CD309" s="5">
        <f>IF($B308&lt;=Tabla5[[#This Row],[INVERSIONES FCI]],+Tabla5[[#This Row],[INVERSIONES FCI]]-CD308,Tabla5[[#This Row],[INVERSIONES FCI]])</f>
        <v>3811285733.2039948</v>
      </c>
      <c r="CE309" s="5">
        <f>IF($B308&lt;=Tabla5[[#This Row],[INVERSIONES FCI]],+Tabla5[[#This Row],[INVERSIONES FCI]]-CE308,Tabla5[[#This Row],[INVERSIONES FCI]])</f>
        <v>3811285733.2039948</v>
      </c>
      <c r="CF309" s="5">
        <f>IF($B308&lt;=Tabla5[[#This Row],[INVERSIONES FCI]],+Tabla5[[#This Row],[INVERSIONES FCI]]-CF308,Tabla5[[#This Row],[INVERSIONES FCI]])</f>
        <v>3811285733.2039948</v>
      </c>
      <c r="CG309" s="5">
        <f>IF($B308&lt;=Tabla5[[#This Row],[INVERSIONES FCI]],+Tabla5[[#This Row],[INVERSIONES FCI]]-CG308,Tabla5[[#This Row],[INVERSIONES FCI]])</f>
        <v>3811285733.2039948</v>
      </c>
      <c r="CH309" s="5">
        <f>IF($B308&lt;=Tabla5[[#This Row],[INVERSIONES FCI]],+Tabla5[[#This Row],[INVERSIONES FCI]]-CH308,Tabla5[[#This Row],[INVERSIONES FCI]])</f>
        <v>3811285733.2039948</v>
      </c>
      <c r="CI309" s="5">
        <f>IF($B308&lt;=Tabla5[[#This Row],[INVERSIONES FCI]],+Tabla5[[#This Row],[INVERSIONES FCI]]-CI308,Tabla5[[#This Row],[INVERSIONES FCI]])</f>
        <v>3811285733.2039948</v>
      </c>
      <c r="CJ309" s="5">
        <f>IF($B308&lt;=Tabla5[[#This Row],[INVERSIONES FCI]],+Tabla5[[#This Row],[INVERSIONES FCI]]-CJ308,Tabla5[[#This Row],[INVERSIONES FCI]])</f>
        <v>3811285733.2039948</v>
      </c>
      <c r="CK309" s="5">
        <f>IF($B308&lt;=Tabla5[[#This Row],[INVERSIONES FCI]],+Tabla5[[#This Row],[INVERSIONES FCI]]-CK308,Tabla5[[#This Row],[INVERSIONES FCI]])</f>
        <v>3811285733.2039948</v>
      </c>
      <c r="CL309" s="5">
        <f>IF($B308&lt;=Tabla5[[#This Row],[INVERSIONES FCI]],+Tabla5[[#This Row],[INVERSIONES FCI]]-CL308,Tabla5[[#This Row],[INVERSIONES FCI]])</f>
        <v>3811285733.2039948</v>
      </c>
      <c r="CM309" s="5">
        <f>IF($B308&lt;=Tabla5[[#This Row],[INVERSIONES FCI]],+Tabla5[[#This Row],[INVERSIONES FCI]]-CM308,Tabla5[[#This Row],[INVERSIONES FCI]])</f>
        <v>3811285733.2039948</v>
      </c>
      <c r="CN309" s="5">
        <f>IF($B308&lt;=Tabla5[[#This Row],[INVERSIONES FCI]],+Tabla5[[#This Row],[INVERSIONES FCI]]-CN308,Tabla5[[#This Row],[INVERSIONES FCI]])</f>
        <v>3811285733.2039948</v>
      </c>
      <c r="CO309" s="5">
        <f>IF($B308&lt;=Tabla5[[#This Row],[INVERSIONES FCI]],+Tabla5[[#This Row],[INVERSIONES FCI]]-CO308,Tabla5[[#This Row],[INVERSIONES FCI]])</f>
        <v>3811285733.2039948</v>
      </c>
      <c r="CP309" s="5">
        <f>IF($B308&lt;=Tabla5[[#This Row],[INVERSIONES FCI]],+Tabla5[[#This Row],[INVERSIONES FCI]]-CP308,Tabla5[[#This Row],[INVERSIONES FCI]])</f>
        <v>3811285733.2039948</v>
      </c>
      <c r="CQ309" s="5">
        <f>IF($B308&lt;=Tabla5[[#This Row],[INVERSIONES FCI]],+Tabla5[[#This Row],[INVERSIONES FCI]]-CQ308,Tabla5[[#This Row],[INVERSIONES FCI]])</f>
        <v>3811285733.2039948</v>
      </c>
      <c r="CR309" s="5">
        <f>IF($B308&lt;=Tabla5[[#This Row],[INVERSIONES FCI]],+Tabla5[[#This Row],[INVERSIONES FCI]]-CR308,Tabla5[[#This Row],[INVERSIONES FCI]])</f>
        <v>3811285733.2039948</v>
      </c>
      <c r="CS309" s="5">
        <f>IF($B308&lt;=Tabla5[[#This Row],[INVERSIONES FCI]],+Tabla5[[#This Row],[INVERSIONES FCI]]-CS308,Tabla5[[#This Row],[INVERSIONES FCI]])</f>
        <v>3811285733.2039948</v>
      </c>
      <c r="CT309" s="5">
        <f>IF($B308&lt;=Tabla5[[#This Row],[INVERSIONES FCI]],+Tabla5[[#This Row],[INVERSIONES FCI]]-CT308,Tabla5[[#This Row],[INVERSIONES FCI]])</f>
        <v>3811285733.2039948</v>
      </c>
      <c r="CU309" s="5">
        <f>IF($B308&lt;=Tabla5[[#This Row],[INVERSIONES FCI]],+Tabla5[[#This Row],[INVERSIONES FCI]]-CU308,Tabla5[[#This Row],[INVERSIONES FCI]])</f>
        <v>3811285733.2039948</v>
      </c>
      <c r="CV309" s="5">
        <f>IF($B308&lt;=Tabla5[[#This Row],[INVERSIONES FCI]],+Tabla5[[#This Row],[INVERSIONES FCI]]-CV308,Tabla5[[#This Row],[INVERSIONES FCI]])</f>
        <v>3811285733.2039948</v>
      </c>
      <c r="CW309" s="5">
        <f>IF($B308&lt;=Tabla5[[#This Row],[INVERSIONES FCI]],+Tabla5[[#This Row],[INVERSIONES FCI]]-CW308,Tabla5[[#This Row],[INVERSIONES FCI]])</f>
        <v>3811285733.2039948</v>
      </c>
      <c r="CX309" s="5">
        <f>IF($B308&lt;=Tabla5[[#This Row],[INVERSIONES FCI]],+Tabla5[[#This Row],[INVERSIONES FCI]]-CX308,Tabla5[[#This Row],[INVERSIONES FCI]])</f>
        <v>3811285733.2039948</v>
      </c>
      <c r="CY309" s="5">
        <f>IF($B308&lt;=Tabla5[[#This Row],[INVERSIONES FCI]],+Tabla5[[#This Row],[INVERSIONES FCI]]-CY308,Tabla5[[#This Row],[INVERSIONES FCI]])</f>
        <v>3811285733.2039948</v>
      </c>
      <c r="CZ309" s="5">
        <f>IF($B308&lt;=Tabla5[[#This Row],[INVERSIONES FCI]],+Tabla5[[#This Row],[INVERSIONES FCI]]-CZ308,Tabla5[[#This Row],[INVERSIONES FCI]])</f>
        <v>3811285733.2039948</v>
      </c>
      <c r="DA309" s="5">
        <f>IF($B308&lt;=Tabla5[[#This Row],[INVERSIONES FCI]],+Tabla5[[#This Row],[INVERSIONES FCI]]-DA308,Tabla5[[#This Row],[INVERSIONES FCI]])</f>
        <v>3811285733.2039948</v>
      </c>
      <c r="DB309" s="5">
        <f>IF($B308&lt;=Tabla5[[#This Row],[INVERSIONES FCI]],+Tabla5[[#This Row],[INVERSIONES FCI]]-DB308,Tabla5[[#This Row],[INVERSIONES FCI]])</f>
        <v>3811285733.2039948</v>
      </c>
      <c r="DC309" s="5">
        <f>IF($B308&lt;=Tabla5[[#This Row],[INVERSIONES FCI]],+Tabla5[[#This Row],[INVERSIONES FCI]]-DC308,Tabla5[[#This Row],[INVERSIONES FCI]])</f>
        <v>3811285733.2039948</v>
      </c>
      <c r="DD309" s="5">
        <f>IF($B308&lt;=Tabla5[[#This Row],[INVERSIONES FCI]],+Tabla5[[#This Row],[INVERSIONES FCI]]-DD308,Tabla5[[#This Row],[INVERSIONES FCI]])</f>
        <v>3811285733.2039948</v>
      </c>
      <c r="DE309" s="5">
        <f>IF($B308&lt;=Tabla5[[#This Row],[INVERSIONES FCI]],+Tabla5[[#This Row],[INVERSIONES FCI]]-DE308,Tabla5[[#This Row],[INVERSIONES FCI]])</f>
        <v>3811285733.2039948</v>
      </c>
      <c r="DF309" s="5">
        <f>IF($B308&lt;=Tabla5[[#This Row],[INVERSIONES FCI]],+Tabla5[[#This Row],[INVERSIONES FCI]]-DF308,Tabla5[[#This Row],[INVERSIONES FCI]])</f>
        <v>3811285733.2039948</v>
      </c>
      <c r="DG309" s="5">
        <f>IF($B308&lt;=Tabla5[[#This Row],[INVERSIONES FCI]],+Tabla5[[#This Row],[INVERSIONES FCI]]-DG308,Tabla5[[#This Row],[INVERSIONES FCI]])</f>
        <v>3811285733.2039948</v>
      </c>
      <c r="DH309" s="5">
        <f>IF($B308&lt;=Tabla5[[#This Row],[INVERSIONES FCI]],+Tabla5[[#This Row],[INVERSIONES FCI]]-DH308,Tabla5[[#This Row],[INVERSIONES FCI]])</f>
        <v>3811285733.2039948</v>
      </c>
      <c r="DI309" s="5">
        <f>IF($B308&lt;=Tabla5[[#This Row],[INVERSIONES FCI]],+Tabla5[[#This Row],[INVERSIONES FCI]]-DI308,Tabla5[[#This Row],[INVERSIONES FCI]])</f>
        <v>3811285733.2039948</v>
      </c>
      <c r="DJ309" s="5">
        <f>IF($B308&lt;=Tabla5[[#This Row],[INVERSIONES FCI]],+Tabla5[[#This Row],[INVERSIONES FCI]]-DJ308,Tabla5[[#This Row],[INVERSIONES FCI]])</f>
        <v>3811285733.2039948</v>
      </c>
      <c r="DK309" s="5">
        <f>IF($B308&lt;=Tabla5[[#This Row],[INVERSIONES FCI]],+Tabla5[[#This Row],[INVERSIONES FCI]]-DK308,Tabla5[[#This Row],[INVERSIONES FCI]])</f>
        <v>3811285733.2039948</v>
      </c>
      <c r="DL309" s="5"/>
      <c r="DM309" s="5"/>
      <c r="DN309" s="5"/>
      <c r="DO309" s="5"/>
      <c r="DP309" s="5"/>
      <c r="DQ309" s="5"/>
    </row>
    <row r="310" spans="1:121" ht="14.4">
      <c r="A310" s="12" t="s">
        <v>309</v>
      </c>
      <c r="B310" s="5">
        <f>HLOOKUP($A310,ESCENARIO[#All],7,FALSE)</f>
        <v>67504273581.407654</v>
      </c>
      <c r="C310" s="5">
        <f>IF($B309&lt;=Tabla5[[#This Row],[INVERSIONES FCI]],+Tabla5[[#This Row],[INVERSIONES FCI]]-C309,Tabla5[[#This Row],[INVERSIONES FCI]])</f>
        <v>63692987848.203659</v>
      </c>
      <c r="D310" s="5">
        <f>IF($B309&lt;=Tabla5[[#This Row],[INVERSIONES FCI]],+Tabla5[[#This Row],[INVERSIONES FCI]]-D309,Tabla5[[#This Row],[INVERSIONES FCI]])</f>
        <v>63692987848.203659</v>
      </c>
      <c r="E310" s="5">
        <f>IF($B309&lt;=Tabla5[[#This Row],[INVERSIONES FCI]],+Tabla5[[#This Row],[INVERSIONES FCI]]-E309,Tabla5[[#This Row],[INVERSIONES FCI]])</f>
        <v>63692987848.203659</v>
      </c>
      <c r="F310" s="5">
        <f>IF($B309&lt;=Tabla5[[#This Row],[INVERSIONES FCI]],+Tabla5[[#This Row],[INVERSIONES FCI]]-F309,Tabla5[[#This Row],[INVERSIONES FCI]])</f>
        <v>63692987848.203659</v>
      </c>
      <c r="G310" s="5">
        <f>IF($B309&lt;=Tabla5[[#This Row],[INVERSIONES FCI]],+Tabla5[[#This Row],[INVERSIONES FCI]]-G309,Tabla5[[#This Row],[INVERSIONES FCI]])</f>
        <v>63692987848.203659</v>
      </c>
      <c r="H310" s="5">
        <f>IF($B309&lt;=Tabla5[[#This Row],[INVERSIONES FCI]],+Tabla5[[#This Row],[INVERSIONES FCI]]-H309,Tabla5[[#This Row],[INVERSIONES FCI]])</f>
        <v>63692987848.203659</v>
      </c>
      <c r="I310" s="5">
        <f>IF($B309&lt;=Tabla5[[#This Row],[INVERSIONES FCI]],+Tabla5[[#This Row],[INVERSIONES FCI]]-I309,Tabla5[[#This Row],[INVERSIONES FCI]])</f>
        <v>63692987848.203659</v>
      </c>
      <c r="J310" s="5">
        <f>IF($B309&lt;=Tabla5[[#This Row],[INVERSIONES FCI]],+Tabla5[[#This Row],[INVERSIONES FCI]]-J309,Tabla5[[#This Row],[INVERSIONES FCI]])</f>
        <v>63692987848.203659</v>
      </c>
      <c r="K310" s="5">
        <f>IF($B309&lt;=Tabla5[[#This Row],[INVERSIONES FCI]],+Tabla5[[#This Row],[INVERSIONES FCI]]-K309,Tabla5[[#This Row],[INVERSIONES FCI]])</f>
        <v>63692987848.203659</v>
      </c>
      <c r="L310" s="5">
        <f>IF($B309&lt;=Tabla5[[#This Row],[INVERSIONES FCI]],+Tabla5[[#This Row],[INVERSIONES FCI]]-L309,Tabla5[[#This Row],[INVERSIONES FCI]])</f>
        <v>63692987848.203659</v>
      </c>
      <c r="M310" s="5">
        <f>IF($B309&lt;=Tabla5[[#This Row],[INVERSIONES FCI]],+Tabla5[[#This Row],[INVERSIONES FCI]]-M309,Tabla5[[#This Row],[INVERSIONES FCI]])</f>
        <v>63692987848.203659</v>
      </c>
      <c r="N310" s="5">
        <f>IF($B309&lt;=Tabla5[[#This Row],[INVERSIONES FCI]],+Tabla5[[#This Row],[INVERSIONES FCI]]-N309,Tabla5[[#This Row],[INVERSIONES FCI]])</f>
        <v>63692987848.203659</v>
      </c>
      <c r="O310" s="5">
        <f>IF($B309&lt;=Tabla5[[#This Row],[INVERSIONES FCI]],+Tabla5[[#This Row],[INVERSIONES FCI]]-O309,Tabla5[[#This Row],[INVERSIONES FCI]])</f>
        <v>63692987848.203659</v>
      </c>
      <c r="P310" s="5">
        <f>IF($B309&lt;=Tabla5[[#This Row],[INVERSIONES FCI]],+Tabla5[[#This Row],[INVERSIONES FCI]]-P309,Tabla5[[#This Row],[INVERSIONES FCI]])</f>
        <v>63692987848.203659</v>
      </c>
      <c r="Q310" s="5">
        <f>IF($B309&lt;=Tabla5[[#This Row],[INVERSIONES FCI]],+Tabla5[[#This Row],[INVERSIONES FCI]]-Q309,Tabla5[[#This Row],[INVERSIONES FCI]])</f>
        <v>63692987848.203659</v>
      </c>
      <c r="R310" s="5">
        <f>IF($B309&lt;=Tabla5[[#This Row],[INVERSIONES FCI]],+Tabla5[[#This Row],[INVERSIONES FCI]]-R309,Tabla5[[#This Row],[INVERSIONES FCI]])</f>
        <v>63692987848.203659</v>
      </c>
      <c r="S310" s="5">
        <f>IF($B309&lt;=Tabla5[[#This Row],[INVERSIONES FCI]],+Tabla5[[#This Row],[INVERSIONES FCI]]-S309,Tabla5[[#This Row],[INVERSIONES FCI]])</f>
        <v>63692987848.203659</v>
      </c>
      <c r="T310" s="5">
        <f>IF($B309&lt;=Tabla5[[#This Row],[INVERSIONES FCI]],+Tabla5[[#This Row],[INVERSIONES FCI]]-T309,Tabla5[[#This Row],[INVERSIONES FCI]])</f>
        <v>63692987848.203659</v>
      </c>
      <c r="U310" s="5">
        <f>IF($B309&lt;=Tabla5[[#This Row],[INVERSIONES FCI]],+Tabla5[[#This Row],[INVERSIONES FCI]]-U309,Tabla5[[#This Row],[INVERSIONES FCI]])</f>
        <v>63692987848.203659</v>
      </c>
      <c r="V310" s="5">
        <f>IF($B309&lt;=Tabla5[[#This Row],[INVERSIONES FCI]],+Tabla5[[#This Row],[INVERSIONES FCI]]-V309,Tabla5[[#This Row],[INVERSIONES FCI]])</f>
        <v>63692987848.203659</v>
      </c>
      <c r="W310" s="5">
        <f>IF($B309&lt;=Tabla5[[#This Row],[INVERSIONES FCI]],+Tabla5[[#This Row],[INVERSIONES FCI]]-W309,Tabla5[[#This Row],[INVERSIONES FCI]])</f>
        <v>63692987848.203659</v>
      </c>
      <c r="X310" s="5">
        <f>IF($B309&lt;=Tabla5[[#This Row],[INVERSIONES FCI]],+Tabla5[[#This Row],[INVERSIONES FCI]]-X309,Tabla5[[#This Row],[INVERSIONES FCI]])</f>
        <v>63692987848.203659</v>
      </c>
      <c r="Y310" s="5">
        <f>IF($B309&lt;=Tabla5[[#This Row],[INVERSIONES FCI]],+Tabla5[[#This Row],[INVERSIONES FCI]]-Y309,Tabla5[[#This Row],[INVERSIONES FCI]])</f>
        <v>63692987848.203659</v>
      </c>
      <c r="Z310" s="5">
        <f>IF($B309&lt;=Tabla5[[#This Row],[INVERSIONES FCI]],+Tabla5[[#This Row],[INVERSIONES FCI]]-Z309,Tabla5[[#This Row],[INVERSIONES FCI]])</f>
        <v>63692987848.203659</v>
      </c>
      <c r="AA310" s="5">
        <f>IF($B309&lt;=Tabla5[[#This Row],[INVERSIONES FCI]],+Tabla5[[#This Row],[INVERSIONES FCI]]-AA309,Tabla5[[#This Row],[INVERSIONES FCI]])</f>
        <v>63692987848.203659</v>
      </c>
      <c r="AB310" s="5">
        <f>IF($B309&lt;=Tabla5[[#This Row],[INVERSIONES FCI]],+Tabla5[[#This Row],[INVERSIONES FCI]]-AB309,Tabla5[[#This Row],[INVERSIONES FCI]])</f>
        <v>63692987848.203659</v>
      </c>
      <c r="AC310" s="5">
        <f>IF($B309&lt;=Tabla5[[#This Row],[INVERSIONES FCI]],+Tabla5[[#This Row],[INVERSIONES FCI]]-AC309,Tabla5[[#This Row],[INVERSIONES FCI]])</f>
        <v>63692987848.203659</v>
      </c>
      <c r="AD310" s="5">
        <f>IF($B309&lt;=Tabla5[[#This Row],[INVERSIONES FCI]],+Tabla5[[#This Row],[INVERSIONES FCI]]-AD309,Tabla5[[#This Row],[INVERSIONES FCI]])</f>
        <v>63692987848.203659</v>
      </c>
      <c r="AE310" s="5">
        <f>IF($B309&lt;=Tabla5[[#This Row],[INVERSIONES FCI]],+Tabla5[[#This Row],[INVERSIONES FCI]]-AE309,Tabla5[[#This Row],[INVERSIONES FCI]])</f>
        <v>63692987848.203659</v>
      </c>
      <c r="AF310" s="5">
        <f>IF($B309&lt;=Tabla5[[#This Row],[INVERSIONES FCI]],+Tabla5[[#This Row],[INVERSIONES FCI]]-AF309,Tabla5[[#This Row],[INVERSIONES FCI]])</f>
        <v>63692987848.203659</v>
      </c>
      <c r="AG310" s="5">
        <f>IF($B309&lt;=Tabla5[[#This Row],[INVERSIONES FCI]],+Tabla5[[#This Row],[INVERSIONES FCI]]-AG309,Tabla5[[#This Row],[INVERSIONES FCI]])</f>
        <v>63692987848.203659</v>
      </c>
      <c r="AH310" s="5">
        <f>IF($B309&lt;=Tabla5[[#This Row],[INVERSIONES FCI]],+Tabla5[[#This Row],[INVERSIONES FCI]]-AH309,Tabla5[[#This Row],[INVERSIONES FCI]])</f>
        <v>63692987848.203659</v>
      </c>
      <c r="AI310" s="5">
        <f>IF($B309&lt;=Tabla5[[#This Row],[INVERSIONES FCI]],+Tabla5[[#This Row],[INVERSIONES FCI]]-AI309,Tabla5[[#This Row],[INVERSIONES FCI]])</f>
        <v>63692987848.203659</v>
      </c>
      <c r="AJ310" s="5">
        <f>IF($B309&lt;=Tabla5[[#This Row],[INVERSIONES FCI]],+Tabla5[[#This Row],[INVERSIONES FCI]]-AJ309,Tabla5[[#This Row],[INVERSIONES FCI]])</f>
        <v>63692987848.203659</v>
      </c>
      <c r="AK310" s="5">
        <f>IF($B309&lt;=Tabla5[[#This Row],[INVERSIONES FCI]],+Tabla5[[#This Row],[INVERSIONES FCI]]-AK309,Tabla5[[#This Row],[INVERSIONES FCI]])</f>
        <v>63692987848.203659</v>
      </c>
      <c r="AL310" s="5">
        <f>IF($B309&lt;=Tabla5[[#This Row],[INVERSIONES FCI]],+Tabla5[[#This Row],[INVERSIONES FCI]]-AL309,Tabla5[[#This Row],[INVERSIONES FCI]])</f>
        <v>63692987848.203659</v>
      </c>
      <c r="AM310" s="5">
        <f>IF($B309&lt;=Tabla5[[#This Row],[INVERSIONES FCI]],+Tabla5[[#This Row],[INVERSIONES FCI]]-AM309,Tabla5[[#This Row],[INVERSIONES FCI]])</f>
        <v>63692987848.203659</v>
      </c>
      <c r="AN310" s="5">
        <f>IF($B309&lt;=Tabla5[[#This Row],[INVERSIONES FCI]],+Tabla5[[#This Row],[INVERSIONES FCI]]-AN309,Tabla5[[#This Row],[INVERSIONES FCI]])</f>
        <v>63692987848.203659</v>
      </c>
      <c r="AO310" s="5">
        <f>IF($B309&lt;=Tabla5[[#This Row],[INVERSIONES FCI]],+Tabla5[[#This Row],[INVERSIONES FCI]]-AO309,Tabla5[[#This Row],[INVERSIONES FCI]])</f>
        <v>63692987848.203659</v>
      </c>
      <c r="AP310" s="5">
        <f>IF($B309&lt;=Tabla5[[#This Row],[INVERSIONES FCI]],+Tabla5[[#This Row],[INVERSIONES FCI]]-AP309,Tabla5[[#This Row],[INVERSIONES FCI]])</f>
        <v>63692987848.203659</v>
      </c>
      <c r="AQ310" s="5">
        <f>IF($B309&lt;=Tabla5[[#This Row],[INVERSIONES FCI]],+Tabla5[[#This Row],[INVERSIONES FCI]]-AQ309,Tabla5[[#This Row],[INVERSIONES FCI]])</f>
        <v>63692987848.203659</v>
      </c>
      <c r="AR310" s="5">
        <f>IF($B309&lt;=Tabla5[[#This Row],[INVERSIONES FCI]],+Tabla5[[#This Row],[INVERSIONES FCI]]-AR309,Tabla5[[#This Row],[INVERSIONES FCI]])</f>
        <v>63692987848.203659</v>
      </c>
      <c r="AS310" s="5">
        <f>IF($B309&lt;=Tabla5[[#This Row],[INVERSIONES FCI]],+Tabla5[[#This Row],[INVERSIONES FCI]]-AS309,Tabla5[[#This Row],[INVERSIONES FCI]])</f>
        <v>63692987848.203659</v>
      </c>
      <c r="AT310" s="5">
        <f>IF($B309&lt;=Tabla5[[#This Row],[INVERSIONES FCI]],+Tabla5[[#This Row],[INVERSIONES FCI]]-AT309,Tabla5[[#This Row],[INVERSIONES FCI]])</f>
        <v>63692987848.203659</v>
      </c>
      <c r="AU310" s="5">
        <f>IF($B309&lt;=Tabla5[[#This Row],[INVERSIONES FCI]],+Tabla5[[#This Row],[INVERSIONES FCI]]-AU309,Tabla5[[#This Row],[INVERSIONES FCI]])</f>
        <v>63692987848.203659</v>
      </c>
      <c r="AV310" s="5">
        <f>IF($B309&lt;=Tabla5[[#This Row],[INVERSIONES FCI]],+Tabla5[[#This Row],[INVERSIONES FCI]]-AV309,Tabla5[[#This Row],[INVERSIONES FCI]])</f>
        <v>63692987848.203659</v>
      </c>
      <c r="AW310" s="5">
        <f>IF($B309&lt;=Tabla5[[#This Row],[INVERSIONES FCI]],+Tabla5[[#This Row],[INVERSIONES FCI]]-AW309,Tabla5[[#This Row],[INVERSIONES FCI]])</f>
        <v>63692987848.203659</v>
      </c>
      <c r="AX310" s="5">
        <f>IF($B309&lt;=Tabla5[[#This Row],[INVERSIONES FCI]],+Tabla5[[#This Row],[INVERSIONES FCI]]-AX309,Tabla5[[#This Row],[INVERSIONES FCI]])</f>
        <v>63692987848.203659</v>
      </c>
      <c r="AY310" s="5">
        <f>IF($B309&lt;=Tabla5[[#This Row],[INVERSIONES FCI]],+Tabla5[[#This Row],[INVERSIONES FCI]]-AY309,Tabla5[[#This Row],[INVERSIONES FCI]])</f>
        <v>63692987848.203659</v>
      </c>
      <c r="AZ310" s="5">
        <f>IF($B309&lt;=Tabla5[[#This Row],[INVERSIONES FCI]],+Tabla5[[#This Row],[INVERSIONES FCI]]-AZ309,Tabla5[[#This Row],[INVERSIONES FCI]])</f>
        <v>63692987848.203659</v>
      </c>
      <c r="BA310" s="5">
        <f>IF($B309&lt;=Tabla5[[#This Row],[INVERSIONES FCI]],+Tabla5[[#This Row],[INVERSIONES FCI]]-BA309,Tabla5[[#This Row],[INVERSIONES FCI]])</f>
        <v>63692987848.203659</v>
      </c>
      <c r="BB310" s="5">
        <f>IF($B309&lt;=Tabla5[[#This Row],[INVERSIONES FCI]],+Tabla5[[#This Row],[INVERSIONES FCI]]-BB309,Tabla5[[#This Row],[INVERSIONES FCI]])</f>
        <v>63692987848.203659</v>
      </c>
      <c r="BC310" s="5">
        <f>IF($B309&lt;=Tabla5[[#This Row],[INVERSIONES FCI]],+Tabla5[[#This Row],[INVERSIONES FCI]]-BC309,Tabla5[[#This Row],[INVERSIONES FCI]])</f>
        <v>63692987848.203659</v>
      </c>
      <c r="BD310" s="5">
        <f>IF($B309&lt;=Tabla5[[#This Row],[INVERSIONES FCI]],+Tabla5[[#This Row],[INVERSIONES FCI]]-BD309,Tabla5[[#This Row],[INVERSIONES FCI]])</f>
        <v>63692987848.203659</v>
      </c>
      <c r="BE310" s="5">
        <f>IF($B309&lt;=Tabla5[[#This Row],[INVERSIONES FCI]],+Tabla5[[#This Row],[INVERSIONES FCI]]-BE309,Tabla5[[#This Row],[INVERSIONES FCI]])</f>
        <v>63692987848.203659</v>
      </c>
      <c r="BF310" s="5">
        <f>IF($B309&lt;=Tabla5[[#This Row],[INVERSIONES FCI]],+Tabla5[[#This Row],[INVERSIONES FCI]]-BF309,Tabla5[[#This Row],[INVERSIONES FCI]])</f>
        <v>63692987848.203659</v>
      </c>
      <c r="BG310" s="5">
        <f>IF($B309&lt;=Tabla5[[#This Row],[INVERSIONES FCI]],+Tabla5[[#This Row],[INVERSIONES FCI]]-BG309,Tabla5[[#This Row],[INVERSIONES FCI]])</f>
        <v>63692987848.203659</v>
      </c>
      <c r="BH310" s="5">
        <f>IF($B309&lt;=Tabla5[[#This Row],[INVERSIONES FCI]],+Tabla5[[#This Row],[INVERSIONES FCI]]-BH309,Tabla5[[#This Row],[INVERSIONES FCI]])</f>
        <v>63692987848.203659</v>
      </c>
      <c r="BI310" s="5">
        <f>IF($B309&lt;=Tabla5[[#This Row],[INVERSIONES FCI]],+Tabla5[[#This Row],[INVERSIONES FCI]]-BI309,Tabla5[[#This Row],[INVERSIONES FCI]])</f>
        <v>63692987848.203659</v>
      </c>
      <c r="BJ310" s="5">
        <f>IF($B309&lt;=Tabla5[[#This Row],[INVERSIONES FCI]],+Tabla5[[#This Row],[INVERSIONES FCI]]-BJ309,Tabla5[[#This Row],[INVERSIONES FCI]])</f>
        <v>63692987848.203659</v>
      </c>
      <c r="BK310" s="5">
        <f>IF($B309&lt;=Tabla5[[#This Row],[INVERSIONES FCI]],+Tabla5[[#This Row],[INVERSIONES FCI]]-BK309,Tabla5[[#This Row],[INVERSIONES FCI]])</f>
        <v>63692987848.203659</v>
      </c>
      <c r="BL310" s="5">
        <f>IF($B309&lt;=Tabla5[[#This Row],[INVERSIONES FCI]],+Tabla5[[#This Row],[INVERSIONES FCI]]-BL309,Tabla5[[#This Row],[INVERSIONES FCI]])</f>
        <v>63692987848.203659</v>
      </c>
      <c r="BM310" s="5">
        <f>IF($B309&lt;=Tabla5[[#This Row],[INVERSIONES FCI]],+Tabla5[[#This Row],[INVERSIONES FCI]]-BM309,Tabla5[[#This Row],[INVERSIONES FCI]])</f>
        <v>63692987848.203659</v>
      </c>
      <c r="BN310" s="5">
        <f>IF($B309&lt;=Tabla5[[#This Row],[INVERSIONES FCI]],+Tabla5[[#This Row],[INVERSIONES FCI]]-BN309,Tabla5[[#This Row],[INVERSIONES FCI]])</f>
        <v>63692987848.203659</v>
      </c>
      <c r="BO310" s="5">
        <f>IF($B309&lt;=Tabla5[[#This Row],[INVERSIONES FCI]],+Tabla5[[#This Row],[INVERSIONES FCI]]-BO309,Tabla5[[#This Row],[INVERSIONES FCI]])</f>
        <v>63692987848.203659</v>
      </c>
      <c r="BP310" s="5">
        <f>IF($B309&lt;=Tabla5[[#This Row],[INVERSIONES FCI]],+Tabla5[[#This Row],[INVERSIONES FCI]]-BP309,Tabla5[[#This Row],[INVERSIONES FCI]])</f>
        <v>63692987848.203659</v>
      </c>
      <c r="BQ310" s="5">
        <f>IF($B309&lt;=Tabla5[[#This Row],[INVERSIONES FCI]],+Tabla5[[#This Row],[INVERSIONES FCI]]-BQ309,Tabla5[[#This Row],[INVERSIONES FCI]])</f>
        <v>63692987848.203659</v>
      </c>
      <c r="BR310" s="5">
        <f>IF($B309&lt;=Tabla5[[#This Row],[INVERSIONES FCI]],+Tabla5[[#This Row],[INVERSIONES FCI]]-BR309,Tabla5[[#This Row],[INVERSIONES FCI]])</f>
        <v>63692987848.203659</v>
      </c>
      <c r="BS310" s="5">
        <f>IF($B309&lt;=Tabla5[[#This Row],[INVERSIONES FCI]],+Tabla5[[#This Row],[INVERSIONES FCI]]-BS309,Tabla5[[#This Row],[INVERSIONES FCI]])</f>
        <v>63692987848.203659</v>
      </c>
      <c r="BT310" s="5">
        <f>IF($B309&lt;=Tabla5[[#This Row],[INVERSIONES FCI]],+Tabla5[[#This Row],[INVERSIONES FCI]]-BT309,Tabla5[[#This Row],[INVERSIONES FCI]])</f>
        <v>63692987848.203659</v>
      </c>
      <c r="BU310" s="5">
        <f>IF($B309&lt;=Tabla5[[#This Row],[INVERSIONES FCI]],+Tabla5[[#This Row],[INVERSIONES FCI]]-BU309,Tabla5[[#This Row],[INVERSIONES FCI]])</f>
        <v>63692987848.203659</v>
      </c>
      <c r="BV310" s="5">
        <f>IF($B309&lt;=Tabla5[[#This Row],[INVERSIONES FCI]],+Tabla5[[#This Row],[INVERSIONES FCI]]-BV309,Tabla5[[#This Row],[INVERSIONES FCI]])</f>
        <v>63692987848.203659</v>
      </c>
      <c r="BW310" s="5">
        <f>IF($B309&lt;=Tabla5[[#This Row],[INVERSIONES FCI]],+Tabla5[[#This Row],[INVERSIONES FCI]]-BW309,Tabla5[[#This Row],[INVERSIONES FCI]])</f>
        <v>63692987848.203659</v>
      </c>
      <c r="BX310" s="5">
        <f>IF($B309&lt;=Tabla5[[#This Row],[INVERSIONES FCI]],+Tabla5[[#This Row],[INVERSIONES FCI]]-BX309,Tabla5[[#This Row],[INVERSIONES FCI]])</f>
        <v>63692987848.203659</v>
      </c>
      <c r="BY310" s="5">
        <f>IF($B309&lt;=Tabla5[[#This Row],[INVERSIONES FCI]],+Tabla5[[#This Row],[INVERSIONES FCI]]-BY309,Tabla5[[#This Row],[INVERSIONES FCI]])</f>
        <v>63692987848.203659</v>
      </c>
      <c r="BZ310" s="5">
        <f>IF($B309&lt;=Tabla5[[#This Row],[INVERSIONES FCI]],+Tabla5[[#This Row],[INVERSIONES FCI]]-BZ309,Tabla5[[#This Row],[INVERSIONES FCI]])</f>
        <v>63692987848.203659</v>
      </c>
      <c r="CA310" s="5">
        <f>IF($B309&lt;=Tabla5[[#This Row],[INVERSIONES FCI]],+Tabla5[[#This Row],[INVERSIONES FCI]]-CA309,Tabla5[[#This Row],[INVERSIONES FCI]])</f>
        <v>63692987848.203659</v>
      </c>
      <c r="CB310" s="5">
        <f>IF($B309&lt;=Tabla5[[#This Row],[INVERSIONES FCI]],+Tabla5[[#This Row],[INVERSIONES FCI]]-CB309,Tabla5[[#This Row],[INVERSIONES FCI]])</f>
        <v>63692987848.203659</v>
      </c>
      <c r="CC310" s="5">
        <f>IF($B309&lt;=Tabla5[[#This Row],[INVERSIONES FCI]],+Tabla5[[#This Row],[INVERSIONES FCI]]-CC309,Tabla5[[#This Row],[INVERSIONES FCI]])</f>
        <v>63692987848.203659</v>
      </c>
      <c r="CD310" s="5">
        <f>IF($B309&lt;=Tabla5[[#This Row],[INVERSIONES FCI]],+Tabla5[[#This Row],[INVERSIONES FCI]]-CD309,Tabla5[[#This Row],[INVERSIONES FCI]])</f>
        <v>63692987848.203659</v>
      </c>
      <c r="CE310" s="5">
        <f>IF($B309&lt;=Tabla5[[#This Row],[INVERSIONES FCI]],+Tabla5[[#This Row],[INVERSIONES FCI]]-CE309,Tabla5[[#This Row],[INVERSIONES FCI]])</f>
        <v>63692987848.203659</v>
      </c>
      <c r="CF310" s="5">
        <f>IF($B309&lt;=Tabla5[[#This Row],[INVERSIONES FCI]],+Tabla5[[#This Row],[INVERSIONES FCI]]-CF309,Tabla5[[#This Row],[INVERSIONES FCI]])</f>
        <v>63692987848.203659</v>
      </c>
      <c r="CG310" s="5">
        <f>IF($B309&lt;=Tabla5[[#This Row],[INVERSIONES FCI]],+Tabla5[[#This Row],[INVERSIONES FCI]]-CG309,Tabla5[[#This Row],[INVERSIONES FCI]])</f>
        <v>63692987848.203659</v>
      </c>
      <c r="CH310" s="5">
        <f>IF($B309&lt;=Tabla5[[#This Row],[INVERSIONES FCI]],+Tabla5[[#This Row],[INVERSIONES FCI]]-CH309,Tabla5[[#This Row],[INVERSIONES FCI]])</f>
        <v>63692987848.203659</v>
      </c>
      <c r="CI310" s="5">
        <f>IF($B309&lt;=Tabla5[[#This Row],[INVERSIONES FCI]],+Tabla5[[#This Row],[INVERSIONES FCI]]-CI309,Tabla5[[#This Row],[INVERSIONES FCI]])</f>
        <v>63692987848.203659</v>
      </c>
      <c r="CJ310" s="5">
        <f>IF($B309&lt;=Tabla5[[#This Row],[INVERSIONES FCI]],+Tabla5[[#This Row],[INVERSIONES FCI]]-CJ309,Tabla5[[#This Row],[INVERSIONES FCI]])</f>
        <v>63692987848.203659</v>
      </c>
      <c r="CK310" s="5">
        <f>IF($B309&lt;=Tabla5[[#This Row],[INVERSIONES FCI]],+Tabla5[[#This Row],[INVERSIONES FCI]]-CK309,Tabla5[[#This Row],[INVERSIONES FCI]])</f>
        <v>63692987848.203659</v>
      </c>
      <c r="CL310" s="5">
        <f>IF($B309&lt;=Tabla5[[#This Row],[INVERSIONES FCI]],+Tabla5[[#This Row],[INVERSIONES FCI]]-CL309,Tabla5[[#This Row],[INVERSIONES FCI]])</f>
        <v>63692987848.203659</v>
      </c>
      <c r="CM310" s="5">
        <f>IF($B309&lt;=Tabla5[[#This Row],[INVERSIONES FCI]],+Tabla5[[#This Row],[INVERSIONES FCI]]-CM309,Tabla5[[#This Row],[INVERSIONES FCI]])</f>
        <v>63692987848.203659</v>
      </c>
      <c r="CN310" s="5">
        <f>IF($B309&lt;=Tabla5[[#This Row],[INVERSIONES FCI]],+Tabla5[[#This Row],[INVERSIONES FCI]]-CN309,Tabla5[[#This Row],[INVERSIONES FCI]])</f>
        <v>63692987848.203659</v>
      </c>
      <c r="CO310" s="5">
        <f>IF($B309&lt;=Tabla5[[#This Row],[INVERSIONES FCI]],+Tabla5[[#This Row],[INVERSIONES FCI]]-CO309,Tabla5[[#This Row],[INVERSIONES FCI]])</f>
        <v>63692987848.203659</v>
      </c>
      <c r="CP310" s="5">
        <f>IF($B309&lt;=Tabla5[[#This Row],[INVERSIONES FCI]],+Tabla5[[#This Row],[INVERSIONES FCI]]-CP309,Tabla5[[#This Row],[INVERSIONES FCI]])</f>
        <v>63692987848.203659</v>
      </c>
      <c r="CQ310" s="5">
        <f>IF($B309&lt;=Tabla5[[#This Row],[INVERSIONES FCI]],+Tabla5[[#This Row],[INVERSIONES FCI]]-CQ309,Tabla5[[#This Row],[INVERSIONES FCI]])</f>
        <v>63692987848.203659</v>
      </c>
      <c r="CR310" s="5">
        <f>IF($B309&lt;=Tabla5[[#This Row],[INVERSIONES FCI]],+Tabla5[[#This Row],[INVERSIONES FCI]]-CR309,Tabla5[[#This Row],[INVERSIONES FCI]])</f>
        <v>63692987848.203659</v>
      </c>
      <c r="CS310" s="5">
        <f>IF($B309&lt;=Tabla5[[#This Row],[INVERSIONES FCI]],+Tabla5[[#This Row],[INVERSIONES FCI]]-CS309,Tabla5[[#This Row],[INVERSIONES FCI]])</f>
        <v>63692987848.203659</v>
      </c>
      <c r="CT310" s="5">
        <f>IF($B309&lt;=Tabla5[[#This Row],[INVERSIONES FCI]],+Tabla5[[#This Row],[INVERSIONES FCI]]-CT309,Tabla5[[#This Row],[INVERSIONES FCI]])</f>
        <v>63692987848.203659</v>
      </c>
      <c r="CU310" s="5">
        <f>IF($B309&lt;=Tabla5[[#This Row],[INVERSIONES FCI]],+Tabla5[[#This Row],[INVERSIONES FCI]]-CU309,Tabla5[[#This Row],[INVERSIONES FCI]])</f>
        <v>63692987848.203659</v>
      </c>
      <c r="CV310" s="5">
        <f>IF($B309&lt;=Tabla5[[#This Row],[INVERSIONES FCI]],+Tabla5[[#This Row],[INVERSIONES FCI]]-CV309,Tabla5[[#This Row],[INVERSIONES FCI]])</f>
        <v>63692987848.203659</v>
      </c>
      <c r="CW310" s="5">
        <f>IF($B309&lt;=Tabla5[[#This Row],[INVERSIONES FCI]],+Tabla5[[#This Row],[INVERSIONES FCI]]-CW309,Tabla5[[#This Row],[INVERSIONES FCI]])</f>
        <v>63692987848.203659</v>
      </c>
      <c r="CX310" s="5">
        <f>IF($B309&lt;=Tabla5[[#This Row],[INVERSIONES FCI]],+Tabla5[[#This Row],[INVERSIONES FCI]]-CX309,Tabla5[[#This Row],[INVERSIONES FCI]])</f>
        <v>63692987848.203659</v>
      </c>
      <c r="CY310" s="5">
        <f>IF($B309&lt;=Tabla5[[#This Row],[INVERSIONES FCI]],+Tabla5[[#This Row],[INVERSIONES FCI]]-CY309,Tabla5[[#This Row],[INVERSIONES FCI]])</f>
        <v>63692987848.203659</v>
      </c>
      <c r="CZ310" s="5">
        <f>IF($B309&lt;=Tabla5[[#This Row],[INVERSIONES FCI]],+Tabla5[[#This Row],[INVERSIONES FCI]]-CZ309,Tabla5[[#This Row],[INVERSIONES FCI]])</f>
        <v>63692987848.203659</v>
      </c>
      <c r="DA310" s="5">
        <f>IF($B309&lt;=Tabla5[[#This Row],[INVERSIONES FCI]],+Tabla5[[#This Row],[INVERSIONES FCI]]-DA309,Tabla5[[#This Row],[INVERSIONES FCI]])</f>
        <v>63692987848.203659</v>
      </c>
      <c r="DB310" s="5">
        <f>IF($B309&lt;=Tabla5[[#This Row],[INVERSIONES FCI]],+Tabla5[[#This Row],[INVERSIONES FCI]]-DB309,Tabla5[[#This Row],[INVERSIONES FCI]])</f>
        <v>63692987848.203659</v>
      </c>
      <c r="DC310" s="5">
        <f>IF($B309&lt;=Tabla5[[#This Row],[INVERSIONES FCI]],+Tabla5[[#This Row],[INVERSIONES FCI]]-DC309,Tabla5[[#This Row],[INVERSIONES FCI]])</f>
        <v>63692987848.203659</v>
      </c>
      <c r="DD310" s="5">
        <f>IF($B309&lt;=Tabla5[[#This Row],[INVERSIONES FCI]],+Tabla5[[#This Row],[INVERSIONES FCI]]-DD309,Tabla5[[#This Row],[INVERSIONES FCI]])</f>
        <v>63692987848.203659</v>
      </c>
      <c r="DE310" s="5">
        <f>IF($B309&lt;=Tabla5[[#This Row],[INVERSIONES FCI]],+Tabla5[[#This Row],[INVERSIONES FCI]]-DE309,Tabla5[[#This Row],[INVERSIONES FCI]])</f>
        <v>63692987848.203659</v>
      </c>
      <c r="DF310" s="5">
        <f>IF($B309&lt;=Tabla5[[#This Row],[INVERSIONES FCI]],+Tabla5[[#This Row],[INVERSIONES FCI]]-DF309,Tabla5[[#This Row],[INVERSIONES FCI]])</f>
        <v>63692987848.203659</v>
      </c>
      <c r="DG310" s="5">
        <f>IF($B309&lt;=Tabla5[[#This Row],[INVERSIONES FCI]],+Tabla5[[#This Row],[INVERSIONES FCI]]-DG309,Tabla5[[#This Row],[INVERSIONES FCI]])</f>
        <v>63692987848.203659</v>
      </c>
      <c r="DH310" s="5">
        <f>IF($B309&lt;=Tabla5[[#This Row],[INVERSIONES FCI]],+Tabla5[[#This Row],[INVERSIONES FCI]]-DH309,Tabla5[[#This Row],[INVERSIONES FCI]])</f>
        <v>63692987848.203659</v>
      </c>
      <c r="DI310" s="5">
        <f>IF($B309&lt;=Tabla5[[#This Row],[INVERSIONES FCI]],+Tabla5[[#This Row],[INVERSIONES FCI]]-DI309,Tabla5[[#This Row],[INVERSIONES FCI]])</f>
        <v>63692987848.203659</v>
      </c>
      <c r="DJ310" s="5">
        <f>IF($B309&lt;=Tabla5[[#This Row],[INVERSIONES FCI]],+Tabla5[[#This Row],[INVERSIONES FCI]]-DJ309,Tabla5[[#This Row],[INVERSIONES FCI]])</f>
        <v>63692987848.203659</v>
      </c>
      <c r="DK310" s="5">
        <f>IF($B309&lt;=Tabla5[[#This Row],[INVERSIONES FCI]],+Tabla5[[#This Row],[INVERSIONES FCI]]-DK309,Tabla5[[#This Row],[INVERSIONES FCI]])</f>
        <v>63692987848.203659</v>
      </c>
      <c r="DL310" s="5"/>
      <c r="DM310" s="5"/>
      <c r="DN310" s="5"/>
      <c r="DO310" s="5"/>
      <c r="DP310" s="5"/>
      <c r="DQ310" s="5"/>
    </row>
    <row r="311" spans="1:121" ht="14.4">
      <c r="A311" s="12" t="s">
        <v>310</v>
      </c>
      <c r="B311" s="5">
        <f>HLOOKUP($A311,ESCENARIO[#All],7,FALSE)</f>
        <v>67504273581.407654</v>
      </c>
      <c r="C311" s="5">
        <f>IF($B310&lt;=Tabla5[[#This Row],[INVERSIONES FCI]],+Tabla5[[#This Row],[INVERSIONES FCI]]-C310,Tabla5[[#This Row],[INVERSIONES FCI]])</f>
        <v>3811285733.2039948</v>
      </c>
      <c r="D311" s="5">
        <f>IF($B310&lt;=Tabla5[[#This Row],[INVERSIONES FCI]],+Tabla5[[#This Row],[INVERSIONES FCI]]-D310,Tabla5[[#This Row],[INVERSIONES FCI]])</f>
        <v>3811285733.2039948</v>
      </c>
      <c r="E311" s="5">
        <f>IF($B310&lt;=Tabla5[[#This Row],[INVERSIONES FCI]],+Tabla5[[#This Row],[INVERSIONES FCI]]-E310,Tabla5[[#This Row],[INVERSIONES FCI]])</f>
        <v>3811285733.2039948</v>
      </c>
      <c r="F311" s="5">
        <f>IF($B310&lt;=Tabla5[[#This Row],[INVERSIONES FCI]],+Tabla5[[#This Row],[INVERSIONES FCI]]-F310,Tabla5[[#This Row],[INVERSIONES FCI]])</f>
        <v>3811285733.2039948</v>
      </c>
      <c r="G311" s="5">
        <f>IF($B310&lt;=Tabla5[[#This Row],[INVERSIONES FCI]],+Tabla5[[#This Row],[INVERSIONES FCI]]-G310,Tabla5[[#This Row],[INVERSIONES FCI]])</f>
        <v>3811285733.2039948</v>
      </c>
      <c r="H311" s="5">
        <f>IF($B310&lt;=Tabla5[[#This Row],[INVERSIONES FCI]],+Tabla5[[#This Row],[INVERSIONES FCI]]-H310,Tabla5[[#This Row],[INVERSIONES FCI]])</f>
        <v>3811285733.2039948</v>
      </c>
      <c r="I311" s="5">
        <f>IF($B310&lt;=Tabla5[[#This Row],[INVERSIONES FCI]],+Tabla5[[#This Row],[INVERSIONES FCI]]-I310,Tabla5[[#This Row],[INVERSIONES FCI]])</f>
        <v>3811285733.2039948</v>
      </c>
      <c r="J311" s="5">
        <f>IF($B310&lt;=Tabla5[[#This Row],[INVERSIONES FCI]],+Tabla5[[#This Row],[INVERSIONES FCI]]-J310,Tabla5[[#This Row],[INVERSIONES FCI]])</f>
        <v>3811285733.2039948</v>
      </c>
      <c r="K311" s="5">
        <f>IF($B310&lt;=Tabla5[[#This Row],[INVERSIONES FCI]],+Tabla5[[#This Row],[INVERSIONES FCI]]-K310,Tabla5[[#This Row],[INVERSIONES FCI]])</f>
        <v>3811285733.2039948</v>
      </c>
      <c r="L311" s="5">
        <f>IF($B310&lt;=Tabla5[[#This Row],[INVERSIONES FCI]],+Tabla5[[#This Row],[INVERSIONES FCI]]-L310,Tabla5[[#This Row],[INVERSIONES FCI]])</f>
        <v>3811285733.2039948</v>
      </c>
      <c r="M311" s="5">
        <f>IF($B310&lt;=Tabla5[[#This Row],[INVERSIONES FCI]],+Tabla5[[#This Row],[INVERSIONES FCI]]-M310,Tabla5[[#This Row],[INVERSIONES FCI]])</f>
        <v>3811285733.2039948</v>
      </c>
      <c r="N311" s="5">
        <f>IF($B310&lt;=Tabla5[[#This Row],[INVERSIONES FCI]],+Tabla5[[#This Row],[INVERSIONES FCI]]-N310,Tabla5[[#This Row],[INVERSIONES FCI]])</f>
        <v>3811285733.2039948</v>
      </c>
      <c r="O311" s="5">
        <f>IF($B310&lt;=Tabla5[[#This Row],[INVERSIONES FCI]],+Tabla5[[#This Row],[INVERSIONES FCI]]-O310,Tabla5[[#This Row],[INVERSIONES FCI]])</f>
        <v>3811285733.2039948</v>
      </c>
      <c r="P311" s="5">
        <f>IF($B310&lt;=Tabla5[[#This Row],[INVERSIONES FCI]],+Tabla5[[#This Row],[INVERSIONES FCI]]-P310,Tabla5[[#This Row],[INVERSIONES FCI]])</f>
        <v>3811285733.2039948</v>
      </c>
      <c r="Q311" s="5">
        <f>IF($B310&lt;=Tabla5[[#This Row],[INVERSIONES FCI]],+Tabla5[[#This Row],[INVERSIONES FCI]]-Q310,Tabla5[[#This Row],[INVERSIONES FCI]])</f>
        <v>3811285733.2039948</v>
      </c>
      <c r="R311" s="5">
        <f>IF($B310&lt;=Tabla5[[#This Row],[INVERSIONES FCI]],+Tabla5[[#This Row],[INVERSIONES FCI]]-R310,Tabla5[[#This Row],[INVERSIONES FCI]])</f>
        <v>3811285733.2039948</v>
      </c>
      <c r="S311" s="5">
        <f>IF($B310&lt;=Tabla5[[#This Row],[INVERSIONES FCI]],+Tabla5[[#This Row],[INVERSIONES FCI]]-S310,Tabla5[[#This Row],[INVERSIONES FCI]])</f>
        <v>3811285733.2039948</v>
      </c>
      <c r="T311" s="5">
        <f>IF($B310&lt;=Tabla5[[#This Row],[INVERSIONES FCI]],+Tabla5[[#This Row],[INVERSIONES FCI]]-T310,Tabla5[[#This Row],[INVERSIONES FCI]])</f>
        <v>3811285733.2039948</v>
      </c>
      <c r="U311" s="5">
        <f>IF($B310&lt;=Tabla5[[#This Row],[INVERSIONES FCI]],+Tabla5[[#This Row],[INVERSIONES FCI]]-U310,Tabla5[[#This Row],[INVERSIONES FCI]])</f>
        <v>3811285733.2039948</v>
      </c>
      <c r="V311" s="5">
        <f>IF($B310&lt;=Tabla5[[#This Row],[INVERSIONES FCI]],+Tabla5[[#This Row],[INVERSIONES FCI]]-V310,Tabla5[[#This Row],[INVERSIONES FCI]])</f>
        <v>3811285733.2039948</v>
      </c>
      <c r="W311" s="5">
        <f>IF($B310&lt;=Tabla5[[#This Row],[INVERSIONES FCI]],+Tabla5[[#This Row],[INVERSIONES FCI]]-W310,Tabla5[[#This Row],[INVERSIONES FCI]])</f>
        <v>3811285733.2039948</v>
      </c>
      <c r="X311" s="5">
        <f>IF($B310&lt;=Tabla5[[#This Row],[INVERSIONES FCI]],+Tabla5[[#This Row],[INVERSIONES FCI]]-X310,Tabla5[[#This Row],[INVERSIONES FCI]])</f>
        <v>3811285733.2039948</v>
      </c>
      <c r="Y311" s="5">
        <f>IF($B310&lt;=Tabla5[[#This Row],[INVERSIONES FCI]],+Tabla5[[#This Row],[INVERSIONES FCI]]-Y310,Tabla5[[#This Row],[INVERSIONES FCI]])</f>
        <v>3811285733.2039948</v>
      </c>
      <c r="Z311" s="5">
        <f>IF($B310&lt;=Tabla5[[#This Row],[INVERSIONES FCI]],+Tabla5[[#This Row],[INVERSIONES FCI]]-Z310,Tabla5[[#This Row],[INVERSIONES FCI]])</f>
        <v>3811285733.2039948</v>
      </c>
      <c r="AA311" s="5">
        <f>IF($B310&lt;=Tabla5[[#This Row],[INVERSIONES FCI]],+Tabla5[[#This Row],[INVERSIONES FCI]]-AA310,Tabla5[[#This Row],[INVERSIONES FCI]])</f>
        <v>3811285733.2039948</v>
      </c>
      <c r="AB311" s="5">
        <f>IF($B310&lt;=Tabla5[[#This Row],[INVERSIONES FCI]],+Tabla5[[#This Row],[INVERSIONES FCI]]-AB310,Tabla5[[#This Row],[INVERSIONES FCI]])</f>
        <v>3811285733.2039948</v>
      </c>
      <c r="AC311" s="5">
        <f>IF($B310&lt;=Tabla5[[#This Row],[INVERSIONES FCI]],+Tabla5[[#This Row],[INVERSIONES FCI]]-AC310,Tabla5[[#This Row],[INVERSIONES FCI]])</f>
        <v>3811285733.2039948</v>
      </c>
      <c r="AD311" s="5">
        <f>IF($B310&lt;=Tabla5[[#This Row],[INVERSIONES FCI]],+Tabla5[[#This Row],[INVERSIONES FCI]]-AD310,Tabla5[[#This Row],[INVERSIONES FCI]])</f>
        <v>3811285733.2039948</v>
      </c>
      <c r="AE311" s="5">
        <f>IF($B310&lt;=Tabla5[[#This Row],[INVERSIONES FCI]],+Tabla5[[#This Row],[INVERSIONES FCI]]-AE310,Tabla5[[#This Row],[INVERSIONES FCI]])</f>
        <v>3811285733.2039948</v>
      </c>
      <c r="AF311" s="5">
        <f>IF($B310&lt;=Tabla5[[#This Row],[INVERSIONES FCI]],+Tabla5[[#This Row],[INVERSIONES FCI]]-AF310,Tabla5[[#This Row],[INVERSIONES FCI]])</f>
        <v>3811285733.2039948</v>
      </c>
      <c r="AG311" s="5">
        <f>IF($B310&lt;=Tabla5[[#This Row],[INVERSIONES FCI]],+Tabla5[[#This Row],[INVERSIONES FCI]]-AG310,Tabla5[[#This Row],[INVERSIONES FCI]])</f>
        <v>3811285733.2039948</v>
      </c>
      <c r="AH311" s="5">
        <f>IF($B310&lt;=Tabla5[[#This Row],[INVERSIONES FCI]],+Tabla5[[#This Row],[INVERSIONES FCI]]-AH310,Tabla5[[#This Row],[INVERSIONES FCI]])</f>
        <v>3811285733.2039948</v>
      </c>
      <c r="AI311" s="5">
        <f>IF($B310&lt;=Tabla5[[#This Row],[INVERSIONES FCI]],+Tabla5[[#This Row],[INVERSIONES FCI]]-AI310,Tabla5[[#This Row],[INVERSIONES FCI]])</f>
        <v>3811285733.2039948</v>
      </c>
      <c r="AJ311" s="5">
        <f>IF($B310&lt;=Tabla5[[#This Row],[INVERSIONES FCI]],+Tabla5[[#This Row],[INVERSIONES FCI]]-AJ310,Tabla5[[#This Row],[INVERSIONES FCI]])</f>
        <v>3811285733.2039948</v>
      </c>
      <c r="AK311" s="5">
        <f>IF($B310&lt;=Tabla5[[#This Row],[INVERSIONES FCI]],+Tabla5[[#This Row],[INVERSIONES FCI]]-AK310,Tabla5[[#This Row],[INVERSIONES FCI]])</f>
        <v>3811285733.2039948</v>
      </c>
      <c r="AL311" s="5">
        <f>IF($B310&lt;=Tabla5[[#This Row],[INVERSIONES FCI]],+Tabla5[[#This Row],[INVERSIONES FCI]]-AL310,Tabla5[[#This Row],[INVERSIONES FCI]])</f>
        <v>3811285733.2039948</v>
      </c>
      <c r="AM311" s="5">
        <f>IF($B310&lt;=Tabla5[[#This Row],[INVERSIONES FCI]],+Tabla5[[#This Row],[INVERSIONES FCI]]-AM310,Tabla5[[#This Row],[INVERSIONES FCI]])</f>
        <v>3811285733.2039948</v>
      </c>
      <c r="AN311" s="5">
        <f>IF($B310&lt;=Tabla5[[#This Row],[INVERSIONES FCI]],+Tabla5[[#This Row],[INVERSIONES FCI]]-AN310,Tabla5[[#This Row],[INVERSIONES FCI]])</f>
        <v>3811285733.2039948</v>
      </c>
      <c r="AO311" s="5">
        <f>IF($B310&lt;=Tabla5[[#This Row],[INVERSIONES FCI]],+Tabla5[[#This Row],[INVERSIONES FCI]]-AO310,Tabla5[[#This Row],[INVERSIONES FCI]])</f>
        <v>3811285733.2039948</v>
      </c>
      <c r="AP311" s="5">
        <f>IF($B310&lt;=Tabla5[[#This Row],[INVERSIONES FCI]],+Tabla5[[#This Row],[INVERSIONES FCI]]-AP310,Tabla5[[#This Row],[INVERSIONES FCI]])</f>
        <v>3811285733.2039948</v>
      </c>
      <c r="AQ311" s="5">
        <f>IF($B310&lt;=Tabla5[[#This Row],[INVERSIONES FCI]],+Tabla5[[#This Row],[INVERSIONES FCI]]-AQ310,Tabla5[[#This Row],[INVERSIONES FCI]])</f>
        <v>3811285733.2039948</v>
      </c>
      <c r="AR311" s="5">
        <f>IF($B310&lt;=Tabla5[[#This Row],[INVERSIONES FCI]],+Tabla5[[#This Row],[INVERSIONES FCI]]-AR310,Tabla5[[#This Row],[INVERSIONES FCI]])</f>
        <v>3811285733.2039948</v>
      </c>
      <c r="AS311" s="5">
        <f>IF($B310&lt;=Tabla5[[#This Row],[INVERSIONES FCI]],+Tabla5[[#This Row],[INVERSIONES FCI]]-AS310,Tabla5[[#This Row],[INVERSIONES FCI]])</f>
        <v>3811285733.2039948</v>
      </c>
      <c r="AT311" s="5">
        <f>IF($B310&lt;=Tabla5[[#This Row],[INVERSIONES FCI]],+Tabla5[[#This Row],[INVERSIONES FCI]]-AT310,Tabla5[[#This Row],[INVERSIONES FCI]])</f>
        <v>3811285733.2039948</v>
      </c>
      <c r="AU311" s="5">
        <f>IF($B310&lt;=Tabla5[[#This Row],[INVERSIONES FCI]],+Tabla5[[#This Row],[INVERSIONES FCI]]-AU310,Tabla5[[#This Row],[INVERSIONES FCI]])</f>
        <v>3811285733.2039948</v>
      </c>
      <c r="AV311" s="5">
        <f>IF($B310&lt;=Tabla5[[#This Row],[INVERSIONES FCI]],+Tabla5[[#This Row],[INVERSIONES FCI]]-AV310,Tabla5[[#This Row],[INVERSIONES FCI]])</f>
        <v>3811285733.2039948</v>
      </c>
      <c r="AW311" s="5">
        <f>IF($B310&lt;=Tabla5[[#This Row],[INVERSIONES FCI]],+Tabla5[[#This Row],[INVERSIONES FCI]]-AW310,Tabla5[[#This Row],[INVERSIONES FCI]])</f>
        <v>3811285733.2039948</v>
      </c>
      <c r="AX311" s="5">
        <f>IF($B310&lt;=Tabla5[[#This Row],[INVERSIONES FCI]],+Tabla5[[#This Row],[INVERSIONES FCI]]-AX310,Tabla5[[#This Row],[INVERSIONES FCI]])</f>
        <v>3811285733.2039948</v>
      </c>
      <c r="AY311" s="5">
        <f>IF($B310&lt;=Tabla5[[#This Row],[INVERSIONES FCI]],+Tabla5[[#This Row],[INVERSIONES FCI]]-AY310,Tabla5[[#This Row],[INVERSIONES FCI]])</f>
        <v>3811285733.2039948</v>
      </c>
      <c r="AZ311" s="5">
        <f>IF($B310&lt;=Tabla5[[#This Row],[INVERSIONES FCI]],+Tabla5[[#This Row],[INVERSIONES FCI]]-AZ310,Tabla5[[#This Row],[INVERSIONES FCI]])</f>
        <v>3811285733.2039948</v>
      </c>
      <c r="BA311" s="5">
        <f>IF($B310&lt;=Tabla5[[#This Row],[INVERSIONES FCI]],+Tabla5[[#This Row],[INVERSIONES FCI]]-BA310,Tabla5[[#This Row],[INVERSIONES FCI]])</f>
        <v>3811285733.2039948</v>
      </c>
      <c r="BB311" s="5">
        <f>IF($B310&lt;=Tabla5[[#This Row],[INVERSIONES FCI]],+Tabla5[[#This Row],[INVERSIONES FCI]]-BB310,Tabla5[[#This Row],[INVERSIONES FCI]])</f>
        <v>3811285733.2039948</v>
      </c>
      <c r="BC311" s="5">
        <f>IF($B310&lt;=Tabla5[[#This Row],[INVERSIONES FCI]],+Tabla5[[#This Row],[INVERSIONES FCI]]-BC310,Tabla5[[#This Row],[INVERSIONES FCI]])</f>
        <v>3811285733.2039948</v>
      </c>
      <c r="BD311" s="5">
        <f>IF($B310&lt;=Tabla5[[#This Row],[INVERSIONES FCI]],+Tabla5[[#This Row],[INVERSIONES FCI]]-BD310,Tabla5[[#This Row],[INVERSIONES FCI]])</f>
        <v>3811285733.2039948</v>
      </c>
      <c r="BE311" s="5">
        <f>IF($B310&lt;=Tabla5[[#This Row],[INVERSIONES FCI]],+Tabla5[[#This Row],[INVERSIONES FCI]]-BE310,Tabla5[[#This Row],[INVERSIONES FCI]])</f>
        <v>3811285733.2039948</v>
      </c>
      <c r="BF311" s="5">
        <f>IF($B310&lt;=Tabla5[[#This Row],[INVERSIONES FCI]],+Tabla5[[#This Row],[INVERSIONES FCI]]-BF310,Tabla5[[#This Row],[INVERSIONES FCI]])</f>
        <v>3811285733.2039948</v>
      </c>
      <c r="BG311" s="5">
        <f>IF($B310&lt;=Tabla5[[#This Row],[INVERSIONES FCI]],+Tabla5[[#This Row],[INVERSIONES FCI]]-BG310,Tabla5[[#This Row],[INVERSIONES FCI]])</f>
        <v>3811285733.2039948</v>
      </c>
      <c r="BH311" s="5">
        <f>IF($B310&lt;=Tabla5[[#This Row],[INVERSIONES FCI]],+Tabla5[[#This Row],[INVERSIONES FCI]]-BH310,Tabla5[[#This Row],[INVERSIONES FCI]])</f>
        <v>3811285733.2039948</v>
      </c>
      <c r="BI311" s="5">
        <f>IF($B310&lt;=Tabla5[[#This Row],[INVERSIONES FCI]],+Tabla5[[#This Row],[INVERSIONES FCI]]-BI310,Tabla5[[#This Row],[INVERSIONES FCI]])</f>
        <v>3811285733.2039948</v>
      </c>
      <c r="BJ311" s="5">
        <f>IF($B310&lt;=Tabla5[[#This Row],[INVERSIONES FCI]],+Tabla5[[#This Row],[INVERSIONES FCI]]-BJ310,Tabla5[[#This Row],[INVERSIONES FCI]])</f>
        <v>3811285733.2039948</v>
      </c>
      <c r="BK311" s="5">
        <f>IF($B310&lt;=Tabla5[[#This Row],[INVERSIONES FCI]],+Tabla5[[#This Row],[INVERSIONES FCI]]-BK310,Tabla5[[#This Row],[INVERSIONES FCI]])</f>
        <v>3811285733.2039948</v>
      </c>
      <c r="BL311" s="5">
        <f>IF($B310&lt;=Tabla5[[#This Row],[INVERSIONES FCI]],+Tabla5[[#This Row],[INVERSIONES FCI]]-BL310,Tabla5[[#This Row],[INVERSIONES FCI]])</f>
        <v>3811285733.2039948</v>
      </c>
      <c r="BM311" s="5">
        <f>IF($B310&lt;=Tabla5[[#This Row],[INVERSIONES FCI]],+Tabla5[[#This Row],[INVERSIONES FCI]]-BM310,Tabla5[[#This Row],[INVERSIONES FCI]])</f>
        <v>3811285733.2039948</v>
      </c>
      <c r="BN311" s="5">
        <f>IF($B310&lt;=Tabla5[[#This Row],[INVERSIONES FCI]],+Tabla5[[#This Row],[INVERSIONES FCI]]-BN310,Tabla5[[#This Row],[INVERSIONES FCI]])</f>
        <v>3811285733.2039948</v>
      </c>
      <c r="BO311" s="5">
        <f>IF($B310&lt;=Tabla5[[#This Row],[INVERSIONES FCI]],+Tabla5[[#This Row],[INVERSIONES FCI]]-BO310,Tabla5[[#This Row],[INVERSIONES FCI]])</f>
        <v>3811285733.2039948</v>
      </c>
      <c r="BP311" s="5">
        <f>IF($B310&lt;=Tabla5[[#This Row],[INVERSIONES FCI]],+Tabla5[[#This Row],[INVERSIONES FCI]]-BP310,Tabla5[[#This Row],[INVERSIONES FCI]])</f>
        <v>3811285733.2039948</v>
      </c>
      <c r="BQ311" s="5">
        <f>IF($B310&lt;=Tabla5[[#This Row],[INVERSIONES FCI]],+Tabla5[[#This Row],[INVERSIONES FCI]]-BQ310,Tabla5[[#This Row],[INVERSIONES FCI]])</f>
        <v>3811285733.2039948</v>
      </c>
      <c r="BR311" s="5">
        <f>IF($B310&lt;=Tabla5[[#This Row],[INVERSIONES FCI]],+Tabla5[[#This Row],[INVERSIONES FCI]]-BR310,Tabla5[[#This Row],[INVERSIONES FCI]])</f>
        <v>3811285733.2039948</v>
      </c>
      <c r="BS311" s="5">
        <f>IF($B310&lt;=Tabla5[[#This Row],[INVERSIONES FCI]],+Tabla5[[#This Row],[INVERSIONES FCI]]-BS310,Tabla5[[#This Row],[INVERSIONES FCI]])</f>
        <v>3811285733.2039948</v>
      </c>
      <c r="BT311" s="5">
        <f>IF($B310&lt;=Tabla5[[#This Row],[INVERSIONES FCI]],+Tabla5[[#This Row],[INVERSIONES FCI]]-BT310,Tabla5[[#This Row],[INVERSIONES FCI]])</f>
        <v>3811285733.2039948</v>
      </c>
      <c r="BU311" s="5">
        <f>IF($B310&lt;=Tabla5[[#This Row],[INVERSIONES FCI]],+Tabla5[[#This Row],[INVERSIONES FCI]]-BU310,Tabla5[[#This Row],[INVERSIONES FCI]])</f>
        <v>3811285733.2039948</v>
      </c>
      <c r="BV311" s="5">
        <f>IF($B310&lt;=Tabla5[[#This Row],[INVERSIONES FCI]],+Tabla5[[#This Row],[INVERSIONES FCI]]-BV310,Tabla5[[#This Row],[INVERSIONES FCI]])</f>
        <v>3811285733.2039948</v>
      </c>
      <c r="BW311" s="5">
        <f>IF($B310&lt;=Tabla5[[#This Row],[INVERSIONES FCI]],+Tabla5[[#This Row],[INVERSIONES FCI]]-BW310,Tabla5[[#This Row],[INVERSIONES FCI]])</f>
        <v>3811285733.2039948</v>
      </c>
      <c r="BX311" s="5">
        <f>IF($B310&lt;=Tabla5[[#This Row],[INVERSIONES FCI]],+Tabla5[[#This Row],[INVERSIONES FCI]]-BX310,Tabla5[[#This Row],[INVERSIONES FCI]])</f>
        <v>3811285733.2039948</v>
      </c>
      <c r="BY311" s="5">
        <f>IF($B310&lt;=Tabla5[[#This Row],[INVERSIONES FCI]],+Tabla5[[#This Row],[INVERSIONES FCI]]-BY310,Tabla5[[#This Row],[INVERSIONES FCI]])</f>
        <v>3811285733.2039948</v>
      </c>
      <c r="BZ311" s="5">
        <f>IF($B310&lt;=Tabla5[[#This Row],[INVERSIONES FCI]],+Tabla5[[#This Row],[INVERSIONES FCI]]-BZ310,Tabla5[[#This Row],[INVERSIONES FCI]])</f>
        <v>3811285733.2039948</v>
      </c>
      <c r="CA311" s="5">
        <f>IF($B310&lt;=Tabla5[[#This Row],[INVERSIONES FCI]],+Tabla5[[#This Row],[INVERSIONES FCI]]-CA310,Tabla5[[#This Row],[INVERSIONES FCI]])</f>
        <v>3811285733.2039948</v>
      </c>
      <c r="CB311" s="5">
        <f>IF($B310&lt;=Tabla5[[#This Row],[INVERSIONES FCI]],+Tabla5[[#This Row],[INVERSIONES FCI]]-CB310,Tabla5[[#This Row],[INVERSIONES FCI]])</f>
        <v>3811285733.2039948</v>
      </c>
      <c r="CC311" s="5">
        <f>IF($B310&lt;=Tabla5[[#This Row],[INVERSIONES FCI]],+Tabla5[[#This Row],[INVERSIONES FCI]]-CC310,Tabla5[[#This Row],[INVERSIONES FCI]])</f>
        <v>3811285733.2039948</v>
      </c>
      <c r="CD311" s="5">
        <f>IF($B310&lt;=Tabla5[[#This Row],[INVERSIONES FCI]],+Tabla5[[#This Row],[INVERSIONES FCI]]-CD310,Tabla5[[#This Row],[INVERSIONES FCI]])</f>
        <v>3811285733.2039948</v>
      </c>
      <c r="CE311" s="5">
        <f>IF($B310&lt;=Tabla5[[#This Row],[INVERSIONES FCI]],+Tabla5[[#This Row],[INVERSIONES FCI]]-CE310,Tabla5[[#This Row],[INVERSIONES FCI]])</f>
        <v>3811285733.2039948</v>
      </c>
      <c r="CF311" s="5">
        <f>IF($B310&lt;=Tabla5[[#This Row],[INVERSIONES FCI]],+Tabla5[[#This Row],[INVERSIONES FCI]]-CF310,Tabla5[[#This Row],[INVERSIONES FCI]])</f>
        <v>3811285733.2039948</v>
      </c>
      <c r="CG311" s="5">
        <f>IF($B310&lt;=Tabla5[[#This Row],[INVERSIONES FCI]],+Tabla5[[#This Row],[INVERSIONES FCI]]-CG310,Tabla5[[#This Row],[INVERSIONES FCI]])</f>
        <v>3811285733.2039948</v>
      </c>
      <c r="CH311" s="5">
        <f>IF($B310&lt;=Tabla5[[#This Row],[INVERSIONES FCI]],+Tabla5[[#This Row],[INVERSIONES FCI]]-CH310,Tabla5[[#This Row],[INVERSIONES FCI]])</f>
        <v>3811285733.2039948</v>
      </c>
      <c r="CI311" s="5">
        <f>IF($B310&lt;=Tabla5[[#This Row],[INVERSIONES FCI]],+Tabla5[[#This Row],[INVERSIONES FCI]]-CI310,Tabla5[[#This Row],[INVERSIONES FCI]])</f>
        <v>3811285733.2039948</v>
      </c>
      <c r="CJ311" s="5">
        <f>IF($B310&lt;=Tabla5[[#This Row],[INVERSIONES FCI]],+Tabla5[[#This Row],[INVERSIONES FCI]]-CJ310,Tabla5[[#This Row],[INVERSIONES FCI]])</f>
        <v>3811285733.2039948</v>
      </c>
      <c r="CK311" s="5">
        <f>IF($B310&lt;=Tabla5[[#This Row],[INVERSIONES FCI]],+Tabla5[[#This Row],[INVERSIONES FCI]]-CK310,Tabla5[[#This Row],[INVERSIONES FCI]])</f>
        <v>3811285733.2039948</v>
      </c>
      <c r="CL311" s="5">
        <f>IF($B310&lt;=Tabla5[[#This Row],[INVERSIONES FCI]],+Tabla5[[#This Row],[INVERSIONES FCI]]-CL310,Tabla5[[#This Row],[INVERSIONES FCI]])</f>
        <v>3811285733.2039948</v>
      </c>
      <c r="CM311" s="5">
        <f>IF($B310&lt;=Tabla5[[#This Row],[INVERSIONES FCI]],+Tabla5[[#This Row],[INVERSIONES FCI]]-CM310,Tabla5[[#This Row],[INVERSIONES FCI]])</f>
        <v>3811285733.2039948</v>
      </c>
      <c r="CN311" s="5">
        <f>IF($B310&lt;=Tabla5[[#This Row],[INVERSIONES FCI]],+Tabla5[[#This Row],[INVERSIONES FCI]]-CN310,Tabla5[[#This Row],[INVERSIONES FCI]])</f>
        <v>3811285733.2039948</v>
      </c>
      <c r="CO311" s="5">
        <f>IF($B310&lt;=Tabla5[[#This Row],[INVERSIONES FCI]],+Tabla5[[#This Row],[INVERSIONES FCI]]-CO310,Tabla5[[#This Row],[INVERSIONES FCI]])</f>
        <v>3811285733.2039948</v>
      </c>
      <c r="CP311" s="5">
        <f>IF($B310&lt;=Tabla5[[#This Row],[INVERSIONES FCI]],+Tabla5[[#This Row],[INVERSIONES FCI]]-CP310,Tabla5[[#This Row],[INVERSIONES FCI]])</f>
        <v>3811285733.2039948</v>
      </c>
      <c r="CQ311" s="5">
        <f>IF($B310&lt;=Tabla5[[#This Row],[INVERSIONES FCI]],+Tabla5[[#This Row],[INVERSIONES FCI]]-CQ310,Tabla5[[#This Row],[INVERSIONES FCI]])</f>
        <v>3811285733.2039948</v>
      </c>
      <c r="CR311" s="5">
        <f>IF($B310&lt;=Tabla5[[#This Row],[INVERSIONES FCI]],+Tabla5[[#This Row],[INVERSIONES FCI]]-CR310,Tabla5[[#This Row],[INVERSIONES FCI]])</f>
        <v>3811285733.2039948</v>
      </c>
      <c r="CS311" s="5">
        <f>IF($B310&lt;=Tabla5[[#This Row],[INVERSIONES FCI]],+Tabla5[[#This Row],[INVERSIONES FCI]]-CS310,Tabla5[[#This Row],[INVERSIONES FCI]])</f>
        <v>3811285733.2039948</v>
      </c>
      <c r="CT311" s="5">
        <f>IF($B310&lt;=Tabla5[[#This Row],[INVERSIONES FCI]],+Tabla5[[#This Row],[INVERSIONES FCI]]-CT310,Tabla5[[#This Row],[INVERSIONES FCI]])</f>
        <v>3811285733.2039948</v>
      </c>
      <c r="CU311" s="5">
        <f>IF($B310&lt;=Tabla5[[#This Row],[INVERSIONES FCI]],+Tabla5[[#This Row],[INVERSIONES FCI]]-CU310,Tabla5[[#This Row],[INVERSIONES FCI]])</f>
        <v>3811285733.2039948</v>
      </c>
      <c r="CV311" s="5">
        <f>IF($B310&lt;=Tabla5[[#This Row],[INVERSIONES FCI]],+Tabla5[[#This Row],[INVERSIONES FCI]]-CV310,Tabla5[[#This Row],[INVERSIONES FCI]])</f>
        <v>3811285733.2039948</v>
      </c>
      <c r="CW311" s="5">
        <f>IF($B310&lt;=Tabla5[[#This Row],[INVERSIONES FCI]],+Tabla5[[#This Row],[INVERSIONES FCI]]-CW310,Tabla5[[#This Row],[INVERSIONES FCI]])</f>
        <v>3811285733.2039948</v>
      </c>
      <c r="CX311" s="5">
        <f>IF($B310&lt;=Tabla5[[#This Row],[INVERSIONES FCI]],+Tabla5[[#This Row],[INVERSIONES FCI]]-CX310,Tabla5[[#This Row],[INVERSIONES FCI]])</f>
        <v>3811285733.2039948</v>
      </c>
      <c r="CY311" s="5">
        <f>IF($B310&lt;=Tabla5[[#This Row],[INVERSIONES FCI]],+Tabla5[[#This Row],[INVERSIONES FCI]]-CY310,Tabla5[[#This Row],[INVERSIONES FCI]])</f>
        <v>3811285733.2039948</v>
      </c>
      <c r="CZ311" s="5">
        <f>IF($B310&lt;=Tabla5[[#This Row],[INVERSIONES FCI]],+Tabla5[[#This Row],[INVERSIONES FCI]]-CZ310,Tabla5[[#This Row],[INVERSIONES FCI]])</f>
        <v>3811285733.2039948</v>
      </c>
      <c r="DA311" s="5">
        <f>IF($B310&lt;=Tabla5[[#This Row],[INVERSIONES FCI]],+Tabla5[[#This Row],[INVERSIONES FCI]]-DA310,Tabla5[[#This Row],[INVERSIONES FCI]])</f>
        <v>3811285733.2039948</v>
      </c>
      <c r="DB311" s="5">
        <f>IF($B310&lt;=Tabla5[[#This Row],[INVERSIONES FCI]],+Tabla5[[#This Row],[INVERSIONES FCI]]-DB310,Tabla5[[#This Row],[INVERSIONES FCI]])</f>
        <v>3811285733.2039948</v>
      </c>
      <c r="DC311" s="5">
        <f>IF($B310&lt;=Tabla5[[#This Row],[INVERSIONES FCI]],+Tabla5[[#This Row],[INVERSIONES FCI]]-DC310,Tabla5[[#This Row],[INVERSIONES FCI]])</f>
        <v>3811285733.2039948</v>
      </c>
      <c r="DD311" s="5">
        <f>IF($B310&lt;=Tabla5[[#This Row],[INVERSIONES FCI]],+Tabla5[[#This Row],[INVERSIONES FCI]]-DD310,Tabla5[[#This Row],[INVERSIONES FCI]])</f>
        <v>3811285733.2039948</v>
      </c>
      <c r="DE311" s="5">
        <f>IF($B310&lt;=Tabla5[[#This Row],[INVERSIONES FCI]],+Tabla5[[#This Row],[INVERSIONES FCI]]-DE310,Tabla5[[#This Row],[INVERSIONES FCI]])</f>
        <v>3811285733.2039948</v>
      </c>
      <c r="DF311" s="5">
        <f>IF($B310&lt;=Tabla5[[#This Row],[INVERSIONES FCI]],+Tabla5[[#This Row],[INVERSIONES FCI]]-DF310,Tabla5[[#This Row],[INVERSIONES FCI]])</f>
        <v>3811285733.2039948</v>
      </c>
      <c r="DG311" s="5">
        <f>IF($B310&lt;=Tabla5[[#This Row],[INVERSIONES FCI]],+Tabla5[[#This Row],[INVERSIONES FCI]]-DG310,Tabla5[[#This Row],[INVERSIONES FCI]])</f>
        <v>3811285733.2039948</v>
      </c>
      <c r="DH311" s="5">
        <f>IF($B310&lt;=Tabla5[[#This Row],[INVERSIONES FCI]],+Tabla5[[#This Row],[INVERSIONES FCI]]-DH310,Tabla5[[#This Row],[INVERSIONES FCI]])</f>
        <v>3811285733.2039948</v>
      </c>
      <c r="DI311" s="5">
        <f>IF($B310&lt;=Tabla5[[#This Row],[INVERSIONES FCI]],+Tabla5[[#This Row],[INVERSIONES FCI]]-DI310,Tabla5[[#This Row],[INVERSIONES FCI]])</f>
        <v>3811285733.2039948</v>
      </c>
      <c r="DJ311" s="5">
        <f>IF($B310&lt;=Tabla5[[#This Row],[INVERSIONES FCI]],+Tabla5[[#This Row],[INVERSIONES FCI]]-DJ310,Tabla5[[#This Row],[INVERSIONES FCI]])</f>
        <v>3811285733.2039948</v>
      </c>
      <c r="DK311" s="5">
        <f>IF($B310&lt;=Tabla5[[#This Row],[INVERSIONES FCI]],+Tabla5[[#This Row],[INVERSIONES FCI]]-DK310,Tabla5[[#This Row],[INVERSIONES FCI]])</f>
        <v>3811285733.2039948</v>
      </c>
      <c r="DL311" s="5"/>
      <c r="DM311" s="5"/>
      <c r="DN311" s="5"/>
      <c r="DO311" s="5"/>
      <c r="DP311" s="5"/>
      <c r="DQ311" s="5"/>
    </row>
    <row r="312" spans="1:121" ht="14.4">
      <c r="A312" s="12" t="s">
        <v>311</v>
      </c>
      <c r="B312" s="5">
        <f>HLOOKUP($A312,ESCENARIO[#All],7,FALSE)</f>
        <v>67504273581.407654</v>
      </c>
      <c r="C312" s="5">
        <f>IF($B311&lt;=Tabla5[[#This Row],[INVERSIONES FCI]],+Tabla5[[#This Row],[INVERSIONES FCI]]-C311,Tabla5[[#This Row],[INVERSIONES FCI]])</f>
        <v>63692987848.203659</v>
      </c>
      <c r="D312" s="5">
        <f>IF($B311&lt;=Tabla5[[#This Row],[INVERSIONES FCI]],+Tabla5[[#This Row],[INVERSIONES FCI]]-D311,Tabla5[[#This Row],[INVERSIONES FCI]])</f>
        <v>63692987848.203659</v>
      </c>
      <c r="E312" s="5">
        <f>IF($B311&lt;=Tabla5[[#This Row],[INVERSIONES FCI]],+Tabla5[[#This Row],[INVERSIONES FCI]]-E311,Tabla5[[#This Row],[INVERSIONES FCI]])</f>
        <v>63692987848.203659</v>
      </c>
      <c r="F312" s="5">
        <f>IF($B311&lt;=Tabla5[[#This Row],[INVERSIONES FCI]],+Tabla5[[#This Row],[INVERSIONES FCI]]-F311,Tabla5[[#This Row],[INVERSIONES FCI]])</f>
        <v>63692987848.203659</v>
      </c>
      <c r="G312" s="5">
        <f>IF($B311&lt;=Tabla5[[#This Row],[INVERSIONES FCI]],+Tabla5[[#This Row],[INVERSIONES FCI]]-G311,Tabla5[[#This Row],[INVERSIONES FCI]])</f>
        <v>63692987848.203659</v>
      </c>
      <c r="H312" s="5">
        <f>IF($B311&lt;=Tabla5[[#This Row],[INVERSIONES FCI]],+Tabla5[[#This Row],[INVERSIONES FCI]]-H311,Tabla5[[#This Row],[INVERSIONES FCI]])</f>
        <v>63692987848.203659</v>
      </c>
      <c r="I312" s="5">
        <f>IF($B311&lt;=Tabla5[[#This Row],[INVERSIONES FCI]],+Tabla5[[#This Row],[INVERSIONES FCI]]-I311,Tabla5[[#This Row],[INVERSIONES FCI]])</f>
        <v>63692987848.203659</v>
      </c>
      <c r="J312" s="5">
        <f>IF($B311&lt;=Tabla5[[#This Row],[INVERSIONES FCI]],+Tabla5[[#This Row],[INVERSIONES FCI]]-J311,Tabla5[[#This Row],[INVERSIONES FCI]])</f>
        <v>63692987848.203659</v>
      </c>
      <c r="K312" s="5">
        <f>IF($B311&lt;=Tabla5[[#This Row],[INVERSIONES FCI]],+Tabla5[[#This Row],[INVERSIONES FCI]]-K311,Tabla5[[#This Row],[INVERSIONES FCI]])</f>
        <v>63692987848.203659</v>
      </c>
      <c r="L312" s="5">
        <f>IF($B311&lt;=Tabla5[[#This Row],[INVERSIONES FCI]],+Tabla5[[#This Row],[INVERSIONES FCI]]-L311,Tabla5[[#This Row],[INVERSIONES FCI]])</f>
        <v>63692987848.203659</v>
      </c>
      <c r="M312" s="5">
        <f>IF($B311&lt;=Tabla5[[#This Row],[INVERSIONES FCI]],+Tabla5[[#This Row],[INVERSIONES FCI]]-M311,Tabla5[[#This Row],[INVERSIONES FCI]])</f>
        <v>63692987848.203659</v>
      </c>
      <c r="N312" s="5">
        <f>IF($B311&lt;=Tabla5[[#This Row],[INVERSIONES FCI]],+Tabla5[[#This Row],[INVERSIONES FCI]]-N311,Tabla5[[#This Row],[INVERSIONES FCI]])</f>
        <v>63692987848.203659</v>
      </c>
      <c r="O312" s="5">
        <f>IF($B311&lt;=Tabla5[[#This Row],[INVERSIONES FCI]],+Tabla5[[#This Row],[INVERSIONES FCI]]-O311,Tabla5[[#This Row],[INVERSIONES FCI]])</f>
        <v>63692987848.203659</v>
      </c>
      <c r="P312" s="5">
        <f>IF($B311&lt;=Tabla5[[#This Row],[INVERSIONES FCI]],+Tabla5[[#This Row],[INVERSIONES FCI]]-P311,Tabla5[[#This Row],[INVERSIONES FCI]])</f>
        <v>63692987848.203659</v>
      </c>
      <c r="Q312" s="5">
        <f>IF($B311&lt;=Tabla5[[#This Row],[INVERSIONES FCI]],+Tabla5[[#This Row],[INVERSIONES FCI]]-Q311,Tabla5[[#This Row],[INVERSIONES FCI]])</f>
        <v>63692987848.203659</v>
      </c>
      <c r="R312" s="5">
        <f>IF($B311&lt;=Tabla5[[#This Row],[INVERSIONES FCI]],+Tabla5[[#This Row],[INVERSIONES FCI]]-R311,Tabla5[[#This Row],[INVERSIONES FCI]])</f>
        <v>63692987848.203659</v>
      </c>
      <c r="S312" s="5">
        <f>IF($B311&lt;=Tabla5[[#This Row],[INVERSIONES FCI]],+Tabla5[[#This Row],[INVERSIONES FCI]]-S311,Tabla5[[#This Row],[INVERSIONES FCI]])</f>
        <v>63692987848.203659</v>
      </c>
      <c r="T312" s="5">
        <f>IF($B311&lt;=Tabla5[[#This Row],[INVERSIONES FCI]],+Tabla5[[#This Row],[INVERSIONES FCI]]-T311,Tabla5[[#This Row],[INVERSIONES FCI]])</f>
        <v>63692987848.203659</v>
      </c>
      <c r="U312" s="5">
        <f>IF($B311&lt;=Tabla5[[#This Row],[INVERSIONES FCI]],+Tabla5[[#This Row],[INVERSIONES FCI]]-U311,Tabla5[[#This Row],[INVERSIONES FCI]])</f>
        <v>63692987848.203659</v>
      </c>
      <c r="V312" s="5">
        <f>IF($B311&lt;=Tabla5[[#This Row],[INVERSIONES FCI]],+Tabla5[[#This Row],[INVERSIONES FCI]]-V311,Tabla5[[#This Row],[INVERSIONES FCI]])</f>
        <v>63692987848.203659</v>
      </c>
      <c r="W312" s="5">
        <f>IF($B311&lt;=Tabla5[[#This Row],[INVERSIONES FCI]],+Tabla5[[#This Row],[INVERSIONES FCI]]-W311,Tabla5[[#This Row],[INVERSIONES FCI]])</f>
        <v>63692987848.203659</v>
      </c>
      <c r="X312" s="5">
        <f>IF($B311&lt;=Tabla5[[#This Row],[INVERSIONES FCI]],+Tabla5[[#This Row],[INVERSIONES FCI]]-X311,Tabla5[[#This Row],[INVERSIONES FCI]])</f>
        <v>63692987848.203659</v>
      </c>
      <c r="Y312" s="5">
        <f>IF($B311&lt;=Tabla5[[#This Row],[INVERSIONES FCI]],+Tabla5[[#This Row],[INVERSIONES FCI]]-Y311,Tabla5[[#This Row],[INVERSIONES FCI]])</f>
        <v>63692987848.203659</v>
      </c>
      <c r="Z312" s="5">
        <f>IF($B311&lt;=Tabla5[[#This Row],[INVERSIONES FCI]],+Tabla5[[#This Row],[INVERSIONES FCI]]-Z311,Tabla5[[#This Row],[INVERSIONES FCI]])</f>
        <v>63692987848.203659</v>
      </c>
      <c r="AA312" s="5">
        <f>IF($B311&lt;=Tabla5[[#This Row],[INVERSIONES FCI]],+Tabla5[[#This Row],[INVERSIONES FCI]]-AA311,Tabla5[[#This Row],[INVERSIONES FCI]])</f>
        <v>63692987848.203659</v>
      </c>
      <c r="AB312" s="5">
        <f>IF($B311&lt;=Tabla5[[#This Row],[INVERSIONES FCI]],+Tabla5[[#This Row],[INVERSIONES FCI]]-AB311,Tabla5[[#This Row],[INVERSIONES FCI]])</f>
        <v>63692987848.203659</v>
      </c>
      <c r="AC312" s="5">
        <f>IF($B311&lt;=Tabla5[[#This Row],[INVERSIONES FCI]],+Tabla5[[#This Row],[INVERSIONES FCI]]-AC311,Tabla5[[#This Row],[INVERSIONES FCI]])</f>
        <v>63692987848.203659</v>
      </c>
      <c r="AD312" s="5">
        <f>IF($B311&lt;=Tabla5[[#This Row],[INVERSIONES FCI]],+Tabla5[[#This Row],[INVERSIONES FCI]]-AD311,Tabla5[[#This Row],[INVERSIONES FCI]])</f>
        <v>63692987848.203659</v>
      </c>
      <c r="AE312" s="5">
        <f>IF($B311&lt;=Tabla5[[#This Row],[INVERSIONES FCI]],+Tabla5[[#This Row],[INVERSIONES FCI]]-AE311,Tabla5[[#This Row],[INVERSIONES FCI]])</f>
        <v>63692987848.203659</v>
      </c>
      <c r="AF312" s="5">
        <f>IF($B311&lt;=Tabla5[[#This Row],[INVERSIONES FCI]],+Tabla5[[#This Row],[INVERSIONES FCI]]-AF311,Tabla5[[#This Row],[INVERSIONES FCI]])</f>
        <v>63692987848.203659</v>
      </c>
      <c r="AG312" s="5">
        <f>IF($B311&lt;=Tabla5[[#This Row],[INVERSIONES FCI]],+Tabla5[[#This Row],[INVERSIONES FCI]]-AG311,Tabla5[[#This Row],[INVERSIONES FCI]])</f>
        <v>63692987848.203659</v>
      </c>
      <c r="AH312" s="5">
        <f>IF($B311&lt;=Tabla5[[#This Row],[INVERSIONES FCI]],+Tabla5[[#This Row],[INVERSIONES FCI]]-AH311,Tabla5[[#This Row],[INVERSIONES FCI]])</f>
        <v>63692987848.203659</v>
      </c>
      <c r="AI312" s="5">
        <f>IF($B311&lt;=Tabla5[[#This Row],[INVERSIONES FCI]],+Tabla5[[#This Row],[INVERSIONES FCI]]-AI311,Tabla5[[#This Row],[INVERSIONES FCI]])</f>
        <v>63692987848.203659</v>
      </c>
      <c r="AJ312" s="5">
        <f>IF($B311&lt;=Tabla5[[#This Row],[INVERSIONES FCI]],+Tabla5[[#This Row],[INVERSIONES FCI]]-AJ311,Tabla5[[#This Row],[INVERSIONES FCI]])</f>
        <v>63692987848.203659</v>
      </c>
      <c r="AK312" s="5">
        <f>IF($B311&lt;=Tabla5[[#This Row],[INVERSIONES FCI]],+Tabla5[[#This Row],[INVERSIONES FCI]]-AK311,Tabla5[[#This Row],[INVERSIONES FCI]])</f>
        <v>63692987848.203659</v>
      </c>
      <c r="AL312" s="5">
        <f>IF($B311&lt;=Tabla5[[#This Row],[INVERSIONES FCI]],+Tabla5[[#This Row],[INVERSIONES FCI]]-AL311,Tabla5[[#This Row],[INVERSIONES FCI]])</f>
        <v>63692987848.203659</v>
      </c>
      <c r="AM312" s="5">
        <f>IF($B311&lt;=Tabla5[[#This Row],[INVERSIONES FCI]],+Tabla5[[#This Row],[INVERSIONES FCI]]-AM311,Tabla5[[#This Row],[INVERSIONES FCI]])</f>
        <v>63692987848.203659</v>
      </c>
      <c r="AN312" s="5">
        <f>IF($B311&lt;=Tabla5[[#This Row],[INVERSIONES FCI]],+Tabla5[[#This Row],[INVERSIONES FCI]]-AN311,Tabla5[[#This Row],[INVERSIONES FCI]])</f>
        <v>63692987848.203659</v>
      </c>
      <c r="AO312" s="5">
        <f>IF($B311&lt;=Tabla5[[#This Row],[INVERSIONES FCI]],+Tabla5[[#This Row],[INVERSIONES FCI]]-AO311,Tabla5[[#This Row],[INVERSIONES FCI]])</f>
        <v>63692987848.203659</v>
      </c>
      <c r="AP312" s="5">
        <f>IF($B311&lt;=Tabla5[[#This Row],[INVERSIONES FCI]],+Tabla5[[#This Row],[INVERSIONES FCI]]-AP311,Tabla5[[#This Row],[INVERSIONES FCI]])</f>
        <v>63692987848.203659</v>
      </c>
      <c r="AQ312" s="5">
        <f>IF($B311&lt;=Tabla5[[#This Row],[INVERSIONES FCI]],+Tabla5[[#This Row],[INVERSIONES FCI]]-AQ311,Tabla5[[#This Row],[INVERSIONES FCI]])</f>
        <v>63692987848.203659</v>
      </c>
      <c r="AR312" s="5">
        <f>IF($B311&lt;=Tabla5[[#This Row],[INVERSIONES FCI]],+Tabla5[[#This Row],[INVERSIONES FCI]]-AR311,Tabla5[[#This Row],[INVERSIONES FCI]])</f>
        <v>63692987848.203659</v>
      </c>
      <c r="AS312" s="5">
        <f>IF($B311&lt;=Tabla5[[#This Row],[INVERSIONES FCI]],+Tabla5[[#This Row],[INVERSIONES FCI]]-AS311,Tabla5[[#This Row],[INVERSIONES FCI]])</f>
        <v>63692987848.203659</v>
      </c>
      <c r="AT312" s="5">
        <f>IF($B311&lt;=Tabla5[[#This Row],[INVERSIONES FCI]],+Tabla5[[#This Row],[INVERSIONES FCI]]-AT311,Tabla5[[#This Row],[INVERSIONES FCI]])</f>
        <v>63692987848.203659</v>
      </c>
      <c r="AU312" s="5">
        <f>IF($B311&lt;=Tabla5[[#This Row],[INVERSIONES FCI]],+Tabla5[[#This Row],[INVERSIONES FCI]]-AU311,Tabla5[[#This Row],[INVERSIONES FCI]])</f>
        <v>63692987848.203659</v>
      </c>
      <c r="AV312" s="5">
        <f>IF($B311&lt;=Tabla5[[#This Row],[INVERSIONES FCI]],+Tabla5[[#This Row],[INVERSIONES FCI]]-AV311,Tabla5[[#This Row],[INVERSIONES FCI]])</f>
        <v>63692987848.203659</v>
      </c>
      <c r="AW312" s="5">
        <f>IF($B311&lt;=Tabla5[[#This Row],[INVERSIONES FCI]],+Tabla5[[#This Row],[INVERSIONES FCI]]-AW311,Tabla5[[#This Row],[INVERSIONES FCI]])</f>
        <v>63692987848.203659</v>
      </c>
      <c r="AX312" s="5">
        <f>IF($B311&lt;=Tabla5[[#This Row],[INVERSIONES FCI]],+Tabla5[[#This Row],[INVERSIONES FCI]]-AX311,Tabla5[[#This Row],[INVERSIONES FCI]])</f>
        <v>63692987848.203659</v>
      </c>
      <c r="AY312" s="5">
        <f>IF($B311&lt;=Tabla5[[#This Row],[INVERSIONES FCI]],+Tabla5[[#This Row],[INVERSIONES FCI]]-AY311,Tabla5[[#This Row],[INVERSIONES FCI]])</f>
        <v>63692987848.203659</v>
      </c>
      <c r="AZ312" s="5">
        <f>IF($B311&lt;=Tabla5[[#This Row],[INVERSIONES FCI]],+Tabla5[[#This Row],[INVERSIONES FCI]]-AZ311,Tabla5[[#This Row],[INVERSIONES FCI]])</f>
        <v>63692987848.203659</v>
      </c>
      <c r="BA312" s="5">
        <f>IF($B311&lt;=Tabla5[[#This Row],[INVERSIONES FCI]],+Tabla5[[#This Row],[INVERSIONES FCI]]-BA311,Tabla5[[#This Row],[INVERSIONES FCI]])</f>
        <v>63692987848.203659</v>
      </c>
      <c r="BB312" s="5">
        <f>IF($B311&lt;=Tabla5[[#This Row],[INVERSIONES FCI]],+Tabla5[[#This Row],[INVERSIONES FCI]]-BB311,Tabla5[[#This Row],[INVERSIONES FCI]])</f>
        <v>63692987848.203659</v>
      </c>
      <c r="BC312" s="5">
        <f>IF($B311&lt;=Tabla5[[#This Row],[INVERSIONES FCI]],+Tabla5[[#This Row],[INVERSIONES FCI]]-BC311,Tabla5[[#This Row],[INVERSIONES FCI]])</f>
        <v>63692987848.203659</v>
      </c>
      <c r="BD312" s="5">
        <f>IF($B311&lt;=Tabla5[[#This Row],[INVERSIONES FCI]],+Tabla5[[#This Row],[INVERSIONES FCI]]-BD311,Tabla5[[#This Row],[INVERSIONES FCI]])</f>
        <v>63692987848.203659</v>
      </c>
      <c r="BE312" s="5">
        <f>IF($B311&lt;=Tabla5[[#This Row],[INVERSIONES FCI]],+Tabla5[[#This Row],[INVERSIONES FCI]]-BE311,Tabla5[[#This Row],[INVERSIONES FCI]])</f>
        <v>63692987848.203659</v>
      </c>
      <c r="BF312" s="5">
        <f>IF($B311&lt;=Tabla5[[#This Row],[INVERSIONES FCI]],+Tabla5[[#This Row],[INVERSIONES FCI]]-BF311,Tabla5[[#This Row],[INVERSIONES FCI]])</f>
        <v>63692987848.203659</v>
      </c>
      <c r="BG312" s="5">
        <f>IF($B311&lt;=Tabla5[[#This Row],[INVERSIONES FCI]],+Tabla5[[#This Row],[INVERSIONES FCI]]-BG311,Tabla5[[#This Row],[INVERSIONES FCI]])</f>
        <v>63692987848.203659</v>
      </c>
      <c r="BH312" s="5">
        <f>IF($B311&lt;=Tabla5[[#This Row],[INVERSIONES FCI]],+Tabla5[[#This Row],[INVERSIONES FCI]]-BH311,Tabla5[[#This Row],[INVERSIONES FCI]])</f>
        <v>63692987848.203659</v>
      </c>
      <c r="BI312" s="5">
        <f>IF($B311&lt;=Tabla5[[#This Row],[INVERSIONES FCI]],+Tabla5[[#This Row],[INVERSIONES FCI]]-BI311,Tabla5[[#This Row],[INVERSIONES FCI]])</f>
        <v>63692987848.203659</v>
      </c>
      <c r="BJ312" s="5">
        <f>IF($B311&lt;=Tabla5[[#This Row],[INVERSIONES FCI]],+Tabla5[[#This Row],[INVERSIONES FCI]]-BJ311,Tabla5[[#This Row],[INVERSIONES FCI]])</f>
        <v>63692987848.203659</v>
      </c>
      <c r="BK312" s="5">
        <f>IF($B311&lt;=Tabla5[[#This Row],[INVERSIONES FCI]],+Tabla5[[#This Row],[INVERSIONES FCI]]-BK311,Tabla5[[#This Row],[INVERSIONES FCI]])</f>
        <v>63692987848.203659</v>
      </c>
      <c r="BL312" s="5">
        <f>IF($B311&lt;=Tabla5[[#This Row],[INVERSIONES FCI]],+Tabla5[[#This Row],[INVERSIONES FCI]]-BL311,Tabla5[[#This Row],[INVERSIONES FCI]])</f>
        <v>63692987848.203659</v>
      </c>
      <c r="BM312" s="5">
        <f>IF($B311&lt;=Tabla5[[#This Row],[INVERSIONES FCI]],+Tabla5[[#This Row],[INVERSIONES FCI]]-BM311,Tabla5[[#This Row],[INVERSIONES FCI]])</f>
        <v>63692987848.203659</v>
      </c>
      <c r="BN312" s="5">
        <f>IF($B311&lt;=Tabla5[[#This Row],[INVERSIONES FCI]],+Tabla5[[#This Row],[INVERSIONES FCI]]-BN311,Tabla5[[#This Row],[INVERSIONES FCI]])</f>
        <v>63692987848.203659</v>
      </c>
      <c r="BO312" s="5">
        <f>IF($B311&lt;=Tabla5[[#This Row],[INVERSIONES FCI]],+Tabla5[[#This Row],[INVERSIONES FCI]]-BO311,Tabla5[[#This Row],[INVERSIONES FCI]])</f>
        <v>63692987848.203659</v>
      </c>
      <c r="BP312" s="5">
        <f>IF($B311&lt;=Tabla5[[#This Row],[INVERSIONES FCI]],+Tabla5[[#This Row],[INVERSIONES FCI]]-BP311,Tabla5[[#This Row],[INVERSIONES FCI]])</f>
        <v>63692987848.203659</v>
      </c>
      <c r="BQ312" s="5">
        <f>IF($B311&lt;=Tabla5[[#This Row],[INVERSIONES FCI]],+Tabla5[[#This Row],[INVERSIONES FCI]]-BQ311,Tabla5[[#This Row],[INVERSIONES FCI]])</f>
        <v>63692987848.203659</v>
      </c>
      <c r="BR312" s="5">
        <f>IF($B311&lt;=Tabla5[[#This Row],[INVERSIONES FCI]],+Tabla5[[#This Row],[INVERSIONES FCI]]-BR311,Tabla5[[#This Row],[INVERSIONES FCI]])</f>
        <v>63692987848.203659</v>
      </c>
      <c r="BS312" s="5">
        <f>IF($B311&lt;=Tabla5[[#This Row],[INVERSIONES FCI]],+Tabla5[[#This Row],[INVERSIONES FCI]]-BS311,Tabla5[[#This Row],[INVERSIONES FCI]])</f>
        <v>63692987848.203659</v>
      </c>
      <c r="BT312" s="5">
        <f>IF($B311&lt;=Tabla5[[#This Row],[INVERSIONES FCI]],+Tabla5[[#This Row],[INVERSIONES FCI]]-BT311,Tabla5[[#This Row],[INVERSIONES FCI]])</f>
        <v>63692987848.203659</v>
      </c>
      <c r="BU312" s="5">
        <f>IF($B311&lt;=Tabla5[[#This Row],[INVERSIONES FCI]],+Tabla5[[#This Row],[INVERSIONES FCI]]-BU311,Tabla5[[#This Row],[INVERSIONES FCI]])</f>
        <v>63692987848.203659</v>
      </c>
      <c r="BV312" s="5">
        <f>IF($B311&lt;=Tabla5[[#This Row],[INVERSIONES FCI]],+Tabla5[[#This Row],[INVERSIONES FCI]]-BV311,Tabla5[[#This Row],[INVERSIONES FCI]])</f>
        <v>63692987848.203659</v>
      </c>
      <c r="BW312" s="5">
        <f>IF($B311&lt;=Tabla5[[#This Row],[INVERSIONES FCI]],+Tabla5[[#This Row],[INVERSIONES FCI]]-BW311,Tabla5[[#This Row],[INVERSIONES FCI]])</f>
        <v>63692987848.203659</v>
      </c>
      <c r="BX312" s="5">
        <f>IF($B311&lt;=Tabla5[[#This Row],[INVERSIONES FCI]],+Tabla5[[#This Row],[INVERSIONES FCI]]-BX311,Tabla5[[#This Row],[INVERSIONES FCI]])</f>
        <v>63692987848.203659</v>
      </c>
      <c r="BY312" s="5">
        <f>IF($B311&lt;=Tabla5[[#This Row],[INVERSIONES FCI]],+Tabla5[[#This Row],[INVERSIONES FCI]]-BY311,Tabla5[[#This Row],[INVERSIONES FCI]])</f>
        <v>63692987848.203659</v>
      </c>
      <c r="BZ312" s="5">
        <f>IF($B311&lt;=Tabla5[[#This Row],[INVERSIONES FCI]],+Tabla5[[#This Row],[INVERSIONES FCI]]-BZ311,Tabla5[[#This Row],[INVERSIONES FCI]])</f>
        <v>63692987848.203659</v>
      </c>
      <c r="CA312" s="5">
        <f>IF($B311&lt;=Tabla5[[#This Row],[INVERSIONES FCI]],+Tabla5[[#This Row],[INVERSIONES FCI]]-CA311,Tabla5[[#This Row],[INVERSIONES FCI]])</f>
        <v>63692987848.203659</v>
      </c>
      <c r="CB312" s="5">
        <f>IF($B311&lt;=Tabla5[[#This Row],[INVERSIONES FCI]],+Tabla5[[#This Row],[INVERSIONES FCI]]-CB311,Tabla5[[#This Row],[INVERSIONES FCI]])</f>
        <v>63692987848.203659</v>
      </c>
      <c r="CC312" s="5">
        <f>IF($B311&lt;=Tabla5[[#This Row],[INVERSIONES FCI]],+Tabla5[[#This Row],[INVERSIONES FCI]]-CC311,Tabla5[[#This Row],[INVERSIONES FCI]])</f>
        <v>63692987848.203659</v>
      </c>
      <c r="CD312" s="5">
        <f>IF($B311&lt;=Tabla5[[#This Row],[INVERSIONES FCI]],+Tabla5[[#This Row],[INVERSIONES FCI]]-CD311,Tabla5[[#This Row],[INVERSIONES FCI]])</f>
        <v>63692987848.203659</v>
      </c>
      <c r="CE312" s="5">
        <f>IF($B311&lt;=Tabla5[[#This Row],[INVERSIONES FCI]],+Tabla5[[#This Row],[INVERSIONES FCI]]-CE311,Tabla5[[#This Row],[INVERSIONES FCI]])</f>
        <v>63692987848.203659</v>
      </c>
      <c r="CF312" s="5">
        <f>IF($B311&lt;=Tabla5[[#This Row],[INVERSIONES FCI]],+Tabla5[[#This Row],[INVERSIONES FCI]]-CF311,Tabla5[[#This Row],[INVERSIONES FCI]])</f>
        <v>63692987848.203659</v>
      </c>
      <c r="CG312" s="5">
        <f>IF($B311&lt;=Tabla5[[#This Row],[INVERSIONES FCI]],+Tabla5[[#This Row],[INVERSIONES FCI]]-CG311,Tabla5[[#This Row],[INVERSIONES FCI]])</f>
        <v>63692987848.203659</v>
      </c>
      <c r="CH312" s="5">
        <f>IF($B311&lt;=Tabla5[[#This Row],[INVERSIONES FCI]],+Tabla5[[#This Row],[INVERSIONES FCI]]-CH311,Tabla5[[#This Row],[INVERSIONES FCI]])</f>
        <v>63692987848.203659</v>
      </c>
      <c r="CI312" s="5">
        <f>IF($B311&lt;=Tabla5[[#This Row],[INVERSIONES FCI]],+Tabla5[[#This Row],[INVERSIONES FCI]]-CI311,Tabla5[[#This Row],[INVERSIONES FCI]])</f>
        <v>63692987848.203659</v>
      </c>
      <c r="CJ312" s="5">
        <f>IF($B311&lt;=Tabla5[[#This Row],[INVERSIONES FCI]],+Tabla5[[#This Row],[INVERSIONES FCI]]-CJ311,Tabla5[[#This Row],[INVERSIONES FCI]])</f>
        <v>63692987848.203659</v>
      </c>
      <c r="CK312" s="5">
        <f>IF($B311&lt;=Tabla5[[#This Row],[INVERSIONES FCI]],+Tabla5[[#This Row],[INVERSIONES FCI]]-CK311,Tabla5[[#This Row],[INVERSIONES FCI]])</f>
        <v>63692987848.203659</v>
      </c>
      <c r="CL312" s="5">
        <f>IF($B311&lt;=Tabla5[[#This Row],[INVERSIONES FCI]],+Tabla5[[#This Row],[INVERSIONES FCI]]-CL311,Tabla5[[#This Row],[INVERSIONES FCI]])</f>
        <v>63692987848.203659</v>
      </c>
      <c r="CM312" s="5">
        <f>IF($B311&lt;=Tabla5[[#This Row],[INVERSIONES FCI]],+Tabla5[[#This Row],[INVERSIONES FCI]]-CM311,Tabla5[[#This Row],[INVERSIONES FCI]])</f>
        <v>63692987848.203659</v>
      </c>
      <c r="CN312" s="5">
        <f>IF($B311&lt;=Tabla5[[#This Row],[INVERSIONES FCI]],+Tabla5[[#This Row],[INVERSIONES FCI]]-CN311,Tabla5[[#This Row],[INVERSIONES FCI]])</f>
        <v>63692987848.203659</v>
      </c>
      <c r="CO312" s="5">
        <f>IF($B311&lt;=Tabla5[[#This Row],[INVERSIONES FCI]],+Tabla5[[#This Row],[INVERSIONES FCI]]-CO311,Tabla5[[#This Row],[INVERSIONES FCI]])</f>
        <v>63692987848.203659</v>
      </c>
      <c r="CP312" s="5">
        <f>IF($B311&lt;=Tabla5[[#This Row],[INVERSIONES FCI]],+Tabla5[[#This Row],[INVERSIONES FCI]]-CP311,Tabla5[[#This Row],[INVERSIONES FCI]])</f>
        <v>63692987848.203659</v>
      </c>
      <c r="CQ312" s="5">
        <f>IF($B311&lt;=Tabla5[[#This Row],[INVERSIONES FCI]],+Tabla5[[#This Row],[INVERSIONES FCI]]-CQ311,Tabla5[[#This Row],[INVERSIONES FCI]])</f>
        <v>63692987848.203659</v>
      </c>
      <c r="CR312" s="5">
        <f>IF($B311&lt;=Tabla5[[#This Row],[INVERSIONES FCI]],+Tabla5[[#This Row],[INVERSIONES FCI]]-CR311,Tabla5[[#This Row],[INVERSIONES FCI]])</f>
        <v>63692987848.203659</v>
      </c>
      <c r="CS312" s="5">
        <f>IF($B311&lt;=Tabla5[[#This Row],[INVERSIONES FCI]],+Tabla5[[#This Row],[INVERSIONES FCI]]-CS311,Tabla5[[#This Row],[INVERSIONES FCI]])</f>
        <v>63692987848.203659</v>
      </c>
      <c r="CT312" s="5">
        <f>IF($B311&lt;=Tabla5[[#This Row],[INVERSIONES FCI]],+Tabla5[[#This Row],[INVERSIONES FCI]]-CT311,Tabla5[[#This Row],[INVERSIONES FCI]])</f>
        <v>63692987848.203659</v>
      </c>
      <c r="CU312" s="5">
        <f>IF($B311&lt;=Tabla5[[#This Row],[INVERSIONES FCI]],+Tabla5[[#This Row],[INVERSIONES FCI]]-CU311,Tabla5[[#This Row],[INVERSIONES FCI]])</f>
        <v>63692987848.203659</v>
      </c>
      <c r="CV312" s="5">
        <f>IF($B311&lt;=Tabla5[[#This Row],[INVERSIONES FCI]],+Tabla5[[#This Row],[INVERSIONES FCI]]-CV311,Tabla5[[#This Row],[INVERSIONES FCI]])</f>
        <v>63692987848.203659</v>
      </c>
      <c r="CW312" s="5">
        <f>IF($B311&lt;=Tabla5[[#This Row],[INVERSIONES FCI]],+Tabla5[[#This Row],[INVERSIONES FCI]]-CW311,Tabla5[[#This Row],[INVERSIONES FCI]])</f>
        <v>63692987848.203659</v>
      </c>
      <c r="CX312" s="5">
        <f>IF($B311&lt;=Tabla5[[#This Row],[INVERSIONES FCI]],+Tabla5[[#This Row],[INVERSIONES FCI]]-CX311,Tabla5[[#This Row],[INVERSIONES FCI]])</f>
        <v>63692987848.203659</v>
      </c>
      <c r="CY312" s="5">
        <f>IF($B311&lt;=Tabla5[[#This Row],[INVERSIONES FCI]],+Tabla5[[#This Row],[INVERSIONES FCI]]-CY311,Tabla5[[#This Row],[INVERSIONES FCI]])</f>
        <v>63692987848.203659</v>
      </c>
      <c r="CZ312" s="5">
        <f>IF($B311&lt;=Tabla5[[#This Row],[INVERSIONES FCI]],+Tabla5[[#This Row],[INVERSIONES FCI]]-CZ311,Tabla5[[#This Row],[INVERSIONES FCI]])</f>
        <v>63692987848.203659</v>
      </c>
      <c r="DA312" s="5">
        <f>IF($B311&lt;=Tabla5[[#This Row],[INVERSIONES FCI]],+Tabla5[[#This Row],[INVERSIONES FCI]]-DA311,Tabla5[[#This Row],[INVERSIONES FCI]])</f>
        <v>63692987848.203659</v>
      </c>
      <c r="DB312" s="5">
        <f>IF($B311&lt;=Tabla5[[#This Row],[INVERSIONES FCI]],+Tabla5[[#This Row],[INVERSIONES FCI]]-DB311,Tabla5[[#This Row],[INVERSIONES FCI]])</f>
        <v>63692987848.203659</v>
      </c>
      <c r="DC312" s="5">
        <f>IF($B311&lt;=Tabla5[[#This Row],[INVERSIONES FCI]],+Tabla5[[#This Row],[INVERSIONES FCI]]-DC311,Tabla5[[#This Row],[INVERSIONES FCI]])</f>
        <v>63692987848.203659</v>
      </c>
      <c r="DD312" s="5">
        <f>IF($B311&lt;=Tabla5[[#This Row],[INVERSIONES FCI]],+Tabla5[[#This Row],[INVERSIONES FCI]]-DD311,Tabla5[[#This Row],[INVERSIONES FCI]])</f>
        <v>63692987848.203659</v>
      </c>
      <c r="DE312" s="5">
        <f>IF($B311&lt;=Tabla5[[#This Row],[INVERSIONES FCI]],+Tabla5[[#This Row],[INVERSIONES FCI]]-DE311,Tabla5[[#This Row],[INVERSIONES FCI]])</f>
        <v>63692987848.203659</v>
      </c>
      <c r="DF312" s="5">
        <f>IF($B311&lt;=Tabla5[[#This Row],[INVERSIONES FCI]],+Tabla5[[#This Row],[INVERSIONES FCI]]-DF311,Tabla5[[#This Row],[INVERSIONES FCI]])</f>
        <v>63692987848.203659</v>
      </c>
      <c r="DG312" s="5">
        <f>IF($B311&lt;=Tabla5[[#This Row],[INVERSIONES FCI]],+Tabla5[[#This Row],[INVERSIONES FCI]]-DG311,Tabla5[[#This Row],[INVERSIONES FCI]])</f>
        <v>63692987848.203659</v>
      </c>
      <c r="DH312" s="5">
        <f>IF($B311&lt;=Tabla5[[#This Row],[INVERSIONES FCI]],+Tabla5[[#This Row],[INVERSIONES FCI]]-DH311,Tabla5[[#This Row],[INVERSIONES FCI]])</f>
        <v>63692987848.203659</v>
      </c>
      <c r="DI312" s="5">
        <f>IF($B311&lt;=Tabla5[[#This Row],[INVERSIONES FCI]],+Tabla5[[#This Row],[INVERSIONES FCI]]-DI311,Tabla5[[#This Row],[INVERSIONES FCI]])</f>
        <v>63692987848.203659</v>
      </c>
      <c r="DJ312" s="5">
        <f>IF($B311&lt;=Tabla5[[#This Row],[INVERSIONES FCI]],+Tabla5[[#This Row],[INVERSIONES FCI]]-DJ311,Tabla5[[#This Row],[INVERSIONES FCI]])</f>
        <v>63692987848.203659</v>
      </c>
      <c r="DK312" s="5">
        <f>IF($B311&lt;=Tabla5[[#This Row],[INVERSIONES FCI]],+Tabla5[[#This Row],[INVERSIONES FCI]]-DK311,Tabla5[[#This Row],[INVERSIONES FCI]])</f>
        <v>63692987848.203659</v>
      </c>
      <c r="DL312" s="5"/>
      <c r="DM312" s="5"/>
      <c r="DN312" s="5"/>
      <c r="DO312" s="5"/>
      <c r="DP312" s="5"/>
      <c r="DQ312" s="5"/>
    </row>
    <row r="313" spans="1:121" ht="14.4">
      <c r="A313" s="12" t="s">
        <v>312</v>
      </c>
      <c r="B313" s="5">
        <f>HLOOKUP($A313,ESCENARIO[#All],7,FALSE)</f>
        <v>66402273581.407654</v>
      </c>
      <c r="C313" s="5">
        <f>IF($B312&lt;=Tabla5[[#This Row],[INVERSIONES FCI]],+Tabla5[[#This Row],[INVERSIONES FCI]]-C312,Tabla5[[#This Row],[INVERSIONES FCI]])</f>
        <v>66402273581.407654</v>
      </c>
      <c r="D313" s="5">
        <f>IF($B312&lt;=Tabla5[[#This Row],[INVERSIONES FCI]],+Tabla5[[#This Row],[INVERSIONES FCI]]-D312,Tabla5[[#This Row],[INVERSIONES FCI]])</f>
        <v>66402273581.407654</v>
      </c>
      <c r="E313" s="5">
        <f>IF($B312&lt;=Tabla5[[#This Row],[INVERSIONES FCI]],+Tabla5[[#This Row],[INVERSIONES FCI]]-E312,Tabla5[[#This Row],[INVERSIONES FCI]])</f>
        <v>66402273581.407654</v>
      </c>
      <c r="F313" s="5">
        <f>IF($B312&lt;=Tabla5[[#This Row],[INVERSIONES FCI]],+Tabla5[[#This Row],[INVERSIONES FCI]]-F312,Tabla5[[#This Row],[INVERSIONES FCI]])</f>
        <v>66402273581.407654</v>
      </c>
      <c r="G313" s="5">
        <f>IF($B312&lt;=Tabla5[[#This Row],[INVERSIONES FCI]],+Tabla5[[#This Row],[INVERSIONES FCI]]-G312,Tabla5[[#This Row],[INVERSIONES FCI]])</f>
        <v>66402273581.407654</v>
      </c>
      <c r="H313" s="5">
        <f>IF($B312&lt;=Tabla5[[#This Row],[INVERSIONES FCI]],+Tabla5[[#This Row],[INVERSIONES FCI]]-H312,Tabla5[[#This Row],[INVERSIONES FCI]])</f>
        <v>66402273581.407654</v>
      </c>
      <c r="I313" s="5">
        <f>IF($B312&lt;=Tabla5[[#This Row],[INVERSIONES FCI]],+Tabla5[[#This Row],[INVERSIONES FCI]]-I312,Tabla5[[#This Row],[INVERSIONES FCI]])</f>
        <v>66402273581.407654</v>
      </c>
      <c r="J313" s="5">
        <f>IF($B312&lt;=Tabla5[[#This Row],[INVERSIONES FCI]],+Tabla5[[#This Row],[INVERSIONES FCI]]-J312,Tabla5[[#This Row],[INVERSIONES FCI]])</f>
        <v>66402273581.407654</v>
      </c>
      <c r="K313" s="5">
        <f>IF($B312&lt;=Tabla5[[#This Row],[INVERSIONES FCI]],+Tabla5[[#This Row],[INVERSIONES FCI]]-K312,Tabla5[[#This Row],[INVERSIONES FCI]])</f>
        <v>66402273581.407654</v>
      </c>
      <c r="L313" s="5">
        <f>IF($B312&lt;=Tabla5[[#This Row],[INVERSIONES FCI]],+Tabla5[[#This Row],[INVERSIONES FCI]]-L312,Tabla5[[#This Row],[INVERSIONES FCI]])</f>
        <v>66402273581.407654</v>
      </c>
      <c r="M313" s="5">
        <f>IF($B312&lt;=Tabla5[[#This Row],[INVERSIONES FCI]],+Tabla5[[#This Row],[INVERSIONES FCI]]-M312,Tabla5[[#This Row],[INVERSIONES FCI]])</f>
        <v>66402273581.407654</v>
      </c>
      <c r="N313" s="5">
        <f>IF($B312&lt;=Tabla5[[#This Row],[INVERSIONES FCI]],+Tabla5[[#This Row],[INVERSIONES FCI]]-N312,Tabla5[[#This Row],[INVERSIONES FCI]])</f>
        <v>66402273581.407654</v>
      </c>
      <c r="O313" s="5">
        <f>IF($B312&lt;=Tabla5[[#This Row],[INVERSIONES FCI]],+Tabla5[[#This Row],[INVERSIONES FCI]]-O312,Tabla5[[#This Row],[INVERSIONES FCI]])</f>
        <v>66402273581.407654</v>
      </c>
      <c r="P313" s="5">
        <f>IF($B312&lt;=Tabla5[[#This Row],[INVERSIONES FCI]],+Tabla5[[#This Row],[INVERSIONES FCI]]-P312,Tabla5[[#This Row],[INVERSIONES FCI]])</f>
        <v>66402273581.407654</v>
      </c>
      <c r="Q313" s="5">
        <f>IF($B312&lt;=Tabla5[[#This Row],[INVERSIONES FCI]],+Tabla5[[#This Row],[INVERSIONES FCI]]-Q312,Tabla5[[#This Row],[INVERSIONES FCI]])</f>
        <v>66402273581.407654</v>
      </c>
      <c r="R313" s="5">
        <f>IF($B312&lt;=Tabla5[[#This Row],[INVERSIONES FCI]],+Tabla5[[#This Row],[INVERSIONES FCI]]-R312,Tabla5[[#This Row],[INVERSIONES FCI]])</f>
        <v>66402273581.407654</v>
      </c>
      <c r="S313" s="5">
        <f>IF($B312&lt;=Tabla5[[#This Row],[INVERSIONES FCI]],+Tabla5[[#This Row],[INVERSIONES FCI]]-S312,Tabla5[[#This Row],[INVERSIONES FCI]])</f>
        <v>66402273581.407654</v>
      </c>
      <c r="T313" s="5">
        <f>IF($B312&lt;=Tabla5[[#This Row],[INVERSIONES FCI]],+Tabla5[[#This Row],[INVERSIONES FCI]]-T312,Tabla5[[#This Row],[INVERSIONES FCI]])</f>
        <v>66402273581.407654</v>
      </c>
      <c r="U313" s="5">
        <f>IF($B312&lt;=Tabla5[[#This Row],[INVERSIONES FCI]],+Tabla5[[#This Row],[INVERSIONES FCI]]-U312,Tabla5[[#This Row],[INVERSIONES FCI]])</f>
        <v>66402273581.407654</v>
      </c>
      <c r="V313" s="5">
        <f>IF($B312&lt;=Tabla5[[#This Row],[INVERSIONES FCI]],+Tabla5[[#This Row],[INVERSIONES FCI]]-V312,Tabla5[[#This Row],[INVERSIONES FCI]])</f>
        <v>66402273581.407654</v>
      </c>
      <c r="W313" s="5">
        <f>IF($B312&lt;=Tabla5[[#This Row],[INVERSIONES FCI]],+Tabla5[[#This Row],[INVERSIONES FCI]]-W312,Tabla5[[#This Row],[INVERSIONES FCI]])</f>
        <v>66402273581.407654</v>
      </c>
      <c r="X313" s="5">
        <f>IF($B312&lt;=Tabla5[[#This Row],[INVERSIONES FCI]],+Tabla5[[#This Row],[INVERSIONES FCI]]-X312,Tabla5[[#This Row],[INVERSIONES FCI]])</f>
        <v>66402273581.407654</v>
      </c>
      <c r="Y313" s="5">
        <f>IF($B312&lt;=Tabla5[[#This Row],[INVERSIONES FCI]],+Tabla5[[#This Row],[INVERSIONES FCI]]-Y312,Tabla5[[#This Row],[INVERSIONES FCI]])</f>
        <v>66402273581.407654</v>
      </c>
      <c r="Z313" s="5">
        <f>IF($B312&lt;=Tabla5[[#This Row],[INVERSIONES FCI]],+Tabla5[[#This Row],[INVERSIONES FCI]]-Z312,Tabla5[[#This Row],[INVERSIONES FCI]])</f>
        <v>66402273581.407654</v>
      </c>
      <c r="AA313" s="5">
        <f>IF($B312&lt;=Tabla5[[#This Row],[INVERSIONES FCI]],+Tabla5[[#This Row],[INVERSIONES FCI]]-AA312,Tabla5[[#This Row],[INVERSIONES FCI]])</f>
        <v>66402273581.407654</v>
      </c>
      <c r="AB313" s="5">
        <f>IF($B312&lt;=Tabla5[[#This Row],[INVERSIONES FCI]],+Tabla5[[#This Row],[INVERSIONES FCI]]-AB312,Tabla5[[#This Row],[INVERSIONES FCI]])</f>
        <v>66402273581.407654</v>
      </c>
      <c r="AC313" s="5">
        <f>IF($B312&lt;=Tabla5[[#This Row],[INVERSIONES FCI]],+Tabla5[[#This Row],[INVERSIONES FCI]]-AC312,Tabla5[[#This Row],[INVERSIONES FCI]])</f>
        <v>66402273581.407654</v>
      </c>
      <c r="AD313" s="5">
        <f>IF($B312&lt;=Tabla5[[#This Row],[INVERSIONES FCI]],+Tabla5[[#This Row],[INVERSIONES FCI]]-AD312,Tabla5[[#This Row],[INVERSIONES FCI]])</f>
        <v>66402273581.407654</v>
      </c>
      <c r="AE313" s="5">
        <f>IF($B312&lt;=Tabla5[[#This Row],[INVERSIONES FCI]],+Tabla5[[#This Row],[INVERSIONES FCI]]-AE312,Tabla5[[#This Row],[INVERSIONES FCI]])</f>
        <v>66402273581.407654</v>
      </c>
      <c r="AF313" s="5">
        <f>IF($B312&lt;=Tabla5[[#This Row],[INVERSIONES FCI]],+Tabla5[[#This Row],[INVERSIONES FCI]]-AF312,Tabla5[[#This Row],[INVERSIONES FCI]])</f>
        <v>66402273581.407654</v>
      </c>
      <c r="AG313" s="5">
        <f>IF($B312&lt;=Tabla5[[#This Row],[INVERSIONES FCI]],+Tabla5[[#This Row],[INVERSIONES FCI]]-AG312,Tabla5[[#This Row],[INVERSIONES FCI]])</f>
        <v>66402273581.407654</v>
      </c>
      <c r="AH313" s="5">
        <f>IF($B312&lt;=Tabla5[[#This Row],[INVERSIONES FCI]],+Tabla5[[#This Row],[INVERSIONES FCI]]-AH312,Tabla5[[#This Row],[INVERSIONES FCI]])</f>
        <v>66402273581.407654</v>
      </c>
      <c r="AI313" s="5">
        <f>IF($B312&lt;=Tabla5[[#This Row],[INVERSIONES FCI]],+Tabla5[[#This Row],[INVERSIONES FCI]]-AI312,Tabla5[[#This Row],[INVERSIONES FCI]])</f>
        <v>66402273581.407654</v>
      </c>
      <c r="AJ313" s="5">
        <f>IF($B312&lt;=Tabla5[[#This Row],[INVERSIONES FCI]],+Tabla5[[#This Row],[INVERSIONES FCI]]-AJ312,Tabla5[[#This Row],[INVERSIONES FCI]])</f>
        <v>66402273581.407654</v>
      </c>
      <c r="AK313" s="5">
        <f>IF($B312&lt;=Tabla5[[#This Row],[INVERSIONES FCI]],+Tabla5[[#This Row],[INVERSIONES FCI]]-AK312,Tabla5[[#This Row],[INVERSIONES FCI]])</f>
        <v>66402273581.407654</v>
      </c>
      <c r="AL313" s="5">
        <f>IF($B312&lt;=Tabla5[[#This Row],[INVERSIONES FCI]],+Tabla5[[#This Row],[INVERSIONES FCI]]-AL312,Tabla5[[#This Row],[INVERSIONES FCI]])</f>
        <v>66402273581.407654</v>
      </c>
      <c r="AM313" s="5">
        <f>IF($B312&lt;=Tabla5[[#This Row],[INVERSIONES FCI]],+Tabla5[[#This Row],[INVERSIONES FCI]]-AM312,Tabla5[[#This Row],[INVERSIONES FCI]])</f>
        <v>66402273581.407654</v>
      </c>
      <c r="AN313" s="5">
        <f>IF($B312&lt;=Tabla5[[#This Row],[INVERSIONES FCI]],+Tabla5[[#This Row],[INVERSIONES FCI]]-AN312,Tabla5[[#This Row],[INVERSIONES FCI]])</f>
        <v>66402273581.407654</v>
      </c>
      <c r="AO313" s="5">
        <f>IF($B312&lt;=Tabla5[[#This Row],[INVERSIONES FCI]],+Tabla5[[#This Row],[INVERSIONES FCI]]-AO312,Tabla5[[#This Row],[INVERSIONES FCI]])</f>
        <v>66402273581.407654</v>
      </c>
      <c r="AP313" s="5">
        <f>IF($B312&lt;=Tabla5[[#This Row],[INVERSIONES FCI]],+Tabla5[[#This Row],[INVERSIONES FCI]]-AP312,Tabla5[[#This Row],[INVERSIONES FCI]])</f>
        <v>66402273581.407654</v>
      </c>
      <c r="AQ313" s="5">
        <f>IF($B312&lt;=Tabla5[[#This Row],[INVERSIONES FCI]],+Tabla5[[#This Row],[INVERSIONES FCI]]-AQ312,Tabla5[[#This Row],[INVERSIONES FCI]])</f>
        <v>66402273581.407654</v>
      </c>
      <c r="AR313" s="5">
        <f>IF($B312&lt;=Tabla5[[#This Row],[INVERSIONES FCI]],+Tabla5[[#This Row],[INVERSIONES FCI]]-AR312,Tabla5[[#This Row],[INVERSIONES FCI]])</f>
        <v>66402273581.407654</v>
      </c>
      <c r="AS313" s="5">
        <f>IF($B312&lt;=Tabla5[[#This Row],[INVERSIONES FCI]],+Tabla5[[#This Row],[INVERSIONES FCI]]-AS312,Tabla5[[#This Row],[INVERSIONES FCI]])</f>
        <v>66402273581.407654</v>
      </c>
      <c r="AT313" s="5">
        <f>IF($B312&lt;=Tabla5[[#This Row],[INVERSIONES FCI]],+Tabla5[[#This Row],[INVERSIONES FCI]]-AT312,Tabla5[[#This Row],[INVERSIONES FCI]])</f>
        <v>66402273581.407654</v>
      </c>
      <c r="AU313" s="5">
        <f>IF($B312&lt;=Tabla5[[#This Row],[INVERSIONES FCI]],+Tabla5[[#This Row],[INVERSIONES FCI]]-AU312,Tabla5[[#This Row],[INVERSIONES FCI]])</f>
        <v>66402273581.407654</v>
      </c>
      <c r="AV313" s="5">
        <f>IF($B312&lt;=Tabla5[[#This Row],[INVERSIONES FCI]],+Tabla5[[#This Row],[INVERSIONES FCI]]-AV312,Tabla5[[#This Row],[INVERSIONES FCI]])</f>
        <v>66402273581.407654</v>
      </c>
      <c r="AW313" s="5">
        <f>IF($B312&lt;=Tabla5[[#This Row],[INVERSIONES FCI]],+Tabla5[[#This Row],[INVERSIONES FCI]]-AW312,Tabla5[[#This Row],[INVERSIONES FCI]])</f>
        <v>66402273581.407654</v>
      </c>
      <c r="AX313" s="5">
        <f>IF($B312&lt;=Tabla5[[#This Row],[INVERSIONES FCI]],+Tabla5[[#This Row],[INVERSIONES FCI]]-AX312,Tabla5[[#This Row],[INVERSIONES FCI]])</f>
        <v>66402273581.407654</v>
      </c>
      <c r="AY313" s="5">
        <f>IF($B312&lt;=Tabla5[[#This Row],[INVERSIONES FCI]],+Tabla5[[#This Row],[INVERSIONES FCI]]-AY312,Tabla5[[#This Row],[INVERSIONES FCI]])</f>
        <v>66402273581.407654</v>
      </c>
      <c r="AZ313" s="5">
        <f>IF($B312&lt;=Tabla5[[#This Row],[INVERSIONES FCI]],+Tabla5[[#This Row],[INVERSIONES FCI]]-AZ312,Tabla5[[#This Row],[INVERSIONES FCI]])</f>
        <v>66402273581.407654</v>
      </c>
      <c r="BA313" s="5">
        <f>IF($B312&lt;=Tabla5[[#This Row],[INVERSIONES FCI]],+Tabla5[[#This Row],[INVERSIONES FCI]]-BA312,Tabla5[[#This Row],[INVERSIONES FCI]])</f>
        <v>66402273581.407654</v>
      </c>
      <c r="BB313" s="5">
        <f>IF($B312&lt;=Tabla5[[#This Row],[INVERSIONES FCI]],+Tabla5[[#This Row],[INVERSIONES FCI]]-BB312,Tabla5[[#This Row],[INVERSIONES FCI]])</f>
        <v>66402273581.407654</v>
      </c>
      <c r="BC313" s="5">
        <f>IF($B312&lt;=Tabla5[[#This Row],[INVERSIONES FCI]],+Tabla5[[#This Row],[INVERSIONES FCI]]-BC312,Tabla5[[#This Row],[INVERSIONES FCI]])</f>
        <v>66402273581.407654</v>
      </c>
      <c r="BD313" s="5">
        <f>IF($B312&lt;=Tabla5[[#This Row],[INVERSIONES FCI]],+Tabla5[[#This Row],[INVERSIONES FCI]]-BD312,Tabla5[[#This Row],[INVERSIONES FCI]])</f>
        <v>66402273581.407654</v>
      </c>
      <c r="BE313" s="5">
        <f>IF($B312&lt;=Tabla5[[#This Row],[INVERSIONES FCI]],+Tabla5[[#This Row],[INVERSIONES FCI]]-BE312,Tabla5[[#This Row],[INVERSIONES FCI]])</f>
        <v>66402273581.407654</v>
      </c>
      <c r="BF313" s="5">
        <f>IF($B312&lt;=Tabla5[[#This Row],[INVERSIONES FCI]],+Tabla5[[#This Row],[INVERSIONES FCI]]-BF312,Tabla5[[#This Row],[INVERSIONES FCI]])</f>
        <v>66402273581.407654</v>
      </c>
      <c r="BG313" s="5">
        <f>IF($B312&lt;=Tabla5[[#This Row],[INVERSIONES FCI]],+Tabla5[[#This Row],[INVERSIONES FCI]]-BG312,Tabla5[[#This Row],[INVERSIONES FCI]])</f>
        <v>66402273581.407654</v>
      </c>
      <c r="BH313" s="5">
        <f>IF($B312&lt;=Tabla5[[#This Row],[INVERSIONES FCI]],+Tabla5[[#This Row],[INVERSIONES FCI]]-BH312,Tabla5[[#This Row],[INVERSIONES FCI]])</f>
        <v>66402273581.407654</v>
      </c>
      <c r="BI313" s="5">
        <f>IF($B312&lt;=Tabla5[[#This Row],[INVERSIONES FCI]],+Tabla5[[#This Row],[INVERSIONES FCI]]-BI312,Tabla5[[#This Row],[INVERSIONES FCI]])</f>
        <v>66402273581.407654</v>
      </c>
      <c r="BJ313" s="5">
        <f>IF($B312&lt;=Tabla5[[#This Row],[INVERSIONES FCI]],+Tabla5[[#This Row],[INVERSIONES FCI]]-BJ312,Tabla5[[#This Row],[INVERSIONES FCI]])</f>
        <v>66402273581.407654</v>
      </c>
      <c r="BK313" s="5">
        <f>IF($B312&lt;=Tabla5[[#This Row],[INVERSIONES FCI]],+Tabla5[[#This Row],[INVERSIONES FCI]]-BK312,Tabla5[[#This Row],[INVERSIONES FCI]])</f>
        <v>66402273581.407654</v>
      </c>
      <c r="BL313" s="5">
        <f>IF($B312&lt;=Tabla5[[#This Row],[INVERSIONES FCI]],+Tabla5[[#This Row],[INVERSIONES FCI]]-BL312,Tabla5[[#This Row],[INVERSIONES FCI]])</f>
        <v>66402273581.407654</v>
      </c>
      <c r="BM313" s="5">
        <f>IF($B312&lt;=Tabla5[[#This Row],[INVERSIONES FCI]],+Tabla5[[#This Row],[INVERSIONES FCI]]-BM312,Tabla5[[#This Row],[INVERSIONES FCI]])</f>
        <v>66402273581.407654</v>
      </c>
      <c r="BN313" s="5">
        <f>IF($B312&lt;=Tabla5[[#This Row],[INVERSIONES FCI]],+Tabla5[[#This Row],[INVERSIONES FCI]]-BN312,Tabla5[[#This Row],[INVERSIONES FCI]])</f>
        <v>66402273581.407654</v>
      </c>
      <c r="BO313" s="5">
        <f>IF($B312&lt;=Tabla5[[#This Row],[INVERSIONES FCI]],+Tabla5[[#This Row],[INVERSIONES FCI]]-BO312,Tabla5[[#This Row],[INVERSIONES FCI]])</f>
        <v>66402273581.407654</v>
      </c>
      <c r="BP313" s="5">
        <f>IF($B312&lt;=Tabla5[[#This Row],[INVERSIONES FCI]],+Tabla5[[#This Row],[INVERSIONES FCI]]-BP312,Tabla5[[#This Row],[INVERSIONES FCI]])</f>
        <v>66402273581.407654</v>
      </c>
      <c r="BQ313" s="5">
        <f>IF($B312&lt;=Tabla5[[#This Row],[INVERSIONES FCI]],+Tabla5[[#This Row],[INVERSIONES FCI]]-BQ312,Tabla5[[#This Row],[INVERSIONES FCI]])</f>
        <v>66402273581.407654</v>
      </c>
      <c r="BR313" s="5">
        <f>IF($B312&lt;=Tabla5[[#This Row],[INVERSIONES FCI]],+Tabla5[[#This Row],[INVERSIONES FCI]]-BR312,Tabla5[[#This Row],[INVERSIONES FCI]])</f>
        <v>66402273581.407654</v>
      </c>
      <c r="BS313" s="5">
        <f>IF($B312&lt;=Tabla5[[#This Row],[INVERSIONES FCI]],+Tabla5[[#This Row],[INVERSIONES FCI]]-BS312,Tabla5[[#This Row],[INVERSIONES FCI]])</f>
        <v>66402273581.407654</v>
      </c>
      <c r="BT313" s="5">
        <f>IF($B312&lt;=Tabla5[[#This Row],[INVERSIONES FCI]],+Tabla5[[#This Row],[INVERSIONES FCI]]-BT312,Tabla5[[#This Row],[INVERSIONES FCI]])</f>
        <v>66402273581.407654</v>
      </c>
      <c r="BU313" s="5">
        <f>IF($B312&lt;=Tabla5[[#This Row],[INVERSIONES FCI]],+Tabla5[[#This Row],[INVERSIONES FCI]]-BU312,Tabla5[[#This Row],[INVERSIONES FCI]])</f>
        <v>66402273581.407654</v>
      </c>
      <c r="BV313" s="5">
        <f>IF($B312&lt;=Tabla5[[#This Row],[INVERSIONES FCI]],+Tabla5[[#This Row],[INVERSIONES FCI]]-BV312,Tabla5[[#This Row],[INVERSIONES FCI]])</f>
        <v>66402273581.407654</v>
      </c>
      <c r="BW313" s="5">
        <f>IF($B312&lt;=Tabla5[[#This Row],[INVERSIONES FCI]],+Tabla5[[#This Row],[INVERSIONES FCI]]-BW312,Tabla5[[#This Row],[INVERSIONES FCI]])</f>
        <v>66402273581.407654</v>
      </c>
      <c r="BX313" s="5">
        <f>IF($B312&lt;=Tabla5[[#This Row],[INVERSIONES FCI]],+Tabla5[[#This Row],[INVERSIONES FCI]]-BX312,Tabla5[[#This Row],[INVERSIONES FCI]])</f>
        <v>66402273581.407654</v>
      </c>
      <c r="BY313" s="5">
        <f>IF($B312&lt;=Tabla5[[#This Row],[INVERSIONES FCI]],+Tabla5[[#This Row],[INVERSIONES FCI]]-BY312,Tabla5[[#This Row],[INVERSIONES FCI]])</f>
        <v>66402273581.407654</v>
      </c>
      <c r="BZ313" s="5">
        <f>IF($B312&lt;=Tabla5[[#This Row],[INVERSIONES FCI]],+Tabla5[[#This Row],[INVERSIONES FCI]]-BZ312,Tabla5[[#This Row],[INVERSIONES FCI]])</f>
        <v>66402273581.407654</v>
      </c>
      <c r="CA313" s="5">
        <f>IF($B312&lt;=Tabla5[[#This Row],[INVERSIONES FCI]],+Tabla5[[#This Row],[INVERSIONES FCI]]-CA312,Tabla5[[#This Row],[INVERSIONES FCI]])</f>
        <v>66402273581.407654</v>
      </c>
      <c r="CB313" s="5">
        <f>IF($B312&lt;=Tabla5[[#This Row],[INVERSIONES FCI]],+Tabla5[[#This Row],[INVERSIONES FCI]]-CB312,Tabla5[[#This Row],[INVERSIONES FCI]])</f>
        <v>66402273581.407654</v>
      </c>
      <c r="CC313" s="5">
        <f>IF($B312&lt;=Tabla5[[#This Row],[INVERSIONES FCI]],+Tabla5[[#This Row],[INVERSIONES FCI]]-CC312,Tabla5[[#This Row],[INVERSIONES FCI]])</f>
        <v>66402273581.407654</v>
      </c>
      <c r="CD313" s="5">
        <f>IF($B312&lt;=Tabla5[[#This Row],[INVERSIONES FCI]],+Tabla5[[#This Row],[INVERSIONES FCI]]-CD312,Tabla5[[#This Row],[INVERSIONES FCI]])</f>
        <v>66402273581.407654</v>
      </c>
      <c r="CE313" s="5">
        <f>IF($B312&lt;=Tabla5[[#This Row],[INVERSIONES FCI]],+Tabla5[[#This Row],[INVERSIONES FCI]]-CE312,Tabla5[[#This Row],[INVERSIONES FCI]])</f>
        <v>66402273581.407654</v>
      </c>
      <c r="CF313" s="5">
        <f>IF($B312&lt;=Tabla5[[#This Row],[INVERSIONES FCI]],+Tabla5[[#This Row],[INVERSIONES FCI]]-CF312,Tabla5[[#This Row],[INVERSIONES FCI]])</f>
        <v>66402273581.407654</v>
      </c>
      <c r="CG313" s="5">
        <f>IF($B312&lt;=Tabla5[[#This Row],[INVERSIONES FCI]],+Tabla5[[#This Row],[INVERSIONES FCI]]-CG312,Tabla5[[#This Row],[INVERSIONES FCI]])</f>
        <v>66402273581.407654</v>
      </c>
      <c r="CH313" s="5">
        <f>IF($B312&lt;=Tabla5[[#This Row],[INVERSIONES FCI]],+Tabla5[[#This Row],[INVERSIONES FCI]]-CH312,Tabla5[[#This Row],[INVERSIONES FCI]])</f>
        <v>66402273581.407654</v>
      </c>
      <c r="CI313" s="5">
        <f>IF($B312&lt;=Tabla5[[#This Row],[INVERSIONES FCI]],+Tabla5[[#This Row],[INVERSIONES FCI]]-CI312,Tabla5[[#This Row],[INVERSIONES FCI]])</f>
        <v>66402273581.407654</v>
      </c>
      <c r="CJ313" s="5">
        <f>IF($B312&lt;=Tabla5[[#This Row],[INVERSIONES FCI]],+Tabla5[[#This Row],[INVERSIONES FCI]]-CJ312,Tabla5[[#This Row],[INVERSIONES FCI]])</f>
        <v>66402273581.407654</v>
      </c>
      <c r="CK313" s="5">
        <f>IF($B312&lt;=Tabla5[[#This Row],[INVERSIONES FCI]],+Tabla5[[#This Row],[INVERSIONES FCI]]-CK312,Tabla5[[#This Row],[INVERSIONES FCI]])</f>
        <v>66402273581.407654</v>
      </c>
      <c r="CL313" s="5">
        <f>IF($B312&lt;=Tabla5[[#This Row],[INVERSIONES FCI]],+Tabla5[[#This Row],[INVERSIONES FCI]]-CL312,Tabla5[[#This Row],[INVERSIONES FCI]])</f>
        <v>66402273581.407654</v>
      </c>
      <c r="CM313" s="5">
        <f>IF($B312&lt;=Tabla5[[#This Row],[INVERSIONES FCI]],+Tabla5[[#This Row],[INVERSIONES FCI]]-CM312,Tabla5[[#This Row],[INVERSIONES FCI]])</f>
        <v>66402273581.407654</v>
      </c>
      <c r="CN313" s="5">
        <f>IF($B312&lt;=Tabla5[[#This Row],[INVERSIONES FCI]],+Tabla5[[#This Row],[INVERSIONES FCI]]-CN312,Tabla5[[#This Row],[INVERSIONES FCI]])</f>
        <v>66402273581.407654</v>
      </c>
      <c r="CO313" s="5">
        <f>IF($B312&lt;=Tabla5[[#This Row],[INVERSIONES FCI]],+Tabla5[[#This Row],[INVERSIONES FCI]]-CO312,Tabla5[[#This Row],[INVERSIONES FCI]])</f>
        <v>66402273581.407654</v>
      </c>
      <c r="CP313" s="5">
        <f>IF($B312&lt;=Tabla5[[#This Row],[INVERSIONES FCI]],+Tabla5[[#This Row],[INVERSIONES FCI]]-CP312,Tabla5[[#This Row],[INVERSIONES FCI]])</f>
        <v>66402273581.407654</v>
      </c>
      <c r="CQ313" s="5">
        <f>IF($B312&lt;=Tabla5[[#This Row],[INVERSIONES FCI]],+Tabla5[[#This Row],[INVERSIONES FCI]]-CQ312,Tabla5[[#This Row],[INVERSIONES FCI]])</f>
        <v>66402273581.407654</v>
      </c>
      <c r="CR313" s="5">
        <f>IF($B312&lt;=Tabla5[[#This Row],[INVERSIONES FCI]],+Tabla5[[#This Row],[INVERSIONES FCI]]-CR312,Tabla5[[#This Row],[INVERSIONES FCI]])</f>
        <v>66402273581.407654</v>
      </c>
      <c r="CS313" s="5">
        <f>IF($B312&lt;=Tabla5[[#This Row],[INVERSIONES FCI]],+Tabla5[[#This Row],[INVERSIONES FCI]]-CS312,Tabla5[[#This Row],[INVERSIONES FCI]])</f>
        <v>66402273581.407654</v>
      </c>
      <c r="CT313" s="5">
        <f>IF($B312&lt;=Tabla5[[#This Row],[INVERSIONES FCI]],+Tabla5[[#This Row],[INVERSIONES FCI]]-CT312,Tabla5[[#This Row],[INVERSIONES FCI]])</f>
        <v>66402273581.407654</v>
      </c>
      <c r="CU313" s="5">
        <f>IF($B312&lt;=Tabla5[[#This Row],[INVERSIONES FCI]],+Tabla5[[#This Row],[INVERSIONES FCI]]-CU312,Tabla5[[#This Row],[INVERSIONES FCI]])</f>
        <v>66402273581.407654</v>
      </c>
      <c r="CV313" s="5">
        <f>IF($B312&lt;=Tabla5[[#This Row],[INVERSIONES FCI]],+Tabla5[[#This Row],[INVERSIONES FCI]]-CV312,Tabla5[[#This Row],[INVERSIONES FCI]])</f>
        <v>66402273581.407654</v>
      </c>
      <c r="CW313" s="5">
        <f>IF($B312&lt;=Tabla5[[#This Row],[INVERSIONES FCI]],+Tabla5[[#This Row],[INVERSIONES FCI]]-CW312,Tabla5[[#This Row],[INVERSIONES FCI]])</f>
        <v>66402273581.407654</v>
      </c>
      <c r="CX313" s="5">
        <f>IF($B312&lt;=Tabla5[[#This Row],[INVERSIONES FCI]],+Tabla5[[#This Row],[INVERSIONES FCI]]-CX312,Tabla5[[#This Row],[INVERSIONES FCI]])</f>
        <v>66402273581.407654</v>
      </c>
      <c r="CY313" s="5">
        <f>IF($B312&lt;=Tabla5[[#This Row],[INVERSIONES FCI]],+Tabla5[[#This Row],[INVERSIONES FCI]]-CY312,Tabla5[[#This Row],[INVERSIONES FCI]])</f>
        <v>66402273581.407654</v>
      </c>
      <c r="CZ313" s="5">
        <f>IF($B312&lt;=Tabla5[[#This Row],[INVERSIONES FCI]],+Tabla5[[#This Row],[INVERSIONES FCI]]-CZ312,Tabla5[[#This Row],[INVERSIONES FCI]])</f>
        <v>66402273581.407654</v>
      </c>
      <c r="DA313" s="5">
        <f>IF($B312&lt;=Tabla5[[#This Row],[INVERSIONES FCI]],+Tabla5[[#This Row],[INVERSIONES FCI]]-DA312,Tabla5[[#This Row],[INVERSIONES FCI]])</f>
        <v>66402273581.407654</v>
      </c>
      <c r="DB313" s="5">
        <f>IF($B312&lt;=Tabla5[[#This Row],[INVERSIONES FCI]],+Tabla5[[#This Row],[INVERSIONES FCI]]-DB312,Tabla5[[#This Row],[INVERSIONES FCI]])</f>
        <v>66402273581.407654</v>
      </c>
      <c r="DC313" s="5">
        <f>IF($B312&lt;=Tabla5[[#This Row],[INVERSIONES FCI]],+Tabla5[[#This Row],[INVERSIONES FCI]]-DC312,Tabla5[[#This Row],[INVERSIONES FCI]])</f>
        <v>66402273581.407654</v>
      </c>
      <c r="DD313" s="5">
        <f>IF($B312&lt;=Tabla5[[#This Row],[INVERSIONES FCI]],+Tabla5[[#This Row],[INVERSIONES FCI]]-DD312,Tabla5[[#This Row],[INVERSIONES FCI]])</f>
        <v>66402273581.407654</v>
      </c>
      <c r="DE313" s="5">
        <f>IF($B312&lt;=Tabla5[[#This Row],[INVERSIONES FCI]],+Tabla5[[#This Row],[INVERSIONES FCI]]-DE312,Tabla5[[#This Row],[INVERSIONES FCI]])</f>
        <v>66402273581.407654</v>
      </c>
      <c r="DF313" s="5">
        <f>IF($B312&lt;=Tabla5[[#This Row],[INVERSIONES FCI]],+Tabla5[[#This Row],[INVERSIONES FCI]]-DF312,Tabla5[[#This Row],[INVERSIONES FCI]])</f>
        <v>66402273581.407654</v>
      </c>
      <c r="DG313" s="5">
        <f>IF($B312&lt;=Tabla5[[#This Row],[INVERSIONES FCI]],+Tabla5[[#This Row],[INVERSIONES FCI]]-DG312,Tabla5[[#This Row],[INVERSIONES FCI]])</f>
        <v>66402273581.407654</v>
      </c>
      <c r="DH313" s="5">
        <f>IF($B312&lt;=Tabla5[[#This Row],[INVERSIONES FCI]],+Tabla5[[#This Row],[INVERSIONES FCI]]-DH312,Tabla5[[#This Row],[INVERSIONES FCI]])</f>
        <v>66402273581.407654</v>
      </c>
      <c r="DI313" s="5">
        <f>IF($B312&lt;=Tabla5[[#This Row],[INVERSIONES FCI]],+Tabla5[[#This Row],[INVERSIONES FCI]]-DI312,Tabla5[[#This Row],[INVERSIONES FCI]])</f>
        <v>66402273581.407654</v>
      </c>
      <c r="DJ313" s="5">
        <f>IF($B312&lt;=Tabla5[[#This Row],[INVERSIONES FCI]],+Tabla5[[#This Row],[INVERSIONES FCI]]-DJ312,Tabla5[[#This Row],[INVERSIONES FCI]])</f>
        <v>66402273581.407654</v>
      </c>
      <c r="DK313" s="5">
        <f>IF($B312&lt;=Tabla5[[#This Row],[INVERSIONES FCI]],+Tabla5[[#This Row],[INVERSIONES FCI]]-DK312,Tabla5[[#This Row],[INVERSIONES FCI]])</f>
        <v>66402273581.407654</v>
      </c>
      <c r="DL313" s="5"/>
      <c r="DM313" s="5"/>
      <c r="DN313" s="5"/>
      <c r="DO313" s="5"/>
      <c r="DP313" s="5"/>
      <c r="DQ313" s="5"/>
    </row>
    <row r="314" spans="1:121" ht="14.4">
      <c r="A314" s="12" t="s">
        <v>313</v>
      </c>
      <c r="B314" s="5">
        <f>HLOOKUP($A314,ESCENARIO[#All],7,FALSE)</f>
        <v>67412210732.038109</v>
      </c>
      <c r="C314" s="5">
        <f>IF($B313&lt;=Tabla5[[#This Row],[INVERSIONES FCI]],+Tabla5[[#This Row],[INVERSIONES FCI]]-C313,Tabla5[[#This Row],[INVERSIONES FCI]])</f>
        <v>1009937150.630455</v>
      </c>
      <c r="D314" s="5">
        <f>IF($B313&lt;=Tabla5[[#This Row],[INVERSIONES FCI]],+Tabla5[[#This Row],[INVERSIONES FCI]]-D313,Tabla5[[#This Row],[INVERSIONES FCI]])</f>
        <v>1009937150.630455</v>
      </c>
      <c r="E314" s="5">
        <f>IF($B313&lt;=Tabla5[[#This Row],[INVERSIONES FCI]],+Tabla5[[#This Row],[INVERSIONES FCI]]-E313,Tabla5[[#This Row],[INVERSIONES FCI]])</f>
        <v>1009937150.630455</v>
      </c>
      <c r="F314" s="5">
        <f>IF($B313&lt;=Tabla5[[#This Row],[INVERSIONES FCI]],+Tabla5[[#This Row],[INVERSIONES FCI]]-F313,Tabla5[[#This Row],[INVERSIONES FCI]])</f>
        <v>1009937150.630455</v>
      </c>
      <c r="G314" s="5">
        <f>IF($B313&lt;=Tabla5[[#This Row],[INVERSIONES FCI]],+Tabla5[[#This Row],[INVERSIONES FCI]]-G313,Tabla5[[#This Row],[INVERSIONES FCI]])</f>
        <v>1009937150.630455</v>
      </c>
      <c r="H314" s="5">
        <f>IF($B313&lt;=Tabla5[[#This Row],[INVERSIONES FCI]],+Tabla5[[#This Row],[INVERSIONES FCI]]-H313,Tabla5[[#This Row],[INVERSIONES FCI]])</f>
        <v>1009937150.630455</v>
      </c>
      <c r="I314" s="5">
        <f>IF($B313&lt;=Tabla5[[#This Row],[INVERSIONES FCI]],+Tabla5[[#This Row],[INVERSIONES FCI]]-I313,Tabla5[[#This Row],[INVERSIONES FCI]])</f>
        <v>1009937150.630455</v>
      </c>
      <c r="J314" s="5">
        <f>IF($B313&lt;=Tabla5[[#This Row],[INVERSIONES FCI]],+Tabla5[[#This Row],[INVERSIONES FCI]]-J313,Tabla5[[#This Row],[INVERSIONES FCI]])</f>
        <v>1009937150.630455</v>
      </c>
      <c r="K314" s="5">
        <f>IF($B313&lt;=Tabla5[[#This Row],[INVERSIONES FCI]],+Tabla5[[#This Row],[INVERSIONES FCI]]-K313,Tabla5[[#This Row],[INVERSIONES FCI]])</f>
        <v>1009937150.630455</v>
      </c>
      <c r="L314" s="5">
        <f>IF($B313&lt;=Tabla5[[#This Row],[INVERSIONES FCI]],+Tabla5[[#This Row],[INVERSIONES FCI]]-L313,Tabla5[[#This Row],[INVERSIONES FCI]])</f>
        <v>1009937150.630455</v>
      </c>
      <c r="M314" s="5">
        <f>IF($B313&lt;=Tabla5[[#This Row],[INVERSIONES FCI]],+Tabla5[[#This Row],[INVERSIONES FCI]]-M313,Tabla5[[#This Row],[INVERSIONES FCI]])</f>
        <v>1009937150.630455</v>
      </c>
      <c r="N314" s="5">
        <f>IF($B313&lt;=Tabla5[[#This Row],[INVERSIONES FCI]],+Tabla5[[#This Row],[INVERSIONES FCI]]-N313,Tabla5[[#This Row],[INVERSIONES FCI]])</f>
        <v>1009937150.630455</v>
      </c>
      <c r="O314" s="5">
        <f>IF($B313&lt;=Tabla5[[#This Row],[INVERSIONES FCI]],+Tabla5[[#This Row],[INVERSIONES FCI]]-O313,Tabla5[[#This Row],[INVERSIONES FCI]])</f>
        <v>1009937150.630455</v>
      </c>
      <c r="P314" s="5">
        <f>IF($B313&lt;=Tabla5[[#This Row],[INVERSIONES FCI]],+Tabla5[[#This Row],[INVERSIONES FCI]]-P313,Tabla5[[#This Row],[INVERSIONES FCI]])</f>
        <v>1009937150.630455</v>
      </c>
      <c r="Q314" s="5">
        <f>IF($B313&lt;=Tabla5[[#This Row],[INVERSIONES FCI]],+Tabla5[[#This Row],[INVERSIONES FCI]]-Q313,Tabla5[[#This Row],[INVERSIONES FCI]])</f>
        <v>1009937150.630455</v>
      </c>
      <c r="R314" s="5">
        <f>IF($B313&lt;=Tabla5[[#This Row],[INVERSIONES FCI]],+Tabla5[[#This Row],[INVERSIONES FCI]]-R313,Tabla5[[#This Row],[INVERSIONES FCI]])</f>
        <v>1009937150.630455</v>
      </c>
      <c r="S314" s="5">
        <f>IF($B313&lt;=Tabla5[[#This Row],[INVERSIONES FCI]],+Tabla5[[#This Row],[INVERSIONES FCI]]-S313,Tabla5[[#This Row],[INVERSIONES FCI]])</f>
        <v>1009937150.630455</v>
      </c>
      <c r="T314" s="5">
        <f>IF($B313&lt;=Tabla5[[#This Row],[INVERSIONES FCI]],+Tabla5[[#This Row],[INVERSIONES FCI]]-T313,Tabla5[[#This Row],[INVERSIONES FCI]])</f>
        <v>1009937150.630455</v>
      </c>
      <c r="U314" s="5">
        <f>IF($B313&lt;=Tabla5[[#This Row],[INVERSIONES FCI]],+Tabla5[[#This Row],[INVERSIONES FCI]]-U313,Tabla5[[#This Row],[INVERSIONES FCI]])</f>
        <v>1009937150.630455</v>
      </c>
      <c r="V314" s="5">
        <f>IF($B313&lt;=Tabla5[[#This Row],[INVERSIONES FCI]],+Tabla5[[#This Row],[INVERSIONES FCI]]-V313,Tabla5[[#This Row],[INVERSIONES FCI]])</f>
        <v>1009937150.630455</v>
      </c>
      <c r="W314" s="5">
        <f>IF($B313&lt;=Tabla5[[#This Row],[INVERSIONES FCI]],+Tabla5[[#This Row],[INVERSIONES FCI]]-W313,Tabla5[[#This Row],[INVERSIONES FCI]])</f>
        <v>1009937150.630455</v>
      </c>
      <c r="X314" s="5">
        <f>IF($B313&lt;=Tabla5[[#This Row],[INVERSIONES FCI]],+Tabla5[[#This Row],[INVERSIONES FCI]]-X313,Tabla5[[#This Row],[INVERSIONES FCI]])</f>
        <v>1009937150.630455</v>
      </c>
      <c r="Y314" s="5">
        <f>IF($B313&lt;=Tabla5[[#This Row],[INVERSIONES FCI]],+Tabla5[[#This Row],[INVERSIONES FCI]]-Y313,Tabla5[[#This Row],[INVERSIONES FCI]])</f>
        <v>1009937150.630455</v>
      </c>
      <c r="Z314" s="5">
        <f>IF($B313&lt;=Tabla5[[#This Row],[INVERSIONES FCI]],+Tabla5[[#This Row],[INVERSIONES FCI]]-Z313,Tabla5[[#This Row],[INVERSIONES FCI]])</f>
        <v>1009937150.630455</v>
      </c>
      <c r="AA314" s="5">
        <f>IF($B313&lt;=Tabla5[[#This Row],[INVERSIONES FCI]],+Tabla5[[#This Row],[INVERSIONES FCI]]-AA313,Tabla5[[#This Row],[INVERSIONES FCI]])</f>
        <v>1009937150.630455</v>
      </c>
      <c r="AB314" s="5">
        <f>IF($B313&lt;=Tabla5[[#This Row],[INVERSIONES FCI]],+Tabla5[[#This Row],[INVERSIONES FCI]]-AB313,Tabla5[[#This Row],[INVERSIONES FCI]])</f>
        <v>1009937150.630455</v>
      </c>
      <c r="AC314" s="5">
        <f>IF($B313&lt;=Tabla5[[#This Row],[INVERSIONES FCI]],+Tabla5[[#This Row],[INVERSIONES FCI]]-AC313,Tabla5[[#This Row],[INVERSIONES FCI]])</f>
        <v>1009937150.630455</v>
      </c>
      <c r="AD314" s="5">
        <f>IF($B313&lt;=Tabla5[[#This Row],[INVERSIONES FCI]],+Tabla5[[#This Row],[INVERSIONES FCI]]-AD313,Tabla5[[#This Row],[INVERSIONES FCI]])</f>
        <v>1009937150.630455</v>
      </c>
      <c r="AE314" s="5">
        <f>IF($B313&lt;=Tabla5[[#This Row],[INVERSIONES FCI]],+Tabla5[[#This Row],[INVERSIONES FCI]]-AE313,Tabla5[[#This Row],[INVERSIONES FCI]])</f>
        <v>1009937150.630455</v>
      </c>
      <c r="AF314" s="5">
        <f>IF($B313&lt;=Tabla5[[#This Row],[INVERSIONES FCI]],+Tabla5[[#This Row],[INVERSIONES FCI]]-AF313,Tabla5[[#This Row],[INVERSIONES FCI]])</f>
        <v>1009937150.630455</v>
      </c>
      <c r="AG314" s="5">
        <f>IF($B313&lt;=Tabla5[[#This Row],[INVERSIONES FCI]],+Tabla5[[#This Row],[INVERSIONES FCI]]-AG313,Tabla5[[#This Row],[INVERSIONES FCI]])</f>
        <v>1009937150.630455</v>
      </c>
      <c r="AH314" s="5">
        <f>IF($B313&lt;=Tabla5[[#This Row],[INVERSIONES FCI]],+Tabla5[[#This Row],[INVERSIONES FCI]]-AH313,Tabla5[[#This Row],[INVERSIONES FCI]])</f>
        <v>1009937150.630455</v>
      </c>
      <c r="AI314" s="5">
        <f>IF($B313&lt;=Tabla5[[#This Row],[INVERSIONES FCI]],+Tabla5[[#This Row],[INVERSIONES FCI]]-AI313,Tabla5[[#This Row],[INVERSIONES FCI]])</f>
        <v>1009937150.630455</v>
      </c>
      <c r="AJ314" s="5">
        <f>IF($B313&lt;=Tabla5[[#This Row],[INVERSIONES FCI]],+Tabla5[[#This Row],[INVERSIONES FCI]]-AJ313,Tabla5[[#This Row],[INVERSIONES FCI]])</f>
        <v>1009937150.630455</v>
      </c>
      <c r="AK314" s="5">
        <f>IF($B313&lt;=Tabla5[[#This Row],[INVERSIONES FCI]],+Tabla5[[#This Row],[INVERSIONES FCI]]-AK313,Tabla5[[#This Row],[INVERSIONES FCI]])</f>
        <v>1009937150.630455</v>
      </c>
      <c r="AL314" s="5">
        <f>IF($B313&lt;=Tabla5[[#This Row],[INVERSIONES FCI]],+Tabla5[[#This Row],[INVERSIONES FCI]]-AL313,Tabla5[[#This Row],[INVERSIONES FCI]])</f>
        <v>1009937150.630455</v>
      </c>
      <c r="AM314" s="5">
        <f>IF($B313&lt;=Tabla5[[#This Row],[INVERSIONES FCI]],+Tabla5[[#This Row],[INVERSIONES FCI]]-AM313,Tabla5[[#This Row],[INVERSIONES FCI]])</f>
        <v>1009937150.630455</v>
      </c>
      <c r="AN314" s="5">
        <f>IF($B313&lt;=Tabla5[[#This Row],[INVERSIONES FCI]],+Tabla5[[#This Row],[INVERSIONES FCI]]-AN313,Tabla5[[#This Row],[INVERSIONES FCI]])</f>
        <v>1009937150.630455</v>
      </c>
      <c r="AO314" s="5">
        <f>IF($B313&lt;=Tabla5[[#This Row],[INVERSIONES FCI]],+Tabla5[[#This Row],[INVERSIONES FCI]]-AO313,Tabla5[[#This Row],[INVERSIONES FCI]])</f>
        <v>1009937150.630455</v>
      </c>
      <c r="AP314" s="5">
        <f>IF($B313&lt;=Tabla5[[#This Row],[INVERSIONES FCI]],+Tabla5[[#This Row],[INVERSIONES FCI]]-AP313,Tabla5[[#This Row],[INVERSIONES FCI]])</f>
        <v>1009937150.630455</v>
      </c>
      <c r="AQ314" s="5">
        <f>IF($B313&lt;=Tabla5[[#This Row],[INVERSIONES FCI]],+Tabla5[[#This Row],[INVERSIONES FCI]]-AQ313,Tabla5[[#This Row],[INVERSIONES FCI]])</f>
        <v>1009937150.630455</v>
      </c>
      <c r="AR314" s="5">
        <f>IF($B313&lt;=Tabla5[[#This Row],[INVERSIONES FCI]],+Tabla5[[#This Row],[INVERSIONES FCI]]-AR313,Tabla5[[#This Row],[INVERSIONES FCI]])</f>
        <v>1009937150.630455</v>
      </c>
      <c r="AS314" s="5">
        <f>IF($B313&lt;=Tabla5[[#This Row],[INVERSIONES FCI]],+Tabla5[[#This Row],[INVERSIONES FCI]]-AS313,Tabla5[[#This Row],[INVERSIONES FCI]])</f>
        <v>1009937150.630455</v>
      </c>
      <c r="AT314" s="5">
        <f>IF($B313&lt;=Tabla5[[#This Row],[INVERSIONES FCI]],+Tabla5[[#This Row],[INVERSIONES FCI]]-AT313,Tabla5[[#This Row],[INVERSIONES FCI]])</f>
        <v>1009937150.630455</v>
      </c>
      <c r="AU314" s="5">
        <f>IF($B313&lt;=Tabla5[[#This Row],[INVERSIONES FCI]],+Tabla5[[#This Row],[INVERSIONES FCI]]-AU313,Tabla5[[#This Row],[INVERSIONES FCI]])</f>
        <v>1009937150.630455</v>
      </c>
      <c r="AV314" s="5">
        <f>IF($B313&lt;=Tabla5[[#This Row],[INVERSIONES FCI]],+Tabla5[[#This Row],[INVERSIONES FCI]]-AV313,Tabla5[[#This Row],[INVERSIONES FCI]])</f>
        <v>1009937150.630455</v>
      </c>
      <c r="AW314" s="5">
        <f>IF($B313&lt;=Tabla5[[#This Row],[INVERSIONES FCI]],+Tabla5[[#This Row],[INVERSIONES FCI]]-AW313,Tabla5[[#This Row],[INVERSIONES FCI]])</f>
        <v>1009937150.630455</v>
      </c>
      <c r="AX314" s="5">
        <f>IF($B313&lt;=Tabla5[[#This Row],[INVERSIONES FCI]],+Tabla5[[#This Row],[INVERSIONES FCI]]-AX313,Tabla5[[#This Row],[INVERSIONES FCI]])</f>
        <v>1009937150.630455</v>
      </c>
      <c r="AY314" s="5">
        <f>IF($B313&lt;=Tabla5[[#This Row],[INVERSIONES FCI]],+Tabla5[[#This Row],[INVERSIONES FCI]]-AY313,Tabla5[[#This Row],[INVERSIONES FCI]])</f>
        <v>1009937150.630455</v>
      </c>
      <c r="AZ314" s="5">
        <f>IF($B313&lt;=Tabla5[[#This Row],[INVERSIONES FCI]],+Tabla5[[#This Row],[INVERSIONES FCI]]-AZ313,Tabla5[[#This Row],[INVERSIONES FCI]])</f>
        <v>1009937150.630455</v>
      </c>
      <c r="BA314" s="5">
        <f>IF($B313&lt;=Tabla5[[#This Row],[INVERSIONES FCI]],+Tabla5[[#This Row],[INVERSIONES FCI]]-BA313,Tabla5[[#This Row],[INVERSIONES FCI]])</f>
        <v>1009937150.630455</v>
      </c>
      <c r="BB314" s="5">
        <f>IF($B313&lt;=Tabla5[[#This Row],[INVERSIONES FCI]],+Tabla5[[#This Row],[INVERSIONES FCI]]-BB313,Tabla5[[#This Row],[INVERSIONES FCI]])</f>
        <v>1009937150.630455</v>
      </c>
      <c r="BC314" s="5">
        <f>IF($B313&lt;=Tabla5[[#This Row],[INVERSIONES FCI]],+Tabla5[[#This Row],[INVERSIONES FCI]]-BC313,Tabla5[[#This Row],[INVERSIONES FCI]])</f>
        <v>1009937150.630455</v>
      </c>
      <c r="BD314" s="5">
        <f>IF($B313&lt;=Tabla5[[#This Row],[INVERSIONES FCI]],+Tabla5[[#This Row],[INVERSIONES FCI]]-BD313,Tabla5[[#This Row],[INVERSIONES FCI]])</f>
        <v>1009937150.630455</v>
      </c>
      <c r="BE314" s="5">
        <f>IF($B313&lt;=Tabla5[[#This Row],[INVERSIONES FCI]],+Tabla5[[#This Row],[INVERSIONES FCI]]-BE313,Tabla5[[#This Row],[INVERSIONES FCI]])</f>
        <v>1009937150.630455</v>
      </c>
      <c r="BF314" s="5">
        <f>IF($B313&lt;=Tabla5[[#This Row],[INVERSIONES FCI]],+Tabla5[[#This Row],[INVERSIONES FCI]]-BF313,Tabla5[[#This Row],[INVERSIONES FCI]])</f>
        <v>1009937150.630455</v>
      </c>
      <c r="BG314" s="5">
        <f>IF($B313&lt;=Tabla5[[#This Row],[INVERSIONES FCI]],+Tabla5[[#This Row],[INVERSIONES FCI]]-BG313,Tabla5[[#This Row],[INVERSIONES FCI]])</f>
        <v>1009937150.630455</v>
      </c>
      <c r="BH314" s="5">
        <f>IF($B313&lt;=Tabla5[[#This Row],[INVERSIONES FCI]],+Tabla5[[#This Row],[INVERSIONES FCI]]-BH313,Tabla5[[#This Row],[INVERSIONES FCI]])</f>
        <v>1009937150.630455</v>
      </c>
      <c r="BI314" s="5">
        <f>IF($B313&lt;=Tabla5[[#This Row],[INVERSIONES FCI]],+Tabla5[[#This Row],[INVERSIONES FCI]]-BI313,Tabla5[[#This Row],[INVERSIONES FCI]])</f>
        <v>1009937150.630455</v>
      </c>
      <c r="BJ314" s="5">
        <f>IF($B313&lt;=Tabla5[[#This Row],[INVERSIONES FCI]],+Tabla5[[#This Row],[INVERSIONES FCI]]-BJ313,Tabla5[[#This Row],[INVERSIONES FCI]])</f>
        <v>1009937150.630455</v>
      </c>
      <c r="BK314" s="5">
        <f>IF($B313&lt;=Tabla5[[#This Row],[INVERSIONES FCI]],+Tabla5[[#This Row],[INVERSIONES FCI]]-BK313,Tabla5[[#This Row],[INVERSIONES FCI]])</f>
        <v>1009937150.630455</v>
      </c>
      <c r="BL314" s="5">
        <f>IF($B313&lt;=Tabla5[[#This Row],[INVERSIONES FCI]],+Tabla5[[#This Row],[INVERSIONES FCI]]-BL313,Tabla5[[#This Row],[INVERSIONES FCI]])</f>
        <v>1009937150.630455</v>
      </c>
      <c r="BM314" s="5">
        <f>IF($B313&lt;=Tabla5[[#This Row],[INVERSIONES FCI]],+Tabla5[[#This Row],[INVERSIONES FCI]]-BM313,Tabla5[[#This Row],[INVERSIONES FCI]])</f>
        <v>1009937150.630455</v>
      </c>
      <c r="BN314" s="5">
        <f>IF($B313&lt;=Tabla5[[#This Row],[INVERSIONES FCI]],+Tabla5[[#This Row],[INVERSIONES FCI]]-BN313,Tabla5[[#This Row],[INVERSIONES FCI]])</f>
        <v>1009937150.630455</v>
      </c>
      <c r="BO314" s="5">
        <f>IF($B313&lt;=Tabla5[[#This Row],[INVERSIONES FCI]],+Tabla5[[#This Row],[INVERSIONES FCI]]-BO313,Tabla5[[#This Row],[INVERSIONES FCI]])</f>
        <v>1009937150.630455</v>
      </c>
      <c r="BP314" s="5">
        <f>IF($B313&lt;=Tabla5[[#This Row],[INVERSIONES FCI]],+Tabla5[[#This Row],[INVERSIONES FCI]]-BP313,Tabla5[[#This Row],[INVERSIONES FCI]])</f>
        <v>1009937150.630455</v>
      </c>
      <c r="BQ314" s="5">
        <f>IF($B313&lt;=Tabla5[[#This Row],[INVERSIONES FCI]],+Tabla5[[#This Row],[INVERSIONES FCI]]-BQ313,Tabla5[[#This Row],[INVERSIONES FCI]])</f>
        <v>1009937150.630455</v>
      </c>
      <c r="BR314" s="5">
        <f>IF($B313&lt;=Tabla5[[#This Row],[INVERSIONES FCI]],+Tabla5[[#This Row],[INVERSIONES FCI]]-BR313,Tabla5[[#This Row],[INVERSIONES FCI]])</f>
        <v>1009937150.630455</v>
      </c>
      <c r="BS314" s="5">
        <f>IF($B313&lt;=Tabla5[[#This Row],[INVERSIONES FCI]],+Tabla5[[#This Row],[INVERSIONES FCI]]-BS313,Tabla5[[#This Row],[INVERSIONES FCI]])</f>
        <v>1009937150.630455</v>
      </c>
      <c r="BT314" s="5">
        <f>IF($B313&lt;=Tabla5[[#This Row],[INVERSIONES FCI]],+Tabla5[[#This Row],[INVERSIONES FCI]]-BT313,Tabla5[[#This Row],[INVERSIONES FCI]])</f>
        <v>1009937150.630455</v>
      </c>
      <c r="BU314" s="5">
        <f>IF($B313&lt;=Tabla5[[#This Row],[INVERSIONES FCI]],+Tabla5[[#This Row],[INVERSIONES FCI]]-BU313,Tabla5[[#This Row],[INVERSIONES FCI]])</f>
        <v>1009937150.630455</v>
      </c>
      <c r="BV314" s="5">
        <f>IF($B313&lt;=Tabla5[[#This Row],[INVERSIONES FCI]],+Tabla5[[#This Row],[INVERSIONES FCI]]-BV313,Tabla5[[#This Row],[INVERSIONES FCI]])</f>
        <v>1009937150.630455</v>
      </c>
      <c r="BW314" s="5">
        <f>IF($B313&lt;=Tabla5[[#This Row],[INVERSIONES FCI]],+Tabla5[[#This Row],[INVERSIONES FCI]]-BW313,Tabla5[[#This Row],[INVERSIONES FCI]])</f>
        <v>1009937150.630455</v>
      </c>
      <c r="BX314" s="5">
        <f>IF($B313&lt;=Tabla5[[#This Row],[INVERSIONES FCI]],+Tabla5[[#This Row],[INVERSIONES FCI]]-BX313,Tabla5[[#This Row],[INVERSIONES FCI]])</f>
        <v>1009937150.630455</v>
      </c>
      <c r="BY314" s="5">
        <f>IF($B313&lt;=Tabla5[[#This Row],[INVERSIONES FCI]],+Tabla5[[#This Row],[INVERSIONES FCI]]-BY313,Tabla5[[#This Row],[INVERSIONES FCI]])</f>
        <v>1009937150.630455</v>
      </c>
      <c r="BZ314" s="5">
        <f>IF($B313&lt;=Tabla5[[#This Row],[INVERSIONES FCI]],+Tabla5[[#This Row],[INVERSIONES FCI]]-BZ313,Tabla5[[#This Row],[INVERSIONES FCI]])</f>
        <v>1009937150.630455</v>
      </c>
      <c r="CA314" s="5">
        <f>IF($B313&lt;=Tabla5[[#This Row],[INVERSIONES FCI]],+Tabla5[[#This Row],[INVERSIONES FCI]]-CA313,Tabla5[[#This Row],[INVERSIONES FCI]])</f>
        <v>1009937150.630455</v>
      </c>
      <c r="CB314" s="5">
        <f>IF($B313&lt;=Tabla5[[#This Row],[INVERSIONES FCI]],+Tabla5[[#This Row],[INVERSIONES FCI]]-CB313,Tabla5[[#This Row],[INVERSIONES FCI]])</f>
        <v>1009937150.630455</v>
      </c>
      <c r="CC314" s="5">
        <f>IF($B313&lt;=Tabla5[[#This Row],[INVERSIONES FCI]],+Tabla5[[#This Row],[INVERSIONES FCI]]-CC313,Tabla5[[#This Row],[INVERSIONES FCI]])</f>
        <v>1009937150.630455</v>
      </c>
      <c r="CD314" s="5">
        <f>IF($B313&lt;=Tabla5[[#This Row],[INVERSIONES FCI]],+Tabla5[[#This Row],[INVERSIONES FCI]]-CD313,Tabla5[[#This Row],[INVERSIONES FCI]])</f>
        <v>1009937150.630455</v>
      </c>
      <c r="CE314" s="5">
        <f>IF($B313&lt;=Tabla5[[#This Row],[INVERSIONES FCI]],+Tabla5[[#This Row],[INVERSIONES FCI]]-CE313,Tabla5[[#This Row],[INVERSIONES FCI]])</f>
        <v>1009937150.630455</v>
      </c>
      <c r="CF314" s="5">
        <f>IF($B313&lt;=Tabla5[[#This Row],[INVERSIONES FCI]],+Tabla5[[#This Row],[INVERSIONES FCI]]-CF313,Tabla5[[#This Row],[INVERSIONES FCI]])</f>
        <v>1009937150.630455</v>
      </c>
      <c r="CG314" s="5">
        <f>IF($B313&lt;=Tabla5[[#This Row],[INVERSIONES FCI]],+Tabla5[[#This Row],[INVERSIONES FCI]]-CG313,Tabla5[[#This Row],[INVERSIONES FCI]])</f>
        <v>1009937150.630455</v>
      </c>
      <c r="CH314" s="5">
        <f>IF($B313&lt;=Tabla5[[#This Row],[INVERSIONES FCI]],+Tabla5[[#This Row],[INVERSIONES FCI]]-CH313,Tabla5[[#This Row],[INVERSIONES FCI]])</f>
        <v>1009937150.630455</v>
      </c>
      <c r="CI314" s="5">
        <f>IF($B313&lt;=Tabla5[[#This Row],[INVERSIONES FCI]],+Tabla5[[#This Row],[INVERSIONES FCI]]-CI313,Tabla5[[#This Row],[INVERSIONES FCI]])</f>
        <v>1009937150.630455</v>
      </c>
      <c r="CJ314" s="5">
        <f>IF($B313&lt;=Tabla5[[#This Row],[INVERSIONES FCI]],+Tabla5[[#This Row],[INVERSIONES FCI]]-CJ313,Tabla5[[#This Row],[INVERSIONES FCI]])</f>
        <v>1009937150.630455</v>
      </c>
      <c r="CK314" s="5">
        <f>IF($B313&lt;=Tabla5[[#This Row],[INVERSIONES FCI]],+Tabla5[[#This Row],[INVERSIONES FCI]]-CK313,Tabla5[[#This Row],[INVERSIONES FCI]])</f>
        <v>1009937150.630455</v>
      </c>
      <c r="CL314" s="5">
        <f>IF($B313&lt;=Tabla5[[#This Row],[INVERSIONES FCI]],+Tabla5[[#This Row],[INVERSIONES FCI]]-CL313,Tabla5[[#This Row],[INVERSIONES FCI]])</f>
        <v>1009937150.630455</v>
      </c>
      <c r="CM314" s="5">
        <f>IF($B313&lt;=Tabla5[[#This Row],[INVERSIONES FCI]],+Tabla5[[#This Row],[INVERSIONES FCI]]-CM313,Tabla5[[#This Row],[INVERSIONES FCI]])</f>
        <v>1009937150.630455</v>
      </c>
      <c r="CN314" s="5">
        <f>IF($B313&lt;=Tabla5[[#This Row],[INVERSIONES FCI]],+Tabla5[[#This Row],[INVERSIONES FCI]]-CN313,Tabla5[[#This Row],[INVERSIONES FCI]])</f>
        <v>1009937150.630455</v>
      </c>
      <c r="CO314" s="5">
        <f>IF($B313&lt;=Tabla5[[#This Row],[INVERSIONES FCI]],+Tabla5[[#This Row],[INVERSIONES FCI]]-CO313,Tabla5[[#This Row],[INVERSIONES FCI]])</f>
        <v>1009937150.630455</v>
      </c>
      <c r="CP314" s="5">
        <f>IF($B313&lt;=Tabla5[[#This Row],[INVERSIONES FCI]],+Tabla5[[#This Row],[INVERSIONES FCI]]-CP313,Tabla5[[#This Row],[INVERSIONES FCI]])</f>
        <v>1009937150.630455</v>
      </c>
      <c r="CQ314" s="5">
        <f>IF($B313&lt;=Tabla5[[#This Row],[INVERSIONES FCI]],+Tabla5[[#This Row],[INVERSIONES FCI]]-CQ313,Tabla5[[#This Row],[INVERSIONES FCI]])</f>
        <v>1009937150.630455</v>
      </c>
      <c r="CR314" s="5">
        <f>IF($B313&lt;=Tabla5[[#This Row],[INVERSIONES FCI]],+Tabla5[[#This Row],[INVERSIONES FCI]]-CR313,Tabla5[[#This Row],[INVERSIONES FCI]])</f>
        <v>1009937150.630455</v>
      </c>
      <c r="CS314" s="5">
        <f>IF($B313&lt;=Tabla5[[#This Row],[INVERSIONES FCI]],+Tabla5[[#This Row],[INVERSIONES FCI]]-CS313,Tabla5[[#This Row],[INVERSIONES FCI]])</f>
        <v>1009937150.630455</v>
      </c>
      <c r="CT314" s="5">
        <f>IF($B313&lt;=Tabla5[[#This Row],[INVERSIONES FCI]],+Tabla5[[#This Row],[INVERSIONES FCI]]-CT313,Tabla5[[#This Row],[INVERSIONES FCI]])</f>
        <v>1009937150.630455</v>
      </c>
      <c r="CU314" s="5">
        <f>IF($B313&lt;=Tabla5[[#This Row],[INVERSIONES FCI]],+Tabla5[[#This Row],[INVERSIONES FCI]]-CU313,Tabla5[[#This Row],[INVERSIONES FCI]])</f>
        <v>1009937150.630455</v>
      </c>
      <c r="CV314" s="5">
        <f>IF($B313&lt;=Tabla5[[#This Row],[INVERSIONES FCI]],+Tabla5[[#This Row],[INVERSIONES FCI]]-CV313,Tabla5[[#This Row],[INVERSIONES FCI]])</f>
        <v>1009937150.630455</v>
      </c>
      <c r="CW314" s="5">
        <f>IF($B313&lt;=Tabla5[[#This Row],[INVERSIONES FCI]],+Tabla5[[#This Row],[INVERSIONES FCI]]-CW313,Tabla5[[#This Row],[INVERSIONES FCI]])</f>
        <v>1009937150.630455</v>
      </c>
      <c r="CX314" s="5">
        <f>IF($B313&lt;=Tabla5[[#This Row],[INVERSIONES FCI]],+Tabla5[[#This Row],[INVERSIONES FCI]]-CX313,Tabla5[[#This Row],[INVERSIONES FCI]])</f>
        <v>1009937150.630455</v>
      </c>
      <c r="CY314" s="5">
        <f>IF($B313&lt;=Tabla5[[#This Row],[INVERSIONES FCI]],+Tabla5[[#This Row],[INVERSIONES FCI]]-CY313,Tabla5[[#This Row],[INVERSIONES FCI]])</f>
        <v>1009937150.630455</v>
      </c>
      <c r="CZ314" s="5">
        <f>IF($B313&lt;=Tabla5[[#This Row],[INVERSIONES FCI]],+Tabla5[[#This Row],[INVERSIONES FCI]]-CZ313,Tabla5[[#This Row],[INVERSIONES FCI]])</f>
        <v>1009937150.630455</v>
      </c>
      <c r="DA314" s="5">
        <f>IF($B313&lt;=Tabla5[[#This Row],[INVERSIONES FCI]],+Tabla5[[#This Row],[INVERSIONES FCI]]-DA313,Tabla5[[#This Row],[INVERSIONES FCI]])</f>
        <v>1009937150.630455</v>
      </c>
      <c r="DB314" s="5">
        <f>IF($B313&lt;=Tabla5[[#This Row],[INVERSIONES FCI]],+Tabla5[[#This Row],[INVERSIONES FCI]]-DB313,Tabla5[[#This Row],[INVERSIONES FCI]])</f>
        <v>1009937150.630455</v>
      </c>
      <c r="DC314" s="5">
        <f>IF($B313&lt;=Tabla5[[#This Row],[INVERSIONES FCI]],+Tabla5[[#This Row],[INVERSIONES FCI]]-DC313,Tabla5[[#This Row],[INVERSIONES FCI]])</f>
        <v>1009937150.630455</v>
      </c>
      <c r="DD314" s="5">
        <f>IF($B313&lt;=Tabla5[[#This Row],[INVERSIONES FCI]],+Tabla5[[#This Row],[INVERSIONES FCI]]-DD313,Tabla5[[#This Row],[INVERSIONES FCI]])</f>
        <v>1009937150.630455</v>
      </c>
      <c r="DE314" s="5">
        <f>IF($B313&lt;=Tabla5[[#This Row],[INVERSIONES FCI]],+Tabla5[[#This Row],[INVERSIONES FCI]]-DE313,Tabla5[[#This Row],[INVERSIONES FCI]])</f>
        <v>1009937150.630455</v>
      </c>
      <c r="DF314" s="5">
        <f>IF($B313&lt;=Tabla5[[#This Row],[INVERSIONES FCI]],+Tabla5[[#This Row],[INVERSIONES FCI]]-DF313,Tabla5[[#This Row],[INVERSIONES FCI]])</f>
        <v>1009937150.630455</v>
      </c>
      <c r="DG314" s="5">
        <f>IF($B313&lt;=Tabla5[[#This Row],[INVERSIONES FCI]],+Tabla5[[#This Row],[INVERSIONES FCI]]-DG313,Tabla5[[#This Row],[INVERSIONES FCI]])</f>
        <v>1009937150.630455</v>
      </c>
      <c r="DH314" s="5">
        <f>IF($B313&lt;=Tabla5[[#This Row],[INVERSIONES FCI]],+Tabla5[[#This Row],[INVERSIONES FCI]]-DH313,Tabla5[[#This Row],[INVERSIONES FCI]])</f>
        <v>1009937150.630455</v>
      </c>
      <c r="DI314" s="5">
        <f>IF($B313&lt;=Tabla5[[#This Row],[INVERSIONES FCI]],+Tabla5[[#This Row],[INVERSIONES FCI]]-DI313,Tabla5[[#This Row],[INVERSIONES FCI]])</f>
        <v>1009937150.630455</v>
      </c>
      <c r="DJ314" s="5">
        <f>IF($B313&lt;=Tabla5[[#This Row],[INVERSIONES FCI]],+Tabla5[[#This Row],[INVERSIONES FCI]]-DJ313,Tabla5[[#This Row],[INVERSIONES FCI]])</f>
        <v>1009937150.630455</v>
      </c>
      <c r="DK314" s="5">
        <f>IF($B313&lt;=Tabla5[[#This Row],[INVERSIONES FCI]],+Tabla5[[#This Row],[INVERSIONES FCI]]-DK313,Tabla5[[#This Row],[INVERSIONES FCI]])</f>
        <v>1009937150.630455</v>
      </c>
      <c r="DL314" s="5"/>
      <c r="DM314" s="5"/>
      <c r="DN314" s="5"/>
      <c r="DO314" s="5"/>
      <c r="DP314" s="5"/>
      <c r="DQ314" s="5"/>
    </row>
    <row r="315" spans="1:121" ht="14.4">
      <c r="A315" s="12" t="s">
        <v>314</v>
      </c>
      <c r="B315" s="5">
        <f>HLOOKUP($A315,ESCENARIO[#All],7,FALSE)</f>
        <v>69172401588.006592</v>
      </c>
      <c r="C315" s="5">
        <f>IF($B314&lt;=Tabla5[[#This Row],[INVERSIONES FCI]],+Tabla5[[#This Row],[INVERSIONES FCI]]-C314,Tabla5[[#This Row],[INVERSIONES FCI]])</f>
        <v>68162464437.376137</v>
      </c>
      <c r="D315" s="5">
        <f>IF($B314&lt;=Tabla5[[#This Row],[INVERSIONES FCI]],+Tabla5[[#This Row],[INVERSIONES FCI]]-D314,Tabla5[[#This Row],[INVERSIONES FCI]])</f>
        <v>68162464437.376137</v>
      </c>
      <c r="E315" s="5">
        <f>IF($B314&lt;=Tabla5[[#This Row],[INVERSIONES FCI]],+Tabla5[[#This Row],[INVERSIONES FCI]]-E314,Tabla5[[#This Row],[INVERSIONES FCI]])</f>
        <v>68162464437.376137</v>
      </c>
      <c r="F315" s="5">
        <f>IF($B314&lt;=Tabla5[[#This Row],[INVERSIONES FCI]],+Tabla5[[#This Row],[INVERSIONES FCI]]-F314,Tabla5[[#This Row],[INVERSIONES FCI]])</f>
        <v>68162464437.376137</v>
      </c>
      <c r="G315" s="5">
        <f>IF($B314&lt;=Tabla5[[#This Row],[INVERSIONES FCI]],+Tabla5[[#This Row],[INVERSIONES FCI]]-G314,Tabla5[[#This Row],[INVERSIONES FCI]])</f>
        <v>68162464437.376137</v>
      </c>
      <c r="H315" s="5">
        <f>IF($B314&lt;=Tabla5[[#This Row],[INVERSIONES FCI]],+Tabla5[[#This Row],[INVERSIONES FCI]]-H314,Tabla5[[#This Row],[INVERSIONES FCI]])</f>
        <v>68162464437.376137</v>
      </c>
      <c r="I315" s="5">
        <f>IF($B314&lt;=Tabla5[[#This Row],[INVERSIONES FCI]],+Tabla5[[#This Row],[INVERSIONES FCI]]-I314,Tabla5[[#This Row],[INVERSIONES FCI]])</f>
        <v>68162464437.376137</v>
      </c>
      <c r="J315" s="5">
        <f>IF($B314&lt;=Tabla5[[#This Row],[INVERSIONES FCI]],+Tabla5[[#This Row],[INVERSIONES FCI]]-J314,Tabla5[[#This Row],[INVERSIONES FCI]])</f>
        <v>68162464437.376137</v>
      </c>
      <c r="K315" s="5">
        <f>IF($B314&lt;=Tabla5[[#This Row],[INVERSIONES FCI]],+Tabla5[[#This Row],[INVERSIONES FCI]]-K314,Tabla5[[#This Row],[INVERSIONES FCI]])</f>
        <v>68162464437.376137</v>
      </c>
      <c r="L315" s="5">
        <f>IF($B314&lt;=Tabla5[[#This Row],[INVERSIONES FCI]],+Tabla5[[#This Row],[INVERSIONES FCI]]-L314,Tabla5[[#This Row],[INVERSIONES FCI]])</f>
        <v>68162464437.376137</v>
      </c>
      <c r="M315" s="5">
        <f>IF($B314&lt;=Tabla5[[#This Row],[INVERSIONES FCI]],+Tabla5[[#This Row],[INVERSIONES FCI]]-M314,Tabla5[[#This Row],[INVERSIONES FCI]])</f>
        <v>68162464437.376137</v>
      </c>
      <c r="N315" s="5">
        <f>IF($B314&lt;=Tabla5[[#This Row],[INVERSIONES FCI]],+Tabla5[[#This Row],[INVERSIONES FCI]]-N314,Tabla5[[#This Row],[INVERSIONES FCI]])</f>
        <v>68162464437.376137</v>
      </c>
      <c r="O315" s="5">
        <f>IF($B314&lt;=Tabla5[[#This Row],[INVERSIONES FCI]],+Tabla5[[#This Row],[INVERSIONES FCI]]-O314,Tabla5[[#This Row],[INVERSIONES FCI]])</f>
        <v>68162464437.376137</v>
      </c>
      <c r="P315" s="5">
        <f>IF($B314&lt;=Tabla5[[#This Row],[INVERSIONES FCI]],+Tabla5[[#This Row],[INVERSIONES FCI]]-P314,Tabla5[[#This Row],[INVERSIONES FCI]])</f>
        <v>68162464437.376137</v>
      </c>
      <c r="Q315" s="5">
        <f>IF($B314&lt;=Tabla5[[#This Row],[INVERSIONES FCI]],+Tabla5[[#This Row],[INVERSIONES FCI]]-Q314,Tabla5[[#This Row],[INVERSIONES FCI]])</f>
        <v>68162464437.376137</v>
      </c>
      <c r="R315" s="5">
        <f>IF($B314&lt;=Tabla5[[#This Row],[INVERSIONES FCI]],+Tabla5[[#This Row],[INVERSIONES FCI]]-R314,Tabla5[[#This Row],[INVERSIONES FCI]])</f>
        <v>68162464437.376137</v>
      </c>
      <c r="S315" s="5">
        <f>IF($B314&lt;=Tabla5[[#This Row],[INVERSIONES FCI]],+Tabla5[[#This Row],[INVERSIONES FCI]]-S314,Tabla5[[#This Row],[INVERSIONES FCI]])</f>
        <v>68162464437.376137</v>
      </c>
      <c r="T315" s="5">
        <f>IF($B314&lt;=Tabla5[[#This Row],[INVERSIONES FCI]],+Tabla5[[#This Row],[INVERSIONES FCI]]-T314,Tabla5[[#This Row],[INVERSIONES FCI]])</f>
        <v>68162464437.376137</v>
      </c>
      <c r="U315" s="5">
        <f>IF($B314&lt;=Tabla5[[#This Row],[INVERSIONES FCI]],+Tabla5[[#This Row],[INVERSIONES FCI]]-U314,Tabla5[[#This Row],[INVERSIONES FCI]])</f>
        <v>68162464437.376137</v>
      </c>
      <c r="V315" s="5">
        <f>IF($B314&lt;=Tabla5[[#This Row],[INVERSIONES FCI]],+Tabla5[[#This Row],[INVERSIONES FCI]]-V314,Tabla5[[#This Row],[INVERSIONES FCI]])</f>
        <v>68162464437.376137</v>
      </c>
      <c r="W315" s="5">
        <f>IF($B314&lt;=Tabla5[[#This Row],[INVERSIONES FCI]],+Tabla5[[#This Row],[INVERSIONES FCI]]-W314,Tabla5[[#This Row],[INVERSIONES FCI]])</f>
        <v>68162464437.376137</v>
      </c>
      <c r="X315" s="5">
        <f>IF($B314&lt;=Tabla5[[#This Row],[INVERSIONES FCI]],+Tabla5[[#This Row],[INVERSIONES FCI]]-X314,Tabla5[[#This Row],[INVERSIONES FCI]])</f>
        <v>68162464437.376137</v>
      </c>
      <c r="Y315" s="5">
        <f>IF($B314&lt;=Tabla5[[#This Row],[INVERSIONES FCI]],+Tabla5[[#This Row],[INVERSIONES FCI]]-Y314,Tabla5[[#This Row],[INVERSIONES FCI]])</f>
        <v>68162464437.376137</v>
      </c>
      <c r="Z315" s="5">
        <f>IF($B314&lt;=Tabla5[[#This Row],[INVERSIONES FCI]],+Tabla5[[#This Row],[INVERSIONES FCI]]-Z314,Tabla5[[#This Row],[INVERSIONES FCI]])</f>
        <v>68162464437.376137</v>
      </c>
      <c r="AA315" s="5">
        <f>IF($B314&lt;=Tabla5[[#This Row],[INVERSIONES FCI]],+Tabla5[[#This Row],[INVERSIONES FCI]]-AA314,Tabla5[[#This Row],[INVERSIONES FCI]])</f>
        <v>68162464437.376137</v>
      </c>
      <c r="AB315" s="5">
        <f>IF($B314&lt;=Tabla5[[#This Row],[INVERSIONES FCI]],+Tabla5[[#This Row],[INVERSIONES FCI]]-AB314,Tabla5[[#This Row],[INVERSIONES FCI]])</f>
        <v>68162464437.376137</v>
      </c>
      <c r="AC315" s="5">
        <f>IF($B314&lt;=Tabla5[[#This Row],[INVERSIONES FCI]],+Tabla5[[#This Row],[INVERSIONES FCI]]-AC314,Tabla5[[#This Row],[INVERSIONES FCI]])</f>
        <v>68162464437.376137</v>
      </c>
      <c r="AD315" s="5">
        <f>IF($B314&lt;=Tabla5[[#This Row],[INVERSIONES FCI]],+Tabla5[[#This Row],[INVERSIONES FCI]]-AD314,Tabla5[[#This Row],[INVERSIONES FCI]])</f>
        <v>68162464437.376137</v>
      </c>
      <c r="AE315" s="5">
        <f>IF($B314&lt;=Tabla5[[#This Row],[INVERSIONES FCI]],+Tabla5[[#This Row],[INVERSIONES FCI]]-AE314,Tabla5[[#This Row],[INVERSIONES FCI]])</f>
        <v>68162464437.376137</v>
      </c>
      <c r="AF315" s="5">
        <f>IF($B314&lt;=Tabla5[[#This Row],[INVERSIONES FCI]],+Tabla5[[#This Row],[INVERSIONES FCI]]-AF314,Tabla5[[#This Row],[INVERSIONES FCI]])</f>
        <v>68162464437.376137</v>
      </c>
      <c r="AG315" s="5">
        <f>IF($B314&lt;=Tabla5[[#This Row],[INVERSIONES FCI]],+Tabla5[[#This Row],[INVERSIONES FCI]]-AG314,Tabla5[[#This Row],[INVERSIONES FCI]])</f>
        <v>68162464437.376137</v>
      </c>
      <c r="AH315" s="5">
        <f>IF($B314&lt;=Tabla5[[#This Row],[INVERSIONES FCI]],+Tabla5[[#This Row],[INVERSIONES FCI]]-AH314,Tabla5[[#This Row],[INVERSIONES FCI]])</f>
        <v>68162464437.376137</v>
      </c>
      <c r="AI315" s="5">
        <f>IF($B314&lt;=Tabla5[[#This Row],[INVERSIONES FCI]],+Tabla5[[#This Row],[INVERSIONES FCI]]-AI314,Tabla5[[#This Row],[INVERSIONES FCI]])</f>
        <v>68162464437.376137</v>
      </c>
      <c r="AJ315" s="5">
        <f>IF($B314&lt;=Tabla5[[#This Row],[INVERSIONES FCI]],+Tabla5[[#This Row],[INVERSIONES FCI]]-AJ314,Tabla5[[#This Row],[INVERSIONES FCI]])</f>
        <v>68162464437.376137</v>
      </c>
      <c r="AK315" s="5">
        <f>IF($B314&lt;=Tabla5[[#This Row],[INVERSIONES FCI]],+Tabla5[[#This Row],[INVERSIONES FCI]]-AK314,Tabla5[[#This Row],[INVERSIONES FCI]])</f>
        <v>68162464437.376137</v>
      </c>
      <c r="AL315" s="5">
        <f>IF($B314&lt;=Tabla5[[#This Row],[INVERSIONES FCI]],+Tabla5[[#This Row],[INVERSIONES FCI]]-AL314,Tabla5[[#This Row],[INVERSIONES FCI]])</f>
        <v>68162464437.376137</v>
      </c>
      <c r="AM315" s="5">
        <f>IF($B314&lt;=Tabla5[[#This Row],[INVERSIONES FCI]],+Tabla5[[#This Row],[INVERSIONES FCI]]-AM314,Tabla5[[#This Row],[INVERSIONES FCI]])</f>
        <v>68162464437.376137</v>
      </c>
      <c r="AN315" s="5">
        <f>IF($B314&lt;=Tabla5[[#This Row],[INVERSIONES FCI]],+Tabla5[[#This Row],[INVERSIONES FCI]]-AN314,Tabla5[[#This Row],[INVERSIONES FCI]])</f>
        <v>68162464437.376137</v>
      </c>
      <c r="AO315" s="5">
        <f>IF($B314&lt;=Tabla5[[#This Row],[INVERSIONES FCI]],+Tabla5[[#This Row],[INVERSIONES FCI]]-AO314,Tabla5[[#This Row],[INVERSIONES FCI]])</f>
        <v>68162464437.376137</v>
      </c>
      <c r="AP315" s="5">
        <f>IF($B314&lt;=Tabla5[[#This Row],[INVERSIONES FCI]],+Tabla5[[#This Row],[INVERSIONES FCI]]-AP314,Tabla5[[#This Row],[INVERSIONES FCI]])</f>
        <v>68162464437.376137</v>
      </c>
      <c r="AQ315" s="5">
        <f>IF($B314&lt;=Tabla5[[#This Row],[INVERSIONES FCI]],+Tabla5[[#This Row],[INVERSIONES FCI]]-AQ314,Tabla5[[#This Row],[INVERSIONES FCI]])</f>
        <v>68162464437.376137</v>
      </c>
      <c r="AR315" s="5">
        <f>IF($B314&lt;=Tabla5[[#This Row],[INVERSIONES FCI]],+Tabla5[[#This Row],[INVERSIONES FCI]]-AR314,Tabla5[[#This Row],[INVERSIONES FCI]])</f>
        <v>68162464437.376137</v>
      </c>
      <c r="AS315" s="5">
        <f>IF($B314&lt;=Tabla5[[#This Row],[INVERSIONES FCI]],+Tabla5[[#This Row],[INVERSIONES FCI]]-AS314,Tabla5[[#This Row],[INVERSIONES FCI]])</f>
        <v>68162464437.376137</v>
      </c>
      <c r="AT315" s="5">
        <f>IF($B314&lt;=Tabla5[[#This Row],[INVERSIONES FCI]],+Tabla5[[#This Row],[INVERSIONES FCI]]-AT314,Tabla5[[#This Row],[INVERSIONES FCI]])</f>
        <v>68162464437.376137</v>
      </c>
      <c r="AU315" s="5">
        <f>IF($B314&lt;=Tabla5[[#This Row],[INVERSIONES FCI]],+Tabla5[[#This Row],[INVERSIONES FCI]]-AU314,Tabla5[[#This Row],[INVERSIONES FCI]])</f>
        <v>68162464437.376137</v>
      </c>
      <c r="AV315" s="5">
        <f>IF($B314&lt;=Tabla5[[#This Row],[INVERSIONES FCI]],+Tabla5[[#This Row],[INVERSIONES FCI]]-AV314,Tabla5[[#This Row],[INVERSIONES FCI]])</f>
        <v>68162464437.376137</v>
      </c>
      <c r="AW315" s="5">
        <f>IF($B314&lt;=Tabla5[[#This Row],[INVERSIONES FCI]],+Tabla5[[#This Row],[INVERSIONES FCI]]-AW314,Tabla5[[#This Row],[INVERSIONES FCI]])</f>
        <v>68162464437.376137</v>
      </c>
      <c r="AX315" s="5">
        <f>IF($B314&lt;=Tabla5[[#This Row],[INVERSIONES FCI]],+Tabla5[[#This Row],[INVERSIONES FCI]]-AX314,Tabla5[[#This Row],[INVERSIONES FCI]])</f>
        <v>68162464437.376137</v>
      </c>
      <c r="AY315" s="5">
        <f>IF($B314&lt;=Tabla5[[#This Row],[INVERSIONES FCI]],+Tabla5[[#This Row],[INVERSIONES FCI]]-AY314,Tabla5[[#This Row],[INVERSIONES FCI]])</f>
        <v>68162464437.376137</v>
      </c>
      <c r="AZ315" s="5">
        <f>IF($B314&lt;=Tabla5[[#This Row],[INVERSIONES FCI]],+Tabla5[[#This Row],[INVERSIONES FCI]]-AZ314,Tabla5[[#This Row],[INVERSIONES FCI]])</f>
        <v>68162464437.376137</v>
      </c>
      <c r="BA315" s="5">
        <f>IF($B314&lt;=Tabla5[[#This Row],[INVERSIONES FCI]],+Tabla5[[#This Row],[INVERSIONES FCI]]-BA314,Tabla5[[#This Row],[INVERSIONES FCI]])</f>
        <v>68162464437.376137</v>
      </c>
      <c r="BB315" s="5">
        <f>IF($B314&lt;=Tabla5[[#This Row],[INVERSIONES FCI]],+Tabla5[[#This Row],[INVERSIONES FCI]]-BB314,Tabla5[[#This Row],[INVERSIONES FCI]])</f>
        <v>68162464437.376137</v>
      </c>
      <c r="BC315" s="5">
        <f>IF($B314&lt;=Tabla5[[#This Row],[INVERSIONES FCI]],+Tabla5[[#This Row],[INVERSIONES FCI]]-BC314,Tabla5[[#This Row],[INVERSIONES FCI]])</f>
        <v>68162464437.376137</v>
      </c>
      <c r="BD315" s="5">
        <f>IF($B314&lt;=Tabla5[[#This Row],[INVERSIONES FCI]],+Tabla5[[#This Row],[INVERSIONES FCI]]-BD314,Tabla5[[#This Row],[INVERSIONES FCI]])</f>
        <v>68162464437.376137</v>
      </c>
      <c r="BE315" s="5">
        <f>IF($B314&lt;=Tabla5[[#This Row],[INVERSIONES FCI]],+Tabla5[[#This Row],[INVERSIONES FCI]]-BE314,Tabla5[[#This Row],[INVERSIONES FCI]])</f>
        <v>68162464437.376137</v>
      </c>
      <c r="BF315" s="5">
        <f>IF($B314&lt;=Tabla5[[#This Row],[INVERSIONES FCI]],+Tabla5[[#This Row],[INVERSIONES FCI]]-BF314,Tabla5[[#This Row],[INVERSIONES FCI]])</f>
        <v>68162464437.376137</v>
      </c>
      <c r="BG315" s="5">
        <f>IF($B314&lt;=Tabla5[[#This Row],[INVERSIONES FCI]],+Tabla5[[#This Row],[INVERSIONES FCI]]-BG314,Tabla5[[#This Row],[INVERSIONES FCI]])</f>
        <v>68162464437.376137</v>
      </c>
      <c r="BH315" s="5">
        <f>IF($B314&lt;=Tabla5[[#This Row],[INVERSIONES FCI]],+Tabla5[[#This Row],[INVERSIONES FCI]]-BH314,Tabla5[[#This Row],[INVERSIONES FCI]])</f>
        <v>68162464437.376137</v>
      </c>
      <c r="BI315" s="5">
        <f>IF($B314&lt;=Tabla5[[#This Row],[INVERSIONES FCI]],+Tabla5[[#This Row],[INVERSIONES FCI]]-BI314,Tabla5[[#This Row],[INVERSIONES FCI]])</f>
        <v>68162464437.376137</v>
      </c>
      <c r="BJ315" s="5">
        <f>IF($B314&lt;=Tabla5[[#This Row],[INVERSIONES FCI]],+Tabla5[[#This Row],[INVERSIONES FCI]]-BJ314,Tabla5[[#This Row],[INVERSIONES FCI]])</f>
        <v>68162464437.376137</v>
      </c>
      <c r="BK315" s="5">
        <f>IF($B314&lt;=Tabla5[[#This Row],[INVERSIONES FCI]],+Tabla5[[#This Row],[INVERSIONES FCI]]-BK314,Tabla5[[#This Row],[INVERSIONES FCI]])</f>
        <v>68162464437.376137</v>
      </c>
      <c r="BL315" s="5">
        <f>IF($B314&lt;=Tabla5[[#This Row],[INVERSIONES FCI]],+Tabla5[[#This Row],[INVERSIONES FCI]]-BL314,Tabla5[[#This Row],[INVERSIONES FCI]])</f>
        <v>68162464437.376137</v>
      </c>
      <c r="BM315" s="5">
        <f>IF($B314&lt;=Tabla5[[#This Row],[INVERSIONES FCI]],+Tabla5[[#This Row],[INVERSIONES FCI]]-BM314,Tabla5[[#This Row],[INVERSIONES FCI]])</f>
        <v>68162464437.376137</v>
      </c>
      <c r="BN315" s="5">
        <f>IF($B314&lt;=Tabla5[[#This Row],[INVERSIONES FCI]],+Tabla5[[#This Row],[INVERSIONES FCI]]-BN314,Tabla5[[#This Row],[INVERSIONES FCI]])</f>
        <v>68162464437.376137</v>
      </c>
      <c r="BO315" s="5">
        <f>IF($B314&lt;=Tabla5[[#This Row],[INVERSIONES FCI]],+Tabla5[[#This Row],[INVERSIONES FCI]]-BO314,Tabla5[[#This Row],[INVERSIONES FCI]])</f>
        <v>68162464437.376137</v>
      </c>
      <c r="BP315" s="5">
        <f>IF($B314&lt;=Tabla5[[#This Row],[INVERSIONES FCI]],+Tabla5[[#This Row],[INVERSIONES FCI]]-BP314,Tabla5[[#This Row],[INVERSIONES FCI]])</f>
        <v>68162464437.376137</v>
      </c>
      <c r="BQ315" s="5">
        <f>IF($B314&lt;=Tabla5[[#This Row],[INVERSIONES FCI]],+Tabla5[[#This Row],[INVERSIONES FCI]]-BQ314,Tabla5[[#This Row],[INVERSIONES FCI]])</f>
        <v>68162464437.376137</v>
      </c>
      <c r="BR315" s="5">
        <f>IF($B314&lt;=Tabla5[[#This Row],[INVERSIONES FCI]],+Tabla5[[#This Row],[INVERSIONES FCI]]-BR314,Tabla5[[#This Row],[INVERSIONES FCI]])</f>
        <v>68162464437.376137</v>
      </c>
      <c r="BS315" s="5">
        <f>IF($B314&lt;=Tabla5[[#This Row],[INVERSIONES FCI]],+Tabla5[[#This Row],[INVERSIONES FCI]]-BS314,Tabla5[[#This Row],[INVERSIONES FCI]])</f>
        <v>68162464437.376137</v>
      </c>
      <c r="BT315" s="5">
        <f>IF($B314&lt;=Tabla5[[#This Row],[INVERSIONES FCI]],+Tabla5[[#This Row],[INVERSIONES FCI]]-BT314,Tabla5[[#This Row],[INVERSIONES FCI]])</f>
        <v>68162464437.376137</v>
      </c>
      <c r="BU315" s="5">
        <f>IF($B314&lt;=Tabla5[[#This Row],[INVERSIONES FCI]],+Tabla5[[#This Row],[INVERSIONES FCI]]-BU314,Tabla5[[#This Row],[INVERSIONES FCI]])</f>
        <v>68162464437.376137</v>
      </c>
      <c r="BV315" s="5">
        <f>IF($B314&lt;=Tabla5[[#This Row],[INVERSIONES FCI]],+Tabla5[[#This Row],[INVERSIONES FCI]]-BV314,Tabla5[[#This Row],[INVERSIONES FCI]])</f>
        <v>68162464437.376137</v>
      </c>
      <c r="BW315" s="5">
        <f>IF($B314&lt;=Tabla5[[#This Row],[INVERSIONES FCI]],+Tabla5[[#This Row],[INVERSIONES FCI]]-BW314,Tabla5[[#This Row],[INVERSIONES FCI]])</f>
        <v>68162464437.376137</v>
      </c>
      <c r="BX315" s="5">
        <f>IF($B314&lt;=Tabla5[[#This Row],[INVERSIONES FCI]],+Tabla5[[#This Row],[INVERSIONES FCI]]-BX314,Tabla5[[#This Row],[INVERSIONES FCI]])</f>
        <v>68162464437.376137</v>
      </c>
      <c r="BY315" s="5">
        <f>IF($B314&lt;=Tabla5[[#This Row],[INVERSIONES FCI]],+Tabla5[[#This Row],[INVERSIONES FCI]]-BY314,Tabla5[[#This Row],[INVERSIONES FCI]])</f>
        <v>68162464437.376137</v>
      </c>
      <c r="BZ315" s="5">
        <f>IF($B314&lt;=Tabla5[[#This Row],[INVERSIONES FCI]],+Tabla5[[#This Row],[INVERSIONES FCI]]-BZ314,Tabla5[[#This Row],[INVERSIONES FCI]])</f>
        <v>68162464437.376137</v>
      </c>
      <c r="CA315" s="5">
        <f>IF($B314&lt;=Tabla5[[#This Row],[INVERSIONES FCI]],+Tabla5[[#This Row],[INVERSIONES FCI]]-CA314,Tabla5[[#This Row],[INVERSIONES FCI]])</f>
        <v>68162464437.376137</v>
      </c>
      <c r="CB315" s="5">
        <f>IF($B314&lt;=Tabla5[[#This Row],[INVERSIONES FCI]],+Tabla5[[#This Row],[INVERSIONES FCI]]-CB314,Tabla5[[#This Row],[INVERSIONES FCI]])</f>
        <v>68162464437.376137</v>
      </c>
      <c r="CC315" s="5">
        <f>IF($B314&lt;=Tabla5[[#This Row],[INVERSIONES FCI]],+Tabla5[[#This Row],[INVERSIONES FCI]]-CC314,Tabla5[[#This Row],[INVERSIONES FCI]])</f>
        <v>68162464437.376137</v>
      </c>
      <c r="CD315" s="5">
        <f>IF($B314&lt;=Tabla5[[#This Row],[INVERSIONES FCI]],+Tabla5[[#This Row],[INVERSIONES FCI]]-CD314,Tabla5[[#This Row],[INVERSIONES FCI]])</f>
        <v>68162464437.376137</v>
      </c>
      <c r="CE315" s="5">
        <f>IF($B314&lt;=Tabla5[[#This Row],[INVERSIONES FCI]],+Tabla5[[#This Row],[INVERSIONES FCI]]-CE314,Tabla5[[#This Row],[INVERSIONES FCI]])</f>
        <v>68162464437.376137</v>
      </c>
      <c r="CF315" s="5">
        <f>IF($B314&lt;=Tabla5[[#This Row],[INVERSIONES FCI]],+Tabla5[[#This Row],[INVERSIONES FCI]]-CF314,Tabla5[[#This Row],[INVERSIONES FCI]])</f>
        <v>68162464437.376137</v>
      </c>
      <c r="CG315" s="5">
        <f>IF($B314&lt;=Tabla5[[#This Row],[INVERSIONES FCI]],+Tabla5[[#This Row],[INVERSIONES FCI]]-CG314,Tabla5[[#This Row],[INVERSIONES FCI]])</f>
        <v>68162464437.376137</v>
      </c>
      <c r="CH315" s="5">
        <f>IF($B314&lt;=Tabla5[[#This Row],[INVERSIONES FCI]],+Tabla5[[#This Row],[INVERSIONES FCI]]-CH314,Tabla5[[#This Row],[INVERSIONES FCI]])</f>
        <v>68162464437.376137</v>
      </c>
      <c r="CI315" s="5">
        <f>IF($B314&lt;=Tabla5[[#This Row],[INVERSIONES FCI]],+Tabla5[[#This Row],[INVERSIONES FCI]]-CI314,Tabla5[[#This Row],[INVERSIONES FCI]])</f>
        <v>68162464437.376137</v>
      </c>
      <c r="CJ315" s="5">
        <f>IF($B314&lt;=Tabla5[[#This Row],[INVERSIONES FCI]],+Tabla5[[#This Row],[INVERSIONES FCI]]-CJ314,Tabla5[[#This Row],[INVERSIONES FCI]])</f>
        <v>68162464437.376137</v>
      </c>
      <c r="CK315" s="5">
        <f>IF($B314&lt;=Tabla5[[#This Row],[INVERSIONES FCI]],+Tabla5[[#This Row],[INVERSIONES FCI]]-CK314,Tabla5[[#This Row],[INVERSIONES FCI]])</f>
        <v>68162464437.376137</v>
      </c>
      <c r="CL315" s="5">
        <f>IF($B314&lt;=Tabla5[[#This Row],[INVERSIONES FCI]],+Tabla5[[#This Row],[INVERSIONES FCI]]-CL314,Tabla5[[#This Row],[INVERSIONES FCI]])</f>
        <v>68162464437.376137</v>
      </c>
      <c r="CM315" s="5">
        <f>IF($B314&lt;=Tabla5[[#This Row],[INVERSIONES FCI]],+Tabla5[[#This Row],[INVERSIONES FCI]]-CM314,Tabla5[[#This Row],[INVERSIONES FCI]])</f>
        <v>68162464437.376137</v>
      </c>
      <c r="CN315" s="5">
        <f>IF($B314&lt;=Tabla5[[#This Row],[INVERSIONES FCI]],+Tabla5[[#This Row],[INVERSIONES FCI]]-CN314,Tabla5[[#This Row],[INVERSIONES FCI]])</f>
        <v>68162464437.376137</v>
      </c>
      <c r="CO315" s="5">
        <f>IF($B314&lt;=Tabla5[[#This Row],[INVERSIONES FCI]],+Tabla5[[#This Row],[INVERSIONES FCI]]-CO314,Tabla5[[#This Row],[INVERSIONES FCI]])</f>
        <v>68162464437.376137</v>
      </c>
      <c r="CP315" s="5">
        <f>IF($B314&lt;=Tabla5[[#This Row],[INVERSIONES FCI]],+Tabla5[[#This Row],[INVERSIONES FCI]]-CP314,Tabla5[[#This Row],[INVERSIONES FCI]])</f>
        <v>68162464437.376137</v>
      </c>
      <c r="CQ315" s="5">
        <f>IF($B314&lt;=Tabla5[[#This Row],[INVERSIONES FCI]],+Tabla5[[#This Row],[INVERSIONES FCI]]-CQ314,Tabla5[[#This Row],[INVERSIONES FCI]])</f>
        <v>68162464437.376137</v>
      </c>
      <c r="CR315" s="5">
        <f>IF($B314&lt;=Tabla5[[#This Row],[INVERSIONES FCI]],+Tabla5[[#This Row],[INVERSIONES FCI]]-CR314,Tabla5[[#This Row],[INVERSIONES FCI]])</f>
        <v>68162464437.376137</v>
      </c>
      <c r="CS315" s="5">
        <f>IF($B314&lt;=Tabla5[[#This Row],[INVERSIONES FCI]],+Tabla5[[#This Row],[INVERSIONES FCI]]-CS314,Tabla5[[#This Row],[INVERSIONES FCI]])</f>
        <v>68162464437.376137</v>
      </c>
      <c r="CT315" s="5">
        <f>IF($B314&lt;=Tabla5[[#This Row],[INVERSIONES FCI]],+Tabla5[[#This Row],[INVERSIONES FCI]]-CT314,Tabla5[[#This Row],[INVERSIONES FCI]])</f>
        <v>68162464437.376137</v>
      </c>
      <c r="CU315" s="5">
        <f>IF($B314&lt;=Tabla5[[#This Row],[INVERSIONES FCI]],+Tabla5[[#This Row],[INVERSIONES FCI]]-CU314,Tabla5[[#This Row],[INVERSIONES FCI]])</f>
        <v>68162464437.376137</v>
      </c>
      <c r="CV315" s="5">
        <f>IF($B314&lt;=Tabla5[[#This Row],[INVERSIONES FCI]],+Tabla5[[#This Row],[INVERSIONES FCI]]-CV314,Tabla5[[#This Row],[INVERSIONES FCI]])</f>
        <v>68162464437.376137</v>
      </c>
      <c r="CW315" s="5">
        <f>IF($B314&lt;=Tabla5[[#This Row],[INVERSIONES FCI]],+Tabla5[[#This Row],[INVERSIONES FCI]]-CW314,Tabla5[[#This Row],[INVERSIONES FCI]])</f>
        <v>68162464437.376137</v>
      </c>
      <c r="CX315" s="5">
        <f>IF($B314&lt;=Tabla5[[#This Row],[INVERSIONES FCI]],+Tabla5[[#This Row],[INVERSIONES FCI]]-CX314,Tabla5[[#This Row],[INVERSIONES FCI]])</f>
        <v>68162464437.376137</v>
      </c>
      <c r="CY315" s="5">
        <f>IF($B314&lt;=Tabla5[[#This Row],[INVERSIONES FCI]],+Tabla5[[#This Row],[INVERSIONES FCI]]-CY314,Tabla5[[#This Row],[INVERSIONES FCI]])</f>
        <v>68162464437.376137</v>
      </c>
      <c r="CZ315" s="5">
        <f>IF($B314&lt;=Tabla5[[#This Row],[INVERSIONES FCI]],+Tabla5[[#This Row],[INVERSIONES FCI]]-CZ314,Tabla5[[#This Row],[INVERSIONES FCI]])</f>
        <v>68162464437.376137</v>
      </c>
      <c r="DA315" s="5">
        <f>IF($B314&lt;=Tabla5[[#This Row],[INVERSIONES FCI]],+Tabla5[[#This Row],[INVERSIONES FCI]]-DA314,Tabla5[[#This Row],[INVERSIONES FCI]])</f>
        <v>68162464437.376137</v>
      </c>
      <c r="DB315" s="5">
        <f>IF($B314&lt;=Tabla5[[#This Row],[INVERSIONES FCI]],+Tabla5[[#This Row],[INVERSIONES FCI]]-DB314,Tabla5[[#This Row],[INVERSIONES FCI]])</f>
        <v>68162464437.376137</v>
      </c>
      <c r="DC315" s="5">
        <f>IF($B314&lt;=Tabla5[[#This Row],[INVERSIONES FCI]],+Tabla5[[#This Row],[INVERSIONES FCI]]-DC314,Tabla5[[#This Row],[INVERSIONES FCI]])</f>
        <v>68162464437.376137</v>
      </c>
      <c r="DD315" s="5">
        <f>IF($B314&lt;=Tabla5[[#This Row],[INVERSIONES FCI]],+Tabla5[[#This Row],[INVERSIONES FCI]]-DD314,Tabla5[[#This Row],[INVERSIONES FCI]])</f>
        <v>68162464437.376137</v>
      </c>
      <c r="DE315" s="5">
        <f>IF($B314&lt;=Tabla5[[#This Row],[INVERSIONES FCI]],+Tabla5[[#This Row],[INVERSIONES FCI]]-DE314,Tabla5[[#This Row],[INVERSIONES FCI]])</f>
        <v>68162464437.376137</v>
      </c>
      <c r="DF315" s="5">
        <f>IF($B314&lt;=Tabla5[[#This Row],[INVERSIONES FCI]],+Tabla5[[#This Row],[INVERSIONES FCI]]-DF314,Tabla5[[#This Row],[INVERSIONES FCI]])</f>
        <v>68162464437.376137</v>
      </c>
      <c r="DG315" s="5">
        <f>IF($B314&lt;=Tabla5[[#This Row],[INVERSIONES FCI]],+Tabla5[[#This Row],[INVERSIONES FCI]]-DG314,Tabla5[[#This Row],[INVERSIONES FCI]])</f>
        <v>68162464437.376137</v>
      </c>
      <c r="DH315" s="5">
        <f>IF($B314&lt;=Tabla5[[#This Row],[INVERSIONES FCI]],+Tabla5[[#This Row],[INVERSIONES FCI]]-DH314,Tabla5[[#This Row],[INVERSIONES FCI]])</f>
        <v>68162464437.376137</v>
      </c>
      <c r="DI315" s="5">
        <f>IF($B314&lt;=Tabla5[[#This Row],[INVERSIONES FCI]],+Tabla5[[#This Row],[INVERSIONES FCI]]-DI314,Tabla5[[#This Row],[INVERSIONES FCI]])</f>
        <v>68162464437.376137</v>
      </c>
      <c r="DJ315" s="5">
        <f>IF($B314&lt;=Tabla5[[#This Row],[INVERSIONES FCI]],+Tabla5[[#This Row],[INVERSIONES FCI]]-DJ314,Tabla5[[#This Row],[INVERSIONES FCI]])</f>
        <v>68162464437.376137</v>
      </c>
      <c r="DK315" s="5">
        <f>IF($B314&lt;=Tabla5[[#This Row],[INVERSIONES FCI]],+Tabla5[[#This Row],[INVERSIONES FCI]]-DK314,Tabla5[[#This Row],[INVERSIONES FCI]])</f>
        <v>68162464437.376137</v>
      </c>
      <c r="DL315" s="5"/>
      <c r="DM315" s="5"/>
      <c r="DN315" s="5"/>
      <c r="DO315" s="5"/>
      <c r="DP315" s="5"/>
      <c r="DQ315" s="5"/>
    </row>
    <row r="316" spans="1:121" ht="14.4">
      <c r="A316" s="12" t="s">
        <v>315</v>
      </c>
      <c r="B316" s="5">
        <f>HLOOKUP($A316,ESCENARIO[#All],7,FALSE)</f>
        <v>78125824813.017014</v>
      </c>
      <c r="C316" s="5">
        <f>IF($B315&lt;=Tabla5[[#This Row],[INVERSIONES FCI]],+Tabla5[[#This Row],[INVERSIONES FCI]]-C315,Tabla5[[#This Row],[INVERSIONES FCI]])</f>
        <v>9963360375.6408768</v>
      </c>
      <c r="D316" s="5">
        <f>IF($B315&lt;=Tabla5[[#This Row],[INVERSIONES FCI]],+Tabla5[[#This Row],[INVERSIONES FCI]]-D315,Tabla5[[#This Row],[INVERSIONES FCI]])</f>
        <v>9963360375.6408768</v>
      </c>
      <c r="E316" s="5">
        <f>IF($B315&lt;=Tabla5[[#This Row],[INVERSIONES FCI]],+Tabla5[[#This Row],[INVERSIONES FCI]]-E315,Tabla5[[#This Row],[INVERSIONES FCI]])</f>
        <v>9963360375.6408768</v>
      </c>
      <c r="F316" s="5">
        <f>IF($B315&lt;=Tabla5[[#This Row],[INVERSIONES FCI]],+Tabla5[[#This Row],[INVERSIONES FCI]]-F315,Tabla5[[#This Row],[INVERSIONES FCI]])</f>
        <v>9963360375.6408768</v>
      </c>
      <c r="G316" s="5">
        <f>IF($B315&lt;=Tabla5[[#This Row],[INVERSIONES FCI]],+Tabla5[[#This Row],[INVERSIONES FCI]]-G315,Tabla5[[#This Row],[INVERSIONES FCI]])</f>
        <v>9963360375.6408768</v>
      </c>
      <c r="H316" s="5">
        <f>IF($B315&lt;=Tabla5[[#This Row],[INVERSIONES FCI]],+Tabla5[[#This Row],[INVERSIONES FCI]]-H315,Tabla5[[#This Row],[INVERSIONES FCI]])</f>
        <v>9963360375.6408768</v>
      </c>
      <c r="I316" s="5">
        <f>IF($B315&lt;=Tabla5[[#This Row],[INVERSIONES FCI]],+Tabla5[[#This Row],[INVERSIONES FCI]]-I315,Tabla5[[#This Row],[INVERSIONES FCI]])</f>
        <v>9963360375.6408768</v>
      </c>
      <c r="J316" s="5">
        <f>IF($B315&lt;=Tabla5[[#This Row],[INVERSIONES FCI]],+Tabla5[[#This Row],[INVERSIONES FCI]]-J315,Tabla5[[#This Row],[INVERSIONES FCI]])</f>
        <v>9963360375.6408768</v>
      </c>
      <c r="K316" s="5">
        <f>IF($B315&lt;=Tabla5[[#This Row],[INVERSIONES FCI]],+Tabla5[[#This Row],[INVERSIONES FCI]]-K315,Tabla5[[#This Row],[INVERSIONES FCI]])</f>
        <v>9963360375.6408768</v>
      </c>
      <c r="L316" s="5">
        <f>IF($B315&lt;=Tabla5[[#This Row],[INVERSIONES FCI]],+Tabla5[[#This Row],[INVERSIONES FCI]]-L315,Tabla5[[#This Row],[INVERSIONES FCI]])</f>
        <v>9963360375.6408768</v>
      </c>
      <c r="M316" s="5">
        <f>IF($B315&lt;=Tabla5[[#This Row],[INVERSIONES FCI]],+Tabla5[[#This Row],[INVERSIONES FCI]]-M315,Tabla5[[#This Row],[INVERSIONES FCI]])</f>
        <v>9963360375.6408768</v>
      </c>
      <c r="N316" s="5">
        <f>IF($B315&lt;=Tabla5[[#This Row],[INVERSIONES FCI]],+Tabla5[[#This Row],[INVERSIONES FCI]]-N315,Tabla5[[#This Row],[INVERSIONES FCI]])</f>
        <v>9963360375.6408768</v>
      </c>
      <c r="O316" s="5">
        <f>IF($B315&lt;=Tabla5[[#This Row],[INVERSIONES FCI]],+Tabla5[[#This Row],[INVERSIONES FCI]]-O315,Tabla5[[#This Row],[INVERSIONES FCI]])</f>
        <v>9963360375.6408768</v>
      </c>
      <c r="P316" s="5">
        <f>IF($B315&lt;=Tabla5[[#This Row],[INVERSIONES FCI]],+Tabla5[[#This Row],[INVERSIONES FCI]]-P315,Tabla5[[#This Row],[INVERSIONES FCI]])</f>
        <v>9963360375.6408768</v>
      </c>
      <c r="Q316" s="5">
        <f>IF($B315&lt;=Tabla5[[#This Row],[INVERSIONES FCI]],+Tabla5[[#This Row],[INVERSIONES FCI]]-Q315,Tabla5[[#This Row],[INVERSIONES FCI]])</f>
        <v>9963360375.6408768</v>
      </c>
      <c r="R316" s="5">
        <f>IF($B315&lt;=Tabla5[[#This Row],[INVERSIONES FCI]],+Tabla5[[#This Row],[INVERSIONES FCI]]-R315,Tabla5[[#This Row],[INVERSIONES FCI]])</f>
        <v>9963360375.6408768</v>
      </c>
      <c r="S316" s="5">
        <f>IF($B315&lt;=Tabla5[[#This Row],[INVERSIONES FCI]],+Tabla5[[#This Row],[INVERSIONES FCI]]-S315,Tabla5[[#This Row],[INVERSIONES FCI]])</f>
        <v>9963360375.6408768</v>
      </c>
      <c r="T316" s="5">
        <f>IF($B315&lt;=Tabla5[[#This Row],[INVERSIONES FCI]],+Tabla5[[#This Row],[INVERSIONES FCI]]-T315,Tabla5[[#This Row],[INVERSIONES FCI]])</f>
        <v>9963360375.6408768</v>
      </c>
      <c r="U316" s="5">
        <f>IF($B315&lt;=Tabla5[[#This Row],[INVERSIONES FCI]],+Tabla5[[#This Row],[INVERSIONES FCI]]-U315,Tabla5[[#This Row],[INVERSIONES FCI]])</f>
        <v>9963360375.6408768</v>
      </c>
      <c r="V316" s="5">
        <f>IF($B315&lt;=Tabla5[[#This Row],[INVERSIONES FCI]],+Tabla5[[#This Row],[INVERSIONES FCI]]-V315,Tabla5[[#This Row],[INVERSIONES FCI]])</f>
        <v>9963360375.6408768</v>
      </c>
      <c r="W316" s="5">
        <f>IF($B315&lt;=Tabla5[[#This Row],[INVERSIONES FCI]],+Tabla5[[#This Row],[INVERSIONES FCI]]-W315,Tabla5[[#This Row],[INVERSIONES FCI]])</f>
        <v>9963360375.6408768</v>
      </c>
      <c r="X316" s="5">
        <f>IF($B315&lt;=Tabla5[[#This Row],[INVERSIONES FCI]],+Tabla5[[#This Row],[INVERSIONES FCI]]-X315,Tabla5[[#This Row],[INVERSIONES FCI]])</f>
        <v>9963360375.6408768</v>
      </c>
      <c r="Y316" s="5">
        <f>IF($B315&lt;=Tabla5[[#This Row],[INVERSIONES FCI]],+Tabla5[[#This Row],[INVERSIONES FCI]]-Y315,Tabla5[[#This Row],[INVERSIONES FCI]])</f>
        <v>9963360375.6408768</v>
      </c>
      <c r="Z316" s="5">
        <f>IF($B315&lt;=Tabla5[[#This Row],[INVERSIONES FCI]],+Tabla5[[#This Row],[INVERSIONES FCI]]-Z315,Tabla5[[#This Row],[INVERSIONES FCI]])</f>
        <v>9963360375.6408768</v>
      </c>
      <c r="AA316" s="5">
        <f>IF($B315&lt;=Tabla5[[#This Row],[INVERSIONES FCI]],+Tabla5[[#This Row],[INVERSIONES FCI]]-AA315,Tabla5[[#This Row],[INVERSIONES FCI]])</f>
        <v>9963360375.6408768</v>
      </c>
      <c r="AB316" s="5">
        <f>IF($B315&lt;=Tabla5[[#This Row],[INVERSIONES FCI]],+Tabla5[[#This Row],[INVERSIONES FCI]]-AB315,Tabla5[[#This Row],[INVERSIONES FCI]])</f>
        <v>9963360375.6408768</v>
      </c>
      <c r="AC316" s="5">
        <f>IF($B315&lt;=Tabla5[[#This Row],[INVERSIONES FCI]],+Tabla5[[#This Row],[INVERSIONES FCI]]-AC315,Tabla5[[#This Row],[INVERSIONES FCI]])</f>
        <v>9963360375.6408768</v>
      </c>
      <c r="AD316" s="5">
        <f>IF($B315&lt;=Tabla5[[#This Row],[INVERSIONES FCI]],+Tabla5[[#This Row],[INVERSIONES FCI]]-AD315,Tabla5[[#This Row],[INVERSIONES FCI]])</f>
        <v>9963360375.6408768</v>
      </c>
      <c r="AE316" s="5">
        <f>IF($B315&lt;=Tabla5[[#This Row],[INVERSIONES FCI]],+Tabla5[[#This Row],[INVERSIONES FCI]]-AE315,Tabla5[[#This Row],[INVERSIONES FCI]])</f>
        <v>9963360375.6408768</v>
      </c>
      <c r="AF316" s="5">
        <f>IF($B315&lt;=Tabla5[[#This Row],[INVERSIONES FCI]],+Tabla5[[#This Row],[INVERSIONES FCI]]-AF315,Tabla5[[#This Row],[INVERSIONES FCI]])</f>
        <v>9963360375.6408768</v>
      </c>
      <c r="AG316" s="5">
        <f>IF($B315&lt;=Tabla5[[#This Row],[INVERSIONES FCI]],+Tabla5[[#This Row],[INVERSIONES FCI]]-AG315,Tabla5[[#This Row],[INVERSIONES FCI]])</f>
        <v>9963360375.6408768</v>
      </c>
      <c r="AH316" s="5">
        <f>IF($B315&lt;=Tabla5[[#This Row],[INVERSIONES FCI]],+Tabla5[[#This Row],[INVERSIONES FCI]]-AH315,Tabla5[[#This Row],[INVERSIONES FCI]])</f>
        <v>9963360375.6408768</v>
      </c>
      <c r="AI316" s="5">
        <f>IF($B315&lt;=Tabla5[[#This Row],[INVERSIONES FCI]],+Tabla5[[#This Row],[INVERSIONES FCI]]-AI315,Tabla5[[#This Row],[INVERSIONES FCI]])</f>
        <v>9963360375.6408768</v>
      </c>
      <c r="AJ316" s="5">
        <f>IF($B315&lt;=Tabla5[[#This Row],[INVERSIONES FCI]],+Tabla5[[#This Row],[INVERSIONES FCI]]-AJ315,Tabla5[[#This Row],[INVERSIONES FCI]])</f>
        <v>9963360375.6408768</v>
      </c>
      <c r="AK316" s="5">
        <f>IF($B315&lt;=Tabla5[[#This Row],[INVERSIONES FCI]],+Tabla5[[#This Row],[INVERSIONES FCI]]-AK315,Tabla5[[#This Row],[INVERSIONES FCI]])</f>
        <v>9963360375.6408768</v>
      </c>
      <c r="AL316" s="5">
        <f>IF($B315&lt;=Tabla5[[#This Row],[INVERSIONES FCI]],+Tabla5[[#This Row],[INVERSIONES FCI]]-AL315,Tabla5[[#This Row],[INVERSIONES FCI]])</f>
        <v>9963360375.6408768</v>
      </c>
      <c r="AM316" s="5">
        <f>IF($B315&lt;=Tabla5[[#This Row],[INVERSIONES FCI]],+Tabla5[[#This Row],[INVERSIONES FCI]]-AM315,Tabla5[[#This Row],[INVERSIONES FCI]])</f>
        <v>9963360375.6408768</v>
      </c>
      <c r="AN316" s="5">
        <f>IF($B315&lt;=Tabla5[[#This Row],[INVERSIONES FCI]],+Tabla5[[#This Row],[INVERSIONES FCI]]-AN315,Tabla5[[#This Row],[INVERSIONES FCI]])</f>
        <v>9963360375.6408768</v>
      </c>
      <c r="AO316" s="5">
        <f>IF($B315&lt;=Tabla5[[#This Row],[INVERSIONES FCI]],+Tabla5[[#This Row],[INVERSIONES FCI]]-AO315,Tabla5[[#This Row],[INVERSIONES FCI]])</f>
        <v>9963360375.6408768</v>
      </c>
      <c r="AP316" s="5">
        <f>IF($B315&lt;=Tabla5[[#This Row],[INVERSIONES FCI]],+Tabla5[[#This Row],[INVERSIONES FCI]]-AP315,Tabla5[[#This Row],[INVERSIONES FCI]])</f>
        <v>9963360375.6408768</v>
      </c>
      <c r="AQ316" s="5">
        <f>IF($B315&lt;=Tabla5[[#This Row],[INVERSIONES FCI]],+Tabla5[[#This Row],[INVERSIONES FCI]]-AQ315,Tabla5[[#This Row],[INVERSIONES FCI]])</f>
        <v>9963360375.6408768</v>
      </c>
      <c r="AR316" s="5">
        <f>IF($B315&lt;=Tabla5[[#This Row],[INVERSIONES FCI]],+Tabla5[[#This Row],[INVERSIONES FCI]]-AR315,Tabla5[[#This Row],[INVERSIONES FCI]])</f>
        <v>9963360375.6408768</v>
      </c>
      <c r="AS316" s="5">
        <f>IF($B315&lt;=Tabla5[[#This Row],[INVERSIONES FCI]],+Tabla5[[#This Row],[INVERSIONES FCI]]-AS315,Tabla5[[#This Row],[INVERSIONES FCI]])</f>
        <v>9963360375.6408768</v>
      </c>
      <c r="AT316" s="5">
        <f>IF($B315&lt;=Tabla5[[#This Row],[INVERSIONES FCI]],+Tabla5[[#This Row],[INVERSIONES FCI]]-AT315,Tabla5[[#This Row],[INVERSIONES FCI]])</f>
        <v>9963360375.6408768</v>
      </c>
      <c r="AU316" s="5">
        <f>IF($B315&lt;=Tabla5[[#This Row],[INVERSIONES FCI]],+Tabla5[[#This Row],[INVERSIONES FCI]]-AU315,Tabla5[[#This Row],[INVERSIONES FCI]])</f>
        <v>9963360375.6408768</v>
      </c>
      <c r="AV316" s="5">
        <f>IF($B315&lt;=Tabla5[[#This Row],[INVERSIONES FCI]],+Tabla5[[#This Row],[INVERSIONES FCI]]-AV315,Tabla5[[#This Row],[INVERSIONES FCI]])</f>
        <v>9963360375.6408768</v>
      </c>
      <c r="AW316" s="5">
        <f>IF($B315&lt;=Tabla5[[#This Row],[INVERSIONES FCI]],+Tabla5[[#This Row],[INVERSIONES FCI]]-AW315,Tabla5[[#This Row],[INVERSIONES FCI]])</f>
        <v>9963360375.6408768</v>
      </c>
      <c r="AX316" s="5">
        <f>IF($B315&lt;=Tabla5[[#This Row],[INVERSIONES FCI]],+Tabla5[[#This Row],[INVERSIONES FCI]]-AX315,Tabla5[[#This Row],[INVERSIONES FCI]])</f>
        <v>9963360375.6408768</v>
      </c>
      <c r="AY316" s="5">
        <f>IF($B315&lt;=Tabla5[[#This Row],[INVERSIONES FCI]],+Tabla5[[#This Row],[INVERSIONES FCI]]-AY315,Tabla5[[#This Row],[INVERSIONES FCI]])</f>
        <v>9963360375.6408768</v>
      </c>
      <c r="AZ316" s="5">
        <f>IF($B315&lt;=Tabla5[[#This Row],[INVERSIONES FCI]],+Tabla5[[#This Row],[INVERSIONES FCI]]-AZ315,Tabla5[[#This Row],[INVERSIONES FCI]])</f>
        <v>9963360375.6408768</v>
      </c>
      <c r="BA316" s="5">
        <f>IF($B315&lt;=Tabla5[[#This Row],[INVERSIONES FCI]],+Tabla5[[#This Row],[INVERSIONES FCI]]-BA315,Tabla5[[#This Row],[INVERSIONES FCI]])</f>
        <v>9963360375.6408768</v>
      </c>
      <c r="BB316" s="5">
        <f>IF($B315&lt;=Tabla5[[#This Row],[INVERSIONES FCI]],+Tabla5[[#This Row],[INVERSIONES FCI]]-BB315,Tabla5[[#This Row],[INVERSIONES FCI]])</f>
        <v>9963360375.6408768</v>
      </c>
      <c r="BC316" s="5">
        <f>IF($B315&lt;=Tabla5[[#This Row],[INVERSIONES FCI]],+Tabla5[[#This Row],[INVERSIONES FCI]]-BC315,Tabla5[[#This Row],[INVERSIONES FCI]])</f>
        <v>9963360375.6408768</v>
      </c>
      <c r="BD316" s="5">
        <f>IF($B315&lt;=Tabla5[[#This Row],[INVERSIONES FCI]],+Tabla5[[#This Row],[INVERSIONES FCI]]-BD315,Tabla5[[#This Row],[INVERSIONES FCI]])</f>
        <v>9963360375.6408768</v>
      </c>
      <c r="BE316" s="5">
        <f>IF($B315&lt;=Tabla5[[#This Row],[INVERSIONES FCI]],+Tabla5[[#This Row],[INVERSIONES FCI]]-BE315,Tabla5[[#This Row],[INVERSIONES FCI]])</f>
        <v>9963360375.6408768</v>
      </c>
      <c r="BF316" s="5">
        <f>IF($B315&lt;=Tabla5[[#This Row],[INVERSIONES FCI]],+Tabla5[[#This Row],[INVERSIONES FCI]]-BF315,Tabla5[[#This Row],[INVERSIONES FCI]])</f>
        <v>9963360375.6408768</v>
      </c>
      <c r="BG316" s="5">
        <f>IF($B315&lt;=Tabla5[[#This Row],[INVERSIONES FCI]],+Tabla5[[#This Row],[INVERSIONES FCI]]-BG315,Tabla5[[#This Row],[INVERSIONES FCI]])</f>
        <v>9963360375.6408768</v>
      </c>
      <c r="BH316" s="5">
        <f>IF($B315&lt;=Tabla5[[#This Row],[INVERSIONES FCI]],+Tabla5[[#This Row],[INVERSIONES FCI]]-BH315,Tabla5[[#This Row],[INVERSIONES FCI]])</f>
        <v>9963360375.6408768</v>
      </c>
      <c r="BI316" s="5">
        <f>IF($B315&lt;=Tabla5[[#This Row],[INVERSIONES FCI]],+Tabla5[[#This Row],[INVERSIONES FCI]]-BI315,Tabla5[[#This Row],[INVERSIONES FCI]])</f>
        <v>9963360375.6408768</v>
      </c>
      <c r="BJ316" s="5">
        <f>IF($B315&lt;=Tabla5[[#This Row],[INVERSIONES FCI]],+Tabla5[[#This Row],[INVERSIONES FCI]]-BJ315,Tabla5[[#This Row],[INVERSIONES FCI]])</f>
        <v>9963360375.6408768</v>
      </c>
      <c r="BK316" s="5">
        <f>IF($B315&lt;=Tabla5[[#This Row],[INVERSIONES FCI]],+Tabla5[[#This Row],[INVERSIONES FCI]]-BK315,Tabla5[[#This Row],[INVERSIONES FCI]])</f>
        <v>9963360375.6408768</v>
      </c>
      <c r="BL316" s="5">
        <f>IF($B315&lt;=Tabla5[[#This Row],[INVERSIONES FCI]],+Tabla5[[#This Row],[INVERSIONES FCI]]-BL315,Tabla5[[#This Row],[INVERSIONES FCI]])</f>
        <v>9963360375.6408768</v>
      </c>
      <c r="BM316" s="5">
        <f>IF($B315&lt;=Tabla5[[#This Row],[INVERSIONES FCI]],+Tabla5[[#This Row],[INVERSIONES FCI]]-BM315,Tabla5[[#This Row],[INVERSIONES FCI]])</f>
        <v>9963360375.6408768</v>
      </c>
      <c r="BN316" s="5">
        <f>IF($B315&lt;=Tabla5[[#This Row],[INVERSIONES FCI]],+Tabla5[[#This Row],[INVERSIONES FCI]]-BN315,Tabla5[[#This Row],[INVERSIONES FCI]])</f>
        <v>9963360375.6408768</v>
      </c>
      <c r="BO316" s="5">
        <f>IF($B315&lt;=Tabla5[[#This Row],[INVERSIONES FCI]],+Tabla5[[#This Row],[INVERSIONES FCI]]-BO315,Tabla5[[#This Row],[INVERSIONES FCI]])</f>
        <v>9963360375.6408768</v>
      </c>
      <c r="BP316" s="5">
        <f>IF($B315&lt;=Tabla5[[#This Row],[INVERSIONES FCI]],+Tabla5[[#This Row],[INVERSIONES FCI]]-BP315,Tabla5[[#This Row],[INVERSIONES FCI]])</f>
        <v>9963360375.6408768</v>
      </c>
      <c r="BQ316" s="5">
        <f>IF($B315&lt;=Tabla5[[#This Row],[INVERSIONES FCI]],+Tabla5[[#This Row],[INVERSIONES FCI]]-BQ315,Tabla5[[#This Row],[INVERSIONES FCI]])</f>
        <v>9963360375.6408768</v>
      </c>
      <c r="BR316" s="5">
        <f>IF($B315&lt;=Tabla5[[#This Row],[INVERSIONES FCI]],+Tabla5[[#This Row],[INVERSIONES FCI]]-BR315,Tabla5[[#This Row],[INVERSIONES FCI]])</f>
        <v>9963360375.6408768</v>
      </c>
      <c r="BS316" s="5">
        <f>IF($B315&lt;=Tabla5[[#This Row],[INVERSIONES FCI]],+Tabla5[[#This Row],[INVERSIONES FCI]]-BS315,Tabla5[[#This Row],[INVERSIONES FCI]])</f>
        <v>9963360375.6408768</v>
      </c>
      <c r="BT316" s="5">
        <f>IF($B315&lt;=Tabla5[[#This Row],[INVERSIONES FCI]],+Tabla5[[#This Row],[INVERSIONES FCI]]-BT315,Tabla5[[#This Row],[INVERSIONES FCI]])</f>
        <v>9963360375.6408768</v>
      </c>
      <c r="BU316" s="5">
        <f>IF($B315&lt;=Tabla5[[#This Row],[INVERSIONES FCI]],+Tabla5[[#This Row],[INVERSIONES FCI]]-BU315,Tabla5[[#This Row],[INVERSIONES FCI]])</f>
        <v>9963360375.6408768</v>
      </c>
      <c r="BV316" s="5">
        <f>IF($B315&lt;=Tabla5[[#This Row],[INVERSIONES FCI]],+Tabla5[[#This Row],[INVERSIONES FCI]]-BV315,Tabla5[[#This Row],[INVERSIONES FCI]])</f>
        <v>9963360375.6408768</v>
      </c>
      <c r="BW316" s="5">
        <f>IF($B315&lt;=Tabla5[[#This Row],[INVERSIONES FCI]],+Tabla5[[#This Row],[INVERSIONES FCI]]-BW315,Tabla5[[#This Row],[INVERSIONES FCI]])</f>
        <v>9963360375.6408768</v>
      </c>
      <c r="BX316" s="5">
        <f>IF($B315&lt;=Tabla5[[#This Row],[INVERSIONES FCI]],+Tabla5[[#This Row],[INVERSIONES FCI]]-BX315,Tabla5[[#This Row],[INVERSIONES FCI]])</f>
        <v>9963360375.6408768</v>
      </c>
      <c r="BY316" s="5">
        <f>IF($B315&lt;=Tabla5[[#This Row],[INVERSIONES FCI]],+Tabla5[[#This Row],[INVERSIONES FCI]]-BY315,Tabla5[[#This Row],[INVERSIONES FCI]])</f>
        <v>9963360375.6408768</v>
      </c>
      <c r="BZ316" s="5">
        <f>IF($B315&lt;=Tabla5[[#This Row],[INVERSIONES FCI]],+Tabla5[[#This Row],[INVERSIONES FCI]]-BZ315,Tabla5[[#This Row],[INVERSIONES FCI]])</f>
        <v>9963360375.6408768</v>
      </c>
      <c r="CA316" s="5">
        <f>IF($B315&lt;=Tabla5[[#This Row],[INVERSIONES FCI]],+Tabla5[[#This Row],[INVERSIONES FCI]]-CA315,Tabla5[[#This Row],[INVERSIONES FCI]])</f>
        <v>9963360375.6408768</v>
      </c>
      <c r="CB316" s="5">
        <f>IF($B315&lt;=Tabla5[[#This Row],[INVERSIONES FCI]],+Tabla5[[#This Row],[INVERSIONES FCI]]-CB315,Tabla5[[#This Row],[INVERSIONES FCI]])</f>
        <v>9963360375.6408768</v>
      </c>
      <c r="CC316" s="5">
        <f>IF($B315&lt;=Tabla5[[#This Row],[INVERSIONES FCI]],+Tabla5[[#This Row],[INVERSIONES FCI]]-CC315,Tabla5[[#This Row],[INVERSIONES FCI]])</f>
        <v>9963360375.6408768</v>
      </c>
      <c r="CD316" s="5">
        <f>IF($B315&lt;=Tabla5[[#This Row],[INVERSIONES FCI]],+Tabla5[[#This Row],[INVERSIONES FCI]]-CD315,Tabla5[[#This Row],[INVERSIONES FCI]])</f>
        <v>9963360375.6408768</v>
      </c>
      <c r="CE316" s="5">
        <f>IF($B315&lt;=Tabla5[[#This Row],[INVERSIONES FCI]],+Tabla5[[#This Row],[INVERSIONES FCI]]-CE315,Tabla5[[#This Row],[INVERSIONES FCI]])</f>
        <v>9963360375.6408768</v>
      </c>
      <c r="CF316" s="5">
        <f>IF($B315&lt;=Tabla5[[#This Row],[INVERSIONES FCI]],+Tabla5[[#This Row],[INVERSIONES FCI]]-CF315,Tabla5[[#This Row],[INVERSIONES FCI]])</f>
        <v>9963360375.6408768</v>
      </c>
      <c r="CG316" s="5">
        <f>IF($B315&lt;=Tabla5[[#This Row],[INVERSIONES FCI]],+Tabla5[[#This Row],[INVERSIONES FCI]]-CG315,Tabla5[[#This Row],[INVERSIONES FCI]])</f>
        <v>9963360375.6408768</v>
      </c>
      <c r="CH316" s="5">
        <f>IF($B315&lt;=Tabla5[[#This Row],[INVERSIONES FCI]],+Tabla5[[#This Row],[INVERSIONES FCI]]-CH315,Tabla5[[#This Row],[INVERSIONES FCI]])</f>
        <v>9963360375.6408768</v>
      </c>
      <c r="CI316" s="5">
        <f>IF($B315&lt;=Tabla5[[#This Row],[INVERSIONES FCI]],+Tabla5[[#This Row],[INVERSIONES FCI]]-CI315,Tabla5[[#This Row],[INVERSIONES FCI]])</f>
        <v>9963360375.6408768</v>
      </c>
      <c r="CJ316" s="5">
        <f>IF($B315&lt;=Tabla5[[#This Row],[INVERSIONES FCI]],+Tabla5[[#This Row],[INVERSIONES FCI]]-CJ315,Tabla5[[#This Row],[INVERSIONES FCI]])</f>
        <v>9963360375.6408768</v>
      </c>
      <c r="CK316" s="5">
        <f>IF($B315&lt;=Tabla5[[#This Row],[INVERSIONES FCI]],+Tabla5[[#This Row],[INVERSIONES FCI]]-CK315,Tabla5[[#This Row],[INVERSIONES FCI]])</f>
        <v>9963360375.6408768</v>
      </c>
      <c r="CL316" s="5">
        <f>IF($B315&lt;=Tabla5[[#This Row],[INVERSIONES FCI]],+Tabla5[[#This Row],[INVERSIONES FCI]]-CL315,Tabla5[[#This Row],[INVERSIONES FCI]])</f>
        <v>9963360375.6408768</v>
      </c>
      <c r="CM316" s="5">
        <f>IF($B315&lt;=Tabla5[[#This Row],[INVERSIONES FCI]],+Tabla5[[#This Row],[INVERSIONES FCI]]-CM315,Tabla5[[#This Row],[INVERSIONES FCI]])</f>
        <v>9963360375.6408768</v>
      </c>
      <c r="CN316" s="5">
        <f>IF($B315&lt;=Tabla5[[#This Row],[INVERSIONES FCI]],+Tabla5[[#This Row],[INVERSIONES FCI]]-CN315,Tabla5[[#This Row],[INVERSIONES FCI]])</f>
        <v>9963360375.6408768</v>
      </c>
      <c r="CO316" s="5">
        <f>IF($B315&lt;=Tabla5[[#This Row],[INVERSIONES FCI]],+Tabla5[[#This Row],[INVERSIONES FCI]]-CO315,Tabla5[[#This Row],[INVERSIONES FCI]])</f>
        <v>9963360375.6408768</v>
      </c>
      <c r="CP316" s="5">
        <f>IF($B315&lt;=Tabla5[[#This Row],[INVERSIONES FCI]],+Tabla5[[#This Row],[INVERSIONES FCI]]-CP315,Tabla5[[#This Row],[INVERSIONES FCI]])</f>
        <v>9963360375.6408768</v>
      </c>
      <c r="CQ316" s="5">
        <f>IF($B315&lt;=Tabla5[[#This Row],[INVERSIONES FCI]],+Tabla5[[#This Row],[INVERSIONES FCI]]-CQ315,Tabla5[[#This Row],[INVERSIONES FCI]])</f>
        <v>9963360375.6408768</v>
      </c>
      <c r="CR316" s="5">
        <f>IF($B315&lt;=Tabla5[[#This Row],[INVERSIONES FCI]],+Tabla5[[#This Row],[INVERSIONES FCI]]-CR315,Tabla5[[#This Row],[INVERSIONES FCI]])</f>
        <v>9963360375.6408768</v>
      </c>
      <c r="CS316" s="5">
        <f>IF($B315&lt;=Tabla5[[#This Row],[INVERSIONES FCI]],+Tabla5[[#This Row],[INVERSIONES FCI]]-CS315,Tabla5[[#This Row],[INVERSIONES FCI]])</f>
        <v>9963360375.6408768</v>
      </c>
      <c r="CT316" s="5">
        <f>IF($B315&lt;=Tabla5[[#This Row],[INVERSIONES FCI]],+Tabla5[[#This Row],[INVERSIONES FCI]]-CT315,Tabla5[[#This Row],[INVERSIONES FCI]])</f>
        <v>9963360375.6408768</v>
      </c>
      <c r="CU316" s="5">
        <f>IF($B315&lt;=Tabla5[[#This Row],[INVERSIONES FCI]],+Tabla5[[#This Row],[INVERSIONES FCI]]-CU315,Tabla5[[#This Row],[INVERSIONES FCI]])</f>
        <v>9963360375.6408768</v>
      </c>
      <c r="CV316" s="5">
        <f>IF($B315&lt;=Tabla5[[#This Row],[INVERSIONES FCI]],+Tabla5[[#This Row],[INVERSIONES FCI]]-CV315,Tabla5[[#This Row],[INVERSIONES FCI]])</f>
        <v>9963360375.6408768</v>
      </c>
      <c r="CW316" s="5">
        <f>IF($B315&lt;=Tabla5[[#This Row],[INVERSIONES FCI]],+Tabla5[[#This Row],[INVERSIONES FCI]]-CW315,Tabla5[[#This Row],[INVERSIONES FCI]])</f>
        <v>9963360375.6408768</v>
      </c>
      <c r="CX316" s="5">
        <f>IF($B315&lt;=Tabla5[[#This Row],[INVERSIONES FCI]],+Tabla5[[#This Row],[INVERSIONES FCI]]-CX315,Tabla5[[#This Row],[INVERSIONES FCI]])</f>
        <v>9963360375.6408768</v>
      </c>
      <c r="CY316" s="5">
        <f>IF($B315&lt;=Tabla5[[#This Row],[INVERSIONES FCI]],+Tabla5[[#This Row],[INVERSIONES FCI]]-CY315,Tabla5[[#This Row],[INVERSIONES FCI]])</f>
        <v>9963360375.6408768</v>
      </c>
      <c r="CZ316" s="5">
        <f>IF($B315&lt;=Tabla5[[#This Row],[INVERSIONES FCI]],+Tabla5[[#This Row],[INVERSIONES FCI]]-CZ315,Tabla5[[#This Row],[INVERSIONES FCI]])</f>
        <v>9963360375.6408768</v>
      </c>
      <c r="DA316" s="5">
        <f>IF($B315&lt;=Tabla5[[#This Row],[INVERSIONES FCI]],+Tabla5[[#This Row],[INVERSIONES FCI]]-DA315,Tabla5[[#This Row],[INVERSIONES FCI]])</f>
        <v>9963360375.6408768</v>
      </c>
      <c r="DB316" s="5">
        <f>IF($B315&lt;=Tabla5[[#This Row],[INVERSIONES FCI]],+Tabla5[[#This Row],[INVERSIONES FCI]]-DB315,Tabla5[[#This Row],[INVERSIONES FCI]])</f>
        <v>9963360375.6408768</v>
      </c>
      <c r="DC316" s="5">
        <f>IF($B315&lt;=Tabla5[[#This Row],[INVERSIONES FCI]],+Tabla5[[#This Row],[INVERSIONES FCI]]-DC315,Tabla5[[#This Row],[INVERSIONES FCI]])</f>
        <v>9963360375.6408768</v>
      </c>
      <c r="DD316" s="5">
        <f>IF($B315&lt;=Tabla5[[#This Row],[INVERSIONES FCI]],+Tabla5[[#This Row],[INVERSIONES FCI]]-DD315,Tabla5[[#This Row],[INVERSIONES FCI]])</f>
        <v>9963360375.6408768</v>
      </c>
      <c r="DE316" s="5">
        <f>IF($B315&lt;=Tabla5[[#This Row],[INVERSIONES FCI]],+Tabla5[[#This Row],[INVERSIONES FCI]]-DE315,Tabla5[[#This Row],[INVERSIONES FCI]])</f>
        <v>9963360375.6408768</v>
      </c>
      <c r="DF316" s="5">
        <f>IF($B315&lt;=Tabla5[[#This Row],[INVERSIONES FCI]],+Tabla5[[#This Row],[INVERSIONES FCI]]-DF315,Tabla5[[#This Row],[INVERSIONES FCI]])</f>
        <v>9963360375.6408768</v>
      </c>
      <c r="DG316" s="5">
        <f>IF($B315&lt;=Tabla5[[#This Row],[INVERSIONES FCI]],+Tabla5[[#This Row],[INVERSIONES FCI]]-DG315,Tabla5[[#This Row],[INVERSIONES FCI]])</f>
        <v>9963360375.6408768</v>
      </c>
      <c r="DH316" s="5">
        <f>IF($B315&lt;=Tabla5[[#This Row],[INVERSIONES FCI]],+Tabla5[[#This Row],[INVERSIONES FCI]]-DH315,Tabla5[[#This Row],[INVERSIONES FCI]])</f>
        <v>9963360375.6408768</v>
      </c>
      <c r="DI316" s="5">
        <f>IF($B315&lt;=Tabla5[[#This Row],[INVERSIONES FCI]],+Tabla5[[#This Row],[INVERSIONES FCI]]-DI315,Tabla5[[#This Row],[INVERSIONES FCI]])</f>
        <v>9963360375.6408768</v>
      </c>
      <c r="DJ316" s="5">
        <f>IF($B315&lt;=Tabla5[[#This Row],[INVERSIONES FCI]],+Tabla5[[#This Row],[INVERSIONES FCI]]-DJ315,Tabla5[[#This Row],[INVERSIONES FCI]])</f>
        <v>9963360375.6408768</v>
      </c>
      <c r="DK316" s="5">
        <f>IF($B315&lt;=Tabla5[[#This Row],[INVERSIONES FCI]],+Tabla5[[#This Row],[INVERSIONES FCI]]-DK315,Tabla5[[#This Row],[INVERSIONES FCI]])</f>
        <v>9963360375.6408768</v>
      </c>
      <c r="DL316" s="5"/>
      <c r="DM316" s="5"/>
      <c r="DN316" s="5"/>
      <c r="DO316" s="5"/>
      <c r="DP316" s="5"/>
      <c r="DQ316" s="5"/>
    </row>
    <row r="317" spans="1:121" ht="14.4">
      <c r="A317" s="12" t="s">
        <v>316</v>
      </c>
      <c r="B317" s="5">
        <f>HLOOKUP($A317,ESCENARIO[#All],7,FALSE)</f>
        <v>78125824813.017014</v>
      </c>
      <c r="C317" s="5">
        <f>IF($B316&lt;=Tabla5[[#This Row],[INVERSIONES FCI]],+Tabla5[[#This Row],[INVERSIONES FCI]]-C316,Tabla5[[#This Row],[INVERSIONES FCI]])</f>
        <v>68162464437.376137</v>
      </c>
      <c r="D317" s="5">
        <f>IF($B316&lt;=Tabla5[[#This Row],[INVERSIONES FCI]],+Tabla5[[#This Row],[INVERSIONES FCI]]-D316,Tabla5[[#This Row],[INVERSIONES FCI]])</f>
        <v>68162464437.376137</v>
      </c>
      <c r="E317" s="5">
        <f>IF($B316&lt;=Tabla5[[#This Row],[INVERSIONES FCI]],+Tabla5[[#This Row],[INVERSIONES FCI]]-E316,Tabla5[[#This Row],[INVERSIONES FCI]])</f>
        <v>68162464437.376137</v>
      </c>
      <c r="F317" s="5">
        <f>IF($B316&lt;=Tabla5[[#This Row],[INVERSIONES FCI]],+Tabla5[[#This Row],[INVERSIONES FCI]]-F316,Tabla5[[#This Row],[INVERSIONES FCI]])</f>
        <v>68162464437.376137</v>
      </c>
      <c r="G317" s="5">
        <f>IF($B316&lt;=Tabla5[[#This Row],[INVERSIONES FCI]],+Tabla5[[#This Row],[INVERSIONES FCI]]-G316,Tabla5[[#This Row],[INVERSIONES FCI]])</f>
        <v>68162464437.376137</v>
      </c>
      <c r="H317" s="5">
        <f>IF($B316&lt;=Tabla5[[#This Row],[INVERSIONES FCI]],+Tabla5[[#This Row],[INVERSIONES FCI]]-H316,Tabla5[[#This Row],[INVERSIONES FCI]])</f>
        <v>68162464437.376137</v>
      </c>
      <c r="I317" s="5">
        <f>IF($B316&lt;=Tabla5[[#This Row],[INVERSIONES FCI]],+Tabla5[[#This Row],[INVERSIONES FCI]]-I316,Tabla5[[#This Row],[INVERSIONES FCI]])</f>
        <v>68162464437.376137</v>
      </c>
      <c r="J317" s="5">
        <f>IF($B316&lt;=Tabla5[[#This Row],[INVERSIONES FCI]],+Tabla5[[#This Row],[INVERSIONES FCI]]-J316,Tabla5[[#This Row],[INVERSIONES FCI]])</f>
        <v>68162464437.376137</v>
      </c>
      <c r="K317" s="5">
        <f>IF($B316&lt;=Tabla5[[#This Row],[INVERSIONES FCI]],+Tabla5[[#This Row],[INVERSIONES FCI]]-K316,Tabla5[[#This Row],[INVERSIONES FCI]])</f>
        <v>68162464437.376137</v>
      </c>
      <c r="L317" s="5">
        <f>IF($B316&lt;=Tabla5[[#This Row],[INVERSIONES FCI]],+Tabla5[[#This Row],[INVERSIONES FCI]]-L316,Tabla5[[#This Row],[INVERSIONES FCI]])</f>
        <v>68162464437.376137</v>
      </c>
      <c r="M317" s="5">
        <f>IF($B316&lt;=Tabla5[[#This Row],[INVERSIONES FCI]],+Tabla5[[#This Row],[INVERSIONES FCI]]-M316,Tabla5[[#This Row],[INVERSIONES FCI]])</f>
        <v>68162464437.376137</v>
      </c>
      <c r="N317" s="5">
        <f>IF($B316&lt;=Tabla5[[#This Row],[INVERSIONES FCI]],+Tabla5[[#This Row],[INVERSIONES FCI]]-N316,Tabla5[[#This Row],[INVERSIONES FCI]])</f>
        <v>68162464437.376137</v>
      </c>
      <c r="O317" s="5">
        <f>IF($B316&lt;=Tabla5[[#This Row],[INVERSIONES FCI]],+Tabla5[[#This Row],[INVERSIONES FCI]]-O316,Tabla5[[#This Row],[INVERSIONES FCI]])</f>
        <v>68162464437.376137</v>
      </c>
      <c r="P317" s="5">
        <f>IF($B316&lt;=Tabla5[[#This Row],[INVERSIONES FCI]],+Tabla5[[#This Row],[INVERSIONES FCI]]-P316,Tabla5[[#This Row],[INVERSIONES FCI]])</f>
        <v>68162464437.376137</v>
      </c>
      <c r="Q317" s="5">
        <f>IF($B316&lt;=Tabla5[[#This Row],[INVERSIONES FCI]],+Tabla5[[#This Row],[INVERSIONES FCI]]-Q316,Tabla5[[#This Row],[INVERSIONES FCI]])</f>
        <v>68162464437.376137</v>
      </c>
      <c r="R317" s="5">
        <f>IF($B316&lt;=Tabla5[[#This Row],[INVERSIONES FCI]],+Tabla5[[#This Row],[INVERSIONES FCI]]-R316,Tabla5[[#This Row],[INVERSIONES FCI]])</f>
        <v>68162464437.376137</v>
      </c>
      <c r="S317" s="5">
        <f>IF($B316&lt;=Tabla5[[#This Row],[INVERSIONES FCI]],+Tabla5[[#This Row],[INVERSIONES FCI]]-S316,Tabla5[[#This Row],[INVERSIONES FCI]])</f>
        <v>68162464437.376137</v>
      </c>
      <c r="T317" s="5">
        <f>IF($B316&lt;=Tabla5[[#This Row],[INVERSIONES FCI]],+Tabla5[[#This Row],[INVERSIONES FCI]]-T316,Tabla5[[#This Row],[INVERSIONES FCI]])</f>
        <v>68162464437.376137</v>
      </c>
      <c r="U317" s="5">
        <f>IF($B316&lt;=Tabla5[[#This Row],[INVERSIONES FCI]],+Tabla5[[#This Row],[INVERSIONES FCI]]-U316,Tabla5[[#This Row],[INVERSIONES FCI]])</f>
        <v>68162464437.376137</v>
      </c>
      <c r="V317" s="5">
        <f>IF($B316&lt;=Tabla5[[#This Row],[INVERSIONES FCI]],+Tabla5[[#This Row],[INVERSIONES FCI]]-V316,Tabla5[[#This Row],[INVERSIONES FCI]])</f>
        <v>68162464437.376137</v>
      </c>
      <c r="W317" s="5">
        <f>IF($B316&lt;=Tabla5[[#This Row],[INVERSIONES FCI]],+Tabla5[[#This Row],[INVERSIONES FCI]]-W316,Tabla5[[#This Row],[INVERSIONES FCI]])</f>
        <v>68162464437.376137</v>
      </c>
      <c r="X317" s="5">
        <f>IF($B316&lt;=Tabla5[[#This Row],[INVERSIONES FCI]],+Tabla5[[#This Row],[INVERSIONES FCI]]-X316,Tabla5[[#This Row],[INVERSIONES FCI]])</f>
        <v>68162464437.376137</v>
      </c>
      <c r="Y317" s="5">
        <f>IF($B316&lt;=Tabla5[[#This Row],[INVERSIONES FCI]],+Tabla5[[#This Row],[INVERSIONES FCI]]-Y316,Tabla5[[#This Row],[INVERSIONES FCI]])</f>
        <v>68162464437.376137</v>
      </c>
      <c r="Z317" s="5">
        <f>IF($B316&lt;=Tabla5[[#This Row],[INVERSIONES FCI]],+Tabla5[[#This Row],[INVERSIONES FCI]]-Z316,Tabla5[[#This Row],[INVERSIONES FCI]])</f>
        <v>68162464437.376137</v>
      </c>
      <c r="AA317" s="5">
        <f>IF($B316&lt;=Tabla5[[#This Row],[INVERSIONES FCI]],+Tabla5[[#This Row],[INVERSIONES FCI]]-AA316,Tabla5[[#This Row],[INVERSIONES FCI]])</f>
        <v>68162464437.376137</v>
      </c>
      <c r="AB317" s="5">
        <f>IF($B316&lt;=Tabla5[[#This Row],[INVERSIONES FCI]],+Tabla5[[#This Row],[INVERSIONES FCI]]-AB316,Tabla5[[#This Row],[INVERSIONES FCI]])</f>
        <v>68162464437.376137</v>
      </c>
      <c r="AC317" s="5">
        <f>IF($B316&lt;=Tabla5[[#This Row],[INVERSIONES FCI]],+Tabla5[[#This Row],[INVERSIONES FCI]]-AC316,Tabla5[[#This Row],[INVERSIONES FCI]])</f>
        <v>68162464437.376137</v>
      </c>
      <c r="AD317" s="5">
        <f>IF($B316&lt;=Tabla5[[#This Row],[INVERSIONES FCI]],+Tabla5[[#This Row],[INVERSIONES FCI]]-AD316,Tabla5[[#This Row],[INVERSIONES FCI]])</f>
        <v>68162464437.376137</v>
      </c>
      <c r="AE317" s="5">
        <f>IF($B316&lt;=Tabla5[[#This Row],[INVERSIONES FCI]],+Tabla5[[#This Row],[INVERSIONES FCI]]-AE316,Tabla5[[#This Row],[INVERSIONES FCI]])</f>
        <v>68162464437.376137</v>
      </c>
      <c r="AF317" s="5">
        <f>IF($B316&lt;=Tabla5[[#This Row],[INVERSIONES FCI]],+Tabla5[[#This Row],[INVERSIONES FCI]]-AF316,Tabla5[[#This Row],[INVERSIONES FCI]])</f>
        <v>68162464437.376137</v>
      </c>
      <c r="AG317" s="5">
        <f>IF($B316&lt;=Tabla5[[#This Row],[INVERSIONES FCI]],+Tabla5[[#This Row],[INVERSIONES FCI]]-AG316,Tabla5[[#This Row],[INVERSIONES FCI]])</f>
        <v>68162464437.376137</v>
      </c>
      <c r="AH317" s="5">
        <f>IF($B316&lt;=Tabla5[[#This Row],[INVERSIONES FCI]],+Tabla5[[#This Row],[INVERSIONES FCI]]-AH316,Tabla5[[#This Row],[INVERSIONES FCI]])</f>
        <v>68162464437.376137</v>
      </c>
      <c r="AI317" s="5">
        <f>IF($B316&lt;=Tabla5[[#This Row],[INVERSIONES FCI]],+Tabla5[[#This Row],[INVERSIONES FCI]]-AI316,Tabla5[[#This Row],[INVERSIONES FCI]])</f>
        <v>68162464437.376137</v>
      </c>
      <c r="AJ317" s="5">
        <f>IF($B316&lt;=Tabla5[[#This Row],[INVERSIONES FCI]],+Tabla5[[#This Row],[INVERSIONES FCI]]-AJ316,Tabla5[[#This Row],[INVERSIONES FCI]])</f>
        <v>68162464437.376137</v>
      </c>
      <c r="AK317" s="5">
        <f>IF($B316&lt;=Tabla5[[#This Row],[INVERSIONES FCI]],+Tabla5[[#This Row],[INVERSIONES FCI]]-AK316,Tabla5[[#This Row],[INVERSIONES FCI]])</f>
        <v>68162464437.376137</v>
      </c>
      <c r="AL317" s="5">
        <f>IF($B316&lt;=Tabla5[[#This Row],[INVERSIONES FCI]],+Tabla5[[#This Row],[INVERSIONES FCI]]-AL316,Tabla5[[#This Row],[INVERSIONES FCI]])</f>
        <v>68162464437.376137</v>
      </c>
      <c r="AM317" s="5">
        <f>IF($B316&lt;=Tabla5[[#This Row],[INVERSIONES FCI]],+Tabla5[[#This Row],[INVERSIONES FCI]]-AM316,Tabla5[[#This Row],[INVERSIONES FCI]])</f>
        <v>68162464437.376137</v>
      </c>
      <c r="AN317" s="5">
        <f>IF($B316&lt;=Tabla5[[#This Row],[INVERSIONES FCI]],+Tabla5[[#This Row],[INVERSIONES FCI]]-AN316,Tabla5[[#This Row],[INVERSIONES FCI]])</f>
        <v>68162464437.376137</v>
      </c>
      <c r="AO317" s="5">
        <f>IF($B316&lt;=Tabla5[[#This Row],[INVERSIONES FCI]],+Tabla5[[#This Row],[INVERSIONES FCI]]-AO316,Tabla5[[#This Row],[INVERSIONES FCI]])</f>
        <v>68162464437.376137</v>
      </c>
      <c r="AP317" s="5">
        <f>IF($B316&lt;=Tabla5[[#This Row],[INVERSIONES FCI]],+Tabla5[[#This Row],[INVERSIONES FCI]]-AP316,Tabla5[[#This Row],[INVERSIONES FCI]])</f>
        <v>68162464437.376137</v>
      </c>
      <c r="AQ317" s="5">
        <f>IF($B316&lt;=Tabla5[[#This Row],[INVERSIONES FCI]],+Tabla5[[#This Row],[INVERSIONES FCI]]-AQ316,Tabla5[[#This Row],[INVERSIONES FCI]])</f>
        <v>68162464437.376137</v>
      </c>
      <c r="AR317" s="5">
        <f>IF($B316&lt;=Tabla5[[#This Row],[INVERSIONES FCI]],+Tabla5[[#This Row],[INVERSIONES FCI]]-AR316,Tabla5[[#This Row],[INVERSIONES FCI]])</f>
        <v>68162464437.376137</v>
      </c>
      <c r="AS317" s="5">
        <f>IF($B316&lt;=Tabla5[[#This Row],[INVERSIONES FCI]],+Tabla5[[#This Row],[INVERSIONES FCI]]-AS316,Tabla5[[#This Row],[INVERSIONES FCI]])</f>
        <v>68162464437.376137</v>
      </c>
      <c r="AT317" s="5">
        <f>IF($B316&lt;=Tabla5[[#This Row],[INVERSIONES FCI]],+Tabla5[[#This Row],[INVERSIONES FCI]]-AT316,Tabla5[[#This Row],[INVERSIONES FCI]])</f>
        <v>68162464437.376137</v>
      </c>
      <c r="AU317" s="5">
        <f>IF($B316&lt;=Tabla5[[#This Row],[INVERSIONES FCI]],+Tabla5[[#This Row],[INVERSIONES FCI]]-AU316,Tabla5[[#This Row],[INVERSIONES FCI]])</f>
        <v>68162464437.376137</v>
      </c>
      <c r="AV317" s="5">
        <f>IF($B316&lt;=Tabla5[[#This Row],[INVERSIONES FCI]],+Tabla5[[#This Row],[INVERSIONES FCI]]-AV316,Tabla5[[#This Row],[INVERSIONES FCI]])</f>
        <v>68162464437.376137</v>
      </c>
      <c r="AW317" s="5">
        <f>IF($B316&lt;=Tabla5[[#This Row],[INVERSIONES FCI]],+Tabla5[[#This Row],[INVERSIONES FCI]]-AW316,Tabla5[[#This Row],[INVERSIONES FCI]])</f>
        <v>68162464437.376137</v>
      </c>
      <c r="AX317" s="5">
        <f>IF($B316&lt;=Tabla5[[#This Row],[INVERSIONES FCI]],+Tabla5[[#This Row],[INVERSIONES FCI]]-AX316,Tabla5[[#This Row],[INVERSIONES FCI]])</f>
        <v>68162464437.376137</v>
      </c>
      <c r="AY317" s="5">
        <f>IF($B316&lt;=Tabla5[[#This Row],[INVERSIONES FCI]],+Tabla5[[#This Row],[INVERSIONES FCI]]-AY316,Tabla5[[#This Row],[INVERSIONES FCI]])</f>
        <v>68162464437.376137</v>
      </c>
      <c r="AZ317" s="5">
        <f>IF($B316&lt;=Tabla5[[#This Row],[INVERSIONES FCI]],+Tabla5[[#This Row],[INVERSIONES FCI]]-AZ316,Tabla5[[#This Row],[INVERSIONES FCI]])</f>
        <v>68162464437.376137</v>
      </c>
      <c r="BA317" s="5">
        <f>IF($B316&lt;=Tabla5[[#This Row],[INVERSIONES FCI]],+Tabla5[[#This Row],[INVERSIONES FCI]]-BA316,Tabla5[[#This Row],[INVERSIONES FCI]])</f>
        <v>68162464437.376137</v>
      </c>
      <c r="BB317" s="5">
        <f>IF($B316&lt;=Tabla5[[#This Row],[INVERSIONES FCI]],+Tabla5[[#This Row],[INVERSIONES FCI]]-BB316,Tabla5[[#This Row],[INVERSIONES FCI]])</f>
        <v>68162464437.376137</v>
      </c>
      <c r="BC317" s="5">
        <f>IF($B316&lt;=Tabla5[[#This Row],[INVERSIONES FCI]],+Tabla5[[#This Row],[INVERSIONES FCI]]-BC316,Tabla5[[#This Row],[INVERSIONES FCI]])</f>
        <v>68162464437.376137</v>
      </c>
      <c r="BD317" s="5">
        <f>IF($B316&lt;=Tabla5[[#This Row],[INVERSIONES FCI]],+Tabla5[[#This Row],[INVERSIONES FCI]]-BD316,Tabla5[[#This Row],[INVERSIONES FCI]])</f>
        <v>68162464437.376137</v>
      </c>
      <c r="BE317" s="5">
        <f>IF($B316&lt;=Tabla5[[#This Row],[INVERSIONES FCI]],+Tabla5[[#This Row],[INVERSIONES FCI]]-BE316,Tabla5[[#This Row],[INVERSIONES FCI]])</f>
        <v>68162464437.376137</v>
      </c>
      <c r="BF317" s="5">
        <f>IF($B316&lt;=Tabla5[[#This Row],[INVERSIONES FCI]],+Tabla5[[#This Row],[INVERSIONES FCI]]-BF316,Tabla5[[#This Row],[INVERSIONES FCI]])</f>
        <v>68162464437.376137</v>
      </c>
      <c r="BG317" s="5">
        <f>IF($B316&lt;=Tabla5[[#This Row],[INVERSIONES FCI]],+Tabla5[[#This Row],[INVERSIONES FCI]]-BG316,Tabla5[[#This Row],[INVERSIONES FCI]])</f>
        <v>68162464437.376137</v>
      </c>
      <c r="BH317" s="5">
        <f>IF($B316&lt;=Tabla5[[#This Row],[INVERSIONES FCI]],+Tabla5[[#This Row],[INVERSIONES FCI]]-BH316,Tabla5[[#This Row],[INVERSIONES FCI]])</f>
        <v>68162464437.376137</v>
      </c>
      <c r="BI317" s="5">
        <f>IF($B316&lt;=Tabla5[[#This Row],[INVERSIONES FCI]],+Tabla5[[#This Row],[INVERSIONES FCI]]-BI316,Tabla5[[#This Row],[INVERSIONES FCI]])</f>
        <v>68162464437.376137</v>
      </c>
      <c r="BJ317" s="5">
        <f>IF($B316&lt;=Tabla5[[#This Row],[INVERSIONES FCI]],+Tabla5[[#This Row],[INVERSIONES FCI]]-BJ316,Tabla5[[#This Row],[INVERSIONES FCI]])</f>
        <v>68162464437.376137</v>
      </c>
      <c r="BK317" s="5">
        <f>IF($B316&lt;=Tabla5[[#This Row],[INVERSIONES FCI]],+Tabla5[[#This Row],[INVERSIONES FCI]]-BK316,Tabla5[[#This Row],[INVERSIONES FCI]])</f>
        <v>68162464437.376137</v>
      </c>
      <c r="BL317" s="5">
        <f>IF($B316&lt;=Tabla5[[#This Row],[INVERSIONES FCI]],+Tabla5[[#This Row],[INVERSIONES FCI]]-BL316,Tabla5[[#This Row],[INVERSIONES FCI]])</f>
        <v>68162464437.376137</v>
      </c>
      <c r="BM317" s="5">
        <f>IF($B316&lt;=Tabla5[[#This Row],[INVERSIONES FCI]],+Tabla5[[#This Row],[INVERSIONES FCI]]-BM316,Tabla5[[#This Row],[INVERSIONES FCI]])</f>
        <v>68162464437.376137</v>
      </c>
      <c r="BN317" s="5">
        <f>IF($B316&lt;=Tabla5[[#This Row],[INVERSIONES FCI]],+Tabla5[[#This Row],[INVERSIONES FCI]]-BN316,Tabla5[[#This Row],[INVERSIONES FCI]])</f>
        <v>68162464437.376137</v>
      </c>
      <c r="BO317" s="5">
        <f>IF($B316&lt;=Tabla5[[#This Row],[INVERSIONES FCI]],+Tabla5[[#This Row],[INVERSIONES FCI]]-BO316,Tabla5[[#This Row],[INVERSIONES FCI]])</f>
        <v>68162464437.376137</v>
      </c>
      <c r="BP317" s="5">
        <f>IF($B316&lt;=Tabla5[[#This Row],[INVERSIONES FCI]],+Tabla5[[#This Row],[INVERSIONES FCI]]-BP316,Tabla5[[#This Row],[INVERSIONES FCI]])</f>
        <v>68162464437.376137</v>
      </c>
      <c r="BQ317" s="5">
        <f>IF($B316&lt;=Tabla5[[#This Row],[INVERSIONES FCI]],+Tabla5[[#This Row],[INVERSIONES FCI]]-BQ316,Tabla5[[#This Row],[INVERSIONES FCI]])</f>
        <v>68162464437.376137</v>
      </c>
      <c r="BR317" s="5">
        <f>IF($B316&lt;=Tabla5[[#This Row],[INVERSIONES FCI]],+Tabla5[[#This Row],[INVERSIONES FCI]]-BR316,Tabla5[[#This Row],[INVERSIONES FCI]])</f>
        <v>68162464437.376137</v>
      </c>
      <c r="BS317" s="5">
        <f>IF($B316&lt;=Tabla5[[#This Row],[INVERSIONES FCI]],+Tabla5[[#This Row],[INVERSIONES FCI]]-BS316,Tabla5[[#This Row],[INVERSIONES FCI]])</f>
        <v>68162464437.376137</v>
      </c>
      <c r="BT317" s="5">
        <f>IF($B316&lt;=Tabla5[[#This Row],[INVERSIONES FCI]],+Tabla5[[#This Row],[INVERSIONES FCI]]-BT316,Tabla5[[#This Row],[INVERSIONES FCI]])</f>
        <v>68162464437.376137</v>
      </c>
      <c r="BU317" s="5">
        <f>IF($B316&lt;=Tabla5[[#This Row],[INVERSIONES FCI]],+Tabla5[[#This Row],[INVERSIONES FCI]]-BU316,Tabla5[[#This Row],[INVERSIONES FCI]])</f>
        <v>68162464437.376137</v>
      </c>
      <c r="BV317" s="5">
        <f>IF($B316&lt;=Tabla5[[#This Row],[INVERSIONES FCI]],+Tabla5[[#This Row],[INVERSIONES FCI]]-BV316,Tabla5[[#This Row],[INVERSIONES FCI]])</f>
        <v>68162464437.376137</v>
      </c>
      <c r="BW317" s="5">
        <f>IF($B316&lt;=Tabla5[[#This Row],[INVERSIONES FCI]],+Tabla5[[#This Row],[INVERSIONES FCI]]-BW316,Tabla5[[#This Row],[INVERSIONES FCI]])</f>
        <v>68162464437.376137</v>
      </c>
      <c r="BX317" s="5">
        <f>IF($B316&lt;=Tabla5[[#This Row],[INVERSIONES FCI]],+Tabla5[[#This Row],[INVERSIONES FCI]]-BX316,Tabla5[[#This Row],[INVERSIONES FCI]])</f>
        <v>68162464437.376137</v>
      </c>
      <c r="BY317" s="5">
        <f>IF($B316&lt;=Tabla5[[#This Row],[INVERSIONES FCI]],+Tabla5[[#This Row],[INVERSIONES FCI]]-BY316,Tabla5[[#This Row],[INVERSIONES FCI]])</f>
        <v>68162464437.376137</v>
      </c>
      <c r="BZ317" s="5">
        <f>IF($B316&lt;=Tabla5[[#This Row],[INVERSIONES FCI]],+Tabla5[[#This Row],[INVERSIONES FCI]]-BZ316,Tabla5[[#This Row],[INVERSIONES FCI]])</f>
        <v>68162464437.376137</v>
      </c>
      <c r="CA317" s="5">
        <f>IF($B316&lt;=Tabla5[[#This Row],[INVERSIONES FCI]],+Tabla5[[#This Row],[INVERSIONES FCI]]-CA316,Tabla5[[#This Row],[INVERSIONES FCI]])</f>
        <v>68162464437.376137</v>
      </c>
      <c r="CB317" s="5">
        <f>IF($B316&lt;=Tabla5[[#This Row],[INVERSIONES FCI]],+Tabla5[[#This Row],[INVERSIONES FCI]]-CB316,Tabla5[[#This Row],[INVERSIONES FCI]])</f>
        <v>68162464437.376137</v>
      </c>
      <c r="CC317" s="5">
        <f>IF($B316&lt;=Tabla5[[#This Row],[INVERSIONES FCI]],+Tabla5[[#This Row],[INVERSIONES FCI]]-CC316,Tabla5[[#This Row],[INVERSIONES FCI]])</f>
        <v>68162464437.376137</v>
      </c>
      <c r="CD317" s="5">
        <f>IF($B316&lt;=Tabla5[[#This Row],[INVERSIONES FCI]],+Tabla5[[#This Row],[INVERSIONES FCI]]-CD316,Tabla5[[#This Row],[INVERSIONES FCI]])</f>
        <v>68162464437.376137</v>
      </c>
      <c r="CE317" s="5">
        <f>IF($B316&lt;=Tabla5[[#This Row],[INVERSIONES FCI]],+Tabla5[[#This Row],[INVERSIONES FCI]]-CE316,Tabla5[[#This Row],[INVERSIONES FCI]])</f>
        <v>68162464437.376137</v>
      </c>
      <c r="CF317" s="5">
        <f>IF($B316&lt;=Tabla5[[#This Row],[INVERSIONES FCI]],+Tabla5[[#This Row],[INVERSIONES FCI]]-CF316,Tabla5[[#This Row],[INVERSIONES FCI]])</f>
        <v>68162464437.376137</v>
      </c>
      <c r="CG317" s="5">
        <f>IF($B316&lt;=Tabla5[[#This Row],[INVERSIONES FCI]],+Tabla5[[#This Row],[INVERSIONES FCI]]-CG316,Tabla5[[#This Row],[INVERSIONES FCI]])</f>
        <v>68162464437.376137</v>
      </c>
      <c r="CH317" s="5">
        <f>IF($B316&lt;=Tabla5[[#This Row],[INVERSIONES FCI]],+Tabla5[[#This Row],[INVERSIONES FCI]]-CH316,Tabla5[[#This Row],[INVERSIONES FCI]])</f>
        <v>68162464437.376137</v>
      </c>
      <c r="CI317" s="5">
        <f>IF($B316&lt;=Tabla5[[#This Row],[INVERSIONES FCI]],+Tabla5[[#This Row],[INVERSIONES FCI]]-CI316,Tabla5[[#This Row],[INVERSIONES FCI]])</f>
        <v>68162464437.376137</v>
      </c>
      <c r="CJ317" s="5">
        <f>IF($B316&lt;=Tabla5[[#This Row],[INVERSIONES FCI]],+Tabla5[[#This Row],[INVERSIONES FCI]]-CJ316,Tabla5[[#This Row],[INVERSIONES FCI]])</f>
        <v>68162464437.376137</v>
      </c>
      <c r="CK317" s="5">
        <f>IF($B316&lt;=Tabla5[[#This Row],[INVERSIONES FCI]],+Tabla5[[#This Row],[INVERSIONES FCI]]-CK316,Tabla5[[#This Row],[INVERSIONES FCI]])</f>
        <v>68162464437.376137</v>
      </c>
      <c r="CL317" s="5">
        <f>IF($B316&lt;=Tabla5[[#This Row],[INVERSIONES FCI]],+Tabla5[[#This Row],[INVERSIONES FCI]]-CL316,Tabla5[[#This Row],[INVERSIONES FCI]])</f>
        <v>68162464437.376137</v>
      </c>
      <c r="CM317" s="5">
        <f>IF($B316&lt;=Tabla5[[#This Row],[INVERSIONES FCI]],+Tabla5[[#This Row],[INVERSIONES FCI]]-CM316,Tabla5[[#This Row],[INVERSIONES FCI]])</f>
        <v>68162464437.376137</v>
      </c>
      <c r="CN317" s="5">
        <f>IF($B316&lt;=Tabla5[[#This Row],[INVERSIONES FCI]],+Tabla5[[#This Row],[INVERSIONES FCI]]-CN316,Tabla5[[#This Row],[INVERSIONES FCI]])</f>
        <v>68162464437.376137</v>
      </c>
      <c r="CO317" s="5">
        <f>IF($B316&lt;=Tabla5[[#This Row],[INVERSIONES FCI]],+Tabla5[[#This Row],[INVERSIONES FCI]]-CO316,Tabla5[[#This Row],[INVERSIONES FCI]])</f>
        <v>68162464437.376137</v>
      </c>
      <c r="CP317" s="5">
        <f>IF($B316&lt;=Tabla5[[#This Row],[INVERSIONES FCI]],+Tabla5[[#This Row],[INVERSIONES FCI]]-CP316,Tabla5[[#This Row],[INVERSIONES FCI]])</f>
        <v>68162464437.376137</v>
      </c>
      <c r="CQ317" s="5">
        <f>IF($B316&lt;=Tabla5[[#This Row],[INVERSIONES FCI]],+Tabla5[[#This Row],[INVERSIONES FCI]]-CQ316,Tabla5[[#This Row],[INVERSIONES FCI]])</f>
        <v>68162464437.376137</v>
      </c>
      <c r="CR317" s="5">
        <f>IF($B316&lt;=Tabla5[[#This Row],[INVERSIONES FCI]],+Tabla5[[#This Row],[INVERSIONES FCI]]-CR316,Tabla5[[#This Row],[INVERSIONES FCI]])</f>
        <v>68162464437.376137</v>
      </c>
      <c r="CS317" s="5">
        <f>IF($B316&lt;=Tabla5[[#This Row],[INVERSIONES FCI]],+Tabla5[[#This Row],[INVERSIONES FCI]]-CS316,Tabla5[[#This Row],[INVERSIONES FCI]])</f>
        <v>68162464437.376137</v>
      </c>
      <c r="CT317" s="5">
        <f>IF($B316&lt;=Tabla5[[#This Row],[INVERSIONES FCI]],+Tabla5[[#This Row],[INVERSIONES FCI]]-CT316,Tabla5[[#This Row],[INVERSIONES FCI]])</f>
        <v>68162464437.376137</v>
      </c>
      <c r="CU317" s="5">
        <f>IF($B316&lt;=Tabla5[[#This Row],[INVERSIONES FCI]],+Tabla5[[#This Row],[INVERSIONES FCI]]-CU316,Tabla5[[#This Row],[INVERSIONES FCI]])</f>
        <v>68162464437.376137</v>
      </c>
      <c r="CV317" s="5">
        <f>IF($B316&lt;=Tabla5[[#This Row],[INVERSIONES FCI]],+Tabla5[[#This Row],[INVERSIONES FCI]]-CV316,Tabla5[[#This Row],[INVERSIONES FCI]])</f>
        <v>68162464437.376137</v>
      </c>
      <c r="CW317" s="5">
        <f>IF($B316&lt;=Tabla5[[#This Row],[INVERSIONES FCI]],+Tabla5[[#This Row],[INVERSIONES FCI]]-CW316,Tabla5[[#This Row],[INVERSIONES FCI]])</f>
        <v>68162464437.376137</v>
      </c>
      <c r="CX317" s="5">
        <f>IF($B316&lt;=Tabla5[[#This Row],[INVERSIONES FCI]],+Tabla5[[#This Row],[INVERSIONES FCI]]-CX316,Tabla5[[#This Row],[INVERSIONES FCI]])</f>
        <v>68162464437.376137</v>
      </c>
      <c r="CY317" s="5">
        <f>IF($B316&lt;=Tabla5[[#This Row],[INVERSIONES FCI]],+Tabla5[[#This Row],[INVERSIONES FCI]]-CY316,Tabla5[[#This Row],[INVERSIONES FCI]])</f>
        <v>68162464437.376137</v>
      </c>
      <c r="CZ317" s="5">
        <f>IF($B316&lt;=Tabla5[[#This Row],[INVERSIONES FCI]],+Tabla5[[#This Row],[INVERSIONES FCI]]-CZ316,Tabla5[[#This Row],[INVERSIONES FCI]])</f>
        <v>68162464437.376137</v>
      </c>
      <c r="DA317" s="5">
        <f>IF($B316&lt;=Tabla5[[#This Row],[INVERSIONES FCI]],+Tabla5[[#This Row],[INVERSIONES FCI]]-DA316,Tabla5[[#This Row],[INVERSIONES FCI]])</f>
        <v>68162464437.376137</v>
      </c>
      <c r="DB317" s="5">
        <f>IF($B316&lt;=Tabla5[[#This Row],[INVERSIONES FCI]],+Tabla5[[#This Row],[INVERSIONES FCI]]-DB316,Tabla5[[#This Row],[INVERSIONES FCI]])</f>
        <v>68162464437.376137</v>
      </c>
      <c r="DC317" s="5">
        <f>IF($B316&lt;=Tabla5[[#This Row],[INVERSIONES FCI]],+Tabla5[[#This Row],[INVERSIONES FCI]]-DC316,Tabla5[[#This Row],[INVERSIONES FCI]])</f>
        <v>68162464437.376137</v>
      </c>
      <c r="DD317" s="5">
        <f>IF($B316&lt;=Tabla5[[#This Row],[INVERSIONES FCI]],+Tabla5[[#This Row],[INVERSIONES FCI]]-DD316,Tabla5[[#This Row],[INVERSIONES FCI]])</f>
        <v>68162464437.376137</v>
      </c>
      <c r="DE317" s="5">
        <f>IF($B316&lt;=Tabla5[[#This Row],[INVERSIONES FCI]],+Tabla5[[#This Row],[INVERSIONES FCI]]-DE316,Tabla5[[#This Row],[INVERSIONES FCI]])</f>
        <v>68162464437.376137</v>
      </c>
      <c r="DF317" s="5">
        <f>IF($B316&lt;=Tabla5[[#This Row],[INVERSIONES FCI]],+Tabla5[[#This Row],[INVERSIONES FCI]]-DF316,Tabla5[[#This Row],[INVERSIONES FCI]])</f>
        <v>68162464437.376137</v>
      </c>
      <c r="DG317" s="5">
        <f>IF($B316&lt;=Tabla5[[#This Row],[INVERSIONES FCI]],+Tabla5[[#This Row],[INVERSIONES FCI]]-DG316,Tabla5[[#This Row],[INVERSIONES FCI]])</f>
        <v>68162464437.376137</v>
      </c>
      <c r="DH317" s="5">
        <f>IF($B316&lt;=Tabla5[[#This Row],[INVERSIONES FCI]],+Tabla5[[#This Row],[INVERSIONES FCI]]-DH316,Tabla5[[#This Row],[INVERSIONES FCI]])</f>
        <v>68162464437.376137</v>
      </c>
      <c r="DI317" s="5">
        <f>IF($B316&lt;=Tabla5[[#This Row],[INVERSIONES FCI]],+Tabla5[[#This Row],[INVERSIONES FCI]]-DI316,Tabla5[[#This Row],[INVERSIONES FCI]])</f>
        <v>68162464437.376137</v>
      </c>
      <c r="DJ317" s="5">
        <f>IF($B316&lt;=Tabla5[[#This Row],[INVERSIONES FCI]],+Tabla5[[#This Row],[INVERSIONES FCI]]-DJ316,Tabla5[[#This Row],[INVERSIONES FCI]])</f>
        <v>68162464437.376137</v>
      </c>
      <c r="DK317" s="5">
        <f>IF($B316&lt;=Tabla5[[#This Row],[INVERSIONES FCI]],+Tabla5[[#This Row],[INVERSIONES FCI]]-DK316,Tabla5[[#This Row],[INVERSIONES FCI]])</f>
        <v>68162464437.376137</v>
      </c>
      <c r="DL317" s="5"/>
      <c r="DM317" s="5"/>
      <c r="DN317" s="5"/>
      <c r="DO317" s="5"/>
      <c r="DP317" s="5"/>
      <c r="DQ317" s="5"/>
    </row>
    <row r="318" spans="1:121" ht="14.4">
      <c r="A318" s="12" t="s">
        <v>317</v>
      </c>
      <c r="B318" s="5">
        <f>HLOOKUP($A318,ESCENARIO[#All],7,FALSE)</f>
        <v>78125824813.017014</v>
      </c>
      <c r="C318" s="5">
        <f>IF($B317&lt;=Tabla5[[#This Row],[INVERSIONES FCI]],+Tabla5[[#This Row],[INVERSIONES FCI]]-C317,Tabla5[[#This Row],[INVERSIONES FCI]])</f>
        <v>9963360375.6408768</v>
      </c>
      <c r="D318" s="5">
        <f>IF($B317&lt;=Tabla5[[#This Row],[INVERSIONES FCI]],+Tabla5[[#This Row],[INVERSIONES FCI]]-D317,Tabla5[[#This Row],[INVERSIONES FCI]])</f>
        <v>9963360375.6408768</v>
      </c>
      <c r="E318" s="5">
        <f>IF($B317&lt;=Tabla5[[#This Row],[INVERSIONES FCI]],+Tabla5[[#This Row],[INVERSIONES FCI]]-E317,Tabla5[[#This Row],[INVERSIONES FCI]])</f>
        <v>9963360375.6408768</v>
      </c>
      <c r="F318" s="5">
        <f>IF($B317&lt;=Tabla5[[#This Row],[INVERSIONES FCI]],+Tabla5[[#This Row],[INVERSIONES FCI]]-F317,Tabla5[[#This Row],[INVERSIONES FCI]])</f>
        <v>9963360375.6408768</v>
      </c>
      <c r="G318" s="5">
        <f>IF($B317&lt;=Tabla5[[#This Row],[INVERSIONES FCI]],+Tabla5[[#This Row],[INVERSIONES FCI]]-G317,Tabla5[[#This Row],[INVERSIONES FCI]])</f>
        <v>9963360375.6408768</v>
      </c>
      <c r="H318" s="5">
        <f>IF($B317&lt;=Tabla5[[#This Row],[INVERSIONES FCI]],+Tabla5[[#This Row],[INVERSIONES FCI]]-H317,Tabla5[[#This Row],[INVERSIONES FCI]])</f>
        <v>9963360375.6408768</v>
      </c>
      <c r="I318" s="5">
        <f>IF($B317&lt;=Tabla5[[#This Row],[INVERSIONES FCI]],+Tabla5[[#This Row],[INVERSIONES FCI]]-I317,Tabla5[[#This Row],[INVERSIONES FCI]])</f>
        <v>9963360375.6408768</v>
      </c>
      <c r="J318" s="5">
        <f>IF($B317&lt;=Tabla5[[#This Row],[INVERSIONES FCI]],+Tabla5[[#This Row],[INVERSIONES FCI]]-J317,Tabla5[[#This Row],[INVERSIONES FCI]])</f>
        <v>9963360375.6408768</v>
      </c>
      <c r="K318" s="5">
        <f>IF($B317&lt;=Tabla5[[#This Row],[INVERSIONES FCI]],+Tabla5[[#This Row],[INVERSIONES FCI]]-K317,Tabla5[[#This Row],[INVERSIONES FCI]])</f>
        <v>9963360375.6408768</v>
      </c>
      <c r="L318" s="5">
        <f>IF($B317&lt;=Tabla5[[#This Row],[INVERSIONES FCI]],+Tabla5[[#This Row],[INVERSIONES FCI]]-L317,Tabla5[[#This Row],[INVERSIONES FCI]])</f>
        <v>9963360375.6408768</v>
      </c>
      <c r="M318" s="5">
        <f>IF($B317&lt;=Tabla5[[#This Row],[INVERSIONES FCI]],+Tabla5[[#This Row],[INVERSIONES FCI]]-M317,Tabla5[[#This Row],[INVERSIONES FCI]])</f>
        <v>9963360375.6408768</v>
      </c>
      <c r="N318" s="5">
        <f>IF($B317&lt;=Tabla5[[#This Row],[INVERSIONES FCI]],+Tabla5[[#This Row],[INVERSIONES FCI]]-N317,Tabla5[[#This Row],[INVERSIONES FCI]])</f>
        <v>9963360375.6408768</v>
      </c>
      <c r="O318" s="5">
        <f>IF($B317&lt;=Tabla5[[#This Row],[INVERSIONES FCI]],+Tabla5[[#This Row],[INVERSIONES FCI]]-O317,Tabla5[[#This Row],[INVERSIONES FCI]])</f>
        <v>9963360375.6408768</v>
      </c>
      <c r="P318" s="5">
        <f>IF($B317&lt;=Tabla5[[#This Row],[INVERSIONES FCI]],+Tabla5[[#This Row],[INVERSIONES FCI]]-P317,Tabla5[[#This Row],[INVERSIONES FCI]])</f>
        <v>9963360375.6408768</v>
      </c>
      <c r="Q318" s="5">
        <f>IF($B317&lt;=Tabla5[[#This Row],[INVERSIONES FCI]],+Tabla5[[#This Row],[INVERSIONES FCI]]-Q317,Tabla5[[#This Row],[INVERSIONES FCI]])</f>
        <v>9963360375.6408768</v>
      </c>
      <c r="R318" s="5">
        <f>IF($B317&lt;=Tabla5[[#This Row],[INVERSIONES FCI]],+Tabla5[[#This Row],[INVERSIONES FCI]]-R317,Tabla5[[#This Row],[INVERSIONES FCI]])</f>
        <v>9963360375.6408768</v>
      </c>
      <c r="S318" s="5">
        <f>IF($B317&lt;=Tabla5[[#This Row],[INVERSIONES FCI]],+Tabla5[[#This Row],[INVERSIONES FCI]]-S317,Tabla5[[#This Row],[INVERSIONES FCI]])</f>
        <v>9963360375.6408768</v>
      </c>
      <c r="T318" s="5">
        <f>IF($B317&lt;=Tabla5[[#This Row],[INVERSIONES FCI]],+Tabla5[[#This Row],[INVERSIONES FCI]]-T317,Tabla5[[#This Row],[INVERSIONES FCI]])</f>
        <v>9963360375.6408768</v>
      </c>
      <c r="U318" s="5">
        <f>IF($B317&lt;=Tabla5[[#This Row],[INVERSIONES FCI]],+Tabla5[[#This Row],[INVERSIONES FCI]]-U317,Tabla5[[#This Row],[INVERSIONES FCI]])</f>
        <v>9963360375.6408768</v>
      </c>
      <c r="V318" s="5">
        <f>IF($B317&lt;=Tabla5[[#This Row],[INVERSIONES FCI]],+Tabla5[[#This Row],[INVERSIONES FCI]]-V317,Tabla5[[#This Row],[INVERSIONES FCI]])</f>
        <v>9963360375.6408768</v>
      </c>
      <c r="W318" s="5">
        <f>IF($B317&lt;=Tabla5[[#This Row],[INVERSIONES FCI]],+Tabla5[[#This Row],[INVERSIONES FCI]]-W317,Tabla5[[#This Row],[INVERSIONES FCI]])</f>
        <v>9963360375.6408768</v>
      </c>
      <c r="X318" s="5">
        <f>IF($B317&lt;=Tabla5[[#This Row],[INVERSIONES FCI]],+Tabla5[[#This Row],[INVERSIONES FCI]]-X317,Tabla5[[#This Row],[INVERSIONES FCI]])</f>
        <v>9963360375.6408768</v>
      </c>
      <c r="Y318" s="5">
        <f>IF($B317&lt;=Tabla5[[#This Row],[INVERSIONES FCI]],+Tabla5[[#This Row],[INVERSIONES FCI]]-Y317,Tabla5[[#This Row],[INVERSIONES FCI]])</f>
        <v>9963360375.6408768</v>
      </c>
      <c r="Z318" s="5">
        <f>IF($B317&lt;=Tabla5[[#This Row],[INVERSIONES FCI]],+Tabla5[[#This Row],[INVERSIONES FCI]]-Z317,Tabla5[[#This Row],[INVERSIONES FCI]])</f>
        <v>9963360375.6408768</v>
      </c>
      <c r="AA318" s="5">
        <f>IF($B317&lt;=Tabla5[[#This Row],[INVERSIONES FCI]],+Tabla5[[#This Row],[INVERSIONES FCI]]-AA317,Tabla5[[#This Row],[INVERSIONES FCI]])</f>
        <v>9963360375.6408768</v>
      </c>
      <c r="AB318" s="5">
        <f>IF($B317&lt;=Tabla5[[#This Row],[INVERSIONES FCI]],+Tabla5[[#This Row],[INVERSIONES FCI]]-AB317,Tabla5[[#This Row],[INVERSIONES FCI]])</f>
        <v>9963360375.6408768</v>
      </c>
      <c r="AC318" s="5">
        <f>IF($B317&lt;=Tabla5[[#This Row],[INVERSIONES FCI]],+Tabla5[[#This Row],[INVERSIONES FCI]]-AC317,Tabla5[[#This Row],[INVERSIONES FCI]])</f>
        <v>9963360375.6408768</v>
      </c>
      <c r="AD318" s="5">
        <f>IF($B317&lt;=Tabla5[[#This Row],[INVERSIONES FCI]],+Tabla5[[#This Row],[INVERSIONES FCI]]-AD317,Tabla5[[#This Row],[INVERSIONES FCI]])</f>
        <v>9963360375.6408768</v>
      </c>
      <c r="AE318" s="5">
        <f>IF($B317&lt;=Tabla5[[#This Row],[INVERSIONES FCI]],+Tabla5[[#This Row],[INVERSIONES FCI]]-AE317,Tabla5[[#This Row],[INVERSIONES FCI]])</f>
        <v>9963360375.6408768</v>
      </c>
      <c r="AF318" s="5">
        <f>IF($B317&lt;=Tabla5[[#This Row],[INVERSIONES FCI]],+Tabla5[[#This Row],[INVERSIONES FCI]]-AF317,Tabla5[[#This Row],[INVERSIONES FCI]])</f>
        <v>9963360375.6408768</v>
      </c>
      <c r="AG318" s="5">
        <f>IF($B317&lt;=Tabla5[[#This Row],[INVERSIONES FCI]],+Tabla5[[#This Row],[INVERSIONES FCI]]-AG317,Tabla5[[#This Row],[INVERSIONES FCI]])</f>
        <v>9963360375.6408768</v>
      </c>
      <c r="AH318" s="5">
        <f>IF($B317&lt;=Tabla5[[#This Row],[INVERSIONES FCI]],+Tabla5[[#This Row],[INVERSIONES FCI]]-AH317,Tabla5[[#This Row],[INVERSIONES FCI]])</f>
        <v>9963360375.6408768</v>
      </c>
      <c r="AI318" s="5">
        <f>IF($B317&lt;=Tabla5[[#This Row],[INVERSIONES FCI]],+Tabla5[[#This Row],[INVERSIONES FCI]]-AI317,Tabla5[[#This Row],[INVERSIONES FCI]])</f>
        <v>9963360375.6408768</v>
      </c>
      <c r="AJ318" s="5">
        <f>IF($B317&lt;=Tabla5[[#This Row],[INVERSIONES FCI]],+Tabla5[[#This Row],[INVERSIONES FCI]]-AJ317,Tabla5[[#This Row],[INVERSIONES FCI]])</f>
        <v>9963360375.6408768</v>
      </c>
      <c r="AK318" s="5">
        <f>IF($B317&lt;=Tabla5[[#This Row],[INVERSIONES FCI]],+Tabla5[[#This Row],[INVERSIONES FCI]]-AK317,Tabla5[[#This Row],[INVERSIONES FCI]])</f>
        <v>9963360375.6408768</v>
      </c>
      <c r="AL318" s="5">
        <f>IF($B317&lt;=Tabla5[[#This Row],[INVERSIONES FCI]],+Tabla5[[#This Row],[INVERSIONES FCI]]-AL317,Tabla5[[#This Row],[INVERSIONES FCI]])</f>
        <v>9963360375.6408768</v>
      </c>
      <c r="AM318" s="5">
        <f>IF($B317&lt;=Tabla5[[#This Row],[INVERSIONES FCI]],+Tabla5[[#This Row],[INVERSIONES FCI]]-AM317,Tabla5[[#This Row],[INVERSIONES FCI]])</f>
        <v>9963360375.6408768</v>
      </c>
      <c r="AN318" s="5">
        <f>IF($B317&lt;=Tabla5[[#This Row],[INVERSIONES FCI]],+Tabla5[[#This Row],[INVERSIONES FCI]]-AN317,Tabla5[[#This Row],[INVERSIONES FCI]])</f>
        <v>9963360375.6408768</v>
      </c>
      <c r="AO318" s="5">
        <f>IF($B317&lt;=Tabla5[[#This Row],[INVERSIONES FCI]],+Tabla5[[#This Row],[INVERSIONES FCI]]-AO317,Tabla5[[#This Row],[INVERSIONES FCI]])</f>
        <v>9963360375.6408768</v>
      </c>
      <c r="AP318" s="5">
        <f>IF($B317&lt;=Tabla5[[#This Row],[INVERSIONES FCI]],+Tabla5[[#This Row],[INVERSIONES FCI]]-AP317,Tabla5[[#This Row],[INVERSIONES FCI]])</f>
        <v>9963360375.6408768</v>
      </c>
      <c r="AQ318" s="5">
        <f>IF($B317&lt;=Tabla5[[#This Row],[INVERSIONES FCI]],+Tabla5[[#This Row],[INVERSIONES FCI]]-AQ317,Tabla5[[#This Row],[INVERSIONES FCI]])</f>
        <v>9963360375.6408768</v>
      </c>
      <c r="AR318" s="5">
        <f>IF($B317&lt;=Tabla5[[#This Row],[INVERSIONES FCI]],+Tabla5[[#This Row],[INVERSIONES FCI]]-AR317,Tabla5[[#This Row],[INVERSIONES FCI]])</f>
        <v>9963360375.6408768</v>
      </c>
      <c r="AS318" s="5">
        <f>IF($B317&lt;=Tabla5[[#This Row],[INVERSIONES FCI]],+Tabla5[[#This Row],[INVERSIONES FCI]]-AS317,Tabla5[[#This Row],[INVERSIONES FCI]])</f>
        <v>9963360375.6408768</v>
      </c>
      <c r="AT318" s="5">
        <f>IF($B317&lt;=Tabla5[[#This Row],[INVERSIONES FCI]],+Tabla5[[#This Row],[INVERSIONES FCI]]-AT317,Tabla5[[#This Row],[INVERSIONES FCI]])</f>
        <v>9963360375.6408768</v>
      </c>
      <c r="AU318" s="5">
        <f>IF($B317&lt;=Tabla5[[#This Row],[INVERSIONES FCI]],+Tabla5[[#This Row],[INVERSIONES FCI]]-AU317,Tabla5[[#This Row],[INVERSIONES FCI]])</f>
        <v>9963360375.6408768</v>
      </c>
      <c r="AV318" s="5">
        <f>IF($B317&lt;=Tabla5[[#This Row],[INVERSIONES FCI]],+Tabla5[[#This Row],[INVERSIONES FCI]]-AV317,Tabla5[[#This Row],[INVERSIONES FCI]])</f>
        <v>9963360375.6408768</v>
      </c>
      <c r="AW318" s="5">
        <f>IF($B317&lt;=Tabla5[[#This Row],[INVERSIONES FCI]],+Tabla5[[#This Row],[INVERSIONES FCI]]-AW317,Tabla5[[#This Row],[INVERSIONES FCI]])</f>
        <v>9963360375.6408768</v>
      </c>
      <c r="AX318" s="5">
        <f>IF($B317&lt;=Tabla5[[#This Row],[INVERSIONES FCI]],+Tabla5[[#This Row],[INVERSIONES FCI]]-AX317,Tabla5[[#This Row],[INVERSIONES FCI]])</f>
        <v>9963360375.6408768</v>
      </c>
      <c r="AY318" s="5">
        <f>IF($B317&lt;=Tabla5[[#This Row],[INVERSIONES FCI]],+Tabla5[[#This Row],[INVERSIONES FCI]]-AY317,Tabla5[[#This Row],[INVERSIONES FCI]])</f>
        <v>9963360375.6408768</v>
      </c>
      <c r="AZ318" s="5">
        <f>IF($B317&lt;=Tabla5[[#This Row],[INVERSIONES FCI]],+Tabla5[[#This Row],[INVERSIONES FCI]]-AZ317,Tabla5[[#This Row],[INVERSIONES FCI]])</f>
        <v>9963360375.6408768</v>
      </c>
      <c r="BA318" s="5">
        <f>IF($B317&lt;=Tabla5[[#This Row],[INVERSIONES FCI]],+Tabla5[[#This Row],[INVERSIONES FCI]]-BA317,Tabla5[[#This Row],[INVERSIONES FCI]])</f>
        <v>9963360375.6408768</v>
      </c>
      <c r="BB318" s="5">
        <f>IF($B317&lt;=Tabla5[[#This Row],[INVERSIONES FCI]],+Tabla5[[#This Row],[INVERSIONES FCI]]-BB317,Tabla5[[#This Row],[INVERSIONES FCI]])</f>
        <v>9963360375.6408768</v>
      </c>
      <c r="BC318" s="5">
        <f>IF($B317&lt;=Tabla5[[#This Row],[INVERSIONES FCI]],+Tabla5[[#This Row],[INVERSIONES FCI]]-BC317,Tabla5[[#This Row],[INVERSIONES FCI]])</f>
        <v>9963360375.6408768</v>
      </c>
      <c r="BD318" s="5">
        <f>IF($B317&lt;=Tabla5[[#This Row],[INVERSIONES FCI]],+Tabla5[[#This Row],[INVERSIONES FCI]]-BD317,Tabla5[[#This Row],[INVERSIONES FCI]])</f>
        <v>9963360375.6408768</v>
      </c>
      <c r="BE318" s="5">
        <f>IF($B317&lt;=Tabla5[[#This Row],[INVERSIONES FCI]],+Tabla5[[#This Row],[INVERSIONES FCI]]-BE317,Tabla5[[#This Row],[INVERSIONES FCI]])</f>
        <v>9963360375.6408768</v>
      </c>
      <c r="BF318" s="5">
        <f>IF($B317&lt;=Tabla5[[#This Row],[INVERSIONES FCI]],+Tabla5[[#This Row],[INVERSIONES FCI]]-BF317,Tabla5[[#This Row],[INVERSIONES FCI]])</f>
        <v>9963360375.6408768</v>
      </c>
      <c r="BG318" s="5">
        <f>IF($B317&lt;=Tabla5[[#This Row],[INVERSIONES FCI]],+Tabla5[[#This Row],[INVERSIONES FCI]]-BG317,Tabla5[[#This Row],[INVERSIONES FCI]])</f>
        <v>9963360375.6408768</v>
      </c>
      <c r="BH318" s="5">
        <f>IF($B317&lt;=Tabla5[[#This Row],[INVERSIONES FCI]],+Tabla5[[#This Row],[INVERSIONES FCI]]-BH317,Tabla5[[#This Row],[INVERSIONES FCI]])</f>
        <v>9963360375.6408768</v>
      </c>
      <c r="BI318" s="5">
        <f>IF($B317&lt;=Tabla5[[#This Row],[INVERSIONES FCI]],+Tabla5[[#This Row],[INVERSIONES FCI]]-BI317,Tabla5[[#This Row],[INVERSIONES FCI]])</f>
        <v>9963360375.6408768</v>
      </c>
      <c r="BJ318" s="5">
        <f>IF($B317&lt;=Tabla5[[#This Row],[INVERSIONES FCI]],+Tabla5[[#This Row],[INVERSIONES FCI]]-BJ317,Tabla5[[#This Row],[INVERSIONES FCI]])</f>
        <v>9963360375.6408768</v>
      </c>
      <c r="BK318" s="5">
        <f>IF($B317&lt;=Tabla5[[#This Row],[INVERSIONES FCI]],+Tabla5[[#This Row],[INVERSIONES FCI]]-BK317,Tabla5[[#This Row],[INVERSIONES FCI]])</f>
        <v>9963360375.6408768</v>
      </c>
      <c r="BL318" s="5">
        <f>IF($B317&lt;=Tabla5[[#This Row],[INVERSIONES FCI]],+Tabla5[[#This Row],[INVERSIONES FCI]]-BL317,Tabla5[[#This Row],[INVERSIONES FCI]])</f>
        <v>9963360375.6408768</v>
      </c>
      <c r="BM318" s="5">
        <f>IF($B317&lt;=Tabla5[[#This Row],[INVERSIONES FCI]],+Tabla5[[#This Row],[INVERSIONES FCI]]-BM317,Tabla5[[#This Row],[INVERSIONES FCI]])</f>
        <v>9963360375.6408768</v>
      </c>
      <c r="BN318" s="5">
        <f>IF($B317&lt;=Tabla5[[#This Row],[INVERSIONES FCI]],+Tabla5[[#This Row],[INVERSIONES FCI]]-BN317,Tabla5[[#This Row],[INVERSIONES FCI]])</f>
        <v>9963360375.6408768</v>
      </c>
      <c r="BO318" s="5">
        <f>IF($B317&lt;=Tabla5[[#This Row],[INVERSIONES FCI]],+Tabla5[[#This Row],[INVERSIONES FCI]]-BO317,Tabla5[[#This Row],[INVERSIONES FCI]])</f>
        <v>9963360375.6408768</v>
      </c>
      <c r="BP318" s="5">
        <f>IF($B317&lt;=Tabla5[[#This Row],[INVERSIONES FCI]],+Tabla5[[#This Row],[INVERSIONES FCI]]-BP317,Tabla5[[#This Row],[INVERSIONES FCI]])</f>
        <v>9963360375.6408768</v>
      </c>
      <c r="BQ318" s="5">
        <f>IF($B317&lt;=Tabla5[[#This Row],[INVERSIONES FCI]],+Tabla5[[#This Row],[INVERSIONES FCI]]-BQ317,Tabla5[[#This Row],[INVERSIONES FCI]])</f>
        <v>9963360375.6408768</v>
      </c>
      <c r="BR318" s="5">
        <f>IF($B317&lt;=Tabla5[[#This Row],[INVERSIONES FCI]],+Tabla5[[#This Row],[INVERSIONES FCI]]-BR317,Tabla5[[#This Row],[INVERSIONES FCI]])</f>
        <v>9963360375.6408768</v>
      </c>
      <c r="BS318" s="5">
        <f>IF($B317&lt;=Tabla5[[#This Row],[INVERSIONES FCI]],+Tabla5[[#This Row],[INVERSIONES FCI]]-BS317,Tabla5[[#This Row],[INVERSIONES FCI]])</f>
        <v>9963360375.6408768</v>
      </c>
      <c r="BT318" s="5">
        <f>IF($B317&lt;=Tabla5[[#This Row],[INVERSIONES FCI]],+Tabla5[[#This Row],[INVERSIONES FCI]]-BT317,Tabla5[[#This Row],[INVERSIONES FCI]])</f>
        <v>9963360375.6408768</v>
      </c>
      <c r="BU318" s="5">
        <f>IF($B317&lt;=Tabla5[[#This Row],[INVERSIONES FCI]],+Tabla5[[#This Row],[INVERSIONES FCI]]-BU317,Tabla5[[#This Row],[INVERSIONES FCI]])</f>
        <v>9963360375.6408768</v>
      </c>
      <c r="BV318" s="5">
        <f>IF($B317&lt;=Tabla5[[#This Row],[INVERSIONES FCI]],+Tabla5[[#This Row],[INVERSIONES FCI]]-BV317,Tabla5[[#This Row],[INVERSIONES FCI]])</f>
        <v>9963360375.6408768</v>
      </c>
      <c r="BW318" s="5">
        <f>IF($B317&lt;=Tabla5[[#This Row],[INVERSIONES FCI]],+Tabla5[[#This Row],[INVERSIONES FCI]]-BW317,Tabla5[[#This Row],[INVERSIONES FCI]])</f>
        <v>9963360375.6408768</v>
      </c>
      <c r="BX318" s="5">
        <f>IF($B317&lt;=Tabla5[[#This Row],[INVERSIONES FCI]],+Tabla5[[#This Row],[INVERSIONES FCI]]-BX317,Tabla5[[#This Row],[INVERSIONES FCI]])</f>
        <v>9963360375.6408768</v>
      </c>
      <c r="BY318" s="5">
        <f>IF($B317&lt;=Tabla5[[#This Row],[INVERSIONES FCI]],+Tabla5[[#This Row],[INVERSIONES FCI]]-BY317,Tabla5[[#This Row],[INVERSIONES FCI]])</f>
        <v>9963360375.6408768</v>
      </c>
      <c r="BZ318" s="5">
        <f>IF($B317&lt;=Tabla5[[#This Row],[INVERSIONES FCI]],+Tabla5[[#This Row],[INVERSIONES FCI]]-BZ317,Tabla5[[#This Row],[INVERSIONES FCI]])</f>
        <v>9963360375.6408768</v>
      </c>
      <c r="CA318" s="5">
        <f>IF($B317&lt;=Tabla5[[#This Row],[INVERSIONES FCI]],+Tabla5[[#This Row],[INVERSIONES FCI]]-CA317,Tabla5[[#This Row],[INVERSIONES FCI]])</f>
        <v>9963360375.6408768</v>
      </c>
      <c r="CB318" s="5">
        <f>IF($B317&lt;=Tabla5[[#This Row],[INVERSIONES FCI]],+Tabla5[[#This Row],[INVERSIONES FCI]]-CB317,Tabla5[[#This Row],[INVERSIONES FCI]])</f>
        <v>9963360375.6408768</v>
      </c>
      <c r="CC318" s="5">
        <f>IF($B317&lt;=Tabla5[[#This Row],[INVERSIONES FCI]],+Tabla5[[#This Row],[INVERSIONES FCI]]-CC317,Tabla5[[#This Row],[INVERSIONES FCI]])</f>
        <v>9963360375.6408768</v>
      </c>
      <c r="CD318" s="5">
        <f>IF($B317&lt;=Tabla5[[#This Row],[INVERSIONES FCI]],+Tabla5[[#This Row],[INVERSIONES FCI]]-CD317,Tabla5[[#This Row],[INVERSIONES FCI]])</f>
        <v>9963360375.6408768</v>
      </c>
      <c r="CE318" s="5">
        <f>IF($B317&lt;=Tabla5[[#This Row],[INVERSIONES FCI]],+Tabla5[[#This Row],[INVERSIONES FCI]]-CE317,Tabla5[[#This Row],[INVERSIONES FCI]])</f>
        <v>9963360375.6408768</v>
      </c>
      <c r="CF318" s="5">
        <f>IF($B317&lt;=Tabla5[[#This Row],[INVERSIONES FCI]],+Tabla5[[#This Row],[INVERSIONES FCI]]-CF317,Tabla5[[#This Row],[INVERSIONES FCI]])</f>
        <v>9963360375.6408768</v>
      </c>
      <c r="CG318" s="5">
        <f>IF($B317&lt;=Tabla5[[#This Row],[INVERSIONES FCI]],+Tabla5[[#This Row],[INVERSIONES FCI]]-CG317,Tabla5[[#This Row],[INVERSIONES FCI]])</f>
        <v>9963360375.6408768</v>
      </c>
      <c r="CH318" s="5">
        <f>IF($B317&lt;=Tabla5[[#This Row],[INVERSIONES FCI]],+Tabla5[[#This Row],[INVERSIONES FCI]]-CH317,Tabla5[[#This Row],[INVERSIONES FCI]])</f>
        <v>9963360375.6408768</v>
      </c>
      <c r="CI318" s="5">
        <f>IF($B317&lt;=Tabla5[[#This Row],[INVERSIONES FCI]],+Tabla5[[#This Row],[INVERSIONES FCI]]-CI317,Tabla5[[#This Row],[INVERSIONES FCI]])</f>
        <v>9963360375.6408768</v>
      </c>
      <c r="CJ318" s="5">
        <f>IF($B317&lt;=Tabla5[[#This Row],[INVERSIONES FCI]],+Tabla5[[#This Row],[INVERSIONES FCI]]-CJ317,Tabla5[[#This Row],[INVERSIONES FCI]])</f>
        <v>9963360375.6408768</v>
      </c>
      <c r="CK318" s="5">
        <f>IF($B317&lt;=Tabla5[[#This Row],[INVERSIONES FCI]],+Tabla5[[#This Row],[INVERSIONES FCI]]-CK317,Tabla5[[#This Row],[INVERSIONES FCI]])</f>
        <v>9963360375.6408768</v>
      </c>
      <c r="CL318" s="5">
        <f>IF($B317&lt;=Tabla5[[#This Row],[INVERSIONES FCI]],+Tabla5[[#This Row],[INVERSIONES FCI]]-CL317,Tabla5[[#This Row],[INVERSIONES FCI]])</f>
        <v>9963360375.6408768</v>
      </c>
      <c r="CM318" s="5">
        <f>IF($B317&lt;=Tabla5[[#This Row],[INVERSIONES FCI]],+Tabla5[[#This Row],[INVERSIONES FCI]]-CM317,Tabla5[[#This Row],[INVERSIONES FCI]])</f>
        <v>9963360375.6408768</v>
      </c>
      <c r="CN318" s="5">
        <f>IF($B317&lt;=Tabla5[[#This Row],[INVERSIONES FCI]],+Tabla5[[#This Row],[INVERSIONES FCI]]-CN317,Tabla5[[#This Row],[INVERSIONES FCI]])</f>
        <v>9963360375.6408768</v>
      </c>
      <c r="CO318" s="5">
        <f>IF($B317&lt;=Tabla5[[#This Row],[INVERSIONES FCI]],+Tabla5[[#This Row],[INVERSIONES FCI]]-CO317,Tabla5[[#This Row],[INVERSIONES FCI]])</f>
        <v>9963360375.6408768</v>
      </c>
      <c r="CP318" s="5">
        <f>IF($B317&lt;=Tabla5[[#This Row],[INVERSIONES FCI]],+Tabla5[[#This Row],[INVERSIONES FCI]]-CP317,Tabla5[[#This Row],[INVERSIONES FCI]])</f>
        <v>9963360375.6408768</v>
      </c>
      <c r="CQ318" s="5">
        <f>IF($B317&lt;=Tabla5[[#This Row],[INVERSIONES FCI]],+Tabla5[[#This Row],[INVERSIONES FCI]]-CQ317,Tabla5[[#This Row],[INVERSIONES FCI]])</f>
        <v>9963360375.6408768</v>
      </c>
      <c r="CR318" s="5">
        <f>IF($B317&lt;=Tabla5[[#This Row],[INVERSIONES FCI]],+Tabla5[[#This Row],[INVERSIONES FCI]]-CR317,Tabla5[[#This Row],[INVERSIONES FCI]])</f>
        <v>9963360375.6408768</v>
      </c>
      <c r="CS318" s="5">
        <f>IF($B317&lt;=Tabla5[[#This Row],[INVERSIONES FCI]],+Tabla5[[#This Row],[INVERSIONES FCI]]-CS317,Tabla5[[#This Row],[INVERSIONES FCI]])</f>
        <v>9963360375.6408768</v>
      </c>
      <c r="CT318" s="5">
        <f>IF($B317&lt;=Tabla5[[#This Row],[INVERSIONES FCI]],+Tabla5[[#This Row],[INVERSIONES FCI]]-CT317,Tabla5[[#This Row],[INVERSIONES FCI]])</f>
        <v>9963360375.6408768</v>
      </c>
      <c r="CU318" s="5">
        <f>IF($B317&lt;=Tabla5[[#This Row],[INVERSIONES FCI]],+Tabla5[[#This Row],[INVERSIONES FCI]]-CU317,Tabla5[[#This Row],[INVERSIONES FCI]])</f>
        <v>9963360375.6408768</v>
      </c>
      <c r="CV318" s="5">
        <f>IF($B317&lt;=Tabla5[[#This Row],[INVERSIONES FCI]],+Tabla5[[#This Row],[INVERSIONES FCI]]-CV317,Tabla5[[#This Row],[INVERSIONES FCI]])</f>
        <v>9963360375.6408768</v>
      </c>
      <c r="CW318" s="5">
        <f>IF($B317&lt;=Tabla5[[#This Row],[INVERSIONES FCI]],+Tabla5[[#This Row],[INVERSIONES FCI]]-CW317,Tabla5[[#This Row],[INVERSIONES FCI]])</f>
        <v>9963360375.6408768</v>
      </c>
      <c r="CX318" s="5">
        <f>IF($B317&lt;=Tabla5[[#This Row],[INVERSIONES FCI]],+Tabla5[[#This Row],[INVERSIONES FCI]]-CX317,Tabla5[[#This Row],[INVERSIONES FCI]])</f>
        <v>9963360375.6408768</v>
      </c>
      <c r="CY318" s="5">
        <f>IF($B317&lt;=Tabla5[[#This Row],[INVERSIONES FCI]],+Tabla5[[#This Row],[INVERSIONES FCI]]-CY317,Tabla5[[#This Row],[INVERSIONES FCI]])</f>
        <v>9963360375.6408768</v>
      </c>
      <c r="CZ318" s="5">
        <f>IF($B317&lt;=Tabla5[[#This Row],[INVERSIONES FCI]],+Tabla5[[#This Row],[INVERSIONES FCI]]-CZ317,Tabla5[[#This Row],[INVERSIONES FCI]])</f>
        <v>9963360375.6408768</v>
      </c>
      <c r="DA318" s="5">
        <f>IF($B317&lt;=Tabla5[[#This Row],[INVERSIONES FCI]],+Tabla5[[#This Row],[INVERSIONES FCI]]-DA317,Tabla5[[#This Row],[INVERSIONES FCI]])</f>
        <v>9963360375.6408768</v>
      </c>
      <c r="DB318" s="5">
        <f>IF($B317&lt;=Tabla5[[#This Row],[INVERSIONES FCI]],+Tabla5[[#This Row],[INVERSIONES FCI]]-DB317,Tabla5[[#This Row],[INVERSIONES FCI]])</f>
        <v>9963360375.6408768</v>
      </c>
      <c r="DC318" s="5">
        <f>IF($B317&lt;=Tabla5[[#This Row],[INVERSIONES FCI]],+Tabla5[[#This Row],[INVERSIONES FCI]]-DC317,Tabla5[[#This Row],[INVERSIONES FCI]])</f>
        <v>9963360375.6408768</v>
      </c>
      <c r="DD318" s="5">
        <f>IF($B317&lt;=Tabla5[[#This Row],[INVERSIONES FCI]],+Tabla5[[#This Row],[INVERSIONES FCI]]-DD317,Tabla5[[#This Row],[INVERSIONES FCI]])</f>
        <v>9963360375.6408768</v>
      </c>
      <c r="DE318" s="5">
        <f>IF($B317&lt;=Tabla5[[#This Row],[INVERSIONES FCI]],+Tabla5[[#This Row],[INVERSIONES FCI]]-DE317,Tabla5[[#This Row],[INVERSIONES FCI]])</f>
        <v>9963360375.6408768</v>
      </c>
      <c r="DF318" s="5">
        <f>IF($B317&lt;=Tabla5[[#This Row],[INVERSIONES FCI]],+Tabla5[[#This Row],[INVERSIONES FCI]]-DF317,Tabla5[[#This Row],[INVERSIONES FCI]])</f>
        <v>9963360375.6408768</v>
      </c>
      <c r="DG318" s="5">
        <f>IF($B317&lt;=Tabla5[[#This Row],[INVERSIONES FCI]],+Tabla5[[#This Row],[INVERSIONES FCI]]-DG317,Tabla5[[#This Row],[INVERSIONES FCI]])</f>
        <v>9963360375.6408768</v>
      </c>
      <c r="DH318" s="5">
        <f>IF($B317&lt;=Tabla5[[#This Row],[INVERSIONES FCI]],+Tabla5[[#This Row],[INVERSIONES FCI]]-DH317,Tabla5[[#This Row],[INVERSIONES FCI]])</f>
        <v>9963360375.6408768</v>
      </c>
      <c r="DI318" s="5">
        <f>IF($B317&lt;=Tabla5[[#This Row],[INVERSIONES FCI]],+Tabla5[[#This Row],[INVERSIONES FCI]]-DI317,Tabla5[[#This Row],[INVERSIONES FCI]])</f>
        <v>9963360375.6408768</v>
      </c>
      <c r="DJ318" s="5">
        <f>IF($B317&lt;=Tabla5[[#This Row],[INVERSIONES FCI]],+Tabla5[[#This Row],[INVERSIONES FCI]]-DJ317,Tabla5[[#This Row],[INVERSIONES FCI]])</f>
        <v>9963360375.6408768</v>
      </c>
      <c r="DK318" s="5">
        <f>IF($B317&lt;=Tabla5[[#This Row],[INVERSIONES FCI]],+Tabla5[[#This Row],[INVERSIONES FCI]]-DK317,Tabla5[[#This Row],[INVERSIONES FCI]])</f>
        <v>9963360375.6408768</v>
      </c>
      <c r="DL318" s="5"/>
      <c r="DM318" s="5"/>
      <c r="DN318" s="5"/>
      <c r="DO318" s="5"/>
      <c r="DP318" s="5"/>
      <c r="DQ318" s="5"/>
    </row>
    <row r="319" spans="1:121" ht="14.4">
      <c r="A319" s="12" t="s">
        <v>318</v>
      </c>
      <c r="B319" s="5">
        <f>HLOOKUP($A319,ESCENARIO[#All],7,FALSE)</f>
        <v>79859995993.294312</v>
      </c>
      <c r="C319" s="5">
        <f>IF($B318&lt;=Tabla5[[#This Row],[INVERSIONES FCI]],+Tabla5[[#This Row],[INVERSIONES FCI]]-C318,Tabla5[[#This Row],[INVERSIONES FCI]])</f>
        <v>69896635617.653442</v>
      </c>
      <c r="D319" s="5">
        <f>IF($B318&lt;=Tabla5[[#This Row],[INVERSIONES FCI]],+Tabla5[[#This Row],[INVERSIONES FCI]]-D318,Tabla5[[#This Row],[INVERSIONES FCI]])</f>
        <v>69896635617.653442</v>
      </c>
      <c r="E319" s="5">
        <f>IF($B318&lt;=Tabla5[[#This Row],[INVERSIONES FCI]],+Tabla5[[#This Row],[INVERSIONES FCI]]-E318,Tabla5[[#This Row],[INVERSIONES FCI]])</f>
        <v>69896635617.653442</v>
      </c>
      <c r="F319" s="5">
        <f>IF($B318&lt;=Tabla5[[#This Row],[INVERSIONES FCI]],+Tabla5[[#This Row],[INVERSIONES FCI]]-F318,Tabla5[[#This Row],[INVERSIONES FCI]])</f>
        <v>69896635617.653442</v>
      </c>
      <c r="G319" s="5">
        <f>IF($B318&lt;=Tabla5[[#This Row],[INVERSIONES FCI]],+Tabla5[[#This Row],[INVERSIONES FCI]]-G318,Tabla5[[#This Row],[INVERSIONES FCI]])</f>
        <v>69896635617.653442</v>
      </c>
      <c r="H319" s="5">
        <f>IF($B318&lt;=Tabla5[[#This Row],[INVERSIONES FCI]],+Tabla5[[#This Row],[INVERSIONES FCI]]-H318,Tabla5[[#This Row],[INVERSIONES FCI]])</f>
        <v>69896635617.653442</v>
      </c>
      <c r="I319" s="5">
        <f>IF($B318&lt;=Tabla5[[#This Row],[INVERSIONES FCI]],+Tabla5[[#This Row],[INVERSIONES FCI]]-I318,Tabla5[[#This Row],[INVERSIONES FCI]])</f>
        <v>69896635617.653442</v>
      </c>
      <c r="J319" s="5">
        <f>IF($B318&lt;=Tabla5[[#This Row],[INVERSIONES FCI]],+Tabla5[[#This Row],[INVERSIONES FCI]]-J318,Tabla5[[#This Row],[INVERSIONES FCI]])</f>
        <v>69896635617.653442</v>
      </c>
      <c r="K319" s="5">
        <f>IF($B318&lt;=Tabla5[[#This Row],[INVERSIONES FCI]],+Tabla5[[#This Row],[INVERSIONES FCI]]-K318,Tabla5[[#This Row],[INVERSIONES FCI]])</f>
        <v>69896635617.653442</v>
      </c>
      <c r="L319" s="5">
        <f>IF($B318&lt;=Tabla5[[#This Row],[INVERSIONES FCI]],+Tabla5[[#This Row],[INVERSIONES FCI]]-L318,Tabla5[[#This Row],[INVERSIONES FCI]])</f>
        <v>69896635617.653442</v>
      </c>
      <c r="M319" s="5">
        <f>IF($B318&lt;=Tabla5[[#This Row],[INVERSIONES FCI]],+Tabla5[[#This Row],[INVERSIONES FCI]]-M318,Tabla5[[#This Row],[INVERSIONES FCI]])</f>
        <v>69896635617.653442</v>
      </c>
      <c r="N319" s="5">
        <f>IF($B318&lt;=Tabla5[[#This Row],[INVERSIONES FCI]],+Tabla5[[#This Row],[INVERSIONES FCI]]-N318,Tabla5[[#This Row],[INVERSIONES FCI]])</f>
        <v>69896635617.653442</v>
      </c>
      <c r="O319" s="5">
        <f>IF($B318&lt;=Tabla5[[#This Row],[INVERSIONES FCI]],+Tabla5[[#This Row],[INVERSIONES FCI]]-O318,Tabla5[[#This Row],[INVERSIONES FCI]])</f>
        <v>69896635617.653442</v>
      </c>
      <c r="P319" s="5">
        <f>IF($B318&lt;=Tabla5[[#This Row],[INVERSIONES FCI]],+Tabla5[[#This Row],[INVERSIONES FCI]]-P318,Tabla5[[#This Row],[INVERSIONES FCI]])</f>
        <v>69896635617.653442</v>
      </c>
      <c r="Q319" s="5">
        <f>IF($B318&lt;=Tabla5[[#This Row],[INVERSIONES FCI]],+Tabla5[[#This Row],[INVERSIONES FCI]]-Q318,Tabla5[[#This Row],[INVERSIONES FCI]])</f>
        <v>69896635617.653442</v>
      </c>
      <c r="R319" s="5">
        <f>IF($B318&lt;=Tabla5[[#This Row],[INVERSIONES FCI]],+Tabla5[[#This Row],[INVERSIONES FCI]]-R318,Tabla5[[#This Row],[INVERSIONES FCI]])</f>
        <v>69896635617.653442</v>
      </c>
      <c r="S319" s="5">
        <f>IF($B318&lt;=Tabla5[[#This Row],[INVERSIONES FCI]],+Tabla5[[#This Row],[INVERSIONES FCI]]-S318,Tabla5[[#This Row],[INVERSIONES FCI]])</f>
        <v>69896635617.653442</v>
      </c>
      <c r="T319" s="5">
        <f>IF($B318&lt;=Tabla5[[#This Row],[INVERSIONES FCI]],+Tabla5[[#This Row],[INVERSIONES FCI]]-T318,Tabla5[[#This Row],[INVERSIONES FCI]])</f>
        <v>69896635617.653442</v>
      </c>
      <c r="U319" s="5">
        <f>IF($B318&lt;=Tabla5[[#This Row],[INVERSIONES FCI]],+Tabla5[[#This Row],[INVERSIONES FCI]]-U318,Tabla5[[#This Row],[INVERSIONES FCI]])</f>
        <v>69896635617.653442</v>
      </c>
      <c r="V319" s="5">
        <f>IF($B318&lt;=Tabla5[[#This Row],[INVERSIONES FCI]],+Tabla5[[#This Row],[INVERSIONES FCI]]-V318,Tabla5[[#This Row],[INVERSIONES FCI]])</f>
        <v>69896635617.653442</v>
      </c>
      <c r="W319" s="5">
        <f>IF($B318&lt;=Tabla5[[#This Row],[INVERSIONES FCI]],+Tabla5[[#This Row],[INVERSIONES FCI]]-W318,Tabla5[[#This Row],[INVERSIONES FCI]])</f>
        <v>69896635617.653442</v>
      </c>
      <c r="X319" s="5">
        <f>IF($B318&lt;=Tabla5[[#This Row],[INVERSIONES FCI]],+Tabla5[[#This Row],[INVERSIONES FCI]]-X318,Tabla5[[#This Row],[INVERSIONES FCI]])</f>
        <v>69896635617.653442</v>
      </c>
      <c r="Y319" s="5">
        <f>IF($B318&lt;=Tabla5[[#This Row],[INVERSIONES FCI]],+Tabla5[[#This Row],[INVERSIONES FCI]]-Y318,Tabla5[[#This Row],[INVERSIONES FCI]])</f>
        <v>69896635617.653442</v>
      </c>
      <c r="Z319" s="5">
        <f>IF($B318&lt;=Tabla5[[#This Row],[INVERSIONES FCI]],+Tabla5[[#This Row],[INVERSIONES FCI]]-Z318,Tabla5[[#This Row],[INVERSIONES FCI]])</f>
        <v>69896635617.653442</v>
      </c>
      <c r="AA319" s="5">
        <f>IF($B318&lt;=Tabla5[[#This Row],[INVERSIONES FCI]],+Tabla5[[#This Row],[INVERSIONES FCI]]-AA318,Tabla5[[#This Row],[INVERSIONES FCI]])</f>
        <v>69896635617.653442</v>
      </c>
      <c r="AB319" s="5">
        <f>IF($B318&lt;=Tabla5[[#This Row],[INVERSIONES FCI]],+Tabla5[[#This Row],[INVERSIONES FCI]]-AB318,Tabla5[[#This Row],[INVERSIONES FCI]])</f>
        <v>69896635617.653442</v>
      </c>
      <c r="AC319" s="5">
        <f>IF($B318&lt;=Tabla5[[#This Row],[INVERSIONES FCI]],+Tabla5[[#This Row],[INVERSIONES FCI]]-AC318,Tabla5[[#This Row],[INVERSIONES FCI]])</f>
        <v>69896635617.653442</v>
      </c>
      <c r="AD319" s="5">
        <f>IF($B318&lt;=Tabla5[[#This Row],[INVERSIONES FCI]],+Tabla5[[#This Row],[INVERSIONES FCI]]-AD318,Tabla5[[#This Row],[INVERSIONES FCI]])</f>
        <v>69896635617.653442</v>
      </c>
      <c r="AE319" s="5">
        <f>IF($B318&lt;=Tabla5[[#This Row],[INVERSIONES FCI]],+Tabla5[[#This Row],[INVERSIONES FCI]]-AE318,Tabla5[[#This Row],[INVERSIONES FCI]])</f>
        <v>69896635617.653442</v>
      </c>
      <c r="AF319" s="5">
        <f>IF($B318&lt;=Tabla5[[#This Row],[INVERSIONES FCI]],+Tabla5[[#This Row],[INVERSIONES FCI]]-AF318,Tabla5[[#This Row],[INVERSIONES FCI]])</f>
        <v>69896635617.653442</v>
      </c>
      <c r="AG319" s="5">
        <f>IF($B318&lt;=Tabla5[[#This Row],[INVERSIONES FCI]],+Tabla5[[#This Row],[INVERSIONES FCI]]-AG318,Tabla5[[#This Row],[INVERSIONES FCI]])</f>
        <v>69896635617.653442</v>
      </c>
      <c r="AH319" s="5">
        <f>IF($B318&lt;=Tabla5[[#This Row],[INVERSIONES FCI]],+Tabla5[[#This Row],[INVERSIONES FCI]]-AH318,Tabla5[[#This Row],[INVERSIONES FCI]])</f>
        <v>69896635617.653442</v>
      </c>
      <c r="AI319" s="5">
        <f>IF($B318&lt;=Tabla5[[#This Row],[INVERSIONES FCI]],+Tabla5[[#This Row],[INVERSIONES FCI]]-AI318,Tabla5[[#This Row],[INVERSIONES FCI]])</f>
        <v>69896635617.653442</v>
      </c>
      <c r="AJ319" s="5">
        <f>IF($B318&lt;=Tabla5[[#This Row],[INVERSIONES FCI]],+Tabla5[[#This Row],[INVERSIONES FCI]]-AJ318,Tabla5[[#This Row],[INVERSIONES FCI]])</f>
        <v>69896635617.653442</v>
      </c>
      <c r="AK319" s="5">
        <f>IF($B318&lt;=Tabla5[[#This Row],[INVERSIONES FCI]],+Tabla5[[#This Row],[INVERSIONES FCI]]-AK318,Tabla5[[#This Row],[INVERSIONES FCI]])</f>
        <v>69896635617.653442</v>
      </c>
      <c r="AL319" s="5">
        <f>IF($B318&lt;=Tabla5[[#This Row],[INVERSIONES FCI]],+Tabla5[[#This Row],[INVERSIONES FCI]]-AL318,Tabla5[[#This Row],[INVERSIONES FCI]])</f>
        <v>69896635617.653442</v>
      </c>
      <c r="AM319" s="5">
        <f>IF($B318&lt;=Tabla5[[#This Row],[INVERSIONES FCI]],+Tabla5[[#This Row],[INVERSIONES FCI]]-AM318,Tabla5[[#This Row],[INVERSIONES FCI]])</f>
        <v>69896635617.653442</v>
      </c>
      <c r="AN319" s="5">
        <f>IF($B318&lt;=Tabla5[[#This Row],[INVERSIONES FCI]],+Tabla5[[#This Row],[INVERSIONES FCI]]-AN318,Tabla5[[#This Row],[INVERSIONES FCI]])</f>
        <v>69896635617.653442</v>
      </c>
      <c r="AO319" s="5">
        <f>IF($B318&lt;=Tabla5[[#This Row],[INVERSIONES FCI]],+Tabla5[[#This Row],[INVERSIONES FCI]]-AO318,Tabla5[[#This Row],[INVERSIONES FCI]])</f>
        <v>69896635617.653442</v>
      </c>
      <c r="AP319" s="5">
        <f>IF($B318&lt;=Tabla5[[#This Row],[INVERSIONES FCI]],+Tabla5[[#This Row],[INVERSIONES FCI]]-AP318,Tabla5[[#This Row],[INVERSIONES FCI]])</f>
        <v>69896635617.653442</v>
      </c>
      <c r="AQ319" s="5">
        <f>IF($B318&lt;=Tabla5[[#This Row],[INVERSIONES FCI]],+Tabla5[[#This Row],[INVERSIONES FCI]]-AQ318,Tabla5[[#This Row],[INVERSIONES FCI]])</f>
        <v>69896635617.653442</v>
      </c>
      <c r="AR319" s="5">
        <f>IF($B318&lt;=Tabla5[[#This Row],[INVERSIONES FCI]],+Tabla5[[#This Row],[INVERSIONES FCI]]-AR318,Tabla5[[#This Row],[INVERSIONES FCI]])</f>
        <v>69896635617.653442</v>
      </c>
      <c r="AS319" s="5">
        <f>IF($B318&lt;=Tabla5[[#This Row],[INVERSIONES FCI]],+Tabla5[[#This Row],[INVERSIONES FCI]]-AS318,Tabla5[[#This Row],[INVERSIONES FCI]])</f>
        <v>69896635617.653442</v>
      </c>
      <c r="AT319" s="5">
        <f>IF($B318&lt;=Tabla5[[#This Row],[INVERSIONES FCI]],+Tabla5[[#This Row],[INVERSIONES FCI]]-AT318,Tabla5[[#This Row],[INVERSIONES FCI]])</f>
        <v>69896635617.653442</v>
      </c>
      <c r="AU319" s="5">
        <f>IF($B318&lt;=Tabla5[[#This Row],[INVERSIONES FCI]],+Tabla5[[#This Row],[INVERSIONES FCI]]-AU318,Tabla5[[#This Row],[INVERSIONES FCI]])</f>
        <v>69896635617.653442</v>
      </c>
      <c r="AV319" s="5">
        <f>IF($B318&lt;=Tabla5[[#This Row],[INVERSIONES FCI]],+Tabla5[[#This Row],[INVERSIONES FCI]]-AV318,Tabla5[[#This Row],[INVERSIONES FCI]])</f>
        <v>69896635617.653442</v>
      </c>
      <c r="AW319" s="5">
        <f>IF($B318&lt;=Tabla5[[#This Row],[INVERSIONES FCI]],+Tabla5[[#This Row],[INVERSIONES FCI]]-AW318,Tabla5[[#This Row],[INVERSIONES FCI]])</f>
        <v>69896635617.653442</v>
      </c>
      <c r="AX319" s="5">
        <f>IF($B318&lt;=Tabla5[[#This Row],[INVERSIONES FCI]],+Tabla5[[#This Row],[INVERSIONES FCI]]-AX318,Tabla5[[#This Row],[INVERSIONES FCI]])</f>
        <v>69896635617.653442</v>
      </c>
      <c r="AY319" s="5">
        <f>IF($B318&lt;=Tabla5[[#This Row],[INVERSIONES FCI]],+Tabla5[[#This Row],[INVERSIONES FCI]]-AY318,Tabla5[[#This Row],[INVERSIONES FCI]])</f>
        <v>69896635617.653442</v>
      </c>
      <c r="AZ319" s="5">
        <f>IF($B318&lt;=Tabla5[[#This Row],[INVERSIONES FCI]],+Tabla5[[#This Row],[INVERSIONES FCI]]-AZ318,Tabla5[[#This Row],[INVERSIONES FCI]])</f>
        <v>69896635617.653442</v>
      </c>
      <c r="BA319" s="5">
        <f>IF($B318&lt;=Tabla5[[#This Row],[INVERSIONES FCI]],+Tabla5[[#This Row],[INVERSIONES FCI]]-BA318,Tabla5[[#This Row],[INVERSIONES FCI]])</f>
        <v>69896635617.653442</v>
      </c>
      <c r="BB319" s="5">
        <f>IF($B318&lt;=Tabla5[[#This Row],[INVERSIONES FCI]],+Tabla5[[#This Row],[INVERSIONES FCI]]-BB318,Tabla5[[#This Row],[INVERSIONES FCI]])</f>
        <v>69896635617.653442</v>
      </c>
      <c r="BC319" s="5">
        <f>IF($B318&lt;=Tabla5[[#This Row],[INVERSIONES FCI]],+Tabla5[[#This Row],[INVERSIONES FCI]]-BC318,Tabla5[[#This Row],[INVERSIONES FCI]])</f>
        <v>69896635617.653442</v>
      </c>
      <c r="BD319" s="5">
        <f>IF($B318&lt;=Tabla5[[#This Row],[INVERSIONES FCI]],+Tabla5[[#This Row],[INVERSIONES FCI]]-BD318,Tabla5[[#This Row],[INVERSIONES FCI]])</f>
        <v>69896635617.653442</v>
      </c>
      <c r="BE319" s="5">
        <f>IF($B318&lt;=Tabla5[[#This Row],[INVERSIONES FCI]],+Tabla5[[#This Row],[INVERSIONES FCI]]-BE318,Tabla5[[#This Row],[INVERSIONES FCI]])</f>
        <v>69896635617.653442</v>
      </c>
      <c r="BF319" s="5">
        <f>IF($B318&lt;=Tabla5[[#This Row],[INVERSIONES FCI]],+Tabla5[[#This Row],[INVERSIONES FCI]]-BF318,Tabla5[[#This Row],[INVERSIONES FCI]])</f>
        <v>69896635617.653442</v>
      </c>
      <c r="BG319" s="5">
        <f>IF($B318&lt;=Tabla5[[#This Row],[INVERSIONES FCI]],+Tabla5[[#This Row],[INVERSIONES FCI]]-BG318,Tabla5[[#This Row],[INVERSIONES FCI]])</f>
        <v>69896635617.653442</v>
      </c>
      <c r="BH319" s="5">
        <f>IF($B318&lt;=Tabla5[[#This Row],[INVERSIONES FCI]],+Tabla5[[#This Row],[INVERSIONES FCI]]-BH318,Tabla5[[#This Row],[INVERSIONES FCI]])</f>
        <v>69896635617.653442</v>
      </c>
      <c r="BI319" s="5">
        <f>IF($B318&lt;=Tabla5[[#This Row],[INVERSIONES FCI]],+Tabla5[[#This Row],[INVERSIONES FCI]]-BI318,Tabla5[[#This Row],[INVERSIONES FCI]])</f>
        <v>69896635617.653442</v>
      </c>
      <c r="BJ319" s="5">
        <f>IF($B318&lt;=Tabla5[[#This Row],[INVERSIONES FCI]],+Tabla5[[#This Row],[INVERSIONES FCI]]-BJ318,Tabla5[[#This Row],[INVERSIONES FCI]])</f>
        <v>69896635617.653442</v>
      </c>
      <c r="BK319" s="5">
        <f>IF($B318&lt;=Tabla5[[#This Row],[INVERSIONES FCI]],+Tabla5[[#This Row],[INVERSIONES FCI]]-BK318,Tabla5[[#This Row],[INVERSIONES FCI]])</f>
        <v>69896635617.653442</v>
      </c>
      <c r="BL319" s="5">
        <f>IF($B318&lt;=Tabla5[[#This Row],[INVERSIONES FCI]],+Tabla5[[#This Row],[INVERSIONES FCI]]-BL318,Tabla5[[#This Row],[INVERSIONES FCI]])</f>
        <v>69896635617.653442</v>
      </c>
      <c r="BM319" s="5">
        <f>IF($B318&lt;=Tabla5[[#This Row],[INVERSIONES FCI]],+Tabla5[[#This Row],[INVERSIONES FCI]]-BM318,Tabla5[[#This Row],[INVERSIONES FCI]])</f>
        <v>69896635617.653442</v>
      </c>
      <c r="BN319" s="5">
        <f>IF($B318&lt;=Tabla5[[#This Row],[INVERSIONES FCI]],+Tabla5[[#This Row],[INVERSIONES FCI]]-BN318,Tabla5[[#This Row],[INVERSIONES FCI]])</f>
        <v>69896635617.653442</v>
      </c>
      <c r="BO319" s="5">
        <f>IF($B318&lt;=Tabla5[[#This Row],[INVERSIONES FCI]],+Tabla5[[#This Row],[INVERSIONES FCI]]-BO318,Tabla5[[#This Row],[INVERSIONES FCI]])</f>
        <v>69896635617.653442</v>
      </c>
      <c r="BP319" s="5">
        <f>IF($B318&lt;=Tabla5[[#This Row],[INVERSIONES FCI]],+Tabla5[[#This Row],[INVERSIONES FCI]]-BP318,Tabla5[[#This Row],[INVERSIONES FCI]])</f>
        <v>69896635617.653442</v>
      </c>
      <c r="BQ319" s="5">
        <f>IF($B318&lt;=Tabla5[[#This Row],[INVERSIONES FCI]],+Tabla5[[#This Row],[INVERSIONES FCI]]-BQ318,Tabla5[[#This Row],[INVERSIONES FCI]])</f>
        <v>69896635617.653442</v>
      </c>
      <c r="BR319" s="5">
        <f>IF($B318&lt;=Tabla5[[#This Row],[INVERSIONES FCI]],+Tabla5[[#This Row],[INVERSIONES FCI]]-BR318,Tabla5[[#This Row],[INVERSIONES FCI]])</f>
        <v>69896635617.653442</v>
      </c>
      <c r="BS319" s="5">
        <f>IF($B318&lt;=Tabla5[[#This Row],[INVERSIONES FCI]],+Tabla5[[#This Row],[INVERSIONES FCI]]-BS318,Tabla5[[#This Row],[INVERSIONES FCI]])</f>
        <v>69896635617.653442</v>
      </c>
      <c r="BT319" s="5">
        <f>IF($B318&lt;=Tabla5[[#This Row],[INVERSIONES FCI]],+Tabla5[[#This Row],[INVERSIONES FCI]]-BT318,Tabla5[[#This Row],[INVERSIONES FCI]])</f>
        <v>69896635617.653442</v>
      </c>
      <c r="BU319" s="5">
        <f>IF($B318&lt;=Tabla5[[#This Row],[INVERSIONES FCI]],+Tabla5[[#This Row],[INVERSIONES FCI]]-BU318,Tabla5[[#This Row],[INVERSIONES FCI]])</f>
        <v>69896635617.653442</v>
      </c>
      <c r="BV319" s="5">
        <f>IF($B318&lt;=Tabla5[[#This Row],[INVERSIONES FCI]],+Tabla5[[#This Row],[INVERSIONES FCI]]-BV318,Tabla5[[#This Row],[INVERSIONES FCI]])</f>
        <v>69896635617.653442</v>
      </c>
      <c r="BW319" s="5">
        <f>IF($B318&lt;=Tabla5[[#This Row],[INVERSIONES FCI]],+Tabla5[[#This Row],[INVERSIONES FCI]]-BW318,Tabla5[[#This Row],[INVERSIONES FCI]])</f>
        <v>69896635617.653442</v>
      </c>
      <c r="BX319" s="5">
        <f>IF($B318&lt;=Tabla5[[#This Row],[INVERSIONES FCI]],+Tabla5[[#This Row],[INVERSIONES FCI]]-BX318,Tabla5[[#This Row],[INVERSIONES FCI]])</f>
        <v>69896635617.653442</v>
      </c>
      <c r="BY319" s="5">
        <f>IF($B318&lt;=Tabla5[[#This Row],[INVERSIONES FCI]],+Tabla5[[#This Row],[INVERSIONES FCI]]-BY318,Tabla5[[#This Row],[INVERSIONES FCI]])</f>
        <v>69896635617.653442</v>
      </c>
      <c r="BZ319" s="5">
        <f>IF($B318&lt;=Tabla5[[#This Row],[INVERSIONES FCI]],+Tabla5[[#This Row],[INVERSIONES FCI]]-BZ318,Tabla5[[#This Row],[INVERSIONES FCI]])</f>
        <v>69896635617.653442</v>
      </c>
      <c r="CA319" s="5">
        <f>IF($B318&lt;=Tabla5[[#This Row],[INVERSIONES FCI]],+Tabla5[[#This Row],[INVERSIONES FCI]]-CA318,Tabla5[[#This Row],[INVERSIONES FCI]])</f>
        <v>69896635617.653442</v>
      </c>
      <c r="CB319" s="5">
        <f>IF($B318&lt;=Tabla5[[#This Row],[INVERSIONES FCI]],+Tabla5[[#This Row],[INVERSIONES FCI]]-CB318,Tabla5[[#This Row],[INVERSIONES FCI]])</f>
        <v>69896635617.653442</v>
      </c>
      <c r="CC319" s="5">
        <f>IF($B318&lt;=Tabla5[[#This Row],[INVERSIONES FCI]],+Tabla5[[#This Row],[INVERSIONES FCI]]-CC318,Tabla5[[#This Row],[INVERSIONES FCI]])</f>
        <v>69896635617.653442</v>
      </c>
      <c r="CD319" s="5">
        <f>IF($B318&lt;=Tabla5[[#This Row],[INVERSIONES FCI]],+Tabla5[[#This Row],[INVERSIONES FCI]]-CD318,Tabla5[[#This Row],[INVERSIONES FCI]])</f>
        <v>69896635617.653442</v>
      </c>
      <c r="CE319" s="5">
        <f>IF($B318&lt;=Tabla5[[#This Row],[INVERSIONES FCI]],+Tabla5[[#This Row],[INVERSIONES FCI]]-CE318,Tabla5[[#This Row],[INVERSIONES FCI]])</f>
        <v>69896635617.653442</v>
      </c>
      <c r="CF319" s="5">
        <f>IF($B318&lt;=Tabla5[[#This Row],[INVERSIONES FCI]],+Tabla5[[#This Row],[INVERSIONES FCI]]-CF318,Tabla5[[#This Row],[INVERSIONES FCI]])</f>
        <v>69896635617.653442</v>
      </c>
      <c r="CG319" s="5">
        <f>IF($B318&lt;=Tabla5[[#This Row],[INVERSIONES FCI]],+Tabla5[[#This Row],[INVERSIONES FCI]]-CG318,Tabla5[[#This Row],[INVERSIONES FCI]])</f>
        <v>69896635617.653442</v>
      </c>
      <c r="CH319" s="5">
        <f>IF($B318&lt;=Tabla5[[#This Row],[INVERSIONES FCI]],+Tabla5[[#This Row],[INVERSIONES FCI]]-CH318,Tabla5[[#This Row],[INVERSIONES FCI]])</f>
        <v>69896635617.653442</v>
      </c>
      <c r="CI319" s="5">
        <f>IF($B318&lt;=Tabla5[[#This Row],[INVERSIONES FCI]],+Tabla5[[#This Row],[INVERSIONES FCI]]-CI318,Tabla5[[#This Row],[INVERSIONES FCI]])</f>
        <v>69896635617.653442</v>
      </c>
      <c r="CJ319" s="5">
        <f>IF($B318&lt;=Tabla5[[#This Row],[INVERSIONES FCI]],+Tabla5[[#This Row],[INVERSIONES FCI]]-CJ318,Tabla5[[#This Row],[INVERSIONES FCI]])</f>
        <v>69896635617.653442</v>
      </c>
      <c r="CK319" s="5">
        <f>IF($B318&lt;=Tabla5[[#This Row],[INVERSIONES FCI]],+Tabla5[[#This Row],[INVERSIONES FCI]]-CK318,Tabla5[[#This Row],[INVERSIONES FCI]])</f>
        <v>69896635617.653442</v>
      </c>
      <c r="CL319" s="5">
        <f>IF($B318&lt;=Tabla5[[#This Row],[INVERSIONES FCI]],+Tabla5[[#This Row],[INVERSIONES FCI]]-CL318,Tabla5[[#This Row],[INVERSIONES FCI]])</f>
        <v>69896635617.653442</v>
      </c>
      <c r="CM319" s="5">
        <f>IF($B318&lt;=Tabla5[[#This Row],[INVERSIONES FCI]],+Tabla5[[#This Row],[INVERSIONES FCI]]-CM318,Tabla5[[#This Row],[INVERSIONES FCI]])</f>
        <v>69896635617.653442</v>
      </c>
      <c r="CN319" s="5">
        <f>IF($B318&lt;=Tabla5[[#This Row],[INVERSIONES FCI]],+Tabla5[[#This Row],[INVERSIONES FCI]]-CN318,Tabla5[[#This Row],[INVERSIONES FCI]])</f>
        <v>69896635617.653442</v>
      </c>
      <c r="CO319" s="5">
        <f>IF($B318&lt;=Tabla5[[#This Row],[INVERSIONES FCI]],+Tabla5[[#This Row],[INVERSIONES FCI]]-CO318,Tabla5[[#This Row],[INVERSIONES FCI]])</f>
        <v>69896635617.653442</v>
      </c>
      <c r="CP319" s="5">
        <f>IF($B318&lt;=Tabla5[[#This Row],[INVERSIONES FCI]],+Tabla5[[#This Row],[INVERSIONES FCI]]-CP318,Tabla5[[#This Row],[INVERSIONES FCI]])</f>
        <v>69896635617.653442</v>
      </c>
      <c r="CQ319" s="5">
        <f>IF($B318&lt;=Tabla5[[#This Row],[INVERSIONES FCI]],+Tabla5[[#This Row],[INVERSIONES FCI]]-CQ318,Tabla5[[#This Row],[INVERSIONES FCI]])</f>
        <v>69896635617.653442</v>
      </c>
      <c r="CR319" s="5">
        <f>IF($B318&lt;=Tabla5[[#This Row],[INVERSIONES FCI]],+Tabla5[[#This Row],[INVERSIONES FCI]]-CR318,Tabla5[[#This Row],[INVERSIONES FCI]])</f>
        <v>69896635617.653442</v>
      </c>
      <c r="CS319" s="5">
        <f>IF($B318&lt;=Tabla5[[#This Row],[INVERSIONES FCI]],+Tabla5[[#This Row],[INVERSIONES FCI]]-CS318,Tabla5[[#This Row],[INVERSIONES FCI]])</f>
        <v>69896635617.653442</v>
      </c>
      <c r="CT319" s="5">
        <f>IF($B318&lt;=Tabla5[[#This Row],[INVERSIONES FCI]],+Tabla5[[#This Row],[INVERSIONES FCI]]-CT318,Tabla5[[#This Row],[INVERSIONES FCI]])</f>
        <v>69896635617.653442</v>
      </c>
      <c r="CU319" s="5">
        <f>IF($B318&lt;=Tabla5[[#This Row],[INVERSIONES FCI]],+Tabla5[[#This Row],[INVERSIONES FCI]]-CU318,Tabla5[[#This Row],[INVERSIONES FCI]])</f>
        <v>69896635617.653442</v>
      </c>
      <c r="CV319" s="5">
        <f>IF($B318&lt;=Tabla5[[#This Row],[INVERSIONES FCI]],+Tabla5[[#This Row],[INVERSIONES FCI]]-CV318,Tabla5[[#This Row],[INVERSIONES FCI]])</f>
        <v>69896635617.653442</v>
      </c>
      <c r="CW319" s="5">
        <f>IF($B318&lt;=Tabla5[[#This Row],[INVERSIONES FCI]],+Tabla5[[#This Row],[INVERSIONES FCI]]-CW318,Tabla5[[#This Row],[INVERSIONES FCI]])</f>
        <v>69896635617.653442</v>
      </c>
      <c r="CX319" s="5">
        <f>IF($B318&lt;=Tabla5[[#This Row],[INVERSIONES FCI]],+Tabla5[[#This Row],[INVERSIONES FCI]]-CX318,Tabla5[[#This Row],[INVERSIONES FCI]])</f>
        <v>69896635617.653442</v>
      </c>
      <c r="CY319" s="5">
        <f>IF($B318&lt;=Tabla5[[#This Row],[INVERSIONES FCI]],+Tabla5[[#This Row],[INVERSIONES FCI]]-CY318,Tabla5[[#This Row],[INVERSIONES FCI]])</f>
        <v>69896635617.653442</v>
      </c>
      <c r="CZ319" s="5">
        <f>IF($B318&lt;=Tabla5[[#This Row],[INVERSIONES FCI]],+Tabla5[[#This Row],[INVERSIONES FCI]]-CZ318,Tabla5[[#This Row],[INVERSIONES FCI]])</f>
        <v>69896635617.653442</v>
      </c>
      <c r="DA319" s="5">
        <f>IF($B318&lt;=Tabla5[[#This Row],[INVERSIONES FCI]],+Tabla5[[#This Row],[INVERSIONES FCI]]-DA318,Tabla5[[#This Row],[INVERSIONES FCI]])</f>
        <v>69896635617.653442</v>
      </c>
      <c r="DB319" s="5">
        <f>IF($B318&lt;=Tabla5[[#This Row],[INVERSIONES FCI]],+Tabla5[[#This Row],[INVERSIONES FCI]]-DB318,Tabla5[[#This Row],[INVERSIONES FCI]])</f>
        <v>69896635617.653442</v>
      </c>
      <c r="DC319" s="5">
        <f>IF($B318&lt;=Tabla5[[#This Row],[INVERSIONES FCI]],+Tabla5[[#This Row],[INVERSIONES FCI]]-DC318,Tabla5[[#This Row],[INVERSIONES FCI]])</f>
        <v>69896635617.653442</v>
      </c>
      <c r="DD319" s="5">
        <f>IF($B318&lt;=Tabla5[[#This Row],[INVERSIONES FCI]],+Tabla5[[#This Row],[INVERSIONES FCI]]-DD318,Tabla5[[#This Row],[INVERSIONES FCI]])</f>
        <v>69896635617.653442</v>
      </c>
      <c r="DE319" s="5">
        <f>IF($B318&lt;=Tabla5[[#This Row],[INVERSIONES FCI]],+Tabla5[[#This Row],[INVERSIONES FCI]]-DE318,Tabla5[[#This Row],[INVERSIONES FCI]])</f>
        <v>69896635617.653442</v>
      </c>
      <c r="DF319" s="5">
        <f>IF($B318&lt;=Tabla5[[#This Row],[INVERSIONES FCI]],+Tabla5[[#This Row],[INVERSIONES FCI]]-DF318,Tabla5[[#This Row],[INVERSIONES FCI]])</f>
        <v>69896635617.653442</v>
      </c>
      <c r="DG319" s="5">
        <f>IF($B318&lt;=Tabla5[[#This Row],[INVERSIONES FCI]],+Tabla5[[#This Row],[INVERSIONES FCI]]-DG318,Tabla5[[#This Row],[INVERSIONES FCI]])</f>
        <v>69896635617.653442</v>
      </c>
      <c r="DH319" s="5">
        <f>IF($B318&lt;=Tabla5[[#This Row],[INVERSIONES FCI]],+Tabla5[[#This Row],[INVERSIONES FCI]]-DH318,Tabla5[[#This Row],[INVERSIONES FCI]])</f>
        <v>69896635617.653442</v>
      </c>
      <c r="DI319" s="5">
        <f>IF($B318&lt;=Tabla5[[#This Row],[INVERSIONES FCI]],+Tabla5[[#This Row],[INVERSIONES FCI]]-DI318,Tabla5[[#This Row],[INVERSIONES FCI]])</f>
        <v>69896635617.653442</v>
      </c>
      <c r="DJ319" s="5">
        <f>IF($B318&lt;=Tabla5[[#This Row],[INVERSIONES FCI]],+Tabla5[[#This Row],[INVERSIONES FCI]]-DJ318,Tabla5[[#This Row],[INVERSIONES FCI]])</f>
        <v>69896635617.653442</v>
      </c>
      <c r="DK319" s="5">
        <f>IF($B318&lt;=Tabla5[[#This Row],[INVERSIONES FCI]],+Tabla5[[#This Row],[INVERSIONES FCI]]-DK318,Tabla5[[#This Row],[INVERSIONES FCI]])</f>
        <v>69896635617.653442</v>
      </c>
      <c r="DL319" s="5"/>
      <c r="DM319" s="5"/>
      <c r="DN319" s="5"/>
      <c r="DO319" s="5"/>
      <c r="DP319" s="5"/>
      <c r="DQ319" s="5"/>
    </row>
    <row r="320" spans="1:121" ht="14.4">
      <c r="A320" s="12" t="s">
        <v>319</v>
      </c>
      <c r="B320" s="5">
        <f>HLOOKUP($A320,ESCENARIO[#All],7,FALSE)</f>
        <v>81023216922.456253</v>
      </c>
      <c r="C320" s="5">
        <f>IF($B319&lt;=Tabla5[[#This Row],[INVERSIONES FCI]],+Tabla5[[#This Row],[INVERSIONES FCI]]-C319,Tabla5[[#This Row],[INVERSIONES FCI]])</f>
        <v>11126581304.802811</v>
      </c>
      <c r="D320" s="5">
        <f>IF($B319&lt;=Tabla5[[#This Row],[INVERSIONES FCI]],+Tabla5[[#This Row],[INVERSIONES FCI]]-D319,Tabla5[[#This Row],[INVERSIONES FCI]])</f>
        <v>11126581304.802811</v>
      </c>
      <c r="E320" s="5">
        <f>IF($B319&lt;=Tabla5[[#This Row],[INVERSIONES FCI]],+Tabla5[[#This Row],[INVERSIONES FCI]]-E319,Tabla5[[#This Row],[INVERSIONES FCI]])</f>
        <v>11126581304.802811</v>
      </c>
      <c r="F320" s="5">
        <f>IF($B319&lt;=Tabla5[[#This Row],[INVERSIONES FCI]],+Tabla5[[#This Row],[INVERSIONES FCI]]-F319,Tabla5[[#This Row],[INVERSIONES FCI]])</f>
        <v>11126581304.802811</v>
      </c>
      <c r="G320" s="5">
        <f>IF($B319&lt;=Tabla5[[#This Row],[INVERSIONES FCI]],+Tabla5[[#This Row],[INVERSIONES FCI]]-G319,Tabla5[[#This Row],[INVERSIONES FCI]])</f>
        <v>11126581304.802811</v>
      </c>
      <c r="H320" s="5">
        <f>IF($B319&lt;=Tabla5[[#This Row],[INVERSIONES FCI]],+Tabla5[[#This Row],[INVERSIONES FCI]]-H319,Tabla5[[#This Row],[INVERSIONES FCI]])</f>
        <v>11126581304.802811</v>
      </c>
      <c r="I320" s="5">
        <f>IF($B319&lt;=Tabla5[[#This Row],[INVERSIONES FCI]],+Tabla5[[#This Row],[INVERSIONES FCI]]-I319,Tabla5[[#This Row],[INVERSIONES FCI]])</f>
        <v>11126581304.802811</v>
      </c>
      <c r="J320" s="5">
        <f>IF($B319&lt;=Tabla5[[#This Row],[INVERSIONES FCI]],+Tabla5[[#This Row],[INVERSIONES FCI]]-J319,Tabla5[[#This Row],[INVERSIONES FCI]])</f>
        <v>11126581304.802811</v>
      </c>
      <c r="K320" s="5">
        <f>IF($B319&lt;=Tabla5[[#This Row],[INVERSIONES FCI]],+Tabla5[[#This Row],[INVERSIONES FCI]]-K319,Tabla5[[#This Row],[INVERSIONES FCI]])</f>
        <v>11126581304.802811</v>
      </c>
      <c r="L320" s="5">
        <f>IF($B319&lt;=Tabla5[[#This Row],[INVERSIONES FCI]],+Tabla5[[#This Row],[INVERSIONES FCI]]-L319,Tabla5[[#This Row],[INVERSIONES FCI]])</f>
        <v>11126581304.802811</v>
      </c>
      <c r="M320" s="5">
        <f>IF($B319&lt;=Tabla5[[#This Row],[INVERSIONES FCI]],+Tabla5[[#This Row],[INVERSIONES FCI]]-M319,Tabla5[[#This Row],[INVERSIONES FCI]])</f>
        <v>11126581304.802811</v>
      </c>
      <c r="N320" s="5">
        <f>IF($B319&lt;=Tabla5[[#This Row],[INVERSIONES FCI]],+Tabla5[[#This Row],[INVERSIONES FCI]]-N319,Tabla5[[#This Row],[INVERSIONES FCI]])</f>
        <v>11126581304.802811</v>
      </c>
      <c r="O320" s="5">
        <f>IF($B319&lt;=Tabla5[[#This Row],[INVERSIONES FCI]],+Tabla5[[#This Row],[INVERSIONES FCI]]-O319,Tabla5[[#This Row],[INVERSIONES FCI]])</f>
        <v>11126581304.802811</v>
      </c>
      <c r="P320" s="5">
        <f>IF($B319&lt;=Tabla5[[#This Row],[INVERSIONES FCI]],+Tabla5[[#This Row],[INVERSIONES FCI]]-P319,Tabla5[[#This Row],[INVERSIONES FCI]])</f>
        <v>11126581304.802811</v>
      </c>
      <c r="Q320" s="5">
        <f>IF($B319&lt;=Tabla5[[#This Row],[INVERSIONES FCI]],+Tabla5[[#This Row],[INVERSIONES FCI]]-Q319,Tabla5[[#This Row],[INVERSIONES FCI]])</f>
        <v>11126581304.802811</v>
      </c>
      <c r="R320" s="5">
        <f>IF($B319&lt;=Tabla5[[#This Row],[INVERSIONES FCI]],+Tabla5[[#This Row],[INVERSIONES FCI]]-R319,Tabla5[[#This Row],[INVERSIONES FCI]])</f>
        <v>11126581304.802811</v>
      </c>
      <c r="S320" s="5">
        <f>IF($B319&lt;=Tabla5[[#This Row],[INVERSIONES FCI]],+Tabla5[[#This Row],[INVERSIONES FCI]]-S319,Tabla5[[#This Row],[INVERSIONES FCI]])</f>
        <v>11126581304.802811</v>
      </c>
      <c r="T320" s="5">
        <f>IF($B319&lt;=Tabla5[[#This Row],[INVERSIONES FCI]],+Tabla5[[#This Row],[INVERSIONES FCI]]-T319,Tabla5[[#This Row],[INVERSIONES FCI]])</f>
        <v>11126581304.802811</v>
      </c>
      <c r="U320" s="5">
        <f>IF($B319&lt;=Tabla5[[#This Row],[INVERSIONES FCI]],+Tabla5[[#This Row],[INVERSIONES FCI]]-U319,Tabla5[[#This Row],[INVERSIONES FCI]])</f>
        <v>11126581304.802811</v>
      </c>
      <c r="V320" s="5">
        <f>IF($B319&lt;=Tabla5[[#This Row],[INVERSIONES FCI]],+Tabla5[[#This Row],[INVERSIONES FCI]]-V319,Tabla5[[#This Row],[INVERSIONES FCI]])</f>
        <v>11126581304.802811</v>
      </c>
      <c r="W320" s="5">
        <f>IF($B319&lt;=Tabla5[[#This Row],[INVERSIONES FCI]],+Tabla5[[#This Row],[INVERSIONES FCI]]-W319,Tabla5[[#This Row],[INVERSIONES FCI]])</f>
        <v>11126581304.802811</v>
      </c>
      <c r="X320" s="5">
        <f>IF($B319&lt;=Tabla5[[#This Row],[INVERSIONES FCI]],+Tabla5[[#This Row],[INVERSIONES FCI]]-X319,Tabla5[[#This Row],[INVERSIONES FCI]])</f>
        <v>11126581304.802811</v>
      </c>
      <c r="Y320" s="5">
        <f>IF($B319&lt;=Tabla5[[#This Row],[INVERSIONES FCI]],+Tabla5[[#This Row],[INVERSIONES FCI]]-Y319,Tabla5[[#This Row],[INVERSIONES FCI]])</f>
        <v>11126581304.802811</v>
      </c>
      <c r="Z320" s="5">
        <f>IF($B319&lt;=Tabla5[[#This Row],[INVERSIONES FCI]],+Tabla5[[#This Row],[INVERSIONES FCI]]-Z319,Tabla5[[#This Row],[INVERSIONES FCI]])</f>
        <v>11126581304.802811</v>
      </c>
      <c r="AA320" s="5">
        <f>IF($B319&lt;=Tabla5[[#This Row],[INVERSIONES FCI]],+Tabla5[[#This Row],[INVERSIONES FCI]]-AA319,Tabla5[[#This Row],[INVERSIONES FCI]])</f>
        <v>11126581304.802811</v>
      </c>
      <c r="AB320" s="5">
        <f>IF($B319&lt;=Tabla5[[#This Row],[INVERSIONES FCI]],+Tabla5[[#This Row],[INVERSIONES FCI]]-AB319,Tabla5[[#This Row],[INVERSIONES FCI]])</f>
        <v>11126581304.802811</v>
      </c>
      <c r="AC320" s="5">
        <f>IF($B319&lt;=Tabla5[[#This Row],[INVERSIONES FCI]],+Tabla5[[#This Row],[INVERSIONES FCI]]-AC319,Tabla5[[#This Row],[INVERSIONES FCI]])</f>
        <v>11126581304.802811</v>
      </c>
      <c r="AD320" s="5">
        <f>IF($B319&lt;=Tabla5[[#This Row],[INVERSIONES FCI]],+Tabla5[[#This Row],[INVERSIONES FCI]]-AD319,Tabla5[[#This Row],[INVERSIONES FCI]])</f>
        <v>11126581304.802811</v>
      </c>
      <c r="AE320" s="5">
        <f>IF($B319&lt;=Tabla5[[#This Row],[INVERSIONES FCI]],+Tabla5[[#This Row],[INVERSIONES FCI]]-AE319,Tabla5[[#This Row],[INVERSIONES FCI]])</f>
        <v>11126581304.802811</v>
      </c>
      <c r="AF320" s="5">
        <f>IF($B319&lt;=Tabla5[[#This Row],[INVERSIONES FCI]],+Tabla5[[#This Row],[INVERSIONES FCI]]-AF319,Tabla5[[#This Row],[INVERSIONES FCI]])</f>
        <v>11126581304.802811</v>
      </c>
      <c r="AG320" s="5">
        <f>IF($B319&lt;=Tabla5[[#This Row],[INVERSIONES FCI]],+Tabla5[[#This Row],[INVERSIONES FCI]]-AG319,Tabla5[[#This Row],[INVERSIONES FCI]])</f>
        <v>11126581304.802811</v>
      </c>
      <c r="AH320" s="5">
        <f>IF($B319&lt;=Tabla5[[#This Row],[INVERSIONES FCI]],+Tabla5[[#This Row],[INVERSIONES FCI]]-AH319,Tabla5[[#This Row],[INVERSIONES FCI]])</f>
        <v>11126581304.802811</v>
      </c>
      <c r="AI320" s="5">
        <f>IF($B319&lt;=Tabla5[[#This Row],[INVERSIONES FCI]],+Tabla5[[#This Row],[INVERSIONES FCI]]-AI319,Tabla5[[#This Row],[INVERSIONES FCI]])</f>
        <v>11126581304.802811</v>
      </c>
      <c r="AJ320" s="5">
        <f>IF($B319&lt;=Tabla5[[#This Row],[INVERSIONES FCI]],+Tabla5[[#This Row],[INVERSIONES FCI]]-AJ319,Tabla5[[#This Row],[INVERSIONES FCI]])</f>
        <v>11126581304.802811</v>
      </c>
      <c r="AK320" s="5">
        <f>IF($B319&lt;=Tabla5[[#This Row],[INVERSIONES FCI]],+Tabla5[[#This Row],[INVERSIONES FCI]]-AK319,Tabla5[[#This Row],[INVERSIONES FCI]])</f>
        <v>11126581304.802811</v>
      </c>
      <c r="AL320" s="5">
        <f>IF($B319&lt;=Tabla5[[#This Row],[INVERSIONES FCI]],+Tabla5[[#This Row],[INVERSIONES FCI]]-AL319,Tabla5[[#This Row],[INVERSIONES FCI]])</f>
        <v>11126581304.802811</v>
      </c>
      <c r="AM320" s="5">
        <f>IF($B319&lt;=Tabla5[[#This Row],[INVERSIONES FCI]],+Tabla5[[#This Row],[INVERSIONES FCI]]-AM319,Tabla5[[#This Row],[INVERSIONES FCI]])</f>
        <v>11126581304.802811</v>
      </c>
      <c r="AN320" s="5">
        <f>IF($B319&lt;=Tabla5[[#This Row],[INVERSIONES FCI]],+Tabla5[[#This Row],[INVERSIONES FCI]]-AN319,Tabla5[[#This Row],[INVERSIONES FCI]])</f>
        <v>11126581304.802811</v>
      </c>
      <c r="AO320" s="5">
        <f>IF($B319&lt;=Tabla5[[#This Row],[INVERSIONES FCI]],+Tabla5[[#This Row],[INVERSIONES FCI]]-AO319,Tabla5[[#This Row],[INVERSIONES FCI]])</f>
        <v>11126581304.802811</v>
      </c>
      <c r="AP320" s="5">
        <f>IF($B319&lt;=Tabla5[[#This Row],[INVERSIONES FCI]],+Tabla5[[#This Row],[INVERSIONES FCI]]-AP319,Tabla5[[#This Row],[INVERSIONES FCI]])</f>
        <v>11126581304.802811</v>
      </c>
      <c r="AQ320" s="5">
        <f>IF($B319&lt;=Tabla5[[#This Row],[INVERSIONES FCI]],+Tabla5[[#This Row],[INVERSIONES FCI]]-AQ319,Tabla5[[#This Row],[INVERSIONES FCI]])</f>
        <v>11126581304.802811</v>
      </c>
      <c r="AR320" s="5">
        <f>IF($B319&lt;=Tabla5[[#This Row],[INVERSIONES FCI]],+Tabla5[[#This Row],[INVERSIONES FCI]]-AR319,Tabla5[[#This Row],[INVERSIONES FCI]])</f>
        <v>11126581304.802811</v>
      </c>
      <c r="AS320" s="5">
        <f>IF($B319&lt;=Tabla5[[#This Row],[INVERSIONES FCI]],+Tabla5[[#This Row],[INVERSIONES FCI]]-AS319,Tabla5[[#This Row],[INVERSIONES FCI]])</f>
        <v>11126581304.802811</v>
      </c>
      <c r="AT320" s="5">
        <f>IF($B319&lt;=Tabla5[[#This Row],[INVERSIONES FCI]],+Tabla5[[#This Row],[INVERSIONES FCI]]-AT319,Tabla5[[#This Row],[INVERSIONES FCI]])</f>
        <v>11126581304.802811</v>
      </c>
      <c r="AU320" s="5">
        <f>IF($B319&lt;=Tabla5[[#This Row],[INVERSIONES FCI]],+Tabla5[[#This Row],[INVERSIONES FCI]]-AU319,Tabla5[[#This Row],[INVERSIONES FCI]])</f>
        <v>11126581304.802811</v>
      </c>
      <c r="AV320" s="5">
        <f>IF($B319&lt;=Tabla5[[#This Row],[INVERSIONES FCI]],+Tabla5[[#This Row],[INVERSIONES FCI]]-AV319,Tabla5[[#This Row],[INVERSIONES FCI]])</f>
        <v>11126581304.802811</v>
      </c>
      <c r="AW320" s="5">
        <f>IF($B319&lt;=Tabla5[[#This Row],[INVERSIONES FCI]],+Tabla5[[#This Row],[INVERSIONES FCI]]-AW319,Tabla5[[#This Row],[INVERSIONES FCI]])</f>
        <v>11126581304.802811</v>
      </c>
      <c r="AX320" s="5">
        <f>IF($B319&lt;=Tabla5[[#This Row],[INVERSIONES FCI]],+Tabla5[[#This Row],[INVERSIONES FCI]]-AX319,Tabla5[[#This Row],[INVERSIONES FCI]])</f>
        <v>11126581304.802811</v>
      </c>
      <c r="AY320" s="5">
        <f>IF($B319&lt;=Tabla5[[#This Row],[INVERSIONES FCI]],+Tabla5[[#This Row],[INVERSIONES FCI]]-AY319,Tabla5[[#This Row],[INVERSIONES FCI]])</f>
        <v>11126581304.802811</v>
      </c>
      <c r="AZ320" s="5">
        <f>IF($B319&lt;=Tabla5[[#This Row],[INVERSIONES FCI]],+Tabla5[[#This Row],[INVERSIONES FCI]]-AZ319,Tabla5[[#This Row],[INVERSIONES FCI]])</f>
        <v>11126581304.802811</v>
      </c>
      <c r="BA320" s="5">
        <f>IF($B319&lt;=Tabla5[[#This Row],[INVERSIONES FCI]],+Tabla5[[#This Row],[INVERSIONES FCI]]-BA319,Tabla5[[#This Row],[INVERSIONES FCI]])</f>
        <v>11126581304.802811</v>
      </c>
      <c r="BB320" s="5">
        <f>IF($B319&lt;=Tabla5[[#This Row],[INVERSIONES FCI]],+Tabla5[[#This Row],[INVERSIONES FCI]]-BB319,Tabla5[[#This Row],[INVERSIONES FCI]])</f>
        <v>11126581304.802811</v>
      </c>
      <c r="BC320" s="5">
        <f>IF($B319&lt;=Tabla5[[#This Row],[INVERSIONES FCI]],+Tabla5[[#This Row],[INVERSIONES FCI]]-BC319,Tabla5[[#This Row],[INVERSIONES FCI]])</f>
        <v>11126581304.802811</v>
      </c>
      <c r="BD320" s="5">
        <f>IF($B319&lt;=Tabla5[[#This Row],[INVERSIONES FCI]],+Tabla5[[#This Row],[INVERSIONES FCI]]-BD319,Tabla5[[#This Row],[INVERSIONES FCI]])</f>
        <v>11126581304.802811</v>
      </c>
      <c r="BE320" s="5">
        <f>IF($B319&lt;=Tabla5[[#This Row],[INVERSIONES FCI]],+Tabla5[[#This Row],[INVERSIONES FCI]]-BE319,Tabla5[[#This Row],[INVERSIONES FCI]])</f>
        <v>11126581304.802811</v>
      </c>
      <c r="BF320" s="5">
        <f>IF($B319&lt;=Tabla5[[#This Row],[INVERSIONES FCI]],+Tabla5[[#This Row],[INVERSIONES FCI]]-BF319,Tabla5[[#This Row],[INVERSIONES FCI]])</f>
        <v>11126581304.802811</v>
      </c>
      <c r="BG320" s="5">
        <f>IF($B319&lt;=Tabla5[[#This Row],[INVERSIONES FCI]],+Tabla5[[#This Row],[INVERSIONES FCI]]-BG319,Tabla5[[#This Row],[INVERSIONES FCI]])</f>
        <v>11126581304.802811</v>
      </c>
      <c r="BH320" s="5">
        <f>IF($B319&lt;=Tabla5[[#This Row],[INVERSIONES FCI]],+Tabla5[[#This Row],[INVERSIONES FCI]]-BH319,Tabla5[[#This Row],[INVERSIONES FCI]])</f>
        <v>11126581304.802811</v>
      </c>
      <c r="BI320" s="5">
        <f>IF($B319&lt;=Tabla5[[#This Row],[INVERSIONES FCI]],+Tabla5[[#This Row],[INVERSIONES FCI]]-BI319,Tabla5[[#This Row],[INVERSIONES FCI]])</f>
        <v>11126581304.802811</v>
      </c>
      <c r="BJ320" s="5">
        <f>IF($B319&lt;=Tabla5[[#This Row],[INVERSIONES FCI]],+Tabla5[[#This Row],[INVERSIONES FCI]]-BJ319,Tabla5[[#This Row],[INVERSIONES FCI]])</f>
        <v>11126581304.802811</v>
      </c>
      <c r="BK320" s="5">
        <f>IF($B319&lt;=Tabla5[[#This Row],[INVERSIONES FCI]],+Tabla5[[#This Row],[INVERSIONES FCI]]-BK319,Tabla5[[#This Row],[INVERSIONES FCI]])</f>
        <v>11126581304.802811</v>
      </c>
      <c r="BL320" s="5">
        <f>IF($B319&lt;=Tabla5[[#This Row],[INVERSIONES FCI]],+Tabla5[[#This Row],[INVERSIONES FCI]]-BL319,Tabla5[[#This Row],[INVERSIONES FCI]])</f>
        <v>11126581304.802811</v>
      </c>
      <c r="BM320" s="5">
        <f>IF($B319&lt;=Tabla5[[#This Row],[INVERSIONES FCI]],+Tabla5[[#This Row],[INVERSIONES FCI]]-BM319,Tabla5[[#This Row],[INVERSIONES FCI]])</f>
        <v>11126581304.802811</v>
      </c>
      <c r="BN320" s="5">
        <f>IF($B319&lt;=Tabla5[[#This Row],[INVERSIONES FCI]],+Tabla5[[#This Row],[INVERSIONES FCI]]-BN319,Tabla5[[#This Row],[INVERSIONES FCI]])</f>
        <v>11126581304.802811</v>
      </c>
      <c r="BO320" s="5">
        <f>IF($B319&lt;=Tabla5[[#This Row],[INVERSIONES FCI]],+Tabla5[[#This Row],[INVERSIONES FCI]]-BO319,Tabla5[[#This Row],[INVERSIONES FCI]])</f>
        <v>11126581304.802811</v>
      </c>
      <c r="BP320" s="5">
        <f>IF($B319&lt;=Tabla5[[#This Row],[INVERSIONES FCI]],+Tabla5[[#This Row],[INVERSIONES FCI]]-BP319,Tabla5[[#This Row],[INVERSIONES FCI]])</f>
        <v>11126581304.802811</v>
      </c>
      <c r="BQ320" s="5">
        <f>IF($B319&lt;=Tabla5[[#This Row],[INVERSIONES FCI]],+Tabla5[[#This Row],[INVERSIONES FCI]]-BQ319,Tabla5[[#This Row],[INVERSIONES FCI]])</f>
        <v>11126581304.802811</v>
      </c>
      <c r="BR320" s="5">
        <f>IF($B319&lt;=Tabla5[[#This Row],[INVERSIONES FCI]],+Tabla5[[#This Row],[INVERSIONES FCI]]-BR319,Tabla5[[#This Row],[INVERSIONES FCI]])</f>
        <v>11126581304.802811</v>
      </c>
      <c r="BS320" s="5">
        <f>IF($B319&lt;=Tabla5[[#This Row],[INVERSIONES FCI]],+Tabla5[[#This Row],[INVERSIONES FCI]]-BS319,Tabla5[[#This Row],[INVERSIONES FCI]])</f>
        <v>11126581304.802811</v>
      </c>
      <c r="BT320" s="5">
        <f>IF($B319&lt;=Tabla5[[#This Row],[INVERSIONES FCI]],+Tabla5[[#This Row],[INVERSIONES FCI]]-BT319,Tabla5[[#This Row],[INVERSIONES FCI]])</f>
        <v>11126581304.802811</v>
      </c>
      <c r="BU320" s="5">
        <f>IF($B319&lt;=Tabla5[[#This Row],[INVERSIONES FCI]],+Tabla5[[#This Row],[INVERSIONES FCI]]-BU319,Tabla5[[#This Row],[INVERSIONES FCI]])</f>
        <v>11126581304.802811</v>
      </c>
      <c r="BV320" s="5">
        <f>IF($B319&lt;=Tabla5[[#This Row],[INVERSIONES FCI]],+Tabla5[[#This Row],[INVERSIONES FCI]]-BV319,Tabla5[[#This Row],[INVERSIONES FCI]])</f>
        <v>11126581304.802811</v>
      </c>
      <c r="BW320" s="5">
        <f>IF($B319&lt;=Tabla5[[#This Row],[INVERSIONES FCI]],+Tabla5[[#This Row],[INVERSIONES FCI]]-BW319,Tabla5[[#This Row],[INVERSIONES FCI]])</f>
        <v>11126581304.802811</v>
      </c>
      <c r="BX320" s="5">
        <f>IF($B319&lt;=Tabla5[[#This Row],[INVERSIONES FCI]],+Tabla5[[#This Row],[INVERSIONES FCI]]-BX319,Tabla5[[#This Row],[INVERSIONES FCI]])</f>
        <v>11126581304.802811</v>
      </c>
      <c r="BY320" s="5">
        <f>IF($B319&lt;=Tabla5[[#This Row],[INVERSIONES FCI]],+Tabla5[[#This Row],[INVERSIONES FCI]]-BY319,Tabla5[[#This Row],[INVERSIONES FCI]])</f>
        <v>11126581304.802811</v>
      </c>
      <c r="BZ320" s="5">
        <f>IF($B319&lt;=Tabla5[[#This Row],[INVERSIONES FCI]],+Tabla5[[#This Row],[INVERSIONES FCI]]-BZ319,Tabla5[[#This Row],[INVERSIONES FCI]])</f>
        <v>11126581304.802811</v>
      </c>
      <c r="CA320" s="5">
        <f>IF($B319&lt;=Tabla5[[#This Row],[INVERSIONES FCI]],+Tabla5[[#This Row],[INVERSIONES FCI]]-CA319,Tabla5[[#This Row],[INVERSIONES FCI]])</f>
        <v>11126581304.802811</v>
      </c>
      <c r="CB320" s="5">
        <f>IF($B319&lt;=Tabla5[[#This Row],[INVERSIONES FCI]],+Tabla5[[#This Row],[INVERSIONES FCI]]-CB319,Tabla5[[#This Row],[INVERSIONES FCI]])</f>
        <v>11126581304.802811</v>
      </c>
      <c r="CC320" s="5">
        <f>IF($B319&lt;=Tabla5[[#This Row],[INVERSIONES FCI]],+Tabla5[[#This Row],[INVERSIONES FCI]]-CC319,Tabla5[[#This Row],[INVERSIONES FCI]])</f>
        <v>11126581304.802811</v>
      </c>
      <c r="CD320" s="5">
        <f>IF($B319&lt;=Tabla5[[#This Row],[INVERSIONES FCI]],+Tabla5[[#This Row],[INVERSIONES FCI]]-CD319,Tabla5[[#This Row],[INVERSIONES FCI]])</f>
        <v>11126581304.802811</v>
      </c>
      <c r="CE320" s="5">
        <f>IF($B319&lt;=Tabla5[[#This Row],[INVERSIONES FCI]],+Tabla5[[#This Row],[INVERSIONES FCI]]-CE319,Tabla5[[#This Row],[INVERSIONES FCI]])</f>
        <v>11126581304.802811</v>
      </c>
      <c r="CF320" s="5">
        <f>IF($B319&lt;=Tabla5[[#This Row],[INVERSIONES FCI]],+Tabla5[[#This Row],[INVERSIONES FCI]]-CF319,Tabla5[[#This Row],[INVERSIONES FCI]])</f>
        <v>11126581304.802811</v>
      </c>
      <c r="CG320" s="5">
        <f>IF($B319&lt;=Tabla5[[#This Row],[INVERSIONES FCI]],+Tabla5[[#This Row],[INVERSIONES FCI]]-CG319,Tabla5[[#This Row],[INVERSIONES FCI]])</f>
        <v>11126581304.802811</v>
      </c>
      <c r="CH320" s="5">
        <f>IF($B319&lt;=Tabla5[[#This Row],[INVERSIONES FCI]],+Tabla5[[#This Row],[INVERSIONES FCI]]-CH319,Tabla5[[#This Row],[INVERSIONES FCI]])</f>
        <v>11126581304.802811</v>
      </c>
      <c r="CI320" s="5">
        <f>IF($B319&lt;=Tabla5[[#This Row],[INVERSIONES FCI]],+Tabla5[[#This Row],[INVERSIONES FCI]]-CI319,Tabla5[[#This Row],[INVERSIONES FCI]])</f>
        <v>11126581304.802811</v>
      </c>
      <c r="CJ320" s="5">
        <f>IF($B319&lt;=Tabla5[[#This Row],[INVERSIONES FCI]],+Tabla5[[#This Row],[INVERSIONES FCI]]-CJ319,Tabla5[[#This Row],[INVERSIONES FCI]])</f>
        <v>11126581304.802811</v>
      </c>
      <c r="CK320" s="5">
        <f>IF($B319&lt;=Tabla5[[#This Row],[INVERSIONES FCI]],+Tabla5[[#This Row],[INVERSIONES FCI]]-CK319,Tabla5[[#This Row],[INVERSIONES FCI]])</f>
        <v>11126581304.802811</v>
      </c>
      <c r="CL320" s="5">
        <f>IF($B319&lt;=Tabla5[[#This Row],[INVERSIONES FCI]],+Tabla5[[#This Row],[INVERSIONES FCI]]-CL319,Tabla5[[#This Row],[INVERSIONES FCI]])</f>
        <v>11126581304.802811</v>
      </c>
      <c r="CM320" s="5">
        <f>IF($B319&lt;=Tabla5[[#This Row],[INVERSIONES FCI]],+Tabla5[[#This Row],[INVERSIONES FCI]]-CM319,Tabla5[[#This Row],[INVERSIONES FCI]])</f>
        <v>11126581304.802811</v>
      </c>
      <c r="CN320" s="5">
        <f>IF($B319&lt;=Tabla5[[#This Row],[INVERSIONES FCI]],+Tabla5[[#This Row],[INVERSIONES FCI]]-CN319,Tabla5[[#This Row],[INVERSIONES FCI]])</f>
        <v>11126581304.802811</v>
      </c>
      <c r="CO320" s="5">
        <f>IF($B319&lt;=Tabla5[[#This Row],[INVERSIONES FCI]],+Tabla5[[#This Row],[INVERSIONES FCI]]-CO319,Tabla5[[#This Row],[INVERSIONES FCI]])</f>
        <v>11126581304.802811</v>
      </c>
      <c r="CP320" s="5">
        <f>IF($B319&lt;=Tabla5[[#This Row],[INVERSIONES FCI]],+Tabla5[[#This Row],[INVERSIONES FCI]]-CP319,Tabla5[[#This Row],[INVERSIONES FCI]])</f>
        <v>11126581304.802811</v>
      </c>
      <c r="CQ320" s="5">
        <f>IF($B319&lt;=Tabla5[[#This Row],[INVERSIONES FCI]],+Tabla5[[#This Row],[INVERSIONES FCI]]-CQ319,Tabla5[[#This Row],[INVERSIONES FCI]])</f>
        <v>11126581304.802811</v>
      </c>
      <c r="CR320" s="5">
        <f>IF($B319&lt;=Tabla5[[#This Row],[INVERSIONES FCI]],+Tabla5[[#This Row],[INVERSIONES FCI]]-CR319,Tabla5[[#This Row],[INVERSIONES FCI]])</f>
        <v>11126581304.802811</v>
      </c>
      <c r="CS320" s="5">
        <f>IF($B319&lt;=Tabla5[[#This Row],[INVERSIONES FCI]],+Tabla5[[#This Row],[INVERSIONES FCI]]-CS319,Tabla5[[#This Row],[INVERSIONES FCI]])</f>
        <v>11126581304.802811</v>
      </c>
      <c r="CT320" s="5">
        <f>IF($B319&lt;=Tabla5[[#This Row],[INVERSIONES FCI]],+Tabla5[[#This Row],[INVERSIONES FCI]]-CT319,Tabla5[[#This Row],[INVERSIONES FCI]])</f>
        <v>11126581304.802811</v>
      </c>
      <c r="CU320" s="5">
        <f>IF($B319&lt;=Tabla5[[#This Row],[INVERSIONES FCI]],+Tabla5[[#This Row],[INVERSIONES FCI]]-CU319,Tabla5[[#This Row],[INVERSIONES FCI]])</f>
        <v>11126581304.802811</v>
      </c>
      <c r="CV320" s="5">
        <f>IF($B319&lt;=Tabla5[[#This Row],[INVERSIONES FCI]],+Tabla5[[#This Row],[INVERSIONES FCI]]-CV319,Tabla5[[#This Row],[INVERSIONES FCI]])</f>
        <v>11126581304.802811</v>
      </c>
      <c r="CW320" s="5">
        <f>IF($B319&lt;=Tabla5[[#This Row],[INVERSIONES FCI]],+Tabla5[[#This Row],[INVERSIONES FCI]]-CW319,Tabla5[[#This Row],[INVERSIONES FCI]])</f>
        <v>11126581304.802811</v>
      </c>
      <c r="CX320" s="5">
        <f>IF($B319&lt;=Tabla5[[#This Row],[INVERSIONES FCI]],+Tabla5[[#This Row],[INVERSIONES FCI]]-CX319,Tabla5[[#This Row],[INVERSIONES FCI]])</f>
        <v>11126581304.802811</v>
      </c>
      <c r="CY320" s="5">
        <f>IF($B319&lt;=Tabla5[[#This Row],[INVERSIONES FCI]],+Tabla5[[#This Row],[INVERSIONES FCI]]-CY319,Tabla5[[#This Row],[INVERSIONES FCI]])</f>
        <v>11126581304.802811</v>
      </c>
      <c r="CZ320" s="5">
        <f>IF($B319&lt;=Tabla5[[#This Row],[INVERSIONES FCI]],+Tabla5[[#This Row],[INVERSIONES FCI]]-CZ319,Tabla5[[#This Row],[INVERSIONES FCI]])</f>
        <v>11126581304.802811</v>
      </c>
      <c r="DA320" s="5">
        <f>IF($B319&lt;=Tabla5[[#This Row],[INVERSIONES FCI]],+Tabla5[[#This Row],[INVERSIONES FCI]]-DA319,Tabla5[[#This Row],[INVERSIONES FCI]])</f>
        <v>11126581304.802811</v>
      </c>
      <c r="DB320" s="5">
        <f>IF($B319&lt;=Tabla5[[#This Row],[INVERSIONES FCI]],+Tabla5[[#This Row],[INVERSIONES FCI]]-DB319,Tabla5[[#This Row],[INVERSIONES FCI]])</f>
        <v>11126581304.802811</v>
      </c>
      <c r="DC320" s="5">
        <f>IF($B319&lt;=Tabla5[[#This Row],[INVERSIONES FCI]],+Tabla5[[#This Row],[INVERSIONES FCI]]-DC319,Tabla5[[#This Row],[INVERSIONES FCI]])</f>
        <v>11126581304.802811</v>
      </c>
      <c r="DD320" s="5">
        <f>IF($B319&lt;=Tabla5[[#This Row],[INVERSIONES FCI]],+Tabla5[[#This Row],[INVERSIONES FCI]]-DD319,Tabla5[[#This Row],[INVERSIONES FCI]])</f>
        <v>11126581304.802811</v>
      </c>
      <c r="DE320" s="5">
        <f>IF($B319&lt;=Tabla5[[#This Row],[INVERSIONES FCI]],+Tabla5[[#This Row],[INVERSIONES FCI]]-DE319,Tabla5[[#This Row],[INVERSIONES FCI]])</f>
        <v>11126581304.802811</v>
      </c>
      <c r="DF320" s="5">
        <f>IF($B319&lt;=Tabla5[[#This Row],[INVERSIONES FCI]],+Tabla5[[#This Row],[INVERSIONES FCI]]-DF319,Tabla5[[#This Row],[INVERSIONES FCI]])</f>
        <v>11126581304.802811</v>
      </c>
      <c r="DG320" s="5">
        <f>IF($B319&lt;=Tabla5[[#This Row],[INVERSIONES FCI]],+Tabla5[[#This Row],[INVERSIONES FCI]]-DG319,Tabla5[[#This Row],[INVERSIONES FCI]])</f>
        <v>11126581304.802811</v>
      </c>
      <c r="DH320" s="5">
        <f>IF($B319&lt;=Tabla5[[#This Row],[INVERSIONES FCI]],+Tabla5[[#This Row],[INVERSIONES FCI]]-DH319,Tabla5[[#This Row],[INVERSIONES FCI]])</f>
        <v>11126581304.802811</v>
      </c>
      <c r="DI320" s="5">
        <f>IF($B319&lt;=Tabla5[[#This Row],[INVERSIONES FCI]],+Tabla5[[#This Row],[INVERSIONES FCI]]-DI319,Tabla5[[#This Row],[INVERSIONES FCI]])</f>
        <v>11126581304.802811</v>
      </c>
      <c r="DJ320" s="5">
        <f>IF($B319&lt;=Tabla5[[#This Row],[INVERSIONES FCI]],+Tabla5[[#This Row],[INVERSIONES FCI]]-DJ319,Tabla5[[#This Row],[INVERSIONES FCI]])</f>
        <v>11126581304.802811</v>
      </c>
      <c r="DK320" s="5">
        <f>IF($B319&lt;=Tabla5[[#This Row],[INVERSIONES FCI]],+Tabla5[[#This Row],[INVERSIONES FCI]]-DK319,Tabla5[[#This Row],[INVERSIONES FCI]])</f>
        <v>11126581304.802811</v>
      </c>
      <c r="DL320" s="5"/>
      <c r="DM320" s="5"/>
      <c r="DN320" s="5"/>
      <c r="DO320" s="5"/>
      <c r="DP320" s="5"/>
      <c r="DQ320" s="5"/>
    </row>
    <row r="321" spans="1:121" ht="14.4">
      <c r="A321" s="12" t="s">
        <v>320</v>
      </c>
      <c r="B321" s="5">
        <f>HLOOKUP($A321,ESCENARIO[#All],7,FALSE)</f>
        <v>84294396843.461792</v>
      </c>
      <c r="C321" s="5">
        <f>IF($B320&lt;=Tabla5[[#This Row],[INVERSIONES FCI]],+Tabla5[[#This Row],[INVERSIONES FCI]]-C320,Tabla5[[#This Row],[INVERSIONES FCI]])</f>
        <v>73167815538.658981</v>
      </c>
      <c r="D321" s="5">
        <f>IF($B320&lt;=Tabla5[[#This Row],[INVERSIONES FCI]],+Tabla5[[#This Row],[INVERSIONES FCI]]-D320,Tabla5[[#This Row],[INVERSIONES FCI]])</f>
        <v>73167815538.658981</v>
      </c>
      <c r="E321" s="5">
        <f>IF($B320&lt;=Tabla5[[#This Row],[INVERSIONES FCI]],+Tabla5[[#This Row],[INVERSIONES FCI]]-E320,Tabla5[[#This Row],[INVERSIONES FCI]])</f>
        <v>73167815538.658981</v>
      </c>
      <c r="F321" s="5">
        <f>IF($B320&lt;=Tabla5[[#This Row],[INVERSIONES FCI]],+Tabla5[[#This Row],[INVERSIONES FCI]]-F320,Tabla5[[#This Row],[INVERSIONES FCI]])</f>
        <v>73167815538.658981</v>
      </c>
      <c r="G321" s="5">
        <f>IF($B320&lt;=Tabla5[[#This Row],[INVERSIONES FCI]],+Tabla5[[#This Row],[INVERSIONES FCI]]-G320,Tabla5[[#This Row],[INVERSIONES FCI]])</f>
        <v>73167815538.658981</v>
      </c>
      <c r="H321" s="5">
        <f>IF($B320&lt;=Tabla5[[#This Row],[INVERSIONES FCI]],+Tabla5[[#This Row],[INVERSIONES FCI]]-H320,Tabla5[[#This Row],[INVERSIONES FCI]])</f>
        <v>73167815538.658981</v>
      </c>
      <c r="I321" s="5">
        <f>IF($B320&lt;=Tabla5[[#This Row],[INVERSIONES FCI]],+Tabla5[[#This Row],[INVERSIONES FCI]]-I320,Tabla5[[#This Row],[INVERSIONES FCI]])</f>
        <v>73167815538.658981</v>
      </c>
      <c r="J321" s="5">
        <f>IF($B320&lt;=Tabla5[[#This Row],[INVERSIONES FCI]],+Tabla5[[#This Row],[INVERSIONES FCI]]-J320,Tabla5[[#This Row],[INVERSIONES FCI]])</f>
        <v>73167815538.658981</v>
      </c>
      <c r="K321" s="5">
        <f>IF($B320&lt;=Tabla5[[#This Row],[INVERSIONES FCI]],+Tabla5[[#This Row],[INVERSIONES FCI]]-K320,Tabla5[[#This Row],[INVERSIONES FCI]])</f>
        <v>73167815538.658981</v>
      </c>
      <c r="L321" s="5">
        <f>IF($B320&lt;=Tabla5[[#This Row],[INVERSIONES FCI]],+Tabla5[[#This Row],[INVERSIONES FCI]]-L320,Tabla5[[#This Row],[INVERSIONES FCI]])</f>
        <v>73167815538.658981</v>
      </c>
      <c r="M321" s="5">
        <f>IF($B320&lt;=Tabla5[[#This Row],[INVERSIONES FCI]],+Tabla5[[#This Row],[INVERSIONES FCI]]-M320,Tabla5[[#This Row],[INVERSIONES FCI]])</f>
        <v>73167815538.658981</v>
      </c>
      <c r="N321" s="5">
        <f>IF($B320&lt;=Tabla5[[#This Row],[INVERSIONES FCI]],+Tabla5[[#This Row],[INVERSIONES FCI]]-N320,Tabla5[[#This Row],[INVERSIONES FCI]])</f>
        <v>73167815538.658981</v>
      </c>
      <c r="O321" s="5">
        <f>IF($B320&lt;=Tabla5[[#This Row],[INVERSIONES FCI]],+Tabla5[[#This Row],[INVERSIONES FCI]]-O320,Tabla5[[#This Row],[INVERSIONES FCI]])</f>
        <v>73167815538.658981</v>
      </c>
      <c r="P321" s="5">
        <f>IF($B320&lt;=Tabla5[[#This Row],[INVERSIONES FCI]],+Tabla5[[#This Row],[INVERSIONES FCI]]-P320,Tabla5[[#This Row],[INVERSIONES FCI]])</f>
        <v>73167815538.658981</v>
      </c>
      <c r="Q321" s="5">
        <f>IF($B320&lt;=Tabla5[[#This Row],[INVERSIONES FCI]],+Tabla5[[#This Row],[INVERSIONES FCI]]-Q320,Tabla5[[#This Row],[INVERSIONES FCI]])</f>
        <v>73167815538.658981</v>
      </c>
      <c r="R321" s="5">
        <f>IF($B320&lt;=Tabla5[[#This Row],[INVERSIONES FCI]],+Tabla5[[#This Row],[INVERSIONES FCI]]-R320,Tabla5[[#This Row],[INVERSIONES FCI]])</f>
        <v>73167815538.658981</v>
      </c>
      <c r="S321" s="5">
        <f>IF($B320&lt;=Tabla5[[#This Row],[INVERSIONES FCI]],+Tabla5[[#This Row],[INVERSIONES FCI]]-S320,Tabla5[[#This Row],[INVERSIONES FCI]])</f>
        <v>73167815538.658981</v>
      </c>
      <c r="T321" s="5">
        <f>IF($B320&lt;=Tabla5[[#This Row],[INVERSIONES FCI]],+Tabla5[[#This Row],[INVERSIONES FCI]]-T320,Tabla5[[#This Row],[INVERSIONES FCI]])</f>
        <v>73167815538.658981</v>
      </c>
      <c r="U321" s="5">
        <f>IF($B320&lt;=Tabla5[[#This Row],[INVERSIONES FCI]],+Tabla5[[#This Row],[INVERSIONES FCI]]-U320,Tabla5[[#This Row],[INVERSIONES FCI]])</f>
        <v>73167815538.658981</v>
      </c>
      <c r="V321" s="5">
        <f>IF($B320&lt;=Tabla5[[#This Row],[INVERSIONES FCI]],+Tabla5[[#This Row],[INVERSIONES FCI]]-V320,Tabla5[[#This Row],[INVERSIONES FCI]])</f>
        <v>73167815538.658981</v>
      </c>
      <c r="W321" s="5">
        <f>IF($B320&lt;=Tabla5[[#This Row],[INVERSIONES FCI]],+Tabla5[[#This Row],[INVERSIONES FCI]]-W320,Tabla5[[#This Row],[INVERSIONES FCI]])</f>
        <v>73167815538.658981</v>
      </c>
      <c r="X321" s="5">
        <f>IF($B320&lt;=Tabla5[[#This Row],[INVERSIONES FCI]],+Tabla5[[#This Row],[INVERSIONES FCI]]-X320,Tabla5[[#This Row],[INVERSIONES FCI]])</f>
        <v>73167815538.658981</v>
      </c>
      <c r="Y321" s="5">
        <f>IF($B320&lt;=Tabla5[[#This Row],[INVERSIONES FCI]],+Tabla5[[#This Row],[INVERSIONES FCI]]-Y320,Tabla5[[#This Row],[INVERSIONES FCI]])</f>
        <v>73167815538.658981</v>
      </c>
      <c r="Z321" s="5">
        <f>IF($B320&lt;=Tabla5[[#This Row],[INVERSIONES FCI]],+Tabla5[[#This Row],[INVERSIONES FCI]]-Z320,Tabla5[[#This Row],[INVERSIONES FCI]])</f>
        <v>73167815538.658981</v>
      </c>
      <c r="AA321" s="5">
        <f>IF($B320&lt;=Tabla5[[#This Row],[INVERSIONES FCI]],+Tabla5[[#This Row],[INVERSIONES FCI]]-AA320,Tabla5[[#This Row],[INVERSIONES FCI]])</f>
        <v>73167815538.658981</v>
      </c>
      <c r="AB321" s="5">
        <f>IF($B320&lt;=Tabla5[[#This Row],[INVERSIONES FCI]],+Tabla5[[#This Row],[INVERSIONES FCI]]-AB320,Tabla5[[#This Row],[INVERSIONES FCI]])</f>
        <v>73167815538.658981</v>
      </c>
      <c r="AC321" s="5">
        <f>IF($B320&lt;=Tabla5[[#This Row],[INVERSIONES FCI]],+Tabla5[[#This Row],[INVERSIONES FCI]]-AC320,Tabla5[[#This Row],[INVERSIONES FCI]])</f>
        <v>73167815538.658981</v>
      </c>
      <c r="AD321" s="5">
        <f>IF($B320&lt;=Tabla5[[#This Row],[INVERSIONES FCI]],+Tabla5[[#This Row],[INVERSIONES FCI]]-AD320,Tabla5[[#This Row],[INVERSIONES FCI]])</f>
        <v>73167815538.658981</v>
      </c>
      <c r="AE321" s="5">
        <f>IF($B320&lt;=Tabla5[[#This Row],[INVERSIONES FCI]],+Tabla5[[#This Row],[INVERSIONES FCI]]-AE320,Tabla5[[#This Row],[INVERSIONES FCI]])</f>
        <v>73167815538.658981</v>
      </c>
      <c r="AF321" s="5">
        <f>IF($B320&lt;=Tabla5[[#This Row],[INVERSIONES FCI]],+Tabla5[[#This Row],[INVERSIONES FCI]]-AF320,Tabla5[[#This Row],[INVERSIONES FCI]])</f>
        <v>73167815538.658981</v>
      </c>
      <c r="AG321" s="5">
        <f>IF($B320&lt;=Tabla5[[#This Row],[INVERSIONES FCI]],+Tabla5[[#This Row],[INVERSIONES FCI]]-AG320,Tabla5[[#This Row],[INVERSIONES FCI]])</f>
        <v>73167815538.658981</v>
      </c>
      <c r="AH321" s="5">
        <f>IF($B320&lt;=Tabla5[[#This Row],[INVERSIONES FCI]],+Tabla5[[#This Row],[INVERSIONES FCI]]-AH320,Tabla5[[#This Row],[INVERSIONES FCI]])</f>
        <v>73167815538.658981</v>
      </c>
      <c r="AI321" s="5">
        <f>IF($B320&lt;=Tabla5[[#This Row],[INVERSIONES FCI]],+Tabla5[[#This Row],[INVERSIONES FCI]]-AI320,Tabla5[[#This Row],[INVERSIONES FCI]])</f>
        <v>73167815538.658981</v>
      </c>
      <c r="AJ321" s="5">
        <f>IF($B320&lt;=Tabla5[[#This Row],[INVERSIONES FCI]],+Tabla5[[#This Row],[INVERSIONES FCI]]-AJ320,Tabla5[[#This Row],[INVERSIONES FCI]])</f>
        <v>73167815538.658981</v>
      </c>
      <c r="AK321" s="5">
        <f>IF($B320&lt;=Tabla5[[#This Row],[INVERSIONES FCI]],+Tabla5[[#This Row],[INVERSIONES FCI]]-AK320,Tabla5[[#This Row],[INVERSIONES FCI]])</f>
        <v>73167815538.658981</v>
      </c>
      <c r="AL321" s="5">
        <f>IF($B320&lt;=Tabla5[[#This Row],[INVERSIONES FCI]],+Tabla5[[#This Row],[INVERSIONES FCI]]-AL320,Tabla5[[#This Row],[INVERSIONES FCI]])</f>
        <v>73167815538.658981</v>
      </c>
      <c r="AM321" s="5">
        <f>IF($B320&lt;=Tabla5[[#This Row],[INVERSIONES FCI]],+Tabla5[[#This Row],[INVERSIONES FCI]]-AM320,Tabla5[[#This Row],[INVERSIONES FCI]])</f>
        <v>73167815538.658981</v>
      </c>
      <c r="AN321" s="5">
        <f>IF($B320&lt;=Tabla5[[#This Row],[INVERSIONES FCI]],+Tabla5[[#This Row],[INVERSIONES FCI]]-AN320,Tabla5[[#This Row],[INVERSIONES FCI]])</f>
        <v>73167815538.658981</v>
      </c>
      <c r="AO321" s="5">
        <f>IF($B320&lt;=Tabla5[[#This Row],[INVERSIONES FCI]],+Tabla5[[#This Row],[INVERSIONES FCI]]-AO320,Tabla5[[#This Row],[INVERSIONES FCI]])</f>
        <v>73167815538.658981</v>
      </c>
      <c r="AP321" s="5">
        <f>IF($B320&lt;=Tabla5[[#This Row],[INVERSIONES FCI]],+Tabla5[[#This Row],[INVERSIONES FCI]]-AP320,Tabla5[[#This Row],[INVERSIONES FCI]])</f>
        <v>73167815538.658981</v>
      </c>
      <c r="AQ321" s="5">
        <f>IF($B320&lt;=Tabla5[[#This Row],[INVERSIONES FCI]],+Tabla5[[#This Row],[INVERSIONES FCI]]-AQ320,Tabla5[[#This Row],[INVERSIONES FCI]])</f>
        <v>73167815538.658981</v>
      </c>
      <c r="AR321" s="5">
        <f>IF($B320&lt;=Tabla5[[#This Row],[INVERSIONES FCI]],+Tabla5[[#This Row],[INVERSIONES FCI]]-AR320,Tabla5[[#This Row],[INVERSIONES FCI]])</f>
        <v>73167815538.658981</v>
      </c>
      <c r="AS321" s="5">
        <f>IF($B320&lt;=Tabla5[[#This Row],[INVERSIONES FCI]],+Tabla5[[#This Row],[INVERSIONES FCI]]-AS320,Tabla5[[#This Row],[INVERSIONES FCI]])</f>
        <v>73167815538.658981</v>
      </c>
      <c r="AT321" s="5">
        <f>IF($B320&lt;=Tabla5[[#This Row],[INVERSIONES FCI]],+Tabla5[[#This Row],[INVERSIONES FCI]]-AT320,Tabla5[[#This Row],[INVERSIONES FCI]])</f>
        <v>73167815538.658981</v>
      </c>
      <c r="AU321" s="5">
        <f>IF($B320&lt;=Tabla5[[#This Row],[INVERSIONES FCI]],+Tabla5[[#This Row],[INVERSIONES FCI]]-AU320,Tabla5[[#This Row],[INVERSIONES FCI]])</f>
        <v>73167815538.658981</v>
      </c>
      <c r="AV321" s="5">
        <f>IF($B320&lt;=Tabla5[[#This Row],[INVERSIONES FCI]],+Tabla5[[#This Row],[INVERSIONES FCI]]-AV320,Tabla5[[#This Row],[INVERSIONES FCI]])</f>
        <v>73167815538.658981</v>
      </c>
      <c r="AW321" s="5">
        <f>IF($B320&lt;=Tabla5[[#This Row],[INVERSIONES FCI]],+Tabla5[[#This Row],[INVERSIONES FCI]]-AW320,Tabla5[[#This Row],[INVERSIONES FCI]])</f>
        <v>73167815538.658981</v>
      </c>
      <c r="AX321" s="5">
        <f>IF($B320&lt;=Tabla5[[#This Row],[INVERSIONES FCI]],+Tabla5[[#This Row],[INVERSIONES FCI]]-AX320,Tabla5[[#This Row],[INVERSIONES FCI]])</f>
        <v>73167815538.658981</v>
      </c>
      <c r="AY321" s="5">
        <f>IF($B320&lt;=Tabla5[[#This Row],[INVERSIONES FCI]],+Tabla5[[#This Row],[INVERSIONES FCI]]-AY320,Tabla5[[#This Row],[INVERSIONES FCI]])</f>
        <v>73167815538.658981</v>
      </c>
      <c r="AZ321" s="5">
        <f>IF($B320&lt;=Tabla5[[#This Row],[INVERSIONES FCI]],+Tabla5[[#This Row],[INVERSIONES FCI]]-AZ320,Tabla5[[#This Row],[INVERSIONES FCI]])</f>
        <v>73167815538.658981</v>
      </c>
      <c r="BA321" s="5">
        <f>IF($B320&lt;=Tabla5[[#This Row],[INVERSIONES FCI]],+Tabla5[[#This Row],[INVERSIONES FCI]]-BA320,Tabla5[[#This Row],[INVERSIONES FCI]])</f>
        <v>73167815538.658981</v>
      </c>
      <c r="BB321" s="5">
        <f>IF($B320&lt;=Tabla5[[#This Row],[INVERSIONES FCI]],+Tabla5[[#This Row],[INVERSIONES FCI]]-BB320,Tabla5[[#This Row],[INVERSIONES FCI]])</f>
        <v>73167815538.658981</v>
      </c>
      <c r="BC321" s="5">
        <f>IF($B320&lt;=Tabla5[[#This Row],[INVERSIONES FCI]],+Tabla5[[#This Row],[INVERSIONES FCI]]-BC320,Tabla5[[#This Row],[INVERSIONES FCI]])</f>
        <v>73167815538.658981</v>
      </c>
      <c r="BD321" s="5">
        <f>IF($B320&lt;=Tabla5[[#This Row],[INVERSIONES FCI]],+Tabla5[[#This Row],[INVERSIONES FCI]]-BD320,Tabla5[[#This Row],[INVERSIONES FCI]])</f>
        <v>73167815538.658981</v>
      </c>
      <c r="BE321" s="5">
        <f>IF($B320&lt;=Tabla5[[#This Row],[INVERSIONES FCI]],+Tabla5[[#This Row],[INVERSIONES FCI]]-BE320,Tabla5[[#This Row],[INVERSIONES FCI]])</f>
        <v>73167815538.658981</v>
      </c>
      <c r="BF321" s="5">
        <f>IF($B320&lt;=Tabla5[[#This Row],[INVERSIONES FCI]],+Tabla5[[#This Row],[INVERSIONES FCI]]-BF320,Tabla5[[#This Row],[INVERSIONES FCI]])</f>
        <v>73167815538.658981</v>
      </c>
      <c r="BG321" s="5">
        <f>IF($B320&lt;=Tabla5[[#This Row],[INVERSIONES FCI]],+Tabla5[[#This Row],[INVERSIONES FCI]]-BG320,Tabla5[[#This Row],[INVERSIONES FCI]])</f>
        <v>73167815538.658981</v>
      </c>
      <c r="BH321" s="5">
        <f>IF($B320&lt;=Tabla5[[#This Row],[INVERSIONES FCI]],+Tabla5[[#This Row],[INVERSIONES FCI]]-BH320,Tabla5[[#This Row],[INVERSIONES FCI]])</f>
        <v>73167815538.658981</v>
      </c>
      <c r="BI321" s="5">
        <f>IF($B320&lt;=Tabla5[[#This Row],[INVERSIONES FCI]],+Tabla5[[#This Row],[INVERSIONES FCI]]-BI320,Tabla5[[#This Row],[INVERSIONES FCI]])</f>
        <v>73167815538.658981</v>
      </c>
      <c r="BJ321" s="5">
        <f>IF($B320&lt;=Tabla5[[#This Row],[INVERSIONES FCI]],+Tabla5[[#This Row],[INVERSIONES FCI]]-BJ320,Tabla5[[#This Row],[INVERSIONES FCI]])</f>
        <v>73167815538.658981</v>
      </c>
      <c r="BK321" s="5">
        <f>IF($B320&lt;=Tabla5[[#This Row],[INVERSIONES FCI]],+Tabla5[[#This Row],[INVERSIONES FCI]]-BK320,Tabla5[[#This Row],[INVERSIONES FCI]])</f>
        <v>73167815538.658981</v>
      </c>
      <c r="BL321" s="5">
        <f>IF($B320&lt;=Tabla5[[#This Row],[INVERSIONES FCI]],+Tabla5[[#This Row],[INVERSIONES FCI]]-BL320,Tabla5[[#This Row],[INVERSIONES FCI]])</f>
        <v>73167815538.658981</v>
      </c>
      <c r="BM321" s="5">
        <f>IF($B320&lt;=Tabla5[[#This Row],[INVERSIONES FCI]],+Tabla5[[#This Row],[INVERSIONES FCI]]-BM320,Tabla5[[#This Row],[INVERSIONES FCI]])</f>
        <v>73167815538.658981</v>
      </c>
      <c r="BN321" s="5">
        <f>IF($B320&lt;=Tabla5[[#This Row],[INVERSIONES FCI]],+Tabla5[[#This Row],[INVERSIONES FCI]]-BN320,Tabla5[[#This Row],[INVERSIONES FCI]])</f>
        <v>73167815538.658981</v>
      </c>
      <c r="BO321" s="5">
        <f>IF($B320&lt;=Tabla5[[#This Row],[INVERSIONES FCI]],+Tabla5[[#This Row],[INVERSIONES FCI]]-BO320,Tabla5[[#This Row],[INVERSIONES FCI]])</f>
        <v>73167815538.658981</v>
      </c>
      <c r="BP321" s="5">
        <f>IF($B320&lt;=Tabla5[[#This Row],[INVERSIONES FCI]],+Tabla5[[#This Row],[INVERSIONES FCI]]-BP320,Tabla5[[#This Row],[INVERSIONES FCI]])</f>
        <v>73167815538.658981</v>
      </c>
      <c r="BQ321" s="5">
        <f>IF($B320&lt;=Tabla5[[#This Row],[INVERSIONES FCI]],+Tabla5[[#This Row],[INVERSIONES FCI]]-BQ320,Tabla5[[#This Row],[INVERSIONES FCI]])</f>
        <v>73167815538.658981</v>
      </c>
      <c r="BR321" s="5">
        <f>IF($B320&lt;=Tabla5[[#This Row],[INVERSIONES FCI]],+Tabla5[[#This Row],[INVERSIONES FCI]]-BR320,Tabla5[[#This Row],[INVERSIONES FCI]])</f>
        <v>73167815538.658981</v>
      </c>
      <c r="BS321" s="5">
        <f>IF($B320&lt;=Tabla5[[#This Row],[INVERSIONES FCI]],+Tabla5[[#This Row],[INVERSIONES FCI]]-BS320,Tabla5[[#This Row],[INVERSIONES FCI]])</f>
        <v>73167815538.658981</v>
      </c>
      <c r="BT321" s="5">
        <f>IF($B320&lt;=Tabla5[[#This Row],[INVERSIONES FCI]],+Tabla5[[#This Row],[INVERSIONES FCI]]-BT320,Tabla5[[#This Row],[INVERSIONES FCI]])</f>
        <v>73167815538.658981</v>
      </c>
      <c r="BU321" s="5">
        <f>IF($B320&lt;=Tabla5[[#This Row],[INVERSIONES FCI]],+Tabla5[[#This Row],[INVERSIONES FCI]]-BU320,Tabla5[[#This Row],[INVERSIONES FCI]])</f>
        <v>73167815538.658981</v>
      </c>
      <c r="BV321" s="5">
        <f>IF($B320&lt;=Tabla5[[#This Row],[INVERSIONES FCI]],+Tabla5[[#This Row],[INVERSIONES FCI]]-BV320,Tabla5[[#This Row],[INVERSIONES FCI]])</f>
        <v>73167815538.658981</v>
      </c>
      <c r="BW321" s="5">
        <f>IF($B320&lt;=Tabla5[[#This Row],[INVERSIONES FCI]],+Tabla5[[#This Row],[INVERSIONES FCI]]-BW320,Tabla5[[#This Row],[INVERSIONES FCI]])</f>
        <v>73167815538.658981</v>
      </c>
      <c r="BX321" s="5">
        <f>IF($B320&lt;=Tabla5[[#This Row],[INVERSIONES FCI]],+Tabla5[[#This Row],[INVERSIONES FCI]]-BX320,Tabla5[[#This Row],[INVERSIONES FCI]])</f>
        <v>73167815538.658981</v>
      </c>
      <c r="BY321" s="5">
        <f>IF($B320&lt;=Tabla5[[#This Row],[INVERSIONES FCI]],+Tabla5[[#This Row],[INVERSIONES FCI]]-BY320,Tabla5[[#This Row],[INVERSIONES FCI]])</f>
        <v>73167815538.658981</v>
      </c>
      <c r="BZ321" s="5">
        <f>IF($B320&lt;=Tabla5[[#This Row],[INVERSIONES FCI]],+Tabla5[[#This Row],[INVERSIONES FCI]]-BZ320,Tabla5[[#This Row],[INVERSIONES FCI]])</f>
        <v>73167815538.658981</v>
      </c>
      <c r="CA321" s="5">
        <f>IF($B320&lt;=Tabla5[[#This Row],[INVERSIONES FCI]],+Tabla5[[#This Row],[INVERSIONES FCI]]-CA320,Tabla5[[#This Row],[INVERSIONES FCI]])</f>
        <v>73167815538.658981</v>
      </c>
      <c r="CB321" s="5">
        <f>IF($B320&lt;=Tabla5[[#This Row],[INVERSIONES FCI]],+Tabla5[[#This Row],[INVERSIONES FCI]]-CB320,Tabla5[[#This Row],[INVERSIONES FCI]])</f>
        <v>73167815538.658981</v>
      </c>
      <c r="CC321" s="5">
        <f>IF($B320&lt;=Tabla5[[#This Row],[INVERSIONES FCI]],+Tabla5[[#This Row],[INVERSIONES FCI]]-CC320,Tabla5[[#This Row],[INVERSIONES FCI]])</f>
        <v>73167815538.658981</v>
      </c>
      <c r="CD321" s="5">
        <f>IF($B320&lt;=Tabla5[[#This Row],[INVERSIONES FCI]],+Tabla5[[#This Row],[INVERSIONES FCI]]-CD320,Tabla5[[#This Row],[INVERSIONES FCI]])</f>
        <v>73167815538.658981</v>
      </c>
      <c r="CE321" s="5">
        <f>IF($B320&lt;=Tabla5[[#This Row],[INVERSIONES FCI]],+Tabla5[[#This Row],[INVERSIONES FCI]]-CE320,Tabla5[[#This Row],[INVERSIONES FCI]])</f>
        <v>73167815538.658981</v>
      </c>
      <c r="CF321" s="5">
        <f>IF($B320&lt;=Tabla5[[#This Row],[INVERSIONES FCI]],+Tabla5[[#This Row],[INVERSIONES FCI]]-CF320,Tabla5[[#This Row],[INVERSIONES FCI]])</f>
        <v>73167815538.658981</v>
      </c>
      <c r="CG321" s="5">
        <f>IF($B320&lt;=Tabla5[[#This Row],[INVERSIONES FCI]],+Tabla5[[#This Row],[INVERSIONES FCI]]-CG320,Tabla5[[#This Row],[INVERSIONES FCI]])</f>
        <v>73167815538.658981</v>
      </c>
      <c r="CH321" s="5">
        <f>IF($B320&lt;=Tabla5[[#This Row],[INVERSIONES FCI]],+Tabla5[[#This Row],[INVERSIONES FCI]]-CH320,Tabla5[[#This Row],[INVERSIONES FCI]])</f>
        <v>73167815538.658981</v>
      </c>
      <c r="CI321" s="5">
        <f>IF($B320&lt;=Tabla5[[#This Row],[INVERSIONES FCI]],+Tabla5[[#This Row],[INVERSIONES FCI]]-CI320,Tabla5[[#This Row],[INVERSIONES FCI]])</f>
        <v>73167815538.658981</v>
      </c>
      <c r="CJ321" s="5">
        <f>IF($B320&lt;=Tabla5[[#This Row],[INVERSIONES FCI]],+Tabla5[[#This Row],[INVERSIONES FCI]]-CJ320,Tabla5[[#This Row],[INVERSIONES FCI]])</f>
        <v>73167815538.658981</v>
      </c>
      <c r="CK321" s="5">
        <f>IF($B320&lt;=Tabla5[[#This Row],[INVERSIONES FCI]],+Tabla5[[#This Row],[INVERSIONES FCI]]-CK320,Tabla5[[#This Row],[INVERSIONES FCI]])</f>
        <v>73167815538.658981</v>
      </c>
      <c r="CL321" s="5">
        <f>IF($B320&lt;=Tabla5[[#This Row],[INVERSIONES FCI]],+Tabla5[[#This Row],[INVERSIONES FCI]]-CL320,Tabla5[[#This Row],[INVERSIONES FCI]])</f>
        <v>73167815538.658981</v>
      </c>
      <c r="CM321" s="5">
        <f>IF($B320&lt;=Tabla5[[#This Row],[INVERSIONES FCI]],+Tabla5[[#This Row],[INVERSIONES FCI]]-CM320,Tabla5[[#This Row],[INVERSIONES FCI]])</f>
        <v>73167815538.658981</v>
      </c>
      <c r="CN321" s="5">
        <f>IF($B320&lt;=Tabla5[[#This Row],[INVERSIONES FCI]],+Tabla5[[#This Row],[INVERSIONES FCI]]-CN320,Tabla5[[#This Row],[INVERSIONES FCI]])</f>
        <v>73167815538.658981</v>
      </c>
      <c r="CO321" s="5">
        <f>IF($B320&lt;=Tabla5[[#This Row],[INVERSIONES FCI]],+Tabla5[[#This Row],[INVERSIONES FCI]]-CO320,Tabla5[[#This Row],[INVERSIONES FCI]])</f>
        <v>73167815538.658981</v>
      </c>
      <c r="CP321" s="5">
        <f>IF($B320&lt;=Tabla5[[#This Row],[INVERSIONES FCI]],+Tabla5[[#This Row],[INVERSIONES FCI]]-CP320,Tabla5[[#This Row],[INVERSIONES FCI]])</f>
        <v>73167815538.658981</v>
      </c>
      <c r="CQ321" s="5">
        <f>IF($B320&lt;=Tabla5[[#This Row],[INVERSIONES FCI]],+Tabla5[[#This Row],[INVERSIONES FCI]]-CQ320,Tabla5[[#This Row],[INVERSIONES FCI]])</f>
        <v>73167815538.658981</v>
      </c>
      <c r="CR321" s="5">
        <f>IF($B320&lt;=Tabla5[[#This Row],[INVERSIONES FCI]],+Tabla5[[#This Row],[INVERSIONES FCI]]-CR320,Tabla5[[#This Row],[INVERSIONES FCI]])</f>
        <v>73167815538.658981</v>
      </c>
      <c r="CS321" s="5">
        <f>IF($B320&lt;=Tabla5[[#This Row],[INVERSIONES FCI]],+Tabla5[[#This Row],[INVERSIONES FCI]]-CS320,Tabla5[[#This Row],[INVERSIONES FCI]])</f>
        <v>73167815538.658981</v>
      </c>
      <c r="CT321" s="5">
        <f>IF($B320&lt;=Tabla5[[#This Row],[INVERSIONES FCI]],+Tabla5[[#This Row],[INVERSIONES FCI]]-CT320,Tabla5[[#This Row],[INVERSIONES FCI]])</f>
        <v>73167815538.658981</v>
      </c>
      <c r="CU321" s="5">
        <f>IF($B320&lt;=Tabla5[[#This Row],[INVERSIONES FCI]],+Tabla5[[#This Row],[INVERSIONES FCI]]-CU320,Tabla5[[#This Row],[INVERSIONES FCI]])</f>
        <v>73167815538.658981</v>
      </c>
      <c r="CV321" s="5">
        <f>IF($B320&lt;=Tabla5[[#This Row],[INVERSIONES FCI]],+Tabla5[[#This Row],[INVERSIONES FCI]]-CV320,Tabla5[[#This Row],[INVERSIONES FCI]])</f>
        <v>73167815538.658981</v>
      </c>
      <c r="CW321" s="5">
        <f>IF($B320&lt;=Tabla5[[#This Row],[INVERSIONES FCI]],+Tabla5[[#This Row],[INVERSIONES FCI]]-CW320,Tabla5[[#This Row],[INVERSIONES FCI]])</f>
        <v>73167815538.658981</v>
      </c>
      <c r="CX321" s="5">
        <f>IF($B320&lt;=Tabla5[[#This Row],[INVERSIONES FCI]],+Tabla5[[#This Row],[INVERSIONES FCI]]-CX320,Tabla5[[#This Row],[INVERSIONES FCI]])</f>
        <v>73167815538.658981</v>
      </c>
      <c r="CY321" s="5">
        <f>IF($B320&lt;=Tabla5[[#This Row],[INVERSIONES FCI]],+Tabla5[[#This Row],[INVERSIONES FCI]]-CY320,Tabla5[[#This Row],[INVERSIONES FCI]])</f>
        <v>73167815538.658981</v>
      </c>
      <c r="CZ321" s="5">
        <f>IF($B320&lt;=Tabla5[[#This Row],[INVERSIONES FCI]],+Tabla5[[#This Row],[INVERSIONES FCI]]-CZ320,Tabla5[[#This Row],[INVERSIONES FCI]])</f>
        <v>73167815538.658981</v>
      </c>
      <c r="DA321" s="5">
        <f>IF($B320&lt;=Tabla5[[#This Row],[INVERSIONES FCI]],+Tabla5[[#This Row],[INVERSIONES FCI]]-DA320,Tabla5[[#This Row],[INVERSIONES FCI]])</f>
        <v>73167815538.658981</v>
      </c>
      <c r="DB321" s="5">
        <f>IF($B320&lt;=Tabla5[[#This Row],[INVERSIONES FCI]],+Tabla5[[#This Row],[INVERSIONES FCI]]-DB320,Tabla5[[#This Row],[INVERSIONES FCI]])</f>
        <v>73167815538.658981</v>
      </c>
      <c r="DC321" s="5">
        <f>IF($B320&lt;=Tabla5[[#This Row],[INVERSIONES FCI]],+Tabla5[[#This Row],[INVERSIONES FCI]]-DC320,Tabla5[[#This Row],[INVERSIONES FCI]])</f>
        <v>73167815538.658981</v>
      </c>
      <c r="DD321" s="5">
        <f>IF($B320&lt;=Tabla5[[#This Row],[INVERSIONES FCI]],+Tabla5[[#This Row],[INVERSIONES FCI]]-DD320,Tabla5[[#This Row],[INVERSIONES FCI]])</f>
        <v>73167815538.658981</v>
      </c>
      <c r="DE321" s="5">
        <f>IF($B320&lt;=Tabla5[[#This Row],[INVERSIONES FCI]],+Tabla5[[#This Row],[INVERSIONES FCI]]-DE320,Tabla5[[#This Row],[INVERSIONES FCI]])</f>
        <v>73167815538.658981</v>
      </c>
      <c r="DF321" s="5">
        <f>IF($B320&lt;=Tabla5[[#This Row],[INVERSIONES FCI]],+Tabla5[[#This Row],[INVERSIONES FCI]]-DF320,Tabla5[[#This Row],[INVERSIONES FCI]])</f>
        <v>73167815538.658981</v>
      </c>
      <c r="DG321" s="5">
        <f>IF($B320&lt;=Tabla5[[#This Row],[INVERSIONES FCI]],+Tabla5[[#This Row],[INVERSIONES FCI]]-DG320,Tabla5[[#This Row],[INVERSIONES FCI]])</f>
        <v>73167815538.658981</v>
      </c>
      <c r="DH321" s="5">
        <f>IF($B320&lt;=Tabla5[[#This Row],[INVERSIONES FCI]],+Tabla5[[#This Row],[INVERSIONES FCI]]-DH320,Tabla5[[#This Row],[INVERSIONES FCI]])</f>
        <v>73167815538.658981</v>
      </c>
      <c r="DI321" s="5">
        <f>IF($B320&lt;=Tabla5[[#This Row],[INVERSIONES FCI]],+Tabla5[[#This Row],[INVERSIONES FCI]]-DI320,Tabla5[[#This Row],[INVERSIONES FCI]])</f>
        <v>73167815538.658981</v>
      </c>
      <c r="DJ321" s="5">
        <f>IF($B320&lt;=Tabla5[[#This Row],[INVERSIONES FCI]],+Tabla5[[#This Row],[INVERSIONES FCI]]-DJ320,Tabla5[[#This Row],[INVERSIONES FCI]])</f>
        <v>73167815538.658981</v>
      </c>
      <c r="DK321" s="5">
        <f>IF($B320&lt;=Tabla5[[#This Row],[INVERSIONES FCI]],+Tabla5[[#This Row],[INVERSIONES FCI]]-DK320,Tabla5[[#This Row],[INVERSIONES FCI]])</f>
        <v>73167815538.658981</v>
      </c>
      <c r="DL321" s="5"/>
      <c r="DM321" s="5"/>
      <c r="DN321" s="5"/>
      <c r="DO321" s="5"/>
      <c r="DP321" s="5"/>
      <c r="DQ321" s="5"/>
    </row>
    <row r="322" spans="1:121" ht="14.4">
      <c r="A322" s="12" t="s">
        <v>321</v>
      </c>
      <c r="B322" s="5">
        <f>HLOOKUP($A322,ESCENARIO[#All],7,FALSE)</f>
        <v>87284710326.331757</v>
      </c>
      <c r="C322" s="5">
        <f>IF($B321&lt;=Tabla5[[#This Row],[INVERSIONES FCI]],+Tabla5[[#This Row],[INVERSIONES FCI]]-C321,Tabla5[[#This Row],[INVERSIONES FCI]])</f>
        <v>14116894787.672775</v>
      </c>
      <c r="D322" s="5">
        <f>IF($B321&lt;=Tabla5[[#This Row],[INVERSIONES FCI]],+Tabla5[[#This Row],[INVERSIONES FCI]]-D321,Tabla5[[#This Row],[INVERSIONES FCI]])</f>
        <v>14116894787.672775</v>
      </c>
      <c r="E322" s="5">
        <f>IF($B321&lt;=Tabla5[[#This Row],[INVERSIONES FCI]],+Tabla5[[#This Row],[INVERSIONES FCI]]-E321,Tabla5[[#This Row],[INVERSIONES FCI]])</f>
        <v>14116894787.672775</v>
      </c>
      <c r="F322" s="5">
        <f>IF($B321&lt;=Tabla5[[#This Row],[INVERSIONES FCI]],+Tabla5[[#This Row],[INVERSIONES FCI]]-F321,Tabla5[[#This Row],[INVERSIONES FCI]])</f>
        <v>14116894787.672775</v>
      </c>
      <c r="G322" s="5">
        <f>IF($B321&lt;=Tabla5[[#This Row],[INVERSIONES FCI]],+Tabla5[[#This Row],[INVERSIONES FCI]]-G321,Tabla5[[#This Row],[INVERSIONES FCI]])</f>
        <v>14116894787.672775</v>
      </c>
      <c r="H322" s="5">
        <f>IF($B321&lt;=Tabla5[[#This Row],[INVERSIONES FCI]],+Tabla5[[#This Row],[INVERSIONES FCI]]-H321,Tabla5[[#This Row],[INVERSIONES FCI]])</f>
        <v>14116894787.672775</v>
      </c>
      <c r="I322" s="5">
        <f>IF($B321&lt;=Tabla5[[#This Row],[INVERSIONES FCI]],+Tabla5[[#This Row],[INVERSIONES FCI]]-I321,Tabla5[[#This Row],[INVERSIONES FCI]])</f>
        <v>14116894787.672775</v>
      </c>
      <c r="J322" s="5">
        <f>IF($B321&lt;=Tabla5[[#This Row],[INVERSIONES FCI]],+Tabla5[[#This Row],[INVERSIONES FCI]]-J321,Tabla5[[#This Row],[INVERSIONES FCI]])</f>
        <v>14116894787.672775</v>
      </c>
      <c r="K322" s="5">
        <f>IF($B321&lt;=Tabla5[[#This Row],[INVERSIONES FCI]],+Tabla5[[#This Row],[INVERSIONES FCI]]-K321,Tabla5[[#This Row],[INVERSIONES FCI]])</f>
        <v>14116894787.672775</v>
      </c>
      <c r="L322" s="5">
        <f>IF($B321&lt;=Tabla5[[#This Row],[INVERSIONES FCI]],+Tabla5[[#This Row],[INVERSIONES FCI]]-L321,Tabla5[[#This Row],[INVERSIONES FCI]])</f>
        <v>14116894787.672775</v>
      </c>
      <c r="M322" s="5">
        <f>IF($B321&lt;=Tabla5[[#This Row],[INVERSIONES FCI]],+Tabla5[[#This Row],[INVERSIONES FCI]]-M321,Tabla5[[#This Row],[INVERSIONES FCI]])</f>
        <v>14116894787.672775</v>
      </c>
      <c r="N322" s="5">
        <f>IF($B321&lt;=Tabla5[[#This Row],[INVERSIONES FCI]],+Tabla5[[#This Row],[INVERSIONES FCI]]-N321,Tabla5[[#This Row],[INVERSIONES FCI]])</f>
        <v>14116894787.672775</v>
      </c>
      <c r="O322" s="5">
        <f>IF($B321&lt;=Tabla5[[#This Row],[INVERSIONES FCI]],+Tabla5[[#This Row],[INVERSIONES FCI]]-O321,Tabla5[[#This Row],[INVERSIONES FCI]])</f>
        <v>14116894787.672775</v>
      </c>
      <c r="P322" s="5">
        <f>IF($B321&lt;=Tabla5[[#This Row],[INVERSIONES FCI]],+Tabla5[[#This Row],[INVERSIONES FCI]]-P321,Tabla5[[#This Row],[INVERSIONES FCI]])</f>
        <v>14116894787.672775</v>
      </c>
      <c r="Q322" s="5">
        <f>IF($B321&lt;=Tabla5[[#This Row],[INVERSIONES FCI]],+Tabla5[[#This Row],[INVERSIONES FCI]]-Q321,Tabla5[[#This Row],[INVERSIONES FCI]])</f>
        <v>14116894787.672775</v>
      </c>
      <c r="R322" s="5">
        <f>IF($B321&lt;=Tabla5[[#This Row],[INVERSIONES FCI]],+Tabla5[[#This Row],[INVERSIONES FCI]]-R321,Tabla5[[#This Row],[INVERSIONES FCI]])</f>
        <v>14116894787.672775</v>
      </c>
      <c r="S322" s="5">
        <f>IF($B321&lt;=Tabla5[[#This Row],[INVERSIONES FCI]],+Tabla5[[#This Row],[INVERSIONES FCI]]-S321,Tabla5[[#This Row],[INVERSIONES FCI]])</f>
        <v>14116894787.672775</v>
      </c>
      <c r="T322" s="5">
        <f>IF($B321&lt;=Tabla5[[#This Row],[INVERSIONES FCI]],+Tabla5[[#This Row],[INVERSIONES FCI]]-T321,Tabla5[[#This Row],[INVERSIONES FCI]])</f>
        <v>14116894787.672775</v>
      </c>
      <c r="U322" s="5">
        <f>IF($B321&lt;=Tabla5[[#This Row],[INVERSIONES FCI]],+Tabla5[[#This Row],[INVERSIONES FCI]]-U321,Tabla5[[#This Row],[INVERSIONES FCI]])</f>
        <v>14116894787.672775</v>
      </c>
      <c r="V322" s="5">
        <f>IF($B321&lt;=Tabla5[[#This Row],[INVERSIONES FCI]],+Tabla5[[#This Row],[INVERSIONES FCI]]-V321,Tabla5[[#This Row],[INVERSIONES FCI]])</f>
        <v>14116894787.672775</v>
      </c>
      <c r="W322" s="5">
        <f>IF($B321&lt;=Tabla5[[#This Row],[INVERSIONES FCI]],+Tabla5[[#This Row],[INVERSIONES FCI]]-W321,Tabla5[[#This Row],[INVERSIONES FCI]])</f>
        <v>14116894787.672775</v>
      </c>
      <c r="X322" s="5">
        <f>IF($B321&lt;=Tabla5[[#This Row],[INVERSIONES FCI]],+Tabla5[[#This Row],[INVERSIONES FCI]]-X321,Tabla5[[#This Row],[INVERSIONES FCI]])</f>
        <v>14116894787.672775</v>
      </c>
      <c r="Y322" s="5">
        <f>IF($B321&lt;=Tabla5[[#This Row],[INVERSIONES FCI]],+Tabla5[[#This Row],[INVERSIONES FCI]]-Y321,Tabla5[[#This Row],[INVERSIONES FCI]])</f>
        <v>14116894787.672775</v>
      </c>
      <c r="Z322" s="5">
        <f>IF($B321&lt;=Tabla5[[#This Row],[INVERSIONES FCI]],+Tabla5[[#This Row],[INVERSIONES FCI]]-Z321,Tabla5[[#This Row],[INVERSIONES FCI]])</f>
        <v>14116894787.672775</v>
      </c>
      <c r="AA322" s="5">
        <f>IF($B321&lt;=Tabla5[[#This Row],[INVERSIONES FCI]],+Tabla5[[#This Row],[INVERSIONES FCI]]-AA321,Tabla5[[#This Row],[INVERSIONES FCI]])</f>
        <v>14116894787.672775</v>
      </c>
      <c r="AB322" s="5">
        <f>IF($B321&lt;=Tabla5[[#This Row],[INVERSIONES FCI]],+Tabla5[[#This Row],[INVERSIONES FCI]]-AB321,Tabla5[[#This Row],[INVERSIONES FCI]])</f>
        <v>14116894787.672775</v>
      </c>
      <c r="AC322" s="5">
        <f>IF($B321&lt;=Tabla5[[#This Row],[INVERSIONES FCI]],+Tabla5[[#This Row],[INVERSIONES FCI]]-AC321,Tabla5[[#This Row],[INVERSIONES FCI]])</f>
        <v>14116894787.672775</v>
      </c>
      <c r="AD322" s="5">
        <f>IF($B321&lt;=Tabla5[[#This Row],[INVERSIONES FCI]],+Tabla5[[#This Row],[INVERSIONES FCI]]-AD321,Tabla5[[#This Row],[INVERSIONES FCI]])</f>
        <v>14116894787.672775</v>
      </c>
      <c r="AE322" s="5">
        <f>IF($B321&lt;=Tabla5[[#This Row],[INVERSIONES FCI]],+Tabla5[[#This Row],[INVERSIONES FCI]]-AE321,Tabla5[[#This Row],[INVERSIONES FCI]])</f>
        <v>14116894787.672775</v>
      </c>
      <c r="AF322" s="5">
        <f>IF($B321&lt;=Tabla5[[#This Row],[INVERSIONES FCI]],+Tabla5[[#This Row],[INVERSIONES FCI]]-AF321,Tabla5[[#This Row],[INVERSIONES FCI]])</f>
        <v>14116894787.672775</v>
      </c>
      <c r="AG322" s="5">
        <f>IF($B321&lt;=Tabla5[[#This Row],[INVERSIONES FCI]],+Tabla5[[#This Row],[INVERSIONES FCI]]-AG321,Tabla5[[#This Row],[INVERSIONES FCI]])</f>
        <v>14116894787.672775</v>
      </c>
      <c r="AH322" s="5">
        <f>IF($B321&lt;=Tabla5[[#This Row],[INVERSIONES FCI]],+Tabla5[[#This Row],[INVERSIONES FCI]]-AH321,Tabla5[[#This Row],[INVERSIONES FCI]])</f>
        <v>14116894787.672775</v>
      </c>
      <c r="AI322" s="5">
        <f>IF($B321&lt;=Tabla5[[#This Row],[INVERSIONES FCI]],+Tabla5[[#This Row],[INVERSIONES FCI]]-AI321,Tabla5[[#This Row],[INVERSIONES FCI]])</f>
        <v>14116894787.672775</v>
      </c>
      <c r="AJ322" s="5">
        <f>IF($B321&lt;=Tabla5[[#This Row],[INVERSIONES FCI]],+Tabla5[[#This Row],[INVERSIONES FCI]]-AJ321,Tabla5[[#This Row],[INVERSIONES FCI]])</f>
        <v>14116894787.672775</v>
      </c>
      <c r="AK322" s="5">
        <f>IF($B321&lt;=Tabla5[[#This Row],[INVERSIONES FCI]],+Tabla5[[#This Row],[INVERSIONES FCI]]-AK321,Tabla5[[#This Row],[INVERSIONES FCI]])</f>
        <v>14116894787.672775</v>
      </c>
      <c r="AL322" s="5">
        <f>IF($B321&lt;=Tabla5[[#This Row],[INVERSIONES FCI]],+Tabla5[[#This Row],[INVERSIONES FCI]]-AL321,Tabla5[[#This Row],[INVERSIONES FCI]])</f>
        <v>14116894787.672775</v>
      </c>
      <c r="AM322" s="5">
        <f>IF($B321&lt;=Tabla5[[#This Row],[INVERSIONES FCI]],+Tabla5[[#This Row],[INVERSIONES FCI]]-AM321,Tabla5[[#This Row],[INVERSIONES FCI]])</f>
        <v>14116894787.672775</v>
      </c>
      <c r="AN322" s="5">
        <f>IF($B321&lt;=Tabla5[[#This Row],[INVERSIONES FCI]],+Tabla5[[#This Row],[INVERSIONES FCI]]-AN321,Tabla5[[#This Row],[INVERSIONES FCI]])</f>
        <v>14116894787.672775</v>
      </c>
      <c r="AO322" s="5">
        <f>IF($B321&lt;=Tabla5[[#This Row],[INVERSIONES FCI]],+Tabla5[[#This Row],[INVERSIONES FCI]]-AO321,Tabla5[[#This Row],[INVERSIONES FCI]])</f>
        <v>14116894787.672775</v>
      </c>
      <c r="AP322" s="5">
        <f>IF($B321&lt;=Tabla5[[#This Row],[INVERSIONES FCI]],+Tabla5[[#This Row],[INVERSIONES FCI]]-AP321,Tabla5[[#This Row],[INVERSIONES FCI]])</f>
        <v>14116894787.672775</v>
      </c>
      <c r="AQ322" s="5">
        <f>IF($B321&lt;=Tabla5[[#This Row],[INVERSIONES FCI]],+Tabla5[[#This Row],[INVERSIONES FCI]]-AQ321,Tabla5[[#This Row],[INVERSIONES FCI]])</f>
        <v>14116894787.672775</v>
      </c>
      <c r="AR322" s="5">
        <f>IF($B321&lt;=Tabla5[[#This Row],[INVERSIONES FCI]],+Tabla5[[#This Row],[INVERSIONES FCI]]-AR321,Tabla5[[#This Row],[INVERSIONES FCI]])</f>
        <v>14116894787.672775</v>
      </c>
      <c r="AS322" s="5">
        <f>IF($B321&lt;=Tabla5[[#This Row],[INVERSIONES FCI]],+Tabla5[[#This Row],[INVERSIONES FCI]]-AS321,Tabla5[[#This Row],[INVERSIONES FCI]])</f>
        <v>14116894787.672775</v>
      </c>
      <c r="AT322" s="5">
        <f>IF($B321&lt;=Tabla5[[#This Row],[INVERSIONES FCI]],+Tabla5[[#This Row],[INVERSIONES FCI]]-AT321,Tabla5[[#This Row],[INVERSIONES FCI]])</f>
        <v>14116894787.672775</v>
      </c>
      <c r="AU322" s="5">
        <f>IF($B321&lt;=Tabla5[[#This Row],[INVERSIONES FCI]],+Tabla5[[#This Row],[INVERSIONES FCI]]-AU321,Tabla5[[#This Row],[INVERSIONES FCI]])</f>
        <v>14116894787.672775</v>
      </c>
      <c r="AV322" s="5">
        <f>IF($B321&lt;=Tabla5[[#This Row],[INVERSIONES FCI]],+Tabla5[[#This Row],[INVERSIONES FCI]]-AV321,Tabla5[[#This Row],[INVERSIONES FCI]])</f>
        <v>14116894787.672775</v>
      </c>
      <c r="AW322" s="5">
        <f>IF($B321&lt;=Tabla5[[#This Row],[INVERSIONES FCI]],+Tabla5[[#This Row],[INVERSIONES FCI]]-AW321,Tabla5[[#This Row],[INVERSIONES FCI]])</f>
        <v>14116894787.672775</v>
      </c>
      <c r="AX322" s="5">
        <f>IF($B321&lt;=Tabla5[[#This Row],[INVERSIONES FCI]],+Tabla5[[#This Row],[INVERSIONES FCI]]-AX321,Tabla5[[#This Row],[INVERSIONES FCI]])</f>
        <v>14116894787.672775</v>
      </c>
      <c r="AY322" s="5">
        <f>IF($B321&lt;=Tabla5[[#This Row],[INVERSIONES FCI]],+Tabla5[[#This Row],[INVERSIONES FCI]]-AY321,Tabla5[[#This Row],[INVERSIONES FCI]])</f>
        <v>14116894787.672775</v>
      </c>
      <c r="AZ322" s="5">
        <f>IF($B321&lt;=Tabla5[[#This Row],[INVERSIONES FCI]],+Tabla5[[#This Row],[INVERSIONES FCI]]-AZ321,Tabla5[[#This Row],[INVERSIONES FCI]])</f>
        <v>14116894787.672775</v>
      </c>
      <c r="BA322" s="5">
        <f>IF($B321&lt;=Tabla5[[#This Row],[INVERSIONES FCI]],+Tabla5[[#This Row],[INVERSIONES FCI]]-BA321,Tabla5[[#This Row],[INVERSIONES FCI]])</f>
        <v>14116894787.672775</v>
      </c>
      <c r="BB322" s="5">
        <f>IF($B321&lt;=Tabla5[[#This Row],[INVERSIONES FCI]],+Tabla5[[#This Row],[INVERSIONES FCI]]-BB321,Tabla5[[#This Row],[INVERSIONES FCI]])</f>
        <v>14116894787.672775</v>
      </c>
      <c r="BC322" s="5">
        <f>IF($B321&lt;=Tabla5[[#This Row],[INVERSIONES FCI]],+Tabla5[[#This Row],[INVERSIONES FCI]]-BC321,Tabla5[[#This Row],[INVERSIONES FCI]])</f>
        <v>14116894787.672775</v>
      </c>
      <c r="BD322" s="5">
        <f>IF($B321&lt;=Tabla5[[#This Row],[INVERSIONES FCI]],+Tabla5[[#This Row],[INVERSIONES FCI]]-BD321,Tabla5[[#This Row],[INVERSIONES FCI]])</f>
        <v>14116894787.672775</v>
      </c>
      <c r="BE322" s="5">
        <f>IF($B321&lt;=Tabla5[[#This Row],[INVERSIONES FCI]],+Tabla5[[#This Row],[INVERSIONES FCI]]-BE321,Tabla5[[#This Row],[INVERSIONES FCI]])</f>
        <v>14116894787.672775</v>
      </c>
      <c r="BF322" s="5">
        <f>IF($B321&lt;=Tabla5[[#This Row],[INVERSIONES FCI]],+Tabla5[[#This Row],[INVERSIONES FCI]]-BF321,Tabla5[[#This Row],[INVERSIONES FCI]])</f>
        <v>14116894787.672775</v>
      </c>
      <c r="BG322" s="5">
        <f>IF($B321&lt;=Tabla5[[#This Row],[INVERSIONES FCI]],+Tabla5[[#This Row],[INVERSIONES FCI]]-BG321,Tabla5[[#This Row],[INVERSIONES FCI]])</f>
        <v>14116894787.672775</v>
      </c>
      <c r="BH322" s="5">
        <f>IF($B321&lt;=Tabla5[[#This Row],[INVERSIONES FCI]],+Tabla5[[#This Row],[INVERSIONES FCI]]-BH321,Tabla5[[#This Row],[INVERSIONES FCI]])</f>
        <v>14116894787.672775</v>
      </c>
      <c r="BI322" s="5">
        <f>IF($B321&lt;=Tabla5[[#This Row],[INVERSIONES FCI]],+Tabla5[[#This Row],[INVERSIONES FCI]]-BI321,Tabla5[[#This Row],[INVERSIONES FCI]])</f>
        <v>14116894787.672775</v>
      </c>
      <c r="BJ322" s="5">
        <f>IF($B321&lt;=Tabla5[[#This Row],[INVERSIONES FCI]],+Tabla5[[#This Row],[INVERSIONES FCI]]-BJ321,Tabla5[[#This Row],[INVERSIONES FCI]])</f>
        <v>14116894787.672775</v>
      </c>
      <c r="BK322" s="5">
        <f>IF($B321&lt;=Tabla5[[#This Row],[INVERSIONES FCI]],+Tabla5[[#This Row],[INVERSIONES FCI]]-BK321,Tabla5[[#This Row],[INVERSIONES FCI]])</f>
        <v>14116894787.672775</v>
      </c>
      <c r="BL322" s="5">
        <f>IF($B321&lt;=Tabla5[[#This Row],[INVERSIONES FCI]],+Tabla5[[#This Row],[INVERSIONES FCI]]-BL321,Tabla5[[#This Row],[INVERSIONES FCI]])</f>
        <v>14116894787.672775</v>
      </c>
      <c r="BM322" s="5">
        <f>IF($B321&lt;=Tabla5[[#This Row],[INVERSIONES FCI]],+Tabla5[[#This Row],[INVERSIONES FCI]]-BM321,Tabla5[[#This Row],[INVERSIONES FCI]])</f>
        <v>14116894787.672775</v>
      </c>
      <c r="BN322" s="5">
        <f>IF($B321&lt;=Tabla5[[#This Row],[INVERSIONES FCI]],+Tabla5[[#This Row],[INVERSIONES FCI]]-BN321,Tabla5[[#This Row],[INVERSIONES FCI]])</f>
        <v>14116894787.672775</v>
      </c>
      <c r="BO322" s="5">
        <f>IF($B321&lt;=Tabla5[[#This Row],[INVERSIONES FCI]],+Tabla5[[#This Row],[INVERSIONES FCI]]-BO321,Tabla5[[#This Row],[INVERSIONES FCI]])</f>
        <v>14116894787.672775</v>
      </c>
      <c r="BP322" s="5">
        <f>IF($B321&lt;=Tabla5[[#This Row],[INVERSIONES FCI]],+Tabla5[[#This Row],[INVERSIONES FCI]]-BP321,Tabla5[[#This Row],[INVERSIONES FCI]])</f>
        <v>14116894787.672775</v>
      </c>
      <c r="BQ322" s="5">
        <f>IF($B321&lt;=Tabla5[[#This Row],[INVERSIONES FCI]],+Tabla5[[#This Row],[INVERSIONES FCI]]-BQ321,Tabla5[[#This Row],[INVERSIONES FCI]])</f>
        <v>14116894787.672775</v>
      </c>
      <c r="BR322" s="5">
        <f>IF($B321&lt;=Tabla5[[#This Row],[INVERSIONES FCI]],+Tabla5[[#This Row],[INVERSIONES FCI]]-BR321,Tabla5[[#This Row],[INVERSIONES FCI]])</f>
        <v>14116894787.672775</v>
      </c>
      <c r="BS322" s="5">
        <f>IF($B321&lt;=Tabla5[[#This Row],[INVERSIONES FCI]],+Tabla5[[#This Row],[INVERSIONES FCI]]-BS321,Tabla5[[#This Row],[INVERSIONES FCI]])</f>
        <v>14116894787.672775</v>
      </c>
      <c r="BT322" s="5">
        <f>IF($B321&lt;=Tabla5[[#This Row],[INVERSIONES FCI]],+Tabla5[[#This Row],[INVERSIONES FCI]]-BT321,Tabla5[[#This Row],[INVERSIONES FCI]])</f>
        <v>14116894787.672775</v>
      </c>
      <c r="BU322" s="5">
        <f>IF($B321&lt;=Tabla5[[#This Row],[INVERSIONES FCI]],+Tabla5[[#This Row],[INVERSIONES FCI]]-BU321,Tabla5[[#This Row],[INVERSIONES FCI]])</f>
        <v>14116894787.672775</v>
      </c>
      <c r="BV322" s="5">
        <f>IF($B321&lt;=Tabla5[[#This Row],[INVERSIONES FCI]],+Tabla5[[#This Row],[INVERSIONES FCI]]-BV321,Tabla5[[#This Row],[INVERSIONES FCI]])</f>
        <v>14116894787.672775</v>
      </c>
      <c r="BW322" s="5">
        <f>IF($B321&lt;=Tabla5[[#This Row],[INVERSIONES FCI]],+Tabla5[[#This Row],[INVERSIONES FCI]]-BW321,Tabla5[[#This Row],[INVERSIONES FCI]])</f>
        <v>14116894787.672775</v>
      </c>
      <c r="BX322" s="5">
        <f>IF($B321&lt;=Tabla5[[#This Row],[INVERSIONES FCI]],+Tabla5[[#This Row],[INVERSIONES FCI]]-BX321,Tabla5[[#This Row],[INVERSIONES FCI]])</f>
        <v>14116894787.672775</v>
      </c>
      <c r="BY322" s="5">
        <f>IF($B321&lt;=Tabla5[[#This Row],[INVERSIONES FCI]],+Tabla5[[#This Row],[INVERSIONES FCI]]-BY321,Tabla5[[#This Row],[INVERSIONES FCI]])</f>
        <v>14116894787.672775</v>
      </c>
      <c r="BZ322" s="5">
        <f>IF($B321&lt;=Tabla5[[#This Row],[INVERSIONES FCI]],+Tabla5[[#This Row],[INVERSIONES FCI]]-BZ321,Tabla5[[#This Row],[INVERSIONES FCI]])</f>
        <v>14116894787.672775</v>
      </c>
      <c r="CA322" s="5">
        <f>IF($B321&lt;=Tabla5[[#This Row],[INVERSIONES FCI]],+Tabla5[[#This Row],[INVERSIONES FCI]]-CA321,Tabla5[[#This Row],[INVERSIONES FCI]])</f>
        <v>14116894787.672775</v>
      </c>
      <c r="CB322" s="5">
        <f>IF($B321&lt;=Tabla5[[#This Row],[INVERSIONES FCI]],+Tabla5[[#This Row],[INVERSIONES FCI]]-CB321,Tabla5[[#This Row],[INVERSIONES FCI]])</f>
        <v>14116894787.672775</v>
      </c>
      <c r="CC322" s="5">
        <f>IF($B321&lt;=Tabla5[[#This Row],[INVERSIONES FCI]],+Tabla5[[#This Row],[INVERSIONES FCI]]-CC321,Tabla5[[#This Row],[INVERSIONES FCI]])</f>
        <v>14116894787.672775</v>
      </c>
      <c r="CD322" s="5">
        <f>IF($B321&lt;=Tabla5[[#This Row],[INVERSIONES FCI]],+Tabla5[[#This Row],[INVERSIONES FCI]]-CD321,Tabla5[[#This Row],[INVERSIONES FCI]])</f>
        <v>14116894787.672775</v>
      </c>
      <c r="CE322" s="5">
        <f>IF($B321&lt;=Tabla5[[#This Row],[INVERSIONES FCI]],+Tabla5[[#This Row],[INVERSIONES FCI]]-CE321,Tabla5[[#This Row],[INVERSIONES FCI]])</f>
        <v>14116894787.672775</v>
      </c>
      <c r="CF322" s="5">
        <f>IF($B321&lt;=Tabla5[[#This Row],[INVERSIONES FCI]],+Tabla5[[#This Row],[INVERSIONES FCI]]-CF321,Tabla5[[#This Row],[INVERSIONES FCI]])</f>
        <v>14116894787.672775</v>
      </c>
      <c r="CG322" s="5">
        <f>IF($B321&lt;=Tabla5[[#This Row],[INVERSIONES FCI]],+Tabla5[[#This Row],[INVERSIONES FCI]]-CG321,Tabla5[[#This Row],[INVERSIONES FCI]])</f>
        <v>14116894787.672775</v>
      </c>
      <c r="CH322" s="5">
        <f>IF($B321&lt;=Tabla5[[#This Row],[INVERSIONES FCI]],+Tabla5[[#This Row],[INVERSIONES FCI]]-CH321,Tabla5[[#This Row],[INVERSIONES FCI]])</f>
        <v>14116894787.672775</v>
      </c>
      <c r="CI322" s="5">
        <f>IF($B321&lt;=Tabla5[[#This Row],[INVERSIONES FCI]],+Tabla5[[#This Row],[INVERSIONES FCI]]-CI321,Tabla5[[#This Row],[INVERSIONES FCI]])</f>
        <v>14116894787.672775</v>
      </c>
      <c r="CJ322" s="5">
        <f>IF($B321&lt;=Tabla5[[#This Row],[INVERSIONES FCI]],+Tabla5[[#This Row],[INVERSIONES FCI]]-CJ321,Tabla5[[#This Row],[INVERSIONES FCI]])</f>
        <v>14116894787.672775</v>
      </c>
      <c r="CK322" s="5">
        <f>IF($B321&lt;=Tabla5[[#This Row],[INVERSIONES FCI]],+Tabla5[[#This Row],[INVERSIONES FCI]]-CK321,Tabla5[[#This Row],[INVERSIONES FCI]])</f>
        <v>14116894787.672775</v>
      </c>
      <c r="CL322" s="5">
        <f>IF($B321&lt;=Tabla5[[#This Row],[INVERSIONES FCI]],+Tabla5[[#This Row],[INVERSIONES FCI]]-CL321,Tabla5[[#This Row],[INVERSIONES FCI]])</f>
        <v>14116894787.672775</v>
      </c>
      <c r="CM322" s="5">
        <f>IF($B321&lt;=Tabla5[[#This Row],[INVERSIONES FCI]],+Tabla5[[#This Row],[INVERSIONES FCI]]-CM321,Tabla5[[#This Row],[INVERSIONES FCI]])</f>
        <v>14116894787.672775</v>
      </c>
      <c r="CN322" s="5">
        <f>IF($B321&lt;=Tabla5[[#This Row],[INVERSIONES FCI]],+Tabla5[[#This Row],[INVERSIONES FCI]]-CN321,Tabla5[[#This Row],[INVERSIONES FCI]])</f>
        <v>14116894787.672775</v>
      </c>
      <c r="CO322" s="5">
        <f>IF($B321&lt;=Tabla5[[#This Row],[INVERSIONES FCI]],+Tabla5[[#This Row],[INVERSIONES FCI]]-CO321,Tabla5[[#This Row],[INVERSIONES FCI]])</f>
        <v>14116894787.672775</v>
      </c>
      <c r="CP322" s="5">
        <f>IF($B321&lt;=Tabla5[[#This Row],[INVERSIONES FCI]],+Tabla5[[#This Row],[INVERSIONES FCI]]-CP321,Tabla5[[#This Row],[INVERSIONES FCI]])</f>
        <v>14116894787.672775</v>
      </c>
      <c r="CQ322" s="5">
        <f>IF($B321&lt;=Tabla5[[#This Row],[INVERSIONES FCI]],+Tabla5[[#This Row],[INVERSIONES FCI]]-CQ321,Tabla5[[#This Row],[INVERSIONES FCI]])</f>
        <v>14116894787.672775</v>
      </c>
      <c r="CR322" s="5">
        <f>IF($B321&lt;=Tabla5[[#This Row],[INVERSIONES FCI]],+Tabla5[[#This Row],[INVERSIONES FCI]]-CR321,Tabla5[[#This Row],[INVERSIONES FCI]])</f>
        <v>14116894787.672775</v>
      </c>
      <c r="CS322" s="5">
        <f>IF($B321&lt;=Tabla5[[#This Row],[INVERSIONES FCI]],+Tabla5[[#This Row],[INVERSIONES FCI]]-CS321,Tabla5[[#This Row],[INVERSIONES FCI]])</f>
        <v>14116894787.672775</v>
      </c>
      <c r="CT322" s="5">
        <f>IF($B321&lt;=Tabla5[[#This Row],[INVERSIONES FCI]],+Tabla5[[#This Row],[INVERSIONES FCI]]-CT321,Tabla5[[#This Row],[INVERSIONES FCI]])</f>
        <v>14116894787.672775</v>
      </c>
      <c r="CU322" s="5">
        <f>IF($B321&lt;=Tabla5[[#This Row],[INVERSIONES FCI]],+Tabla5[[#This Row],[INVERSIONES FCI]]-CU321,Tabla5[[#This Row],[INVERSIONES FCI]])</f>
        <v>14116894787.672775</v>
      </c>
      <c r="CV322" s="5">
        <f>IF($B321&lt;=Tabla5[[#This Row],[INVERSIONES FCI]],+Tabla5[[#This Row],[INVERSIONES FCI]]-CV321,Tabla5[[#This Row],[INVERSIONES FCI]])</f>
        <v>14116894787.672775</v>
      </c>
      <c r="CW322" s="5">
        <f>IF($B321&lt;=Tabla5[[#This Row],[INVERSIONES FCI]],+Tabla5[[#This Row],[INVERSIONES FCI]]-CW321,Tabla5[[#This Row],[INVERSIONES FCI]])</f>
        <v>14116894787.672775</v>
      </c>
      <c r="CX322" s="5">
        <f>IF($B321&lt;=Tabla5[[#This Row],[INVERSIONES FCI]],+Tabla5[[#This Row],[INVERSIONES FCI]]-CX321,Tabla5[[#This Row],[INVERSIONES FCI]])</f>
        <v>14116894787.672775</v>
      </c>
      <c r="CY322" s="5">
        <f>IF($B321&lt;=Tabla5[[#This Row],[INVERSIONES FCI]],+Tabla5[[#This Row],[INVERSIONES FCI]]-CY321,Tabla5[[#This Row],[INVERSIONES FCI]])</f>
        <v>14116894787.672775</v>
      </c>
      <c r="CZ322" s="5">
        <f>IF($B321&lt;=Tabla5[[#This Row],[INVERSIONES FCI]],+Tabla5[[#This Row],[INVERSIONES FCI]]-CZ321,Tabla5[[#This Row],[INVERSIONES FCI]])</f>
        <v>14116894787.672775</v>
      </c>
      <c r="DA322" s="5">
        <f>IF($B321&lt;=Tabla5[[#This Row],[INVERSIONES FCI]],+Tabla5[[#This Row],[INVERSIONES FCI]]-DA321,Tabla5[[#This Row],[INVERSIONES FCI]])</f>
        <v>14116894787.672775</v>
      </c>
      <c r="DB322" s="5">
        <f>IF($B321&lt;=Tabla5[[#This Row],[INVERSIONES FCI]],+Tabla5[[#This Row],[INVERSIONES FCI]]-DB321,Tabla5[[#This Row],[INVERSIONES FCI]])</f>
        <v>14116894787.672775</v>
      </c>
      <c r="DC322" s="5">
        <f>IF($B321&lt;=Tabla5[[#This Row],[INVERSIONES FCI]],+Tabla5[[#This Row],[INVERSIONES FCI]]-DC321,Tabla5[[#This Row],[INVERSIONES FCI]])</f>
        <v>14116894787.672775</v>
      </c>
      <c r="DD322" s="5">
        <f>IF($B321&lt;=Tabla5[[#This Row],[INVERSIONES FCI]],+Tabla5[[#This Row],[INVERSIONES FCI]]-DD321,Tabla5[[#This Row],[INVERSIONES FCI]])</f>
        <v>14116894787.672775</v>
      </c>
      <c r="DE322" s="5">
        <f>IF($B321&lt;=Tabla5[[#This Row],[INVERSIONES FCI]],+Tabla5[[#This Row],[INVERSIONES FCI]]-DE321,Tabla5[[#This Row],[INVERSIONES FCI]])</f>
        <v>14116894787.672775</v>
      </c>
      <c r="DF322" s="5">
        <f>IF($B321&lt;=Tabla5[[#This Row],[INVERSIONES FCI]],+Tabla5[[#This Row],[INVERSIONES FCI]]-DF321,Tabla5[[#This Row],[INVERSIONES FCI]])</f>
        <v>14116894787.672775</v>
      </c>
      <c r="DG322" s="5">
        <f>IF($B321&lt;=Tabla5[[#This Row],[INVERSIONES FCI]],+Tabla5[[#This Row],[INVERSIONES FCI]]-DG321,Tabla5[[#This Row],[INVERSIONES FCI]])</f>
        <v>14116894787.672775</v>
      </c>
      <c r="DH322" s="5">
        <f>IF($B321&lt;=Tabla5[[#This Row],[INVERSIONES FCI]],+Tabla5[[#This Row],[INVERSIONES FCI]]-DH321,Tabla5[[#This Row],[INVERSIONES FCI]])</f>
        <v>14116894787.672775</v>
      </c>
      <c r="DI322" s="5">
        <f>IF($B321&lt;=Tabla5[[#This Row],[INVERSIONES FCI]],+Tabla5[[#This Row],[INVERSIONES FCI]]-DI321,Tabla5[[#This Row],[INVERSIONES FCI]])</f>
        <v>14116894787.672775</v>
      </c>
      <c r="DJ322" s="5">
        <f>IF($B321&lt;=Tabla5[[#This Row],[INVERSIONES FCI]],+Tabla5[[#This Row],[INVERSIONES FCI]]-DJ321,Tabla5[[#This Row],[INVERSIONES FCI]])</f>
        <v>14116894787.672775</v>
      </c>
      <c r="DK322" s="5">
        <f>IF($B321&lt;=Tabla5[[#This Row],[INVERSIONES FCI]],+Tabla5[[#This Row],[INVERSIONES FCI]]-DK321,Tabla5[[#This Row],[INVERSIONES FCI]])</f>
        <v>14116894787.672775</v>
      </c>
      <c r="DL322" s="5"/>
      <c r="DM322" s="5"/>
      <c r="DN322" s="5"/>
      <c r="DO322" s="5"/>
      <c r="DP322" s="5"/>
      <c r="DQ322" s="5"/>
    </row>
    <row r="323" spans="1:121" ht="14.4">
      <c r="A323" s="12" t="s">
        <v>322</v>
      </c>
      <c r="B323" s="5">
        <f>HLOOKUP($A323,ESCENARIO[#All],7,FALSE)</f>
        <v>88878908763.09201</v>
      </c>
      <c r="C323" s="5">
        <f>IF($B322&lt;=Tabla5[[#This Row],[INVERSIONES FCI]],+Tabla5[[#This Row],[INVERSIONES FCI]]-C322,Tabla5[[#This Row],[INVERSIONES FCI]])</f>
        <v>74762013975.419235</v>
      </c>
      <c r="D323" s="5">
        <f>IF($B322&lt;=Tabla5[[#This Row],[INVERSIONES FCI]],+Tabla5[[#This Row],[INVERSIONES FCI]]-D322,Tabla5[[#This Row],[INVERSIONES FCI]])</f>
        <v>74762013975.419235</v>
      </c>
      <c r="E323" s="5">
        <f>IF($B322&lt;=Tabla5[[#This Row],[INVERSIONES FCI]],+Tabla5[[#This Row],[INVERSIONES FCI]]-E322,Tabla5[[#This Row],[INVERSIONES FCI]])</f>
        <v>74762013975.419235</v>
      </c>
      <c r="F323" s="5">
        <f>IF($B322&lt;=Tabla5[[#This Row],[INVERSIONES FCI]],+Tabla5[[#This Row],[INVERSIONES FCI]]-F322,Tabla5[[#This Row],[INVERSIONES FCI]])</f>
        <v>74762013975.419235</v>
      </c>
      <c r="G323" s="5">
        <f>IF($B322&lt;=Tabla5[[#This Row],[INVERSIONES FCI]],+Tabla5[[#This Row],[INVERSIONES FCI]]-G322,Tabla5[[#This Row],[INVERSIONES FCI]])</f>
        <v>74762013975.419235</v>
      </c>
      <c r="H323" s="5">
        <f>IF($B322&lt;=Tabla5[[#This Row],[INVERSIONES FCI]],+Tabla5[[#This Row],[INVERSIONES FCI]]-H322,Tabla5[[#This Row],[INVERSIONES FCI]])</f>
        <v>74762013975.419235</v>
      </c>
      <c r="I323" s="5">
        <f>IF($B322&lt;=Tabla5[[#This Row],[INVERSIONES FCI]],+Tabla5[[#This Row],[INVERSIONES FCI]]-I322,Tabla5[[#This Row],[INVERSIONES FCI]])</f>
        <v>74762013975.419235</v>
      </c>
      <c r="J323" s="5">
        <f>IF($B322&lt;=Tabla5[[#This Row],[INVERSIONES FCI]],+Tabla5[[#This Row],[INVERSIONES FCI]]-J322,Tabla5[[#This Row],[INVERSIONES FCI]])</f>
        <v>74762013975.419235</v>
      </c>
      <c r="K323" s="5">
        <f>IF($B322&lt;=Tabla5[[#This Row],[INVERSIONES FCI]],+Tabla5[[#This Row],[INVERSIONES FCI]]-K322,Tabla5[[#This Row],[INVERSIONES FCI]])</f>
        <v>74762013975.419235</v>
      </c>
      <c r="L323" s="5">
        <f>IF($B322&lt;=Tabla5[[#This Row],[INVERSIONES FCI]],+Tabla5[[#This Row],[INVERSIONES FCI]]-L322,Tabla5[[#This Row],[INVERSIONES FCI]])</f>
        <v>74762013975.419235</v>
      </c>
      <c r="M323" s="5">
        <f>IF($B322&lt;=Tabla5[[#This Row],[INVERSIONES FCI]],+Tabla5[[#This Row],[INVERSIONES FCI]]-M322,Tabla5[[#This Row],[INVERSIONES FCI]])</f>
        <v>74762013975.419235</v>
      </c>
      <c r="N323" s="5">
        <f>IF($B322&lt;=Tabla5[[#This Row],[INVERSIONES FCI]],+Tabla5[[#This Row],[INVERSIONES FCI]]-N322,Tabla5[[#This Row],[INVERSIONES FCI]])</f>
        <v>74762013975.419235</v>
      </c>
      <c r="O323" s="5">
        <f>IF($B322&lt;=Tabla5[[#This Row],[INVERSIONES FCI]],+Tabla5[[#This Row],[INVERSIONES FCI]]-O322,Tabla5[[#This Row],[INVERSIONES FCI]])</f>
        <v>74762013975.419235</v>
      </c>
      <c r="P323" s="5">
        <f>IF($B322&lt;=Tabla5[[#This Row],[INVERSIONES FCI]],+Tabla5[[#This Row],[INVERSIONES FCI]]-P322,Tabla5[[#This Row],[INVERSIONES FCI]])</f>
        <v>74762013975.419235</v>
      </c>
      <c r="Q323" s="5">
        <f>IF($B322&lt;=Tabla5[[#This Row],[INVERSIONES FCI]],+Tabla5[[#This Row],[INVERSIONES FCI]]-Q322,Tabla5[[#This Row],[INVERSIONES FCI]])</f>
        <v>74762013975.419235</v>
      </c>
      <c r="R323" s="5">
        <f>IF($B322&lt;=Tabla5[[#This Row],[INVERSIONES FCI]],+Tabla5[[#This Row],[INVERSIONES FCI]]-R322,Tabla5[[#This Row],[INVERSIONES FCI]])</f>
        <v>74762013975.419235</v>
      </c>
      <c r="S323" s="5">
        <f>IF($B322&lt;=Tabla5[[#This Row],[INVERSIONES FCI]],+Tabla5[[#This Row],[INVERSIONES FCI]]-S322,Tabla5[[#This Row],[INVERSIONES FCI]])</f>
        <v>74762013975.419235</v>
      </c>
      <c r="T323" s="5">
        <f>IF($B322&lt;=Tabla5[[#This Row],[INVERSIONES FCI]],+Tabla5[[#This Row],[INVERSIONES FCI]]-T322,Tabla5[[#This Row],[INVERSIONES FCI]])</f>
        <v>74762013975.419235</v>
      </c>
      <c r="U323" s="5">
        <f>IF($B322&lt;=Tabla5[[#This Row],[INVERSIONES FCI]],+Tabla5[[#This Row],[INVERSIONES FCI]]-U322,Tabla5[[#This Row],[INVERSIONES FCI]])</f>
        <v>74762013975.419235</v>
      </c>
      <c r="V323" s="5">
        <f>IF($B322&lt;=Tabla5[[#This Row],[INVERSIONES FCI]],+Tabla5[[#This Row],[INVERSIONES FCI]]-V322,Tabla5[[#This Row],[INVERSIONES FCI]])</f>
        <v>74762013975.419235</v>
      </c>
      <c r="W323" s="5">
        <f>IF($B322&lt;=Tabla5[[#This Row],[INVERSIONES FCI]],+Tabla5[[#This Row],[INVERSIONES FCI]]-W322,Tabla5[[#This Row],[INVERSIONES FCI]])</f>
        <v>74762013975.419235</v>
      </c>
      <c r="X323" s="5">
        <f>IF($B322&lt;=Tabla5[[#This Row],[INVERSIONES FCI]],+Tabla5[[#This Row],[INVERSIONES FCI]]-X322,Tabla5[[#This Row],[INVERSIONES FCI]])</f>
        <v>74762013975.419235</v>
      </c>
      <c r="Y323" s="5">
        <f>IF($B322&lt;=Tabla5[[#This Row],[INVERSIONES FCI]],+Tabla5[[#This Row],[INVERSIONES FCI]]-Y322,Tabla5[[#This Row],[INVERSIONES FCI]])</f>
        <v>74762013975.419235</v>
      </c>
      <c r="Z323" s="5">
        <f>IF($B322&lt;=Tabla5[[#This Row],[INVERSIONES FCI]],+Tabla5[[#This Row],[INVERSIONES FCI]]-Z322,Tabla5[[#This Row],[INVERSIONES FCI]])</f>
        <v>74762013975.419235</v>
      </c>
      <c r="AA323" s="5">
        <f>IF($B322&lt;=Tabla5[[#This Row],[INVERSIONES FCI]],+Tabla5[[#This Row],[INVERSIONES FCI]]-AA322,Tabla5[[#This Row],[INVERSIONES FCI]])</f>
        <v>74762013975.419235</v>
      </c>
      <c r="AB323" s="5">
        <f>IF($B322&lt;=Tabla5[[#This Row],[INVERSIONES FCI]],+Tabla5[[#This Row],[INVERSIONES FCI]]-AB322,Tabla5[[#This Row],[INVERSIONES FCI]])</f>
        <v>74762013975.419235</v>
      </c>
      <c r="AC323" s="5">
        <f>IF($B322&lt;=Tabla5[[#This Row],[INVERSIONES FCI]],+Tabla5[[#This Row],[INVERSIONES FCI]]-AC322,Tabla5[[#This Row],[INVERSIONES FCI]])</f>
        <v>74762013975.419235</v>
      </c>
      <c r="AD323" s="5">
        <f>IF($B322&lt;=Tabla5[[#This Row],[INVERSIONES FCI]],+Tabla5[[#This Row],[INVERSIONES FCI]]-AD322,Tabla5[[#This Row],[INVERSIONES FCI]])</f>
        <v>74762013975.419235</v>
      </c>
      <c r="AE323" s="5">
        <f>IF($B322&lt;=Tabla5[[#This Row],[INVERSIONES FCI]],+Tabla5[[#This Row],[INVERSIONES FCI]]-AE322,Tabla5[[#This Row],[INVERSIONES FCI]])</f>
        <v>74762013975.419235</v>
      </c>
      <c r="AF323" s="5">
        <f>IF($B322&lt;=Tabla5[[#This Row],[INVERSIONES FCI]],+Tabla5[[#This Row],[INVERSIONES FCI]]-AF322,Tabla5[[#This Row],[INVERSIONES FCI]])</f>
        <v>74762013975.419235</v>
      </c>
      <c r="AG323" s="5">
        <f>IF($B322&lt;=Tabla5[[#This Row],[INVERSIONES FCI]],+Tabla5[[#This Row],[INVERSIONES FCI]]-AG322,Tabla5[[#This Row],[INVERSIONES FCI]])</f>
        <v>74762013975.419235</v>
      </c>
      <c r="AH323" s="5">
        <f>IF($B322&lt;=Tabla5[[#This Row],[INVERSIONES FCI]],+Tabla5[[#This Row],[INVERSIONES FCI]]-AH322,Tabla5[[#This Row],[INVERSIONES FCI]])</f>
        <v>74762013975.419235</v>
      </c>
      <c r="AI323" s="5">
        <f>IF($B322&lt;=Tabla5[[#This Row],[INVERSIONES FCI]],+Tabla5[[#This Row],[INVERSIONES FCI]]-AI322,Tabla5[[#This Row],[INVERSIONES FCI]])</f>
        <v>74762013975.419235</v>
      </c>
      <c r="AJ323" s="5">
        <f>IF($B322&lt;=Tabla5[[#This Row],[INVERSIONES FCI]],+Tabla5[[#This Row],[INVERSIONES FCI]]-AJ322,Tabla5[[#This Row],[INVERSIONES FCI]])</f>
        <v>74762013975.419235</v>
      </c>
      <c r="AK323" s="5">
        <f>IF($B322&lt;=Tabla5[[#This Row],[INVERSIONES FCI]],+Tabla5[[#This Row],[INVERSIONES FCI]]-AK322,Tabla5[[#This Row],[INVERSIONES FCI]])</f>
        <v>74762013975.419235</v>
      </c>
      <c r="AL323" s="5">
        <f>IF($B322&lt;=Tabla5[[#This Row],[INVERSIONES FCI]],+Tabla5[[#This Row],[INVERSIONES FCI]]-AL322,Tabla5[[#This Row],[INVERSIONES FCI]])</f>
        <v>74762013975.419235</v>
      </c>
      <c r="AM323" s="5">
        <f>IF($B322&lt;=Tabla5[[#This Row],[INVERSIONES FCI]],+Tabla5[[#This Row],[INVERSIONES FCI]]-AM322,Tabla5[[#This Row],[INVERSIONES FCI]])</f>
        <v>74762013975.419235</v>
      </c>
      <c r="AN323" s="5">
        <f>IF($B322&lt;=Tabla5[[#This Row],[INVERSIONES FCI]],+Tabla5[[#This Row],[INVERSIONES FCI]]-AN322,Tabla5[[#This Row],[INVERSIONES FCI]])</f>
        <v>74762013975.419235</v>
      </c>
      <c r="AO323" s="5">
        <f>IF($B322&lt;=Tabla5[[#This Row],[INVERSIONES FCI]],+Tabla5[[#This Row],[INVERSIONES FCI]]-AO322,Tabla5[[#This Row],[INVERSIONES FCI]])</f>
        <v>74762013975.419235</v>
      </c>
      <c r="AP323" s="5">
        <f>IF($B322&lt;=Tabla5[[#This Row],[INVERSIONES FCI]],+Tabla5[[#This Row],[INVERSIONES FCI]]-AP322,Tabla5[[#This Row],[INVERSIONES FCI]])</f>
        <v>74762013975.419235</v>
      </c>
      <c r="AQ323" s="5">
        <f>IF($B322&lt;=Tabla5[[#This Row],[INVERSIONES FCI]],+Tabla5[[#This Row],[INVERSIONES FCI]]-AQ322,Tabla5[[#This Row],[INVERSIONES FCI]])</f>
        <v>74762013975.419235</v>
      </c>
      <c r="AR323" s="5">
        <f>IF($B322&lt;=Tabla5[[#This Row],[INVERSIONES FCI]],+Tabla5[[#This Row],[INVERSIONES FCI]]-AR322,Tabla5[[#This Row],[INVERSIONES FCI]])</f>
        <v>74762013975.419235</v>
      </c>
      <c r="AS323" s="5">
        <f>IF($B322&lt;=Tabla5[[#This Row],[INVERSIONES FCI]],+Tabla5[[#This Row],[INVERSIONES FCI]]-AS322,Tabla5[[#This Row],[INVERSIONES FCI]])</f>
        <v>74762013975.419235</v>
      </c>
      <c r="AT323" s="5">
        <f>IF($B322&lt;=Tabla5[[#This Row],[INVERSIONES FCI]],+Tabla5[[#This Row],[INVERSIONES FCI]]-AT322,Tabla5[[#This Row],[INVERSIONES FCI]])</f>
        <v>74762013975.419235</v>
      </c>
      <c r="AU323" s="5">
        <f>IF($B322&lt;=Tabla5[[#This Row],[INVERSIONES FCI]],+Tabla5[[#This Row],[INVERSIONES FCI]]-AU322,Tabla5[[#This Row],[INVERSIONES FCI]])</f>
        <v>74762013975.419235</v>
      </c>
      <c r="AV323" s="5">
        <f>IF($B322&lt;=Tabla5[[#This Row],[INVERSIONES FCI]],+Tabla5[[#This Row],[INVERSIONES FCI]]-AV322,Tabla5[[#This Row],[INVERSIONES FCI]])</f>
        <v>74762013975.419235</v>
      </c>
      <c r="AW323" s="5">
        <f>IF($B322&lt;=Tabla5[[#This Row],[INVERSIONES FCI]],+Tabla5[[#This Row],[INVERSIONES FCI]]-AW322,Tabla5[[#This Row],[INVERSIONES FCI]])</f>
        <v>74762013975.419235</v>
      </c>
      <c r="AX323" s="5">
        <f>IF($B322&lt;=Tabla5[[#This Row],[INVERSIONES FCI]],+Tabla5[[#This Row],[INVERSIONES FCI]]-AX322,Tabla5[[#This Row],[INVERSIONES FCI]])</f>
        <v>74762013975.419235</v>
      </c>
      <c r="AY323" s="5">
        <f>IF($B322&lt;=Tabla5[[#This Row],[INVERSIONES FCI]],+Tabla5[[#This Row],[INVERSIONES FCI]]-AY322,Tabla5[[#This Row],[INVERSIONES FCI]])</f>
        <v>74762013975.419235</v>
      </c>
      <c r="AZ323" s="5">
        <f>IF($B322&lt;=Tabla5[[#This Row],[INVERSIONES FCI]],+Tabla5[[#This Row],[INVERSIONES FCI]]-AZ322,Tabla5[[#This Row],[INVERSIONES FCI]])</f>
        <v>74762013975.419235</v>
      </c>
      <c r="BA323" s="5">
        <f>IF($B322&lt;=Tabla5[[#This Row],[INVERSIONES FCI]],+Tabla5[[#This Row],[INVERSIONES FCI]]-BA322,Tabla5[[#This Row],[INVERSIONES FCI]])</f>
        <v>74762013975.419235</v>
      </c>
      <c r="BB323" s="5">
        <f>IF($B322&lt;=Tabla5[[#This Row],[INVERSIONES FCI]],+Tabla5[[#This Row],[INVERSIONES FCI]]-BB322,Tabla5[[#This Row],[INVERSIONES FCI]])</f>
        <v>74762013975.419235</v>
      </c>
      <c r="BC323" s="5">
        <f>IF($B322&lt;=Tabla5[[#This Row],[INVERSIONES FCI]],+Tabla5[[#This Row],[INVERSIONES FCI]]-BC322,Tabla5[[#This Row],[INVERSIONES FCI]])</f>
        <v>74762013975.419235</v>
      </c>
      <c r="BD323" s="5">
        <f>IF($B322&lt;=Tabla5[[#This Row],[INVERSIONES FCI]],+Tabla5[[#This Row],[INVERSIONES FCI]]-BD322,Tabla5[[#This Row],[INVERSIONES FCI]])</f>
        <v>74762013975.419235</v>
      </c>
      <c r="BE323" s="5">
        <f>IF($B322&lt;=Tabla5[[#This Row],[INVERSIONES FCI]],+Tabla5[[#This Row],[INVERSIONES FCI]]-BE322,Tabla5[[#This Row],[INVERSIONES FCI]])</f>
        <v>74762013975.419235</v>
      </c>
      <c r="BF323" s="5">
        <f>IF($B322&lt;=Tabla5[[#This Row],[INVERSIONES FCI]],+Tabla5[[#This Row],[INVERSIONES FCI]]-BF322,Tabla5[[#This Row],[INVERSIONES FCI]])</f>
        <v>74762013975.419235</v>
      </c>
      <c r="BG323" s="5">
        <f>IF($B322&lt;=Tabla5[[#This Row],[INVERSIONES FCI]],+Tabla5[[#This Row],[INVERSIONES FCI]]-BG322,Tabla5[[#This Row],[INVERSIONES FCI]])</f>
        <v>74762013975.419235</v>
      </c>
      <c r="BH323" s="5">
        <f>IF($B322&lt;=Tabla5[[#This Row],[INVERSIONES FCI]],+Tabla5[[#This Row],[INVERSIONES FCI]]-BH322,Tabla5[[#This Row],[INVERSIONES FCI]])</f>
        <v>74762013975.419235</v>
      </c>
      <c r="BI323" s="5">
        <f>IF($B322&lt;=Tabla5[[#This Row],[INVERSIONES FCI]],+Tabla5[[#This Row],[INVERSIONES FCI]]-BI322,Tabla5[[#This Row],[INVERSIONES FCI]])</f>
        <v>74762013975.419235</v>
      </c>
      <c r="BJ323" s="5">
        <f>IF($B322&lt;=Tabla5[[#This Row],[INVERSIONES FCI]],+Tabla5[[#This Row],[INVERSIONES FCI]]-BJ322,Tabla5[[#This Row],[INVERSIONES FCI]])</f>
        <v>74762013975.419235</v>
      </c>
      <c r="BK323" s="5">
        <f>IF($B322&lt;=Tabla5[[#This Row],[INVERSIONES FCI]],+Tabla5[[#This Row],[INVERSIONES FCI]]-BK322,Tabla5[[#This Row],[INVERSIONES FCI]])</f>
        <v>74762013975.419235</v>
      </c>
      <c r="BL323" s="5">
        <f>IF($B322&lt;=Tabla5[[#This Row],[INVERSIONES FCI]],+Tabla5[[#This Row],[INVERSIONES FCI]]-BL322,Tabla5[[#This Row],[INVERSIONES FCI]])</f>
        <v>74762013975.419235</v>
      </c>
      <c r="BM323" s="5">
        <f>IF($B322&lt;=Tabla5[[#This Row],[INVERSIONES FCI]],+Tabla5[[#This Row],[INVERSIONES FCI]]-BM322,Tabla5[[#This Row],[INVERSIONES FCI]])</f>
        <v>74762013975.419235</v>
      </c>
      <c r="BN323" s="5">
        <f>IF($B322&lt;=Tabla5[[#This Row],[INVERSIONES FCI]],+Tabla5[[#This Row],[INVERSIONES FCI]]-BN322,Tabla5[[#This Row],[INVERSIONES FCI]])</f>
        <v>74762013975.419235</v>
      </c>
      <c r="BO323" s="5">
        <f>IF($B322&lt;=Tabla5[[#This Row],[INVERSIONES FCI]],+Tabla5[[#This Row],[INVERSIONES FCI]]-BO322,Tabla5[[#This Row],[INVERSIONES FCI]])</f>
        <v>74762013975.419235</v>
      </c>
      <c r="BP323" s="5">
        <f>IF($B322&lt;=Tabla5[[#This Row],[INVERSIONES FCI]],+Tabla5[[#This Row],[INVERSIONES FCI]]-BP322,Tabla5[[#This Row],[INVERSIONES FCI]])</f>
        <v>74762013975.419235</v>
      </c>
      <c r="BQ323" s="5">
        <f>IF($B322&lt;=Tabla5[[#This Row],[INVERSIONES FCI]],+Tabla5[[#This Row],[INVERSIONES FCI]]-BQ322,Tabla5[[#This Row],[INVERSIONES FCI]])</f>
        <v>74762013975.419235</v>
      </c>
      <c r="BR323" s="5">
        <f>IF($B322&lt;=Tabla5[[#This Row],[INVERSIONES FCI]],+Tabla5[[#This Row],[INVERSIONES FCI]]-BR322,Tabla5[[#This Row],[INVERSIONES FCI]])</f>
        <v>74762013975.419235</v>
      </c>
      <c r="BS323" s="5">
        <f>IF($B322&lt;=Tabla5[[#This Row],[INVERSIONES FCI]],+Tabla5[[#This Row],[INVERSIONES FCI]]-BS322,Tabla5[[#This Row],[INVERSIONES FCI]])</f>
        <v>74762013975.419235</v>
      </c>
      <c r="BT323" s="5">
        <f>IF($B322&lt;=Tabla5[[#This Row],[INVERSIONES FCI]],+Tabla5[[#This Row],[INVERSIONES FCI]]-BT322,Tabla5[[#This Row],[INVERSIONES FCI]])</f>
        <v>74762013975.419235</v>
      </c>
      <c r="BU323" s="5">
        <f>IF($B322&lt;=Tabla5[[#This Row],[INVERSIONES FCI]],+Tabla5[[#This Row],[INVERSIONES FCI]]-BU322,Tabla5[[#This Row],[INVERSIONES FCI]])</f>
        <v>74762013975.419235</v>
      </c>
      <c r="BV323" s="5">
        <f>IF($B322&lt;=Tabla5[[#This Row],[INVERSIONES FCI]],+Tabla5[[#This Row],[INVERSIONES FCI]]-BV322,Tabla5[[#This Row],[INVERSIONES FCI]])</f>
        <v>74762013975.419235</v>
      </c>
      <c r="BW323" s="5">
        <f>IF($B322&lt;=Tabla5[[#This Row],[INVERSIONES FCI]],+Tabla5[[#This Row],[INVERSIONES FCI]]-BW322,Tabla5[[#This Row],[INVERSIONES FCI]])</f>
        <v>74762013975.419235</v>
      </c>
      <c r="BX323" s="5">
        <f>IF($B322&lt;=Tabla5[[#This Row],[INVERSIONES FCI]],+Tabla5[[#This Row],[INVERSIONES FCI]]-BX322,Tabla5[[#This Row],[INVERSIONES FCI]])</f>
        <v>74762013975.419235</v>
      </c>
      <c r="BY323" s="5">
        <f>IF($B322&lt;=Tabla5[[#This Row],[INVERSIONES FCI]],+Tabla5[[#This Row],[INVERSIONES FCI]]-BY322,Tabla5[[#This Row],[INVERSIONES FCI]])</f>
        <v>74762013975.419235</v>
      </c>
      <c r="BZ323" s="5">
        <f>IF($B322&lt;=Tabla5[[#This Row],[INVERSIONES FCI]],+Tabla5[[#This Row],[INVERSIONES FCI]]-BZ322,Tabla5[[#This Row],[INVERSIONES FCI]])</f>
        <v>74762013975.419235</v>
      </c>
      <c r="CA323" s="5">
        <f>IF($B322&lt;=Tabla5[[#This Row],[INVERSIONES FCI]],+Tabla5[[#This Row],[INVERSIONES FCI]]-CA322,Tabla5[[#This Row],[INVERSIONES FCI]])</f>
        <v>74762013975.419235</v>
      </c>
      <c r="CB323" s="5">
        <f>IF($B322&lt;=Tabla5[[#This Row],[INVERSIONES FCI]],+Tabla5[[#This Row],[INVERSIONES FCI]]-CB322,Tabla5[[#This Row],[INVERSIONES FCI]])</f>
        <v>74762013975.419235</v>
      </c>
      <c r="CC323" s="5">
        <f>IF($B322&lt;=Tabla5[[#This Row],[INVERSIONES FCI]],+Tabla5[[#This Row],[INVERSIONES FCI]]-CC322,Tabla5[[#This Row],[INVERSIONES FCI]])</f>
        <v>74762013975.419235</v>
      </c>
      <c r="CD323" s="5">
        <f>IF($B322&lt;=Tabla5[[#This Row],[INVERSIONES FCI]],+Tabla5[[#This Row],[INVERSIONES FCI]]-CD322,Tabla5[[#This Row],[INVERSIONES FCI]])</f>
        <v>74762013975.419235</v>
      </c>
      <c r="CE323" s="5">
        <f>IF($B322&lt;=Tabla5[[#This Row],[INVERSIONES FCI]],+Tabla5[[#This Row],[INVERSIONES FCI]]-CE322,Tabla5[[#This Row],[INVERSIONES FCI]])</f>
        <v>74762013975.419235</v>
      </c>
      <c r="CF323" s="5">
        <f>IF($B322&lt;=Tabla5[[#This Row],[INVERSIONES FCI]],+Tabla5[[#This Row],[INVERSIONES FCI]]-CF322,Tabla5[[#This Row],[INVERSIONES FCI]])</f>
        <v>74762013975.419235</v>
      </c>
      <c r="CG323" s="5">
        <f>IF($B322&lt;=Tabla5[[#This Row],[INVERSIONES FCI]],+Tabla5[[#This Row],[INVERSIONES FCI]]-CG322,Tabla5[[#This Row],[INVERSIONES FCI]])</f>
        <v>74762013975.419235</v>
      </c>
      <c r="CH323" s="5">
        <f>IF($B322&lt;=Tabla5[[#This Row],[INVERSIONES FCI]],+Tabla5[[#This Row],[INVERSIONES FCI]]-CH322,Tabla5[[#This Row],[INVERSIONES FCI]])</f>
        <v>74762013975.419235</v>
      </c>
      <c r="CI323" s="5">
        <f>IF($B322&lt;=Tabla5[[#This Row],[INVERSIONES FCI]],+Tabla5[[#This Row],[INVERSIONES FCI]]-CI322,Tabla5[[#This Row],[INVERSIONES FCI]])</f>
        <v>74762013975.419235</v>
      </c>
      <c r="CJ323" s="5">
        <f>IF($B322&lt;=Tabla5[[#This Row],[INVERSIONES FCI]],+Tabla5[[#This Row],[INVERSIONES FCI]]-CJ322,Tabla5[[#This Row],[INVERSIONES FCI]])</f>
        <v>74762013975.419235</v>
      </c>
      <c r="CK323" s="5">
        <f>IF($B322&lt;=Tabla5[[#This Row],[INVERSIONES FCI]],+Tabla5[[#This Row],[INVERSIONES FCI]]-CK322,Tabla5[[#This Row],[INVERSIONES FCI]])</f>
        <v>74762013975.419235</v>
      </c>
      <c r="CL323" s="5">
        <f>IF($B322&lt;=Tabla5[[#This Row],[INVERSIONES FCI]],+Tabla5[[#This Row],[INVERSIONES FCI]]-CL322,Tabla5[[#This Row],[INVERSIONES FCI]])</f>
        <v>74762013975.419235</v>
      </c>
      <c r="CM323" s="5">
        <f>IF($B322&lt;=Tabla5[[#This Row],[INVERSIONES FCI]],+Tabla5[[#This Row],[INVERSIONES FCI]]-CM322,Tabla5[[#This Row],[INVERSIONES FCI]])</f>
        <v>74762013975.419235</v>
      </c>
      <c r="CN323" s="5">
        <f>IF($B322&lt;=Tabla5[[#This Row],[INVERSIONES FCI]],+Tabla5[[#This Row],[INVERSIONES FCI]]-CN322,Tabla5[[#This Row],[INVERSIONES FCI]])</f>
        <v>74762013975.419235</v>
      </c>
      <c r="CO323" s="5">
        <f>IF($B322&lt;=Tabla5[[#This Row],[INVERSIONES FCI]],+Tabla5[[#This Row],[INVERSIONES FCI]]-CO322,Tabla5[[#This Row],[INVERSIONES FCI]])</f>
        <v>74762013975.419235</v>
      </c>
      <c r="CP323" s="5">
        <f>IF($B322&lt;=Tabla5[[#This Row],[INVERSIONES FCI]],+Tabla5[[#This Row],[INVERSIONES FCI]]-CP322,Tabla5[[#This Row],[INVERSIONES FCI]])</f>
        <v>74762013975.419235</v>
      </c>
      <c r="CQ323" s="5">
        <f>IF($B322&lt;=Tabla5[[#This Row],[INVERSIONES FCI]],+Tabla5[[#This Row],[INVERSIONES FCI]]-CQ322,Tabla5[[#This Row],[INVERSIONES FCI]])</f>
        <v>74762013975.419235</v>
      </c>
      <c r="CR323" s="5">
        <f>IF($B322&lt;=Tabla5[[#This Row],[INVERSIONES FCI]],+Tabla5[[#This Row],[INVERSIONES FCI]]-CR322,Tabla5[[#This Row],[INVERSIONES FCI]])</f>
        <v>74762013975.419235</v>
      </c>
      <c r="CS323" s="5">
        <f>IF($B322&lt;=Tabla5[[#This Row],[INVERSIONES FCI]],+Tabla5[[#This Row],[INVERSIONES FCI]]-CS322,Tabla5[[#This Row],[INVERSIONES FCI]])</f>
        <v>74762013975.419235</v>
      </c>
      <c r="CT323" s="5">
        <f>IF($B322&lt;=Tabla5[[#This Row],[INVERSIONES FCI]],+Tabla5[[#This Row],[INVERSIONES FCI]]-CT322,Tabla5[[#This Row],[INVERSIONES FCI]])</f>
        <v>74762013975.419235</v>
      </c>
      <c r="CU323" s="5">
        <f>IF($B322&lt;=Tabla5[[#This Row],[INVERSIONES FCI]],+Tabla5[[#This Row],[INVERSIONES FCI]]-CU322,Tabla5[[#This Row],[INVERSIONES FCI]])</f>
        <v>74762013975.419235</v>
      </c>
      <c r="CV323" s="5">
        <f>IF($B322&lt;=Tabla5[[#This Row],[INVERSIONES FCI]],+Tabla5[[#This Row],[INVERSIONES FCI]]-CV322,Tabla5[[#This Row],[INVERSIONES FCI]])</f>
        <v>74762013975.419235</v>
      </c>
      <c r="CW323" s="5">
        <f>IF($B322&lt;=Tabla5[[#This Row],[INVERSIONES FCI]],+Tabla5[[#This Row],[INVERSIONES FCI]]-CW322,Tabla5[[#This Row],[INVERSIONES FCI]])</f>
        <v>74762013975.419235</v>
      </c>
      <c r="CX323" s="5">
        <f>IF($B322&lt;=Tabla5[[#This Row],[INVERSIONES FCI]],+Tabla5[[#This Row],[INVERSIONES FCI]]-CX322,Tabla5[[#This Row],[INVERSIONES FCI]])</f>
        <v>74762013975.419235</v>
      </c>
      <c r="CY323" s="5">
        <f>IF($B322&lt;=Tabla5[[#This Row],[INVERSIONES FCI]],+Tabla5[[#This Row],[INVERSIONES FCI]]-CY322,Tabla5[[#This Row],[INVERSIONES FCI]])</f>
        <v>74762013975.419235</v>
      </c>
      <c r="CZ323" s="5">
        <f>IF($B322&lt;=Tabla5[[#This Row],[INVERSIONES FCI]],+Tabla5[[#This Row],[INVERSIONES FCI]]-CZ322,Tabla5[[#This Row],[INVERSIONES FCI]])</f>
        <v>74762013975.419235</v>
      </c>
      <c r="DA323" s="5">
        <f>IF($B322&lt;=Tabla5[[#This Row],[INVERSIONES FCI]],+Tabla5[[#This Row],[INVERSIONES FCI]]-DA322,Tabla5[[#This Row],[INVERSIONES FCI]])</f>
        <v>74762013975.419235</v>
      </c>
      <c r="DB323" s="5">
        <f>IF($B322&lt;=Tabla5[[#This Row],[INVERSIONES FCI]],+Tabla5[[#This Row],[INVERSIONES FCI]]-DB322,Tabla5[[#This Row],[INVERSIONES FCI]])</f>
        <v>74762013975.419235</v>
      </c>
      <c r="DC323" s="5">
        <f>IF($B322&lt;=Tabla5[[#This Row],[INVERSIONES FCI]],+Tabla5[[#This Row],[INVERSIONES FCI]]-DC322,Tabla5[[#This Row],[INVERSIONES FCI]])</f>
        <v>74762013975.419235</v>
      </c>
      <c r="DD323" s="5">
        <f>IF($B322&lt;=Tabla5[[#This Row],[INVERSIONES FCI]],+Tabla5[[#This Row],[INVERSIONES FCI]]-DD322,Tabla5[[#This Row],[INVERSIONES FCI]])</f>
        <v>74762013975.419235</v>
      </c>
      <c r="DE323" s="5">
        <f>IF($B322&lt;=Tabla5[[#This Row],[INVERSIONES FCI]],+Tabla5[[#This Row],[INVERSIONES FCI]]-DE322,Tabla5[[#This Row],[INVERSIONES FCI]])</f>
        <v>74762013975.419235</v>
      </c>
      <c r="DF323" s="5">
        <f>IF($B322&lt;=Tabla5[[#This Row],[INVERSIONES FCI]],+Tabla5[[#This Row],[INVERSIONES FCI]]-DF322,Tabla5[[#This Row],[INVERSIONES FCI]])</f>
        <v>74762013975.419235</v>
      </c>
      <c r="DG323" s="5">
        <f>IF($B322&lt;=Tabla5[[#This Row],[INVERSIONES FCI]],+Tabla5[[#This Row],[INVERSIONES FCI]]-DG322,Tabla5[[#This Row],[INVERSIONES FCI]])</f>
        <v>74762013975.419235</v>
      </c>
      <c r="DH323" s="5">
        <f>IF($B322&lt;=Tabla5[[#This Row],[INVERSIONES FCI]],+Tabla5[[#This Row],[INVERSIONES FCI]]-DH322,Tabla5[[#This Row],[INVERSIONES FCI]])</f>
        <v>74762013975.419235</v>
      </c>
      <c r="DI323" s="5">
        <f>IF($B322&lt;=Tabla5[[#This Row],[INVERSIONES FCI]],+Tabla5[[#This Row],[INVERSIONES FCI]]-DI322,Tabla5[[#This Row],[INVERSIONES FCI]])</f>
        <v>74762013975.419235</v>
      </c>
      <c r="DJ323" s="5">
        <f>IF($B322&lt;=Tabla5[[#This Row],[INVERSIONES FCI]],+Tabla5[[#This Row],[INVERSIONES FCI]]-DJ322,Tabla5[[#This Row],[INVERSIONES FCI]])</f>
        <v>74762013975.419235</v>
      </c>
      <c r="DK323" s="5">
        <f>IF($B322&lt;=Tabla5[[#This Row],[INVERSIONES FCI]],+Tabla5[[#This Row],[INVERSIONES FCI]]-DK322,Tabla5[[#This Row],[INVERSIONES FCI]])</f>
        <v>74762013975.419235</v>
      </c>
      <c r="DL323" s="5"/>
      <c r="DM323" s="5"/>
      <c r="DN323" s="5"/>
      <c r="DO323" s="5"/>
      <c r="DP323" s="5"/>
      <c r="DQ323" s="5"/>
    </row>
    <row r="324" spans="1:121" ht="14.4">
      <c r="A324" s="12" t="s">
        <v>323</v>
      </c>
      <c r="B324" s="5">
        <f>HLOOKUP($A324,ESCENARIO[#All],7,FALSE)</f>
        <v>88878908763.09201</v>
      </c>
      <c r="C324" s="5">
        <f>IF($B323&lt;=Tabla5[[#This Row],[INVERSIONES FCI]],+Tabla5[[#This Row],[INVERSIONES FCI]]-C323,Tabla5[[#This Row],[INVERSIONES FCI]])</f>
        <v>14116894787.672775</v>
      </c>
      <c r="D324" s="5">
        <f>IF($B323&lt;=Tabla5[[#This Row],[INVERSIONES FCI]],+Tabla5[[#This Row],[INVERSIONES FCI]]-D323,Tabla5[[#This Row],[INVERSIONES FCI]])</f>
        <v>14116894787.672775</v>
      </c>
      <c r="E324" s="5">
        <f>IF($B323&lt;=Tabla5[[#This Row],[INVERSIONES FCI]],+Tabla5[[#This Row],[INVERSIONES FCI]]-E323,Tabla5[[#This Row],[INVERSIONES FCI]])</f>
        <v>14116894787.672775</v>
      </c>
      <c r="F324" s="5">
        <f>IF($B323&lt;=Tabla5[[#This Row],[INVERSIONES FCI]],+Tabla5[[#This Row],[INVERSIONES FCI]]-F323,Tabla5[[#This Row],[INVERSIONES FCI]])</f>
        <v>14116894787.672775</v>
      </c>
      <c r="G324" s="5">
        <f>IF($B323&lt;=Tabla5[[#This Row],[INVERSIONES FCI]],+Tabla5[[#This Row],[INVERSIONES FCI]]-G323,Tabla5[[#This Row],[INVERSIONES FCI]])</f>
        <v>14116894787.672775</v>
      </c>
      <c r="H324" s="5">
        <f>IF($B323&lt;=Tabla5[[#This Row],[INVERSIONES FCI]],+Tabla5[[#This Row],[INVERSIONES FCI]]-H323,Tabla5[[#This Row],[INVERSIONES FCI]])</f>
        <v>14116894787.672775</v>
      </c>
      <c r="I324" s="5">
        <f>IF($B323&lt;=Tabla5[[#This Row],[INVERSIONES FCI]],+Tabla5[[#This Row],[INVERSIONES FCI]]-I323,Tabla5[[#This Row],[INVERSIONES FCI]])</f>
        <v>14116894787.672775</v>
      </c>
      <c r="J324" s="5">
        <f>IF($B323&lt;=Tabla5[[#This Row],[INVERSIONES FCI]],+Tabla5[[#This Row],[INVERSIONES FCI]]-J323,Tabla5[[#This Row],[INVERSIONES FCI]])</f>
        <v>14116894787.672775</v>
      </c>
      <c r="K324" s="5">
        <f>IF($B323&lt;=Tabla5[[#This Row],[INVERSIONES FCI]],+Tabla5[[#This Row],[INVERSIONES FCI]]-K323,Tabla5[[#This Row],[INVERSIONES FCI]])</f>
        <v>14116894787.672775</v>
      </c>
      <c r="L324" s="5">
        <f>IF($B323&lt;=Tabla5[[#This Row],[INVERSIONES FCI]],+Tabla5[[#This Row],[INVERSIONES FCI]]-L323,Tabla5[[#This Row],[INVERSIONES FCI]])</f>
        <v>14116894787.672775</v>
      </c>
      <c r="M324" s="5">
        <f>IF($B323&lt;=Tabla5[[#This Row],[INVERSIONES FCI]],+Tabla5[[#This Row],[INVERSIONES FCI]]-M323,Tabla5[[#This Row],[INVERSIONES FCI]])</f>
        <v>14116894787.672775</v>
      </c>
      <c r="N324" s="5">
        <f>IF($B323&lt;=Tabla5[[#This Row],[INVERSIONES FCI]],+Tabla5[[#This Row],[INVERSIONES FCI]]-N323,Tabla5[[#This Row],[INVERSIONES FCI]])</f>
        <v>14116894787.672775</v>
      </c>
      <c r="O324" s="5">
        <f>IF($B323&lt;=Tabla5[[#This Row],[INVERSIONES FCI]],+Tabla5[[#This Row],[INVERSIONES FCI]]-O323,Tabla5[[#This Row],[INVERSIONES FCI]])</f>
        <v>14116894787.672775</v>
      </c>
      <c r="P324" s="5">
        <f>IF($B323&lt;=Tabla5[[#This Row],[INVERSIONES FCI]],+Tabla5[[#This Row],[INVERSIONES FCI]]-P323,Tabla5[[#This Row],[INVERSIONES FCI]])</f>
        <v>14116894787.672775</v>
      </c>
      <c r="Q324" s="5">
        <f>IF($B323&lt;=Tabla5[[#This Row],[INVERSIONES FCI]],+Tabla5[[#This Row],[INVERSIONES FCI]]-Q323,Tabla5[[#This Row],[INVERSIONES FCI]])</f>
        <v>14116894787.672775</v>
      </c>
      <c r="R324" s="5">
        <f>IF($B323&lt;=Tabla5[[#This Row],[INVERSIONES FCI]],+Tabla5[[#This Row],[INVERSIONES FCI]]-R323,Tabla5[[#This Row],[INVERSIONES FCI]])</f>
        <v>14116894787.672775</v>
      </c>
      <c r="S324" s="5">
        <f>IF($B323&lt;=Tabla5[[#This Row],[INVERSIONES FCI]],+Tabla5[[#This Row],[INVERSIONES FCI]]-S323,Tabla5[[#This Row],[INVERSIONES FCI]])</f>
        <v>14116894787.672775</v>
      </c>
      <c r="T324" s="5">
        <f>IF($B323&lt;=Tabla5[[#This Row],[INVERSIONES FCI]],+Tabla5[[#This Row],[INVERSIONES FCI]]-T323,Tabla5[[#This Row],[INVERSIONES FCI]])</f>
        <v>14116894787.672775</v>
      </c>
      <c r="U324" s="5">
        <f>IF($B323&lt;=Tabla5[[#This Row],[INVERSIONES FCI]],+Tabla5[[#This Row],[INVERSIONES FCI]]-U323,Tabla5[[#This Row],[INVERSIONES FCI]])</f>
        <v>14116894787.672775</v>
      </c>
      <c r="V324" s="5">
        <f>IF($B323&lt;=Tabla5[[#This Row],[INVERSIONES FCI]],+Tabla5[[#This Row],[INVERSIONES FCI]]-V323,Tabla5[[#This Row],[INVERSIONES FCI]])</f>
        <v>14116894787.672775</v>
      </c>
      <c r="W324" s="5">
        <f>IF($B323&lt;=Tabla5[[#This Row],[INVERSIONES FCI]],+Tabla5[[#This Row],[INVERSIONES FCI]]-W323,Tabla5[[#This Row],[INVERSIONES FCI]])</f>
        <v>14116894787.672775</v>
      </c>
      <c r="X324" s="5">
        <f>IF($B323&lt;=Tabla5[[#This Row],[INVERSIONES FCI]],+Tabla5[[#This Row],[INVERSIONES FCI]]-X323,Tabla5[[#This Row],[INVERSIONES FCI]])</f>
        <v>14116894787.672775</v>
      </c>
      <c r="Y324" s="5">
        <f>IF($B323&lt;=Tabla5[[#This Row],[INVERSIONES FCI]],+Tabla5[[#This Row],[INVERSIONES FCI]]-Y323,Tabla5[[#This Row],[INVERSIONES FCI]])</f>
        <v>14116894787.672775</v>
      </c>
      <c r="Z324" s="5">
        <f>IF($B323&lt;=Tabla5[[#This Row],[INVERSIONES FCI]],+Tabla5[[#This Row],[INVERSIONES FCI]]-Z323,Tabla5[[#This Row],[INVERSIONES FCI]])</f>
        <v>14116894787.672775</v>
      </c>
      <c r="AA324" s="5">
        <f>IF($B323&lt;=Tabla5[[#This Row],[INVERSIONES FCI]],+Tabla5[[#This Row],[INVERSIONES FCI]]-AA323,Tabla5[[#This Row],[INVERSIONES FCI]])</f>
        <v>14116894787.672775</v>
      </c>
      <c r="AB324" s="5">
        <f>IF($B323&lt;=Tabla5[[#This Row],[INVERSIONES FCI]],+Tabla5[[#This Row],[INVERSIONES FCI]]-AB323,Tabla5[[#This Row],[INVERSIONES FCI]])</f>
        <v>14116894787.672775</v>
      </c>
      <c r="AC324" s="5">
        <f>IF($B323&lt;=Tabla5[[#This Row],[INVERSIONES FCI]],+Tabla5[[#This Row],[INVERSIONES FCI]]-AC323,Tabla5[[#This Row],[INVERSIONES FCI]])</f>
        <v>14116894787.672775</v>
      </c>
      <c r="AD324" s="5">
        <f>IF($B323&lt;=Tabla5[[#This Row],[INVERSIONES FCI]],+Tabla5[[#This Row],[INVERSIONES FCI]]-AD323,Tabla5[[#This Row],[INVERSIONES FCI]])</f>
        <v>14116894787.672775</v>
      </c>
      <c r="AE324" s="5">
        <f>IF($B323&lt;=Tabla5[[#This Row],[INVERSIONES FCI]],+Tabla5[[#This Row],[INVERSIONES FCI]]-AE323,Tabla5[[#This Row],[INVERSIONES FCI]])</f>
        <v>14116894787.672775</v>
      </c>
      <c r="AF324" s="5">
        <f>IF($B323&lt;=Tabla5[[#This Row],[INVERSIONES FCI]],+Tabla5[[#This Row],[INVERSIONES FCI]]-AF323,Tabla5[[#This Row],[INVERSIONES FCI]])</f>
        <v>14116894787.672775</v>
      </c>
      <c r="AG324" s="5">
        <f>IF($B323&lt;=Tabla5[[#This Row],[INVERSIONES FCI]],+Tabla5[[#This Row],[INVERSIONES FCI]]-AG323,Tabla5[[#This Row],[INVERSIONES FCI]])</f>
        <v>14116894787.672775</v>
      </c>
      <c r="AH324" s="5">
        <f>IF($B323&lt;=Tabla5[[#This Row],[INVERSIONES FCI]],+Tabla5[[#This Row],[INVERSIONES FCI]]-AH323,Tabla5[[#This Row],[INVERSIONES FCI]])</f>
        <v>14116894787.672775</v>
      </c>
      <c r="AI324" s="5">
        <f>IF($B323&lt;=Tabla5[[#This Row],[INVERSIONES FCI]],+Tabla5[[#This Row],[INVERSIONES FCI]]-AI323,Tabla5[[#This Row],[INVERSIONES FCI]])</f>
        <v>14116894787.672775</v>
      </c>
      <c r="AJ324" s="5">
        <f>IF($B323&lt;=Tabla5[[#This Row],[INVERSIONES FCI]],+Tabla5[[#This Row],[INVERSIONES FCI]]-AJ323,Tabla5[[#This Row],[INVERSIONES FCI]])</f>
        <v>14116894787.672775</v>
      </c>
      <c r="AK324" s="5">
        <f>IF($B323&lt;=Tabla5[[#This Row],[INVERSIONES FCI]],+Tabla5[[#This Row],[INVERSIONES FCI]]-AK323,Tabla5[[#This Row],[INVERSIONES FCI]])</f>
        <v>14116894787.672775</v>
      </c>
      <c r="AL324" s="5">
        <f>IF($B323&lt;=Tabla5[[#This Row],[INVERSIONES FCI]],+Tabla5[[#This Row],[INVERSIONES FCI]]-AL323,Tabla5[[#This Row],[INVERSIONES FCI]])</f>
        <v>14116894787.672775</v>
      </c>
      <c r="AM324" s="5">
        <f>IF($B323&lt;=Tabla5[[#This Row],[INVERSIONES FCI]],+Tabla5[[#This Row],[INVERSIONES FCI]]-AM323,Tabla5[[#This Row],[INVERSIONES FCI]])</f>
        <v>14116894787.672775</v>
      </c>
      <c r="AN324" s="5">
        <f>IF($B323&lt;=Tabla5[[#This Row],[INVERSIONES FCI]],+Tabla5[[#This Row],[INVERSIONES FCI]]-AN323,Tabla5[[#This Row],[INVERSIONES FCI]])</f>
        <v>14116894787.672775</v>
      </c>
      <c r="AO324" s="5">
        <f>IF($B323&lt;=Tabla5[[#This Row],[INVERSIONES FCI]],+Tabla5[[#This Row],[INVERSIONES FCI]]-AO323,Tabla5[[#This Row],[INVERSIONES FCI]])</f>
        <v>14116894787.672775</v>
      </c>
      <c r="AP324" s="5">
        <f>IF($B323&lt;=Tabla5[[#This Row],[INVERSIONES FCI]],+Tabla5[[#This Row],[INVERSIONES FCI]]-AP323,Tabla5[[#This Row],[INVERSIONES FCI]])</f>
        <v>14116894787.672775</v>
      </c>
      <c r="AQ324" s="5">
        <f>IF($B323&lt;=Tabla5[[#This Row],[INVERSIONES FCI]],+Tabla5[[#This Row],[INVERSIONES FCI]]-AQ323,Tabla5[[#This Row],[INVERSIONES FCI]])</f>
        <v>14116894787.672775</v>
      </c>
      <c r="AR324" s="5">
        <f>IF($B323&lt;=Tabla5[[#This Row],[INVERSIONES FCI]],+Tabla5[[#This Row],[INVERSIONES FCI]]-AR323,Tabla5[[#This Row],[INVERSIONES FCI]])</f>
        <v>14116894787.672775</v>
      </c>
      <c r="AS324" s="5">
        <f>IF($B323&lt;=Tabla5[[#This Row],[INVERSIONES FCI]],+Tabla5[[#This Row],[INVERSIONES FCI]]-AS323,Tabla5[[#This Row],[INVERSIONES FCI]])</f>
        <v>14116894787.672775</v>
      </c>
      <c r="AT324" s="5">
        <f>IF($B323&lt;=Tabla5[[#This Row],[INVERSIONES FCI]],+Tabla5[[#This Row],[INVERSIONES FCI]]-AT323,Tabla5[[#This Row],[INVERSIONES FCI]])</f>
        <v>14116894787.672775</v>
      </c>
      <c r="AU324" s="5">
        <f>IF($B323&lt;=Tabla5[[#This Row],[INVERSIONES FCI]],+Tabla5[[#This Row],[INVERSIONES FCI]]-AU323,Tabla5[[#This Row],[INVERSIONES FCI]])</f>
        <v>14116894787.672775</v>
      </c>
      <c r="AV324" s="5">
        <f>IF($B323&lt;=Tabla5[[#This Row],[INVERSIONES FCI]],+Tabla5[[#This Row],[INVERSIONES FCI]]-AV323,Tabla5[[#This Row],[INVERSIONES FCI]])</f>
        <v>14116894787.672775</v>
      </c>
      <c r="AW324" s="5">
        <f>IF($B323&lt;=Tabla5[[#This Row],[INVERSIONES FCI]],+Tabla5[[#This Row],[INVERSIONES FCI]]-AW323,Tabla5[[#This Row],[INVERSIONES FCI]])</f>
        <v>14116894787.672775</v>
      </c>
      <c r="AX324" s="5">
        <f>IF($B323&lt;=Tabla5[[#This Row],[INVERSIONES FCI]],+Tabla5[[#This Row],[INVERSIONES FCI]]-AX323,Tabla5[[#This Row],[INVERSIONES FCI]])</f>
        <v>14116894787.672775</v>
      </c>
      <c r="AY324" s="5">
        <f>IF($B323&lt;=Tabla5[[#This Row],[INVERSIONES FCI]],+Tabla5[[#This Row],[INVERSIONES FCI]]-AY323,Tabla5[[#This Row],[INVERSIONES FCI]])</f>
        <v>14116894787.672775</v>
      </c>
      <c r="AZ324" s="5">
        <f>IF($B323&lt;=Tabla5[[#This Row],[INVERSIONES FCI]],+Tabla5[[#This Row],[INVERSIONES FCI]]-AZ323,Tabla5[[#This Row],[INVERSIONES FCI]])</f>
        <v>14116894787.672775</v>
      </c>
      <c r="BA324" s="5">
        <f>IF($B323&lt;=Tabla5[[#This Row],[INVERSIONES FCI]],+Tabla5[[#This Row],[INVERSIONES FCI]]-BA323,Tabla5[[#This Row],[INVERSIONES FCI]])</f>
        <v>14116894787.672775</v>
      </c>
      <c r="BB324" s="5">
        <f>IF($B323&lt;=Tabla5[[#This Row],[INVERSIONES FCI]],+Tabla5[[#This Row],[INVERSIONES FCI]]-BB323,Tabla5[[#This Row],[INVERSIONES FCI]])</f>
        <v>14116894787.672775</v>
      </c>
      <c r="BC324" s="5">
        <f>IF($B323&lt;=Tabla5[[#This Row],[INVERSIONES FCI]],+Tabla5[[#This Row],[INVERSIONES FCI]]-BC323,Tabla5[[#This Row],[INVERSIONES FCI]])</f>
        <v>14116894787.672775</v>
      </c>
      <c r="BD324" s="5">
        <f>IF($B323&lt;=Tabla5[[#This Row],[INVERSIONES FCI]],+Tabla5[[#This Row],[INVERSIONES FCI]]-BD323,Tabla5[[#This Row],[INVERSIONES FCI]])</f>
        <v>14116894787.672775</v>
      </c>
      <c r="BE324" s="5">
        <f>IF($B323&lt;=Tabla5[[#This Row],[INVERSIONES FCI]],+Tabla5[[#This Row],[INVERSIONES FCI]]-BE323,Tabla5[[#This Row],[INVERSIONES FCI]])</f>
        <v>14116894787.672775</v>
      </c>
      <c r="BF324" s="5">
        <f>IF($B323&lt;=Tabla5[[#This Row],[INVERSIONES FCI]],+Tabla5[[#This Row],[INVERSIONES FCI]]-BF323,Tabla5[[#This Row],[INVERSIONES FCI]])</f>
        <v>14116894787.672775</v>
      </c>
      <c r="BG324" s="5">
        <f>IF($B323&lt;=Tabla5[[#This Row],[INVERSIONES FCI]],+Tabla5[[#This Row],[INVERSIONES FCI]]-BG323,Tabla5[[#This Row],[INVERSIONES FCI]])</f>
        <v>14116894787.672775</v>
      </c>
      <c r="BH324" s="5">
        <f>IF($B323&lt;=Tabla5[[#This Row],[INVERSIONES FCI]],+Tabla5[[#This Row],[INVERSIONES FCI]]-BH323,Tabla5[[#This Row],[INVERSIONES FCI]])</f>
        <v>14116894787.672775</v>
      </c>
      <c r="BI324" s="5">
        <f>IF($B323&lt;=Tabla5[[#This Row],[INVERSIONES FCI]],+Tabla5[[#This Row],[INVERSIONES FCI]]-BI323,Tabla5[[#This Row],[INVERSIONES FCI]])</f>
        <v>14116894787.672775</v>
      </c>
      <c r="BJ324" s="5">
        <f>IF($B323&lt;=Tabla5[[#This Row],[INVERSIONES FCI]],+Tabla5[[#This Row],[INVERSIONES FCI]]-BJ323,Tabla5[[#This Row],[INVERSIONES FCI]])</f>
        <v>14116894787.672775</v>
      </c>
      <c r="BK324" s="5">
        <f>IF($B323&lt;=Tabla5[[#This Row],[INVERSIONES FCI]],+Tabla5[[#This Row],[INVERSIONES FCI]]-BK323,Tabla5[[#This Row],[INVERSIONES FCI]])</f>
        <v>14116894787.672775</v>
      </c>
      <c r="BL324" s="5">
        <f>IF($B323&lt;=Tabla5[[#This Row],[INVERSIONES FCI]],+Tabla5[[#This Row],[INVERSIONES FCI]]-BL323,Tabla5[[#This Row],[INVERSIONES FCI]])</f>
        <v>14116894787.672775</v>
      </c>
      <c r="BM324" s="5">
        <f>IF($B323&lt;=Tabla5[[#This Row],[INVERSIONES FCI]],+Tabla5[[#This Row],[INVERSIONES FCI]]-BM323,Tabla5[[#This Row],[INVERSIONES FCI]])</f>
        <v>14116894787.672775</v>
      </c>
      <c r="BN324" s="5">
        <f>IF($B323&lt;=Tabla5[[#This Row],[INVERSIONES FCI]],+Tabla5[[#This Row],[INVERSIONES FCI]]-BN323,Tabla5[[#This Row],[INVERSIONES FCI]])</f>
        <v>14116894787.672775</v>
      </c>
      <c r="BO324" s="5">
        <f>IF($B323&lt;=Tabla5[[#This Row],[INVERSIONES FCI]],+Tabla5[[#This Row],[INVERSIONES FCI]]-BO323,Tabla5[[#This Row],[INVERSIONES FCI]])</f>
        <v>14116894787.672775</v>
      </c>
      <c r="BP324" s="5">
        <f>IF($B323&lt;=Tabla5[[#This Row],[INVERSIONES FCI]],+Tabla5[[#This Row],[INVERSIONES FCI]]-BP323,Tabla5[[#This Row],[INVERSIONES FCI]])</f>
        <v>14116894787.672775</v>
      </c>
      <c r="BQ324" s="5">
        <f>IF($B323&lt;=Tabla5[[#This Row],[INVERSIONES FCI]],+Tabla5[[#This Row],[INVERSIONES FCI]]-BQ323,Tabla5[[#This Row],[INVERSIONES FCI]])</f>
        <v>14116894787.672775</v>
      </c>
      <c r="BR324" s="5">
        <f>IF($B323&lt;=Tabla5[[#This Row],[INVERSIONES FCI]],+Tabla5[[#This Row],[INVERSIONES FCI]]-BR323,Tabla5[[#This Row],[INVERSIONES FCI]])</f>
        <v>14116894787.672775</v>
      </c>
      <c r="BS324" s="5">
        <f>IF($B323&lt;=Tabla5[[#This Row],[INVERSIONES FCI]],+Tabla5[[#This Row],[INVERSIONES FCI]]-BS323,Tabla5[[#This Row],[INVERSIONES FCI]])</f>
        <v>14116894787.672775</v>
      </c>
      <c r="BT324" s="5">
        <f>IF($B323&lt;=Tabla5[[#This Row],[INVERSIONES FCI]],+Tabla5[[#This Row],[INVERSIONES FCI]]-BT323,Tabla5[[#This Row],[INVERSIONES FCI]])</f>
        <v>14116894787.672775</v>
      </c>
      <c r="BU324" s="5">
        <f>IF($B323&lt;=Tabla5[[#This Row],[INVERSIONES FCI]],+Tabla5[[#This Row],[INVERSIONES FCI]]-BU323,Tabla5[[#This Row],[INVERSIONES FCI]])</f>
        <v>14116894787.672775</v>
      </c>
      <c r="BV324" s="5">
        <f>IF($B323&lt;=Tabla5[[#This Row],[INVERSIONES FCI]],+Tabla5[[#This Row],[INVERSIONES FCI]]-BV323,Tabla5[[#This Row],[INVERSIONES FCI]])</f>
        <v>14116894787.672775</v>
      </c>
      <c r="BW324" s="5">
        <f>IF($B323&lt;=Tabla5[[#This Row],[INVERSIONES FCI]],+Tabla5[[#This Row],[INVERSIONES FCI]]-BW323,Tabla5[[#This Row],[INVERSIONES FCI]])</f>
        <v>14116894787.672775</v>
      </c>
      <c r="BX324" s="5">
        <f>IF($B323&lt;=Tabla5[[#This Row],[INVERSIONES FCI]],+Tabla5[[#This Row],[INVERSIONES FCI]]-BX323,Tabla5[[#This Row],[INVERSIONES FCI]])</f>
        <v>14116894787.672775</v>
      </c>
      <c r="BY324" s="5">
        <f>IF($B323&lt;=Tabla5[[#This Row],[INVERSIONES FCI]],+Tabla5[[#This Row],[INVERSIONES FCI]]-BY323,Tabla5[[#This Row],[INVERSIONES FCI]])</f>
        <v>14116894787.672775</v>
      </c>
      <c r="BZ324" s="5">
        <f>IF($B323&lt;=Tabla5[[#This Row],[INVERSIONES FCI]],+Tabla5[[#This Row],[INVERSIONES FCI]]-BZ323,Tabla5[[#This Row],[INVERSIONES FCI]])</f>
        <v>14116894787.672775</v>
      </c>
      <c r="CA324" s="5">
        <f>IF($B323&lt;=Tabla5[[#This Row],[INVERSIONES FCI]],+Tabla5[[#This Row],[INVERSIONES FCI]]-CA323,Tabla5[[#This Row],[INVERSIONES FCI]])</f>
        <v>14116894787.672775</v>
      </c>
      <c r="CB324" s="5">
        <f>IF($B323&lt;=Tabla5[[#This Row],[INVERSIONES FCI]],+Tabla5[[#This Row],[INVERSIONES FCI]]-CB323,Tabla5[[#This Row],[INVERSIONES FCI]])</f>
        <v>14116894787.672775</v>
      </c>
      <c r="CC324" s="5">
        <f>IF($B323&lt;=Tabla5[[#This Row],[INVERSIONES FCI]],+Tabla5[[#This Row],[INVERSIONES FCI]]-CC323,Tabla5[[#This Row],[INVERSIONES FCI]])</f>
        <v>14116894787.672775</v>
      </c>
      <c r="CD324" s="5">
        <f>IF($B323&lt;=Tabla5[[#This Row],[INVERSIONES FCI]],+Tabla5[[#This Row],[INVERSIONES FCI]]-CD323,Tabla5[[#This Row],[INVERSIONES FCI]])</f>
        <v>14116894787.672775</v>
      </c>
      <c r="CE324" s="5">
        <f>IF($B323&lt;=Tabla5[[#This Row],[INVERSIONES FCI]],+Tabla5[[#This Row],[INVERSIONES FCI]]-CE323,Tabla5[[#This Row],[INVERSIONES FCI]])</f>
        <v>14116894787.672775</v>
      </c>
      <c r="CF324" s="5">
        <f>IF($B323&lt;=Tabla5[[#This Row],[INVERSIONES FCI]],+Tabla5[[#This Row],[INVERSIONES FCI]]-CF323,Tabla5[[#This Row],[INVERSIONES FCI]])</f>
        <v>14116894787.672775</v>
      </c>
      <c r="CG324" s="5">
        <f>IF($B323&lt;=Tabla5[[#This Row],[INVERSIONES FCI]],+Tabla5[[#This Row],[INVERSIONES FCI]]-CG323,Tabla5[[#This Row],[INVERSIONES FCI]])</f>
        <v>14116894787.672775</v>
      </c>
      <c r="CH324" s="5">
        <f>IF($B323&lt;=Tabla5[[#This Row],[INVERSIONES FCI]],+Tabla5[[#This Row],[INVERSIONES FCI]]-CH323,Tabla5[[#This Row],[INVERSIONES FCI]])</f>
        <v>14116894787.672775</v>
      </c>
      <c r="CI324" s="5">
        <f>IF($B323&lt;=Tabla5[[#This Row],[INVERSIONES FCI]],+Tabla5[[#This Row],[INVERSIONES FCI]]-CI323,Tabla5[[#This Row],[INVERSIONES FCI]])</f>
        <v>14116894787.672775</v>
      </c>
      <c r="CJ324" s="5">
        <f>IF($B323&lt;=Tabla5[[#This Row],[INVERSIONES FCI]],+Tabla5[[#This Row],[INVERSIONES FCI]]-CJ323,Tabla5[[#This Row],[INVERSIONES FCI]])</f>
        <v>14116894787.672775</v>
      </c>
      <c r="CK324" s="5">
        <f>IF($B323&lt;=Tabla5[[#This Row],[INVERSIONES FCI]],+Tabla5[[#This Row],[INVERSIONES FCI]]-CK323,Tabla5[[#This Row],[INVERSIONES FCI]])</f>
        <v>14116894787.672775</v>
      </c>
      <c r="CL324" s="5">
        <f>IF($B323&lt;=Tabla5[[#This Row],[INVERSIONES FCI]],+Tabla5[[#This Row],[INVERSIONES FCI]]-CL323,Tabla5[[#This Row],[INVERSIONES FCI]])</f>
        <v>14116894787.672775</v>
      </c>
      <c r="CM324" s="5">
        <f>IF($B323&lt;=Tabla5[[#This Row],[INVERSIONES FCI]],+Tabla5[[#This Row],[INVERSIONES FCI]]-CM323,Tabla5[[#This Row],[INVERSIONES FCI]])</f>
        <v>14116894787.672775</v>
      </c>
      <c r="CN324" s="5">
        <f>IF($B323&lt;=Tabla5[[#This Row],[INVERSIONES FCI]],+Tabla5[[#This Row],[INVERSIONES FCI]]-CN323,Tabla5[[#This Row],[INVERSIONES FCI]])</f>
        <v>14116894787.672775</v>
      </c>
      <c r="CO324" s="5">
        <f>IF($B323&lt;=Tabla5[[#This Row],[INVERSIONES FCI]],+Tabla5[[#This Row],[INVERSIONES FCI]]-CO323,Tabla5[[#This Row],[INVERSIONES FCI]])</f>
        <v>14116894787.672775</v>
      </c>
      <c r="CP324" s="5">
        <f>IF($B323&lt;=Tabla5[[#This Row],[INVERSIONES FCI]],+Tabla5[[#This Row],[INVERSIONES FCI]]-CP323,Tabla5[[#This Row],[INVERSIONES FCI]])</f>
        <v>14116894787.672775</v>
      </c>
      <c r="CQ324" s="5">
        <f>IF($B323&lt;=Tabla5[[#This Row],[INVERSIONES FCI]],+Tabla5[[#This Row],[INVERSIONES FCI]]-CQ323,Tabla5[[#This Row],[INVERSIONES FCI]])</f>
        <v>14116894787.672775</v>
      </c>
      <c r="CR324" s="5">
        <f>IF($B323&lt;=Tabla5[[#This Row],[INVERSIONES FCI]],+Tabla5[[#This Row],[INVERSIONES FCI]]-CR323,Tabla5[[#This Row],[INVERSIONES FCI]])</f>
        <v>14116894787.672775</v>
      </c>
      <c r="CS324" s="5">
        <f>IF($B323&lt;=Tabla5[[#This Row],[INVERSIONES FCI]],+Tabla5[[#This Row],[INVERSIONES FCI]]-CS323,Tabla5[[#This Row],[INVERSIONES FCI]])</f>
        <v>14116894787.672775</v>
      </c>
      <c r="CT324" s="5">
        <f>IF($B323&lt;=Tabla5[[#This Row],[INVERSIONES FCI]],+Tabla5[[#This Row],[INVERSIONES FCI]]-CT323,Tabla5[[#This Row],[INVERSIONES FCI]])</f>
        <v>14116894787.672775</v>
      </c>
      <c r="CU324" s="5">
        <f>IF($B323&lt;=Tabla5[[#This Row],[INVERSIONES FCI]],+Tabla5[[#This Row],[INVERSIONES FCI]]-CU323,Tabla5[[#This Row],[INVERSIONES FCI]])</f>
        <v>14116894787.672775</v>
      </c>
      <c r="CV324" s="5">
        <f>IF($B323&lt;=Tabla5[[#This Row],[INVERSIONES FCI]],+Tabla5[[#This Row],[INVERSIONES FCI]]-CV323,Tabla5[[#This Row],[INVERSIONES FCI]])</f>
        <v>14116894787.672775</v>
      </c>
      <c r="CW324" s="5">
        <f>IF($B323&lt;=Tabla5[[#This Row],[INVERSIONES FCI]],+Tabla5[[#This Row],[INVERSIONES FCI]]-CW323,Tabla5[[#This Row],[INVERSIONES FCI]])</f>
        <v>14116894787.672775</v>
      </c>
      <c r="CX324" s="5">
        <f>IF($B323&lt;=Tabla5[[#This Row],[INVERSIONES FCI]],+Tabla5[[#This Row],[INVERSIONES FCI]]-CX323,Tabla5[[#This Row],[INVERSIONES FCI]])</f>
        <v>14116894787.672775</v>
      </c>
      <c r="CY324" s="5">
        <f>IF($B323&lt;=Tabla5[[#This Row],[INVERSIONES FCI]],+Tabla5[[#This Row],[INVERSIONES FCI]]-CY323,Tabla5[[#This Row],[INVERSIONES FCI]])</f>
        <v>14116894787.672775</v>
      </c>
      <c r="CZ324" s="5">
        <f>IF($B323&lt;=Tabla5[[#This Row],[INVERSIONES FCI]],+Tabla5[[#This Row],[INVERSIONES FCI]]-CZ323,Tabla5[[#This Row],[INVERSIONES FCI]])</f>
        <v>14116894787.672775</v>
      </c>
      <c r="DA324" s="5">
        <f>IF($B323&lt;=Tabla5[[#This Row],[INVERSIONES FCI]],+Tabla5[[#This Row],[INVERSIONES FCI]]-DA323,Tabla5[[#This Row],[INVERSIONES FCI]])</f>
        <v>14116894787.672775</v>
      </c>
      <c r="DB324" s="5">
        <f>IF($B323&lt;=Tabla5[[#This Row],[INVERSIONES FCI]],+Tabla5[[#This Row],[INVERSIONES FCI]]-DB323,Tabla5[[#This Row],[INVERSIONES FCI]])</f>
        <v>14116894787.672775</v>
      </c>
      <c r="DC324" s="5">
        <f>IF($B323&lt;=Tabla5[[#This Row],[INVERSIONES FCI]],+Tabla5[[#This Row],[INVERSIONES FCI]]-DC323,Tabla5[[#This Row],[INVERSIONES FCI]])</f>
        <v>14116894787.672775</v>
      </c>
      <c r="DD324" s="5">
        <f>IF($B323&lt;=Tabla5[[#This Row],[INVERSIONES FCI]],+Tabla5[[#This Row],[INVERSIONES FCI]]-DD323,Tabla5[[#This Row],[INVERSIONES FCI]])</f>
        <v>14116894787.672775</v>
      </c>
      <c r="DE324" s="5">
        <f>IF($B323&lt;=Tabla5[[#This Row],[INVERSIONES FCI]],+Tabla5[[#This Row],[INVERSIONES FCI]]-DE323,Tabla5[[#This Row],[INVERSIONES FCI]])</f>
        <v>14116894787.672775</v>
      </c>
      <c r="DF324" s="5">
        <f>IF($B323&lt;=Tabla5[[#This Row],[INVERSIONES FCI]],+Tabla5[[#This Row],[INVERSIONES FCI]]-DF323,Tabla5[[#This Row],[INVERSIONES FCI]])</f>
        <v>14116894787.672775</v>
      </c>
      <c r="DG324" s="5">
        <f>IF($B323&lt;=Tabla5[[#This Row],[INVERSIONES FCI]],+Tabla5[[#This Row],[INVERSIONES FCI]]-DG323,Tabla5[[#This Row],[INVERSIONES FCI]])</f>
        <v>14116894787.672775</v>
      </c>
      <c r="DH324" s="5">
        <f>IF($B323&lt;=Tabla5[[#This Row],[INVERSIONES FCI]],+Tabla5[[#This Row],[INVERSIONES FCI]]-DH323,Tabla5[[#This Row],[INVERSIONES FCI]])</f>
        <v>14116894787.672775</v>
      </c>
      <c r="DI324" s="5">
        <f>IF($B323&lt;=Tabla5[[#This Row],[INVERSIONES FCI]],+Tabla5[[#This Row],[INVERSIONES FCI]]-DI323,Tabla5[[#This Row],[INVERSIONES FCI]])</f>
        <v>14116894787.672775</v>
      </c>
      <c r="DJ324" s="5">
        <f>IF($B323&lt;=Tabla5[[#This Row],[INVERSIONES FCI]],+Tabla5[[#This Row],[INVERSIONES FCI]]-DJ323,Tabla5[[#This Row],[INVERSIONES FCI]])</f>
        <v>14116894787.672775</v>
      </c>
      <c r="DK324" s="5">
        <f>IF($B323&lt;=Tabla5[[#This Row],[INVERSIONES FCI]],+Tabla5[[#This Row],[INVERSIONES FCI]]-DK323,Tabla5[[#This Row],[INVERSIONES FCI]])</f>
        <v>14116894787.672775</v>
      </c>
      <c r="DL324" s="5"/>
      <c r="DM324" s="5"/>
      <c r="DN324" s="5"/>
      <c r="DO324" s="5"/>
      <c r="DP324" s="5"/>
      <c r="DQ324" s="5"/>
    </row>
    <row r="325" spans="1:121" ht="14.4">
      <c r="A325" s="12" t="s">
        <v>324</v>
      </c>
      <c r="B325" s="5">
        <f>HLOOKUP($A325,ESCENARIO[#All],7,FALSE)</f>
        <v>88878908763.09201</v>
      </c>
      <c r="C325" s="5">
        <f>IF($B324&lt;=Tabla5[[#This Row],[INVERSIONES FCI]],+Tabla5[[#This Row],[INVERSIONES FCI]]-C324,Tabla5[[#This Row],[INVERSIONES FCI]])</f>
        <v>74762013975.419235</v>
      </c>
      <c r="D325" s="5">
        <f>IF($B324&lt;=Tabla5[[#This Row],[INVERSIONES FCI]],+Tabla5[[#This Row],[INVERSIONES FCI]]-D324,Tabla5[[#This Row],[INVERSIONES FCI]])</f>
        <v>74762013975.419235</v>
      </c>
      <c r="E325" s="5">
        <f>IF($B324&lt;=Tabla5[[#This Row],[INVERSIONES FCI]],+Tabla5[[#This Row],[INVERSIONES FCI]]-E324,Tabla5[[#This Row],[INVERSIONES FCI]])</f>
        <v>74762013975.419235</v>
      </c>
      <c r="F325" s="5">
        <f>IF($B324&lt;=Tabla5[[#This Row],[INVERSIONES FCI]],+Tabla5[[#This Row],[INVERSIONES FCI]]-F324,Tabla5[[#This Row],[INVERSIONES FCI]])</f>
        <v>74762013975.419235</v>
      </c>
      <c r="G325" s="5">
        <f>IF($B324&lt;=Tabla5[[#This Row],[INVERSIONES FCI]],+Tabla5[[#This Row],[INVERSIONES FCI]]-G324,Tabla5[[#This Row],[INVERSIONES FCI]])</f>
        <v>74762013975.419235</v>
      </c>
      <c r="H325" s="5">
        <f>IF($B324&lt;=Tabla5[[#This Row],[INVERSIONES FCI]],+Tabla5[[#This Row],[INVERSIONES FCI]]-H324,Tabla5[[#This Row],[INVERSIONES FCI]])</f>
        <v>74762013975.419235</v>
      </c>
      <c r="I325" s="5">
        <f>IF($B324&lt;=Tabla5[[#This Row],[INVERSIONES FCI]],+Tabla5[[#This Row],[INVERSIONES FCI]]-I324,Tabla5[[#This Row],[INVERSIONES FCI]])</f>
        <v>74762013975.419235</v>
      </c>
      <c r="J325" s="5">
        <f>IF($B324&lt;=Tabla5[[#This Row],[INVERSIONES FCI]],+Tabla5[[#This Row],[INVERSIONES FCI]]-J324,Tabla5[[#This Row],[INVERSIONES FCI]])</f>
        <v>74762013975.419235</v>
      </c>
      <c r="K325" s="5">
        <f>IF($B324&lt;=Tabla5[[#This Row],[INVERSIONES FCI]],+Tabla5[[#This Row],[INVERSIONES FCI]]-K324,Tabla5[[#This Row],[INVERSIONES FCI]])</f>
        <v>74762013975.419235</v>
      </c>
      <c r="L325" s="5">
        <f>IF($B324&lt;=Tabla5[[#This Row],[INVERSIONES FCI]],+Tabla5[[#This Row],[INVERSIONES FCI]]-L324,Tabla5[[#This Row],[INVERSIONES FCI]])</f>
        <v>74762013975.419235</v>
      </c>
      <c r="M325" s="5">
        <f>IF($B324&lt;=Tabla5[[#This Row],[INVERSIONES FCI]],+Tabla5[[#This Row],[INVERSIONES FCI]]-M324,Tabla5[[#This Row],[INVERSIONES FCI]])</f>
        <v>74762013975.419235</v>
      </c>
      <c r="N325" s="5">
        <f>IF($B324&lt;=Tabla5[[#This Row],[INVERSIONES FCI]],+Tabla5[[#This Row],[INVERSIONES FCI]]-N324,Tabla5[[#This Row],[INVERSIONES FCI]])</f>
        <v>74762013975.419235</v>
      </c>
      <c r="O325" s="5">
        <f>IF($B324&lt;=Tabla5[[#This Row],[INVERSIONES FCI]],+Tabla5[[#This Row],[INVERSIONES FCI]]-O324,Tabla5[[#This Row],[INVERSIONES FCI]])</f>
        <v>74762013975.419235</v>
      </c>
      <c r="P325" s="5">
        <f>IF($B324&lt;=Tabla5[[#This Row],[INVERSIONES FCI]],+Tabla5[[#This Row],[INVERSIONES FCI]]-P324,Tabla5[[#This Row],[INVERSIONES FCI]])</f>
        <v>74762013975.419235</v>
      </c>
      <c r="Q325" s="5">
        <f>IF($B324&lt;=Tabla5[[#This Row],[INVERSIONES FCI]],+Tabla5[[#This Row],[INVERSIONES FCI]]-Q324,Tabla5[[#This Row],[INVERSIONES FCI]])</f>
        <v>74762013975.419235</v>
      </c>
      <c r="R325" s="5">
        <f>IF($B324&lt;=Tabla5[[#This Row],[INVERSIONES FCI]],+Tabla5[[#This Row],[INVERSIONES FCI]]-R324,Tabla5[[#This Row],[INVERSIONES FCI]])</f>
        <v>74762013975.419235</v>
      </c>
      <c r="S325" s="5">
        <f>IF($B324&lt;=Tabla5[[#This Row],[INVERSIONES FCI]],+Tabla5[[#This Row],[INVERSIONES FCI]]-S324,Tabla5[[#This Row],[INVERSIONES FCI]])</f>
        <v>74762013975.419235</v>
      </c>
      <c r="T325" s="5">
        <f>IF($B324&lt;=Tabla5[[#This Row],[INVERSIONES FCI]],+Tabla5[[#This Row],[INVERSIONES FCI]]-T324,Tabla5[[#This Row],[INVERSIONES FCI]])</f>
        <v>74762013975.419235</v>
      </c>
      <c r="U325" s="5">
        <f>IF($B324&lt;=Tabla5[[#This Row],[INVERSIONES FCI]],+Tabla5[[#This Row],[INVERSIONES FCI]]-U324,Tabla5[[#This Row],[INVERSIONES FCI]])</f>
        <v>74762013975.419235</v>
      </c>
      <c r="V325" s="5">
        <f>IF($B324&lt;=Tabla5[[#This Row],[INVERSIONES FCI]],+Tabla5[[#This Row],[INVERSIONES FCI]]-V324,Tabla5[[#This Row],[INVERSIONES FCI]])</f>
        <v>74762013975.419235</v>
      </c>
      <c r="W325" s="5">
        <f>IF($B324&lt;=Tabla5[[#This Row],[INVERSIONES FCI]],+Tabla5[[#This Row],[INVERSIONES FCI]]-W324,Tabla5[[#This Row],[INVERSIONES FCI]])</f>
        <v>74762013975.419235</v>
      </c>
      <c r="X325" s="5">
        <f>IF($B324&lt;=Tabla5[[#This Row],[INVERSIONES FCI]],+Tabla5[[#This Row],[INVERSIONES FCI]]-X324,Tabla5[[#This Row],[INVERSIONES FCI]])</f>
        <v>74762013975.419235</v>
      </c>
      <c r="Y325" s="5">
        <f>IF($B324&lt;=Tabla5[[#This Row],[INVERSIONES FCI]],+Tabla5[[#This Row],[INVERSIONES FCI]]-Y324,Tabla5[[#This Row],[INVERSIONES FCI]])</f>
        <v>74762013975.419235</v>
      </c>
      <c r="Z325" s="5">
        <f>IF($B324&lt;=Tabla5[[#This Row],[INVERSIONES FCI]],+Tabla5[[#This Row],[INVERSIONES FCI]]-Z324,Tabla5[[#This Row],[INVERSIONES FCI]])</f>
        <v>74762013975.419235</v>
      </c>
      <c r="AA325" s="5">
        <f>IF($B324&lt;=Tabla5[[#This Row],[INVERSIONES FCI]],+Tabla5[[#This Row],[INVERSIONES FCI]]-AA324,Tabla5[[#This Row],[INVERSIONES FCI]])</f>
        <v>74762013975.419235</v>
      </c>
      <c r="AB325" s="5">
        <f>IF($B324&lt;=Tabla5[[#This Row],[INVERSIONES FCI]],+Tabla5[[#This Row],[INVERSIONES FCI]]-AB324,Tabla5[[#This Row],[INVERSIONES FCI]])</f>
        <v>74762013975.419235</v>
      </c>
      <c r="AC325" s="5">
        <f>IF($B324&lt;=Tabla5[[#This Row],[INVERSIONES FCI]],+Tabla5[[#This Row],[INVERSIONES FCI]]-AC324,Tabla5[[#This Row],[INVERSIONES FCI]])</f>
        <v>74762013975.419235</v>
      </c>
      <c r="AD325" s="5">
        <f>IF($B324&lt;=Tabla5[[#This Row],[INVERSIONES FCI]],+Tabla5[[#This Row],[INVERSIONES FCI]]-AD324,Tabla5[[#This Row],[INVERSIONES FCI]])</f>
        <v>74762013975.419235</v>
      </c>
      <c r="AE325" s="5">
        <f>IF($B324&lt;=Tabla5[[#This Row],[INVERSIONES FCI]],+Tabla5[[#This Row],[INVERSIONES FCI]]-AE324,Tabla5[[#This Row],[INVERSIONES FCI]])</f>
        <v>74762013975.419235</v>
      </c>
      <c r="AF325" s="5">
        <f>IF($B324&lt;=Tabla5[[#This Row],[INVERSIONES FCI]],+Tabla5[[#This Row],[INVERSIONES FCI]]-AF324,Tabla5[[#This Row],[INVERSIONES FCI]])</f>
        <v>74762013975.419235</v>
      </c>
      <c r="AG325" s="5">
        <f>IF($B324&lt;=Tabla5[[#This Row],[INVERSIONES FCI]],+Tabla5[[#This Row],[INVERSIONES FCI]]-AG324,Tabla5[[#This Row],[INVERSIONES FCI]])</f>
        <v>74762013975.419235</v>
      </c>
      <c r="AH325" s="5">
        <f>IF($B324&lt;=Tabla5[[#This Row],[INVERSIONES FCI]],+Tabla5[[#This Row],[INVERSIONES FCI]]-AH324,Tabla5[[#This Row],[INVERSIONES FCI]])</f>
        <v>74762013975.419235</v>
      </c>
      <c r="AI325" s="5">
        <f>IF($B324&lt;=Tabla5[[#This Row],[INVERSIONES FCI]],+Tabla5[[#This Row],[INVERSIONES FCI]]-AI324,Tabla5[[#This Row],[INVERSIONES FCI]])</f>
        <v>74762013975.419235</v>
      </c>
      <c r="AJ325" s="5">
        <f>IF($B324&lt;=Tabla5[[#This Row],[INVERSIONES FCI]],+Tabla5[[#This Row],[INVERSIONES FCI]]-AJ324,Tabla5[[#This Row],[INVERSIONES FCI]])</f>
        <v>74762013975.419235</v>
      </c>
      <c r="AK325" s="5">
        <f>IF($B324&lt;=Tabla5[[#This Row],[INVERSIONES FCI]],+Tabla5[[#This Row],[INVERSIONES FCI]]-AK324,Tabla5[[#This Row],[INVERSIONES FCI]])</f>
        <v>74762013975.419235</v>
      </c>
      <c r="AL325" s="5">
        <f>IF($B324&lt;=Tabla5[[#This Row],[INVERSIONES FCI]],+Tabla5[[#This Row],[INVERSIONES FCI]]-AL324,Tabla5[[#This Row],[INVERSIONES FCI]])</f>
        <v>74762013975.419235</v>
      </c>
      <c r="AM325" s="5">
        <f>IF($B324&lt;=Tabla5[[#This Row],[INVERSIONES FCI]],+Tabla5[[#This Row],[INVERSIONES FCI]]-AM324,Tabla5[[#This Row],[INVERSIONES FCI]])</f>
        <v>74762013975.419235</v>
      </c>
      <c r="AN325" s="5">
        <f>IF($B324&lt;=Tabla5[[#This Row],[INVERSIONES FCI]],+Tabla5[[#This Row],[INVERSIONES FCI]]-AN324,Tabla5[[#This Row],[INVERSIONES FCI]])</f>
        <v>74762013975.419235</v>
      </c>
      <c r="AO325" s="5">
        <f>IF($B324&lt;=Tabla5[[#This Row],[INVERSIONES FCI]],+Tabla5[[#This Row],[INVERSIONES FCI]]-AO324,Tabla5[[#This Row],[INVERSIONES FCI]])</f>
        <v>74762013975.419235</v>
      </c>
      <c r="AP325" s="5">
        <f>IF($B324&lt;=Tabla5[[#This Row],[INVERSIONES FCI]],+Tabla5[[#This Row],[INVERSIONES FCI]]-AP324,Tabla5[[#This Row],[INVERSIONES FCI]])</f>
        <v>74762013975.419235</v>
      </c>
      <c r="AQ325" s="5">
        <f>IF($B324&lt;=Tabla5[[#This Row],[INVERSIONES FCI]],+Tabla5[[#This Row],[INVERSIONES FCI]]-AQ324,Tabla5[[#This Row],[INVERSIONES FCI]])</f>
        <v>74762013975.419235</v>
      </c>
      <c r="AR325" s="5">
        <f>IF($B324&lt;=Tabla5[[#This Row],[INVERSIONES FCI]],+Tabla5[[#This Row],[INVERSIONES FCI]]-AR324,Tabla5[[#This Row],[INVERSIONES FCI]])</f>
        <v>74762013975.419235</v>
      </c>
      <c r="AS325" s="5">
        <f>IF($B324&lt;=Tabla5[[#This Row],[INVERSIONES FCI]],+Tabla5[[#This Row],[INVERSIONES FCI]]-AS324,Tabla5[[#This Row],[INVERSIONES FCI]])</f>
        <v>74762013975.419235</v>
      </c>
      <c r="AT325" s="5">
        <f>IF($B324&lt;=Tabla5[[#This Row],[INVERSIONES FCI]],+Tabla5[[#This Row],[INVERSIONES FCI]]-AT324,Tabla5[[#This Row],[INVERSIONES FCI]])</f>
        <v>74762013975.419235</v>
      </c>
      <c r="AU325" s="5">
        <f>IF($B324&lt;=Tabla5[[#This Row],[INVERSIONES FCI]],+Tabla5[[#This Row],[INVERSIONES FCI]]-AU324,Tabla5[[#This Row],[INVERSIONES FCI]])</f>
        <v>74762013975.419235</v>
      </c>
      <c r="AV325" s="5">
        <f>IF($B324&lt;=Tabla5[[#This Row],[INVERSIONES FCI]],+Tabla5[[#This Row],[INVERSIONES FCI]]-AV324,Tabla5[[#This Row],[INVERSIONES FCI]])</f>
        <v>74762013975.419235</v>
      </c>
      <c r="AW325" s="5">
        <f>IF($B324&lt;=Tabla5[[#This Row],[INVERSIONES FCI]],+Tabla5[[#This Row],[INVERSIONES FCI]]-AW324,Tabla5[[#This Row],[INVERSIONES FCI]])</f>
        <v>74762013975.419235</v>
      </c>
      <c r="AX325" s="5">
        <f>IF($B324&lt;=Tabla5[[#This Row],[INVERSIONES FCI]],+Tabla5[[#This Row],[INVERSIONES FCI]]-AX324,Tabla5[[#This Row],[INVERSIONES FCI]])</f>
        <v>74762013975.419235</v>
      </c>
      <c r="AY325" s="5">
        <f>IF($B324&lt;=Tabla5[[#This Row],[INVERSIONES FCI]],+Tabla5[[#This Row],[INVERSIONES FCI]]-AY324,Tabla5[[#This Row],[INVERSIONES FCI]])</f>
        <v>74762013975.419235</v>
      </c>
      <c r="AZ325" s="5">
        <f>IF($B324&lt;=Tabla5[[#This Row],[INVERSIONES FCI]],+Tabla5[[#This Row],[INVERSIONES FCI]]-AZ324,Tabla5[[#This Row],[INVERSIONES FCI]])</f>
        <v>74762013975.419235</v>
      </c>
      <c r="BA325" s="5">
        <f>IF($B324&lt;=Tabla5[[#This Row],[INVERSIONES FCI]],+Tabla5[[#This Row],[INVERSIONES FCI]]-BA324,Tabla5[[#This Row],[INVERSIONES FCI]])</f>
        <v>74762013975.419235</v>
      </c>
      <c r="BB325" s="5">
        <f>IF($B324&lt;=Tabla5[[#This Row],[INVERSIONES FCI]],+Tabla5[[#This Row],[INVERSIONES FCI]]-BB324,Tabla5[[#This Row],[INVERSIONES FCI]])</f>
        <v>74762013975.419235</v>
      </c>
      <c r="BC325" s="5">
        <f>IF($B324&lt;=Tabla5[[#This Row],[INVERSIONES FCI]],+Tabla5[[#This Row],[INVERSIONES FCI]]-BC324,Tabla5[[#This Row],[INVERSIONES FCI]])</f>
        <v>74762013975.419235</v>
      </c>
      <c r="BD325" s="5">
        <f>IF($B324&lt;=Tabla5[[#This Row],[INVERSIONES FCI]],+Tabla5[[#This Row],[INVERSIONES FCI]]-BD324,Tabla5[[#This Row],[INVERSIONES FCI]])</f>
        <v>74762013975.419235</v>
      </c>
      <c r="BE325" s="5">
        <f>IF($B324&lt;=Tabla5[[#This Row],[INVERSIONES FCI]],+Tabla5[[#This Row],[INVERSIONES FCI]]-BE324,Tabla5[[#This Row],[INVERSIONES FCI]])</f>
        <v>74762013975.419235</v>
      </c>
      <c r="BF325" s="5">
        <f>IF($B324&lt;=Tabla5[[#This Row],[INVERSIONES FCI]],+Tabla5[[#This Row],[INVERSIONES FCI]]-BF324,Tabla5[[#This Row],[INVERSIONES FCI]])</f>
        <v>74762013975.419235</v>
      </c>
      <c r="BG325" s="5">
        <f>IF($B324&lt;=Tabla5[[#This Row],[INVERSIONES FCI]],+Tabla5[[#This Row],[INVERSIONES FCI]]-BG324,Tabla5[[#This Row],[INVERSIONES FCI]])</f>
        <v>74762013975.419235</v>
      </c>
      <c r="BH325" s="5">
        <f>IF($B324&lt;=Tabla5[[#This Row],[INVERSIONES FCI]],+Tabla5[[#This Row],[INVERSIONES FCI]]-BH324,Tabla5[[#This Row],[INVERSIONES FCI]])</f>
        <v>74762013975.419235</v>
      </c>
      <c r="BI325" s="5">
        <f>IF($B324&lt;=Tabla5[[#This Row],[INVERSIONES FCI]],+Tabla5[[#This Row],[INVERSIONES FCI]]-BI324,Tabla5[[#This Row],[INVERSIONES FCI]])</f>
        <v>74762013975.419235</v>
      </c>
      <c r="BJ325" s="5">
        <f>IF($B324&lt;=Tabla5[[#This Row],[INVERSIONES FCI]],+Tabla5[[#This Row],[INVERSIONES FCI]]-BJ324,Tabla5[[#This Row],[INVERSIONES FCI]])</f>
        <v>74762013975.419235</v>
      </c>
      <c r="BK325" s="5">
        <f>IF($B324&lt;=Tabla5[[#This Row],[INVERSIONES FCI]],+Tabla5[[#This Row],[INVERSIONES FCI]]-BK324,Tabla5[[#This Row],[INVERSIONES FCI]])</f>
        <v>74762013975.419235</v>
      </c>
      <c r="BL325" s="5">
        <f>IF($B324&lt;=Tabla5[[#This Row],[INVERSIONES FCI]],+Tabla5[[#This Row],[INVERSIONES FCI]]-BL324,Tabla5[[#This Row],[INVERSIONES FCI]])</f>
        <v>74762013975.419235</v>
      </c>
      <c r="BM325" s="5">
        <f>IF($B324&lt;=Tabla5[[#This Row],[INVERSIONES FCI]],+Tabla5[[#This Row],[INVERSIONES FCI]]-BM324,Tabla5[[#This Row],[INVERSIONES FCI]])</f>
        <v>74762013975.419235</v>
      </c>
      <c r="BN325" s="5">
        <f>IF($B324&lt;=Tabla5[[#This Row],[INVERSIONES FCI]],+Tabla5[[#This Row],[INVERSIONES FCI]]-BN324,Tabla5[[#This Row],[INVERSIONES FCI]])</f>
        <v>74762013975.419235</v>
      </c>
      <c r="BO325" s="5">
        <f>IF($B324&lt;=Tabla5[[#This Row],[INVERSIONES FCI]],+Tabla5[[#This Row],[INVERSIONES FCI]]-BO324,Tabla5[[#This Row],[INVERSIONES FCI]])</f>
        <v>74762013975.419235</v>
      </c>
      <c r="BP325" s="5">
        <f>IF($B324&lt;=Tabla5[[#This Row],[INVERSIONES FCI]],+Tabla5[[#This Row],[INVERSIONES FCI]]-BP324,Tabla5[[#This Row],[INVERSIONES FCI]])</f>
        <v>74762013975.419235</v>
      </c>
      <c r="BQ325" s="5">
        <f>IF($B324&lt;=Tabla5[[#This Row],[INVERSIONES FCI]],+Tabla5[[#This Row],[INVERSIONES FCI]]-BQ324,Tabla5[[#This Row],[INVERSIONES FCI]])</f>
        <v>74762013975.419235</v>
      </c>
      <c r="BR325" s="5">
        <f>IF($B324&lt;=Tabla5[[#This Row],[INVERSIONES FCI]],+Tabla5[[#This Row],[INVERSIONES FCI]]-BR324,Tabla5[[#This Row],[INVERSIONES FCI]])</f>
        <v>74762013975.419235</v>
      </c>
      <c r="BS325" s="5">
        <f>IF($B324&lt;=Tabla5[[#This Row],[INVERSIONES FCI]],+Tabla5[[#This Row],[INVERSIONES FCI]]-BS324,Tabla5[[#This Row],[INVERSIONES FCI]])</f>
        <v>74762013975.419235</v>
      </c>
      <c r="BT325" s="5">
        <f>IF($B324&lt;=Tabla5[[#This Row],[INVERSIONES FCI]],+Tabla5[[#This Row],[INVERSIONES FCI]]-BT324,Tabla5[[#This Row],[INVERSIONES FCI]])</f>
        <v>74762013975.419235</v>
      </c>
      <c r="BU325" s="5">
        <f>IF($B324&lt;=Tabla5[[#This Row],[INVERSIONES FCI]],+Tabla5[[#This Row],[INVERSIONES FCI]]-BU324,Tabla5[[#This Row],[INVERSIONES FCI]])</f>
        <v>74762013975.419235</v>
      </c>
      <c r="BV325" s="5">
        <f>IF($B324&lt;=Tabla5[[#This Row],[INVERSIONES FCI]],+Tabla5[[#This Row],[INVERSIONES FCI]]-BV324,Tabla5[[#This Row],[INVERSIONES FCI]])</f>
        <v>74762013975.419235</v>
      </c>
      <c r="BW325" s="5">
        <f>IF($B324&lt;=Tabla5[[#This Row],[INVERSIONES FCI]],+Tabla5[[#This Row],[INVERSIONES FCI]]-BW324,Tabla5[[#This Row],[INVERSIONES FCI]])</f>
        <v>74762013975.419235</v>
      </c>
      <c r="BX325" s="5">
        <f>IF($B324&lt;=Tabla5[[#This Row],[INVERSIONES FCI]],+Tabla5[[#This Row],[INVERSIONES FCI]]-BX324,Tabla5[[#This Row],[INVERSIONES FCI]])</f>
        <v>74762013975.419235</v>
      </c>
      <c r="BY325" s="5">
        <f>IF($B324&lt;=Tabla5[[#This Row],[INVERSIONES FCI]],+Tabla5[[#This Row],[INVERSIONES FCI]]-BY324,Tabla5[[#This Row],[INVERSIONES FCI]])</f>
        <v>74762013975.419235</v>
      </c>
      <c r="BZ325" s="5">
        <f>IF($B324&lt;=Tabla5[[#This Row],[INVERSIONES FCI]],+Tabla5[[#This Row],[INVERSIONES FCI]]-BZ324,Tabla5[[#This Row],[INVERSIONES FCI]])</f>
        <v>74762013975.419235</v>
      </c>
      <c r="CA325" s="5">
        <f>IF($B324&lt;=Tabla5[[#This Row],[INVERSIONES FCI]],+Tabla5[[#This Row],[INVERSIONES FCI]]-CA324,Tabla5[[#This Row],[INVERSIONES FCI]])</f>
        <v>74762013975.419235</v>
      </c>
      <c r="CB325" s="5">
        <f>IF($B324&lt;=Tabla5[[#This Row],[INVERSIONES FCI]],+Tabla5[[#This Row],[INVERSIONES FCI]]-CB324,Tabla5[[#This Row],[INVERSIONES FCI]])</f>
        <v>74762013975.419235</v>
      </c>
      <c r="CC325" s="5">
        <f>IF($B324&lt;=Tabla5[[#This Row],[INVERSIONES FCI]],+Tabla5[[#This Row],[INVERSIONES FCI]]-CC324,Tabla5[[#This Row],[INVERSIONES FCI]])</f>
        <v>74762013975.419235</v>
      </c>
      <c r="CD325" s="5">
        <f>IF($B324&lt;=Tabla5[[#This Row],[INVERSIONES FCI]],+Tabla5[[#This Row],[INVERSIONES FCI]]-CD324,Tabla5[[#This Row],[INVERSIONES FCI]])</f>
        <v>74762013975.419235</v>
      </c>
      <c r="CE325" s="5">
        <f>IF($B324&lt;=Tabla5[[#This Row],[INVERSIONES FCI]],+Tabla5[[#This Row],[INVERSIONES FCI]]-CE324,Tabla5[[#This Row],[INVERSIONES FCI]])</f>
        <v>74762013975.419235</v>
      </c>
      <c r="CF325" s="5">
        <f>IF($B324&lt;=Tabla5[[#This Row],[INVERSIONES FCI]],+Tabla5[[#This Row],[INVERSIONES FCI]]-CF324,Tabla5[[#This Row],[INVERSIONES FCI]])</f>
        <v>74762013975.419235</v>
      </c>
      <c r="CG325" s="5">
        <f>IF($B324&lt;=Tabla5[[#This Row],[INVERSIONES FCI]],+Tabla5[[#This Row],[INVERSIONES FCI]]-CG324,Tabla5[[#This Row],[INVERSIONES FCI]])</f>
        <v>74762013975.419235</v>
      </c>
      <c r="CH325" s="5">
        <f>IF($B324&lt;=Tabla5[[#This Row],[INVERSIONES FCI]],+Tabla5[[#This Row],[INVERSIONES FCI]]-CH324,Tabla5[[#This Row],[INVERSIONES FCI]])</f>
        <v>74762013975.419235</v>
      </c>
      <c r="CI325" s="5">
        <f>IF($B324&lt;=Tabla5[[#This Row],[INVERSIONES FCI]],+Tabla5[[#This Row],[INVERSIONES FCI]]-CI324,Tabla5[[#This Row],[INVERSIONES FCI]])</f>
        <v>74762013975.419235</v>
      </c>
      <c r="CJ325" s="5">
        <f>IF($B324&lt;=Tabla5[[#This Row],[INVERSIONES FCI]],+Tabla5[[#This Row],[INVERSIONES FCI]]-CJ324,Tabla5[[#This Row],[INVERSIONES FCI]])</f>
        <v>74762013975.419235</v>
      </c>
      <c r="CK325" s="5">
        <f>IF($B324&lt;=Tabla5[[#This Row],[INVERSIONES FCI]],+Tabla5[[#This Row],[INVERSIONES FCI]]-CK324,Tabla5[[#This Row],[INVERSIONES FCI]])</f>
        <v>74762013975.419235</v>
      </c>
      <c r="CL325" s="5">
        <f>IF($B324&lt;=Tabla5[[#This Row],[INVERSIONES FCI]],+Tabla5[[#This Row],[INVERSIONES FCI]]-CL324,Tabla5[[#This Row],[INVERSIONES FCI]])</f>
        <v>74762013975.419235</v>
      </c>
      <c r="CM325" s="5">
        <f>IF($B324&lt;=Tabla5[[#This Row],[INVERSIONES FCI]],+Tabla5[[#This Row],[INVERSIONES FCI]]-CM324,Tabla5[[#This Row],[INVERSIONES FCI]])</f>
        <v>74762013975.419235</v>
      </c>
      <c r="CN325" s="5">
        <f>IF($B324&lt;=Tabla5[[#This Row],[INVERSIONES FCI]],+Tabla5[[#This Row],[INVERSIONES FCI]]-CN324,Tabla5[[#This Row],[INVERSIONES FCI]])</f>
        <v>74762013975.419235</v>
      </c>
      <c r="CO325" s="5">
        <f>IF($B324&lt;=Tabla5[[#This Row],[INVERSIONES FCI]],+Tabla5[[#This Row],[INVERSIONES FCI]]-CO324,Tabla5[[#This Row],[INVERSIONES FCI]])</f>
        <v>74762013975.419235</v>
      </c>
      <c r="CP325" s="5">
        <f>IF($B324&lt;=Tabla5[[#This Row],[INVERSIONES FCI]],+Tabla5[[#This Row],[INVERSIONES FCI]]-CP324,Tabla5[[#This Row],[INVERSIONES FCI]])</f>
        <v>74762013975.419235</v>
      </c>
      <c r="CQ325" s="5">
        <f>IF($B324&lt;=Tabla5[[#This Row],[INVERSIONES FCI]],+Tabla5[[#This Row],[INVERSIONES FCI]]-CQ324,Tabla5[[#This Row],[INVERSIONES FCI]])</f>
        <v>74762013975.419235</v>
      </c>
      <c r="CR325" s="5">
        <f>IF($B324&lt;=Tabla5[[#This Row],[INVERSIONES FCI]],+Tabla5[[#This Row],[INVERSIONES FCI]]-CR324,Tabla5[[#This Row],[INVERSIONES FCI]])</f>
        <v>74762013975.419235</v>
      </c>
      <c r="CS325" s="5">
        <f>IF($B324&lt;=Tabla5[[#This Row],[INVERSIONES FCI]],+Tabla5[[#This Row],[INVERSIONES FCI]]-CS324,Tabla5[[#This Row],[INVERSIONES FCI]])</f>
        <v>74762013975.419235</v>
      </c>
      <c r="CT325" s="5">
        <f>IF($B324&lt;=Tabla5[[#This Row],[INVERSIONES FCI]],+Tabla5[[#This Row],[INVERSIONES FCI]]-CT324,Tabla5[[#This Row],[INVERSIONES FCI]])</f>
        <v>74762013975.419235</v>
      </c>
      <c r="CU325" s="5">
        <f>IF($B324&lt;=Tabla5[[#This Row],[INVERSIONES FCI]],+Tabla5[[#This Row],[INVERSIONES FCI]]-CU324,Tabla5[[#This Row],[INVERSIONES FCI]])</f>
        <v>74762013975.419235</v>
      </c>
      <c r="CV325" s="5">
        <f>IF($B324&lt;=Tabla5[[#This Row],[INVERSIONES FCI]],+Tabla5[[#This Row],[INVERSIONES FCI]]-CV324,Tabla5[[#This Row],[INVERSIONES FCI]])</f>
        <v>74762013975.419235</v>
      </c>
      <c r="CW325" s="5">
        <f>IF($B324&lt;=Tabla5[[#This Row],[INVERSIONES FCI]],+Tabla5[[#This Row],[INVERSIONES FCI]]-CW324,Tabla5[[#This Row],[INVERSIONES FCI]])</f>
        <v>74762013975.419235</v>
      </c>
      <c r="CX325" s="5">
        <f>IF($B324&lt;=Tabla5[[#This Row],[INVERSIONES FCI]],+Tabla5[[#This Row],[INVERSIONES FCI]]-CX324,Tabla5[[#This Row],[INVERSIONES FCI]])</f>
        <v>74762013975.419235</v>
      </c>
      <c r="CY325" s="5">
        <f>IF($B324&lt;=Tabla5[[#This Row],[INVERSIONES FCI]],+Tabla5[[#This Row],[INVERSIONES FCI]]-CY324,Tabla5[[#This Row],[INVERSIONES FCI]])</f>
        <v>74762013975.419235</v>
      </c>
      <c r="CZ325" s="5">
        <f>IF($B324&lt;=Tabla5[[#This Row],[INVERSIONES FCI]],+Tabla5[[#This Row],[INVERSIONES FCI]]-CZ324,Tabla5[[#This Row],[INVERSIONES FCI]])</f>
        <v>74762013975.419235</v>
      </c>
      <c r="DA325" s="5">
        <f>IF($B324&lt;=Tabla5[[#This Row],[INVERSIONES FCI]],+Tabla5[[#This Row],[INVERSIONES FCI]]-DA324,Tabla5[[#This Row],[INVERSIONES FCI]])</f>
        <v>74762013975.419235</v>
      </c>
      <c r="DB325" s="5">
        <f>IF($B324&lt;=Tabla5[[#This Row],[INVERSIONES FCI]],+Tabla5[[#This Row],[INVERSIONES FCI]]-DB324,Tabla5[[#This Row],[INVERSIONES FCI]])</f>
        <v>74762013975.419235</v>
      </c>
      <c r="DC325" s="5">
        <f>IF($B324&lt;=Tabla5[[#This Row],[INVERSIONES FCI]],+Tabla5[[#This Row],[INVERSIONES FCI]]-DC324,Tabla5[[#This Row],[INVERSIONES FCI]])</f>
        <v>74762013975.419235</v>
      </c>
      <c r="DD325" s="5">
        <f>IF($B324&lt;=Tabla5[[#This Row],[INVERSIONES FCI]],+Tabla5[[#This Row],[INVERSIONES FCI]]-DD324,Tabla5[[#This Row],[INVERSIONES FCI]])</f>
        <v>74762013975.419235</v>
      </c>
      <c r="DE325" s="5">
        <f>IF($B324&lt;=Tabla5[[#This Row],[INVERSIONES FCI]],+Tabla5[[#This Row],[INVERSIONES FCI]]-DE324,Tabla5[[#This Row],[INVERSIONES FCI]])</f>
        <v>74762013975.419235</v>
      </c>
      <c r="DF325" s="5">
        <f>IF($B324&lt;=Tabla5[[#This Row],[INVERSIONES FCI]],+Tabla5[[#This Row],[INVERSIONES FCI]]-DF324,Tabla5[[#This Row],[INVERSIONES FCI]])</f>
        <v>74762013975.419235</v>
      </c>
      <c r="DG325" s="5">
        <f>IF($B324&lt;=Tabla5[[#This Row],[INVERSIONES FCI]],+Tabla5[[#This Row],[INVERSIONES FCI]]-DG324,Tabla5[[#This Row],[INVERSIONES FCI]])</f>
        <v>74762013975.419235</v>
      </c>
      <c r="DH325" s="5">
        <f>IF($B324&lt;=Tabla5[[#This Row],[INVERSIONES FCI]],+Tabla5[[#This Row],[INVERSIONES FCI]]-DH324,Tabla5[[#This Row],[INVERSIONES FCI]])</f>
        <v>74762013975.419235</v>
      </c>
      <c r="DI325" s="5">
        <f>IF($B324&lt;=Tabla5[[#This Row],[INVERSIONES FCI]],+Tabla5[[#This Row],[INVERSIONES FCI]]-DI324,Tabla5[[#This Row],[INVERSIONES FCI]])</f>
        <v>74762013975.419235</v>
      </c>
      <c r="DJ325" s="5">
        <f>IF($B324&lt;=Tabla5[[#This Row],[INVERSIONES FCI]],+Tabla5[[#This Row],[INVERSIONES FCI]]-DJ324,Tabla5[[#This Row],[INVERSIONES FCI]])</f>
        <v>74762013975.419235</v>
      </c>
      <c r="DK325" s="5">
        <f>IF($B324&lt;=Tabla5[[#This Row],[INVERSIONES FCI]],+Tabla5[[#This Row],[INVERSIONES FCI]]-DK324,Tabla5[[#This Row],[INVERSIONES FCI]])</f>
        <v>74762013975.419235</v>
      </c>
      <c r="DL325" s="5"/>
      <c r="DM325" s="5"/>
      <c r="DN325" s="5"/>
      <c r="DO325" s="5"/>
      <c r="DP325" s="5"/>
      <c r="DQ325" s="5"/>
    </row>
    <row r="326" spans="1:121" ht="14.4">
      <c r="A326" s="12" t="s">
        <v>325</v>
      </c>
      <c r="B326" s="5">
        <f>HLOOKUP($A326,ESCENARIO[#All],7,FALSE)</f>
        <v>90843518476.612564</v>
      </c>
      <c r="C326" s="5">
        <f>IF($B325&lt;=Tabla5[[#This Row],[INVERSIONES FCI]],+Tabla5[[#This Row],[INVERSIONES FCI]]-C325,Tabla5[[#This Row],[INVERSIONES FCI]])</f>
        <v>16081504501.193329</v>
      </c>
      <c r="D326" s="5">
        <f>IF($B325&lt;=Tabla5[[#This Row],[INVERSIONES FCI]],+Tabla5[[#This Row],[INVERSIONES FCI]]-D325,Tabla5[[#This Row],[INVERSIONES FCI]])</f>
        <v>16081504501.193329</v>
      </c>
      <c r="E326" s="5">
        <f>IF($B325&lt;=Tabla5[[#This Row],[INVERSIONES FCI]],+Tabla5[[#This Row],[INVERSIONES FCI]]-E325,Tabla5[[#This Row],[INVERSIONES FCI]])</f>
        <v>16081504501.193329</v>
      </c>
      <c r="F326" s="5">
        <f>IF($B325&lt;=Tabla5[[#This Row],[INVERSIONES FCI]],+Tabla5[[#This Row],[INVERSIONES FCI]]-F325,Tabla5[[#This Row],[INVERSIONES FCI]])</f>
        <v>16081504501.193329</v>
      </c>
      <c r="G326" s="5">
        <f>IF($B325&lt;=Tabla5[[#This Row],[INVERSIONES FCI]],+Tabla5[[#This Row],[INVERSIONES FCI]]-G325,Tabla5[[#This Row],[INVERSIONES FCI]])</f>
        <v>16081504501.193329</v>
      </c>
      <c r="H326" s="5">
        <f>IF($B325&lt;=Tabla5[[#This Row],[INVERSIONES FCI]],+Tabla5[[#This Row],[INVERSIONES FCI]]-H325,Tabla5[[#This Row],[INVERSIONES FCI]])</f>
        <v>16081504501.193329</v>
      </c>
      <c r="I326" s="5">
        <f>IF($B325&lt;=Tabla5[[#This Row],[INVERSIONES FCI]],+Tabla5[[#This Row],[INVERSIONES FCI]]-I325,Tabla5[[#This Row],[INVERSIONES FCI]])</f>
        <v>16081504501.193329</v>
      </c>
      <c r="J326" s="5">
        <f>IF($B325&lt;=Tabla5[[#This Row],[INVERSIONES FCI]],+Tabla5[[#This Row],[INVERSIONES FCI]]-J325,Tabla5[[#This Row],[INVERSIONES FCI]])</f>
        <v>16081504501.193329</v>
      </c>
      <c r="K326" s="5">
        <f>IF($B325&lt;=Tabla5[[#This Row],[INVERSIONES FCI]],+Tabla5[[#This Row],[INVERSIONES FCI]]-K325,Tabla5[[#This Row],[INVERSIONES FCI]])</f>
        <v>16081504501.193329</v>
      </c>
      <c r="L326" s="5">
        <f>IF($B325&lt;=Tabla5[[#This Row],[INVERSIONES FCI]],+Tabla5[[#This Row],[INVERSIONES FCI]]-L325,Tabla5[[#This Row],[INVERSIONES FCI]])</f>
        <v>16081504501.193329</v>
      </c>
      <c r="M326" s="5">
        <f>IF($B325&lt;=Tabla5[[#This Row],[INVERSIONES FCI]],+Tabla5[[#This Row],[INVERSIONES FCI]]-M325,Tabla5[[#This Row],[INVERSIONES FCI]])</f>
        <v>16081504501.193329</v>
      </c>
      <c r="N326" s="5">
        <f>IF($B325&lt;=Tabla5[[#This Row],[INVERSIONES FCI]],+Tabla5[[#This Row],[INVERSIONES FCI]]-N325,Tabla5[[#This Row],[INVERSIONES FCI]])</f>
        <v>16081504501.193329</v>
      </c>
      <c r="O326" s="5">
        <f>IF($B325&lt;=Tabla5[[#This Row],[INVERSIONES FCI]],+Tabla5[[#This Row],[INVERSIONES FCI]]-O325,Tabla5[[#This Row],[INVERSIONES FCI]])</f>
        <v>16081504501.193329</v>
      </c>
      <c r="P326" s="5">
        <f>IF($B325&lt;=Tabla5[[#This Row],[INVERSIONES FCI]],+Tabla5[[#This Row],[INVERSIONES FCI]]-P325,Tabla5[[#This Row],[INVERSIONES FCI]])</f>
        <v>16081504501.193329</v>
      </c>
      <c r="Q326" s="5">
        <f>IF($B325&lt;=Tabla5[[#This Row],[INVERSIONES FCI]],+Tabla5[[#This Row],[INVERSIONES FCI]]-Q325,Tabla5[[#This Row],[INVERSIONES FCI]])</f>
        <v>16081504501.193329</v>
      </c>
      <c r="R326" s="5">
        <f>IF($B325&lt;=Tabla5[[#This Row],[INVERSIONES FCI]],+Tabla5[[#This Row],[INVERSIONES FCI]]-R325,Tabla5[[#This Row],[INVERSIONES FCI]])</f>
        <v>16081504501.193329</v>
      </c>
      <c r="S326" s="5">
        <f>IF($B325&lt;=Tabla5[[#This Row],[INVERSIONES FCI]],+Tabla5[[#This Row],[INVERSIONES FCI]]-S325,Tabla5[[#This Row],[INVERSIONES FCI]])</f>
        <v>16081504501.193329</v>
      </c>
      <c r="T326" s="5">
        <f>IF($B325&lt;=Tabla5[[#This Row],[INVERSIONES FCI]],+Tabla5[[#This Row],[INVERSIONES FCI]]-T325,Tabla5[[#This Row],[INVERSIONES FCI]])</f>
        <v>16081504501.193329</v>
      </c>
      <c r="U326" s="5">
        <f>IF($B325&lt;=Tabla5[[#This Row],[INVERSIONES FCI]],+Tabla5[[#This Row],[INVERSIONES FCI]]-U325,Tabla5[[#This Row],[INVERSIONES FCI]])</f>
        <v>16081504501.193329</v>
      </c>
      <c r="V326" s="5">
        <f>IF($B325&lt;=Tabla5[[#This Row],[INVERSIONES FCI]],+Tabla5[[#This Row],[INVERSIONES FCI]]-V325,Tabla5[[#This Row],[INVERSIONES FCI]])</f>
        <v>16081504501.193329</v>
      </c>
      <c r="W326" s="5">
        <f>IF($B325&lt;=Tabla5[[#This Row],[INVERSIONES FCI]],+Tabla5[[#This Row],[INVERSIONES FCI]]-W325,Tabla5[[#This Row],[INVERSIONES FCI]])</f>
        <v>16081504501.193329</v>
      </c>
      <c r="X326" s="5">
        <f>IF($B325&lt;=Tabla5[[#This Row],[INVERSIONES FCI]],+Tabla5[[#This Row],[INVERSIONES FCI]]-X325,Tabla5[[#This Row],[INVERSIONES FCI]])</f>
        <v>16081504501.193329</v>
      </c>
      <c r="Y326" s="5">
        <f>IF($B325&lt;=Tabla5[[#This Row],[INVERSIONES FCI]],+Tabla5[[#This Row],[INVERSIONES FCI]]-Y325,Tabla5[[#This Row],[INVERSIONES FCI]])</f>
        <v>16081504501.193329</v>
      </c>
      <c r="Z326" s="5">
        <f>IF($B325&lt;=Tabla5[[#This Row],[INVERSIONES FCI]],+Tabla5[[#This Row],[INVERSIONES FCI]]-Z325,Tabla5[[#This Row],[INVERSIONES FCI]])</f>
        <v>16081504501.193329</v>
      </c>
      <c r="AA326" s="5">
        <f>IF($B325&lt;=Tabla5[[#This Row],[INVERSIONES FCI]],+Tabla5[[#This Row],[INVERSIONES FCI]]-AA325,Tabla5[[#This Row],[INVERSIONES FCI]])</f>
        <v>16081504501.193329</v>
      </c>
      <c r="AB326" s="5">
        <f>IF($B325&lt;=Tabla5[[#This Row],[INVERSIONES FCI]],+Tabla5[[#This Row],[INVERSIONES FCI]]-AB325,Tabla5[[#This Row],[INVERSIONES FCI]])</f>
        <v>16081504501.193329</v>
      </c>
      <c r="AC326" s="5">
        <f>IF($B325&lt;=Tabla5[[#This Row],[INVERSIONES FCI]],+Tabla5[[#This Row],[INVERSIONES FCI]]-AC325,Tabla5[[#This Row],[INVERSIONES FCI]])</f>
        <v>16081504501.193329</v>
      </c>
      <c r="AD326" s="5">
        <f>IF($B325&lt;=Tabla5[[#This Row],[INVERSIONES FCI]],+Tabla5[[#This Row],[INVERSIONES FCI]]-AD325,Tabla5[[#This Row],[INVERSIONES FCI]])</f>
        <v>16081504501.193329</v>
      </c>
      <c r="AE326" s="5">
        <f>IF($B325&lt;=Tabla5[[#This Row],[INVERSIONES FCI]],+Tabla5[[#This Row],[INVERSIONES FCI]]-AE325,Tabla5[[#This Row],[INVERSIONES FCI]])</f>
        <v>16081504501.193329</v>
      </c>
      <c r="AF326" s="5">
        <f>IF($B325&lt;=Tabla5[[#This Row],[INVERSIONES FCI]],+Tabla5[[#This Row],[INVERSIONES FCI]]-AF325,Tabla5[[#This Row],[INVERSIONES FCI]])</f>
        <v>16081504501.193329</v>
      </c>
      <c r="AG326" s="5">
        <f>IF($B325&lt;=Tabla5[[#This Row],[INVERSIONES FCI]],+Tabla5[[#This Row],[INVERSIONES FCI]]-AG325,Tabla5[[#This Row],[INVERSIONES FCI]])</f>
        <v>16081504501.193329</v>
      </c>
      <c r="AH326" s="5">
        <f>IF($B325&lt;=Tabla5[[#This Row],[INVERSIONES FCI]],+Tabla5[[#This Row],[INVERSIONES FCI]]-AH325,Tabla5[[#This Row],[INVERSIONES FCI]])</f>
        <v>16081504501.193329</v>
      </c>
      <c r="AI326" s="5">
        <f>IF($B325&lt;=Tabla5[[#This Row],[INVERSIONES FCI]],+Tabla5[[#This Row],[INVERSIONES FCI]]-AI325,Tabla5[[#This Row],[INVERSIONES FCI]])</f>
        <v>16081504501.193329</v>
      </c>
      <c r="AJ326" s="5">
        <f>IF($B325&lt;=Tabla5[[#This Row],[INVERSIONES FCI]],+Tabla5[[#This Row],[INVERSIONES FCI]]-AJ325,Tabla5[[#This Row],[INVERSIONES FCI]])</f>
        <v>16081504501.193329</v>
      </c>
      <c r="AK326" s="5">
        <f>IF($B325&lt;=Tabla5[[#This Row],[INVERSIONES FCI]],+Tabla5[[#This Row],[INVERSIONES FCI]]-AK325,Tabla5[[#This Row],[INVERSIONES FCI]])</f>
        <v>16081504501.193329</v>
      </c>
      <c r="AL326" s="5">
        <f>IF($B325&lt;=Tabla5[[#This Row],[INVERSIONES FCI]],+Tabla5[[#This Row],[INVERSIONES FCI]]-AL325,Tabla5[[#This Row],[INVERSIONES FCI]])</f>
        <v>16081504501.193329</v>
      </c>
      <c r="AM326" s="5">
        <f>IF($B325&lt;=Tabla5[[#This Row],[INVERSIONES FCI]],+Tabla5[[#This Row],[INVERSIONES FCI]]-AM325,Tabla5[[#This Row],[INVERSIONES FCI]])</f>
        <v>16081504501.193329</v>
      </c>
      <c r="AN326" s="5">
        <f>IF($B325&lt;=Tabla5[[#This Row],[INVERSIONES FCI]],+Tabla5[[#This Row],[INVERSIONES FCI]]-AN325,Tabla5[[#This Row],[INVERSIONES FCI]])</f>
        <v>16081504501.193329</v>
      </c>
      <c r="AO326" s="5">
        <f>IF($B325&lt;=Tabla5[[#This Row],[INVERSIONES FCI]],+Tabla5[[#This Row],[INVERSIONES FCI]]-AO325,Tabla5[[#This Row],[INVERSIONES FCI]])</f>
        <v>16081504501.193329</v>
      </c>
      <c r="AP326" s="5">
        <f>IF($B325&lt;=Tabla5[[#This Row],[INVERSIONES FCI]],+Tabla5[[#This Row],[INVERSIONES FCI]]-AP325,Tabla5[[#This Row],[INVERSIONES FCI]])</f>
        <v>16081504501.193329</v>
      </c>
      <c r="AQ326" s="5">
        <f>IF($B325&lt;=Tabla5[[#This Row],[INVERSIONES FCI]],+Tabla5[[#This Row],[INVERSIONES FCI]]-AQ325,Tabla5[[#This Row],[INVERSIONES FCI]])</f>
        <v>16081504501.193329</v>
      </c>
      <c r="AR326" s="5">
        <f>IF($B325&lt;=Tabla5[[#This Row],[INVERSIONES FCI]],+Tabla5[[#This Row],[INVERSIONES FCI]]-AR325,Tabla5[[#This Row],[INVERSIONES FCI]])</f>
        <v>16081504501.193329</v>
      </c>
      <c r="AS326" s="5">
        <f>IF($B325&lt;=Tabla5[[#This Row],[INVERSIONES FCI]],+Tabla5[[#This Row],[INVERSIONES FCI]]-AS325,Tabla5[[#This Row],[INVERSIONES FCI]])</f>
        <v>16081504501.193329</v>
      </c>
      <c r="AT326" s="5">
        <f>IF($B325&lt;=Tabla5[[#This Row],[INVERSIONES FCI]],+Tabla5[[#This Row],[INVERSIONES FCI]]-AT325,Tabla5[[#This Row],[INVERSIONES FCI]])</f>
        <v>16081504501.193329</v>
      </c>
      <c r="AU326" s="5">
        <f>IF($B325&lt;=Tabla5[[#This Row],[INVERSIONES FCI]],+Tabla5[[#This Row],[INVERSIONES FCI]]-AU325,Tabla5[[#This Row],[INVERSIONES FCI]])</f>
        <v>16081504501.193329</v>
      </c>
      <c r="AV326" s="5">
        <f>IF($B325&lt;=Tabla5[[#This Row],[INVERSIONES FCI]],+Tabla5[[#This Row],[INVERSIONES FCI]]-AV325,Tabla5[[#This Row],[INVERSIONES FCI]])</f>
        <v>16081504501.193329</v>
      </c>
      <c r="AW326" s="5">
        <f>IF($B325&lt;=Tabla5[[#This Row],[INVERSIONES FCI]],+Tabla5[[#This Row],[INVERSIONES FCI]]-AW325,Tabla5[[#This Row],[INVERSIONES FCI]])</f>
        <v>16081504501.193329</v>
      </c>
      <c r="AX326" s="5">
        <f>IF($B325&lt;=Tabla5[[#This Row],[INVERSIONES FCI]],+Tabla5[[#This Row],[INVERSIONES FCI]]-AX325,Tabla5[[#This Row],[INVERSIONES FCI]])</f>
        <v>16081504501.193329</v>
      </c>
      <c r="AY326" s="5">
        <f>IF($B325&lt;=Tabla5[[#This Row],[INVERSIONES FCI]],+Tabla5[[#This Row],[INVERSIONES FCI]]-AY325,Tabla5[[#This Row],[INVERSIONES FCI]])</f>
        <v>16081504501.193329</v>
      </c>
      <c r="AZ326" s="5">
        <f>IF($B325&lt;=Tabla5[[#This Row],[INVERSIONES FCI]],+Tabla5[[#This Row],[INVERSIONES FCI]]-AZ325,Tabla5[[#This Row],[INVERSIONES FCI]])</f>
        <v>16081504501.193329</v>
      </c>
      <c r="BA326" s="5">
        <f>IF($B325&lt;=Tabla5[[#This Row],[INVERSIONES FCI]],+Tabla5[[#This Row],[INVERSIONES FCI]]-BA325,Tabla5[[#This Row],[INVERSIONES FCI]])</f>
        <v>16081504501.193329</v>
      </c>
      <c r="BB326" s="5">
        <f>IF($B325&lt;=Tabla5[[#This Row],[INVERSIONES FCI]],+Tabla5[[#This Row],[INVERSIONES FCI]]-BB325,Tabla5[[#This Row],[INVERSIONES FCI]])</f>
        <v>16081504501.193329</v>
      </c>
      <c r="BC326" s="5">
        <f>IF($B325&lt;=Tabla5[[#This Row],[INVERSIONES FCI]],+Tabla5[[#This Row],[INVERSIONES FCI]]-BC325,Tabla5[[#This Row],[INVERSIONES FCI]])</f>
        <v>16081504501.193329</v>
      </c>
      <c r="BD326" s="5">
        <f>IF($B325&lt;=Tabla5[[#This Row],[INVERSIONES FCI]],+Tabla5[[#This Row],[INVERSIONES FCI]]-BD325,Tabla5[[#This Row],[INVERSIONES FCI]])</f>
        <v>16081504501.193329</v>
      </c>
      <c r="BE326" s="5">
        <f>IF($B325&lt;=Tabla5[[#This Row],[INVERSIONES FCI]],+Tabla5[[#This Row],[INVERSIONES FCI]]-BE325,Tabla5[[#This Row],[INVERSIONES FCI]])</f>
        <v>16081504501.193329</v>
      </c>
      <c r="BF326" s="5">
        <f>IF($B325&lt;=Tabla5[[#This Row],[INVERSIONES FCI]],+Tabla5[[#This Row],[INVERSIONES FCI]]-BF325,Tabla5[[#This Row],[INVERSIONES FCI]])</f>
        <v>16081504501.193329</v>
      </c>
      <c r="BG326" s="5">
        <f>IF($B325&lt;=Tabla5[[#This Row],[INVERSIONES FCI]],+Tabla5[[#This Row],[INVERSIONES FCI]]-BG325,Tabla5[[#This Row],[INVERSIONES FCI]])</f>
        <v>16081504501.193329</v>
      </c>
      <c r="BH326" s="5">
        <f>IF($B325&lt;=Tabla5[[#This Row],[INVERSIONES FCI]],+Tabla5[[#This Row],[INVERSIONES FCI]]-BH325,Tabla5[[#This Row],[INVERSIONES FCI]])</f>
        <v>16081504501.193329</v>
      </c>
      <c r="BI326" s="5">
        <f>IF($B325&lt;=Tabla5[[#This Row],[INVERSIONES FCI]],+Tabla5[[#This Row],[INVERSIONES FCI]]-BI325,Tabla5[[#This Row],[INVERSIONES FCI]])</f>
        <v>16081504501.193329</v>
      </c>
      <c r="BJ326" s="5">
        <f>IF($B325&lt;=Tabla5[[#This Row],[INVERSIONES FCI]],+Tabla5[[#This Row],[INVERSIONES FCI]]-BJ325,Tabla5[[#This Row],[INVERSIONES FCI]])</f>
        <v>16081504501.193329</v>
      </c>
      <c r="BK326" s="5">
        <f>IF($B325&lt;=Tabla5[[#This Row],[INVERSIONES FCI]],+Tabla5[[#This Row],[INVERSIONES FCI]]-BK325,Tabla5[[#This Row],[INVERSIONES FCI]])</f>
        <v>16081504501.193329</v>
      </c>
      <c r="BL326" s="5">
        <f>IF($B325&lt;=Tabla5[[#This Row],[INVERSIONES FCI]],+Tabla5[[#This Row],[INVERSIONES FCI]]-BL325,Tabla5[[#This Row],[INVERSIONES FCI]])</f>
        <v>16081504501.193329</v>
      </c>
      <c r="BM326" s="5">
        <f>IF($B325&lt;=Tabla5[[#This Row],[INVERSIONES FCI]],+Tabla5[[#This Row],[INVERSIONES FCI]]-BM325,Tabla5[[#This Row],[INVERSIONES FCI]])</f>
        <v>16081504501.193329</v>
      </c>
      <c r="BN326" s="5">
        <f>IF($B325&lt;=Tabla5[[#This Row],[INVERSIONES FCI]],+Tabla5[[#This Row],[INVERSIONES FCI]]-BN325,Tabla5[[#This Row],[INVERSIONES FCI]])</f>
        <v>16081504501.193329</v>
      </c>
      <c r="BO326" s="5">
        <f>IF($B325&lt;=Tabla5[[#This Row],[INVERSIONES FCI]],+Tabla5[[#This Row],[INVERSIONES FCI]]-BO325,Tabla5[[#This Row],[INVERSIONES FCI]])</f>
        <v>16081504501.193329</v>
      </c>
      <c r="BP326" s="5">
        <f>IF($B325&lt;=Tabla5[[#This Row],[INVERSIONES FCI]],+Tabla5[[#This Row],[INVERSIONES FCI]]-BP325,Tabla5[[#This Row],[INVERSIONES FCI]])</f>
        <v>16081504501.193329</v>
      </c>
      <c r="BQ326" s="5">
        <f>IF($B325&lt;=Tabla5[[#This Row],[INVERSIONES FCI]],+Tabla5[[#This Row],[INVERSIONES FCI]]-BQ325,Tabla5[[#This Row],[INVERSIONES FCI]])</f>
        <v>16081504501.193329</v>
      </c>
      <c r="BR326" s="5">
        <f>IF($B325&lt;=Tabla5[[#This Row],[INVERSIONES FCI]],+Tabla5[[#This Row],[INVERSIONES FCI]]-BR325,Tabla5[[#This Row],[INVERSIONES FCI]])</f>
        <v>16081504501.193329</v>
      </c>
      <c r="BS326" s="5">
        <f>IF($B325&lt;=Tabla5[[#This Row],[INVERSIONES FCI]],+Tabla5[[#This Row],[INVERSIONES FCI]]-BS325,Tabla5[[#This Row],[INVERSIONES FCI]])</f>
        <v>16081504501.193329</v>
      </c>
      <c r="BT326" s="5">
        <f>IF($B325&lt;=Tabla5[[#This Row],[INVERSIONES FCI]],+Tabla5[[#This Row],[INVERSIONES FCI]]-BT325,Tabla5[[#This Row],[INVERSIONES FCI]])</f>
        <v>16081504501.193329</v>
      </c>
      <c r="BU326" s="5">
        <f>IF($B325&lt;=Tabla5[[#This Row],[INVERSIONES FCI]],+Tabla5[[#This Row],[INVERSIONES FCI]]-BU325,Tabla5[[#This Row],[INVERSIONES FCI]])</f>
        <v>16081504501.193329</v>
      </c>
      <c r="BV326" s="5">
        <f>IF($B325&lt;=Tabla5[[#This Row],[INVERSIONES FCI]],+Tabla5[[#This Row],[INVERSIONES FCI]]-BV325,Tabla5[[#This Row],[INVERSIONES FCI]])</f>
        <v>16081504501.193329</v>
      </c>
      <c r="BW326" s="5">
        <f>IF($B325&lt;=Tabla5[[#This Row],[INVERSIONES FCI]],+Tabla5[[#This Row],[INVERSIONES FCI]]-BW325,Tabla5[[#This Row],[INVERSIONES FCI]])</f>
        <v>16081504501.193329</v>
      </c>
      <c r="BX326" s="5">
        <f>IF($B325&lt;=Tabla5[[#This Row],[INVERSIONES FCI]],+Tabla5[[#This Row],[INVERSIONES FCI]]-BX325,Tabla5[[#This Row],[INVERSIONES FCI]])</f>
        <v>16081504501.193329</v>
      </c>
      <c r="BY326" s="5">
        <f>IF($B325&lt;=Tabla5[[#This Row],[INVERSIONES FCI]],+Tabla5[[#This Row],[INVERSIONES FCI]]-BY325,Tabla5[[#This Row],[INVERSIONES FCI]])</f>
        <v>16081504501.193329</v>
      </c>
      <c r="BZ326" s="5">
        <f>IF($B325&lt;=Tabla5[[#This Row],[INVERSIONES FCI]],+Tabla5[[#This Row],[INVERSIONES FCI]]-BZ325,Tabla5[[#This Row],[INVERSIONES FCI]])</f>
        <v>16081504501.193329</v>
      </c>
      <c r="CA326" s="5">
        <f>IF($B325&lt;=Tabla5[[#This Row],[INVERSIONES FCI]],+Tabla5[[#This Row],[INVERSIONES FCI]]-CA325,Tabla5[[#This Row],[INVERSIONES FCI]])</f>
        <v>16081504501.193329</v>
      </c>
      <c r="CB326" s="5">
        <f>IF($B325&lt;=Tabla5[[#This Row],[INVERSIONES FCI]],+Tabla5[[#This Row],[INVERSIONES FCI]]-CB325,Tabla5[[#This Row],[INVERSIONES FCI]])</f>
        <v>16081504501.193329</v>
      </c>
      <c r="CC326" s="5">
        <f>IF($B325&lt;=Tabla5[[#This Row],[INVERSIONES FCI]],+Tabla5[[#This Row],[INVERSIONES FCI]]-CC325,Tabla5[[#This Row],[INVERSIONES FCI]])</f>
        <v>16081504501.193329</v>
      </c>
      <c r="CD326" s="5">
        <f>IF($B325&lt;=Tabla5[[#This Row],[INVERSIONES FCI]],+Tabla5[[#This Row],[INVERSIONES FCI]]-CD325,Tabla5[[#This Row],[INVERSIONES FCI]])</f>
        <v>16081504501.193329</v>
      </c>
      <c r="CE326" s="5">
        <f>IF($B325&lt;=Tabla5[[#This Row],[INVERSIONES FCI]],+Tabla5[[#This Row],[INVERSIONES FCI]]-CE325,Tabla5[[#This Row],[INVERSIONES FCI]])</f>
        <v>16081504501.193329</v>
      </c>
      <c r="CF326" s="5">
        <f>IF($B325&lt;=Tabla5[[#This Row],[INVERSIONES FCI]],+Tabla5[[#This Row],[INVERSIONES FCI]]-CF325,Tabla5[[#This Row],[INVERSIONES FCI]])</f>
        <v>16081504501.193329</v>
      </c>
      <c r="CG326" s="5">
        <f>IF($B325&lt;=Tabla5[[#This Row],[INVERSIONES FCI]],+Tabla5[[#This Row],[INVERSIONES FCI]]-CG325,Tabla5[[#This Row],[INVERSIONES FCI]])</f>
        <v>16081504501.193329</v>
      </c>
      <c r="CH326" s="5">
        <f>IF($B325&lt;=Tabla5[[#This Row],[INVERSIONES FCI]],+Tabla5[[#This Row],[INVERSIONES FCI]]-CH325,Tabla5[[#This Row],[INVERSIONES FCI]])</f>
        <v>16081504501.193329</v>
      </c>
      <c r="CI326" s="5">
        <f>IF($B325&lt;=Tabla5[[#This Row],[INVERSIONES FCI]],+Tabla5[[#This Row],[INVERSIONES FCI]]-CI325,Tabla5[[#This Row],[INVERSIONES FCI]])</f>
        <v>16081504501.193329</v>
      </c>
      <c r="CJ326" s="5">
        <f>IF($B325&lt;=Tabla5[[#This Row],[INVERSIONES FCI]],+Tabla5[[#This Row],[INVERSIONES FCI]]-CJ325,Tabla5[[#This Row],[INVERSIONES FCI]])</f>
        <v>16081504501.193329</v>
      </c>
      <c r="CK326" s="5">
        <f>IF($B325&lt;=Tabla5[[#This Row],[INVERSIONES FCI]],+Tabla5[[#This Row],[INVERSIONES FCI]]-CK325,Tabla5[[#This Row],[INVERSIONES FCI]])</f>
        <v>16081504501.193329</v>
      </c>
      <c r="CL326" s="5">
        <f>IF($B325&lt;=Tabla5[[#This Row],[INVERSIONES FCI]],+Tabla5[[#This Row],[INVERSIONES FCI]]-CL325,Tabla5[[#This Row],[INVERSIONES FCI]])</f>
        <v>16081504501.193329</v>
      </c>
      <c r="CM326" s="5">
        <f>IF($B325&lt;=Tabla5[[#This Row],[INVERSIONES FCI]],+Tabla5[[#This Row],[INVERSIONES FCI]]-CM325,Tabla5[[#This Row],[INVERSIONES FCI]])</f>
        <v>16081504501.193329</v>
      </c>
      <c r="CN326" s="5">
        <f>IF($B325&lt;=Tabla5[[#This Row],[INVERSIONES FCI]],+Tabla5[[#This Row],[INVERSIONES FCI]]-CN325,Tabla5[[#This Row],[INVERSIONES FCI]])</f>
        <v>16081504501.193329</v>
      </c>
      <c r="CO326" s="5">
        <f>IF($B325&lt;=Tabla5[[#This Row],[INVERSIONES FCI]],+Tabla5[[#This Row],[INVERSIONES FCI]]-CO325,Tabla5[[#This Row],[INVERSIONES FCI]])</f>
        <v>16081504501.193329</v>
      </c>
      <c r="CP326" s="5">
        <f>IF($B325&lt;=Tabla5[[#This Row],[INVERSIONES FCI]],+Tabla5[[#This Row],[INVERSIONES FCI]]-CP325,Tabla5[[#This Row],[INVERSIONES FCI]])</f>
        <v>16081504501.193329</v>
      </c>
      <c r="CQ326" s="5">
        <f>IF($B325&lt;=Tabla5[[#This Row],[INVERSIONES FCI]],+Tabla5[[#This Row],[INVERSIONES FCI]]-CQ325,Tabla5[[#This Row],[INVERSIONES FCI]])</f>
        <v>16081504501.193329</v>
      </c>
      <c r="CR326" s="5">
        <f>IF($B325&lt;=Tabla5[[#This Row],[INVERSIONES FCI]],+Tabla5[[#This Row],[INVERSIONES FCI]]-CR325,Tabla5[[#This Row],[INVERSIONES FCI]])</f>
        <v>16081504501.193329</v>
      </c>
      <c r="CS326" s="5">
        <f>IF($B325&lt;=Tabla5[[#This Row],[INVERSIONES FCI]],+Tabla5[[#This Row],[INVERSIONES FCI]]-CS325,Tabla5[[#This Row],[INVERSIONES FCI]])</f>
        <v>16081504501.193329</v>
      </c>
      <c r="CT326" s="5">
        <f>IF($B325&lt;=Tabla5[[#This Row],[INVERSIONES FCI]],+Tabla5[[#This Row],[INVERSIONES FCI]]-CT325,Tabla5[[#This Row],[INVERSIONES FCI]])</f>
        <v>16081504501.193329</v>
      </c>
      <c r="CU326" s="5">
        <f>IF($B325&lt;=Tabla5[[#This Row],[INVERSIONES FCI]],+Tabla5[[#This Row],[INVERSIONES FCI]]-CU325,Tabla5[[#This Row],[INVERSIONES FCI]])</f>
        <v>16081504501.193329</v>
      </c>
      <c r="CV326" s="5">
        <f>IF($B325&lt;=Tabla5[[#This Row],[INVERSIONES FCI]],+Tabla5[[#This Row],[INVERSIONES FCI]]-CV325,Tabla5[[#This Row],[INVERSIONES FCI]])</f>
        <v>16081504501.193329</v>
      </c>
      <c r="CW326" s="5">
        <f>IF($B325&lt;=Tabla5[[#This Row],[INVERSIONES FCI]],+Tabla5[[#This Row],[INVERSIONES FCI]]-CW325,Tabla5[[#This Row],[INVERSIONES FCI]])</f>
        <v>16081504501.193329</v>
      </c>
      <c r="CX326" s="5">
        <f>IF($B325&lt;=Tabla5[[#This Row],[INVERSIONES FCI]],+Tabla5[[#This Row],[INVERSIONES FCI]]-CX325,Tabla5[[#This Row],[INVERSIONES FCI]])</f>
        <v>16081504501.193329</v>
      </c>
      <c r="CY326" s="5">
        <f>IF($B325&lt;=Tabla5[[#This Row],[INVERSIONES FCI]],+Tabla5[[#This Row],[INVERSIONES FCI]]-CY325,Tabla5[[#This Row],[INVERSIONES FCI]])</f>
        <v>16081504501.193329</v>
      </c>
      <c r="CZ326" s="5">
        <f>IF($B325&lt;=Tabla5[[#This Row],[INVERSIONES FCI]],+Tabla5[[#This Row],[INVERSIONES FCI]]-CZ325,Tabla5[[#This Row],[INVERSIONES FCI]])</f>
        <v>16081504501.193329</v>
      </c>
      <c r="DA326" s="5">
        <f>IF($B325&lt;=Tabla5[[#This Row],[INVERSIONES FCI]],+Tabla5[[#This Row],[INVERSIONES FCI]]-DA325,Tabla5[[#This Row],[INVERSIONES FCI]])</f>
        <v>16081504501.193329</v>
      </c>
      <c r="DB326" s="5">
        <f>IF($B325&lt;=Tabla5[[#This Row],[INVERSIONES FCI]],+Tabla5[[#This Row],[INVERSIONES FCI]]-DB325,Tabla5[[#This Row],[INVERSIONES FCI]])</f>
        <v>16081504501.193329</v>
      </c>
      <c r="DC326" s="5">
        <f>IF($B325&lt;=Tabla5[[#This Row],[INVERSIONES FCI]],+Tabla5[[#This Row],[INVERSIONES FCI]]-DC325,Tabla5[[#This Row],[INVERSIONES FCI]])</f>
        <v>16081504501.193329</v>
      </c>
      <c r="DD326" s="5">
        <f>IF($B325&lt;=Tabla5[[#This Row],[INVERSIONES FCI]],+Tabla5[[#This Row],[INVERSIONES FCI]]-DD325,Tabla5[[#This Row],[INVERSIONES FCI]])</f>
        <v>16081504501.193329</v>
      </c>
      <c r="DE326" s="5">
        <f>IF($B325&lt;=Tabla5[[#This Row],[INVERSIONES FCI]],+Tabla5[[#This Row],[INVERSIONES FCI]]-DE325,Tabla5[[#This Row],[INVERSIONES FCI]])</f>
        <v>16081504501.193329</v>
      </c>
      <c r="DF326" s="5">
        <f>IF($B325&lt;=Tabla5[[#This Row],[INVERSIONES FCI]],+Tabla5[[#This Row],[INVERSIONES FCI]]-DF325,Tabla5[[#This Row],[INVERSIONES FCI]])</f>
        <v>16081504501.193329</v>
      </c>
      <c r="DG326" s="5">
        <f>IF($B325&lt;=Tabla5[[#This Row],[INVERSIONES FCI]],+Tabla5[[#This Row],[INVERSIONES FCI]]-DG325,Tabla5[[#This Row],[INVERSIONES FCI]])</f>
        <v>16081504501.193329</v>
      </c>
      <c r="DH326" s="5">
        <f>IF($B325&lt;=Tabla5[[#This Row],[INVERSIONES FCI]],+Tabla5[[#This Row],[INVERSIONES FCI]]-DH325,Tabla5[[#This Row],[INVERSIONES FCI]])</f>
        <v>16081504501.193329</v>
      </c>
      <c r="DI326" s="5">
        <f>IF($B325&lt;=Tabla5[[#This Row],[INVERSIONES FCI]],+Tabla5[[#This Row],[INVERSIONES FCI]]-DI325,Tabla5[[#This Row],[INVERSIONES FCI]])</f>
        <v>16081504501.193329</v>
      </c>
      <c r="DJ326" s="5">
        <f>IF($B325&lt;=Tabla5[[#This Row],[INVERSIONES FCI]],+Tabla5[[#This Row],[INVERSIONES FCI]]-DJ325,Tabla5[[#This Row],[INVERSIONES FCI]])</f>
        <v>16081504501.193329</v>
      </c>
      <c r="DK326" s="5">
        <f>IF($B325&lt;=Tabla5[[#This Row],[INVERSIONES FCI]],+Tabla5[[#This Row],[INVERSIONES FCI]]-DK325,Tabla5[[#This Row],[INVERSIONES FCI]])</f>
        <v>16081504501.193329</v>
      </c>
      <c r="DL326" s="5"/>
      <c r="DM326" s="5"/>
      <c r="DN326" s="5"/>
      <c r="DO326" s="5"/>
      <c r="DP326" s="5"/>
      <c r="DQ326" s="5"/>
    </row>
    <row r="327" spans="1:121" ht="14.4">
      <c r="A327" s="12" t="s">
        <v>326</v>
      </c>
      <c r="B327" s="5">
        <f>HLOOKUP($A327,ESCENARIO[#All],7,FALSE)</f>
        <v>87698085906.277344</v>
      </c>
      <c r="C327" s="5">
        <f>IF($B326&lt;=Tabla5[[#This Row],[INVERSIONES FCI]],+Tabla5[[#This Row],[INVERSIONES FCI]]-C326,Tabla5[[#This Row],[INVERSIONES FCI]])</f>
        <v>87698085906.277344</v>
      </c>
      <c r="D327" s="5">
        <f>IF($B326&lt;=Tabla5[[#This Row],[INVERSIONES FCI]],+Tabla5[[#This Row],[INVERSIONES FCI]]-D326,Tabla5[[#This Row],[INVERSIONES FCI]])</f>
        <v>87698085906.277344</v>
      </c>
      <c r="E327" s="5">
        <f>IF($B326&lt;=Tabla5[[#This Row],[INVERSIONES FCI]],+Tabla5[[#This Row],[INVERSIONES FCI]]-E326,Tabla5[[#This Row],[INVERSIONES FCI]])</f>
        <v>87698085906.277344</v>
      </c>
      <c r="F327" s="5">
        <f>IF($B326&lt;=Tabla5[[#This Row],[INVERSIONES FCI]],+Tabla5[[#This Row],[INVERSIONES FCI]]-F326,Tabla5[[#This Row],[INVERSIONES FCI]])</f>
        <v>87698085906.277344</v>
      </c>
      <c r="G327" s="5">
        <f>IF($B326&lt;=Tabla5[[#This Row],[INVERSIONES FCI]],+Tabla5[[#This Row],[INVERSIONES FCI]]-G326,Tabla5[[#This Row],[INVERSIONES FCI]])</f>
        <v>87698085906.277344</v>
      </c>
      <c r="H327" s="5">
        <f>IF($B326&lt;=Tabla5[[#This Row],[INVERSIONES FCI]],+Tabla5[[#This Row],[INVERSIONES FCI]]-H326,Tabla5[[#This Row],[INVERSIONES FCI]])</f>
        <v>87698085906.277344</v>
      </c>
      <c r="I327" s="5">
        <f>IF($B326&lt;=Tabla5[[#This Row],[INVERSIONES FCI]],+Tabla5[[#This Row],[INVERSIONES FCI]]-I326,Tabla5[[#This Row],[INVERSIONES FCI]])</f>
        <v>87698085906.277344</v>
      </c>
      <c r="J327" s="5">
        <f>IF($B326&lt;=Tabla5[[#This Row],[INVERSIONES FCI]],+Tabla5[[#This Row],[INVERSIONES FCI]]-J326,Tabla5[[#This Row],[INVERSIONES FCI]])</f>
        <v>87698085906.277344</v>
      </c>
      <c r="K327" s="5">
        <f>IF($B326&lt;=Tabla5[[#This Row],[INVERSIONES FCI]],+Tabla5[[#This Row],[INVERSIONES FCI]]-K326,Tabla5[[#This Row],[INVERSIONES FCI]])</f>
        <v>87698085906.277344</v>
      </c>
      <c r="L327" s="5">
        <f>IF($B326&lt;=Tabla5[[#This Row],[INVERSIONES FCI]],+Tabla5[[#This Row],[INVERSIONES FCI]]-L326,Tabla5[[#This Row],[INVERSIONES FCI]])</f>
        <v>87698085906.277344</v>
      </c>
      <c r="M327" s="5">
        <f>IF($B326&lt;=Tabla5[[#This Row],[INVERSIONES FCI]],+Tabla5[[#This Row],[INVERSIONES FCI]]-M326,Tabla5[[#This Row],[INVERSIONES FCI]])</f>
        <v>87698085906.277344</v>
      </c>
      <c r="N327" s="5">
        <f>IF($B326&lt;=Tabla5[[#This Row],[INVERSIONES FCI]],+Tabla5[[#This Row],[INVERSIONES FCI]]-N326,Tabla5[[#This Row],[INVERSIONES FCI]])</f>
        <v>87698085906.277344</v>
      </c>
      <c r="O327" s="5">
        <f>IF($B326&lt;=Tabla5[[#This Row],[INVERSIONES FCI]],+Tabla5[[#This Row],[INVERSIONES FCI]]-O326,Tabla5[[#This Row],[INVERSIONES FCI]])</f>
        <v>87698085906.277344</v>
      </c>
      <c r="P327" s="5">
        <f>IF($B326&lt;=Tabla5[[#This Row],[INVERSIONES FCI]],+Tabla5[[#This Row],[INVERSIONES FCI]]-P326,Tabla5[[#This Row],[INVERSIONES FCI]])</f>
        <v>87698085906.277344</v>
      </c>
      <c r="Q327" s="5">
        <f>IF($B326&lt;=Tabla5[[#This Row],[INVERSIONES FCI]],+Tabla5[[#This Row],[INVERSIONES FCI]]-Q326,Tabla5[[#This Row],[INVERSIONES FCI]])</f>
        <v>87698085906.277344</v>
      </c>
      <c r="R327" s="5">
        <f>IF($B326&lt;=Tabla5[[#This Row],[INVERSIONES FCI]],+Tabla5[[#This Row],[INVERSIONES FCI]]-R326,Tabla5[[#This Row],[INVERSIONES FCI]])</f>
        <v>87698085906.277344</v>
      </c>
      <c r="S327" s="5">
        <f>IF($B326&lt;=Tabla5[[#This Row],[INVERSIONES FCI]],+Tabla5[[#This Row],[INVERSIONES FCI]]-S326,Tabla5[[#This Row],[INVERSIONES FCI]])</f>
        <v>87698085906.277344</v>
      </c>
      <c r="T327" s="5">
        <f>IF($B326&lt;=Tabla5[[#This Row],[INVERSIONES FCI]],+Tabla5[[#This Row],[INVERSIONES FCI]]-T326,Tabla5[[#This Row],[INVERSIONES FCI]])</f>
        <v>87698085906.277344</v>
      </c>
      <c r="U327" s="5">
        <f>IF($B326&lt;=Tabla5[[#This Row],[INVERSIONES FCI]],+Tabla5[[#This Row],[INVERSIONES FCI]]-U326,Tabla5[[#This Row],[INVERSIONES FCI]])</f>
        <v>87698085906.277344</v>
      </c>
      <c r="V327" s="5">
        <f>IF($B326&lt;=Tabla5[[#This Row],[INVERSIONES FCI]],+Tabla5[[#This Row],[INVERSIONES FCI]]-V326,Tabla5[[#This Row],[INVERSIONES FCI]])</f>
        <v>87698085906.277344</v>
      </c>
      <c r="W327" s="5">
        <f>IF($B326&lt;=Tabla5[[#This Row],[INVERSIONES FCI]],+Tabla5[[#This Row],[INVERSIONES FCI]]-W326,Tabla5[[#This Row],[INVERSIONES FCI]])</f>
        <v>87698085906.277344</v>
      </c>
      <c r="X327" s="5">
        <f>IF($B326&lt;=Tabla5[[#This Row],[INVERSIONES FCI]],+Tabla5[[#This Row],[INVERSIONES FCI]]-X326,Tabla5[[#This Row],[INVERSIONES FCI]])</f>
        <v>87698085906.277344</v>
      </c>
      <c r="Y327" s="5">
        <f>IF($B326&lt;=Tabla5[[#This Row],[INVERSIONES FCI]],+Tabla5[[#This Row],[INVERSIONES FCI]]-Y326,Tabla5[[#This Row],[INVERSIONES FCI]])</f>
        <v>87698085906.277344</v>
      </c>
      <c r="Z327" s="5">
        <f>IF($B326&lt;=Tabla5[[#This Row],[INVERSIONES FCI]],+Tabla5[[#This Row],[INVERSIONES FCI]]-Z326,Tabla5[[#This Row],[INVERSIONES FCI]])</f>
        <v>87698085906.277344</v>
      </c>
      <c r="AA327" s="5">
        <f>IF($B326&lt;=Tabla5[[#This Row],[INVERSIONES FCI]],+Tabla5[[#This Row],[INVERSIONES FCI]]-AA326,Tabla5[[#This Row],[INVERSIONES FCI]])</f>
        <v>87698085906.277344</v>
      </c>
      <c r="AB327" s="5">
        <f>IF($B326&lt;=Tabla5[[#This Row],[INVERSIONES FCI]],+Tabla5[[#This Row],[INVERSIONES FCI]]-AB326,Tabla5[[#This Row],[INVERSIONES FCI]])</f>
        <v>87698085906.277344</v>
      </c>
      <c r="AC327" s="5">
        <f>IF($B326&lt;=Tabla5[[#This Row],[INVERSIONES FCI]],+Tabla5[[#This Row],[INVERSIONES FCI]]-AC326,Tabla5[[#This Row],[INVERSIONES FCI]])</f>
        <v>87698085906.277344</v>
      </c>
      <c r="AD327" s="5">
        <f>IF($B326&lt;=Tabla5[[#This Row],[INVERSIONES FCI]],+Tabla5[[#This Row],[INVERSIONES FCI]]-AD326,Tabla5[[#This Row],[INVERSIONES FCI]])</f>
        <v>87698085906.277344</v>
      </c>
      <c r="AE327" s="5">
        <f>IF($B326&lt;=Tabla5[[#This Row],[INVERSIONES FCI]],+Tabla5[[#This Row],[INVERSIONES FCI]]-AE326,Tabla5[[#This Row],[INVERSIONES FCI]])</f>
        <v>87698085906.277344</v>
      </c>
      <c r="AF327" s="5">
        <f>IF($B326&lt;=Tabla5[[#This Row],[INVERSIONES FCI]],+Tabla5[[#This Row],[INVERSIONES FCI]]-AF326,Tabla5[[#This Row],[INVERSIONES FCI]])</f>
        <v>87698085906.277344</v>
      </c>
      <c r="AG327" s="5">
        <f>IF($B326&lt;=Tabla5[[#This Row],[INVERSIONES FCI]],+Tabla5[[#This Row],[INVERSIONES FCI]]-AG326,Tabla5[[#This Row],[INVERSIONES FCI]])</f>
        <v>87698085906.277344</v>
      </c>
      <c r="AH327" s="5">
        <f>IF($B326&lt;=Tabla5[[#This Row],[INVERSIONES FCI]],+Tabla5[[#This Row],[INVERSIONES FCI]]-AH326,Tabla5[[#This Row],[INVERSIONES FCI]])</f>
        <v>87698085906.277344</v>
      </c>
      <c r="AI327" s="5">
        <f>IF($B326&lt;=Tabla5[[#This Row],[INVERSIONES FCI]],+Tabla5[[#This Row],[INVERSIONES FCI]]-AI326,Tabla5[[#This Row],[INVERSIONES FCI]])</f>
        <v>87698085906.277344</v>
      </c>
      <c r="AJ327" s="5">
        <f>IF($B326&lt;=Tabla5[[#This Row],[INVERSIONES FCI]],+Tabla5[[#This Row],[INVERSIONES FCI]]-AJ326,Tabla5[[#This Row],[INVERSIONES FCI]])</f>
        <v>87698085906.277344</v>
      </c>
      <c r="AK327" s="5">
        <f>IF($B326&lt;=Tabla5[[#This Row],[INVERSIONES FCI]],+Tabla5[[#This Row],[INVERSIONES FCI]]-AK326,Tabla5[[#This Row],[INVERSIONES FCI]])</f>
        <v>87698085906.277344</v>
      </c>
      <c r="AL327" s="5">
        <f>IF($B326&lt;=Tabla5[[#This Row],[INVERSIONES FCI]],+Tabla5[[#This Row],[INVERSIONES FCI]]-AL326,Tabla5[[#This Row],[INVERSIONES FCI]])</f>
        <v>87698085906.277344</v>
      </c>
      <c r="AM327" s="5">
        <f>IF($B326&lt;=Tabla5[[#This Row],[INVERSIONES FCI]],+Tabla5[[#This Row],[INVERSIONES FCI]]-AM326,Tabla5[[#This Row],[INVERSIONES FCI]])</f>
        <v>87698085906.277344</v>
      </c>
      <c r="AN327" s="5">
        <f>IF($B326&lt;=Tabla5[[#This Row],[INVERSIONES FCI]],+Tabla5[[#This Row],[INVERSIONES FCI]]-AN326,Tabla5[[#This Row],[INVERSIONES FCI]])</f>
        <v>87698085906.277344</v>
      </c>
      <c r="AO327" s="5">
        <f>IF($B326&lt;=Tabla5[[#This Row],[INVERSIONES FCI]],+Tabla5[[#This Row],[INVERSIONES FCI]]-AO326,Tabla5[[#This Row],[INVERSIONES FCI]])</f>
        <v>87698085906.277344</v>
      </c>
      <c r="AP327" s="5">
        <f>IF($B326&lt;=Tabla5[[#This Row],[INVERSIONES FCI]],+Tabla5[[#This Row],[INVERSIONES FCI]]-AP326,Tabla5[[#This Row],[INVERSIONES FCI]])</f>
        <v>87698085906.277344</v>
      </c>
      <c r="AQ327" s="5">
        <f>IF($B326&lt;=Tabla5[[#This Row],[INVERSIONES FCI]],+Tabla5[[#This Row],[INVERSIONES FCI]]-AQ326,Tabla5[[#This Row],[INVERSIONES FCI]])</f>
        <v>87698085906.277344</v>
      </c>
      <c r="AR327" s="5">
        <f>IF($B326&lt;=Tabla5[[#This Row],[INVERSIONES FCI]],+Tabla5[[#This Row],[INVERSIONES FCI]]-AR326,Tabla5[[#This Row],[INVERSIONES FCI]])</f>
        <v>87698085906.277344</v>
      </c>
      <c r="AS327" s="5">
        <f>IF($B326&lt;=Tabla5[[#This Row],[INVERSIONES FCI]],+Tabla5[[#This Row],[INVERSIONES FCI]]-AS326,Tabla5[[#This Row],[INVERSIONES FCI]])</f>
        <v>87698085906.277344</v>
      </c>
      <c r="AT327" s="5">
        <f>IF($B326&lt;=Tabla5[[#This Row],[INVERSIONES FCI]],+Tabla5[[#This Row],[INVERSIONES FCI]]-AT326,Tabla5[[#This Row],[INVERSIONES FCI]])</f>
        <v>87698085906.277344</v>
      </c>
      <c r="AU327" s="5">
        <f>IF($B326&lt;=Tabla5[[#This Row],[INVERSIONES FCI]],+Tabla5[[#This Row],[INVERSIONES FCI]]-AU326,Tabla5[[#This Row],[INVERSIONES FCI]])</f>
        <v>87698085906.277344</v>
      </c>
      <c r="AV327" s="5">
        <f>IF($B326&lt;=Tabla5[[#This Row],[INVERSIONES FCI]],+Tabla5[[#This Row],[INVERSIONES FCI]]-AV326,Tabla5[[#This Row],[INVERSIONES FCI]])</f>
        <v>87698085906.277344</v>
      </c>
      <c r="AW327" s="5">
        <f>IF($B326&lt;=Tabla5[[#This Row],[INVERSIONES FCI]],+Tabla5[[#This Row],[INVERSIONES FCI]]-AW326,Tabla5[[#This Row],[INVERSIONES FCI]])</f>
        <v>87698085906.277344</v>
      </c>
      <c r="AX327" s="5">
        <f>IF($B326&lt;=Tabla5[[#This Row],[INVERSIONES FCI]],+Tabla5[[#This Row],[INVERSIONES FCI]]-AX326,Tabla5[[#This Row],[INVERSIONES FCI]])</f>
        <v>87698085906.277344</v>
      </c>
      <c r="AY327" s="5">
        <f>IF($B326&lt;=Tabla5[[#This Row],[INVERSIONES FCI]],+Tabla5[[#This Row],[INVERSIONES FCI]]-AY326,Tabla5[[#This Row],[INVERSIONES FCI]])</f>
        <v>87698085906.277344</v>
      </c>
      <c r="AZ327" s="5">
        <f>IF($B326&lt;=Tabla5[[#This Row],[INVERSIONES FCI]],+Tabla5[[#This Row],[INVERSIONES FCI]]-AZ326,Tabla5[[#This Row],[INVERSIONES FCI]])</f>
        <v>87698085906.277344</v>
      </c>
      <c r="BA327" s="5">
        <f>IF($B326&lt;=Tabla5[[#This Row],[INVERSIONES FCI]],+Tabla5[[#This Row],[INVERSIONES FCI]]-BA326,Tabla5[[#This Row],[INVERSIONES FCI]])</f>
        <v>87698085906.277344</v>
      </c>
      <c r="BB327" s="5">
        <f>IF($B326&lt;=Tabla5[[#This Row],[INVERSIONES FCI]],+Tabla5[[#This Row],[INVERSIONES FCI]]-BB326,Tabla5[[#This Row],[INVERSIONES FCI]])</f>
        <v>87698085906.277344</v>
      </c>
      <c r="BC327" s="5">
        <f>IF($B326&lt;=Tabla5[[#This Row],[INVERSIONES FCI]],+Tabla5[[#This Row],[INVERSIONES FCI]]-BC326,Tabla5[[#This Row],[INVERSIONES FCI]])</f>
        <v>87698085906.277344</v>
      </c>
      <c r="BD327" s="5">
        <f>IF($B326&lt;=Tabla5[[#This Row],[INVERSIONES FCI]],+Tabla5[[#This Row],[INVERSIONES FCI]]-BD326,Tabla5[[#This Row],[INVERSIONES FCI]])</f>
        <v>87698085906.277344</v>
      </c>
      <c r="BE327" s="5">
        <f>IF($B326&lt;=Tabla5[[#This Row],[INVERSIONES FCI]],+Tabla5[[#This Row],[INVERSIONES FCI]]-BE326,Tabla5[[#This Row],[INVERSIONES FCI]])</f>
        <v>87698085906.277344</v>
      </c>
      <c r="BF327" s="5">
        <f>IF($B326&lt;=Tabla5[[#This Row],[INVERSIONES FCI]],+Tabla5[[#This Row],[INVERSIONES FCI]]-BF326,Tabla5[[#This Row],[INVERSIONES FCI]])</f>
        <v>87698085906.277344</v>
      </c>
      <c r="BG327" s="5">
        <f>IF($B326&lt;=Tabla5[[#This Row],[INVERSIONES FCI]],+Tabla5[[#This Row],[INVERSIONES FCI]]-BG326,Tabla5[[#This Row],[INVERSIONES FCI]])</f>
        <v>87698085906.277344</v>
      </c>
      <c r="BH327" s="5">
        <f>IF($B326&lt;=Tabla5[[#This Row],[INVERSIONES FCI]],+Tabla5[[#This Row],[INVERSIONES FCI]]-BH326,Tabla5[[#This Row],[INVERSIONES FCI]])</f>
        <v>87698085906.277344</v>
      </c>
      <c r="BI327" s="5">
        <f>IF($B326&lt;=Tabla5[[#This Row],[INVERSIONES FCI]],+Tabla5[[#This Row],[INVERSIONES FCI]]-BI326,Tabla5[[#This Row],[INVERSIONES FCI]])</f>
        <v>87698085906.277344</v>
      </c>
      <c r="BJ327" s="5">
        <f>IF($B326&lt;=Tabla5[[#This Row],[INVERSIONES FCI]],+Tabla5[[#This Row],[INVERSIONES FCI]]-BJ326,Tabla5[[#This Row],[INVERSIONES FCI]])</f>
        <v>87698085906.277344</v>
      </c>
      <c r="BK327" s="5">
        <f>IF($B326&lt;=Tabla5[[#This Row],[INVERSIONES FCI]],+Tabla5[[#This Row],[INVERSIONES FCI]]-BK326,Tabla5[[#This Row],[INVERSIONES FCI]])</f>
        <v>87698085906.277344</v>
      </c>
      <c r="BL327" s="5">
        <f>IF($B326&lt;=Tabla5[[#This Row],[INVERSIONES FCI]],+Tabla5[[#This Row],[INVERSIONES FCI]]-BL326,Tabla5[[#This Row],[INVERSIONES FCI]])</f>
        <v>87698085906.277344</v>
      </c>
      <c r="BM327" s="5">
        <f>IF($B326&lt;=Tabla5[[#This Row],[INVERSIONES FCI]],+Tabla5[[#This Row],[INVERSIONES FCI]]-BM326,Tabla5[[#This Row],[INVERSIONES FCI]])</f>
        <v>87698085906.277344</v>
      </c>
      <c r="BN327" s="5">
        <f>IF($B326&lt;=Tabla5[[#This Row],[INVERSIONES FCI]],+Tabla5[[#This Row],[INVERSIONES FCI]]-BN326,Tabla5[[#This Row],[INVERSIONES FCI]])</f>
        <v>87698085906.277344</v>
      </c>
      <c r="BO327" s="5">
        <f>IF($B326&lt;=Tabla5[[#This Row],[INVERSIONES FCI]],+Tabla5[[#This Row],[INVERSIONES FCI]]-BO326,Tabla5[[#This Row],[INVERSIONES FCI]])</f>
        <v>87698085906.277344</v>
      </c>
      <c r="BP327" s="5">
        <f>IF($B326&lt;=Tabla5[[#This Row],[INVERSIONES FCI]],+Tabla5[[#This Row],[INVERSIONES FCI]]-BP326,Tabla5[[#This Row],[INVERSIONES FCI]])</f>
        <v>87698085906.277344</v>
      </c>
      <c r="BQ327" s="5">
        <f>IF($B326&lt;=Tabla5[[#This Row],[INVERSIONES FCI]],+Tabla5[[#This Row],[INVERSIONES FCI]]-BQ326,Tabla5[[#This Row],[INVERSIONES FCI]])</f>
        <v>87698085906.277344</v>
      </c>
      <c r="BR327" s="5">
        <f>IF($B326&lt;=Tabla5[[#This Row],[INVERSIONES FCI]],+Tabla5[[#This Row],[INVERSIONES FCI]]-BR326,Tabla5[[#This Row],[INVERSIONES FCI]])</f>
        <v>87698085906.277344</v>
      </c>
      <c r="BS327" s="5">
        <f>IF($B326&lt;=Tabla5[[#This Row],[INVERSIONES FCI]],+Tabla5[[#This Row],[INVERSIONES FCI]]-BS326,Tabla5[[#This Row],[INVERSIONES FCI]])</f>
        <v>87698085906.277344</v>
      </c>
      <c r="BT327" s="5">
        <f>IF($B326&lt;=Tabla5[[#This Row],[INVERSIONES FCI]],+Tabla5[[#This Row],[INVERSIONES FCI]]-BT326,Tabla5[[#This Row],[INVERSIONES FCI]])</f>
        <v>87698085906.277344</v>
      </c>
      <c r="BU327" s="5">
        <f>IF($B326&lt;=Tabla5[[#This Row],[INVERSIONES FCI]],+Tabla5[[#This Row],[INVERSIONES FCI]]-BU326,Tabla5[[#This Row],[INVERSIONES FCI]])</f>
        <v>87698085906.277344</v>
      </c>
      <c r="BV327" s="5">
        <f>IF($B326&lt;=Tabla5[[#This Row],[INVERSIONES FCI]],+Tabla5[[#This Row],[INVERSIONES FCI]]-BV326,Tabla5[[#This Row],[INVERSIONES FCI]])</f>
        <v>87698085906.277344</v>
      </c>
      <c r="BW327" s="5">
        <f>IF($B326&lt;=Tabla5[[#This Row],[INVERSIONES FCI]],+Tabla5[[#This Row],[INVERSIONES FCI]]-BW326,Tabla5[[#This Row],[INVERSIONES FCI]])</f>
        <v>87698085906.277344</v>
      </c>
      <c r="BX327" s="5">
        <f>IF($B326&lt;=Tabla5[[#This Row],[INVERSIONES FCI]],+Tabla5[[#This Row],[INVERSIONES FCI]]-BX326,Tabla5[[#This Row],[INVERSIONES FCI]])</f>
        <v>87698085906.277344</v>
      </c>
      <c r="BY327" s="5">
        <f>IF($B326&lt;=Tabla5[[#This Row],[INVERSIONES FCI]],+Tabla5[[#This Row],[INVERSIONES FCI]]-BY326,Tabla5[[#This Row],[INVERSIONES FCI]])</f>
        <v>87698085906.277344</v>
      </c>
      <c r="BZ327" s="5">
        <f>IF($B326&lt;=Tabla5[[#This Row],[INVERSIONES FCI]],+Tabla5[[#This Row],[INVERSIONES FCI]]-BZ326,Tabla5[[#This Row],[INVERSIONES FCI]])</f>
        <v>87698085906.277344</v>
      </c>
      <c r="CA327" s="5">
        <f>IF($B326&lt;=Tabla5[[#This Row],[INVERSIONES FCI]],+Tabla5[[#This Row],[INVERSIONES FCI]]-CA326,Tabla5[[#This Row],[INVERSIONES FCI]])</f>
        <v>87698085906.277344</v>
      </c>
      <c r="CB327" s="5">
        <f>IF($B326&lt;=Tabla5[[#This Row],[INVERSIONES FCI]],+Tabla5[[#This Row],[INVERSIONES FCI]]-CB326,Tabla5[[#This Row],[INVERSIONES FCI]])</f>
        <v>87698085906.277344</v>
      </c>
      <c r="CC327" s="5">
        <f>IF($B326&lt;=Tabla5[[#This Row],[INVERSIONES FCI]],+Tabla5[[#This Row],[INVERSIONES FCI]]-CC326,Tabla5[[#This Row],[INVERSIONES FCI]])</f>
        <v>87698085906.277344</v>
      </c>
      <c r="CD327" s="5">
        <f>IF($B326&lt;=Tabla5[[#This Row],[INVERSIONES FCI]],+Tabla5[[#This Row],[INVERSIONES FCI]]-CD326,Tabla5[[#This Row],[INVERSIONES FCI]])</f>
        <v>87698085906.277344</v>
      </c>
      <c r="CE327" s="5">
        <f>IF($B326&lt;=Tabla5[[#This Row],[INVERSIONES FCI]],+Tabla5[[#This Row],[INVERSIONES FCI]]-CE326,Tabla5[[#This Row],[INVERSIONES FCI]])</f>
        <v>87698085906.277344</v>
      </c>
      <c r="CF327" s="5">
        <f>IF($B326&lt;=Tabla5[[#This Row],[INVERSIONES FCI]],+Tabla5[[#This Row],[INVERSIONES FCI]]-CF326,Tabla5[[#This Row],[INVERSIONES FCI]])</f>
        <v>87698085906.277344</v>
      </c>
      <c r="CG327" s="5">
        <f>IF($B326&lt;=Tabla5[[#This Row],[INVERSIONES FCI]],+Tabla5[[#This Row],[INVERSIONES FCI]]-CG326,Tabla5[[#This Row],[INVERSIONES FCI]])</f>
        <v>87698085906.277344</v>
      </c>
      <c r="CH327" s="5">
        <f>IF($B326&lt;=Tabla5[[#This Row],[INVERSIONES FCI]],+Tabla5[[#This Row],[INVERSIONES FCI]]-CH326,Tabla5[[#This Row],[INVERSIONES FCI]])</f>
        <v>87698085906.277344</v>
      </c>
      <c r="CI327" s="5">
        <f>IF($B326&lt;=Tabla5[[#This Row],[INVERSIONES FCI]],+Tabla5[[#This Row],[INVERSIONES FCI]]-CI326,Tabla5[[#This Row],[INVERSIONES FCI]])</f>
        <v>87698085906.277344</v>
      </c>
      <c r="CJ327" s="5">
        <f>IF($B326&lt;=Tabla5[[#This Row],[INVERSIONES FCI]],+Tabla5[[#This Row],[INVERSIONES FCI]]-CJ326,Tabla5[[#This Row],[INVERSIONES FCI]])</f>
        <v>87698085906.277344</v>
      </c>
      <c r="CK327" s="5">
        <f>IF($B326&lt;=Tabla5[[#This Row],[INVERSIONES FCI]],+Tabla5[[#This Row],[INVERSIONES FCI]]-CK326,Tabla5[[#This Row],[INVERSIONES FCI]])</f>
        <v>87698085906.277344</v>
      </c>
      <c r="CL327" s="5">
        <f>IF($B326&lt;=Tabla5[[#This Row],[INVERSIONES FCI]],+Tabla5[[#This Row],[INVERSIONES FCI]]-CL326,Tabla5[[#This Row],[INVERSIONES FCI]])</f>
        <v>87698085906.277344</v>
      </c>
      <c r="CM327" s="5">
        <f>IF($B326&lt;=Tabla5[[#This Row],[INVERSIONES FCI]],+Tabla5[[#This Row],[INVERSIONES FCI]]-CM326,Tabla5[[#This Row],[INVERSIONES FCI]])</f>
        <v>87698085906.277344</v>
      </c>
      <c r="CN327" s="5">
        <f>IF($B326&lt;=Tabla5[[#This Row],[INVERSIONES FCI]],+Tabla5[[#This Row],[INVERSIONES FCI]]-CN326,Tabla5[[#This Row],[INVERSIONES FCI]])</f>
        <v>87698085906.277344</v>
      </c>
      <c r="CO327" s="5">
        <f>IF($B326&lt;=Tabla5[[#This Row],[INVERSIONES FCI]],+Tabla5[[#This Row],[INVERSIONES FCI]]-CO326,Tabla5[[#This Row],[INVERSIONES FCI]])</f>
        <v>87698085906.277344</v>
      </c>
      <c r="CP327" s="5">
        <f>IF($B326&lt;=Tabla5[[#This Row],[INVERSIONES FCI]],+Tabla5[[#This Row],[INVERSIONES FCI]]-CP326,Tabla5[[#This Row],[INVERSIONES FCI]])</f>
        <v>87698085906.277344</v>
      </c>
      <c r="CQ327" s="5">
        <f>IF($B326&lt;=Tabla5[[#This Row],[INVERSIONES FCI]],+Tabla5[[#This Row],[INVERSIONES FCI]]-CQ326,Tabla5[[#This Row],[INVERSIONES FCI]])</f>
        <v>87698085906.277344</v>
      </c>
      <c r="CR327" s="5">
        <f>IF($B326&lt;=Tabla5[[#This Row],[INVERSIONES FCI]],+Tabla5[[#This Row],[INVERSIONES FCI]]-CR326,Tabla5[[#This Row],[INVERSIONES FCI]])</f>
        <v>87698085906.277344</v>
      </c>
      <c r="CS327" s="5">
        <f>IF($B326&lt;=Tabla5[[#This Row],[INVERSIONES FCI]],+Tabla5[[#This Row],[INVERSIONES FCI]]-CS326,Tabla5[[#This Row],[INVERSIONES FCI]])</f>
        <v>87698085906.277344</v>
      </c>
      <c r="CT327" s="5">
        <f>IF($B326&lt;=Tabla5[[#This Row],[INVERSIONES FCI]],+Tabla5[[#This Row],[INVERSIONES FCI]]-CT326,Tabla5[[#This Row],[INVERSIONES FCI]])</f>
        <v>87698085906.277344</v>
      </c>
      <c r="CU327" s="5">
        <f>IF($B326&lt;=Tabla5[[#This Row],[INVERSIONES FCI]],+Tabla5[[#This Row],[INVERSIONES FCI]]-CU326,Tabla5[[#This Row],[INVERSIONES FCI]])</f>
        <v>87698085906.277344</v>
      </c>
      <c r="CV327" s="5">
        <f>IF($B326&lt;=Tabla5[[#This Row],[INVERSIONES FCI]],+Tabla5[[#This Row],[INVERSIONES FCI]]-CV326,Tabla5[[#This Row],[INVERSIONES FCI]])</f>
        <v>87698085906.277344</v>
      </c>
      <c r="CW327" s="5">
        <f>IF($B326&lt;=Tabla5[[#This Row],[INVERSIONES FCI]],+Tabla5[[#This Row],[INVERSIONES FCI]]-CW326,Tabla5[[#This Row],[INVERSIONES FCI]])</f>
        <v>87698085906.277344</v>
      </c>
      <c r="CX327" s="5">
        <f>IF($B326&lt;=Tabla5[[#This Row],[INVERSIONES FCI]],+Tabla5[[#This Row],[INVERSIONES FCI]]-CX326,Tabla5[[#This Row],[INVERSIONES FCI]])</f>
        <v>87698085906.277344</v>
      </c>
      <c r="CY327" s="5">
        <f>IF($B326&lt;=Tabla5[[#This Row],[INVERSIONES FCI]],+Tabla5[[#This Row],[INVERSIONES FCI]]-CY326,Tabla5[[#This Row],[INVERSIONES FCI]])</f>
        <v>87698085906.277344</v>
      </c>
      <c r="CZ327" s="5">
        <f>IF($B326&lt;=Tabla5[[#This Row],[INVERSIONES FCI]],+Tabla5[[#This Row],[INVERSIONES FCI]]-CZ326,Tabla5[[#This Row],[INVERSIONES FCI]])</f>
        <v>87698085906.277344</v>
      </c>
      <c r="DA327" s="5">
        <f>IF($B326&lt;=Tabla5[[#This Row],[INVERSIONES FCI]],+Tabla5[[#This Row],[INVERSIONES FCI]]-DA326,Tabla5[[#This Row],[INVERSIONES FCI]])</f>
        <v>87698085906.277344</v>
      </c>
      <c r="DB327" s="5">
        <f>IF($B326&lt;=Tabla5[[#This Row],[INVERSIONES FCI]],+Tabla5[[#This Row],[INVERSIONES FCI]]-DB326,Tabla5[[#This Row],[INVERSIONES FCI]])</f>
        <v>87698085906.277344</v>
      </c>
      <c r="DC327" s="5">
        <f>IF($B326&lt;=Tabla5[[#This Row],[INVERSIONES FCI]],+Tabla5[[#This Row],[INVERSIONES FCI]]-DC326,Tabla5[[#This Row],[INVERSIONES FCI]])</f>
        <v>87698085906.277344</v>
      </c>
      <c r="DD327" s="5">
        <f>IF($B326&lt;=Tabla5[[#This Row],[INVERSIONES FCI]],+Tabla5[[#This Row],[INVERSIONES FCI]]-DD326,Tabla5[[#This Row],[INVERSIONES FCI]])</f>
        <v>87698085906.277344</v>
      </c>
      <c r="DE327" s="5">
        <f>IF($B326&lt;=Tabla5[[#This Row],[INVERSIONES FCI]],+Tabla5[[#This Row],[INVERSIONES FCI]]-DE326,Tabla5[[#This Row],[INVERSIONES FCI]])</f>
        <v>87698085906.277344</v>
      </c>
      <c r="DF327" s="5">
        <f>IF($B326&lt;=Tabla5[[#This Row],[INVERSIONES FCI]],+Tabla5[[#This Row],[INVERSIONES FCI]]-DF326,Tabla5[[#This Row],[INVERSIONES FCI]])</f>
        <v>87698085906.277344</v>
      </c>
      <c r="DG327" s="5">
        <f>IF($B326&lt;=Tabla5[[#This Row],[INVERSIONES FCI]],+Tabla5[[#This Row],[INVERSIONES FCI]]-DG326,Tabla5[[#This Row],[INVERSIONES FCI]])</f>
        <v>87698085906.277344</v>
      </c>
      <c r="DH327" s="5">
        <f>IF($B326&lt;=Tabla5[[#This Row],[INVERSIONES FCI]],+Tabla5[[#This Row],[INVERSIONES FCI]]-DH326,Tabla5[[#This Row],[INVERSIONES FCI]])</f>
        <v>87698085906.277344</v>
      </c>
      <c r="DI327" s="5">
        <f>IF($B326&lt;=Tabla5[[#This Row],[INVERSIONES FCI]],+Tabla5[[#This Row],[INVERSIONES FCI]]-DI326,Tabla5[[#This Row],[INVERSIONES FCI]])</f>
        <v>87698085906.277344</v>
      </c>
      <c r="DJ327" s="5">
        <f>IF($B326&lt;=Tabla5[[#This Row],[INVERSIONES FCI]],+Tabla5[[#This Row],[INVERSIONES FCI]]-DJ326,Tabla5[[#This Row],[INVERSIONES FCI]])</f>
        <v>87698085906.277344</v>
      </c>
      <c r="DK327" s="5">
        <f>IF($B326&lt;=Tabla5[[#This Row],[INVERSIONES FCI]],+Tabla5[[#This Row],[INVERSIONES FCI]]-DK326,Tabla5[[#This Row],[INVERSIONES FCI]])</f>
        <v>87698085906.277344</v>
      </c>
      <c r="DL327" s="5"/>
      <c r="DM327" s="5"/>
      <c r="DN327" s="5"/>
      <c r="DO327" s="5"/>
      <c r="DP327" s="5"/>
      <c r="DQ327" s="5"/>
    </row>
    <row r="328" spans="1:121" ht="14.4">
      <c r="A328" s="12" t="s">
        <v>327</v>
      </c>
      <c r="B328" s="5">
        <f>HLOOKUP($A328,ESCENARIO[#All],7,FALSE)</f>
        <v>91025079506.195404</v>
      </c>
      <c r="C328" s="5">
        <f>IF($B327&lt;=Tabla5[[#This Row],[INVERSIONES FCI]],+Tabla5[[#This Row],[INVERSIONES FCI]]-C327,Tabla5[[#This Row],[INVERSIONES FCI]])</f>
        <v>3326993599.9180603</v>
      </c>
      <c r="D328" s="5">
        <f>IF($B327&lt;=Tabla5[[#This Row],[INVERSIONES FCI]],+Tabla5[[#This Row],[INVERSIONES FCI]]-D327,Tabla5[[#This Row],[INVERSIONES FCI]])</f>
        <v>3326993599.9180603</v>
      </c>
      <c r="E328" s="5">
        <f>IF($B327&lt;=Tabla5[[#This Row],[INVERSIONES FCI]],+Tabla5[[#This Row],[INVERSIONES FCI]]-E327,Tabla5[[#This Row],[INVERSIONES FCI]])</f>
        <v>3326993599.9180603</v>
      </c>
      <c r="F328" s="5">
        <f>IF($B327&lt;=Tabla5[[#This Row],[INVERSIONES FCI]],+Tabla5[[#This Row],[INVERSIONES FCI]]-F327,Tabla5[[#This Row],[INVERSIONES FCI]])</f>
        <v>3326993599.9180603</v>
      </c>
      <c r="G328" s="5">
        <f>IF($B327&lt;=Tabla5[[#This Row],[INVERSIONES FCI]],+Tabla5[[#This Row],[INVERSIONES FCI]]-G327,Tabla5[[#This Row],[INVERSIONES FCI]])</f>
        <v>3326993599.9180603</v>
      </c>
      <c r="H328" s="5">
        <f>IF($B327&lt;=Tabla5[[#This Row],[INVERSIONES FCI]],+Tabla5[[#This Row],[INVERSIONES FCI]]-H327,Tabla5[[#This Row],[INVERSIONES FCI]])</f>
        <v>3326993599.9180603</v>
      </c>
      <c r="I328" s="5">
        <f>IF($B327&lt;=Tabla5[[#This Row],[INVERSIONES FCI]],+Tabla5[[#This Row],[INVERSIONES FCI]]-I327,Tabla5[[#This Row],[INVERSIONES FCI]])</f>
        <v>3326993599.9180603</v>
      </c>
      <c r="J328" s="5">
        <f>IF($B327&lt;=Tabla5[[#This Row],[INVERSIONES FCI]],+Tabla5[[#This Row],[INVERSIONES FCI]]-J327,Tabla5[[#This Row],[INVERSIONES FCI]])</f>
        <v>3326993599.9180603</v>
      </c>
      <c r="K328" s="5">
        <f>IF($B327&lt;=Tabla5[[#This Row],[INVERSIONES FCI]],+Tabla5[[#This Row],[INVERSIONES FCI]]-K327,Tabla5[[#This Row],[INVERSIONES FCI]])</f>
        <v>3326993599.9180603</v>
      </c>
      <c r="L328" s="5">
        <f>IF($B327&lt;=Tabla5[[#This Row],[INVERSIONES FCI]],+Tabla5[[#This Row],[INVERSIONES FCI]]-L327,Tabla5[[#This Row],[INVERSIONES FCI]])</f>
        <v>3326993599.9180603</v>
      </c>
      <c r="M328" s="5">
        <f>IF($B327&lt;=Tabla5[[#This Row],[INVERSIONES FCI]],+Tabla5[[#This Row],[INVERSIONES FCI]]-M327,Tabla5[[#This Row],[INVERSIONES FCI]])</f>
        <v>3326993599.9180603</v>
      </c>
      <c r="N328" s="5">
        <f>IF($B327&lt;=Tabla5[[#This Row],[INVERSIONES FCI]],+Tabla5[[#This Row],[INVERSIONES FCI]]-N327,Tabla5[[#This Row],[INVERSIONES FCI]])</f>
        <v>3326993599.9180603</v>
      </c>
      <c r="O328" s="5">
        <f>IF($B327&lt;=Tabla5[[#This Row],[INVERSIONES FCI]],+Tabla5[[#This Row],[INVERSIONES FCI]]-O327,Tabla5[[#This Row],[INVERSIONES FCI]])</f>
        <v>3326993599.9180603</v>
      </c>
      <c r="P328" s="5">
        <f>IF($B327&lt;=Tabla5[[#This Row],[INVERSIONES FCI]],+Tabla5[[#This Row],[INVERSIONES FCI]]-P327,Tabla5[[#This Row],[INVERSIONES FCI]])</f>
        <v>3326993599.9180603</v>
      </c>
      <c r="Q328" s="5">
        <f>IF($B327&lt;=Tabla5[[#This Row],[INVERSIONES FCI]],+Tabla5[[#This Row],[INVERSIONES FCI]]-Q327,Tabla5[[#This Row],[INVERSIONES FCI]])</f>
        <v>3326993599.9180603</v>
      </c>
      <c r="R328" s="5">
        <f>IF($B327&lt;=Tabla5[[#This Row],[INVERSIONES FCI]],+Tabla5[[#This Row],[INVERSIONES FCI]]-R327,Tabla5[[#This Row],[INVERSIONES FCI]])</f>
        <v>3326993599.9180603</v>
      </c>
      <c r="S328" s="5">
        <f>IF($B327&lt;=Tabla5[[#This Row],[INVERSIONES FCI]],+Tabla5[[#This Row],[INVERSIONES FCI]]-S327,Tabla5[[#This Row],[INVERSIONES FCI]])</f>
        <v>3326993599.9180603</v>
      </c>
      <c r="T328" s="5">
        <f>IF($B327&lt;=Tabla5[[#This Row],[INVERSIONES FCI]],+Tabla5[[#This Row],[INVERSIONES FCI]]-T327,Tabla5[[#This Row],[INVERSIONES FCI]])</f>
        <v>3326993599.9180603</v>
      </c>
      <c r="U328" s="5">
        <f>IF($B327&lt;=Tabla5[[#This Row],[INVERSIONES FCI]],+Tabla5[[#This Row],[INVERSIONES FCI]]-U327,Tabla5[[#This Row],[INVERSIONES FCI]])</f>
        <v>3326993599.9180603</v>
      </c>
      <c r="V328" s="5">
        <f>IF($B327&lt;=Tabla5[[#This Row],[INVERSIONES FCI]],+Tabla5[[#This Row],[INVERSIONES FCI]]-V327,Tabla5[[#This Row],[INVERSIONES FCI]])</f>
        <v>3326993599.9180603</v>
      </c>
      <c r="W328" s="5">
        <f>IF($B327&lt;=Tabla5[[#This Row],[INVERSIONES FCI]],+Tabla5[[#This Row],[INVERSIONES FCI]]-W327,Tabla5[[#This Row],[INVERSIONES FCI]])</f>
        <v>3326993599.9180603</v>
      </c>
      <c r="X328" s="5">
        <f>IF($B327&lt;=Tabla5[[#This Row],[INVERSIONES FCI]],+Tabla5[[#This Row],[INVERSIONES FCI]]-X327,Tabla5[[#This Row],[INVERSIONES FCI]])</f>
        <v>3326993599.9180603</v>
      </c>
      <c r="Y328" s="5">
        <f>IF($B327&lt;=Tabla5[[#This Row],[INVERSIONES FCI]],+Tabla5[[#This Row],[INVERSIONES FCI]]-Y327,Tabla5[[#This Row],[INVERSIONES FCI]])</f>
        <v>3326993599.9180603</v>
      </c>
      <c r="Z328" s="5">
        <f>IF($B327&lt;=Tabla5[[#This Row],[INVERSIONES FCI]],+Tabla5[[#This Row],[INVERSIONES FCI]]-Z327,Tabla5[[#This Row],[INVERSIONES FCI]])</f>
        <v>3326993599.9180603</v>
      </c>
      <c r="AA328" s="5">
        <f>IF($B327&lt;=Tabla5[[#This Row],[INVERSIONES FCI]],+Tabla5[[#This Row],[INVERSIONES FCI]]-AA327,Tabla5[[#This Row],[INVERSIONES FCI]])</f>
        <v>3326993599.9180603</v>
      </c>
      <c r="AB328" s="5">
        <f>IF($B327&lt;=Tabla5[[#This Row],[INVERSIONES FCI]],+Tabla5[[#This Row],[INVERSIONES FCI]]-AB327,Tabla5[[#This Row],[INVERSIONES FCI]])</f>
        <v>3326993599.9180603</v>
      </c>
      <c r="AC328" s="5">
        <f>IF($B327&lt;=Tabla5[[#This Row],[INVERSIONES FCI]],+Tabla5[[#This Row],[INVERSIONES FCI]]-AC327,Tabla5[[#This Row],[INVERSIONES FCI]])</f>
        <v>3326993599.9180603</v>
      </c>
      <c r="AD328" s="5">
        <f>IF($B327&lt;=Tabla5[[#This Row],[INVERSIONES FCI]],+Tabla5[[#This Row],[INVERSIONES FCI]]-AD327,Tabla5[[#This Row],[INVERSIONES FCI]])</f>
        <v>3326993599.9180603</v>
      </c>
      <c r="AE328" s="5">
        <f>IF($B327&lt;=Tabla5[[#This Row],[INVERSIONES FCI]],+Tabla5[[#This Row],[INVERSIONES FCI]]-AE327,Tabla5[[#This Row],[INVERSIONES FCI]])</f>
        <v>3326993599.9180603</v>
      </c>
      <c r="AF328" s="5">
        <f>IF($B327&lt;=Tabla5[[#This Row],[INVERSIONES FCI]],+Tabla5[[#This Row],[INVERSIONES FCI]]-AF327,Tabla5[[#This Row],[INVERSIONES FCI]])</f>
        <v>3326993599.9180603</v>
      </c>
      <c r="AG328" s="5">
        <f>IF($B327&lt;=Tabla5[[#This Row],[INVERSIONES FCI]],+Tabla5[[#This Row],[INVERSIONES FCI]]-AG327,Tabla5[[#This Row],[INVERSIONES FCI]])</f>
        <v>3326993599.9180603</v>
      </c>
      <c r="AH328" s="5">
        <f>IF($B327&lt;=Tabla5[[#This Row],[INVERSIONES FCI]],+Tabla5[[#This Row],[INVERSIONES FCI]]-AH327,Tabla5[[#This Row],[INVERSIONES FCI]])</f>
        <v>3326993599.9180603</v>
      </c>
      <c r="AI328" s="5">
        <f>IF($B327&lt;=Tabla5[[#This Row],[INVERSIONES FCI]],+Tabla5[[#This Row],[INVERSIONES FCI]]-AI327,Tabla5[[#This Row],[INVERSIONES FCI]])</f>
        <v>3326993599.9180603</v>
      </c>
      <c r="AJ328" s="5">
        <f>IF($B327&lt;=Tabla5[[#This Row],[INVERSIONES FCI]],+Tabla5[[#This Row],[INVERSIONES FCI]]-AJ327,Tabla5[[#This Row],[INVERSIONES FCI]])</f>
        <v>3326993599.9180603</v>
      </c>
      <c r="AK328" s="5">
        <f>IF($B327&lt;=Tabla5[[#This Row],[INVERSIONES FCI]],+Tabla5[[#This Row],[INVERSIONES FCI]]-AK327,Tabla5[[#This Row],[INVERSIONES FCI]])</f>
        <v>3326993599.9180603</v>
      </c>
      <c r="AL328" s="5">
        <f>IF($B327&lt;=Tabla5[[#This Row],[INVERSIONES FCI]],+Tabla5[[#This Row],[INVERSIONES FCI]]-AL327,Tabla5[[#This Row],[INVERSIONES FCI]])</f>
        <v>3326993599.9180603</v>
      </c>
      <c r="AM328" s="5">
        <f>IF($B327&lt;=Tabla5[[#This Row],[INVERSIONES FCI]],+Tabla5[[#This Row],[INVERSIONES FCI]]-AM327,Tabla5[[#This Row],[INVERSIONES FCI]])</f>
        <v>3326993599.9180603</v>
      </c>
      <c r="AN328" s="5">
        <f>IF($B327&lt;=Tabla5[[#This Row],[INVERSIONES FCI]],+Tabla5[[#This Row],[INVERSIONES FCI]]-AN327,Tabla5[[#This Row],[INVERSIONES FCI]])</f>
        <v>3326993599.9180603</v>
      </c>
      <c r="AO328" s="5">
        <f>IF($B327&lt;=Tabla5[[#This Row],[INVERSIONES FCI]],+Tabla5[[#This Row],[INVERSIONES FCI]]-AO327,Tabla5[[#This Row],[INVERSIONES FCI]])</f>
        <v>3326993599.9180603</v>
      </c>
      <c r="AP328" s="5">
        <f>IF($B327&lt;=Tabla5[[#This Row],[INVERSIONES FCI]],+Tabla5[[#This Row],[INVERSIONES FCI]]-AP327,Tabla5[[#This Row],[INVERSIONES FCI]])</f>
        <v>3326993599.9180603</v>
      </c>
      <c r="AQ328" s="5">
        <f>IF($B327&lt;=Tabla5[[#This Row],[INVERSIONES FCI]],+Tabla5[[#This Row],[INVERSIONES FCI]]-AQ327,Tabla5[[#This Row],[INVERSIONES FCI]])</f>
        <v>3326993599.9180603</v>
      </c>
      <c r="AR328" s="5">
        <f>IF($B327&lt;=Tabla5[[#This Row],[INVERSIONES FCI]],+Tabla5[[#This Row],[INVERSIONES FCI]]-AR327,Tabla5[[#This Row],[INVERSIONES FCI]])</f>
        <v>3326993599.9180603</v>
      </c>
      <c r="AS328" s="5">
        <f>IF($B327&lt;=Tabla5[[#This Row],[INVERSIONES FCI]],+Tabla5[[#This Row],[INVERSIONES FCI]]-AS327,Tabla5[[#This Row],[INVERSIONES FCI]])</f>
        <v>3326993599.9180603</v>
      </c>
      <c r="AT328" s="5">
        <f>IF($B327&lt;=Tabla5[[#This Row],[INVERSIONES FCI]],+Tabla5[[#This Row],[INVERSIONES FCI]]-AT327,Tabla5[[#This Row],[INVERSIONES FCI]])</f>
        <v>3326993599.9180603</v>
      </c>
      <c r="AU328" s="5">
        <f>IF($B327&lt;=Tabla5[[#This Row],[INVERSIONES FCI]],+Tabla5[[#This Row],[INVERSIONES FCI]]-AU327,Tabla5[[#This Row],[INVERSIONES FCI]])</f>
        <v>3326993599.9180603</v>
      </c>
      <c r="AV328" s="5">
        <f>IF($B327&lt;=Tabla5[[#This Row],[INVERSIONES FCI]],+Tabla5[[#This Row],[INVERSIONES FCI]]-AV327,Tabla5[[#This Row],[INVERSIONES FCI]])</f>
        <v>3326993599.9180603</v>
      </c>
      <c r="AW328" s="5">
        <f>IF($B327&lt;=Tabla5[[#This Row],[INVERSIONES FCI]],+Tabla5[[#This Row],[INVERSIONES FCI]]-AW327,Tabla5[[#This Row],[INVERSIONES FCI]])</f>
        <v>3326993599.9180603</v>
      </c>
      <c r="AX328" s="5">
        <f>IF($B327&lt;=Tabla5[[#This Row],[INVERSIONES FCI]],+Tabla5[[#This Row],[INVERSIONES FCI]]-AX327,Tabla5[[#This Row],[INVERSIONES FCI]])</f>
        <v>3326993599.9180603</v>
      </c>
      <c r="AY328" s="5">
        <f>IF($B327&lt;=Tabla5[[#This Row],[INVERSIONES FCI]],+Tabla5[[#This Row],[INVERSIONES FCI]]-AY327,Tabla5[[#This Row],[INVERSIONES FCI]])</f>
        <v>3326993599.9180603</v>
      </c>
      <c r="AZ328" s="5">
        <f>IF($B327&lt;=Tabla5[[#This Row],[INVERSIONES FCI]],+Tabla5[[#This Row],[INVERSIONES FCI]]-AZ327,Tabla5[[#This Row],[INVERSIONES FCI]])</f>
        <v>3326993599.9180603</v>
      </c>
      <c r="BA328" s="5">
        <f>IF($B327&lt;=Tabla5[[#This Row],[INVERSIONES FCI]],+Tabla5[[#This Row],[INVERSIONES FCI]]-BA327,Tabla5[[#This Row],[INVERSIONES FCI]])</f>
        <v>3326993599.9180603</v>
      </c>
      <c r="BB328" s="5">
        <f>IF($B327&lt;=Tabla5[[#This Row],[INVERSIONES FCI]],+Tabla5[[#This Row],[INVERSIONES FCI]]-BB327,Tabla5[[#This Row],[INVERSIONES FCI]])</f>
        <v>3326993599.9180603</v>
      </c>
      <c r="BC328" s="5">
        <f>IF($B327&lt;=Tabla5[[#This Row],[INVERSIONES FCI]],+Tabla5[[#This Row],[INVERSIONES FCI]]-BC327,Tabla5[[#This Row],[INVERSIONES FCI]])</f>
        <v>3326993599.9180603</v>
      </c>
      <c r="BD328" s="5">
        <f>IF($B327&lt;=Tabla5[[#This Row],[INVERSIONES FCI]],+Tabla5[[#This Row],[INVERSIONES FCI]]-BD327,Tabla5[[#This Row],[INVERSIONES FCI]])</f>
        <v>3326993599.9180603</v>
      </c>
      <c r="BE328" s="5">
        <f>IF($B327&lt;=Tabla5[[#This Row],[INVERSIONES FCI]],+Tabla5[[#This Row],[INVERSIONES FCI]]-BE327,Tabla5[[#This Row],[INVERSIONES FCI]])</f>
        <v>3326993599.9180603</v>
      </c>
      <c r="BF328" s="5">
        <f>IF($B327&lt;=Tabla5[[#This Row],[INVERSIONES FCI]],+Tabla5[[#This Row],[INVERSIONES FCI]]-BF327,Tabla5[[#This Row],[INVERSIONES FCI]])</f>
        <v>3326993599.9180603</v>
      </c>
      <c r="BG328" s="5">
        <f>IF($B327&lt;=Tabla5[[#This Row],[INVERSIONES FCI]],+Tabla5[[#This Row],[INVERSIONES FCI]]-BG327,Tabla5[[#This Row],[INVERSIONES FCI]])</f>
        <v>3326993599.9180603</v>
      </c>
      <c r="BH328" s="5">
        <f>IF($B327&lt;=Tabla5[[#This Row],[INVERSIONES FCI]],+Tabla5[[#This Row],[INVERSIONES FCI]]-BH327,Tabla5[[#This Row],[INVERSIONES FCI]])</f>
        <v>3326993599.9180603</v>
      </c>
      <c r="BI328" s="5">
        <f>IF($B327&lt;=Tabla5[[#This Row],[INVERSIONES FCI]],+Tabla5[[#This Row],[INVERSIONES FCI]]-BI327,Tabla5[[#This Row],[INVERSIONES FCI]])</f>
        <v>3326993599.9180603</v>
      </c>
      <c r="BJ328" s="5">
        <f>IF($B327&lt;=Tabla5[[#This Row],[INVERSIONES FCI]],+Tabla5[[#This Row],[INVERSIONES FCI]]-BJ327,Tabla5[[#This Row],[INVERSIONES FCI]])</f>
        <v>3326993599.9180603</v>
      </c>
      <c r="BK328" s="5">
        <f>IF($B327&lt;=Tabla5[[#This Row],[INVERSIONES FCI]],+Tabla5[[#This Row],[INVERSIONES FCI]]-BK327,Tabla5[[#This Row],[INVERSIONES FCI]])</f>
        <v>3326993599.9180603</v>
      </c>
      <c r="BL328" s="5">
        <f>IF($B327&lt;=Tabla5[[#This Row],[INVERSIONES FCI]],+Tabla5[[#This Row],[INVERSIONES FCI]]-BL327,Tabla5[[#This Row],[INVERSIONES FCI]])</f>
        <v>3326993599.9180603</v>
      </c>
      <c r="BM328" s="5">
        <f>IF($B327&lt;=Tabla5[[#This Row],[INVERSIONES FCI]],+Tabla5[[#This Row],[INVERSIONES FCI]]-BM327,Tabla5[[#This Row],[INVERSIONES FCI]])</f>
        <v>3326993599.9180603</v>
      </c>
      <c r="BN328" s="5">
        <f>IF($B327&lt;=Tabla5[[#This Row],[INVERSIONES FCI]],+Tabla5[[#This Row],[INVERSIONES FCI]]-BN327,Tabla5[[#This Row],[INVERSIONES FCI]])</f>
        <v>3326993599.9180603</v>
      </c>
      <c r="BO328" s="5">
        <f>IF($B327&lt;=Tabla5[[#This Row],[INVERSIONES FCI]],+Tabla5[[#This Row],[INVERSIONES FCI]]-BO327,Tabla5[[#This Row],[INVERSIONES FCI]])</f>
        <v>3326993599.9180603</v>
      </c>
      <c r="BP328" s="5">
        <f>IF($B327&lt;=Tabla5[[#This Row],[INVERSIONES FCI]],+Tabla5[[#This Row],[INVERSIONES FCI]]-BP327,Tabla5[[#This Row],[INVERSIONES FCI]])</f>
        <v>3326993599.9180603</v>
      </c>
      <c r="BQ328" s="5">
        <f>IF($B327&lt;=Tabla5[[#This Row],[INVERSIONES FCI]],+Tabla5[[#This Row],[INVERSIONES FCI]]-BQ327,Tabla5[[#This Row],[INVERSIONES FCI]])</f>
        <v>3326993599.9180603</v>
      </c>
      <c r="BR328" s="5">
        <f>IF($B327&lt;=Tabla5[[#This Row],[INVERSIONES FCI]],+Tabla5[[#This Row],[INVERSIONES FCI]]-BR327,Tabla5[[#This Row],[INVERSIONES FCI]])</f>
        <v>3326993599.9180603</v>
      </c>
      <c r="BS328" s="5">
        <f>IF($B327&lt;=Tabla5[[#This Row],[INVERSIONES FCI]],+Tabla5[[#This Row],[INVERSIONES FCI]]-BS327,Tabla5[[#This Row],[INVERSIONES FCI]])</f>
        <v>3326993599.9180603</v>
      </c>
      <c r="BT328" s="5">
        <f>IF($B327&lt;=Tabla5[[#This Row],[INVERSIONES FCI]],+Tabla5[[#This Row],[INVERSIONES FCI]]-BT327,Tabla5[[#This Row],[INVERSIONES FCI]])</f>
        <v>3326993599.9180603</v>
      </c>
      <c r="BU328" s="5">
        <f>IF($B327&lt;=Tabla5[[#This Row],[INVERSIONES FCI]],+Tabla5[[#This Row],[INVERSIONES FCI]]-BU327,Tabla5[[#This Row],[INVERSIONES FCI]])</f>
        <v>3326993599.9180603</v>
      </c>
      <c r="BV328" s="5">
        <f>IF($B327&lt;=Tabla5[[#This Row],[INVERSIONES FCI]],+Tabla5[[#This Row],[INVERSIONES FCI]]-BV327,Tabla5[[#This Row],[INVERSIONES FCI]])</f>
        <v>3326993599.9180603</v>
      </c>
      <c r="BW328" s="5">
        <f>IF($B327&lt;=Tabla5[[#This Row],[INVERSIONES FCI]],+Tabla5[[#This Row],[INVERSIONES FCI]]-BW327,Tabla5[[#This Row],[INVERSIONES FCI]])</f>
        <v>3326993599.9180603</v>
      </c>
      <c r="BX328" s="5">
        <f>IF($B327&lt;=Tabla5[[#This Row],[INVERSIONES FCI]],+Tabla5[[#This Row],[INVERSIONES FCI]]-BX327,Tabla5[[#This Row],[INVERSIONES FCI]])</f>
        <v>3326993599.9180603</v>
      </c>
      <c r="BY328" s="5">
        <f>IF($B327&lt;=Tabla5[[#This Row],[INVERSIONES FCI]],+Tabla5[[#This Row],[INVERSIONES FCI]]-BY327,Tabla5[[#This Row],[INVERSIONES FCI]])</f>
        <v>3326993599.9180603</v>
      </c>
      <c r="BZ328" s="5">
        <f>IF($B327&lt;=Tabla5[[#This Row],[INVERSIONES FCI]],+Tabla5[[#This Row],[INVERSIONES FCI]]-BZ327,Tabla5[[#This Row],[INVERSIONES FCI]])</f>
        <v>3326993599.9180603</v>
      </c>
      <c r="CA328" s="5">
        <f>IF($B327&lt;=Tabla5[[#This Row],[INVERSIONES FCI]],+Tabla5[[#This Row],[INVERSIONES FCI]]-CA327,Tabla5[[#This Row],[INVERSIONES FCI]])</f>
        <v>3326993599.9180603</v>
      </c>
      <c r="CB328" s="5">
        <f>IF($B327&lt;=Tabla5[[#This Row],[INVERSIONES FCI]],+Tabla5[[#This Row],[INVERSIONES FCI]]-CB327,Tabla5[[#This Row],[INVERSIONES FCI]])</f>
        <v>3326993599.9180603</v>
      </c>
      <c r="CC328" s="5">
        <f>IF($B327&lt;=Tabla5[[#This Row],[INVERSIONES FCI]],+Tabla5[[#This Row],[INVERSIONES FCI]]-CC327,Tabla5[[#This Row],[INVERSIONES FCI]])</f>
        <v>3326993599.9180603</v>
      </c>
      <c r="CD328" s="5">
        <f>IF($B327&lt;=Tabla5[[#This Row],[INVERSIONES FCI]],+Tabla5[[#This Row],[INVERSIONES FCI]]-CD327,Tabla5[[#This Row],[INVERSIONES FCI]])</f>
        <v>3326993599.9180603</v>
      </c>
      <c r="CE328" s="5">
        <f>IF($B327&lt;=Tabla5[[#This Row],[INVERSIONES FCI]],+Tabla5[[#This Row],[INVERSIONES FCI]]-CE327,Tabla5[[#This Row],[INVERSIONES FCI]])</f>
        <v>3326993599.9180603</v>
      </c>
      <c r="CF328" s="5">
        <f>IF($B327&lt;=Tabla5[[#This Row],[INVERSIONES FCI]],+Tabla5[[#This Row],[INVERSIONES FCI]]-CF327,Tabla5[[#This Row],[INVERSIONES FCI]])</f>
        <v>3326993599.9180603</v>
      </c>
      <c r="CG328" s="5">
        <f>IF($B327&lt;=Tabla5[[#This Row],[INVERSIONES FCI]],+Tabla5[[#This Row],[INVERSIONES FCI]]-CG327,Tabla5[[#This Row],[INVERSIONES FCI]])</f>
        <v>3326993599.9180603</v>
      </c>
      <c r="CH328" s="5">
        <f>IF($B327&lt;=Tabla5[[#This Row],[INVERSIONES FCI]],+Tabla5[[#This Row],[INVERSIONES FCI]]-CH327,Tabla5[[#This Row],[INVERSIONES FCI]])</f>
        <v>3326993599.9180603</v>
      </c>
      <c r="CI328" s="5">
        <f>IF($B327&lt;=Tabla5[[#This Row],[INVERSIONES FCI]],+Tabla5[[#This Row],[INVERSIONES FCI]]-CI327,Tabla5[[#This Row],[INVERSIONES FCI]])</f>
        <v>3326993599.9180603</v>
      </c>
      <c r="CJ328" s="5">
        <f>IF($B327&lt;=Tabla5[[#This Row],[INVERSIONES FCI]],+Tabla5[[#This Row],[INVERSIONES FCI]]-CJ327,Tabla5[[#This Row],[INVERSIONES FCI]])</f>
        <v>3326993599.9180603</v>
      </c>
      <c r="CK328" s="5">
        <f>IF($B327&lt;=Tabla5[[#This Row],[INVERSIONES FCI]],+Tabla5[[#This Row],[INVERSIONES FCI]]-CK327,Tabla5[[#This Row],[INVERSIONES FCI]])</f>
        <v>3326993599.9180603</v>
      </c>
      <c r="CL328" s="5">
        <f>IF($B327&lt;=Tabla5[[#This Row],[INVERSIONES FCI]],+Tabla5[[#This Row],[INVERSIONES FCI]]-CL327,Tabla5[[#This Row],[INVERSIONES FCI]])</f>
        <v>3326993599.9180603</v>
      </c>
      <c r="CM328" s="5">
        <f>IF($B327&lt;=Tabla5[[#This Row],[INVERSIONES FCI]],+Tabla5[[#This Row],[INVERSIONES FCI]]-CM327,Tabla5[[#This Row],[INVERSIONES FCI]])</f>
        <v>3326993599.9180603</v>
      </c>
      <c r="CN328" s="5">
        <f>IF($B327&lt;=Tabla5[[#This Row],[INVERSIONES FCI]],+Tabla5[[#This Row],[INVERSIONES FCI]]-CN327,Tabla5[[#This Row],[INVERSIONES FCI]])</f>
        <v>3326993599.9180603</v>
      </c>
      <c r="CO328" s="5">
        <f>IF($B327&lt;=Tabla5[[#This Row],[INVERSIONES FCI]],+Tabla5[[#This Row],[INVERSIONES FCI]]-CO327,Tabla5[[#This Row],[INVERSIONES FCI]])</f>
        <v>3326993599.9180603</v>
      </c>
      <c r="CP328" s="5">
        <f>IF($B327&lt;=Tabla5[[#This Row],[INVERSIONES FCI]],+Tabla5[[#This Row],[INVERSIONES FCI]]-CP327,Tabla5[[#This Row],[INVERSIONES FCI]])</f>
        <v>3326993599.9180603</v>
      </c>
      <c r="CQ328" s="5">
        <f>IF($B327&lt;=Tabla5[[#This Row],[INVERSIONES FCI]],+Tabla5[[#This Row],[INVERSIONES FCI]]-CQ327,Tabla5[[#This Row],[INVERSIONES FCI]])</f>
        <v>3326993599.9180603</v>
      </c>
      <c r="CR328" s="5">
        <f>IF($B327&lt;=Tabla5[[#This Row],[INVERSIONES FCI]],+Tabla5[[#This Row],[INVERSIONES FCI]]-CR327,Tabla5[[#This Row],[INVERSIONES FCI]])</f>
        <v>3326993599.9180603</v>
      </c>
      <c r="CS328" s="5">
        <f>IF($B327&lt;=Tabla5[[#This Row],[INVERSIONES FCI]],+Tabla5[[#This Row],[INVERSIONES FCI]]-CS327,Tabla5[[#This Row],[INVERSIONES FCI]])</f>
        <v>3326993599.9180603</v>
      </c>
      <c r="CT328" s="5">
        <f>IF($B327&lt;=Tabla5[[#This Row],[INVERSIONES FCI]],+Tabla5[[#This Row],[INVERSIONES FCI]]-CT327,Tabla5[[#This Row],[INVERSIONES FCI]])</f>
        <v>3326993599.9180603</v>
      </c>
      <c r="CU328" s="5">
        <f>IF($B327&lt;=Tabla5[[#This Row],[INVERSIONES FCI]],+Tabla5[[#This Row],[INVERSIONES FCI]]-CU327,Tabla5[[#This Row],[INVERSIONES FCI]])</f>
        <v>3326993599.9180603</v>
      </c>
      <c r="CV328" s="5">
        <f>IF($B327&lt;=Tabla5[[#This Row],[INVERSIONES FCI]],+Tabla5[[#This Row],[INVERSIONES FCI]]-CV327,Tabla5[[#This Row],[INVERSIONES FCI]])</f>
        <v>3326993599.9180603</v>
      </c>
      <c r="CW328" s="5">
        <f>IF($B327&lt;=Tabla5[[#This Row],[INVERSIONES FCI]],+Tabla5[[#This Row],[INVERSIONES FCI]]-CW327,Tabla5[[#This Row],[INVERSIONES FCI]])</f>
        <v>3326993599.9180603</v>
      </c>
      <c r="CX328" s="5">
        <f>IF($B327&lt;=Tabla5[[#This Row],[INVERSIONES FCI]],+Tabla5[[#This Row],[INVERSIONES FCI]]-CX327,Tabla5[[#This Row],[INVERSIONES FCI]])</f>
        <v>3326993599.9180603</v>
      </c>
      <c r="CY328" s="5">
        <f>IF($B327&lt;=Tabla5[[#This Row],[INVERSIONES FCI]],+Tabla5[[#This Row],[INVERSIONES FCI]]-CY327,Tabla5[[#This Row],[INVERSIONES FCI]])</f>
        <v>3326993599.9180603</v>
      </c>
      <c r="CZ328" s="5">
        <f>IF($B327&lt;=Tabla5[[#This Row],[INVERSIONES FCI]],+Tabla5[[#This Row],[INVERSIONES FCI]]-CZ327,Tabla5[[#This Row],[INVERSIONES FCI]])</f>
        <v>3326993599.9180603</v>
      </c>
      <c r="DA328" s="5">
        <f>IF($B327&lt;=Tabla5[[#This Row],[INVERSIONES FCI]],+Tabla5[[#This Row],[INVERSIONES FCI]]-DA327,Tabla5[[#This Row],[INVERSIONES FCI]])</f>
        <v>3326993599.9180603</v>
      </c>
      <c r="DB328" s="5">
        <f>IF($B327&lt;=Tabla5[[#This Row],[INVERSIONES FCI]],+Tabla5[[#This Row],[INVERSIONES FCI]]-DB327,Tabla5[[#This Row],[INVERSIONES FCI]])</f>
        <v>3326993599.9180603</v>
      </c>
      <c r="DC328" s="5">
        <f>IF($B327&lt;=Tabla5[[#This Row],[INVERSIONES FCI]],+Tabla5[[#This Row],[INVERSIONES FCI]]-DC327,Tabla5[[#This Row],[INVERSIONES FCI]])</f>
        <v>3326993599.9180603</v>
      </c>
      <c r="DD328" s="5">
        <f>IF($B327&lt;=Tabla5[[#This Row],[INVERSIONES FCI]],+Tabla5[[#This Row],[INVERSIONES FCI]]-DD327,Tabla5[[#This Row],[INVERSIONES FCI]])</f>
        <v>3326993599.9180603</v>
      </c>
      <c r="DE328" s="5">
        <f>IF($B327&lt;=Tabla5[[#This Row],[INVERSIONES FCI]],+Tabla5[[#This Row],[INVERSIONES FCI]]-DE327,Tabla5[[#This Row],[INVERSIONES FCI]])</f>
        <v>3326993599.9180603</v>
      </c>
      <c r="DF328" s="5">
        <f>IF($B327&lt;=Tabla5[[#This Row],[INVERSIONES FCI]],+Tabla5[[#This Row],[INVERSIONES FCI]]-DF327,Tabla5[[#This Row],[INVERSIONES FCI]])</f>
        <v>3326993599.9180603</v>
      </c>
      <c r="DG328" s="5">
        <f>IF($B327&lt;=Tabla5[[#This Row],[INVERSIONES FCI]],+Tabla5[[#This Row],[INVERSIONES FCI]]-DG327,Tabla5[[#This Row],[INVERSIONES FCI]])</f>
        <v>3326993599.9180603</v>
      </c>
      <c r="DH328" s="5">
        <f>IF($B327&lt;=Tabla5[[#This Row],[INVERSIONES FCI]],+Tabla5[[#This Row],[INVERSIONES FCI]]-DH327,Tabla5[[#This Row],[INVERSIONES FCI]])</f>
        <v>3326993599.9180603</v>
      </c>
      <c r="DI328" s="5">
        <f>IF($B327&lt;=Tabla5[[#This Row],[INVERSIONES FCI]],+Tabla5[[#This Row],[INVERSIONES FCI]]-DI327,Tabla5[[#This Row],[INVERSIONES FCI]])</f>
        <v>3326993599.9180603</v>
      </c>
      <c r="DJ328" s="5">
        <f>IF($B327&lt;=Tabla5[[#This Row],[INVERSIONES FCI]],+Tabla5[[#This Row],[INVERSIONES FCI]]-DJ327,Tabla5[[#This Row],[INVERSIONES FCI]])</f>
        <v>3326993599.9180603</v>
      </c>
      <c r="DK328" s="5">
        <f>IF($B327&lt;=Tabla5[[#This Row],[INVERSIONES FCI]],+Tabla5[[#This Row],[INVERSIONES FCI]]-DK327,Tabla5[[#This Row],[INVERSIONES FCI]])</f>
        <v>3326993599.9180603</v>
      </c>
      <c r="DL328" s="5"/>
      <c r="DM328" s="5"/>
      <c r="DN328" s="5"/>
      <c r="DO328" s="5"/>
      <c r="DP328" s="5"/>
      <c r="DQ328" s="5"/>
    </row>
    <row r="329" spans="1:121" ht="14.4">
      <c r="A329" s="12" t="s">
        <v>328</v>
      </c>
      <c r="B329" s="5">
        <f>HLOOKUP($A329,ESCENARIO[#All],7,FALSE)</f>
        <v>92895631172.451981</v>
      </c>
      <c r="C329" s="5">
        <f>IF($B328&lt;=Tabla5[[#This Row],[INVERSIONES FCI]],+Tabla5[[#This Row],[INVERSIONES FCI]]-C328,Tabla5[[#This Row],[INVERSIONES FCI]])</f>
        <v>89568637572.53392</v>
      </c>
      <c r="D329" s="5">
        <f>IF($B328&lt;=Tabla5[[#This Row],[INVERSIONES FCI]],+Tabla5[[#This Row],[INVERSIONES FCI]]-D328,Tabla5[[#This Row],[INVERSIONES FCI]])</f>
        <v>89568637572.53392</v>
      </c>
      <c r="E329" s="5">
        <f>IF($B328&lt;=Tabla5[[#This Row],[INVERSIONES FCI]],+Tabla5[[#This Row],[INVERSIONES FCI]]-E328,Tabla5[[#This Row],[INVERSIONES FCI]])</f>
        <v>89568637572.53392</v>
      </c>
      <c r="F329" s="5">
        <f>IF($B328&lt;=Tabla5[[#This Row],[INVERSIONES FCI]],+Tabla5[[#This Row],[INVERSIONES FCI]]-F328,Tabla5[[#This Row],[INVERSIONES FCI]])</f>
        <v>89568637572.53392</v>
      </c>
      <c r="G329" s="5">
        <f>IF($B328&lt;=Tabla5[[#This Row],[INVERSIONES FCI]],+Tabla5[[#This Row],[INVERSIONES FCI]]-G328,Tabla5[[#This Row],[INVERSIONES FCI]])</f>
        <v>89568637572.53392</v>
      </c>
      <c r="H329" s="5">
        <f>IF($B328&lt;=Tabla5[[#This Row],[INVERSIONES FCI]],+Tabla5[[#This Row],[INVERSIONES FCI]]-H328,Tabla5[[#This Row],[INVERSIONES FCI]])</f>
        <v>89568637572.53392</v>
      </c>
      <c r="I329" s="5">
        <f>IF($B328&lt;=Tabla5[[#This Row],[INVERSIONES FCI]],+Tabla5[[#This Row],[INVERSIONES FCI]]-I328,Tabla5[[#This Row],[INVERSIONES FCI]])</f>
        <v>89568637572.53392</v>
      </c>
      <c r="J329" s="5">
        <f>IF($B328&lt;=Tabla5[[#This Row],[INVERSIONES FCI]],+Tabla5[[#This Row],[INVERSIONES FCI]]-J328,Tabla5[[#This Row],[INVERSIONES FCI]])</f>
        <v>89568637572.53392</v>
      </c>
      <c r="K329" s="5">
        <f>IF($B328&lt;=Tabla5[[#This Row],[INVERSIONES FCI]],+Tabla5[[#This Row],[INVERSIONES FCI]]-K328,Tabla5[[#This Row],[INVERSIONES FCI]])</f>
        <v>89568637572.53392</v>
      </c>
      <c r="L329" s="5">
        <f>IF($B328&lt;=Tabla5[[#This Row],[INVERSIONES FCI]],+Tabla5[[#This Row],[INVERSIONES FCI]]-L328,Tabla5[[#This Row],[INVERSIONES FCI]])</f>
        <v>89568637572.53392</v>
      </c>
      <c r="M329" s="5">
        <f>IF($B328&lt;=Tabla5[[#This Row],[INVERSIONES FCI]],+Tabla5[[#This Row],[INVERSIONES FCI]]-M328,Tabla5[[#This Row],[INVERSIONES FCI]])</f>
        <v>89568637572.53392</v>
      </c>
      <c r="N329" s="5">
        <f>IF($B328&lt;=Tabla5[[#This Row],[INVERSIONES FCI]],+Tabla5[[#This Row],[INVERSIONES FCI]]-N328,Tabla5[[#This Row],[INVERSIONES FCI]])</f>
        <v>89568637572.53392</v>
      </c>
      <c r="O329" s="5">
        <f>IF($B328&lt;=Tabla5[[#This Row],[INVERSIONES FCI]],+Tabla5[[#This Row],[INVERSIONES FCI]]-O328,Tabla5[[#This Row],[INVERSIONES FCI]])</f>
        <v>89568637572.53392</v>
      </c>
      <c r="P329" s="5">
        <f>IF($B328&lt;=Tabla5[[#This Row],[INVERSIONES FCI]],+Tabla5[[#This Row],[INVERSIONES FCI]]-P328,Tabla5[[#This Row],[INVERSIONES FCI]])</f>
        <v>89568637572.53392</v>
      </c>
      <c r="Q329" s="5">
        <f>IF($B328&lt;=Tabla5[[#This Row],[INVERSIONES FCI]],+Tabla5[[#This Row],[INVERSIONES FCI]]-Q328,Tabla5[[#This Row],[INVERSIONES FCI]])</f>
        <v>89568637572.53392</v>
      </c>
      <c r="R329" s="5">
        <f>IF($B328&lt;=Tabla5[[#This Row],[INVERSIONES FCI]],+Tabla5[[#This Row],[INVERSIONES FCI]]-R328,Tabla5[[#This Row],[INVERSIONES FCI]])</f>
        <v>89568637572.53392</v>
      </c>
      <c r="S329" s="5">
        <f>IF($B328&lt;=Tabla5[[#This Row],[INVERSIONES FCI]],+Tabla5[[#This Row],[INVERSIONES FCI]]-S328,Tabla5[[#This Row],[INVERSIONES FCI]])</f>
        <v>89568637572.53392</v>
      </c>
      <c r="T329" s="5">
        <f>IF($B328&lt;=Tabla5[[#This Row],[INVERSIONES FCI]],+Tabla5[[#This Row],[INVERSIONES FCI]]-T328,Tabla5[[#This Row],[INVERSIONES FCI]])</f>
        <v>89568637572.53392</v>
      </c>
      <c r="U329" s="5">
        <f>IF($B328&lt;=Tabla5[[#This Row],[INVERSIONES FCI]],+Tabla5[[#This Row],[INVERSIONES FCI]]-U328,Tabla5[[#This Row],[INVERSIONES FCI]])</f>
        <v>89568637572.53392</v>
      </c>
      <c r="V329" s="5">
        <f>IF($B328&lt;=Tabla5[[#This Row],[INVERSIONES FCI]],+Tabla5[[#This Row],[INVERSIONES FCI]]-V328,Tabla5[[#This Row],[INVERSIONES FCI]])</f>
        <v>89568637572.53392</v>
      </c>
      <c r="W329" s="5">
        <f>IF($B328&lt;=Tabla5[[#This Row],[INVERSIONES FCI]],+Tabla5[[#This Row],[INVERSIONES FCI]]-W328,Tabla5[[#This Row],[INVERSIONES FCI]])</f>
        <v>89568637572.53392</v>
      </c>
      <c r="X329" s="5">
        <f>IF($B328&lt;=Tabla5[[#This Row],[INVERSIONES FCI]],+Tabla5[[#This Row],[INVERSIONES FCI]]-X328,Tabla5[[#This Row],[INVERSIONES FCI]])</f>
        <v>89568637572.53392</v>
      </c>
      <c r="Y329" s="5">
        <f>IF($B328&lt;=Tabla5[[#This Row],[INVERSIONES FCI]],+Tabla5[[#This Row],[INVERSIONES FCI]]-Y328,Tabla5[[#This Row],[INVERSIONES FCI]])</f>
        <v>89568637572.53392</v>
      </c>
      <c r="Z329" s="5">
        <f>IF($B328&lt;=Tabla5[[#This Row],[INVERSIONES FCI]],+Tabla5[[#This Row],[INVERSIONES FCI]]-Z328,Tabla5[[#This Row],[INVERSIONES FCI]])</f>
        <v>89568637572.53392</v>
      </c>
      <c r="AA329" s="5">
        <f>IF($B328&lt;=Tabla5[[#This Row],[INVERSIONES FCI]],+Tabla5[[#This Row],[INVERSIONES FCI]]-AA328,Tabla5[[#This Row],[INVERSIONES FCI]])</f>
        <v>89568637572.53392</v>
      </c>
      <c r="AB329" s="5">
        <f>IF($B328&lt;=Tabla5[[#This Row],[INVERSIONES FCI]],+Tabla5[[#This Row],[INVERSIONES FCI]]-AB328,Tabla5[[#This Row],[INVERSIONES FCI]])</f>
        <v>89568637572.53392</v>
      </c>
      <c r="AC329" s="5">
        <f>IF($B328&lt;=Tabla5[[#This Row],[INVERSIONES FCI]],+Tabla5[[#This Row],[INVERSIONES FCI]]-AC328,Tabla5[[#This Row],[INVERSIONES FCI]])</f>
        <v>89568637572.53392</v>
      </c>
      <c r="AD329" s="5">
        <f>IF($B328&lt;=Tabla5[[#This Row],[INVERSIONES FCI]],+Tabla5[[#This Row],[INVERSIONES FCI]]-AD328,Tabla5[[#This Row],[INVERSIONES FCI]])</f>
        <v>89568637572.53392</v>
      </c>
      <c r="AE329" s="5">
        <f>IF($B328&lt;=Tabla5[[#This Row],[INVERSIONES FCI]],+Tabla5[[#This Row],[INVERSIONES FCI]]-AE328,Tabla5[[#This Row],[INVERSIONES FCI]])</f>
        <v>89568637572.53392</v>
      </c>
      <c r="AF329" s="5">
        <f>IF($B328&lt;=Tabla5[[#This Row],[INVERSIONES FCI]],+Tabla5[[#This Row],[INVERSIONES FCI]]-AF328,Tabla5[[#This Row],[INVERSIONES FCI]])</f>
        <v>89568637572.53392</v>
      </c>
      <c r="AG329" s="5">
        <f>IF($B328&lt;=Tabla5[[#This Row],[INVERSIONES FCI]],+Tabla5[[#This Row],[INVERSIONES FCI]]-AG328,Tabla5[[#This Row],[INVERSIONES FCI]])</f>
        <v>89568637572.53392</v>
      </c>
      <c r="AH329" s="5">
        <f>IF($B328&lt;=Tabla5[[#This Row],[INVERSIONES FCI]],+Tabla5[[#This Row],[INVERSIONES FCI]]-AH328,Tabla5[[#This Row],[INVERSIONES FCI]])</f>
        <v>89568637572.53392</v>
      </c>
      <c r="AI329" s="5">
        <f>IF($B328&lt;=Tabla5[[#This Row],[INVERSIONES FCI]],+Tabla5[[#This Row],[INVERSIONES FCI]]-AI328,Tabla5[[#This Row],[INVERSIONES FCI]])</f>
        <v>89568637572.53392</v>
      </c>
      <c r="AJ329" s="5">
        <f>IF($B328&lt;=Tabla5[[#This Row],[INVERSIONES FCI]],+Tabla5[[#This Row],[INVERSIONES FCI]]-AJ328,Tabla5[[#This Row],[INVERSIONES FCI]])</f>
        <v>89568637572.53392</v>
      </c>
      <c r="AK329" s="5">
        <f>IF($B328&lt;=Tabla5[[#This Row],[INVERSIONES FCI]],+Tabla5[[#This Row],[INVERSIONES FCI]]-AK328,Tabla5[[#This Row],[INVERSIONES FCI]])</f>
        <v>89568637572.53392</v>
      </c>
      <c r="AL329" s="5">
        <f>IF($B328&lt;=Tabla5[[#This Row],[INVERSIONES FCI]],+Tabla5[[#This Row],[INVERSIONES FCI]]-AL328,Tabla5[[#This Row],[INVERSIONES FCI]])</f>
        <v>89568637572.53392</v>
      </c>
      <c r="AM329" s="5">
        <f>IF($B328&lt;=Tabla5[[#This Row],[INVERSIONES FCI]],+Tabla5[[#This Row],[INVERSIONES FCI]]-AM328,Tabla5[[#This Row],[INVERSIONES FCI]])</f>
        <v>89568637572.53392</v>
      </c>
      <c r="AN329" s="5">
        <f>IF($B328&lt;=Tabla5[[#This Row],[INVERSIONES FCI]],+Tabla5[[#This Row],[INVERSIONES FCI]]-AN328,Tabla5[[#This Row],[INVERSIONES FCI]])</f>
        <v>89568637572.53392</v>
      </c>
      <c r="AO329" s="5">
        <f>IF($B328&lt;=Tabla5[[#This Row],[INVERSIONES FCI]],+Tabla5[[#This Row],[INVERSIONES FCI]]-AO328,Tabla5[[#This Row],[INVERSIONES FCI]])</f>
        <v>89568637572.53392</v>
      </c>
      <c r="AP329" s="5">
        <f>IF($B328&lt;=Tabla5[[#This Row],[INVERSIONES FCI]],+Tabla5[[#This Row],[INVERSIONES FCI]]-AP328,Tabla5[[#This Row],[INVERSIONES FCI]])</f>
        <v>89568637572.53392</v>
      </c>
      <c r="AQ329" s="5">
        <f>IF($B328&lt;=Tabla5[[#This Row],[INVERSIONES FCI]],+Tabla5[[#This Row],[INVERSIONES FCI]]-AQ328,Tabla5[[#This Row],[INVERSIONES FCI]])</f>
        <v>89568637572.53392</v>
      </c>
      <c r="AR329" s="5">
        <f>IF($B328&lt;=Tabla5[[#This Row],[INVERSIONES FCI]],+Tabla5[[#This Row],[INVERSIONES FCI]]-AR328,Tabla5[[#This Row],[INVERSIONES FCI]])</f>
        <v>89568637572.53392</v>
      </c>
      <c r="AS329" s="5">
        <f>IF($B328&lt;=Tabla5[[#This Row],[INVERSIONES FCI]],+Tabla5[[#This Row],[INVERSIONES FCI]]-AS328,Tabla5[[#This Row],[INVERSIONES FCI]])</f>
        <v>89568637572.53392</v>
      </c>
      <c r="AT329" s="5">
        <f>IF($B328&lt;=Tabla5[[#This Row],[INVERSIONES FCI]],+Tabla5[[#This Row],[INVERSIONES FCI]]-AT328,Tabla5[[#This Row],[INVERSIONES FCI]])</f>
        <v>89568637572.53392</v>
      </c>
      <c r="AU329" s="5">
        <f>IF($B328&lt;=Tabla5[[#This Row],[INVERSIONES FCI]],+Tabla5[[#This Row],[INVERSIONES FCI]]-AU328,Tabla5[[#This Row],[INVERSIONES FCI]])</f>
        <v>89568637572.53392</v>
      </c>
      <c r="AV329" s="5">
        <f>IF($B328&lt;=Tabla5[[#This Row],[INVERSIONES FCI]],+Tabla5[[#This Row],[INVERSIONES FCI]]-AV328,Tabla5[[#This Row],[INVERSIONES FCI]])</f>
        <v>89568637572.53392</v>
      </c>
      <c r="AW329" s="5">
        <f>IF($B328&lt;=Tabla5[[#This Row],[INVERSIONES FCI]],+Tabla5[[#This Row],[INVERSIONES FCI]]-AW328,Tabla5[[#This Row],[INVERSIONES FCI]])</f>
        <v>89568637572.53392</v>
      </c>
      <c r="AX329" s="5">
        <f>IF($B328&lt;=Tabla5[[#This Row],[INVERSIONES FCI]],+Tabla5[[#This Row],[INVERSIONES FCI]]-AX328,Tabla5[[#This Row],[INVERSIONES FCI]])</f>
        <v>89568637572.53392</v>
      </c>
      <c r="AY329" s="5">
        <f>IF($B328&lt;=Tabla5[[#This Row],[INVERSIONES FCI]],+Tabla5[[#This Row],[INVERSIONES FCI]]-AY328,Tabla5[[#This Row],[INVERSIONES FCI]])</f>
        <v>89568637572.53392</v>
      </c>
      <c r="AZ329" s="5">
        <f>IF($B328&lt;=Tabla5[[#This Row],[INVERSIONES FCI]],+Tabla5[[#This Row],[INVERSIONES FCI]]-AZ328,Tabla5[[#This Row],[INVERSIONES FCI]])</f>
        <v>89568637572.53392</v>
      </c>
      <c r="BA329" s="5">
        <f>IF($B328&lt;=Tabla5[[#This Row],[INVERSIONES FCI]],+Tabla5[[#This Row],[INVERSIONES FCI]]-BA328,Tabla5[[#This Row],[INVERSIONES FCI]])</f>
        <v>89568637572.53392</v>
      </c>
      <c r="BB329" s="5">
        <f>IF($B328&lt;=Tabla5[[#This Row],[INVERSIONES FCI]],+Tabla5[[#This Row],[INVERSIONES FCI]]-BB328,Tabla5[[#This Row],[INVERSIONES FCI]])</f>
        <v>89568637572.53392</v>
      </c>
      <c r="BC329" s="5">
        <f>IF($B328&lt;=Tabla5[[#This Row],[INVERSIONES FCI]],+Tabla5[[#This Row],[INVERSIONES FCI]]-BC328,Tabla5[[#This Row],[INVERSIONES FCI]])</f>
        <v>89568637572.53392</v>
      </c>
      <c r="BD329" s="5">
        <f>IF($B328&lt;=Tabla5[[#This Row],[INVERSIONES FCI]],+Tabla5[[#This Row],[INVERSIONES FCI]]-BD328,Tabla5[[#This Row],[INVERSIONES FCI]])</f>
        <v>89568637572.53392</v>
      </c>
      <c r="BE329" s="5">
        <f>IF($B328&lt;=Tabla5[[#This Row],[INVERSIONES FCI]],+Tabla5[[#This Row],[INVERSIONES FCI]]-BE328,Tabla5[[#This Row],[INVERSIONES FCI]])</f>
        <v>89568637572.53392</v>
      </c>
      <c r="BF329" s="5">
        <f>IF($B328&lt;=Tabla5[[#This Row],[INVERSIONES FCI]],+Tabla5[[#This Row],[INVERSIONES FCI]]-BF328,Tabla5[[#This Row],[INVERSIONES FCI]])</f>
        <v>89568637572.53392</v>
      </c>
      <c r="BG329" s="5">
        <f>IF($B328&lt;=Tabla5[[#This Row],[INVERSIONES FCI]],+Tabla5[[#This Row],[INVERSIONES FCI]]-BG328,Tabla5[[#This Row],[INVERSIONES FCI]])</f>
        <v>89568637572.53392</v>
      </c>
      <c r="BH329" s="5">
        <f>IF($B328&lt;=Tabla5[[#This Row],[INVERSIONES FCI]],+Tabla5[[#This Row],[INVERSIONES FCI]]-BH328,Tabla5[[#This Row],[INVERSIONES FCI]])</f>
        <v>89568637572.53392</v>
      </c>
      <c r="BI329" s="5">
        <f>IF($B328&lt;=Tabla5[[#This Row],[INVERSIONES FCI]],+Tabla5[[#This Row],[INVERSIONES FCI]]-BI328,Tabla5[[#This Row],[INVERSIONES FCI]])</f>
        <v>89568637572.53392</v>
      </c>
      <c r="BJ329" s="5">
        <f>IF($B328&lt;=Tabla5[[#This Row],[INVERSIONES FCI]],+Tabla5[[#This Row],[INVERSIONES FCI]]-BJ328,Tabla5[[#This Row],[INVERSIONES FCI]])</f>
        <v>89568637572.53392</v>
      </c>
      <c r="BK329" s="5">
        <f>IF($B328&lt;=Tabla5[[#This Row],[INVERSIONES FCI]],+Tabla5[[#This Row],[INVERSIONES FCI]]-BK328,Tabla5[[#This Row],[INVERSIONES FCI]])</f>
        <v>89568637572.53392</v>
      </c>
      <c r="BL329" s="5">
        <f>IF($B328&lt;=Tabla5[[#This Row],[INVERSIONES FCI]],+Tabla5[[#This Row],[INVERSIONES FCI]]-BL328,Tabla5[[#This Row],[INVERSIONES FCI]])</f>
        <v>89568637572.53392</v>
      </c>
      <c r="BM329" s="5">
        <f>IF($B328&lt;=Tabla5[[#This Row],[INVERSIONES FCI]],+Tabla5[[#This Row],[INVERSIONES FCI]]-BM328,Tabla5[[#This Row],[INVERSIONES FCI]])</f>
        <v>89568637572.53392</v>
      </c>
      <c r="BN329" s="5">
        <f>IF($B328&lt;=Tabla5[[#This Row],[INVERSIONES FCI]],+Tabla5[[#This Row],[INVERSIONES FCI]]-BN328,Tabla5[[#This Row],[INVERSIONES FCI]])</f>
        <v>89568637572.53392</v>
      </c>
      <c r="BO329" s="5">
        <f>IF($B328&lt;=Tabla5[[#This Row],[INVERSIONES FCI]],+Tabla5[[#This Row],[INVERSIONES FCI]]-BO328,Tabla5[[#This Row],[INVERSIONES FCI]])</f>
        <v>89568637572.53392</v>
      </c>
      <c r="BP329" s="5">
        <f>IF($B328&lt;=Tabla5[[#This Row],[INVERSIONES FCI]],+Tabla5[[#This Row],[INVERSIONES FCI]]-BP328,Tabla5[[#This Row],[INVERSIONES FCI]])</f>
        <v>89568637572.53392</v>
      </c>
      <c r="BQ329" s="5">
        <f>IF($B328&lt;=Tabla5[[#This Row],[INVERSIONES FCI]],+Tabla5[[#This Row],[INVERSIONES FCI]]-BQ328,Tabla5[[#This Row],[INVERSIONES FCI]])</f>
        <v>89568637572.53392</v>
      </c>
      <c r="BR329" s="5">
        <f>IF($B328&lt;=Tabla5[[#This Row],[INVERSIONES FCI]],+Tabla5[[#This Row],[INVERSIONES FCI]]-BR328,Tabla5[[#This Row],[INVERSIONES FCI]])</f>
        <v>89568637572.53392</v>
      </c>
      <c r="BS329" s="5">
        <f>IF($B328&lt;=Tabla5[[#This Row],[INVERSIONES FCI]],+Tabla5[[#This Row],[INVERSIONES FCI]]-BS328,Tabla5[[#This Row],[INVERSIONES FCI]])</f>
        <v>89568637572.53392</v>
      </c>
      <c r="BT329" s="5">
        <f>IF($B328&lt;=Tabla5[[#This Row],[INVERSIONES FCI]],+Tabla5[[#This Row],[INVERSIONES FCI]]-BT328,Tabla5[[#This Row],[INVERSIONES FCI]])</f>
        <v>89568637572.53392</v>
      </c>
      <c r="BU329" s="5">
        <f>IF($B328&lt;=Tabla5[[#This Row],[INVERSIONES FCI]],+Tabla5[[#This Row],[INVERSIONES FCI]]-BU328,Tabla5[[#This Row],[INVERSIONES FCI]])</f>
        <v>89568637572.53392</v>
      </c>
      <c r="BV329" s="5">
        <f>IF($B328&lt;=Tabla5[[#This Row],[INVERSIONES FCI]],+Tabla5[[#This Row],[INVERSIONES FCI]]-BV328,Tabla5[[#This Row],[INVERSIONES FCI]])</f>
        <v>89568637572.53392</v>
      </c>
      <c r="BW329" s="5">
        <f>IF($B328&lt;=Tabla5[[#This Row],[INVERSIONES FCI]],+Tabla5[[#This Row],[INVERSIONES FCI]]-BW328,Tabla5[[#This Row],[INVERSIONES FCI]])</f>
        <v>89568637572.53392</v>
      </c>
      <c r="BX329" s="5">
        <f>IF($B328&lt;=Tabla5[[#This Row],[INVERSIONES FCI]],+Tabla5[[#This Row],[INVERSIONES FCI]]-BX328,Tabla5[[#This Row],[INVERSIONES FCI]])</f>
        <v>89568637572.53392</v>
      </c>
      <c r="BY329" s="5">
        <f>IF($B328&lt;=Tabla5[[#This Row],[INVERSIONES FCI]],+Tabla5[[#This Row],[INVERSIONES FCI]]-BY328,Tabla5[[#This Row],[INVERSIONES FCI]])</f>
        <v>89568637572.53392</v>
      </c>
      <c r="BZ329" s="5">
        <f>IF($B328&lt;=Tabla5[[#This Row],[INVERSIONES FCI]],+Tabla5[[#This Row],[INVERSIONES FCI]]-BZ328,Tabla5[[#This Row],[INVERSIONES FCI]])</f>
        <v>89568637572.53392</v>
      </c>
      <c r="CA329" s="5">
        <f>IF($B328&lt;=Tabla5[[#This Row],[INVERSIONES FCI]],+Tabla5[[#This Row],[INVERSIONES FCI]]-CA328,Tabla5[[#This Row],[INVERSIONES FCI]])</f>
        <v>89568637572.53392</v>
      </c>
      <c r="CB329" s="5">
        <f>IF($B328&lt;=Tabla5[[#This Row],[INVERSIONES FCI]],+Tabla5[[#This Row],[INVERSIONES FCI]]-CB328,Tabla5[[#This Row],[INVERSIONES FCI]])</f>
        <v>89568637572.53392</v>
      </c>
      <c r="CC329" s="5">
        <f>IF($B328&lt;=Tabla5[[#This Row],[INVERSIONES FCI]],+Tabla5[[#This Row],[INVERSIONES FCI]]-CC328,Tabla5[[#This Row],[INVERSIONES FCI]])</f>
        <v>89568637572.53392</v>
      </c>
      <c r="CD329" s="5">
        <f>IF($B328&lt;=Tabla5[[#This Row],[INVERSIONES FCI]],+Tabla5[[#This Row],[INVERSIONES FCI]]-CD328,Tabla5[[#This Row],[INVERSIONES FCI]])</f>
        <v>89568637572.53392</v>
      </c>
      <c r="CE329" s="5">
        <f>IF($B328&lt;=Tabla5[[#This Row],[INVERSIONES FCI]],+Tabla5[[#This Row],[INVERSIONES FCI]]-CE328,Tabla5[[#This Row],[INVERSIONES FCI]])</f>
        <v>89568637572.53392</v>
      </c>
      <c r="CF329" s="5">
        <f>IF($B328&lt;=Tabla5[[#This Row],[INVERSIONES FCI]],+Tabla5[[#This Row],[INVERSIONES FCI]]-CF328,Tabla5[[#This Row],[INVERSIONES FCI]])</f>
        <v>89568637572.53392</v>
      </c>
      <c r="CG329" s="5">
        <f>IF($B328&lt;=Tabla5[[#This Row],[INVERSIONES FCI]],+Tabla5[[#This Row],[INVERSIONES FCI]]-CG328,Tabla5[[#This Row],[INVERSIONES FCI]])</f>
        <v>89568637572.53392</v>
      </c>
      <c r="CH329" s="5">
        <f>IF($B328&lt;=Tabla5[[#This Row],[INVERSIONES FCI]],+Tabla5[[#This Row],[INVERSIONES FCI]]-CH328,Tabla5[[#This Row],[INVERSIONES FCI]])</f>
        <v>89568637572.53392</v>
      </c>
      <c r="CI329" s="5">
        <f>IF($B328&lt;=Tabla5[[#This Row],[INVERSIONES FCI]],+Tabla5[[#This Row],[INVERSIONES FCI]]-CI328,Tabla5[[#This Row],[INVERSIONES FCI]])</f>
        <v>89568637572.53392</v>
      </c>
      <c r="CJ329" s="5">
        <f>IF($B328&lt;=Tabla5[[#This Row],[INVERSIONES FCI]],+Tabla5[[#This Row],[INVERSIONES FCI]]-CJ328,Tabla5[[#This Row],[INVERSIONES FCI]])</f>
        <v>89568637572.53392</v>
      </c>
      <c r="CK329" s="5">
        <f>IF($B328&lt;=Tabla5[[#This Row],[INVERSIONES FCI]],+Tabla5[[#This Row],[INVERSIONES FCI]]-CK328,Tabla5[[#This Row],[INVERSIONES FCI]])</f>
        <v>89568637572.53392</v>
      </c>
      <c r="CL329" s="5">
        <f>IF($B328&lt;=Tabla5[[#This Row],[INVERSIONES FCI]],+Tabla5[[#This Row],[INVERSIONES FCI]]-CL328,Tabla5[[#This Row],[INVERSIONES FCI]])</f>
        <v>89568637572.53392</v>
      </c>
      <c r="CM329" s="5">
        <f>IF($B328&lt;=Tabla5[[#This Row],[INVERSIONES FCI]],+Tabla5[[#This Row],[INVERSIONES FCI]]-CM328,Tabla5[[#This Row],[INVERSIONES FCI]])</f>
        <v>89568637572.53392</v>
      </c>
      <c r="CN329" s="5">
        <f>IF($B328&lt;=Tabla5[[#This Row],[INVERSIONES FCI]],+Tabla5[[#This Row],[INVERSIONES FCI]]-CN328,Tabla5[[#This Row],[INVERSIONES FCI]])</f>
        <v>89568637572.53392</v>
      </c>
      <c r="CO329" s="5">
        <f>IF($B328&lt;=Tabla5[[#This Row],[INVERSIONES FCI]],+Tabla5[[#This Row],[INVERSIONES FCI]]-CO328,Tabla5[[#This Row],[INVERSIONES FCI]])</f>
        <v>89568637572.53392</v>
      </c>
      <c r="CP329" s="5">
        <f>IF($B328&lt;=Tabla5[[#This Row],[INVERSIONES FCI]],+Tabla5[[#This Row],[INVERSIONES FCI]]-CP328,Tabla5[[#This Row],[INVERSIONES FCI]])</f>
        <v>89568637572.53392</v>
      </c>
      <c r="CQ329" s="5">
        <f>IF($B328&lt;=Tabla5[[#This Row],[INVERSIONES FCI]],+Tabla5[[#This Row],[INVERSIONES FCI]]-CQ328,Tabla5[[#This Row],[INVERSIONES FCI]])</f>
        <v>89568637572.53392</v>
      </c>
      <c r="CR329" s="5">
        <f>IF($B328&lt;=Tabla5[[#This Row],[INVERSIONES FCI]],+Tabla5[[#This Row],[INVERSIONES FCI]]-CR328,Tabla5[[#This Row],[INVERSIONES FCI]])</f>
        <v>89568637572.53392</v>
      </c>
      <c r="CS329" s="5">
        <f>IF($B328&lt;=Tabla5[[#This Row],[INVERSIONES FCI]],+Tabla5[[#This Row],[INVERSIONES FCI]]-CS328,Tabla5[[#This Row],[INVERSIONES FCI]])</f>
        <v>89568637572.53392</v>
      </c>
      <c r="CT329" s="5">
        <f>IF($B328&lt;=Tabla5[[#This Row],[INVERSIONES FCI]],+Tabla5[[#This Row],[INVERSIONES FCI]]-CT328,Tabla5[[#This Row],[INVERSIONES FCI]])</f>
        <v>89568637572.53392</v>
      </c>
      <c r="CU329" s="5">
        <f>IF($B328&lt;=Tabla5[[#This Row],[INVERSIONES FCI]],+Tabla5[[#This Row],[INVERSIONES FCI]]-CU328,Tabla5[[#This Row],[INVERSIONES FCI]])</f>
        <v>89568637572.53392</v>
      </c>
      <c r="CV329" s="5">
        <f>IF($B328&lt;=Tabla5[[#This Row],[INVERSIONES FCI]],+Tabla5[[#This Row],[INVERSIONES FCI]]-CV328,Tabla5[[#This Row],[INVERSIONES FCI]])</f>
        <v>89568637572.53392</v>
      </c>
      <c r="CW329" s="5">
        <f>IF($B328&lt;=Tabla5[[#This Row],[INVERSIONES FCI]],+Tabla5[[#This Row],[INVERSIONES FCI]]-CW328,Tabla5[[#This Row],[INVERSIONES FCI]])</f>
        <v>89568637572.53392</v>
      </c>
      <c r="CX329" s="5">
        <f>IF($B328&lt;=Tabla5[[#This Row],[INVERSIONES FCI]],+Tabla5[[#This Row],[INVERSIONES FCI]]-CX328,Tabla5[[#This Row],[INVERSIONES FCI]])</f>
        <v>89568637572.53392</v>
      </c>
      <c r="CY329" s="5">
        <f>IF($B328&lt;=Tabla5[[#This Row],[INVERSIONES FCI]],+Tabla5[[#This Row],[INVERSIONES FCI]]-CY328,Tabla5[[#This Row],[INVERSIONES FCI]])</f>
        <v>89568637572.53392</v>
      </c>
      <c r="CZ329" s="5">
        <f>IF($B328&lt;=Tabla5[[#This Row],[INVERSIONES FCI]],+Tabla5[[#This Row],[INVERSIONES FCI]]-CZ328,Tabla5[[#This Row],[INVERSIONES FCI]])</f>
        <v>89568637572.53392</v>
      </c>
      <c r="DA329" s="5">
        <f>IF($B328&lt;=Tabla5[[#This Row],[INVERSIONES FCI]],+Tabla5[[#This Row],[INVERSIONES FCI]]-DA328,Tabla5[[#This Row],[INVERSIONES FCI]])</f>
        <v>89568637572.53392</v>
      </c>
      <c r="DB329" s="5">
        <f>IF($B328&lt;=Tabla5[[#This Row],[INVERSIONES FCI]],+Tabla5[[#This Row],[INVERSIONES FCI]]-DB328,Tabla5[[#This Row],[INVERSIONES FCI]])</f>
        <v>89568637572.53392</v>
      </c>
      <c r="DC329" s="5">
        <f>IF($B328&lt;=Tabla5[[#This Row],[INVERSIONES FCI]],+Tabla5[[#This Row],[INVERSIONES FCI]]-DC328,Tabla5[[#This Row],[INVERSIONES FCI]])</f>
        <v>89568637572.53392</v>
      </c>
      <c r="DD329" s="5">
        <f>IF($B328&lt;=Tabla5[[#This Row],[INVERSIONES FCI]],+Tabla5[[#This Row],[INVERSIONES FCI]]-DD328,Tabla5[[#This Row],[INVERSIONES FCI]])</f>
        <v>89568637572.53392</v>
      </c>
      <c r="DE329" s="5">
        <f>IF($B328&lt;=Tabla5[[#This Row],[INVERSIONES FCI]],+Tabla5[[#This Row],[INVERSIONES FCI]]-DE328,Tabla5[[#This Row],[INVERSIONES FCI]])</f>
        <v>89568637572.53392</v>
      </c>
      <c r="DF329" s="5">
        <f>IF($B328&lt;=Tabla5[[#This Row],[INVERSIONES FCI]],+Tabla5[[#This Row],[INVERSIONES FCI]]-DF328,Tabla5[[#This Row],[INVERSIONES FCI]])</f>
        <v>89568637572.53392</v>
      </c>
      <c r="DG329" s="5">
        <f>IF($B328&lt;=Tabla5[[#This Row],[INVERSIONES FCI]],+Tabla5[[#This Row],[INVERSIONES FCI]]-DG328,Tabla5[[#This Row],[INVERSIONES FCI]])</f>
        <v>89568637572.53392</v>
      </c>
      <c r="DH329" s="5">
        <f>IF($B328&lt;=Tabla5[[#This Row],[INVERSIONES FCI]],+Tabla5[[#This Row],[INVERSIONES FCI]]-DH328,Tabla5[[#This Row],[INVERSIONES FCI]])</f>
        <v>89568637572.53392</v>
      </c>
      <c r="DI329" s="5">
        <f>IF($B328&lt;=Tabla5[[#This Row],[INVERSIONES FCI]],+Tabla5[[#This Row],[INVERSIONES FCI]]-DI328,Tabla5[[#This Row],[INVERSIONES FCI]])</f>
        <v>89568637572.53392</v>
      </c>
      <c r="DJ329" s="5">
        <f>IF($B328&lt;=Tabla5[[#This Row],[INVERSIONES FCI]],+Tabla5[[#This Row],[INVERSIONES FCI]]-DJ328,Tabla5[[#This Row],[INVERSIONES FCI]])</f>
        <v>89568637572.53392</v>
      </c>
      <c r="DK329" s="5">
        <f>IF($B328&lt;=Tabla5[[#This Row],[INVERSIONES FCI]],+Tabla5[[#This Row],[INVERSIONES FCI]]-DK328,Tabla5[[#This Row],[INVERSIONES FCI]])</f>
        <v>89568637572.53392</v>
      </c>
      <c r="DL329" s="5"/>
      <c r="DM329" s="5"/>
      <c r="DN329" s="5"/>
      <c r="DO329" s="5"/>
      <c r="DP329" s="5"/>
      <c r="DQ329" s="5"/>
    </row>
    <row r="330" spans="1:121" ht="14.4">
      <c r="A330" s="12" t="s">
        <v>329</v>
      </c>
      <c r="B330" s="5">
        <f>HLOOKUP($A330,ESCENARIO[#All],7,FALSE)</f>
        <v>92895631172.451981</v>
      </c>
      <c r="C330" s="5">
        <f>IF($B329&lt;=Tabla5[[#This Row],[INVERSIONES FCI]],+Tabla5[[#This Row],[INVERSIONES FCI]]-C329,Tabla5[[#This Row],[INVERSIONES FCI]])</f>
        <v>3326993599.9180603</v>
      </c>
      <c r="D330" s="5">
        <f>IF($B329&lt;=Tabla5[[#This Row],[INVERSIONES FCI]],+Tabla5[[#This Row],[INVERSIONES FCI]]-D329,Tabla5[[#This Row],[INVERSIONES FCI]])</f>
        <v>3326993599.9180603</v>
      </c>
      <c r="E330" s="5">
        <f>IF($B329&lt;=Tabla5[[#This Row],[INVERSIONES FCI]],+Tabla5[[#This Row],[INVERSIONES FCI]]-E329,Tabla5[[#This Row],[INVERSIONES FCI]])</f>
        <v>3326993599.9180603</v>
      </c>
      <c r="F330" s="5">
        <f>IF($B329&lt;=Tabla5[[#This Row],[INVERSIONES FCI]],+Tabla5[[#This Row],[INVERSIONES FCI]]-F329,Tabla5[[#This Row],[INVERSIONES FCI]])</f>
        <v>3326993599.9180603</v>
      </c>
      <c r="G330" s="5">
        <f>IF($B329&lt;=Tabla5[[#This Row],[INVERSIONES FCI]],+Tabla5[[#This Row],[INVERSIONES FCI]]-G329,Tabla5[[#This Row],[INVERSIONES FCI]])</f>
        <v>3326993599.9180603</v>
      </c>
      <c r="H330" s="5">
        <f>IF($B329&lt;=Tabla5[[#This Row],[INVERSIONES FCI]],+Tabla5[[#This Row],[INVERSIONES FCI]]-H329,Tabla5[[#This Row],[INVERSIONES FCI]])</f>
        <v>3326993599.9180603</v>
      </c>
      <c r="I330" s="5">
        <f>IF($B329&lt;=Tabla5[[#This Row],[INVERSIONES FCI]],+Tabla5[[#This Row],[INVERSIONES FCI]]-I329,Tabla5[[#This Row],[INVERSIONES FCI]])</f>
        <v>3326993599.9180603</v>
      </c>
      <c r="J330" s="5">
        <f>IF($B329&lt;=Tabla5[[#This Row],[INVERSIONES FCI]],+Tabla5[[#This Row],[INVERSIONES FCI]]-J329,Tabla5[[#This Row],[INVERSIONES FCI]])</f>
        <v>3326993599.9180603</v>
      </c>
      <c r="K330" s="5">
        <f>IF($B329&lt;=Tabla5[[#This Row],[INVERSIONES FCI]],+Tabla5[[#This Row],[INVERSIONES FCI]]-K329,Tabla5[[#This Row],[INVERSIONES FCI]])</f>
        <v>3326993599.9180603</v>
      </c>
      <c r="L330" s="5">
        <f>IF($B329&lt;=Tabla5[[#This Row],[INVERSIONES FCI]],+Tabla5[[#This Row],[INVERSIONES FCI]]-L329,Tabla5[[#This Row],[INVERSIONES FCI]])</f>
        <v>3326993599.9180603</v>
      </c>
      <c r="M330" s="5">
        <f>IF($B329&lt;=Tabla5[[#This Row],[INVERSIONES FCI]],+Tabla5[[#This Row],[INVERSIONES FCI]]-M329,Tabla5[[#This Row],[INVERSIONES FCI]])</f>
        <v>3326993599.9180603</v>
      </c>
      <c r="N330" s="5">
        <f>IF($B329&lt;=Tabla5[[#This Row],[INVERSIONES FCI]],+Tabla5[[#This Row],[INVERSIONES FCI]]-N329,Tabla5[[#This Row],[INVERSIONES FCI]])</f>
        <v>3326993599.9180603</v>
      </c>
      <c r="O330" s="5">
        <f>IF($B329&lt;=Tabla5[[#This Row],[INVERSIONES FCI]],+Tabla5[[#This Row],[INVERSIONES FCI]]-O329,Tabla5[[#This Row],[INVERSIONES FCI]])</f>
        <v>3326993599.9180603</v>
      </c>
      <c r="P330" s="5">
        <f>IF($B329&lt;=Tabla5[[#This Row],[INVERSIONES FCI]],+Tabla5[[#This Row],[INVERSIONES FCI]]-P329,Tabla5[[#This Row],[INVERSIONES FCI]])</f>
        <v>3326993599.9180603</v>
      </c>
      <c r="Q330" s="5">
        <f>IF($B329&lt;=Tabla5[[#This Row],[INVERSIONES FCI]],+Tabla5[[#This Row],[INVERSIONES FCI]]-Q329,Tabla5[[#This Row],[INVERSIONES FCI]])</f>
        <v>3326993599.9180603</v>
      </c>
      <c r="R330" s="5">
        <f>IF($B329&lt;=Tabla5[[#This Row],[INVERSIONES FCI]],+Tabla5[[#This Row],[INVERSIONES FCI]]-R329,Tabla5[[#This Row],[INVERSIONES FCI]])</f>
        <v>3326993599.9180603</v>
      </c>
      <c r="S330" s="5">
        <f>IF($B329&lt;=Tabla5[[#This Row],[INVERSIONES FCI]],+Tabla5[[#This Row],[INVERSIONES FCI]]-S329,Tabla5[[#This Row],[INVERSIONES FCI]])</f>
        <v>3326993599.9180603</v>
      </c>
      <c r="T330" s="5">
        <f>IF($B329&lt;=Tabla5[[#This Row],[INVERSIONES FCI]],+Tabla5[[#This Row],[INVERSIONES FCI]]-T329,Tabla5[[#This Row],[INVERSIONES FCI]])</f>
        <v>3326993599.9180603</v>
      </c>
      <c r="U330" s="5">
        <f>IF($B329&lt;=Tabla5[[#This Row],[INVERSIONES FCI]],+Tabla5[[#This Row],[INVERSIONES FCI]]-U329,Tabla5[[#This Row],[INVERSIONES FCI]])</f>
        <v>3326993599.9180603</v>
      </c>
      <c r="V330" s="5">
        <f>IF($B329&lt;=Tabla5[[#This Row],[INVERSIONES FCI]],+Tabla5[[#This Row],[INVERSIONES FCI]]-V329,Tabla5[[#This Row],[INVERSIONES FCI]])</f>
        <v>3326993599.9180603</v>
      </c>
      <c r="W330" s="5">
        <f>IF($B329&lt;=Tabla5[[#This Row],[INVERSIONES FCI]],+Tabla5[[#This Row],[INVERSIONES FCI]]-W329,Tabla5[[#This Row],[INVERSIONES FCI]])</f>
        <v>3326993599.9180603</v>
      </c>
      <c r="X330" s="5">
        <f>IF($B329&lt;=Tabla5[[#This Row],[INVERSIONES FCI]],+Tabla5[[#This Row],[INVERSIONES FCI]]-X329,Tabla5[[#This Row],[INVERSIONES FCI]])</f>
        <v>3326993599.9180603</v>
      </c>
      <c r="Y330" s="5">
        <f>IF($B329&lt;=Tabla5[[#This Row],[INVERSIONES FCI]],+Tabla5[[#This Row],[INVERSIONES FCI]]-Y329,Tabla5[[#This Row],[INVERSIONES FCI]])</f>
        <v>3326993599.9180603</v>
      </c>
      <c r="Z330" s="5">
        <f>IF($B329&lt;=Tabla5[[#This Row],[INVERSIONES FCI]],+Tabla5[[#This Row],[INVERSIONES FCI]]-Z329,Tabla5[[#This Row],[INVERSIONES FCI]])</f>
        <v>3326993599.9180603</v>
      </c>
      <c r="AA330" s="5">
        <f>IF($B329&lt;=Tabla5[[#This Row],[INVERSIONES FCI]],+Tabla5[[#This Row],[INVERSIONES FCI]]-AA329,Tabla5[[#This Row],[INVERSIONES FCI]])</f>
        <v>3326993599.9180603</v>
      </c>
      <c r="AB330" s="5">
        <f>IF($B329&lt;=Tabla5[[#This Row],[INVERSIONES FCI]],+Tabla5[[#This Row],[INVERSIONES FCI]]-AB329,Tabla5[[#This Row],[INVERSIONES FCI]])</f>
        <v>3326993599.9180603</v>
      </c>
      <c r="AC330" s="5">
        <f>IF($B329&lt;=Tabla5[[#This Row],[INVERSIONES FCI]],+Tabla5[[#This Row],[INVERSIONES FCI]]-AC329,Tabla5[[#This Row],[INVERSIONES FCI]])</f>
        <v>3326993599.9180603</v>
      </c>
      <c r="AD330" s="5">
        <f>IF($B329&lt;=Tabla5[[#This Row],[INVERSIONES FCI]],+Tabla5[[#This Row],[INVERSIONES FCI]]-AD329,Tabla5[[#This Row],[INVERSIONES FCI]])</f>
        <v>3326993599.9180603</v>
      </c>
      <c r="AE330" s="5">
        <f>IF($B329&lt;=Tabla5[[#This Row],[INVERSIONES FCI]],+Tabla5[[#This Row],[INVERSIONES FCI]]-AE329,Tabla5[[#This Row],[INVERSIONES FCI]])</f>
        <v>3326993599.9180603</v>
      </c>
      <c r="AF330" s="5">
        <f>IF($B329&lt;=Tabla5[[#This Row],[INVERSIONES FCI]],+Tabla5[[#This Row],[INVERSIONES FCI]]-AF329,Tabla5[[#This Row],[INVERSIONES FCI]])</f>
        <v>3326993599.9180603</v>
      </c>
      <c r="AG330" s="5">
        <f>IF($B329&lt;=Tabla5[[#This Row],[INVERSIONES FCI]],+Tabla5[[#This Row],[INVERSIONES FCI]]-AG329,Tabla5[[#This Row],[INVERSIONES FCI]])</f>
        <v>3326993599.9180603</v>
      </c>
      <c r="AH330" s="5">
        <f>IF($B329&lt;=Tabla5[[#This Row],[INVERSIONES FCI]],+Tabla5[[#This Row],[INVERSIONES FCI]]-AH329,Tabla5[[#This Row],[INVERSIONES FCI]])</f>
        <v>3326993599.9180603</v>
      </c>
      <c r="AI330" s="5">
        <f>IF($B329&lt;=Tabla5[[#This Row],[INVERSIONES FCI]],+Tabla5[[#This Row],[INVERSIONES FCI]]-AI329,Tabla5[[#This Row],[INVERSIONES FCI]])</f>
        <v>3326993599.9180603</v>
      </c>
      <c r="AJ330" s="5">
        <f>IF($B329&lt;=Tabla5[[#This Row],[INVERSIONES FCI]],+Tabla5[[#This Row],[INVERSIONES FCI]]-AJ329,Tabla5[[#This Row],[INVERSIONES FCI]])</f>
        <v>3326993599.9180603</v>
      </c>
      <c r="AK330" s="5">
        <f>IF($B329&lt;=Tabla5[[#This Row],[INVERSIONES FCI]],+Tabla5[[#This Row],[INVERSIONES FCI]]-AK329,Tabla5[[#This Row],[INVERSIONES FCI]])</f>
        <v>3326993599.9180603</v>
      </c>
      <c r="AL330" s="5">
        <f>IF($B329&lt;=Tabla5[[#This Row],[INVERSIONES FCI]],+Tabla5[[#This Row],[INVERSIONES FCI]]-AL329,Tabla5[[#This Row],[INVERSIONES FCI]])</f>
        <v>3326993599.9180603</v>
      </c>
      <c r="AM330" s="5">
        <f>IF($B329&lt;=Tabla5[[#This Row],[INVERSIONES FCI]],+Tabla5[[#This Row],[INVERSIONES FCI]]-AM329,Tabla5[[#This Row],[INVERSIONES FCI]])</f>
        <v>3326993599.9180603</v>
      </c>
      <c r="AN330" s="5">
        <f>IF($B329&lt;=Tabla5[[#This Row],[INVERSIONES FCI]],+Tabla5[[#This Row],[INVERSIONES FCI]]-AN329,Tabla5[[#This Row],[INVERSIONES FCI]])</f>
        <v>3326993599.9180603</v>
      </c>
      <c r="AO330" s="5">
        <f>IF($B329&lt;=Tabla5[[#This Row],[INVERSIONES FCI]],+Tabla5[[#This Row],[INVERSIONES FCI]]-AO329,Tabla5[[#This Row],[INVERSIONES FCI]])</f>
        <v>3326993599.9180603</v>
      </c>
      <c r="AP330" s="5">
        <f>IF($B329&lt;=Tabla5[[#This Row],[INVERSIONES FCI]],+Tabla5[[#This Row],[INVERSIONES FCI]]-AP329,Tabla5[[#This Row],[INVERSIONES FCI]])</f>
        <v>3326993599.9180603</v>
      </c>
      <c r="AQ330" s="5">
        <f>IF($B329&lt;=Tabla5[[#This Row],[INVERSIONES FCI]],+Tabla5[[#This Row],[INVERSIONES FCI]]-AQ329,Tabla5[[#This Row],[INVERSIONES FCI]])</f>
        <v>3326993599.9180603</v>
      </c>
      <c r="AR330" s="5">
        <f>IF($B329&lt;=Tabla5[[#This Row],[INVERSIONES FCI]],+Tabla5[[#This Row],[INVERSIONES FCI]]-AR329,Tabla5[[#This Row],[INVERSIONES FCI]])</f>
        <v>3326993599.9180603</v>
      </c>
      <c r="AS330" s="5">
        <f>IF($B329&lt;=Tabla5[[#This Row],[INVERSIONES FCI]],+Tabla5[[#This Row],[INVERSIONES FCI]]-AS329,Tabla5[[#This Row],[INVERSIONES FCI]])</f>
        <v>3326993599.9180603</v>
      </c>
      <c r="AT330" s="5">
        <f>IF($B329&lt;=Tabla5[[#This Row],[INVERSIONES FCI]],+Tabla5[[#This Row],[INVERSIONES FCI]]-AT329,Tabla5[[#This Row],[INVERSIONES FCI]])</f>
        <v>3326993599.9180603</v>
      </c>
      <c r="AU330" s="5">
        <f>IF($B329&lt;=Tabla5[[#This Row],[INVERSIONES FCI]],+Tabla5[[#This Row],[INVERSIONES FCI]]-AU329,Tabla5[[#This Row],[INVERSIONES FCI]])</f>
        <v>3326993599.9180603</v>
      </c>
      <c r="AV330" s="5">
        <f>IF($B329&lt;=Tabla5[[#This Row],[INVERSIONES FCI]],+Tabla5[[#This Row],[INVERSIONES FCI]]-AV329,Tabla5[[#This Row],[INVERSIONES FCI]])</f>
        <v>3326993599.9180603</v>
      </c>
      <c r="AW330" s="5">
        <f>IF($B329&lt;=Tabla5[[#This Row],[INVERSIONES FCI]],+Tabla5[[#This Row],[INVERSIONES FCI]]-AW329,Tabla5[[#This Row],[INVERSIONES FCI]])</f>
        <v>3326993599.9180603</v>
      </c>
      <c r="AX330" s="5">
        <f>IF($B329&lt;=Tabla5[[#This Row],[INVERSIONES FCI]],+Tabla5[[#This Row],[INVERSIONES FCI]]-AX329,Tabla5[[#This Row],[INVERSIONES FCI]])</f>
        <v>3326993599.9180603</v>
      </c>
      <c r="AY330" s="5">
        <f>IF($B329&lt;=Tabla5[[#This Row],[INVERSIONES FCI]],+Tabla5[[#This Row],[INVERSIONES FCI]]-AY329,Tabla5[[#This Row],[INVERSIONES FCI]])</f>
        <v>3326993599.9180603</v>
      </c>
      <c r="AZ330" s="5">
        <f>IF($B329&lt;=Tabla5[[#This Row],[INVERSIONES FCI]],+Tabla5[[#This Row],[INVERSIONES FCI]]-AZ329,Tabla5[[#This Row],[INVERSIONES FCI]])</f>
        <v>3326993599.9180603</v>
      </c>
      <c r="BA330" s="5">
        <f>IF($B329&lt;=Tabla5[[#This Row],[INVERSIONES FCI]],+Tabla5[[#This Row],[INVERSIONES FCI]]-BA329,Tabla5[[#This Row],[INVERSIONES FCI]])</f>
        <v>3326993599.9180603</v>
      </c>
      <c r="BB330" s="5">
        <f>IF($B329&lt;=Tabla5[[#This Row],[INVERSIONES FCI]],+Tabla5[[#This Row],[INVERSIONES FCI]]-BB329,Tabla5[[#This Row],[INVERSIONES FCI]])</f>
        <v>3326993599.9180603</v>
      </c>
      <c r="BC330" s="5">
        <f>IF($B329&lt;=Tabla5[[#This Row],[INVERSIONES FCI]],+Tabla5[[#This Row],[INVERSIONES FCI]]-BC329,Tabla5[[#This Row],[INVERSIONES FCI]])</f>
        <v>3326993599.9180603</v>
      </c>
      <c r="BD330" s="5">
        <f>IF($B329&lt;=Tabla5[[#This Row],[INVERSIONES FCI]],+Tabla5[[#This Row],[INVERSIONES FCI]]-BD329,Tabla5[[#This Row],[INVERSIONES FCI]])</f>
        <v>3326993599.9180603</v>
      </c>
      <c r="BE330" s="5">
        <f>IF($B329&lt;=Tabla5[[#This Row],[INVERSIONES FCI]],+Tabla5[[#This Row],[INVERSIONES FCI]]-BE329,Tabla5[[#This Row],[INVERSIONES FCI]])</f>
        <v>3326993599.9180603</v>
      </c>
      <c r="BF330" s="5">
        <f>IF($B329&lt;=Tabla5[[#This Row],[INVERSIONES FCI]],+Tabla5[[#This Row],[INVERSIONES FCI]]-BF329,Tabla5[[#This Row],[INVERSIONES FCI]])</f>
        <v>3326993599.9180603</v>
      </c>
      <c r="BG330" s="5">
        <f>IF($B329&lt;=Tabla5[[#This Row],[INVERSIONES FCI]],+Tabla5[[#This Row],[INVERSIONES FCI]]-BG329,Tabla5[[#This Row],[INVERSIONES FCI]])</f>
        <v>3326993599.9180603</v>
      </c>
      <c r="BH330" s="5">
        <f>IF($B329&lt;=Tabla5[[#This Row],[INVERSIONES FCI]],+Tabla5[[#This Row],[INVERSIONES FCI]]-BH329,Tabla5[[#This Row],[INVERSIONES FCI]])</f>
        <v>3326993599.9180603</v>
      </c>
      <c r="BI330" s="5">
        <f>IF($B329&lt;=Tabla5[[#This Row],[INVERSIONES FCI]],+Tabla5[[#This Row],[INVERSIONES FCI]]-BI329,Tabla5[[#This Row],[INVERSIONES FCI]])</f>
        <v>3326993599.9180603</v>
      </c>
      <c r="BJ330" s="5">
        <f>IF($B329&lt;=Tabla5[[#This Row],[INVERSIONES FCI]],+Tabla5[[#This Row],[INVERSIONES FCI]]-BJ329,Tabla5[[#This Row],[INVERSIONES FCI]])</f>
        <v>3326993599.9180603</v>
      </c>
      <c r="BK330" s="5">
        <f>IF($B329&lt;=Tabla5[[#This Row],[INVERSIONES FCI]],+Tabla5[[#This Row],[INVERSIONES FCI]]-BK329,Tabla5[[#This Row],[INVERSIONES FCI]])</f>
        <v>3326993599.9180603</v>
      </c>
      <c r="BL330" s="5">
        <f>IF($B329&lt;=Tabla5[[#This Row],[INVERSIONES FCI]],+Tabla5[[#This Row],[INVERSIONES FCI]]-BL329,Tabla5[[#This Row],[INVERSIONES FCI]])</f>
        <v>3326993599.9180603</v>
      </c>
      <c r="BM330" s="5">
        <f>IF($B329&lt;=Tabla5[[#This Row],[INVERSIONES FCI]],+Tabla5[[#This Row],[INVERSIONES FCI]]-BM329,Tabla5[[#This Row],[INVERSIONES FCI]])</f>
        <v>3326993599.9180603</v>
      </c>
      <c r="BN330" s="5">
        <f>IF($B329&lt;=Tabla5[[#This Row],[INVERSIONES FCI]],+Tabla5[[#This Row],[INVERSIONES FCI]]-BN329,Tabla5[[#This Row],[INVERSIONES FCI]])</f>
        <v>3326993599.9180603</v>
      </c>
      <c r="BO330" s="5">
        <f>IF($B329&lt;=Tabla5[[#This Row],[INVERSIONES FCI]],+Tabla5[[#This Row],[INVERSIONES FCI]]-BO329,Tabla5[[#This Row],[INVERSIONES FCI]])</f>
        <v>3326993599.9180603</v>
      </c>
      <c r="BP330" s="5">
        <f>IF($B329&lt;=Tabla5[[#This Row],[INVERSIONES FCI]],+Tabla5[[#This Row],[INVERSIONES FCI]]-BP329,Tabla5[[#This Row],[INVERSIONES FCI]])</f>
        <v>3326993599.9180603</v>
      </c>
      <c r="BQ330" s="5">
        <f>IF($B329&lt;=Tabla5[[#This Row],[INVERSIONES FCI]],+Tabla5[[#This Row],[INVERSIONES FCI]]-BQ329,Tabla5[[#This Row],[INVERSIONES FCI]])</f>
        <v>3326993599.9180603</v>
      </c>
      <c r="BR330" s="5">
        <f>IF($B329&lt;=Tabla5[[#This Row],[INVERSIONES FCI]],+Tabla5[[#This Row],[INVERSIONES FCI]]-BR329,Tabla5[[#This Row],[INVERSIONES FCI]])</f>
        <v>3326993599.9180603</v>
      </c>
      <c r="BS330" s="5">
        <f>IF($B329&lt;=Tabla5[[#This Row],[INVERSIONES FCI]],+Tabla5[[#This Row],[INVERSIONES FCI]]-BS329,Tabla5[[#This Row],[INVERSIONES FCI]])</f>
        <v>3326993599.9180603</v>
      </c>
      <c r="BT330" s="5">
        <f>IF($B329&lt;=Tabla5[[#This Row],[INVERSIONES FCI]],+Tabla5[[#This Row],[INVERSIONES FCI]]-BT329,Tabla5[[#This Row],[INVERSIONES FCI]])</f>
        <v>3326993599.9180603</v>
      </c>
      <c r="BU330" s="5">
        <f>IF($B329&lt;=Tabla5[[#This Row],[INVERSIONES FCI]],+Tabla5[[#This Row],[INVERSIONES FCI]]-BU329,Tabla5[[#This Row],[INVERSIONES FCI]])</f>
        <v>3326993599.9180603</v>
      </c>
      <c r="BV330" s="5">
        <f>IF($B329&lt;=Tabla5[[#This Row],[INVERSIONES FCI]],+Tabla5[[#This Row],[INVERSIONES FCI]]-BV329,Tabla5[[#This Row],[INVERSIONES FCI]])</f>
        <v>3326993599.9180603</v>
      </c>
      <c r="BW330" s="5">
        <f>IF($B329&lt;=Tabla5[[#This Row],[INVERSIONES FCI]],+Tabla5[[#This Row],[INVERSIONES FCI]]-BW329,Tabla5[[#This Row],[INVERSIONES FCI]])</f>
        <v>3326993599.9180603</v>
      </c>
      <c r="BX330" s="5">
        <f>IF($B329&lt;=Tabla5[[#This Row],[INVERSIONES FCI]],+Tabla5[[#This Row],[INVERSIONES FCI]]-BX329,Tabla5[[#This Row],[INVERSIONES FCI]])</f>
        <v>3326993599.9180603</v>
      </c>
      <c r="BY330" s="5">
        <f>IF($B329&lt;=Tabla5[[#This Row],[INVERSIONES FCI]],+Tabla5[[#This Row],[INVERSIONES FCI]]-BY329,Tabla5[[#This Row],[INVERSIONES FCI]])</f>
        <v>3326993599.9180603</v>
      </c>
      <c r="BZ330" s="5">
        <f>IF($B329&lt;=Tabla5[[#This Row],[INVERSIONES FCI]],+Tabla5[[#This Row],[INVERSIONES FCI]]-BZ329,Tabla5[[#This Row],[INVERSIONES FCI]])</f>
        <v>3326993599.9180603</v>
      </c>
      <c r="CA330" s="5">
        <f>IF($B329&lt;=Tabla5[[#This Row],[INVERSIONES FCI]],+Tabla5[[#This Row],[INVERSIONES FCI]]-CA329,Tabla5[[#This Row],[INVERSIONES FCI]])</f>
        <v>3326993599.9180603</v>
      </c>
      <c r="CB330" s="5">
        <f>IF($B329&lt;=Tabla5[[#This Row],[INVERSIONES FCI]],+Tabla5[[#This Row],[INVERSIONES FCI]]-CB329,Tabla5[[#This Row],[INVERSIONES FCI]])</f>
        <v>3326993599.9180603</v>
      </c>
      <c r="CC330" s="5">
        <f>IF($B329&lt;=Tabla5[[#This Row],[INVERSIONES FCI]],+Tabla5[[#This Row],[INVERSIONES FCI]]-CC329,Tabla5[[#This Row],[INVERSIONES FCI]])</f>
        <v>3326993599.9180603</v>
      </c>
      <c r="CD330" s="5">
        <f>IF($B329&lt;=Tabla5[[#This Row],[INVERSIONES FCI]],+Tabla5[[#This Row],[INVERSIONES FCI]]-CD329,Tabla5[[#This Row],[INVERSIONES FCI]])</f>
        <v>3326993599.9180603</v>
      </c>
      <c r="CE330" s="5">
        <f>IF($B329&lt;=Tabla5[[#This Row],[INVERSIONES FCI]],+Tabla5[[#This Row],[INVERSIONES FCI]]-CE329,Tabla5[[#This Row],[INVERSIONES FCI]])</f>
        <v>3326993599.9180603</v>
      </c>
      <c r="CF330" s="5">
        <f>IF($B329&lt;=Tabla5[[#This Row],[INVERSIONES FCI]],+Tabla5[[#This Row],[INVERSIONES FCI]]-CF329,Tabla5[[#This Row],[INVERSIONES FCI]])</f>
        <v>3326993599.9180603</v>
      </c>
      <c r="CG330" s="5">
        <f>IF($B329&lt;=Tabla5[[#This Row],[INVERSIONES FCI]],+Tabla5[[#This Row],[INVERSIONES FCI]]-CG329,Tabla5[[#This Row],[INVERSIONES FCI]])</f>
        <v>3326993599.9180603</v>
      </c>
      <c r="CH330" s="5">
        <f>IF($B329&lt;=Tabla5[[#This Row],[INVERSIONES FCI]],+Tabla5[[#This Row],[INVERSIONES FCI]]-CH329,Tabla5[[#This Row],[INVERSIONES FCI]])</f>
        <v>3326993599.9180603</v>
      </c>
      <c r="CI330" s="5">
        <f>IF($B329&lt;=Tabla5[[#This Row],[INVERSIONES FCI]],+Tabla5[[#This Row],[INVERSIONES FCI]]-CI329,Tabla5[[#This Row],[INVERSIONES FCI]])</f>
        <v>3326993599.9180603</v>
      </c>
      <c r="CJ330" s="5">
        <f>IF($B329&lt;=Tabla5[[#This Row],[INVERSIONES FCI]],+Tabla5[[#This Row],[INVERSIONES FCI]]-CJ329,Tabla5[[#This Row],[INVERSIONES FCI]])</f>
        <v>3326993599.9180603</v>
      </c>
      <c r="CK330" s="5">
        <f>IF($B329&lt;=Tabla5[[#This Row],[INVERSIONES FCI]],+Tabla5[[#This Row],[INVERSIONES FCI]]-CK329,Tabla5[[#This Row],[INVERSIONES FCI]])</f>
        <v>3326993599.9180603</v>
      </c>
      <c r="CL330" s="5">
        <f>IF($B329&lt;=Tabla5[[#This Row],[INVERSIONES FCI]],+Tabla5[[#This Row],[INVERSIONES FCI]]-CL329,Tabla5[[#This Row],[INVERSIONES FCI]])</f>
        <v>3326993599.9180603</v>
      </c>
      <c r="CM330" s="5">
        <f>IF($B329&lt;=Tabla5[[#This Row],[INVERSIONES FCI]],+Tabla5[[#This Row],[INVERSIONES FCI]]-CM329,Tabla5[[#This Row],[INVERSIONES FCI]])</f>
        <v>3326993599.9180603</v>
      </c>
      <c r="CN330" s="5">
        <f>IF($B329&lt;=Tabla5[[#This Row],[INVERSIONES FCI]],+Tabla5[[#This Row],[INVERSIONES FCI]]-CN329,Tabla5[[#This Row],[INVERSIONES FCI]])</f>
        <v>3326993599.9180603</v>
      </c>
      <c r="CO330" s="5">
        <f>IF($B329&lt;=Tabla5[[#This Row],[INVERSIONES FCI]],+Tabla5[[#This Row],[INVERSIONES FCI]]-CO329,Tabla5[[#This Row],[INVERSIONES FCI]])</f>
        <v>3326993599.9180603</v>
      </c>
      <c r="CP330" s="5">
        <f>IF($B329&lt;=Tabla5[[#This Row],[INVERSIONES FCI]],+Tabla5[[#This Row],[INVERSIONES FCI]]-CP329,Tabla5[[#This Row],[INVERSIONES FCI]])</f>
        <v>3326993599.9180603</v>
      </c>
      <c r="CQ330" s="5">
        <f>IF($B329&lt;=Tabla5[[#This Row],[INVERSIONES FCI]],+Tabla5[[#This Row],[INVERSIONES FCI]]-CQ329,Tabla5[[#This Row],[INVERSIONES FCI]])</f>
        <v>3326993599.9180603</v>
      </c>
      <c r="CR330" s="5">
        <f>IF($B329&lt;=Tabla5[[#This Row],[INVERSIONES FCI]],+Tabla5[[#This Row],[INVERSIONES FCI]]-CR329,Tabla5[[#This Row],[INVERSIONES FCI]])</f>
        <v>3326993599.9180603</v>
      </c>
      <c r="CS330" s="5">
        <f>IF($B329&lt;=Tabla5[[#This Row],[INVERSIONES FCI]],+Tabla5[[#This Row],[INVERSIONES FCI]]-CS329,Tabla5[[#This Row],[INVERSIONES FCI]])</f>
        <v>3326993599.9180603</v>
      </c>
      <c r="CT330" s="5">
        <f>IF($B329&lt;=Tabla5[[#This Row],[INVERSIONES FCI]],+Tabla5[[#This Row],[INVERSIONES FCI]]-CT329,Tabla5[[#This Row],[INVERSIONES FCI]])</f>
        <v>3326993599.9180603</v>
      </c>
      <c r="CU330" s="5">
        <f>IF($B329&lt;=Tabla5[[#This Row],[INVERSIONES FCI]],+Tabla5[[#This Row],[INVERSIONES FCI]]-CU329,Tabla5[[#This Row],[INVERSIONES FCI]])</f>
        <v>3326993599.9180603</v>
      </c>
      <c r="CV330" s="5">
        <f>IF($B329&lt;=Tabla5[[#This Row],[INVERSIONES FCI]],+Tabla5[[#This Row],[INVERSIONES FCI]]-CV329,Tabla5[[#This Row],[INVERSIONES FCI]])</f>
        <v>3326993599.9180603</v>
      </c>
      <c r="CW330" s="5">
        <f>IF($B329&lt;=Tabla5[[#This Row],[INVERSIONES FCI]],+Tabla5[[#This Row],[INVERSIONES FCI]]-CW329,Tabla5[[#This Row],[INVERSIONES FCI]])</f>
        <v>3326993599.9180603</v>
      </c>
      <c r="CX330" s="5">
        <f>IF($B329&lt;=Tabla5[[#This Row],[INVERSIONES FCI]],+Tabla5[[#This Row],[INVERSIONES FCI]]-CX329,Tabla5[[#This Row],[INVERSIONES FCI]])</f>
        <v>3326993599.9180603</v>
      </c>
      <c r="CY330" s="5">
        <f>IF($B329&lt;=Tabla5[[#This Row],[INVERSIONES FCI]],+Tabla5[[#This Row],[INVERSIONES FCI]]-CY329,Tabla5[[#This Row],[INVERSIONES FCI]])</f>
        <v>3326993599.9180603</v>
      </c>
      <c r="CZ330" s="5">
        <f>IF($B329&lt;=Tabla5[[#This Row],[INVERSIONES FCI]],+Tabla5[[#This Row],[INVERSIONES FCI]]-CZ329,Tabla5[[#This Row],[INVERSIONES FCI]])</f>
        <v>3326993599.9180603</v>
      </c>
      <c r="DA330" s="5">
        <f>IF($B329&lt;=Tabla5[[#This Row],[INVERSIONES FCI]],+Tabla5[[#This Row],[INVERSIONES FCI]]-DA329,Tabla5[[#This Row],[INVERSIONES FCI]])</f>
        <v>3326993599.9180603</v>
      </c>
      <c r="DB330" s="5">
        <f>IF($B329&lt;=Tabla5[[#This Row],[INVERSIONES FCI]],+Tabla5[[#This Row],[INVERSIONES FCI]]-DB329,Tabla5[[#This Row],[INVERSIONES FCI]])</f>
        <v>3326993599.9180603</v>
      </c>
      <c r="DC330" s="5">
        <f>IF($B329&lt;=Tabla5[[#This Row],[INVERSIONES FCI]],+Tabla5[[#This Row],[INVERSIONES FCI]]-DC329,Tabla5[[#This Row],[INVERSIONES FCI]])</f>
        <v>3326993599.9180603</v>
      </c>
      <c r="DD330" s="5">
        <f>IF($B329&lt;=Tabla5[[#This Row],[INVERSIONES FCI]],+Tabla5[[#This Row],[INVERSIONES FCI]]-DD329,Tabla5[[#This Row],[INVERSIONES FCI]])</f>
        <v>3326993599.9180603</v>
      </c>
      <c r="DE330" s="5">
        <f>IF($B329&lt;=Tabla5[[#This Row],[INVERSIONES FCI]],+Tabla5[[#This Row],[INVERSIONES FCI]]-DE329,Tabla5[[#This Row],[INVERSIONES FCI]])</f>
        <v>3326993599.9180603</v>
      </c>
      <c r="DF330" s="5">
        <f>IF($B329&lt;=Tabla5[[#This Row],[INVERSIONES FCI]],+Tabla5[[#This Row],[INVERSIONES FCI]]-DF329,Tabla5[[#This Row],[INVERSIONES FCI]])</f>
        <v>3326993599.9180603</v>
      </c>
      <c r="DG330" s="5">
        <f>IF($B329&lt;=Tabla5[[#This Row],[INVERSIONES FCI]],+Tabla5[[#This Row],[INVERSIONES FCI]]-DG329,Tabla5[[#This Row],[INVERSIONES FCI]])</f>
        <v>3326993599.9180603</v>
      </c>
      <c r="DH330" s="5">
        <f>IF($B329&lt;=Tabla5[[#This Row],[INVERSIONES FCI]],+Tabla5[[#This Row],[INVERSIONES FCI]]-DH329,Tabla5[[#This Row],[INVERSIONES FCI]])</f>
        <v>3326993599.9180603</v>
      </c>
      <c r="DI330" s="5">
        <f>IF($B329&lt;=Tabla5[[#This Row],[INVERSIONES FCI]],+Tabla5[[#This Row],[INVERSIONES FCI]]-DI329,Tabla5[[#This Row],[INVERSIONES FCI]])</f>
        <v>3326993599.9180603</v>
      </c>
      <c r="DJ330" s="5">
        <f>IF($B329&lt;=Tabla5[[#This Row],[INVERSIONES FCI]],+Tabla5[[#This Row],[INVERSIONES FCI]]-DJ329,Tabla5[[#This Row],[INVERSIONES FCI]])</f>
        <v>3326993599.9180603</v>
      </c>
      <c r="DK330" s="5">
        <f>IF($B329&lt;=Tabla5[[#This Row],[INVERSIONES FCI]],+Tabla5[[#This Row],[INVERSIONES FCI]]-DK329,Tabla5[[#This Row],[INVERSIONES FCI]])</f>
        <v>3326993599.9180603</v>
      </c>
      <c r="DL330" s="5"/>
      <c r="DM330" s="5"/>
      <c r="DN330" s="5"/>
      <c r="DO330" s="5"/>
      <c r="DP330" s="5"/>
      <c r="DQ330" s="5"/>
    </row>
    <row r="331" spans="1:121" ht="14.4">
      <c r="A331" s="12" t="s">
        <v>330</v>
      </c>
      <c r="B331" s="5">
        <f>HLOOKUP($A331,ESCENARIO[#All],7,FALSE)</f>
        <v>92895631172.451981</v>
      </c>
      <c r="C331" s="5">
        <f>IF($B330&lt;=Tabla5[[#This Row],[INVERSIONES FCI]],+Tabla5[[#This Row],[INVERSIONES FCI]]-C330,Tabla5[[#This Row],[INVERSIONES FCI]])</f>
        <v>89568637572.53392</v>
      </c>
      <c r="D331" s="5">
        <f>IF($B330&lt;=Tabla5[[#This Row],[INVERSIONES FCI]],+Tabla5[[#This Row],[INVERSIONES FCI]]-D330,Tabla5[[#This Row],[INVERSIONES FCI]])</f>
        <v>89568637572.53392</v>
      </c>
      <c r="E331" s="5">
        <f>IF($B330&lt;=Tabla5[[#This Row],[INVERSIONES FCI]],+Tabla5[[#This Row],[INVERSIONES FCI]]-E330,Tabla5[[#This Row],[INVERSIONES FCI]])</f>
        <v>89568637572.53392</v>
      </c>
      <c r="F331" s="5">
        <f>IF($B330&lt;=Tabla5[[#This Row],[INVERSIONES FCI]],+Tabla5[[#This Row],[INVERSIONES FCI]]-F330,Tabla5[[#This Row],[INVERSIONES FCI]])</f>
        <v>89568637572.53392</v>
      </c>
      <c r="G331" s="5">
        <f>IF($B330&lt;=Tabla5[[#This Row],[INVERSIONES FCI]],+Tabla5[[#This Row],[INVERSIONES FCI]]-G330,Tabla5[[#This Row],[INVERSIONES FCI]])</f>
        <v>89568637572.53392</v>
      </c>
      <c r="H331" s="5">
        <f>IF($B330&lt;=Tabla5[[#This Row],[INVERSIONES FCI]],+Tabla5[[#This Row],[INVERSIONES FCI]]-H330,Tabla5[[#This Row],[INVERSIONES FCI]])</f>
        <v>89568637572.53392</v>
      </c>
      <c r="I331" s="5">
        <f>IF($B330&lt;=Tabla5[[#This Row],[INVERSIONES FCI]],+Tabla5[[#This Row],[INVERSIONES FCI]]-I330,Tabla5[[#This Row],[INVERSIONES FCI]])</f>
        <v>89568637572.53392</v>
      </c>
      <c r="J331" s="5">
        <f>IF($B330&lt;=Tabla5[[#This Row],[INVERSIONES FCI]],+Tabla5[[#This Row],[INVERSIONES FCI]]-J330,Tabla5[[#This Row],[INVERSIONES FCI]])</f>
        <v>89568637572.53392</v>
      </c>
      <c r="K331" s="5">
        <f>IF($B330&lt;=Tabla5[[#This Row],[INVERSIONES FCI]],+Tabla5[[#This Row],[INVERSIONES FCI]]-K330,Tabla5[[#This Row],[INVERSIONES FCI]])</f>
        <v>89568637572.53392</v>
      </c>
      <c r="L331" s="5">
        <f>IF($B330&lt;=Tabla5[[#This Row],[INVERSIONES FCI]],+Tabla5[[#This Row],[INVERSIONES FCI]]-L330,Tabla5[[#This Row],[INVERSIONES FCI]])</f>
        <v>89568637572.53392</v>
      </c>
      <c r="M331" s="5">
        <f>IF($B330&lt;=Tabla5[[#This Row],[INVERSIONES FCI]],+Tabla5[[#This Row],[INVERSIONES FCI]]-M330,Tabla5[[#This Row],[INVERSIONES FCI]])</f>
        <v>89568637572.53392</v>
      </c>
      <c r="N331" s="5">
        <f>IF($B330&lt;=Tabla5[[#This Row],[INVERSIONES FCI]],+Tabla5[[#This Row],[INVERSIONES FCI]]-N330,Tabla5[[#This Row],[INVERSIONES FCI]])</f>
        <v>89568637572.53392</v>
      </c>
      <c r="O331" s="5">
        <f>IF($B330&lt;=Tabla5[[#This Row],[INVERSIONES FCI]],+Tabla5[[#This Row],[INVERSIONES FCI]]-O330,Tabla5[[#This Row],[INVERSIONES FCI]])</f>
        <v>89568637572.53392</v>
      </c>
      <c r="P331" s="5">
        <f>IF($B330&lt;=Tabla5[[#This Row],[INVERSIONES FCI]],+Tabla5[[#This Row],[INVERSIONES FCI]]-P330,Tabla5[[#This Row],[INVERSIONES FCI]])</f>
        <v>89568637572.53392</v>
      </c>
      <c r="Q331" s="5">
        <f>IF($B330&lt;=Tabla5[[#This Row],[INVERSIONES FCI]],+Tabla5[[#This Row],[INVERSIONES FCI]]-Q330,Tabla5[[#This Row],[INVERSIONES FCI]])</f>
        <v>89568637572.53392</v>
      </c>
      <c r="R331" s="5">
        <f>IF($B330&lt;=Tabla5[[#This Row],[INVERSIONES FCI]],+Tabla5[[#This Row],[INVERSIONES FCI]]-R330,Tabla5[[#This Row],[INVERSIONES FCI]])</f>
        <v>89568637572.53392</v>
      </c>
      <c r="S331" s="5">
        <f>IF($B330&lt;=Tabla5[[#This Row],[INVERSIONES FCI]],+Tabla5[[#This Row],[INVERSIONES FCI]]-S330,Tabla5[[#This Row],[INVERSIONES FCI]])</f>
        <v>89568637572.53392</v>
      </c>
      <c r="T331" s="5">
        <f>IF($B330&lt;=Tabla5[[#This Row],[INVERSIONES FCI]],+Tabla5[[#This Row],[INVERSIONES FCI]]-T330,Tabla5[[#This Row],[INVERSIONES FCI]])</f>
        <v>89568637572.53392</v>
      </c>
      <c r="U331" s="5">
        <f>IF($B330&lt;=Tabla5[[#This Row],[INVERSIONES FCI]],+Tabla5[[#This Row],[INVERSIONES FCI]]-U330,Tabla5[[#This Row],[INVERSIONES FCI]])</f>
        <v>89568637572.53392</v>
      </c>
      <c r="V331" s="5">
        <f>IF($B330&lt;=Tabla5[[#This Row],[INVERSIONES FCI]],+Tabla5[[#This Row],[INVERSIONES FCI]]-V330,Tabla5[[#This Row],[INVERSIONES FCI]])</f>
        <v>89568637572.53392</v>
      </c>
      <c r="W331" s="5">
        <f>IF($B330&lt;=Tabla5[[#This Row],[INVERSIONES FCI]],+Tabla5[[#This Row],[INVERSIONES FCI]]-W330,Tabla5[[#This Row],[INVERSIONES FCI]])</f>
        <v>89568637572.53392</v>
      </c>
      <c r="X331" s="5">
        <f>IF($B330&lt;=Tabla5[[#This Row],[INVERSIONES FCI]],+Tabla5[[#This Row],[INVERSIONES FCI]]-X330,Tabla5[[#This Row],[INVERSIONES FCI]])</f>
        <v>89568637572.53392</v>
      </c>
      <c r="Y331" s="5">
        <f>IF($B330&lt;=Tabla5[[#This Row],[INVERSIONES FCI]],+Tabla5[[#This Row],[INVERSIONES FCI]]-Y330,Tabla5[[#This Row],[INVERSIONES FCI]])</f>
        <v>89568637572.53392</v>
      </c>
      <c r="Z331" s="5">
        <f>IF($B330&lt;=Tabla5[[#This Row],[INVERSIONES FCI]],+Tabla5[[#This Row],[INVERSIONES FCI]]-Z330,Tabla5[[#This Row],[INVERSIONES FCI]])</f>
        <v>89568637572.53392</v>
      </c>
      <c r="AA331" s="5">
        <f>IF($B330&lt;=Tabla5[[#This Row],[INVERSIONES FCI]],+Tabla5[[#This Row],[INVERSIONES FCI]]-AA330,Tabla5[[#This Row],[INVERSIONES FCI]])</f>
        <v>89568637572.53392</v>
      </c>
      <c r="AB331" s="5">
        <f>IF($B330&lt;=Tabla5[[#This Row],[INVERSIONES FCI]],+Tabla5[[#This Row],[INVERSIONES FCI]]-AB330,Tabla5[[#This Row],[INVERSIONES FCI]])</f>
        <v>89568637572.53392</v>
      </c>
      <c r="AC331" s="5">
        <f>IF($B330&lt;=Tabla5[[#This Row],[INVERSIONES FCI]],+Tabla5[[#This Row],[INVERSIONES FCI]]-AC330,Tabla5[[#This Row],[INVERSIONES FCI]])</f>
        <v>89568637572.53392</v>
      </c>
      <c r="AD331" s="5">
        <f>IF($B330&lt;=Tabla5[[#This Row],[INVERSIONES FCI]],+Tabla5[[#This Row],[INVERSIONES FCI]]-AD330,Tabla5[[#This Row],[INVERSIONES FCI]])</f>
        <v>89568637572.53392</v>
      </c>
      <c r="AE331" s="5">
        <f>IF($B330&lt;=Tabla5[[#This Row],[INVERSIONES FCI]],+Tabla5[[#This Row],[INVERSIONES FCI]]-AE330,Tabla5[[#This Row],[INVERSIONES FCI]])</f>
        <v>89568637572.53392</v>
      </c>
      <c r="AF331" s="5">
        <f>IF($B330&lt;=Tabla5[[#This Row],[INVERSIONES FCI]],+Tabla5[[#This Row],[INVERSIONES FCI]]-AF330,Tabla5[[#This Row],[INVERSIONES FCI]])</f>
        <v>89568637572.53392</v>
      </c>
      <c r="AG331" s="5">
        <f>IF($B330&lt;=Tabla5[[#This Row],[INVERSIONES FCI]],+Tabla5[[#This Row],[INVERSIONES FCI]]-AG330,Tabla5[[#This Row],[INVERSIONES FCI]])</f>
        <v>89568637572.53392</v>
      </c>
      <c r="AH331" s="5">
        <f>IF($B330&lt;=Tabla5[[#This Row],[INVERSIONES FCI]],+Tabla5[[#This Row],[INVERSIONES FCI]]-AH330,Tabla5[[#This Row],[INVERSIONES FCI]])</f>
        <v>89568637572.53392</v>
      </c>
      <c r="AI331" s="5">
        <f>IF($B330&lt;=Tabla5[[#This Row],[INVERSIONES FCI]],+Tabla5[[#This Row],[INVERSIONES FCI]]-AI330,Tabla5[[#This Row],[INVERSIONES FCI]])</f>
        <v>89568637572.53392</v>
      </c>
      <c r="AJ331" s="5">
        <f>IF($B330&lt;=Tabla5[[#This Row],[INVERSIONES FCI]],+Tabla5[[#This Row],[INVERSIONES FCI]]-AJ330,Tabla5[[#This Row],[INVERSIONES FCI]])</f>
        <v>89568637572.53392</v>
      </c>
      <c r="AK331" s="5">
        <f>IF($B330&lt;=Tabla5[[#This Row],[INVERSIONES FCI]],+Tabla5[[#This Row],[INVERSIONES FCI]]-AK330,Tabla5[[#This Row],[INVERSIONES FCI]])</f>
        <v>89568637572.53392</v>
      </c>
      <c r="AL331" s="5">
        <f>IF($B330&lt;=Tabla5[[#This Row],[INVERSIONES FCI]],+Tabla5[[#This Row],[INVERSIONES FCI]]-AL330,Tabla5[[#This Row],[INVERSIONES FCI]])</f>
        <v>89568637572.53392</v>
      </c>
      <c r="AM331" s="5">
        <f>IF($B330&lt;=Tabla5[[#This Row],[INVERSIONES FCI]],+Tabla5[[#This Row],[INVERSIONES FCI]]-AM330,Tabla5[[#This Row],[INVERSIONES FCI]])</f>
        <v>89568637572.53392</v>
      </c>
      <c r="AN331" s="5">
        <f>IF($B330&lt;=Tabla5[[#This Row],[INVERSIONES FCI]],+Tabla5[[#This Row],[INVERSIONES FCI]]-AN330,Tabla5[[#This Row],[INVERSIONES FCI]])</f>
        <v>89568637572.53392</v>
      </c>
      <c r="AO331" s="5">
        <f>IF($B330&lt;=Tabla5[[#This Row],[INVERSIONES FCI]],+Tabla5[[#This Row],[INVERSIONES FCI]]-AO330,Tabla5[[#This Row],[INVERSIONES FCI]])</f>
        <v>89568637572.53392</v>
      </c>
      <c r="AP331" s="5">
        <f>IF($B330&lt;=Tabla5[[#This Row],[INVERSIONES FCI]],+Tabla5[[#This Row],[INVERSIONES FCI]]-AP330,Tabla5[[#This Row],[INVERSIONES FCI]])</f>
        <v>89568637572.53392</v>
      </c>
      <c r="AQ331" s="5">
        <f>IF($B330&lt;=Tabla5[[#This Row],[INVERSIONES FCI]],+Tabla5[[#This Row],[INVERSIONES FCI]]-AQ330,Tabla5[[#This Row],[INVERSIONES FCI]])</f>
        <v>89568637572.53392</v>
      </c>
      <c r="AR331" s="5">
        <f>IF($B330&lt;=Tabla5[[#This Row],[INVERSIONES FCI]],+Tabla5[[#This Row],[INVERSIONES FCI]]-AR330,Tabla5[[#This Row],[INVERSIONES FCI]])</f>
        <v>89568637572.53392</v>
      </c>
      <c r="AS331" s="5">
        <f>IF($B330&lt;=Tabla5[[#This Row],[INVERSIONES FCI]],+Tabla5[[#This Row],[INVERSIONES FCI]]-AS330,Tabla5[[#This Row],[INVERSIONES FCI]])</f>
        <v>89568637572.53392</v>
      </c>
      <c r="AT331" s="5">
        <f>IF($B330&lt;=Tabla5[[#This Row],[INVERSIONES FCI]],+Tabla5[[#This Row],[INVERSIONES FCI]]-AT330,Tabla5[[#This Row],[INVERSIONES FCI]])</f>
        <v>89568637572.53392</v>
      </c>
      <c r="AU331" s="5">
        <f>IF($B330&lt;=Tabla5[[#This Row],[INVERSIONES FCI]],+Tabla5[[#This Row],[INVERSIONES FCI]]-AU330,Tabla5[[#This Row],[INVERSIONES FCI]])</f>
        <v>89568637572.53392</v>
      </c>
      <c r="AV331" s="5">
        <f>IF($B330&lt;=Tabla5[[#This Row],[INVERSIONES FCI]],+Tabla5[[#This Row],[INVERSIONES FCI]]-AV330,Tabla5[[#This Row],[INVERSIONES FCI]])</f>
        <v>89568637572.53392</v>
      </c>
      <c r="AW331" s="5">
        <f>IF($B330&lt;=Tabla5[[#This Row],[INVERSIONES FCI]],+Tabla5[[#This Row],[INVERSIONES FCI]]-AW330,Tabla5[[#This Row],[INVERSIONES FCI]])</f>
        <v>89568637572.53392</v>
      </c>
      <c r="AX331" s="5">
        <f>IF($B330&lt;=Tabla5[[#This Row],[INVERSIONES FCI]],+Tabla5[[#This Row],[INVERSIONES FCI]]-AX330,Tabla5[[#This Row],[INVERSIONES FCI]])</f>
        <v>89568637572.53392</v>
      </c>
      <c r="AY331" s="5">
        <f>IF($B330&lt;=Tabla5[[#This Row],[INVERSIONES FCI]],+Tabla5[[#This Row],[INVERSIONES FCI]]-AY330,Tabla5[[#This Row],[INVERSIONES FCI]])</f>
        <v>89568637572.53392</v>
      </c>
      <c r="AZ331" s="5">
        <f>IF($B330&lt;=Tabla5[[#This Row],[INVERSIONES FCI]],+Tabla5[[#This Row],[INVERSIONES FCI]]-AZ330,Tabla5[[#This Row],[INVERSIONES FCI]])</f>
        <v>89568637572.53392</v>
      </c>
      <c r="BA331" s="5">
        <f>IF($B330&lt;=Tabla5[[#This Row],[INVERSIONES FCI]],+Tabla5[[#This Row],[INVERSIONES FCI]]-BA330,Tabla5[[#This Row],[INVERSIONES FCI]])</f>
        <v>89568637572.53392</v>
      </c>
      <c r="BB331" s="5">
        <f>IF($B330&lt;=Tabla5[[#This Row],[INVERSIONES FCI]],+Tabla5[[#This Row],[INVERSIONES FCI]]-BB330,Tabla5[[#This Row],[INVERSIONES FCI]])</f>
        <v>89568637572.53392</v>
      </c>
      <c r="BC331" s="5">
        <f>IF($B330&lt;=Tabla5[[#This Row],[INVERSIONES FCI]],+Tabla5[[#This Row],[INVERSIONES FCI]]-BC330,Tabla5[[#This Row],[INVERSIONES FCI]])</f>
        <v>89568637572.53392</v>
      </c>
      <c r="BD331" s="5">
        <f>IF($B330&lt;=Tabla5[[#This Row],[INVERSIONES FCI]],+Tabla5[[#This Row],[INVERSIONES FCI]]-BD330,Tabla5[[#This Row],[INVERSIONES FCI]])</f>
        <v>89568637572.53392</v>
      </c>
      <c r="BE331" s="5">
        <f>IF($B330&lt;=Tabla5[[#This Row],[INVERSIONES FCI]],+Tabla5[[#This Row],[INVERSIONES FCI]]-BE330,Tabla5[[#This Row],[INVERSIONES FCI]])</f>
        <v>89568637572.53392</v>
      </c>
      <c r="BF331" s="5">
        <f>IF($B330&lt;=Tabla5[[#This Row],[INVERSIONES FCI]],+Tabla5[[#This Row],[INVERSIONES FCI]]-BF330,Tabla5[[#This Row],[INVERSIONES FCI]])</f>
        <v>89568637572.53392</v>
      </c>
      <c r="BG331" s="5">
        <f>IF($B330&lt;=Tabla5[[#This Row],[INVERSIONES FCI]],+Tabla5[[#This Row],[INVERSIONES FCI]]-BG330,Tabla5[[#This Row],[INVERSIONES FCI]])</f>
        <v>89568637572.53392</v>
      </c>
      <c r="BH331" s="5">
        <f>IF($B330&lt;=Tabla5[[#This Row],[INVERSIONES FCI]],+Tabla5[[#This Row],[INVERSIONES FCI]]-BH330,Tabla5[[#This Row],[INVERSIONES FCI]])</f>
        <v>89568637572.53392</v>
      </c>
      <c r="BI331" s="5">
        <f>IF($B330&lt;=Tabla5[[#This Row],[INVERSIONES FCI]],+Tabla5[[#This Row],[INVERSIONES FCI]]-BI330,Tabla5[[#This Row],[INVERSIONES FCI]])</f>
        <v>89568637572.53392</v>
      </c>
      <c r="BJ331" s="5">
        <f>IF($B330&lt;=Tabla5[[#This Row],[INVERSIONES FCI]],+Tabla5[[#This Row],[INVERSIONES FCI]]-BJ330,Tabla5[[#This Row],[INVERSIONES FCI]])</f>
        <v>89568637572.53392</v>
      </c>
      <c r="BK331" s="5">
        <f>IF($B330&lt;=Tabla5[[#This Row],[INVERSIONES FCI]],+Tabla5[[#This Row],[INVERSIONES FCI]]-BK330,Tabla5[[#This Row],[INVERSIONES FCI]])</f>
        <v>89568637572.53392</v>
      </c>
      <c r="BL331" s="5">
        <f>IF($B330&lt;=Tabla5[[#This Row],[INVERSIONES FCI]],+Tabla5[[#This Row],[INVERSIONES FCI]]-BL330,Tabla5[[#This Row],[INVERSIONES FCI]])</f>
        <v>89568637572.53392</v>
      </c>
      <c r="BM331" s="5">
        <f>IF($B330&lt;=Tabla5[[#This Row],[INVERSIONES FCI]],+Tabla5[[#This Row],[INVERSIONES FCI]]-BM330,Tabla5[[#This Row],[INVERSIONES FCI]])</f>
        <v>89568637572.53392</v>
      </c>
      <c r="BN331" s="5">
        <f>IF($B330&lt;=Tabla5[[#This Row],[INVERSIONES FCI]],+Tabla5[[#This Row],[INVERSIONES FCI]]-BN330,Tabla5[[#This Row],[INVERSIONES FCI]])</f>
        <v>89568637572.53392</v>
      </c>
      <c r="BO331" s="5">
        <f>IF($B330&lt;=Tabla5[[#This Row],[INVERSIONES FCI]],+Tabla5[[#This Row],[INVERSIONES FCI]]-BO330,Tabla5[[#This Row],[INVERSIONES FCI]])</f>
        <v>89568637572.53392</v>
      </c>
      <c r="BP331" s="5">
        <f>IF($B330&lt;=Tabla5[[#This Row],[INVERSIONES FCI]],+Tabla5[[#This Row],[INVERSIONES FCI]]-BP330,Tabla5[[#This Row],[INVERSIONES FCI]])</f>
        <v>89568637572.53392</v>
      </c>
      <c r="BQ331" s="5">
        <f>IF($B330&lt;=Tabla5[[#This Row],[INVERSIONES FCI]],+Tabla5[[#This Row],[INVERSIONES FCI]]-BQ330,Tabla5[[#This Row],[INVERSIONES FCI]])</f>
        <v>89568637572.53392</v>
      </c>
      <c r="BR331" s="5">
        <f>IF($B330&lt;=Tabla5[[#This Row],[INVERSIONES FCI]],+Tabla5[[#This Row],[INVERSIONES FCI]]-BR330,Tabla5[[#This Row],[INVERSIONES FCI]])</f>
        <v>89568637572.53392</v>
      </c>
      <c r="BS331" s="5">
        <f>IF($B330&lt;=Tabla5[[#This Row],[INVERSIONES FCI]],+Tabla5[[#This Row],[INVERSIONES FCI]]-BS330,Tabla5[[#This Row],[INVERSIONES FCI]])</f>
        <v>89568637572.53392</v>
      </c>
      <c r="BT331" s="5">
        <f>IF($B330&lt;=Tabla5[[#This Row],[INVERSIONES FCI]],+Tabla5[[#This Row],[INVERSIONES FCI]]-BT330,Tabla5[[#This Row],[INVERSIONES FCI]])</f>
        <v>89568637572.53392</v>
      </c>
      <c r="BU331" s="5">
        <f>IF($B330&lt;=Tabla5[[#This Row],[INVERSIONES FCI]],+Tabla5[[#This Row],[INVERSIONES FCI]]-BU330,Tabla5[[#This Row],[INVERSIONES FCI]])</f>
        <v>89568637572.53392</v>
      </c>
      <c r="BV331" s="5">
        <f>IF($B330&lt;=Tabla5[[#This Row],[INVERSIONES FCI]],+Tabla5[[#This Row],[INVERSIONES FCI]]-BV330,Tabla5[[#This Row],[INVERSIONES FCI]])</f>
        <v>89568637572.53392</v>
      </c>
      <c r="BW331" s="5">
        <f>IF($B330&lt;=Tabla5[[#This Row],[INVERSIONES FCI]],+Tabla5[[#This Row],[INVERSIONES FCI]]-BW330,Tabla5[[#This Row],[INVERSIONES FCI]])</f>
        <v>89568637572.53392</v>
      </c>
      <c r="BX331" s="5">
        <f>IF($B330&lt;=Tabla5[[#This Row],[INVERSIONES FCI]],+Tabla5[[#This Row],[INVERSIONES FCI]]-BX330,Tabla5[[#This Row],[INVERSIONES FCI]])</f>
        <v>89568637572.53392</v>
      </c>
      <c r="BY331" s="5">
        <f>IF($B330&lt;=Tabla5[[#This Row],[INVERSIONES FCI]],+Tabla5[[#This Row],[INVERSIONES FCI]]-BY330,Tabla5[[#This Row],[INVERSIONES FCI]])</f>
        <v>89568637572.53392</v>
      </c>
      <c r="BZ331" s="5">
        <f>IF($B330&lt;=Tabla5[[#This Row],[INVERSIONES FCI]],+Tabla5[[#This Row],[INVERSIONES FCI]]-BZ330,Tabla5[[#This Row],[INVERSIONES FCI]])</f>
        <v>89568637572.53392</v>
      </c>
      <c r="CA331" s="5">
        <f>IF($B330&lt;=Tabla5[[#This Row],[INVERSIONES FCI]],+Tabla5[[#This Row],[INVERSIONES FCI]]-CA330,Tabla5[[#This Row],[INVERSIONES FCI]])</f>
        <v>89568637572.53392</v>
      </c>
      <c r="CB331" s="5">
        <f>IF($B330&lt;=Tabla5[[#This Row],[INVERSIONES FCI]],+Tabla5[[#This Row],[INVERSIONES FCI]]-CB330,Tabla5[[#This Row],[INVERSIONES FCI]])</f>
        <v>89568637572.53392</v>
      </c>
      <c r="CC331" s="5">
        <f>IF($B330&lt;=Tabla5[[#This Row],[INVERSIONES FCI]],+Tabla5[[#This Row],[INVERSIONES FCI]]-CC330,Tabla5[[#This Row],[INVERSIONES FCI]])</f>
        <v>89568637572.53392</v>
      </c>
      <c r="CD331" s="5">
        <f>IF($B330&lt;=Tabla5[[#This Row],[INVERSIONES FCI]],+Tabla5[[#This Row],[INVERSIONES FCI]]-CD330,Tabla5[[#This Row],[INVERSIONES FCI]])</f>
        <v>89568637572.53392</v>
      </c>
      <c r="CE331" s="5">
        <f>IF($B330&lt;=Tabla5[[#This Row],[INVERSIONES FCI]],+Tabla5[[#This Row],[INVERSIONES FCI]]-CE330,Tabla5[[#This Row],[INVERSIONES FCI]])</f>
        <v>89568637572.53392</v>
      </c>
      <c r="CF331" s="5">
        <f>IF($B330&lt;=Tabla5[[#This Row],[INVERSIONES FCI]],+Tabla5[[#This Row],[INVERSIONES FCI]]-CF330,Tabla5[[#This Row],[INVERSIONES FCI]])</f>
        <v>89568637572.53392</v>
      </c>
      <c r="CG331" s="5">
        <f>IF($B330&lt;=Tabla5[[#This Row],[INVERSIONES FCI]],+Tabla5[[#This Row],[INVERSIONES FCI]]-CG330,Tabla5[[#This Row],[INVERSIONES FCI]])</f>
        <v>89568637572.53392</v>
      </c>
      <c r="CH331" s="5">
        <f>IF($B330&lt;=Tabla5[[#This Row],[INVERSIONES FCI]],+Tabla5[[#This Row],[INVERSIONES FCI]]-CH330,Tabla5[[#This Row],[INVERSIONES FCI]])</f>
        <v>89568637572.53392</v>
      </c>
      <c r="CI331" s="5">
        <f>IF($B330&lt;=Tabla5[[#This Row],[INVERSIONES FCI]],+Tabla5[[#This Row],[INVERSIONES FCI]]-CI330,Tabla5[[#This Row],[INVERSIONES FCI]])</f>
        <v>89568637572.53392</v>
      </c>
      <c r="CJ331" s="5">
        <f>IF($B330&lt;=Tabla5[[#This Row],[INVERSIONES FCI]],+Tabla5[[#This Row],[INVERSIONES FCI]]-CJ330,Tabla5[[#This Row],[INVERSIONES FCI]])</f>
        <v>89568637572.53392</v>
      </c>
      <c r="CK331" s="5">
        <f>IF($B330&lt;=Tabla5[[#This Row],[INVERSIONES FCI]],+Tabla5[[#This Row],[INVERSIONES FCI]]-CK330,Tabla5[[#This Row],[INVERSIONES FCI]])</f>
        <v>89568637572.53392</v>
      </c>
      <c r="CL331" s="5">
        <f>IF($B330&lt;=Tabla5[[#This Row],[INVERSIONES FCI]],+Tabla5[[#This Row],[INVERSIONES FCI]]-CL330,Tabla5[[#This Row],[INVERSIONES FCI]])</f>
        <v>89568637572.53392</v>
      </c>
      <c r="CM331" s="5">
        <f>IF($B330&lt;=Tabla5[[#This Row],[INVERSIONES FCI]],+Tabla5[[#This Row],[INVERSIONES FCI]]-CM330,Tabla5[[#This Row],[INVERSIONES FCI]])</f>
        <v>89568637572.53392</v>
      </c>
      <c r="CN331" s="5">
        <f>IF($B330&lt;=Tabla5[[#This Row],[INVERSIONES FCI]],+Tabla5[[#This Row],[INVERSIONES FCI]]-CN330,Tabla5[[#This Row],[INVERSIONES FCI]])</f>
        <v>89568637572.53392</v>
      </c>
      <c r="CO331" s="5">
        <f>IF($B330&lt;=Tabla5[[#This Row],[INVERSIONES FCI]],+Tabla5[[#This Row],[INVERSIONES FCI]]-CO330,Tabla5[[#This Row],[INVERSIONES FCI]])</f>
        <v>89568637572.53392</v>
      </c>
      <c r="CP331" s="5">
        <f>IF($B330&lt;=Tabla5[[#This Row],[INVERSIONES FCI]],+Tabla5[[#This Row],[INVERSIONES FCI]]-CP330,Tabla5[[#This Row],[INVERSIONES FCI]])</f>
        <v>89568637572.53392</v>
      </c>
      <c r="CQ331" s="5">
        <f>IF($B330&lt;=Tabla5[[#This Row],[INVERSIONES FCI]],+Tabla5[[#This Row],[INVERSIONES FCI]]-CQ330,Tabla5[[#This Row],[INVERSIONES FCI]])</f>
        <v>89568637572.53392</v>
      </c>
      <c r="CR331" s="5">
        <f>IF($B330&lt;=Tabla5[[#This Row],[INVERSIONES FCI]],+Tabla5[[#This Row],[INVERSIONES FCI]]-CR330,Tabla5[[#This Row],[INVERSIONES FCI]])</f>
        <v>89568637572.53392</v>
      </c>
      <c r="CS331" s="5">
        <f>IF($B330&lt;=Tabla5[[#This Row],[INVERSIONES FCI]],+Tabla5[[#This Row],[INVERSIONES FCI]]-CS330,Tabla5[[#This Row],[INVERSIONES FCI]])</f>
        <v>89568637572.53392</v>
      </c>
      <c r="CT331" s="5">
        <f>IF($B330&lt;=Tabla5[[#This Row],[INVERSIONES FCI]],+Tabla5[[#This Row],[INVERSIONES FCI]]-CT330,Tabla5[[#This Row],[INVERSIONES FCI]])</f>
        <v>89568637572.53392</v>
      </c>
      <c r="CU331" s="5">
        <f>IF($B330&lt;=Tabla5[[#This Row],[INVERSIONES FCI]],+Tabla5[[#This Row],[INVERSIONES FCI]]-CU330,Tabla5[[#This Row],[INVERSIONES FCI]])</f>
        <v>89568637572.53392</v>
      </c>
      <c r="CV331" s="5">
        <f>IF($B330&lt;=Tabla5[[#This Row],[INVERSIONES FCI]],+Tabla5[[#This Row],[INVERSIONES FCI]]-CV330,Tabla5[[#This Row],[INVERSIONES FCI]])</f>
        <v>89568637572.53392</v>
      </c>
      <c r="CW331" s="5">
        <f>IF($B330&lt;=Tabla5[[#This Row],[INVERSIONES FCI]],+Tabla5[[#This Row],[INVERSIONES FCI]]-CW330,Tabla5[[#This Row],[INVERSIONES FCI]])</f>
        <v>89568637572.53392</v>
      </c>
      <c r="CX331" s="5">
        <f>IF($B330&lt;=Tabla5[[#This Row],[INVERSIONES FCI]],+Tabla5[[#This Row],[INVERSIONES FCI]]-CX330,Tabla5[[#This Row],[INVERSIONES FCI]])</f>
        <v>89568637572.53392</v>
      </c>
      <c r="CY331" s="5">
        <f>IF($B330&lt;=Tabla5[[#This Row],[INVERSIONES FCI]],+Tabla5[[#This Row],[INVERSIONES FCI]]-CY330,Tabla5[[#This Row],[INVERSIONES FCI]])</f>
        <v>89568637572.53392</v>
      </c>
      <c r="CZ331" s="5">
        <f>IF($B330&lt;=Tabla5[[#This Row],[INVERSIONES FCI]],+Tabla5[[#This Row],[INVERSIONES FCI]]-CZ330,Tabla5[[#This Row],[INVERSIONES FCI]])</f>
        <v>89568637572.53392</v>
      </c>
      <c r="DA331" s="5">
        <f>IF($B330&lt;=Tabla5[[#This Row],[INVERSIONES FCI]],+Tabla5[[#This Row],[INVERSIONES FCI]]-DA330,Tabla5[[#This Row],[INVERSIONES FCI]])</f>
        <v>89568637572.53392</v>
      </c>
      <c r="DB331" s="5">
        <f>IF($B330&lt;=Tabla5[[#This Row],[INVERSIONES FCI]],+Tabla5[[#This Row],[INVERSIONES FCI]]-DB330,Tabla5[[#This Row],[INVERSIONES FCI]])</f>
        <v>89568637572.53392</v>
      </c>
      <c r="DC331" s="5">
        <f>IF($B330&lt;=Tabla5[[#This Row],[INVERSIONES FCI]],+Tabla5[[#This Row],[INVERSIONES FCI]]-DC330,Tabla5[[#This Row],[INVERSIONES FCI]])</f>
        <v>89568637572.53392</v>
      </c>
      <c r="DD331" s="5">
        <f>IF($B330&lt;=Tabla5[[#This Row],[INVERSIONES FCI]],+Tabla5[[#This Row],[INVERSIONES FCI]]-DD330,Tabla5[[#This Row],[INVERSIONES FCI]])</f>
        <v>89568637572.53392</v>
      </c>
      <c r="DE331" s="5">
        <f>IF($B330&lt;=Tabla5[[#This Row],[INVERSIONES FCI]],+Tabla5[[#This Row],[INVERSIONES FCI]]-DE330,Tabla5[[#This Row],[INVERSIONES FCI]])</f>
        <v>89568637572.53392</v>
      </c>
      <c r="DF331" s="5">
        <f>IF($B330&lt;=Tabla5[[#This Row],[INVERSIONES FCI]],+Tabla5[[#This Row],[INVERSIONES FCI]]-DF330,Tabla5[[#This Row],[INVERSIONES FCI]])</f>
        <v>89568637572.53392</v>
      </c>
      <c r="DG331" s="5">
        <f>IF($B330&lt;=Tabla5[[#This Row],[INVERSIONES FCI]],+Tabla5[[#This Row],[INVERSIONES FCI]]-DG330,Tabla5[[#This Row],[INVERSIONES FCI]])</f>
        <v>89568637572.53392</v>
      </c>
      <c r="DH331" s="5">
        <f>IF($B330&lt;=Tabla5[[#This Row],[INVERSIONES FCI]],+Tabla5[[#This Row],[INVERSIONES FCI]]-DH330,Tabla5[[#This Row],[INVERSIONES FCI]])</f>
        <v>89568637572.53392</v>
      </c>
      <c r="DI331" s="5">
        <f>IF($B330&lt;=Tabla5[[#This Row],[INVERSIONES FCI]],+Tabla5[[#This Row],[INVERSIONES FCI]]-DI330,Tabla5[[#This Row],[INVERSIONES FCI]])</f>
        <v>89568637572.53392</v>
      </c>
      <c r="DJ331" s="5">
        <f>IF($B330&lt;=Tabla5[[#This Row],[INVERSIONES FCI]],+Tabla5[[#This Row],[INVERSIONES FCI]]-DJ330,Tabla5[[#This Row],[INVERSIONES FCI]])</f>
        <v>89568637572.53392</v>
      </c>
      <c r="DK331" s="5">
        <f>IF($B330&lt;=Tabla5[[#This Row],[INVERSIONES FCI]],+Tabla5[[#This Row],[INVERSIONES FCI]]-DK330,Tabla5[[#This Row],[INVERSIONES FCI]])</f>
        <v>89568637572.53392</v>
      </c>
      <c r="DL331" s="5"/>
      <c r="DM331" s="5"/>
      <c r="DN331" s="5"/>
      <c r="DO331" s="5"/>
      <c r="DP331" s="5"/>
      <c r="DQ331" s="5"/>
    </row>
    <row r="332" spans="1:121" ht="14.4">
      <c r="A332" s="12" t="s">
        <v>331</v>
      </c>
      <c r="B332" s="5">
        <f>HLOOKUP($A332,ESCENARIO[#All],7,FALSE)</f>
        <v>92895631172.451981</v>
      </c>
      <c r="C332" s="5">
        <f>IF($B331&lt;=Tabla5[[#This Row],[INVERSIONES FCI]],+Tabla5[[#This Row],[INVERSIONES FCI]]-C331,Tabla5[[#This Row],[INVERSIONES FCI]])</f>
        <v>3326993599.9180603</v>
      </c>
      <c r="D332" s="5">
        <f>IF($B331&lt;=Tabla5[[#This Row],[INVERSIONES FCI]],+Tabla5[[#This Row],[INVERSIONES FCI]]-D331,Tabla5[[#This Row],[INVERSIONES FCI]])</f>
        <v>3326993599.9180603</v>
      </c>
      <c r="E332" s="5">
        <f>IF($B331&lt;=Tabla5[[#This Row],[INVERSIONES FCI]],+Tabla5[[#This Row],[INVERSIONES FCI]]-E331,Tabla5[[#This Row],[INVERSIONES FCI]])</f>
        <v>3326993599.9180603</v>
      </c>
      <c r="F332" s="5">
        <f>IF($B331&lt;=Tabla5[[#This Row],[INVERSIONES FCI]],+Tabla5[[#This Row],[INVERSIONES FCI]]-F331,Tabla5[[#This Row],[INVERSIONES FCI]])</f>
        <v>3326993599.9180603</v>
      </c>
      <c r="G332" s="5">
        <f>IF($B331&lt;=Tabla5[[#This Row],[INVERSIONES FCI]],+Tabla5[[#This Row],[INVERSIONES FCI]]-G331,Tabla5[[#This Row],[INVERSIONES FCI]])</f>
        <v>3326993599.9180603</v>
      </c>
      <c r="H332" s="5">
        <f>IF($B331&lt;=Tabla5[[#This Row],[INVERSIONES FCI]],+Tabla5[[#This Row],[INVERSIONES FCI]]-H331,Tabla5[[#This Row],[INVERSIONES FCI]])</f>
        <v>3326993599.9180603</v>
      </c>
      <c r="I332" s="5">
        <f>IF($B331&lt;=Tabla5[[#This Row],[INVERSIONES FCI]],+Tabla5[[#This Row],[INVERSIONES FCI]]-I331,Tabla5[[#This Row],[INVERSIONES FCI]])</f>
        <v>3326993599.9180603</v>
      </c>
      <c r="J332" s="5">
        <f>IF($B331&lt;=Tabla5[[#This Row],[INVERSIONES FCI]],+Tabla5[[#This Row],[INVERSIONES FCI]]-J331,Tabla5[[#This Row],[INVERSIONES FCI]])</f>
        <v>3326993599.9180603</v>
      </c>
      <c r="K332" s="5">
        <f>IF($B331&lt;=Tabla5[[#This Row],[INVERSIONES FCI]],+Tabla5[[#This Row],[INVERSIONES FCI]]-K331,Tabla5[[#This Row],[INVERSIONES FCI]])</f>
        <v>3326993599.9180603</v>
      </c>
      <c r="L332" s="5">
        <f>IF($B331&lt;=Tabla5[[#This Row],[INVERSIONES FCI]],+Tabla5[[#This Row],[INVERSIONES FCI]]-L331,Tabla5[[#This Row],[INVERSIONES FCI]])</f>
        <v>3326993599.9180603</v>
      </c>
      <c r="M332" s="5">
        <f>IF($B331&lt;=Tabla5[[#This Row],[INVERSIONES FCI]],+Tabla5[[#This Row],[INVERSIONES FCI]]-M331,Tabla5[[#This Row],[INVERSIONES FCI]])</f>
        <v>3326993599.9180603</v>
      </c>
      <c r="N332" s="5">
        <f>IF($B331&lt;=Tabla5[[#This Row],[INVERSIONES FCI]],+Tabla5[[#This Row],[INVERSIONES FCI]]-N331,Tabla5[[#This Row],[INVERSIONES FCI]])</f>
        <v>3326993599.9180603</v>
      </c>
      <c r="O332" s="5">
        <f>IF($B331&lt;=Tabla5[[#This Row],[INVERSIONES FCI]],+Tabla5[[#This Row],[INVERSIONES FCI]]-O331,Tabla5[[#This Row],[INVERSIONES FCI]])</f>
        <v>3326993599.9180603</v>
      </c>
      <c r="P332" s="5">
        <f>IF($B331&lt;=Tabla5[[#This Row],[INVERSIONES FCI]],+Tabla5[[#This Row],[INVERSIONES FCI]]-P331,Tabla5[[#This Row],[INVERSIONES FCI]])</f>
        <v>3326993599.9180603</v>
      </c>
      <c r="Q332" s="5">
        <f>IF($B331&lt;=Tabla5[[#This Row],[INVERSIONES FCI]],+Tabla5[[#This Row],[INVERSIONES FCI]]-Q331,Tabla5[[#This Row],[INVERSIONES FCI]])</f>
        <v>3326993599.9180603</v>
      </c>
      <c r="R332" s="5">
        <f>IF($B331&lt;=Tabla5[[#This Row],[INVERSIONES FCI]],+Tabla5[[#This Row],[INVERSIONES FCI]]-R331,Tabla5[[#This Row],[INVERSIONES FCI]])</f>
        <v>3326993599.9180603</v>
      </c>
      <c r="S332" s="5">
        <f>IF($B331&lt;=Tabla5[[#This Row],[INVERSIONES FCI]],+Tabla5[[#This Row],[INVERSIONES FCI]]-S331,Tabla5[[#This Row],[INVERSIONES FCI]])</f>
        <v>3326993599.9180603</v>
      </c>
      <c r="T332" s="5">
        <f>IF($B331&lt;=Tabla5[[#This Row],[INVERSIONES FCI]],+Tabla5[[#This Row],[INVERSIONES FCI]]-T331,Tabla5[[#This Row],[INVERSIONES FCI]])</f>
        <v>3326993599.9180603</v>
      </c>
      <c r="U332" s="5">
        <f>IF($B331&lt;=Tabla5[[#This Row],[INVERSIONES FCI]],+Tabla5[[#This Row],[INVERSIONES FCI]]-U331,Tabla5[[#This Row],[INVERSIONES FCI]])</f>
        <v>3326993599.9180603</v>
      </c>
      <c r="V332" s="5">
        <f>IF($B331&lt;=Tabla5[[#This Row],[INVERSIONES FCI]],+Tabla5[[#This Row],[INVERSIONES FCI]]-V331,Tabla5[[#This Row],[INVERSIONES FCI]])</f>
        <v>3326993599.9180603</v>
      </c>
      <c r="W332" s="5">
        <f>IF($B331&lt;=Tabla5[[#This Row],[INVERSIONES FCI]],+Tabla5[[#This Row],[INVERSIONES FCI]]-W331,Tabla5[[#This Row],[INVERSIONES FCI]])</f>
        <v>3326993599.9180603</v>
      </c>
      <c r="X332" s="5">
        <f>IF($B331&lt;=Tabla5[[#This Row],[INVERSIONES FCI]],+Tabla5[[#This Row],[INVERSIONES FCI]]-X331,Tabla5[[#This Row],[INVERSIONES FCI]])</f>
        <v>3326993599.9180603</v>
      </c>
      <c r="Y332" s="5">
        <f>IF($B331&lt;=Tabla5[[#This Row],[INVERSIONES FCI]],+Tabla5[[#This Row],[INVERSIONES FCI]]-Y331,Tabla5[[#This Row],[INVERSIONES FCI]])</f>
        <v>3326993599.9180603</v>
      </c>
      <c r="Z332" s="5">
        <f>IF($B331&lt;=Tabla5[[#This Row],[INVERSIONES FCI]],+Tabla5[[#This Row],[INVERSIONES FCI]]-Z331,Tabla5[[#This Row],[INVERSIONES FCI]])</f>
        <v>3326993599.9180603</v>
      </c>
      <c r="AA332" s="5">
        <f>IF($B331&lt;=Tabla5[[#This Row],[INVERSIONES FCI]],+Tabla5[[#This Row],[INVERSIONES FCI]]-AA331,Tabla5[[#This Row],[INVERSIONES FCI]])</f>
        <v>3326993599.9180603</v>
      </c>
      <c r="AB332" s="5">
        <f>IF($B331&lt;=Tabla5[[#This Row],[INVERSIONES FCI]],+Tabla5[[#This Row],[INVERSIONES FCI]]-AB331,Tabla5[[#This Row],[INVERSIONES FCI]])</f>
        <v>3326993599.9180603</v>
      </c>
      <c r="AC332" s="5">
        <f>IF($B331&lt;=Tabla5[[#This Row],[INVERSIONES FCI]],+Tabla5[[#This Row],[INVERSIONES FCI]]-AC331,Tabla5[[#This Row],[INVERSIONES FCI]])</f>
        <v>3326993599.9180603</v>
      </c>
      <c r="AD332" s="5">
        <f>IF($B331&lt;=Tabla5[[#This Row],[INVERSIONES FCI]],+Tabla5[[#This Row],[INVERSIONES FCI]]-AD331,Tabla5[[#This Row],[INVERSIONES FCI]])</f>
        <v>3326993599.9180603</v>
      </c>
      <c r="AE332" s="5">
        <f>IF($B331&lt;=Tabla5[[#This Row],[INVERSIONES FCI]],+Tabla5[[#This Row],[INVERSIONES FCI]]-AE331,Tabla5[[#This Row],[INVERSIONES FCI]])</f>
        <v>3326993599.9180603</v>
      </c>
      <c r="AF332" s="5">
        <f>IF($B331&lt;=Tabla5[[#This Row],[INVERSIONES FCI]],+Tabla5[[#This Row],[INVERSIONES FCI]]-AF331,Tabla5[[#This Row],[INVERSIONES FCI]])</f>
        <v>3326993599.9180603</v>
      </c>
      <c r="AG332" s="5">
        <f>IF($B331&lt;=Tabla5[[#This Row],[INVERSIONES FCI]],+Tabla5[[#This Row],[INVERSIONES FCI]]-AG331,Tabla5[[#This Row],[INVERSIONES FCI]])</f>
        <v>3326993599.9180603</v>
      </c>
      <c r="AH332" s="5">
        <f>IF($B331&lt;=Tabla5[[#This Row],[INVERSIONES FCI]],+Tabla5[[#This Row],[INVERSIONES FCI]]-AH331,Tabla5[[#This Row],[INVERSIONES FCI]])</f>
        <v>3326993599.9180603</v>
      </c>
      <c r="AI332" s="5">
        <f>IF($B331&lt;=Tabla5[[#This Row],[INVERSIONES FCI]],+Tabla5[[#This Row],[INVERSIONES FCI]]-AI331,Tabla5[[#This Row],[INVERSIONES FCI]])</f>
        <v>3326993599.9180603</v>
      </c>
      <c r="AJ332" s="5">
        <f>IF($B331&lt;=Tabla5[[#This Row],[INVERSIONES FCI]],+Tabla5[[#This Row],[INVERSIONES FCI]]-AJ331,Tabla5[[#This Row],[INVERSIONES FCI]])</f>
        <v>3326993599.9180603</v>
      </c>
      <c r="AK332" s="5">
        <f>IF($B331&lt;=Tabla5[[#This Row],[INVERSIONES FCI]],+Tabla5[[#This Row],[INVERSIONES FCI]]-AK331,Tabla5[[#This Row],[INVERSIONES FCI]])</f>
        <v>3326993599.9180603</v>
      </c>
      <c r="AL332" s="5">
        <f>IF($B331&lt;=Tabla5[[#This Row],[INVERSIONES FCI]],+Tabla5[[#This Row],[INVERSIONES FCI]]-AL331,Tabla5[[#This Row],[INVERSIONES FCI]])</f>
        <v>3326993599.9180603</v>
      </c>
      <c r="AM332" s="5">
        <f>IF($B331&lt;=Tabla5[[#This Row],[INVERSIONES FCI]],+Tabla5[[#This Row],[INVERSIONES FCI]]-AM331,Tabla5[[#This Row],[INVERSIONES FCI]])</f>
        <v>3326993599.9180603</v>
      </c>
      <c r="AN332" s="5">
        <f>IF($B331&lt;=Tabla5[[#This Row],[INVERSIONES FCI]],+Tabla5[[#This Row],[INVERSIONES FCI]]-AN331,Tabla5[[#This Row],[INVERSIONES FCI]])</f>
        <v>3326993599.9180603</v>
      </c>
      <c r="AO332" s="5">
        <f>IF($B331&lt;=Tabla5[[#This Row],[INVERSIONES FCI]],+Tabla5[[#This Row],[INVERSIONES FCI]]-AO331,Tabla5[[#This Row],[INVERSIONES FCI]])</f>
        <v>3326993599.9180603</v>
      </c>
      <c r="AP332" s="5">
        <f>IF($B331&lt;=Tabla5[[#This Row],[INVERSIONES FCI]],+Tabla5[[#This Row],[INVERSIONES FCI]]-AP331,Tabla5[[#This Row],[INVERSIONES FCI]])</f>
        <v>3326993599.9180603</v>
      </c>
      <c r="AQ332" s="5">
        <f>IF($B331&lt;=Tabla5[[#This Row],[INVERSIONES FCI]],+Tabla5[[#This Row],[INVERSIONES FCI]]-AQ331,Tabla5[[#This Row],[INVERSIONES FCI]])</f>
        <v>3326993599.9180603</v>
      </c>
      <c r="AR332" s="5">
        <f>IF($B331&lt;=Tabla5[[#This Row],[INVERSIONES FCI]],+Tabla5[[#This Row],[INVERSIONES FCI]]-AR331,Tabla5[[#This Row],[INVERSIONES FCI]])</f>
        <v>3326993599.9180603</v>
      </c>
      <c r="AS332" s="5">
        <f>IF($B331&lt;=Tabla5[[#This Row],[INVERSIONES FCI]],+Tabla5[[#This Row],[INVERSIONES FCI]]-AS331,Tabla5[[#This Row],[INVERSIONES FCI]])</f>
        <v>3326993599.9180603</v>
      </c>
      <c r="AT332" s="5">
        <f>IF($B331&lt;=Tabla5[[#This Row],[INVERSIONES FCI]],+Tabla5[[#This Row],[INVERSIONES FCI]]-AT331,Tabla5[[#This Row],[INVERSIONES FCI]])</f>
        <v>3326993599.9180603</v>
      </c>
      <c r="AU332" s="5">
        <f>IF($B331&lt;=Tabla5[[#This Row],[INVERSIONES FCI]],+Tabla5[[#This Row],[INVERSIONES FCI]]-AU331,Tabla5[[#This Row],[INVERSIONES FCI]])</f>
        <v>3326993599.9180603</v>
      </c>
      <c r="AV332" s="5">
        <f>IF($B331&lt;=Tabla5[[#This Row],[INVERSIONES FCI]],+Tabla5[[#This Row],[INVERSIONES FCI]]-AV331,Tabla5[[#This Row],[INVERSIONES FCI]])</f>
        <v>3326993599.9180603</v>
      </c>
      <c r="AW332" s="5">
        <f>IF($B331&lt;=Tabla5[[#This Row],[INVERSIONES FCI]],+Tabla5[[#This Row],[INVERSIONES FCI]]-AW331,Tabla5[[#This Row],[INVERSIONES FCI]])</f>
        <v>3326993599.9180603</v>
      </c>
      <c r="AX332" s="5">
        <f>IF($B331&lt;=Tabla5[[#This Row],[INVERSIONES FCI]],+Tabla5[[#This Row],[INVERSIONES FCI]]-AX331,Tabla5[[#This Row],[INVERSIONES FCI]])</f>
        <v>3326993599.9180603</v>
      </c>
      <c r="AY332" s="5">
        <f>IF($B331&lt;=Tabla5[[#This Row],[INVERSIONES FCI]],+Tabla5[[#This Row],[INVERSIONES FCI]]-AY331,Tabla5[[#This Row],[INVERSIONES FCI]])</f>
        <v>3326993599.9180603</v>
      </c>
      <c r="AZ332" s="5">
        <f>IF($B331&lt;=Tabla5[[#This Row],[INVERSIONES FCI]],+Tabla5[[#This Row],[INVERSIONES FCI]]-AZ331,Tabla5[[#This Row],[INVERSIONES FCI]])</f>
        <v>3326993599.9180603</v>
      </c>
      <c r="BA332" s="5">
        <f>IF($B331&lt;=Tabla5[[#This Row],[INVERSIONES FCI]],+Tabla5[[#This Row],[INVERSIONES FCI]]-BA331,Tabla5[[#This Row],[INVERSIONES FCI]])</f>
        <v>3326993599.9180603</v>
      </c>
      <c r="BB332" s="5">
        <f>IF($B331&lt;=Tabla5[[#This Row],[INVERSIONES FCI]],+Tabla5[[#This Row],[INVERSIONES FCI]]-BB331,Tabla5[[#This Row],[INVERSIONES FCI]])</f>
        <v>3326993599.9180603</v>
      </c>
      <c r="BC332" s="5">
        <f>IF($B331&lt;=Tabla5[[#This Row],[INVERSIONES FCI]],+Tabla5[[#This Row],[INVERSIONES FCI]]-BC331,Tabla5[[#This Row],[INVERSIONES FCI]])</f>
        <v>3326993599.9180603</v>
      </c>
      <c r="BD332" s="5">
        <f>IF($B331&lt;=Tabla5[[#This Row],[INVERSIONES FCI]],+Tabla5[[#This Row],[INVERSIONES FCI]]-BD331,Tabla5[[#This Row],[INVERSIONES FCI]])</f>
        <v>3326993599.9180603</v>
      </c>
      <c r="BE332" s="5">
        <f>IF($B331&lt;=Tabla5[[#This Row],[INVERSIONES FCI]],+Tabla5[[#This Row],[INVERSIONES FCI]]-BE331,Tabla5[[#This Row],[INVERSIONES FCI]])</f>
        <v>3326993599.9180603</v>
      </c>
      <c r="BF332" s="5">
        <f>IF($B331&lt;=Tabla5[[#This Row],[INVERSIONES FCI]],+Tabla5[[#This Row],[INVERSIONES FCI]]-BF331,Tabla5[[#This Row],[INVERSIONES FCI]])</f>
        <v>3326993599.9180603</v>
      </c>
      <c r="BG332" s="5">
        <f>IF($B331&lt;=Tabla5[[#This Row],[INVERSIONES FCI]],+Tabla5[[#This Row],[INVERSIONES FCI]]-BG331,Tabla5[[#This Row],[INVERSIONES FCI]])</f>
        <v>3326993599.9180603</v>
      </c>
      <c r="BH332" s="5">
        <f>IF($B331&lt;=Tabla5[[#This Row],[INVERSIONES FCI]],+Tabla5[[#This Row],[INVERSIONES FCI]]-BH331,Tabla5[[#This Row],[INVERSIONES FCI]])</f>
        <v>3326993599.9180603</v>
      </c>
      <c r="BI332" s="5">
        <f>IF($B331&lt;=Tabla5[[#This Row],[INVERSIONES FCI]],+Tabla5[[#This Row],[INVERSIONES FCI]]-BI331,Tabla5[[#This Row],[INVERSIONES FCI]])</f>
        <v>3326993599.9180603</v>
      </c>
      <c r="BJ332" s="5">
        <f>IF($B331&lt;=Tabla5[[#This Row],[INVERSIONES FCI]],+Tabla5[[#This Row],[INVERSIONES FCI]]-BJ331,Tabla5[[#This Row],[INVERSIONES FCI]])</f>
        <v>3326993599.9180603</v>
      </c>
      <c r="BK332" s="5">
        <f>IF($B331&lt;=Tabla5[[#This Row],[INVERSIONES FCI]],+Tabla5[[#This Row],[INVERSIONES FCI]]-BK331,Tabla5[[#This Row],[INVERSIONES FCI]])</f>
        <v>3326993599.9180603</v>
      </c>
      <c r="BL332" s="5">
        <f>IF($B331&lt;=Tabla5[[#This Row],[INVERSIONES FCI]],+Tabla5[[#This Row],[INVERSIONES FCI]]-BL331,Tabla5[[#This Row],[INVERSIONES FCI]])</f>
        <v>3326993599.9180603</v>
      </c>
      <c r="BM332" s="5">
        <f>IF($B331&lt;=Tabla5[[#This Row],[INVERSIONES FCI]],+Tabla5[[#This Row],[INVERSIONES FCI]]-BM331,Tabla5[[#This Row],[INVERSIONES FCI]])</f>
        <v>3326993599.9180603</v>
      </c>
      <c r="BN332" s="5">
        <f>IF($B331&lt;=Tabla5[[#This Row],[INVERSIONES FCI]],+Tabla5[[#This Row],[INVERSIONES FCI]]-BN331,Tabla5[[#This Row],[INVERSIONES FCI]])</f>
        <v>3326993599.9180603</v>
      </c>
      <c r="BO332" s="5">
        <f>IF($B331&lt;=Tabla5[[#This Row],[INVERSIONES FCI]],+Tabla5[[#This Row],[INVERSIONES FCI]]-BO331,Tabla5[[#This Row],[INVERSIONES FCI]])</f>
        <v>3326993599.9180603</v>
      </c>
      <c r="BP332" s="5">
        <f>IF($B331&lt;=Tabla5[[#This Row],[INVERSIONES FCI]],+Tabla5[[#This Row],[INVERSIONES FCI]]-BP331,Tabla5[[#This Row],[INVERSIONES FCI]])</f>
        <v>3326993599.9180603</v>
      </c>
      <c r="BQ332" s="5">
        <f>IF($B331&lt;=Tabla5[[#This Row],[INVERSIONES FCI]],+Tabla5[[#This Row],[INVERSIONES FCI]]-BQ331,Tabla5[[#This Row],[INVERSIONES FCI]])</f>
        <v>3326993599.9180603</v>
      </c>
      <c r="BR332" s="5">
        <f>IF($B331&lt;=Tabla5[[#This Row],[INVERSIONES FCI]],+Tabla5[[#This Row],[INVERSIONES FCI]]-BR331,Tabla5[[#This Row],[INVERSIONES FCI]])</f>
        <v>3326993599.9180603</v>
      </c>
      <c r="BS332" s="5">
        <f>IF($B331&lt;=Tabla5[[#This Row],[INVERSIONES FCI]],+Tabla5[[#This Row],[INVERSIONES FCI]]-BS331,Tabla5[[#This Row],[INVERSIONES FCI]])</f>
        <v>3326993599.9180603</v>
      </c>
      <c r="BT332" s="5">
        <f>IF($B331&lt;=Tabla5[[#This Row],[INVERSIONES FCI]],+Tabla5[[#This Row],[INVERSIONES FCI]]-BT331,Tabla5[[#This Row],[INVERSIONES FCI]])</f>
        <v>3326993599.9180603</v>
      </c>
      <c r="BU332" s="5">
        <f>IF($B331&lt;=Tabla5[[#This Row],[INVERSIONES FCI]],+Tabla5[[#This Row],[INVERSIONES FCI]]-BU331,Tabla5[[#This Row],[INVERSIONES FCI]])</f>
        <v>3326993599.9180603</v>
      </c>
      <c r="BV332" s="5">
        <f>IF($B331&lt;=Tabla5[[#This Row],[INVERSIONES FCI]],+Tabla5[[#This Row],[INVERSIONES FCI]]-BV331,Tabla5[[#This Row],[INVERSIONES FCI]])</f>
        <v>3326993599.9180603</v>
      </c>
      <c r="BW332" s="5">
        <f>IF($B331&lt;=Tabla5[[#This Row],[INVERSIONES FCI]],+Tabla5[[#This Row],[INVERSIONES FCI]]-BW331,Tabla5[[#This Row],[INVERSIONES FCI]])</f>
        <v>3326993599.9180603</v>
      </c>
      <c r="BX332" s="5">
        <f>IF($B331&lt;=Tabla5[[#This Row],[INVERSIONES FCI]],+Tabla5[[#This Row],[INVERSIONES FCI]]-BX331,Tabla5[[#This Row],[INVERSIONES FCI]])</f>
        <v>3326993599.9180603</v>
      </c>
      <c r="BY332" s="5">
        <f>IF($B331&lt;=Tabla5[[#This Row],[INVERSIONES FCI]],+Tabla5[[#This Row],[INVERSIONES FCI]]-BY331,Tabla5[[#This Row],[INVERSIONES FCI]])</f>
        <v>3326993599.9180603</v>
      </c>
      <c r="BZ332" s="5">
        <f>IF($B331&lt;=Tabla5[[#This Row],[INVERSIONES FCI]],+Tabla5[[#This Row],[INVERSIONES FCI]]-BZ331,Tabla5[[#This Row],[INVERSIONES FCI]])</f>
        <v>3326993599.9180603</v>
      </c>
      <c r="CA332" s="5">
        <f>IF($B331&lt;=Tabla5[[#This Row],[INVERSIONES FCI]],+Tabla5[[#This Row],[INVERSIONES FCI]]-CA331,Tabla5[[#This Row],[INVERSIONES FCI]])</f>
        <v>3326993599.9180603</v>
      </c>
      <c r="CB332" s="5">
        <f>IF($B331&lt;=Tabla5[[#This Row],[INVERSIONES FCI]],+Tabla5[[#This Row],[INVERSIONES FCI]]-CB331,Tabla5[[#This Row],[INVERSIONES FCI]])</f>
        <v>3326993599.9180603</v>
      </c>
      <c r="CC332" s="5">
        <f>IF($B331&lt;=Tabla5[[#This Row],[INVERSIONES FCI]],+Tabla5[[#This Row],[INVERSIONES FCI]]-CC331,Tabla5[[#This Row],[INVERSIONES FCI]])</f>
        <v>3326993599.9180603</v>
      </c>
      <c r="CD332" s="5">
        <f>IF($B331&lt;=Tabla5[[#This Row],[INVERSIONES FCI]],+Tabla5[[#This Row],[INVERSIONES FCI]]-CD331,Tabla5[[#This Row],[INVERSIONES FCI]])</f>
        <v>3326993599.9180603</v>
      </c>
      <c r="CE332" s="5">
        <f>IF($B331&lt;=Tabla5[[#This Row],[INVERSIONES FCI]],+Tabla5[[#This Row],[INVERSIONES FCI]]-CE331,Tabla5[[#This Row],[INVERSIONES FCI]])</f>
        <v>3326993599.9180603</v>
      </c>
      <c r="CF332" s="5">
        <f>IF($B331&lt;=Tabla5[[#This Row],[INVERSIONES FCI]],+Tabla5[[#This Row],[INVERSIONES FCI]]-CF331,Tabla5[[#This Row],[INVERSIONES FCI]])</f>
        <v>3326993599.9180603</v>
      </c>
      <c r="CG332" s="5">
        <f>IF($B331&lt;=Tabla5[[#This Row],[INVERSIONES FCI]],+Tabla5[[#This Row],[INVERSIONES FCI]]-CG331,Tabla5[[#This Row],[INVERSIONES FCI]])</f>
        <v>3326993599.9180603</v>
      </c>
      <c r="CH332" s="5">
        <f>IF($B331&lt;=Tabla5[[#This Row],[INVERSIONES FCI]],+Tabla5[[#This Row],[INVERSIONES FCI]]-CH331,Tabla5[[#This Row],[INVERSIONES FCI]])</f>
        <v>3326993599.9180603</v>
      </c>
      <c r="CI332" s="5">
        <f>IF($B331&lt;=Tabla5[[#This Row],[INVERSIONES FCI]],+Tabla5[[#This Row],[INVERSIONES FCI]]-CI331,Tabla5[[#This Row],[INVERSIONES FCI]])</f>
        <v>3326993599.9180603</v>
      </c>
      <c r="CJ332" s="5">
        <f>IF($B331&lt;=Tabla5[[#This Row],[INVERSIONES FCI]],+Tabla5[[#This Row],[INVERSIONES FCI]]-CJ331,Tabla5[[#This Row],[INVERSIONES FCI]])</f>
        <v>3326993599.9180603</v>
      </c>
      <c r="CK332" s="5">
        <f>IF($B331&lt;=Tabla5[[#This Row],[INVERSIONES FCI]],+Tabla5[[#This Row],[INVERSIONES FCI]]-CK331,Tabla5[[#This Row],[INVERSIONES FCI]])</f>
        <v>3326993599.9180603</v>
      </c>
      <c r="CL332" s="5">
        <f>IF($B331&lt;=Tabla5[[#This Row],[INVERSIONES FCI]],+Tabla5[[#This Row],[INVERSIONES FCI]]-CL331,Tabla5[[#This Row],[INVERSIONES FCI]])</f>
        <v>3326993599.9180603</v>
      </c>
      <c r="CM332" s="5">
        <f>IF($B331&lt;=Tabla5[[#This Row],[INVERSIONES FCI]],+Tabla5[[#This Row],[INVERSIONES FCI]]-CM331,Tabla5[[#This Row],[INVERSIONES FCI]])</f>
        <v>3326993599.9180603</v>
      </c>
      <c r="CN332" s="5">
        <f>IF($B331&lt;=Tabla5[[#This Row],[INVERSIONES FCI]],+Tabla5[[#This Row],[INVERSIONES FCI]]-CN331,Tabla5[[#This Row],[INVERSIONES FCI]])</f>
        <v>3326993599.9180603</v>
      </c>
      <c r="CO332" s="5">
        <f>IF($B331&lt;=Tabla5[[#This Row],[INVERSIONES FCI]],+Tabla5[[#This Row],[INVERSIONES FCI]]-CO331,Tabla5[[#This Row],[INVERSIONES FCI]])</f>
        <v>3326993599.9180603</v>
      </c>
      <c r="CP332" s="5">
        <f>IF($B331&lt;=Tabla5[[#This Row],[INVERSIONES FCI]],+Tabla5[[#This Row],[INVERSIONES FCI]]-CP331,Tabla5[[#This Row],[INVERSIONES FCI]])</f>
        <v>3326993599.9180603</v>
      </c>
      <c r="CQ332" s="5">
        <f>IF($B331&lt;=Tabla5[[#This Row],[INVERSIONES FCI]],+Tabla5[[#This Row],[INVERSIONES FCI]]-CQ331,Tabla5[[#This Row],[INVERSIONES FCI]])</f>
        <v>3326993599.9180603</v>
      </c>
      <c r="CR332" s="5">
        <f>IF($B331&lt;=Tabla5[[#This Row],[INVERSIONES FCI]],+Tabla5[[#This Row],[INVERSIONES FCI]]-CR331,Tabla5[[#This Row],[INVERSIONES FCI]])</f>
        <v>3326993599.9180603</v>
      </c>
      <c r="CS332" s="5">
        <f>IF($B331&lt;=Tabla5[[#This Row],[INVERSIONES FCI]],+Tabla5[[#This Row],[INVERSIONES FCI]]-CS331,Tabla5[[#This Row],[INVERSIONES FCI]])</f>
        <v>3326993599.9180603</v>
      </c>
      <c r="CT332" s="5">
        <f>IF($B331&lt;=Tabla5[[#This Row],[INVERSIONES FCI]],+Tabla5[[#This Row],[INVERSIONES FCI]]-CT331,Tabla5[[#This Row],[INVERSIONES FCI]])</f>
        <v>3326993599.9180603</v>
      </c>
      <c r="CU332" s="5">
        <f>IF($B331&lt;=Tabla5[[#This Row],[INVERSIONES FCI]],+Tabla5[[#This Row],[INVERSIONES FCI]]-CU331,Tabla5[[#This Row],[INVERSIONES FCI]])</f>
        <v>3326993599.9180603</v>
      </c>
      <c r="CV332" s="5">
        <f>IF($B331&lt;=Tabla5[[#This Row],[INVERSIONES FCI]],+Tabla5[[#This Row],[INVERSIONES FCI]]-CV331,Tabla5[[#This Row],[INVERSIONES FCI]])</f>
        <v>3326993599.9180603</v>
      </c>
      <c r="CW332" s="5">
        <f>IF($B331&lt;=Tabla5[[#This Row],[INVERSIONES FCI]],+Tabla5[[#This Row],[INVERSIONES FCI]]-CW331,Tabla5[[#This Row],[INVERSIONES FCI]])</f>
        <v>3326993599.9180603</v>
      </c>
      <c r="CX332" s="5">
        <f>IF($B331&lt;=Tabla5[[#This Row],[INVERSIONES FCI]],+Tabla5[[#This Row],[INVERSIONES FCI]]-CX331,Tabla5[[#This Row],[INVERSIONES FCI]])</f>
        <v>3326993599.9180603</v>
      </c>
      <c r="CY332" s="5">
        <f>IF($B331&lt;=Tabla5[[#This Row],[INVERSIONES FCI]],+Tabla5[[#This Row],[INVERSIONES FCI]]-CY331,Tabla5[[#This Row],[INVERSIONES FCI]])</f>
        <v>3326993599.9180603</v>
      </c>
      <c r="CZ332" s="5">
        <f>IF($B331&lt;=Tabla5[[#This Row],[INVERSIONES FCI]],+Tabla5[[#This Row],[INVERSIONES FCI]]-CZ331,Tabla5[[#This Row],[INVERSIONES FCI]])</f>
        <v>3326993599.9180603</v>
      </c>
      <c r="DA332" s="5">
        <f>IF($B331&lt;=Tabla5[[#This Row],[INVERSIONES FCI]],+Tabla5[[#This Row],[INVERSIONES FCI]]-DA331,Tabla5[[#This Row],[INVERSIONES FCI]])</f>
        <v>3326993599.9180603</v>
      </c>
      <c r="DB332" s="5">
        <f>IF($B331&lt;=Tabla5[[#This Row],[INVERSIONES FCI]],+Tabla5[[#This Row],[INVERSIONES FCI]]-DB331,Tabla5[[#This Row],[INVERSIONES FCI]])</f>
        <v>3326993599.9180603</v>
      </c>
      <c r="DC332" s="5">
        <f>IF($B331&lt;=Tabla5[[#This Row],[INVERSIONES FCI]],+Tabla5[[#This Row],[INVERSIONES FCI]]-DC331,Tabla5[[#This Row],[INVERSIONES FCI]])</f>
        <v>3326993599.9180603</v>
      </c>
      <c r="DD332" s="5">
        <f>IF($B331&lt;=Tabla5[[#This Row],[INVERSIONES FCI]],+Tabla5[[#This Row],[INVERSIONES FCI]]-DD331,Tabla5[[#This Row],[INVERSIONES FCI]])</f>
        <v>3326993599.9180603</v>
      </c>
      <c r="DE332" s="5">
        <f>IF($B331&lt;=Tabla5[[#This Row],[INVERSIONES FCI]],+Tabla5[[#This Row],[INVERSIONES FCI]]-DE331,Tabla5[[#This Row],[INVERSIONES FCI]])</f>
        <v>3326993599.9180603</v>
      </c>
      <c r="DF332" s="5">
        <f>IF($B331&lt;=Tabla5[[#This Row],[INVERSIONES FCI]],+Tabla5[[#This Row],[INVERSIONES FCI]]-DF331,Tabla5[[#This Row],[INVERSIONES FCI]])</f>
        <v>3326993599.9180603</v>
      </c>
      <c r="DG332" s="5">
        <f>IF($B331&lt;=Tabla5[[#This Row],[INVERSIONES FCI]],+Tabla5[[#This Row],[INVERSIONES FCI]]-DG331,Tabla5[[#This Row],[INVERSIONES FCI]])</f>
        <v>3326993599.9180603</v>
      </c>
      <c r="DH332" s="5">
        <f>IF($B331&lt;=Tabla5[[#This Row],[INVERSIONES FCI]],+Tabla5[[#This Row],[INVERSIONES FCI]]-DH331,Tabla5[[#This Row],[INVERSIONES FCI]])</f>
        <v>3326993599.9180603</v>
      </c>
      <c r="DI332" s="5">
        <f>IF($B331&lt;=Tabla5[[#This Row],[INVERSIONES FCI]],+Tabla5[[#This Row],[INVERSIONES FCI]]-DI331,Tabla5[[#This Row],[INVERSIONES FCI]])</f>
        <v>3326993599.9180603</v>
      </c>
      <c r="DJ332" s="5">
        <f>IF($B331&lt;=Tabla5[[#This Row],[INVERSIONES FCI]],+Tabla5[[#This Row],[INVERSIONES FCI]]-DJ331,Tabla5[[#This Row],[INVERSIONES FCI]])</f>
        <v>3326993599.9180603</v>
      </c>
      <c r="DK332" s="5">
        <f>IF($B331&lt;=Tabla5[[#This Row],[INVERSIONES FCI]],+Tabla5[[#This Row],[INVERSIONES FCI]]-DK331,Tabla5[[#This Row],[INVERSIONES FCI]])</f>
        <v>3326993599.9180603</v>
      </c>
      <c r="DL332" s="5"/>
      <c r="DM332" s="5"/>
      <c r="DN332" s="5"/>
      <c r="DO332" s="5"/>
      <c r="DP332" s="5"/>
      <c r="DQ332" s="5"/>
    </row>
    <row r="333" spans="1:121" ht="14.4">
      <c r="A333" s="12" t="s">
        <v>332</v>
      </c>
      <c r="B333" s="5">
        <f>HLOOKUP($A333,ESCENARIO[#All],7,FALSE)</f>
        <v>96448924682.707825</v>
      </c>
      <c r="C333" s="5">
        <f>IF($B332&lt;=Tabla5[[#This Row],[INVERSIONES FCI]],+Tabla5[[#This Row],[INVERSIONES FCI]]-C332,Tabla5[[#This Row],[INVERSIONES FCI]])</f>
        <v>93121931082.789764</v>
      </c>
      <c r="D333" s="5">
        <f>IF($B332&lt;=Tabla5[[#This Row],[INVERSIONES FCI]],+Tabla5[[#This Row],[INVERSIONES FCI]]-D332,Tabla5[[#This Row],[INVERSIONES FCI]])</f>
        <v>93121931082.789764</v>
      </c>
      <c r="E333" s="5">
        <f>IF($B332&lt;=Tabla5[[#This Row],[INVERSIONES FCI]],+Tabla5[[#This Row],[INVERSIONES FCI]]-E332,Tabla5[[#This Row],[INVERSIONES FCI]])</f>
        <v>93121931082.789764</v>
      </c>
      <c r="F333" s="5">
        <f>IF($B332&lt;=Tabla5[[#This Row],[INVERSIONES FCI]],+Tabla5[[#This Row],[INVERSIONES FCI]]-F332,Tabla5[[#This Row],[INVERSIONES FCI]])</f>
        <v>93121931082.789764</v>
      </c>
      <c r="G333" s="5">
        <f>IF($B332&lt;=Tabla5[[#This Row],[INVERSIONES FCI]],+Tabla5[[#This Row],[INVERSIONES FCI]]-G332,Tabla5[[#This Row],[INVERSIONES FCI]])</f>
        <v>93121931082.789764</v>
      </c>
      <c r="H333" s="5">
        <f>IF($B332&lt;=Tabla5[[#This Row],[INVERSIONES FCI]],+Tabla5[[#This Row],[INVERSIONES FCI]]-H332,Tabla5[[#This Row],[INVERSIONES FCI]])</f>
        <v>93121931082.789764</v>
      </c>
      <c r="I333" s="5">
        <f>IF($B332&lt;=Tabla5[[#This Row],[INVERSIONES FCI]],+Tabla5[[#This Row],[INVERSIONES FCI]]-I332,Tabla5[[#This Row],[INVERSIONES FCI]])</f>
        <v>93121931082.789764</v>
      </c>
      <c r="J333" s="5">
        <f>IF($B332&lt;=Tabla5[[#This Row],[INVERSIONES FCI]],+Tabla5[[#This Row],[INVERSIONES FCI]]-J332,Tabla5[[#This Row],[INVERSIONES FCI]])</f>
        <v>93121931082.789764</v>
      </c>
      <c r="K333" s="5">
        <f>IF($B332&lt;=Tabla5[[#This Row],[INVERSIONES FCI]],+Tabla5[[#This Row],[INVERSIONES FCI]]-K332,Tabla5[[#This Row],[INVERSIONES FCI]])</f>
        <v>93121931082.789764</v>
      </c>
      <c r="L333" s="5">
        <f>IF($B332&lt;=Tabla5[[#This Row],[INVERSIONES FCI]],+Tabla5[[#This Row],[INVERSIONES FCI]]-L332,Tabla5[[#This Row],[INVERSIONES FCI]])</f>
        <v>93121931082.789764</v>
      </c>
      <c r="M333" s="5">
        <f>IF($B332&lt;=Tabla5[[#This Row],[INVERSIONES FCI]],+Tabla5[[#This Row],[INVERSIONES FCI]]-M332,Tabla5[[#This Row],[INVERSIONES FCI]])</f>
        <v>93121931082.789764</v>
      </c>
      <c r="N333" s="5">
        <f>IF($B332&lt;=Tabla5[[#This Row],[INVERSIONES FCI]],+Tabla5[[#This Row],[INVERSIONES FCI]]-N332,Tabla5[[#This Row],[INVERSIONES FCI]])</f>
        <v>93121931082.789764</v>
      </c>
      <c r="O333" s="5">
        <f>IF($B332&lt;=Tabla5[[#This Row],[INVERSIONES FCI]],+Tabla5[[#This Row],[INVERSIONES FCI]]-O332,Tabla5[[#This Row],[INVERSIONES FCI]])</f>
        <v>93121931082.789764</v>
      </c>
      <c r="P333" s="5">
        <f>IF($B332&lt;=Tabla5[[#This Row],[INVERSIONES FCI]],+Tabla5[[#This Row],[INVERSIONES FCI]]-P332,Tabla5[[#This Row],[INVERSIONES FCI]])</f>
        <v>93121931082.789764</v>
      </c>
      <c r="Q333" s="5">
        <f>IF($B332&lt;=Tabla5[[#This Row],[INVERSIONES FCI]],+Tabla5[[#This Row],[INVERSIONES FCI]]-Q332,Tabla5[[#This Row],[INVERSIONES FCI]])</f>
        <v>93121931082.789764</v>
      </c>
      <c r="R333" s="5">
        <f>IF($B332&lt;=Tabla5[[#This Row],[INVERSIONES FCI]],+Tabla5[[#This Row],[INVERSIONES FCI]]-R332,Tabla5[[#This Row],[INVERSIONES FCI]])</f>
        <v>93121931082.789764</v>
      </c>
      <c r="S333" s="5">
        <f>IF($B332&lt;=Tabla5[[#This Row],[INVERSIONES FCI]],+Tabla5[[#This Row],[INVERSIONES FCI]]-S332,Tabla5[[#This Row],[INVERSIONES FCI]])</f>
        <v>93121931082.789764</v>
      </c>
      <c r="T333" s="5">
        <f>IF($B332&lt;=Tabla5[[#This Row],[INVERSIONES FCI]],+Tabla5[[#This Row],[INVERSIONES FCI]]-T332,Tabla5[[#This Row],[INVERSIONES FCI]])</f>
        <v>93121931082.789764</v>
      </c>
      <c r="U333" s="5">
        <f>IF($B332&lt;=Tabla5[[#This Row],[INVERSIONES FCI]],+Tabla5[[#This Row],[INVERSIONES FCI]]-U332,Tabla5[[#This Row],[INVERSIONES FCI]])</f>
        <v>93121931082.789764</v>
      </c>
      <c r="V333" s="5">
        <f>IF($B332&lt;=Tabla5[[#This Row],[INVERSIONES FCI]],+Tabla5[[#This Row],[INVERSIONES FCI]]-V332,Tabla5[[#This Row],[INVERSIONES FCI]])</f>
        <v>93121931082.789764</v>
      </c>
      <c r="W333" s="5">
        <f>IF($B332&lt;=Tabla5[[#This Row],[INVERSIONES FCI]],+Tabla5[[#This Row],[INVERSIONES FCI]]-W332,Tabla5[[#This Row],[INVERSIONES FCI]])</f>
        <v>93121931082.789764</v>
      </c>
      <c r="X333" s="5">
        <f>IF($B332&lt;=Tabla5[[#This Row],[INVERSIONES FCI]],+Tabla5[[#This Row],[INVERSIONES FCI]]-X332,Tabla5[[#This Row],[INVERSIONES FCI]])</f>
        <v>93121931082.789764</v>
      </c>
      <c r="Y333" s="5">
        <f>IF($B332&lt;=Tabla5[[#This Row],[INVERSIONES FCI]],+Tabla5[[#This Row],[INVERSIONES FCI]]-Y332,Tabla5[[#This Row],[INVERSIONES FCI]])</f>
        <v>93121931082.789764</v>
      </c>
      <c r="Z333" s="5">
        <f>IF($B332&lt;=Tabla5[[#This Row],[INVERSIONES FCI]],+Tabla5[[#This Row],[INVERSIONES FCI]]-Z332,Tabla5[[#This Row],[INVERSIONES FCI]])</f>
        <v>93121931082.789764</v>
      </c>
      <c r="AA333" s="5">
        <f>IF($B332&lt;=Tabla5[[#This Row],[INVERSIONES FCI]],+Tabla5[[#This Row],[INVERSIONES FCI]]-AA332,Tabla5[[#This Row],[INVERSIONES FCI]])</f>
        <v>93121931082.789764</v>
      </c>
      <c r="AB333" s="5">
        <f>IF($B332&lt;=Tabla5[[#This Row],[INVERSIONES FCI]],+Tabla5[[#This Row],[INVERSIONES FCI]]-AB332,Tabla5[[#This Row],[INVERSIONES FCI]])</f>
        <v>93121931082.789764</v>
      </c>
      <c r="AC333" s="5">
        <f>IF($B332&lt;=Tabla5[[#This Row],[INVERSIONES FCI]],+Tabla5[[#This Row],[INVERSIONES FCI]]-AC332,Tabla5[[#This Row],[INVERSIONES FCI]])</f>
        <v>93121931082.789764</v>
      </c>
      <c r="AD333" s="5">
        <f>IF($B332&lt;=Tabla5[[#This Row],[INVERSIONES FCI]],+Tabla5[[#This Row],[INVERSIONES FCI]]-AD332,Tabla5[[#This Row],[INVERSIONES FCI]])</f>
        <v>93121931082.789764</v>
      </c>
      <c r="AE333" s="5">
        <f>IF($B332&lt;=Tabla5[[#This Row],[INVERSIONES FCI]],+Tabla5[[#This Row],[INVERSIONES FCI]]-AE332,Tabla5[[#This Row],[INVERSIONES FCI]])</f>
        <v>93121931082.789764</v>
      </c>
      <c r="AF333" s="5">
        <f>IF($B332&lt;=Tabla5[[#This Row],[INVERSIONES FCI]],+Tabla5[[#This Row],[INVERSIONES FCI]]-AF332,Tabla5[[#This Row],[INVERSIONES FCI]])</f>
        <v>93121931082.789764</v>
      </c>
      <c r="AG333" s="5">
        <f>IF($B332&lt;=Tabla5[[#This Row],[INVERSIONES FCI]],+Tabla5[[#This Row],[INVERSIONES FCI]]-AG332,Tabla5[[#This Row],[INVERSIONES FCI]])</f>
        <v>93121931082.789764</v>
      </c>
      <c r="AH333" s="5">
        <f>IF($B332&lt;=Tabla5[[#This Row],[INVERSIONES FCI]],+Tabla5[[#This Row],[INVERSIONES FCI]]-AH332,Tabla5[[#This Row],[INVERSIONES FCI]])</f>
        <v>93121931082.789764</v>
      </c>
      <c r="AI333" s="5">
        <f>IF($B332&lt;=Tabla5[[#This Row],[INVERSIONES FCI]],+Tabla5[[#This Row],[INVERSIONES FCI]]-AI332,Tabla5[[#This Row],[INVERSIONES FCI]])</f>
        <v>93121931082.789764</v>
      </c>
      <c r="AJ333" s="5">
        <f>IF($B332&lt;=Tabla5[[#This Row],[INVERSIONES FCI]],+Tabla5[[#This Row],[INVERSIONES FCI]]-AJ332,Tabla5[[#This Row],[INVERSIONES FCI]])</f>
        <v>93121931082.789764</v>
      </c>
      <c r="AK333" s="5">
        <f>IF($B332&lt;=Tabla5[[#This Row],[INVERSIONES FCI]],+Tabla5[[#This Row],[INVERSIONES FCI]]-AK332,Tabla5[[#This Row],[INVERSIONES FCI]])</f>
        <v>93121931082.789764</v>
      </c>
      <c r="AL333" s="5">
        <f>IF($B332&lt;=Tabla5[[#This Row],[INVERSIONES FCI]],+Tabla5[[#This Row],[INVERSIONES FCI]]-AL332,Tabla5[[#This Row],[INVERSIONES FCI]])</f>
        <v>93121931082.789764</v>
      </c>
      <c r="AM333" s="5">
        <f>IF($B332&lt;=Tabla5[[#This Row],[INVERSIONES FCI]],+Tabla5[[#This Row],[INVERSIONES FCI]]-AM332,Tabla5[[#This Row],[INVERSIONES FCI]])</f>
        <v>93121931082.789764</v>
      </c>
      <c r="AN333" s="5">
        <f>IF($B332&lt;=Tabla5[[#This Row],[INVERSIONES FCI]],+Tabla5[[#This Row],[INVERSIONES FCI]]-AN332,Tabla5[[#This Row],[INVERSIONES FCI]])</f>
        <v>93121931082.789764</v>
      </c>
      <c r="AO333" s="5">
        <f>IF($B332&lt;=Tabla5[[#This Row],[INVERSIONES FCI]],+Tabla5[[#This Row],[INVERSIONES FCI]]-AO332,Tabla5[[#This Row],[INVERSIONES FCI]])</f>
        <v>93121931082.789764</v>
      </c>
      <c r="AP333" s="5">
        <f>IF($B332&lt;=Tabla5[[#This Row],[INVERSIONES FCI]],+Tabla5[[#This Row],[INVERSIONES FCI]]-AP332,Tabla5[[#This Row],[INVERSIONES FCI]])</f>
        <v>93121931082.789764</v>
      </c>
      <c r="AQ333" s="5">
        <f>IF($B332&lt;=Tabla5[[#This Row],[INVERSIONES FCI]],+Tabla5[[#This Row],[INVERSIONES FCI]]-AQ332,Tabla5[[#This Row],[INVERSIONES FCI]])</f>
        <v>93121931082.789764</v>
      </c>
      <c r="AR333" s="5">
        <f>IF($B332&lt;=Tabla5[[#This Row],[INVERSIONES FCI]],+Tabla5[[#This Row],[INVERSIONES FCI]]-AR332,Tabla5[[#This Row],[INVERSIONES FCI]])</f>
        <v>93121931082.789764</v>
      </c>
      <c r="AS333" s="5">
        <f>IF($B332&lt;=Tabla5[[#This Row],[INVERSIONES FCI]],+Tabla5[[#This Row],[INVERSIONES FCI]]-AS332,Tabla5[[#This Row],[INVERSIONES FCI]])</f>
        <v>93121931082.789764</v>
      </c>
      <c r="AT333" s="5">
        <f>IF($B332&lt;=Tabla5[[#This Row],[INVERSIONES FCI]],+Tabla5[[#This Row],[INVERSIONES FCI]]-AT332,Tabla5[[#This Row],[INVERSIONES FCI]])</f>
        <v>93121931082.789764</v>
      </c>
      <c r="AU333" s="5">
        <f>IF($B332&lt;=Tabla5[[#This Row],[INVERSIONES FCI]],+Tabla5[[#This Row],[INVERSIONES FCI]]-AU332,Tabla5[[#This Row],[INVERSIONES FCI]])</f>
        <v>93121931082.789764</v>
      </c>
      <c r="AV333" s="5">
        <f>IF($B332&lt;=Tabla5[[#This Row],[INVERSIONES FCI]],+Tabla5[[#This Row],[INVERSIONES FCI]]-AV332,Tabla5[[#This Row],[INVERSIONES FCI]])</f>
        <v>93121931082.789764</v>
      </c>
      <c r="AW333" s="5">
        <f>IF($B332&lt;=Tabla5[[#This Row],[INVERSIONES FCI]],+Tabla5[[#This Row],[INVERSIONES FCI]]-AW332,Tabla5[[#This Row],[INVERSIONES FCI]])</f>
        <v>93121931082.789764</v>
      </c>
      <c r="AX333" s="5">
        <f>IF($B332&lt;=Tabla5[[#This Row],[INVERSIONES FCI]],+Tabla5[[#This Row],[INVERSIONES FCI]]-AX332,Tabla5[[#This Row],[INVERSIONES FCI]])</f>
        <v>93121931082.789764</v>
      </c>
      <c r="AY333" s="5">
        <f>IF($B332&lt;=Tabla5[[#This Row],[INVERSIONES FCI]],+Tabla5[[#This Row],[INVERSIONES FCI]]-AY332,Tabla5[[#This Row],[INVERSIONES FCI]])</f>
        <v>93121931082.789764</v>
      </c>
      <c r="AZ333" s="5">
        <f>IF($B332&lt;=Tabla5[[#This Row],[INVERSIONES FCI]],+Tabla5[[#This Row],[INVERSIONES FCI]]-AZ332,Tabla5[[#This Row],[INVERSIONES FCI]])</f>
        <v>93121931082.789764</v>
      </c>
      <c r="BA333" s="5">
        <f>IF($B332&lt;=Tabla5[[#This Row],[INVERSIONES FCI]],+Tabla5[[#This Row],[INVERSIONES FCI]]-BA332,Tabla5[[#This Row],[INVERSIONES FCI]])</f>
        <v>93121931082.789764</v>
      </c>
      <c r="BB333" s="5">
        <f>IF($B332&lt;=Tabla5[[#This Row],[INVERSIONES FCI]],+Tabla5[[#This Row],[INVERSIONES FCI]]-BB332,Tabla5[[#This Row],[INVERSIONES FCI]])</f>
        <v>93121931082.789764</v>
      </c>
      <c r="BC333" s="5">
        <f>IF($B332&lt;=Tabla5[[#This Row],[INVERSIONES FCI]],+Tabla5[[#This Row],[INVERSIONES FCI]]-BC332,Tabla5[[#This Row],[INVERSIONES FCI]])</f>
        <v>93121931082.789764</v>
      </c>
      <c r="BD333" s="5">
        <f>IF($B332&lt;=Tabla5[[#This Row],[INVERSIONES FCI]],+Tabla5[[#This Row],[INVERSIONES FCI]]-BD332,Tabla5[[#This Row],[INVERSIONES FCI]])</f>
        <v>93121931082.789764</v>
      </c>
      <c r="BE333" s="5">
        <f>IF($B332&lt;=Tabla5[[#This Row],[INVERSIONES FCI]],+Tabla5[[#This Row],[INVERSIONES FCI]]-BE332,Tabla5[[#This Row],[INVERSIONES FCI]])</f>
        <v>93121931082.789764</v>
      </c>
      <c r="BF333" s="5">
        <f>IF($B332&lt;=Tabla5[[#This Row],[INVERSIONES FCI]],+Tabla5[[#This Row],[INVERSIONES FCI]]-BF332,Tabla5[[#This Row],[INVERSIONES FCI]])</f>
        <v>93121931082.789764</v>
      </c>
      <c r="BG333" s="5">
        <f>IF($B332&lt;=Tabla5[[#This Row],[INVERSIONES FCI]],+Tabla5[[#This Row],[INVERSIONES FCI]]-BG332,Tabla5[[#This Row],[INVERSIONES FCI]])</f>
        <v>93121931082.789764</v>
      </c>
      <c r="BH333" s="5">
        <f>IF($B332&lt;=Tabla5[[#This Row],[INVERSIONES FCI]],+Tabla5[[#This Row],[INVERSIONES FCI]]-BH332,Tabla5[[#This Row],[INVERSIONES FCI]])</f>
        <v>93121931082.789764</v>
      </c>
      <c r="BI333" s="5">
        <f>IF($B332&lt;=Tabla5[[#This Row],[INVERSIONES FCI]],+Tabla5[[#This Row],[INVERSIONES FCI]]-BI332,Tabla5[[#This Row],[INVERSIONES FCI]])</f>
        <v>93121931082.789764</v>
      </c>
      <c r="BJ333" s="5">
        <f>IF($B332&lt;=Tabla5[[#This Row],[INVERSIONES FCI]],+Tabla5[[#This Row],[INVERSIONES FCI]]-BJ332,Tabla5[[#This Row],[INVERSIONES FCI]])</f>
        <v>93121931082.789764</v>
      </c>
      <c r="BK333" s="5">
        <f>IF($B332&lt;=Tabla5[[#This Row],[INVERSIONES FCI]],+Tabla5[[#This Row],[INVERSIONES FCI]]-BK332,Tabla5[[#This Row],[INVERSIONES FCI]])</f>
        <v>93121931082.789764</v>
      </c>
      <c r="BL333" s="5">
        <f>IF($B332&lt;=Tabla5[[#This Row],[INVERSIONES FCI]],+Tabla5[[#This Row],[INVERSIONES FCI]]-BL332,Tabla5[[#This Row],[INVERSIONES FCI]])</f>
        <v>93121931082.789764</v>
      </c>
      <c r="BM333" s="5">
        <f>IF($B332&lt;=Tabla5[[#This Row],[INVERSIONES FCI]],+Tabla5[[#This Row],[INVERSIONES FCI]]-BM332,Tabla5[[#This Row],[INVERSIONES FCI]])</f>
        <v>93121931082.789764</v>
      </c>
      <c r="BN333" s="5">
        <f>IF($B332&lt;=Tabla5[[#This Row],[INVERSIONES FCI]],+Tabla5[[#This Row],[INVERSIONES FCI]]-BN332,Tabla5[[#This Row],[INVERSIONES FCI]])</f>
        <v>93121931082.789764</v>
      </c>
      <c r="BO333" s="5">
        <f>IF($B332&lt;=Tabla5[[#This Row],[INVERSIONES FCI]],+Tabla5[[#This Row],[INVERSIONES FCI]]-BO332,Tabla5[[#This Row],[INVERSIONES FCI]])</f>
        <v>93121931082.789764</v>
      </c>
      <c r="BP333" s="5">
        <f>IF($B332&lt;=Tabla5[[#This Row],[INVERSIONES FCI]],+Tabla5[[#This Row],[INVERSIONES FCI]]-BP332,Tabla5[[#This Row],[INVERSIONES FCI]])</f>
        <v>93121931082.789764</v>
      </c>
      <c r="BQ333" s="5">
        <f>IF($B332&lt;=Tabla5[[#This Row],[INVERSIONES FCI]],+Tabla5[[#This Row],[INVERSIONES FCI]]-BQ332,Tabla5[[#This Row],[INVERSIONES FCI]])</f>
        <v>93121931082.789764</v>
      </c>
      <c r="BR333" s="5">
        <f>IF($B332&lt;=Tabla5[[#This Row],[INVERSIONES FCI]],+Tabla5[[#This Row],[INVERSIONES FCI]]-BR332,Tabla5[[#This Row],[INVERSIONES FCI]])</f>
        <v>93121931082.789764</v>
      </c>
      <c r="BS333" s="5">
        <f>IF($B332&lt;=Tabla5[[#This Row],[INVERSIONES FCI]],+Tabla5[[#This Row],[INVERSIONES FCI]]-BS332,Tabla5[[#This Row],[INVERSIONES FCI]])</f>
        <v>93121931082.789764</v>
      </c>
      <c r="BT333" s="5">
        <f>IF($B332&lt;=Tabla5[[#This Row],[INVERSIONES FCI]],+Tabla5[[#This Row],[INVERSIONES FCI]]-BT332,Tabla5[[#This Row],[INVERSIONES FCI]])</f>
        <v>93121931082.789764</v>
      </c>
      <c r="BU333" s="5">
        <f>IF($B332&lt;=Tabla5[[#This Row],[INVERSIONES FCI]],+Tabla5[[#This Row],[INVERSIONES FCI]]-BU332,Tabla5[[#This Row],[INVERSIONES FCI]])</f>
        <v>93121931082.789764</v>
      </c>
      <c r="BV333" s="5">
        <f>IF($B332&lt;=Tabla5[[#This Row],[INVERSIONES FCI]],+Tabla5[[#This Row],[INVERSIONES FCI]]-BV332,Tabla5[[#This Row],[INVERSIONES FCI]])</f>
        <v>93121931082.789764</v>
      </c>
      <c r="BW333" s="5">
        <f>IF($B332&lt;=Tabla5[[#This Row],[INVERSIONES FCI]],+Tabla5[[#This Row],[INVERSIONES FCI]]-BW332,Tabla5[[#This Row],[INVERSIONES FCI]])</f>
        <v>93121931082.789764</v>
      </c>
      <c r="BX333" s="5">
        <f>IF($B332&lt;=Tabla5[[#This Row],[INVERSIONES FCI]],+Tabla5[[#This Row],[INVERSIONES FCI]]-BX332,Tabla5[[#This Row],[INVERSIONES FCI]])</f>
        <v>93121931082.789764</v>
      </c>
      <c r="BY333" s="5">
        <f>IF($B332&lt;=Tabla5[[#This Row],[INVERSIONES FCI]],+Tabla5[[#This Row],[INVERSIONES FCI]]-BY332,Tabla5[[#This Row],[INVERSIONES FCI]])</f>
        <v>93121931082.789764</v>
      </c>
      <c r="BZ333" s="5">
        <f>IF($B332&lt;=Tabla5[[#This Row],[INVERSIONES FCI]],+Tabla5[[#This Row],[INVERSIONES FCI]]-BZ332,Tabla5[[#This Row],[INVERSIONES FCI]])</f>
        <v>93121931082.789764</v>
      </c>
      <c r="CA333" s="5">
        <f>IF($B332&lt;=Tabla5[[#This Row],[INVERSIONES FCI]],+Tabla5[[#This Row],[INVERSIONES FCI]]-CA332,Tabla5[[#This Row],[INVERSIONES FCI]])</f>
        <v>93121931082.789764</v>
      </c>
      <c r="CB333" s="5">
        <f>IF($B332&lt;=Tabla5[[#This Row],[INVERSIONES FCI]],+Tabla5[[#This Row],[INVERSIONES FCI]]-CB332,Tabla5[[#This Row],[INVERSIONES FCI]])</f>
        <v>93121931082.789764</v>
      </c>
      <c r="CC333" s="5">
        <f>IF($B332&lt;=Tabla5[[#This Row],[INVERSIONES FCI]],+Tabla5[[#This Row],[INVERSIONES FCI]]-CC332,Tabla5[[#This Row],[INVERSIONES FCI]])</f>
        <v>93121931082.789764</v>
      </c>
      <c r="CD333" s="5">
        <f>IF($B332&lt;=Tabla5[[#This Row],[INVERSIONES FCI]],+Tabla5[[#This Row],[INVERSIONES FCI]]-CD332,Tabla5[[#This Row],[INVERSIONES FCI]])</f>
        <v>93121931082.789764</v>
      </c>
      <c r="CE333" s="5">
        <f>IF($B332&lt;=Tabla5[[#This Row],[INVERSIONES FCI]],+Tabla5[[#This Row],[INVERSIONES FCI]]-CE332,Tabla5[[#This Row],[INVERSIONES FCI]])</f>
        <v>93121931082.789764</v>
      </c>
      <c r="CF333" s="5">
        <f>IF($B332&lt;=Tabla5[[#This Row],[INVERSIONES FCI]],+Tabla5[[#This Row],[INVERSIONES FCI]]-CF332,Tabla5[[#This Row],[INVERSIONES FCI]])</f>
        <v>93121931082.789764</v>
      </c>
      <c r="CG333" s="5">
        <f>IF($B332&lt;=Tabla5[[#This Row],[INVERSIONES FCI]],+Tabla5[[#This Row],[INVERSIONES FCI]]-CG332,Tabla5[[#This Row],[INVERSIONES FCI]])</f>
        <v>93121931082.789764</v>
      </c>
      <c r="CH333" s="5">
        <f>IF($B332&lt;=Tabla5[[#This Row],[INVERSIONES FCI]],+Tabla5[[#This Row],[INVERSIONES FCI]]-CH332,Tabla5[[#This Row],[INVERSIONES FCI]])</f>
        <v>93121931082.789764</v>
      </c>
      <c r="CI333" s="5">
        <f>IF($B332&lt;=Tabla5[[#This Row],[INVERSIONES FCI]],+Tabla5[[#This Row],[INVERSIONES FCI]]-CI332,Tabla5[[#This Row],[INVERSIONES FCI]])</f>
        <v>93121931082.789764</v>
      </c>
      <c r="CJ333" s="5">
        <f>IF($B332&lt;=Tabla5[[#This Row],[INVERSIONES FCI]],+Tabla5[[#This Row],[INVERSIONES FCI]]-CJ332,Tabla5[[#This Row],[INVERSIONES FCI]])</f>
        <v>93121931082.789764</v>
      </c>
      <c r="CK333" s="5">
        <f>IF($B332&lt;=Tabla5[[#This Row],[INVERSIONES FCI]],+Tabla5[[#This Row],[INVERSIONES FCI]]-CK332,Tabla5[[#This Row],[INVERSIONES FCI]])</f>
        <v>93121931082.789764</v>
      </c>
      <c r="CL333" s="5">
        <f>IF($B332&lt;=Tabla5[[#This Row],[INVERSIONES FCI]],+Tabla5[[#This Row],[INVERSIONES FCI]]-CL332,Tabla5[[#This Row],[INVERSIONES FCI]])</f>
        <v>93121931082.789764</v>
      </c>
      <c r="CM333" s="5">
        <f>IF($B332&lt;=Tabla5[[#This Row],[INVERSIONES FCI]],+Tabla5[[#This Row],[INVERSIONES FCI]]-CM332,Tabla5[[#This Row],[INVERSIONES FCI]])</f>
        <v>93121931082.789764</v>
      </c>
      <c r="CN333" s="5">
        <f>IF($B332&lt;=Tabla5[[#This Row],[INVERSIONES FCI]],+Tabla5[[#This Row],[INVERSIONES FCI]]-CN332,Tabla5[[#This Row],[INVERSIONES FCI]])</f>
        <v>93121931082.789764</v>
      </c>
      <c r="CO333" s="5">
        <f>IF($B332&lt;=Tabla5[[#This Row],[INVERSIONES FCI]],+Tabla5[[#This Row],[INVERSIONES FCI]]-CO332,Tabla5[[#This Row],[INVERSIONES FCI]])</f>
        <v>93121931082.789764</v>
      </c>
      <c r="CP333" s="5">
        <f>IF($B332&lt;=Tabla5[[#This Row],[INVERSIONES FCI]],+Tabla5[[#This Row],[INVERSIONES FCI]]-CP332,Tabla5[[#This Row],[INVERSIONES FCI]])</f>
        <v>93121931082.789764</v>
      </c>
      <c r="CQ333" s="5">
        <f>IF($B332&lt;=Tabla5[[#This Row],[INVERSIONES FCI]],+Tabla5[[#This Row],[INVERSIONES FCI]]-CQ332,Tabla5[[#This Row],[INVERSIONES FCI]])</f>
        <v>93121931082.789764</v>
      </c>
      <c r="CR333" s="5">
        <f>IF($B332&lt;=Tabla5[[#This Row],[INVERSIONES FCI]],+Tabla5[[#This Row],[INVERSIONES FCI]]-CR332,Tabla5[[#This Row],[INVERSIONES FCI]])</f>
        <v>93121931082.789764</v>
      </c>
      <c r="CS333" s="5">
        <f>IF($B332&lt;=Tabla5[[#This Row],[INVERSIONES FCI]],+Tabla5[[#This Row],[INVERSIONES FCI]]-CS332,Tabla5[[#This Row],[INVERSIONES FCI]])</f>
        <v>93121931082.789764</v>
      </c>
      <c r="CT333" s="5">
        <f>IF($B332&lt;=Tabla5[[#This Row],[INVERSIONES FCI]],+Tabla5[[#This Row],[INVERSIONES FCI]]-CT332,Tabla5[[#This Row],[INVERSIONES FCI]])</f>
        <v>93121931082.789764</v>
      </c>
      <c r="CU333" s="5">
        <f>IF($B332&lt;=Tabla5[[#This Row],[INVERSIONES FCI]],+Tabla5[[#This Row],[INVERSIONES FCI]]-CU332,Tabla5[[#This Row],[INVERSIONES FCI]])</f>
        <v>93121931082.789764</v>
      </c>
      <c r="CV333" s="5">
        <f>IF($B332&lt;=Tabla5[[#This Row],[INVERSIONES FCI]],+Tabla5[[#This Row],[INVERSIONES FCI]]-CV332,Tabla5[[#This Row],[INVERSIONES FCI]])</f>
        <v>93121931082.789764</v>
      </c>
      <c r="CW333" s="5">
        <f>IF($B332&lt;=Tabla5[[#This Row],[INVERSIONES FCI]],+Tabla5[[#This Row],[INVERSIONES FCI]]-CW332,Tabla5[[#This Row],[INVERSIONES FCI]])</f>
        <v>93121931082.789764</v>
      </c>
      <c r="CX333" s="5">
        <f>IF($B332&lt;=Tabla5[[#This Row],[INVERSIONES FCI]],+Tabla5[[#This Row],[INVERSIONES FCI]]-CX332,Tabla5[[#This Row],[INVERSIONES FCI]])</f>
        <v>93121931082.789764</v>
      </c>
      <c r="CY333" s="5">
        <f>IF($B332&lt;=Tabla5[[#This Row],[INVERSIONES FCI]],+Tabla5[[#This Row],[INVERSIONES FCI]]-CY332,Tabla5[[#This Row],[INVERSIONES FCI]])</f>
        <v>93121931082.789764</v>
      </c>
      <c r="CZ333" s="5">
        <f>IF($B332&lt;=Tabla5[[#This Row],[INVERSIONES FCI]],+Tabla5[[#This Row],[INVERSIONES FCI]]-CZ332,Tabla5[[#This Row],[INVERSIONES FCI]])</f>
        <v>93121931082.789764</v>
      </c>
      <c r="DA333" s="5">
        <f>IF($B332&lt;=Tabla5[[#This Row],[INVERSIONES FCI]],+Tabla5[[#This Row],[INVERSIONES FCI]]-DA332,Tabla5[[#This Row],[INVERSIONES FCI]])</f>
        <v>93121931082.789764</v>
      </c>
      <c r="DB333" s="5">
        <f>IF($B332&lt;=Tabla5[[#This Row],[INVERSIONES FCI]],+Tabla5[[#This Row],[INVERSIONES FCI]]-DB332,Tabla5[[#This Row],[INVERSIONES FCI]])</f>
        <v>93121931082.789764</v>
      </c>
      <c r="DC333" s="5">
        <f>IF($B332&lt;=Tabla5[[#This Row],[INVERSIONES FCI]],+Tabla5[[#This Row],[INVERSIONES FCI]]-DC332,Tabla5[[#This Row],[INVERSIONES FCI]])</f>
        <v>93121931082.789764</v>
      </c>
      <c r="DD333" s="5">
        <f>IF($B332&lt;=Tabla5[[#This Row],[INVERSIONES FCI]],+Tabla5[[#This Row],[INVERSIONES FCI]]-DD332,Tabla5[[#This Row],[INVERSIONES FCI]])</f>
        <v>93121931082.789764</v>
      </c>
      <c r="DE333" s="5">
        <f>IF($B332&lt;=Tabla5[[#This Row],[INVERSIONES FCI]],+Tabla5[[#This Row],[INVERSIONES FCI]]-DE332,Tabla5[[#This Row],[INVERSIONES FCI]])</f>
        <v>93121931082.789764</v>
      </c>
      <c r="DF333" s="5">
        <f>IF($B332&lt;=Tabla5[[#This Row],[INVERSIONES FCI]],+Tabla5[[#This Row],[INVERSIONES FCI]]-DF332,Tabla5[[#This Row],[INVERSIONES FCI]])</f>
        <v>93121931082.789764</v>
      </c>
      <c r="DG333" s="5">
        <f>IF($B332&lt;=Tabla5[[#This Row],[INVERSIONES FCI]],+Tabla5[[#This Row],[INVERSIONES FCI]]-DG332,Tabla5[[#This Row],[INVERSIONES FCI]])</f>
        <v>93121931082.789764</v>
      </c>
      <c r="DH333" s="5">
        <f>IF($B332&lt;=Tabla5[[#This Row],[INVERSIONES FCI]],+Tabla5[[#This Row],[INVERSIONES FCI]]-DH332,Tabla5[[#This Row],[INVERSIONES FCI]])</f>
        <v>93121931082.789764</v>
      </c>
      <c r="DI333" s="5">
        <f>IF($B332&lt;=Tabla5[[#This Row],[INVERSIONES FCI]],+Tabla5[[#This Row],[INVERSIONES FCI]]-DI332,Tabla5[[#This Row],[INVERSIONES FCI]])</f>
        <v>93121931082.789764</v>
      </c>
      <c r="DJ333" s="5">
        <f>IF($B332&lt;=Tabla5[[#This Row],[INVERSIONES FCI]],+Tabla5[[#This Row],[INVERSIONES FCI]]-DJ332,Tabla5[[#This Row],[INVERSIONES FCI]])</f>
        <v>93121931082.789764</v>
      </c>
      <c r="DK333" s="5">
        <f>IF($B332&lt;=Tabla5[[#This Row],[INVERSIONES FCI]],+Tabla5[[#This Row],[INVERSIONES FCI]]-DK332,Tabla5[[#This Row],[INVERSIONES FCI]])</f>
        <v>93121931082.789764</v>
      </c>
      <c r="DL333" s="5"/>
      <c r="DM333" s="5"/>
      <c r="DN333" s="5"/>
      <c r="DO333" s="5"/>
      <c r="DP333" s="5"/>
      <c r="DQ333" s="5"/>
    </row>
    <row r="334" spans="1:121" ht="14.4">
      <c r="A334" s="12" t="s">
        <v>333</v>
      </c>
      <c r="B334" s="5">
        <f>HLOOKUP($A334,ESCENARIO[#All],7,FALSE)</f>
        <v>73519374549.315445</v>
      </c>
      <c r="C334" s="5">
        <f>IF($B333&lt;=Tabla5[[#This Row],[INVERSIONES FCI]],+Tabla5[[#This Row],[INVERSIONES FCI]]-C333,Tabla5[[#This Row],[INVERSIONES FCI]])</f>
        <v>73519374549.315445</v>
      </c>
      <c r="D334" s="5">
        <f>IF($B333&lt;=Tabla5[[#This Row],[INVERSIONES FCI]],+Tabla5[[#This Row],[INVERSIONES FCI]]-D333,Tabla5[[#This Row],[INVERSIONES FCI]])</f>
        <v>73519374549.315445</v>
      </c>
      <c r="E334" s="5">
        <f>IF($B333&lt;=Tabla5[[#This Row],[INVERSIONES FCI]],+Tabla5[[#This Row],[INVERSIONES FCI]]-E333,Tabla5[[#This Row],[INVERSIONES FCI]])</f>
        <v>73519374549.315445</v>
      </c>
      <c r="F334" s="5">
        <f>IF($B333&lt;=Tabla5[[#This Row],[INVERSIONES FCI]],+Tabla5[[#This Row],[INVERSIONES FCI]]-F333,Tabla5[[#This Row],[INVERSIONES FCI]])</f>
        <v>73519374549.315445</v>
      </c>
      <c r="G334" s="5">
        <f>IF($B333&lt;=Tabla5[[#This Row],[INVERSIONES FCI]],+Tabla5[[#This Row],[INVERSIONES FCI]]-G333,Tabla5[[#This Row],[INVERSIONES FCI]])</f>
        <v>73519374549.315445</v>
      </c>
      <c r="H334" s="5">
        <f>IF($B333&lt;=Tabla5[[#This Row],[INVERSIONES FCI]],+Tabla5[[#This Row],[INVERSIONES FCI]]-H333,Tabla5[[#This Row],[INVERSIONES FCI]])</f>
        <v>73519374549.315445</v>
      </c>
      <c r="I334" s="5">
        <f>IF($B333&lt;=Tabla5[[#This Row],[INVERSIONES FCI]],+Tabla5[[#This Row],[INVERSIONES FCI]]-I333,Tabla5[[#This Row],[INVERSIONES FCI]])</f>
        <v>73519374549.315445</v>
      </c>
      <c r="J334" s="5">
        <f>IF($B333&lt;=Tabla5[[#This Row],[INVERSIONES FCI]],+Tabla5[[#This Row],[INVERSIONES FCI]]-J333,Tabla5[[#This Row],[INVERSIONES FCI]])</f>
        <v>73519374549.315445</v>
      </c>
      <c r="K334" s="5">
        <f>IF($B333&lt;=Tabla5[[#This Row],[INVERSIONES FCI]],+Tabla5[[#This Row],[INVERSIONES FCI]]-K333,Tabla5[[#This Row],[INVERSIONES FCI]])</f>
        <v>73519374549.315445</v>
      </c>
      <c r="L334" s="5">
        <f>IF($B333&lt;=Tabla5[[#This Row],[INVERSIONES FCI]],+Tabla5[[#This Row],[INVERSIONES FCI]]-L333,Tabla5[[#This Row],[INVERSIONES FCI]])</f>
        <v>73519374549.315445</v>
      </c>
      <c r="M334" s="5">
        <f>IF($B333&lt;=Tabla5[[#This Row],[INVERSIONES FCI]],+Tabla5[[#This Row],[INVERSIONES FCI]]-M333,Tabla5[[#This Row],[INVERSIONES FCI]])</f>
        <v>73519374549.315445</v>
      </c>
      <c r="N334" s="5">
        <f>IF($B333&lt;=Tabla5[[#This Row],[INVERSIONES FCI]],+Tabla5[[#This Row],[INVERSIONES FCI]]-N333,Tabla5[[#This Row],[INVERSIONES FCI]])</f>
        <v>73519374549.315445</v>
      </c>
      <c r="O334" s="5">
        <f>IF($B333&lt;=Tabla5[[#This Row],[INVERSIONES FCI]],+Tabla5[[#This Row],[INVERSIONES FCI]]-O333,Tabla5[[#This Row],[INVERSIONES FCI]])</f>
        <v>73519374549.315445</v>
      </c>
      <c r="P334" s="5">
        <f>IF($B333&lt;=Tabla5[[#This Row],[INVERSIONES FCI]],+Tabla5[[#This Row],[INVERSIONES FCI]]-P333,Tabla5[[#This Row],[INVERSIONES FCI]])</f>
        <v>73519374549.315445</v>
      </c>
      <c r="Q334" s="5">
        <f>IF($B333&lt;=Tabla5[[#This Row],[INVERSIONES FCI]],+Tabla5[[#This Row],[INVERSIONES FCI]]-Q333,Tabla5[[#This Row],[INVERSIONES FCI]])</f>
        <v>73519374549.315445</v>
      </c>
      <c r="R334" s="5">
        <f>IF($B333&lt;=Tabla5[[#This Row],[INVERSIONES FCI]],+Tabla5[[#This Row],[INVERSIONES FCI]]-R333,Tabla5[[#This Row],[INVERSIONES FCI]])</f>
        <v>73519374549.315445</v>
      </c>
      <c r="S334" s="5">
        <f>IF($B333&lt;=Tabla5[[#This Row],[INVERSIONES FCI]],+Tabla5[[#This Row],[INVERSIONES FCI]]-S333,Tabla5[[#This Row],[INVERSIONES FCI]])</f>
        <v>73519374549.315445</v>
      </c>
      <c r="T334" s="5">
        <f>IF($B333&lt;=Tabla5[[#This Row],[INVERSIONES FCI]],+Tabla5[[#This Row],[INVERSIONES FCI]]-T333,Tabla5[[#This Row],[INVERSIONES FCI]])</f>
        <v>73519374549.315445</v>
      </c>
      <c r="U334" s="5">
        <f>IF($B333&lt;=Tabla5[[#This Row],[INVERSIONES FCI]],+Tabla5[[#This Row],[INVERSIONES FCI]]-U333,Tabla5[[#This Row],[INVERSIONES FCI]])</f>
        <v>73519374549.315445</v>
      </c>
      <c r="V334" s="5">
        <f>IF($B333&lt;=Tabla5[[#This Row],[INVERSIONES FCI]],+Tabla5[[#This Row],[INVERSIONES FCI]]-V333,Tabla5[[#This Row],[INVERSIONES FCI]])</f>
        <v>73519374549.315445</v>
      </c>
      <c r="W334" s="5">
        <f>IF($B333&lt;=Tabla5[[#This Row],[INVERSIONES FCI]],+Tabla5[[#This Row],[INVERSIONES FCI]]-W333,Tabla5[[#This Row],[INVERSIONES FCI]])</f>
        <v>73519374549.315445</v>
      </c>
      <c r="X334" s="5">
        <f>IF($B333&lt;=Tabla5[[#This Row],[INVERSIONES FCI]],+Tabla5[[#This Row],[INVERSIONES FCI]]-X333,Tabla5[[#This Row],[INVERSIONES FCI]])</f>
        <v>73519374549.315445</v>
      </c>
      <c r="Y334" s="5">
        <f>IF($B333&lt;=Tabla5[[#This Row],[INVERSIONES FCI]],+Tabla5[[#This Row],[INVERSIONES FCI]]-Y333,Tabla5[[#This Row],[INVERSIONES FCI]])</f>
        <v>73519374549.315445</v>
      </c>
      <c r="Z334" s="5">
        <f>IF($B333&lt;=Tabla5[[#This Row],[INVERSIONES FCI]],+Tabla5[[#This Row],[INVERSIONES FCI]]-Z333,Tabla5[[#This Row],[INVERSIONES FCI]])</f>
        <v>73519374549.315445</v>
      </c>
      <c r="AA334" s="5">
        <f>IF($B333&lt;=Tabla5[[#This Row],[INVERSIONES FCI]],+Tabla5[[#This Row],[INVERSIONES FCI]]-AA333,Tabla5[[#This Row],[INVERSIONES FCI]])</f>
        <v>73519374549.315445</v>
      </c>
      <c r="AB334" s="5">
        <f>IF($B333&lt;=Tabla5[[#This Row],[INVERSIONES FCI]],+Tabla5[[#This Row],[INVERSIONES FCI]]-AB333,Tabla5[[#This Row],[INVERSIONES FCI]])</f>
        <v>73519374549.315445</v>
      </c>
      <c r="AC334" s="5">
        <f>IF($B333&lt;=Tabla5[[#This Row],[INVERSIONES FCI]],+Tabla5[[#This Row],[INVERSIONES FCI]]-AC333,Tabla5[[#This Row],[INVERSIONES FCI]])</f>
        <v>73519374549.315445</v>
      </c>
      <c r="AD334" s="5">
        <f>IF($B333&lt;=Tabla5[[#This Row],[INVERSIONES FCI]],+Tabla5[[#This Row],[INVERSIONES FCI]]-AD333,Tabla5[[#This Row],[INVERSIONES FCI]])</f>
        <v>73519374549.315445</v>
      </c>
      <c r="AE334" s="5">
        <f>IF($B333&lt;=Tabla5[[#This Row],[INVERSIONES FCI]],+Tabla5[[#This Row],[INVERSIONES FCI]]-AE333,Tabla5[[#This Row],[INVERSIONES FCI]])</f>
        <v>73519374549.315445</v>
      </c>
      <c r="AF334" s="5">
        <f>IF($B333&lt;=Tabla5[[#This Row],[INVERSIONES FCI]],+Tabla5[[#This Row],[INVERSIONES FCI]]-AF333,Tabla5[[#This Row],[INVERSIONES FCI]])</f>
        <v>73519374549.315445</v>
      </c>
      <c r="AG334" s="5">
        <f>IF($B333&lt;=Tabla5[[#This Row],[INVERSIONES FCI]],+Tabla5[[#This Row],[INVERSIONES FCI]]-AG333,Tabla5[[#This Row],[INVERSIONES FCI]])</f>
        <v>73519374549.315445</v>
      </c>
      <c r="AH334" s="5">
        <f>IF($B333&lt;=Tabla5[[#This Row],[INVERSIONES FCI]],+Tabla5[[#This Row],[INVERSIONES FCI]]-AH333,Tabla5[[#This Row],[INVERSIONES FCI]])</f>
        <v>73519374549.315445</v>
      </c>
      <c r="AI334" s="5">
        <f>IF($B333&lt;=Tabla5[[#This Row],[INVERSIONES FCI]],+Tabla5[[#This Row],[INVERSIONES FCI]]-AI333,Tabla5[[#This Row],[INVERSIONES FCI]])</f>
        <v>73519374549.315445</v>
      </c>
      <c r="AJ334" s="5">
        <f>IF($B333&lt;=Tabla5[[#This Row],[INVERSIONES FCI]],+Tabla5[[#This Row],[INVERSIONES FCI]]-AJ333,Tabla5[[#This Row],[INVERSIONES FCI]])</f>
        <v>73519374549.315445</v>
      </c>
      <c r="AK334" s="5">
        <f>IF($B333&lt;=Tabla5[[#This Row],[INVERSIONES FCI]],+Tabla5[[#This Row],[INVERSIONES FCI]]-AK333,Tabla5[[#This Row],[INVERSIONES FCI]])</f>
        <v>73519374549.315445</v>
      </c>
      <c r="AL334" s="5">
        <f>IF($B333&lt;=Tabla5[[#This Row],[INVERSIONES FCI]],+Tabla5[[#This Row],[INVERSIONES FCI]]-AL333,Tabla5[[#This Row],[INVERSIONES FCI]])</f>
        <v>73519374549.315445</v>
      </c>
      <c r="AM334" s="5">
        <f>IF($B333&lt;=Tabla5[[#This Row],[INVERSIONES FCI]],+Tabla5[[#This Row],[INVERSIONES FCI]]-AM333,Tabla5[[#This Row],[INVERSIONES FCI]])</f>
        <v>73519374549.315445</v>
      </c>
      <c r="AN334" s="5">
        <f>IF($B333&lt;=Tabla5[[#This Row],[INVERSIONES FCI]],+Tabla5[[#This Row],[INVERSIONES FCI]]-AN333,Tabla5[[#This Row],[INVERSIONES FCI]])</f>
        <v>73519374549.315445</v>
      </c>
      <c r="AO334" s="5">
        <f>IF($B333&lt;=Tabla5[[#This Row],[INVERSIONES FCI]],+Tabla5[[#This Row],[INVERSIONES FCI]]-AO333,Tabla5[[#This Row],[INVERSIONES FCI]])</f>
        <v>73519374549.315445</v>
      </c>
      <c r="AP334" s="5">
        <f>IF($B333&lt;=Tabla5[[#This Row],[INVERSIONES FCI]],+Tabla5[[#This Row],[INVERSIONES FCI]]-AP333,Tabla5[[#This Row],[INVERSIONES FCI]])</f>
        <v>73519374549.315445</v>
      </c>
      <c r="AQ334" s="5">
        <f>IF($B333&lt;=Tabla5[[#This Row],[INVERSIONES FCI]],+Tabla5[[#This Row],[INVERSIONES FCI]]-AQ333,Tabla5[[#This Row],[INVERSIONES FCI]])</f>
        <v>73519374549.315445</v>
      </c>
      <c r="AR334" s="5">
        <f>IF($B333&lt;=Tabla5[[#This Row],[INVERSIONES FCI]],+Tabla5[[#This Row],[INVERSIONES FCI]]-AR333,Tabla5[[#This Row],[INVERSIONES FCI]])</f>
        <v>73519374549.315445</v>
      </c>
      <c r="AS334" s="5">
        <f>IF($B333&lt;=Tabla5[[#This Row],[INVERSIONES FCI]],+Tabla5[[#This Row],[INVERSIONES FCI]]-AS333,Tabla5[[#This Row],[INVERSIONES FCI]])</f>
        <v>73519374549.315445</v>
      </c>
      <c r="AT334" s="5">
        <f>IF($B333&lt;=Tabla5[[#This Row],[INVERSIONES FCI]],+Tabla5[[#This Row],[INVERSIONES FCI]]-AT333,Tabla5[[#This Row],[INVERSIONES FCI]])</f>
        <v>73519374549.315445</v>
      </c>
      <c r="AU334" s="5">
        <f>IF($B333&lt;=Tabla5[[#This Row],[INVERSIONES FCI]],+Tabla5[[#This Row],[INVERSIONES FCI]]-AU333,Tabla5[[#This Row],[INVERSIONES FCI]])</f>
        <v>73519374549.315445</v>
      </c>
      <c r="AV334" s="5">
        <f>IF($B333&lt;=Tabla5[[#This Row],[INVERSIONES FCI]],+Tabla5[[#This Row],[INVERSIONES FCI]]-AV333,Tabla5[[#This Row],[INVERSIONES FCI]])</f>
        <v>73519374549.315445</v>
      </c>
      <c r="AW334" s="5">
        <f>IF($B333&lt;=Tabla5[[#This Row],[INVERSIONES FCI]],+Tabla5[[#This Row],[INVERSIONES FCI]]-AW333,Tabla5[[#This Row],[INVERSIONES FCI]])</f>
        <v>73519374549.315445</v>
      </c>
      <c r="AX334" s="5">
        <f>IF($B333&lt;=Tabla5[[#This Row],[INVERSIONES FCI]],+Tabla5[[#This Row],[INVERSIONES FCI]]-AX333,Tabla5[[#This Row],[INVERSIONES FCI]])</f>
        <v>73519374549.315445</v>
      </c>
      <c r="AY334" s="5">
        <f>IF($B333&lt;=Tabla5[[#This Row],[INVERSIONES FCI]],+Tabla5[[#This Row],[INVERSIONES FCI]]-AY333,Tabla5[[#This Row],[INVERSIONES FCI]])</f>
        <v>73519374549.315445</v>
      </c>
      <c r="AZ334" s="5">
        <f>IF($B333&lt;=Tabla5[[#This Row],[INVERSIONES FCI]],+Tabla5[[#This Row],[INVERSIONES FCI]]-AZ333,Tabla5[[#This Row],[INVERSIONES FCI]])</f>
        <v>73519374549.315445</v>
      </c>
      <c r="BA334" s="5">
        <f>IF($B333&lt;=Tabla5[[#This Row],[INVERSIONES FCI]],+Tabla5[[#This Row],[INVERSIONES FCI]]-BA333,Tabla5[[#This Row],[INVERSIONES FCI]])</f>
        <v>73519374549.315445</v>
      </c>
      <c r="BB334" s="5">
        <f>IF($B333&lt;=Tabla5[[#This Row],[INVERSIONES FCI]],+Tabla5[[#This Row],[INVERSIONES FCI]]-BB333,Tabla5[[#This Row],[INVERSIONES FCI]])</f>
        <v>73519374549.315445</v>
      </c>
      <c r="BC334" s="5">
        <f>IF($B333&lt;=Tabla5[[#This Row],[INVERSIONES FCI]],+Tabla5[[#This Row],[INVERSIONES FCI]]-BC333,Tabla5[[#This Row],[INVERSIONES FCI]])</f>
        <v>73519374549.315445</v>
      </c>
      <c r="BD334" s="5">
        <f>IF($B333&lt;=Tabla5[[#This Row],[INVERSIONES FCI]],+Tabla5[[#This Row],[INVERSIONES FCI]]-BD333,Tabla5[[#This Row],[INVERSIONES FCI]])</f>
        <v>73519374549.315445</v>
      </c>
      <c r="BE334" s="5">
        <f>IF($B333&lt;=Tabla5[[#This Row],[INVERSIONES FCI]],+Tabla5[[#This Row],[INVERSIONES FCI]]-BE333,Tabla5[[#This Row],[INVERSIONES FCI]])</f>
        <v>73519374549.315445</v>
      </c>
      <c r="BF334" s="5">
        <f>IF($B333&lt;=Tabla5[[#This Row],[INVERSIONES FCI]],+Tabla5[[#This Row],[INVERSIONES FCI]]-BF333,Tabla5[[#This Row],[INVERSIONES FCI]])</f>
        <v>73519374549.315445</v>
      </c>
      <c r="BG334" s="5">
        <f>IF($B333&lt;=Tabla5[[#This Row],[INVERSIONES FCI]],+Tabla5[[#This Row],[INVERSIONES FCI]]-BG333,Tabla5[[#This Row],[INVERSIONES FCI]])</f>
        <v>73519374549.315445</v>
      </c>
      <c r="BH334" s="5">
        <f>IF($B333&lt;=Tabla5[[#This Row],[INVERSIONES FCI]],+Tabla5[[#This Row],[INVERSIONES FCI]]-BH333,Tabla5[[#This Row],[INVERSIONES FCI]])</f>
        <v>73519374549.315445</v>
      </c>
      <c r="BI334" s="5">
        <f>IF($B333&lt;=Tabla5[[#This Row],[INVERSIONES FCI]],+Tabla5[[#This Row],[INVERSIONES FCI]]-BI333,Tabla5[[#This Row],[INVERSIONES FCI]])</f>
        <v>73519374549.315445</v>
      </c>
      <c r="BJ334" s="5">
        <f>IF($B333&lt;=Tabla5[[#This Row],[INVERSIONES FCI]],+Tabla5[[#This Row],[INVERSIONES FCI]]-BJ333,Tabla5[[#This Row],[INVERSIONES FCI]])</f>
        <v>73519374549.315445</v>
      </c>
      <c r="BK334" s="5">
        <f>IF($B333&lt;=Tabla5[[#This Row],[INVERSIONES FCI]],+Tabla5[[#This Row],[INVERSIONES FCI]]-BK333,Tabla5[[#This Row],[INVERSIONES FCI]])</f>
        <v>73519374549.315445</v>
      </c>
      <c r="BL334" s="5">
        <f>IF($B333&lt;=Tabla5[[#This Row],[INVERSIONES FCI]],+Tabla5[[#This Row],[INVERSIONES FCI]]-BL333,Tabla5[[#This Row],[INVERSIONES FCI]])</f>
        <v>73519374549.315445</v>
      </c>
      <c r="BM334" s="5">
        <f>IF($B333&lt;=Tabla5[[#This Row],[INVERSIONES FCI]],+Tabla5[[#This Row],[INVERSIONES FCI]]-BM333,Tabla5[[#This Row],[INVERSIONES FCI]])</f>
        <v>73519374549.315445</v>
      </c>
      <c r="BN334" s="5">
        <f>IF($B333&lt;=Tabla5[[#This Row],[INVERSIONES FCI]],+Tabla5[[#This Row],[INVERSIONES FCI]]-BN333,Tabla5[[#This Row],[INVERSIONES FCI]])</f>
        <v>73519374549.315445</v>
      </c>
      <c r="BO334" s="5">
        <f>IF($B333&lt;=Tabla5[[#This Row],[INVERSIONES FCI]],+Tabla5[[#This Row],[INVERSIONES FCI]]-BO333,Tabla5[[#This Row],[INVERSIONES FCI]])</f>
        <v>73519374549.315445</v>
      </c>
      <c r="BP334" s="5">
        <f>IF($B333&lt;=Tabla5[[#This Row],[INVERSIONES FCI]],+Tabla5[[#This Row],[INVERSIONES FCI]]-BP333,Tabla5[[#This Row],[INVERSIONES FCI]])</f>
        <v>73519374549.315445</v>
      </c>
      <c r="BQ334" s="5">
        <f>IF($B333&lt;=Tabla5[[#This Row],[INVERSIONES FCI]],+Tabla5[[#This Row],[INVERSIONES FCI]]-BQ333,Tabla5[[#This Row],[INVERSIONES FCI]])</f>
        <v>73519374549.315445</v>
      </c>
      <c r="BR334" s="5">
        <f>IF($B333&lt;=Tabla5[[#This Row],[INVERSIONES FCI]],+Tabla5[[#This Row],[INVERSIONES FCI]]-BR333,Tabla5[[#This Row],[INVERSIONES FCI]])</f>
        <v>73519374549.315445</v>
      </c>
      <c r="BS334" s="5">
        <f>IF($B333&lt;=Tabla5[[#This Row],[INVERSIONES FCI]],+Tabla5[[#This Row],[INVERSIONES FCI]]-BS333,Tabla5[[#This Row],[INVERSIONES FCI]])</f>
        <v>73519374549.315445</v>
      </c>
      <c r="BT334" s="5">
        <f>IF($B333&lt;=Tabla5[[#This Row],[INVERSIONES FCI]],+Tabla5[[#This Row],[INVERSIONES FCI]]-BT333,Tabla5[[#This Row],[INVERSIONES FCI]])</f>
        <v>73519374549.315445</v>
      </c>
      <c r="BU334" s="5">
        <f>IF($B333&lt;=Tabla5[[#This Row],[INVERSIONES FCI]],+Tabla5[[#This Row],[INVERSIONES FCI]]-BU333,Tabla5[[#This Row],[INVERSIONES FCI]])</f>
        <v>73519374549.315445</v>
      </c>
      <c r="BV334" s="5">
        <f>IF($B333&lt;=Tabla5[[#This Row],[INVERSIONES FCI]],+Tabla5[[#This Row],[INVERSIONES FCI]]-BV333,Tabla5[[#This Row],[INVERSIONES FCI]])</f>
        <v>73519374549.315445</v>
      </c>
      <c r="BW334" s="5">
        <f>IF($B333&lt;=Tabla5[[#This Row],[INVERSIONES FCI]],+Tabla5[[#This Row],[INVERSIONES FCI]]-BW333,Tabla5[[#This Row],[INVERSIONES FCI]])</f>
        <v>73519374549.315445</v>
      </c>
      <c r="BX334" s="5">
        <f>IF($B333&lt;=Tabla5[[#This Row],[INVERSIONES FCI]],+Tabla5[[#This Row],[INVERSIONES FCI]]-BX333,Tabla5[[#This Row],[INVERSIONES FCI]])</f>
        <v>73519374549.315445</v>
      </c>
      <c r="BY334" s="5">
        <f>IF($B333&lt;=Tabla5[[#This Row],[INVERSIONES FCI]],+Tabla5[[#This Row],[INVERSIONES FCI]]-BY333,Tabla5[[#This Row],[INVERSIONES FCI]])</f>
        <v>73519374549.315445</v>
      </c>
      <c r="BZ334" s="5">
        <f>IF($B333&lt;=Tabla5[[#This Row],[INVERSIONES FCI]],+Tabla5[[#This Row],[INVERSIONES FCI]]-BZ333,Tabla5[[#This Row],[INVERSIONES FCI]])</f>
        <v>73519374549.315445</v>
      </c>
      <c r="CA334" s="5">
        <f>IF($B333&lt;=Tabla5[[#This Row],[INVERSIONES FCI]],+Tabla5[[#This Row],[INVERSIONES FCI]]-CA333,Tabla5[[#This Row],[INVERSIONES FCI]])</f>
        <v>73519374549.315445</v>
      </c>
      <c r="CB334" s="5">
        <f>IF($B333&lt;=Tabla5[[#This Row],[INVERSIONES FCI]],+Tabla5[[#This Row],[INVERSIONES FCI]]-CB333,Tabla5[[#This Row],[INVERSIONES FCI]])</f>
        <v>73519374549.315445</v>
      </c>
      <c r="CC334" s="5">
        <f>IF($B333&lt;=Tabla5[[#This Row],[INVERSIONES FCI]],+Tabla5[[#This Row],[INVERSIONES FCI]]-CC333,Tabla5[[#This Row],[INVERSIONES FCI]])</f>
        <v>73519374549.315445</v>
      </c>
      <c r="CD334" s="5">
        <f>IF($B333&lt;=Tabla5[[#This Row],[INVERSIONES FCI]],+Tabla5[[#This Row],[INVERSIONES FCI]]-CD333,Tabla5[[#This Row],[INVERSIONES FCI]])</f>
        <v>73519374549.315445</v>
      </c>
      <c r="CE334" s="5">
        <f>IF($B333&lt;=Tabla5[[#This Row],[INVERSIONES FCI]],+Tabla5[[#This Row],[INVERSIONES FCI]]-CE333,Tabla5[[#This Row],[INVERSIONES FCI]])</f>
        <v>73519374549.315445</v>
      </c>
      <c r="CF334" s="5">
        <f>IF($B333&lt;=Tabla5[[#This Row],[INVERSIONES FCI]],+Tabla5[[#This Row],[INVERSIONES FCI]]-CF333,Tabla5[[#This Row],[INVERSIONES FCI]])</f>
        <v>73519374549.315445</v>
      </c>
      <c r="CG334" s="5">
        <f>IF($B333&lt;=Tabla5[[#This Row],[INVERSIONES FCI]],+Tabla5[[#This Row],[INVERSIONES FCI]]-CG333,Tabla5[[#This Row],[INVERSIONES FCI]])</f>
        <v>73519374549.315445</v>
      </c>
      <c r="CH334" s="5">
        <f>IF($B333&lt;=Tabla5[[#This Row],[INVERSIONES FCI]],+Tabla5[[#This Row],[INVERSIONES FCI]]-CH333,Tabla5[[#This Row],[INVERSIONES FCI]])</f>
        <v>73519374549.315445</v>
      </c>
      <c r="CI334" s="5">
        <f>IF($B333&lt;=Tabla5[[#This Row],[INVERSIONES FCI]],+Tabla5[[#This Row],[INVERSIONES FCI]]-CI333,Tabla5[[#This Row],[INVERSIONES FCI]])</f>
        <v>73519374549.315445</v>
      </c>
      <c r="CJ334" s="5">
        <f>IF($B333&lt;=Tabla5[[#This Row],[INVERSIONES FCI]],+Tabla5[[#This Row],[INVERSIONES FCI]]-CJ333,Tabla5[[#This Row],[INVERSIONES FCI]])</f>
        <v>73519374549.315445</v>
      </c>
      <c r="CK334" s="5">
        <f>IF($B333&lt;=Tabla5[[#This Row],[INVERSIONES FCI]],+Tabla5[[#This Row],[INVERSIONES FCI]]-CK333,Tabla5[[#This Row],[INVERSIONES FCI]])</f>
        <v>73519374549.315445</v>
      </c>
      <c r="CL334" s="5">
        <f>IF($B333&lt;=Tabla5[[#This Row],[INVERSIONES FCI]],+Tabla5[[#This Row],[INVERSIONES FCI]]-CL333,Tabla5[[#This Row],[INVERSIONES FCI]])</f>
        <v>73519374549.315445</v>
      </c>
      <c r="CM334" s="5">
        <f>IF($B333&lt;=Tabla5[[#This Row],[INVERSIONES FCI]],+Tabla5[[#This Row],[INVERSIONES FCI]]-CM333,Tabla5[[#This Row],[INVERSIONES FCI]])</f>
        <v>73519374549.315445</v>
      </c>
      <c r="CN334" s="5">
        <f>IF($B333&lt;=Tabla5[[#This Row],[INVERSIONES FCI]],+Tabla5[[#This Row],[INVERSIONES FCI]]-CN333,Tabla5[[#This Row],[INVERSIONES FCI]])</f>
        <v>73519374549.315445</v>
      </c>
      <c r="CO334" s="5">
        <f>IF($B333&lt;=Tabla5[[#This Row],[INVERSIONES FCI]],+Tabla5[[#This Row],[INVERSIONES FCI]]-CO333,Tabla5[[#This Row],[INVERSIONES FCI]])</f>
        <v>73519374549.315445</v>
      </c>
      <c r="CP334" s="5">
        <f>IF($B333&lt;=Tabla5[[#This Row],[INVERSIONES FCI]],+Tabla5[[#This Row],[INVERSIONES FCI]]-CP333,Tabla5[[#This Row],[INVERSIONES FCI]])</f>
        <v>73519374549.315445</v>
      </c>
      <c r="CQ334" s="5">
        <f>IF($B333&lt;=Tabla5[[#This Row],[INVERSIONES FCI]],+Tabla5[[#This Row],[INVERSIONES FCI]]-CQ333,Tabla5[[#This Row],[INVERSIONES FCI]])</f>
        <v>73519374549.315445</v>
      </c>
      <c r="CR334" s="5">
        <f>IF($B333&lt;=Tabla5[[#This Row],[INVERSIONES FCI]],+Tabla5[[#This Row],[INVERSIONES FCI]]-CR333,Tabla5[[#This Row],[INVERSIONES FCI]])</f>
        <v>73519374549.315445</v>
      </c>
      <c r="CS334" s="5">
        <f>IF($B333&lt;=Tabla5[[#This Row],[INVERSIONES FCI]],+Tabla5[[#This Row],[INVERSIONES FCI]]-CS333,Tabla5[[#This Row],[INVERSIONES FCI]])</f>
        <v>73519374549.315445</v>
      </c>
      <c r="CT334" s="5">
        <f>IF($B333&lt;=Tabla5[[#This Row],[INVERSIONES FCI]],+Tabla5[[#This Row],[INVERSIONES FCI]]-CT333,Tabla5[[#This Row],[INVERSIONES FCI]])</f>
        <v>73519374549.315445</v>
      </c>
      <c r="CU334" s="5">
        <f>IF($B333&lt;=Tabla5[[#This Row],[INVERSIONES FCI]],+Tabla5[[#This Row],[INVERSIONES FCI]]-CU333,Tabla5[[#This Row],[INVERSIONES FCI]])</f>
        <v>73519374549.315445</v>
      </c>
      <c r="CV334" s="5">
        <f>IF($B333&lt;=Tabla5[[#This Row],[INVERSIONES FCI]],+Tabla5[[#This Row],[INVERSIONES FCI]]-CV333,Tabla5[[#This Row],[INVERSIONES FCI]])</f>
        <v>73519374549.315445</v>
      </c>
      <c r="CW334" s="5">
        <f>IF($B333&lt;=Tabla5[[#This Row],[INVERSIONES FCI]],+Tabla5[[#This Row],[INVERSIONES FCI]]-CW333,Tabla5[[#This Row],[INVERSIONES FCI]])</f>
        <v>73519374549.315445</v>
      </c>
      <c r="CX334" s="5">
        <f>IF($B333&lt;=Tabla5[[#This Row],[INVERSIONES FCI]],+Tabla5[[#This Row],[INVERSIONES FCI]]-CX333,Tabla5[[#This Row],[INVERSIONES FCI]])</f>
        <v>73519374549.315445</v>
      </c>
      <c r="CY334" s="5">
        <f>IF($B333&lt;=Tabla5[[#This Row],[INVERSIONES FCI]],+Tabla5[[#This Row],[INVERSIONES FCI]]-CY333,Tabla5[[#This Row],[INVERSIONES FCI]])</f>
        <v>73519374549.315445</v>
      </c>
      <c r="CZ334" s="5">
        <f>IF($B333&lt;=Tabla5[[#This Row],[INVERSIONES FCI]],+Tabla5[[#This Row],[INVERSIONES FCI]]-CZ333,Tabla5[[#This Row],[INVERSIONES FCI]])</f>
        <v>73519374549.315445</v>
      </c>
      <c r="DA334" s="5">
        <f>IF($B333&lt;=Tabla5[[#This Row],[INVERSIONES FCI]],+Tabla5[[#This Row],[INVERSIONES FCI]]-DA333,Tabla5[[#This Row],[INVERSIONES FCI]])</f>
        <v>73519374549.315445</v>
      </c>
      <c r="DB334" s="5">
        <f>IF($B333&lt;=Tabla5[[#This Row],[INVERSIONES FCI]],+Tabla5[[#This Row],[INVERSIONES FCI]]-DB333,Tabla5[[#This Row],[INVERSIONES FCI]])</f>
        <v>73519374549.315445</v>
      </c>
      <c r="DC334" s="5">
        <f>IF($B333&lt;=Tabla5[[#This Row],[INVERSIONES FCI]],+Tabla5[[#This Row],[INVERSIONES FCI]]-DC333,Tabla5[[#This Row],[INVERSIONES FCI]])</f>
        <v>73519374549.315445</v>
      </c>
      <c r="DD334" s="5">
        <f>IF($B333&lt;=Tabla5[[#This Row],[INVERSIONES FCI]],+Tabla5[[#This Row],[INVERSIONES FCI]]-DD333,Tabla5[[#This Row],[INVERSIONES FCI]])</f>
        <v>73519374549.315445</v>
      </c>
      <c r="DE334" s="5">
        <f>IF($B333&lt;=Tabla5[[#This Row],[INVERSIONES FCI]],+Tabla5[[#This Row],[INVERSIONES FCI]]-DE333,Tabla5[[#This Row],[INVERSIONES FCI]])</f>
        <v>73519374549.315445</v>
      </c>
      <c r="DF334" s="5">
        <f>IF($B333&lt;=Tabla5[[#This Row],[INVERSIONES FCI]],+Tabla5[[#This Row],[INVERSIONES FCI]]-DF333,Tabla5[[#This Row],[INVERSIONES FCI]])</f>
        <v>73519374549.315445</v>
      </c>
      <c r="DG334" s="5">
        <f>IF($B333&lt;=Tabla5[[#This Row],[INVERSIONES FCI]],+Tabla5[[#This Row],[INVERSIONES FCI]]-DG333,Tabla5[[#This Row],[INVERSIONES FCI]])</f>
        <v>73519374549.315445</v>
      </c>
      <c r="DH334" s="5">
        <f>IF($B333&lt;=Tabla5[[#This Row],[INVERSIONES FCI]],+Tabla5[[#This Row],[INVERSIONES FCI]]-DH333,Tabla5[[#This Row],[INVERSIONES FCI]])</f>
        <v>73519374549.315445</v>
      </c>
      <c r="DI334" s="5">
        <f>IF($B333&lt;=Tabla5[[#This Row],[INVERSIONES FCI]],+Tabla5[[#This Row],[INVERSIONES FCI]]-DI333,Tabla5[[#This Row],[INVERSIONES FCI]])</f>
        <v>73519374549.315445</v>
      </c>
      <c r="DJ334" s="5">
        <f>IF($B333&lt;=Tabla5[[#This Row],[INVERSIONES FCI]],+Tabla5[[#This Row],[INVERSIONES FCI]]-DJ333,Tabla5[[#This Row],[INVERSIONES FCI]])</f>
        <v>73519374549.315445</v>
      </c>
      <c r="DK334" s="5">
        <f>IF($B333&lt;=Tabla5[[#This Row],[INVERSIONES FCI]],+Tabla5[[#This Row],[INVERSIONES FCI]]-DK333,Tabla5[[#This Row],[INVERSIONES FCI]])</f>
        <v>73519374549.315445</v>
      </c>
      <c r="DL334" s="5"/>
      <c r="DM334" s="5"/>
      <c r="DN334" s="5"/>
      <c r="DO334" s="5"/>
      <c r="DP334" s="5"/>
      <c r="DQ334" s="5"/>
    </row>
    <row r="335" spans="1:121" ht="14.4">
      <c r="A335" s="12" t="s">
        <v>334</v>
      </c>
      <c r="B335" s="5">
        <f>HLOOKUP($A335,ESCENARIO[#All],7,FALSE)</f>
        <v>75547383987.828049</v>
      </c>
      <c r="C335" s="5">
        <f>IF($B334&lt;=Tabla5[[#This Row],[INVERSIONES FCI]],+Tabla5[[#This Row],[INVERSIONES FCI]]-C334,Tabla5[[#This Row],[INVERSIONES FCI]])</f>
        <v>2028009438.5126038</v>
      </c>
      <c r="D335" s="5">
        <f>IF($B334&lt;=Tabla5[[#This Row],[INVERSIONES FCI]],+Tabla5[[#This Row],[INVERSIONES FCI]]-D334,Tabla5[[#This Row],[INVERSIONES FCI]])</f>
        <v>2028009438.5126038</v>
      </c>
      <c r="E335" s="5">
        <f>IF($B334&lt;=Tabla5[[#This Row],[INVERSIONES FCI]],+Tabla5[[#This Row],[INVERSIONES FCI]]-E334,Tabla5[[#This Row],[INVERSIONES FCI]])</f>
        <v>2028009438.5126038</v>
      </c>
      <c r="F335" s="5">
        <f>IF($B334&lt;=Tabla5[[#This Row],[INVERSIONES FCI]],+Tabla5[[#This Row],[INVERSIONES FCI]]-F334,Tabla5[[#This Row],[INVERSIONES FCI]])</f>
        <v>2028009438.5126038</v>
      </c>
      <c r="G335" s="5">
        <f>IF($B334&lt;=Tabla5[[#This Row],[INVERSIONES FCI]],+Tabla5[[#This Row],[INVERSIONES FCI]]-G334,Tabla5[[#This Row],[INVERSIONES FCI]])</f>
        <v>2028009438.5126038</v>
      </c>
      <c r="H335" s="5">
        <f>IF($B334&lt;=Tabla5[[#This Row],[INVERSIONES FCI]],+Tabla5[[#This Row],[INVERSIONES FCI]]-H334,Tabla5[[#This Row],[INVERSIONES FCI]])</f>
        <v>2028009438.5126038</v>
      </c>
      <c r="I335" s="5">
        <f>IF($B334&lt;=Tabla5[[#This Row],[INVERSIONES FCI]],+Tabla5[[#This Row],[INVERSIONES FCI]]-I334,Tabla5[[#This Row],[INVERSIONES FCI]])</f>
        <v>2028009438.5126038</v>
      </c>
      <c r="J335" s="5">
        <f>IF($B334&lt;=Tabla5[[#This Row],[INVERSIONES FCI]],+Tabla5[[#This Row],[INVERSIONES FCI]]-J334,Tabla5[[#This Row],[INVERSIONES FCI]])</f>
        <v>2028009438.5126038</v>
      </c>
      <c r="K335" s="5">
        <f>IF($B334&lt;=Tabla5[[#This Row],[INVERSIONES FCI]],+Tabla5[[#This Row],[INVERSIONES FCI]]-K334,Tabla5[[#This Row],[INVERSIONES FCI]])</f>
        <v>2028009438.5126038</v>
      </c>
      <c r="L335" s="5">
        <f>IF($B334&lt;=Tabla5[[#This Row],[INVERSIONES FCI]],+Tabla5[[#This Row],[INVERSIONES FCI]]-L334,Tabla5[[#This Row],[INVERSIONES FCI]])</f>
        <v>2028009438.5126038</v>
      </c>
      <c r="M335" s="5">
        <f>IF($B334&lt;=Tabla5[[#This Row],[INVERSIONES FCI]],+Tabla5[[#This Row],[INVERSIONES FCI]]-M334,Tabla5[[#This Row],[INVERSIONES FCI]])</f>
        <v>2028009438.5126038</v>
      </c>
      <c r="N335" s="5">
        <f>IF($B334&lt;=Tabla5[[#This Row],[INVERSIONES FCI]],+Tabla5[[#This Row],[INVERSIONES FCI]]-N334,Tabla5[[#This Row],[INVERSIONES FCI]])</f>
        <v>2028009438.5126038</v>
      </c>
      <c r="O335" s="5">
        <f>IF($B334&lt;=Tabla5[[#This Row],[INVERSIONES FCI]],+Tabla5[[#This Row],[INVERSIONES FCI]]-O334,Tabla5[[#This Row],[INVERSIONES FCI]])</f>
        <v>2028009438.5126038</v>
      </c>
      <c r="P335" s="5">
        <f>IF($B334&lt;=Tabla5[[#This Row],[INVERSIONES FCI]],+Tabla5[[#This Row],[INVERSIONES FCI]]-P334,Tabla5[[#This Row],[INVERSIONES FCI]])</f>
        <v>2028009438.5126038</v>
      </c>
      <c r="Q335" s="5">
        <f>IF($B334&lt;=Tabla5[[#This Row],[INVERSIONES FCI]],+Tabla5[[#This Row],[INVERSIONES FCI]]-Q334,Tabla5[[#This Row],[INVERSIONES FCI]])</f>
        <v>2028009438.5126038</v>
      </c>
      <c r="R335" s="5">
        <f>IF($B334&lt;=Tabla5[[#This Row],[INVERSIONES FCI]],+Tabla5[[#This Row],[INVERSIONES FCI]]-R334,Tabla5[[#This Row],[INVERSIONES FCI]])</f>
        <v>2028009438.5126038</v>
      </c>
      <c r="S335" s="5">
        <f>IF($B334&lt;=Tabla5[[#This Row],[INVERSIONES FCI]],+Tabla5[[#This Row],[INVERSIONES FCI]]-S334,Tabla5[[#This Row],[INVERSIONES FCI]])</f>
        <v>2028009438.5126038</v>
      </c>
      <c r="T335" s="5">
        <f>IF($B334&lt;=Tabla5[[#This Row],[INVERSIONES FCI]],+Tabla5[[#This Row],[INVERSIONES FCI]]-T334,Tabla5[[#This Row],[INVERSIONES FCI]])</f>
        <v>2028009438.5126038</v>
      </c>
      <c r="U335" s="5">
        <f>IF($B334&lt;=Tabla5[[#This Row],[INVERSIONES FCI]],+Tabla5[[#This Row],[INVERSIONES FCI]]-U334,Tabla5[[#This Row],[INVERSIONES FCI]])</f>
        <v>2028009438.5126038</v>
      </c>
      <c r="V335" s="5">
        <f>IF($B334&lt;=Tabla5[[#This Row],[INVERSIONES FCI]],+Tabla5[[#This Row],[INVERSIONES FCI]]-V334,Tabla5[[#This Row],[INVERSIONES FCI]])</f>
        <v>2028009438.5126038</v>
      </c>
      <c r="W335" s="5">
        <f>IF($B334&lt;=Tabla5[[#This Row],[INVERSIONES FCI]],+Tabla5[[#This Row],[INVERSIONES FCI]]-W334,Tabla5[[#This Row],[INVERSIONES FCI]])</f>
        <v>2028009438.5126038</v>
      </c>
      <c r="X335" s="5">
        <f>IF($B334&lt;=Tabla5[[#This Row],[INVERSIONES FCI]],+Tabla5[[#This Row],[INVERSIONES FCI]]-X334,Tabla5[[#This Row],[INVERSIONES FCI]])</f>
        <v>2028009438.5126038</v>
      </c>
      <c r="Y335" s="5">
        <f>IF($B334&lt;=Tabla5[[#This Row],[INVERSIONES FCI]],+Tabla5[[#This Row],[INVERSIONES FCI]]-Y334,Tabla5[[#This Row],[INVERSIONES FCI]])</f>
        <v>2028009438.5126038</v>
      </c>
      <c r="Z335" s="5">
        <f>IF($B334&lt;=Tabla5[[#This Row],[INVERSIONES FCI]],+Tabla5[[#This Row],[INVERSIONES FCI]]-Z334,Tabla5[[#This Row],[INVERSIONES FCI]])</f>
        <v>2028009438.5126038</v>
      </c>
      <c r="AA335" s="5">
        <f>IF($B334&lt;=Tabla5[[#This Row],[INVERSIONES FCI]],+Tabla5[[#This Row],[INVERSIONES FCI]]-AA334,Tabla5[[#This Row],[INVERSIONES FCI]])</f>
        <v>2028009438.5126038</v>
      </c>
      <c r="AB335" s="5">
        <f>IF($B334&lt;=Tabla5[[#This Row],[INVERSIONES FCI]],+Tabla5[[#This Row],[INVERSIONES FCI]]-AB334,Tabla5[[#This Row],[INVERSIONES FCI]])</f>
        <v>2028009438.5126038</v>
      </c>
      <c r="AC335" s="5">
        <f>IF($B334&lt;=Tabla5[[#This Row],[INVERSIONES FCI]],+Tabla5[[#This Row],[INVERSIONES FCI]]-AC334,Tabla5[[#This Row],[INVERSIONES FCI]])</f>
        <v>2028009438.5126038</v>
      </c>
      <c r="AD335" s="5">
        <f>IF($B334&lt;=Tabla5[[#This Row],[INVERSIONES FCI]],+Tabla5[[#This Row],[INVERSIONES FCI]]-AD334,Tabla5[[#This Row],[INVERSIONES FCI]])</f>
        <v>2028009438.5126038</v>
      </c>
      <c r="AE335" s="5">
        <f>IF($B334&lt;=Tabla5[[#This Row],[INVERSIONES FCI]],+Tabla5[[#This Row],[INVERSIONES FCI]]-AE334,Tabla5[[#This Row],[INVERSIONES FCI]])</f>
        <v>2028009438.5126038</v>
      </c>
      <c r="AF335" s="5">
        <f>IF($B334&lt;=Tabla5[[#This Row],[INVERSIONES FCI]],+Tabla5[[#This Row],[INVERSIONES FCI]]-AF334,Tabla5[[#This Row],[INVERSIONES FCI]])</f>
        <v>2028009438.5126038</v>
      </c>
      <c r="AG335" s="5">
        <f>IF($B334&lt;=Tabla5[[#This Row],[INVERSIONES FCI]],+Tabla5[[#This Row],[INVERSIONES FCI]]-AG334,Tabla5[[#This Row],[INVERSIONES FCI]])</f>
        <v>2028009438.5126038</v>
      </c>
      <c r="AH335" s="5">
        <f>IF($B334&lt;=Tabla5[[#This Row],[INVERSIONES FCI]],+Tabla5[[#This Row],[INVERSIONES FCI]]-AH334,Tabla5[[#This Row],[INVERSIONES FCI]])</f>
        <v>2028009438.5126038</v>
      </c>
      <c r="AI335" s="5">
        <f>IF($B334&lt;=Tabla5[[#This Row],[INVERSIONES FCI]],+Tabla5[[#This Row],[INVERSIONES FCI]]-AI334,Tabla5[[#This Row],[INVERSIONES FCI]])</f>
        <v>2028009438.5126038</v>
      </c>
      <c r="AJ335" s="5">
        <f>IF($B334&lt;=Tabla5[[#This Row],[INVERSIONES FCI]],+Tabla5[[#This Row],[INVERSIONES FCI]]-AJ334,Tabla5[[#This Row],[INVERSIONES FCI]])</f>
        <v>2028009438.5126038</v>
      </c>
      <c r="AK335" s="5">
        <f>IF($B334&lt;=Tabla5[[#This Row],[INVERSIONES FCI]],+Tabla5[[#This Row],[INVERSIONES FCI]]-AK334,Tabla5[[#This Row],[INVERSIONES FCI]])</f>
        <v>2028009438.5126038</v>
      </c>
      <c r="AL335" s="5">
        <f>IF($B334&lt;=Tabla5[[#This Row],[INVERSIONES FCI]],+Tabla5[[#This Row],[INVERSIONES FCI]]-AL334,Tabla5[[#This Row],[INVERSIONES FCI]])</f>
        <v>2028009438.5126038</v>
      </c>
      <c r="AM335" s="5">
        <f>IF($B334&lt;=Tabla5[[#This Row],[INVERSIONES FCI]],+Tabla5[[#This Row],[INVERSIONES FCI]]-AM334,Tabla5[[#This Row],[INVERSIONES FCI]])</f>
        <v>2028009438.5126038</v>
      </c>
      <c r="AN335" s="5">
        <f>IF($B334&lt;=Tabla5[[#This Row],[INVERSIONES FCI]],+Tabla5[[#This Row],[INVERSIONES FCI]]-AN334,Tabla5[[#This Row],[INVERSIONES FCI]])</f>
        <v>2028009438.5126038</v>
      </c>
      <c r="AO335" s="5">
        <f>IF($B334&lt;=Tabla5[[#This Row],[INVERSIONES FCI]],+Tabla5[[#This Row],[INVERSIONES FCI]]-AO334,Tabla5[[#This Row],[INVERSIONES FCI]])</f>
        <v>2028009438.5126038</v>
      </c>
      <c r="AP335" s="5">
        <f>IF($B334&lt;=Tabla5[[#This Row],[INVERSIONES FCI]],+Tabla5[[#This Row],[INVERSIONES FCI]]-AP334,Tabla5[[#This Row],[INVERSIONES FCI]])</f>
        <v>2028009438.5126038</v>
      </c>
      <c r="AQ335" s="5">
        <f>IF($B334&lt;=Tabla5[[#This Row],[INVERSIONES FCI]],+Tabla5[[#This Row],[INVERSIONES FCI]]-AQ334,Tabla5[[#This Row],[INVERSIONES FCI]])</f>
        <v>2028009438.5126038</v>
      </c>
      <c r="AR335" s="5">
        <f>IF($B334&lt;=Tabla5[[#This Row],[INVERSIONES FCI]],+Tabla5[[#This Row],[INVERSIONES FCI]]-AR334,Tabla5[[#This Row],[INVERSIONES FCI]])</f>
        <v>2028009438.5126038</v>
      </c>
      <c r="AS335" s="5">
        <f>IF($B334&lt;=Tabla5[[#This Row],[INVERSIONES FCI]],+Tabla5[[#This Row],[INVERSIONES FCI]]-AS334,Tabla5[[#This Row],[INVERSIONES FCI]])</f>
        <v>2028009438.5126038</v>
      </c>
      <c r="AT335" s="5">
        <f>IF($B334&lt;=Tabla5[[#This Row],[INVERSIONES FCI]],+Tabla5[[#This Row],[INVERSIONES FCI]]-AT334,Tabla5[[#This Row],[INVERSIONES FCI]])</f>
        <v>2028009438.5126038</v>
      </c>
      <c r="AU335" s="5">
        <f>IF($B334&lt;=Tabla5[[#This Row],[INVERSIONES FCI]],+Tabla5[[#This Row],[INVERSIONES FCI]]-AU334,Tabla5[[#This Row],[INVERSIONES FCI]])</f>
        <v>2028009438.5126038</v>
      </c>
      <c r="AV335" s="5">
        <f>IF($B334&lt;=Tabla5[[#This Row],[INVERSIONES FCI]],+Tabla5[[#This Row],[INVERSIONES FCI]]-AV334,Tabla5[[#This Row],[INVERSIONES FCI]])</f>
        <v>2028009438.5126038</v>
      </c>
      <c r="AW335" s="5">
        <f>IF($B334&lt;=Tabla5[[#This Row],[INVERSIONES FCI]],+Tabla5[[#This Row],[INVERSIONES FCI]]-AW334,Tabla5[[#This Row],[INVERSIONES FCI]])</f>
        <v>2028009438.5126038</v>
      </c>
      <c r="AX335" s="5">
        <f>IF($B334&lt;=Tabla5[[#This Row],[INVERSIONES FCI]],+Tabla5[[#This Row],[INVERSIONES FCI]]-AX334,Tabla5[[#This Row],[INVERSIONES FCI]])</f>
        <v>2028009438.5126038</v>
      </c>
      <c r="AY335" s="5">
        <f>IF($B334&lt;=Tabla5[[#This Row],[INVERSIONES FCI]],+Tabla5[[#This Row],[INVERSIONES FCI]]-AY334,Tabla5[[#This Row],[INVERSIONES FCI]])</f>
        <v>2028009438.5126038</v>
      </c>
      <c r="AZ335" s="5">
        <f>IF($B334&lt;=Tabla5[[#This Row],[INVERSIONES FCI]],+Tabla5[[#This Row],[INVERSIONES FCI]]-AZ334,Tabla5[[#This Row],[INVERSIONES FCI]])</f>
        <v>2028009438.5126038</v>
      </c>
      <c r="BA335" s="5">
        <f>IF($B334&lt;=Tabla5[[#This Row],[INVERSIONES FCI]],+Tabla5[[#This Row],[INVERSIONES FCI]]-BA334,Tabla5[[#This Row],[INVERSIONES FCI]])</f>
        <v>2028009438.5126038</v>
      </c>
      <c r="BB335" s="5">
        <f>IF($B334&lt;=Tabla5[[#This Row],[INVERSIONES FCI]],+Tabla5[[#This Row],[INVERSIONES FCI]]-BB334,Tabla5[[#This Row],[INVERSIONES FCI]])</f>
        <v>2028009438.5126038</v>
      </c>
      <c r="BC335" s="5">
        <f>IF($B334&lt;=Tabla5[[#This Row],[INVERSIONES FCI]],+Tabla5[[#This Row],[INVERSIONES FCI]]-BC334,Tabla5[[#This Row],[INVERSIONES FCI]])</f>
        <v>2028009438.5126038</v>
      </c>
      <c r="BD335" s="5">
        <f>IF($B334&lt;=Tabla5[[#This Row],[INVERSIONES FCI]],+Tabla5[[#This Row],[INVERSIONES FCI]]-BD334,Tabla5[[#This Row],[INVERSIONES FCI]])</f>
        <v>2028009438.5126038</v>
      </c>
      <c r="BE335" s="5">
        <f>IF($B334&lt;=Tabla5[[#This Row],[INVERSIONES FCI]],+Tabla5[[#This Row],[INVERSIONES FCI]]-BE334,Tabla5[[#This Row],[INVERSIONES FCI]])</f>
        <v>2028009438.5126038</v>
      </c>
      <c r="BF335" s="5">
        <f>IF($B334&lt;=Tabla5[[#This Row],[INVERSIONES FCI]],+Tabla5[[#This Row],[INVERSIONES FCI]]-BF334,Tabla5[[#This Row],[INVERSIONES FCI]])</f>
        <v>2028009438.5126038</v>
      </c>
      <c r="BG335" s="5">
        <f>IF($B334&lt;=Tabla5[[#This Row],[INVERSIONES FCI]],+Tabla5[[#This Row],[INVERSIONES FCI]]-BG334,Tabla5[[#This Row],[INVERSIONES FCI]])</f>
        <v>2028009438.5126038</v>
      </c>
      <c r="BH335" s="5">
        <f>IF($B334&lt;=Tabla5[[#This Row],[INVERSIONES FCI]],+Tabla5[[#This Row],[INVERSIONES FCI]]-BH334,Tabla5[[#This Row],[INVERSIONES FCI]])</f>
        <v>2028009438.5126038</v>
      </c>
      <c r="BI335" s="5">
        <f>IF($B334&lt;=Tabla5[[#This Row],[INVERSIONES FCI]],+Tabla5[[#This Row],[INVERSIONES FCI]]-BI334,Tabla5[[#This Row],[INVERSIONES FCI]])</f>
        <v>2028009438.5126038</v>
      </c>
      <c r="BJ335" s="5">
        <f>IF($B334&lt;=Tabla5[[#This Row],[INVERSIONES FCI]],+Tabla5[[#This Row],[INVERSIONES FCI]]-BJ334,Tabla5[[#This Row],[INVERSIONES FCI]])</f>
        <v>2028009438.5126038</v>
      </c>
      <c r="BK335" s="5">
        <f>IF($B334&lt;=Tabla5[[#This Row],[INVERSIONES FCI]],+Tabla5[[#This Row],[INVERSIONES FCI]]-BK334,Tabla5[[#This Row],[INVERSIONES FCI]])</f>
        <v>2028009438.5126038</v>
      </c>
      <c r="BL335" s="5">
        <f>IF($B334&lt;=Tabla5[[#This Row],[INVERSIONES FCI]],+Tabla5[[#This Row],[INVERSIONES FCI]]-BL334,Tabla5[[#This Row],[INVERSIONES FCI]])</f>
        <v>2028009438.5126038</v>
      </c>
      <c r="BM335" s="5">
        <f>IF($B334&lt;=Tabla5[[#This Row],[INVERSIONES FCI]],+Tabla5[[#This Row],[INVERSIONES FCI]]-BM334,Tabla5[[#This Row],[INVERSIONES FCI]])</f>
        <v>2028009438.5126038</v>
      </c>
      <c r="BN335" s="5">
        <f>IF($B334&lt;=Tabla5[[#This Row],[INVERSIONES FCI]],+Tabla5[[#This Row],[INVERSIONES FCI]]-BN334,Tabla5[[#This Row],[INVERSIONES FCI]])</f>
        <v>2028009438.5126038</v>
      </c>
      <c r="BO335" s="5">
        <f>IF($B334&lt;=Tabla5[[#This Row],[INVERSIONES FCI]],+Tabla5[[#This Row],[INVERSIONES FCI]]-BO334,Tabla5[[#This Row],[INVERSIONES FCI]])</f>
        <v>2028009438.5126038</v>
      </c>
      <c r="BP335" s="5">
        <f>IF($B334&lt;=Tabla5[[#This Row],[INVERSIONES FCI]],+Tabla5[[#This Row],[INVERSIONES FCI]]-BP334,Tabla5[[#This Row],[INVERSIONES FCI]])</f>
        <v>2028009438.5126038</v>
      </c>
      <c r="BQ335" s="5">
        <f>IF($B334&lt;=Tabla5[[#This Row],[INVERSIONES FCI]],+Tabla5[[#This Row],[INVERSIONES FCI]]-BQ334,Tabla5[[#This Row],[INVERSIONES FCI]])</f>
        <v>2028009438.5126038</v>
      </c>
      <c r="BR335" s="5">
        <f>IF($B334&lt;=Tabla5[[#This Row],[INVERSIONES FCI]],+Tabla5[[#This Row],[INVERSIONES FCI]]-BR334,Tabla5[[#This Row],[INVERSIONES FCI]])</f>
        <v>2028009438.5126038</v>
      </c>
      <c r="BS335" s="5">
        <f>IF($B334&lt;=Tabla5[[#This Row],[INVERSIONES FCI]],+Tabla5[[#This Row],[INVERSIONES FCI]]-BS334,Tabla5[[#This Row],[INVERSIONES FCI]])</f>
        <v>2028009438.5126038</v>
      </c>
      <c r="BT335" s="5">
        <f>IF($B334&lt;=Tabla5[[#This Row],[INVERSIONES FCI]],+Tabla5[[#This Row],[INVERSIONES FCI]]-BT334,Tabla5[[#This Row],[INVERSIONES FCI]])</f>
        <v>2028009438.5126038</v>
      </c>
      <c r="BU335" s="5">
        <f>IF($B334&lt;=Tabla5[[#This Row],[INVERSIONES FCI]],+Tabla5[[#This Row],[INVERSIONES FCI]]-BU334,Tabla5[[#This Row],[INVERSIONES FCI]])</f>
        <v>2028009438.5126038</v>
      </c>
      <c r="BV335" s="5">
        <f>IF($B334&lt;=Tabla5[[#This Row],[INVERSIONES FCI]],+Tabla5[[#This Row],[INVERSIONES FCI]]-BV334,Tabla5[[#This Row],[INVERSIONES FCI]])</f>
        <v>2028009438.5126038</v>
      </c>
      <c r="BW335" s="5">
        <f>IF($B334&lt;=Tabla5[[#This Row],[INVERSIONES FCI]],+Tabla5[[#This Row],[INVERSIONES FCI]]-BW334,Tabla5[[#This Row],[INVERSIONES FCI]])</f>
        <v>2028009438.5126038</v>
      </c>
      <c r="BX335" s="5">
        <f>IF($B334&lt;=Tabla5[[#This Row],[INVERSIONES FCI]],+Tabla5[[#This Row],[INVERSIONES FCI]]-BX334,Tabla5[[#This Row],[INVERSIONES FCI]])</f>
        <v>2028009438.5126038</v>
      </c>
      <c r="BY335" s="5">
        <f>IF($B334&lt;=Tabla5[[#This Row],[INVERSIONES FCI]],+Tabla5[[#This Row],[INVERSIONES FCI]]-BY334,Tabla5[[#This Row],[INVERSIONES FCI]])</f>
        <v>2028009438.5126038</v>
      </c>
      <c r="BZ335" s="5">
        <f>IF($B334&lt;=Tabla5[[#This Row],[INVERSIONES FCI]],+Tabla5[[#This Row],[INVERSIONES FCI]]-BZ334,Tabla5[[#This Row],[INVERSIONES FCI]])</f>
        <v>2028009438.5126038</v>
      </c>
      <c r="CA335" s="5">
        <f>IF($B334&lt;=Tabla5[[#This Row],[INVERSIONES FCI]],+Tabla5[[#This Row],[INVERSIONES FCI]]-CA334,Tabla5[[#This Row],[INVERSIONES FCI]])</f>
        <v>2028009438.5126038</v>
      </c>
      <c r="CB335" s="5">
        <f>IF($B334&lt;=Tabla5[[#This Row],[INVERSIONES FCI]],+Tabla5[[#This Row],[INVERSIONES FCI]]-CB334,Tabla5[[#This Row],[INVERSIONES FCI]])</f>
        <v>2028009438.5126038</v>
      </c>
      <c r="CC335" s="5">
        <f>IF($B334&lt;=Tabla5[[#This Row],[INVERSIONES FCI]],+Tabla5[[#This Row],[INVERSIONES FCI]]-CC334,Tabla5[[#This Row],[INVERSIONES FCI]])</f>
        <v>2028009438.5126038</v>
      </c>
      <c r="CD335" s="5">
        <f>IF($B334&lt;=Tabla5[[#This Row],[INVERSIONES FCI]],+Tabla5[[#This Row],[INVERSIONES FCI]]-CD334,Tabla5[[#This Row],[INVERSIONES FCI]])</f>
        <v>2028009438.5126038</v>
      </c>
      <c r="CE335" s="5">
        <f>IF($B334&lt;=Tabla5[[#This Row],[INVERSIONES FCI]],+Tabla5[[#This Row],[INVERSIONES FCI]]-CE334,Tabla5[[#This Row],[INVERSIONES FCI]])</f>
        <v>2028009438.5126038</v>
      </c>
      <c r="CF335" s="5">
        <f>IF($B334&lt;=Tabla5[[#This Row],[INVERSIONES FCI]],+Tabla5[[#This Row],[INVERSIONES FCI]]-CF334,Tabla5[[#This Row],[INVERSIONES FCI]])</f>
        <v>2028009438.5126038</v>
      </c>
      <c r="CG335" s="5">
        <f>IF($B334&lt;=Tabla5[[#This Row],[INVERSIONES FCI]],+Tabla5[[#This Row],[INVERSIONES FCI]]-CG334,Tabla5[[#This Row],[INVERSIONES FCI]])</f>
        <v>2028009438.5126038</v>
      </c>
      <c r="CH335" s="5">
        <f>IF($B334&lt;=Tabla5[[#This Row],[INVERSIONES FCI]],+Tabla5[[#This Row],[INVERSIONES FCI]]-CH334,Tabla5[[#This Row],[INVERSIONES FCI]])</f>
        <v>2028009438.5126038</v>
      </c>
      <c r="CI335" s="5">
        <f>IF($B334&lt;=Tabla5[[#This Row],[INVERSIONES FCI]],+Tabla5[[#This Row],[INVERSIONES FCI]]-CI334,Tabla5[[#This Row],[INVERSIONES FCI]])</f>
        <v>2028009438.5126038</v>
      </c>
      <c r="CJ335" s="5">
        <f>IF($B334&lt;=Tabla5[[#This Row],[INVERSIONES FCI]],+Tabla5[[#This Row],[INVERSIONES FCI]]-CJ334,Tabla5[[#This Row],[INVERSIONES FCI]])</f>
        <v>2028009438.5126038</v>
      </c>
      <c r="CK335" s="5">
        <f>IF($B334&lt;=Tabla5[[#This Row],[INVERSIONES FCI]],+Tabla5[[#This Row],[INVERSIONES FCI]]-CK334,Tabla5[[#This Row],[INVERSIONES FCI]])</f>
        <v>2028009438.5126038</v>
      </c>
      <c r="CL335" s="5">
        <f>IF($B334&lt;=Tabla5[[#This Row],[INVERSIONES FCI]],+Tabla5[[#This Row],[INVERSIONES FCI]]-CL334,Tabla5[[#This Row],[INVERSIONES FCI]])</f>
        <v>2028009438.5126038</v>
      </c>
      <c r="CM335" s="5">
        <f>IF($B334&lt;=Tabla5[[#This Row],[INVERSIONES FCI]],+Tabla5[[#This Row],[INVERSIONES FCI]]-CM334,Tabla5[[#This Row],[INVERSIONES FCI]])</f>
        <v>2028009438.5126038</v>
      </c>
      <c r="CN335" s="5">
        <f>IF($B334&lt;=Tabla5[[#This Row],[INVERSIONES FCI]],+Tabla5[[#This Row],[INVERSIONES FCI]]-CN334,Tabla5[[#This Row],[INVERSIONES FCI]])</f>
        <v>2028009438.5126038</v>
      </c>
      <c r="CO335" s="5">
        <f>IF($B334&lt;=Tabla5[[#This Row],[INVERSIONES FCI]],+Tabla5[[#This Row],[INVERSIONES FCI]]-CO334,Tabla5[[#This Row],[INVERSIONES FCI]])</f>
        <v>2028009438.5126038</v>
      </c>
      <c r="CP335" s="5">
        <f>IF($B334&lt;=Tabla5[[#This Row],[INVERSIONES FCI]],+Tabla5[[#This Row],[INVERSIONES FCI]]-CP334,Tabla5[[#This Row],[INVERSIONES FCI]])</f>
        <v>2028009438.5126038</v>
      </c>
      <c r="CQ335" s="5">
        <f>IF($B334&lt;=Tabla5[[#This Row],[INVERSIONES FCI]],+Tabla5[[#This Row],[INVERSIONES FCI]]-CQ334,Tabla5[[#This Row],[INVERSIONES FCI]])</f>
        <v>2028009438.5126038</v>
      </c>
      <c r="CR335" s="5">
        <f>IF($B334&lt;=Tabla5[[#This Row],[INVERSIONES FCI]],+Tabla5[[#This Row],[INVERSIONES FCI]]-CR334,Tabla5[[#This Row],[INVERSIONES FCI]])</f>
        <v>2028009438.5126038</v>
      </c>
      <c r="CS335" s="5">
        <f>IF($B334&lt;=Tabla5[[#This Row],[INVERSIONES FCI]],+Tabla5[[#This Row],[INVERSIONES FCI]]-CS334,Tabla5[[#This Row],[INVERSIONES FCI]])</f>
        <v>2028009438.5126038</v>
      </c>
      <c r="CT335" s="5">
        <f>IF($B334&lt;=Tabla5[[#This Row],[INVERSIONES FCI]],+Tabla5[[#This Row],[INVERSIONES FCI]]-CT334,Tabla5[[#This Row],[INVERSIONES FCI]])</f>
        <v>2028009438.5126038</v>
      </c>
      <c r="CU335" s="5">
        <f>IF($B334&lt;=Tabla5[[#This Row],[INVERSIONES FCI]],+Tabla5[[#This Row],[INVERSIONES FCI]]-CU334,Tabla5[[#This Row],[INVERSIONES FCI]])</f>
        <v>2028009438.5126038</v>
      </c>
      <c r="CV335" s="5">
        <f>IF($B334&lt;=Tabla5[[#This Row],[INVERSIONES FCI]],+Tabla5[[#This Row],[INVERSIONES FCI]]-CV334,Tabla5[[#This Row],[INVERSIONES FCI]])</f>
        <v>2028009438.5126038</v>
      </c>
      <c r="CW335" s="5">
        <f>IF($B334&lt;=Tabla5[[#This Row],[INVERSIONES FCI]],+Tabla5[[#This Row],[INVERSIONES FCI]]-CW334,Tabla5[[#This Row],[INVERSIONES FCI]])</f>
        <v>2028009438.5126038</v>
      </c>
      <c r="CX335" s="5">
        <f>IF($B334&lt;=Tabla5[[#This Row],[INVERSIONES FCI]],+Tabla5[[#This Row],[INVERSIONES FCI]]-CX334,Tabla5[[#This Row],[INVERSIONES FCI]])</f>
        <v>2028009438.5126038</v>
      </c>
      <c r="CY335" s="5">
        <f>IF($B334&lt;=Tabla5[[#This Row],[INVERSIONES FCI]],+Tabla5[[#This Row],[INVERSIONES FCI]]-CY334,Tabla5[[#This Row],[INVERSIONES FCI]])</f>
        <v>2028009438.5126038</v>
      </c>
      <c r="CZ335" s="5">
        <f>IF($B334&lt;=Tabla5[[#This Row],[INVERSIONES FCI]],+Tabla5[[#This Row],[INVERSIONES FCI]]-CZ334,Tabla5[[#This Row],[INVERSIONES FCI]])</f>
        <v>2028009438.5126038</v>
      </c>
      <c r="DA335" s="5">
        <f>IF($B334&lt;=Tabla5[[#This Row],[INVERSIONES FCI]],+Tabla5[[#This Row],[INVERSIONES FCI]]-DA334,Tabla5[[#This Row],[INVERSIONES FCI]])</f>
        <v>2028009438.5126038</v>
      </c>
      <c r="DB335" s="5">
        <f>IF($B334&lt;=Tabla5[[#This Row],[INVERSIONES FCI]],+Tabla5[[#This Row],[INVERSIONES FCI]]-DB334,Tabla5[[#This Row],[INVERSIONES FCI]])</f>
        <v>2028009438.5126038</v>
      </c>
      <c r="DC335" s="5">
        <f>IF($B334&lt;=Tabla5[[#This Row],[INVERSIONES FCI]],+Tabla5[[#This Row],[INVERSIONES FCI]]-DC334,Tabla5[[#This Row],[INVERSIONES FCI]])</f>
        <v>2028009438.5126038</v>
      </c>
      <c r="DD335" s="5">
        <f>IF($B334&lt;=Tabla5[[#This Row],[INVERSIONES FCI]],+Tabla5[[#This Row],[INVERSIONES FCI]]-DD334,Tabla5[[#This Row],[INVERSIONES FCI]])</f>
        <v>2028009438.5126038</v>
      </c>
      <c r="DE335" s="5">
        <f>IF($B334&lt;=Tabla5[[#This Row],[INVERSIONES FCI]],+Tabla5[[#This Row],[INVERSIONES FCI]]-DE334,Tabla5[[#This Row],[INVERSIONES FCI]])</f>
        <v>2028009438.5126038</v>
      </c>
      <c r="DF335" s="5">
        <f>IF($B334&lt;=Tabla5[[#This Row],[INVERSIONES FCI]],+Tabla5[[#This Row],[INVERSIONES FCI]]-DF334,Tabla5[[#This Row],[INVERSIONES FCI]])</f>
        <v>2028009438.5126038</v>
      </c>
      <c r="DG335" s="5">
        <f>IF($B334&lt;=Tabla5[[#This Row],[INVERSIONES FCI]],+Tabla5[[#This Row],[INVERSIONES FCI]]-DG334,Tabla5[[#This Row],[INVERSIONES FCI]])</f>
        <v>2028009438.5126038</v>
      </c>
      <c r="DH335" s="5">
        <f>IF($B334&lt;=Tabla5[[#This Row],[INVERSIONES FCI]],+Tabla5[[#This Row],[INVERSIONES FCI]]-DH334,Tabla5[[#This Row],[INVERSIONES FCI]])</f>
        <v>2028009438.5126038</v>
      </c>
      <c r="DI335" s="5">
        <f>IF($B334&lt;=Tabla5[[#This Row],[INVERSIONES FCI]],+Tabla5[[#This Row],[INVERSIONES FCI]]-DI334,Tabla5[[#This Row],[INVERSIONES FCI]])</f>
        <v>2028009438.5126038</v>
      </c>
      <c r="DJ335" s="5">
        <f>IF($B334&lt;=Tabla5[[#This Row],[INVERSIONES FCI]],+Tabla5[[#This Row],[INVERSIONES FCI]]-DJ334,Tabla5[[#This Row],[INVERSIONES FCI]])</f>
        <v>2028009438.5126038</v>
      </c>
      <c r="DK335" s="5">
        <f>IF($B334&lt;=Tabla5[[#This Row],[INVERSIONES FCI]],+Tabla5[[#This Row],[INVERSIONES FCI]]-DK334,Tabla5[[#This Row],[INVERSIONES FCI]])</f>
        <v>2028009438.5126038</v>
      </c>
      <c r="DL335" s="5"/>
      <c r="DM335" s="5"/>
      <c r="DN335" s="5"/>
      <c r="DO335" s="5"/>
      <c r="DP335" s="5"/>
      <c r="DQ335" s="5"/>
    </row>
    <row r="336" spans="1:121" ht="14.4">
      <c r="A336" s="12"/>
      <c r="B336" s="52"/>
      <c r="C336" s="52">
        <f>C2</f>
        <v>2376100989.5700002</v>
      </c>
      <c r="D336" s="52">
        <f>D3</f>
        <v>2141100989.5700002</v>
      </c>
      <c r="E336" s="52">
        <f>E4</f>
        <v>1334042804.5774012</v>
      </c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  <c r="CE336" s="52"/>
      <c r="CF336" s="52"/>
      <c r="CG336" s="52"/>
      <c r="CH336" s="52"/>
      <c r="CI336" s="52"/>
      <c r="CJ336" s="52"/>
      <c r="CK336" s="52"/>
      <c r="CL336" s="52"/>
      <c r="CM336" s="52"/>
      <c r="CN336" s="52"/>
      <c r="CO336" s="52"/>
      <c r="CP336" s="52"/>
      <c r="CQ336" s="52"/>
      <c r="CR336" s="52"/>
      <c r="CS336" s="52"/>
      <c r="CT336" s="52"/>
      <c r="CU336" s="52"/>
      <c r="CV336" s="52"/>
      <c r="CW336" s="52"/>
      <c r="CX336" s="52"/>
      <c r="CY336" s="52"/>
      <c r="CZ336" s="52"/>
      <c r="DA336" s="52"/>
      <c r="DB336" s="52"/>
      <c r="DC336" s="52"/>
      <c r="DD336" s="52"/>
      <c r="DE336" s="52"/>
      <c r="DF336" s="52"/>
      <c r="DG336" s="52"/>
      <c r="DH336" s="52"/>
      <c r="DI336" s="52"/>
      <c r="DJ336" s="52"/>
      <c r="DK336" s="52"/>
      <c r="DL336" s="52"/>
      <c r="DM336" s="52"/>
      <c r="DN336" s="52"/>
      <c r="DO336" s="52"/>
      <c r="DP336" s="52"/>
      <c r="DQ336" s="52"/>
    </row>
    <row r="337" spans="1:5" ht="14.4">
      <c r="A337" s="11"/>
      <c r="B337" s="51" cm="1">
        <f t="array" ref="B337">IF(Tabla5[[#Totals],[INVERSIONES FCI]]&gt;0,INDEX(Tabla5[ESCENARIO 1], MATCH(TRUE, Tabla5[INVERSIONES FCI] &lt; Tabla5[[#Totals],[INVERSIONES FCI]], 0)) -$A$2,0)</f>
        <v>0</v>
      </c>
      <c r="C337" s="51" cm="1">
        <f t="array" ref="C337">IF(Tabla5[[#Totals],[FCI]]&gt;0,INDEX(Tabla5[ESCENARIO 1], MATCH(TRUE, Tabla5[FCI] &lt; Tabla5[[#Totals],[FCI]], 0)) -A2,0)</f>
        <v>1</v>
      </c>
      <c r="D337" s="51" t="e" cm="1">
        <f t="array" ref="D337">IF(Tabla5[[#Totals],[FCI1]]&gt;0,INDEX(A3:A335,MATCH(TRUE,A3:A335&lt;Tabla5[[#Totals],[FCI1]], 0))-A3,0)</f>
        <v>#N/A</v>
      </c>
      <c r="E337" s="51" t="e" cm="1">
        <f t="array" ref="E337">IF(Tabla5[[#Totals],[FCI2]]&gt;0,INDEX(A4:A335,MATCH(TRUE,A4:A335&lt;Tabla5[[#Totals],[FCI2]], 0))-B3,0)</f>
        <v>#N/A</v>
      </c>
    </row>
    <row r="338" spans="1:5" ht="14.4">
      <c r="A338" s="11"/>
      <c r="C338" s="51"/>
    </row>
    <row r="339" spans="1:5" ht="14.4">
      <c r="A339" s="11"/>
    </row>
    <row r="340" spans="1:5" ht="14.4">
      <c r="A340" s="11"/>
    </row>
    <row r="341" spans="1:5" ht="14.4">
      <c r="A341" s="11"/>
    </row>
    <row r="342" spans="1:5" ht="14.4">
      <c r="A342" s="11"/>
    </row>
    <row r="343" spans="1:5" ht="14.4">
      <c r="A343" s="11"/>
    </row>
    <row r="344" spans="1:5" ht="14.4">
      <c r="A344" s="11"/>
    </row>
    <row r="345" spans="1:5" ht="14.4">
      <c r="A345" s="11"/>
    </row>
    <row r="346" spans="1:5" ht="14.4">
      <c r="A346" s="11"/>
    </row>
    <row r="347" spans="1:5" ht="14.4">
      <c r="A347" s="11"/>
    </row>
    <row r="348" spans="1:5" ht="14.4">
      <c r="A348" s="11"/>
    </row>
    <row r="349" spans="1:5" ht="14.4">
      <c r="A349" s="11"/>
    </row>
    <row r="350" spans="1:5" ht="14.4">
      <c r="A350" s="11"/>
    </row>
    <row r="351" spans="1:5" ht="14.4">
      <c r="A351" s="11"/>
    </row>
    <row r="352" spans="1:5" ht="14.4">
      <c r="A352" s="11"/>
    </row>
    <row r="353" spans="1:1" ht="14.4">
      <c r="A353" s="11"/>
    </row>
    <row r="354" spans="1:1" ht="14.4">
      <c r="A354" s="11"/>
    </row>
    <row r="355" spans="1:1" ht="14.4">
      <c r="A355" s="11"/>
    </row>
    <row r="356" spans="1:1" ht="14.4">
      <c r="A356" s="11"/>
    </row>
    <row r="357" spans="1:1" ht="14.4">
      <c r="A357" s="11"/>
    </row>
    <row r="358" spans="1:1" ht="14.4">
      <c r="A358" s="11"/>
    </row>
    <row r="359" spans="1:1" ht="14.4">
      <c r="A359" s="11"/>
    </row>
    <row r="360" spans="1:1" ht="14.4">
      <c r="A360" s="11"/>
    </row>
    <row r="361" spans="1:1" ht="14.4">
      <c r="A361" s="11"/>
    </row>
    <row r="362" spans="1:1" ht="14.4">
      <c r="A362" s="11"/>
    </row>
    <row r="363" spans="1:1" ht="14.4">
      <c r="A363" s="11"/>
    </row>
    <row r="364" spans="1:1" ht="14.4">
      <c r="A364" s="11"/>
    </row>
    <row r="365" spans="1:1" ht="14.4">
      <c r="A365" s="11"/>
    </row>
    <row r="366" spans="1:1" ht="14.4">
      <c r="A366" s="11"/>
    </row>
    <row r="367" spans="1:1" ht="14.4">
      <c r="A367" s="11"/>
    </row>
    <row r="368" spans="1:1" ht="14.4">
      <c r="A368" s="11"/>
    </row>
    <row r="369" spans="1:1" ht="14.4">
      <c r="A369" s="11"/>
    </row>
    <row r="370" spans="1:1" ht="14.4">
      <c r="A370" s="11"/>
    </row>
    <row r="371" spans="1:1" ht="14.4">
      <c r="A371" s="11"/>
    </row>
    <row r="372" spans="1:1" ht="14.4">
      <c r="A372" s="11"/>
    </row>
    <row r="373" spans="1:1" ht="14.4">
      <c r="A373" s="11"/>
    </row>
    <row r="374" spans="1:1" ht="14.4">
      <c r="A374" s="11"/>
    </row>
    <row r="375" spans="1:1" ht="14.4">
      <c r="A375" s="11"/>
    </row>
    <row r="376" spans="1:1" ht="14.4">
      <c r="A376" s="11"/>
    </row>
    <row r="377" spans="1:1" ht="14.4">
      <c r="A377" s="11"/>
    </row>
    <row r="378" spans="1:1" ht="14.4">
      <c r="A378" s="11"/>
    </row>
    <row r="379" spans="1:1" ht="14.4">
      <c r="A379" s="11"/>
    </row>
    <row r="380" spans="1:1" ht="14.4">
      <c r="A380" s="11"/>
    </row>
    <row r="381" spans="1:1" ht="14.4">
      <c r="A381" s="11"/>
    </row>
    <row r="382" spans="1:1" ht="14.4">
      <c r="A382" s="11"/>
    </row>
    <row r="383" spans="1:1" ht="14.4">
      <c r="A383" s="11"/>
    </row>
    <row r="384" spans="1:1" ht="14.4">
      <c r="A384" s="11"/>
    </row>
    <row r="385" spans="1:1" ht="14.4">
      <c r="A385" s="11"/>
    </row>
    <row r="386" spans="1:1" ht="14.4">
      <c r="A386" s="11"/>
    </row>
    <row r="387" spans="1:1" ht="14.4">
      <c r="A387" s="11"/>
    </row>
    <row r="388" spans="1:1" ht="14.4">
      <c r="A388" s="11"/>
    </row>
    <row r="389" spans="1:1" ht="14.4">
      <c r="A389" s="11"/>
    </row>
    <row r="390" spans="1:1" ht="14.4">
      <c r="A390" s="11"/>
    </row>
    <row r="391" spans="1:1" ht="14.4">
      <c r="A391" s="11"/>
    </row>
    <row r="392" spans="1:1" ht="14.4">
      <c r="A392" s="11"/>
    </row>
    <row r="393" spans="1:1" ht="14.4">
      <c r="A393" s="11"/>
    </row>
    <row r="394" spans="1:1" ht="14.4">
      <c r="A394" s="11"/>
    </row>
    <row r="395" spans="1:1" ht="14.4">
      <c r="A395" s="11"/>
    </row>
    <row r="396" spans="1:1" ht="14.4">
      <c r="A396" s="11"/>
    </row>
    <row r="397" spans="1:1" ht="14.4">
      <c r="A397" s="11"/>
    </row>
    <row r="398" spans="1:1" ht="14.4">
      <c r="A398" s="11"/>
    </row>
    <row r="399" spans="1:1" ht="14.4">
      <c r="A399" s="11"/>
    </row>
    <row r="400" spans="1:1" ht="14.4">
      <c r="A400" s="11"/>
    </row>
    <row r="401" spans="1:1" ht="14.4">
      <c r="A401" s="11"/>
    </row>
    <row r="402" spans="1:1" ht="14.4">
      <c r="A402" s="11"/>
    </row>
    <row r="403" spans="1:1" ht="14.4">
      <c r="A403" s="11"/>
    </row>
    <row r="404" spans="1:1" ht="14.4">
      <c r="A404" s="11"/>
    </row>
    <row r="405" spans="1:1" ht="14.4">
      <c r="A405" s="11"/>
    </row>
    <row r="406" spans="1:1" ht="14.4">
      <c r="A406" s="11"/>
    </row>
    <row r="407" spans="1:1" ht="14.4">
      <c r="A407" s="11"/>
    </row>
    <row r="408" spans="1:1" ht="14.4">
      <c r="A408" s="11"/>
    </row>
    <row r="409" spans="1:1" ht="14.4">
      <c r="A409" s="11"/>
    </row>
    <row r="410" spans="1:1" ht="14.4">
      <c r="A410" s="11"/>
    </row>
    <row r="411" spans="1:1" ht="14.4">
      <c r="A411" s="11"/>
    </row>
    <row r="412" spans="1:1" ht="14.4">
      <c r="A412" s="11"/>
    </row>
    <row r="413" spans="1:1" ht="14.4">
      <c r="A413" s="11"/>
    </row>
    <row r="414" spans="1:1" ht="14.4">
      <c r="A414" s="11"/>
    </row>
    <row r="415" spans="1:1" ht="14.4">
      <c r="A415" s="11"/>
    </row>
    <row r="416" spans="1:1" ht="14.4">
      <c r="A416" s="11"/>
    </row>
    <row r="417" spans="1:1" ht="14.4">
      <c r="A417" s="11"/>
    </row>
    <row r="418" spans="1:1" ht="14.4">
      <c r="A418" s="11"/>
    </row>
    <row r="419" spans="1:1" ht="14.4">
      <c r="A419" s="11"/>
    </row>
    <row r="420" spans="1:1" ht="14.4">
      <c r="A420" s="11"/>
    </row>
    <row r="421" spans="1:1" ht="14.4">
      <c r="A421" s="11"/>
    </row>
    <row r="422" spans="1:1" ht="14.4">
      <c r="A422" s="11"/>
    </row>
    <row r="423" spans="1:1" ht="14.4">
      <c r="A423" s="11"/>
    </row>
    <row r="424" spans="1:1" ht="14.4">
      <c r="A424" s="11"/>
    </row>
    <row r="425" spans="1:1" ht="14.4">
      <c r="A425" s="11"/>
    </row>
    <row r="426" spans="1:1" ht="14.4">
      <c r="A426" s="11"/>
    </row>
    <row r="427" spans="1:1" ht="14.4">
      <c r="A427" s="11"/>
    </row>
    <row r="428" spans="1:1" ht="14.4">
      <c r="A428" s="11"/>
    </row>
    <row r="429" spans="1:1" ht="14.4">
      <c r="A429" s="11"/>
    </row>
    <row r="430" spans="1:1" ht="14.4">
      <c r="A430" s="11"/>
    </row>
    <row r="431" spans="1:1" ht="14.4">
      <c r="A431" s="11"/>
    </row>
    <row r="432" spans="1:1" ht="14.4">
      <c r="A432" s="11"/>
    </row>
    <row r="433" spans="1:1" ht="14.4">
      <c r="A433" s="11"/>
    </row>
    <row r="434" spans="1:1" ht="14.4">
      <c r="A434" s="11"/>
    </row>
    <row r="435" spans="1:1" ht="14.4">
      <c r="A435" s="11"/>
    </row>
    <row r="436" spans="1:1" ht="14.4">
      <c r="A436" s="11"/>
    </row>
    <row r="437" spans="1:1" ht="14.4">
      <c r="A437" s="11"/>
    </row>
    <row r="438" spans="1:1" ht="14.4">
      <c r="A438" s="11"/>
    </row>
    <row r="439" spans="1:1" ht="14.4">
      <c r="A439" s="11"/>
    </row>
    <row r="440" spans="1:1" ht="14.4">
      <c r="A440" s="11"/>
    </row>
    <row r="441" spans="1:1" ht="14.4">
      <c r="A441" s="11"/>
    </row>
    <row r="442" spans="1:1" ht="14.4">
      <c r="A442" s="11"/>
    </row>
    <row r="443" spans="1:1" ht="14.4">
      <c r="A443" s="11"/>
    </row>
    <row r="444" spans="1:1" ht="14.4">
      <c r="A444" s="11"/>
    </row>
    <row r="445" spans="1:1" ht="14.4">
      <c r="A445" s="11"/>
    </row>
    <row r="446" spans="1:1" ht="14.4">
      <c r="A446" s="11"/>
    </row>
    <row r="447" spans="1:1" ht="14.4">
      <c r="A447" s="11"/>
    </row>
    <row r="448" spans="1:1" ht="14.4">
      <c r="A448" s="11"/>
    </row>
    <row r="449" spans="1:1" ht="14.4">
      <c r="A449" s="11"/>
    </row>
    <row r="450" spans="1:1" ht="14.4">
      <c r="A450" s="11"/>
    </row>
    <row r="451" spans="1:1" ht="14.4">
      <c r="A451" s="11"/>
    </row>
    <row r="452" spans="1:1" ht="14.4">
      <c r="A452" s="11"/>
    </row>
    <row r="453" spans="1:1" ht="14.4">
      <c r="A453" s="11"/>
    </row>
    <row r="454" spans="1:1" ht="14.4">
      <c r="A454" s="11"/>
    </row>
    <row r="455" spans="1:1" ht="14.4">
      <c r="A455" s="11"/>
    </row>
    <row r="456" spans="1:1" ht="14.4">
      <c r="A456" s="11"/>
    </row>
    <row r="457" spans="1:1" ht="14.4">
      <c r="A457" s="11"/>
    </row>
    <row r="458" spans="1:1" ht="14.4">
      <c r="A458" s="11"/>
    </row>
    <row r="459" spans="1:1" ht="14.4">
      <c r="A459" s="11"/>
    </row>
    <row r="460" spans="1:1" ht="14.4">
      <c r="A460" s="11"/>
    </row>
    <row r="461" spans="1:1" ht="14.4">
      <c r="A461" s="11"/>
    </row>
    <row r="462" spans="1:1" ht="14.4">
      <c r="A462" s="11"/>
    </row>
    <row r="463" spans="1:1" ht="14.4">
      <c r="A463" s="11"/>
    </row>
    <row r="464" spans="1:1" ht="14.4">
      <c r="A464" s="11"/>
    </row>
    <row r="465" spans="1:1" ht="14.4">
      <c r="A465" s="11"/>
    </row>
    <row r="466" spans="1:1" ht="14.4">
      <c r="A466" s="11"/>
    </row>
    <row r="467" spans="1:1" ht="14.4">
      <c r="A467" s="11"/>
    </row>
    <row r="468" spans="1:1" ht="14.4">
      <c r="A468" s="11"/>
    </row>
    <row r="469" spans="1:1" ht="14.4">
      <c r="A469" s="11"/>
    </row>
    <row r="470" spans="1:1" ht="14.4">
      <c r="A470" s="11"/>
    </row>
    <row r="471" spans="1:1" ht="14.4">
      <c r="A471" s="11"/>
    </row>
    <row r="472" spans="1:1" ht="14.4">
      <c r="A472" s="11"/>
    </row>
    <row r="473" spans="1:1" ht="14.4">
      <c r="A473" s="11"/>
    </row>
    <row r="474" spans="1:1" ht="14.4">
      <c r="A474" s="11"/>
    </row>
    <row r="475" spans="1:1" ht="14.4">
      <c r="A475" s="11"/>
    </row>
    <row r="476" spans="1:1" ht="14.4">
      <c r="A476" s="11"/>
    </row>
    <row r="477" spans="1:1" ht="14.4">
      <c r="A477" s="11"/>
    </row>
    <row r="478" spans="1:1" ht="14.4">
      <c r="A478" s="11"/>
    </row>
    <row r="479" spans="1:1" ht="14.4">
      <c r="A479" s="11"/>
    </row>
    <row r="480" spans="1:1" ht="14.4">
      <c r="A480" s="11"/>
    </row>
    <row r="481" spans="1:1" ht="14.4">
      <c r="A481" s="11"/>
    </row>
    <row r="482" spans="1:1" ht="14.4">
      <c r="A482" s="11"/>
    </row>
    <row r="483" spans="1:1" ht="14.4">
      <c r="A483" s="11"/>
    </row>
    <row r="484" spans="1:1" ht="14.4">
      <c r="A484" s="11"/>
    </row>
    <row r="485" spans="1:1" ht="14.4">
      <c r="A485" s="11"/>
    </row>
    <row r="486" spans="1:1" ht="14.4">
      <c r="A486" s="11"/>
    </row>
    <row r="487" spans="1:1" ht="14.4">
      <c r="A487" s="11"/>
    </row>
    <row r="488" spans="1:1" ht="14.4">
      <c r="A488" s="11"/>
    </row>
    <row r="489" spans="1:1" ht="14.4">
      <c r="A489" s="11"/>
    </row>
    <row r="490" spans="1:1" ht="14.4">
      <c r="A490" s="11"/>
    </row>
    <row r="491" spans="1:1" ht="14.4">
      <c r="A491" s="11"/>
    </row>
    <row r="492" spans="1:1" ht="14.4">
      <c r="A492" s="11"/>
    </row>
    <row r="493" spans="1:1" ht="14.4">
      <c r="A493" s="11"/>
    </row>
    <row r="494" spans="1:1" ht="14.4">
      <c r="A494" s="11"/>
    </row>
    <row r="495" spans="1:1" ht="14.4">
      <c r="A495" s="11"/>
    </row>
    <row r="496" spans="1:1" ht="14.4">
      <c r="A496" s="11"/>
    </row>
    <row r="497" spans="1:1" ht="14.4">
      <c r="A497" s="11"/>
    </row>
    <row r="498" spans="1:1" ht="14.4">
      <c r="A498" s="11"/>
    </row>
    <row r="499" spans="1:1" ht="14.4">
      <c r="A499" s="11"/>
    </row>
    <row r="500" spans="1:1" ht="14.4">
      <c r="A500" s="11"/>
    </row>
    <row r="501" spans="1:1" ht="14.4">
      <c r="A501" s="11"/>
    </row>
    <row r="502" spans="1:1" ht="14.4">
      <c r="A502" s="11"/>
    </row>
    <row r="503" spans="1:1" ht="14.4">
      <c r="A503" s="11"/>
    </row>
    <row r="504" spans="1:1" ht="14.4">
      <c r="A504" s="11"/>
    </row>
    <row r="505" spans="1:1" ht="14.4">
      <c r="A505" s="11"/>
    </row>
    <row r="506" spans="1:1" ht="14.4">
      <c r="A506" s="11"/>
    </row>
    <row r="507" spans="1:1" ht="14.4">
      <c r="A507" s="11"/>
    </row>
    <row r="508" spans="1:1" ht="14.4">
      <c r="A508" s="11"/>
    </row>
    <row r="509" spans="1:1" ht="14.4">
      <c r="A509" s="11"/>
    </row>
    <row r="510" spans="1:1" ht="14.4">
      <c r="A510" s="11"/>
    </row>
    <row r="511" spans="1:1" ht="14.4">
      <c r="A511" s="11"/>
    </row>
    <row r="512" spans="1:1" ht="14.4">
      <c r="A512" s="11"/>
    </row>
    <row r="513" spans="1:1" ht="14.4">
      <c r="A513" s="11"/>
    </row>
    <row r="514" spans="1:1" ht="14.4">
      <c r="A514" s="11"/>
    </row>
    <row r="515" spans="1:1" ht="14.4">
      <c r="A515" s="11"/>
    </row>
    <row r="516" spans="1:1" ht="14.4">
      <c r="A516" s="11"/>
    </row>
    <row r="517" spans="1:1" ht="14.4">
      <c r="A517" s="11"/>
    </row>
    <row r="518" spans="1:1" ht="14.4">
      <c r="A518" s="11"/>
    </row>
    <row r="519" spans="1:1" ht="14.4">
      <c r="A519" s="11"/>
    </row>
    <row r="520" spans="1:1" ht="14.4">
      <c r="A520" s="11"/>
    </row>
    <row r="521" spans="1:1" ht="14.4">
      <c r="A521" s="11"/>
    </row>
    <row r="522" spans="1:1" ht="14.4">
      <c r="A522" s="11"/>
    </row>
    <row r="523" spans="1:1" ht="14.4">
      <c r="A523" s="11"/>
    </row>
    <row r="524" spans="1:1" ht="14.4">
      <c r="A524" s="11"/>
    </row>
    <row r="525" spans="1:1" ht="14.4">
      <c r="A525" s="11"/>
    </row>
    <row r="526" spans="1:1" ht="14.4">
      <c r="A526" s="11"/>
    </row>
    <row r="527" spans="1:1" ht="14.4">
      <c r="A527" s="11"/>
    </row>
    <row r="528" spans="1:1" ht="14.4">
      <c r="A528" s="11"/>
    </row>
    <row r="529" spans="1:1" ht="14.4">
      <c r="A529" s="11"/>
    </row>
    <row r="530" spans="1:1" ht="14.4">
      <c r="A530" s="11"/>
    </row>
    <row r="531" spans="1:1" ht="14.4">
      <c r="A531" s="11"/>
    </row>
    <row r="532" spans="1:1" ht="14.4">
      <c r="A532" s="11"/>
    </row>
    <row r="533" spans="1:1" ht="14.4">
      <c r="A533" s="11"/>
    </row>
    <row r="534" spans="1:1" ht="14.4">
      <c r="A534" s="11"/>
    </row>
    <row r="535" spans="1:1" ht="14.4">
      <c r="A535" s="11"/>
    </row>
    <row r="536" spans="1:1" ht="14.4">
      <c r="A536" s="11"/>
    </row>
    <row r="537" spans="1:1" ht="14.4">
      <c r="A537" s="11"/>
    </row>
    <row r="538" spans="1:1" ht="14.4">
      <c r="A538" s="11"/>
    </row>
    <row r="539" spans="1:1" ht="14.4">
      <c r="A539" s="11"/>
    </row>
    <row r="540" spans="1:1" ht="14.4">
      <c r="A540" s="11"/>
    </row>
    <row r="541" spans="1:1" ht="14.4">
      <c r="A541" s="11"/>
    </row>
    <row r="542" spans="1:1" ht="14.4">
      <c r="A542" s="11"/>
    </row>
    <row r="543" spans="1:1" ht="14.4">
      <c r="A543" s="11"/>
    </row>
    <row r="544" spans="1:1" ht="14.4">
      <c r="A544" s="11"/>
    </row>
    <row r="545" spans="1:1" ht="14.4">
      <c r="A545" s="11"/>
    </row>
    <row r="546" spans="1:1" ht="14.4">
      <c r="A546" s="11"/>
    </row>
    <row r="547" spans="1:1" ht="14.4">
      <c r="A547" s="11"/>
    </row>
    <row r="548" spans="1:1" ht="14.4">
      <c r="A548" s="11"/>
    </row>
    <row r="549" spans="1:1" ht="14.4">
      <c r="A549" s="11"/>
    </row>
    <row r="550" spans="1:1" ht="14.4">
      <c r="A550" s="11"/>
    </row>
    <row r="551" spans="1:1" ht="14.4">
      <c r="A551" s="11"/>
    </row>
    <row r="552" spans="1:1" ht="14.4">
      <c r="A552" s="11"/>
    </row>
    <row r="553" spans="1:1" ht="14.4">
      <c r="A553" s="11"/>
    </row>
    <row r="554" spans="1:1" ht="14.4">
      <c r="A554" s="11"/>
    </row>
    <row r="555" spans="1:1" ht="14.4">
      <c r="A555" s="11"/>
    </row>
    <row r="556" spans="1:1" ht="14.4">
      <c r="A556" s="11"/>
    </row>
    <row r="557" spans="1:1" ht="14.4">
      <c r="A557" s="11"/>
    </row>
    <row r="558" spans="1:1" ht="14.4">
      <c r="A558" s="11"/>
    </row>
    <row r="559" spans="1:1" ht="14.4">
      <c r="A559" s="11"/>
    </row>
    <row r="560" spans="1:1" ht="14.4">
      <c r="A560" s="11"/>
    </row>
    <row r="561" spans="1:1" ht="14.4">
      <c r="A561" s="11"/>
    </row>
    <row r="562" spans="1:1" ht="14.4">
      <c r="A562" s="11"/>
    </row>
    <row r="563" spans="1:1" ht="14.4">
      <c r="A563" s="11"/>
    </row>
    <row r="564" spans="1:1" ht="14.4">
      <c r="A564" s="11"/>
    </row>
    <row r="565" spans="1:1" ht="14.4">
      <c r="A565" s="11"/>
    </row>
    <row r="566" spans="1:1" ht="14.4">
      <c r="A566" s="11"/>
    </row>
    <row r="567" spans="1:1" ht="14.4">
      <c r="A567" s="11"/>
    </row>
    <row r="568" spans="1:1" ht="14.4">
      <c r="A568" s="11"/>
    </row>
    <row r="569" spans="1:1" ht="14.4">
      <c r="A569" s="11"/>
    </row>
    <row r="570" spans="1:1" ht="14.4">
      <c r="A570" s="11"/>
    </row>
    <row r="571" spans="1:1" ht="14.4">
      <c r="A571" s="11"/>
    </row>
    <row r="572" spans="1:1" ht="14.4">
      <c r="A572" s="11"/>
    </row>
    <row r="573" spans="1:1" ht="14.4">
      <c r="A573" s="11"/>
    </row>
    <row r="574" spans="1:1" ht="14.4">
      <c r="A574" s="11"/>
    </row>
    <row r="575" spans="1:1" ht="14.4">
      <c r="A575" s="11"/>
    </row>
    <row r="576" spans="1:1" ht="14.4">
      <c r="A576" s="11"/>
    </row>
    <row r="577" spans="1:1" ht="14.4">
      <c r="A577" s="11"/>
    </row>
    <row r="578" spans="1:1" ht="14.4">
      <c r="A578" s="11"/>
    </row>
    <row r="579" spans="1:1" ht="14.4">
      <c r="A579" s="11"/>
    </row>
    <row r="580" spans="1:1" ht="14.4">
      <c r="A580" s="11"/>
    </row>
    <row r="581" spans="1:1" ht="14.4">
      <c r="A581" s="11"/>
    </row>
    <row r="582" spans="1:1" ht="14.4">
      <c r="A582" s="11"/>
    </row>
    <row r="583" spans="1:1" ht="14.4">
      <c r="A583" s="11"/>
    </row>
    <row r="584" spans="1:1" ht="14.4">
      <c r="A584" s="11"/>
    </row>
    <row r="585" spans="1:1" ht="14.4">
      <c r="A585" s="11"/>
    </row>
    <row r="586" spans="1:1" ht="14.4">
      <c r="A586" s="11"/>
    </row>
    <row r="587" spans="1:1" ht="14.4">
      <c r="A587" s="11"/>
    </row>
    <row r="588" spans="1:1" ht="14.4">
      <c r="A588" s="11"/>
    </row>
    <row r="589" spans="1:1" ht="14.4">
      <c r="A589" s="11"/>
    </row>
    <row r="590" spans="1:1" ht="14.4">
      <c r="A590" s="11"/>
    </row>
    <row r="591" spans="1:1" ht="14.4">
      <c r="A591" s="11"/>
    </row>
    <row r="592" spans="1:1" ht="14.4">
      <c r="A592" s="11"/>
    </row>
    <row r="593" spans="1:1" ht="14.4">
      <c r="A593" s="11"/>
    </row>
    <row r="594" spans="1:1" ht="14.4">
      <c r="A594" s="11"/>
    </row>
    <row r="595" spans="1:1" ht="14.4">
      <c r="A595" s="11"/>
    </row>
    <row r="596" spans="1:1" ht="14.4">
      <c r="A596" s="11"/>
    </row>
    <row r="597" spans="1:1" ht="14.4">
      <c r="A597" s="11"/>
    </row>
    <row r="598" spans="1:1" ht="14.4">
      <c r="A598" s="11"/>
    </row>
    <row r="599" spans="1:1" ht="14.4">
      <c r="A599" s="11"/>
    </row>
    <row r="600" spans="1:1" ht="14.4">
      <c r="A600" s="11"/>
    </row>
    <row r="601" spans="1:1" ht="14.4">
      <c r="A601" s="11"/>
    </row>
    <row r="602" spans="1:1" ht="14.4">
      <c r="A602" s="11"/>
    </row>
    <row r="603" spans="1:1" ht="14.4">
      <c r="A603" s="11"/>
    </row>
    <row r="604" spans="1:1" ht="14.4">
      <c r="A604" s="11"/>
    </row>
    <row r="605" spans="1:1" ht="14.4">
      <c r="A605" s="11"/>
    </row>
    <row r="606" spans="1:1" ht="14.4">
      <c r="A606" s="11"/>
    </row>
    <row r="607" spans="1:1" ht="14.4">
      <c r="A607" s="11"/>
    </row>
    <row r="608" spans="1:1" ht="14.4">
      <c r="A608" s="11"/>
    </row>
    <row r="609" spans="1:1" ht="14.4">
      <c r="A609" s="11"/>
    </row>
    <row r="610" spans="1:1" ht="14.4">
      <c r="A610" s="11"/>
    </row>
    <row r="611" spans="1:1" ht="14.4">
      <c r="A611" s="11"/>
    </row>
    <row r="612" spans="1:1" ht="14.4">
      <c r="A612" s="11"/>
    </row>
    <row r="613" spans="1:1" ht="14.4">
      <c r="A613" s="11"/>
    </row>
    <row r="614" spans="1:1" ht="14.4">
      <c r="A614" s="11"/>
    </row>
    <row r="615" spans="1:1" ht="14.4">
      <c r="A615" s="11"/>
    </row>
    <row r="616" spans="1:1" ht="14.4">
      <c r="A616" s="11"/>
    </row>
    <row r="617" spans="1:1" ht="14.4">
      <c r="A617" s="11"/>
    </row>
    <row r="618" spans="1:1" ht="14.4">
      <c r="A618" s="11"/>
    </row>
    <row r="619" spans="1:1" ht="14.4">
      <c r="A619" s="11"/>
    </row>
    <row r="620" spans="1:1" ht="14.4">
      <c r="A620" s="11"/>
    </row>
    <row r="621" spans="1:1" ht="14.4">
      <c r="A621" s="11"/>
    </row>
    <row r="622" spans="1:1" ht="14.4">
      <c r="A622" s="11"/>
    </row>
    <row r="623" spans="1:1" ht="14.4">
      <c r="A623" s="11"/>
    </row>
    <row r="624" spans="1:1" ht="14.4">
      <c r="A624" s="11"/>
    </row>
    <row r="625" spans="1:1" ht="14.4">
      <c r="A625" s="11"/>
    </row>
    <row r="626" spans="1:1" ht="14.4">
      <c r="A626" s="11"/>
    </row>
    <row r="627" spans="1:1" ht="14.4">
      <c r="A627" s="11"/>
    </row>
    <row r="628" spans="1:1" ht="14.4">
      <c r="A628" s="11"/>
    </row>
    <row r="629" spans="1:1" ht="14.4">
      <c r="A629" s="11"/>
    </row>
    <row r="630" spans="1:1" ht="14.4">
      <c r="A630" s="11"/>
    </row>
    <row r="631" spans="1:1" ht="14.4">
      <c r="A631" s="11"/>
    </row>
    <row r="632" spans="1:1" ht="14.4">
      <c r="A632" s="11"/>
    </row>
    <row r="633" spans="1:1" ht="14.4">
      <c r="A633" s="11"/>
    </row>
    <row r="634" spans="1:1" ht="14.4">
      <c r="A634" s="11"/>
    </row>
    <row r="635" spans="1:1" ht="14.4">
      <c r="A635" s="11"/>
    </row>
    <row r="636" spans="1:1" ht="14.4">
      <c r="A636" s="11"/>
    </row>
    <row r="637" spans="1:1" ht="14.4">
      <c r="A637" s="11"/>
    </row>
    <row r="638" spans="1:1" ht="14.4">
      <c r="A638" s="11"/>
    </row>
    <row r="639" spans="1:1" ht="14.4">
      <c r="A639" s="11"/>
    </row>
    <row r="640" spans="1:1" ht="14.4">
      <c r="A640" s="11"/>
    </row>
    <row r="641" spans="1:1" ht="14.4">
      <c r="A641" s="11"/>
    </row>
    <row r="642" spans="1:1" ht="14.4">
      <c r="A642" s="11"/>
    </row>
    <row r="643" spans="1:1" ht="14.4">
      <c r="A643" s="11"/>
    </row>
    <row r="644" spans="1:1" ht="14.4">
      <c r="A644" s="11"/>
    </row>
    <row r="645" spans="1:1" ht="14.4">
      <c r="A645" s="11"/>
    </row>
    <row r="646" spans="1:1" ht="14.4">
      <c r="A646" s="11"/>
    </row>
    <row r="647" spans="1:1" ht="14.4">
      <c r="A647" s="11"/>
    </row>
    <row r="648" spans="1:1" ht="14.4">
      <c r="A648" s="11"/>
    </row>
    <row r="649" spans="1:1" ht="14.4">
      <c r="A649" s="11"/>
    </row>
    <row r="650" spans="1:1" ht="14.4">
      <c r="A650" s="11"/>
    </row>
    <row r="651" spans="1:1" ht="14.4">
      <c r="A651" s="11"/>
    </row>
    <row r="652" spans="1:1" ht="14.4">
      <c r="A652" s="11"/>
    </row>
    <row r="653" spans="1:1" ht="14.4">
      <c r="A653" s="11"/>
    </row>
    <row r="654" spans="1:1" ht="14.4">
      <c r="A654" s="11"/>
    </row>
    <row r="655" spans="1:1" ht="14.4">
      <c r="A655" s="11"/>
    </row>
    <row r="656" spans="1:1" ht="14.4">
      <c r="A656" s="11"/>
    </row>
    <row r="657" spans="1:1" ht="14.4">
      <c r="A657" s="11"/>
    </row>
    <row r="658" spans="1:1" ht="14.4">
      <c r="A658" s="11"/>
    </row>
    <row r="659" spans="1:1" ht="14.4">
      <c r="A659" s="11"/>
    </row>
    <row r="660" spans="1:1" ht="14.4">
      <c r="A660" s="11"/>
    </row>
    <row r="661" spans="1:1" ht="14.4">
      <c r="A661" s="11"/>
    </row>
    <row r="662" spans="1:1" ht="14.4">
      <c r="A662" s="11"/>
    </row>
    <row r="663" spans="1:1" ht="14.4">
      <c r="A663" s="11"/>
    </row>
    <row r="664" spans="1:1" ht="14.4">
      <c r="A664" s="11"/>
    </row>
    <row r="665" spans="1:1" ht="14.4">
      <c r="A665" s="11"/>
    </row>
    <row r="666" spans="1:1" ht="14.4">
      <c r="A666" s="11"/>
    </row>
    <row r="667" spans="1:1" ht="14.4">
      <c r="A667" s="11"/>
    </row>
    <row r="668" spans="1:1" ht="14.4">
      <c r="A668" s="11"/>
    </row>
    <row r="669" spans="1:1" ht="14.4">
      <c r="A669" s="11"/>
    </row>
    <row r="670" spans="1:1" ht="14.4">
      <c r="A670" s="11"/>
    </row>
    <row r="671" spans="1:1" ht="14.4">
      <c r="A671" s="11"/>
    </row>
    <row r="672" spans="1:1" ht="14.4">
      <c r="A672" s="11"/>
    </row>
    <row r="673" spans="1:1" ht="14.4">
      <c r="A673" s="11"/>
    </row>
    <row r="674" spans="1:1" ht="14.4">
      <c r="A674" s="11"/>
    </row>
    <row r="675" spans="1:1" ht="14.4">
      <c r="A675" s="11"/>
    </row>
    <row r="676" spans="1:1" ht="14.4">
      <c r="A676" s="11"/>
    </row>
    <row r="677" spans="1:1" ht="14.4">
      <c r="A677" s="11"/>
    </row>
    <row r="678" spans="1:1" ht="14.4">
      <c r="A678" s="11"/>
    </row>
    <row r="679" spans="1:1" ht="14.4">
      <c r="A679" s="11"/>
    </row>
    <row r="680" spans="1:1" ht="14.4">
      <c r="A680" s="11"/>
    </row>
    <row r="681" spans="1:1" ht="14.4">
      <c r="A681" s="11"/>
    </row>
    <row r="682" spans="1:1" ht="14.4">
      <c r="A682" s="11"/>
    </row>
    <row r="683" spans="1:1" ht="14.4">
      <c r="A683" s="11"/>
    </row>
    <row r="684" spans="1:1" ht="14.4">
      <c r="A684" s="11"/>
    </row>
    <row r="685" spans="1:1" ht="14.4">
      <c r="A685" s="11"/>
    </row>
    <row r="686" spans="1:1" ht="14.4">
      <c r="A686" s="11"/>
    </row>
    <row r="687" spans="1:1" ht="14.4">
      <c r="A687" s="11"/>
    </row>
    <row r="688" spans="1:1" ht="14.4">
      <c r="A688" s="11"/>
    </row>
    <row r="689" spans="1:1" ht="14.4">
      <c r="A689" s="11"/>
    </row>
    <row r="690" spans="1:1" ht="14.4">
      <c r="A690" s="11"/>
    </row>
    <row r="691" spans="1:1" ht="14.4">
      <c r="A691" s="11"/>
    </row>
    <row r="692" spans="1:1" ht="14.4">
      <c r="A692" s="11"/>
    </row>
    <row r="693" spans="1:1" ht="14.4">
      <c r="A693" s="11"/>
    </row>
    <row r="694" spans="1:1" ht="14.4">
      <c r="A694" s="11"/>
    </row>
    <row r="695" spans="1:1" ht="14.4">
      <c r="A695" s="11"/>
    </row>
    <row r="696" spans="1:1" ht="14.4">
      <c r="A696" s="11"/>
    </row>
    <row r="697" spans="1:1" ht="14.4">
      <c r="A697" s="11"/>
    </row>
    <row r="698" spans="1:1" ht="14.4">
      <c r="A698" s="11"/>
    </row>
    <row r="699" spans="1:1" ht="14.4">
      <c r="A699" s="11"/>
    </row>
    <row r="700" spans="1:1" ht="14.4">
      <c r="A700" s="11"/>
    </row>
    <row r="701" spans="1:1" ht="14.4">
      <c r="A701" s="11"/>
    </row>
    <row r="702" spans="1:1" ht="14.4">
      <c r="A702" s="11"/>
    </row>
    <row r="703" spans="1:1" ht="14.4">
      <c r="A703" s="11"/>
    </row>
    <row r="704" spans="1:1" ht="14.4">
      <c r="A704" s="11"/>
    </row>
    <row r="705" spans="1:1" ht="14.4">
      <c r="A705" s="11"/>
    </row>
    <row r="706" spans="1:1" ht="14.4">
      <c r="A706" s="11"/>
    </row>
    <row r="707" spans="1:1" ht="14.4">
      <c r="A707" s="11"/>
    </row>
    <row r="708" spans="1:1" ht="14.4">
      <c r="A708" s="11"/>
    </row>
    <row r="709" spans="1:1" ht="14.4">
      <c r="A709" s="11"/>
    </row>
    <row r="710" spans="1:1" ht="14.4">
      <c r="A710" s="11"/>
    </row>
    <row r="711" spans="1:1" ht="14.4">
      <c r="A711" s="11"/>
    </row>
    <row r="712" spans="1:1" ht="14.4">
      <c r="A712" s="11"/>
    </row>
    <row r="713" spans="1:1" ht="14.4">
      <c r="A713" s="11"/>
    </row>
    <row r="714" spans="1:1" ht="14.4">
      <c r="A714" s="11"/>
    </row>
    <row r="715" spans="1:1" ht="14.4">
      <c r="A715" s="11"/>
    </row>
    <row r="716" spans="1:1" ht="14.4">
      <c r="A716" s="11"/>
    </row>
    <row r="717" spans="1:1" ht="14.4">
      <c r="A717" s="11"/>
    </row>
    <row r="718" spans="1:1" ht="14.4">
      <c r="A718" s="11"/>
    </row>
    <row r="719" spans="1:1" ht="14.4">
      <c r="A719" s="11"/>
    </row>
    <row r="720" spans="1:1" ht="14.4">
      <c r="A720" s="11"/>
    </row>
    <row r="721" spans="1:1" ht="14.4">
      <c r="A721" s="11"/>
    </row>
    <row r="722" spans="1:1" ht="14.4">
      <c r="A722" s="11"/>
    </row>
    <row r="723" spans="1:1" ht="14.4">
      <c r="A723" s="11"/>
    </row>
    <row r="724" spans="1:1" ht="14.4">
      <c r="A724" s="11"/>
    </row>
    <row r="725" spans="1:1" ht="14.4">
      <c r="A725" s="11"/>
    </row>
    <row r="726" spans="1:1" ht="14.4">
      <c r="A726" s="11"/>
    </row>
    <row r="727" spans="1:1" ht="14.4">
      <c r="A727" s="11"/>
    </row>
    <row r="728" spans="1:1" ht="14.4">
      <c r="A728" s="11"/>
    </row>
    <row r="729" spans="1:1" ht="14.4">
      <c r="A729" s="11"/>
    </row>
    <row r="730" spans="1:1" ht="14.4">
      <c r="A730" s="11"/>
    </row>
    <row r="731" spans="1:1" ht="14.4">
      <c r="A731" s="11"/>
    </row>
    <row r="732" spans="1:1" ht="14.4">
      <c r="A732" s="11"/>
    </row>
    <row r="733" spans="1:1" ht="14.4">
      <c r="A733" s="11"/>
    </row>
    <row r="734" spans="1:1" ht="14.4">
      <c r="A734" s="11"/>
    </row>
    <row r="735" spans="1:1" ht="14.4">
      <c r="A735" s="11"/>
    </row>
    <row r="736" spans="1:1" ht="14.4">
      <c r="A736" s="11"/>
    </row>
    <row r="737" spans="1:1" ht="14.4">
      <c r="A737" s="11"/>
    </row>
    <row r="738" spans="1:1" ht="14.4">
      <c r="A738" s="11"/>
    </row>
    <row r="739" spans="1:1" ht="14.4">
      <c r="A739" s="11"/>
    </row>
    <row r="740" spans="1:1" ht="14.4">
      <c r="A740" s="11"/>
    </row>
    <row r="741" spans="1:1" ht="14.4">
      <c r="A741" s="11"/>
    </row>
    <row r="742" spans="1:1" ht="14.4">
      <c r="A742" s="11"/>
    </row>
    <row r="743" spans="1:1" ht="14.4">
      <c r="A743" s="11"/>
    </row>
    <row r="744" spans="1:1" ht="14.4">
      <c r="A744" s="11"/>
    </row>
    <row r="745" spans="1:1" ht="14.4">
      <c r="A745" s="11"/>
    </row>
    <row r="746" spans="1:1" ht="14.4">
      <c r="A746" s="11"/>
    </row>
    <row r="747" spans="1:1" ht="14.4">
      <c r="A747" s="11"/>
    </row>
    <row r="748" spans="1:1" ht="14.4">
      <c r="A748" s="11"/>
    </row>
    <row r="749" spans="1:1" ht="14.4">
      <c r="A749" s="11"/>
    </row>
    <row r="750" spans="1:1" ht="14.4">
      <c r="A750" s="11"/>
    </row>
    <row r="751" spans="1:1" ht="14.4">
      <c r="A751" s="11"/>
    </row>
    <row r="752" spans="1:1" ht="14.4">
      <c r="A752" s="11"/>
    </row>
    <row r="753" spans="1:1" ht="14.4">
      <c r="A753" s="11"/>
    </row>
    <row r="754" spans="1:1" ht="14.4">
      <c r="A754" s="11"/>
    </row>
    <row r="755" spans="1:1" ht="14.4">
      <c r="A755" s="11"/>
    </row>
    <row r="756" spans="1:1" ht="14.4">
      <c r="A756" s="11"/>
    </row>
    <row r="757" spans="1:1" ht="14.4">
      <c r="A757" s="11"/>
    </row>
    <row r="758" spans="1:1" ht="14.4">
      <c r="A758" s="11"/>
    </row>
    <row r="759" spans="1:1" ht="14.4">
      <c r="A759" s="11"/>
    </row>
    <row r="760" spans="1:1" ht="14.4">
      <c r="A760" s="11"/>
    </row>
    <row r="761" spans="1:1" ht="14.4">
      <c r="A761" s="11"/>
    </row>
    <row r="762" spans="1:1" ht="14.4">
      <c r="A762" s="11"/>
    </row>
    <row r="763" spans="1:1" ht="14.4">
      <c r="A763" s="11"/>
    </row>
    <row r="764" spans="1:1" ht="14.4">
      <c r="A764" s="11"/>
    </row>
    <row r="765" spans="1:1" ht="14.4">
      <c r="A765" s="11"/>
    </row>
    <row r="766" spans="1:1" ht="14.4">
      <c r="A766" s="11"/>
    </row>
    <row r="767" spans="1:1" ht="14.4">
      <c r="A767" s="11"/>
    </row>
    <row r="768" spans="1:1" ht="14.4">
      <c r="A768" s="11"/>
    </row>
    <row r="769" spans="1:1" ht="14.4">
      <c r="A769" s="11"/>
    </row>
    <row r="770" spans="1:1" ht="14.4">
      <c r="A770" s="11"/>
    </row>
    <row r="771" spans="1:1" ht="14.4">
      <c r="A771" s="11"/>
    </row>
    <row r="772" spans="1:1" ht="14.4">
      <c r="A772" s="11"/>
    </row>
    <row r="773" spans="1:1" ht="14.4">
      <c r="A773" s="11"/>
    </row>
    <row r="774" spans="1:1" ht="14.4">
      <c r="A774" s="11"/>
    </row>
    <row r="775" spans="1:1" ht="14.4">
      <c r="A775" s="11"/>
    </row>
    <row r="776" spans="1:1" ht="14.4">
      <c r="A776" s="11"/>
    </row>
    <row r="777" spans="1:1" ht="14.4">
      <c r="A777" s="11"/>
    </row>
    <row r="778" spans="1:1" ht="14.4">
      <c r="A778" s="11"/>
    </row>
    <row r="779" spans="1:1" ht="14.4">
      <c r="A779" s="11"/>
    </row>
    <row r="780" spans="1:1" ht="14.4">
      <c r="A780" s="11"/>
    </row>
    <row r="781" spans="1:1" ht="14.4">
      <c r="A781" s="11"/>
    </row>
    <row r="782" spans="1:1" ht="14.4">
      <c r="A782" s="11"/>
    </row>
    <row r="783" spans="1:1" ht="14.4">
      <c r="A783" s="11"/>
    </row>
    <row r="784" spans="1:1" ht="14.4">
      <c r="A784" s="11"/>
    </row>
    <row r="785" spans="1:1" ht="14.4">
      <c r="A785" s="11"/>
    </row>
    <row r="786" spans="1:1" ht="14.4">
      <c r="A786" s="11"/>
    </row>
    <row r="787" spans="1:1" ht="14.4">
      <c r="A787" s="11"/>
    </row>
    <row r="788" spans="1:1" ht="14.4">
      <c r="A788" s="11"/>
    </row>
    <row r="789" spans="1:1" ht="14.4">
      <c r="A789" s="11"/>
    </row>
    <row r="790" spans="1:1" ht="14.4">
      <c r="A790" s="11"/>
    </row>
    <row r="791" spans="1:1" ht="14.4">
      <c r="A791" s="11"/>
    </row>
    <row r="792" spans="1:1" ht="14.4">
      <c r="A792" s="11"/>
    </row>
    <row r="793" spans="1:1" ht="14.4">
      <c r="A793" s="11"/>
    </row>
    <row r="794" spans="1:1" ht="14.4">
      <c r="A794" s="11"/>
    </row>
    <row r="795" spans="1:1" ht="14.4">
      <c r="A795" s="11"/>
    </row>
    <row r="796" spans="1:1" ht="14.4">
      <c r="A796" s="11"/>
    </row>
    <row r="797" spans="1:1" ht="14.4">
      <c r="A797" s="11"/>
    </row>
    <row r="798" spans="1:1" ht="14.4">
      <c r="A798" s="11"/>
    </row>
    <row r="799" spans="1:1" ht="14.4">
      <c r="A799" s="11"/>
    </row>
    <row r="800" spans="1:1" ht="14.4">
      <c r="A800" s="11"/>
    </row>
    <row r="801" spans="1:1" ht="14.4">
      <c r="A801" s="11"/>
    </row>
    <row r="802" spans="1:1" ht="14.4">
      <c r="A802" s="11"/>
    </row>
    <row r="803" spans="1:1" ht="14.4">
      <c r="A803" s="11"/>
    </row>
    <row r="804" spans="1:1" ht="14.4">
      <c r="A804" s="11"/>
    </row>
    <row r="805" spans="1:1" ht="14.4">
      <c r="A805" s="11"/>
    </row>
    <row r="806" spans="1:1" ht="14.4">
      <c r="A806" s="11"/>
    </row>
    <row r="807" spans="1:1" ht="14.4">
      <c r="A807" s="11"/>
    </row>
    <row r="808" spans="1:1" ht="14.4">
      <c r="A808" s="11"/>
    </row>
    <row r="809" spans="1:1" ht="14.4">
      <c r="A809" s="11"/>
    </row>
    <row r="810" spans="1:1" ht="14.4">
      <c r="A810" s="11"/>
    </row>
    <row r="811" spans="1:1" ht="14.4">
      <c r="A811" s="11"/>
    </row>
    <row r="812" spans="1:1" ht="14.4">
      <c r="A812" s="11"/>
    </row>
    <row r="813" spans="1:1" ht="14.4">
      <c r="A813" s="11"/>
    </row>
    <row r="814" spans="1:1" ht="14.4">
      <c r="A814" s="11"/>
    </row>
    <row r="815" spans="1:1" ht="14.4">
      <c r="A815" s="11"/>
    </row>
    <row r="816" spans="1:1" ht="14.4">
      <c r="A816" s="11"/>
    </row>
    <row r="817" spans="1:1" ht="14.4">
      <c r="A817" s="11"/>
    </row>
    <row r="818" spans="1:1" ht="14.4">
      <c r="A818" s="11"/>
    </row>
    <row r="819" spans="1:1" ht="14.4">
      <c r="A819" s="11"/>
    </row>
    <row r="820" spans="1:1" ht="14.4">
      <c r="A820" s="11"/>
    </row>
    <row r="821" spans="1:1" ht="14.4">
      <c r="A821" s="11"/>
    </row>
    <row r="822" spans="1:1" ht="14.4">
      <c r="A822" s="11"/>
    </row>
    <row r="823" spans="1:1" ht="14.4">
      <c r="A823" s="11"/>
    </row>
    <row r="824" spans="1:1" ht="14.4">
      <c r="A824" s="11"/>
    </row>
    <row r="825" spans="1:1" ht="14.4">
      <c r="A825" s="11"/>
    </row>
    <row r="826" spans="1:1" ht="14.4">
      <c r="A826" s="11"/>
    </row>
    <row r="827" spans="1:1" ht="14.4">
      <c r="A827" s="11"/>
    </row>
    <row r="828" spans="1:1" ht="14.4">
      <c r="A828" s="11"/>
    </row>
    <row r="829" spans="1:1" ht="14.4">
      <c r="A829" s="11"/>
    </row>
    <row r="830" spans="1:1" ht="14.4">
      <c r="A830" s="11"/>
    </row>
    <row r="831" spans="1:1" ht="14.4">
      <c r="A831" s="11"/>
    </row>
    <row r="832" spans="1:1" ht="14.4">
      <c r="A832" s="11"/>
    </row>
    <row r="833" spans="1:1" ht="14.4">
      <c r="A833" s="11"/>
    </row>
    <row r="834" spans="1:1" ht="14.4">
      <c r="A834" s="11"/>
    </row>
    <row r="835" spans="1:1" ht="14.4">
      <c r="A835" s="11"/>
    </row>
    <row r="836" spans="1:1" ht="14.4">
      <c r="A836" s="11"/>
    </row>
    <row r="837" spans="1:1" ht="14.4">
      <c r="A837" s="11"/>
    </row>
    <row r="838" spans="1:1" ht="14.4">
      <c r="A838" s="11"/>
    </row>
    <row r="839" spans="1:1" ht="14.4">
      <c r="A839" s="11"/>
    </row>
    <row r="840" spans="1:1" ht="14.4">
      <c r="A840" s="11"/>
    </row>
    <row r="841" spans="1:1" ht="14.4">
      <c r="A841" s="11"/>
    </row>
    <row r="842" spans="1:1" ht="14.4">
      <c r="A842" s="11"/>
    </row>
    <row r="843" spans="1:1" ht="14.4">
      <c r="A843" s="11"/>
    </row>
    <row r="844" spans="1:1" ht="14.4">
      <c r="A844" s="11"/>
    </row>
    <row r="845" spans="1:1" ht="14.4">
      <c r="A845" s="11"/>
    </row>
    <row r="846" spans="1:1" ht="14.4">
      <c r="A846" s="11"/>
    </row>
    <row r="847" spans="1:1" ht="14.4">
      <c r="A847" s="11"/>
    </row>
    <row r="848" spans="1:1" ht="14.4">
      <c r="A848" s="11"/>
    </row>
    <row r="849" spans="1:1" ht="14.4">
      <c r="A849" s="11"/>
    </row>
    <row r="850" spans="1:1" ht="14.4">
      <c r="A850" s="11"/>
    </row>
    <row r="851" spans="1:1" ht="14.4">
      <c r="A851" s="11"/>
    </row>
    <row r="852" spans="1:1" ht="14.4">
      <c r="A852" s="11"/>
    </row>
    <row r="853" spans="1:1" ht="14.4">
      <c r="A853" s="11"/>
    </row>
    <row r="854" spans="1:1" ht="14.4">
      <c r="A854" s="11"/>
    </row>
    <row r="855" spans="1:1" ht="14.4">
      <c r="A855" s="11"/>
    </row>
    <row r="856" spans="1:1" ht="14.4">
      <c r="A856" s="11"/>
    </row>
    <row r="857" spans="1:1" ht="14.4">
      <c r="A857" s="11"/>
    </row>
    <row r="858" spans="1:1" ht="14.4">
      <c r="A858" s="11"/>
    </row>
    <row r="859" spans="1:1" ht="14.4">
      <c r="A859" s="11"/>
    </row>
    <row r="860" spans="1:1" ht="14.4">
      <c r="A860" s="11"/>
    </row>
    <row r="861" spans="1:1" ht="14.4">
      <c r="A861" s="11"/>
    </row>
    <row r="862" spans="1:1" ht="14.4">
      <c r="A862" s="11"/>
    </row>
    <row r="863" spans="1:1" ht="14.4">
      <c r="A863" s="11"/>
    </row>
    <row r="864" spans="1:1" ht="14.4">
      <c r="A864" s="11"/>
    </row>
    <row r="865" spans="1:1" ht="14.4">
      <c r="A865" s="11"/>
    </row>
    <row r="866" spans="1:1" ht="14.4">
      <c r="A866" s="11"/>
    </row>
    <row r="867" spans="1:1" ht="14.4">
      <c r="A867" s="11"/>
    </row>
    <row r="868" spans="1:1" ht="14.4">
      <c r="A868" s="11"/>
    </row>
    <row r="869" spans="1:1" ht="14.4">
      <c r="A869" s="11"/>
    </row>
    <row r="870" spans="1:1" ht="14.4">
      <c r="A870" s="11"/>
    </row>
    <row r="871" spans="1:1" ht="14.4">
      <c r="A871" s="11"/>
    </row>
    <row r="872" spans="1:1" ht="14.4">
      <c r="A872" s="11"/>
    </row>
    <row r="873" spans="1:1" ht="14.4">
      <c r="A873" s="11"/>
    </row>
    <row r="874" spans="1:1" ht="14.4">
      <c r="A874" s="11"/>
    </row>
    <row r="875" spans="1:1" ht="14.4">
      <c r="A875" s="11"/>
    </row>
    <row r="876" spans="1:1" ht="14.4">
      <c r="A876" s="11"/>
    </row>
    <row r="877" spans="1:1" ht="14.4">
      <c r="A877" s="11"/>
    </row>
    <row r="878" spans="1:1" ht="14.4">
      <c r="A878" s="11"/>
    </row>
    <row r="879" spans="1:1" ht="14.4">
      <c r="A879" s="11"/>
    </row>
    <row r="880" spans="1:1" ht="14.4">
      <c r="A880" s="11"/>
    </row>
    <row r="881" spans="1:1" ht="14.4">
      <c r="A881" s="11"/>
    </row>
    <row r="882" spans="1:1" ht="14.4">
      <c r="A882" s="11"/>
    </row>
    <row r="883" spans="1:1" ht="14.4">
      <c r="A883" s="11"/>
    </row>
    <row r="884" spans="1:1" ht="14.4">
      <c r="A884" s="11"/>
    </row>
    <row r="885" spans="1:1" ht="14.4">
      <c r="A885" s="11"/>
    </row>
    <row r="886" spans="1:1" ht="14.4">
      <c r="A886" s="11"/>
    </row>
    <row r="887" spans="1:1" ht="14.4">
      <c r="A887" s="11"/>
    </row>
    <row r="888" spans="1:1" ht="14.4">
      <c r="A888" s="11"/>
    </row>
    <row r="889" spans="1:1" ht="14.4">
      <c r="A889" s="11"/>
    </row>
    <row r="890" spans="1:1" ht="14.4">
      <c r="A890" s="11"/>
    </row>
    <row r="891" spans="1:1" ht="14.4">
      <c r="A891" s="11"/>
    </row>
    <row r="892" spans="1:1" ht="14.4">
      <c r="A892" s="11"/>
    </row>
    <row r="893" spans="1:1" ht="14.4">
      <c r="A893" s="11"/>
    </row>
    <row r="894" spans="1:1" ht="14.4">
      <c r="A894" s="11"/>
    </row>
    <row r="895" spans="1:1" ht="14.4">
      <c r="A895" s="11"/>
    </row>
    <row r="896" spans="1:1" ht="14.4">
      <c r="A896" s="11"/>
    </row>
    <row r="897" spans="1:1" ht="14.4">
      <c r="A897" s="11"/>
    </row>
    <row r="898" spans="1:1" ht="14.4">
      <c r="A898" s="11"/>
    </row>
    <row r="899" spans="1:1" ht="14.4">
      <c r="A899" s="11"/>
    </row>
    <row r="900" spans="1:1" ht="14.4">
      <c r="A900" s="11"/>
    </row>
    <row r="901" spans="1:1" ht="14.4">
      <c r="A901" s="11"/>
    </row>
    <row r="902" spans="1:1" ht="14.4">
      <c r="A902" s="11"/>
    </row>
    <row r="903" spans="1:1" ht="14.4">
      <c r="A903" s="11"/>
    </row>
    <row r="904" spans="1:1" ht="14.4">
      <c r="A904" s="11"/>
    </row>
    <row r="905" spans="1:1" ht="14.4">
      <c r="A905" s="11"/>
    </row>
    <row r="906" spans="1:1" ht="14.4">
      <c r="A906" s="11"/>
    </row>
    <row r="907" spans="1:1" ht="14.4">
      <c r="A907" s="11"/>
    </row>
    <row r="908" spans="1:1" ht="14.4">
      <c r="A908" s="11"/>
    </row>
    <row r="909" spans="1:1" ht="14.4">
      <c r="A909" s="11"/>
    </row>
    <row r="910" spans="1:1" ht="14.4">
      <c r="A910" s="11"/>
    </row>
    <row r="911" spans="1:1" ht="14.4">
      <c r="A911" s="11"/>
    </row>
    <row r="912" spans="1:1" ht="14.4">
      <c r="A912" s="11"/>
    </row>
    <row r="913" spans="1:1" ht="14.4">
      <c r="A913" s="11"/>
    </row>
    <row r="914" spans="1:1" ht="14.4">
      <c r="A914" s="11"/>
    </row>
    <row r="915" spans="1:1" ht="14.4">
      <c r="A915" s="11"/>
    </row>
    <row r="916" spans="1:1" ht="14.4">
      <c r="A916" s="11"/>
    </row>
    <row r="917" spans="1:1" ht="14.4">
      <c r="A917" s="11"/>
    </row>
    <row r="918" spans="1:1" ht="14.4">
      <c r="A918" s="11"/>
    </row>
    <row r="919" spans="1:1" ht="14.4">
      <c r="A919" s="11"/>
    </row>
    <row r="920" spans="1:1" ht="14.4">
      <c r="A920" s="11"/>
    </row>
    <row r="921" spans="1:1" ht="14.4">
      <c r="A921" s="11"/>
    </row>
    <row r="922" spans="1:1" ht="14.4">
      <c r="A922" s="11"/>
    </row>
    <row r="923" spans="1:1" ht="14.4">
      <c r="A923" s="11"/>
    </row>
    <row r="924" spans="1:1" ht="14.4">
      <c r="A924" s="11"/>
    </row>
    <row r="925" spans="1:1" ht="14.4">
      <c r="A925" s="11"/>
    </row>
    <row r="926" spans="1:1" ht="14.4">
      <c r="A926" s="11"/>
    </row>
    <row r="927" spans="1:1" ht="14.4">
      <c r="A927" s="11"/>
    </row>
    <row r="928" spans="1:1" ht="14.4">
      <c r="A928" s="11"/>
    </row>
    <row r="929" spans="1:1" ht="14.4">
      <c r="A929" s="11"/>
    </row>
    <row r="930" spans="1:1" ht="14.4">
      <c r="A930" s="11"/>
    </row>
    <row r="931" spans="1:1" ht="14.4">
      <c r="A931" s="11"/>
    </row>
    <row r="932" spans="1:1" ht="14.4">
      <c r="A932" s="11"/>
    </row>
    <row r="933" spans="1:1" ht="14.4">
      <c r="A933" s="11"/>
    </row>
    <row r="934" spans="1:1" ht="14.4">
      <c r="A934" s="11"/>
    </row>
    <row r="935" spans="1:1" ht="14.4">
      <c r="A935" s="11"/>
    </row>
    <row r="936" spans="1:1" ht="14.4">
      <c r="A936" s="11"/>
    </row>
    <row r="937" spans="1:1" ht="14.4">
      <c r="A937" s="11"/>
    </row>
    <row r="938" spans="1:1" ht="14.4">
      <c r="A938" s="11"/>
    </row>
    <row r="939" spans="1:1" ht="14.4">
      <c r="A939" s="11"/>
    </row>
    <row r="940" spans="1:1" ht="14.4">
      <c r="A940" s="11"/>
    </row>
    <row r="941" spans="1:1" ht="14.4">
      <c r="A941" s="11"/>
    </row>
    <row r="942" spans="1:1" ht="14.4">
      <c r="A942" s="11"/>
    </row>
    <row r="943" spans="1:1" ht="14.4">
      <c r="A943" s="11"/>
    </row>
    <row r="944" spans="1:1" ht="14.4">
      <c r="A944" s="11"/>
    </row>
    <row r="945" spans="1:1" ht="14.4">
      <c r="A945" s="11"/>
    </row>
    <row r="946" spans="1:1" ht="14.4">
      <c r="A946" s="11"/>
    </row>
    <row r="947" spans="1:1" ht="14.4">
      <c r="A947" s="11"/>
    </row>
    <row r="948" spans="1:1" ht="14.4">
      <c r="A948" s="11"/>
    </row>
    <row r="949" spans="1:1" ht="14.4">
      <c r="A949" s="11"/>
    </row>
    <row r="950" spans="1:1" ht="14.4">
      <c r="A950" s="11"/>
    </row>
    <row r="951" spans="1:1" ht="14.4">
      <c r="A951" s="11"/>
    </row>
    <row r="952" spans="1:1" ht="14.4">
      <c r="A952" s="11"/>
    </row>
    <row r="953" spans="1:1" ht="14.4">
      <c r="A953" s="11"/>
    </row>
    <row r="954" spans="1:1" ht="14.4">
      <c r="A954" s="11"/>
    </row>
    <row r="955" spans="1:1" ht="14.4">
      <c r="A955" s="11"/>
    </row>
    <row r="956" spans="1:1" ht="14.4">
      <c r="A956" s="11"/>
    </row>
    <row r="957" spans="1:1" ht="14.4">
      <c r="A957" s="11"/>
    </row>
    <row r="958" spans="1:1" ht="14.4">
      <c r="A958" s="11"/>
    </row>
    <row r="959" spans="1:1" ht="14.4">
      <c r="A959" s="11"/>
    </row>
    <row r="960" spans="1:1" ht="14.4">
      <c r="A960" s="11"/>
    </row>
    <row r="961" spans="1:1" ht="14.4">
      <c r="A961" s="11"/>
    </row>
    <row r="962" spans="1:1" ht="14.4">
      <c r="A962" s="11"/>
    </row>
    <row r="963" spans="1:1" ht="14.4">
      <c r="A963" s="11"/>
    </row>
    <row r="964" spans="1:1" ht="14.4">
      <c r="A964" s="11"/>
    </row>
    <row r="965" spans="1:1" ht="14.4">
      <c r="A965" s="11"/>
    </row>
    <row r="966" spans="1:1" ht="14.4">
      <c r="A966" s="11"/>
    </row>
    <row r="967" spans="1:1" ht="14.4">
      <c r="A967" s="11"/>
    </row>
    <row r="968" spans="1:1" ht="14.4">
      <c r="A968" s="11"/>
    </row>
    <row r="969" spans="1:1" ht="14.4">
      <c r="A969" s="11"/>
    </row>
    <row r="970" spans="1:1" ht="14.4">
      <c r="A970" s="11"/>
    </row>
    <row r="971" spans="1:1" ht="14.4">
      <c r="A971" s="11"/>
    </row>
    <row r="972" spans="1:1" ht="14.4">
      <c r="A972" s="11"/>
    </row>
    <row r="973" spans="1:1" ht="14.4">
      <c r="A973" s="11"/>
    </row>
    <row r="974" spans="1:1" ht="14.4">
      <c r="A974" s="11"/>
    </row>
    <row r="975" spans="1:1" ht="14.4">
      <c r="A975" s="11"/>
    </row>
    <row r="976" spans="1:1" ht="14.4">
      <c r="A976" s="11"/>
    </row>
    <row r="977" spans="1:1" ht="14.4">
      <c r="A977" s="11"/>
    </row>
    <row r="978" spans="1:1" ht="14.4">
      <c r="A978" s="11"/>
    </row>
    <row r="979" spans="1:1" ht="14.4">
      <c r="A979" s="11"/>
    </row>
    <row r="980" spans="1:1" ht="14.4">
      <c r="A980" s="11"/>
    </row>
    <row r="981" spans="1:1" ht="14.4">
      <c r="A981" s="11"/>
    </row>
    <row r="982" spans="1:1" ht="14.4">
      <c r="A982" s="11"/>
    </row>
    <row r="983" spans="1:1" ht="14.4">
      <c r="A983" s="11"/>
    </row>
    <row r="984" spans="1:1" ht="14.4">
      <c r="A984" s="11"/>
    </row>
    <row r="985" spans="1:1" ht="14.4">
      <c r="A985" s="11"/>
    </row>
    <row r="986" spans="1:1" ht="14.4">
      <c r="A986" s="11"/>
    </row>
    <row r="987" spans="1:1" ht="14.4">
      <c r="A987" s="11"/>
    </row>
    <row r="988" spans="1:1" ht="14.4">
      <c r="A988" s="11"/>
    </row>
    <row r="989" spans="1:1" ht="14.4">
      <c r="A989" s="11"/>
    </row>
    <row r="990" spans="1:1" ht="14.4">
      <c r="A990" s="11"/>
    </row>
    <row r="991" spans="1:1" ht="14.4">
      <c r="A991" s="11"/>
    </row>
    <row r="992" spans="1:1" ht="14.4">
      <c r="A992" s="11"/>
    </row>
    <row r="993" spans="1:1" ht="14.4">
      <c r="A993" s="11"/>
    </row>
    <row r="994" spans="1:1" ht="14.4">
      <c r="A994" s="11"/>
    </row>
    <row r="995" spans="1:1" ht="14.4">
      <c r="A995" s="11"/>
    </row>
    <row r="996" spans="1:1" ht="14.4">
      <c r="A996" s="11"/>
    </row>
    <row r="997" spans="1:1" ht="14.4">
      <c r="A997" s="11"/>
    </row>
    <row r="998" spans="1:1" ht="14.4">
      <c r="A998" s="11"/>
    </row>
    <row r="999" spans="1:1" ht="14.4">
      <c r="A999" s="11"/>
    </row>
    <row r="1000" spans="1:1" ht="14.4">
      <c r="A1000" s="11"/>
    </row>
    <row r="1001" spans="1:1" ht="14.4">
      <c r="A1001" s="11"/>
    </row>
    <row r="1002" spans="1:1" ht="14.4">
      <c r="A1002" s="11"/>
    </row>
    <row r="1003" spans="1:1" ht="14.4">
      <c r="A1003" s="11"/>
    </row>
    <row r="1004" spans="1:1" ht="14.4">
      <c r="A1004" s="11"/>
    </row>
    <row r="1005" spans="1:1" ht="14.4">
      <c r="A1005" s="11"/>
    </row>
    <row r="1006" spans="1:1" ht="14.4">
      <c r="A1006" s="11"/>
    </row>
    <row r="1007" spans="1:1" ht="14.4">
      <c r="A1007" s="11"/>
    </row>
    <row r="1008" spans="1:1" ht="14.4">
      <c r="A1008" s="11"/>
    </row>
    <row r="1009" spans="1:1" ht="14.4">
      <c r="A1009" s="11"/>
    </row>
    <row r="1010" spans="1:1" ht="14.4">
      <c r="A1010" s="11"/>
    </row>
    <row r="1011" spans="1:1" ht="14.4">
      <c r="A1011" s="11"/>
    </row>
    <row r="1012" spans="1:1" ht="14.4">
      <c r="A1012" s="11"/>
    </row>
    <row r="1013" spans="1:1" ht="14.4">
      <c r="A1013" s="11"/>
    </row>
    <row r="1014" spans="1:1" ht="14.4">
      <c r="A1014" s="11"/>
    </row>
    <row r="1015" spans="1:1" ht="14.4">
      <c r="A1015" s="11"/>
    </row>
    <row r="1016" spans="1:1" ht="14.4">
      <c r="A1016" s="11"/>
    </row>
    <row r="1017" spans="1:1" ht="14.4">
      <c r="A1017" s="11"/>
    </row>
    <row r="1018" spans="1:1" ht="14.4">
      <c r="A1018" s="11"/>
    </row>
    <row r="1019" spans="1:1" ht="14.4">
      <c r="A1019" s="11"/>
    </row>
    <row r="1020" spans="1:1" ht="14.4">
      <c r="A1020" s="11"/>
    </row>
    <row r="1021" spans="1:1" ht="14.4">
      <c r="A1021" s="11"/>
    </row>
    <row r="1022" spans="1:1" ht="14.4">
      <c r="A1022" s="11"/>
    </row>
    <row r="1023" spans="1:1" ht="14.4">
      <c r="A1023" s="11"/>
    </row>
    <row r="1024" spans="1:1" ht="14.4">
      <c r="A1024" s="11"/>
    </row>
    <row r="1025" spans="1:1" ht="14.4">
      <c r="A1025" s="11"/>
    </row>
    <row r="1026" spans="1:1" ht="14.4">
      <c r="A1026" s="11"/>
    </row>
    <row r="1027" spans="1:1" ht="14.4">
      <c r="A1027" s="11"/>
    </row>
    <row r="1028" spans="1:1" ht="14.4">
      <c r="A1028" s="11"/>
    </row>
    <row r="1029" spans="1:1" ht="14.4">
      <c r="A1029" s="11"/>
    </row>
    <row r="1030" spans="1:1" ht="14.4">
      <c r="A1030" s="11"/>
    </row>
    <row r="1031" spans="1:1" ht="14.4">
      <c r="A1031" s="11"/>
    </row>
    <row r="1032" spans="1:1" ht="14.4">
      <c r="A1032" s="11"/>
    </row>
    <row r="1033" spans="1:1" ht="14.4">
      <c r="A1033" s="11"/>
    </row>
    <row r="1034" spans="1:1" ht="14.4">
      <c r="A1034" s="11"/>
    </row>
    <row r="1035" spans="1:1" ht="14.4">
      <c r="A1035" s="11"/>
    </row>
    <row r="1036" spans="1:1" ht="14.4">
      <c r="A1036" s="11"/>
    </row>
    <row r="1037" spans="1:1" ht="14.4">
      <c r="A1037" s="11"/>
    </row>
    <row r="1038" spans="1:1" ht="14.4">
      <c r="A1038" s="11"/>
    </row>
    <row r="1039" spans="1:1" ht="14.4">
      <c r="A1039" s="11"/>
    </row>
    <row r="1040" spans="1:1" ht="14.4">
      <c r="A1040" s="11"/>
    </row>
    <row r="1041" spans="1:1" ht="14.4">
      <c r="A1041" s="11"/>
    </row>
    <row r="1042" spans="1:1" ht="14.4">
      <c r="A1042" s="11"/>
    </row>
    <row r="1043" spans="1:1" ht="14.4">
      <c r="A1043" s="11"/>
    </row>
    <row r="1044" spans="1:1" ht="14.4">
      <c r="A1044" s="11"/>
    </row>
    <row r="1045" spans="1:1" ht="14.4">
      <c r="A1045" s="11"/>
    </row>
    <row r="1046" spans="1:1" ht="14.4">
      <c r="A1046" s="11"/>
    </row>
    <row r="1047" spans="1:1" ht="14.4">
      <c r="A1047" s="11"/>
    </row>
    <row r="1048" spans="1:1" ht="14.4">
      <c r="A1048" s="11"/>
    </row>
    <row r="1049" spans="1:1" ht="14.4">
      <c r="A1049" s="11"/>
    </row>
    <row r="1050" spans="1:1" ht="14.4">
      <c r="A1050" s="11"/>
    </row>
    <row r="1051" spans="1:1" ht="14.4">
      <c r="A1051" s="11"/>
    </row>
    <row r="1052" spans="1:1" ht="14.4">
      <c r="A1052" s="11"/>
    </row>
    <row r="1053" spans="1:1" ht="14.4">
      <c r="A1053" s="11"/>
    </row>
    <row r="1054" spans="1:1" ht="14.4">
      <c r="A1054" s="11"/>
    </row>
    <row r="1055" spans="1:1" ht="14.4">
      <c r="A1055" s="11"/>
    </row>
    <row r="1056" spans="1:1" ht="14.4">
      <c r="A1056" s="11"/>
    </row>
    <row r="1057" spans="1:1" ht="14.4">
      <c r="A1057" s="11"/>
    </row>
    <row r="1058" spans="1:1" ht="14.4">
      <c r="A1058" s="11"/>
    </row>
    <row r="1059" spans="1:1" ht="14.4">
      <c r="A1059" s="11"/>
    </row>
    <row r="1060" spans="1:1" ht="14.4">
      <c r="A1060" s="11"/>
    </row>
    <row r="1061" spans="1:1" ht="14.4">
      <c r="A1061" s="11"/>
    </row>
    <row r="1062" spans="1:1" ht="14.4">
      <c r="A1062" s="11"/>
    </row>
    <row r="1063" spans="1:1" ht="14.4">
      <c r="A1063" s="11"/>
    </row>
    <row r="1064" spans="1:1" ht="14.4">
      <c r="A1064" s="11"/>
    </row>
    <row r="1065" spans="1:1" ht="14.4">
      <c r="A1065" s="11"/>
    </row>
    <row r="1066" spans="1:1" ht="14.4">
      <c r="A1066" s="11"/>
    </row>
    <row r="1067" spans="1:1" ht="14.4">
      <c r="A1067" s="11"/>
    </row>
    <row r="1068" spans="1:1" ht="14.4">
      <c r="A1068" s="11"/>
    </row>
    <row r="1069" spans="1:1" ht="14.4">
      <c r="A1069" s="11"/>
    </row>
    <row r="1070" spans="1:1" ht="14.4">
      <c r="A1070" s="11"/>
    </row>
    <row r="1071" spans="1:1" ht="14.4">
      <c r="A1071" s="11"/>
    </row>
    <row r="1072" spans="1:1" ht="14.4">
      <c r="A1072" s="11"/>
    </row>
    <row r="1073" spans="1:1" ht="14.4">
      <c r="A1073" s="11"/>
    </row>
    <row r="1074" spans="1:1" ht="14.4">
      <c r="A1074" s="11"/>
    </row>
    <row r="1075" spans="1:1" ht="14.4">
      <c r="A1075" s="11"/>
    </row>
    <row r="1076" spans="1:1" ht="14.4">
      <c r="A1076" s="11"/>
    </row>
    <row r="1077" spans="1:1" ht="14.4">
      <c r="A1077" s="11"/>
    </row>
    <row r="1078" spans="1:1" ht="14.4">
      <c r="A1078" s="11"/>
    </row>
    <row r="1079" spans="1:1" ht="14.4">
      <c r="A1079" s="11"/>
    </row>
    <row r="1080" spans="1:1" ht="14.4">
      <c r="A1080" s="11"/>
    </row>
    <row r="1081" spans="1:1" ht="14.4">
      <c r="A1081" s="11"/>
    </row>
    <row r="1082" spans="1:1" ht="14.4">
      <c r="A1082" s="11"/>
    </row>
    <row r="1083" spans="1:1" ht="14.4">
      <c r="A1083" s="11"/>
    </row>
    <row r="1084" spans="1:1" ht="14.4">
      <c r="A1084" s="11"/>
    </row>
    <row r="1085" spans="1:1" ht="14.4">
      <c r="A1085" s="11"/>
    </row>
    <row r="1086" spans="1:1" ht="14.4">
      <c r="A1086" s="11"/>
    </row>
    <row r="1087" spans="1:1" ht="14.4">
      <c r="A1087" s="11"/>
    </row>
    <row r="1088" spans="1:1" ht="14.4">
      <c r="A1088" s="11"/>
    </row>
    <row r="1089" spans="1:1" ht="14.4">
      <c r="A1089" s="11"/>
    </row>
    <row r="1090" spans="1:1" ht="14.4">
      <c r="A1090" s="11"/>
    </row>
    <row r="1091" spans="1:1" ht="14.4">
      <c r="A1091" s="11"/>
    </row>
    <row r="1092" spans="1:1" ht="14.4">
      <c r="A1092" s="11"/>
    </row>
    <row r="1093" spans="1:1" ht="14.4">
      <c r="A1093" s="11"/>
    </row>
    <row r="1094" spans="1:1" ht="14.4">
      <c r="A1094" s="11"/>
    </row>
    <row r="1095" spans="1:1" ht="14.4">
      <c r="A1095" s="11"/>
    </row>
    <row r="1096" spans="1:1" ht="14.4">
      <c r="A1096" s="11"/>
    </row>
    <row r="1097" spans="1:1" ht="14.4">
      <c r="A1097" s="11"/>
    </row>
    <row r="1098" spans="1:1" ht="14.4">
      <c r="A1098" s="11"/>
    </row>
    <row r="1099" spans="1:1" ht="14.4">
      <c r="A1099" s="11"/>
    </row>
    <row r="1100" spans="1:1" ht="14.4">
      <c r="A1100" s="11"/>
    </row>
    <row r="1101" spans="1:1" ht="14.4">
      <c r="A1101" s="11"/>
    </row>
    <row r="1102" spans="1:1" ht="14.4">
      <c r="A1102" s="11"/>
    </row>
    <row r="1103" spans="1:1" ht="14.4">
      <c r="A1103" s="11"/>
    </row>
    <row r="1104" spans="1:1" ht="14.4">
      <c r="A1104" s="11"/>
    </row>
    <row r="1105" spans="1:1" ht="14.4">
      <c r="A1105" s="11"/>
    </row>
    <row r="1106" spans="1:1" ht="14.4">
      <c r="A1106" s="11"/>
    </row>
    <row r="1107" spans="1:1" ht="14.4">
      <c r="A1107" s="11"/>
    </row>
    <row r="1108" spans="1:1" ht="14.4">
      <c r="A1108" s="11"/>
    </row>
    <row r="1109" spans="1:1" ht="14.4">
      <c r="A1109" s="11"/>
    </row>
    <row r="1110" spans="1:1" ht="14.4">
      <c r="A1110" s="11"/>
    </row>
    <row r="1111" spans="1:1" ht="14.4">
      <c r="A1111" s="11"/>
    </row>
    <row r="1112" spans="1:1" ht="14.4">
      <c r="A1112" s="11"/>
    </row>
    <row r="1113" spans="1:1" ht="14.4">
      <c r="A1113" s="11"/>
    </row>
    <row r="1114" spans="1:1" ht="14.4">
      <c r="A1114" s="11"/>
    </row>
    <row r="1115" spans="1:1" ht="14.4">
      <c r="A1115" s="11"/>
    </row>
    <row r="1116" spans="1:1" ht="14.4">
      <c r="A1116" s="11"/>
    </row>
    <row r="1117" spans="1:1" ht="14.4">
      <c r="A1117" s="11"/>
    </row>
    <row r="1118" spans="1:1" ht="14.4">
      <c r="A1118" s="11"/>
    </row>
    <row r="1119" spans="1:1" ht="14.4">
      <c r="A1119" s="11"/>
    </row>
    <row r="1120" spans="1:1" ht="14.4">
      <c r="A1120" s="11"/>
    </row>
    <row r="1121" spans="1:1" ht="14.4">
      <c r="A1121" s="11"/>
    </row>
    <row r="1122" spans="1:1" ht="14.4">
      <c r="A1122" s="11"/>
    </row>
    <row r="1123" spans="1:1" ht="14.4">
      <c r="A1123" s="11"/>
    </row>
    <row r="1124" spans="1:1" ht="14.4">
      <c r="A1124" s="11"/>
    </row>
    <row r="1125" spans="1:1" ht="14.4">
      <c r="A1125" s="11"/>
    </row>
    <row r="1126" spans="1:1" ht="14.4">
      <c r="A1126" s="11"/>
    </row>
    <row r="1127" spans="1:1" ht="14.4">
      <c r="A1127" s="11"/>
    </row>
    <row r="1128" spans="1:1" ht="14.4">
      <c r="A1128" s="11"/>
    </row>
    <row r="1129" spans="1:1" ht="14.4">
      <c r="A1129" s="11"/>
    </row>
    <row r="1130" spans="1:1" ht="14.4">
      <c r="A1130" s="11"/>
    </row>
    <row r="1131" spans="1:1" ht="14.4">
      <c r="A1131" s="11"/>
    </row>
    <row r="1132" spans="1:1" ht="14.4">
      <c r="A1132" s="11"/>
    </row>
    <row r="1133" spans="1:1" ht="14.4">
      <c r="A1133" s="11"/>
    </row>
    <row r="1134" spans="1:1" ht="14.4">
      <c r="A1134" s="11"/>
    </row>
    <row r="1135" spans="1:1" ht="14.4">
      <c r="A1135" s="11"/>
    </row>
    <row r="1136" spans="1:1" ht="14.4">
      <c r="A1136" s="11"/>
    </row>
    <row r="1137" spans="1:1" ht="14.4">
      <c r="A1137" s="11"/>
    </row>
    <row r="1138" spans="1:1" ht="14.4">
      <c r="A1138" s="11"/>
    </row>
    <row r="1139" spans="1:1" ht="14.4">
      <c r="A1139" s="11"/>
    </row>
    <row r="1140" spans="1:1" ht="14.4">
      <c r="A1140" s="11"/>
    </row>
    <row r="1141" spans="1:1" ht="14.4">
      <c r="A1141" s="11"/>
    </row>
    <row r="1142" spans="1:1" ht="14.4">
      <c r="A1142" s="11"/>
    </row>
    <row r="1143" spans="1:1" ht="14.4">
      <c r="A1143" s="11"/>
    </row>
    <row r="1144" spans="1:1" ht="14.4">
      <c r="A1144" s="11"/>
    </row>
    <row r="1145" spans="1:1" ht="14.4">
      <c r="A1145" s="11"/>
    </row>
    <row r="1146" spans="1:1" ht="14.4">
      <c r="A1146" s="11"/>
    </row>
    <row r="1147" spans="1:1" ht="14.4">
      <c r="A1147" s="11"/>
    </row>
    <row r="1148" spans="1:1" ht="14.4">
      <c r="A1148" s="11"/>
    </row>
    <row r="1149" spans="1:1" ht="14.4">
      <c r="A1149" s="11"/>
    </row>
    <row r="1150" spans="1:1" ht="14.4">
      <c r="A1150" s="11"/>
    </row>
    <row r="1151" spans="1:1" ht="14.4">
      <c r="A1151" s="11"/>
    </row>
    <row r="1152" spans="1:1" ht="14.4">
      <c r="A1152" s="11"/>
    </row>
    <row r="1153" spans="1:1" ht="14.4">
      <c r="A1153" s="11"/>
    </row>
    <row r="1154" spans="1:1" ht="14.4">
      <c r="A1154" s="11"/>
    </row>
    <row r="1155" spans="1:1" ht="14.4">
      <c r="A1155" s="11"/>
    </row>
    <row r="1156" spans="1:1" ht="14.4">
      <c r="A1156" s="11"/>
    </row>
    <row r="1157" spans="1:1" ht="14.4">
      <c r="A1157" s="11"/>
    </row>
    <row r="1158" spans="1:1" ht="14.4">
      <c r="A1158" s="11"/>
    </row>
    <row r="1159" spans="1:1" ht="14.4">
      <c r="A1159" s="11"/>
    </row>
    <row r="1160" spans="1:1" ht="14.4">
      <c r="A1160" s="11"/>
    </row>
    <row r="1161" spans="1:1" ht="14.4">
      <c r="A1161" s="11"/>
    </row>
    <row r="1162" spans="1:1" ht="14.4">
      <c r="A1162" s="11"/>
    </row>
    <row r="1163" spans="1:1" ht="14.4">
      <c r="A1163" s="11"/>
    </row>
    <row r="1164" spans="1:1" ht="14.4">
      <c r="A1164" s="11"/>
    </row>
    <row r="1165" spans="1:1" ht="14.4">
      <c r="A1165" s="11"/>
    </row>
    <row r="1166" spans="1:1" ht="14.4">
      <c r="A1166" s="11"/>
    </row>
    <row r="1167" spans="1:1" ht="14.4">
      <c r="A1167" s="11"/>
    </row>
    <row r="1168" spans="1:1" ht="14.4">
      <c r="A1168" s="11"/>
    </row>
    <row r="1169" spans="1:1" ht="14.4">
      <c r="A1169" s="11"/>
    </row>
    <row r="1170" spans="1:1" ht="14.4">
      <c r="A1170" s="11"/>
    </row>
    <row r="1171" spans="1:1" ht="14.4">
      <c r="A1171" s="11"/>
    </row>
    <row r="1172" spans="1:1" ht="14.4">
      <c r="A1172" s="11"/>
    </row>
    <row r="1173" spans="1:1" ht="14.4">
      <c r="A1173" s="11"/>
    </row>
    <row r="1174" spans="1:1" ht="14.4">
      <c r="A1174" s="11"/>
    </row>
    <row r="1175" spans="1:1" ht="14.4">
      <c r="A1175" s="11"/>
    </row>
    <row r="1176" spans="1:1" ht="14.4">
      <c r="A1176" s="11"/>
    </row>
    <row r="1177" spans="1:1" ht="14.4">
      <c r="A1177" s="11"/>
    </row>
    <row r="1178" spans="1:1" ht="14.4">
      <c r="A1178" s="11"/>
    </row>
    <row r="1179" spans="1:1" ht="14.4">
      <c r="A1179" s="11"/>
    </row>
    <row r="1180" spans="1:1" ht="14.4">
      <c r="A1180" s="11"/>
    </row>
    <row r="1181" spans="1:1" ht="14.4">
      <c r="A1181" s="11"/>
    </row>
    <row r="1182" spans="1:1" ht="14.4">
      <c r="A1182" s="11"/>
    </row>
    <row r="1183" spans="1:1" ht="14.4">
      <c r="A1183" s="11"/>
    </row>
    <row r="1184" spans="1:1" ht="14.4">
      <c r="A1184" s="11"/>
    </row>
    <row r="1185" spans="1:1" ht="14.4">
      <c r="A1185" s="11"/>
    </row>
    <row r="1186" spans="1:1" ht="14.4">
      <c r="A1186" s="11"/>
    </row>
    <row r="1187" spans="1:1" ht="14.4">
      <c r="A1187" s="11"/>
    </row>
    <row r="1188" spans="1:1" ht="14.4">
      <c r="A1188" s="11"/>
    </row>
    <row r="1189" spans="1:1" ht="14.4">
      <c r="A1189" s="11"/>
    </row>
    <row r="1190" spans="1:1" ht="14.4">
      <c r="A1190" s="11"/>
    </row>
    <row r="1191" spans="1:1" ht="14.4">
      <c r="A1191" s="11"/>
    </row>
    <row r="1192" spans="1:1" ht="14.4">
      <c r="A1192" s="11"/>
    </row>
    <row r="1193" spans="1:1" ht="14.4">
      <c r="A1193" s="11"/>
    </row>
    <row r="1194" spans="1:1" ht="14.4">
      <c r="A1194" s="11"/>
    </row>
    <row r="1195" spans="1:1" ht="14.4">
      <c r="A1195" s="11"/>
    </row>
    <row r="1196" spans="1:1" ht="14.4">
      <c r="A1196" s="11"/>
    </row>
    <row r="1197" spans="1:1" ht="14.4">
      <c r="A1197" s="11"/>
    </row>
    <row r="1198" spans="1:1" ht="14.4">
      <c r="A1198" s="11"/>
    </row>
    <row r="1199" spans="1:1" ht="14.4">
      <c r="A1199" s="11"/>
    </row>
    <row r="1200" spans="1:1" ht="14.4">
      <c r="A1200" s="11"/>
    </row>
    <row r="1201" spans="1:1" ht="14.4">
      <c r="A1201" s="11"/>
    </row>
    <row r="1202" spans="1:1" ht="14.4">
      <c r="A1202" s="11"/>
    </row>
    <row r="1203" spans="1:1" ht="14.4">
      <c r="A1203" s="11"/>
    </row>
    <row r="1204" spans="1:1" ht="14.4">
      <c r="A1204" s="11"/>
    </row>
    <row r="1205" spans="1:1" ht="14.4">
      <c r="A1205" s="11"/>
    </row>
    <row r="1206" spans="1:1" ht="14.4">
      <c r="A1206" s="11"/>
    </row>
    <row r="1207" spans="1:1" ht="14.4">
      <c r="A1207" s="11"/>
    </row>
    <row r="1208" spans="1:1" ht="14.4">
      <c r="A1208" s="11"/>
    </row>
    <row r="1209" spans="1:1" ht="14.4">
      <c r="A1209" s="11"/>
    </row>
    <row r="1210" spans="1:1" ht="14.4">
      <c r="A1210" s="11"/>
    </row>
    <row r="1211" spans="1:1" ht="14.4">
      <c r="A1211" s="11"/>
    </row>
    <row r="1212" spans="1:1" ht="14.4">
      <c r="A1212" s="11"/>
    </row>
    <row r="1213" spans="1:1" ht="14.4">
      <c r="A1213" s="11"/>
    </row>
    <row r="1214" spans="1:1" ht="14.4">
      <c r="A1214" s="11"/>
    </row>
    <row r="1215" spans="1:1" ht="14.4">
      <c r="A1215" s="11"/>
    </row>
    <row r="1216" spans="1:1" ht="14.4">
      <c r="A1216" s="11"/>
    </row>
    <row r="1217" spans="1:1" ht="14.4">
      <c r="A1217" s="11"/>
    </row>
    <row r="1218" spans="1:1" ht="14.4">
      <c r="A1218" s="11"/>
    </row>
    <row r="1219" spans="1:1" ht="14.4">
      <c r="A1219" s="11"/>
    </row>
    <row r="1220" spans="1:1" ht="14.4">
      <c r="A1220" s="11"/>
    </row>
    <row r="1221" spans="1:1" ht="14.4">
      <c r="A1221" s="11"/>
    </row>
    <row r="1222" spans="1:1" ht="14.4">
      <c r="A1222" s="11"/>
    </row>
    <row r="1223" spans="1:1" ht="14.4">
      <c r="A1223" s="11"/>
    </row>
    <row r="1224" spans="1:1" ht="14.4">
      <c r="A1224" s="11"/>
    </row>
    <row r="1225" spans="1:1" ht="14.4">
      <c r="A1225" s="11"/>
    </row>
    <row r="1226" spans="1:1" ht="14.4">
      <c r="A1226" s="11"/>
    </row>
    <row r="1227" spans="1:1" ht="14.4">
      <c r="A1227" s="11"/>
    </row>
    <row r="1228" spans="1:1" ht="14.4">
      <c r="A1228" s="11"/>
    </row>
    <row r="1229" spans="1:1" ht="14.4">
      <c r="A1229" s="11"/>
    </row>
    <row r="1230" spans="1:1" ht="14.4">
      <c r="A1230" s="11"/>
    </row>
    <row r="1231" spans="1:1" ht="14.4">
      <c r="A1231" s="11"/>
    </row>
    <row r="1232" spans="1:1" ht="14.4">
      <c r="A1232" s="11"/>
    </row>
    <row r="1233" spans="1:1" ht="14.4">
      <c r="A1233" s="11"/>
    </row>
    <row r="1234" spans="1:1" ht="14.4">
      <c r="A1234" s="11"/>
    </row>
    <row r="1235" spans="1:1" ht="14.4">
      <c r="A1235" s="11"/>
    </row>
    <row r="1236" spans="1:1" ht="14.4">
      <c r="A1236" s="11"/>
    </row>
    <row r="1237" spans="1:1" ht="14.4">
      <c r="A1237" s="11"/>
    </row>
    <row r="1238" spans="1:1" ht="14.4">
      <c r="A1238" s="11"/>
    </row>
    <row r="1239" spans="1:1" ht="14.4">
      <c r="A1239" s="11"/>
    </row>
    <row r="1240" spans="1:1" ht="14.4">
      <c r="A1240" s="11"/>
    </row>
    <row r="1241" spans="1:1" ht="14.4">
      <c r="A1241" s="11"/>
    </row>
    <row r="1242" spans="1:1" ht="14.4">
      <c r="A1242" s="11"/>
    </row>
    <row r="1243" spans="1:1" ht="14.4">
      <c r="A1243" s="11"/>
    </row>
    <row r="1244" spans="1:1" ht="14.4">
      <c r="A1244" s="11"/>
    </row>
    <row r="1245" spans="1:1" ht="14.4">
      <c r="A1245" s="11"/>
    </row>
    <row r="1246" spans="1:1" ht="14.4">
      <c r="A1246" s="11"/>
    </row>
    <row r="1247" spans="1:1" ht="14.4">
      <c r="A1247" s="11"/>
    </row>
    <row r="1248" spans="1:1" ht="14.4">
      <c r="A1248" s="11"/>
    </row>
    <row r="1249" spans="1:1" ht="14.4">
      <c r="A1249" s="11"/>
    </row>
    <row r="1250" spans="1:1" ht="14.4">
      <c r="A1250" s="11"/>
    </row>
    <row r="1251" spans="1:1" ht="14.4">
      <c r="A1251" s="11"/>
    </row>
    <row r="1252" spans="1:1" ht="14.4">
      <c r="A1252" s="11"/>
    </row>
    <row r="1253" spans="1:1" ht="14.4">
      <c r="A1253" s="11"/>
    </row>
    <row r="1254" spans="1:1" ht="14.4">
      <c r="A1254" s="11"/>
    </row>
    <row r="1255" spans="1:1" ht="14.4">
      <c r="A1255" s="11"/>
    </row>
    <row r="1256" spans="1:1" ht="14.4">
      <c r="A1256" s="11"/>
    </row>
    <row r="1257" spans="1:1" ht="14.4">
      <c r="A1257" s="11"/>
    </row>
    <row r="1258" spans="1:1" ht="14.4">
      <c r="A1258" s="11"/>
    </row>
    <row r="1259" spans="1:1" ht="14.4">
      <c r="A1259" s="11"/>
    </row>
    <row r="1260" spans="1:1" ht="14.4">
      <c r="A1260" s="11"/>
    </row>
    <row r="1261" spans="1:1" ht="14.4">
      <c r="A1261" s="11"/>
    </row>
    <row r="1262" spans="1:1" ht="14.4">
      <c r="A1262" s="11"/>
    </row>
    <row r="1263" spans="1:1" ht="14.4">
      <c r="A1263" s="11"/>
    </row>
    <row r="1264" spans="1:1" ht="14.4">
      <c r="A1264" s="11"/>
    </row>
    <row r="1265" spans="1:1" ht="14.4">
      <c r="A1265" s="11"/>
    </row>
    <row r="1266" spans="1:1" ht="14.4">
      <c r="A1266" s="11"/>
    </row>
    <row r="1267" spans="1:1" ht="14.4">
      <c r="A1267" s="11"/>
    </row>
    <row r="1268" spans="1:1" ht="14.4">
      <c r="A1268" s="11"/>
    </row>
    <row r="1269" spans="1:1" ht="14.4">
      <c r="A1269" s="11"/>
    </row>
    <row r="1270" spans="1:1" ht="14.4">
      <c r="A1270" s="11"/>
    </row>
    <row r="1271" spans="1:1" ht="14.4">
      <c r="A1271" s="11"/>
    </row>
    <row r="1272" spans="1:1" ht="14.4">
      <c r="A1272" s="11"/>
    </row>
    <row r="1273" spans="1:1" ht="14.4">
      <c r="A1273" s="11"/>
    </row>
    <row r="1274" spans="1:1" ht="14.4">
      <c r="A1274" s="11"/>
    </row>
    <row r="1275" spans="1:1" ht="14.4">
      <c r="A1275" s="11"/>
    </row>
    <row r="1276" spans="1:1" ht="14.4">
      <c r="A1276" s="11"/>
    </row>
    <row r="1277" spans="1:1" ht="14.4">
      <c r="A1277" s="11"/>
    </row>
    <row r="1278" spans="1:1" ht="14.4">
      <c r="A1278" s="11"/>
    </row>
    <row r="1279" spans="1:1" ht="14.4">
      <c r="A1279" s="11"/>
    </row>
    <row r="1280" spans="1:1" ht="14.4">
      <c r="A1280" s="11"/>
    </row>
    <row r="1281" spans="1:1" ht="14.4">
      <c r="A1281" s="11"/>
    </row>
    <row r="1282" spans="1:1" ht="14.4">
      <c r="A1282" s="11"/>
    </row>
    <row r="1283" spans="1:1" ht="14.4">
      <c r="A1283" s="11"/>
    </row>
    <row r="1284" spans="1:1" ht="14.4">
      <c r="A1284" s="11"/>
    </row>
    <row r="1285" spans="1:1" ht="14.4">
      <c r="A1285" s="11"/>
    </row>
    <row r="1286" spans="1:1" ht="14.4">
      <c r="A1286" s="11"/>
    </row>
    <row r="1287" spans="1:1" ht="14.4">
      <c r="A1287" s="11"/>
    </row>
    <row r="1288" spans="1:1" ht="14.4">
      <c r="A1288" s="11"/>
    </row>
    <row r="1289" spans="1:1" ht="14.4">
      <c r="A1289" s="11"/>
    </row>
    <row r="1290" spans="1:1" ht="14.4">
      <c r="A1290" s="11"/>
    </row>
    <row r="1291" spans="1:1" ht="14.4">
      <c r="A1291" s="11"/>
    </row>
    <row r="1292" spans="1:1" ht="14.4">
      <c r="A1292" s="11"/>
    </row>
    <row r="1293" spans="1:1" ht="14.4">
      <c r="A1293" s="11"/>
    </row>
    <row r="1294" spans="1:1" ht="14.4">
      <c r="A1294" s="11"/>
    </row>
    <row r="1295" spans="1:1" ht="14.4">
      <c r="A1295" s="11"/>
    </row>
    <row r="1296" spans="1:1" ht="14.4">
      <c r="A1296" s="11"/>
    </row>
    <row r="1297" spans="1:1" ht="14.4">
      <c r="A1297" s="11"/>
    </row>
    <row r="1298" spans="1:1" ht="14.4">
      <c r="A1298" s="11"/>
    </row>
    <row r="1299" spans="1:1" ht="14.4">
      <c r="A1299" s="11"/>
    </row>
    <row r="1300" spans="1:1" ht="14.4">
      <c r="A1300" s="11"/>
    </row>
    <row r="1301" spans="1:1" ht="14.4">
      <c r="A1301" s="11"/>
    </row>
    <row r="1302" spans="1:1" ht="14.4">
      <c r="A1302" s="11"/>
    </row>
    <row r="1303" spans="1:1" ht="14.4">
      <c r="A1303" s="11"/>
    </row>
    <row r="1304" spans="1:1" ht="14.4">
      <c r="A1304" s="11"/>
    </row>
    <row r="1305" spans="1:1" ht="14.4">
      <c r="A1305" s="11"/>
    </row>
    <row r="1306" spans="1:1" ht="14.4">
      <c r="A1306" s="11"/>
    </row>
    <row r="1307" spans="1:1" ht="14.4">
      <c r="A1307" s="11"/>
    </row>
    <row r="1308" spans="1:1" ht="14.4">
      <c r="A1308" s="11"/>
    </row>
    <row r="1309" spans="1:1" ht="14.4">
      <c r="A1309" s="11"/>
    </row>
    <row r="1310" spans="1:1" ht="14.4">
      <c r="A1310" s="11"/>
    </row>
    <row r="1311" spans="1:1" ht="14.4">
      <c r="A1311" s="11"/>
    </row>
    <row r="1312" spans="1:1" ht="14.4">
      <c r="A1312" s="11"/>
    </row>
    <row r="1313" spans="1:1" ht="14.4">
      <c r="A1313" s="11"/>
    </row>
    <row r="1314" spans="1:1" ht="14.4">
      <c r="A1314" s="11"/>
    </row>
    <row r="1315" spans="1:1" ht="14.4">
      <c r="A1315" s="11"/>
    </row>
    <row r="1316" spans="1:1" ht="14.4">
      <c r="A1316" s="11"/>
    </row>
    <row r="1317" spans="1:1" ht="14.4">
      <c r="A1317" s="11"/>
    </row>
    <row r="1318" spans="1:1" ht="14.4">
      <c r="A1318" s="11"/>
    </row>
    <row r="1319" spans="1:1" ht="14.4">
      <c r="A1319" s="11"/>
    </row>
    <row r="1320" spans="1:1" ht="14.4">
      <c r="A1320" s="11"/>
    </row>
    <row r="1321" spans="1:1" ht="14.4">
      <c r="A1321" s="11"/>
    </row>
    <row r="1322" spans="1:1" ht="14.4">
      <c r="A1322" s="11"/>
    </row>
    <row r="1323" spans="1:1" ht="14.4">
      <c r="A1323" s="11"/>
    </row>
    <row r="1324" spans="1:1" ht="14.4">
      <c r="A1324" s="11"/>
    </row>
    <row r="1325" spans="1:1" ht="14.4">
      <c r="A1325" s="11"/>
    </row>
    <row r="1326" spans="1:1" ht="14.4">
      <c r="A1326" s="11"/>
    </row>
    <row r="1327" spans="1:1" ht="14.4">
      <c r="A1327" s="11"/>
    </row>
    <row r="1328" spans="1:1" ht="14.4">
      <c r="A1328" s="11"/>
    </row>
    <row r="1329" spans="1:1" ht="14.4">
      <c r="A1329" s="11"/>
    </row>
    <row r="1330" spans="1:1" ht="14.4">
      <c r="A1330" s="11"/>
    </row>
    <row r="1331" spans="1:1" ht="14.4">
      <c r="A1331" s="11"/>
    </row>
    <row r="1332" spans="1:1" ht="14.4">
      <c r="A1332" s="11"/>
    </row>
    <row r="1333" spans="1:1" ht="14.4">
      <c r="A1333" s="11"/>
    </row>
    <row r="1334" spans="1:1" ht="14.4">
      <c r="A1334" s="11"/>
    </row>
    <row r="1335" spans="1:1" ht="14.4">
      <c r="A1335" s="11"/>
    </row>
    <row r="1336" spans="1:1" ht="14.4">
      <c r="A1336" s="11"/>
    </row>
    <row r="1337" spans="1:1" ht="14.4">
      <c r="A1337" s="11"/>
    </row>
    <row r="1338" spans="1:1" ht="14.4">
      <c r="A1338" s="11"/>
    </row>
    <row r="1339" spans="1:1" ht="14.4">
      <c r="A1339" s="11"/>
    </row>
    <row r="1340" spans="1:1" ht="14.4">
      <c r="A1340" s="11"/>
    </row>
    <row r="1341" spans="1:1" ht="14.4">
      <c r="A1341" s="11"/>
    </row>
    <row r="1342" spans="1:1" ht="14.4">
      <c r="A1342" s="11"/>
    </row>
    <row r="1343" spans="1:1" ht="14.4">
      <c r="A1343" s="11"/>
    </row>
    <row r="1344" spans="1:1" ht="14.4">
      <c r="A1344" s="11"/>
    </row>
    <row r="1345" spans="1:1" ht="14.4">
      <c r="A1345" s="11"/>
    </row>
    <row r="1346" spans="1:1" ht="14.4">
      <c r="A1346" s="11"/>
    </row>
    <row r="1347" spans="1:1" ht="14.4">
      <c r="A1347" s="11"/>
    </row>
    <row r="1348" spans="1:1" ht="14.4">
      <c r="A1348" s="11"/>
    </row>
    <row r="1349" spans="1:1" ht="14.4">
      <c r="A1349" s="11"/>
    </row>
    <row r="1350" spans="1:1" ht="14.4">
      <c r="A1350" s="11"/>
    </row>
    <row r="1351" spans="1:1" ht="14.4">
      <c r="A1351" s="11"/>
    </row>
    <row r="1352" spans="1:1" ht="14.4">
      <c r="A1352" s="11"/>
    </row>
    <row r="1353" spans="1:1" ht="14.4">
      <c r="A1353" s="11"/>
    </row>
    <row r="1354" spans="1:1" ht="14.4">
      <c r="A1354" s="11"/>
    </row>
    <row r="1355" spans="1:1" ht="14.4">
      <c r="A1355" s="11"/>
    </row>
    <row r="1356" spans="1:1" ht="14.4">
      <c r="A1356" s="11"/>
    </row>
    <row r="1357" spans="1:1" ht="14.4">
      <c r="A1357" s="11"/>
    </row>
    <row r="1358" spans="1:1" ht="14.4">
      <c r="A1358" s="11"/>
    </row>
    <row r="1359" spans="1:1" ht="14.4">
      <c r="A1359" s="11"/>
    </row>
    <row r="1360" spans="1:1" ht="14.4">
      <c r="A1360" s="11"/>
    </row>
    <row r="1361" spans="1:1" ht="14.4">
      <c r="A1361" s="11"/>
    </row>
    <row r="1362" spans="1:1" ht="14.4">
      <c r="A1362" s="11"/>
    </row>
    <row r="1363" spans="1:1" ht="14.4">
      <c r="A1363" s="11"/>
    </row>
    <row r="1364" spans="1:1" ht="14.4">
      <c r="A1364" s="11"/>
    </row>
    <row r="1365" spans="1:1" ht="14.4">
      <c r="A1365" s="11"/>
    </row>
    <row r="1366" spans="1:1" ht="14.4">
      <c r="A1366" s="11"/>
    </row>
    <row r="1367" spans="1:1" ht="14.4">
      <c r="A1367" s="11"/>
    </row>
    <row r="1368" spans="1:1" ht="14.4">
      <c r="A1368" s="11"/>
    </row>
    <row r="1369" spans="1:1" ht="14.4">
      <c r="A1369" s="11"/>
    </row>
    <row r="1370" spans="1:1" ht="14.4">
      <c r="A1370" s="11"/>
    </row>
    <row r="1371" spans="1:1" ht="14.4">
      <c r="A1371" s="11"/>
    </row>
    <row r="1372" spans="1:1" ht="14.4">
      <c r="A1372" s="11"/>
    </row>
    <row r="1373" spans="1:1" ht="14.4">
      <c r="A1373" s="11"/>
    </row>
    <row r="1374" spans="1:1" ht="14.4">
      <c r="A1374" s="11"/>
    </row>
    <row r="1375" spans="1:1" ht="14.4">
      <c r="A1375" s="11"/>
    </row>
    <row r="1376" spans="1:1" ht="14.4">
      <c r="A1376" s="11"/>
    </row>
    <row r="1377" spans="1:1" ht="14.4">
      <c r="A1377" s="11"/>
    </row>
    <row r="1378" spans="1:1" ht="14.4">
      <c r="A1378" s="11"/>
    </row>
    <row r="1379" spans="1:1" ht="14.4">
      <c r="A1379" s="11"/>
    </row>
    <row r="1380" spans="1:1" ht="14.4">
      <c r="A1380" s="11"/>
    </row>
    <row r="1381" spans="1:1" ht="14.4">
      <c r="A1381" s="11"/>
    </row>
    <row r="1382" spans="1:1" ht="14.4">
      <c r="A1382" s="11"/>
    </row>
    <row r="1383" spans="1:1" ht="14.4">
      <c r="A1383" s="11"/>
    </row>
    <row r="1384" spans="1:1" ht="14.4">
      <c r="A1384" s="11"/>
    </row>
    <row r="1385" spans="1:1" ht="14.4">
      <c r="A1385" s="11"/>
    </row>
    <row r="1386" spans="1:1" ht="14.4">
      <c r="A1386" s="11"/>
    </row>
    <row r="1387" spans="1:1" ht="14.4">
      <c r="A1387" s="11"/>
    </row>
    <row r="1388" spans="1:1" ht="14.4">
      <c r="A1388" s="11"/>
    </row>
    <row r="1389" spans="1:1" ht="14.4">
      <c r="A1389" s="11"/>
    </row>
    <row r="1390" spans="1:1" ht="14.4">
      <c r="A1390" s="11"/>
    </row>
    <row r="1391" spans="1:1" ht="14.4">
      <c r="A1391" s="11"/>
    </row>
    <row r="1392" spans="1:1" ht="14.4">
      <c r="A1392" s="11"/>
    </row>
    <row r="1393" spans="1:1" ht="14.4">
      <c r="A1393" s="11"/>
    </row>
    <row r="1394" spans="1:1" ht="14.4">
      <c r="A1394" s="11"/>
    </row>
    <row r="1395" spans="1:1" ht="14.4">
      <c r="A1395" s="11"/>
    </row>
    <row r="1396" spans="1:1" ht="14.4">
      <c r="A1396" s="11"/>
    </row>
    <row r="1397" spans="1:1" ht="14.4">
      <c r="A1397" s="11"/>
    </row>
    <row r="1398" spans="1:1" ht="14.4">
      <c r="A1398" s="11"/>
    </row>
    <row r="1399" spans="1:1" ht="14.4">
      <c r="A1399" s="11"/>
    </row>
    <row r="1400" spans="1:1" ht="14.4">
      <c r="A1400" s="11"/>
    </row>
    <row r="1401" spans="1:1" ht="14.4">
      <c r="A1401" s="11"/>
    </row>
    <row r="1402" spans="1:1" ht="14.4">
      <c r="A1402" s="11"/>
    </row>
    <row r="1403" spans="1:1" ht="14.4">
      <c r="A1403" s="11"/>
    </row>
    <row r="1404" spans="1:1" ht="14.4">
      <c r="A1404" s="11"/>
    </row>
    <row r="1405" spans="1:1" ht="14.4">
      <c r="A1405" s="11"/>
    </row>
    <row r="1406" spans="1:1" ht="14.4">
      <c r="A1406" s="11"/>
    </row>
    <row r="1407" spans="1:1" ht="14.4">
      <c r="A1407" s="11"/>
    </row>
    <row r="1408" spans="1:1" ht="14.4">
      <c r="A1408" s="11"/>
    </row>
    <row r="1409" spans="1:1" ht="14.4">
      <c r="A1409" s="11"/>
    </row>
    <row r="1410" spans="1:1" ht="14.4">
      <c r="A1410" s="11"/>
    </row>
    <row r="1411" spans="1:1" ht="14.4">
      <c r="A1411" s="11"/>
    </row>
    <row r="1412" spans="1:1" ht="14.4">
      <c r="A1412" s="11"/>
    </row>
    <row r="1413" spans="1:1" ht="14.4">
      <c r="A1413" s="11"/>
    </row>
    <row r="1414" spans="1:1" ht="14.4">
      <c r="A1414" s="11"/>
    </row>
    <row r="1415" spans="1:1" ht="14.4">
      <c r="A1415" s="11"/>
    </row>
    <row r="1416" spans="1:1" ht="14.4">
      <c r="A1416" s="11"/>
    </row>
    <row r="1417" spans="1:1" ht="14.4">
      <c r="A1417" s="11"/>
    </row>
    <row r="1418" spans="1:1" ht="14.4">
      <c r="A1418" s="11"/>
    </row>
    <row r="1419" spans="1:1" ht="14.4">
      <c r="A1419" s="11"/>
    </row>
    <row r="1420" spans="1:1" ht="14.4">
      <c r="A1420" s="11"/>
    </row>
    <row r="1421" spans="1:1" ht="14.4">
      <c r="A1421" s="11"/>
    </row>
    <row r="1422" spans="1:1" ht="14.4">
      <c r="A1422" s="11"/>
    </row>
    <row r="1423" spans="1:1" ht="14.4">
      <c r="A1423" s="11"/>
    </row>
    <row r="1424" spans="1:1" ht="14.4">
      <c r="A1424" s="11"/>
    </row>
    <row r="1425" spans="1:1" ht="14.4">
      <c r="A1425" s="11"/>
    </row>
    <row r="1426" spans="1:1" ht="14.4">
      <c r="A1426" s="11"/>
    </row>
    <row r="1427" spans="1:1" ht="14.4">
      <c r="A1427" s="11"/>
    </row>
    <row r="1428" spans="1:1" ht="14.4">
      <c r="A1428" s="11"/>
    </row>
    <row r="1429" spans="1:1" ht="14.4">
      <c r="A1429" s="11"/>
    </row>
    <row r="1430" spans="1:1" ht="14.4">
      <c r="A1430" s="11"/>
    </row>
    <row r="1431" spans="1:1" ht="14.4">
      <c r="A1431" s="11"/>
    </row>
    <row r="1432" spans="1:1" ht="14.4">
      <c r="A1432" s="11"/>
    </row>
    <row r="1433" spans="1:1" ht="14.4">
      <c r="A1433" s="11"/>
    </row>
    <row r="1434" spans="1:1" ht="14.4">
      <c r="A1434" s="11"/>
    </row>
    <row r="1435" spans="1:1" ht="14.4">
      <c r="A1435" s="11"/>
    </row>
    <row r="1436" spans="1:1" ht="14.4">
      <c r="A1436" s="11"/>
    </row>
    <row r="1437" spans="1:1" ht="14.4">
      <c r="A1437" s="11"/>
    </row>
    <row r="1438" spans="1:1" ht="14.4">
      <c r="A1438" s="11"/>
    </row>
    <row r="1439" spans="1:1" ht="14.4">
      <c r="A1439" s="11"/>
    </row>
    <row r="1440" spans="1:1" ht="14.4">
      <c r="A1440" s="11"/>
    </row>
    <row r="1441" spans="1:1" ht="14.4">
      <c r="A1441" s="11"/>
    </row>
    <row r="1442" spans="1:1" ht="14.4">
      <c r="A1442" s="11"/>
    </row>
    <row r="1443" spans="1:1" ht="14.4">
      <c r="A1443" s="11"/>
    </row>
    <row r="1444" spans="1:1" ht="14.4">
      <c r="A1444" s="11"/>
    </row>
    <row r="1445" spans="1:1" ht="14.4">
      <c r="A1445" s="11"/>
    </row>
    <row r="1446" spans="1:1" ht="14.4">
      <c r="A1446" s="11"/>
    </row>
    <row r="1447" spans="1:1" ht="14.4">
      <c r="A1447" s="11"/>
    </row>
    <row r="1448" spans="1:1" ht="14.4">
      <c r="A1448" s="11"/>
    </row>
    <row r="1449" spans="1:1" ht="14.4">
      <c r="A1449" s="11"/>
    </row>
    <row r="1450" spans="1:1" ht="14.4">
      <c r="A1450" s="11"/>
    </row>
    <row r="1451" spans="1:1" ht="14.4">
      <c r="A1451" s="11"/>
    </row>
    <row r="1452" spans="1:1" ht="14.4">
      <c r="A1452" s="11"/>
    </row>
    <row r="1453" spans="1:1" ht="14.4">
      <c r="A1453" s="11"/>
    </row>
    <row r="1454" spans="1:1" ht="14.4">
      <c r="A1454" s="11"/>
    </row>
    <row r="1455" spans="1:1" ht="14.4">
      <c r="A1455" s="11"/>
    </row>
    <row r="1456" spans="1:1" ht="14.4">
      <c r="A1456" s="11"/>
    </row>
    <row r="1457" spans="1:1" ht="14.4">
      <c r="A1457" s="11"/>
    </row>
    <row r="1458" spans="1:1" ht="14.4">
      <c r="A1458" s="11"/>
    </row>
    <row r="1459" spans="1:1" ht="14.4">
      <c r="A1459" s="11"/>
    </row>
    <row r="1460" spans="1:1" ht="14.4">
      <c r="A1460" s="11"/>
    </row>
    <row r="1461" spans="1:1" ht="14.4">
      <c r="A1461" s="11"/>
    </row>
    <row r="1462" spans="1:1" ht="14.4">
      <c r="A1462" s="11"/>
    </row>
    <row r="1463" spans="1:1" ht="14.4">
      <c r="A1463" s="11"/>
    </row>
    <row r="1464" spans="1:1" ht="14.4">
      <c r="A1464" s="11"/>
    </row>
    <row r="1465" spans="1:1" ht="14.4">
      <c r="A1465" s="11"/>
    </row>
    <row r="1466" spans="1:1" ht="14.4">
      <c r="A1466" s="11"/>
    </row>
    <row r="1467" spans="1:1" ht="14.4">
      <c r="A1467" s="11"/>
    </row>
    <row r="1468" spans="1:1" ht="14.4">
      <c r="A1468" s="11"/>
    </row>
    <row r="1469" spans="1:1" ht="14.4">
      <c r="A1469" s="11"/>
    </row>
    <row r="1470" spans="1:1" ht="14.4">
      <c r="A1470" s="11"/>
    </row>
    <row r="1471" spans="1:1" ht="14.4">
      <c r="A1471" s="11"/>
    </row>
    <row r="1472" spans="1:1" ht="14.4">
      <c r="A1472" s="11"/>
    </row>
    <row r="1473" spans="1:1" ht="14.4">
      <c r="A1473" s="11"/>
    </row>
    <row r="1474" spans="1:1" ht="14.4">
      <c r="A1474" s="11"/>
    </row>
    <row r="1475" spans="1:1" ht="14.4">
      <c r="A1475" s="11"/>
    </row>
    <row r="1476" spans="1:1" ht="14.4">
      <c r="A1476" s="11"/>
    </row>
    <row r="1477" spans="1:1" ht="14.4">
      <c r="A1477" s="11"/>
    </row>
    <row r="1478" spans="1:1" ht="14.4">
      <c r="A1478" s="11"/>
    </row>
    <row r="1479" spans="1:1" ht="14.4">
      <c r="A1479" s="11"/>
    </row>
    <row r="1480" spans="1:1" ht="14.4">
      <c r="A1480" s="11"/>
    </row>
    <row r="1481" spans="1:1" ht="14.4">
      <c r="A1481" s="11"/>
    </row>
    <row r="1482" spans="1:1" ht="14.4">
      <c r="A1482" s="11"/>
    </row>
    <row r="1483" spans="1:1" ht="14.4">
      <c r="A1483" s="11"/>
    </row>
    <row r="1484" spans="1:1" ht="14.4">
      <c r="A1484" s="11"/>
    </row>
    <row r="1485" spans="1:1" ht="14.4">
      <c r="A1485" s="11"/>
    </row>
    <row r="1486" spans="1:1" ht="14.4">
      <c r="A1486" s="11"/>
    </row>
    <row r="1487" spans="1:1" ht="14.4">
      <c r="A1487" s="11"/>
    </row>
    <row r="1488" spans="1:1" ht="14.4">
      <c r="A1488" s="11"/>
    </row>
    <row r="1489" spans="1:1" ht="14.4">
      <c r="A1489" s="11"/>
    </row>
    <row r="1490" spans="1:1" ht="14.4">
      <c r="A1490" s="11"/>
    </row>
    <row r="1491" spans="1:1" ht="14.4">
      <c r="A1491" s="11"/>
    </row>
    <row r="1492" spans="1:1" ht="14.4">
      <c r="A1492" s="11"/>
    </row>
    <row r="1493" spans="1:1" ht="14.4">
      <c r="A1493" s="11"/>
    </row>
    <row r="1494" spans="1:1" ht="14.4">
      <c r="A1494" s="11"/>
    </row>
    <row r="1495" spans="1:1" ht="14.4">
      <c r="A1495" s="11"/>
    </row>
    <row r="1496" spans="1:1" ht="14.4">
      <c r="A1496" s="11"/>
    </row>
    <row r="1497" spans="1:1" ht="14.4">
      <c r="A1497" s="11"/>
    </row>
    <row r="1498" spans="1:1" ht="14.4">
      <c r="A1498" s="11"/>
    </row>
    <row r="1499" spans="1:1" ht="14.4">
      <c r="A1499" s="11"/>
    </row>
    <row r="1500" spans="1:1" ht="14.4">
      <c r="A1500" s="11"/>
    </row>
    <row r="1501" spans="1:1" ht="14.4">
      <c r="A1501" s="11"/>
    </row>
    <row r="1502" spans="1:1" ht="14.4">
      <c r="A1502" s="11"/>
    </row>
    <row r="1503" spans="1:1" ht="14.4">
      <c r="A1503" s="11"/>
    </row>
    <row r="1504" spans="1:1" ht="14.4">
      <c r="A1504" s="11"/>
    </row>
    <row r="1505" spans="1:1" ht="14.4">
      <c r="A1505" s="11"/>
    </row>
    <row r="1506" spans="1:1" ht="14.4">
      <c r="A1506" s="11"/>
    </row>
    <row r="1507" spans="1:1" ht="14.4">
      <c r="A1507" s="11"/>
    </row>
    <row r="1508" spans="1:1" ht="14.4">
      <c r="A1508" s="11"/>
    </row>
    <row r="1509" spans="1:1" ht="14.4">
      <c r="A1509" s="11"/>
    </row>
    <row r="1510" spans="1:1" ht="14.4">
      <c r="A1510" s="11"/>
    </row>
    <row r="1511" spans="1:1" ht="14.4">
      <c r="A1511" s="11"/>
    </row>
    <row r="1512" spans="1:1" ht="14.4">
      <c r="A1512" s="11"/>
    </row>
    <row r="1513" spans="1:1" ht="14.4">
      <c r="A1513" s="11"/>
    </row>
    <row r="1514" spans="1:1" ht="14.4">
      <c r="A1514" s="11"/>
    </row>
    <row r="1515" spans="1:1" ht="14.4">
      <c r="A1515" s="11"/>
    </row>
    <row r="1516" spans="1:1" ht="14.4">
      <c r="A1516" s="11"/>
    </row>
    <row r="1517" spans="1:1" ht="14.4">
      <c r="A1517" s="11"/>
    </row>
    <row r="1518" spans="1:1" ht="14.4">
      <c r="A1518" s="11"/>
    </row>
    <row r="1519" spans="1:1" ht="14.4">
      <c r="A1519" s="11"/>
    </row>
    <row r="1520" spans="1:1" ht="14.4">
      <c r="A1520" s="11"/>
    </row>
    <row r="1521" spans="1:1" ht="14.4">
      <c r="A1521" s="11"/>
    </row>
    <row r="1522" spans="1:1" ht="14.4">
      <c r="A1522" s="11"/>
    </row>
    <row r="1523" spans="1:1" ht="14.4">
      <c r="A1523" s="11"/>
    </row>
    <row r="1524" spans="1:1" ht="14.4">
      <c r="A1524" s="11"/>
    </row>
    <row r="1525" spans="1:1" ht="14.4">
      <c r="A1525" s="11"/>
    </row>
    <row r="1526" spans="1:1" ht="14.4">
      <c r="A1526" s="11"/>
    </row>
    <row r="1527" spans="1:1" ht="14.4">
      <c r="A1527" s="11"/>
    </row>
    <row r="1528" spans="1:1" ht="14.4">
      <c r="A1528" s="11"/>
    </row>
    <row r="1529" spans="1:1" ht="14.4">
      <c r="A1529" s="11"/>
    </row>
    <row r="1530" spans="1:1" ht="14.4">
      <c r="A1530" s="11"/>
    </row>
    <row r="1531" spans="1:1" ht="14.4">
      <c r="A1531" s="11"/>
    </row>
    <row r="1532" spans="1:1" ht="14.4">
      <c r="A1532" s="11"/>
    </row>
    <row r="1533" spans="1:1" ht="14.4">
      <c r="A1533" s="11"/>
    </row>
    <row r="1534" spans="1:1" ht="14.4">
      <c r="A1534" s="11"/>
    </row>
    <row r="1535" spans="1:1" ht="14.4">
      <c r="A1535" s="11"/>
    </row>
    <row r="1536" spans="1:1" ht="14.4">
      <c r="A1536" s="11"/>
    </row>
    <row r="1537" spans="1:1" ht="14.4">
      <c r="A1537" s="11"/>
    </row>
    <row r="1538" spans="1:1" ht="14.4">
      <c r="A1538" s="11"/>
    </row>
    <row r="1539" spans="1:1" ht="14.4">
      <c r="A1539" s="11"/>
    </row>
    <row r="1540" spans="1:1" ht="14.4">
      <c r="A1540" s="11"/>
    </row>
    <row r="1541" spans="1:1" ht="14.4">
      <c r="A1541" s="11"/>
    </row>
    <row r="1542" spans="1:1" ht="14.4">
      <c r="A1542" s="11"/>
    </row>
    <row r="1543" spans="1:1" ht="14.4">
      <c r="A1543" s="11"/>
    </row>
    <row r="1544" spans="1:1" ht="14.4">
      <c r="A1544" s="11"/>
    </row>
    <row r="1545" spans="1:1" ht="14.4">
      <c r="A1545" s="11"/>
    </row>
    <row r="1546" spans="1:1" ht="14.4">
      <c r="A1546" s="11"/>
    </row>
    <row r="1547" spans="1:1" ht="14.4">
      <c r="A1547" s="11"/>
    </row>
    <row r="1548" spans="1:1" ht="14.4">
      <c r="A1548" s="11"/>
    </row>
    <row r="1549" spans="1:1" ht="14.4">
      <c r="A1549" s="11"/>
    </row>
    <row r="1550" spans="1:1" ht="14.4">
      <c r="A1550" s="11"/>
    </row>
    <row r="1551" spans="1:1" ht="14.4">
      <c r="A1551" s="11"/>
    </row>
    <row r="1552" spans="1:1" ht="14.4">
      <c r="A1552" s="11"/>
    </row>
    <row r="1553" spans="1:1" ht="14.4">
      <c r="A1553" s="11"/>
    </row>
    <row r="1554" spans="1:1" ht="14.4">
      <c r="A1554" s="11"/>
    </row>
    <row r="1555" spans="1:1" ht="14.4">
      <c r="A1555" s="11"/>
    </row>
    <row r="1556" spans="1:1" ht="14.4">
      <c r="A1556" s="11"/>
    </row>
    <row r="1557" spans="1:1" ht="14.4">
      <c r="A1557" s="11"/>
    </row>
    <row r="1558" spans="1:1" ht="14.4">
      <c r="A1558" s="11"/>
    </row>
    <row r="1559" spans="1:1" ht="14.4">
      <c r="A1559" s="11"/>
    </row>
    <row r="1560" spans="1:1" ht="14.4">
      <c r="A1560" s="11"/>
    </row>
    <row r="1561" spans="1:1" ht="14.4">
      <c r="A1561" s="11"/>
    </row>
    <row r="1562" spans="1:1" ht="14.4">
      <c r="A1562" s="11"/>
    </row>
    <row r="1563" spans="1:1" ht="14.4">
      <c r="A1563" s="11"/>
    </row>
    <row r="1564" spans="1:1" ht="14.4">
      <c r="A1564" s="11"/>
    </row>
    <row r="1565" spans="1:1" ht="14.4">
      <c r="A1565" s="11"/>
    </row>
    <row r="1566" spans="1:1" ht="14.4">
      <c r="A1566" s="11"/>
    </row>
    <row r="1567" spans="1:1" ht="14.4">
      <c r="A1567" s="11"/>
    </row>
    <row r="1568" spans="1:1" ht="14.4">
      <c r="A1568" s="11"/>
    </row>
    <row r="1569" spans="1:1" ht="14.4">
      <c r="A1569" s="11"/>
    </row>
    <row r="1570" spans="1:1" ht="14.4">
      <c r="A1570" s="11"/>
    </row>
    <row r="1571" spans="1:1" ht="14.4">
      <c r="A1571" s="11"/>
    </row>
    <row r="1572" spans="1:1" ht="14.4">
      <c r="A1572" s="11"/>
    </row>
    <row r="1573" spans="1:1" ht="14.4">
      <c r="A1573" s="11"/>
    </row>
    <row r="1574" spans="1:1" ht="14.4">
      <c r="A1574" s="11"/>
    </row>
    <row r="1575" spans="1:1" ht="14.4">
      <c r="A1575" s="11"/>
    </row>
    <row r="1576" spans="1:1" ht="14.4">
      <c r="A1576" s="11"/>
    </row>
    <row r="1577" spans="1:1" ht="14.4">
      <c r="A1577" s="11"/>
    </row>
    <row r="1578" spans="1:1" ht="14.4">
      <c r="A1578" s="11"/>
    </row>
    <row r="1579" spans="1:1" ht="14.4">
      <c r="A1579" s="11"/>
    </row>
    <row r="1580" spans="1:1" ht="14.4">
      <c r="A1580" s="11"/>
    </row>
    <row r="1581" spans="1:1" ht="14.4">
      <c r="A1581" s="11"/>
    </row>
    <row r="1582" spans="1:1" ht="14.4">
      <c r="A1582" s="11"/>
    </row>
    <row r="1583" spans="1:1" ht="14.4">
      <c r="A1583" s="11"/>
    </row>
    <row r="1584" spans="1:1" ht="14.4">
      <c r="A1584" s="11"/>
    </row>
    <row r="1585" spans="1:1" ht="14.4">
      <c r="A1585" s="11"/>
    </row>
    <row r="1586" spans="1:1" ht="14.4">
      <c r="A1586" s="11"/>
    </row>
    <row r="1587" spans="1:1" ht="14.4">
      <c r="A1587" s="11"/>
    </row>
    <row r="1588" spans="1:1" ht="14.4">
      <c r="A1588" s="11"/>
    </row>
    <row r="1589" spans="1:1" ht="14.4">
      <c r="A1589" s="11"/>
    </row>
    <row r="1590" spans="1:1" ht="14.4">
      <c r="A1590" s="11"/>
    </row>
    <row r="1591" spans="1:1" ht="14.4">
      <c r="A1591" s="11"/>
    </row>
    <row r="1592" spans="1:1" ht="14.4">
      <c r="A1592" s="11"/>
    </row>
    <row r="1593" spans="1:1" ht="14.4">
      <c r="A1593" s="11"/>
    </row>
    <row r="1594" spans="1:1" ht="14.4">
      <c r="A1594" s="11"/>
    </row>
    <row r="1595" spans="1:1" ht="14.4">
      <c r="A1595" s="11"/>
    </row>
    <row r="1596" spans="1:1" ht="14.4">
      <c r="A1596" s="11"/>
    </row>
    <row r="1597" spans="1:1" ht="14.4">
      <c r="A1597" s="11"/>
    </row>
    <row r="1598" spans="1:1" ht="14.4">
      <c r="A1598" s="11"/>
    </row>
    <row r="1599" spans="1:1" ht="14.4">
      <c r="A1599" s="11"/>
    </row>
    <row r="1600" spans="1:1" ht="14.4">
      <c r="A1600" s="11"/>
    </row>
    <row r="1601" spans="1:1" ht="14.4">
      <c r="A1601" s="11"/>
    </row>
    <row r="1602" spans="1:1" ht="14.4">
      <c r="A1602" s="11"/>
    </row>
    <row r="1603" spans="1:1" ht="14.4">
      <c r="A1603" s="11"/>
    </row>
    <row r="1604" spans="1:1" ht="14.4">
      <c r="A1604" s="11"/>
    </row>
    <row r="1605" spans="1:1" ht="14.4">
      <c r="A1605" s="11"/>
    </row>
    <row r="1606" spans="1:1" ht="14.4">
      <c r="A1606" s="11"/>
    </row>
    <row r="1607" spans="1:1" ht="14.4">
      <c r="A1607" s="11"/>
    </row>
    <row r="1608" spans="1:1" ht="14.4">
      <c r="A1608" s="11"/>
    </row>
    <row r="1609" spans="1:1" ht="14.4">
      <c r="A1609" s="11"/>
    </row>
    <row r="1610" spans="1:1" ht="14.4">
      <c r="A1610" s="11"/>
    </row>
    <row r="1611" spans="1:1" ht="14.4">
      <c r="A1611" s="11"/>
    </row>
    <row r="1612" spans="1:1" ht="14.4">
      <c r="A1612" s="11"/>
    </row>
    <row r="1613" spans="1:1" ht="14.4">
      <c r="A1613" s="11"/>
    </row>
    <row r="1614" spans="1:1" ht="14.4">
      <c r="A1614" s="11"/>
    </row>
    <row r="1615" spans="1:1" ht="14.4">
      <c r="A1615" s="11"/>
    </row>
    <row r="1616" spans="1:1" ht="14.4">
      <c r="A1616" s="11"/>
    </row>
    <row r="1617" spans="1:1" ht="14.4">
      <c r="A1617" s="11"/>
    </row>
    <row r="1618" spans="1:1" ht="14.4">
      <c r="A1618" s="11"/>
    </row>
    <row r="1619" spans="1:1" ht="14.4">
      <c r="A1619" s="11"/>
    </row>
    <row r="1620" spans="1:1" ht="14.4">
      <c r="A1620" s="11"/>
    </row>
    <row r="1621" spans="1:1" ht="14.4">
      <c r="A1621" s="11"/>
    </row>
    <row r="1622" spans="1:1" ht="14.4">
      <c r="A1622" s="11"/>
    </row>
    <row r="1623" spans="1:1" ht="14.4">
      <c r="A1623" s="11"/>
    </row>
    <row r="1624" spans="1:1" ht="14.4">
      <c r="A1624" s="11"/>
    </row>
    <row r="1625" spans="1:1" ht="14.4">
      <c r="A1625" s="11"/>
    </row>
    <row r="1626" spans="1:1" ht="14.4">
      <c r="A1626" s="11"/>
    </row>
    <row r="1627" spans="1:1" ht="14.4">
      <c r="A1627" s="11"/>
    </row>
    <row r="1628" spans="1:1" ht="14.4">
      <c r="A1628" s="11"/>
    </row>
    <row r="1629" spans="1:1" ht="14.4">
      <c r="A1629" s="11"/>
    </row>
    <row r="1630" spans="1:1" ht="14.4">
      <c r="A1630" s="11"/>
    </row>
    <row r="1631" spans="1:1" ht="14.4">
      <c r="A1631" s="11"/>
    </row>
    <row r="1632" spans="1:1" ht="14.4">
      <c r="A1632" s="11"/>
    </row>
    <row r="1633" spans="1:1" ht="14.4">
      <c r="A1633" s="11"/>
    </row>
    <row r="1634" spans="1:1" ht="14.4">
      <c r="A1634" s="11"/>
    </row>
    <row r="1635" spans="1:1" ht="14.4">
      <c r="A1635" s="11"/>
    </row>
    <row r="1636" spans="1:1" ht="14.4">
      <c r="A1636" s="11"/>
    </row>
    <row r="1637" spans="1:1" ht="14.4">
      <c r="A1637" s="11"/>
    </row>
    <row r="1638" spans="1:1" ht="14.4">
      <c r="A1638" s="11"/>
    </row>
    <row r="1639" spans="1:1" ht="14.4">
      <c r="A1639" s="11"/>
    </row>
    <row r="1640" spans="1:1" ht="14.4">
      <c r="A1640" s="11"/>
    </row>
    <row r="1641" spans="1:1" ht="14.4">
      <c r="A1641" s="11"/>
    </row>
    <row r="1642" spans="1:1" ht="14.4">
      <c r="A1642" s="11"/>
    </row>
    <row r="1643" spans="1:1" ht="14.4">
      <c r="A1643" s="11"/>
    </row>
    <row r="1644" spans="1:1" ht="14.4">
      <c r="A1644" s="11"/>
    </row>
    <row r="1645" spans="1:1" ht="14.4">
      <c r="A1645" s="11"/>
    </row>
    <row r="1646" spans="1:1" ht="14.4">
      <c r="A1646" s="11"/>
    </row>
    <row r="1647" spans="1:1" ht="14.4">
      <c r="A1647" s="11"/>
    </row>
    <row r="1648" spans="1:1" ht="14.4">
      <c r="A1648" s="11"/>
    </row>
    <row r="1649" spans="1:1" ht="14.4">
      <c r="A1649" s="11"/>
    </row>
    <row r="1650" spans="1:1" ht="14.4">
      <c r="A1650" s="11"/>
    </row>
    <row r="1651" spans="1:1" ht="14.4">
      <c r="A1651" s="11"/>
    </row>
    <row r="1652" spans="1:1" ht="14.4">
      <c r="A1652" s="11"/>
    </row>
    <row r="1653" spans="1:1" ht="14.4">
      <c r="A1653" s="11"/>
    </row>
    <row r="1654" spans="1:1" ht="14.4">
      <c r="A1654" s="11"/>
    </row>
    <row r="1655" spans="1:1" ht="14.4">
      <c r="A1655" s="11"/>
    </row>
    <row r="1656" spans="1:1" ht="14.4">
      <c r="A1656" s="11"/>
    </row>
    <row r="1657" spans="1:1" ht="14.4">
      <c r="A1657" s="11"/>
    </row>
    <row r="1658" spans="1:1" ht="14.4">
      <c r="A1658" s="11"/>
    </row>
    <row r="1659" spans="1:1" ht="14.4">
      <c r="A1659" s="11"/>
    </row>
    <row r="1660" spans="1:1" ht="14.4">
      <c r="A1660" s="11"/>
    </row>
    <row r="1661" spans="1:1" ht="14.4">
      <c r="A1661" s="11"/>
    </row>
    <row r="1662" spans="1:1" ht="14.4">
      <c r="A1662" s="11"/>
    </row>
    <row r="1663" spans="1:1" ht="14.4">
      <c r="A1663" s="11"/>
    </row>
    <row r="1664" spans="1:1" ht="14.4">
      <c r="A1664" s="11"/>
    </row>
    <row r="1665" spans="1:1" ht="14.4">
      <c r="A1665" s="11"/>
    </row>
    <row r="1666" spans="1:1" ht="14.4">
      <c r="A1666" s="11"/>
    </row>
    <row r="1667" spans="1:1" ht="14.4">
      <c r="A1667" s="11"/>
    </row>
    <row r="1668" spans="1:1" ht="14.4">
      <c r="A1668" s="11"/>
    </row>
    <row r="1669" spans="1:1" ht="14.4">
      <c r="A1669" s="11"/>
    </row>
    <row r="1670" spans="1:1" ht="14.4">
      <c r="A1670" s="11"/>
    </row>
    <row r="1671" spans="1:1" ht="14.4">
      <c r="A1671" s="11"/>
    </row>
    <row r="1672" spans="1:1" ht="14.4">
      <c r="A1672" s="11"/>
    </row>
    <row r="1673" spans="1:1" ht="14.4">
      <c r="A1673" s="11"/>
    </row>
    <row r="1674" spans="1:1" ht="14.4">
      <c r="A1674" s="11"/>
    </row>
    <row r="1675" spans="1:1" ht="14.4">
      <c r="A1675" s="11"/>
    </row>
    <row r="1676" spans="1:1" ht="14.4">
      <c r="A1676" s="11"/>
    </row>
    <row r="1677" spans="1:1" ht="14.4">
      <c r="A1677" s="11"/>
    </row>
    <row r="1678" spans="1:1" ht="14.4">
      <c r="A1678" s="11"/>
    </row>
    <row r="1679" spans="1:1" ht="14.4">
      <c r="A1679" s="11"/>
    </row>
    <row r="1680" spans="1:1" ht="14.4">
      <c r="A1680" s="11"/>
    </row>
    <row r="1681" spans="1:1" ht="14.4">
      <c r="A1681" s="11"/>
    </row>
    <row r="1682" spans="1:1" ht="14.4">
      <c r="A1682" s="11"/>
    </row>
    <row r="1683" spans="1:1" ht="14.4">
      <c r="A1683" s="11"/>
    </row>
    <row r="1684" spans="1:1" ht="14.4">
      <c r="A1684" s="11"/>
    </row>
    <row r="1685" spans="1:1" ht="14.4">
      <c r="A1685" s="11"/>
    </row>
    <row r="1686" spans="1:1" ht="14.4">
      <c r="A1686" s="11"/>
    </row>
    <row r="1687" spans="1:1" ht="14.4">
      <c r="A1687" s="11"/>
    </row>
    <row r="1688" spans="1:1" ht="14.4">
      <c r="A1688" s="11"/>
    </row>
    <row r="1689" spans="1:1" ht="14.4">
      <c r="A1689" s="11"/>
    </row>
    <row r="1690" spans="1:1" ht="14.4">
      <c r="A1690" s="11"/>
    </row>
    <row r="1691" spans="1:1" ht="14.4">
      <c r="A1691" s="11"/>
    </row>
    <row r="1692" spans="1:1" ht="14.4">
      <c r="A1692" s="11"/>
    </row>
    <row r="1693" spans="1:1" ht="14.4">
      <c r="A1693" s="11"/>
    </row>
    <row r="1694" spans="1:1" ht="14.4">
      <c r="A1694" s="11"/>
    </row>
    <row r="1695" spans="1:1" ht="14.4">
      <c r="A1695" s="11"/>
    </row>
    <row r="1696" spans="1:1" ht="14.4">
      <c r="A1696" s="11"/>
    </row>
    <row r="1697" spans="1:1" ht="14.4">
      <c r="A1697" s="11"/>
    </row>
    <row r="1698" spans="1:1" ht="14.4">
      <c r="A1698" s="11"/>
    </row>
    <row r="1699" spans="1:1" ht="14.4">
      <c r="A1699" s="11"/>
    </row>
    <row r="1700" spans="1:1" ht="14.4">
      <c r="A1700" s="11"/>
    </row>
    <row r="1701" spans="1:1" ht="14.4">
      <c r="A1701" s="11"/>
    </row>
    <row r="1702" spans="1:1" ht="14.4">
      <c r="A1702" s="11"/>
    </row>
    <row r="1703" spans="1:1" ht="14.4">
      <c r="A1703" s="11"/>
    </row>
    <row r="1704" spans="1:1" ht="14.4">
      <c r="A1704" s="11"/>
    </row>
    <row r="1705" spans="1:1" ht="14.4">
      <c r="A1705" s="11"/>
    </row>
    <row r="1706" spans="1:1" ht="14.4">
      <c r="A1706" s="11"/>
    </row>
    <row r="1707" spans="1:1" ht="14.4">
      <c r="A1707" s="11"/>
    </row>
    <row r="1708" spans="1:1" ht="14.4">
      <c r="A1708" s="11"/>
    </row>
    <row r="1709" spans="1:1" ht="14.4">
      <c r="A1709" s="11"/>
    </row>
    <row r="1710" spans="1:1" ht="14.4">
      <c r="A1710" s="11"/>
    </row>
    <row r="1711" spans="1:1" ht="14.4">
      <c r="A1711" s="11"/>
    </row>
    <row r="1712" spans="1:1" ht="14.4">
      <c r="A1712" s="11"/>
    </row>
    <row r="1713" spans="1:1" ht="14.4">
      <c r="A1713" s="11"/>
    </row>
    <row r="1714" spans="1:1" ht="14.4">
      <c r="A1714" s="11"/>
    </row>
    <row r="1715" spans="1:1" ht="14.4">
      <c r="A1715" s="11"/>
    </row>
    <row r="1716" spans="1:1" ht="14.4">
      <c r="A1716" s="11"/>
    </row>
    <row r="1717" spans="1:1" ht="14.4">
      <c r="A1717" s="11"/>
    </row>
    <row r="1718" spans="1:1" ht="14.4">
      <c r="A1718" s="11"/>
    </row>
    <row r="1719" spans="1:1" ht="14.4">
      <c r="A1719" s="11"/>
    </row>
    <row r="1720" spans="1:1" ht="14.4">
      <c r="A1720" s="11"/>
    </row>
    <row r="1721" spans="1:1" ht="14.4">
      <c r="A1721" s="11"/>
    </row>
    <row r="1722" spans="1:1" ht="14.4">
      <c r="A1722" s="11"/>
    </row>
    <row r="1723" spans="1:1" ht="14.4">
      <c r="A1723" s="11"/>
    </row>
    <row r="1724" spans="1:1" ht="14.4">
      <c r="A1724" s="11"/>
    </row>
    <row r="1725" spans="1:1" ht="14.4">
      <c r="A1725" s="11"/>
    </row>
    <row r="1726" spans="1:1" ht="14.4">
      <c r="A1726" s="11"/>
    </row>
    <row r="1727" spans="1:1" ht="14.4">
      <c r="A1727" s="11"/>
    </row>
    <row r="1728" spans="1:1" ht="14.4">
      <c r="A1728" s="11"/>
    </row>
    <row r="1729" spans="1:1" ht="14.4">
      <c r="A1729" s="11"/>
    </row>
    <row r="1730" spans="1:1" ht="14.4">
      <c r="A1730" s="11"/>
    </row>
    <row r="1731" spans="1:1" ht="14.4">
      <c r="A1731" s="11"/>
    </row>
    <row r="1732" spans="1:1" ht="14.4">
      <c r="A1732" s="11"/>
    </row>
    <row r="1733" spans="1:1" ht="14.4">
      <c r="A1733" s="11"/>
    </row>
    <row r="1734" spans="1:1" ht="14.4">
      <c r="A1734" s="11"/>
    </row>
    <row r="1735" spans="1:1" ht="14.4">
      <c r="A1735" s="11"/>
    </row>
    <row r="1736" spans="1:1" ht="14.4">
      <c r="A1736" s="11"/>
    </row>
    <row r="1737" spans="1:1" ht="14.4">
      <c r="A1737" s="11"/>
    </row>
    <row r="1738" spans="1:1" ht="14.4">
      <c r="A1738" s="11"/>
    </row>
    <row r="1739" spans="1:1" ht="14.4">
      <c r="A1739" s="11"/>
    </row>
    <row r="1740" spans="1:1" ht="14.4">
      <c r="A1740" s="11"/>
    </row>
    <row r="1741" spans="1:1" ht="14.4">
      <c r="A1741" s="11"/>
    </row>
    <row r="1742" spans="1:1" ht="14.4">
      <c r="A1742" s="11"/>
    </row>
    <row r="1743" spans="1:1" ht="14.4">
      <c r="A1743" s="11"/>
    </row>
    <row r="1744" spans="1:1" ht="14.4">
      <c r="A1744" s="11"/>
    </row>
    <row r="1745" spans="1:1" ht="14.4">
      <c r="A1745" s="11"/>
    </row>
    <row r="1746" spans="1:1" ht="14.4">
      <c r="A1746" s="11"/>
    </row>
    <row r="1747" spans="1:1" ht="14.4">
      <c r="A1747" s="11"/>
    </row>
    <row r="1748" spans="1:1" ht="14.4">
      <c r="A1748" s="11"/>
    </row>
    <row r="1749" spans="1:1" ht="14.4">
      <c r="A1749" s="11"/>
    </row>
    <row r="1750" spans="1:1" ht="14.4">
      <c r="A1750" s="11"/>
    </row>
    <row r="1751" spans="1:1" ht="14.4">
      <c r="A1751" s="11"/>
    </row>
    <row r="1752" spans="1:1" ht="14.4">
      <c r="A1752" s="11"/>
    </row>
    <row r="1753" spans="1:1" ht="14.4">
      <c r="A1753" s="11"/>
    </row>
    <row r="1754" spans="1:1" ht="14.4">
      <c r="A1754" s="11"/>
    </row>
    <row r="1755" spans="1:1" ht="14.4">
      <c r="A1755" s="11"/>
    </row>
    <row r="1756" spans="1:1" ht="14.4">
      <c r="A1756" s="11"/>
    </row>
    <row r="1757" spans="1:1" ht="14.4">
      <c r="A1757" s="11"/>
    </row>
    <row r="1758" spans="1:1" ht="14.4">
      <c r="A1758" s="11"/>
    </row>
    <row r="1759" spans="1:1" ht="14.4">
      <c r="A1759" s="11"/>
    </row>
    <row r="1760" spans="1:1" ht="14.4">
      <c r="A1760" s="11"/>
    </row>
    <row r="1761" spans="1:1" ht="14.4">
      <c r="A1761" s="11"/>
    </row>
    <row r="1762" spans="1:1" ht="14.4">
      <c r="A1762" s="11"/>
    </row>
    <row r="1763" spans="1:1" ht="14.4">
      <c r="A1763" s="11"/>
    </row>
    <row r="1764" spans="1:1" ht="14.4">
      <c r="A1764" s="11"/>
    </row>
    <row r="1765" spans="1:1" ht="14.4">
      <c r="A1765" s="11"/>
    </row>
    <row r="1766" spans="1:1" ht="14.4">
      <c r="A1766" s="11"/>
    </row>
    <row r="1767" spans="1:1" ht="14.4">
      <c r="A1767" s="11"/>
    </row>
    <row r="1768" spans="1:1" ht="14.4">
      <c r="A1768" s="11"/>
    </row>
    <row r="1769" spans="1:1" ht="14.4">
      <c r="A1769" s="11"/>
    </row>
    <row r="1770" spans="1:1" ht="14.4">
      <c r="A1770" s="11"/>
    </row>
    <row r="1771" spans="1:1" ht="14.4">
      <c r="A1771" s="11"/>
    </row>
    <row r="1772" spans="1:1" ht="14.4">
      <c r="A1772" s="11"/>
    </row>
    <row r="1773" spans="1:1" ht="14.4">
      <c r="A1773" s="11"/>
    </row>
    <row r="1774" spans="1:1" ht="14.4">
      <c r="A1774" s="11"/>
    </row>
    <row r="1775" spans="1:1" ht="14.4">
      <c r="A1775" s="11"/>
    </row>
    <row r="1776" spans="1:1" ht="14.4">
      <c r="A1776" s="11"/>
    </row>
    <row r="1777" spans="1:1" ht="14.4">
      <c r="A1777" s="11"/>
    </row>
    <row r="1778" spans="1:1" ht="14.4">
      <c r="A1778" s="11"/>
    </row>
    <row r="1779" spans="1:1" ht="14.4">
      <c r="A1779" s="11"/>
    </row>
    <row r="1780" spans="1:1" ht="14.4">
      <c r="A1780" s="11"/>
    </row>
    <row r="1781" spans="1:1" ht="14.4">
      <c r="A1781" s="11"/>
    </row>
    <row r="1782" spans="1:1" ht="14.4">
      <c r="A1782" s="11"/>
    </row>
    <row r="1783" spans="1:1" ht="14.4">
      <c r="A1783" s="11"/>
    </row>
    <row r="1784" spans="1:1" ht="14.4">
      <c r="A1784" s="11"/>
    </row>
    <row r="1785" spans="1:1" ht="14.4">
      <c r="A1785" s="11"/>
    </row>
    <row r="1786" spans="1:1" ht="14.4">
      <c r="A1786" s="11"/>
    </row>
    <row r="1787" spans="1:1" ht="14.4">
      <c r="A1787" s="11"/>
    </row>
    <row r="1788" spans="1:1" ht="14.4">
      <c r="A1788" s="11"/>
    </row>
    <row r="1789" spans="1:1" ht="14.4">
      <c r="A1789" s="11"/>
    </row>
    <row r="1790" spans="1:1" ht="14.4">
      <c r="A1790" s="11"/>
    </row>
    <row r="1791" spans="1:1" ht="14.4">
      <c r="A1791" s="11"/>
    </row>
    <row r="1792" spans="1:1" ht="14.4">
      <c r="A1792" s="11"/>
    </row>
    <row r="1793" spans="1:1" ht="14.4">
      <c r="A1793" s="11"/>
    </row>
    <row r="1794" spans="1:1" ht="14.4">
      <c r="A1794" s="11"/>
    </row>
    <row r="1795" spans="1:1" ht="14.4">
      <c r="A1795" s="11"/>
    </row>
    <row r="1796" spans="1:1" ht="14.4">
      <c r="A1796" s="11"/>
    </row>
    <row r="1797" spans="1:1" ht="14.4">
      <c r="A1797" s="11"/>
    </row>
    <row r="1798" spans="1:1" ht="14.4">
      <c r="A1798" s="11"/>
    </row>
    <row r="1799" spans="1:1" ht="14.4">
      <c r="A1799" s="11"/>
    </row>
    <row r="1800" spans="1:1" ht="14.4">
      <c r="A1800" s="11"/>
    </row>
    <row r="1801" spans="1:1" ht="14.4">
      <c r="A1801" s="11"/>
    </row>
    <row r="1802" spans="1:1" ht="14.4">
      <c r="A1802" s="11"/>
    </row>
    <row r="1803" spans="1:1" ht="14.4">
      <c r="A1803" s="11"/>
    </row>
    <row r="1804" spans="1:1" ht="14.4">
      <c r="A1804" s="11"/>
    </row>
    <row r="1805" spans="1:1" ht="14.4">
      <c r="A1805" s="11"/>
    </row>
    <row r="1806" spans="1:1" ht="14.4">
      <c r="A1806" s="11"/>
    </row>
    <row r="1807" spans="1:1" ht="14.4">
      <c r="A1807" s="11"/>
    </row>
    <row r="1808" spans="1:1" ht="14.4">
      <c r="A1808" s="11"/>
    </row>
    <row r="1809" spans="1:1" ht="14.4">
      <c r="A1809" s="11"/>
    </row>
    <row r="1810" spans="1:1" ht="14.4">
      <c r="A1810" s="11"/>
    </row>
    <row r="1811" spans="1:1" ht="14.4">
      <c r="A1811" s="11"/>
    </row>
    <row r="1812" spans="1:1" ht="14.4">
      <c r="A1812" s="11"/>
    </row>
    <row r="1813" spans="1:1" ht="14.4">
      <c r="A1813" s="11"/>
    </row>
    <row r="1814" spans="1:1" ht="14.4">
      <c r="A1814" s="11"/>
    </row>
    <row r="1815" spans="1:1" ht="14.4">
      <c r="A1815" s="11"/>
    </row>
    <row r="1816" spans="1:1" ht="14.4">
      <c r="A1816" s="11"/>
    </row>
    <row r="1817" spans="1:1" ht="14.4">
      <c r="A1817" s="11"/>
    </row>
    <row r="1818" spans="1:1" ht="14.4">
      <c r="A1818" s="11"/>
    </row>
    <row r="1819" spans="1:1" ht="14.4">
      <c r="A1819" s="11"/>
    </row>
    <row r="1820" spans="1:1" ht="14.4">
      <c r="A1820" s="11"/>
    </row>
    <row r="1821" spans="1:1" ht="14.4">
      <c r="A1821" s="11"/>
    </row>
    <row r="1822" spans="1:1" ht="14.4">
      <c r="A1822" s="11"/>
    </row>
    <row r="1823" spans="1:1" ht="14.4">
      <c r="A1823" s="11"/>
    </row>
    <row r="1824" spans="1:1" ht="14.4">
      <c r="A1824" s="11"/>
    </row>
    <row r="1825" spans="1:1" ht="14.4">
      <c r="A1825" s="11"/>
    </row>
    <row r="1826" spans="1:1" ht="14.4">
      <c r="A1826" s="11"/>
    </row>
    <row r="1827" spans="1:1" ht="14.4">
      <c r="A1827" s="11"/>
    </row>
    <row r="1828" spans="1:1" ht="14.4">
      <c r="A1828" s="11"/>
    </row>
    <row r="1829" spans="1:1" ht="14.4">
      <c r="A1829" s="11"/>
    </row>
    <row r="1830" spans="1:1" ht="14.4">
      <c r="A1830" s="11"/>
    </row>
    <row r="1831" spans="1:1" ht="14.4">
      <c r="A1831" s="11"/>
    </row>
    <row r="1832" spans="1:1" ht="14.4">
      <c r="A1832" s="11"/>
    </row>
    <row r="1833" spans="1:1" ht="14.4">
      <c r="A1833" s="11"/>
    </row>
    <row r="1834" spans="1:1" ht="14.4">
      <c r="A1834" s="11"/>
    </row>
    <row r="1835" spans="1:1" ht="14.4">
      <c r="A1835" s="11"/>
    </row>
    <row r="1836" spans="1:1" ht="14.4">
      <c r="A1836" s="11"/>
    </row>
    <row r="1837" spans="1:1" ht="14.4">
      <c r="A1837" s="11"/>
    </row>
    <row r="1838" spans="1:1" ht="14.4">
      <c r="A1838" s="11"/>
    </row>
    <row r="1839" spans="1:1" ht="14.4">
      <c r="A1839" s="11"/>
    </row>
    <row r="1840" spans="1:1" ht="14.4">
      <c r="A1840" s="11"/>
    </row>
    <row r="1841" spans="1:1" ht="14.4">
      <c r="A1841" s="11"/>
    </row>
    <row r="1842" spans="1:1" ht="14.4">
      <c r="A1842" s="11"/>
    </row>
    <row r="1843" spans="1:1" ht="14.4">
      <c r="A1843" s="11"/>
    </row>
    <row r="1844" spans="1:1" ht="14.4">
      <c r="A1844" s="11"/>
    </row>
    <row r="1845" spans="1:1" ht="14.4">
      <c r="A1845" s="11"/>
    </row>
    <row r="1846" spans="1:1" ht="14.4">
      <c r="A1846" s="11"/>
    </row>
    <row r="1847" spans="1:1" ht="14.4">
      <c r="A1847" s="11"/>
    </row>
    <row r="1848" spans="1:1" ht="14.4">
      <c r="A1848" s="11"/>
    </row>
    <row r="1849" spans="1:1" ht="14.4">
      <c r="A1849" s="11"/>
    </row>
    <row r="1850" spans="1:1" ht="14.4">
      <c r="A1850" s="11"/>
    </row>
    <row r="1851" spans="1:1" ht="14.4">
      <c r="A1851" s="11"/>
    </row>
    <row r="1852" spans="1:1" ht="14.4">
      <c r="A1852" s="11"/>
    </row>
    <row r="1853" spans="1:1" ht="14.4">
      <c r="A1853" s="11"/>
    </row>
    <row r="1854" spans="1:1" ht="14.4">
      <c r="A1854" s="11"/>
    </row>
    <row r="1855" spans="1:1" ht="14.4">
      <c r="A1855" s="11"/>
    </row>
    <row r="1856" spans="1:1" ht="14.4">
      <c r="A1856" s="11"/>
    </row>
    <row r="1857" spans="1:1" ht="14.4">
      <c r="A1857" s="11"/>
    </row>
    <row r="1858" spans="1:1" ht="14.4">
      <c r="A1858" s="11"/>
    </row>
    <row r="1859" spans="1:1" ht="14.4">
      <c r="A1859" s="11"/>
    </row>
    <row r="1860" spans="1:1" ht="14.4">
      <c r="A1860" s="11"/>
    </row>
    <row r="1861" spans="1:1" ht="14.4">
      <c r="A1861" s="11"/>
    </row>
    <row r="1862" spans="1:1" ht="14.4">
      <c r="A1862" s="11"/>
    </row>
    <row r="1863" spans="1:1" ht="14.4">
      <c r="A1863" s="11"/>
    </row>
    <row r="1864" spans="1:1" ht="14.4">
      <c r="A1864" s="11"/>
    </row>
    <row r="1865" spans="1:1" ht="14.4">
      <c r="A1865" s="11"/>
    </row>
    <row r="1866" spans="1:1" ht="14.4">
      <c r="A1866" s="11"/>
    </row>
    <row r="1867" spans="1:1" ht="14.4">
      <c r="A1867" s="11"/>
    </row>
    <row r="1868" spans="1:1" ht="14.4">
      <c r="A1868" s="11"/>
    </row>
    <row r="1869" spans="1:1" ht="14.4">
      <c r="A1869" s="11"/>
    </row>
    <row r="1870" spans="1:1" ht="14.4">
      <c r="A1870" s="11"/>
    </row>
    <row r="1871" spans="1:1" ht="14.4">
      <c r="A1871" s="11"/>
    </row>
    <row r="1872" spans="1:1" ht="14.4">
      <c r="A1872" s="11"/>
    </row>
    <row r="1873" spans="1:1" ht="14.4">
      <c r="A1873" s="11"/>
    </row>
    <row r="1874" spans="1:1" ht="14.4">
      <c r="A1874" s="11"/>
    </row>
    <row r="1875" spans="1:1" ht="14.4">
      <c r="A1875" s="11"/>
    </row>
    <row r="1876" spans="1:1" ht="14.4">
      <c r="A1876" s="11"/>
    </row>
    <row r="1877" spans="1:1" ht="14.4">
      <c r="A1877" s="11"/>
    </row>
    <row r="1878" spans="1:1" ht="14.4">
      <c r="A1878" s="11"/>
    </row>
    <row r="1879" spans="1:1" ht="14.4">
      <c r="A1879" s="11"/>
    </row>
    <row r="1880" spans="1:1" ht="14.4">
      <c r="A1880" s="11"/>
    </row>
    <row r="1881" spans="1:1" ht="14.4">
      <c r="A1881" s="11"/>
    </row>
    <row r="1882" spans="1:1" ht="14.4">
      <c r="A1882" s="11"/>
    </row>
    <row r="1883" spans="1:1" ht="14.4">
      <c r="A1883" s="11"/>
    </row>
    <row r="1884" spans="1:1" ht="14.4">
      <c r="A1884" s="11"/>
    </row>
    <row r="1885" spans="1:1" ht="14.4">
      <c r="A1885" s="11"/>
    </row>
    <row r="1886" spans="1:1" ht="14.4">
      <c r="A1886" s="11"/>
    </row>
    <row r="1887" spans="1:1" ht="14.4">
      <c r="A1887" s="11"/>
    </row>
    <row r="1888" spans="1:1" ht="14.4">
      <c r="A1888" s="11"/>
    </row>
    <row r="1889" spans="1:1" ht="14.4">
      <c r="A1889" s="11"/>
    </row>
    <row r="1890" spans="1:1" ht="14.4">
      <c r="A1890" s="11"/>
    </row>
    <row r="1891" spans="1:1" ht="14.4">
      <c r="A1891" s="11"/>
    </row>
    <row r="1892" spans="1:1" ht="14.4">
      <c r="A1892" s="11"/>
    </row>
    <row r="1893" spans="1:1" ht="14.4">
      <c r="A1893" s="11"/>
    </row>
    <row r="1894" spans="1:1" ht="14.4">
      <c r="A1894" s="11"/>
    </row>
    <row r="1895" spans="1:1" ht="14.4">
      <c r="A1895" s="11"/>
    </row>
    <row r="1896" spans="1:1" ht="14.4">
      <c r="A1896" s="11"/>
    </row>
    <row r="1897" spans="1:1" ht="14.4">
      <c r="A1897" s="11"/>
    </row>
    <row r="1898" spans="1:1" ht="14.4">
      <c r="A1898" s="11"/>
    </row>
    <row r="1899" spans="1:1" ht="14.4">
      <c r="A1899" s="11"/>
    </row>
    <row r="1900" spans="1:1" ht="14.4">
      <c r="A1900" s="11"/>
    </row>
    <row r="1901" spans="1:1" ht="14.4">
      <c r="A1901" s="11"/>
    </row>
    <row r="1902" spans="1:1" ht="14.4">
      <c r="A1902" s="11"/>
    </row>
    <row r="1903" spans="1:1" ht="14.4">
      <c r="A1903" s="11"/>
    </row>
    <row r="1904" spans="1:1" ht="14.4">
      <c r="A1904" s="11"/>
    </row>
    <row r="1905" spans="1:1" ht="14.4">
      <c r="A1905" s="11"/>
    </row>
    <row r="1906" spans="1:1" ht="14.4">
      <c r="A1906" s="11"/>
    </row>
    <row r="1907" spans="1:1" ht="14.4">
      <c r="A1907" s="11"/>
    </row>
    <row r="1908" spans="1:1" ht="14.4">
      <c r="A1908" s="11"/>
    </row>
    <row r="1909" spans="1:1" ht="14.4">
      <c r="A1909" s="11"/>
    </row>
    <row r="1910" spans="1:1" ht="14.4">
      <c r="A1910" s="11"/>
    </row>
    <row r="1911" spans="1:1" ht="14.4">
      <c r="A1911" s="11"/>
    </row>
    <row r="1912" spans="1:1" ht="14.4">
      <c r="A1912" s="11"/>
    </row>
    <row r="1913" spans="1:1" ht="14.4">
      <c r="A1913" s="11"/>
    </row>
    <row r="1914" spans="1:1" ht="14.4">
      <c r="A1914" s="11"/>
    </row>
    <row r="1915" spans="1:1" ht="14.4">
      <c r="A1915" s="11"/>
    </row>
    <row r="1916" spans="1:1" ht="14.4">
      <c r="A1916" s="11"/>
    </row>
    <row r="1917" spans="1:1" ht="14.4">
      <c r="A1917" s="11"/>
    </row>
    <row r="1918" spans="1:1" ht="14.4">
      <c r="A1918" s="11"/>
    </row>
    <row r="1919" spans="1:1" ht="14.4">
      <c r="A1919" s="11"/>
    </row>
    <row r="1920" spans="1:1" ht="14.4">
      <c r="A1920" s="11"/>
    </row>
    <row r="1921" spans="1:1" ht="14.4">
      <c r="A1921" s="11"/>
    </row>
    <row r="1922" spans="1:1" ht="14.4">
      <c r="A1922" s="11"/>
    </row>
    <row r="1923" spans="1:1" ht="14.4">
      <c r="A1923" s="11"/>
    </row>
    <row r="1924" spans="1:1" ht="14.4">
      <c r="A1924" s="11"/>
    </row>
    <row r="1925" spans="1:1" ht="14.4">
      <c r="A1925" s="11"/>
    </row>
    <row r="1926" spans="1:1" ht="14.4">
      <c r="A1926" s="11"/>
    </row>
    <row r="1927" spans="1:1" ht="14.4">
      <c r="A1927" s="11"/>
    </row>
    <row r="1928" spans="1:1" ht="14.4">
      <c r="A1928" s="11"/>
    </row>
    <row r="1929" spans="1:1" ht="14.4">
      <c r="A1929" s="11"/>
    </row>
    <row r="1930" spans="1:1" ht="14.4">
      <c r="A1930" s="11"/>
    </row>
    <row r="1931" spans="1:1" ht="14.4">
      <c r="A1931" s="11"/>
    </row>
    <row r="1932" spans="1:1" ht="14.4">
      <c r="A1932" s="11"/>
    </row>
    <row r="1933" spans="1:1" ht="14.4">
      <c r="A1933" s="11"/>
    </row>
    <row r="1934" spans="1:1" ht="14.4">
      <c r="A1934" s="11"/>
    </row>
    <row r="1935" spans="1:1" ht="14.4">
      <c r="A1935" s="11"/>
    </row>
    <row r="1936" spans="1:1" ht="14.4">
      <c r="A1936" s="11"/>
    </row>
    <row r="1937" spans="1:1" ht="14.4">
      <c r="A1937" s="11"/>
    </row>
    <row r="1938" spans="1:1" ht="14.4">
      <c r="A1938" s="11"/>
    </row>
    <row r="1939" spans="1:1" ht="14.4">
      <c r="A1939" s="11"/>
    </row>
    <row r="1940" spans="1:1" ht="14.4">
      <c r="A1940" s="11"/>
    </row>
    <row r="1941" spans="1:1" ht="14.4">
      <c r="A1941" s="11"/>
    </row>
    <row r="1942" spans="1:1" ht="14.4">
      <c r="A1942" s="11"/>
    </row>
    <row r="1943" spans="1:1" ht="14.4">
      <c r="A1943" s="11"/>
    </row>
    <row r="1944" spans="1:1" ht="14.4">
      <c r="A1944" s="11"/>
    </row>
    <row r="1945" spans="1:1" ht="14.4">
      <c r="A1945" s="11"/>
    </row>
    <row r="1946" spans="1:1" ht="14.4">
      <c r="A1946" s="11"/>
    </row>
    <row r="1947" spans="1:1" ht="14.4">
      <c r="A1947" s="11"/>
    </row>
    <row r="1948" spans="1:1" ht="14.4">
      <c r="A1948" s="11"/>
    </row>
    <row r="1949" spans="1:1" ht="14.4">
      <c r="A1949" s="11"/>
    </row>
    <row r="1950" spans="1:1" ht="14.4">
      <c r="A1950" s="11"/>
    </row>
    <row r="1951" spans="1:1" ht="14.4">
      <c r="A1951" s="11"/>
    </row>
    <row r="1952" spans="1:1" ht="14.4">
      <c r="A1952" s="11"/>
    </row>
    <row r="1953" spans="1:1" ht="14.4">
      <c r="A1953" s="11"/>
    </row>
    <row r="1954" spans="1:1" ht="14.4">
      <c r="A1954" s="11"/>
    </row>
    <row r="1955" spans="1:1" ht="14.4">
      <c r="A1955" s="11"/>
    </row>
    <row r="1956" spans="1:1" ht="14.4">
      <c r="A1956" s="11"/>
    </row>
    <row r="1957" spans="1:1" ht="14.4">
      <c r="A1957" s="11"/>
    </row>
    <row r="1958" spans="1:1" ht="14.4">
      <c r="A1958" s="11"/>
    </row>
    <row r="1959" spans="1:1" ht="14.4">
      <c r="A1959" s="11"/>
    </row>
    <row r="1960" spans="1:1" ht="14.4">
      <c r="A1960" s="11"/>
    </row>
    <row r="1961" spans="1:1" ht="14.4">
      <c r="A1961" s="11"/>
    </row>
    <row r="1962" spans="1:1" ht="14.4">
      <c r="A1962" s="11"/>
    </row>
    <row r="1963" spans="1:1" ht="14.4">
      <c r="A1963" s="11"/>
    </row>
    <row r="1964" spans="1:1" ht="14.4">
      <c r="A1964" s="11"/>
    </row>
    <row r="1965" spans="1:1" ht="14.4">
      <c r="A1965" s="11"/>
    </row>
    <row r="1966" spans="1:1" ht="14.4">
      <c r="A1966" s="11"/>
    </row>
    <row r="1967" spans="1:1" ht="14.4">
      <c r="A1967" s="11"/>
    </row>
    <row r="1968" spans="1:1" ht="14.4">
      <c r="A1968" s="11"/>
    </row>
    <row r="1969" spans="1:1" ht="14.4">
      <c r="A1969" s="11"/>
    </row>
    <row r="1970" spans="1:1" ht="14.4">
      <c r="A1970" s="11"/>
    </row>
    <row r="1971" spans="1:1" ht="14.4">
      <c r="A1971" s="11"/>
    </row>
    <row r="1972" spans="1:1" ht="14.4">
      <c r="A1972" s="11"/>
    </row>
    <row r="1973" spans="1:1" ht="14.4">
      <c r="A1973" s="11"/>
    </row>
    <row r="1974" spans="1:1" ht="14.4">
      <c r="A1974" s="11"/>
    </row>
    <row r="1975" spans="1:1" ht="14.4">
      <c r="A1975" s="11"/>
    </row>
    <row r="1976" spans="1:1" ht="14.4">
      <c r="A1976" s="11"/>
    </row>
    <row r="1977" spans="1:1" ht="14.4">
      <c r="A1977" s="11"/>
    </row>
    <row r="1978" spans="1:1" ht="14.4">
      <c r="A1978" s="11"/>
    </row>
    <row r="1979" spans="1:1" ht="14.4">
      <c r="A1979" s="11"/>
    </row>
    <row r="1980" spans="1:1" ht="14.4">
      <c r="A1980" s="11"/>
    </row>
    <row r="1981" spans="1:1" ht="14.4">
      <c r="A1981" s="11"/>
    </row>
    <row r="1982" spans="1:1" ht="14.4">
      <c r="A1982" s="11"/>
    </row>
    <row r="1983" spans="1:1" ht="14.4">
      <c r="A1983" s="11"/>
    </row>
    <row r="1984" spans="1:1" ht="14.4">
      <c r="A1984" s="11"/>
    </row>
    <row r="1985" spans="1:1" ht="14.4">
      <c r="A1985" s="11"/>
    </row>
    <row r="1986" spans="1:1" ht="14.4">
      <c r="A1986" s="11"/>
    </row>
    <row r="1987" spans="1:1" ht="14.4">
      <c r="A1987" s="11"/>
    </row>
    <row r="1988" spans="1:1" ht="14.4">
      <c r="A1988" s="11"/>
    </row>
    <row r="1989" spans="1:1" ht="14.4">
      <c r="A1989" s="11"/>
    </row>
    <row r="1990" spans="1:1" ht="14.4">
      <c r="A1990" s="11"/>
    </row>
    <row r="1991" spans="1:1" ht="14.4">
      <c r="A1991" s="11"/>
    </row>
    <row r="1992" spans="1:1" ht="14.4">
      <c r="A1992" s="11"/>
    </row>
    <row r="1993" spans="1:1" ht="14.4">
      <c r="A1993" s="11"/>
    </row>
    <row r="1994" spans="1:1" ht="14.4">
      <c r="A1994" s="11"/>
    </row>
    <row r="1995" spans="1:1" ht="14.4">
      <c r="A1995" s="11"/>
    </row>
    <row r="1996" spans="1:1" ht="14.4">
      <c r="A1996" s="11"/>
    </row>
    <row r="1997" spans="1:1" ht="14.4">
      <c r="A1997" s="11"/>
    </row>
    <row r="1998" spans="1:1" ht="14.4">
      <c r="A1998" s="11"/>
    </row>
    <row r="1999" spans="1:1" ht="14.4">
      <c r="A1999" s="11"/>
    </row>
    <row r="2000" spans="1:1" ht="14.4">
      <c r="A2000" s="11"/>
    </row>
    <row r="2001" spans="1:1" ht="14.4">
      <c r="A2001" s="11"/>
    </row>
    <row r="2002" spans="1:1" ht="14.4">
      <c r="A2002" s="11"/>
    </row>
    <row r="2003" spans="1:1" ht="14.4">
      <c r="A2003" s="11"/>
    </row>
    <row r="2004" spans="1:1" ht="14.4">
      <c r="A2004" s="11"/>
    </row>
    <row r="2005" spans="1:1" ht="14.4">
      <c r="A2005" s="11"/>
    </row>
    <row r="2006" spans="1:1" ht="14.4">
      <c r="A2006" s="11"/>
    </row>
    <row r="2007" spans="1:1" ht="14.4">
      <c r="A2007" s="11"/>
    </row>
    <row r="2008" spans="1:1" ht="14.4">
      <c r="A2008" s="11"/>
    </row>
    <row r="2009" spans="1:1" ht="14.4">
      <c r="A2009" s="11"/>
    </row>
    <row r="2010" spans="1:1" ht="14.4">
      <c r="A2010" s="11"/>
    </row>
    <row r="2011" spans="1:1" ht="14.4">
      <c r="A2011" s="11"/>
    </row>
    <row r="2012" spans="1:1" ht="14.4">
      <c r="A2012" s="11"/>
    </row>
    <row r="2013" spans="1:1" ht="14.4">
      <c r="A2013" s="11"/>
    </row>
    <row r="2014" spans="1:1" ht="14.4">
      <c r="A2014" s="11"/>
    </row>
    <row r="2015" spans="1:1" ht="14.4">
      <c r="A2015" s="11"/>
    </row>
    <row r="2016" spans="1:1" ht="14.4">
      <c r="A2016" s="11"/>
    </row>
    <row r="2017" spans="1:1" ht="14.4">
      <c r="A2017" s="11"/>
    </row>
    <row r="2018" spans="1:1" ht="14.4">
      <c r="A2018" s="11"/>
    </row>
    <row r="2019" spans="1:1" ht="14.4">
      <c r="A2019" s="11"/>
    </row>
    <row r="2020" spans="1:1" ht="14.4">
      <c r="A2020" s="11"/>
    </row>
    <row r="2021" spans="1:1" ht="14.4">
      <c r="A2021" s="11"/>
    </row>
    <row r="2022" spans="1:1" ht="14.4">
      <c r="A2022" s="11"/>
    </row>
    <row r="2023" spans="1:1" ht="14.4">
      <c r="A2023" s="11"/>
    </row>
    <row r="2024" spans="1:1" ht="14.4">
      <c r="A2024" s="11"/>
    </row>
    <row r="2025" spans="1:1" ht="14.4">
      <c r="A2025" s="11"/>
    </row>
    <row r="2026" spans="1:1" ht="14.4">
      <c r="A2026" s="11"/>
    </row>
    <row r="2027" spans="1:1" ht="14.4">
      <c r="A2027" s="11"/>
    </row>
    <row r="2028" spans="1:1" ht="14.4">
      <c r="A2028" s="11"/>
    </row>
    <row r="2029" spans="1:1" ht="14.4">
      <c r="A2029" s="11"/>
    </row>
    <row r="2030" spans="1:1" ht="14.4">
      <c r="A2030" s="11"/>
    </row>
    <row r="2031" spans="1:1" ht="14.4">
      <c r="A2031" s="11"/>
    </row>
    <row r="2032" spans="1:1" ht="14.4">
      <c r="A2032" s="11"/>
    </row>
    <row r="2033" spans="1:1" ht="14.4">
      <c r="A2033" s="11"/>
    </row>
    <row r="2034" spans="1:1" ht="14.4">
      <c r="A2034" s="11"/>
    </row>
    <row r="2035" spans="1:1" ht="14.4">
      <c r="A2035" s="11"/>
    </row>
    <row r="2036" spans="1:1" ht="14.4">
      <c r="A2036" s="11"/>
    </row>
    <row r="2037" spans="1:1" ht="14.4">
      <c r="A2037" s="11"/>
    </row>
    <row r="2038" spans="1:1" ht="14.4">
      <c r="A2038" s="11"/>
    </row>
    <row r="2039" spans="1:1" ht="14.4">
      <c r="A2039" s="11"/>
    </row>
    <row r="2040" spans="1:1" ht="14.4">
      <c r="A2040" s="11"/>
    </row>
    <row r="2041" spans="1:1" ht="14.4">
      <c r="A2041" s="11"/>
    </row>
    <row r="2042" spans="1:1" ht="14.4">
      <c r="A2042" s="11"/>
    </row>
    <row r="2043" spans="1:1" ht="14.4">
      <c r="A2043" s="11"/>
    </row>
    <row r="2044" spans="1:1" ht="14.4">
      <c r="A2044" s="11"/>
    </row>
    <row r="2045" spans="1:1" ht="14.4">
      <c r="A2045" s="11"/>
    </row>
    <row r="2046" spans="1:1" ht="14.4">
      <c r="A2046" s="11"/>
    </row>
    <row r="2047" spans="1:1" ht="14.4">
      <c r="A2047" s="11"/>
    </row>
    <row r="2048" spans="1:1" ht="14.4">
      <c r="A2048" s="11"/>
    </row>
    <row r="2049" spans="1:1" ht="14.4">
      <c r="A2049" s="11"/>
    </row>
    <row r="2050" spans="1:1" ht="14.4">
      <c r="A2050" s="11"/>
    </row>
    <row r="2051" spans="1:1" ht="14.4">
      <c r="A2051" s="11"/>
    </row>
    <row r="2052" spans="1:1" ht="14.4">
      <c r="A2052" s="11"/>
    </row>
    <row r="2053" spans="1:1" ht="14.4">
      <c r="A2053" s="11"/>
    </row>
    <row r="2054" spans="1:1" ht="14.4">
      <c r="A2054" s="11"/>
    </row>
    <row r="2055" spans="1:1" ht="14.4">
      <c r="A2055" s="11"/>
    </row>
    <row r="2056" spans="1:1" ht="14.4">
      <c r="A2056" s="11"/>
    </row>
    <row r="2057" spans="1:1" ht="14.4">
      <c r="A2057" s="11"/>
    </row>
    <row r="2058" spans="1:1" ht="14.4">
      <c r="A2058" s="11"/>
    </row>
    <row r="2059" spans="1:1" ht="14.4">
      <c r="A2059" s="11"/>
    </row>
    <row r="2060" spans="1:1" ht="14.4">
      <c r="A2060" s="11"/>
    </row>
    <row r="2061" spans="1:1" ht="14.4">
      <c r="A2061" s="11"/>
    </row>
    <row r="2062" spans="1:1" ht="14.4">
      <c r="A2062" s="11"/>
    </row>
    <row r="2063" spans="1:1" ht="14.4">
      <c r="A2063" s="11"/>
    </row>
    <row r="2064" spans="1:1" ht="14.4">
      <c r="A2064" s="11"/>
    </row>
    <row r="2065" spans="1:1" ht="14.4">
      <c r="A2065" s="11"/>
    </row>
    <row r="2066" spans="1:1" ht="14.4">
      <c r="A2066" s="11"/>
    </row>
    <row r="2067" spans="1:1" ht="14.4">
      <c r="A2067" s="11"/>
    </row>
    <row r="2068" spans="1:1" ht="14.4">
      <c r="A2068" s="11"/>
    </row>
    <row r="2069" spans="1:1" ht="14.4">
      <c r="A2069" s="11"/>
    </row>
    <row r="2070" spans="1:1" ht="14.4">
      <c r="A2070" s="11"/>
    </row>
    <row r="2071" spans="1:1" ht="14.4">
      <c r="A2071" s="11"/>
    </row>
    <row r="2072" spans="1:1" ht="14.4">
      <c r="A2072" s="11"/>
    </row>
    <row r="2073" spans="1:1" ht="14.4">
      <c r="A2073" s="11"/>
    </row>
    <row r="2074" spans="1:1" ht="14.4">
      <c r="A2074" s="11"/>
    </row>
    <row r="2075" spans="1:1" ht="14.4">
      <c r="A2075" s="11"/>
    </row>
    <row r="2076" spans="1:1" ht="14.4">
      <c r="A2076" s="11"/>
    </row>
    <row r="2077" spans="1:1" ht="14.4">
      <c r="A2077" s="11"/>
    </row>
    <row r="2078" spans="1:1" ht="14.4">
      <c r="A2078" s="11"/>
    </row>
    <row r="2079" spans="1:1" ht="14.4">
      <c r="A2079" s="11"/>
    </row>
    <row r="2080" spans="1:1" ht="14.4">
      <c r="A2080" s="11"/>
    </row>
    <row r="2081" spans="1:1" ht="14.4">
      <c r="A2081" s="11"/>
    </row>
    <row r="2082" spans="1:1" ht="14.4">
      <c r="A2082" s="11"/>
    </row>
    <row r="2083" spans="1:1" ht="14.4">
      <c r="A2083" s="11"/>
    </row>
    <row r="2084" spans="1:1" ht="14.4">
      <c r="A2084" s="11"/>
    </row>
    <row r="2085" spans="1:1" ht="14.4">
      <c r="A2085" s="11"/>
    </row>
    <row r="2086" spans="1:1" ht="14.4">
      <c r="A2086" s="11"/>
    </row>
    <row r="2087" spans="1:1" ht="14.4">
      <c r="A2087" s="11"/>
    </row>
    <row r="2088" spans="1:1" ht="14.4">
      <c r="A2088" s="11"/>
    </row>
    <row r="2089" spans="1:1" ht="14.4">
      <c r="A2089" s="11"/>
    </row>
    <row r="2090" spans="1:1" ht="14.4">
      <c r="A2090" s="11"/>
    </row>
    <row r="2091" spans="1:1" ht="14.4">
      <c r="A2091" s="11"/>
    </row>
    <row r="2092" spans="1:1" ht="14.4">
      <c r="A2092" s="11"/>
    </row>
    <row r="2093" spans="1:1" ht="14.4">
      <c r="A2093" s="11"/>
    </row>
    <row r="2094" spans="1:1" ht="14.4">
      <c r="A2094" s="11"/>
    </row>
    <row r="2095" spans="1:1" ht="14.4">
      <c r="A2095" s="11"/>
    </row>
    <row r="2096" spans="1:1" ht="14.4">
      <c r="A2096" s="11"/>
    </row>
    <row r="2097" spans="1:1" ht="14.4">
      <c r="A2097" s="11"/>
    </row>
    <row r="2098" spans="1:1" ht="14.4">
      <c r="A2098" s="11"/>
    </row>
    <row r="2099" spans="1:1" ht="14.4">
      <c r="A2099" s="11"/>
    </row>
    <row r="2100" spans="1:1" ht="14.4">
      <c r="A2100" s="11"/>
    </row>
    <row r="2101" spans="1:1" ht="14.4">
      <c r="A2101" s="11"/>
    </row>
    <row r="2102" spans="1:1" ht="14.4">
      <c r="A2102" s="11"/>
    </row>
    <row r="2103" spans="1:1" ht="14.4">
      <c r="A2103" s="11"/>
    </row>
    <row r="2104" spans="1:1" ht="14.4">
      <c r="A2104" s="11"/>
    </row>
    <row r="2105" spans="1:1" ht="14.4">
      <c r="A2105" s="11"/>
    </row>
    <row r="2106" spans="1:1" ht="14.4">
      <c r="A2106" s="11"/>
    </row>
    <row r="2107" spans="1:1" ht="14.4">
      <c r="A2107" s="11"/>
    </row>
    <row r="2108" spans="1:1" ht="14.4">
      <c r="A2108" s="11"/>
    </row>
    <row r="2109" spans="1:1" ht="14.4">
      <c r="A2109" s="11"/>
    </row>
    <row r="2110" spans="1:1" ht="14.4">
      <c r="A2110" s="11"/>
    </row>
    <row r="2111" spans="1:1" ht="14.4">
      <c r="A2111" s="11"/>
    </row>
    <row r="2112" spans="1:1" ht="14.4">
      <c r="A2112" s="11"/>
    </row>
    <row r="2113" spans="1:1" ht="14.4">
      <c r="A2113" s="11"/>
    </row>
    <row r="2114" spans="1:1" ht="14.4">
      <c r="A2114" s="11"/>
    </row>
    <row r="2115" spans="1:1" ht="14.4">
      <c r="A2115" s="11"/>
    </row>
    <row r="2116" spans="1:1" ht="14.4">
      <c r="A2116" s="11"/>
    </row>
    <row r="2117" spans="1:1" ht="14.4">
      <c r="A2117" s="11"/>
    </row>
    <row r="2118" spans="1:1" ht="14.4">
      <c r="A2118" s="11"/>
    </row>
    <row r="2119" spans="1:1" ht="14.4">
      <c r="A2119" s="11"/>
    </row>
    <row r="2120" spans="1:1" ht="14.4">
      <c r="A2120" s="11"/>
    </row>
    <row r="2121" spans="1:1" ht="14.4">
      <c r="A2121" s="11"/>
    </row>
    <row r="2122" spans="1:1" ht="14.4">
      <c r="A2122" s="11"/>
    </row>
    <row r="2123" spans="1:1" ht="14.4">
      <c r="A2123" s="11"/>
    </row>
    <row r="2124" spans="1:1" ht="14.4">
      <c r="A2124" s="11"/>
    </row>
    <row r="2125" spans="1:1" ht="14.4">
      <c r="A2125" s="11"/>
    </row>
    <row r="2126" spans="1:1" ht="14.4">
      <c r="A2126" s="11"/>
    </row>
    <row r="2127" spans="1:1" ht="14.4">
      <c r="A2127" s="11"/>
    </row>
    <row r="2128" spans="1:1" ht="14.4">
      <c r="A2128" s="11"/>
    </row>
    <row r="2129" spans="1:1" ht="14.4">
      <c r="A2129" s="11"/>
    </row>
    <row r="2130" spans="1:1" ht="14.4">
      <c r="A2130" s="11"/>
    </row>
    <row r="2131" spans="1:1" ht="14.4">
      <c r="A2131" s="11"/>
    </row>
    <row r="2132" spans="1:1" ht="14.4">
      <c r="A2132" s="11"/>
    </row>
    <row r="2133" spans="1:1" ht="14.4">
      <c r="A2133" s="11"/>
    </row>
    <row r="2134" spans="1:1" ht="14.4">
      <c r="A2134" s="11"/>
    </row>
    <row r="2135" spans="1:1" ht="14.4">
      <c r="A2135" s="11"/>
    </row>
    <row r="2136" spans="1:1" ht="14.4">
      <c r="A2136" s="11"/>
    </row>
    <row r="2137" spans="1:1" ht="14.4">
      <c r="A2137" s="11"/>
    </row>
    <row r="2138" spans="1:1" ht="14.4">
      <c r="A2138" s="11"/>
    </row>
    <row r="2139" spans="1:1" ht="14.4">
      <c r="A2139" s="11"/>
    </row>
    <row r="2140" spans="1:1" ht="14.4">
      <c r="A2140" s="11"/>
    </row>
    <row r="2141" spans="1:1" ht="14.4">
      <c r="A2141" s="11"/>
    </row>
    <row r="2142" spans="1:1" ht="14.4">
      <c r="A2142" s="11"/>
    </row>
    <row r="2143" spans="1:1" ht="14.4">
      <c r="A2143" s="11"/>
    </row>
    <row r="2144" spans="1:1" ht="14.4">
      <c r="A2144" s="11"/>
    </row>
    <row r="2145" spans="1:1" ht="14.4">
      <c r="A2145" s="11"/>
    </row>
    <row r="2146" spans="1:1" ht="14.4">
      <c r="A2146" s="11"/>
    </row>
    <row r="2147" spans="1:1" ht="14.4">
      <c r="A2147" s="11"/>
    </row>
    <row r="2148" spans="1:1" ht="14.4">
      <c r="A2148" s="11"/>
    </row>
    <row r="2149" spans="1:1" ht="14.4">
      <c r="A2149" s="11"/>
    </row>
    <row r="2150" spans="1:1" ht="14.4">
      <c r="A2150" s="11"/>
    </row>
    <row r="2151" spans="1:1" ht="14.4">
      <c r="A2151" s="11"/>
    </row>
    <row r="2152" spans="1:1" ht="14.4">
      <c r="A2152" s="11"/>
    </row>
    <row r="2153" spans="1:1" ht="14.4">
      <c r="A2153" s="11"/>
    </row>
    <row r="2154" spans="1:1" ht="14.4">
      <c r="A2154" s="11"/>
    </row>
    <row r="2155" spans="1:1" ht="14.4">
      <c r="A2155" s="11"/>
    </row>
    <row r="2156" spans="1:1" ht="14.4">
      <c r="A2156" s="11"/>
    </row>
    <row r="2157" spans="1:1" ht="14.4">
      <c r="A2157" s="11"/>
    </row>
    <row r="2158" spans="1:1" ht="14.4">
      <c r="A2158" s="11"/>
    </row>
    <row r="2159" spans="1:1" ht="14.4">
      <c r="A2159" s="11"/>
    </row>
    <row r="2160" spans="1:1" ht="14.4">
      <c r="A2160" s="11"/>
    </row>
    <row r="2161" spans="1:1" ht="14.4">
      <c r="A2161" s="11"/>
    </row>
    <row r="2162" spans="1:1" ht="14.4">
      <c r="A2162" s="11"/>
    </row>
    <row r="2163" spans="1:1" ht="14.4">
      <c r="A2163" s="11"/>
    </row>
    <row r="2164" spans="1:1" ht="14.4">
      <c r="A2164" s="11"/>
    </row>
    <row r="2165" spans="1:1" ht="14.4">
      <c r="A2165" s="11"/>
    </row>
    <row r="2166" spans="1:1" ht="14.4">
      <c r="A2166" s="11"/>
    </row>
    <row r="2167" spans="1:1" ht="14.4">
      <c r="A2167" s="11"/>
    </row>
    <row r="2168" spans="1:1" ht="14.4">
      <c r="A2168" s="11"/>
    </row>
    <row r="2169" spans="1:1" ht="14.4">
      <c r="A2169" s="11"/>
    </row>
    <row r="2170" spans="1:1" ht="14.4">
      <c r="A2170" s="11"/>
    </row>
    <row r="2171" spans="1:1" ht="14.4">
      <c r="A2171" s="11"/>
    </row>
    <row r="2172" spans="1:1" ht="14.4">
      <c r="A2172" s="11"/>
    </row>
    <row r="2173" spans="1:1" ht="14.4">
      <c r="A2173" s="11"/>
    </row>
    <row r="2174" spans="1:1" ht="14.4">
      <c r="A2174" s="11"/>
    </row>
    <row r="2175" spans="1:1" ht="14.4">
      <c r="A2175" s="11"/>
    </row>
    <row r="2176" spans="1:1" ht="14.4">
      <c r="A2176" s="11"/>
    </row>
    <row r="2177" spans="1:1" ht="14.4">
      <c r="A2177" s="11"/>
    </row>
    <row r="2178" spans="1:1" ht="14.4">
      <c r="A2178" s="11"/>
    </row>
    <row r="2179" spans="1:1" ht="14.4">
      <c r="A2179" s="11"/>
    </row>
    <row r="2180" spans="1:1" ht="14.4">
      <c r="A2180" s="11"/>
    </row>
    <row r="2181" spans="1:1" ht="14.4">
      <c r="A2181" s="11"/>
    </row>
    <row r="2182" spans="1:1" ht="14.4">
      <c r="A2182" s="11"/>
    </row>
    <row r="2183" spans="1:1" ht="14.4">
      <c r="A2183" s="11"/>
    </row>
    <row r="2184" spans="1:1" ht="14.4">
      <c r="A2184" s="11"/>
    </row>
    <row r="2185" spans="1:1" ht="14.4">
      <c r="A2185" s="11"/>
    </row>
    <row r="2186" spans="1:1" ht="14.4">
      <c r="A2186" s="11"/>
    </row>
    <row r="2187" spans="1:1" ht="14.4">
      <c r="A2187" s="11"/>
    </row>
    <row r="2188" spans="1:1" ht="14.4">
      <c r="A2188" s="11"/>
    </row>
    <row r="2189" spans="1:1" ht="14.4">
      <c r="A2189" s="11"/>
    </row>
    <row r="2190" spans="1:1" ht="14.4">
      <c r="A2190" s="11"/>
    </row>
    <row r="2191" spans="1:1" ht="14.4">
      <c r="A2191" s="11"/>
    </row>
    <row r="2192" spans="1:1" ht="14.4">
      <c r="A2192" s="11"/>
    </row>
    <row r="2193" spans="1:1" ht="14.4">
      <c r="A2193" s="11"/>
    </row>
    <row r="2194" spans="1:1" ht="14.4">
      <c r="A2194" s="11"/>
    </row>
    <row r="2195" spans="1:1" ht="14.4">
      <c r="A2195" s="11"/>
    </row>
    <row r="2196" spans="1:1" ht="14.4">
      <c r="A2196" s="11"/>
    </row>
    <row r="2197" spans="1:1" ht="14.4">
      <c r="A2197" s="11"/>
    </row>
    <row r="2198" spans="1:1" ht="14.4">
      <c r="A2198" s="11"/>
    </row>
    <row r="2199" spans="1:1" ht="14.4">
      <c r="A2199" s="11"/>
    </row>
    <row r="2200" spans="1:1" ht="14.4">
      <c r="A2200" s="11"/>
    </row>
    <row r="2201" spans="1:1" ht="14.4">
      <c r="A2201" s="11"/>
    </row>
    <row r="2202" spans="1:1" ht="14.4">
      <c r="A2202" s="11"/>
    </row>
    <row r="2203" spans="1:1" ht="14.4">
      <c r="A2203" s="11"/>
    </row>
    <row r="2204" spans="1:1" ht="14.4">
      <c r="A2204" s="11"/>
    </row>
    <row r="2205" spans="1:1" ht="14.4">
      <c r="A2205" s="11"/>
    </row>
    <row r="2206" spans="1:1" ht="14.4">
      <c r="A2206" s="11"/>
    </row>
    <row r="2207" spans="1:1" ht="14.4">
      <c r="A2207" s="11"/>
    </row>
    <row r="2208" spans="1:1" ht="14.4">
      <c r="A2208" s="11"/>
    </row>
    <row r="2209" spans="1:1" ht="14.4">
      <c r="A2209" s="11"/>
    </row>
    <row r="2210" spans="1:1" ht="14.4">
      <c r="A2210" s="11"/>
    </row>
    <row r="2211" spans="1:1" ht="14.4">
      <c r="A2211" s="11"/>
    </row>
    <row r="2212" spans="1:1" ht="14.4">
      <c r="A2212" s="11"/>
    </row>
    <row r="2213" spans="1:1" ht="14.4">
      <c r="A2213" s="11"/>
    </row>
    <row r="2214" spans="1:1" ht="14.4">
      <c r="A2214" s="11"/>
    </row>
    <row r="2215" spans="1:1" ht="14.4">
      <c r="A2215" s="11"/>
    </row>
    <row r="2216" spans="1:1" ht="14.4">
      <c r="A2216" s="11"/>
    </row>
    <row r="2217" spans="1:1" ht="14.4">
      <c r="A2217" s="11"/>
    </row>
    <row r="2218" spans="1:1" ht="14.4">
      <c r="A2218" s="11"/>
    </row>
    <row r="2219" spans="1:1" ht="14.4">
      <c r="A2219" s="11"/>
    </row>
    <row r="2220" spans="1:1" ht="14.4">
      <c r="A2220" s="11"/>
    </row>
    <row r="2221" spans="1:1" ht="14.4">
      <c r="A2221" s="11"/>
    </row>
    <row r="2222" spans="1:1" ht="14.4">
      <c r="A2222" s="11"/>
    </row>
    <row r="2223" spans="1:1" ht="14.4">
      <c r="A2223" s="11"/>
    </row>
    <row r="2224" spans="1:1" ht="14.4">
      <c r="A2224" s="11"/>
    </row>
    <row r="2225" spans="1:1" ht="14.4">
      <c r="A2225" s="11"/>
    </row>
    <row r="2226" spans="1:1" ht="14.4">
      <c r="A2226" s="11"/>
    </row>
    <row r="2227" spans="1:1" ht="14.4">
      <c r="A2227" s="11"/>
    </row>
    <row r="2228" spans="1:1" ht="14.4">
      <c r="A2228" s="11"/>
    </row>
    <row r="2229" spans="1:1" ht="14.4">
      <c r="A2229" s="11"/>
    </row>
    <row r="2230" spans="1:1" ht="14.4">
      <c r="A2230" s="11"/>
    </row>
    <row r="2231" spans="1:1" ht="14.4">
      <c r="A2231" s="11"/>
    </row>
    <row r="2232" spans="1:1" ht="14.4">
      <c r="A2232" s="11"/>
    </row>
    <row r="2233" spans="1:1" ht="14.4">
      <c r="A2233" s="11"/>
    </row>
    <row r="2234" spans="1:1" ht="14.4">
      <c r="A2234" s="11"/>
    </row>
    <row r="2235" spans="1:1" ht="14.4">
      <c r="A2235" s="11"/>
    </row>
    <row r="2236" spans="1:1" ht="14.4">
      <c r="A2236" s="11"/>
    </row>
    <row r="2237" spans="1:1" ht="14.4">
      <c r="A2237" s="11"/>
    </row>
    <row r="2238" spans="1:1" ht="14.4">
      <c r="A2238" s="11"/>
    </row>
    <row r="2239" spans="1:1" ht="14.4">
      <c r="A2239" s="11"/>
    </row>
    <row r="2240" spans="1:1" ht="14.4">
      <c r="A2240" s="11"/>
    </row>
    <row r="2241" spans="1:1" ht="14.4">
      <c r="A2241" s="11"/>
    </row>
    <row r="2242" spans="1:1" ht="14.4">
      <c r="A2242" s="11"/>
    </row>
    <row r="2243" spans="1:1" ht="14.4">
      <c r="A2243" s="11"/>
    </row>
    <row r="2244" spans="1:1" ht="14.4">
      <c r="A2244" s="11"/>
    </row>
    <row r="2245" spans="1:1" ht="14.4">
      <c r="A2245" s="11"/>
    </row>
    <row r="2246" spans="1:1" ht="14.4">
      <c r="A2246" s="11"/>
    </row>
    <row r="2247" spans="1:1" ht="14.4">
      <c r="A2247" s="11"/>
    </row>
    <row r="2248" spans="1:1" ht="14.4">
      <c r="A2248" s="11"/>
    </row>
    <row r="2249" spans="1:1" ht="14.4">
      <c r="A2249" s="11"/>
    </row>
    <row r="2250" spans="1:1" ht="14.4">
      <c r="A2250" s="11"/>
    </row>
    <row r="2251" spans="1:1" ht="14.4">
      <c r="A2251" s="11"/>
    </row>
    <row r="2252" spans="1:1" ht="14.4">
      <c r="A2252" s="11"/>
    </row>
    <row r="2253" spans="1:1" ht="14.4">
      <c r="A2253" s="11"/>
    </row>
    <row r="2254" spans="1:1" ht="14.4">
      <c r="A2254" s="11"/>
    </row>
    <row r="2255" spans="1:1" ht="14.4">
      <c r="A2255" s="11"/>
    </row>
    <row r="2256" spans="1:1" ht="14.4">
      <c r="A2256" s="11"/>
    </row>
    <row r="2257" spans="1:1" ht="14.4">
      <c r="A2257" s="11"/>
    </row>
    <row r="2258" spans="1:1" ht="14.4">
      <c r="A2258" s="11"/>
    </row>
    <row r="2259" spans="1:1" ht="14.4">
      <c r="A2259" s="11"/>
    </row>
    <row r="2260" spans="1:1" ht="14.4">
      <c r="A2260" s="11"/>
    </row>
    <row r="2261" spans="1:1" ht="14.4">
      <c r="A2261" s="11"/>
    </row>
    <row r="2262" spans="1:1" ht="14.4">
      <c r="A2262" s="11"/>
    </row>
    <row r="2263" spans="1:1" ht="14.4">
      <c r="A2263" s="11"/>
    </row>
    <row r="2264" spans="1:1" ht="14.4">
      <c r="A2264" s="11"/>
    </row>
    <row r="2265" spans="1:1" ht="14.4">
      <c r="A2265" s="11"/>
    </row>
    <row r="2266" spans="1:1" ht="14.4">
      <c r="A2266" s="11"/>
    </row>
    <row r="2267" spans="1:1" ht="14.4">
      <c r="A2267" s="11"/>
    </row>
    <row r="2268" spans="1:1" ht="14.4">
      <c r="A2268" s="11"/>
    </row>
    <row r="2269" spans="1:1" ht="14.4">
      <c r="A2269" s="11"/>
    </row>
    <row r="2270" spans="1:1" ht="14.4">
      <c r="A2270" s="11"/>
    </row>
    <row r="2271" spans="1:1" ht="14.4">
      <c r="A2271" s="11"/>
    </row>
    <row r="2272" spans="1:1" ht="14.4">
      <c r="A2272" s="11"/>
    </row>
    <row r="2273" spans="1:1" ht="14.4">
      <c r="A2273" s="11"/>
    </row>
    <row r="2274" spans="1:1" ht="14.4">
      <c r="A2274" s="11"/>
    </row>
    <row r="2275" spans="1:1" ht="14.4">
      <c r="A2275" s="11"/>
    </row>
    <row r="2276" spans="1:1" ht="14.4">
      <c r="A2276" s="11"/>
    </row>
    <row r="2277" spans="1:1" ht="14.4">
      <c r="A2277" s="11"/>
    </row>
    <row r="2278" spans="1:1" ht="14.4">
      <c r="A2278" s="11"/>
    </row>
    <row r="2279" spans="1:1" ht="14.4">
      <c r="A2279" s="11"/>
    </row>
    <row r="2280" spans="1:1" ht="14.4">
      <c r="A2280" s="11"/>
    </row>
    <row r="2281" spans="1:1" ht="14.4">
      <c r="A2281" s="11"/>
    </row>
    <row r="2282" spans="1:1" ht="14.4">
      <c r="A2282" s="11"/>
    </row>
    <row r="2283" spans="1:1" ht="14.4">
      <c r="A2283" s="11"/>
    </row>
    <row r="2284" spans="1:1" ht="14.4">
      <c r="A2284" s="11"/>
    </row>
    <row r="2285" spans="1:1" ht="14.4">
      <c r="A2285" s="11"/>
    </row>
    <row r="2286" spans="1:1" ht="14.4">
      <c r="A2286" s="11"/>
    </row>
    <row r="2287" spans="1:1" ht="14.4">
      <c r="A2287" s="11"/>
    </row>
    <row r="2288" spans="1:1" ht="14.4">
      <c r="A2288" s="11"/>
    </row>
    <row r="2289" spans="1:1" ht="14.4">
      <c r="A2289" s="11"/>
    </row>
    <row r="2290" spans="1:1" ht="14.4">
      <c r="A2290" s="11"/>
    </row>
    <row r="2291" spans="1:1" ht="14.4">
      <c r="A2291" s="11"/>
    </row>
    <row r="2292" spans="1:1" ht="14.4">
      <c r="A2292" s="11"/>
    </row>
    <row r="2293" spans="1:1" ht="14.4">
      <c r="A2293" s="11"/>
    </row>
    <row r="2294" spans="1:1" ht="14.4">
      <c r="A2294" s="11"/>
    </row>
    <row r="2295" spans="1:1" ht="14.4">
      <c r="A2295" s="11"/>
    </row>
    <row r="2296" spans="1:1" ht="14.4">
      <c r="A2296" s="11"/>
    </row>
    <row r="2297" spans="1:1" ht="14.4">
      <c r="A2297" s="11"/>
    </row>
    <row r="2298" spans="1:1" ht="14.4">
      <c r="A2298" s="11"/>
    </row>
    <row r="2299" spans="1:1" ht="14.4">
      <c r="A2299" s="11"/>
    </row>
    <row r="2300" spans="1:1" ht="14.4">
      <c r="A2300" s="11"/>
    </row>
    <row r="2301" spans="1:1" ht="14.4">
      <c r="A2301" s="11"/>
    </row>
    <row r="2302" spans="1:1" ht="14.4">
      <c r="A2302" s="11"/>
    </row>
    <row r="2303" spans="1:1" ht="14.4">
      <c r="A2303" s="11"/>
    </row>
    <row r="2304" spans="1:1" ht="14.4">
      <c r="A2304" s="11"/>
    </row>
    <row r="2305" spans="1:1" ht="14.4">
      <c r="A2305" s="11"/>
    </row>
    <row r="2306" spans="1:1" ht="14.4">
      <c r="A2306" s="11"/>
    </row>
    <row r="2307" spans="1:1" ht="14.4">
      <c r="A2307" s="11"/>
    </row>
    <row r="2308" spans="1:1" ht="14.4">
      <c r="A2308" s="11"/>
    </row>
    <row r="2309" spans="1:1" ht="14.4">
      <c r="A2309" s="11"/>
    </row>
    <row r="2310" spans="1:1" ht="14.4">
      <c r="A2310" s="11"/>
    </row>
    <row r="2311" spans="1:1" ht="14.4">
      <c r="A2311" s="11"/>
    </row>
    <row r="2312" spans="1:1" ht="14.4">
      <c r="A2312" s="11"/>
    </row>
    <row r="2313" spans="1:1" ht="14.4">
      <c r="A2313" s="11"/>
    </row>
    <row r="2314" spans="1:1" ht="14.4">
      <c r="A2314" s="11"/>
    </row>
    <row r="2315" spans="1:1" ht="14.4">
      <c r="A2315" s="11"/>
    </row>
    <row r="2316" spans="1:1" ht="14.4">
      <c r="A2316" s="11"/>
    </row>
    <row r="2317" spans="1:1" ht="14.4">
      <c r="A2317" s="11"/>
    </row>
    <row r="2318" spans="1:1" ht="14.4">
      <c r="A2318" s="11"/>
    </row>
    <row r="2319" spans="1:1" ht="14.4">
      <c r="A2319" s="11"/>
    </row>
    <row r="2320" spans="1:1" ht="14.4">
      <c r="A2320" s="11"/>
    </row>
    <row r="2321" spans="1:1" ht="14.4">
      <c r="A2321" s="11"/>
    </row>
    <row r="2322" spans="1:1" ht="14.4">
      <c r="A2322" s="11"/>
    </row>
    <row r="2323" spans="1:1" ht="14.4">
      <c r="A2323" s="11"/>
    </row>
    <row r="2324" spans="1:1" ht="14.4">
      <c r="A2324" s="11"/>
    </row>
    <row r="2325" spans="1:1" ht="14.4">
      <c r="A2325" s="11"/>
    </row>
    <row r="2326" spans="1:1" ht="14.4">
      <c r="A2326" s="11"/>
    </row>
    <row r="2327" spans="1:1" ht="14.4">
      <c r="A2327" s="11"/>
    </row>
    <row r="2328" spans="1:1" ht="14.4">
      <c r="A2328" s="11"/>
    </row>
    <row r="2329" spans="1:1" ht="14.4">
      <c r="A2329" s="11"/>
    </row>
    <row r="2330" spans="1:1" ht="14.4">
      <c r="A2330" s="11"/>
    </row>
    <row r="2331" spans="1:1" ht="14.4">
      <c r="A2331" s="11"/>
    </row>
    <row r="2332" spans="1:1" ht="14.4">
      <c r="A2332" s="11"/>
    </row>
    <row r="2333" spans="1:1" ht="14.4">
      <c r="A2333" s="11"/>
    </row>
    <row r="2334" spans="1:1" ht="14.4">
      <c r="A2334" s="11"/>
    </row>
    <row r="2335" spans="1:1" ht="14.4">
      <c r="A2335" s="11"/>
    </row>
    <row r="2336" spans="1:1" ht="14.4">
      <c r="A2336" s="11"/>
    </row>
    <row r="2337" spans="1:1" ht="14.4">
      <c r="A2337" s="11"/>
    </row>
    <row r="2338" spans="1:1" ht="14.4">
      <c r="A2338" s="11"/>
    </row>
    <row r="2339" spans="1:1" ht="14.4">
      <c r="A2339" s="11"/>
    </row>
    <row r="2340" spans="1:1" ht="14.4">
      <c r="A2340" s="11"/>
    </row>
    <row r="2341" spans="1:1" ht="14.4">
      <c r="A2341" s="11"/>
    </row>
    <row r="2342" spans="1:1" ht="14.4">
      <c r="A2342" s="11"/>
    </row>
    <row r="2343" spans="1:1" ht="14.4">
      <c r="A2343" s="11"/>
    </row>
    <row r="2344" spans="1:1" ht="14.4">
      <c r="A2344" s="11"/>
    </row>
    <row r="2345" spans="1:1" ht="14.4">
      <c r="A2345" s="11"/>
    </row>
    <row r="2346" spans="1:1" ht="14.4">
      <c r="A2346" s="11"/>
    </row>
    <row r="2347" spans="1:1" ht="14.4">
      <c r="A2347" s="11"/>
    </row>
    <row r="2348" spans="1:1" ht="14.4">
      <c r="A2348" s="11"/>
    </row>
    <row r="2349" spans="1:1" ht="14.4">
      <c r="A2349" s="11"/>
    </row>
    <row r="2350" spans="1:1" ht="14.4">
      <c r="A2350" s="11"/>
    </row>
    <row r="2351" spans="1:1" ht="14.4">
      <c r="A2351" s="11"/>
    </row>
    <row r="2352" spans="1:1" ht="14.4">
      <c r="A2352" s="11"/>
    </row>
    <row r="2353" spans="1:1" ht="14.4">
      <c r="A2353" s="11"/>
    </row>
    <row r="2354" spans="1:1" ht="14.4">
      <c r="A2354" s="11"/>
    </row>
    <row r="2355" spans="1:1" ht="14.4">
      <c r="A2355" s="11"/>
    </row>
    <row r="2356" spans="1:1" ht="14.4">
      <c r="A2356" s="11"/>
    </row>
    <row r="2357" spans="1:1" ht="14.4">
      <c r="A2357" s="11"/>
    </row>
    <row r="2358" spans="1:1" ht="14.4">
      <c r="A2358" s="11"/>
    </row>
    <row r="2359" spans="1:1" ht="14.4">
      <c r="A2359" s="11"/>
    </row>
    <row r="2360" spans="1:1" ht="14.4">
      <c r="A2360" s="11"/>
    </row>
    <row r="2361" spans="1:1" ht="14.4">
      <c r="A2361" s="11"/>
    </row>
    <row r="2362" spans="1:1" ht="14.4">
      <c r="A2362" s="11"/>
    </row>
    <row r="2363" spans="1:1" ht="14.4">
      <c r="A2363" s="11"/>
    </row>
    <row r="2364" spans="1:1" ht="14.4">
      <c r="A2364" s="11"/>
    </row>
    <row r="2365" spans="1:1" ht="14.4">
      <c r="A2365" s="11"/>
    </row>
    <row r="2366" spans="1:1" ht="14.4">
      <c r="A2366" s="11"/>
    </row>
    <row r="2367" spans="1:1" ht="14.4">
      <c r="A2367" s="11"/>
    </row>
    <row r="2368" spans="1:1" ht="14.4">
      <c r="A2368" s="11"/>
    </row>
    <row r="2369" spans="1:1" ht="14.4">
      <c r="A2369" s="11"/>
    </row>
    <row r="2370" spans="1:1" ht="14.4">
      <c r="A2370" s="11"/>
    </row>
    <row r="2371" spans="1:1" ht="14.4">
      <c r="A2371" s="11"/>
    </row>
    <row r="2372" spans="1:1" ht="14.4">
      <c r="A2372" s="11"/>
    </row>
    <row r="2373" spans="1:1" ht="14.4">
      <c r="A2373" s="11"/>
    </row>
    <row r="2374" spans="1:1" ht="14.4">
      <c r="A2374" s="11"/>
    </row>
    <row r="2375" spans="1:1" ht="14.4">
      <c r="A2375" s="11"/>
    </row>
    <row r="2376" spans="1:1" ht="14.4">
      <c r="A2376" s="11"/>
    </row>
    <row r="2377" spans="1:1" ht="14.4">
      <c r="A2377" s="11"/>
    </row>
    <row r="2378" spans="1:1" ht="14.4">
      <c r="A2378" s="11"/>
    </row>
    <row r="2379" spans="1:1" ht="14.4">
      <c r="A2379" s="11"/>
    </row>
    <row r="2380" spans="1:1" ht="14.4">
      <c r="A2380" s="11"/>
    </row>
    <row r="2381" spans="1:1" ht="14.4">
      <c r="A2381" s="11"/>
    </row>
    <row r="2382" spans="1:1" ht="14.4">
      <c r="A2382" s="11"/>
    </row>
    <row r="2383" spans="1:1" ht="14.4">
      <c r="A2383" s="11"/>
    </row>
    <row r="2384" spans="1:1" ht="14.4">
      <c r="A2384" s="11"/>
    </row>
    <row r="2385" spans="1:1" ht="14.4">
      <c r="A2385" s="11"/>
    </row>
    <row r="2386" spans="1:1" ht="14.4">
      <c r="A2386" s="11"/>
    </row>
    <row r="2387" spans="1:1" ht="14.4">
      <c r="A2387" s="11"/>
    </row>
    <row r="2388" spans="1:1" ht="14.4">
      <c r="A2388" s="11"/>
    </row>
    <row r="2389" spans="1:1" ht="14.4">
      <c r="A2389" s="11"/>
    </row>
    <row r="2390" spans="1:1" ht="14.4">
      <c r="A2390" s="11"/>
    </row>
    <row r="2391" spans="1:1" ht="14.4">
      <c r="A2391" s="11"/>
    </row>
    <row r="2392" spans="1:1" ht="14.4">
      <c r="A2392" s="11"/>
    </row>
    <row r="2393" spans="1:1" ht="14.4">
      <c r="A2393" s="11"/>
    </row>
    <row r="2394" spans="1:1" ht="14.4">
      <c r="A2394" s="11"/>
    </row>
    <row r="2395" spans="1:1" ht="14.4">
      <c r="A2395" s="11"/>
    </row>
    <row r="2396" spans="1:1" ht="14.4">
      <c r="A2396" s="11"/>
    </row>
    <row r="2397" spans="1:1" ht="14.4">
      <c r="A2397" s="11"/>
    </row>
    <row r="2398" spans="1:1" ht="14.4">
      <c r="A2398" s="11"/>
    </row>
    <row r="2399" spans="1:1" ht="14.4">
      <c r="A2399" s="11"/>
    </row>
    <row r="2400" spans="1:1" ht="14.4">
      <c r="A2400" s="11"/>
    </row>
    <row r="2401" spans="1:1" ht="14.4">
      <c r="A2401" s="11"/>
    </row>
    <row r="2402" spans="1:1" ht="14.4">
      <c r="A2402" s="11"/>
    </row>
    <row r="2403" spans="1:1" ht="14.4">
      <c r="A2403" s="11"/>
    </row>
    <row r="2404" spans="1:1" ht="14.4">
      <c r="A2404" s="11"/>
    </row>
    <row r="2405" spans="1:1" ht="14.4">
      <c r="A2405" s="11"/>
    </row>
    <row r="2406" spans="1:1" ht="14.4">
      <c r="A2406" s="11"/>
    </row>
    <row r="2407" spans="1:1" ht="14.4">
      <c r="A2407" s="11"/>
    </row>
    <row r="2408" spans="1:1" ht="14.4">
      <c r="A2408" s="11"/>
    </row>
    <row r="2409" spans="1:1" ht="14.4">
      <c r="A2409" s="11"/>
    </row>
    <row r="2410" spans="1:1" ht="14.4">
      <c r="A2410" s="11"/>
    </row>
    <row r="2411" spans="1:1" ht="14.4">
      <c r="A2411" s="11"/>
    </row>
    <row r="2412" spans="1:1" ht="14.4">
      <c r="A2412" s="11"/>
    </row>
    <row r="2413" spans="1:1" ht="14.4">
      <c r="A2413" s="11"/>
    </row>
    <row r="2414" spans="1:1" ht="14.4">
      <c r="A2414" s="11"/>
    </row>
    <row r="2415" spans="1:1" ht="14.4">
      <c r="A2415" s="11"/>
    </row>
    <row r="2416" spans="1:1" ht="14.4">
      <c r="A2416" s="11"/>
    </row>
    <row r="2417" spans="1:1" ht="14.4">
      <c r="A2417" s="11"/>
    </row>
    <row r="2418" spans="1:1" ht="14.4">
      <c r="A2418" s="11"/>
    </row>
    <row r="2419" spans="1:1" ht="14.4">
      <c r="A2419" s="11"/>
    </row>
    <row r="2420" spans="1:1" ht="14.4">
      <c r="A2420" s="11"/>
    </row>
    <row r="2421" spans="1:1" ht="14.4">
      <c r="A2421" s="11"/>
    </row>
    <row r="2422" spans="1:1" ht="14.4">
      <c r="A2422" s="11"/>
    </row>
    <row r="2423" spans="1:1" ht="14.4">
      <c r="A2423" s="11"/>
    </row>
    <row r="2424" spans="1:1" ht="14.4">
      <c r="A2424" s="11"/>
    </row>
    <row r="2425" spans="1:1" ht="14.4">
      <c r="A2425" s="11"/>
    </row>
    <row r="2426" spans="1:1" ht="14.4">
      <c r="A2426" s="11"/>
    </row>
    <row r="2427" spans="1:1" ht="14.4">
      <c r="A2427" s="11"/>
    </row>
    <row r="2428" spans="1:1" ht="14.4">
      <c r="A2428" s="11"/>
    </row>
    <row r="2429" spans="1:1" ht="14.4">
      <c r="A2429" s="11"/>
    </row>
    <row r="2430" spans="1:1" ht="14.4">
      <c r="A2430" s="11"/>
    </row>
    <row r="2431" spans="1:1" ht="14.4">
      <c r="A2431" s="11"/>
    </row>
    <row r="2432" spans="1:1" ht="14.4">
      <c r="A2432" s="11"/>
    </row>
    <row r="2433" spans="1:1" ht="14.4">
      <c r="A2433" s="11"/>
    </row>
    <row r="2434" spans="1:1" ht="14.4">
      <c r="A2434" s="11"/>
    </row>
    <row r="2435" spans="1:1" ht="14.4">
      <c r="A2435" s="11"/>
    </row>
    <row r="2436" spans="1:1" ht="14.4">
      <c r="A2436" s="11"/>
    </row>
    <row r="2437" spans="1:1" ht="14.4">
      <c r="A2437" s="11"/>
    </row>
    <row r="2438" spans="1:1" ht="14.4">
      <c r="A2438" s="11"/>
    </row>
    <row r="2439" spans="1:1" ht="14.4">
      <c r="A2439" s="11"/>
    </row>
    <row r="2440" spans="1:1" ht="14.4">
      <c r="A2440" s="11"/>
    </row>
    <row r="2441" spans="1:1" ht="14.4">
      <c r="A2441" s="11"/>
    </row>
    <row r="2442" spans="1:1" ht="14.4">
      <c r="A2442" s="11"/>
    </row>
    <row r="2443" spans="1:1" ht="14.4">
      <c r="A2443" s="11"/>
    </row>
    <row r="2444" spans="1:1" ht="14.4">
      <c r="A2444" s="11"/>
    </row>
    <row r="2445" spans="1:1" ht="14.4">
      <c r="A2445" s="11"/>
    </row>
    <row r="2446" spans="1:1" ht="14.4">
      <c r="A2446" s="11"/>
    </row>
    <row r="2447" spans="1:1" ht="14.4">
      <c r="A2447" s="11"/>
    </row>
    <row r="2448" spans="1:1" ht="14.4">
      <c r="A2448" s="11"/>
    </row>
    <row r="2449" spans="1:1" ht="14.4">
      <c r="A2449" s="11"/>
    </row>
    <row r="2450" spans="1:1" ht="14.4">
      <c r="A2450" s="11"/>
    </row>
    <row r="2451" spans="1:1" ht="14.4">
      <c r="A2451" s="11"/>
    </row>
    <row r="2452" spans="1:1" ht="14.4">
      <c r="A2452" s="11"/>
    </row>
    <row r="2453" spans="1:1" ht="14.4">
      <c r="A2453" s="11"/>
    </row>
    <row r="2454" spans="1:1" ht="14.4">
      <c r="A2454" s="11"/>
    </row>
    <row r="2455" spans="1:1" ht="14.4">
      <c r="A2455" s="11"/>
    </row>
    <row r="2456" spans="1:1" ht="14.4">
      <c r="A2456" s="11"/>
    </row>
    <row r="2457" spans="1:1" ht="14.4">
      <c r="A2457" s="11"/>
    </row>
    <row r="2458" spans="1:1" ht="14.4">
      <c r="A2458" s="11"/>
    </row>
    <row r="2459" spans="1:1" ht="14.4">
      <c r="A2459" s="11"/>
    </row>
    <row r="2460" spans="1:1" ht="14.4">
      <c r="A2460" s="11"/>
    </row>
    <row r="2461" spans="1:1" ht="14.4">
      <c r="A2461" s="11"/>
    </row>
    <row r="2462" spans="1:1" ht="14.4">
      <c r="A2462" s="11"/>
    </row>
    <row r="2463" spans="1:1" ht="14.4">
      <c r="A2463" s="11"/>
    </row>
    <row r="2464" spans="1:1" ht="14.4">
      <c r="A2464" s="11"/>
    </row>
    <row r="2465" spans="1:1" ht="14.4">
      <c r="A2465" s="11"/>
    </row>
    <row r="2466" spans="1:1" ht="14.4">
      <c r="A2466" s="11"/>
    </row>
    <row r="2467" spans="1:1" ht="14.4">
      <c r="A2467" s="11"/>
    </row>
    <row r="2468" spans="1:1" ht="14.4">
      <c r="A2468" s="11"/>
    </row>
    <row r="2469" spans="1:1" ht="14.4">
      <c r="A2469" s="11"/>
    </row>
    <row r="2470" spans="1:1" ht="14.4">
      <c r="A2470" s="11"/>
    </row>
    <row r="2471" spans="1:1" ht="14.4">
      <c r="A2471" s="11"/>
    </row>
    <row r="2472" spans="1:1" ht="14.4">
      <c r="A2472" s="11"/>
    </row>
    <row r="2473" spans="1:1" ht="14.4">
      <c r="A2473" s="11"/>
    </row>
    <row r="2474" spans="1:1" ht="14.4">
      <c r="A2474" s="11"/>
    </row>
    <row r="2475" spans="1:1" ht="14.4">
      <c r="A2475" s="11"/>
    </row>
    <row r="2476" spans="1:1" ht="14.4">
      <c r="A2476" s="11"/>
    </row>
    <row r="2477" spans="1:1" ht="14.4">
      <c r="A2477" s="11"/>
    </row>
    <row r="2478" spans="1:1" ht="14.4">
      <c r="A2478" s="11"/>
    </row>
    <row r="2479" spans="1:1" ht="14.4">
      <c r="A2479" s="11"/>
    </row>
    <row r="2480" spans="1:1" ht="14.4">
      <c r="A2480" s="11"/>
    </row>
    <row r="2481" spans="1:1" ht="14.4">
      <c r="A2481" s="11"/>
    </row>
    <row r="2482" spans="1:1" ht="14.4">
      <c r="A2482" s="11"/>
    </row>
    <row r="2483" spans="1:1" ht="14.4">
      <c r="A2483" s="11"/>
    </row>
    <row r="2484" spans="1:1" ht="14.4">
      <c r="A2484" s="11"/>
    </row>
    <row r="2485" spans="1:1" ht="14.4">
      <c r="A2485" s="11"/>
    </row>
    <row r="2486" spans="1:1" ht="14.4">
      <c r="A2486" s="11"/>
    </row>
    <row r="2487" spans="1:1" ht="14.4">
      <c r="A2487" s="11"/>
    </row>
    <row r="2488" spans="1:1" ht="14.4">
      <c r="A2488" s="11"/>
    </row>
    <row r="2489" spans="1:1" ht="14.4">
      <c r="A2489" s="11"/>
    </row>
    <row r="2490" spans="1:1" ht="14.4">
      <c r="A2490" s="11"/>
    </row>
    <row r="2491" spans="1:1" ht="14.4">
      <c r="A2491" s="11"/>
    </row>
    <row r="2492" spans="1:1" ht="14.4">
      <c r="A2492" s="11"/>
    </row>
    <row r="2493" spans="1:1" ht="14.4">
      <c r="A2493" s="11"/>
    </row>
    <row r="2494" spans="1:1" ht="14.4">
      <c r="A2494" s="11"/>
    </row>
    <row r="2495" spans="1:1" ht="14.4">
      <c r="A2495" s="11"/>
    </row>
    <row r="2496" spans="1:1" ht="14.4">
      <c r="A2496" s="11"/>
    </row>
    <row r="2497" spans="1:1" ht="14.4">
      <c r="A2497" s="11"/>
    </row>
    <row r="2498" spans="1:1" ht="14.4">
      <c r="A2498" s="11"/>
    </row>
    <row r="2499" spans="1:1" ht="14.4">
      <c r="A2499" s="11"/>
    </row>
    <row r="2500" spans="1:1" ht="14.4">
      <c r="A2500" s="11"/>
    </row>
    <row r="2501" spans="1:1" ht="14.4">
      <c r="A2501" s="11"/>
    </row>
    <row r="2502" spans="1:1" ht="14.4">
      <c r="A2502" s="11"/>
    </row>
    <row r="2503" spans="1:1" ht="14.4">
      <c r="A2503" s="11"/>
    </row>
    <row r="2504" spans="1:1" ht="14.4">
      <c r="A2504" s="11"/>
    </row>
    <row r="2505" spans="1:1" ht="14.4">
      <c r="A2505" s="11"/>
    </row>
    <row r="2506" spans="1:1" ht="14.4">
      <c r="A2506" s="11"/>
    </row>
    <row r="2507" spans="1:1" ht="14.4">
      <c r="A2507" s="11"/>
    </row>
    <row r="2508" spans="1:1" ht="14.4">
      <c r="A2508" s="11"/>
    </row>
    <row r="2509" spans="1:1" ht="14.4">
      <c r="A2509" s="11"/>
    </row>
    <row r="2510" spans="1:1" ht="14.4">
      <c r="A2510" s="11"/>
    </row>
    <row r="2511" spans="1:1" ht="14.4">
      <c r="A2511" s="11"/>
    </row>
    <row r="2512" spans="1:1" ht="14.4">
      <c r="A2512" s="11"/>
    </row>
    <row r="2513" spans="1:1" ht="14.4">
      <c r="A2513" s="11"/>
    </row>
    <row r="2514" spans="1:1" ht="14.4">
      <c r="A2514" s="11"/>
    </row>
    <row r="2515" spans="1:1" ht="14.4">
      <c r="A2515" s="11"/>
    </row>
    <row r="2516" spans="1:1" ht="14.4">
      <c r="A2516" s="11"/>
    </row>
    <row r="2517" spans="1:1" ht="14.4">
      <c r="A2517" s="11"/>
    </row>
    <row r="2518" spans="1:1" ht="14.4">
      <c r="A2518" s="11"/>
    </row>
    <row r="2519" spans="1:1" ht="14.4">
      <c r="A2519" s="11"/>
    </row>
    <row r="2520" spans="1:1" ht="14.4">
      <c r="A2520" s="11"/>
    </row>
    <row r="2521" spans="1:1" ht="14.4">
      <c r="A2521" s="11"/>
    </row>
    <row r="2522" spans="1:1" ht="14.4">
      <c r="A2522" s="11"/>
    </row>
    <row r="2523" spans="1:1" ht="14.4">
      <c r="A2523" s="11"/>
    </row>
    <row r="2524" spans="1:1" ht="14.4">
      <c r="A2524" s="11"/>
    </row>
    <row r="2525" spans="1:1" ht="14.4">
      <c r="A2525" s="11"/>
    </row>
    <row r="2526" spans="1:1" ht="14.4">
      <c r="A2526" s="11"/>
    </row>
    <row r="2527" spans="1:1" ht="14.4">
      <c r="A2527" s="11"/>
    </row>
    <row r="2528" spans="1:1" ht="14.4">
      <c r="A2528" s="11"/>
    </row>
    <row r="2529" spans="1:1" ht="14.4">
      <c r="A2529" s="11"/>
    </row>
    <row r="2530" spans="1:1" ht="14.4">
      <c r="A2530" s="11"/>
    </row>
    <row r="2531" spans="1:1" ht="14.4">
      <c r="A2531" s="11"/>
    </row>
    <row r="2532" spans="1:1" ht="14.4">
      <c r="A2532" s="11"/>
    </row>
    <row r="2533" spans="1:1" ht="14.4">
      <c r="A2533" s="11"/>
    </row>
    <row r="2534" spans="1:1" ht="14.4">
      <c r="A2534" s="11"/>
    </row>
    <row r="2535" spans="1:1" ht="14.4">
      <c r="A2535" s="11"/>
    </row>
    <row r="2536" spans="1:1" ht="14.4">
      <c r="A2536" s="11"/>
    </row>
    <row r="2537" spans="1:1" ht="14.4">
      <c r="A2537" s="11"/>
    </row>
    <row r="2538" spans="1:1" ht="14.4">
      <c r="A2538" s="11"/>
    </row>
    <row r="2539" spans="1:1" ht="14.4">
      <c r="A2539" s="11"/>
    </row>
    <row r="2540" spans="1:1" ht="14.4">
      <c r="A2540" s="11"/>
    </row>
    <row r="2541" spans="1:1" ht="14.4">
      <c r="A2541" s="11"/>
    </row>
    <row r="2542" spans="1:1" ht="14.4">
      <c r="A2542" s="11"/>
    </row>
    <row r="2543" spans="1:1" ht="14.4">
      <c r="A2543" s="11"/>
    </row>
    <row r="2544" spans="1:1" ht="14.4">
      <c r="A2544" s="11"/>
    </row>
    <row r="2545" spans="1:1" ht="14.4">
      <c r="A2545" s="11"/>
    </row>
    <row r="2546" spans="1:1" ht="14.4">
      <c r="A2546" s="11"/>
    </row>
    <row r="2547" spans="1:1" ht="14.4">
      <c r="A2547" s="11"/>
    </row>
    <row r="2548" spans="1:1" ht="14.4">
      <c r="A2548" s="11"/>
    </row>
    <row r="2549" spans="1:1" ht="14.4">
      <c r="A2549" s="11"/>
    </row>
    <row r="2550" spans="1:1" ht="14.4">
      <c r="A2550" s="11"/>
    </row>
    <row r="2551" spans="1:1" ht="14.4">
      <c r="A2551" s="11"/>
    </row>
    <row r="2552" spans="1:1" ht="14.4">
      <c r="A2552" s="11"/>
    </row>
    <row r="2553" spans="1:1" ht="14.4">
      <c r="A2553" s="11"/>
    </row>
    <row r="2554" spans="1:1" ht="14.4">
      <c r="A2554" s="11"/>
    </row>
    <row r="2555" spans="1:1" ht="14.4">
      <c r="A2555" s="11"/>
    </row>
    <row r="2556" spans="1:1" ht="14.4">
      <c r="A2556" s="11"/>
    </row>
    <row r="2557" spans="1:1" ht="14.4">
      <c r="A2557" s="11"/>
    </row>
    <row r="2558" spans="1:1" ht="14.4">
      <c r="A2558" s="11"/>
    </row>
    <row r="2559" spans="1:1" ht="14.4">
      <c r="A2559" s="11"/>
    </row>
    <row r="2560" spans="1:1" ht="14.4">
      <c r="A2560" s="11"/>
    </row>
    <row r="2561" spans="1:1" ht="14.4">
      <c r="A2561" s="11"/>
    </row>
    <row r="2562" spans="1:1" ht="14.4">
      <c r="A2562" s="11"/>
    </row>
    <row r="2563" spans="1:1" ht="14.4">
      <c r="A2563" s="11"/>
    </row>
    <row r="2564" spans="1:1" ht="14.4">
      <c r="A2564" s="11"/>
    </row>
    <row r="2565" spans="1:1" ht="14.4">
      <c r="A2565" s="11"/>
    </row>
    <row r="2566" spans="1:1" ht="14.4">
      <c r="A2566" s="11"/>
    </row>
    <row r="2567" spans="1:1" ht="14.4">
      <c r="A2567" s="11"/>
    </row>
    <row r="2568" spans="1:1" ht="14.4">
      <c r="A2568" s="11"/>
    </row>
    <row r="2569" spans="1:1" ht="14.4">
      <c r="A2569" s="11"/>
    </row>
    <row r="2570" spans="1:1" ht="14.4">
      <c r="A2570" s="11"/>
    </row>
    <row r="2571" spans="1:1" ht="14.4">
      <c r="A2571" s="11"/>
    </row>
    <row r="2572" spans="1:1" ht="14.4">
      <c r="A2572" s="11"/>
    </row>
    <row r="2573" spans="1:1" ht="14.4">
      <c r="A2573" s="11"/>
    </row>
    <row r="2574" spans="1:1" ht="14.4">
      <c r="A2574" s="11"/>
    </row>
    <row r="2575" spans="1:1" ht="14.4">
      <c r="A2575" s="11"/>
    </row>
    <row r="2576" spans="1:1" ht="14.4">
      <c r="A2576" s="11"/>
    </row>
    <row r="2577" spans="1:1" ht="14.4">
      <c r="A2577" s="11"/>
    </row>
    <row r="2578" spans="1:1" ht="14.4">
      <c r="A2578" s="11"/>
    </row>
    <row r="2579" spans="1:1" ht="14.4">
      <c r="A2579" s="11"/>
    </row>
    <row r="2580" spans="1:1" ht="14.4">
      <c r="A2580" s="11"/>
    </row>
    <row r="2581" spans="1:1" ht="14.4">
      <c r="A2581" s="11"/>
    </row>
    <row r="2582" spans="1:1" ht="14.4">
      <c r="A2582" s="11"/>
    </row>
    <row r="2583" spans="1:1" ht="14.4">
      <c r="A2583" s="11"/>
    </row>
    <row r="2584" spans="1:1" ht="14.4">
      <c r="A2584" s="11"/>
    </row>
    <row r="2585" spans="1:1" ht="14.4">
      <c r="A2585" s="11"/>
    </row>
    <row r="2586" spans="1:1" ht="14.4">
      <c r="A2586" s="11"/>
    </row>
    <row r="2587" spans="1:1" ht="14.4">
      <c r="A2587" s="11"/>
    </row>
    <row r="2588" spans="1:1" ht="14.4">
      <c r="A2588" s="11"/>
    </row>
    <row r="2589" spans="1:1" ht="14.4">
      <c r="A2589" s="11"/>
    </row>
    <row r="2590" spans="1:1" ht="14.4">
      <c r="A2590" s="11"/>
    </row>
    <row r="2591" spans="1:1" ht="14.4">
      <c r="A2591" s="11"/>
    </row>
    <row r="2592" spans="1:1" ht="14.4">
      <c r="A2592" s="11"/>
    </row>
    <row r="2593" spans="1:1" ht="14.4">
      <c r="A2593" s="11"/>
    </row>
    <row r="2594" spans="1:1" ht="14.4">
      <c r="A2594" s="11"/>
    </row>
    <row r="2595" spans="1:1" ht="14.4">
      <c r="A2595" s="11"/>
    </row>
    <row r="2596" spans="1:1" ht="14.4">
      <c r="A2596" s="11"/>
    </row>
    <row r="2597" spans="1:1" ht="14.4">
      <c r="A2597" s="11"/>
    </row>
    <row r="2598" spans="1:1" ht="14.4">
      <c r="A2598" s="11"/>
    </row>
    <row r="2599" spans="1:1" ht="14.4">
      <c r="A2599" s="11"/>
    </row>
    <row r="2600" spans="1:1" ht="14.4">
      <c r="A2600" s="11"/>
    </row>
    <row r="2601" spans="1:1" ht="14.4">
      <c r="A2601" s="11"/>
    </row>
    <row r="2602" spans="1:1" ht="14.4">
      <c r="A2602" s="11"/>
    </row>
    <row r="2603" spans="1:1" ht="14.4">
      <c r="A2603" s="11"/>
    </row>
    <row r="2604" spans="1:1" ht="14.4">
      <c r="A2604" s="11"/>
    </row>
    <row r="2605" spans="1:1" ht="14.4">
      <c r="A2605" s="11"/>
    </row>
    <row r="2606" spans="1:1" ht="14.4">
      <c r="A2606" s="11"/>
    </row>
    <row r="2607" spans="1:1" ht="14.4">
      <c r="A2607" s="11"/>
    </row>
    <row r="2608" spans="1:1" ht="14.4">
      <c r="A2608" s="11"/>
    </row>
    <row r="2609" spans="1:1" ht="14.4">
      <c r="A2609" s="11"/>
    </row>
    <row r="2610" spans="1:1" ht="14.4">
      <c r="A2610" s="11"/>
    </row>
    <row r="2611" spans="1:1" ht="14.4">
      <c r="A2611" s="11"/>
    </row>
    <row r="2612" spans="1:1" ht="14.4">
      <c r="A2612" s="11"/>
    </row>
    <row r="2613" spans="1:1" ht="14.4">
      <c r="A2613" s="11"/>
    </row>
    <row r="2614" spans="1:1" ht="14.4">
      <c r="A2614" s="11"/>
    </row>
    <row r="2615" spans="1:1" ht="14.4">
      <c r="A2615" s="11"/>
    </row>
    <row r="2616" spans="1:1" ht="14.4">
      <c r="A2616" s="11"/>
    </row>
    <row r="2617" spans="1:1" ht="14.4">
      <c r="A2617" s="11"/>
    </row>
    <row r="2618" spans="1:1" ht="14.4">
      <c r="A2618" s="11"/>
    </row>
    <row r="2619" spans="1:1" ht="14.4">
      <c r="A2619" s="11"/>
    </row>
    <row r="2620" spans="1:1" ht="14.4">
      <c r="A2620" s="11"/>
    </row>
    <row r="2621" spans="1:1" ht="14.4">
      <c r="A2621" s="11"/>
    </row>
    <row r="2622" spans="1:1" ht="14.4">
      <c r="A2622" s="11"/>
    </row>
    <row r="2623" spans="1:1" ht="14.4">
      <c r="A2623" s="11"/>
    </row>
    <row r="2624" spans="1:1" ht="14.4">
      <c r="A2624" s="11"/>
    </row>
    <row r="2625" spans="1:1" ht="14.4">
      <c r="A2625" s="11"/>
    </row>
    <row r="2626" spans="1:1" ht="14.4">
      <c r="A2626" s="11"/>
    </row>
    <row r="2627" spans="1:1" ht="14.4">
      <c r="A2627" s="11"/>
    </row>
    <row r="2628" spans="1:1" ht="14.4">
      <c r="A2628" s="11"/>
    </row>
    <row r="2629" spans="1:1" ht="14.4">
      <c r="A2629" s="11"/>
    </row>
    <row r="2630" spans="1:1" ht="14.4">
      <c r="A2630" s="11"/>
    </row>
    <row r="2631" spans="1:1" ht="14.4">
      <c r="A2631" s="11"/>
    </row>
    <row r="2632" spans="1:1" ht="14.4">
      <c r="A2632" s="11"/>
    </row>
    <row r="2633" spans="1:1" ht="14.4">
      <c r="A2633" s="11"/>
    </row>
    <row r="2634" spans="1:1" ht="14.4">
      <c r="A2634" s="11"/>
    </row>
    <row r="2635" spans="1:1" ht="14.4">
      <c r="A2635" s="11"/>
    </row>
    <row r="2636" spans="1:1" ht="14.4">
      <c r="A2636" s="11"/>
    </row>
    <row r="2637" spans="1:1" ht="14.4">
      <c r="A2637" s="11"/>
    </row>
    <row r="2638" spans="1:1" ht="14.4">
      <c r="A2638" s="11"/>
    </row>
    <row r="2639" spans="1:1" ht="14.4">
      <c r="A2639" s="11"/>
    </row>
    <row r="2640" spans="1:1" ht="14.4">
      <c r="A2640" s="11"/>
    </row>
    <row r="2641" spans="1:1" ht="14.4">
      <c r="A2641" s="11"/>
    </row>
    <row r="2642" spans="1:1" ht="14.4">
      <c r="A2642" s="11"/>
    </row>
    <row r="2643" spans="1:1" ht="14.4">
      <c r="A2643" s="11"/>
    </row>
    <row r="2644" spans="1:1" ht="14.4">
      <c r="A2644" s="11"/>
    </row>
    <row r="2645" spans="1:1" ht="14.4">
      <c r="A2645" s="11"/>
    </row>
    <row r="2646" spans="1:1" ht="14.4">
      <c r="A2646" s="11"/>
    </row>
    <row r="2647" spans="1:1" ht="14.4">
      <c r="A2647" s="11"/>
    </row>
    <row r="2648" spans="1:1" ht="14.4">
      <c r="A2648" s="11"/>
    </row>
    <row r="2649" spans="1:1" ht="14.4">
      <c r="A2649" s="11"/>
    </row>
    <row r="2650" spans="1:1" ht="14.4">
      <c r="A2650" s="11"/>
    </row>
    <row r="2651" spans="1:1" ht="14.4">
      <c r="A2651" s="11"/>
    </row>
    <row r="2652" spans="1:1" ht="14.4">
      <c r="A2652" s="11"/>
    </row>
    <row r="2653" spans="1:1" ht="14.4">
      <c r="A2653" s="11"/>
    </row>
    <row r="2654" spans="1:1" ht="14.4">
      <c r="A2654" s="11"/>
    </row>
    <row r="2655" spans="1:1" ht="14.4">
      <c r="A2655" s="11"/>
    </row>
    <row r="2656" spans="1:1" ht="14.4">
      <c r="A2656" s="11"/>
    </row>
    <row r="2657" spans="1:1" ht="14.4">
      <c r="A2657" s="11"/>
    </row>
    <row r="2658" spans="1:1" ht="14.4">
      <c r="A2658" s="11"/>
    </row>
    <row r="2659" spans="1:1" ht="14.4">
      <c r="A2659" s="11"/>
    </row>
    <row r="2660" spans="1:1" ht="14.4">
      <c r="A2660" s="11"/>
    </row>
    <row r="2661" spans="1:1" ht="14.4">
      <c r="A2661" s="11"/>
    </row>
    <row r="2662" spans="1:1" ht="14.4">
      <c r="A2662" s="11"/>
    </row>
    <row r="2663" spans="1:1" ht="14.4">
      <c r="A2663" s="11"/>
    </row>
    <row r="2664" spans="1:1" ht="14.4">
      <c r="A2664" s="11"/>
    </row>
    <row r="2665" spans="1:1" ht="14.4">
      <c r="A2665" s="11"/>
    </row>
    <row r="2666" spans="1:1" ht="14.4">
      <c r="A2666" s="11"/>
    </row>
    <row r="2667" spans="1:1" ht="14.4">
      <c r="A2667" s="11"/>
    </row>
    <row r="2668" spans="1:1" ht="14.4">
      <c r="A2668" s="11"/>
    </row>
    <row r="2669" spans="1:1" ht="14.4">
      <c r="A2669" s="11"/>
    </row>
    <row r="2670" spans="1:1" ht="14.4">
      <c r="A2670" s="11"/>
    </row>
    <row r="2671" spans="1:1" ht="14.4">
      <c r="A2671" s="11"/>
    </row>
    <row r="2672" spans="1:1" ht="14.4">
      <c r="A2672" s="11"/>
    </row>
    <row r="2673" spans="1:1" ht="14.4">
      <c r="A2673" s="11"/>
    </row>
    <row r="2674" spans="1:1" ht="14.4">
      <c r="A2674" s="11"/>
    </row>
    <row r="2675" spans="1:1" ht="14.4">
      <c r="A2675" s="11"/>
    </row>
    <row r="2676" spans="1:1" ht="14.4">
      <c r="A2676" s="11"/>
    </row>
    <row r="2677" spans="1:1" ht="14.4">
      <c r="A2677" s="11"/>
    </row>
    <row r="2678" spans="1:1" ht="14.4">
      <c r="A2678" s="11"/>
    </row>
    <row r="2679" spans="1:1" ht="14.4">
      <c r="A2679" s="11"/>
    </row>
    <row r="2680" spans="1:1" ht="14.4">
      <c r="A2680" s="11"/>
    </row>
    <row r="2681" spans="1:1" ht="14.4">
      <c r="A2681" s="11"/>
    </row>
    <row r="2682" spans="1:1" ht="14.4">
      <c r="A2682" s="11"/>
    </row>
    <row r="2683" spans="1:1" ht="14.4">
      <c r="A2683" s="11"/>
    </row>
    <row r="2684" spans="1:1" ht="14.4">
      <c r="A2684" s="11"/>
    </row>
    <row r="2685" spans="1:1" ht="14.4">
      <c r="A2685" s="11"/>
    </row>
    <row r="2686" spans="1:1" ht="14.4">
      <c r="A2686" s="11"/>
    </row>
    <row r="2687" spans="1:1" ht="14.4">
      <c r="A2687" s="11"/>
    </row>
    <row r="2688" spans="1:1" ht="14.4">
      <c r="A2688" s="11"/>
    </row>
    <row r="2689" spans="1:1" ht="14.4">
      <c r="A2689" s="11"/>
    </row>
    <row r="2690" spans="1:1" ht="14.4">
      <c r="A2690" s="11"/>
    </row>
    <row r="2691" spans="1:1" ht="14.4">
      <c r="A2691" s="11"/>
    </row>
    <row r="2692" spans="1:1" ht="14.4">
      <c r="A2692" s="11"/>
    </row>
    <row r="2693" spans="1:1" ht="14.4">
      <c r="A2693" s="11"/>
    </row>
    <row r="2694" spans="1:1" ht="14.4">
      <c r="A2694" s="11"/>
    </row>
    <row r="2695" spans="1:1" ht="14.4">
      <c r="A2695" s="11"/>
    </row>
    <row r="2696" spans="1:1" ht="14.4">
      <c r="A2696" s="11"/>
    </row>
    <row r="2697" spans="1:1" ht="14.4">
      <c r="A2697" s="11"/>
    </row>
    <row r="2698" spans="1:1" ht="14.4">
      <c r="A2698" s="11"/>
    </row>
    <row r="2699" spans="1:1" ht="14.4">
      <c r="A2699" s="11"/>
    </row>
    <row r="2700" spans="1:1" ht="14.4">
      <c r="A2700" s="11"/>
    </row>
    <row r="2701" spans="1:1" ht="14.4">
      <c r="A2701" s="11"/>
    </row>
    <row r="2702" spans="1:1" ht="14.4">
      <c r="A2702" s="11"/>
    </row>
    <row r="2703" spans="1:1" ht="14.4">
      <c r="A2703" s="11"/>
    </row>
    <row r="2704" spans="1:1" ht="14.4">
      <c r="A2704" s="11"/>
    </row>
    <row r="2705" spans="1:1" ht="14.4">
      <c r="A2705" s="11"/>
    </row>
    <row r="2706" spans="1:1" ht="14.4">
      <c r="A2706" s="11"/>
    </row>
    <row r="2707" spans="1:1" ht="14.4">
      <c r="A2707" s="11"/>
    </row>
    <row r="2708" spans="1:1" ht="14.4">
      <c r="A2708" s="11"/>
    </row>
    <row r="2709" spans="1:1" ht="14.4">
      <c r="A2709" s="11"/>
    </row>
    <row r="2710" spans="1:1" ht="14.4">
      <c r="A2710" s="11"/>
    </row>
    <row r="2711" spans="1:1" ht="14.4">
      <c r="A2711" s="11"/>
    </row>
    <row r="2712" spans="1:1" ht="14.4">
      <c r="A2712" s="11"/>
    </row>
    <row r="2713" spans="1:1" ht="14.4">
      <c r="A2713" s="11"/>
    </row>
    <row r="2714" spans="1:1" ht="14.4">
      <c r="A2714" s="11"/>
    </row>
    <row r="2715" spans="1:1" ht="14.4">
      <c r="A2715" s="11"/>
    </row>
    <row r="2716" spans="1:1" ht="14.4">
      <c r="A2716" s="11"/>
    </row>
    <row r="2717" spans="1:1" ht="14.4">
      <c r="A2717" s="11"/>
    </row>
    <row r="2718" spans="1:1" ht="14.4">
      <c r="A2718" s="11"/>
    </row>
    <row r="2719" spans="1:1" ht="14.4">
      <c r="A2719" s="11"/>
    </row>
    <row r="2720" spans="1:1" ht="14.4">
      <c r="A2720" s="11"/>
    </row>
    <row r="2721" spans="1:1" ht="14.4">
      <c r="A2721" s="11"/>
    </row>
    <row r="2722" spans="1:1" ht="14.4">
      <c r="A2722" s="11"/>
    </row>
    <row r="2723" spans="1:1" ht="14.4">
      <c r="A2723" s="11"/>
    </row>
    <row r="2724" spans="1:1" ht="14.4">
      <c r="A2724" s="11"/>
    </row>
    <row r="2725" spans="1:1" ht="14.4">
      <c r="A2725" s="11"/>
    </row>
    <row r="2726" spans="1:1" ht="14.4">
      <c r="A2726" s="11"/>
    </row>
    <row r="2727" spans="1:1" ht="14.4">
      <c r="A2727" s="11"/>
    </row>
    <row r="2728" spans="1:1" ht="14.4">
      <c r="A2728" s="11"/>
    </row>
    <row r="2729" spans="1:1" ht="14.4">
      <c r="A2729" s="11"/>
    </row>
    <row r="2730" spans="1:1" ht="14.4">
      <c r="A2730" s="11"/>
    </row>
    <row r="2731" spans="1:1" ht="14.4">
      <c r="A2731" s="11"/>
    </row>
    <row r="2732" spans="1:1" ht="14.4">
      <c r="A2732" s="11"/>
    </row>
    <row r="2733" spans="1:1" ht="14.4">
      <c r="A2733" s="11"/>
    </row>
    <row r="2734" spans="1:1" ht="14.4">
      <c r="A2734" s="11"/>
    </row>
    <row r="2735" spans="1:1" ht="14.4">
      <c r="A2735" s="11"/>
    </row>
    <row r="2736" spans="1:1" ht="14.4">
      <c r="A2736" s="11"/>
    </row>
    <row r="2737" spans="1:1" ht="14.4">
      <c r="A2737" s="11"/>
    </row>
    <row r="2738" spans="1:1" ht="14.4">
      <c r="A2738" s="11"/>
    </row>
    <row r="2739" spans="1:1" ht="14.4">
      <c r="A2739" s="11"/>
    </row>
    <row r="2740" spans="1:1" ht="14.4">
      <c r="A2740" s="11"/>
    </row>
    <row r="2741" spans="1:1" ht="14.4">
      <c r="A2741" s="11"/>
    </row>
    <row r="2742" spans="1:1" ht="14.4">
      <c r="A2742" s="11"/>
    </row>
    <row r="2743" spans="1:1" ht="14.4">
      <c r="A2743" s="11"/>
    </row>
    <row r="2744" spans="1:1" ht="14.4">
      <c r="A2744" s="11"/>
    </row>
    <row r="2745" spans="1:1" ht="14.4">
      <c r="A2745" s="11"/>
    </row>
    <row r="2746" spans="1:1" ht="14.4">
      <c r="A2746" s="11"/>
    </row>
    <row r="2747" spans="1:1" ht="14.4">
      <c r="A2747" s="11"/>
    </row>
    <row r="2748" spans="1:1" ht="14.4">
      <c r="A2748" s="11"/>
    </row>
    <row r="2749" spans="1:1" ht="14.4">
      <c r="A2749" s="11"/>
    </row>
    <row r="2750" spans="1:1" ht="14.4">
      <c r="A2750" s="11"/>
    </row>
    <row r="2751" spans="1:1" ht="14.4">
      <c r="A2751" s="11"/>
    </row>
    <row r="2752" spans="1:1" ht="14.4">
      <c r="A2752" s="11"/>
    </row>
    <row r="2753" spans="1:1" ht="14.4">
      <c r="A2753" s="11"/>
    </row>
    <row r="2754" spans="1:1" ht="14.4">
      <c r="A2754" s="11"/>
    </row>
    <row r="2755" spans="1:1" ht="14.4">
      <c r="A2755" s="11"/>
    </row>
    <row r="2756" spans="1:1" ht="14.4">
      <c r="A2756" s="11"/>
    </row>
    <row r="2757" spans="1:1" ht="14.4">
      <c r="A2757" s="11"/>
    </row>
    <row r="2758" spans="1:1" ht="14.4">
      <c r="A2758" s="11"/>
    </row>
    <row r="2759" spans="1:1" ht="14.4">
      <c r="A2759" s="11"/>
    </row>
    <row r="2760" spans="1:1" ht="14.4">
      <c r="A2760" s="11"/>
    </row>
    <row r="2761" spans="1:1" ht="14.4">
      <c r="A2761" s="11"/>
    </row>
    <row r="2762" spans="1:1" ht="14.4">
      <c r="A2762" s="11"/>
    </row>
    <row r="2763" spans="1:1" ht="14.4">
      <c r="A2763" s="11"/>
    </row>
    <row r="2764" spans="1:1" ht="14.4">
      <c r="A2764" s="11"/>
    </row>
    <row r="2765" spans="1:1" ht="14.4">
      <c r="A2765" s="11"/>
    </row>
    <row r="2766" spans="1:1" ht="14.4">
      <c r="A2766" s="11"/>
    </row>
    <row r="2767" spans="1:1" ht="14.4">
      <c r="A2767" s="11"/>
    </row>
    <row r="2768" spans="1:1" ht="14.4">
      <c r="A2768" s="11"/>
    </row>
    <row r="2769" spans="1:1" ht="14.4">
      <c r="A2769" s="11"/>
    </row>
    <row r="2770" spans="1:1" ht="14.4">
      <c r="A2770" s="11"/>
    </row>
    <row r="2771" spans="1:1" ht="14.4">
      <c r="A2771" s="11"/>
    </row>
    <row r="2772" spans="1:1" ht="14.4">
      <c r="A2772" s="11"/>
    </row>
    <row r="2773" spans="1:1" ht="14.4">
      <c r="A2773" s="11"/>
    </row>
    <row r="2774" spans="1:1" ht="14.4">
      <c r="A2774" s="11"/>
    </row>
    <row r="2775" spans="1:1" ht="14.4">
      <c r="A2775" s="11"/>
    </row>
    <row r="2776" spans="1:1" ht="14.4">
      <c r="A2776" s="11"/>
    </row>
    <row r="2777" spans="1:1" ht="14.4">
      <c r="A2777" s="11"/>
    </row>
    <row r="2778" spans="1:1" ht="14.4">
      <c r="A2778" s="11"/>
    </row>
    <row r="2779" spans="1:1" ht="14.4">
      <c r="A2779" s="11"/>
    </row>
    <row r="2780" spans="1:1" ht="14.4">
      <c r="A2780" s="11"/>
    </row>
    <row r="2781" spans="1:1" ht="14.4">
      <c r="A2781" s="11"/>
    </row>
    <row r="2782" spans="1:1" ht="14.4">
      <c r="A2782" s="11"/>
    </row>
    <row r="2783" spans="1:1" ht="14.4">
      <c r="A2783" s="11"/>
    </row>
    <row r="2784" spans="1:1" ht="14.4">
      <c r="A2784" s="11"/>
    </row>
    <row r="2785" spans="1:1" ht="14.4">
      <c r="A2785" s="11"/>
    </row>
    <row r="2786" spans="1:1" ht="14.4">
      <c r="A2786" s="11"/>
    </row>
    <row r="2787" spans="1:1" ht="14.4">
      <c r="A2787" s="11"/>
    </row>
    <row r="2788" spans="1:1" ht="14.4">
      <c r="A2788" s="11"/>
    </row>
    <row r="2789" spans="1:1" ht="14.4">
      <c r="A2789" s="11"/>
    </row>
    <row r="2790" spans="1:1" ht="14.4">
      <c r="A2790" s="11"/>
    </row>
    <row r="2791" spans="1:1" ht="14.4">
      <c r="A2791" s="11"/>
    </row>
    <row r="2792" spans="1:1" ht="14.4">
      <c r="A2792" s="11"/>
    </row>
    <row r="2793" spans="1:1" ht="14.4">
      <c r="A2793" s="11"/>
    </row>
    <row r="2794" spans="1:1" ht="14.4">
      <c r="A2794" s="11"/>
    </row>
    <row r="2795" spans="1:1" ht="14.4">
      <c r="A2795" s="11"/>
    </row>
    <row r="2796" spans="1:1" ht="14.4">
      <c r="A2796" s="11"/>
    </row>
    <row r="2797" spans="1:1" ht="14.4">
      <c r="A2797" s="11"/>
    </row>
    <row r="2798" spans="1:1" ht="14.4">
      <c r="A2798" s="11"/>
    </row>
    <row r="2799" spans="1:1" ht="14.4">
      <c r="A2799" s="11"/>
    </row>
    <row r="2800" spans="1:1" ht="14.4">
      <c r="A2800" s="11"/>
    </row>
    <row r="2801" spans="1:1" ht="14.4">
      <c r="A2801" s="11"/>
    </row>
    <row r="2802" spans="1:1" ht="14.4">
      <c r="A2802" s="11"/>
    </row>
    <row r="2803" spans="1:1" ht="14.4">
      <c r="A2803" s="11"/>
    </row>
    <row r="2804" spans="1:1" ht="14.4">
      <c r="A2804" s="11"/>
    </row>
    <row r="2805" spans="1:1" ht="14.4">
      <c r="A2805" s="11"/>
    </row>
    <row r="2806" spans="1:1" ht="14.4">
      <c r="A2806" s="11"/>
    </row>
    <row r="2807" spans="1:1" ht="14.4">
      <c r="A2807" s="11"/>
    </row>
    <row r="2808" spans="1:1" ht="14.4">
      <c r="A2808" s="11"/>
    </row>
    <row r="2809" spans="1:1" ht="14.4">
      <c r="A2809" s="11"/>
    </row>
    <row r="2810" spans="1:1" ht="14.4">
      <c r="A2810" s="11"/>
    </row>
    <row r="2811" spans="1:1" ht="14.4">
      <c r="A2811" s="11"/>
    </row>
    <row r="2812" spans="1:1" ht="14.4">
      <c r="A2812" s="11"/>
    </row>
    <row r="2813" spans="1:1" ht="14.4">
      <c r="A2813" s="11"/>
    </row>
    <row r="2814" spans="1:1" ht="14.4">
      <c r="A2814" s="11"/>
    </row>
    <row r="2815" spans="1:1" ht="14.4">
      <c r="A2815" s="11"/>
    </row>
    <row r="2816" spans="1:1" ht="14.4">
      <c r="A2816" s="11"/>
    </row>
    <row r="2817" spans="1:1" ht="14.4">
      <c r="A2817" s="11"/>
    </row>
    <row r="2818" spans="1:1" ht="14.4">
      <c r="A2818" s="11"/>
    </row>
    <row r="2819" spans="1:1" ht="14.4">
      <c r="A2819" s="11"/>
    </row>
    <row r="2820" spans="1:1" ht="14.4">
      <c r="A2820" s="11"/>
    </row>
    <row r="2821" spans="1:1" ht="14.4">
      <c r="A2821" s="11"/>
    </row>
    <row r="2822" spans="1:1" ht="14.4">
      <c r="A2822" s="11"/>
    </row>
    <row r="2823" spans="1:1" ht="14.4">
      <c r="A2823" s="11"/>
    </row>
    <row r="2824" spans="1:1" ht="14.4">
      <c r="A2824" s="11"/>
    </row>
    <row r="2825" spans="1:1" ht="14.4">
      <c r="A2825" s="11"/>
    </row>
    <row r="2826" spans="1:1" ht="14.4">
      <c r="A2826" s="11"/>
    </row>
    <row r="2827" spans="1:1" ht="14.4">
      <c r="A2827" s="11"/>
    </row>
    <row r="2828" spans="1:1" ht="14.4">
      <c r="A2828" s="11"/>
    </row>
    <row r="2829" spans="1:1" ht="14.4">
      <c r="A2829" s="11"/>
    </row>
    <row r="2830" spans="1:1" ht="14.4">
      <c r="A2830" s="11"/>
    </row>
    <row r="2831" spans="1:1" ht="14.4">
      <c r="A2831" s="11"/>
    </row>
    <row r="2832" spans="1:1" ht="14.4">
      <c r="A2832" s="11"/>
    </row>
    <row r="2833" spans="1:1" ht="14.4">
      <c r="A2833" s="11"/>
    </row>
    <row r="2834" spans="1:1" ht="14.4">
      <c r="A2834" s="11"/>
    </row>
    <row r="2835" spans="1:1" ht="14.4">
      <c r="A2835" s="11"/>
    </row>
    <row r="2836" spans="1:1" ht="14.4">
      <c r="A2836" s="11"/>
    </row>
    <row r="2837" spans="1:1" ht="14.4">
      <c r="A2837" s="11"/>
    </row>
    <row r="2838" spans="1:1" ht="14.4">
      <c r="A2838" s="11"/>
    </row>
    <row r="2839" spans="1:1" ht="14.4">
      <c r="A2839" s="11"/>
    </row>
    <row r="2840" spans="1:1" ht="14.4">
      <c r="A2840" s="11"/>
    </row>
    <row r="2841" spans="1:1" ht="14.4">
      <c r="A2841" s="11"/>
    </row>
    <row r="2842" spans="1:1" ht="14.4">
      <c r="A2842" s="11"/>
    </row>
    <row r="2843" spans="1:1" ht="14.4">
      <c r="A2843" s="11"/>
    </row>
    <row r="2844" spans="1:1" ht="14.4">
      <c r="A2844" s="11"/>
    </row>
    <row r="2845" spans="1:1" ht="14.4">
      <c r="A2845" s="11"/>
    </row>
    <row r="2846" spans="1:1" ht="14.4">
      <c r="A2846" s="11"/>
    </row>
    <row r="2847" spans="1:1" ht="14.4">
      <c r="A2847" s="11"/>
    </row>
    <row r="2848" spans="1:1" ht="14.4">
      <c r="A2848" s="11"/>
    </row>
    <row r="2849" spans="1:1" ht="14.4">
      <c r="A2849" s="11"/>
    </row>
    <row r="2850" spans="1:1" ht="14.4">
      <c r="A2850" s="11"/>
    </row>
    <row r="2851" spans="1:1" ht="14.4">
      <c r="A2851" s="11"/>
    </row>
    <row r="2852" spans="1:1" ht="14.4">
      <c r="A2852" s="11"/>
    </row>
    <row r="2853" spans="1:1" ht="14.4">
      <c r="A2853" s="11"/>
    </row>
    <row r="2854" spans="1:1" ht="14.4">
      <c r="A2854" s="11"/>
    </row>
    <row r="2855" spans="1:1" ht="14.4">
      <c r="A2855" s="11"/>
    </row>
    <row r="2856" spans="1:1" ht="14.4">
      <c r="A2856" s="11"/>
    </row>
    <row r="2857" spans="1:1" ht="14.4">
      <c r="A2857" s="11"/>
    </row>
    <row r="2858" spans="1:1" ht="14.4">
      <c r="A2858" s="11"/>
    </row>
    <row r="2859" spans="1:1" ht="14.4">
      <c r="A2859" s="11"/>
    </row>
    <row r="2860" spans="1:1" ht="14.4">
      <c r="A2860" s="11"/>
    </row>
    <row r="2861" spans="1:1" ht="14.4">
      <c r="A2861" s="11"/>
    </row>
    <row r="2862" spans="1:1" ht="14.4">
      <c r="A2862" s="11"/>
    </row>
    <row r="2863" spans="1:1" ht="14.4">
      <c r="A2863" s="11"/>
    </row>
    <row r="2864" spans="1:1" ht="14.4">
      <c r="A2864" s="11"/>
    </row>
    <row r="2865" spans="1:1" ht="14.4">
      <c r="A2865" s="11"/>
    </row>
    <row r="2866" spans="1:1" ht="14.4">
      <c r="A2866" s="11"/>
    </row>
    <row r="2867" spans="1:1" ht="14.4">
      <c r="A2867" s="11"/>
    </row>
    <row r="2868" spans="1:1" ht="14.4">
      <c r="A2868" s="11"/>
    </row>
    <row r="2869" spans="1:1" ht="14.4">
      <c r="A2869" s="11"/>
    </row>
    <row r="2870" spans="1:1" ht="14.4">
      <c r="A2870" s="11"/>
    </row>
    <row r="2871" spans="1:1" ht="14.4">
      <c r="A2871" s="11"/>
    </row>
    <row r="2872" spans="1:1" ht="14.4">
      <c r="A2872" s="11"/>
    </row>
    <row r="2873" spans="1:1" ht="14.4">
      <c r="A2873" s="11"/>
    </row>
    <row r="2874" spans="1:1" ht="14.4">
      <c r="A2874" s="11"/>
    </row>
    <row r="2875" spans="1:1" ht="14.4">
      <c r="A2875" s="11"/>
    </row>
    <row r="2876" spans="1:1" ht="14.4">
      <c r="A2876" s="11"/>
    </row>
    <row r="2877" spans="1:1" ht="14.4">
      <c r="A2877" s="11"/>
    </row>
    <row r="2878" spans="1:1" ht="14.4">
      <c r="A2878" s="11"/>
    </row>
    <row r="2879" spans="1:1" ht="14.4">
      <c r="A2879" s="11"/>
    </row>
    <row r="2880" spans="1:1" ht="14.4">
      <c r="A2880" s="11"/>
    </row>
    <row r="2881" spans="1:1" ht="14.4">
      <c r="A2881" s="11"/>
    </row>
    <row r="2882" spans="1:1" ht="14.4">
      <c r="A2882" s="11"/>
    </row>
    <row r="2883" spans="1:1" ht="14.4">
      <c r="A2883" s="11"/>
    </row>
    <row r="2884" spans="1:1" ht="14.4">
      <c r="A2884" s="11"/>
    </row>
    <row r="2885" spans="1:1" ht="14.4">
      <c r="A2885" s="11"/>
    </row>
    <row r="2886" spans="1:1" ht="14.4">
      <c r="A2886" s="11"/>
    </row>
    <row r="2887" spans="1:1" ht="14.4">
      <c r="A2887" s="11"/>
    </row>
    <row r="2888" spans="1:1" ht="14.4">
      <c r="A2888" s="11"/>
    </row>
    <row r="2889" spans="1:1" ht="14.4">
      <c r="A2889" s="11"/>
    </row>
    <row r="2890" spans="1:1" ht="14.4">
      <c r="A2890" s="11"/>
    </row>
    <row r="2891" spans="1:1" ht="14.4">
      <c r="A2891" s="11"/>
    </row>
    <row r="2892" spans="1:1" ht="14.4">
      <c r="A2892" s="11"/>
    </row>
    <row r="2893" spans="1:1" ht="14.4">
      <c r="A2893" s="11"/>
    </row>
    <row r="2894" spans="1:1" ht="14.4">
      <c r="A2894" s="11"/>
    </row>
    <row r="2895" spans="1:1" ht="14.4">
      <c r="A2895" s="11"/>
    </row>
    <row r="2896" spans="1:1" ht="14.4">
      <c r="A2896" s="11"/>
    </row>
    <row r="2897" spans="1:1" ht="14.4">
      <c r="A2897" s="11"/>
    </row>
    <row r="2898" spans="1:1" ht="14.4">
      <c r="A2898" s="11"/>
    </row>
    <row r="2899" spans="1:1" ht="14.4">
      <c r="A2899" s="11"/>
    </row>
    <row r="2900" spans="1:1" ht="14.4">
      <c r="A2900" s="11"/>
    </row>
    <row r="2901" spans="1:1" ht="14.4">
      <c r="A2901" s="11"/>
    </row>
    <row r="2902" spans="1:1" ht="14.4">
      <c r="A2902" s="11"/>
    </row>
    <row r="2903" spans="1:1" ht="14.4">
      <c r="A2903" s="11"/>
    </row>
    <row r="2904" spans="1:1" ht="14.4">
      <c r="A2904" s="11"/>
    </row>
    <row r="2905" spans="1:1" ht="14.4">
      <c r="A2905" s="11"/>
    </row>
    <row r="2906" spans="1:1" ht="14.4">
      <c r="A2906" s="11"/>
    </row>
    <row r="2907" spans="1:1" ht="14.4">
      <c r="A2907" s="11"/>
    </row>
    <row r="2908" spans="1:1" ht="14.4">
      <c r="A2908" s="11"/>
    </row>
    <row r="2909" spans="1:1" ht="14.4">
      <c r="A2909" s="11"/>
    </row>
    <row r="2910" spans="1:1" ht="14.4">
      <c r="A2910" s="11"/>
    </row>
    <row r="2911" spans="1:1" ht="14.4">
      <c r="A2911" s="11"/>
    </row>
    <row r="2912" spans="1:1" ht="14.4">
      <c r="A2912" s="11"/>
    </row>
    <row r="2913" spans="1:1" ht="14.4">
      <c r="A2913" s="11"/>
    </row>
    <row r="2914" spans="1:1" ht="14.4">
      <c r="A2914" s="11"/>
    </row>
    <row r="2915" spans="1:1" ht="14.4">
      <c r="A2915" s="11"/>
    </row>
    <row r="2916" spans="1:1" ht="14.4">
      <c r="A2916" s="11"/>
    </row>
    <row r="2917" spans="1:1" ht="14.4">
      <c r="A2917" s="11"/>
    </row>
    <row r="2918" spans="1:1" ht="14.4">
      <c r="A2918" s="11"/>
    </row>
    <row r="2919" spans="1:1" ht="14.4">
      <c r="A2919" s="11"/>
    </row>
    <row r="2920" spans="1:1" ht="14.4">
      <c r="A2920" s="11"/>
    </row>
    <row r="2921" spans="1:1" ht="14.4">
      <c r="A2921" s="11"/>
    </row>
    <row r="2922" spans="1:1" ht="14.4">
      <c r="A2922" s="11"/>
    </row>
    <row r="2923" spans="1:1" ht="14.4">
      <c r="A2923" s="11"/>
    </row>
    <row r="2924" spans="1:1" ht="14.4">
      <c r="A2924" s="11"/>
    </row>
    <row r="2925" spans="1:1" ht="14.4">
      <c r="A2925" s="11"/>
    </row>
    <row r="2926" spans="1:1" ht="14.4">
      <c r="A2926" s="11"/>
    </row>
    <row r="2927" spans="1:1" ht="14.4">
      <c r="A2927" s="11"/>
    </row>
    <row r="2928" spans="1:1" ht="14.4">
      <c r="A2928" s="11"/>
    </row>
    <row r="2929" spans="1:1" ht="14.4">
      <c r="A2929" s="11"/>
    </row>
    <row r="2930" spans="1:1" ht="14.4">
      <c r="A2930" s="11"/>
    </row>
    <row r="2931" spans="1:1" ht="14.4">
      <c r="A2931" s="11"/>
    </row>
    <row r="2932" spans="1:1" ht="14.4">
      <c r="A2932" s="11"/>
    </row>
    <row r="2933" spans="1:1" ht="14.4">
      <c r="A2933" s="11"/>
    </row>
    <row r="2934" spans="1:1" ht="14.4">
      <c r="A2934" s="11"/>
    </row>
    <row r="2935" spans="1:1" ht="14.4">
      <c r="A2935" s="11"/>
    </row>
    <row r="2936" spans="1:1" ht="14.4">
      <c r="A2936" s="11"/>
    </row>
    <row r="2937" spans="1:1" ht="14.4">
      <c r="A2937" s="11"/>
    </row>
    <row r="2938" spans="1:1" ht="14.4">
      <c r="A2938" s="11"/>
    </row>
    <row r="2939" spans="1:1" ht="14.4">
      <c r="A2939" s="11"/>
    </row>
    <row r="2940" spans="1:1" ht="14.4">
      <c r="A2940" s="11"/>
    </row>
    <row r="2941" spans="1:1" ht="14.4">
      <c r="A2941" s="11"/>
    </row>
    <row r="2942" spans="1:1" ht="14.4">
      <c r="A2942" s="11"/>
    </row>
    <row r="2943" spans="1:1" ht="14.4">
      <c r="A2943" s="11"/>
    </row>
    <row r="2944" spans="1:1" ht="14.4">
      <c r="A2944" s="11"/>
    </row>
    <row r="2945" spans="1:1" ht="14.4">
      <c r="A2945" s="11"/>
    </row>
    <row r="2946" spans="1:1" ht="14.4">
      <c r="A2946" s="11"/>
    </row>
    <row r="2947" spans="1:1" ht="14.4">
      <c r="A2947" s="11"/>
    </row>
    <row r="2948" spans="1:1" ht="14.4">
      <c r="A2948" s="11"/>
    </row>
    <row r="2949" spans="1:1" ht="14.4">
      <c r="A2949" s="11"/>
    </row>
    <row r="2950" spans="1:1" ht="14.4">
      <c r="A2950" s="11"/>
    </row>
    <row r="2951" spans="1:1" ht="14.4">
      <c r="A2951" s="11"/>
    </row>
    <row r="2952" spans="1:1" ht="14.4">
      <c r="A2952" s="11"/>
    </row>
    <row r="2953" spans="1:1" ht="14.4">
      <c r="A2953" s="11"/>
    </row>
    <row r="2954" spans="1:1" ht="14.4">
      <c r="A2954" s="11"/>
    </row>
    <row r="2955" spans="1:1" ht="14.4">
      <c r="A2955" s="11"/>
    </row>
    <row r="2956" spans="1:1" ht="14.4">
      <c r="A2956" s="11"/>
    </row>
    <row r="2957" spans="1:1" ht="14.4">
      <c r="A2957" s="11"/>
    </row>
    <row r="2958" spans="1:1" ht="14.4">
      <c r="A2958" s="11"/>
    </row>
    <row r="2959" spans="1:1" ht="14.4">
      <c r="A2959" s="11"/>
    </row>
    <row r="2960" spans="1:1" ht="14.4">
      <c r="A2960" s="11"/>
    </row>
    <row r="2961" spans="1:1" ht="14.4">
      <c r="A2961" s="11"/>
    </row>
    <row r="2962" spans="1:1" ht="14.4">
      <c r="A2962" s="11"/>
    </row>
    <row r="2963" spans="1:1" ht="14.4">
      <c r="A2963" s="11"/>
    </row>
    <row r="2964" spans="1:1" ht="14.4">
      <c r="A2964" s="11"/>
    </row>
    <row r="2965" spans="1:1" ht="14.4">
      <c r="A2965" s="11"/>
    </row>
    <row r="2966" spans="1:1" ht="14.4">
      <c r="A2966" s="11"/>
    </row>
    <row r="2967" spans="1:1" ht="14.4">
      <c r="A2967" s="11"/>
    </row>
    <row r="2968" spans="1:1" ht="14.4">
      <c r="A2968" s="11"/>
    </row>
    <row r="2969" spans="1:1" ht="14.4">
      <c r="A2969" s="11"/>
    </row>
    <row r="2970" spans="1:1" ht="14.4">
      <c r="A2970" s="11"/>
    </row>
    <row r="2971" spans="1:1" ht="14.4">
      <c r="A2971" s="11"/>
    </row>
    <row r="2972" spans="1:1" ht="14.4">
      <c r="A2972" s="11"/>
    </row>
    <row r="2973" spans="1:1" ht="14.4">
      <c r="A2973" s="11"/>
    </row>
    <row r="2974" spans="1:1" ht="14.4">
      <c r="A2974" s="11"/>
    </row>
    <row r="2975" spans="1:1" ht="14.4">
      <c r="A2975" s="11"/>
    </row>
    <row r="2976" spans="1:1" ht="14.4">
      <c r="A2976" s="11"/>
    </row>
    <row r="2977" spans="1:1" ht="14.4">
      <c r="A2977" s="11"/>
    </row>
    <row r="2978" spans="1:1" ht="14.4">
      <c r="A2978" s="11"/>
    </row>
    <row r="2979" spans="1:1" ht="14.4">
      <c r="A2979" s="11"/>
    </row>
    <row r="2980" spans="1:1" ht="14.4">
      <c r="A2980" s="11"/>
    </row>
    <row r="2981" spans="1:1" ht="14.4">
      <c r="A2981" s="11"/>
    </row>
    <row r="2982" spans="1:1" ht="14.4">
      <c r="A2982" s="11"/>
    </row>
    <row r="2983" spans="1:1" ht="14.4">
      <c r="A2983" s="11"/>
    </row>
    <row r="2984" spans="1:1" ht="14.4">
      <c r="A2984" s="11"/>
    </row>
    <row r="2985" spans="1:1" ht="14.4">
      <c r="A2985" s="11"/>
    </row>
    <row r="2986" spans="1:1" ht="14.4">
      <c r="A2986" s="11"/>
    </row>
    <row r="2987" spans="1:1" ht="14.4">
      <c r="A2987" s="11"/>
    </row>
    <row r="2988" spans="1:1" ht="14.4">
      <c r="A2988" s="11"/>
    </row>
    <row r="2989" spans="1:1" ht="14.4">
      <c r="A2989" s="11"/>
    </row>
    <row r="2990" spans="1:1" ht="14.4">
      <c r="A2990" s="11"/>
    </row>
    <row r="2991" spans="1:1" ht="14.4">
      <c r="A2991" s="11"/>
    </row>
    <row r="2992" spans="1:1" ht="14.4">
      <c r="A2992" s="11"/>
    </row>
    <row r="2993" spans="1:1" ht="14.4">
      <c r="A2993" s="11"/>
    </row>
    <row r="2994" spans="1:1" ht="14.4">
      <c r="A2994" s="11"/>
    </row>
    <row r="2995" spans="1:1" ht="14.4">
      <c r="A2995" s="11"/>
    </row>
    <row r="2996" spans="1:1" ht="14.4">
      <c r="A2996" s="11"/>
    </row>
    <row r="2997" spans="1:1" ht="14.4">
      <c r="A2997" s="11"/>
    </row>
    <row r="2998" spans="1:1" ht="14.4">
      <c r="A2998" s="11"/>
    </row>
    <row r="2999" spans="1:1" ht="14.4">
      <c r="A2999" s="11"/>
    </row>
    <row r="3000" spans="1:1" ht="14.4">
      <c r="A3000" s="11"/>
    </row>
    <row r="3001" spans="1:1" ht="14.4">
      <c r="A3001" s="11"/>
    </row>
    <row r="3002" spans="1:1" ht="14.4">
      <c r="A3002" s="11"/>
    </row>
    <row r="3003" spans="1:1" ht="14.4">
      <c r="A3003" s="11"/>
    </row>
    <row r="3004" spans="1:1" ht="14.4">
      <c r="A3004" s="11"/>
    </row>
    <row r="3005" spans="1:1" ht="14.4">
      <c r="A3005" s="11"/>
    </row>
    <row r="3006" spans="1:1" ht="14.4">
      <c r="A3006" s="11"/>
    </row>
    <row r="3007" spans="1:1" ht="14.4">
      <c r="A3007" s="11"/>
    </row>
    <row r="3008" spans="1:1" ht="14.4">
      <c r="A3008" s="11"/>
    </row>
    <row r="3009" spans="1:1" ht="14.4">
      <c r="A3009" s="11"/>
    </row>
    <row r="3010" spans="1:1" ht="14.4">
      <c r="A3010" s="11"/>
    </row>
    <row r="3011" spans="1:1" ht="14.4">
      <c r="A3011" s="11"/>
    </row>
    <row r="3012" spans="1:1" ht="14.4">
      <c r="A3012" s="11"/>
    </row>
    <row r="3013" spans="1:1" ht="14.4">
      <c r="A3013" s="11"/>
    </row>
    <row r="3014" spans="1:1" ht="14.4">
      <c r="A3014" s="11"/>
    </row>
    <row r="3015" spans="1:1" ht="14.4">
      <c r="A3015" s="11"/>
    </row>
    <row r="3016" spans="1:1" ht="14.4">
      <c r="A3016" s="11"/>
    </row>
    <row r="3017" spans="1:1" ht="14.4">
      <c r="A3017" s="11"/>
    </row>
    <row r="3018" spans="1:1" ht="14.4">
      <c r="A3018" s="11"/>
    </row>
    <row r="3019" spans="1:1" ht="14.4">
      <c r="A3019" s="11"/>
    </row>
    <row r="3020" spans="1:1" ht="14.4">
      <c r="A3020" s="11"/>
    </row>
    <row r="3021" spans="1:1" ht="14.4">
      <c r="A3021" s="11"/>
    </row>
    <row r="3022" spans="1:1" ht="14.4">
      <c r="A3022" s="11"/>
    </row>
    <row r="3023" spans="1:1" ht="14.4">
      <c r="A3023" s="11"/>
    </row>
    <row r="3024" spans="1:1" ht="14.4">
      <c r="A3024" s="11"/>
    </row>
    <row r="3025" spans="1:1" ht="14.4">
      <c r="A3025" s="11"/>
    </row>
    <row r="3026" spans="1:1" ht="14.4">
      <c r="A3026" s="11"/>
    </row>
    <row r="3027" spans="1:1" ht="14.4">
      <c r="A3027" s="11"/>
    </row>
    <row r="3028" spans="1:1" ht="14.4">
      <c r="A3028" s="11"/>
    </row>
    <row r="3029" spans="1:1" ht="14.4">
      <c r="A3029" s="11"/>
    </row>
    <row r="3030" spans="1:1" ht="14.4">
      <c r="A3030" s="11"/>
    </row>
    <row r="3031" spans="1:1" ht="14.4">
      <c r="A3031" s="11"/>
    </row>
    <row r="3032" spans="1:1" ht="14.4">
      <c r="A3032" s="11"/>
    </row>
    <row r="3033" spans="1:1" ht="14.4">
      <c r="A3033" s="11"/>
    </row>
    <row r="3034" spans="1:1" ht="14.4">
      <c r="A3034" s="11"/>
    </row>
    <row r="3035" spans="1:1" ht="14.4">
      <c r="A3035" s="11"/>
    </row>
    <row r="3036" spans="1:1" ht="14.4">
      <c r="A3036" s="11"/>
    </row>
    <row r="3037" spans="1:1" ht="14.4">
      <c r="A3037" s="11"/>
    </row>
    <row r="3038" spans="1:1" ht="14.4">
      <c r="A3038" s="11"/>
    </row>
    <row r="3039" spans="1:1" ht="14.4">
      <c r="A3039" s="11"/>
    </row>
    <row r="3040" spans="1:1" ht="14.4">
      <c r="A3040" s="11"/>
    </row>
    <row r="3041" spans="1:1" ht="14.4">
      <c r="A3041" s="11"/>
    </row>
    <row r="3042" spans="1:1" ht="14.4">
      <c r="A3042" s="11"/>
    </row>
    <row r="3043" spans="1:1" ht="14.4">
      <c r="A3043" s="11"/>
    </row>
    <row r="3044" spans="1:1" ht="14.4">
      <c r="A3044" s="11"/>
    </row>
    <row r="3045" spans="1:1" ht="14.4">
      <c r="A3045" s="11"/>
    </row>
    <row r="3046" spans="1:1" ht="14.4">
      <c r="A3046" s="11"/>
    </row>
    <row r="3047" spans="1:1" ht="14.4">
      <c r="A3047" s="11"/>
    </row>
    <row r="3048" spans="1:1" ht="14.4">
      <c r="A3048" s="11"/>
    </row>
    <row r="3049" spans="1:1" ht="14.4">
      <c r="A3049" s="11"/>
    </row>
    <row r="3050" spans="1:1" ht="14.4">
      <c r="A3050" s="11"/>
    </row>
    <row r="3051" spans="1:1" ht="14.4">
      <c r="A3051" s="11"/>
    </row>
    <row r="3052" spans="1:1" ht="14.4">
      <c r="A3052" s="11"/>
    </row>
    <row r="3053" spans="1:1" ht="14.4">
      <c r="A3053" s="11"/>
    </row>
    <row r="3054" spans="1:1" ht="14.4">
      <c r="A3054" s="11"/>
    </row>
    <row r="3055" spans="1:1" ht="14.4">
      <c r="A3055" s="11"/>
    </row>
    <row r="3056" spans="1:1" ht="14.4">
      <c r="A3056" s="11"/>
    </row>
    <row r="3057" spans="1:1" ht="14.4">
      <c r="A3057" s="11"/>
    </row>
    <row r="3058" spans="1:1" ht="14.4">
      <c r="A3058" s="11"/>
    </row>
    <row r="3059" spans="1:1" ht="14.4">
      <c r="A3059" s="11"/>
    </row>
    <row r="3060" spans="1:1" ht="14.4">
      <c r="A3060" s="11"/>
    </row>
    <row r="3061" spans="1:1" ht="14.4">
      <c r="A3061" s="11"/>
    </row>
    <row r="3062" spans="1:1" ht="14.4">
      <c r="A3062" s="11"/>
    </row>
    <row r="3063" spans="1:1" ht="14.4">
      <c r="A3063" s="11"/>
    </row>
    <row r="3064" spans="1:1" ht="14.4">
      <c r="A3064" s="11"/>
    </row>
    <row r="3065" spans="1:1" ht="14.4">
      <c r="A3065" s="11"/>
    </row>
    <row r="3066" spans="1:1" ht="14.4">
      <c r="A3066" s="11"/>
    </row>
    <row r="3067" spans="1:1" ht="14.4">
      <c r="A3067" s="11"/>
    </row>
    <row r="3068" spans="1:1" ht="14.4">
      <c r="A3068" s="11"/>
    </row>
    <row r="3069" spans="1:1" ht="14.4">
      <c r="A3069" s="11"/>
    </row>
    <row r="3070" spans="1:1" ht="14.4">
      <c r="A3070" s="11"/>
    </row>
    <row r="3071" spans="1:1" ht="14.4">
      <c r="A3071" s="11"/>
    </row>
    <row r="3072" spans="1:1" ht="14.4">
      <c r="A3072" s="11"/>
    </row>
    <row r="3073" spans="1:1" ht="14.4">
      <c r="A3073" s="11"/>
    </row>
    <row r="3074" spans="1:1" ht="14.4">
      <c r="A3074" s="11"/>
    </row>
    <row r="3075" spans="1:1" ht="14.4">
      <c r="A3075" s="11"/>
    </row>
    <row r="3076" spans="1:1" ht="14.4">
      <c r="A3076" s="11"/>
    </row>
    <row r="3077" spans="1:1" ht="14.4">
      <c r="A3077" s="11"/>
    </row>
    <row r="3078" spans="1:1" ht="14.4">
      <c r="A3078" s="11"/>
    </row>
    <row r="3079" spans="1:1" ht="14.4">
      <c r="A3079" s="11"/>
    </row>
    <row r="3080" spans="1:1" ht="14.4">
      <c r="A3080" s="11"/>
    </row>
    <row r="3081" spans="1:1" ht="14.4">
      <c r="A3081" s="11"/>
    </row>
    <row r="3082" spans="1:1" ht="14.4">
      <c r="A3082" s="11"/>
    </row>
    <row r="3083" spans="1:1" ht="14.4">
      <c r="A3083" s="11"/>
    </row>
    <row r="3084" spans="1:1" ht="14.4">
      <c r="A3084" s="11"/>
    </row>
    <row r="3085" spans="1:1" ht="14.4">
      <c r="A3085" s="11"/>
    </row>
    <row r="3086" spans="1:1" ht="14.4">
      <c r="A3086" s="11"/>
    </row>
    <row r="3087" spans="1:1" ht="14.4">
      <c r="A3087" s="11"/>
    </row>
    <row r="3088" spans="1:1" ht="14.4">
      <c r="A3088" s="11"/>
    </row>
    <row r="3089" spans="1:1" ht="14.4">
      <c r="A3089" s="11"/>
    </row>
    <row r="3090" spans="1:1" ht="14.4">
      <c r="A3090" s="11"/>
    </row>
    <row r="3091" spans="1:1" ht="14.4">
      <c r="A3091" s="11"/>
    </row>
    <row r="3092" spans="1:1" ht="14.4">
      <c r="A3092" s="11"/>
    </row>
    <row r="3093" spans="1:1" ht="14.4">
      <c r="A3093" s="11"/>
    </row>
    <row r="3094" spans="1:1" ht="14.4">
      <c r="A3094" s="11"/>
    </row>
    <row r="3095" spans="1:1" ht="14.4">
      <c r="A3095" s="11"/>
    </row>
    <row r="3096" spans="1:1" ht="14.4">
      <c r="A3096" s="11"/>
    </row>
    <row r="3097" spans="1:1" ht="14.4">
      <c r="A3097" s="11"/>
    </row>
    <row r="3098" spans="1:1" ht="14.4">
      <c r="A3098" s="11"/>
    </row>
    <row r="3099" spans="1:1" ht="14.4">
      <c r="A3099" s="11"/>
    </row>
    <row r="3100" spans="1:1" ht="14.4">
      <c r="A3100" s="11"/>
    </row>
    <row r="3101" spans="1:1" ht="14.4">
      <c r="A3101" s="11"/>
    </row>
    <row r="3102" spans="1:1" ht="14.4">
      <c r="A3102" s="11"/>
    </row>
    <row r="3103" spans="1:1" ht="14.4">
      <c r="A3103" s="11"/>
    </row>
    <row r="3104" spans="1:1" ht="14.4">
      <c r="A3104" s="11"/>
    </row>
    <row r="3105" spans="1:1" ht="14.4">
      <c r="A3105" s="11"/>
    </row>
    <row r="3106" spans="1:1" ht="14.4">
      <c r="A3106" s="11"/>
    </row>
    <row r="3107" spans="1:1" ht="14.4">
      <c r="A3107" s="11"/>
    </row>
    <row r="3108" spans="1:1" ht="14.4">
      <c r="A3108" s="11"/>
    </row>
    <row r="3109" spans="1:1" ht="14.4">
      <c r="A3109" s="11"/>
    </row>
    <row r="3110" spans="1:1" ht="14.4">
      <c r="A3110" s="11"/>
    </row>
    <row r="3111" spans="1:1" ht="14.4">
      <c r="A3111" s="11"/>
    </row>
    <row r="3112" spans="1:1" ht="14.4">
      <c r="A3112" s="11"/>
    </row>
    <row r="3113" spans="1:1" ht="14.4">
      <c r="A3113" s="11"/>
    </row>
    <row r="3114" spans="1:1" ht="14.4">
      <c r="A3114" s="11"/>
    </row>
    <row r="3115" spans="1:1" ht="14.4">
      <c r="A3115" s="11"/>
    </row>
    <row r="3116" spans="1:1" ht="14.4">
      <c r="A3116" s="11"/>
    </row>
    <row r="3117" spans="1:1" ht="14.4">
      <c r="A3117" s="11"/>
    </row>
    <row r="3118" spans="1:1" ht="14.4">
      <c r="A3118" s="11"/>
    </row>
    <row r="3119" spans="1:1" ht="14.4">
      <c r="A3119" s="11"/>
    </row>
    <row r="3120" spans="1:1" ht="14.4">
      <c r="A3120" s="11"/>
    </row>
    <row r="3121" spans="1:1" ht="14.4">
      <c r="A3121" s="11"/>
    </row>
    <row r="3122" spans="1:1" ht="14.4">
      <c r="A3122" s="11"/>
    </row>
    <row r="3123" spans="1:1" ht="14.4">
      <c r="A3123" s="11"/>
    </row>
    <row r="3124" spans="1:1" ht="14.4">
      <c r="A3124" s="11"/>
    </row>
    <row r="3125" spans="1:1" ht="14.4">
      <c r="A3125" s="11"/>
    </row>
    <row r="3126" spans="1:1" ht="14.4">
      <c r="A3126" s="11"/>
    </row>
    <row r="3127" spans="1:1" ht="14.4">
      <c r="A3127" s="11"/>
    </row>
    <row r="3128" spans="1:1" ht="14.4">
      <c r="A3128" s="11"/>
    </row>
    <row r="3129" spans="1:1" ht="14.4">
      <c r="A3129" s="11"/>
    </row>
    <row r="3130" spans="1:1" ht="14.4">
      <c r="A3130" s="11"/>
    </row>
    <row r="3131" spans="1:1" ht="14.4">
      <c r="A3131" s="11"/>
    </row>
    <row r="3132" spans="1:1" ht="14.4">
      <c r="A3132" s="11"/>
    </row>
    <row r="3133" spans="1:1" ht="14.4">
      <c r="A3133" s="11"/>
    </row>
    <row r="3134" spans="1:1" ht="14.4">
      <c r="A3134" s="11"/>
    </row>
    <row r="3135" spans="1:1" ht="14.4">
      <c r="A3135" s="11"/>
    </row>
    <row r="3136" spans="1:1" ht="14.4">
      <c r="A3136" s="11"/>
    </row>
    <row r="3137" spans="1:1" ht="14.4">
      <c r="A3137" s="11"/>
    </row>
    <row r="3138" spans="1:1" ht="14.4">
      <c r="A3138" s="11"/>
    </row>
    <row r="3139" spans="1:1" ht="14.4">
      <c r="A3139" s="11"/>
    </row>
    <row r="3140" spans="1:1" ht="14.4">
      <c r="A3140" s="11"/>
    </row>
    <row r="3141" spans="1:1" ht="14.4">
      <c r="A3141" s="11"/>
    </row>
    <row r="3142" spans="1:1" ht="14.4">
      <c r="A3142" s="11"/>
    </row>
    <row r="3143" spans="1:1" ht="14.4">
      <c r="A3143" s="11"/>
    </row>
    <row r="3144" spans="1:1" ht="14.4">
      <c r="A3144" s="11"/>
    </row>
    <row r="3145" spans="1:1" ht="14.4">
      <c r="A3145" s="11"/>
    </row>
    <row r="3146" spans="1:1" ht="14.4">
      <c r="A3146" s="11"/>
    </row>
    <row r="3147" spans="1:1" ht="14.4">
      <c r="A3147" s="11"/>
    </row>
    <row r="3148" spans="1:1" ht="14.4">
      <c r="A3148" s="11"/>
    </row>
    <row r="3149" spans="1:1" ht="14.4">
      <c r="A3149" s="11"/>
    </row>
    <row r="3150" spans="1:1" ht="14.4">
      <c r="A3150" s="11"/>
    </row>
    <row r="3151" spans="1:1" ht="14.4">
      <c r="A3151" s="11"/>
    </row>
    <row r="3152" spans="1:1" ht="14.4">
      <c r="A3152" s="11"/>
    </row>
    <row r="3153" spans="1:1" ht="14.4">
      <c r="A3153" s="11"/>
    </row>
    <row r="3154" spans="1:1" ht="14.4">
      <c r="A3154" s="11"/>
    </row>
    <row r="3155" spans="1:1" ht="14.4">
      <c r="A3155" s="11"/>
    </row>
    <row r="3156" spans="1:1" ht="14.4">
      <c r="A3156" s="11"/>
    </row>
    <row r="3157" spans="1:1" ht="14.4">
      <c r="A3157" s="11"/>
    </row>
    <row r="3158" spans="1:1" ht="14.4">
      <c r="A3158" s="11"/>
    </row>
    <row r="3159" spans="1:1" ht="14.4">
      <c r="A3159" s="11"/>
    </row>
    <row r="3160" spans="1:1" ht="14.4">
      <c r="A3160" s="11"/>
    </row>
    <row r="3161" spans="1:1" ht="14.4">
      <c r="A3161" s="11"/>
    </row>
    <row r="3162" spans="1:1" ht="14.4">
      <c r="A3162" s="11"/>
    </row>
    <row r="3163" spans="1:1" ht="14.4">
      <c r="A3163" s="11"/>
    </row>
    <row r="3164" spans="1:1" ht="14.4">
      <c r="A3164" s="11"/>
    </row>
    <row r="3165" spans="1:1" ht="14.4">
      <c r="A3165" s="11"/>
    </row>
    <row r="3166" spans="1:1" ht="14.4">
      <c r="A3166" s="11"/>
    </row>
    <row r="3167" spans="1:1" ht="14.4">
      <c r="A3167" s="11"/>
    </row>
    <row r="3168" spans="1:1" ht="14.4">
      <c r="A3168" s="11"/>
    </row>
    <row r="3169" spans="1:1" ht="14.4">
      <c r="A3169" s="11"/>
    </row>
    <row r="3170" spans="1:1" ht="14.4">
      <c r="A3170" s="11"/>
    </row>
    <row r="3171" spans="1:1" ht="14.4">
      <c r="A3171" s="11"/>
    </row>
    <row r="3172" spans="1:1" ht="14.4">
      <c r="A3172" s="11"/>
    </row>
    <row r="3173" spans="1:1" ht="14.4">
      <c r="A3173" s="11"/>
    </row>
    <row r="3174" spans="1:1" ht="14.4">
      <c r="A3174" s="11"/>
    </row>
    <row r="3175" spans="1:1" ht="14.4">
      <c r="A3175" s="11"/>
    </row>
    <row r="3176" spans="1:1" ht="14.4">
      <c r="A3176" s="11"/>
    </row>
    <row r="3177" spans="1:1" ht="14.4">
      <c r="A3177" s="11"/>
    </row>
    <row r="3178" spans="1:1" ht="14.4">
      <c r="A3178" s="11"/>
    </row>
    <row r="3179" spans="1:1" ht="14.4">
      <c r="A3179" s="11"/>
    </row>
    <row r="3180" spans="1:1" ht="14.4">
      <c r="A3180" s="11"/>
    </row>
    <row r="3181" spans="1:1" ht="14.4">
      <c r="A3181" s="11"/>
    </row>
    <row r="3182" spans="1:1" ht="14.4">
      <c r="A3182" s="11"/>
    </row>
    <row r="3183" spans="1:1" ht="14.4">
      <c r="A3183" s="11"/>
    </row>
    <row r="3184" spans="1:1" ht="14.4">
      <c r="A3184" s="11"/>
    </row>
    <row r="3185" spans="1:1" ht="14.4">
      <c r="A3185" s="11"/>
    </row>
    <row r="3186" spans="1:1" ht="14.4">
      <c r="A3186" s="11"/>
    </row>
    <row r="3187" spans="1:1" ht="14.4">
      <c r="A3187" s="11"/>
    </row>
    <row r="3188" spans="1:1" ht="14.4">
      <c r="A3188" s="11"/>
    </row>
    <row r="3189" spans="1:1" ht="14.4">
      <c r="A3189" s="11"/>
    </row>
    <row r="3190" spans="1:1" ht="14.4">
      <c r="A3190" s="11"/>
    </row>
    <row r="3191" spans="1:1" ht="14.4">
      <c r="A3191" s="11"/>
    </row>
    <row r="3192" spans="1:1" ht="14.4">
      <c r="A3192" s="11"/>
    </row>
    <row r="3193" spans="1:1" ht="14.4">
      <c r="A3193" s="11"/>
    </row>
    <row r="3194" spans="1:1" ht="14.4">
      <c r="A3194" s="11"/>
    </row>
    <row r="3195" spans="1:1" ht="14.4">
      <c r="A3195" s="11"/>
    </row>
    <row r="3196" spans="1:1" ht="14.4">
      <c r="A3196" s="11"/>
    </row>
    <row r="3197" spans="1:1" ht="14.4">
      <c r="A3197" s="11"/>
    </row>
    <row r="3198" spans="1:1" ht="14.4">
      <c r="A3198" s="11"/>
    </row>
    <row r="3199" spans="1:1" ht="14.4">
      <c r="A3199" s="11"/>
    </row>
    <row r="3200" spans="1:1" ht="14.4">
      <c r="A3200" s="11"/>
    </row>
    <row r="3201" spans="1:1" ht="14.4">
      <c r="A3201" s="11"/>
    </row>
    <row r="3202" spans="1:1" ht="14.4">
      <c r="A3202" s="11"/>
    </row>
    <row r="3203" spans="1:1" ht="14.4">
      <c r="A3203" s="11"/>
    </row>
    <row r="3204" spans="1:1" ht="14.4">
      <c r="A3204" s="11"/>
    </row>
    <row r="3205" spans="1:1" ht="14.4">
      <c r="A3205" s="11"/>
    </row>
    <row r="3206" spans="1:1" ht="14.4">
      <c r="A3206" s="11"/>
    </row>
    <row r="3207" spans="1:1" ht="14.4">
      <c r="A3207" s="11"/>
    </row>
    <row r="3208" spans="1:1" ht="14.4">
      <c r="A3208" s="11"/>
    </row>
    <row r="3209" spans="1:1" ht="14.4">
      <c r="A3209" s="11"/>
    </row>
    <row r="3210" spans="1:1" ht="14.4">
      <c r="A3210" s="11"/>
    </row>
    <row r="3211" spans="1:1" ht="14.4">
      <c r="A3211" s="11"/>
    </row>
    <row r="3212" spans="1:1" ht="14.4">
      <c r="A3212" s="11"/>
    </row>
    <row r="3213" spans="1:1" ht="14.4">
      <c r="A3213" s="11"/>
    </row>
    <row r="3214" spans="1:1" ht="14.4">
      <c r="A3214" s="11"/>
    </row>
    <row r="3215" spans="1:1" ht="14.4">
      <c r="A3215" s="11"/>
    </row>
    <row r="3216" spans="1:1" ht="14.4">
      <c r="A3216" s="11"/>
    </row>
    <row r="3217" spans="1:1" ht="14.4">
      <c r="A3217" s="11"/>
    </row>
    <row r="3218" spans="1:1" ht="14.4">
      <c r="A3218" s="11"/>
    </row>
    <row r="3219" spans="1:1" ht="14.4">
      <c r="A3219" s="11"/>
    </row>
    <row r="3220" spans="1:1" ht="14.4">
      <c r="A3220" s="11"/>
    </row>
    <row r="3221" spans="1:1" ht="14.4">
      <c r="A3221" s="11"/>
    </row>
    <row r="3222" spans="1:1" ht="14.4">
      <c r="A3222" s="11"/>
    </row>
    <row r="3223" spans="1:1" ht="14.4">
      <c r="A3223" s="11"/>
    </row>
    <row r="3224" spans="1:1" ht="14.4">
      <c r="A3224" s="11"/>
    </row>
    <row r="3225" spans="1:1" ht="14.4">
      <c r="A3225" s="11"/>
    </row>
    <row r="3226" spans="1:1" ht="14.4">
      <c r="A3226" s="11"/>
    </row>
    <row r="3227" spans="1:1" ht="14.4">
      <c r="A3227" s="11"/>
    </row>
    <row r="3228" spans="1:1" ht="14.4">
      <c r="A3228" s="11"/>
    </row>
    <row r="3229" spans="1:1" ht="14.4">
      <c r="A3229" s="11"/>
    </row>
    <row r="3230" spans="1:1" ht="14.4">
      <c r="A3230" s="11"/>
    </row>
    <row r="3231" spans="1:1" ht="14.4">
      <c r="A3231" s="11"/>
    </row>
    <row r="3232" spans="1:1" ht="14.4">
      <c r="A3232" s="11"/>
    </row>
    <row r="3233" spans="1:1" ht="14.4">
      <c r="A3233" s="11"/>
    </row>
    <row r="3234" spans="1:1" ht="14.4">
      <c r="A3234" s="11"/>
    </row>
    <row r="3235" spans="1:1" ht="14.4">
      <c r="A3235" s="11"/>
    </row>
    <row r="3236" spans="1:1" ht="14.4">
      <c r="A3236" s="11"/>
    </row>
    <row r="3237" spans="1:1" ht="14.4">
      <c r="A3237" s="11"/>
    </row>
    <row r="3238" spans="1:1" ht="14.4">
      <c r="A3238" s="11"/>
    </row>
    <row r="3239" spans="1:1" ht="14.4">
      <c r="A3239" s="11"/>
    </row>
    <row r="3240" spans="1:1" ht="14.4">
      <c r="A3240" s="11"/>
    </row>
    <row r="3241" spans="1:1" ht="14.4">
      <c r="A3241" s="11"/>
    </row>
    <row r="3242" spans="1:1" ht="14.4">
      <c r="A3242" s="11"/>
    </row>
    <row r="3243" spans="1:1" ht="14.4">
      <c r="A3243" s="11"/>
    </row>
    <row r="3244" spans="1:1" ht="14.4">
      <c r="A3244" s="11"/>
    </row>
    <row r="3245" spans="1:1" ht="14.4">
      <c r="A3245" s="11"/>
    </row>
    <row r="3246" spans="1:1" ht="14.4">
      <c r="A3246" s="11"/>
    </row>
    <row r="3247" spans="1:1" ht="14.4">
      <c r="A3247" s="11"/>
    </row>
    <row r="3248" spans="1:1" ht="14.4">
      <c r="A3248" s="11"/>
    </row>
    <row r="3249" spans="1:1" ht="14.4">
      <c r="A3249" s="11"/>
    </row>
    <row r="3250" spans="1:1" ht="14.4">
      <c r="A3250" s="11"/>
    </row>
    <row r="3251" spans="1:1" ht="14.4">
      <c r="A3251" s="11"/>
    </row>
    <row r="3252" spans="1:1" ht="14.4">
      <c r="A3252" s="11"/>
    </row>
    <row r="3253" spans="1:1" ht="14.4">
      <c r="A3253" s="11"/>
    </row>
    <row r="3254" spans="1:1" ht="14.4">
      <c r="A3254" s="11"/>
    </row>
    <row r="3255" spans="1:1" ht="14.4">
      <c r="A3255" s="11"/>
    </row>
    <row r="3256" spans="1:1" ht="14.4">
      <c r="A3256" s="11"/>
    </row>
    <row r="3257" spans="1:1" ht="14.4">
      <c r="A3257" s="11"/>
    </row>
    <row r="3258" spans="1:1" ht="14.4">
      <c r="A3258" s="11"/>
    </row>
    <row r="3259" spans="1:1" ht="14.4">
      <c r="A3259" s="11"/>
    </row>
    <row r="3260" spans="1:1" ht="14.4">
      <c r="A3260" s="11"/>
    </row>
    <row r="3261" spans="1:1" ht="14.4">
      <c r="A3261" s="11"/>
    </row>
    <row r="3262" spans="1:1" ht="14.4">
      <c r="A3262" s="11"/>
    </row>
    <row r="3263" spans="1:1" ht="14.4">
      <c r="A3263" s="11"/>
    </row>
    <row r="3264" spans="1:1" ht="14.4">
      <c r="A3264" s="11"/>
    </row>
    <row r="3265" spans="1:1" ht="14.4">
      <c r="A3265" s="11"/>
    </row>
    <row r="3266" spans="1:1" ht="14.4">
      <c r="A3266" s="11"/>
    </row>
    <row r="3267" spans="1:1" ht="14.4">
      <c r="A3267" s="11"/>
    </row>
    <row r="3268" spans="1:1" ht="14.4">
      <c r="A3268" s="11"/>
    </row>
    <row r="3269" spans="1:1" ht="14.4">
      <c r="A3269" s="11"/>
    </row>
    <row r="3270" spans="1:1" ht="14.4">
      <c r="A3270" s="11"/>
    </row>
    <row r="3271" spans="1:1" ht="14.4">
      <c r="A3271" s="11"/>
    </row>
    <row r="3272" spans="1:1" ht="14.4">
      <c r="A3272" s="11"/>
    </row>
    <row r="3273" spans="1:1" ht="14.4">
      <c r="A3273" s="11"/>
    </row>
    <row r="3274" spans="1:1" ht="14.4">
      <c r="A3274" s="11"/>
    </row>
    <row r="3275" spans="1:1" ht="14.4">
      <c r="A3275" s="11"/>
    </row>
    <row r="3276" spans="1:1" ht="14.4">
      <c r="A3276" s="11"/>
    </row>
    <row r="3277" spans="1:1" ht="14.4">
      <c r="A3277" s="11"/>
    </row>
    <row r="3278" spans="1:1" ht="14.4">
      <c r="A3278" s="11"/>
    </row>
    <row r="3279" spans="1:1" ht="14.4">
      <c r="A3279" s="11"/>
    </row>
    <row r="3280" spans="1:1" ht="14.4">
      <c r="A3280" s="11"/>
    </row>
    <row r="3281" spans="1:1" ht="14.4">
      <c r="A3281" s="11"/>
    </row>
    <row r="3282" spans="1:1" ht="14.4">
      <c r="A3282" s="11"/>
    </row>
    <row r="3283" spans="1:1" ht="14.4">
      <c r="A3283" s="11"/>
    </row>
    <row r="3284" spans="1:1" ht="14.4">
      <c r="A3284" s="11"/>
    </row>
    <row r="3285" spans="1:1" ht="14.4">
      <c r="A3285" s="11"/>
    </row>
    <row r="3286" spans="1:1" ht="14.4">
      <c r="A3286" s="11"/>
    </row>
    <row r="3287" spans="1:1" ht="14.4">
      <c r="A3287" s="11"/>
    </row>
    <row r="3288" spans="1:1" ht="14.4">
      <c r="A3288" s="11"/>
    </row>
    <row r="3289" spans="1:1" ht="14.4">
      <c r="A3289" s="11"/>
    </row>
    <row r="3290" spans="1:1" ht="14.4">
      <c r="A3290" s="11"/>
    </row>
    <row r="3291" spans="1:1" ht="14.4">
      <c r="A3291" s="11"/>
    </row>
    <row r="3292" spans="1:1" ht="14.4">
      <c r="A3292" s="11"/>
    </row>
    <row r="3293" spans="1:1" ht="14.4">
      <c r="A3293" s="11"/>
    </row>
    <row r="3294" spans="1:1" ht="14.4">
      <c r="A3294" s="11"/>
    </row>
    <row r="3295" spans="1:1" ht="14.4">
      <c r="A3295" s="11"/>
    </row>
    <row r="3296" spans="1:1" ht="14.4">
      <c r="A3296" s="11"/>
    </row>
    <row r="3297" spans="1:1" ht="14.4">
      <c r="A3297" s="11"/>
    </row>
    <row r="3298" spans="1:1" ht="14.4">
      <c r="A3298" s="11"/>
    </row>
    <row r="3299" spans="1:1" ht="14.4">
      <c r="A3299" s="11"/>
    </row>
    <row r="3300" spans="1:1" ht="14.4">
      <c r="A3300" s="11"/>
    </row>
    <row r="3301" spans="1:1" ht="14.4">
      <c r="A3301" s="11"/>
    </row>
    <row r="3302" spans="1:1" ht="14.4">
      <c r="A3302" s="11"/>
    </row>
    <row r="3303" spans="1:1" ht="14.4">
      <c r="A3303" s="11"/>
    </row>
    <row r="3304" spans="1:1" ht="14.4">
      <c r="A3304" s="11"/>
    </row>
    <row r="3305" spans="1:1" ht="14.4">
      <c r="A3305" s="11"/>
    </row>
    <row r="3306" spans="1:1" ht="14.4">
      <c r="A3306" s="11"/>
    </row>
    <row r="3307" spans="1:1" ht="14.4">
      <c r="A3307" s="11"/>
    </row>
    <row r="3308" spans="1:1" ht="14.4">
      <c r="A3308" s="11"/>
    </row>
    <row r="3309" spans="1:1" ht="14.4">
      <c r="A3309" s="11"/>
    </row>
    <row r="3310" spans="1:1" ht="14.4">
      <c r="A3310" s="11"/>
    </row>
    <row r="3311" spans="1:1" ht="14.4">
      <c r="A3311" s="11"/>
    </row>
    <row r="3312" spans="1:1" ht="14.4">
      <c r="A3312" s="11"/>
    </row>
    <row r="3313" spans="1:1" ht="14.4">
      <c r="A3313" s="11"/>
    </row>
    <row r="3314" spans="1:1" ht="14.4">
      <c r="A3314" s="11"/>
    </row>
    <row r="3315" spans="1:1" ht="14.4">
      <c r="A3315" s="11"/>
    </row>
    <row r="3316" spans="1:1" ht="14.4">
      <c r="A3316" s="11"/>
    </row>
    <row r="3317" spans="1:1" ht="14.4">
      <c r="A3317" s="11"/>
    </row>
    <row r="3318" spans="1:1" ht="14.4">
      <c r="A3318" s="11"/>
    </row>
    <row r="3319" spans="1:1" ht="14.4">
      <c r="A3319" s="11"/>
    </row>
    <row r="3320" spans="1:1" ht="14.4">
      <c r="A3320" s="11"/>
    </row>
    <row r="3321" spans="1:1" ht="14.4">
      <c r="A3321" s="11"/>
    </row>
    <row r="3322" spans="1:1" ht="14.4">
      <c r="A3322" s="11"/>
    </row>
    <row r="3323" spans="1:1" ht="14.4">
      <c r="A3323" s="11"/>
    </row>
    <row r="3324" spans="1:1" ht="14.4">
      <c r="A3324" s="11"/>
    </row>
    <row r="3325" spans="1:1" ht="14.4">
      <c r="A3325" s="11"/>
    </row>
    <row r="3326" spans="1:1" ht="14.4">
      <c r="A3326" s="11"/>
    </row>
    <row r="3327" spans="1:1" ht="14.4">
      <c r="A3327" s="11"/>
    </row>
    <row r="3328" spans="1:1" ht="14.4">
      <c r="A3328" s="11"/>
    </row>
    <row r="3329" spans="1:1" ht="14.4">
      <c r="A3329" s="11"/>
    </row>
    <row r="3330" spans="1:1" ht="14.4">
      <c r="A3330" s="11"/>
    </row>
    <row r="3331" spans="1:1" ht="14.4">
      <c r="A3331" s="11"/>
    </row>
    <row r="3332" spans="1:1" ht="14.4">
      <c r="A3332" s="11"/>
    </row>
    <row r="3333" spans="1:1" ht="14.4">
      <c r="A3333" s="11"/>
    </row>
    <row r="3334" spans="1:1" ht="14.4">
      <c r="A3334" s="11"/>
    </row>
    <row r="3335" spans="1:1" ht="14.4">
      <c r="A3335" s="11"/>
    </row>
    <row r="3336" spans="1:1" ht="14.4">
      <c r="A3336" s="11"/>
    </row>
    <row r="3337" spans="1:1" ht="14.4">
      <c r="A3337" s="11"/>
    </row>
    <row r="3338" spans="1:1" ht="14.4">
      <c r="A3338" s="11"/>
    </row>
    <row r="3339" spans="1:1" ht="14.4">
      <c r="A3339" s="11"/>
    </row>
    <row r="3340" spans="1:1" ht="14.4">
      <c r="A3340" s="11"/>
    </row>
    <row r="3341" spans="1:1" ht="14.4">
      <c r="A3341" s="11"/>
    </row>
    <row r="3342" spans="1:1" ht="14.4">
      <c r="A3342" s="11"/>
    </row>
    <row r="3343" spans="1:1" ht="14.4">
      <c r="A3343" s="11"/>
    </row>
    <row r="3344" spans="1:1" ht="14.4">
      <c r="A3344" s="11"/>
    </row>
    <row r="3345" spans="1:1" ht="14.4">
      <c r="A3345" s="11"/>
    </row>
    <row r="3346" spans="1:1" ht="14.4">
      <c r="A3346" s="11"/>
    </row>
    <row r="3347" spans="1:1" ht="14.4">
      <c r="A3347" s="11"/>
    </row>
    <row r="3348" spans="1:1" ht="14.4">
      <c r="A3348" s="11"/>
    </row>
    <row r="3349" spans="1:1" ht="14.4">
      <c r="A3349" s="11"/>
    </row>
    <row r="3350" spans="1:1" ht="14.4">
      <c r="A3350" s="11"/>
    </row>
    <row r="3351" spans="1:1" ht="14.4">
      <c r="A3351" s="11"/>
    </row>
    <row r="3352" spans="1:1" ht="14.4">
      <c r="A3352" s="11"/>
    </row>
    <row r="3353" spans="1:1" ht="14.4">
      <c r="A3353" s="11"/>
    </row>
    <row r="3354" spans="1:1" ht="14.4">
      <c r="A3354" s="11"/>
    </row>
    <row r="3355" spans="1:1" ht="14.4">
      <c r="A3355" s="11"/>
    </row>
    <row r="3356" spans="1:1" ht="14.4">
      <c r="A3356" s="11"/>
    </row>
    <row r="3357" spans="1:1" ht="14.4">
      <c r="A3357" s="11"/>
    </row>
    <row r="3358" spans="1:1" ht="14.4">
      <c r="A3358" s="11"/>
    </row>
    <row r="3359" spans="1:1" ht="14.4">
      <c r="A3359" s="11"/>
    </row>
    <row r="3360" spans="1:1" ht="14.4">
      <c r="A3360" s="11"/>
    </row>
    <row r="3361" spans="1:1" ht="14.4">
      <c r="A3361" s="11"/>
    </row>
    <row r="3362" spans="1:1" ht="14.4">
      <c r="A3362" s="11"/>
    </row>
    <row r="3363" spans="1:1" ht="14.4">
      <c r="A3363" s="11"/>
    </row>
    <row r="3364" spans="1:1" ht="14.4">
      <c r="A3364" s="11"/>
    </row>
    <row r="3365" spans="1:1" ht="14.4">
      <c r="A3365" s="11"/>
    </row>
    <row r="3366" spans="1:1" ht="14.4">
      <c r="A3366" s="11"/>
    </row>
    <row r="3367" spans="1:1" ht="14.4">
      <c r="A3367" s="11"/>
    </row>
    <row r="3368" spans="1:1" ht="14.4">
      <c r="A3368" s="11"/>
    </row>
    <row r="3369" spans="1:1" ht="14.4">
      <c r="A3369" s="11"/>
    </row>
    <row r="3370" spans="1:1" ht="14.4">
      <c r="A3370" s="11"/>
    </row>
    <row r="3371" spans="1:1" ht="14.4">
      <c r="A3371" s="11"/>
    </row>
    <row r="3372" spans="1:1" ht="14.4">
      <c r="A3372" s="11"/>
    </row>
    <row r="3373" spans="1:1" ht="14.4">
      <c r="A3373" s="11"/>
    </row>
    <row r="3374" spans="1:1" ht="14.4">
      <c r="A3374" s="11"/>
    </row>
    <row r="3375" spans="1:1" ht="14.4">
      <c r="A3375" s="11"/>
    </row>
    <row r="3376" spans="1:1" ht="14.4">
      <c r="A3376" s="11"/>
    </row>
    <row r="3377" spans="1:1" ht="14.4">
      <c r="A3377" s="11"/>
    </row>
    <row r="3378" spans="1:1" ht="14.4">
      <c r="A3378" s="11"/>
    </row>
    <row r="3379" spans="1:1" ht="14.4">
      <c r="A3379" s="11"/>
    </row>
    <row r="3380" spans="1:1" ht="14.4">
      <c r="A3380" s="11"/>
    </row>
    <row r="3381" spans="1:1" ht="14.4">
      <c r="A3381" s="11"/>
    </row>
    <row r="3382" spans="1:1" ht="14.4">
      <c r="A3382" s="11"/>
    </row>
    <row r="3383" spans="1:1" ht="14.4">
      <c r="A3383" s="11"/>
    </row>
    <row r="3384" spans="1:1" ht="14.4">
      <c r="A3384" s="11"/>
    </row>
    <row r="3385" spans="1:1" ht="14.4">
      <c r="A3385" s="11"/>
    </row>
    <row r="3386" spans="1:1" ht="14.4">
      <c r="A3386" s="11"/>
    </row>
    <row r="3387" spans="1:1" ht="14.4">
      <c r="A3387" s="11"/>
    </row>
    <row r="3388" spans="1:1" ht="14.4">
      <c r="A3388" s="11"/>
    </row>
    <row r="3389" spans="1:1" ht="14.4">
      <c r="A3389" s="11"/>
    </row>
    <row r="3390" spans="1:1" ht="14.4">
      <c r="A3390" s="11"/>
    </row>
    <row r="3391" spans="1:1" ht="14.4">
      <c r="A3391" s="11"/>
    </row>
    <row r="3392" spans="1:1" ht="14.4">
      <c r="A3392" s="11"/>
    </row>
    <row r="3393" spans="1:1" ht="14.4">
      <c r="A3393" s="11"/>
    </row>
    <row r="3394" spans="1:1" ht="14.4">
      <c r="A3394" s="11"/>
    </row>
    <row r="3395" spans="1:1" ht="14.4">
      <c r="A3395" s="11"/>
    </row>
    <row r="3396" spans="1:1" ht="14.4">
      <c r="A3396" s="11"/>
    </row>
    <row r="3397" spans="1:1" ht="14.4">
      <c r="A3397" s="11"/>
    </row>
    <row r="3398" spans="1:1" ht="14.4">
      <c r="A3398" s="11"/>
    </row>
    <row r="3399" spans="1:1" ht="14.4">
      <c r="A3399" s="11"/>
    </row>
    <row r="3400" spans="1:1" ht="14.4">
      <c r="A3400" s="11"/>
    </row>
    <row r="3401" spans="1:1" ht="14.4">
      <c r="A3401" s="11"/>
    </row>
    <row r="3402" spans="1:1" ht="14.4">
      <c r="A3402" s="11"/>
    </row>
    <row r="3403" spans="1:1" ht="14.4">
      <c r="A3403" s="11"/>
    </row>
    <row r="3404" spans="1:1" ht="14.4">
      <c r="A3404" s="11"/>
    </row>
    <row r="3405" spans="1:1" ht="14.4">
      <c r="A3405" s="11"/>
    </row>
    <row r="3406" spans="1:1" ht="14.4">
      <c r="A3406" s="11"/>
    </row>
    <row r="3407" spans="1:1" ht="14.4">
      <c r="A3407" s="11"/>
    </row>
    <row r="3408" spans="1:1" ht="14.4">
      <c r="A3408" s="11"/>
    </row>
    <row r="3409" spans="1:1" ht="14.4">
      <c r="A3409" s="11"/>
    </row>
    <row r="3410" spans="1:1" ht="14.4">
      <c r="A3410" s="11"/>
    </row>
    <row r="3411" spans="1:1" ht="14.4">
      <c r="A3411" s="11"/>
    </row>
    <row r="3412" spans="1:1" ht="14.4">
      <c r="A3412" s="11"/>
    </row>
    <row r="3413" spans="1:1" ht="14.4">
      <c r="A3413" s="11"/>
    </row>
    <row r="3414" spans="1:1" ht="14.4">
      <c r="A3414" s="11"/>
    </row>
    <row r="3415" spans="1:1" ht="14.4">
      <c r="A3415" s="11"/>
    </row>
    <row r="3416" spans="1:1" ht="14.4">
      <c r="A3416" s="11"/>
    </row>
    <row r="3417" spans="1:1" ht="14.4">
      <c r="A3417" s="11"/>
    </row>
    <row r="3418" spans="1:1" ht="14.4">
      <c r="A3418" s="11"/>
    </row>
    <row r="3419" spans="1:1" ht="14.4">
      <c r="A3419" s="11"/>
    </row>
    <row r="3420" spans="1:1" ht="14.4">
      <c r="A3420" s="11"/>
    </row>
    <row r="3421" spans="1:1" ht="14.4">
      <c r="A3421" s="11"/>
    </row>
    <row r="3422" spans="1:1" ht="14.4">
      <c r="A3422" s="11"/>
    </row>
    <row r="3423" spans="1:1" ht="14.4">
      <c r="A3423" s="11"/>
    </row>
    <row r="3424" spans="1:1" ht="14.4">
      <c r="A3424" s="11"/>
    </row>
    <row r="3425" spans="1:1" ht="14.4">
      <c r="A3425" s="11"/>
    </row>
    <row r="3426" spans="1:1" ht="14.4">
      <c r="A3426" s="11"/>
    </row>
    <row r="3427" spans="1:1" ht="14.4">
      <c r="A3427" s="11"/>
    </row>
    <row r="3428" spans="1:1" ht="14.4">
      <c r="A3428" s="11"/>
    </row>
    <row r="3429" spans="1:1" ht="14.4">
      <c r="A3429" s="11"/>
    </row>
    <row r="3430" spans="1:1" ht="14.4">
      <c r="A3430" s="11"/>
    </row>
    <row r="3431" spans="1:1" ht="14.4">
      <c r="A3431" s="11"/>
    </row>
    <row r="3432" spans="1:1" ht="14.4">
      <c r="A3432" s="11"/>
    </row>
    <row r="3433" spans="1:1" ht="14.4">
      <c r="A3433" s="11"/>
    </row>
    <row r="3434" spans="1:1" ht="14.4">
      <c r="A3434" s="11"/>
    </row>
    <row r="3435" spans="1:1" ht="14.4">
      <c r="A3435" s="11"/>
    </row>
    <row r="3436" spans="1:1" ht="14.4">
      <c r="A3436" s="11"/>
    </row>
    <row r="3437" spans="1:1" ht="14.4">
      <c r="A3437" s="11"/>
    </row>
    <row r="3438" spans="1:1" ht="14.4">
      <c r="A3438" s="11"/>
    </row>
    <row r="3439" spans="1:1" ht="14.4">
      <c r="A3439" s="11"/>
    </row>
    <row r="3440" spans="1:1" ht="14.4">
      <c r="A3440" s="11"/>
    </row>
    <row r="3441" spans="1:1" ht="14.4">
      <c r="A3441" s="11"/>
    </row>
    <row r="3442" spans="1:1" ht="14.4">
      <c r="A3442" s="11"/>
    </row>
    <row r="3443" spans="1:1" ht="14.4">
      <c r="A3443" s="11"/>
    </row>
    <row r="3444" spans="1:1" ht="14.4">
      <c r="A3444" s="11"/>
    </row>
    <row r="3445" spans="1:1" ht="14.4">
      <c r="A3445" s="11"/>
    </row>
    <row r="3446" spans="1:1" ht="14.4">
      <c r="A3446" s="11"/>
    </row>
    <row r="3447" spans="1:1" ht="14.4">
      <c r="A3447" s="11"/>
    </row>
    <row r="3448" spans="1:1" ht="14.4">
      <c r="A3448" s="11"/>
    </row>
    <row r="3449" spans="1:1" ht="14.4">
      <c r="A3449" s="11"/>
    </row>
    <row r="3450" spans="1:1" ht="14.4">
      <c r="A3450" s="11"/>
    </row>
    <row r="3451" spans="1:1" ht="14.4">
      <c r="A3451" s="11"/>
    </row>
    <row r="3452" spans="1:1" ht="14.4">
      <c r="A3452" s="11"/>
    </row>
    <row r="3453" spans="1:1" ht="14.4">
      <c r="A3453" s="11"/>
    </row>
    <row r="3454" spans="1:1" ht="14.4">
      <c r="A3454" s="11"/>
    </row>
    <row r="3455" spans="1:1" ht="14.4">
      <c r="A3455" s="11"/>
    </row>
    <row r="3456" spans="1:1" ht="14.4">
      <c r="A3456" s="11"/>
    </row>
    <row r="3457" spans="1:1" ht="14.4">
      <c r="A3457" s="11"/>
    </row>
    <row r="3458" spans="1:1" ht="14.4">
      <c r="A3458" s="11"/>
    </row>
    <row r="3459" spans="1:1" ht="14.4">
      <c r="A3459" s="11"/>
    </row>
    <row r="3460" spans="1:1" ht="14.4">
      <c r="A3460" s="11"/>
    </row>
    <row r="3461" spans="1:1" ht="14.4">
      <c r="A3461" s="11"/>
    </row>
    <row r="3462" spans="1:1" ht="14.4">
      <c r="A3462" s="11"/>
    </row>
    <row r="3463" spans="1:1" ht="14.4">
      <c r="A3463" s="11"/>
    </row>
    <row r="3464" spans="1:1" ht="14.4">
      <c r="A3464" s="11"/>
    </row>
    <row r="3465" spans="1:1" ht="14.4">
      <c r="A3465" s="11"/>
    </row>
    <row r="3466" spans="1:1" ht="14.4">
      <c r="A3466" s="11"/>
    </row>
    <row r="3467" spans="1:1" ht="14.4">
      <c r="A3467" s="11"/>
    </row>
    <row r="3468" spans="1:1" ht="14.4">
      <c r="A3468" s="11"/>
    </row>
    <row r="3469" spans="1:1" ht="14.4">
      <c r="A3469" s="11"/>
    </row>
    <row r="3470" spans="1:1" ht="14.4">
      <c r="A3470" s="11"/>
    </row>
    <row r="3471" spans="1:1" ht="14.4">
      <c r="A3471" s="11"/>
    </row>
    <row r="3472" spans="1:1" ht="14.4">
      <c r="A3472" s="11"/>
    </row>
    <row r="3473" spans="1:1" ht="14.4">
      <c r="A3473" s="11"/>
    </row>
    <row r="3474" spans="1:1" ht="14.4">
      <c r="A3474" s="11"/>
    </row>
    <row r="3475" spans="1:1" ht="14.4">
      <c r="A3475" s="11"/>
    </row>
    <row r="3476" spans="1:1" ht="14.4">
      <c r="A3476" s="11"/>
    </row>
    <row r="3477" spans="1:1" ht="14.4">
      <c r="A3477" s="11"/>
    </row>
    <row r="3478" spans="1:1" ht="14.4">
      <c r="A3478" s="11"/>
    </row>
    <row r="3479" spans="1:1" ht="14.4">
      <c r="A3479" s="11"/>
    </row>
    <row r="3480" spans="1:1" ht="14.4">
      <c r="A3480" s="11"/>
    </row>
    <row r="3481" spans="1:1" ht="14.4">
      <c r="A3481" s="11"/>
    </row>
    <row r="3482" spans="1:1" ht="14.4">
      <c r="A3482" s="11"/>
    </row>
    <row r="3483" spans="1:1" ht="14.4">
      <c r="A3483" s="11"/>
    </row>
    <row r="3484" spans="1:1" ht="14.4">
      <c r="A3484" s="11"/>
    </row>
    <row r="3485" spans="1:1" ht="14.4">
      <c r="A3485" s="11"/>
    </row>
    <row r="3486" spans="1:1" ht="14.4">
      <c r="A3486" s="11"/>
    </row>
    <row r="3487" spans="1:1" ht="14.4">
      <c r="A3487" s="11"/>
    </row>
    <row r="3488" spans="1:1" ht="14.4">
      <c r="A3488" s="11"/>
    </row>
    <row r="3489" spans="1:1" ht="14.4">
      <c r="A3489" s="11"/>
    </row>
    <row r="3490" spans="1:1" ht="14.4">
      <c r="A3490" s="11"/>
    </row>
    <row r="3491" spans="1:1" ht="14.4">
      <c r="A3491" s="11"/>
    </row>
    <row r="3492" spans="1:1" ht="14.4">
      <c r="A3492" s="11"/>
    </row>
    <row r="3493" spans="1:1" ht="14.4">
      <c r="A3493" s="11"/>
    </row>
    <row r="3494" spans="1:1" ht="14.4">
      <c r="A3494" s="11"/>
    </row>
    <row r="3495" spans="1:1" ht="14.4">
      <c r="A3495" s="11"/>
    </row>
    <row r="3496" spans="1:1" ht="14.4">
      <c r="A3496" s="11"/>
    </row>
    <row r="3497" spans="1:1" ht="14.4">
      <c r="A3497" s="11"/>
    </row>
    <row r="3498" spans="1:1" ht="14.4">
      <c r="A3498" s="11"/>
    </row>
    <row r="3499" spans="1:1" ht="14.4">
      <c r="A3499" s="11"/>
    </row>
    <row r="3500" spans="1:1" ht="14.4">
      <c r="A3500" s="11"/>
    </row>
    <row r="3501" spans="1:1" ht="14.4">
      <c r="A3501" s="11"/>
    </row>
    <row r="3502" spans="1:1" ht="14.4">
      <c r="A3502" s="11"/>
    </row>
    <row r="3503" spans="1:1" ht="14.4">
      <c r="A3503" s="11"/>
    </row>
    <row r="3504" spans="1:1" ht="14.4">
      <c r="A3504" s="11"/>
    </row>
    <row r="3505" spans="1:1" ht="14.4">
      <c r="A3505" s="11"/>
    </row>
    <row r="3506" spans="1:1" ht="14.4">
      <c r="A3506" s="11"/>
    </row>
    <row r="3507" spans="1:1" ht="14.4">
      <c r="A3507" s="11"/>
    </row>
    <row r="3508" spans="1:1" ht="14.4">
      <c r="A3508" s="11"/>
    </row>
    <row r="3509" spans="1:1" ht="14.4">
      <c r="A3509" s="11"/>
    </row>
    <row r="3510" spans="1:1" ht="14.4">
      <c r="A3510" s="11"/>
    </row>
    <row r="3511" spans="1:1" ht="14.4">
      <c r="A3511" s="11"/>
    </row>
    <row r="3512" spans="1:1" ht="14.4">
      <c r="A3512" s="11"/>
    </row>
    <row r="3513" spans="1:1" ht="14.4">
      <c r="A3513" s="11"/>
    </row>
    <row r="3514" spans="1:1" ht="14.4">
      <c r="A3514" s="11"/>
    </row>
    <row r="3515" spans="1:1" ht="14.4">
      <c r="A3515" s="11"/>
    </row>
    <row r="3516" spans="1:1" ht="14.4">
      <c r="A3516" s="11"/>
    </row>
    <row r="3517" spans="1:1" ht="14.4">
      <c r="A3517" s="11"/>
    </row>
    <row r="3518" spans="1:1" ht="14.4">
      <c r="A3518" s="11"/>
    </row>
    <row r="3519" spans="1:1" ht="14.4">
      <c r="A3519" s="11"/>
    </row>
    <row r="3520" spans="1:1" ht="14.4">
      <c r="A3520" s="11"/>
    </row>
    <row r="3521" spans="1:1" ht="14.4">
      <c r="A3521" s="11"/>
    </row>
    <row r="3522" spans="1:1" ht="14.4">
      <c r="A3522" s="11"/>
    </row>
    <row r="3523" spans="1:1" ht="14.4">
      <c r="A3523" s="11"/>
    </row>
    <row r="3524" spans="1:1" ht="14.4">
      <c r="A3524" s="11"/>
    </row>
    <row r="3525" spans="1:1" ht="14.4">
      <c r="A3525" s="11"/>
    </row>
    <row r="3526" spans="1:1" ht="14.4">
      <c r="A3526" s="11"/>
    </row>
    <row r="3527" spans="1:1" ht="14.4">
      <c r="A3527" s="11"/>
    </row>
    <row r="3528" spans="1:1" ht="14.4">
      <c r="A3528" s="11"/>
    </row>
    <row r="3529" spans="1:1" ht="14.4">
      <c r="A3529" s="11"/>
    </row>
    <row r="3530" spans="1:1" ht="14.4">
      <c r="A3530" s="11"/>
    </row>
    <row r="3531" spans="1:1" ht="14.4">
      <c r="A3531" s="11"/>
    </row>
    <row r="3532" spans="1:1" ht="14.4">
      <c r="A3532" s="11"/>
    </row>
    <row r="3533" spans="1:1" ht="14.4">
      <c r="A3533" s="11"/>
    </row>
    <row r="3534" spans="1:1" ht="14.4">
      <c r="A3534" s="11"/>
    </row>
    <row r="3535" spans="1:1" ht="14.4">
      <c r="A3535" s="11"/>
    </row>
    <row r="3536" spans="1:1" ht="14.4">
      <c r="A3536" s="11"/>
    </row>
    <row r="3537" spans="1:1" ht="14.4">
      <c r="A3537" s="11"/>
    </row>
    <row r="3538" spans="1:1" ht="14.4">
      <c r="A3538" s="11"/>
    </row>
    <row r="3539" spans="1:1" ht="14.4">
      <c r="A3539" s="11"/>
    </row>
    <row r="3540" spans="1:1" ht="14.4">
      <c r="A3540" s="11"/>
    </row>
    <row r="3541" spans="1:1" ht="14.4">
      <c r="A3541" s="11"/>
    </row>
    <row r="3542" spans="1:1" ht="14.4">
      <c r="A3542" s="11"/>
    </row>
    <row r="3543" spans="1:1" ht="14.4">
      <c r="A3543" s="11"/>
    </row>
    <row r="3544" spans="1:1" ht="14.4">
      <c r="A3544" s="11"/>
    </row>
    <row r="3545" spans="1:1" ht="14.4">
      <c r="A3545" s="11"/>
    </row>
    <row r="3546" spans="1:1" ht="14.4">
      <c r="A3546" s="11"/>
    </row>
    <row r="3547" spans="1:1" ht="14.4">
      <c r="A3547" s="11"/>
    </row>
    <row r="3548" spans="1:1" ht="14.4">
      <c r="A3548" s="11"/>
    </row>
    <row r="3549" spans="1:1" ht="14.4">
      <c r="A3549" s="11"/>
    </row>
    <row r="3550" spans="1:1" ht="14.4">
      <c r="A3550" s="11"/>
    </row>
    <row r="3551" spans="1:1" ht="14.4">
      <c r="A3551" s="11"/>
    </row>
    <row r="3552" spans="1:1" ht="14.4">
      <c r="A3552" s="11"/>
    </row>
    <row r="3553" spans="1:1" ht="14.4">
      <c r="A3553" s="11"/>
    </row>
    <row r="3554" spans="1:1" ht="14.4">
      <c r="A3554" s="11"/>
    </row>
    <row r="3555" spans="1:1" ht="14.4">
      <c r="A3555" s="11"/>
    </row>
    <row r="3556" spans="1:1" ht="14.4">
      <c r="A3556" s="11"/>
    </row>
    <row r="3557" spans="1:1" ht="14.4">
      <c r="A3557" s="11"/>
    </row>
    <row r="3558" spans="1:1" ht="14.4">
      <c r="A3558" s="11"/>
    </row>
    <row r="3559" spans="1:1" ht="14.4">
      <c r="A3559" s="11"/>
    </row>
    <row r="3560" spans="1:1" ht="14.4">
      <c r="A3560" s="11"/>
    </row>
    <row r="3561" spans="1:1" ht="14.4">
      <c r="A3561" s="11"/>
    </row>
    <row r="3562" spans="1:1" ht="14.4">
      <c r="A3562" s="11"/>
    </row>
    <row r="3563" spans="1:1" ht="14.4">
      <c r="A3563" s="11"/>
    </row>
    <row r="3564" spans="1:1" ht="14.4">
      <c r="A3564" s="11"/>
    </row>
    <row r="3565" spans="1:1" ht="14.4">
      <c r="A3565" s="11"/>
    </row>
    <row r="3566" spans="1:1" ht="14.4">
      <c r="A3566" s="11"/>
    </row>
    <row r="3567" spans="1:1" ht="14.4">
      <c r="A3567" s="11"/>
    </row>
    <row r="3568" spans="1:1" ht="14.4">
      <c r="A3568" s="11"/>
    </row>
    <row r="3569" spans="1:1" ht="14.4">
      <c r="A3569" s="11"/>
    </row>
    <row r="3570" spans="1:1" ht="14.4">
      <c r="A3570" s="11"/>
    </row>
    <row r="3571" spans="1:1" ht="14.4">
      <c r="A3571" s="11"/>
    </row>
    <row r="3572" spans="1:1" ht="14.4">
      <c r="A3572" s="11"/>
    </row>
    <row r="3573" spans="1:1" ht="14.4">
      <c r="A3573" s="11"/>
    </row>
    <row r="3574" spans="1:1" ht="14.4">
      <c r="A3574" s="11"/>
    </row>
    <row r="3575" spans="1:1" ht="14.4">
      <c r="A3575" s="11"/>
    </row>
    <row r="3576" spans="1:1" ht="14.4">
      <c r="A3576" s="11"/>
    </row>
    <row r="3577" spans="1:1" ht="14.4">
      <c r="A3577" s="11"/>
    </row>
    <row r="3578" spans="1:1" ht="14.4">
      <c r="A3578" s="11"/>
    </row>
    <row r="3579" spans="1:1" ht="14.4">
      <c r="A3579" s="11"/>
    </row>
    <row r="3580" spans="1:1" ht="14.4">
      <c r="A3580" s="11"/>
    </row>
    <row r="3581" spans="1:1" ht="14.4">
      <c r="A3581" s="11"/>
    </row>
    <row r="3582" spans="1:1" ht="14.4">
      <c r="A3582" s="11"/>
    </row>
    <row r="3583" spans="1:1" ht="14.4">
      <c r="A3583" s="11"/>
    </row>
    <row r="3584" spans="1:1" ht="14.4">
      <c r="A3584" s="11"/>
    </row>
    <row r="3585" spans="1:1" ht="14.4">
      <c r="A3585" s="11"/>
    </row>
    <row r="3586" spans="1:1" ht="14.4">
      <c r="A3586" s="11"/>
    </row>
    <row r="3587" spans="1:1" ht="14.4">
      <c r="A3587" s="11"/>
    </row>
    <row r="3588" spans="1:1" ht="14.4">
      <c r="A3588" s="11"/>
    </row>
    <row r="3589" spans="1:1" ht="14.4">
      <c r="A3589" s="11"/>
    </row>
    <row r="3590" spans="1:1" ht="14.4">
      <c r="A3590" s="11"/>
    </row>
    <row r="3591" spans="1:1" ht="14.4">
      <c r="A3591" s="11"/>
    </row>
    <row r="3592" spans="1:1" ht="14.4">
      <c r="A3592" s="11"/>
    </row>
    <row r="3593" spans="1:1" ht="14.4">
      <c r="A3593" s="11"/>
    </row>
    <row r="3594" spans="1:1" ht="14.4">
      <c r="A3594" s="11"/>
    </row>
    <row r="3595" spans="1:1" ht="14.4">
      <c r="A3595" s="11"/>
    </row>
    <row r="3596" spans="1:1" ht="14.4">
      <c r="A3596" s="11"/>
    </row>
    <row r="3597" spans="1:1" ht="14.4">
      <c r="A3597" s="11"/>
    </row>
    <row r="3598" spans="1:1" ht="14.4">
      <c r="A3598" s="11"/>
    </row>
    <row r="3599" spans="1:1" ht="14.4">
      <c r="A3599" s="11"/>
    </row>
    <row r="3600" spans="1:1" ht="14.4">
      <c r="A3600" s="11"/>
    </row>
    <row r="3601" spans="1:1" ht="14.4">
      <c r="A3601" s="11"/>
    </row>
    <row r="3602" spans="1:1" ht="14.4">
      <c r="A3602" s="11"/>
    </row>
    <row r="3603" spans="1:1" ht="14.4">
      <c r="A3603" s="11"/>
    </row>
    <row r="3604" spans="1:1" ht="14.4">
      <c r="A3604" s="11"/>
    </row>
    <row r="3605" spans="1:1" ht="14.4">
      <c r="A3605" s="11"/>
    </row>
    <row r="3606" spans="1:1" ht="14.4">
      <c r="A3606" s="11"/>
    </row>
    <row r="3607" spans="1:1" ht="14.4">
      <c r="A3607" s="11"/>
    </row>
    <row r="3608" spans="1:1" ht="14.4">
      <c r="A3608" s="11"/>
    </row>
    <row r="3609" spans="1:1" ht="14.4">
      <c r="A3609" s="11"/>
    </row>
    <row r="3610" spans="1:1" ht="14.4">
      <c r="A3610" s="11"/>
    </row>
    <row r="3611" spans="1:1" ht="14.4">
      <c r="A3611" s="11"/>
    </row>
    <row r="3612" spans="1:1" ht="14.4">
      <c r="A3612" s="11"/>
    </row>
    <row r="3613" spans="1:1" ht="14.4">
      <c r="A3613" s="11"/>
    </row>
    <row r="3614" spans="1:1" ht="14.4">
      <c r="A3614" s="11"/>
    </row>
    <row r="3615" spans="1:1" ht="14.4">
      <c r="A3615" s="11"/>
    </row>
    <row r="3616" spans="1:1" ht="14.4">
      <c r="A3616" s="11"/>
    </row>
    <row r="3617" spans="1:1" ht="14.4">
      <c r="A3617" s="11"/>
    </row>
    <row r="3618" spans="1:1" ht="14.4">
      <c r="A3618" s="11"/>
    </row>
    <row r="3619" spans="1:1" ht="14.4">
      <c r="A3619" s="11"/>
    </row>
    <row r="3620" spans="1:1" ht="14.4">
      <c r="A3620" s="11"/>
    </row>
    <row r="3621" spans="1:1" ht="14.4">
      <c r="A3621" s="11"/>
    </row>
    <row r="3622" spans="1:1" ht="14.4">
      <c r="A3622" s="11"/>
    </row>
    <row r="3623" spans="1:1" ht="14.4">
      <c r="A3623" s="11"/>
    </row>
    <row r="3624" spans="1:1" ht="14.4">
      <c r="A3624" s="11"/>
    </row>
    <row r="3625" spans="1:1" ht="14.4">
      <c r="A3625" s="11"/>
    </row>
    <row r="3626" spans="1:1" ht="14.4">
      <c r="A3626" s="11"/>
    </row>
    <row r="3627" spans="1:1" ht="14.4">
      <c r="A3627" s="11"/>
    </row>
    <row r="3628" spans="1:1" ht="14.4">
      <c r="A3628" s="11"/>
    </row>
    <row r="3629" spans="1:1" ht="14.4">
      <c r="A3629" s="11"/>
    </row>
    <row r="3630" spans="1:1" ht="14.4">
      <c r="A3630" s="11"/>
    </row>
    <row r="3631" spans="1:1" ht="14.4">
      <c r="A3631" s="11"/>
    </row>
    <row r="3632" spans="1:1" ht="14.4">
      <c r="A3632" s="11"/>
    </row>
    <row r="3633" spans="1:1" ht="14.4">
      <c r="A3633" s="11"/>
    </row>
    <row r="3634" spans="1:1" ht="14.4">
      <c r="A3634" s="11"/>
    </row>
    <row r="3635" spans="1:1" ht="14.4">
      <c r="A3635" s="11"/>
    </row>
    <row r="3636" spans="1:1" ht="14.4">
      <c r="A3636" s="11"/>
    </row>
    <row r="3637" spans="1:1" ht="14.4">
      <c r="A3637" s="11"/>
    </row>
    <row r="3638" spans="1:1" ht="14.4">
      <c r="A3638" s="11"/>
    </row>
    <row r="3639" spans="1:1" ht="14.4">
      <c r="A3639" s="11"/>
    </row>
    <row r="3640" spans="1:1" ht="14.4">
      <c r="A3640" s="11"/>
    </row>
    <row r="3641" spans="1:1" ht="14.4">
      <c r="A3641" s="11"/>
    </row>
    <row r="3642" spans="1:1" ht="14.4">
      <c r="A3642" s="11"/>
    </row>
    <row r="3643" spans="1:1" ht="14.4">
      <c r="A3643" s="11"/>
    </row>
    <row r="3644" spans="1:1" ht="14.4">
      <c r="A3644" s="11"/>
    </row>
    <row r="3645" spans="1:1" ht="14.4">
      <c r="A3645" s="11"/>
    </row>
    <row r="3646" spans="1:1" ht="14.4">
      <c r="A3646" s="11"/>
    </row>
    <row r="3647" spans="1:1" ht="14.4">
      <c r="A3647" s="11"/>
    </row>
    <row r="3648" spans="1:1" ht="14.4">
      <c r="A3648" s="11"/>
    </row>
    <row r="3649" spans="1:1" ht="14.4">
      <c r="A3649" s="11"/>
    </row>
    <row r="3650" spans="1:1" ht="14.4">
      <c r="A3650" s="11"/>
    </row>
    <row r="3651" spans="1:1" ht="14.4">
      <c r="A3651" s="11"/>
    </row>
    <row r="3652" spans="1:1" ht="14.4">
      <c r="A3652" s="11"/>
    </row>
    <row r="3653" spans="1:1" ht="14.4">
      <c r="A3653" s="11"/>
    </row>
    <row r="3654" spans="1:1" ht="14.4">
      <c r="A3654" s="11"/>
    </row>
    <row r="3655" spans="1:1" ht="14.4">
      <c r="A3655" s="11"/>
    </row>
    <row r="3656" spans="1:1" ht="14.4">
      <c r="A3656" s="11"/>
    </row>
    <row r="3657" spans="1:1" ht="14.4">
      <c r="A3657" s="11"/>
    </row>
    <row r="3658" spans="1:1" ht="14.4">
      <c r="A3658" s="11"/>
    </row>
    <row r="3659" spans="1:1" ht="14.4">
      <c r="A3659" s="11"/>
    </row>
    <row r="3660" spans="1:1" ht="14.4">
      <c r="A3660" s="11"/>
    </row>
    <row r="3661" spans="1:1" ht="14.4">
      <c r="A3661" s="11"/>
    </row>
    <row r="3662" spans="1:1" ht="14.4">
      <c r="A3662" s="11"/>
    </row>
    <row r="3663" spans="1:1" ht="14.4">
      <c r="A3663" s="11"/>
    </row>
    <row r="3664" spans="1:1" ht="14.4">
      <c r="A3664" s="11"/>
    </row>
    <row r="3665" spans="1:1" ht="14.4">
      <c r="A3665" s="11"/>
    </row>
    <row r="3666" spans="1:1" ht="14.4">
      <c r="A3666" s="11"/>
    </row>
    <row r="3667" spans="1:1" ht="14.4">
      <c r="A3667" s="11"/>
    </row>
    <row r="3668" spans="1:1" ht="14.4">
      <c r="A3668" s="11"/>
    </row>
    <row r="3669" spans="1:1" ht="14.4">
      <c r="A3669" s="11"/>
    </row>
    <row r="3670" spans="1:1" ht="14.4">
      <c r="A3670" s="11"/>
    </row>
    <row r="3671" spans="1:1" ht="14.4">
      <c r="A3671" s="11"/>
    </row>
    <row r="3672" spans="1:1" ht="14.4">
      <c r="A3672" s="11"/>
    </row>
    <row r="3673" spans="1:1" ht="14.4">
      <c r="A3673" s="11"/>
    </row>
    <row r="3674" spans="1:1" ht="14.4">
      <c r="A3674" s="11"/>
    </row>
    <row r="3675" spans="1:1" ht="14.4">
      <c r="A3675" s="11"/>
    </row>
    <row r="3676" spans="1:1" ht="14.4">
      <c r="A3676" s="11"/>
    </row>
    <row r="3677" spans="1:1" ht="14.4">
      <c r="A3677" s="11"/>
    </row>
    <row r="3678" spans="1:1" ht="14.4">
      <c r="A3678" s="11"/>
    </row>
    <row r="3679" spans="1:1" ht="14.4">
      <c r="A3679" s="11"/>
    </row>
    <row r="3680" spans="1:1" ht="14.4">
      <c r="A3680" s="11"/>
    </row>
    <row r="3681" spans="1:1" ht="14.4">
      <c r="A3681" s="11"/>
    </row>
    <row r="3682" spans="1:1" ht="14.4">
      <c r="A3682" s="11"/>
    </row>
    <row r="3683" spans="1:1" ht="14.4">
      <c r="A3683" s="11"/>
    </row>
    <row r="3684" spans="1:1" ht="14.4">
      <c r="A3684" s="11"/>
    </row>
    <row r="3685" spans="1:1" ht="14.4">
      <c r="A3685" s="11"/>
    </row>
    <row r="3686" spans="1:1" ht="14.4">
      <c r="A3686" s="11"/>
    </row>
    <row r="3687" spans="1:1" ht="14.4">
      <c r="A3687" s="11"/>
    </row>
    <row r="3688" spans="1:1" ht="14.4">
      <c r="A3688" s="11"/>
    </row>
    <row r="3689" spans="1:1" ht="14.4">
      <c r="A3689" s="11"/>
    </row>
    <row r="3690" spans="1:1" ht="14.4">
      <c r="A3690" s="11"/>
    </row>
    <row r="3691" spans="1:1" ht="14.4">
      <c r="A3691" s="11"/>
    </row>
    <row r="3692" spans="1:1" ht="14.4">
      <c r="A3692" s="11"/>
    </row>
    <row r="3693" spans="1:1" ht="14.4">
      <c r="A3693" s="11"/>
    </row>
    <row r="3694" spans="1:1" ht="14.4">
      <c r="A3694" s="11"/>
    </row>
    <row r="3695" spans="1:1" ht="14.4">
      <c r="A3695" s="11"/>
    </row>
    <row r="3696" spans="1:1" ht="14.4">
      <c r="A3696" s="11"/>
    </row>
    <row r="3697" spans="1:1" ht="14.4">
      <c r="A3697" s="11"/>
    </row>
    <row r="3698" spans="1:1" ht="14.4">
      <c r="A3698" s="11"/>
    </row>
    <row r="3699" spans="1:1" ht="14.4">
      <c r="A3699" s="11"/>
    </row>
    <row r="3700" spans="1:1" ht="14.4">
      <c r="A3700" s="11"/>
    </row>
    <row r="3701" spans="1:1" ht="14.4">
      <c r="A3701" s="11"/>
    </row>
    <row r="3702" spans="1:1" ht="14.4">
      <c r="A3702" s="11"/>
    </row>
    <row r="3703" spans="1:1" ht="14.4">
      <c r="A3703" s="11"/>
    </row>
    <row r="3704" spans="1:1" ht="14.4">
      <c r="A3704" s="11"/>
    </row>
    <row r="3705" spans="1:1" ht="14.4">
      <c r="A3705" s="11"/>
    </row>
    <row r="3706" spans="1:1" ht="14.4">
      <c r="A3706" s="11"/>
    </row>
    <row r="3707" spans="1:1" ht="14.4">
      <c r="A3707" s="11"/>
    </row>
    <row r="3708" spans="1:1" ht="14.4">
      <c r="A3708" s="11"/>
    </row>
    <row r="3709" spans="1:1" ht="14.4">
      <c r="A3709" s="11"/>
    </row>
    <row r="3710" spans="1:1" ht="14.4">
      <c r="A3710" s="11"/>
    </row>
    <row r="3711" spans="1:1" ht="14.4">
      <c r="A3711" s="11"/>
    </row>
    <row r="3712" spans="1:1" ht="14.4">
      <c r="A3712" s="11"/>
    </row>
    <row r="3713" spans="1:1" ht="14.4">
      <c r="A3713" s="11"/>
    </row>
    <row r="3714" spans="1:1" ht="14.4">
      <c r="A3714" s="11"/>
    </row>
    <row r="3715" spans="1:1" ht="14.4">
      <c r="A3715" s="11"/>
    </row>
    <row r="3716" spans="1:1" ht="14.4">
      <c r="A3716" s="11"/>
    </row>
    <row r="3717" spans="1:1" ht="14.4">
      <c r="A3717" s="11"/>
    </row>
    <row r="3718" spans="1:1" ht="14.4">
      <c r="A3718" s="11"/>
    </row>
    <row r="3719" spans="1:1" ht="14.4">
      <c r="A3719" s="11"/>
    </row>
    <row r="3720" spans="1:1" ht="14.4">
      <c r="A3720" s="11"/>
    </row>
    <row r="3721" spans="1:1" ht="14.4">
      <c r="A3721" s="11"/>
    </row>
    <row r="3722" spans="1:1" ht="14.4">
      <c r="A3722" s="11"/>
    </row>
    <row r="3723" spans="1:1" ht="14.4">
      <c r="A3723" s="11"/>
    </row>
    <row r="3724" spans="1:1" ht="14.4">
      <c r="A3724" s="11"/>
    </row>
    <row r="3725" spans="1:1" ht="14.4">
      <c r="A3725" s="11"/>
    </row>
    <row r="3726" spans="1:1" ht="14.4">
      <c r="A3726" s="11"/>
    </row>
    <row r="3727" spans="1:1" ht="14.4">
      <c r="A3727" s="11"/>
    </row>
    <row r="3728" spans="1:1" ht="14.4">
      <c r="A3728" s="11"/>
    </row>
    <row r="3729" spans="1:1" ht="14.4">
      <c r="A3729" s="11"/>
    </row>
    <row r="3730" spans="1:1" ht="14.4">
      <c r="A3730" s="11"/>
    </row>
    <row r="3731" spans="1:1" ht="14.4">
      <c r="A3731" s="11"/>
    </row>
    <row r="3732" spans="1:1" ht="14.4">
      <c r="A3732" s="11"/>
    </row>
    <row r="3733" spans="1:1" ht="14.4">
      <c r="A3733" s="11"/>
    </row>
    <row r="3734" spans="1:1" ht="14.4">
      <c r="A3734" s="11"/>
    </row>
    <row r="3735" spans="1:1" ht="14.4">
      <c r="A3735" s="11"/>
    </row>
    <row r="3736" spans="1:1" ht="14.4">
      <c r="A3736" s="11"/>
    </row>
    <row r="3737" spans="1:1" ht="14.4">
      <c r="A3737" s="11"/>
    </row>
    <row r="3738" spans="1:1" ht="14.4">
      <c r="A3738" s="11"/>
    </row>
    <row r="3739" spans="1:1" ht="14.4">
      <c r="A3739" s="11"/>
    </row>
    <row r="3740" spans="1:1" ht="14.4">
      <c r="A3740" s="11"/>
    </row>
    <row r="3741" spans="1:1" ht="14.4">
      <c r="A3741" s="11"/>
    </row>
    <row r="3742" spans="1:1" ht="14.4">
      <c r="A3742" s="11"/>
    </row>
    <row r="3743" spans="1:1" ht="14.4">
      <c r="A3743" s="11"/>
    </row>
    <row r="3744" spans="1:1" ht="14.4">
      <c r="A3744" s="11"/>
    </row>
    <row r="3745" spans="1:1" ht="14.4">
      <c r="A3745" s="11"/>
    </row>
    <row r="3746" spans="1:1" ht="14.4">
      <c r="A3746" s="11"/>
    </row>
    <row r="3747" spans="1:1" ht="14.4">
      <c r="A3747" s="11"/>
    </row>
    <row r="3748" spans="1:1" ht="14.4">
      <c r="A3748" s="11"/>
    </row>
    <row r="3749" spans="1:1" ht="14.4">
      <c r="A3749" s="11"/>
    </row>
    <row r="3750" spans="1:1" ht="14.4">
      <c r="A3750" s="11"/>
    </row>
    <row r="3751" spans="1:1" ht="14.4">
      <c r="A3751" s="11"/>
    </row>
    <row r="3752" spans="1:1" ht="14.4">
      <c r="A3752" s="11"/>
    </row>
    <row r="3753" spans="1:1" ht="14.4">
      <c r="A3753" s="11"/>
    </row>
    <row r="3754" spans="1:1" ht="14.4">
      <c r="A3754" s="11"/>
    </row>
    <row r="3755" spans="1:1" ht="14.4">
      <c r="A3755" s="11"/>
    </row>
    <row r="3756" spans="1:1" ht="14.4">
      <c r="A3756" s="11"/>
    </row>
    <row r="3757" spans="1:1" ht="14.4">
      <c r="A3757" s="11"/>
    </row>
    <row r="3758" spans="1:1" ht="14.4">
      <c r="A3758" s="11"/>
    </row>
    <row r="3759" spans="1:1" ht="14.4">
      <c r="A3759" s="11"/>
    </row>
    <row r="3760" spans="1:1" ht="14.4">
      <c r="A3760" s="11"/>
    </row>
    <row r="3761" spans="1:1" ht="14.4">
      <c r="A3761" s="11"/>
    </row>
    <row r="3762" spans="1:1" ht="14.4">
      <c r="A3762" s="11"/>
    </row>
    <row r="3763" spans="1:1" ht="14.4">
      <c r="A3763" s="11"/>
    </row>
    <row r="3764" spans="1:1" ht="14.4">
      <c r="A3764" s="11"/>
    </row>
    <row r="3765" spans="1:1" ht="14.4">
      <c r="A3765" s="11"/>
    </row>
    <row r="3766" spans="1:1" ht="14.4">
      <c r="A3766" s="11"/>
    </row>
    <row r="3767" spans="1:1" ht="14.4">
      <c r="A3767" s="11"/>
    </row>
    <row r="3768" spans="1:1" ht="14.4">
      <c r="A3768" s="11"/>
    </row>
    <row r="3769" spans="1:1" ht="14.4">
      <c r="A3769" s="11"/>
    </row>
    <row r="3770" spans="1:1" ht="14.4">
      <c r="A3770" s="11"/>
    </row>
    <row r="3771" spans="1:1" ht="14.4">
      <c r="A3771" s="11"/>
    </row>
    <row r="3772" spans="1:1" ht="14.4">
      <c r="A3772" s="11"/>
    </row>
    <row r="3773" spans="1:1" ht="14.4">
      <c r="A3773" s="11"/>
    </row>
    <row r="3774" spans="1:1" ht="14.4">
      <c r="A3774" s="11"/>
    </row>
    <row r="3775" spans="1:1" ht="14.4">
      <c r="A3775" s="11"/>
    </row>
    <row r="3776" spans="1:1" ht="14.4">
      <c r="A3776" s="11"/>
    </row>
    <row r="3777" spans="1:1" ht="14.4">
      <c r="A3777" s="11"/>
    </row>
    <row r="3778" spans="1:1" ht="14.4">
      <c r="A3778" s="11"/>
    </row>
    <row r="3779" spans="1:1" ht="14.4">
      <c r="A3779" s="11"/>
    </row>
    <row r="3780" spans="1:1" ht="14.4">
      <c r="A3780" s="11"/>
    </row>
    <row r="3781" spans="1:1" ht="14.4">
      <c r="A3781" s="11"/>
    </row>
    <row r="3782" spans="1:1" ht="14.4">
      <c r="A3782" s="11"/>
    </row>
    <row r="3783" spans="1:1" ht="14.4">
      <c r="A3783" s="11"/>
    </row>
    <row r="3784" spans="1:1" ht="14.4">
      <c r="A3784" s="11"/>
    </row>
    <row r="3785" spans="1:1" ht="14.4">
      <c r="A3785" s="11"/>
    </row>
    <row r="3786" spans="1:1" ht="14.4">
      <c r="A3786" s="11"/>
    </row>
    <row r="3787" spans="1:1" ht="14.4">
      <c r="A3787" s="11"/>
    </row>
    <row r="3788" spans="1:1" ht="14.4">
      <c r="A3788" s="11"/>
    </row>
    <row r="3789" spans="1:1" ht="14.4">
      <c r="A3789" s="11"/>
    </row>
    <row r="3790" spans="1:1" ht="14.4">
      <c r="A3790" s="11"/>
    </row>
    <row r="3791" spans="1:1" ht="14.4">
      <c r="A3791" s="11"/>
    </row>
    <row r="3792" spans="1:1" ht="14.4">
      <c r="A3792" s="11"/>
    </row>
    <row r="3793" spans="1:1" ht="14.4">
      <c r="A3793" s="11"/>
    </row>
    <row r="3794" spans="1:1" ht="14.4">
      <c r="A3794" s="11"/>
    </row>
    <row r="3795" spans="1:1" ht="14.4">
      <c r="A3795" s="11"/>
    </row>
    <row r="3796" spans="1:1" ht="14.4">
      <c r="A3796" s="11"/>
    </row>
    <row r="3797" spans="1:1" ht="14.4">
      <c r="A3797" s="11"/>
    </row>
    <row r="3798" spans="1:1" ht="14.4">
      <c r="A3798" s="11"/>
    </row>
    <row r="3799" spans="1:1" ht="14.4">
      <c r="A3799" s="11"/>
    </row>
    <row r="3800" spans="1:1" ht="14.4">
      <c r="A3800" s="11"/>
    </row>
    <row r="3801" spans="1:1" ht="14.4">
      <c r="A3801" s="11"/>
    </row>
    <row r="3802" spans="1:1" ht="14.4">
      <c r="A3802" s="11"/>
    </row>
    <row r="3803" spans="1:1" ht="14.4">
      <c r="A3803" s="11"/>
    </row>
    <row r="3804" spans="1:1" ht="14.4">
      <c r="A3804" s="11"/>
    </row>
    <row r="3805" spans="1:1" ht="14.4">
      <c r="A3805" s="11"/>
    </row>
    <row r="3806" spans="1:1" ht="14.4">
      <c r="A3806" s="11"/>
    </row>
    <row r="3807" spans="1:1" ht="14.4">
      <c r="A3807" s="11"/>
    </row>
    <row r="3808" spans="1:1" ht="14.4">
      <c r="A3808" s="11"/>
    </row>
    <row r="3809" spans="1:1" ht="14.4">
      <c r="A3809" s="11"/>
    </row>
    <row r="3810" spans="1:1" ht="14.4">
      <c r="A3810" s="11"/>
    </row>
    <row r="3811" spans="1:1" ht="14.4">
      <c r="A3811" s="11"/>
    </row>
    <row r="3812" spans="1:1" ht="14.4">
      <c r="A3812" s="11"/>
    </row>
    <row r="3813" spans="1:1" ht="14.4">
      <c r="A3813" s="11"/>
    </row>
    <row r="3814" spans="1:1" ht="14.4">
      <c r="A3814" s="11"/>
    </row>
    <row r="3815" spans="1:1" ht="14.4">
      <c r="A3815" s="11"/>
    </row>
    <row r="3816" spans="1:1" ht="14.4">
      <c r="A3816" s="11"/>
    </row>
    <row r="3817" spans="1:1" ht="14.4">
      <c r="A3817" s="11"/>
    </row>
    <row r="3818" spans="1:1" ht="14.4">
      <c r="A3818" s="11"/>
    </row>
    <row r="3819" spans="1:1" ht="14.4">
      <c r="A3819" s="11"/>
    </row>
    <row r="3820" spans="1:1" ht="14.4">
      <c r="A3820" s="11"/>
    </row>
    <row r="3821" spans="1:1" ht="14.4">
      <c r="A3821" s="11"/>
    </row>
    <row r="3822" spans="1:1" ht="14.4">
      <c r="A3822" s="11"/>
    </row>
    <row r="3823" spans="1:1" ht="14.4">
      <c r="A3823" s="11"/>
    </row>
    <row r="3824" spans="1:1" ht="14.4">
      <c r="A3824" s="11"/>
    </row>
    <row r="3825" spans="1:1" ht="14.4">
      <c r="A3825" s="11"/>
    </row>
    <row r="3826" spans="1:1" ht="14.4">
      <c r="A3826" s="11"/>
    </row>
    <row r="3827" spans="1:1" ht="14.4">
      <c r="A3827" s="11"/>
    </row>
    <row r="3828" spans="1:1" ht="14.4">
      <c r="A3828" s="11"/>
    </row>
    <row r="3829" spans="1:1" ht="14.4">
      <c r="A3829" s="11"/>
    </row>
    <row r="3830" spans="1:1" ht="14.4">
      <c r="A3830" s="11"/>
    </row>
    <row r="3831" spans="1:1" ht="14.4">
      <c r="A3831" s="11"/>
    </row>
    <row r="3832" spans="1:1" ht="14.4">
      <c r="A3832" s="11"/>
    </row>
    <row r="3833" spans="1:1" ht="14.4">
      <c r="A3833" s="11"/>
    </row>
    <row r="3834" spans="1:1" ht="14.4">
      <c r="A3834" s="11"/>
    </row>
    <row r="3835" spans="1:1" ht="14.4">
      <c r="A3835" s="11"/>
    </row>
    <row r="3836" spans="1:1" ht="14.4">
      <c r="A3836" s="11"/>
    </row>
    <row r="3837" spans="1:1" ht="14.4">
      <c r="A3837" s="11"/>
    </row>
    <row r="3838" spans="1:1" ht="14.4">
      <c r="A3838" s="11"/>
    </row>
    <row r="3839" spans="1:1" ht="14.4">
      <c r="A3839" s="11"/>
    </row>
    <row r="3840" spans="1:1" ht="14.4">
      <c r="A3840" s="11"/>
    </row>
    <row r="3841" spans="1:1" ht="14.4">
      <c r="A3841" s="11"/>
    </row>
    <row r="3842" spans="1:1" ht="14.4">
      <c r="A3842" s="11"/>
    </row>
    <row r="3843" spans="1:1" ht="14.4">
      <c r="A3843" s="11"/>
    </row>
    <row r="3844" spans="1:1" ht="14.4">
      <c r="A3844" s="11"/>
    </row>
    <row r="3845" spans="1:1" ht="14.4">
      <c r="A3845" s="11"/>
    </row>
    <row r="3846" spans="1:1" ht="14.4">
      <c r="A3846" s="11"/>
    </row>
    <row r="3847" spans="1:1" ht="14.4">
      <c r="A3847" s="11"/>
    </row>
    <row r="3848" spans="1:1" ht="14.4">
      <c r="A3848" s="11"/>
    </row>
    <row r="3849" spans="1:1" ht="14.4">
      <c r="A3849" s="11"/>
    </row>
    <row r="3850" spans="1:1" ht="14.4">
      <c r="A3850" s="11"/>
    </row>
    <row r="3851" spans="1:1" ht="14.4">
      <c r="A3851" s="11"/>
    </row>
    <row r="3852" spans="1:1" ht="14.4">
      <c r="A3852" s="11"/>
    </row>
    <row r="3853" spans="1:1" ht="14.4">
      <c r="A3853" s="11"/>
    </row>
    <row r="3854" spans="1:1" ht="14.4">
      <c r="A3854" s="11"/>
    </row>
    <row r="3855" spans="1:1" ht="14.4">
      <c r="A3855" s="11"/>
    </row>
    <row r="3856" spans="1:1" ht="14.4">
      <c r="A3856" s="11"/>
    </row>
    <row r="3857" spans="1:1" ht="14.4">
      <c r="A3857" s="11"/>
    </row>
    <row r="3858" spans="1:1" ht="14.4">
      <c r="A3858" s="11"/>
    </row>
    <row r="3859" spans="1:1" ht="14.4">
      <c r="A3859" s="11"/>
    </row>
    <row r="3860" spans="1:1" ht="14.4">
      <c r="A3860" s="11"/>
    </row>
    <row r="3861" spans="1:1" ht="14.4">
      <c r="A3861" s="11"/>
    </row>
    <row r="3862" spans="1:1" ht="14.4">
      <c r="A3862" s="11"/>
    </row>
    <row r="3863" spans="1:1" ht="14.4">
      <c r="A3863" s="11"/>
    </row>
    <row r="3864" spans="1:1" ht="14.4">
      <c r="A3864" s="11"/>
    </row>
    <row r="3865" spans="1:1" ht="14.4">
      <c r="A3865" s="11"/>
    </row>
    <row r="3866" spans="1:1" ht="14.4">
      <c r="A3866" s="11"/>
    </row>
    <row r="3867" spans="1:1" ht="14.4">
      <c r="A3867" s="11"/>
    </row>
    <row r="3868" spans="1:1" ht="14.4">
      <c r="A3868" s="11"/>
    </row>
    <row r="3869" spans="1:1" ht="14.4">
      <c r="A3869" s="11"/>
    </row>
    <row r="3870" spans="1:1" ht="14.4">
      <c r="A3870" s="11"/>
    </row>
    <row r="3871" spans="1:1" ht="14.4">
      <c r="A3871" s="11"/>
    </row>
    <row r="3872" spans="1:1" ht="14.4">
      <c r="A3872" s="11"/>
    </row>
    <row r="3873" spans="1:1" ht="14.4">
      <c r="A3873" s="11"/>
    </row>
    <row r="3874" spans="1:1" ht="14.4">
      <c r="A3874" s="11"/>
    </row>
    <row r="3875" spans="1:1" ht="14.4">
      <c r="A3875" s="11"/>
    </row>
    <row r="3876" spans="1:1" ht="14.4">
      <c r="A3876" s="11"/>
    </row>
    <row r="3877" spans="1:1" ht="14.4">
      <c r="A3877" s="11"/>
    </row>
    <row r="3878" spans="1:1" ht="14.4">
      <c r="A3878" s="11"/>
    </row>
    <row r="3879" spans="1:1" ht="14.4">
      <c r="A3879" s="11"/>
    </row>
    <row r="3880" spans="1:1" ht="14.4">
      <c r="A3880" s="11"/>
    </row>
    <row r="3881" spans="1:1" ht="14.4">
      <c r="A3881" s="11"/>
    </row>
    <row r="3882" spans="1:1" ht="14.4">
      <c r="A3882" s="11"/>
    </row>
    <row r="3883" spans="1:1" ht="14.4">
      <c r="A3883" s="11"/>
    </row>
    <row r="3884" spans="1:1" ht="14.4">
      <c r="A3884" s="11"/>
    </row>
    <row r="3885" spans="1:1" ht="14.4">
      <c r="A3885" s="11"/>
    </row>
    <row r="3886" spans="1:1" ht="14.4">
      <c r="A3886" s="11"/>
    </row>
    <row r="3887" spans="1:1" ht="14.4">
      <c r="A3887" s="11"/>
    </row>
    <row r="3888" spans="1:1" ht="14.4">
      <c r="A3888" s="11"/>
    </row>
    <row r="3889" spans="1:1" ht="14.4">
      <c r="A3889" s="11"/>
    </row>
    <row r="3890" spans="1:1" ht="14.4">
      <c r="A3890" s="11"/>
    </row>
    <row r="3891" spans="1:1" ht="14.4">
      <c r="A3891" s="11"/>
    </row>
    <row r="3892" spans="1:1" ht="14.4">
      <c r="A3892" s="11"/>
    </row>
    <row r="3893" spans="1:1" ht="14.4">
      <c r="A3893" s="11"/>
    </row>
    <row r="3894" spans="1:1" ht="14.4">
      <c r="A3894" s="11"/>
    </row>
    <row r="3895" spans="1:1" ht="14.4">
      <c r="A3895" s="11"/>
    </row>
    <row r="3896" spans="1:1" ht="14.4">
      <c r="A3896" s="11"/>
    </row>
    <row r="3897" spans="1:1" ht="14.4">
      <c r="A3897" s="11"/>
    </row>
    <row r="3898" spans="1:1" ht="14.4">
      <c r="A3898" s="11"/>
    </row>
    <row r="3899" spans="1:1" ht="14.4">
      <c r="A3899" s="11"/>
    </row>
    <row r="3900" spans="1:1" ht="14.4">
      <c r="A3900" s="11"/>
    </row>
    <row r="3901" spans="1:1" ht="14.4">
      <c r="A3901" s="11"/>
    </row>
    <row r="3902" spans="1:1" ht="14.4">
      <c r="A3902" s="11"/>
    </row>
    <row r="3903" spans="1:1" ht="14.4">
      <c r="A3903" s="11"/>
    </row>
    <row r="3904" spans="1:1" ht="14.4">
      <c r="A3904" s="11"/>
    </row>
    <row r="3905" spans="1:1" ht="14.4">
      <c r="A3905" s="11"/>
    </row>
    <row r="3906" spans="1:1" ht="14.4">
      <c r="A3906" s="11"/>
    </row>
    <row r="3907" spans="1:1" ht="14.4">
      <c r="A3907" s="11"/>
    </row>
    <row r="3908" spans="1:1" ht="14.4">
      <c r="A3908" s="11"/>
    </row>
    <row r="3909" spans="1:1" ht="14.4">
      <c r="A3909" s="11"/>
    </row>
    <row r="3910" spans="1:1" ht="14.4">
      <c r="A3910" s="11"/>
    </row>
    <row r="3911" spans="1:1" ht="14.4">
      <c r="A3911" s="11"/>
    </row>
    <row r="3912" spans="1:1" ht="14.4">
      <c r="A3912" s="11"/>
    </row>
    <row r="3913" spans="1:1" ht="14.4">
      <c r="A3913" s="11"/>
    </row>
    <row r="3914" spans="1:1" ht="14.4">
      <c r="A3914" s="11"/>
    </row>
    <row r="3915" spans="1:1" ht="14.4">
      <c r="A3915" s="11"/>
    </row>
    <row r="3916" spans="1:1" ht="14.4">
      <c r="A3916" s="11"/>
    </row>
    <row r="3917" spans="1:1" ht="14.4">
      <c r="A3917" s="11"/>
    </row>
    <row r="3918" spans="1:1" ht="14.4">
      <c r="A3918" s="11"/>
    </row>
    <row r="3919" spans="1:1" ht="14.4">
      <c r="A3919" s="11"/>
    </row>
    <row r="3920" spans="1:1" ht="14.4">
      <c r="A3920" s="11"/>
    </row>
    <row r="3921" spans="1:1" ht="14.4">
      <c r="A3921" s="11"/>
    </row>
    <row r="3922" spans="1:1" ht="14.4">
      <c r="A3922" s="11"/>
    </row>
    <row r="3923" spans="1:1" ht="14.4">
      <c r="A3923" s="11"/>
    </row>
    <row r="3924" spans="1:1" ht="14.4">
      <c r="A3924" s="11"/>
    </row>
    <row r="3925" spans="1:1" ht="14.4">
      <c r="A3925" s="11"/>
    </row>
    <row r="3926" spans="1:1" ht="14.4">
      <c r="A3926" s="11"/>
    </row>
    <row r="3927" spans="1:1" ht="14.4">
      <c r="A3927" s="11"/>
    </row>
    <row r="3928" spans="1:1" ht="14.4">
      <c r="A3928" s="11"/>
    </row>
    <row r="3929" spans="1:1" ht="14.4">
      <c r="A3929" s="11"/>
    </row>
    <row r="3930" spans="1:1" ht="14.4">
      <c r="A3930" s="11"/>
    </row>
    <row r="3931" spans="1:1" ht="14.4">
      <c r="A3931" s="11"/>
    </row>
    <row r="3932" spans="1:1" ht="14.4">
      <c r="A3932" s="11"/>
    </row>
    <row r="3933" spans="1:1" ht="14.4">
      <c r="A3933" s="11"/>
    </row>
    <row r="3934" spans="1:1" ht="14.4">
      <c r="A3934" s="11"/>
    </row>
    <row r="3935" spans="1:1" ht="14.4">
      <c r="A3935" s="11"/>
    </row>
    <row r="3936" spans="1:1" ht="14.4">
      <c r="A3936" s="11"/>
    </row>
    <row r="3937" spans="1:1" ht="14.4">
      <c r="A3937" s="11"/>
    </row>
    <row r="3938" spans="1:1" ht="14.4">
      <c r="A3938" s="11"/>
    </row>
    <row r="3939" spans="1:1" ht="14.4">
      <c r="A3939" s="11"/>
    </row>
    <row r="3940" spans="1:1" ht="14.4">
      <c r="A3940" s="11"/>
    </row>
    <row r="3941" spans="1:1" ht="14.4">
      <c r="A3941" s="11"/>
    </row>
    <row r="3942" spans="1:1" ht="14.4">
      <c r="A3942" s="11"/>
    </row>
    <row r="3943" spans="1:1" ht="14.4">
      <c r="A3943" s="11"/>
    </row>
    <row r="3944" spans="1:1" ht="14.4">
      <c r="A3944" s="11"/>
    </row>
    <row r="3945" spans="1:1" ht="14.4">
      <c r="A3945" s="11"/>
    </row>
    <row r="3946" spans="1:1" ht="14.4">
      <c r="A3946" s="11"/>
    </row>
    <row r="3947" spans="1:1" ht="14.4">
      <c r="A3947" s="11"/>
    </row>
    <row r="3948" spans="1:1" ht="14.4">
      <c r="A3948" s="11"/>
    </row>
    <row r="3949" spans="1:1" ht="14.4">
      <c r="A3949" s="11"/>
    </row>
    <row r="3950" spans="1:1" ht="14.4">
      <c r="A3950" s="11"/>
    </row>
    <row r="3951" spans="1:1" ht="14.4">
      <c r="A3951" s="11"/>
    </row>
    <row r="3952" spans="1:1" ht="14.4">
      <c r="A3952" s="11"/>
    </row>
    <row r="3953" spans="1:1" ht="14.4">
      <c r="A3953" s="11"/>
    </row>
    <row r="3954" spans="1:1" ht="14.4">
      <c r="A3954" s="11"/>
    </row>
    <row r="3955" spans="1:1" ht="14.4">
      <c r="A3955" s="11"/>
    </row>
    <row r="3956" spans="1:1" ht="14.4">
      <c r="A3956" s="11"/>
    </row>
    <row r="3957" spans="1:1" ht="14.4">
      <c r="A3957" s="11"/>
    </row>
    <row r="3958" spans="1:1" ht="14.4">
      <c r="A3958" s="11"/>
    </row>
    <row r="3959" spans="1:1" ht="14.4">
      <c r="A3959" s="11"/>
    </row>
    <row r="3960" spans="1:1" ht="14.4">
      <c r="A3960" s="11"/>
    </row>
    <row r="3961" spans="1:1" ht="14.4">
      <c r="A3961" s="11"/>
    </row>
    <row r="3962" spans="1:1" ht="14.4">
      <c r="A3962" s="11"/>
    </row>
    <row r="3963" spans="1:1" ht="14.4">
      <c r="A3963" s="11"/>
    </row>
    <row r="3964" spans="1:1" ht="14.4">
      <c r="A3964" s="11"/>
    </row>
    <row r="3965" spans="1:1" ht="14.4">
      <c r="A3965" s="11"/>
    </row>
    <row r="3966" spans="1:1" ht="14.4">
      <c r="A3966" s="11"/>
    </row>
    <row r="3967" spans="1:1" ht="14.4">
      <c r="A3967" s="11"/>
    </row>
    <row r="3968" spans="1:1" ht="14.4">
      <c r="A3968" s="11"/>
    </row>
    <row r="3969" spans="1:1" ht="14.4">
      <c r="A3969" s="11"/>
    </row>
    <row r="3970" spans="1:1" ht="14.4">
      <c r="A3970" s="11"/>
    </row>
    <row r="3971" spans="1:1" ht="14.4">
      <c r="A3971" s="11"/>
    </row>
    <row r="3972" spans="1:1" ht="14.4">
      <c r="A3972" s="11"/>
    </row>
    <row r="3973" spans="1:1" ht="14.4">
      <c r="A3973" s="11"/>
    </row>
    <row r="3974" spans="1:1" ht="14.4">
      <c r="A3974" s="11"/>
    </row>
    <row r="3975" spans="1:1" ht="14.4">
      <c r="A3975" s="11"/>
    </row>
    <row r="3976" spans="1:1" ht="14.4">
      <c r="A3976" s="11"/>
    </row>
    <row r="3977" spans="1:1" ht="14.4">
      <c r="A3977" s="11"/>
    </row>
    <row r="3978" spans="1:1" ht="14.4">
      <c r="A3978" s="11"/>
    </row>
    <row r="3979" spans="1:1" ht="14.4">
      <c r="A3979" s="11"/>
    </row>
    <row r="3980" spans="1:1" ht="14.4">
      <c r="A3980" s="11"/>
    </row>
    <row r="3981" spans="1:1" ht="14.4">
      <c r="A3981" s="11"/>
    </row>
    <row r="3982" spans="1:1" ht="14.4">
      <c r="A3982" s="11"/>
    </row>
    <row r="3983" spans="1:1" ht="14.4">
      <c r="A3983" s="11"/>
    </row>
    <row r="3984" spans="1:1" ht="14.4">
      <c r="A3984" s="11"/>
    </row>
    <row r="3985" spans="1:1" ht="14.4">
      <c r="A3985" s="11"/>
    </row>
    <row r="3986" spans="1:1" ht="14.4">
      <c r="A3986" s="11"/>
    </row>
    <row r="3987" spans="1:1" ht="14.4">
      <c r="A3987" s="11"/>
    </row>
    <row r="3988" spans="1:1" ht="14.4">
      <c r="A3988" s="11"/>
    </row>
    <row r="3989" spans="1:1" ht="14.4">
      <c r="A3989" s="11"/>
    </row>
    <row r="3990" spans="1:1" ht="14.4">
      <c r="A3990" s="11"/>
    </row>
    <row r="3991" spans="1:1" ht="14.4">
      <c r="A3991" s="11"/>
    </row>
    <row r="3992" spans="1:1" ht="14.4">
      <c r="A3992" s="11"/>
    </row>
    <row r="3993" spans="1:1" ht="14.4">
      <c r="A3993" s="11"/>
    </row>
    <row r="3994" spans="1:1" ht="14.4">
      <c r="A3994" s="11"/>
    </row>
    <row r="3995" spans="1:1" ht="14.4">
      <c r="A3995" s="11"/>
    </row>
    <row r="3996" spans="1:1" ht="14.4">
      <c r="A3996" s="11"/>
    </row>
    <row r="3997" spans="1:1" ht="14.4">
      <c r="A3997" s="11"/>
    </row>
    <row r="3998" spans="1:1" ht="14.4">
      <c r="A3998" s="11"/>
    </row>
    <row r="3999" spans="1:1" ht="14.4">
      <c r="A3999" s="11"/>
    </row>
    <row r="4000" spans="1:1" ht="14.4">
      <c r="A4000" s="11"/>
    </row>
    <row r="4001" spans="1:1" ht="14.4">
      <c r="A4001" s="11"/>
    </row>
    <row r="4002" spans="1:1" ht="14.4">
      <c r="A4002" s="11"/>
    </row>
    <row r="4003" spans="1:1" ht="14.4">
      <c r="A4003" s="11"/>
    </row>
    <row r="4004" spans="1:1" ht="14.4">
      <c r="A4004" s="11"/>
    </row>
    <row r="4005" spans="1:1" ht="14.4">
      <c r="A4005" s="11"/>
    </row>
    <row r="4006" spans="1:1" ht="14.4">
      <c r="A4006" s="11"/>
    </row>
    <row r="4007" spans="1:1" ht="14.4">
      <c r="A4007" s="11"/>
    </row>
    <row r="4008" spans="1:1" ht="14.4">
      <c r="A4008" s="11"/>
    </row>
    <row r="4009" spans="1:1" ht="14.4">
      <c r="A4009" s="11"/>
    </row>
    <row r="4010" spans="1:1" ht="14.4">
      <c r="A4010" s="11"/>
    </row>
    <row r="4011" spans="1:1" ht="14.4">
      <c r="A4011" s="11"/>
    </row>
    <row r="4012" spans="1:1" ht="14.4">
      <c r="A4012" s="11"/>
    </row>
    <row r="4013" spans="1:1" ht="14.4">
      <c r="A4013" s="11"/>
    </row>
    <row r="4014" spans="1:1" ht="14.4">
      <c r="A4014" s="11"/>
    </row>
    <row r="4015" spans="1:1" ht="14.4">
      <c r="A4015" s="11"/>
    </row>
    <row r="4016" spans="1:1" ht="14.4">
      <c r="A4016" s="11"/>
    </row>
    <row r="4017" spans="1:1" ht="14.4">
      <c r="A4017" s="11"/>
    </row>
    <row r="4018" spans="1:1" ht="14.4">
      <c r="A4018" s="11"/>
    </row>
    <row r="4019" spans="1:1" ht="14.4">
      <c r="A4019" s="11"/>
    </row>
    <row r="4020" spans="1:1" ht="14.4">
      <c r="A4020" s="11"/>
    </row>
    <row r="4021" spans="1:1" ht="14.4">
      <c r="A4021" s="11"/>
    </row>
    <row r="4022" spans="1:1" ht="14.4">
      <c r="A4022" s="11"/>
    </row>
    <row r="4023" spans="1:1" ht="14.4">
      <c r="A4023" s="11"/>
    </row>
    <row r="4024" spans="1:1" ht="14.4">
      <c r="A4024" s="11"/>
    </row>
    <row r="4025" spans="1:1" ht="14.4">
      <c r="A4025" s="11"/>
    </row>
    <row r="4026" spans="1:1" ht="14.4">
      <c r="A4026" s="11"/>
    </row>
    <row r="4027" spans="1:1" ht="14.4">
      <c r="A4027" s="11"/>
    </row>
    <row r="4028" spans="1:1" ht="14.4">
      <c r="A4028" s="11"/>
    </row>
    <row r="4029" spans="1:1" ht="14.4">
      <c r="A4029" s="11"/>
    </row>
    <row r="4030" spans="1:1" ht="14.4">
      <c r="A4030" s="11"/>
    </row>
    <row r="4031" spans="1:1" ht="14.4">
      <c r="A4031" s="11"/>
    </row>
    <row r="4032" spans="1:1" ht="14.4">
      <c r="A4032" s="11"/>
    </row>
    <row r="4033" spans="1:1" ht="14.4">
      <c r="A4033" s="11"/>
    </row>
    <row r="4034" spans="1:1" ht="14.4">
      <c r="A4034" s="11"/>
    </row>
    <row r="4035" spans="1:1" ht="14.4">
      <c r="A4035" s="11"/>
    </row>
    <row r="4036" spans="1:1" ht="14.4">
      <c r="A4036" s="11"/>
    </row>
    <row r="4037" spans="1:1" ht="14.4">
      <c r="A4037" s="11"/>
    </row>
    <row r="4038" spans="1:1" ht="14.4">
      <c r="A4038" s="11"/>
    </row>
    <row r="4039" spans="1:1" ht="14.4">
      <c r="A4039" s="11"/>
    </row>
    <row r="4040" spans="1:1" ht="14.4">
      <c r="A4040" s="11"/>
    </row>
    <row r="4041" spans="1:1" ht="14.4">
      <c r="A4041" s="11"/>
    </row>
    <row r="4042" spans="1:1" ht="14.4">
      <c r="A4042" s="11"/>
    </row>
    <row r="4043" spans="1:1" ht="14.4">
      <c r="A4043" s="11"/>
    </row>
    <row r="4044" spans="1:1" ht="14.4">
      <c r="A4044" s="11"/>
    </row>
    <row r="4045" spans="1:1" ht="14.4">
      <c r="A4045" s="11"/>
    </row>
    <row r="4046" spans="1:1" ht="14.4">
      <c r="A4046" s="11"/>
    </row>
    <row r="4047" spans="1:1" ht="14.4">
      <c r="A4047" s="11"/>
    </row>
    <row r="4048" spans="1:1" ht="14.4">
      <c r="A4048" s="11"/>
    </row>
    <row r="4049" spans="1:1" ht="14.4">
      <c r="A4049" s="11"/>
    </row>
    <row r="4050" spans="1:1" ht="14.4">
      <c r="A4050" s="11"/>
    </row>
    <row r="4051" spans="1:1" ht="14.4">
      <c r="A4051" s="11"/>
    </row>
    <row r="4052" spans="1:1" ht="14.4">
      <c r="A4052" s="11"/>
    </row>
    <row r="4053" spans="1:1" ht="14.4">
      <c r="A4053" s="11"/>
    </row>
    <row r="4054" spans="1:1" ht="14.4">
      <c r="A4054" s="11"/>
    </row>
    <row r="4055" spans="1:1" ht="14.4">
      <c r="A4055" s="11"/>
    </row>
    <row r="4056" spans="1:1" ht="14.4">
      <c r="A4056" s="11"/>
    </row>
    <row r="4057" spans="1:1" ht="14.4">
      <c r="A4057" s="11"/>
    </row>
    <row r="4058" spans="1:1" ht="14.4">
      <c r="A4058" s="11"/>
    </row>
    <row r="4059" spans="1:1" ht="14.4">
      <c r="A4059" s="11"/>
    </row>
    <row r="4060" spans="1:1" ht="14.4">
      <c r="A4060" s="11"/>
    </row>
    <row r="4061" spans="1:1" ht="14.4">
      <c r="A4061" s="11"/>
    </row>
    <row r="4062" spans="1:1" ht="14.4">
      <c r="A4062" s="11"/>
    </row>
    <row r="4063" spans="1:1" ht="14.4">
      <c r="A4063" s="11"/>
    </row>
    <row r="4064" spans="1:1" ht="14.4">
      <c r="A4064" s="11"/>
    </row>
    <row r="4065" spans="1:1" ht="14.4">
      <c r="A4065" s="11"/>
    </row>
    <row r="4066" spans="1:1" ht="14.4">
      <c r="A4066" s="11"/>
    </row>
    <row r="4067" spans="1:1" ht="14.4">
      <c r="A4067" s="11"/>
    </row>
    <row r="4068" spans="1:1" ht="14.4">
      <c r="A4068" s="11"/>
    </row>
    <row r="4069" spans="1:1" ht="14.4">
      <c r="A4069" s="11"/>
    </row>
    <row r="4070" spans="1:1" ht="14.4">
      <c r="A4070" s="11"/>
    </row>
    <row r="4071" spans="1:1" ht="14.4">
      <c r="A4071" s="11"/>
    </row>
    <row r="4072" spans="1:1" ht="14.4">
      <c r="A4072" s="11"/>
    </row>
    <row r="4073" spans="1:1" ht="14.4">
      <c r="A4073" s="11"/>
    </row>
    <row r="4074" spans="1:1" ht="14.4">
      <c r="A4074" s="11"/>
    </row>
    <row r="4075" spans="1:1" ht="14.4">
      <c r="A4075" s="11"/>
    </row>
    <row r="4076" spans="1:1" ht="14.4">
      <c r="A4076" s="11"/>
    </row>
    <row r="4077" spans="1:1" ht="14.4">
      <c r="A4077" s="11"/>
    </row>
    <row r="4078" spans="1:1" ht="14.4">
      <c r="A4078" s="11"/>
    </row>
    <row r="4079" spans="1:1" ht="14.4">
      <c r="A4079" s="11"/>
    </row>
    <row r="4080" spans="1:1" ht="14.4">
      <c r="A4080" s="11"/>
    </row>
    <row r="4081" spans="1:1" ht="14.4">
      <c r="A4081" s="11"/>
    </row>
    <row r="4082" spans="1:1" ht="14.4">
      <c r="A4082" s="11"/>
    </row>
    <row r="4083" spans="1:1" ht="14.4">
      <c r="A4083" s="11"/>
    </row>
    <row r="4084" spans="1:1" ht="14.4">
      <c r="A4084" s="11"/>
    </row>
    <row r="4085" spans="1:1" ht="14.4">
      <c r="A4085" s="11"/>
    </row>
    <row r="4086" spans="1:1" ht="14.4">
      <c r="A4086" s="11"/>
    </row>
    <row r="4087" spans="1:1" ht="14.4">
      <c r="A4087" s="11"/>
    </row>
    <row r="4088" spans="1:1" ht="14.4">
      <c r="A4088" s="11"/>
    </row>
    <row r="4089" spans="1:1" ht="14.4">
      <c r="A4089" s="11"/>
    </row>
    <row r="4090" spans="1:1" ht="14.4">
      <c r="A4090" s="11"/>
    </row>
    <row r="4091" spans="1:1" ht="14.4">
      <c r="A4091" s="11"/>
    </row>
    <row r="4092" spans="1:1" ht="14.4">
      <c r="A4092" s="11"/>
    </row>
    <row r="4093" spans="1:1" ht="14.4">
      <c r="A4093" s="11"/>
    </row>
    <row r="4094" spans="1:1" ht="14.4">
      <c r="A4094" s="11"/>
    </row>
    <row r="4095" spans="1:1" ht="14.4">
      <c r="A4095" s="11"/>
    </row>
    <row r="4096" spans="1:1" ht="14.4">
      <c r="A4096" s="11"/>
    </row>
    <row r="4097" spans="1:1" ht="14.4">
      <c r="A4097" s="11"/>
    </row>
    <row r="4098" spans="1:1" ht="14.4">
      <c r="A4098" s="11"/>
    </row>
    <row r="4099" spans="1:1" ht="14.4">
      <c r="A4099" s="11"/>
    </row>
    <row r="4100" spans="1:1" ht="14.4">
      <c r="A4100" s="11"/>
    </row>
    <row r="4101" spans="1:1" ht="14.4">
      <c r="A4101" s="11"/>
    </row>
    <row r="4102" spans="1:1" ht="14.4">
      <c r="A4102" s="11"/>
    </row>
    <row r="4103" spans="1:1" ht="14.4">
      <c r="A4103" s="11"/>
    </row>
    <row r="4104" spans="1:1" ht="14.4">
      <c r="A4104" s="11"/>
    </row>
    <row r="4105" spans="1:1" ht="14.4">
      <c r="A4105" s="11"/>
    </row>
    <row r="4106" spans="1:1" ht="14.4">
      <c r="A4106" s="11"/>
    </row>
    <row r="4107" spans="1:1" ht="14.4">
      <c r="A4107" s="11"/>
    </row>
    <row r="4108" spans="1:1" ht="14.4">
      <c r="A4108" s="11"/>
    </row>
    <row r="4109" spans="1:1" ht="14.4">
      <c r="A4109" s="11"/>
    </row>
    <row r="4110" spans="1:1" ht="14.4">
      <c r="A4110" s="11"/>
    </row>
    <row r="4111" spans="1:1" ht="14.4">
      <c r="A4111" s="11"/>
    </row>
    <row r="4112" spans="1:1" ht="14.4">
      <c r="A4112" s="11"/>
    </row>
    <row r="4113" spans="1:1" ht="14.4">
      <c r="A4113" s="11"/>
    </row>
    <row r="4114" spans="1:1" ht="14.4">
      <c r="A4114" s="11"/>
    </row>
    <row r="4115" spans="1:1" ht="14.4">
      <c r="A4115" s="11"/>
    </row>
    <row r="4116" spans="1:1" ht="14.4">
      <c r="A4116" s="11"/>
    </row>
    <row r="4117" spans="1:1" ht="14.4">
      <c r="A4117" s="11"/>
    </row>
    <row r="4118" spans="1:1" ht="14.4">
      <c r="A4118" s="11"/>
    </row>
    <row r="4119" spans="1:1" ht="14.4">
      <c r="A4119" s="11"/>
    </row>
    <row r="4120" spans="1:1" ht="14.4">
      <c r="A4120" s="11"/>
    </row>
    <row r="4121" spans="1:1" ht="14.4">
      <c r="A4121" s="11"/>
    </row>
    <row r="4122" spans="1:1" ht="14.4">
      <c r="A4122" s="11"/>
    </row>
    <row r="4123" spans="1:1" ht="14.4">
      <c r="A4123" s="11"/>
    </row>
    <row r="4124" spans="1:1" ht="14.4">
      <c r="A4124" s="11"/>
    </row>
    <row r="4125" spans="1:1" ht="14.4">
      <c r="A4125" s="11"/>
    </row>
    <row r="4126" spans="1:1" ht="14.4">
      <c r="A4126" s="11"/>
    </row>
    <row r="4127" spans="1:1" ht="14.4">
      <c r="A4127" s="11"/>
    </row>
    <row r="4128" spans="1:1" ht="14.4">
      <c r="A4128" s="11"/>
    </row>
    <row r="4129" spans="1:1" ht="14.4">
      <c r="A4129" s="11"/>
    </row>
    <row r="4130" spans="1:1" ht="14.4">
      <c r="A4130" s="11"/>
    </row>
    <row r="4131" spans="1:1" ht="14.4">
      <c r="A4131" s="11"/>
    </row>
    <row r="4132" spans="1:1" ht="14.4">
      <c r="A4132" s="11"/>
    </row>
    <row r="4133" spans="1:1" ht="14.4">
      <c r="A4133" s="11"/>
    </row>
    <row r="4134" spans="1:1" ht="14.4">
      <c r="A4134" s="11"/>
    </row>
    <row r="4135" spans="1:1" ht="14.4">
      <c r="A4135" s="11"/>
    </row>
    <row r="4136" spans="1:1" ht="14.4">
      <c r="A4136" s="11"/>
    </row>
    <row r="4137" spans="1:1" ht="14.4">
      <c r="A4137" s="11"/>
    </row>
    <row r="4138" spans="1:1" ht="14.4">
      <c r="A4138" s="11"/>
    </row>
    <row r="4139" spans="1:1" ht="14.4">
      <c r="A4139" s="11"/>
    </row>
    <row r="4140" spans="1:1" ht="14.4">
      <c r="A4140" s="11"/>
    </row>
    <row r="4141" spans="1:1" ht="14.4">
      <c r="A4141" s="11"/>
    </row>
    <row r="4142" spans="1:1" ht="14.4">
      <c r="A4142" s="11"/>
    </row>
    <row r="4143" spans="1:1" ht="14.4">
      <c r="A4143" s="11"/>
    </row>
    <row r="4144" spans="1:1" ht="14.4">
      <c r="A4144" s="11"/>
    </row>
    <row r="4145" spans="1:1" ht="14.4">
      <c r="A4145" s="11"/>
    </row>
    <row r="4146" spans="1:1" ht="14.4">
      <c r="A4146" s="11"/>
    </row>
    <row r="4147" spans="1:1" ht="14.4">
      <c r="A4147" s="11"/>
    </row>
    <row r="4148" spans="1:1" ht="14.4">
      <c r="A4148" s="11"/>
    </row>
    <row r="4149" spans="1:1" ht="14.4">
      <c r="A4149" s="11"/>
    </row>
    <row r="4150" spans="1:1" ht="14.4">
      <c r="A4150" s="11"/>
    </row>
    <row r="4151" spans="1:1" ht="14.4">
      <c r="A4151" s="11"/>
    </row>
    <row r="4152" spans="1:1" ht="14.4">
      <c r="A4152" s="11"/>
    </row>
    <row r="4153" spans="1:1" ht="14.4">
      <c r="A4153" s="11"/>
    </row>
    <row r="4154" spans="1:1" ht="14.4">
      <c r="A4154" s="11"/>
    </row>
    <row r="4155" spans="1:1" ht="14.4">
      <c r="A4155" s="11"/>
    </row>
    <row r="4156" spans="1:1" ht="14.4">
      <c r="A4156" s="11"/>
    </row>
    <row r="4157" spans="1:1" ht="14.4">
      <c r="A4157" s="11"/>
    </row>
    <row r="4158" spans="1:1" ht="14.4">
      <c r="A4158" s="11"/>
    </row>
    <row r="4159" spans="1:1" ht="14.4">
      <c r="A4159" s="11"/>
    </row>
    <row r="4160" spans="1:1" ht="14.4">
      <c r="A4160" s="11"/>
    </row>
    <row r="4161" spans="1:1" ht="14.4">
      <c r="A4161" s="11"/>
    </row>
    <row r="4162" spans="1:1" ht="14.4">
      <c r="A4162" s="11"/>
    </row>
    <row r="4163" spans="1:1" ht="14.4">
      <c r="A4163" s="11"/>
    </row>
    <row r="4164" spans="1:1" ht="14.4">
      <c r="A4164" s="11"/>
    </row>
    <row r="4165" spans="1:1" ht="14.4">
      <c r="A4165" s="11"/>
    </row>
    <row r="4166" spans="1:1" ht="14.4">
      <c r="A4166" s="11"/>
    </row>
    <row r="4167" spans="1:1" ht="14.4">
      <c r="A4167" s="11"/>
    </row>
    <row r="4168" spans="1:1" ht="14.4">
      <c r="A4168" s="11"/>
    </row>
    <row r="4169" spans="1:1" ht="14.4">
      <c r="A4169" s="11"/>
    </row>
    <row r="4170" spans="1:1" ht="14.4">
      <c r="A4170" s="11"/>
    </row>
    <row r="4171" spans="1:1" ht="14.4">
      <c r="A4171" s="11"/>
    </row>
    <row r="4172" spans="1:1" ht="14.4">
      <c r="A4172" s="11"/>
    </row>
    <row r="4173" spans="1:1" ht="14.4">
      <c r="A4173" s="11"/>
    </row>
    <row r="4174" spans="1:1" ht="14.4">
      <c r="A4174" s="11"/>
    </row>
    <row r="4175" spans="1:1" ht="14.4">
      <c r="A4175" s="11"/>
    </row>
    <row r="4176" spans="1:1" ht="14.4">
      <c r="A4176" s="11"/>
    </row>
    <row r="4177" spans="1:1" ht="14.4">
      <c r="A4177" s="11"/>
    </row>
    <row r="4178" spans="1:1" ht="14.4">
      <c r="A4178" s="11"/>
    </row>
    <row r="4179" spans="1:1" ht="14.4">
      <c r="A4179" s="11"/>
    </row>
    <row r="4180" spans="1:1" ht="14.4">
      <c r="A4180" s="11"/>
    </row>
    <row r="4181" spans="1:1" ht="14.4">
      <c r="A4181" s="11"/>
    </row>
    <row r="4182" spans="1:1" ht="14.4">
      <c r="A4182" s="11"/>
    </row>
    <row r="4183" spans="1:1" ht="14.4">
      <c r="A4183" s="11"/>
    </row>
    <row r="4184" spans="1:1" ht="14.4">
      <c r="A4184" s="11"/>
    </row>
    <row r="4185" spans="1:1" ht="14.4">
      <c r="A4185" s="11"/>
    </row>
    <row r="4186" spans="1:1" ht="14.4">
      <c r="A4186" s="11"/>
    </row>
    <row r="4187" spans="1:1" ht="14.4">
      <c r="A4187" s="11"/>
    </row>
    <row r="4188" spans="1:1" ht="14.4">
      <c r="A4188" s="11"/>
    </row>
    <row r="4189" spans="1:1" ht="14.4">
      <c r="A4189" s="11"/>
    </row>
    <row r="4190" spans="1:1" ht="14.4">
      <c r="A4190" s="11"/>
    </row>
    <row r="4191" spans="1:1" ht="14.4">
      <c r="A4191" s="11"/>
    </row>
    <row r="4192" spans="1:1" ht="14.4">
      <c r="A4192" s="11"/>
    </row>
    <row r="4193" spans="1:1" ht="14.4">
      <c r="A4193" s="11"/>
    </row>
    <row r="4194" spans="1:1" ht="14.4">
      <c r="A4194" s="11"/>
    </row>
    <row r="4195" spans="1:1" ht="14.4">
      <c r="A4195" s="11"/>
    </row>
    <row r="4196" spans="1:1" ht="14.4">
      <c r="A4196" s="11"/>
    </row>
    <row r="4197" spans="1:1" ht="14.4">
      <c r="A4197" s="11"/>
    </row>
    <row r="4198" spans="1:1" ht="14.4">
      <c r="A4198" s="11"/>
    </row>
    <row r="4199" spans="1:1" ht="14.4">
      <c r="A4199" s="11"/>
    </row>
    <row r="4200" spans="1:1" ht="14.4">
      <c r="A4200" s="11"/>
    </row>
    <row r="4201" spans="1:1" ht="14.4">
      <c r="A4201" s="11"/>
    </row>
    <row r="4202" spans="1:1" ht="14.4">
      <c r="A4202" s="11"/>
    </row>
    <row r="4203" spans="1:1" ht="14.4">
      <c r="A4203" s="11"/>
    </row>
    <row r="4204" spans="1:1" ht="14.4">
      <c r="A4204" s="11"/>
    </row>
    <row r="4205" spans="1:1" ht="14.4">
      <c r="A4205" s="11"/>
    </row>
    <row r="4206" spans="1:1" ht="14.4">
      <c r="A4206" s="11"/>
    </row>
    <row r="4207" spans="1:1" ht="14.4">
      <c r="A4207" s="11"/>
    </row>
    <row r="4208" spans="1:1" ht="14.4">
      <c r="A4208" s="11"/>
    </row>
    <row r="4209" spans="1:1" ht="14.4">
      <c r="A4209" s="11"/>
    </row>
    <row r="4210" spans="1:1" ht="14.4">
      <c r="A4210" s="11"/>
    </row>
    <row r="4211" spans="1:1" ht="14.4">
      <c r="A4211" s="11"/>
    </row>
    <row r="4212" spans="1:1" ht="14.4">
      <c r="A4212" s="11"/>
    </row>
    <row r="4213" spans="1:1" ht="14.4">
      <c r="A4213" s="11"/>
    </row>
    <row r="4214" spans="1:1" ht="14.4">
      <c r="A4214" s="11"/>
    </row>
    <row r="4215" spans="1:1" ht="14.4">
      <c r="A4215" s="11"/>
    </row>
    <row r="4216" spans="1:1" ht="14.4">
      <c r="A4216" s="11"/>
    </row>
    <row r="4217" spans="1:1" ht="14.4">
      <c r="A4217" s="11"/>
    </row>
    <row r="4218" spans="1:1" ht="14.4">
      <c r="A4218" s="11"/>
    </row>
    <row r="4219" spans="1:1" ht="14.4">
      <c r="A4219" s="11"/>
    </row>
    <row r="4220" spans="1:1" ht="14.4">
      <c r="A4220" s="11"/>
    </row>
    <row r="4221" spans="1:1" ht="14.4">
      <c r="A4221" s="11"/>
    </row>
    <row r="4222" spans="1:1" ht="14.4">
      <c r="A4222" s="11"/>
    </row>
    <row r="4223" spans="1:1" ht="14.4">
      <c r="A4223" s="11"/>
    </row>
    <row r="4224" spans="1:1" ht="14.4">
      <c r="A4224" s="11"/>
    </row>
    <row r="4225" spans="1:1" ht="14.4">
      <c r="A4225" s="11"/>
    </row>
    <row r="4226" spans="1:1" ht="14.4">
      <c r="A4226" s="11"/>
    </row>
    <row r="4227" spans="1:1" ht="14.4">
      <c r="A4227" s="11"/>
    </row>
    <row r="4228" spans="1:1" ht="14.4">
      <c r="A4228" s="11"/>
    </row>
    <row r="4229" spans="1:1" ht="14.4">
      <c r="A4229" s="11"/>
    </row>
    <row r="4230" spans="1:1" ht="14.4">
      <c r="A4230" s="11"/>
    </row>
    <row r="4231" spans="1:1" ht="14.4">
      <c r="A4231" s="11"/>
    </row>
    <row r="4232" spans="1:1" ht="14.4">
      <c r="A4232" s="11"/>
    </row>
    <row r="4233" spans="1:1" ht="14.4">
      <c r="A4233" s="11"/>
    </row>
    <row r="4234" spans="1:1" ht="14.4">
      <c r="A4234" s="11"/>
    </row>
    <row r="4235" spans="1:1" ht="14.4">
      <c r="A4235" s="11"/>
    </row>
    <row r="4236" spans="1:1" ht="14.4">
      <c r="A4236" s="11"/>
    </row>
    <row r="4237" spans="1:1" ht="14.4">
      <c r="A4237" s="11"/>
    </row>
    <row r="4238" spans="1:1" ht="14.4">
      <c r="A4238" s="11"/>
    </row>
    <row r="4239" spans="1:1" ht="14.4">
      <c r="A4239" s="11"/>
    </row>
    <row r="4240" spans="1:1" ht="14.4">
      <c r="A4240" s="11"/>
    </row>
    <row r="4241" spans="1:1" ht="14.4">
      <c r="A4241" s="11"/>
    </row>
    <row r="4242" spans="1:1" ht="14.4">
      <c r="A4242" s="11"/>
    </row>
    <row r="4243" spans="1:1" ht="14.4">
      <c r="A4243" s="11"/>
    </row>
    <row r="4244" spans="1:1" ht="14.4">
      <c r="A4244" s="11"/>
    </row>
    <row r="4245" spans="1:1" ht="14.4">
      <c r="A4245" s="11"/>
    </row>
    <row r="4246" spans="1:1" ht="14.4">
      <c r="A4246" s="11"/>
    </row>
    <row r="4247" spans="1:1" ht="14.4">
      <c r="A4247" s="11"/>
    </row>
    <row r="4248" spans="1:1" ht="14.4">
      <c r="A4248" s="11"/>
    </row>
    <row r="4249" spans="1:1" ht="14.4">
      <c r="A4249" s="11"/>
    </row>
    <row r="4250" spans="1:1" ht="14.4">
      <c r="A4250" s="11"/>
    </row>
    <row r="4251" spans="1:1" ht="14.4">
      <c r="A4251" s="11"/>
    </row>
    <row r="4252" spans="1:1" ht="14.4">
      <c r="A4252" s="11"/>
    </row>
    <row r="4253" spans="1:1" ht="14.4">
      <c r="A4253" s="11"/>
    </row>
    <row r="4254" spans="1:1" ht="14.4">
      <c r="A4254" s="11"/>
    </row>
    <row r="4255" spans="1:1" ht="14.4">
      <c r="A4255" s="11"/>
    </row>
    <row r="4256" spans="1:1" ht="14.4">
      <c r="A4256" s="11"/>
    </row>
    <row r="4257" spans="1:1" ht="14.4">
      <c r="A4257" s="11"/>
    </row>
    <row r="4258" spans="1:1" ht="14.4">
      <c r="A4258" s="11"/>
    </row>
    <row r="4259" spans="1:1" ht="14.4">
      <c r="A4259" s="11"/>
    </row>
    <row r="4260" spans="1:1" ht="14.4">
      <c r="A4260" s="11"/>
    </row>
    <row r="4261" spans="1:1" ht="14.4">
      <c r="A4261" s="11"/>
    </row>
    <row r="4262" spans="1:1" ht="14.4">
      <c r="A4262" s="11"/>
    </row>
    <row r="4263" spans="1:1" ht="14.4">
      <c r="A4263" s="11"/>
    </row>
    <row r="4264" spans="1:1" ht="14.4">
      <c r="A4264" s="11"/>
    </row>
    <row r="4265" spans="1:1" ht="14.4">
      <c r="A4265" s="11"/>
    </row>
    <row r="4266" spans="1:1" ht="14.4">
      <c r="A4266" s="11"/>
    </row>
    <row r="4267" spans="1:1" ht="14.4">
      <c r="A4267" s="11"/>
    </row>
    <row r="4268" spans="1:1" ht="14.4">
      <c r="A4268" s="11"/>
    </row>
    <row r="4269" spans="1:1" ht="14.4">
      <c r="A4269" s="11"/>
    </row>
    <row r="4270" spans="1:1" ht="14.4">
      <c r="A4270" s="11"/>
    </row>
    <row r="4271" spans="1:1" ht="14.4">
      <c r="A4271" s="11"/>
    </row>
    <row r="4272" spans="1:1" ht="14.4">
      <c r="A4272" s="11"/>
    </row>
    <row r="4273" spans="1:1" ht="14.4">
      <c r="A4273" s="11"/>
    </row>
    <row r="4274" spans="1:1" ht="14.4">
      <c r="A4274" s="11"/>
    </row>
    <row r="4275" spans="1:1" ht="14.4">
      <c r="A4275" s="11"/>
    </row>
    <row r="4276" spans="1:1" ht="14.4">
      <c r="A4276" s="11"/>
    </row>
    <row r="4277" spans="1:1" ht="14.4">
      <c r="A4277" s="11"/>
    </row>
    <row r="4278" spans="1:1" ht="14.4">
      <c r="A4278" s="11"/>
    </row>
    <row r="4279" spans="1:1" ht="14.4">
      <c r="A4279" s="11"/>
    </row>
    <row r="4280" spans="1:1" ht="14.4">
      <c r="A4280" s="11"/>
    </row>
    <row r="4281" spans="1:1" ht="14.4">
      <c r="A4281" s="11"/>
    </row>
    <row r="4282" spans="1:1" ht="14.4">
      <c r="A4282" s="11"/>
    </row>
    <row r="4283" spans="1:1" ht="14.4">
      <c r="A4283" s="11"/>
    </row>
    <row r="4284" spans="1:1" ht="14.4">
      <c r="A4284" s="11"/>
    </row>
    <row r="4285" spans="1:1" ht="14.4">
      <c r="A4285" s="11"/>
    </row>
    <row r="4286" spans="1:1" ht="14.4">
      <c r="A4286" s="11"/>
    </row>
    <row r="4287" spans="1:1" ht="14.4">
      <c r="A4287" s="11"/>
    </row>
    <row r="4288" spans="1:1" ht="14.4">
      <c r="A4288" s="11"/>
    </row>
    <row r="4289" spans="1:1" ht="14.4">
      <c r="A4289" s="11"/>
    </row>
    <row r="4290" spans="1:1" ht="14.4">
      <c r="A4290" s="11"/>
    </row>
    <row r="4291" spans="1:1" ht="14.4">
      <c r="A4291" s="11"/>
    </row>
    <row r="4292" spans="1:1" ht="14.4">
      <c r="A4292" s="11"/>
    </row>
    <row r="4293" spans="1:1" ht="14.4">
      <c r="A4293" s="11"/>
    </row>
    <row r="4294" spans="1:1" ht="14.4">
      <c r="A4294" s="11"/>
    </row>
    <row r="4295" spans="1:1" ht="14.4">
      <c r="A4295" s="11"/>
    </row>
    <row r="4296" spans="1:1" ht="14.4">
      <c r="A4296" s="11"/>
    </row>
    <row r="4297" spans="1:1" ht="14.4">
      <c r="A4297" s="11"/>
    </row>
    <row r="4298" spans="1:1" ht="14.4">
      <c r="A4298" s="11"/>
    </row>
    <row r="4299" spans="1:1" ht="14.4">
      <c r="A4299" s="11"/>
    </row>
    <row r="4300" spans="1:1" ht="14.4">
      <c r="A4300" s="11"/>
    </row>
    <row r="4301" spans="1:1" ht="14.4">
      <c r="A4301" s="11"/>
    </row>
    <row r="4302" spans="1:1" ht="14.4">
      <c r="A4302" s="11"/>
    </row>
    <row r="4303" spans="1:1" ht="14.4">
      <c r="A4303" s="11"/>
    </row>
    <row r="4304" spans="1:1" ht="14.4">
      <c r="A4304" s="11"/>
    </row>
    <row r="4305" spans="1:1" ht="14.4">
      <c r="A4305" s="11"/>
    </row>
    <row r="4306" spans="1:1" ht="14.4">
      <c r="A4306" s="11"/>
    </row>
    <row r="4307" spans="1:1" ht="14.4">
      <c r="A4307" s="11"/>
    </row>
    <row r="4308" spans="1:1" ht="14.4">
      <c r="A4308" s="11"/>
    </row>
    <row r="4309" spans="1:1" ht="14.4">
      <c r="A4309" s="11"/>
    </row>
    <row r="4310" spans="1:1" ht="14.4">
      <c r="A4310" s="11"/>
    </row>
    <row r="4311" spans="1:1" ht="14.4">
      <c r="A4311" s="11"/>
    </row>
    <row r="4312" spans="1:1" ht="14.4">
      <c r="A4312" s="11"/>
    </row>
    <row r="4313" spans="1:1" ht="14.4">
      <c r="A4313" s="11"/>
    </row>
    <row r="4314" spans="1:1" ht="14.4">
      <c r="A4314" s="11"/>
    </row>
    <row r="4315" spans="1:1" ht="14.4">
      <c r="A4315" s="11"/>
    </row>
    <row r="4316" spans="1:1" ht="14.4">
      <c r="A4316" s="11"/>
    </row>
    <row r="4317" spans="1:1" ht="14.4">
      <c r="A4317" s="11"/>
    </row>
    <row r="4318" spans="1:1" ht="14.4">
      <c r="A4318" s="11"/>
    </row>
    <row r="4319" spans="1:1" ht="14.4">
      <c r="A4319" s="11"/>
    </row>
    <row r="4320" spans="1:1" ht="14.4">
      <c r="A4320" s="11"/>
    </row>
    <row r="4321" spans="1:1" ht="14.4">
      <c r="A4321" s="11"/>
    </row>
    <row r="4322" spans="1:1" ht="14.4">
      <c r="A4322" s="11"/>
    </row>
    <row r="4323" spans="1:1" ht="14.4">
      <c r="A4323" s="11"/>
    </row>
    <row r="4324" spans="1:1" ht="14.4">
      <c r="A4324" s="11"/>
    </row>
    <row r="4325" spans="1:1" ht="14.4">
      <c r="A4325" s="11"/>
    </row>
    <row r="4326" spans="1:1" ht="14.4">
      <c r="A4326" s="11"/>
    </row>
    <row r="4327" spans="1:1" ht="14.4">
      <c r="A4327" s="11"/>
    </row>
    <row r="4328" spans="1:1" ht="14.4">
      <c r="A4328" s="11"/>
    </row>
    <row r="4329" spans="1:1" ht="14.4">
      <c r="A4329" s="11"/>
    </row>
    <row r="4330" spans="1:1" ht="14.4">
      <c r="A4330" s="11"/>
    </row>
    <row r="4331" spans="1:1" ht="14.4">
      <c r="A4331" s="11"/>
    </row>
    <row r="4332" spans="1:1" ht="14.4">
      <c r="A4332" s="11"/>
    </row>
    <row r="4333" spans="1:1" ht="14.4">
      <c r="A4333" s="11"/>
    </row>
    <row r="4334" spans="1:1" ht="14.4">
      <c r="A4334" s="11"/>
    </row>
    <row r="4335" spans="1:1" ht="14.4">
      <c r="A4335" s="11"/>
    </row>
    <row r="4336" spans="1:1" ht="14.4">
      <c r="A4336" s="11"/>
    </row>
    <row r="4337" spans="1:1" ht="14.4">
      <c r="A4337" s="11"/>
    </row>
    <row r="4338" spans="1:1" ht="14.4">
      <c r="A4338" s="11"/>
    </row>
    <row r="4339" spans="1:1" ht="14.4">
      <c r="A4339" s="11"/>
    </row>
    <row r="4340" spans="1:1" ht="14.4">
      <c r="A4340" s="11"/>
    </row>
    <row r="4341" spans="1:1" ht="14.4">
      <c r="A4341" s="11"/>
    </row>
    <row r="4342" spans="1:1" ht="14.4">
      <c r="A4342" s="11"/>
    </row>
    <row r="4343" spans="1:1" ht="14.4">
      <c r="A4343" s="11"/>
    </row>
    <row r="4344" spans="1:1" ht="14.4">
      <c r="A4344" s="11"/>
    </row>
    <row r="4345" spans="1:1" ht="14.4">
      <c r="A4345" s="11"/>
    </row>
    <row r="4346" spans="1:1" ht="14.4">
      <c r="A4346" s="11"/>
    </row>
    <row r="4347" spans="1:1" ht="14.4">
      <c r="A4347" s="11"/>
    </row>
    <row r="4348" spans="1:1" ht="14.4">
      <c r="A4348" s="11"/>
    </row>
    <row r="4349" spans="1:1" ht="14.4">
      <c r="A4349" s="11"/>
    </row>
    <row r="4350" spans="1:1" ht="14.4">
      <c r="A4350" s="11"/>
    </row>
    <row r="4351" spans="1:1" ht="14.4">
      <c r="A4351" s="11"/>
    </row>
    <row r="4352" spans="1:1" ht="14.4">
      <c r="A4352" s="11"/>
    </row>
    <row r="4353" spans="1:1" ht="14.4">
      <c r="A4353" s="11"/>
    </row>
    <row r="4354" spans="1:1" ht="14.4">
      <c r="A4354" s="11"/>
    </row>
    <row r="4355" spans="1:1" ht="14.4">
      <c r="A4355" s="11"/>
    </row>
    <row r="4356" spans="1:1" ht="14.4">
      <c r="A4356" s="11"/>
    </row>
    <row r="4357" spans="1:1" ht="14.4">
      <c r="A4357" s="11"/>
    </row>
    <row r="4358" spans="1:1" ht="14.4">
      <c r="A4358" s="11"/>
    </row>
    <row r="4359" spans="1:1" ht="14.4">
      <c r="A4359" s="11"/>
    </row>
    <row r="4360" spans="1:1" ht="14.4">
      <c r="A4360" s="11"/>
    </row>
    <row r="4361" spans="1:1" ht="14.4">
      <c r="A4361" s="11"/>
    </row>
    <row r="4362" spans="1:1" ht="14.4">
      <c r="A4362" s="11"/>
    </row>
    <row r="4363" spans="1:1" ht="14.4">
      <c r="A4363" s="11"/>
    </row>
    <row r="4364" spans="1:1" ht="14.4">
      <c r="A4364" s="11"/>
    </row>
    <row r="4365" spans="1:1" ht="14.4">
      <c r="A4365" s="11"/>
    </row>
    <row r="4366" spans="1:1" ht="14.4">
      <c r="A4366" s="11"/>
    </row>
    <row r="4367" spans="1:1" ht="14.4">
      <c r="A4367" s="11"/>
    </row>
    <row r="4368" spans="1:1" ht="14.4">
      <c r="A4368" s="11"/>
    </row>
    <row r="4369" spans="1:1" ht="14.4">
      <c r="A4369" s="11"/>
    </row>
    <row r="4370" spans="1:1" ht="14.4">
      <c r="A4370" s="11"/>
    </row>
    <row r="4371" spans="1:1" ht="14.4">
      <c r="A4371" s="11"/>
    </row>
    <row r="4372" spans="1:1" ht="14.4">
      <c r="A4372" s="11"/>
    </row>
    <row r="4373" spans="1:1" ht="14.4">
      <c r="A4373" s="11"/>
    </row>
    <row r="4374" spans="1:1" ht="14.4">
      <c r="A4374" s="11"/>
    </row>
    <row r="4375" spans="1:1" ht="14.4">
      <c r="A4375" s="11"/>
    </row>
    <row r="4376" spans="1:1" ht="14.4">
      <c r="A4376" s="11"/>
    </row>
    <row r="4377" spans="1:1" ht="14.4">
      <c r="A4377" s="11"/>
    </row>
    <row r="4378" spans="1:1" ht="14.4">
      <c r="A4378" s="11"/>
    </row>
    <row r="4379" spans="1:1" ht="14.4">
      <c r="A4379" s="11"/>
    </row>
    <row r="4380" spans="1:1" ht="14.4">
      <c r="A4380" s="11"/>
    </row>
    <row r="4381" spans="1:1" ht="14.4">
      <c r="A4381" s="11"/>
    </row>
    <row r="4382" spans="1:1" ht="14.4">
      <c r="A4382" s="11"/>
    </row>
    <row r="4383" spans="1:1" ht="14.4">
      <c r="A4383" s="11"/>
    </row>
    <row r="4384" spans="1:1" ht="14.4">
      <c r="A4384" s="11"/>
    </row>
    <row r="4385" spans="1:1" ht="14.4">
      <c r="A4385" s="11"/>
    </row>
    <row r="4386" spans="1:1" ht="14.4">
      <c r="A4386" s="11"/>
    </row>
    <row r="4387" spans="1:1" ht="14.4">
      <c r="A4387" s="11"/>
    </row>
    <row r="4388" spans="1:1" ht="14.4">
      <c r="A4388" s="11"/>
    </row>
    <row r="4389" spans="1:1" ht="14.4">
      <c r="A4389" s="11"/>
    </row>
    <row r="4390" spans="1:1" ht="14.4">
      <c r="A4390" s="11"/>
    </row>
    <row r="4391" spans="1:1" ht="14.4">
      <c r="A4391" s="11"/>
    </row>
    <row r="4392" spans="1:1" ht="14.4">
      <c r="A4392" s="11"/>
    </row>
    <row r="4393" spans="1:1" ht="14.4">
      <c r="A4393" s="11"/>
    </row>
    <row r="4394" spans="1:1" ht="14.4">
      <c r="A4394" s="11"/>
    </row>
    <row r="4395" spans="1:1" ht="14.4">
      <c r="A4395" s="11"/>
    </row>
    <row r="4396" spans="1:1" ht="14.4">
      <c r="A4396" s="11"/>
    </row>
    <row r="4397" spans="1:1" ht="14.4">
      <c r="A4397" s="11"/>
    </row>
    <row r="4398" spans="1:1" ht="14.4">
      <c r="A4398" s="11"/>
    </row>
    <row r="4399" spans="1:1" ht="14.4">
      <c r="A4399" s="11"/>
    </row>
    <row r="4400" spans="1:1" ht="14.4">
      <c r="A4400" s="11"/>
    </row>
    <row r="4401" spans="1:1" ht="14.4">
      <c r="A4401" s="11"/>
    </row>
    <row r="4402" spans="1:1" ht="14.4">
      <c r="A4402" s="11"/>
    </row>
    <row r="4403" spans="1:1" ht="14.4">
      <c r="A4403" s="11"/>
    </row>
    <row r="4404" spans="1:1" ht="14.4">
      <c r="A4404" s="11"/>
    </row>
    <row r="4405" spans="1:1" ht="14.4">
      <c r="A4405" s="11"/>
    </row>
    <row r="4406" spans="1:1" ht="14.4">
      <c r="A4406" s="11"/>
    </row>
    <row r="4407" spans="1:1" ht="14.4">
      <c r="A4407" s="11"/>
    </row>
    <row r="4408" spans="1:1" ht="14.4">
      <c r="A4408" s="11"/>
    </row>
    <row r="4409" spans="1:1" ht="14.4">
      <c r="A4409" s="11"/>
    </row>
    <row r="4410" spans="1:1" ht="14.4">
      <c r="A4410" s="11"/>
    </row>
    <row r="4411" spans="1:1" ht="14.4">
      <c r="A4411" s="11"/>
    </row>
    <row r="4412" spans="1:1" ht="14.4">
      <c r="A4412" s="11"/>
    </row>
    <row r="4413" spans="1:1" ht="14.4">
      <c r="A4413" s="11"/>
    </row>
    <row r="4414" spans="1:1" ht="14.4">
      <c r="A4414" s="11"/>
    </row>
    <row r="4415" spans="1:1" ht="14.4">
      <c r="A4415" s="11"/>
    </row>
    <row r="4416" spans="1:1" ht="14.4">
      <c r="A4416" s="11"/>
    </row>
    <row r="4417" spans="1:1" ht="14.4">
      <c r="A4417" s="11"/>
    </row>
    <row r="4418" spans="1:1" ht="14.4">
      <c r="A4418" s="11"/>
    </row>
    <row r="4419" spans="1:1" ht="14.4">
      <c r="A4419" s="11"/>
    </row>
    <row r="4420" spans="1:1" ht="14.4">
      <c r="A4420" s="11"/>
    </row>
    <row r="4421" spans="1:1" ht="14.4">
      <c r="A4421" s="11"/>
    </row>
    <row r="4422" spans="1:1" ht="14.4">
      <c r="A4422" s="11"/>
    </row>
    <row r="4423" spans="1:1" ht="14.4">
      <c r="A4423" s="11"/>
    </row>
    <row r="4424" spans="1:1" ht="14.4">
      <c r="A4424" s="11"/>
    </row>
    <row r="4425" spans="1:1" ht="14.4">
      <c r="A4425" s="11"/>
    </row>
    <row r="4426" spans="1:1" ht="14.4">
      <c r="A4426" s="11"/>
    </row>
    <row r="4427" spans="1:1" ht="14.4">
      <c r="A4427" s="11"/>
    </row>
    <row r="4428" spans="1:1" ht="14.4">
      <c r="A4428" s="11"/>
    </row>
    <row r="4429" spans="1:1" ht="14.4">
      <c r="A4429" s="11"/>
    </row>
    <row r="4430" spans="1:1" ht="14.4">
      <c r="A4430" s="11"/>
    </row>
    <row r="4431" spans="1:1" ht="14.4">
      <c r="A4431" s="11"/>
    </row>
    <row r="4432" spans="1:1" ht="14.4">
      <c r="A4432" s="11"/>
    </row>
    <row r="4433" spans="1:1" ht="14.4">
      <c r="A4433" s="11"/>
    </row>
    <row r="4434" spans="1:1" ht="14.4">
      <c r="A4434" s="11"/>
    </row>
    <row r="4435" spans="1:1" ht="14.4">
      <c r="A4435" s="11"/>
    </row>
    <row r="4436" spans="1:1" ht="14.4">
      <c r="A4436" s="11"/>
    </row>
    <row r="4437" spans="1:1" ht="14.4">
      <c r="A4437" s="11"/>
    </row>
    <row r="4438" spans="1:1" ht="14.4">
      <c r="A4438" s="11"/>
    </row>
    <row r="4439" spans="1:1" ht="14.4">
      <c r="A4439" s="11"/>
    </row>
    <row r="4440" spans="1:1" ht="14.4">
      <c r="A4440" s="11"/>
    </row>
    <row r="4441" spans="1:1" ht="14.4">
      <c r="A4441" s="11"/>
    </row>
    <row r="4442" spans="1:1" ht="14.4">
      <c r="A4442" s="11"/>
    </row>
    <row r="4443" spans="1:1" ht="14.4">
      <c r="A4443" s="11"/>
    </row>
    <row r="4444" spans="1:1" ht="14.4">
      <c r="A4444" s="11"/>
    </row>
    <row r="4445" spans="1:1" ht="14.4">
      <c r="A4445" s="11"/>
    </row>
    <row r="4446" spans="1:1" ht="14.4">
      <c r="A4446" s="11"/>
    </row>
    <row r="4447" spans="1:1" ht="14.4">
      <c r="A4447" s="11"/>
    </row>
    <row r="4448" spans="1:1" ht="14.4">
      <c r="A4448" s="11"/>
    </row>
    <row r="4449" spans="1:1" ht="14.4">
      <c r="A4449" s="11"/>
    </row>
    <row r="4450" spans="1:1" ht="14.4">
      <c r="A4450" s="11"/>
    </row>
    <row r="4451" spans="1:1" ht="14.4">
      <c r="A4451" s="11"/>
    </row>
    <row r="4452" spans="1:1" ht="14.4">
      <c r="A4452" s="11"/>
    </row>
    <row r="4453" spans="1:1" ht="14.4">
      <c r="A4453" s="11"/>
    </row>
    <row r="4454" spans="1:1" ht="14.4">
      <c r="A4454" s="11"/>
    </row>
    <row r="4455" spans="1:1" ht="14.4">
      <c r="A4455" s="11"/>
    </row>
    <row r="4456" spans="1:1" ht="14.4">
      <c r="A4456" s="11"/>
    </row>
    <row r="4457" spans="1:1" ht="14.4">
      <c r="A4457" s="11"/>
    </row>
    <row r="4458" spans="1:1" ht="14.4">
      <c r="A4458" s="11"/>
    </row>
    <row r="4459" spans="1:1" ht="14.4">
      <c r="A4459" s="11"/>
    </row>
    <row r="4460" spans="1:1" ht="14.4">
      <c r="A4460" s="11"/>
    </row>
    <row r="4461" spans="1:1" ht="14.4">
      <c r="A4461" s="11"/>
    </row>
    <row r="4462" spans="1:1" ht="14.4">
      <c r="A4462" s="11"/>
    </row>
    <row r="4463" spans="1:1" ht="14.4">
      <c r="A4463" s="11"/>
    </row>
    <row r="4464" spans="1:1" ht="14.4">
      <c r="A4464" s="11"/>
    </row>
    <row r="4465" spans="1:1" ht="14.4">
      <c r="A4465" s="11"/>
    </row>
    <row r="4466" spans="1:1" ht="14.4">
      <c r="A4466" s="11"/>
    </row>
    <row r="4467" spans="1:1" ht="14.4">
      <c r="A4467" s="11"/>
    </row>
    <row r="4468" spans="1:1" ht="14.4">
      <c r="A4468" s="11"/>
    </row>
    <row r="4469" spans="1:1" ht="14.4">
      <c r="A4469" s="11"/>
    </row>
    <row r="4470" spans="1:1" ht="14.4">
      <c r="A4470" s="11"/>
    </row>
    <row r="4471" spans="1:1" ht="14.4">
      <c r="A4471" s="11"/>
    </row>
    <row r="4472" spans="1:1" ht="14.4">
      <c r="A4472" s="11"/>
    </row>
    <row r="4473" spans="1:1" ht="14.4">
      <c r="A4473" s="11"/>
    </row>
    <row r="4474" spans="1:1" ht="14.4">
      <c r="A4474" s="11"/>
    </row>
    <row r="4475" spans="1:1" ht="14.4">
      <c r="A4475" s="11"/>
    </row>
    <row r="4476" spans="1:1" ht="14.4">
      <c r="A4476" s="11"/>
    </row>
    <row r="4477" spans="1:1" ht="14.4">
      <c r="A4477" s="11"/>
    </row>
    <row r="4478" spans="1:1" ht="14.4">
      <c r="A4478" s="11"/>
    </row>
    <row r="4479" spans="1:1" ht="14.4">
      <c r="A4479" s="11"/>
    </row>
    <row r="4480" spans="1:1" ht="14.4">
      <c r="A4480" s="11"/>
    </row>
    <row r="4481" spans="1:1" ht="14.4">
      <c r="A4481" s="11"/>
    </row>
    <row r="4482" spans="1:1" ht="14.4">
      <c r="A4482" s="11"/>
    </row>
    <row r="4483" spans="1:1" ht="14.4">
      <c r="A4483" s="11"/>
    </row>
    <row r="4484" spans="1:1" ht="14.4">
      <c r="A4484" s="11"/>
    </row>
    <row r="4485" spans="1:1" ht="14.4">
      <c r="A4485" s="11"/>
    </row>
    <row r="4486" spans="1:1" ht="14.4">
      <c r="A4486" s="11"/>
    </row>
    <row r="4487" spans="1:1" ht="14.4">
      <c r="A4487" s="11"/>
    </row>
    <row r="4488" spans="1:1" ht="14.4">
      <c r="A4488" s="11"/>
    </row>
    <row r="4489" spans="1:1" ht="14.4">
      <c r="A4489" s="11"/>
    </row>
    <row r="4490" spans="1:1" ht="14.4">
      <c r="A4490" s="11"/>
    </row>
    <row r="4491" spans="1:1" ht="14.4">
      <c r="A4491" s="11"/>
    </row>
    <row r="4492" spans="1:1" ht="14.4">
      <c r="A4492" s="11"/>
    </row>
    <row r="4493" spans="1:1" ht="14.4">
      <c r="A4493" s="11"/>
    </row>
    <row r="4494" spans="1:1" ht="14.4">
      <c r="A4494" s="11"/>
    </row>
    <row r="4495" spans="1:1" ht="14.4">
      <c r="A4495" s="11"/>
    </row>
    <row r="4496" spans="1:1" ht="14.4">
      <c r="A4496" s="11"/>
    </row>
    <row r="4497" spans="1:1" ht="14.4">
      <c r="A4497" s="11"/>
    </row>
    <row r="4498" spans="1:1" ht="14.4">
      <c r="A4498" s="11"/>
    </row>
    <row r="4499" spans="1:1" ht="14.4">
      <c r="A4499" s="11"/>
    </row>
    <row r="4500" spans="1:1" ht="14.4">
      <c r="A4500" s="11"/>
    </row>
    <row r="4501" spans="1:1" ht="14.4">
      <c r="A4501" s="11"/>
    </row>
    <row r="4502" spans="1:1" ht="14.4">
      <c r="A4502" s="11"/>
    </row>
    <row r="4503" spans="1:1" ht="14.4">
      <c r="A4503" s="11"/>
    </row>
    <row r="4504" spans="1:1" ht="14.4">
      <c r="A4504" s="11"/>
    </row>
    <row r="4505" spans="1:1" ht="14.4">
      <c r="A4505" s="11"/>
    </row>
    <row r="4506" spans="1:1" ht="14.4">
      <c r="A4506" s="11"/>
    </row>
    <row r="4507" spans="1:1" ht="14.4">
      <c r="A4507" s="11"/>
    </row>
    <row r="4508" spans="1:1" ht="14.4">
      <c r="A4508" s="11"/>
    </row>
    <row r="4509" spans="1:1" ht="14.4">
      <c r="A4509" s="11"/>
    </row>
    <row r="4510" spans="1:1" ht="14.4">
      <c r="A4510" s="11"/>
    </row>
    <row r="4511" spans="1:1" ht="14.4">
      <c r="A4511" s="11"/>
    </row>
    <row r="4512" spans="1:1" ht="14.4">
      <c r="A4512" s="11"/>
    </row>
    <row r="4513" spans="1:1" ht="14.4">
      <c r="A4513" s="11"/>
    </row>
    <row r="4514" spans="1:1" ht="14.4">
      <c r="A4514" s="11"/>
    </row>
    <row r="4515" spans="1:1" ht="14.4">
      <c r="A4515" s="11"/>
    </row>
    <row r="4516" spans="1:1" ht="14.4">
      <c r="A4516" s="11"/>
    </row>
    <row r="4517" spans="1:1" ht="14.4">
      <c r="A4517" s="11"/>
    </row>
    <row r="4518" spans="1:1" ht="14.4">
      <c r="A4518" s="11"/>
    </row>
    <row r="4519" spans="1:1" ht="14.4">
      <c r="A4519" s="11"/>
    </row>
    <row r="4520" spans="1:1" ht="14.4">
      <c r="A4520" s="11"/>
    </row>
    <row r="4521" spans="1:1" ht="14.4">
      <c r="A4521" s="11"/>
    </row>
    <row r="4522" spans="1:1" ht="14.4">
      <c r="A4522" s="11"/>
    </row>
    <row r="4523" spans="1:1" ht="14.4">
      <c r="A4523" s="11"/>
    </row>
    <row r="4524" spans="1:1" ht="14.4">
      <c r="A4524" s="11"/>
    </row>
    <row r="4525" spans="1:1" ht="14.4">
      <c r="A4525" s="11"/>
    </row>
    <row r="4526" spans="1:1" ht="14.4">
      <c r="A4526" s="11"/>
    </row>
    <row r="4527" spans="1:1" ht="14.4">
      <c r="A4527" s="11"/>
    </row>
    <row r="4528" spans="1:1" ht="14.4">
      <c r="A4528" s="11"/>
    </row>
    <row r="4529" spans="1:1" ht="14.4">
      <c r="A4529" s="11"/>
    </row>
    <row r="4530" spans="1:1" ht="14.4">
      <c r="A4530" s="11"/>
    </row>
    <row r="4531" spans="1:1" ht="14.4">
      <c r="A4531" s="11"/>
    </row>
    <row r="4532" spans="1:1" ht="14.4">
      <c r="A4532" s="11"/>
    </row>
    <row r="4533" spans="1:1" ht="14.4">
      <c r="A4533" s="11"/>
    </row>
    <row r="4534" spans="1:1" ht="14.4">
      <c r="A4534" s="11"/>
    </row>
    <row r="4535" spans="1:1" ht="14.4">
      <c r="A4535" s="11"/>
    </row>
    <row r="4536" spans="1:1" ht="14.4">
      <c r="A4536" s="11"/>
    </row>
    <row r="4537" spans="1:1" ht="14.4">
      <c r="A4537" s="11"/>
    </row>
    <row r="4538" spans="1:1" ht="14.4">
      <c r="A4538" s="11"/>
    </row>
    <row r="4539" spans="1:1" ht="14.4">
      <c r="A4539" s="11"/>
    </row>
    <row r="4540" spans="1:1" ht="14.4">
      <c r="A4540" s="11"/>
    </row>
    <row r="4541" spans="1:1" ht="14.4">
      <c r="A4541" s="11"/>
    </row>
    <row r="4542" spans="1:1" ht="14.4">
      <c r="A4542" s="11"/>
    </row>
    <row r="4543" spans="1:1" ht="14.4">
      <c r="A4543" s="11"/>
    </row>
    <row r="4544" spans="1:1" ht="14.4">
      <c r="A4544" s="11"/>
    </row>
    <row r="4545" spans="1:1" ht="14.4">
      <c r="A4545" s="11"/>
    </row>
    <row r="4546" spans="1:1" ht="14.4">
      <c r="A4546" s="11"/>
    </row>
    <row r="4547" spans="1:1" ht="14.4">
      <c r="A4547" s="11"/>
    </row>
    <row r="4548" spans="1:1" ht="14.4">
      <c r="A4548" s="11"/>
    </row>
    <row r="4549" spans="1:1" ht="14.4">
      <c r="A4549" s="11"/>
    </row>
    <row r="4550" spans="1:1" ht="14.4">
      <c r="A4550" s="11"/>
    </row>
    <row r="4551" spans="1:1" ht="14.4">
      <c r="A4551" s="11"/>
    </row>
    <row r="4552" spans="1:1" ht="14.4">
      <c r="A4552" s="11"/>
    </row>
    <row r="4553" spans="1:1" ht="14.4">
      <c r="A4553" s="11"/>
    </row>
    <row r="4554" spans="1:1" ht="14.4">
      <c r="A4554" s="11"/>
    </row>
    <row r="4555" spans="1:1" ht="14.4">
      <c r="A4555" s="11"/>
    </row>
    <row r="4556" spans="1:1" ht="14.4">
      <c r="A4556" s="11"/>
    </row>
    <row r="4557" spans="1:1" ht="14.4">
      <c r="A4557" s="11"/>
    </row>
    <row r="4558" spans="1:1" ht="14.4">
      <c r="A4558" s="11"/>
    </row>
    <row r="4559" spans="1:1" ht="14.4">
      <c r="A4559" s="11"/>
    </row>
    <row r="4560" spans="1:1" ht="14.4">
      <c r="A4560" s="11"/>
    </row>
    <row r="4561" spans="1:1" ht="14.4">
      <c r="A4561" s="11"/>
    </row>
    <row r="4562" spans="1:1" ht="14.4">
      <c r="A4562" s="11"/>
    </row>
    <row r="4563" spans="1:1" ht="14.4">
      <c r="A4563" s="11"/>
    </row>
    <row r="4564" spans="1:1" ht="14.4">
      <c r="A4564" s="11"/>
    </row>
    <row r="4565" spans="1:1" ht="14.4">
      <c r="A4565" s="11"/>
    </row>
    <row r="4566" spans="1:1" ht="14.4">
      <c r="A4566" s="11"/>
    </row>
    <row r="4567" spans="1:1" ht="14.4">
      <c r="A4567" s="11"/>
    </row>
    <row r="4568" spans="1:1" ht="14.4">
      <c r="A4568" s="11"/>
    </row>
    <row r="4569" spans="1:1" ht="14.4">
      <c r="A4569" s="11"/>
    </row>
    <row r="4570" spans="1:1" ht="14.4">
      <c r="A4570" s="11"/>
    </row>
    <row r="4571" spans="1:1" ht="14.4">
      <c r="A4571" s="11"/>
    </row>
    <row r="4572" spans="1:1" ht="14.4">
      <c r="A4572" s="11"/>
    </row>
    <row r="4573" spans="1:1" ht="14.4">
      <c r="A4573" s="11"/>
    </row>
    <row r="4574" spans="1:1" ht="14.4">
      <c r="A4574" s="11"/>
    </row>
    <row r="4575" spans="1:1" ht="14.4">
      <c r="A4575" s="11"/>
    </row>
    <row r="4576" spans="1:1" ht="14.4">
      <c r="A4576" s="11"/>
    </row>
    <row r="4577" spans="1:1" ht="14.4">
      <c r="A4577" s="11"/>
    </row>
    <row r="4578" spans="1:1" ht="14.4">
      <c r="A4578" s="11"/>
    </row>
    <row r="4579" spans="1:1" ht="14.4">
      <c r="A4579" s="11"/>
    </row>
    <row r="4580" spans="1:1" ht="14.4">
      <c r="A4580" s="11"/>
    </row>
    <row r="4581" spans="1:1" ht="14.4">
      <c r="A4581" s="11"/>
    </row>
    <row r="4582" spans="1:1" ht="14.4">
      <c r="A4582" s="11"/>
    </row>
    <row r="4583" spans="1:1" ht="14.4">
      <c r="A4583" s="11"/>
    </row>
    <row r="4584" spans="1:1" ht="14.4">
      <c r="A4584" s="11"/>
    </row>
    <row r="4585" spans="1:1" ht="14.4">
      <c r="A4585" s="11"/>
    </row>
    <row r="4586" spans="1:1" ht="14.4">
      <c r="A4586" s="11"/>
    </row>
    <row r="4587" spans="1:1" ht="14.4">
      <c r="A4587" s="11"/>
    </row>
    <row r="4588" spans="1:1" ht="14.4">
      <c r="A4588" s="11"/>
    </row>
    <row r="4589" spans="1:1" ht="14.4">
      <c r="A4589" s="11"/>
    </row>
    <row r="4590" spans="1:1" ht="14.4">
      <c r="A4590" s="11"/>
    </row>
    <row r="4591" spans="1:1" ht="14.4">
      <c r="A4591" s="11"/>
    </row>
    <row r="4592" spans="1:1" ht="14.4">
      <c r="A4592" s="11"/>
    </row>
    <row r="4593" spans="1:1" ht="14.4">
      <c r="A4593" s="11"/>
    </row>
    <row r="4594" spans="1:1" ht="14.4">
      <c r="A4594" s="11"/>
    </row>
    <row r="4595" spans="1:1" ht="14.4">
      <c r="A4595" s="11"/>
    </row>
    <row r="4596" spans="1:1" ht="14.4">
      <c r="A4596" s="11"/>
    </row>
    <row r="4597" spans="1:1" ht="14.4">
      <c r="A4597" s="11"/>
    </row>
    <row r="4598" spans="1:1" ht="14.4">
      <c r="A4598" s="11"/>
    </row>
    <row r="4599" spans="1:1" ht="14.4">
      <c r="A4599" s="11"/>
    </row>
    <row r="4600" spans="1:1" ht="14.4">
      <c r="A4600" s="11"/>
    </row>
    <row r="4601" spans="1:1" ht="14.4">
      <c r="A4601" s="11"/>
    </row>
    <row r="4602" spans="1:1" ht="14.4">
      <c r="A4602" s="11"/>
    </row>
    <row r="4603" spans="1:1" ht="14.4">
      <c r="A4603" s="11"/>
    </row>
    <row r="4604" spans="1:1" ht="14.4">
      <c r="A4604" s="11"/>
    </row>
    <row r="4605" spans="1:1" ht="14.4">
      <c r="A4605" s="11"/>
    </row>
    <row r="4606" spans="1:1" ht="14.4">
      <c r="A4606" s="11"/>
    </row>
    <row r="4607" spans="1:1" ht="14.4">
      <c r="A4607" s="11"/>
    </row>
    <row r="4608" spans="1:1" ht="14.4">
      <c r="A4608" s="11"/>
    </row>
    <row r="4609" spans="1:1" ht="14.4">
      <c r="A4609" s="11"/>
    </row>
    <row r="4610" spans="1:1" ht="14.4">
      <c r="A4610" s="11"/>
    </row>
    <row r="4611" spans="1:1" ht="14.4">
      <c r="A4611" s="11"/>
    </row>
    <row r="4612" spans="1:1" ht="14.4">
      <c r="A4612" s="11"/>
    </row>
    <row r="4613" spans="1:1" ht="14.4">
      <c r="A4613" s="11"/>
    </row>
    <row r="4614" spans="1:1" ht="14.4">
      <c r="A4614" s="11"/>
    </row>
    <row r="4615" spans="1:1" ht="14.4">
      <c r="A4615" s="11"/>
    </row>
    <row r="4616" spans="1:1" ht="14.4">
      <c r="A4616" s="11"/>
    </row>
    <row r="4617" spans="1:1" ht="14.4">
      <c r="A4617" s="11"/>
    </row>
    <row r="4618" spans="1:1" ht="14.4">
      <c r="A4618" s="11"/>
    </row>
    <row r="4619" spans="1:1" ht="14.4">
      <c r="A4619" s="11"/>
    </row>
    <row r="4620" spans="1:1" ht="14.4">
      <c r="A4620" s="11"/>
    </row>
    <row r="4621" spans="1:1" ht="14.4">
      <c r="A4621" s="11"/>
    </row>
    <row r="4622" spans="1:1" ht="14.4">
      <c r="A4622" s="11"/>
    </row>
    <row r="4623" spans="1:1" ht="14.4">
      <c r="A4623" s="11"/>
    </row>
    <row r="4624" spans="1:1" ht="14.4">
      <c r="A4624" s="11"/>
    </row>
    <row r="4625" spans="1:1" ht="14.4">
      <c r="A4625" s="11"/>
    </row>
    <row r="4626" spans="1:1" ht="14.4">
      <c r="A4626" s="11"/>
    </row>
    <row r="4627" spans="1:1" ht="14.4">
      <c r="A4627" s="11"/>
    </row>
    <row r="4628" spans="1:1" ht="14.4">
      <c r="A4628" s="11"/>
    </row>
    <row r="4629" spans="1:1" ht="14.4">
      <c r="A4629" s="11"/>
    </row>
    <row r="4630" spans="1:1" ht="14.4">
      <c r="A4630" s="11"/>
    </row>
    <row r="4631" spans="1:1" ht="14.4">
      <c r="A4631" s="11"/>
    </row>
    <row r="4632" spans="1:1" ht="14.4">
      <c r="A4632" s="11"/>
    </row>
    <row r="4633" spans="1:1" ht="14.4">
      <c r="A4633" s="11"/>
    </row>
    <row r="4634" spans="1:1" ht="14.4">
      <c r="A4634" s="11"/>
    </row>
    <row r="4635" spans="1:1" ht="14.4">
      <c r="A4635" s="11"/>
    </row>
    <row r="4636" spans="1:1" ht="14.4">
      <c r="A4636" s="11"/>
    </row>
    <row r="4637" spans="1:1" ht="14.4">
      <c r="A4637" s="11"/>
    </row>
    <row r="4638" spans="1:1" ht="14.4">
      <c r="A4638" s="11"/>
    </row>
    <row r="4639" spans="1:1" ht="14.4">
      <c r="A4639" s="11"/>
    </row>
    <row r="4640" spans="1:1" ht="14.4">
      <c r="A4640" s="11"/>
    </row>
    <row r="4641" spans="1:1" ht="14.4">
      <c r="A4641" s="11"/>
    </row>
    <row r="4642" spans="1:1" ht="14.4">
      <c r="A4642" s="11"/>
    </row>
    <row r="4643" spans="1:1" ht="14.4">
      <c r="A4643" s="11"/>
    </row>
    <row r="4644" spans="1:1" ht="14.4">
      <c r="A4644" s="11"/>
    </row>
    <row r="4645" spans="1:1" ht="14.4">
      <c r="A4645" s="11"/>
    </row>
    <row r="4646" spans="1:1" ht="14.4">
      <c r="A4646" s="11"/>
    </row>
    <row r="4647" spans="1:1" ht="14.4">
      <c r="A4647" s="11"/>
    </row>
    <row r="4648" spans="1:1" ht="14.4">
      <c r="A4648" s="11"/>
    </row>
    <row r="4649" spans="1:1" ht="14.4">
      <c r="A4649" s="11"/>
    </row>
    <row r="4650" spans="1:1" ht="14.4">
      <c r="A4650" s="11"/>
    </row>
    <row r="4651" spans="1:1" ht="14.4">
      <c r="A4651" s="11"/>
    </row>
    <row r="4652" spans="1:1" ht="14.4">
      <c r="A4652" s="11"/>
    </row>
    <row r="4653" spans="1:1" ht="14.4">
      <c r="A4653" s="11"/>
    </row>
    <row r="4654" spans="1:1" ht="14.4">
      <c r="A4654" s="11"/>
    </row>
    <row r="4655" spans="1:1" ht="14.4">
      <c r="A4655" s="11"/>
    </row>
    <row r="4656" spans="1:1" ht="14.4">
      <c r="A4656" s="11"/>
    </row>
    <row r="4657" spans="1:1" ht="14.4">
      <c r="A4657" s="11"/>
    </row>
    <row r="4658" spans="1:1" ht="14.4">
      <c r="A4658" s="11"/>
    </row>
    <row r="4659" spans="1:1" ht="14.4">
      <c r="A4659" s="11"/>
    </row>
    <row r="4660" spans="1:1" ht="14.4">
      <c r="A4660" s="11"/>
    </row>
    <row r="4661" spans="1:1" ht="14.4">
      <c r="A4661" s="11"/>
    </row>
    <row r="4662" spans="1:1" ht="14.4">
      <c r="A4662" s="11"/>
    </row>
    <row r="4663" spans="1:1" ht="14.4">
      <c r="A4663" s="11"/>
    </row>
    <row r="4664" spans="1:1" ht="14.4">
      <c r="A4664" s="11"/>
    </row>
    <row r="4665" spans="1:1" ht="14.4">
      <c r="A4665" s="11"/>
    </row>
    <row r="4666" spans="1:1" ht="14.4">
      <c r="A4666" s="11"/>
    </row>
    <row r="4667" spans="1:1" ht="14.4">
      <c r="A4667" s="11"/>
    </row>
    <row r="4668" spans="1:1" ht="14.4">
      <c r="A4668" s="11"/>
    </row>
    <row r="4669" spans="1:1" ht="14.4">
      <c r="A4669" s="11"/>
    </row>
    <row r="4670" spans="1:1" ht="14.4">
      <c r="A4670" s="11"/>
    </row>
    <row r="4671" spans="1:1" ht="14.4">
      <c r="A4671" s="11"/>
    </row>
    <row r="4672" spans="1:1" ht="14.4">
      <c r="A4672" s="11"/>
    </row>
    <row r="4673" spans="1:1" ht="14.4">
      <c r="A4673" s="11"/>
    </row>
    <row r="4674" spans="1:1" ht="14.4">
      <c r="A4674" s="11"/>
    </row>
    <row r="4675" spans="1:1" ht="14.4">
      <c r="A4675" s="11"/>
    </row>
    <row r="4676" spans="1:1" ht="14.4">
      <c r="A4676" s="11"/>
    </row>
    <row r="4677" spans="1:1" ht="14.4">
      <c r="A4677" s="11"/>
    </row>
    <row r="4678" spans="1:1" ht="14.4">
      <c r="A4678" s="11"/>
    </row>
    <row r="4679" spans="1:1" ht="14.4">
      <c r="A4679" s="11"/>
    </row>
    <row r="4680" spans="1:1" ht="14.4">
      <c r="A4680" s="11"/>
    </row>
    <row r="4681" spans="1:1" ht="14.4">
      <c r="A4681" s="11"/>
    </row>
    <row r="4682" spans="1:1" ht="14.4">
      <c r="A4682" s="11"/>
    </row>
    <row r="4683" spans="1:1" ht="14.4">
      <c r="A4683" s="11"/>
    </row>
    <row r="4684" spans="1:1" ht="14.4">
      <c r="A4684" s="11"/>
    </row>
    <row r="4685" spans="1:1" ht="14.4">
      <c r="A4685" s="11"/>
    </row>
    <row r="4686" spans="1:1" ht="14.4">
      <c r="A4686" s="11"/>
    </row>
    <row r="4687" spans="1:1" ht="14.4">
      <c r="A4687" s="11"/>
    </row>
    <row r="4688" spans="1:1" ht="14.4">
      <c r="A4688" s="11"/>
    </row>
    <row r="4689" spans="1:1" ht="14.4">
      <c r="A4689" s="11"/>
    </row>
    <row r="4690" spans="1:1" ht="14.4">
      <c r="A4690" s="11"/>
    </row>
    <row r="4691" spans="1:1" ht="14.4">
      <c r="A4691" s="11"/>
    </row>
    <row r="4692" spans="1:1" ht="14.4">
      <c r="A4692" s="11"/>
    </row>
    <row r="4693" spans="1:1" ht="14.4">
      <c r="A4693" s="11"/>
    </row>
    <row r="4694" spans="1:1" ht="14.4">
      <c r="A4694" s="11"/>
    </row>
    <row r="4695" spans="1:1" ht="14.4">
      <c r="A4695" s="11"/>
    </row>
    <row r="4696" spans="1:1" ht="14.4">
      <c r="A4696" s="11"/>
    </row>
    <row r="4697" spans="1:1" ht="14.4">
      <c r="A4697" s="11"/>
    </row>
    <row r="4698" spans="1:1" ht="14.4">
      <c r="A4698" s="11"/>
    </row>
    <row r="4699" spans="1:1" ht="14.4">
      <c r="A4699" s="11"/>
    </row>
    <row r="4700" spans="1:1" ht="14.4">
      <c r="A4700" s="11"/>
    </row>
    <row r="4701" spans="1:1" ht="14.4">
      <c r="A4701" s="11"/>
    </row>
    <row r="4702" spans="1:1" ht="14.4">
      <c r="A4702" s="11"/>
    </row>
    <row r="4703" spans="1:1" ht="14.4">
      <c r="A4703" s="11"/>
    </row>
    <row r="4704" spans="1:1" ht="14.4">
      <c r="A4704" s="11"/>
    </row>
    <row r="4705" spans="1:1" ht="14.4">
      <c r="A4705" s="11"/>
    </row>
    <row r="4706" spans="1:1" ht="14.4">
      <c r="A4706" s="11"/>
    </row>
    <row r="4707" spans="1:1" ht="14.4">
      <c r="A4707" s="11"/>
    </row>
    <row r="4708" spans="1:1" ht="14.4">
      <c r="A4708" s="11"/>
    </row>
    <row r="4709" spans="1:1" ht="14.4">
      <c r="A4709" s="11"/>
    </row>
    <row r="4710" spans="1:1" ht="14.4">
      <c r="A4710" s="11"/>
    </row>
    <row r="4711" spans="1:1" ht="14.4">
      <c r="A4711" s="11"/>
    </row>
    <row r="4712" spans="1:1" ht="14.4">
      <c r="A4712" s="11"/>
    </row>
    <row r="4713" spans="1:1" ht="14.4">
      <c r="A4713" s="11"/>
    </row>
    <row r="4714" spans="1:1" ht="14.4">
      <c r="A4714" s="11"/>
    </row>
    <row r="4715" spans="1:1" ht="14.4">
      <c r="A4715" s="11"/>
    </row>
    <row r="4716" spans="1:1" ht="14.4">
      <c r="A4716" s="11"/>
    </row>
    <row r="4717" spans="1:1" ht="14.4">
      <c r="A4717" s="11"/>
    </row>
    <row r="4718" spans="1:1" ht="14.4">
      <c r="A4718" s="11"/>
    </row>
    <row r="4719" spans="1:1" ht="14.4">
      <c r="A4719" s="11"/>
    </row>
    <row r="4720" spans="1:1" ht="14.4">
      <c r="A4720" s="11"/>
    </row>
    <row r="4721" spans="1:1" ht="14.4">
      <c r="A4721" s="11"/>
    </row>
    <row r="4722" spans="1:1" ht="14.4">
      <c r="A4722" s="11"/>
    </row>
    <row r="4723" spans="1:1" ht="14.4">
      <c r="A4723" s="11"/>
    </row>
    <row r="4724" spans="1:1" ht="14.4">
      <c r="A4724" s="11"/>
    </row>
    <row r="4725" spans="1:1" ht="14.4">
      <c r="A4725" s="11"/>
    </row>
    <row r="4726" spans="1:1" ht="14.4">
      <c r="A4726" s="11"/>
    </row>
    <row r="4727" spans="1:1" ht="14.4">
      <c r="A4727" s="11"/>
    </row>
    <row r="4728" spans="1:1" ht="14.4">
      <c r="A4728" s="11"/>
    </row>
    <row r="4729" spans="1:1" ht="14.4">
      <c r="A4729" s="11"/>
    </row>
    <row r="4730" spans="1:1" ht="14.4">
      <c r="A4730" s="11"/>
    </row>
    <row r="4731" spans="1:1" ht="14.4">
      <c r="A4731" s="11"/>
    </row>
    <row r="4732" spans="1:1" ht="14.4">
      <c r="A4732" s="11"/>
    </row>
    <row r="4733" spans="1:1" ht="14.4">
      <c r="A4733" s="11"/>
    </row>
    <row r="4734" spans="1:1" ht="14.4">
      <c r="A4734" s="11"/>
    </row>
    <row r="4735" spans="1:1" ht="14.4">
      <c r="A4735" s="11"/>
    </row>
    <row r="4736" spans="1:1" ht="14.4">
      <c r="A4736" s="11"/>
    </row>
    <row r="4737" spans="1:1" ht="14.4">
      <c r="A4737" s="11"/>
    </row>
    <row r="4738" spans="1:1" ht="14.4">
      <c r="A4738" s="11"/>
    </row>
    <row r="4739" spans="1:1" ht="14.4">
      <c r="A4739" s="11"/>
    </row>
    <row r="4740" spans="1:1" ht="14.4">
      <c r="A4740" s="11"/>
    </row>
    <row r="4741" spans="1:1" ht="14.4">
      <c r="A4741" s="11"/>
    </row>
    <row r="4742" spans="1:1" ht="14.4">
      <c r="A4742" s="11"/>
    </row>
    <row r="4743" spans="1:1" ht="14.4">
      <c r="A4743" s="11"/>
    </row>
    <row r="4744" spans="1:1" ht="14.4">
      <c r="A4744" s="11"/>
    </row>
    <row r="4745" spans="1:1" ht="14.4">
      <c r="A4745" s="11"/>
    </row>
    <row r="4746" spans="1:1" ht="14.4">
      <c r="A4746" s="11"/>
    </row>
    <row r="4747" spans="1:1" ht="14.4">
      <c r="A4747" s="11"/>
    </row>
    <row r="4748" spans="1:1" ht="14.4">
      <c r="A4748" s="11"/>
    </row>
    <row r="4749" spans="1:1" ht="14.4">
      <c r="A4749" s="11"/>
    </row>
    <row r="4750" spans="1:1" ht="14.4">
      <c r="A4750" s="11"/>
    </row>
    <row r="4751" spans="1:1" ht="14.4">
      <c r="A4751" s="11"/>
    </row>
    <row r="4752" spans="1:1" ht="14.4">
      <c r="A4752" s="11"/>
    </row>
    <row r="4753" spans="1:1" ht="14.4">
      <c r="A4753" s="11"/>
    </row>
    <row r="4754" spans="1:1" ht="14.4">
      <c r="A4754" s="11"/>
    </row>
    <row r="4755" spans="1:1" ht="14.4">
      <c r="A4755" s="11"/>
    </row>
    <row r="4756" spans="1:1" ht="14.4">
      <c r="A4756" s="11"/>
    </row>
    <row r="4757" spans="1:1" ht="14.4">
      <c r="A4757" s="11"/>
    </row>
    <row r="4758" spans="1:1" ht="14.4">
      <c r="A4758" s="11"/>
    </row>
    <row r="4759" spans="1:1" ht="14.4">
      <c r="A4759" s="11"/>
    </row>
    <row r="4760" spans="1:1" ht="14.4">
      <c r="A4760" s="11"/>
    </row>
    <row r="4761" spans="1:1" ht="14.4">
      <c r="A4761" s="11"/>
    </row>
    <row r="4762" spans="1:1" ht="14.4">
      <c r="A4762" s="11"/>
    </row>
    <row r="4763" spans="1:1" ht="14.4">
      <c r="A4763" s="11"/>
    </row>
    <row r="4764" spans="1:1" ht="14.4">
      <c r="A4764" s="11"/>
    </row>
    <row r="4765" spans="1:1" ht="14.4">
      <c r="A4765" s="11"/>
    </row>
    <row r="4766" spans="1:1" ht="14.4">
      <c r="A4766" s="11"/>
    </row>
    <row r="4767" spans="1:1" ht="14.4">
      <c r="A4767" s="11"/>
    </row>
    <row r="4768" spans="1:1" ht="14.4">
      <c r="A4768" s="11"/>
    </row>
    <row r="4769" spans="1:1" ht="14.4">
      <c r="A4769" s="11"/>
    </row>
    <row r="4770" spans="1:1" ht="14.4">
      <c r="A4770" s="11"/>
    </row>
    <row r="4771" spans="1:1" ht="14.4">
      <c r="A4771" s="11"/>
    </row>
    <row r="4772" spans="1:1" ht="14.4">
      <c r="A4772" s="11"/>
    </row>
    <row r="4773" spans="1:1" ht="14.4">
      <c r="A4773" s="11"/>
    </row>
    <row r="4774" spans="1:1" ht="14.4">
      <c r="A4774" s="11"/>
    </row>
    <row r="4775" spans="1:1" ht="14.4">
      <c r="A4775" s="11"/>
    </row>
    <row r="4776" spans="1:1" ht="14.4">
      <c r="A4776" s="11"/>
    </row>
    <row r="4777" spans="1:1" ht="14.4">
      <c r="A4777" s="11"/>
    </row>
    <row r="4778" spans="1:1" ht="14.4">
      <c r="A4778" s="11"/>
    </row>
    <row r="4779" spans="1:1" ht="14.4">
      <c r="A4779" s="11"/>
    </row>
    <row r="4780" spans="1:1" ht="14.4">
      <c r="A4780" s="11"/>
    </row>
    <row r="4781" spans="1:1" ht="14.4">
      <c r="A4781" s="11"/>
    </row>
    <row r="4782" spans="1:1" ht="14.4">
      <c r="A4782" s="11"/>
    </row>
    <row r="4783" spans="1:1" ht="14.4">
      <c r="A4783" s="11"/>
    </row>
    <row r="4784" spans="1:1" ht="14.4">
      <c r="A4784" s="11"/>
    </row>
    <row r="4785" spans="1:1" ht="14.4">
      <c r="A4785" s="11"/>
    </row>
    <row r="4786" spans="1:1" ht="14.4">
      <c r="A4786" s="11"/>
    </row>
    <row r="4787" spans="1:1" ht="14.4">
      <c r="A4787" s="11"/>
    </row>
    <row r="4788" spans="1:1" ht="14.4">
      <c r="A4788" s="11"/>
    </row>
    <row r="4789" spans="1:1" ht="14.4">
      <c r="A4789" s="11"/>
    </row>
    <row r="4790" spans="1:1" ht="14.4">
      <c r="A4790" s="11"/>
    </row>
    <row r="4791" spans="1:1" ht="14.4">
      <c r="A4791" s="11"/>
    </row>
    <row r="4792" spans="1:1" ht="14.4">
      <c r="A4792" s="11"/>
    </row>
    <row r="4793" spans="1:1" ht="14.4">
      <c r="A4793" s="11"/>
    </row>
    <row r="4794" spans="1:1" ht="14.4">
      <c r="A4794" s="11"/>
    </row>
    <row r="4795" spans="1:1" ht="14.4">
      <c r="A4795" s="11"/>
    </row>
    <row r="4796" spans="1:1" ht="14.4">
      <c r="A4796" s="11"/>
    </row>
    <row r="4797" spans="1:1" ht="14.4">
      <c r="A4797" s="11"/>
    </row>
    <row r="4798" spans="1:1" ht="14.4">
      <c r="A4798" s="11"/>
    </row>
    <row r="4799" spans="1:1" ht="14.4">
      <c r="A4799" s="11"/>
    </row>
    <row r="4800" spans="1:1" ht="14.4">
      <c r="A4800" s="11"/>
    </row>
    <row r="4801" spans="1:1" ht="14.4">
      <c r="A4801" s="11"/>
    </row>
    <row r="4802" spans="1:1" ht="14.4">
      <c r="A4802" s="11"/>
    </row>
    <row r="4803" spans="1:1" ht="14.4">
      <c r="A4803" s="11"/>
    </row>
    <row r="4804" spans="1:1" ht="14.4">
      <c r="A4804" s="11"/>
    </row>
    <row r="4805" spans="1:1" ht="14.4">
      <c r="A4805" s="11"/>
    </row>
    <row r="4806" spans="1:1" ht="14.4">
      <c r="A4806" s="11"/>
    </row>
    <row r="4807" spans="1:1" ht="14.4">
      <c r="A4807" s="11"/>
    </row>
    <row r="4808" spans="1:1" ht="14.4">
      <c r="A4808" s="11"/>
    </row>
    <row r="4809" spans="1:1" ht="14.4">
      <c r="A4809" s="11"/>
    </row>
    <row r="4810" spans="1:1" ht="14.4">
      <c r="A4810" s="11"/>
    </row>
    <row r="4811" spans="1:1" ht="14.4">
      <c r="A4811" s="11"/>
    </row>
    <row r="4812" spans="1:1" ht="14.4">
      <c r="A4812" s="11"/>
    </row>
    <row r="4813" spans="1:1" ht="14.4">
      <c r="A4813" s="11"/>
    </row>
    <row r="4814" spans="1:1" ht="14.4">
      <c r="A4814" s="11"/>
    </row>
    <row r="4815" spans="1:1" ht="14.4">
      <c r="A4815" s="11"/>
    </row>
    <row r="4816" spans="1:1" ht="14.4">
      <c r="A4816" s="11"/>
    </row>
    <row r="4817" spans="1:1" ht="14.4">
      <c r="A4817" s="11"/>
    </row>
    <row r="4818" spans="1:1" ht="14.4">
      <c r="A4818" s="11"/>
    </row>
    <row r="4819" spans="1:1" ht="14.4">
      <c r="A4819" s="11"/>
    </row>
    <row r="4820" spans="1:1" ht="14.4">
      <c r="A4820" s="11"/>
    </row>
    <row r="4821" spans="1:1" ht="14.4">
      <c r="A4821" s="11"/>
    </row>
    <row r="4822" spans="1:1" ht="14.4">
      <c r="A4822" s="11"/>
    </row>
    <row r="4823" spans="1:1" ht="14.4">
      <c r="A4823" s="11"/>
    </row>
    <row r="4824" spans="1:1" ht="14.4">
      <c r="A4824" s="11"/>
    </row>
    <row r="4825" spans="1:1" ht="14.4">
      <c r="A4825" s="11"/>
    </row>
    <row r="4826" spans="1:1" ht="14.4">
      <c r="A4826" s="11"/>
    </row>
    <row r="4827" spans="1:1" ht="14.4">
      <c r="A4827" s="11"/>
    </row>
    <row r="4828" spans="1:1" ht="14.4">
      <c r="A4828" s="11"/>
    </row>
    <row r="4829" spans="1:1" ht="14.4">
      <c r="A4829" s="11"/>
    </row>
    <row r="4830" spans="1:1" ht="14.4">
      <c r="A4830" s="11"/>
    </row>
    <row r="4831" spans="1:1" ht="14.4">
      <c r="A4831" s="11"/>
    </row>
    <row r="4832" spans="1:1" ht="14.4">
      <c r="A4832" s="11"/>
    </row>
    <row r="4833" spans="1:1" ht="14.4">
      <c r="A4833" s="11"/>
    </row>
    <row r="4834" spans="1:1" ht="14.4">
      <c r="A4834" s="11"/>
    </row>
    <row r="4835" spans="1:1" ht="14.4">
      <c r="A4835" s="11"/>
    </row>
    <row r="4836" spans="1:1" ht="14.4">
      <c r="A4836" s="11"/>
    </row>
    <row r="4837" spans="1:1" ht="14.4">
      <c r="A4837" s="11"/>
    </row>
    <row r="4838" spans="1:1" ht="14.4">
      <c r="A4838" s="11"/>
    </row>
    <row r="4839" spans="1:1" ht="14.4">
      <c r="A4839" s="11"/>
    </row>
    <row r="4840" spans="1:1" ht="14.4">
      <c r="A4840" s="11"/>
    </row>
    <row r="4841" spans="1:1" ht="14.4">
      <c r="A4841" s="11"/>
    </row>
    <row r="4842" spans="1:1" ht="14.4">
      <c r="A4842" s="11"/>
    </row>
    <row r="4843" spans="1:1" ht="14.4">
      <c r="A4843" s="11"/>
    </row>
    <row r="4844" spans="1:1" ht="14.4">
      <c r="A4844" s="11"/>
    </row>
    <row r="4845" spans="1:1" ht="14.4">
      <c r="A4845" s="11"/>
    </row>
    <row r="4846" spans="1:1" ht="14.4">
      <c r="A4846" s="11"/>
    </row>
    <row r="4847" spans="1:1" ht="14.4">
      <c r="A4847" s="11"/>
    </row>
    <row r="4848" spans="1:1" ht="14.4">
      <c r="A4848" s="11"/>
    </row>
    <row r="4849" spans="1:1" ht="14.4">
      <c r="A4849" s="11"/>
    </row>
    <row r="4850" spans="1:1" ht="14.4">
      <c r="A4850" s="11"/>
    </row>
    <row r="4851" spans="1:1" ht="14.4">
      <c r="A4851" s="11"/>
    </row>
    <row r="4852" spans="1:1" ht="14.4">
      <c r="A4852" s="11"/>
    </row>
    <row r="4853" spans="1:1" ht="14.4">
      <c r="A4853" s="11"/>
    </row>
    <row r="4854" spans="1:1" ht="14.4">
      <c r="A4854" s="11"/>
    </row>
    <row r="4855" spans="1:1" ht="14.4">
      <c r="A4855" s="11"/>
    </row>
    <row r="4856" spans="1:1" ht="14.4">
      <c r="A4856" s="11"/>
    </row>
    <row r="4857" spans="1:1" ht="14.4">
      <c r="A4857" s="11"/>
    </row>
    <row r="4858" spans="1:1" ht="14.4">
      <c r="A4858" s="11"/>
    </row>
    <row r="4859" spans="1:1" ht="14.4">
      <c r="A4859" s="11"/>
    </row>
    <row r="4860" spans="1:1" ht="14.4">
      <c r="A4860" s="11"/>
    </row>
    <row r="4861" spans="1:1" ht="14.4">
      <c r="A4861" s="11"/>
    </row>
    <row r="4862" spans="1:1" ht="14.4">
      <c r="A4862" s="11"/>
    </row>
    <row r="4863" spans="1:1" ht="14.4">
      <c r="A4863" s="11"/>
    </row>
    <row r="4864" spans="1:1" ht="14.4">
      <c r="A4864" s="11"/>
    </row>
    <row r="4865" spans="1:1" ht="14.4">
      <c r="A4865" s="11"/>
    </row>
    <row r="4866" spans="1:1" ht="14.4">
      <c r="A4866" s="11"/>
    </row>
    <row r="4867" spans="1:1" ht="14.4">
      <c r="A4867" s="11"/>
    </row>
    <row r="4868" spans="1:1" ht="14.4">
      <c r="A4868" s="11"/>
    </row>
    <row r="4869" spans="1:1" ht="14.4">
      <c r="A4869" s="11"/>
    </row>
    <row r="4870" spans="1:1" ht="14.4">
      <c r="A4870" s="11"/>
    </row>
    <row r="4871" spans="1:1" ht="14.4">
      <c r="A4871" s="11"/>
    </row>
    <row r="4872" spans="1:1" ht="14.4">
      <c r="A4872" s="11"/>
    </row>
    <row r="4873" spans="1:1" ht="14.4">
      <c r="A4873" s="11"/>
    </row>
    <row r="4874" spans="1:1" ht="14.4">
      <c r="A4874" s="11"/>
    </row>
    <row r="4875" spans="1:1" ht="14.4">
      <c r="A4875" s="11"/>
    </row>
    <row r="4876" spans="1:1" ht="14.4">
      <c r="A4876" s="11"/>
    </row>
    <row r="4877" spans="1:1" ht="14.4">
      <c r="A4877" s="11"/>
    </row>
    <row r="4878" spans="1:1" ht="14.4">
      <c r="A4878" s="11"/>
    </row>
    <row r="4879" spans="1:1" ht="14.4">
      <c r="A4879" s="11"/>
    </row>
    <row r="4880" spans="1:1" ht="14.4">
      <c r="A4880" s="11"/>
    </row>
    <row r="4881" spans="1:1" ht="14.4">
      <c r="A4881" s="11"/>
    </row>
    <row r="4882" spans="1:1" ht="14.4">
      <c r="A4882" s="11"/>
    </row>
    <row r="4883" spans="1:1" ht="14.4">
      <c r="A4883" s="11"/>
    </row>
    <row r="4884" spans="1:1" ht="14.4">
      <c r="A4884" s="11"/>
    </row>
    <row r="4885" spans="1:1" ht="14.4">
      <c r="A4885" s="11"/>
    </row>
    <row r="4886" spans="1:1" ht="14.4">
      <c r="A4886" s="11"/>
    </row>
    <row r="4887" spans="1:1" ht="14.4">
      <c r="A4887" s="11"/>
    </row>
    <row r="4888" spans="1:1" ht="14.4">
      <c r="A4888" s="11"/>
    </row>
    <row r="4889" spans="1:1" ht="14.4">
      <c r="A4889" s="11"/>
    </row>
    <row r="4890" spans="1:1" ht="14.4">
      <c r="A4890" s="11"/>
    </row>
    <row r="4891" spans="1:1" ht="14.4">
      <c r="A4891" s="11"/>
    </row>
    <row r="4892" spans="1:1" ht="14.4">
      <c r="A4892" s="11"/>
    </row>
    <row r="4893" spans="1:1" ht="14.4">
      <c r="A4893" s="11"/>
    </row>
    <row r="4894" spans="1:1" ht="14.4">
      <c r="A4894" s="11"/>
    </row>
    <row r="4895" spans="1:1" ht="14.4">
      <c r="A4895" s="11"/>
    </row>
    <row r="4896" spans="1:1" ht="14.4">
      <c r="A4896" s="11"/>
    </row>
    <row r="4897" spans="1:1" ht="14.4">
      <c r="A4897" s="11"/>
    </row>
    <row r="4898" spans="1:1" ht="14.4">
      <c r="A4898" s="11"/>
    </row>
    <row r="4899" spans="1:1" ht="14.4">
      <c r="A4899" s="11"/>
    </row>
    <row r="4900" spans="1:1" ht="14.4">
      <c r="A4900" s="11"/>
    </row>
    <row r="4901" spans="1:1" ht="14.4">
      <c r="A4901" s="11"/>
    </row>
    <row r="4902" spans="1:1" ht="14.4">
      <c r="A4902" s="11"/>
    </row>
    <row r="4903" spans="1:1" ht="14.4">
      <c r="A4903" s="11"/>
    </row>
    <row r="4904" spans="1:1" ht="14.4">
      <c r="A4904" s="11"/>
    </row>
    <row r="4905" spans="1:1" ht="14.4">
      <c r="A4905" s="11"/>
    </row>
    <row r="4906" spans="1:1" ht="14.4">
      <c r="A4906" s="11"/>
    </row>
    <row r="4907" spans="1:1" ht="14.4">
      <c r="A4907" s="11"/>
    </row>
    <row r="4908" spans="1:1" ht="14.4">
      <c r="A4908" s="11"/>
    </row>
    <row r="4909" spans="1:1" ht="14.4">
      <c r="A4909" s="11"/>
    </row>
    <row r="4910" spans="1:1" ht="14.4">
      <c r="A4910" s="11"/>
    </row>
    <row r="4911" spans="1:1" ht="14.4">
      <c r="A4911" s="11"/>
    </row>
    <row r="4912" spans="1:1" ht="14.4">
      <c r="A4912" s="11"/>
    </row>
    <row r="4913" spans="1:1" ht="14.4">
      <c r="A4913" s="11"/>
    </row>
    <row r="4914" spans="1:1" ht="14.4">
      <c r="A4914" s="11"/>
    </row>
    <row r="4915" spans="1:1" ht="14.4">
      <c r="A4915" s="11"/>
    </row>
    <row r="4916" spans="1:1" ht="14.4">
      <c r="A4916" s="11"/>
    </row>
    <row r="4917" spans="1:1" ht="14.4">
      <c r="A4917" s="11"/>
    </row>
    <row r="4918" spans="1:1" ht="14.4">
      <c r="A4918" s="11"/>
    </row>
    <row r="4919" spans="1:1" ht="14.4">
      <c r="A4919" s="11"/>
    </row>
    <row r="4920" spans="1:1" ht="14.4">
      <c r="A4920" s="11"/>
    </row>
    <row r="4921" spans="1:1" ht="14.4">
      <c r="A4921" s="11"/>
    </row>
    <row r="4922" spans="1:1" ht="14.4">
      <c r="A4922" s="11"/>
    </row>
    <row r="4923" spans="1:1" ht="14.4">
      <c r="A4923" s="11"/>
    </row>
    <row r="4924" spans="1:1" ht="14.4">
      <c r="A4924" s="11"/>
    </row>
    <row r="4925" spans="1:1" ht="14.4">
      <c r="A4925" s="11"/>
    </row>
    <row r="4926" spans="1:1" ht="14.4">
      <c r="A4926" s="11"/>
    </row>
    <row r="4927" spans="1:1" ht="14.4">
      <c r="A4927" s="11"/>
    </row>
    <row r="4928" spans="1:1" ht="14.4">
      <c r="A4928" s="11"/>
    </row>
    <row r="4929" spans="1:1" ht="14.4">
      <c r="A4929" s="11"/>
    </row>
    <row r="4930" spans="1:1" ht="14.4">
      <c r="A4930" s="11"/>
    </row>
    <row r="4931" spans="1:1" ht="14.4">
      <c r="A4931" s="11"/>
    </row>
    <row r="4932" spans="1:1" ht="14.4">
      <c r="A4932" s="11"/>
    </row>
    <row r="4933" spans="1:1" ht="14.4">
      <c r="A4933" s="11"/>
    </row>
    <row r="4934" spans="1:1" ht="14.4">
      <c r="A4934" s="11"/>
    </row>
    <row r="4935" spans="1:1" ht="14.4">
      <c r="A4935" s="11"/>
    </row>
    <row r="4936" spans="1:1" ht="14.4">
      <c r="A4936" s="11"/>
    </row>
    <row r="4937" spans="1:1" ht="14.4">
      <c r="A4937" s="11"/>
    </row>
    <row r="4938" spans="1:1" ht="14.4">
      <c r="A4938" s="11"/>
    </row>
    <row r="4939" spans="1:1" ht="14.4">
      <c r="A4939" s="11"/>
    </row>
    <row r="4940" spans="1:1" ht="14.4">
      <c r="A4940" s="11"/>
    </row>
    <row r="4941" spans="1:1" ht="14.4">
      <c r="A4941" s="11"/>
    </row>
    <row r="4942" spans="1:1" ht="14.4">
      <c r="A4942" s="11"/>
    </row>
    <row r="4943" spans="1:1" ht="14.4">
      <c r="A4943" s="11"/>
    </row>
    <row r="4944" spans="1:1" ht="14.4">
      <c r="A4944" s="11"/>
    </row>
    <row r="4945" spans="1:1" ht="14.4">
      <c r="A4945" s="11"/>
    </row>
    <row r="4946" spans="1:1" ht="14.4">
      <c r="A4946" s="11"/>
    </row>
    <row r="4947" spans="1:1" ht="14.4">
      <c r="A4947" s="11"/>
    </row>
    <row r="4948" spans="1:1" ht="14.4">
      <c r="A4948" s="11"/>
    </row>
    <row r="4949" spans="1:1" ht="14.4">
      <c r="A4949" s="11"/>
    </row>
    <row r="4950" spans="1:1" ht="14.4">
      <c r="A4950" s="11"/>
    </row>
    <row r="4951" spans="1:1" ht="14.4">
      <c r="A4951" s="11"/>
    </row>
    <row r="4952" spans="1:1" ht="14.4">
      <c r="A4952" s="11"/>
    </row>
    <row r="4953" spans="1:1" ht="14.4">
      <c r="A4953" s="11"/>
    </row>
    <row r="4954" spans="1:1" ht="14.4">
      <c r="A4954" s="11"/>
    </row>
    <row r="4955" spans="1:1" ht="14.4">
      <c r="A4955" s="11"/>
    </row>
    <row r="4956" spans="1:1" ht="14.4">
      <c r="A4956" s="11"/>
    </row>
    <row r="4957" spans="1:1" ht="14.4">
      <c r="A4957" s="11"/>
    </row>
    <row r="4958" spans="1:1" ht="14.4">
      <c r="A4958" s="11"/>
    </row>
    <row r="4959" spans="1:1" ht="14.4">
      <c r="A4959" s="11"/>
    </row>
    <row r="4960" spans="1:1" ht="14.4">
      <c r="A4960" s="11"/>
    </row>
    <row r="4961" spans="1:1" ht="14.4">
      <c r="A4961" s="11"/>
    </row>
    <row r="4962" spans="1:1" ht="14.4">
      <c r="A4962" s="11"/>
    </row>
    <row r="4963" spans="1:1" ht="14.4">
      <c r="A4963" s="11"/>
    </row>
    <row r="4964" spans="1:1" ht="14.4">
      <c r="A4964" s="11"/>
    </row>
    <row r="4965" spans="1:1" ht="14.4">
      <c r="A4965" s="11"/>
    </row>
    <row r="4966" spans="1:1" ht="14.4">
      <c r="A4966" s="11"/>
    </row>
    <row r="4967" spans="1:1" ht="14.4">
      <c r="A4967" s="11"/>
    </row>
    <row r="4968" spans="1:1" ht="14.4">
      <c r="A4968" s="11"/>
    </row>
    <row r="4969" spans="1:1" ht="14.4">
      <c r="A4969" s="11"/>
    </row>
    <row r="4970" spans="1:1" ht="14.4">
      <c r="A4970" s="11"/>
    </row>
    <row r="4971" spans="1:1" ht="14.4">
      <c r="A4971" s="11"/>
    </row>
    <row r="4972" spans="1:1" ht="14.4">
      <c r="A4972" s="11"/>
    </row>
    <row r="4973" spans="1:1" ht="14.4">
      <c r="A4973" s="11"/>
    </row>
    <row r="4974" spans="1:1" ht="14.4">
      <c r="A4974" s="11"/>
    </row>
    <row r="4975" spans="1:1" ht="14.4">
      <c r="A4975" s="11"/>
    </row>
    <row r="4976" spans="1:1" ht="14.4">
      <c r="A4976" s="11"/>
    </row>
    <row r="4977" spans="1:1" ht="14.4">
      <c r="A4977" s="11"/>
    </row>
    <row r="4978" spans="1:1" ht="14.4">
      <c r="A4978" s="11"/>
    </row>
    <row r="4979" spans="1:1" ht="14.4">
      <c r="A4979" s="11"/>
    </row>
    <row r="4980" spans="1:1" ht="14.4">
      <c r="A4980" s="11"/>
    </row>
    <row r="4981" spans="1:1" ht="14.4">
      <c r="A4981" s="11"/>
    </row>
    <row r="4982" spans="1:1" ht="14.4">
      <c r="A4982" s="11"/>
    </row>
    <row r="4983" spans="1:1" ht="14.4">
      <c r="A4983" s="11"/>
    </row>
    <row r="4984" spans="1:1" ht="14.4">
      <c r="A4984" s="11"/>
    </row>
    <row r="4985" spans="1:1" ht="14.4">
      <c r="A4985" s="11"/>
    </row>
    <row r="4986" spans="1:1" ht="14.4">
      <c r="A4986" s="11"/>
    </row>
    <row r="4987" spans="1:1" ht="14.4">
      <c r="A4987" s="11"/>
    </row>
    <row r="4988" spans="1:1" ht="14.4">
      <c r="A4988" s="11"/>
    </row>
    <row r="4989" spans="1:1" ht="14.4">
      <c r="A4989" s="11"/>
    </row>
    <row r="4990" spans="1:1" ht="14.4">
      <c r="A4990" s="11"/>
    </row>
    <row r="4991" spans="1:1" ht="14.4">
      <c r="A4991" s="11"/>
    </row>
    <row r="4992" spans="1:1" ht="14.4">
      <c r="A4992" s="11"/>
    </row>
    <row r="4993" spans="1:1" ht="14.4">
      <c r="A4993" s="11"/>
    </row>
    <row r="4994" spans="1:1" ht="14.4">
      <c r="A4994" s="11"/>
    </row>
    <row r="4995" spans="1:1" ht="14.4">
      <c r="A4995" s="11"/>
    </row>
    <row r="4996" spans="1:1" ht="14.4">
      <c r="A4996" s="11"/>
    </row>
    <row r="4997" spans="1:1" ht="14.4">
      <c r="A4997" s="11"/>
    </row>
    <row r="4998" spans="1:1" ht="14.4">
      <c r="A4998" s="11"/>
    </row>
    <row r="4999" spans="1:1" ht="14.4">
      <c r="A4999" s="11"/>
    </row>
    <row r="5000" spans="1:1" ht="14.4">
      <c r="A5000" s="11"/>
    </row>
    <row r="5001" spans="1:1" ht="14.4">
      <c r="A5001" s="11"/>
    </row>
    <row r="5002" spans="1:1" ht="14.4">
      <c r="A5002" s="11"/>
    </row>
    <row r="5003" spans="1:1" ht="14.4">
      <c r="A5003" s="11"/>
    </row>
    <row r="5004" spans="1:1" ht="14.4">
      <c r="A5004" s="11"/>
    </row>
    <row r="5005" spans="1:1" ht="14.4">
      <c r="A5005" s="11"/>
    </row>
    <row r="5006" spans="1:1" ht="14.4">
      <c r="A5006" s="11"/>
    </row>
    <row r="5007" spans="1:1" ht="14.4">
      <c r="A5007" s="11"/>
    </row>
    <row r="5008" spans="1:1" ht="14.4">
      <c r="A5008" s="11"/>
    </row>
    <row r="5009" spans="1:1" ht="14.4">
      <c r="A5009" s="11"/>
    </row>
    <row r="5010" spans="1:1" ht="14.4">
      <c r="A5010" s="11"/>
    </row>
    <row r="5011" spans="1:1" ht="14.4">
      <c r="A5011" s="11"/>
    </row>
    <row r="5012" spans="1:1" ht="14.4">
      <c r="A5012" s="11"/>
    </row>
    <row r="5013" spans="1:1" ht="14.4">
      <c r="A5013" s="11"/>
    </row>
    <row r="5014" spans="1:1" ht="14.4">
      <c r="A5014" s="11"/>
    </row>
    <row r="5015" spans="1:1" ht="14.4">
      <c r="A5015" s="11"/>
    </row>
    <row r="5016" spans="1:1" ht="14.4">
      <c r="A5016" s="11"/>
    </row>
    <row r="5017" spans="1:1" ht="14.4">
      <c r="A5017" s="11"/>
    </row>
    <row r="5018" spans="1:1" ht="14.4">
      <c r="A5018" s="11"/>
    </row>
    <row r="5019" spans="1:1" ht="14.4">
      <c r="A5019" s="11"/>
    </row>
    <row r="5020" spans="1:1" ht="14.4">
      <c r="A5020" s="11"/>
    </row>
    <row r="5021" spans="1:1" ht="14.4">
      <c r="A5021" s="11"/>
    </row>
    <row r="5022" spans="1:1" ht="14.4">
      <c r="A5022" s="11"/>
    </row>
    <row r="5023" spans="1:1" ht="14.4">
      <c r="A5023" s="11"/>
    </row>
    <row r="5024" spans="1:1" ht="14.4">
      <c r="A5024" s="11"/>
    </row>
    <row r="5025" spans="1:1" ht="14.4">
      <c r="A5025" s="11"/>
    </row>
    <row r="5026" spans="1:1" ht="14.4">
      <c r="A5026" s="11"/>
    </row>
    <row r="5027" spans="1:1" ht="14.4">
      <c r="A5027" s="11"/>
    </row>
    <row r="5028" spans="1:1" ht="14.4">
      <c r="A5028" s="11"/>
    </row>
    <row r="5029" spans="1:1" ht="14.4">
      <c r="A5029" s="11"/>
    </row>
    <row r="5030" spans="1:1" ht="14.4">
      <c r="A5030" s="11"/>
    </row>
    <row r="5031" spans="1:1" ht="14.4">
      <c r="A5031" s="11"/>
    </row>
    <row r="5032" spans="1:1" ht="14.4">
      <c r="A5032" s="11"/>
    </row>
    <row r="5033" spans="1:1" ht="14.4">
      <c r="A5033" s="11"/>
    </row>
    <row r="5034" spans="1:1" ht="14.4">
      <c r="A5034" s="11"/>
    </row>
    <row r="5035" spans="1:1" ht="14.4">
      <c r="A5035" s="11"/>
    </row>
    <row r="5036" spans="1:1" ht="14.4">
      <c r="A5036" s="11"/>
    </row>
    <row r="5037" spans="1:1" ht="14.4">
      <c r="A5037" s="11"/>
    </row>
    <row r="5038" spans="1:1" ht="14.4">
      <c r="A5038" s="11"/>
    </row>
    <row r="5039" spans="1:1" ht="14.4">
      <c r="A5039" s="11"/>
    </row>
    <row r="5040" spans="1:1" ht="14.4">
      <c r="A5040" s="11"/>
    </row>
    <row r="5041" spans="1:1" ht="14.4">
      <c r="A5041" s="11"/>
    </row>
    <row r="5042" spans="1:1" ht="14.4">
      <c r="A5042" s="11"/>
    </row>
    <row r="5043" spans="1:1" ht="14.4">
      <c r="A5043" s="11"/>
    </row>
    <row r="5044" spans="1:1" ht="14.4">
      <c r="A5044" s="11"/>
    </row>
    <row r="5045" spans="1:1" ht="14.4">
      <c r="A5045" s="11"/>
    </row>
    <row r="5046" spans="1:1" ht="14.4">
      <c r="A5046" s="11"/>
    </row>
    <row r="5047" spans="1:1" ht="14.4">
      <c r="A5047" s="11"/>
    </row>
    <row r="5048" spans="1:1" ht="14.4">
      <c r="A5048" s="11"/>
    </row>
    <row r="5049" spans="1:1" ht="14.4">
      <c r="A5049" s="11"/>
    </row>
    <row r="5050" spans="1:1" ht="14.4">
      <c r="A5050" s="11"/>
    </row>
    <row r="5051" spans="1:1" ht="14.4">
      <c r="A5051" s="11"/>
    </row>
    <row r="5052" spans="1:1" ht="14.4">
      <c r="A5052" s="11"/>
    </row>
    <row r="5053" spans="1:1" ht="14.4">
      <c r="A5053" s="11"/>
    </row>
    <row r="5054" spans="1:1" ht="14.4">
      <c r="A5054" s="11"/>
    </row>
    <row r="5055" spans="1:1" ht="14.4">
      <c r="A5055" s="11"/>
    </row>
    <row r="5056" spans="1:1" ht="14.4">
      <c r="A5056" s="11"/>
    </row>
    <row r="5057" spans="1:1" ht="14.4">
      <c r="A5057" s="11"/>
    </row>
    <row r="5058" spans="1:1" ht="14.4">
      <c r="A5058" s="11"/>
    </row>
    <row r="5059" spans="1:1" ht="14.4">
      <c r="A5059" s="11"/>
    </row>
    <row r="5060" spans="1:1" ht="14.4">
      <c r="A5060" s="11"/>
    </row>
    <row r="5061" spans="1:1" ht="14.4">
      <c r="A5061" s="11"/>
    </row>
    <row r="5062" spans="1:1" ht="14.4">
      <c r="A5062" s="11"/>
    </row>
    <row r="5063" spans="1:1" ht="14.4">
      <c r="A5063" s="11"/>
    </row>
    <row r="5064" spans="1:1" ht="14.4">
      <c r="A5064" s="11"/>
    </row>
    <row r="5065" spans="1:1" ht="14.4">
      <c r="A5065" s="11"/>
    </row>
    <row r="5066" spans="1:1" ht="14.4">
      <c r="A5066" s="11"/>
    </row>
    <row r="5067" spans="1:1" ht="14.4">
      <c r="A5067" s="11"/>
    </row>
    <row r="5068" spans="1:1" ht="14.4">
      <c r="A5068" s="11"/>
    </row>
    <row r="5069" spans="1:1" ht="14.4">
      <c r="A5069" s="11"/>
    </row>
    <row r="5070" spans="1:1" ht="14.4">
      <c r="A5070" s="11"/>
    </row>
    <row r="5071" spans="1:1" ht="14.4">
      <c r="A5071" s="11"/>
    </row>
    <row r="5072" spans="1:1" ht="14.4">
      <c r="A5072" s="11"/>
    </row>
    <row r="5073" spans="1:1" ht="14.4">
      <c r="A5073" s="11"/>
    </row>
    <row r="5074" spans="1:1" ht="14.4">
      <c r="A5074" s="11"/>
    </row>
    <row r="5075" spans="1:1" ht="14.4">
      <c r="A5075" s="11"/>
    </row>
    <row r="5076" spans="1:1" ht="14.4">
      <c r="A5076" s="11"/>
    </row>
    <row r="5077" spans="1:1" ht="14.4">
      <c r="A5077" s="11"/>
    </row>
    <row r="5078" spans="1:1" ht="14.4">
      <c r="A5078" s="11"/>
    </row>
    <row r="5079" spans="1:1" ht="14.4">
      <c r="A5079" s="11"/>
    </row>
    <row r="5080" spans="1:1" ht="14.4">
      <c r="A5080" s="11"/>
    </row>
    <row r="5081" spans="1:1" ht="14.4">
      <c r="A5081" s="11"/>
    </row>
    <row r="5082" spans="1:1" ht="14.4">
      <c r="A5082" s="11"/>
    </row>
    <row r="5083" spans="1:1" ht="14.4">
      <c r="A5083" s="11"/>
    </row>
    <row r="5084" spans="1:1" ht="14.4">
      <c r="A5084" s="11"/>
    </row>
    <row r="5085" spans="1:1" ht="14.4">
      <c r="A5085" s="11"/>
    </row>
    <row r="5086" spans="1:1" ht="14.4">
      <c r="A5086" s="11"/>
    </row>
    <row r="5087" spans="1:1" ht="14.4">
      <c r="A5087" s="11"/>
    </row>
    <row r="5088" spans="1:1" ht="14.4">
      <c r="A5088" s="11"/>
    </row>
    <row r="5089" spans="1:1" ht="14.4">
      <c r="A5089" s="11"/>
    </row>
    <row r="5090" spans="1:1" ht="14.4">
      <c r="A5090" s="11"/>
    </row>
    <row r="5091" spans="1:1" ht="14.4">
      <c r="A5091" s="11"/>
    </row>
    <row r="5092" spans="1:1" ht="14.4">
      <c r="A5092" s="11"/>
    </row>
    <row r="5093" spans="1:1" ht="14.4">
      <c r="A5093" s="11"/>
    </row>
    <row r="5094" spans="1:1" ht="14.4">
      <c r="A5094" s="11"/>
    </row>
    <row r="5095" spans="1:1" ht="14.4">
      <c r="A5095" s="11"/>
    </row>
    <row r="5096" spans="1:1" ht="14.4">
      <c r="A5096" s="11"/>
    </row>
    <row r="5097" spans="1:1" ht="14.4">
      <c r="A5097" s="11"/>
    </row>
    <row r="5098" spans="1:1" ht="14.4">
      <c r="A5098" s="11"/>
    </row>
    <row r="5099" spans="1:1" ht="14.4">
      <c r="A5099" s="11"/>
    </row>
    <row r="5100" spans="1:1" ht="14.4">
      <c r="A5100" s="11"/>
    </row>
    <row r="5101" spans="1:1" ht="14.4">
      <c r="A5101" s="11"/>
    </row>
    <row r="5102" spans="1:1" ht="14.4">
      <c r="A5102" s="11"/>
    </row>
    <row r="5103" spans="1:1" ht="14.4">
      <c r="A5103" s="11"/>
    </row>
    <row r="5104" spans="1:1" ht="14.4">
      <c r="A5104" s="11"/>
    </row>
    <row r="5105" spans="1:1" ht="14.4">
      <c r="A5105" s="11"/>
    </row>
    <row r="5106" spans="1:1" ht="14.4">
      <c r="A5106" s="11"/>
    </row>
    <row r="5107" spans="1:1" ht="14.4">
      <c r="A5107" s="11"/>
    </row>
    <row r="5108" spans="1:1" ht="14.4">
      <c r="A5108" s="11"/>
    </row>
    <row r="5109" spans="1:1" ht="14.4">
      <c r="A5109" s="11"/>
    </row>
    <row r="5110" spans="1:1" ht="14.4">
      <c r="A5110" s="11"/>
    </row>
    <row r="5111" spans="1:1" ht="14.4">
      <c r="A5111" s="11"/>
    </row>
    <row r="5112" spans="1:1" ht="14.4">
      <c r="A5112" s="11"/>
    </row>
    <row r="5113" spans="1:1" ht="14.4">
      <c r="A5113" s="11"/>
    </row>
    <row r="5114" spans="1:1" ht="14.4">
      <c r="A5114" s="11"/>
    </row>
    <row r="5115" spans="1:1" ht="14.4">
      <c r="A5115" s="11"/>
    </row>
    <row r="5116" spans="1:1" ht="14.4">
      <c r="A5116" s="11"/>
    </row>
    <row r="5117" spans="1:1" ht="14.4">
      <c r="A5117" s="11"/>
    </row>
    <row r="5118" spans="1:1" ht="14.4">
      <c r="A5118" s="11"/>
    </row>
    <row r="5119" spans="1:1" ht="14.4">
      <c r="A5119" s="11"/>
    </row>
    <row r="5120" spans="1:1" ht="14.4">
      <c r="A5120" s="11"/>
    </row>
    <row r="5121" spans="1:1" ht="14.4">
      <c r="A5121" s="11"/>
    </row>
    <row r="5122" spans="1:1" ht="14.4">
      <c r="A5122" s="11"/>
    </row>
    <row r="5123" spans="1:1" ht="14.4">
      <c r="A5123" s="11"/>
    </row>
    <row r="5124" spans="1:1" ht="14.4">
      <c r="A5124" s="11"/>
    </row>
    <row r="5125" spans="1:1" ht="14.4">
      <c r="A5125" s="11"/>
    </row>
    <row r="5126" spans="1:1" ht="14.4">
      <c r="A5126" s="11"/>
    </row>
    <row r="5127" spans="1:1" ht="14.4">
      <c r="A5127" s="11"/>
    </row>
    <row r="5128" spans="1:1" ht="14.4">
      <c r="A5128" s="11"/>
    </row>
    <row r="5129" spans="1:1" ht="14.4">
      <c r="A5129" s="11"/>
    </row>
    <row r="5130" spans="1:1" ht="14.4">
      <c r="A5130" s="11"/>
    </row>
    <row r="5131" spans="1:1" ht="14.4">
      <c r="A5131" s="11"/>
    </row>
    <row r="5132" spans="1:1" ht="14.4">
      <c r="A5132" s="11"/>
    </row>
    <row r="5133" spans="1:1" ht="14.4">
      <c r="A5133" s="11"/>
    </row>
    <row r="5134" spans="1:1" ht="14.4">
      <c r="A5134" s="11"/>
    </row>
    <row r="5135" spans="1:1" ht="14.4">
      <c r="A5135" s="11"/>
    </row>
    <row r="5136" spans="1:1" ht="14.4">
      <c r="A5136" s="11"/>
    </row>
    <row r="5137" spans="1:1" ht="14.4">
      <c r="A5137" s="11"/>
    </row>
    <row r="5138" spans="1:1" ht="14.4">
      <c r="A5138" s="11"/>
    </row>
    <row r="5139" spans="1:1" ht="14.4">
      <c r="A5139" s="11"/>
    </row>
    <row r="5140" spans="1:1" ht="14.4">
      <c r="A5140" s="11"/>
    </row>
    <row r="5141" spans="1:1" ht="14.4">
      <c r="A5141" s="11"/>
    </row>
    <row r="5142" spans="1:1" ht="14.4">
      <c r="A5142" s="11"/>
    </row>
    <row r="5143" spans="1:1" ht="14.4">
      <c r="A5143" s="11"/>
    </row>
    <row r="5144" spans="1:1" ht="14.4">
      <c r="A5144" s="11"/>
    </row>
    <row r="5145" spans="1:1" ht="14.4">
      <c r="A5145" s="11"/>
    </row>
    <row r="5146" spans="1:1" ht="14.4">
      <c r="A5146" s="11"/>
    </row>
    <row r="5147" spans="1:1" ht="14.4">
      <c r="A5147" s="11"/>
    </row>
    <row r="5148" spans="1:1" ht="14.4">
      <c r="A5148" s="11"/>
    </row>
    <row r="5149" spans="1:1" ht="14.4">
      <c r="A5149" s="11"/>
    </row>
    <row r="5150" spans="1:1" ht="14.4">
      <c r="A5150" s="11"/>
    </row>
    <row r="5151" spans="1:1" ht="14.4">
      <c r="A5151" s="11"/>
    </row>
    <row r="5152" spans="1:1" ht="14.4">
      <c r="A5152" s="11"/>
    </row>
    <row r="5153" spans="1:1" ht="14.4">
      <c r="A5153" s="11"/>
    </row>
    <row r="5154" spans="1:1" ht="14.4">
      <c r="A5154" s="11"/>
    </row>
    <row r="5155" spans="1:1" ht="14.4">
      <c r="A5155" s="11"/>
    </row>
    <row r="5156" spans="1:1" ht="14.4">
      <c r="A5156" s="11"/>
    </row>
    <row r="5157" spans="1:1" ht="14.4">
      <c r="A5157" s="11"/>
    </row>
    <row r="5158" spans="1:1" ht="14.4">
      <c r="A5158" s="11"/>
    </row>
    <row r="5159" spans="1:1" ht="14.4">
      <c r="A5159" s="11"/>
    </row>
    <row r="5160" spans="1:1" ht="14.4">
      <c r="A5160" s="11"/>
    </row>
    <row r="5161" spans="1:1" ht="14.4">
      <c r="A5161" s="11"/>
    </row>
    <row r="5162" spans="1:1" ht="14.4">
      <c r="A5162" s="11"/>
    </row>
    <row r="5163" spans="1:1" ht="14.4">
      <c r="A5163" s="11"/>
    </row>
    <row r="5164" spans="1:1" ht="14.4">
      <c r="A5164" s="11"/>
    </row>
    <row r="5165" spans="1:1" ht="14.4">
      <c r="A5165" s="11"/>
    </row>
    <row r="5166" spans="1:1" ht="14.4">
      <c r="A5166" s="11"/>
    </row>
    <row r="5167" spans="1:1" ht="14.4">
      <c r="A5167" s="11"/>
    </row>
    <row r="5168" spans="1:1" ht="14.4">
      <c r="A5168" s="11"/>
    </row>
    <row r="5169" spans="1:1" ht="14.4">
      <c r="A5169" s="11"/>
    </row>
    <row r="5170" spans="1:1" ht="14.4">
      <c r="A5170" s="11"/>
    </row>
    <row r="5171" spans="1:1" ht="14.4">
      <c r="A5171" s="11"/>
    </row>
    <row r="5172" spans="1:1" ht="14.4">
      <c r="A5172" s="11"/>
    </row>
    <row r="5173" spans="1:1" ht="14.4">
      <c r="A5173" s="11"/>
    </row>
    <row r="5174" spans="1:1" ht="14.4">
      <c r="A5174" s="11"/>
    </row>
    <row r="5175" spans="1:1" ht="14.4">
      <c r="A5175" s="11"/>
    </row>
    <row r="5176" spans="1:1" ht="14.4">
      <c r="A5176" s="11"/>
    </row>
    <row r="5177" spans="1:1" ht="14.4">
      <c r="A5177" s="11"/>
    </row>
    <row r="5178" spans="1:1" ht="14.4">
      <c r="A5178" s="11"/>
    </row>
    <row r="5179" spans="1:1" ht="14.4">
      <c r="A5179" s="11"/>
    </row>
    <row r="5180" spans="1:1" ht="14.4">
      <c r="A5180" s="11"/>
    </row>
    <row r="5181" spans="1:1" ht="14.4">
      <c r="A5181" s="11"/>
    </row>
    <row r="5182" spans="1:1" ht="14.4">
      <c r="A5182" s="11"/>
    </row>
    <row r="5183" spans="1:1" ht="14.4">
      <c r="A5183" s="11"/>
    </row>
    <row r="5184" spans="1:1" ht="14.4">
      <c r="A5184" s="11"/>
    </row>
    <row r="5185" spans="1:1" ht="14.4">
      <c r="A5185" s="11"/>
    </row>
    <row r="5186" spans="1:1" ht="14.4">
      <c r="A5186" s="11"/>
    </row>
    <row r="5187" spans="1:1" ht="14.4">
      <c r="A5187" s="11"/>
    </row>
    <row r="5188" spans="1:1" ht="14.4">
      <c r="A5188" s="11"/>
    </row>
    <row r="5189" spans="1:1" ht="14.4">
      <c r="A5189" s="11"/>
    </row>
    <row r="5190" spans="1:1" ht="14.4">
      <c r="A5190" s="11"/>
    </row>
    <row r="5191" spans="1:1" ht="14.4">
      <c r="A5191" s="11"/>
    </row>
    <row r="5192" spans="1:1" ht="14.4">
      <c r="A5192" s="11"/>
    </row>
    <row r="5193" spans="1:1" ht="14.4">
      <c r="A5193" s="11"/>
    </row>
    <row r="5194" spans="1:1" ht="14.4">
      <c r="A5194" s="11"/>
    </row>
    <row r="5195" spans="1:1" ht="14.4">
      <c r="A5195" s="11"/>
    </row>
    <row r="5196" spans="1:1" ht="14.4">
      <c r="A5196" s="11"/>
    </row>
    <row r="5197" spans="1:1" ht="14.4">
      <c r="A5197" s="11"/>
    </row>
    <row r="5198" spans="1:1" ht="14.4">
      <c r="A5198" s="11"/>
    </row>
    <row r="5199" spans="1:1" ht="14.4">
      <c r="A5199" s="11"/>
    </row>
    <row r="5200" spans="1:1" ht="14.4">
      <c r="A5200" s="11"/>
    </row>
    <row r="5201" spans="1:1" ht="14.4">
      <c r="A5201" s="11"/>
    </row>
    <row r="5202" spans="1:1" ht="14.4">
      <c r="A5202" s="11"/>
    </row>
    <row r="5203" spans="1:1" ht="14.4">
      <c r="A5203" s="11"/>
    </row>
    <row r="5204" spans="1:1" ht="14.4">
      <c r="A5204" s="11"/>
    </row>
    <row r="5205" spans="1:1" ht="14.4">
      <c r="A5205" s="11"/>
    </row>
    <row r="5206" spans="1:1" ht="14.4">
      <c r="A5206" s="11"/>
    </row>
    <row r="5207" spans="1:1" ht="14.4">
      <c r="A5207" s="11"/>
    </row>
    <row r="5208" spans="1:1" ht="14.4">
      <c r="A5208" s="11"/>
    </row>
    <row r="5209" spans="1:1" ht="14.4">
      <c r="A5209" s="11"/>
    </row>
    <row r="5210" spans="1:1" ht="14.4">
      <c r="A5210" s="11"/>
    </row>
    <row r="5211" spans="1:1" ht="14.4">
      <c r="A5211" s="11"/>
    </row>
    <row r="5212" spans="1:1" ht="14.4">
      <c r="A5212" s="11"/>
    </row>
    <row r="5213" spans="1:1" ht="14.4">
      <c r="A5213" s="11"/>
    </row>
    <row r="5214" spans="1:1" ht="14.4">
      <c r="A5214" s="11"/>
    </row>
    <row r="5215" spans="1:1" ht="14.4">
      <c r="A5215" s="11"/>
    </row>
    <row r="5216" spans="1:1" ht="14.4">
      <c r="A5216" s="11"/>
    </row>
    <row r="5217" spans="1:1" ht="14.4">
      <c r="A5217" s="11"/>
    </row>
    <row r="5218" spans="1:1" ht="14.4">
      <c r="A5218" s="11"/>
    </row>
    <row r="5219" spans="1:1" ht="14.4">
      <c r="A5219" s="11"/>
    </row>
    <row r="5220" spans="1:1" ht="14.4">
      <c r="A5220" s="11"/>
    </row>
    <row r="5221" spans="1:1" ht="14.4">
      <c r="A5221" s="11"/>
    </row>
    <row r="5222" spans="1:1" ht="14.4">
      <c r="A5222" s="11"/>
    </row>
    <row r="5223" spans="1:1" ht="14.4">
      <c r="A5223" s="11"/>
    </row>
    <row r="5224" spans="1:1" ht="14.4">
      <c r="A5224" s="11"/>
    </row>
    <row r="5225" spans="1:1" ht="14.4">
      <c r="A5225" s="11"/>
    </row>
    <row r="5226" spans="1:1" ht="14.4">
      <c r="A5226" s="11"/>
    </row>
    <row r="5227" spans="1:1" ht="14.4">
      <c r="A5227" s="11"/>
    </row>
    <row r="5228" spans="1:1" ht="14.4">
      <c r="A5228" s="11"/>
    </row>
    <row r="5229" spans="1:1" ht="14.4">
      <c r="A5229" s="11"/>
    </row>
    <row r="5230" spans="1:1" ht="14.4">
      <c r="A5230" s="11"/>
    </row>
    <row r="5231" spans="1:1" ht="14.4">
      <c r="A5231" s="11"/>
    </row>
    <row r="5232" spans="1:1" ht="14.4">
      <c r="A5232" s="11"/>
    </row>
    <row r="5233" spans="1:1" ht="14.4">
      <c r="A5233" s="11"/>
    </row>
    <row r="5234" spans="1:1" ht="14.4">
      <c r="A5234" s="11"/>
    </row>
    <row r="5235" spans="1:1" ht="14.4">
      <c r="A5235" s="11"/>
    </row>
    <row r="5236" spans="1:1" ht="14.4">
      <c r="A5236" s="11"/>
    </row>
    <row r="5237" spans="1:1" ht="14.4">
      <c r="A5237" s="11"/>
    </row>
    <row r="5238" spans="1:1" ht="14.4">
      <c r="A5238" s="11"/>
    </row>
    <row r="5239" spans="1:1" ht="14.4">
      <c r="A5239" s="11"/>
    </row>
    <row r="5240" spans="1:1" ht="14.4">
      <c r="A5240" s="11"/>
    </row>
    <row r="5241" spans="1:1" ht="14.4">
      <c r="A5241" s="11"/>
    </row>
    <row r="5242" spans="1:1" ht="14.4">
      <c r="A5242" s="11"/>
    </row>
    <row r="5243" spans="1:1" ht="14.4">
      <c r="A5243" s="11"/>
    </row>
    <row r="5244" spans="1:1" ht="14.4">
      <c r="A5244" s="11"/>
    </row>
    <row r="5245" spans="1:1" ht="14.4">
      <c r="A5245" s="11"/>
    </row>
    <row r="5246" spans="1:1" ht="14.4">
      <c r="A5246" s="11"/>
    </row>
    <row r="5247" spans="1:1" ht="14.4">
      <c r="A5247" s="11"/>
    </row>
    <row r="5248" spans="1:1" ht="14.4">
      <c r="A5248" s="11"/>
    </row>
    <row r="5249" spans="1:1" ht="14.4">
      <c r="A5249" s="11"/>
    </row>
    <row r="5250" spans="1:1" ht="14.4">
      <c r="A5250" s="11"/>
    </row>
    <row r="5251" spans="1:1" ht="14.4">
      <c r="A5251" s="11"/>
    </row>
    <row r="5252" spans="1:1" ht="14.4">
      <c r="A5252" s="11"/>
    </row>
    <row r="5253" spans="1:1" ht="14.4">
      <c r="A5253" s="11"/>
    </row>
    <row r="5254" spans="1:1" ht="14.4">
      <c r="A5254" s="11"/>
    </row>
    <row r="5255" spans="1:1" ht="14.4">
      <c r="A5255" s="11"/>
    </row>
    <row r="5256" spans="1:1" ht="14.4">
      <c r="A5256" s="11"/>
    </row>
    <row r="5257" spans="1:1" ht="14.4">
      <c r="A5257" s="11"/>
    </row>
    <row r="5258" spans="1:1" ht="14.4">
      <c r="A5258" s="11"/>
    </row>
    <row r="5259" spans="1:1" ht="14.4">
      <c r="A5259" s="11"/>
    </row>
    <row r="5260" spans="1:1" ht="14.4">
      <c r="A5260" s="11"/>
    </row>
    <row r="5261" spans="1:1" ht="14.4">
      <c r="A5261" s="11"/>
    </row>
    <row r="5262" spans="1:1" ht="14.4">
      <c r="A5262" s="11"/>
    </row>
    <row r="5263" spans="1:1" ht="14.4">
      <c r="A5263" s="11"/>
    </row>
    <row r="5264" spans="1:1" ht="14.4">
      <c r="A5264" s="11"/>
    </row>
    <row r="5265" spans="1:1" ht="14.4">
      <c r="A5265" s="11"/>
    </row>
    <row r="5266" spans="1:1" ht="14.4">
      <c r="A5266" s="11"/>
    </row>
    <row r="5267" spans="1:1" ht="14.4">
      <c r="A5267" s="11"/>
    </row>
    <row r="5268" spans="1:1" ht="14.4">
      <c r="A5268" s="11"/>
    </row>
    <row r="5269" spans="1:1" ht="14.4">
      <c r="A5269" s="11"/>
    </row>
    <row r="5270" spans="1:1" ht="14.4">
      <c r="A5270" s="11"/>
    </row>
    <row r="5271" spans="1:1" ht="14.4">
      <c r="A5271" s="11"/>
    </row>
    <row r="5272" spans="1:1" ht="14.4">
      <c r="A5272" s="11"/>
    </row>
    <row r="5273" spans="1:1" ht="14.4">
      <c r="A5273" s="11"/>
    </row>
    <row r="5274" spans="1:1" ht="14.4">
      <c r="A5274" s="11"/>
    </row>
    <row r="5275" spans="1:1" ht="14.4">
      <c r="A5275" s="11"/>
    </row>
    <row r="5276" spans="1:1" ht="14.4">
      <c r="A5276" s="11"/>
    </row>
    <row r="5277" spans="1:1" ht="14.4">
      <c r="A5277" s="11"/>
    </row>
    <row r="5278" spans="1:1" ht="14.4">
      <c r="A5278" s="11"/>
    </row>
    <row r="5279" spans="1:1" ht="14.4">
      <c r="A5279" s="11"/>
    </row>
    <row r="5280" spans="1:1" ht="14.4">
      <c r="A5280" s="11"/>
    </row>
    <row r="5281" spans="1:1" ht="14.4">
      <c r="A5281" s="11"/>
    </row>
    <row r="5282" spans="1:1" ht="14.4">
      <c r="A5282" s="11"/>
    </row>
    <row r="5283" spans="1:1" ht="14.4">
      <c r="A5283" s="11"/>
    </row>
    <row r="5284" spans="1:1" ht="14.4">
      <c r="A5284" s="11"/>
    </row>
    <row r="5285" spans="1:1" ht="14.4">
      <c r="A5285" s="11"/>
    </row>
    <row r="5286" spans="1:1" ht="14.4">
      <c r="A5286" s="11"/>
    </row>
    <row r="5287" spans="1:1" ht="14.4">
      <c r="A5287" s="11"/>
    </row>
    <row r="5288" spans="1:1" ht="14.4">
      <c r="A5288" s="11"/>
    </row>
    <row r="5289" spans="1:1" ht="14.4">
      <c r="A5289" s="11"/>
    </row>
    <row r="5290" spans="1:1" ht="14.4">
      <c r="A5290" s="11"/>
    </row>
    <row r="5291" spans="1:1" ht="14.4">
      <c r="A5291" s="11"/>
    </row>
    <row r="5292" spans="1:1" ht="14.4">
      <c r="A5292" s="11"/>
    </row>
    <row r="5293" spans="1:1" ht="14.4">
      <c r="A5293" s="11"/>
    </row>
    <row r="5294" spans="1:1" ht="14.4">
      <c r="A5294" s="11"/>
    </row>
    <row r="5295" spans="1:1" ht="14.4">
      <c r="A5295" s="11"/>
    </row>
    <row r="5296" spans="1:1" ht="14.4">
      <c r="A5296" s="11"/>
    </row>
    <row r="5297" spans="1:1" ht="14.4">
      <c r="A5297" s="11"/>
    </row>
    <row r="5298" spans="1:1" ht="14.4">
      <c r="A5298" s="11"/>
    </row>
    <row r="5299" spans="1:1" ht="14.4">
      <c r="A5299" s="11"/>
    </row>
    <row r="5300" spans="1:1" ht="14.4">
      <c r="A5300" s="11"/>
    </row>
    <row r="5301" spans="1:1" ht="14.4">
      <c r="A5301" s="11"/>
    </row>
    <row r="5302" spans="1:1" ht="14.4">
      <c r="A5302" s="11"/>
    </row>
    <row r="5303" spans="1:1" ht="14.4">
      <c r="A5303" s="11"/>
    </row>
    <row r="5304" spans="1:1" ht="14.4">
      <c r="A5304" s="11"/>
    </row>
    <row r="5305" spans="1:1" ht="14.4">
      <c r="A5305" s="11"/>
    </row>
    <row r="5306" spans="1:1" ht="14.4">
      <c r="A5306" s="11"/>
    </row>
    <row r="5307" spans="1:1" ht="14.4">
      <c r="A5307" s="11"/>
    </row>
    <row r="5308" spans="1:1" ht="14.4">
      <c r="A5308" s="11"/>
    </row>
    <row r="5309" spans="1:1" ht="14.4">
      <c r="A5309" s="11"/>
    </row>
    <row r="5310" spans="1:1" ht="14.4">
      <c r="A5310" s="11"/>
    </row>
    <row r="5311" spans="1:1" ht="14.4">
      <c r="A5311" s="11"/>
    </row>
    <row r="5312" spans="1:1" ht="14.4">
      <c r="A5312" s="11"/>
    </row>
    <row r="5313" spans="1:1" ht="14.4">
      <c r="A5313" s="11"/>
    </row>
    <row r="5314" spans="1:1" ht="14.4">
      <c r="A5314" s="11"/>
    </row>
    <row r="5315" spans="1:1" ht="14.4">
      <c r="A5315" s="11"/>
    </row>
    <row r="5316" spans="1:1" ht="14.4">
      <c r="A5316" s="11"/>
    </row>
    <row r="5317" spans="1:1" ht="14.4">
      <c r="A5317" s="11"/>
    </row>
    <row r="5318" spans="1:1" ht="14.4">
      <c r="A5318" s="11"/>
    </row>
    <row r="5319" spans="1:1" ht="14.4">
      <c r="A5319" s="11"/>
    </row>
    <row r="5320" spans="1:1" ht="14.4">
      <c r="A5320" s="11"/>
    </row>
    <row r="5321" spans="1:1" ht="14.4">
      <c r="A5321" s="11"/>
    </row>
    <row r="5322" spans="1:1" ht="14.4">
      <c r="A5322" s="11"/>
    </row>
    <row r="5323" spans="1:1" ht="14.4">
      <c r="A5323" s="11"/>
    </row>
    <row r="5324" spans="1:1" ht="14.4">
      <c r="A5324" s="11"/>
    </row>
    <row r="5325" spans="1:1" ht="14.4">
      <c r="A5325" s="11"/>
    </row>
    <row r="5326" spans="1:1" ht="14.4">
      <c r="A5326" s="11"/>
    </row>
    <row r="5327" spans="1:1" ht="14.4">
      <c r="A5327" s="11"/>
    </row>
    <row r="5328" spans="1:1" ht="14.4">
      <c r="A5328" s="11"/>
    </row>
    <row r="5329" spans="1:1" ht="14.4">
      <c r="A5329" s="11"/>
    </row>
    <row r="5330" spans="1:1" ht="14.4">
      <c r="A5330" s="11"/>
    </row>
    <row r="5331" spans="1:1" ht="14.4">
      <c r="A5331" s="11"/>
    </row>
    <row r="5332" spans="1:1" ht="14.4">
      <c r="A5332" s="11"/>
    </row>
    <row r="5333" spans="1:1" ht="14.4">
      <c r="A5333" s="11"/>
    </row>
    <row r="5334" spans="1:1" ht="14.4">
      <c r="A5334" s="11"/>
    </row>
    <row r="5335" spans="1:1" ht="14.4">
      <c r="A5335" s="11"/>
    </row>
    <row r="5336" spans="1:1" ht="14.4">
      <c r="A5336" s="11"/>
    </row>
    <row r="5337" spans="1:1" ht="14.4">
      <c r="A5337" s="11"/>
    </row>
    <row r="5338" spans="1:1" ht="14.4">
      <c r="A5338" s="11"/>
    </row>
    <row r="5339" spans="1:1" ht="14.4">
      <c r="A5339" s="11"/>
    </row>
    <row r="5340" spans="1:1" ht="14.4">
      <c r="A5340" s="11"/>
    </row>
    <row r="5341" spans="1:1" ht="14.4">
      <c r="A5341" s="11"/>
    </row>
    <row r="5342" spans="1:1" ht="14.4">
      <c r="A5342" s="11"/>
    </row>
    <row r="5343" spans="1:1" ht="14.4">
      <c r="A5343" s="11"/>
    </row>
    <row r="5344" spans="1:1" ht="14.4">
      <c r="A5344" s="11"/>
    </row>
    <row r="5345" spans="1:1" ht="14.4">
      <c r="A5345" s="11"/>
    </row>
    <row r="5346" spans="1:1" ht="14.4">
      <c r="A5346" s="11"/>
    </row>
    <row r="5347" spans="1:1" ht="14.4">
      <c r="A5347" s="11"/>
    </row>
    <row r="5348" spans="1:1" ht="14.4">
      <c r="A5348" s="11"/>
    </row>
    <row r="5349" spans="1:1" ht="14.4">
      <c r="A5349" s="11"/>
    </row>
    <row r="5350" spans="1:1" ht="14.4">
      <c r="A5350" s="11"/>
    </row>
    <row r="5351" spans="1:1" ht="14.4">
      <c r="A5351" s="11"/>
    </row>
    <row r="5352" spans="1:1" ht="14.4">
      <c r="A5352" s="11"/>
    </row>
    <row r="5353" spans="1:1" ht="14.4">
      <c r="A5353" s="11"/>
    </row>
    <row r="5354" spans="1:1" ht="14.4">
      <c r="A5354" s="11"/>
    </row>
    <row r="5355" spans="1:1" ht="14.4">
      <c r="A5355" s="11"/>
    </row>
    <row r="5356" spans="1:1" ht="14.4">
      <c r="A5356" s="11"/>
    </row>
    <row r="5357" spans="1:1" ht="14.4">
      <c r="A5357" s="11"/>
    </row>
    <row r="5358" spans="1:1" ht="14.4">
      <c r="A5358" s="11"/>
    </row>
    <row r="5359" spans="1:1" ht="14.4">
      <c r="A5359" s="11"/>
    </row>
    <row r="5360" spans="1:1" ht="14.4">
      <c r="A5360" s="11"/>
    </row>
    <row r="5361" spans="1:1" ht="14.4">
      <c r="A5361" s="11"/>
    </row>
    <row r="5362" spans="1:1" ht="14.4">
      <c r="A5362" s="11"/>
    </row>
    <row r="5363" spans="1:1" ht="14.4">
      <c r="A5363" s="11"/>
    </row>
    <row r="5364" spans="1:1" ht="14.4">
      <c r="A5364" s="11"/>
    </row>
    <row r="5365" spans="1:1" ht="14.4">
      <c r="A5365" s="11"/>
    </row>
    <row r="5366" spans="1:1" ht="14.4">
      <c r="A5366" s="11"/>
    </row>
    <row r="5367" spans="1:1" ht="14.4">
      <c r="A5367" s="11"/>
    </row>
    <row r="5368" spans="1:1" ht="14.4">
      <c r="A5368" s="11"/>
    </row>
    <row r="5369" spans="1:1" ht="14.4">
      <c r="A5369" s="11"/>
    </row>
    <row r="5370" spans="1:1" ht="14.4">
      <c r="A5370" s="11"/>
    </row>
    <row r="5371" spans="1:1" ht="14.4">
      <c r="A5371" s="11"/>
    </row>
    <row r="5372" spans="1:1" ht="14.4">
      <c r="A5372" s="11"/>
    </row>
    <row r="5373" spans="1:1" ht="14.4">
      <c r="A5373" s="11"/>
    </row>
    <row r="5374" spans="1:1" ht="14.4">
      <c r="A5374" s="11"/>
    </row>
    <row r="5375" spans="1:1" ht="14.4">
      <c r="A5375" s="11"/>
    </row>
    <row r="5376" spans="1:1" ht="14.4">
      <c r="A5376" s="11"/>
    </row>
    <row r="5377" spans="1:1" ht="14.4">
      <c r="A5377" s="11"/>
    </row>
    <row r="5378" spans="1:1" ht="14.4">
      <c r="A5378" s="11"/>
    </row>
    <row r="5379" spans="1:1" ht="14.4">
      <c r="A5379" s="11"/>
    </row>
    <row r="5380" spans="1:1" ht="14.4">
      <c r="A5380" s="11"/>
    </row>
    <row r="5381" spans="1:1" ht="14.4">
      <c r="A5381" s="11"/>
    </row>
    <row r="5382" spans="1:1" ht="14.4">
      <c r="A5382" s="11"/>
    </row>
    <row r="5383" spans="1:1" ht="14.4">
      <c r="A5383" s="11"/>
    </row>
    <row r="5384" spans="1:1" ht="14.4">
      <c r="A5384" s="11"/>
    </row>
    <row r="5385" spans="1:1" ht="14.4">
      <c r="A5385" s="11"/>
    </row>
    <row r="5386" spans="1:1" ht="14.4">
      <c r="A5386" s="11"/>
    </row>
    <row r="5387" spans="1:1" ht="14.4">
      <c r="A5387" s="11"/>
    </row>
    <row r="5388" spans="1:1" ht="14.4">
      <c r="A5388" s="11"/>
    </row>
    <row r="5389" spans="1:1" ht="14.4">
      <c r="A5389" s="11"/>
    </row>
    <row r="5390" spans="1:1" ht="14.4">
      <c r="A5390" s="11"/>
    </row>
    <row r="5391" spans="1:1" ht="14.4">
      <c r="A5391" s="11"/>
    </row>
    <row r="5392" spans="1:1" ht="14.4">
      <c r="A5392" s="11"/>
    </row>
    <row r="5393" spans="1:1" ht="14.4">
      <c r="A5393" s="11"/>
    </row>
    <row r="5394" spans="1:1" ht="14.4">
      <c r="A5394" s="11"/>
    </row>
    <row r="5395" spans="1:1" ht="14.4">
      <c r="A5395" s="11"/>
    </row>
    <row r="5396" spans="1:1" ht="14.4">
      <c r="A5396" s="11"/>
    </row>
    <row r="5397" spans="1:1" ht="14.4">
      <c r="A5397" s="11"/>
    </row>
    <row r="5398" spans="1:1" ht="14.4">
      <c r="A5398" s="11"/>
    </row>
    <row r="5399" spans="1:1" ht="14.4">
      <c r="A5399" s="11"/>
    </row>
    <row r="5400" spans="1:1" ht="14.4">
      <c r="A5400" s="11"/>
    </row>
    <row r="5401" spans="1:1" ht="14.4">
      <c r="A5401" s="11"/>
    </row>
    <row r="5402" spans="1:1" ht="14.4">
      <c r="A5402" s="11"/>
    </row>
    <row r="5403" spans="1:1" ht="14.4">
      <c r="A5403" s="11"/>
    </row>
    <row r="5404" spans="1:1" ht="14.4">
      <c r="A5404" s="11"/>
    </row>
    <row r="5405" spans="1:1" ht="14.4">
      <c r="A5405" s="11"/>
    </row>
    <row r="5406" spans="1:1" ht="14.4">
      <c r="A5406" s="11"/>
    </row>
    <row r="5407" spans="1:1" ht="14.4">
      <c r="A5407" s="11"/>
    </row>
    <row r="5408" spans="1:1" ht="14.4">
      <c r="A5408" s="11"/>
    </row>
    <row r="5409" spans="1:1" ht="14.4">
      <c r="A5409" s="11"/>
    </row>
    <row r="5410" spans="1:1" ht="14.4">
      <c r="A5410" s="11"/>
    </row>
    <row r="5411" spans="1:1" ht="14.4">
      <c r="A5411" s="11"/>
    </row>
    <row r="5412" spans="1:1" ht="14.4">
      <c r="A5412" s="11"/>
    </row>
    <row r="5413" spans="1:1" ht="14.4">
      <c r="A5413" s="11"/>
    </row>
    <row r="5414" spans="1:1" ht="14.4">
      <c r="A5414" s="11"/>
    </row>
    <row r="5415" spans="1:1" ht="14.4">
      <c r="A5415" s="11"/>
    </row>
    <row r="5416" spans="1:1" ht="14.4">
      <c r="A5416" s="11"/>
    </row>
    <row r="5417" spans="1:1" ht="14.4">
      <c r="A5417" s="11"/>
    </row>
    <row r="5418" spans="1:1" ht="14.4">
      <c r="A5418" s="11"/>
    </row>
    <row r="5419" spans="1:1" ht="14.4">
      <c r="A5419" s="11"/>
    </row>
    <row r="5420" spans="1:1" ht="14.4">
      <c r="A5420" s="11"/>
    </row>
    <row r="5421" spans="1:1" ht="14.4">
      <c r="A5421" s="11"/>
    </row>
    <row r="5422" spans="1:1" ht="14.4">
      <c r="A5422" s="11"/>
    </row>
    <row r="5423" spans="1:1" ht="14.4">
      <c r="A5423" s="11"/>
    </row>
    <row r="5424" spans="1:1" ht="14.4">
      <c r="A5424" s="11"/>
    </row>
    <row r="5425" spans="1:1" ht="14.4">
      <c r="A5425" s="11"/>
    </row>
    <row r="5426" spans="1:1" ht="14.4">
      <c r="A5426" s="11"/>
    </row>
    <row r="5427" spans="1:1" ht="14.4">
      <c r="A5427" s="11"/>
    </row>
    <row r="5428" spans="1:1" ht="14.4">
      <c r="A5428" s="11"/>
    </row>
    <row r="5429" spans="1:1" ht="14.4">
      <c r="A5429" s="11"/>
    </row>
    <row r="5430" spans="1:1" ht="14.4">
      <c r="A5430" s="11"/>
    </row>
    <row r="5431" spans="1:1" ht="14.4">
      <c r="A5431" s="11"/>
    </row>
    <row r="5432" spans="1:1" ht="14.4">
      <c r="A5432" s="11"/>
    </row>
    <row r="5433" spans="1:1" ht="14.4">
      <c r="A5433" s="11"/>
    </row>
    <row r="5434" spans="1:1" ht="14.4">
      <c r="A5434" s="11"/>
    </row>
    <row r="5435" spans="1:1" ht="14.4">
      <c r="A5435" s="11"/>
    </row>
    <row r="5436" spans="1:1" ht="14.4">
      <c r="A5436" s="11"/>
    </row>
    <row r="5437" spans="1:1" ht="14.4">
      <c r="A5437" s="11"/>
    </row>
    <row r="5438" spans="1:1" ht="14.4">
      <c r="A5438" s="11"/>
    </row>
    <row r="5439" spans="1:1" ht="14.4">
      <c r="A5439" s="11"/>
    </row>
    <row r="5440" spans="1:1" ht="14.4">
      <c r="A5440" s="11"/>
    </row>
    <row r="5441" spans="1:1" ht="14.4">
      <c r="A5441" s="11"/>
    </row>
    <row r="5442" spans="1:1" ht="14.4">
      <c r="A5442" s="11"/>
    </row>
    <row r="5443" spans="1:1" ht="14.4">
      <c r="A5443" s="11"/>
    </row>
    <row r="5444" spans="1:1" ht="14.4">
      <c r="A5444" s="11"/>
    </row>
    <row r="5445" spans="1:1" ht="14.4">
      <c r="A5445" s="11"/>
    </row>
    <row r="5446" spans="1:1" ht="14.4">
      <c r="A5446" s="11"/>
    </row>
    <row r="5447" spans="1:1" ht="14.4">
      <c r="A5447" s="11"/>
    </row>
    <row r="5448" spans="1:1" ht="14.4">
      <c r="A5448" s="11"/>
    </row>
    <row r="5449" spans="1:1" ht="14.4">
      <c r="A5449" s="11"/>
    </row>
    <row r="5450" spans="1:1" ht="14.4">
      <c r="A5450" s="11"/>
    </row>
    <row r="5451" spans="1:1" ht="14.4">
      <c r="A5451" s="11"/>
    </row>
    <row r="5452" spans="1:1" ht="14.4">
      <c r="A5452" s="11"/>
    </row>
    <row r="5453" spans="1:1" ht="14.4">
      <c r="A5453" s="11"/>
    </row>
    <row r="5454" spans="1:1" ht="14.4">
      <c r="A5454" s="11"/>
    </row>
    <row r="5455" spans="1:1" ht="14.4">
      <c r="A5455" s="11"/>
    </row>
    <row r="5456" spans="1:1" ht="14.4">
      <c r="A5456" s="11"/>
    </row>
    <row r="5457" spans="1:1" ht="14.4">
      <c r="A5457" s="11"/>
    </row>
    <row r="5458" spans="1:1" ht="14.4">
      <c r="A5458" s="11"/>
    </row>
    <row r="5459" spans="1:1" ht="14.4">
      <c r="A5459" s="11"/>
    </row>
    <row r="5460" spans="1:1" ht="14.4">
      <c r="A5460" s="11"/>
    </row>
    <row r="5461" spans="1:1" ht="14.4">
      <c r="A5461" s="11"/>
    </row>
    <row r="5462" spans="1:1" ht="14.4">
      <c r="A5462" s="11"/>
    </row>
    <row r="5463" spans="1:1" ht="14.4">
      <c r="A5463" s="11"/>
    </row>
    <row r="5464" spans="1:1" ht="14.4">
      <c r="A5464" s="11"/>
    </row>
    <row r="5465" spans="1:1" ht="14.4">
      <c r="A5465" s="11"/>
    </row>
    <row r="5466" spans="1:1" ht="14.4">
      <c r="A5466" s="11"/>
    </row>
    <row r="5467" spans="1:1" ht="14.4">
      <c r="A5467" s="11"/>
    </row>
    <row r="5468" spans="1:1" ht="14.4">
      <c r="A5468" s="11"/>
    </row>
    <row r="5469" spans="1:1" ht="14.4">
      <c r="A5469" s="11"/>
    </row>
    <row r="5470" spans="1:1" ht="14.4">
      <c r="A5470" s="11"/>
    </row>
    <row r="5471" spans="1:1" ht="14.4">
      <c r="A5471" s="11"/>
    </row>
    <row r="5472" spans="1:1" ht="14.4">
      <c r="A5472" s="11"/>
    </row>
    <row r="5473" spans="1:1" ht="14.4">
      <c r="A5473" s="11"/>
    </row>
    <row r="5474" spans="1:1" ht="14.4">
      <c r="A5474" s="11"/>
    </row>
    <row r="5475" spans="1:1" ht="14.4">
      <c r="A5475" s="11"/>
    </row>
    <row r="5476" spans="1:1" ht="14.4">
      <c r="A5476" s="11"/>
    </row>
    <row r="5477" spans="1:1" ht="14.4">
      <c r="A5477" s="11"/>
    </row>
    <row r="5478" spans="1:1" ht="14.4">
      <c r="A5478" s="11"/>
    </row>
    <row r="5479" spans="1:1" ht="14.4">
      <c r="A5479" s="11"/>
    </row>
    <row r="5480" spans="1:1" ht="14.4">
      <c r="A5480" s="11"/>
    </row>
    <row r="5481" spans="1:1" ht="14.4">
      <c r="A5481" s="11"/>
    </row>
    <row r="5482" spans="1:1" ht="14.4">
      <c r="A5482" s="11"/>
    </row>
    <row r="5483" spans="1:1" ht="14.4">
      <c r="A5483" s="11"/>
    </row>
    <row r="5484" spans="1:1" ht="14.4">
      <c r="A5484" s="11"/>
    </row>
    <row r="5485" spans="1:1" ht="14.4">
      <c r="A5485" s="11"/>
    </row>
    <row r="5486" spans="1:1" ht="14.4">
      <c r="A5486" s="11"/>
    </row>
    <row r="5487" spans="1:1" ht="14.4">
      <c r="A5487" s="11"/>
    </row>
    <row r="5488" spans="1:1" ht="14.4">
      <c r="A5488" s="11"/>
    </row>
    <row r="5489" spans="1:1" ht="14.4">
      <c r="A5489" s="11"/>
    </row>
    <row r="5490" spans="1:1" ht="14.4">
      <c r="A5490" s="11"/>
    </row>
    <row r="5491" spans="1:1" ht="14.4">
      <c r="A5491" s="11"/>
    </row>
    <row r="5492" spans="1:1" ht="14.4">
      <c r="A5492" s="11"/>
    </row>
    <row r="5493" spans="1:1" ht="14.4">
      <c r="A5493" s="11"/>
    </row>
    <row r="5494" spans="1:1" ht="14.4">
      <c r="A5494" s="11"/>
    </row>
    <row r="5495" spans="1:1" ht="14.4">
      <c r="A5495" s="11"/>
    </row>
    <row r="5496" spans="1:1" ht="14.4">
      <c r="A5496" s="11"/>
    </row>
    <row r="5497" spans="1:1" ht="14.4">
      <c r="A5497" s="11"/>
    </row>
    <row r="5498" spans="1:1" ht="14.4">
      <c r="A5498" s="11"/>
    </row>
    <row r="5499" spans="1:1" ht="14.4">
      <c r="A5499" s="11"/>
    </row>
    <row r="5500" spans="1:1" ht="14.4">
      <c r="A5500" s="11"/>
    </row>
    <row r="5501" spans="1:1" ht="14.4">
      <c r="A5501" s="11"/>
    </row>
    <row r="5502" spans="1:1" ht="14.4">
      <c r="A5502" s="11"/>
    </row>
    <row r="5503" spans="1:1" ht="14.4">
      <c r="A5503" s="11"/>
    </row>
    <row r="5504" spans="1:1" ht="14.4">
      <c r="A5504" s="11"/>
    </row>
    <row r="5505" spans="1:1" ht="14.4">
      <c r="A5505" s="11"/>
    </row>
    <row r="5506" spans="1:1" ht="14.4">
      <c r="A5506" s="11"/>
    </row>
    <row r="5507" spans="1:1" ht="14.4">
      <c r="A5507" s="11"/>
    </row>
    <row r="5508" spans="1:1" ht="14.4">
      <c r="A5508" s="11"/>
    </row>
    <row r="5509" spans="1:1" ht="14.4">
      <c r="A5509" s="11"/>
    </row>
    <row r="5510" spans="1:1" ht="14.4">
      <c r="A5510" s="11"/>
    </row>
    <row r="5511" spans="1:1" ht="14.4">
      <c r="A5511" s="11"/>
    </row>
    <row r="5512" spans="1:1" ht="14.4">
      <c r="A5512" s="11"/>
    </row>
    <row r="5513" spans="1:1" ht="14.4">
      <c r="A5513" s="11"/>
    </row>
    <row r="5514" spans="1:1" ht="14.4">
      <c r="A5514" s="11"/>
    </row>
    <row r="5515" spans="1:1" ht="14.4">
      <c r="A5515" s="11"/>
    </row>
    <row r="5516" spans="1:1" ht="14.4">
      <c r="A5516" s="11"/>
    </row>
    <row r="5517" spans="1:1" ht="14.4">
      <c r="A5517" s="11"/>
    </row>
    <row r="5518" spans="1:1" ht="14.4">
      <c r="A5518" s="11"/>
    </row>
    <row r="5519" spans="1:1" ht="14.4">
      <c r="A5519" s="11"/>
    </row>
    <row r="5520" spans="1:1" ht="14.4">
      <c r="A5520" s="11"/>
    </row>
    <row r="5521" spans="1:1" ht="14.4">
      <c r="A5521" s="11"/>
    </row>
    <row r="5522" spans="1:1" ht="14.4">
      <c r="A5522" s="11"/>
    </row>
    <row r="5523" spans="1:1" ht="14.4">
      <c r="A5523" s="11"/>
    </row>
    <row r="5524" spans="1:1" ht="14.4">
      <c r="A5524" s="11"/>
    </row>
    <row r="5525" spans="1:1" ht="14.4">
      <c r="A5525" s="11"/>
    </row>
    <row r="5526" spans="1:1" ht="14.4">
      <c r="A5526" s="11"/>
    </row>
    <row r="5527" spans="1:1" ht="14.4">
      <c r="A5527" s="11"/>
    </row>
    <row r="5528" spans="1:1" ht="14.4">
      <c r="A5528" s="11"/>
    </row>
    <row r="5529" spans="1:1" ht="14.4">
      <c r="A5529" s="11"/>
    </row>
    <row r="5530" spans="1:1" ht="14.4">
      <c r="A5530" s="11"/>
    </row>
    <row r="5531" spans="1:1" ht="14.4">
      <c r="A5531" s="11"/>
    </row>
    <row r="5532" spans="1:1" ht="14.4">
      <c r="A5532" s="11"/>
    </row>
    <row r="5533" spans="1:1" ht="14.4">
      <c r="A5533" s="11"/>
    </row>
    <row r="5534" spans="1:1" ht="14.4">
      <c r="A5534" s="11"/>
    </row>
    <row r="5535" spans="1:1" ht="14.4">
      <c r="A5535" s="11"/>
    </row>
    <row r="5536" spans="1:1" ht="14.4">
      <c r="A5536" s="11"/>
    </row>
    <row r="5537" spans="1:1" ht="14.4">
      <c r="A5537" s="11"/>
    </row>
    <row r="5538" spans="1:1" ht="14.4">
      <c r="A5538" s="11"/>
    </row>
    <row r="5539" spans="1:1" ht="14.4">
      <c r="A5539" s="11"/>
    </row>
    <row r="5540" spans="1:1" ht="14.4">
      <c r="A5540" s="11"/>
    </row>
    <row r="5541" spans="1:1" ht="14.4">
      <c r="A5541" s="11"/>
    </row>
    <row r="5542" spans="1:1" ht="14.4">
      <c r="A5542" s="11"/>
    </row>
    <row r="5543" spans="1:1" ht="14.4">
      <c r="A5543" s="11"/>
    </row>
    <row r="5544" spans="1:1" ht="14.4">
      <c r="A5544" s="11"/>
    </row>
    <row r="5545" spans="1:1" ht="14.4">
      <c r="A5545" s="11"/>
    </row>
    <row r="5546" spans="1:1" ht="14.4">
      <c r="A5546" s="11"/>
    </row>
    <row r="5547" spans="1:1" ht="14.4">
      <c r="A5547" s="11"/>
    </row>
    <row r="5548" spans="1:1" ht="14.4">
      <c r="A5548" s="11"/>
    </row>
    <row r="5549" spans="1:1" ht="14.4">
      <c r="A5549" s="11"/>
    </row>
    <row r="5550" spans="1:1" ht="14.4">
      <c r="A5550" s="11"/>
    </row>
    <row r="5551" spans="1:1" ht="14.4">
      <c r="A5551" s="11"/>
    </row>
    <row r="5552" spans="1:1" ht="14.4">
      <c r="A5552" s="11"/>
    </row>
    <row r="5553" spans="1:1" ht="14.4">
      <c r="A5553" s="11"/>
    </row>
    <row r="5554" spans="1:1" ht="14.4">
      <c r="A5554" s="11"/>
    </row>
    <row r="5555" spans="1:1" ht="14.4">
      <c r="A5555" s="11"/>
    </row>
    <row r="5556" spans="1:1" ht="14.4">
      <c r="A5556" s="11"/>
    </row>
    <row r="5557" spans="1:1" ht="14.4">
      <c r="A5557" s="11"/>
    </row>
    <row r="5558" spans="1:1" ht="14.4">
      <c r="A5558" s="11"/>
    </row>
    <row r="5559" spans="1:1" ht="14.4">
      <c r="A5559" s="11"/>
    </row>
    <row r="5560" spans="1:1" ht="14.4">
      <c r="A5560" s="11"/>
    </row>
    <row r="5561" spans="1:1" ht="14.4">
      <c r="A5561" s="11"/>
    </row>
    <row r="5562" spans="1:1" ht="14.4">
      <c r="A5562" s="11"/>
    </row>
    <row r="5563" spans="1:1" ht="14.4">
      <c r="A5563" s="11"/>
    </row>
    <row r="5564" spans="1:1" ht="14.4">
      <c r="A5564" s="11"/>
    </row>
    <row r="5565" spans="1:1" ht="14.4">
      <c r="A5565" s="11"/>
    </row>
    <row r="5566" spans="1:1" ht="14.4">
      <c r="A5566" s="11"/>
    </row>
    <row r="5567" spans="1:1" ht="14.4">
      <c r="A5567" s="11"/>
    </row>
    <row r="5568" spans="1:1" ht="14.4">
      <c r="A5568" s="11"/>
    </row>
    <row r="5569" spans="1:1" ht="14.4">
      <c r="A5569" s="11"/>
    </row>
    <row r="5570" spans="1:1" ht="14.4">
      <c r="A5570" s="11"/>
    </row>
    <row r="5571" spans="1:1" ht="14.4">
      <c r="A5571" s="11"/>
    </row>
    <row r="5572" spans="1:1" ht="14.4">
      <c r="A5572" s="11"/>
    </row>
    <row r="5573" spans="1:1" ht="14.4">
      <c r="A5573" s="11"/>
    </row>
    <row r="5574" spans="1:1" ht="14.4">
      <c r="A5574" s="11"/>
    </row>
    <row r="5575" spans="1:1" ht="14.4">
      <c r="A5575" s="11"/>
    </row>
    <row r="5576" spans="1:1" ht="14.4">
      <c r="A5576" s="11"/>
    </row>
    <row r="5577" spans="1:1" ht="14.4">
      <c r="A5577" s="11"/>
    </row>
    <row r="5578" spans="1:1" ht="14.4">
      <c r="A5578" s="11"/>
    </row>
    <row r="5579" spans="1:1" ht="14.4">
      <c r="A5579" s="11"/>
    </row>
    <row r="5580" spans="1:1" ht="14.4">
      <c r="A5580" s="11"/>
    </row>
    <row r="5581" spans="1:1" ht="14.4">
      <c r="A5581" s="11"/>
    </row>
    <row r="5582" spans="1:1" ht="14.4">
      <c r="A5582" s="11"/>
    </row>
    <row r="5583" spans="1:1" ht="14.4">
      <c r="A5583" s="11"/>
    </row>
    <row r="5584" spans="1:1" ht="14.4">
      <c r="A5584" s="11"/>
    </row>
    <row r="5585" spans="1:1" ht="14.4">
      <c r="A5585" s="11"/>
    </row>
    <row r="5586" spans="1:1" ht="14.4">
      <c r="A5586" s="11"/>
    </row>
    <row r="5587" spans="1:1" ht="14.4">
      <c r="A5587" s="11"/>
    </row>
    <row r="5588" spans="1:1" ht="14.4">
      <c r="A5588" s="11"/>
    </row>
    <row r="5589" spans="1:1" ht="14.4">
      <c r="A5589" s="11"/>
    </row>
    <row r="5590" spans="1:1" ht="14.4">
      <c r="A5590" s="11"/>
    </row>
    <row r="5591" spans="1:1" ht="14.4">
      <c r="A5591" s="11"/>
    </row>
    <row r="5592" spans="1:1" ht="14.4">
      <c r="A5592" s="11"/>
    </row>
    <row r="5593" spans="1:1" ht="14.4">
      <c r="A5593" s="11"/>
    </row>
    <row r="5594" spans="1:1" ht="14.4">
      <c r="A5594" s="11"/>
    </row>
    <row r="5595" spans="1:1" ht="14.4">
      <c r="A5595" s="11"/>
    </row>
    <row r="5596" spans="1:1" ht="14.4">
      <c r="A5596" s="11"/>
    </row>
    <row r="5597" spans="1:1" ht="14.4">
      <c r="A5597" s="11"/>
    </row>
    <row r="5598" spans="1:1" ht="14.4">
      <c r="A5598" s="11"/>
    </row>
    <row r="5599" spans="1:1" ht="14.4">
      <c r="A5599" s="11"/>
    </row>
    <row r="5600" spans="1:1" ht="14.4">
      <c r="A5600" s="11"/>
    </row>
    <row r="5601" spans="1:1" ht="14.4">
      <c r="A5601" s="11"/>
    </row>
    <row r="5602" spans="1:1" ht="14.4">
      <c r="A5602" s="11"/>
    </row>
    <row r="5603" spans="1:1" ht="14.4">
      <c r="A5603" s="11"/>
    </row>
    <row r="5604" spans="1:1" ht="14.4">
      <c r="A5604" s="11"/>
    </row>
    <row r="5605" spans="1:1" ht="14.4">
      <c r="A5605" s="11"/>
    </row>
    <row r="5606" spans="1:1" ht="14.4">
      <c r="A5606" s="11"/>
    </row>
    <row r="5607" spans="1:1" ht="14.4">
      <c r="A5607" s="11"/>
    </row>
    <row r="5608" spans="1:1" ht="14.4">
      <c r="A5608" s="11"/>
    </row>
    <row r="5609" spans="1:1" ht="14.4">
      <c r="A5609" s="11"/>
    </row>
    <row r="5610" spans="1:1" ht="14.4">
      <c r="A5610" s="11"/>
    </row>
    <row r="5611" spans="1:1" ht="14.4">
      <c r="A5611" s="11"/>
    </row>
    <row r="5612" spans="1:1" ht="14.4">
      <c r="A5612" s="11"/>
    </row>
    <row r="5613" spans="1:1" ht="14.4">
      <c r="A5613" s="11"/>
    </row>
    <row r="5614" spans="1:1" ht="14.4">
      <c r="A5614" s="11"/>
    </row>
    <row r="5615" spans="1:1" ht="14.4">
      <c r="A5615" s="11"/>
    </row>
    <row r="5616" spans="1:1" ht="14.4">
      <c r="A5616" s="11"/>
    </row>
    <row r="5617" spans="1:1" ht="14.4">
      <c r="A5617" s="11"/>
    </row>
    <row r="5618" spans="1:1" ht="14.4">
      <c r="A5618" s="11"/>
    </row>
    <row r="5619" spans="1:1" ht="14.4">
      <c r="A5619" s="11"/>
    </row>
    <row r="5620" spans="1:1" ht="14.4">
      <c r="A5620" s="11"/>
    </row>
    <row r="5621" spans="1:1" ht="14.4">
      <c r="A5621" s="11"/>
    </row>
    <row r="5622" spans="1:1" ht="14.4">
      <c r="A5622" s="11"/>
    </row>
    <row r="5623" spans="1:1" ht="14.4">
      <c r="A5623" s="11"/>
    </row>
    <row r="5624" spans="1:1" ht="14.4">
      <c r="A5624" s="11"/>
    </row>
    <row r="5625" spans="1:1" ht="14.4">
      <c r="A5625" s="11"/>
    </row>
    <row r="5626" spans="1:1" ht="14.4">
      <c r="A5626" s="11"/>
    </row>
    <row r="5627" spans="1:1" ht="14.4">
      <c r="A5627" s="11"/>
    </row>
    <row r="5628" spans="1:1" ht="14.4">
      <c r="A5628" s="11"/>
    </row>
    <row r="5629" spans="1:1" ht="14.4">
      <c r="A5629" s="11"/>
    </row>
    <row r="5630" spans="1:1" ht="14.4">
      <c r="A5630" s="11"/>
    </row>
    <row r="5631" spans="1:1" ht="14.4">
      <c r="A5631" s="11"/>
    </row>
    <row r="5632" spans="1:1" ht="14.4">
      <c r="A5632" s="11"/>
    </row>
    <row r="5633" spans="1:1" ht="14.4">
      <c r="A5633" s="11"/>
    </row>
    <row r="5634" spans="1:1" ht="14.4">
      <c r="A5634" s="11"/>
    </row>
    <row r="5635" spans="1:1" ht="14.4">
      <c r="A5635" s="11"/>
    </row>
    <row r="5636" spans="1:1" ht="14.4">
      <c r="A5636" s="11"/>
    </row>
    <row r="5637" spans="1:1" ht="14.4">
      <c r="A5637" s="11"/>
    </row>
    <row r="5638" spans="1:1" ht="14.4">
      <c r="A5638" s="11"/>
    </row>
    <row r="5639" spans="1:1" ht="14.4">
      <c r="A5639" s="11"/>
    </row>
    <row r="5640" spans="1:1" ht="14.4">
      <c r="A5640" s="11"/>
    </row>
    <row r="5641" spans="1:1" ht="14.4">
      <c r="A5641" s="11"/>
    </row>
    <row r="5642" spans="1:1" ht="14.4">
      <c r="A5642" s="11"/>
    </row>
    <row r="5643" spans="1:1" ht="14.4">
      <c r="A5643" s="11"/>
    </row>
    <row r="5644" spans="1:1" ht="14.4">
      <c r="A5644" s="11"/>
    </row>
    <row r="5645" spans="1:1" ht="14.4">
      <c r="A5645" s="11"/>
    </row>
    <row r="5646" spans="1:1" ht="14.4">
      <c r="A5646" s="11"/>
    </row>
    <row r="5647" spans="1:1" ht="14.4">
      <c r="A5647" s="11"/>
    </row>
    <row r="5648" spans="1:1" ht="14.4">
      <c r="A5648" s="11"/>
    </row>
    <row r="5649" spans="1:1" ht="14.4">
      <c r="A5649" s="11"/>
    </row>
    <row r="5650" spans="1:1" ht="14.4">
      <c r="A5650" s="11"/>
    </row>
    <row r="5651" spans="1:1" ht="14.4">
      <c r="A5651" s="11"/>
    </row>
    <row r="5652" spans="1:1" ht="14.4">
      <c r="A5652" s="11"/>
    </row>
    <row r="5653" spans="1:1" ht="14.4">
      <c r="A5653" s="11"/>
    </row>
    <row r="5654" spans="1:1" ht="14.4">
      <c r="A5654" s="11"/>
    </row>
    <row r="5655" spans="1:1" ht="14.4">
      <c r="A5655" s="11"/>
    </row>
    <row r="5656" spans="1:1" ht="14.4">
      <c r="A5656" s="11"/>
    </row>
    <row r="5657" spans="1:1" ht="14.4">
      <c r="A5657" s="11"/>
    </row>
    <row r="5658" spans="1:1" ht="14.4">
      <c r="A5658" s="11"/>
    </row>
    <row r="5659" spans="1:1" ht="14.4">
      <c r="A5659" s="11"/>
    </row>
    <row r="5660" spans="1:1" ht="14.4">
      <c r="A5660" s="11"/>
    </row>
    <row r="5661" spans="1:1" ht="14.4">
      <c r="A5661" s="11"/>
    </row>
    <row r="5662" spans="1:1" ht="14.4">
      <c r="A5662" s="11"/>
    </row>
    <row r="5663" spans="1:1" ht="14.4">
      <c r="A5663" s="11"/>
    </row>
    <row r="5664" spans="1:1" ht="14.4">
      <c r="A5664" s="11"/>
    </row>
    <row r="5665" spans="1:1" ht="14.4">
      <c r="A5665" s="11"/>
    </row>
    <row r="5666" spans="1:1" ht="14.4">
      <c r="A5666" s="11"/>
    </row>
    <row r="5667" spans="1:1" ht="14.4">
      <c r="A5667" s="11"/>
    </row>
    <row r="5668" spans="1:1" ht="14.4">
      <c r="A5668" s="11"/>
    </row>
    <row r="5669" spans="1:1" ht="14.4">
      <c r="A5669" s="11"/>
    </row>
    <row r="5670" spans="1:1" ht="14.4">
      <c r="A5670" s="11"/>
    </row>
    <row r="5671" spans="1:1" ht="14.4">
      <c r="A5671" s="11"/>
    </row>
    <row r="5672" spans="1:1" ht="14.4">
      <c r="A5672" s="11"/>
    </row>
    <row r="5673" spans="1:1" ht="14.4">
      <c r="A5673" s="11"/>
    </row>
    <row r="5674" spans="1:1" ht="14.4">
      <c r="A5674" s="11"/>
    </row>
    <row r="5675" spans="1:1" ht="14.4">
      <c r="A5675" s="11"/>
    </row>
    <row r="5676" spans="1:1" ht="14.4">
      <c r="A5676" s="11"/>
    </row>
    <row r="5677" spans="1:1" ht="14.4">
      <c r="A5677" s="11"/>
    </row>
    <row r="5678" spans="1:1" ht="14.4">
      <c r="A5678" s="11"/>
    </row>
    <row r="5679" spans="1:1" ht="14.4">
      <c r="A5679" s="11"/>
    </row>
    <row r="5680" spans="1:1" ht="14.4">
      <c r="A5680" s="11"/>
    </row>
    <row r="5681" spans="1:1" ht="14.4">
      <c r="A5681" s="11"/>
    </row>
    <row r="5682" spans="1:1" ht="14.4">
      <c r="A5682" s="11"/>
    </row>
    <row r="5683" spans="1:1" ht="14.4">
      <c r="A5683" s="11"/>
    </row>
    <row r="5684" spans="1:1" ht="14.4">
      <c r="A5684" s="11"/>
    </row>
    <row r="5685" spans="1:1" ht="14.4">
      <c r="A5685" s="11"/>
    </row>
    <row r="5686" spans="1:1" ht="14.4">
      <c r="A5686" s="11"/>
    </row>
    <row r="5687" spans="1:1" ht="14.4">
      <c r="A5687" s="11"/>
    </row>
    <row r="5688" spans="1:1" ht="14.4">
      <c r="A5688" s="11"/>
    </row>
    <row r="5689" spans="1:1" ht="14.4">
      <c r="A5689" s="11"/>
    </row>
    <row r="5690" spans="1:1" ht="14.4">
      <c r="A5690" s="11"/>
    </row>
    <row r="5691" spans="1:1" ht="14.4">
      <c r="A5691" s="11"/>
    </row>
    <row r="5692" spans="1:1" ht="14.4">
      <c r="A5692" s="11"/>
    </row>
    <row r="5693" spans="1:1" ht="14.4">
      <c r="A5693" s="11"/>
    </row>
    <row r="5694" spans="1:1" ht="14.4">
      <c r="A5694" s="11"/>
    </row>
    <row r="5695" spans="1:1" ht="14.4">
      <c r="A5695" s="11"/>
    </row>
    <row r="5696" spans="1:1" ht="14.4">
      <c r="A5696" s="11"/>
    </row>
    <row r="5697" spans="1:1" ht="14.4">
      <c r="A5697" s="11"/>
    </row>
    <row r="5698" spans="1:1" ht="14.4">
      <c r="A5698" s="11"/>
    </row>
    <row r="5699" spans="1:1" ht="14.4">
      <c r="A5699" s="11"/>
    </row>
    <row r="5700" spans="1:1" ht="14.4">
      <c r="A5700" s="11"/>
    </row>
    <row r="5701" spans="1:1" ht="14.4">
      <c r="A5701" s="11"/>
    </row>
    <row r="5702" spans="1:1" ht="14.4">
      <c r="A5702" s="11"/>
    </row>
    <row r="5703" spans="1:1" ht="14.4">
      <c r="A5703" s="11"/>
    </row>
    <row r="5704" spans="1:1" ht="14.4">
      <c r="A5704" s="11"/>
    </row>
    <row r="5705" spans="1:1" ht="14.4">
      <c r="A5705" s="11"/>
    </row>
    <row r="5706" spans="1:1" ht="14.4">
      <c r="A5706" s="11"/>
    </row>
    <row r="5707" spans="1:1" ht="14.4">
      <c r="A5707" s="11"/>
    </row>
    <row r="5708" spans="1:1" ht="14.4">
      <c r="A5708" s="11"/>
    </row>
    <row r="5709" spans="1:1" ht="14.4">
      <c r="A5709" s="11"/>
    </row>
    <row r="5710" spans="1:1" ht="14.4">
      <c r="A5710" s="11"/>
    </row>
    <row r="5711" spans="1:1" ht="14.4">
      <c r="A5711" s="11"/>
    </row>
    <row r="5712" spans="1:1" ht="14.4">
      <c r="A5712" s="11"/>
    </row>
    <row r="5713" spans="1:1" ht="14.4">
      <c r="A5713" s="11"/>
    </row>
    <row r="5714" spans="1:1" ht="14.4">
      <c r="A5714" s="11"/>
    </row>
    <row r="5715" spans="1:1" ht="14.4">
      <c r="A5715" s="11"/>
    </row>
    <row r="5716" spans="1:1" ht="14.4">
      <c r="A5716" s="11"/>
    </row>
    <row r="5717" spans="1:1" ht="14.4">
      <c r="A5717" s="11"/>
    </row>
    <row r="5718" spans="1:1" ht="14.4">
      <c r="A5718" s="11"/>
    </row>
    <row r="5719" spans="1:1" ht="14.4">
      <c r="A5719" s="11"/>
    </row>
    <row r="5720" spans="1:1" ht="14.4">
      <c r="A5720" s="11"/>
    </row>
    <row r="5721" spans="1:1" ht="14.4">
      <c r="A5721" s="11"/>
    </row>
    <row r="5722" spans="1:1" ht="14.4">
      <c r="A5722" s="11"/>
    </row>
    <row r="5723" spans="1:1" ht="14.4">
      <c r="A5723" s="11"/>
    </row>
    <row r="5724" spans="1:1" ht="14.4">
      <c r="A5724" s="11"/>
    </row>
    <row r="5725" spans="1:1" ht="14.4">
      <c r="A5725" s="11"/>
    </row>
    <row r="5726" spans="1:1" ht="14.4">
      <c r="A5726" s="11"/>
    </row>
    <row r="5727" spans="1:1" ht="14.4">
      <c r="A5727" s="11"/>
    </row>
    <row r="5728" spans="1:1" ht="14.4">
      <c r="A5728" s="11"/>
    </row>
    <row r="5729" spans="1:1" ht="14.4">
      <c r="A5729" s="11"/>
    </row>
    <row r="5730" spans="1:1" ht="14.4">
      <c r="A5730" s="11"/>
    </row>
    <row r="5731" spans="1:1" ht="14.4">
      <c r="A5731" s="11"/>
    </row>
    <row r="5732" spans="1:1" ht="14.4">
      <c r="A5732" s="11"/>
    </row>
    <row r="5733" spans="1:1" ht="14.4">
      <c r="A5733" s="11"/>
    </row>
    <row r="5734" spans="1:1" ht="14.4">
      <c r="A5734" s="11"/>
    </row>
    <row r="5735" spans="1:1" ht="14.4">
      <c r="A5735" s="11"/>
    </row>
    <row r="5736" spans="1:1" ht="14.4">
      <c r="A5736" s="11"/>
    </row>
    <row r="5737" spans="1:1" ht="14.4">
      <c r="A5737" s="11"/>
    </row>
    <row r="5738" spans="1:1" ht="14.4">
      <c r="A5738" s="11"/>
    </row>
    <row r="5739" spans="1:1" ht="14.4">
      <c r="A5739" s="11"/>
    </row>
    <row r="5740" spans="1:1" ht="14.4">
      <c r="A5740" s="11"/>
    </row>
    <row r="5741" spans="1:1" ht="14.4">
      <c r="A5741" s="11"/>
    </row>
    <row r="5742" spans="1:1" ht="14.4">
      <c r="A5742" s="11"/>
    </row>
    <row r="5743" spans="1:1" ht="14.4">
      <c r="A5743" s="11"/>
    </row>
    <row r="5744" spans="1:1" ht="14.4">
      <c r="A5744" s="11"/>
    </row>
    <row r="5745" spans="1:1" ht="14.4">
      <c r="A5745" s="11"/>
    </row>
    <row r="5746" spans="1:1" ht="14.4">
      <c r="A5746" s="11"/>
    </row>
    <row r="5747" spans="1:1" ht="14.4">
      <c r="A5747" s="11"/>
    </row>
    <row r="5748" spans="1:1" ht="14.4">
      <c r="A5748" s="11"/>
    </row>
    <row r="5749" spans="1:1" ht="14.4">
      <c r="A5749" s="11"/>
    </row>
    <row r="5750" spans="1:1" ht="14.4">
      <c r="A5750" s="11"/>
    </row>
    <row r="5751" spans="1:1" ht="14.4">
      <c r="A5751" s="11"/>
    </row>
    <row r="5752" spans="1:1" ht="14.4">
      <c r="A5752" s="11"/>
    </row>
    <row r="5753" spans="1:1" ht="14.4">
      <c r="A5753" s="11"/>
    </row>
    <row r="5754" spans="1:1" ht="14.4">
      <c r="A5754" s="11"/>
    </row>
    <row r="5755" spans="1:1" ht="14.4">
      <c r="A5755" s="11"/>
    </row>
    <row r="5756" spans="1:1" ht="14.4">
      <c r="A5756" s="11"/>
    </row>
    <row r="5757" spans="1:1" ht="14.4">
      <c r="A5757" s="11"/>
    </row>
    <row r="5758" spans="1:1" ht="14.4">
      <c r="A5758" s="11"/>
    </row>
    <row r="5759" spans="1:1" ht="14.4">
      <c r="A5759" s="11"/>
    </row>
    <row r="5760" spans="1:1" ht="14.4">
      <c r="A5760" s="11"/>
    </row>
    <row r="5761" spans="1:1" ht="14.4">
      <c r="A5761" s="11"/>
    </row>
    <row r="5762" spans="1:1" ht="14.4">
      <c r="A5762" s="11"/>
    </row>
    <row r="5763" spans="1:1" ht="14.4">
      <c r="A5763" s="11"/>
    </row>
    <row r="5764" spans="1:1" ht="14.4">
      <c r="A5764" s="11"/>
    </row>
    <row r="5765" spans="1:1" ht="14.4">
      <c r="A5765" s="11"/>
    </row>
    <row r="5766" spans="1:1" ht="14.4">
      <c r="A5766" s="11"/>
    </row>
    <row r="5767" spans="1:1" ht="14.4">
      <c r="A5767" s="11"/>
    </row>
    <row r="5768" spans="1:1" ht="14.4">
      <c r="A5768" s="11"/>
    </row>
    <row r="5769" spans="1:1" ht="14.4">
      <c r="A5769" s="11"/>
    </row>
    <row r="5770" spans="1:1" ht="14.4">
      <c r="A5770" s="11"/>
    </row>
    <row r="5771" spans="1:1" ht="14.4">
      <c r="A5771" s="11"/>
    </row>
    <row r="5772" spans="1:1" ht="14.4">
      <c r="A5772" s="11"/>
    </row>
    <row r="5773" spans="1:1" ht="14.4">
      <c r="A5773" s="11"/>
    </row>
    <row r="5774" spans="1:1" ht="14.4">
      <c r="A5774" s="11"/>
    </row>
    <row r="5775" spans="1:1" ht="14.4">
      <c r="A5775" s="11"/>
    </row>
    <row r="5776" spans="1:1" ht="14.4">
      <c r="A5776" s="11"/>
    </row>
    <row r="5777" spans="1:1" ht="14.4">
      <c r="A5777" s="11"/>
    </row>
    <row r="5778" spans="1:1" ht="14.4">
      <c r="A5778" s="11"/>
    </row>
    <row r="5779" spans="1:1" ht="14.4">
      <c r="A5779" s="11"/>
    </row>
    <row r="5780" spans="1:1" ht="14.4">
      <c r="A5780" s="11"/>
    </row>
    <row r="5781" spans="1:1" ht="14.4">
      <c r="A5781" s="11"/>
    </row>
    <row r="5782" spans="1:1" ht="14.4">
      <c r="A5782" s="11"/>
    </row>
    <row r="5783" spans="1:1" ht="14.4">
      <c r="A5783" s="11"/>
    </row>
    <row r="5784" spans="1:1" ht="14.4">
      <c r="A5784" s="11"/>
    </row>
    <row r="5785" spans="1:1" ht="14.4">
      <c r="A5785" s="11"/>
    </row>
    <row r="5786" spans="1:1" ht="14.4">
      <c r="A5786" s="11"/>
    </row>
    <row r="5787" spans="1:1" ht="14.4">
      <c r="A5787" s="11"/>
    </row>
    <row r="5788" spans="1:1" ht="14.4">
      <c r="A5788" s="11"/>
    </row>
    <row r="5789" spans="1:1" ht="14.4">
      <c r="A5789" s="11"/>
    </row>
    <row r="5790" spans="1:1" ht="14.4">
      <c r="A5790" s="11"/>
    </row>
    <row r="5791" spans="1:1" ht="14.4">
      <c r="A5791" s="11"/>
    </row>
    <row r="5792" spans="1:1" ht="14.4">
      <c r="A5792" s="11"/>
    </row>
    <row r="5793" spans="1:1" ht="14.4">
      <c r="A5793" s="11"/>
    </row>
    <row r="5794" spans="1:1" ht="14.4">
      <c r="A5794" s="11"/>
    </row>
    <row r="5795" spans="1:1" ht="14.4">
      <c r="A5795" s="11"/>
    </row>
    <row r="5796" spans="1:1" ht="14.4">
      <c r="A5796" s="11"/>
    </row>
    <row r="5797" spans="1:1" ht="14.4">
      <c r="A5797" s="11"/>
    </row>
    <row r="5798" spans="1:1" ht="14.4">
      <c r="A5798" s="11"/>
    </row>
    <row r="5799" spans="1:1" ht="14.4">
      <c r="A5799" s="11"/>
    </row>
    <row r="5800" spans="1:1" ht="14.4">
      <c r="A5800" s="11"/>
    </row>
    <row r="5801" spans="1:1" ht="14.4">
      <c r="A5801" s="11"/>
    </row>
    <row r="5802" spans="1:1" ht="14.4">
      <c r="A5802" s="11"/>
    </row>
    <row r="5803" spans="1:1" ht="14.4">
      <c r="A5803" s="11"/>
    </row>
    <row r="5804" spans="1:1" ht="14.4">
      <c r="A5804" s="11"/>
    </row>
    <row r="5805" spans="1:1" ht="14.4">
      <c r="A5805" s="11"/>
    </row>
    <row r="5806" spans="1:1" ht="14.4">
      <c r="A5806" s="11"/>
    </row>
    <row r="5807" spans="1:1" ht="14.4">
      <c r="A5807" s="11"/>
    </row>
    <row r="5808" spans="1:1" ht="14.4">
      <c r="A5808" s="11"/>
    </row>
    <row r="5809" spans="1:1" ht="14.4">
      <c r="A5809" s="11"/>
    </row>
    <row r="5810" spans="1:1" ht="14.4">
      <c r="A5810" s="11"/>
    </row>
    <row r="5811" spans="1:1" ht="14.4">
      <c r="A5811" s="11"/>
    </row>
    <row r="5812" spans="1:1" ht="14.4">
      <c r="A5812" s="11"/>
    </row>
    <row r="5813" spans="1:1" ht="14.4">
      <c r="A5813" s="11"/>
    </row>
    <row r="5814" spans="1:1" ht="14.4">
      <c r="A5814" s="11"/>
    </row>
    <row r="5815" spans="1:1" ht="14.4">
      <c r="A5815" s="11"/>
    </row>
    <row r="5816" spans="1:1" ht="14.4">
      <c r="A5816" s="11"/>
    </row>
    <row r="5817" spans="1:1" ht="14.4">
      <c r="A5817" s="11"/>
    </row>
    <row r="5818" spans="1:1" ht="14.4">
      <c r="A5818" s="11"/>
    </row>
    <row r="5819" spans="1:1" ht="14.4">
      <c r="A5819" s="11"/>
    </row>
    <row r="5820" spans="1:1" ht="14.4">
      <c r="A5820" s="11"/>
    </row>
    <row r="5821" spans="1:1" ht="14.4">
      <c r="A5821" s="11"/>
    </row>
    <row r="5822" spans="1:1" ht="14.4">
      <c r="A5822" s="11"/>
    </row>
    <row r="5823" spans="1:1" ht="14.4">
      <c r="A5823" s="11"/>
    </row>
    <row r="5824" spans="1:1" ht="14.4">
      <c r="A5824" s="11"/>
    </row>
    <row r="5825" spans="1:1" ht="14.4">
      <c r="A5825" s="11"/>
    </row>
    <row r="5826" spans="1:1" ht="14.4">
      <c r="A5826" s="11"/>
    </row>
    <row r="5827" spans="1:1" ht="14.4">
      <c r="A5827" s="11"/>
    </row>
    <row r="5828" spans="1:1" ht="14.4">
      <c r="A5828" s="11"/>
    </row>
    <row r="5829" spans="1:1" ht="14.4">
      <c r="A5829" s="11"/>
    </row>
    <row r="5830" spans="1:1" ht="14.4">
      <c r="A5830" s="11"/>
    </row>
    <row r="5831" spans="1:1" ht="14.4">
      <c r="A5831" s="11"/>
    </row>
    <row r="5832" spans="1:1" ht="14.4">
      <c r="A5832" s="11"/>
    </row>
    <row r="5833" spans="1:1" ht="14.4">
      <c r="A5833" s="11"/>
    </row>
    <row r="5834" spans="1:1" ht="14.4">
      <c r="A5834" s="11"/>
    </row>
    <row r="5835" spans="1:1" ht="14.4">
      <c r="A5835" s="11"/>
    </row>
    <row r="5836" spans="1:1" ht="14.4">
      <c r="A5836" s="11"/>
    </row>
    <row r="5837" spans="1:1" ht="14.4">
      <c r="A5837" s="11"/>
    </row>
    <row r="5838" spans="1:1" ht="14.4">
      <c r="A5838" s="11"/>
    </row>
    <row r="5839" spans="1:1" ht="14.4">
      <c r="A5839" s="11"/>
    </row>
    <row r="5840" spans="1:1" ht="14.4">
      <c r="A5840" s="11"/>
    </row>
    <row r="5841" spans="1:1" ht="14.4">
      <c r="A5841" s="11"/>
    </row>
    <row r="5842" spans="1:1" ht="14.4">
      <c r="A5842" s="11"/>
    </row>
    <row r="5843" spans="1:1" ht="14.4">
      <c r="A5843" s="11"/>
    </row>
    <row r="5844" spans="1:1" ht="14.4">
      <c r="A5844" s="11"/>
    </row>
    <row r="5845" spans="1:1" ht="14.4">
      <c r="A5845" s="11"/>
    </row>
    <row r="5846" spans="1:1" ht="14.4">
      <c r="A5846" s="11"/>
    </row>
    <row r="5847" spans="1:1" ht="14.4">
      <c r="A5847" s="11"/>
    </row>
    <row r="5848" spans="1:1" ht="14.4">
      <c r="A5848" s="11"/>
    </row>
    <row r="5849" spans="1:1" ht="14.4">
      <c r="A5849" s="11"/>
    </row>
    <row r="5850" spans="1:1" ht="14.4">
      <c r="A5850" s="11"/>
    </row>
    <row r="5851" spans="1:1" ht="14.4">
      <c r="A5851" s="11"/>
    </row>
    <row r="5852" spans="1:1" ht="14.4">
      <c r="A5852" s="11"/>
    </row>
    <row r="5853" spans="1:1" ht="14.4">
      <c r="A5853" s="11"/>
    </row>
    <row r="5854" spans="1:1" ht="14.4">
      <c r="A5854" s="11"/>
    </row>
    <row r="5855" spans="1:1" ht="14.4">
      <c r="A5855" s="11"/>
    </row>
    <row r="5856" spans="1:1" ht="14.4">
      <c r="A5856" s="11"/>
    </row>
    <row r="5857" spans="1:1" ht="14.4">
      <c r="A5857" s="11"/>
    </row>
    <row r="5858" spans="1:1" ht="14.4">
      <c r="A5858" s="11"/>
    </row>
    <row r="5859" spans="1:1" ht="14.4">
      <c r="A5859" s="11"/>
    </row>
    <row r="5860" spans="1:1" ht="14.4">
      <c r="A5860" s="11"/>
    </row>
    <row r="5861" spans="1:1" ht="14.4">
      <c r="A5861" s="11"/>
    </row>
    <row r="5862" spans="1:1" ht="14.4">
      <c r="A5862" s="11"/>
    </row>
    <row r="5863" spans="1:1" ht="14.4">
      <c r="A5863" s="11"/>
    </row>
    <row r="5864" spans="1:1" ht="14.4">
      <c r="A5864" s="11"/>
    </row>
    <row r="5865" spans="1:1" ht="14.4">
      <c r="A5865" s="11"/>
    </row>
    <row r="5866" spans="1:1" ht="14.4">
      <c r="A5866" s="11"/>
    </row>
    <row r="5867" spans="1:1" ht="14.4">
      <c r="A5867" s="11"/>
    </row>
    <row r="5868" spans="1:1" ht="14.4">
      <c r="A5868" s="11"/>
    </row>
    <row r="5869" spans="1:1" ht="14.4">
      <c r="A5869" s="11"/>
    </row>
    <row r="5870" spans="1:1" ht="14.4">
      <c r="A5870" s="11"/>
    </row>
    <row r="5871" spans="1:1" ht="14.4">
      <c r="A5871" s="11"/>
    </row>
    <row r="5872" spans="1:1" ht="14.4">
      <c r="A5872" s="11"/>
    </row>
    <row r="5873" spans="1:1" ht="14.4">
      <c r="A5873" s="11"/>
    </row>
    <row r="5874" spans="1:1" ht="14.4">
      <c r="A5874" s="11"/>
    </row>
    <row r="5875" spans="1:1" ht="14.4">
      <c r="A5875" s="11"/>
    </row>
    <row r="5876" spans="1:1" ht="14.4">
      <c r="A5876" s="11"/>
    </row>
    <row r="5877" spans="1:1" ht="14.4">
      <c r="A5877" s="11"/>
    </row>
    <row r="5878" spans="1:1" ht="14.4">
      <c r="A5878" s="11"/>
    </row>
    <row r="5879" spans="1:1" ht="14.4">
      <c r="A5879" s="11"/>
    </row>
    <row r="5880" spans="1:1" ht="14.4">
      <c r="A5880" s="11"/>
    </row>
    <row r="5881" spans="1:1" ht="14.4">
      <c r="A5881" s="11"/>
    </row>
    <row r="5882" spans="1:1" ht="14.4">
      <c r="A5882" s="11"/>
    </row>
    <row r="5883" spans="1:1" ht="14.4">
      <c r="A5883" s="11"/>
    </row>
    <row r="5884" spans="1:1" ht="14.4">
      <c r="A5884" s="11"/>
    </row>
    <row r="5885" spans="1:1" ht="14.4">
      <c r="A5885" s="11"/>
    </row>
    <row r="5886" spans="1:1" ht="14.4">
      <c r="A5886" s="11"/>
    </row>
    <row r="5887" spans="1:1" ht="14.4">
      <c r="A5887" s="11"/>
    </row>
    <row r="5888" spans="1:1" ht="14.4">
      <c r="A5888" s="11"/>
    </row>
    <row r="5889" spans="1:1" ht="14.4">
      <c r="A5889" s="11"/>
    </row>
    <row r="5890" spans="1:1" ht="14.4">
      <c r="A5890" s="11"/>
    </row>
    <row r="5891" spans="1:1" ht="14.4">
      <c r="A5891" s="11"/>
    </row>
    <row r="5892" spans="1:1" ht="14.4">
      <c r="A5892" s="11"/>
    </row>
    <row r="5893" spans="1:1" ht="14.4">
      <c r="A5893" s="11"/>
    </row>
    <row r="5894" spans="1:1" ht="14.4">
      <c r="A5894" s="11"/>
    </row>
    <row r="5895" spans="1:1" ht="14.4">
      <c r="A5895" s="11"/>
    </row>
    <row r="5896" spans="1:1" ht="14.4">
      <c r="A5896" s="11"/>
    </row>
    <row r="5897" spans="1:1" ht="14.4">
      <c r="A5897" s="11"/>
    </row>
    <row r="5898" spans="1:1" ht="14.4">
      <c r="A5898" s="11"/>
    </row>
    <row r="5899" spans="1:1" ht="14.4">
      <c r="A5899" s="11"/>
    </row>
    <row r="5900" spans="1:1" ht="14.4">
      <c r="A5900" s="11"/>
    </row>
    <row r="5901" spans="1:1" ht="14.4">
      <c r="A5901" s="11"/>
    </row>
    <row r="5902" spans="1:1" ht="14.4">
      <c r="A5902" s="11"/>
    </row>
    <row r="5903" spans="1:1" ht="14.4">
      <c r="A5903" s="11"/>
    </row>
    <row r="5904" spans="1:1" ht="14.4">
      <c r="A5904" s="11"/>
    </row>
    <row r="5905" spans="1:1" ht="14.4">
      <c r="A5905" s="11"/>
    </row>
    <row r="5906" spans="1:1" ht="14.4">
      <c r="A5906" s="11"/>
    </row>
    <row r="5907" spans="1:1" ht="14.4">
      <c r="A5907" s="11"/>
    </row>
    <row r="5908" spans="1:1" ht="14.4">
      <c r="A5908" s="11"/>
    </row>
    <row r="5909" spans="1:1" ht="14.4">
      <c r="A5909" s="11"/>
    </row>
    <row r="5910" spans="1:1" ht="14.4">
      <c r="A5910" s="11"/>
    </row>
    <row r="5911" spans="1:1" ht="14.4">
      <c r="A5911" s="11"/>
    </row>
    <row r="5912" spans="1:1" ht="14.4">
      <c r="A5912" s="11"/>
    </row>
    <row r="5913" spans="1:1" ht="14.4">
      <c r="A5913" s="11"/>
    </row>
    <row r="5914" spans="1:1" ht="14.4">
      <c r="A5914" s="11"/>
    </row>
    <row r="5915" spans="1:1" ht="14.4">
      <c r="A5915" s="11"/>
    </row>
    <row r="5916" spans="1:1" ht="14.4">
      <c r="A5916" s="11"/>
    </row>
    <row r="5917" spans="1:1" ht="14.4">
      <c r="A5917" s="11"/>
    </row>
    <row r="5918" spans="1:1" ht="14.4">
      <c r="A5918" s="11"/>
    </row>
    <row r="5919" spans="1:1" ht="14.4">
      <c r="A5919" s="11"/>
    </row>
    <row r="5920" spans="1:1" ht="14.4">
      <c r="A5920" s="11"/>
    </row>
    <row r="5921" spans="1:1" ht="14.4">
      <c r="A5921" s="11"/>
    </row>
    <row r="5922" spans="1:1" ht="14.4">
      <c r="A5922" s="11"/>
    </row>
    <row r="5923" spans="1:1" ht="14.4">
      <c r="A5923" s="11"/>
    </row>
    <row r="5924" spans="1:1" ht="14.4">
      <c r="A5924" s="11"/>
    </row>
    <row r="5925" spans="1:1" ht="14.4">
      <c r="A5925" s="11"/>
    </row>
    <row r="5926" spans="1:1" ht="14.4">
      <c r="A5926" s="11"/>
    </row>
    <row r="5927" spans="1:1" ht="14.4">
      <c r="A5927" s="11"/>
    </row>
    <row r="5928" spans="1:1" ht="14.4">
      <c r="A5928" s="11"/>
    </row>
    <row r="5929" spans="1:1" ht="14.4">
      <c r="A5929" s="11"/>
    </row>
    <row r="5930" spans="1:1" ht="14.4">
      <c r="A5930" s="11"/>
    </row>
    <row r="5931" spans="1:1" ht="14.4">
      <c r="A5931" s="11"/>
    </row>
    <row r="5932" spans="1:1" ht="14.4">
      <c r="A5932" s="11"/>
    </row>
    <row r="5933" spans="1:1" ht="14.4">
      <c r="A5933" s="11"/>
    </row>
    <row r="5934" spans="1:1" ht="14.4">
      <c r="A5934" s="11"/>
    </row>
    <row r="5935" spans="1:1" ht="14.4">
      <c r="A5935" s="11"/>
    </row>
    <row r="5936" spans="1:1" ht="14.4">
      <c r="A5936" s="11"/>
    </row>
    <row r="5937" spans="1:1" ht="14.4">
      <c r="A5937" s="11"/>
    </row>
    <row r="5938" spans="1:1" ht="14.4">
      <c r="A5938" s="11"/>
    </row>
    <row r="5939" spans="1:1" ht="14.4">
      <c r="A5939" s="11"/>
    </row>
    <row r="5940" spans="1:1" ht="14.4">
      <c r="A5940" s="11"/>
    </row>
    <row r="5941" spans="1:1" ht="14.4">
      <c r="A5941" s="11"/>
    </row>
    <row r="5942" spans="1:1" ht="14.4">
      <c r="A5942" s="11"/>
    </row>
    <row r="5943" spans="1:1" ht="14.4">
      <c r="A5943" s="11"/>
    </row>
    <row r="5944" spans="1:1" ht="14.4">
      <c r="A5944" s="11"/>
    </row>
    <row r="5945" spans="1:1" ht="14.4">
      <c r="A5945" s="11"/>
    </row>
    <row r="5946" spans="1:1" ht="14.4">
      <c r="A5946" s="11"/>
    </row>
    <row r="5947" spans="1:1" ht="14.4">
      <c r="A5947" s="11"/>
    </row>
    <row r="5948" spans="1:1" ht="14.4">
      <c r="A5948" s="11"/>
    </row>
    <row r="5949" spans="1:1" ht="14.4">
      <c r="A5949" s="11"/>
    </row>
    <row r="5950" spans="1:1" ht="14.4">
      <c r="A5950" s="11"/>
    </row>
    <row r="5951" spans="1:1" ht="14.4">
      <c r="A5951" s="11"/>
    </row>
    <row r="5952" spans="1:1" ht="14.4">
      <c r="A5952" s="11"/>
    </row>
    <row r="5953" spans="1:1" ht="14.4">
      <c r="A5953" s="11"/>
    </row>
    <row r="5954" spans="1:1" ht="14.4">
      <c r="A5954" s="11"/>
    </row>
    <row r="5955" spans="1:1" ht="14.4">
      <c r="A5955" s="11"/>
    </row>
    <row r="5956" spans="1:1" ht="14.4">
      <c r="A5956" s="11"/>
    </row>
    <row r="5957" spans="1:1" ht="14.4">
      <c r="A5957" s="11"/>
    </row>
    <row r="5958" spans="1:1" ht="14.4">
      <c r="A5958" s="11"/>
    </row>
    <row r="5959" spans="1:1" ht="14.4">
      <c r="A5959" s="11"/>
    </row>
    <row r="5960" spans="1:1" ht="14.4">
      <c r="A5960" s="11"/>
    </row>
    <row r="5961" spans="1:1" ht="14.4">
      <c r="A5961" s="11"/>
    </row>
    <row r="5962" spans="1:1" ht="14.4">
      <c r="A5962" s="11"/>
    </row>
    <row r="5963" spans="1:1" ht="14.4">
      <c r="A5963" s="11"/>
    </row>
    <row r="5964" spans="1:1" ht="14.4">
      <c r="A5964" s="11"/>
    </row>
    <row r="5965" spans="1:1" ht="14.4">
      <c r="A5965" s="11"/>
    </row>
    <row r="5966" spans="1:1" ht="14.4">
      <c r="A5966" s="11"/>
    </row>
    <row r="5967" spans="1:1" ht="14.4">
      <c r="A5967" s="11"/>
    </row>
    <row r="5968" spans="1:1" ht="14.4">
      <c r="A5968" s="11"/>
    </row>
    <row r="5969" spans="1:1" ht="14.4">
      <c r="A5969" s="11"/>
    </row>
    <row r="5970" spans="1:1" ht="14.4">
      <c r="A5970" s="11"/>
    </row>
    <row r="5971" spans="1:1" ht="14.4">
      <c r="A5971" s="11"/>
    </row>
    <row r="5972" spans="1:1" ht="14.4">
      <c r="A5972" s="11"/>
    </row>
    <row r="5973" spans="1:1" ht="14.4">
      <c r="A5973" s="11"/>
    </row>
    <row r="5974" spans="1:1" ht="14.4">
      <c r="A5974" s="11"/>
    </row>
    <row r="5975" spans="1:1" ht="14.4">
      <c r="A5975" s="11"/>
    </row>
    <row r="5976" spans="1:1" ht="14.4">
      <c r="A5976" s="11"/>
    </row>
    <row r="5977" spans="1:1" ht="14.4">
      <c r="A5977" s="11"/>
    </row>
    <row r="5978" spans="1:1" ht="14.4">
      <c r="A5978" s="11"/>
    </row>
    <row r="5979" spans="1:1" ht="14.4">
      <c r="A5979" s="11"/>
    </row>
    <row r="5980" spans="1:1" ht="14.4">
      <c r="A5980" s="11"/>
    </row>
    <row r="5981" spans="1:1" ht="14.4">
      <c r="A5981" s="11"/>
    </row>
    <row r="5982" spans="1:1" ht="14.4">
      <c r="A5982" s="11"/>
    </row>
    <row r="5983" spans="1:1" ht="14.4">
      <c r="A5983" s="11"/>
    </row>
    <row r="5984" spans="1:1" ht="14.4">
      <c r="A5984" s="11"/>
    </row>
    <row r="5985" spans="1:1" ht="14.4">
      <c r="A5985" s="11"/>
    </row>
    <row r="5986" spans="1:1" ht="14.4">
      <c r="A5986" s="11"/>
    </row>
    <row r="5987" spans="1:1" ht="14.4">
      <c r="A5987" s="11"/>
    </row>
    <row r="5988" spans="1:1" ht="14.4">
      <c r="A5988" s="11"/>
    </row>
    <row r="5989" spans="1:1" ht="14.4">
      <c r="A5989" s="11"/>
    </row>
    <row r="5990" spans="1:1" ht="14.4">
      <c r="A5990" s="11"/>
    </row>
    <row r="5991" spans="1:1" ht="14.4">
      <c r="A5991" s="11"/>
    </row>
    <row r="5992" spans="1:1" ht="14.4">
      <c r="A5992" s="11"/>
    </row>
    <row r="5993" spans="1:1" ht="14.4">
      <c r="A5993" s="11"/>
    </row>
    <row r="5994" spans="1:1" ht="14.4">
      <c r="A5994" s="11"/>
    </row>
    <row r="5995" spans="1:1" ht="14.4">
      <c r="A5995" s="11"/>
    </row>
    <row r="5996" spans="1:1" ht="14.4">
      <c r="A5996" s="11"/>
    </row>
    <row r="5997" spans="1:1" ht="14.4">
      <c r="A5997" s="11"/>
    </row>
    <row r="5998" spans="1:1" ht="14.4">
      <c r="A5998" s="11"/>
    </row>
    <row r="5999" spans="1:1" ht="14.4">
      <c r="A5999" s="11"/>
    </row>
    <row r="6000" spans="1:1" ht="14.4">
      <c r="A6000" s="11"/>
    </row>
    <row r="6001" spans="1:1" ht="14.4">
      <c r="A6001" s="11"/>
    </row>
    <row r="6002" spans="1:1" ht="14.4">
      <c r="A6002" s="11"/>
    </row>
    <row r="6003" spans="1:1" ht="14.4">
      <c r="A6003" s="11"/>
    </row>
    <row r="6004" spans="1:1" ht="14.4">
      <c r="A6004" s="11"/>
    </row>
    <row r="6005" spans="1:1" ht="14.4">
      <c r="A6005" s="11"/>
    </row>
    <row r="6006" spans="1:1" ht="14.4">
      <c r="A6006" s="11"/>
    </row>
    <row r="6007" spans="1:1" ht="14.4">
      <c r="A6007" s="11"/>
    </row>
    <row r="6008" spans="1:1" ht="14.4">
      <c r="A6008" s="11"/>
    </row>
    <row r="6009" spans="1:1" ht="14.4">
      <c r="A6009" s="11"/>
    </row>
    <row r="6010" spans="1:1" ht="14.4">
      <c r="A6010" s="11"/>
    </row>
    <row r="6011" spans="1:1" ht="14.4">
      <c r="A6011" s="11"/>
    </row>
    <row r="6012" spans="1:1" ht="14.4">
      <c r="A6012" s="11"/>
    </row>
    <row r="6013" spans="1:1" ht="14.4">
      <c r="A6013" s="11"/>
    </row>
    <row r="6014" spans="1:1" ht="14.4">
      <c r="A6014" s="11"/>
    </row>
    <row r="6015" spans="1:1" ht="14.4">
      <c r="A6015" s="11"/>
    </row>
    <row r="6016" spans="1:1" ht="14.4">
      <c r="A6016" s="11"/>
    </row>
    <row r="6017" spans="1:1" ht="14.4">
      <c r="A6017" s="11"/>
    </row>
    <row r="6018" spans="1:1" ht="14.4">
      <c r="A6018" s="11"/>
    </row>
    <row r="6019" spans="1:1" ht="14.4">
      <c r="A6019" s="11"/>
    </row>
    <row r="6020" spans="1:1" ht="14.4">
      <c r="A6020" s="11"/>
    </row>
    <row r="6021" spans="1:1" ht="14.4">
      <c r="A6021" s="11"/>
    </row>
    <row r="6022" spans="1:1" ht="14.4">
      <c r="A6022" s="11"/>
    </row>
    <row r="6023" spans="1:1" ht="14.4">
      <c r="A6023" s="11"/>
    </row>
    <row r="6024" spans="1:1" ht="14.4">
      <c r="A6024" s="11"/>
    </row>
    <row r="6025" spans="1:1" ht="14.4">
      <c r="A6025" s="11"/>
    </row>
    <row r="6026" spans="1:1" ht="14.4">
      <c r="A6026" s="11"/>
    </row>
    <row r="6027" spans="1:1" ht="14.4">
      <c r="A6027" s="11"/>
    </row>
    <row r="6028" spans="1:1" ht="14.4">
      <c r="A6028" s="11"/>
    </row>
    <row r="6029" spans="1:1" ht="14.4">
      <c r="A6029" s="11"/>
    </row>
    <row r="6030" spans="1:1" ht="14.4">
      <c r="A6030" s="11"/>
    </row>
    <row r="6031" spans="1:1" ht="14.4">
      <c r="A6031" s="11"/>
    </row>
    <row r="6032" spans="1:1" ht="14.4">
      <c r="A6032" s="11"/>
    </row>
    <row r="6033" spans="1:1" ht="14.4">
      <c r="A6033" s="11"/>
    </row>
    <row r="6034" spans="1:1" ht="14.4">
      <c r="A6034" s="11"/>
    </row>
    <row r="6035" spans="1:1" ht="14.4">
      <c r="A6035" s="11"/>
    </row>
    <row r="6036" spans="1:1" ht="14.4">
      <c r="A6036" s="11"/>
    </row>
    <row r="6037" spans="1:1" ht="14.4">
      <c r="A6037" s="11"/>
    </row>
    <row r="6038" spans="1:1" ht="14.4">
      <c r="A6038" s="11"/>
    </row>
    <row r="6039" spans="1:1" ht="14.4">
      <c r="A6039" s="11"/>
    </row>
    <row r="6040" spans="1:1" ht="14.4">
      <c r="A6040" s="11"/>
    </row>
    <row r="6041" spans="1:1" ht="14.4">
      <c r="A6041" s="11"/>
    </row>
    <row r="6042" spans="1:1" ht="14.4">
      <c r="A6042" s="11"/>
    </row>
    <row r="6043" spans="1:1" ht="14.4">
      <c r="A6043" s="11"/>
    </row>
    <row r="6044" spans="1:1" ht="14.4">
      <c r="A6044" s="11"/>
    </row>
    <row r="6045" spans="1:1" ht="14.4">
      <c r="A6045" s="11"/>
    </row>
    <row r="6046" spans="1:1" ht="14.4">
      <c r="A6046" s="11"/>
    </row>
    <row r="6047" spans="1:1" ht="14.4">
      <c r="A6047" s="11"/>
    </row>
    <row r="6048" spans="1:1" ht="14.4">
      <c r="A6048" s="11"/>
    </row>
    <row r="6049" spans="1:1" ht="14.4">
      <c r="A6049" s="11"/>
    </row>
    <row r="6050" spans="1:1" ht="14.4">
      <c r="A6050" s="11"/>
    </row>
    <row r="6051" spans="1:1" ht="14.4">
      <c r="A6051" s="11"/>
    </row>
    <row r="6052" spans="1:1" ht="14.4">
      <c r="A6052" s="11"/>
    </row>
    <row r="6053" spans="1:1" ht="14.4">
      <c r="A6053" s="11"/>
    </row>
    <row r="6054" spans="1:1" ht="14.4">
      <c r="A6054" s="11"/>
    </row>
    <row r="6055" spans="1:1" ht="14.4">
      <c r="A6055" s="11"/>
    </row>
    <row r="6056" spans="1:1" ht="14.4">
      <c r="A6056" s="11"/>
    </row>
    <row r="6057" spans="1:1" ht="14.4">
      <c r="A6057" s="11"/>
    </row>
    <row r="6058" spans="1:1" ht="14.4">
      <c r="A6058" s="11"/>
    </row>
    <row r="6059" spans="1:1" ht="14.4">
      <c r="A6059" s="11"/>
    </row>
    <row r="6060" spans="1:1" ht="14.4">
      <c r="A6060" s="11"/>
    </row>
    <row r="6061" spans="1:1" ht="14.4">
      <c r="A6061" s="11"/>
    </row>
    <row r="6062" spans="1:1" ht="14.4">
      <c r="A6062" s="11"/>
    </row>
    <row r="6063" spans="1:1" ht="14.4">
      <c r="A6063" s="11"/>
    </row>
    <row r="6064" spans="1:1" ht="14.4">
      <c r="A6064" s="11"/>
    </row>
    <row r="6065" spans="1:1" ht="14.4">
      <c r="A6065" s="11"/>
    </row>
    <row r="6066" spans="1:1" ht="14.4">
      <c r="A6066" s="11"/>
    </row>
    <row r="6067" spans="1:1" ht="14.4">
      <c r="A6067" s="11"/>
    </row>
    <row r="6068" spans="1:1" ht="14.4">
      <c r="A6068" s="11"/>
    </row>
    <row r="6069" spans="1:1" ht="14.4">
      <c r="A6069" s="11"/>
    </row>
    <row r="6070" spans="1:1" ht="14.4">
      <c r="A6070" s="11"/>
    </row>
    <row r="6071" spans="1:1" ht="14.4">
      <c r="A6071" s="11"/>
    </row>
    <row r="6072" spans="1:1" ht="14.4">
      <c r="A6072" s="11"/>
    </row>
    <row r="6073" spans="1:1" ht="14.4">
      <c r="A6073" s="11"/>
    </row>
    <row r="6074" spans="1:1" ht="14.4">
      <c r="A6074" s="11"/>
    </row>
    <row r="6075" spans="1:1" ht="14.4">
      <c r="A6075" s="11"/>
    </row>
    <row r="6076" spans="1:1" ht="14.4">
      <c r="A6076" s="11"/>
    </row>
    <row r="6077" spans="1:1" ht="14.4">
      <c r="A6077" s="11"/>
    </row>
    <row r="6078" spans="1:1" ht="14.4">
      <c r="A6078" s="11"/>
    </row>
    <row r="6079" spans="1:1" ht="14.4">
      <c r="A6079" s="11"/>
    </row>
    <row r="6080" spans="1:1" ht="14.4">
      <c r="A6080" s="11"/>
    </row>
    <row r="6081" spans="1:1" ht="14.4">
      <c r="A6081" s="11"/>
    </row>
    <row r="6082" spans="1:1" ht="14.4">
      <c r="A6082" s="11"/>
    </row>
    <row r="6083" spans="1:1" ht="14.4">
      <c r="A6083" s="11"/>
    </row>
    <row r="6084" spans="1:1" ht="14.4">
      <c r="A6084" s="11"/>
    </row>
    <row r="6085" spans="1:1" ht="14.4">
      <c r="A6085" s="11"/>
    </row>
    <row r="6086" spans="1:1" ht="14.4">
      <c r="A6086" s="11"/>
    </row>
    <row r="6087" spans="1:1" ht="14.4">
      <c r="A6087" s="11"/>
    </row>
    <row r="6088" spans="1:1" ht="14.4">
      <c r="A6088" s="11"/>
    </row>
    <row r="6089" spans="1:1" ht="14.4">
      <c r="A6089" s="11"/>
    </row>
    <row r="6090" spans="1:1" ht="14.4">
      <c r="A6090" s="11"/>
    </row>
    <row r="6091" spans="1:1" ht="14.4">
      <c r="A6091" s="11"/>
    </row>
    <row r="6092" spans="1:1" ht="14.4">
      <c r="A6092" s="11"/>
    </row>
    <row r="6093" spans="1:1" ht="14.4">
      <c r="A6093" s="11"/>
    </row>
    <row r="6094" spans="1:1" ht="14.4">
      <c r="A6094" s="11"/>
    </row>
    <row r="6095" spans="1:1" ht="14.4">
      <c r="A6095" s="11"/>
    </row>
    <row r="6096" spans="1:1" ht="14.4">
      <c r="A6096" s="11"/>
    </row>
    <row r="6097" spans="1:1" ht="14.4">
      <c r="A6097" s="11"/>
    </row>
    <row r="6098" spans="1:1" ht="14.4">
      <c r="A6098" s="11"/>
    </row>
    <row r="6099" spans="1:1" ht="14.4">
      <c r="A6099" s="11"/>
    </row>
    <row r="6100" spans="1:1" ht="14.4">
      <c r="A6100" s="11"/>
    </row>
    <row r="6101" spans="1:1" ht="14.4">
      <c r="A6101" s="11"/>
    </row>
    <row r="6102" spans="1:1" ht="14.4">
      <c r="A6102" s="11"/>
    </row>
    <row r="6103" spans="1:1" ht="14.4">
      <c r="A6103" s="11"/>
    </row>
    <row r="6104" spans="1:1" ht="14.4">
      <c r="A6104" s="11"/>
    </row>
    <row r="6105" spans="1:1" ht="14.4">
      <c r="A6105" s="11"/>
    </row>
    <row r="6106" spans="1:1" ht="14.4">
      <c r="A6106" s="11"/>
    </row>
    <row r="6107" spans="1:1" ht="14.4">
      <c r="A6107" s="11"/>
    </row>
    <row r="6108" spans="1:1" ht="14.4">
      <c r="A6108" s="11"/>
    </row>
    <row r="6109" spans="1:1" ht="14.4">
      <c r="A6109" s="11"/>
    </row>
    <row r="6110" spans="1:1" ht="14.4">
      <c r="A6110" s="11"/>
    </row>
    <row r="6111" spans="1:1" ht="14.4">
      <c r="A6111" s="11"/>
    </row>
    <row r="6112" spans="1:1" ht="14.4">
      <c r="A6112" s="11"/>
    </row>
    <row r="6113" spans="1:1" ht="14.4">
      <c r="A6113" s="11"/>
    </row>
    <row r="6114" spans="1:1" ht="14.4">
      <c r="A6114" s="11"/>
    </row>
    <row r="6115" spans="1:1" ht="14.4">
      <c r="A6115" s="11"/>
    </row>
    <row r="6116" spans="1:1" ht="14.4">
      <c r="A6116" s="11"/>
    </row>
    <row r="6117" spans="1:1" ht="14.4">
      <c r="A6117" s="11"/>
    </row>
    <row r="6118" spans="1:1" ht="14.4">
      <c r="A6118" s="11"/>
    </row>
    <row r="6119" spans="1:1" ht="14.4">
      <c r="A6119" s="11"/>
    </row>
    <row r="6120" spans="1:1" ht="14.4">
      <c r="A6120" s="11"/>
    </row>
    <row r="6121" spans="1:1" ht="14.4">
      <c r="A6121" s="11"/>
    </row>
    <row r="6122" spans="1:1" ht="14.4">
      <c r="A6122" s="11"/>
    </row>
    <row r="6123" spans="1:1" ht="14.4">
      <c r="A6123" s="11"/>
    </row>
    <row r="6124" spans="1:1" ht="14.4">
      <c r="A6124" s="11"/>
    </row>
    <row r="6125" spans="1:1" ht="14.4">
      <c r="A6125" s="11"/>
    </row>
    <row r="6126" spans="1:1" ht="14.4">
      <c r="A6126" s="11"/>
    </row>
    <row r="6127" spans="1:1" ht="14.4">
      <c r="A6127" s="11"/>
    </row>
    <row r="6128" spans="1:1" ht="14.4">
      <c r="A6128" s="11"/>
    </row>
    <row r="6129" spans="1:1" ht="14.4">
      <c r="A6129" s="11"/>
    </row>
    <row r="6130" spans="1:1" ht="14.4">
      <c r="A6130" s="11"/>
    </row>
    <row r="6131" spans="1:1" ht="14.4">
      <c r="A6131" s="11"/>
    </row>
    <row r="6132" spans="1:1" ht="14.4">
      <c r="A6132" s="11"/>
    </row>
    <row r="6133" spans="1:1" ht="14.4">
      <c r="A6133" s="11"/>
    </row>
    <row r="6134" spans="1:1" ht="14.4">
      <c r="A6134" s="11"/>
    </row>
    <row r="6135" spans="1:1" ht="14.4">
      <c r="A6135" s="11"/>
    </row>
    <row r="6136" spans="1:1" ht="14.4">
      <c r="A6136" s="11"/>
    </row>
    <row r="6137" spans="1:1" ht="14.4">
      <c r="A6137" s="11"/>
    </row>
    <row r="6138" spans="1:1" ht="14.4">
      <c r="A6138" s="11"/>
    </row>
    <row r="6139" spans="1:1" ht="14.4">
      <c r="A6139" s="11"/>
    </row>
    <row r="6140" spans="1:1" ht="14.4">
      <c r="A6140" s="11"/>
    </row>
    <row r="6141" spans="1:1" ht="14.4">
      <c r="A6141" s="11"/>
    </row>
    <row r="6142" spans="1:1" ht="14.4">
      <c r="A6142" s="11"/>
    </row>
    <row r="6143" spans="1:1" ht="14.4">
      <c r="A6143" s="11"/>
    </row>
    <row r="6144" spans="1:1" ht="14.4">
      <c r="A6144" s="11"/>
    </row>
    <row r="6145" spans="1:1" ht="14.4">
      <c r="A6145" s="11"/>
    </row>
    <row r="6146" spans="1:1" ht="14.4">
      <c r="A6146" s="11"/>
    </row>
    <row r="6147" spans="1:1" ht="14.4">
      <c r="A6147" s="11"/>
    </row>
    <row r="6148" spans="1:1" ht="14.4">
      <c r="A6148" s="11"/>
    </row>
    <row r="6149" spans="1:1" ht="14.4">
      <c r="A6149" s="11"/>
    </row>
    <row r="6150" spans="1:1" ht="14.4">
      <c r="A6150" s="11"/>
    </row>
    <row r="6151" spans="1:1" ht="14.4">
      <c r="A6151" s="11"/>
    </row>
    <row r="6152" spans="1:1" ht="14.4">
      <c r="A6152" s="11"/>
    </row>
    <row r="6153" spans="1:1" ht="14.4">
      <c r="A6153" s="11"/>
    </row>
    <row r="6154" spans="1:1" ht="14.4">
      <c r="A6154" s="11"/>
    </row>
    <row r="6155" spans="1:1" ht="14.4">
      <c r="A6155" s="11"/>
    </row>
    <row r="6156" spans="1:1" ht="14.4">
      <c r="A6156" s="11"/>
    </row>
    <row r="6157" spans="1:1" ht="14.4">
      <c r="A6157" s="11"/>
    </row>
    <row r="6158" spans="1:1" ht="14.4">
      <c r="A6158" s="11"/>
    </row>
    <row r="6159" spans="1:1" ht="14.4">
      <c r="A6159" s="11"/>
    </row>
    <row r="6160" spans="1:1" ht="14.4">
      <c r="A6160" s="11"/>
    </row>
    <row r="6161" spans="1:1" ht="14.4">
      <c r="A6161" s="11"/>
    </row>
    <row r="6162" spans="1:1" ht="14.4">
      <c r="A6162" s="11"/>
    </row>
    <row r="6163" spans="1:1" ht="14.4">
      <c r="A6163" s="11"/>
    </row>
    <row r="6164" spans="1:1" ht="14.4">
      <c r="A6164" s="11"/>
    </row>
    <row r="6165" spans="1:1" ht="14.4">
      <c r="A6165" s="11"/>
    </row>
    <row r="6166" spans="1:1" ht="14.4">
      <c r="A6166" s="11"/>
    </row>
    <row r="6167" spans="1:1" ht="14.4">
      <c r="A6167" s="11"/>
    </row>
    <row r="6168" spans="1:1" ht="14.4">
      <c r="A6168" s="11"/>
    </row>
    <row r="6169" spans="1:1" ht="14.4">
      <c r="A6169" s="11"/>
    </row>
    <row r="6170" spans="1:1" ht="14.4">
      <c r="A6170" s="11"/>
    </row>
    <row r="6171" spans="1:1" ht="14.4">
      <c r="A6171" s="11"/>
    </row>
    <row r="6172" spans="1:1" ht="14.4">
      <c r="A6172" s="11"/>
    </row>
    <row r="6173" spans="1:1" ht="14.4">
      <c r="A6173" s="11"/>
    </row>
    <row r="6174" spans="1:1" ht="14.4">
      <c r="A6174" s="11"/>
    </row>
    <row r="6175" spans="1:1" ht="14.4">
      <c r="A6175" s="11"/>
    </row>
    <row r="6176" spans="1:1" ht="14.4">
      <c r="A6176" s="11"/>
    </row>
    <row r="6177" spans="1:1" ht="14.4">
      <c r="A6177" s="11"/>
    </row>
    <row r="6178" spans="1:1" ht="14.4">
      <c r="A6178" s="11"/>
    </row>
    <row r="6179" spans="1:1" ht="14.4">
      <c r="A6179" s="11"/>
    </row>
    <row r="6180" spans="1:1" ht="14.4">
      <c r="A6180" s="11"/>
    </row>
    <row r="6181" spans="1:1" ht="14.4">
      <c r="A6181" s="11"/>
    </row>
    <row r="6182" spans="1:1" ht="14.4">
      <c r="A6182" s="11"/>
    </row>
    <row r="6183" spans="1:1" ht="14.4">
      <c r="A6183" s="11"/>
    </row>
    <row r="6184" spans="1:1" ht="14.4">
      <c r="A6184" s="11"/>
    </row>
    <row r="6185" spans="1:1" ht="14.4">
      <c r="A6185" s="11"/>
    </row>
    <row r="6186" spans="1:1" ht="14.4">
      <c r="A6186" s="11"/>
    </row>
    <row r="6187" spans="1:1" ht="14.4">
      <c r="A6187" s="11"/>
    </row>
    <row r="6188" spans="1:1" ht="14.4">
      <c r="A6188" s="11"/>
    </row>
    <row r="6189" spans="1:1" ht="14.4">
      <c r="A6189" s="11"/>
    </row>
    <row r="6190" spans="1:1" ht="14.4">
      <c r="A6190" s="11"/>
    </row>
    <row r="6191" spans="1:1" ht="14.4">
      <c r="A6191" s="11"/>
    </row>
    <row r="6192" spans="1:1" ht="14.4">
      <c r="A6192" s="11"/>
    </row>
    <row r="6193" spans="1:1" ht="14.4">
      <c r="A6193" s="11"/>
    </row>
    <row r="6194" spans="1:1" ht="14.4">
      <c r="A6194" s="11"/>
    </row>
    <row r="6195" spans="1:1" ht="14.4">
      <c r="A6195" s="11"/>
    </row>
    <row r="6196" spans="1:1" ht="14.4">
      <c r="A6196" s="11"/>
    </row>
    <row r="6197" spans="1:1" ht="14.4">
      <c r="A6197" s="11"/>
    </row>
    <row r="6198" spans="1:1" ht="14.4">
      <c r="A6198" s="11"/>
    </row>
    <row r="6199" spans="1:1" ht="14.4">
      <c r="A6199" s="11"/>
    </row>
    <row r="6200" spans="1:1" ht="14.4">
      <c r="A6200" s="11"/>
    </row>
    <row r="6201" spans="1:1" ht="14.4">
      <c r="A6201" s="11"/>
    </row>
    <row r="6202" spans="1:1" ht="14.4">
      <c r="A6202" s="11"/>
    </row>
    <row r="6203" spans="1:1" ht="14.4">
      <c r="A6203" s="11"/>
    </row>
    <row r="6204" spans="1:1" ht="14.4">
      <c r="A6204" s="11"/>
    </row>
    <row r="6205" spans="1:1" ht="14.4">
      <c r="A6205" s="11"/>
    </row>
    <row r="6206" spans="1:1" ht="14.4">
      <c r="A6206" s="11"/>
    </row>
    <row r="6207" spans="1:1" ht="14.4">
      <c r="A6207" s="11"/>
    </row>
    <row r="6208" spans="1:1" ht="14.4">
      <c r="A6208" s="11"/>
    </row>
    <row r="6209" spans="1:1" ht="14.4">
      <c r="A6209" s="11"/>
    </row>
    <row r="6210" spans="1:1" ht="14.4">
      <c r="A6210" s="11"/>
    </row>
    <row r="6211" spans="1:1" ht="14.4">
      <c r="A6211" s="11"/>
    </row>
    <row r="6212" spans="1:1" ht="14.4">
      <c r="A6212" s="11"/>
    </row>
    <row r="6213" spans="1:1" ht="14.4">
      <c r="A6213" s="11"/>
    </row>
    <row r="6214" spans="1:1" ht="14.4">
      <c r="A6214" s="11"/>
    </row>
    <row r="6215" spans="1:1" ht="14.4">
      <c r="A6215" s="11"/>
    </row>
    <row r="6216" spans="1:1" ht="14.4">
      <c r="A6216" s="11"/>
    </row>
    <row r="6217" spans="1:1" ht="14.4">
      <c r="A6217" s="11"/>
    </row>
    <row r="6218" spans="1:1" ht="14.4">
      <c r="A6218" s="11"/>
    </row>
    <row r="6219" spans="1:1" ht="14.4">
      <c r="A6219" s="11"/>
    </row>
    <row r="6220" spans="1:1" ht="14.4">
      <c r="A6220" s="11"/>
    </row>
    <row r="6221" spans="1:1" ht="14.4">
      <c r="A6221" s="11"/>
    </row>
    <row r="6222" spans="1:1" ht="14.4">
      <c r="A6222" s="11"/>
    </row>
    <row r="6223" spans="1:1" ht="14.4">
      <c r="A6223" s="11"/>
    </row>
    <row r="6224" spans="1:1" ht="14.4">
      <c r="A6224" s="11"/>
    </row>
    <row r="6225" spans="1:1" ht="14.4">
      <c r="A6225" s="11"/>
    </row>
    <row r="6226" spans="1:1" ht="14.4">
      <c r="A6226" s="11"/>
    </row>
    <row r="6227" spans="1:1" ht="14.4">
      <c r="A6227" s="11"/>
    </row>
    <row r="6228" spans="1:1" ht="14.4">
      <c r="A6228" s="11"/>
    </row>
    <row r="6229" spans="1:1" ht="14.4">
      <c r="A6229" s="11"/>
    </row>
    <row r="6230" spans="1:1" ht="14.4">
      <c r="A6230" s="11"/>
    </row>
    <row r="6231" spans="1:1" ht="14.4">
      <c r="A6231" s="11"/>
    </row>
    <row r="6232" spans="1:1" ht="14.4">
      <c r="A6232" s="11"/>
    </row>
    <row r="6233" spans="1:1" ht="14.4">
      <c r="A6233" s="11"/>
    </row>
    <row r="6234" spans="1:1" ht="14.4">
      <c r="A6234" s="11"/>
    </row>
    <row r="6235" spans="1:1" ht="14.4">
      <c r="A6235" s="11"/>
    </row>
    <row r="6236" spans="1:1" ht="14.4">
      <c r="A6236" s="11"/>
    </row>
    <row r="6237" spans="1:1" ht="14.4">
      <c r="A6237" s="11"/>
    </row>
    <row r="6238" spans="1:1" ht="14.4">
      <c r="A6238" s="11"/>
    </row>
    <row r="6239" spans="1:1" ht="14.4">
      <c r="A6239" s="11"/>
    </row>
    <row r="6240" spans="1:1" ht="14.4">
      <c r="A6240" s="11"/>
    </row>
    <row r="6241" spans="1:1" ht="14.4">
      <c r="A6241" s="11"/>
    </row>
    <row r="6242" spans="1:1" ht="14.4">
      <c r="A6242" s="11"/>
    </row>
    <row r="6243" spans="1:1" ht="14.4">
      <c r="A6243" s="11"/>
    </row>
    <row r="6244" spans="1:1" ht="14.4">
      <c r="A6244" s="11"/>
    </row>
    <row r="6245" spans="1:1" ht="14.4">
      <c r="A6245" s="11"/>
    </row>
    <row r="6246" spans="1:1" ht="14.4">
      <c r="A6246" s="11"/>
    </row>
    <row r="6247" spans="1:1" ht="14.4">
      <c r="A6247" s="11"/>
    </row>
    <row r="6248" spans="1:1" ht="14.4">
      <c r="A6248" s="11"/>
    </row>
    <row r="6249" spans="1:1" ht="14.4">
      <c r="A6249" s="11"/>
    </row>
    <row r="6250" spans="1:1" ht="14.4">
      <c r="A6250" s="11"/>
    </row>
    <row r="6251" spans="1:1" ht="14.4">
      <c r="A6251" s="11"/>
    </row>
    <row r="6252" spans="1:1" ht="14.4">
      <c r="A6252" s="11"/>
    </row>
    <row r="6253" spans="1:1" ht="14.4">
      <c r="A6253" s="11"/>
    </row>
    <row r="6254" spans="1:1" ht="14.4">
      <c r="A6254" s="11"/>
    </row>
    <row r="6255" spans="1:1" ht="14.4">
      <c r="A6255" s="11"/>
    </row>
    <row r="6256" spans="1:1" ht="14.4">
      <c r="A6256" s="11"/>
    </row>
    <row r="6257" spans="1:1" ht="14.4">
      <c r="A6257" s="11"/>
    </row>
    <row r="6258" spans="1:1" ht="14.4">
      <c r="A6258" s="11"/>
    </row>
    <row r="6259" spans="1:1" ht="14.4">
      <c r="A6259" s="11"/>
    </row>
    <row r="6260" spans="1:1" ht="14.4">
      <c r="A6260" s="11"/>
    </row>
    <row r="6261" spans="1:1" ht="14.4">
      <c r="A6261" s="11"/>
    </row>
    <row r="6262" spans="1:1" ht="14.4">
      <c r="A6262" s="11"/>
    </row>
    <row r="6263" spans="1:1" ht="14.4">
      <c r="A6263" s="11"/>
    </row>
    <row r="6264" spans="1:1" ht="14.4">
      <c r="A6264" s="11"/>
    </row>
    <row r="6265" spans="1:1" ht="14.4">
      <c r="A6265" s="11"/>
    </row>
    <row r="6266" spans="1:1" ht="14.4">
      <c r="A6266" s="11"/>
    </row>
    <row r="6267" spans="1:1" ht="14.4">
      <c r="A6267" s="11"/>
    </row>
    <row r="6268" spans="1:1" ht="14.4">
      <c r="A6268" s="11"/>
    </row>
    <row r="6269" spans="1:1" ht="14.4">
      <c r="A6269" s="11"/>
    </row>
    <row r="6270" spans="1:1" ht="14.4">
      <c r="A6270" s="11"/>
    </row>
    <row r="6271" spans="1:1" ht="14.4">
      <c r="A6271" s="11"/>
    </row>
    <row r="6272" spans="1:1" ht="14.4">
      <c r="A6272" s="11"/>
    </row>
    <row r="6273" spans="1:1" ht="14.4">
      <c r="A6273" s="11"/>
    </row>
    <row r="6274" spans="1:1" ht="14.4">
      <c r="A6274" s="11"/>
    </row>
    <row r="6275" spans="1:1" ht="14.4">
      <c r="A6275" s="11"/>
    </row>
    <row r="6276" spans="1:1" ht="14.4">
      <c r="A6276" s="11"/>
    </row>
    <row r="6277" spans="1:1" ht="14.4">
      <c r="A6277" s="11"/>
    </row>
    <row r="6278" spans="1:1" ht="14.4">
      <c r="A6278" s="11"/>
    </row>
    <row r="6279" spans="1:1" ht="14.4">
      <c r="A6279" s="11"/>
    </row>
    <row r="6280" spans="1:1" ht="14.4">
      <c r="A6280" s="11"/>
    </row>
    <row r="6281" spans="1:1" ht="14.4">
      <c r="A6281" s="11"/>
    </row>
    <row r="6282" spans="1:1" ht="14.4">
      <c r="A6282" s="11"/>
    </row>
    <row r="6283" spans="1:1" ht="14.4">
      <c r="A6283" s="11"/>
    </row>
    <row r="6284" spans="1:1" ht="14.4">
      <c r="A6284" s="11"/>
    </row>
    <row r="6285" spans="1:1" ht="14.4">
      <c r="A6285" s="11"/>
    </row>
    <row r="6286" spans="1:1" ht="14.4">
      <c r="A6286" s="11"/>
    </row>
    <row r="6287" spans="1:1" ht="14.4">
      <c r="A6287" s="11"/>
    </row>
    <row r="6288" spans="1:1" ht="14.4">
      <c r="A6288" s="11"/>
    </row>
    <row r="6289" spans="1:1" ht="14.4">
      <c r="A6289" s="11"/>
    </row>
    <row r="6290" spans="1:1" ht="14.4">
      <c r="A6290" s="11"/>
    </row>
    <row r="6291" spans="1:1" ht="14.4">
      <c r="A6291" s="11"/>
    </row>
    <row r="6292" spans="1:1" ht="14.4">
      <c r="A6292" s="11"/>
    </row>
    <row r="6293" spans="1:1" ht="14.4">
      <c r="A6293" s="11"/>
    </row>
    <row r="6294" spans="1:1" ht="14.4">
      <c r="A6294" s="11"/>
    </row>
    <row r="6295" spans="1:1" ht="14.4">
      <c r="A6295" s="11"/>
    </row>
    <row r="6296" spans="1:1" ht="14.4">
      <c r="A6296" s="11"/>
    </row>
    <row r="6297" spans="1:1" ht="14.4">
      <c r="A6297" s="11"/>
    </row>
    <row r="6298" spans="1:1" ht="14.4">
      <c r="A6298" s="11"/>
    </row>
    <row r="6299" spans="1:1" ht="14.4">
      <c r="A6299" s="11"/>
    </row>
    <row r="6300" spans="1:1" ht="14.4">
      <c r="A6300" s="11"/>
    </row>
    <row r="6301" spans="1:1" ht="14.4">
      <c r="A6301" s="11"/>
    </row>
    <row r="6302" spans="1:1" ht="14.4">
      <c r="A6302" s="11"/>
    </row>
    <row r="6303" spans="1:1" ht="14.4">
      <c r="A6303" s="11"/>
    </row>
    <row r="6304" spans="1:1" ht="14.4">
      <c r="A6304" s="11"/>
    </row>
    <row r="6305" spans="1:1" ht="14.4">
      <c r="A6305" s="11"/>
    </row>
    <row r="6306" spans="1:1" ht="14.4">
      <c r="A6306" s="11"/>
    </row>
    <row r="6307" spans="1:1" ht="14.4">
      <c r="A6307" s="11"/>
    </row>
    <row r="6308" spans="1:1" ht="14.4">
      <c r="A6308" s="11"/>
    </row>
    <row r="6309" spans="1:1" ht="14.4">
      <c r="A6309" s="11"/>
    </row>
    <row r="6310" spans="1:1" ht="14.4">
      <c r="A6310" s="11"/>
    </row>
    <row r="6311" spans="1:1" ht="14.4">
      <c r="A6311" s="11"/>
    </row>
    <row r="6312" spans="1:1" ht="14.4">
      <c r="A6312" s="11"/>
    </row>
    <row r="6313" spans="1:1" ht="14.4">
      <c r="A6313" s="11"/>
    </row>
    <row r="6314" spans="1:1" ht="14.4">
      <c r="A6314" s="11"/>
    </row>
    <row r="6315" spans="1:1" ht="14.4">
      <c r="A6315" s="11"/>
    </row>
    <row r="6316" spans="1:1" ht="14.4">
      <c r="A6316" s="11"/>
    </row>
    <row r="6317" spans="1:1" ht="14.4">
      <c r="A6317" s="11"/>
    </row>
    <row r="6318" spans="1:1" ht="14.4">
      <c r="A6318" s="11"/>
    </row>
    <row r="6319" spans="1:1" ht="14.4">
      <c r="A6319" s="11"/>
    </row>
    <row r="6320" spans="1:1" ht="14.4">
      <c r="A6320" s="11"/>
    </row>
    <row r="6321" spans="1:1" ht="14.4">
      <c r="A6321" s="11"/>
    </row>
    <row r="6322" spans="1:1" ht="14.4">
      <c r="A6322" s="11"/>
    </row>
    <row r="6323" spans="1:1" ht="14.4">
      <c r="A6323" s="11"/>
    </row>
    <row r="6324" spans="1:1" ht="14.4">
      <c r="A6324" s="11"/>
    </row>
    <row r="6325" spans="1:1" ht="14.4">
      <c r="A6325" s="11"/>
    </row>
    <row r="6326" spans="1:1" ht="14.4">
      <c r="A6326" s="11"/>
    </row>
    <row r="6327" spans="1:1" ht="14.4">
      <c r="A6327" s="11"/>
    </row>
    <row r="6328" spans="1:1" ht="14.4">
      <c r="A6328" s="11"/>
    </row>
    <row r="6329" spans="1:1" ht="14.4">
      <c r="A6329" s="11"/>
    </row>
    <row r="6330" spans="1:1" ht="14.4">
      <c r="A6330" s="11"/>
    </row>
    <row r="6331" spans="1:1" ht="14.4">
      <c r="A6331" s="11"/>
    </row>
    <row r="6332" spans="1:1" ht="14.4">
      <c r="A6332" s="11"/>
    </row>
    <row r="6333" spans="1:1" ht="14.4">
      <c r="A6333" s="11"/>
    </row>
    <row r="6334" spans="1:1" ht="14.4">
      <c r="A6334" s="11"/>
    </row>
    <row r="6335" spans="1:1" ht="14.4">
      <c r="A6335" s="11"/>
    </row>
    <row r="6336" spans="1:1" ht="14.4">
      <c r="A6336" s="11"/>
    </row>
    <row r="6337" spans="1:1" ht="14.4">
      <c r="A6337" s="11"/>
    </row>
    <row r="6338" spans="1:1" ht="14.4">
      <c r="A6338" s="11"/>
    </row>
    <row r="6339" spans="1:1" ht="14.4">
      <c r="A6339" s="11"/>
    </row>
    <row r="6340" spans="1:1" ht="14.4">
      <c r="A6340" s="11"/>
    </row>
    <row r="6341" spans="1:1" ht="14.4">
      <c r="A6341" s="11"/>
    </row>
    <row r="6342" spans="1:1" ht="14.4">
      <c r="A6342" s="11"/>
    </row>
    <row r="6343" spans="1:1" ht="14.4">
      <c r="A6343" s="11"/>
    </row>
    <row r="6344" spans="1:1" ht="14.4">
      <c r="A6344" s="11"/>
    </row>
    <row r="6345" spans="1:1" ht="14.4">
      <c r="A6345" s="11"/>
    </row>
    <row r="6346" spans="1:1" ht="14.4">
      <c r="A6346" s="11"/>
    </row>
    <row r="6347" spans="1:1" ht="14.4">
      <c r="A6347" s="11"/>
    </row>
    <row r="6348" spans="1:1" ht="14.4">
      <c r="A6348" s="11"/>
    </row>
    <row r="6349" spans="1:1" ht="14.4">
      <c r="A6349" s="11"/>
    </row>
    <row r="6350" spans="1:1" ht="14.4">
      <c r="A6350" s="11"/>
    </row>
    <row r="6351" spans="1:1" ht="14.4">
      <c r="A6351" s="11"/>
    </row>
    <row r="6352" spans="1:1" ht="14.4">
      <c r="A6352" s="11"/>
    </row>
    <row r="6353" spans="1:1" ht="14.4">
      <c r="A6353" s="11"/>
    </row>
    <row r="6354" spans="1:1" ht="14.4">
      <c r="A6354" s="11"/>
    </row>
    <row r="6355" spans="1:1" ht="14.4">
      <c r="A6355" s="11"/>
    </row>
    <row r="6356" spans="1:1" ht="14.4">
      <c r="A6356" s="11"/>
    </row>
    <row r="6357" spans="1:1" ht="14.4">
      <c r="A6357" s="11"/>
    </row>
    <row r="6358" spans="1:1" ht="14.4">
      <c r="A6358" s="11"/>
    </row>
    <row r="6359" spans="1:1" ht="14.4">
      <c r="A6359" s="11"/>
    </row>
    <row r="6360" spans="1:1" ht="14.4">
      <c r="A6360" s="11"/>
    </row>
    <row r="6361" spans="1:1" ht="14.4">
      <c r="A6361" s="11"/>
    </row>
    <row r="6362" spans="1:1" ht="14.4">
      <c r="A6362" s="11"/>
    </row>
    <row r="6363" spans="1:1" ht="14.4">
      <c r="A6363" s="11"/>
    </row>
    <row r="6364" spans="1:1" ht="14.4">
      <c r="A6364" s="11"/>
    </row>
    <row r="6365" spans="1:1" ht="14.4">
      <c r="A6365" s="11"/>
    </row>
    <row r="6366" spans="1:1" ht="14.4">
      <c r="A6366" s="11"/>
    </row>
    <row r="6367" spans="1:1" ht="14.4">
      <c r="A6367" s="11"/>
    </row>
    <row r="6368" spans="1:1" ht="14.4">
      <c r="A6368" s="11"/>
    </row>
    <row r="6369" spans="1:1" ht="14.4">
      <c r="A6369" s="11"/>
    </row>
    <row r="6370" spans="1:1" ht="14.4">
      <c r="A6370" s="11"/>
    </row>
    <row r="6371" spans="1:1" ht="14.4">
      <c r="A6371" s="11"/>
    </row>
    <row r="6372" spans="1:1" ht="14.4">
      <c r="A6372" s="11"/>
    </row>
    <row r="6373" spans="1:1" ht="14.4">
      <c r="A6373" s="11"/>
    </row>
    <row r="6374" spans="1:1" ht="14.4">
      <c r="A6374" s="11"/>
    </row>
    <row r="6375" spans="1:1" ht="14.4">
      <c r="A6375" s="11"/>
    </row>
    <row r="6376" spans="1:1" ht="14.4">
      <c r="A6376" s="11"/>
    </row>
    <row r="6377" spans="1:1" ht="14.4">
      <c r="A6377" s="11"/>
    </row>
    <row r="6378" spans="1:1" ht="14.4">
      <c r="A6378" s="11"/>
    </row>
    <row r="6379" spans="1:1" ht="14.4">
      <c r="A6379" s="11"/>
    </row>
    <row r="6380" spans="1:1" ht="14.4">
      <c r="A6380" s="11"/>
    </row>
    <row r="6381" spans="1:1" ht="14.4">
      <c r="A6381" s="11"/>
    </row>
    <row r="6382" spans="1:1" ht="14.4">
      <c r="A6382" s="11"/>
    </row>
    <row r="6383" spans="1:1" ht="14.4">
      <c r="A6383" s="11"/>
    </row>
    <row r="6384" spans="1:1" ht="14.4">
      <c r="A6384" s="11"/>
    </row>
    <row r="6385" spans="1:1" ht="14.4">
      <c r="A6385" s="11"/>
    </row>
    <row r="6386" spans="1:1" ht="14.4">
      <c r="A6386" s="11"/>
    </row>
    <row r="6387" spans="1:1" ht="14.4">
      <c r="A6387" s="11"/>
    </row>
    <row r="6388" spans="1:1" ht="14.4">
      <c r="A6388" s="11"/>
    </row>
    <row r="6389" spans="1:1" ht="14.4">
      <c r="A6389" s="11"/>
    </row>
    <row r="6390" spans="1:1" ht="14.4">
      <c r="A6390" s="11"/>
    </row>
    <row r="6391" spans="1:1" ht="14.4">
      <c r="A6391" s="11"/>
    </row>
    <row r="6392" spans="1:1" ht="14.4">
      <c r="A6392" s="11"/>
    </row>
    <row r="6393" spans="1:1" ht="14.4">
      <c r="A6393" s="11"/>
    </row>
    <row r="6394" spans="1:1" ht="14.4">
      <c r="A6394" s="11"/>
    </row>
    <row r="6395" spans="1:1" ht="14.4">
      <c r="A6395" s="11"/>
    </row>
    <row r="6396" spans="1:1" ht="14.4">
      <c r="A6396" s="11"/>
    </row>
    <row r="6397" spans="1:1" ht="14.4">
      <c r="A6397" s="11"/>
    </row>
    <row r="6398" spans="1:1" ht="14.4">
      <c r="A6398" s="11"/>
    </row>
    <row r="6399" spans="1:1" ht="14.4">
      <c r="A6399" s="11"/>
    </row>
    <row r="6400" spans="1:1" ht="14.4">
      <c r="A6400" s="11"/>
    </row>
    <row r="6401" spans="1:1" ht="14.4">
      <c r="A6401" s="11"/>
    </row>
    <row r="6402" spans="1:1" ht="14.4">
      <c r="A6402" s="11"/>
    </row>
    <row r="6403" spans="1:1" ht="14.4">
      <c r="A6403" s="11"/>
    </row>
    <row r="6404" spans="1:1" ht="14.4">
      <c r="A6404" s="11"/>
    </row>
    <row r="6405" spans="1:1" ht="14.4">
      <c r="A6405" s="11"/>
    </row>
    <row r="6406" spans="1:1" ht="14.4">
      <c r="A6406" s="11"/>
    </row>
    <row r="6407" spans="1:1" ht="14.4">
      <c r="A6407" s="11"/>
    </row>
    <row r="6408" spans="1:1" ht="14.4">
      <c r="A6408" s="11"/>
    </row>
    <row r="6409" spans="1:1" ht="14.4">
      <c r="A6409" s="11"/>
    </row>
    <row r="6410" spans="1:1" ht="14.4">
      <c r="A6410" s="11"/>
    </row>
    <row r="6411" spans="1:1" ht="14.4">
      <c r="A6411" s="11"/>
    </row>
    <row r="6412" spans="1:1" ht="14.4">
      <c r="A6412" s="11"/>
    </row>
    <row r="6413" spans="1:1" ht="14.4">
      <c r="A6413" s="11"/>
    </row>
    <row r="6414" spans="1:1" ht="14.4">
      <c r="A6414" s="11"/>
    </row>
    <row r="6415" spans="1:1" ht="14.4">
      <c r="A6415" s="11"/>
    </row>
    <row r="6416" spans="1:1" ht="14.4">
      <c r="A6416" s="11"/>
    </row>
    <row r="6417" spans="1:1" ht="14.4">
      <c r="A6417" s="11"/>
    </row>
    <row r="6418" spans="1:1" ht="14.4">
      <c r="A6418" s="11"/>
    </row>
    <row r="6419" spans="1:1" ht="14.4">
      <c r="A6419" s="11"/>
    </row>
    <row r="6420" spans="1:1" ht="14.4">
      <c r="A6420" s="11"/>
    </row>
    <row r="6421" spans="1:1" ht="14.4">
      <c r="A6421" s="11"/>
    </row>
    <row r="6422" spans="1:1" ht="14.4">
      <c r="A6422" s="11"/>
    </row>
    <row r="6423" spans="1:1" ht="14.4">
      <c r="A6423" s="11"/>
    </row>
    <row r="6424" spans="1:1" ht="14.4">
      <c r="A6424" s="11"/>
    </row>
    <row r="6425" spans="1:1" ht="14.4">
      <c r="A6425" s="11"/>
    </row>
    <row r="6426" spans="1:1" ht="14.4">
      <c r="A6426" s="11"/>
    </row>
    <row r="6427" spans="1:1" ht="14.4">
      <c r="A6427" s="11"/>
    </row>
    <row r="6428" spans="1:1" ht="14.4">
      <c r="A6428" s="11"/>
    </row>
    <row r="6429" spans="1:1" ht="14.4">
      <c r="A6429" s="11"/>
    </row>
    <row r="6430" spans="1:1" ht="14.4">
      <c r="A6430" s="11"/>
    </row>
    <row r="6431" spans="1:1" ht="14.4">
      <c r="A6431" s="11"/>
    </row>
    <row r="6432" spans="1:1" ht="14.4">
      <c r="A6432" s="11"/>
    </row>
    <row r="6433" spans="1:1" ht="14.4">
      <c r="A6433" s="11"/>
    </row>
    <row r="6434" spans="1:1" ht="14.4">
      <c r="A6434" s="11"/>
    </row>
    <row r="6435" spans="1:1" ht="14.4">
      <c r="A6435" s="11"/>
    </row>
    <row r="6436" spans="1:1" ht="14.4">
      <c r="A6436" s="11"/>
    </row>
    <row r="6437" spans="1:1" ht="14.4">
      <c r="A6437" s="11"/>
    </row>
    <row r="6438" spans="1:1" ht="14.4">
      <c r="A6438" s="11"/>
    </row>
    <row r="6439" spans="1:1" ht="14.4">
      <c r="A6439" s="11"/>
    </row>
    <row r="6440" spans="1:1" ht="14.4">
      <c r="A6440" s="11"/>
    </row>
    <row r="6441" spans="1:1" ht="14.4">
      <c r="A6441" s="11"/>
    </row>
    <row r="6442" spans="1:1" ht="14.4">
      <c r="A6442" s="11"/>
    </row>
    <row r="6443" spans="1:1" ht="14.4">
      <c r="A6443" s="11"/>
    </row>
    <row r="6444" spans="1:1" ht="14.4">
      <c r="A6444" s="11"/>
    </row>
    <row r="6445" spans="1:1" ht="14.4">
      <c r="A6445" s="11"/>
    </row>
    <row r="6446" spans="1:1" ht="14.4">
      <c r="A6446" s="11"/>
    </row>
    <row r="6447" spans="1:1" ht="14.4">
      <c r="A6447" s="11"/>
    </row>
    <row r="6448" spans="1:1" ht="14.4">
      <c r="A6448" s="11"/>
    </row>
    <row r="6449" spans="1:1" ht="14.4">
      <c r="A6449" s="11"/>
    </row>
    <row r="6450" spans="1:1" ht="14.4">
      <c r="A6450" s="11"/>
    </row>
    <row r="6451" spans="1:1" ht="14.4">
      <c r="A6451" s="11"/>
    </row>
    <row r="6452" spans="1:1" ht="14.4">
      <c r="A6452" s="11"/>
    </row>
    <row r="6453" spans="1:1" ht="14.4">
      <c r="A6453" s="11"/>
    </row>
    <row r="6454" spans="1:1" ht="14.4">
      <c r="A6454" s="11"/>
    </row>
    <row r="6455" spans="1:1" ht="14.4">
      <c r="A6455" s="11"/>
    </row>
    <row r="6456" spans="1:1" ht="14.4">
      <c r="A6456" s="11"/>
    </row>
    <row r="6457" spans="1:1" ht="14.4">
      <c r="A6457" s="11"/>
    </row>
    <row r="6458" spans="1:1" ht="14.4">
      <c r="A6458" s="11"/>
    </row>
    <row r="6459" spans="1:1" ht="14.4">
      <c r="A6459" s="11"/>
    </row>
    <row r="6460" spans="1:1" ht="14.4">
      <c r="A6460" s="11"/>
    </row>
    <row r="6461" spans="1:1" ht="14.4">
      <c r="A6461" s="11"/>
    </row>
    <row r="6462" spans="1:1" ht="14.4">
      <c r="A6462" s="11"/>
    </row>
    <row r="6463" spans="1:1" ht="14.4">
      <c r="A6463" s="11"/>
    </row>
    <row r="6464" spans="1:1" ht="14.4">
      <c r="A6464" s="11"/>
    </row>
    <row r="6465" spans="1:1" ht="14.4">
      <c r="A6465" s="11"/>
    </row>
    <row r="6466" spans="1:1" ht="14.4">
      <c r="A6466" s="11"/>
    </row>
    <row r="6467" spans="1:1" ht="14.4">
      <c r="A6467" s="11"/>
    </row>
    <row r="6468" spans="1:1" ht="14.4">
      <c r="A6468" s="11"/>
    </row>
    <row r="6469" spans="1:1" ht="14.4">
      <c r="A6469" s="11"/>
    </row>
    <row r="6470" spans="1:1" ht="14.4">
      <c r="A6470" s="11"/>
    </row>
    <row r="6471" spans="1:1" ht="14.4">
      <c r="A6471" s="11"/>
    </row>
    <row r="6472" spans="1:1" ht="14.4">
      <c r="A6472" s="11"/>
    </row>
    <row r="6473" spans="1:1" ht="14.4">
      <c r="A6473" s="11"/>
    </row>
    <row r="6474" spans="1:1" ht="14.4">
      <c r="A6474" s="11"/>
    </row>
    <row r="6475" spans="1:1" ht="14.4">
      <c r="A6475" s="11"/>
    </row>
    <row r="6476" spans="1:1" ht="14.4">
      <c r="A6476" s="11"/>
    </row>
    <row r="6477" spans="1:1" ht="14.4">
      <c r="A6477" s="11"/>
    </row>
    <row r="6478" spans="1:1" ht="14.4">
      <c r="A6478" s="11"/>
    </row>
    <row r="6479" spans="1:1" ht="14.4">
      <c r="A6479" s="11"/>
    </row>
    <row r="6480" spans="1:1" ht="14.4">
      <c r="A6480" s="11"/>
    </row>
    <row r="6481" spans="1:1" ht="14.4">
      <c r="A6481" s="11"/>
    </row>
    <row r="6482" spans="1:1" ht="14.4">
      <c r="A6482" s="11"/>
    </row>
    <row r="6483" spans="1:1" ht="14.4">
      <c r="A6483" s="11"/>
    </row>
    <row r="6484" spans="1:1" ht="14.4">
      <c r="A6484" s="11"/>
    </row>
    <row r="6485" spans="1:1" ht="14.4">
      <c r="A6485" s="11"/>
    </row>
    <row r="6486" spans="1:1" ht="14.4">
      <c r="A6486" s="11"/>
    </row>
    <row r="6487" spans="1:1" ht="14.4">
      <c r="A6487" s="11"/>
    </row>
    <row r="6488" spans="1:1" ht="14.4">
      <c r="A6488" s="11"/>
    </row>
    <row r="6489" spans="1:1" ht="14.4">
      <c r="A6489" s="11"/>
    </row>
    <row r="6490" spans="1:1" ht="14.4">
      <c r="A6490" s="11"/>
    </row>
    <row r="6491" spans="1:1" ht="14.4">
      <c r="A6491" s="11"/>
    </row>
    <row r="6492" spans="1:1" ht="14.4">
      <c r="A6492" s="11"/>
    </row>
    <row r="6493" spans="1:1" ht="14.4">
      <c r="A6493" s="11"/>
    </row>
    <row r="6494" spans="1:1" ht="14.4">
      <c r="A6494" s="11"/>
    </row>
    <row r="6495" spans="1:1" ht="14.4">
      <c r="A6495" s="11"/>
    </row>
    <row r="6496" spans="1:1" ht="14.4">
      <c r="A6496" s="11"/>
    </row>
    <row r="6497" spans="1:1" ht="14.4">
      <c r="A6497" s="11"/>
    </row>
    <row r="6498" spans="1:1" ht="14.4">
      <c r="A6498" s="11"/>
    </row>
    <row r="6499" spans="1:1" ht="14.4">
      <c r="A6499" s="11"/>
    </row>
    <row r="6500" spans="1:1" ht="14.4">
      <c r="A6500" s="11"/>
    </row>
    <row r="6501" spans="1:1" ht="14.4">
      <c r="A6501" s="11"/>
    </row>
    <row r="6502" spans="1:1" ht="14.4">
      <c r="A6502" s="11"/>
    </row>
    <row r="6503" spans="1:1" ht="14.4">
      <c r="A6503" s="11"/>
    </row>
    <row r="6504" spans="1:1" ht="14.4">
      <c r="A6504" s="11"/>
    </row>
    <row r="6505" spans="1:1" ht="14.4">
      <c r="A6505" s="11"/>
    </row>
    <row r="6506" spans="1:1" ht="14.4">
      <c r="A6506" s="11"/>
    </row>
    <row r="6507" spans="1:1" ht="14.4">
      <c r="A6507" s="11"/>
    </row>
    <row r="6508" spans="1:1" ht="14.4">
      <c r="A6508" s="11"/>
    </row>
    <row r="6509" spans="1:1" ht="14.4">
      <c r="A6509" s="11"/>
    </row>
    <row r="6510" spans="1:1" ht="14.4">
      <c r="A6510" s="11"/>
    </row>
    <row r="6511" spans="1:1" ht="14.4">
      <c r="A6511" s="11"/>
    </row>
    <row r="6512" spans="1:1" ht="14.4">
      <c r="A6512" s="11"/>
    </row>
    <row r="6513" spans="1:1" ht="14.4">
      <c r="A6513" s="11"/>
    </row>
    <row r="6514" spans="1:1" ht="14.4">
      <c r="A6514" s="11"/>
    </row>
    <row r="6515" spans="1:1" ht="14.4">
      <c r="A6515" s="11"/>
    </row>
    <row r="6516" spans="1:1" ht="14.4">
      <c r="A6516" s="11"/>
    </row>
    <row r="6517" spans="1:1" ht="14.4">
      <c r="A6517" s="11"/>
    </row>
    <row r="6518" spans="1:1" ht="14.4">
      <c r="A6518" s="11"/>
    </row>
    <row r="6519" spans="1:1" ht="14.4">
      <c r="A6519" s="11"/>
    </row>
    <row r="6520" spans="1:1" ht="14.4">
      <c r="A6520" s="11"/>
    </row>
    <row r="6521" spans="1:1" ht="14.4">
      <c r="A6521" s="11"/>
    </row>
    <row r="6522" spans="1:1" ht="14.4">
      <c r="A6522" s="11"/>
    </row>
    <row r="6523" spans="1:1" ht="14.4">
      <c r="A6523" s="11"/>
    </row>
    <row r="6524" spans="1:1" ht="14.4">
      <c r="A6524" s="11"/>
    </row>
    <row r="6525" spans="1:1" ht="14.4">
      <c r="A6525" s="11"/>
    </row>
    <row r="6526" spans="1:1" ht="14.4">
      <c r="A6526" s="11"/>
    </row>
    <row r="6527" spans="1:1" ht="14.4">
      <c r="A6527" s="11"/>
    </row>
    <row r="6528" spans="1:1" ht="14.4">
      <c r="A6528" s="11"/>
    </row>
    <row r="6529" spans="1:1" ht="14.4">
      <c r="A6529" s="11"/>
    </row>
    <row r="6530" spans="1:1" ht="14.4">
      <c r="A6530" s="11"/>
    </row>
    <row r="6531" spans="1:1" ht="14.4">
      <c r="A6531" s="11"/>
    </row>
    <row r="6532" spans="1:1" ht="14.4">
      <c r="A6532" s="11"/>
    </row>
    <row r="6533" spans="1:1" ht="14.4">
      <c r="A6533" s="11"/>
    </row>
    <row r="6534" spans="1:1" ht="14.4">
      <c r="A6534" s="11"/>
    </row>
    <row r="6535" spans="1:1" ht="14.4">
      <c r="A6535" s="11"/>
    </row>
    <row r="6536" spans="1:1" ht="14.4">
      <c r="A6536" s="11"/>
    </row>
    <row r="6537" spans="1:1" ht="14.4">
      <c r="A6537" s="11"/>
    </row>
    <row r="6538" spans="1:1" ht="14.4">
      <c r="A6538" s="11"/>
    </row>
    <row r="6539" spans="1:1" ht="14.4">
      <c r="A6539" s="11"/>
    </row>
    <row r="6540" spans="1:1" ht="14.4">
      <c r="A6540" s="11"/>
    </row>
    <row r="6541" spans="1:1" ht="14.4">
      <c r="A6541" s="11"/>
    </row>
    <row r="6542" spans="1:1" ht="14.4">
      <c r="A6542" s="11"/>
    </row>
    <row r="6543" spans="1:1" ht="14.4">
      <c r="A6543" s="11"/>
    </row>
    <row r="6544" spans="1:1" ht="14.4">
      <c r="A6544" s="11"/>
    </row>
    <row r="6545" spans="1:1" ht="14.4">
      <c r="A6545" s="11"/>
    </row>
    <row r="6546" spans="1:1" ht="14.4">
      <c r="A6546" s="11"/>
    </row>
    <row r="6547" spans="1:1" ht="14.4">
      <c r="A6547" s="11"/>
    </row>
    <row r="6548" spans="1:1" ht="14.4">
      <c r="A6548" s="11"/>
    </row>
    <row r="6549" spans="1:1" ht="14.4">
      <c r="A6549" s="11"/>
    </row>
    <row r="6550" spans="1:1" ht="14.4">
      <c r="A6550" s="11"/>
    </row>
    <row r="6551" spans="1:1" ht="14.4">
      <c r="A6551" s="11"/>
    </row>
    <row r="6552" spans="1:1" ht="14.4">
      <c r="A6552" s="11"/>
    </row>
    <row r="6553" spans="1:1" ht="14.4">
      <c r="A6553" s="11"/>
    </row>
    <row r="6554" spans="1:1" ht="14.4">
      <c r="A6554" s="11"/>
    </row>
    <row r="6555" spans="1:1" ht="14.4">
      <c r="A6555" s="11"/>
    </row>
    <row r="6556" spans="1:1" ht="14.4">
      <c r="A6556" s="11"/>
    </row>
    <row r="6557" spans="1:1" ht="14.4">
      <c r="A6557" s="11"/>
    </row>
    <row r="6558" spans="1:1" ht="14.4">
      <c r="A6558" s="11"/>
    </row>
    <row r="6559" spans="1:1" ht="14.4">
      <c r="A6559" s="11"/>
    </row>
    <row r="6560" spans="1:1" ht="14.4">
      <c r="A6560" s="11"/>
    </row>
    <row r="6561" spans="1:1" ht="14.4">
      <c r="A6561" s="11"/>
    </row>
    <row r="6562" spans="1:1" ht="14.4">
      <c r="A6562" s="11"/>
    </row>
    <row r="6563" spans="1:1" ht="14.4">
      <c r="A6563" s="11"/>
    </row>
    <row r="6564" spans="1:1" ht="14.4">
      <c r="A6564" s="11"/>
    </row>
    <row r="6565" spans="1:1" ht="14.4">
      <c r="A6565" s="11"/>
    </row>
    <row r="6566" spans="1:1" ht="14.4">
      <c r="A6566" s="11"/>
    </row>
    <row r="6567" spans="1:1" ht="14.4">
      <c r="A6567" s="11"/>
    </row>
    <row r="6568" spans="1:1" ht="14.4">
      <c r="A6568" s="11"/>
    </row>
    <row r="6569" spans="1:1" ht="14.4">
      <c r="A6569" s="11"/>
    </row>
    <row r="6570" spans="1:1" ht="14.4">
      <c r="A6570" s="11"/>
    </row>
    <row r="6571" spans="1:1" ht="14.4">
      <c r="A6571" s="11"/>
    </row>
    <row r="6572" spans="1:1" ht="14.4">
      <c r="A6572" s="11"/>
    </row>
    <row r="6573" spans="1:1" ht="14.4">
      <c r="A6573" s="11"/>
    </row>
    <row r="6574" spans="1:1" ht="14.4">
      <c r="A6574" s="11"/>
    </row>
    <row r="6575" spans="1:1" ht="14.4">
      <c r="A6575" s="11"/>
    </row>
    <row r="6576" spans="1:1" ht="14.4">
      <c r="A6576" s="11"/>
    </row>
    <row r="6577" spans="1:1" ht="14.4">
      <c r="A6577" s="11"/>
    </row>
    <row r="6578" spans="1:1" ht="14.4">
      <c r="A6578" s="11"/>
    </row>
    <row r="6579" spans="1:1" ht="14.4">
      <c r="A6579" s="11"/>
    </row>
    <row r="6580" spans="1:1" ht="14.4">
      <c r="A6580" s="11"/>
    </row>
    <row r="6581" spans="1:1" ht="14.4">
      <c r="A6581" s="11"/>
    </row>
    <row r="6582" spans="1:1" ht="14.4">
      <c r="A6582" s="11"/>
    </row>
    <row r="6583" spans="1:1" ht="14.4">
      <c r="A6583" s="11"/>
    </row>
    <row r="6584" spans="1:1" ht="14.4">
      <c r="A6584" s="11"/>
    </row>
    <row r="6585" spans="1:1" ht="14.4">
      <c r="A6585" s="11"/>
    </row>
    <row r="6586" spans="1:1" ht="14.4">
      <c r="A6586" s="11"/>
    </row>
    <row r="6587" spans="1:1" ht="14.4">
      <c r="A6587" s="11"/>
    </row>
    <row r="6588" spans="1:1" ht="14.4">
      <c r="A6588" s="11"/>
    </row>
    <row r="6589" spans="1:1" ht="14.4">
      <c r="A6589" s="11"/>
    </row>
    <row r="6590" spans="1:1" ht="14.4">
      <c r="A6590" s="11"/>
    </row>
    <row r="6591" spans="1:1" ht="14.4">
      <c r="A6591" s="11"/>
    </row>
    <row r="6592" spans="1:1" ht="14.4">
      <c r="A6592" s="11"/>
    </row>
    <row r="6593" spans="1:1" ht="14.4">
      <c r="A6593" s="11"/>
    </row>
    <row r="6594" spans="1:1" ht="14.4">
      <c r="A6594" s="11"/>
    </row>
    <row r="6595" spans="1:1" ht="14.4">
      <c r="A6595" s="11"/>
    </row>
    <row r="6596" spans="1:1" ht="14.4">
      <c r="A6596" s="11"/>
    </row>
    <row r="6597" spans="1:1" ht="14.4">
      <c r="A6597" s="11"/>
    </row>
    <row r="6598" spans="1:1" ht="14.4">
      <c r="A6598" s="11"/>
    </row>
    <row r="6599" spans="1:1" ht="14.4">
      <c r="A6599" s="11"/>
    </row>
    <row r="6600" spans="1:1" ht="14.4">
      <c r="A6600" s="11"/>
    </row>
    <row r="6601" spans="1:1" ht="14.4">
      <c r="A6601" s="11"/>
    </row>
    <row r="6602" spans="1:1" ht="14.4">
      <c r="A6602" s="11"/>
    </row>
    <row r="6603" spans="1:1" ht="14.4">
      <c r="A6603" s="11"/>
    </row>
    <row r="6604" spans="1:1" ht="14.4">
      <c r="A6604" s="11"/>
    </row>
    <row r="6605" spans="1:1" ht="14.4">
      <c r="A6605" s="11"/>
    </row>
    <row r="6606" spans="1:1" ht="14.4">
      <c r="A6606" s="11"/>
    </row>
    <row r="6607" spans="1:1" ht="14.4">
      <c r="A6607" s="11"/>
    </row>
    <row r="6608" spans="1:1" ht="14.4">
      <c r="A6608" s="11"/>
    </row>
    <row r="6609" spans="1:1" ht="14.4">
      <c r="A6609" s="11"/>
    </row>
    <row r="6610" spans="1:1" ht="14.4">
      <c r="A6610" s="11"/>
    </row>
    <row r="6611" spans="1:1" ht="14.4">
      <c r="A6611" s="11"/>
    </row>
    <row r="6612" spans="1:1" ht="14.4">
      <c r="A6612" s="11"/>
    </row>
    <row r="6613" spans="1:1" ht="14.4">
      <c r="A6613" s="11"/>
    </row>
    <row r="6614" spans="1:1" ht="14.4">
      <c r="A6614" s="11"/>
    </row>
    <row r="6615" spans="1:1" ht="14.4">
      <c r="A6615" s="11"/>
    </row>
    <row r="6616" spans="1:1" ht="14.4">
      <c r="A6616" s="11"/>
    </row>
    <row r="6617" spans="1:1" ht="14.4">
      <c r="A6617" s="11"/>
    </row>
    <row r="6618" spans="1:1" ht="14.4">
      <c r="A6618" s="11"/>
    </row>
    <row r="6619" spans="1:1" ht="14.4">
      <c r="A6619" s="11"/>
    </row>
    <row r="6620" spans="1:1" ht="14.4">
      <c r="A6620" s="11"/>
    </row>
    <row r="6621" spans="1:1" ht="14.4">
      <c r="A6621" s="11"/>
    </row>
    <row r="6622" spans="1:1" ht="14.4">
      <c r="A6622" s="11"/>
    </row>
    <row r="6623" spans="1:1" ht="14.4">
      <c r="A6623" s="11"/>
    </row>
    <row r="6624" spans="1:1" ht="14.4">
      <c r="A6624" s="11"/>
    </row>
    <row r="6625" spans="1:1" ht="14.4">
      <c r="A6625" s="11"/>
    </row>
    <row r="6626" spans="1:1" ht="14.4">
      <c r="A6626" s="11"/>
    </row>
    <row r="6627" spans="1:1" ht="14.4">
      <c r="A6627" s="11"/>
    </row>
    <row r="6628" spans="1:1" ht="14.4">
      <c r="A6628" s="11"/>
    </row>
    <row r="6629" spans="1:1" ht="14.4">
      <c r="A6629" s="11"/>
    </row>
    <row r="6630" spans="1:1" ht="14.4">
      <c r="A6630" s="11"/>
    </row>
    <row r="6631" spans="1:1" ht="14.4">
      <c r="A6631" s="11"/>
    </row>
    <row r="6632" spans="1:1" ht="14.4">
      <c r="A6632" s="11"/>
    </row>
    <row r="6633" spans="1:1" ht="14.4">
      <c r="A6633" s="11"/>
    </row>
    <row r="6634" spans="1:1" ht="14.4">
      <c r="A6634" s="11"/>
    </row>
    <row r="6635" spans="1:1" ht="14.4">
      <c r="A6635" s="11"/>
    </row>
    <row r="6636" spans="1:1" ht="14.4">
      <c r="A6636" s="11"/>
    </row>
    <row r="6637" spans="1:1" ht="14.4">
      <c r="A6637" s="11"/>
    </row>
    <row r="6638" spans="1:1" ht="14.4">
      <c r="A6638" s="11"/>
    </row>
    <row r="6639" spans="1:1" ht="14.4">
      <c r="A6639" s="11"/>
    </row>
    <row r="6640" spans="1:1" ht="14.4">
      <c r="A6640" s="11"/>
    </row>
    <row r="6641" spans="1:1" ht="14.4">
      <c r="A6641" s="11"/>
    </row>
    <row r="6642" spans="1:1" ht="14.4">
      <c r="A6642" s="11"/>
    </row>
    <row r="6643" spans="1:1" ht="14.4">
      <c r="A6643" s="11"/>
    </row>
    <row r="6644" spans="1:1" ht="14.4">
      <c r="A6644" s="11"/>
    </row>
    <row r="6645" spans="1:1" ht="14.4">
      <c r="A6645" s="11"/>
    </row>
    <row r="6646" spans="1:1" ht="14.4">
      <c r="A6646" s="11"/>
    </row>
    <row r="6647" spans="1:1" ht="14.4">
      <c r="A6647" s="11"/>
    </row>
    <row r="6648" spans="1:1" ht="14.4">
      <c r="A6648" s="11"/>
    </row>
    <row r="6649" spans="1:1" ht="14.4">
      <c r="A6649" s="11"/>
    </row>
    <row r="6650" spans="1:1" ht="14.4">
      <c r="A6650" s="11"/>
    </row>
    <row r="6651" spans="1:1" ht="14.4">
      <c r="A6651" s="11"/>
    </row>
    <row r="6652" spans="1:1" ht="14.4">
      <c r="A6652" s="11"/>
    </row>
    <row r="6653" spans="1:1" ht="14.4">
      <c r="A6653" s="11"/>
    </row>
    <row r="6654" spans="1:1" ht="14.4">
      <c r="A6654" s="11"/>
    </row>
    <row r="6655" spans="1:1" ht="14.4">
      <c r="A6655" s="11"/>
    </row>
    <row r="6656" spans="1:1" ht="14.4">
      <c r="A6656" s="11"/>
    </row>
    <row r="6657" spans="1:1" ht="14.4">
      <c r="A6657" s="11"/>
    </row>
    <row r="6658" spans="1:1" ht="14.4">
      <c r="A6658" s="11"/>
    </row>
    <row r="6659" spans="1:1" ht="14.4">
      <c r="A6659" s="11"/>
    </row>
    <row r="6660" spans="1:1" ht="14.4">
      <c r="A6660" s="11"/>
    </row>
    <row r="6661" spans="1:1" ht="14.4">
      <c r="A6661" s="11"/>
    </row>
    <row r="6662" spans="1:1" ht="14.4">
      <c r="A6662" s="11"/>
    </row>
    <row r="6663" spans="1:1" ht="14.4">
      <c r="A6663" s="11"/>
    </row>
    <row r="6664" spans="1:1" ht="14.4">
      <c r="A6664" s="11"/>
    </row>
    <row r="6665" spans="1:1" ht="14.4">
      <c r="A6665" s="11"/>
    </row>
    <row r="6666" spans="1:1" ht="14.4">
      <c r="A6666" s="11"/>
    </row>
    <row r="6667" spans="1:1" ht="14.4">
      <c r="A6667" s="11"/>
    </row>
    <row r="6668" spans="1:1" ht="14.4">
      <c r="A6668" s="11"/>
    </row>
    <row r="6669" spans="1:1" ht="14.4">
      <c r="A6669" s="11"/>
    </row>
    <row r="6670" spans="1:1" ht="14.4">
      <c r="A6670" s="11"/>
    </row>
    <row r="6671" spans="1:1" ht="14.4">
      <c r="A6671" s="11"/>
    </row>
    <row r="6672" spans="1:1" ht="14.4">
      <c r="A6672" s="11"/>
    </row>
    <row r="6673" spans="1:1" ht="14.4">
      <c r="A6673" s="11"/>
    </row>
    <row r="6674" spans="1:1" ht="14.4">
      <c r="A6674" s="11"/>
    </row>
    <row r="6675" spans="1:1" ht="14.4">
      <c r="A6675" s="11"/>
    </row>
    <row r="6676" spans="1:1" ht="14.4">
      <c r="A6676" s="11"/>
    </row>
    <row r="6677" spans="1:1" ht="14.4">
      <c r="A6677" s="11"/>
    </row>
    <row r="6678" spans="1:1" ht="14.4">
      <c r="A6678" s="11"/>
    </row>
    <row r="6679" spans="1:1" ht="14.4">
      <c r="A6679" s="11"/>
    </row>
    <row r="6680" spans="1:1" ht="14.4">
      <c r="A6680" s="11"/>
    </row>
    <row r="6681" spans="1:1" ht="14.4">
      <c r="A6681" s="11"/>
    </row>
    <row r="6682" spans="1:1" ht="14.4">
      <c r="A6682" s="11"/>
    </row>
    <row r="6683" spans="1:1" ht="14.4">
      <c r="A6683" s="11"/>
    </row>
    <row r="6684" spans="1:1" ht="14.4">
      <c r="A6684" s="11"/>
    </row>
    <row r="6685" spans="1:1" ht="14.4">
      <c r="A6685" s="11"/>
    </row>
    <row r="6686" spans="1:1" ht="14.4">
      <c r="A6686" s="11"/>
    </row>
    <row r="6687" spans="1:1" ht="14.4">
      <c r="A6687" s="11"/>
    </row>
    <row r="6688" spans="1:1" ht="14.4">
      <c r="A6688" s="11"/>
    </row>
    <row r="6689" spans="1:1" ht="14.4">
      <c r="A6689" s="11"/>
    </row>
    <row r="6690" spans="1:1" ht="14.4">
      <c r="A6690" s="11"/>
    </row>
    <row r="6691" spans="1:1" ht="14.4">
      <c r="A6691" s="11"/>
    </row>
    <row r="6692" spans="1:1" ht="14.4">
      <c r="A6692" s="11"/>
    </row>
    <row r="6693" spans="1:1" ht="14.4">
      <c r="A6693" s="11"/>
    </row>
    <row r="6694" spans="1:1" ht="14.4">
      <c r="A6694" s="11"/>
    </row>
    <row r="6695" spans="1:1" ht="14.4">
      <c r="A6695" s="11"/>
    </row>
    <row r="6696" spans="1:1" ht="14.4">
      <c r="A6696" s="11"/>
    </row>
    <row r="6697" spans="1:1" ht="14.4">
      <c r="A6697" s="11"/>
    </row>
    <row r="6698" spans="1:1" ht="14.4">
      <c r="A6698" s="11"/>
    </row>
    <row r="6699" spans="1:1" ht="14.4">
      <c r="A6699" s="11"/>
    </row>
    <row r="6700" spans="1:1" ht="14.4">
      <c r="A6700" s="11"/>
    </row>
    <row r="6701" spans="1:1" ht="14.4">
      <c r="A6701" s="11"/>
    </row>
    <row r="6702" spans="1:1" ht="14.4">
      <c r="A6702" s="11"/>
    </row>
    <row r="6703" spans="1:1" ht="14.4">
      <c r="A6703" s="11"/>
    </row>
    <row r="6704" spans="1:1" ht="14.4">
      <c r="A6704" s="11"/>
    </row>
    <row r="6705" spans="1:1" ht="14.4">
      <c r="A6705" s="11"/>
    </row>
    <row r="6706" spans="1:1" ht="14.4">
      <c r="A6706" s="11"/>
    </row>
    <row r="6707" spans="1:1" ht="14.4">
      <c r="A6707" s="11"/>
    </row>
    <row r="6708" spans="1:1" ht="14.4">
      <c r="A6708" s="11"/>
    </row>
    <row r="6709" spans="1:1" ht="14.4">
      <c r="A6709" s="11"/>
    </row>
    <row r="6710" spans="1:1" ht="14.4">
      <c r="A6710" s="11"/>
    </row>
    <row r="6711" spans="1:1" ht="14.4">
      <c r="A6711" s="11"/>
    </row>
    <row r="6712" spans="1:1" ht="14.4">
      <c r="A6712" s="11"/>
    </row>
    <row r="6713" spans="1:1" ht="14.4">
      <c r="A6713" s="11"/>
    </row>
    <row r="6714" spans="1:1" ht="14.4">
      <c r="A6714" s="11"/>
    </row>
    <row r="6715" spans="1:1" ht="14.4">
      <c r="A6715" s="11"/>
    </row>
    <row r="6716" spans="1:1" ht="14.4">
      <c r="A6716" s="11"/>
    </row>
    <row r="6717" spans="1:1" ht="14.4">
      <c r="A6717" s="11"/>
    </row>
    <row r="6718" spans="1:1" ht="14.4">
      <c r="A6718" s="11"/>
    </row>
    <row r="6719" spans="1:1" ht="14.4">
      <c r="A6719" s="11"/>
    </row>
    <row r="6720" spans="1:1" ht="14.4">
      <c r="A6720" s="11"/>
    </row>
    <row r="6721" spans="1:1" ht="14.4">
      <c r="A6721" s="11"/>
    </row>
    <row r="6722" spans="1:1" ht="14.4">
      <c r="A6722" s="11"/>
    </row>
    <row r="6723" spans="1:1" ht="14.4">
      <c r="A6723" s="11"/>
    </row>
    <row r="6724" spans="1:1" ht="14.4">
      <c r="A6724" s="11"/>
    </row>
    <row r="6725" spans="1:1" ht="14.4">
      <c r="A6725" s="11"/>
    </row>
    <row r="6726" spans="1:1" ht="14.4">
      <c r="A6726" s="11"/>
    </row>
    <row r="6727" spans="1:1" ht="14.4">
      <c r="A6727" s="11"/>
    </row>
    <row r="6728" spans="1:1" ht="14.4">
      <c r="A6728" s="11"/>
    </row>
    <row r="6729" spans="1:1" ht="14.4">
      <c r="A6729" s="11"/>
    </row>
    <row r="6730" spans="1:1" ht="14.4">
      <c r="A6730" s="11"/>
    </row>
    <row r="6731" spans="1:1" ht="14.4">
      <c r="A6731" s="11"/>
    </row>
    <row r="6732" spans="1:1" ht="14.4">
      <c r="A6732" s="11"/>
    </row>
    <row r="6733" spans="1:1" ht="14.4">
      <c r="A6733" s="11"/>
    </row>
    <row r="6734" spans="1:1" ht="14.4">
      <c r="A6734" s="11"/>
    </row>
    <row r="6735" spans="1:1" ht="14.4">
      <c r="A6735" s="11"/>
    </row>
    <row r="6736" spans="1:1" ht="14.4">
      <c r="A6736" s="11"/>
    </row>
    <row r="6737" spans="1:1" ht="14.4">
      <c r="A6737" s="11"/>
    </row>
    <row r="6738" spans="1:1" ht="14.4">
      <c r="A6738" s="11"/>
    </row>
    <row r="6739" spans="1:1" ht="14.4">
      <c r="A6739" s="11"/>
    </row>
    <row r="6740" spans="1:1" ht="14.4">
      <c r="A6740" s="11"/>
    </row>
    <row r="6741" spans="1:1" ht="14.4">
      <c r="A6741" s="11"/>
    </row>
    <row r="6742" spans="1:1" ht="14.4">
      <c r="A6742" s="11"/>
    </row>
    <row r="6743" spans="1:1" ht="14.4">
      <c r="A6743" s="11"/>
    </row>
    <row r="6744" spans="1:1" ht="14.4">
      <c r="A6744" s="11"/>
    </row>
    <row r="6745" spans="1:1" ht="14.4">
      <c r="A6745" s="11"/>
    </row>
    <row r="6746" spans="1:1" ht="14.4">
      <c r="A6746" s="11"/>
    </row>
    <row r="6747" spans="1:1" ht="14.4">
      <c r="A6747" s="11"/>
    </row>
    <row r="6748" spans="1:1" ht="14.4">
      <c r="A6748" s="11"/>
    </row>
    <row r="6749" spans="1:1" ht="14.4">
      <c r="A6749" s="11"/>
    </row>
    <row r="6750" spans="1:1" ht="14.4">
      <c r="A6750" s="11"/>
    </row>
    <row r="6751" spans="1:1" ht="14.4">
      <c r="A6751" s="11"/>
    </row>
    <row r="6752" spans="1:1" ht="14.4">
      <c r="A6752" s="11"/>
    </row>
    <row r="6753" spans="1:1" ht="14.4">
      <c r="A6753" s="11"/>
    </row>
    <row r="6754" spans="1:1" ht="14.4">
      <c r="A6754" s="11"/>
    </row>
    <row r="6755" spans="1:1" ht="14.4">
      <c r="A6755" s="11"/>
    </row>
    <row r="6756" spans="1:1" ht="14.4">
      <c r="A6756" s="11"/>
    </row>
    <row r="6757" spans="1:1" ht="14.4">
      <c r="A6757" s="11"/>
    </row>
    <row r="6758" spans="1:1" ht="14.4">
      <c r="A6758" s="11"/>
    </row>
    <row r="6759" spans="1:1" ht="14.4">
      <c r="A6759" s="11"/>
    </row>
    <row r="6760" spans="1:1" ht="14.4">
      <c r="A6760" s="11"/>
    </row>
    <row r="6761" spans="1:1" ht="14.4">
      <c r="A6761" s="11"/>
    </row>
    <row r="6762" spans="1:1" ht="14.4">
      <c r="A6762" s="11"/>
    </row>
    <row r="6763" spans="1:1" ht="14.4">
      <c r="A6763" s="11"/>
    </row>
    <row r="6764" spans="1:1" ht="14.4">
      <c r="A6764" s="11"/>
    </row>
    <row r="6765" spans="1:1" ht="14.4">
      <c r="A6765" s="11"/>
    </row>
    <row r="6766" spans="1:1" ht="14.4">
      <c r="A6766" s="11"/>
    </row>
    <row r="6767" spans="1:1" ht="14.4">
      <c r="A6767" s="11"/>
    </row>
    <row r="6768" spans="1:1" ht="14.4">
      <c r="A6768" s="11"/>
    </row>
    <row r="6769" spans="1:1" ht="14.4">
      <c r="A6769" s="11"/>
    </row>
    <row r="6770" spans="1:1" ht="14.4">
      <c r="A6770" s="11"/>
    </row>
    <row r="6771" spans="1:1" ht="14.4">
      <c r="A6771" s="11"/>
    </row>
    <row r="6772" spans="1:1" ht="14.4">
      <c r="A6772" s="11"/>
    </row>
    <row r="6773" spans="1:1" ht="14.4">
      <c r="A6773" s="11"/>
    </row>
    <row r="6774" spans="1:1" ht="14.4">
      <c r="A6774" s="11"/>
    </row>
    <row r="6775" spans="1:1" ht="14.4">
      <c r="A6775" s="11"/>
    </row>
    <row r="6776" spans="1:1" ht="14.4">
      <c r="A6776" s="11"/>
    </row>
    <row r="6777" spans="1:1" ht="14.4">
      <c r="A6777" s="11"/>
    </row>
    <row r="6778" spans="1:1" ht="14.4">
      <c r="A6778" s="11"/>
    </row>
    <row r="6779" spans="1:1" ht="14.4">
      <c r="A6779" s="11"/>
    </row>
    <row r="6780" spans="1:1" ht="14.4">
      <c r="A6780" s="11"/>
    </row>
    <row r="6781" spans="1:1" ht="14.4">
      <c r="A6781" s="11"/>
    </row>
    <row r="6782" spans="1:1" ht="14.4">
      <c r="A6782" s="11"/>
    </row>
    <row r="6783" spans="1:1" ht="14.4">
      <c r="A6783" s="11"/>
    </row>
    <row r="6784" spans="1:1" ht="14.4">
      <c r="A6784" s="11"/>
    </row>
    <row r="6785" spans="1:1" ht="14.4">
      <c r="A6785" s="11"/>
    </row>
    <row r="6786" spans="1:1" ht="14.4">
      <c r="A6786" s="11"/>
    </row>
    <row r="6787" spans="1:1" ht="14.4">
      <c r="A6787" s="11"/>
    </row>
    <row r="6788" spans="1:1" ht="14.4">
      <c r="A6788" s="11"/>
    </row>
    <row r="6789" spans="1:1" ht="14.4">
      <c r="A6789" s="11"/>
    </row>
    <row r="6790" spans="1:1" ht="14.4">
      <c r="A6790" s="11"/>
    </row>
    <row r="6791" spans="1:1" ht="14.4">
      <c r="A6791" s="11"/>
    </row>
    <row r="6792" spans="1:1" ht="14.4">
      <c r="A6792" s="11"/>
    </row>
    <row r="6793" spans="1:1" ht="14.4">
      <c r="A6793" s="11"/>
    </row>
    <row r="6794" spans="1:1" ht="14.4">
      <c r="A6794" s="11"/>
    </row>
    <row r="6795" spans="1:1" ht="14.4">
      <c r="A6795" s="11"/>
    </row>
    <row r="6796" spans="1:1" ht="14.4">
      <c r="A6796" s="11"/>
    </row>
    <row r="6797" spans="1:1" ht="14.4">
      <c r="A6797" s="11"/>
    </row>
    <row r="6798" spans="1:1" ht="14.4">
      <c r="A6798" s="11"/>
    </row>
    <row r="6799" spans="1:1" ht="14.4">
      <c r="A6799" s="11"/>
    </row>
    <row r="6800" spans="1:1" ht="14.4">
      <c r="A6800" s="11"/>
    </row>
    <row r="6801" spans="1:1" ht="14.4">
      <c r="A6801" s="11"/>
    </row>
    <row r="6802" spans="1:1" ht="14.4">
      <c r="A6802" s="11"/>
    </row>
    <row r="6803" spans="1:1" ht="14.4">
      <c r="A6803" s="11"/>
    </row>
    <row r="6804" spans="1:1" ht="14.4">
      <c r="A6804" s="11"/>
    </row>
    <row r="6805" spans="1:1" ht="14.4">
      <c r="A6805" s="11"/>
    </row>
    <row r="6806" spans="1:1" ht="14.4">
      <c r="A6806" s="11"/>
    </row>
    <row r="6807" spans="1:1" ht="14.4">
      <c r="A6807" s="11"/>
    </row>
    <row r="6808" spans="1:1" ht="14.4">
      <c r="A6808" s="11"/>
    </row>
    <row r="6809" spans="1:1" ht="14.4">
      <c r="A6809" s="11"/>
    </row>
    <row r="6810" spans="1:1" ht="14.4">
      <c r="A6810" s="11"/>
    </row>
    <row r="6811" spans="1:1" ht="14.4">
      <c r="A6811" s="11"/>
    </row>
    <row r="6812" spans="1:1" ht="14.4">
      <c r="A6812" s="11"/>
    </row>
    <row r="6813" spans="1:1" ht="14.4">
      <c r="A6813" s="11"/>
    </row>
    <row r="6814" spans="1:1" ht="14.4">
      <c r="A6814" s="11"/>
    </row>
    <row r="6815" spans="1:1" ht="14.4">
      <c r="A6815" s="11"/>
    </row>
    <row r="6816" spans="1:1" ht="14.4">
      <c r="A6816" s="11"/>
    </row>
    <row r="6817" spans="1:1" ht="14.4">
      <c r="A6817" s="11"/>
    </row>
    <row r="6818" spans="1:1" ht="14.4">
      <c r="A6818" s="11"/>
    </row>
    <row r="6819" spans="1:1" ht="14.4">
      <c r="A6819" s="11"/>
    </row>
    <row r="6820" spans="1:1" ht="14.4">
      <c r="A6820" s="11"/>
    </row>
    <row r="6821" spans="1:1" ht="14.4">
      <c r="A6821" s="11"/>
    </row>
    <row r="6822" spans="1:1" ht="14.4">
      <c r="A6822" s="11"/>
    </row>
    <row r="6823" spans="1:1" ht="14.4">
      <c r="A6823" s="11"/>
    </row>
    <row r="6824" spans="1:1" ht="14.4">
      <c r="A6824" s="11"/>
    </row>
    <row r="6825" spans="1:1" ht="14.4">
      <c r="A6825" s="11"/>
    </row>
    <row r="6826" spans="1:1" ht="14.4">
      <c r="A6826" s="11"/>
    </row>
    <row r="6827" spans="1:1" ht="14.4">
      <c r="A6827" s="11"/>
    </row>
    <row r="6828" spans="1:1" ht="14.4">
      <c r="A6828" s="11"/>
    </row>
    <row r="6829" spans="1:1" ht="14.4">
      <c r="A6829" s="11"/>
    </row>
    <row r="6830" spans="1:1" ht="14.4">
      <c r="A6830" s="11"/>
    </row>
    <row r="6831" spans="1:1" ht="14.4">
      <c r="A6831" s="11"/>
    </row>
    <row r="6832" spans="1:1" ht="14.4">
      <c r="A6832" s="11"/>
    </row>
    <row r="6833" spans="1:1" ht="14.4">
      <c r="A6833" s="11"/>
    </row>
    <row r="6834" spans="1:1" ht="14.4">
      <c r="A6834" s="11"/>
    </row>
    <row r="6835" spans="1:1" ht="14.4">
      <c r="A6835" s="11"/>
    </row>
    <row r="6836" spans="1:1" ht="14.4">
      <c r="A6836" s="11"/>
    </row>
    <row r="6837" spans="1:1" ht="14.4">
      <c r="A6837" s="11"/>
    </row>
    <row r="6838" spans="1:1" ht="14.4">
      <c r="A6838" s="11"/>
    </row>
    <row r="6839" spans="1:1" ht="14.4">
      <c r="A6839" s="11"/>
    </row>
    <row r="6840" spans="1:1" ht="14.4">
      <c r="A6840" s="11"/>
    </row>
    <row r="6841" spans="1:1" ht="14.4">
      <c r="A6841" s="11"/>
    </row>
    <row r="6842" spans="1:1" ht="14.4">
      <c r="A6842" s="11"/>
    </row>
    <row r="6843" spans="1:1" ht="14.4">
      <c r="A6843" s="11"/>
    </row>
    <row r="6844" spans="1:1" ht="14.4">
      <c r="A6844" s="11"/>
    </row>
    <row r="6845" spans="1:1" ht="14.4">
      <c r="A6845" s="11"/>
    </row>
    <row r="6846" spans="1:1" ht="14.4">
      <c r="A6846" s="11"/>
    </row>
    <row r="6847" spans="1:1" ht="14.4">
      <c r="A6847" s="11"/>
    </row>
    <row r="6848" spans="1:1" ht="14.4">
      <c r="A6848" s="11"/>
    </row>
    <row r="6849" spans="1:1" ht="14.4">
      <c r="A6849" s="11"/>
    </row>
    <row r="6850" spans="1:1" ht="14.4">
      <c r="A6850" s="11"/>
    </row>
    <row r="6851" spans="1:1" ht="14.4">
      <c r="A6851" s="11"/>
    </row>
    <row r="6852" spans="1:1" ht="14.4">
      <c r="A6852" s="11"/>
    </row>
    <row r="6853" spans="1:1" ht="14.4">
      <c r="A6853" s="11"/>
    </row>
    <row r="6854" spans="1:1" ht="14.4">
      <c r="A6854" s="11"/>
    </row>
    <row r="6855" spans="1:1" ht="14.4">
      <c r="A6855" s="11"/>
    </row>
    <row r="6856" spans="1:1" ht="14.4">
      <c r="A6856" s="11"/>
    </row>
    <row r="6857" spans="1:1" ht="14.4">
      <c r="A6857" s="11"/>
    </row>
    <row r="6858" spans="1:1" ht="14.4">
      <c r="A6858" s="11"/>
    </row>
    <row r="6859" spans="1:1" ht="14.4">
      <c r="A6859" s="11"/>
    </row>
    <row r="6860" spans="1:1" ht="14.4">
      <c r="A6860" s="11"/>
    </row>
    <row r="6861" spans="1:1" ht="14.4">
      <c r="A6861" s="11"/>
    </row>
    <row r="6862" spans="1:1" ht="14.4">
      <c r="A6862" s="11"/>
    </row>
    <row r="6863" spans="1:1" ht="14.4">
      <c r="A6863" s="11"/>
    </row>
    <row r="6864" spans="1:1" ht="14.4">
      <c r="A6864" s="11"/>
    </row>
    <row r="6865" spans="1:1" ht="14.4">
      <c r="A6865" s="11"/>
    </row>
    <row r="6866" spans="1:1" ht="14.4">
      <c r="A6866" s="11"/>
    </row>
    <row r="6867" spans="1:1" ht="14.4">
      <c r="A6867" s="11"/>
    </row>
    <row r="6868" spans="1:1" ht="14.4">
      <c r="A6868" s="11"/>
    </row>
    <row r="6869" spans="1:1" ht="14.4">
      <c r="A6869" s="11"/>
    </row>
    <row r="6870" spans="1:1" ht="14.4">
      <c r="A6870" s="11"/>
    </row>
    <row r="6871" spans="1:1" ht="14.4">
      <c r="A6871" s="11"/>
    </row>
    <row r="6872" spans="1:1" ht="14.4">
      <c r="A6872" s="11"/>
    </row>
    <row r="6873" spans="1:1" ht="14.4">
      <c r="A6873" s="11"/>
    </row>
    <row r="6874" spans="1:1" ht="14.4">
      <c r="A6874" s="11"/>
    </row>
    <row r="6875" spans="1:1" ht="14.4">
      <c r="A6875" s="11"/>
    </row>
    <row r="6876" spans="1:1" ht="14.4">
      <c r="A6876" s="11"/>
    </row>
    <row r="6877" spans="1:1" ht="14.4">
      <c r="A6877" s="11"/>
    </row>
    <row r="6878" spans="1:1" ht="14.4">
      <c r="A6878" s="11"/>
    </row>
    <row r="6879" spans="1:1" ht="14.4">
      <c r="A6879" s="11"/>
    </row>
    <row r="6880" spans="1:1" ht="14.4">
      <c r="A6880" s="11"/>
    </row>
    <row r="6881" spans="1:1" ht="14.4">
      <c r="A6881" s="11"/>
    </row>
    <row r="6882" spans="1:1" ht="14.4">
      <c r="A6882" s="11"/>
    </row>
    <row r="6883" spans="1:1" ht="14.4">
      <c r="A6883" s="11"/>
    </row>
    <row r="6884" spans="1:1" ht="14.4">
      <c r="A6884" s="11"/>
    </row>
    <row r="6885" spans="1:1" ht="14.4">
      <c r="A6885" s="11"/>
    </row>
    <row r="6886" spans="1:1" ht="14.4">
      <c r="A6886" s="11"/>
    </row>
    <row r="6887" spans="1:1" ht="14.4">
      <c r="A6887" s="11"/>
    </row>
    <row r="6888" spans="1:1" ht="14.4">
      <c r="A6888" s="11"/>
    </row>
    <row r="6889" spans="1:1" ht="14.4">
      <c r="A6889" s="11"/>
    </row>
    <row r="6890" spans="1:1" ht="14.4">
      <c r="A6890" s="11"/>
    </row>
    <row r="6891" spans="1:1" ht="14.4">
      <c r="A6891" s="11"/>
    </row>
    <row r="6892" spans="1:1" ht="14.4">
      <c r="A6892" s="11"/>
    </row>
    <row r="6893" spans="1:1" ht="14.4">
      <c r="A6893" s="11"/>
    </row>
    <row r="6894" spans="1:1" ht="14.4">
      <c r="A6894" s="11"/>
    </row>
    <row r="6895" spans="1:1" ht="14.4">
      <c r="A6895" s="11"/>
    </row>
    <row r="6896" spans="1:1" ht="14.4">
      <c r="A6896" s="11"/>
    </row>
    <row r="6897" spans="1:1" ht="14.4">
      <c r="A6897" s="11"/>
    </row>
    <row r="6898" spans="1:1" ht="14.4">
      <c r="A6898" s="11"/>
    </row>
    <row r="6899" spans="1:1" ht="14.4">
      <c r="A6899" s="11"/>
    </row>
    <row r="6900" spans="1:1" ht="14.4">
      <c r="A6900" s="11"/>
    </row>
    <row r="6901" spans="1:1" ht="14.4">
      <c r="A6901" s="11"/>
    </row>
    <row r="6902" spans="1:1" ht="14.4">
      <c r="A6902" s="11"/>
    </row>
    <row r="6903" spans="1:1" ht="14.4">
      <c r="A6903" s="11"/>
    </row>
    <row r="6904" spans="1:1" ht="14.4">
      <c r="A6904" s="11"/>
    </row>
    <row r="6905" spans="1:1" ht="14.4">
      <c r="A6905" s="11"/>
    </row>
    <row r="6906" spans="1:1" ht="14.4">
      <c r="A6906" s="11"/>
    </row>
    <row r="6907" spans="1:1" ht="14.4">
      <c r="A6907" s="11"/>
    </row>
    <row r="6908" spans="1:1" ht="14.4">
      <c r="A6908" s="11"/>
    </row>
    <row r="6909" spans="1:1" ht="14.4">
      <c r="A6909" s="11"/>
    </row>
    <row r="6910" spans="1:1" ht="14.4">
      <c r="A6910" s="11"/>
    </row>
    <row r="6911" spans="1:1" ht="14.4">
      <c r="A6911" s="11"/>
    </row>
    <row r="6912" spans="1:1" ht="14.4">
      <c r="A6912" s="11"/>
    </row>
    <row r="6913" spans="1:1" ht="14.4">
      <c r="A6913" s="11"/>
    </row>
    <row r="6914" spans="1:1" ht="14.4">
      <c r="A6914" s="11"/>
    </row>
    <row r="6915" spans="1:1" ht="14.4">
      <c r="A6915" s="11"/>
    </row>
    <row r="6916" spans="1:1" ht="14.4">
      <c r="A6916" s="11"/>
    </row>
    <row r="6917" spans="1:1" ht="14.4">
      <c r="A6917" s="11"/>
    </row>
    <row r="6918" spans="1:1" ht="14.4">
      <c r="A6918" s="11"/>
    </row>
    <row r="6919" spans="1:1" ht="14.4">
      <c r="A6919" s="11"/>
    </row>
    <row r="6920" spans="1:1" ht="14.4">
      <c r="A6920" s="11"/>
    </row>
    <row r="6921" spans="1:1" ht="14.4">
      <c r="A6921" s="11"/>
    </row>
    <row r="6922" spans="1:1" ht="14.4">
      <c r="A6922" s="11"/>
    </row>
    <row r="6923" spans="1:1" ht="14.4">
      <c r="A6923" s="11"/>
    </row>
    <row r="6924" spans="1:1" ht="14.4">
      <c r="A6924" s="11"/>
    </row>
    <row r="6925" spans="1:1" ht="14.4">
      <c r="A6925" s="11"/>
    </row>
    <row r="6926" spans="1:1" ht="14.4">
      <c r="A6926" s="11"/>
    </row>
    <row r="6927" spans="1:1" ht="14.4">
      <c r="A6927" s="11"/>
    </row>
    <row r="6928" spans="1:1" ht="14.4">
      <c r="A6928" s="11"/>
    </row>
    <row r="6929" spans="1:1" ht="14.4">
      <c r="A6929" s="11"/>
    </row>
    <row r="6930" spans="1:1" ht="14.4">
      <c r="A6930" s="11"/>
    </row>
    <row r="6931" spans="1:1" ht="14.4">
      <c r="A6931" s="11"/>
    </row>
    <row r="6932" spans="1:1" ht="14.4">
      <c r="A6932" s="11"/>
    </row>
    <row r="6933" spans="1:1" ht="14.4">
      <c r="A6933" s="11"/>
    </row>
    <row r="6934" spans="1:1" ht="14.4">
      <c r="A6934" s="11"/>
    </row>
    <row r="6935" spans="1:1" ht="14.4">
      <c r="A6935" s="11"/>
    </row>
    <row r="6936" spans="1:1" ht="14.4">
      <c r="A6936" s="11"/>
    </row>
    <row r="6937" spans="1:1" ht="14.4">
      <c r="A6937" s="11"/>
    </row>
    <row r="6938" spans="1:1" ht="14.4">
      <c r="A6938" s="11"/>
    </row>
    <row r="6939" spans="1:1" ht="14.4">
      <c r="A6939" s="11"/>
    </row>
    <row r="6940" spans="1:1" ht="14.4">
      <c r="A6940" s="11"/>
    </row>
    <row r="6941" spans="1:1" ht="14.4">
      <c r="A6941" s="11"/>
    </row>
    <row r="6942" spans="1:1" ht="14.4">
      <c r="A6942" s="11"/>
    </row>
    <row r="6943" spans="1:1" ht="14.4">
      <c r="A6943" s="11"/>
    </row>
    <row r="6944" spans="1:1" ht="14.4">
      <c r="A6944" s="11"/>
    </row>
    <row r="6945" spans="1:1" ht="14.4">
      <c r="A6945" s="11"/>
    </row>
    <row r="6946" spans="1:1" ht="14.4">
      <c r="A6946" s="11"/>
    </row>
    <row r="6947" spans="1:1" ht="14.4">
      <c r="A6947" s="11"/>
    </row>
    <row r="6948" spans="1:1" ht="14.4">
      <c r="A6948" s="11"/>
    </row>
    <row r="6949" spans="1:1" ht="14.4">
      <c r="A6949" s="11"/>
    </row>
    <row r="6950" spans="1:1" ht="14.4">
      <c r="A6950" s="11"/>
    </row>
    <row r="6951" spans="1:1" ht="14.4">
      <c r="A6951" s="11"/>
    </row>
    <row r="6952" spans="1:1" ht="14.4">
      <c r="A6952" s="11"/>
    </row>
    <row r="6953" spans="1:1" ht="14.4">
      <c r="A6953" s="11"/>
    </row>
    <row r="6954" spans="1:1" ht="14.4">
      <c r="A6954" s="11"/>
    </row>
    <row r="6955" spans="1:1" ht="14.4">
      <c r="A6955" s="11"/>
    </row>
    <row r="6956" spans="1:1" ht="14.4">
      <c r="A6956" s="11"/>
    </row>
    <row r="6957" spans="1:1" ht="14.4">
      <c r="A6957" s="11"/>
    </row>
    <row r="6958" spans="1:1" ht="14.4">
      <c r="A6958" s="11"/>
    </row>
    <row r="6959" spans="1:1" ht="14.4">
      <c r="A6959" s="11"/>
    </row>
    <row r="6960" spans="1:1" ht="14.4">
      <c r="A6960" s="11"/>
    </row>
    <row r="6961" spans="1:1" ht="14.4">
      <c r="A6961" s="11"/>
    </row>
    <row r="6962" spans="1:1" ht="14.4">
      <c r="A6962" s="11"/>
    </row>
    <row r="6963" spans="1:1" ht="14.4">
      <c r="A6963" s="11"/>
    </row>
    <row r="6964" spans="1:1" ht="14.4">
      <c r="A6964" s="11"/>
    </row>
    <row r="6965" spans="1:1" ht="14.4">
      <c r="A6965" s="11"/>
    </row>
    <row r="6966" spans="1:1" ht="14.4">
      <c r="A6966" s="11"/>
    </row>
    <row r="6967" spans="1:1" ht="14.4">
      <c r="A6967" s="11"/>
    </row>
    <row r="6968" spans="1:1" ht="14.4">
      <c r="A6968" s="11"/>
    </row>
    <row r="6969" spans="1:1" ht="14.4">
      <c r="A6969" s="11"/>
    </row>
    <row r="6970" spans="1:1" ht="14.4">
      <c r="A6970" s="11"/>
    </row>
    <row r="6971" spans="1:1" ht="14.4">
      <c r="A6971" s="11"/>
    </row>
    <row r="6972" spans="1:1" ht="14.4">
      <c r="A6972" s="11"/>
    </row>
    <row r="6973" spans="1:1" ht="14.4">
      <c r="A6973" s="11"/>
    </row>
    <row r="6974" spans="1:1" ht="14.4">
      <c r="A6974" s="11"/>
    </row>
    <row r="6975" spans="1:1" ht="14.4">
      <c r="A6975" s="11"/>
    </row>
    <row r="6976" spans="1:1" ht="14.4">
      <c r="A6976" s="11"/>
    </row>
    <row r="6977" spans="1:1" ht="14.4">
      <c r="A6977" s="11"/>
    </row>
    <row r="6978" spans="1:1" ht="14.4">
      <c r="A6978" s="11"/>
    </row>
    <row r="6979" spans="1:1" ht="14.4">
      <c r="A6979" s="11"/>
    </row>
    <row r="6980" spans="1:1" ht="14.4">
      <c r="A6980" s="11"/>
    </row>
    <row r="6981" spans="1:1" ht="14.4">
      <c r="A6981" s="11"/>
    </row>
    <row r="6982" spans="1:1" ht="14.4">
      <c r="A6982" s="11"/>
    </row>
    <row r="6983" spans="1:1" ht="14.4">
      <c r="A6983" s="11"/>
    </row>
    <row r="6984" spans="1:1" ht="14.4">
      <c r="A6984" s="11"/>
    </row>
    <row r="6985" spans="1:1" ht="14.4">
      <c r="A6985" s="11"/>
    </row>
    <row r="6986" spans="1:1" ht="14.4">
      <c r="A6986" s="11"/>
    </row>
    <row r="6987" spans="1:1" ht="14.4">
      <c r="A6987" s="11"/>
    </row>
    <row r="6988" spans="1:1" ht="14.4">
      <c r="A6988" s="11"/>
    </row>
    <row r="6989" spans="1:1" ht="14.4">
      <c r="A6989" s="11"/>
    </row>
    <row r="6990" spans="1:1" ht="14.4">
      <c r="A6990" s="11"/>
    </row>
    <row r="6991" spans="1:1" ht="14.4">
      <c r="A6991" s="11"/>
    </row>
    <row r="6992" spans="1:1" ht="14.4">
      <c r="A6992" s="11"/>
    </row>
    <row r="6993" spans="1:1" ht="14.4">
      <c r="A6993" s="11"/>
    </row>
    <row r="6994" spans="1:1" ht="14.4">
      <c r="A6994" s="11"/>
    </row>
    <row r="6995" spans="1:1" ht="14.4">
      <c r="A6995" s="11"/>
    </row>
    <row r="6996" spans="1:1" ht="14.4">
      <c r="A6996" s="11"/>
    </row>
    <row r="6997" spans="1:1" ht="14.4">
      <c r="A6997" s="11"/>
    </row>
    <row r="6998" spans="1:1" ht="14.4">
      <c r="A6998" s="11"/>
    </row>
    <row r="6999" spans="1:1" ht="14.4">
      <c r="A6999" s="11"/>
    </row>
    <row r="7000" spans="1:1" ht="14.4">
      <c r="A7000" s="11"/>
    </row>
    <row r="7001" spans="1:1" ht="14.4">
      <c r="A7001" s="11"/>
    </row>
    <row r="7002" spans="1:1" ht="14.4">
      <c r="A7002" s="11"/>
    </row>
    <row r="7003" spans="1:1" ht="14.4">
      <c r="A7003" s="11"/>
    </row>
    <row r="7004" spans="1:1" ht="14.4">
      <c r="A7004" s="11"/>
    </row>
    <row r="7005" spans="1:1" ht="14.4">
      <c r="A7005" s="11"/>
    </row>
    <row r="7006" spans="1:1" ht="14.4">
      <c r="A7006" s="11"/>
    </row>
    <row r="7007" spans="1:1" ht="14.4">
      <c r="A7007" s="11"/>
    </row>
    <row r="7008" spans="1:1" ht="14.4">
      <c r="A7008" s="11"/>
    </row>
    <row r="7009" spans="1:1" ht="14.4">
      <c r="A7009" s="11"/>
    </row>
    <row r="7010" spans="1:1" ht="14.4">
      <c r="A7010" s="11"/>
    </row>
    <row r="7011" spans="1:1" ht="14.4">
      <c r="A7011" s="11"/>
    </row>
    <row r="7012" spans="1:1" ht="14.4">
      <c r="A7012" s="11"/>
    </row>
    <row r="7013" spans="1:1" ht="14.4">
      <c r="A7013" s="11"/>
    </row>
    <row r="7014" spans="1:1" ht="14.4">
      <c r="A7014" s="11"/>
    </row>
    <row r="7015" spans="1:1" ht="14.4">
      <c r="A7015" s="11"/>
    </row>
    <row r="7016" spans="1:1" ht="14.4">
      <c r="A7016" s="11"/>
    </row>
    <row r="7017" spans="1:1" ht="14.4">
      <c r="A7017" s="11"/>
    </row>
    <row r="7018" spans="1:1" ht="14.4">
      <c r="A7018" s="11"/>
    </row>
    <row r="7019" spans="1:1" ht="14.4">
      <c r="A7019" s="11"/>
    </row>
    <row r="7020" spans="1:1" ht="14.4">
      <c r="A7020" s="11"/>
    </row>
    <row r="7021" spans="1:1" ht="14.4">
      <c r="A7021" s="11"/>
    </row>
    <row r="7022" spans="1:1" ht="14.4">
      <c r="A7022" s="11"/>
    </row>
    <row r="7023" spans="1:1" ht="14.4">
      <c r="A7023" s="11"/>
    </row>
    <row r="7024" spans="1:1" ht="14.4">
      <c r="A7024" s="11"/>
    </row>
    <row r="7025" spans="1:1" ht="14.4">
      <c r="A7025" s="11"/>
    </row>
    <row r="7026" spans="1:1" ht="14.4">
      <c r="A7026" s="11"/>
    </row>
    <row r="7027" spans="1:1" ht="14.4">
      <c r="A7027" s="11"/>
    </row>
    <row r="7028" spans="1:1" ht="14.4">
      <c r="A7028" s="11"/>
    </row>
    <row r="7029" spans="1:1" ht="14.4">
      <c r="A7029" s="11"/>
    </row>
    <row r="7030" spans="1:1" ht="14.4">
      <c r="A7030" s="11"/>
    </row>
    <row r="7031" spans="1:1" ht="14.4">
      <c r="A7031" s="11"/>
    </row>
    <row r="7032" spans="1:1" ht="14.4">
      <c r="A7032" s="11"/>
    </row>
    <row r="7033" spans="1:1" ht="14.4">
      <c r="A7033" s="11"/>
    </row>
    <row r="7034" spans="1:1" ht="14.4">
      <c r="A7034" s="11"/>
    </row>
    <row r="7035" spans="1:1" ht="14.4">
      <c r="A7035" s="11"/>
    </row>
    <row r="7036" spans="1:1" ht="14.4">
      <c r="A7036" s="11"/>
    </row>
    <row r="7037" spans="1:1" ht="14.4">
      <c r="A7037" s="11"/>
    </row>
    <row r="7038" spans="1:1" ht="14.4">
      <c r="A7038" s="11"/>
    </row>
    <row r="7039" spans="1:1" ht="14.4">
      <c r="A7039" s="11"/>
    </row>
    <row r="7040" spans="1:1" ht="14.4">
      <c r="A7040" s="11"/>
    </row>
    <row r="7041" spans="1:1" ht="14.4">
      <c r="A7041" s="11"/>
    </row>
    <row r="7042" spans="1:1" ht="14.4">
      <c r="A7042" s="11"/>
    </row>
    <row r="7043" spans="1:1" ht="14.4">
      <c r="A7043" s="11"/>
    </row>
    <row r="7044" spans="1:1" ht="14.4">
      <c r="A7044" s="11"/>
    </row>
    <row r="7045" spans="1:1" ht="14.4">
      <c r="A7045" s="11"/>
    </row>
    <row r="7046" spans="1:1" ht="14.4">
      <c r="A7046" s="11"/>
    </row>
    <row r="7047" spans="1:1" ht="14.4">
      <c r="A7047" s="11"/>
    </row>
    <row r="7048" spans="1:1" ht="14.4">
      <c r="A7048" s="11"/>
    </row>
    <row r="7049" spans="1:1" ht="14.4">
      <c r="A7049" s="11"/>
    </row>
    <row r="7050" spans="1:1" ht="14.4">
      <c r="A7050" s="11"/>
    </row>
    <row r="7051" spans="1:1" ht="14.4">
      <c r="A7051" s="11"/>
    </row>
    <row r="7052" spans="1:1" ht="14.4">
      <c r="A7052" s="11"/>
    </row>
    <row r="7053" spans="1:1" ht="14.4">
      <c r="A7053" s="11"/>
    </row>
    <row r="7054" spans="1:1" ht="14.4">
      <c r="A7054" s="11"/>
    </row>
    <row r="7055" spans="1:1" ht="14.4">
      <c r="A7055" s="11"/>
    </row>
    <row r="7056" spans="1:1" ht="14.4">
      <c r="A7056" s="11"/>
    </row>
    <row r="7057" spans="1:1" ht="14.4">
      <c r="A7057" s="11"/>
    </row>
    <row r="7058" spans="1:1" ht="14.4">
      <c r="A7058" s="11"/>
    </row>
    <row r="7059" spans="1:1" ht="14.4">
      <c r="A7059" s="11"/>
    </row>
    <row r="7060" spans="1:1" ht="14.4">
      <c r="A7060" s="11"/>
    </row>
    <row r="7061" spans="1:1" ht="14.4">
      <c r="A7061" s="11"/>
    </row>
    <row r="7062" spans="1:1" ht="14.4">
      <c r="A7062" s="11"/>
    </row>
    <row r="7063" spans="1:1" ht="14.4">
      <c r="A7063" s="11"/>
    </row>
    <row r="7064" spans="1:1" ht="14.4">
      <c r="A7064" s="11"/>
    </row>
    <row r="7065" spans="1:1" ht="14.4">
      <c r="A7065" s="11"/>
    </row>
    <row r="7066" spans="1:1" ht="14.4">
      <c r="A7066" s="11"/>
    </row>
    <row r="7067" spans="1:1" ht="14.4">
      <c r="A7067" s="11"/>
    </row>
    <row r="7068" spans="1:1" ht="14.4">
      <c r="A7068" s="11"/>
    </row>
    <row r="7069" spans="1:1" ht="14.4">
      <c r="A7069" s="11"/>
    </row>
    <row r="7070" spans="1:1" ht="14.4">
      <c r="A7070" s="11"/>
    </row>
    <row r="7071" spans="1:1" ht="14.4">
      <c r="A7071" s="11"/>
    </row>
    <row r="7072" spans="1:1" ht="14.4">
      <c r="A7072" s="11"/>
    </row>
    <row r="7073" spans="1:1" ht="14.4">
      <c r="A7073" s="11"/>
    </row>
    <row r="7074" spans="1:1" ht="14.4">
      <c r="A7074" s="11"/>
    </row>
    <row r="7075" spans="1:1" ht="14.4">
      <c r="A7075" s="11"/>
    </row>
    <row r="7076" spans="1:1" ht="14.4">
      <c r="A7076" s="11"/>
    </row>
    <row r="7077" spans="1:1" ht="14.4">
      <c r="A7077" s="11"/>
    </row>
    <row r="7078" spans="1:1" ht="14.4">
      <c r="A7078" s="11"/>
    </row>
    <row r="7079" spans="1:1" ht="14.4">
      <c r="A7079" s="11"/>
    </row>
    <row r="7080" spans="1:1" ht="14.4">
      <c r="A7080" s="11"/>
    </row>
    <row r="7081" spans="1:1" ht="14.4">
      <c r="A7081" s="11"/>
    </row>
    <row r="7082" spans="1:1" ht="14.4">
      <c r="A7082" s="11"/>
    </row>
    <row r="7083" spans="1:1" ht="14.4">
      <c r="A7083" s="11"/>
    </row>
    <row r="7084" spans="1:1" ht="14.4">
      <c r="A7084" s="11"/>
    </row>
    <row r="7085" spans="1:1" ht="14.4">
      <c r="A7085" s="11"/>
    </row>
    <row r="7086" spans="1:1" ht="14.4">
      <c r="A7086" s="11"/>
    </row>
    <row r="7087" spans="1:1" ht="14.4">
      <c r="A7087" s="11"/>
    </row>
    <row r="7088" spans="1:1" ht="14.4">
      <c r="A7088" s="11"/>
    </row>
    <row r="7089" spans="1:1" ht="14.4">
      <c r="A7089" s="11"/>
    </row>
    <row r="7090" spans="1:1" ht="14.4">
      <c r="A7090" s="11"/>
    </row>
    <row r="7091" spans="1:1" ht="14.4">
      <c r="A7091" s="11"/>
    </row>
    <row r="7092" spans="1:1" ht="14.4">
      <c r="A7092" s="11"/>
    </row>
    <row r="7093" spans="1:1" ht="14.4">
      <c r="A7093" s="11"/>
    </row>
    <row r="7094" spans="1:1" ht="14.4">
      <c r="A7094" s="11"/>
    </row>
    <row r="7095" spans="1:1" ht="14.4">
      <c r="A7095" s="11"/>
    </row>
    <row r="7096" spans="1:1" ht="14.4">
      <c r="A7096" s="11"/>
    </row>
    <row r="7097" spans="1:1" ht="14.4">
      <c r="A7097" s="11"/>
    </row>
    <row r="7098" spans="1:1" ht="14.4">
      <c r="A7098" s="11"/>
    </row>
    <row r="7099" spans="1:1" ht="14.4">
      <c r="A7099" s="11"/>
    </row>
    <row r="7100" spans="1:1" ht="14.4">
      <c r="A7100" s="11"/>
    </row>
    <row r="7101" spans="1:1" ht="14.4">
      <c r="A7101" s="11"/>
    </row>
    <row r="7102" spans="1:1" ht="14.4">
      <c r="A7102" s="11"/>
    </row>
    <row r="7103" spans="1:1" ht="14.4">
      <c r="A7103" s="11"/>
    </row>
    <row r="7104" spans="1:1" ht="14.4">
      <c r="A7104" s="11"/>
    </row>
    <row r="7105" spans="1:1" ht="14.4">
      <c r="A7105" s="11"/>
    </row>
    <row r="7106" spans="1:1" ht="14.4">
      <c r="A7106" s="11"/>
    </row>
    <row r="7107" spans="1:1" ht="14.4">
      <c r="A7107" s="11"/>
    </row>
    <row r="7108" spans="1:1" ht="14.4">
      <c r="A7108" s="11"/>
    </row>
    <row r="7109" spans="1:1" ht="14.4">
      <c r="A7109" s="11"/>
    </row>
    <row r="7110" spans="1:1" ht="14.4">
      <c r="A7110" s="11"/>
    </row>
    <row r="7111" spans="1:1" ht="14.4">
      <c r="A7111" s="11"/>
    </row>
    <row r="7112" spans="1:1" ht="14.4">
      <c r="A7112" s="11"/>
    </row>
    <row r="7113" spans="1:1" ht="14.4">
      <c r="A7113" s="11"/>
    </row>
    <row r="7114" spans="1:1" ht="14.4">
      <c r="A7114" s="11"/>
    </row>
    <row r="7115" spans="1:1" ht="14.4">
      <c r="A7115" s="11"/>
    </row>
    <row r="7116" spans="1:1" ht="14.4">
      <c r="A7116" s="11"/>
    </row>
    <row r="7117" spans="1:1" ht="14.4">
      <c r="A7117" s="11"/>
    </row>
    <row r="7118" spans="1:1" ht="14.4">
      <c r="A7118" s="11"/>
    </row>
    <row r="7119" spans="1:1" ht="14.4">
      <c r="A7119" s="11"/>
    </row>
    <row r="7120" spans="1:1" ht="14.4">
      <c r="A7120" s="11"/>
    </row>
    <row r="7121" spans="1:1" ht="14.4">
      <c r="A7121" s="11"/>
    </row>
    <row r="7122" spans="1:1" ht="14.4">
      <c r="A7122" s="11"/>
    </row>
    <row r="7123" spans="1:1" ht="14.4">
      <c r="A7123" s="11"/>
    </row>
    <row r="7124" spans="1:1" ht="14.4">
      <c r="A7124" s="11"/>
    </row>
    <row r="7125" spans="1:1" ht="14.4">
      <c r="A7125" s="11"/>
    </row>
    <row r="7126" spans="1:1" ht="14.4">
      <c r="A7126" s="11"/>
    </row>
    <row r="7127" spans="1:1" ht="14.4">
      <c r="A7127" s="11"/>
    </row>
    <row r="7128" spans="1:1" ht="14.4">
      <c r="A7128" s="11"/>
    </row>
    <row r="7129" spans="1:1" ht="14.4">
      <c r="A7129" s="11"/>
    </row>
    <row r="7130" spans="1:1" ht="14.4">
      <c r="A7130" s="11"/>
    </row>
    <row r="7131" spans="1:1" ht="14.4">
      <c r="A7131" s="11"/>
    </row>
    <row r="7132" spans="1:1" ht="14.4">
      <c r="A7132" s="11"/>
    </row>
    <row r="7133" spans="1:1" ht="14.4">
      <c r="A7133" s="11"/>
    </row>
    <row r="7134" spans="1:1" ht="14.4">
      <c r="A7134" s="11"/>
    </row>
    <row r="7135" spans="1:1" ht="14.4">
      <c r="A7135" s="11"/>
    </row>
    <row r="7136" spans="1:1" ht="14.4">
      <c r="A7136" s="11"/>
    </row>
    <row r="7137" spans="1:1" ht="14.4">
      <c r="A7137" s="11"/>
    </row>
    <row r="7138" spans="1:1" ht="14.4">
      <c r="A7138" s="11"/>
    </row>
    <row r="7139" spans="1:1" ht="14.4">
      <c r="A7139" s="11"/>
    </row>
    <row r="7140" spans="1:1" ht="14.4">
      <c r="A7140" s="11"/>
    </row>
    <row r="7141" spans="1:1" ht="14.4">
      <c r="A7141" s="11"/>
    </row>
    <row r="7142" spans="1:1" ht="14.4">
      <c r="A7142" s="11"/>
    </row>
    <row r="7143" spans="1:1" ht="14.4">
      <c r="A7143" s="11"/>
    </row>
    <row r="7144" spans="1:1" ht="14.4">
      <c r="A7144" s="11"/>
    </row>
    <row r="7145" spans="1:1" ht="14.4">
      <c r="A7145" s="11"/>
    </row>
    <row r="7146" spans="1:1" ht="14.4">
      <c r="A7146" s="11"/>
    </row>
    <row r="7147" spans="1:1" ht="14.4">
      <c r="A7147" s="11"/>
    </row>
    <row r="7148" spans="1:1" ht="14.4">
      <c r="A7148" s="11"/>
    </row>
    <row r="7149" spans="1:1" ht="14.4">
      <c r="A7149" s="11"/>
    </row>
    <row r="7150" spans="1:1" ht="14.4">
      <c r="A7150" s="11"/>
    </row>
    <row r="7151" spans="1:1" ht="14.4">
      <c r="A7151" s="11"/>
    </row>
    <row r="7152" spans="1:1" ht="14.4">
      <c r="A7152" s="11"/>
    </row>
    <row r="7153" spans="1:1" ht="14.4">
      <c r="A7153" s="11"/>
    </row>
    <row r="7154" spans="1:1" ht="14.4">
      <c r="A7154" s="11"/>
    </row>
    <row r="7155" spans="1:1" ht="14.4">
      <c r="A7155" s="11"/>
    </row>
    <row r="7156" spans="1:1" ht="14.4">
      <c r="A7156" s="11"/>
    </row>
    <row r="7157" spans="1:1" ht="14.4">
      <c r="A7157" s="11"/>
    </row>
    <row r="7158" spans="1:1" ht="14.4">
      <c r="A7158" s="11"/>
    </row>
    <row r="7159" spans="1:1" ht="14.4">
      <c r="A7159" s="11"/>
    </row>
    <row r="7160" spans="1:1" ht="14.4">
      <c r="A7160" s="11"/>
    </row>
    <row r="7161" spans="1:1" ht="14.4">
      <c r="A7161" s="11"/>
    </row>
    <row r="7162" spans="1:1" ht="14.4">
      <c r="A7162" s="11"/>
    </row>
    <row r="7163" spans="1:1" ht="14.4">
      <c r="A7163" s="11"/>
    </row>
    <row r="7164" spans="1:1" ht="14.4">
      <c r="A7164" s="11"/>
    </row>
    <row r="7165" spans="1:1" ht="14.4">
      <c r="A7165" s="11"/>
    </row>
    <row r="7166" spans="1:1" ht="14.4">
      <c r="A7166" s="11"/>
    </row>
    <row r="7167" spans="1:1" ht="14.4">
      <c r="A7167" s="11"/>
    </row>
    <row r="7168" spans="1:1" ht="14.4">
      <c r="A7168" s="11"/>
    </row>
    <row r="7169" spans="1:1" ht="14.4">
      <c r="A7169" s="11"/>
    </row>
    <row r="7170" spans="1:1" ht="14.4">
      <c r="A7170" s="11"/>
    </row>
    <row r="7171" spans="1:1" ht="14.4">
      <c r="A7171" s="11"/>
    </row>
    <row r="7172" spans="1:1" ht="14.4">
      <c r="A7172" s="11"/>
    </row>
    <row r="7173" spans="1:1" ht="14.4">
      <c r="A7173" s="11"/>
    </row>
    <row r="7174" spans="1:1" ht="14.4">
      <c r="A7174" s="11"/>
    </row>
    <row r="7175" spans="1:1" ht="14.4">
      <c r="A7175" s="11"/>
    </row>
    <row r="7176" spans="1:1" ht="14.4">
      <c r="A7176" s="11"/>
    </row>
    <row r="7177" spans="1:1" ht="14.4">
      <c r="A7177" s="11"/>
    </row>
    <row r="7178" spans="1:1" ht="14.4">
      <c r="A7178" s="11"/>
    </row>
    <row r="7179" spans="1:1" ht="14.4">
      <c r="A7179" s="11"/>
    </row>
    <row r="7180" spans="1:1" ht="14.4">
      <c r="A7180" s="11"/>
    </row>
    <row r="7181" spans="1:1" ht="14.4">
      <c r="A7181" s="11"/>
    </row>
    <row r="7182" spans="1:1" ht="14.4">
      <c r="A7182" s="11"/>
    </row>
    <row r="7183" spans="1:1" ht="14.4">
      <c r="A7183" s="11"/>
    </row>
    <row r="7184" spans="1:1" ht="14.4">
      <c r="A7184" s="11"/>
    </row>
    <row r="7185" spans="1:1" ht="14.4">
      <c r="A7185" s="11"/>
    </row>
    <row r="7186" spans="1:1" ht="14.4">
      <c r="A7186" s="11"/>
    </row>
    <row r="7187" spans="1:1" ht="14.4">
      <c r="A7187" s="11"/>
    </row>
    <row r="7188" spans="1:1" ht="14.4">
      <c r="A7188" s="11"/>
    </row>
    <row r="7189" spans="1:1" ht="14.4">
      <c r="A7189" s="11"/>
    </row>
    <row r="7190" spans="1:1" ht="14.4">
      <c r="A7190" s="11"/>
    </row>
    <row r="7191" spans="1:1" ht="14.4">
      <c r="A7191" s="11"/>
    </row>
    <row r="7192" spans="1:1" ht="14.4">
      <c r="A7192" s="11"/>
    </row>
    <row r="7193" spans="1:1" ht="14.4">
      <c r="A7193" s="11"/>
    </row>
    <row r="7194" spans="1:1" ht="14.4">
      <c r="A7194" s="11"/>
    </row>
    <row r="7195" spans="1:1" ht="14.4">
      <c r="A7195" s="11"/>
    </row>
    <row r="7196" spans="1:1" ht="14.4">
      <c r="A7196" s="11"/>
    </row>
    <row r="7197" spans="1:1" ht="14.4">
      <c r="A7197" s="11"/>
    </row>
    <row r="7198" spans="1:1" ht="14.4">
      <c r="A7198" s="11"/>
    </row>
    <row r="7199" spans="1:1" ht="14.4">
      <c r="A7199" s="11"/>
    </row>
    <row r="7200" spans="1:1" ht="14.4">
      <c r="A7200" s="11"/>
    </row>
    <row r="7201" spans="1:1" ht="14.4">
      <c r="A7201" s="11"/>
    </row>
    <row r="7202" spans="1:1" ht="14.4">
      <c r="A7202" s="11"/>
    </row>
    <row r="7203" spans="1:1" ht="14.4">
      <c r="A7203" s="11"/>
    </row>
    <row r="7204" spans="1:1" ht="14.4">
      <c r="A7204" s="11"/>
    </row>
    <row r="7205" spans="1:1" ht="14.4">
      <c r="A7205" s="11"/>
    </row>
    <row r="7206" spans="1:1" ht="14.4">
      <c r="A7206" s="11"/>
    </row>
    <row r="7207" spans="1:1" ht="14.4">
      <c r="A7207" s="11"/>
    </row>
    <row r="7208" spans="1:1" ht="14.4">
      <c r="A7208" s="11"/>
    </row>
    <row r="7209" spans="1:1" ht="14.4">
      <c r="A7209" s="11"/>
    </row>
    <row r="7210" spans="1:1" ht="14.4">
      <c r="A7210" s="11"/>
    </row>
    <row r="7211" spans="1:1" ht="14.4">
      <c r="A7211" s="11"/>
    </row>
    <row r="7212" spans="1:1" ht="14.4">
      <c r="A7212" s="11"/>
    </row>
    <row r="7213" spans="1:1" ht="14.4">
      <c r="A7213" s="11"/>
    </row>
    <row r="7214" spans="1:1" ht="14.4">
      <c r="A7214" s="11"/>
    </row>
    <row r="7215" spans="1:1" ht="14.4">
      <c r="A7215" s="11"/>
    </row>
    <row r="7216" spans="1:1" ht="14.4">
      <c r="A7216" s="11"/>
    </row>
    <row r="7217" spans="1:1" ht="14.4">
      <c r="A7217" s="11"/>
    </row>
    <row r="7218" spans="1:1" ht="14.4">
      <c r="A7218" s="11"/>
    </row>
    <row r="7219" spans="1:1" ht="14.4">
      <c r="A7219" s="11"/>
    </row>
    <row r="7220" spans="1:1" ht="14.4">
      <c r="A7220" s="11"/>
    </row>
    <row r="7221" spans="1:1" ht="14.4">
      <c r="A7221" s="11"/>
    </row>
    <row r="7222" spans="1:1" ht="14.4">
      <c r="A7222" s="11"/>
    </row>
    <row r="7223" spans="1:1" ht="14.4">
      <c r="A7223" s="11"/>
    </row>
    <row r="7224" spans="1:1" ht="14.4">
      <c r="A7224" s="11"/>
    </row>
    <row r="7225" spans="1:1" ht="14.4">
      <c r="A7225" s="11"/>
    </row>
    <row r="7226" spans="1:1" ht="14.4">
      <c r="A7226" s="11"/>
    </row>
    <row r="7227" spans="1:1" ht="14.4">
      <c r="A7227" s="11"/>
    </row>
    <row r="7228" spans="1:1" ht="14.4">
      <c r="A7228" s="11"/>
    </row>
    <row r="7229" spans="1:1" ht="14.4">
      <c r="A7229" s="11"/>
    </row>
    <row r="7230" spans="1:1" ht="14.4">
      <c r="A7230" s="11"/>
    </row>
    <row r="7231" spans="1:1" ht="14.4">
      <c r="A7231" s="11"/>
    </row>
    <row r="7232" spans="1:1" ht="14.4">
      <c r="A7232" s="11"/>
    </row>
    <row r="7233" spans="1:1" ht="14.4">
      <c r="A7233" s="11"/>
    </row>
    <row r="7234" spans="1:1" ht="14.4">
      <c r="A7234" s="11"/>
    </row>
    <row r="7235" spans="1:1" ht="14.4">
      <c r="A7235" s="11"/>
    </row>
    <row r="7236" spans="1:1" ht="14.4">
      <c r="A7236" s="11"/>
    </row>
    <row r="7237" spans="1:1" ht="14.4">
      <c r="A7237" s="11"/>
    </row>
    <row r="7238" spans="1:1" ht="14.4">
      <c r="A7238" s="11"/>
    </row>
    <row r="7239" spans="1:1" ht="14.4">
      <c r="A7239" s="11"/>
    </row>
    <row r="7240" spans="1:1" ht="14.4">
      <c r="A7240" s="11"/>
    </row>
    <row r="7241" spans="1:1" ht="14.4">
      <c r="A7241" s="11"/>
    </row>
    <row r="7242" spans="1:1" ht="14.4">
      <c r="A7242" s="11"/>
    </row>
    <row r="7243" spans="1:1" ht="14.4">
      <c r="A7243" s="11"/>
    </row>
    <row r="7244" spans="1:1" ht="14.4">
      <c r="A7244" s="11"/>
    </row>
    <row r="7245" spans="1:1" ht="14.4">
      <c r="A7245" s="11"/>
    </row>
    <row r="7246" spans="1:1" ht="14.4">
      <c r="A7246" s="11"/>
    </row>
    <row r="7247" spans="1:1" ht="14.4">
      <c r="A7247" s="11"/>
    </row>
    <row r="7248" spans="1:1" ht="14.4">
      <c r="A7248" s="11"/>
    </row>
    <row r="7249" spans="1:1" ht="14.4">
      <c r="A7249" s="11"/>
    </row>
    <row r="7250" spans="1:1" ht="14.4">
      <c r="A7250" s="11"/>
    </row>
    <row r="7251" spans="1:1" ht="14.4">
      <c r="A7251" s="11"/>
    </row>
    <row r="7252" spans="1:1" ht="14.4">
      <c r="A7252" s="11"/>
    </row>
    <row r="7253" spans="1:1" ht="14.4">
      <c r="A7253" s="11"/>
    </row>
    <row r="7254" spans="1:1" ht="14.4">
      <c r="A7254" s="11"/>
    </row>
    <row r="7255" spans="1:1" ht="14.4">
      <c r="A7255" s="11"/>
    </row>
    <row r="7256" spans="1:1" ht="14.4">
      <c r="A7256" s="11"/>
    </row>
    <row r="7257" spans="1:1" ht="14.4">
      <c r="A7257" s="11"/>
    </row>
    <row r="7258" spans="1:1" ht="14.4">
      <c r="A7258" s="11"/>
    </row>
    <row r="7259" spans="1:1" ht="14.4">
      <c r="A7259" s="11"/>
    </row>
    <row r="7260" spans="1:1" ht="14.4">
      <c r="A7260" s="11"/>
    </row>
    <row r="7261" spans="1:1" ht="14.4">
      <c r="A7261" s="11"/>
    </row>
    <row r="7262" spans="1:1" ht="14.4">
      <c r="A7262" s="11"/>
    </row>
    <row r="7263" spans="1:1" ht="14.4">
      <c r="A7263" s="11"/>
    </row>
    <row r="7264" spans="1:1" ht="14.4">
      <c r="A7264" s="11"/>
    </row>
    <row r="7265" spans="1:1" ht="14.4">
      <c r="A7265" s="11"/>
    </row>
    <row r="7266" spans="1:1" ht="14.4">
      <c r="A7266" s="11"/>
    </row>
    <row r="7267" spans="1:1" ht="14.4">
      <c r="A7267" s="11"/>
    </row>
    <row r="7268" spans="1:1" ht="14.4">
      <c r="A7268" s="11"/>
    </row>
    <row r="7269" spans="1:1" ht="14.4">
      <c r="A7269" s="11"/>
    </row>
    <row r="7270" spans="1:1" ht="14.4">
      <c r="A7270" s="11"/>
    </row>
    <row r="7271" spans="1:1" ht="14.4">
      <c r="A7271" s="11"/>
    </row>
    <row r="7272" spans="1:1" ht="14.4">
      <c r="A7272" s="11"/>
    </row>
    <row r="7273" spans="1:1" ht="14.4">
      <c r="A7273" s="11"/>
    </row>
    <row r="7274" spans="1:1" ht="14.4">
      <c r="A7274" s="11"/>
    </row>
    <row r="7275" spans="1:1" ht="14.4">
      <c r="A7275" s="11"/>
    </row>
    <row r="7276" spans="1:1" ht="14.4">
      <c r="A7276" s="11"/>
    </row>
    <row r="7277" spans="1:1" ht="14.4">
      <c r="A7277" s="11"/>
    </row>
    <row r="7278" spans="1:1" ht="14.4">
      <c r="A7278" s="11"/>
    </row>
    <row r="7279" spans="1:1" ht="14.4">
      <c r="A7279" s="11"/>
    </row>
    <row r="7280" spans="1:1" ht="14.4">
      <c r="A7280" s="11"/>
    </row>
    <row r="7281" spans="1:1" ht="14.4">
      <c r="A7281" s="11"/>
    </row>
    <row r="7282" spans="1:1" ht="14.4">
      <c r="A7282" s="11"/>
    </row>
    <row r="7283" spans="1:1" ht="14.4">
      <c r="A7283" s="11"/>
    </row>
    <row r="7284" spans="1:1" ht="14.4">
      <c r="A7284" s="11"/>
    </row>
    <row r="7285" spans="1:1" ht="14.4">
      <c r="A7285" s="11"/>
    </row>
    <row r="7286" spans="1:1" ht="14.4">
      <c r="A7286" s="11"/>
    </row>
    <row r="7287" spans="1:1" ht="14.4">
      <c r="A7287" s="11"/>
    </row>
    <row r="7288" spans="1:1" ht="14.4">
      <c r="A7288" s="11"/>
    </row>
    <row r="7289" spans="1:1" ht="14.4">
      <c r="A7289" s="11"/>
    </row>
    <row r="7290" spans="1:1" ht="14.4">
      <c r="A7290" s="11"/>
    </row>
    <row r="7291" spans="1:1" ht="14.4">
      <c r="A7291" s="11"/>
    </row>
    <row r="7292" spans="1:1" ht="14.4">
      <c r="A7292" s="11"/>
    </row>
    <row r="7293" spans="1:1" ht="14.4">
      <c r="A7293" s="11"/>
    </row>
    <row r="7294" spans="1:1" ht="14.4">
      <c r="A7294" s="11"/>
    </row>
    <row r="7295" spans="1:1" ht="14.4">
      <c r="A7295" s="11"/>
    </row>
    <row r="7296" spans="1:1" ht="14.4">
      <c r="A7296" s="11"/>
    </row>
    <row r="7297" spans="1:1" ht="14.4">
      <c r="A7297" s="11"/>
    </row>
    <row r="7298" spans="1:1" ht="14.4">
      <c r="A7298" s="11"/>
    </row>
    <row r="7299" spans="1:1" ht="14.4">
      <c r="A7299" s="11"/>
    </row>
    <row r="7300" spans="1:1" ht="14.4">
      <c r="A7300" s="11"/>
    </row>
    <row r="7301" spans="1:1" ht="14.4">
      <c r="A7301" s="11"/>
    </row>
    <row r="7302" spans="1:1" ht="14.4">
      <c r="A7302" s="11"/>
    </row>
    <row r="7303" spans="1:1" ht="14.4">
      <c r="A7303" s="11"/>
    </row>
    <row r="7304" spans="1:1" ht="14.4">
      <c r="A7304" s="11"/>
    </row>
    <row r="7305" spans="1:1" ht="14.4">
      <c r="A7305" s="11"/>
    </row>
    <row r="7306" spans="1:1" ht="14.4">
      <c r="A7306" s="11"/>
    </row>
    <row r="7307" spans="1:1" ht="14.4">
      <c r="A7307" s="11"/>
    </row>
    <row r="7308" spans="1:1" ht="14.4">
      <c r="A7308" s="11"/>
    </row>
    <row r="7309" spans="1:1" ht="14.4">
      <c r="A7309" s="11"/>
    </row>
    <row r="7310" spans="1:1" ht="14.4">
      <c r="A7310" s="11"/>
    </row>
    <row r="7311" spans="1:1" ht="14.4">
      <c r="A7311" s="11"/>
    </row>
    <row r="7312" spans="1:1" ht="14.4">
      <c r="A7312" s="11"/>
    </row>
    <row r="7313" spans="1:1" ht="14.4">
      <c r="A7313" s="11"/>
    </row>
    <row r="7314" spans="1:1" ht="14.4">
      <c r="A7314" s="11"/>
    </row>
    <row r="7315" spans="1:1" ht="14.4">
      <c r="A7315" s="11"/>
    </row>
    <row r="7316" spans="1:1" ht="14.4">
      <c r="A7316" s="11"/>
    </row>
    <row r="7317" spans="1:1" ht="14.4">
      <c r="A7317" s="11"/>
    </row>
    <row r="7318" spans="1:1" ht="14.4">
      <c r="A7318" s="11"/>
    </row>
    <row r="7319" spans="1:1" ht="14.4">
      <c r="A7319" s="11"/>
    </row>
    <row r="7320" spans="1:1" ht="14.4">
      <c r="A7320" s="11"/>
    </row>
    <row r="7321" spans="1:1" ht="14.4">
      <c r="A7321" s="11"/>
    </row>
    <row r="7322" spans="1:1" ht="14.4">
      <c r="A7322" s="11"/>
    </row>
    <row r="7323" spans="1:1" ht="14.4">
      <c r="A7323" s="11"/>
    </row>
    <row r="7324" spans="1:1" ht="14.4">
      <c r="A7324" s="11"/>
    </row>
    <row r="7325" spans="1:1" ht="14.4">
      <c r="A7325" s="11"/>
    </row>
    <row r="7326" spans="1:1" ht="14.4">
      <c r="A7326" s="11"/>
    </row>
    <row r="7327" spans="1:1" ht="14.4">
      <c r="A7327" s="11"/>
    </row>
    <row r="7328" spans="1:1" ht="14.4">
      <c r="A7328" s="11"/>
    </row>
    <row r="7329" spans="1:1" ht="14.4">
      <c r="A7329" s="11"/>
    </row>
    <row r="7330" spans="1:1" ht="14.4">
      <c r="A7330" s="11"/>
    </row>
    <row r="7331" spans="1:1" ht="14.4">
      <c r="A7331" s="11"/>
    </row>
    <row r="7332" spans="1:1" ht="14.4">
      <c r="A7332" s="11"/>
    </row>
    <row r="7333" spans="1:1" ht="14.4">
      <c r="A7333" s="11"/>
    </row>
    <row r="7334" spans="1:1" ht="14.4">
      <c r="A7334" s="11"/>
    </row>
    <row r="7335" spans="1:1" ht="14.4">
      <c r="A7335" s="11"/>
    </row>
    <row r="7336" spans="1:1" ht="14.4">
      <c r="A7336" s="11"/>
    </row>
    <row r="7337" spans="1:1" ht="14.4">
      <c r="A7337" s="11"/>
    </row>
    <row r="7338" spans="1:1" ht="14.4">
      <c r="A7338" s="11"/>
    </row>
    <row r="7339" spans="1:1" ht="14.4">
      <c r="A7339" s="11"/>
    </row>
    <row r="7340" spans="1:1" ht="14.4">
      <c r="A7340" s="11"/>
    </row>
    <row r="7341" spans="1:1" ht="14.4">
      <c r="A7341" s="11"/>
    </row>
    <row r="7342" spans="1:1" ht="14.4">
      <c r="A7342" s="11"/>
    </row>
    <row r="7343" spans="1:1" ht="14.4">
      <c r="A7343" s="11"/>
    </row>
    <row r="7344" spans="1:1" ht="14.4">
      <c r="A7344" s="11"/>
    </row>
    <row r="7345" spans="1:1" ht="14.4">
      <c r="A7345" s="11"/>
    </row>
    <row r="7346" spans="1:1" ht="14.4">
      <c r="A7346" s="11"/>
    </row>
    <row r="7347" spans="1:1" ht="14.4">
      <c r="A7347" s="11"/>
    </row>
    <row r="7348" spans="1:1" ht="14.4">
      <c r="A7348" s="11"/>
    </row>
    <row r="7349" spans="1:1" ht="14.4">
      <c r="A7349" s="11"/>
    </row>
    <row r="7350" spans="1:1" ht="14.4">
      <c r="A7350" s="11"/>
    </row>
    <row r="7351" spans="1:1" ht="14.4">
      <c r="A7351" s="11"/>
    </row>
    <row r="7352" spans="1:1" ht="14.4">
      <c r="A7352" s="11"/>
    </row>
    <row r="7353" spans="1:1" ht="14.4">
      <c r="A7353" s="11"/>
    </row>
    <row r="7354" spans="1:1" ht="14.4">
      <c r="A7354" s="11"/>
    </row>
    <row r="7355" spans="1:1" ht="14.4">
      <c r="A7355" s="11"/>
    </row>
    <row r="7356" spans="1:1" ht="14.4">
      <c r="A7356" s="11"/>
    </row>
    <row r="7357" spans="1:1" ht="14.4">
      <c r="A7357" s="11"/>
    </row>
    <row r="7358" spans="1:1" ht="14.4">
      <c r="A7358" s="11"/>
    </row>
    <row r="7359" spans="1:1" ht="14.4">
      <c r="A7359" s="11"/>
    </row>
    <row r="7360" spans="1:1" ht="14.4">
      <c r="A7360" s="11"/>
    </row>
    <row r="7361" spans="1:1" ht="14.4">
      <c r="A7361" s="11"/>
    </row>
    <row r="7362" spans="1:1" ht="14.4">
      <c r="A7362" s="11"/>
    </row>
    <row r="7363" spans="1:1" ht="14.4">
      <c r="A7363" s="11"/>
    </row>
    <row r="7364" spans="1:1" ht="14.4">
      <c r="A7364" s="11"/>
    </row>
    <row r="7365" spans="1:1" ht="14.4">
      <c r="A7365" s="11"/>
    </row>
    <row r="7366" spans="1:1" ht="14.4">
      <c r="A7366" s="11"/>
    </row>
    <row r="7367" spans="1:1" ht="14.4">
      <c r="A7367" s="11"/>
    </row>
    <row r="7368" spans="1:1" ht="14.4">
      <c r="A7368" s="11"/>
    </row>
    <row r="7369" spans="1:1" ht="14.4">
      <c r="A7369" s="11"/>
    </row>
    <row r="7370" spans="1:1" ht="14.4">
      <c r="A7370" s="11"/>
    </row>
    <row r="7371" spans="1:1" ht="14.4">
      <c r="A7371" s="11"/>
    </row>
    <row r="7372" spans="1:1" ht="14.4">
      <c r="A7372" s="11"/>
    </row>
    <row r="7373" spans="1:1" ht="14.4">
      <c r="A7373" s="11"/>
    </row>
    <row r="7374" spans="1:1" ht="14.4">
      <c r="A7374" s="11"/>
    </row>
    <row r="7375" spans="1:1" ht="14.4">
      <c r="A7375" s="11"/>
    </row>
    <row r="7376" spans="1:1" ht="14.4">
      <c r="A7376" s="11"/>
    </row>
    <row r="7377" spans="1:1" ht="14.4">
      <c r="A7377" s="11"/>
    </row>
    <row r="7378" spans="1:1" ht="14.4">
      <c r="A7378" s="11"/>
    </row>
    <row r="7379" spans="1:1" ht="14.4">
      <c r="A7379" s="11"/>
    </row>
    <row r="7380" spans="1:1" ht="14.4">
      <c r="A7380" s="11"/>
    </row>
    <row r="7381" spans="1:1" ht="14.4">
      <c r="A7381" s="11"/>
    </row>
    <row r="7382" spans="1:1" ht="14.4">
      <c r="A7382" s="11"/>
    </row>
    <row r="7383" spans="1:1" ht="14.4">
      <c r="A7383" s="11"/>
    </row>
    <row r="7384" spans="1:1" ht="14.4">
      <c r="A7384" s="11"/>
    </row>
    <row r="7385" spans="1:1" ht="14.4">
      <c r="A7385" s="11"/>
    </row>
    <row r="7386" spans="1:1" ht="14.4">
      <c r="A7386" s="11"/>
    </row>
    <row r="7387" spans="1:1" ht="14.4">
      <c r="A7387" s="11"/>
    </row>
    <row r="7388" spans="1:1" ht="14.4">
      <c r="A7388" s="11"/>
    </row>
    <row r="7389" spans="1:1" ht="14.4">
      <c r="A7389" s="11"/>
    </row>
    <row r="7390" spans="1:1" ht="14.4">
      <c r="A7390" s="11"/>
    </row>
    <row r="7391" spans="1:1" ht="14.4">
      <c r="A7391" s="11"/>
    </row>
    <row r="7392" spans="1:1" ht="14.4">
      <c r="A7392" s="11"/>
    </row>
    <row r="7393" spans="1:1" ht="14.4">
      <c r="A7393" s="11"/>
    </row>
    <row r="7394" spans="1:1" ht="14.4">
      <c r="A7394" s="11"/>
    </row>
    <row r="7395" spans="1:1" ht="14.4">
      <c r="A7395" s="11"/>
    </row>
    <row r="7396" spans="1:1" ht="14.4">
      <c r="A7396" s="11"/>
    </row>
    <row r="7397" spans="1:1" ht="14.4">
      <c r="A7397" s="11"/>
    </row>
    <row r="7398" spans="1:1" ht="14.4">
      <c r="A7398" s="11"/>
    </row>
    <row r="7399" spans="1:1" ht="14.4">
      <c r="A7399" s="11"/>
    </row>
    <row r="7400" spans="1:1" ht="14.4">
      <c r="A7400" s="11"/>
    </row>
    <row r="7401" spans="1:1" ht="14.4">
      <c r="A7401" s="11"/>
    </row>
    <row r="7402" spans="1:1" ht="14.4">
      <c r="A7402" s="11"/>
    </row>
    <row r="7403" spans="1:1" ht="14.4">
      <c r="A7403" s="11"/>
    </row>
    <row r="7404" spans="1:1" ht="14.4">
      <c r="A7404" s="11"/>
    </row>
    <row r="7405" spans="1:1" ht="14.4">
      <c r="A7405" s="11"/>
    </row>
    <row r="7406" spans="1:1" ht="14.4">
      <c r="A7406" s="11"/>
    </row>
    <row r="7407" spans="1:1" ht="14.4">
      <c r="A7407" s="11"/>
    </row>
    <row r="7408" spans="1:1" ht="14.4">
      <c r="A7408" s="11"/>
    </row>
    <row r="7409" spans="1:1" ht="14.4">
      <c r="A7409" s="11"/>
    </row>
    <row r="7410" spans="1:1" ht="14.4">
      <c r="A7410" s="11"/>
    </row>
    <row r="7411" spans="1:1" ht="14.4">
      <c r="A7411" s="11"/>
    </row>
    <row r="7412" spans="1:1" ht="14.4">
      <c r="A7412" s="11"/>
    </row>
    <row r="7413" spans="1:1" ht="14.4">
      <c r="A7413" s="11"/>
    </row>
    <row r="7414" spans="1:1" ht="14.4">
      <c r="A7414" s="11"/>
    </row>
    <row r="7415" spans="1:1" ht="14.4">
      <c r="A7415" s="11"/>
    </row>
    <row r="7416" spans="1:1" ht="14.4">
      <c r="A7416" s="11"/>
    </row>
    <row r="7417" spans="1:1" ht="14.4">
      <c r="A7417" s="11"/>
    </row>
    <row r="7418" spans="1:1" ht="14.4">
      <c r="A7418" s="11"/>
    </row>
    <row r="7419" spans="1:1" ht="14.4">
      <c r="A7419" s="11"/>
    </row>
    <row r="7420" spans="1:1" ht="14.4">
      <c r="A7420" s="11"/>
    </row>
    <row r="7421" spans="1:1" ht="14.4">
      <c r="A7421" s="11"/>
    </row>
    <row r="7422" spans="1:1" ht="14.4">
      <c r="A7422" s="11"/>
    </row>
    <row r="7423" spans="1:1" ht="14.4">
      <c r="A7423" s="11"/>
    </row>
    <row r="7424" spans="1:1" ht="14.4">
      <c r="A7424" s="11"/>
    </row>
    <row r="7425" spans="1:1" ht="14.4">
      <c r="A7425" s="11"/>
    </row>
    <row r="7426" spans="1:1" ht="14.4">
      <c r="A7426" s="11"/>
    </row>
    <row r="7427" spans="1:1" ht="14.4">
      <c r="A7427" s="11"/>
    </row>
    <row r="7428" spans="1:1" ht="14.4">
      <c r="A7428" s="11"/>
    </row>
    <row r="7429" spans="1:1" ht="14.4">
      <c r="A7429" s="11"/>
    </row>
    <row r="7430" spans="1:1" ht="14.4">
      <c r="A7430" s="11"/>
    </row>
    <row r="7431" spans="1:1" ht="14.4">
      <c r="A7431" s="11"/>
    </row>
    <row r="7432" spans="1:1" ht="14.4">
      <c r="A7432" s="11"/>
    </row>
    <row r="7433" spans="1:1" ht="14.4">
      <c r="A7433" s="11"/>
    </row>
    <row r="7434" spans="1:1" ht="14.4">
      <c r="A7434" s="11"/>
    </row>
    <row r="7435" spans="1:1" ht="14.4">
      <c r="A7435" s="11"/>
    </row>
    <row r="7436" spans="1:1" ht="14.4">
      <c r="A7436" s="11"/>
    </row>
    <row r="7437" spans="1:1" ht="14.4">
      <c r="A7437" s="11"/>
    </row>
    <row r="7438" spans="1:1" ht="14.4">
      <c r="A7438" s="11"/>
    </row>
    <row r="7439" spans="1:1" ht="14.4">
      <c r="A7439" s="11"/>
    </row>
    <row r="7440" spans="1:1" ht="14.4">
      <c r="A7440" s="11"/>
    </row>
    <row r="7441" spans="1:1" ht="14.4">
      <c r="A7441" s="11"/>
    </row>
    <row r="7442" spans="1:1" ht="14.4">
      <c r="A7442" s="11"/>
    </row>
    <row r="7443" spans="1:1" ht="14.4">
      <c r="A7443" s="11"/>
    </row>
    <row r="7444" spans="1:1" ht="14.4">
      <c r="A7444" s="11"/>
    </row>
    <row r="7445" spans="1:1" ht="14.4">
      <c r="A7445" s="11"/>
    </row>
    <row r="7446" spans="1:1" ht="14.4">
      <c r="A7446" s="11"/>
    </row>
    <row r="7447" spans="1:1" ht="14.4">
      <c r="A7447" s="11"/>
    </row>
    <row r="7448" spans="1:1" ht="14.4">
      <c r="A7448" s="11"/>
    </row>
    <row r="7449" spans="1:1" ht="14.4">
      <c r="A7449" s="11"/>
    </row>
    <row r="7450" spans="1:1" ht="14.4">
      <c r="A7450" s="11"/>
    </row>
    <row r="7451" spans="1:1" ht="14.4">
      <c r="A7451" s="11"/>
    </row>
    <row r="7452" spans="1:1" ht="14.4">
      <c r="A7452" s="11"/>
    </row>
    <row r="7453" spans="1:1" ht="14.4">
      <c r="A7453" s="11"/>
    </row>
    <row r="7454" spans="1:1" ht="14.4">
      <c r="A7454" s="11"/>
    </row>
    <row r="7455" spans="1:1" ht="14.4">
      <c r="A7455" s="11"/>
    </row>
    <row r="7456" spans="1:1" ht="14.4">
      <c r="A7456" s="11"/>
    </row>
    <row r="7457" spans="1:1" ht="14.4">
      <c r="A7457" s="11"/>
    </row>
    <row r="7458" spans="1:1" ht="14.4">
      <c r="A7458" s="11"/>
    </row>
    <row r="7459" spans="1:1" ht="14.4">
      <c r="A7459" s="11"/>
    </row>
    <row r="7460" spans="1:1" ht="14.4">
      <c r="A7460" s="11"/>
    </row>
    <row r="7461" spans="1:1" ht="14.4">
      <c r="A7461" s="11"/>
    </row>
    <row r="7462" spans="1:1" ht="14.4">
      <c r="A7462" s="11"/>
    </row>
    <row r="7463" spans="1:1" ht="14.4">
      <c r="A7463" s="11"/>
    </row>
    <row r="7464" spans="1:1" ht="14.4">
      <c r="A7464" s="11"/>
    </row>
    <row r="7465" spans="1:1" ht="14.4">
      <c r="A7465" s="11"/>
    </row>
    <row r="7466" spans="1:1" ht="14.4">
      <c r="A7466" s="11"/>
    </row>
    <row r="7467" spans="1:1" ht="14.4">
      <c r="A7467" s="11"/>
    </row>
    <row r="7468" spans="1:1" ht="14.4">
      <c r="A7468" s="11"/>
    </row>
    <row r="7469" spans="1:1" ht="14.4">
      <c r="A7469" s="11"/>
    </row>
    <row r="7470" spans="1:1" ht="14.4">
      <c r="A7470" s="11"/>
    </row>
    <row r="7471" spans="1:1" ht="14.4">
      <c r="A7471" s="11"/>
    </row>
    <row r="7472" spans="1:1" ht="14.4">
      <c r="A7472" s="11"/>
    </row>
    <row r="7473" spans="1:1" ht="14.4">
      <c r="A7473" s="11"/>
    </row>
    <row r="7474" spans="1:1" ht="14.4">
      <c r="A7474" s="11"/>
    </row>
    <row r="7475" spans="1:1" ht="14.4">
      <c r="A7475" s="11"/>
    </row>
    <row r="7476" spans="1:1" ht="14.4">
      <c r="A7476" s="11"/>
    </row>
    <row r="7477" spans="1:1" ht="14.4">
      <c r="A7477" s="11"/>
    </row>
    <row r="7478" spans="1:1" ht="14.4">
      <c r="A7478" s="11"/>
    </row>
    <row r="7479" spans="1:1" ht="14.4">
      <c r="A7479" s="11"/>
    </row>
    <row r="7480" spans="1:1" ht="14.4">
      <c r="A7480" s="11"/>
    </row>
    <row r="7481" spans="1:1" ht="14.4">
      <c r="A7481" s="11"/>
    </row>
    <row r="7482" spans="1:1" ht="14.4">
      <c r="A7482" s="11"/>
    </row>
    <row r="7483" spans="1:1" ht="14.4">
      <c r="A7483" s="11"/>
    </row>
    <row r="7484" spans="1:1" ht="14.4">
      <c r="A7484" s="11"/>
    </row>
    <row r="7485" spans="1:1" ht="14.4">
      <c r="A7485" s="11"/>
    </row>
    <row r="7486" spans="1:1" ht="14.4">
      <c r="A7486" s="11"/>
    </row>
    <row r="7487" spans="1:1" ht="14.4">
      <c r="A7487" s="11"/>
    </row>
    <row r="7488" spans="1:1" ht="14.4">
      <c r="A7488" s="11"/>
    </row>
    <row r="7489" spans="1:1" ht="14.4">
      <c r="A7489" s="11"/>
    </row>
    <row r="7490" spans="1:1" ht="14.4">
      <c r="A7490" s="11"/>
    </row>
    <row r="7491" spans="1:1" ht="14.4">
      <c r="A7491" s="11"/>
    </row>
    <row r="7492" spans="1:1" ht="14.4">
      <c r="A7492" s="11"/>
    </row>
    <row r="7493" spans="1:1" ht="14.4">
      <c r="A7493" s="11"/>
    </row>
    <row r="7494" spans="1:1" ht="14.4">
      <c r="A7494" s="11"/>
    </row>
    <row r="7495" spans="1:1" ht="14.4">
      <c r="A7495" s="11"/>
    </row>
    <row r="7496" spans="1:1" ht="14.4">
      <c r="A7496" s="11"/>
    </row>
    <row r="7497" spans="1:1" ht="14.4">
      <c r="A7497" s="11"/>
    </row>
    <row r="7498" spans="1:1" ht="14.4">
      <c r="A7498" s="11"/>
    </row>
    <row r="7499" spans="1:1" ht="14.4">
      <c r="A7499" s="11"/>
    </row>
    <row r="7500" spans="1:1" ht="14.4">
      <c r="A7500" s="11"/>
    </row>
    <row r="7501" spans="1:1" ht="14.4">
      <c r="A7501" s="11"/>
    </row>
    <row r="7502" spans="1:1" ht="14.4">
      <c r="A7502" s="11"/>
    </row>
    <row r="7503" spans="1:1" ht="14.4">
      <c r="A7503" s="11"/>
    </row>
    <row r="7504" spans="1:1" ht="14.4">
      <c r="A7504" s="11"/>
    </row>
    <row r="7505" spans="1:1" ht="14.4">
      <c r="A7505" s="11"/>
    </row>
    <row r="7506" spans="1:1" ht="14.4">
      <c r="A7506" s="11"/>
    </row>
    <row r="7507" spans="1:1" ht="14.4">
      <c r="A7507" s="11"/>
    </row>
    <row r="7508" spans="1:1" ht="14.4">
      <c r="A7508" s="11"/>
    </row>
    <row r="7509" spans="1:1" ht="14.4">
      <c r="A7509" s="11"/>
    </row>
    <row r="7510" spans="1:1" ht="14.4">
      <c r="A7510" s="11"/>
    </row>
    <row r="7511" spans="1:1" ht="14.4">
      <c r="A7511" s="11"/>
    </row>
    <row r="7512" spans="1:1" ht="14.4">
      <c r="A7512" s="11"/>
    </row>
    <row r="7513" spans="1:1" ht="14.4">
      <c r="A7513" s="11"/>
    </row>
    <row r="7514" spans="1:1" ht="14.4">
      <c r="A7514" s="11"/>
    </row>
    <row r="7515" spans="1:1" ht="14.4">
      <c r="A7515" s="11"/>
    </row>
    <row r="7516" spans="1:1" ht="14.4">
      <c r="A7516" s="11"/>
    </row>
    <row r="7517" spans="1:1" ht="14.4">
      <c r="A7517" s="11"/>
    </row>
    <row r="7518" spans="1:1" ht="14.4">
      <c r="A7518" s="11"/>
    </row>
    <row r="7519" spans="1:1" ht="14.4">
      <c r="A7519" s="11"/>
    </row>
    <row r="7520" spans="1:1" ht="14.4">
      <c r="A7520" s="11"/>
    </row>
    <row r="7521" spans="1:1" ht="14.4">
      <c r="A7521" s="11"/>
    </row>
    <row r="7522" spans="1:1" ht="14.4">
      <c r="A7522" s="11"/>
    </row>
    <row r="7523" spans="1:1" ht="14.4">
      <c r="A7523" s="11"/>
    </row>
    <row r="7524" spans="1:1" ht="14.4">
      <c r="A7524" s="11"/>
    </row>
    <row r="7525" spans="1:1" ht="14.4">
      <c r="A7525" s="11"/>
    </row>
    <row r="7526" spans="1:1" ht="14.4">
      <c r="A7526" s="11"/>
    </row>
    <row r="7527" spans="1:1" ht="14.4">
      <c r="A7527" s="11"/>
    </row>
    <row r="7528" spans="1:1" ht="14.4">
      <c r="A7528" s="11"/>
    </row>
    <row r="7529" spans="1:1" ht="14.4">
      <c r="A7529" s="11"/>
    </row>
    <row r="7530" spans="1:1" ht="14.4">
      <c r="A7530" s="11"/>
    </row>
    <row r="7531" spans="1:1" ht="14.4">
      <c r="A7531" s="11"/>
    </row>
    <row r="7532" spans="1:1" ht="14.4">
      <c r="A7532" s="11"/>
    </row>
    <row r="7533" spans="1:1" ht="14.4">
      <c r="A7533" s="11"/>
    </row>
    <row r="7534" spans="1:1" ht="14.4">
      <c r="A7534" s="11"/>
    </row>
    <row r="7535" spans="1:1" ht="14.4">
      <c r="A7535" s="11"/>
    </row>
    <row r="7536" spans="1:1" ht="14.4">
      <c r="A7536" s="11"/>
    </row>
    <row r="7537" spans="1:1" ht="14.4">
      <c r="A7537" s="11"/>
    </row>
    <row r="7538" spans="1:1" ht="14.4">
      <c r="A7538" s="11"/>
    </row>
    <row r="7539" spans="1:1" ht="14.4">
      <c r="A7539" s="11"/>
    </row>
    <row r="7540" spans="1:1" ht="14.4">
      <c r="A7540" s="11"/>
    </row>
    <row r="7541" spans="1:1" ht="14.4">
      <c r="A7541" s="11"/>
    </row>
    <row r="7542" spans="1:1" ht="14.4">
      <c r="A7542" s="11"/>
    </row>
    <row r="7543" spans="1:1" ht="14.4">
      <c r="A7543" s="11"/>
    </row>
    <row r="7544" spans="1:1" ht="14.4">
      <c r="A7544" s="11"/>
    </row>
    <row r="7545" spans="1:1" ht="14.4">
      <c r="A7545" s="11"/>
    </row>
    <row r="7546" spans="1:1" ht="14.4">
      <c r="A7546" s="11"/>
    </row>
    <row r="7547" spans="1:1" ht="14.4">
      <c r="A7547" s="11"/>
    </row>
    <row r="7548" spans="1:1" ht="14.4">
      <c r="A7548" s="11"/>
    </row>
    <row r="7549" spans="1:1" ht="14.4">
      <c r="A7549" s="11"/>
    </row>
    <row r="7550" spans="1:1" ht="14.4">
      <c r="A7550" s="11"/>
    </row>
    <row r="7551" spans="1:1" ht="14.4">
      <c r="A7551" s="11"/>
    </row>
    <row r="7552" spans="1:1" ht="14.4">
      <c r="A7552" s="11"/>
    </row>
    <row r="7553" spans="1:1" ht="14.4">
      <c r="A7553" s="11"/>
    </row>
    <row r="7554" spans="1:1" ht="14.4">
      <c r="A7554" s="11"/>
    </row>
    <row r="7555" spans="1:1" ht="14.4">
      <c r="A7555" s="11"/>
    </row>
    <row r="7556" spans="1:1" ht="14.4">
      <c r="A7556" s="11"/>
    </row>
    <row r="7557" spans="1:1" ht="14.4">
      <c r="A7557" s="11"/>
    </row>
    <row r="7558" spans="1:1" ht="14.4">
      <c r="A7558" s="11"/>
    </row>
    <row r="7559" spans="1:1" ht="14.4">
      <c r="A7559" s="11"/>
    </row>
    <row r="7560" spans="1:1" ht="14.4">
      <c r="A7560" s="11"/>
    </row>
    <row r="7561" spans="1:1" ht="14.4">
      <c r="A7561" s="11"/>
    </row>
    <row r="7562" spans="1:1" ht="14.4">
      <c r="A7562" s="11"/>
    </row>
    <row r="7563" spans="1:1" ht="14.4">
      <c r="A7563" s="11"/>
    </row>
    <row r="7564" spans="1:1" ht="14.4">
      <c r="A7564" s="11"/>
    </row>
    <row r="7565" spans="1:1" ht="14.4">
      <c r="A7565" s="11"/>
    </row>
    <row r="7566" spans="1:1" ht="14.4">
      <c r="A7566" s="11"/>
    </row>
    <row r="7567" spans="1:1" ht="14.4">
      <c r="A7567" s="11"/>
    </row>
    <row r="7568" spans="1:1" ht="14.4">
      <c r="A7568" s="11"/>
    </row>
    <row r="7569" spans="1:1" ht="14.4">
      <c r="A7569" s="11"/>
    </row>
    <row r="7570" spans="1:1" ht="14.4">
      <c r="A7570" s="11"/>
    </row>
    <row r="7571" spans="1:1" ht="14.4">
      <c r="A7571" s="11"/>
    </row>
    <row r="7572" spans="1:1" ht="14.4">
      <c r="A7572" s="11"/>
    </row>
    <row r="7573" spans="1:1" ht="14.4">
      <c r="A7573" s="11"/>
    </row>
    <row r="7574" spans="1:1" ht="14.4">
      <c r="A7574" s="11"/>
    </row>
    <row r="7575" spans="1:1" ht="14.4">
      <c r="A7575" s="11"/>
    </row>
    <row r="7576" spans="1:1" ht="14.4">
      <c r="A7576" s="11"/>
    </row>
    <row r="7577" spans="1:1" ht="14.4">
      <c r="A7577" s="11"/>
    </row>
    <row r="7578" spans="1:1" ht="14.4">
      <c r="A7578" s="11"/>
    </row>
    <row r="7579" spans="1:1" ht="14.4">
      <c r="A7579" s="11"/>
    </row>
    <row r="7580" spans="1:1" ht="14.4">
      <c r="A7580" s="11"/>
    </row>
    <row r="7581" spans="1:1" ht="14.4">
      <c r="A7581" s="11"/>
    </row>
    <row r="7582" spans="1:1" ht="14.4">
      <c r="A7582" s="11"/>
    </row>
    <row r="7583" spans="1:1" ht="14.4">
      <c r="A7583" s="11"/>
    </row>
    <row r="7584" spans="1:1" ht="14.4">
      <c r="A7584" s="11"/>
    </row>
    <row r="7585" spans="1:1" ht="14.4">
      <c r="A7585" s="11"/>
    </row>
    <row r="7586" spans="1:1" ht="14.4">
      <c r="A7586" s="11"/>
    </row>
    <row r="7587" spans="1:1" ht="14.4">
      <c r="A7587" s="11"/>
    </row>
    <row r="7588" spans="1:1" ht="14.4">
      <c r="A7588" s="11"/>
    </row>
    <row r="7589" spans="1:1" ht="14.4">
      <c r="A7589" s="11"/>
    </row>
    <row r="7590" spans="1:1" ht="14.4">
      <c r="A7590" s="11"/>
    </row>
    <row r="7591" spans="1:1" ht="14.4">
      <c r="A7591" s="11"/>
    </row>
    <row r="7592" spans="1:1" ht="14.4">
      <c r="A7592" s="11"/>
    </row>
    <row r="7593" spans="1:1" ht="14.4">
      <c r="A7593" s="11"/>
    </row>
    <row r="7594" spans="1:1" ht="14.4">
      <c r="A7594" s="11"/>
    </row>
    <row r="7595" spans="1:1" ht="14.4">
      <c r="A7595" s="11"/>
    </row>
    <row r="7596" spans="1:1" ht="14.4">
      <c r="A7596" s="11"/>
    </row>
    <row r="7597" spans="1:1" ht="14.4">
      <c r="A7597" s="11"/>
    </row>
    <row r="7598" spans="1:1" ht="14.4">
      <c r="A7598" s="11"/>
    </row>
    <row r="7599" spans="1:1" ht="14.4">
      <c r="A7599" s="11"/>
    </row>
    <row r="7600" spans="1:1" ht="14.4">
      <c r="A7600" s="11"/>
    </row>
    <row r="7601" spans="1:1" ht="14.4">
      <c r="A7601" s="11"/>
    </row>
    <row r="7602" spans="1:1" ht="14.4">
      <c r="A7602" s="11"/>
    </row>
    <row r="7603" spans="1:1" ht="14.4">
      <c r="A7603" s="11"/>
    </row>
    <row r="7604" spans="1:1" ht="14.4">
      <c r="A7604" s="11"/>
    </row>
    <row r="7605" spans="1:1" ht="14.4">
      <c r="A7605" s="11"/>
    </row>
    <row r="7606" spans="1:1" ht="14.4">
      <c r="A7606" s="11"/>
    </row>
    <row r="7607" spans="1:1" ht="14.4">
      <c r="A7607" s="11"/>
    </row>
    <row r="7608" spans="1:1" ht="14.4">
      <c r="A7608" s="11"/>
    </row>
    <row r="7609" spans="1:1" ht="14.4">
      <c r="A7609" s="11"/>
    </row>
    <row r="7610" spans="1:1" ht="14.4">
      <c r="A7610" s="11"/>
    </row>
    <row r="7611" spans="1:1" ht="14.4">
      <c r="A7611" s="11"/>
    </row>
    <row r="7612" spans="1:1" ht="14.4">
      <c r="A7612" s="11"/>
    </row>
    <row r="7613" spans="1:1" ht="14.4">
      <c r="A7613" s="11"/>
    </row>
    <row r="7614" spans="1:1" ht="14.4">
      <c r="A7614" s="11"/>
    </row>
    <row r="7615" spans="1:1" ht="14.4">
      <c r="A7615" s="11"/>
    </row>
    <row r="7616" spans="1:1" ht="14.4">
      <c r="A7616" s="11"/>
    </row>
    <row r="7617" spans="1:1" ht="14.4">
      <c r="A7617" s="11"/>
    </row>
    <row r="7618" spans="1:1" ht="14.4">
      <c r="A7618" s="11"/>
    </row>
    <row r="7619" spans="1:1" ht="14.4">
      <c r="A7619" s="11"/>
    </row>
    <row r="7620" spans="1:1" ht="14.4">
      <c r="A7620" s="11"/>
    </row>
    <row r="7621" spans="1:1" ht="14.4">
      <c r="A7621" s="11"/>
    </row>
    <row r="7622" spans="1:1" ht="14.4">
      <c r="A7622" s="11"/>
    </row>
    <row r="7623" spans="1:1" ht="14.4">
      <c r="A7623" s="11"/>
    </row>
    <row r="7624" spans="1:1" ht="14.4">
      <c r="A7624" s="11"/>
    </row>
    <row r="7625" spans="1:1" ht="14.4">
      <c r="A7625" s="11"/>
    </row>
    <row r="7626" spans="1:1" ht="14.4">
      <c r="A7626" s="11"/>
    </row>
    <row r="7627" spans="1:1" ht="14.4">
      <c r="A7627" s="11"/>
    </row>
    <row r="7628" spans="1:1" ht="14.4">
      <c r="A7628" s="11"/>
    </row>
    <row r="7629" spans="1:1" ht="14.4">
      <c r="A7629" s="11"/>
    </row>
    <row r="7630" spans="1:1" ht="14.4">
      <c r="A7630" s="11"/>
    </row>
    <row r="7631" spans="1:1" ht="14.4">
      <c r="A7631" s="11"/>
    </row>
    <row r="7632" spans="1:1" ht="14.4">
      <c r="A7632" s="11"/>
    </row>
    <row r="7633" spans="1:1" ht="14.4">
      <c r="A7633" s="11"/>
    </row>
    <row r="7634" spans="1:1" ht="14.4">
      <c r="A7634" s="11"/>
    </row>
    <row r="7635" spans="1:1" ht="14.4">
      <c r="A7635" s="11"/>
    </row>
    <row r="7636" spans="1:1" ht="14.4">
      <c r="A7636" s="11"/>
    </row>
    <row r="7637" spans="1:1" ht="14.4">
      <c r="A7637" s="11"/>
    </row>
    <row r="7638" spans="1:1" ht="14.4">
      <c r="A7638" s="11"/>
    </row>
    <row r="7639" spans="1:1" ht="14.4">
      <c r="A7639" s="11"/>
    </row>
    <row r="7640" spans="1:1" ht="14.4">
      <c r="A7640" s="11"/>
    </row>
    <row r="7641" spans="1:1" ht="14.4">
      <c r="A7641" s="11"/>
    </row>
    <row r="7642" spans="1:1" ht="14.4">
      <c r="A7642" s="11"/>
    </row>
    <row r="7643" spans="1:1" ht="14.4">
      <c r="A7643" s="11"/>
    </row>
    <row r="7644" spans="1:1" ht="14.4">
      <c r="A7644" s="11"/>
    </row>
    <row r="7645" spans="1:1" ht="14.4">
      <c r="A7645" s="11"/>
    </row>
    <row r="7646" spans="1:1" ht="14.4">
      <c r="A7646" s="11"/>
    </row>
    <row r="7647" spans="1:1" ht="14.4">
      <c r="A7647" s="11"/>
    </row>
    <row r="7648" spans="1:1" ht="14.4">
      <c r="A7648" s="11"/>
    </row>
    <row r="7649" spans="1:1" ht="14.4">
      <c r="A7649" s="11"/>
    </row>
    <row r="7650" spans="1:1" ht="14.4">
      <c r="A7650" s="11"/>
    </row>
    <row r="7651" spans="1:1" ht="14.4">
      <c r="A7651" s="11"/>
    </row>
    <row r="7652" spans="1:1" ht="14.4">
      <c r="A7652" s="11"/>
    </row>
    <row r="7653" spans="1:1" ht="14.4">
      <c r="A7653" s="11"/>
    </row>
    <row r="7654" spans="1:1" ht="14.4">
      <c r="A7654" s="11"/>
    </row>
    <row r="7655" spans="1:1" ht="14.4">
      <c r="A7655" s="11"/>
    </row>
    <row r="7656" spans="1:1" ht="14.4">
      <c r="A7656" s="11"/>
    </row>
    <row r="7657" spans="1:1" ht="14.4">
      <c r="A7657" s="11"/>
    </row>
    <row r="7658" spans="1:1" ht="14.4">
      <c r="A7658" s="11"/>
    </row>
    <row r="7659" spans="1:1" ht="14.4">
      <c r="A7659" s="11"/>
    </row>
    <row r="7660" spans="1:1" ht="14.4">
      <c r="A7660" s="11"/>
    </row>
    <row r="7661" spans="1:1" ht="14.4">
      <c r="A7661" s="11"/>
    </row>
    <row r="7662" spans="1:1" ht="14.4">
      <c r="A7662" s="11"/>
    </row>
    <row r="7663" spans="1:1" ht="14.4">
      <c r="A7663" s="11"/>
    </row>
    <row r="7664" spans="1:1" ht="14.4">
      <c r="A7664" s="11"/>
    </row>
    <row r="7665" spans="1:1" ht="14.4">
      <c r="A7665" s="11"/>
    </row>
    <row r="7666" spans="1:1" ht="14.4">
      <c r="A7666" s="11"/>
    </row>
    <row r="7667" spans="1:1" ht="14.4">
      <c r="A7667" s="11"/>
    </row>
    <row r="7668" spans="1:1" ht="14.4">
      <c r="A7668" s="11"/>
    </row>
    <row r="7669" spans="1:1" ht="14.4">
      <c r="A7669" s="11"/>
    </row>
    <row r="7670" spans="1:1" ht="14.4">
      <c r="A7670" s="11"/>
    </row>
    <row r="7671" spans="1:1" ht="14.4">
      <c r="A7671" s="11"/>
    </row>
    <row r="7672" spans="1:1" ht="14.4">
      <c r="A7672" s="11"/>
    </row>
    <row r="7673" spans="1:1" ht="14.4">
      <c r="A7673" s="11"/>
    </row>
    <row r="7674" spans="1:1" ht="14.4">
      <c r="A7674" s="11"/>
    </row>
    <row r="7675" spans="1:1" ht="14.4">
      <c r="A7675" s="11"/>
    </row>
    <row r="7676" spans="1:1" ht="14.4">
      <c r="A7676" s="11"/>
    </row>
    <row r="7677" spans="1:1" ht="14.4">
      <c r="A7677" s="11"/>
    </row>
    <row r="7678" spans="1:1" ht="14.4">
      <c r="A7678" s="11"/>
    </row>
    <row r="7679" spans="1:1" ht="14.4">
      <c r="A7679" s="11"/>
    </row>
    <row r="7680" spans="1:1" ht="14.4">
      <c r="A7680" s="11"/>
    </row>
    <row r="7681" spans="1:1" ht="14.4">
      <c r="A7681" s="11"/>
    </row>
    <row r="7682" spans="1:1" ht="14.4">
      <c r="A7682" s="11"/>
    </row>
    <row r="7683" spans="1:1" ht="14.4">
      <c r="A7683" s="11"/>
    </row>
    <row r="7684" spans="1:1" ht="14.4">
      <c r="A7684" s="11"/>
    </row>
    <row r="7685" spans="1:1" ht="14.4">
      <c r="A7685" s="11"/>
    </row>
    <row r="7686" spans="1:1" ht="14.4">
      <c r="A7686" s="11"/>
    </row>
    <row r="7687" spans="1:1" ht="14.4">
      <c r="A7687" s="11"/>
    </row>
    <row r="7688" spans="1:1" ht="14.4">
      <c r="A7688" s="11"/>
    </row>
    <row r="7689" spans="1:1" ht="14.4">
      <c r="A7689" s="11"/>
    </row>
    <row r="7690" spans="1:1" ht="14.4">
      <c r="A7690" s="11"/>
    </row>
    <row r="7691" spans="1:1" ht="14.4">
      <c r="A7691" s="11"/>
    </row>
    <row r="7692" spans="1:1" ht="14.4">
      <c r="A7692" s="11"/>
    </row>
    <row r="7693" spans="1:1" ht="14.4">
      <c r="A7693" s="11"/>
    </row>
    <row r="7694" spans="1:1" ht="14.4">
      <c r="A7694" s="11"/>
    </row>
    <row r="7695" spans="1:1" ht="14.4">
      <c r="A7695" s="11"/>
    </row>
    <row r="7696" spans="1:1" ht="14.4">
      <c r="A7696" s="11"/>
    </row>
    <row r="7697" spans="1:1" ht="14.4">
      <c r="A7697" s="11"/>
    </row>
    <row r="7698" spans="1:1" ht="14.4">
      <c r="A7698" s="11"/>
    </row>
    <row r="7699" spans="1:1" ht="14.4">
      <c r="A7699" s="11"/>
    </row>
    <row r="7700" spans="1:1" ht="14.4">
      <c r="A7700" s="11"/>
    </row>
    <row r="7701" spans="1:1" ht="14.4">
      <c r="A7701" s="11"/>
    </row>
    <row r="7702" spans="1:1" ht="14.4">
      <c r="A7702" s="11"/>
    </row>
    <row r="7703" spans="1:1" ht="14.4">
      <c r="A7703" s="11"/>
    </row>
    <row r="7704" spans="1:1" ht="14.4">
      <c r="A7704" s="11"/>
    </row>
    <row r="7705" spans="1:1" ht="14.4">
      <c r="A7705" s="11"/>
    </row>
    <row r="7706" spans="1:1" ht="14.4">
      <c r="A7706" s="11"/>
    </row>
    <row r="7707" spans="1:1" ht="14.4">
      <c r="A7707" s="11"/>
    </row>
    <row r="7708" spans="1:1" ht="14.4">
      <c r="A7708" s="11"/>
    </row>
    <row r="7709" spans="1:1" ht="14.4">
      <c r="A7709" s="11"/>
    </row>
    <row r="7710" spans="1:1" ht="14.4">
      <c r="A7710" s="11"/>
    </row>
    <row r="7711" spans="1:1" ht="14.4">
      <c r="A7711" s="11"/>
    </row>
    <row r="7712" spans="1:1" ht="14.4">
      <c r="A7712" s="11"/>
    </row>
    <row r="7713" spans="1:1" ht="14.4">
      <c r="A7713" s="11"/>
    </row>
    <row r="7714" spans="1:1" ht="14.4">
      <c r="A7714" s="11"/>
    </row>
    <row r="7715" spans="1:1" ht="14.4">
      <c r="A7715" s="11"/>
    </row>
    <row r="7716" spans="1:1" ht="14.4">
      <c r="A7716" s="11"/>
    </row>
    <row r="7717" spans="1:1" ht="14.4">
      <c r="A7717" s="11"/>
    </row>
    <row r="7718" spans="1:1" ht="14.4">
      <c r="A7718" s="11"/>
    </row>
    <row r="7719" spans="1:1" ht="14.4">
      <c r="A7719" s="11"/>
    </row>
    <row r="7720" spans="1:1" ht="14.4">
      <c r="A7720" s="11"/>
    </row>
    <row r="7721" spans="1:1" ht="14.4">
      <c r="A7721" s="11"/>
    </row>
    <row r="7722" spans="1:1" ht="14.4">
      <c r="A7722" s="11"/>
    </row>
    <row r="7723" spans="1:1" ht="14.4">
      <c r="A7723" s="11"/>
    </row>
    <row r="7724" spans="1:1" ht="14.4">
      <c r="A7724" s="11"/>
    </row>
    <row r="7725" spans="1:1" ht="14.4">
      <c r="A7725" s="11"/>
    </row>
    <row r="7726" spans="1:1" ht="14.4">
      <c r="A7726" s="11"/>
    </row>
    <row r="7727" spans="1:1" ht="14.4">
      <c r="A7727" s="11"/>
    </row>
    <row r="7728" spans="1:1" ht="14.4">
      <c r="A7728" s="11"/>
    </row>
    <row r="7729" spans="1:1" ht="14.4">
      <c r="A7729" s="11"/>
    </row>
    <row r="7730" spans="1:1" ht="14.4">
      <c r="A7730" s="11"/>
    </row>
    <row r="7731" spans="1:1" ht="14.4">
      <c r="A7731" s="11"/>
    </row>
    <row r="7732" spans="1:1" ht="14.4">
      <c r="A7732" s="11"/>
    </row>
    <row r="7733" spans="1:1" ht="14.4">
      <c r="A7733" s="11"/>
    </row>
    <row r="7734" spans="1:1" ht="14.4">
      <c r="A7734" s="11"/>
    </row>
    <row r="7735" spans="1:1" ht="14.4">
      <c r="A7735" s="11"/>
    </row>
    <row r="7736" spans="1:1" ht="14.4">
      <c r="A7736" s="11"/>
    </row>
    <row r="7737" spans="1:1" ht="14.4">
      <c r="A7737" s="11"/>
    </row>
    <row r="7738" spans="1:1" ht="14.4">
      <c r="A7738" s="11"/>
    </row>
    <row r="7739" spans="1:1" ht="14.4">
      <c r="A7739" s="11"/>
    </row>
    <row r="7740" spans="1:1" ht="14.4">
      <c r="A7740" s="11"/>
    </row>
    <row r="7741" spans="1:1" ht="14.4">
      <c r="A7741" s="11"/>
    </row>
    <row r="7742" spans="1:1" ht="14.4">
      <c r="A7742" s="11"/>
    </row>
    <row r="7743" spans="1:1" ht="14.4">
      <c r="A7743" s="11"/>
    </row>
    <row r="7744" spans="1:1" ht="14.4">
      <c r="A7744" s="11"/>
    </row>
    <row r="7745" spans="1:1" ht="14.4">
      <c r="A7745" s="11"/>
    </row>
    <row r="7746" spans="1:1" ht="14.4">
      <c r="A7746" s="11"/>
    </row>
    <row r="7747" spans="1:1" ht="14.4">
      <c r="A7747" s="11"/>
    </row>
    <row r="7748" spans="1:1" ht="14.4">
      <c r="A7748" s="11"/>
    </row>
    <row r="7749" spans="1:1" ht="14.4">
      <c r="A7749" s="11"/>
    </row>
    <row r="7750" spans="1:1" ht="14.4">
      <c r="A7750" s="11"/>
    </row>
    <row r="7751" spans="1:1" ht="14.4">
      <c r="A7751" s="11"/>
    </row>
    <row r="7752" spans="1:1" ht="14.4">
      <c r="A7752" s="11"/>
    </row>
    <row r="7753" spans="1:1" ht="14.4">
      <c r="A7753" s="11"/>
    </row>
    <row r="7754" spans="1:1" ht="14.4">
      <c r="A7754" s="11"/>
    </row>
    <row r="7755" spans="1:1" ht="14.4">
      <c r="A7755" s="11"/>
    </row>
    <row r="7756" spans="1:1" ht="14.4">
      <c r="A7756" s="11"/>
    </row>
    <row r="7757" spans="1:1" ht="14.4">
      <c r="A7757" s="11"/>
    </row>
    <row r="7758" spans="1:1" ht="14.4">
      <c r="A7758" s="11"/>
    </row>
    <row r="7759" spans="1:1" ht="14.4">
      <c r="A7759" s="11"/>
    </row>
    <row r="7760" spans="1:1" ht="14.4">
      <c r="A7760" s="11"/>
    </row>
    <row r="7761" spans="1:1" ht="14.4">
      <c r="A7761" s="11"/>
    </row>
    <row r="7762" spans="1:1" ht="14.4">
      <c r="A7762" s="11"/>
    </row>
    <row r="7763" spans="1:1" ht="14.4">
      <c r="A7763" s="11"/>
    </row>
    <row r="7764" spans="1:1" ht="14.4">
      <c r="A7764" s="11"/>
    </row>
    <row r="7765" spans="1:1" ht="14.4">
      <c r="A7765" s="11"/>
    </row>
    <row r="7766" spans="1:1" ht="14.4">
      <c r="A7766" s="11"/>
    </row>
    <row r="7767" spans="1:1" ht="14.4">
      <c r="A7767" s="11"/>
    </row>
    <row r="7768" spans="1:1" ht="14.4">
      <c r="A7768" s="11"/>
    </row>
    <row r="7769" spans="1:1" ht="14.4">
      <c r="A7769" s="11"/>
    </row>
    <row r="7770" spans="1:1" ht="14.4">
      <c r="A7770" s="11"/>
    </row>
    <row r="7771" spans="1:1" ht="14.4">
      <c r="A7771" s="11"/>
    </row>
    <row r="7772" spans="1:1" ht="14.4">
      <c r="A7772" s="11"/>
    </row>
    <row r="7773" spans="1:1" ht="14.4">
      <c r="A7773" s="11"/>
    </row>
    <row r="7774" spans="1:1" ht="14.4">
      <c r="A7774" s="11"/>
    </row>
    <row r="7775" spans="1:1" ht="14.4">
      <c r="A7775" s="11"/>
    </row>
    <row r="7776" spans="1:1" ht="14.4">
      <c r="A7776" s="11"/>
    </row>
    <row r="7777" spans="1:1" ht="14.4">
      <c r="A7777" s="11"/>
    </row>
    <row r="7778" spans="1:1" ht="14.4">
      <c r="A7778" s="11"/>
    </row>
    <row r="7779" spans="1:1" ht="14.4">
      <c r="A7779" s="11"/>
    </row>
    <row r="7780" spans="1:1" ht="14.4">
      <c r="A7780" s="11"/>
    </row>
    <row r="7781" spans="1:1" ht="14.4">
      <c r="A7781" s="11"/>
    </row>
    <row r="7782" spans="1:1" ht="14.4">
      <c r="A7782" s="11"/>
    </row>
    <row r="7783" spans="1:1" ht="14.4">
      <c r="A7783" s="11"/>
    </row>
    <row r="7784" spans="1:1" ht="14.4">
      <c r="A7784" s="11"/>
    </row>
    <row r="7785" spans="1:1" ht="14.4">
      <c r="A7785" s="11"/>
    </row>
    <row r="7786" spans="1:1" ht="14.4">
      <c r="A7786" s="11"/>
    </row>
    <row r="7787" spans="1:1" ht="14.4">
      <c r="A7787" s="11"/>
    </row>
    <row r="7788" spans="1:1" ht="14.4">
      <c r="A7788" s="11"/>
    </row>
    <row r="7789" spans="1:1" ht="14.4">
      <c r="A7789" s="11"/>
    </row>
    <row r="7790" spans="1:1" ht="14.4">
      <c r="A7790" s="11"/>
    </row>
    <row r="7791" spans="1:1" ht="14.4">
      <c r="A7791" s="11"/>
    </row>
    <row r="7792" spans="1:1" ht="14.4">
      <c r="A7792" s="11"/>
    </row>
    <row r="7793" spans="1:1" ht="14.4">
      <c r="A7793" s="11"/>
    </row>
    <row r="7794" spans="1:1" ht="14.4">
      <c r="A7794" s="11"/>
    </row>
    <row r="7795" spans="1:1" ht="14.4">
      <c r="A7795" s="11"/>
    </row>
    <row r="7796" spans="1:1" ht="14.4">
      <c r="A7796" s="11"/>
    </row>
    <row r="7797" spans="1:1" ht="14.4">
      <c r="A7797" s="11"/>
    </row>
    <row r="7798" spans="1:1" ht="14.4">
      <c r="A7798" s="11"/>
    </row>
    <row r="7799" spans="1:1" ht="14.4">
      <c r="A7799" s="11"/>
    </row>
    <row r="7800" spans="1:1" ht="14.4">
      <c r="A7800" s="11"/>
    </row>
    <row r="7801" spans="1:1" ht="14.4">
      <c r="A7801" s="11"/>
    </row>
    <row r="7802" spans="1:1" ht="14.4">
      <c r="A7802" s="11"/>
    </row>
    <row r="7803" spans="1:1" ht="14.4">
      <c r="A7803" s="11"/>
    </row>
    <row r="7804" spans="1:1" ht="14.4">
      <c r="A7804" s="11"/>
    </row>
    <row r="7805" spans="1:1" ht="14.4">
      <c r="A7805" s="11"/>
    </row>
    <row r="7806" spans="1:1" ht="14.4">
      <c r="A7806" s="11"/>
    </row>
    <row r="7807" spans="1:1" ht="14.4">
      <c r="A7807" s="11"/>
    </row>
    <row r="7808" spans="1:1" ht="14.4">
      <c r="A7808" s="11"/>
    </row>
    <row r="7809" spans="1:1" ht="14.4">
      <c r="A7809" s="11"/>
    </row>
    <row r="7810" spans="1:1" ht="14.4">
      <c r="A7810" s="11"/>
    </row>
    <row r="7811" spans="1:1" ht="14.4">
      <c r="A7811" s="11"/>
    </row>
    <row r="7812" spans="1:1" ht="14.4">
      <c r="A7812" s="11"/>
    </row>
    <row r="7813" spans="1:1" ht="14.4">
      <c r="A7813" s="11"/>
    </row>
    <row r="7814" spans="1:1" ht="14.4">
      <c r="A7814" s="11"/>
    </row>
    <row r="7815" spans="1:1" ht="14.4">
      <c r="A7815" s="11"/>
    </row>
    <row r="7816" spans="1:1" ht="14.4">
      <c r="A7816" s="11"/>
    </row>
    <row r="7817" spans="1:1" ht="14.4">
      <c r="A7817" s="11"/>
    </row>
    <row r="7818" spans="1:1" ht="14.4">
      <c r="A7818" s="11"/>
    </row>
    <row r="7819" spans="1:1" ht="14.4">
      <c r="A7819" s="11"/>
    </row>
    <row r="7820" spans="1:1" ht="14.4">
      <c r="A7820" s="11"/>
    </row>
    <row r="7821" spans="1:1" ht="14.4">
      <c r="A7821" s="11"/>
    </row>
    <row r="7822" spans="1:1" ht="14.4">
      <c r="A7822" s="11"/>
    </row>
    <row r="7823" spans="1:1" ht="14.4">
      <c r="A7823" s="11"/>
    </row>
    <row r="7824" spans="1:1" ht="14.4">
      <c r="A7824" s="11"/>
    </row>
    <row r="7825" spans="1:1" ht="14.4">
      <c r="A7825" s="11"/>
    </row>
    <row r="7826" spans="1:1" ht="14.4">
      <c r="A7826" s="11"/>
    </row>
    <row r="7827" spans="1:1" ht="14.4">
      <c r="A7827" s="11"/>
    </row>
    <row r="7828" spans="1:1" ht="14.4">
      <c r="A7828" s="11"/>
    </row>
    <row r="7829" spans="1:1" ht="14.4">
      <c r="A7829" s="11"/>
    </row>
    <row r="7830" spans="1:1" ht="14.4">
      <c r="A7830" s="11"/>
    </row>
    <row r="7831" spans="1:1" ht="14.4">
      <c r="A7831" s="11"/>
    </row>
    <row r="7832" spans="1:1" ht="14.4">
      <c r="A7832" s="11"/>
    </row>
    <row r="7833" spans="1:1" ht="14.4">
      <c r="A7833" s="11"/>
    </row>
    <row r="7834" spans="1:1" ht="14.4">
      <c r="A7834" s="11"/>
    </row>
    <row r="7835" spans="1:1" ht="14.4">
      <c r="A7835" s="11"/>
    </row>
    <row r="7836" spans="1:1" ht="14.4">
      <c r="A7836" s="11"/>
    </row>
    <row r="7837" spans="1:1" ht="14.4">
      <c r="A7837" s="11"/>
    </row>
    <row r="7838" spans="1:1" ht="14.4">
      <c r="A7838" s="11"/>
    </row>
    <row r="7839" spans="1:1" ht="14.4">
      <c r="A7839" s="11"/>
    </row>
    <row r="7840" spans="1:1" ht="14.4">
      <c r="A7840" s="11"/>
    </row>
    <row r="7841" spans="1:1" ht="14.4">
      <c r="A7841" s="11"/>
    </row>
    <row r="7842" spans="1:1" ht="14.4">
      <c r="A7842" s="11"/>
    </row>
    <row r="7843" spans="1:1" ht="14.4">
      <c r="A7843" s="11"/>
    </row>
    <row r="7844" spans="1:1" ht="14.4">
      <c r="A7844" s="11"/>
    </row>
    <row r="7845" spans="1:1" ht="14.4">
      <c r="A7845" s="11"/>
    </row>
    <row r="7846" spans="1:1" ht="14.4">
      <c r="A7846" s="11"/>
    </row>
    <row r="7847" spans="1:1" ht="14.4">
      <c r="A7847" s="11"/>
    </row>
    <row r="7848" spans="1:1" ht="14.4">
      <c r="A7848" s="11"/>
    </row>
    <row r="7849" spans="1:1" ht="14.4">
      <c r="A7849" s="11"/>
    </row>
    <row r="7850" spans="1:1" ht="14.4">
      <c r="A7850" s="11"/>
    </row>
    <row r="7851" spans="1:1" ht="14.4">
      <c r="A7851" s="11"/>
    </row>
    <row r="7852" spans="1:1" ht="14.4">
      <c r="A7852" s="11"/>
    </row>
    <row r="7853" spans="1:1" ht="14.4">
      <c r="A7853" s="11"/>
    </row>
    <row r="7854" spans="1:1" ht="14.4">
      <c r="A7854" s="11"/>
    </row>
    <row r="7855" spans="1:1" ht="14.4">
      <c r="A7855" s="11"/>
    </row>
    <row r="7856" spans="1:1" ht="14.4">
      <c r="A7856" s="11"/>
    </row>
    <row r="7857" spans="1:1" ht="14.4">
      <c r="A7857" s="11"/>
    </row>
    <row r="7858" spans="1:1" ht="14.4">
      <c r="A7858" s="11"/>
    </row>
    <row r="7859" spans="1:1" ht="14.4">
      <c r="A7859" s="11"/>
    </row>
    <row r="7860" spans="1:1" ht="14.4">
      <c r="A7860" s="11"/>
    </row>
    <row r="7861" spans="1:1" ht="14.4">
      <c r="A7861" s="11"/>
    </row>
    <row r="7862" spans="1:1" ht="14.4">
      <c r="A7862" s="11"/>
    </row>
    <row r="7863" spans="1:1" ht="14.4">
      <c r="A7863" s="11"/>
    </row>
    <row r="7864" spans="1:1" ht="14.4">
      <c r="A7864" s="11"/>
    </row>
    <row r="7865" spans="1:1" ht="14.4">
      <c r="A7865" s="11"/>
    </row>
    <row r="7866" spans="1:1" ht="14.4">
      <c r="A7866" s="11"/>
    </row>
    <row r="7867" spans="1:1" ht="14.4">
      <c r="A7867" s="11"/>
    </row>
    <row r="7868" spans="1:1" ht="14.4">
      <c r="A7868" s="11"/>
    </row>
    <row r="7869" spans="1:1" ht="14.4">
      <c r="A7869" s="11"/>
    </row>
    <row r="7870" spans="1:1" ht="14.4">
      <c r="A7870" s="11"/>
    </row>
    <row r="7871" spans="1:1" ht="14.4">
      <c r="A7871" s="11"/>
    </row>
    <row r="7872" spans="1:1" ht="14.4">
      <c r="A7872" s="11"/>
    </row>
    <row r="7873" spans="1:1" ht="14.4">
      <c r="A7873" s="11"/>
    </row>
    <row r="7874" spans="1:1" ht="14.4">
      <c r="A7874" s="11"/>
    </row>
    <row r="7875" spans="1:1" ht="14.4">
      <c r="A7875" s="11"/>
    </row>
    <row r="7876" spans="1:1" ht="14.4">
      <c r="A7876" s="11"/>
    </row>
    <row r="7877" spans="1:1" ht="14.4">
      <c r="A7877" s="11"/>
    </row>
    <row r="7878" spans="1:1" ht="14.4">
      <c r="A7878" s="11"/>
    </row>
    <row r="7879" spans="1:1" ht="14.4">
      <c r="A7879" s="11"/>
    </row>
    <row r="7880" spans="1:1" ht="14.4">
      <c r="A7880" s="11"/>
    </row>
    <row r="7881" spans="1:1" ht="14.4">
      <c r="A7881" s="11"/>
    </row>
    <row r="7882" spans="1:1" ht="14.4">
      <c r="A7882" s="11"/>
    </row>
    <row r="7883" spans="1:1" ht="14.4">
      <c r="A7883" s="11"/>
    </row>
    <row r="7884" spans="1:1" ht="14.4">
      <c r="A7884" s="11"/>
    </row>
    <row r="7885" spans="1:1" ht="14.4">
      <c r="A7885" s="11"/>
    </row>
    <row r="7886" spans="1:1" ht="14.4">
      <c r="A7886" s="11"/>
    </row>
    <row r="7887" spans="1:1" ht="14.4">
      <c r="A7887" s="11"/>
    </row>
    <row r="7888" spans="1:1" ht="14.4">
      <c r="A7888" s="11"/>
    </row>
    <row r="7889" spans="1:1" ht="14.4">
      <c r="A7889" s="11"/>
    </row>
    <row r="7890" spans="1:1" ht="14.4">
      <c r="A7890" s="11"/>
    </row>
    <row r="7891" spans="1:1" ht="14.4">
      <c r="A7891" s="11"/>
    </row>
    <row r="7892" spans="1:1" ht="14.4">
      <c r="A7892" s="11"/>
    </row>
    <row r="7893" spans="1:1" ht="14.4">
      <c r="A7893" s="11"/>
    </row>
    <row r="7894" spans="1:1" ht="14.4">
      <c r="A7894" s="11"/>
    </row>
    <row r="7895" spans="1:1" ht="14.4">
      <c r="A7895" s="11"/>
    </row>
    <row r="7896" spans="1:1" ht="14.4">
      <c r="A7896" s="11"/>
    </row>
    <row r="7897" spans="1:1" ht="14.4">
      <c r="A7897" s="11"/>
    </row>
    <row r="7898" spans="1:1" ht="14.4">
      <c r="A7898" s="11"/>
    </row>
    <row r="7899" spans="1:1" ht="14.4">
      <c r="A7899" s="11"/>
    </row>
    <row r="7900" spans="1:1" ht="14.4">
      <c r="A7900" s="11"/>
    </row>
    <row r="7901" spans="1:1" ht="14.4">
      <c r="A7901" s="11"/>
    </row>
    <row r="7902" spans="1:1" ht="14.4">
      <c r="A7902" s="11"/>
    </row>
    <row r="7903" spans="1:1" ht="14.4">
      <c r="A7903" s="11"/>
    </row>
    <row r="7904" spans="1:1" ht="14.4">
      <c r="A7904" s="11"/>
    </row>
    <row r="7905" spans="1:1" ht="14.4">
      <c r="A7905" s="11"/>
    </row>
    <row r="7906" spans="1:1" ht="14.4">
      <c r="A7906" s="11"/>
    </row>
    <row r="7907" spans="1:1" ht="14.4">
      <c r="A7907" s="11"/>
    </row>
    <row r="7908" spans="1:1" ht="14.4">
      <c r="A7908" s="11"/>
    </row>
    <row r="7909" spans="1:1" ht="14.4">
      <c r="A7909" s="11"/>
    </row>
    <row r="7910" spans="1:1" ht="14.4">
      <c r="A7910" s="11"/>
    </row>
    <row r="7911" spans="1:1" ht="14.4">
      <c r="A7911" s="11"/>
    </row>
    <row r="7912" spans="1:1" ht="14.4">
      <c r="A7912" s="11"/>
    </row>
    <row r="7913" spans="1:1" ht="14.4">
      <c r="A7913" s="11"/>
    </row>
    <row r="7914" spans="1:1" ht="14.4">
      <c r="A7914" s="11"/>
    </row>
    <row r="7915" spans="1:1" ht="14.4">
      <c r="A7915" s="11"/>
    </row>
    <row r="7916" spans="1:1" ht="14.4">
      <c r="A7916" s="11"/>
    </row>
    <row r="7917" spans="1:1" ht="14.4">
      <c r="A7917" s="11"/>
    </row>
    <row r="7918" spans="1:1" ht="14.4">
      <c r="A7918" s="11"/>
    </row>
    <row r="7919" spans="1:1" ht="14.4">
      <c r="A7919" s="11"/>
    </row>
    <row r="7920" spans="1:1" ht="14.4">
      <c r="A7920" s="11"/>
    </row>
    <row r="7921" spans="1:1" ht="14.4">
      <c r="A7921" s="11"/>
    </row>
    <row r="7922" spans="1:1" ht="14.4">
      <c r="A7922" s="11"/>
    </row>
    <row r="7923" spans="1:1" ht="14.4">
      <c r="A7923" s="11"/>
    </row>
    <row r="7924" spans="1:1" ht="14.4">
      <c r="A7924" s="11"/>
    </row>
    <row r="7925" spans="1:1" ht="14.4">
      <c r="A7925" s="11"/>
    </row>
    <row r="7926" spans="1:1" ht="14.4">
      <c r="A7926" s="11"/>
    </row>
    <row r="7927" spans="1:1" ht="14.4">
      <c r="A7927" s="11"/>
    </row>
    <row r="7928" spans="1:1" ht="14.4">
      <c r="A7928" s="11"/>
    </row>
    <row r="7929" spans="1:1" ht="14.4">
      <c r="A7929" s="11"/>
    </row>
    <row r="7930" spans="1:1" ht="14.4">
      <c r="A7930" s="11"/>
    </row>
    <row r="7931" spans="1:1" ht="14.4">
      <c r="A7931" s="11"/>
    </row>
    <row r="7932" spans="1:1" ht="14.4">
      <c r="A7932" s="11"/>
    </row>
    <row r="7933" spans="1:1" ht="14.4">
      <c r="A7933" s="11"/>
    </row>
    <row r="7934" spans="1:1" ht="14.4">
      <c r="A7934" s="11"/>
    </row>
    <row r="7935" spans="1:1" ht="14.4">
      <c r="A7935" s="11"/>
    </row>
    <row r="7936" spans="1:1" ht="14.4">
      <c r="A7936" s="11"/>
    </row>
    <row r="7937" spans="1:1" ht="14.4">
      <c r="A7937" s="11"/>
    </row>
    <row r="7938" spans="1:1" ht="14.4">
      <c r="A7938" s="11"/>
    </row>
    <row r="7939" spans="1:1" ht="14.4">
      <c r="A7939" s="11"/>
    </row>
    <row r="7940" spans="1:1" ht="14.4">
      <c r="A7940" s="11"/>
    </row>
    <row r="7941" spans="1:1" ht="14.4">
      <c r="A7941" s="11"/>
    </row>
    <row r="7942" spans="1:1" ht="14.4">
      <c r="A7942" s="11"/>
    </row>
    <row r="7943" spans="1:1" ht="14.4">
      <c r="A7943" s="11"/>
    </row>
    <row r="7944" spans="1:1" ht="14.4">
      <c r="A7944" s="11"/>
    </row>
    <row r="7945" spans="1:1" ht="14.4">
      <c r="A7945" s="11"/>
    </row>
    <row r="7946" spans="1:1" ht="14.4">
      <c r="A7946" s="11"/>
    </row>
    <row r="7947" spans="1:1" ht="14.4">
      <c r="A7947" s="11"/>
    </row>
    <row r="7948" spans="1:1" ht="14.4">
      <c r="A7948" s="11"/>
    </row>
    <row r="7949" spans="1:1" ht="14.4">
      <c r="A7949" s="11"/>
    </row>
    <row r="7950" spans="1:1" ht="14.4">
      <c r="A7950" s="11"/>
    </row>
    <row r="7951" spans="1:1" ht="14.4">
      <c r="A7951" s="11"/>
    </row>
    <row r="7952" spans="1:1" ht="14.4">
      <c r="A7952" s="11"/>
    </row>
    <row r="7953" spans="1:1" ht="14.4">
      <c r="A7953" s="11"/>
    </row>
    <row r="7954" spans="1:1" ht="14.4">
      <c r="A7954" s="11"/>
    </row>
    <row r="7955" spans="1:1" ht="14.4">
      <c r="A7955" s="11"/>
    </row>
    <row r="7956" spans="1:1" ht="14.4">
      <c r="A7956" s="11"/>
    </row>
    <row r="7957" spans="1:1" ht="14.4">
      <c r="A7957" s="11"/>
    </row>
    <row r="7958" spans="1:1" ht="14.4">
      <c r="A7958" s="11"/>
    </row>
    <row r="7959" spans="1:1" ht="14.4">
      <c r="A7959" s="11"/>
    </row>
    <row r="7960" spans="1:1" ht="14.4">
      <c r="A7960" s="11"/>
    </row>
    <row r="7961" spans="1:1" ht="14.4">
      <c r="A7961" s="11"/>
    </row>
    <row r="7962" spans="1:1" ht="14.4">
      <c r="A7962" s="11"/>
    </row>
    <row r="7963" spans="1:1" ht="14.4">
      <c r="A7963" s="11"/>
    </row>
    <row r="7964" spans="1:1" ht="14.4">
      <c r="A7964" s="11"/>
    </row>
    <row r="7965" spans="1:1" ht="14.4">
      <c r="A7965" s="11"/>
    </row>
    <row r="7966" spans="1:1" ht="14.4">
      <c r="A7966" s="11"/>
    </row>
    <row r="7967" spans="1:1" ht="14.4">
      <c r="A7967" s="11"/>
    </row>
    <row r="7968" spans="1:1" ht="14.4">
      <c r="A7968" s="11"/>
    </row>
    <row r="7969" spans="1:1" ht="14.4">
      <c r="A7969" s="11"/>
    </row>
    <row r="7970" spans="1:1" ht="14.4">
      <c r="A7970" s="11"/>
    </row>
    <row r="7971" spans="1:1" ht="14.4">
      <c r="A7971" s="11"/>
    </row>
    <row r="7972" spans="1:1" ht="14.4">
      <c r="A7972" s="11"/>
    </row>
    <row r="7973" spans="1:1" ht="14.4">
      <c r="A7973" s="11"/>
    </row>
    <row r="7974" spans="1:1" ht="14.4">
      <c r="A7974" s="11"/>
    </row>
    <row r="7975" spans="1:1" ht="14.4">
      <c r="A7975" s="11"/>
    </row>
    <row r="7976" spans="1:1" ht="14.4">
      <c r="A7976" s="11"/>
    </row>
    <row r="7977" spans="1:1" ht="14.4">
      <c r="A7977" s="11"/>
    </row>
    <row r="7978" spans="1:1" ht="14.4">
      <c r="A7978" s="11"/>
    </row>
    <row r="7979" spans="1:1" ht="14.4">
      <c r="A7979" s="11"/>
    </row>
    <row r="7980" spans="1:1" ht="14.4">
      <c r="A7980" s="11"/>
    </row>
    <row r="7981" spans="1:1" ht="14.4">
      <c r="A7981" s="11"/>
    </row>
    <row r="7982" spans="1:1" ht="14.4">
      <c r="A7982" s="11"/>
    </row>
    <row r="7983" spans="1:1" ht="14.4">
      <c r="A7983" s="11"/>
    </row>
    <row r="7984" spans="1:1" ht="14.4">
      <c r="A7984" s="11"/>
    </row>
    <row r="7985" spans="1:1" ht="14.4">
      <c r="A7985" s="11"/>
    </row>
    <row r="7986" spans="1:1" ht="14.4">
      <c r="A7986" s="11"/>
    </row>
    <row r="7987" spans="1:1" ht="14.4">
      <c r="A7987" s="11"/>
    </row>
    <row r="7988" spans="1:1" ht="14.4">
      <c r="A7988" s="11"/>
    </row>
    <row r="7989" spans="1:1" ht="14.4">
      <c r="A7989" s="11"/>
    </row>
    <row r="7990" spans="1:1" ht="14.4">
      <c r="A7990" s="11"/>
    </row>
    <row r="7991" spans="1:1" ht="14.4">
      <c r="A7991" s="11"/>
    </row>
    <row r="7992" spans="1:1" ht="14.4">
      <c r="A7992" s="11"/>
    </row>
    <row r="7993" spans="1:1" ht="14.4">
      <c r="A7993" s="11"/>
    </row>
    <row r="7994" spans="1:1" ht="14.4">
      <c r="A7994" s="11"/>
    </row>
    <row r="7995" spans="1:1" ht="14.4">
      <c r="A7995" s="11"/>
    </row>
    <row r="7996" spans="1:1" ht="14.4">
      <c r="A7996" s="11"/>
    </row>
    <row r="7997" spans="1:1" ht="14.4">
      <c r="A7997" s="11"/>
    </row>
    <row r="7998" spans="1:1" ht="14.4">
      <c r="A7998" s="11"/>
    </row>
    <row r="7999" spans="1:1" ht="14.4">
      <c r="A7999" s="11"/>
    </row>
    <row r="8000" spans="1:1" ht="14.4">
      <c r="A8000" s="11"/>
    </row>
    <row r="8001" spans="1:1" ht="14.4">
      <c r="A8001" s="11"/>
    </row>
    <row r="8002" spans="1:1" ht="14.4">
      <c r="A8002" s="11"/>
    </row>
    <row r="8003" spans="1:1" ht="14.4">
      <c r="A8003" s="11"/>
    </row>
    <row r="8004" spans="1:1" ht="14.4">
      <c r="A8004" s="11"/>
    </row>
    <row r="8005" spans="1:1" ht="14.4">
      <c r="A8005" s="11"/>
    </row>
    <row r="8006" spans="1:1" ht="14.4">
      <c r="A8006" s="11"/>
    </row>
    <row r="8007" spans="1:1" ht="14.4">
      <c r="A8007" s="11"/>
    </row>
    <row r="8008" spans="1:1" ht="14.4">
      <c r="A8008" s="11"/>
    </row>
    <row r="8009" spans="1:1" ht="14.4">
      <c r="A8009" s="11"/>
    </row>
    <row r="8010" spans="1:1" ht="14.4">
      <c r="A8010" s="11"/>
    </row>
    <row r="8011" spans="1:1" ht="14.4">
      <c r="A8011" s="11"/>
    </row>
    <row r="8012" spans="1:1" ht="14.4">
      <c r="A8012" s="11"/>
    </row>
    <row r="8013" spans="1:1" ht="14.4">
      <c r="A8013" s="11"/>
    </row>
    <row r="8014" spans="1:1" ht="14.4">
      <c r="A8014" s="11"/>
    </row>
    <row r="8015" spans="1:1" ht="14.4">
      <c r="A8015" s="11"/>
    </row>
    <row r="8016" spans="1:1" ht="14.4">
      <c r="A8016" s="11"/>
    </row>
    <row r="8017" spans="1:1" ht="14.4">
      <c r="A8017" s="11"/>
    </row>
    <row r="8018" spans="1:1" ht="14.4">
      <c r="A8018" s="11"/>
    </row>
    <row r="8019" spans="1:1" ht="14.4">
      <c r="A8019" s="11"/>
    </row>
    <row r="8020" spans="1:1" ht="14.4">
      <c r="A8020" s="11"/>
    </row>
    <row r="8021" spans="1:1" ht="14.4">
      <c r="A8021" s="11"/>
    </row>
    <row r="8022" spans="1:1" ht="14.4">
      <c r="A8022" s="11"/>
    </row>
    <row r="8023" spans="1:1" ht="14.4">
      <c r="A8023" s="11"/>
    </row>
    <row r="8024" spans="1:1" ht="14.4">
      <c r="A8024" s="11"/>
    </row>
    <row r="8025" spans="1:1" ht="14.4">
      <c r="A8025" s="11"/>
    </row>
    <row r="8026" spans="1:1" ht="14.4">
      <c r="A8026" s="11"/>
    </row>
    <row r="8027" spans="1:1" ht="14.4">
      <c r="A8027" s="11"/>
    </row>
    <row r="8028" spans="1:1" ht="14.4">
      <c r="A8028" s="11"/>
    </row>
    <row r="8029" spans="1:1" ht="14.4">
      <c r="A8029" s="11"/>
    </row>
    <row r="8030" spans="1:1" ht="14.4">
      <c r="A8030" s="11"/>
    </row>
    <row r="8031" spans="1:1" ht="14.4">
      <c r="A8031" s="11"/>
    </row>
    <row r="8032" spans="1:1" ht="14.4">
      <c r="A8032" s="11"/>
    </row>
    <row r="8033" spans="1:1" ht="14.4">
      <c r="A8033" s="11"/>
    </row>
    <row r="8034" spans="1:1" ht="14.4">
      <c r="A8034" s="11"/>
    </row>
    <row r="8035" spans="1:1" ht="14.4">
      <c r="A8035" s="11"/>
    </row>
    <row r="8036" spans="1:1" ht="14.4">
      <c r="A8036" s="11"/>
    </row>
    <row r="8037" spans="1:1" ht="14.4">
      <c r="A8037" s="11"/>
    </row>
    <row r="8038" spans="1:1" ht="14.4">
      <c r="A8038" s="11"/>
    </row>
    <row r="8039" spans="1:1" ht="14.4">
      <c r="A8039" s="11"/>
    </row>
    <row r="8040" spans="1:1" ht="14.4">
      <c r="A8040" s="11"/>
    </row>
    <row r="8041" spans="1:1" ht="14.4">
      <c r="A8041" s="11"/>
    </row>
    <row r="8042" spans="1:1" ht="14.4">
      <c r="A8042" s="11"/>
    </row>
    <row r="8043" spans="1:1" ht="14.4">
      <c r="A8043" s="11"/>
    </row>
    <row r="8044" spans="1:1" ht="14.4">
      <c r="A8044" s="11"/>
    </row>
    <row r="8045" spans="1:1" ht="14.4">
      <c r="A8045" s="11"/>
    </row>
    <row r="8046" spans="1:1" ht="14.4">
      <c r="A8046" s="11"/>
    </row>
    <row r="8047" spans="1:1" ht="14.4">
      <c r="A8047" s="11"/>
    </row>
    <row r="8048" spans="1:1" ht="14.4">
      <c r="A8048" s="11"/>
    </row>
    <row r="8049" spans="1:1" ht="14.4">
      <c r="A8049" s="11"/>
    </row>
    <row r="8050" spans="1:1" ht="14.4">
      <c r="A8050" s="11"/>
    </row>
    <row r="8051" spans="1:1" ht="14.4">
      <c r="A8051" s="11"/>
    </row>
    <row r="8052" spans="1:1" ht="14.4">
      <c r="A8052" s="11"/>
    </row>
    <row r="8053" spans="1:1" ht="14.4">
      <c r="A8053" s="11"/>
    </row>
    <row r="8054" spans="1:1" ht="14.4">
      <c r="A8054" s="11"/>
    </row>
    <row r="8055" spans="1:1" ht="14.4">
      <c r="A8055" s="11"/>
    </row>
    <row r="8056" spans="1:1" ht="14.4">
      <c r="A8056" s="11"/>
    </row>
    <row r="8057" spans="1:1" ht="14.4">
      <c r="A8057" s="11"/>
    </row>
    <row r="8058" spans="1:1" ht="14.4">
      <c r="A8058" s="11"/>
    </row>
    <row r="8059" spans="1:1" ht="14.4">
      <c r="A8059" s="11"/>
    </row>
    <row r="8060" spans="1:1" ht="14.4">
      <c r="A8060" s="11"/>
    </row>
    <row r="8061" spans="1:1" ht="14.4">
      <c r="A8061" s="11"/>
    </row>
    <row r="8062" spans="1:1" ht="14.4">
      <c r="A8062" s="11"/>
    </row>
    <row r="8063" spans="1:1" ht="14.4">
      <c r="A8063" s="11"/>
    </row>
    <row r="8064" spans="1:1" ht="14.4">
      <c r="A8064" s="11"/>
    </row>
    <row r="8065" spans="1:1" ht="14.4">
      <c r="A8065" s="11"/>
    </row>
    <row r="8066" spans="1:1" ht="14.4">
      <c r="A8066" s="11"/>
    </row>
    <row r="8067" spans="1:1" ht="14.4">
      <c r="A8067" s="11"/>
    </row>
    <row r="8068" spans="1:1" ht="14.4">
      <c r="A8068" s="11"/>
    </row>
    <row r="8069" spans="1:1" ht="14.4">
      <c r="A8069" s="11"/>
    </row>
    <row r="8070" spans="1:1" ht="14.4">
      <c r="A8070" s="11"/>
    </row>
    <row r="8071" spans="1:1" ht="14.4">
      <c r="A8071" s="11"/>
    </row>
    <row r="8072" spans="1:1" ht="14.4">
      <c r="A8072" s="11"/>
    </row>
    <row r="8073" spans="1:1" ht="14.4">
      <c r="A8073" s="11"/>
    </row>
    <row r="8074" spans="1:1" ht="14.4">
      <c r="A8074" s="11"/>
    </row>
    <row r="8075" spans="1:1" ht="14.4">
      <c r="A8075" s="11"/>
    </row>
    <row r="8076" spans="1:1" ht="14.4">
      <c r="A8076" s="11"/>
    </row>
    <row r="8077" spans="1:1" ht="14.4">
      <c r="A8077" s="11"/>
    </row>
    <row r="8078" spans="1:1" ht="14.4">
      <c r="A8078" s="11"/>
    </row>
    <row r="8079" spans="1:1" ht="14.4">
      <c r="A8079" s="11"/>
    </row>
    <row r="8080" spans="1:1" ht="14.4">
      <c r="A8080" s="11"/>
    </row>
    <row r="8081" spans="1:1" ht="14.4">
      <c r="A8081" s="11"/>
    </row>
    <row r="8082" spans="1:1" ht="14.4">
      <c r="A8082" s="11"/>
    </row>
    <row r="8083" spans="1:1" ht="14.4">
      <c r="A8083" s="11"/>
    </row>
    <row r="8084" spans="1:1" ht="14.4">
      <c r="A8084" s="11"/>
    </row>
    <row r="8085" spans="1:1" ht="14.4">
      <c r="A8085" s="11"/>
    </row>
    <row r="8086" spans="1:1" ht="14.4">
      <c r="A8086" s="11"/>
    </row>
    <row r="8087" spans="1:1" ht="14.4">
      <c r="A8087" s="11"/>
    </row>
    <row r="8088" spans="1:1" ht="14.4">
      <c r="A8088" s="11"/>
    </row>
    <row r="8089" spans="1:1" ht="14.4">
      <c r="A8089" s="11"/>
    </row>
    <row r="8090" spans="1:1" ht="14.4">
      <c r="A8090" s="11"/>
    </row>
    <row r="8091" spans="1:1" ht="14.4">
      <c r="A8091" s="11"/>
    </row>
    <row r="8092" spans="1:1" ht="14.4">
      <c r="A8092" s="11"/>
    </row>
    <row r="8093" spans="1:1" ht="14.4">
      <c r="A8093" s="11"/>
    </row>
    <row r="8094" spans="1:1" ht="14.4">
      <c r="A8094" s="11"/>
    </row>
    <row r="8095" spans="1:1" ht="14.4">
      <c r="A8095" s="11"/>
    </row>
    <row r="8096" spans="1:1" ht="14.4">
      <c r="A8096" s="11"/>
    </row>
    <row r="8097" spans="1:1" ht="14.4">
      <c r="A8097" s="11"/>
    </row>
    <row r="8098" spans="1:1" ht="14.4">
      <c r="A8098" s="11"/>
    </row>
    <row r="8099" spans="1:1" ht="14.4">
      <c r="A8099" s="11"/>
    </row>
    <row r="8100" spans="1:1" ht="14.4">
      <c r="A8100" s="11"/>
    </row>
    <row r="8101" spans="1:1" ht="14.4">
      <c r="A8101" s="11"/>
    </row>
    <row r="8102" spans="1:1" ht="14.4">
      <c r="A8102" s="11"/>
    </row>
    <row r="8103" spans="1:1" ht="14.4">
      <c r="A8103" s="11"/>
    </row>
    <row r="8104" spans="1:1" ht="14.4">
      <c r="A8104" s="11"/>
    </row>
    <row r="8105" spans="1:1" ht="14.4">
      <c r="A8105" s="11"/>
    </row>
    <row r="8106" spans="1:1" ht="14.4">
      <c r="A8106" s="11"/>
    </row>
    <row r="8107" spans="1:1" ht="14.4">
      <c r="A8107" s="11"/>
    </row>
    <row r="8108" spans="1:1" ht="14.4">
      <c r="A8108" s="11"/>
    </row>
    <row r="8109" spans="1:1" ht="14.4">
      <c r="A8109" s="11"/>
    </row>
    <row r="8110" spans="1:1" ht="14.4">
      <c r="A8110" s="11"/>
    </row>
    <row r="8111" spans="1:1" ht="14.4">
      <c r="A8111" s="11"/>
    </row>
    <row r="8112" spans="1:1" ht="14.4">
      <c r="A8112" s="11"/>
    </row>
    <row r="8113" spans="1:1" ht="14.4">
      <c r="A8113" s="11"/>
    </row>
    <row r="8114" spans="1:1" ht="14.4">
      <c r="A8114" s="11"/>
    </row>
    <row r="8115" spans="1:1" ht="14.4">
      <c r="A8115" s="11"/>
    </row>
    <row r="8116" spans="1:1" ht="14.4">
      <c r="A8116" s="11"/>
    </row>
    <row r="8117" spans="1:1" ht="14.4">
      <c r="A8117" s="11"/>
    </row>
    <row r="8118" spans="1:1" ht="14.4">
      <c r="A8118" s="11"/>
    </row>
    <row r="8119" spans="1:1" ht="14.4">
      <c r="A8119" s="11"/>
    </row>
    <row r="8120" spans="1:1" ht="14.4">
      <c r="A8120" s="11"/>
    </row>
    <row r="8121" spans="1:1" ht="14.4">
      <c r="A8121" s="11"/>
    </row>
    <row r="8122" spans="1:1" ht="14.4">
      <c r="A8122" s="11"/>
    </row>
    <row r="8123" spans="1:1" ht="14.4">
      <c r="A8123" s="11"/>
    </row>
    <row r="8124" spans="1:1" ht="14.4">
      <c r="A8124" s="11"/>
    </row>
    <row r="8125" spans="1:1" ht="14.4">
      <c r="A8125" s="11"/>
    </row>
    <row r="8126" spans="1:1" ht="14.4">
      <c r="A8126" s="11"/>
    </row>
    <row r="8127" spans="1:1" ht="14.4">
      <c r="A8127" s="11"/>
    </row>
    <row r="8128" spans="1:1" ht="14.4">
      <c r="A8128" s="11"/>
    </row>
    <row r="8129" spans="1:1" ht="14.4">
      <c r="A8129" s="11"/>
    </row>
    <row r="8130" spans="1:1" ht="14.4">
      <c r="A8130" s="11"/>
    </row>
    <row r="8131" spans="1:1" ht="14.4">
      <c r="A8131" s="11"/>
    </row>
    <row r="8132" spans="1:1" ht="14.4">
      <c r="A8132" s="11"/>
    </row>
    <row r="8133" spans="1:1" ht="14.4">
      <c r="A8133" s="11"/>
    </row>
    <row r="8134" spans="1:1" ht="14.4">
      <c r="A8134" s="11"/>
    </row>
    <row r="8135" spans="1:1" ht="14.4">
      <c r="A8135" s="11"/>
    </row>
    <row r="8136" spans="1:1" ht="14.4">
      <c r="A8136" s="11"/>
    </row>
    <row r="8137" spans="1:1" ht="14.4">
      <c r="A8137" s="11"/>
    </row>
    <row r="8138" spans="1:1" ht="14.4">
      <c r="A8138" s="11"/>
    </row>
    <row r="8139" spans="1:1" ht="14.4">
      <c r="A8139" s="11"/>
    </row>
    <row r="8140" spans="1:1" ht="14.4">
      <c r="A8140" s="11"/>
    </row>
    <row r="8141" spans="1:1" ht="14.4">
      <c r="A8141" s="11"/>
    </row>
    <row r="8142" spans="1:1" ht="14.4">
      <c r="A8142" s="11"/>
    </row>
    <row r="8143" spans="1:1" ht="14.4">
      <c r="A8143" s="11"/>
    </row>
    <row r="8144" spans="1:1" ht="14.4">
      <c r="A8144" s="11"/>
    </row>
    <row r="8145" spans="1:1" ht="14.4">
      <c r="A8145" s="11"/>
    </row>
    <row r="8146" spans="1:1" ht="14.4">
      <c r="A8146" s="11"/>
    </row>
    <row r="8147" spans="1:1" ht="14.4">
      <c r="A8147" s="11"/>
    </row>
    <row r="8148" spans="1:1" ht="14.4">
      <c r="A8148" s="11"/>
    </row>
    <row r="8149" spans="1:1" ht="14.4">
      <c r="A8149" s="11"/>
    </row>
    <row r="8150" spans="1:1" ht="14.4">
      <c r="A8150" s="11"/>
    </row>
    <row r="8151" spans="1:1" ht="14.4">
      <c r="A8151" s="11"/>
    </row>
    <row r="8152" spans="1:1" ht="14.4">
      <c r="A8152" s="11"/>
    </row>
    <row r="8153" spans="1:1" ht="14.4">
      <c r="A8153" s="11"/>
    </row>
    <row r="8154" spans="1:1" ht="14.4">
      <c r="A8154" s="11"/>
    </row>
    <row r="8155" spans="1:1" ht="14.4">
      <c r="A8155" s="11"/>
    </row>
    <row r="8156" spans="1:1" ht="14.4">
      <c r="A8156" s="11"/>
    </row>
    <row r="8157" spans="1:1" ht="14.4">
      <c r="A8157" s="11"/>
    </row>
    <row r="8158" spans="1:1" ht="14.4">
      <c r="A8158" s="11"/>
    </row>
    <row r="8159" spans="1:1" ht="14.4">
      <c r="A8159" s="11"/>
    </row>
    <row r="8160" spans="1:1" ht="14.4">
      <c r="A8160" s="11"/>
    </row>
    <row r="8161" spans="1:1" ht="14.4">
      <c r="A8161" s="11"/>
    </row>
    <row r="8162" spans="1:1" ht="14.4">
      <c r="A8162" s="11"/>
    </row>
    <row r="8163" spans="1:1" ht="14.4">
      <c r="A8163" s="11"/>
    </row>
    <row r="8164" spans="1:1" ht="14.4">
      <c r="A8164" s="11"/>
    </row>
    <row r="8165" spans="1:1" ht="14.4">
      <c r="A8165" s="11"/>
    </row>
    <row r="8166" spans="1:1" ht="14.4">
      <c r="A8166" s="11"/>
    </row>
    <row r="8167" spans="1:1" ht="14.4">
      <c r="A8167" s="11"/>
    </row>
    <row r="8168" spans="1:1" ht="14.4">
      <c r="A8168" s="11"/>
    </row>
    <row r="8169" spans="1:1" ht="14.4">
      <c r="A8169" s="11"/>
    </row>
    <row r="8170" spans="1:1" ht="14.4">
      <c r="A8170" s="11"/>
    </row>
    <row r="8171" spans="1:1" ht="14.4">
      <c r="A8171" s="11"/>
    </row>
    <row r="8172" spans="1:1" ht="14.4">
      <c r="A8172" s="11"/>
    </row>
    <row r="8173" spans="1:1" ht="14.4">
      <c r="A8173" s="11"/>
    </row>
    <row r="8174" spans="1:1" ht="14.4">
      <c r="A8174" s="11"/>
    </row>
    <row r="8175" spans="1:1" ht="14.4">
      <c r="A8175" s="11"/>
    </row>
    <row r="8176" spans="1:1" ht="14.4">
      <c r="A8176" s="11"/>
    </row>
    <row r="8177" spans="1:1" ht="14.4">
      <c r="A8177" s="11"/>
    </row>
    <row r="8178" spans="1:1" ht="14.4">
      <c r="A8178" s="11"/>
    </row>
    <row r="8179" spans="1:1" ht="14.4">
      <c r="A8179" s="11"/>
    </row>
    <row r="8180" spans="1:1" ht="14.4">
      <c r="A8180" s="11"/>
    </row>
    <row r="8181" spans="1:1" ht="14.4">
      <c r="A8181" s="11"/>
    </row>
    <row r="8182" spans="1:1" ht="14.4">
      <c r="A8182" s="11"/>
    </row>
    <row r="8183" spans="1:1" ht="14.4">
      <c r="A8183" s="11"/>
    </row>
    <row r="8184" spans="1:1" ht="14.4">
      <c r="A8184" s="11"/>
    </row>
    <row r="8185" spans="1:1" ht="14.4">
      <c r="A8185" s="11"/>
    </row>
    <row r="8186" spans="1:1" ht="14.4">
      <c r="A8186" s="11"/>
    </row>
    <row r="8187" spans="1:1" ht="14.4">
      <c r="A8187" s="11"/>
    </row>
    <row r="8188" spans="1:1" ht="14.4">
      <c r="A8188" s="11"/>
    </row>
    <row r="8189" spans="1:1" ht="14.4">
      <c r="A8189" s="11"/>
    </row>
    <row r="8190" spans="1:1" ht="14.4">
      <c r="A8190" s="11"/>
    </row>
    <row r="8191" spans="1:1" ht="14.4">
      <c r="A8191" s="11"/>
    </row>
    <row r="8192" spans="1:1" ht="14.4">
      <c r="A8192" s="11"/>
    </row>
    <row r="8193" spans="1:1" ht="14.4">
      <c r="A8193" s="11"/>
    </row>
    <row r="8194" spans="1:1" ht="14.4">
      <c r="A8194" s="11"/>
    </row>
    <row r="8195" spans="1:1" ht="14.4">
      <c r="A8195" s="11"/>
    </row>
    <row r="8196" spans="1:1" ht="14.4">
      <c r="A8196" s="11"/>
    </row>
    <row r="8197" spans="1:1" ht="14.4">
      <c r="A8197" s="11"/>
    </row>
    <row r="8198" spans="1:1" ht="14.4">
      <c r="A8198" s="11"/>
    </row>
    <row r="8199" spans="1:1" ht="14.4">
      <c r="A8199" s="11"/>
    </row>
    <row r="8200" spans="1:1" ht="14.4">
      <c r="A8200" s="11"/>
    </row>
    <row r="8201" spans="1:1" ht="14.4">
      <c r="A8201" s="11"/>
    </row>
    <row r="8202" spans="1:1" ht="14.4">
      <c r="A8202" s="11"/>
    </row>
    <row r="8203" spans="1:1" ht="14.4">
      <c r="A8203" s="11"/>
    </row>
    <row r="8204" spans="1:1" ht="14.4">
      <c r="A8204" s="11"/>
    </row>
    <row r="8205" spans="1:1" ht="14.4">
      <c r="A8205" s="11"/>
    </row>
    <row r="8206" spans="1:1" ht="14.4">
      <c r="A8206" s="11"/>
    </row>
    <row r="8207" spans="1:1" ht="14.4">
      <c r="A8207" s="11"/>
    </row>
    <row r="8208" spans="1:1" ht="14.4">
      <c r="A8208" s="11"/>
    </row>
    <row r="8209" spans="1:1" ht="14.4">
      <c r="A8209" s="11"/>
    </row>
    <row r="8210" spans="1:1" ht="14.4">
      <c r="A8210" s="11"/>
    </row>
    <row r="8211" spans="1:1" ht="14.4">
      <c r="A8211" s="11"/>
    </row>
    <row r="8212" spans="1:1" ht="14.4">
      <c r="A8212" s="11"/>
    </row>
    <row r="8213" spans="1:1" ht="14.4">
      <c r="A8213" s="11"/>
    </row>
    <row r="8214" spans="1:1" ht="14.4">
      <c r="A8214" s="11"/>
    </row>
    <row r="8215" spans="1:1" ht="14.4">
      <c r="A8215" s="11"/>
    </row>
    <row r="8216" spans="1:1" ht="14.4">
      <c r="A8216" s="11"/>
    </row>
    <row r="8217" spans="1:1" ht="14.4">
      <c r="A8217" s="11"/>
    </row>
    <row r="8218" spans="1:1" ht="14.4">
      <c r="A8218" s="11"/>
    </row>
    <row r="8219" spans="1:1" ht="14.4">
      <c r="A8219" s="11"/>
    </row>
    <row r="8220" spans="1:1" ht="14.4">
      <c r="A8220" s="11"/>
    </row>
    <row r="8221" spans="1:1" ht="14.4">
      <c r="A8221" s="11"/>
    </row>
    <row r="8222" spans="1:1" ht="14.4">
      <c r="A8222" s="11"/>
    </row>
    <row r="8223" spans="1:1" ht="14.4">
      <c r="A8223" s="11"/>
    </row>
    <row r="8224" spans="1:1" ht="14.4">
      <c r="A8224" s="11"/>
    </row>
    <row r="8225" spans="1:1" ht="14.4">
      <c r="A8225" s="11"/>
    </row>
    <row r="8226" spans="1:1" ht="14.4">
      <c r="A8226" s="11"/>
    </row>
    <row r="8227" spans="1:1" ht="14.4">
      <c r="A8227" s="11"/>
    </row>
    <row r="8228" spans="1:1" ht="14.4">
      <c r="A8228" s="11"/>
    </row>
    <row r="8229" spans="1:1" ht="14.4">
      <c r="A8229" s="11"/>
    </row>
    <row r="8230" spans="1:1" ht="14.4">
      <c r="A8230" s="11"/>
    </row>
    <row r="8231" spans="1:1" ht="14.4">
      <c r="A8231" s="11"/>
    </row>
    <row r="8232" spans="1:1" ht="14.4">
      <c r="A8232" s="11"/>
    </row>
    <row r="8233" spans="1:1" ht="14.4">
      <c r="A8233" s="11"/>
    </row>
    <row r="8234" spans="1:1" ht="14.4">
      <c r="A8234" s="11"/>
    </row>
    <row r="8235" spans="1:1" ht="14.4">
      <c r="A8235" s="11"/>
    </row>
    <row r="8236" spans="1:1" ht="14.4">
      <c r="A8236" s="11"/>
    </row>
    <row r="8237" spans="1:1" ht="14.4">
      <c r="A8237" s="11"/>
    </row>
    <row r="8238" spans="1:1" ht="14.4">
      <c r="A8238" s="11"/>
    </row>
    <row r="8239" spans="1:1" ht="14.4">
      <c r="A8239" s="11"/>
    </row>
    <row r="8240" spans="1:1" ht="14.4">
      <c r="A8240" s="11"/>
    </row>
    <row r="8241" spans="1:1" ht="14.4">
      <c r="A8241" s="11"/>
    </row>
    <row r="8242" spans="1:1" ht="14.4">
      <c r="A8242" s="11"/>
    </row>
    <row r="8243" spans="1:1" ht="14.4">
      <c r="A8243" s="11"/>
    </row>
    <row r="8244" spans="1:1" ht="14.4">
      <c r="A8244" s="11"/>
    </row>
    <row r="8245" spans="1:1" ht="14.4">
      <c r="A8245" s="11"/>
    </row>
    <row r="8246" spans="1:1" ht="14.4">
      <c r="A8246" s="11"/>
    </row>
    <row r="8247" spans="1:1" ht="14.4">
      <c r="A8247" s="11"/>
    </row>
    <row r="8248" spans="1:1" ht="14.4">
      <c r="A8248" s="11"/>
    </row>
    <row r="8249" spans="1:1" ht="14.4">
      <c r="A8249" s="11"/>
    </row>
    <row r="8250" spans="1:1" ht="14.4">
      <c r="A8250" s="11"/>
    </row>
    <row r="8251" spans="1:1" ht="14.4">
      <c r="A8251" s="11"/>
    </row>
    <row r="8252" spans="1:1" ht="14.4">
      <c r="A8252" s="11"/>
    </row>
    <row r="8253" spans="1:1" ht="14.4">
      <c r="A8253" s="11"/>
    </row>
    <row r="8254" spans="1:1" ht="14.4">
      <c r="A8254" s="11"/>
    </row>
    <row r="8255" spans="1:1" ht="14.4">
      <c r="A8255" s="11"/>
    </row>
    <row r="8256" spans="1:1" ht="14.4">
      <c r="A8256" s="11"/>
    </row>
    <row r="8257" spans="1:1" ht="14.4">
      <c r="A8257" s="11"/>
    </row>
    <row r="8258" spans="1:1" ht="14.4">
      <c r="A8258" s="11"/>
    </row>
    <row r="8259" spans="1:1" ht="14.4">
      <c r="A8259" s="11"/>
    </row>
    <row r="8260" spans="1:1" ht="14.4">
      <c r="A8260" s="11"/>
    </row>
    <row r="8261" spans="1:1" ht="14.4">
      <c r="A8261" s="11"/>
    </row>
    <row r="8262" spans="1:1" ht="14.4">
      <c r="A8262" s="11"/>
    </row>
    <row r="8263" spans="1:1" ht="14.4">
      <c r="A8263" s="11"/>
    </row>
    <row r="8264" spans="1:1" ht="14.4">
      <c r="A8264" s="11"/>
    </row>
    <row r="8265" spans="1:1" ht="14.4">
      <c r="A8265" s="11"/>
    </row>
    <row r="8266" spans="1:1" ht="14.4">
      <c r="A8266" s="11"/>
    </row>
    <row r="8267" spans="1:1" ht="14.4">
      <c r="A8267" s="11"/>
    </row>
    <row r="8268" spans="1:1" ht="14.4">
      <c r="A8268" s="11"/>
    </row>
    <row r="8269" spans="1:1" ht="14.4">
      <c r="A8269" s="11"/>
    </row>
    <row r="8270" spans="1:1" ht="14.4">
      <c r="A8270" s="11"/>
    </row>
    <row r="8271" spans="1:1" ht="14.4">
      <c r="A8271" s="11"/>
    </row>
    <row r="8272" spans="1:1" ht="14.4">
      <c r="A8272" s="11"/>
    </row>
    <row r="8273" spans="1:1" ht="14.4">
      <c r="A8273" s="11"/>
    </row>
    <row r="8274" spans="1:1" ht="14.4">
      <c r="A8274" s="11"/>
    </row>
    <row r="8275" spans="1:1" ht="14.4">
      <c r="A8275" s="11"/>
    </row>
    <row r="8276" spans="1:1" ht="14.4">
      <c r="A8276" s="11"/>
    </row>
    <row r="8277" spans="1:1" ht="14.4">
      <c r="A8277" s="11"/>
    </row>
    <row r="8278" spans="1:1" ht="14.4">
      <c r="A8278" s="11"/>
    </row>
    <row r="8279" spans="1:1" ht="14.4">
      <c r="A8279" s="11"/>
    </row>
    <row r="8280" spans="1:1" ht="14.4">
      <c r="A8280" s="11"/>
    </row>
    <row r="8281" spans="1:1" ht="14.4">
      <c r="A8281" s="11"/>
    </row>
    <row r="8282" spans="1:1" ht="14.4">
      <c r="A8282" s="11"/>
    </row>
    <row r="8283" spans="1:1" ht="14.4">
      <c r="A8283" s="11"/>
    </row>
    <row r="8284" spans="1:1" ht="14.4">
      <c r="A8284" s="11"/>
    </row>
    <row r="8285" spans="1:1" ht="14.4">
      <c r="A8285" s="11"/>
    </row>
    <row r="8286" spans="1:1" ht="14.4">
      <c r="A8286" s="11"/>
    </row>
    <row r="8287" spans="1:1" ht="14.4">
      <c r="A8287" s="11"/>
    </row>
    <row r="8288" spans="1:1" ht="14.4">
      <c r="A8288" s="11"/>
    </row>
    <row r="8289" spans="1:1" ht="14.4">
      <c r="A8289" s="11"/>
    </row>
    <row r="8290" spans="1:1" ht="14.4">
      <c r="A8290" s="11"/>
    </row>
    <row r="8291" spans="1:1" ht="14.4">
      <c r="A8291" s="11"/>
    </row>
    <row r="8292" spans="1:1" ht="14.4">
      <c r="A8292" s="11"/>
    </row>
    <row r="8293" spans="1:1" ht="14.4">
      <c r="A8293" s="11"/>
    </row>
    <row r="8294" spans="1:1" ht="14.4">
      <c r="A8294" s="11"/>
    </row>
    <row r="8295" spans="1:1" ht="14.4">
      <c r="A8295" s="11"/>
    </row>
    <row r="8296" spans="1:1" ht="14.4">
      <c r="A8296" s="11"/>
    </row>
    <row r="8297" spans="1:1" ht="14.4">
      <c r="A8297" s="11"/>
    </row>
    <row r="8298" spans="1:1" ht="14.4">
      <c r="A8298" s="11"/>
    </row>
    <row r="8299" spans="1:1" ht="14.4">
      <c r="A8299" s="11"/>
    </row>
    <row r="8300" spans="1:1" ht="14.4">
      <c r="A8300" s="11"/>
    </row>
    <row r="8301" spans="1:1" ht="14.4">
      <c r="A8301" s="11"/>
    </row>
    <row r="8302" spans="1:1" ht="14.4">
      <c r="A8302" s="11"/>
    </row>
    <row r="8303" spans="1:1" ht="14.4">
      <c r="A8303" s="11"/>
    </row>
    <row r="8304" spans="1:1" ht="14.4">
      <c r="A8304" s="11"/>
    </row>
    <row r="8305" spans="1:1" ht="14.4">
      <c r="A8305" s="11"/>
    </row>
    <row r="8306" spans="1:1" ht="14.4">
      <c r="A8306" s="11"/>
    </row>
    <row r="8307" spans="1:1" ht="14.4">
      <c r="A8307" s="11"/>
    </row>
    <row r="8308" spans="1:1" ht="14.4">
      <c r="A8308" s="11"/>
    </row>
    <row r="8309" spans="1:1" ht="14.4">
      <c r="A8309" s="11"/>
    </row>
    <row r="8310" spans="1:1" ht="14.4">
      <c r="A8310" s="11"/>
    </row>
    <row r="8311" spans="1:1" ht="14.4">
      <c r="A8311" s="11"/>
    </row>
    <row r="8312" spans="1:1" ht="14.4">
      <c r="A8312" s="11"/>
    </row>
    <row r="8313" spans="1:1" ht="14.4">
      <c r="A8313" s="11"/>
    </row>
    <row r="8314" spans="1:1" ht="14.4">
      <c r="A8314" s="11"/>
    </row>
    <row r="8315" spans="1:1" ht="14.4">
      <c r="A8315" s="11"/>
    </row>
    <row r="8316" spans="1:1" ht="14.4">
      <c r="A8316" s="11"/>
    </row>
    <row r="8317" spans="1:1" ht="14.4">
      <c r="A8317" s="11"/>
    </row>
    <row r="8318" spans="1:1" ht="14.4">
      <c r="A8318" s="11"/>
    </row>
    <row r="8319" spans="1:1" ht="14.4">
      <c r="A8319" s="11"/>
    </row>
    <row r="8320" spans="1:1" ht="14.4">
      <c r="A8320" s="11"/>
    </row>
    <row r="8321" spans="1:1" ht="14.4">
      <c r="A8321" s="11"/>
    </row>
    <row r="8322" spans="1:1" ht="14.4">
      <c r="A8322" s="11"/>
    </row>
    <row r="8323" spans="1:1" ht="14.4">
      <c r="A8323" s="11"/>
    </row>
    <row r="8324" spans="1:1" ht="14.4">
      <c r="A8324" s="11"/>
    </row>
    <row r="8325" spans="1:1" ht="14.4">
      <c r="A8325" s="11"/>
    </row>
    <row r="8326" spans="1:1" ht="14.4">
      <c r="A8326" s="11"/>
    </row>
    <row r="8327" spans="1:1" ht="14.4">
      <c r="A8327" s="11"/>
    </row>
    <row r="8328" spans="1:1" ht="14.4">
      <c r="A8328" s="11"/>
    </row>
    <row r="8329" spans="1:1" ht="14.4">
      <c r="A8329" s="11"/>
    </row>
    <row r="8330" spans="1:1" ht="14.4">
      <c r="A8330" s="11"/>
    </row>
    <row r="8331" spans="1:1" ht="14.4">
      <c r="A8331" s="11"/>
    </row>
    <row r="8332" spans="1:1" ht="14.4">
      <c r="A8332" s="11"/>
    </row>
    <row r="8333" spans="1:1" ht="14.4">
      <c r="A8333" s="11"/>
    </row>
    <row r="8334" spans="1:1" ht="14.4">
      <c r="A8334" s="11"/>
    </row>
    <row r="8335" spans="1:1" ht="14.4">
      <c r="A8335" s="11"/>
    </row>
    <row r="8336" spans="1:1" ht="14.4">
      <c r="A8336" s="11"/>
    </row>
    <row r="8337" spans="1:1" ht="14.4">
      <c r="A8337" s="11"/>
    </row>
    <row r="8338" spans="1:1" ht="14.4">
      <c r="A8338" s="11"/>
    </row>
    <row r="8339" spans="1:1" ht="14.4">
      <c r="A8339" s="11"/>
    </row>
    <row r="8340" spans="1:1" ht="14.4">
      <c r="A8340" s="11"/>
    </row>
    <row r="8341" spans="1:1" ht="14.4">
      <c r="A8341" s="11"/>
    </row>
    <row r="8342" spans="1:1" ht="14.4">
      <c r="A8342" s="11"/>
    </row>
    <row r="8343" spans="1:1" ht="14.4">
      <c r="A8343" s="11"/>
    </row>
    <row r="8344" spans="1:1" ht="14.4">
      <c r="A8344" s="11"/>
    </row>
    <row r="8345" spans="1:1" ht="14.4">
      <c r="A8345" s="11"/>
    </row>
    <row r="8346" spans="1:1" ht="14.4">
      <c r="A8346" s="11"/>
    </row>
    <row r="8347" spans="1:1" ht="14.4">
      <c r="A8347" s="11"/>
    </row>
    <row r="8348" spans="1:1" ht="14.4">
      <c r="A8348" s="11"/>
    </row>
    <row r="8349" spans="1:1" ht="14.4">
      <c r="A8349" s="11"/>
    </row>
    <row r="8350" spans="1:1" ht="14.4">
      <c r="A8350" s="11"/>
    </row>
    <row r="8351" spans="1:1" ht="14.4">
      <c r="A8351" s="11"/>
    </row>
    <row r="8352" spans="1:1" ht="14.4">
      <c r="A8352" s="11"/>
    </row>
    <row r="8353" spans="1:1" ht="14.4">
      <c r="A8353" s="11"/>
    </row>
    <row r="8354" spans="1:1" ht="14.4">
      <c r="A8354" s="11"/>
    </row>
    <row r="8355" spans="1:1" ht="14.4">
      <c r="A8355" s="11"/>
    </row>
    <row r="8356" spans="1:1" ht="14.4">
      <c r="A8356" s="11"/>
    </row>
    <row r="8357" spans="1:1" ht="14.4">
      <c r="A8357" s="11"/>
    </row>
    <row r="8358" spans="1:1" ht="14.4">
      <c r="A8358" s="11"/>
    </row>
    <row r="8359" spans="1:1" ht="14.4">
      <c r="A8359" s="11"/>
    </row>
    <row r="8360" spans="1:1" ht="14.4">
      <c r="A8360" s="11"/>
    </row>
    <row r="8361" spans="1:1" ht="14.4">
      <c r="A8361" s="11"/>
    </row>
    <row r="8362" spans="1:1" ht="14.4">
      <c r="A8362" s="11"/>
    </row>
    <row r="8363" spans="1:1" ht="14.4">
      <c r="A8363" s="11"/>
    </row>
    <row r="8364" spans="1:1" ht="14.4">
      <c r="A8364" s="11"/>
    </row>
    <row r="8365" spans="1:1" ht="14.4">
      <c r="A8365" s="11"/>
    </row>
    <row r="8366" spans="1:1" ht="14.4">
      <c r="A8366" s="11"/>
    </row>
    <row r="8367" spans="1:1" ht="14.4">
      <c r="A8367" s="11"/>
    </row>
    <row r="8368" spans="1:1" ht="14.4">
      <c r="A8368" s="11"/>
    </row>
    <row r="8369" spans="1:1" ht="14.4">
      <c r="A8369" s="11"/>
    </row>
    <row r="8370" spans="1:1" ht="14.4">
      <c r="A8370" s="11"/>
    </row>
    <row r="8371" spans="1:1" ht="14.4">
      <c r="A8371" s="11"/>
    </row>
    <row r="8372" spans="1:1" ht="14.4">
      <c r="A8372" s="11"/>
    </row>
    <row r="8373" spans="1:1" ht="14.4">
      <c r="A8373" s="11"/>
    </row>
    <row r="8374" spans="1:1" ht="14.4">
      <c r="A8374" s="11"/>
    </row>
    <row r="8375" spans="1:1" ht="14.4">
      <c r="A8375" s="11"/>
    </row>
    <row r="8376" spans="1:1" ht="14.4">
      <c r="A8376" s="11"/>
    </row>
    <row r="8377" spans="1:1" ht="14.4">
      <c r="A8377" s="11"/>
    </row>
    <row r="8378" spans="1:1" ht="14.4">
      <c r="A8378" s="11"/>
    </row>
    <row r="8379" spans="1:1" ht="14.4">
      <c r="A8379" s="11"/>
    </row>
    <row r="8380" spans="1:1" ht="14.4">
      <c r="A8380" s="11"/>
    </row>
    <row r="8381" spans="1:1" ht="14.4">
      <c r="A8381" s="11"/>
    </row>
    <row r="8382" spans="1:1" ht="14.4">
      <c r="A8382" s="11"/>
    </row>
    <row r="8383" spans="1:1" ht="14.4">
      <c r="A8383" s="11"/>
    </row>
    <row r="8384" spans="1:1" ht="14.4">
      <c r="A8384" s="11"/>
    </row>
    <row r="8385" spans="1:1" ht="14.4">
      <c r="A8385" s="11"/>
    </row>
    <row r="8386" spans="1:1" ht="14.4">
      <c r="A8386" s="11"/>
    </row>
    <row r="8387" spans="1:1" ht="14.4">
      <c r="A8387" s="11"/>
    </row>
    <row r="8388" spans="1:1" ht="14.4">
      <c r="A8388" s="11"/>
    </row>
    <row r="8389" spans="1:1" ht="14.4">
      <c r="A8389" s="11"/>
    </row>
    <row r="8390" spans="1:1" ht="14.4">
      <c r="A8390" s="11"/>
    </row>
    <row r="8391" spans="1:1" ht="14.4">
      <c r="A8391" s="11"/>
    </row>
    <row r="8392" spans="1:1" ht="14.4">
      <c r="A8392" s="11"/>
    </row>
    <row r="8393" spans="1:1" ht="14.4">
      <c r="A8393" s="11"/>
    </row>
    <row r="8394" spans="1:1" ht="14.4">
      <c r="A8394" s="11"/>
    </row>
    <row r="8395" spans="1:1" ht="14.4">
      <c r="A8395" s="11"/>
    </row>
    <row r="8396" spans="1:1" ht="14.4">
      <c r="A8396" s="11"/>
    </row>
    <row r="8397" spans="1:1" ht="14.4">
      <c r="A8397" s="11"/>
    </row>
    <row r="8398" spans="1:1" ht="14.4">
      <c r="A8398" s="11"/>
    </row>
    <row r="8399" spans="1:1" ht="14.4">
      <c r="A8399" s="11"/>
    </row>
    <row r="8400" spans="1:1" ht="14.4">
      <c r="A8400" s="11"/>
    </row>
    <row r="8401" spans="1:1" ht="14.4">
      <c r="A8401" s="11"/>
    </row>
    <row r="8402" spans="1:1" ht="14.4">
      <c r="A8402" s="11"/>
    </row>
    <row r="8403" spans="1:1" ht="14.4">
      <c r="A8403" s="11"/>
    </row>
    <row r="8404" spans="1:1" ht="14.4">
      <c r="A8404" s="11"/>
    </row>
    <row r="8405" spans="1:1" ht="14.4">
      <c r="A8405" s="11"/>
    </row>
    <row r="8406" spans="1:1" ht="14.4">
      <c r="A8406" s="11"/>
    </row>
    <row r="8407" spans="1:1" ht="14.4">
      <c r="A8407" s="11"/>
    </row>
    <row r="8408" spans="1:1" ht="14.4">
      <c r="A8408" s="11"/>
    </row>
    <row r="8409" spans="1:1" ht="14.4">
      <c r="A8409" s="11"/>
    </row>
    <row r="8410" spans="1:1" ht="14.4">
      <c r="A8410" s="11"/>
    </row>
    <row r="8411" spans="1:1" ht="14.4">
      <c r="A8411" s="11"/>
    </row>
    <row r="8412" spans="1:1" ht="14.4">
      <c r="A8412" s="11"/>
    </row>
    <row r="8413" spans="1:1" ht="14.4">
      <c r="A8413" s="11"/>
    </row>
    <row r="8414" spans="1:1" ht="14.4">
      <c r="A8414" s="11"/>
    </row>
    <row r="8415" spans="1:1" ht="14.4">
      <c r="A8415" s="11"/>
    </row>
    <row r="8416" spans="1:1" ht="14.4">
      <c r="A8416" s="11"/>
    </row>
    <row r="8417" spans="1:1" ht="14.4">
      <c r="A8417" s="11"/>
    </row>
    <row r="8418" spans="1:1" ht="14.4">
      <c r="A8418" s="11"/>
    </row>
    <row r="8419" spans="1:1" ht="14.4">
      <c r="A8419" s="11"/>
    </row>
    <row r="8420" spans="1:1" ht="14.4">
      <c r="A8420" s="11"/>
    </row>
    <row r="8421" spans="1:1" ht="14.4">
      <c r="A8421" s="11"/>
    </row>
    <row r="8422" spans="1:1" ht="14.4">
      <c r="A8422" s="11"/>
    </row>
    <row r="8423" spans="1:1" ht="14.4">
      <c r="A8423" s="11"/>
    </row>
    <row r="8424" spans="1:1" ht="14.4">
      <c r="A8424" s="11"/>
    </row>
    <row r="8425" spans="1:1" ht="14.4">
      <c r="A8425" s="11"/>
    </row>
    <row r="8426" spans="1:1" ht="14.4">
      <c r="A8426" s="11"/>
    </row>
    <row r="8427" spans="1:1" ht="14.4">
      <c r="A8427" s="11"/>
    </row>
    <row r="8428" spans="1:1" ht="14.4">
      <c r="A8428" s="11"/>
    </row>
    <row r="8429" spans="1:1" ht="14.4">
      <c r="A8429" s="11"/>
    </row>
    <row r="8430" spans="1:1" ht="14.4">
      <c r="A8430" s="11"/>
    </row>
    <row r="8431" spans="1:1" ht="14.4">
      <c r="A8431" s="11"/>
    </row>
    <row r="8432" spans="1:1" ht="14.4">
      <c r="A8432" s="11"/>
    </row>
    <row r="8433" spans="1:1" ht="14.4">
      <c r="A8433" s="11"/>
    </row>
    <row r="8434" spans="1:1" ht="14.4">
      <c r="A8434" s="11"/>
    </row>
    <row r="8435" spans="1:1" ht="14.4">
      <c r="A8435" s="11"/>
    </row>
    <row r="8436" spans="1:1" ht="14.4">
      <c r="A8436" s="11"/>
    </row>
    <row r="8437" spans="1:1" ht="14.4">
      <c r="A8437" s="11"/>
    </row>
    <row r="8438" spans="1:1" ht="14.4">
      <c r="A8438" s="11"/>
    </row>
    <row r="8439" spans="1:1" ht="14.4">
      <c r="A8439" s="11"/>
    </row>
    <row r="8440" spans="1:1" ht="14.4">
      <c r="A8440" s="11"/>
    </row>
    <row r="8441" spans="1:1" ht="14.4">
      <c r="A8441" s="11"/>
    </row>
    <row r="8442" spans="1:1" ht="14.4">
      <c r="A8442" s="11"/>
    </row>
    <row r="8443" spans="1:1" ht="14.4">
      <c r="A8443" s="11"/>
    </row>
    <row r="8444" spans="1:1" ht="14.4">
      <c r="A8444" s="11"/>
    </row>
    <row r="8445" spans="1:1" ht="14.4">
      <c r="A8445" s="11"/>
    </row>
    <row r="8446" spans="1:1" ht="14.4">
      <c r="A8446" s="11"/>
    </row>
    <row r="8447" spans="1:1" ht="14.4">
      <c r="A8447" s="11"/>
    </row>
    <row r="8448" spans="1:1" ht="14.4">
      <c r="A8448" s="11"/>
    </row>
    <row r="8449" spans="1:1" ht="14.4">
      <c r="A8449" s="11"/>
    </row>
    <row r="8450" spans="1:1" ht="14.4">
      <c r="A8450" s="11"/>
    </row>
    <row r="8451" spans="1:1" ht="14.4">
      <c r="A8451" s="11"/>
    </row>
    <row r="8452" spans="1:1" ht="14.4">
      <c r="A8452" s="11"/>
    </row>
    <row r="8453" spans="1:1" ht="14.4">
      <c r="A8453" s="11"/>
    </row>
    <row r="8454" spans="1:1" ht="14.4">
      <c r="A8454" s="11"/>
    </row>
    <row r="8455" spans="1:1" ht="14.4">
      <c r="A8455" s="11"/>
    </row>
    <row r="8456" spans="1:1" ht="14.4">
      <c r="A8456" s="11"/>
    </row>
    <row r="8457" spans="1:1" ht="14.4">
      <c r="A8457" s="11"/>
    </row>
    <row r="8458" spans="1:1" ht="14.4">
      <c r="A8458" s="11"/>
    </row>
    <row r="8459" spans="1:1" ht="14.4">
      <c r="A8459" s="11"/>
    </row>
    <row r="8460" spans="1:1" ht="14.4">
      <c r="A8460" s="11"/>
    </row>
    <row r="8461" spans="1:1" ht="14.4">
      <c r="A8461" s="11"/>
    </row>
    <row r="8462" spans="1:1" ht="14.4">
      <c r="A8462" s="11"/>
    </row>
    <row r="8463" spans="1:1" ht="14.4">
      <c r="A8463" s="11"/>
    </row>
    <row r="8464" spans="1:1" ht="14.4">
      <c r="A8464" s="11"/>
    </row>
    <row r="8465" spans="1:1" ht="14.4">
      <c r="A8465" s="11"/>
    </row>
    <row r="8466" spans="1:1" ht="14.4">
      <c r="A8466" s="11"/>
    </row>
    <row r="8467" spans="1:1" ht="14.4">
      <c r="A8467" s="11"/>
    </row>
    <row r="8468" spans="1:1" ht="14.4">
      <c r="A8468" s="11"/>
    </row>
    <row r="8469" spans="1:1" ht="14.4">
      <c r="A8469" s="11"/>
    </row>
    <row r="8470" spans="1:1" ht="14.4">
      <c r="A8470" s="11"/>
    </row>
    <row r="8471" spans="1:1" ht="14.4">
      <c r="A8471" s="11"/>
    </row>
    <row r="8472" spans="1:1" ht="14.4">
      <c r="A8472" s="11"/>
    </row>
    <row r="8473" spans="1:1" ht="14.4">
      <c r="A8473" s="11"/>
    </row>
    <row r="8474" spans="1:1" ht="14.4">
      <c r="A8474" s="11"/>
    </row>
    <row r="8475" spans="1:1" ht="14.4">
      <c r="A8475" s="11"/>
    </row>
    <row r="8476" spans="1:1" ht="14.4">
      <c r="A8476" s="11"/>
    </row>
    <row r="8477" spans="1:1" ht="14.4">
      <c r="A8477" s="11"/>
    </row>
    <row r="8478" spans="1:1" ht="14.4">
      <c r="A8478" s="11"/>
    </row>
    <row r="8479" spans="1:1" ht="14.4">
      <c r="A8479" s="11"/>
    </row>
    <row r="8480" spans="1:1" ht="14.4">
      <c r="A8480" s="11"/>
    </row>
    <row r="8481" spans="1:1" ht="14.4">
      <c r="A8481" s="11"/>
    </row>
    <row r="8482" spans="1:1" ht="14.4">
      <c r="A8482" s="11"/>
    </row>
    <row r="8483" spans="1:1" ht="14.4">
      <c r="A8483" s="11"/>
    </row>
    <row r="8484" spans="1:1" ht="14.4">
      <c r="A8484" s="11"/>
    </row>
    <row r="8485" spans="1:1" ht="14.4">
      <c r="A8485" s="11"/>
    </row>
    <row r="8486" spans="1:1" ht="14.4">
      <c r="A8486" s="11"/>
    </row>
    <row r="8487" spans="1:1" ht="14.4">
      <c r="A8487" s="11"/>
    </row>
    <row r="8488" spans="1:1" ht="14.4">
      <c r="A8488" s="11"/>
    </row>
    <row r="8489" spans="1:1" ht="14.4">
      <c r="A8489" s="11"/>
    </row>
    <row r="8490" spans="1:1" ht="14.4">
      <c r="A8490" s="11"/>
    </row>
    <row r="8491" spans="1:1" ht="14.4">
      <c r="A8491" s="11"/>
    </row>
    <row r="8492" spans="1:1" ht="14.4">
      <c r="A8492" s="11"/>
    </row>
    <row r="8493" spans="1:1" ht="14.4">
      <c r="A8493" s="11"/>
    </row>
    <row r="8494" spans="1:1" ht="14.4">
      <c r="A8494" s="11"/>
    </row>
    <row r="8495" spans="1:1" ht="14.4">
      <c r="A8495" s="11"/>
    </row>
    <row r="8496" spans="1:1" ht="14.4">
      <c r="A8496" s="11"/>
    </row>
    <row r="8497" spans="1:1" ht="14.4">
      <c r="A8497" s="11"/>
    </row>
    <row r="8498" spans="1:1" ht="14.4">
      <c r="A8498" s="11"/>
    </row>
    <row r="8499" spans="1:1" ht="14.4">
      <c r="A8499" s="11"/>
    </row>
    <row r="8500" spans="1:1" ht="14.4">
      <c r="A8500" s="11"/>
    </row>
    <row r="8501" spans="1:1" ht="14.4">
      <c r="A8501" s="11"/>
    </row>
    <row r="8502" spans="1:1" ht="14.4">
      <c r="A8502" s="11"/>
    </row>
    <row r="8503" spans="1:1" ht="14.4">
      <c r="A8503" s="11"/>
    </row>
    <row r="8504" spans="1:1" ht="14.4">
      <c r="A8504" s="11"/>
    </row>
    <row r="8505" spans="1:1" ht="14.4">
      <c r="A8505" s="11"/>
    </row>
    <row r="8506" spans="1:1" ht="14.4">
      <c r="A8506" s="11"/>
    </row>
    <row r="8507" spans="1:1" ht="14.4">
      <c r="A8507" s="11"/>
    </row>
    <row r="8508" spans="1:1" ht="14.4">
      <c r="A8508" s="11"/>
    </row>
    <row r="8509" spans="1:1" ht="14.4">
      <c r="A8509" s="11"/>
    </row>
    <row r="8510" spans="1:1" ht="14.4">
      <c r="A8510" s="11"/>
    </row>
    <row r="8511" spans="1:1" ht="14.4">
      <c r="A8511" s="11"/>
    </row>
    <row r="8512" spans="1:1" ht="14.4">
      <c r="A8512" s="11"/>
    </row>
    <row r="8513" spans="1:1" ht="14.4">
      <c r="A8513" s="11"/>
    </row>
    <row r="8514" spans="1:1" ht="14.4">
      <c r="A8514" s="11"/>
    </row>
    <row r="8515" spans="1:1" ht="14.4">
      <c r="A8515" s="11"/>
    </row>
    <row r="8516" spans="1:1" ht="14.4">
      <c r="A8516" s="11"/>
    </row>
    <row r="8517" spans="1:1" ht="14.4">
      <c r="A8517" s="11"/>
    </row>
    <row r="8518" spans="1:1" ht="14.4">
      <c r="A8518" s="11"/>
    </row>
    <row r="8519" spans="1:1" ht="14.4">
      <c r="A8519" s="11"/>
    </row>
    <row r="8520" spans="1:1" ht="14.4">
      <c r="A8520" s="11"/>
    </row>
    <row r="8521" spans="1:1" ht="14.4">
      <c r="A8521" s="11"/>
    </row>
    <row r="8522" spans="1:1" ht="14.4">
      <c r="A8522" s="11"/>
    </row>
    <row r="8523" spans="1:1" ht="14.4">
      <c r="A8523" s="11"/>
    </row>
    <row r="8524" spans="1:1" ht="14.4">
      <c r="A8524" s="11"/>
    </row>
    <row r="8525" spans="1:1" ht="14.4">
      <c r="A8525" s="11"/>
    </row>
    <row r="8526" spans="1:1" ht="14.4">
      <c r="A8526" s="11"/>
    </row>
    <row r="8527" spans="1:1" ht="14.4">
      <c r="A8527" s="11"/>
    </row>
    <row r="8528" spans="1:1" ht="14.4">
      <c r="A8528" s="11"/>
    </row>
    <row r="8529" spans="1:1" ht="14.4">
      <c r="A8529" s="11"/>
    </row>
    <row r="8530" spans="1:1" ht="14.4">
      <c r="A8530" s="11"/>
    </row>
    <row r="8531" spans="1:1" ht="14.4">
      <c r="A8531" s="11"/>
    </row>
    <row r="8532" spans="1:1" ht="14.4">
      <c r="A8532" s="11"/>
    </row>
    <row r="8533" spans="1:1" ht="14.4">
      <c r="A8533" s="11"/>
    </row>
    <row r="8534" spans="1:1" ht="14.4">
      <c r="A8534" s="11"/>
    </row>
    <row r="8535" spans="1:1" ht="14.4">
      <c r="A8535" s="11"/>
    </row>
    <row r="8536" spans="1:1" ht="14.4">
      <c r="A8536" s="11"/>
    </row>
    <row r="8537" spans="1:1" ht="14.4">
      <c r="A8537" s="11"/>
    </row>
    <row r="8538" spans="1:1" ht="14.4">
      <c r="A8538" s="11"/>
    </row>
    <row r="8539" spans="1:1" ht="14.4">
      <c r="A8539" s="11"/>
    </row>
    <row r="8540" spans="1:1" ht="14.4">
      <c r="A8540" s="11"/>
    </row>
    <row r="8541" spans="1:1" ht="14.4">
      <c r="A8541" s="11"/>
    </row>
    <row r="8542" spans="1:1" ht="14.4">
      <c r="A8542" s="11"/>
    </row>
    <row r="8543" spans="1:1" ht="14.4">
      <c r="A8543" s="11"/>
    </row>
    <row r="8544" spans="1:1" ht="14.4">
      <c r="A8544" s="11"/>
    </row>
    <row r="8545" spans="1:1" ht="14.4">
      <c r="A8545" s="11"/>
    </row>
    <row r="8546" spans="1:1" ht="14.4">
      <c r="A8546" s="11"/>
    </row>
    <row r="8547" spans="1:1" ht="14.4">
      <c r="A8547" s="11"/>
    </row>
    <row r="8548" spans="1:1" ht="14.4">
      <c r="A8548" s="11"/>
    </row>
    <row r="8549" spans="1:1" ht="14.4">
      <c r="A8549" s="11"/>
    </row>
    <row r="8550" spans="1:1" ht="14.4">
      <c r="A8550" s="11"/>
    </row>
    <row r="8551" spans="1:1" ht="14.4">
      <c r="A8551" s="11"/>
    </row>
    <row r="8552" spans="1:1" ht="14.4">
      <c r="A8552" s="11"/>
    </row>
    <row r="8553" spans="1:1" ht="14.4">
      <c r="A8553" s="11"/>
    </row>
    <row r="8554" spans="1:1" ht="14.4">
      <c r="A8554" s="11"/>
    </row>
    <row r="8555" spans="1:1" ht="14.4">
      <c r="A8555" s="11"/>
    </row>
    <row r="8556" spans="1:1" ht="14.4">
      <c r="A8556" s="11"/>
    </row>
    <row r="8557" spans="1:1" ht="14.4">
      <c r="A8557" s="11"/>
    </row>
    <row r="8558" spans="1:1" ht="14.4">
      <c r="A8558" s="11"/>
    </row>
    <row r="8559" spans="1:1" ht="14.4">
      <c r="A8559" s="11"/>
    </row>
    <row r="8560" spans="1:1" ht="14.4">
      <c r="A8560" s="11"/>
    </row>
    <row r="8561" spans="1:1" ht="14.4">
      <c r="A8561" s="11"/>
    </row>
    <row r="8562" spans="1:1" ht="14.4">
      <c r="A8562" s="11"/>
    </row>
    <row r="8563" spans="1:1" ht="14.4">
      <c r="A8563" s="11"/>
    </row>
    <row r="8564" spans="1:1" ht="14.4">
      <c r="A8564" s="11"/>
    </row>
    <row r="8565" spans="1:1" ht="14.4">
      <c r="A8565" s="11"/>
    </row>
    <row r="8566" spans="1:1" ht="14.4">
      <c r="A8566" s="11"/>
    </row>
    <row r="8567" spans="1:1" ht="14.4">
      <c r="A8567" s="11"/>
    </row>
    <row r="8568" spans="1:1" ht="14.4">
      <c r="A8568" s="11"/>
    </row>
    <row r="8569" spans="1:1" ht="14.4">
      <c r="A8569" s="11"/>
    </row>
    <row r="8570" spans="1:1" ht="14.4">
      <c r="A8570" s="11"/>
    </row>
    <row r="8571" spans="1:1" ht="14.4">
      <c r="A8571" s="11"/>
    </row>
    <row r="8572" spans="1:1" ht="14.4">
      <c r="A8572" s="11"/>
    </row>
    <row r="8573" spans="1:1" ht="14.4">
      <c r="A8573" s="11"/>
    </row>
    <row r="8574" spans="1:1" ht="14.4">
      <c r="A8574" s="11"/>
    </row>
    <row r="8575" spans="1:1" ht="14.4">
      <c r="A8575" s="11"/>
    </row>
    <row r="8576" spans="1:1" ht="14.4">
      <c r="A8576" s="11"/>
    </row>
    <row r="8577" spans="1:1" ht="14.4">
      <c r="A8577" s="11"/>
    </row>
    <row r="8578" spans="1:1" ht="14.4">
      <c r="A8578" s="11"/>
    </row>
    <row r="8579" spans="1:1" ht="14.4">
      <c r="A8579" s="11"/>
    </row>
    <row r="8580" spans="1:1" ht="14.4">
      <c r="A8580" s="11"/>
    </row>
    <row r="8581" spans="1:1" ht="14.4">
      <c r="A8581" s="11"/>
    </row>
    <row r="8582" spans="1:1" ht="14.4">
      <c r="A8582" s="11"/>
    </row>
    <row r="8583" spans="1:1" ht="14.4">
      <c r="A8583" s="11"/>
    </row>
    <row r="8584" spans="1:1" ht="14.4">
      <c r="A8584" s="11"/>
    </row>
    <row r="8585" spans="1:1" ht="14.4">
      <c r="A8585" s="11"/>
    </row>
    <row r="8586" spans="1:1" ht="14.4">
      <c r="A8586" s="11"/>
    </row>
    <row r="8587" spans="1:1" ht="14.4">
      <c r="A8587" s="11"/>
    </row>
    <row r="8588" spans="1:1" ht="14.4">
      <c r="A8588" s="11"/>
    </row>
    <row r="8589" spans="1:1" ht="14.4">
      <c r="A8589" s="11"/>
    </row>
    <row r="8590" spans="1:1" ht="14.4">
      <c r="A8590" s="11"/>
    </row>
    <row r="8591" spans="1:1" ht="14.4">
      <c r="A8591" s="11"/>
    </row>
    <row r="8592" spans="1:1" ht="14.4">
      <c r="A8592" s="11"/>
    </row>
    <row r="8593" spans="1:1" ht="14.4">
      <c r="A8593" s="11"/>
    </row>
    <row r="8594" spans="1:1" ht="14.4">
      <c r="A8594" s="11"/>
    </row>
    <row r="8595" spans="1:1" ht="14.4">
      <c r="A8595" s="11"/>
    </row>
    <row r="8596" spans="1:1" ht="14.4">
      <c r="A8596" s="11"/>
    </row>
    <row r="8597" spans="1:1" ht="14.4">
      <c r="A8597" s="11"/>
    </row>
    <row r="8598" spans="1:1" ht="14.4">
      <c r="A8598" s="11"/>
    </row>
    <row r="8599" spans="1:1" ht="14.4">
      <c r="A8599" s="11"/>
    </row>
    <row r="8600" spans="1:1" ht="14.4">
      <c r="A8600" s="11"/>
    </row>
    <row r="8601" spans="1:1" ht="14.4">
      <c r="A8601" s="11"/>
    </row>
    <row r="8602" spans="1:1" ht="14.4">
      <c r="A8602" s="11"/>
    </row>
    <row r="8603" spans="1:1" ht="14.4">
      <c r="A8603" s="11"/>
    </row>
    <row r="8604" spans="1:1" ht="14.4">
      <c r="A8604" s="11"/>
    </row>
    <row r="8605" spans="1:1" ht="14.4">
      <c r="A8605" s="11"/>
    </row>
    <row r="8606" spans="1:1" ht="14.4">
      <c r="A8606" s="11"/>
    </row>
    <row r="8607" spans="1:1" ht="14.4">
      <c r="A8607" s="11"/>
    </row>
    <row r="8608" spans="1:1" ht="14.4">
      <c r="A8608" s="11"/>
    </row>
    <row r="8609" spans="1:1" ht="14.4">
      <c r="A8609" s="11"/>
    </row>
    <row r="8610" spans="1:1" ht="14.4">
      <c r="A8610" s="11"/>
    </row>
    <row r="8611" spans="1:1" ht="14.4">
      <c r="A8611" s="11"/>
    </row>
    <row r="8612" spans="1:1" ht="14.4">
      <c r="A8612" s="11"/>
    </row>
    <row r="8613" spans="1:1" ht="14.4">
      <c r="A8613" s="11"/>
    </row>
    <row r="8614" spans="1:1" ht="14.4">
      <c r="A8614" s="11"/>
    </row>
    <row r="8615" spans="1:1" ht="14.4">
      <c r="A8615" s="11"/>
    </row>
    <row r="8616" spans="1:1" ht="14.4">
      <c r="A8616" s="11"/>
    </row>
    <row r="8617" spans="1:1" ht="14.4">
      <c r="A8617" s="11"/>
    </row>
    <row r="8618" spans="1:1" ht="14.4">
      <c r="A8618" s="11"/>
    </row>
    <row r="8619" spans="1:1" ht="14.4">
      <c r="A8619" s="11"/>
    </row>
    <row r="8620" spans="1:1" ht="14.4">
      <c r="A8620" s="11"/>
    </row>
    <row r="8621" spans="1:1" ht="14.4">
      <c r="A8621" s="11"/>
    </row>
    <row r="8622" spans="1:1" ht="14.4">
      <c r="A8622" s="11"/>
    </row>
    <row r="8623" spans="1:1" ht="14.4">
      <c r="A8623" s="11"/>
    </row>
    <row r="8624" spans="1:1" ht="14.4">
      <c r="A8624" s="11"/>
    </row>
    <row r="8625" spans="1:1" ht="14.4">
      <c r="A8625" s="11"/>
    </row>
    <row r="8626" spans="1:1" ht="14.4">
      <c r="A8626" s="11"/>
    </row>
    <row r="8627" spans="1:1" ht="14.4">
      <c r="A8627" s="11"/>
    </row>
    <row r="8628" spans="1:1" ht="14.4">
      <c r="A8628" s="11"/>
    </row>
    <row r="8629" spans="1:1" ht="14.4">
      <c r="A8629" s="11"/>
    </row>
    <row r="8630" spans="1:1" ht="14.4">
      <c r="A8630" s="11"/>
    </row>
    <row r="8631" spans="1:1" ht="14.4">
      <c r="A8631" s="11"/>
    </row>
    <row r="8632" spans="1:1" ht="14.4">
      <c r="A8632" s="11"/>
    </row>
    <row r="8633" spans="1:1" ht="14.4">
      <c r="A8633" s="11"/>
    </row>
    <row r="8634" spans="1:1" ht="14.4">
      <c r="A8634" s="11"/>
    </row>
    <row r="8635" spans="1:1" ht="14.4">
      <c r="A8635" s="11"/>
    </row>
    <row r="8636" spans="1:1" ht="14.4">
      <c r="A8636" s="11"/>
    </row>
    <row r="8637" spans="1:1" ht="14.4">
      <c r="A8637" s="11"/>
    </row>
    <row r="8638" spans="1:1" ht="14.4">
      <c r="A8638" s="11"/>
    </row>
    <row r="8639" spans="1:1" ht="14.4">
      <c r="A8639" s="11"/>
    </row>
    <row r="8640" spans="1:1" ht="14.4">
      <c r="A8640" s="11"/>
    </row>
    <row r="8641" spans="1:1" ht="14.4">
      <c r="A8641" s="11"/>
    </row>
    <row r="8642" spans="1:1" ht="14.4">
      <c r="A8642" s="11"/>
    </row>
    <row r="8643" spans="1:1" ht="14.4">
      <c r="A8643" s="11"/>
    </row>
    <row r="8644" spans="1:1" ht="14.4">
      <c r="A8644" s="11"/>
    </row>
    <row r="8645" spans="1:1" ht="14.4">
      <c r="A8645" s="11"/>
    </row>
    <row r="8646" spans="1:1" ht="14.4">
      <c r="A8646" s="11"/>
    </row>
    <row r="8647" spans="1:1" ht="14.4">
      <c r="A8647" s="11"/>
    </row>
    <row r="8648" spans="1:1" ht="14.4">
      <c r="A8648" s="11"/>
    </row>
    <row r="8649" spans="1:1" ht="14.4">
      <c r="A8649" s="11"/>
    </row>
    <row r="8650" spans="1:1" ht="14.4">
      <c r="A8650" s="11"/>
    </row>
    <row r="8651" spans="1:1" ht="14.4">
      <c r="A8651" s="11"/>
    </row>
    <row r="8652" spans="1:1" ht="14.4">
      <c r="A8652" s="11"/>
    </row>
    <row r="8653" spans="1:1" ht="14.4">
      <c r="A8653" s="11"/>
    </row>
    <row r="8654" spans="1:1" ht="14.4">
      <c r="A8654" s="11"/>
    </row>
    <row r="8655" spans="1:1" ht="14.4">
      <c r="A8655" s="11"/>
    </row>
    <row r="8656" spans="1:1" ht="14.4">
      <c r="A8656" s="11"/>
    </row>
    <row r="8657" spans="1:1" ht="14.4">
      <c r="A8657" s="11"/>
    </row>
    <row r="8658" spans="1:1" ht="14.4">
      <c r="A8658" s="11"/>
    </row>
    <row r="8659" spans="1:1" ht="14.4">
      <c r="A8659" s="11"/>
    </row>
    <row r="8660" spans="1:1" ht="14.4">
      <c r="A8660" s="11"/>
    </row>
    <row r="8661" spans="1:1" ht="14.4">
      <c r="A8661" s="11"/>
    </row>
    <row r="8662" spans="1:1" ht="14.4">
      <c r="A8662" s="11"/>
    </row>
    <row r="8663" spans="1:1" ht="14.4">
      <c r="A8663" s="11"/>
    </row>
    <row r="8664" spans="1:1" ht="14.4">
      <c r="A8664" s="11"/>
    </row>
    <row r="8665" spans="1:1" ht="14.4">
      <c r="A8665" s="11"/>
    </row>
    <row r="8666" spans="1:1" ht="14.4">
      <c r="A8666" s="11"/>
    </row>
    <row r="8667" spans="1:1" ht="14.4">
      <c r="A8667" s="11"/>
    </row>
    <row r="8668" spans="1:1" ht="14.4">
      <c r="A8668" s="11"/>
    </row>
    <row r="8669" spans="1:1" ht="14.4">
      <c r="A8669" s="11"/>
    </row>
    <row r="8670" spans="1:1" ht="14.4">
      <c r="A8670" s="11"/>
    </row>
    <row r="8671" spans="1:1" ht="14.4">
      <c r="A8671" s="11"/>
    </row>
    <row r="8672" spans="1:1" ht="14.4">
      <c r="A8672" s="11"/>
    </row>
    <row r="8673" spans="1:1" ht="14.4">
      <c r="A8673" s="11"/>
    </row>
    <row r="8674" spans="1:1" ht="14.4">
      <c r="A8674" s="11"/>
    </row>
    <row r="8675" spans="1:1" ht="14.4">
      <c r="A8675" s="11"/>
    </row>
    <row r="8676" spans="1:1" ht="14.4">
      <c r="A8676" s="11"/>
    </row>
    <row r="8677" spans="1:1" ht="14.4">
      <c r="A8677" s="11"/>
    </row>
    <row r="8678" spans="1:1" ht="14.4">
      <c r="A8678" s="11"/>
    </row>
    <row r="8679" spans="1:1" ht="14.4">
      <c r="A8679" s="11"/>
    </row>
    <row r="8680" spans="1:1" ht="14.4">
      <c r="A8680" s="11"/>
    </row>
    <row r="8681" spans="1:1" ht="14.4">
      <c r="A8681" s="11"/>
    </row>
    <row r="8682" spans="1:1" ht="14.4">
      <c r="A8682" s="11"/>
    </row>
    <row r="8683" spans="1:1" ht="14.4">
      <c r="A8683" s="11"/>
    </row>
    <row r="8684" spans="1:1" ht="14.4">
      <c r="A8684" s="11"/>
    </row>
    <row r="8685" spans="1:1" ht="14.4">
      <c r="A8685" s="11"/>
    </row>
    <row r="8686" spans="1:1" ht="14.4">
      <c r="A8686" s="11"/>
    </row>
    <row r="8687" spans="1:1" ht="14.4">
      <c r="A8687" s="11"/>
    </row>
    <row r="8688" spans="1:1" ht="14.4">
      <c r="A8688" s="11"/>
    </row>
    <row r="8689" spans="1:1" ht="14.4">
      <c r="A8689" s="11"/>
    </row>
    <row r="8690" spans="1:1" ht="14.4">
      <c r="A8690" s="11"/>
    </row>
    <row r="8691" spans="1:1" ht="14.4">
      <c r="A8691" s="11"/>
    </row>
    <row r="8692" spans="1:1" ht="14.4">
      <c r="A8692" s="11"/>
    </row>
    <row r="8693" spans="1:1" ht="14.4">
      <c r="A8693" s="11"/>
    </row>
    <row r="8694" spans="1:1" ht="14.4">
      <c r="A8694" s="11"/>
    </row>
    <row r="8695" spans="1:1" ht="14.4">
      <c r="A8695" s="11"/>
    </row>
    <row r="8696" spans="1:1" ht="14.4">
      <c r="A8696" s="11"/>
    </row>
    <row r="8697" spans="1:1" ht="14.4">
      <c r="A8697" s="11"/>
    </row>
    <row r="8698" spans="1:1" ht="14.4">
      <c r="A8698" s="11"/>
    </row>
    <row r="8699" spans="1:1" ht="14.4">
      <c r="A8699" s="11"/>
    </row>
    <row r="8700" spans="1:1" ht="14.4">
      <c r="A8700" s="11"/>
    </row>
    <row r="8701" spans="1:1" ht="14.4">
      <c r="A8701" s="11"/>
    </row>
    <row r="8702" spans="1:1" ht="14.4">
      <c r="A8702" s="11"/>
    </row>
    <row r="8703" spans="1:1" ht="14.4">
      <c r="A8703" s="11"/>
    </row>
    <row r="8704" spans="1:1" ht="14.4">
      <c r="A8704" s="11"/>
    </row>
    <row r="8705" spans="1:1" ht="14.4">
      <c r="A8705" s="11"/>
    </row>
    <row r="8706" spans="1:1" ht="14.4">
      <c r="A8706" s="11"/>
    </row>
    <row r="8707" spans="1:1" ht="14.4">
      <c r="A8707" s="11"/>
    </row>
    <row r="8708" spans="1:1" ht="14.4">
      <c r="A8708" s="11"/>
    </row>
    <row r="8709" spans="1:1" ht="14.4">
      <c r="A8709" s="11"/>
    </row>
    <row r="8710" spans="1:1" ht="14.4">
      <c r="A8710" s="11"/>
    </row>
    <row r="8711" spans="1:1" ht="14.4">
      <c r="A8711" s="11"/>
    </row>
    <row r="8712" spans="1:1" ht="14.4">
      <c r="A8712" s="11"/>
    </row>
    <row r="8713" spans="1:1" ht="14.4">
      <c r="A8713" s="11"/>
    </row>
    <row r="8714" spans="1:1" ht="14.4">
      <c r="A8714" s="11"/>
    </row>
    <row r="8715" spans="1:1" ht="14.4">
      <c r="A8715" s="11"/>
    </row>
    <row r="8716" spans="1:1" ht="14.4">
      <c r="A8716" s="11"/>
    </row>
    <row r="8717" spans="1:1" ht="14.4">
      <c r="A8717" s="11"/>
    </row>
    <row r="8718" spans="1:1" ht="14.4">
      <c r="A8718" s="11"/>
    </row>
    <row r="8719" spans="1:1" ht="14.4">
      <c r="A8719" s="11"/>
    </row>
    <row r="8720" spans="1:1" ht="14.4">
      <c r="A8720" s="11"/>
    </row>
    <row r="8721" spans="1:1" ht="14.4">
      <c r="A8721" s="11"/>
    </row>
    <row r="8722" spans="1:1" ht="14.4">
      <c r="A8722" s="11"/>
    </row>
    <row r="8723" spans="1:1" ht="14.4">
      <c r="A8723" s="11"/>
    </row>
    <row r="8724" spans="1:1" ht="14.4">
      <c r="A8724" s="11"/>
    </row>
    <row r="8725" spans="1:1" ht="14.4">
      <c r="A8725" s="11"/>
    </row>
    <row r="8726" spans="1:1" ht="14.4">
      <c r="A8726" s="11"/>
    </row>
    <row r="8727" spans="1:1" ht="14.4">
      <c r="A8727" s="11"/>
    </row>
    <row r="8728" spans="1:1" ht="14.4">
      <c r="A8728" s="11"/>
    </row>
    <row r="8729" spans="1:1" ht="14.4">
      <c r="A8729" s="11"/>
    </row>
    <row r="8730" spans="1:1" ht="14.4">
      <c r="A8730" s="11"/>
    </row>
    <row r="8731" spans="1:1" ht="14.4">
      <c r="A8731" s="11"/>
    </row>
    <row r="8732" spans="1:1" ht="14.4">
      <c r="A8732" s="11"/>
    </row>
    <row r="8733" spans="1:1" ht="14.4">
      <c r="A8733" s="11"/>
    </row>
    <row r="8734" spans="1:1" ht="14.4">
      <c r="A8734" s="11"/>
    </row>
    <row r="8735" spans="1:1" ht="14.4">
      <c r="A8735" s="11"/>
    </row>
    <row r="8736" spans="1:1" ht="14.4">
      <c r="A8736" s="11"/>
    </row>
    <row r="8737" spans="1:1" ht="14.4">
      <c r="A8737" s="11"/>
    </row>
    <row r="8738" spans="1:1" ht="14.4">
      <c r="A8738" s="11"/>
    </row>
    <row r="8739" spans="1:1" ht="14.4">
      <c r="A8739" s="11"/>
    </row>
    <row r="8740" spans="1:1" ht="14.4">
      <c r="A8740" s="11"/>
    </row>
    <row r="8741" spans="1:1" ht="14.4">
      <c r="A8741" s="11"/>
    </row>
    <row r="8742" spans="1:1" ht="14.4">
      <c r="A8742" s="11"/>
    </row>
    <row r="8743" spans="1:1" ht="14.4">
      <c r="A8743" s="11"/>
    </row>
    <row r="8744" spans="1:1" ht="14.4">
      <c r="A8744" s="11"/>
    </row>
    <row r="8745" spans="1:1" ht="14.4">
      <c r="A8745" s="11"/>
    </row>
    <row r="8746" spans="1:1" ht="14.4">
      <c r="A8746" s="11"/>
    </row>
    <row r="8747" spans="1:1" ht="14.4">
      <c r="A8747" s="11"/>
    </row>
    <row r="8748" spans="1:1" ht="14.4">
      <c r="A8748" s="11"/>
    </row>
    <row r="8749" spans="1:1" ht="14.4">
      <c r="A8749" s="11"/>
    </row>
    <row r="8750" spans="1:1" ht="14.4">
      <c r="A8750" s="11"/>
    </row>
    <row r="8751" spans="1:1" ht="14.4">
      <c r="A8751" s="11"/>
    </row>
    <row r="8752" spans="1:1" ht="14.4">
      <c r="A8752" s="11"/>
    </row>
    <row r="8753" spans="1:1" ht="14.4">
      <c r="A8753" s="11"/>
    </row>
    <row r="8754" spans="1:1" ht="14.4">
      <c r="A8754" s="11"/>
    </row>
    <row r="8755" spans="1:1" ht="14.4">
      <c r="A8755" s="11"/>
    </row>
    <row r="8756" spans="1:1" ht="14.4">
      <c r="A8756" s="11"/>
    </row>
    <row r="8757" spans="1:1" ht="14.4">
      <c r="A8757" s="11"/>
    </row>
    <row r="8758" spans="1:1" ht="14.4">
      <c r="A8758" s="11"/>
    </row>
    <row r="8759" spans="1:1" ht="14.4">
      <c r="A8759" s="11"/>
    </row>
    <row r="8760" spans="1:1" ht="14.4">
      <c r="A8760" s="11"/>
    </row>
    <row r="8761" spans="1:1" ht="14.4">
      <c r="A8761" s="11"/>
    </row>
    <row r="8762" spans="1:1" ht="14.4">
      <c r="A8762" s="11"/>
    </row>
    <row r="8763" spans="1:1" ht="14.4">
      <c r="A8763" s="11"/>
    </row>
    <row r="8764" spans="1:1" ht="14.4">
      <c r="A8764" s="11"/>
    </row>
    <row r="8765" spans="1:1" ht="14.4">
      <c r="A8765" s="11"/>
    </row>
    <row r="8766" spans="1:1" ht="14.4">
      <c r="A8766" s="11"/>
    </row>
    <row r="8767" spans="1:1" ht="14.4">
      <c r="A8767" s="11"/>
    </row>
    <row r="8768" spans="1:1" ht="14.4">
      <c r="A8768" s="11"/>
    </row>
    <row r="8769" spans="1:1" ht="14.4">
      <c r="A8769" s="11"/>
    </row>
    <row r="8770" spans="1:1" ht="14.4">
      <c r="A8770" s="11"/>
    </row>
    <row r="8771" spans="1:1" ht="14.4">
      <c r="A8771" s="11"/>
    </row>
    <row r="8772" spans="1:1" ht="14.4">
      <c r="A8772" s="11"/>
    </row>
    <row r="8773" spans="1:1" ht="14.4">
      <c r="A8773" s="11"/>
    </row>
    <row r="8774" spans="1:1" ht="14.4">
      <c r="A8774" s="11"/>
    </row>
    <row r="8775" spans="1:1" ht="14.4">
      <c r="A8775" s="11"/>
    </row>
    <row r="8776" spans="1:1" ht="14.4">
      <c r="A8776" s="11"/>
    </row>
    <row r="8777" spans="1:1" ht="14.4">
      <c r="A8777" s="11"/>
    </row>
    <row r="8778" spans="1:1" ht="14.4">
      <c r="A8778" s="11"/>
    </row>
    <row r="8779" spans="1:1" ht="14.4">
      <c r="A8779" s="11"/>
    </row>
    <row r="8780" spans="1:1" ht="14.4">
      <c r="A8780" s="11"/>
    </row>
    <row r="8781" spans="1:1" ht="14.4">
      <c r="A8781" s="11"/>
    </row>
    <row r="8782" spans="1:1" ht="14.4">
      <c r="A8782" s="11"/>
    </row>
    <row r="8783" spans="1:1" ht="14.4">
      <c r="A8783" s="11"/>
    </row>
    <row r="8784" spans="1:1" ht="14.4">
      <c r="A8784" s="11"/>
    </row>
    <row r="8785" spans="1:1" ht="14.4">
      <c r="A8785" s="11"/>
    </row>
    <row r="8786" spans="1:1" ht="14.4">
      <c r="A8786" s="11"/>
    </row>
    <row r="8787" spans="1:1" ht="14.4">
      <c r="A8787" s="11"/>
    </row>
    <row r="8788" spans="1:1" ht="14.4">
      <c r="A8788" s="11"/>
    </row>
    <row r="8789" spans="1:1" ht="14.4">
      <c r="A8789" s="11"/>
    </row>
    <row r="8790" spans="1:1" ht="14.4">
      <c r="A8790" s="11"/>
    </row>
    <row r="8791" spans="1:1" ht="14.4">
      <c r="A8791" s="11"/>
    </row>
    <row r="8792" spans="1:1" ht="14.4">
      <c r="A8792" s="11"/>
    </row>
    <row r="8793" spans="1:1" ht="14.4">
      <c r="A8793" s="11"/>
    </row>
    <row r="8794" spans="1:1" ht="14.4">
      <c r="A8794" s="11"/>
    </row>
    <row r="8795" spans="1:1" ht="14.4">
      <c r="A8795" s="11"/>
    </row>
    <row r="8796" spans="1:1" ht="14.4">
      <c r="A8796" s="11"/>
    </row>
    <row r="8797" spans="1:1" ht="14.4">
      <c r="A8797" s="11"/>
    </row>
    <row r="8798" spans="1:1" ht="14.4">
      <c r="A8798" s="11"/>
    </row>
    <row r="8799" spans="1:1" ht="14.4">
      <c r="A8799" s="11"/>
    </row>
    <row r="8800" spans="1:1" ht="14.4">
      <c r="A8800" s="11"/>
    </row>
    <row r="8801" spans="1:1" ht="14.4">
      <c r="A8801" s="11"/>
    </row>
    <row r="8802" spans="1:1" ht="14.4">
      <c r="A8802" s="11"/>
    </row>
    <row r="8803" spans="1:1" ht="14.4">
      <c r="A8803" s="11"/>
    </row>
    <row r="8804" spans="1:1" ht="14.4">
      <c r="A8804" s="11"/>
    </row>
    <row r="8805" spans="1:1" ht="14.4">
      <c r="A8805" s="11"/>
    </row>
    <row r="8806" spans="1:1" ht="14.4">
      <c r="A8806" s="11"/>
    </row>
    <row r="8807" spans="1:1" ht="14.4">
      <c r="A8807" s="11"/>
    </row>
    <row r="8808" spans="1:1" ht="14.4">
      <c r="A8808" s="11"/>
    </row>
    <row r="8809" spans="1:1" ht="14.4">
      <c r="A8809" s="11"/>
    </row>
    <row r="8810" spans="1:1" ht="14.4">
      <c r="A8810" s="11"/>
    </row>
    <row r="8811" spans="1:1" ht="14.4">
      <c r="A8811" s="11"/>
    </row>
    <row r="8812" spans="1:1" ht="14.4">
      <c r="A8812" s="11"/>
    </row>
    <row r="8813" spans="1:1" ht="14.4">
      <c r="A8813" s="11"/>
    </row>
    <row r="8814" spans="1:1" ht="14.4">
      <c r="A8814" s="11"/>
    </row>
    <row r="8815" spans="1:1" ht="14.4">
      <c r="A8815" s="11"/>
    </row>
    <row r="8816" spans="1:1" ht="14.4">
      <c r="A8816" s="11"/>
    </row>
    <row r="8817" spans="1:1" ht="14.4">
      <c r="A8817" s="11"/>
    </row>
    <row r="8818" spans="1:1" ht="14.4">
      <c r="A8818" s="11"/>
    </row>
    <row r="8819" spans="1:1" ht="14.4">
      <c r="A8819" s="11"/>
    </row>
    <row r="8820" spans="1:1" ht="14.4">
      <c r="A8820" s="11"/>
    </row>
    <row r="8821" spans="1:1" ht="14.4">
      <c r="A8821" s="11"/>
    </row>
    <row r="8822" spans="1:1" ht="14.4">
      <c r="A8822" s="11"/>
    </row>
    <row r="8823" spans="1:1" ht="14.4">
      <c r="A8823" s="11"/>
    </row>
    <row r="8824" spans="1:1" ht="14.4">
      <c r="A8824" s="11"/>
    </row>
    <row r="8825" spans="1:1" ht="14.4">
      <c r="A8825" s="11"/>
    </row>
    <row r="8826" spans="1:1" ht="14.4">
      <c r="A8826" s="11"/>
    </row>
    <row r="8827" spans="1:1" ht="14.4">
      <c r="A8827" s="11"/>
    </row>
    <row r="8828" spans="1:1" ht="14.4">
      <c r="A8828" s="11"/>
    </row>
    <row r="8829" spans="1:1" ht="14.4">
      <c r="A8829" s="11"/>
    </row>
    <row r="8830" spans="1:1" ht="14.4">
      <c r="A8830" s="11"/>
    </row>
    <row r="8831" spans="1:1" ht="14.4">
      <c r="A8831" s="11"/>
    </row>
    <row r="8832" spans="1:1" ht="14.4">
      <c r="A8832" s="11"/>
    </row>
    <row r="8833" spans="1:1" ht="14.4">
      <c r="A8833" s="11"/>
    </row>
    <row r="8834" spans="1:1" ht="14.4">
      <c r="A8834" s="11"/>
    </row>
    <row r="8835" spans="1:1" ht="14.4">
      <c r="A8835" s="11"/>
    </row>
    <row r="8836" spans="1:1" ht="14.4">
      <c r="A8836" s="11"/>
    </row>
    <row r="8837" spans="1:1" ht="14.4">
      <c r="A8837" s="11"/>
    </row>
    <row r="8838" spans="1:1" ht="14.4">
      <c r="A8838" s="11"/>
    </row>
    <row r="8839" spans="1:1" ht="14.4">
      <c r="A8839" s="11"/>
    </row>
    <row r="8840" spans="1:1" ht="14.4">
      <c r="A8840" s="11"/>
    </row>
    <row r="8841" spans="1:1" ht="14.4">
      <c r="A8841" s="11"/>
    </row>
    <row r="8842" spans="1:1" ht="14.4">
      <c r="A8842" s="11"/>
    </row>
    <row r="8843" spans="1:1" ht="14.4">
      <c r="A8843" s="11"/>
    </row>
    <row r="8844" spans="1:1" ht="14.4">
      <c r="A8844" s="11"/>
    </row>
    <row r="8845" spans="1:1" ht="14.4">
      <c r="A8845" s="11"/>
    </row>
    <row r="8846" spans="1:1" ht="14.4">
      <c r="A8846" s="11"/>
    </row>
    <row r="8847" spans="1:1" ht="14.4">
      <c r="A8847" s="11"/>
    </row>
    <row r="8848" spans="1:1" ht="14.4">
      <c r="A8848" s="11"/>
    </row>
    <row r="8849" spans="1:1" ht="14.4">
      <c r="A8849" s="11"/>
    </row>
    <row r="8850" spans="1:1" ht="14.4">
      <c r="A8850" s="11"/>
    </row>
    <row r="8851" spans="1:1" ht="14.4">
      <c r="A8851" s="11"/>
    </row>
    <row r="8852" spans="1:1" ht="14.4">
      <c r="A8852" s="11"/>
    </row>
    <row r="8853" spans="1:1" ht="14.4">
      <c r="A8853" s="11"/>
    </row>
    <row r="8854" spans="1:1" ht="14.4">
      <c r="A8854" s="11"/>
    </row>
    <row r="8855" spans="1:1" ht="14.4">
      <c r="A8855" s="11"/>
    </row>
    <row r="8856" spans="1:1" ht="14.4">
      <c r="A8856" s="11"/>
    </row>
    <row r="8857" spans="1:1" ht="14.4">
      <c r="A8857" s="11"/>
    </row>
    <row r="8858" spans="1:1" ht="14.4">
      <c r="A8858" s="11"/>
    </row>
    <row r="8859" spans="1:1" ht="14.4">
      <c r="A8859" s="11"/>
    </row>
    <row r="8860" spans="1:1" ht="14.4">
      <c r="A8860" s="11"/>
    </row>
    <row r="8861" spans="1:1" ht="14.4">
      <c r="A8861" s="11"/>
    </row>
    <row r="8862" spans="1:1" ht="14.4">
      <c r="A8862" s="11"/>
    </row>
    <row r="8863" spans="1:1" ht="14.4">
      <c r="A8863" s="11"/>
    </row>
    <row r="8864" spans="1:1" ht="14.4">
      <c r="A8864" s="11"/>
    </row>
    <row r="8865" spans="1:1" ht="14.4">
      <c r="A8865" s="11"/>
    </row>
    <row r="8866" spans="1:1" ht="14.4">
      <c r="A8866" s="11"/>
    </row>
    <row r="8867" spans="1:1" ht="14.4">
      <c r="A8867" s="11"/>
    </row>
    <row r="8868" spans="1:1" ht="14.4">
      <c r="A8868" s="11"/>
    </row>
    <row r="8869" spans="1:1" ht="14.4">
      <c r="A8869" s="11"/>
    </row>
    <row r="8870" spans="1:1" ht="14.4">
      <c r="A8870" s="11"/>
    </row>
    <row r="8871" spans="1:1" ht="14.4">
      <c r="A8871" s="11"/>
    </row>
    <row r="8872" spans="1:1" ht="14.4">
      <c r="A8872" s="11"/>
    </row>
    <row r="8873" spans="1:1" ht="14.4">
      <c r="A8873" s="11"/>
    </row>
    <row r="8874" spans="1:1" ht="14.4">
      <c r="A8874" s="11"/>
    </row>
    <row r="8875" spans="1:1" ht="14.4">
      <c r="A8875" s="11"/>
    </row>
    <row r="8876" spans="1:1" ht="14.4">
      <c r="A8876" s="11"/>
    </row>
    <row r="8877" spans="1:1" ht="14.4">
      <c r="A8877" s="11"/>
    </row>
    <row r="8878" spans="1:1" ht="14.4">
      <c r="A8878" s="11"/>
    </row>
    <row r="8879" spans="1:1" ht="14.4">
      <c r="A8879" s="11"/>
    </row>
    <row r="8880" spans="1:1" ht="14.4">
      <c r="A8880" s="11"/>
    </row>
    <row r="8881" spans="1:1" ht="14.4">
      <c r="A8881" s="11"/>
    </row>
    <row r="8882" spans="1:1" ht="14.4">
      <c r="A8882" s="11"/>
    </row>
    <row r="8883" spans="1:1" ht="14.4">
      <c r="A8883" s="11"/>
    </row>
    <row r="8884" spans="1:1" ht="14.4">
      <c r="A8884" s="11"/>
    </row>
    <row r="8885" spans="1:1" ht="14.4">
      <c r="A8885" s="11"/>
    </row>
    <row r="8886" spans="1:1" ht="14.4">
      <c r="A8886" s="11"/>
    </row>
    <row r="8887" spans="1:1" ht="14.4">
      <c r="A8887" s="11"/>
    </row>
    <row r="8888" spans="1:1" ht="14.4">
      <c r="A8888" s="11"/>
    </row>
    <row r="8889" spans="1:1" ht="14.4">
      <c r="A8889" s="11"/>
    </row>
    <row r="8890" spans="1:1" ht="14.4">
      <c r="A8890" s="11"/>
    </row>
    <row r="8891" spans="1:1" ht="14.4">
      <c r="A8891" s="11"/>
    </row>
    <row r="8892" spans="1:1" ht="14.4">
      <c r="A8892" s="11"/>
    </row>
    <row r="8893" spans="1:1" ht="14.4">
      <c r="A8893" s="11"/>
    </row>
    <row r="8894" spans="1:1" ht="14.4">
      <c r="A8894" s="11"/>
    </row>
    <row r="8895" spans="1:1" ht="14.4">
      <c r="A8895" s="11"/>
    </row>
    <row r="8896" spans="1:1" ht="14.4">
      <c r="A8896" s="11"/>
    </row>
    <row r="8897" spans="1:1" ht="14.4">
      <c r="A8897" s="11"/>
    </row>
    <row r="8898" spans="1:1" ht="14.4">
      <c r="A8898" s="11"/>
    </row>
    <row r="8899" spans="1:1" ht="14.4">
      <c r="A8899" s="11"/>
    </row>
    <row r="8900" spans="1:1" ht="14.4">
      <c r="A8900" s="11"/>
    </row>
    <row r="8901" spans="1:1" ht="14.4">
      <c r="A8901" s="11"/>
    </row>
    <row r="8902" spans="1:1" ht="14.4">
      <c r="A8902" s="11"/>
    </row>
    <row r="8903" spans="1:1" ht="14.4">
      <c r="A8903" s="11"/>
    </row>
    <row r="8904" spans="1:1" ht="14.4">
      <c r="A8904" s="11"/>
    </row>
    <row r="8905" spans="1:1" ht="14.4">
      <c r="A8905" s="11"/>
    </row>
    <row r="8906" spans="1:1" ht="14.4">
      <c r="A8906" s="11"/>
    </row>
    <row r="8907" spans="1:1" ht="14.4">
      <c r="A8907" s="11"/>
    </row>
    <row r="8908" spans="1:1" ht="14.4">
      <c r="A8908" s="11"/>
    </row>
    <row r="8909" spans="1:1" ht="14.4">
      <c r="A8909" s="11"/>
    </row>
    <row r="8910" spans="1:1" ht="14.4">
      <c r="A8910" s="11"/>
    </row>
    <row r="8911" spans="1:1" ht="14.4">
      <c r="A8911" s="11"/>
    </row>
    <row r="8912" spans="1:1" ht="14.4">
      <c r="A8912" s="11"/>
    </row>
    <row r="8913" spans="1:1" ht="14.4">
      <c r="A8913" s="11"/>
    </row>
    <row r="8914" spans="1:1" ht="14.4">
      <c r="A8914" s="11"/>
    </row>
    <row r="8915" spans="1:1" ht="14.4">
      <c r="A8915" s="11"/>
    </row>
    <row r="8916" spans="1:1" ht="14.4">
      <c r="A8916" s="11"/>
    </row>
    <row r="8917" spans="1:1" ht="14.4">
      <c r="A8917" s="11"/>
    </row>
    <row r="8918" spans="1:1" ht="14.4">
      <c r="A8918" s="11"/>
    </row>
    <row r="8919" spans="1:1" ht="14.4">
      <c r="A8919" s="11"/>
    </row>
    <row r="8920" spans="1:1" ht="14.4">
      <c r="A8920" s="11"/>
    </row>
    <row r="8921" spans="1:1" ht="14.4">
      <c r="A8921" s="11"/>
    </row>
    <row r="8922" spans="1:1" ht="14.4">
      <c r="A8922" s="11"/>
    </row>
    <row r="8923" spans="1:1" ht="14.4">
      <c r="A8923" s="11"/>
    </row>
    <row r="8924" spans="1:1" ht="14.4">
      <c r="A8924" s="11"/>
    </row>
    <row r="8925" spans="1:1" ht="14.4">
      <c r="A8925" s="11"/>
    </row>
    <row r="8926" spans="1:1" ht="14.4">
      <c r="A8926" s="11"/>
    </row>
    <row r="8927" spans="1:1" ht="14.4">
      <c r="A8927" s="11"/>
    </row>
    <row r="8928" spans="1:1" ht="14.4">
      <c r="A8928" s="11"/>
    </row>
    <row r="8929" spans="1:1" ht="14.4">
      <c r="A8929" s="11"/>
    </row>
    <row r="8930" spans="1:1" ht="14.4">
      <c r="A8930" s="11"/>
    </row>
    <row r="8931" spans="1:1" ht="14.4">
      <c r="A8931" s="11"/>
    </row>
    <row r="8932" spans="1:1" ht="14.4">
      <c r="A8932" s="11"/>
    </row>
    <row r="8933" spans="1:1" ht="14.4">
      <c r="A8933" s="11"/>
    </row>
    <row r="8934" spans="1:1" ht="14.4">
      <c r="A8934" s="11"/>
    </row>
    <row r="8935" spans="1:1" ht="14.4">
      <c r="A8935" s="11"/>
    </row>
    <row r="8936" spans="1:1" ht="14.4">
      <c r="A8936" s="11"/>
    </row>
    <row r="8937" spans="1:1" ht="14.4">
      <c r="A8937" s="11"/>
    </row>
    <row r="8938" spans="1:1" ht="14.4">
      <c r="A8938" s="11"/>
    </row>
    <row r="8939" spans="1:1" ht="14.4">
      <c r="A8939" s="11"/>
    </row>
    <row r="8940" spans="1:1" ht="14.4">
      <c r="A8940" s="11"/>
    </row>
    <row r="8941" spans="1:1" ht="14.4">
      <c r="A8941" s="11"/>
    </row>
    <row r="8942" spans="1:1" ht="14.4">
      <c r="A8942" s="11"/>
    </row>
    <row r="8943" spans="1:1" ht="14.4">
      <c r="A8943" s="11"/>
    </row>
    <row r="8944" spans="1:1" ht="14.4">
      <c r="A8944" s="11"/>
    </row>
    <row r="8945" spans="1:1" ht="14.4">
      <c r="A8945" s="11"/>
    </row>
    <row r="8946" spans="1:1" ht="14.4">
      <c r="A8946" s="11"/>
    </row>
    <row r="8947" spans="1:1" ht="14.4">
      <c r="A8947" s="11"/>
    </row>
    <row r="8948" spans="1:1" ht="14.4">
      <c r="A8948" s="11"/>
    </row>
    <row r="8949" spans="1:1" ht="14.4">
      <c r="A8949" s="11"/>
    </row>
    <row r="8950" spans="1:1" ht="14.4">
      <c r="A8950" s="11"/>
    </row>
    <row r="8951" spans="1:1" ht="14.4">
      <c r="A8951" s="11"/>
    </row>
    <row r="8952" spans="1:1" ht="14.4">
      <c r="A8952" s="11"/>
    </row>
    <row r="8953" spans="1:1" ht="14.4">
      <c r="A8953" s="11"/>
    </row>
    <row r="8954" spans="1:1" ht="14.4">
      <c r="A8954" s="11"/>
    </row>
    <row r="8955" spans="1:1" ht="14.4">
      <c r="A8955" s="11"/>
    </row>
    <row r="8956" spans="1:1" ht="14.4">
      <c r="A8956" s="11"/>
    </row>
    <row r="8957" spans="1:1" ht="14.4">
      <c r="A8957" s="11"/>
    </row>
    <row r="8958" spans="1:1" ht="14.4">
      <c r="A8958" s="11"/>
    </row>
    <row r="8959" spans="1:1" ht="14.4">
      <c r="A8959" s="11"/>
    </row>
    <row r="8960" spans="1:1" ht="14.4">
      <c r="A8960" s="11"/>
    </row>
    <row r="8961" spans="1:1" ht="14.4">
      <c r="A8961" s="11"/>
    </row>
    <row r="8962" spans="1:1" ht="14.4">
      <c r="A8962" s="11"/>
    </row>
    <row r="8963" spans="1:1" ht="14.4">
      <c r="A8963" s="11"/>
    </row>
    <row r="8964" spans="1:1" ht="14.4">
      <c r="A8964" s="11"/>
    </row>
    <row r="8965" spans="1:1" ht="14.4">
      <c r="A8965" s="11"/>
    </row>
    <row r="8966" spans="1:1" ht="14.4">
      <c r="A8966" s="11"/>
    </row>
    <row r="8967" spans="1:1" ht="14.4">
      <c r="A8967" s="11"/>
    </row>
    <row r="8968" spans="1:1" ht="14.4">
      <c r="A8968" s="11"/>
    </row>
    <row r="8969" spans="1:1" ht="14.4">
      <c r="A8969" s="11"/>
    </row>
    <row r="8970" spans="1:1" ht="14.4">
      <c r="A8970" s="11"/>
    </row>
    <row r="8971" spans="1:1" ht="14.4">
      <c r="A8971" s="11"/>
    </row>
    <row r="8972" spans="1:1" ht="14.4">
      <c r="A8972" s="11"/>
    </row>
    <row r="8973" spans="1:1" ht="14.4">
      <c r="A8973" s="11"/>
    </row>
    <row r="8974" spans="1:1" ht="14.4">
      <c r="A8974" s="11"/>
    </row>
    <row r="8975" spans="1:1" ht="14.4">
      <c r="A8975" s="11"/>
    </row>
    <row r="8976" spans="1:1" ht="14.4">
      <c r="A8976" s="11"/>
    </row>
    <row r="8977" spans="1:1" ht="14.4">
      <c r="A8977" s="11"/>
    </row>
    <row r="8978" spans="1:1" ht="14.4">
      <c r="A8978" s="11"/>
    </row>
    <row r="8979" spans="1:1" ht="14.4">
      <c r="A8979" s="11"/>
    </row>
    <row r="8980" spans="1:1" ht="14.4">
      <c r="A8980" s="11"/>
    </row>
    <row r="8981" spans="1:1" ht="14.4">
      <c r="A8981" s="11"/>
    </row>
    <row r="8982" spans="1:1" ht="14.4">
      <c r="A8982" s="11"/>
    </row>
    <row r="8983" spans="1:1" ht="14.4">
      <c r="A8983" s="11"/>
    </row>
    <row r="8984" spans="1:1" ht="14.4">
      <c r="A8984" s="11"/>
    </row>
    <row r="8985" spans="1:1" ht="14.4">
      <c r="A8985" s="11"/>
    </row>
    <row r="8986" spans="1:1" ht="14.4">
      <c r="A8986" s="11"/>
    </row>
    <row r="8987" spans="1:1" ht="14.4">
      <c r="A8987" s="11"/>
    </row>
    <row r="8988" spans="1:1" ht="14.4">
      <c r="A8988" s="11"/>
    </row>
    <row r="8989" spans="1:1" ht="14.4">
      <c r="A8989" s="11"/>
    </row>
    <row r="8990" spans="1:1" ht="14.4">
      <c r="A8990" s="11"/>
    </row>
    <row r="8991" spans="1:1" ht="14.4">
      <c r="A8991" s="11"/>
    </row>
    <row r="8992" spans="1:1" ht="14.4">
      <c r="A8992" s="11"/>
    </row>
    <row r="8993" spans="1:1" ht="14.4">
      <c r="A8993" s="11"/>
    </row>
    <row r="8994" spans="1:1" ht="14.4">
      <c r="A8994" s="11"/>
    </row>
    <row r="8995" spans="1:1" ht="14.4">
      <c r="A8995" s="11"/>
    </row>
    <row r="8996" spans="1:1" ht="14.4">
      <c r="A8996" s="11"/>
    </row>
    <row r="8997" spans="1:1" ht="14.4">
      <c r="A8997" s="11"/>
    </row>
    <row r="8998" spans="1:1" ht="14.4">
      <c r="A8998" s="11"/>
    </row>
    <row r="8999" spans="1:1" ht="14.4">
      <c r="A8999" s="11"/>
    </row>
    <row r="9000" spans="1:1" ht="14.4">
      <c r="A9000" s="11"/>
    </row>
    <row r="9001" spans="1:1" ht="14.4">
      <c r="A9001" s="11"/>
    </row>
    <row r="9002" spans="1:1" ht="14.4">
      <c r="A9002" s="11"/>
    </row>
    <row r="9003" spans="1:1" ht="14.4">
      <c r="A9003" s="11"/>
    </row>
    <row r="9004" spans="1:1" ht="14.4">
      <c r="A9004" s="11"/>
    </row>
    <row r="9005" spans="1:1" ht="14.4">
      <c r="A9005" s="11"/>
    </row>
    <row r="9006" spans="1:1" ht="14.4">
      <c r="A9006" s="11"/>
    </row>
    <row r="9007" spans="1:1" ht="14.4">
      <c r="A9007" s="11"/>
    </row>
    <row r="9008" spans="1:1" ht="14.4">
      <c r="A9008" s="11"/>
    </row>
    <row r="9009" spans="1:1" ht="14.4">
      <c r="A9009" s="11"/>
    </row>
    <row r="9010" spans="1:1" ht="14.4">
      <c r="A9010" s="11"/>
    </row>
    <row r="9011" spans="1:1" ht="14.4">
      <c r="A9011" s="11"/>
    </row>
    <row r="9012" spans="1:1" ht="14.4">
      <c r="A9012" s="11"/>
    </row>
    <row r="9013" spans="1:1" ht="14.4">
      <c r="A9013" s="11"/>
    </row>
    <row r="9014" spans="1:1" ht="14.4">
      <c r="A9014" s="11"/>
    </row>
    <row r="9015" spans="1:1" ht="14.4">
      <c r="A9015" s="11"/>
    </row>
    <row r="9016" spans="1:1" ht="14.4">
      <c r="A9016" s="11"/>
    </row>
    <row r="9017" spans="1:1" ht="14.4">
      <c r="A9017" s="11"/>
    </row>
    <row r="9018" spans="1:1" ht="14.4">
      <c r="A9018" s="11"/>
    </row>
    <row r="9019" spans="1:1" ht="14.4">
      <c r="A9019" s="11"/>
    </row>
    <row r="9020" spans="1:1" ht="14.4">
      <c r="A9020" s="11"/>
    </row>
    <row r="9021" spans="1:1" ht="14.4">
      <c r="A9021" s="11"/>
    </row>
    <row r="9022" spans="1:1" ht="14.4">
      <c r="A9022" s="11"/>
    </row>
    <row r="9023" spans="1:1" ht="14.4">
      <c r="A9023" s="11"/>
    </row>
    <row r="9024" spans="1:1" ht="14.4">
      <c r="A9024" s="11"/>
    </row>
    <row r="9025" spans="1:1" ht="14.4">
      <c r="A9025" s="11"/>
    </row>
    <row r="9026" spans="1:1" ht="14.4">
      <c r="A9026" s="11"/>
    </row>
    <row r="9027" spans="1:1" ht="14.4">
      <c r="A9027" s="11"/>
    </row>
    <row r="9028" spans="1:1" ht="14.4">
      <c r="A9028" s="11"/>
    </row>
    <row r="9029" spans="1:1" ht="14.4">
      <c r="A9029" s="11"/>
    </row>
    <row r="9030" spans="1:1" ht="14.4">
      <c r="A9030" s="11"/>
    </row>
    <row r="9031" spans="1:1" ht="14.4">
      <c r="A9031" s="11"/>
    </row>
    <row r="9032" spans="1:1" ht="14.4">
      <c r="A9032" s="11"/>
    </row>
    <row r="9033" spans="1:1" ht="14.4">
      <c r="A9033" s="11"/>
    </row>
    <row r="9034" spans="1:1" ht="14.4">
      <c r="A9034" s="11"/>
    </row>
    <row r="9035" spans="1:1" ht="14.4">
      <c r="A9035" s="11"/>
    </row>
    <row r="9036" spans="1:1" ht="14.4">
      <c r="A9036" s="11"/>
    </row>
    <row r="9037" spans="1:1" ht="14.4">
      <c r="A9037" s="11"/>
    </row>
    <row r="9038" spans="1:1" ht="14.4">
      <c r="A9038" s="11"/>
    </row>
    <row r="9039" spans="1:1" ht="14.4">
      <c r="A9039" s="11"/>
    </row>
    <row r="9040" spans="1:1" ht="14.4">
      <c r="A9040" s="11"/>
    </row>
    <row r="9041" spans="1:1" ht="14.4">
      <c r="A9041" s="11"/>
    </row>
    <row r="9042" spans="1:1" ht="14.4">
      <c r="A9042" s="11"/>
    </row>
    <row r="9043" spans="1:1" ht="14.4">
      <c r="A9043" s="11"/>
    </row>
    <row r="9044" spans="1:1" ht="14.4">
      <c r="A9044" s="11"/>
    </row>
    <row r="9045" spans="1:1" ht="14.4">
      <c r="A9045" s="11"/>
    </row>
    <row r="9046" spans="1:1" ht="14.4">
      <c r="A9046" s="11"/>
    </row>
    <row r="9047" spans="1:1" ht="14.4">
      <c r="A9047" s="11"/>
    </row>
    <row r="9048" spans="1:1" ht="14.4">
      <c r="A9048" s="11"/>
    </row>
    <row r="9049" spans="1:1" ht="14.4">
      <c r="A9049" s="11"/>
    </row>
    <row r="9050" spans="1:1" ht="14.4">
      <c r="A9050" s="11"/>
    </row>
    <row r="9051" spans="1:1" ht="14.4">
      <c r="A9051" s="11"/>
    </row>
    <row r="9052" spans="1:1" ht="14.4">
      <c r="A9052" s="11"/>
    </row>
    <row r="9053" spans="1:1" ht="14.4">
      <c r="A9053" s="11"/>
    </row>
    <row r="9054" spans="1:1" ht="14.4">
      <c r="A9054" s="11"/>
    </row>
    <row r="9055" spans="1:1" ht="14.4">
      <c r="A9055" s="11"/>
    </row>
    <row r="9056" spans="1:1" ht="14.4">
      <c r="A9056" s="11"/>
    </row>
    <row r="9057" spans="1:1" ht="14.4">
      <c r="A9057" s="11"/>
    </row>
    <row r="9058" spans="1:1" ht="14.4">
      <c r="A9058" s="11"/>
    </row>
    <row r="9059" spans="1:1" ht="14.4">
      <c r="A9059" s="11"/>
    </row>
    <row r="9060" spans="1:1" ht="14.4">
      <c r="A9060" s="11"/>
    </row>
    <row r="9061" spans="1:1" ht="14.4">
      <c r="A9061" s="11"/>
    </row>
    <row r="9062" spans="1:1" ht="14.4">
      <c r="A9062" s="11"/>
    </row>
    <row r="9063" spans="1:1" ht="14.4">
      <c r="A9063" s="11"/>
    </row>
    <row r="9064" spans="1:1" ht="14.4">
      <c r="A9064" s="11"/>
    </row>
    <row r="9065" spans="1:1" ht="14.4">
      <c r="A9065" s="11"/>
    </row>
    <row r="9066" spans="1:1" ht="14.4">
      <c r="A9066" s="11"/>
    </row>
    <row r="9067" spans="1:1" ht="14.4">
      <c r="A9067" s="11"/>
    </row>
    <row r="9068" spans="1:1" ht="14.4">
      <c r="A9068" s="11"/>
    </row>
    <row r="9069" spans="1:1" ht="14.4">
      <c r="A9069" s="11"/>
    </row>
    <row r="9070" spans="1:1" ht="14.4">
      <c r="A9070" s="11"/>
    </row>
    <row r="9071" spans="1:1" ht="14.4">
      <c r="A9071" s="11"/>
    </row>
    <row r="9072" spans="1:1" ht="14.4">
      <c r="A9072" s="11"/>
    </row>
    <row r="9073" spans="1:1" ht="14.4">
      <c r="A9073" s="11"/>
    </row>
    <row r="9074" spans="1:1" ht="14.4">
      <c r="A9074" s="11"/>
    </row>
    <row r="9075" spans="1:1" ht="14.4">
      <c r="A9075" s="11"/>
    </row>
    <row r="9076" spans="1:1" ht="14.4">
      <c r="A9076" s="11"/>
    </row>
    <row r="9077" spans="1:1" ht="14.4">
      <c r="A9077" s="11"/>
    </row>
    <row r="9078" spans="1:1" ht="14.4">
      <c r="A9078" s="11"/>
    </row>
    <row r="9079" spans="1:1" ht="14.4">
      <c r="A9079" s="11"/>
    </row>
    <row r="9080" spans="1:1" ht="14.4">
      <c r="A9080" s="11"/>
    </row>
    <row r="9081" spans="1:1" ht="14.4">
      <c r="A9081" s="11"/>
    </row>
    <row r="9082" spans="1:1" ht="14.4">
      <c r="A9082" s="11"/>
    </row>
    <row r="9083" spans="1:1" ht="14.4">
      <c r="A9083" s="11"/>
    </row>
    <row r="9084" spans="1:1" ht="14.4">
      <c r="A9084" s="11"/>
    </row>
    <row r="9085" spans="1:1" ht="14.4">
      <c r="A9085" s="11"/>
    </row>
    <row r="9086" spans="1:1" ht="14.4">
      <c r="A9086" s="11"/>
    </row>
    <row r="9087" spans="1:1" ht="14.4">
      <c r="A9087" s="11"/>
    </row>
    <row r="9088" spans="1:1" ht="14.4">
      <c r="A9088" s="11"/>
    </row>
    <row r="9089" spans="1:1" ht="14.4">
      <c r="A9089" s="11"/>
    </row>
    <row r="9090" spans="1:1" ht="14.4">
      <c r="A9090" s="11"/>
    </row>
    <row r="9091" spans="1:1" ht="14.4">
      <c r="A9091" s="11"/>
    </row>
    <row r="9092" spans="1:1" ht="14.4">
      <c r="A9092" s="11"/>
    </row>
    <row r="9093" spans="1:1" ht="14.4">
      <c r="A9093" s="11"/>
    </row>
    <row r="9094" spans="1:1" ht="14.4">
      <c r="A9094" s="11"/>
    </row>
    <row r="9095" spans="1:1" ht="14.4">
      <c r="A9095" s="11"/>
    </row>
    <row r="9096" spans="1:1" ht="14.4">
      <c r="A9096" s="11"/>
    </row>
    <row r="9097" spans="1:1" ht="14.4">
      <c r="A9097" s="11"/>
    </row>
    <row r="9098" spans="1:1" ht="14.4">
      <c r="A9098" s="11"/>
    </row>
    <row r="9099" spans="1:1" ht="14.4">
      <c r="A9099" s="11"/>
    </row>
    <row r="9100" spans="1:1" ht="14.4">
      <c r="A9100" s="11"/>
    </row>
    <row r="9101" spans="1:1" ht="14.4">
      <c r="A9101" s="11"/>
    </row>
    <row r="9102" spans="1:1" ht="14.4">
      <c r="A9102" s="11"/>
    </row>
    <row r="9103" spans="1:1" ht="14.4">
      <c r="A9103" s="11"/>
    </row>
    <row r="9104" spans="1:1" ht="14.4">
      <c r="A9104" s="11"/>
    </row>
    <row r="9105" spans="1:1" ht="14.4">
      <c r="A9105" s="11"/>
    </row>
    <row r="9106" spans="1:1" ht="14.4">
      <c r="A9106" s="11"/>
    </row>
    <row r="9107" spans="1:1" ht="14.4">
      <c r="A9107" s="11"/>
    </row>
    <row r="9108" spans="1:1" ht="14.4">
      <c r="A9108" s="11"/>
    </row>
    <row r="9109" spans="1:1" ht="14.4">
      <c r="A9109" s="11"/>
    </row>
    <row r="9110" spans="1:1" ht="14.4">
      <c r="A9110" s="11"/>
    </row>
    <row r="9111" spans="1:1" ht="14.4">
      <c r="A9111" s="11"/>
    </row>
    <row r="9112" spans="1:1" ht="14.4">
      <c r="A9112" s="11"/>
    </row>
    <row r="9113" spans="1:1" ht="14.4">
      <c r="A9113" s="11"/>
    </row>
    <row r="9114" spans="1:1" ht="14.4">
      <c r="A9114" s="11"/>
    </row>
    <row r="9115" spans="1:1" ht="14.4">
      <c r="A9115" s="11"/>
    </row>
    <row r="9116" spans="1:1" ht="14.4">
      <c r="A9116" s="11"/>
    </row>
    <row r="9117" spans="1:1" ht="14.4">
      <c r="A9117" s="11"/>
    </row>
    <row r="9118" spans="1:1" ht="14.4">
      <c r="A9118" s="11"/>
    </row>
    <row r="9119" spans="1:1" ht="14.4">
      <c r="A9119" s="11"/>
    </row>
    <row r="9120" spans="1:1" ht="14.4">
      <c r="A9120" s="11"/>
    </row>
    <row r="9121" spans="1:1" ht="14.4">
      <c r="A9121" s="11"/>
    </row>
    <row r="9122" spans="1:1" ht="14.4">
      <c r="A9122" s="11"/>
    </row>
    <row r="9123" spans="1:1" ht="14.4">
      <c r="A9123" s="11"/>
    </row>
    <row r="9124" spans="1:1" ht="14.4">
      <c r="A9124" s="11"/>
    </row>
    <row r="9125" spans="1:1" ht="14.4">
      <c r="A9125" s="11"/>
    </row>
    <row r="9126" spans="1:1" ht="14.4">
      <c r="A9126" s="11"/>
    </row>
    <row r="9127" spans="1:1" ht="14.4">
      <c r="A9127" s="11"/>
    </row>
    <row r="9128" spans="1:1" ht="14.4">
      <c r="A9128" s="11"/>
    </row>
    <row r="9129" spans="1:1" ht="14.4">
      <c r="A9129" s="11"/>
    </row>
    <row r="9130" spans="1:1" ht="14.4">
      <c r="A9130" s="11"/>
    </row>
    <row r="9131" spans="1:1" ht="14.4">
      <c r="A9131" s="11"/>
    </row>
    <row r="9132" spans="1:1" ht="14.4">
      <c r="A9132" s="11"/>
    </row>
    <row r="9133" spans="1:1" ht="14.4">
      <c r="A9133" s="11"/>
    </row>
    <row r="9134" spans="1:1" ht="14.4">
      <c r="A9134" s="11"/>
    </row>
    <row r="9135" spans="1:1" ht="14.4">
      <c r="A9135" s="11"/>
    </row>
    <row r="9136" spans="1:1" ht="14.4">
      <c r="A9136" s="11"/>
    </row>
    <row r="9137" spans="1:1" ht="14.4">
      <c r="A9137" s="11"/>
    </row>
    <row r="9138" spans="1:1" ht="14.4">
      <c r="A9138" s="11"/>
    </row>
    <row r="9139" spans="1:1" ht="14.4">
      <c r="A9139" s="11"/>
    </row>
    <row r="9140" spans="1:1" ht="14.4">
      <c r="A9140" s="11"/>
    </row>
    <row r="9141" spans="1:1" ht="14.4">
      <c r="A9141" s="11"/>
    </row>
    <row r="9142" spans="1:1" ht="14.4">
      <c r="A9142" s="11"/>
    </row>
    <row r="9143" spans="1:1" ht="14.4">
      <c r="A9143" s="11"/>
    </row>
    <row r="9144" spans="1:1" ht="14.4">
      <c r="A9144" s="11"/>
    </row>
    <row r="9145" spans="1:1" ht="14.4">
      <c r="A9145" s="11"/>
    </row>
    <row r="9146" spans="1:1" ht="14.4">
      <c r="A9146" s="11"/>
    </row>
    <row r="9147" spans="1:1" ht="14.4">
      <c r="A9147" s="11"/>
    </row>
    <row r="9148" spans="1:1" ht="14.4">
      <c r="A9148" s="11"/>
    </row>
    <row r="9149" spans="1:1" ht="14.4">
      <c r="A9149" s="11"/>
    </row>
    <row r="9150" spans="1:1" ht="14.4">
      <c r="A9150" s="11"/>
    </row>
    <row r="9151" spans="1:1" ht="14.4">
      <c r="A9151" s="11"/>
    </row>
    <row r="9152" spans="1:1" ht="14.4">
      <c r="A9152" s="11"/>
    </row>
    <row r="9153" spans="1:1" ht="14.4">
      <c r="A9153" s="11"/>
    </row>
    <row r="9154" spans="1:1" ht="14.4">
      <c r="A9154" s="11"/>
    </row>
    <row r="9155" spans="1:1" ht="14.4">
      <c r="A9155" s="11"/>
    </row>
    <row r="9156" spans="1:1" ht="14.4">
      <c r="A9156" s="11"/>
    </row>
    <row r="9157" spans="1:1" ht="14.4">
      <c r="A9157" s="11"/>
    </row>
    <row r="9158" spans="1:1" ht="14.4">
      <c r="A9158" s="11"/>
    </row>
    <row r="9159" spans="1:1" ht="14.4">
      <c r="A9159" s="11"/>
    </row>
    <row r="9160" spans="1:1" ht="14.4">
      <c r="A9160" s="11"/>
    </row>
    <row r="9161" spans="1:1" ht="14.4">
      <c r="A9161" s="11"/>
    </row>
    <row r="9162" spans="1:1" ht="14.4">
      <c r="A9162" s="11"/>
    </row>
    <row r="9163" spans="1:1" ht="14.4">
      <c r="A9163" s="11"/>
    </row>
    <row r="9164" spans="1:1" ht="14.4">
      <c r="A9164" s="11"/>
    </row>
    <row r="9165" spans="1:1" ht="14.4">
      <c r="A9165" s="11"/>
    </row>
    <row r="9166" spans="1:1" ht="14.4">
      <c r="A9166" s="11"/>
    </row>
    <row r="9167" spans="1:1" ht="14.4">
      <c r="A9167" s="11"/>
    </row>
    <row r="9168" spans="1:1" ht="14.4">
      <c r="A9168" s="11"/>
    </row>
    <row r="9169" spans="1:1" ht="14.4">
      <c r="A9169" s="11"/>
    </row>
    <row r="9170" spans="1:1" ht="14.4">
      <c r="A9170" s="11"/>
    </row>
    <row r="9171" spans="1:1" ht="14.4">
      <c r="A9171" s="11"/>
    </row>
    <row r="9172" spans="1:1" ht="14.4">
      <c r="A9172" s="11"/>
    </row>
    <row r="9173" spans="1:1" ht="14.4">
      <c r="A9173" s="11"/>
    </row>
    <row r="9174" spans="1:1" ht="14.4">
      <c r="A9174" s="11"/>
    </row>
    <row r="9175" spans="1:1" ht="14.4">
      <c r="A9175" s="11"/>
    </row>
    <row r="9176" spans="1:1" ht="14.4">
      <c r="A9176" s="11"/>
    </row>
    <row r="9177" spans="1:1" ht="14.4">
      <c r="A9177" s="11"/>
    </row>
    <row r="9178" spans="1:1" ht="14.4">
      <c r="A9178" s="11"/>
    </row>
    <row r="9179" spans="1:1" ht="14.4">
      <c r="A9179" s="11"/>
    </row>
    <row r="9180" spans="1:1" ht="14.4">
      <c r="A9180" s="11"/>
    </row>
    <row r="9181" spans="1:1" ht="14.4">
      <c r="A9181" s="11"/>
    </row>
    <row r="9182" spans="1:1" ht="14.4">
      <c r="A9182" s="11"/>
    </row>
    <row r="9183" spans="1:1" ht="14.4">
      <c r="A9183" s="11"/>
    </row>
    <row r="9184" spans="1:1" ht="14.4">
      <c r="A9184" s="11"/>
    </row>
    <row r="9185" spans="1:1" ht="14.4">
      <c r="A9185" s="11"/>
    </row>
    <row r="9186" spans="1:1" ht="14.4">
      <c r="A9186" s="11"/>
    </row>
    <row r="9187" spans="1:1" ht="14.4">
      <c r="A9187" s="11"/>
    </row>
    <row r="9188" spans="1:1" ht="14.4">
      <c r="A9188" s="11"/>
    </row>
    <row r="9189" spans="1:1" ht="14.4">
      <c r="A9189" s="11"/>
    </row>
    <row r="9190" spans="1:1" ht="14.4">
      <c r="A9190" s="11"/>
    </row>
    <row r="9191" spans="1:1" ht="14.4">
      <c r="A9191" s="11"/>
    </row>
    <row r="9192" spans="1:1" ht="14.4">
      <c r="A9192" s="11"/>
    </row>
    <row r="9193" spans="1:1" ht="14.4">
      <c r="A9193" s="11"/>
    </row>
    <row r="9194" spans="1:1" ht="14.4">
      <c r="A9194" s="11"/>
    </row>
    <row r="9195" spans="1:1" ht="14.4">
      <c r="A9195" s="11"/>
    </row>
    <row r="9196" spans="1:1" ht="14.4">
      <c r="A9196" s="11"/>
    </row>
    <row r="9197" spans="1:1" ht="14.4">
      <c r="A9197" s="11"/>
    </row>
    <row r="9198" spans="1:1" ht="14.4">
      <c r="A9198" s="11"/>
    </row>
    <row r="9199" spans="1:1" ht="14.4">
      <c r="A9199" s="11"/>
    </row>
    <row r="9200" spans="1:1" ht="14.4">
      <c r="A9200" s="11"/>
    </row>
    <row r="9201" spans="1:1" ht="14.4">
      <c r="A9201" s="11"/>
    </row>
    <row r="9202" spans="1:1" ht="14.4">
      <c r="A9202" s="11"/>
    </row>
    <row r="9203" spans="1:1" ht="14.4">
      <c r="A9203" s="11"/>
    </row>
    <row r="9204" spans="1:1" ht="14.4">
      <c r="A9204" s="11"/>
    </row>
    <row r="9205" spans="1:1" ht="14.4">
      <c r="A9205" s="11"/>
    </row>
    <row r="9206" spans="1:1" ht="14.4">
      <c r="A9206" s="11"/>
    </row>
    <row r="9207" spans="1:1" ht="14.4">
      <c r="A9207" s="11"/>
    </row>
    <row r="9208" spans="1:1" ht="14.4">
      <c r="A9208" s="11"/>
    </row>
    <row r="9209" spans="1:1" ht="14.4">
      <c r="A9209" s="11"/>
    </row>
    <row r="9210" spans="1:1" ht="14.4">
      <c r="A9210" s="11"/>
    </row>
    <row r="9211" spans="1:1" ht="14.4">
      <c r="A9211" s="11"/>
    </row>
    <row r="9212" spans="1:1" ht="14.4">
      <c r="A9212" s="11"/>
    </row>
    <row r="9213" spans="1:1" ht="14.4">
      <c r="A9213" s="11"/>
    </row>
    <row r="9214" spans="1:1" ht="14.4">
      <c r="A9214" s="11"/>
    </row>
    <row r="9215" spans="1:1" ht="14.4">
      <c r="A9215" s="11"/>
    </row>
    <row r="9216" spans="1:1" ht="14.4">
      <c r="A9216" s="11"/>
    </row>
    <row r="9217" spans="1:1" ht="14.4">
      <c r="A9217" s="11"/>
    </row>
    <row r="9218" spans="1:1" ht="14.4">
      <c r="A9218" s="11"/>
    </row>
    <row r="9219" spans="1:1" ht="14.4">
      <c r="A9219" s="11"/>
    </row>
    <row r="9220" spans="1:1" ht="14.4">
      <c r="A9220" s="11"/>
    </row>
    <row r="9221" spans="1:1" ht="14.4">
      <c r="A9221" s="11"/>
    </row>
    <row r="9222" spans="1:1" ht="14.4">
      <c r="A9222" s="11"/>
    </row>
    <row r="9223" spans="1:1" ht="14.4">
      <c r="A9223" s="11"/>
    </row>
    <row r="9224" spans="1:1" ht="14.4">
      <c r="A9224" s="11"/>
    </row>
    <row r="9225" spans="1:1" ht="14.4">
      <c r="A9225" s="11"/>
    </row>
    <row r="9226" spans="1:1" ht="14.4">
      <c r="A9226" s="11"/>
    </row>
    <row r="9227" spans="1:1" ht="14.4">
      <c r="A9227" s="11"/>
    </row>
    <row r="9228" spans="1:1" ht="14.4">
      <c r="A9228" s="11"/>
    </row>
    <row r="9229" spans="1:1" ht="14.4">
      <c r="A9229" s="11"/>
    </row>
    <row r="9230" spans="1:1" ht="14.4">
      <c r="A9230" s="11"/>
    </row>
    <row r="9231" spans="1:1" ht="14.4">
      <c r="A9231" s="11"/>
    </row>
    <row r="9232" spans="1:1" ht="14.4">
      <c r="A9232" s="11"/>
    </row>
    <row r="9233" spans="1:1" ht="14.4">
      <c r="A9233" s="11"/>
    </row>
    <row r="9234" spans="1:1" ht="14.4">
      <c r="A9234" s="11"/>
    </row>
    <row r="9235" spans="1:1" ht="14.4">
      <c r="A9235" s="11"/>
    </row>
    <row r="9236" spans="1:1" ht="14.4">
      <c r="A9236" s="11"/>
    </row>
    <row r="9237" spans="1:1" ht="14.4">
      <c r="A9237" s="11"/>
    </row>
    <row r="9238" spans="1:1" ht="14.4">
      <c r="A9238" s="11"/>
    </row>
    <row r="9239" spans="1:1" ht="14.4">
      <c r="A9239" s="11"/>
    </row>
    <row r="9240" spans="1:1" ht="14.4">
      <c r="A9240" s="11"/>
    </row>
    <row r="9241" spans="1:1" ht="14.4">
      <c r="A9241" s="11"/>
    </row>
    <row r="9242" spans="1:1" ht="14.4">
      <c r="A9242" s="11"/>
    </row>
    <row r="9243" spans="1:1" ht="14.4">
      <c r="A9243" s="11"/>
    </row>
    <row r="9244" spans="1:1" ht="14.4">
      <c r="A9244" s="11"/>
    </row>
    <row r="9245" spans="1:1" ht="14.4">
      <c r="A9245" s="11"/>
    </row>
    <row r="9246" spans="1:1" ht="14.4">
      <c r="A9246" s="11"/>
    </row>
    <row r="9247" spans="1:1" ht="14.4">
      <c r="A9247" s="11"/>
    </row>
    <row r="9248" spans="1:1" ht="14.4">
      <c r="A9248" s="11"/>
    </row>
    <row r="9249" spans="1:1" ht="14.4">
      <c r="A9249" s="11"/>
    </row>
    <row r="9250" spans="1:1" ht="14.4">
      <c r="A9250" s="11"/>
    </row>
    <row r="9251" spans="1:1" ht="14.4">
      <c r="A9251" s="11"/>
    </row>
    <row r="9252" spans="1:1" ht="14.4">
      <c r="A9252" s="11"/>
    </row>
    <row r="9253" spans="1:1" ht="14.4">
      <c r="A9253" s="11"/>
    </row>
    <row r="9254" spans="1:1" ht="14.4">
      <c r="A9254" s="11"/>
    </row>
    <row r="9255" spans="1:1" ht="14.4">
      <c r="A9255" s="11"/>
    </row>
    <row r="9256" spans="1:1" ht="14.4">
      <c r="A9256" s="11"/>
    </row>
    <row r="9257" spans="1:1" ht="14.4">
      <c r="A9257" s="11"/>
    </row>
    <row r="9258" spans="1:1" ht="14.4">
      <c r="A9258" s="11"/>
    </row>
    <row r="9259" spans="1:1" ht="14.4">
      <c r="A9259" s="11"/>
    </row>
    <row r="9260" spans="1:1" ht="14.4">
      <c r="A9260" s="11"/>
    </row>
    <row r="9261" spans="1:1" ht="14.4">
      <c r="A9261" s="11"/>
    </row>
    <row r="9262" spans="1:1" ht="14.4">
      <c r="A9262" s="11"/>
    </row>
    <row r="9263" spans="1:1" ht="14.4">
      <c r="A9263" s="11"/>
    </row>
    <row r="9264" spans="1:1" ht="14.4">
      <c r="A9264" s="11"/>
    </row>
    <row r="9265" spans="1:1" ht="14.4">
      <c r="A9265" s="11"/>
    </row>
    <row r="9266" spans="1:1" ht="14.4">
      <c r="A9266" s="11"/>
    </row>
    <row r="9267" spans="1:1" ht="14.4">
      <c r="A9267" s="11"/>
    </row>
    <row r="9268" spans="1:1" ht="14.4">
      <c r="A9268" s="11"/>
    </row>
    <row r="9269" spans="1:1" ht="14.4">
      <c r="A9269" s="11"/>
    </row>
    <row r="9270" spans="1:1" ht="14.4">
      <c r="A9270" s="11"/>
    </row>
    <row r="9271" spans="1:1" ht="14.4">
      <c r="A9271" s="11"/>
    </row>
    <row r="9272" spans="1:1" ht="14.4">
      <c r="A9272" s="11"/>
    </row>
    <row r="9273" spans="1:1" ht="14.4">
      <c r="A9273" s="11"/>
    </row>
    <row r="9274" spans="1:1" ht="14.4">
      <c r="A9274" s="11"/>
    </row>
    <row r="9275" spans="1:1" ht="14.4">
      <c r="A9275" s="11"/>
    </row>
    <row r="9276" spans="1:1" ht="14.4">
      <c r="A9276" s="11"/>
    </row>
    <row r="9277" spans="1:1" ht="14.4">
      <c r="A9277" s="11"/>
    </row>
    <row r="9278" spans="1:1" ht="14.4">
      <c r="A9278" s="11"/>
    </row>
    <row r="9279" spans="1:1" ht="14.4">
      <c r="A9279" s="11"/>
    </row>
    <row r="9280" spans="1:1" ht="14.4">
      <c r="A9280" s="11"/>
    </row>
    <row r="9281" spans="1:1" ht="14.4">
      <c r="A9281" s="11"/>
    </row>
    <row r="9282" spans="1:1" ht="14.4">
      <c r="A9282" s="11"/>
    </row>
    <row r="9283" spans="1:1" ht="14.4">
      <c r="A9283" s="11"/>
    </row>
    <row r="9284" spans="1:1" ht="14.4">
      <c r="A9284" s="11"/>
    </row>
    <row r="9285" spans="1:1" ht="14.4">
      <c r="A9285" s="11"/>
    </row>
    <row r="9286" spans="1:1" ht="14.4">
      <c r="A9286" s="11"/>
    </row>
    <row r="9287" spans="1:1" ht="14.4">
      <c r="A9287" s="11"/>
    </row>
    <row r="9288" spans="1:1" ht="14.4">
      <c r="A9288" s="11"/>
    </row>
    <row r="9289" spans="1:1" ht="14.4">
      <c r="A9289" s="11"/>
    </row>
    <row r="9290" spans="1:1" ht="14.4">
      <c r="A9290" s="11"/>
    </row>
    <row r="9291" spans="1:1" ht="14.4">
      <c r="A9291" s="11"/>
    </row>
    <row r="9292" spans="1:1" ht="14.4">
      <c r="A9292" s="11"/>
    </row>
    <row r="9293" spans="1:1" ht="14.4">
      <c r="A9293" s="11"/>
    </row>
    <row r="9294" spans="1:1" ht="14.4">
      <c r="A9294" s="11"/>
    </row>
    <row r="9295" spans="1:1" ht="14.4">
      <c r="A9295" s="11"/>
    </row>
    <row r="9296" spans="1:1" ht="14.4">
      <c r="A9296" s="11"/>
    </row>
    <row r="9297" spans="1:1" ht="14.4">
      <c r="A9297" s="11"/>
    </row>
    <row r="9298" spans="1:1" ht="14.4">
      <c r="A9298" s="11"/>
    </row>
    <row r="9299" spans="1:1" ht="14.4">
      <c r="A9299" s="11"/>
    </row>
    <row r="9300" spans="1:1" ht="14.4">
      <c r="A9300" s="11"/>
    </row>
    <row r="9301" spans="1:1" ht="14.4">
      <c r="A9301" s="11"/>
    </row>
    <row r="9302" spans="1:1" ht="14.4">
      <c r="A9302" s="11"/>
    </row>
    <row r="9303" spans="1:1" ht="14.4">
      <c r="A9303" s="11"/>
    </row>
    <row r="9304" spans="1:1" ht="14.4">
      <c r="A9304" s="11"/>
    </row>
    <row r="9305" spans="1:1" ht="14.4">
      <c r="A9305" s="11"/>
    </row>
    <row r="9306" spans="1:1" ht="14.4">
      <c r="A9306" s="11"/>
    </row>
    <row r="9307" spans="1:1" ht="14.4">
      <c r="A9307" s="11"/>
    </row>
    <row r="9308" spans="1:1" ht="14.4">
      <c r="A9308" s="11"/>
    </row>
    <row r="9309" spans="1:1" ht="14.4">
      <c r="A9309" s="11"/>
    </row>
    <row r="9310" spans="1:1" ht="14.4">
      <c r="A9310" s="11"/>
    </row>
    <row r="9311" spans="1:1" ht="14.4">
      <c r="A9311" s="11"/>
    </row>
    <row r="9312" spans="1:1" ht="14.4">
      <c r="A9312" s="11"/>
    </row>
    <row r="9313" spans="1:1" ht="14.4">
      <c r="A9313" s="11"/>
    </row>
    <row r="9314" spans="1:1" ht="14.4">
      <c r="A9314" s="11"/>
    </row>
    <row r="9315" spans="1:1" ht="14.4">
      <c r="A9315" s="11"/>
    </row>
    <row r="9316" spans="1:1" ht="14.4">
      <c r="A9316" s="11"/>
    </row>
    <row r="9317" spans="1:1" ht="14.4">
      <c r="A9317" s="11"/>
    </row>
    <row r="9318" spans="1:1" ht="14.4">
      <c r="A9318" s="11"/>
    </row>
    <row r="9319" spans="1:1" ht="14.4">
      <c r="A9319" s="11"/>
    </row>
    <row r="9320" spans="1:1" ht="14.4">
      <c r="A9320" s="11"/>
    </row>
    <row r="9321" spans="1:1" ht="14.4">
      <c r="A9321" s="11"/>
    </row>
    <row r="9322" spans="1:1" ht="14.4">
      <c r="A9322" s="11"/>
    </row>
    <row r="9323" spans="1:1" ht="14.4">
      <c r="A9323" s="11"/>
    </row>
    <row r="9324" spans="1:1" ht="14.4">
      <c r="A9324" s="11"/>
    </row>
    <row r="9325" spans="1:1" ht="14.4">
      <c r="A9325" s="11"/>
    </row>
    <row r="9326" spans="1:1" ht="14.4">
      <c r="A9326" s="11"/>
    </row>
    <row r="9327" spans="1:1" ht="14.4">
      <c r="A9327" s="11"/>
    </row>
    <row r="9328" spans="1:1" ht="14.4">
      <c r="A9328" s="11"/>
    </row>
    <row r="9329" spans="1:1" ht="14.4">
      <c r="A9329" s="11"/>
    </row>
    <row r="9330" spans="1:1" ht="14.4">
      <c r="A9330" s="11"/>
    </row>
    <row r="9331" spans="1:1" ht="14.4">
      <c r="A9331" s="11"/>
    </row>
    <row r="9332" spans="1:1" ht="14.4">
      <c r="A9332" s="11"/>
    </row>
    <row r="9333" spans="1:1" ht="14.4">
      <c r="A9333" s="11"/>
    </row>
    <row r="9334" spans="1:1" ht="14.4">
      <c r="A9334" s="11"/>
    </row>
    <row r="9335" spans="1:1" ht="14.4">
      <c r="A9335" s="11"/>
    </row>
    <row r="9336" spans="1:1" ht="14.4">
      <c r="A9336" s="11"/>
    </row>
    <row r="9337" spans="1:1" ht="14.4">
      <c r="A9337" s="11"/>
    </row>
    <row r="9338" spans="1:1" ht="14.4">
      <c r="A9338" s="11"/>
    </row>
    <row r="9339" spans="1:1" ht="14.4">
      <c r="A9339" s="11"/>
    </row>
    <row r="9340" spans="1:1" ht="14.4">
      <c r="A9340" s="11"/>
    </row>
    <row r="9341" spans="1:1" ht="14.4">
      <c r="A9341" s="11"/>
    </row>
    <row r="9342" spans="1:1" ht="14.4">
      <c r="A9342" s="11"/>
    </row>
    <row r="9343" spans="1:1" ht="14.4">
      <c r="A9343" s="11"/>
    </row>
    <row r="9344" spans="1:1" ht="14.4">
      <c r="A9344" s="11"/>
    </row>
    <row r="9345" spans="1:1" ht="14.4">
      <c r="A9345" s="11"/>
    </row>
    <row r="9346" spans="1:1" ht="14.4">
      <c r="A9346" s="11"/>
    </row>
    <row r="9347" spans="1:1" ht="14.4">
      <c r="A9347" s="11"/>
    </row>
    <row r="9348" spans="1:1" ht="14.4">
      <c r="A9348" s="11"/>
    </row>
    <row r="9349" spans="1:1" ht="14.4">
      <c r="A9349" s="11"/>
    </row>
    <row r="9350" spans="1:1" ht="14.4">
      <c r="A9350" s="11"/>
    </row>
    <row r="9351" spans="1:1" ht="14.4">
      <c r="A9351" s="11"/>
    </row>
    <row r="9352" spans="1:1" ht="14.4">
      <c r="A9352" s="11"/>
    </row>
    <row r="9353" spans="1:1" ht="14.4">
      <c r="A9353" s="11"/>
    </row>
    <row r="9354" spans="1:1" ht="14.4">
      <c r="A9354" s="11"/>
    </row>
    <row r="9355" spans="1:1" ht="14.4">
      <c r="A9355" s="11"/>
    </row>
    <row r="9356" spans="1:1" ht="14.4">
      <c r="A9356" s="11"/>
    </row>
    <row r="9357" spans="1:1" ht="14.4">
      <c r="A9357" s="11"/>
    </row>
    <row r="9358" spans="1:1" ht="14.4">
      <c r="A9358" s="11"/>
    </row>
    <row r="9359" spans="1:1" ht="14.4">
      <c r="A9359" s="11"/>
    </row>
    <row r="9360" spans="1:1" ht="14.4">
      <c r="A9360" s="11"/>
    </row>
    <row r="9361" spans="1:1" ht="14.4">
      <c r="A9361" s="11"/>
    </row>
    <row r="9362" spans="1:1" ht="14.4">
      <c r="A9362" s="11"/>
    </row>
    <row r="9363" spans="1:1" ht="14.4">
      <c r="A9363" s="11"/>
    </row>
    <row r="9364" spans="1:1" ht="14.4">
      <c r="A9364" s="11"/>
    </row>
    <row r="9365" spans="1:1" ht="14.4">
      <c r="A9365" s="11"/>
    </row>
    <row r="9366" spans="1:1" ht="14.4">
      <c r="A9366" s="11"/>
    </row>
    <row r="9367" spans="1:1" ht="14.4">
      <c r="A9367" s="11"/>
    </row>
    <row r="9368" spans="1:1" ht="14.4">
      <c r="A9368" s="11"/>
    </row>
    <row r="9369" spans="1:1" ht="14.4">
      <c r="A9369" s="11"/>
    </row>
    <row r="9370" spans="1:1" ht="14.4">
      <c r="A9370" s="11"/>
    </row>
    <row r="9371" spans="1:1" ht="14.4">
      <c r="A9371" s="11"/>
    </row>
    <row r="9372" spans="1:1" ht="14.4">
      <c r="A9372" s="11"/>
    </row>
    <row r="9373" spans="1:1" ht="14.4">
      <c r="A9373" s="11"/>
    </row>
    <row r="9374" spans="1:1" ht="14.4">
      <c r="A9374" s="11"/>
    </row>
    <row r="9375" spans="1:1" ht="14.4">
      <c r="A9375" s="11"/>
    </row>
    <row r="9376" spans="1:1" ht="14.4">
      <c r="A9376" s="11"/>
    </row>
    <row r="9377" spans="1:1" ht="14.4">
      <c r="A9377" s="11"/>
    </row>
    <row r="9378" spans="1:1" ht="14.4">
      <c r="A9378" s="11"/>
    </row>
    <row r="9379" spans="1:1" ht="14.4">
      <c r="A9379" s="11"/>
    </row>
    <row r="9380" spans="1:1" ht="14.4">
      <c r="A9380" s="11"/>
    </row>
    <row r="9381" spans="1:1" ht="14.4">
      <c r="A9381" s="11"/>
    </row>
    <row r="9382" spans="1:1" ht="14.4">
      <c r="A9382" s="11"/>
    </row>
    <row r="9383" spans="1:1" ht="14.4">
      <c r="A9383" s="11"/>
    </row>
    <row r="9384" spans="1:1" ht="14.4">
      <c r="A9384" s="11"/>
    </row>
    <row r="9385" spans="1:1" ht="14.4">
      <c r="A9385" s="11"/>
    </row>
    <row r="9386" spans="1:1" ht="14.4">
      <c r="A9386" s="11"/>
    </row>
    <row r="9387" spans="1:1" ht="14.4">
      <c r="A9387" s="11"/>
    </row>
    <row r="9388" spans="1:1" ht="14.4">
      <c r="A9388" s="11"/>
    </row>
    <row r="9389" spans="1:1" ht="14.4">
      <c r="A9389" s="11"/>
    </row>
    <row r="9390" spans="1:1" ht="14.4">
      <c r="A9390" s="11"/>
    </row>
    <row r="9391" spans="1:1" ht="14.4">
      <c r="A9391" s="11"/>
    </row>
    <row r="9392" spans="1:1" ht="14.4">
      <c r="A9392" s="11"/>
    </row>
    <row r="9393" spans="1:1" ht="14.4">
      <c r="A9393" s="11"/>
    </row>
    <row r="9394" spans="1:1" ht="14.4">
      <c r="A9394" s="11"/>
    </row>
    <row r="9395" spans="1:1" ht="14.4">
      <c r="A9395" s="11"/>
    </row>
    <row r="9396" spans="1:1" ht="14.4">
      <c r="A9396" s="11"/>
    </row>
    <row r="9397" spans="1:1" ht="14.4">
      <c r="A9397" s="11"/>
    </row>
    <row r="9398" spans="1:1" ht="14.4">
      <c r="A9398" s="11"/>
    </row>
    <row r="9399" spans="1:1" ht="14.4">
      <c r="A9399" s="11"/>
    </row>
    <row r="9400" spans="1:1" ht="14.4">
      <c r="A9400" s="11"/>
    </row>
    <row r="9401" spans="1:1" ht="14.4">
      <c r="A9401" s="11"/>
    </row>
    <row r="9402" spans="1:1" ht="14.4">
      <c r="A9402" s="11"/>
    </row>
    <row r="9403" spans="1:1" ht="14.4">
      <c r="A9403" s="11"/>
    </row>
    <row r="9404" spans="1:1" ht="14.4">
      <c r="A9404" s="11"/>
    </row>
    <row r="9405" spans="1:1" ht="14.4">
      <c r="A9405" s="11"/>
    </row>
    <row r="9406" spans="1:1" ht="14.4">
      <c r="A9406" s="11"/>
    </row>
    <row r="9407" spans="1:1" ht="14.4">
      <c r="A9407" s="11"/>
    </row>
    <row r="9408" spans="1:1" ht="14.4">
      <c r="A9408" s="11"/>
    </row>
    <row r="9409" spans="1:1" ht="14.4">
      <c r="A9409" s="11"/>
    </row>
    <row r="9410" spans="1:1" ht="14.4">
      <c r="A9410" s="11"/>
    </row>
    <row r="9411" spans="1:1" ht="14.4">
      <c r="A9411" s="11"/>
    </row>
    <row r="9412" spans="1:1" ht="14.4">
      <c r="A9412" s="11"/>
    </row>
    <row r="9413" spans="1:1" ht="14.4">
      <c r="A9413" s="11"/>
    </row>
    <row r="9414" spans="1:1" ht="14.4">
      <c r="A9414" s="11"/>
    </row>
    <row r="9415" spans="1:1" ht="14.4">
      <c r="A9415" s="11"/>
    </row>
    <row r="9416" spans="1:1" ht="14.4">
      <c r="A9416" s="11"/>
    </row>
    <row r="9417" spans="1:1" ht="14.4">
      <c r="A9417" s="11"/>
    </row>
    <row r="9418" spans="1:1" ht="14.4">
      <c r="A9418" s="11"/>
    </row>
    <row r="9419" spans="1:1" ht="14.4">
      <c r="A9419" s="11"/>
    </row>
    <row r="9420" spans="1:1" ht="14.4">
      <c r="A9420" s="11"/>
    </row>
    <row r="9421" spans="1:1" ht="14.4">
      <c r="A9421" s="11"/>
    </row>
    <row r="9422" spans="1:1" ht="14.4">
      <c r="A9422" s="11"/>
    </row>
    <row r="9423" spans="1:1" ht="14.4">
      <c r="A9423" s="11"/>
    </row>
    <row r="9424" spans="1:1" ht="14.4">
      <c r="A9424" s="11"/>
    </row>
    <row r="9425" spans="1:1" ht="14.4">
      <c r="A9425" s="11"/>
    </row>
    <row r="9426" spans="1:1" ht="14.4">
      <c r="A9426" s="11"/>
    </row>
    <row r="9427" spans="1:1" ht="14.4">
      <c r="A9427" s="11"/>
    </row>
    <row r="9428" spans="1:1" ht="14.4">
      <c r="A9428" s="11"/>
    </row>
    <row r="9429" spans="1:1" ht="14.4">
      <c r="A9429" s="11"/>
    </row>
    <row r="9430" spans="1:1" ht="14.4">
      <c r="A9430" s="11"/>
    </row>
    <row r="9431" spans="1:1" ht="14.4">
      <c r="A9431" s="11"/>
    </row>
    <row r="9432" spans="1:1" ht="14.4">
      <c r="A9432" s="11"/>
    </row>
    <row r="9433" spans="1:1" ht="14.4">
      <c r="A9433" s="11"/>
    </row>
    <row r="9434" spans="1:1" ht="14.4">
      <c r="A9434" s="11"/>
    </row>
    <row r="9435" spans="1:1" ht="14.4">
      <c r="A9435" s="11"/>
    </row>
    <row r="9436" spans="1:1" ht="14.4">
      <c r="A9436" s="11"/>
    </row>
    <row r="9437" spans="1:1" ht="14.4">
      <c r="A9437" s="11"/>
    </row>
    <row r="9438" spans="1:1" ht="14.4">
      <c r="A9438" s="11"/>
    </row>
    <row r="9439" spans="1:1" ht="14.4">
      <c r="A9439" s="11"/>
    </row>
    <row r="9440" spans="1:1" ht="14.4">
      <c r="A9440" s="11"/>
    </row>
    <row r="9441" spans="1:1" ht="14.4">
      <c r="A9441" s="11"/>
    </row>
    <row r="9442" spans="1:1" ht="14.4">
      <c r="A9442" s="11"/>
    </row>
    <row r="9443" spans="1:1" ht="14.4">
      <c r="A9443" s="11"/>
    </row>
    <row r="9444" spans="1:1" ht="14.4">
      <c r="A9444" s="11"/>
    </row>
    <row r="9445" spans="1:1" ht="14.4">
      <c r="A9445" s="11"/>
    </row>
    <row r="9446" spans="1:1" ht="14.4">
      <c r="A9446" s="11"/>
    </row>
    <row r="9447" spans="1:1" ht="14.4">
      <c r="A9447" s="11"/>
    </row>
    <row r="9448" spans="1:1" ht="14.4">
      <c r="A9448" s="11"/>
    </row>
    <row r="9449" spans="1:1" ht="14.4">
      <c r="A9449" s="11"/>
    </row>
    <row r="9450" spans="1:1" ht="14.4">
      <c r="A9450" s="11"/>
    </row>
    <row r="9451" spans="1:1" ht="14.4">
      <c r="A9451" s="11"/>
    </row>
    <row r="9452" spans="1:1" ht="14.4">
      <c r="A9452" s="11"/>
    </row>
    <row r="9453" spans="1:1" ht="14.4">
      <c r="A9453" s="11"/>
    </row>
    <row r="9454" spans="1:1" ht="14.4">
      <c r="A9454" s="11"/>
    </row>
    <row r="9455" spans="1:1" ht="14.4">
      <c r="A9455" s="11"/>
    </row>
    <row r="9456" spans="1:1" ht="14.4">
      <c r="A9456" s="11"/>
    </row>
    <row r="9457" spans="1:1" ht="14.4">
      <c r="A9457" s="11"/>
    </row>
    <row r="9458" spans="1:1" ht="14.4">
      <c r="A9458" s="11"/>
    </row>
    <row r="9459" spans="1:1" ht="14.4">
      <c r="A9459" s="11"/>
    </row>
    <row r="9460" spans="1:1" ht="14.4">
      <c r="A9460" s="11"/>
    </row>
    <row r="9461" spans="1:1" ht="14.4">
      <c r="A9461" s="11"/>
    </row>
    <row r="9462" spans="1:1" ht="14.4">
      <c r="A9462" s="11"/>
    </row>
    <row r="9463" spans="1:1" ht="14.4">
      <c r="A9463" s="11"/>
    </row>
    <row r="9464" spans="1:1" ht="14.4">
      <c r="A9464" s="11"/>
    </row>
    <row r="9465" spans="1:1" ht="14.4">
      <c r="A9465" s="11"/>
    </row>
    <row r="9466" spans="1:1" ht="14.4">
      <c r="A9466" s="11"/>
    </row>
    <row r="9467" spans="1:1" ht="14.4">
      <c r="A9467" s="11"/>
    </row>
    <row r="9468" spans="1:1" ht="14.4">
      <c r="A9468" s="11"/>
    </row>
    <row r="9469" spans="1:1" ht="14.4">
      <c r="A9469" s="11"/>
    </row>
    <row r="9470" spans="1:1" ht="14.4">
      <c r="A9470" s="11"/>
    </row>
    <row r="9471" spans="1:1" ht="14.4">
      <c r="A9471" s="11"/>
    </row>
    <row r="9472" spans="1:1" ht="14.4">
      <c r="A9472" s="11"/>
    </row>
    <row r="9473" spans="1:1" ht="14.4">
      <c r="A9473" s="11"/>
    </row>
    <row r="9474" spans="1:1" ht="14.4">
      <c r="A9474" s="11"/>
    </row>
    <row r="9475" spans="1:1" ht="14.4">
      <c r="A9475" s="11"/>
    </row>
    <row r="9476" spans="1:1" ht="14.4">
      <c r="A9476" s="11"/>
    </row>
    <row r="9477" spans="1:1" ht="14.4">
      <c r="A9477" s="11"/>
    </row>
    <row r="9478" spans="1:1" ht="14.4">
      <c r="A9478" s="11"/>
    </row>
    <row r="9479" spans="1:1" ht="14.4">
      <c r="A9479" s="11"/>
    </row>
    <row r="9480" spans="1:1" ht="14.4">
      <c r="A9480" s="11"/>
    </row>
    <row r="9481" spans="1:1" ht="14.4">
      <c r="A9481" s="11"/>
    </row>
    <row r="9482" spans="1:1" ht="14.4">
      <c r="A9482" s="11"/>
    </row>
    <row r="9483" spans="1:1" ht="14.4">
      <c r="A9483" s="11"/>
    </row>
    <row r="9484" spans="1:1" ht="14.4">
      <c r="A9484" s="11"/>
    </row>
    <row r="9485" spans="1:1" ht="14.4">
      <c r="A9485" s="11"/>
    </row>
    <row r="9486" spans="1:1" ht="14.4">
      <c r="A9486" s="11"/>
    </row>
    <row r="9487" spans="1:1" ht="14.4">
      <c r="A9487" s="11"/>
    </row>
    <row r="9488" spans="1:1" ht="14.4">
      <c r="A9488" s="11"/>
    </row>
    <row r="9489" spans="1:1" ht="14.4">
      <c r="A9489" s="11"/>
    </row>
    <row r="9490" spans="1:1" ht="14.4">
      <c r="A9490" s="11"/>
    </row>
    <row r="9491" spans="1:1" ht="14.4">
      <c r="A9491" s="11"/>
    </row>
    <row r="9492" spans="1:1" ht="14.4">
      <c r="A9492" s="11"/>
    </row>
    <row r="9493" spans="1:1" ht="14.4">
      <c r="A9493" s="11"/>
    </row>
    <row r="9494" spans="1:1" ht="14.4">
      <c r="A9494" s="11"/>
    </row>
    <row r="9495" spans="1:1" ht="14.4">
      <c r="A9495" s="11"/>
    </row>
    <row r="9496" spans="1:1" ht="14.4">
      <c r="A9496" s="11"/>
    </row>
    <row r="9497" spans="1:1" ht="14.4">
      <c r="A9497" s="11"/>
    </row>
    <row r="9498" spans="1:1" ht="14.4">
      <c r="A9498" s="11"/>
    </row>
    <row r="9499" spans="1:1" ht="14.4">
      <c r="A9499" s="11"/>
    </row>
    <row r="9500" spans="1:1" ht="14.4">
      <c r="A9500" s="11"/>
    </row>
    <row r="9501" spans="1:1" ht="14.4">
      <c r="A9501" s="11"/>
    </row>
    <row r="9502" spans="1:1" ht="14.4">
      <c r="A9502" s="11"/>
    </row>
    <row r="9503" spans="1:1" ht="14.4">
      <c r="A9503" s="11"/>
    </row>
    <row r="9504" spans="1:1" ht="14.4">
      <c r="A9504" s="11"/>
    </row>
    <row r="9505" spans="1:1" ht="14.4">
      <c r="A9505" s="11"/>
    </row>
    <row r="9506" spans="1:1" ht="14.4">
      <c r="A9506" s="11"/>
    </row>
    <row r="9507" spans="1:1" ht="14.4">
      <c r="A9507" s="11"/>
    </row>
    <row r="9508" spans="1:1" ht="14.4">
      <c r="A9508" s="11"/>
    </row>
    <row r="9509" spans="1:1" ht="14.4">
      <c r="A9509" s="11"/>
    </row>
    <row r="9510" spans="1:1" ht="14.4">
      <c r="A9510" s="11"/>
    </row>
    <row r="9511" spans="1:1" ht="14.4">
      <c r="A9511" s="11"/>
    </row>
    <row r="9512" spans="1:1" ht="14.4">
      <c r="A9512" s="11"/>
    </row>
    <row r="9513" spans="1:1" ht="14.4">
      <c r="A9513" s="11"/>
    </row>
    <row r="9514" spans="1:1" ht="14.4">
      <c r="A9514" s="11"/>
    </row>
    <row r="9515" spans="1:1" ht="14.4">
      <c r="A9515" s="11"/>
    </row>
    <row r="9516" spans="1:1" ht="14.4">
      <c r="A9516" s="11"/>
    </row>
    <row r="9517" spans="1:1" ht="14.4">
      <c r="A9517" s="11"/>
    </row>
    <row r="9518" spans="1:1" ht="14.4">
      <c r="A9518" s="11"/>
    </row>
    <row r="9519" spans="1:1" ht="14.4">
      <c r="A9519" s="11"/>
    </row>
    <row r="9520" spans="1:1" ht="14.4">
      <c r="A9520" s="11"/>
    </row>
    <row r="9521" spans="1:1" ht="14.4">
      <c r="A9521" s="11"/>
    </row>
    <row r="9522" spans="1:1" ht="14.4">
      <c r="A9522" s="11"/>
    </row>
    <row r="9523" spans="1:1" ht="14.4">
      <c r="A9523" s="11"/>
    </row>
    <row r="9524" spans="1:1" ht="14.4">
      <c r="A9524" s="11"/>
    </row>
    <row r="9525" spans="1:1" ht="14.4">
      <c r="A9525" s="11"/>
    </row>
    <row r="9526" spans="1:1" ht="14.4">
      <c r="A9526" s="11"/>
    </row>
    <row r="9527" spans="1:1" ht="14.4">
      <c r="A9527" s="11"/>
    </row>
    <row r="9528" spans="1:1" ht="14.4">
      <c r="A9528" s="11"/>
    </row>
    <row r="9529" spans="1:1" ht="14.4">
      <c r="A9529" s="11"/>
    </row>
    <row r="9530" spans="1:1" ht="14.4">
      <c r="A9530" s="11"/>
    </row>
    <row r="9531" spans="1:1" ht="14.4">
      <c r="A9531" s="11"/>
    </row>
    <row r="9532" spans="1:1" ht="14.4">
      <c r="A9532" s="11"/>
    </row>
    <row r="9533" spans="1:1" ht="14.4">
      <c r="A9533" s="11"/>
    </row>
    <row r="9534" spans="1:1" ht="14.4">
      <c r="A9534" s="11"/>
    </row>
    <row r="9535" spans="1:1" ht="14.4">
      <c r="A9535" s="11"/>
    </row>
    <row r="9536" spans="1:1" ht="14.4">
      <c r="A9536" s="11"/>
    </row>
    <row r="9537" spans="1:1" ht="14.4">
      <c r="A9537" s="11"/>
    </row>
    <row r="9538" spans="1:1" ht="14.4">
      <c r="A9538" s="11"/>
    </row>
    <row r="9539" spans="1:1" ht="14.4">
      <c r="A9539" s="11"/>
    </row>
    <row r="9540" spans="1:1" ht="14.4">
      <c r="A9540" s="11"/>
    </row>
    <row r="9541" spans="1:1" ht="14.4">
      <c r="A9541" s="11"/>
    </row>
    <row r="9542" spans="1:1" ht="14.4">
      <c r="A9542" s="11"/>
    </row>
    <row r="9543" spans="1:1" ht="14.4">
      <c r="A9543" s="11"/>
    </row>
    <row r="9544" spans="1:1" ht="14.4">
      <c r="A9544" s="11"/>
    </row>
    <row r="9545" spans="1:1" ht="14.4">
      <c r="A9545" s="11"/>
    </row>
    <row r="9546" spans="1:1" ht="14.4">
      <c r="A9546" s="11"/>
    </row>
    <row r="9547" spans="1:1" ht="14.4">
      <c r="A9547" s="11"/>
    </row>
    <row r="9548" spans="1:1" ht="14.4">
      <c r="A9548" s="11"/>
    </row>
    <row r="9549" spans="1:1" ht="14.4">
      <c r="A9549" s="11"/>
    </row>
    <row r="9550" spans="1:1" ht="14.4">
      <c r="A9550" s="11"/>
    </row>
    <row r="9551" spans="1:1" ht="14.4">
      <c r="A9551" s="11"/>
    </row>
    <row r="9552" spans="1:1" ht="14.4">
      <c r="A9552" s="11"/>
    </row>
    <row r="9553" spans="1:1" ht="14.4">
      <c r="A9553" s="11"/>
    </row>
    <row r="9554" spans="1:1" ht="14.4">
      <c r="A9554" s="11"/>
    </row>
    <row r="9555" spans="1:1" ht="14.4">
      <c r="A9555" s="11"/>
    </row>
    <row r="9556" spans="1:1" ht="14.4">
      <c r="A9556" s="11"/>
    </row>
    <row r="9557" spans="1:1" ht="14.4">
      <c r="A9557" s="11"/>
    </row>
    <row r="9558" spans="1:1" ht="14.4">
      <c r="A9558" s="11"/>
    </row>
    <row r="9559" spans="1:1" ht="14.4">
      <c r="A9559" s="11"/>
    </row>
    <row r="9560" spans="1:1" ht="14.4">
      <c r="A9560" s="11"/>
    </row>
    <row r="9561" spans="1:1" ht="14.4">
      <c r="A9561" s="11"/>
    </row>
    <row r="9562" spans="1:1" ht="14.4">
      <c r="A9562" s="11"/>
    </row>
    <row r="9563" spans="1:1" ht="14.4">
      <c r="A9563" s="11"/>
    </row>
    <row r="9564" spans="1:1" ht="14.4">
      <c r="A9564" s="11"/>
    </row>
    <row r="9565" spans="1:1" ht="14.4">
      <c r="A9565" s="11"/>
    </row>
    <row r="9566" spans="1:1" ht="14.4">
      <c r="A9566" s="11"/>
    </row>
    <row r="9567" spans="1:1" ht="14.4">
      <c r="A9567" s="11"/>
    </row>
    <row r="9568" spans="1:1" ht="14.4">
      <c r="A9568" s="11"/>
    </row>
    <row r="9569" spans="1:1" ht="14.4">
      <c r="A9569" s="11"/>
    </row>
    <row r="9570" spans="1:1" ht="14.4">
      <c r="A9570" s="11"/>
    </row>
    <row r="9571" spans="1:1" ht="14.4">
      <c r="A9571" s="11"/>
    </row>
    <row r="9572" spans="1:1" ht="14.4">
      <c r="A9572" s="11"/>
    </row>
    <row r="9573" spans="1:1" ht="14.4">
      <c r="A9573" s="11"/>
    </row>
    <row r="9574" spans="1:1" ht="14.4">
      <c r="A9574" s="11"/>
    </row>
    <row r="9575" spans="1:1" ht="14.4">
      <c r="A9575" s="11"/>
    </row>
    <row r="9576" spans="1:1" ht="14.4">
      <c r="A9576" s="11"/>
    </row>
    <row r="9577" spans="1:1" ht="14.4">
      <c r="A9577" s="11"/>
    </row>
    <row r="9578" spans="1:1" ht="14.4">
      <c r="A9578" s="11"/>
    </row>
    <row r="9579" spans="1:1" ht="14.4">
      <c r="A9579" s="11"/>
    </row>
    <row r="9580" spans="1:1" ht="14.4">
      <c r="A9580" s="11"/>
    </row>
    <row r="9581" spans="1:1" ht="14.4">
      <c r="A9581" s="11"/>
    </row>
    <row r="9582" spans="1:1" ht="14.4">
      <c r="A9582" s="11"/>
    </row>
    <row r="9583" spans="1:1" ht="14.4">
      <c r="A9583" s="11"/>
    </row>
    <row r="9584" spans="1:1" ht="14.4">
      <c r="A9584" s="11"/>
    </row>
    <row r="9585" spans="1:1" ht="14.4">
      <c r="A9585" s="11"/>
    </row>
    <row r="9586" spans="1:1" ht="14.4">
      <c r="A9586" s="11"/>
    </row>
    <row r="9587" spans="1:1" ht="14.4">
      <c r="A9587" s="11"/>
    </row>
    <row r="9588" spans="1:1" ht="14.4">
      <c r="A9588" s="11"/>
    </row>
    <row r="9589" spans="1:1" ht="14.4">
      <c r="A9589" s="11"/>
    </row>
    <row r="9590" spans="1:1" ht="14.4">
      <c r="A9590" s="11"/>
    </row>
    <row r="9591" spans="1:1" ht="14.4">
      <c r="A9591" s="11"/>
    </row>
    <row r="9592" spans="1:1" ht="14.4">
      <c r="A9592" s="11"/>
    </row>
    <row r="9593" spans="1:1" ht="14.4">
      <c r="A9593" s="11"/>
    </row>
    <row r="9594" spans="1:1" ht="14.4">
      <c r="A9594" s="11"/>
    </row>
    <row r="9595" spans="1:1" ht="14.4">
      <c r="A9595" s="11"/>
    </row>
    <row r="9596" spans="1:1" ht="14.4">
      <c r="A9596" s="11"/>
    </row>
    <row r="9597" spans="1:1" ht="14.4">
      <c r="A9597" s="11"/>
    </row>
    <row r="9598" spans="1:1" ht="14.4">
      <c r="A9598" s="11"/>
    </row>
    <row r="9599" spans="1:1" ht="14.4">
      <c r="A9599" s="11"/>
    </row>
    <row r="9600" spans="1:1" ht="14.4">
      <c r="A9600" s="11"/>
    </row>
    <row r="9601" spans="1:1" ht="14.4">
      <c r="A9601" s="11"/>
    </row>
    <row r="9602" spans="1:1" ht="14.4">
      <c r="A9602" s="11"/>
    </row>
    <row r="9603" spans="1:1" ht="14.4">
      <c r="A9603" s="11"/>
    </row>
    <row r="9604" spans="1:1" ht="14.4">
      <c r="A9604" s="11"/>
    </row>
    <row r="9605" spans="1:1" ht="14.4">
      <c r="A9605" s="11"/>
    </row>
    <row r="9606" spans="1:1" ht="14.4">
      <c r="A9606" s="11"/>
    </row>
    <row r="9607" spans="1:1" ht="14.4">
      <c r="A9607" s="11"/>
    </row>
    <row r="9608" spans="1:1" ht="14.4">
      <c r="A9608" s="11"/>
    </row>
    <row r="9609" spans="1:1" ht="14.4">
      <c r="A9609" s="11"/>
    </row>
    <row r="9610" spans="1:1" ht="14.4">
      <c r="A9610" s="11"/>
    </row>
    <row r="9611" spans="1:1" ht="14.4">
      <c r="A9611" s="11"/>
    </row>
    <row r="9612" spans="1:1" ht="14.4">
      <c r="A9612" s="11"/>
    </row>
    <row r="9613" spans="1:1" ht="14.4">
      <c r="A9613" s="11"/>
    </row>
    <row r="9614" spans="1:1" ht="14.4">
      <c r="A9614" s="11"/>
    </row>
    <row r="9615" spans="1:1" ht="14.4">
      <c r="A9615" s="11"/>
    </row>
    <row r="9616" spans="1:1" ht="14.4">
      <c r="A9616" s="11"/>
    </row>
    <row r="9617" spans="1:1" ht="14.4">
      <c r="A9617" s="11"/>
    </row>
    <row r="9618" spans="1:1" ht="14.4">
      <c r="A9618" s="11"/>
    </row>
    <row r="9619" spans="1:1" ht="14.4">
      <c r="A9619" s="11"/>
    </row>
    <row r="9620" spans="1:1" ht="14.4">
      <c r="A9620" s="11"/>
    </row>
    <row r="9621" spans="1:1" ht="14.4">
      <c r="A9621" s="11"/>
    </row>
    <row r="9622" spans="1:1" ht="14.4">
      <c r="A9622" s="11"/>
    </row>
    <row r="9623" spans="1:1" ht="14.4">
      <c r="A9623" s="11"/>
    </row>
    <row r="9624" spans="1:1" ht="14.4">
      <c r="A9624" s="11"/>
    </row>
    <row r="9625" spans="1:1" ht="14.4">
      <c r="A9625" s="11"/>
    </row>
    <row r="9626" spans="1:1" ht="14.4">
      <c r="A9626" s="11"/>
    </row>
    <row r="9627" spans="1:1" ht="14.4">
      <c r="A9627" s="11"/>
    </row>
    <row r="9628" spans="1:1" ht="14.4">
      <c r="A9628" s="11"/>
    </row>
    <row r="9629" spans="1:1" ht="14.4">
      <c r="A9629" s="11"/>
    </row>
    <row r="9630" spans="1:1" ht="14.4">
      <c r="A9630" s="11"/>
    </row>
    <row r="9631" spans="1:1" ht="14.4">
      <c r="A9631" s="11"/>
    </row>
    <row r="9632" spans="1:1" ht="14.4">
      <c r="A9632" s="11"/>
    </row>
    <row r="9633" spans="1:1" ht="14.4">
      <c r="A9633" s="11"/>
    </row>
    <row r="9634" spans="1:1" ht="14.4">
      <c r="A9634" s="11"/>
    </row>
    <row r="9635" spans="1:1" ht="14.4">
      <c r="A9635" s="11"/>
    </row>
    <row r="9636" spans="1:1" ht="14.4">
      <c r="A9636" s="11"/>
    </row>
    <row r="9637" spans="1:1" ht="14.4">
      <c r="A9637" s="11"/>
    </row>
    <row r="9638" spans="1:1" ht="14.4">
      <c r="A9638" s="11"/>
    </row>
    <row r="9639" spans="1:1" ht="14.4">
      <c r="A9639" s="11"/>
    </row>
    <row r="9640" spans="1:1" ht="14.4">
      <c r="A9640" s="11"/>
    </row>
    <row r="9641" spans="1:1" ht="14.4">
      <c r="A9641" s="11"/>
    </row>
    <row r="9642" spans="1:1" ht="14.4">
      <c r="A9642" s="11"/>
    </row>
    <row r="9643" spans="1:1" ht="14.4">
      <c r="A9643" s="11"/>
    </row>
    <row r="9644" spans="1:1" ht="14.4">
      <c r="A9644" s="11"/>
    </row>
    <row r="9645" spans="1:1" ht="14.4">
      <c r="A9645" s="11"/>
    </row>
    <row r="9646" spans="1:1" ht="14.4">
      <c r="A9646" s="11"/>
    </row>
    <row r="9647" spans="1:1" ht="14.4">
      <c r="A9647" s="11"/>
    </row>
    <row r="9648" spans="1:1" ht="14.4">
      <c r="A9648" s="11"/>
    </row>
    <row r="9649" spans="1:1" ht="14.4">
      <c r="A9649" s="11"/>
    </row>
    <row r="9650" spans="1:1" ht="14.4">
      <c r="A9650" s="11"/>
    </row>
    <row r="9651" spans="1:1" ht="14.4">
      <c r="A9651" s="11"/>
    </row>
    <row r="9652" spans="1:1" ht="14.4">
      <c r="A9652" s="11"/>
    </row>
    <row r="9653" spans="1:1" ht="14.4">
      <c r="A9653" s="11"/>
    </row>
    <row r="9654" spans="1:1" ht="14.4">
      <c r="A9654" s="11"/>
    </row>
    <row r="9655" spans="1:1" ht="14.4">
      <c r="A9655" s="11"/>
    </row>
    <row r="9656" spans="1:1" ht="14.4">
      <c r="A9656" s="11"/>
    </row>
    <row r="9657" spans="1:1" ht="14.4">
      <c r="A9657" s="11"/>
    </row>
    <row r="9658" spans="1:1" ht="14.4">
      <c r="A9658" s="11"/>
    </row>
    <row r="9659" spans="1:1" ht="14.4">
      <c r="A9659" s="11"/>
    </row>
    <row r="9660" spans="1:1" ht="14.4">
      <c r="A9660" s="11"/>
    </row>
    <row r="9661" spans="1:1" ht="14.4">
      <c r="A9661" s="11"/>
    </row>
    <row r="9662" spans="1:1" ht="14.4">
      <c r="A9662" s="11"/>
    </row>
    <row r="9663" spans="1:1" ht="14.4">
      <c r="A9663" s="11"/>
    </row>
    <row r="9664" spans="1:1" ht="14.4">
      <c r="A9664" s="11"/>
    </row>
    <row r="9665" spans="1:1" ht="14.4">
      <c r="A9665" s="11"/>
    </row>
    <row r="9666" spans="1:1" ht="14.4">
      <c r="A9666" s="11"/>
    </row>
    <row r="9667" spans="1:1" ht="14.4">
      <c r="A9667" s="11"/>
    </row>
    <row r="9668" spans="1:1" ht="14.4">
      <c r="A9668" s="11"/>
    </row>
    <row r="9669" spans="1:1" ht="14.4">
      <c r="A9669" s="11"/>
    </row>
    <row r="9670" spans="1:1" ht="14.4">
      <c r="A9670" s="11"/>
    </row>
    <row r="9671" spans="1:1" ht="14.4">
      <c r="A9671" s="11"/>
    </row>
    <row r="9672" spans="1:1" ht="14.4">
      <c r="A9672" s="11"/>
    </row>
    <row r="9673" spans="1:1" ht="14.4">
      <c r="A9673" s="11"/>
    </row>
    <row r="9674" spans="1:1" ht="14.4">
      <c r="A9674" s="11"/>
    </row>
    <row r="9675" spans="1:1" ht="14.4">
      <c r="A9675" s="11"/>
    </row>
    <row r="9676" spans="1:1" ht="14.4">
      <c r="A9676" s="11"/>
    </row>
    <row r="9677" spans="1:1" ht="14.4">
      <c r="A9677" s="11"/>
    </row>
    <row r="9678" spans="1:1" ht="14.4">
      <c r="A9678" s="11"/>
    </row>
    <row r="9679" spans="1:1" ht="14.4">
      <c r="A9679" s="11"/>
    </row>
    <row r="9680" spans="1:1" ht="14.4">
      <c r="A9680" s="11"/>
    </row>
    <row r="9681" spans="1:1" ht="14.4">
      <c r="A9681" s="11"/>
    </row>
    <row r="9682" spans="1:1" ht="14.4">
      <c r="A9682" s="11"/>
    </row>
    <row r="9683" spans="1:1" ht="14.4">
      <c r="A9683" s="11"/>
    </row>
    <row r="9684" spans="1:1" ht="14.4">
      <c r="A9684" s="11"/>
    </row>
    <row r="9685" spans="1:1" ht="14.4">
      <c r="A9685" s="11"/>
    </row>
    <row r="9686" spans="1:1" ht="14.4">
      <c r="A9686" s="11"/>
    </row>
    <row r="9687" spans="1:1" ht="14.4">
      <c r="A9687" s="11"/>
    </row>
    <row r="9688" spans="1:1" ht="14.4">
      <c r="A9688" s="11"/>
    </row>
    <row r="9689" spans="1:1" ht="14.4">
      <c r="A9689" s="11"/>
    </row>
    <row r="9690" spans="1:1" ht="14.4">
      <c r="A9690" s="11"/>
    </row>
    <row r="9691" spans="1:1" ht="14.4">
      <c r="A9691" s="11"/>
    </row>
    <row r="9692" spans="1:1" ht="14.4">
      <c r="A9692" s="11"/>
    </row>
    <row r="9693" spans="1:1" ht="14.4">
      <c r="A9693" s="11"/>
    </row>
    <row r="9694" spans="1:1" ht="14.4">
      <c r="A9694" s="11"/>
    </row>
    <row r="9695" spans="1:1" ht="14.4">
      <c r="A9695" s="11"/>
    </row>
    <row r="9696" spans="1:1" ht="14.4">
      <c r="A9696" s="11"/>
    </row>
    <row r="9697" spans="1:1" ht="14.4">
      <c r="A9697" s="11"/>
    </row>
    <row r="9698" spans="1:1" ht="14.4">
      <c r="A9698" s="11"/>
    </row>
    <row r="9699" spans="1:1" ht="14.4">
      <c r="A9699" s="11"/>
    </row>
    <row r="9700" spans="1:1" ht="14.4">
      <c r="A9700" s="11"/>
    </row>
    <row r="9701" spans="1:1" ht="14.4">
      <c r="A9701" s="11"/>
    </row>
    <row r="9702" spans="1:1" ht="14.4">
      <c r="A9702" s="11"/>
    </row>
    <row r="9703" spans="1:1" ht="14.4">
      <c r="A9703" s="11"/>
    </row>
    <row r="9704" spans="1:1" ht="14.4">
      <c r="A9704" s="11"/>
    </row>
    <row r="9705" spans="1:1" ht="14.4">
      <c r="A9705" s="11"/>
    </row>
    <row r="9706" spans="1:1" ht="14.4">
      <c r="A9706" s="11"/>
    </row>
    <row r="9707" spans="1:1" ht="14.4">
      <c r="A9707" s="11"/>
    </row>
    <row r="9708" spans="1:1" ht="14.4">
      <c r="A9708" s="11"/>
    </row>
    <row r="9709" spans="1:1" ht="14.4">
      <c r="A9709" s="11"/>
    </row>
    <row r="9710" spans="1:1" ht="14.4">
      <c r="A9710" s="11"/>
    </row>
    <row r="9711" spans="1:1" ht="14.4">
      <c r="A9711" s="11"/>
    </row>
    <row r="9712" spans="1:1" ht="14.4">
      <c r="A9712" s="11"/>
    </row>
    <row r="9713" spans="1:1" ht="14.4">
      <c r="A9713" s="11"/>
    </row>
    <row r="9714" spans="1:1" ht="14.4">
      <c r="A9714" s="11"/>
    </row>
    <row r="9715" spans="1:1" ht="14.4">
      <c r="A9715" s="11"/>
    </row>
    <row r="9716" spans="1:1" ht="14.4">
      <c r="A9716" s="11"/>
    </row>
    <row r="9717" spans="1:1" ht="14.4">
      <c r="A9717" s="11"/>
    </row>
    <row r="9718" spans="1:1" ht="14.4">
      <c r="A9718" s="11"/>
    </row>
    <row r="9719" spans="1:1" ht="14.4">
      <c r="A9719" s="11"/>
    </row>
    <row r="9720" spans="1:1" ht="14.4">
      <c r="A9720" s="11"/>
    </row>
    <row r="9721" spans="1:1" ht="14.4">
      <c r="A9721" s="11"/>
    </row>
    <row r="9722" spans="1:1" ht="14.4">
      <c r="A9722" s="11"/>
    </row>
    <row r="9723" spans="1:1" ht="14.4">
      <c r="A9723" s="11"/>
    </row>
    <row r="9724" spans="1:1" ht="14.4">
      <c r="A9724" s="11"/>
    </row>
    <row r="9725" spans="1:1" ht="14.4">
      <c r="A9725" s="11"/>
    </row>
    <row r="9726" spans="1:1" ht="14.4">
      <c r="A9726" s="11"/>
    </row>
    <row r="9727" spans="1:1" ht="14.4">
      <c r="A9727" s="11"/>
    </row>
    <row r="9728" spans="1:1" ht="14.4">
      <c r="A9728" s="11"/>
    </row>
    <row r="9729" spans="1:1" ht="14.4">
      <c r="A9729" s="11"/>
    </row>
    <row r="9730" spans="1:1" ht="14.4">
      <c r="A9730" s="11"/>
    </row>
    <row r="9731" spans="1:1" ht="14.4">
      <c r="A9731" s="11"/>
    </row>
    <row r="9732" spans="1:1" ht="14.4">
      <c r="A9732" s="11"/>
    </row>
    <row r="9733" spans="1:1" ht="14.4">
      <c r="A9733" s="11"/>
    </row>
    <row r="9734" spans="1:1" ht="14.4">
      <c r="A9734" s="11"/>
    </row>
    <row r="9735" spans="1:1" ht="14.4">
      <c r="A9735" s="11"/>
    </row>
    <row r="9736" spans="1:1" ht="14.4">
      <c r="A9736" s="11"/>
    </row>
    <row r="9737" spans="1:1" ht="14.4">
      <c r="A9737" s="11"/>
    </row>
    <row r="9738" spans="1:1" ht="14.4">
      <c r="A9738" s="11"/>
    </row>
    <row r="9739" spans="1:1" ht="14.4">
      <c r="A9739" s="11"/>
    </row>
    <row r="9740" spans="1:1" ht="14.4">
      <c r="A9740" s="11"/>
    </row>
    <row r="9741" spans="1:1" ht="14.4">
      <c r="A9741" s="11"/>
    </row>
    <row r="9742" spans="1:1" ht="14.4">
      <c r="A9742" s="11"/>
    </row>
    <row r="9743" spans="1:1" ht="14.4">
      <c r="A9743" s="11"/>
    </row>
    <row r="9744" spans="1:1" ht="14.4">
      <c r="A9744" s="11"/>
    </row>
    <row r="9745" spans="1:1" ht="14.4">
      <c r="A9745" s="11"/>
    </row>
    <row r="9746" spans="1:1" ht="14.4">
      <c r="A9746" s="11"/>
    </row>
    <row r="9747" spans="1:1" ht="14.4">
      <c r="A9747" s="11"/>
    </row>
    <row r="9748" spans="1:1" ht="14.4">
      <c r="A9748" s="11"/>
    </row>
    <row r="9749" spans="1:1" ht="14.4">
      <c r="A9749" s="11"/>
    </row>
    <row r="9750" spans="1:1" ht="14.4">
      <c r="A9750" s="11"/>
    </row>
    <row r="9751" spans="1:1" ht="14.4">
      <c r="A9751" s="11"/>
    </row>
    <row r="9752" spans="1:1" ht="14.4">
      <c r="A9752" s="11"/>
    </row>
    <row r="9753" spans="1:1" ht="14.4">
      <c r="A9753" s="11"/>
    </row>
    <row r="9754" spans="1:1" ht="14.4">
      <c r="A9754" s="11"/>
    </row>
    <row r="9755" spans="1:1" ht="14.4">
      <c r="A9755" s="11"/>
    </row>
    <row r="9756" spans="1:1" ht="14.4">
      <c r="A9756" s="11"/>
    </row>
    <row r="9757" spans="1:1" ht="14.4">
      <c r="A9757" s="11"/>
    </row>
    <row r="9758" spans="1:1" ht="14.4">
      <c r="A9758" s="11"/>
    </row>
    <row r="9759" spans="1:1" ht="14.4">
      <c r="A9759" s="11"/>
    </row>
    <row r="9760" spans="1:1" ht="14.4">
      <c r="A9760" s="11"/>
    </row>
    <row r="9761" spans="1:1" ht="14.4">
      <c r="A9761" s="11"/>
    </row>
    <row r="9762" spans="1:1" ht="14.4">
      <c r="A9762" s="11"/>
    </row>
    <row r="9763" spans="1:1" ht="14.4">
      <c r="A9763" s="11"/>
    </row>
    <row r="9764" spans="1:1" ht="14.4">
      <c r="A9764" s="11"/>
    </row>
    <row r="9765" spans="1:1" ht="14.4">
      <c r="A9765" s="11"/>
    </row>
    <row r="9766" spans="1:1" ht="14.4">
      <c r="A9766" s="11"/>
    </row>
    <row r="9767" spans="1:1" ht="14.4">
      <c r="A9767" s="11"/>
    </row>
    <row r="9768" spans="1:1" ht="14.4">
      <c r="A9768" s="11"/>
    </row>
    <row r="9769" spans="1:1" ht="14.4">
      <c r="A9769" s="11"/>
    </row>
    <row r="9770" spans="1:1" ht="14.4">
      <c r="A9770" s="11"/>
    </row>
    <row r="9771" spans="1:1" ht="14.4">
      <c r="A9771" s="11"/>
    </row>
    <row r="9772" spans="1:1" ht="14.4">
      <c r="A9772" s="11"/>
    </row>
    <row r="9773" spans="1:1" ht="14.4">
      <c r="A9773" s="11"/>
    </row>
    <row r="9774" spans="1:1" ht="14.4">
      <c r="A9774" s="11"/>
    </row>
    <row r="9775" spans="1:1" ht="14.4">
      <c r="A9775" s="11"/>
    </row>
    <row r="9776" spans="1:1" ht="14.4">
      <c r="A9776" s="11"/>
    </row>
    <row r="9777" spans="1:1" ht="14.4">
      <c r="A9777" s="11"/>
    </row>
    <row r="9778" spans="1:1" ht="14.4">
      <c r="A9778" s="11"/>
    </row>
    <row r="9779" spans="1:1" ht="14.4">
      <c r="A9779" s="11"/>
    </row>
    <row r="9780" spans="1:1" ht="14.4">
      <c r="A9780" s="11"/>
    </row>
    <row r="9781" spans="1:1" ht="14.4">
      <c r="A9781" s="11"/>
    </row>
    <row r="9782" spans="1:1" ht="14.4">
      <c r="A9782" s="11"/>
    </row>
    <row r="9783" spans="1:1" ht="14.4">
      <c r="A9783" s="11"/>
    </row>
    <row r="9784" spans="1:1" ht="14.4">
      <c r="A9784" s="11"/>
    </row>
    <row r="9785" spans="1:1" ht="14.4">
      <c r="A9785" s="11"/>
    </row>
    <row r="9786" spans="1:1" ht="14.4">
      <c r="A9786" s="11"/>
    </row>
    <row r="9787" spans="1:1" ht="14.4">
      <c r="A9787" s="11"/>
    </row>
    <row r="9788" spans="1:1" ht="14.4">
      <c r="A9788" s="11"/>
    </row>
    <row r="9789" spans="1:1" ht="14.4">
      <c r="A9789" s="11"/>
    </row>
    <row r="9790" spans="1:1" ht="14.4">
      <c r="A9790" s="11"/>
    </row>
    <row r="9791" spans="1:1" ht="14.4">
      <c r="A9791" s="11"/>
    </row>
    <row r="9792" spans="1:1" ht="14.4">
      <c r="A9792" s="11"/>
    </row>
    <row r="9793" spans="1:1" ht="14.4">
      <c r="A9793" s="11"/>
    </row>
    <row r="9794" spans="1:1" ht="14.4">
      <c r="A9794" s="11"/>
    </row>
    <row r="9795" spans="1:1" ht="14.4">
      <c r="A9795" s="11"/>
    </row>
    <row r="9796" spans="1:1" ht="14.4">
      <c r="A9796" s="11"/>
    </row>
    <row r="9797" spans="1:1" ht="14.4">
      <c r="A9797" s="11"/>
    </row>
    <row r="9798" spans="1:1" ht="14.4">
      <c r="A9798" s="11"/>
    </row>
    <row r="9799" spans="1:1" ht="14.4">
      <c r="A9799" s="11"/>
    </row>
    <row r="9800" spans="1:1" ht="14.4">
      <c r="A9800" s="11"/>
    </row>
    <row r="9801" spans="1:1" ht="14.4">
      <c r="A9801" s="11"/>
    </row>
    <row r="9802" spans="1:1" ht="14.4">
      <c r="A9802" s="11"/>
    </row>
    <row r="9803" spans="1:1" ht="14.4">
      <c r="A9803" s="11"/>
    </row>
    <row r="9804" spans="1:1" ht="14.4">
      <c r="A9804" s="11"/>
    </row>
    <row r="9805" spans="1:1" ht="14.4">
      <c r="A9805" s="11"/>
    </row>
    <row r="9806" spans="1:1" ht="14.4">
      <c r="A9806" s="11"/>
    </row>
    <row r="9807" spans="1:1" ht="14.4">
      <c r="A9807" s="11"/>
    </row>
    <row r="9808" spans="1:1" ht="14.4">
      <c r="A9808" s="11"/>
    </row>
    <row r="9809" spans="1:1" ht="14.4">
      <c r="A9809" s="11"/>
    </row>
    <row r="9810" spans="1:1" ht="14.4">
      <c r="A9810" s="11"/>
    </row>
    <row r="9811" spans="1:1" ht="14.4">
      <c r="A9811" s="11"/>
    </row>
    <row r="9812" spans="1:1" ht="14.4">
      <c r="A9812" s="11"/>
    </row>
    <row r="9813" spans="1:1" ht="14.4">
      <c r="A9813" s="11"/>
    </row>
    <row r="9814" spans="1:1" ht="14.4">
      <c r="A9814" s="11"/>
    </row>
    <row r="9815" spans="1:1" ht="14.4">
      <c r="A9815" s="11"/>
    </row>
    <row r="9816" spans="1:1" ht="14.4">
      <c r="A9816" s="11"/>
    </row>
    <row r="9817" spans="1:1" ht="14.4">
      <c r="A9817" s="11"/>
    </row>
    <row r="9818" spans="1:1" ht="14.4">
      <c r="A9818" s="11"/>
    </row>
    <row r="9819" spans="1:1" ht="14.4">
      <c r="A9819" s="11"/>
    </row>
    <row r="9820" spans="1:1" ht="14.4">
      <c r="A9820" s="11"/>
    </row>
    <row r="9821" spans="1:1" ht="14.4">
      <c r="A9821" s="11"/>
    </row>
    <row r="9822" spans="1:1" ht="14.4">
      <c r="A9822" s="11"/>
    </row>
    <row r="9823" spans="1:1" ht="14.4">
      <c r="A9823" s="11"/>
    </row>
    <row r="9824" spans="1:1" ht="14.4">
      <c r="A9824" s="11"/>
    </row>
    <row r="9825" spans="1:1" ht="14.4">
      <c r="A9825" s="11"/>
    </row>
    <row r="9826" spans="1:1" ht="14.4">
      <c r="A9826" s="11"/>
    </row>
    <row r="9827" spans="1:1" ht="14.4">
      <c r="A9827" s="11"/>
    </row>
    <row r="9828" spans="1:1" ht="14.4">
      <c r="A9828" s="11"/>
    </row>
    <row r="9829" spans="1:1" ht="14.4">
      <c r="A9829" s="11"/>
    </row>
    <row r="9830" spans="1:1" ht="14.4">
      <c r="A9830" s="11"/>
    </row>
    <row r="9831" spans="1:1" ht="14.4">
      <c r="A9831" s="11"/>
    </row>
    <row r="9832" spans="1:1" ht="14.4">
      <c r="A9832" s="11"/>
    </row>
    <row r="9833" spans="1:1" ht="14.4">
      <c r="A9833" s="11"/>
    </row>
    <row r="9834" spans="1:1" ht="14.4">
      <c r="A9834" s="11"/>
    </row>
    <row r="9835" spans="1:1" ht="14.4">
      <c r="A9835" s="11"/>
    </row>
    <row r="9836" spans="1:1" ht="14.4">
      <c r="A9836" s="11"/>
    </row>
    <row r="9837" spans="1:1" ht="14.4">
      <c r="A9837" s="11"/>
    </row>
    <row r="9838" spans="1:1" ht="14.4">
      <c r="A9838" s="11"/>
    </row>
    <row r="9839" spans="1:1" ht="14.4">
      <c r="A9839" s="11"/>
    </row>
    <row r="9840" spans="1:1" ht="14.4">
      <c r="A9840" s="11"/>
    </row>
    <row r="9841" spans="1:1" ht="14.4">
      <c r="A9841" s="11"/>
    </row>
    <row r="9842" spans="1:1" ht="14.4">
      <c r="A9842" s="11"/>
    </row>
    <row r="9843" spans="1:1" ht="14.4">
      <c r="A9843" s="11"/>
    </row>
    <row r="9844" spans="1:1" ht="14.4">
      <c r="A9844" s="11"/>
    </row>
    <row r="9845" spans="1:1" ht="14.4">
      <c r="A9845" s="11"/>
    </row>
    <row r="9846" spans="1:1" ht="14.4">
      <c r="A9846" s="11"/>
    </row>
    <row r="9847" spans="1:1" ht="14.4">
      <c r="A9847" s="11"/>
    </row>
    <row r="9848" spans="1:1" ht="14.4">
      <c r="A9848" s="11"/>
    </row>
    <row r="9849" spans="1:1" ht="14.4">
      <c r="A9849" s="11"/>
    </row>
    <row r="9850" spans="1:1" ht="14.4">
      <c r="A9850" s="11"/>
    </row>
    <row r="9851" spans="1:1" ht="14.4">
      <c r="A9851" s="11"/>
    </row>
    <row r="9852" spans="1:1" ht="14.4">
      <c r="A9852" s="11"/>
    </row>
    <row r="9853" spans="1:1" ht="14.4">
      <c r="A9853" s="11"/>
    </row>
    <row r="9854" spans="1:1" ht="14.4">
      <c r="A9854" s="11"/>
    </row>
    <row r="9855" spans="1:1" ht="14.4">
      <c r="A9855" s="11"/>
    </row>
    <row r="9856" spans="1:1" ht="14.4">
      <c r="A9856" s="11"/>
    </row>
    <row r="9857" spans="1:1" ht="14.4">
      <c r="A9857" s="11"/>
    </row>
    <row r="9858" spans="1:1" ht="14.4">
      <c r="A9858" s="11"/>
    </row>
    <row r="9859" spans="1:1" ht="14.4">
      <c r="A9859" s="11"/>
    </row>
    <row r="9860" spans="1:1" ht="14.4">
      <c r="A9860" s="11"/>
    </row>
    <row r="9861" spans="1:1" ht="14.4">
      <c r="A9861" s="11"/>
    </row>
    <row r="9862" spans="1:1" ht="14.4">
      <c r="A9862" s="11"/>
    </row>
    <row r="9863" spans="1:1" ht="14.4">
      <c r="A9863" s="11"/>
    </row>
    <row r="9864" spans="1:1" ht="14.4">
      <c r="A9864" s="11"/>
    </row>
    <row r="9865" spans="1:1" ht="14.4">
      <c r="A9865" s="11"/>
    </row>
    <row r="9866" spans="1:1" ht="14.4">
      <c r="A9866" s="11"/>
    </row>
    <row r="9867" spans="1:1" ht="14.4">
      <c r="A9867" s="11"/>
    </row>
    <row r="9868" spans="1:1" ht="14.4">
      <c r="A9868" s="11"/>
    </row>
    <row r="9869" spans="1:1" ht="14.4">
      <c r="A9869" s="11"/>
    </row>
    <row r="9870" spans="1:1" ht="14.4">
      <c r="A9870" s="11"/>
    </row>
    <row r="9871" spans="1:1" ht="14.4">
      <c r="A9871" s="11"/>
    </row>
    <row r="9872" spans="1:1" ht="14.4">
      <c r="A9872" s="11"/>
    </row>
    <row r="9873" spans="1:1" ht="14.4">
      <c r="A9873" s="11"/>
    </row>
    <row r="9874" spans="1:1" ht="14.4">
      <c r="A9874" s="11"/>
    </row>
    <row r="9875" spans="1:1" ht="14.4">
      <c r="A9875" s="11"/>
    </row>
    <row r="9876" spans="1:1" ht="14.4">
      <c r="A9876" s="11"/>
    </row>
    <row r="9877" spans="1:1" ht="14.4">
      <c r="A9877" s="11"/>
    </row>
    <row r="9878" spans="1:1" ht="14.4">
      <c r="A9878" s="11"/>
    </row>
    <row r="9879" spans="1:1" ht="14.4">
      <c r="A9879" s="11"/>
    </row>
    <row r="9880" spans="1:1" ht="14.4">
      <c r="A9880" s="11"/>
    </row>
    <row r="9881" spans="1:1" ht="14.4">
      <c r="A9881" s="11"/>
    </row>
    <row r="9882" spans="1:1" ht="14.4">
      <c r="A9882" s="11"/>
    </row>
    <row r="9883" spans="1:1" ht="14.4">
      <c r="A9883" s="11"/>
    </row>
    <row r="9884" spans="1:1" ht="14.4">
      <c r="A9884" s="11"/>
    </row>
    <row r="9885" spans="1:1" ht="14.4">
      <c r="A9885" s="11"/>
    </row>
    <row r="9886" spans="1:1" ht="14.4">
      <c r="A9886" s="11"/>
    </row>
    <row r="9887" spans="1:1" ht="14.4">
      <c r="A9887" s="11"/>
    </row>
    <row r="9888" spans="1:1" ht="14.4">
      <c r="A9888" s="11"/>
    </row>
    <row r="9889" spans="1:1" ht="14.4">
      <c r="A9889" s="11"/>
    </row>
    <row r="9890" spans="1:1" ht="14.4">
      <c r="A9890" s="11"/>
    </row>
    <row r="9891" spans="1:1" ht="14.4">
      <c r="A9891" s="11"/>
    </row>
    <row r="9892" spans="1:1" ht="14.4">
      <c r="A9892" s="11"/>
    </row>
    <row r="9893" spans="1:1" ht="14.4">
      <c r="A9893" s="11"/>
    </row>
    <row r="9894" spans="1:1" ht="14.4">
      <c r="A9894" s="11"/>
    </row>
    <row r="9895" spans="1:1" ht="14.4">
      <c r="A9895" s="11"/>
    </row>
    <row r="9896" spans="1:1" ht="14.4">
      <c r="A9896" s="11"/>
    </row>
    <row r="9897" spans="1:1" ht="14.4">
      <c r="A9897" s="11"/>
    </row>
    <row r="9898" spans="1:1" ht="14.4">
      <c r="A9898" s="11"/>
    </row>
    <row r="9899" spans="1:1" ht="14.4">
      <c r="A9899" s="11"/>
    </row>
    <row r="9900" spans="1:1" ht="14.4">
      <c r="A9900" s="11"/>
    </row>
    <row r="9901" spans="1:1" ht="14.4">
      <c r="A9901" s="11"/>
    </row>
    <row r="9902" spans="1:1" ht="14.4">
      <c r="A9902" s="11"/>
    </row>
    <row r="9903" spans="1:1" ht="14.4">
      <c r="A9903" s="11"/>
    </row>
    <row r="9904" spans="1:1" ht="14.4">
      <c r="A9904" s="11"/>
    </row>
    <row r="9905" spans="1:1" ht="14.4">
      <c r="A9905" s="11"/>
    </row>
    <row r="9906" spans="1:1" ht="14.4">
      <c r="A9906" s="11"/>
    </row>
    <row r="9907" spans="1:1" ht="14.4">
      <c r="A9907" s="11"/>
    </row>
    <row r="9908" spans="1:1" ht="14.4">
      <c r="A9908" s="11"/>
    </row>
    <row r="9909" spans="1:1" ht="14.4">
      <c r="A9909" s="11"/>
    </row>
    <row r="9910" spans="1:1" ht="14.4">
      <c r="A9910" s="11"/>
    </row>
    <row r="9911" spans="1:1" ht="14.4">
      <c r="A9911" s="11"/>
    </row>
    <row r="9912" spans="1:1" ht="14.4">
      <c r="A9912" s="11"/>
    </row>
    <row r="9913" spans="1:1" ht="14.4">
      <c r="A9913" s="11"/>
    </row>
    <row r="9914" spans="1:1" ht="14.4">
      <c r="A9914" s="11"/>
    </row>
    <row r="9915" spans="1:1" ht="14.4">
      <c r="A9915" s="11"/>
    </row>
    <row r="9916" spans="1:1" ht="14.4">
      <c r="A9916" s="11"/>
    </row>
    <row r="9917" spans="1:1" ht="14.4">
      <c r="A9917" s="11"/>
    </row>
    <row r="9918" spans="1:1" ht="14.4">
      <c r="A9918" s="11"/>
    </row>
    <row r="9919" spans="1:1" ht="14.4">
      <c r="A9919" s="11"/>
    </row>
    <row r="9920" spans="1:1" ht="14.4">
      <c r="A9920" s="11"/>
    </row>
    <row r="9921" spans="1:1" ht="14.4">
      <c r="A9921" s="11"/>
    </row>
    <row r="9922" spans="1:1" ht="14.4">
      <c r="A9922" s="11"/>
    </row>
    <row r="9923" spans="1:1" ht="14.4">
      <c r="A9923" s="11"/>
    </row>
    <row r="9924" spans="1:1" ht="14.4">
      <c r="A9924" s="11"/>
    </row>
    <row r="9925" spans="1:1" ht="14.4">
      <c r="A9925" s="11"/>
    </row>
    <row r="9926" spans="1:1" ht="14.4">
      <c r="A9926" s="11"/>
    </row>
    <row r="9927" spans="1:1" ht="14.4">
      <c r="A9927" s="11"/>
    </row>
    <row r="9928" spans="1:1" ht="14.4">
      <c r="A9928" s="11"/>
    </row>
    <row r="9929" spans="1:1" ht="14.4">
      <c r="A9929" s="11"/>
    </row>
    <row r="9930" spans="1:1" ht="14.4">
      <c r="A9930" s="11"/>
    </row>
    <row r="9931" spans="1:1" ht="14.4">
      <c r="A9931" s="11"/>
    </row>
    <row r="9932" spans="1:1" ht="14.4">
      <c r="A9932" s="11"/>
    </row>
    <row r="9933" spans="1:1" ht="14.4">
      <c r="A9933" s="11"/>
    </row>
    <row r="9934" spans="1:1" ht="14.4">
      <c r="A9934" s="11"/>
    </row>
    <row r="9935" spans="1:1" ht="14.4">
      <c r="A9935" s="11"/>
    </row>
    <row r="9936" spans="1:1" ht="14.4">
      <c r="A9936" s="11"/>
    </row>
    <row r="9937" spans="1:1" ht="14.4">
      <c r="A9937" s="11"/>
    </row>
    <row r="9938" spans="1:1" ht="14.4">
      <c r="A9938" s="11"/>
    </row>
    <row r="9939" spans="1:1" ht="14.4">
      <c r="A9939" s="11"/>
    </row>
    <row r="9940" spans="1:1" ht="14.4">
      <c r="A9940" s="11"/>
    </row>
    <row r="9941" spans="1:1" ht="14.4">
      <c r="A9941" s="11"/>
    </row>
    <row r="9942" spans="1:1" ht="14.4">
      <c r="A9942" s="11"/>
    </row>
    <row r="9943" spans="1:1" ht="14.4">
      <c r="A9943" s="11"/>
    </row>
    <row r="9944" spans="1:1" ht="14.4">
      <c r="A9944" s="11"/>
    </row>
    <row r="9945" spans="1:1" ht="14.4">
      <c r="A9945" s="11"/>
    </row>
    <row r="9946" spans="1:1" ht="14.4">
      <c r="A9946" s="11"/>
    </row>
    <row r="9947" spans="1:1" ht="14.4">
      <c r="A9947" s="11"/>
    </row>
    <row r="9948" spans="1:1" ht="14.4">
      <c r="A9948" s="11"/>
    </row>
    <row r="9949" spans="1:1" ht="14.4">
      <c r="A9949" s="11"/>
    </row>
    <row r="9950" spans="1:1" ht="14.4">
      <c r="A9950" s="11"/>
    </row>
    <row r="9951" spans="1:1" ht="14.4">
      <c r="A9951" s="11"/>
    </row>
    <row r="9952" spans="1:1" ht="14.4">
      <c r="A9952" s="11"/>
    </row>
    <row r="9953" spans="1:1" ht="14.4">
      <c r="A9953" s="11"/>
    </row>
    <row r="9954" spans="1:1" ht="14.4">
      <c r="A9954" s="11"/>
    </row>
    <row r="9955" spans="1:1" ht="14.4">
      <c r="A9955" s="11"/>
    </row>
    <row r="9956" spans="1:1" ht="14.4">
      <c r="A9956" s="11"/>
    </row>
    <row r="9957" spans="1:1" ht="14.4">
      <c r="A9957" s="11"/>
    </row>
    <row r="9958" spans="1:1" ht="14.4">
      <c r="A9958" s="11"/>
    </row>
    <row r="9959" spans="1:1" ht="14.4">
      <c r="A9959" s="11"/>
    </row>
    <row r="9960" spans="1:1" ht="14.4">
      <c r="A9960" s="11"/>
    </row>
    <row r="9961" spans="1:1" ht="14.4">
      <c r="A9961" s="11"/>
    </row>
    <row r="9962" spans="1:1" ht="14.4">
      <c r="A9962" s="11"/>
    </row>
    <row r="9963" spans="1:1" ht="14.4">
      <c r="A9963" s="11"/>
    </row>
    <row r="9964" spans="1:1" ht="14.4">
      <c r="A9964" s="11"/>
    </row>
    <row r="9965" spans="1:1" ht="14.4">
      <c r="A9965" s="11"/>
    </row>
    <row r="9966" spans="1:1" ht="14.4">
      <c r="A9966" s="11"/>
    </row>
    <row r="9967" spans="1:1" ht="14.4">
      <c r="A9967" s="11"/>
    </row>
    <row r="9968" spans="1:1" ht="14.4">
      <c r="A9968" s="11"/>
    </row>
    <row r="9969" spans="1:1" ht="14.4">
      <c r="A9969" s="11"/>
    </row>
    <row r="9970" spans="1:1" ht="14.4">
      <c r="A9970" s="11"/>
    </row>
    <row r="9971" spans="1:1" ht="14.4">
      <c r="A9971" s="11"/>
    </row>
    <row r="9972" spans="1:1" ht="14.4">
      <c r="A9972" s="11"/>
    </row>
    <row r="9973" spans="1:1" ht="14.4">
      <c r="A9973" s="11"/>
    </row>
    <row r="9974" spans="1:1" ht="14.4">
      <c r="A9974" s="11"/>
    </row>
    <row r="9975" spans="1:1" ht="14.4">
      <c r="A9975" s="11"/>
    </row>
    <row r="9976" spans="1:1" ht="14.4">
      <c r="A9976" s="11"/>
    </row>
    <row r="9977" spans="1:1" ht="14.4">
      <c r="A9977" s="11"/>
    </row>
    <row r="9978" spans="1:1" ht="14.4">
      <c r="A9978" s="11"/>
    </row>
    <row r="9979" spans="1:1" ht="14.4">
      <c r="A9979" s="11"/>
    </row>
    <row r="9980" spans="1:1" ht="14.4">
      <c r="A9980" s="11"/>
    </row>
    <row r="9981" spans="1:1" ht="14.4">
      <c r="A9981" s="11"/>
    </row>
    <row r="9982" spans="1:1" ht="14.4">
      <c r="A9982" s="11"/>
    </row>
    <row r="9983" spans="1:1" ht="14.4">
      <c r="A9983" s="11"/>
    </row>
    <row r="9984" spans="1:1" ht="14.4">
      <c r="A9984" s="11"/>
    </row>
    <row r="9985" spans="1:1" ht="14.4">
      <c r="A9985" s="11"/>
    </row>
    <row r="9986" spans="1:1" ht="14.4">
      <c r="A9986" s="11"/>
    </row>
    <row r="9987" spans="1:1" ht="14.4">
      <c r="A9987" s="11"/>
    </row>
    <row r="9988" spans="1:1" ht="14.4">
      <c r="A9988" s="11"/>
    </row>
    <row r="9989" spans="1:1" ht="14.4">
      <c r="A9989" s="11"/>
    </row>
    <row r="9990" spans="1:1" ht="14.4">
      <c r="A9990" s="11"/>
    </row>
    <row r="9991" spans="1:1" ht="14.4">
      <c r="A9991" s="11"/>
    </row>
    <row r="9992" spans="1:1" ht="14.4">
      <c r="A9992" s="11"/>
    </row>
    <row r="9993" spans="1:1" ht="14.4">
      <c r="A9993" s="11"/>
    </row>
    <row r="9994" spans="1:1" ht="14.4">
      <c r="A9994" s="11"/>
    </row>
    <row r="9995" spans="1:1" ht="14.4">
      <c r="A9995" s="11"/>
    </row>
    <row r="9996" spans="1:1" ht="14.4">
      <c r="A9996" s="11"/>
    </row>
    <row r="9997" spans="1:1" ht="14.4">
      <c r="A9997" s="11"/>
    </row>
    <row r="9998" spans="1:1" ht="14.4">
      <c r="A9998" s="11"/>
    </row>
    <row r="9999" spans="1:1" ht="14.4">
      <c r="A9999" s="11"/>
    </row>
    <row r="10000" spans="1:1" ht="14.4">
      <c r="A10000" s="11"/>
    </row>
    <row r="10001" spans="1:1" ht="14.4">
      <c r="A10001" s="11"/>
    </row>
    <row r="10002" spans="1:1" ht="14.4">
      <c r="A10002" s="11"/>
    </row>
    <row r="10003" spans="1:1" ht="14.4">
      <c r="A10003" s="11"/>
    </row>
    <row r="10004" spans="1:1" ht="14.4">
      <c r="A10004" s="11"/>
    </row>
    <row r="10005" spans="1:1" ht="14.4">
      <c r="A10005" s="11"/>
    </row>
    <row r="10006" spans="1:1" ht="14.4">
      <c r="A10006" s="11"/>
    </row>
    <row r="10007" spans="1:1" ht="14.4">
      <c r="A10007" s="11"/>
    </row>
    <row r="10008" spans="1:1" ht="14.4">
      <c r="A10008" s="11"/>
    </row>
    <row r="10009" spans="1:1" ht="14.4">
      <c r="A10009" s="11"/>
    </row>
    <row r="10010" spans="1:1" ht="14.4">
      <c r="A10010" s="11"/>
    </row>
    <row r="10011" spans="1:1" ht="14.4">
      <c r="A10011" s="11"/>
    </row>
    <row r="10012" spans="1:1" ht="14.4">
      <c r="A10012" s="11"/>
    </row>
    <row r="10013" spans="1:1" ht="14.4">
      <c r="A10013" s="11"/>
    </row>
    <row r="10014" spans="1:1" ht="14.4">
      <c r="A10014" s="11"/>
    </row>
    <row r="10015" spans="1:1" ht="14.4">
      <c r="A10015" s="11"/>
    </row>
    <row r="10016" spans="1:1" ht="14.4">
      <c r="A10016" s="11"/>
    </row>
    <row r="10017" spans="1:1" ht="14.4">
      <c r="A10017" s="11"/>
    </row>
    <row r="10018" spans="1:1" ht="14.4">
      <c r="A10018" s="11"/>
    </row>
    <row r="10019" spans="1:1" ht="14.4">
      <c r="A10019" s="11"/>
    </row>
    <row r="10020" spans="1:1" ht="14.4">
      <c r="A10020" s="11"/>
    </row>
    <row r="10021" spans="1:1" ht="14.4">
      <c r="A10021" s="11"/>
    </row>
    <row r="10022" spans="1:1" ht="14.4">
      <c r="A10022" s="11"/>
    </row>
    <row r="10023" spans="1:1" ht="14.4">
      <c r="A10023" s="11"/>
    </row>
    <row r="10024" spans="1:1" ht="14.4">
      <c r="A10024" s="11"/>
    </row>
    <row r="10025" spans="1:1" ht="14.4">
      <c r="A10025" s="11"/>
    </row>
    <row r="10026" spans="1:1" ht="14.4">
      <c r="A10026" s="11"/>
    </row>
    <row r="10027" spans="1:1" ht="14.4">
      <c r="A10027" s="11"/>
    </row>
    <row r="10028" spans="1:1" ht="14.4">
      <c r="A10028" s="11"/>
    </row>
    <row r="10029" spans="1:1" ht="14.4">
      <c r="A10029" s="11"/>
    </row>
    <row r="10030" spans="1:1" ht="14.4">
      <c r="A10030" s="11"/>
    </row>
    <row r="10031" spans="1:1" ht="14.4">
      <c r="A10031" s="11"/>
    </row>
    <row r="10032" spans="1:1" ht="14.4">
      <c r="A10032" s="11"/>
    </row>
    <row r="10033" spans="1:1" ht="14.4">
      <c r="A10033" s="11"/>
    </row>
    <row r="10034" spans="1:1" ht="14.4">
      <c r="A10034" s="11"/>
    </row>
    <row r="10035" spans="1:1" ht="14.4">
      <c r="A10035" s="11"/>
    </row>
    <row r="10036" spans="1:1" ht="14.4">
      <c r="A10036" s="11"/>
    </row>
    <row r="10037" spans="1:1" ht="14.4">
      <c r="A10037" s="11"/>
    </row>
    <row r="10038" spans="1:1" ht="14.4">
      <c r="A10038" s="11"/>
    </row>
    <row r="10039" spans="1:1" ht="14.4">
      <c r="A10039" s="11"/>
    </row>
    <row r="10040" spans="1:1" ht="14.4">
      <c r="A10040" s="11"/>
    </row>
    <row r="10041" spans="1:1" ht="14.4">
      <c r="A10041" s="11"/>
    </row>
    <row r="10042" spans="1:1" ht="14.4">
      <c r="A10042" s="11"/>
    </row>
    <row r="10043" spans="1:1" ht="14.4">
      <c r="A10043" s="11"/>
    </row>
    <row r="10044" spans="1:1" ht="14.4">
      <c r="A10044" s="11"/>
    </row>
    <row r="10045" spans="1:1" ht="14.4">
      <c r="A10045" s="11"/>
    </row>
    <row r="10046" spans="1:1" ht="14.4">
      <c r="A10046" s="11"/>
    </row>
    <row r="10047" spans="1:1" ht="14.4">
      <c r="A10047" s="11"/>
    </row>
    <row r="10048" spans="1:1" ht="14.4">
      <c r="A10048" s="11"/>
    </row>
    <row r="10049" spans="1:1" ht="14.4">
      <c r="A10049" s="11"/>
    </row>
    <row r="10050" spans="1:1" ht="14.4">
      <c r="A10050" s="11"/>
    </row>
    <row r="10051" spans="1:1" ht="14.4">
      <c r="A10051" s="11"/>
    </row>
    <row r="10052" spans="1:1" ht="14.4">
      <c r="A10052" s="11"/>
    </row>
    <row r="10053" spans="1:1" ht="14.4">
      <c r="A10053" s="11"/>
    </row>
    <row r="10054" spans="1:1" ht="14.4">
      <c r="A10054" s="11"/>
    </row>
    <row r="10055" spans="1:1" ht="14.4">
      <c r="A10055" s="11"/>
    </row>
    <row r="10056" spans="1:1" ht="14.4">
      <c r="A10056" s="11"/>
    </row>
    <row r="10057" spans="1:1" ht="14.4">
      <c r="A10057" s="11"/>
    </row>
    <row r="10058" spans="1:1" ht="14.4">
      <c r="A10058" s="11"/>
    </row>
    <row r="10059" spans="1:1" ht="14.4">
      <c r="A10059" s="11"/>
    </row>
    <row r="10060" spans="1:1" ht="14.4">
      <c r="A10060" s="11"/>
    </row>
    <row r="10061" spans="1:1" ht="14.4">
      <c r="A10061" s="11"/>
    </row>
    <row r="10062" spans="1:1" ht="14.4">
      <c r="A10062" s="11"/>
    </row>
    <row r="10063" spans="1:1" ht="14.4">
      <c r="A10063" s="11"/>
    </row>
    <row r="10064" spans="1:1" ht="14.4">
      <c r="A10064" s="11"/>
    </row>
    <row r="10065" spans="1:1" ht="14.4">
      <c r="A10065" s="11"/>
    </row>
    <row r="10066" spans="1:1" ht="14.4">
      <c r="A10066" s="11"/>
    </row>
    <row r="10067" spans="1:1" ht="14.4">
      <c r="A10067" s="11"/>
    </row>
    <row r="10068" spans="1:1" ht="14.4">
      <c r="A10068" s="11"/>
    </row>
    <row r="10069" spans="1:1" ht="14.4">
      <c r="A10069" s="11"/>
    </row>
    <row r="10070" spans="1:1" ht="14.4">
      <c r="A10070" s="11"/>
    </row>
    <row r="10071" spans="1:1" ht="14.4">
      <c r="A10071" s="11"/>
    </row>
    <row r="10072" spans="1:1" ht="14.4">
      <c r="A10072" s="11"/>
    </row>
    <row r="10073" spans="1:1" ht="14.4">
      <c r="A10073" s="11"/>
    </row>
    <row r="10074" spans="1:1" ht="14.4">
      <c r="A10074" s="11"/>
    </row>
    <row r="10075" spans="1:1" ht="14.4">
      <c r="A10075" s="11"/>
    </row>
    <row r="10076" spans="1:1" ht="14.4">
      <c r="A10076" s="11"/>
    </row>
    <row r="10077" spans="1:1" ht="14.4">
      <c r="A10077" s="11"/>
    </row>
    <row r="10078" spans="1:1" ht="14.4">
      <c r="A10078" s="11"/>
    </row>
    <row r="10079" spans="1:1" ht="14.4">
      <c r="A10079" s="11"/>
    </row>
    <row r="10080" spans="1:1" ht="14.4">
      <c r="A10080" s="11"/>
    </row>
    <row r="10081" spans="1:1" ht="14.4">
      <c r="A10081" s="11"/>
    </row>
    <row r="10082" spans="1:1" ht="14.4">
      <c r="A10082" s="11"/>
    </row>
    <row r="10083" spans="1:1" ht="14.4">
      <c r="A10083" s="11"/>
    </row>
    <row r="10084" spans="1:1" ht="14.4">
      <c r="A10084" s="11"/>
    </row>
    <row r="10085" spans="1:1" ht="14.4">
      <c r="A10085" s="11"/>
    </row>
    <row r="10086" spans="1:1" ht="14.4">
      <c r="A10086" s="11"/>
    </row>
    <row r="10087" spans="1:1" ht="14.4">
      <c r="A10087" s="11"/>
    </row>
    <row r="10088" spans="1:1" ht="14.4">
      <c r="A10088" s="11"/>
    </row>
    <row r="10089" spans="1:1" ht="14.4">
      <c r="A10089" s="11"/>
    </row>
    <row r="10090" spans="1:1" ht="14.4">
      <c r="A10090" s="11"/>
    </row>
    <row r="10091" spans="1:1" ht="14.4">
      <c r="A10091" s="11"/>
    </row>
    <row r="10092" spans="1:1" ht="14.4">
      <c r="A10092" s="11"/>
    </row>
    <row r="10093" spans="1:1" ht="14.4">
      <c r="A10093" s="11"/>
    </row>
    <row r="10094" spans="1:1" ht="14.4">
      <c r="A10094" s="11"/>
    </row>
    <row r="10095" spans="1:1" ht="14.4">
      <c r="A10095" s="11"/>
    </row>
    <row r="10096" spans="1:1" ht="14.4">
      <c r="A10096" s="11"/>
    </row>
    <row r="10097" spans="1:1" ht="14.4">
      <c r="A10097" s="11"/>
    </row>
    <row r="10098" spans="1:1" ht="14.4">
      <c r="A10098" s="11"/>
    </row>
    <row r="10099" spans="1:1" ht="14.4">
      <c r="A10099" s="11"/>
    </row>
    <row r="10100" spans="1:1" ht="14.4">
      <c r="A10100" s="11"/>
    </row>
    <row r="10101" spans="1:1" ht="14.4">
      <c r="A10101" s="11"/>
    </row>
    <row r="10102" spans="1:1" ht="14.4">
      <c r="A10102" s="11"/>
    </row>
    <row r="10103" spans="1:1" ht="14.4">
      <c r="A10103" s="11"/>
    </row>
    <row r="10104" spans="1:1" ht="14.4">
      <c r="A10104" s="11"/>
    </row>
    <row r="10105" spans="1:1" ht="14.4">
      <c r="A10105" s="11"/>
    </row>
    <row r="10106" spans="1:1" ht="14.4">
      <c r="A10106" s="11"/>
    </row>
    <row r="10107" spans="1:1" ht="14.4">
      <c r="A10107" s="11"/>
    </row>
    <row r="10108" spans="1:1" ht="14.4">
      <c r="A10108" s="11"/>
    </row>
    <row r="10109" spans="1:1" ht="14.4">
      <c r="A10109" s="11"/>
    </row>
    <row r="10110" spans="1:1" ht="14.4">
      <c r="A10110" s="11"/>
    </row>
    <row r="10111" spans="1:1" ht="14.4">
      <c r="A10111" s="11"/>
    </row>
    <row r="10112" spans="1:1" ht="14.4">
      <c r="A10112" s="11"/>
    </row>
    <row r="10113" spans="1:1" ht="14.4">
      <c r="A10113" s="11"/>
    </row>
    <row r="10114" spans="1:1" ht="14.4">
      <c r="A10114" s="11"/>
    </row>
    <row r="10115" spans="1:1" ht="14.4">
      <c r="A10115" s="11"/>
    </row>
    <row r="10116" spans="1:1" ht="14.4">
      <c r="A10116" s="11"/>
    </row>
    <row r="10117" spans="1:1" ht="14.4">
      <c r="A10117" s="11"/>
    </row>
    <row r="10118" spans="1:1" ht="14.4">
      <c r="A10118" s="11"/>
    </row>
    <row r="10119" spans="1:1" ht="14.4">
      <c r="A10119" s="11"/>
    </row>
    <row r="10120" spans="1:1" ht="14.4">
      <c r="A10120" s="11"/>
    </row>
    <row r="10121" spans="1:1" ht="14.4">
      <c r="A10121" s="11"/>
    </row>
    <row r="10122" spans="1:1" ht="14.4">
      <c r="A10122" s="11"/>
    </row>
    <row r="10123" spans="1:1" ht="14.4">
      <c r="A10123" s="11"/>
    </row>
    <row r="10124" spans="1:1" ht="14.4">
      <c r="A10124" s="11"/>
    </row>
    <row r="10125" spans="1:1" ht="14.4">
      <c r="A10125" s="11"/>
    </row>
    <row r="10126" spans="1:1" ht="14.4">
      <c r="A10126" s="11"/>
    </row>
    <row r="10127" spans="1:1" ht="14.4">
      <c r="A10127" s="11"/>
    </row>
    <row r="10128" spans="1:1" ht="14.4">
      <c r="A10128" s="11"/>
    </row>
    <row r="10129" spans="1:1" ht="14.4">
      <c r="A10129" s="11"/>
    </row>
    <row r="10130" spans="1:1" ht="14.4">
      <c r="A10130" s="11"/>
    </row>
    <row r="10131" spans="1:1" ht="14.4">
      <c r="A10131" s="11"/>
    </row>
    <row r="10132" spans="1:1" ht="14.4">
      <c r="A10132" s="11"/>
    </row>
    <row r="10133" spans="1:1" ht="14.4">
      <c r="A10133" s="11"/>
    </row>
    <row r="10134" spans="1:1" ht="14.4">
      <c r="A10134" s="11"/>
    </row>
    <row r="10135" spans="1:1" ht="14.4">
      <c r="A10135" s="11"/>
    </row>
    <row r="10136" spans="1:1" ht="14.4">
      <c r="A10136" s="11"/>
    </row>
    <row r="10137" spans="1:1" ht="14.4">
      <c r="A10137" s="11"/>
    </row>
    <row r="10138" spans="1:1" ht="14.4">
      <c r="A10138" s="11"/>
    </row>
    <row r="10139" spans="1:1" ht="14.4">
      <c r="A10139" s="11"/>
    </row>
    <row r="10140" spans="1:1" ht="14.4">
      <c r="A10140" s="11"/>
    </row>
    <row r="10141" spans="1:1" ht="14.4">
      <c r="A10141" s="11"/>
    </row>
    <row r="10142" spans="1:1" ht="14.4">
      <c r="A10142" s="11"/>
    </row>
    <row r="10143" spans="1:1" ht="14.4">
      <c r="A10143" s="11"/>
    </row>
    <row r="10144" spans="1:1" ht="14.4">
      <c r="A10144" s="11"/>
    </row>
    <row r="10145" spans="1:1" ht="14.4">
      <c r="A10145" s="11"/>
    </row>
    <row r="10146" spans="1:1" ht="14.4">
      <c r="A10146" s="11"/>
    </row>
    <row r="10147" spans="1:1" ht="14.4">
      <c r="A10147" s="11"/>
    </row>
    <row r="10148" spans="1:1" ht="14.4">
      <c r="A10148" s="11"/>
    </row>
    <row r="10149" spans="1:1" ht="14.4">
      <c r="A10149" s="11"/>
    </row>
    <row r="10150" spans="1:1" ht="14.4">
      <c r="A10150" s="11"/>
    </row>
    <row r="10151" spans="1:1" ht="14.4">
      <c r="A10151" s="11"/>
    </row>
    <row r="10152" spans="1:1" ht="14.4">
      <c r="A10152" s="11"/>
    </row>
    <row r="10153" spans="1:1" ht="14.4">
      <c r="A10153" s="11"/>
    </row>
    <row r="10154" spans="1:1" ht="14.4">
      <c r="A10154" s="11"/>
    </row>
    <row r="10155" spans="1:1" ht="14.4">
      <c r="A10155" s="11"/>
    </row>
    <row r="10156" spans="1:1" ht="14.4">
      <c r="A10156" s="11"/>
    </row>
    <row r="10157" spans="1:1" ht="14.4">
      <c r="A10157" s="11"/>
    </row>
    <row r="10158" spans="1:1" ht="14.4">
      <c r="A10158" s="11"/>
    </row>
    <row r="10159" spans="1:1" ht="14.4">
      <c r="A10159" s="11"/>
    </row>
    <row r="10160" spans="1:1" ht="14.4">
      <c r="A10160" s="11"/>
    </row>
    <row r="10161" spans="1:1" ht="14.4">
      <c r="A10161" s="11"/>
    </row>
    <row r="10162" spans="1:1" ht="14.4">
      <c r="A10162" s="11"/>
    </row>
    <row r="10163" spans="1:1" ht="14.4">
      <c r="A10163" s="11"/>
    </row>
    <row r="10164" spans="1:1" ht="14.4">
      <c r="A10164" s="11"/>
    </row>
    <row r="10165" spans="1:1" ht="14.4">
      <c r="A10165" s="11"/>
    </row>
    <row r="10166" spans="1:1" ht="14.4">
      <c r="A10166" s="11"/>
    </row>
    <row r="10167" spans="1:1" ht="14.4">
      <c r="A10167" s="11"/>
    </row>
    <row r="10168" spans="1:1" ht="14.4">
      <c r="A10168" s="11"/>
    </row>
    <row r="10169" spans="1:1" ht="14.4">
      <c r="A10169" s="11"/>
    </row>
    <row r="10170" spans="1:1" ht="14.4">
      <c r="A10170" s="11"/>
    </row>
    <row r="10171" spans="1:1" ht="14.4">
      <c r="A10171" s="11"/>
    </row>
    <row r="10172" spans="1:1" ht="14.4">
      <c r="A10172" s="11"/>
    </row>
    <row r="10173" spans="1:1" ht="14.4">
      <c r="A10173" s="11"/>
    </row>
    <row r="10174" spans="1:1" ht="14.4">
      <c r="A10174" s="11"/>
    </row>
    <row r="10175" spans="1:1" ht="14.4">
      <c r="A10175" s="11"/>
    </row>
    <row r="10176" spans="1:1" ht="14.4">
      <c r="A10176" s="11"/>
    </row>
    <row r="10177" spans="1:1" ht="14.4">
      <c r="A10177" s="11"/>
    </row>
    <row r="10178" spans="1:1" ht="14.4">
      <c r="A10178" s="11"/>
    </row>
    <row r="10179" spans="1:1" ht="14.4">
      <c r="A10179" s="11"/>
    </row>
    <row r="10180" spans="1:1" ht="14.4">
      <c r="A10180" s="11"/>
    </row>
    <row r="10181" spans="1:1" ht="14.4">
      <c r="A10181" s="11"/>
    </row>
    <row r="10182" spans="1:1" ht="14.4">
      <c r="A10182" s="11"/>
    </row>
    <row r="10183" spans="1:1" ht="14.4">
      <c r="A10183" s="11"/>
    </row>
    <row r="10184" spans="1:1" ht="14.4">
      <c r="A10184" s="11"/>
    </row>
    <row r="10185" spans="1:1" ht="14.4">
      <c r="A10185" s="11"/>
    </row>
    <row r="10186" spans="1:1" ht="14.4">
      <c r="A10186" s="11"/>
    </row>
    <row r="10187" spans="1:1" ht="14.4">
      <c r="A10187" s="11"/>
    </row>
    <row r="10188" spans="1:1" ht="14.4">
      <c r="A10188" s="11"/>
    </row>
    <row r="10189" spans="1:1" ht="14.4">
      <c r="A10189" s="11"/>
    </row>
    <row r="10190" spans="1:1" ht="14.4">
      <c r="A10190" s="11"/>
    </row>
    <row r="10191" spans="1:1" ht="14.4">
      <c r="A10191" s="11"/>
    </row>
    <row r="10192" spans="1:1" ht="14.4">
      <c r="A10192" s="11"/>
    </row>
    <row r="10193" spans="1:1" ht="14.4">
      <c r="A10193" s="11"/>
    </row>
    <row r="10194" spans="1:1" ht="14.4">
      <c r="A10194" s="11"/>
    </row>
    <row r="10195" spans="1:1" ht="14.4">
      <c r="A10195" s="11"/>
    </row>
    <row r="10196" spans="1:1" ht="14.4">
      <c r="A10196" s="11"/>
    </row>
    <row r="10197" spans="1:1" ht="14.4">
      <c r="A10197" s="11"/>
    </row>
    <row r="10198" spans="1:1" ht="14.4">
      <c r="A10198" s="11"/>
    </row>
    <row r="10199" spans="1:1" ht="14.4">
      <c r="A10199" s="11"/>
    </row>
    <row r="10200" spans="1:1" ht="14.4">
      <c r="A10200" s="11"/>
    </row>
    <row r="10201" spans="1:1" ht="14.4">
      <c r="A10201" s="11"/>
    </row>
    <row r="10202" spans="1:1" ht="14.4">
      <c r="A10202" s="11"/>
    </row>
    <row r="10203" spans="1:1" ht="14.4">
      <c r="A10203" s="11"/>
    </row>
    <row r="10204" spans="1:1" ht="14.4">
      <c r="A10204" s="11"/>
    </row>
    <row r="10205" spans="1:1" ht="14.4">
      <c r="A10205" s="11"/>
    </row>
    <row r="10206" spans="1:1" ht="14.4">
      <c r="A10206" s="11"/>
    </row>
    <row r="10207" spans="1:1" ht="14.4">
      <c r="A10207" s="11"/>
    </row>
    <row r="10208" spans="1:1" ht="14.4">
      <c r="A10208" s="11"/>
    </row>
    <row r="10209" spans="1:1" ht="14.4">
      <c r="A10209" s="11"/>
    </row>
    <row r="10210" spans="1:1" ht="14.4">
      <c r="A10210" s="11"/>
    </row>
    <row r="10211" spans="1:1" ht="14.4">
      <c r="A10211" s="11"/>
    </row>
    <row r="10212" spans="1:1" ht="14.4">
      <c r="A10212" s="11"/>
    </row>
    <row r="10213" spans="1:1" ht="14.4">
      <c r="A10213" s="11"/>
    </row>
    <row r="10214" spans="1:1" ht="14.4">
      <c r="A10214" s="11"/>
    </row>
    <row r="10215" spans="1:1" ht="14.4">
      <c r="A10215" s="11"/>
    </row>
    <row r="10216" spans="1:1" ht="14.4">
      <c r="A10216" s="11"/>
    </row>
    <row r="10217" spans="1:1" ht="14.4">
      <c r="A10217" s="11"/>
    </row>
    <row r="10218" spans="1:1" ht="14.4">
      <c r="A10218" s="11"/>
    </row>
    <row r="10219" spans="1:1" ht="14.4">
      <c r="A10219" s="11"/>
    </row>
    <row r="10220" spans="1:1" ht="14.4">
      <c r="A10220" s="11"/>
    </row>
    <row r="10221" spans="1:1" ht="14.4">
      <c r="A10221" s="11"/>
    </row>
    <row r="10222" spans="1:1" ht="14.4">
      <c r="A10222" s="11"/>
    </row>
    <row r="10223" spans="1:1" ht="14.4">
      <c r="A10223" s="11"/>
    </row>
    <row r="10224" spans="1:1" ht="14.4">
      <c r="A10224" s="11"/>
    </row>
    <row r="10225" spans="1:1" ht="14.4">
      <c r="A10225" s="11"/>
    </row>
    <row r="10226" spans="1:1" ht="14.4">
      <c r="A10226" s="11"/>
    </row>
    <row r="10227" spans="1:1" ht="14.4">
      <c r="A10227" s="11"/>
    </row>
    <row r="10228" spans="1:1" ht="14.4">
      <c r="A10228" s="11"/>
    </row>
    <row r="10229" spans="1:1" ht="14.4">
      <c r="A10229" s="11"/>
    </row>
    <row r="10230" spans="1:1" ht="14.4">
      <c r="A10230" s="11"/>
    </row>
    <row r="10231" spans="1:1" ht="14.4">
      <c r="A10231" s="11"/>
    </row>
    <row r="10232" spans="1:1" ht="14.4">
      <c r="A10232" s="11"/>
    </row>
    <row r="10233" spans="1:1" ht="14.4">
      <c r="A10233" s="11"/>
    </row>
    <row r="10234" spans="1:1" ht="14.4">
      <c r="A10234" s="11"/>
    </row>
    <row r="10235" spans="1:1" ht="14.4">
      <c r="A10235" s="11"/>
    </row>
    <row r="10236" spans="1:1" ht="14.4">
      <c r="A10236" s="11"/>
    </row>
    <row r="10237" spans="1:1" ht="14.4">
      <c r="A10237" s="11"/>
    </row>
    <row r="10238" spans="1:1" ht="14.4">
      <c r="A10238" s="11"/>
    </row>
    <row r="10239" spans="1:1" ht="14.4">
      <c r="A10239" s="11"/>
    </row>
    <row r="10240" spans="1:1" ht="14.4">
      <c r="A10240" s="11"/>
    </row>
    <row r="10241" spans="1:1" ht="14.4">
      <c r="A10241" s="11"/>
    </row>
    <row r="10242" spans="1:1" ht="14.4">
      <c r="A10242" s="11"/>
    </row>
    <row r="10243" spans="1:1" ht="14.4">
      <c r="A10243" s="11"/>
    </row>
    <row r="10244" spans="1:1" ht="14.4">
      <c r="A10244" s="11"/>
    </row>
    <row r="10245" spans="1:1" ht="14.4">
      <c r="A10245" s="11"/>
    </row>
    <row r="10246" spans="1:1" ht="14.4">
      <c r="A10246" s="11"/>
    </row>
    <row r="10247" spans="1:1" ht="14.4">
      <c r="A10247" s="11"/>
    </row>
    <row r="10248" spans="1:1" ht="14.4">
      <c r="A10248" s="11"/>
    </row>
    <row r="10249" spans="1:1" ht="14.4">
      <c r="A10249" s="11"/>
    </row>
    <row r="10250" spans="1:1" ht="14.4">
      <c r="A10250" s="11"/>
    </row>
    <row r="10251" spans="1:1" ht="14.4">
      <c r="A10251" s="11"/>
    </row>
    <row r="10252" spans="1:1" ht="14.4">
      <c r="A10252" s="11"/>
    </row>
    <row r="10253" spans="1:1" ht="14.4">
      <c r="A10253" s="11"/>
    </row>
    <row r="10254" spans="1:1" ht="14.4">
      <c r="A10254" s="11"/>
    </row>
    <row r="10255" spans="1:1" ht="14.4">
      <c r="A10255" s="11"/>
    </row>
    <row r="10256" spans="1:1" ht="14.4">
      <c r="A10256" s="11"/>
    </row>
    <row r="10257" spans="1:1" ht="14.4">
      <c r="A10257" s="11"/>
    </row>
    <row r="10258" spans="1:1" ht="14.4">
      <c r="A10258" s="11"/>
    </row>
    <row r="10259" spans="1:1" ht="14.4">
      <c r="A10259" s="11"/>
    </row>
    <row r="10260" spans="1:1" ht="14.4">
      <c r="A10260" s="11"/>
    </row>
    <row r="10261" spans="1:1" ht="14.4">
      <c r="A10261" s="11"/>
    </row>
    <row r="10262" spans="1:1" ht="14.4">
      <c r="A10262" s="11"/>
    </row>
    <row r="10263" spans="1:1" ht="14.4">
      <c r="A10263" s="11"/>
    </row>
    <row r="10264" spans="1:1" ht="14.4">
      <c r="A10264" s="11"/>
    </row>
    <row r="10265" spans="1:1" ht="14.4">
      <c r="A10265" s="11"/>
    </row>
    <row r="10266" spans="1:1" ht="14.4">
      <c r="A10266" s="11"/>
    </row>
    <row r="10267" spans="1:1" ht="14.4">
      <c r="A10267" s="11"/>
    </row>
    <row r="10268" spans="1:1" ht="14.4">
      <c r="A10268" s="11"/>
    </row>
    <row r="10269" spans="1:1" ht="14.4">
      <c r="A10269" s="11"/>
    </row>
    <row r="10270" spans="1:1" ht="14.4">
      <c r="A10270" s="11"/>
    </row>
    <row r="10271" spans="1:1" ht="14.4">
      <c r="A10271" s="11"/>
    </row>
    <row r="10272" spans="1:1" ht="14.4">
      <c r="A10272" s="11"/>
    </row>
    <row r="10273" spans="1:1" ht="14.4">
      <c r="A10273" s="11"/>
    </row>
    <row r="10274" spans="1:1" ht="14.4">
      <c r="A10274" s="11"/>
    </row>
    <row r="10275" spans="1:1" ht="14.4">
      <c r="A10275" s="11"/>
    </row>
    <row r="10276" spans="1:1" ht="14.4">
      <c r="A10276" s="11"/>
    </row>
    <row r="10277" spans="1:1" ht="14.4">
      <c r="A10277" s="11"/>
    </row>
    <row r="10278" spans="1:1" ht="14.4">
      <c r="A10278" s="11"/>
    </row>
    <row r="10279" spans="1:1" ht="14.4">
      <c r="A10279" s="11"/>
    </row>
    <row r="10280" spans="1:1" ht="14.4">
      <c r="A10280" s="11"/>
    </row>
    <row r="10281" spans="1:1" ht="14.4">
      <c r="A10281" s="11"/>
    </row>
    <row r="10282" spans="1:1" ht="14.4">
      <c r="A10282" s="11"/>
    </row>
    <row r="10283" spans="1:1" ht="14.4">
      <c r="A10283" s="11"/>
    </row>
    <row r="10284" spans="1:1" ht="14.4">
      <c r="A10284" s="11"/>
    </row>
    <row r="10285" spans="1:1" ht="14.4">
      <c r="A10285" s="11"/>
    </row>
    <row r="10286" spans="1:1" ht="14.4">
      <c r="A10286" s="11"/>
    </row>
    <row r="10287" spans="1:1" ht="14.4">
      <c r="A10287" s="11"/>
    </row>
    <row r="10288" spans="1:1" ht="14.4">
      <c r="A10288" s="11"/>
    </row>
    <row r="10289" spans="1:1" ht="14.4">
      <c r="A10289" s="11"/>
    </row>
    <row r="10290" spans="1:1" ht="14.4">
      <c r="A10290" s="11"/>
    </row>
    <row r="10291" spans="1:1" ht="14.4">
      <c r="A10291" s="11"/>
    </row>
    <row r="10292" spans="1:1" ht="14.4">
      <c r="A10292" s="11"/>
    </row>
    <row r="10293" spans="1:1" ht="14.4">
      <c r="A10293" s="11"/>
    </row>
    <row r="10294" spans="1:1" ht="14.4">
      <c r="A10294" s="11"/>
    </row>
    <row r="10295" spans="1:1" ht="14.4">
      <c r="A10295" s="11"/>
    </row>
    <row r="10296" spans="1:1" ht="14.4">
      <c r="A10296" s="11"/>
    </row>
    <row r="10297" spans="1:1" ht="14.4">
      <c r="A10297" s="11"/>
    </row>
    <row r="10298" spans="1:1" ht="14.4">
      <c r="A10298" s="11"/>
    </row>
    <row r="10299" spans="1:1" ht="14.4">
      <c r="A10299" s="11"/>
    </row>
    <row r="10300" spans="1:1" ht="14.4">
      <c r="A10300" s="11"/>
    </row>
    <row r="10301" spans="1:1" ht="14.4">
      <c r="A10301" s="11"/>
    </row>
    <row r="10302" spans="1:1" ht="14.4">
      <c r="A10302" s="11"/>
    </row>
    <row r="10303" spans="1:1" ht="14.4">
      <c r="A10303" s="11"/>
    </row>
    <row r="10304" spans="1:1" ht="14.4">
      <c r="A10304" s="11"/>
    </row>
    <row r="10305" spans="1:1" ht="14.4">
      <c r="A10305" s="11"/>
    </row>
    <row r="10306" spans="1:1" ht="14.4">
      <c r="A10306" s="11"/>
    </row>
    <row r="10307" spans="1:1" ht="14.4">
      <c r="A10307" s="11"/>
    </row>
    <row r="10308" spans="1:1" ht="14.4">
      <c r="A10308" s="11"/>
    </row>
    <row r="10309" spans="1:1" ht="14.4">
      <c r="A10309" s="11"/>
    </row>
    <row r="10310" spans="1:1" ht="14.4">
      <c r="A10310" s="11"/>
    </row>
    <row r="10311" spans="1:1" ht="14.4">
      <c r="A10311" s="11"/>
    </row>
    <row r="10312" spans="1:1" ht="14.4">
      <c r="A10312" s="11"/>
    </row>
    <row r="10313" spans="1:1" ht="14.4">
      <c r="A10313" s="11"/>
    </row>
    <row r="10314" spans="1:1" ht="14.4">
      <c r="A10314" s="11"/>
    </row>
    <row r="10315" spans="1:1" ht="14.4">
      <c r="A10315" s="11"/>
    </row>
    <row r="10316" spans="1:1" ht="14.4">
      <c r="A10316" s="11"/>
    </row>
    <row r="10317" spans="1:1" ht="14.4">
      <c r="A10317" s="11"/>
    </row>
    <row r="10318" spans="1:1" ht="14.4">
      <c r="A10318" s="11"/>
    </row>
    <row r="10319" spans="1:1" ht="14.4">
      <c r="A10319" s="11"/>
    </row>
    <row r="10320" spans="1:1" ht="14.4">
      <c r="A10320" s="11"/>
    </row>
    <row r="10321" spans="1:1" ht="14.4">
      <c r="A10321" s="11"/>
    </row>
    <row r="10322" spans="1:1" ht="14.4">
      <c r="A10322" s="11"/>
    </row>
    <row r="10323" spans="1:1" ht="14.4">
      <c r="A10323" s="11"/>
    </row>
    <row r="10324" spans="1:1" ht="14.4">
      <c r="A10324" s="11"/>
    </row>
    <row r="10325" spans="1:1" ht="14.4">
      <c r="A10325" s="11"/>
    </row>
    <row r="10326" spans="1:1" ht="14.4">
      <c r="A10326" s="11"/>
    </row>
    <row r="10327" spans="1:1" ht="14.4">
      <c r="A10327" s="11"/>
    </row>
    <row r="10328" spans="1:1" ht="14.4">
      <c r="A10328" s="11"/>
    </row>
    <row r="10329" spans="1:1" ht="14.4">
      <c r="A10329" s="11"/>
    </row>
    <row r="10330" spans="1:1" ht="14.4">
      <c r="A10330" s="11"/>
    </row>
    <row r="10331" spans="1:1" ht="14.4">
      <c r="A10331" s="11"/>
    </row>
    <row r="10332" spans="1:1" ht="14.4">
      <c r="A10332" s="11"/>
    </row>
    <row r="10333" spans="1:1" ht="14.4">
      <c r="A10333" s="11"/>
    </row>
    <row r="10334" spans="1:1" ht="14.4">
      <c r="A10334" s="11"/>
    </row>
    <row r="10335" spans="1:1" ht="14.4">
      <c r="A10335" s="11"/>
    </row>
    <row r="10336" spans="1:1" ht="14.4">
      <c r="A10336" s="11"/>
    </row>
    <row r="10337" spans="1:1" ht="14.4">
      <c r="A10337" s="11"/>
    </row>
    <row r="10338" spans="1:1" ht="14.4">
      <c r="A10338" s="11"/>
    </row>
    <row r="10339" spans="1:1" ht="14.4">
      <c r="A10339" s="11"/>
    </row>
    <row r="10340" spans="1:1" ht="14.4">
      <c r="A10340" s="11"/>
    </row>
    <row r="10341" spans="1:1" ht="14.4">
      <c r="A10341" s="11"/>
    </row>
    <row r="10342" spans="1:1" ht="14.4">
      <c r="A10342" s="11"/>
    </row>
    <row r="10343" spans="1:1" ht="14.4">
      <c r="A10343" s="11"/>
    </row>
    <row r="10344" spans="1:1" ht="14.4">
      <c r="A10344" s="11"/>
    </row>
    <row r="10345" spans="1:1" ht="14.4">
      <c r="A10345" s="11"/>
    </row>
    <row r="10346" spans="1:1" ht="14.4">
      <c r="A10346" s="11"/>
    </row>
    <row r="10347" spans="1:1" ht="14.4">
      <c r="A10347" s="11"/>
    </row>
    <row r="10348" spans="1:1" ht="14.4">
      <c r="A10348" s="11"/>
    </row>
    <row r="10349" spans="1:1" ht="14.4">
      <c r="A10349" s="11"/>
    </row>
    <row r="10350" spans="1:1" ht="14.4">
      <c r="A10350" s="11"/>
    </row>
    <row r="10351" spans="1:1" ht="14.4">
      <c r="A10351" s="11"/>
    </row>
    <row r="10352" spans="1:1" ht="14.4">
      <c r="A10352" s="11"/>
    </row>
    <row r="10353" spans="1:1" ht="14.4">
      <c r="A10353" s="11"/>
    </row>
    <row r="10354" spans="1:1" ht="14.4">
      <c r="A10354" s="11"/>
    </row>
    <row r="10355" spans="1:1" ht="14.4">
      <c r="A10355" s="11"/>
    </row>
    <row r="10356" spans="1:1" ht="14.4">
      <c r="A10356" s="11"/>
    </row>
    <row r="10357" spans="1:1" ht="14.4">
      <c r="A10357" s="11"/>
    </row>
    <row r="10358" spans="1:1" ht="14.4">
      <c r="A10358" s="11"/>
    </row>
    <row r="10359" spans="1:1" ht="14.4">
      <c r="A10359" s="11"/>
    </row>
    <row r="10360" spans="1:1" ht="14.4">
      <c r="A10360" s="11"/>
    </row>
    <row r="10361" spans="1:1" ht="14.4">
      <c r="A10361" s="11"/>
    </row>
    <row r="10362" spans="1:1" ht="14.4">
      <c r="A10362" s="11"/>
    </row>
    <row r="10363" spans="1:1" ht="14.4">
      <c r="A10363" s="11"/>
    </row>
    <row r="10364" spans="1:1" ht="14.4">
      <c r="A10364" s="11"/>
    </row>
    <row r="10365" spans="1:1" ht="14.4">
      <c r="A10365" s="11"/>
    </row>
    <row r="10366" spans="1:1" ht="14.4">
      <c r="A10366" s="11"/>
    </row>
    <row r="10367" spans="1:1" ht="14.4">
      <c r="A10367" s="11"/>
    </row>
    <row r="10368" spans="1:1" ht="14.4">
      <c r="A10368" s="11"/>
    </row>
    <row r="10369" spans="1:1" ht="14.4">
      <c r="A10369" s="11"/>
    </row>
    <row r="10370" spans="1:1" ht="14.4">
      <c r="A10370" s="11"/>
    </row>
    <row r="10371" spans="1:1" ht="14.4">
      <c r="A10371" s="11"/>
    </row>
    <row r="10372" spans="1:1" ht="14.4">
      <c r="A10372" s="11"/>
    </row>
    <row r="10373" spans="1:1" ht="14.4">
      <c r="A10373" s="11"/>
    </row>
    <row r="10374" spans="1:1" ht="14.4">
      <c r="A10374" s="11"/>
    </row>
    <row r="10375" spans="1:1" ht="14.4">
      <c r="A10375" s="11"/>
    </row>
    <row r="10376" spans="1:1" ht="14.4">
      <c r="A10376" s="11"/>
    </row>
    <row r="10377" spans="1:1" ht="14.4">
      <c r="A10377" s="11"/>
    </row>
    <row r="10378" spans="1:1" ht="14.4">
      <c r="A10378" s="11"/>
    </row>
    <row r="10379" spans="1:1" ht="14.4">
      <c r="A10379" s="11"/>
    </row>
    <row r="10380" spans="1:1" ht="14.4">
      <c r="A10380" s="11"/>
    </row>
    <row r="10381" spans="1:1" ht="14.4">
      <c r="A10381" s="11"/>
    </row>
    <row r="10382" spans="1:1" ht="14.4">
      <c r="A10382" s="11"/>
    </row>
    <row r="10383" spans="1:1" ht="14.4">
      <c r="A10383" s="11"/>
    </row>
    <row r="10384" spans="1:1" ht="14.4">
      <c r="A10384" s="11"/>
    </row>
    <row r="10385" spans="1:1" ht="14.4">
      <c r="A10385" s="11"/>
    </row>
    <row r="10386" spans="1:1" ht="14.4">
      <c r="A10386" s="11"/>
    </row>
    <row r="10387" spans="1:1" ht="14.4">
      <c r="A10387" s="11"/>
    </row>
    <row r="10388" spans="1:1" ht="14.4">
      <c r="A10388" s="11"/>
    </row>
    <row r="10389" spans="1:1" ht="14.4">
      <c r="A10389" s="11"/>
    </row>
    <row r="10390" spans="1:1" ht="14.4">
      <c r="A10390" s="11"/>
    </row>
    <row r="10391" spans="1:1" ht="14.4">
      <c r="A10391" s="11"/>
    </row>
    <row r="10392" spans="1:1" ht="14.4">
      <c r="A10392" s="11"/>
    </row>
    <row r="10393" spans="1:1" ht="14.4">
      <c r="A10393" s="11"/>
    </row>
    <row r="10394" spans="1:1" ht="14.4">
      <c r="A10394" s="11"/>
    </row>
    <row r="10395" spans="1:1" ht="14.4">
      <c r="A10395" s="11"/>
    </row>
    <row r="10396" spans="1:1" ht="14.4">
      <c r="A10396" s="11"/>
    </row>
    <row r="10397" spans="1:1" ht="14.4">
      <c r="A10397" s="11"/>
    </row>
    <row r="10398" spans="1:1" ht="14.4">
      <c r="A10398" s="11"/>
    </row>
    <row r="10399" spans="1:1" ht="14.4">
      <c r="A10399" s="11"/>
    </row>
    <row r="10400" spans="1:1" ht="14.4">
      <c r="A10400" s="11"/>
    </row>
    <row r="10401" spans="1:1" ht="14.4">
      <c r="A10401" s="11"/>
    </row>
    <row r="10402" spans="1:1" ht="14.4">
      <c r="A10402" s="11"/>
    </row>
    <row r="10403" spans="1:1" ht="14.4">
      <c r="A10403" s="11"/>
    </row>
    <row r="10404" spans="1:1" ht="14.4">
      <c r="A10404" s="11"/>
    </row>
    <row r="10405" spans="1:1" ht="14.4">
      <c r="A10405" s="11"/>
    </row>
    <row r="10406" spans="1:1" ht="14.4">
      <c r="A10406" s="11"/>
    </row>
    <row r="10407" spans="1:1" ht="14.4">
      <c r="A10407" s="11"/>
    </row>
    <row r="10408" spans="1:1" ht="14.4">
      <c r="A10408" s="11"/>
    </row>
    <row r="10409" spans="1:1" ht="14.4">
      <c r="A10409" s="11"/>
    </row>
    <row r="10410" spans="1:1" ht="14.4">
      <c r="A10410" s="11"/>
    </row>
    <row r="10411" spans="1:1" ht="14.4">
      <c r="A10411" s="11"/>
    </row>
    <row r="10412" spans="1:1" ht="14.4">
      <c r="A10412" s="11"/>
    </row>
    <row r="10413" spans="1:1" ht="14.4">
      <c r="A10413" s="11"/>
    </row>
    <row r="10414" spans="1:1" ht="14.4">
      <c r="A10414" s="11"/>
    </row>
    <row r="10415" spans="1:1" ht="14.4">
      <c r="A10415" s="11"/>
    </row>
    <row r="10416" spans="1:1" ht="14.4">
      <c r="A10416" s="11"/>
    </row>
    <row r="10417" spans="1:1" ht="14.4">
      <c r="A10417" s="11"/>
    </row>
    <row r="10418" spans="1:1" ht="14.4">
      <c r="A10418" s="11"/>
    </row>
    <row r="10419" spans="1:1" ht="14.4">
      <c r="A10419" s="11"/>
    </row>
    <row r="10420" spans="1:1" ht="14.4">
      <c r="A10420" s="11"/>
    </row>
    <row r="10421" spans="1:1" ht="14.4">
      <c r="A10421" s="11"/>
    </row>
    <row r="10422" spans="1:1" ht="14.4">
      <c r="A10422" s="11"/>
    </row>
    <row r="10423" spans="1:1" ht="14.4">
      <c r="A10423" s="11"/>
    </row>
    <row r="10424" spans="1:1" ht="14.4">
      <c r="A10424" s="11"/>
    </row>
    <row r="10425" spans="1:1" ht="14.4">
      <c r="A10425" s="11"/>
    </row>
    <row r="10426" spans="1:1" ht="14.4">
      <c r="A10426" s="11"/>
    </row>
    <row r="10427" spans="1:1" ht="14.4">
      <c r="A10427" s="11"/>
    </row>
    <row r="10428" spans="1:1" ht="14.4">
      <c r="A10428" s="11"/>
    </row>
    <row r="10429" spans="1:1" ht="14.4">
      <c r="A10429" s="11"/>
    </row>
    <row r="10430" spans="1:1" ht="14.4">
      <c r="A10430" s="11"/>
    </row>
    <row r="10431" spans="1:1" ht="14.4">
      <c r="A10431" s="11"/>
    </row>
    <row r="10432" spans="1:1" ht="14.4">
      <c r="A10432" s="11"/>
    </row>
    <row r="10433" spans="1:1" ht="14.4">
      <c r="A10433" s="11"/>
    </row>
    <row r="10434" spans="1:1" ht="14.4">
      <c r="A10434" s="11"/>
    </row>
    <row r="10435" spans="1:1" ht="14.4">
      <c r="A10435" s="11"/>
    </row>
    <row r="10436" spans="1:1" ht="14.4">
      <c r="A10436" s="11"/>
    </row>
    <row r="10437" spans="1:1" ht="14.4">
      <c r="A10437" s="11"/>
    </row>
    <row r="10438" spans="1:1" ht="14.4">
      <c r="A10438" s="11"/>
    </row>
    <row r="10439" spans="1:1" ht="14.4">
      <c r="A10439" s="11"/>
    </row>
    <row r="10440" spans="1:1" ht="14.4">
      <c r="A10440" s="11"/>
    </row>
    <row r="10441" spans="1:1" ht="14.4">
      <c r="A10441" s="11"/>
    </row>
    <row r="10442" spans="1:1" ht="14.4">
      <c r="A10442" s="11"/>
    </row>
    <row r="10443" spans="1:1" ht="14.4">
      <c r="A10443" s="11"/>
    </row>
    <row r="10444" spans="1:1" ht="14.4">
      <c r="A10444" s="11"/>
    </row>
    <row r="10445" spans="1:1" ht="14.4">
      <c r="A10445" s="11"/>
    </row>
    <row r="10446" spans="1:1" ht="14.4">
      <c r="A10446" s="11"/>
    </row>
    <row r="10447" spans="1:1" ht="14.4">
      <c r="A10447" s="11"/>
    </row>
    <row r="10448" spans="1:1" ht="14.4">
      <c r="A10448" s="11"/>
    </row>
    <row r="10449" spans="1:1" ht="14.4">
      <c r="A10449" s="11"/>
    </row>
    <row r="10450" spans="1:1" ht="14.4">
      <c r="A10450" s="11"/>
    </row>
    <row r="10451" spans="1:1" ht="14.4">
      <c r="A10451" s="11"/>
    </row>
    <row r="10452" spans="1:1" ht="14.4">
      <c r="A10452" s="11"/>
    </row>
    <row r="10453" spans="1:1" ht="14.4">
      <c r="A10453" s="11"/>
    </row>
    <row r="10454" spans="1:1" ht="14.4">
      <c r="A10454" s="11"/>
    </row>
    <row r="10455" spans="1:1" ht="14.4">
      <c r="A10455" s="11"/>
    </row>
    <row r="10456" spans="1:1" ht="14.4">
      <c r="A10456" s="11"/>
    </row>
    <row r="10457" spans="1:1" ht="14.4">
      <c r="A10457" s="11"/>
    </row>
    <row r="10458" spans="1:1" ht="14.4">
      <c r="A10458" s="11"/>
    </row>
    <row r="10459" spans="1:1" ht="14.4">
      <c r="A10459" s="11"/>
    </row>
    <row r="10460" spans="1:1" ht="14.4">
      <c r="A10460" s="11"/>
    </row>
    <row r="10461" spans="1:1" ht="14.4">
      <c r="A10461" s="11"/>
    </row>
    <row r="10462" spans="1:1" ht="14.4">
      <c r="A10462" s="11"/>
    </row>
    <row r="10463" spans="1:1" ht="14.4">
      <c r="A10463" s="11"/>
    </row>
    <row r="10464" spans="1:1" ht="14.4">
      <c r="A10464" s="11"/>
    </row>
    <row r="10465" spans="1:1" ht="14.4">
      <c r="A10465" s="11"/>
    </row>
    <row r="10466" spans="1:1" ht="14.4">
      <c r="A10466" s="11"/>
    </row>
    <row r="10467" spans="1:1" ht="14.4">
      <c r="A10467" s="11"/>
    </row>
    <row r="10468" spans="1:1" ht="14.4">
      <c r="A10468" s="11"/>
    </row>
    <row r="10469" spans="1:1" ht="14.4">
      <c r="A10469" s="11"/>
    </row>
    <row r="10470" spans="1:1" ht="14.4">
      <c r="A10470" s="11"/>
    </row>
    <row r="10471" spans="1:1" ht="14.4">
      <c r="A10471" s="11"/>
    </row>
    <row r="10472" spans="1:1" ht="14.4">
      <c r="A10472" s="11"/>
    </row>
    <row r="10473" spans="1:1" ht="14.4">
      <c r="A10473" s="11"/>
    </row>
    <row r="10474" spans="1:1" ht="14.4">
      <c r="A10474" s="11"/>
    </row>
    <row r="10475" spans="1:1" ht="14.4">
      <c r="A10475" s="11"/>
    </row>
    <row r="10476" spans="1:1" ht="14.4">
      <c r="A10476" s="11"/>
    </row>
    <row r="10477" spans="1:1" ht="14.4">
      <c r="A10477" s="11"/>
    </row>
    <row r="10478" spans="1:1" ht="14.4">
      <c r="A10478" s="11"/>
    </row>
    <row r="10479" spans="1:1" ht="14.4">
      <c r="A10479" s="11"/>
    </row>
    <row r="10480" spans="1:1" ht="14.4">
      <c r="A10480" s="11"/>
    </row>
    <row r="10481" spans="1:1" ht="14.4">
      <c r="A10481" s="11"/>
    </row>
    <row r="10482" spans="1:1" ht="14.4">
      <c r="A10482" s="11"/>
    </row>
    <row r="10483" spans="1:1" ht="14.4">
      <c r="A10483" s="11"/>
    </row>
    <row r="10484" spans="1:1" ht="14.4">
      <c r="A10484" s="11"/>
    </row>
    <row r="10485" spans="1:1" ht="14.4">
      <c r="A10485" s="11"/>
    </row>
    <row r="10486" spans="1:1" ht="14.4">
      <c r="A10486" s="11"/>
    </row>
    <row r="10487" spans="1:1" ht="14.4">
      <c r="A10487" s="11"/>
    </row>
    <row r="10488" spans="1:1" ht="14.4">
      <c r="A10488" s="11"/>
    </row>
    <row r="10489" spans="1:1" ht="14.4">
      <c r="A10489" s="11"/>
    </row>
    <row r="10490" spans="1:1" ht="14.4">
      <c r="A10490" s="11"/>
    </row>
    <row r="10491" spans="1:1" ht="14.4">
      <c r="A10491" s="11"/>
    </row>
    <row r="10492" spans="1:1" ht="14.4">
      <c r="A10492" s="11"/>
    </row>
    <row r="10493" spans="1:1" ht="14.4">
      <c r="A10493" s="11"/>
    </row>
    <row r="10494" spans="1:1" ht="14.4">
      <c r="A10494" s="11"/>
    </row>
    <row r="10495" spans="1:1" ht="14.4">
      <c r="A10495" s="11"/>
    </row>
    <row r="10496" spans="1:1" ht="14.4">
      <c r="A10496" s="11"/>
    </row>
    <row r="10497" spans="1:1" ht="14.4">
      <c r="A10497" s="11"/>
    </row>
    <row r="10498" spans="1:1" ht="14.4">
      <c r="A10498" s="11"/>
    </row>
    <row r="10499" spans="1:1" ht="14.4">
      <c r="A10499" s="11"/>
    </row>
    <row r="10500" spans="1:1" ht="14.4">
      <c r="A10500" s="11"/>
    </row>
    <row r="10501" spans="1:1" ht="14.4">
      <c r="A10501" s="11"/>
    </row>
    <row r="10502" spans="1:1" ht="14.4">
      <c r="A10502" s="11"/>
    </row>
    <row r="10503" spans="1:1" ht="14.4">
      <c r="A10503" s="11"/>
    </row>
    <row r="10504" spans="1:1" ht="14.4">
      <c r="A10504" s="11"/>
    </row>
    <row r="10505" spans="1:1" ht="14.4">
      <c r="A10505" s="11"/>
    </row>
    <row r="10506" spans="1:1" ht="14.4">
      <c r="A10506" s="11"/>
    </row>
    <row r="10507" spans="1:1" ht="14.4">
      <c r="A10507" s="11"/>
    </row>
    <row r="10508" spans="1:1" ht="14.4">
      <c r="A10508" s="11"/>
    </row>
    <row r="10509" spans="1:1" ht="14.4">
      <c r="A10509" s="11"/>
    </row>
    <row r="10510" spans="1:1" ht="14.4">
      <c r="A10510" s="11"/>
    </row>
    <row r="10511" spans="1:1" ht="14.4">
      <c r="A10511" s="11"/>
    </row>
    <row r="10512" spans="1:1" ht="14.4">
      <c r="A10512" s="11"/>
    </row>
    <row r="10513" spans="1:1" ht="14.4">
      <c r="A10513" s="11"/>
    </row>
    <row r="10514" spans="1:1" ht="14.4">
      <c r="A10514" s="11"/>
    </row>
    <row r="10515" spans="1:1" ht="14.4">
      <c r="A10515" s="11"/>
    </row>
    <row r="10516" spans="1:1" ht="14.4">
      <c r="A10516" s="11"/>
    </row>
    <row r="10517" spans="1:1" ht="14.4">
      <c r="A10517" s="11"/>
    </row>
    <row r="10518" spans="1:1" ht="14.4">
      <c r="A10518" s="11"/>
    </row>
    <row r="10519" spans="1:1" ht="14.4">
      <c r="A10519" s="11"/>
    </row>
    <row r="10520" spans="1:1" ht="14.4">
      <c r="A10520" s="11"/>
    </row>
    <row r="10521" spans="1:1" ht="14.4">
      <c r="A10521" s="11"/>
    </row>
    <row r="10522" spans="1:1" ht="14.4">
      <c r="A10522" s="11"/>
    </row>
    <row r="10523" spans="1:1" ht="14.4">
      <c r="A10523" s="11"/>
    </row>
    <row r="10524" spans="1:1" ht="14.4">
      <c r="A10524" s="11"/>
    </row>
    <row r="10525" spans="1:1" ht="14.4">
      <c r="A10525" s="11"/>
    </row>
    <row r="10526" spans="1:1" ht="14.4">
      <c r="A10526" s="11"/>
    </row>
    <row r="10527" spans="1:1" ht="14.4">
      <c r="A10527" s="11"/>
    </row>
    <row r="10528" spans="1:1" ht="14.4">
      <c r="A10528" s="11"/>
    </row>
    <row r="10529" spans="1:1" ht="14.4">
      <c r="A10529" s="11"/>
    </row>
    <row r="10530" spans="1:1" ht="14.4">
      <c r="A10530" s="11"/>
    </row>
    <row r="10531" spans="1:1" ht="14.4">
      <c r="A10531" s="11"/>
    </row>
    <row r="10532" spans="1:1" ht="14.4">
      <c r="A10532" s="11"/>
    </row>
    <row r="10533" spans="1:1" ht="14.4">
      <c r="A10533" s="11"/>
    </row>
    <row r="10534" spans="1:1" ht="14.4">
      <c r="A10534" s="11"/>
    </row>
    <row r="10535" spans="1:1" ht="14.4">
      <c r="A10535" s="11"/>
    </row>
    <row r="10536" spans="1:1" ht="14.4">
      <c r="A10536" s="11"/>
    </row>
    <row r="10537" spans="1:1" ht="14.4">
      <c r="A10537" s="11"/>
    </row>
    <row r="10538" spans="1:1" ht="14.4">
      <c r="A10538" s="11"/>
    </row>
    <row r="10539" spans="1:1" ht="14.4">
      <c r="A10539" s="11"/>
    </row>
    <row r="10540" spans="1:1" ht="14.4">
      <c r="A10540" s="11"/>
    </row>
    <row r="10541" spans="1:1" ht="14.4">
      <c r="A10541" s="11"/>
    </row>
    <row r="10542" spans="1:1" ht="14.4">
      <c r="A10542" s="11"/>
    </row>
    <row r="10543" spans="1:1" ht="14.4">
      <c r="A10543" s="11"/>
    </row>
    <row r="10544" spans="1:1" ht="14.4">
      <c r="A10544" s="11"/>
    </row>
    <row r="10545" spans="1:1" ht="14.4">
      <c r="A10545" s="11"/>
    </row>
    <row r="10546" spans="1:1" ht="14.4">
      <c r="A10546" s="11"/>
    </row>
    <row r="10547" spans="1:1" ht="14.4">
      <c r="A10547" s="11"/>
    </row>
    <row r="10548" spans="1:1" ht="14.4">
      <c r="A10548" s="11"/>
    </row>
    <row r="10549" spans="1:1" ht="14.4">
      <c r="A10549" s="11"/>
    </row>
    <row r="10550" spans="1:1" ht="14.4">
      <c r="A10550" s="11"/>
    </row>
    <row r="10551" spans="1:1" ht="14.4">
      <c r="A10551" s="11"/>
    </row>
    <row r="10552" spans="1:1" ht="14.4">
      <c r="A10552" s="11"/>
    </row>
    <row r="10553" spans="1:1" ht="14.4">
      <c r="A10553" s="11"/>
    </row>
    <row r="10554" spans="1:1" ht="14.4">
      <c r="A10554" s="11"/>
    </row>
    <row r="10555" spans="1:1" ht="14.4">
      <c r="A10555" s="11"/>
    </row>
    <row r="10556" spans="1:1" ht="14.4">
      <c r="A10556" s="11"/>
    </row>
    <row r="10557" spans="1:1" ht="14.4">
      <c r="A10557" s="11"/>
    </row>
    <row r="10558" spans="1:1" ht="14.4">
      <c r="A10558" s="11"/>
    </row>
    <row r="10559" spans="1:1" ht="14.4">
      <c r="A10559" s="11"/>
    </row>
    <row r="10560" spans="1:1" ht="14.4">
      <c r="A10560" s="11"/>
    </row>
    <row r="10561" spans="1:1" ht="14.4">
      <c r="A10561" s="11"/>
    </row>
    <row r="10562" spans="1:1" ht="14.4">
      <c r="A10562" s="11"/>
    </row>
    <row r="10563" spans="1:1" ht="14.4">
      <c r="A10563" s="11"/>
    </row>
    <row r="10564" spans="1:1" ht="14.4">
      <c r="A10564" s="11"/>
    </row>
    <row r="10565" spans="1:1" ht="14.4">
      <c r="A10565" s="11"/>
    </row>
    <row r="10566" spans="1:1" ht="14.4">
      <c r="A10566" s="11"/>
    </row>
    <row r="10567" spans="1:1" ht="14.4">
      <c r="A10567" s="11"/>
    </row>
    <row r="10568" spans="1:1" ht="14.4">
      <c r="A10568" s="11"/>
    </row>
    <row r="10569" spans="1:1" ht="14.4">
      <c r="A10569" s="11"/>
    </row>
    <row r="10570" spans="1:1" ht="14.4">
      <c r="A10570" s="11"/>
    </row>
    <row r="10571" spans="1:1" ht="14.4">
      <c r="A10571" s="11"/>
    </row>
    <row r="10572" spans="1:1" ht="14.4">
      <c r="A10572" s="11"/>
    </row>
    <row r="10573" spans="1:1" ht="14.4">
      <c r="A10573" s="11"/>
    </row>
    <row r="10574" spans="1:1" ht="14.4">
      <c r="A10574" s="11"/>
    </row>
    <row r="10575" spans="1:1" ht="14.4">
      <c r="A10575" s="11"/>
    </row>
    <row r="10576" spans="1:1" ht="14.4">
      <c r="A10576" s="11"/>
    </row>
    <row r="10577" spans="1:1" ht="14.4">
      <c r="A10577" s="11"/>
    </row>
    <row r="10578" spans="1:1" ht="14.4">
      <c r="A10578" s="11"/>
    </row>
    <row r="10579" spans="1:1" ht="14.4">
      <c r="A10579" s="11"/>
    </row>
    <row r="10580" spans="1:1" ht="14.4">
      <c r="A10580" s="11"/>
    </row>
    <row r="10581" spans="1:1" ht="14.4">
      <c r="A10581" s="11"/>
    </row>
    <row r="10582" spans="1:1" ht="14.4">
      <c r="A10582" s="11"/>
    </row>
    <row r="10583" spans="1:1" ht="14.4">
      <c r="A10583" s="11"/>
    </row>
    <row r="10584" spans="1:1" ht="14.4">
      <c r="A10584" s="11"/>
    </row>
    <row r="10585" spans="1:1" ht="14.4">
      <c r="A10585" s="11"/>
    </row>
    <row r="10586" spans="1:1" ht="14.4">
      <c r="A10586" s="11"/>
    </row>
    <row r="10587" spans="1:1" ht="14.4">
      <c r="A10587" s="11"/>
    </row>
    <row r="10588" spans="1:1" ht="14.4">
      <c r="A10588" s="11"/>
    </row>
    <row r="10589" spans="1:1" ht="14.4">
      <c r="A10589" s="11"/>
    </row>
    <row r="10590" spans="1:1" ht="14.4">
      <c r="A10590" s="11"/>
    </row>
    <row r="10591" spans="1:1" ht="14.4">
      <c r="A10591" s="11"/>
    </row>
    <row r="10592" spans="1:1" ht="14.4">
      <c r="A10592" s="11"/>
    </row>
    <row r="10593" spans="1:1" ht="14.4">
      <c r="A10593" s="11"/>
    </row>
    <row r="10594" spans="1:1" ht="14.4">
      <c r="A10594" s="11"/>
    </row>
    <row r="10595" spans="1:1" ht="14.4">
      <c r="A10595" s="11"/>
    </row>
    <row r="10596" spans="1:1" ht="14.4">
      <c r="A10596" s="11"/>
    </row>
    <row r="10597" spans="1:1" ht="14.4">
      <c r="A10597" s="11"/>
    </row>
    <row r="10598" spans="1:1" ht="14.4">
      <c r="A10598" s="11"/>
    </row>
    <row r="10599" spans="1:1" ht="14.4">
      <c r="A10599" s="11"/>
    </row>
    <row r="10600" spans="1:1" ht="14.4">
      <c r="A10600" s="11"/>
    </row>
    <row r="10601" spans="1:1" ht="14.4">
      <c r="A10601" s="11"/>
    </row>
    <row r="10602" spans="1:1" ht="14.4">
      <c r="A10602" s="11"/>
    </row>
    <row r="10603" spans="1:1" ht="14.4">
      <c r="A10603" s="11"/>
    </row>
    <row r="10604" spans="1:1" ht="14.4">
      <c r="A10604" s="11"/>
    </row>
    <row r="10605" spans="1:1" ht="14.4">
      <c r="A10605" s="11"/>
    </row>
    <row r="10606" spans="1:1" ht="14.4">
      <c r="A10606" s="11"/>
    </row>
    <row r="10607" spans="1:1" ht="14.4">
      <c r="A10607" s="11"/>
    </row>
    <row r="10608" spans="1:1" ht="14.4">
      <c r="A10608" s="11"/>
    </row>
    <row r="10609" spans="1:1" ht="14.4">
      <c r="A10609" s="11"/>
    </row>
    <row r="10610" spans="1:1" ht="14.4">
      <c r="A10610" s="11"/>
    </row>
    <row r="10611" spans="1:1" ht="14.4">
      <c r="A10611" s="11"/>
    </row>
    <row r="10612" spans="1:1" ht="14.4">
      <c r="A10612" s="11"/>
    </row>
    <row r="10613" spans="1:1" ht="14.4">
      <c r="A10613" s="11"/>
    </row>
    <row r="10614" spans="1:1" ht="14.4">
      <c r="A10614" s="11"/>
    </row>
    <row r="10615" spans="1:1" ht="14.4">
      <c r="A10615" s="11"/>
    </row>
    <row r="10616" spans="1:1" ht="14.4">
      <c r="A10616" s="11"/>
    </row>
    <row r="10617" spans="1:1" ht="14.4">
      <c r="A10617" s="11"/>
    </row>
    <row r="10618" spans="1:1" ht="14.4">
      <c r="A10618" s="11"/>
    </row>
    <row r="10619" spans="1:1" ht="14.4">
      <c r="A10619" s="11"/>
    </row>
    <row r="10620" spans="1:1" ht="14.4">
      <c r="A10620" s="11"/>
    </row>
    <row r="10621" spans="1:1" ht="14.4">
      <c r="A10621" s="11"/>
    </row>
    <row r="10622" spans="1:1" ht="14.4">
      <c r="A10622" s="11"/>
    </row>
    <row r="10623" spans="1:1" ht="14.4">
      <c r="A10623" s="11"/>
    </row>
    <row r="10624" spans="1:1" ht="14.4">
      <c r="A10624" s="11"/>
    </row>
    <row r="10625" spans="1:1" ht="14.4">
      <c r="A10625" s="11"/>
    </row>
    <row r="10626" spans="1:1" ht="14.4">
      <c r="A10626" s="11"/>
    </row>
    <row r="10627" spans="1:1" ht="14.4">
      <c r="A10627" s="11"/>
    </row>
    <row r="10628" spans="1:1" ht="14.4">
      <c r="A10628" s="11"/>
    </row>
    <row r="10629" spans="1:1" ht="14.4">
      <c r="A10629" s="11"/>
    </row>
    <row r="10630" spans="1:1" ht="14.4">
      <c r="A10630" s="11"/>
    </row>
    <row r="10631" spans="1:1" ht="14.4">
      <c r="A10631" s="11"/>
    </row>
    <row r="10632" spans="1:1" ht="14.4">
      <c r="A10632" s="11"/>
    </row>
    <row r="10633" spans="1:1" ht="14.4">
      <c r="A10633" s="11"/>
    </row>
    <row r="10634" spans="1:1" ht="14.4">
      <c r="A10634" s="11"/>
    </row>
    <row r="10635" spans="1:1" ht="14.4">
      <c r="A10635" s="11"/>
    </row>
    <row r="10636" spans="1:1" ht="14.4">
      <c r="A10636" s="11"/>
    </row>
    <row r="10637" spans="1:1" ht="14.4">
      <c r="A10637" s="11"/>
    </row>
    <row r="10638" spans="1:1" ht="14.4">
      <c r="A10638" s="11"/>
    </row>
    <row r="10639" spans="1:1" ht="14.4">
      <c r="A10639" s="11"/>
    </row>
    <row r="10640" spans="1:1" ht="14.4">
      <c r="A10640" s="11"/>
    </row>
    <row r="10641" spans="1:1" ht="14.4">
      <c r="A10641" s="11"/>
    </row>
    <row r="10642" spans="1:1" ht="14.4">
      <c r="A10642" s="11"/>
    </row>
    <row r="10643" spans="1:1" ht="14.4">
      <c r="A10643" s="11"/>
    </row>
    <row r="10644" spans="1:1" ht="14.4">
      <c r="A10644" s="11"/>
    </row>
    <row r="10645" spans="1:1" ht="14.4">
      <c r="A10645" s="11"/>
    </row>
    <row r="10646" spans="1:1" ht="14.4">
      <c r="A10646" s="11"/>
    </row>
    <row r="10647" spans="1:1" ht="14.4">
      <c r="A10647" s="11"/>
    </row>
    <row r="10648" spans="1:1" ht="14.4">
      <c r="A10648" s="11"/>
    </row>
    <row r="10649" spans="1:1" ht="14.4">
      <c r="A10649" s="11"/>
    </row>
    <row r="10650" spans="1:1" ht="14.4">
      <c r="A10650" s="11"/>
    </row>
    <row r="10651" spans="1:1" ht="14.4">
      <c r="A10651" s="11"/>
    </row>
    <row r="10652" spans="1:1" ht="14.4">
      <c r="A10652" s="11"/>
    </row>
    <row r="10653" spans="1:1" ht="14.4">
      <c r="A10653" s="11"/>
    </row>
    <row r="10654" spans="1:1" ht="14.4">
      <c r="A10654" s="11"/>
    </row>
    <row r="10655" spans="1:1" ht="14.4">
      <c r="A10655" s="11"/>
    </row>
    <row r="10656" spans="1:1" ht="14.4">
      <c r="A10656" s="11"/>
    </row>
    <row r="10657" spans="1:1" ht="14.4">
      <c r="A10657" s="11"/>
    </row>
    <row r="10658" spans="1:1" ht="14.4">
      <c r="A10658" s="11"/>
    </row>
    <row r="10659" spans="1:1" ht="14.4">
      <c r="A10659" s="11"/>
    </row>
    <row r="10660" spans="1:1" ht="14.4">
      <c r="A10660" s="11"/>
    </row>
    <row r="10661" spans="1:1" ht="14.4">
      <c r="A10661" s="11"/>
    </row>
    <row r="10662" spans="1:1" ht="14.4">
      <c r="A10662" s="11"/>
    </row>
    <row r="10663" spans="1:1" ht="14.4">
      <c r="A10663" s="11"/>
    </row>
    <row r="10664" spans="1:1" ht="14.4">
      <c r="A10664" s="11"/>
    </row>
    <row r="10665" spans="1:1" ht="14.4">
      <c r="A10665" s="11"/>
    </row>
    <row r="10666" spans="1:1" ht="14.4">
      <c r="A10666" s="11"/>
    </row>
    <row r="10667" spans="1:1" ht="14.4">
      <c r="A10667" s="11"/>
    </row>
    <row r="10668" spans="1:1" ht="14.4">
      <c r="A10668" s="11"/>
    </row>
    <row r="10669" spans="1:1" ht="14.4">
      <c r="A10669" s="11"/>
    </row>
    <row r="10670" spans="1:1" ht="14.4">
      <c r="A10670" s="11"/>
    </row>
    <row r="10671" spans="1:1" ht="14.4">
      <c r="A10671" s="11"/>
    </row>
    <row r="10672" spans="1:1" ht="14.4">
      <c r="A10672" s="11"/>
    </row>
    <row r="10673" spans="1:1" ht="14.4">
      <c r="A10673" s="11"/>
    </row>
    <row r="10674" spans="1:1" ht="14.4">
      <c r="A10674" s="11"/>
    </row>
    <row r="10675" spans="1:1" ht="14.4">
      <c r="A10675" s="11"/>
    </row>
    <row r="10676" spans="1:1" ht="14.4">
      <c r="A10676" s="11"/>
    </row>
    <row r="10677" spans="1:1" ht="14.4">
      <c r="A10677" s="11"/>
    </row>
    <row r="10678" spans="1:1" ht="14.4">
      <c r="A10678" s="11"/>
    </row>
    <row r="10679" spans="1:1" ht="14.4">
      <c r="A10679" s="11"/>
    </row>
    <row r="10680" spans="1:1" ht="14.4">
      <c r="A10680" s="11"/>
    </row>
    <row r="10681" spans="1:1" ht="14.4">
      <c r="A10681" s="11"/>
    </row>
    <row r="10682" spans="1:1" ht="14.4">
      <c r="A10682" s="11"/>
    </row>
    <row r="10683" spans="1:1" ht="14.4">
      <c r="A10683" s="11"/>
    </row>
    <row r="10684" spans="1:1" ht="14.4">
      <c r="A10684" s="11"/>
    </row>
    <row r="10685" spans="1:1" ht="14.4">
      <c r="A10685" s="11"/>
    </row>
    <row r="10686" spans="1:1" ht="14.4">
      <c r="A10686" s="11"/>
    </row>
    <row r="10687" spans="1:1" ht="14.4">
      <c r="A10687" s="11"/>
    </row>
    <row r="10688" spans="1:1" ht="14.4">
      <c r="A10688" s="11"/>
    </row>
    <row r="10689" spans="1:1" ht="14.4">
      <c r="A10689" s="11"/>
    </row>
    <row r="10690" spans="1:1" ht="14.4">
      <c r="A10690" s="11"/>
    </row>
    <row r="10691" spans="1:1" ht="14.4">
      <c r="A10691" s="11"/>
    </row>
    <row r="10692" spans="1:1" ht="14.4">
      <c r="A10692" s="11"/>
    </row>
    <row r="10693" spans="1:1" ht="14.4">
      <c r="A10693" s="11"/>
    </row>
    <row r="10694" spans="1:1" ht="14.4">
      <c r="A10694" s="11"/>
    </row>
    <row r="10695" spans="1:1" ht="14.4">
      <c r="A10695" s="11"/>
    </row>
    <row r="10696" spans="1:1" ht="14.4">
      <c r="A10696" s="11"/>
    </row>
    <row r="10697" spans="1:1" ht="14.4">
      <c r="A10697" s="11"/>
    </row>
    <row r="10698" spans="1:1" ht="14.4">
      <c r="A10698" s="11"/>
    </row>
    <row r="10699" spans="1:1" ht="14.4">
      <c r="A10699" s="11"/>
    </row>
    <row r="10700" spans="1:1" ht="14.4">
      <c r="A10700" s="11"/>
    </row>
    <row r="10701" spans="1:1" ht="14.4">
      <c r="A10701" s="11"/>
    </row>
    <row r="10702" spans="1:1" ht="14.4">
      <c r="A10702" s="11"/>
    </row>
    <row r="10703" spans="1:1" ht="14.4">
      <c r="A10703" s="11"/>
    </row>
    <row r="10704" spans="1:1" ht="14.4">
      <c r="A10704" s="11"/>
    </row>
    <row r="10705" spans="1:1" ht="14.4">
      <c r="A10705" s="11"/>
    </row>
    <row r="10706" spans="1:1" ht="14.4">
      <c r="A10706" s="11"/>
    </row>
    <row r="10707" spans="1:1" ht="14.4">
      <c r="A10707" s="11"/>
    </row>
    <row r="10708" spans="1:1" ht="14.4">
      <c r="A10708" s="11"/>
    </row>
    <row r="10709" spans="1:1" ht="14.4">
      <c r="A10709" s="11"/>
    </row>
    <row r="10710" spans="1:1" ht="14.4">
      <c r="A10710" s="11"/>
    </row>
    <row r="10711" spans="1:1" ht="14.4">
      <c r="A10711" s="11"/>
    </row>
    <row r="10712" spans="1:1" ht="14.4">
      <c r="A10712" s="11"/>
    </row>
    <row r="10713" spans="1:1" ht="14.4">
      <c r="A10713" s="11"/>
    </row>
    <row r="10714" spans="1:1" ht="14.4">
      <c r="A10714" s="11"/>
    </row>
    <row r="10715" spans="1:1" ht="14.4">
      <c r="A10715" s="11"/>
    </row>
    <row r="10716" spans="1:1" ht="14.4">
      <c r="A10716" s="11"/>
    </row>
    <row r="10717" spans="1:1" ht="14.4">
      <c r="A10717" s="11"/>
    </row>
    <row r="10718" spans="1:1" ht="14.4">
      <c r="A10718" s="11"/>
    </row>
    <row r="10719" spans="1:1" ht="14.4">
      <c r="A10719" s="11"/>
    </row>
    <row r="10720" spans="1:1" ht="14.4">
      <c r="A10720" s="11"/>
    </row>
    <row r="10721" spans="1:1" ht="14.4">
      <c r="A10721" s="11"/>
    </row>
    <row r="10722" spans="1:1" ht="14.4">
      <c r="A10722" s="11"/>
    </row>
    <row r="10723" spans="1:1" ht="14.4">
      <c r="A10723" s="11"/>
    </row>
    <row r="10724" spans="1:1" ht="14.4">
      <c r="A10724" s="11"/>
    </row>
    <row r="10725" spans="1:1" ht="14.4">
      <c r="A10725" s="11"/>
    </row>
    <row r="10726" spans="1:1" ht="14.4">
      <c r="A10726" s="11"/>
    </row>
    <row r="10727" spans="1:1" ht="14.4">
      <c r="A10727" s="11"/>
    </row>
    <row r="10728" spans="1:1" ht="14.4">
      <c r="A10728" s="11"/>
    </row>
    <row r="10729" spans="1:1" ht="14.4">
      <c r="A10729" s="11"/>
    </row>
    <row r="10730" spans="1:1" ht="14.4">
      <c r="A10730" s="11"/>
    </row>
    <row r="10731" spans="1:1" ht="14.4">
      <c r="A10731" s="11"/>
    </row>
    <row r="10732" spans="1:1" ht="14.4">
      <c r="A10732" s="11"/>
    </row>
    <row r="10733" spans="1:1" ht="14.4">
      <c r="A10733" s="11"/>
    </row>
    <row r="10734" spans="1:1" ht="14.4">
      <c r="A10734" s="11"/>
    </row>
    <row r="10735" spans="1:1" ht="14.4">
      <c r="A10735" s="11"/>
    </row>
    <row r="10736" spans="1:1" ht="14.4">
      <c r="A10736" s="11"/>
    </row>
    <row r="10737" spans="1:1" ht="14.4">
      <c r="A10737" s="11"/>
    </row>
    <row r="10738" spans="1:1" ht="14.4">
      <c r="A10738" s="11"/>
    </row>
    <row r="10739" spans="1:1" ht="14.4">
      <c r="A10739" s="11"/>
    </row>
    <row r="10740" spans="1:1" ht="14.4">
      <c r="A10740" s="11"/>
    </row>
    <row r="10741" spans="1:1" ht="14.4">
      <c r="A10741" s="11"/>
    </row>
    <row r="10742" spans="1:1" ht="14.4">
      <c r="A10742" s="11"/>
    </row>
    <row r="10743" spans="1:1" ht="14.4">
      <c r="A10743" s="11"/>
    </row>
    <row r="10744" spans="1:1" ht="14.4">
      <c r="A10744" s="11"/>
    </row>
    <row r="10745" spans="1:1" ht="14.4">
      <c r="A10745" s="11"/>
    </row>
    <row r="10746" spans="1:1" ht="14.4">
      <c r="A10746" s="11"/>
    </row>
    <row r="10747" spans="1:1" ht="14.4">
      <c r="A10747" s="11"/>
    </row>
    <row r="10748" spans="1:1" ht="14.4">
      <c r="A10748" s="11"/>
    </row>
    <row r="10749" spans="1:1" ht="14.4">
      <c r="A10749" s="11"/>
    </row>
    <row r="10750" spans="1:1" ht="14.4">
      <c r="A10750" s="11"/>
    </row>
    <row r="10751" spans="1:1" ht="14.4">
      <c r="A10751" s="11"/>
    </row>
    <row r="10752" spans="1:1" ht="14.4">
      <c r="A10752" s="11"/>
    </row>
    <row r="10753" spans="1:1" ht="14.4">
      <c r="A10753" s="11"/>
    </row>
    <row r="10754" spans="1:1" ht="14.4">
      <c r="A10754" s="11"/>
    </row>
    <row r="10755" spans="1:1" ht="14.4">
      <c r="A10755" s="11"/>
    </row>
    <row r="10756" spans="1:1" ht="14.4">
      <c r="A10756" s="11"/>
    </row>
    <row r="10757" spans="1:1" ht="14.4">
      <c r="A10757" s="11"/>
    </row>
    <row r="10758" spans="1:1" ht="14.4">
      <c r="A10758" s="11"/>
    </row>
    <row r="10759" spans="1:1" ht="14.4">
      <c r="A10759" s="11"/>
    </row>
    <row r="10760" spans="1:1" ht="14.4">
      <c r="A10760" s="11"/>
    </row>
    <row r="10761" spans="1:1" ht="14.4">
      <c r="A10761" s="11"/>
    </row>
    <row r="10762" spans="1:1" ht="14.4">
      <c r="A10762" s="11"/>
    </row>
    <row r="10763" spans="1:1" ht="14.4">
      <c r="A10763" s="11"/>
    </row>
    <row r="10764" spans="1:1" ht="14.4">
      <c r="A10764" s="11"/>
    </row>
    <row r="10765" spans="1:1" ht="14.4">
      <c r="A10765" s="11"/>
    </row>
    <row r="10766" spans="1:1" ht="14.4">
      <c r="A10766" s="11"/>
    </row>
    <row r="10767" spans="1:1" ht="14.4">
      <c r="A10767" s="11"/>
    </row>
    <row r="10768" spans="1:1" ht="14.4">
      <c r="A10768" s="11"/>
    </row>
    <row r="10769" spans="1:1" ht="14.4">
      <c r="A10769" s="11"/>
    </row>
    <row r="10770" spans="1:1" ht="14.4">
      <c r="A10770" s="11"/>
    </row>
    <row r="10771" spans="1:1" ht="14.4">
      <c r="A10771" s="11"/>
    </row>
    <row r="10772" spans="1:1" ht="14.4">
      <c r="A10772" s="11"/>
    </row>
    <row r="10773" spans="1:1" ht="14.4">
      <c r="A10773" s="11"/>
    </row>
    <row r="10774" spans="1:1" ht="14.4">
      <c r="A10774" s="11"/>
    </row>
    <row r="10775" spans="1:1" ht="14.4">
      <c r="A10775" s="11"/>
    </row>
    <row r="10776" spans="1:1" ht="14.4">
      <c r="A10776" s="11"/>
    </row>
    <row r="10777" spans="1:1" ht="14.4">
      <c r="A10777" s="11"/>
    </row>
    <row r="10778" spans="1:1" ht="14.4">
      <c r="A10778" s="11"/>
    </row>
    <row r="10779" spans="1:1" ht="14.4">
      <c r="A10779" s="11"/>
    </row>
    <row r="10780" spans="1:1" ht="14.4">
      <c r="A10780" s="11"/>
    </row>
    <row r="10781" spans="1:1" ht="14.4">
      <c r="A10781" s="11"/>
    </row>
    <row r="10782" spans="1:1" ht="14.4">
      <c r="A10782" s="11"/>
    </row>
    <row r="10783" spans="1:1" ht="14.4">
      <c r="A10783" s="11"/>
    </row>
    <row r="10784" spans="1:1" ht="14.4">
      <c r="A10784" s="11"/>
    </row>
    <row r="10785" spans="1:1" ht="14.4">
      <c r="A10785" s="11"/>
    </row>
    <row r="10786" spans="1:1" ht="14.4">
      <c r="A10786" s="11"/>
    </row>
    <row r="10787" spans="1:1" ht="14.4">
      <c r="A10787" s="11"/>
    </row>
    <row r="10788" spans="1:1" ht="14.4">
      <c r="A10788" s="11"/>
    </row>
    <row r="10789" spans="1:1" ht="14.4">
      <c r="A10789" s="11"/>
    </row>
    <row r="10790" spans="1:1" ht="14.4">
      <c r="A10790" s="11"/>
    </row>
    <row r="10791" spans="1:1" ht="14.4">
      <c r="A10791" s="11"/>
    </row>
    <row r="10792" spans="1:1" ht="14.4">
      <c r="A10792" s="11"/>
    </row>
    <row r="10793" spans="1:1" ht="14.4">
      <c r="A10793" s="11"/>
    </row>
    <row r="10794" spans="1:1" ht="14.4">
      <c r="A10794" s="11"/>
    </row>
    <row r="10795" spans="1:1" ht="14.4">
      <c r="A10795" s="11"/>
    </row>
    <row r="10796" spans="1:1" ht="14.4">
      <c r="A10796" s="11"/>
    </row>
    <row r="10797" spans="1:1" ht="14.4">
      <c r="A10797" s="11"/>
    </row>
    <row r="10798" spans="1:1" ht="14.4">
      <c r="A10798" s="11"/>
    </row>
    <row r="10799" spans="1:1" ht="14.4">
      <c r="A10799" s="11"/>
    </row>
    <row r="10800" spans="1:1" ht="14.4">
      <c r="A10800" s="11"/>
    </row>
    <row r="10801" spans="1:1" ht="14.4">
      <c r="A10801" s="11"/>
    </row>
    <row r="10802" spans="1:1" ht="14.4">
      <c r="A10802" s="11"/>
    </row>
    <row r="10803" spans="1:1" ht="14.4">
      <c r="A10803" s="11"/>
    </row>
    <row r="10804" spans="1:1" ht="14.4">
      <c r="A10804" s="11"/>
    </row>
    <row r="10805" spans="1:1" ht="14.4">
      <c r="A10805" s="11"/>
    </row>
    <row r="10806" spans="1:1" ht="14.4">
      <c r="A10806" s="11"/>
    </row>
    <row r="10807" spans="1:1" ht="14.4">
      <c r="A10807" s="11"/>
    </row>
    <row r="10808" spans="1:1" ht="14.4">
      <c r="A10808" s="11"/>
    </row>
    <row r="10809" spans="1:1" ht="14.4">
      <c r="A10809" s="11"/>
    </row>
    <row r="10810" spans="1:1" ht="14.4">
      <c r="A10810" s="11"/>
    </row>
    <row r="10811" spans="1:1" ht="14.4">
      <c r="A10811" s="11"/>
    </row>
    <row r="10812" spans="1:1" ht="14.4">
      <c r="A10812" s="11"/>
    </row>
    <row r="10813" spans="1:1" ht="14.4">
      <c r="A10813" s="11"/>
    </row>
    <row r="10814" spans="1:1" ht="14.4">
      <c r="A10814" s="11"/>
    </row>
    <row r="10815" spans="1:1" ht="14.4">
      <c r="A10815" s="11"/>
    </row>
    <row r="10816" spans="1:1" ht="14.4">
      <c r="A10816" s="11"/>
    </row>
    <row r="10817" spans="1:1" ht="14.4">
      <c r="A10817" s="11"/>
    </row>
    <row r="10818" spans="1:1" ht="14.4">
      <c r="A10818" s="11"/>
    </row>
    <row r="10819" spans="1:1" ht="14.4">
      <c r="A10819" s="11"/>
    </row>
    <row r="10820" spans="1:1" ht="14.4">
      <c r="A10820" s="11"/>
    </row>
    <row r="10821" spans="1:1" ht="14.4">
      <c r="A10821" s="11"/>
    </row>
    <row r="10822" spans="1:1" ht="14.4">
      <c r="A10822" s="11"/>
    </row>
    <row r="10823" spans="1:1" ht="14.4">
      <c r="A10823" s="11"/>
    </row>
    <row r="10824" spans="1:1" ht="14.4">
      <c r="A10824" s="11"/>
    </row>
    <row r="10825" spans="1:1" ht="14.4">
      <c r="A10825" s="11"/>
    </row>
    <row r="10826" spans="1:1" ht="14.4">
      <c r="A10826" s="11"/>
    </row>
    <row r="10827" spans="1:1" ht="14.4">
      <c r="A10827" s="11"/>
    </row>
    <row r="10828" spans="1:1" ht="14.4">
      <c r="A10828" s="11"/>
    </row>
    <row r="10829" spans="1:1" ht="14.4">
      <c r="A10829" s="11"/>
    </row>
    <row r="10830" spans="1:1" ht="14.4">
      <c r="A10830" s="11"/>
    </row>
    <row r="10831" spans="1:1" ht="14.4">
      <c r="A10831" s="11"/>
    </row>
    <row r="10832" spans="1:1" ht="14.4">
      <c r="A10832" s="11"/>
    </row>
    <row r="10833" spans="1:1" ht="14.4">
      <c r="A10833" s="11"/>
    </row>
    <row r="10834" spans="1:1" ht="14.4">
      <c r="A10834" s="11"/>
    </row>
    <row r="10835" spans="1:1" ht="14.4">
      <c r="A10835" s="11"/>
    </row>
    <row r="10836" spans="1:1" ht="14.4">
      <c r="A10836" s="11"/>
    </row>
    <row r="10837" spans="1:1" ht="14.4">
      <c r="A10837" s="11"/>
    </row>
    <row r="10838" spans="1:1" ht="14.4">
      <c r="A10838" s="11"/>
    </row>
    <row r="10839" spans="1:1" ht="14.4">
      <c r="A10839" s="11"/>
    </row>
    <row r="10840" spans="1:1" ht="14.4">
      <c r="A10840" s="11"/>
    </row>
    <row r="10841" spans="1:1" ht="14.4">
      <c r="A10841" s="11"/>
    </row>
    <row r="10842" spans="1:1" ht="14.4">
      <c r="A10842" s="11"/>
    </row>
    <row r="10843" spans="1:1" ht="14.4">
      <c r="A10843" s="11"/>
    </row>
    <row r="10844" spans="1:1" ht="14.4">
      <c r="A10844" s="11"/>
    </row>
    <row r="10845" spans="1:1" ht="14.4">
      <c r="A10845" s="11"/>
    </row>
    <row r="10846" spans="1:1" ht="14.4">
      <c r="A10846" s="11"/>
    </row>
    <row r="10847" spans="1:1" ht="14.4">
      <c r="A10847" s="11"/>
    </row>
    <row r="10848" spans="1:1" ht="14.4">
      <c r="A10848" s="11"/>
    </row>
    <row r="10849" spans="1:1" ht="14.4">
      <c r="A10849" s="11"/>
    </row>
    <row r="10850" spans="1:1" ht="14.4">
      <c r="A10850" s="11"/>
    </row>
    <row r="10851" spans="1:1" ht="14.4">
      <c r="A10851" s="11"/>
    </row>
    <row r="10852" spans="1:1" ht="14.4">
      <c r="A10852" s="11"/>
    </row>
    <row r="10853" spans="1:1" ht="14.4">
      <c r="A10853" s="11"/>
    </row>
    <row r="10854" spans="1:1" ht="14.4">
      <c r="A10854" s="11"/>
    </row>
    <row r="10855" spans="1:1" ht="14.4">
      <c r="A10855" s="11"/>
    </row>
    <row r="10856" spans="1:1" ht="14.4">
      <c r="A10856" s="11"/>
    </row>
    <row r="10857" spans="1:1" ht="14.4">
      <c r="A10857" s="11"/>
    </row>
    <row r="10858" spans="1:1" ht="14.4">
      <c r="A10858" s="11"/>
    </row>
    <row r="10859" spans="1:1" ht="14.4">
      <c r="A10859" s="11"/>
    </row>
    <row r="10860" spans="1:1" ht="14.4">
      <c r="A10860" s="11"/>
    </row>
    <row r="10861" spans="1:1" ht="14.4">
      <c r="A10861" s="11"/>
    </row>
    <row r="10862" spans="1:1" ht="14.4">
      <c r="A10862" s="11"/>
    </row>
    <row r="10863" spans="1:1" ht="14.4">
      <c r="A10863" s="11"/>
    </row>
    <row r="10864" spans="1:1" ht="14.4">
      <c r="A10864" s="11"/>
    </row>
    <row r="10865" spans="1:1" ht="14.4">
      <c r="A10865" s="11"/>
    </row>
    <row r="10866" spans="1:1" ht="14.4">
      <c r="A10866" s="11"/>
    </row>
    <row r="10867" spans="1:1" ht="14.4">
      <c r="A10867" s="11"/>
    </row>
    <row r="10868" spans="1:1" ht="14.4">
      <c r="A10868" s="11"/>
    </row>
    <row r="10869" spans="1:1" ht="14.4">
      <c r="A10869" s="11"/>
    </row>
    <row r="10870" spans="1:1" ht="14.4">
      <c r="A10870" s="11"/>
    </row>
    <row r="10871" spans="1:1" ht="14.4">
      <c r="A10871" s="11"/>
    </row>
    <row r="10872" spans="1:1" ht="14.4">
      <c r="A10872" s="11"/>
    </row>
    <row r="10873" spans="1:1" ht="14.4">
      <c r="A10873" s="11"/>
    </row>
    <row r="10874" spans="1:1" ht="14.4">
      <c r="A10874" s="11"/>
    </row>
    <row r="10875" spans="1:1" ht="14.4">
      <c r="A10875" s="11"/>
    </row>
    <row r="10876" spans="1:1" ht="14.4">
      <c r="A10876" s="11"/>
    </row>
    <row r="10877" spans="1:1" ht="14.4">
      <c r="A10877" s="11"/>
    </row>
    <row r="10878" spans="1:1" ht="14.4">
      <c r="A10878" s="11"/>
    </row>
    <row r="10879" spans="1:1" ht="14.4">
      <c r="A10879" s="11"/>
    </row>
    <row r="10880" spans="1:1" ht="14.4">
      <c r="A10880" s="11"/>
    </row>
    <row r="10881" spans="1:1" ht="14.4">
      <c r="A10881" s="11"/>
    </row>
    <row r="10882" spans="1:1" ht="14.4">
      <c r="A10882" s="11"/>
    </row>
    <row r="10883" spans="1:1" ht="14.4">
      <c r="A10883" s="11"/>
    </row>
    <row r="10884" spans="1:1" ht="14.4">
      <c r="A10884" s="11"/>
    </row>
    <row r="10885" spans="1:1" ht="14.4">
      <c r="A10885" s="11"/>
    </row>
    <row r="10886" spans="1:1" ht="14.4">
      <c r="A10886" s="11"/>
    </row>
    <row r="10887" spans="1:1" ht="14.4">
      <c r="A10887" s="11"/>
    </row>
    <row r="10888" spans="1:1" ht="14.4">
      <c r="A10888" s="11"/>
    </row>
    <row r="10889" spans="1:1" ht="14.4">
      <c r="A10889" s="11"/>
    </row>
    <row r="10890" spans="1:1" ht="14.4">
      <c r="A10890" s="11"/>
    </row>
    <row r="10891" spans="1:1" ht="14.4">
      <c r="A10891" s="11"/>
    </row>
    <row r="10892" spans="1:1" ht="14.4">
      <c r="A10892" s="11"/>
    </row>
    <row r="10893" spans="1:1" ht="14.4">
      <c r="A10893" s="11"/>
    </row>
    <row r="10894" spans="1:1" ht="14.4">
      <c r="A10894" s="11"/>
    </row>
    <row r="10895" spans="1:1" ht="14.4">
      <c r="A10895" s="11"/>
    </row>
    <row r="10896" spans="1:1" ht="14.4">
      <c r="A10896" s="11"/>
    </row>
    <row r="10897" spans="1:1" ht="14.4">
      <c r="A10897" s="11"/>
    </row>
    <row r="10898" spans="1:1" ht="14.4">
      <c r="A10898" s="11"/>
    </row>
    <row r="10899" spans="1:1" ht="14.4">
      <c r="A10899" s="11"/>
    </row>
    <row r="10900" spans="1:1" ht="14.4">
      <c r="A10900" s="11"/>
    </row>
    <row r="10901" spans="1:1" ht="14.4">
      <c r="A10901" s="11"/>
    </row>
    <row r="10902" spans="1:1" ht="14.4">
      <c r="A10902" s="11"/>
    </row>
    <row r="10903" spans="1:1" ht="14.4">
      <c r="A10903" s="11"/>
    </row>
    <row r="10904" spans="1:1" ht="14.4">
      <c r="A10904" s="11"/>
    </row>
    <row r="10905" spans="1:1" ht="14.4">
      <c r="A10905" s="11"/>
    </row>
    <row r="10906" spans="1:1" ht="14.4">
      <c r="A10906" s="11"/>
    </row>
    <row r="10907" spans="1:1" ht="14.4">
      <c r="A10907" s="11"/>
    </row>
    <row r="10908" spans="1:1" ht="14.4">
      <c r="A10908" s="11"/>
    </row>
    <row r="10909" spans="1:1" ht="14.4">
      <c r="A10909" s="11"/>
    </row>
    <row r="10910" spans="1:1" ht="14.4">
      <c r="A10910" s="11"/>
    </row>
    <row r="10911" spans="1:1" ht="14.4">
      <c r="A10911" s="11"/>
    </row>
    <row r="10912" spans="1:1" ht="14.4">
      <c r="A10912" s="11"/>
    </row>
    <row r="10913" spans="1:1" ht="14.4">
      <c r="A10913" s="11"/>
    </row>
    <row r="10914" spans="1:1" ht="14.4">
      <c r="A10914" s="11"/>
    </row>
    <row r="10915" spans="1:1" ht="14.4">
      <c r="A10915" s="11"/>
    </row>
    <row r="10916" spans="1:1" ht="14.4">
      <c r="A10916" s="11"/>
    </row>
    <row r="10917" spans="1:1" ht="14.4">
      <c r="A10917" s="11"/>
    </row>
    <row r="10918" spans="1:1" ht="14.4">
      <c r="A10918" s="11"/>
    </row>
    <row r="10919" spans="1:1" ht="14.4">
      <c r="A10919" s="11"/>
    </row>
    <row r="10920" spans="1:1" ht="14.4">
      <c r="A10920" s="11"/>
    </row>
    <row r="10921" spans="1:1" ht="14.4">
      <c r="A10921" s="11"/>
    </row>
    <row r="10922" spans="1:1" ht="14.4">
      <c r="A10922" s="11"/>
    </row>
    <row r="10923" spans="1:1" ht="14.4">
      <c r="A10923" s="11"/>
    </row>
    <row r="10924" spans="1:1" ht="14.4">
      <c r="A10924" s="11"/>
    </row>
    <row r="10925" spans="1:1" ht="14.4">
      <c r="A10925" s="11"/>
    </row>
    <row r="10926" spans="1:1" ht="14.4">
      <c r="A10926" s="11"/>
    </row>
    <row r="10927" spans="1:1" ht="14.4">
      <c r="A10927" s="11"/>
    </row>
    <row r="10928" spans="1:1" ht="14.4">
      <c r="A10928" s="11"/>
    </row>
    <row r="10929" spans="1:1" ht="14.4">
      <c r="A10929" s="11"/>
    </row>
    <row r="10930" spans="1:1" ht="14.4">
      <c r="A10930" s="11"/>
    </row>
    <row r="10931" spans="1:1" ht="14.4">
      <c r="A10931" s="11"/>
    </row>
    <row r="10932" spans="1:1" ht="14.4">
      <c r="A10932" s="11"/>
    </row>
    <row r="10933" spans="1:1" ht="14.4">
      <c r="A10933" s="11"/>
    </row>
    <row r="10934" spans="1:1" ht="14.4">
      <c r="A10934" s="11"/>
    </row>
    <row r="10935" spans="1:1" ht="14.4">
      <c r="A10935" s="11"/>
    </row>
    <row r="10936" spans="1:1" ht="14.4">
      <c r="A10936" s="11"/>
    </row>
    <row r="10937" spans="1:1" ht="14.4">
      <c r="A10937" s="11"/>
    </row>
    <row r="10938" spans="1:1" ht="14.4">
      <c r="A10938" s="11"/>
    </row>
    <row r="10939" spans="1:1" ht="14.4">
      <c r="A10939" s="11"/>
    </row>
    <row r="10940" spans="1:1" ht="14.4">
      <c r="A10940" s="11"/>
    </row>
    <row r="10941" spans="1:1" ht="14.4">
      <c r="A10941" s="11"/>
    </row>
    <row r="10942" spans="1:1" ht="14.4">
      <c r="A10942" s="11"/>
    </row>
    <row r="10943" spans="1:1" ht="14.4">
      <c r="A10943" s="11"/>
    </row>
    <row r="10944" spans="1:1" ht="14.4">
      <c r="A10944" s="11"/>
    </row>
    <row r="10945" spans="1:1" ht="14.4">
      <c r="A10945" s="11"/>
    </row>
    <row r="10946" spans="1:1" ht="14.4">
      <c r="A10946" s="11"/>
    </row>
    <row r="10947" spans="1:1" ht="14.4">
      <c r="A10947" s="11"/>
    </row>
    <row r="10948" spans="1:1" ht="14.4">
      <c r="A10948" s="11"/>
    </row>
    <row r="10949" spans="1:1" ht="14.4">
      <c r="A10949" s="11"/>
    </row>
    <row r="10950" spans="1:1" ht="14.4">
      <c r="A10950" s="11"/>
    </row>
    <row r="10951" spans="1:1" ht="14.4">
      <c r="A10951" s="11"/>
    </row>
    <row r="10952" spans="1:1" ht="14.4">
      <c r="A10952" s="11"/>
    </row>
    <row r="10953" spans="1:1" ht="14.4">
      <c r="A10953" s="11"/>
    </row>
    <row r="10954" spans="1:1" ht="14.4">
      <c r="A10954" s="11"/>
    </row>
    <row r="10955" spans="1:1" ht="14.4">
      <c r="A10955" s="11"/>
    </row>
    <row r="10956" spans="1:1" ht="14.4">
      <c r="A10956" s="11"/>
    </row>
    <row r="10957" spans="1:1" ht="14.4">
      <c r="A10957" s="11"/>
    </row>
    <row r="10958" spans="1:1" ht="14.4">
      <c r="A10958" s="11"/>
    </row>
    <row r="10959" spans="1:1" ht="14.4">
      <c r="A10959" s="11"/>
    </row>
    <row r="10960" spans="1:1" ht="14.4">
      <c r="A10960" s="11"/>
    </row>
    <row r="10961" spans="1:1" ht="14.4">
      <c r="A10961" s="11"/>
    </row>
    <row r="10962" spans="1:1" ht="14.4">
      <c r="A10962" s="11"/>
    </row>
    <row r="10963" spans="1:1" ht="14.4">
      <c r="A10963" s="11"/>
    </row>
    <row r="10964" spans="1:1" ht="14.4">
      <c r="A10964" s="11"/>
    </row>
    <row r="10965" spans="1:1" ht="14.4">
      <c r="A10965" s="11"/>
    </row>
    <row r="10966" spans="1:1" ht="14.4">
      <c r="A10966" s="11"/>
    </row>
    <row r="10967" spans="1:1" ht="14.4">
      <c r="A10967" s="11"/>
    </row>
    <row r="10968" spans="1:1" ht="14.4">
      <c r="A10968" s="11"/>
    </row>
    <row r="10969" spans="1:1" ht="14.4">
      <c r="A10969" s="11"/>
    </row>
    <row r="10970" spans="1:1" ht="14.4">
      <c r="A10970" s="11"/>
    </row>
    <row r="10971" spans="1:1" ht="14.4">
      <c r="A10971" s="11"/>
    </row>
    <row r="10972" spans="1:1" ht="14.4">
      <c r="A10972" s="11"/>
    </row>
    <row r="10973" spans="1:1" ht="14.4">
      <c r="A10973" s="11"/>
    </row>
    <row r="10974" spans="1:1" ht="14.4">
      <c r="A10974" s="11"/>
    </row>
    <row r="10975" spans="1:1" ht="14.4">
      <c r="A10975" s="11"/>
    </row>
    <row r="10976" spans="1:1" ht="14.4">
      <c r="A10976" s="11"/>
    </row>
    <row r="10977" spans="1:1" ht="14.4">
      <c r="A10977" s="11"/>
    </row>
    <row r="10978" spans="1:1" ht="14.4">
      <c r="A10978" s="11"/>
    </row>
    <row r="10979" spans="1:1" ht="14.4">
      <c r="A10979" s="11"/>
    </row>
    <row r="10980" spans="1:1" ht="14.4">
      <c r="A10980" s="11"/>
    </row>
    <row r="10981" spans="1:1" ht="14.4">
      <c r="A10981" s="11"/>
    </row>
    <row r="10982" spans="1:1" ht="14.4">
      <c r="A10982" s="11"/>
    </row>
    <row r="10983" spans="1:1" ht="14.4">
      <c r="A10983" s="11"/>
    </row>
    <row r="10984" spans="1:1" ht="14.4">
      <c r="A10984" s="11"/>
    </row>
    <row r="10985" spans="1:1" ht="14.4">
      <c r="A10985" s="11"/>
    </row>
    <row r="10986" spans="1:1" ht="14.4">
      <c r="A10986" s="11"/>
    </row>
    <row r="10987" spans="1:1" ht="14.4">
      <c r="A10987" s="11"/>
    </row>
    <row r="10988" spans="1:1" ht="14.4">
      <c r="A10988" s="11"/>
    </row>
    <row r="10989" spans="1:1" ht="14.4">
      <c r="A10989" s="11"/>
    </row>
    <row r="10990" spans="1:1" ht="14.4">
      <c r="A10990" s="11"/>
    </row>
    <row r="10991" spans="1:1" ht="14.4">
      <c r="A10991" s="11"/>
    </row>
    <row r="10992" spans="1:1" ht="14.4">
      <c r="A10992" s="11"/>
    </row>
    <row r="10993" spans="1:1" ht="14.4">
      <c r="A10993" s="11"/>
    </row>
    <row r="10994" spans="1:1" ht="14.4">
      <c r="A10994" s="11"/>
    </row>
    <row r="10995" spans="1:1" ht="14.4">
      <c r="A10995" s="11"/>
    </row>
    <row r="10996" spans="1:1" ht="14.4">
      <c r="A10996" s="11"/>
    </row>
    <row r="10997" spans="1:1" ht="14.4">
      <c r="A10997" s="11"/>
    </row>
    <row r="10998" spans="1:1" ht="14.4">
      <c r="A10998" s="11"/>
    </row>
    <row r="10999" spans="1:1" ht="14.4">
      <c r="A10999" s="11"/>
    </row>
    <row r="11000" spans="1:1" ht="14.4">
      <c r="A11000" s="11"/>
    </row>
    <row r="11001" spans="1:1" ht="14.4">
      <c r="A11001" s="11"/>
    </row>
    <row r="11002" spans="1:1" ht="14.4">
      <c r="A11002" s="11"/>
    </row>
    <row r="11003" spans="1:1" ht="14.4">
      <c r="A11003" s="11"/>
    </row>
    <row r="11004" spans="1:1" ht="14.4">
      <c r="A11004" s="11"/>
    </row>
    <row r="11005" spans="1:1" ht="14.4">
      <c r="A11005" s="11"/>
    </row>
    <row r="11006" spans="1:1" ht="14.4">
      <c r="A11006" s="11"/>
    </row>
    <row r="11007" spans="1:1" ht="14.4">
      <c r="A11007" s="11"/>
    </row>
    <row r="11008" spans="1:1" ht="14.4">
      <c r="A11008" s="11"/>
    </row>
    <row r="11009" spans="1:1" ht="14.4">
      <c r="A11009" s="11"/>
    </row>
    <row r="11010" spans="1:1" ht="14.4">
      <c r="A11010" s="11"/>
    </row>
    <row r="11011" spans="1:1" ht="14.4">
      <c r="A11011" s="11"/>
    </row>
    <row r="11012" spans="1:1" ht="14.4">
      <c r="A11012" s="11"/>
    </row>
    <row r="11013" spans="1:1" ht="14.4">
      <c r="A11013" s="11"/>
    </row>
    <row r="11014" spans="1:1" ht="14.4">
      <c r="A11014" s="11"/>
    </row>
    <row r="11015" spans="1:1" ht="14.4">
      <c r="A11015" s="11"/>
    </row>
    <row r="11016" spans="1:1" ht="14.4">
      <c r="A11016" s="11"/>
    </row>
    <row r="11017" spans="1:1" ht="14.4">
      <c r="A11017" s="11"/>
    </row>
    <row r="11018" spans="1:1" ht="14.4">
      <c r="A11018" s="11"/>
    </row>
    <row r="11019" spans="1:1" ht="14.4">
      <c r="A11019" s="11"/>
    </row>
    <row r="11020" spans="1:1" ht="14.4">
      <c r="A11020" s="11"/>
    </row>
    <row r="11021" spans="1:1" ht="14.4">
      <c r="A11021" s="11"/>
    </row>
    <row r="11022" spans="1:1" ht="14.4">
      <c r="A11022" s="11"/>
    </row>
    <row r="11023" spans="1:1" ht="14.4">
      <c r="A11023" s="11"/>
    </row>
    <row r="11024" spans="1:1" ht="14.4">
      <c r="A11024" s="11"/>
    </row>
    <row r="11025" spans="1:1" ht="14.4">
      <c r="A11025" s="11"/>
    </row>
    <row r="11026" spans="1:1" ht="14.4">
      <c r="A11026" s="11"/>
    </row>
    <row r="11027" spans="1:1" ht="14.4">
      <c r="A11027" s="11"/>
    </row>
    <row r="11028" spans="1:1" ht="14.4">
      <c r="A11028" s="11"/>
    </row>
    <row r="11029" spans="1:1" ht="14.4">
      <c r="A11029" s="11"/>
    </row>
    <row r="11030" spans="1:1" ht="14.4">
      <c r="A11030" s="11"/>
    </row>
    <row r="11031" spans="1:1" ht="14.4">
      <c r="A11031" s="11"/>
    </row>
    <row r="11032" spans="1:1" ht="14.4">
      <c r="A11032" s="11"/>
    </row>
    <row r="11033" spans="1:1" ht="14.4">
      <c r="A11033" s="11"/>
    </row>
    <row r="11034" spans="1:1" ht="14.4">
      <c r="A11034" s="11"/>
    </row>
    <row r="11035" spans="1:1" ht="14.4">
      <c r="A11035" s="11"/>
    </row>
    <row r="11036" spans="1:1" ht="14.4">
      <c r="A11036" s="11"/>
    </row>
    <row r="11037" spans="1:1" ht="14.4">
      <c r="A11037" s="11"/>
    </row>
    <row r="11038" spans="1:1" ht="14.4">
      <c r="A11038" s="11"/>
    </row>
    <row r="11039" spans="1:1" ht="14.4">
      <c r="A11039" s="11"/>
    </row>
    <row r="11040" spans="1:1" ht="14.4">
      <c r="A11040" s="11"/>
    </row>
    <row r="11041" spans="1:1" ht="14.4">
      <c r="A11041" s="11"/>
    </row>
    <row r="11042" spans="1:1" ht="14.4">
      <c r="A11042" s="11"/>
    </row>
    <row r="11043" spans="1:1" ht="14.4">
      <c r="A11043" s="11"/>
    </row>
    <row r="11044" spans="1:1" ht="14.4">
      <c r="A11044" s="11"/>
    </row>
    <row r="11045" spans="1:1" ht="14.4">
      <c r="A11045" s="11"/>
    </row>
    <row r="11046" spans="1:1" ht="14.4">
      <c r="A11046" s="11"/>
    </row>
    <row r="11047" spans="1:1" ht="14.4">
      <c r="A11047" s="11"/>
    </row>
    <row r="11048" spans="1:1" ht="14.4">
      <c r="A11048" s="11"/>
    </row>
    <row r="11049" spans="1:1" ht="14.4">
      <c r="A11049" s="11"/>
    </row>
    <row r="11050" spans="1:1" ht="14.4">
      <c r="A11050" s="11"/>
    </row>
    <row r="11051" spans="1:1" ht="14.4">
      <c r="A11051" s="11"/>
    </row>
    <row r="11052" spans="1:1" ht="14.4">
      <c r="A11052" s="11"/>
    </row>
    <row r="11053" spans="1:1" ht="14.4">
      <c r="A11053" s="11"/>
    </row>
    <row r="11054" spans="1:1" ht="14.4">
      <c r="A11054" s="11"/>
    </row>
    <row r="11055" spans="1:1" ht="14.4">
      <c r="A11055" s="11"/>
    </row>
    <row r="11056" spans="1:1" ht="14.4">
      <c r="A11056" s="11"/>
    </row>
    <row r="11057" spans="1:1" ht="14.4">
      <c r="A11057" s="11"/>
    </row>
    <row r="11058" spans="1:1" ht="14.4">
      <c r="A11058" s="11"/>
    </row>
    <row r="11059" spans="1:1" ht="14.4">
      <c r="A11059" s="11"/>
    </row>
    <row r="11060" spans="1:1" ht="14.4">
      <c r="A11060" s="11"/>
    </row>
    <row r="11061" spans="1:1" ht="14.4">
      <c r="A11061" s="11"/>
    </row>
    <row r="11062" spans="1:1" ht="14.4">
      <c r="A11062" s="11"/>
    </row>
    <row r="11063" spans="1:1" ht="14.4">
      <c r="A11063" s="11"/>
    </row>
    <row r="11064" spans="1:1" ht="14.4">
      <c r="A11064" s="11"/>
    </row>
    <row r="11065" spans="1:1" ht="14.4">
      <c r="A11065" s="11"/>
    </row>
    <row r="11066" spans="1:1" ht="14.4">
      <c r="A11066" s="11"/>
    </row>
    <row r="11067" spans="1:1" ht="14.4">
      <c r="A11067" s="11"/>
    </row>
    <row r="11068" spans="1:1" ht="14.4">
      <c r="A11068" s="11"/>
    </row>
    <row r="11069" spans="1:1" ht="14.4">
      <c r="A11069" s="11"/>
    </row>
    <row r="11070" spans="1:1" ht="14.4">
      <c r="A11070" s="11"/>
    </row>
    <row r="11071" spans="1:1" ht="14.4">
      <c r="A11071" s="11"/>
    </row>
    <row r="11072" spans="1:1" ht="14.4">
      <c r="A11072" s="11"/>
    </row>
    <row r="11073" spans="1:1" ht="14.4">
      <c r="A11073" s="11"/>
    </row>
    <row r="11074" spans="1:1" ht="14.4">
      <c r="A11074" s="11"/>
    </row>
    <row r="11075" spans="1:1" ht="14.4">
      <c r="A11075" s="11"/>
    </row>
    <row r="11076" spans="1:1" ht="14.4">
      <c r="A11076" s="11"/>
    </row>
    <row r="11077" spans="1:1" ht="14.4">
      <c r="A11077" s="11"/>
    </row>
    <row r="11078" spans="1:1" ht="14.4">
      <c r="A11078" s="11"/>
    </row>
    <row r="11079" spans="1:1" ht="14.4">
      <c r="A11079" s="11"/>
    </row>
    <row r="11080" spans="1:1" ht="14.4">
      <c r="A11080" s="11"/>
    </row>
    <row r="11081" spans="1:1" ht="14.4">
      <c r="A11081" s="11"/>
    </row>
    <row r="11082" spans="1:1" ht="14.4">
      <c r="A11082" s="11"/>
    </row>
    <row r="11083" spans="1:1" ht="14.4">
      <c r="A11083" s="11"/>
    </row>
    <row r="11084" spans="1:1" ht="14.4">
      <c r="A11084" s="11"/>
    </row>
    <row r="11085" spans="1:1" ht="14.4">
      <c r="A11085" s="11"/>
    </row>
    <row r="11086" spans="1:1" ht="14.4">
      <c r="A11086" s="11"/>
    </row>
    <row r="11087" spans="1:1" ht="14.4">
      <c r="A11087" s="11"/>
    </row>
    <row r="11088" spans="1:1" ht="14.4">
      <c r="A11088" s="11"/>
    </row>
    <row r="11089" spans="1:1" ht="14.4">
      <c r="A11089" s="11"/>
    </row>
    <row r="11090" spans="1:1" ht="14.4">
      <c r="A11090" s="11"/>
    </row>
    <row r="11091" spans="1:1" ht="14.4">
      <c r="A11091" s="11"/>
    </row>
    <row r="11092" spans="1:1" ht="14.4">
      <c r="A11092" s="11"/>
    </row>
    <row r="11093" spans="1:1" ht="14.4">
      <c r="A11093" s="11"/>
    </row>
    <row r="11094" spans="1:1" ht="14.4">
      <c r="A11094" s="11"/>
    </row>
    <row r="11095" spans="1:1" ht="14.4">
      <c r="A11095" s="11"/>
    </row>
    <row r="11096" spans="1:1" ht="14.4">
      <c r="A11096" s="11"/>
    </row>
    <row r="11097" spans="1:1" ht="14.4">
      <c r="A11097" s="11"/>
    </row>
    <row r="11098" spans="1:1" ht="14.4">
      <c r="A11098" s="11"/>
    </row>
    <row r="11099" spans="1:1" ht="14.4">
      <c r="A11099" s="11"/>
    </row>
    <row r="11100" spans="1:1" ht="14.4">
      <c r="A11100" s="11"/>
    </row>
    <row r="11101" spans="1:1" ht="14.4">
      <c r="A11101" s="11"/>
    </row>
    <row r="11102" spans="1:1" ht="14.4">
      <c r="A11102" s="11"/>
    </row>
    <row r="11103" spans="1:1" ht="14.4">
      <c r="A11103" s="11"/>
    </row>
    <row r="11104" spans="1:1" ht="14.4">
      <c r="A11104" s="11"/>
    </row>
    <row r="11105" spans="1:1" ht="14.4">
      <c r="A11105" s="11"/>
    </row>
    <row r="11106" spans="1:1" ht="14.4">
      <c r="A11106" s="11"/>
    </row>
    <row r="11107" spans="1:1" ht="14.4">
      <c r="A11107" s="11"/>
    </row>
    <row r="11108" spans="1:1" ht="14.4">
      <c r="A11108" s="11"/>
    </row>
    <row r="11109" spans="1:1" ht="14.4">
      <c r="A11109" s="11"/>
    </row>
    <row r="11110" spans="1:1" ht="14.4">
      <c r="A11110" s="11"/>
    </row>
    <row r="11111" spans="1:1" ht="14.4">
      <c r="A11111" s="11"/>
    </row>
    <row r="11112" spans="1:1" ht="14.4">
      <c r="A11112" s="11"/>
    </row>
    <row r="11113" spans="1:1" ht="14.4">
      <c r="A11113" s="11"/>
    </row>
    <row r="11114" spans="1:1" ht="14.4">
      <c r="A11114" s="11"/>
    </row>
    <row r="11115" spans="1:1" ht="14.4">
      <c r="A11115" s="11"/>
    </row>
    <row r="11116" spans="1:1" ht="14.4">
      <c r="A11116" s="11"/>
    </row>
    <row r="11117" spans="1:1" ht="14.4">
      <c r="A11117" s="11"/>
    </row>
    <row r="11118" spans="1:1" ht="14.4">
      <c r="A11118" s="11"/>
    </row>
    <row r="11119" spans="1:1" ht="14.4">
      <c r="A11119" s="11"/>
    </row>
    <row r="11120" spans="1:1" ht="14.4">
      <c r="A11120" s="11"/>
    </row>
    <row r="11121" spans="1:1" ht="14.4">
      <c r="A11121" s="11"/>
    </row>
    <row r="11122" spans="1:1" ht="14.4">
      <c r="A11122" s="11"/>
    </row>
    <row r="11123" spans="1:1" ht="14.4">
      <c r="A11123" s="11"/>
    </row>
    <row r="11124" spans="1:1" ht="14.4">
      <c r="A11124" s="11"/>
    </row>
    <row r="11125" spans="1:1" ht="14.4">
      <c r="A11125" s="11"/>
    </row>
    <row r="11126" spans="1:1" ht="14.4">
      <c r="A11126" s="11"/>
    </row>
    <row r="11127" spans="1:1" ht="14.4">
      <c r="A11127" s="11"/>
    </row>
    <row r="11128" spans="1:1" ht="14.4">
      <c r="A11128" s="11"/>
    </row>
    <row r="11129" spans="1:1" ht="14.4">
      <c r="A11129" s="11"/>
    </row>
    <row r="11130" spans="1:1" ht="14.4">
      <c r="A11130" s="11"/>
    </row>
    <row r="11131" spans="1:1" ht="14.4">
      <c r="A11131" s="11"/>
    </row>
    <row r="11132" spans="1:1" ht="14.4">
      <c r="A11132" s="11"/>
    </row>
    <row r="11133" spans="1:1" ht="14.4">
      <c r="A11133" s="11"/>
    </row>
    <row r="11134" spans="1:1" ht="14.4">
      <c r="A11134" s="11"/>
    </row>
    <row r="11135" spans="1:1" ht="14.4">
      <c r="A11135" s="11"/>
    </row>
    <row r="11136" spans="1:1" ht="14.4">
      <c r="A11136" s="11"/>
    </row>
    <row r="11137" spans="1:1" ht="14.4">
      <c r="A11137" s="11"/>
    </row>
    <row r="11138" spans="1:1" ht="14.4">
      <c r="A11138" s="11"/>
    </row>
    <row r="11139" spans="1:1" ht="14.4">
      <c r="A11139" s="11"/>
    </row>
    <row r="11140" spans="1:1" ht="14.4">
      <c r="A11140" s="11"/>
    </row>
    <row r="11141" spans="1:1" ht="14.4">
      <c r="A11141" s="11"/>
    </row>
    <row r="11142" spans="1:1" ht="14.4">
      <c r="A11142" s="11"/>
    </row>
    <row r="11143" spans="1:1" ht="14.4">
      <c r="A11143" s="11"/>
    </row>
    <row r="11144" spans="1:1" ht="14.4">
      <c r="A11144" s="11"/>
    </row>
    <row r="11145" spans="1:1" ht="14.4">
      <c r="A11145" s="11"/>
    </row>
    <row r="11146" spans="1:1" ht="14.4">
      <c r="A11146" s="11"/>
    </row>
    <row r="11147" spans="1:1" ht="14.4">
      <c r="A11147" s="11"/>
    </row>
    <row r="11148" spans="1:1" ht="14.4">
      <c r="A11148" s="11"/>
    </row>
    <row r="11149" spans="1:1" ht="14.4">
      <c r="A11149" s="11"/>
    </row>
    <row r="11150" spans="1:1" ht="14.4">
      <c r="A11150" s="11"/>
    </row>
    <row r="11151" spans="1:1" ht="14.4">
      <c r="A11151" s="11"/>
    </row>
    <row r="11152" spans="1:1" ht="14.4">
      <c r="A11152" s="11"/>
    </row>
    <row r="11153" spans="1:1" ht="14.4">
      <c r="A11153" s="11"/>
    </row>
    <row r="11154" spans="1:1" ht="14.4">
      <c r="A11154" s="11"/>
    </row>
    <row r="11155" spans="1:1" ht="14.4">
      <c r="A11155" s="11"/>
    </row>
    <row r="11156" spans="1:1" ht="14.4">
      <c r="A11156" s="11"/>
    </row>
    <row r="11157" spans="1:1" ht="14.4">
      <c r="A11157" s="11"/>
    </row>
    <row r="11158" spans="1:1" ht="14.4">
      <c r="A11158" s="11"/>
    </row>
    <row r="11159" spans="1:1" ht="14.4">
      <c r="A11159" s="11"/>
    </row>
    <row r="11160" spans="1:1" ht="14.4">
      <c r="A11160" s="11"/>
    </row>
    <row r="11161" spans="1:1" ht="14.4">
      <c r="A11161" s="11"/>
    </row>
    <row r="11162" spans="1:1" ht="14.4">
      <c r="A11162" s="11"/>
    </row>
    <row r="11163" spans="1:1" ht="14.4">
      <c r="A11163" s="11"/>
    </row>
    <row r="11164" spans="1:1" ht="14.4">
      <c r="A11164" s="11"/>
    </row>
    <row r="11165" spans="1:1" ht="14.4">
      <c r="A11165" s="11"/>
    </row>
    <row r="11166" spans="1:1" ht="14.4">
      <c r="A11166" s="11"/>
    </row>
    <row r="11167" spans="1:1" ht="14.4">
      <c r="A11167" s="11"/>
    </row>
    <row r="11168" spans="1:1" ht="14.4">
      <c r="A11168" s="11"/>
    </row>
    <row r="11169" spans="1:1" ht="14.4">
      <c r="A11169" s="11"/>
    </row>
    <row r="11170" spans="1:1" ht="14.4">
      <c r="A11170" s="11"/>
    </row>
    <row r="11171" spans="1:1" ht="14.4">
      <c r="A11171" s="11"/>
    </row>
    <row r="11172" spans="1:1" ht="14.4">
      <c r="A11172" s="11"/>
    </row>
    <row r="11173" spans="1:1" ht="14.4">
      <c r="A11173" s="11"/>
    </row>
    <row r="11174" spans="1:1" ht="14.4">
      <c r="A11174" s="11"/>
    </row>
    <row r="11175" spans="1:1" ht="14.4">
      <c r="A11175" s="11"/>
    </row>
    <row r="11176" spans="1:1" ht="14.4">
      <c r="A11176" s="11"/>
    </row>
    <row r="11177" spans="1:1" ht="14.4">
      <c r="A11177" s="11"/>
    </row>
    <row r="11178" spans="1:1" ht="14.4">
      <c r="A11178" s="11"/>
    </row>
    <row r="11179" spans="1:1" ht="14.4">
      <c r="A11179" s="11"/>
    </row>
    <row r="11180" spans="1:1" ht="14.4">
      <c r="A11180" s="11"/>
    </row>
    <row r="11181" spans="1:1" ht="14.4">
      <c r="A11181" s="11"/>
    </row>
    <row r="11182" spans="1:1" ht="14.4">
      <c r="A11182" s="11"/>
    </row>
    <row r="11183" spans="1:1" ht="14.4">
      <c r="A11183" s="11"/>
    </row>
    <row r="11184" spans="1:1" ht="14.4">
      <c r="A11184" s="11"/>
    </row>
    <row r="11185" spans="1:1" ht="14.4">
      <c r="A11185" s="11"/>
    </row>
    <row r="11186" spans="1:1" ht="14.4">
      <c r="A11186" s="11"/>
    </row>
    <row r="11187" spans="1:1" ht="14.4">
      <c r="A11187" s="11"/>
    </row>
    <row r="11188" spans="1:1" ht="14.4">
      <c r="A11188" s="11"/>
    </row>
    <row r="11189" spans="1:1" ht="14.4">
      <c r="A11189" s="11"/>
    </row>
    <row r="11190" spans="1:1" ht="14.4">
      <c r="A11190" s="11"/>
    </row>
    <row r="11191" spans="1:1" ht="14.4">
      <c r="A11191" s="11"/>
    </row>
    <row r="11192" spans="1:1" ht="14.4">
      <c r="A11192" s="11"/>
    </row>
    <row r="11193" spans="1:1" ht="14.4">
      <c r="A11193" s="11"/>
    </row>
    <row r="11194" spans="1:1" ht="14.4">
      <c r="A11194" s="11"/>
    </row>
    <row r="11195" spans="1:1" ht="14.4">
      <c r="A11195" s="11"/>
    </row>
    <row r="11196" spans="1:1" ht="14.4">
      <c r="A11196" s="11"/>
    </row>
    <row r="11197" spans="1:1" ht="14.4">
      <c r="A11197" s="11"/>
    </row>
    <row r="11198" spans="1:1" ht="14.4">
      <c r="A11198" s="11"/>
    </row>
    <row r="11199" spans="1:1" ht="14.4">
      <c r="A11199" s="11"/>
    </row>
    <row r="11200" spans="1:1" ht="14.4">
      <c r="A11200" s="11"/>
    </row>
    <row r="11201" spans="1:1" ht="14.4">
      <c r="A11201" s="11"/>
    </row>
    <row r="11202" spans="1:1" ht="14.4">
      <c r="A11202" s="11"/>
    </row>
    <row r="11203" spans="1:1" ht="14.4">
      <c r="A11203" s="11"/>
    </row>
    <row r="11204" spans="1:1" ht="14.4">
      <c r="A11204" s="11"/>
    </row>
    <row r="11205" spans="1:1" ht="14.4">
      <c r="A11205" s="11"/>
    </row>
    <row r="11206" spans="1:1" ht="14.4">
      <c r="A11206" s="11"/>
    </row>
    <row r="11207" spans="1:1" ht="14.4">
      <c r="A11207" s="11"/>
    </row>
    <row r="11208" spans="1:1" ht="14.4">
      <c r="A11208" s="11"/>
    </row>
    <row r="11209" spans="1:1" ht="14.4">
      <c r="A11209" s="11"/>
    </row>
    <row r="11210" spans="1:1" ht="14.4">
      <c r="A11210" s="11"/>
    </row>
    <row r="11211" spans="1:1" ht="14.4">
      <c r="A11211" s="11"/>
    </row>
    <row r="11212" spans="1:1" ht="14.4">
      <c r="A11212" s="11"/>
    </row>
    <row r="11213" spans="1:1" ht="14.4">
      <c r="A11213" s="11"/>
    </row>
    <row r="11214" spans="1:1" ht="14.4">
      <c r="A11214" s="11"/>
    </row>
    <row r="11215" spans="1:1" ht="14.4">
      <c r="A11215" s="11"/>
    </row>
    <row r="11216" spans="1:1" ht="14.4">
      <c r="A11216" s="11"/>
    </row>
    <row r="11217" spans="1:1" ht="14.4">
      <c r="A11217" s="11"/>
    </row>
    <row r="11218" spans="1:1" ht="14.4">
      <c r="A11218" s="11"/>
    </row>
    <row r="11219" spans="1:1" ht="14.4">
      <c r="A11219" s="11"/>
    </row>
    <row r="11220" spans="1:1" ht="14.4">
      <c r="A11220" s="11"/>
    </row>
    <row r="11221" spans="1:1" ht="14.4">
      <c r="A11221" s="11"/>
    </row>
    <row r="11222" spans="1:1" ht="14.4">
      <c r="A11222" s="11"/>
    </row>
    <row r="11223" spans="1:1" ht="14.4">
      <c r="A11223" s="11"/>
    </row>
    <row r="11224" spans="1:1" ht="14.4">
      <c r="A11224" s="11"/>
    </row>
    <row r="11225" spans="1:1" ht="14.4">
      <c r="A11225" s="11"/>
    </row>
    <row r="11226" spans="1:1" ht="14.4">
      <c r="A11226" s="11"/>
    </row>
    <row r="11227" spans="1:1" ht="14.4">
      <c r="A11227" s="11"/>
    </row>
    <row r="11228" spans="1:1" ht="14.4">
      <c r="A11228" s="11"/>
    </row>
    <row r="11229" spans="1:1" ht="14.4">
      <c r="A11229" s="11"/>
    </row>
    <row r="11230" spans="1:1" ht="14.4">
      <c r="A11230" s="11"/>
    </row>
    <row r="11231" spans="1:1" ht="14.4">
      <c r="A11231" s="11"/>
    </row>
    <row r="11232" spans="1:1" ht="14.4">
      <c r="A11232" s="11"/>
    </row>
    <row r="11233" spans="1:1" ht="14.4">
      <c r="A11233" s="11"/>
    </row>
    <row r="11234" spans="1:1" ht="14.4">
      <c r="A11234" s="11"/>
    </row>
    <row r="11235" spans="1:1" ht="14.4">
      <c r="A11235" s="11"/>
    </row>
    <row r="11236" spans="1:1" ht="14.4">
      <c r="A11236" s="11"/>
    </row>
    <row r="11237" spans="1:1" ht="14.4">
      <c r="A11237" s="11"/>
    </row>
    <row r="11238" spans="1:1" ht="14.4">
      <c r="A11238" s="11"/>
    </row>
    <row r="11239" spans="1:1" ht="14.4">
      <c r="A11239" s="11"/>
    </row>
    <row r="11240" spans="1:1" ht="14.4">
      <c r="A11240" s="11"/>
    </row>
    <row r="11241" spans="1:1" ht="14.4">
      <c r="A11241" s="11"/>
    </row>
    <row r="11242" spans="1:1" ht="14.4">
      <c r="A11242" s="11"/>
    </row>
    <row r="11243" spans="1:1" ht="14.4">
      <c r="A11243" s="11"/>
    </row>
    <row r="11244" spans="1:1" ht="14.4">
      <c r="A11244" s="11"/>
    </row>
    <row r="11245" spans="1:1" ht="14.4">
      <c r="A11245" s="11"/>
    </row>
    <row r="11246" spans="1:1" ht="14.4">
      <c r="A11246" s="11"/>
    </row>
    <row r="11247" spans="1:1" ht="14.4">
      <c r="A11247" s="11"/>
    </row>
    <row r="11248" spans="1:1" ht="14.4">
      <c r="A11248" s="11"/>
    </row>
    <row r="11249" spans="1:1" ht="14.4">
      <c r="A11249" s="11"/>
    </row>
    <row r="11250" spans="1:1" ht="14.4">
      <c r="A11250" s="11"/>
    </row>
    <row r="11251" spans="1:1" ht="14.4">
      <c r="A11251" s="11"/>
    </row>
    <row r="11252" spans="1:1" ht="14.4">
      <c r="A11252" s="11"/>
    </row>
    <row r="11253" spans="1:1" ht="14.4">
      <c r="A11253" s="11"/>
    </row>
    <row r="11254" spans="1:1" ht="14.4">
      <c r="A11254" s="11"/>
    </row>
    <row r="11255" spans="1:1" ht="14.4">
      <c r="A11255" s="11"/>
    </row>
    <row r="11256" spans="1:1" ht="14.4">
      <c r="A11256" s="11"/>
    </row>
    <row r="11257" spans="1:1" ht="14.4">
      <c r="A11257" s="11"/>
    </row>
    <row r="11258" spans="1:1" ht="14.4">
      <c r="A11258" s="11"/>
    </row>
    <row r="11259" spans="1:1" ht="14.4">
      <c r="A11259" s="11"/>
    </row>
    <row r="11260" spans="1:1" ht="14.4">
      <c r="A11260" s="11"/>
    </row>
    <row r="11261" spans="1:1" ht="14.4">
      <c r="A11261" s="11"/>
    </row>
    <row r="11262" spans="1:1" ht="14.4">
      <c r="A11262" s="11"/>
    </row>
    <row r="11263" spans="1:1" ht="14.4">
      <c r="A11263" s="11"/>
    </row>
    <row r="11264" spans="1:1" ht="14.4">
      <c r="A11264" s="11"/>
    </row>
    <row r="11265" spans="1:1" ht="14.4">
      <c r="A11265" s="11"/>
    </row>
    <row r="11266" spans="1:1" ht="14.4">
      <c r="A11266" s="11"/>
    </row>
    <row r="11267" spans="1:1" ht="14.4">
      <c r="A11267" s="11"/>
    </row>
    <row r="11268" spans="1:1" ht="14.4">
      <c r="A11268" s="11"/>
    </row>
    <row r="11269" spans="1:1" ht="14.4">
      <c r="A11269" s="11"/>
    </row>
    <row r="11270" spans="1:1" ht="14.4">
      <c r="A11270" s="11"/>
    </row>
    <row r="11271" spans="1:1" ht="14.4">
      <c r="A11271" s="11"/>
    </row>
    <row r="11272" spans="1:1" ht="14.4">
      <c r="A11272" s="11"/>
    </row>
    <row r="11273" spans="1:1" ht="14.4">
      <c r="A11273" s="11"/>
    </row>
    <row r="11274" spans="1:1" ht="14.4">
      <c r="A11274" s="11"/>
    </row>
    <row r="11275" spans="1:1" ht="14.4">
      <c r="A11275" s="11"/>
    </row>
    <row r="11276" spans="1:1" ht="14.4">
      <c r="A11276" s="11"/>
    </row>
    <row r="11277" spans="1:1" ht="14.4">
      <c r="A11277" s="11"/>
    </row>
    <row r="11278" spans="1:1" ht="14.4">
      <c r="A11278" s="11"/>
    </row>
    <row r="11279" spans="1:1" ht="14.4">
      <c r="A11279" s="11"/>
    </row>
    <row r="11280" spans="1:1" ht="14.4">
      <c r="A11280" s="11"/>
    </row>
    <row r="11281" spans="1:1" ht="14.4">
      <c r="A11281" s="11"/>
    </row>
    <row r="11282" spans="1:1" ht="14.4">
      <c r="A11282" s="11"/>
    </row>
    <row r="11283" spans="1:1" ht="14.4">
      <c r="A11283" s="11"/>
    </row>
    <row r="11284" spans="1:1" ht="14.4">
      <c r="A11284" s="11"/>
    </row>
    <row r="11285" spans="1:1" ht="14.4">
      <c r="A11285" s="11"/>
    </row>
    <row r="11286" spans="1:1" ht="14.4">
      <c r="A11286" s="11"/>
    </row>
    <row r="11287" spans="1:1" ht="14.4">
      <c r="A11287" s="11"/>
    </row>
    <row r="11288" spans="1:1" ht="14.4">
      <c r="A11288" s="11"/>
    </row>
    <row r="11289" spans="1:1" ht="14.4">
      <c r="A11289" s="11"/>
    </row>
    <row r="11290" spans="1:1" ht="14.4">
      <c r="A11290" s="11"/>
    </row>
    <row r="11291" spans="1:1" ht="14.4">
      <c r="A11291" s="11"/>
    </row>
    <row r="11292" spans="1:1" ht="14.4">
      <c r="A11292" s="11"/>
    </row>
    <row r="11293" spans="1:1" ht="14.4">
      <c r="A11293" s="11"/>
    </row>
    <row r="11294" spans="1:1" ht="14.4">
      <c r="A11294" s="11"/>
    </row>
    <row r="11295" spans="1:1" ht="14.4">
      <c r="A11295" s="11"/>
    </row>
    <row r="11296" spans="1:1" ht="14.4">
      <c r="A11296" s="11"/>
    </row>
    <row r="11297" spans="1:1" ht="14.4">
      <c r="A11297" s="11"/>
    </row>
    <row r="11298" spans="1:1" ht="14.4">
      <c r="A11298" s="11"/>
    </row>
    <row r="11299" spans="1:1" ht="14.4">
      <c r="A11299" s="11"/>
    </row>
    <row r="11300" spans="1:1" ht="14.4">
      <c r="A11300" s="11"/>
    </row>
    <row r="11301" spans="1:1" ht="14.4">
      <c r="A11301" s="11"/>
    </row>
    <row r="11302" spans="1:1" ht="14.4">
      <c r="A11302" s="11"/>
    </row>
    <row r="11303" spans="1:1" ht="14.4">
      <c r="A11303" s="11"/>
    </row>
    <row r="11304" spans="1:1" ht="14.4">
      <c r="A11304" s="11"/>
    </row>
    <row r="11305" spans="1:1" ht="14.4">
      <c r="A11305" s="11"/>
    </row>
    <row r="11306" spans="1:1" ht="14.4">
      <c r="A11306" s="11"/>
    </row>
    <row r="11307" spans="1:1" ht="14.4">
      <c r="A11307" s="11"/>
    </row>
    <row r="11308" spans="1:1" ht="14.4">
      <c r="A11308" s="11"/>
    </row>
    <row r="11309" spans="1:1" ht="14.4">
      <c r="A11309" s="11"/>
    </row>
    <row r="11310" spans="1:1" ht="14.4">
      <c r="A11310" s="11"/>
    </row>
    <row r="11311" spans="1:1" ht="14.4">
      <c r="A11311" s="11"/>
    </row>
    <row r="11312" spans="1:1" ht="14.4">
      <c r="A11312" s="11"/>
    </row>
    <row r="11313" spans="1:1" ht="14.4">
      <c r="A11313" s="11"/>
    </row>
    <row r="11314" spans="1:1" ht="14.4">
      <c r="A11314" s="11"/>
    </row>
    <row r="11315" spans="1:1" ht="14.4">
      <c r="A11315" s="11"/>
    </row>
    <row r="11316" spans="1:1" ht="14.4">
      <c r="A11316" s="11"/>
    </row>
    <row r="11317" spans="1:1" ht="14.4">
      <c r="A11317" s="11"/>
    </row>
    <row r="11318" spans="1:1" ht="14.4">
      <c r="A11318" s="11"/>
    </row>
    <row r="11319" spans="1:1" ht="14.4">
      <c r="A11319" s="11"/>
    </row>
    <row r="11320" spans="1:1" ht="14.4">
      <c r="A11320" s="11"/>
    </row>
    <row r="11321" spans="1:1" ht="14.4">
      <c r="A11321" s="11"/>
    </row>
    <row r="11322" spans="1:1" ht="14.4">
      <c r="A11322" s="11"/>
    </row>
    <row r="11323" spans="1:1" ht="14.4">
      <c r="A11323" s="11"/>
    </row>
    <row r="11324" spans="1:1" ht="14.4">
      <c r="A11324" s="11"/>
    </row>
    <row r="11325" spans="1:1" ht="14.4">
      <c r="A11325" s="11"/>
    </row>
    <row r="11326" spans="1:1" ht="14.4">
      <c r="A11326" s="11"/>
    </row>
    <row r="11327" spans="1:1" ht="14.4">
      <c r="A11327" s="11"/>
    </row>
    <row r="11328" spans="1:1" ht="14.4">
      <c r="A11328" s="11"/>
    </row>
    <row r="11329" spans="1:1" ht="14.4">
      <c r="A11329" s="11"/>
    </row>
    <row r="11330" spans="1:1" ht="14.4">
      <c r="A11330" s="11"/>
    </row>
    <row r="11331" spans="1:1" ht="14.4">
      <c r="A11331" s="11"/>
    </row>
    <row r="11332" spans="1:1" ht="14.4">
      <c r="A11332" s="11"/>
    </row>
    <row r="11333" spans="1:1" ht="14.4">
      <c r="A11333" s="11"/>
    </row>
    <row r="11334" spans="1:1" ht="14.4">
      <c r="A11334" s="11"/>
    </row>
    <row r="11335" spans="1:1" ht="14.4">
      <c r="A11335" s="11"/>
    </row>
    <row r="11336" spans="1:1" ht="14.4">
      <c r="A11336" s="11"/>
    </row>
    <row r="11337" spans="1:1" ht="14.4">
      <c r="A11337" s="11"/>
    </row>
    <row r="11338" spans="1:1" ht="14.4">
      <c r="A11338" s="11"/>
    </row>
    <row r="11339" spans="1:1" ht="14.4">
      <c r="A11339" s="11"/>
    </row>
    <row r="11340" spans="1:1" ht="14.4">
      <c r="A11340" s="11"/>
    </row>
    <row r="11341" spans="1:1" ht="14.4">
      <c r="A11341" s="11"/>
    </row>
    <row r="11342" spans="1:1" ht="14.4">
      <c r="A11342" s="11"/>
    </row>
    <row r="11343" spans="1:1" ht="14.4">
      <c r="A11343" s="11"/>
    </row>
    <row r="11344" spans="1:1" ht="14.4">
      <c r="A11344" s="11"/>
    </row>
    <row r="11345" spans="1:1" ht="14.4">
      <c r="A11345" s="11"/>
    </row>
    <row r="11346" spans="1:1" ht="14.4">
      <c r="A11346" s="11"/>
    </row>
    <row r="11347" spans="1:1" ht="14.4">
      <c r="A11347" s="11"/>
    </row>
    <row r="11348" spans="1:1" ht="14.4">
      <c r="A11348" s="11"/>
    </row>
    <row r="11349" spans="1:1" ht="14.4">
      <c r="A11349" s="11"/>
    </row>
    <row r="11350" spans="1:1" ht="14.4">
      <c r="A11350" s="11"/>
    </row>
    <row r="11351" spans="1:1" ht="14.4">
      <c r="A11351" s="11"/>
    </row>
    <row r="11352" spans="1:1" ht="14.4">
      <c r="A11352" s="11"/>
    </row>
    <row r="11353" spans="1:1" ht="14.4">
      <c r="A11353" s="11"/>
    </row>
    <row r="11354" spans="1:1" ht="14.4">
      <c r="A11354" s="11"/>
    </row>
    <row r="11355" spans="1:1" ht="14.4">
      <c r="A11355" s="11"/>
    </row>
    <row r="11356" spans="1:1" ht="14.4">
      <c r="A11356" s="11"/>
    </row>
    <row r="11357" spans="1:1" ht="14.4">
      <c r="A11357" s="11"/>
    </row>
    <row r="11358" spans="1:1" ht="14.4">
      <c r="A11358" s="11"/>
    </row>
    <row r="11359" spans="1:1" ht="14.4">
      <c r="A11359" s="11"/>
    </row>
    <row r="11360" spans="1:1" ht="14.4">
      <c r="A11360" s="11"/>
    </row>
    <row r="11361" spans="1:1" ht="14.4">
      <c r="A11361" s="11"/>
    </row>
    <row r="11362" spans="1:1" ht="14.4">
      <c r="A11362" s="11"/>
    </row>
    <row r="11363" spans="1:1" ht="14.4">
      <c r="A11363" s="11"/>
    </row>
    <row r="11364" spans="1:1" ht="14.4">
      <c r="A11364" s="11"/>
    </row>
    <row r="11365" spans="1:1" ht="14.4">
      <c r="A11365" s="11"/>
    </row>
    <row r="11366" spans="1:1" ht="14.4">
      <c r="A11366" s="11"/>
    </row>
    <row r="11367" spans="1:1" ht="14.4">
      <c r="A11367" s="11"/>
    </row>
    <row r="11368" spans="1:1" ht="14.4">
      <c r="A11368" s="11"/>
    </row>
    <row r="11369" spans="1:1" ht="14.4">
      <c r="A11369" s="11"/>
    </row>
    <row r="11370" spans="1:1" ht="14.4">
      <c r="A11370" s="11"/>
    </row>
    <row r="11371" spans="1:1" ht="14.4">
      <c r="A11371" s="11"/>
    </row>
    <row r="11372" spans="1:1" ht="14.4">
      <c r="A11372" s="11"/>
    </row>
    <row r="11373" spans="1:1" ht="14.4">
      <c r="A11373" s="11"/>
    </row>
    <row r="11374" spans="1:1" ht="14.4">
      <c r="A11374" s="11"/>
    </row>
    <row r="11375" spans="1:1" ht="14.4">
      <c r="A11375" s="11"/>
    </row>
    <row r="11376" spans="1:1" ht="14.4">
      <c r="A11376" s="11"/>
    </row>
    <row r="11377" spans="1:1" ht="14.4">
      <c r="A11377" s="11"/>
    </row>
    <row r="11378" spans="1:1" ht="14.4">
      <c r="A11378" s="11"/>
    </row>
    <row r="11379" spans="1:1" ht="14.4">
      <c r="A11379" s="11"/>
    </row>
    <row r="11380" spans="1:1" ht="14.4">
      <c r="A11380" s="11"/>
    </row>
    <row r="11381" spans="1:1" ht="14.4">
      <c r="A11381" s="11"/>
    </row>
    <row r="11382" spans="1:1" ht="14.4">
      <c r="A11382" s="11"/>
    </row>
    <row r="11383" spans="1:1" ht="14.4">
      <c r="A11383" s="11"/>
    </row>
    <row r="11384" spans="1:1" ht="14.4">
      <c r="A11384" s="11"/>
    </row>
    <row r="11385" spans="1:1" ht="14.4">
      <c r="A11385" s="11"/>
    </row>
    <row r="11386" spans="1:1" ht="14.4">
      <c r="A11386" s="11"/>
    </row>
    <row r="11387" spans="1:1" ht="14.4">
      <c r="A11387" s="11"/>
    </row>
    <row r="11388" spans="1:1" ht="14.4">
      <c r="A11388" s="11"/>
    </row>
    <row r="11389" spans="1:1" ht="14.4">
      <c r="A11389" s="11"/>
    </row>
    <row r="11390" spans="1:1" ht="14.4">
      <c r="A11390" s="11"/>
    </row>
    <row r="11391" spans="1:1" ht="14.4">
      <c r="A11391" s="11"/>
    </row>
    <row r="11392" spans="1:1" ht="14.4">
      <c r="A11392" s="11"/>
    </row>
    <row r="11393" spans="1:1" ht="14.4">
      <c r="A11393" s="11"/>
    </row>
    <row r="11394" spans="1:1" ht="14.4">
      <c r="A11394" s="11"/>
    </row>
    <row r="11395" spans="1:1" ht="14.4">
      <c r="A11395" s="11"/>
    </row>
    <row r="11396" spans="1:1" ht="14.4">
      <c r="A11396" s="11"/>
    </row>
    <row r="11397" spans="1:1" ht="14.4">
      <c r="A11397" s="11"/>
    </row>
    <row r="11398" spans="1:1" ht="14.4">
      <c r="A11398" s="11"/>
    </row>
    <row r="11399" spans="1:1" ht="14.4">
      <c r="A11399" s="11"/>
    </row>
    <row r="11400" spans="1:1" ht="14.4">
      <c r="A11400" s="11"/>
    </row>
    <row r="11401" spans="1:1" ht="14.4">
      <c r="A11401" s="11"/>
    </row>
    <row r="11402" spans="1:1" ht="14.4">
      <c r="A11402" s="11"/>
    </row>
    <row r="11403" spans="1:1" ht="14.4">
      <c r="A11403" s="11"/>
    </row>
    <row r="11404" spans="1:1" ht="14.4">
      <c r="A11404" s="11"/>
    </row>
    <row r="11405" spans="1:1" ht="14.4">
      <c r="A11405" s="11"/>
    </row>
    <row r="11406" spans="1:1" ht="14.4">
      <c r="A11406" s="11"/>
    </row>
    <row r="11407" spans="1:1" ht="14.4">
      <c r="A11407" s="11"/>
    </row>
    <row r="11408" spans="1:1" ht="14.4">
      <c r="A11408" s="11"/>
    </row>
    <row r="11409" spans="1:1" ht="14.4">
      <c r="A11409" s="11"/>
    </row>
    <row r="11410" spans="1:1" ht="14.4">
      <c r="A11410" s="11"/>
    </row>
    <row r="11411" spans="1:1" ht="14.4">
      <c r="A11411" s="11"/>
    </row>
    <row r="11412" spans="1:1" ht="14.4">
      <c r="A11412" s="11"/>
    </row>
    <row r="11413" spans="1:1" ht="14.4">
      <c r="A11413" s="11"/>
    </row>
    <row r="11414" spans="1:1" ht="14.4">
      <c r="A11414" s="11"/>
    </row>
    <row r="11415" spans="1:1" ht="14.4">
      <c r="A11415" s="11"/>
    </row>
    <row r="11416" spans="1:1" ht="14.4">
      <c r="A11416" s="11"/>
    </row>
    <row r="11417" spans="1:1" ht="14.4">
      <c r="A11417" s="11"/>
    </row>
    <row r="11418" spans="1:1" ht="14.4">
      <c r="A11418" s="11"/>
    </row>
    <row r="11419" spans="1:1" ht="14.4">
      <c r="A11419" s="11"/>
    </row>
    <row r="11420" spans="1:1" ht="14.4">
      <c r="A11420" s="11"/>
    </row>
    <row r="11421" spans="1:1" ht="14.4">
      <c r="A11421" s="11"/>
    </row>
    <row r="11422" spans="1:1" ht="14.4">
      <c r="A11422" s="11"/>
    </row>
    <row r="11423" spans="1:1" ht="14.4">
      <c r="A11423" s="11"/>
    </row>
    <row r="11424" spans="1:1" ht="14.4">
      <c r="A11424" s="11"/>
    </row>
    <row r="11425" spans="1:1" ht="14.4">
      <c r="A11425" s="11"/>
    </row>
    <row r="11426" spans="1:1" ht="14.4">
      <c r="A11426" s="11"/>
    </row>
    <row r="11427" spans="1:1" ht="14.4">
      <c r="A11427" s="11"/>
    </row>
    <row r="11428" spans="1:1" ht="14.4">
      <c r="A11428" s="11"/>
    </row>
    <row r="11429" spans="1:1" ht="14.4">
      <c r="A11429" s="11"/>
    </row>
    <row r="11430" spans="1:1" ht="14.4">
      <c r="A11430" s="11"/>
    </row>
    <row r="11431" spans="1:1" ht="14.4">
      <c r="A11431" s="11"/>
    </row>
    <row r="11432" spans="1:1" ht="14.4">
      <c r="A11432" s="11"/>
    </row>
    <row r="11433" spans="1:1" ht="14.4">
      <c r="A11433" s="11"/>
    </row>
    <row r="11434" spans="1:1" ht="14.4">
      <c r="A11434" s="11"/>
    </row>
    <row r="11435" spans="1:1" ht="14.4">
      <c r="A11435" s="11"/>
    </row>
    <row r="11436" spans="1:1" ht="14.4">
      <c r="A11436" s="11"/>
    </row>
    <row r="11437" spans="1:1" ht="14.4">
      <c r="A11437" s="11"/>
    </row>
    <row r="11438" spans="1:1" ht="14.4">
      <c r="A11438" s="11"/>
    </row>
    <row r="11439" spans="1:1" ht="14.4">
      <c r="A11439" s="11"/>
    </row>
    <row r="11440" spans="1:1" ht="14.4">
      <c r="A11440" s="11"/>
    </row>
    <row r="11441" spans="1:1" ht="14.4">
      <c r="A11441" s="11"/>
    </row>
    <row r="11442" spans="1:1" ht="14.4">
      <c r="A11442" s="11"/>
    </row>
    <row r="11443" spans="1:1" ht="14.4">
      <c r="A11443" s="11"/>
    </row>
    <row r="11444" spans="1:1" ht="14.4">
      <c r="A11444" s="11"/>
    </row>
    <row r="11445" spans="1:1" ht="14.4">
      <c r="A11445" s="11"/>
    </row>
    <row r="11446" spans="1:1" ht="14.4">
      <c r="A11446" s="11"/>
    </row>
    <row r="11447" spans="1:1" ht="14.4">
      <c r="A11447" s="11"/>
    </row>
    <row r="11448" spans="1:1" ht="14.4">
      <c r="A11448" s="11"/>
    </row>
    <row r="11449" spans="1:1" ht="14.4">
      <c r="A11449" s="11"/>
    </row>
    <row r="11450" spans="1:1" ht="14.4">
      <c r="A11450" s="11"/>
    </row>
    <row r="11451" spans="1:1" ht="14.4">
      <c r="A11451" s="11"/>
    </row>
    <row r="11452" spans="1:1" ht="14.4">
      <c r="A11452" s="11"/>
    </row>
    <row r="11453" spans="1:1" ht="14.4">
      <c r="A11453" s="11"/>
    </row>
    <row r="11454" spans="1:1" ht="14.4">
      <c r="A11454" s="11"/>
    </row>
    <row r="11455" spans="1:1" ht="14.4">
      <c r="A11455" s="11"/>
    </row>
    <row r="11456" spans="1:1" ht="14.4">
      <c r="A11456" s="11"/>
    </row>
    <row r="11457" spans="1:1" ht="14.4">
      <c r="A11457" s="11"/>
    </row>
    <row r="11458" spans="1:1" ht="14.4">
      <c r="A11458" s="11"/>
    </row>
    <row r="11459" spans="1:1" ht="14.4">
      <c r="A11459" s="11"/>
    </row>
    <row r="11460" spans="1:1" ht="14.4">
      <c r="A11460" s="11"/>
    </row>
    <row r="11461" spans="1:1" ht="14.4">
      <c r="A11461" s="11"/>
    </row>
    <row r="11462" spans="1:1" ht="14.4">
      <c r="A11462" s="11"/>
    </row>
    <row r="11463" spans="1:1" ht="14.4">
      <c r="A11463" s="11"/>
    </row>
    <row r="11464" spans="1:1" ht="14.4">
      <c r="A11464" s="11"/>
    </row>
    <row r="11465" spans="1:1" ht="14.4">
      <c r="A11465" s="11"/>
    </row>
    <row r="11466" spans="1:1" ht="14.4">
      <c r="A11466" s="11"/>
    </row>
    <row r="11467" spans="1:1" ht="14.4">
      <c r="A11467" s="11"/>
    </row>
    <row r="11468" spans="1:1" ht="14.4">
      <c r="A11468" s="11"/>
    </row>
    <row r="11469" spans="1:1" ht="14.4">
      <c r="A11469" s="11"/>
    </row>
    <row r="11470" spans="1:1" ht="14.4">
      <c r="A11470" s="11"/>
    </row>
    <row r="11471" spans="1:1" ht="14.4">
      <c r="A11471" s="11"/>
    </row>
    <row r="11472" spans="1:1" ht="14.4">
      <c r="A11472" s="11"/>
    </row>
    <row r="11473" spans="1:1" ht="14.4">
      <c r="A11473" s="11"/>
    </row>
    <row r="11474" spans="1:1" ht="14.4">
      <c r="A11474" s="11"/>
    </row>
    <row r="11475" spans="1:1" ht="14.4">
      <c r="A11475" s="11"/>
    </row>
    <row r="11476" spans="1:1" ht="14.4">
      <c r="A11476" s="11"/>
    </row>
    <row r="11477" spans="1:1" ht="14.4">
      <c r="A11477" s="11"/>
    </row>
    <row r="11478" spans="1:1" ht="14.4">
      <c r="A11478" s="11"/>
    </row>
    <row r="11479" spans="1:1" ht="14.4">
      <c r="A11479" s="11"/>
    </row>
    <row r="11480" spans="1:1" ht="14.4">
      <c r="A11480" s="11"/>
    </row>
    <row r="11481" spans="1:1" ht="14.4">
      <c r="A11481" s="11"/>
    </row>
    <row r="11482" spans="1:1" ht="14.4">
      <c r="A11482" s="11"/>
    </row>
    <row r="11483" spans="1:1" ht="14.4">
      <c r="A11483" s="11"/>
    </row>
    <row r="11484" spans="1:1" ht="14.4">
      <c r="A11484" s="11"/>
    </row>
    <row r="11485" spans="1:1" ht="14.4">
      <c r="A11485" s="11"/>
    </row>
    <row r="11486" spans="1:1" ht="14.4">
      <c r="A11486" s="11"/>
    </row>
    <row r="11487" spans="1:1" ht="14.4">
      <c r="A11487" s="11"/>
    </row>
    <row r="11488" spans="1:1" ht="14.4">
      <c r="A11488" s="11"/>
    </row>
    <row r="11489" spans="1:1" ht="14.4">
      <c r="A11489" s="11"/>
    </row>
    <row r="11490" spans="1:1" ht="14.4">
      <c r="A11490" s="11"/>
    </row>
    <row r="11491" spans="1:1" ht="14.4">
      <c r="A11491" s="11"/>
    </row>
    <row r="11492" spans="1:1" ht="14.4">
      <c r="A11492" s="11"/>
    </row>
    <row r="11493" spans="1:1" ht="14.4">
      <c r="A11493" s="11"/>
    </row>
    <row r="11494" spans="1:1" ht="14.4">
      <c r="A11494" s="11"/>
    </row>
    <row r="11495" spans="1:1" ht="14.4">
      <c r="A11495" s="11"/>
    </row>
    <row r="11496" spans="1:1" ht="14.4">
      <c r="A11496" s="11"/>
    </row>
    <row r="11497" spans="1:1" ht="14.4">
      <c r="A11497" s="11"/>
    </row>
    <row r="11498" spans="1:1" ht="14.4">
      <c r="A11498" s="11"/>
    </row>
    <row r="11499" spans="1:1" ht="14.4">
      <c r="A11499" s="11"/>
    </row>
    <row r="11500" spans="1:1" ht="14.4">
      <c r="A11500" s="11"/>
    </row>
    <row r="11501" spans="1:1" ht="14.4">
      <c r="A11501" s="11"/>
    </row>
    <row r="11502" spans="1:1" ht="14.4">
      <c r="A11502" s="11"/>
    </row>
    <row r="11503" spans="1:1" ht="14.4">
      <c r="A11503" s="11"/>
    </row>
    <row r="11504" spans="1:1" ht="14.4">
      <c r="A11504" s="11"/>
    </row>
    <row r="11505" spans="1:1" ht="14.4">
      <c r="A11505" s="11"/>
    </row>
    <row r="11506" spans="1:1" ht="14.4">
      <c r="A11506" s="11"/>
    </row>
    <row r="11507" spans="1:1" ht="14.4">
      <c r="A11507" s="11"/>
    </row>
    <row r="11508" spans="1:1" ht="14.4">
      <c r="A11508" s="11"/>
    </row>
    <row r="11509" spans="1:1" ht="14.4">
      <c r="A11509" s="11"/>
    </row>
    <row r="11510" spans="1:1" ht="14.4">
      <c r="A11510" s="11"/>
    </row>
    <row r="11511" spans="1:1" ht="14.4">
      <c r="A11511" s="11"/>
    </row>
    <row r="11512" spans="1:1" ht="14.4">
      <c r="A11512" s="11"/>
    </row>
    <row r="11513" spans="1:1" ht="14.4">
      <c r="A11513" s="11"/>
    </row>
    <row r="11514" spans="1:1" ht="14.4">
      <c r="A11514" s="11"/>
    </row>
    <row r="11515" spans="1:1" ht="14.4">
      <c r="A11515" s="11"/>
    </row>
    <row r="11516" spans="1:1" ht="14.4">
      <c r="A11516" s="11"/>
    </row>
    <row r="11517" spans="1:1" ht="14.4">
      <c r="A11517" s="11"/>
    </row>
    <row r="11518" spans="1:1" ht="14.4">
      <c r="A11518" s="11"/>
    </row>
    <row r="11519" spans="1:1" ht="14.4">
      <c r="A11519" s="11"/>
    </row>
    <row r="11520" spans="1:1" ht="14.4">
      <c r="A11520" s="11"/>
    </row>
    <row r="11521" spans="1:1" ht="14.4">
      <c r="A11521" s="11"/>
    </row>
    <row r="11522" spans="1:1" ht="14.4">
      <c r="A11522" s="11"/>
    </row>
    <row r="11523" spans="1:1" ht="14.4">
      <c r="A11523" s="11"/>
    </row>
    <row r="11524" spans="1:1" ht="14.4">
      <c r="A11524" s="11"/>
    </row>
    <row r="11525" spans="1:1" ht="14.4">
      <c r="A11525" s="11"/>
    </row>
    <row r="11526" spans="1:1" ht="14.4">
      <c r="A11526" s="11"/>
    </row>
    <row r="11527" spans="1:1" ht="14.4">
      <c r="A11527" s="11"/>
    </row>
    <row r="11528" spans="1:1" ht="14.4">
      <c r="A11528" s="11"/>
    </row>
    <row r="11529" spans="1:1" ht="14.4">
      <c r="A11529" s="11"/>
    </row>
    <row r="11530" spans="1:1" ht="14.4">
      <c r="A11530" s="11"/>
    </row>
    <row r="11531" spans="1:1" ht="14.4">
      <c r="A11531" s="11"/>
    </row>
    <row r="11532" spans="1:1" ht="14.4">
      <c r="A11532" s="11"/>
    </row>
    <row r="11533" spans="1:1" ht="14.4">
      <c r="A11533" s="11"/>
    </row>
    <row r="11534" spans="1:1" ht="14.4">
      <c r="A11534" s="11"/>
    </row>
    <row r="11535" spans="1:1" ht="14.4">
      <c r="A11535" s="11"/>
    </row>
    <row r="11536" spans="1:1" ht="14.4">
      <c r="A11536" s="11"/>
    </row>
    <row r="11537" spans="1:1" ht="14.4">
      <c r="A11537" s="11"/>
    </row>
    <row r="11538" spans="1:1" ht="14.4">
      <c r="A11538" s="11"/>
    </row>
    <row r="11539" spans="1:1" ht="14.4">
      <c r="A11539" s="11"/>
    </row>
    <row r="11540" spans="1:1" ht="14.4">
      <c r="A11540" s="11"/>
    </row>
    <row r="11541" spans="1:1" ht="14.4">
      <c r="A11541" s="11"/>
    </row>
    <row r="11542" spans="1:1" ht="14.4">
      <c r="A11542" s="11"/>
    </row>
    <row r="11543" spans="1:1" ht="14.4">
      <c r="A11543" s="11"/>
    </row>
    <row r="11544" spans="1:1" ht="14.4">
      <c r="A11544" s="11"/>
    </row>
    <row r="11545" spans="1:1" ht="14.4">
      <c r="A11545" s="11"/>
    </row>
    <row r="11546" spans="1:1" ht="14.4">
      <c r="A11546" s="11"/>
    </row>
    <row r="11547" spans="1:1" ht="14.4">
      <c r="A11547" s="11"/>
    </row>
    <row r="11548" spans="1:1" ht="14.4">
      <c r="A11548" s="11"/>
    </row>
    <row r="11549" spans="1:1" ht="14.4">
      <c r="A11549" s="11"/>
    </row>
    <row r="11550" spans="1:1" ht="14.4">
      <c r="A11550" s="11"/>
    </row>
    <row r="11551" spans="1:1" ht="14.4">
      <c r="A11551" s="11"/>
    </row>
    <row r="11552" spans="1:1" ht="14.4">
      <c r="A11552" s="11"/>
    </row>
    <row r="11553" spans="1:1" ht="14.4">
      <c r="A11553" s="11"/>
    </row>
    <row r="11554" spans="1:1" ht="14.4">
      <c r="A11554" s="11"/>
    </row>
    <row r="11555" spans="1:1" ht="14.4">
      <c r="A11555" s="11"/>
    </row>
    <row r="11556" spans="1:1" ht="14.4">
      <c r="A11556" s="11"/>
    </row>
    <row r="11557" spans="1:1" ht="14.4">
      <c r="A11557" s="11"/>
    </row>
    <row r="11558" spans="1:1" ht="14.4">
      <c r="A11558" s="11"/>
    </row>
    <row r="11559" spans="1:1" ht="14.4">
      <c r="A11559" s="11"/>
    </row>
    <row r="11560" spans="1:1" ht="14.4">
      <c r="A11560" s="11"/>
    </row>
    <row r="11561" spans="1:1" ht="14.4">
      <c r="A11561" s="11"/>
    </row>
    <row r="11562" spans="1:1" ht="14.4">
      <c r="A11562" s="11"/>
    </row>
    <row r="11563" spans="1:1" ht="14.4">
      <c r="A11563" s="11"/>
    </row>
    <row r="11564" spans="1:1" ht="14.4">
      <c r="A11564" s="11"/>
    </row>
    <row r="11565" spans="1:1" ht="14.4">
      <c r="A11565" s="11"/>
    </row>
    <row r="11566" spans="1:1" ht="14.4">
      <c r="A11566" s="11"/>
    </row>
    <row r="11567" spans="1:1" ht="14.4">
      <c r="A11567" s="11"/>
    </row>
    <row r="11568" spans="1:1" ht="14.4">
      <c r="A11568" s="11"/>
    </row>
    <row r="11569" spans="1:1" ht="14.4">
      <c r="A11569" s="11"/>
    </row>
    <row r="11570" spans="1:1" ht="14.4">
      <c r="A11570" s="11"/>
    </row>
    <row r="11571" spans="1:1" ht="14.4">
      <c r="A11571" s="11"/>
    </row>
    <row r="11572" spans="1:1" ht="14.4">
      <c r="A11572" s="11"/>
    </row>
    <row r="11573" spans="1:1" ht="14.4">
      <c r="A11573" s="11"/>
    </row>
    <row r="11574" spans="1:1" ht="14.4">
      <c r="A11574" s="11"/>
    </row>
    <row r="11575" spans="1:1" ht="14.4">
      <c r="A11575" s="11"/>
    </row>
    <row r="11576" spans="1:1" ht="14.4">
      <c r="A11576" s="11"/>
    </row>
    <row r="11577" spans="1:1" ht="14.4">
      <c r="A11577" s="11"/>
    </row>
    <row r="11578" spans="1:1" ht="14.4">
      <c r="A11578" s="11"/>
    </row>
    <row r="11579" spans="1:1" ht="14.4">
      <c r="A11579" s="11"/>
    </row>
    <row r="11580" spans="1:1" ht="14.4">
      <c r="A11580" s="11"/>
    </row>
    <row r="11581" spans="1:1" ht="14.4">
      <c r="A11581" s="11"/>
    </row>
    <row r="11582" spans="1:1" ht="14.4">
      <c r="A11582" s="11"/>
    </row>
    <row r="11583" spans="1:1" ht="14.4">
      <c r="A11583" s="11"/>
    </row>
    <row r="11584" spans="1:1" ht="14.4">
      <c r="A11584" s="11"/>
    </row>
    <row r="11585" spans="1:1" ht="14.4">
      <c r="A11585" s="11"/>
    </row>
    <row r="11586" spans="1:1" ht="14.4">
      <c r="A11586" s="11"/>
    </row>
    <row r="11587" spans="1:1" ht="14.4">
      <c r="A11587" s="11"/>
    </row>
    <row r="11588" spans="1:1" ht="14.4">
      <c r="A11588" s="11"/>
    </row>
    <row r="11589" spans="1:1" ht="14.4">
      <c r="A11589" s="11"/>
    </row>
    <row r="11590" spans="1:1" ht="14.4">
      <c r="A11590" s="11"/>
    </row>
    <row r="11591" spans="1:1" ht="14.4">
      <c r="A11591" s="11"/>
    </row>
    <row r="11592" spans="1:1" ht="14.4">
      <c r="A11592" s="11"/>
    </row>
    <row r="11593" spans="1:1" ht="14.4">
      <c r="A11593" s="11"/>
    </row>
    <row r="11594" spans="1:1" ht="14.4">
      <c r="A11594" s="11"/>
    </row>
    <row r="11595" spans="1:1" ht="14.4">
      <c r="A11595" s="11"/>
    </row>
    <row r="11596" spans="1:1" ht="14.4">
      <c r="A11596" s="11"/>
    </row>
    <row r="11597" spans="1:1" ht="14.4">
      <c r="A11597" s="11"/>
    </row>
    <row r="11598" spans="1:1" ht="14.4">
      <c r="A11598" s="11"/>
    </row>
    <row r="11599" spans="1:1" ht="14.4">
      <c r="A11599" s="11"/>
    </row>
    <row r="11600" spans="1:1" ht="14.4">
      <c r="A11600" s="11"/>
    </row>
    <row r="11601" spans="1:1" ht="14.4">
      <c r="A11601" s="11"/>
    </row>
    <row r="11602" spans="1:1" ht="14.4">
      <c r="A11602" s="11"/>
    </row>
    <row r="11603" spans="1:1" ht="14.4">
      <c r="A11603" s="11"/>
    </row>
    <row r="11604" spans="1:1" ht="14.4">
      <c r="A11604" s="11"/>
    </row>
    <row r="11605" spans="1:1" ht="14.4">
      <c r="A11605" s="11"/>
    </row>
    <row r="11606" spans="1:1" ht="14.4">
      <c r="A11606" s="11"/>
    </row>
    <row r="11607" spans="1:1" ht="14.4">
      <c r="A11607" s="11"/>
    </row>
    <row r="11608" spans="1:1" ht="14.4">
      <c r="A11608" s="11"/>
    </row>
    <row r="11609" spans="1:1" ht="14.4">
      <c r="A11609" s="11"/>
    </row>
    <row r="11610" spans="1:1" ht="14.4">
      <c r="A11610" s="11"/>
    </row>
    <row r="11611" spans="1:1" ht="14.4">
      <c r="A11611" s="11"/>
    </row>
    <row r="11612" spans="1:1" ht="14.4">
      <c r="A11612" s="11"/>
    </row>
    <row r="11613" spans="1:1" ht="14.4">
      <c r="A11613" s="11"/>
    </row>
    <row r="11614" spans="1:1" ht="14.4">
      <c r="A11614" s="11"/>
    </row>
    <row r="11615" spans="1:1" ht="14.4">
      <c r="A11615" s="11"/>
    </row>
    <row r="11616" spans="1:1" ht="14.4">
      <c r="A11616" s="11"/>
    </row>
    <row r="11617" spans="1:1" ht="14.4">
      <c r="A11617" s="11"/>
    </row>
    <row r="11618" spans="1:1" ht="14.4">
      <c r="A11618" s="11"/>
    </row>
    <row r="11619" spans="1:1" ht="14.4">
      <c r="A11619" s="11"/>
    </row>
    <row r="11620" spans="1:1" ht="14.4">
      <c r="A11620" s="11"/>
    </row>
    <row r="11621" spans="1:1" ht="14.4">
      <c r="A11621" s="11"/>
    </row>
    <row r="11622" spans="1:1" ht="14.4">
      <c r="A11622" s="11"/>
    </row>
    <row r="11623" spans="1:1" ht="14.4">
      <c r="A11623" s="11"/>
    </row>
    <row r="11624" spans="1:1" ht="14.4">
      <c r="A11624" s="11"/>
    </row>
    <row r="11625" spans="1:1" ht="14.4">
      <c r="A11625" s="11"/>
    </row>
    <row r="11626" spans="1:1" ht="14.4">
      <c r="A11626" s="11"/>
    </row>
    <row r="11627" spans="1:1" ht="14.4">
      <c r="A11627" s="11"/>
    </row>
    <row r="11628" spans="1:1" ht="14.4">
      <c r="A11628" s="11"/>
    </row>
    <row r="11629" spans="1:1" ht="14.4">
      <c r="A11629" s="11"/>
    </row>
    <row r="11630" spans="1:1" ht="14.4">
      <c r="A11630" s="11"/>
    </row>
    <row r="11631" spans="1:1" ht="14.4">
      <c r="A11631" s="11"/>
    </row>
    <row r="11632" spans="1:1" ht="14.4">
      <c r="A11632" s="11"/>
    </row>
    <row r="11633" spans="1:1" ht="14.4">
      <c r="A11633" s="11"/>
    </row>
    <row r="11634" spans="1:1" ht="14.4">
      <c r="A11634" s="11"/>
    </row>
    <row r="11635" spans="1:1" ht="14.4">
      <c r="A11635" s="11"/>
    </row>
    <row r="11636" spans="1:1" ht="14.4">
      <c r="A11636" s="11"/>
    </row>
    <row r="11637" spans="1:1" ht="14.4">
      <c r="A11637" s="11"/>
    </row>
    <row r="11638" spans="1:1" ht="14.4">
      <c r="A11638" s="11"/>
    </row>
    <row r="11639" spans="1:1" ht="14.4">
      <c r="A11639" s="11"/>
    </row>
    <row r="11640" spans="1:1" ht="14.4">
      <c r="A11640" s="11"/>
    </row>
    <row r="11641" spans="1:1" ht="14.4">
      <c r="A11641" s="11"/>
    </row>
    <row r="11642" spans="1:1" ht="14.4">
      <c r="A11642" s="11"/>
    </row>
    <row r="11643" spans="1:1" ht="14.4">
      <c r="A11643" s="11"/>
    </row>
    <row r="11644" spans="1:1" ht="14.4">
      <c r="A11644" s="11"/>
    </row>
    <row r="11645" spans="1:1" ht="14.4">
      <c r="A11645" s="11"/>
    </row>
    <row r="11646" spans="1:1" ht="14.4">
      <c r="A11646" s="11"/>
    </row>
    <row r="11647" spans="1:1" ht="14.4">
      <c r="A11647" s="11"/>
    </row>
    <row r="11648" spans="1:1" ht="14.4">
      <c r="A11648" s="11"/>
    </row>
    <row r="11649" spans="1:1" ht="14.4">
      <c r="A11649" s="11"/>
    </row>
    <row r="11650" spans="1:1" ht="14.4">
      <c r="A11650" s="11"/>
    </row>
    <row r="11651" spans="1:1" ht="14.4">
      <c r="A11651" s="11"/>
    </row>
    <row r="11652" spans="1:1" ht="14.4">
      <c r="A11652" s="11"/>
    </row>
    <row r="11653" spans="1:1" ht="14.4">
      <c r="A11653" s="11"/>
    </row>
    <row r="11654" spans="1:1" ht="14.4">
      <c r="A11654" s="11"/>
    </row>
    <row r="11655" spans="1:1" ht="14.4">
      <c r="A11655" s="11"/>
    </row>
    <row r="11656" spans="1:1" ht="14.4">
      <c r="A11656" s="11"/>
    </row>
    <row r="11657" spans="1:1" ht="14.4">
      <c r="A11657" s="11"/>
    </row>
    <row r="11658" spans="1:1" ht="14.4">
      <c r="A11658" s="11"/>
    </row>
    <row r="11659" spans="1:1" ht="14.4">
      <c r="A11659" s="11"/>
    </row>
    <row r="11660" spans="1:1" ht="14.4">
      <c r="A11660" s="11"/>
    </row>
    <row r="11661" spans="1:1" ht="14.4">
      <c r="A11661" s="11"/>
    </row>
    <row r="11662" spans="1:1" ht="14.4">
      <c r="A11662" s="11"/>
    </row>
    <row r="11663" spans="1:1" ht="14.4">
      <c r="A11663" s="11"/>
    </row>
    <row r="11664" spans="1:1" ht="14.4">
      <c r="A11664" s="11"/>
    </row>
    <row r="11665" spans="1:1" ht="14.4">
      <c r="A11665" s="11"/>
    </row>
    <row r="11666" spans="1:1" ht="14.4">
      <c r="A11666" s="11"/>
    </row>
    <row r="11667" spans="1:1" ht="14.4">
      <c r="A11667" s="11"/>
    </row>
    <row r="11668" spans="1:1" ht="14.4">
      <c r="A11668" s="11"/>
    </row>
    <row r="11669" spans="1:1" ht="14.4">
      <c r="A11669" s="11"/>
    </row>
    <row r="11670" spans="1:1" ht="14.4">
      <c r="A11670" s="11"/>
    </row>
    <row r="11671" spans="1:1" ht="14.4">
      <c r="A11671" s="11"/>
    </row>
    <row r="11672" spans="1:1" ht="14.4">
      <c r="A11672" s="11"/>
    </row>
    <row r="11673" spans="1:1" ht="14.4">
      <c r="A11673" s="11"/>
    </row>
    <row r="11674" spans="1:1" ht="14.4">
      <c r="A11674" s="11"/>
    </row>
    <row r="11675" spans="1:1" ht="14.4">
      <c r="A11675" s="11"/>
    </row>
    <row r="11676" spans="1:1" ht="14.4">
      <c r="A11676" s="11"/>
    </row>
    <row r="11677" spans="1:1" ht="14.4">
      <c r="A11677" s="11"/>
    </row>
    <row r="11678" spans="1:1" ht="14.4">
      <c r="A11678" s="11"/>
    </row>
    <row r="11679" spans="1:1" ht="14.4">
      <c r="A11679" s="11"/>
    </row>
    <row r="11680" spans="1:1" ht="14.4">
      <c r="A11680" s="11"/>
    </row>
    <row r="11681" spans="1:1" ht="14.4">
      <c r="A11681" s="11"/>
    </row>
    <row r="11682" spans="1:1" ht="14.4">
      <c r="A11682" s="11"/>
    </row>
    <row r="11683" spans="1:1" ht="14.4">
      <c r="A11683" s="11"/>
    </row>
    <row r="11684" spans="1:1" ht="14.4">
      <c r="A11684" s="11"/>
    </row>
    <row r="11685" spans="1:1" ht="14.4">
      <c r="A11685" s="11"/>
    </row>
    <row r="11686" spans="1:1" ht="14.4">
      <c r="A11686" s="11"/>
    </row>
    <row r="11687" spans="1:1" ht="14.4">
      <c r="A11687" s="11"/>
    </row>
    <row r="11688" spans="1:1" ht="14.4">
      <c r="A11688" s="11"/>
    </row>
    <row r="11689" spans="1:1" ht="14.4">
      <c r="A11689" s="11"/>
    </row>
    <row r="11690" spans="1:1" ht="14.4">
      <c r="A11690" s="11"/>
    </row>
    <row r="11691" spans="1:1" ht="14.4">
      <c r="A11691" s="11"/>
    </row>
    <row r="11692" spans="1:1" ht="14.4">
      <c r="A11692" s="11"/>
    </row>
    <row r="11693" spans="1:1" ht="14.4">
      <c r="A11693" s="11"/>
    </row>
    <row r="11694" spans="1:1" ht="14.4">
      <c r="A11694" s="11"/>
    </row>
    <row r="11695" spans="1:1" ht="14.4">
      <c r="A11695" s="11"/>
    </row>
    <row r="11696" spans="1:1" ht="14.4">
      <c r="A11696" s="11"/>
    </row>
    <row r="11697" spans="1:1" ht="14.4">
      <c r="A11697" s="11"/>
    </row>
    <row r="11698" spans="1:1" ht="14.4">
      <c r="A11698" s="11"/>
    </row>
    <row r="11699" spans="1:1" ht="14.4">
      <c r="A11699" s="11"/>
    </row>
    <row r="11700" spans="1:1" ht="14.4">
      <c r="A11700" s="11"/>
    </row>
    <row r="11701" spans="1:1" ht="14.4">
      <c r="A11701" s="11"/>
    </row>
    <row r="11702" spans="1:1" ht="14.4">
      <c r="A11702" s="11"/>
    </row>
    <row r="11703" spans="1:1" ht="14.4">
      <c r="A11703" s="11"/>
    </row>
    <row r="11704" spans="1:1" ht="14.4">
      <c r="A11704" s="11"/>
    </row>
    <row r="11705" spans="1:1" ht="14.4">
      <c r="A11705" s="11"/>
    </row>
    <row r="11706" spans="1:1" ht="14.4">
      <c r="A11706" s="11"/>
    </row>
    <row r="11707" spans="1:1" ht="14.4">
      <c r="A11707" s="11"/>
    </row>
    <row r="11708" spans="1:1" ht="14.4">
      <c r="A11708" s="11"/>
    </row>
    <row r="11709" spans="1:1" ht="14.4">
      <c r="A11709" s="11"/>
    </row>
    <row r="11710" spans="1:1" ht="14.4">
      <c r="A11710" s="11"/>
    </row>
    <row r="11711" spans="1:1" ht="14.4">
      <c r="A11711" s="11"/>
    </row>
    <row r="11712" spans="1:1" ht="14.4">
      <c r="A11712" s="11"/>
    </row>
    <row r="11713" spans="1:1" ht="14.4">
      <c r="A11713" s="11"/>
    </row>
    <row r="11714" spans="1:1" ht="14.4">
      <c r="A11714" s="11"/>
    </row>
    <row r="11715" spans="1:1" ht="14.4">
      <c r="A11715" s="11"/>
    </row>
    <row r="11716" spans="1:1" ht="14.4">
      <c r="A11716" s="11"/>
    </row>
    <row r="11717" spans="1:1" ht="14.4">
      <c r="A11717" s="11"/>
    </row>
    <row r="11718" spans="1:1" ht="14.4">
      <c r="A11718" s="11"/>
    </row>
    <row r="11719" spans="1:1" ht="14.4">
      <c r="A11719" s="11"/>
    </row>
    <row r="11720" spans="1:1" ht="14.4">
      <c r="A11720" s="11"/>
    </row>
    <row r="11721" spans="1:1" ht="14.4">
      <c r="A11721" s="11"/>
    </row>
    <row r="11722" spans="1:1" ht="14.4">
      <c r="A11722" s="11"/>
    </row>
    <row r="11723" spans="1:1" ht="14.4">
      <c r="A11723" s="11"/>
    </row>
    <row r="11724" spans="1:1" ht="14.4">
      <c r="A11724" s="11"/>
    </row>
    <row r="11725" spans="1:1" ht="14.4">
      <c r="A11725" s="11"/>
    </row>
    <row r="11726" spans="1:1" ht="14.4">
      <c r="A11726" s="11"/>
    </row>
    <row r="11727" spans="1:1" ht="14.4">
      <c r="A11727" s="11"/>
    </row>
    <row r="11728" spans="1:1" ht="14.4">
      <c r="A11728" s="11"/>
    </row>
    <row r="11729" spans="1:1" ht="14.4">
      <c r="A11729" s="11"/>
    </row>
    <row r="11730" spans="1:1" ht="14.4">
      <c r="A11730" s="11"/>
    </row>
    <row r="11731" spans="1:1" ht="14.4">
      <c r="A11731" s="11"/>
    </row>
    <row r="11732" spans="1:1" ht="14.4">
      <c r="A11732" s="11"/>
    </row>
    <row r="11733" spans="1:1" ht="14.4">
      <c r="A11733" s="11"/>
    </row>
    <row r="11734" spans="1:1" ht="14.4">
      <c r="A11734" s="11"/>
    </row>
    <row r="11735" spans="1:1" ht="14.4">
      <c r="A11735" s="11"/>
    </row>
    <row r="11736" spans="1:1" ht="14.4">
      <c r="A11736" s="11"/>
    </row>
    <row r="11737" spans="1:1" ht="14.4">
      <c r="A11737" s="11"/>
    </row>
    <row r="11738" spans="1:1" ht="14.4">
      <c r="A11738" s="11"/>
    </row>
    <row r="11739" spans="1:1" ht="14.4">
      <c r="A11739" s="11"/>
    </row>
    <row r="11740" spans="1:1" ht="14.4">
      <c r="A11740" s="11"/>
    </row>
    <row r="11741" spans="1:1" ht="14.4">
      <c r="A11741" s="11"/>
    </row>
    <row r="11742" spans="1:1" ht="14.4">
      <c r="A11742" s="11"/>
    </row>
    <row r="11743" spans="1:1" ht="14.4">
      <c r="A11743" s="11"/>
    </row>
    <row r="11744" spans="1:1" ht="14.4">
      <c r="A11744" s="11"/>
    </row>
    <row r="11745" spans="1:1" ht="14.4">
      <c r="A11745" s="11"/>
    </row>
    <row r="11746" spans="1:1" ht="14.4">
      <c r="A11746" s="11"/>
    </row>
    <row r="11747" spans="1:1" ht="14.4">
      <c r="A11747" s="11"/>
    </row>
    <row r="11748" spans="1:1" ht="14.4">
      <c r="A11748" s="11"/>
    </row>
    <row r="11749" spans="1:1" ht="14.4">
      <c r="A11749" s="11"/>
    </row>
    <row r="11750" spans="1:1" ht="14.4">
      <c r="A11750" s="11"/>
    </row>
    <row r="11751" spans="1:1" ht="14.4">
      <c r="A11751" s="11"/>
    </row>
    <row r="11752" spans="1:1" ht="14.4">
      <c r="A11752" s="11"/>
    </row>
    <row r="11753" spans="1:1" ht="14.4">
      <c r="A11753" s="11"/>
    </row>
    <row r="11754" spans="1:1" ht="14.4">
      <c r="A11754" s="11"/>
    </row>
    <row r="11755" spans="1:1" ht="14.4">
      <c r="A11755" s="11"/>
    </row>
    <row r="11756" spans="1:1" ht="14.4">
      <c r="A11756" s="11"/>
    </row>
    <row r="11757" spans="1:1" ht="14.4">
      <c r="A11757" s="11"/>
    </row>
    <row r="11758" spans="1:1" ht="14.4">
      <c r="A11758" s="11"/>
    </row>
    <row r="11759" spans="1:1" ht="14.4">
      <c r="A11759" s="11"/>
    </row>
    <row r="11760" spans="1:1" ht="14.4">
      <c r="A11760" s="11"/>
    </row>
    <row r="11761" spans="1:1" ht="14.4">
      <c r="A11761" s="11"/>
    </row>
    <row r="11762" spans="1:1" ht="14.4">
      <c r="A11762" s="11"/>
    </row>
    <row r="11763" spans="1:1" ht="14.4">
      <c r="A11763" s="11"/>
    </row>
    <row r="11764" spans="1:1" ht="14.4">
      <c r="A11764" s="11"/>
    </row>
    <row r="11765" spans="1:1" ht="14.4">
      <c r="A11765" s="11"/>
    </row>
    <row r="11766" spans="1:1" ht="14.4">
      <c r="A11766" s="11"/>
    </row>
    <row r="11767" spans="1:1" ht="14.4">
      <c r="A11767" s="11"/>
    </row>
    <row r="11768" spans="1:1" ht="14.4">
      <c r="A11768" s="11"/>
    </row>
    <row r="11769" spans="1:1" ht="14.4">
      <c r="A11769" s="11"/>
    </row>
    <row r="11770" spans="1:1" ht="14.4">
      <c r="A11770" s="11"/>
    </row>
    <row r="11771" spans="1:1" ht="14.4">
      <c r="A11771" s="11"/>
    </row>
    <row r="11772" spans="1:1" ht="14.4">
      <c r="A11772" s="11"/>
    </row>
    <row r="11773" spans="1:1" ht="14.4">
      <c r="A11773" s="11"/>
    </row>
    <row r="11774" spans="1:1" ht="14.4">
      <c r="A11774" s="11"/>
    </row>
    <row r="11775" spans="1:1" ht="14.4">
      <c r="A11775" s="11"/>
    </row>
    <row r="11776" spans="1:1" ht="14.4">
      <c r="A11776" s="11"/>
    </row>
    <row r="11777" spans="1:1" ht="14.4">
      <c r="A11777" s="11"/>
    </row>
    <row r="11778" spans="1:1" ht="14.4">
      <c r="A11778" s="11"/>
    </row>
    <row r="11779" spans="1:1" ht="14.4">
      <c r="A11779" s="11"/>
    </row>
    <row r="11780" spans="1:1" ht="14.4">
      <c r="A11780" s="11"/>
    </row>
    <row r="11781" spans="1:1" ht="14.4">
      <c r="A11781" s="11"/>
    </row>
    <row r="11782" spans="1:1" ht="14.4">
      <c r="A11782" s="11"/>
    </row>
    <row r="11783" spans="1:1" ht="14.4">
      <c r="A11783" s="11"/>
    </row>
    <row r="11784" spans="1:1" ht="14.4">
      <c r="A11784" s="11"/>
    </row>
    <row r="11785" spans="1:1" ht="14.4">
      <c r="A11785" s="11"/>
    </row>
    <row r="11786" spans="1:1" ht="14.4">
      <c r="A11786" s="11"/>
    </row>
    <row r="11787" spans="1:1" ht="14.4">
      <c r="A11787" s="11"/>
    </row>
    <row r="11788" spans="1:1" ht="14.4">
      <c r="A11788" s="11"/>
    </row>
    <row r="11789" spans="1:1" ht="14.4">
      <c r="A11789" s="11"/>
    </row>
    <row r="11790" spans="1:1" ht="14.4">
      <c r="A11790" s="11"/>
    </row>
    <row r="11791" spans="1:1" ht="14.4">
      <c r="A11791" s="11"/>
    </row>
    <row r="11792" spans="1:1" ht="14.4">
      <c r="A11792" s="11"/>
    </row>
    <row r="11793" spans="1:1" ht="14.4">
      <c r="A11793" s="11"/>
    </row>
    <row r="11794" spans="1:1" ht="14.4">
      <c r="A11794" s="11"/>
    </row>
    <row r="11795" spans="1:1" ht="14.4">
      <c r="A11795" s="11"/>
    </row>
    <row r="11796" spans="1:1" ht="14.4">
      <c r="A11796" s="11"/>
    </row>
    <row r="11797" spans="1:1" ht="14.4">
      <c r="A11797" s="11"/>
    </row>
    <row r="11798" spans="1:1" ht="14.4">
      <c r="A11798" s="11"/>
    </row>
    <row r="11799" spans="1:1" ht="14.4">
      <c r="A11799" s="11"/>
    </row>
    <row r="11800" spans="1:1" ht="14.4">
      <c r="A11800" s="11"/>
    </row>
    <row r="11801" spans="1:1" ht="14.4">
      <c r="A11801" s="11"/>
    </row>
    <row r="11802" spans="1:1" ht="14.4">
      <c r="A11802" s="11"/>
    </row>
    <row r="11803" spans="1:1" ht="14.4">
      <c r="A11803" s="11"/>
    </row>
    <row r="11804" spans="1:1" ht="14.4">
      <c r="A11804" s="11"/>
    </row>
    <row r="11805" spans="1:1" ht="14.4">
      <c r="A11805" s="11"/>
    </row>
    <row r="11806" spans="1:1" ht="14.4">
      <c r="A11806" s="11"/>
    </row>
    <row r="11807" spans="1:1" ht="14.4">
      <c r="A11807" s="11"/>
    </row>
    <row r="11808" spans="1:1" ht="14.4">
      <c r="A11808" s="11"/>
    </row>
    <row r="11809" spans="1:1" ht="14.4">
      <c r="A11809" s="11"/>
    </row>
    <row r="11810" spans="1:1" ht="14.4">
      <c r="A11810" s="11"/>
    </row>
    <row r="11811" spans="1:1" ht="14.4">
      <c r="A11811" s="11"/>
    </row>
    <row r="11812" spans="1:1" ht="14.4">
      <c r="A11812" s="11"/>
    </row>
    <row r="11813" spans="1:1" ht="14.4">
      <c r="A11813" s="11"/>
    </row>
    <row r="11814" spans="1:1" ht="14.4">
      <c r="A11814" s="11"/>
    </row>
    <row r="11815" spans="1:1" ht="14.4">
      <c r="A11815" s="11"/>
    </row>
    <row r="11816" spans="1:1" ht="14.4">
      <c r="A11816" s="11"/>
    </row>
    <row r="11817" spans="1:1" ht="14.4">
      <c r="A11817" s="11"/>
    </row>
    <row r="11818" spans="1:1" ht="14.4">
      <c r="A11818" s="11"/>
    </row>
    <row r="11819" spans="1:1" ht="14.4">
      <c r="A11819" s="11"/>
    </row>
    <row r="11820" spans="1:1" ht="14.4">
      <c r="A11820" s="11"/>
    </row>
    <row r="11821" spans="1:1" ht="14.4">
      <c r="A11821" s="11"/>
    </row>
    <row r="11822" spans="1:1" ht="14.4">
      <c r="A11822" s="11"/>
    </row>
    <row r="11823" spans="1:1" ht="14.4">
      <c r="A11823" s="11"/>
    </row>
    <row r="11824" spans="1:1" ht="14.4">
      <c r="A11824" s="11"/>
    </row>
    <row r="11825" spans="1:1" ht="14.4">
      <c r="A11825" s="11"/>
    </row>
    <row r="11826" spans="1:1" ht="14.4">
      <c r="A11826" s="11"/>
    </row>
    <row r="11827" spans="1:1" ht="14.4">
      <c r="A11827" s="11"/>
    </row>
    <row r="11828" spans="1:1" ht="14.4">
      <c r="A11828" s="11"/>
    </row>
    <row r="11829" spans="1:1" ht="14.4">
      <c r="A11829" s="11"/>
    </row>
    <row r="11830" spans="1:1" ht="14.4">
      <c r="A11830" s="11"/>
    </row>
    <row r="11831" spans="1:1" ht="14.4">
      <c r="A11831" s="11"/>
    </row>
    <row r="11832" spans="1:1" ht="14.4">
      <c r="A11832" s="11"/>
    </row>
    <row r="11833" spans="1:1" ht="14.4">
      <c r="A11833" s="11"/>
    </row>
    <row r="11834" spans="1:1" ht="14.4">
      <c r="A11834" s="11"/>
    </row>
    <row r="11835" spans="1:1" ht="14.4">
      <c r="A11835" s="11"/>
    </row>
    <row r="11836" spans="1:1" ht="14.4">
      <c r="A11836" s="11"/>
    </row>
    <row r="11837" spans="1:1" ht="14.4">
      <c r="A11837" s="11"/>
    </row>
    <row r="11838" spans="1:1" ht="14.4">
      <c r="A11838" s="11"/>
    </row>
    <row r="11839" spans="1:1" ht="14.4">
      <c r="A11839" s="11"/>
    </row>
    <row r="11840" spans="1:1" ht="14.4">
      <c r="A11840" s="11"/>
    </row>
    <row r="11841" spans="1:1" ht="14.4">
      <c r="A11841" s="11"/>
    </row>
    <row r="11842" spans="1:1" ht="14.4">
      <c r="A11842" s="11"/>
    </row>
    <row r="11843" spans="1:1" ht="14.4">
      <c r="A11843" s="11"/>
    </row>
    <row r="11844" spans="1:1" ht="14.4">
      <c r="A11844" s="11"/>
    </row>
    <row r="11845" spans="1:1" ht="14.4">
      <c r="A11845" s="11"/>
    </row>
    <row r="11846" spans="1:1" ht="14.4">
      <c r="A11846" s="11"/>
    </row>
    <row r="11847" spans="1:1" ht="14.4">
      <c r="A11847" s="11"/>
    </row>
    <row r="11848" spans="1:1" ht="14.4">
      <c r="A11848" s="11"/>
    </row>
    <row r="11849" spans="1:1" ht="14.4">
      <c r="A11849" s="11"/>
    </row>
    <row r="11850" spans="1:1" ht="14.4">
      <c r="A11850" s="11"/>
    </row>
    <row r="11851" spans="1:1" ht="14.4">
      <c r="A11851" s="11"/>
    </row>
    <row r="11852" spans="1:1" ht="14.4">
      <c r="A11852" s="11"/>
    </row>
    <row r="11853" spans="1:1" ht="14.4">
      <c r="A11853" s="11"/>
    </row>
    <row r="11854" spans="1:1" ht="14.4">
      <c r="A11854" s="11"/>
    </row>
    <row r="11855" spans="1:1" ht="14.4">
      <c r="A11855" s="11"/>
    </row>
    <row r="11856" spans="1:1" ht="14.4">
      <c r="A11856" s="11"/>
    </row>
    <row r="11857" spans="1:1" ht="14.4">
      <c r="A11857" s="11"/>
    </row>
    <row r="11858" spans="1:1" ht="14.4">
      <c r="A11858" s="11"/>
    </row>
    <row r="11859" spans="1:1" ht="14.4">
      <c r="A11859" s="11"/>
    </row>
    <row r="11860" spans="1:1" ht="14.4">
      <c r="A11860" s="11"/>
    </row>
    <row r="11861" spans="1:1" ht="14.4">
      <c r="A11861" s="11"/>
    </row>
    <row r="11862" spans="1:1" ht="14.4">
      <c r="A11862" s="11"/>
    </row>
    <row r="11863" spans="1:1" ht="14.4">
      <c r="A11863" s="11"/>
    </row>
    <row r="11864" spans="1:1" ht="14.4">
      <c r="A11864" s="11"/>
    </row>
    <row r="11865" spans="1:1" ht="14.4">
      <c r="A11865" s="11"/>
    </row>
    <row r="11866" spans="1:1" ht="14.4">
      <c r="A11866" s="11"/>
    </row>
    <row r="11867" spans="1:1" ht="14.4">
      <c r="A11867" s="11"/>
    </row>
    <row r="11868" spans="1:1" ht="14.4">
      <c r="A11868" s="11"/>
    </row>
    <row r="11869" spans="1:1" ht="14.4">
      <c r="A11869" s="11"/>
    </row>
    <row r="11870" spans="1:1" ht="14.4">
      <c r="A11870" s="11"/>
    </row>
    <row r="11871" spans="1:1" ht="14.4">
      <c r="A11871" s="11"/>
    </row>
    <row r="11872" spans="1:1" ht="14.4">
      <c r="A11872" s="11"/>
    </row>
    <row r="11873" spans="1:1" ht="14.4">
      <c r="A11873" s="11"/>
    </row>
    <row r="11874" spans="1:1" ht="14.4">
      <c r="A11874" s="11"/>
    </row>
    <row r="11875" spans="1:1" ht="14.4">
      <c r="A11875" s="11"/>
    </row>
    <row r="11876" spans="1:1" ht="14.4">
      <c r="A11876" s="11"/>
    </row>
    <row r="11877" spans="1:1" ht="14.4">
      <c r="A11877" s="11"/>
    </row>
    <row r="11878" spans="1:1" ht="14.4">
      <c r="A11878" s="11"/>
    </row>
    <row r="11879" spans="1:1" ht="14.4">
      <c r="A11879" s="11"/>
    </row>
    <row r="11880" spans="1:1" ht="14.4">
      <c r="A11880" s="11"/>
    </row>
    <row r="11881" spans="1:1" ht="14.4">
      <c r="A11881" s="11"/>
    </row>
    <row r="11882" spans="1:1" ht="14.4">
      <c r="A11882" s="11"/>
    </row>
    <row r="11883" spans="1:1" ht="14.4">
      <c r="A11883" s="11"/>
    </row>
    <row r="11884" spans="1:1" ht="14.4">
      <c r="A11884" s="11"/>
    </row>
    <row r="11885" spans="1:1" ht="14.4">
      <c r="A11885" s="11"/>
    </row>
    <row r="11886" spans="1:1" ht="14.4">
      <c r="A11886" s="11"/>
    </row>
    <row r="11887" spans="1:1" ht="14.4">
      <c r="A11887" s="11"/>
    </row>
    <row r="11888" spans="1:1" ht="14.4">
      <c r="A11888" s="11"/>
    </row>
    <row r="11889" spans="1:1" ht="14.4">
      <c r="A11889" s="11"/>
    </row>
    <row r="11890" spans="1:1" ht="14.4">
      <c r="A11890" s="11"/>
    </row>
    <row r="11891" spans="1:1" ht="14.4">
      <c r="A11891" s="11"/>
    </row>
    <row r="11892" spans="1:1" ht="14.4">
      <c r="A11892" s="11"/>
    </row>
    <row r="11893" spans="1:1" ht="14.4">
      <c r="A11893" s="11"/>
    </row>
    <row r="11894" spans="1:1" ht="14.4">
      <c r="A11894" s="11"/>
    </row>
    <row r="11895" spans="1:1" ht="14.4">
      <c r="A11895" s="11"/>
    </row>
    <row r="11896" spans="1:1" ht="14.4">
      <c r="A11896" s="11"/>
    </row>
    <row r="11897" spans="1:1" ht="14.4">
      <c r="A11897" s="11"/>
    </row>
    <row r="11898" spans="1:1" ht="14.4">
      <c r="A11898" s="11"/>
    </row>
    <row r="11899" spans="1:1" ht="14.4">
      <c r="A11899" s="11"/>
    </row>
    <row r="11900" spans="1:1" ht="14.4">
      <c r="A11900" s="11"/>
    </row>
    <row r="11901" spans="1:1" ht="14.4">
      <c r="A11901" s="11"/>
    </row>
    <row r="11902" spans="1:1" ht="14.4">
      <c r="A11902" s="11"/>
    </row>
    <row r="11903" spans="1:1" ht="14.4">
      <c r="A11903" s="11"/>
    </row>
    <row r="11904" spans="1:1" ht="14.4">
      <c r="A11904" s="11"/>
    </row>
    <row r="11905" spans="1:1" ht="14.4">
      <c r="A11905" s="11"/>
    </row>
    <row r="11906" spans="1:1" ht="14.4">
      <c r="A11906" s="11"/>
    </row>
    <row r="11907" spans="1:1" ht="14.4">
      <c r="A11907" s="11"/>
    </row>
    <row r="11908" spans="1:1" ht="14.4">
      <c r="A11908" s="11"/>
    </row>
    <row r="11909" spans="1:1" ht="14.4">
      <c r="A11909" s="11"/>
    </row>
    <row r="11910" spans="1:1" ht="14.4">
      <c r="A11910" s="11"/>
    </row>
    <row r="11911" spans="1:1" ht="14.4">
      <c r="A11911" s="11"/>
    </row>
    <row r="11912" spans="1:1" ht="14.4">
      <c r="A11912" s="11"/>
    </row>
    <row r="11913" spans="1:1" ht="14.4">
      <c r="A11913" s="11"/>
    </row>
    <row r="11914" spans="1:1" ht="14.4">
      <c r="A11914" s="11"/>
    </row>
    <row r="11915" spans="1:1" ht="14.4">
      <c r="A11915" s="11"/>
    </row>
    <row r="11916" spans="1:1" ht="14.4">
      <c r="A11916" s="11"/>
    </row>
    <row r="11917" spans="1:1" ht="14.4">
      <c r="A11917" s="11"/>
    </row>
    <row r="11918" spans="1:1" ht="14.4">
      <c r="A11918" s="11"/>
    </row>
    <row r="11919" spans="1:1" ht="14.4">
      <c r="A11919" s="11"/>
    </row>
    <row r="11920" spans="1:1" ht="14.4">
      <c r="A11920" s="11"/>
    </row>
    <row r="11921" spans="1:1" ht="14.4">
      <c r="A11921" s="11"/>
    </row>
    <row r="11922" spans="1:1" ht="14.4">
      <c r="A11922" s="11"/>
    </row>
    <row r="11923" spans="1:1" ht="14.4">
      <c r="A11923" s="11"/>
    </row>
    <row r="11924" spans="1:1" ht="14.4">
      <c r="A11924" s="11"/>
    </row>
    <row r="11925" spans="1:1" ht="14.4">
      <c r="A11925" s="11"/>
    </row>
    <row r="11926" spans="1:1" ht="14.4">
      <c r="A11926" s="11"/>
    </row>
    <row r="11927" spans="1:1" ht="14.4">
      <c r="A11927" s="11"/>
    </row>
    <row r="11928" spans="1:1" ht="14.4">
      <c r="A11928" s="11"/>
    </row>
    <row r="11929" spans="1:1" ht="14.4">
      <c r="A11929" s="11"/>
    </row>
    <row r="11930" spans="1:1" ht="14.4">
      <c r="A11930" s="11"/>
    </row>
    <row r="11931" spans="1:1" ht="14.4">
      <c r="A11931" s="11"/>
    </row>
    <row r="11932" spans="1:1" ht="14.4">
      <c r="A11932" s="11"/>
    </row>
    <row r="11933" spans="1:1" ht="14.4">
      <c r="A11933" s="11"/>
    </row>
    <row r="11934" spans="1:1" ht="14.4">
      <c r="A11934" s="11"/>
    </row>
    <row r="11935" spans="1:1" ht="14.4">
      <c r="A11935" s="11"/>
    </row>
    <row r="11936" spans="1:1" ht="14.4">
      <c r="A11936" s="11"/>
    </row>
    <row r="11937" spans="1:1" ht="14.4">
      <c r="A11937" s="11"/>
    </row>
    <row r="11938" spans="1:1" ht="14.4">
      <c r="A11938" s="11"/>
    </row>
    <row r="11939" spans="1:1" ht="14.4">
      <c r="A11939" s="11"/>
    </row>
    <row r="11940" spans="1:1" ht="14.4">
      <c r="A11940" s="11"/>
    </row>
    <row r="11941" spans="1:1" ht="14.4">
      <c r="A11941" s="11"/>
    </row>
    <row r="11942" spans="1:1" ht="14.4">
      <c r="A11942" s="11"/>
    </row>
    <row r="11943" spans="1:1" ht="14.4">
      <c r="A11943" s="11"/>
    </row>
    <row r="11944" spans="1:1" ht="14.4">
      <c r="A11944" s="11"/>
    </row>
    <row r="11945" spans="1:1" ht="14.4">
      <c r="A11945" s="11"/>
    </row>
    <row r="11946" spans="1:1" ht="14.4">
      <c r="A11946" s="11"/>
    </row>
    <row r="11947" spans="1:1" ht="14.4">
      <c r="A11947" s="11"/>
    </row>
    <row r="11948" spans="1:1" ht="14.4">
      <c r="A11948" s="11"/>
    </row>
    <row r="11949" spans="1:1" ht="14.4">
      <c r="A11949" s="11"/>
    </row>
    <row r="11950" spans="1:1" ht="14.4">
      <c r="A11950" s="11"/>
    </row>
    <row r="11951" spans="1:1" ht="14.4">
      <c r="A11951" s="11"/>
    </row>
    <row r="11952" spans="1:1" ht="14.4">
      <c r="A11952" s="11"/>
    </row>
    <row r="11953" spans="1:1" ht="14.4">
      <c r="A11953" s="11"/>
    </row>
    <row r="11954" spans="1:1" ht="14.4">
      <c r="A11954" s="11"/>
    </row>
    <row r="11955" spans="1:1" ht="14.4">
      <c r="A11955" s="11"/>
    </row>
    <row r="11956" spans="1:1" ht="14.4">
      <c r="A11956" s="11"/>
    </row>
    <row r="11957" spans="1:1" ht="14.4">
      <c r="A11957" s="11"/>
    </row>
    <row r="11958" spans="1:1" ht="14.4">
      <c r="A11958" s="11"/>
    </row>
    <row r="11959" spans="1:1" ht="14.4">
      <c r="A11959" s="11"/>
    </row>
    <row r="11960" spans="1:1" ht="14.4">
      <c r="A11960" s="11"/>
    </row>
    <row r="11961" spans="1:1" ht="14.4">
      <c r="A11961" s="11"/>
    </row>
    <row r="11962" spans="1:1" ht="14.4">
      <c r="A11962" s="11"/>
    </row>
    <row r="11963" spans="1:1" ht="14.4">
      <c r="A11963" s="11"/>
    </row>
    <row r="11964" spans="1:1" ht="14.4">
      <c r="A11964" s="11"/>
    </row>
    <row r="11965" spans="1:1" ht="14.4">
      <c r="A11965" s="11"/>
    </row>
    <row r="11966" spans="1:1" ht="14.4">
      <c r="A11966" s="11"/>
    </row>
    <row r="11967" spans="1:1" ht="14.4">
      <c r="A11967" s="11"/>
    </row>
    <row r="11968" spans="1:1" ht="14.4">
      <c r="A11968" s="11"/>
    </row>
    <row r="11969" spans="1:1" ht="14.4">
      <c r="A11969" s="11"/>
    </row>
    <row r="11970" spans="1:1" ht="14.4">
      <c r="A11970" s="11"/>
    </row>
    <row r="11971" spans="1:1" ht="14.4">
      <c r="A11971" s="11"/>
    </row>
    <row r="11972" spans="1:1" ht="14.4">
      <c r="A11972" s="11"/>
    </row>
    <row r="11973" spans="1:1" ht="14.4">
      <c r="A11973" s="11"/>
    </row>
    <row r="11974" spans="1:1" ht="14.4">
      <c r="A11974" s="11"/>
    </row>
    <row r="11975" spans="1:1" ht="14.4">
      <c r="A11975" s="11"/>
    </row>
    <row r="11976" spans="1:1" ht="14.4">
      <c r="A11976" s="11"/>
    </row>
    <row r="11977" spans="1:1" ht="14.4">
      <c r="A11977" s="11"/>
    </row>
    <row r="11978" spans="1:1" ht="14.4">
      <c r="A11978" s="11"/>
    </row>
    <row r="11979" spans="1:1" ht="14.4">
      <c r="A11979" s="11"/>
    </row>
    <row r="11980" spans="1:1" ht="14.4">
      <c r="A11980" s="11"/>
    </row>
    <row r="11981" spans="1:1" ht="14.4">
      <c r="A11981" s="11"/>
    </row>
    <row r="11982" spans="1:1" ht="14.4">
      <c r="A11982" s="11"/>
    </row>
    <row r="11983" spans="1:1" ht="14.4">
      <c r="A11983" s="11"/>
    </row>
    <row r="11984" spans="1:1" ht="14.4">
      <c r="A11984" s="11"/>
    </row>
    <row r="11985" spans="1:1" ht="14.4">
      <c r="A11985" s="11"/>
    </row>
    <row r="11986" spans="1:1" ht="14.4">
      <c r="A11986" s="11"/>
    </row>
    <row r="11987" spans="1:1" ht="14.4">
      <c r="A11987" s="11"/>
    </row>
    <row r="11988" spans="1:1" ht="14.4">
      <c r="A11988" s="11"/>
    </row>
    <row r="11989" spans="1:1" ht="14.4">
      <c r="A11989" s="11"/>
    </row>
    <row r="11990" spans="1:1" ht="14.4">
      <c r="A11990" s="11"/>
    </row>
    <row r="11991" spans="1:1" ht="14.4">
      <c r="A11991" s="11"/>
    </row>
    <row r="11992" spans="1:1" ht="14.4">
      <c r="A11992" s="11"/>
    </row>
    <row r="11993" spans="1:1" ht="14.4">
      <c r="A11993" s="11"/>
    </row>
    <row r="11994" spans="1:1" ht="14.4">
      <c r="A11994" s="11"/>
    </row>
    <row r="11995" spans="1:1" ht="14.4">
      <c r="A11995" s="11"/>
    </row>
    <row r="11996" spans="1:1" ht="14.4">
      <c r="A11996" s="11"/>
    </row>
    <row r="11997" spans="1:1" ht="14.4">
      <c r="A11997" s="11"/>
    </row>
    <row r="11998" spans="1:1" ht="14.4">
      <c r="A11998" s="11"/>
    </row>
    <row r="11999" spans="1:1" ht="14.4">
      <c r="A11999" s="11"/>
    </row>
    <row r="12000" spans="1:1" ht="14.4">
      <c r="A12000" s="11"/>
    </row>
    <row r="12001" spans="1:1" ht="14.4">
      <c r="A12001" s="11"/>
    </row>
    <row r="12002" spans="1:1" ht="14.4">
      <c r="A12002" s="11"/>
    </row>
    <row r="12003" spans="1:1" ht="14.4">
      <c r="A12003" s="11"/>
    </row>
    <row r="12004" spans="1:1" ht="14.4">
      <c r="A12004" s="11"/>
    </row>
    <row r="12005" spans="1:1" ht="14.4">
      <c r="A12005" s="11"/>
    </row>
    <row r="12006" spans="1:1" ht="14.4">
      <c r="A12006" s="11"/>
    </row>
    <row r="12007" spans="1:1" ht="14.4">
      <c r="A12007" s="11"/>
    </row>
    <row r="12008" spans="1:1" ht="14.4">
      <c r="A12008" s="11"/>
    </row>
    <row r="12009" spans="1:1" ht="14.4">
      <c r="A12009" s="11"/>
    </row>
    <row r="12010" spans="1:1" ht="14.4">
      <c r="A12010" s="11"/>
    </row>
    <row r="12011" spans="1:1" ht="14.4">
      <c r="A12011" s="11"/>
    </row>
    <row r="12012" spans="1:1" ht="14.4">
      <c r="A12012" s="11"/>
    </row>
    <row r="12013" spans="1:1" ht="14.4">
      <c r="A12013" s="11"/>
    </row>
    <row r="12014" spans="1:1" ht="14.4">
      <c r="A12014" s="11"/>
    </row>
    <row r="12015" spans="1:1" ht="14.4">
      <c r="A12015" s="11"/>
    </row>
    <row r="12016" spans="1:1" ht="14.4">
      <c r="A12016" s="11"/>
    </row>
    <row r="12017" spans="1:1" ht="14.4">
      <c r="A12017" s="11"/>
    </row>
    <row r="12018" spans="1:1" ht="14.4">
      <c r="A12018" s="11"/>
    </row>
    <row r="12019" spans="1:1" ht="14.4">
      <c r="A12019" s="11"/>
    </row>
    <row r="12020" spans="1:1" ht="14.4">
      <c r="A12020" s="11"/>
    </row>
    <row r="12021" spans="1:1" ht="14.4">
      <c r="A12021" s="11"/>
    </row>
    <row r="12022" spans="1:1" ht="14.4">
      <c r="A12022" s="11"/>
    </row>
    <row r="12023" spans="1:1" ht="14.4">
      <c r="A12023" s="11"/>
    </row>
    <row r="12024" spans="1:1" ht="14.4">
      <c r="A12024" s="11"/>
    </row>
    <row r="12025" spans="1:1" ht="14.4">
      <c r="A12025" s="11"/>
    </row>
    <row r="12026" spans="1:1" ht="14.4">
      <c r="A12026" s="11"/>
    </row>
    <row r="12027" spans="1:1" ht="14.4">
      <c r="A12027" s="11"/>
    </row>
    <row r="12028" spans="1:1" ht="14.4">
      <c r="A12028" s="11"/>
    </row>
    <row r="12029" spans="1:1" ht="14.4">
      <c r="A12029" s="11"/>
    </row>
    <row r="12030" spans="1:1" ht="14.4">
      <c r="A12030" s="11"/>
    </row>
    <row r="12031" spans="1:1" ht="14.4">
      <c r="A12031" s="11"/>
    </row>
    <row r="12032" spans="1:1" ht="14.4">
      <c r="A12032" s="11"/>
    </row>
    <row r="12033" spans="1:1" ht="14.4">
      <c r="A12033" s="11"/>
    </row>
    <row r="12034" spans="1:1" ht="14.4">
      <c r="A12034" s="11"/>
    </row>
    <row r="12035" spans="1:1" ht="14.4">
      <c r="A12035" s="11"/>
    </row>
    <row r="12036" spans="1:1" ht="14.4">
      <c r="A12036" s="11"/>
    </row>
    <row r="12037" spans="1:1" ht="14.4">
      <c r="A12037" s="11"/>
    </row>
    <row r="12038" spans="1:1" ht="14.4">
      <c r="A12038" s="11"/>
    </row>
    <row r="12039" spans="1:1" ht="14.4">
      <c r="A12039" s="11"/>
    </row>
    <row r="12040" spans="1:1" ht="14.4">
      <c r="A12040" s="11"/>
    </row>
    <row r="12041" spans="1:1" ht="14.4">
      <c r="A12041" s="11"/>
    </row>
    <row r="12042" spans="1:1" ht="14.4">
      <c r="A12042" s="11"/>
    </row>
    <row r="12043" spans="1:1" ht="14.4">
      <c r="A12043" s="11"/>
    </row>
    <row r="12044" spans="1:1" ht="14.4">
      <c r="A12044" s="11"/>
    </row>
    <row r="12045" spans="1:1" ht="14.4">
      <c r="A12045" s="11"/>
    </row>
    <row r="12046" spans="1:1" ht="14.4">
      <c r="A12046" s="11"/>
    </row>
    <row r="12047" spans="1:1" ht="14.4">
      <c r="A12047" s="11"/>
    </row>
    <row r="12048" spans="1:1" ht="14.4">
      <c r="A12048" s="11"/>
    </row>
    <row r="12049" spans="1:1" ht="14.4">
      <c r="A12049" s="11"/>
    </row>
    <row r="12050" spans="1:1" ht="14.4">
      <c r="A12050" s="11"/>
    </row>
    <row r="12051" spans="1:1" ht="14.4">
      <c r="A12051" s="11"/>
    </row>
    <row r="12052" spans="1:1" ht="14.4">
      <c r="A12052" s="11"/>
    </row>
    <row r="12053" spans="1:1" ht="14.4">
      <c r="A12053" s="11"/>
    </row>
    <row r="12054" spans="1:1" ht="14.4">
      <c r="A12054" s="11"/>
    </row>
    <row r="12055" spans="1:1" ht="14.4">
      <c r="A12055" s="11"/>
    </row>
    <row r="12056" spans="1:1" ht="14.4">
      <c r="A12056" s="11"/>
    </row>
    <row r="12057" spans="1:1" ht="14.4">
      <c r="A12057" s="11"/>
    </row>
    <row r="12058" spans="1:1" ht="14.4">
      <c r="A12058" s="11"/>
    </row>
    <row r="12059" spans="1:1" ht="14.4">
      <c r="A12059" s="11"/>
    </row>
    <row r="12060" spans="1:1" ht="14.4">
      <c r="A12060" s="11"/>
    </row>
    <row r="12061" spans="1:1" ht="14.4">
      <c r="A12061" s="11"/>
    </row>
    <row r="12062" spans="1:1" ht="14.4">
      <c r="A12062" s="11"/>
    </row>
    <row r="12063" spans="1:1" ht="14.4">
      <c r="A12063" s="11"/>
    </row>
    <row r="12064" spans="1:1" ht="14.4">
      <c r="A12064" s="11"/>
    </row>
    <row r="12065" spans="1:1" ht="14.4">
      <c r="A12065" s="11"/>
    </row>
    <row r="12066" spans="1:1" ht="14.4">
      <c r="A12066" s="11"/>
    </row>
    <row r="12067" spans="1:1" ht="14.4">
      <c r="A12067" s="11"/>
    </row>
    <row r="12068" spans="1:1" ht="14.4">
      <c r="A12068" s="11"/>
    </row>
    <row r="12069" spans="1:1" ht="14.4">
      <c r="A12069" s="11"/>
    </row>
    <row r="12070" spans="1:1" ht="14.4">
      <c r="A12070" s="11"/>
    </row>
    <row r="12071" spans="1:1" ht="14.4">
      <c r="A12071" s="11"/>
    </row>
    <row r="12072" spans="1:1" ht="14.4">
      <c r="A12072" s="11"/>
    </row>
    <row r="12073" spans="1:1" ht="14.4">
      <c r="A12073" s="11"/>
    </row>
    <row r="12074" spans="1:1" ht="14.4">
      <c r="A12074" s="11"/>
    </row>
    <row r="12075" spans="1:1" ht="14.4">
      <c r="A12075" s="11"/>
    </row>
    <row r="12076" spans="1:1" ht="14.4">
      <c r="A12076" s="11"/>
    </row>
    <row r="12077" spans="1:1" ht="14.4">
      <c r="A12077" s="11"/>
    </row>
    <row r="12078" spans="1:1" ht="14.4">
      <c r="A12078" s="11"/>
    </row>
    <row r="12079" spans="1:1" ht="14.4">
      <c r="A12079" s="11"/>
    </row>
    <row r="12080" spans="1:1" ht="14.4">
      <c r="A12080" s="11"/>
    </row>
    <row r="12081" spans="1:1" ht="14.4">
      <c r="A12081" s="11"/>
    </row>
    <row r="12082" spans="1:1" ht="14.4">
      <c r="A12082" s="11"/>
    </row>
    <row r="12083" spans="1:1" ht="14.4">
      <c r="A12083" s="11"/>
    </row>
    <row r="12084" spans="1:1" ht="14.4">
      <c r="A12084" s="11"/>
    </row>
    <row r="12085" spans="1:1" ht="14.4">
      <c r="A12085" s="11"/>
    </row>
    <row r="12086" spans="1:1" ht="14.4">
      <c r="A12086" s="11"/>
    </row>
    <row r="12087" spans="1:1" ht="14.4">
      <c r="A12087" s="11"/>
    </row>
    <row r="12088" spans="1:1" ht="14.4">
      <c r="A12088" s="11"/>
    </row>
    <row r="12089" spans="1:1" ht="14.4">
      <c r="A12089" s="11"/>
    </row>
    <row r="12090" spans="1:1" ht="14.4">
      <c r="A12090" s="11"/>
    </row>
    <row r="12091" spans="1:1" ht="14.4">
      <c r="A12091" s="11"/>
    </row>
    <row r="12092" spans="1:1" ht="14.4">
      <c r="A12092" s="11"/>
    </row>
    <row r="12093" spans="1:1" ht="14.4">
      <c r="A12093" s="11"/>
    </row>
    <row r="12094" spans="1:1" ht="14.4">
      <c r="A12094" s="11"/>
    </row>
    <row r="12095" spans="1:1" ht="14.4">
      <c r="A12095" s="11"/>
    </row>
    <row r="12096" spans="1:1" ht="14.4">
      <c r="A12096" s="11"/>
    </row>
    <row r="12097" spans="1:1" ht="14.4">
      <c r="A12097" s="11"/>
    </row>
    <row r="12098" spans="1:1" ht="14.4">
      <c r="A12098" s="11"/>
    </row>
    <row r="12099" spans="1:1" ht="14.4">
      <c r="A12099" s="11"/>
    </row>
    <row r="12100" spans="1:1" ht="14.4">
      <c r="A12100" s="11"/>
    </row>
    <row r="12101" spans="1:1" ht="14.4">
      <c r="A12101" s="11"/>
    </row>
    <row r="12102" spans="1:1" ht="14.4">
      <c r="A12102" s="11"/>
    </row>
    <row r="12103" spans="1:1" ht="14.4">
      <c r="A12103" s="11"/>
    </row>
    <row r="12104" spans="1:1" ht="14.4">
      <c r="A12104" s="11"/>
    </row>
    <row r="12105" spans="1:1" ht="14.4">
      <c r="A12105" s="11"/>
    </row>
    <row r="12106" spans="1:1" ht="14.4">
      <c r="A12106" s="11"/>
    </row>
    <row r="12107" spans="1:1" ht="14.4">
      <c r="A12107" s="11"/>
    </row>
    <row r="12108" spans="1:1" ht="14.4">
      <c r="A12108" s="11"/>
    </row>
    <row r="12109" spans="1:1" ht="14.4">
      <c r="A12109" s="11"/>
    </row>
    <row r="12110" spans="1:1" ht="14.4">
      <c r="A12110" s="11"/>
    </row>
    <row r="12111" spans="1:1" ht="14.4">
      <c r="A12111" s="11"/>
    </row>
    <row r="12112" spans="1:1" ht="14.4">
      <c r="A12112" s="11"/>
    </row>
    <row r="12113" spans="1:1" ht="14.4">
      <c r="A12113" s="11"/>
    </row>
    <row r="12114" spans="1:1" ht="14.4">
      <c r="A12114" s="11"/>
    </row>
    <row r="12115" spans="1:1" ht="14.4">
      <c r="A12115" s="11"/>
    </row>
    <row r="12116" spans="1:1" ht="14.4">
      <c r="A12116" s="11"/>
    </row>
    <row r="12117" spans="1:1" ht="14.4">
      <c r="A12117" s="11"/>
    </row>
    <row r="12118" spans="1:1" ht="14.4">
      <c r="A12118" s="11"/>
    </row>
    <row r="12119" spans="1:1" ht="14.4">
      <c r="A12119" s="11"/>
    </row>
    <row r="12120" spans="1:1" ht="14.4">
      <c r="A12120" s="11"/>
    </row>
    <row r="12121" spans="1:1" ht="14.4">
      <c r="A12121" s="11"/>
    </row>
    <row r="12122" spans="1:1" ht="14.4">
      <c r="A12122" s="11"/>
    </row>
    <row r="12123" spans="1:1" ht="14.4">
      <c r="A12123" s="11"/>
    </row>
    <row r="12124" spans="1:1" ht="14.4">
      <c r="A12124" s="11"/>
    </row>
    <row r="12125" spans="1:1" ht="14.4">
      <c r="A12125" s="11"/>
    </row>
    <row r="12126" spans="1:1" ht="14.4">
      <c r="A12126" s="11"/>
    </row>
    <row r="12127" spans="1:1" ht="14.4">
      <c r="A12127" s="11"/>
    </row>
    <row r="12128" spans="1:1" ht="14.4">
      <c r="A12128" s="11"/>
    </row>
    <row r="12129" spans="1:1" ht="14.4">
      <c r="A12129" s="11"/>
    </row>
    <row r="12130" spans="1:1" ht="14.4">
      <c r="A12130" s="11"/>
    </row>
    <row r="12131" spans="1:1" ht="14.4">
      <c r="A12131" s="11"/>
    </row>
    <row r="12132" spans="1:1" ht="14.4">
      <c r="A12132" s="11"/>
    </row>
    <row r="12133" spans="1:1" ht="14.4">
      <c r="A12133" s="11"/>
    </row>
    <row r="12134" spans="1:1" ht="14.4">
      <c r="A12134" s="11"/>
    </row>
    <row r="12135" spans="1:1" ht="14.4">
      <c r="A12135" s="11"/>
    </row>
    <row r="12136" spans="1:1" ht="14.4">
      <c r="A12136" s="11"/>
    </row>
    <row r="12137" spans="1:1" ht="14.4">
      <c r="A12137" s="11"/>
    </row>
    <row r="12138" spans="1:1" ht="14.4">
      <c r="A12138" s="11"/>
    </row>
    <row r="12139" spans="1:1" ht="14.4">
      <c r="A12139" s="11"/>
    </row>
    <row r="12140" spans="1:1" ht="14.4">
      <c r="A12140" s="11"/>
    </row>
    <row r="12141" spans="1:1" ht="14.4">
      <c r="A12141" s="11"/>
    </row>
    <row r="12142" spans="1:1" ht="14.4">
      <c r="A12142" s="11"/>
    </row>
    <row r="12143" spans="1:1" ht="14.4">
      <c r="A12143" s="11"/>
    </row>
    <row r="12144" spans="1:1" ht="14.4">
      <c r="A12144" s="11"/>
    </row>
    <row r="12145" spans="1:1" ht="14.4">
      <c r="A12145" s="11"/>
    </row>
    <row r="12146" spans="1:1" ht="14.4">
      <c r="A12146" s="11"/>
    </row>
    <row r="12147" spans="1:1" ht="14.4">
      <c r="A12147" s="11"/>
    </row>
    <row r="12148" spans="1:1" ht="14.4">
      <c r="A12148" s="11"/>
    </row>
    <row r="12149" spans="1:1" ht="14.4">
      <c r="A12149" s="11"/>
    </row>
    <row r="12150" spans="1:1" ht="14.4">
      <c r="A12150" s="11"/>
    </row>
    <row r="12151" spans="1:1" ht="14.4">
      <c r="A12151" s="11"/>
    </row>
    <row r="12152" spans="1:1" ht="14.4">
      <c r="A12152" s="11"/>
    </row>
    <row r="12153" spans="1:1" ht="14.4">
      <c r="A12153" s="11"/>
    </row>
    <row r="12154" spans="1:1" ht="14.4">
      <c r="A12154" s="11"/>
    </row>
    <row r="12155" spans="1:1" ht="14.4">
      <c r="A12155" s="11"/>
    </row>
    <row r="12156" spans="1:1" ht="14.4">
      <c r="A12156" s="11"/>
    </row>
    <row r="12157" spans="1:1" ht="14.4">
      <c r="A12157" s="11"/>
    </row>
    <row r="12158" spans="1:1" ht="14.4">
      <c r="A12158" s="11"/>
    </row>
    <row r="12159" spans="1:1" ht="14.4">
      <c r="A12159" s="11"/>
    </row>
    <row r="12160" spans="1:1" ht="14.4">
      <c r="A12160" s="11"/>
    </row>
    <row r="12161" spans="1:1" ht="14.4">
      <c r="A12161" s="11"/>
    </row>
    <row r="12162" spans="1:1" ht="14.4">
      <c r="A12162" s="11"/>
    </row>
    <row r="12163" spans="1:1" ht="14.4">
      <c r="A12163" s="11"/>
    </row>
    <row r="12164" spans="1:1" ht="14.4">
      <c r="A12164" s="11"/>
    </row>
    <row r="12165" spans="1:1" ht="14.4">
      <c r="A12165" s="11"/>
    </row>
    <row r="12166" spans="1:1" ht="14.4">
      <c r="A12166" s="11"/>
    </row>
    <row r="12167" spans="1:1" ht="14.4">
      <c r="A12167" s="11"/>
    </row>
    <row r="12168" spans="1:1" ht="14.4">
      <c r="A12168" s="11"/>
    </row>
    <row r="12169" spans="1:1" ht="14.4">
      <c r="A12169" s="11"/>
    </row>
    <row r="12170" spans="1:1" ht="14.4">
      <c r="A12170" s="11"/>
    </row>
    <row r="12171" spans="1:1" ht="14.4">
      <c r="A12171" s="11"/>
    </row>
    <row r="12172" spans="1:1" ht="14.4">
      <c r="A12172" s="11"/>
    </row>
    <row r="12173" spans="1:1" ht="14.4">
      <c r="A12173" s="11"/>
    </row>
    <row r="12174" spans="1:1" ht="14.4">
      <c r="A12174" s="11"/>
    </row>
    <row r="12175" spans="1:1" ht="14.4">
      <c r="A12175" s="11"/>
    </row>
    <row r="12176" spans="1:1" ht="14.4">
      <c r="A12176" s="11"/>
    </row>
    <row r="12177" spans="1:1" ht="14.4">
      <c r="A12177" s="11"/>
    </row>
    <row r="12178" spans="1:1" ht="14.4">
      <c r="A12178" s="11"/>
    </row>
    <row r="12179" spans="1:1" ht="14.4">
      <c r="A12179" s="11"/>
    </row>
    <row r="12180" spans="1:1" ht="14.4">
      <c r="A12180" s="11"/>
    </row>
    <row r="12181" spans="1:1" ht="14.4">
      <c r="A12181" s="11"/>
    </row>
    <row r="12182" spans="1:1" ht="14.4">
      <c r="A12182" s="11"/>
    </row>
    <row r="12183" spans="1:1" ht="14.4">
      <c r="A12183" s="11"/>
    </row>
    <row r="12184" spans="1:1" ht="14.4">
      <c r="A12184" s="11"/>
    </row>
    <row r="12185" spans="1:1" ht="14.4">
      <c r="A12185" s="11"/>
    </row>
    <row r="12186" spans="1:1" ht="14.4">
      <c r="A12186" s="11"/>
    </row>
    <row r="12187" spans="1:1" ht="14.4">
      <c r="A12187" s="11"/>
    </row>
    <row r="12188" spans="1:1" ht="14.4">
      <c r="A12188" s="11"/>
    </row>
    <row r="12189" spans="1:1" ht="14.4">
      <c r="A12189" s="11"/>
    </row>
    <row r="12190" spans="1:1" ht="14.4">
      <c r="A12190" s="11"/>
    </row>
    <row r="12191" spans="1:1" ht="14.4">
      <c r="A12191" s="11"/>
    </row>
    <row r="12192" spans="1:1" ht="14.4">
      <c r="A12192" s="11"/>
    </row>
    <row r="12193" spans="1:1" ht="14.4">
      <c r="A12193" s="11"/>
    </row>
    <row r="12194" spans="1:1" ht="14.4">
      <c r="A12194" s="11"/>
    </row>
    <row r="12195" spans="1:1" ht="14.4">
      <c r="A12195" s="11"/>
    </row>
    <row r="12196" spans="1:1" ht="14.4">
      <c r="A12196" s="11"/>
    </row>
    <row r="12197" spans="1:1" ht="14.4">
      <c r="A12197" s="11"/>
    </row>
    <row r="12198" spans="1:1" ht="14.4">
      <c r="A12198" s="11"/>
    </row>
    <row r="12199" spans="1:1" ht="14.4">
      <c r="A12199" s="11"/>
    </row>
    <row r="12200" spans="1:1" ht="14.4">
      <c r="A12200" s="11"/>
    </row>
    <row r="12201" spans="1:1" ht="14.4">
      <c r="A12201" s="11"/>
    </row>
    <row r="12202" spans="1:1" ht="14.4">
      <c r="A12202" s="11"/>
    </row>
    <row r="12203" spans="1:1" ht="14.4">
      <c r="A12203" s="11"/>
    </row>
    <row r="12204" spans="1:1" ht="14.4">
      <c r="A12204" s="11"/>
    </row>
    <row r="12205" spans="1:1" ht="14.4">
      <c r="A12205" s="11"/>
    </row>
    <row r="12206" spans="1:1" ht="14.4">
      <c r="A12206" s="11"/>
    </row>
    <row r="12207" spans="1:1" ht="14.4">
      <c r="A12207" s="11"/>
    </row>
    <row r="12208" spans="1:1" ht="14.4">
      <c r="A12208" s="11"/>
    </row>
    <row r="12209" spans="1:1" ht="14.4">
      <c r="A12209" s="11"/>
    </row>
    <row r="12210" spans="1:1" ht="14.4">
      <c r="A12210" s="11"/>
    </row>
    <row r="12211" spans="1:1" ht="14.4">
      <c r="A12211" s="11"/>
    </row>
    <row r="12212" spans="1:1" ht="14.4">
      <c r="A12212" s="11"/>
    </row>
    <row r="12213" spans="1:1" ht="14.4">
      <c r="A12213" s="11"/>
    </row>
    <row r="12214" spans="1:1" ht="14.4">
      <c r="A12214" s="11"/>
    </row>
    <row r="12215" spans="1:1" ht="14.4">
      <c r="A12215" s="11"/>
    </row>
    <row r="12216" spans="1:1" ht="14.4">
      <c r="A12216" s="11"/>
    </row>
    <row r="12217" spans="1:1" ht="14.4">
      <c r="A12217" s="11"/>
    </row>
    <row r="12218" spans="1:1" ht="14.4">
      <c r="A12218" s="11"/>
    </row>
    <row r="12219" spans="1:1" ht="14.4">
      <c r="A12219" s="11"/>
    </row>
    <row r="12220" spans="1:1" ht="14.4">
      <c r="A12220" s="11"/>
    </row>
    <row r="12221" spans="1:1" ht="14.4">
      <c r="A12221" s="11"/>
    </row>
    <row r="12222" spans="1:1" ht="14.4">
      <c r="A12222" s="11"/>
    </row>
    <row r="12223" spans="1:1" ht="14.4">
      <c r="A12223" s="11"/>
    </row>
    <row r="12224" spans="1:1" ht="14.4">
      <c r="A12224" s="11"/>
    </row>
    <row r="12225" spans="1:1" ht="14.4">
      <c r="A12225" s="11"/>
    </row>
    <row r="12226" spans="1:1" ht="14.4">
      <c r="A12226" s="11"/>
    </row>
    <row r="12227" spans="1:1" ht="14.4">
      <c r="A12227" s="11"/>
    </row>
    <row r="12228" spans="1:1" ht="14.4">
      <c r="A12228" s="11"/>
    </row>
    <row r="12229" spans="1:1" ht="14.4">
      <c r="A12229" s="11"/>
    </row>
    <row r="12230" spans="1:1" ht="14.4">
      <c r="A12230" s="11"/>
    </row>
    <row r="12231" spans="1:1" ht="14.4">
      <c r="A12231" s="11"/>
    </row>
    <row r="12232" spans="1:1" ht="14.4">
      <c r="A12232" s="11"/>
    </row>
    <row r="12233" spans="1:1" ht="14.4">
      <c r="A12233" s="11"/>
    </row>
    <row r="12234" spans="1:1" ht="14.4">
      <c r="A12234" s="11"/>
    </row>
    <row r="12235" spans="1:1" ht="14.4">
      <c r="A12235" s="11"/>
    </row>
    <row r="12236" spans="1:1" ht="14.4">
      <c r="A12236" s="11"/>
    </row>
    <row r="12237" spans="1:1" ht="14.4">
      <c r="A12237" s="11"/>
    </row>
    <row r="12238" spans="1:1" ht="14.4">
      <c r="A12238" s="11"/>
    </row>
    <row r="12239" spans="1:1" ht="14.4">
      <c r="A12239" s="11"/>
    </row>
    <row r="12240" spans="1:1" ht="14.4">
      <c r="A12240" s="11"/>
    </row>
    <row r="12241" spans="1:1" ht="14.4">
      <c r="A12241" s="11"/>
    </row>
    <row r="12242" spans="1:1" ht="14.4">
      <c r="A12242" s="11"/>
    </row>
    <row r="12243" spans="1:1" ht="14.4">
      <c r="A12243" s="11"/>
    </row>
    <row r="12244" spans="1:1" ht="14.4">
      <c r="A12244" s="11"/>
    </row>
    <row r="12245" spans="1:1" ht="14.4">
      <c r="A12245" s="11"/>
    </row>
    <row r="12246" spans="1:1" ht="14.4">
      <c r="A12246" s="11"/>
    </row>
    <row r="12247" spans="1:1" ht="14.4">
      <c r="A12247" s="11"/>
    </row>
    <row r="12248" spans="1:1" ht="14.4">
      <c r="A12248" s="11"/>
    </row>
    <row r="12249" spans="1:1" ht="14.4">
      <c r="A12249" s="11"/>
    </row>
    <row r="12250" spans="1:1" ht="14.4">
      <c r="A12250" s="11"/>
    </row>
    <row r="12251" spans="1:1" ht="14.4">
      <c r="A12251" s="11"/>
    </row>
    <row r="12252" spans="1:1" ht="14.4">
      <c r="A12252" s="11"/>
    </row>
    <row r="12253" spans="1:1" ht="14.4">
      <c r="A12253" s="11"/>
    </row>
    <row r="12254" spans="1:1" ht="14.4">
      <c r="A12254" s="11"/>
    </row>
    <row r="12255" spans="1:1" ht="14.4">
      <c r="A12255" s="11"/>
    </row>
    <row r="12256" spans="1:1" ht="14.4">
      <c r="A12256" s="11"/>
    </row>
    <row r="12257" spans="1:1" ht="14.4">
      <c r="A12257" s="11"/>
    </row>
    <row r="12258" spans="1:1" ht="14.4">
      <c r="A12258" s="11"/>
    </row>
    <row r="12259" spans="1:1" ht="14.4">
      <c r="A12259" s="11"/>
    </row>
    <row r="12260" spans="1:1" ht="14.4">
      <c r="A12260" s="11"/>
    </row>
    <row r="12261" spans="1:1" ht="14.4">
      <c r="A12261" s="11"/>
    </row>
    <row r="12262" spans="1:1" ht="14.4">
      <c r="A12262" s="11"/>
    </row>
    <row r="12263" spans="1:1" ht="14.4">
      <c r="A12263" s="11"/>
    </row>
    <row r="12264" spans="1:1" ht="14.4">
      <c r="A12264" s="11"/>
    </row>
    <row r="12265" spans="1:1" ht="14.4">
      <c r="A12265" s="11"/>
    </row>
    <row r="12266" spans="1:1" ht="14.4">
      <c r="A12266" s="11"/>
    </row>
    <row r="12267" spans="1:1" ht="14.4">
      <c r="A12267" s="11"/>
    </row>
    <row r="12268" spans="1:1" ht="14.4">
      <c r="A12268" s="11"/>
    </row>
    <row r="12269" spans="1:1" ht="14.4">
      <c r="A12269" s="11"/>
    </row>
    <row r="12270" spans="1:1" ht="14.4">
      <c r="A12270" s="11"/>
    </row>
    <row r="12271" spans="1:1" ht="14.4">
      <c r="A12271" s="11"/>
    </row>
    <row r="12272" spans="1:1" ht="14.4">
      <c r="A12272" s="11"/>
    </row>
    <row r="12273" spans="1:1" ht="14.4">
      <c r="A12273" s="11"/>
    </row>
    <row r="12274" spans="1:1" ht="14.4">
      <c r="A12274" s="11"/>
    </row>
    <row r="12275" spans="1:1" ht="14.4">
      <c r="A12275" s="11"/>
    </row>
    <row r="12276" spans="1:1" ht="14.4">
      <c r="A12276" s="11"/>
    </row>
    <row r="12277" spans="1:1" ht="14.4">
      <c r="A12277" s="11"/>
    </row>
    <row r="12278" spans="1:1" ht="14.4">
      <c r="A12278" s="11"/>
    </row>
    <row r="12279" spans="1:1" ht="14.4">
      <c r="A12279" s="11"/>
    </row>
    <row r="12280" spans="1:1" ht="14.4">
      <c r="A12280" s="11"/>
    </row>
    <row r="12281" spans="1:1" ht="14.4">
      <c r="A12281" s="11"/>
    </row>
    <row r="12282" spans="1:1" ht="14.4">
      <c r="A12282" s="11"/>
    </row>
    <row r="12283" spans="1:1" ht="14.4">
      <c r="A12283" s="11"/>
    </row>
    <row r="12284" spans="1:1" ht="14.4">
      <c r="A12284" s="11"/>
    </row>
    <row r="12285" spans="1:1" ht="14.4">
      <c r="A12285" s="11"/>
    </row>
    <row r="12286" spans="1:1" ht="14.4">
      <c r="A12286" s="11"/>
    </row>
    <row r="12287" spans="1:1" ht="14.4">
      <c r="A12287" s="11"/>
    </row>
    <row r="12288" spans="1:1" ht="14.4">
      <c r="A12288" s="11"/>
    </row>
    <row r="12289" spans="1:1" ht="14.4">
      <c r="A12289" s="11"/>
    </row>
    <row r="12290" spans="1:1" ht="14.4">
      <c r="A12290" s="11"/>
    </row>
    <row r="12291" spans="1:1" ht="14.4">
      <c r="A12291" s="11"/>
    </row>
    <row r="12292" spans="1:1" ht="14.4">
      <c r="A12292" s="11"/>
    </row>
    <row r="12293" spans="1:1" ht="14.4">
      <c r="A12293" s="11"/>
    </row>
    <row r="12294" spans="1:1" ht="14.4">
      <c r="A12294" s="11"/>
    </row>
    <row r="12295" spans="1:1" ht="14.4">
      <c r="A12295" s="11"/>
    </row>
    <row r="12296" spans="1:1" ht="14.4">
      <c r="A12296" s="11"/>
    </row>
    <row r="12297" spans="1:1" ht="14.4">
      <c r="A12297" s="11"/>
    </row>
    <row r="12298" spans="1:1" ht="14.4">
      <c r="A12298" s="11"/>
    </row>
    <row r="12299" spans="1:1" ht="14.4">
      <c r="A12299" s="11"/>
    </row>
    <row r="12300" spans="1:1" ht="14.4">
      <c r="A12300" s="11"/>
    </row>
    <row r="12301" spans="1:1" ht="14.4">
      <c r="A12301" s="11"/>
    </row>
    <row r="12302" spans="1:1" ht="14.4">
      <c r="A12302" s="11"/>
    </row>
    <row r="12303" spans="1:1" ht="14.4">
      <c r="A12303" s="11"/>
    </row>
    <row r="12304" spans="1:1" ht="14.4">
      <c r="A12304" s="11"/>
    </row>
    <row r="12305" spans="1:1" ht="14.4">
      <c r="A12305" s="11"/>
    </row>
    <row r="12306" spans="1:1" ht="14.4">
      <c r="A12306" s="11"/>
    </row>
    <row r="12307" spans="1:1" ht="14.4">
      <c r="A12307" s="11"/>
    </row>
    <row r="12308" spans="1:1" ht="14.4">
      <c r="A12308" s="11"/>
    </row>
    <row r="12309" spans="1:1" ht="14.4">
      <c r="A12309" s="11"/>
    </row>
    <row r="12310" spans="1:1" ht="14.4">
      <c r="A12310" s="11"/>
    </row>
    <row r="12311" spans="1:1" ht="14.4">
      <c r="A12311" s="11"/>
    </row>
    <row r="12312" spans="1:1" ht="14.4">
      <c r="A12312" s="11"/>
    </row>
    <row r="12313" spans="1:1" ht="14.4">
      <c r="A12313" s="11"/>
    </row>
    <row r="12314" spans="1:1" ht="14.4">
      <c r="A12314" s="11"/>
    </row>
    <row r="12315" spans="1:1" ht="14.4">
      <c r="A12315" s="11"/>
    </row>
    <row r="12316" spans="1:1" ht="14.4">
      <c r="A12316" s="11"/>
    </row>
    <row r="12317" spans="1:1" ht="14.4">
      <c r="A12317" s="11"/>
    </row>
    <row r="12318" spans="1:1" ht="14.4">
      <c r="A12318" s="11"/>
    </row>
    <row r="12319" spans="1:1" ht="14.4">
      <c r="A12319" s="11"/>
    </row>
    <row r="12320" spans="1:1" ht="14.4">
      <c r="A12320" s="11"/>
    </row>
    <row r="12321" spans="1:1" ht="14.4">
      <c r="A12321" s="11"/>
    </row>
    <row r="12322" spans="1:1" ht="14.4">
      <c r="A12322" s="11"/>
    </row>
    <row r="12323" spans="1:1" ht="14.4">
      <c r="A12323" s="11"/>
    </row>
    <row r="12324" spans="1:1" ht="14.4">
      <c r="A12324" s="11"/>
    </row>
    <row r="12325" spans="1:1" ht="14.4">
      <c r="A12325" s="11"/>
    </row>
    <row r="12326" spans="1:1" ht="14.4">
      <c r="A12326" s="11"/>
    </row>
    <row r="12327" spans="1:1" ht="14.4">
      <c r="A12327" s="11"/>
    </row>
    <row r="12328" spans="1:1" ht="14.4">
      <c r="A12328" s="11"/>
    </row>
    <row r="12329" spans="1:1" ht="14.4">
      <c r="A12329" s="11"/>
    </row>
    <row r="12330" spans="1:1" ht="14.4">
      <c r="A12330" s="11"/>
    </row>
    <row r="12331" spans="1:1" ht="14.4">
      <c r="A12331" s="11"/>
    </row>
    <row r="12332" spans="1:1" ht="14.4">
      <c r="A12332" s="11"/>
    </row>
    <row r="12333" spans="1:1" ht="14.4">
      <c r="A12333" s="11"/>
    </row>
    <row r="12334" spans="1:1" ht="14.4">
      <c r="A12334" s="11"/>
    </row>
    <row r="12335" spans="1:1" ht="14.4">
      <c r="A12335" s="11"/>
    </row>
    <row r="12336" spans="1:1" ht="14.4">
      <c r="A12336" s="11"/>
    </row>
    <row r="12337" spans="1:1" ht="14.4">
      <c r="A12337" s="11"/>
    </row>
    <row r="12338" spans="1:1" ht="14.4">
      <c r="A12338" s="11"/>
    </row>
    <row r="12339" spans="1:1" ht="14.4">
      <c r="A12339" s="11"/>
    </row>
    <row r="12340" spans="1:1" ht="14.4">
      <c r="A12340" s="11"/>
    </row>
    <row r="12341" spans="1:1" ht="14.4">
      <c r="A12341" s="11"/>
    </row>
    <row r="12342" spans="1:1" ht="14.4">
      <c r="A12342" s="11"/>
    </row>
    <row r="12343" spans="1:1" ht="14.4">
      <c r="A12343" s="11"/>
    </row>
    <row r="12344" spans="1:1" ht="14.4">
      <c r="A12344" s="11"/>
    </row>
    <row r="12345" spans="1:1" ht="14.4">
      <c r="A12345" s="11"/>
    </row>
    <row r="12346" spans="1:1" ht="14.4">
      <c r="A12346" s="11"/>
    </row>
    <row r="12347" spans="1:1" ht="14.4">
      <c r="A12347" s="11"/>
    </row>
    <row r="12348" spans="1:1" ht="14.4">
      <c r="A12348" s="11"/>
    </row>
    <row r="12349" spans="1:1" ht="14.4">
      <c r="A12349" s="11"/>
    </row>
    <row r="12350" spans="1:1" ht="14.4">
      <c r="A12350" s="11"/>
    </row>
    <row r="12351" spans="1:1" ht="14.4">
      <c r="A12351" s="11"/>
    </row>
    <row r="12352" spans="1:1" ht="14.4">
      <c r="A12352" s="11"/>
    </row>
    <row r="12353" spans="1:1" ht="14.4">
      <c r="A12353" s="11"/>
    </row>
    <row r="12354" spans="1:1" ht="14.4">
      <c r="A12354" s="11"/>
    </row>
    <row r="12355" spans="1:1" ht="14.4">
      <c r="A12355" s="11"/>
    </row>
    <row r="12356" spans="1:1" ht="14.4">
      <c r="A12356" s="11"/>
    </row>
    <row r="12357" spans="1:1" ht="14.4">
      <c r="A12357" s="11"/>
    </row>
    <row r="12358" spans="1:1" ht="14.4">
      <c r="A12358" s="11"/>
    </row>
    <row r="12359" spans="1:1" ht="14.4">
      <c r="A12359" s="11"/>
    </row>
    <row r="12360" spans="1:1" ht="14.4">
      <c r="A12360" s="11"/>
    </row>
    <row r="12361" spans="1:1" ht="14.4">
      <c r="A12361" s="11"/>
    </row>
    <row r="12362" spans="1:1" ht="14.4">
      <c r="A12362" s="11"/>
    </row>
    <row r="12363" spans="1:1" ht="14.4">
      <c r="A12363" s="11"/>
    </row>
    <row r="12364" spans="1:1" ht="14.4">
      <c r="A12364" s="11"/>
    </row>
    <row r="12365" spans="1:1" ht="14.4">
      <c r="A12365" s="11"/>
    </row>
    <row r="12366" spans="1:1" ht="14.4">
      <c r="A12366" s="11"/>
    </row>
    <row r="12367" spans="1:1" ht="14.4">
      <c r="A12367" s="11"/>
    </row>
    <row r="12368" spans="1:1" ht="14.4">
      <c r="A12368" s="11"/>
    </row>
    <row r="12369" spans="1:1" ht="14.4">
      <c r="A12369" s="11"/>
    </row>
    <row r="12370" spans="1:1" ht="14.4">
      <c r="A12370" s="11"/>
    </row>
    <row r="12371" spans="1:1" ht="14.4">
      <c r="A12371" s="11"/>
    </row>
    <row r="12372" spans="1:1" ht="14.4">
      <c r="A12372" s="11"/>
    </row>
    <row r="12373" spans="1:1" ht="14.4">
      <c r="A12373" s="11"/>
    </row>
    <row r="12374" spans="1:1" ht="14.4">
      <c r="A12374" s="11"/>
    </row>
    <row r="12375" spans="1:1" ht="14.4">
      <c r="A12375" s="11"/>
    </row>
    <row r="12376" spans="1:1" ht="14.4">
      <c r="A12376" s="11"/>
    </row>
    <row r="12377" spans="1:1" ht="14.4">
      <c r="A12377" s="11"/>
    </row>
    <row r="12378" spans="1:1" ht="14.4">
      <c r="A12378" s="11"/>
    </row>
    <row r="12379" spans="1:1" ht="14.4">
      <c r="A12379" s="11"/>
    </row>
    <row r="12380" spans="1:1" ht="14.4">
      <c r="A12380" s="11"/>
    </row>
    <row r="12381" spans="1:1" ht="14.4">
      <c r="A12381" s="11"/>
    </row>
    <row r="12382" spans="1:1" ht="14.4">
      <c r="A12382" s="11"/>
    </row>
    <row r="12383" spans="1:1" ht="14.4">
      <c r="A12383" s="11"/>
    </row>
    <row r="12384" spans="1:1" ht="14.4">
      <c r="A12384" s="11"/>
    </row>
    <row r="12385" spans="1:1" ht="14.4">
      <c r="A12385" s="11"/>
    </row>
    <row r="12386" spans="1:1" ht="14.4">
      <c r="A12386" s="11"/>
    </row>
    <row r="12387" spans="1:1" ht="14.4">
      <c r="A12387" s="11"/>
    </row>
    <row r="12388" spans="1:1" ht="14.4">
      <c r="A12388" s="11"/>
    </row>
    <row r="12389" spans="1:1" ht="14.4">
      <c r="A12389" s="11"/>
    </row>
    <row r="12390" spans="1:1" ht="14.4">
      <c r="A12390" s="11"/>
    </row>
    <row r="12391" spans="1:1" ht="14.4">
      <c r="A12391" s="11"/>
    </row>
    <row r="12392" spans="1:1" ht="14.4">
      <c r="A12392" s="11"/>
    </row>
    <row r="12393" spans="1:1" ht="14.4">
      <c r="A12393" s="11"/>
    </row>
    <row r="12394" spans="1:1" ht="14.4">
      <c r="A12394" s="11"/>
    </row>
    <row r="12395" spans="1:1" ht="14.4">
      <c r="A12395" s="11"/>
    </row>
    <row r="12396" spans="1:1" ht="14.4">
      <c r="A12396" s="11"/>
    </row>
    <row r="12397" spans="1:1" ht="14.4">
      <c r="A12397" s="11"/>
    </row>
    <row r="12398" spans="1:1" ht="14.4">
      <c r="A12398" s="11"/>
    </row>
    <row r="12399" spans="1:1" ht="14.4">
      <c r="A12399" s="11"/>
    </row>
    <row r="12400" spans="1:1" ht="14.4">
      <c r="A12400" s="11"/>
    </row>
    <row r="12401" spans="1:1" ht="14.4">
      <c r="A12401" s="11"/>
    </row>
    <row r="12402" spans="1:1" ht="14.4">
      <c r="A12402" s="11"/>
    </row>
    <row r="12403" spans="1:1" ht="14.4">
      <c r="A12403" s="11"/>
    </row>
    <row r="12404" spans="1:1" ht="14.4">
      <c r="A12404" s="11"/>
    </row>
    <row r="12405" spans="1:1" ht="14.4">
      <c r="A12405" s="11"/>
    </row>
    <row r="12406" spans="1:1" ht="14.4">
      <c r="A12406" s="11"/>
    </row>
    <row r="12407" spans="1:1" ht="14.4">
      <c r="A12407" s="11"/>
    </row>
    <row r="12408" spans="1:1" ht="14.4">
      <c r="A12408" s="11"/>
    </row>
    <row r="12409" spans="1:1" ht="14.4">
      <c r="A12409" s="11"/>
    </row>
    <row r="12410" spans="1:1" ht="14.4">
      <c r="A12410" s="11"/>
    </row>
    <row r="12411" spans="1:1" ht="14.4">
      <c r="A12411" s="11"/>
    </row>
    <row r="12412" spans="1:1" ht="14.4">
      <c r="A12412" s="11"/>
    </row>
    <row r="12413" spans="1:1" ht="14.4">
      <c r="A12413" s="11"/>
    </row>
    <row r="12414" spans="1:1" ht="14.4">
      <c r="A12414" s="11"/>
    </row>
    <row r="12415" spans="1:1" ht="14.4">
      <c r="A12415" s="11"/>
    </row>
    <row r="12416" spans="1:1" ht="14.4">
      <c r="A12416" s="11"/>
    </row>
    <row r="12417" spans="1:1" ht="14.4">
      <c r="A12417" s="11"/>
    </row>
    <row r="12418" spans="1:1" ht="14.4">
      <c r="A12418" s="11"/>
    </row>
    <row r="12419" spans="1:1" ht="14.4">
      <c r="A12419" s="11"/>
    </row>
    <row r="12420" spans="1:1" ht="14.4">
      <c r="A12420" s="11"/>
    </row>
    <row r="12421" spans="1:1" ht="14.4">
      <c r="A12421" s="11"/>
    </row>
    <row r="12422" spans="1:1" ht="14.4">
      <c r="A12422" s="11"/>
    </row>
    <row r="12423" spans="1:1" ht="14.4">
      <c r="A12423" s="11"/>
    </row>
    <row r="12424" spans="1:1" ht="14.4">
      <c r="A12424" s="11"/>
    </row>
    <row r="12425" spans="1:1" ht="14.4">
      <c r="A12425" s="11"/>
    </row>
    <row r="12426" spans="1:1" ht="14.4">
      <c r="A12426" s="11"/>
    </row>
    <row r="12427" spans="1:1" ht="14.4">
      <c r="A12427" s="11"/>
    </row>
    <row r="12428" spans="1:1" ht="14.4">
      <c r="A12428" s="11"/>
    </row>
    <row r="12429" spans="1:1" ht="14.4">
      <c r="A12429" s="11"/>
    </row>
    <row r="12430" spans="1:1" ht="14.4">
      <c r="A12430" s="11"/>
    </row>
    <row r="12431" spans="1:1" ht="14.4">
      <c r="A12431" s="11"/>
    </row>
    <row r="12432" spans="1:1" ht="14.4">
      <c r="A12432" s="11"/>
    </row>
    <row r="12433" spans="1:1" ht="14.4">
      <c r="A12433" s="11"/>
    </row>
    <row r="12434" spans="1:1" ht="14.4">
      <c r="A12434" s="11"/>
    </row>
    <row r="12435" spans="1:1" ht="14.4">
      <c r="A12435" s="11"/>
    </row>
    <row r="12436" spans="1:1" ht="14.4">
      <c r="A12436" s="11"/>
    </row>
    <row r="12437" spans="1:1" ht="14.4">
      <c r="A12437" s="11"/>
    </row>
    <row r="12438" spans="1:1" ht="14.4">
      <c r="A12438" s="11"/>
    </row>
    <row r="12439" spans="1:1" ht="14.4">
      <c r="A12439" s="11"/>
    </row>
    <row r="12440" spans="1:1" ht="14.4">
      <c r="A12440" s="11"/>
    </row>
    <row r="12441" spans="1:1" ht="14.4">
      <c r="A12441" s="11"/>
    </row>
    <row r="12442" spans="1:1" ht="14.4">
      <c r="A12442" s="11"/>
    </row>
    <row r="12443" spans="1:1" ht="14.4">
      <c r="A12443" s="11"/>
    </row>
    <row r="12444" spans="1:1" ht="14.4">
      <c r="A12444" s="11"/>
    </row>
    <row r="12445" spans="1:1" ht="14.4">
      <c r="A12445" s="11"/>
    </row>
    <row r="12446" spans="1:1" ht="14.4">
      <c r="A12446" s="11"/>
    </row>
    <row r="12447" spans="1:1" ht="14.4">
      <c r="A12447" s="11"/>
    </row>
    <row r="12448" spans="1:1" ht="14.4">
      <c r="A12448" s="11"/>
    </row>
    <row r="12449" spans="1:1" ht="14.4">
      <c r="A12449" s="11"/>
    </row>
    <row r="12450" spans="1:1" ht="14.4">
      <c r="A12450" s="11"/>
    </row>
    <row r="12451" spans="1:1" ht="14.4">
      <c r="A12451" s="11"/>
    </row>
    <row r="12452" spans="1:1" ht="14.4">
      <c r="A12452" s="11"/>
    </row>
    <row r="12453" spans="1:1" ht="14.4">
      <c r="A12453" s="11"/>
    </row>
    <row r="12454" spans="1:1" ht="14.4">
      <c r="A12454" s="11"/>
    </row>
    <row r="12455" spans="1:1" ht="14.4">
      <c r="A12455" s="11"/>
    </row>
    <row r="12456" spans="1:1" ht="14.4">
      <c r="A12456" s="11"/>
    </row>
    <row r="12457" spans="1:1" ht="14.4">
      <c r="A12457" s="11"/>
    </row>
    <row r="12458" spans="1:1" ht="14.4">
      <c r="A12458" s="11"/>
    </row>
    <row r="12459" spans="1:1" ht="14.4">
      <c r="A12459" s="11"/>
    </row>
    <row r="12460" spans="1:1" ht="14.4">
      <c r="A12460" s="11"/>
    </row>
    <row r="12461" spans="1:1" ht="14.4">
      <c r="A12461" s="11"/>
    </row>
    <row r="12462" spans="1:1" ht="14.4">
      <c r="A12462" s="11"/>
    </row>
    <row r="12463" spans="1:1" ht="14.4">
      <c r="A12463" s="11"/>
    </row>
    <row r="12464" spans="1:1" ht="14.4">
      <c r="A12464" s="11"/>
    </row>
    <row r="12465" spans="1:1" ht="14.4">
      <c r="A12465" s="11"/>
    </row>
    <row r="12466" spans="1:1" ht="14.4">
      <c r="A12466" s="11"/>
    </row>
    <row r="12467" spans="1:1" ht="14.4">
      <c r="A12467" s="11"/>
    </row>
    <row r="12468" spans="1:1" ht="14.4">
      <c r="A12468" s="11"/>
    </row>
    <row r="12469" spans="1:1" ht="14.4">
      <c r="A12469" s="11"/>
    </row>
    <row r="12470" spans="1:1" ht="14.4">
      <c r="A12470" s="11"/>
    </row>
    <row r="12471" spans="1:1" ht="14.4">
      <c r="A12471" s="11"/>
    </row>
    <row r="12472" spans="1:1" ht="14.4">
      <c r="A12472" s="11"/>
    </row>
    <row r="12473" spans="1:1" ht="14.4">
      <c r="A12473" s="11"/>
    </row>
    <row r="12474" spans="1:1" ht="14.4">
      <c r="A12474" s="11"/>
    </row>
    <row r="12475" spans="1:1" ht="14.4">
      <c r="A12475" s="11"/>
    </row>
    <row r="12476" spans="1:1" ht="14.4">
      <c r="A12476" s="11"/>
    </row>
    <row r="12477" spans="1:1" ht="14.4">
      <c r="A12477" s="11"/>
    </row>
    <row r="12478" spans="1:1" ht="14.4">
      <c r="A12478" s="11"/>
    </row>
    <row r="12479" spans="1:1" ht="14.4">
      <c r="A12479" s="11"/>
    </row>
    <row r="12480" spans="1:1" ht="14.4">
      <c r="A12480" s="11"/>
    </row>
    <row r="12481" spans="1:1" ht="14.4">
      <c r="A12481" s="11"/>
    </row>
    <row r="12482" spans="1:1" ht="14.4">
      <c r="A12482" s="11"/>
    </row>
    <row r="12483" spans="1:1" ht="14.4">
      <c r="A12483" s="11"/>
    </row>
    <row r="12484" spans="1:1" ht="14.4">
      <c r="A12484" s="11"/>
    </row>
    <row r="12485" spans="1:1" ht="14.4">
      <c r="A12485" s="11"/>
    </row>
    <row r="12486" spans="1:1" ht="14.4">
      <c r="A12486" s="11"/>
    </row>
    <row r="12487" spans="1:1" ht="14.4">
      <c r="A12487" s="11"/>
    </row>
    <row r="12488" spans="1:1" ht="14.4">
      <c r="A12488" s="11"/>
    </row>
    <row r="12489" spans="1:1" ht="14.4">
      <c r="A12489" s="11"/>
    </row>
    <row r="12490" spans="1:1" ht="14.4">
      <c r="A12490" s="11"/>
    </row>
    <row r="12491" spans="1:1" ht="14.4">
      <c r="A12491" s="11"/>
    </row>
    <row r="12492" spans="1:1" ht="14.4">
      <c r="A12492" s="11"/>
    </row>
    <row r="12493" spans="1:1" ht="14.4">
      <c r="A12493" s="11"/>
    </row>
    <row r="12494" spans="1:1" ht="14.4">
      <c r="A12494" s="11"/>
    </row>
    <row r="12495" spans="1:1" ht="14.4">
      <c r="A12495" s="11"/>
    </row>
    <row r="12496" spans="1:1" ht="14.4">
      <c r="A12496" s="11"/>
    </row>
    <row r="12497" spans="1:1" ht="14.4">
      <c r="A12497" s="11"/>
    </row>
    <row r="12498" spans="1:1" ht="14.4">
      <c r="A12498" s="11"/>
    </row>
    <row r="12499" spans="1:1" ht="14.4">
      <c r="A12499" s="11"/>
    </row>
    <row r="12500" spans="1:1" ht="14.4">
      <c r="A12500" s="11"/>
    </row>
    <row r="12501" spans="1:1" ht="14.4">
      <c r="A12501" s="11"/>
    </row>
    <row r="12502" spans="1:1" ht="14.4">
      <c r="A12502" s="11"/>
    </row>
    <row r="12503" spans="1:1" ht="14.4">
      <c r="A12503" s="11"/>
    </row>
    <row r="12504" spans="1:1" ht="14.4">
      <c r="A12504" s="11"/>
    </row>
    <row r="12505" spans="1:1" ht="14.4">
      <c r="A12505" s="11"/>
    </row>
    <row r="12506" spans="1:1" ht="14.4">
      <c r="A12506" s="11"/>
    </row>
    <row r="12507" spans="1:1" ht="14.4">
      <c r="A12507" s="11"/>
    </row>
    <row r="12508" spans="1:1" ht="14.4">
      <c r="A12508" s="11"/>
    </row>
    <row r="12509" spans="1:1" ht="14.4">
      <c r="A12509" s="11"/>
    </row>
    <row r="12510" spans="1:1" ht="14.4">
      <c r="A12510" s="11"/>
    </row>
    <row r="12511" spans="1:1" ht="14.4">
      <c r="A12511" s="11"/>
    </row>
    <row r="12512" spans="1:1" ht="14.4">
      <c r="A12512" s="11"/>
    </row>
    <row r="12513" spans="1:1" ht="14.4">
      <c r="A12513" s="11"/>
    </row>
    <row r="12514" spans="1:1" ht="14.4">
      <c r="A12514" s="11"/>
    </row>
    <row r="12515" spans="1:1" ht="14.4">
      <c r="A12515" s="11"/>
    </row>
    <row r="12516" spans="1:1" ht="14.4">
      <c r="A12516" s="11"/>
    </row>
    <row r="12517" spans="1:1" ht="14.4">
      <c r="A12517" s="11"/>
    </row>
    <row r="12518" spans="1:1" ht="14.4">
      <c r="A12518" s="11"/>
    </row>
    <row r="12519" spans="1:1" ht="14.4">
      <c r="A12519" s="11"/>
    </row>
    <row r="12520" spans="1:1" ht="14.4">
      <c r="A12520" s="11"/>
    </row>
    <row r="12521" spans="1:1" ht="14.4">
      <c r="A12521" s="11"/>
    </row>
    <row r="12522" spans="1:1" ht="14.4">
      <c r="A12522" s="11"/>
    </row>
    <row r="12523" spans="1:1" ht="14.4">
      <c r="A12523" s="11"/>
    </row>
    <row r="12524" spans="1:1" ht="14.4">
      <c r="A12524" s="11"/>
    </row>
    <row r="12525" spans="1:1" ht="14.4">
      <c r="A12525" s="11"/>
    </row>
    <row r="12526" spans="1:1" ht="14.4">
      <c r="A12526" s="11"/>
    </row>
    <row r="12527" spans="1:1" ht="14.4">
      <c r="A12527" s="11"/>
    </row>
    <row r="12528" spans="1:1" ht="14.4">
      <c r="A12528" s="11"/>
    </row>
    <row r="12529" spans="1:1" ht="14.4">
      <c r="A12529" s="11"/>
    </row>
    <row r="12530" spans="1:1" ht="14.4">
      <c r="A12530" s="11"/>
    </row>
    <row r="12531" spans="1:1" ht="14.4">
      <c r="A12531" s="11"/>
    </row>
    <row r="12532" spans="1:1" ht="14.4">
      <c r="A12532" s="11"/>
    </row>
    <row r="12533" spans="1:1" ht="14.4">
      <c r="A12533" s="11"/>
    </row>
    <row r="12534" spans="1:1" ht="14.4">
      <c r="A12534" s="11"/>
    </row>
    <row r="12535" spans="1:1" ht="14.4">
      <c r="A12535" s="11"/>
    </row>
    <row r="12536" spans="1:1" ht="14.4">
      <c r="A12536" s="11"/>
    </row>
    <row r="12537" spans="1:1" ht="14.4">
      <c r="A12537" s="11"/>
    </row>
    <row r="12538" spans="1:1" ht="14.4">
      <c r="A12538" s="11"/>
    </row>
    <row r="12539" spans="1:1" ht="14.4">
      <c r="A12539" s="11"/>
    </row>
    <row r="12540" spans="1:1" ht="14.4">
      <c r="A12540" s="11"/>
    </row>
    <row r="12541" spans="1:1" ht="14.4">
      <c r="A12541" s="11"/>
    </row>
    <row r="12542" spans="1:1" ht="14.4">
      <c r="A12542" s="11"/>
    </row>
    <row r="12543" spans="1:1" ht="14.4">
      <c r="A12543" s="11"/>
    </row>
    <row r="12544" spans="1:1" ht="14.4">
      <c r="A12544" s="11"/>
    </row>
    <row r="12545" spans="1:1" ht="14.4">
      <c r="A12545" s="11"/>
    </row>
    <row r="12546" spans="1:1" ht="14.4">
      <c r="A12546" s="11"/>
    </row>
    <row r="12547" spans="1:1" ht="14.4">
      <c r="A12547" s="11"/>
    </row>
    <row r="12548" spans="1:1" ht="14.4">
      <c r="A12548" s="11"/>
    </row>
    <row r="12549" spans="1:1" ht="14.4">
      <c r="A12549" s="11"/>
    </row>
    <row r="12550" spans="1:1" ht="14.4">
      <c r="A12550" s="11"/>
    </row>
    <row r="12551" spans="1:1" ht="14.4">
      <c r="A12551" s="11"/>
    </row>
    <row r="12552" spans="1:1" ht="14.4">
      <c r="A12552" s="11"/>
    </row>
    <row r="12553" spans="1:1" ht="14.4">
      <c r="A12553" s="11"/>
    </row>
    <row r="12554" spans="1:1" ht="14.4">
      <c r="A12554" s="11"/>
    </row>
    <row r="12555" spans="1:1" ht="14.4">
      <c r="A12555" s="11"/>
    </row>
    <row r="12556" spans="1:1" ht="14.4">
      <c r="A12556" s="11"/>
    </row>
    <row r="12557" spans="1:1" ht="14.4">
      <c r="A12557" s="11"/>
    </row>
    <row r="12558" spans="1:1" ht="14.4">
      <c r="A12558" s="11"/>
    </row>
    <row r="12559" spans="1:1" ht="14.4">
      <c r="A12559" s="11"/>
    </row>
    <row r="12560" spans="1:1" ht="14.4">
      <c r="A12560" s="11"/>
    </row>
    <row r="12561" spans="1:1" ht="14.4">
      <c r="A12561" s="11"/>
    </row>
    <row r="12562" spans="1:1" ht="14.4">
      <c r="A12562" s="11"/>
    </row>
    <row r="12563" spans="1:1" ht="14.4">
      <c r="A12563" s="11"/>
    </row>
    <row r="12564" spans="1:1" ht="14.4">
      <c r="A12564" s="11"/>
    </row>
    <row r="12565" spans="1:1" ht="14.4">
      <c r="A12565" s="11"/>
    </row>
    <row r="12566" spans="1:1" ht="14.4">
      <c r="A12566" s="11"/>
    </row>
    <row r="12567" spans="1:1" ht="14.4">
      <c r="A12567" s="11"/>
    </row>
    <row r="12568" spans="1:1" ht="14.4">
      <c r="A12568" s="11"/>
    </row>
    <row r="12569" spans="1:1" ht="14.4">
      <c r="A12569" s="11"/>
    </row>
    <row r="12570" spans="1:1" ht="14.4">
      <c r="A12570" s="11"/>
    </row>
    <row r="12571" spans="1:1" ht="14.4">
      <c r="A12571" s="11"/>
    </row>
    <row r="12572" spans="1:1" ht="14.4">
      <c r="A12572" s="11"/>
    </row>
    <row r="12573" spans="1:1" ht="14.4">
      <c r="A12573" s="11"/>
    </row>
    <row r="12574" spans="1:1" ht="14.4">
      <c r="A12574" s="11"/>
    </row>
    <row r="12575" spans="1:1" ht="14.4">
      <c r="A12575" s="11"/>
    </row>
    <row r="12576" spans="1:1" ht="14.4">
      <c r="A12576" s="11"/>
    </row>
    <row r="12577" spans="1:1" ht="14.4">
      <c r="A12577" s="11"/>
    </row>
    <row r="12578" spans="1:1" ht="14.4">
      <c r="A12578" s="11"/>
    </row>
    <row r="12579" spans="1:1" ht="14.4">
      <c r="A12579" s="11"/>
    </row>
    <row r="12580" spans="1:1" ht="14.4">
      <c r="A12580" s="11"/>
    </row>
    <row r="12581" spans="1:1" ht="14.4">
      <c r="A12581" s="11"/>
    </row>
    <row r="12582" spans="1:1" ht="14.4">
      <c r="A12582" s="11"/>
    </row>
    <row r="12583" spans="1:1" ht="14.4">
      <c r="A12583" s="11"/>
    </row>
    <row r="12584" spans="1:1" ht="14.4">
      <c r="A12584" s="11"/>
    </row>
    <row r="12585" spans="1:1" ht="14.4">
      <c r="A12585" s="11"/>
    </row>
    <row r="12586" spans="1:1" ht="14.4">
      <c r="A12586" s="11"/>
    </row>
    <row r="12587" spans="1:1" ht="14.4">
      <c r="A12587" s="11"/>
    </row>
    <row r="12588" spans="1:1" ht="14.4">
      <c r="A12588" s="11"/>
    </row>
    <row r="12589" spans="1:1" ht="14.4">
      <c r="A12589" s="11"/>
    </row>
    <row r="12590" spans="1:1" ht="14.4">
      <c r="A12590" s="11"/>
    </row>
    <row r="12591" spans="1:1" ht="14.4">
      <c r="A12591" s="11"/>
    </row>
    <row r="12592" spans="1:1" ht="14.4">
      <c r="A12592" s="11"/>
    </row>
    <row r="12593" spans="1:1" ht="14.4">
      <c r="A12593" s="11"/>
    </row>
    <row r="12594" spans="1:1" ht="14.4">
      <c r="A12594" s="11"/>
    </row>
    <row r="12595" spans="1:1" ht="14.4">
      <c r="A12595" s="11"/>
    </row>
    <row r="12596" spans="1:1" ht="14.4">
      <c r="A12596" s="11"/>
    </row>
    <row r="12597" spans="1:1" ht="14.4">
      <c r="A12597" s="11"/>
    </row>
    <row r="12598" spans="1:1" ht="14.4">
      <c r="A12598" s="11"/>
    </row>
    <row r="12599" spans="1:1" ht="14.4">
      <c r="A12599" s="11"/>
    </row>
    <row r="12600" spans="1:1" ht="14.4">
      <c r="A12600" s="11"/>
    </row>
    <row r="12601" spans="1:1" ht="14.4">
      <c r="A12601" s="11"/>
    </row>
    <row r="12602" spans="1:1" ht="14.4">
      <c r="A12602" s="11"/>
    </row>
    <row r="12603" spans="1:1" ht="14.4">
      <c r="A12603" s="11"/>
    </row>
    <row r="12604" spans="1:1" ht="14.4">
      <c r="A12604" s="11"/>
    </row>
    <row r="12605" spans="1:1" ht="14.4">
      <c r="A12605" s="11"/>
    </row>
    <row r="12606" spans="1:1" ht="14.4">
      <c r="A12606" s="11"/>
    </row>
    <row r="12607" spans="1:1" ht="14.4">
      <c r="A12607" s="11"/>
    </row>
    <row r="12608" spans="1:1" ht="14.4">
      <c r="A12608" s="11"/>
    </row>
    <row r="12609" spans="1:1" ht="14.4">
      <c r="A12609" s="11"/>
    </row>
    <row r="12610" spans="1:1" ht="14.4">
      <c r="A12610" s="11"/>
    </row>
    <row r="12611" spans="1:1" ht="14.4">
      <c r="A12611" s="11"/>
    </row>
    <row r="12612" spans="1:1" ht="14.4">
      <c r="A12612" s="11"/>
    </row>
    <row r="12613" spans="1:1" ht="14.4">
      <c r="A12613" s="11"/>
    </row>
    <row r="12614" spans="1:1" ht="14.4">
      <c r="A12614" s="11"/>
    </row>
    <row r="12615" spans="1:1" ht="14.4">
      <c r="A12615" s="11"/>
    </row>
    <row r="12616" spans="1:1" ht="14.4">
      <c r="A12616" s="11"/>
    </row>
    <row r="12617" spans="1:1" ht="14.4">
      <c r="A12617" s="11"/>
    </row>
    <row r="12618" spans="1:1" ht="14.4">
      <c r="A12618" s="11"/>
    </row>
    <row r="12619" spans="1:1" ht="14.4">
      <c r="A12619" s="11"/>
    </row>
    <row r="12620" spans="1:1" ht="14.4">
      <c r="A12620" s="11"/>
    </row>
    <row r="12621" spans="1:1" ht="14.4">
      <c r="A12621" s="11"/>
    </row>
    <row r="12622" spans="1:1" ht="14.4">
      <c r="A12622" s="11"/>
    </row>
    <row r="12623" spans="1:1" ht="14.4">
      <c r="A12623" s="11"/>
    </row>
    <row r="12624" spans="1:1" ht="14.4">
      <c r="A12624" s="11"/>
    </row>
    <row r="12625" spans="1:1" ht="14.4">
      <c r="A12625" s="11"/>
    </row>
    <row r="12626" spans="1:1" ht="14.4">
      <c r="A12626" s="11"/>
    </row>
    <row r="12627" spans="1:1" ht="14.4">
      <c r="A12627" s="11"/>
    </row>
    <row r="12628" spans="1:1" ht="14.4">
      <c r="A12628" s="11"/>
    </row>
    <row r="12629" spans="1:1" ht="14.4">
      <c r="A12629" s="11"/>
    </row>
    <row r="12630" spans="1:1" ht="14.4">
      <c r="A12630" s="11"/>
    </row>
    <row r="12631" spans="1:1" ht="14.4">
      <c r="A12631" s="11"/>
    </row>
    <row r="12632" spans="1:1" ht="14.4">
      <c r="A12632" s="11"/>
    </row>
    <row r="12633" spans="1:1" ht="14.4">
      <c r="A12633" s="11"/>
    </row>
    <row r="12634" spans="1:1" ht="14.4">
      <c r="A12634" s="11"/>
    </row>
    <row r="12635" spans="1:1" ht="14.4">
      <c r="A12635" s="11"/>
    </row>
    <row r="12636" spans="1:1" ht="14.4">
      <c r="A12636" s="11"/>
    </row>
    <row r="12637" spans="1:1" ht="14.4">
      <c r="A12637" s="11"/>
    </row>
    <row r="12638" spans="1:1" ht="14.4">
      <c r="A12638" s="11"/>
    </row>
    <row r="12639" spans="1:1" ht="14.4">
      <c r="A12639" s="11"/>
    </row>
    <row r="12640" spans="1:1" ht="14.4">
      <c r="A12640" s="11"/>
    </row>
    <row r="12641" spans="1:1" ht="14.4">
      <c r="A12641" s="11"/>
    </row>
    <row r="12642" spans="1:1" ht="14.4">
      <c r="A12642" s="11"/>
    </row>
    <row r="12643" spans="1:1" ht="14.4">
      <c r="A12643" s="11"/>
    </row>
    <row r="12644" spans="1:1" ht="14.4">
      <c r="A12644" s="11"/>
    </row>
    <row r="12645" spans="1:1" ht="14.4">
      <c r="A12645" s="11"/>
    </row>
    <row r="12646" spans="1:1" ht="14.4">
      <c r="A12646" s="11"/>
    </row>
    <row r="12647" spans="1:1" ht="14.4">
      <c r="A12647" s="11"/>
    </row>
    <row r="12648" spans="1:1" ht="14.4">
      <c r="A12648" s="11"/>
    </row>
    <row r="12649" spans="1:1" ht="14.4">
      <c r="A12649" s="11"/>
    </row>
    <row r="12650" spans="1:1" ht="14.4">
      <c r="A12650" s="11"/>
    </row>
    <row r="12651" spans="1:1" ht="14.4">
      <c r="A12651" s="11"/>
    </row>
    <row r="12652" spans="1:1" ht="14.4">
      <c r="A12652" s="11"/>
    </row>
    <row r="12653" spans="1:1" ht="14.4">
      <c r="A12653" s="11"/>
    </row>
    <row r="12654" spans="1:1" ht="14.4">
      <c r="A12654" s="11"/>
    </row>
    <row r="12655" spans="1:1" ht="14.4">
      <c r="A12655" s="11"/>
    </row>
    <row r="12656" spans="1:1" ht="14.4">
      <c r="A12656" s="11"/>
    </row>
    <row r="12657" spans="1:1" ht="14.4">
      <c r="A12657" s="11"/>
    </row>
    <row r="12658" spans="1:1" ht="14.4">
      <c r="A12658" s="11"/>
    </row>
    <row r="12659" spans="1:1" ht="14.4">
      <c r="A12659" s="11"/>
    </row>
    <row r="12660" spans="1:1" ht="14.4">
      <c r="A12660" s="11"/>
    </row>
    <row r="12661" spans="1:1" ht="14.4">
      <c r="A12661" s="11"/>
    </row>
    <row r="12662" spans="1:1" ht="14.4">
      <c r="A12662" s="11"/>
    </row>
    <row r="12663" spans="1:1" ht="14.4">
      <c r="A12663" s="11"/>
    </row>
    <row r="12664" spans="1:1" ht="14.4">
      <c r="A12664" s="11"/>
    </row>
    <row r="12665" spans="1:1" ht="14.4">
      <c r="A12665" s="11"/>
    </row>
    <row r="12666" spans="1:1" ht="14.4">
      <c r="A12666" s="11"/>
    </row>
    <row r="12667" spans="1:1" ht="14.4">
      <c r="A12667" s="11"/>
    </row>
    <row r="12668" spans="1:1" ht="14.4">
      <c r="A12668" s="11"/>
    </row>
    <row r="12669" spans="1:1" ht="14.4">
      <c r="A12669" s="11"/>
    </row>
    <row r="12670" spans="1:1" ht="14.4">
      <c r="A12670" s="11"/>
    </row>
    <row r="12671" spans="1:1" ht="14.4">
      <c r="A12671" s="11"/>
    </row>
    <row r="12672" spans="1:1" ht="14.4">
      <c r="A12672" s="11"/>
    </row>
    <row r="12673" spans="1:1" ht="14.4">
      <c r="A12673" s="11"/>
    </row>
    <row r="12674" spans="1:1" ht="14.4">
      <c r="A12674" s="11"/>
    </row>
    <row r="12675" spans="1:1" ht="14.4">
      <c r="A12675" s="11"/>
    </row>
    <row r="12676" spans="1:1" ht="14.4">
      <c r="A12676" s="11"/>
    </row>
    <row r="12677" spans="1:1" ht="14.4">
      <c r="A12677" s="11"/>
    </row>
    <row r="12678" spans="1:1" ht="14.4">
      <c r="A12678" s="11"/>
    </row>
    <row r="12679" spans="1:1" ht="14.4">
      <c r="A12679" s="11"/>
    </row>
    <row r="12680" spans="1:1" ht="14.4">
      <c r="A12680" s="11"/>
    </row>
    <row r="12681" spans="1:1" ht="14.4">
      <c r="A12681" s="11"/>
    </row>
    <row r="12682" spans="1:1" ht="14.4">
      <c r="A12682" s="11"/>
    </row>
    <row r="12683" spans="1:1" ht="14.4">
      <c r="A12683" s="11"/>
    </row>
    <row r="12684" spans="1:1" ht="14.4">
      <c r="A12684" s="11"/>
    </row>
    <row r="12685" spans="1:1" ht="14.4">
      <c r="A12685" s="11"/>
    </row>
    <row r="12686" spans="1:1" ht="14.4">
      <c r="A12686" s="11"/>
    </row>
    <row r="12687" spans="1:1" ht="14.4">
      <c r="A12687" s="11"/>
    </row>
    <row r="12688" spans="1:1" ht="14.4">
      <c r="A12688" s="11"/>
    </row>
    <row r="12689" spans="1:1" ht="14.4">
      <c r="A12689" s="11"/>
    </row>
    <row r="12690" spans="1:1" ht="14.4">
      <c r="A12690" s="11"/>
    </row>
    <row r="12691" spans="1:1" ht="14.4">
      <c r="A12691" s="11"/>
    </row>
    <row r="12692" spans="1:1" ht="14.4">
      <c r="A12692" s="11"/>
    </row>
    <row r="12693" spans="1:1" ht="14.4">
      <c r="A12693" s="11"/>
    </row>
    <row r="12694" spans="1:1" ht="14.4">
      <c r="A12694" s="11"/>
    </row>
    <row r="12695" spans="1:1" ht="14.4">
      <c r="A12695" s="11"/>
    </row>
    <row r="12696" spans="1:1" ht="14.4">
      <c r="A12696" s="11"/>
    </row>
    <row r="12697" spans="1:1" ht="14.4">
      <c r="A12697" s="11"/>
    </row>
    <row r="12698" spans="1:1" ht="14.4">
      <c r="A12698" s="11"/>
    </row>
    <row r="12699" spans="1:1" ht="14.4">
      <c r="A12699" s="11"/>
    </row>
    <row r="12700" spans="1:1" ht="14.4">
      <c r="A12700" s="11"/>
    </row>
    <row r="12701" spans="1:1" ht="14.4">
      <c r="A12701" s="11"/>
    </row>
    <row r="12702" spans="1:1" ht="14.4">
      <c r="A12702" s="11"/>
    </row>
    <row r="12703" spans="1:1" ht="14.4">
      <c r="A12703" s="11"/>
    </row>
    <row r="12704" spans="1:1" ht="14.4">
      <c r="A12704" s="11"/>
    </row>
    <row r="12705" spans="1:1" ht="14.4">
      <c r="A12705" s="11"/>
    </row>
    <row r="12706" spans="1:1" ht="14.4">
      <c r="A12706" s="11"/>
    </row>
    <row r="12707" spans="1:1" ht="14.4">
      <c r="A12707" s="11"/>
    </row>
    <row r="12708" spans="1:1" ht="14.4">
      <c r="A12708" s="11"/>
    </row>
    <row r="12709" spans="1:1" ht="14.4">
      <c r="A12709" s="11"/>
    </row>
    <row r="12710" spans="1:1" ht="14.4">
      <c r="A12710" s="11"/>
    </row>
    <row r="12711" spans="1:1" ht="14.4">
      <c r="A12711" s="11"/>
    </row>
    <row r="12712" spans="1:1" ht="14.4">
      <c r="A12712" s="11"/>
    </row>
    <row r="12713" spans="1:1" ht="14.4">
      <c r="A12713" s="11"/>
    </row>
    <row r="12714" spans="1:1" ht="14.4">
      <c r="A12714" s="11"/>
    </row>
    <row r="12715" spans="1:1" ht="14.4">
      <c r="A12715" s="11"/>
    </row>
    <row r="12716" spans="1:1" ht="14.4">
      <c r="A12716" s="11"/>
    </row>
    <row r="12717" spans="1:1" ht="14.4">
      <c r="A12717" s="11"/>
    </row>
    <row r="12718" spans="1:1" ht="14.4">
      <c r="A12718" s="11"/>
    </row>
    <row r="12719" spans="1:1" ht="14.4">
      <c r="A12719" s="11"/>
    </row>
    <row r="12720" spans="1:1" ht="14.4">
      <c r="A12720" s="11"/>
    </row>
    <row r="12721" spans="1:1" ht="14.4">
      <c r="A12721" s="11"/>
    </row>
    <row r="12722" spans="1:1" ht="14.4">
      <c r="A12722" s="11"/>
    </row>
    <row r="12723" spans="1:1" ht="14.4">
      <c r="A12723" s="11"/>
    </row>
    <row r="12724" spans="1:1" ht="14.4">
      <c r="A12724" s="11"/>
    </row>
    <row r="12725" spans="1:1" ht="14.4">
      <c r="A12725" s="11"/>
    </row>
    <row r="12726" spans="1:1" ht="14.4">
      <c r="A12726" s="11"/>
    </row>
    <row r="12727" spans="1:1" ht="14.4">
      <c r="A12727" s="11"/>
    </row>
    <row r="12728" spans="1:1" ht="14.4">
      <c r="A12728" s="11"/>
    </row>
    <row r="12729" spans="1:1" ht="14.4">
      <c r="A12729" s="11"/>
    </row>
    <row r="12730" spans="1:1" ht="14.4">
      <c r="A12730" s="11"/>
    </row>
    <row r="12731" spans="1:1" ht="14.4">
      <c r="A12731" s="11"/>
    </row>
    <row r="12732" spans="1:1" ht="14.4">
      <c r="A12732" s="11"/>
    </row>
    <row r="12733" spans="1:1" ht="14.4">
      <c r="A12733" s="11"/>
    </row>
    <row r="12734" spans="1:1" ht="14.4">
      <c r="A12734" s="11"/>
    </row>
    <row r="12735" spans="1:1" ht="14.4">
      <c r="A12735" s="11"/>
    </row>
    <row r="12736" spans="1:1" ht="14.4">
      <c r="A12736" s="11"/>
    </row>
    <row r="12737" spans="1:1" ht="14.4">
      <c r="A12737" s="11"/>
    </row>
    <row r="12738" spans="1:1" ht="14.4">
      <c r="A12738" s="11"/>
    </row>
    <row r="12739" spans="1:1" ht="14.4">
      <c r="A12739" s="11"/>
    </row>
    <row r="12740" spans="1:1" ht="14.4">
      <c r="A12740" s="11"/>
    </row>
    <row r="12741" spans="1:1" ht="14.4">
      <c r="A12741" s="11"/>
    </row>
    <row r="12742" spans="1:1" ht="14.4">
      <c r="A12742" s="11"/>
    </row>
    <row r="12743" spans="1:1" ht="14.4">
      <c r="A12743" s="11"/>
    </row>
    <row r="12744" spans="1:1" ht="14.4">
      <c r="A12744" s="11"/>
    </row>
    <row r="12745" spans="1:1" ht="14.4">
      <c r="A12745" s="11"/>
    </row>
    <row r="12746" spans="1:1" ht="14.4">
      <c r="A12746" s="11"/>
    </row>
    <row r="12747" spans="1:1" ht="14.4">
      <c r="A12747" s="11"/>
    </row>
    <row r="12748" spans="1:1" ht="14.4">
      <c r="A12748" s="11"/>
    </row>
    <row r="12749" spans="1:1" ht="14.4">
      <c r="A12749" s="11"/>
    </row>
    <row r="12750" spans="1:1" ht="14.4">
      <c r="A12750" s="11"/>
    </row>
    <row r="12751" spans="1:1" ht="14.4">
      <c r="A12751" s="11"/>
    </row>
    <row r="12752" spans="1:1" ht="14.4">
      <c r="A12752" s="11"/>
    </row>
    <row r="12753" spans="1:1" ht="14.4">
      <c r="A12753" s="11"/>
    </row>
    <row r="12754" spans="1:1" ht="14.4">
      <c r="A12754" s="11"/>
    </row>
    <row r="12755" spans="1:1" ht="14.4">
      <c r="A12755" s="11"/>
    </row>
    <row r="12756" spans="1:1" ht="14.4">
      <c r="A12756" s="11"/>
    </row>
    <row r="12757" spans="1:1" ht="14.4">
      <c r="A12757" s="11"/>
    </row>
    <row r="12758" spans="1:1" ht="14.4">
      <c r="A12758" s="11"/>
    </row>
    <row r="12759" spans="1:1" ht="14.4">
      <c r="A12759" s="11"/>
    </row>
    <row r="12760" spans="1:1" ht="14.4">
      <c r="A12760" s="11"/>
    </row>
    <row r="12761" spans="1:1" ht="14.4">
      <c r="A12761" s="11"/>
    </row>
    <row r="12762" spans="1:1" ht="14.4">
      <c r="A12762" s="11"/>
    </row>
    <row r="12763" spans="1:1" ht="14.4">
      <c r="A12763" s="11"/>
    </row>
    <row r="12764" spans="1:1" ht="14.4">
      <c r="A12764" s="11"/>
    </row>
    <row r="12765" spans="1:1" ht="14.4">
      <c r="A12765" s="11"/>
    </row>
    <row r="12766" spans="1:1" ht="14.4">
      <c r="A12766" s="11"/>
    </row>
    <row r="12767" spans="1:1" ht="14.4">
      <c r="A12767" s="11"/>
    </row>
    <row r="12768" spans="1:1" ht="14.4">
      <c r="A12768" s="11"/>
    </row>
    <row r="12769" spans="1:1" ht="14.4">
      <c r="A12769" s="11"/>
    </row>
    <row r="12770" spans="1:1" ht="14.4">
      <c r="A12770" s="11"/>
    </row>
    <row r="12771" spans="1:1" ht="14.4">
      <c r="A12771" s="11"/>
    </row>
    <row r="12772" spans="1:1" ht="14.4">
      <c r="A12772" s="11"/>
    </row>
    <row r="12773" spans="1:1" ht="14.4">
      <c r="A12773" s="11"/>
    </row>
    <row r="12774" spans="1:1" ht="14.4">
      <c r="A12774" s="11"/>
    </row>
    <row r="12775" spans="1:1" ht="14.4">
      <c r="A12775" s="11"/>
    </row>
    <row r="12776" spans="1:1" ht="14.4">
      <c r="A12776" s="11"/>
    </row>
    <row r="12777" spans="1:1" ht="14.4">
      <c r="A12777" s="11"/>
    </row>
    <row r="12778" spans="1:1" ht="14.4">
      <c r="A12778" s="11"/>
    </row>
    <row r="12779" spans="1:1" ht="14.4">
      <c r="A12779" s="11"/>
    </row>
    <row r="12780" spans="1:1" ht="14.4">
      <c r="A12780" s="11"/>
    </row>
    <row r="12781" spans="1:1" ht="14.4">
      <c r="A12781" s="11"/>
    </row>
    <row r="12782" spans="1:1" ht="14.4">
      <c r="A12782" s="11"/>
    </row>
    <row r="12783" spans="1:1" ht="14.4">
      <c r="A12783" s="11"/>
    </row>
    <row r="12784" spans="1:1" ht="14.4">
      <c r="A12784" s="11"/>
    </row>
    <row r="12785" spans="1:1" ht="14.4">
      <c r="A12785" s="11"/>
    </row>
    <row r="12786" spans="1:1" ht="14.4">
      <c r="A12786" s="11"/>
    </row>
    <row r="12787" spans="1:1" ht="14.4">
      <c r="A12787" s="11"/>
    </row>
    <row r="12788" spans="1:1" ht="14.4">
      <c r="A12788" s="11"/>
    </row>
    <row r="12789" spans="1:1" ht="14.4">
      <c r="A12789" s="11"/>
    </row>
    <row r="12790" spans="1:1" ht="14.4">
      <c r="A12790" s="11"/>
    </row>
    <row r="12791" spans="1:1" ht="14.4">
      <c r="A12791" s="11"/>
    </row>
    <row r="12792" spans="1:1" ht="14.4">
      <c r="A12792" s="11"/>
    </row>
    <row r="12793" spans="1:1" ht="14.4">
      <c r="A12793" s="11"/>
    </row>
    <row r="12794" spans="1:1" ht="14.4">
      <c r="A12794" s="11"/>
    </row>
    <row r="12795" spans="1:1" ht="14.4">
      <c r="A12795" s="11"/>
    </row>
    <row r="12796" spans="1:1" ht="14.4">
      <c r="A12796" s="11"/>
    </row>
    <row r="12797" spans="1:1" ht="14.4">
      <c r="A12797" s="11"/>
    </row>
    <row r="12798" spans="1:1" ht="14.4">
      <c r="A12798" s="11"/>
    </row>
    <row r="12799" spans="1:1" ht="14.4">
      <c r="A12799" s="11"/>
    </row>
    <row r="12800" spans="1:1" ht="14.4">
      <c r="A12800" s="11"/>
    </row>
    <row r="12801" spans="1:1" ht="14.4">
      <c r="A12801" s="11"/>
    </row>
    <row r="12802" spans="1:1" ht="14.4">
      <c r="A12802" s="11"/>
    </row>
    <row r="12803" spans="1:1" ht="14.4">
      <c r="A12803" s="11"/>
    </row>
    <row r="12804" spans="1:1" ht="14.4">
      <c r="A12804" s="11"/>
    </row>
    <row r="12805" spans="1:1" ht="14.4">
      <c r="A12805" s="11"/>
    </row>
    <row r="12806" spans="1:1" ht="14.4">
      <c r="A12806" s="11"/>
    </row>
    <row r="12807" spans="1:1" ht="14.4">
      <c r="A12807" s="11"/>
    </row>
    <row r="12808" spans="1:1" ht="14.4">
      <c r="A12808" s="11"/>
    </row>
    <row r="12809" spans="1:1" ht="14.4">
      <c r="A12809" s="11"/>
    </row>
    <row r="12810" spans="1:1" ht="14.4">
      <c r="A12810" s="11"/>
    </row>
    <row r="12811" spans="1:1" ht="14.4">
      <c r="A12811" s="11"/>
    </row>
    <row r="12812" spans="1:1" ht="14.4">
      <c r="A12812" s="11"/>
    </row>
    <row r="12813" spans="1:1" ht="14.4">
      <c r="A12813" s="11"/>
    </row>
    <row r="12814" spans="1:1" ht="14.4">
      <c r="A12814" s="11"/>
    </row>
    <row r="12815" spans="1:1" ht="14.4">
      <c r="A12815" s="11"/>
    </row>
    <row r="12816" spans="1:1" ht="14.4">
      <c r="A12816" s="11"/>
    </row>
    <row r="12817" spans="1:1" ht="14.4">
      <c r="A12817" s="11"/>
    </row>
    <row r="12818" spans="1:1" ht="14.4">
      <c r="A12818" s="11"/>
    </row>
    <row r="12819" spans="1:1" ht="14.4">
      <c r="A12819" s="11"/>
    </row>
    <row r="12820" spans="1:1" ht="14.4">
      <c r="A12820" s="11"/>
    </row>
    <row r="12821" spans="1:1" ht="14.4">
      <c r="A12821" s="11"/>
    </row>
    <row r="12822" spans="1:1" ht="14.4">
      <c r="A12822" s="11"/>
    </row>
    <row r="12823" spans="1:1" ht="14.4">
      <c r="A12823" s="11"/>
    </row>
    <row r="12824" spans="1:1" ht="14.4">
      <c r="A12824" s="11"/>
    </row>
    <row r="12825" spans="1:1" ht="14.4">
      <c r="A12825" s="11"/>
    </row>
    <row r="12826" spans="1:1" ht="14.4">
      <c r="A12826" s="11"/>
    </row>
    <row r="12827" spans="1:1" ht="14.4">
      <c r="A12827" s="11"/>
    </row>
    <row r="12828" spans="1:1" ht="14.4">
      <c r="A12828" s="11"/>
    </row>
    <row r="12829" spans="1:1" ht="14.4">
      <c r="A12829" s="11"/>
    </row>
    <row r="12830" spans="1:1" ht="14.4">
      <c r="A12830" s="11"/>
    </row>
    <row r="12831" spans="1:1" ht="14.4">
      <c r="A12831" s="11"/>
    </row>
    <row r="12832" spans="1:1" ht="14.4">
      <c r="A12832" s="11"/>
    </row>
    <row r="12833" spans="1:1" ht="14.4">
      <c r="A12833" s="11"/>
    </row>
    <row r="12834" spans="1:1" ht="14.4">
      <c r="A12834" s="11"/>
    </row>
    <row r="12835" spans="1:1" ht="14.4">
      <c r="A12835" s="11"/>
    </row>
    <row r="12836" spans="1:1" ht="14.4">
      <c r="A12836" s="11"/>
    </row>
    <row r="12837" spans="1:1" ht="14.4">
      <c r="A12837" s="11"/>
    </row>
    <row r="12838" spans="1:1" ht="14.4">
      <c r="A12838" s="11"/>
    </row>
    <row r="12839" spans="1:1" ht="14.4">
      <c r="A12839" s="11"/>
    </row>
    <row r="12840" spans="1:1" ht="14.4">
      <c r="A12840" s="11"/>
    </row>
    <row r="12841" spans="1:1" ht="14.4">
      <c r="A12841" s="11"/>
    </row>
    <row r="12842" spans="1:1" ht="14.4">
      <c r="A12842" s="11"/>
    </row>
    <row r="12843" spans="1:1" ht="14.4">
      <c r="A12843" s="11"/>
    </row>
    <row r="12844" spans="1:1" ht="14.4">
      <c r="A12844" s="11"/>
    </row>
    <row r="12845" spans="1:1" ht="14.4">
      <c r="A12845" s="11"/>
    </row>
    <row r="12846" spans="1:1" ht="14.4">
      <c r="A12846" s="11"/>
    </row>
    <row r="12847" spans="1:1" ht="14.4">
      <c r="A12847" s="11"/>
    </row>
    <row r="12848" spans="1:1" ht="14.4">
      <c r="A12848" s="11"/>
    </row>
    <row r="12849" spans="1:1" ht="14.4">
      <c r="A12849" s="11"/>
    </row>
    <row r="12850" spans="1:1" ht="14.4">
      <c r="A12850" s="11"/>
    </row>
    <row r="12851" spans="1:1" ht="14.4">
      <c r="A12851" s="11"/>
    </row>
    <row r="12852" spans="1:1" ht="14.4">
      <c r="A12852" s="11"/>
    </row>
    <row r="12853" spans="1:1" ht="14.4">
      <c r="A12853" s="11"/>
    </row>
    <row r="12854" spans="1:1" ht="14.4">
      <c r="A12854" s="11"/>
    </row>
    <row r="12855" spans="1:1" ht="14.4">
      <c r="A12855" s="11"/>
    </row>
    <row r="12856" spans="1:1" ht="14.4">
      <c r="A12856" s="11"/>
    </row>
    <row r="12857" spans="1:1" ht="14.4">
      <c r="A12857" s="11"/>
    </row>
    <row r="12858" spans="1:1" ht="14.4">
      <c r="A12858" s="11"/>
    </row>
    <row r="12859" spans="1:1" ht="14.4">
      <c r="A12859" s="11"/>
    </row>
    <row r="12860" spans="1:1" ht="14.4">
      <c r="A12860" s="11"/>
    </row>
    <row r="12861" spans="1:1" ht="14.4">
      <c r="A12861" s="11"/>
    </row>
    <row r="12862" spans="1:1" ht="14.4">
      <c r="A12862" s="11"/>
    </row>
    <row r="12863" spans="1:1" ht="14.4">
      <c r="A12863" s="11"/>
    </row>
    <row r="12864" spans="1:1" ht="14.4">
      <c r="A12864" s="11"/>
    </row>
    <row r="12865" spans="1:1" ht="14.4">
      <c r="A12865" s="11"/>
    </row>
    <row r="12866" spans="1:1" ht="14.4">
      <c r="A12866" s="11"/>
    </row>
    <row r="12867" spans="1:1" ht="14.4">
      <c r="A12867" s="11"/>
    </row>
    <row r="12868" spans="1:1" ht="14.4">
      <c r="A12868" s="11"/>
    </row>
    <row r="12869" spans="1:1" ht="14.4">
      <c r="A12869" s="11"/>
    </row>
    <row r="12870" spans="1:1" ht="14.4">
      <c r="A12870" s="11"/>
    </row>
    <row r="12871" spans="1:1" ht="14.4">
      <c r="A12871" s="11"/>
    </row>
    <row r="12872" spans="1:1" ht="14.4">
      <c r="A12872" s="11"/>
    </row>
    <row r="12873" spans="1:1" ht="14.4">
      <c r="A12873" s="11"/>
    </row>
    <row r="12874" spans="1:1" ht="14.4">
      <c r="A12874" s="11"/>
    </row>
    <row r="12875" spans="1:1" ht="14.4">
      <c r="A12875" s="11"/>
    </row>
    <row r="12876" spans="1:1" ht="14.4">
      <c r="A12876" s="11"/>
    </row>
    <row r="12877" spans="1:1" ht="14.4">
      <c r="A12877" s="11"/>
    </row>
    <row r="12878" spans="1:1" ht="14.4">
      <c r="A12878" s="11"/>
    </row>
    <row r="12879" spans="1:1" ht="14.4">
      <c r="A12879" s="11"/>
    </row>
    <row r="12880" spans="1:1" ht="14.4">
      <c r="A12880" s="11"/>
    </row>
    <row r="12881" spans="1:1" ht="14.4">
      <c r="A12881" s="11"/>
    </row>
    <row r="12882" spans="1:1" ht="14.4">
      <c r="A12882" s="11"/>
    </row>
    <row r="12883" spans="1:1" ht="14.4">
      <c r="A12883" s="11"/>
    </row>
    <row r="12884" spans="1:1" ht="14.4">
      <c r="A12884" s="11"/>
    </row>
    <row r="12885" spans="1:1" ht="14.4">
      <c r="A12885" s="11"/>
    </row>
    <row r="12886" spans="1:1" ht="14.4">
      <c r="A12886" s="11"/>
    </row>
    <row r="12887" spans="1:1" ht="14.4">
      <c r="A12887" s="11"/>
    </row>
    <row r="12888" spans="1:1" ht="14.4">
      <c r="A12888" s="11"/>
    </row>
    <row r="12889" spans="1:1" ht="14.4">
      <c r="A12889" s="11"/>
    </row>
    <row r="12890" spans="1:1" ht="14.4">
      <c r="A12890" s="11"/>
    </row>
    <row r="12891" spans="1:1" ht="14.4">
      <c r="A12891" s="11"/>
    </row>
    <row r="12892" spans="1:1" ht="14.4">
      <c r="A12892" s="11"/>
    </row>
    <row r="12893" spans="1:1" ht="14.4">
      <c r="A12893" s="11"/>
    </row>
    <row r="12894" spans="1:1" ht="14.4">
      <c r="A12894" s="11"/>
    </row>
    <row r="12895" spans="1:1" ht="14.4">
      <c r="A12895" s="11"/>
    </row>
    <row r="12896" spans="1:1" ht="14.4">
      <c r="A12896" s="11"/>
    </row>
    <row r="12897" spans="1:1" ht="14.4">
      <c r="A12897" s="11"/>
    </row>
    <row r="12898" spans="1:1" ht="14.4">
      <c r="A12898" s="11"/>
    </row>
    <row r="12899" spans="1:1" ht="14.4">
      <c r="A12899" s="11"/>
    </row>
    <row r="12900" spans="1:1" ht="14.4">
      <c r="A12900" s="11"/>
    </row>
    <row r="12901" spans="1:1" ht="14.4">
      <c r="A12901" s="11"/>
    </row>
    <row r="12902" spans="1:1" ht="14.4">
      <c r="A12902" s="11"/>
    </row>
    <row r="12903" spans="1:1" ht="14.4">
      <c r="A12903" s="11"/>
    </row>
    <row r="12904" spans="1:1" ht="14.4">
      <c r="A12904" s="11"/>
    </row>
    <row r="12905" spans="1:1" ht="14.4">
      <c r="A12905" s="11"/>
    </row>
    <row r="12906" spans="1:1" ht="14.4">
      <c r="A12906" s="11"/>
    </row>
    <row r="12907" spans="1:1" ht="14.4">
      <c r="A12907" s="11"/>
    </row>
    <row r="12908" spans="1:1" ht="14.4">
      <c r="A12908" s="11"/>
    </row>
    <row r="12909" spans="1:1" ht="14.4">
      <c r="A12909" s="11"/>
    </row>
    <row r="12910" spans="1:1" ht="14.4">
      <c r="A12910" s="11"/>
    </row>
    <row r="12911" spans="1:1" ht="14.4">
      <c r="A12911" s="11"/>
    </row>
    <row r="12912" spans="1:1" ht="14.4">
      <c r="A12912" s="11"/>
    </row>
    <row r="12913" spans="1:1" ht="14.4">
      <c r="A12913" s="11"/>
    </row>
    <row r="12914" spans="1:1" ht="14.4">
      <c r="A12914" s="11"/>
    </row>
    <row r="12915" spans="1:1" ht="14.4">
      <c r="A12915" s="11"/>
    </row>
    <row r="12916" spans="1:1" ht="14.4">
      <c r="A12916" s="11"/>
    </row>
    <row r="12917" spans="1:1" ht="14.4">
      <c r="A12917" s="11"/>
    </row>
    <row r="12918" spans="1:1" ht="14.4">
      <c r="A12918" s="11"/>
    </row>
    <row r="12919" spans="1:1" ht="14.4">
      <c r="A12919" s="11"/>
    </row>
    <row r="12920" spans="1:1" ht="14.4">
      <c r="A12920" s="11"/>
    </row>
    <row r="12921" spans="1:1" ht="14.4">
      <c r="A12921" s="11"/>
    </row>
    <row r="12922" spans="1:1" ht="14.4">
      <c r="A12922" s="11"/>
    </row>
    <row r="12923" spans="1:1" ht="14.4">
      <c r="A12923" s="11"/>
    </row>
    <row r="12924" spans="1:1" ht="14.4">
      <c r="A12924" s="11"/>
    </row>
    <row r="12925" spans="1:1" ht="14.4">
      <c r="A12925" s="11"/>
    </row>
    <row r="12926" spans="1:1" ht="14.4">
      <c r="A12926" s="11"/>
    </row>
    <row r="12927" spans="1:1" ht="14.4">
      <c r="A12927" s="11"/>
    </row>
    <row r="12928" spans="1:1" ht="14.4">
      <c r="A12928" s="11"/>
    </row>
    <row r="12929" spans="1:1" ht="14.4">
      <c r="A12929" s="11"/>
    </row>
    <row r="12930" spans="1:1" ht="14.4">
      <c r="A12930" s="11"/>
    </row>
    <row r="12931" spans="1:1" ht="14.4">
      <c r="A12931" s="11"/>
    </row>
    <row r="12932" spans="1:1" ht="14.4">
      <c r="A12932" s="11"/>
    </row>
    <row r="12933" spans="1:1" ht="14.4">
      <c r="A12933" s="11"/>
    </row>
    <row r="12934" spans="1:1" ht="14.4">
      <c r="A12934" s="11"/>
    </row>
    <row r="12935" spans="1:1" ht="14.4">
      <c r="A12935" s="11"/>
    </row>
    <row r="12936" spans="1:1" ht="14.4">
      <c r="A12936" s="11"/>
    </row>
    <row r="12937" spans="1:1" ht="14.4">
      <c r="A12937" s="11"/>
    </row>
    <row r="12938" spans="1:1" ht="14.4">
      <c r="A12938" s="11"/>
    </row>
    <row r="12939" spans="1:1" ht="14.4">
      <c r="A12939" s="11"/>
    </row>
    <row r="12940" spans="1:1" ht="14.4">
      <c r="A12940" s="11"/>
    </row>
    <row r="12941" spans="1:1" ht="14.4">
      <c r="A12941" s="11"/>
    </row>
    <row r="12942" spans="1:1" ht="14.4">
      <c r="A12942" s="11"/>
    </row>
    <row r="12943" spans="1:1" ht="14.4">
      <c r="A12943" s="11"/>
    </row>
    <row r="12944" spans="1:1" ht="14.4">
      <c r="A12944" s="11"/>
    </row>
    <row r="12945" spans="1:1" ht="14.4">
      <c r="A12945" s="11"/>
    </row>
    <row r="12946" spans="1:1" ht="14.4">
      <c r="A12946" s="11"/>
    </row>
    <row r="12947" spans="1:1" ht="14.4">
      <c r="A12947" s="11"/>
    </row>
    <row r="12948" spans="1:1" ht="14.4">
      <c r="A12948" s="11"/>
    </row>
    <row r="12949" spans="1:1" ht="14.4">
      <c r="A12949" s="11"/>
    </row>
    <row r="12950" spans="1:1" ht="14.4">
      <c r="A12950" s="11"/>
    </row>
    <row r="12951" spans="1:1" ht="14.4">
      <c r="A12951" s="11"/>
    </row>
    <row r="12952" spans="1:1" ht="14.4">
      <c r="A12952" s="11"/>
    </row>
    <row r="12953" spans="1:1" ht="14.4">
      <c r="A12953" s="11"/>
    </row>
    <row r="12954" spans="1:1" ht="14.4">
      <c r="A12954" s="11"/>
    </row>
    <row r="12955" spans="1:1" ht="14.4">
      <c r="A12955" s="11"/>
    </row>
    <row r="12956" spans="1:1" ht="14.4">
      <c r="A12956" s="11"/>
    </row>
    <row r="12957" spans="1:1" ht="14.4">
      <c r="A12957" s="11"/>
    </row>
    <row r="12958" spans="1:1" ht="14.4">
      <c r="A12958" s="11"/>
    </row>
    <row r="12959" spans="1:1" ht="14.4">
      <c r="A12959" s="11"/>
    </row>
    <row r="12960" spans="1:1" ht="14.4">
      <c r="A12960" s="11"/>
    </row>
    <row r="12961" spans="1:1" ht="14.4">
      <c r="A12961" s="11"/>
    </row>
    <row r="12962" spans="1:1" ht="14.4">
      <c r="A12962" s="11"/>
    </row>
    <row r="12963" spans="1:1" ht="14.4">
      <c r="A12963" s="11"/>
    </row>
    <row r="12964" spans="1:1" ht="14.4">
      <c r="A12964" s="11"/>
    </row>
    <row r="12965" spans="1:1" ht="14.4">
      <c r="A12965" s="11"/>
    </row>
    <row r="12966" spans="1:1" ht="14.4">
      <c r="A12966" s="11"/>
    </row>
    <row r="12967" spans="1:1" ht="14.4">
      <c r="A12967" s="11"/>
    </row>
    <row r="12968" spans="1:1" ht="14.4">
      <c r="A12968" s="11"/>
    </row>
    <row r="12969" spans="1:1" ht="14.4">
      <c r="A12969" s="11"/>
    </row>
    <row r="12970" spans="1:1" ht="14.4">
      <c r="A12970" s="11"/>
    </row>
    <row r="12971" spans="1:1" ht="14.4">
      <c r="A12971" s="11"/>
    </row>
    <row r="12972" spans="1:1" ht="14.4">
      <c r="A12972" s="11"/>
    </row>
    <row r="12973" spans="1:1" ht="14.4">
      <c r="A12973" s="11"/>
    </row>
    <row r="12974" spans="1:1" ht="14.4">
      <c r="A12974" s="11"/>
    </row>
    <row r="12975" spans="1:1" ht="14.4">
      <c r="A12975" s="11"/>
    </row>
    <row r="12976" spans="1:1" ht="14.4">
      <c r="A12976" s="11"/>
    </row>
    <row r="12977" spans="1:1" ht="14.4">
      <c r="A12977" s="11"/>
    </row>
    <row r="12978" spans="1:1" ht="14.4">
      <c r="A12978" s="11"/>
    </row>
    <row r="12979" spans="1:1" ht="14.4">
      <c r="A12979" s="11"/>
    </row>
    <row r="12980" spans="1:1" ht="14.4">
      <c r="A12980" s="11"/>
    </row>
    <row r="12981" spans="1:1" ht="14.4">
      <c r="A12981" s="11"/>
    </row>
    <row r="12982" spans="1:1" ht="14.4">
      <c r="A12982" s="11"/>
    </row>
    <row r="12983" spans="1:1" ht="14.4">
      <c r="A12983" s="11"/>
    </row>
    <row r="12984" spans="1:1" ht="14.4">
      <c r="A12984" s="11"/>
    </row>
    <row r="12985" spans="1:1" ht="14.4">
      <c r="A12985" s="11"/>
    </row>
    <row r="12986" spans="1:1" ht="14.4">
      <c r="A12986" s="11"/>
    </row>
    <row r="12987" spans="1:1" ht="14.4">
      <c r="A12987" s="11"/>
    </row>
    <row r="12988" spans="1:1" ht="14.4">
      <c r="A12988" s="11"/>
    </row>
    <row r="12989" spans="1:1" ht="14.4">
      <c r="A12989" s="11"/>
    </row>
    <row r="12990" spans="1:1" ht="14.4">
      <c r="A12990" s="11"/>
    </row>
    <row r="12991" spans="1:1" ht="14.4">
      <c r="A12991" s="11"/>
    </row>
    <row r="12992" spans="1:1" ht="14.4">
      <c r="A12992" s="11"/>
    </row>
    <row r="12993" spans="1:1" ht="14.4">
      <c r="A12993" s="11"/>
    </row>
    <row r="12994" spans="1:1" ht="14.4">
      <c r="A12994" s="11"/>
    </row>
    <row r="12995" spans="1:1" ht="14.4">
      <c r="A12995" s="11"/>
    </row>
    <row r="12996" spans="1:1" ht="14.4">
      <c r="A12996" s="11"/>
    </row>
    <row r="12997" spans="1:1" ht="14.4">
      <c r="A12997" s="11"/>
    </row>
    <row r="12998" spans="1:1" ht="14.4">
      <c r="A12998" s="11"/>
    </row>
    <row r="12999" spans="1:1" ht="14.4">
      <c r="A12999" s="11"/>
    </row>
    <row r="13000" spans="1:1" ht="14.4">
      <c r="A13000" s="11"/>
    </row>
    <row r="13001" spans="1:1" ht="14.4">
      <c r="A13001" s="11"/>
    </row>
    <row r="13002" spans="1:1" ht="14.4">
      <c r="A13002" s="11"/>
    </row>
    <row r="13003" spans="1:1" ht="14.4">
      <c r="A13003" s="11"/>
    </row>
    <row r="13004" spans="1:1" ht="14.4">
      <c r="A13004" s="11"/>
    </row>
    <row r="13005" spans="1:1" ht="14.4">
      <c r="A13005" s="11"/>
    </row>
    <row r="13006" spans="1:1" ht="14.4">
      <c r="A13006" s="11"/>
    </row>
    <row r="13007" spans="1:1" ht="14.4">
      <c r="A13007" s="11"/>
    </row>
    <row r="13008" spans="1:1" ht="14.4">
      <c r="A13008" s="11"/>
    </row>
    <row r="13009" spans="1:1" ht="14.4">
      <c r="A13009" s="11"/>
    </row>
    <row r="13010" spans="1:1" ht="14.4">
      <c r="A13010" s="11"/>
    </row>
    <row r="13011" spans="1:1" ht="14.4">
      <c r="A13011" s="11"/>
    </row>
    <row r="13012" spans="1:1" ht="14.4">
      <c r="A13012" s="11"/>
    </row>
    <row r="13013" spans="1:1" ht="14.4">
      <c r="A13013" s="11"/>
    </row>
    <row r="13014" spans="1:1" ht="14.4">
      <c r="A13014" s="11"/>
    </row>
    <row r="13015" spans="1:1" ht="14.4">
      <c r="A13015" s="11"/>
    </row>
    <row r="13016" spans="1:1" ht="14.4">
      <c r="A13016" s="11"/>
    </row>
    <row r="13017" spans="1:1" ht="14.4">
      <c r="A13017" s="11"/>
    </row>
    <row r="13018" spans="1:1" ht="14.4">
      <c r="A13018" s="11"/>
    </row>
    <row r="13019" spans="1:1" ht="14.4">
      <c r="A13019" s="11"/>
    </row>
    <row r="13020" spans="1:1" ht="14.4">
      <c r="A13020" s="11"/>
    </row>
    <row r="13021" spans="1:1" ht="14.4">
      <c r="A13021" s="11"/>
    </row>
    <row r="13022" spans="1:1" ht="14.4">
      <c r="A13022" s="11"/>
    </row>
    <row r="13023" spans="1:1" ht="14.4">
      <c r="A13023" s="11"/>
    </row>
    <row r="13024" spans="1:1" ht="14.4">
      <c r="A13024" s="11"/>
    </row>
    <row r="13025" spans="1:1" ht="14.4">
      <c r="A13025" s="11"/>
    </row>
    <row r="13026" spans="1:1" ht="14.4">
      <c r="A13026" s="11"/>
    </row>
    <row r="13027" spans="1:1" ht="14.4">
      <c r="A13027" s="11"/>
    </row>
    <row r="13028" spans="1:1" ht="14.4">
      <c r="A13028" s="11"/>
    </row>
    <row r="13029" spans="1:1" ht="14.4">
      <c r="A13029" s="11"/>
    </row>
    <row r="13030" spans="1:1" ht="14.4">
      <c r="A13030" s="11"/>
    </row>
    <row r="13031" spans="1:1" ht="14.4">
      <c r="A13031" s="11"/>
    </row>
    <row r="13032" spans="1:1" ht="14.4">
      <c r="A13032" s="11"/>
    </row>
    <row r="13033" spans="1:1" ht="14.4">
      <c r="A13033" s="11"/>
    </row>
    <row r="13034" spans="1:1" ht="14.4">
      <c r="A13034" s="11"/>
    </row>
    <row r="13035" spans="1:1" ht="14.4">
      <c r="A13035" s="11"/>
    </row>
    <row r="13036" spans="1:1" ht="14.4">
      <c r="A13036" s="11"/>
    </row>
    <row r="13037" spans="1:1" ht="14.4">
      <c r="A13037" s="11"/>
    </row>
    <row r="13038" spans="1:1" ht="14.4">
      <c r="A13038" s="11"/>
    </row>
    <row r="13039" spans="1:1" ht="14.4">
      <c r="A13039" s="11"/>
    </row>
    <row r="13040" spans="1:1" ht="14.4">
      <c r="A13040" s="11"/>
    </row>
    <row r="13041" spans="1:1" ht="14.4">
      <c r="A13041" s="11"/>
    </row>
    <row r="13042" spans="1:1" ht="14.4">
      <c r="A13042" s="11"/>
    </row>
    <row r="13043" spans="1:1" ht="14.4">
      <c r="A13043" s="11"/>
    </row>
    <row r="13044" spans="1:1" ht="14.4">
      <c r="A13044" s="11"/>
    </row>
    <row r="13045" spans="1:1" ht="14.4">
      <c r="A13045" s="11"/>
    </row>
    <row r="13046" spans="1:1" ht="14.4">
      <c r="A13046" s="11"/>
    </row>
    <row r="13047" spans="1:1" ht="14.4">
      <c r="A13047" s="11"/>
    </row>
    <row r="13048" spans="1:1" ht="14.4">
      <c r="A13048" s="11"/>
    </row>
    <row r="13049" spans="1:1" ht="14.4">
      <c r="A13049" s="11"/>
    </row>
    <row r="13050" spans="1:1" ht="14.4">
      <c r="A13050" s="11"/>
    </row>
    <row r="13051" spans="1:1" ht="14.4">
      <c r="A13051" s="11"/>
    </row>
    <row r="13052" spans="1:1" ht="14.4">
      <c r="A13052" s="11"/>
    </row>
    <row r="13053" spans="1:1" ht="14.4">
      <c r="A13053" s="11"/>
    </row>
    <row r="13054" spans="1:1" ht="14.4">
      <c r="A13054" s="11"/>
    </row>
    <row r="13055" spans="1:1" ht="14.4">
      <c r="A13055" s="11"/>
    </row>
    <row r="13056" spans="1:1" ht="14.4">
      <c r="A13056" s="11"/>
    </row>
    <row r="13057" spans="1:1" ht="14.4">
      <c r="A13057" s="11"/>
    </row>
    <row r="13058" spans="1:1" ht="14.4">
      <c r="A13058" s="11"/>
    </row>
    <row r="13059" spans="1:1" ht="14.4">
      <c r="A13059" s="11"/>
    </row>
    <row r="13060" spans="1:1" ht="14.4">
      <c r="A13060" s="11"/>
    </row>
    <row r="13061" spans="1:1" ht="14.4">
      <c r="A13061" s="11"/>
    </row>
    <row r="13062" spans="1:1" ht="14.4">
      <c r="A13062" s="11"/>
    </row>
    <row r="13063" spans="1:1" ht="14.4">
      <c r="A13063" s="11"/>
    </row>
    <row r="13064" spans="1:1" ht="14.4">
      <c r="A13064" s="11"/>
    </row>
    <row r="13065" spans="1:1" ht="14.4">
      <c r="A13065" s="11"/>
    </row>
    <row r="13066" spans="1:1" ht="14.4">
      <c r="A13066" s="11"/>
    </row>
    <row r="13067" spans="1:1" ht="14.4">
      <c r="A13067" s="11"/>
    </row>
    <row r="13068" spans="1:1" ht="14.4">
      <c r="A13068" s="11"/>
    </row>
    <row r="13069" spans="1:1" ht="14.4">
      <c r="A13069" s="11"/>
    </row>
    <row r="13070" spans="1:1" ht="14.4">
      <c r="A13070" s="11"/>
    </row>
    <row r="13071" spans="1:1" ht="14.4">
      <c r="A13071" s="11"/>
    </row>
    <row r="13072" spans="1:1" ht="14.4">
      <c r="A13072" s="11"/>
    </row>
    <row r="13073" spans="1:1" ht="14.4">
      <c r="A13073" s="11"/>
    </row>
    <row r="13074" spans="1:1" ht="14.4">
      <c r="A13074" s="11"/>
    </row>
    <row r="13075" spans="1:1" ht="14.4">
      <c r="A13075" s="11"/>
    </row>
    <row r="13076" spans="1:1" ht="14.4">
      <c r="A13076" s="11"/>
    </row>
    <row r="13077" spans="1:1" ht="14.4">
      <c r="A13077" s="11"/>
    </row>
    <row r="13078" spans="1:1" ht="14.4">
      <c r="A13078" s="11"/>
    </row>
    <row r="13079" spans="1:1" ht="14.4">
      <c r="A13079" s="11"/>
    </row>
    <row r="13080" spans="1:1" ht="14.4">
      <c r="A13080" s="11"/>
    </row>
    <row r="13081" spans="1:1" ht="14.4">
      <c r="A13081" s="11"/>
    </row>
    <row r="13082" spans="1:1" ht="14.4">
      <c r="A13082" s="11"/>
    </row>
    <row r="13083" spans="1:1" ht="14.4">
      <c r="A13083" s="11"/>
    </row>
    <row r="13084" spans="1:1" ht="14.4">
      <c r="A13084" s="11"/>
    </row>
    <row r="13085" spans="1:1" ht="14.4">
      <c r="A13085" s="11"/>
    </row>
    <row r="13086" spans="1:1" ht="14.4">
      <c r="A13086" s="11"/>
    </row>
    <row r="13087" spans="1:1" ht="14.4">
      <c r="A13087" s="11"/>
    </row>
    <row r="13088" spans="1:1" ht="14.4">
      <c r="A13088" s="11"/>
    </row>
    <row r="13089" spans="1:1" ht="14.4">
      <c r="A13089" s="11"/>
    </row>
    <row r="13090" spans="1:1" ht="14.4">
      <c r="A13090" s="11"/>
    </row>
    <row r="13091" spans="1:1" ht="14.4">
      <c r="A13091" s="11"/>
    </row>
    <row r="13092" spans="1:1" ht="14.4">
      <c r="A13092" s="11"/>
    </row>
    <row r="13093" spans="1:1" ht="14.4">
      <c r="A13093" s="11"/>
    </row>
    <row r="13094" spans="1:1" ht="14.4">
      <c r="A13094" s="11"/>
    </row>
    <row r="13095" spans="1:1" ht="14.4">
      <c r="A13095" s="11"/>
    </row>
    <row r="13096" spans="1:1" ht="14.4">
      <c r="A13096" s="11"/>
    </row>
    <row r="13097" spans="1:1" ht="14.4">
      <c r="A13097" s="11"/>
    </row>
    <row r="13098" spans="1:1" ht="14.4">
      <c r="A13098" s="11"/>
    </row>
    <row r="13099" spans="1:1" ht="14.4">
      <c r="A13099" s="11"/>
    </row>
    <row r="13100" spans="1:1" ht="14.4">
      <c r="A13100" s="11"/>
    </row>
    <row r="13101" spans="1:1" ht="14.4">
      <c r="A13101" s="11"/>
    </row>
    <row r="13102" spans="1:1" ht="14.4">
      <c r="A13102" s="11"/>
    </row>
    <row r="13103" spans="1:1" ht="14.4">
      <c r="A13103" s="11"/>
    </row>
    <row r="13104" spans="1:1" ht="14.4">
      <c r="A13104" s="11"/>
    </row>
    <row r="13105" spans="1:1" ht="14.4">
      <c r="A13105" s="11"/>
    </row>
    <row r="13106" spans="1:1" ht="14.4">
      <c r="A13106" s="11"/>
    </row>
    <row r="13107" spans="1:1" ht="14.4">
      <c r="A13107" s="11"/>
    </row>
    <row r="13108" spans="1:1" ht="14.4">
      <c r="A13108" s="11"/>
    </row>
    <row r="13109" spans="1:1" ht="14.4">
      <c r="A13109" s="11"/>
    </row>
    <row r="13110" spans="1:1" ht="14.4">
      <c r="A13110" s="11"/>
    </row>
    <row r="13111" spans="1:1" ht="14.4">
      <c r="A13111" s="11"/>
    </row>
    <row r="13112" spans="1:1" ht="14.4">
      <c r="A13112" s="11"/>
    </row>
    <row r="13113" spans="1:1" ht="14.4">
      <c r="A13113" s="11"/>
    </row>
    <row r="13114" spans="1:1" ht="14.4">
      <c r="A13114" s="11"/>
    </row>
    <row r="13115" spans="1:1" ht="14.4">
      <c r="A13115" s="11"/>
    </row>
    <row r="13116" spans="1:1" ht="14.4">
      <c r="A13116" s="11"/>
    </row>
    <row r="13117" spans="1:1" ht="14.4">
      <c r="A13117" s="11"/>
    </row>
    <row r="13118" spans="1:1" ht="14.4">
      <c r="A13118" s="11"/>
    </row>
    <row r="13119" spans="1:1" ht="14.4">
      <c r="A13119" s="11"/>
    </row>
    <row r="13120" spans="1:1" ht="14.4">
      <c r="A13120" s="11"/>
    </row>
    <row r="13121" spans="1:1" ht="14.4">
      <c r="A13121" s="11"/>
    </row>
    <row r="13122" spans="1:1" ht="14.4">
      <c r="A13122" s="11"/>
    </row>
    <row r="13123" spans="1:1" ht="14.4">
      <c r="A13123" s="11"/>
    </row>
    <row r="13124" spans="1:1" ht="14.4">
      <c r="A13124" s="11"/>
    </row>
    <row r="13125" spans="1:1" ht="14.4">
      <c r="A13125" s="11"/>
    </row>
    <row r="13126" spans="1:1" ht="14.4">
      <c r="A13126" s="11"/>
    </row>
    <row r="13127" spans="1:1" ht="14.4">
      <c r="A13127" s="11"/>
    </row>
    <row r="13128" spans="1:1" ht="14.4">
      <c r="A13128" s="11"/>
    </row>
    <row r="13129" spans="1:1" ht="14.4">
      <c r="A13129" s="11"/>
    </row>
    <row r="13130" spans="1:1" ht="14.4">
      <c r="A13130" s="11"/>
    </row>
    <row r="13131" spans="1:1" ht="14.4">
      <c r="A13131" s="11"/>
    </row>
    <row r="13132" spans="1:1" ht="14.4">
      <c r="A13132" s="11"/>
    </row>
    <row r="13133" spans="1:1" ht="14.4">
      <c r="A13133" s="11"/>
    </row>
    <row r="13134" spans="1:1" ht="14.4">
      <c r="A13134" s="11"/>
    </row>
    <row r="13135" spans="1:1" ht="14.4">
      <c r="A13135" s="11"/>
    </row>
    <row r="13136" spans="1:1" ht="14.4">
      <c r="A13136" s="11"/>
    </row>
    <row r="13137" spans="1:1" ht="14.4">
      <c r="A13137" s="11"/>
    </row>
    <row r="13138" spans="1:1" ht="14.4">
      <c r="A13138" s="11"/>
    </row>
    <row r="13139" spans="1:1" ht="14.4">
      <c r="A13139" s="11"/>
    </row>
    <row r="13140" spans="1:1" ht="14.4">
      <c r="A13140" s="11"/>
    </row>
    <row r="13141" spans="1:1" ht="14.4">
      <c r="A13141" s="11"/>
    </row>
    <row r="13142" spans="1:1" ht="14.4">
      <c r="A13142" s="11"/>
    </row>
    <row r="13143" spans="1:1" ht="14.4">
      <c r="A13143" s="11"/>
    </row>
    <row r="13144" spans="1:1" ht="14.4">
      <c r="A13144" s="11"/>
    </row>
    <row r="13145" spans="1:1" ht="14.4">
      <c r="A13145" s="11"/>
    </row>
    <row r="13146" spans="1:1" ht="14.4">
      <c r="A13146" s="11"/>
    </row>
    <row r="13147" spans="1:1" ht="14.4">
      <c r="A13147" s="11"/>
    </row>
    <row r="13148" spans="1:1" ht="14.4">
      <c r="A13148" s="11"/>
    </row>
    <row r="13149" spans="1:1" ht="14.4">
      <c r="A13149" s="11"/>
    </row>
    <row r="13150" spans="1:1" ht="14.4">
      <c r="A13150" s="11"/>
    </row>
    <row r="13151" spans="1:1" ht="14.4">
      <c r="A13151" s="11"/>
    </row>
    <row r="13152" spans="1:1" ht="14.4">
      <c r="A13152" s="11"/>
    </row>
    <row r="13153" spans="1:1" ht="14.4">
      <c r="A13153" s="11"/>
    </row>
    <row r="13154" spans="1:1" ht="14.4">
      <c r="A13154" s="11"/>
    </row>
    <row r="13155" spans="1:1" ht="14.4">
      <c r="A13155" s="11"/>
    </row>
    <row r="13156" spans="1:1" ht="14.4">
      <c r="A13156" s="11"/>
    </row>
    <row r="13157" spans="1:1" ht="14.4">
      <c r="A13157" s="11"/>
    </row>
    <row r="13158" spans="1:1" ht="14.4">
      <c r="A13158" s="11"/>
    </row>
    <row r="13159" spans="1:1" ht="14.4">
      <c r="A13159" s="11"/>
    </row>
    <row r="13160" spans="1:1" ht="14.4">
      <c r="A13160" s="11"/>
    </row>
    <row r="13161" spans="1:1" ht="14.4">
      <c r="A13161" s="11"/>
    </row>
    <row r="13162" spans="1:1" ht="14.4">
      <c r="A13162" s="11"/>
    </row>
    <row r="13163" spans="1:1" ht="14.4">
      <c r="A13163" s="11"/>
    </row>
    <row r="13164" spans="1:1" ht="14.4">
      <c r="A13164" s="11"/>
    </row>
    <row r="13165" spans="1:1" ht="14.4">
      <c r="A13165" s="11"/>
    </row>
    <row r="13166" spans="1:1" ht="14.4">
      <c r="A13166" s="11"/>
    </row>
    <row r="13167" spans="1:1" ht="14.4">
      <c r="A13167" s="11"/>
    </row>
    <row r="13168" spans="1:1" ht="14.4">
      <c r="A13168" s="11"/>
    </row>
    <row r="13169" spans="1:1" ht="14.4">
      <c r="A13169" s="11"/>
    </row>
    <row r="13170" spans="1:1" ht="14.4">
      <c r="A13170" s="11"/>
    </row>
    <row r="13171" spans="1:1" ht="14.4">
      <c r="A13171" s="11"/>
    </row>
    <row r="13172" spans="1:1" ht="14.4">
      <c r="A13172" s="11"/>
    </row>
    <row r="13173" spans="1:1" ht="14.4">
      <c r="A13173" s="11"/>
    </row>
    <row r="13174" spans="1:1" ht="14.4">
      <c r="A13174" s="11"/>
    </row>
    <row r="13175" spans="1:1" ht="14.4">
      <c r="A13175" s="11"/>
    </row>
    <row r="13176" spans="1:1" ht="14.4">
      <c r="A13176" s="11"/>
    </row>
    <row r="13177" spans="1:1" ht="14.4">
      <c r="A13177" s="11"/>
    </row>
    <row r="13178" spans="1:1" ht="14.4">
      <c r="A13178" s="11"/>
    </row>
    <row r="13179" spans="1:1" ht="14.4">
      <c r="A13179" s="11"/>
    </row>
    <row r="13180" spans="1:1" ht="14.4">
      <c r="A13180" s="11"/>
    </row>
    <row r="13181" spans="1:1" ht="14.4">
      <c r="A13181" s="11"/>
    </row>
    <row r="13182" spans="1:1" ht="14.4">
      <c r="A13182" s="11"/>
    </row>
    <row r="13183" spans="1:1" ht="14.4">
      <c r="A13183" s="11"/>
    </row>
    <row r="13184" spans="1:1" ht="14.4">
      <c r="A13184" s="11"/>
    </row>
    <row r="13185" spans="1:1" ht="14.4">
      <c r="A13185" s="11"/>
    </row>
    <row r="13186" spans="1:1" ht="14.4">
      <c r="A13186" s="11"/>
    </row>
    <row r="13187" spans="1:1" ht="14.4">
      <c r="A13187" s="11"/>
    </row>
    <row r="13188" spans="1:1" ht="14.4">
      <c r="A13188" s="11"/>
    </row>
    <row r="13189" spans="1:1" ht="14.4">
      <c r="A13189" s="11"/>
    </row>
    <row r="13190" spans="1:1" ht="14.4">
      <c r="A13190" s="11"/>
    </row>
    <row r="13191" spans="1:1" ht="14.4">
      <c r="A13191" s="11"/>
    </row>
    <row r="13192" spans="1:1" ht="14.4">
      <c r="A13192" s="11"/>
    </row>
    <row r="13193" spans="1:1" ht="14.4">
      <c r="A13193" s="11"/>
    </row>
    <row r="13194" spans="1:1" ht="14.4">
      <c r="A13194" s="11"/>
    </row>
    <row r="13195" spans="1:1" ht="14.4">
      <c r="A13195" s="11"/>
    </row>
    <row r="13196" spans="1:1" ht="14.4">
      <c r="A13196" s="11"/>
    </row>
    <row r="13197" spans="1:1" ht="14.4">
      <c r="A13197" s="11"/>
    </row>
    <row r="13198" spans="1:1" ht="14.4">
      <c r="A13198" s="11"/>
    </row>
    <row r="13199" spans="1:1" ht="14.4">
      <c r="A13199" s="11"/>
    </row>
    <row r="13200" spans="1:1" ht="14.4">
      <c r="A13200" s="11"/>
    </row>
    <row r="13201" spans="1:1" ht="14.4">
      <c r="A13201" s="11"/>
    </row>
    <row r="13202" spans="1:1" ht="14.4">
      <c r="A13202" s="11"/>
    </row>
    <row r="13203" spans="1:1" ht="14.4">
      <c r="A13203" s="11"/>
    </row>
    <row r="13204" spans="1:1" ht="14.4">
      <c r="A13204" s="11"/>
    </row>
    <row r="13205" spans="1:1" ht="14.4">
      <c r="A13205" s="11"/>
    </row>
    <row r="13206" spans="1:1" ht="14.4">
      <c r="A13206" s="11"/>
    </row>
    <row r="13207" spans="1:1" ht="14.4">
      <c r="A13207" s="11"/>
    </row>
    <row r="13208" spans="1:1" ht="14.4">
      <c r="A13208" s="11"/>
    </row>
    <row r="13209" spans="1:1" ht="14.4">
      <c r="A13209" s="11"/>
    </row>
    <row r="13210" spans="1:1" ht="14.4">
      <c r="A13210" s="11"/>
    </row>
    <row r="13211" spans="1:1" ht="14.4">
      <c r="A13211" s="11"/>
    </row>
    <row r="13212" spans="1:1" ht="14.4">
      <c r="A13212" s="11"/>
    </row>
    <row r="13213" spans="1:1" ht="14.4">
      <c r="A13213" s="11"/>
    </row>
    <row r="13214" spans="1:1" ht="14.4">
      <c r="A13214" s="11"/>
    </row>
    <row r="13215" spans="1:1" ht="14.4">
      <c r="A13215" s="11"/>
    </row>
    <row r="13216" spans="1:1" ht="14.4">
      <c r="A13216" s="11"/>
    </row>
    <row r="13217" spans="1:1" ht="14.4">
      <c r="A13217" s="11"/>
    </row>
    <row r="13218" spans="1:1" ht="14.4">
      <c r="A13218" s="11"/>
    </row>
    <row r="13219" spans="1:1" ht="14.4">
      <c r="A13219" s="11"/>
    </row>
    <row r="13220" spans="1:1" ht="14.4">
      <c r="A13220" s="11"/>
    </row>
    <row r="13221" spans="1:1" ht="14.4">
      <c r="A13221" s="11"/>
    </row>
    <row r="13222" spans="1:1" ht="14.4">
      <c r="A13222" s="11"/>
    </row>
    <row r="13223" spans="1:1" ht="14.4">
      <c r="A13223" s="11"/>
    </row>
    <row r="13224" spans="1:1" ht="14.4">
      <c r="A13224" s="11"/>
    </row>
    <row r="13225" spans="1:1" ht="14.4">
      <c r="A13225" s="11"/>
    </row>
    <row r="13226" spans="1:1" ht="14.4">
      <c r="A13226" s="11"/>
    </row>
    <row r="13227" spans="1:1" ht="14.4">
      <c r="A13227" s="11"/>
    </row>
    <row r="13228" spans="1:1" ht="14.4">
      <c r="A13228" s="11"/>
    </row>
    <row r="13229" spans="1:1" ht="14.4">
      <c r="A13229" s="11"/>
    </row>
    <row r="13230" spans="1:1" ht="14.4">
      <c r="A13230" s="11"/>
    </row>
    <row r="13231" spans="1:1" ht="14.4">
      <c r="A13231" s="11"/>
    </row>
    <row r="13232" spans="1:1" ht="14.4">
      <c r="A13232" s="11"/>
    </row>
    <row r="13233" spans="1:1" ht="14.4">
      <c r="A13233" s="11"/>
    </row>
    <row r="13234" spans="1:1" ht="14.4">
      <c r="A13234" s="11"/>
    </row>
    <row r="13235" spans="1:1" ht="14.4">
      <c r="A13235" s="11"/>
    </row>
    <row r="13236" spans="1:1" ht="14.4">
      <c r="A13236" s="11"/>
    </row>
    <row r="13237" spans="1:1" ht="14.4">
      <c r="A13237" s="11"/>
    </row>
    <row r="13238" spans="1:1" ht="14.4">
      <c r="A13238" s="11"/>
    </row>
    <row r="13239" spans="1:1" ht="14.4">
      <c r="A13239" s="11"/>
    </row>
    <row r="13240" spans="1:1" ht="14.4">
      <c r="A13240" s="11"/>
    </row>
    <row r="13241" spans="1:1" ht="14.4">
      <c r="A13241" s="11"/>
    </row>
    <row r="13242" spans="1:1" ht="14.4">
      <c r="A13242" s="11"/>
    </row>
    <row r="13243" spans="1:1" ht="14.4">
      <c r="A13243" s="11"/>
    </row>
    <row r="13244" spans="1:1" ht="14.4">
      <c r="A13244" s="11"/>
    </row>
    <row r="13245" spans="1:1" ht="14.4">
      <c r="A13245" s="11"/>
    </row>
    <row r="13246" spans="1:1" ht="14.4">
      <c r="A13246" s="11"/>
    </row>
    <row r="13247" spans="1:1" ht="14.4">
      <c r="A13247" s="11"/>
    </row>
    <row r="13248" spans="1:1" ht="14.4">
      <c r="A13248" s="11"/>
    </row>
    <row r="13249" spans="1:1" ht="14.4">
      <c r="A13249" s="11"/>
    </row>
    <row r="13250" spans="1:1" ht="14.4">
      <c r="A13250" s="11"/>
    </row>
    <row r="13251" spans="1:1" ht="14.4">
      <c r="A13251" s="11"/>
    </row>
    <row r="13252" spans="1:1" ht="14.4">
      <c r="A13252" s="11"/>
    </row>
    <row r="13253" spans="1:1" ht="14.4">
      <c r="A13253" s="11"/>
    </row>
    <row r="13254" spans="1:1" ht="14.4">
      <c r="A13254" s="11"/>
    </row>
    <row r="13255" spans="1:1" ht="14.4">
      <c r="A13255" s="11"/>
    </row>
    <row r="13256" spans="1:1" ht="14.4">
      <c r="A13256" s="11"/>
    </row>
    <row r="13257" spans="1:1" ht="14.4">
      <c r="A13257" s="11"/>
    </row>
    <row r="13258" spans="1:1" ht="14.4">
      <c r="A13258" s="11"/>
    </row>
    <row r="13259" spans="1:1" ht="14.4">
      <c r="A13259" s="11"/>
    </row>
    <row r="13260" spans="1:1" ht="14.4">
      <c r="A13260" s="11"/>
    </row>
    <row r="13261" spans="1:1" ht="14.4">
      <c r="A13261" s="11"/>
    </row>
    <row r="13262" spans="1:1" ht="14.4">
      <c r="A13262" s="11"/>
    </row>
    <row r="13263" spans="1:1" ht="14.4">
      <c r="A13263" s="11"/>
    </row>
    <row r="13264" spans="1:1" ht="14.4">
      <c r="A13264" s="11"/>
    </row>
    <row r="13265" spans="1:1" ht="14.4">
      <c r="A13265" s="11"/>
    </row>
    <row r="13266" spans="1:1" ht="14.4">
      <c r="A13266" s="11"/>
    </row>
    <row r="13267" spans="1:1" ht="14.4">
      <c r="A13267" s="11"/>
    </row>
    <row r="13268" spans="1:1" ht="14.4">
      <c r="A13268" s="11"/>
    </row>
    <row r="13269" spans="1:1" ht="14.4">
      <c r="A13269" s="11"/>
    </row>
    <row r="13270" spans="1:1" ht="14.4">
      <c r="A13270" s="11"/>
    </row>
    <row r="13271" spans="1:1" ht="14.4">
      <c r="A13271" s="11"/>
    </row>
    <row r="13272" spans="1:1" ht="14.4">
      <c r="A13272" s="11"/>
    </row>
    <row r="13273" spans="1:1" ht="14.4">
      <c r="A13273" s="11"/>
    </row>
    <row r="13274" spans="1:1" ht="14.4">
      <c r="A13274" s="11"/>
    </row>
    <row r="13275" spans="1:1" ht="14.4">
      <c r="A13275" s="11"/>
    </row>
    <row r="13276" spans="1:1" ht="14.4">
      <c r="A13276" s="11"/>
    </row>
    <row r="13277" spans="1:1" ht="14.4">
      <c r="A13277" s="11"/>
    </row>
    <row r="13278" spans="1:1" ht="14.4">
      <c r="A13278" s="11"/>
    </row>
    <row r="13279" spans="1:1" ht="14.4">
      <c r="A13279" s="11"/>
    </row>
    <row r="13280" spans="1:1" ht="14.4">
      <c r="A13280" s="11"/>
    </row>
    <row r="13281" spans="1:1" ht="14.4">
      <c r="A13281" s="11"/>
    </row>
    <row r="13282" spans="1:1" ht="14.4">
      <c r="A13282" s="11"/>
    </row>
    <row r="13283" spans="1:1" ht="14.4">
      <c r="A13283" s="11"/>
    </row>
    <row r="13284" spans="1:1" ht="14.4">
      <c r="A13284" s="11"/>
    </row>
    <row r="13285" spans="1:1" ht="14.4">
      <c r="A13285" s="11"/>
    </row>
    <row r="13286" spans="1:1" ht="14.4">
      <c r="A13286" s="11"/>
    </row>
    <row r="13287" spans="1:1" ht="14.4">
      <c r="A13287" s="11"/>
    </row>
    <row r="13288" spans="1:1" ht="14.4">
      <c r="A13288" s="11"/>
    </row>
    <row r="13289" spans="1:1" ht="14.4">
      <c r="A13289" s="11"/>
    </row>
    <row r="13290" spans="1:1" ht="14.4">
      <c r="A13290" s="11"/>
    </row>
    <row r="13291" spans="1:1" ht="14.4">
      <c r="A13291" s="11"/>
    </row>
    <row r="13292" spans="1:1" ht="14.4">
      <c r="A13292" s="11"/>
    </row>
    <row r="13293" spans="1:1" ht="14.4">
      <c r="A13293" s="11"/>
    </row>
    <row r="13294" spans="1:1" ht="14.4">
      <c r="A13294" s="11"/>
    </row>
    <row r="13295" spans="1:1" ht="14.4">
      <c r="A13295" s="11"/>
    </row>
    <row r="13296" spans="1:1" ht="14.4">
      <c r="A13296" s="11"/>
    </row>
    <row r="13297" spans="1:1" ht="14.4">
      <c r="A13297" s="11"/>
    </row>
    <row r="13298" spans="1:1" ht="14.4">
      <c r="A13298" s="11"/>
    </row>
    <row r="13299" spans="1:1" ht="14.4">
      <c r="A13299" s="11"/>
    </row>
    <row r="13300" spans="1:1" ht="14.4">
      <c r="A13300" s="11"/>
    </row>
    <row r="13301" spans="1:1" ht="14.4">
      <c r="A13301" s="11"/>
    </row>
    <row r="13302" spans="1:1" ht="14.4">
      <c r="A13302" s="11"/>
    </row>
    <row r="13303" spans="1:1" ht="14.4">
      <c r="A13303" s="11"/>
    </row>
    <row r="13304" spans="1:1" ht="14.4">
      <c r="A13304" s="11"/>
    </row>
    <row r="13305" spans="1:1" ht="14.4">
      <c r="A13305" s="11"/>
    </row>
    <row r="13306" spans="1:1" ht="14.4">
      <c r="A13306" s="11"/>
    </row>
    <row r="13307" spans="1:1" ht="14.4">
      <c r="A13307" s="11"/>
    </row>
    <row r="13308" spans="1:1" ht="14.4">
      <c r="A13308" s="11"/>
    </row>
    <row r="13309" spans="1:1" ht="14.4">
      <c r="A13309" s="11"/>
    </row>
    <row r="13310" spans="1:1" ht="14.4">
      <c r="A13310" s="11"/>
    </row>
    <row r="13311" spans="1:1" ht="14.4">
      <c r="A13311" s="11"/>
    </row>
    <row r="13312" spans="1:1" ht="14.4">
      <c r="A13312" s="11"/>
    </row>
    <row r="13313" spans="1:1" ht="14.4">
      <c r="A13313" s="11"/>
    </row>
    <row r="13314" spans="1:1" ht="14.4">
      <c r="A13314" s="11"/>
    </row>
    <row r="13315" spans="1:1" ht="14.4">
      <c r="A13315" s="11"/>
    </row>
    <row r="13316" spans="1:1" ht="14.4">
      <c r="A13316" s="11"/>
    </row>
    <row r="13317" spans="1:1" ht="14.4">
      <c r="A13317" s="11"/>
    </row>
    <row r="13318" spans="1:1" ht="14.4">
      <c r="A13318" s="11"/>
    </row>
    <row r="13319" spans="1:1" ht="14.4">
      <c r="A13319" s="11"/>
    </row>
    <row r="13320" spans="1:1" ht="14.4">
      <c r="A13320" s="11"/>
    </row>
    <row r="13321" spans="1:1" ht="14.4">
      <c r="A13321" s="11"/>
    </row>
    <row r="13322" spans="1:1" ht="14.4">
      <c r="A13322" s="11"/>
    </row>
    <row r="13323" spans="1:1" ht="14.4">
      <c r="A13323" s="11"/>
    </row>
    <row r="13324" spans="1:1" ht="14.4">
      <c r="A13324" s="11"/>
    </row>
    <row r="13325" spans="1:1" ht="14.4">
      <c r="A13325" s="11"/>
    </row>
    <row r="13326" spans="1:1" ht="14.4">
      <c r="A13326" s="11"/>
    </row>
    <row r="13327" spans="1:1" ht="14.4">
      <c r="A13327" s="11"/>
    </row>
    <row r="13328" spans="1:1" ht="14.4">
      <c r="A13328" s="11"/>
    </row>
    <row r="13329" spans="1:1" ht="14.4">
      <c r="A13329" s="11"/>
    </row>
    <row r="13330" spans="1:1" ht="14.4">
      <c r="A13330" s="11"/>
    </row>
    <row r="13331" spans="1:1" ht="14.4">
      <c r="A13331" s="11"/>
    </row>
    <row r="13332" spans="1:1" ht="14.4">
      <c r="A13332" s="11"/>
    </row>
    <row r="13333" spans="1:1" ht="14.4">
      <c r="A13333" s="11"/>
    </row>
    <row r="13334" spans="1:1" ht="14.4">
      <c r="A13334" s="11"/>
    </row>
    <row r="13335" spans="1:1" ht="14.4">
      <c r="A13335" s="11"/>
    </row>
    <row r="13336" spans="1:1" ht="14.4">
      <c r="A13336" s="11"/>
    </row>
    <row r="13337" spans="1:1" ht="14.4">
      <c r="A13337" s="11"/>
    </row>
    <row r="13338" spans="1:1" ht="14.4">
      <c r="A13338" s="11"/>
    </row>
    <row r="13339" spans="1:1" ht="14.4">
      <c r="A13339" s="11"/>
    </row>
    <row r="13340" spans="1:1" ht="14.4">
      <c r="A13340" s="11"/>
    </row>
    <row r="13341" spans="1:1" ht="14.4">
      <c r="A13341" s="11"/>
    </row>
    <row r="13342" spans="1:1" ht="14.4">
      <c r="A13342" s="11"/>
    </row>
    <row r="13343" spans="1:1" ht="14.4">
      <c r="A13343" s="11"/>
    </row>
    <row r="13344" spans="1:1" ht="14.4">
      <c r="A13344" s="11"/>
    </row>
    <row r="13345" spans="1:1" ht="14.4">
      <c r="A13345" s="11"/>
    </row>
    <row r="13346" spans="1:1" ht="14.4">
      <c r="A13346" s="11"/>
    </row>
    <row r="13347" spans="1:1" ht="14.4">
      <c r="A13347" s="11"/>
    </row>
    <row r="13348" spans="1:1" ht="14.4">
      <c r="A13348" s="11"/>
    </row>
    <row r="13349" spans="1:1" ht="14.4">
      <c r="A13349" s="11"/>
    </row>
    <row r="13350" spans="1:1" ht="14.4">
      <c r="A13350" s="11"/>
    </row>
    <row r="13351" spans="1:1" ht="14.4">
      <c r="A13351" s="11"/>
    </row>
    <row r="13352" spans="1:1" ht="14.4">
      <c r="A13352" s="11"/>
    </row>
    <row r="13353" spans="1:1" ht="14.4">
      <c r="A13353" s="11"/>
    </row>
    <row r="13354" spans="1:1" ht="14.4">
      <c r="A13354" s="11"/>
    </row>
    <row r="13355" spans="1:1" ht="14.4">
      <c r="A13355" s="11"/>
    </row>
    <row r="13356" spans="1:1" ht="14.4">
      <c r="A13356" s="11"/>
    </row>
    <row r="13357" spans="1:1" ht="14.4">
      <c r="A13357" s="11"/>
    </row>
    <row r="13358" spans="1:1" ht="14.4">
      <c r="A13358" s="11"/>
    </row>
    <row r="13359" spans="1:1" ht="14.4">
      <c r="A13359" s="11"/>
    </row>
    <row r="13360" spans="1:1" ht="14.4">
      <c r="A13360" s="11"/>
    </row>
    <row r="13361" spans="1:1" ht="14.4">
      <c r="A13361" s="11"/>
    </row>
    <row r="13362" spans="1:1" ht="14.4">
      <c r="A13362" s="11"/>
    </row>
    <row r="13363" spans="1:1" ht="14.4">
      <c r="A13363" s="11"/>
    </row>
    <row r="13364" spans="1:1" ht="14.4">
      <c r="A13364" s="11"/>
    </row>
    <row r="13365" spans="1:1" ht="14.4">
      <c r="A13365" s="11"/>
    </row>
    <row r="13366" spans="1:1" ht="14.4">
      <c r="A13366" s="11"/>
    </row>
    <row r="13367" spans="1:1" ht="14.4">
      <c r="A13367" s="11"/>
    </row>
    <row r="13368" spans="1:1" ht="14.4">
      <c r="A13368" s="11"/>
    </row>
    <row r="13369" spans="1:1" ht="14.4">
      <c r="A13369" s="11"/>
    </row>
    <row r="13370" spans="1:1" ht="14.4">
      <c r="A13370" s="11"/>
    </row>
    <row r="13371" spans="1:1" ht="14.4">
      <c r="A13371" s="11"/>
    </row>
    <row r="13372" spans="1:1" ht="14.4">
      <c r="A13372" s="11"/>
    </row>
    <row r="13373" spans="1:1" ht="14.4">
      <c r="A13373" s="11"/>
    </row>
    <row r="13374" spans="1:1" ht="14.4">
      <c r="A13374" s="11"/>
    </row>
    <row r="13375" spans="1:1" ht="14.4">
      <c r="A13375" s="11"/>
    </row>
    <row r="13376" spans="1:1" ht="14.4">
      <c r="A13376" s="11"/>
    </row>
    <row r="13377" spans="1:1" ht="14.4">
      <c r="A13377" s="11"/>
    </row>
    <row r="13378" spans="1:1" ht="14.4">
      <c r="A13378" s="11"/>
    </row>
    <row r="13379" spans="1:1" ht="14.4">
      <c r="A13379" s="11"/>
    </row>
    <row r="13380" spans="1:1" ht="14.4">
      <c r="A13380" s="11"/>
    </row>
    <row r="13381" spans="1:1" ht="14.4">
      <c r="A13381" s="11"/>
    </row>
    <row r="13382" spans="1:1" ht="14.4">
      <c r="A13382" s="11"/>
    </row>
    <row r="13383" spans="1:1" ht="14.4">
      <c r="A13383" s="11"/>
    </row>
    <row r="13384" spans="1:1" ht="14.4">
      <c r="A13384" s="11"/>
    </row>
    <row r="13385" spans="1:1" ht="14.4">
      <c r="A13385" s="11"/>
    </row>
    <row r="13386" spans="1:1" ht="14.4">
      <c r="A13386" s="11"/>
    </row>
    <row r="13387" spans="1:1" ht="14.4">
      <c r="A13387" s="11"/>
    </row>
    <row r="13388" spans="1:1" ht="14.4">
      <c r="A13388" s="11"/>
    </row>
    <row r="13389" spans="1:1" ht="14.4">
      <c r="A13389" s="11"/>
    </row>
    <row r="13390" spans="1:1" ht="14.4">
      <c r="A13390" s="11"/>
    </row>
    <row r="13391" spans="1:1" ht="14.4">
      <c r="A13391" s="11"/>
    </row>
    <row r="13392" spans="1:1" ht="14.4">
      <c r="A13392" s="11"/>
    </row>
    <row r="13393" spans="1:1" ht="14.4">
      <c r="A13393" s="11"/>
    </row>
    <row r="13394" spans="1:1" ht="14.4">
      <c r="A13394" s="11"/>
    </row>
    <row r="13395" spans="1:1" ht="14.4">
      <c r="A13395" s="11"/>
    </row>
    <row r="13396" spans="1:1" ht="14.4">
      <c r="A13396" s="11"/>
    </row>
    <row r="13397" spans="1:1" ht="14.4">
      <c r="A13397" s="11"/>
    </row>
    <row r="13398" spans="1:1" ht="14.4">
      <c r="A13398" s="11"/>
    </row>
    <row r="13399" spans="1:1" ht="14.4">
      <c r="A13399" s="11"/>
    </row>
    <row r="13400" spans="1:1" ht="14.4">
      <c r="A13400" s="11"/>
    </row>
    <row r="13401" spans="1:1" ht="14.4">
      <c r="A13401" s="11"/>
    </row>
    <row r="13402" spans="1:1" ht="14.4">
      <c r="A13402" s="11"/>
    </row>
    <row r="13403" spans="1:1" ht="14.4">
      <c r="A13403" s="11"/>
    </row>
    <row r="13404" spans="1:1" ht="14.4">
      <c r="A13404" s="11"/>
    </row>
    <row r="13405" spans="1:1" ht="14.4">
      <c r="A13405" s="11"/>
    </row>
    <row r="13406" spans="1:1" ht="14.4">
      <c r="A13406" s="11"/>
    </row>
    <row r="13407" spans="1:1" ht="14.4">
      <c r="A13407" s="11"/>
    </row>
    <row r="13408" spans="1:1" ht="14.4">
      <c r="A13408" s="11"/>
    </row>
    <row r="13409" spans="1:1" ht="14.4">
      <c r="A13409" s="11"/>
    </row>
    <row r="13410" spans="1:1" ht="14.4">
      <c r="A13410" s="11"/>
    </row>
    <row r="13411" spans="1:1" ht="14.4">
      <c r="A13411" s="11"/>
    </row>
    <row r="13412" spans="1:1" ht="14.4">
      <c r="A13412" s="11"/>
    </row>
    <row r="13413" spans="1:1" ht="14.4">
      <c r="A13413" s="11"/>
    </row>
    <row r="13414" spans="1:1" ht="14.4">
      <c r="A13414" s="11"/>
    </row>
    <row r="13415" spans="1:1" ht="14.4">
      <c r="A13415" s="11"/>
    </row>
    <row r="13416" spans="1:1" ht="14.4">
      <c r="A13416" s="11"/>
    </row>
    <row r="13417" spans="1:1" ht="14.4">
      <c r="A13417" s="11"/>
    </row>
    <row r="13418" spans="1:1" ht="14.4">
      <c r="A13418" s="11"/>
    </row>
    <row r="13419" spans="1:1" ht="14.4">
      <c r="A13419" s="11"/>
    </row>
    <row r="13420" spans="1:1" ht="14.4">
      <c r="A13420" s="11"/>
    </row>
    <row r="13421" spans="1:1" ht="14.4">
      <c r="A13421" s="11"/>
    </row>
    <row r="13422" spans="1:1" ht="14.4">
      <c r="A13422" s="11"/>
    </row>
    <row r="13423" spans="1:1" ht="14.4">
      <c r="A13423" s="11"/>
    </row>
    <row r="13424" spans="1:1" ht="14.4">
      <c r="A13424" s="11"/>
    </row>
    <row r="13425" spans="1:1" ht="14.4">
      <c r="A13425" s="11"/>
    </row>
    <row r="13426" spans="1:1" ht="14.4">
      <c r="A13426" s="11"/>
    </row>
    <row r="13427" spans="1:1" ht="14.4">
      <c r="A13427" s="11"/>
    </row>
    <row r="13428" spans="1:1" ht="14.4">
      <c r="A13428" s="11"/>
    </row>
    <row r="13429" spans="1:1" ht="14.4">
      <c r="A13429" s="11"/>
    </row>
    <row r="13430" spans="1:1" ht="14.4">
      <c r="A13430" s="11"/>
    </row>
    <row r="13431" spans="1:1" ht="14.4">
      <c r="A13431" s="11"/>
    </row>
    <row r="13432" spans="1:1" ht="14.4">
      <c r="A13432" s="11"/>
    </row>
    <row r="13433" spans="1:1" ht="14.4">
      <c r="A13433" s="11"/>
    </row>
    <row r="13434" spans="1:1" ht="14.4">
      <c r="A13434" s="11"/>
    </row>
    <row r="13435" spans="1:1" ht="14.4">
      <c r="A13435" s="11"/>
    </row>
    <row r="13436" spans="1:1" ht="14.4">
      <c r="A13436" s="11"/>
    </row>
    <row r="13437" spans="1:1" ht="14.4">
      <c r="A13437" s="11"/>
    </row>
    <row r="13438" spans="1:1" ht="14.4">
      <c r="A13438" s="11"/>
    </row>
    <row r="13439" spans="1:1" ht="14.4">
      <c r="A13439" s="11"/>
    </row>
    <row r="13440" spans="1:1" ht="14.4">
      <c r="A13440" s="11"/>
    </row>
    <row r="13441" spans="1:1" ht="14.4">
      <c r="A13441" s="11"/>
    </row>
    <row r="13442" spans="1:1" ht="14.4">
      <c r="A13442" s="11"/>
    </row>
    <row r="13443" spans="1:1" ht="14.4">
      <c r="A13443" s="11"/>
    </row>
    <row r="13444" spans="1:1" ht="14.4">
      <c r="A13444" s="11"/>
    </row>
    <row r="13445" spans="1:1" ht="14.4">
      <c r="A13445" s="11"/>
    </row>
    <row r="13446" spans="1:1" ht="14.4">
      <c r="A13446" s="11"/>
    </row>
    <row r="13447" spans="1:1" ht="14.4">
      <c r="A13447" s="11"/>
    </row>
    <row r="13448" spans="1:1" ht="14.4">
      <c r="A13448" s="11"/>
    </row>
    <row r="13449" spans="1:1" ht="14.4">
      <c r="A13449" s="11"/>
    </row>
    <row r="13450" spans="1:1" ht="14.4">
      <c r="A13450" s="11"/>
    </row>
    <row r="13451" spans="1:1" ht="14.4">
      <c r="A13451" s="11"/>
    </row>
    <row r="13452" spans="1:1" ht="14.4">
      <c r="A13452" s="11"/>
    </row>
    <row r="13453" spans="1:1" ht="14.4">
      <c r="A13453" s="11"/>
    </row>
    <row r="13454" spans="1:1" ht="14.4">
      <c r="A13454" s="11"/>
    </row>
    <row r="13455" spans="1:1" ht="14.4">
      <c r="A13455" s="11"/>
    </row>
    <row r="13456" spans="1:1" ht="14.4">
      <c r="A13456" s="11"/>
    </row>
    <row r="13457" spans="1:1" ht="14.4">
      <c r="A13457" s="11"/>
    </row>
    <row r="13458" spans="1:1" ht="14.4">
      <c r="A13458" s="11"/>
    </row>
    <row r="13459" spans="1:1" ht="14.4">
      <c r="A13459" s="11"/>
    </row>
    <row r="13460" spans="1:1" ht="14.4">
      <c r="A13460" s="11"/>
    </row>
    <row r="13461" spans="1:1" ht="14.4">
      <c r="A13461" s="11"/>
    </row>
    <row r="13462" spans="1:1" ht="14.4">
      <c r="A13462" s="11"/>
    </row>
    <row r="13463" spans="1:1" ht="14.4">
      <c r="A13463" s="11"/>
    </row>
    <row r="13464" spans="1:1" ht="14.4">
      <c r="A13464" s="11"/>
    </row>
    <row r="13465" spans="1:1" ht="14.4">
      <c r="A13465" s="11"/>
    </row>
    <row r="13466" spans="1:1" ht="14.4">
      <c r="A13466" s="11"/>
    </row>
    <row r="13467" spans="1:1" ht="14.4">
      <c r="A13467" s="11"/>
    </row>
    <row r="13468" spans="1:1" ht="14.4">
      <c r="A13468" s="11"/>
    </row>
    <row r="13469" spans="1:1" ht="14.4">
      <c r="A13469" s="11"/>
    </row>
    <row r="13470" spans="1:1" ht="14.4">
      <c r="A13470" s="11"/>
    </row>
    <row r="13471" spans="1:1" ht="14.4">
      <c r="A13471" s="11"/>
    </row>
    <row r="13472" spans="1:1" ht="14.4">
      <c r="A13472" s="11"/>
    </row>
    <row r="13473" spans="1:1" ht="14.4">
      <c r="A13473" s="11"/>
    </row>
    <row r="13474" spans="1:1" ht="14.4">
      <c r="A13474" s="11"/>
    </row>
    <row r="13475" spans="1:1" ht="14.4">
      <c r="A13475" s="11"/>
    </row>
    <row r="13476" spans="1:1" ht="14.4">
      <c r="A13476" s="11"/>
    </row>
    <row r="13477" spans="1:1" ht="14.4">
      <c r="A13477" s="11"/>
    </row>
    <row r="13478" spans="1:1" ht="14.4">
      <c r="A13478" s="11"/>
    </row>
    <row r="13479" spans="1:1" ht="14.4">
      <c r="A13479" s="11"/>
    </row>
    <row r="13480" spans="1:1" ht="14.4">
      <c r="A13480" s="11"/>
    </row>
    <row r="13481" spans="1:1" ht="14.4">
      <c r="A13481" s="11"/>
    </row>
    <row r="13482" spans="1:1" ht="14.4">
      <c r="A13482" s="11"/>
    </row>
    <row r="13483" spans="1:1" ht="14.4">
      <c r="A13483" s="11"/>
    </row>
    <row r="13484" spans="1:1" ht="14.4">
      <c r="A13484" s="11"/>
    </row>
    <row r="13485" spans="1:1" ht="14.4">
      <c r="A13485" s="11"/>
    </row>
    <row r="13486" spans="1:1" ht="14.4">
      <c r="A13486" s="11"/>
    </row>
    <row r="13487" spans="1:1" ht="14.4">
      <c r="A13487" s="11"/>
    </row>
    <row r="13488" spans="1:1" ht="14.4">
      <c r="A13488" s="11"/>
    </row>
    <row r="13489" spans="1:1" ht="14.4">
      <c r="A13489" s="11"/>
    </row>
    <row r="13490" spans="1:1" ht="14.4">
      <c r="A13490" s="11"/>
    </row>
    <row r="13491" spans="1:1" ht="14.4">
      <c r="A13491" s="11"/>
    </row>
    <row r="13492" spans="1:1" ht="14.4">
      <c r="A13492" s="11"/>
    </row>
    <row r="13493" spans="1:1" ht="14.4">
      <c r="A13493" s="11"/>
    </row>
    <row r="13494" spans="1:1" ht="14.4">
      <c r="A13494" s="11"/>
    </row>
    <row r="13495" spans="1:1" ht="14.4">
      <c r="A13495" s="11"/>
    </row>
    <row r="13496" spans="1:1" ht="14.4">
      <c r="A13496" s="11"/>
    </row>
    <row r="13497" spans="1:1" ht="14.4">
      <c r="A13497" s="11"/>
    </row>
    <row r="13498" spans="1:1" ht="14.4">
      <c r="A13498" s="11"/>
    </row>
    <row r="13499" spans="1:1" ht="14.4">
      <c r="A13499" s="11"/>
    </row>
    <row r="13500" spans="1:1" ht="14.4">
      <c r="A13500" s="11"/>
    </row>
    <row r="13501" spans="1:1" ht="14.4">
      <c r="A13501" s="11"/>
    </row>
    <row r="13502" spans="1:1" ht="14.4">
      <c r="A13502" s="11"/>
    </row>
    <row r="13503" spans="1:1" ht="14.4">
      <c r="A13503" s="11"/>
    </row>
    <row r="13504" spans="1:1" ht="14.4">
      <c r="A13504" s="11"/>
    </row>
    <row r="13505" spans="1:1" ht="14.4">
      <c r="A13505" s="11"/>
    </row>
    <row r="13506" spans="1:1" ht="14.4">
      <c r="A13506" s="11"/>
    </row>
    <row r="13507" spans="1:1" ht="14.4">
      <c r="A13507" s="11"/>
    </row>
    <row r="13508" spans="1:1" ht="14.4">
      <c r="A13508" s="11"/>
    </row>
    <row r="13509" spans="1:1" ht="14.4">
      <c r="A13509" s="11"/>
    </row>
    <row r="13510" spans="1:1" ht="14.4">
      <c r="A13510" s="11"/>
    </row>
    <row r="13511" spans="1:1" ht="14.4">
      <c r="A13511" s="11"/>
    </row>
    <row r="13512" spans="1:1" ht="14.4">
      <c r="A13512" s="11"/>
    </row>
    <row r="13513" spans="1:1" ht="14.4">
      <c r="A13513" s="11"/>
    </row>
    <row r="13514" spans="1:1" ht="14.4">
      <c r="A13514" s="11"/>
    </row>
    <row r="13515" spans="1:1" ht="14.4">
      <c r="A13515" s="11"/>
    </row>
    <row r="13516" spans="1:1" ht="14.4">
      <c r="A13516" s="11"/>
    </row>
    <row r="13517" spans="1:1" ht="14.4">
      <c r="A13517" s="11"/>
    </row>
    <row r="13518" spans="1:1" ht="14.4">
      <c r="A13518" s="11"/>
    </row>
    <row r="13519" spans="1:1" ht="14.4">
      <c r="A13519" s="11"/>
    </row>
    <row r="13520" spans="1:1" ht="14.4">
      <c r="A13520" s="11"/>
    </row>
    <row r="13521" spans="1:1" ht="14.4">
      <c r="A13521" s="11"/>
    </row>
    <row r="13522" spans="1:1" ht="14.4">
      <c r="A13522" s="11"/>
    </row>
    <row r="13523" spans="1:1" ht="14.4">
      <c r="A13523" s="11"/>
    </row>
    <row r="13524" spans="1:1" ht="14.4">
      <c r="A13524" s="11"/>
    </row>
    <row r="13525" spans="1:1" ht="14.4">
      <c r="A13525" s="11"/>
    </row>
    <row r="13526" spans="1:1" ht="14.4">
      <c r="A13526" s="11"/>
    </row>
    <row r="13527" spans="1:1" ht="14.4">
      <c r="A13527" s="11"/>
    </row>
    <row r="13528" spans="1:1" ht="14.4">
      <c r="A13528" s="11"/>
    </row>
    <row r="13529" spans="1:1" ht="14.4">
      <c r="A13529" s="11"/>
    </row>
    <row r="13530" spans="1:1" ht="14.4">
      <c r="A13530" s="11"/>
    </row>
    <row r="13531" spans="1:1" ht="14.4">
      <c r="A13531" s="11"/>
    </row>
    <row r="13532" spans="1:1" ht="14.4">
      <c r="A13532" s="11"/>
    </row>
    <row r="13533" spans="1:1" ht="14.4">
      <c r="A13533" s="11"/>
    </row>
    <row r="13534" spans="1:1" ht="14.4">
      <c r="A13534" s="11"/>
    </row>
    <row r="13535" spans="1:1" ht="14.4">
      <c r="A13535" s="11"/>
    </row>
    <row r="13536" spans="1:1" ht="14.4">
      <c r="A13536" s="11"/>
    </row>
    <row r="13537" spans="1:1" ht="14.4">
      <c r="A13537" s="11"/>
    </row>
    <row r="13538" spans="1:1" ht="14.4">
      <c r="A13538" s="11"/>
    </row>
    <row r="13539" spans="1:1" ht="14.4">
      <c r="A13539" s="11"/>
    </row>
    <row r="13540" spans="1:1" ht="14.4">
      <c r="A13540" s="11"/>
    </row>
    <row r="13541" spans="1:1" ht="14.4">
      <c r="A13541" s="11"/>
    </row>
    <row r="13542" spans="1:1" ht="14.4">
      <c r="A13542" s="11"/>
    </row>
    <row r="13543" spans="1:1" ht="14.4">
      <c r="A13543" s="11"/>
    </row>
    <row r="13544" spans="1:1" ht="14.4">
      <c r="A13544" s="11"/>
    </row>
    <row r="13545" spans="1:1" ht="14.4">
      <c r="A13545" s="11"/>
    </row>
    <row r="13546" spans="1:1" ht="14.4">
      <c r="A13546" s="11"/>
    </row>
    <row r="13547" spans="1:1" ht="14.4">
      <c r="A13547" s="11"/>
    </row>
    <row r="13548" spans="1:1" ht="14.4">
      <c r="A13548" s="11"/>
    </row>
    <row r="13549" spans="1:1" ht="14.4">
      <c r="A13549" s="11"/>
    </row>
    <row r="13550" spans="1:1" ht="14.4">
      <c r="A13550" s="11"/>
    </row>
    <row r="13551" spans="1:1" ht="14.4">
      <c r="A13551" s="11"/>
    </row>
    <row r="13552" spans="1:1" ht="14.4">
      <c r="A13552" s="11"/>
    </row>
    <row r="13553" spans="1:1" ht="14.4">
      <c r="A13553" s="11"/>
    </row>
    <row r="13554" spans="1:1" ht="14.4">
      <c r="A13554" s="11"/>
    </row>
    <row r="13555" spans="1:1" ht="14.4">
      <c r="A13555" s="11"/>
    </row>
    <row r="13556" spans="1:1" ht="14.4">
      <c r="A13556" s="11"/>
    </row>
    <row r="13557" spans="1:1" ht="14.4">
      <c r="A13557" s="11"/>
    </row>
    <row r="13558" spans="1:1" ht="14.4">
      <c r="A13558" s="11"/>
    </row>
    <row r="13559" spans="1:1" ht="14.4">
      <c r="A13559" s="11"/>
    </row>
    <row r="13560" spans="1:1" ht="14.4">
      <c r="A13560" s="11"/>
    </row>
    <row r="13561" spans="1:1" ht="14.4">
      <c r="A13561" s="11"/>
    </row>
    <row r="13562" spans="1:1" ht="14.4">
      <c r="A13562" s="11"/>
    </row>
    <row r="13563" spans="1:1" ht="14.4">
      <c r="A13563" s="11"/>
    </row>
    <row r="13564" spans="1:1" ht="14.4">
      <c r="A13564" s="11"/>
    </row>
    <row r="13565" spans="1:1" ht="14.4">
      <c r="A13565" s="11"/>
    </row>
    <row r="13566" spans="1:1" ht="14.4">
      <c r="A13566" s="11"/>
    </row>
    <row r="13567" spans="1:1" ht="14.4">
      <c r="A13567" s="11"/>
    </row>
    <row r="13568" spans="1:1" ht="14.4">
      <c r="A13568" s="11"/>
    </row>
    <row r="13569" spans="1:1" ht="14.4">
      <c r="A13569" s="11"/>
    </row>
    <row r="13570" spans="1:1" ht="14.4">
      <c r="A13570" s="11"/>
    </row>
    <row r="13571" spans="1:1" ht="14.4">
      <c r="A13571" s="11"/>
    </row>
    <row r="13572" spans="1:1" ht="14.4">
      <c r="A13572" s="11"/>
    </row>
    <row r="13573" spans="1:1" ht="14.4">
      <c r="A13573" s="11"/>
    </row>
    <row r="13574" spans="1:1" ht="14.4">
      <c r="A13574" s="11"/>
    </row>
    <row r="13575" spans="1:1" ht="14.4">
      <c r="A13575" s="11"/>
    </row>
    <row r="13576" spans="1:1" ht="14.4">
      <c r="A13576" s="11"/>
    </row>
    <row r="13577" spans="1:1" ht="14.4">
      <c r="A13577" s="11"/>
    </row>
    <row r="13578" spans="1:1" ht="14.4">
      <c r="A13578" s="11"/>
    </row>
    <row r="13579" spans="1:1" ht="14.4">
      <c r="A13579" s="11"/>
    </row>
    <row r="13580" spans="1:1" ht="14.4">
      <c r="A13580" s="11"/>
    </row>
    <row r="13581" spans="1:1" ht="14.4">
      <c r="A13581" s="11"/>
    </row>
    <row r="13582" spans="1:1" ht="14.4">
      <c r="A13582" s="11"/>
    </row>
    <row r="13583" spans="1:1" ht="14.4">
      <c r="A13583" s="11"/>
    </row>
    <row r="13584" spans="1:1" ht="14.4">
      <c r="A13584" s="11"/>
    </row>
    <row r="13585" spans="1:1" ht="14.4">
      <c r="A13585" s="11"/>
    </row>
    <row r="13586" spans="1:1" ht="14.4">
      <c r="A13586" s="11"/>
    </row>
    <row r="13587" spans="1:1" ht="14.4">
      <c r="A13587" s="11"/>
    </row>
    <row r="13588" spans="1:1" ht="14.4">
      <c r="A13588" s="11"/>
    </row>
    <row r="13589" spans="1:1" ht="14.4">
      <c r="A13589" s="11"/>
    </row>
    <row r="13590" spans="1:1" ht="14.4">
      <c r="A13590" s="11"/>
    </row>
    <row r="13591" spans="1:1" ht="14.4">
      <c r="A13591" s="11"/>
    </row>
    <row r="13592" spans="1:1" ht="14.4">
      <c r="A13592" s="11"/>
    </row>
    <row r="13593" spans="1:1" ht="14.4">
      <c r="A13593" s="11"/>
    </row>
    <row r="13594" spans="1:1" ht="14.4">
      <c r="A13594" s="11"/>
    </row>
    <row r="13595" spans="1:1" ht="14.4">
      <c r="A13595" s="11"/>
    </row>
    <row r="13596" spans="1:1" ht="14.4">
      <c r="A13596" s="11"/>
    </row>
    <row r="13597" spans="1:1" ht="14.4">
      <c r="A13597" s="11"/>
    </row>
    <row r="13598" spans="1:1" ht="14.4">
      <c r="A13598" s="11"/>
    </row>
    <row r="13599" spans="1:1" ht="14.4">
      <c r="A13599" s="11"/>
    </row>
    <row r="13600" spans="1:1" ht="14.4">
      <c r="A13600" s="11"/>
    </row>
    <row r="13601" spans="1:1" ht="14.4">
      <c r="A13601" s="11"/>
    </row>
    <row r="13602" spans="1:1" ht="14.4">
      <c r="A13602" s="11"/>
    </row>
    <row r="13603" spans="1:1" ht="14.4">
      <c r="A13603" s="11"/>
    </row>
    <row r="13604" spans="1:1" ht="14.4">
      <c r="A13604" s="11"/>
    </row>
    <row r="13605" spans="1:1" ht="14.4">
      <c r="A13605" s="11"/>
    </row>
    <row r="13606" spans="1:1" ht="14.4">
      <c r="A13606" s="11"/>
    </row>
    <row r="13607" spans="1:1" ht="14.4">
      <c r="A13607" s="11"/>
    </row>
    <row r="13608" spans="1:1" ht="14.4">
      <c r="A13608" s="11"/>
    </row>
    <row r="13609" spans="1:1" ht="14.4">
      <c r="A13609" s="11"/>
    </row>
    <row r="13610" spans="1:1" ht="14.4">
      <c r="A13610" s="11"/>
    </row>
    <row r="13611" spans="1:1" ht="14.4">
      <c r="A13611" s="11"/>
    </row>
    <row r="13612" spans="1:1" ht="14.4">
      <c r="A13612" s="11"/>
    </row>
    <row r="13613" spans="1:1" ht="14.4">
      <c r="A13613" s="11"/>
    </row>
    <row r="13614" spans="1:1" ht="14.4">
      <c r="A13614" s="11"/>
    </row>
    <row r="13615" spans="1:1" ht="14.4">
      <c r="A13615" s="11"/>
    </row>
    <row r="13616" spans="1:1" ht="14.4">
      <c r="A13616" s="11"/>
    </row>
    <row r="13617" spans="1:1" ht="14.4">
      <c r="A13617" s="11"/>
    </row>
    <row r="13618" spans="1:1" ht="14.4">
      <c r="A13618" s="11"/>
    </row>
    <row r="13619" spans="1:1" ht="14.4">
      <c r="A13619" s="11"/>
    </row>
    <row r="13620" spans="1:1" ht="14.4">
      <c r="A13620" s="11"/>
    </row>
    <row r="13621" spans="1:1" ht="14.4">
      <c r="A13621" s="11"/>
    </row>
    <row r="13622" spans="1:1" ht="14.4">
      <c r="A13622" s="11"/>
    </row>
    <row r="13623" spans="1:1" ht="14.4">
      <c r="A13623" s="11"/>
    </row>
    <row r="13624" spans="1:1" ht="14.4">
      <c r="A13624" s="11"/>
    </row>
    <row r="13625" spans="1:1" ht="14.4">
      <c r="A13625" s="11"/>
    </row>
    <row r="13626" spans="1:1" ht="14.4">
      <c r="A13626" s="11"/>
    </row>
    <row r="13627" spans="1:1" ht="14.4">
      <c r="A13627" s="11"/>
    </row>
    <row r="13628" spans="1:1" ht="14.4">
      <c r="A13628" s="11"/>
    </row>
    <row r="13629" spans="1:1" ht="14.4">
      <c r="A13629" s="11"/>
    </row>
    <row r="13630" spans="1:1" ht="14.4">
      <c r="A13630" s="11"/>
    </row>
    <row r="13631" spans="1:1" ht="14.4">
      <c r="A13631" s="11"/>
    </row>
    <row r="13632" spans="1:1" ht="14.4">
      <c r="A13632" s="11"/>
    </row>
    <row r="13633" spans="1:1" ht="14.4">
      <c r="A13633" s="11"/>
    </row>
    <row r="13634" spans="1:1" ht="14.4">
      <c r="A13634" s="11"/>
    </row>
    <row r="13635" spans="1:1" ht="14.4">
      <c r="A13635" s="11"/>
    </row>
    <row r="13636" spans="1:1" ht="14.4">
      <c r="A13636" s="11"/>
    </row>
    <row r="13637" spans="1:1" ht="14.4">
      <c r="A13637" s="11"/>
    </row>
    <row r="13638" spans="1:1" ht="14.4">
      <c r="A13638" s="11"/>
    </row>
    <row r="13639" spans="1:1" ht="14.4">
      <c r="A13639" s="11"/>
    </row>
    <row r="13640" spans="1:1" ht="14.4">
      <c r="A13640" s="11"/>
    </row>
    <row r="13641" spans="1:1" ht="14.4">
      <c r="A13641" s="11"/>
    </row>
    <row r="13642" spans="1:1" ht="14.4">
      <c r="A13642" s="11"/>
    </row>
    <row r="13643" spans="1:1" ht="14.4">
      <c r="A13643" s="11"/>
    </row>
    <row r="13644" spans="1:1" ht="14.4">
      <c r="A13644" s="11"/>
    </row>
    <row r="13645" spans="1:1" ht="14.4">
      <c r="A13645" s="11"/>
    </row>
    <row r="13646" spans="1:1" ht="14.4">
      <c r="A13646" s="11"/>
    </row>
    <row r="13647" spans="1:1" ht="14.4">
      <c r="A13647" s="11"/>
    </row>
    <row r="13648" spans="1:1" ht="14.4">
      <c r="A13648" s="11"/>
    </row>
    <row r="13649" spans="1:1" ht="14.4">
      <c r="A13649" s="11"/>
    </row>
    <row r="13650" spans="1:1" ht="14.4">
      <c r="A13650" s="11"/>
    </row>
    <row r="13651" spans="1:1" ht="14.4">
      <c r="A13651" s="11"/>
    </row>
    <row r="13652" spans="1:1" ht="14.4">
      <c r="A13652" s="11"/>
    </row>
    <row r="13653" spans="1:1" ht="14.4">
      <c r="A13653" s="11"/>
    </row>
    <row r="13654" spans="1:1" ht="14.4">
      <c r="A13654" s="11"/>
    </row>
    <row r="13655" spans="1:1" ht="14.4">
      <c r="A13655" s="11"/>
    </row>
    <row r="13656" spans="1:1" ht="14.4">
      <c r="A13656" s="11"/>
    </row>
    <row r="13657" spans="1:1" ht="14.4">
      <c r="A13657" s="11"/>
    </row>
    <row r="13658" spans="1:1" ht="14.4">
      <c r="A13658" s="11"/>
    </row>
    <row r="13659" spans="1:1" ht="14.4">
      <c r="A13659" s="11"/>
    </row>
    <row r="13660" spans="1:1" ht="14.4">
      <c r="A13660" s="11"/>
    </row>
    <row r="13661" spans="1:1" ht="14.4">
      <c r="A13661" s="11"/>
    </row>
    <row r="13662" spans="1:1" ht="14.4">
      <c r="A13662" s="11"/>
    </row>
    <row r="13663" spans="1:1" ht="14.4">
      <c r="A13663" s="11"/>
    </row>
    <row r="13664" spans="1:1" ht="14.4">
      <c r="A13664" s="11"/>
    </row>
    <row r="13665" spans="1:1" ht="14.4">
      <c r="A13665" s="11"/>
    </row>
    <row r="13666" spans="1:1" ht="14.4">
      <c r="A13666" s="11"/>
    </row>
    <row r="13667" spans="1:1" ht="14.4">
      <c r="A13667" s="11"/>
    </row>
    <row r="13668" spans="1:1" ht="14.4">
      <c r="A13668" s="11"/>
    </row>
    <row r="13669" spans="1:1" ht="14.4">
      <c r="A13669" s="11"/>
    </row>
    <row r="13670" spans="1:1" ht="14.4">
      <c r="A13670" s="11"/>
    </row>
    <row r="13671" spans="1:1" ht="14.4">
      <c r="A13671" s="11"/>
    </row>
    <row r="13672" spans="1:1" ht="14.4">
      <c r="A13672" s="11"/>
    </row>
    <row r="13673" spans="1:1" ht="14.4">
      <c r="A13673" s="11"/>
    </row>
    <row r="13674" spans="1:1" ht="14.4">
      <c r="A13674" s="11"/>
    </row>
    <row r="13675" spans="1:1" ht="14.4">
      <c r="A13675" s="11"/>
    </row>
    <row r="13676" spans="1:1" ht="14.4">
      <c r="A13676" s="11"/>
    </row>
    <row r="13677" spans="1:1" ht="14.4">
      <c r="A13677" s="11"/>
    </row>
    <row r="13678" spans="1:1" ht="14.4">
      <c r="A13678" s="11"/>
    </row>
    <row r="13679" spans="1:1" ht="14.4">
      <c r="A13679" s="11"/>
    </row>
    <row r="13680" spans="1:1" ht="14.4">
      <c r="A13680" s="11"/>
    </row>
    <row r="13681" spans="1:1" ht="14.4">
      <c r="A13681" s="11"/>
    </row>
    <row r="13682" spans="1:1" ht="14.4">
      <c r="A13682" s="11"/>
    </row>
    <row r="13683" spans="1:1" ht="14.4">
      <c r="A13683" s="11"/>
    </row>
    <row r="13684" spans="1:1" ht="14.4">
      <c r="A13684" s="11"/>
    </row>
    <row r="13685" spans="1:1" ht="14.4">
      <c r="A13685" s="11"/>
    </row>
    <row r="13686" spans="1:1" ht="14.4">
      <c r="A13686" s="11"/>
    </row>
    <row r="13687" spans="1:1" ht="14.4">
      <c r="A13687" s="11"/>
    </row>
    <row r="13688" spans="1:1" ht="14.4">
      <c r="A13688" s="11"/>
    </row>
    <row r="13689" spans="1:1" ht="14.4">
      <c r="A13689" s="11"/>
    </row>
    <row r="13690" spans="1:1" ht="14.4">
      <c r="A13690" s="11"/>
    </row>
    <row r="13691" spans="1:1" ht="14.4">
      <c r="A13691" s="11"/>
    </row>
    <row r="13692" spans="1:1" ht="14.4">
      <c r="A13692" s="11"/>
    </row>
    <row r="13693" spans="1:1" ht="14.4">
      <c r="A13693" s="11"/>
    </row>
    <row r="13694" spans="1:1" ht="14.4">
      <c r="A13694" s="11"/>
    </row>
    <row r="13695" spans="1:1" ht="14.4">
      <c r="A13695" s="11"/>
    </row>
    <row r="13696" spans="1:1" ht="14.4">
      <c r="A13696" s="11"/>
    </row>
    <row r="13697" spans="1:1" ht="14.4">
      <c r="A13697" s="11"/>
    </row>
    <row r="13698" spans="1:1" ht="14.4">
      <c r="A13698" s="11"/>
    </row>
    <row r="13699" spans="1:1" ht="14.4">
      <c r="A13699" s="11"/>
    </row>
    <row r="13700" spans="1:1" ht="14.4">
      <c r="A13700" s="11"/>
    </row>
    <row r="13701" spans="1:1" ht="14.4">
      <c r="A13701" s="11"/>
    </row>
    <row r="13702" spans="1:1" ht="14.4">
      <c r="A13702" s="11"/>
    </row>
    <row r="13703" spans="1:1" ht="14.4">
      <c r="A13703" s="11"/>
    </row>
    <row r="13704" spans="1:1" ht="14.4">
      <c r="A13704" s="11"/>
    </row>
    <row r="13705" spans="1:1" ht="14.4">
      <c r="A13705" s="11"/>
    </row>
    <row r="13706" spans="1:1" ht="14.4">
      <c r="A13706" s="11"/>
    </row>
    <row r="13707" spans="1:1" ht="14.4">
      <c r="A13707" s="11"/>
    </row>
    <row r="13708" spans="1:1" ht="14.4">
      <c r="A13708" s="11"/>
    </row>
    <row r="13709" spans="1:1" ht="14.4">
      <c r="A13709" s="11"/>
    </row>
    <row r="13710" spans="1:1" ht="14.4">
      <c r="A13710" s="11"/>
    </row>
    <row r="13711" spans="1:1" ht="14.4">
      <c r="A13711" s="11"/>
    </row>
    <row r="13712" spans="1:1" ht="14.4">
      <c r="A13712" s="11"/>
    </row>
    <row r="13713" spans="1:1" ht="14.4">
      <c r="A13713" s="11"/>
    </row>
    <row r="13714" spans="1:1" ht="14.4">
      <c r="A13714" s="11"/>
    </row>
    <row r="13715" spans="1:1" ht="14.4">
      <c r="A13715" s="11"/>
    </row>
    <row r="13716" spans="1:1" ht="14.4">
      <c r="A13716" s="11"/>
    </row>
    <row r="13717" spans="1:1" ht="14.4">
      <c r="A13717" s="11"/>
    </row>
    <row r="13718" spans="1:1" ht="14.4">
      <c r="A13718" s="11"/>
    </row>
    <row r="13719" spans="1:1" ht="14.4">
      <c r="A13719" s="11"/>
    </row>
    <row r="13720" spans="1:1" ht="14.4">
      <c r="A13720" s="11"/>
    </row>
    <row r="13721" spans="1:1" ht="14.4">
      <c r="A13721" s="11"/>
    </row>
    <row r="13722" spans="1:1" ht="14.4">
      <c r="A13722" s="11"/>
    </row>
    <row r="13723" spans="1:1" ht="14.4">
      <c r="A13723" s="11"/>
    </row>
    <row r="13724" spans="1:1" ht="14.4">
      <c r="A13724" s="11"/>
    </row>
    <row r="13725" spans="1:1" ht="14.4">
      <c r="A13725" s="11"/>
    </row>
    <row r="13726" spans="1:1" ht="14.4">
      <c r="A13726" s="11"/>
    </row>
    <row r="13727" spans="1:1" ht="14.4">
      <c r="A13727" s="11"/>
    </row>
    <row r="13728" spans="1:1" ht="14.4">
      <c r="A13728" s="11"/>
    </row>
    <row r="13729" spans="1:1" ht="14.4">
      <c r="A13729" s="11"/>
    </row>
    <row r="13730" spans="1:1" ht="14.4">
      <c r="A13730" s="11"/>
    </row>
    <row r="13731" spans="1:1" ht="14.4">
      <c r="A13731" s="11"/>
    </row>
    <row r="13732" spans="1:1" ht="14.4">
      <c r="A13732" s="11"/>
    </row>
    <row r="13733" spans="1:1" ht="14.4">
      <c r="A13733" s="11"/>
    </row>
    <row r="13734" spans="1:1" ht="14.4">
      <c r="A13734" s="11"/>
    </row>
    <row r="13735" spans="1:1" ht="14.4">
      <c r="A13735" s="11"/>
    </row>
    <row r="13736" spans="1:1" ht="14.4">
      <c r="A13736" s="11"/>
    </row>
    <row r="13737" spans="1:1" ht="14.4">
      <c r="A13737" s="11"/>
    </row>
    <row r="13738" spans="1:1" ht="14.4">
      <c r="A13738" s="11"/>
    </row>
    <row r="13739" spans="1:1" ht="14.4">
      <c r="A13739" s="11"/>
    </row>
    <row r="13740" spans="1:1" ht="14.4">
      <c r="A13740" s="11"/>
    </row>
    <row r="13741" spans="1:1" ht="14.4">
      <c r="A13741" s="11"/>
    </row>
    <row r="13742" spans="1:1" ht="14.4">
      <c r="A13742" s="11"/>
    </row>
    <row r="13743" spans="1:1" ht="14.4">
      <c r="A13743" s="11"/>
    </row>
    <row r="13744" spans="1:1" ht="14.4">
      <c r="A13744" s="11"/>
    </row>
    <row r="13745" spans="1:1" ht="14.4">
      <c r="A13745" s="11"/>
    </row>
    <row r="13746" spans="1:1" ht="14.4">
      <c r="A13746" s="11"/>
    </row>
    <row r="13747" spans="1:1" ht="14.4">
      <c r="A13747" s="11"/>
    </row>
    <row r="13748" spans="1:1" ht="14.4">
      <c r="A13748" s="11"/>
    </row>
    <row r="13749" spans="1:1" ht="14.4">
      <c r="A13749" s="11"/>
    </row>
    <row r="13750" spans="1:1" ht="14.4">
      <c r="A13750" s="11"/>
    </row>
    <row r="13751" spans="1:1" ht="14.4">
      <c r="A13751" s="11"/>
    </row>
    <row r="13752" spans="1:1" ht="14.4">
      <c r="A13752" s="11"/>
    </row>
    <row r="13753" spans="1:1" ht="14.4">
      <c r="A13753" s="11"/>
    </row>
    <row r="13754" spans="1:1" ht="14.4">
      <c r="A13754" s="11"/>
    </row>
    <row r="13755" spans="1:1" ht="14.4">
      <c r="A13755" s="11"/>
    </row>
    <row r="13756" spans="1:1" ht="14.4">
      <c r="A13756" s="11"/>
    </row>
    <row r="13757" spans="1:1" ht="14.4">
      <c r="A13757" s="11"/>
    </row>
    <row r="13758" spans="1:1" ht="14.4">
      <c r="A13758" s="11"/>
    </row>
    <row r="13759" spans="1:1" ht="14.4">
      <c r="A13759" s="11"/>
    </row>
    <row r="13760" spans="1:1" ht="14.4">
      <c r="A13760" s="11"/>
    </row>
    <row r="13761" spans="1:1" ht="14.4">
      <c r="A13761" s="11"/>
    </row>
    <row r="13762" spans="1:1" ht="14.4">
      <c r="A13762" s="11"/>
    </row>
    <row r="13763" spans="1:1" ht="14.4">
      <c r="A13763" s="11"/>
    </row>
    <row r="13764" spans="1:1" ht="14.4">
      <c r="A13764" s="11"/>
    </row>
    <row r="13765" spans="1:1" ht="14.4">
      <c r="A13765" s="11"/>
    </row>
    <row r="13766" spans="1:1" ht="14.4">
      <c r="A13766" s="11"/>
    </row>
    <row r="13767" spans="1:1" ht="14.4">
      <c r="A13767" s="11"/>
    </row>
    <row r="13768" spans="1:1" ht="14.4">
      <c r="A13768" s="11"/>
    </row>
    <row r="13769" spans="1:1" ht="14.4">
      <c r="A13769" s="11"/>
    </row>
    <row r="13770" spans="1:1" ht="14.4">
      <c r="A13770" s="11"/>
    </row>
    <row r="13771" spans="1:1" ht="14.4">
      <c r="A13771" s="11"/>
    </row>
    <row r="13772" spans="1:1" ht="14.4">
      <c r="A13772" s="11"/>
    </row>
    <row r="13773" spans="1:1" ht="14.4">
      <c r="A13773" s="11"/>
    </row>
    <row r="13774" spans="1:1" ht="14.4">
      <c r="A13774" s="11"/>
    </row>
    <row r="13775" spans="1:1" ht="14.4">
      <c r="A13775" s="11"/>
    </row>
    <row r="13776" spans="1:1" ht="14.4">
      <c r="A13776" s="11"/>
    </row>
    <row r="13777" spans="1:1" ht="14.4">
      <c r="A13777" s="11"/>
    </row>
    <row r="13778" spans="1:1" ht="14.4">
      <c r="A13778" s="11"/>
    </row>
    <row r="13779" spans="1:1" ht="14.4">
      <c r="A13779" s="11"/>
    </row>
    <row r="13780" spans="1:1" ht="14.4">
      <c r="A13780" s="11"/>
    </row>
    <row r="13781" spans="1:1" ht="14.4">
      <c r="A13781" s="11"/>
    </row>
    <row r="13782" spans="1:1" ht="14.4">
      <c r="A13782" s="11"/>
    </row>
    <row r="13783" spans="1:1" ht="14.4">
      <c r="A13783" s="11"/>
    </row>
    <row r="13784" spans="1:1" ht="14.4">
      <c r="A13784" s="11"/>
    </row>
    <row r="13785" spans="1:1" ht="14.4">
      <c r="A13785" s="11"/>
    </row>
    <row r="13786" spans="1:1" ht="14.4">
      <c r="A13786" s="11"/>
    </row>
    <row r="13787" spans="1:1" ht="14.4">
      <c r="A13787" s="11"/>
    </row>
    <row r="13788" spans="1:1" ht="14.4">
      <c r="A13788" s="11"/>
    </row>
    <row r="13789" spans="1:1" ht="14.4">
      <c r="A13789" s="11"/>
    </row>
    <row r="13790" spans="1:1" ht="14.4">
      <c r="A13790" s="11"/>
    </row>
    <row r="13791" spans="1:1" ht="14.4">
      <c r="A13791" s="11"/>
    </row>
    <row r="13792" spans="1:1" ht="14.4">
      <c r="A13792" s="11"/>
    </row>
    <row r="13793" spans="1:1" ht="14.4">
      <c r="A13793" s="11"/>
    </row>
    <row r="13794" spans="1:1" ht="14.4">
      <c r="A13794" s="11"/>
    </row>
    <row r="13795" spans="1:1" ht="14.4">
      <c r="A13795" s="11"/>
    </row>
    <row r="13796" spans="1:1" ht="14.4">
      <c r="A13796" s="11"/>
    </row>
    <row r="13797" spans="1:1" ht="14.4">
      <c r="A13797" s="11"/>
    </row>
    <row r="13798" spans="1:1" ht="14.4">
      <c r="A13798" s="11"/>
    </row>
    <row r="13799" spans="1:1" ht="14.4">
      <c r="A13799" s="11"/>
    </row>
    <row r="13800" spans="1:1" ht="14.4">
      <c r="A13800" s="11"/>
    </row>
    <row r="13801" spans="1:1" ht="14.4">
      <c r="A13801" s="11"/>
    </row>
    <row r="13802" spans="1:1" ht="14.4">
      <c r="A13802" s="11"/>
    </row>
    <row r="13803" spans="1:1" ht="14.4">
      <c r="A13803" s="11"/>
    </row>
    <row r="13804" spans="1:1" ht="14.4">
      <c r="A13804" s="11"/>
    </row>
    <row r="13805" spans="1:1" ht="14.4">
      <c r="A13805" s="11"/>
    </row>
    <row r="13806" spans="1:1" ht="14.4">
      <c r="A13806" s="11"/>
    </row>
    <row r="13807" spans="1:1" ht="14.4">
      <c r="A13807" s="11"/>
    </row>
    <row r="13808" spans="1:1" ht="14.4">
      <c r="A13808" s="11"/>
    </row>
    <row r="13809" spans="1:1" ht="14.4">
      <c r="A13809" s="11"/>
    </row>
    <row r="13810" spans="1:1" ht="14.4">
      <c r="A13810" s="11"/>
    </row>
    <row r="13811" spans="1:1" ht="14.4">
      <c r="A13811" s="11"/>
    </row>
    <row r="13812" spans="1:1" ht="14.4">
      <c r="A13812" s="11"/>
    </row>
    <row r="13813" spans="1:1" ht="14.4">
      <c r="A13813" s="11"/>
    </row>
    <row r="13814" spans="1:1" ht="14.4">
      <c r="A13814" s="11"/>
    </row>
    <row r="13815" spans="1:1" ht="14.4">
      <c r="A13815" s="11"/>
    </row>
    <row r="13816" spans="1:1" ht="14.4">
      <c r="A13816" s="11"/>
    </row>
    <row r="13817" spans="1:1" ht="14.4">
      <c r="A13817" s="11"/>
    </row>
    <row r="13818" spans="1:1" ht="14.4">
      <c r="A13818" s="11"/>
    </row>
    <row r="13819" spans="1:1" ht="14.4">
      <c r="A13819" s="11"/>
    </row>
    <row r="13820" spans="1:1" ht="14.4">
      <c r="A13820" s="11"/>
    </row>
    <row r="13821" spans="1:1" ht="14.4">
      <c r="A13821" s="11"/>
    </row>
    <row r="13822" spans="1:1" ht="14.4">
      <c r="A13822" s="11"/>
    </row>
    <row r="13823" spans="1:1" ht="14.4">
      <c r="A13823" s="11"/>
    </row>
    <row r="13824" spans="1:1" ht="14.4">
      <c r="A13824" s="11"/>
    </row>
    <row r="13825" spans="1:1" ht="14.4">
      <c r="A13825" s="11"/>
    </row>
    <row r="13826" spans="1:1" ht="14.4">
      <c r="A13826" s="11"/>
    </row>
    <row r="13827" spans="1:1" ht="14.4">
      <c r="A13827" s="11"/>
    </row>
    <row r="13828" spans="1:1" ht="14.4">
      <c r="A13828" s="11"/>
    </row>
    <row r="13829" spans="1:1" ht="14.4">
      <c r="A13829" s="11"/>
    </row>
    <row r="13830" spans="1:1" ht="14.4">
      <c r="A13830" s="11"/>
    </row>
    <row r="13831" spans="1:1" ht="14.4">
      <c r="A13831" s="11"/>
    </row>
    <row r="13832" spans="1:1" ht="14.4">
      <c r="A13832" s="11"/>
    </row>
    <row r="13833" spans="1:1" ht="14.4">
      <c r="A13833" s="11"/>
    </row>
    <row r="13834" spans="1:1" ht="14.4">
      <c r="A13834" s="11"/>
    </row>
    <row r="13835" spans="1:1" ht="14.4">
      <c r="A13835" s="11"/>
    </row>
    <row r="13836" spans="1:1" ht="14.4">
      <c r="A13836" s="11"/>
    </row>
    <row r="13837" spans="1:1" ht="14.4">
      <c r="A13837" s="11"/>
    </row>
    <row r="13838" spans="1:1" ht="14.4">
      <c r="A13838" s="11"/>
    </row>
    <row r="13839" spans="1:1" ht="14.4">
      <c r="A13839" s="11"/>
    </row>
    <row r="13840" spans="1:1" ht="14.4">
      <c r="A13840" s="11"/>
    </row>
    <row r="13841" spans="1:1" ht="14.4">
      <c r="A13841" s="11"/>
    </row>
    <row r="13842" spans="1:1" ht="14.4">
      <c r="A13842" s="11"/>
    </row>
    <row r="13843" spans="1:1" ht="14.4">
      <c r="A13843" s="11"/>
    </row>
    <row r="13844" spans="1:1" ht="14.4">
      <c r="A13844" s="11"/>
    </row>
    <row r="13845" spans="1:1" ht="14.4">
      <c r="A13845" s="11"/>
    </row>
    <row r="13846" spans="1:1" ht="14.4">
      <c r="A13846" s="11"/>
    </row>
    <row r="13847" spans="1:1" ht="14.4">
      <c r="A13847" s="11"/>
    </row>
    <row r="13848" spans="1:1" ht="14.4">
      <c r="A13848" s="11"/>
    </row>
    <row r="13849" spans="1:1" ht="14.4">
      <c r="A13849" s="11"/>
    </row>
    <row r="13850" spans="1:1" ht="14.4">
      <c r="A13850" s="11"/>
    </row>
    <row r="13851" spans="1:1" ht="14.4">
      <c r="A13851" s="11"/>
    </row>
    <row r="13852" spans="1:1" ht="14.4">
      <c r="A13852" s="11"/>
    </row>
    <row r="13853" spans="1:1" ht="14.4">
      <c r="A13853" s="11"/>
    </row>
    <row r="13854" spans="1:1" ht="14.4">
      <c r="A13854" s="11"/>
    </row>
    <row r="13855" spans="1:1" ht="14.4">
      <c r="A13855" s="11"/>
    </row>
    <row r="13856" spans="1:1" ht="14.4">
      <c r="A13856" s="11"/>
    </row>
    <row r="13857" spans="1:1" ht="14.4">
      <c r="A13857" s="11"/>
    </row>
    <row r="13858" spans="1:1" ht="14.4">
      <c r="A13858" s="11"/>
    </row>
    <row r="13859" spans="1:1" ht="14.4">
      <c r="A13859" s="11"/>
    </row>
    <row r="13860" spans="1:1" ht="14.4">
      <c r="A13860" s="11"/>
    </row>
    <row r="13861" spans="1:1" ht="14.4">
      <c r="A13861" s="11"/>
    </row>
    <row r="13862" spans="1:1" ht="14.4">
      <c r="A13862" s="11"/>
    </row>
    <row r="13863" spans="1:1" ht="14.4">
      <c r="A13863" s="11"/>
    </row>
    <row r="13864" spans="1:1" ht="14.4">
      <c r="A13864" s="11"/>
    </row>
    <row r="13865" spans="1:1" ht="14.4">
      <c r="A13865" s="11"/>
    </row>
    <row r="13866" spans="1:1" ht="14.4">
      <c r="A13866" s="11"/>
    </row>
    <row r="13867" spans="1:1" ht="14.4">
      <c r="A13867" s="11"/>
    </row>
    <row r="13868" spans="1:1" ht="14.4">
      <c r="A13868" s="11"/>
    </row>
    <row r="13869" spans="1:1" ht="14.4">
      <c r="A13869" s="11"/>
    </row>
    <row r="13870" spans="1:1" ht="14.4">
      <c r="A13870" s="11"/>
    </row>
    <row r="13871" spans="1:1" ht="14.4">
      <c r="A13871" s="11"/>
    </row>
    <row r="13872" spans="1:1" ht="14.4">
      <c r="A13872" s="11"/>
    </row>
    <row r="13873" spans="1:1" ht="14.4">
      <c r="A13873" s="11"/>
    </row>
    <row r="13874" spans="1:1" ht="14.4">
      <c r="A13874" s="11"/>
    </row>
    <row r="13875" spans="1:1" ht="14.4">
      <c r="A13875" s="11"/>
    </row>
    <row r="13876" spans="1:1" ht="14.4">
      <c r="A13876" s="11"/>
    </row>
    <row r="13877" spans="1:1" ht="14.4">
      <c r="A13877" s="11"/>
    </row>
    <row r="13878" spans="1:1" ht="14.4">
      <c r="A13878" s="11"/>
    </row>
    <row r="13879" spans="1:1" ht="14.4">
      <c r="A13879" s="11"/>
    </row>
    <row r="13880" spans="1:1" ht="14.4">
      <c r="A13880" s="11"/>
    </row>
    <row r="13881" spans="1:1" ht="14.4">
      <c r="A13881" s="11"/>
    </row>
    <row r="13882" spans="1:1" ht="14.4">
      <c r="A13882" s="11"/>
    </row>
    <row r="13883" spans="1:1" ht="14.4">
      <c r="A13883" s="11"/>
    </row>
    <row r="13884" spans="1:1" ht="14.4">
      <c r="A13884" s="11"/>
    </row>
    <row r="13885" spans="1:1" ht="14.4">
      <c r="A13885" s="11"/>
    </row>
    <row r="13886" spans="1:1" ht="14.4">
      <c r="A13886" s="11"/>
    </row>
    <row r="13887" spans="1:1" ht="14.4">
      <c r="A13887" s="11"/>
    </row>
    <row r="13888" spans="1:1" ht="14.4">
      <c r="A13888" s="11"/>
    </row>
    <row r="13889" spans="1:1" ht="14.4">
      <c r="A13889" s="11"/>
    </row>
    <row r="13890" spans="1:1" ht="14.4">
      <c r="A13890" s="11"/>
    </row>
    <row r="13891" spans="1:1" ht="14.4">
      <c r="A13891" s="11"/>
    </row>
    <row r="13892" spans="1:1" ht="14.4">
      <c r="A13892" s="11"/>
    </row>
    <row r="13893" spans="1:1" ht="14.4">
      <c r="A13893" s="11"/>
    </row>
    <row r="13894" spans="1:1" ht="14.4">
      <c r="A13894" s="11"/>
    </row>
    <row r="13895" spans="1:1" ht="14.4">
      <c r="A13895" s="11"/>
    </row>
    <row r="13896" spans="1:1" ht="14.4">
      <c r="A13896" s="11"/>
    </row>
    <row r="13897" spans="1:1" ht="14.4">
      <c r="A13897" s="11"/>
    </row>
    <row r="13898" spans="1:1" ht="14.4">
      <c r="A13898" s="11"/>
    </row>
    <row r="13899" spans="1:1" ht="14.4">
      <c r="A13899" s="11"/>
    </row>
    <row r="13900" spans="1:1" ht="14.4">
      <c r="A13900" s="11"/>
    </row>
    <row r="13901" spans="1:1" ht="14.4">
      <c r="A13901" s="11"/>
    </row>
    <row r="13902" spans="1:1" ht="14.4">
      <c r="A13902" s="11"/>
    </row>
    <row r="13903" spans="1:1" ht="14.4">
      <c r="A13903" s="11"/>
    </row>
    <row r="13904" spans="1:1" ht="14.4">
      <c r="A13904" s="11"/>
    </row>
    <row r="13905" spans="1:1" ht="14.4">
      <c r="A13905" s="11"/>
    </row>
    <row r="13906" spans="1:1" ht="14.4">
      <c r="A13906" s="11"/>
    </row>
    <row r="13907" spans="1:1" ht="14.4">
      <c r="A13907" s="11"/>
    </row>
    <row r="13908" spans="1:1" ht="14.4">
      <c r="A13908" s="11"/>
    </row>
    <row r="13909" spans="1:1" ht="14.4">
      <c r="A13909" s="11"/>
    </row>
    <row r="13910" spans="1:1" ht="14.4">
      <c r="A13910" s="11"/>
    </row>
    <row r="13911" spans="1:1" ht="14.4">
      <c r="A13911" s="11"/>
    </row>
    <row r="13912" spans="1:1" ht="14.4">
      <c r="A13912" s="11"/>
    </row>
    <row r="13913" spans="1:1" ht="14.4">
      <c r="A13913" s="11"/>
    </row>
    <row r="13914" spans="1:1" ht="14.4">
      <c r="A13914" s="11"/>
    </row>
    <row r="13915" spans="1:1" ht="14.4">
      <c r="A13915" s="11"/>
    </row>
    <row r="13916" spans="1:1" ht="14.4">
      <c r="A13916" s="11"/>
    </row>
    <row r="13917" spans="1:1" ht="14.4">
      <c r="A13917" s="11"/>
    </row>
    <row r="13918" spans="1:1" ht="14.4">
      <c r="A13918" s="11"/>
    </row>
    <row r="13919" spans="1:1" ht="14.4">
      <c r="A13919" s="11"/>
    </row>
    <row r="13920" spans="1:1" ht="14.4">
      <c r="A13920" s="11"/>
    </row>
    <row r="13921" spans="1:1" ht="14.4">
      <c r="A13921" s="11"/>
    </row>
    <row r="13922" spans="1:1" ht="14.4">
      <c r="A13922" s="11"/>
    </row>
    <row r="13923" spans="1:1" ht="14.4">
      <c r="A13923" s="11"/>
    </row>
    <row r="13924" spans="1:1" ht="14.4">
      <c r="A13924" s="11"/>
    </row>
    <row r="13925" spans="1:1" ht="14.4">
      <c r="A13925" s="11"/>
    </row>
    <row r="13926" spans="1:1" ht="14.4">
      <c r="A13926" s="11"/>
    </row>
    <row r="13927" spans="1:1" ht="14.4">
      <c r="A13927" s="11"/>
    </row>
    <row r="13928" spans="1:1" ht="14.4">
      <c r="A13928" s="11"/>
    </row>
    <row r="13929" spans="1:1" ht="14.4">
      <c r="A13929" s="11"/>
    </row>
    <row r="13930" spans="1:1" ht="14.4">
      <c r="A13930" s="11"/>
    </row>
    <row r="13931" spans="1:1" ht="14.4">
      <c r="A13931" s="11"/>
    </row>
    <row r="13932" spans="1:1" ht="14.4">
      <c r="A13932" s="11"/>
    </row>
    <row r="13933" spans="1:1" ht="14.4">
      <c r="A13933" s="11"/>
    </row>
    <row r="13934" spans="1:1" ht="14.4">
      <c r="A13934" s="11"/>
    </row>
    <row r="13935" spans="1:1" ht="14.4">
      <c r="A13935" s="11"/>
    </row>
    <row r="13936" spans="1:1" ht="14.4">
      <c r="A13936" s="11"/>
    </row>
    <row r="13937" spans="1:1" ht="14.4">
      <c r="A13937" s="11"/>
    </row>
    <row r="13938" spans="1:1" ht="14.4">
      <c r="A13938" s="11"/>
    </row>
    <row r="13939" spans="1:1" ht="14.4">
      <c r="A13939" s="11"/>
    </row>
    <row r="13940" spans="1:1" ht="14.4">
      <c r="A13940" s="11"/>
    </row>
    <row r="13941" spans="1:1" ht="14.4">
      <c r="A13941" s="11"/>
    </row>
    <row r="13942" spans="1:1" ht="14.4">
      <c r="A13942" s="11"/>
    </row>
    <row r="13943" spans="1:1" ht="14.4">
      <c r="A13943" s="11"/>
    </row>
    <row r="13944" spans="1:1" ht="14.4">
      <c r="A13944" s="11"/>
    </row>
    <row r="13945" spans="1:1" ht="14.4">
      <c r="A13945" s="11"/>
    </row>
    <row r="13946" spans="1:1" ht="14.4">
      <c r="A13946" s="11"/>
    </row>
    <row r="13947" spans="1:1" ht="14.4">
      <c r="A13947" s="11"/>
    </row>
    <row r="13948" spans="1:1" ht="14.4">
      <c r="A13948" s="11"/>
    </row>
    <row r="13949" spans="1:1" ht="14.4">
      <c r="A13949" s="11"/>
    </row>
    <row r="13950" spans="1:1" ht="14.4">
      <c r="A13950" s="11"/>
    </row>
    <row r="13951" spans="1:1" ht="14.4">
      <c r="A13951" s="11"/>
    </row>
    <row r="13952" spans="1:1" ht="14.4">
      <c r="A13952" s="11"/>
    </row>
    <row r="13953" spans="1:1" ht="14.4">
      <c r="A13953" s="11"/>
    </row>
    <row r="13954" spans="1:1" ht="14.4">
      <c r="A13954" s="11"/>
    </row>
    <row r="13955" spans="1:1" ht="14.4">
      <c r="A13955" s="11"/>
    </row>
    <row r="13956" spans="1:1" ht="14.4">
      <c r="A13956" s="11"/>
    </row>
    <row r="13957" spans="1:1" ht="14.4">
      <c r="A13957" s="11"/>
    </row>
    <row r="13958" spans="1:1" ht="14.4">
      <c r="A13958" s="11"/>
    </row>
    <row r="13959" spans="1:1" ht="14.4">
      <c r="A13959" s="11"/>
    </row>
    <row r="13960" spans="1:1" ht="14.4">
      <c r="A13960" s="11"/>
    </row>
    <row r="13961" spans="1:1" ht="14.4">
      <c r="A13961" s="11"/>
    </row>
    <row r="13962" spans="1:1" ht="14.4">
      <c r="A13962" s="11"/>
    </row>
    <row r="13963" spans="1:1" ht="14.4">
      <c r="A13963" s="11"/>
    </row>
    <row r="13964" spans="1:1" ht="14.4">
      <c r="A13964" s="11"/>
    </row>
    <row r="13965" spans="1:1" ht="14.4">
      <c r="A13965" s="11"/>
    </row>
    <row r="13966" spans="1:1" ht="14.4">
      <c r="A13966" s="11"/>
    </row>
    <row r="13967" spans="1:1" ht="14.4">
      <c r="A13967" s="11"/>
    </row>
    <row r="13968" spans="1:1" ht="14.4">
      <c r="A13968" s="11"/>
    </row>
    <row r="13969" spans="1:1" ht="14.4">
      <c r="A13969" s="11"/>
    </row>
    <row r="13970" spans="1:1" ht="14.4">
      <c r="A13970" s="11"/>
    </row>
    <row r="13971" spans="1:1" ht="14.4">
      <c r="A13971" s="11"/>
    </row>
    <row r="13972" spans="1:1" ht="14.4">
      <c r="A13972" s="11"/>
    </row>
    <row r="13973" spans="1:1" ht="14.4">
      <c r="A13973" s="11"/>
    </row>
    <row r="13974" spans="1:1" ht="14.4">
      <c r="A13974" s="11"/>
    </row>
    <row r="13975" spans="1:1" ht="14.4">
      <c r="A13975" s="11"/>
    </row>
    <row r="13976" spans="1:1" ht="14.4">
      <c r="A13976" s="11"/>
    </row>
    <row r="13977" spans="1:1" ht="14.4">
      <c r="A13977" s="11"/>
    </row>
    <row r="13978" spans="1:1" ht="14.4">
      <c r="A13978" s="11"/>
    </row>
    <row r="13979" spans="1:1" ht="14.4">
      <c r="A13979" s="11"/>
    </row>
    <row r="13980" spans="1:1" ht="14.4">
      <c r="A13980" s="11"/>
    </row>
    <row r="13981" spans="1:1" ht="14.4">
      <c r="A13981" s="11"/>
    </row>
    <row r="13982" spans="1:1" ht="14.4">
      <c r="A13982" s="11"/>
    </row>
    <row r="13983" spans="1:1" ht="14.4">
      <c r="A13983" s="11"/>
    </row>
    <row r="13984" spans="1:1" ht="14.4">
      <c r="A13984" s="11"/>
    </row>
    <row r="13985" spans="1:1" ht="14.4">
      <c r="A13985" s="11"/>
    </row>
    <row r="13986" spans="1:1" ht="14.4">
      <c r="A13986" s="11"/>
    </row>
    <row r="13987" spans="1:1" ht="14.4">
      <c r="A13987" s="11"/>
    </row>
    <row r="13988" spans="1:1" ht="14.4">
      <c r="A13988" s="11"/>
    </row>
    <row r="13989" spans="1:1" ht="14.4">
      <c r="A13989" s="11"/>
    </row>
    <row r="13990" spans="1:1" ht="14.4">
      <c r="A13990" s="11"/>
    </row>
    <row r="13991" spans="1:1" ht="14.4">
      <c r="A13991" s="11"/>
    </row>
    <row r="13992" spans="1:1" ht="14.4">
      <c r="A13992" s="11"/>
    </row>
    <row r="13993" spans="1:1" ht="14.4">
      <c r="A13993" s="11"/>
    </row>
    <row r="13994" spans="1:1" ht="14.4">
      <c r="A13994" s="11"/>
    </row>
    <row r="13995" spans="1:1" ht="14.4">
      <c r="A13995" s="11"/>
    </row>
    <row r="13996" spans="1:1" ht="14.4">
      <c r="A13996" s="11"/>
    </row>
    <row r="13997" spans="1:1" ht="14.4">
      <c r="A13997" s="11"/>
    </row>
    <row r="13998" spans="1:1" ht="14.4">
      <c r="A13998" s="11"/>
    </row>
    <row r="13999" spans="1:1" ht="14.4">
      <c r="A13999" s="11"/>
    </row>
    <row r="14000" spans="1:1" ht="14.4">
      <c r="A14000" s="11"/>
    </row>
    <row r="14001" spans="1:1" ht="14.4">
      <c r="A14001" s="11"/>
    </row>
    <row r="14002" spans="1:1" ht="14.4">
      <c r="A14002" s="11"/>
    </row>
    <row r="14003" spans="1:1" ht="14.4">
      <c r="A14003" s="11"/>
    </row>
    <row r="14004" spans="1:1" ht="14.4">
      <c r="A14004" s="11"/>
    </row>
    <row r="14005" spans="1:1" ht="14.4">
      <c r="A14005" s="11"/>
    </row>
    <row r="14006" spans="1:1" ht="14.4">
      <c r="A14006" s="11"/>
    </row>
    <row r="14007" spans="1:1" ht="14.4">
      <c r="A14007" s="11"/>
    </row>
    <row r="14008" spans="1:1" ht="14.4">
      <c r="A14008" s="11"/>
    </row>
    <row r="14009" spans="1:1" ht="14.4">
      <c r="A14009" s="11"/>
    </row>
    <row r="14010" spans="1:1" ht="14.4">
      <c r="A14010" s="11"/>
    </row>
    <row r="14011" spans="1:1" ht="14.4">
      <c r="A14011" s="11"/>
    </row>
    <row r="14012" spans="1:1" ht="14.4">
      <c r="A14012" s="11"/>
    </row>
    <row r="14013" spans="1:1" ht="14.4">
      <c r="A14013" s="11"/>
    </row>
    <row r="14014" spans="1:1" ht="14.4">
      <c r="A14014" s="11"/>
    </row>
    <row r="14015" spans="1:1" ht="14.4">
      <c r="A14015" s="11"/>
    </row>
    <row r="14016" spans="1:1" ht="14.4">
      <c r="A14016" s="11"/>
    </row>
    <row r="14017" spans="1:1" ht="14.4">
      <c r="A14017" s="11"/>
    </row>
    <row r="14018" spans="1:1" ht="14.4">
      <c r="A14018" s="11"/>
    </row>
    <row r="14019" spans="1:1" ht="14.4">
      <c r="A14019" s="11"/>
    </row>
    <row r="14020" spans="1:1" ht="14.4">
      <c r="A14020" s="11"/>
    </row>
    <row r="14021" spans="1:1" ht="14.4">
      <c r="A14021" s="11"/>
    </row>
    <row r="14022" spans="1:1" ht="14.4">
      <c r="A14022" s="11"/>
    </row>
    <row r="14023" spans="1:1" ht="14.4">
      <c r="A14023" s="11"/>
    </row>
    <row r="14024" spans="1:1" ht="14.4">
      <c r="A14024" s="11"/>
    </row>
    <row r="14025" spans="1:1" ht="14.4">
      <c r="A14025" s="11"/>
    </row>
    <row r="14026" spans="1:1" ht="14.4">
      <c r="A14026" s="11"/>
    </row>
    <row r="14027" spans="1:1" ht="14.4">
      <c r="A14027" s="11"/>
    </row>
    <row r="14028" spans="1:1" ht="14.4">
      <c r="A14028" s="11"/>
    </row>
    <row r="14029" spans="1:1" ht="14.4">
      <c r="A14029" s="11"/>
    </row>
    <row r="14030" spans="1:1" ht="14.4">
      <c r="A14030" s="11"/>
    </row>
    <row r="14031" spans="1:1" ht="14.4">
      <c r="A14031" s="11"/>
    </row>
    <row r="14032" spans="1:1" ht="14.4">
      <c r="A14032" s="11"/>
    </row>
    <row r="14033" spans="1:1" ht="14.4">
      <c r="A14033" s="11"/>
    </row>
    <row r="14034" spans="1:1" ht="14.4">
      <c r="A14034" s="11"/>
    </row>
    <row r="14035" spans="1:1" ht="14.4">
      <c r="A14035" s="11"/>
    </row>
    <row r="14036" spans="1:1" ht="14.4">
      <c r="A14036" s="11"/>
    </row>
    <row r="14037" spans="1:1" ht="14.4">
      <c r="A14037" s="11"/>
    </row>
    <row r="14038" spans="1:1" ht="14.4">
      <c r="A14038" s="11"/>
    </row>
    <row r="14039" spans="1:1" ht="14.4">
      <c r="A14039" s="11"/>
    </row>
    <row r="14040" spans="1:1" ht="14.4">
      <c r="A14040" s="11"/>
    </row>
    <row r="14041" spans="1:1" ht="14.4">
      <c r="A14041" s="11"/>
    </row>
    <row r="14042" spans="1:1" ht="14.4">
      <c r="A14042" s="11"/>
    </row>
    <row r="14043" spans="1:1" ht="14.4">
      <c r="A14043" s="11"/>
    </row>
    <row r="14044" spans="1:1" ht="14.4">
      <c r="A14044" s="11"/>
    </row>
    <row r="14045" spans="1:1" ht="14.4">
      <c r="A14045" s="11"/>
    </row>
    <row r="14046" spans="1:1" ht="14.4">
      <c r="A14046" s="11"/>
    </row>
    <row r="14047" spans="1:1" ht="14.4">
      <c r="A14047" s="11"/>
    </row>
    <row r="14048" spans="1:1" ht="14.4">
      <c r="A14048" s="11"/>
    </row>
    <row r="14049" spans="1:1" ht="14.4">
      <c r="A14049" s="11"/>
    </row>
    <row r="14050" spans="1:1" ht="14.4">
      <c r="A14050" s="11"/>
    </row>
    <row r="14051" spans="1:1" ht="14.4">
      <c r="A14051" s="11"/>
    </row>
    <row r="14052" spans="1:1" ht="14.4">
      <c r="A14052" s="11"/>
    </row>
    <row r="14053" spans="1:1" ht="14.4">
      <c r="A14053" s="11"/>
    </row>
    <row r="14054" spans="1:1" ht="14.4">
      <c r="A14054" s="11"/>
    </row>
    <row r="14055" spans="1:1" ht="14.4">
      <c r="A14055" s="11"/>
    </row>
    <row r="14056" spans="1:1" ht="14.4">
      <c r="A14056" s="11"/>
    </row>
    <row r="14057" spans="1:1" ht="14.4">
      <c r="A14057" s="11"/>
    </row>
    <row r="14058" spans="1:1" ht="14.4">
      <c r="A14058" s="11"/>
    </row>
    <row r="14059" spans="1:1" ht="14.4">
      <c r="A14059" s="11"/>
    </row>
    <row r="14060" spans="1:1" ht="14.4">
      <c r="A14060" s="11"/>
    </row>
    <row r="14061" spans="1:1" ht="14.4">
      <c r="A14061" s="11"/>
    </row>
    <row r="14062" spans="1:1" ht="14.4">
      <c r="A14062" s="11"/>
    </row>
    <row r="14063" spans="1:1" ht="14.4">
      <c r="A14063" s="11"/>
    </row>
    <row r="14064" spans="1:1" ht="14.4">
      <c r="A14064" s="11"/>
    </row>
    <row r="14065" spans="1:1" ht="14.4">
      <c r="A14065" s="11"/>
    </row>
    <row r="14066" spans="1:1" ht="14.4">
      <c r="A14066" s="11"/>
    </row>
    <row r="14067" spans="1:1" ht="14.4">
      <c r="A14067" s="11"/>
    </row>
    <row r="14068" spans="1:1" ht="14.4">
      <c r="A14068" s="11"/>
    </row>
    <row r="14069" spans="1:1" ht="14.4">
      <c r="A14069" s="11"/>
    </row>
    <row r="14070" spans="1:1" ht="14.4">
      <c r="A14070" s="11"/>
    </row>
    <row r="14071" spans="1:1" ht="14.4">
      <c r="A14071" s="11"/>
    </row>
    <row r="14072" spans="1:1" ht="14.4">
      <c r="A14072" s="11"/>
    </row>
    <row r="14073" spans="1:1" ht="14.4">
      <c r="A14073" s="11"/>
    </row>
    <row r="14074" spans="1:1" ht="14.4">
      <c r="A14074" s="11"/>
    </row>
    <row r="14075" spans="1:1" ht="14.4">
      <c r="A14075" s="11"/>
    </row>
    <row r="14076" spans="1:1" ht="14.4">
      <c r="A14076" s="11"/>
    </row>
    <row r="14077" spans="1:1" ht="14.4">
      <c r="A14077" s="11"/>
    </row>
    <row r="14078" spans="1:1" ht="14.4">
      <c r="A14078" s="11"/>
    </row>
    <row r="14079" spans="1:1" ht="14.4">
      <c r="A14079" s="11"/>
    </row>
    <row r="14080" spans="1:1" ht="14.4">
      <c r="A14080" s="11"/>
    </row>
    <row r="14081" spans="1:1" ht="14.4">
      <c r="A14081" s="11"/>
    </row>
    <row r="14082" spans="1:1" ht="14.4">
      <c r="A14082" s="11"/>
    </row>
    <row r="14083" spans="1:1" ht="14.4">
      <c r="A14083" s="11"/>
    </row>
    <row r="14084" spans="1:1" ht="14.4">
      <c r="A14084" s="11"/>
    </row>
    <row r="14085" spans="1:1" ht="14.4">
      <c r="A14085" s="11"/>
    </row>
    <row r="14086" spans="1:1" ht="14.4">
      <c r="A14086" s="11"/>
    </row>
    <row r="14087" spans="1:1" ht="14.4">
      <c r="A14087" s="11"/>
    </row>
    <row r="14088" spans="1:1" ht="14.4">
      <c r="A14088" s="11"/>
    </row>
    <row r="14089" spans="1:1" ht="14.4">
      <c r="A14089" s="11"/>
    </row>
    <row r="14090" spans="1:1" ht="14.4">
      <c r="A14090" s="11"/>
    </row>
    <row r="14091" spans="1:1" ht="14.4">
      <c r="A14091" s="11"/>
    </row>
    <row r="14092" spans="1:1" ht="14.4">
      <c r="A14092" s="11"/>
    </row>
    <row r="14093" spans="1:1" ht="14.4">
      <c r="A14093" s="11"/>
    </row>
    <row r="14094" spans="1:1" ht="14.4">
      <c r="A14094" s="11"/>
    </row>
    <row r="14095" spans="1:1" ht="14.4">
      <c r="A14095" s="11"/>
    </row>
    <row r="14096" spans="1:1" ht="14.4">
      <c r="A14096" s="11"/>
    </row>
    <row r="14097" spans="1:1" ht="14.4">
      <c r="A14097" s="11"/>
    </row>
    <row r="14098" spans="1:1" ht="14.4">
      <c r="A14098" s="11"/>
    </row>
    <row r="14099" spans="1:1" ht="14.4">
      <c r="A14099" s="11"/>
    </row>
    <row r="14100" spans="1:1" ht="14.4">
      <c r="A14100" s="11"/>
    </row>
    <row r="14101" spans="1:1" ht="14.4">
      <c r="A14101" s="11"/>
    </row>
    <row r="14102" spans="1:1" ht="14.4">
      <c r="A14102" s="11"/>
    </row>
    <row r="14103" spans="1:1" ht="14.4">
      <c r="A14103" s="11"/>
    </row>
    <row r="14104" spans="1:1" ht="14.4">
      <c r="A14104" s="11"/>
    </row>
    <row r="14105" spans="1:1" ht="14.4">
      <c r="A14105" s="11"/>
    </row>
    <row r="14106" spans="1:1" ht="14.4">
      <c r="A14106" s="11"/>
    </row>
    <row r="14107" spans="1:1" ht="14.4">
      <c r="A14107" s="11"/>
    </row>
    <row r="14108" spans="1:1" ht="14.4">
      <c r="A14108" s="11"/>
    </row>
    <row r="14109" spans="1:1" ht="14.4">
      <c r="A14109" s="11"/>
    </row>
    <row r="14110" spans="1:1" ht="14.4">
      <c r="A14110" s="11"/>
    </row>
    <row r="14111" spans="1:1" ht="14.4">
      <c r="A14111" s="11"/>
    </row>
    <row r="14112" spans="1:1" ht="14.4">
      <c r="A14112" s="11"/>
    </row>
    <row r="14113" spans="1:1" ht="14.4">
      <c r="A14113" s="11"/>
    </row>
    <row r="14114" spans="1:1" ht="14.4">
      <c r="A14114" s="11"/>
    </row>
    <row r="14115" spans="1:1" ht="14.4">
      <c r="A14115" s="11"/>
    </row>
    <row r="14116" spans="1:1" ht="14.4">
      <c r="A14116" s="11"/>
    </row>
    <row r="14117" spans="1:1" ht="14.4">
      <c r="A14117" s="11"/>
    </row>
    <row r="14118" spans="1:1" ht="14.4">
      <c r="A14118" s="11"/>
    </row>
    <row r="14119" spans="1:1" ht="14.4">
      <c r="A14119" s="11"/>
    </row>
    <row r="14120" spans="1:1" ht="14.4">
      <c r="A14120" s="11"/>
    </row>
    <row r="14121" spans="1:1" ht="14.4">
      <c r="A14121" s="11"/>
    </row>
    <row r="14122" spans="1:1" ht="14.4">
      <c r="A14122" s="11"/>
    </row>
    <row r="14123" spans="1:1" ht="14.4">
      <c r="A14123" s="11"/>
    </row>
    <row r="14124" spans="1:1" ht="14.4">
      <c r="A14124" s="11"/>
    </row>
    <row r="14125" spans="1:1" ht="14.4">
      <c r="A14125" s="11"/>
    </row>
    <row r="14126" spans="1:1" ht="14.4">
      <c r="A14126" s="11"/>
    </row>
    <row r="14127" spans="1:1" ht="14.4">
      <c r="A14127" s="11"/>
    </row>
    <row r="14128" spans="1:1" ht="14.4">
      <c r="A14128" s="11"/>
    </row>
    <row r="14129" spans="1:1" ht="14.4">
      <c r="A14129" s="11"/>
    </row>
    <row r="14130" spans="1:1" ht="14.4">
      <c r="A14130" s="11"/>
    </row>
    <row r="14131" spans="1:1" ht="14.4">
      <c r="A14131" s="11"/>
    </row>
    <row r="14132" spans="1:1" ht="14.4">
      <c r="A14132" s="11"/>
    </row>
    <row r="14133" spans="1:1" ht="14.4">
      <c r="A14133" s="11"/>
    </row>
    <row r="14134" spans="1:1" ht="14.4">
      <c r="A14134" s="11"/>
    </row>
    <row r="14135" spans="1:1" ht="14.4">
      <c r="A14135" s="11"/>
    </row>
    <row r="14136" spans="1:1" ht="14.4">
      <c r="A14136" s="11"/>
    </row>
    <row r="14137" spans="1:1" ht="14.4">
      <c r="A14137" s="11"/>
    </row>
    <row r="14138" spans="1:1" ht="14.4">
      <c r="A14138" s="11"/>
    </row>
    <row r="14139" spans="1:1" ht="14.4">
      <c r="A14139" s="11"/>
    </row>
    <row r="14140" spans="1:1" ht="14.4">
      <c r="A14140" s="11"/>
    </row>
    <row r="14141" spans="1:1" ht="14.4">
      <c r="A14141" s="11"/>
    </row>
    <row r="14142" spans="1:1" ht="14.4">
      <c r="A14142" s="11"/>
    </row>
    <row r="14143" spans="1:1" ht="14.4">
      <c r="A14143" s="11"/>
    </row>
    <row r="14144" spans="1:1" ht="14.4">
      <c r="A14144" s="11"/>
    </row>
    <row r="14145" spans="1:1" ht="14.4">
      <c r="A14145" s="11"/>
    </row>
    <row r="14146" spans="1:1" ht="14.4">
      <c r="A14146" s="11"/>
    </row>
    <row r="14147" spans="1:1" ht="14.4">
      <c r="A14147" s="11"/>
    </row>
    <row r="14148" spans="1:1" ht="14.4">
      <c r="A14148" s="11"/>
    </row>
    <row r="14149" spans="1:1" ht="14.4">
      <c r="A14149" s="11"/>
    </row>
    <row r="14150" spans="1:1" ht="14.4">
      <c r="A14150" s="11"/>
    </row>
    <row r="14151" spans="1:1" ht="14.4">
      <c r="A14151" s="11"/>
    </row>
    <row r="14152" spans="1:1" ht="14.4">
      <c r="A14152" s="11"/>
    </row>
    <row r="14153" spans="1:1" ht="14.4">
      <c r="A14153" s="11"/>
    </row>
    <row r="14154" spans="1:1" ht="14.4">
      <c r="A14154" s="11"/>
    </row>
    <row r="14155" spans="1:1" ht="14.4">
      <c r="A14155" s="11"/>
    </row>
    <row r="14156" spans="1:1" ht="14.4">
      <c r="A14156" s="11"/>
    </row>
    <row r="14157" spans="1:1" ht="14.4">
      <c r="A14157" s="11"/>
    </row>
    <row r="14158" spans="1:1" ht="14.4">
      <c r="A14158" s="11"/>
    </row>
    <row r="14159" spans="1:1" ht="14.4">
      <c r="A14159" s="11"/>
    </row>
    <row r="14160" spans="1:1" ht="14.4">
      <c r="A14160" s="11"/>
    </row>
    <row r="14161" spans="1:1" ht="14.4">
      <c r="A14161" s="11"/>
    </row>
    <row r="14162" spans="1:1" ht="14.4">
      <c r="A14162" s="11"/>
    </row>
    <row r="14163" spans="1:1" ht="14.4">
      <c r="A14163" s="11"/>
    </row>
    <row r="14164" spans="1:1" ht="14.4">
      <c r="A14164" s="11"/>
    </row>
    <row r="14165" spans="1:1" ht="14.4">
      <c r="A14165" s="11"/>
    </row>
    <row r="14166" spans="1:1" ht="14.4">
      <c r="A14166" s="11"/>
    </row>
    <row r="14167" spans="1:1" ht="14.4">
      <c r="A14167" s="11"/>
    </row>
    <row r="14168" spans="1:1" ht="14.4">
      <c r="A14168" s="11"/>
    </row>
    <row r="14169" spans="1:1" ht="14.4">
      <c r="A14169" s="11"/>
    </row>
    <row r="14170" spans="1:1" ht="14.4">
      <c r="A14170" s="11"/>
    </row>
    <row r="14171" spans="1:1" ht="14.4">
      <c r="A14171" s="11"/>
    </row>
    <row r="14172" spans="1:1" ht="14.4">
      <c r="A14172" s="11"/>
    </row>
    <row r="14173" spans="1:1" ht="14.4">
      <c r="A14173" s="11"/>
    </row>
    <row r="14174" spans="1:1" ht="14.4">
      <c r="A14174" s="11"/>
    </row>
    <row r="14175" spans="1:1" ht="14.4">
      <c r="A14175" s="11"/>
    </row>
    <row r="14176" spans="1:1" ht="14.4">
      <c r="A14176" s="11"/>
    </row>
    <row r="14177" spans="1:1" ht="14.4">
      <c r="A14177" s="11"/>
    </row>
    <row r="14178" spans="1:1" ht="14.4">
      <c r="A14178" s="11"/>
    </row>
    <row r="14179" spans="1:1" ht="14.4">
      <c r="A14179" s="11"/>
    </row>
    <row r="14180" spans="1:1" ht="14.4">
      <c r="A14180" s="11"/>
    </row>
    <row r="14181" spans="1:1" ht="14.4">
      <c r="A14181" s="11"/>
    </row>
    <row r="14182" spans="1:1" ht="14.4">
      <c r="A14182" s="11"/>
    </row>
    <row r="14183" spans="1:1" ht="14.4">
      <c r="A14183" s="11"/>
    </row>
    <row r="14184" spans="1:1" ht="14.4">
      <c r="A14184" s="11"/>
    </row>
    <row r="14185" spans="1:1" ht="14.4">
      <c r="A14185" s="11"/>
    </row>
    <row r="14186" spans="1:1" ht="14.4">
      <c r="A14186" s="11"/>
    </row>
    <row r="14187" spans="1:1" ht="14.4">
      <c r="A14187" s="11"/>
    </row>
    <row r="14188" spans="1:1" ht="14.4">
      <c r="A14188" s="11"/>
    </row>
    <row r="14189" spans="1:1" ht="14.4">
      <c r="A14189" s="11"/>
    </row>
    <row r="14190" spans="1:1" ht="14.4">
      <c r="A14190" s="11"/>
    </row>
    <row r="14191" spans="1:1" ht="14.4">
      <c r="A14191" s="11"/>
    </row>
    <row r="14192" spans="1:1" ht="14.4">
      <c r="A14192" s="11"/>
    </row>
    <row r="14193" spans="1:1" ht="14.4">
      <c r="A14193" s="11"/>
    </row>
    <row r="14194" spans="1:1" ht="14.4">
      <c r="A14194" s="11"/>
    </row>
    <row r="14195" spans="1:1" ht="14.4">
      <c r="A14195" s="11"/>
    </row>
    <row r="14196" spans="1:1" ht="14.4">
      <c r="A14196" s="11"/>
    </row>
    <row r="14197" spans="1:1" ht="14.4">
      <c r="A14197" s="11"/>
    </row>
    <row r="14198" spans="1:1" ht="14.4">
      <c r="A14198" s="11"/>
    </row>
    <row r="14199" spans="1:1" ht="14.4">
      <c r="A14199" s="11"/>
    </row>
    <row r="14200" spans="1:1" ht="14.4">
      <c r="A14200" s="11"/>
    </row>
    <row r="14201" spans="1:1" ht="14.4">
      <c r="A14201" s="11"/>
    </row>
    <row r="14202" spans="1:1" ht="14.4">
      <c r="A14202" s="11"/>
    </row>
    <row r="14203" spans="1:1" ht="14.4">
      <c r="A14203" s="11"/>
    </row>
    <row r="14204" spans="1:1" ht="14.4">
      <c r="A14204" s="11"/>
    </row>
    <row r="14205" spans="1:1" ht="14.4">
      <c r="A14205" s="11"/>
    </row>
    <row r="14206" spans="1:1" ht="14.4">
      <c r="A14206" s="11"/>
    </row>
    <row r="14207" spans="1:1" ht="14.4">
      <c r="A14207" s="11"/>
    </row>
    <row r="14208" spans="1:1" ht="14.4">
      <c r="A14208" s="11"/>
    </row>
    <row r="14209" spans="1:1" ht="14.4">
      <c r="A14209" s="11"/>
    </row>
    <row r="14210" spans="1:1" ht="14.4">
      <c r="A14210" s="11"/>
    </row>
    <row r="14211" spans="1:1" ht="14.4">
      <c r="A14211" s="11"/>
    </row>
    <row r="14212" spans="1:1" ht="14.4">
      <c r="A14212" s="11"/>
    </row>
    <row r="14213" spans="1:1" ht="14.4">
      <c r="A14213" s="11"/>
    </row>
    <row r="14214" spans="1:1" ht="14.4">
      <c r="A14214" s="11"/>
    </row>
    <row r="14215" spans="1:1" ht="14.4">
      <c r="A14215" s="11"/>
    </row>
    <row r="14216" spans="1:1" ht="14.4">
      <c r="A14216" s="11"/>
    </row>
    <row r="14217" spans="1:1" ht="14.4">
      <c r="A14217" s="11"/>
    </row>
    <row r="14218" spans="1:1" ht="14.4">
      <c r="A14218" s="11"/>
    </row>
    <row r="14219" spans="1:1" ht="14.4">
      <c r="A14219" s="11"/>
    </row>
    <row r="14220" spans="1:1" ht="14.4">
      <c r="A14220" s="11"/>
    </row>
    <row r="14221" spans="1:1" ht="14.4">
      <c r="A14221" s="11"/>
    </row>
    <row r="14222" spans="1:1" ht="14.4">
      <c r="A14222" s="11"/>
    </row>
    <row r="14223" spans="1:1" ht="14.4">
      <c r="A14223" s="11"/>
    </row>
    <row r="14224" spans="1:1" ht="14.4">
      <c r="A14224" s="11"/>
    </row>
    <row r="14225" spans="1:1" ht="14.4">
      <c r="A14225" s="11"/>
    </row>
    <row r="14226" spans="1:1" ht="14.4">
      <c r="A14226" s="11"/>
    </row>
    <row r="14227" spans="1:1" ht="14.4">
      <c r="A14227" s="11"/>
    </row>
    <row r="14228" spans="1:1" ht="14.4">
      <c r="A14228" s="11"/>
    </row>
    <row r="14229" spans="1:1" ht="14.4">
      <c r="A14229" s="11"/>
    </row>
    <row r="14230" spans="1:1" ht="14.4">
      <c r="A14230" s="11"/>
    </row>
    <row r="14231" spans="1:1" ht="14.4">
      <c r="A14231" s="11"/>
    </row>
    <row r="14232" spans="1:1" ht="14.4">
      <c r="A14232" s="11"/>
    </row>
    <row r="14233" spans="1:1" ht="14.4">
      <c r="A14233" s="11"/>
    </row>
    <row r="14234" spans="1:1" ht="14.4">
      <c r="A14234" s="11"/>
    </row>
    <row r="14235" spans="1:1" ht="14.4">
      <c r="A14235" s="11"/>
    </row>
    <row r="14236" spans="1:1" ht="14.4">
      <c r="A14236" s="11"/>
    </row>
    <row r="14237" spans="1:1" ht="14.4">
      <c r="A14237" s="11"/>
    </row>
    <row r="14238" spans="1:1" ht="14.4">
      <c r="A14238" s="11"/>
    </row>
    <row r="14239" spans="1:1" ht="14.4">
      <c r="A14239" s="11"/>
    </row>
    <row r="14240" spans="1:1" ht="14.4">
      <c r="A14240" s="11"/>
    </row>
    <row r="14241" spans="1:1" ht="14.4">
      <c r="A14241" s="11"/>
    </row>
    <row r="14242" spans="1:1" ht="14.4">
      <c r="A14242" s="11"/>
    </row>
    <row r="14243" spans="1:1" ht="14.4">
      <c r="A14243" s="11"/>
    </row>
    <row r="14244" spans="1:1" ht="14.4">
      <c r="A14244" s="11"/>
    </row>
    <row r="14245" spans="1:1" ht="14.4">
      <c r="A14245" s="11"/>
    </row>
    <row r="14246" spans="1:1" ht="14.4">
      <c r="A14246" s="11"/>
    </row>
    <row r="14247" spans="1:1" ht="14.4">
      <c r="A14247" s="11"/>
    </row>
    <row r="14248" spans="1:1" ht="14.4">
      <c r="A14248" s="11"/>
    </row>
    <row r="14249" spans="1:1" ht="14.4">
      <c r="A14249" s="11"/>
    </row>
    <row r="14250" spans="1:1" ht="14.4">
      <c r="A14250" s="11"/>
    </row>
    <row r="14251" spans="1:1" ht="14.4">
      <c r="A14251" s="11"/>
    </row>
    <row r="14252" spans="1:1" ht="14.4">
      <c r="A14252" s="11"/>
    </row>
    <row r="14253" spans="1:1" ht="14.4">
      <c r="A14253" s="11"/>
    </row>
    <row r="14254" spans="1:1" ht="14.4">
      <c r="A14254" s="11"/>
    </row>
    <row r="14255" spans="1:1" ht="14.4">
      <c r="A14255" s="11"/>
    </row>
    <row r="14256" spans="1:1" ht="14.4">
      <c r="A14256" s="11"/>
    </row>
    <row r="14257" spans="1:1" ht="14.4">
      <c r="A14257" s="11"/>
    </row>
    <row r="14258" spans="1:1" ht="14.4">
      <c r="A14258" s="11"/>
    </row>
    <row r="14259" spans="1:1" ht="14.4">
      <c r="A14259" s="11"/>
    </row>
    <row r="14260" spans="1:1" ht="14.4">
      <c r="A14260" s="11"/>
    </row>
    <row r="14261" spans="1:1" ht="14.4">
      <c r="A14261" s="11"/>
    </row>
    <row r="14262" spans="1:1" ht="14.4">
      <c r="A14262" s="11"/>
    </row>
    <row r="14263" spans="1:1" ht="14.4">
      <c r="A14263" s="11"/>
    </row>
    <row r="14264" spans="1:1" ht="14.4">
      <c r="A14264" s="11"/>
    </row>
    <row r="14265" spans="1:1" ht="14.4">
      <c r="A14265" s="11"/>
    </row>
    <row r="14266" spans="1:1" ht="14.4">
      <c r="A14266" s="11"/>
    </row>
    <row r="14267" spans="1:1" ht="14.4">
      <c r="A14267" s="11"/>
    </row>
    <row r="14268" spans="1:1" ht="14.4">
      <c r="A14268" s="11"/>
    </row>
    <row r="14269" spans="1:1" ht="14.4">
      <c r="A14269" s="11"/>
    </row>
    <row r="14270" spans="1:1" ht="14.4">
      <c r="A14270" s="11"/>
    </row>
    <row r="14271" spans="1:1" ht="14.4">
      <c r="A14271" s="11"/>
    </row>
    <row r="14272" spans="1:1" ht="14.4">
      <c r="A14272" s="11"/>
    </row>
    <row r="14273" spans="1:1" ht="14.4">
      <c r="A14273" s="11"/>
    </row>
    <row r="14274" spans="1:1" ht="14.4">
      <c r="A14274" s="11"/>
    </row>
    <row r="14275" spans="1:1" ht="14.4">
      <c r="A14275" s="11"/>
    </row>
    <row r="14276" spans="1:1" ht="14.4">
      <c r="A14276" s="11"/>
    </row>
    <row r="14277" spans="1:1" ht="14.4">
      <c r="A14277" s="11"/>
    </row>
    <row r="14278" spans="1:1" ht="14.4">
      <c r="A14278" s="11"/>
    </row>
    <row r="14279" spans="1:1" ht="14.4">
      <c r="A14279" s="11"/>
    </row>
    <row r="14280" spans="1:1" ht="14.4">
      <c r="A14280" s="11"/>
    </row>
    <row r="14281" spans="1:1" ht="14.4">
      <c r="A14281" s="11"/>
    </row>
    <row r="14282" spans="1:1" ht="14.4">
      <c r="A14282" s="11"/>
    </row>
    <row r="14283" spans="1:1" ht="14.4">
      <c r="A14283" s="11"/>
    </row>
    <row r="14284" spans="1:1" ht="14.4">
      <c r="A14284" s="11"/>
    </row>
    <row r="14285" spans="1:1" ht="14.4">
      <c r="A14285" s="11"/>
    </row>
    <row r="14286" spans="1:1" ht="14.4">
      <c r="A14286" s="11"/>
    </row>
    <row r="14287" spans="1:1" ht="14.4">
      <c r="A14287" s="11"/>
    </row>
    <row r="14288" spans="1:1" ht="14.4">
      <c r="A14288" s="11"/>
    </row>
    <row r="14289" spans="1:1" ht="14.4">
      <c r="A14289" s="11"/>
    </row>
    <row r="14290" spans="1:1" ht="14.4">
      <c r="A14290" s="11"/>
    </row>
    <row r="14291" spans="1:1" ht="14.4">
      <c r="A14291" s="11"/>
    </row>
    <row r="14292" spans="1:1" ht="14.4">
      <c r="A14292" s="11"/>
    </row>
    <row r="14293" spans="1:1" ht="14.4">
      <c r="A14293" s="11"/>
    </row>
    <row r="14294" spans="1:1" ht="14.4">
      <c r="A14294" s="11"/>
    </row>
    <row r="14295" spans="1:1" ht="14.4">
      <c r="A14295" s="11"/>
    </row>
    <row r="14296" spans="1:1" ht="14.4">
      <c r="A14296" s="11"/>
    </row>
    <row r="14297" spans="1:1" ht="14.4">
      <c r="A14297" s="11"/>
    </row>
    <row r="14298" spans="1:1" ht="14.4">
      <c r="A14298" s="11"/>
    </row>
    <row r="14299" spans="1:1" ht="14.4">
      <c r="A14299" s="11"/>
    </row>
    <row r="14300" spans="1:1" ht="14.4">
      <c r="A14300" s="11"/>
    </row>
    <row r="14301" spans="1:1" ht="14.4">
      <c r="A14301" s="11"/>
    </row>
    <row r="14302" spans="1:1" ht="14.4">
      <c r="A14302" s="11"/>
    </row>
    <row r="14303" spans="1:1" ht="14.4">
      <c r="A14303" s="11"/>
    </row>
    <row r="14304" spans="1:1" ht="14.4">
      <c r="A14304" s="11"/>
    </row>
    <row r="14305" spans="1:1" ht="14.4">
      <c r="A14305" s="11"/>
    </row>
    <row r="14306" spans="1:1" ht="14.4">
      <c r="A14306" s="11"/>
    </row>
    <row r="14307" spans="1:1" ht="14.4">
      <c r="A14307" s="11"/>
    </row>
    <row r="14308" spans="1:1" ht="14.4">
      <c r="A14308" s="11"/>
    </row>
    <row r="14309" spans="1:1" ht="14.4">
      <c r="A14309" s="11"/>
    </row>
    <row r="14310" spans="1:1" ht="14.4">
      <c r="A14310" s="11"/>
    </row>
    <row r="14311" spans="1:1" ht="14.4">
      <c r="A14311" s="11"/>
    </row>
    <row r="14312" spans="1:1" ht="14.4">
      <c r="A14312" s="11"/>
    </row>
    <row r="14313" spans="1:1" ht="14.4">
      <c r="A14313" s="11"/>
    </row>
    <row r="14314" spans="1:1" ht="14.4">
      <c r="A14314" s="11"/>
    </row>
    <row r="14315" spans="1:1" ht="14.4">
      <c r="A14315" s="11"/>
    </row>
    <row r="14316" spans="1:1" ht="14.4">
      <c r="A14316" s="11"/>
    </row>
    <row r="14317" spans="1:1" ht="14.4">
      <c r="A14317" s="11"/>
    </row>
    <row r="14318" spans="1:1" ht="14.4">
      <c r="A14318" s="11"/>
    </row>
    <row r="14319" spans="1:1" ht="14.4">
      <c r="A14319" s="11"/>
    </row>
    <row r="14320" spans="1:1" ht="14.4">
      <c r="A14320" s="11"/>
    </row>
    <row r="14321" spans="1:1" ht="14.4">
      <c r="A14321" s="11"/>
    </row>
    <row r="14322" spans="1:1" ht="14.4">
      <c r="A14322" s="11"/>
    </row>
    <row r="14323" spans="1:1" ht="14.4">
      <c r="A14323" s="11"/>
    </row>
    <row r="14324" spans="1:1" ht="14.4">
      <c r="A14324" s="11"/>
    </row>
    <row r="14325" spans="1:1" ht="14.4">
      <c r="A14325" s="11"/>
    </row>
    <row r="14326" spans="1:1" ht="14.4">
      <c r="A14326" s="11"/>
    </row>
    <row r="14327" spans="1:1" ht="14.4">
      <c r="A14327" s="11"/>
    </row>
    <row r="14328" spans="1:1" ht="14.4">
      <c r="A14328" s="11"/>
    </row>
    <row r="14329" spans="1:1" ht="14.4">
      <c r="A14329" s="11"/>
    </row>
    <row r="14330" spans="1:1" ht="14.4">
      <c r="A14330" s="11"/>
    </row>
    <row r="14331" spans="1:1" ht="14.4">
      <c r="A14331" s="11"/>
    </row>
    <row r="14332" spans="1:1" ht="14.4">
      <c r="A14332" s="11"/>
    </row>
    <row r="14333" spans="1:1" ht="14.4">
      <c r="A14333" s="11"/>
    </row>
    <row r="14334" spans="1:1" ht="14.4">
      <c r="A14334" s="11"/>
    </row>
    <row r="14335" spans="1:1" ht="14.4">
      <c r="A14335" s="11"/>
    </row>
    <row r="14336" spans="1:1" ht="14.4">
      <c r="A14336" s="11"/>
    </row>
    <row r="14337" spans="1:1" ht="14.4">
      <c r="A14337" s="11"/>
    </row>
    <row r="14338" spans="1:1" ht="14.4">
      <c r="A14338" s="11"/>
    </row>
    <row r="14339" spans="1:1" ht="14.4">
      <c r="A14339" s="11"/>
    </row>
    <row r="14340" spans="1:1" ht="14.4">
      <c r="A14340" s="11"/>
    </row>
    <row r="14341" spans="1:1" ht="14.4">
      <c r="A14341" s="11"/>
    </row>
    <row r="14342" spans="1:1" ht="14.4">
      <c r="A14342" s="11"/>
    </row>
    <row r="14343" spans="1:1" ht="14.4">
      <c r="A14343" s="11"/>
    </row>
    <row r="14344" spans="1:1" ht="14.4">
      <c r="A14344" s="11"/>
    </row>
    <row r="14345" spans="1:1" ht="14.4">
      <c r="A14345" s="11"/>
    </row>
    <row r="14346" spans="1:1" ht="14.4">
      <c r="A14346" s="11"/>
    </row>
    <row r="14347" spans="1:1" ht="14.4">
      <c r="A14347" s="11"/>
    </row>
    <row r="14348" spans="1:1" ht="14.4">
      <c r="A14348" s="11"/>
    </row>
    <row r="14349" spans="1:1" ht="14.4">
      <c r="A14349" s="11"/>
    </row>
    <row r="14350" spans="1:1" ht="14.4">
      <c r="A14350" s="11"/>
    </row>
    <row r="14351" spans="1:1" ht="14.4">
      <c r="A14351" s="11"/>
    </row>
    <row r="14352" spans="1:1" ht="14.4">
      <c r="A14352" s="11"/>
    </row>
    <row r="14353" spans="1:1" ht="14.4">
      <c r="A14353" s="11"/>
    </row>
    <row r="14354" spans="1:1" ht="14.4">
      <c r="A14354" s="11"/>
    </row>
    <row r="14355" spans="1:1" ht="14.4">
      <c r="A14355" s="11"/>
    </row>
    <row r="14356" spans="1:1" ht="14.4">
      <c r="A14356" s="11"/>
    </row>
    <row r="14357" spans="1:1" ht="14.4">
      <c r="A14357" s="11"/>
    </row>
    <row r="14358" spans="1:1" ht="14.4">
      <c r="A14358" s="11"/>
    </row>
    <row r="14359" spans="1:1" ht="14.4">
      <c r="A14359" s="11"/>
    </row>
    <row r="14360" spans="1:1" ht="14.4">
      <c r="A14360" s="11"/>
    </row>
    <row r="14361" spans="1:1" ht="14.4">
      <c r="A14361" s="11"/>
    </row>
    <row r="14362" spans="1:1" ht="14.4">
      <c r="A14362" s="11"/>
    </row>
    <row r="14363" spans="1:1" ht="14.4">
      <c r="A14363" s="11"/>
    </row>
    <row r="14364" spans="1:1" ht="14.4">
      <c r="A14364" s="11"/>
    </row>
    <row r="14365" spans="1:1" ht="14.4">
      <c r="A14365" s="11"/>
    </row>
    <row r="14366" spans="1:1" ht="14.4">
      <c r="A14366" s="11"/>
    </row>
    <row r="14367" spans="1:1" ht="14.4">
      <c r="A14367" s="11"/>
    </row>
    <row r="14368" spans="1:1" ht="14.4">
      <c r="A14368" s="11"/>
    </row>
    <row r="14369" spans="1:1" ht="14.4">
      <c r="A14369" s="11"/>
    </row>
    <row r="14370" spans="1:1" ht="14.4">
      <c r="A14370" s="11"/>
    </row>
    <row r="14371" spans="1:1" ht="14.4">
      <c r="A14371" s="11"/>
    </row>
    <row r="14372" spans="1:1" ht="14.4">
      <c r="A14372" s="11"/>
    </row>
    <row r="14373" spans="1:1" ht="14.4">
      <c r="A14373" s="11"/>
    </row>
    <row r="14374" spans="1:1" ht="14.4">
      <c r="A14374" s="11"/>
    </row>
    <row r="14375" spans="1:1" ht="14.4">
      <c r="A14375" s="11"/>
    </row>
    <row r="14376" spans="1:1" ht="14.4">
      <c r="A14376" s="11"/>
    </row>
    <row r="14377" spans="1:1" ht="14.4">
      <c r="A14377" s="11"/>
    </row>
    <row r="14378" spans="1:1" ht="14.4">
      <c r="A14378" s="11"/>
    </row>
    <row r="14379" spans="1:1" ht="14.4">
      <c r="A14379" s="11"/>
    </row>
    <row r="14380" spans="1:1" ht="14.4">
      <c r="A14380" s="11"/>
    </row>
    <row r="14381" spans="1:1" ht="14.4">
      <c r="A14381" s="11"/>
    </row>
    <row r="14382" spans="1:1" ht="14.4">
      <c r="A14382" s="11"/>
    </row>
    <row r="14383" spans="1:1" ht="14.4">
      <c r="A14383" s="11"/>
    </row>
    <row r="14384" spans="1:1" ht="14.4">
      <c r="A14384" s="11"/>
    </row>
    <row r="14385" spans="1:1" ht="14.4">
      <c r="A14385" s="11"/>
    </row>
    <row r="14386" spans="1:1" ht="14.4">
      <c r="A14386" s="11"/>
    </row>
    <row r="14387" spans="1:1" ht="14.4">
      <c r="A14387" s="11"/>
    </row>
    <row r="14388" spans="1:1" ht="14.4">
      <c r="A14388" s="11"/>
    </row>
    <row r="14389" spans="1:1" ht="14.4">
      <c r="A14389" s="11"/>
    </row>
    <row r="14390" spans="1:1" ht="14.4">
      <c r="A14390" s="11"/>
    </row>
    <row r="14391" spans="1:1" ht="14.4">
      <c r="A14391" s="11"/>
    </row>
    <row r="14392" spans="1:1" ht="14.4">
      <c r="A14392" s="11"/>
    </row>
    <row r="14393" spans="1:1" ht="14.4">
      <c r="A14393" s="11"/>
    </row>
    <row r="14394" spans="1:1" ht="14.4">
      <c r="A14394" s="11"/>
    </row>
    <row r="14395" spans="1:1" ht="14.4">
      <c r="A14395" s="11"/>
    </row>
    <row r="14396" spans="1:1" ht="14.4">
      <c r="A14396" s="11"/>
    </row>
    <row r="14397" spans="1:1" ht="14.4">
      <c r="A14397" s="11"/>
    </row>
    <row r="14398" spans="1:1" ht="14.4">
      <c r="A14398" s="11"/>
    </row>
    <row r="14399" spans="1:1" ht="14.4">
      <c r="A14399" s="11"/>
    </row>
    <row r="14400" spans="1:1" ht="14.4">
      <c r="A14400" s="11"/>
    </row>
    <row r="14401" spans="1:1" ht="14.4">
      <c r="A14401" s="11"/>
    </row>
    <row r="14402" spans="1:1" ht="14.4">
      <c r="A14402" s="11"/>
    </row>
    <row r="14403" spans="1:1" ht="14.4">
      <c r="A14403" s="11"/>
    </row>
    <row r="14404" spans="1:1" ht="14.4">
      <c r="A14404" s="11"/>
    </row>
    <row r="14405" spans="1:1" ht="14.4">
      <c r="A14405" s="11"/>
    </row>
    <row r="14406" spans="1:1" ht="14.4">
      <c r="A14406" s="11"/>
    </row>
    <row r="14407" spans="1:1" ht="14.4">
      <c r="A14407" s="11"/>
    </row>
    <row r="14408" spans="1:1" ht="14.4">
      <c r="A14408" s="11"/>
    </row>
    <row r="14409" spans="1:1" ht="14.4">
      <c r="A14409" s="11"/>
    </row>
    <row r="14410" spans="1:1" ht="14.4">
      <c r="A14410" s="11"/>
    </row>
    <row r="14411" spans="1:1" ht="14.4">
      <c r="A14411" s="11"/>
    </row>
    <row r="14412" spans="1:1" ht="14.4">
      <c r="A14412" s="11"/>
    </row>
    <row r="14413" spans="1:1" ht="14.4">
      <c r="A14413" s="11"/>
    </row>
    <row r="14414" spans="1:1" ht="14.4">
      <c r="A14414" s="11"/>
    </row>
    <row r="14415" spans="1:1" ht="14.4">
      <c r="A14415" s="11"/>
    </row>
    <row r="14416" spans="1:1" ht="14.4">
      <c r="A14416" s="11"/>
    </row>
    <row r="14417" spans="1:1" ht="14.4">
      <c r="A14417" s="11"/>
    </row>
    <row r="14418" spans="1:1" ht="14.4">
      <c r="A14418" s="11"/>
    </row>
    <row r="14419" spans="1:1" ht="14.4">
      <c r="A14419" s="11"/>
    </row>
    <row r="14420" spans="1:1" ht="14.4">
      <c r="A14420" s="11"/>
    </row>
    <row r="14421" spans="1:1" ht="14.4">
      <c r="A14421" s="11"/>
    </row>
    <row r="14422" spans="1:1" ht="14.4">
      <c r="A14422" s="11"/>
    </row>
    <row r="14423" spans="1:1" ht="14.4">
      <c r="A14423" s="11"/>
    </row>
    <row r="14424" spans="1:1" ht="14.4">
      <c r="A14424" s="11"/>
    </row>
    <row r="14425" spans="1:1" ht="14.4">
      <c r="A14425" s="11"/>
    </row>
    <row r="14426" spans="1:1" ht="14.4">
      <c r="A14426" s="11"/>
    </row>
    <row r="14427" spans="1:1" ht="14.4">
      <c r="A14427" s="11"/>
    </row>
    <row r="14428" spans="1:1" ht="14.4">
      <c r="A14428" s="11"/>
    </row>
    <row r="14429" spans="1:1" ht="14.4">
      <c r="A14429" s="11"/>
    </row>
    <row r="14430" spans="1:1" ht="14.4">
      <c r="A14430" s="11"/>
    </row>
    <row r="14431" spans="1:1" ht="14.4">
      <c r="A14431" s="11"/>
    </row>
    <row r="14432" spans="1:1" ht="14.4">
      <c r="A14432" s="11"/>
    </row>
    <row r="14433" spans="1:1" ht="14.4">
      <c r="A14433" s="11"/>
    </row>
    <row r="14434" spans="1:1" ht="14.4">
      <c r="A14434" s="11"/>
    </row>
    <row r="14435" spans="1:1" ht="14.4">
      <c r="A14435" s="11"/>
    </row>
    <row r="14436" spans="1:1" ht="14.4">
      <c r="A14436" s="11"/>
    </row>
    <row r="14437" spans="1:1" ht="14.4">
      <c r="A14437" s="11"/>
    </row>
    <row r="14438" spans="1:1" ht="14.4">
      <c r="A14438" s="11"/>
    </row>
    <row r="14439" spans="1:1" ht="14.4">
      <c r="A14439" s="11"/>
    </row>
    <row r="14440" spans="1:1" ht="14.4">
      <c r="A14440" s="11"/>
    </row>
    <row r="14441" spans="1:1" ht="14.4">
      <c r="A14441" s="11"/>
    </row>
    <row r="14442" spans="1:1" ht="14.4">
      <c r="A14442" s="11"/>
    </row>
    <row r="14443" spans="1:1" ht="14.4">
      <c r="A14443" s="11"/>
    </row>
    <row r="14444" spans="1:1" ht="14.4">
      <c r="A14444" s="11"/>
    </row>
    <row r="14445" spans="1:1" ht="14.4">
      <c r="A14445" s="11"/>
    </row>
    <row r="14446" spans="1:1" ht="14.4">
      <c r="A14446" s="11"/>
    </row>
    <row r="14447" spans="1:1" ht="14.4">
      <c r="A14447" s="11"/>
    </row>
    <row r="14448" spans="1:1" ht="14.4">
      <c r="A14448" s="11"/>
    </row>
    <row r="14449" spans="1:1" ht="14.4">
      <c r="A14449" s="11"/>
    </row>
    <row r="14450" spans="1:1" ht="14.4">
      <c r="A14450" s="11"/>
    </row>
    <row r="14451" spans="1:1" ht="14.4">
      <c r="A14451" s="11"/>
    </row>
    <row r="14452" spans="1:1" ht="14.4">
      <c r="A14452" s="11"/>
    </row>
    <row r="14453" spans="1:1" ht="14.4">
      <c r="A14453" s="11"/>
    </row>
    <row r="14454" spans="1:1" ht="14.4">
      <c r="A14454" s="11"/>
    </row>
    <row r="14455" spans="1:1" ht="14.4">
      <c r="A14455" s="11"/>
    </row>
    <row r="14456" spans="1:1" ht="14.4">
      <c r="A14456" s="11"/>
    </row>
    <row r="14457" spans="1:1" ht="14.4">
      <c r="A14457" s="11"/>
    </row>
    <row r="14458" spans="1:1" ht="14.4">
      <c r="A14458" s="11"/>
    </row>
    <row r="14459" spans="1:1" ht="14.4">
      <c r="A14459" s="11"/>
    </row>
    <row r="14460" spans="1:1" ht="14.4">
      <c r="A14460" s="11"/>
    </row>
    <row r="14461" spans="1:1" ht="14.4">
      <c r="A14461" s="11"/>
    </row>
    <row r="14462" spans="1:1" ht="14.4">
      <c r="A14462" s="11"/>
    </row>
    <row r="14463" spans="1:1" ht="14.4">
      <c r="A14463" s="11"/>
    </row>
    <row r="14464" spans="1:1" ht="14.4">
      <c r="A14464" s="11"/>
    </row>
    <row r="14465" spans="1:1" ht="14.4">
      <c r="A14465" s="11"/>
    </row>
    <row r="14466" spans="1:1" ht="14.4">
      <c r="A14466" s="11"/>
    </row>
    <row r="14467" spans="1:1" ht="14.4">
      <c r="A14467" s="11"/>
    </row>
    <row r="14468" spans="1:1" ht="14.4">
      <c r="A14468" s="11"/>
    </row>
    <row r="14469" spans="1:1" ht="14.4">
      <c r="A14469" s="11"/>
    </row>
    <row r="14470" spans="1:1" ht="14.4">
      <c r="A14470" s="11"/>
    </row>
    <row r="14471" spans="1:1" ht="14.4">
      <c r="A14471" s="11"/>
    </row>
    <row r="14472" spans="1:1" ht="14.4">
      <c r="A14472" s="11"/>
    </row>
    <row r="14473" spans="1:1" ht="14.4">
      <c r="A14473" s="11"/>
    </row>
    <row r="14474" spans="1:1" ht="14.4">
      <c r="A14474" s="11"/>
    </row>
    <row r="14475" spans="1:1" ht="14.4">
      <c r="A14475" s="11"/>
    </row>
    <row r="14476" spans="1:1" ht="14.4">
      <c r="A14476" s="11"/>
    </row>
    <row r="14477" spans="1:1" ht="14.4">
      <c r="A14477" s="11"/>
    </row>
    <row r="14478" spans="1:1" ht="14.4">
      <c r="A14478" s="11"/>
    </row>
    <row r="14479" spans="1:1" ht="14.4">
      <c r="A14479" s="11"/>
    </row>
    <row r="14480" spans="1:1" ht="14.4">
      <c r="A14480" s="11"/>
    </row>
    <row r="14481" spans="1:1" ht="14.4">
      <c r="A14481" s="11"/>
    </row>
    <row r="14482" spans="1:1" ht="14.4">
      <c r="A14482" s="11"/>
    </row>
    <row r="14483" spans="1:1" ht="14.4">
      <c r="A14483" s="11"/>
    </row>
    <row r="14484" spans="1:1" ht="14.4">
      <c r="A14484" s="11"/>
    </row>
    <row r="14485" spans="1:1" ht="14.4">
      <c r="A14485" s="11"/>
    </row>
    <row r="14486" spans="1:1" ht="14.4">
      <c r="A14486" s="11"/>
    </row>
    <row r="14487" spans="1:1" ht="14.4">
      <c r="A14487" s="11"/>
    </row>
    <row r="14488" spans="1:1" ht="14.4">
      <c r="A14488" s="11"/>
    </row>
    <row r="14489" spans="1:1" ht="14.4">
      <c r="A14489" s="11"/>
    </row>
    <row r="14490" spans="1:1" ht="14.4">
      <c r="A14490" s="11"/>
    </row>
    <row r="14491" spans="1:1" ht="14.4">
      <c r="A14491" s="11"/>
    </row>
    <row r="14492" spans="1:1" ht="14.4">
      <c r="A14492" s="11"/>
    </row>
    <row r="14493" spans="1:1" ht="14.4">
      <c r="A14493" s="11"/>
    </row>
    <row r="14494" spans="1:1" ht="14.4">
      <c r="A14494" s="11"/>
    </row>
    <row r="14495" spans="1:1" ht="14.4">
      <c r="A14495" s="11"/>
    </row>
    <row r="14496" spans="1:1" ht="14.4">
      <c r="A14496" s="11"/>
    </row>
    <row r="14497" spans="1:1" ht="14.4">
      <c r="A14497" s="11"/>
    </row>
    <row r="14498" spans="1:1" ht="14.4">
      <c r="A14498" s="11"/>
    </row>
    <row r="14499" spans="1:1" ht="14.4">
      <c r="A14499" s="11"/>
    </row>
    <row r="14500" spans="1:1" ht="14.4">
      <c r="A14500" s="11"/>
    </row>
    <row r="14501" spans="1:1" ht="14.4">
      <c r="A14501" s="11"/>
    </row>
    <row r="14502" spans="1:1" ht="14.4">
      <c r="A14502" s="11"/>
    </row>
    <row r="14503" spans="1:1" ht="14.4">
      <c r="A14503" s="11"/>
    </row>
    <row r="14504" spans="1:1" ht="14.4">
      <c r="A14504" s="11"/>
    </row>
    <row r="14505" spans="1:1" ht="14.4">
      <c r="A14505" s="11"/>
    </row>
    <row r="14506" spans="1:1" ht="14.4">
      <c r="A14506" s="11"/>
    </row>
    <row r="14507" spans="1:1" ht="14.4">
      <c r="A14507" s="11"/>
    </row>
    <row r="14508" spans="1:1" ht="14.4">
      <c r="A14508" s="11"/>
    </row>
    <row r="14509" spans="1:1" ht="14.4">
      <c r="A14509" s="11"/>
    </row>
    <row r="14510" spans="1:1" ht="14.4">
      <c r="A14510" s="11"/>
    </row>
    <row r="14511" spans="1:1" ht="14.4">
      <c r="A14511" s="11"/>
    </row>
    <row r="14512" spans="1:1" ht="14.4">
      <c r="A14512" s="11"/>
    </row>
    <row r="14513" spans="1:1" ht="14.4">
      <c r="A14513" s="11"/>
    </row>
    <row r="14514" spans="1:1" ht="14.4">
      <c r="A14514" s="11"/>
    </row>
    <row r="14515" spans="1:1" ht="14.4">
      <c r="A14515" s="11"/>
    </row>
    <row r="14516" spans="1:1" ht="14.4">
      <c r="A14516" s="11"/>
    </row>
    <row r="14517" spans="1:1" ht="14.4">
      <c r="A14517" s="11"/>
    </row>
    <row r="14518" spans="1:1" ht="14.4">
      <c r="A14518" s="11"/>
    </row>
    <row r="14519" spans="1:1" ht="14.4">
      <c r="A14519" s="11"/>
    </row>
    <row r="14520" spans="1:1" ht="14.4">
      <c r="A14520" s="11"/>
    </row>
    <row r="14521" spans="1:1" ht="14.4">
      <c r="A14521" s="11"/>
    </row>
    <row r="14522" spans="1:1" ht="14.4">
      <c r="A14522" s="11"/>
    </row>
    <row r="14523" spans="1:1" ht="14.4">
      <c r="A14523" s="11"/>
    </row>
    <row r="14524" spans="1:1" ht="14.4">
      <c r="A14524" s="11"/>
    </row>
    <row r="14525" spans="1:1" ht="14.4">
      <c r="A14525" s="11"/>
    </row>
    <row r="14526" spans="1:1" ht="14.4">
      <c r="A14526" s="11"/>
    </row>
    <row r="14527" spans="1:1" ht="14.4">
      <c r="A14527" s="11"/>
    </row>
    <row r="14528" spans="1:1" ht="14.4">
      <c r="A14528" s="11"/>
    </row>
    <row r="14529" spans="1:1" ht="14.4">
      <c r="A14529" s="11"/>
    </row>
    <row r="14530" spans="1:1" ht="14.4">
      <c r="A14530" s="11"/>
    </row>
    <row r="14531" spans="1:1" ht="14.4">
      <c r="A14531" s="11"/>
    </row>
    <row r="14532" spans="1:1" ht="14.4">
      <c r="A14532" s="11"/>
    </row>
    <row r="14533" spans="1:1" ht="14.4">
      <c r="A14533" s="11"/>
    </row>
    <row r="14534" spans="1:1" ht="14.4">
      <c r="A14534" s="11"/>
    </row>
    <row r="14535" spans="1:1" ht="14.4">
      <c r="A14535" s="11"/>
    </row>
    <row r="14536" spans="1:1" ht="14.4">
      <c r="A14536" s="11"/>
    </row>
    <row r="14537" spans="1:1" ht="14.4">
      <c r="A14537" s="11"/>
    </row>
    <row r="14538" spans="1:1" ht="14.4">
      <c r="A14538" s="11"/>
    </row>
    <row r="14539" spans="1:1" ht="14.4">
      <c r="A14539" s="11"/>
    </row>
    <row r="14540" spans="1:1" ht="14.4">
      <c r="A14540" s="11"/>
    </row>
    <row r="14541" spans="1:1" ht="14.4">
      <c r="A14541" s="11"/>
    </row>
    <row r="14542" spans="1:1" ht="14.4">
      <c r="A14542" s="11"/>
    </row>
    <row r="14543" spans="1:1" ht="14.4">
      <c r="A14543" s="11"/>
    </row>
    <row r="14544" spans="1:1" ht="14.4">
      <c r="A14544" s="11"/>
    </row>
    <row r="14545" spans="1:1" ht="14.4">
      <c r="A14545" s="11"/>
    </row>
    <row r="14546" spans="1:1" ht="14.4">
      <c r="A14546" s="11"/>
    </row>
    <row r="14547" spans="1:1" ht="14.4">
      <c r="A14547" s="11"/>
    </row>
    <row r="14548" spans="1:1" ht="14.4">
      <c r="A14548" s="11"/>
    </row>
    <row r="14549" spans="1:1" ht="14.4">
      <c r="A14549" s="11"/>
    </row>
    <row r="14550" spans="1:1" ht="14.4">
      <c r="A14550" s="11"/>
    </row>
    <row r="14551" spans="1:1" ht="14.4">
      <c r="A14551" s="11"/>
    </row>
    <row r="14552" spans="1:1" ht="14.4">
      <c r="A14552" s="11"/>
    </row>
    <row r="14553" spans="1:1" ht="14.4">
      <c r="A14553" s="11"/>
    </row>
    <row r="14554" spans="1:1" ht="14.4">
      <c r="A14554" s="11"/>
    </row>
    <row r="14555" spans="1:1" ht="14.4">
      <c r="A14555" s="11"/>
    </row>
    <row r="14556" spans="1:1" ht="14.4">
      <c r="A14556" s="11"/>
    </row>
    <row r="14557" spans="1:1" ht="14.4">
      <c r="A14557" s="11"/>
    </row>
    <row r="14558" spans="1:1" ht="14.4">
      <c r="A14558" s="11"/>
    </row>
    <row r="14559" spans="1:1" ht="14.4">
      <c r="A14559" s="11"/>
    </row>
    <row r="14560" spans="1:1" ht="14.4">
      <c r="A14560" s="11"/>
    </row>
    <row r="14561" spans="1:1" ht="14.4">
      <c r="A14561" s="11"/>
    </row>
    <row r="14562" spans="1:1" ht="14.4">
      <c r="A14562" s="11"/>
    </row>
    <row r="14563" spans="1:1" ht="14.4">
      <c r="A14563" s="11"/>
    </row>
    <row r="14564" spans="1:1" ht="14.4">
      <c r="A14564" s="11"/>
    </row>
    <row r="14565" spans="1:1" ht="14.4">
      <c r="A14565" s="11"/>
    </row>
    <row r="14566" spans="1:1" ht="14.4">
      <c r="A14566" s="11"/>
    </row>
    <row r="14567" spans="1:1" ht="14.4">
      <c r="A14567" s="11"/>
    </row>
    <row r="14568" spans="1:1" ht="14.4">
      <c r="A14568" s="11"/>
    </row>
    <row r="14569" spans="1:1" ht="14.4">
      <c r="A14569" s="11"/>
    </row>
    <row r="14570" spans="1:1" ht="14.4">
      <c r="A14570" s="11"/>
    </row>
    <row r="14571" spans="1:1" ht="14.4">
      <c r="A14571" s="11"/>
    </row>
    <row r="14572" spans="1:1" ht="14.4">
      <c r="A14572" s="11"/>
    </row>
    <row r="14573" spans="1:1" ht="14.4">
      <c r="A14573" s="11"/>
    </row>
    <row r="14574" spans="1:1" ht="14.4">
      <c r="A14574" s="11"/>
    </row>
    <row r="14575" spans="1:1" ht="14.4">
      <c r="A14575" s="11"/>
    </row>
    <row r="14576" spans="1:1" ht="14.4">
      <c r="A14576" s="11"/>
    </row>
    <row r="14577" spans="1:1" ht="14.4">
      <c r="A14577" s="11"/>
    </row>
    <row r="14578" spans="1:1" ht="14.4">
      <c r="A14578" s="11"/>
    </row>
    <row r="14579" spans="1:1" ht="14.4">
      <c r="A14579" s="11"/>
    </row>
    <row r="14580" spans="1:1" ht="14.4">
      <c r="A14580" s="11"/>
    </row>
    <row r="14581" spans="1:1" ht="14.4">
      <c r="A14581" s="11"/>
    </row>
    <row r="14582" spans="1:1" ht="14.4">
      <c r="A14582" s="11"/>
    </row>
    <row r="14583" spans="1:1" ht="14.4">
      <c r="A14583" s="11"/>
    </row>
    <row r="14584" spans="1:1" ht="14.4">
      <c r="A14584" s="11"/>
    </row>
    <row r="14585" spans="1:1" ht="14.4">
      <c r="A14585" s="11"/>
    </row>
    <row r="14586" spans="1:1" ht="14.4">
      <c r="A14586" s="11"/>
    </row>
    <row r="14587" spans="1:1" ht="14.4">
      <c r="A14587" s="11"/>
    </row>
    <row r="14588" spans="1:1" ht="14.4">
      <c r="A14588" s="11"/>
    </row>
    <row r="14589" spans="1:1" ht="14.4">
      <c r="A14589" s="11"/>
    </row>
    <row r="14590" spans="1:1" ht="14.4">
      <c r="A14590" s="11"/>
    </row>
    <row r="14591" spans="1:1" ht="14.4">
      <c r="A14591" s="11"/>
    </row>
    <row r="14592" spans="1:1" ht="14.4">
      <c r="A14592" s="11"/>
    </row>
    <row r="14593" spans="1:1" ht="14.4">
      <c r="A14593" s="11"/>
    </row>
    <row r="14594" spans="1:1" ht="14.4">
      <c r="A14594" s="11"/>
    </row>
    <row r="14595" spans="1:1" ht="14.4">
      <c r="A14595" s="11"/>
    </row>
    <row r="14596" spans="1:1" ht="14.4">
      <c r="A14596" s="11"/>
    </row>
    <row r="14597" spans="1:1" ht="14.4">
      <c r="A14597" s="11"/>
    </row>
    <row r="14598" spans="1:1" ht="14.4">
      <c r="A14598" s="11"/>
    </row>
    <row r="14599" spans="1:1" ht="14.4">
      <c r="A14599" s="11"/>
    </row>
    <row r="14600" spans="1:1" ht="14.4">
      <c r="A14600" s="11"/>
    </row>
    <row r="14601" spans="1:1" ht="14.4">
      <c r="A14601" s="11"/>
    </row>
    <row r="14602" spans="1:1" ht="14.4">
      <c r="A14602" s="11"/>
    </row>
    <row r="14603" spans="1:1" ht="14.4">
      <c r="A14603" s="11"/>
    </row>
    <row r="14604" spans="1:1" ht="14.4">
      <c r="A14604" s="11"/>
    </row>
    <row r="14605" spans="1:1" ht="14.4">
      <c r="A14605" s="11"/>
    </row>
    <row r="14606" spans="1:1" ht="14.4">
      <c r="A14606" s="11"/>
    </row>
    <row r="14607" spans="1:1" ht="14.4">
      <c r="A14607" s="11"/>
    </row>
    <row r="14608" spans="1:1" ht="14.4">
      <c r="A14608" s="11"/>
    </row>
    <row r="14609" spans="1:1" ht="14.4">
      <c r="A14609" s="11"/>
    </row>
    <row r="14610" spans="1:1" ht="14.4">
      <c r="A14610" s="11"/>
    </row>
    <row r="14611" spans="1:1" ht="14.4">
      <c r="A14611" s="11"/>
    </row>
    <row r="14612" spans="1:1" ht="14.4">
      <c r="A14612" s="11"/>
    </row>
    <row r="14613" spans="1:1" ht="14.4">
      <c r="A14613" s="11"/>
    </row>
    <row r="14614" spans="1:1" ht="14.4">
      <c r="A14614" s="11"/>
    </row>
    <row r="14615" spans="1:1" ht="14.4">
      <c r="A14615" s="11"/>
    </row>
    <row r="14616" spans="1:1" ht="14.4">
      <c r="A14616" s="11"/>
    </row>
    <row r="14617" spans="1:1" ht="14.4">
      <c r="A14617" s="11"/>
    </row>
    <row r="14618" spans="1:1" ht="14.4">
      <c r="A14618" s="11"/>
    </row>
    <row r="14619" spans="1:1" ht="14.4">
      <c r="A14619" s="11"/>
    </row>
    <row r="14620" spans="1:1" ht="14.4">
      <c r="A14620" s="11"/>
    </row>
    <row r="14621" spans="1:1" ht="14.4">
      <c r="A14621" s="11"/>
    </row>
    <row r="14622" spans="1:1" ht="14.4">
      <c r="A14622" s="11"/>
    </row>
    <row r="14623" spans="1:1" ht="14.4">
      <c r="A14623" s="11"/>
    </row>
    <row r="14624" spans="1:1" ht="14.4">
      <c r="A14624" s="11"/>
    </row>
    <row r="14625" spans="1:1" ht="14.4">
      <c r="A14625" s="11"/>
    </row>
    <row r="14626" spans="1:1" ht="14.4">
      <c r="A14626" s="11"/>
    </row>
    <row r="14627" spans="1:1" ht="14.4">
      <c r="A14627" s="11"/>
    </row>
    <row r="14628" spans="1:1" ht="14.4">
      <c r="A14628" s="11"/>
    </row>
    <row r="14629" spans="1:1" ht="14.4">
      <c r="A14629" s="11"/>
    </row>
    <row r="14630" spans="1:1" ht="14.4">
      <c r="A14630" s="11"/>
    </row>
    <row r="14631" spans="1:1" ht="14.4">
      <c r="A14631" s="11"/>
    </row>
    <row r="14632" spans="1:1" ht="14.4">
      <c r="A14632" s="11"/>
    </row>
    <row r="14633" spans="1:1" ht="14.4">
      <c r="A14633" s="11"/>
    </row>
    <row r="14634" spans="1:1" ht="14.4">
      <c r="A14634" s="11"/>
    </row>
    <row r="14635" spans="1:1" ht="14.4">
      <c r="A14635" s="11"/>
    </row>
    <row r="14636" spans="1:1" ht="14.4">
      <c r="A14636" s="11"/>
    </row>
    <row r="14637" spans="1:1" ht="14.4">
      <c r="A14637" s="11"/>
    </row>
    <row r="14638" spans="1:1" ht="14.4">
      <c r="A14638" s="11"/>
    </row>
    <row r="14639" spans="1:1" ht="14.4">
      <c r="A14639" s="11"/>
    </row>
    <row r="14640" spans="1:1" ht="14.4">
      <c r="A14640" s="11"/>
    </row>
    <row r="14641" spans="1:1" ht="14.4">
      <c r="A14641" s="11"/>
    </row>
    <row r="14642" spans="1:1" ht="14.4">
      <c r="A14642" s="11"/>
    </row>
    <row r="14643" spans="1:1" ht="14.4">
      <c r="A14643" s="11"/>
    </row>
    <row r="14644" spans="1:1" ht="14.4">
      <c r="A14644" s="11"/>
    </row>
    <row r="14645" spans="1:1" ht="14.4">
      <c r="A14645" s="11"/>
    </row>
    <row r="14646" spans="1:1" ht="14.4">
      <c r="A14646" s="11"/>
    </row>
    <row r="14647" spans="1:1" ht="14.4">
      <c r="A14647" s="11"/>
    </row>
    <row r="14648" spans="1:1" ht="14.4">
      <c r="A14648" s="11"/>
    </row>
    <row r="14649" spans="1:1" ht="14.4">
      <c r="A14649" s="11"/>
    </row>
    <row r="14650" spans="1:1" ht="14.4">
      <c r="A14650" s="11"/>
    </row>
    <row r="14651" spans="1:1" ht="14.4">
      <c r="A14651" s="11"/>
    </row>
    <row r="14652" spans="1:1" ht="14.4">
      <c r="A14652" s="11"/>
    </row>
    <row r="14653" spans="1:1" ht="14.4">
      <c r="A14653" s="11"/>
    </row>
    <row r="14654" spans="1:1" ht="14.4">
      <c r="A14654" s="11"/>
    </row>
    <row r="14655" spans="1:1" ht="14.4">
      <c r="A14655" s="11"/>
    </row>
    <row r="14656" spans="1:1" ht="14.4">
      <c r="A14656" s="11"/>
    </row>
    <row r="14657" spans="1:1" ht="14.4">
      <c r="A14657" s="11"/>
    </row>
    <row r="14658" spans="1:1" ht="14.4">
      <c r="A14658" s="11"/>
    </row>
    <row r="14659" spans="1:1" ht="14.4">
      <c r="A14659" s="11"/>
    </row>
    <row r="14660" spans="1:1" ht="14.4">
      <c r="A14660" s="11"/>
    </row>
    <row r="14661" spans="1:1" ht="14.4">
      <c r="A14661" s="11"/>
    </row>
    <row r="14662" spans="1:1" ht="14.4">
      <c r="A14662" s="11"/>
    </row>
    <row r="14663" spans="1:1" ht="14.4">
      <c r="A14663" s="11"/>
    </row>
    <row r="14664" spans="1:1" ht="14.4">
      <c r="A14664" s="11"/>
    </row>
    <row r="14665" spans="1:1" ht="14.4">
      <c r="A14665" s="11"/>
    </row>
    <row r="14666" spans="1:1" ht="14.4">
      <c r="A14666" s="11"/>
    </row>
    <row r="14667" spans="1:1" ht="14.4">
      <c r="A14667" s="11"/>
    </row>
    <row r="14668" spans="1:1" ht="14.4">
      <c r="A14668" s="11"/>
    </row>
    <row r="14669" spans="1:1" ht="14.4">
      <c r="A14669" s="11"/>
    </row>
    <row r="14670" spans="1:1" ht="14.4">
      <c r="A14670" s="11"/>
    </row>
    <row r="14671" spans="1:1" ht="14.4">
      <c r="A14671" s="11"/>
    </row>
    <row r="14672" spans="1:1" ht="14.4">
      <c r="A14672" s="11"/>
    </row>
    <row r="14673" spans="1:1" ht="14.4">
      <c r="A14673" s="11"/>
    </row>
    <row r="14674" spans="1:1" ht="14.4">
      <c r="A14674" s="11"/>
    </row>
    <row r="14675" spans="1:1" ht="14.4">
      <c r="A14675" s="11"/>
    </row>
    <row r="14676" spans="1:1" ht="14.4">
      <c r="A14676" s="11"/>
    </row>
    <row r="14677" spans="1:1" ht="14.4">
      <c r="A14677" s="11"/>
    </row>
    <row r="14678" spans="1:1" ht="14.4">
      <c r="A14678" s="11"/>
    </row>
    <row r="14679" spans="1:1" ht="14.4">
      <c r="A14679" s="11"/>
    </row>
    <row r="14680" spans="1:1" ht="14.4">
      <c r="A14680" s="11"/>
    </row>
    <row r="14681" spans="1:1" ht="14.4">
      <c r="A14681" s="11"/>
    </row>
    <row r="14682" spans="1:1" ht="14.4">
      <c r="A14682" s="11"/>
    </row>
    <row r="14683" spans="1:1" ht="14.4">
      <c r="A14683" s="11"/>
    </row>
    <row r="14684" spans="1:1" ht="14.4">
      <c r="A14684" s="11"/>
    </row>
    <row r="14685" spans="1:1" ht="14.4">
      <c r="A14685" s="11"/>
    </row>
    <row r="14686" spans="1:1" ht="14.4">
      <c r="A14686" s="11"/>
    </row>
    <row r="14687" spans="1:1" ht="14.4">
      <c r="A14687" s="11"/>
    </row>
    <row r="14688" spans="1:1" ht="14.4">
      <c r="A14688" s="11"/>
    </row>
    <row r="14689" spans="1:1" ht="14.4">
      <c r="A14689" s="11"/>
    </row>
    <row r="14690" spans="1:1" ht="14.4">
      <c r="A14690" s="11"/>
    </row>
    <row r="14691" spans="1:1" ht="14.4">
      <c r="A14691" s="11"/>
    </row>
    <row r="14692" spans="1:1" ht="14.4">
      <c r="A14692" s="11"/>
    </row>
    <row r="14693" spans="1:1" ht="14.4">
      <c r="A14693" s="11"/>
    </row>
    <row r="14694" spans="1:1" ht="14.4">
      <c r="A14694" s="11"/>
    </row>
    <row r="14695" spans="1:1" ht="14.4">
      <c r="A14695" s="11"/>
    </row>
    <row r="14696" spans="1:1" ht="14.4">
      <c r="A14696" s="11"/>
    </row>
    <row r="14697" spans="1:1" ht="14.4">
      <c r="A14697" s="11"/>
    </row>
    <row r="14698" spans="1:1" ht="14.4">
      <c r="A14698" s="11"/>
    </row>
    <row r="14699" spans="1:1" ht="14.4">
      <c r="A14699" s="11"/>
    </row>
    <row r="14700" spans="1:1" ht="14.4">
      <c r="A14700" s="11"/>
    </row>
    <row r="14701" spans="1:1" ht="14.4">
      <c r="A14701" s="11"/>
    </row>
    <row r="14702" spans="1:1" ht="14.4">
      <c r="A14702" s="11"/>
    </row>
    <row r="14703" spans="1:1" ht="14.4">
      <c r="A14703" s="11"/>
    </row>
    <row r="14704" spans="1:1" ht="14.4">
      <c r="A14704" s="11"/>
    </row>
    <row r="14705" spans="1:1" ht="14.4">
      <c r="A14705" s="11"/>
    </row>
    <row r="14706" spans="1:1" ht="14.4">
      <c r="A14706" s="11"/>
    </row>
    <row r="14707" spans="1:1" ht="14.4">
      <c r="A14707" s="11"/>
    </row>
    <row r="14708" spans="1:1" ht="14.4">
      <c r="A14708" s="11"/>
    </row>
    <row r="14709" spans="1:1" ht="14.4">
      <c r="A14709" s="11"/>
    </row>
    <row r="14710" spans="1:1" ht="14.4">
      <c r="A14710" s="11"/>
    </row>
    <row r="14711" spans="1:1" ht="14.4">
      <c r="A14711" s="11"/>
    </row>
    <row r="14712" spans="1:1" ht="14.4">
      <c r="A14712" s="11"/>
    </row>
    <row r="14713" spans="1:1" ht="14.4">
      <c r="A14713" s="11"/>
    </row>
    <row r="14714" spans="1:1" ht="14.4">
      <c r="A14714" s="11"/>
    </row>
    <row r="14715" spans="1:1" ht="14.4">
      <c r="A14715" s="11"/>
    </row>
    <row r="14716" spans="1:1" ht="14.4">
      <c r="A14716" s="11"/>
    </row>
    <row r="14717" spans="1:1" ht="14.4">
      <c r="A14717" s="11"/>
    </row>
    <row r="14718" spans="1:1" ht="14.4">
      <c r="A14718" s="11"/>
    </row>
    <row r="14719" spans="1:1" ht="14.4">
      <c r="A14719" s="11"/>
    </row>
    <row r="14720" spans="1:1" ht="14.4">
      <c r="A14720" s="11"/>
    </row>
    <row r="14721" spans="1:1" ht="14.4">
      <c r="A14721" s="11"/>
    </row>
    <row r="14722" spans="1:1" ht="14.4">
      <c r="A14722" s="11"/>
    </row>
    <row r="14723" spans="1:1" ht="14.4">
      <c r="A14723" s="11"/>
    </row>
    <row r="14724" spans="1:1" ht="14.4">
      <c r="A14724" s="11"/>
    </row>
    <row r="14725" spans="1:1" ht="14.4">
      <c r="A14725" s="11"/>
    </row>
    <row r="14726" spans="1:1" ht="14.4">
      <c r="A14726" s="11"/>
    </row>
    <row r="14727" spans="1:1" ht="14.4">
      <c r="A14727" s="11"/>
    </row>
    <row r="14728" spans="1:1" ht="14.4">
      <c r="A14728" s="11"/>
    </row>
    <row r="14729" spans="1:1" ht="14.4">
      <c r="A14729" s="11"/>
    </row>
    <row r="14730" spans="1:1" ht="14.4">
      <c r="A14730" s="11"/>
    </row>
    <row r="14731" spans="1:1" ht="14.4">
      <c r="A14731" s="11"/>
    </row>
    <row r="14732" spans="1:1" ht="14.4">
      <c r="A14732" s="11"/>
    </row>
    <row r="14733" spans="1:1" ht="14.4">
      <c r="A14733" s="11"/>
    </row>
    <row r="14734" spans="1:1" ht="14.4">
      <c r="A14734" s="11"/>
    </row>
    <row r="14735" spans="1:1" ht="14.4">
      <c r="A14735" s="11"/>
    </row>
    <row r="14736" spans="1:1" ht="14.4">
      <c r="A14736" s="11"/>
    </row>
    <row r="14737" spans="1:1" ht="14.4">
      <c r="A14737" s="11"/>
    </row>
    <row r="14738" spans="1:1" ht="14.4">
      <c r="A14738" s="11"/>
    </row>
    <row r="14739" spans="1:1" ht="14.4">
      <c r="A14739" s="11"/>
    </row>
    <row r="14740" spans="1:1" ht="14.4">
      <c r="A14740" s="11"/>
    </row>
    <row r="14741" spans="1:1" ht="14.4">
      <c r="A14741" s="11"/>
    </row>
    <row r="14742" spans="1:1" ht="14.4">
      <c r="A14742" s="11"/>
    </row>
    <row r="14743" spans="1:1" ht="14.4">
      <c r="A14743" s="11"/>
    </row>
    <row r="14744" spans="1:1" ht="14.4">
      <c r="A14744" s="11"/>
    </row>
    <row r="14745" spans="1:1" ht="14.4">
      <c r="A14745" s="11"/>
    </row>
    <row r="14746" spans="1:1" ht="14.4">
      <c r="A14746" s="11"/>
    </row>
    <row r="14747" spans="1:1" ht="14.4">
      <c r="A14747" s="11"/>
    </row>
    <row r="14748" spans="1:1" ht="14.4">
      <c r="A14748" s="11"/>
    </row>
    <row r="14749" spans="1:1" ht="14.4">
      <c r="A14749" s="11"/>
    </row>
    <row r="14750" spans="1:1" ht="14.4">
      <c r="A14750" s="11"/>
    </row>
    <row r="14751" spans="1:1" ht="14.4">
      <c r="A14751" s="11"/>
    </row>
    <row r="14752" spans="1:1" ht="14.4">
      <c r="A14752" s="11"/>
    </row>
    <row r="14753" spans="1:1" ht="14.4">
      <c r="A14753" s="11"/>
    </row>
    <row r="14754" spans="1:1" ht="14.4">
      <c r="A14754" s="11"/>
    </row>
    <row r="14755" spans="1:1" ht="14.4">
      <c r="A14755" s="11"/>
    </row>
    <row r="14756" spans="1:1" ht="14.4">
      <c r="A14756" s="11"/>
    </row>
    <row r="14757" spans="1:1" ht="14.4">
      <c r="A14757" s="11"/>
    </row>
    <row r="14758" spans="1:1" ht="14.4">
      <c r="A14758" s="11"/>
    </row>
    <row r="14759" spans="1:1" ht="14.4">
      <c r="A14759" s="11"/>
    </row>
    <row r="14760" spans="1:1" ht="14.4">
      <c r="A14760" s="11"/>
    </row>
    <row r="14761" spans="1:1" ht="14.4">
      <c r="A14761" s="11"/>
    </row>
    <row r="14762" spans="1:1" ht="14.4">
      <c r="A14762" s="11"/>
    </row>
    <row r="14763" spans="1:1" ht="14.4">
      <c r="A14763" s="11"/>
    </row>
    <row r="14764" spans="1:1" ht="14.4">
      <c r="A14764" s="11"/>
    </row>
    <row r="14765" spans="1:1" ht="14.4">
      <c r="A14765" s="11"/>
    </row>
    <row r="14766" spans="1:1" ht="14.4">
      <c r="A14766" s="11"/>
    </row>
    <row r="14767" spans="1:1" ht="14.4">
      <c r="A14767" s="11"/>
    </row>
    <row r="14768" spans="1:1" ht="14.4">
      <c r="A14768" s="11"/>
    </row>
    <row r="14769" spans="1:1" ht="14.4">
      <c r="A14769" s="11"/>
    </row>
    <row r="14770" spans="1:1" ht="14.4">
      <c r="A14770" s="11"/>
    </row>
    <row r="14771" spans="1:1" ht="14.4">
      <c r="A14771" s="11"/>
    </row>
    <row r="14772" spans="1:1" ht="14.4">
      <c r="A14772" s="11"/>
    </row>
    <row r="14773" spans="1:1" ht="14.4">
      <c r="A14773" s="11"/>
    </row>
    <row r="14774" spans="1:1" ht="14.4">
      <c r="A14774" s="11"/>
    </row>
    <row r="14775" spans="1:1" ht="14.4">
      <c r="A14775" s="11"/>
    </row>
    <row r="14776" spans="1:1" ht="14.4">
      <c r="A14776" s="11"/>
    </row>
    <row r="14777" spans="1:1" ht="14.4">
      <c r="A14777" s="11"/>
    </row>
    <row r="14778" spans="1:1" ht="14.4">
      <c r="A14778" s="11"/>
    </row>
    <row r="14779" spans="1:1" ht="14.4">
      <c r="A14779" s="11"/>
    </row>
    <row r="14780" spans="1:1" ht="14.4">
      <c r="A14780" s="11"/>
    </row>
    <row r="14781" spans="1:1" ht="14.4">
      <c r="A14781" s="11"/>
    </row>
    <row r="14782" spans="1:1" ht="14.4">
      <c r="A14782" s="11"/>
    </row>
    <row r="14783" spans="1:1" ht="14.4">
      <c r="A14783" s="11"/>
    </row>
    <row r="14784" spans="1:1" ht="14.4">
      <c r="A14784" s="11"/>
    </row>
    <row r="14785" spans="1:1" ht="14.4">
      <c r="A14785" s="11"/>
    </row>
    <row r="14786" spans="1:1" ht="14.4">
      <c r="A14786" s="11"/>
    </row>
    <row r="14787" spans="1:1" ht="14.4">
      <c r="A14787" s="11"/>
    </row>
    <row r="14788" spans="1:1" ht="14.4">
      <c r="A14788" s="11"/>
    </row>
    <row r="14789" spans="1:1" ht="14.4">
      <c r="A14789" s="11"/>
    </row>
    <row r="14790" spans="1:1" ht="14.4">
      <c r="A14790" s="11"/>
    </row>
    <row r="14791" spans="1:1" ht="14.4">
      <c r="A14791" s="11"/>
    </row>
    <row r="14792" spans="1:1" ht="14.4">
      <c r="A14792" s="11"/>
    </row>
    <row r="14793" spans="1:1" ht="14.4">
      <c r="A14793" s="11"/>
    </row>
    <row r="14794" spans="1:1" ht="14.4">
      <c r="A14794" s="11"/>
    </row>
    <row r="14795" spans="1:1" ht="14.4">
      <c r="A14795" s="11"/>
    </row>
    <row r="14796" spans="1:1" ht="14.4">
      <c r="A14796" s="11"/>
    </row>
    <row r="14797" spans="1:1" ht="14.4">
      <c r="A14797" s="11"/>
    </row>
    <row r="14798" spans="1:1" ht="14.4">
      <c r="A14798" s="11"/>
    </row>
    <row r="14799" spans="1:1" ht="14.4">
      <c r="A14799" s="11"/>
    </row>
    <row r="14800" spans="1:1" ht="14.4">
      <c r="A14800" s="11"/>
    </row>
    <row r="14801" spans="1:1" ht="14.4">
      <c r="A14801" s="11"/>
    </row>
    <row r="14802" spans="1:1" ht="14.4">
      <c r="A14802" s="11"/>
    </row>
    <row r="14803" spans="1:1" ht="14.4">
      <c r="A14803" s="11"/>
    </row>
    <row r="14804" spans="1:1" ht="14.4">
      <c r="A14804" s="11"/>
    </row>
    <row r="14805" spans="1:1" ht="14.4">
      <c r="A14805" s="11"/>
    </row>
    <row r="14806" spans="1:1" ht="14.4">
      <c r="A14806" s="11"/>
    </row>
    <row r="14807" spans="1:1" ht="14.4">
      <c r="A14807" s="11"/>
    </row>
    <row r="14808" spans="1:1" ht="14.4">
      <c r="A14808" s="11"/>
    </row>
    <row r="14809" spans="1:1" ht="14.4">
      <c r="A14809" s="11"/>
    </row>
    <row r="14810" spans="1:1" ht="14.4">
      <c r="A14810" s="11"/>
    </row>
    <row r="14811" spans="1:1" ht="14.4">
      <c r="A14811" s="11"/>
    </row>
    <row r="14812" spans="1:1" ht="14.4">
      <c r="A14812" s="11"/>
    </row>
    <row r="14813" spans="1:1" ht="14.4">
      <c r="A14813" s="11"/>
    </row>
    <row r="14814" spans="1:1" ht="14.4">
      <c r="A14814" s="11"/>
    </row>
    <row r="14815" spans="1:1" ht="14.4">
      <c r="A14815" s="11"/>
    </row>
    <row r="14816" spans="1:1" ht="14.4">
      <c r="A14816" s="11"/>
    </row>
    <row r="14817" spans="1:1" ht="14.4">
      <c r="A14817" s="11"/>
    </row>
    <row r="14818" spans="1:1" ht="14.4">
      <c r="A14818" s="11"/>
    </row>
    <row r="14819" spans="1:1" ht="14.4">
      <c r="A14819" s="11"/>
    </row>
    <row r="14820" spans="1:1" ht="14.4">
      <c r="A14820" s="11"/>
    </row>
    <row r="14821" spans="1:1" ht="14.4">
      <c r="A14821" s="11"/>
    </row>
    <row r="14822" spans="1:1" ht="14.4">
      <c r="A14822" s="11"/>
    </row>
    <row r="14823" spans="1:1" ht="14.4">
      <c r="A14823" s="11"/>
    </row>
    <row r="14824" spans="1:1" ht="14.4">
      <c r="A14824" s="11"/>
    </row>
    <row r="14825" spans="1:1" ht="14.4">
      <c r="A14825" s="11"/>
    </row>
    <row r="14826" spans="1:1" ht="14.4">
      <c r="A14826" s="11"/>
    </row>
    <row r="14827" spans="1:1" ht="14.4">
      <c r="A14827" s="11"/>
    </row>
    <row r="14828" spans="1:1" ht="14.4">
      <c r="A14828" s="11"/>
    </row>
    <row r="14829" spans="1:1" ht="14.4">
      <c r="A14829" s="11"/>
    </row>
    <row r="14830" spans="1:1" ht="14.4">
      <c r="A14830" s="11"/>
    </row>
    <row r="14831" spans="1:1" ht="14.4">
      <c r="A14831" s="11"/>
    </row>
    <row r="14832" spans="1:1" ht="14.4">
      <c r="A14832" s="11"/>
    </row>
    <row r="14833" spans="1:1" ht="14.4">
      <c r="A14833" s="11"/>
    </row>
    <row r="14834" spans="1:1" ht="14.4">
      <c r="A14834" s="11"/>
    </row>
    <row r="14835" spans="1:1" ht="14.4">
      <c r="A14835" s="11"/>
    </row>
    <row r="14836" spans="1:1" ht="14.4">
      <c r="A14836" s="11"/>
    </row>
    <row r="14837" spans="1:1" ht="14.4">
      <c r="A14837" s="11"/>
    </row>
    <row r="14838" spans="1:1" ht="14.4">
      <c r="A14838" s="11"/>
    </row>
    <row r="14839" spans="1:1" ht="14.4">
      <c r="A14839" s="11"/>
    </row>
    <row r="14840" spans="1:1" ht="14.4">
      <c r="A14840" s="11"/>
    </row>
    <row r="14841" spans="1:1" ht="14.4">
      <c r="A14841" s="11"/>
    </row>
    <row r="14842" spans="1:1" ht="14.4">
      <c r="A14842" s="11"/>
    </row>
    <row r="14843" spans="1:1" ht="14.4">
      <c r="A14843" s="11"/>
    </row>
    <row r="14844" spans="1:1" ht="14.4">
      <c r="A14844" s="11"/>
    </row>
    <row r="14845" spans="1:1" ht="14.4">
      <c r="A14845" s="11"/>
    </row>
    <row r="14846" spans="1:1" ht="14.4">
      <c r="A14846" s="11"/>
    </row>
    <row r="14847" spans="1:1" ht="14.4">
      <c r="A14847" s="11"/>
    </row>
    <row r="14848" spans="1:1" ht="14.4">
      <c r="A14848" s="11"/>
    </row>
    <row r="14849" spans="1:1" ht="14.4">
      <c r="A14849" s="11"/>
    </row>
    <row r="14850" spans="1:1" ht="14.4">
      <c r="A14850" s="11"/>
    </row>
    <row r="14851" spans="1:1" ht="14.4">
      <c r="A14851" s="11"/>
    </row>
    <row r="14852" spans="1:1" ht="14.4">
      <c r="A14852" s="11"/>
    </row>
    <row r="14853" spans="1:1" ht="14.4">
      <c r="A14853" s="11"/>
    </row>
    <row r="14854" spans="1:1" ht="14.4">
      <c r="A14854" s="11"/>
    </row>
    <row r="14855" spans="1:1" ht="14.4">
      <c r="A14855" s="11"/>
    </row>
    <row r="14856" spans="1:1" ht="14.4">
      <c r="A14856" s="11"/>
    </row>
    <row r="14857" spans="1:1" ht="14.4">
      <c r="A14857" s="11"/>
    </row>
    <row r="14858" spans="1:1" ht="14.4">
      <c r="A14858" s="11"/>
    </row>
    <row r="14859" spans="1:1" ht="14.4">
      <c r="A14859" s="11"/>
    </row>
    <row r="14860" spans="1:1" ht="14.4">
      <c r="A14860" s="11"/>
    </row>
    <row r="14861" spans="1:1" ht="14.4">
      <c r="A14861" s="11"/>
    </row>
    <row r="14862" spans="1:1" ht="14.4">
      <c r="A14862" s="11"/>
    </row>
    <row r="14863" spans="1:1" ht="14.4">
      <c r="A14863" s="11"/>
    </row>
    <row r="14864" spans="1:1" ht="14.4">
      <c r="A14864" s="11"/>
    </row>
    <row r="14865" spans="1:1" ht="14.4">
      <c r="A14865" s="11"/>
    </row>
    <row r="14866" spans="1:1" ht="14.4">
      <c r="A14866" s="11"/>
    </row>
    <row r="14867" spans="1:1" ht="14.4">
      <c r="A14867" s="11"/>
    </row>
    <row r="14868" spans="1:1" ht="14.4">
      <c r="A14868" s="11"/>
    </row>
    <row r="14869" spans="1:1" ht="14.4">
      <c r="A14869" s="11"/>
    </row>
    <row r="14870" spans="1:1" ht="14.4">
      <c r="A14870" s="11"/>
    </row>
    <row r="14871" spans="1:1" ht="14.4">
      <c r="A14871" s="11"/>
    </row>
    <row r="14872" spans="1:1" ht="14.4">
      <c r="A14872" s="11"/>
    </row>
    <row r="14873" spans="1:1" ht="14.4">
      <c r="A14873" s="11"/>
    </row>
    <row r="14874" spans="1:1" ht="14.4">
      <c r="A14874" s="11"/>
    </row>
    <row r="14875" spans="1:1" ht="14.4">
      <c r="A14875" s="11"/>
    </row>
    <row r="14876" spans="1:1" ht="14.4">
      <c r="A14876" s="11"/>
    </row>
    <row r="14877" spans="1:1" ht="14.4">
      <c r="A14877" s="11"/>
    </row>
    <row r="14878" spans="1:1" ht="14.4">
      <c r="A14878" s="11"/>
    </row>
    <row r="14879" spans="1:1" ht="14.4">
      <c r="A14879" s="11"/>
    </row>
    <row r="14880" spans="1:1" ht="14.4">
      <c r="A14880" s="11"/>
    </row>
    <row r="14881" spans="1:1" ht="14.4">
      <c r="A14881" s="11"/>
    </row>
    <row r="14882" spans="1:1" ht="14.4">
      <c r="A14882" s="11"/>
    </row>
    <row r="14883" spans="1:1" ht="14.4">
      <c r="A14883" s="11"/>
    </row>
    <row r="14884" spans="1:1" ht="14.4">
      <c r="A14884" s="11"/>
    </row>
    <row r="14885" spans="1:1" ht="14.4">
      <c r="A14885" s="11"/>
    </row>
    <row r="14886" spans="1:1" ht="14.4">
      <c r="A14886" s="11"/>
    </row>
    <row r="14887" spans="1:1" ht="14.4">
      <c r="A14887" s="11"/>
    </row>
    <row r="14888" spans="1:1" ht="14.4">
      <c r="A14888" s="11"/>
    </row>
    <row r="14889" spans="1:1" ht="14.4">
      <c r="A14889" s="11"/>
    </row>
    <row r="14890" spans="1:1" ht="14.4">
      <c r="A14890" s="11"/>
    </row>
    <row r="14891" spans="1:1" ht="14.4">
      <c r="A14891" s="11"/>
    </row>
    <row r="14892" spans="1:1" ht="14.4">
      <c r="A14892" s="11"/>
    </row>
    <row r="14893" spans="1:1" ht="14.4">
      <c r="A14893" s="11"/>
    </row>
    <row r="14894" spans="1:1" ht="14.4">
      <c r="A14894" s="11"/>
    </row>
    <row r="14895" spans="1:1" ht="14.4">
      <c r="A14895" s="11"/>
    </row>
    <row r="14896" spans="1:1" ht="14.4">
      <c r="A14896" s="11"/>
    </row>
    <row r="14897" spans="1:1" ht="14.4">
      <c r="A14897" s="11"/>
    </row>
    <row r="14898" spans="1:1" ht="14.4">
      <c r="A14898" s="11"/>
    </row>
    <row r="14899" spans="1:1" ht="14.4">
      <c r="A14899" s="11"/>
    </row>
    <row r="14900" spans="1:1" ht="14.4">
      <c r="A14900" s="11"/>
    </row>
    <row r="14901" spans="1:1" ht="14.4">
      <c r="A14901" s="11"/>
    </row>
    <row r="14902" spans="1:1" ht="14.4">
      <c r="A14902" s="11"/>
    </row>
    <row r="14903" spans="1:1" ht="14.4">
      <c r="A14903" s="11"/>
    </row>
    <row r="14904" spans="1:1" ht="14.4">
      <c r="A14904" s="11"/>
    </row>
    <row r="14905" spans="1:1" ht="14.4">
      <c r="A14905" s="11"/>
    </row>
    <row r="14906" spans="1:1" ht="14.4">
      <c r="A14906" s="11"/>
    </row>
    <row r="14907" spans="1:1" ht="14.4">
      <c r="A14907" s="11"/>
    </row>
    <row r="14908" spans="1:1" ht="14.4">
      <c r="A14908" s="11"/>
    </row>
    <row r="14909" spans="1:1" ht="14.4">
      <c r="A14909" s="11"/>
    </row>
    <row r="14910" spans="1:1" ht="14.4">
      <c r="A14910" s="11"/>
    </row>
    <row r="14911" spans="1:1" ht="14.4">
      <c r="A14911" s="11"/>
    </row>
    <row r="14912" spans="1:1" ht="14.4">
      <c r="A14912" s="11"/>
    </row>
    <row r="14913" spans="1:1" ht="14.4">
      <c r="A14913" s="11"/>
    </row>
    <row r="14914" spans="1:1" ht="14.4">
      <c r="A14914" s="11"/>
    </row>
    <row r="14915" spans="1:1" ht="14.4">
      <c r="A14915" s="11"/>
    </row>
    <row r="14916" spans="1:1" ht="14.4">
      <c r="A14916" s="11"/>
    </row>
    <row r="14917" spans="1:1" ht="14.4">
      <c r="A14917" s="11"/>
    </row>
    <row r="14918" spans="1:1" ht="14.4">
      <c r="A14918" s="11"/>
    </row>
    <row r="14919" spans="1:1" ht="14.4">
      <c r="A14919" s="11"/>
    </row>
    <row r="14920" spans="1:1" ht="14.4">
      <c r="A14920" s="11"/>
    </row>
    <row r="14921" spans="1:1" ht="14.4">
      <c r="A14921" s="11"/>
    </row>
    <row r="14922" spans="1:1" ht="14.4">
      <c r="A14922" s="11"/>
    </row>
    <row r="14923" spans="1:1" ht="14.4">
      <c r="A14923" s="11"/>
    </row>
    <row r="14924" spans="1:1" ht="14.4">
      <c r="A14924" s="11"/>
    </row>
    <row r="14925" spans="1:1" ht="14.4">
      <c r="A14925" s="11"/>
    </row>
    <row r="14926" spans="1:1" ht="14.4">
      <c r="A14926" s="11"/>
    </row>
    <row r="14927" spans="1:1" ht="14.4">
      <c r="A14927" s="11"/>
    </row>
    <row r="14928" spans="1:1" ht="14.4">
      <c r="A14928" s="11"/>
    </row>
    <row r="14929" spans="1:1" ht="14.4">
      <c r="A14929" s="11"/>
    </row>
    <row r="14930" spans="1:1" ht="14.4">
      <c r="A14930" s="11"/>
    </row>
    <row r="14931" spans="1:1" ht="14.4">
      <c r="A14931" s="11"/>
    </row>
    <row r="14932" spans="1:1" ht="14.4">
      <c r="A14932" s="11"/>
    </row>
    <row r="14933" spans="1:1" ht="14.4">
      <c r="A14933" s="11"/>
    </row>
    <row r="14934" spans="1:1" ht="14.4">
      <c r="A14934" s="11"/>
    </row>
    <row r="14935" spans="1:1" ht="14.4">
      <c r="A14935" s="11"/>
    </row>
    <row r="14936" spans="1:1" ht="14.4">
      <c r="A14936" s="11"/>
    </row>
    <row r="14937" spans="1:1" ht="14.4">
      <c r="A14937" s="11"/>
    </row>
    <row r="14938" spans="1:1" ht="14.4">
      <c r="A14938" s="11"/>
    </row>
    <row r="14939" spans="1:1" ht="14.4">
      <c r="A14939" s="11"/>
    </row>
    <row r="14940" spans="1:1" ht="14.4">
      <c r="A14940" s="11"/>
    </row>
    <row r="14941" spans="1:1" ht="14.4">
      <c r="A14941" s="11"/>
    </row>
    <row r="14942" spans="1:1" ht="14.4">
      <c r="A14942" s="11"/>
    </row>
    <row r="14943" spans="1:1" ht="14.4">
      <c r="A14943" s="11"/>
    </row>
    <row r="14944" spans="1:1" ht="14.4">
      <c r="A14944" s="11"/>
    </row>
    <row r="14945" spans="1:1" ht="14.4">
      <c r="A14945" s="11"/>
    </row>
    <row r="14946" spans="1:1" ht="14.4">
      <c r="A14946" s="11"/>
    </row>
    <row r="14947" spans="1:1" ht="14.4">
      <c r="A14947" s="11"/>
    </row>
    <row r="14948" spans="1:1" ht="14.4">
      <c r="A14948" s="11"/>
    </row>
    <row r="14949" spans="1:1" ht="14.4">
      <c r="A14949" s="11"/>
    </row>
    <row r="14950" spans="1:1" ht="14.4">
      <c r="A14950" s="11"/>
    </row>
    <row r="14951" spans="1:1" ht="14.4">
      <c r="A14951" s="11"/>
    </row>
    <row r="14952" spans="1:1" ht="14.4">
      <c r="A14952" s="11"/>
    </row>
    <row r="14953" spans="1:1" ht="14.4">
      <c r="A14953" s="11"/>
    </row>
    <row r="14954" spans="1:1" ht="14.4">
      <c r="A14954" s="11"/>
    </row>
    <row r="14955" spans="1:1" ht="14.4">
      <c r="A14955" s="11"/>
    </row>
    <row r="14956" spans="1:1" ht="14.4">
      <c r="A14956" s="11"/>
    </row>
    <row r="14957" spans="1:1" ht="14.4">
      <c r="A14957" s="11"/>
    </row>
    <row r="14958" spans="1:1" ht="14.4">
      <c r="A14958" s="11"/>
    </row>
    <row r="14959" spans="1:1" ht="14.4">
      <c r="A14959" s="11"/>
    </row>
    <row r="14960" spans="1:1" ht="14.4">
      <c r="A14960" s="11"/>
    </row>
    <row r="14961" spans="1:1" ht="14.4">
      <c r="A14961" s="11"/>
    </row>
    <row r="14962" spans="1:1" ht="14.4">
      <c r="A14962" s="11"/>
    </row>
    <row r="14963" spans="1:1" ht="14.4">
      <c r="A14963" s="11"/>
    </row>
    <row r="14964" spans="1:1" ht="14.4">
      <c r="A14964" s="11"/>
    </row>
    <row r="14965" spans="1:1" ht="14.4">
      <c r="A14965" s="11"/>
    </row>
    <row r="14966" spans="1:1" ht="14.4">
      <c r="A14966" s="11"/>
    </row>
    <row r="14967" spans="1:1" ht="14.4">
      <c r="A14967" s="11"/>
    </row>
    <row r="14968" spans="1:1" ht="14.4">
      <c r="A14968" s="11"/>
    </row>
    <row r="14969" spans="1:1" ht="14.4">
      <c r="A14969" s="11"/>
    </row>
    <row r="14970" spans="1:1" ht="14.4">
      <c r="A14970" s="11"/>
    </row>
    <row r="14971" spans="1:1" ht="14.4">
      <c r="A14971" s="11"/>
    </row>
    <row r="14972" spans="1:1" ht="14.4">
      <c r="A14972" s="11"/>
    </row>
    <row r="14973" spans="1:1" ht="14.4">
      <c r="A14973" s="11"/>
    </row>
    <row r="14974" spans="1:1" ht="14.4">
      <c r="A14974" s="11"/>
    </row>
    <row r="14975" spans="1:1" ht="14.4">
      <c r="A14975" s="11"/>
    </row>
    <row r="14976" spans="1:1" ht="14.4">
      <c r="A14976" s="11"/>
    </row>
    <row r="14977" spans="1:1" ht="14.4">
      <c r="A14977" s="11"/>
    </row>
    <row r="14978" spans="1:1" ht="14.4">
      <c r="A14978" s="11"/>
    </row>
    <row r="14979" spans="1:1" ht="14.4">
      <c r="A14979" s="11"/>
    </row>
    <row r="14980" spans="1:1" ht="14.4">
      <c r="A14980" s="11"/>
    </row>
    <row r="14981" spans="1:1" ht="14.4">
      <c r="A14981" s="11"/>
    </row>
    <row r="14982" spans="1:1" ht="14.4">
      <c r="A14982" s="11"/>
    </row>
    <row r="14983" spans="1:1" ht="14.4">
      <c r="A14983" s="11"/>
    </row>
    <row r="14984" spans="1:1" ht="14.4">
      <c r="A14984" s="11"/>
    </row>
    <row r="14985" spans="1:1" ht="14.4">
      <c r="A14985" s="11"/>
    </row>
    <row r="14986" spans="1:1" ht="14.4">
      <c r="A14986" s="11"/>
    </row>
    <row r="14987" spans="1:1" ht="14.4">
      <c r="A14987" s="11"/>
    </row>
    <row r="14988" spans="1:1" ht="14.4">
      <c r="A14988" s="11"/>
    </row>
    <row r="14989" spans="1:1" ht="14.4">
      <c r="A14989" s="11"/>
    </row>
    <row r="14990" spans="1:1" ht="14.4">
      <c r="A14990" s="11"/>
    </row>
    <row r="14991" spans="1:1" ht="14.4">
      <c r="A14991" s="11"/>
    </row>
    <row r="14992" spans="1:1" ht="14.4">
      <c r="A14992" s="11"/>
    </row>
    <row r="14993" spans="1:1" ht="14.4">
      <c r="A14993" s="11"/>
    </row>
    <row r="14994" spans="1:1" ht="14.4">
      <c r="A14994" s="11"/>
    </row>
    <row r="14995" spans="1:1" ht="14.4">
      <c r="A14995" s="11"/>
    </row>
    <row r="14996" spans="1:1" ht="14.4">
      <c r="A14996" s="11"/>
    </row>
    <row r="14997" spans="1:1" ht="14.4">
      <c r="A14997" s="11"/>
    </row>
    <row r="14998" spans="1:1" ht="14.4">
      <c r="A14998" s="11"/>
    </row>
    <row r="14999" spans="1:1" ht="14.4">
      <c r="A14999" s="11"/>
    </row>
    <row r="15000" spans="1:1" ht="14.4">
      <c r="A15000" s="11"/>
    </row>
    <row r="15001" spans="1:1" ht="14.4">
      <c r="A15001" s="11"/>
    </row>
    <row r="15002" spans="1:1" ht="14.4">
      <c r="A15002" s="11"/>
    </row>
    <row r="15003" spans="1:1" ht="14.4">
      <c r="A15003" s="11"/>
    </row>
    <row r="15004" spans="1:1" ht="14.4">
      <c r="A15004" s="11"/>
    </row>
    <row r="15005" spans="1:1" ht="14.4">
      <c r="A15005" s="11"/>
    </row>
    <row r="15006" spans="1:1" ht="14.4">
      <c r="A15006" s="11"/>
    </row>
    <row r="15007" spans="1:1" ht="14.4">
      <c r="A15007" s="11"/>
    </row>
    <row r="15008" spans="1:1" ht="14.4">
      <c r="A15008" s="11"/>
    </row>
    <row r="15009" spans="1:1" ht="14.4">
      <c r="A15009" s="11"/>
    </row>
    <row r="15010" spans="1:1" ht="14.4">
      <c r="A15010" s="11"/>
    </row>
    <row r="15011" spans="1:1" ht="14.4">
      <c r="A15011" s="11"/>
    </row>
    <row r="15012" spans="1:1" ht="14.4">
      <c r="A15012" s="11"/>
    </row>
    <row r="15013" spans="1:1" ht="14.4">
      <c r="A15013" s="11"/>
    </row>
    <row r="15014" spans="1:1" ht="14.4">
      <c r="A15014" s="11"/>
    </row>
    <row r="15015" spans="1:1" ht="14.4">
      <c r="A15015" s="11"/>
    </row>
    <row r="15016" spans="1:1" ht="14.4">
      <c r="A15016" s="11"/>
    </row>
    <row r="15017" spans="1:1" ht="14.4">
      <c r="A15017" s="11"/>
    </row>
    <row r="15018" spans="1:1" ht="14.4">
      <c r="A15018" s="11"/>
    </row>
    <row r="15019" spans="1:1" ht="14.4">
      <c r="A15019" s="11"/>
    </row>
    <row r="15020" spans="1:1" ht="14.4">
      <c r="A15020" s="11"/>
    </row>
    <row r="15021" spans="1:1" ht="14.4">
      <c r="A15021" s="11"/>
    </row>
    <row r="15022" spans="1:1" ht="14.4">
      <c r="A15022" s="11"/>
    </row>
    <row r="15023" spans="1:1" ht="14.4">
      <c r="A15023" s="11"/>
    </row>
    <row r="15024" spans="1:1" ht="14.4">
      <c r="A15024" s="11"/>
    </row>
    <row r="15025" spans="1:1" ht="14.4">
      <c r="A15025" s="11"/>
    </row>
    <row r="15026" spans="1:1" ht="14.4">
      <c r="A15026" s="11"/>
    </row>
    <row r="15027" spans="1:1" ht="14.4">
      <c r="A15027" s="11"/>
    </row>
    <row r="15028" spans="1:1" ht="14.4">
      <c r="A15028" s="11"/>
    </row>
    <row r="15029" spans="1:1" ht="14.4">
      <c r="A15029" s="11"/>
    </row>
    <row r="15030" spans="1:1" ht="14.4">
      <c r="A15030" s="11"/>
    </row>
    <row r="15031" spans="1:1" ht="14.4">
      <c r="A15031" s="11"/>
    </row>
    <row r="15032" spans="1:1" ht="14.4">
      <c r="A15032" s="11"/>
    </row>
    <row r="15033" spans="1:1" ht="14.4">
      <c r="A15033" s="11"/>
    </row>
    <row r="15034" spans="1:1" ht="14.4">
      <c r="A15034" s="11"/>
    </row>
    <row r="15035" spans="1:1" ht="14.4">
      <c r="A15035" s="11"/>
    </row>
    <row r="15036" spans="1:1" ht="14.4">
      <c r="A15036" s="11"/>
    </row>
    <row r="15037" spans="1:1" ht="14.4">
      <c r="A15037" s="11"/>
    </row>
    <row r="15038" spans="1:1" ht="14.4">
      <c r="A15038" s="11"/>
    </row>
    <row r="15039" spans="1:1" ht="14.4">
      <c r="A15039" s="11"/>
    </row>
    <row r="15040" spans="1:1" ht="14.4">
      <c r="A15040" s="11"/>
    </row>
    <row r="15041" spans="1:1" ht="14.4">
      <c r="A15041" s="11"/>
    </row>
    <row r="15042" spans="1:1" ht="14.4">
      <c r="A15042" s="11"/>
    </row>
    <row r="15043" spans="1:1" ht="14.4">
      <c r="A15043" s="11"/>
    </row>
    <row r="15044" spans="1:1" ht="14.4">
      <c r="A15044" s="11"/>
    </row>
    <row r="15045" spans="1:1" ht="14.4">
      <c r="A15045" s="11"/>
    </row>
    <row r="15046" spans="1:1" ht="14.4">
      <c r="A15046" s="11"/>
    </row>
    <row r="15047" spans="1:1" ht="14.4">
      <c r="A15047" s="11"/>
    </row>
    <row r="15048" spans="1:1" ht="14.4">
      <c r="A15048" s="11"/>
    </row>
    <row r="15049" spans="1:1" ht="14.4">
      <c r="A15049" s="11"/>
    </row>
    <row r="15050" spans="1:1" ht="14.4">
      <c r="A15050" s="11"/>
    </row>
    <row r="15051" spans="1:1" ht="14.4">
      <c r="A15051" s="11"/>
    </row>
    <row r="15052" spans="1:1" ht="14.4">
      <c r="A15052" s="11"/>
    </row>
    <row r="15053" spans="1:1" ht="14.4">
      <c r="A15053" s="11"/>
    </row>
    <row r="15054" spans="1:1" ht="14.4">
      <c r="A15054" s="11"/>
    </row>
    <row r="15055" spans="1:1" ht="14.4">
      <c r="A15055" s="11"/>
    </row>
    <row r="15056" spans="1:1" ht="14.4">
      <c r="A15056" s="11"/>
    </row>
    <row r="15057" spans="1:1" ht="14.4">
      <c r="A15057" s="11"/>
    </row>
    <row r="15058" spans="1:1" ht="14.4">
      <c r="A15058" s="11"/>
    </row>
    <row r="15059" spans="1:1" ht="14.4">
      <c r="A15059" s="11"/>
    </row>
    <row r="15060" spans="1:1" ht="14.4">
      <c r="A15060" s="11"/>
    </row>
    <row r="15061" spans="1:1" ht="14.4">
      <c r="A15061" s="11"/>
    </row>
    <row r="15062" spans="1:1" ht="14.4">
      <c r="A15062" s="11"/>
    </row>
    <row r="15063" spans="1:1" ht="14.4">
      <c r="A15063" s="11"/>
    </row>
    <row r="15064" spans="1:1" ht="14.4">
      <c r="A15064" s="11"/>
    </row>
    <row r="15065" spans="1:1" ht="14.4">
      <c r="A15065" s="11"/>
    </row>
    <row r="15066" spans="1:1" ht="14.4">
      <c r="A15066" s="11"/>
    </row>
    <row r="15067" spans="1:1" ht="14.4">
      <c r="A15067" s="11"/>
    </row>
    <row r="15068" spans="1:1" ht="14.4">
      <c r="A15068" s="11"/>
    </row>
    <row r="15069" spans="1:1" ht="14.4">
      <c r="A15069" s="11"/>
    </row>
    <row r="15070" spans="1:1" ht="14.4">
      <c r="A15070" s="11"/>
    </row>
    <row r="15071" spans="1:1" ht="14.4">
      <c r="A15071" s="11"/>
    </row>
    <row r="15072" spans="1:1" ht="14.4">
      <c r="A15072" s="11"/>
    </row>
    <row r="15073" spans="1:1" ht="14.4">
      <c r="A15073" s="11"/>
    </row>
    <row r="15074" spans="1:1" ht="14.4">
      <c r="A15074" s="11"/>
    </row>
    <row r="15075" spans="1:1" ht="14.4">
      <c r="A15075" s="11"/>
    </row>
    <row r="15076" spans="1:1" ht="14.4">
      <c r="A15076" s="11"/>
    </row>
    <row r="15077" spans="1:1" ht="14.4">
      <c r="A15077" s="11"/>
    </row>
    <row r="15078" spans="1:1" ht="14.4">
      <c r="A15078" s="11"/>
    </row>
    <row r="15079" spans="1:1" ht="14.4">
      <c r="A15079" s="11"/>
    </row>
    <row r="15080" spans="1:1" ht="14.4">
      <c r="A15080" s="11"/>
    </row>
    <row r="15081" spans="1:1" ht="14.4">
      <c r="A15081" s="11"/>
    </row>
    <row r="15082" spans="1:1" ht="14.4">
      <c r="A15082" s="11"/>
    </row>
    <row r="15083" spans="1:1" ht="14.4">
      <c r="A15083" s="11"/>
    </row>
    <row r="15084" spans="1:1" ht="14.4">
      <c r="A15084" s="11"/>
    </row>
    <row r="15085" spans="1:1" ht="14.4">
      <c r="A15085" s="11"/>
    </row>
    <row r="15086" spans="1:1" ht="14.4">
      <c r="A15086" s="11"/>
    </row>
    <row r="15087" spans="1:1" ht="14.4">
      <c r="A15087" s="11"/>
    </row>
    <row r="15088" spans="1:1" ht="14.4">
      <c r="A15088" s="11"/>
    </row>
    <row r="15089" spans="1:1" ht="14.4">
      <c r="A15089" s="11"/>
    </row>
    <row r="15090" spans="1:1" ht="14.4">
      <c r="A15090" s="11"/>
    </row>
    <row r="15091" spans="1:1" ht="14.4">
      <c r="A15091" s="11"/>
    </row>
    <row r="15092" spans="1:1" ht="14.4">
      <c r="A15092" s="11"/>
    </row>
    <row r="15093" spans="1:1" ht="14.4">
      <c r="A15093" s="11"/>
    </row>
    <row r="15094" spans="1:1" ht="14.4">
      <c r="A15094" s="11"/>
    </row>
    <row r="15095" spans="1:1" ht="14.4">
      <c r="A15095" s="11"/>
    </row>
    <row r="15096" spans="1:1" ht="14.4">
      <c r="A15096" s="11"/>
    </row>
    <row r="15097" spans="1:1" ht="14.4">
      <c r="A15097" s="11"/>
    </row>
    <row r="15098" spans="1:1" ht="14.4">
      <c r="A15098" s="11"/>
    </row>
    <row r="15099" spans="1:1" ht="14.4">
      <c r="A15099" s="11"/>
    </row>
    <row r="15100" spans="1:1" ht="14.4">
      <c r="A15100" s="11"/>
    </row>
    <row r="15101" spans="1:1" ht="14.4">
      <c r="A15101" s="11"/>
    </row>
    <row r="15102" spans="1:1" ht="14.4">
      <c r="A15102" s="11"/>
    </row>
    <row r="15103" spans="1:1" ht="14.4">
      <c r="A15103" s="11"/>
    </row>
    <row r="15104" spans="1:1" ht="14.4">
      <c r="A15104" s="11"/>
    </row>
    <row r="15105" spans="1:1" ht="14.4">
      <c r="A15105" s="11"/>
    </row>
    <row r="15106" spans="1:1" ht="14.4">
      <c r="A15106" s="11"/>
    </row>
    <row r="15107" spans="1:1" ht="14.4">
      <c r="A15107" s="11"/>
    </row>
    <row r="15108" spans="1:1" ht="14.4">
      <c r="A15108" s="11"/>
    </row>
    <row r="15109" spans="1:1" ht="14.4">
      <c r="A15109" s="11"/>
    </row>
    <row r="15110" spans="1:1" ht="14.4">
      <c r="A15110" s="11"/>
    </row>
    <row r="15111" spans="1:1" ht="14.4">
      <c r="A15111" s="11"/>
    </row>
    <row r="15112" spans="1:1" ht="14.4">
      <c r="A15112" s="11"/>
    </row>
    <row r="15113" spans="1:1" ht="14.4">
      <c r="A15113" s="11"/>
    </row>
    <row r="15114" spans="1:1" ht="14.4">
      <c r="A15114" s="11"/>
    </row>
    <row r="15115" spans="1:1" ht="14.4">
      <c r="A15115" s="11"/>
    </row>
    <row r="15116" spans="1:1" ht="14.4">
      <c r="A15116" s="11"/>
    </row>
    <row r="15117" spans="1:1" ht="14.4">
      <c r="A15117" s="11"/>
    </row>
    <row r="15118" spans="1:1" ht="14.4">
      <c r="A15118" s="11"/>
    </row>
    <row r="15119" spans="1:1" ht="14.4">
      <c r="A15119" s="11"/>
    </row>
    <row r="15120" spans="1:1" ht="14.4">
      <c r="A15120" s="11"/>
    </row>
    <row r="15121" spans="1:1" ht="14.4">
      <c r="A15121" s="11"/>
    </row>
    <row r="15122" spans="1:1" ht="14.4">
      <c r="A15122" s="11"/>
    </row>
    <row r="15123" spans="1:1" ht="14.4">
      <c r="A15123" s="11"/>
    </row>
    <row r="15124" spans="1:1" ht="14.4">
      <c r="A15124" s="11"/>
    </row>
    <row r="15125" spans="1:1" ht="14.4">
      <c r="A15125" s="11"/>
    </row>
    <row r="15126" spans="1:1" ht="14.4">
      <c r="A15126" s="11"/>
    </row>
    <row r="15127" spans="1:1" ht="14.4">
      <c r="A15127" s="11"/>
    </row>
    <row r="15128" spans="1:1" ht="14.4">
      <c r="A15128" s="11"/>
    </row>
    <row r="15129" spans="1:1" ht="14.4">
      <c r="A15129" s="11"/>
    </row>
    <row r="15130" spans="1:1" ht="14.4">
      <c r="A15130" s="11"/>
    </row>
    <row r="15131" spans="1:1" ht="14.4">
      <c r="A15131" s="11"/>
    </row>
    <row r="15132" spans="1:1" ht="14.4">
      <c r="A15132" s="11"/>
    </row>
    <row r="15133" spans="1:1" ht="14.4">
      <c r="A15133" s="11"/>
    </row>
    <row r="15134" spans="1:1" ht="14.4">
      <c r="A15134" s="11"/>
    </row>
    <row r="15135" spans="1:1" ht="14.4">
      <c r="A15135" s="11"/>
    </row>
    <row r="15136" spans="1:1" ht="14.4">
      <c r="A15136" s="11"/>
    </row>
    <row r="15137" spans="1:1" ht="14.4">
      <c r="A15137" s="11"/>
    </row>
    <row r="15138" spans="1:1" ht="14.4">
      <c r="A15138" s="11"/>
    </row>
    <row r="15139" spans="1:1" ht="14.4">
      <c r="A15139" s="11"/>
    </row>
    <row r="15140" spans="1:1" ht="14.4">
      <c r="A15140" s="11"/>
    </row>
    <row r="15141" spans="1:1" ht="14.4">
      <c r="A15141" s="11"/>
    </row>
    <row r="15142" spans="1:1" ht="14.4">
      <c r="A15142" s="11"/>
    </row>
    <row r="15143" spans="1:1" ht="14.4">
      <c r="A15143" s="11"/>
    </row>
    <row r="15144" spans="1:1" ht="14.4">
      <c r="A15144" s="11"/>
    </row>
    <row r="15145" spans="1:1" ht="14.4">
      <c r="A15145" s="11"/>
    </row>
    <row r="15146" spans="1:1" ht="14.4">
      <c r="A15146" s="11"/>
    </row>
    <row r="15147" spans="1:1" ht="14.4">
      <c r="A15147" s="11"/>
    </row>
    <row r="15148" spans="1:1" ht="14.4">
      <c r="A15148" s="11"/>
    </row>
    <row r="15149" spans="1:1" ht="14.4">
      <c r="A15149" s="11"/>
    </row>
    <row r="15150" spans="1:1" ht="14.4">
      <c r="A15150" s="11"/>
    </row>
    <row r="15151" spans="1:1" ht="14.4">
      <c r="A15151" s="11"/>
    </row>
    <row r="15152" spans="1:1" ht="14.4">
      <c r="A15152" s="11"/>
    </row>
    <row r="15153" spans="1:1" ht="14.4">
      <c r="A15153" s="11"/>
    </row>
    <row r="15154" spans="1:1" ht="14.4">
      <c r="A15154" s="11"/>
    </row>
    <row r="15155" spans="1:1" ht="14.4">
      <c r="A15155" s="11"/>
    </row>
    <row r="15156" spans="1:1" ht="14.4">
      <c r="A15156" s="11"/>
    </row>
    <row r="15157" spans="1:1" ht="14.4">
      <c r="A15157" s="11"/>
    </row>
    <row r="15158" spans="1:1" ht="14.4">
      <c r="A15158" s="11"/>
    </row>
    <row r="15159" spans="1:1" ht="14.4">
      <c r="A15159" s="11"/>
    </row>
    <row r="15160" spans="1:1" ht="14.4">
      <c r="A15160" s="11"/>
    </row>
    <row r="15161" spans="1:1" ht="14.4">
      <c r="A15161" s="11"/>
    </row>
    <row r="15162" spans="1:1" ht="14.4">
      <c r="A15162" s="11"/>
    </row>
    <row r="15163" spans="1:1" ht="14.4">
      <c r="A15163" s="11"/>
    </row>
    <row r="15164" spans="1:1" ht="14.4">
      <c r="A15164" s="11"/>
    </row>
    <row r="15165" spans="1:1" ht="14.4">
      <c r="A15165" s="11"/>
    </row>
    <row r="15166" spans="1:1" ht="14.4">
      <c r="A15166" s="11"/>
    </row>
    <row r="15167" spans="1:1" ht="14.4">
      <c r="A15167" s="11"/>
    </row>
    <row r="15168" spans="1:1" ht="14.4">
      <c r="A15168" s="11"/>
    </row>
    <row r="15169" spans="1:1" ht="14.4">
      <c r="A15169" s="11"/>
    </row>
    <row r="15170" spans="1:1" ht="14.4">
      <c r="A15170" s="11"/>
    </row>
    <row r="15171" spans="1:1" ht="14.4">
      <c r="A15171" s="11"/>
    </row>
    <row r="15172" spans="1:1" ht="14.4">
      <c r="A15172" s="11"/>
    </row>
    <row r="15173" spans="1:1" ht="14.4">
      <c r="A15173" s="11"/>
    </row>
    <row r="15174" spans="1:1" ht="14.4">
      <c r="A15174" s="11"/>
    </row>
    <row r="15175" spans="1:1" ht="14.4">
      <c r="A15175" s="11"/>
    </row>
    <row r="15176" spans="1:1" ht="14.4">
      <c r="A15176" s="11"/>
    </row>
    <row r="15177" spans="1:1" ht="14.4">
      <c r="A15177" s="11"/>
    </row>
    <row r="15178" spans="1:1" ht="14.4">
      <c r="A15178" s="11"/>
    </row>
    <row r="15179" spans="1:1" ht="14.4">
      <c r="A15179" s="11"/>
    </row>
    <row r="15180" spans="1:1" ht="14.4">
      <c r="A15180" s="11"/>
    </row>
    <row r="15181" spans="1:1" ht="14.4">
      <c r="A15181" s="11"/>
    </row>
    <row r="15182" spans="1:1" ht="14.4">
      <c r="A15182" s="11"/>
    </row>
    <row r="15183" spans="1:1" ht="14.4">
      <c r="A15183" s="11"/>
    </row>
    <row r="15184" spans="1:1" ht="14.4">
      <c r="A15184" s="11"/>
    </row>
    <row r="15185" spans="1:1" ht="14.4">
      <c r="A15185" s="11"/>
    </row>
    <row r="15186" spans="1:1" ht="14.4">
      <c r="A15186" s="11"/>
    </row>
    <row r="15187" spans="1:1" ht="14.4">
      <c r="A15187" s="11"/>
    </row>
    <row r="15188" spans="1:1" ht="14.4">
      <c r="A15188" s="11"/>
    </row>
    <row r="15189" spans="1:1" ht="14.4">
      <c r="A15189" s="11"/>
    </row>
    <row r="15190" spans="1:1" ht="14.4">
      <c r="A15190" s="11"/>
    </row>
    <row r="15191" spans="1:1" ht="14.4">
      <c r="A15191" s="11"/>
    </row>
    <row r="15192" spans="1:1" ht="14.4">
      <c r="A15192" s="11"/>
    </row>
    <row r="15193" spans="1:1" ht="14.4">
      <c r="A15193" s="11"/>
    </row>
    <row r="15194" spans="1:1" ht="14.4">
      <c r="A15194" s="11"/>
    </row>
    <row r="15195" spans="1:1" ht="14.4">
      <c r="A15195" s="11"/>
    </row>
    <row r="15196" spans="1:1" ht="14.4">
      <c r="A15196" s="11"/>
    </row>
    <row r="15197" spans="1:1" ht="14.4">
      <c r="A15197" s="11"/>
    </row>
    <row r="15198" spans="1:1" ht="14.4">
      <c r="A15198" s="11"/>
    </row>
    <row r="15199" spans="1:1" ht="14.4">
      <c r="A15199" s="11"/>
    </row>
    <row r="15200" spans="1:1" ht="14.4">
      <c r="A15200" s="11"/>
    </row>
    <row r="15201" spans="1:1" ht="14.4">
      <c r="A15201" s="11"/>
    </row>
    <row r="15202" spans="1:1" ht="14.4">
      <c r="A15202" s="11"/>
    </row>
    <row r="15203" spans="1:1" ht="14.4">
      <c r="A15203" s="11"/>
    </row>
    <row r="15204" spans="1:1" ht="14.4">
      <c r="A15204" s="11"/>
    </row>
    <row r="15205" spans="1:1" ht="14.4">
      <c r="A15205" s="11"/>
    </row>
    <row r="15206" spans="1:1" ht="14.4">
      <c r="A15206" s="11"/>
    </row>
    <row r="15207" spans="1:1" ht="14.4">
      <c r="A15207" s="11"/>
    </row>
    <row r="15208" spans="1:1" ht="14.4">
      <c r="A15208" s="11"/>
    </row>
    <row r="15209" spans="1:1" ht="14.4">
      <c r="A15209" s="11"/>
    </row>
    <row r="15210" spans="1:1" ht="14.4">
      <c r="A15210" s="11"/>
    </row>
    <row r="15211" spans="1:1" ht="14.4">
      <c r="A15211" s="11"/>
    </row>
    <row r="15212" spans="1:1" ht="14.4">
      <c r="A15212" s="11"/>
    </row>
    <row r="15213" spans="1:1" ht="14.4">
      <c r="A15213" s="11"/>
    </row>
    <row r="15214" spans="1:1" ht="14.4">
      <c r="A15214" s="11"/>
    </row>
    <row r="15215" spans="1:1" ht="14.4">
      <c r="A15215" s="11"/>
    </row>
    <row r="15216" spans="1:1" ht="14.4">
      <c r="A15216" s="11"/>
    </row>
    <row r="15217" spans="1:1" ht="14.4">
      <c r="A15217" s="11"/>
    </row>
    <row r="15218" spans="1:1" ht="14.4">
      <c r="A15218" s="11"/>
    </row>
    <row r="15219" spans="1:1" ht="14.4">
      <c r="A15219" s="11"/>
    </row>
    <row r="15220" spans="1:1" ht="14.4">
      <c r="A15220" s="11"/>
    </row>
    <row r="15221" spans="1:1" ht="14.4">
      <c r="A15221" s="11"/>
    </row>
    <row r="15222" spans="1:1" ht="14.4">
      <c r="A15222" s="11"/>
    </row>
    <row r="15223" spans="1:1" ht="14.4">
      <c r="A15223" s="11"/>
    </row>
    <row r="15224" spans="1:1" ht="14.4">
      <c r="A15224" s="11"/>
    </row>
    <row r="15225" spans="1:1" ht="14.4">
      <c r="A15225" s="11"/>
    </row>
    <row r="15226" spans="1:1" ht="14.4">
      <c r="A15226" s="11"/>
    </row>
    <row r="15227" spans="1:1" ht="14.4">
      <c r="A15227" s="11"/>
    </row>
    <row r="15228" spans="1:1" ht="14.4">
      <c r="A15228" s="11"/>
    </row>
    <row r="15229" spans="1:1" ht="14.4">
      <c r="A15229" s="11"/>
    </row>
    <row r="15230" spans="1:1" ht="14.4">
      <c r="A15230" s="11"/>
    </row>
    <row r="15231" spans="1:1" ht="14.4">
      <c r="A15231" s="11"/>
    </row>
    <row r="15232" spans="1:1" ht="14.4">
      <c r="A15232" s="11"/>
    </row>
    <row r="15233" spans="1:1" ht="14.4">
      <c r="A15233" s="11"/>
    </row>
    <row r="15234" spans="1:1" ht="14.4">
      <c r="A15234" s="11"/>
    </row>
    <row r="15235" spans="1:1" ht="14.4">
      <c r="A15235" s="11"/>
    </row>
    <row r="15236" spans="1:1" ht="14.4">
      <c r="A15236" s="11"/>
    </row>
    <row r="15237" spans="1:1" ht="14.4">
      <c r="A15237" s="11"/>
    </row>
    <row r="15238" spans="1:1" ht="14.4">
      <c r="A15238" s="11"/>
    </row>
    <row r="15239" spans="1:1" ht="14.4">
      <c r="A15239" s="11"/>
    </row>
    <row r="15240" spans="1:1" ht="14.4">
      <c r="A15240" s="11"/>
    </row>
    <row r="15241" spans="1:1" ht="14.4">
      <c r="A15241" s="11"/>
    </row>
    <row r="15242" spans="1:1" ht="14.4">
      <c r="A15242" s="11"/>
    </row>
    <row r="15243" spans="1:1" ht="14.4">
      <c r="A15243" s="11"/>
    </row>
    <row r="15244" spans="1:1" ht="14.4">
      <c r="A15244" s="11"/>
    </row>
    <row r="15245" spans="1:1" ht="14.4">
      <c r="A15245" s="11"/>
    </row>
    <row r="15246" spans="1:1" ht="14.4">
      <c r="A15246" s="11"/>
    </row>
    <row r="15247" spans="1:1" ht="14.4">
      <c r="A15247" s="11"/>
    </row>
    <row r="15248" spans="1:1" ht="14.4">
      <c r="A15248" s="11"/>
    </row>
    <row r="15249" spans="1:1" ht="14.4">
      <c r="A15249" s="11"/>
    </row>
    <row r="15250" spans="1:1" ht="14.4">
      <c r="A15250" s="11"/>
    </row>
    <row r="15251" spans="1:1" ht="14.4">
      <c r="A15251" s="11"/>
    </row>
    <row r="15252" spans="1:1" ht="14.4">
      <c r="A15252" s="11"/>
    </row>
    <row r="15253" spans="1:1" ht="14.4">
      <c r="A15253" s="11"/>
    </row>
    <row r="15254" spans="1:1" ht="14.4">
      <c r="A15254" s="11"/>
    </row>
    <row r="15255" spans="1:1" ht="14.4">
      <c r="A15255" s="11"/>
    </row>
    <row r="15256" spans="1:1" ht="14.4">
      <c r="A15256" s="11"/>
    </row>
    <row r="15257" spans="1:1" ht="14.4">
      <c r="A15257" s="11"/>
    </row>
    <row r="15258" spans="1:1" ht="14.4">
      <c r="A15258" s="11"/>
    </row>
    <row r="15259" spans="1:1" ht="14.4">
      <c r="A15259" s="11"/>
    </row>
    <row r="15260" spans="1:1" ht="14.4">
      <c r="A15260" s="11"/>
    </row>
    <row r="15261" spans="1:1" ht="14.4">
      <c r="A15261" s="11"/>
    </row>
    <row r="15262" spans="1:1" ht="14.4">
      <c r="A15262" s="11"/>
    </row>
    <row r="15263" spans="1:1" ht="14.4">
      <c r="A15263" s="11"/>
    </row>
    <row r="15264" spans="1:1" ht="14.4">
      <c r="A15264" s="11"/>
    </row>
    <row r="15265" spans="1:1" ht="14.4">
      <c r="A15265" s="11"/>
    </row>
    <row r="15266" spans="1:1" ht="14.4">
      <c r="A15266" s="11"/>
    </row>
    <row r="15267" spans="1:1" ht="14.4">
      <c r="A15267" s="11"/>
    </row>
    <row r="15268" spans="1:1" ht="14.4">
      <c r="A15268" s="11"/>
    </row>
    <row r="15269" spans="1:1" ht="14.4">
      <c r="A15269" s="11"/>
    </row>
    <row r="15270" spans="1:1" ht="14.4">
      <c r="A15270" s="11"/>
    </row>
    <row r="15271" spans="1:1" ht="14.4">
      <c r="A15271" s="11"/>
    </row>
    <row r="15272" spans="1:1" ht="14.4">
      <c r="A15272" s="11"/>
    </row>
    <row r="15273" spans="1:1" ht="14.4">
      <c r="A15273" s="11"/>
    </row>
    <row r="15274" spans="1:1" ht="14.4">
      <c r="A15274" s="11"/>
    </row>
    <row r="15275" spans="1:1" ht="14.4">
      <c r="A15275" s="11"/>
    </row>
    <row r="15276" spans="1:1" ht="14.4">
      <c r="A15276" s="11"/>
    </row>
    <row r="15277" spans="1:1" ht="14.4">
      <c r="A15277" s="11"/>
    </row>
    <row r="15278" spans="1:1" ht="14.4">
      <c r="A15278" s="11"/>
    </row>
    <row r="15279" spans="1:1" ht="14.4">
      <c r="A15279" s="11"/>
    </row>
    <row r="15280" spans="1:1" ht="14.4">
      <c r="A15280" s="11"/>
    </row>
    <row r="15281" spans="1:1" ht="14.4">
      <c r="A15281" s="11"/>
    </row>
    <row r="15282" spans="1:1" ht="14.4">
      <c r="A15282" s="11"/>
    </row>
    <row r="15283" spans="1:1" ht="14.4">
      <c r="A15283" s="11"/>
    </row>
    <row r="15284" spans="1:1" ht="14.4">
      <c r="A15284" s="11"/>
    </row>
    <row r="15285" spans="1:1" ht="14.4">
      <c r="A15285" s="11"/>
    </row>
    <row r="15286" spans="1:1" ht="14.4">
      <c r="A15286" s="11"/>
    </row>
    <row r="15287" spans="1:1" ht="14.4">
      <c r="A15287" s="11"/>
    </row>
    <row r="15288" spans="1:1" ht="14.4">
      <c r="A15288" s="11"/>
    </row>
    <row r="15289" spans="1:1" ht="14.4">
      <c r="A15289" s="11"/>
    </row>
    <row r="15290" spans="1:1" ht="14.4">
      <c r="A15290" s="11"/>
    </row>
    <row r="15291" spans="1:1" ht="14.4">
      <c r="A15291" s="11"/>
    </row>
    <row r="15292" spans="1:1" ht="14.4">
      <c r="A15292" s="11"/>
    </row>
    <row r="15293" spans="1:1" ht="14.4">
      <c r="A15293" s="11"/>
    </row>
    <row r="15294" spans="1:1" ht="14.4">
      <c r="A15294" s="11"/>
    </row>
    <row r="15295" spans="1:1" ht="14.4">
      <c r="A15295" s="11"/>
    </row>
    <row r="15296" spans="1:1" ht="14.4">
      <c r="A15296" s="11"/>
    </row>
    <row r="15297" spans="1:1" ht="14.4">
      <c r="A15297" s="11"/>
    </row>
    <row r="15298" spans="1:1" ht="14.4">
      <c r="A15298" s="11"/>
    </row>
    <row r="15299" spans="1:1" ht="14.4">
      <c r="A15299" s="11"/>
    </row>
    <row r="15300" spans="1:1" ht="14.4">
      <c r="A15300" s="11"/>
    </row>
    <row r="15301" spans="1:1" ht="14.4">
      <c r="A15301" s="11"/>
    </row>
    <row r="15302" spans="1:1" ht="14.4">
      <c r="A15302" s="11"/>
    </row>
    <row r="15303" spans="1:1" ht="14.4">
      <c r="A15303" s="11"/>
    </row>
    <row r="15304" spans="1:1" ht="14.4">
      <c r="A15304" s="11"/>
    </row>
    <row r="15305" spans="1:1" ht="14.4">
      <c r="A15305" s="11"/>
    </row>
    <row r="15306" spans="1:1" ht="14.4">
      <c r="A15306" s="11"/>
    </row>
    <row r="15307" spans="1:1" ht="14.4">
      <c r="A15307" s="11"/>
    </row>
    <row r="15308" spans="1:1" ht="14.4">
      <c r="A15308" s="11"/>
    </row>
    <row r="15309" spans="1:1" ht="14.4">
      <c r="A15309" s="11"/>
    </row>
    <row r="15310" spans="1:1" ht="14.4">
      <c r="A15310" s="11"/>
    </row>
    <row r="15311" spans="1:1" ht="14.4">
      <c r="A15311" s="11"/>
    </row>
    <row r="15312" spans="1:1" ht="14.4">
      <c r="A15312" s="11"/>
    </row>
    <row r="15313" spans="1:1" ht="14.4">
      <c r="A15313" s="11"/>
    </row>
    <row r="15314" spans="1:1" ht="14.4">
      <c r="A15314" s="11"/>
    </row>
    <row r="15315" spans="1:1" ht="14.4">
      <c r="A15315" s="11"/>
    </row>
    <row r="15316" spans="1:1" ht="14.4">
      <c r="A15316" s="11"/>
    </row>
    <row r="15317" spans="1:1" ht="14.4">
      <c r="A15317" s="11"/>
    </row>
    <row r="15318" spans="1:1" ht="14.4">
      <c r="A15318" s="11"/>
    </row>
    <row r="15319" spans="1:1" ht="14.4">
      <c r="A15319" s="11"/>
    </row>
    <row r="15320" spans="1:1" ht="14.4">
      <c r="A15320" s="11"/>
    </row>
    <row r="15321" spans="1:1" ht="14.4">
      <c r="A15321" s="11"/>
    </row>
    <row r="15322" spans="1:1" ht="14.4">
      <c r="A15322" s="11"/>
    </row>
    <row r="15323" spans="1:1" ht="14.4">
      <c r="A15323" s="11"/>
    </row>
    <row r="15324" spans="1:1" ht="14.4">
      <c r="A15324" s="11"/>
    </row>
    <row r="15325" spans="1:1" ht="14.4">
      <c r="A15325" s="11"/>
    </row>
    <row r="15326" spans="1:1" ht="14.4">
      <c r="A15326" s="11"/>
    </row>
    <row r="15327" spans="1:1" ht="14.4">
      <c r="A15327" s="11"/>
    </row>
    <row r="15328" spans="1:1" ht="14.4">
      <c r="A15328" s="11"/>
    </row>
    <row r="15329" spans="1:1" ht="14.4">
      <c r="A15329" s="11"/>
    </row>
    <row r="15330" spans="1:1" ht="14.4">
      <c r="A15330" s="11"/>
    </row>
    <row r="15331" spans="1:1" ht="14.4">
      <c r="A15331" s="11"/>
    </row>
    <row r="15332" spans="1:1" ht="14.4">
      <c r="A15332" s="11"/>
    </row>
    <row r="15333" spans="1:1" ht="14.4">
      <c r="A15333" s="11"/>
    </row>
    <row r="15334" spans="1:1" ht="14.4">
      <c r="A15334" s="11"/>
    </row>
    <row r="15335" spans="1:1" ht="14.4">
      <c r="A15335" s="11"/>
    </row>
    <row r="15336" spans="1:1" ht="14.4">
      <c r="A15336" s="11"/>
    </row>
    <row r="15337" spans="1:1" ht="14.4">
      <c r="A15337" s="11"/>
    </row>
    <row r="15338" spans="1:1" ht="14.4">
      <c r="A15338" s="11"/>
    </row>
    <row r="15339" spans="1:1" ht="14.4">
      <c r="A15339" s="11"/>
    </row>
    <row r="15340" spans="1:1" ht="14.4">
      <c r="A15340" s="11"/>
    </row>
    <row r="15341" spans="1:1" ht="14.4">
      <c r="A15341" s="11"/>
    </row>
    <row r="15342" spans="1:1" ht="14.4">
      <c r="A15342" s="11"/>
    </row>
    <row r="15343" spans="1:1" ht="14.4">
      <c r="A15343" s="11"/>
    </row>
    <row r="15344" spans="1:1" ht="14.4">
      <c r="A15344" s="11"/>
    </row>
    <row r="15345" spans="1:1" ht="14.4">
      <c r="A15345" s="11"/>
    </row>
    <row r="15346" spans="1:1" ht="14.4">
      <c r="A15346" s="11"/>
    </row>
    <row r="15347" spans="1:1" ht="14.4">
      <c r="A15347" s="11"/>
    </row>
    <row r="15348" spans="1:1" ht="14.4">
      <c r="A15348" s="11"/>
    </row>
    <row r="15349" spans="1:1" ht="14.4">
      <c r="A15349" s="11"/>
    </row>
    <row r="15350" spans="1:1" ht="14.4">
      <c r="A15350" s="11"/>
    </row>
    <row r="15351" spans="1:1" ht="14.4">
      <c r="A15351" s="11"/>
    </row>
    <row r="15352" spans="1:1" ht="14.4">
      <c r="A15352" s="11"/>
    </row>
    <row r="15353" spans="1:1" ht="14.4">
      <c r="A15353" s="11"/>
    </row>
    <row r="15354" spans="1:1" ht="14.4">
      <c r="A15354" s="11"/>
    </row>
    <row r="15355" spans="1:1" ht="14.4">
      <c r="A15355" s="11"/>
    </row>
    <row r="15356" spans="1:1" ht="14.4">
      <c r="A15356" s="11"/>
    </row>
    <row r="15357" spans="1:1" ht="14.4">
      <c r="A15357" s="11"/>
    </row>
    <row r="15358" spans="1:1" ht="14.4">
      <c r="A15358" s="11"/>
    </row>
    <row r="15359" spans="1:1" ht="14.4">
      <c r="A15359" s="11"/>
    </row>
    <row r="15360" spans="1:1" ht="14.4">
      <c r="A15360" s="11"/>
    </row>
    <row r="15361" spans="1:1" ht="14.4">
      <c r="A15361" s="11"/>
    </row>
    <row r="15362" spans="1:1" ht="14.4">
      <c r="A15362" s="11"/>
    </row>
    <row r="15363" spans="1:1" ht="14.4">
      <c r="A15363" s="11"/>
    </row>
    <row r="15364" spans="1:1" ht="14.4">
      <c r="A15364" s="11"/>
    </row>
    <row r="15365" spans="1:1" ht="14.4">
      <c r="A15365" s="11"/>
    </row>
    <row r="15366" spans="1:1" ht="14.4">
      <c r="A15366" s="11"/>
    </row>
    <row r="15367" spans="1:1" ht="14.4">
      <c r="A15367" s="11"/>
    </row>
    <row r="15368" spans="1:1" ht="14.4">
      <c r="A15368" s="11"/>
    </row>
    <row r="15369" spans="1:1" ht="14.4">
      <c r="A15369" s="11"/>
    </row>
    <row r="15370" spans="1:1" ht="14.4">
      <c r="A15370" s="11"/>
    </row>
    <row r="15371" spans="1:1" ht="14.4">
      <c r="A15371" s="11"/>
    </row>
    <row r="15372" spans="1:1" ht="14.4">
      <c r="A15372" s="11"/>
    </row>
    <row r="15373" spans="1:1" ht="14.4">
      <c r="A15373" s="11"/>
    </row>
    <row r="15374" spans="1:1" ht="14.4">
      <c r="A15374" s="11"/>
    </row>
    <row r="15375" spans="1:1" ht="14.4">
      <c r="A15375" s="11"/>
    </row>
    <row r="15376" spans="1:1" ht="14.4">
      <c r="A15376" s="11"/>
    </row>
    <row r="15377" spans="1:1" ht="14.4">
      <c r="A15377" s="11"/>
    </row>
    <row r="15378" spans="1:1" ht="14.4">
      <c r="A15378" s="11"/>
    </row>
    <row r="15379" spans="1:1" ht="14.4">
      <c r="A15379" s="11"/>
    </row>
    <row r="15380" spans="1:1" ht="14.4">
      <c r="A15380" s="11"/>
    </row>
    <row r="15381" spans="1:1" ht="14.4">
      <c r="A15381" s="11"/>
    </row>
    <row r="15382" spans="1:1" ht="14.4">
      <c r="A15382" s="11"/>
    </row>
    <row r="15383" spans="1:1" ht="14.4">
      <c r="A15383" s="11"/>
    </row>
    <row r="15384" spans="1:1" ht="14.4">
      <c r="A15384" s="11"/>
    </row>
    <row r="15385" spans="1:1" ht="14.4">
      <c r="A15385" s="11"/>
    </row>
    <row r="15386" spans="1:1" ht="14.4">
      <c r="A15386" s="11"/>
    </row>
    <row r="15387" spans="1:1" ht="14.4">
      <c r="A15387" s="11"/>
    </row>
    <row r="15388" spans="1:1" ht="14.4">
      <c r="A15388" s="11"/>
    </row>
    <row r="15389" spans="1:1" ht="14.4">
      <c r="A15389" s="11"/>
    </row>
    <row r="15390" spans="1:1" ht="14.4">
      <c r="A15390" s="11"/>
    </row>
    <row r="15391" spans="1:1" ht="14.4">
      <c r="A15391" s="11"/>
    </row>
    <row r="15392" spans="1:1" ht="14.4">
      <c r="A15392" s="11"/>
    </row>
    <row r="15393" spans="1:1" ht="14.4">
      <c r="A15393" s="11"/>
    </row>
    <row r="15394" spans="1:1" ht="14.4">
      <c r="A15394" s="11"/>
    </row>
    <row r="15395" spans="1:1" ht="14.4">
      <c r="A15395" s="11"/>
    </row>
    <row r="15396" spans="1:1" ht="14.4">
      <c r="A15396" s="11"/>
    </row>
    <row r="15397" spans="1:1" ht="14.4">
      <c r="A15397" s="11"/>
    </row>
    <row r="15398" spans="1:1" ht="14.4">
      <c r="A15398" s="11"/>
    </row>
    <row r="15399" spans="1:1" ht="14.4">
      <c r="A15399" s="11"/>
    </row>
    <row r="15400" spans="1:1" ht="14.4">
      <c r="A15400" s="11"/>
    </row>
    <row r="15401" spans="1:1" ht="14.4">
      <c r="A15401" s="11"/>
    </row>
    <row r="15402" spans="1:1" ht="14.4">
      <c r="A15402" s="11"/>
    </row>
    <row r="15403" spans="1:1" ht="14.4">
      <c r="A15403" s="11"/>
    </row>
    <row r="15404" spans="1:1" ht="14.4">
      <c r="A15404" s="11"/>
    </row>
    <row r="15405" spans="1:1" ht="14.4">
      <c r="A15405" s="11"/>
    </row>
    <row r="15406" spans="1:1" ht="14.4">
      <c r="A15406" s="11"/>
    </row>
    <row r="15407" spans="1:1" ht="14.4">
      <c r="A15407" s="11"/>
    </row>
    <row r="15408" spans="1:1" ht="14.4">
      <c r="A15408" s="11"/>
    </row>
    <row r="15409" spans="1:1" ht="14.4">
      <c r="A15409" s="11"/>
    </row>
    <row r="15410" spans="1:1" ht="14.4">
      <c r="A15410" s="11"/>
    </row>
    <row r="15411" spans="1:1" ht="14.4">
      <c r="A15411" s="11"/>
    </row>
    <row r="15412" spans="1:1" ht="14.4">
      <c r="A15412" s="11"/>
    </row>
    <row r="15413" spans="1:1" ht="14.4">
      <c r="A15413" s="11"/>
    </row>
    <row r="15414" spans="1:1" ht="14.4">
      <c r="A15414" s="11"/>
    </row>
    <row r="15415" spans="1:1" ht="14.4">
      <c r="A15415" s="11"/>
    </row>
    <row r="15416" spans="1:1" ht="14.4">
      <c r="A15416" s="11"/>
    </row>
    <row r="15417" spans="1:1" ht="14.4">
      <c r="A15417" s="11"/>
    </row>
    <row r="15418" spans="1:1" ht="14.4">
      <c r="A15418" s="11"/>
    </row>
    <row r="15419" spans="1:1" ht="14.4">
      <c r="A15419" s="11"/>
    </row>
    <row r="15420" spans="1:1" ht="14.4">
      <c r="A15420" s="11"/>
    </row>
    <row r="15421" spans="1:1" ht="14.4">
      <c r="A15421" s="11"/>
    </row>
    <row r="15422" spans="1:1" ht="14.4">
      <c r="A15422" s="11"/>
    </row>
    <row r="15423" spans="1:1" ht="14.4">
      <c r="A15423" s="11"/>
    </row>
    <row r="15424" spans="1:1" ht="14.4">
      <c r="A15424" s="11"/>
    </row>
    <row r="15425" spans="1:1" ht="14.4">
      <c r="A15425" s="11"/>
    </row>
    <row r="15426" spans="1:1" ht="14.4">
      <c r="A15426" s="11"/>
    </row>
    <row r="15427" spans="1:1" ht="14.4">
      <c r="A15427" s="11"/>
    </row>
    <row r="15428" spans="1:1" ht="14.4">
      <c r="A15428" s="11"/>
    </row>
    <row r="15429" spans="1:1" ht="14.4">
      <c r="A15429" s="11"/>
    </row>
    <row r="15430" spans="1:1" ht="14.4">
      <c r="A15430" s="11"/>
    </row>
    <row r="15431" spans="1:1" ht="14.4">
      <c r="A15431" s="11"/>
    </row>
    <row r="15432" spans="1:1" ht="14.4">
      <c r="A15432" s="11"/>
    </row>
    <row r="15433" spans="1:1" ht="14.4">
      <c r="A15433" s="11"/>
    </row>
    <row r="15434" spans="1:1" ht="14.4">
      <c r="A15434" s="11"/>
    </row>
    <row r="15435" spans="1:1" ht="14.4">
      <c r="A15435" s="11"/>
    </row>
    <row r="15436" spans="1:1" ht="14.4">
      <c r="A15436" s="11"/>
    </row>
    <row r="15437" spans="1:1" ht="14.4">
      <c r="A15437" s="11"/>
    </row>
    <row r="15438" spans="1:1" ht="14.4">
      <c r="A15438" s="11"/>
    </row>
    <row r="15439" spans="1:1" ht="14.4">
      <c r="A15439" s="11"/>
    </row>
    <row r="15440" spans="1:1" ht="14.4">
      <c r="A15440" s="11"/>
    </row>
    <row r="15441" spans="1:1" ht="14.4">
      <c r="A15441" s="11"/>
    </row>
    <row r="15442" spans="1:1" ht="14.4">
      <c r="A15442" s="11"/>
    </row>
    <row r="15443" spans="1:1" ht="14.4">
      <c r="A15443" s="11"/>
    </row>
    <row r="15444" spans="1:1" ht="14.4">
      <c r="A15444" s="11"/>
    </row>
    <row r="15445" spans="1:1" ht="14.4">
      <c r="A15445" s="11"/>
    </row>
    <row r="15446" spans="1:1" ht="14.4">
      <c r="A15446" s="11"/>
    </row>
    <row r="15447" spans="1:1" ht="14.4">
      <c r="A15447" s="11"/>
    </row>
    <row r="15448" spans="1:1" ht="14.4">
      <c r="A15448" s="11"/>
    </row>
    <row r="15449" spans="1:1" ht="14.4">
      <c r="A15449" s="11"/>
    </row>
    <row r="15450" spans="1:1" ht="14.4">
      <c r="A15450" s="11"/>
    </row>
    <row r="15451" spans="1:1" ht="14.4">
      <c r="A15451" s="11"/>
    </row>
    <row r="15452" spans="1:1" ht="14.4">
      <c r="A15452" s="11"/>
    </row>
    <row r="15453" spans="1:1" ht="14.4">
      <c r="A15453" s="11"/>
    </row>
    <row r="15454" spans="1:1" ht="14.4">
      <c r="A15454" s="11"/>
    </row>
    <row r="15455" spans="1:1" ht="14.4">
      <c r="A15455" s="11"/>
    </row>
    <row r="15456" spans="1:1" ht="14.4">
      <c r="A15456" s="11"/>
    </row>
    <row r="15457" spans="1:1" ht="14.4">
      <c r="A15457" s="11"/>
    </row>
    <row r="15458" spans="1:1" ht="14.4">
      <c r="A15458" s="11"/>
    </row>
    <row r="15459" spans="1:1" ht="14.4">
      <c r="A15459" s="11"/>
    </row>
    <row r="15460" spans="1:1" ht="14.4">
      <c r="A15460" s="11"/>
    </row>
    <row r="15461" spans="1:1" ht="14.4">
      <c r="A15461" s="11"/>
    </row>
    <row r="15462" spans="1:1" ht="14.4">
      <c r="A15462" s="11"/>
    </row>
    <row r="15463" spans="1:1" ht="14.4">
      <c r="A15463" s="11"/>
    </row>
    <row r="15464" spans="1:1" ht="14.4">
      <c r="A15464" s="11"/>
    </row>
    <row r="15465" spans="1:1" ht="14.4">
      <c r="A15465" s="11"/>
    </row>
    <row r="15466" spans="1:1" ht="14.4">
      <c r="A15466" s="11"/>
    </row>
    <row r="15467" spans="1:1" ht="14.4">
      <c r="A15467" s="11"/>
    </row>
    <row r="15468" spans="1:1" ht="14.4">
      <c r="A15468" s="11"/>
    </row>
    <row r="15469" spans="1:1" ht="14.4">
      <c r="A15469" s="11"/>
    </row>
    <row r="15470" spans="1:1" ht="14.4">
      <c r="A15470" s="11"/>
    </row>
    <row r="15471" spans="1:1" ht="14.4">
      <c r="A15471" s="11"/>
    </row>
    <row r="15472" spans="1:1" ht="14.4">
      <c r="A15472" s="11"/>
    </row>
    <row r="15473" spans="1:1" ht="14.4">
      <c r="A15473" s="11"/>
    </row>
    <row r="15474" spans="1:1" ht="14.4">
      <c r="A15474" s="11"/>
    </row>
    <row r="15475" spans="1:1" ht="14.4">
      <c r="A15475" s="11"/>
    </row>
    <row r="15476" spans="1:1" ht="14.4">
      <c r="A15476" s="11"/>
    </row>
    <row r="15477" spans="1:1" ht="14.4">
      <c r="A15477" s="11"/>
    </row>
    <row r="15478" spans="1:1" ht="14.4">
      <c r="A15478" s="11"/>
    </row>
    <row r="15479" spans="1:1" ht="14.4">
      <c r="A15479" s="11"/>
    </row>
    <row r="15480" spans="1:1" ht="14.4">
      <c r="A15480" s="11"/>
    </row>
    <row r="15481" spans="1:1" ht="14.4">
      <c r="A15481" s="11"/>
    </row>
    <row r="15482" spans="1:1" ht="14.4">
      <c r="A15482" s="11"/>
    </row>
    <row r="15483" spans="1:1" ht="14.4">
      <c r="A15483" s="11"/>
    </row>
    <row r="15484" spans="1:1" ht="14.4">
      <c r="A15484" s="11"/>
    </row>
    <row r="15485" spans="1:1" ht="14.4">
      <c r="A15485" s="11"/>
    </row>
    <row r="15486" spans="1:1" ht="14.4">
      <c r="A15486" s="11"/>
    </row>
    <row r="15487" spans="1:1" ht="14.4">
      <c r="A15487" s="11"/>
    </row>
    <row r="15488" spans="1:1" ht="14.4">
      <c r="A15488" s="11"/>
    </row>
    <row r="15489" spans="1:1" ht="14.4">
      <c r="A15489" s="11"/>
    </row>
    <row r="15490" spans="1:1" ht="14.4">
      <c r="A15490" s="11"/>
    </row>
    <row r="15491" spans="1:1" ht="14.4">
      <c r="A15491" s="11"/>
    </row>
    <row r="15492" spans="1:1" ht="14.4">
      <c r="A15492" s="11"/>
    </row>
    <row r="15493" spans="1:1" ht="14.4">
      <c r="A15493" s="11"/>
    </row>
    <row r="15494" spans="1:1" ht="14.4">
      <c r="A15494" s="11"/>
    </row>
    <row r="15495" spans="1:1" ht="14.4">
      <c r="A15495" s="11"/>
    </row>
    <row r="15496" spans="1:1" ht="14.4">
      <c r="A15496" s="11"/>
    </row>
    <row r="15497" spans="1:1" ht="14.4">
      <c r="A15497" s="11"/>
    </row>
    <row r="15498" spans="1:1" ht="14.4">
      <c r="A15498" s="11"/>
    </row>
    <row r="15499" spans="1:1" ht="14.4">
      <c r="A15499" s="11"/>
    </row>
    <row r="15500" spans="1:1" ht="14.4">
      <c r="A15500" s="11"/>
    </row>
    <row r="15501" spans="1:1" ht="14.4">
      <c r="A15501" s="11"/>
    </row>
    <row r="15502" spans="1:1" ht="14.4">
      <c r="A15502" s="11"/>
    </row>
    <row r="15503" spans="1:1" ht="14.4">
      <c r="A15503" s="11"/>
    </row>
    <row r="15504" spans="1:1" ht="14.4">
      <c r="A15504" s="11"/>
    </row>
    <row r="15505" spans="1:1" ht="14.4">
      <c r="A15505" s="11"/>
    </row>
    <row r="15506" spans="1:1" ht="14.4">
      <c r="A15506" s="11"/>
    </row>
    <row r="15507" spans="1:1" ht="14.4">
      <c r="A15507" s="11"/>
    </row>
    <row r="15508" spans="1:1" ht="14.4">
      <c r="A15508" s="11"/>
    </row>
    <row r="15509" spans="1:1" ht="14.4">
      <c r="A15509" s="11"/>
    </row>
    <row r="15510" spans="1:1" ht="14.4">
      <c r="A15510" s="11"/>
    </row>
    <row r="15511" spans="1:1" ht="14.4">
      <c r="A15511" s="11"/>
    </row>
    <row r="15512" spans="1:1" ht="14.4">
      <c r="A15512" s="11"/>
    </row>
    <row r="15513" spans="1:1" ht="14.4">
      <c r="A15513" s="11"/>
    </row>
    <row r="15514" spans="1:1" ht="14.4">
      <c r="A15514" s="11"/>
    </row>
    <row r="15515" spans="1:1" ht="14.4">
      <c r="A15515" s="11"/>
    </row>
    <row r="15516" spans="1:1" ht="14.4">
      <c r="A15516" s="11"/>
    </row>
    <row r="15517" spans="1:1" ht="14.4">
      <c r="A15517" s="11"/>
    </row>
    <row r="15518" spans="1:1" ht="14.4">
      <c r="A15518" s="11"/>
    </row>
    <row r="15519" spans="1:1" ht="14.4">
      <c r="A15519" s="11"/>
    </row>
    <row r="15520" spans="1:1" ht="14.4">
      <c r="A15520" s="11"/>
    </row>
    <row r="15521" spans="1:1" ht="14.4">
      <c r="A15521" s="11"/>
    </row>
    <row r="15522" spans="1:1" ht="14.4">
      <c r="A15522" s="11"/>
    </row>
    <row r="15523" spans="1:1" ht="14.4">
      <c r="A15523" s="11"/>
    </row>
    <row r="15524" spans="1:1" ht="14.4">
      <c r="A15524" s="11"/>
    </row>
    <row r="15525" spans="1:1" ht="14.4">
      <c r="A15525" s="11"/>
    </row>
    <row r="15526" spans="1:1" ht="14.4">
      <c r="A15526" s="11"/>
    </row>
    <row r="15527" spans="1:1" ht="14.4">
      <c r="A15527" s="11"/>
    </row>
    <row r="15528" spans="1:1" ht="14.4">
      <c r="A15528" s="11"/>
    </row>
    <row r="15529" spans="1:1" ht="14.4">
      <c r="A15529" s="11"/>
    </row>
    <row r="15530" spans="1:1" ht="14.4">
      <c r="A15530" s="11"/>
    </row>
    <row r="15531" spans="1:1" ht="14.4">
      <c r="A15531" s="11"/>
    </row>
    <row r="15532" spans="1:1" ht="14.4">
      <c r="A15532" s="11"/>
    </row>
    <row r="15533" spans="1:1" ht="14.4">
      <c r="A15533" s="11"/>
    </row>
    <row r="15534" spans="1:1" ht="14.4">
      <c r="A15534" s="11"/>
    </row>
    <row r="15535" spans="1:1" ht="14.4">
      <c r="A15535" s="11"/>
    </row>
    <row r="15536" spans="1:1" ht="14.4">
      <c r="A15536" s="11"/>
    </row>
    <row r="15537" spans="1:1" ht="14.4">
      <c r="A15537" s="11"/>
    </row>
    <row r="15538" spans="1:1" ht="14.4">
      <c r="A15538" s="11"/>
    </row>
    <row r="15539" spans="1:1" ht="14.4">
      <c r="A15539" s="11"/>
    </row>
    <row r="15540" spans="1:1" ht="14.4">
      <c r="A15540" s="11"/>
    </row>
    <row r="15541" spans="1:1" ht="14.4">
      <c r="A15541" s="11"/>
    </row>
    <row r="15542" spans="1:1" ht="14.4">
      <c r="A15542" s="11"/>
    </row>
    <row r="15543" spans="1:1" ht="14.4">
      <c r="A15543" s="11"/>
    </row>
    <row r="15544" spans="1:1" ht="14.4">
      <c r="A15544" s="11"/>
    </row>
    <row r="15545" spans="1:1" ht="14.4">
      <c r="A15545" s="11"/>
    </row>
    <row r="15546" spans="1:1" ht="14.4">
      <c r="A15546" s="11"/>
    </row>
    <row r="15547" spans="1:1" ht="14.4">
      <c r="A15547" s="11"/>
    </row>
    <row r="15548" spans="1:1" ht="14.4">
      <c r="A15548" s="11"/>
    </row>
    <row r="15549" spans="1:1" ht="14.4">
      <c r="A15549" s="11"/>
    </row>
    <row r="15550" spans="1:1" ht="14.4">
      <c r="A15550" s="11"/>
    </row>
    <row r="15551" spans="1:1" ht="14.4">
      <c r="A15551" s="11"/>
    </row>
    <row r="15552" spans="1:1" ht="14.4">
      <c r="A15552" s="11"/>
    </row>
    <row r="15553" spans="1:1" ht="14.4">
      <c r="A15553" s="11"/>
    </row>
    <row r="15554" spans="1:1" ht="14.4">
      <c r="A15554" s="11"/>
    </row>
    <row r="15555" spans="1:1" ht="14.4">
      <c r="A15555" s="11"/>
    </row>
    <row r="15556" spans="1:1" ht="14.4">
      <c r="A15556" s="11"/>
    </row>
    <row r="15557" spans="1:1" ht="14.4">
      <c r="A15557" s="11"/>
    </row>
    <row r="15558" spans="1:1" ht="14.4">
      <c r="A15558" s="11"/>
    </row>
    <row r="15559" spans="1:1" ht="14.4">
      <c r="A15559" s="11"/>
    </row>
    <row r="15560" spans="1:1" ht="14.4">
      <c r="A15560" s="11"/>
    </row>
    <row r="15561" spans="1:1" ht="14.4">
      <c r="A15561" s="11"/>
    </row>
    <row r="15562" spans="1:1" ht="14.4">
      <c r="A15562" s="11"/>
    </row>
    <row r="15563" spans="1:1" ht="14.4">
      <c r="A15563" s="11"/>
    </row>
    <row r="15564" spans="1:1" ht="14.4">
      <c r="A15564" s="11"/>
    </row>
    <row r="15565" spans="1:1" ht="14.4">
      <c r="A15565" s="11"/>
    </row>
    <row r="15566" spans="1:1" ht="14.4">
      <c r="A15566" s="11"/>
    </row>
    <row r="15567" spans="1:1" ht="14.4">
      <c r="A15567" s="11"/>
    </row>
    <row r="15568" spans="1:1" ht="14.4">
      <c r="A15568" s="11"/>
    </row>
    <row r="15569" spans="1:1" ht="14.4">
      <c r="A15569" s="11"/>
    </row>
    <row r="15570" spans="1:1" ht="14.4">
      <c r="A15570" s="11"/>
    </row>
    <row r="15571" spans="1:1" ht="14.4">
      <c r="A15571" s="11"/>
    </row>
    <row r="15572" spans="1:1" ht="14.4">
      <c r="A15572" s="11"/>
    </row>
    <row r="15573" spans="1:1" ht="14.4">
      <c r="A15573" s="11"/>
    </row>
    <row r="15574" spans="1:1" ht="14.4">
      <c r="A15574" s="11"/>
    </row>
    <row r="15575" spans="1:1" ht="14.4">
      <c r="A15575" s="11"/>
    </row>
    <row r="15576" spans="1:1" ht="14.4">
      <c r="A15576" s="11"/>
    </row>
    <row r="15577" spans="1:1" ht="14.4">
      <c r="A15577" s="11"/>
    </row>
    <row r="15578" spans="1:1" ht="14.4">
      <c r="A15578" s="11"/>
    </row>
    <row r="15579" spans="1:1" ht="14.4">
      <c r="A15579" s="11"/>
    </row>
    <row r="15580" spans="1:1" ht="14.4">
      <c r="A15580" s="11"/>
    </row>
    <row r="15581" spans="1:1" ht="14.4">
      <c r="A15581" s="11"/>
    </row>
    <row r="15582" spans="1:1" ht="14.4">
      <c r="A15582" s="11"/>
    </row>
    <row r="15583" spans="1:1" ht="14.4">
      <c r="A15583" s="11"/>
    </row>
    <row r="15584" spans="1:1" ht="14.4">
      <c r="A15584" s="11"/>
    </row>
    <row r="15585" spans="1:1" ht="14.4">
      <c r="A15585" s="11"/>
    </row>
    <row r="15586" spans="1:1" ht="14.4">
      <c r="A15586" s="11"/>
    </row>
    <row r="15587" spans="1:1" ht="14.4">
      <c r="A15587" s="11"/>
    </row>
    <row r="15588" spans="1:1" ht="14.4">
      <c r="A15588" s="11"/>
    </row>
    <row r="15589" spans="1:1" ht="14.4">
      <c r="A15589" s="11"/>
    </row>
    <row r="15590" spans="1:1" ht="14.4">
      <c r="A15590" s="11"/>
    </row>
    <row r="15591" spans="1:1" ht="14.4">
      <c r="A15591" s="11"/>
    </row>
    <row r="15592" spans="1:1" ht="14.4">
      <c r="A15592" s="11"/>
    </row>
    <row r="15593" spans="1:1" ht="14.4">
      <c r="A15593" s="11"/>
    </row>
    <row r="15594" spans="1:1" ht="14.4">
      <c r="A15594" s="11"/>
    </row>
    <row r="15595" spans="1:1" ht="14.4">
      <c r="A15595" s="11"/>
    </row>
    <row r="15596" spans="1:1" ht="14.4">
      <c r="A15596" s="11"/>
    </row>
    <row r="15597" spans="1:1" ht="14.4">
      <c r="A15597" s="11"/>
    </row>
    <row r="15598" spans="1:1" ht="14.4">
      <c r="A15598" s="11"/>
    </row>
    <row r="15599" spans="1:1" ht="14.4">
      <c r="A15599" s="11"/>
    </row>
    <row r="15600" spans="1:1" ht="14.4">
      <c r="A15600" s="11"/>
    </row>
    <row r="15601" spans="1:1" ht="14.4">
      <c r="A15601" s="11"/>
    </row>
    <row r="15602" spans="1:1" ht="14.4">
      <c r="A15602" s="11"/>
    </row>
    <row r="15603" spans="1:1" ht="14.4">
      <c r="A15603" s="11"/>
    </row>
    <row r="15604" spans="1:1" ht="14.4">
      <c r="A15604" s="11"/>
    </row>
    <row r="15605" spans="1:1" ht="14.4">
      <c r="A15605" s="11"/>
    </row>
    <row r="15606" spans="1:1" ht="14.4">
      <c r="A15606" s="11"/>
    </row>
    <row r="15607" spans="1:1" ht="14.4">
      <c r="A15607" s="11"/>
    </row>
    <row r="15608" spans="1:1" ht="14.4">
      <c r="A15608" s="11"/>
    </row>
    <row r="15609" spans="1:1" ht="14.4">
      <c r="A15609" s="11"/>
    </row>
    <row r="15610" spans="1:1" ht="14.4">
      <c r="A15610" s="11"/>
    </row>
    <row r="15611" spans="1:1" ht="14.4">
      <c r="A15611" s="11"/>
    </row>
    <row r="15612" spans="1:1" ht="14.4">
      <c r="A15612" s="11"/>
    </row>
    <row r="15613" spans="1:1" ht="14.4">
      <c r="A15613" s="11"/>
    </row>
    <row r="15614" spans="1:1" ht="14.4">
      <c r="A15614" s="11"/>
    </row>
    <row r="15615" spans="1:1" ht="14.4">
      <c r="A15615" s="11"/>
    </row>
    <row r="15616" spans="1:1" ht="14.4">
      <c r="A15616" s="11"/>
    </row>
    <row r="15617" spans="1:1" ht="14.4">
      <c r="A15617" s="11"/>
    </row>
    <row r="15618" spans="1:1" ht="14.4">
      <c r="A15618" s="11"/>
    </row>
    <row r="15619" spans="1:1" ht="14.4">
      <c r="A15619" s="11"/>
    </row>
    <row r="15620" spans="1:1" ht="14.4">
      <c r="A15620" s="11"/>
    </row>
    <row r="15621" spans="1:1" ht="14.4">
      <c r="A15621" s="11"/>
    </row>
    <row r="15622" spans="1:1" ht="14.4">
      <c r="A15622" s="11"/>
    </row>
    <row r="15623" spans="1:1" ht="14.4">
      <c r="A15623" s="11"/>
    </row>
    <row r="15624" spans="1:1" ht="14.4">
      <c r="A15624" s="11"/>
    </row>
    <row r="15625" spans="1:1" ht="14.4">
      <c r="A15625" s="11"/>
    </row>
    <row r="15626" spans="1:1" ht="14.4">
      <c r="A15626" s="11"/>
    </row>
    <row r="15627" spans="1:1" ht="14.4">
      <c r="A15627" s="11"/>
    </row>
    <row r="15628" spans="1:1" ht="14.4">
      <c r="A15628" s="11"/>
    </row>
    <row r="15629" spans="1:1" ht="14.4">
      <c r="A15629" s="11"/>
    </row>
    <row r="15630" spans="1:1" ht="14.4">
      <c r="A15630" s="11"/>
    </row>
    <row r="15631" spans="1:1" ht="14.4">
      <c r="A15631" s="11"/>
    </row>
    <row r="15632" spans="1:1" ht="14.4">
      <c r="A15632" s="11"/>
    </row>
    <row r="15633" spans="1:1" ht="14.4">
      <c r="A15633" s="11"/>
    </row>
    <row r="15634" spans="1:1" ht="14.4">
      <c r="A15634" s="11"/>
    </row>
    <row r="15635" spans="1:1" ht="14.4">
      <c r="A15635" s="11"/>
    </row>
    <row r="15636" spans="1:1" ht="14.4">
      <c r="A15636" s="11"/>
    </row>
    <row r="15637" spans="1:1" ht="14.4">
      <c r="A15637" s="11"/>
    </row>
    <row r="15638" spans="1:1" ht="14.4">
      <c r="A15638" s="11"/>
    </row>
    <row r="15639" spans="1:1" ht="14.4">
      <c r="A15639" s="11"/>
    </row>
    <row r="15640" spans="1:1" ht="14.4">
      <c r="A15640" s="11"/>
    </row>
    <row r="15641" spans="1:1" ht="14.4">
      <c r="A15641" s="11"/>
    </row>
    <row r="15642" spans="1:1" ht="14.4">
      <c r="A15642" s="11"/>
    </row>
    <row r="15643" spans="1:1" ht="14.4">
      <c r="A15643" s="11"/>
    </row>
    <row r="15644" spans="1:1" ht="14.4">
      <c r="A15644" s="11"/>
    </row>
    <row r="15645" spans="1:1" ht="14.4">
      <c r="A15645" s="11"/>
    </row>
    <row r="15646" spans="1:1" ht="14.4">
      <c r="A15646" s="11"/>
    </row>
    <row r="15647" spans="1:1" ht="14.4">
      <c r="A15647" s="11"/>
    </row>
    <row r="15648" spans="1:1" ht="14.4">
      <c r="A15648" s="11"/>
    </row>
    <row r="15649" spans="1:1" ht="14.4">
      <c r="A15649" s="11"/>
    </row>
    <row r="15650" spans="1:1" ht="14.4">
      <c r="A15650" s="11"/>
    </row>
    <row r="15651" spans="1:1" ht="14.4">
      <c r="A15651" s="11"/>
    </row>
    <row r="15652" spans="1:1" ht="14.4">
      <c r="A15652" s="11"/>
    </row>
    <row r="15653" spans="1:1" ht="14.4">
      <c r="A15653" s="11"/>
    </row>
    <row r="15654" spans="1:1" ht="14.4">
      <c r="A15654" s="11"/>
    </row>
    <row r="15655" spans="1:1" ht="14.4">
      <c r="A15655" s="11"/>
    </row>
    <row r="15656" spans="1:1" ht="14.4">
      <c r="A15656" s="11"/>
    </row>
    <row r="15657" spans="1:1" ht="14.4">
      <c r="A15657" s="11"/>
    </row>
    <row r="15658" spans="1:1" ht="14.4">
      <c r="A15658" s="11"/>
    </row>
    <row r="15659" spans="1:1" ht="14.4">
      <c r="A15659" s="11"/>
    </row>
    <row r="15660" spans="1:1" ht="14.4">
      <c r="A15660" s="11"/>
    </row>
    <row r="15661" spans="1:1" ht="14.4">
      <c r="A15661" s="11"/>
    </row>
    <row r="15662" spans="1:1" ht="14.4">
      <c r="A15662" s="11"/>
    </row>
    <row r="15663" spans="1:1" ht="14.4">
      <c r="A15663" s="11"/>
    </row>
    <row r="15664" spans="1:1" ht="14.4">
      <c r="A15664" s="11"/>
    </row>
    <row r="15665" spans="1:1" ht="14.4">
      <c r="A15665" s="11"/>
    </row>
    <row r="15666" spans="1:1" ht="14.4">
      <c r="A15666" s="11"/>
    </row>
    <row r="15667" spans="1:1" ht="14.4">
      <c r="A15667" s="11"/>
    </row>
    <row r="15668" spans="1:1" ht="14.4">
      <c r="A15668" s="11"/>
    </row>
    <row r="15669" spans="1:1" ht="14.4">
      <c r="A15669" s="11"/>
    </row>
    <row r="15670" spans="1:1" ht="14.4">
      <c r="A15670" s="11"/>
    </row>
    <row r="15671" spans="1:1" ht="14.4">
      <c r="A15671" s="11"/>
    </row>
    <row r="15672" spans="1:1" ht="14.4">
      <c r="A15672" s="11"/>
    </row>
    <row r="15673" spans="1:1" ht="14.4">
      <c r="A15673" s="11"/>
    </row>
    <row r="15674" spans="1:1" ht="14.4">
      <c r="A15674" s="11"/>
    </row>
    <row r="15675" spans="1:1" ht="14.4">
      <c r="A15675" s="11"/>
    </row>
    <row r="15676" spans="1:1" ht="14.4">
      <c r="A15676" s="11"/>
    </row>
    <row r="15677" spans="1:1" ht="14.4">
      <c r="A15677" s="11"/>
    </row>
    <row r="15678" spans="1:1" ht="14.4">
      <c r="A15678" s="11"/>
    </row>
    <row r="15679" spans="1:1" ht="14.4">
      <c r="A15679" s="11"/>
    </row>
    <row r="15680" spans="1:1" ht="14.4">
      <c r="A15680" s="11"/>
    </row>
    <row r="15681" spans="1:1" ht="14.4">
      <c r="A15681" s="11"/>
    </row>
    <row r="15682" spans="1:1" ht="14.4">
      <c r="A15682" s="11"/>
    </row>
    <row r="15683" spans="1:1" ht="14.4">
      <c r="A15683" s="11"/>
    </row>
    <row r="15684" spans="1:1" ht="14.4">
      <c r="A15684" s="11"/>
    </row>
    <row r="15685" spans="1:1" ht="14.4">
      <c r="A15685" s="11"/>
    </row>
    <row r="15686" spans="1:1" ht="14.4">
      <c r="A15686" s="11"/>
    </row>
    <row r="15687" spans="1:1" ht="14.4">
      <c r="A15687" s="11"/>
    </row>
    <row r="15688" spans="1:1" ht="14.4">
      <c r="A15688" s="11"/>
    </row>
    <row r="15689" spans="1:1" ht="14.4">
      <c r="A15689" s="11"/>
    </row>
    <row r="15690" spans="1:1" ht="14.4">
      <c r="A15690" s="11"/>
    </row>
    <row r="15691" spans="1:1" ht="14.4">
      <c r="A15691" s="11"/>
    </row>
    <row r="15692" spans="1:1" ht="14.4">
      <c r="A15692" s="11"/>
    </row>
    <row r="15693" spans="1:1" ht="14.4">
      <c r="A15693" s="11"/>
    </row>
    <row r="15694" spans="1:1" ht="14.4">
      <c r="A15694" s="11"/>
    </row>
    <row r="15695" spans="1:1" ht="14.4">
      <c r="A15695" s="11"/>
    </row>
    <row r="15696" spans="1:1" ht="14.4">
      <c r="A15696" s="11"/>
    </row>
    <row r="15697" spans="1:1" ht="14.4">
      <c r="A15697" s="11"/>
    </row>
    <row r="15698" spans="1:1" ht="14.4">
      <c r="A15698" s="11"/>
    </row>
    <row r="15699" spans="1:1" ht="14.4">
      <c r="A15699" s="11"/>
    </row>
    <row r="15700" spans="1:1" ht="14.4">
      <c r="A15700" s="11"/>
    </row>
    <row r="15701" spans="1:1" ht="14.4">
      <c r="A15701" s="11"/>
    </row>
    <row r="15702" spans="1:1" ht="14.4">
      <c r="A15702" s="11"/>
    </row>
    <row r="15703" spans="1:1" ht="14.4">
      <c r="A15703" s="11"/>
    </row>
    <row r="15704" spans="1:1" ht="14.4">
      <c r="A15704" s="11"/>
    </row>
    <row r="15705" spans="1:1" ht="14.4">
      <c r="A15705" s="11"/>
    </row>
    <row r="15706" spans="1:1" ht="14.4">
      <c r="A15706" s="11"/>
    </row>
    <row r="15707" spans="1:1" ht="14.4">
      <c r="A15707" s="11"/>
    </row>
    <row r="15708" spans="1:1" ht="14.4">
      <c r="A15708" s="11"/>
    </row>
    <row r="15709" spans="1:1" ht="14.4">
      <c r="A15709" s="11"/>
    </row>
    <row r="15710" spans="1:1" ht="14.4">
      <c r="A15710" s="11"/>
    </row>
    <row r="15711" spans="1:1" ht="14.4">
      <c r="A15711" s="11"/>
    </row>
    <row r="15712" spans="1:1" ht="14.4">
      <c r="A15712" s="11"/>
    </row>
    <row r="15713" spans="1:1" ht="14.4">
      <c r="A15713" s="11"/>
    </row>
    <row r="15714" spans="1:1" ht="14.4">
      <c r="A15714" s="11"/>
    </row>
    <row r="15715" spans="1:1" ht="14.4">
      <c r="A15715" s="11"/>
    </row>
    <row r="15716" spans="1:1" ht="14.4">
      <c r="A15716" s="11"/>
    </row>
    <row r="15717" spans="1:1" ht="14.4">
      <c r="A15717" s="11"/>
    </row>
    <row r="15718" spans="1:1" ht="14.4">
      <c r="A15718" s="11"/>
    </row>
    <row r="15719" spans="1:1" ht="14.4">
      <c r="A15719" s="11"/>
    </row>
    <row r="15720" spans="1:1" ht="14.4">
      <c r="A15720" s="11"/>
    </row>
    <row r="15721" spans="1:1" ht="14.4">
      <c r="A15721" s="11"/>
    </row>
    <row r="15722" spans="1:1" ht="14.4">
      <c r="A15722" s="11"/>
    </row>
    <row r="15723" spans="1:1" ht="14.4">
      <c r="A15723" s="11"/>
    </row>
    <row r="15724" spans="1:1" ht="14.4">
      <c r="A15724" s="11"/>
    </row>
    <row r="15725" spans="1:1" ht="14.4">
      <c r="A15725" s="11"/>
    </row>
    <row r="15726" spans="1:1" ht="14.4">
      <c r="A15726" s="11"/>
    </row>
    <row r="15727" spans="1:1" ht="14.4">
      <c r="A15727" s="11"/>
    </row>
    <row r="15728" spans="1:1" ht="14.4">
      <c r="A15728" s="11"/>
    </row>
    <row r="15729" spans="1:1" ht="14.4">
      <c r="A15729" s="11"/>
    </row>
    <row r="15730" spans="1:1" ht="14.4">
      <c r="A15730" s="11"/>
    </row>
    <row r="15731" spans="1:1" ht="14.4">
      <c r="A15731" s="11"/>
    </row>
    <row r="15732" spans="1:1" ht="14.4">
      <c r="A15732" s="11"/>
    </row>
    <row r="15733" spans="1:1" ht="14.4">
      <c r="A15733" s="11"/>
    </row>
    <row r="15734" spans="1:1" ht="14.4">
      <c r="A15734" s="11"/>
    </row>
    <row r="15735" spans="1:1" ht="14.4">
      <c r="A15735" s="11"/>
    </row>
    <row r="15736" spans="1:1" ht="14.4">
      <c r="A15736" s="11"/>
    </row>
    <row r="15737" spans="1:1" ht="14.4">
      <c r="A15737" s="11"/>
    </row>
    <row r="15738" spans="1:1" ht="14.4">
      <c r="A15738" s="11"/>
    </row>
    <row r="15739" spans="1:1" ht="14.4">
      <c r="A15739" s="11"/>
    </row>
    <row r="15740" spans="1:1" ht="14.4">
      <c r="A15740" s="11"/>
    </row>
    <row r="15741" spans="1:1" ht="14.4">
      <c r="A15741" s="11"/>
    </row>
    <row r="15742" spans="1:1" ht="14.4">
      <c r="A15742" s="11"/>
    </row>
    <row r="15743" spans="1:1" ht="14.4">
      <c r="A15743" s="11"/>
    </row>
    <row r="15744" spans="1:1" ht="14.4">
      <c r="A15744" s="11"/>
    </row>
    <row r="15745" spans="1:1" ht="14.4">
      <c r="A15745" s="11"/>
    </row>
    <row r="15746" spans="1:1" ht="14.4">
      <c r="A15746" s="11"/>
    </row>
    <row r="15747" spans="1:1" ht="14.4">
      <c r="A15747" s="11"/>
    </row>
    <row r="15748" spans="1:1" ht="14.4">
      <c r="A15748" s="11"/>
    </row>
    <row r="15749" spans="1:1" ht="14.4">
      <c r="A15749" s="11"/>
    </row>
    <row r="15750" spans="1:1" ht="14.4">
      <c r="A15750" s="11"/>
    </row>
    <row r="15751" spans="1:1" ht="14.4">
      <c r="A15751" s="11"/>
    </row>
    <row r="15752" spans="1:1" ht="14.4">
      <c r="A15752" s="11"/>
    </row>
    <row r="15753" spans="1:1" ht="14.4">
      <c r="A15753" s="11"/>
    </row>
    <row r="15754" spans="1:1" ht="14.4">
      <c r="A15754" s="11"/>
    </row>
    <row r="15755" spans="1:1" ht="14.4">
      <c r="A15755" s="11"/>
    </row>
    <row r="15756" spans="1:1" ht="14.4">
      <c r="A15756" s="11"/>
    </row>
    <row r="15757" spans="1:1" ht="14.4">
      <c r="A15757" s="11"/>
    </row>
    <row r="15758" spans="1:1" ht="14.4">
      <c r="A15758" s="11"/>
    </row>
    <row r="15759" spans="1:1" ht="14.4">
      <c r="A15759" s="11"/>
    </row>
    <row r="15760" spans="1:1" ht="14.4">
      <c r="A15760" s="11"/>
    </row>
    <row r="15761" spans="1:1" ht="14.4">
      <c r="A15761" s="11"/>
    </row>
    <row r="15762" spans="1:1" ht="14.4">
      <c r="A15762" s="11"/>
    </row>
    <row r="15763" spans="1:1" ht="14.4">
      <c r="A15763" s="11"/>
    </row>
    <row r="15764" spans="1:1" ht="14.4">
      <c r="A15764" s="11"/>
    </row>
    <row r="15765" spans="1:1" ht="14.4">
      <c r="A15765" s="11"/>
    </row>
    <row r="15766" spans="1:1" ht="14.4">
      <c r="A15766" s="11"/>
    </row>
    <row r="15767" spans="1:1" ht="14.4">
      <c r="A15767" s="11"/>
    </row>
    <row r="15768" spans="1:1" ht="14.4">
      <c r="A15768" s="11"/>
    </row>
    <row r="15769" spans="1:1" ht="14.4">
      <c r="A15769" s="11"/>
    </row>
    <row r="15770" spans="1:1" ht="14.4">
      <c r="A15770" s="11"/>
    </row>
    <row r="15771" spans="1:1" ht="14.4">
      <c r="A15771" s="11"/>
    </row>
    <row r="15772" spans="1:1" ht="14.4">
      <c r="A15772" s="11"/>
    </row>
    <row r="15773" spans="1:1" ht="14.4">
      <c r="A15773" s="11"/>
    </row>
    <row r="15774" spans="1:1" ht="14.4">
      <c r="A15774" s="11"/>
    </row>
    <row r="15775" spans="1:1" ht="14.4">
      <c r="A15775" s="11"/>
    </row>
    <row r="15776" spans="1:1" ht="14.4">
      <c r="A15776" s="11"/>
    </row>
    <row r="15777" spans="1:1" ht="14.4">
      <c r="A15777" s="11"/>
    </row>
    <row r="15778" spans="1:1" ht="14.4">
      <c r="A15778" s="11"/>
    </row>
    <row r="15779" spans="1:1" ht="14.4">
      <c r="A15779" s="11"/>
    </row>
    <row r="15780" spans="1:1" ht="14.4">
      <c r="A15780" s="11"/>
    </row>
    <row r="15781" spans="1:1" ht="14.4">
      <c r="A15781" s="11"/>
    </row>
    <row r="15782" spans="1:1" ht="14.4">
      <c r="A15782" s="11"/>
    </row>
    <row r="15783" spans="1:1" ht="14.4">
      <c r="A15783" s="11"/>
    </row>
    <row r="15784" spans="1:1" ht="14.4">
      <c r="A15784" s="11"/>
    </row>
    <row r="15785" spans="1:1" ht="14.4">
      <c r="A15785" s="11"/>
    </row>
    <row r="15786" spans="1:1" ht="14.4">
      <c r="A15786" s="11"/>
    </row>
    <row r="15787" spans="1:1" ht="14.4">
      <c r="A15787" s="11"/>
    </row>
    <row r="15788" spans="1:1" ht="14.4">
      <c r="A15788" s="11"/>
    </row>
    <row r="15789" spans="1:1" ht="14.4">
      <c r="A15789" s="11"/>
    </row>
    <row r="15790" spans="1:1" ht="14.4">
      <c r="A15790" s="11"/>
    </row>
    <row r="15791" spans="1:1" ht="14.4">
      <c r="A15791" s="11"/>
    </row>
    <row r="15792" spans="1:1" ht="14.4">
      <c r="A15792" s="11"/>
    </row>
    <row r="15793" spans="1:1" ht="14.4">
      <c r="A15793" s="11"/>
    </row>
    <row r="15794" spans="1:1" ht="14.4">
      <c r="A15794" s="11"/>
    </row>
    <row r="15795" spans="1:1" ht="14.4">
      <c r="A15795" s="11"/>
    </row>
    <row r="15796" spans="1:1" ht="14.4">
      <c r="A15796" s="11"/>
    </row>
    <row r="15797" spans="1:1" ht="14.4">
      <c r="A15797" s="11"/>
    </row>
    <row r="15798" spans="1:1" ht="14.4">
      <c r="A15798" s="11"/>
    </row>
    <row r="15799" spans="1:1" ht="14.4">
      <c r="A15799" s="11"/>
    </row>
    <row r="15800" spans="1:1" ht="14.4">
      <c r="A15800" s="11"/>
    </row>
    <row r="15801" spans="1:1" ht="14.4">
      <c r="A15801" s="11"/>
    </row>
    <row r="15802" spans="1:1" ht="14.4">
      <c r="A15802" s="11"/>
    </row>
    <row r="15803" spans="1:1" ht="14.4">
      <c r="A15803" s="11"/>
    </row>
    <row r="15804" spans="1:1" ht="14.4">
      <c r="A15804" s="11"/>
    </row>
    <row r="15805" spans="1:1" ht="14.4">
      <c r="A15805" s="11"/>
    </row>
    <row r="15806" spans="1:1" ht="14.4">
      <c r="A15806" s="11"/>
    </row>
    <row r="15807" spans="1:1" ht="14.4">
      <c r="A15807" s="11"/>
    </row>
    <row r="15808" spans="1:1" ht="14.4">
      <c r="A15808" s="11"/>
    </row>
    <row r="15809" spans="1:1" ht="14.4">
      <c r="A15809" s="11"/>
    </row>
    <row r="15810" spans="1:1" ht="14.4">
      <c r="A15810" s="11"/>
    </row>
    <row r="15811" spans="1:1" ht="14.4">
      <c r="A15811" s="11"/>
    </row>
    <row r="15812" spans="1:1" ht="14.4">
      <c r="A15812" s="11"/>
    </row>
    <row r="15813" spans="1:1" ht="14.4">
      <c r="A15813" s="11"/>
    </row>
    <row r="15814" spans="1:1" ht="14.4">
      <c r="A15814" s="11"/>
    </row>
    <row r="15815" spans="1:1" ht="14.4">
      <c r="A15815" s="11"/>
    </row>
    <row r="15816" spans="1:1" ht="14.4">
      <c r="A15816" s="11"/>
    </row>
    <row r="15817" spans="1:1" ht="14.4">
      <c r="A15817" s="11"/>
    </row>
    <row r="15818" spans="1:1" ht="14.4">
      <c r="A15818" s="11"/>
    </row>
    <row r="15819" spans="1:1" ht="14.4">
      <c r="A15819" s="11"/>
    </row>
    <row r="15820" spans="1:1" ht="14.4">
      <c r="A15820" s="11"/>
    </row>
    <row r="15821" spans="1:1" ht="14.4">
      <c r="A15821" s="11"/>
    </row>
    <row r="15822" spans="1:1" ht="14.4">
      <c r="A15822" s="11"/>
    </row>
    <row r="15823" spans="1:1" ht="14.4">
      <c r="A15823" s="11"/>
    </row>
    <row r="15824" spans="1:1" ht="14.4">
      <c r="A15824" s="11"/>
    </row>
    <row r="15825" spans="1:1" ht="14.4">
      <c r="A15825" s="11"/>
    </row>
    <row r="15826" spans="1:1" ht="14.4">
      <c r="A15826" s="11"/>
    </row>
    <row r="15827" spans="1:1" ht="14.4">
      <c r="A15827" s="11"/>
    </row>
    <row r="15828" spans="1:1" ht="14.4">
      <c r="A15828" s="11"/>
    </row>
    <row r="15829" spans="1:1" ht="14.4">
      <c r="A15829" s="11"/>
    </row>
    <row r="15830" spans="1:1" ht="14.4">
      <c r="A15830" s="11"/>
    </row>
    <row r="15831" spans="1:1" ht="14.4">
      <c r="A15831" s="11"/>
    </row>
    <row r="15832" spans="1:1" ht="14.4">
      <c r="A15832" s="11"/>
    </row>
    <row r="15833" spans="1:1" ht="14.4">
      <c r="A15833" s="11"/>
    </row>
    <row r="15834" spans="1:1" ht="14.4">
      <c r="A15834" s="11"/>
    </row>
    <row r="15835" spans="1:1" ht="14.4">
      <c r="A15835" s="11"/>
    </row>
    <row r="15836" spans="1:1" ht="14.4">
      <c r="A15836" s="11"/>
    </row>
    <row r="15837" spans="1:1" ht="14.4">
      <c r="A15837" s="11"/>
    </row>
    <row r="15838" spans="1:1" ht="14.4">
      <c r="A15838" s="11"/>
    </row>
    <row r="15839" spans="1:1" ht="14.4">
      <c r="A15839" s="11"/>
    </row>
    <row r="15840" spans="1:1" ht="14.4">
      <c r="A15840" s="11"/>
    </row>
    <row r="15841" spans="1:1" ht="14.4">
      <c r="A15841" s="11"/>
    </row>
    <row r="15842" spans="1:1" ht="14.4">
      <c r="A15842" s="11"/>
    </row>
    <row r="15843" spans="1:1" ht="14.4">
      <c r="A15843" s="11"/>
    </row>
    <row r="15844" spans="1:1" ht="14.4">
      <c r="A15844" s="11"/>
    </row>
    <row r="15845" spans="1:1" ht="14.4">
      <c r="A15845" s="11"/>
    </row>
    <row r="15846" spans="1:1" ht="14.4">
      <c r="A15846" s="11"/>
    </row>
    <row r="15847" spans="1:1" ht="14.4">
      <c r="A15847" s="11"/>
    </row>
    <row r="15848" spans="1:1" ht="14.4">
      <c r="A15848" s="11"/>
    </row>
    <row r="15849" spans="1:1" ht="14.4">
      <c r="A15849" s="11"/>
    </row>
    <row r="15850" spans="1:1" ht="14.4">
      <c r="A15850" s="11"/>
    </row>
    <row r="15851" spans="1:1" ht="14.4">
      <c r="A15851" s="11"/>
    </row>
    <row r="15852" spans="1:1" ht="14.4">
      <c r="A15852" s="11"/>
    </row>
    <row r="15853" spans="1:1" ht="14.4">
      <c r="A15853" s="11"/>
    </row>
    <row r="15854" spans="1:1" ht="14.4">
      <c r="A15854" s="11"/>
    </row>
    <row r="15855" spans="1:1" ht="14.4">
      <c r="A15855" s="11"/>
    </row>
    <row r="15856" spans="1:1" ht="14.4">
      <c r="A15856" s="11"/>
    </row>
    <row r="15857" spans="1:1" ht="14.4">
      <c r="A15857" s="11"/>
    </row>
    <row r="15858" spans="1:1" ht="14.4">
      <c r="A15858" s="11"/>
    </row>
    <row r="15859" spans="1:1" ht="14.4">
      <c r="A15859" s="11"/>
    </row>
    <row r="15860" spans="1:1" ht="14.4">
      <c r="A15860" s="11"/>
    </row>
    <row r="15861" spans="1:1" ht="14.4">
      <c r="A15861" s="11"/>
    </row>
    <row r="15862" spans="1:1" ht="14.4">
      <c r="A15862" s="11"/>
    </row>
    <row r="15863" spans="1:1" ht="14.4">
      <c r="A15863" s="11"/>
    </row>
    <row r="15864" spans="1:1" ht="14.4">
      <c r="A15864" s="11"/>
    </row>
    <row r="15865" spans="1:1" ht="14.4">
      <c r="A15865" s="11"/>
    </row>
    <row r="15866" spans="1:1" ht="14.4">
      <c r="A15866" s="11"/>
    </row>
    <row r="15867" spans="1:1" ht="14.4">
      <c r="A15867" s="11"/>
    </row>
    <row r="15868" spans="1:1" ht="14.4">
      <c r="A15868" s="11"/>
    </row>
    <row r="15869" spans="1:1" ht="14.4">
      <c r="A15869" s="11"/>
    </row>
    <row r="15870" spans="1:1" ht="14.4">
      <c r="A15870" s="11"/>
    </row>
    <row r="15871" spans="1:1" ht="14.4">
      <c r="A15871" s="11"/>
    </row>
    <row r="15872" spans="1:1" ht="14.4">
      <c r="A15872" s="11"/>
    </row>
    <row r="15873" spans="1:1" ht="14.4">
      <c r="A15873" s="11"/>
    </row>
    <row r="15874" spans="1:1" ht="14.4">
      <c r="A15874" s="11"/>
    </row>
    <row r="15875" spans="1:1" ht="14.4">
      <c r="A15875" s="11"/>
    </row>
    <row r="15876" spans="1:1" ht="14.4">
      <c r="A15876" s="11"/>
    </row>
    <row r="15877" spans="1:1" ht="14.4">
      <c r="A15877" s="11"/>
    </row>
    <row r="15878" spans="1:1" ht="14.4">
      <c r="A15878" s="11"/>
    </row>
    <row r="15879" spans="1:1" ht="14.4">
      <c r="A15879" s="11"/>
    </row>
    <row r="15880" spans="1:1" ht="14.4">
      <c r="A15880" s="11"/>
    </row>
    <row r="15881" spans="1:1" ht="14.4">
      <c r="A15881" s="11"/>
    </row>
    <row r="15882" spans="1:1" ht="14.4">
      <c r="A15882" s="11"/>
    </row>
    <row r="15883" spans="1:1" ht="14.4">
      <c r="A15883" s="11"/>
    </row>
    <row r="15884" spans="1:1" ht="14.4">
      <c r="A15884" s="11"/>
    </row>
    <row r="15885" spans="1:1" ht="14.4">
      <c r="A15885" s="11"/>
    </row>
    <row r="15886" spans="1:1" ht="14.4">
      <c r="A15886" s="11"/>
    </row>
    <row r="15887" spans="1:1" ht="14.4">
      <c r="A15887" s="11"/>
    </row>
    <row r="15888" spans="1:1" ht="14.4">
      <c r="A15888" s="11"/>
    </row>
    <row r="15889" spans="1:1" ht="14.4">
      <c r="A15889" s="11"/>
    </row>
    <row r="15890" spans="1:1" ht="14.4">
      <c r="A15890" s="11"/>
    </row>
    <row r="15891" spans="1:1" ht="14.4">
      <c r="A15891" s="11"/>
    </row>
    <row r="15892" spans="1:1" ht="14.4">
      <c r="A15892" s="11"/>
    </row>
    <row r="15893" spans="1:1" ht="14.4">
      <c r="A15893" s="11"/>
    </row>
    <row r="15894" spans="1:1" ht="14.4">
      <c r="A15894" s="11"/>
    </row>
    <row r="15895" spans="1:1" ht="14.4">
      <c r="A15895" s="11"/>
    </row>
    <row r="15896" spans="1:1" ht="14.4">
      <c r="A15896" s="11"/>
    </row>
    <row r="15897" spans="1:1" ht="14.4">
      <c r="A15897" s="11"/>
    </row>
    <row r="15898" spans="1:1" ht="14.4">
      <c r="A15898" s="11"/>
    </row>
    <row r="15899" spans="1:1" ht="14.4">
      <c r="A15899" s="11"/>
    </row>
    <row r="15900" spans="1:1" ht="14.4">
      <c r="A15900" s="11"/>
    </row>
    <row r="15901" spans="1:1" ht="14.4">
      <c r="A15901" s="11"/>
    </row>
    <row r="15902" spans="1:1" ht="14.4">
      <c r="A15902" s="11"/>
    </row>
    <row r="15903" spans="1:1" ht="14.4">
      <c r="A15903" s="11"/>
    </row>
    <row r="15904" spans="1:1" ht="14.4">
      <c r="A15904" s="11"/>
    </row>
    <row r="15905" spans="1:1" ht="14.4">
      <c r="A15905" s="11"/>
    </row>
    <row r="15906" spans="1:1" ht="14.4">
      <c r="A15906" s="11"/>
    </row>
    <row r="15907" spans="1:1" ht="14.4">
      <c r="A15907" s="11"/>
    </row>
    <row r="15908" spans="1:1" ht="14.4">
      <c r="A15908" s="11"/>
    </row>
    <row r="15909" spans="1:1" ht="14.4">
      <c r="A15909" s="11"/>
    </row>
    <row r="15910" spans="1:1" ht="14.4">
      <c r="A15910" s="11"/>
    </row>
    <row r="15911" spans="1:1" ht="14.4">
      <c r="A15911" s="11"/>
    </row>
    <row r="15912" spans="1:1" ht="14.4">
      <c r="A15912" s="11"/>
    </row>
    <row r="15913" spans="1:1" ht="14.4">
      <c r="A15913" s="11"/>
    </row>
    <row r="15914" spans="1:1" ht="14.4">
      <c r="A15914" s="11"/>
    </row>
    <row r="15915" spans="1:1" ht="14.4">
      <c r="A15915" s="11"/>
    </row>
    <row r="15916" spans="1:1" ht="14.4">
      <c r="A15916" s="11"/>
    </row>
    <row r="15917" spans="1:1" ht="14.4">
      <c r="A15917" s="11"/>
    </row>
    <row r="15918" spans="1:1" ht="14.4">
      <c r="A15918" s="11"/>
    </row>
    <row r="15919" spans="1:1" ht="14.4">
      <c r="A15919" s="11"/>
    </row>
    <row r="15920" spans="1:1" ht="14.4">
      <c r="A15920" s="11"/>
    </row>
    <row r="15921" spans="1:1" ht="14.4">
      <c r="A15921" s="11"/>
    </row>
    <row r="15922" spans="1:1" ht="14.4">
      <c r="A15922" s="11"/>
    </row>
    <row r="15923" spans="1:1" ht="14.4">
      <c r="A15923" s="11"/>
    </row>
    <row r="15924" spans="1:1" ht="14.4">
      <c r="A15924" s="11"/>
    </row>
    <row r="15925" spans="1:1" ht="14.4">
      <c r="A15925" s="11"/>
    </row>
    <row r="15926" spans="1:1" ht="14.4">
      <c r="A15926" s="11"/>
    </row>
    <row r="15927" spans="1:1" ht="14.4">
      <c r="A15927" s="11"/>
    </row>
    <row r="15928" spans="1:1" ht="14.4">
      <c r="A15928" s="11"/>
    </row>
    <row r="15929" spans="1:1" ht="14.4">
      <c r="A15929" s="11"/>
    </row>
    <row r="15930" spans="1:1" ht="14.4">
      <c r="A15930" s="11"/>
    </row>
    <row r="15931" spans="1:1" ht="14.4">
      <c r="A15931" s="11"/>
    </row>
    <row r="15932" spans="1:1" ht="14.4">
      <c r="A15932" s="11"/>
    </row>
    <row r="15933" spans="1:1" ht="14.4">
      <c r="A15933" s="11"/>
    </row>
    <row r="15934" spans="1:1" ht="14.4">
      <c r="A15934" s="11"/>
    </row>
    <row r="15935" spans="1:1" ht="14.4">
      <c r="A15935" s="11"/>
    </row>
    <row r="15936" spans="1:1" ht="14.4">
      <c r="A15936" s="11"/>
    </row>
    <row r="15937" spans="1:1" ht="14.4">
      <c r="A15937" s="11"/>
    </row>
    <row r="15938" spans="1:1" ht="14.4">
      <c r="A15938" s="11"/>
    </row>
    <row r="15939" spans="1:1" ht="14.4">
      <c r="A15939" s="11"/>
    </row>
    <row r="15940" spans="1:1" ht="14.4">
      <c r="A15940" s="11"/>
    </row>
    <row r="15941" spans="1:1" ht="14.4">
      <c r="A15941" s="11"/>
    </row>
    <row r="15942" spans="1:1" ht="14.4">
      <c r="A15942" s="11"/>
    </row>
    <row r="15943" spans="1:1" ht="14.4">
      <c r="A15943" s="11"/>
    </row>
    <row r="15944" spans="1:1" ht="14.4">
      <c r="A15944" s="11"/>
    </row>
    <row r="15945" spans="1:1" ht="14.4">
      <c r="A15945" s="11"/>
    </row>
    <row r="15946" spans="1:1" ht="14.4">
      <c r="A15946" s="11"/>
    </row>
    <row r="15947" spans="1:1" ht="14.4">
      <c r="A15947" s="11"/>
    </row>
    <row r="15948" spans="1:1" ht="14.4">
      <c r="A15948" s="11"/>
    </row>
    <row r="15949" spans="1:1" ht="14.4">
      <c r="A15949" s="11"/>
    </row>
    <row r="15950" spans="1:1" ht="14.4">
      <c r="A15950" s="11"/>
    </row>
    <row r="15951" spans="1:1" ht="14.4">
      <c r="A15951" s="11"/>
    </row>
    <row r="15952" spans="1:1" ht="14.4">
      <c r="A15952" s="11"/>
    </row>
    <row r="15953" spans="1:1" ht="14.4">
      <c r="A15953" s="11"/>
    </row>
    <row r="15954" spans="1:1" ht="14.4">
      <c r="A15954" s="11"/>
    </row>
    <row r="15955" spans="1:1" ht="14.4">
      <c r="A15955" s="11"/>
    </row>
    <row r="15956" spans="1:1" ht="14.4">
      <c r="A15956" s="11"/>
    </row>
    <row r="15957" spans="1:1" ht="14.4">
      <c r="A15957" s="11"/>
    </row>
    <row r="15958" spans="1:1" ht="14.4">
      <c r="A15958" s="11"/>
    </row>
    <row r="15959" spans="1:1" ht="14.4">
      <c r="A15959" s="11"/>
    </row>
    <row r="15960" spans="1:1" ht="14.4">
      <c r="A15960" s="11"/>
    </row>
    <row r="15961" spans="1:1" ht="14.4">
      <c r="A15961" s="11"/>
    </row>
    <row r="15962" spans="1:1" ht="14.4">
      <c r="A15962" s="11"/>
    </row>
    <row r="15963" spans="1:1" ht="14.4">
      <c r="A15963" s="11"/>
    </row>
    <row r="15964" spans="1:1" ht="14.4">
      <c r="A15964" s="11"/>
    </row>
    <row r="15965" spans="1:1" ht="14.4">
      <c r="A15965" s="11"/>
    </row>
    <row r="15966" spans="1:1" ht="14.4">
      <c r="A15966" s="11"/>
    </row>
    <row r="15967" spans="1:1" ht="14.4">
      <c r="A15967" s="11"/>
    </row>
    <row r="15968" spans="1:1" ht="14.4">
      <c r="A15968" s="11"/>
    </row>
    <row r="15969" spans="1:1" ht="14.4">
      <c r="A15969" s="11"/>
    </row>
    <row r="15970" spans="1:1" ht="14.4">
      <c r="A15970" s="11"/>
    </row>
    <row r="15971" spans="1:1" ht="14.4">
      <c r="A15971" s="11"/>
    </row>
    <row r="15972" spans="1:1" ht="14.4">
      <c r="A15972" s="11"/>
    </row>
    <row r="15973" spans="1:1" ht="14.4">
      <c r="A15973" s="11"/>
    </row>
    <row r="15974" spans="1:1" ht="14.4">
      <c r="A15974" s="11"/>
    </row>
    <row r="15975" spans="1:1" ht="14.4">
      <c r="A15975" s="11"/>
    </row>
    <row r="15976" spans="1:1" ht="14.4">
      <c r="A15976" s="11"/>
    </row>
    <row r="15977" spans="1:1" ht="14.4">
      <c r="A15977" s="11"/>
    </row>
    <row r="15978" spans="1:1" ht="14.4">
      <c r="A15978" s="11"/>
    </row>
    <row r="15979" spans="1:1" ht="14.4">
      <c r="A15979" s="11"/>
    </row>
    <row r="15980" spans="1:1" ht="14.4">
      <c r="A15980" s="11"/>
    </row>
    <row r="15981" spans="1:1" ht="14.4">
      <c r="A15981" s="11"/>
    </row>
    <row r="15982" spans="1:1" ht="14.4">
      <c r="A15982" s="11"/>
    </row>
    <row r="15983" spans="1:1" ht="14.4">
      <c r="A15983" s="11"/>
    </row>
    <row r="15984" spans="1:1" ht="14.4">
      <c r="A15984" s="11"/>
    </row>
    <row r="15985" spans="1:1" ht="14.4">
      <c r="A15985" s="11"/>
    </row>
    <row r="15986" spans="1:1" ht="14.4">
      <c r="A15986" s="11"/>
    </row>
    <row r="15987" spans="1:1" ht="14.4">
      <c r="A15987" s="11"/>
    </row>
    <row r="15988" spans="1:1" ht="14.4">
      <c r="A15988" s="11"/>
    </row>
    <row r="15989" spans="1:1" ht="14.4">
      <c r="A15989" s="11"/>
    </row>
    <row r="15990" spans="1:1" ht="14.4">
      <c r="A15990" s="11"/>
    </row>
    <row r="15991" spans="1:1" ht="14.4">
      <c r="A15991" s="11"/>
    </row>
    <row r="15992" spans="1:1" ht="14.4">
      <c r="A15992" s="11"/>
    </row>
    <row r="15993" spans="1:1" ht="14.4">
      <c r="A15993" s="11"/>
    </row>
    <row r="15994" spans="1:1" ht="14.4">
      <c r="A15994" s="11"/>
    </row>
    <row r="15995" spans="1:1" ht="14.4">
      <c r="A15995" s="11"/>
    </row>
    <row r="15996" spans="1:1" ht="14.4">
      <c r="A15996" s="11"/>
    </row>
    <row r="15997" spans="1:1" ht="14.4">
      <c r="A15997" s="11"/>
    </row>
    <row r="15998" spans="1:1" ht="14.4">
      <c r="A15998" s="11"/>
    </row>
    <row r="15999" spans="1:1" ht="14.4">
      <c r="A15999" s="11"/>
    </row>
    <row r="16000" spans="1:1" ht="14.4">
      <c r="A16000" s="11"/>
    </row>
    <row r="16001" spans="1:1" ht="14.4">
      <c r="A16001" s="11"/>
    </row>
    <row r="16002" spans="1:1" ht="14.4">
      <c r="A16002" s="11"/>
    </row>
    <row r="16003" spans="1:1" ht="14.4">
      <c r="A16003" s="11"/>
    </row>
    <row r="16004" spans="1:1" ht="14.4">
      <c r="A16004" s="11"/>
    </row>
    <row r="16005" spans="1:1" ht="14.4">
      <c r="A16005" s="11"/>
    </row>
    <row r="16006" spans="1:1" ht="14.4">
      <c r="A16006" s="11"/>
    </row>
    <row r="16007" spans="1:1" ht="14.4">
      <c r="A16007" s="11"/>
    </row>
    <row r="16008" spans="1:1" ht="14.4">
      <c r="A16008" s="11"/>
    </row>
    <row r="16009" spans="1:1" ht="14.4">
      <c r="A16009" s="11"/>
    </row>
    <row r="16010" spans="1:1" ht="14.4">
      <c r="A16010" s="11"/>
    </row>
    <row r="16011" spans="1:1" ht="14.4">
      <c r="A16011" s="11"/>
    </row>
    <row r="16012" spans="1:1" ht="14.4">
      <c r="A16012" s="11"/>
    </row>
    <row r="16013" spans="1:1" ht="14.4">
      <c r="A16013" s="11"/>
    </row>
    <row r="16014" spans="1:1" ht="14.4">
      <c r="A16014" s="11"/>
    </row>
    <row r="16015" spans="1:1" ht="14.4">
      <c r="A16015" s="11"/>
    </row>
    <row r="16016" spans="1:1" ht="14.4">
      <c r="A16016" s="11"/>
    </row>
    <row r="16017" spans="1:1" ht="14.4">
      <c r="A16017" s="11"/>
    </row>
    <row r="16018" spans="1:1" ht="14.4">
      <c r="A16018" s="11"/>
    </row>
    <row r="16019" spans="1:1" ht="14.4">
      <c r="A16019" s="11"/>
    </row>
    <row r="16020" spans="1:1" ht="14.4">
      <c r="A16020" s="11"/>
    </row>
    <row r="16021" spans="1:1" ht="14.4">
      <c r="A16021" s="11"/>
    </row>
    <row r="16022" spans="1:1" ht="14.4">
      <c r="A16022" s="11"/>
    </row>
    <row r="16023" spans="1:1" ht="14.4">
      <c r="A16023" s="11"/>
    </row>
    <row r="16024" spans="1:1" ht="14.4">
      <c r="A16024" s="11"/>
    </row>
    <row r="16025" spans="1:1" ht="14.4">
      <c r="A16025" s="11"/>
    </row>
    <row r="16026" spans="1:1" ht="14.4">
      <c r="A16026" s="11"/>
    </row>
    <row r="16027" spans="1:1" ht="14.4">
      <c r="A16027" s="11"/>
    </row>
    <row r="16028" spans="1:1" ht="14.4">
      <c r="A16028" s="11"/>
    </row>
    <row r="16029" spans="1:1" ht="14.4">
      <c r="A16029" s="11"/>
    </row>
    <row r="16030" spans="1:1" ht="14.4">
      <c r="A16030" s="11"/>
    </row>
    <row r="16031" spans="1:1" ht="14.4">
      <c r="A16031" s="11"/>
    </row>
    <row r="16032" spans="1:1" ht="14.4">
      <c r="A16032" s="11"/>
    </row>
    <row r="16033" spans="1:1" ht="14.4">
      <c r="A16033" s="11"/>
    </row>
    <row r="16034" spans="1:1" ht="14.4">
      <c r="A16034" s="11"/>
    </row>
    <row r="16035" spans="1:1" ht="14.4">
      <c r="A16035" s="11"/>
    </row>
    <row r="16036" spans="1:1" ht="14.4">
      <c r="A16036" s="11"/>
    </row>
    <row r="16037" spans="1:1" ht="14.4">
      <c r="A16037" s="11"/>
    </row>
    <row r="16038" spans="1:1" ht="14.4">
      <c r="A16038" s="11"/>
    </row>
    <row r="16039" spans="1:1" ht="14.4">
      <c r="A16039" s="11"/>
    </row>
    <row r="16040" spans="1:1" ht="14.4">
      <c r="A16040" s="11"/>
    </row>
    <row r="16041" spans="1:1" ht="14.4">
      <c r="A16041" s="11"/>
    </row>
    <row r="16042" spans="1:1" ht="14.4">
      <c r="A16042" s="11"/>
    </row>
    <row r="16043" spans="1:1" ht="14.4">
      <c r="A16043" s="11"/>
    </row>
    <row r="16044" spans="1:1" ht="14.4">
      <c r="A16044" s="11"/>
    </row>
    <row r="16045" spans="1:1" ht="14.4">
      <c r="A16045" s="11"/>
    </row>
    <row r="16046" spans="1:1" ht="14.4">
      <c r="A16046" s="11"/>
    </row>
    <row r="16047" spans="1:1" ht="14.4">
      <c r="A16047" s="11"/>
    </row>
    <row r="16048" spans="1:1" ht="14.4">
      <c r="A16048" s="11"/>
    </row>
    <row r="16049" spans="1:1" ht="14.4">
      <c r="A16049" s="11"/>
    </row>
    <row r="16050" spans="1:1" ht="14.4">
      <c r="A16050" s="11"/>
    </row>
    <row r="16051" spans="1:1" ht="14.4">
      <c r="A16051" s="11"/>
    </row>
    <row r="16052" spans="1:1" ht="14.4">
      <c r="A16052" s="11"/>
    </row>
    <row r="16053" spans="1:1" ht="14.4">
      <c r="A16053" s="11"/>
    </row>
    <row r="16054" spans="1:1" ht="14.4">
      <c r="A16054" s="11"/>
    </row>
    <row r="16055" spans="1:1" ht="14.4">
      <c r="A16055" s="11"/>
    </row>
    <row r="16056" spans="1:1" ht="14.4">
      <c r="A16056" s="11"/>
    </row>
    <row r="16057" spans="1:1" ht="14.4">
      <c r="A16057" s="11"/>
    </row>
    <row r="16058" spans="1:1" ht="14.4">
      <c r="A16058" s="11"/>
    </row>
    <row r="16059" spans="1:1" ht="14.4">
      <c r="A16059" s="11"/>
    </row>
    <row r="16060" spans="1:1" ht="14.4">
      <c r="A16060" s="11"/>
    </row>
    <row r="16061" spans="1:1" ht="14.4">
      <c r="A16061" s="11"/>
    </row>
    <row r="16062" spans="1:1" ht="14.4">
      <c r="A16062" s="11"/>
    </row>
    <row r="16063" spans="1:1" ht="14.4">
      <c r="A16063" s="11"/>
    </row>
    <row r="16064" spans="1:1" ht="14.4">
      <c r="A16064" s="11"/>
    </row>
    <row r="16065" spans="1:1" ht="14.4">
      <c r="A16065" s="11"/>
    </row>
    <row r="16066" spans="1:1" ht="14.4">
      <c r="A16066" s="11"/>
    </row>
    <row r="16067" spans="1:1" ht="14.4">
      <c r="A16067" s="11"/>
    </row>
    <row r="16068" spans="1:1" ht="14.4">
      <c r="A16068" s="11"/>
    </row>
    <row r="16069" spans="1:1" ht="14.4">
      <c r="A16069" s="11"/>
    </row>
    <row r="16070" spans="1:1" ht="14.4">
      <c r="A16070" s="11"/>
    </row>
    <row r="16071" spans="1:1" ht="14.4">
      <c r="A16071" s="11"/>
    </row>
    <row r="16072" spans="1:1" ht="14.4">
      <c r="A16072" s="11"/>
    </row>
    <row r="16073" spans="1:1" ht="14.4">
      <c r="A16073" s="11"/>
    </row>
    <row r="16074" spans="1:1" ht="14.4">
      <c r="A16074" s="11"/>
    </row>
    <row r="16075" spans="1:1" ht="14.4">
      <c r="A16075" s="11"/>
    </row>
    <row r="16076" spans="1:1" ht="14.4">
      <c r="A16076" s="11"/>
    </row>
    <row r="16077" spans="1:1" ht="14.4">
      <c r="A16077" s="11"/>
    </row>
    <row r="16078" spans="1:1" ht="14.4">
      <c r="A16078" s="11"/>
    </row>
    <row r="16079" spans="1:1" ht="14.4">
      <c r="A16079" s="11"/>
    </row>
    <row r="16080" spans="1:1" ht="14.4">
      <c r="A16080" s="11"/>
    </row>
    <row r="16081" spans="1:1" ht="14.4">
      <c r="A16081" s="11"/>
    </row>
    <row r="16082" spans="1:1" ht="14.4">
      <c r="A16082" s="11"/>
    </row>
    <row r="16083" spans="1:1" ht="14.4">
      <c r="A16083" s="11"/>
    </row>
    <row r="16084" spans="1:1" ht="14.4">
      <c r="A16084" s="11"/>
    </row>
    <row r="16085" spans="1:1" ht="14.4">
      <c r="A16085" s="11"/>
    </row>
    <row r="16086" spans="1:1" ht="14.4">
      <c r="A16086" s="11"/>
    </row>
    <row r="16087" spans="1:1" ht="14.4">
      <c r="A16087" s="11"/>
    </row>
    <row r="16088" spans="1:1" ht="14.4">
      <c r="A16088" s="11"/>
    </row>
    <row r="16089" spans="1:1" ht="14.4">
      <c r="A16089" s="11"/>
    </row>
    <row r="16090" spans="1:1" ht="14.4">
      <c r="A16090" s="11"/>
    </row>
    <row r="16091" spans="1:1" ht="14.4">
      <c r="A16091" s="11"/>
    </row>
    <row r="16092" spans="1:1" ht="14.4">
      <c r="A16092" s="11"/>
    </row>
    <row r="16093" spans="1:1" ht="14.4">
      <c r="A16093" s="11"/>
    </row>
    <row r="16094" spans="1:1" ht="14.4">
      <c r="A16094" s="11"/>
    </row>
    <row r="16095" spans="1:1" ht="14.4">
      <c r="A16095" s="11"/>
    </row>
    <row r="16096" spans="1:1" ht="14.4">
      <c r="A16096" s="11"/>
    </row>
    <row r="16097" spans="1:1" ht="14.4">
      <c r="A16097" s="11"/>
    </row>
    <row r="16098" spans="1:1" ht="14.4">
      <c r="A16098" s="11"/>
    </row>
    <row r="16099" spans="1:1" ht="14.4">
      <c r="A16099" s="11"/>
    </row>
    <row r="16100" spans="1:1" ht="14.4">
      <c r="A16100" s="11"/>
    </row>
    <row r="16101" spans="1:1" ht="14.4">
      <c r="A16101" s="11"/>
    </row>
    <row r="16102" spans="1:1" ht="14.4">
      <c r="A16102" s="11"/>
    </row>
    <row r="16103" spans="1:1" ht="14.4">
      <c r="A16103" s="11"/>
    </row>
    <row r="16104" spans="1:1" ht="14.4">
      <c r="A16104" s="11"/>
    </row>
    <row r="16105" spans="1:1" ht="14.4">
      <c r="A16105" s="11"/>
    </row>
    <row r="16106" spans="1:1" ht="14.4">
      <c r="A16106" s="11"/>
    </row>
    <row r="16107" spans="1:1" ht="14.4">
      <c r="A16107" s="11"/>
    </row>
    <row r="16108" spans="1:1" ht="14.4">
      <c r="A16108" s="11"/>
    </row>
    <row r="16109" spans="1:1" ht="14.4">
      <c r="A16109" s="11"/>
    </row>
    <row r="16110" spans="1:1" ht="14.4">
      <c r="A16110" s="11"/>
    </row>
    <row r="16111" spans="1:1" ht="14.4">
      <c r="A16111" s="11"/>
    </row>
    <row r="16112" spans="1:1" ht="14.4">
      <c r="A16112" s="11"/>
    </row>
    <row r="16113" spans="1:1" ht="14.4">
      <c r="A16113" s="11"/>
    </row>
    <row r="16114" spans="1:1" ht="14.4">
      <c r="A16114" s="11"/>
    </row>
    <row r="16115" spans="1:1" ht="14.4">
      <c r="A16115" s="11"/>
    </row>
    <row r="16116" spans="1:1" ht="14.4">
      <c r="A16116" s="11"/>
    </row>
    <row r="16117" spans="1:1" ht="14.4">
      <c r="A16117" s="11"/>
    </row>
    <row r="16118" spans="1:1" ht="14.4">
      <c r="A16118" s="11"/>
    </row>
    <row r="16119" spans="1:1" ht="14.4">
      <c r="A16119" s="11"/>
    </row>
    <row r="16120" spans="1:1" ht="14.4">
      <c r="A16120" s="11"/>
    </row>
    <row r="16121" spans="1:1" ht="14.4">
      <c r="A16121" s="11"/>
    </row>
    <row r="16122" spans="1:1" ht="14.4">
      <c r="A16122" s="11"/>
    </row>
    <row r="16123" spans="1:1" ht="14.4">
      <c r="A16123" s="11"/>
    </row>
    <row r="16124" spans="1:1" ht="14.4">
      <c r="A16124" s="11"/>
    </row>
    <row r="16125" spans="1:1" ht="14.4">
      <c r="A16125" s="11"/>
    </row>
    <row r="16126" spans="1:1" ht="14.4">
      <c r="A16126" s="11"/>
    </row>
    <row r="16127" spans="1:1" ht="14.4">
      <c r="A16127" s="11"/>
    </row>
    <row r="16128" spans="1:1" ht="14.4">
      <c r="A16128" s="11"/>
    </row>
    <row r="16129" spans="1:1" ht="14.4">
      <c r="A16129" s="11"/>
    </row>
    <row r="16130" spans="1:1" ht="14.4">
      <c r="A16130" s="11"/>
    </row>
    <row r="16131" spans="1:1" ht="14.4">
      <c r="A16131" s="11"/>
    </row>
    <row r="16132" spans="1:1" ht="14.4">
      <c r="A16132" s="11"/>
    </row>
    <row r="16133" spans="1:1" ht="14.4">
      <c r="A16133" s="11"/>
    </row>
    <row r="16134" spans="1:1" ht="14.4">
      <c r="A16134" s="11"/>
    </row>
    <row r="16135" spans="1:1" ht="14.4">
      <c r="A16135" s="11"/>
    </row>
    <row r="16136" spans="1:1" ht="14.4">
      <c r="A16136" s="11"/>
    </row>
    <row r="16137" spans="1:1" ht="14.4">
      <c r="A16137" s="11"/>
    </row>
    <row r="16138" spans="1:1" ht="14.4">
      <c r="A16138" s="11"/>
    </row>
    <row r="16139" spans="1:1" ht="14.4">
      <c r="A16139" s="11"/>
    </row>
    <row r="16140" spans="1:1" ht="14.4">
      <c r="A16140" s="11"/>
    </row>
    <row r="16141" spans="1:1" ht="14.4">
      <c r="A16141" s="11"/>
    </row>
    <row r="16142" spans="1:1" ht="14.4">
      <c r="A16142" s="11"/>
    </row>
    <row r="16143" spans="1:1" ht="14.4">
      <c r="A16143" s="11"/>
    </row>
    <row r="16144" spans="1:1" ht="14.4">
      <c r="A16144" s="11"/>
    </row>
    <row r="16145" spans="1:1" ht="14.4">
      <c r="A16145" s="11"/>
    </row>
    <row r="16146" spans="1:1" ht="14.4">
      <c r="A16146" s="11"/>
    </row>
    <row r="16147" spans="1:1" ht="14.4">
      <c r="A16147" s="11"/>
    </row>
    <row r="16148" spans="1:1" ht="14.4">
      <c r="A16148" s="11"/>
    </row>
    <row r="16149" spans="1:1" ht="14.4">
      <c r="A16149" s="11"/>
    </row>
    <row r="16150" spans="1:1" ht="14.4">
      <c r="A16150" s="11"/>
    </row>
    <row r="16151" spans="1:1" ht="14.4">
      <c r="A16151" s="11"/>
    </row>
    <row r="16152" spans="1:1" ht="14.4">
      <c r="A16152" s="11"/>
    </row>
    <row r="16153" spans="1:1" ht="14.4">
      <c r="A16153" s="11"/>
    </row>
    <row r="16154" spans="1:1" ht="14.4">
      <c r="A16154" s="11"/>
    </row>
    <row r="16155" spans="1:1" ht="14.4">
      <c r="A16155" s="11"/>
    </row>
    <row r="16156" spans="1:1" ht="14.4">
      <c r="A16156" s="11"/>
    </row>
    <row r="16157" spans="1:1" ht="14.4">
      <c r="A16157" s="11"/>
    </row>
    <row r="16158" spans="1:1" ht="14.4">
      <c r="A16158" s="11"/>
    </row>
    <row r="16159" spans="1:1" ht="14.4">
      <c r="A16159" s="11"/>
    </row>
    <row r="16160" spans="1:1" ht="14.4">
      <c r="A16160" s="11"/>
    </row>
    <row r="16161" spans="1:1" ht="14.4">
      <c r="A16161" s="11"/>
    </row>
    <row r="16162" spans="1:1" ht="14.4">
      <c r="A16162" s="11"/>
    </row>
    <row r="16163" spans="1:1" ht="14.4">
      <c r="A16163" s="11"/>
    </row>
    <row r="16164" spans="1:1" ht="14.4">
      <c r="A16164" s="11"/>
    </row>
    <row r="16165" spans="1:1" ht="14.4">
      <c r="A16165" s="11"/>
    </row>
    <row r="16166" spans="1:1" ht="14.4">
      <c r="A16166" s="11"/>
    </row>
    <row r="16167" spans="1:1" ht="14.4">
      <c r="A16167" s="11"/>
    </row>
    <row r="16168" spans="1:1" ht="14.4">
      <c r="A16168" s="11"/>
    </row>
    <row r="16169" spans="1:1" ht="14.4">
      <c r="A16169" s="11"/>
    </row>
    <row r="16170" spans="1:1" ht="14.4">
      <c r="A16170" s="11"/>
    </row>
    <row r="16171" spans="1:1" ht="14.4">
      <c r="A16171" s="11"/>
    </row>
    <row r="16172" spans="1:1" ht="14.4">
      <c r="A16172" s="11"/>
    </row>
    <row r="16173" spans="1:1" ht="14.4">
      <c r="A16173" s="11"/>
    </row>
    <row r="16174" spans="1:1" ht="14.4">
      <c r="A16174" s="11"/>
    </row>
    <row r="16175" spans="1:1" ht="14.4">
      <c r="A16175" s="11"/>
    </row>
    <row r="16176" spans="1:1" ht="14.4">
      <c r="A16176" s="11"/>
    </row>
    <row r="16177" spans="1:1" ht="14.4">
      <c r="A16177" s="11"/>
    </row>
    <row r="16178" spans="1:1" ht="14.4">
      <c r="A16178" s="11"/>
    </row>
    <row r="16179" spans="1:1" ht="14.4">
      <c r="A16179" s="11"/>
    </row>
    <row r="16180" spans="1:1" ht="14.4">
      <c r="A16180" s="11"/>
    </row>
    <row r="16181" spans="1:1" ht="14.4">
      <c r="A16181" s="11"/>
    </row>
    <row r="16182" spans="1:1" ht="14.4">
      <c r="A16182" s="11"/>
    </row>
    <row r="16183" spans="1:1" ht="14.4">
      <c r="A16183" s="11"/>
    </row>
    <row r="16184" spans="1:1" ht="14.4">
      <c r="A16184" s="11"/>
    </row>
    <row r="16185" spans="1:1" ht="14.4">
      <c r="A16185" s="11"/>
    </row>
    <row r="16186" spans="1:1" ht="14.4">
      <c r="A16186" s="11"/>
    </row>
    <row r="16187" spans="1:1" ht="14.4">
      <c r="A16187" s="11"/>
    </row>
    <row r="16188" spans="1:1" ht="14.4">
      <c r="A16188" s="11"/>
    </row>
    <row r="16189" spans="1:1" ht="14.4">
      <c r="A16189" s="11"/>
    </row>
    <row r="16190" spans="1:1" ht="14.4">
      <c r="A16190" s="11"/>
    </row>
    <row r="16191" spans="1:1" ht="14.4">
      <c r="A16191" s="11"/>
    </row>
    <row r="16192" spans="1:1" ht="14.4">
      <c r="A16192" s="11"/>
    </row>
    <row r="16193" spans="1:1" ht="14.4">
      <c r="A16193" s="11"/>
    </row>
    <row r="16194" spans="1:1" ht="14.4">
      <c r="A16194" s="11"/>
    </row>
    <row r="16195" spans="1:1" ht="14.4">
      <c r="A16195" s="11"/>
    </row>
    <row r="16196" spans="1:1" ht="14.4">
      <c r="A16196" s="11"/>
    </row>
    <row r="16197" spans="1:1" ht="14.4">
      <c r="A16197" s="11"/>
    </row>
    <row r="16198" spans="1:1" ht="14.4">
      <c r="A16198" s="11"/>
    </row>
    <row r="16199" spans="1:1" ht="14.4">
      <c r="A16199" s="11"/>
    </row>
    <row r="16200" spans="1:1" ht="14.4">
      <c r="A16200" s="11"/>
    </row>
    <row r="16201" spans="1:1" ht="14.4">
      <c r="A16201" s="11"/>
    </row>
    <row r="16202" spans="1:1" ht="14.4">
      <c r="A16202" s="11"/>
    </row>
    <row r="16203" spans="1:1" ht="14.4">
      <c r="A16203" s="11"/>
    </row>
    <row r="16204" spans="1:1" ht="14.4">
      <c r="A16204" s="11"/>
    </row>
    <row r="16205" spans="1:1" ht="14.4">
      <c r="A16205" s="11"/>
    </row>
    <row r="16206" spans="1:1" ht="14.4">
      <c r="A16206" s="11"/>
    </row>
    <row r="16207" spans="1:1" ht="14.4">
      <c r="A16207" s="11"/>
    </row>
    <row r="16208" spans="1:1" ht="14.4">
      <c r="A16208" s="11"/>
    </row>
    <row r="16209" spans="1:1" ht="14.4">
      <c r="A16209" s="11"/>
    </row>
    <row r="16210" spans="1:1" ht="14.4">
      <c r="A16210" s="11"/>
    </row>
    <row r="16211" spans="1:1" ht="14.4">
      <c r="A16211" s="11"/>
    </row>
    <row r="16212" spans="1:1" ht="14.4">
      <c r="A16212" s="11"/>
    </row>
    <row r="16213" spans="1:1" ht="14.4">
      <c r="A16213" s="11"/>
    </row>
    <row r="16214" spans="1:1" ht="14.4">
      <c r="A16214" s="11"/>
    </row>
    <row r="16215" spans="1:1" ht="14.4">
      <c r="A16215" s="11"/>
    </row>
    <row r="16216" spans="1:1" ht="14.4">
      <c r="A16216" s="11"/>
    </row>
    <row r="16217" spans="1:1" ht="14.4">
      <c r="A16217" s="11"/>
    </row>
    <row r="16218" spans="1:1" ht="14.4">
      <c r="A16218" s="11"/>
    </row>
    <row r="16219" spans="1:1" ht="14.4">
      <c r="A16219" s="11"/>
    </row>
    <row r="16220" spans="1:1" ht="14.4">
      <c r="A16220" s="11"/>
    </row>
    <row r="16221" spans="1:1" ht="14.4">
      <c r="A16221" s="11"/>
    </row>
    <row r="16222" spans="1:1" ht="14.4">
      <c r="A16222" s="11"/>
    </row>
    <row r="16223" spans="1:1" ht="14.4">
      <c r="A16223" s="11"/>
    </row>
    <row r="16224" spans="1:1" ht="14.4">
      <c r="A16224" s="11"/>
    </row>
    <row r="16225" spans="1:1" ht="14.4">
      <c r="A16225" s="11"/>
    </row>
    <row r="16226" spans="1:1" ht="14.4">
      <c r="A16226" s="11"/>
    </row>
    <row r="16227" spans="1:1" ht="14.4">
      <c r="A16227" s="11"/>
    </row>
    <row r="16228" spans="1:1" ht="14.4">
      <c r="A16228" s="11"/>
    </row>
    <row r="16229" spans="1:1" ht="14.4">
      <c r="A16229" s="11"/>
    </row>
    <row r="16230" spans="1:1" ht="14.4">
      <c r="A16230" s="11"/>
    </row>
    <row r="16231" spans="1:1" ht="14.4">
      <c r="A16231" s="11"/>
    </row>
    <row r="16232" spans="1:1" ht="14.4">
      <c r="A16232" s="11"/>
    </row>
    <row r="16233" spans="1:1" ht="14.4">
      <c r="A16233" s="11"/>
    </row>
    <row r="16234" spans="1:1" ht="14.4">
      <c r="A16234" s="11"/>
    </row>
    <row r="16235" spans="1:1" ht="14.4">
      <c r="A16235" s="11"/>
    </row>
    <row r="16236" spans="1:1" ht="14.4">
      <c r="A16236" s="11"/>
    </row>
    <row r="16237" spans="1:1" ht="14.4">
      <c r="A16237" s="11"/>
    </row>
    <row r="16238" spans="1:1" ht="14.4">
      <c r="A16238" s="11"/>
    </row>
    <row r="16239" spans="1:1" ht="14.4">
      <c r="A16239" s="11"/>
    </row>
    <row r="16240" spans="1:1" ht="14.4">
      <c r="A16240" s="11"/>
    </row>
    <row r="16241" spans="1:1" ht="14.4">
      <c r="A16241" s="11"/>
    </row>
    <row r="16242" spans="1:1" ht="14.4">
      <c r="A16242" s="11"/>
    </row>
    <row r="16243" spans="1:1" ht="14.4">
      <c r="A16243" s="11"/>
    </row>
    <row r="16244" spans="1:1" ht="14.4">
      <c r="A16244" s="11"/>
    </row>
    <row r="16245" spans="1:1" ht="14.4">
      <c r="A16245" s="11"/>
    </row>
    <row r="16246" spans="1:1" ht="14.4">
      <c r="A16246" s="11"/>
    </row>
    <row r="16247" spans="1:1" ht="14.4">
      <c r="A16247" s="11"/>
    </row>
    <row r="16248" spans="1:1" ht="14.4">
      <c r="A16248" s="11"/>
    </row>
    <row r="16249" spans="1:1" ht="14.4">
      <c r="A16249" s="11"/>
    </row>
    <row r="16250" spans="1:1" ht="14.4">
      <c r="A16250" s="11"/>
    </row>
    <row r="16251" spans="1:1" ht="14.4">
      <c r="A16251" s="11"/>
    </row>
    <row r="16252" spans="1:1" ht="14.4">
      <c r="A16252" s="11"/>
    </row>
    <row r="16253" spans="1:1" ht="14.4">
      <c r="A16253" s="11"/>
    </row>
    <row r="16254" spans="1:1" ht="14.4">
      <c r="A16254" s="11"/>
    </row>
    <row r="16255" spans="1:1" ht="14.4">
      <c r="A16255" s="11"/>
    </row>
    <row r="16256" spans="1:1" ht="14.4">
      <c r="A16256" s="11"/>
    </row>
    <row r="16257" spans="1:1" ht="14.4">
      <c r="A16257" s="11"/>
    </row>
    <row r="16258" spans="1:1" ht="14.4">
      <c r="A16258" s="11"/>
    </row>
    <row r="16259" spans="1:1" ht="14.4">
      <c r="A16259" s="11"/>
    </row>
    <row r="16260" spans="1:1" ht="14.4">
      <c r="A16260" s="11"/>
    </row>
    <row r="16261" spans="1:1" ht="14.4">
      <c r="A16261" s="11"/>
    </row>
    <row r="16262" spans="1:1" ht="14.4">
      <c r="A16262" s="11"/>
    </row>
    <row r="16263" spans="1:1" ht="14.4">
      <c r="A16263" s="11"/>
    </row>
    <row r="16264" spans="1:1" ht="14.4">
      <c r="A16264" s="11"/>
    </row>
    <row r="16265" spans="1:1" ht="14.4">
      <c r="A16265" s="11"/>
    </row>
    <row r="16266" spans="1:1" ht="14.4">
      <c r="A16266" s="11"/>
    </row>
    <row r="16267" spans="1:1" ht="14.4">
      <c r="A16267" s="11"/>
    </row>
    <row r="16268" spans="1:1" ht="14.4">
      <c r="A16268" s="11"/>
    </row>
    <row r="16269" spans="1:1" ht="14.4">
      <c r="A16269" s="11"/>
    </row>
    <row r="16270" spans="1:1" ht="14.4">
      <c r="A16270" s="11"/>
    </row>
    <row r="16271" spans="1:1" ht="14.4">
      <c r="A16271" s="11"/>
    </row>
    <row r="16272" spans="1:1" ht="14.4">
      <c r="A16272" s="11"/>
    </row>
    <row r="16273" spans="1:1" ht="14.4">
      <c r="A16273" s="11"/>
    </row>
    <row r="16274" spans="1:1" ht="14.4">
      <c r="A16274" s="11"/>
    </row>
    <row r="16275" spans="1:1" ht="14.4">
      <c r="A16275" s="11"/>
    </row>
    <row r="16276" spans="1:1" ht="14.4">
      <c r="A16276" s="11"/>
    </row>
    <row r="16277" spans="1:1" ht="14.4">
      <c r="A16277" s="11"/>
    </row>
    <row r="16278" spans="1:1" ht="14.4">
      <c r="A16278" s="11"/>
    </row>
    <row r="16279" spans="1:1" ht="14.4">
      <c r="A16279" s="11"/>
    </row>
    <row r="16280" spans="1:1" ht="14.4">
      <c r="A16280" s="11"/>
    </row>
    <row r="16281" spans="1:1" ht="14.4">
      <c r="A16281" s="11"/>
    </row>
    <row r="16282" spans="1:1" ht="14.4">
      <c r="A16282" s="11"/>
    </row>
    <row r="16283" spans="1:1" ht="14.4">
      <c r="A16283" s="11"/>
    </row>
    <row r="16284" spans="1:1" ht="14.4">
      <c r="A16284" s="11"/>
    </row>
    <row r="16285" spans="1:1" ht="14.4">
      <c r="A16285" s="11"/>
    </row>
    <row r="16286" spans="1:1" ht="14.4">
      <c r="A16286" s="11"/>
    </row>
    <row r="16287" spans="1:1" ht="14.4">
      <c r="A16287" s="11"/>
    </row>
    <row r="16288" spans="1:1" ht="14.4">
      <c r="A16288" s="11"/>
    </row>
    <row r="16289" spans="1:1" ht="14.4">
      <c r="A16289" s="11"/>
    </row>
    <row r="16290" spans="1:1" ht="14.4">
      <c r="A16290" s="11"/>
    </row>
    <row r="16291" spans="1:1" ht="14.4">
      <c r="A16291" s="11"/>
    </row>
    <row r="16292" spans="1:1" ht="14.4">
      <c r="A16292" s="11"/>
    </row>
    <row r="16293" spans="1:1" ht="14.4">
      <c r="A16293" s="11"/>
    </row>
    <row r="16294" spans="1:1" ht="14.4">
      <c r="A16294" s="11"/>
    </row>
    <row r="16295" spans="1:1" ht="14.4">
      <c r="A16295" s="11"/>
    </row>
    <row r="16296" spans="1:1" ht="14.4">
      <c r="A16296" s="11"/>
    </row>
    <row r="16297" spans="1:1" ht="14.4">
      <c r="A16297" s="11"/>
    </row>
    <row r="16298" spans="1:1" ht="14.4">
      <c r="A16298" s="11"/>
    </row>
    <row r="16299" spans="1:1" ht="14.4">
      <c r="A16299" s="11"/>
    </row>
    <row r="16300" spans="1:1" ht="14.4">
      <c r="A16300" s="11"/>
    </row>
    <row r="16301" spans="1:1" ht="14.4">
      <c r="A16301" s="11"/>
    </row>
    <row r="16302" spans="1:1" ht="14.4">
      <c r="A16302" s="11"/>
    </row>
    <row r="16303" spans="1:1" ht="14.4">
      <c r="A16303" s="11"/>
    </row>
    <row r="16304" spans="1:1" ht="14.4">
      <c r="A16304" s="11"/>
    </row>
    <row r="16305" spans="1:1" ht="14.4">
      <c r="A16305" s="11"/>
    </row>
    <row r="16306" spans="1:1" ht="14.4">
      <c r="A16306" s="11"/>
    </row>
    <row r="16307" spans="1:1" ht="14.4">
      <c r="A16307" s="11"/>
    </row>
    <row r="16308" spans="1:1" ht="14.4">
      <c r="A16308" s="11"/>
    </row>
    <row r="16309" spans="1:1" ht="14.4">
      <c r="A16309" s="11"/>
    </row>
    <row r="16310" spans="1:1" ht="14.4">
      <c r="A16310" s="11"/>
    </row>
    <row r="16311" spans="1:1" ht="14.4">
      <c r="A16311" s="11"/>
    </row>
    <row r="16312" spans="1:1" ht="14.4">
      <c r="A16312" s="11"/>
    </row>
    <row r="16313" spans="1:1" ht="14.4">
      <c r="A16313" s="11"/>
    </row>
    <row r="16314" spans="1:1" ht="14.4">
      <c r="A16314" s="11"/>
    </row>
    <row r="16315" spans="1:1" ht="14.4">
      <c r="A16315" s="11"/>
    </row>
    <row r="16316" spans="1:1" ht="14.4">
      <c r="A16316" s="11"/>
    </row>
    <row r="16317" spans="1:1" ht="14.4">
      <c r="A16317" s="11"/>
    </row>
    <row r="16318" spans="1:1" ht="14.4">
      <c r="A16318" s="11"/>
    </row>
    <row r="16319" spans="1:1" ht="14.4">
      <c r="A16319" s="11"/>
    </row>
    <row r="16320" spans="1:1" ht="14.4">
      <c r="A16320" s="11"/>
    </row>
    <row r="16321" spans="1:1" ht="14.4">
      <c r="A16321" s="11"/>
    </row>
    <row r="16322" spans="1:1" ht="14.4">
      <c r="A16322" s="11"/>
    </row>
    <row r="16323" spans="1:1" ht="14.4">
      <c r="A16323" s="11"/>
    </row>
    <row r="16324" spans="1:1" ht="14.4">
      <c r="A16324" s="11"/>
    </row>
    <row r="16325" spans="1:1" ht="14.4">
      <c r="A16325" s="11"/>
    </row>
    <row r="16326" spans="1:1" ht="14.4">
      <c r="A16326" s="11"/>
    </row>
    <row r="16327" spans="1:1" ht="14.4">
      <c r="A16327" s="11"/>
    </row>
    <row r="16328" spans="1:1" ht="14.4">
      <c r="A16328" s="11"/>
    </row>
    <row r="16329" spans="1:1" ht="14.4">
      <c r="A16329" s="11"/>
    </row>
    <row r="16330" spans="1:1" ht="14.4">
      <c r="A16330" s="11"/>
    </row>
    <row r="16331" spans="1:1" ht="14.4">
      <c r="A16331" s="11"/>
    </row>
    <row r="16332" spans="1:1" ht="14.4">
      <c r="A16332" s="11"/>
    </row>
    <row r="16333" spans="1:1" ht="14.4">
      <c r="A16333" s="11"/>
    </row>
    <row r="16334" spans="1:1" ht="14.4">
      <c r="A16334" s="11"/>
    </row>
    <row r="16335" spans="1:1" ht="14.4">
      <c r="A16335" s="11"/>
    </row>
    <row r="16336" spans="1:1" ht="14.4">
      <c r="A16336" s="11"/>
    </row>
    <row r="16337" spans="1:1" ht="14.4">
      <c r="A16337" s="11"/>
    </row>
    <row r="16338" spans="1:1" ht="14.4">
      <c r="A16338" s="11"/>
    </row>
    <row r="16339" spans="1:1" ht="14.4">
      <c r="A16339" s="11"/>
    </row>
    <row r="16340" spans="1:1" ht="14.4">
      <c r="A16340" s="11"/>
    </row>
    <row r="16341" spans="1:1" ht="14.4">
      <c r="A16341" s="11"/>
    </row>
    <row r="16342" spans="1:1" ht="14.4">
      <c r="A16342" s="11"/>
    </row>
    <row r="16343" spans="1:1" ht="14.4">
      <c r="A16343" s="11"/>
    </row>
    <row r="16344" spans="1:1" ht="14.4">
      <c r="A16344" s="11"/>
    </row>
    <row r="16345" spans="1:1" ht="14.4">
      <c r="A16345" s="11"/>
    </row>
    <row r="16346" spans="1:1" ht="14.4">
      <c r="A16346" s="11"/>
    </row>
    <row r="16347" spans="1:1" ht="14.4">
      <c r="A16347" s="11"/>
    </row>
    <row r="16348" spans="1:1" ht="14.4">
      <c r="A16348" s="11"/>
    </row>
    <row r="16349" spans="1:1" ht="14.4">
      <c r="A16349" s="11"/>
    </row>
    <row r="16350" spans="1:1" ht="14.4">
      <c r="A16350" s="11"/>
    </row>
    <row r="16351" spans="1:1" ht="14.4">
      <c r="A16351" s="11"/>
    </row>
    <row r="16352" spans="1:1" ht="14.4">
      <c r="A16352" s="11"/>
    </row>
    <row r="16353" spans="1:1" ht="14.4">
      <c r="A16353" s="11"/>
    </row>
    <row r="16354" spans="1:1" ht="14.4">
      <c r="A16354" s="11"/>
    </row>
    <row r="16355" spans="1:1" ht="14.4">
      <c r="A16355" s="11"/>
    </row>
    <row r="16356" spans="1:1" ht="14.4">
      <c r="A16356" s="11"/>
    </row>
    <row r="16357" spans="1:1" ht="14.4">
      <c r="A16357" s="11"/>
    </row>
    <row r="16358" spans="1:1" ht="14.4">
      <c r="A16358" s="11"/>
    </row>
    <row r="16359" spans="1:1" ht="14.4">
      <c r="A16359" s="11"/>
    </row>
    <row r="16360" spans="1:1" ht="14.4">
      <c r="A16360" s="11"/>
    </row>
    <row r="16361" spans="1:1" ht="14.4">
      <c r="A16361" s="11"/>
    </row>
    <row r="16362" spans="1:1" ht="14.4">
      <c r="A16362" s="11"/>
    </row>
    <row r="16363" spans="1:1" ht="14.4">
      <c r="A16363" s="11"/>
    </row>
    <row r="16364" spans="1:1" ht="14.4">
      <c r="A16364" s="11"/>
    </row>
    <row r="16365" spans="1:1" ht="14.4">
      <c r="A16365" s="11"/>
    </row>
    <row r="16366" spans="1:1" ht="14.4">
      <c r="A16366" s="11"/>
    </row>
    <row r="16367" spans="1:1" ht="14.4">
      <c r="A16367" s="11"/>
    </row>
    <row r="16368" spans="1:1" ht="14.4">
      <c r="A16368" s="11"/>
    </row>
    <row r="16369" spans="1:1" ht="14.4">
      <c r="A16369" s="11"/>
    </row>
    <row r="16370" spans="1:1" ht="14.4">
      <c r="A16370" s="11"/>
    </row>
    <row r="16371" spans="1:1" ht="14.4">
      <c r="A16371" s="11"/>
    </row>
    <row r="16372" spans="1:1" ht="14.4">
      <c r="A16372" s="11"/>
    </row>
    <row r="16373" spans="1:1" ht="14.4">
      <c r="A16373" s="11"/>
    </row>
    <row r="16374" spans="1:1" ht="14.4">
      <c r="A16374" s="11"/>
    </row>
    <row r="16375" spans="1:1" ht="14.4">
      <c r="A16375" s="11"/>
    </row>
    <row r="16376" spans="1:1" ht="14.4">
      <c r="A16376" s="11"/>
    </row>
    <row r="16377" spans="1:1" ht="14.4">
      <c r="A16377" s="11"/>
    </row>
    <row r="16378" spans="1:1" ht="14.4">
      <c r="A16378" s="11"/>
    </row>
    <row r="16379" spans="1:1" ht="14.4">
      <c r="A16379" s="11"/>
    </row>
    <row r="16380" spans="1:1" ht="14.4">
      <c r="A16380" s="11"/>
    </row>
    <row r="16381" spans="1:1" ht="14.4">
      <c r="A16381" s="11"/>
    </row>
    <row r="16382" spans="1:1" ht="14.4">
      <c r="A16382" s="11"/>
    </row>
    <row r="16383" spans="1:1" ht="14.4">
      <c r="A16383" s="11"/>
    </row>
    <row r="16384" spans="1:1" ht="14.4">
      <c r="A16384" s="1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9E6B-CAFF-4E0F-A4A5-A02793A2B7E9}">
  <dimension ref="A1:AD1843"/>
  <sheetViews>
    <sheetView showGridLines="0" topLeftCell="C26" workbookViewId="0">
      <selection activeCell="E40" sqref="E40"/>
    </sheetView>
  </sheetViews>
  <sheetFormatPr baseColWidth="10" defaultColWidth="9.09765625" defaultRowHeight="13.8"/>
  <cols>
    <col min="1" max="1" width="7.09765625" style="1" customWidth="1"/>
    <col min="2" max="2" width="17.3984375" style="1" customWidth="1"/>
    <col min="3" max="3" width="35.3984375" style="1" customWidth="1"/>
    <col min="4" max="4" width="44.296875" style="1" customWidth="1"/>
    <col min="5" max="6" width="47" style="1" customWidth="1"/>
    <col min="7" max="7" width="21.69921875" style="1" customWidth="1"/>
    <col min="8" max="8" width="18.8984375" style="15" customWidth="1"/>
    <col min="9" max="9" width="15.69921875" style="15" customWidth="1"/>
    <col min="10" max="10" width="18.8984375" style="15" customWidth="1"/>
    <col min="11" max="11" width="16.69921875" style="15" customWidth="1"/>
    <col min="12" max="12" width="18.8984375" style="15" customWidth="1"/>
    <col min="13" max="13" width="16.69921875" style="15" customWidth="1"/>
    <col min="14" max="14" width="18.8984375" style="15" customWidth="1"/>
    <col min="15" max="15" width="16.69921875" style="15" customWidth="1"/>
    <col min="16" max="16" width="18.8984375" style="15" bestFit="1" customWidth="1"/>
    <col min="17" max="17" width="16.69921875" style="15" bestFit="1" customWidth="1"/>
    <col min="18" max="18" width="18.8984375" style="15" bestFit="1" customWidth="1"/>
    <col min="19" max="19" width="16.69921875" style="15" bestFit="1" customWidth="1"/>
    <col min="20" max="20" width="18.8984375" style="15" bestFit="1" customWidth="1"/>
    <col min="21" max="21" width="16.69921875" style="15" bestFit="1" customWidth="1"/>
    <col min="22" max="22" width="18.8984375" style="15" bestFit="1" customWidth="1"/>
    <col min="23" max="23" width="16.69921875" style="15" bestFit="1" customWidth="1"/>
    <col min="24" max="24" width="18.8984375" style="15" bestFit="1" customWidth="1"/>
    <col min="25" max="25" width="16.69921875" style="15" bestFit="1" customWidth="1"/>
    <col min="26" max="26" width="18.8984375" style="15" bestFit="1" customWidth="1"/>
    <col min="27" max="27" width="17.69921875" style="15" bestFit="1" customWidth="1"/>
    <col min="28" max="28" width="18.8984375" style="15" bestFit="1" customWidth="1"/>
    <col min="29" max="29" width="19" style="15" bestFit="1" customWidth="1"/>
    <col min="30" max="30" width="19" bestFit="1" customWidth="1"/>
  </cols>
  <sheetData>
    <row r="1" spans="1:30">
      <c r="A1" s="2" t="s">
        <v>475</v>
      </c>
      <c r="B1" s="2" t="s">
        <v>476</v>
      </c>
      <c r="C1" s="2" t="s">
        <v>477</v>
      </c>
      <c r="D1" s="2" t="s">
        <v>478</v>
      </c>
      <c r="E1" s="2" t="s">
        <v>479</v>
      </c>
      <c r="F1" s="2" t="s">
        <v>480</v>
      </c>
      <c r="G1" s="2" t="s">
        <v>481</v>
      </c>
      <c r="H1" s="44" t="s">
        <v>482</v>
      </c>
      <c r="I1" s="44" t="s">
        <v>0</v>
      </c>
      <c r="J1" s="44" t="s">
        <v>483</v>
      </c>
      <c r="K1" s="44" t="s">
        <v>484</v>
      </c>
      <c r="L1" s="44" t="s">
        <v>485</v>
      </c>
      <c r="M1" s="44" t="s">
        <v>486</v>
      </c>
      <c r="N1" s="44" t="s">
        <v>487</v>
      </c>
      <c r="O1" s="44" t="s">
        <v>488</v>
      </c>
      <c r="P1" s="44" t="s">
        <v>489</v>
      </c>
      <c r="Q1" s="44" t="s">
        <v>490</v>
      </c>
      <c r="R1" s="44" t="s">
        <v>491</v>
      </c>
      <c r="S1" s="44" t="s">
        <v>492</v>
      </c>
      <c r="T1" s="44" t="s">
        <v>493</v>
      </c>
      <c r="U1" s="44" t="s">
        <v>494</v>
      </c>
      <c r="V1" s="44" t="s">
        <v>495</v>
      </c>
      <c r="W1" s="44" t="s">
        <v>496</v>
      </c>
      <c r="X1" s="44" t="s">
        <v>497</v>
      </c>
      <c r="Y1" s="44" t="s">
        <v>498</v>
      </c>
      <c r="Z1" s="44" t="s">
        <v>499</v>
      </c>
      <c r="AA1" s="44" t="s">
        <v>500</v>
      </c>
      <c r="AB1" s="44" t="s">
        <v>501</v>
      </c>
      <c r="AC1" s="44" t="s">
        <v>502</v>
      </c>
      <c r="AD1" s="2" t="s">
        <v>503</v>
      </c>
    </row>
    <row r="2" spans="1:30">
      <c r="A2" s="3">
        <v>11101</v>
      </c>
      <c r="B2" s="3" t="s">
        <v>504</v>
      </c>
      <c r="C2" s="3" t="s">
        <v>505</v>
      </c>
      <c r="D2" s="3" t="s">
        <v>506</v>
      </c>
      <c r="E2" s="3" t="s">
        <v>507</v>
      </c>
      <c r="F2" s="42" t="s">
        <v>508</v>
      </c>
      <c r="G2" s="3" t="s">
        <v>509</v>
      </c>
      <c r="H2" s="8">
        <v>196001343.40000001</v>
      </c>
      <c r="I2" s="41">
        <f>VLOOKUP(Tabla1[[#This Row],[PAGO DIA]],DIAS!A:B,2,0)</f>
        <v>46079</v>
      </c>
      <c r="J2" s="6">
        <v>50000000</v>
      </c>
      <c r="K2" s="43">
        <f>VLOOKUP(Tabla1[[#This Row],[PAGO DIA]],DIAS!A:C,3,0)</f>
        <v>46111</v>
      </c>
      <c r="L2" s="6">
        <v>278000000</v>
      </c>
      <c r="M2" s="41">
        <f>VLOOKUP(Tabla1[[#This Row],[PAGO DIA]],DIAS!A:D,4,0)</f>
        <v>46141</v>
      </c>
      <c r="N2" s="6">
        <v>250000000</v>
      </c>
      <c r="O2" s="43">
        <f>VLOOKUP(Tabla1[[#This Row],[PAGO DIA]],DIAS!A:E,5,0)</f>
        <v>46168</v>
      </c>
      <c r="P2" s="6"/>
      <c r="Q2" s="43">
        <f>VLOOKUP(Tabla1[[#This Row],[PAGO DIA]],DIAS!A:F,6,0)</f>
        <v>46203</v>
      </c>
      <c r="R2" s="6">
        <v>0</v>
      </c>
      <c r="S2" s="43">
        <f>VLOOKUP(Tabla1[[#This Row],[PAGO DIA]],DIAS!A:G,7,0)</f>
        <v>46231</v>
      </c>
      <c r="T2" s="6">
        <v>0</v>
      </c>
      <c r="U2" s="43">
        <f>VLOOKUP(Tabla1[[#This Row],[PAGO DIA]],DIAS!A:H,8,0)</f>
        <v>0</v>
      </c>
      <c r="V2" s="6">
        <v>0</v>
      </c>
      <c r="W2" s="43">
        <f>VLOOKUP(Tabla1[[#This Row],[PAGO DIA]],DIAS!A:I,9,0)</f>
        <v>0</v>
      </c>
      <c r="X2" s="6">
        <v>0</v>
      </c>
      <c r="Y2" s="43">
        <f>VLOOKUP(Tabla1[[#This Row],[PAGO DIA]],DIAS!A:J,10,0)</f>
        <v>0</v>
      </c>
      <c r="Z2" s="6">
        <v>0</v>
      </c>
      <c r="AA2" s="43">
        <f>VLOOKUP(Tabla1[[#This Row],[PAGO DIA]],DIAS!A:K,11,0)</f>
        <v>0</v>
      </c>
      <c r="AB2" s="6">
        <v>0</v>
      </c>
      <c r="AC2" s="43">
        <f>VLOOKUP(Tabla1[[#This Row],[PAGO DIA]],DIAS!A:M,12,0)</f>
        <v>0</v>
      </c>
      <c r="AD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774001343.39999998</v>
      </c>
    </row>
    <row r="3" spans="1:30">
      <c r="A3" s="3">
        <v>11223</v>
      </c>
      <c r="B3" s="3" t="s">
        <v>510</v>
      </c>
      <c r="C3" s="3" t="s">
        <v>505</v>
      </c>
      <c r="D3" s="3" t="s">
        <v>511</v>
      </c>
      <c r="E3" s="3" t="s">
        <v>512</v>
      </c>
      <c r="F3" s="42" t="s">
        <v>513</v>
      </c>
      <c r="G3" s="3" t="s">
        <v>514</v>
      </c>
      <c r="H3" s="8">
        <v>51543511</v>
      </c>
      <c r="I3" s="41">
        <f>VLOOKUP(Tabla1[[#This Row],[PAGO DIA]],DIAS!A:B,2,0)</f>
        <v>46079</v>
      </c>
      <c r="J3" s="8">
        <v>25771755.620000001</v>
      </c>
      <c r="K3" s="43">
        <f>VLOOKUP(Tabla1[[#This Row],[PAGO DIA]],DIAS!A:C,3,0)</f>
        <v>46111</v>
      </c>
      <c r="L3" s="8">
        <v>25771755.620000001</v>
      </c>
      <c r="M3" s="41">
        <f>VLOOKUP(Tabla1[[#This Row],[PAGO DIA]],DIAS!A:D,4,0)</f>
        <v>46141</v>
      </c>
      <c r="N3" s="6">
        <v>0</v>
      </c>
      <c r="O3" s="43">
        <f>VLOOKUP(Tabla1[[#This Row],[PAGO DIA]],DIAS!A:E,5,0)</f>
        <v>0</v>
      </c>
      <c r="P3" s="6">
        <v>0</v>
      </c>
      <c r="Q3" s="43">
        <f>VLOOKUP(Tabla1[[#This Row],[PAGO DIA]],DIAS!A:F,6,0)</f>
        <v>0</v>
      </c>
      <c r="R3" s="6">
        <v>0</v>
      </c>
      <c r="S3" s="43">
        <f>VLOOKUP(Tabla1[[#This Row],[PAGO DIA]],DIAS!A:G,7,0)</f>
        <v>0</v>
      </c>
      <c r="T3" s="6">
        <v>0</v>
      </c>
      <c r="U3" s="43">
        <f>VLOOKUP(Tabla1[[#This Row],[PAGO DIA]],DIAS!A:H,8,0)</f>
        <v>0</v>
      </c>
      <c r="V3" s="6">
        <v>0</v>
      </c>
      <c r="W3" s="43">
        <f>VLOOKUP(Tabla1[[#This Row],[PAGO DIA]],DIAS!A:I,9,0)</f>
        <v>0</v>
      </c>
      <c r="X3" s="6">
        <v>0</v>
      </c>
      <c r="Y3" s="43">
        <f>VLOOKUP(Tabla1[[#This Row],[PAGO DIA]],DIAS!A:J,10,0)</f>
        <v>0</v>
      </c>
      <c r="Z3" s="6">
        <v>0</v>
      </c>
      <c r="AA3" s="43">
        <f>VLOOKUP(Tabla1[[#This Row],[PAGO DIA]],DIAS!A:K,11,0)</f>
        <v>0</v>
      </c>
      <c r="AB3" s="6">
        <v>0</v>
      </c>
      <c r="AC3" s="43">
        <f>VLOOKUP(Tabla1[[#This Row],[PAGO DIA]],DIAS!A:M,12,0)</f>
        <v>0</v>
      </c>
      <c r="AD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103087022.24000001</v>
      </c>
    </row>
    <row r="4" spans="1:30">
      <c r="A4" s="3">
        <v>11262</v>
      </c>
      <c r="B4" s="3" t="s">
        <v>510</v>
      </c>
      <c r="C4" s="3" t="s">
        <v>505</v>
      </c>
      <c r="D4" s="3" t="s">
        <v>515</v>
      </c>
      <c r="E4" s="3" t="s">
        <v>512</v>
      </c>
      <c r="F4" s="42" t="s">
        <v>513</v>
      </c>
      <c r="G4" s="3" t="s">
        <v>516</v>
      </c>
      <c r="H4" s="8">
        <v>16655706.08</v>
      </c>
      <c r="I4" s="41">
        <f>VLOOKUP(Tabla1[[#This Row],[PAGO DIA]],DIAS!A:B,2,0)</f>
        <v>46079</v>
      </c>
      <c r="J4" s="8">
        <v>16655706.08</v>
      </c>
      <c r="K4" s="43">
        <f>VLOOKUP(Tabla1[[#This Row],[PAGO DIA]],DIAS!A:C,3,0)</f>
        <v>46111</v>
      </c>
      <c r="L4" s="8">
        <v>16655706.08</v>
      </c>
      <c r="M4" s="41">
        <f>VLOOKUP(Tabla1[[#This Row],[PAGO DIA]],DIAS!A:D,4,0)</f>
        <v>46141</v>
      </c>
      <c r="N4" s="6">
        <v>0</v>
      </c>
      <c r="O4" s="43">
        <f>VLOOKUP(Tabla1[[#This Row],[PAGO DIA]],DIAS!A:E,5,0)</f>
        <v>0</v>
      </c>
      <c r="P4" s="6">
        <v>0</v>
      </c>
      <c r="Q4" s="43">
        <f>VLOOKUP(Tabla1[[#This Row],[PAGO DIA]],DIAS!A:F,6,0)</f>
        <v>0</v>
      </c>
      <c r="R4" s="6">
        <v>0</v>
      </c>
      <c r="S4" s="43">
        <f>VLOOKUP(Tabla1[[#This Row],[PAGO DIA]],DIAS!A:G,7,0)</f>
        <v>0</v>
      </c>
      <c r="T4" s="6">
        <v>0</v>
      </c>
      <c r="U4" s="43">
        <f>VLOOKUP(Tabla1[[#This Row],[PAGO DIA]],DIAS!A:H,8,0)</f>
        <v>0</v>
      </c>
      <c r="V4" s="6">
        <v>0</v>
      </c>
      <c r="W4" s="43">
        <f>VLOOKUP(Tabla1[[#This Row],[PAGO DIA]],DIAS!A:I,9,0)</f>
        <v>0</v>
      </c>
      <c r="X4" s="6">
        <v>0</v>
      </c>
      <c r="Y4" s="43">
        <f>VLOOKUP(Tabla1[[#This Row],[PAGO DIA]],DIAS!A:J,10,0)</f>
        <v>0</v>
      </c>
      <c r="Z4" s="6">
        <v>0</v>
      </c>
      <c r="AA4" s="43">
        <f>VLOOKUP(Tabla1[[#This Row],[PAGO DIA]],DIAS!A:K,11,0)</f>
        <v>0</v>
      </c>
      <c r="AB4" s="6">
        <v>0</v>
      </c>
      <c r="AC4" s="43">
        <f>VLOOKUP(Tabla1[[#This Row],[PAGO DIA]],DIAS!A:M,12,0)</f>
        <v>0</v>
      </c>
      <c r="AD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49967118.240000002</v>
      </c>
    </row>
    <row r="5" spans="1:30">
      <c r="A5" s="3">
        <v>11202</v>
      </c>
      <c r="B5" s="3" t="s">
        <v>510</v>
      </c>
      <c r="C5" s="3" t="s">
        <v>505</v>
      </c>
      <c r="D5" s="3" t="s">
        <v>517</v>
      </c>
      <c r="E5" s="3" t="s">
        <v>518</v>
      </c>
      <c r="F5" s="42" t="s">
        <v>519</v>
      </c>
      <c r="G5" s="3" t="s">
        <v>520</v>
      </c>
      <c r="H5" s="8">
        <v>31544628.710000001</v>
      </c>
      <c r="I5" s="41">
        <f>VLOOKUP(Tabla1[[#This Row],[PAGO DIA]],DIAS!A:B,2,0)</f>
        <v>46079</v>
      </c>
      <c r="J5" s="8">
        <v>31544628.710000001</v>
      </c>
      <c r="K5" s="43">
        <f>VLOOKUP(Tabla1[[#This Row],[PAGO DIA]],DIAS!A:C,3,0)</f>
        <v>46111</v>
      </c>
      <c r="L5" s="8">
        <v>31544628.710000001</v>
      </c>
      <c r="M5" s="41">
        <f>VLOOKUP(Tabla1[[#This Row],[PAGO DIA]],DIAS!A:D,4,0)</f>
        <v>46141</v>
      </c>
      <c r="N5" s="6">
        <v>0</v>
      </c>
      <c r="O5" s="43">
        <f>VLOOKUP(Tabla1[[#This Row],[PAGO DIA]],DIAS!A:E,5,0)</f>
        <v>0</v>
      </c>
      <c r="P5" s="6">
        <v>0</v>
      </c>
      <c r="Q5" s="43">
        <f>VLOOKUP(Tabla1[[#This Row],[PAGO DIA]],DIAS!A:F,6,0)</f>
        <v>0</v>
      </c>
      <c r="R5" s="6">
        <v>0</v>
      </c>
      <c r="S5" s="43">
        <f>VLOOKUP(Tabla1[[#This Row],[PAGO DIA]],DIAS!A:G,7,0)</f>
        <v>0</v>
      </c>
      <c r="T5" s="6">
        <v>0</v>
      </c>
      <c r="U5" s="43">
        <f>VLOOKUP(Tabla1[[#This Row],[PAGO DIA]],DIAS!A:H,8,0)</f>
        <v>0</v>
      </c>
      <c r="V5" s="6">
        <v>0</v>
      </c>
      <c r="W5" s="43">
        <f>VLOOKUP(Tabla1[[#This Row],[PAGO DIA]],DIAS!A:I,9,0)</f>
        <v>0</v>
      </c>
      <c r="X5" s="6">
        <v>0</v>
      </c>
      <c r="Y5" s="43">
        <f>VLOOKUP(Tabla1[[#This Row],[PAGO DIA]],DIAS!A:J,10,0)</f>
        <v>0</v>
      </c>
      <c r="Z5" s="6">
        <v>0</v>
      </c>
      <c r="AA5" s="43">
        <f>VLOOKUP(Tabla1[[#This Row],[PAGO DIA]],DIAS!A:K,11,0)</f>
        <v>0</v>
      </c>
      <c r="AB5" s="6">
        <v>0</v>
      </c>
      <c r="AC5" s="43">
        <f>VLOOKUP(Tabla1[[#This Row],[PAGO DIA]],DIAS!A:M,12,0)</f>
        <v>0</v>
      </c>
      <c r="AD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94633886.129999995</v>
      </c>
    </row>
    <row r="6" spans="1:30">
      <c r="A6" s="3">
        <v>10939</v>
      </c>
      <c r="B6" s="3" t="s">
        <v>521</v>
      </c>
      <c r="C6" s="3" t="s">
        <v>522</v>
      </c>
      <c r="D6" s="3" t="s">
        <v>523</v>
      </c>
      <c r="E6" s="3" t="s">
        <v>524</v>
      </c>
      <c r="F6" s="42" t="s">
        <v>525</v>
      </c>
      <c r="G6" s="3"/>
      <c r="H6" s="8">
        <v>4146553719.0500002</v>
      </c>
      <c r="I6" s="41">
        <f>VLOOKUP(Tabla1[[#This Row],[PAGO DIA]],DIAS!A:B,2,0)</f>
        <v>46079</v>
      </c>
      <c r="J6" s="8">
        <v>6827946962.79</v>
      </c>
      <c r="K6" s="43">
        <f>VLOOKUP(Tabla1[[#This Row],[PAGO DIA]],DIAS!A:C,3,0)</f>
        <v>46111</v>
      </c>
      <c r="L6" s="6">
        <v>4000000000</v>
      </c>
      <c r="M6" s="41">
        <f>VLOOKUP(Tabla1[[#This Row],[PAGO DIA]],DIAS!A:D,4,0)</f>
        <v>46142</v>
      </c>
      <c r="N6" s="6">
        <v>4000000000</v>
      </c>
      <c r="O6" s="43">
        <f>VLOOKUP(Tabla1[[#This Row],[PAGO DIA]],DIAS!A:E,5,0)</f>
        <v>46171</v>
      </c>
      <c r="P6" s="6">
        <v>4000000000</v>
      </c>
      <c r="Q6" s="43">
        <f>VLOOKUP(Tabla1[[#This Row],[PAGO DIA]],DIAS!A:F,6,0)</f>
        <v>46203</v>
      </c>
      <c r="R6" s="6">
        <v>4000000000</v>
      </c>
      <c r="S6" s="43">
        <f>VLOOKUP(Tabla1[[#This Row],[PAGO DIA]],DIAS!A:G,7,0)</f>
        <v>46234</v>
      </c>
      <c r="T6" s="6">
        <v>4000000000</v>
      </c>
      <c r="U6" s="43">
        <f>VLOOKUP(Tabla1[[#This Row],[PAGO DIA]],DIAS!A:H,8,0)</f>
        <v>46265</v>
      </c>
      <c r="V6" s="6">
        <v>4000000000</v>
      </c>
      <c r="W6" s="43">
        <f>VLOOKUP(Tabla1[[#This Row],[PAGO DIA]],DIAS!A:I,9,0)</f>
        <v>46295</v>
      </c>
      <c r="X6" s="6">
        <v>4000000000</v>
      </c>
      <c r="Y6" s="43">
        <f>VLOOKUP(Tabla1[[#This Row],[PAGO DIA]],DIAS!A:J,10,0)</f>
        <v>46325</v>
      </c>
      <c r="Z6" s="6">
        <v>4000000000</v>
      </c>
      <c r="AA6" s="43">
        <f>VLOOKUP(Tabla1[[#This Row],[PAGO DIA]],DIAS!A:K,11,0)</f>
        <v>46356</v>
      </c>
      <c r="AB6" s="6">
        <v>4000000000</v>
      </c>
      <c r="AC6" s="43">
        <f>VLOOKUP(Tabla1[[#This Row],[PAGO DIA]],DIAS!A:M,12,0)</f>
        <v>46386</v>
      </c>
      <c r="AD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46974500681.840004</v>
      </c>
    </row>
    <row r="7" spans="1:30">
      <c r="A7" s="3">
        <v>10945</v>
      </c>
      <c r="B7" s="3" t="s">
        <v>504</v>
      </c>
      <c r="C7" s="3" t="s">
        <v>505</v>
      </c>
      <c r="D7" s="3" t="s">
        <v>526</v>
      </c>
      <c r="E7" s="3" t="s">
        <v>527</v>
      </c>
      <c r="F7" s="42" t="s">
        <v>528</v>
      </c>
      <c r="G7" s="3" t="s">
        <v>529</v>
      </c>
      <c r="H7" s="6">
        <v>514502017.27999997</v>
      </c>
      <c r="I7" s="41">
        <f>VLOOKUP(Tabla1[[#This Row],[PAGO DIA]],DIAS!A:B,2,0)</f>
        <v>46081</v>
      </c>
      <c r="J7" s="6"/>
      <c r="K7" s="43">
        <f>VLOOKUP(Tabla1[[#This Row],[PAGO DIA]],DIAS!A:C,3,0)</f>
        <v>46084</v>
      </c>
      <c r="L7" s="6">
        <v>0</v>
      </c>
      <c r="M7" s="41">
        <f>VLOOKUP(Tabla1[[#This Row],[PAGO DIA]],DIAS!A:D,4,0)</f>
        <v>46142</v>
      </c>
      <c r="N7" s="6">
        <v>0</v>
      </c>
      <c r="O7" s="43">
        <f>VLOOKUP(Tabla1[[#This Row],[PAGO DIA]],DIAS!A:E,5,0)</f>
        <v>46171</v>
      </c>
      <c r="P7" s="6">
        <v>0</v>
      </c>
      <c r="Q7" s="43">
        <f>VLOOKUP(Tabla1[[#This Row],[PAGO DIA]],DIAS!A:F,6,0)</f>
        <v>46203</v>
      </c>
      <c r="R7" s="6">
        <v>0</v>
      </c>
      <c r="S7" s="43">
        <f>VLOOKUP(Tabla1[[#This Row],[PAGO DIA]],DIAS!A:G,7,0)</f>
        <v>46234</v>
      </c>
      <c r="T7" s="6">
        <v>0</v>
      </c>
      <c r="U7" s="43">
        <f>VLOOKUP(Tabla1[[#This Row],[PAGO DIA]],DIAS!A:H,8,0)</f>
        <v>0</v>
      </c>
      <c r="V7" s="6">
        <v>0</v>
      </c>
      <c r="W7" s="43">
        <f>VLOOKUP(Tabla1[[#This Row],[PAGO DIA]],DIAS!A:I,9,0)</f>
        <v>0</v>
      </c>
      <c r="X7" s="6">
        <v>0</v>
      </c>
      <c r="Y7" s="43">
        <f>VLOOKUP(Tabla1[[#This Row],[PAGO DIA]],DIAS!A:J,10,0)</f>
        <v>0</v>
      </c>
      <c r="Z7" s="6">
        <v>0</v>
      </c>
      <c r="AA7" s="43">
        <f>VLOOKUP(Tabla1[[#This Row],[PAGO DIA]],DIAS!A:K,11,0)</f>
        <v>0</v>
      </c>
      <c r="AB7" s="6">
        <v>0</v>
      </c>
      <c r="AC7" s="43">
        <f>VLOOKUP(Tabla1[[#This Row],[PAGO DIA]],DIAS!A:M,12,0)</f>
        <v>0</v>
      </c>
      <c r="AD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514502017.27999997</v>
      </c>
    </row>
    <row r="8" spans="1:30">
      <c r="A8" s="3">
        <v>10942</v>
      </c>
      <c r="B8" s="3" t="s">
        <v>504</v>
      </c>
      <c r="C8" s="3" t="s">
        <v>505</v>
      </c>
      <c r="D8" s="3" t="s">
        <v>530</v>
      </c>
      <c r="E8" s="3" t="s">
        <v>531</v>
      </c>
      <c r="F8" s="42" t="s">
        <v>532</v>
      </c>
      <c r="G8" s="3" t="s">
        <v>533</v>
      </c>
      <c r="H8" s="8">
        <v>598317589.33000004</v>
      </c>
      <c r="I8" s="41">
        <f>VLOOKUP(Tabla1[[#This Row],[PAGO DIA]],DIAS!A:B,2,0)</f>
        <v>46072</v>
      </c>
      <c r="J8" s="8">
        <v>1000000000</v>
      </c>
      <c r="K8" s="43">
        <f>VLOOKUP(Tabla1[[#This Row],[PAGO DIA]],DIAS!A:C,3,0)</f>
        <v>46100</v>
      </c>
      <c r="L8" s="8">
        <v>600000000</v>
      </c>
      <c r="M8" s="41">
        <f>VLOOKUP(Tabla1[[#This Row],[PAGO DIA]],DIAS!A:D,4,0)</f>
        <v>46132</v>
      </c>
      <c r="N8" s="6">
        <v>2000000000</v>
      </c>
      <c r="O8" s="43">
        <f>VLOOKUP(Tabla1[[#This Row],[PAGO DIA]],DIAS!A:E,5,0)</f>
        <v>46171</v>
      </c>
      <c r="P8" s="6">
        <v>150000000</v>
      </c>
      <c r="Q8" s="43">
        <f>VLOOKUP(Tabla1[[#This Row],[PAGO DIA]],DIAS!A:F,6,0)</f>
        <v>46203</v>
      </c>
      <c r="R8" s="6">
        <v>2050000000</v>
      </c>
      <c r="S8" s="43">
        <f>VLOOKUP(Tabla1[[#This Row],[PAGO DIA]],DIAS!A:G,7,0)</f>
        <v>46234</v>
      </c>
      <c r="T8" s="6">
        <v>0</v>
      </c>
      <c r="U8" s="43">
        <f>VLOOKUP(Tabla1[[#This Row],[PAGO DIA]],DIAS!A:H,8,0)</f>
        <v>0</v>
      </c>
      <c r="V8" s="6">
        <v>0</v>
      </c>
      <c r="W8" s="43">
        <f>VLOOKUP(Tabla1[[#This Row],[PAGO DIA]],DIAS!A:I,9,0)</f>
        <v>0</v>
      </c>
      <c r="X8" s="6">
        <v>0</v>
      </c>
      <c r="Y8" s="43">
        <f>VLOOKUP(Tabla1[[#This Row],[PAGO DIA]],DIAS!A:J,10,0)</f>
        <v>0</v>
      </c>
      <c r="Z8" s="6">
        <v>0</v>
      </c>
      <c r="AA8" s="43">
        <f>VLOOKUP(Tabla1[[#This Row],[PAGO DIA]],DIAS!A:K,11,0)</f>
        <v>0</v>
      </c>
      <c r="AB8" s="6">
        <v>0</v>
      </c>
      <c r="AC8" s="43">
        <f>VLOOKUP(Tabla1[[#This Row],[PAGO DIA]],DIAS!A:M,12,0)</f>
        <v>0</v>
      </c>
      <c r="AD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6398317589.3299999</v>
      </c>
    </row>
    <row r="9" spans="1:30">
      <c r="A9" s="3">
        <v>10943</v>
      </c>
      <c r="B9" s="3" t="s">
        <v>534</v>
      </c>
      <c r="C9" s="3" t="s">
        <v>535</v>
      </c>
      <c r="D9" s="3" t="s">
        <v>536</v>
      </c>
      <c r="E9" s="3" t="s">
        <v>536</v>
      </c>
      <c r="F9" s="42" t="s">
        <v>537</v>
      </c>
      <c r="G9" s="3"/>
      <c r="H9" s="6">
        <v>1291912260</v>
      </c>
      <c r="I9" s="41">
        <f>VLOOKUP(Tabla1[[#This Row],[PAGO DIA]],DIAS!A:B,2,0)</f>
        <v>46066</v>
      </c>
      <c r="J9" s="6">
        <v>1200000000</v>
      </c>
      <c r="K9" s="43">
        <f>VLOOKUP(Tabla1[[#This Row],[PAGO DIA]],DIAS!A:C,3,0)</f>
        <v>46094</v>
      </c>
      <c r="L9" s="6">
        <v>1200000000</v>
      </c>
      <c r="M9" s="41">
        <f>VLOOKUP(Tabla1[[#This Row],[PAGO DIA]],DIAS!A:D,4,0)</f>
        <v>46127</v>
      </c>
      <c r="N9" s="6">
        <v>1200000000</v>
      </c>
      <c r="O9" s="43">
        <f>VLOOKUP(Tabla1[[#This Row],[PAGO DIA]],DIAS!A:E,5,0)</f>
        <v>46157</v>
      </c>
      <c r="P9" s="6">
        <v>1200000000</v>
      </c>
      <c r="Q9" s="43">
        <f>VLOOKUP(Tabla1[[#This Row],[PAGO DIA]],DIAS!A:F,6,0)</f>
        <v>46185</v>
      </c>
      <c r="R9" s="6">
        <v>1200000000</v>
      </c>
      <c r="S9" s="43">
        <f>VLOOKUP(Tabla1[[#This Row],[PAGO DIA]],DIAS!A:G,7,0)</f>
        <v>46218</v>
      </c>
      <c r="T9" s="6">
        <v>1200000000</v>
      </c>
      <c r="U9" s="43">
        <f>VLOOKUP(Tabla1[[#This Row],[PAGO DIA]],DIAS!A:H,8,0)</f>
        <v>46248</v>
      </c>
      <c r="V9" s="6">
        <v>1200000000</v>
      </c>
      <c r="W9" s="43">
        <f>VLOOKUP(Tabla1[[#This Row],[PAGO DIA]],DIAS!A:I,9,0)</f>
        <v>46280</v>
      </c>
      <c r="X9" s="6">
        <v>1200000000</v>
      </c>
      <c r="Y9" s="43">
        <f>VLOOKUP(Tabla1[[#This Row],[PAGO DIA]],DIAS!A:J,10,0)</f>
        <v>46310</v>
      </c>
      <c r="Z9" s="6">
        <v>1200000000</v>
      </c>
      <c r="AA9" s="43">
        <f>VLOOKUP(Tabla1[[#This Row],[PAGO DIA]],DIAS!A:K,11,0)</f>
        <v>46339</v>
      </c>
      <c r="AB9" s="6">
        <v>1200000000</v>
      </c>
      <c r="AC9" s="43">
        <f>VLOOKUP(Tabla1[[#This Row],[PAGO DIA]],DIAS!A:M,12,0)</f>
        <v>46371</v>
      </c>
      <c r="AD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13291912260</v>
      </c>
    </row>
    <row r="10" spans="1:30">
      <c r="A10" s="3">
        <v>12567</v>
      </c>
      <c r="B10" s="3" t="s">
        <v>538</v>
      </c>
      <c r="C10" s="3" t="s">
        <v>539</v>
      </c>
      <c r="D10" s="3" t="s">
        <v>540</v>
      </c>
      <c r="E10" s="3" t="s">
        <v>541</v>
      </c>
      <c r="F10" s="42" t="s">
        <v>542</v>
      </c>
      <c r="G10" s="3" t="s">
        <v>543</v>
      </c>
      <c r="H10" s="7">
        <v>90000000</v>
      </c>
      <c r="I10" s="41">
        <f>VLOOKUP(Tabla1[[#This Row],[PAGO DIA]],DIAS!A:B,2,0)</f>
        <v>46056</v>
      </c>
      <c r="J10" s="6">
        <v>0</v>
      </c>
      <c r="K10" s="43">
        <f>VLOOKUP(Tabla1[[#This Row],[PAGO DIA]],DIAS!A:C,3,0)</f>
        <v>46084</v>
      </c>
      <c r="L10" s="6">
        <v>0</v>
      </c>
      <c r="M10" s="41">
        <f>VLOOKUP(Tabla1[[#This Row],[PAGO DIA]],DIAS!A:D,4,0)</f>
        <v>46119</v>
      </c>
      <c r="N10" s="6">
        <v>0</v>
      </c>
      <c r="O10" s="43">
        <f>VLOOKUP(Tabla1[[#This Row],[PAGO DIA]],DIAS!A:E,5,0)</f>
        <v>46147</v>
      </c>
      <c r="P10" s="6">
        <v>0</v>
      </c>
      <c r="Q10" s="43">
        <f>VLOOKUP(Tabla1[[#This Row],[PAGO DIA]],DIAS!A:F,6,0)</f>
        <v>46175</v>
      </c>
      <c r="R10" s="6">
        <v>0</v>
      </c>
      <c r="S10" s="43">
        <f>VLOOKUP(Tabla1[[#This Row],[PAGO DIA]],DIAS!A:G,7,0)</f>
        <v>46210</v>
      </c>
      <c r="T10" s="6">
        <v>0</v>
      </c>
      <c r="U10" s="43">
        <f>VLOOKUP(Tabla1[[#This Row],[PAGO DIA]],DIAS!A:H,8,0)</f>
        <v>46238</v>
      </c>
      <c r="V10" s="6">
        <v>0</v>
      </c>
      <c r="W10" s="43">
        <f>VLOOKUP(Tabla1[[#This Row],[PAGO DIA]],DIAS!A:I,9,0)</f>
        <v>46266</v>
      </c>
      <c r="X10" s="6">
        <v>0</v>
      </c>
      <c r="Y10" s="43">
        <f>VLOOKUP(Tabla1[[#This Row],[PAGO DIA]],DIAS!A:J,10,0)</f>
        <v>46301</v>
      </c>
      <c r="Z10" s="6">
        <v>0</v>
      </c>
      <c r="AA10" s="43">
        <f>VLOOKUP(Tabla1[[#This Row],[PAGO DIA]],DIAS!A:K,11,0)</f>
        <v>46329</v>
      </c>
      <c r="AB10" s="6">
        <v>0</v>
      </c>
      <c r="AC10" s="43">
        <f>VLOOKUP(Tabla1[[#This Row],[PAGO DIA]],DIAS!A:M,12,0)</f>
        <v>46357</v>
      </c>
      <c r="AD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90000000</v>
      </c>
    </row>
    <row r="11" spans="1:30">
      <c r="A11" s="3">
        <v>12846</v>
      </c>
      <c r="B11" s="3" t="s">
        <v>544</v>
      </c>
      <c r="C11" s="3" t="s">
        <v>505</v>
      </c>
      <c r="D11" s="3" t="s">
        <v>545</v>
      </c>
      <c r="E11" s="3" t="s">
        <v>546</v>
      </c>
      <c r="F11" s="42" t="s">
        <v>542</v>
      </c>
      <c r="G11" s="3" t="s">
        <v>547</v>
      </c>
      <c r="H11" s="7">
        <v>2032800</v>
      </c>
      <c r="I11" s="41">
        <f>VLOOKUP(Tabla1[[#This Row],[PAGO DIA]],DIAS!A:B,2,0)</f>
        <v>46056</v>
      </c>
      <c r="J11" s="6">
        <v>0</v>
      </c>
      <c r="K11" s="43">
        <f>VLOOKUP(Tabla1[[#This Row],[PAGO DIA]],DIAS!A:C,3,0)</f>
        <v>46084</v>
      </c>
      <c r="L11" s="6">
        <v>0</v>
      </c>
      <c r="M11" s="41">
        <f>VLOOKUP(Tabla1[[#This Row],[PAGO DIA]],DIAS!A:D,4,0)</f>
        <v>46119</v>
      </c>
      <c r="N11" s="6">
        <v>0</v>
      </c>
      <c r="O11" s="43">
        <f>VLOOKUP(Tabla1[[#This Row],[PAGO DIA]],DIAS!A:E,5,0)</f>
        <v>46147</v>
      </c>
      <c r="P11" s="6">
        <v>0</v>
      </c>
      <c r="Q11" s="43">
        <f>VLOOKUP(Tabla1[[#This Row],[PAGO DIA]],DIAS!A:F,6,0)</f>
        <v>46175</v>
      </c>
      <c r="R11" s="6">
        <v>0</v>
      </c>
      <c r="S11" s="43">
        <f>VLOOKUP(Tabla1[[#This Row],[PAGO DIA]],DIAS!A:G,7,0)</f>
        <v>46210</v>
      </c>
      <c r="T11" s="6">
        <v>0</v>
      </c>
      <c r="U11" s="43">
        <f>VLOOKUP(Tabla1[[#This Row],[PAGO DIA]],DIAS!A:H,8,0)</f>
        <v>46238</v>
      </c>
      <c r="V11" s="6">
        <v>0</v>
      </c>
      <c r="W11" s="43">
        <f>VLOOKUP(Tabla1[[#This Row],[PAGO DIA]],DIAS!A:I,9,0)</f>
        <v>46266</v>
      </c>
      <c r="X11" s="6">
        <v>0</v>
      </c>
      <c r="Y11" s="43">
        <f>VLOOKUP(Tabla1[[#This Row],[PAGO DIA]],DIAS!A:J,10,0)</f>
        <v>46301</v>
      </c>
      <c r="Z11" s="6">
        <v>0</v>
      </c>
      <c r="AA11" s="43">
        <f>VLOOKUP(Tabla1[[#This Row],[PAGO DIA]],DIAS!A:K,11,0)</f>
        <v>46329</v>
      </c>
      <c r="AB11" s="6">
        <v>0</v>
      </c>
      <c r="AC11" s="43">
        <f>VLOOKUP(Tabla1[[#This Row],[PAGO DIA]],DIAS!A:M,12,0)</f>
        <v>46357</v>
      </c>
      <c r="AD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2032800</v>
      </c>
    </row>
    <row r="12" spans="1:30">
      <c r="A12" s="3">
        <v>11415</v>
      </c>
      <c r="B12" s="3" t="s">
        <v>548</v>
      </c>
      <c r="C12" s="3"/>
      <c r="D12" s="3" t="s">
        <v>549</v>
      </c>
      <c r="E12" s="3" t="s">
        <v>550</v>
      </c>
      <c r="F12" s="42" t="s">
        <v>551</v>
      </c>
      <c r="G12" s="3"/>
      <c r="H12" s="7">
        <v>12000000</v>
      </c>
      <c r="I12" s="41">
        <f>VLOOKUP(Tabla1[[#This Row],[PAGO DIA]],DIAS!A:B,2,0)</f>
        <v>46063</v>
      </c>
      <c r="J12" s="6">
        <v>12000000</v>
      </c>
      <c r="K12" s="43">
        <f>VLOOKUP(Tabla1[[#This Row],[PAGO DIA]],DIAS!A:C,3,0)</f>
        <v>46091</v>
      </c>
      <c r="L12" s="6">
        <v>12000000</v>
      </c>
      <c r="M12" s="41">
        <f>VLOOKUP(Tabla1[[#This Row],[PAGO DIA]],DIAS!A:D,4,0)</f>
        <v>46126</v>
      </c>
      <c r="N12" s="6">
        <v>12000000</v>
      </c>
      <c r="O12" s="43">
        <f>VLOOKUP(Tabla1[[#This Row],[PAGO DIA]],DIAS!A:E,5,0)</f>
        <v>46154</v>
      </c>
      <c r="P12" s="6">
        <v>12000000</v>
      </c>
      <c r="Q12" s="43">
        <f>VLOOKUP(Tabla1[[#This Row],[PAGO DIA]],DIAS!A:F,6,0)</f>
        <v>46182</v>
      </c>
      <c r="R12" s="6">
        <v>12000000</v>
      </c>
      <c r="S12" s="43">
        <f>VLOOKUP(Tabla1[[#This Row],[PAGO DIA]],DIAS!A:G,7,0)</f>
        <v>46217</v>
      </c>
      <c r="T12" s="6">
        <v>12000000</v>
      </c>
      <c r="U12" s="43">
        <f>VLOOKUP(Tabla1[[#This Row],[PAGO DIA]],DIAS!A:H,8,0)</f>
        <v>46245</v>
      </c>
      <c r="V12" s="6">
        <v>12000000</v>
      </c>
      <c r="W12" s="43">
        <f>VLOOKUP(Tabla1[[#This Row],[PAGO DIA]],DIAS!A:I,9,0)</f>
        <v>46273</v>
      </c>
      <c r="X12" s="6">
        <v>12000000</v>
      </c>
      <c r="Y12" s="43">
        <f>VLOOKUP(Tabla1[[#This Row],[PAGO DIA]],DIAS!A:J,10,0)</f>
        <v>46308</v>
      </c>
      <c r="Z12" s="6">
        <v>12000000</v>
      </c>
      <c r="AA12" s="43">
        <f>VLOOKUP(Tabla1[[#This Row],[PAGO DIA]],DIAS!A:K,11,0)</f>
        <v>46336</v>
      </c>
      <c r="AB12" s="6">
        <v>12000000</v>
      </c>
      <c r="AC12" s="43">
        <f>VLOOKUP(Tabla1[[#This Row],[PAGO DIA]],DIAS!A:M,12,0)</f>
        <v>46365</v>
      </c>
      <c r="AD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132000000</v>
      </c>
    </row>
    <row r="13" spans="1:30">
      <c r="A13" s="3">
        <v>12234</v>
      </c>
      <c r="B13" s="3" t="s">
        <v>548</v>
      </c>
      <c r="C13" s="3" t="s">
        <v>552</v>
      </c>
      <c r="D13" s="3" t="s">
        <v>553</v>
      </c>
      <c r="E13" s="3" t="s">
        <v>554</v>
      </c>
      <c r="F13" s="42" t="s">
        <v>551</v>
      </c>
      <c r="G13" s="3"/>
      <c r="H13" s="7">
        <v>367625717.69999999</v>
      </c>
      <c r="I13" s="41">
        <f>VLOOKUP(Tabla1[[#This Row],[PAGO DIA]],DIAS!A:B,2,0)</f>
        <v>46063</v>
      </c>
      <c r="J13" s="6">
        <v>300000000</v>
      </c>
      <c r="K13" s="43">
        <f>VLOOKUP(Tabla1[[#This Row],[PAGO DIA]],DIAS!A:C,3,0)</f>
        <v>46091</v>
      </c>
      <c r="L13" s="6">
        <v>300000000</v>
      </c>
      <c r="M13" s="41">
        <f>VLOOKUP(Tabla1[[#This Row],[PAGO DIA]],DIAS!A:D,4,0)</f>
        <v>46126</v>
      </c>
      <c r="N13" s="6">
        <v>300000000</v>
      </c>
      <c r="O13" s="43">
        <f>VLOOKUP(Tabla1[[#This Row],[PAGO DIA]],DIAS!A:E,5,0)</f>
        <v>46154</v>
      </c>
      <c r="P13" s="6">
        <v>300000000</v>
      </c>
      <c r="Q13" s="43">
        <f>VLOOKUP(Tabla1[[#This Row],[PAGO DIA]],DIAS!A:F,6,0)</f>
        <v>46182</v>
      </c>
      <c r="R13" s="6">
        <v>300000000</v>
      </c>
      <c r="S13" s="43">
        <f>VLOOKUP(Tabla1[[#This Row],[PAGO DIA]],DIAS!A:G,7,0)</f>
        <v>46217</v>
      </c>
      <c r="T13" s="6">
        <v>300000000</v>
      </c>
      <c r="U13" s="43">
        <f>VLOOKUP(Tabla1[[#This Row],[PAGO DIA]],DIAS!A:H,8,0)</f>
        <v>46245</v>
      </c>
      <c r="V13" s="6">
        <v>300000000</v>
      </c>
      <c r="W13" s="43">
        <f>VLOOKUP(Tabla1[[#This Row],[PAGO DIA]],DIAS!A:I,9,0)</f>
        <v>46273</v>
      </c>
      <c r="X13" s="6">
        <v>300000000</v>
      </c>
      <c r="Y13" s="43">
        <f>VLOOKUP(Tabla1[[#This Row],[PAGO DIA]],DIAS!A:J,10,0)</f>
        <v>46308</v>
      </c>
      <c r="Z13" s="6">
        <v>300000000</v>
      </c>
      <c r="AA13" s="43">
        <f>VLOOKUP(Tabla1[[#This Row],[PAGO DIA]],DIAS!A:K,11,0)</f>
        <v>46336</v>
      </c>
      <c r="AB13" s="6">
        <v>300000000</v>
      </c>
      <c r="AC13" s="43">
        <f>VLOOKUP(Tabla1[[#This Row],[PAGO DIA]],DIAS!A:M,12,0)</f>
        <v>46365</v>
      </c>
      <c r="AD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3367625717.6999998</v>
      </c>
    </row>
    <row r="14" spans="1:30">
      <c r="A14" s="3">
        <v>12599</v>
      </c>
      <c r="B14" s="3" t="s">
        <v>538</v>
      </c>
      <c r="C14" s="3" t="s">
        <v>539</v>
      </c>
      <c r="D14" s="3" t="s">
        <v>540</v>
      </c>
      <c r="E14" s="3" t="s">
        <v>555</v>
      </c>
      <c r="F14" s="42" t="s">
        <v>542</v>
      </c>
      <c r="G14" s="3" t="s">
        <v>556</v>
      </c>
      <c r="H14" s="7">
        <v>773440.17</v>
      </c>
      <c r="I14" s="41">
        <f>VLOOKUP(Tabla1[[#This Row],[PAGO DIA]],DIAS!A:B,2,0)</f>
        <v>46056</v>
      </c>
      <c r="J14" s="6">
        <v>0</v>
      </c>
      <c r="K14" s="43">
        <f>VLOOKUP(Tabla1[[#This Row],[PAGO DIA]],DIAS!A:C,3,0)</f>
        <v>46084</v>
      </c>
      <c r="L14" s="6">
        <v>0</v>
      </c>
      <c r="M14" s="41">
        <f>VLOOKUP(Tabla1[[#This Row],[PAGO DIA]],DIAS!A:D,4,0)</f>
        <v>46119</v>
      </c>
      <c r="N14" s="6">
        <v>0</v>
      </c>
      <c r="O14" s="43">
        <f>VLOOKUP(Tabla1[[#This Row],[PAGO DIA]],DIAS!A:E,5,0)</f>
        <v>46147</v>
      </c>
      <c r="P14" s="6">
        <v>0</v>
      </c>
      <c r="Q14" s="43">
        <f>VLOOKUP(Tabla1[[#This Row],[PAGO DIA]],DIAS!A:F,6,0)</f>
        <v>46175</v>
      </c>
      <c r="R14" s="6">
        <v>0</v>
      </c>
      <c r="S14" s="43">
        <f>VLOOKUP(Tabla1[[#This Row],[PAGO DIA]],DIAS!A:G,7,0)</f>
        <v>46210</v>
      </c>
      <c r="T14" s="6">
        <v>0</v>
      </c>
      <c r="U14" s="43">
        <f>VLOOKUP(Tabla1[[#This Row],[PAGO DIA]],DIAS!A:H,8,0)</f>
        <v>46238</v>
      </c>
      <c r="V14" s="6">
        <v>0</v>
      </c>
      <c r="W14" s="43">
        <f>VLOOKUP(Tabla1[[#This Row],[PAGO DIA]],DIAS!A:I,9,0)</f>
        <v>46266</v>
      </c>
      <c r="X14" s="6">
        <v>0</v>
      </c>
      <c r="Y14" s="43">
        <f>VLOOKUP(Tabla1[[#This Row],[PAGO DIA]],DIAS!A:J,10,0)</f>
        <v>46301</v>
      </c>
      <c r="Z14" s="6">
        <v>0</v>
      </c>
      <c r="AA14" s="43">
        <f>VLOOKUP(Tabla1[[#This Row],[PAGO DIA]],DIAS!A:K,11,0)</f>
        <v>46329</v>
      </c>
      <c r="AB14" s="6">
        <v>0</v>
      </c>
      <c r="AC14" s="43">
        <f>VLOOKUP(Tabla1[[#This Row],[PAGO DIA]],DIAS!A:M,12,0)</f>
        <v>46357</v>
      </c>
      <c r="AD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773440.17</v>
      </c>
    </row>
    <row r="15" spans="1:30">
      <c r="A15" s="3">
        <v>11112</v>
      </c>
      <c r="B15" s="3" t="s">
        <v>557</v>
      </c>
      <c r="C15" s="3" t="s">
        <v>558</v>
      </c>
      <c r="D15" s="3" t="s">
        <v>558</v>
      </c>
      <c r="E15" s="3" t="s">
        <v>558</v>
      </c>
      <c r="F15" s="42" t="s">
        <v>551</v>
      </c>
      <c r="G15" s="3"/>
      <c r="H15" s="6">
        <v>300000000</v>
      </c>
      <c r="I15" s="41">
        <f>VLOOKUP(Tabla1[[#This Row],[PAGO DIA]],DIAS!A:B,2,0)</f>
        <v>46063</v>
      </c>
      <c r="J15" s="9">
        <v>250000000</v>
      </c>
      <c r="K15" s="43">
        <f>VLOOKUP(Tabla1[[#This Row],[PAGO DIA]],DIAS!A:C,3,0)</f>
        <v>46091</v>
      </c>
      <c r="L15" s="6">
        <v>250000000</v>
      </c>
      <c r="M15" s="41">
        <f>VLOOKUP(Tabla1[[#This Row],[PAGO DIA]],DIAS!A:D,4,0)</f>
        <v>46126</v>
      </c>
      <c r="N15" s="6">
        <v>250000000</v>
      </c>
      <c r="O15" s="43">
        <f>VLOOKUP(Tabla1[[#This Row],[PAGO DIA]],DIAS!A:E,5,0)</f>
        <v>46154</v>
      </c>
      <c r="P15" s="6">
        <v>250000000</v>
      </c>
      <c r="Q15" s="43">
        <f>VLOOKUP(Tabla1[[#This Row],[PAGO DIA]],DIAS!A:F,6,0)</f>
        <v>46182</v>
      </c>
      <c r="R15" s="6">
        <v>250000000</v>
      </c>
      <c r="S15" s="43">
        <f>VLOOKUP(Tabla1[[#This Row],[PAGO DIA]],DIAS!A:G,7,0)</f>
        <v>46217</v>
      </c>
      <c r="T15" s="6">
        <v>250000000</v>
      </c>
      <c r="U15" s="43">
        <f>VLOOKUP(Tabla1[[#This Row],[PAGO DIA]],DIAS!A:H,8,0)</f>
        <v>46245</v>
      </c>
      <c r="V15" s="6">
        <v>250000000</v>
      </c>
      <c r="W15" s="43">
        <f>VLOOKUP(Tabla1[[#This Row],[PAGO DIA]],DIAS!A:I,9,0)</f>
        <v>46273</v>
      </c>
      <c r="X15" s="6">
        <v>250000000</v>
      </c>
      <c r="Y15" s="43">
        <f>VLOOKUP(Tabla1[[#This Row],[PAGO DIA]],DIAS!A:J,10,0)</f>
        <v>46308</v>
      </c>
      <c r="Z15" s="6">
        <v>250000000</v>
      </c>
      <c r="AA15" s="43">
        <f>VLOOKUP(Tabla1[[#This Row],[PAGO DIA]],DIAS!A:K,11,0)</f>
        <v>46336</v>
      </c>
      <c r="AB15" s="6">
        <v>250000000</v>
      </c>
      <c r="AC15" s="43">
        <f>VLOOKUP(Tabla1[[#This Row],[PAGO DIA]],DIAS!A:M,12,0)</f>
        <v>46365</v>
      </c>
      <c r="AD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2800000000</v>
      </c>
    </row>
    <row r="16" spans="1:30">
      <c r="A16" s="3">
        <v>11097</v>
      </c>
      <c r="B16" s="3" t="s">
        <v>548</v>
      </c>
      <c r="C16" s="3" t="s">
        <v>559</v>
      </c>
      <c r="D16" s="3" t="s">
        <v>560</v>
      </c>
      <c r="E16" s="3" t="s">
        <v>561</v>
      </c>
      <c r="F16" s="42" t="s">
        <v>562</v>
      </c>
      <c r="G16" s="3"/>
      <c r="H16" s="6">
        <v>750000000</v>
      </c>
      <c r="I16" s="41">
        <f>VLOOKUP(Tabla1[[#This Row],[PAGO DIA]],DIAS!A:B,2,0)</f>
        <v>46078</v>
      </c>
      <c r="J16" s="6">
        <v>750000000</v>
      </c>
      <c r="K16" s="43">
        <f>VLOOKUP(Tabla1[[#This Row],[PAGO DIA]],DIAS!A:C,3,0)</f>
        <v>46105</v>
      </c>
      <c r="L16" s="6">
        <v>750000000</v>
      </c>
      <c r="M16" s="41">
        <f>VLOOKUP(Tabla1[[#This Row],[PAGO DIA]],DIAS!A:D,4,0)</f>
        <v>46140</v>
      </c>
      <c r="N16" s="6">
        <v>750000000</v>
      </c>
      <c r="O16" s="43">
        <f>VLOOKUP(Tabla1[[#This Row],[PAGO DIA]],DIAS!A:E,5,0)</f>
        <v>46168</v>
      </c>
      <c r="P16" s="6">
        <v>750000000</v>
      </c>
      <c r="Q16" s="43">
        <f>VLOOKUP(Tabla1[[#This Row],[PAGO DIA]],DIAS!A:F,6,0)</f>
        <v>46196</v>
      </c>
      <c r="R16" s="6">
        <v>750000000</v>
      </c>
      <c r="S16" s="43">
        <f>VLOOKUP(Tabla1[[#This Row],[PAGO DIA]],DIAS!A:G,7,0)</f>
        <v>46231</v>
      </c>
      <c r="T16" s="6">
        <v>750000000</v>
      </c>
      <c r="U16" s="43">
        <f>VLOOKUP(Tabla1[[#This Row],[PAGO DIA]],DIAS!A:H,8,0)</f>
        <v>46259</v>
      </c>
      <c r="V16" s="6">
        <v>750000000</v>
      </c>
      <c r="W16" s="43">
        <f>VLOOKUP(Tabla1[[#This Row],[PAGO DIA]],DIAS!A:I,9,0)</f>
        <v>46287</v>
      </c>
      <c r="X16" s="6">
        <v>750000000</v>
      </c>
      <c r="Y16" s="43">
        <f>VLOOKUP(Tabla1[[#This Row],[PAGO DIA]],DIAS!A:J,10,0)</f>
        <v>46322</v>
      </c>
      <c r="Z16" s="6">
        <v>750000000</v>
      </c>
      <c r="AA16" s="43">
        <f>VLOOKUP(Tabla1[[#This Row],[PAGO DIA]],DIAS!A:K,11,0)</f>
        <v>46350</v>
      </c>
      <c r="AB16" s="6">
        <v>750000000</v>
      </c>
      <c r="AC16" s="43">
        <f>VLOOKUP(Tabla1[[#This Row],[PAGO DIA]],DIAS!A:M,12,0)</f>
        <v>46379</v>
      </c>
      <c r="AD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8250000000</v>
      </c>
    </row>
    <row r="17" spans="1:30">
      <c r="A17" s="3">
        <v>12608</v>
      </c>
      <c r="B17" s="3" t="s">
        <v>538</v>
      </c>
      <c r="C17" s="3" t="s">
        <v>539</v>
      </c>
      <c r="D17" s="3" t="s">
        <v>540</v>
      </c>
      <c r="E17" s="3" t="s">
        <v>555</v>
      </c>
      <c r="F17" s="42" t="s">
        <v>542</v>
      </c>
      <c r="G17" s="3" t="s">
        <v>563</v>
      </c>
      <c r="H17" s="7">
        <v>450000</v>
      </c>
      <c r="I17" s="41">
        <f>VLOOKUP(Tabla1[[#This Row],[PAGO DIA]],DIAS!A:B,2,0)</f>
        <v>46056</v>
      </c>
      <c r="J17" s="6">
        <v>0</v>
      </c>
      <c r="K17" s="43">
        <f>VLOOKUP(Tabla1[[#This Row],[PAGO DIA]],DIAS!A:C,3,0)</f>
        <v>46084</v>
      </c>
      <c r="L17" s="6">
        <v>0</v>
      </c>
      <c r="M17" s="41">
        <f>VLOOKUP(Tabla1[[#This Row],[PAGO DIA]],DIAS!A:D,4,0)</f>
        <v>46119</v>
      </c>
      <c r="N17" s="6">
        <v>0</v>
      </c>
      <c r="O17" s="43">
        <f>VLOOKUP(Tabla1[[#This Row],[PAGO DIA]],DIAS!A:E,5,0)</f>
        <v>46147</v>
      </c>
      <c r="P17" s="6">
        <v>0</v>
      </c>
      <c r="Q17" s="43">
        <f>VLOOKUP(Tabla1[[#This Row],[PAGO DIA]],DIAS!A:F,6,0)</f>
        <v>46175</v>
      </c>
      <c r="R17" s="6">
        <v>0</v>
      </c>
      <c r="S17" s="43">
        <f>VLOOKUP(Tabla1[[#This Row],[PAGO DIA]],DIAS!A:G,7,0)</f>
        <v>46210</v>
      </c>
      <c r="T17" s="6">
        <v>0</v>
      </c>
      <c r="U17" s="43">
        <f>VLOOKUP(Tabla1[[#This Row],[PAGO DIA]],DIAS!A:H,8,0)</f>
        <v>46238</v>
      </c>
      <c r="V17" s="6">
        <v>0</v>
      </c>
      <c r="W17" s="43">
        <f>VLOOKUP(Tabla1[[#This Row],[PAGO DIA]],DIAS!A:I,9,0)</f>
        <v>46266</v>
      </c>
      <c r="X17" s="6">
        <v>0</v>
      </c>
      <c r="Y17" s="43">
        <f>VLOOKUP(Tabla1[[#This Row],[PAGO DIA]],DIAS!A:J,10,0)</f>
        <v>46301</v>
      </c>
      <c r="Z17" s="6">
        <v>0</v>
      </c>
      <c r="AA17" s="43">
        <f>VLOOKUP(Tabla1[[#This Row],[PAGO DIA]],DIAS!A:K,11,0)</f>
        <v>46329</v>
      </c>
      <c r="AB17" s="6">
        <v>0</v>
      </c>
      <c r="AC17" s="43">
        <f>VLOOKUP(Tabla1[[#This Row],[PAGO DIA]],DIAS!A:M,12,0)</f>
        <v>46357</v>
      </c>
      <c r="AD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450000</v>
      </c>
    </row>
    <row r="18" spans="1:30">
      <c r="A18" s="3">
        <v>11107</v>
      </c>
      <c r="B18" s="3" t="s">
        <v>548</v>
      </c>
      <c r="C18" s="3" t="s">
        <v>564</v>
      </c>
      <c r="D18" s="3" t="s">
        <v>564</v>
      </c>
      <c r="E18" s="3" t="s">
        <v>565</v>
      </c>
      <c r="F18" s="42" t="s">
        <v>542</v>
      </c>
      <c r="G18" s="3"/>
      <c r="H18" s="6">
        <v>293426216.19999999</v>
      </c>
      <c r="I18" s="41">
        <f>VLOOKUP(Tabla1[[#This Row],[PAGO DIA]],DIAS!A:B,2,0)</f>
        <v>46056</v>
      </c>
      <c r="J18" s="6">
        <v>310000000</v>
      </c>
      <c r="K18" s="43">
        <f>VLOOKUP(Tabla1[[#This Row],[PAGO DIA]],DIAS!A:C,3,0)</f>
        <v>46084</v>
      </c>
      <c r="L18" s="6">
        <v>310000000</v>
      </c>
      <c r="M18" s="41">
        <f>VLOOKUP(Tabla1[[#This Row],[PAGO DIA]],DIAS!A:D,4,0)</f>
        <v>46119</v>
      </c>
      <c r="N18" s="6">
        <v>310000000</v>
      </c>
      <c r="O18" s="43">
        <f>VLOOKUP(Tabla1[[#This Row],[PAGO DIA]],DIAS!A:E,5,0)</f>
        <v>46147</v>
      </c>
      <c r="P18" s="6">
        <v>310000000</v>
      </c>
      <c r="Q18" s="43">
        <f>VLOOKUP(Tabla1[[#This Row],[PAGO DIA]],DIAS!A:F,6,0)</f>
        <v>46175</v>
      </c>
      <c r="R18" s="6">
        <v>310000000</v>
      </c>
      <c r="S18" s="43">
        <f>VLOOKUP(Tabla1[[#This Row],[PAGO DIA]],DIAS!A:G,7,0)</f>
        <v>46210</v>
      </c>
      <c r="T18" s="6">
        <v>310000000</v>
      </c>
      <c r="U18" s="43">
        <f>VLOOKUP(Tabla1[[#This Row],[PAGO DIA]],DIAS!A:H,8,0)</f>
        <v>46238</v>
      </c>
      <c r="V18" s="6">
        <v>310000000</v>
      </c>
      <c r="W18" s="43">
        <f>VLOOKUP(Tabla1[[#This Row],[PAGO DIA]],DIAS!A:I,9,0)</f>
        <v>46266</v>
      </c>
      <c r="X18" s="6">
        <v>310000000</v>
      </c>
      <c r="Y18" s="43">
        <f>VLOOKUP(Tabla1[[#This Row],[PAGO DIA]],DIAS!A:J,10,0)</f>
        <v>46301</v>
      </c>
      <c r="Z18" s="6">
        <v>310000000</v>
      </c>
      <c r="AA18" s="43">
        <f>VLOOKUP(Tabla1[[#This Row],[PAGO DIA]],DIAS!A:K,11,0)</f>
        <v>46329</v>
      </c>
      <c r="AB18" s="6">
        <v>310000000</v>
      </c>
      <c r="AC18" s="43">
        <f>VLOOKUP(Tabla1[[#This Row],[PAGO DIA]],DIAS!A:M,12,0)</f>
        <v>46357</v>
      </c>
      <c r="AD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3393426216.1999998</v>
      </c>
    </row>
    <row r="19" spans="1:30">
      <c r="A19" s="3">
        <v>10949</v>
      </c>
      <c r="B19" s="3" t="s">
        <v>548</v>
      </c>
      <c r="C19" s="3" t="s">
        <v>566</v>
      </c>
      <c r="D19" s="3" t="s">
        <v>566</v>
      </c>
      <c r="E19" s="3" t="s">
        <v>567</v>
      </c>
      <c r="F19" s="42" t="s">
        <v>568</v>
      </c>
      <c r="G19" s="3"/>
      <c r="H19" s="6">
        <v>235000000</v>
      </c>
      <c r="I19" s="41">
        <f>VLOOKUP(Tabla1[[#This Row],[PAGO DIA]],DIAS!A:B,2,0)</f>
        <v>46068</v>
      </c>
      <c r="J19" s="6">
        <v>250000000</v>
      </c>
      <c r="K19" s="43">
        <f>VLOOKUP(Tabla1[[#This Row],[PAGO DIA]],DIAS!A:C,3,0)</f>
        <v>46096</v>
      </c>
      <c r="L19" s="6">
        <v>250000000</v>
      </c>
      <c r="M19" s="41">
        <f>VLOOKUP(Tabla1[[#This Row],[PAGO DIA]],DIAS!A:D,4,0)</f>
        <v>46127</v>
      </c>
      <c r="N19" s="6">
        <v>250000000</v>
      </c>
      <c r="O19" s="43">
        <f>VLOOKUP(Tabla1[[#This Row],[PAGO DIA]],DIAS!A:E,5,0)</f>
        <v>46157</v>
      </c>
      <c r="P19" s="6">
        <v>250000000</v>
      </c>
      <c r="Q19" s="43">
        <f>VLOOKUP(Tabla1[[#This Row],[PAGO DIA]],DIAS!A:F,6,0)</f>
        <v>46188</v>
      </c>
      <c r="R19" s="6">
        <v>250000000</v>
      </c>
      <c r="S19" s="43">
        <f>VLOOKUP(Tabla1[[#This Row],[PAGO DIA]],DIAS!A:G,7,0)</f>
        <v>46218</v>
      </c>
      <c r="T19" s="6">
        <v>250000000</v>
      </c>
      <c r="U19" s="43">
        <f>VLOOKUP(Tabla1[[#This Row],[PAGO DIA]],DIAS!A:H,8,0)</f>
        <v>46249</v>
      </c>
      <c r="V19" s="6">
        <v>250000000</v>
      </c>
      <c r="W19" s="43">
        <f>VLOOKUP(Tabla1[[#This Row],[PAGO DIA]],DIAS!A:I,9,0)</f>
        <v>46280</v>
      </c>
      <c r="X19" s="6">
        <v>250000000</v>
      </c>
      <c r="Y19" s="43">
        <f>VLOOKUP(Tabla1[[#This Row],[PAGO DIA]],DIAS!A:J,10,0)</f>
        <v>46310</v>
      </c>
      <c r="Z19" s="6">
        <v>250000000</v>
      </c>
      <c r="AA19" s="43">
        <f>VLOOKUP(Tabla1[[#This Row],[PAGO DIA]],DIAS!A:K,11,0)</f>
        <v>46341</v>
      </c>
      <c r="AB19" s="6">
        <v>250000000</v>
      </c>
      <c r="AC19" s="43">
        <f>VLOOKUP(Tabla1[[#This Row],[PAGO DIA]],DIAS!A:M,12,0)</f>
        <v>46371</v>
      </c>
      <c r="AD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2735000000</v>
      </c>
    </row>
    <row r="20" spans="1:30">
      <c r="A20" s="3">
        <v>10949</v>
      </c>
      <c r="B20" s="3" t="s">
        <v>548</v>
      </c>
      <c r="C20" s="3" t="s">
        <v>566</v>
      </c>
      <c r="D20" s="3" t="s">
        <v>566</v>
      </c>
      <c r="E20" s="3" t="s">
        <v>567</v>
      </c>
      <c r="F20" s="42" t="s">
        <v>569</v>
      </c>
      <c r="G20" s="3"/>
      <c r="H20" s="6">
        <v>235000000</v>
      </c>
      <c r="I20" s="41">
        <f>VLOOKUP(Tabla1[[#This Row],[PAGO DIA]],DIAS!A:B,2,0)</f>
        <v>46055</v>
      </c>
      <c r="AD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235000000</v>
      </c>
    </row>
    <row r="21" spans="1:30">
      <c r="A21" s="3">
        <v>12851</v>
      </c>
      <c r="B21" s="3" t="s">
        <v>544</v>
      </c>
      <c r="C21" s="3" t="s">
        <v>505</v>
      </c>
      <c r="D21" s="3" t="s">
        <v>545</v>
      </c>
      <c r="E21" s="3" t="s">
        <v>570</v>
      </c>
      <c r="F21" s="42" t="s">
        <v>542</v>
      </c>
      <c r="G21" s="3" t="s">
        <v>571</v>
      </c>
      <c r="H21" s="7">
        <v>7050000</v>
      </c>
      <c r="I21" s="41">
        <f>VLOOKUP(Tabla1[[#This Row],[PAGO DIA]],DIAS!A:B,2,0)</f>
        <v>46056</v>
      </c>
      <c r="J21" s="6">
        <v>0</v>
      </c>
      <c r="K21" s="43">
        <f>VLOOKUP(Tabla1[[#This Row],[PAGO DIA]],DIAS!A:C,3,0)</f>
        <v>46084</v>
      </c>
      <c r="L21" s="6">
        <v>0</v>
      </c>
      <c r="M21" s="41">
        <f>VLOOKUP(Tabla1[[#This Row],[PAGO DIA]],DIAS!A:D,4,0)</f>
        <v>46119</v>
      </c>
      <c r="N21" s="6">
        <v>0</v>
      </c>
      <c r="O21" s="43">
        <f>VLOOKUP(Tabla1[[#This Row],[PAGO DIA]],DIAS!A:E,5,0)</f>
        <v>46147</v>
      </c>
      <c r="P21" s="6">
        <v>0</v>
      </c>
      <c r="Q21" s="43">
        <f>VLOOKUP(Tabla1[[#This Row],[PAGO DIA]],DIAS!A:F,6,0)</f>
        <v>46175</v>
      </c>
      <c r="R21" s="6">
        <v>0</v>
      </c>
      <c r="S21" s="43">
        <f>VLOOKUP(Tabla1[[#This Row],[PAGO DIA]],DIAS!A:G,7,0)</f>
        <v>46210</v>
      </c>
      <c r="T21" s="6">
        <v>0</v>
      </c>
      <c r="U21" s="43">
        <f>VLOOKUP(Tabla1[[#This Row],[PAGO DIA]],DIAS!A:H,8,0)</f>
        <v>46238</v>
      </c>
      <c r="V21" s="6">
        <v>0</v>
      </c>
      <c r="W21" s="43">
        <f>VLOOKUP(Tabla1[[#This Row],[PAGO DIA]],DIAS!A:I,9,0)</f>
        <v>46266</v>
      </c>
      <c r="X21" s="6">
        <v>0</v>
      </c>
      <c r="Y21" s="43">
        <f>VLOOKUP(Tabla1[[#This Row],[PAGO DIA]],DIAS!A:J,10,0)</f>
        <v>46301</v>
      </c>
      <c r="Z21" s="6">
        <v>0</v>
      </c>
      <c r="AA21" s="43">
        <f>VLOOKUP(Tabla1[[#This Row],[PAGO DIA]],DIAS!A:K,11,0)</f>
        <v>46329</v>
      </c>
      <c r="AB21" s="6">
        <v>0</v>
      </c>
      <c r="AC21" s="43">
        <f>VLOOKUP(Tabla1[[#This Row],[PAGO DIA]],DIAS!A:M,12,0)</f>
        <v>46357</v>
      </c>
      <c r="AD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7050000</v>
      </c>
    </row>
    <row r="22" spans="1:30">
      <c r="A22" s="3">
        <v>12848</v>
      </c>
      <c r="B22" s="3" t="s">
        <v>544</v>
      </c>
      <c r="C22" s="3" t="s">
        <v>505</v>
      </c>
      <c r="D22" s="3" t="s">
        <v>545</v>
      </c>
      <c r="E22" s="3" t="s">
        <v>572</v>
      </c>
      <c r="F22" s="42" t="s">
        <v>542</v>
      </c>
      <c r="G22" s="3" t="s">
        <v>573</v>
      </c>
      <c r="H22" s="7">
        <v>6480000</v>
      </c>
      <c r="I22" s="41">
        <f>VLOOKUP(Tabla1[[#This Row],[PAGO DIA]],DIAS!A:B,2,0)</f>
        <v>46056</v>
      </c>
      <c r="J22" s="6">
        <v>0</v>
      </c>
      <c r="K22" s="43">
        <f>VLOOKUP(Tabla1[[#This Row],[PAGO DIA]],DIAS!A:C,3,0)</f>
        <v>46084</v>
      </c>
      <c r="L22" s="6">
        <v>0</v>
      </c>
      <c r="M22" s="41">
        <f>VLOOKUP(Tabla1[[#This Row],[PAGO DIA]],DIAS!A:D,4,0)</f>
        <v>46119</v>
      </c>
      <c r="N22" s="6">
        <v>0</v>
      </c>
      <c r="O22" s="43">
        <f>VLOOKUP(Tabla1[[#This Row],[PAGO DIA]],DIAS!A:E,5,0)</f>
        <v>46147</v>
      </c>
      <c r="P22" s="6">
        <v>0</v>
      </c>
      <c r="Q22" s="43">
        <f>VLOOKUP(Tabla1[[#This Row],[PAGO DIA]],DIAS!A:F,6,0)</f>
        <v>46175</v>
      </c>
      <c r="R22" s="6">
        <v>0</v>
      </c>
      <c r="S22" s="43">
        <f>VLOOKUP(Tabla1[[#This Row],[PAGO DIA]],DIAS!A:G,7,0)</f>
        <v>46210</v>
      </c>
      <c r="T22" s="6">
        <v>0</v>
      </c>
      <c r="U22" s="43">
        <f>VLOOKUP(Tabla1[[#This Row],[PAGO DIA]],DIAS!A:H,8,0)</f>
        <v>46238</v>
      </c>
      <c r="V22" s="6">
        <v>0</v>
      </c>
      <c r="W22" s="43">
        <f>VLOOKUP(Tabla1[[#This Row],[PAGO DIA]],DIAS!A:I,9,0)</f>
        <v>46266</v>
      </c>
      <c r="X22" s="6">
        <v>0</v>
      </c>
      <c r="Y22" s="43">
        <f>VLOOKUP(Tabla1[[#This Row],[PAGO DIA]],DIAS!A:J,10,0)</f>
        <v>46301</v>
      </c>
      <c r="Z22" s="6">
        <v>0</v>
      </c>
      <c r="AA22" s="43">
        <f>VLOOKUP(Tabla1[[#This Row],[PAGO DIA]],DIAS!A:K,11,0)</f>
        <v>46329</v>
      </c>
      <c r="AB22" s="6">
        <v>0</v>
      </c>
      <c r="AC22" s="43">
        <f>VLOOKUP(Tabla1[[#This Row],[PAGO DIA]],DIAS!A:M,12,0)</f>
        <v>46357</v>
      </c>
      <c r="AD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6480000</v>
      </c>
    </row>
    <row r="23" spans="1:30">
      <c r="A23" s="3">
        <v>12849</v>
      </c>
      <c r="B23" s="3"/>
      <c r="C23" s="3"/>
      <c r="D23" s="3" t="s">
        <v>545</v>
      </c>
      <c r="E23" s="3" t="s">
        <v>572</v>
      </c>
      <c r="F23" s="42" t="s">
        <v>542</v>
      </c>
      <c r="G23" s="3" t="s">
        <v>574</v>
      </c>
      <c r="H23" s="7">
        <v>6500000</v>
      </c>
      <c r="I23" s="41">
        <f>VLOOKUP(Tabla1[[#This Row],[PAGO DIA]],DIAS!A:B,2,0)</f>
        <v>46056</v>
      </c>
      <c r="J23" s="6">
        <v>0</v>
      </c>
      <c r="K23" s="43">
        <f>VLOOKUP(Tabla1[[#This Row],[PAGO DIA]],DIAS!A:C,3,0)</f>
        <v>46084</v>
      </c>
      <c r="L23" s="6">
        <v>0</v>
      </c>
      <c r="M23" s="41">
        <f>VLOOKUP(Tabla1[[#This Row],[PAGO DIA]],DIAS!A:D,4,0)</f>
        <v>46119</v>
      </c>
      <c r="N23" s="6">
        <v>0</v>
      </c>
      <c r="O23" s="43">
        <f>VLOOKUP(Tabla1[[#This Row],[PAGO DIA]],DIAS!A:E,5,0)</f>
        <v>46147</v>
      </c>
      <c r="P23" s="6">
        <v>0</v>
      </c>
      <c r="Q23" s="43">
        <f>VLOOKUP(Tabla1[[#This Row],[PAGO DIA]],DIAS!A:F,6,0)</f>
        <v>46175</v>
      </c>
      <c r="R23" s="6">
        <v>0</v>
      </c>
      <c r="S23" s="43">
        <f>VLOOKUP(Tabla1[[#This Row],[PAGO DIA]],DIAS!A:G,7,0)</f>
        <v>46210</v>
      </c>
      <c r="T23" s="6">
        <v>0</v>
      </c>
      <c r="U23" s="43">
        <f>VLOOKUP(Tabla1[[#This Row],[PAGO DIA]],DIAS!A:H,8,0)</f>
        <v>46238</v>
      </c>
      <c r="V23" s="6">
        <v>0</v>
      </c>
      <c r="W23" s="43">
        <f>VLOOKUP(Tabla1[[#This Row],[PAGO DIA]],DIAS!A:I,9,0)</f>
        <v>46266</v>
      </c>
      <c r="X23" s="6">
        <v>0</v>
      </c>
      <c r="Y23" s="43">
        <f>VLOOKUP(Tabla1[[#This Row],[PAGO DIA]],DIAS!A:J,10,0)</f>
        <v>46301</v>
      </c>
      <c r="Z23" s="6">
        <v>0</v>
      </c>
      <c r="AA23" s="43">
        <f>VLOOKUP(Tabla1[[#This Row],[PAGO DIA]],DIAS!A:K,11,0)</f>
        <v>46329</v>
      </c>
      <c r="AB23" s="6">
        <v>0</v>
      </c>
      <c r="AC23" s="43">
        <f>VLOOKUP(Tabla1[[#This Row],[PAGO DIA]],DIAS!A:M,12,0)</f>
        <v>46357</v>
      </c>
      <c r="AD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6500000</v>
      </c>
    </row>
    <row r="24" spans="1:30">
      <c r="A24" s="3">
        <v>12601</v>
      </c>
      <c r="B24" s="3" t="s">
        <v>575</v>
      </c>
      <c r="C24" s="3" t="s">
        <v>576</v>
      </c>
      <c r="D24" s="3" t="s">
        <v>540</v>
      </c>
      <c r="E24" s="3" t="s">
        <v>577</v>
      </c>
      <c r="F24" s="42" t="s">
        <v>542</v>
      </c>
      <c r="G24" s="3" t="s">
        <v>578</v>
      </c>
      <c r="H24" s="7">
        <v>480000</v>
      </c>
      <c r="I24" s="41">
        <f>VLOOKUP(Tabla1[[#This Row],[PAGO DIA]],DIAS!A:B,2,0)</f>
        <v>46056</v>
      </c>
      <c r="J24" s="6">
        <v>0</v>
      </c>
      <c r="K24" s="43">
        <f>VLOOKUP(Tabla1[[#This Row],[PAGO DIA]],DIAS!A:C,3,0)</f>
        <v>46084</v>
      </c>
      <c r="L24" s="6">
        <v>0</v>
      </c>
      <c r="M24" s="41">
        <f>VLOOKUP(Tabla1[[#This Row],[PAGO DIA]],DIAS!A:D,4,0)</f>
        <v>46119</v>
      </c>
      <c r="N24" s="6">
        <v>0</v>
      </c>
      <c r="O24" s="43">
        <f>VLOOKUP(Tabla1[[#This Row],[PAGO DIA]],DIAS!A:E,5,0)</f>
        <v>46147</v>
      </c>
      <c r="P24" s="6">
        <v>0</v>
      </c>
      <c r="Q24" s="43">
        <f>VLOOKUP(Tabla1[[#This Row],[PAGO DIA]],DIAS!A:F,6,0)</f>
        <v>46175</v>
      </c>
      <c r="R24" s="6">
        <v>0</v>
      </c>
      <c r="S24" s="43">
        <f>VLOOKUP(Tabla1[[#This Row],[PAGO DIA]],DIAS!A:G,7,0)</f>
        <v>46210</v>
      </c>
      <c r="T24" s="6">
        <v>0</v>
      </c>
      <c r="U24" s="43">
        <f>VLOOKUP(Tabla1[[#This Row],[PAGO DIA]],DIAS!A:H,8,0)</f>
        <v>46238</v>
      </c>
      <c r="V24" s="6">
        <v>0</v>
      </c>
      <c r="W24" s="43">
        <f>VLOOKUP(Tabla1[[#This Row],[PAGO DIA]],DIAS!A:I,9,0)</f>
        <v>46266</v>
      </c>
      <c r="X24" s="6">
        <v>0</v>
      </c>
      <c r="Y24" s="43">
        <f>VLOOKUP(Tabla1[[#This Row],[PAGO DIA]],DIAS!A:J,10,0)</f>
        <v>46301</v>
      </c>
      <c r="Z24" s="6">
        <v>0</v>
      </c>
      <c r="AA24" s="43">
        <f>VLOOKUP(Tabla1[[#This Row],[PAGO DIA]],DIAS!A:K,11,0)</f>
        <v>46329</v>
      </c>
      <c r="AB24" s="6">
        <v>0</v>
      </c>
      <c r="AC24" s="43">
        <f>VLOOKUP(Tabla1[[#This Row],[PAGO DIA]],DIAS!A:M,12,0)</f>
        <v>46357</v>
      </c>
      <c r="AD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480000</v>
      </c>
    </row>
    <row r="25" spans="1:30">
      <c r="A25" s="3">
        <v>12559</v>
      </c>
      <c r="B25" s="3" t="s">
        <v>538</v>
      </c>
      <c r="C25" s="3" t="s">
        <v>539</v>
      </c>
      <c r="D25" s="3" t="s">
        <v>540</v>
      </c>
      <c r="E25" s="3" t="s">
        <v>579</v>
      </c>
      <c r="F25" s="42" t="s">
        <v>542</v>
      </c>
      <c r="G25" s="3" t="s">
        <v>580</v>
      </c>
      <c r="H25" s="7">
        <v>0</v>
      </c>
      <c r="I25" s="41">
        <f>VLOOKUP(Tabla1[[#This Row],[PAGO DIA]],DIAS!A:B,2,0)</f>
        <v>46056</v>
      </c>
      <c r="J25" s="6">
        <v>0</v>
      </c>
      <c r="K25" s="43">
        <f>VLOOKUP(Tabla1[[#This Row],[PAGO DIA]],DIAS!A:C,3,0)</f>
        <v>46084</v>
      </c>
      <c r="L25" s="6">
        <v>0</v>
      </c>
      <c r="M25" s="41">
        <f>VLOOKUP(Tabla1[[#This Row],[PAGO DIA]],DIAS!A:D,4,0)</f>
        <v>46119</v>
      </c>
      <c r="N25" s="6">
        <v>0</v>
      </c>
      <c r="O25" s="43">
        <f>VLOOKUP(Tabla1[[#This Row],[PAGO DIA]],DIAS!A:E,5,0)</f>
        <v>46147</v>
      </c>
      <c r="P25" s="6">
        <v>0</v>
      </c>
      <c r="Q25" s="43">
        <f>VLOOKUP(Tabla1[[#This Row],[PAGO DIA]],DIAS!A:F,6,0)</f>
        <v>46175</v>
      </c>
      <c r="R25" s="6">
        <v>0</v>
      </c>
      <c r="S25" s="43">
        <f>VLOOKUP(Tabla1[[#This Row],[PAGO DIA]],DIAS!A:G,7,0)</f>
        <v>46210</v>
      </c>
      <c r="T25" s="6">
        <v>0</v>
      </c>
      <c r="U25" s="43">
        <f>VLOOKUP(Tabla1[[#This Row],[PAGO DIA]],DIAS!A:H,8,0)</f>
        <v>46238</v>
      </c>
      <c r="V25" s="6">
        <v>0</v>
      </c>
      <c r="W25" s="43">
        <f>VLOOKUP(Tabla1[[#This Row],[PAGO DIA]],DIAS!A:I,9,0)</f>
        <v>46266</v>
      </c>
      <c r="X25" s="6">
        <v>0</v>
      </c>
      <c r="Y25" s="43">
        <f>VLOOKUP(Tabla1[[#This Row],[PAGO DIA]],DIAS!A:J,10,0)</f>
        <v>46301</v>
      </c>
      <c r="Z25" s="6">
        <v>0</v>
      </c>
      <c r="AA25" s="43">
        <f>VLOOKUP(Tabla1[[#This Row],[PAGO DIA]],DIAS!A:K,11,0)</f>
        <v>46329</v>
      </c>
      <c r="AB25" s="6">
        <v>0</v>
      </c>
      <c r="AC25" s="43">
        <f>VLOOKUP(Tabla1[[#This Row],[PAGO DIA]],DIAS!A:M,12,0)</f>
        <v>46357</v>
      </c>
      <c r="AD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" spans="1:30">
      <c r="A26" s="3">
        <v>12847</v>
      </c>
      <c r="B26" s="3" t="s">
        <v>544</v>
      </c>
      <c r="C26" s="3" t="s">
        <v>505</v>
      </c>
      <c r="D26" s="3" t="s">
        <v>545</v>
      </c>
      <c r="E26" s="3" t="s">
        <v>581</v>
      </c>
      <c r="F26" s="42" t="s">
        <v>542</v>
      </c>
      <c r="G26" s="3" t="s">
        <v>582</v>
      </c>
      <c r="H26" s="7">
        <v>6307150</v>
      </c>
      <c r="I26" s="41">
        <f>VLOOKUP(Tabla1[[#This Row],[PAGO DIA]],DIAS!A:B,2,0)</f>
        <v>46056</v>
      </c>
      <c r="J26" s="6">
        <v>0</v>
      </c>
      <c r="K26" s="43">
        <f>VLOOKUP(Tabla1[[#This Row],[PAGO DIA]],DIAS!A:C,3,0)</f>
        <v>46084</v>
      </c>
      <c r="L26" s="6">
        <v>0</v>
      </c>
      <c r="M26" s="41">
        <f>VLOOKUP(Tabla1[[#This Row],[PAGO DIA]],DIAS!A:D,4,0)</f>
        <v>46119</v>
      </c>
      <c r="N26" s="6">
        <v>0</v>
      </c>
      <c r="O26" s="43">
        <f>VLOOKUP(Tabla1[[#This Row],[PAGO DIA]],DIAS!A:E,5,0)</f>
        <v>46147</v>
      </c>
      <c r="P26" s="6">
        <v>0</v>
      </c>
      <c r="Q26" s="43">
        <f>VLOOKUP(Tabla1[[#This Row],[PAGO DIA]],DIAS!A:F,6,0)</f>
        <v>46175</v>
      </c>
      <c r="R26" s="6">
        <v>0</v>
      </c>
      <c r="S26" s="43">
        <f>VLOOKUP(Tabla1[[#This Row],[PAGO DIA]],DIAS!A:G,7,0)</f>
        <v>46210</v>
      </c>
      <c r="T26" s="6">
        <v>0</v>
      </c>
      <c r="U26" s="43">
        <f>VLOOKUP(Tabla1[[#This Row],[PAGO DIA]],DIAS!A:H,8,0)</f>
        <v>46238</v>
      </c>
      <c r="V26" s="6">
        <v>0</v>
      </c>
      <c r="W26" s="43">
        <f>VLOOKUP(Tabla1[[#This Row],[PAGO DIA]],DIAS!A:I,9,0)</f>
        <v>46266</v>
      </c>
      <c r="X26" s="6">
        <v>0</v>
      </c>
      <c r="Y26" s="43">
        <f>VLOOKUP(Tabla1[[#This Row],[PAGO DIA]],DIAS!A:J,10,0)</f>
        <v>46301</v>
      </c>
      <c r="Z26" s="6">
        <v>0</v>
      </c>
      <c r="AA26" s="43">
        <f>VLOOKUP(Tabla1[[#This Row],[PAGO DIA]],DIAS!A:K,11,0)</f>
        <v>46329</v>
      </c>
      <c r="AB26" s="6">
        <v>0</v>
      </c>
      <c r="AC26" s="43">
        <f>VLOOKUP(Tabla1[[#This Row],[PAGO DIA]],DIAS!A:M,12,0)</f>
        <v>46357</v>
      </c>
      <c r="AD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6307150</v>
      </c>
    </row>
    <row r="27" spans="1:30">
      <c r="A27" s="3">
        <v>12852</v>
      </c>
      <c r="B27" s="3" t="s">
        <v>544</v>
      </c>
      <c r="C27" s="3" t="s">
        <v>505</v>
      </c>
      <c r="D27" s="3" t="s">
        <v>545</v>
      </c>
      <c r="E27" s="3" t="s">
        <v>583</v>
      </c>
      <c r="F27" s="42" t="s">
        <v>542</v>
      </c>
      <c r="G27" s="3" t="s">
        <v>584</v>
      </c>
      <c r="H27" s="7">
        <v>7085820.5</v>
      </c>
      <c r="I27" s="41">
        <f>VLOOKUP(Tabla1[[#This Row],[PAGO DIA]],DIAS!A:B,2,0)</f>
        <v>46056</v>
      </c>
      <c r="J27" s="6">
        <v>0</v>
      </c>
      <c r="K27" s="43">
        <f>VLOOKUP(Tabla1[[#This Row],[PAGO DIA]],DIAS!A:C,3,0)</f>
        <v>46084</v>
      </c>
      <c r="L27" s="6">
        <v>0</v>
      </c>
      <c r="M27" s="41">
        <f>VLOOKUP(Tabla1[[#This Row],[PAGO DIA]],DIAS!A:D,4,0)</f>
        <v>46119</v>
      </c>
      <c r="N27" s="6">
        <v>0</v>
      </c>
      <c r="O27" s="43">
        <f>VLOOKUP(Tabla1[[#This Row],[PAGO DIA]],DIAS!A:E,5,0)</f>
        <v>46147</v>
      </c>
      <c r="P27" s="6">
        <v>0</v>
      </c>
      <c r="Q27" s="43">
        <f>VLOOKUP(Tabla1[[#This Row],[PAGO DIA]],DIAS!A:F,6,0)</f>
        <v>46175</v>
      </c>
      <c r="R27" s="6">
        <v>0</v>
      </c>
      <c r="S27" s="43">
        <f>VLOOKUP(Tabla1[[#This Row],[PAGO DIA]],DIAS!A:G,7,0)</f>
        <v>46210</v>
      </c>
      <c r="T27" s="6">
        <v>0</v>
      </c>
      <c r="U27" s="43">
        <f>VLOOKUP(Tabla1[[#This Row],[PAGO DIA]],DIAS!A:H,8,0)</f>
        <v>46238</v>
      </c>
      <c r="V27" s="6">
        <v>0</v>
      </c>
      <c r="W27" s="43">
        <f>VLOOKUP(Tabla1[[#This Row],[PAGO DIA]],DIAS!A:I,9,0)</f>
        <v>46266</v>
      </c>
      <c r="X27" s="6">
        <v>0</v>
      </c>
      <c r="Y27" s="43">
        <f>VLOOKUP(Tabla1[[#This Row],[PAGO DIA]],DIAS!A:J,10,0)</f>
        <v>46301</v>
      </c>
      <c r="Z27" s="6">
        <v>0</v>
      </c>
      <c r="AA27" s="43">
        <f>VLOOKUP(Tabla1[[#This Row],[PAGO DIA]],DIAS!A:K,11,0)</f>
        <v>46329</v>
      </c>
      <c r="AB27" s="6">
        <v>0</v>
      </c>
      <c r="AC27" s="43">
        <f>VLOOKUP(Tabla1[[#This Row],[PAGO DIA]],DIAS!A:M,12,0)</f>
        <v>46357</v>
      </c>
      <c r="AD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7085820.5</v>
      </c>
    </row>
    <row r="28" spans="1:30">
      <c r="A28" s="3">
        <v>11661</v>
      </c>
      <c r="B28" s="3" t="s">
        <v>510</v>
      </c>
      <c r="C28" s="3" t="s">
        <v>585</v>
      </c>
      <c r="D28" s="3" t="s">
        <v>586</v>
      </c>
      <c r="E28" s="3" t="s">
        <v>587</v>
      </c>
      <c r="F28" s="42" t="s">
        <v>542</v>
      </c>
      <c r="G28" s="3"/>
      <c r="H28" s="7">
        <v>1656000</v>
      </c>
      <c r="I28" s="41">
        <f>VLOOKUP(Tabla1[[#This Row],[PAGO DIA]],DIAS!A:B,2,0)</f>
        <v>46056</v>
      </c>
      <c r="J28" s="6">
        <v>0</v>
      </c>
      <c r="K28" s="43">
        <f>VLOOKUP(Tabla1[[#This Row],[PAGO DIA]],DIAS!A:C,3,0)</f>
        <v>46084</v>
      </c>
      <c r="L28" s="6">
        <v>0</v>
      </c>
      <c r="M28" s="41">
        <f>VLOOKUP(Tabla1[[#This Row],[PAGO DIA]],DIAS!A:D,4,0)</f>
        <v>46119</v>
      </c>
      <c r="N28" s="6">
        <v>0</v>
      </c>
      <c r="O28" s="43">
        <f>VLOOKUP(Tabla1[[#This Row],[PAGO DIA]],DIAS!A:E,5,0)</f>
        <v>46147</v>
      </c>
      <c r="P28" s="6">
        <v>0</v>
      </c>
      <c r="Q28" s="43">
        <f>VLOOKUP(Tabla1[[#This Row],[PAGO DIA]],DIAS!A:F,6,0)</f>
        <v>46175</v>
      </c>
      <c r="R28" s="6">
        <v>0</v>
      </c>
      <c r="S28" s="43">
        <f>VLOOKUP(Tabla1[[#This Row],[PAGO DIA]],DIAS!A:G,7,0)</f>
        <v>46210</v>
      </c>
      <c r="T28" s="6">
        <v>0</v>
      </c>
      <c r="U28" s="43">
        <f>VLOOKUP(Tabla1[[#This Row],[PAGO DIA]],DIAS!A:H,8,0)</f>
        <v>46238</v>
      </c>
      <c r="V28" s="6">
        <v>0</v>
      </c>
      <c r="W28" s="43">
        <f>VLOOKUP(Tabla1[[#This Row],[PAGO DIA]],DIAS!A:I,9,0)</f>
        <v>46266</v>
      </c>
      <c r="X28" s="6">
        <v>0</v>
      </c>
      <c r="Y28" s="43">
        <f>VLOOKUP(Tabla1[[#This Row],[PAGO DIA]],DIAS!A:J,10,0)</f>
        <v>46301</v>
      </c>
      <c r="Z28" s="6">
        <v>0</v>
      </c>
      <c r="AA28" s="43">
        <f>VLOOKUP(Tabla1[[#This Row],[PAGO DIA]],DIAS!A:K,11,0)</f>
        <v>46329</v>
      </c>
      <c r="AB28" s="6">
        <v>0</v>
      </c>
      <c r="AC28" s="43">
        <f>VLOOKUP(Tabla1[[#This Row],[PAGO DIA]],DIAS!A:M,12,0)</f>
        <v>46357</v>
      </c>
      <c r="AD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1656000</v>
      </c>
    </row>
    <row r="29" spans="1:30">
      <c r="A29" s="3">
        <v>12750</v>
      </c>
      <c r="B29" s="3" t="s">
        <v>575</v>
      </c>
      <c r="C29" s="3" t="s">
        <v>576</v>
      </c>
      <c r="D29" s="3" t="s">
        <v>540</v>
      </c>
      <c r="E29" s="3" t="s">
        <v>588</v>
      </c>
      <c r="F29" s="42" t="s">
        <v>542</v>
      </c>
      <c r="G29" s="3" t="s">
        <v>589</v>
      </c>
      <c r="H29" s="7">
        <v>5989200</v>
      </c>
      <c r="I29" s="41">
        <f>VLOOKUP(Tabla1[[#This Row],[PAGO DIA]],DIAS!A:B,2,0)</f>
        <v>46056</v>
      </c>
      <c r="J29" s="6">
        <v>0</v>
      </c>
      <c r="K29" s="43">
        <f>VLOOKUP(Tabla1[[#This Row],[PAGO DIA]],DIAS!A:C,3,0)</f>
        <v>46084</v>
      </c>
      <c r="L29" s="6">
        <v>0</v>
      </c>
      <c r="M29" s="41">
        <f>VLOOKUP(Tabla1[[#This Row],[PAGO DIA]],DIAS!A:D,4,0)</f>
        <v>46119</v>
      </c>
      <c r="N29" s="6">
        <v>0</v>
      </c>
      <c r="O29" s="43">
        <f>VLOOKUP(Tabla1[[#This Row],[PAGO DIA]],DIAS!A:E,5,0)</f>
        <v>46147</v>
      </c>
      <c r="P29" s="6">
        <v>0</v>
      </c>
      <c r="Q29" s="43">
        <f>VLOOKUP(Tabla1[[#This Row],[PAGO DIA]],DIAS!A:F,6,0)</f>
        <v>46175</v>
      </c>
      <c r="R29" s="6">
        <v>0</v>
      </c>
      <c r="S29" s="43">
        <f>VLOOKUP(Tabla1[[#This Row],[PAGO DIA]],DIAS!A:G,7,0)</f>
        <v>46210</v>
      </c>
      <c r="T29" s="6">
        <v>0</v>
      </c>
      <c r="U29" s="43">
        <f>VLOOKUP(Tabla1[[#This Row],[PAGO DIA]],DIAS!A:H,8,0)</f>
        <v>46238</v>
      </c>
      <c r="V29" s="6">
        <v>0</v>
      </c>
      <c r="W29" s="43">
        <f>VLOOKUP(Tabla1[[#This Row],[PAGO DIA]],DIAS!A:I,9,0)</f>
        <v>46266</v>
      </c>
      <c r="X29" s="6">
        <v>0</v>
      </c>
      <c r="Y29" s="43">
        <f>VLOOKUP(Tabla1[[#This Row],[PAGO DIA]],DIAS!A:J,10,0)</f>
        <v>46301</v>
      </c>
      <c r="Z29" s="6">
        <v>0</v>
      </c>
      <c r="AA29" s="43">
        <f>VLOOKUP(Tabla1[[#This Row],[PAGO DIA]],DIAS!A:K,11,0)</f>
        <v>46329</v>
      </c>
      <c r="AB29" s="6">
        <v>0</v>
      </c>
      <c r="AC29" s="43">
        <f>VLOOKUP(Tabla1[[#This Row],[PAGO DIA]],DIAS!A:M,12,0)</f>
        <v>46357</v>
      </c>
      <c r="AD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5989200</v>
      </c>
    </row>
    <row r="30" spans="1:30">
      <c r="A30" s="3">
        <v>12845</v>
      </c>
      <c r="B30" s="3" t="s">
        <v>544</v>
      </c>
      <c r="C30" s="3"/>
      <c r="D30" s="3" t="s">
        <v>545</v>
      </c>
      <c r="E30" s="3" t="s">
        <v>590</v>
      </c>
      <c r="F30" s="42" t="s">
        <v>542</v>
      </c>
      <c r="G30" s="3" t="s">
        <v>591</v>
      </c>
      <c r="H30" s="7">
        <v>1351792</v>
      </c>
      <c r="I30" s="41">
        <f>VLOOKUP(Tabla1[[#This Row],[PAGO DIA]],DIAS!A:B,2,0)</f>
        <v>46056</v>
      </c>
      <c r="J30" s="6">
        <v>0</v>
      </c>
      <c r="K30" s="43">
        <f>VLOOKUP(Tabla1[[#This Row],[PAGO DIA]],DIAS!A:C,3,0)</f>
        <v>46084</v>
      </c>
      <c r="L30" s="6">
        <v>0</v>
      </c>
      <c r="M30" s="41">
        <f>VLOOKUP(Tabla1[[#This Row],[PAGO DIA]],DIAS!A:D,4,0)</f>
        <v>46119</v>
      </c>
      <c r="N30" s="6">
        <v>0</v>
      </c>
      <c r="O30" s="43">
        <f>VLOOKUP(Tabla1[[#This Row],[PAGO DIA]],DIAS!A:E,5,0)</f>
        <v>46147</v>
      </c>
      <c r="P30" s="6">
        <v>0</v>
      </c>
      <c r="Q30" s="43">
        <f>VLOOKUP(Tabla1[[#This Row],[PAGO DIA]],DIAS!A:F,6,0)</f>
        <v>46175</v>
      </c>
      <c r="R30" s="6">
        <v>0</v>
      </c>
      <c r="S30" s="43">
        <f>VLOOKUP(Tabla1[[#This Row],[PAGO DIA]],DIAS!A:G,7,0)</f>
        <v>46210</v>
      </c>
      <c r="T30" s="6">
        <v>0</v>
      </c>
      <c r="U30" s="43">
        <f>VLOOKUP(Tabla1[[#This Row],[PAGO DIA]],DIAS!A:H,8,0)</f>
        <v>46238</v>
      </c>
      <c r="V30" s="6">
        <v>0</v>
      </c>
      <c r="W30" s="43">
        <f>VLOOKUP(Tabla1[[#This Row],[PAGO DIA]],DIAS!A:I,9,0)</f>
        <v>46266</v>
      </c>
      <c r="X30" s="6">
        <v>0</v>
      </c>
      <c r="Y30" s="43">
        <f>VLOOKUP(Tabla1[[#This Row],[PAGO DIA]],DIAS!A:J,10,0)</f>
        <v>46301</v>
      </c>
      <c r="Z30" s="6">
        <v>0</v>
      </c>
      <c r="AA30" s="43">
        <f>VLOOKUP(Tabla1[[#This Row],[PAGO DIA]],DIAS!A:K,11,0)</f>
        <v>46329</v>
      </c>
      <c r="AB30" s="6">
        <v>0</v>
      </c>
      <c r="AC30" s="43">
        <f>VLOOKUP(Tabla1[[#This Row],[PAGO DIA]],DIAS!A:M,12,0)</f>
        <v>46357</v>
      </c>
      <c r="AD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1351792</v>
      </c>
    </row>
    <row r="31" spans="1:30">
      <c r="A31" s="3">
        <v>12517</v>
      </c>
      <c r="B31" s="3" t="s">
        <v>538</v>
      </c>
      <c r="C31" s="3" t="s">
        <v>539</v>
      </c>
      <c r="D31" s="3" t="s">
        <v>540</v>
      </c>
      <c r="E31" s="3" t="s">
        <v>592</v>
      </c>
      <c r="F31" s="42" t="s">
        <v>542</v>
      </c>
      <c r="G31" s="3" t="s">
        <v>593</v>
      </c>
      <c r="H31" s="7">
        <v>1914000</v>
      </c>
      <c r="I31" s="41">
        <f>VLOOKUP(Tabla1[[#This Row],[PAGO DIA]],DIAS!A:B,2,0)</f>
        <v>46056</v>
      </c>
      <c r="J31" s="6">
        <v>0</v>
      </c>
      <c r="K31" s="43">
        <f>VLOOKUP(Tabla1[[#This Row],[PAGO DIA]],DIAS!A:C,3,0)</f>
        <v>46084</v>
      </c>
      <c r="L31" s="6">
        <v>0</v>
      </c>
      <c r="M31" s="41">
        <f>VLOOKUP(Tabla1[[#This Row],[PAGO DIA]],DIAS!A:D,4,0)</f>
        <v>46119</v>
      </c>
      <c r="N31" s="6">
        <v>0</v>
      </c>
      <c r="O31" s="43">
        <f>VLOOKUP(Tabla1[[#This Row],[PAGO DIA]],DIAS!A:E,5,0)</f>
        <v>46147</v>
      </c>
      <c r="P31" s="6">
        <v>0</v>
      </c>
      <c r="Q31" s="43">
        <f>VLOOKUP(Tabla1[[#This Row],[PAGO DIA]],DIAS!A:F,6,0)</f>
        <v>46175</v>
      </c>
      <c r="R31" s="6">
        <v>0</v>
      </c>
      <c r="S31" s="43">
        <f>VLOOKUP(Tabla1[[#This Row],[PAGO DIA]],DIAS!A:G,7,0)</f>
        <v>46210</v>
      </c>
      <c r="T31" s="6">
        <v>0</v>
      </c>
      <c r="U31" s="43">
        <f>VLOOKUP(Tabla1[[#This Row],[PAGO DIA]],DIAS!A:H,8,0)</f>
        <v>46238</v>
      </c>
      <c r="V31" s="6">
        <v>0</v>
      </c>
      <c r="W31" s="43">
        <f>VLOOKUP(Tabla1[[#This Row],[PAGO DIA]],DIAS!A:I,9,0)</f>
        <v>46266</v>
      </c>
      <c r="X31" s="6">
        <v>0</v>
      </c>
      <c r="Y31" s="43">
        <f>VLOOKUP(Tabla1[[#This Row],[PAGO DIA]],DIAS!A:J,10,0)</f>
        <v>46301</v>
      </c>
      <c r="Z31" s="6">
        <v>0</v>
      </c>
      <c r="AA31" s="43">
        <f>VLOOKUP(Tabla1[[#This Row],[PAGO DIA]],DIAS!A:K,11,0)</f>
        <v>46329</v>
      </c>
      <c r="AB31" s="6">
        <v>0</v>
      </c>
      <c r="AC31" s="43">
        <f>VLOOKUP(Tabla1[[#This Row],[PAGO DIA]],DIAS!A:M,12,0)</f>
        <v>46357</v>
      </c>
      <c r="AD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1914000</v>
      </c>
    </row>
    <row r="32" spans="1:30">
      <c r="A32" s="3">
        <v>12726</v>
      </c>
      <c r="B32" s="3" t="s">
        <v>538</v>
      </c>
      <c r="C32" s="3" t="s">
        <v>539</v>
      </c>
      <c r="D32" s="3" t="s">
        <v>540</v>
      </c>
      <c r="E32" s="3" t="s">
        <v>592</v>
      </c>
      <c r="F32" s="42" t="s">
        <v>542</v>
      </c>
      <c r="G32" s="3" t="s">
        <v>594</v>
      </c>
      <c r="H32" s="7">
        <v>2629000</v>
      </c>
      <c r="I32" s="41">
        <f>VLOOKUP(Tabla1[[#This Row],[PAGO DIA]],DIAS!A:B,2,0)</f>
        <v>46056</v>
      </c>
      <c r="J32" s="6">
        <v>0</v>
      </c>
      <c r="K32" s="43">
        <f>VLOOKUP(Tabla1[[#This Row],[PAGO DIA]],DIAS!A:C,3,0)</f>
        <v>46084</v>
      </c>
      <c r="L32" s="6">
        <v>0</v>
      </c>
      <c r="M32" s="41">
        <f>VLOOKUP(Tabla1[[#This Row],[PAGO DIA]],DIAS!A:D,4,0)</f>
        <v>46119</v>
      </c>
      <c r="N32" s="6">
        <v>0</v>
      </c>
      <c r="O32" s="43">
        <f>VLOOKUP(Tabla1[[#This Row],[PAGO DIA]],DIAS!A:E,5,0)</f>
        <v>46147</v>
      </c>
      <c r="P32" s="6">
        <v>0</v>
      </c>
      <c r="Q32" s="43">
        <f>VLOOKUP(Tabla1[[#This Row],[PAGO DIA]],DIAS!A:F,6,0)</f>
        <v>46175</v>
      </c>
      <c r="R32" s="6">
        <v>0</v>
      </c>
      <c r="S32" s="43">
        <f>VLOOKUP(Tabla1[[#This Row],[PAGO DIA]],DIAS!A:G,7,0)</f>
        <v>46210</v>
      </c>
      <c r="T32" s="6">
        <v>0</v>
      </c>
      <c r="U32" s="43">
        <f>VLOOKUP(Tabla1[[#This Row],[PAGO DIA]],DIAS!A:H,8,0)</f>
        <v>46238</v>
      </c>
      <c r="V32" s="6">
        <v>0</v>
      </c>
      <c r="W32" s="43">
        <f>VLOOKUP(Tabla1[[#This Row],[PAGO DIA]],DIAS!A:I,9,0)</f>
        <v>46266</v>
      </c>
      <c r="X32" s="6">
        <v>0</v>
      </c>
      <c r="Y32" s="43">
        <f>VLOOKUP(Tabla1[[#This Row],[PAGO DIA]],DIAS!A:J,10,0)</f>
        <v>46301</v>
      </c>
      <c r="Z32" s="6">
        <v>0</v>
      </c>
      <c r="AA32" s="43">
        <f>VLOOKUP(Tabla1[[#This Row],[PAGO DIA]],DIAS!A:K,11,0)</f>
        <v>46329</v>
      </c>
      <c r="AB32" s="6">
        <v>0</v>
      </c>
      <c r="AC32" s="43">
        <f>VLOOKUP(Tabla1[[#This Row],[PAGO DIA]],DIAS!A:M,12,0)</f>
        <v>46357</v>
      </c>
      <c r="AD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2629000</v>
      </c>
    </row>
    <row r="33" spans="1:30">
      <c r="A33" s="3">
        <v>12646</v>
      </c>
      <c r="B33" s="3" t="s">
        <v>538</v>
      </c>
      <c r="C33" s="3" t="s">
        <v>539</v>
      </c>
      <c r="D33" s="3" t="s">
        <v>540</v>
      </c>
      <c r="E33" s="3" t="s">
        <v>595</v>
      </c>
      <c r="F33" s="42" t="s">
        <v>542</v>
      </c>
      <c r="G33" s="3" t="s">
        <v>596</v>
      </c>
      <c r="H33" s="7">
        <v>767216</v>
      </c>
      <c r="I33" s="41">
        <f>VLOOKUP(Tabla1[[#This Row],[PAGO DIA]],DIAS!A:B,2,0)</f>
        <v>46056</v>
      </c>
      <c r="J33" s="6">
        <v>0</v>
      </c>
      <c r="K33" s="43">
        <f>VLOOKUP(Tabla1[[#This Row],[PAGO DIA]],DIAS!A:C,3,0)</f>
        <v>46084</v>
      </c>
      <c r="L33" s="6">
        <v>0</v>
      </c>
      <c r="M33" s="41">
        <f>VLOOKUP(Tabla1[[#This Row],[PAGO DIA]],DIAS!A:D,4,0)</f>
        <v>46119</v>
      </c>
      <c r="N33" s="6">
        <v>0</v>
      </c>
      <c r="O33" s="43">
        <f>VLOOKUP(Tabla1[[#This Row],[PAGO DIA]],DIAS!A:E,5,0)</f>
        <v>46147</v>
      </c>
      <c r="P33" s="6">
        <v>0</v>
      </c>
      <c r="Q33" s="43">
        <f>VLOOKUP(Tabla1[[#This Row],[PAGO DIA]],DIAS!A:F,6,0)</f>
        <v>46175</v>
      </c>
      <c r="R33" s="6">
        <v>0</v>
      </c>
      <c r="S33" s="43">
        <f>VLOOKUP(Tabla1[[#This Row],[PAGO DIA]],DIAS!A:G,7,0)</f>
        <v>46210</v>
      </c>
      <c r="T33" s="6">
        <v>0</v>
      </c>
      <c r="U33" s="43">
        <f>VLOOKUP(Tabla1[[#This Row],[PAGO DIA]],DIAS!A:H,8,0)</f>
        <v>46238</v>
      </c>
      <c r="V33" s="6">
        <v>0</v>
      </c>
      <c r="W33" s="43">
        <f>VLOOKUP(Tabla1[[#This Row],[PAGO DIA]],DIAS!A:I,9,0)</f>
        <v>46266</v>
      </c>
      <c r="X33" s="6">
        <v>0</v>
      </c>
      <c r="Y33" s="43">
        <f>VLOOKUP(Tabla1[[#This Row],[PAGO DIA]],DIAS!A:J,10,0)</f>
        <v>46301</v>
      </c>
      <c r="Z33" s="6">
        <v>0</v>
      </c>
      <c r="AA33" s="43">
        <f>VLOOKUP(Tabla1[[#This Row],[PAGO DIA]],DIAS!A:K,11,0)</f>
        <v>46329</v>
      </c>
      <c r="AB33" s="6">
        <v>0</v>
      </c>
      <c r="AC33" s="43">
        <f>VLOOKUP(Tabla1[[#This Row],[PAGO DIA]],DIAS!A:M,12,0)</f>
        <v>46357</v>
      </c>
      <c r="AD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767216</v>
      </c>
    </row>
    <row r="34" spans="1:30">
      <c r="A34" s="3">
        <v>12803</v>
      </c>
      <c r="B34" s="3" t="s">
        <v>538</v>
      </c>
      <c r="C34" s="3" t="s">
        <v>539</v>
      </c>
      <c r="D34" s="3" t="s">
        <v>540</v>
      </c>
      <c r="E34" s="3" t="s">
        <v>595</v>
      </c>
      <c r="F34" s="42" t="s">
        <v>542</v>
      </c>
      <c r="G34" s="3" t="s">
        <v>597</v>
      </c>
      <c r="H34" s="7">
        <v>5454930</v>
      </c>
      <c r="I34" s="41">
        <f>VLOOKUP(Tabla1[[#This Row],[PAGO DIA]],DIAS!A:B,2,0)</f>
        <v>46056</v>
      </c>
      <c r="J34" s="6">
        <v>0</v>
      </c>
      <c r="K34" s="43">
        <f>VLOOKUP(Tabla1[[#This Row],[PAGO DIA]],DIAS!A:C,3,0)</f>
        <v>46084</v>
      </c>
      <c r="L34" s="6">
        <v>0</v>
      </c>
      <c r="M34" s="41">
        <f>VLOOKUP(Tabla1[[#This Row],[PAGO DIA]],DIAS!A:D,4,0)</f>
        <v>46119</v>
      </c>
      <c r="N34" s="6">
        <v>0</v>
      </c>
      <c r="O34" s="43">
        <f>VLOOKUP(Tabla1[[#This Row],[PAGO DIA]],DIAS!A:E,5,0)</f>
        <v>46147</v>
      </c>
      <c r="P34" s="6">
        <v>0</v>
      </c>
      <c r="Q34" s="43">
        <f>VLOOKUP(Tabla1[[#This Row],[PAGO DIA]],DIAS!A:F,6,0)</f>
        <v>46175</v>
      </c>
      <c r="R34" s="6">
        <v>0</v>
      </c>
      <c r="S34" s="43">
        <f>VLOOKUP(Tabla1[[#This Row],[PAGO DIA]],DIAS!A:G,7,0)</f>
        <v>46210</v>
      </c>
      <c r="T34" s="6">
        <v>0</v>
      </c>
      <c r="U34" s="43">
        <f>VLOOKUP(Tabla1[[#This Row],[PAGO DIA]],DIAS!A:H,8,0)</f>
        <v>46238</v>
      </c>
      <c r="V34" s="6">
        <v>0</v>
      </c>
      <c r="W34" s="43">
        <f>VLOOKUP(Tabla1[[#This Row],[PAGO DIA]],DIAS!A:I,9,0)</f>
        <v>46266</v>
      </c>
      <c r="X34" s="6">
        <v>0</v>
      </c>
      <c r="Y34" s="43">
        <f>VLOOKUP(Tabla1[[#This Row],[PAGO DIA]],DIAS!A:J,10,0)</f>
        <v>46301</v>
      </c>
      <c r="Z34" s="6">
        <v>0</v>
      </c>
      <c r="AA34" s="43">
        <f>VLOOKUP(Tabla1[[#This Row],[PAGO DIA]],DIAS!A:K,11,0)</f>
        <v>46329</v>
      </c>
      <c r="AB34" s="6">
        <v>0</v>
      </c>
      <c r="AC34" s="43">
        <f>VLOOKUP(Tabla1[[#This Row],[PAGO DIA]],DIAS!A:M,12,0)</f>
        <v>46357</v>
      </c>
      <c r="AD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5454930</v>
      </c>
    </row>
    <row r="35" spans="1:30">
      <c r="A35" s="3">
        <v>12804</v>
      </c>
      <c r="B35" s="3" t="s">
        <v>538</v>
      </c>
      <c r="C35" s="3" t="s">
        <v>539</v>
      </c>
      <c r="D35" s="3" t="s">
        <v>540</v>
      </c>
      <c r="E35" s="3" t="s">
        <v>598</v>
      </c>
      <c r="F35" s="42" t="s">
        <v>542</v>
      </c>
      <c r="G35" s="3" t="s">
        <v>599</v>
      </c>
      <c r="H35" s="7">
        <v>493405</v>
      </c>
      <c r="I35" s="41">
        <f>VLOOKUP(Tabla1[[#This Row],[PAGO DIA]],DIAS!A:B,2,0)</f>
        <v>46056</v>
      </c>
      <c r="J35" s="6">
        <v>0</v>
      </c>
      <c r="K35" s="43">
        <f>VLOOKUP(Tabla1[[#This Row],[PAGO DIA]],DIAS!A:C,3,0)</f>
        <v>46084</v>
      </c>
      <c r="L35" s="6">
        <v>0</v>
      </c>
      <c r="M35" s="41">
        <f>VLOOKUP(Tabla1[[#This Row],[PAGO DIA]],DIAS!A:D,4,0)</f>
        <v>46119</v>
      </c>
      <c r="N35" s="6">
        <v>0</v>
      </c>
      <c r="O35" s="43">
        <f>VLOOKUP(Tabla1[[#This Row],[PAGO DIA]],DIAS!A:E,5,0)</f>
        <v>46147</v>
      </c>
      <c r="P35" s="6">
        <v>0</v>
      </c>
      <c r="Q35" s="43">
        <f>VLOOKUP(Tabla1[[#This Row],[PAGO DIA]],DIAS!A:F,6,0)</f>
        <v>46175</v>
      </c>
      <c r="R35" s="6">
        <v>0</v>
      </c>
      <c r="S35" s="43">
        <f>VLOOKUP(Tabla1[[#This Row],[PAGO DIA]],DIAS!A:G,7,0)</f>
        <v>46210</v>
      </c>
      <c r="T35" s="6">
        <v>0</v>
      </c>
      <c r="U35" s="43">
        <f>VLOOKUP(Tabla1[[#This Row],[PAGO DIA]],DIAS!A:H,8,0)</f>
        <v>46238</v>
      </c>
      <c r="V35" s="6">
        <v>0</v>
      </c>
      <c r="W35" s="43">
        <f>VLOOKUP(Tabla1[[#This Row],[PAGO DIA]],DIAS!A:I,9,0)</f>
        <v>46266</v>
      </c>
      <c r="X35" s="6">
        <v>0</v>
      </c>
      <c r="Y35" s="43">
        <f>VLOOKUP(Tabla1[[#This Row],[PAGO DIA]],DIAS!A:J,10,0)</f>
        <v>46301</v>
      </c>
      <c r="Z35" s="6">
        <v>0</v>
      </c>
      <c r="AA35" s="43">
        <f>VLOOKUP(Tabla1[[#This Row],[PAGO DIA]],DIAS!A:K,11,0)</f>
        <v>46329</v>
      </c>
      <c r="AB35" s="6">
        <v>0</v>
      </c>
      <c r="AC35" s="43">
        <f>VLOOKUP(Tabla1[[#This Row],[PAGO DIA]],DIAS!A:M,12,0)</f>
        <v>46357</v>
      </c>
      <c r="AD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493405</v>
      </c>
    </row>
    <row r="36" spans="1:30">
      <c r="A36" s="3">
        <v>12850</v>
      </c>
      <c r="B36" s="3" t="s">
        <v>544</v>
      </c>
      <c r="C36" s="3" t="s">
        <v>505</v>
      </c>
      <c r="D36" s="3" t="s">
        <v>545</v>
      </c>
      <c r="E36" s="3" t="s">
        <v>600</v>
      </c>
      <c r="F36" s="42" t="s">
        <v>542</v>
      </c>
      <c r="G36" s="3" t="s">
        <v>601</v>
      </c>
      <c r="H36" s="7">
        <v>7024050</v>
      </c>
      <c r="I36" s="41">
        <f>VLOOKUP(Tabla1[[#This Row],[PAGO DIA]],DIAS!A:B,2,0)</f>
        <v>46056</v>
      </c>
      <c r="J36" s="6">
        <v>0</v>
      </c>
      <c r="K36" s="43">
        <f>VLOOKUP(Tabla1[[#This Row],[PAGO DIA]],DIAS!A:C,3,0)</f>
        <v>46084</v>
      </c>
      <c r="L36" s="6">
        <v>0</v>
      </c>
      <c r="M36" s="41">
        <f>VLOOKUP(Tabla1[[#This Row],[PAGO DIA]],DIAS!A:D,4,0)</f>
        <v>46119</v>
      </c>
      <c r="N36" s="6">
        <v>0</v>
      </c>
      <c r="O36" s="43">
        <f>VLOOKUP(Tabla1[[#This Row],[PAGO DIA]],DIAS!A:E,5,0)</f>
        <v>46147</v>
      </c>
      <c r="P36" s="6">
        <v>0</v>
      </c>
      <c r="Q36" s="43">
        <f>VLOOKUP(Tabla1[[#This Row],[PAGO DIA]],DIAS!A:F,6,0)</f>
        <v>46175</v>
      </c>
      <c r="R36" s="6">
        <v>0</v>
      </c>
      <c r="S36" s="43">
        <f>VLOOKUP(Tabla1[[#This Row],[PAGO DIA]],DIAS!A:G,7,0)</f>
        <v>46210</v>
      </c>
      <c r="T36" s="6">
        <v>0</v>
      </c>
      <c r="U36" s="43">
        <f>VLOOKUP(Tabla1[[#This Row],[PAGO DIA]],DIAS!A:H,8,0)</f>
        <v>46238</v>
      </c>
      <c r="V36" s="6">
        <v>0</v>
      </c>
      <c r="W36" s="43">
        <f>VLOOKUP(Tabla1[[#This Row],[PAGO DIA]],DIAS!A:I,9,0)</f>
        <v>46266</v>
      </c>
      <c r="X36" s="6">
        <v>0</v>
      </c>
      <c r="Y36" s="43">
        <f>VLOOKUP(Tabla1[[#This Row],[PAGO DIA]],DIAS!A:J,10,0)</f>
        <v>46301</v>
      </c>
      <c r="Z36" s="6">
        <v>0</v>
      </c>
      <c r="AA36" s="43">
        <f>VLOOKUP(Tabla1[[#This Row],[PAGO DIA]],DIAS!A:K,11,0)</f>
        <v>46329</v>
      </c>
      <c r="AB36" s="6">
        <v>0</v>
      </c>
      <c r="AC36" s="43">
        <f>VLOOKUP(Tabla1[[#This Row],[PAGO DIA]],DIAS!A:M,12,0)</f>
        <v>46357</v>
      </c>
      <c r="AD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7024050</v>
      </c>
    </row>
    <row r="37" spans="1:30">
      <c r="A37" s="3">
        <v>11022</v>
      </c>
      <c r="B37" s="3" t="s">
        <v>504</v>
      </c>
      <c r="C37" s="3" t="s">
        <v>505</v>
      </c>
      <c r="D37" s="3" t="s">
        <v>506</v>
      </c>
      <c r="E37" s="3" t="s">
        <v>602</v>
      </c>
      <c r="F37" s="42" t="s">
        <v>542</v>
      </c>
      <c r="G37" s="3" t="s">
        <v>603</v>
      </c>
      <c r="H37" s="7">
        <v>9823628.8000000007</v>
      </c>
      <c r="I37" s="41">
        <f>VLOOKUP(Tabla1[[#This Row],[PAGO DIA]],DIAS!A:B,2,0)</f>
        <v>46056</v>
      </c>
      <c r="J37" s="6">
        <v>0</v>
      </c>
      <c r="K37" s="43">
        <f>VLOOKUP(Tabla1[[#This Row],[PAGO DIA]],DIAS!A:C,3,0)</f>
        <v>46084</v>
      </c>
      <c r="L37" s="6">
        <v>0</v>
      </c>
      <c r="M37" s="41">
        <f>VLOOKUP(Tabla1[[#This Row],[PAGO DIA]],DIAS!A:D,4,0)</f>
        <v>46119</v>
      </c>
      <c r="N37" s="6">
        <v>0</v>
      </c>
      <c r="O37" s="43">
        <f>VLOOKUP(Tabla1[[#This Row],[PAGO DIA]],DIAS!A:E,5,0)</f>
        <v>46147</v>
      </c>
      <c r="P37" s="6">
        <v>0</v>
      </c>
      <c r="Q37" s="43">
        <f>VLOOKUP(Tabla1[[#This Row],[PAGO DIA]],DIAS!A:F,6,0)</f>
        <v>46175</v>
      </c>
      <c r="R37" s="6">
        <v>0</v>
      </c>
      <c r="S37" s="43">
        <f>VLOOKUP(Tabla1[[#This Row],[PAGO DIA]],DIAS!A:G,7,0)</f>
        <v>46210</v>
      </c>
      <c r="T37" s="6">
        <v>0</v>
      </c>
      <c r="U37" s="43">
        <f>VLOOKUP(Tabla1[[#This Row],[PAGO DIA]],DIAS!A:H,8,0)</f>
        <v>46238</v>
      </c>
      <c r="V37" s="6">
        <v>0</v>
      </c>
      <c r="W37" s="43">
        <f>VLOOKUP(Tabla1[[#This Row],[PAGO DIA]],DIAS!A:I,9,0)</f>
        <v>46266</v>
      </c>
      <c r="X37" s="6">
        <v>0</v>
      </c>
      <c r="Y37" s="43">
        <f>VLOOKUP(Tabla1[[#This Row],[PAGO DIA]],DIAS!A:J,10,0)</f>
        <v>46301</v>
      </c>
      <c r="Z37" s="6">
        <v>0</v>
      </c>
      <c r="AA37" s="43">
        <f>VLOOKUP(Tabla1[[#This Row],[PAGO DIA]],DIAS!A:K,11,0)</f>
        <v>46329</v>
      </c>
      <c r="AB37" s="6">
        <v>0</v>
      </c>
      <c r="AC37" s="43">
        <f>VLOOKUP(Tabla1[[#This Row],[PAGO DIA]],DIAS!A:M,12,0)</f>
        <v>46357</v>
      </c>
      <c r="AD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9823628.8000000007</v>
      </c>
    </row>
    <row r="38" spans="1:30">
      <c r="A38" s="3">
        <v>12617</v>
      </c>
      <c r="B38" s="3" t="s">
        <v>604</v>
      </c>
      <c r="C38" s="3" t="s">
        <v>605</v>
      </c>
      <c r="D38" s="3" t="s">
        <v>540</v>
      </c>
      <c r="E38" s="3" t="s">
        <v>606</v>
      </c>
      <c r="F38" s="42" t="s">
        <v>542</v>
      </c>
      <c r="G38" s="3" t="s">
        <v>607</v>
      </c>
      <c r="H38" s="7">
        <v>3812057</v>
      </c>
      <c r="I38" s="41">
        <f>VLOOKUP(Tabla1[[#This Row],[PAGO DIA]],DIAS!A:B,2,0)</f>
        <v>46056</v>
      </c>
      <c r="J38" s="6">
        <v>0</v>
      </c>
      <c r="K38" s="43">
        <f>VLOOKUP(Tabla1[[#This Row],[PAGO DIA]],DIAS!A:C,3,0)</f>
        <v>46084</v>
      </c>
      <c r="L38" s="6">
        <v>0</v>
      </c>
      <c r="M38" s="41">
        <f>VLOOKUP(Tabla1[[#This Row],[PAGO DIA]],DIAS!A:D,4,0)</f>
        <v>46119</v>
      </c>
      <c r="N38" s="6">
        <v>0</v>
      </c>
      <c r="O38" s="43">
        <f>VLOOKUP(Tabla1[[#This Row],[PAGO DIA]],DIAS!A:E,5,0)</f>
        <v>46147</v>
      </c>
      <c r="P38" s="6">
        <v>0</v>
      </c>
      <c r="Q38" s="43">
        <f>VLOOKUP(Tabla1[[#This Row],[PAGO DIA]],DIAS!A:F,6,0)</f>
        <v>46175</v>
      </c>
      <c r="R38" s="6">
        <v>0</v>
      </c>
      <c r="S38" s="43">
        <f>VLOOKUP(Tabla1[[#This Row],[PAGO DIA]],DIAS!A:G,7,0)</f>
        <v>46210</v>
      </c>
      <c r="T38" s="6">
        <v>0</v>
      </c>
      <c r="U38" s="43">
        <f>VLOOKUP(Tabla1[[#This Row],[PAGO DIA]],DIAS!A:H,8,0)</f>
        <v>46238</v>
      </c>
      <c r="V38" s="6">
        <v>0</v>
      </c>
      <c r="W38" s="43">
        <f>VLOOKUP(Tabla1[[#This Row],[PAGO DIA]],DIAS!A:I,9,0)</f>
        <v>46266</v>
      </c>
      <c r="X38" s="6">
        <v>0</v>
      </c>
      <c r="Y38" s="43">
        <f>VLOOKUP(Tabla1[[#This Row],[PAGO DIA]],DIAS!A:J,10,0)</f>
        <v>46301</v>
      </c>
      <c r="Z38" s="6">
        <v>0</v>
      </c>
      <c r="AA38" s="43">
        <f>VLOOKUP(Tabla1[[#This Row],[PAGO DIA]],DIAS!A:K,11,0)</f>
        <v>46329</v>
      </c>
      <c r="AB38" s="6">
        <v>0</v>
      </c>
      <c r="AC38" s="43">
        <f>VLOOKUP(Tabla1[[#This Row],[PAGO DIA]],DIAS!A:M,12,0)</f>
        <v>46357</v>
      </c>
      <c r="AD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3812057</v>
      </c>
    </row>
    <row r="39" spans="1:30">
      <c r="A39" s="3">
        <v>12631</v>
      </c>
      <c r="B39" s="3" t="s">
        <v>604</v>
      </c>
      <c r="C39" s="3" t="s">
        <v>605</v>
      </c>
      <c r="D39" s="3" t="s">
        <v>540</v>
      </c>
      <c r="E39" s="3" t="s">
        <v>606</v>
      </c>
      <c r="F39" s="42" t="s">
        <v>542</v>
      </c>
      <c r="G39" s="3" t="s">
        <v>608</v>
      </c>
      <c r="H39" s="7">
        <v>1497126</v>
      </c>
      <c r="I39" s="41">
        <f>VLOOKUP(Tabla1[[#This Row],[PAGO DIA]],DIAS!A:B,2,0)</f>
        <v>46056</v>
      </c>
      <c r="J39" s="6">
        <v>0</v>
      </c>
      <c r="K39" s="43">
        <f>VLOOKUP(Tabla1[[#This Row],[PAGO DIA]],DIAS!A:C,3,0)</f>
        <v>46084</v>
      </c>
      <c r="L39" s="6">
        <v>0</v>
      </c>
      <c r="M39" s="41">
        <f>VLOOKUP(Tabla1[[#This Row],[PAGO DIA]],DIAS!A:D,4,0)</f>
        <v>46119</v>
      </c>
      <c r="N39" s="6">
        <v>0</v>
      </c>
      <c r="O39" s="43">
        <f>VLOOKUP(Tabla1[[#This Row],[PAGO DIA]],DIAS!A:E,5,0)</f>
        <v>46147</v>
      </c>
      <c r="P39" s="6">
        <v>0</v>
      </c>
      <c r="Q39" s="43">
        <f>VLOOKUP(Tabla1[[#This Row],[PAGO DIA]],DIAS!A:F,6,0)</f>
        <v>46175</v>
      </c>
      <c r="R39" s="6">
        <v>0</v>
      </c>
      <c r="S39" s="43">
        <f>VLOOKUP(Tabla1[[#This Row],[PAGO DIA]],DIAS!A:G,7,0)</f>
        <v>46210</v>
      </c>
      <c r="T39" s="6">
        <v>0</v>
      </c>
      <c r="U39" s="43">
        <f>VLOOKUP(Tabla1[[#This Row],[PAGO DIA]],DIAS!A:H,8,0)</f>
        <v>46238</v>
      </c>
      <c r="V39" s="6">
        <v>0</v>
      </c>
      <c r="W39" s="43">
        <f>VLOOKUP(Tabla1[[#This Row],[PAGO DIA]],DIAS!A:I,9,0)</f>
        <v>46266</v>
      </c>
      <c r="X39" s="6">
        <v>0</v>
      </c>
      <c r="Y39" s="43">
        <f>VLOOKUP(Tabla1[[#This Row],[PAGO DIA]],DIAS!A:J,10,0)</f>
        <v>46301</v>
      </c>
      <c r="Z39" s="6">
        <v>0</v>
      </c>
      <c r="AA39" s="43">
        <f>VLOOKUP(Tabla1[[#This Row],[PAGO DIA]],DIAS!A:K,11,0)</f>
        <v>46329</v>
      </c>
      <c r="AB39" s="6">
        <v>0</v>
      </c>
      <c r="AC39" s="43">
        <f>VLOOKUP(Tabla1[[#This Row],[PAGO DIA]],DIAS!A:M,12,0)</f>
        <v>46357</v>
      </c>
      <c r="AD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1497126</v>
      </c>
    </row>
    <row r="40" spans="1:30">
      <c r="A40" s="3">
        <v>12712</v>
      </c>
      <c r="B40" s="3" t="s">
        <v>538</v>
      </c>
      <c r="C40" s="3" t="s">
        <v>539</v>
      </c>
      <c r="D40" s="3" t="s">
        <v>540</v>
      </c>
      <c r="E40" s="3" t="s">
        <v>606</v>
      </c>
      <c r="F40" s="42" t="s">
        <v>542</v>
      </c>
      <c r="G40" s="3" t="s">
        <v>609</v>
      </c>
      <c r="H40" s="7">
        <v>3320650</v>
      </c>
      <c r="I40" s="41">
        <f>VLOOKUP(Tabla1[[#This Row],[PAGO DIA]],DIAS!A:B,2,0)</f>
        <v>46056</v>
      </c>
      <c r="J40" s="6">
        <v>0</v>
      </c>
      <c r="K40" s="43">
        <f>VLOOKUP(Tabla1[[#This Row],[PAGO DIA]],DIAS!A:C,3,0)</f>
        <v>46084</v>
      </c>
      <c r="L40" s="6">
        <v>0</v>
      </c>
      <c r="M40" s="41">
        <f>VLOOKUP(Tabla1[[#This Row],[PAGO DIA]],DIAS!A:D,4,0)</f>
        <v>46119</v>
      </c>
      <c r="N40" s="6">
        <v>0</v>
      </c>
      <c r="O40" s="43">
        <f>VLOOKUP(Tabla1[[#This Row],[PAGO DIA]],DIAS!A:E,5,0)</f>
        <v>46147</v>
      </c>
      <c r="P40" s="6">
        <v>0</v>
      </c>
      <c r="Q40" s="43">
        <f>VLOOKUP(Tabla1[[#This Row],[PAGO DIA]],DIAS!A:F,6,0)</f>
        <v>46175</v>
      </c>
      <c r="R40" s="6">
        <v>0</v>
      </c>
      <c r="S40" s="43">
        <f>VLOOKUP(Tabla1[[#This Row],[PAGO DIA]],DIAS!A:G,7,0)</f>
        <v>46210</v>
      </c>
      <c r="T40" s="6">
        <v>0</v>
      </c>
      <c r="U40" s="43">
        <f>VLOOKUP(Tabla1[[#This Row],[PAGO DIA]],DIAS!A:H,8,0)</f>
        <v>46238</v>
      </c>
      <c r="V40" s="6">
        <v>0</v>
      </c>
      <c r="W40" s="43">
        <f>VLOOKUP(Tabla1[[#This Row],[PAGO DIA]],DIAS!A:I,9,0)</f>
        <v>46266</v>
      </c>
      <c r="X40" s="6">
        <v>0</v>
      </c>
      <c r="Y40" s="43">
        <f>VLOOKUP(Tabla1[[#This Row],[PAGO DIA]],DIAS!A:J,10,0)</f>
        <v>46301</v>
      </c>
      <c r="Z40" s="6">
        <v>0</v>
      </c>
      <c r="AA40" s="43">
        <f>VLOOKUP(Tabla1[[#This Row],[PAGO DIA]],DIAS!A:K,11,0)</f>
        <v>46329</v>
      </c>
      <c r="AB40" s="6">
        <v>0</v>
      </c>
      <c r="AC40" s="43">
        <f>VLOOKUP(Tabla1[[#This Row],[PAGO DIA]],DIAS!A:M,12,0)</f>
        <v>46357</v>
      </c>
      <c r="AD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3320650</v>
      </c>
    </row>
    <row r="41" spans="1:30">
      <c r="A41" s="3">
        <v>12838</v>
      </c>
      <c r="B41" s="3" t="s">
        <v>538</v>
      </c>
      <c r="C41" s="3"/>
      <c r="D41" s="3" t="s">
        <v>540</v>
      </c>
      <c r="E41" s="3" t="s">
        <v>610</v>
      </c>
      <c r="F41" s="42" t="s">
        <v>542</v>
      </c>
      <c r="G41" s="3" t="s">
        <v>611</v>
      </c>
      <c r="H41" s="7">
        <v>6000000</v>
      </c>
      <c r="I41" s="41">
        <f>VLOOKUP(Tabla1[[#This Row],[PAGO DIA]],DIAS!A:B,2,0)</f>
        <v>46056</v>
      </c>
      <c r="J41" s="6">
        <v>0</v>
      </c>
      <c r="K41" s="43">
        <f>VLOOKUP(Tabla1[[#This Row],[PAGO DIA]],DIAS!A:C,3,0)</f>
        <v>46084</v>
      </c>
      <c r="L41" s="6">
        <v>0</v>
      </c>
      <c r="M41" s="41">
        <f>VLOOKUP(Tabla1[[#This Row],[PAGO DIA]],DIAS!A:D,4,0)</f>
        <v>46119</v>
      </c>
      <c r="N41" s="6">
        <v>0</v>
      </c>
      <c r="O41" s="43">
        <f>VLOOKUP(Tabla1[[#This Row],[PAGO DIA]],DIAS!A:E,5,0)</f>
        <v>46147</v>
      </c>
      <c r="P41" s="6">
        <v>0</v>
      </c>
      <c r="Q41" s="43">
        <f>VLOOKUP(Tabla1[[#This Row],[PAGO DIA]],DIAS!A:F,6,0)</f>
        <v>46175</v>
      </c>
      <c r="R41" s="6">
        <v>0</v>
      </c>
      <c r="S41" s="43">
        <f>VLOOKUP(Tabla1[[#This Row],[PAGO DIA]],DIAS!A:G,7,0)</f>
        <v>46210</v>
      </c>
      <c r="T41" s="6">
        <v>0</v>
      </c>
      <c r="U41" s="43">
        <f>VLOOKUP(Tabla1[[#This Row],[PAGO DIA]],DIAS!A:H,8,0)</f>
        <v>46238</v>
      </c>
      <c r="V41" s="6">
        <v>0</v>
      </c>
      <c r="W41" s="43">
        <f>VLOOKUP(Tabla1[[#This Row],[PAGO DIA]],DIAS!A:I,9,0)</f>
        <v>46266</v>
      </c>
      <c r="X41" s="6">
        <v>0</v>
      </c>
      <c r="Y41" s="43">
        <f>VLOOKUP(Tabla1[[#This Row],[PAGO DIA]],DIAS!A:J,10,0)</f>
        <v>46301</v>
      </c>
      <c r="Z41" s="6">
        <v>0</v>
      </c>
      <c r="AA41" s="43">
        <f>VLOOKUP(Tabla1[[#This Row],[PAGO DIA]],DIAS!A:K,11,0)</f>
        <v>46329</v>
      </c>
      <c r="AB41" s="6">
        <v>0</v>
      </c>
      <c r="AC41" s="43">
        <f>VLOOKUP(Tabla1[[#This Row],[PAGO DIA]],DIAS!A:M,12,0)</f>
        <v>46357</v>
      </c>
      <c r="AD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6000000</v>
      </c>
    </row>
    <row r="42" spans="1:30">
      <c r="A42" s="3">
        <v>11112</v>
      </c>
      <c r="B42" s="3" t="s">
        <v>557</v>
      </c>
      <c r="C42" s="3" t="s">
        <v>558</v>
      </c>
      <c r="D42" s="3" t="s">
        <v>558</v>
      </c>
      <c r="E42" s="3" t="s">
        <v>558</v>
      </c>
      <c r="F42" s="42" t="s">
        <v>612</v>
      </c>
      <c r="G42" s="3"/>
      <c r="H42" s="6">
        <v>300000000</v>
      </c>
      <c r="I42" s="41">
        <f>VLOOKUP(Tabla1[[#This Row],[PAGO DIA]],DIAS!A:B,2,0)</f>
        <v>46071</v>
      </c>
      <c r="AD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300000000</v>
      </c>
    </row>
    <row r="43" spans="1:30">
      <c r="A43" s="3">
        <v>11108</v>
      </c>
      <c r="B43" s="3" t="s">
        <v>613</v>
      </c>
      <c r="C43" s="3" t="s">
        <v>559</v>
      </c>
      <c r="D43" s="3" t="s">
        <v>614</v>
      </c>
      <c r="E43" s="3" t="s">
        <v>614</v>
      </c>
      <c r="F43" s="42" t="s">
        <v>551</v>
      </c>
      <c r="G43" s="3"/>
      <c r="H43" s="6">
        <v>300000000</v>
      </c>
      <c r="I43" s="41">
        <f>VLOOKUP(Tabla1[[#This Row],[PAGO DIA]],DIAS!A:B,2,0)</f>
        <v>46063</v>
      </c>
      <c r="J43" s="6">
        <v>300000000</v>
      </c>
      <c r="K43" s="43">
        <f>VLOOKUP(Tabla1[[#This Row],[PAGO DIA]],DIAS!A:C,3,0)</f>
        <v>46091</v>
      </c>
      <c r="L43" s="6">
        <v>300000000</v>
      </c>
      <c r="M43" s="41">
        <f>VLOOKUP(Tabla1[[#This Row],[PAGO DIA]],DIAS!A:D,4,0)</f>
        <v>46126</v>
      </c>
      <c r="N43" s="6">
        <v>300000000</v>
      </c>
      <c r="O43" s="43">
        <f>VLOOKUP(Tabla1[[#This Row],[PAGO DIA]],DIAS!A:E,5,0)</f>
        <v>46154</v>
      </c>
      <c r="P43" s="6">
        <v>300000000</v>
      </c>
      <c r="Q43" s="43">
        <f>VLOOKUP(Tabla1[[#This Row],[PAGO DIA]],DIAS!A:F,6,0)</f>
        <v>46182</v>
      </c>
      <c r="R43" s="6">
        <v>300000000</v>
      </c>
      <c r="S43" s="43">
        <f>VLOOKUP(Tabla1[[#This Row],[PAGO DIA]],DIAS!A:G,7,0)</f>
        <v>46217</v>
      </c>
      <c r="T43" s="6">
        <v>300000000</v>
      </c>
      <c r="U43" s="43">
        <f>VLOOKUP(Tabla1[[#This Row],[PAGO DIA]],DIAS!A:H,8,0)</f>
        <v>46245</v>
      </c>
      <c r="V43" s="6">
        <v>300000000</v>
      </c>
      <c r="W43" s="43">
        <f>VLOOKUP(Tabla1[[#This Row],[PAGO DIA]],DIAS!A:I,9,0)</f>
        <v>46273</v>
      </c>
      <c r="X43" s="6">
        <v>300000000</v>
      </c>
      <c r="Y43" s="43">
        <f>VLOOKUP(Tabla1[[#This Row],[PAGO DIA]],DIAS!A:J,10,0)</f>
        <v>46308</v>
      </c>
      <c r="Z43" s="6">
        <v>300000000</v>
      </c>
      <c r="AA43" s="43">
        <f>VLOOKUP(Tabla1[[#This Row],[PAGO DIA]],DIAS!A:K,11,0)</f>
        <v>46336</v>
      </c>
      <c r="AB43" s="6">
        <v>300000000</v>
      </c>
      <c r="AC43" s="43">
        <f>VLOOKUP(Tabla1[[#This Row],[PAGO DIA]],DIAS!A:M,12,0)</f>
        <v>46365</v>
      </c>
      <c r="AD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3300000000</v>
      </c>
    </row>
    <row r="44" spans="1:30">
      <c r="A44" s="3">
        <v>11110</v>
      </c>
      <c r="B44" s="3" t="s">
        <v>548</v>
      </c>
      <c r="C44" s="3" t="s">
        <v>615</v>
      </c>
      <c r="D44" s="3" t="s">
        <v>616</v>
      </c>
      <c r="E44" s="3" t="s">
        <v>617</v>
      </c>
      <c r="F44" s="42" t="s">
        <v>542</v>
      </c>
      <c r="G44" s="3"/>
      <c r="H44" s="6">
        <v>250000000</v>
      </c>
      <c r="I44" s="41">
        <f>VLOOKUP(Tabla1[[#This Row],[PAGO DIA]],DIAS!A:B,2,0)</f>
        <v>46056</v>
      </c>
      <c r="J44" s="6">
        <v>250000000</v>
      </c>
      <c r="K44" s="43">
        <f>VLOOKUP(Tabla1[[#This Row],[PAGO DIA]],DIAS!A:C,3,0)</f>
        <v>46084</v>
      </c>
      <c r="L44" s="6">
        <v>250000000</v>
      </c>
      <c r="M44" s="41">
        <f>VLOOKUP(Tabla1[[#This Row],[PAGO DIA]],DIAS!A:D,4,0)</f>
        <v>46119</v>
      </c>
      <c r="N44" s="6">
        <v>250000000</v>
      </c>
      <c r="O44" s="43">
        <f>VLOOKUP(Tabla1[[#This Row],[PAGO DIA]],DIAS!A:E,5,0)</f>
        <v>46147</v>
      </c>
      <c r="P44" s="6">
        <v>250000000</v>
      </c>
      <c r="Q44" s="43">
        <f>VLOOKUP(Tabla1[[#This Row],[PAGO DIA]],DIAS!A:F,6,0)</f>
        <v>46175</v>
      </c>
      <c r="R44" s="6">
        <v>250000000</v>
      </c>
      <c r="S44" s="43">
        <f>VLOOKUP(Tabla1[[#This Row],[PAGO DIA]],DIAS!A:G,7,0)</f>
        <v>46210</v>
      </c>
      <c r="T44" s="6">
        <v>250000000</v>
      </c>
      <c r="U44" s="43">
        <f>VLOOKUP(Tabla1[[#This Row],[PAGO DIA]],DIAS!A:H,8,0)</f>
        <v>46238</v>
      </c>
      <c r="V44" s="6">
        <v>250000000</v>
      </c>
      <c r="W44" s="43">
        <f>VLOOKUP(Tabla1[[#This Row],[PAGO DIA]],DIAS!A:I,9,0)</f>
        <v>46266</v>
      </c>
      <c r="X44" s="6">
        <v>250000000</v>
      </c>
      <c r="Y44" s="43">
        <f>VLOOKUP(Tabla1[[#This Row],[PAGO DIA]],DIAS!A:J,10,0)</f>
        <v>46301</v>
      </c>
      <c r="Z44" s="6">
        <v>250000000</v>
      </c>
      <c r="AA44" s="43">
        <f>VLOOKUP(Tabla1[[#This Row],[PAGO DIA]],DIAS!A:K,11,0)</f>
        <v>46329</v>
      </c>
      <c r="AB44" s="6">
        <v>250000000</v>
      </c>
      <c r="AC44" s="43">
        <f>VLOOKUP(Tabla1[[#This Row],[PAGO DIA]],DIAS!A:M,12,0)</f>
        <v>46357</v>
      </c>
      <c r="AD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2750000000</v>
      </c>
    </row>
    <row r="45" spans="1:30">
      <c r="A45" s="3">
        <v>11109</v>
      </c>
      <c r="B45" s="3" t="s">
        <v>548</v>
      </c>
      <c r="C45" s="3" t="s">
        <v>552</v>
      </c>
      <c r="D45" s="3" t="s">
        <v>552</v>
      </c>
      <c r="E45" s="3" t="s">
        <v>552</v>
      </c>
      <c r="F45" s="42" t="s">
        <v>542</v>
      </c>
      <c r="G45" s="3"/>
      <c r="H45" s="6">
        <v>230000000</v>
      </c>
      <c r="I45" s="41">
        <f>VLOOKUP(Tabla1[[#This Row],[PAGO DIA]],DIAS!A:B,2,0)</f>
        <v>46056</v>
      </c>
      <c r="J45" s="6">
        <v>230000000</v>
      </c>
      <c r="K45" s="43">
        <f>VLOOKUP(Tabla1[[#This Row],[PAGO DIA]],DIAS!A:C,3,0)</f>
        <v>46084</v>
      </c>
      <c r="L45" s="6">
        <v>230000000</v>
      </c>
      <c r="M45" s="41">
        <f>VLOOKUP(Tabla1[[#This Row],[PAGO DIA]],DIAS!A:D,4,0)</f>
        <v>46119</v>
      </c>
      <c r="N45" s="6">
        <v>230000000</v>
      </c>
      <c r="O45" s="43">
        <f>VLOOKUP(Tabla1[[#This Row],[PAGO DIA]],DIAS!A:E,5,0)</f>
        <v>46147</v>
      </c>
      <c r="P45" s="6">
        <v>230000000</v>
      </c>
      <c r="Q45" s="43">
        <f>VLOOKUP(Tabla1[[#This Row],[PAGO DIA]],DIAS!A:F,6,0)</f>
        <v>46175</v>
      </c>
      <c r="R45" s="6">
        <v>230000000</v>
      </c>
      <c r="S45" s="43">
        <f>VLOOKUP(Tabla1[[#This Row],[PAGO DIA]],DIAS!A:G,7,0)</f>
        <v>46210</v>
      </c>
      <c r="T45" s="6">
        <v>230000000</v>
      </c>
      <c r="U45" s="43">
        <f>VLOOKUP(Tabla1[[#This Row],[PAGO DIA]],DIAS!A:H,8,0)</f>
        <v>46238</v>
      </c>
      <c r="V45" s="6">
        <v>230000000</v>
      </c>
      <c r="W45" s="43">
        <f>VLOOKUP(Tabla1[[#This Row],[PAGO DIA]],DIAS!A:I,9,0)</f>
        <v>46266</v>
      </c>
      <c r="X45" s="6">
        <v>230000000</v>
      </c>
      <c r="Y45" s="43">
        <f>VLOOKUP(Tabla1[[#This Row],[PAGO DIA]],DIAS!A:J,10,0)</f>
        <v>46301</v>
      </c>
      <c r="Z45" s="6">
        <v>230000000</v>
      </c>
      <c r="AA45" s="43">
        <f>VLOOKUP(Tabla1[[#This Row],[PAGO DIA]],DIAS!A:K,11,0)</f>
        <v>46329</v>
      </c>
      <c r="AB45" s="6">
        <v>230000000</v>
      </c>
      <c r="AC45" s="43">
        <f>VLOOKUP(Tabla1[[#This Row],[PAGO DIA]],DIAS!A:M,12,0)</f>
        <v>46357</v>
      </c>
      <c r="AD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2530000000</v>
      </c>
    </row>
    <row r="46" spans="1:30">
      <c r="A46" s="3">
        <v>11114</v>
      </c>
      <c r="B46" s="3" t="s">
        <v>548</v>
      </c>
      <c r="C46" s="3" t="s">
        <v>585</v>
      </c>
      <c r="D46" s="3" t="s">
        <v>585</v>
      </c>
      <c r="E46" s="3" t="s">
        <v>585</v>
      </c>
      <c r="F46" s="42" t="s">
        <v>542</v>
      </c>
      <c r="G46" s="3"/>
      <c r="H46" s="6">
        <v>200000000</v>
      </c>
      <c r="I46" s="41">
        <f>VLOOKUP(Tabla1[[#This Row],[PAGO DIA]],DIAS!A:B,2,0)</f>
        <v>46056</v>
      </c>
      <c r="J46" s="6">
        <v>200000000</v>
      </c>
      <c r="K46" s="43">
        <f>VLOOKUP(Tabla1[[#This Row],[PAGO DIA]],DIAS!A:C,3,0)</f>
        <v>46084</v>
      </c>
      <c r="L46" s="6">
        <v>200000000</v>
      </c>
      <c r="M46" s="41">
        <f>VLOOKUP(Tabla1[[#This Row],[PAGO DIA]],DIAS!A:D,4,0)</f>
        <v>46119</v>
      </c>
      <c r="N46" s="6">
        <v>200000000</v>
      </c>
      <c r="O46" s="43">
        <f>VLOOKUP(Tabla1[[#This Row],[PAGO DIA]],DIAS!A:E,5,0)</f>
        <v>46147</v>
      </c>
      <c r="P46" s="6">
        <v>200000000</v>
      </c>
      <c r="Q46" s="43">
        <f>VLOOKUP(Tabla1[[#This Row],[PAGO DIA]],DIAS!A:F,6,0)</f>
        <v>46175</v>
      </c>
      <c r="R46" s="6">
        <v>200000000</v>
      </c>
      <c r="S46" s="43">
        <f>VLOOKUP(Tabla1[[#This Row],[PAGO DIA]],DIAS!A:G,7,0)</f>
        <v>46210</v>
      </c>
      <c r="T46" s="6">
        <v>200000000</v>
      </c>
      <c r="U46" s="43">
        <f>VLOOKUP(Tabla1[[#This Row],[PAGO DIA]],DIAS!A:H,8,0)</f>
        <v>46238</v>
      </c>
      <c r="V46" s="6">
        <v>200000000</v>
      </c>
      <c r="W46" s="43">
        <f>VLOOKUP(Tabla1[[#This Row],[PAGO DIA]],DIAS!A:I,9,0)</f>
        <v>46266</v>
      </c>
      <c r="X46" s="6">
        <v>200000000</v>
      </c>
      <c r="Y46" s="43">
        <f>VLOOKUP(Tabla1[[#This Row],[PAGO DIA]],DIAS!A:J,10,0)</f>
        <v>46301</v>
      </c>
      <c r="Z46" s="6">
        <v>200000000</v>
      </c>
      <c r="AA46" s="43">
        <f>VLOOKUP(Tabla1[[#This Row],[PAGO DIA]],DIAS!A:K,11,0)</f>
        <v>46329</v>
      </c>
      <c r="AB46" s="6">
        <v>200000000</v>
      </c>
      <c r="AC46" s="43">
        <f>VLOOKUP(Tabla1[[#This Row],[PAGO DIA]],DIAS!A:M,12,0)</f>
        <v>46357</v>
      </c>
      <c r="AD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2200000000</v>
      </c>
    </row>
    <row r="47" spans="1:30">
      <c r="A47" s="3">
        <v>12844</v>
      </c>
      <c r="B47" s="3" t="s">
        <v>564</v>
      </c>
      <c r="C47" s="3" t="s">
        <v>564</v>
      </c>
      <c r="D47" s="3" t="s">
        <v>564</v>
      </c>
      <c r="E47" s="3" t="s">
        <v>565</v>
      </c>
      <c r="F47" s="42" t="s">
        <v>542</v>
      </c>
      <c r="G47" s="3"/>
      <c r="H47" s="6">
        <v>161728130.66999999</v>
      </c>
      <c r="I47" s="41">
        <f>VLOOKUP(Tabla1[[#This Row],[PAGO DIA]],DIAS!A:B,2,0)</f>
        <v>46056</v>
      </c>
      <c r="J47" s="6">
        <v>0</v>
      </c>
      <c r="K47" s="43">
        <f>VLOOKUP(Tabla1[[#This Row],[PAGO DIA]],DIAS!A:C,3,0)</f>
        <v>46084</v>
      </c>
      <c r="L47" s="6">
        <v>0</v>
      </c>
      <c r="M47" s="41">
        <f>VLOOKUP(Tabla1[[#This Row],[PAGO DIA]],DIAS!A:D,4,0)</f>
        <v>46119</v>
      </c>
      <c r="N47" s="6">
        <v>0</v>
      </c>
      <c r="O47" s="43">
        <f>VLOOKUP(Tabla1[[#This Row],[PAGO DIA]],DIAS!A:E,5,0)</f>
        <v>46147</v>
      </c>
      <c r="P47" s="6">
        <v>0</v>
      </c>
      <c r="Q47" s="43">
        <f>VLOOKUP(Tabla1[[#This Row],[PAGO DIA]],DIAS!A:F,6,0)</f>
        <v>46175</v>
      </c>
      <c r="R47" s="6">
        <v>0</v>
      </c>
      <c r="S47" s="43">
        <f>VLOOKUP(Tabla1[[#This Row],[PAGO DIA]],DIAS!A:G,7,0)</f>
        <v>46210</v>
      </c>
      <c r="T47" s="6">
        <v>0</v>
      </c>
      <c r="U47" s="43">
        <f>VLOOKUP(Tabla1[[#This Row],[PAGO DIA]],DIAS!A:H,8,0)</f>
        <v>46238</v>
      </c>
      <c r="V47" s="6">
        <v>0</v>
      </c>
      <c r="W47" s="43">
        <f>VLOOKUP(Tabla1[[#This Row],[PAGO DIA]],DIAS!A:I,9,0)</f>
        <v>46266</v>
      </c>
      <c r="X47" s="6">
        <v>0</v>
      </c>
      <c r="Y47" s="43">
        <f>VLOOKUP(Tabla1[[#This Row],[PAGO DIA]],DIAS!A:J,10,0)</f>
        <v>46301</v>
      </c>
      <c r="Z47" s="6">
        <v>0</v>
      </c>
      <c r="AA47" s="43">
        <f>VLOOKUP(Tabla1[[#This Row],[PAGO DIA]],DIAS!A:K,11,0)</f>
        <v>46329</v>
      </c>
      <c r="AB47" s="6">
        <v>0</v>
      </c>
      <c r="AC47" s="43">
        <f>VLOOKUP(Tabla1[[#This Row],[PAGO DIA]],DIAS!A:M,12,0)</f>
        <v>46357</v>
      </c>
      <c r="AD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161728130.66999999</v>
      </c>
    </row>
    <row r="48" spans="1:30">
      <c r="A48" s="3">
        <v>11133</v>
      </c>
      <c r="B48" s="3" t="s">
        <v>548</v>
      </c>
      <c r="C48" s="3" t="s">
        <v>552</v>
      </c>
      <c r="D48" s="3" t="s">
        <v>618</v>
      </c>
      <c r="E48" s="3" t="s">
        <v>619</v>
      </c>
      <c r="F48" s="42" t="s">
        <v>551</v>
      </c>
      <c r="G48" s="3"/>
      <c r="H48" s="6">
        <v>106672014.93000001</v>
      </c>
      <c r="I48" s="41">
        <f>VLOOKUP(Tabla1[[#This Row],[PAGO DIA]],DIAS!A:B,2,0)</f>
        <v>46063</v>
      </c>
      <c r="J48" s="6">
        <v>106672014.93000001</v>
      </c>
      <c r="K48" s="43">
        <f>VLOOKUP(Tabla1[[#This Row],[PAGO DIA]],DIAS!A:C,3,0)</f>
        <v>46091</v>
      </c>
      <c r="L48" s="6">
        <v>90000000</v>
      </c>
      <c r="M48" s="41">
        <f>VLOOKUP(Tabla1[[#This Row],[PAGO DIA]],DIAS!A:D,4,0)</f>
        <v>46126</v>
      </c>
      <c r="N48" s="6">
        <v>90000000</v>
      </c>
      <c r="O48" s="43">
        <f>VLOOKUP(Tabla1[[#This Row],[PAGO DIA]],DIAS!A:E,5,0)</f>
        <v>46154</v>
      </c>
      <c r="P48" s="6">
        <v>90000000</v>
      </c>
      <c r="Q48" s="43">
        <f>VLOOKUP(Tabla1[[#This Row],[PAGO DIA]],DIAS!A:F,6,0)</f>
        <v>46182</v>
      </c>
      <c r="R48" s="6">
        <v>90000000</v>
      </c>
      <c r="S48" s="43">
        <f>VLOOKUP(Tabla1[[#This Row],[PAGO DIA]],DIAS!A:G,7,0)</f>
        <v>46217</v>
      </c>
      <c r="T48" s="6">
        <v>90000000</v>
      </c>
      <c r="U48" s="43">
        <f>VLOOKUP(Tabla1[[#This Row],[PAGO DIA]],DIAS!A:H,8,0)</f>
        <v>46245</v>
      </c>
      <c r="V48" s="6">
        <v>90000000</v>
      </c>
      <c r="W48" s="43">
        <f>VLOOKUP(Tabla1[[#This Row],[PAGO DIA]],DIAS!A:I,9,0)</f>
        <v>46273</v>
      </c>
      <c r="X48" s="6">
        <v>90000000</v>
      </c>
      <c r="Y48" s="43">
        <f>VLOOKUP(Tabla1[[#This Row],[PAGO DIA]],DIAS!A:J,10,0)</f>
        <v>46308</v>
      </c>
      <c r="Z48" s="6">
        <v>90000000</v>
      </c>
      <c r="AA48" s="43">
        <f>VLOOKUP(Tabla1[[#This Row],[PAGO DIA]],DIAS!A:K,11,0)</f>
        <v>46336</v>
      </c>
      <c r="AB48" s="6">
        <v>90000000</v>
      </c>
      <c r="AC48" s="43">
        <f>VLOOKUP(Tabla1[[#This Row],[PAGO DIA]],DIAS!A:M,12,0)</f>
        <v>46365</v>
      </c>
      <c r="AD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1023344029.8600001</v>
      </c>
    </row>
    <row r="49" spans="1:30">
      <c r="A49" s="3">
        <v>11182</v>
      </c>
      <c r="B49" s="3" t="s">
        <v>548</v>
      </c>
      <c r="C49" s="3" t="s">
        <v>559</v>
      </c>
      <c r="D49" s="3" t="s">
        <v>620</v>
      </c>
      <c r="E49" s="3" t="s">
        <v>620</v>
      </c>
      <c r="F49" s="42" t="s">
        <v>542</v>
      </c>
      <c r="G49" s="3"/>
      <c r="H49" s="6">
        <v>50000000</v>
      </c>
      <c r="I49" s="41">
        <f>VLOOKUP(Tabla1[[#This Row],[PAGO DIA]],DIAS!A:B,2,0)</f>
        <v>46056</v>
      </c>
      <c r="J49" s="6">
        <v>50000000</v>
      </c>
      <c r="K49" s="43">
        <f>VLOOKUP(Tabla1[[#This Row],[PAGO DIA]],DIAS!A:C,3,0)</f>
        <v>46084</v>
      </c>
      <c r="L49" s="6">
        <v>50000000</v>
      </c>
      <c r="M49" s="41">
        <f>VLOOKUP(Tabla1[[#This Row],[PAGO DIA]],DIAS!A:D,4,0)</f>
        <v>46119</v>
      </c>
      <c r="N49" s="6">
        <v>50000000</v>
      </c>
      <c r="O49" s="43">
        <f>VLOOKUP(Tabla1[[#This Row],[PAGO DIA]],DIAS!A:E,5,0)</f>
        <v>46147</v>
      </c>
      <c r="P49" s="6">
        <v>50000000</v>
      </c>
      <c r="Q49" s="43">
        <f>VLOOKUP(Tabla1[[#This Row],[PAGO DIA]],DIAS!A:F,6,0)</f>
        <v>46175</v>
      </c>
      <c r="R49" s="6">
        <v>50000000</v>
      </c>
      <c r="S49" s="43">
        <f>VLOOKUP(Tabla1[[#This Row],[PAGO DIA]],DIAS!A:G,7,0)</f>
        <v>46210</v>
      </c>
      <c r="T49" s="6">
        <v>50000000</v>
      </c>
      <c r="U49" s="43">
        <f>VLOOKUP(Tabla1[[#This Row],[PAGO DIA]],DIAS!A:H,8,0)</f>
        <v>46238</v>
      </c>
      <c r="V49" s="6">
        <v>50000000</v>
      </c>
      <c r="W49" s="43">
        <f>VLOOKUP(Tabla1[[#This Row],[PAGO DIA]],DIAS!A:I,9,0)</f>
        <v>46266</v>
      </c>
      <c r="X49" s="6">
        <v>50000000</v>
      </c>
      <c r="Y49" s="43">
        <f>VLOOKUP(Tabla1[[#This Row],[PAGO DIA]],DIAS!A:J,10,0)</f>
        <v>46301</v>
      </c>
      <c r="Z49" s="6">
        <v>50000000</v>
      </c>
      <c r="AA49" s="43">
        <f>VLOOKUP(Tabla1[[#This Row],[PAGO DIA]],DIAS!A:K,11,0)</f>
        <v>46329</v>
      </c>
      <c r="AB49" s="6">
        <v>50000000</v>
      </c>
      <c r="AC49" s="43">
        <f>VLOOKUP(Tabla1[[#This Row],[PAGO DIA]],DIAS!A:M,12,0)</f>
        <v>46357</v>
      </c>
      <c r="AD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550000000</v>
      </c>
    </row>
    <row r="50" spans="1:30">
      <c r="A50" s="3">
        <v>11171</v>
      </c>
      <c r="B50" s="3" t="s">
        <v>548</v>
      </c>
      <c r="C50" s="3" t="s">
        <v>621</v>
      </c>
      <c r="D50" s="3" t="s">
        <v>622</v>
      </c>
      <c r="E50" s="3" t="s">
        <v>622</v>
      </c>
      <c r="F50" s="42" t="s">
        <v>542</v>
      </c>
      <c r="G50" s="3"/>
      <c r="H50" s="7">
        <v>28608078.370000001</v>
      </c>
      <c r="I50" s="41">
        <f>VLOOKUP(Tabla1[[#This Row],[PAGO DIA]],DIAS!A:B,2,0)</f>
        <v>46056</v>
      </c>
      <c r="J50" s="6">
        <v>25000000</v>
      </c>
      <c r="K50" s="43">
        <f>VLOOKUP(Tabla1[[#This Row],[PAGO DIA]],DIAS!A:C,3,0)</f>
        <v>46084</v>
      </c>
      <c r="L50" s="6">
        <v>25000000</v>
      </c>
      <c r="M50" s="41">
        <f>VLOOKUP(Tabla1[[#This Row],[PAGO DIA]],DIAS!A:D,4,0)</f>
        <v>46119</v>
      </c>
      <c r="N50" s="6">
        <v>25000000</v>
      </c>
      <c r="O50" s="43">
        <f>VLOOKUP(Tabla1[[#This Row],[PAGO DIA]],DIAS!A:E,5,0)</f>
        <v>46147</v>
      </c>
      <c r="P50" s="6">
        <v>25000000</v>
      </c>
      <c r="Q50" s="43">
        <f>VLOOKUP(Tabla1[[#This Row],[PAGO DIA]],DIAS!A:F,6,0)</f>
        <v>46175</v>
      </c>
      <c r="R50" s="6">
        <v>25000000</v>
      </c>
      <c r="S50" s="43">
        <f>VLOOKUP(Tabla1[[#This Row],[PAGO DIA]],DIAS!A:G,7,0)</f>
        <v>46210</v>
      </c>
      <c r="T50" s="6">
        <v>25000000</v>
      </c>
      <c r="U50" s="43">
        <f>VLOOKUP(Tabla1[[#This Row],[PAGO DIA]],DIAS!A:H,8,0)</f>
        <v>46238</v>
      </c>
      <c r="V50" s="6">
        <v>25000000</v>
      </c>
      <c r="W50" s="43">
        <f>VLOOKUP(Tabla1[[#This Row],[PAGO DIA]],DIAS!A:I,9,0)</f>
        <v>46266</v>
      </c>
      <c r="X50" s="6">
        <v>25000000</v>
      </c>
      <c r="Y50" s="43">
        <f>VLOOKUP(Tabla1[[#This Row],[PAGO DIA]],DIAS!A:J,10,0)</f>
        <v>46301</v>
      </c>
      <c r="Z50" s="6">
        <v>25000000</v>
      </c>
      <c r="AA50" s="43">
        <f>VLOOKUP(Tabla1[[#This Row],[PAGO DIA]],DIAS!A:K,11,0)</f>
        <v>46329</v>
      </c>
      <c r="AB50" s="6">
        <v>25000000</v>
      </c>
      <c r="AC50" s="43">
        <f>VLOOKUP(Tabla1[[#This Row],[PAGO DIA]],DIAS!A:M,12,0)</f>
        <v>46357</v>
      </c>
      <c r="AD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278608078.37</v>
      </c>
    </row>
    <row r="51" spans="1:30">
      <c r="A51" s="3">
        <v>11317</v>
      </c>
      <c r="B51" s="3" t="s">
        <v>548</v>
      </c>
      <c r="C51" s="3" t="s">
        <v>621</v>
      </c>
      <c r="D51" s="3" t="s">
        <v>623</v>
      </c>
      <c r="E51" s="3" t="s">
        <v>623</v>
      </c>
      <c r="F51" s="42" t="s">
        <v>542</v>
      </c>
      <c r="G51" s="3"/>
      <c r="H51" s="6">
        <v>21000000</v>
      </c>
      <c r="I51" s="41">
        <f>VLOOKUP(Tabla1[[#This Row],[PAGO DIA]],DIAS!A:B,2,0)</f>
        <v>46056</v>
      </c>
      <c r="J51" s="6">
        <v>10500000</v>
      </c>
      <c r="K51" s="43">
        <f>VLOOKUP(Tabla1[[#This Row],[PAGO DIA]],DIAS!A:C,3,0)</f>
        <v>46084</v>
      </c>
      <c r="L51" s="6">
        <v>10500000</v>
      </c>
      <c r="M51" s="41">
        <f>VLOOKUP(Tabla1[[#This Row],[PAGO DIA]],DIAS!A:D,4,0)</f>
        <v>46119</v>
      </c>
      <c r="N51" s="6">
        <v>10500000</v>
      </c>
      <c r="O51" s="43">
        <f>VLOOKUP(Tabla1[[#This Row],[PAGO DIA]],DIAS!A:E,5,0)</f>
        <v>46147</v>
      </c>
      <c r="P51" s="6">
        <v>10500000</v>
      </c>
      <c r="Q51" s="43">
        <f>VLOOKUP(Tabla1[[#This Row],[PAGO DIA]],DIAS!A:F,6,0)</f>
        <v>46175</v>
      </c>
      <c r="R51" s="6">
        <v>10500000</v>
      </c>
      <c r="S51" s="43">
        <f>VLOOKUP(Tabla1[[#This Row],[PAGO DIA]],DIAS!A:G,7,0)</f>
        <v>46210</v>
      </c>
      <c r="T51" s="6">
        <v>10500000</v>
      </c>
      <c r="U51" s="43">
        <f>VLOOKUP(Tabla1[[#This Row],[PAGO DIA]],DIAS!A:H,8,0)</f>
        <v>46238</v>
      </c>
      <c r="V51" s="6">
        <v>10500000</v>
      </c>
      <c r="W51" s="43">
        <f>VLOOKUP(Tabla1[[#This Row],[PAGO DIA]],DIAS!A:I,9,0)</f>
        <v>46266</v>
      </c>
      <c r="X51" s="6">
        <v>10500000</v>
      </c>
      <c r="Y51" s="43">
        <f>VLOOKUP(Tabla1[[#This Row],[PAGO DIA]],DIAS!A:J,10,0)</f>
        <v>46301</v>
      </c>
      <c r="Z51" s="6">
        <v>10500000</v>
      </c>
      <c r="AA51" s="43">
        <f>VLOOKUP(Tabla1[[#This Row],[PAGO DIA]],DIAS!A:K,11,0)</f>
        <v>46329</v>
      </c>
      <c r="AB51" s="6">
        <v>10500000</v>
      </c>
      <c r="AC51" s="43">
        <f>VLOOKUP(Tabla1[[#This Row],[PAGO DIA]],DIAS!A:M,12,0)</f>
        <v>46357</v>
      </c>
      <c r="AD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126000000</v>
      </c>
    </row>
    <row r="52" spans="1:30">
      <c r="A52" s="3">
        <v>11268</v>
      </c>
      <c r="B52" s="3" t="s">
        <v>548</v>
      </c>
      <c r="C52" s="3" t="s">
        <v>621</v>
      </c>
      <c r="D52" s="3" t="s">
        <v>624</v>
      </c>
      <c r="E52" s="3" t="s">
        <v>624</v>
      </c>
      <c r="F52" s="42" t="s">
        <v>542</v>
      </c>
      <c r="G52" s="3"/>
      <c r="H52" s="6">
        <v>20000000</v>
      </c>
      <c r="I52" s="41">
        <f>VLOOKUP(Tabla1[[#This Row],[PAGO DIA]],DIAS!A:B,2,0)</f>
        <v>46056</v>
      </c>
      <c r="J52" s="6">
        <v>20000000</v>
      </c>
      <c r="K52" s="43">
        <f>VLOOKUP(Tabla1[[#This Row],[PAGO DIA]],DIAS!A:C,3,0)</f>
        <v>46084</v>
      </c>
      <c r="L52" s="6">
        <v>20000000</v>
      </c>
      <c r="M52" s="41">
        <f>VLOOKUP(Tabla1[[#This Row],[PAGO DIA]],DIAS!A:D,4,0)</f>
        <v>46119</v>
      </c>
      <c r="N52" s="6">
        <v>20000000</v>
      </c>
      <c r="O52" s="43">
        <f>VLOOKUP(Tabla1[[#This Row],[PAGO DIA]],DIAS!A:E,5,0)</f>
        <v>46147</v>
      </c>
      <c r="P52" s="6">
        <v>20000000</v>
      </c>
      <c r="Q52" s="43">
        <f>VLOOKUP(Tabla1[[#This Row],[PAGO DIA]],DIAS!A:F,6,0)</f>
        <v>46175</v>
      </c>
      <c r="R52" s="6">
        <v>20000000</v>
      </c>
      <c r="S52" s="43">
        <f>VLOOKUP(Tabla1[[#This Row],[PAGO DIA]],DIAS!A:G,7,0)</f>
        <v>46210</v>
      </c>
      <c r="T52" s="6">
        <v>20000000</v>
      </c>
      <c r="U52" s="43">
        <f>VLOOKUP(Tabla1[[#This Row],[PAGO DIA]],DIAS!A:H,8,0)</f>
        <v>46238</v>
      </c>
      <c r="V52" s="6">
        <v>20000000</v>
      </c>
      <c r="W52" s="43">
        <f>VLOOKUP(Tabla1[[#This Row],[PAGO DIA]],DIAS!A:I,9,0)</f>
        <v>46266</v>
      </c>
      <c r="X52" s="6">
        <v>20000000</v>
      </c>
      <c r="Y52" s="43">
        <f>VLOOKUP(Tabla1[[#This Row],[PAGO DIA]],DIAS!A:J,10,0)</f>
        <v>46301</v>
      </c>
      <c r="Z52" s="6">
        <v>20000000</v>
      </c>
      <c r="AA52" s="43">
        <f>VLOOKUP(Tabla1[[#This Row],[PAGO DIA]],DIAS!A:K,11,0)</f>
        <v>46329</v>
      </c>
      <c r="AB52" s="6">
        <v>20000000</v>
      </c>
      <c r="AC52" s="43">
        <f>VLOOKUP(Tabla1[[#This Row],[PAGO DIA]],DIAS!A:M,12,0)</f>
        <v>46357</v>
      </c>
      <c r="AD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220000000</v>
      </c>
    </row>
    <row r="53" spans="1:30">
      <c r="A53" s="3">
        <v>11319</v>
      </c>
      <c r="B53" s="3" t="s">
        <v>548</v>
      </c>
      <c r="C53" s="3" t="s">
        <v>615</v>
      </c>
      <c r="D53" s="3" t="s">
        <v>625</v>
      </c>
      <c r="E53" s="3" t="s">
        <v>626</v>
      </c>
      <c r="F53" s="42" t="s">
        <v>542</v>
      </c>
      <c r="G53" s="3"/>
      <c r="H53" s="7">
        <v>8948772.2400000002</v>
      </c>
      <c r="I53" s="41">
        <f>VLOOKUP(Tabla1[[#This Row],[PAGO DIA]],DIAS!A:B,2,0)</f>
        <v>46056</v>
      </c>
      <c r="J53" s="6">
        <v>11600000</v>
      </c>
      <c r="K53" s="43">
        <f>VLOOKUP(Tabla1[[#This Row],[PAGO DIA]],DIAS!A:C,3,0)</f>
        <v>46084</v>
      </c>
      <c r="L53" s="6">
        <v>11600000</v>
      </c>
      <c r="M53" s="41">
        <f>VLOOKUP(Tabla1[[#This Row],[PAGO DIA]],DIAS!A:D,4,0)</f>
        <v>46119</v>
      </c>
      <c r="N53" s="6">
        <v>11600000</v>
      </c>
      <c r="O53" s="43">
        <f>VLOOKUP(Tabla1[[#This Row],[PAGO DIA]],DIAS!A:E,5,0)</f>
        <v>46147</v>
      </c>
      <c r="P53" s="6">
        <v>11600000</v>
      </c>
      <c r="Q53" s="43">
        <f>VLOOKUP(Tabla1[[#This Row],[PAGO DIA]],DIAS!A:F,6,0)</f>
        <v>46175</v>
      </c>
      <c r="R53" s="6">
        <v>11600000</v>
      </c>
      <c r="S53" s="43">
        <f>VLOOKUP(Tabla1[[#This Row],[PAGO DIA]],DIAS!A:G,7,0)</f>
        <v>46210</v>
      </c>
      <c r="T53" s="6">
        <v>11600000</v>
      </c>
      <c r="U53" s="43">
        <f>VLOOKUP(Tabla1[[#This Row],[PAGO DIA]],DIAS!A:H,8,0)</f>
        <v>46238</v>
      </c>
      <c r="V53" s="6">
        <v>11600000</v>
      </c>
      <c r="W53" s="43">
        <f>VLOOKUP(Tabla1[[#This Row],[PAGO DIA]],DIAS!A:I,9,0)</f>
        <v>46266</v>
      </c>
      <c r="X53" s="6">
        <v>11600000</v>
      </c>
      <c r="Y53" s="43">
        <f>VLOOKUP(Tabla1[[#This Row],[PAGO DIA]],DIAS!A:J,10,0)</f>
        <v>46301</v>
      </c>
      <c r="Z53" s="6">
        <v>11600000</v>
      </c>
      <c r="AA53" s="43">
        <f>VLOOKUP(Tabla1[[#This Row],[PAGO DIA]],DIAS!A:K,11,0)</f>
        <v>46329</v>
      </c>
      <c r="AB53" s="6">
        <v>11600000</v>
      </c>
      <c r="AC53" s="43">
        <f>VLOOKUP(Tabla1[[#This Row],[PAGO DIA]],DIAS!A:M,12,0)</f>
        <v>46357</v>
      </c>
      <c r="AD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124948772.23999999</v>
      </c>
    </row>
    <row r="54" spans="1:30">
      <c r="A54" s="3">
        <v>11980</v>
      </c>
      <c r="B54" s="3" t="s">
        <v>548</v>
      </c>
      <c r="C54" s="3" t="s">
        <v>621</v>
      </c>
      <c r="D54" s="3" t="s">
        <v>627</v>
      </c>
      <c r="E54" s="3" t="s">
        <v>627</v>
      </c>
      <c r="F54" s="42" t="s">
        <v>542</v>
      </c>
      <c r="G54" s="3"/>
      <c r="H54" s="6">
        <v>4400000</v>
      </c>
      <c r="I54" s="41">
        <f>VLOOKUP(Tabla1[[#This Row],[PAGO DIA]],DIAS!A:B,2,0)</f>
        <v>46056</v>
      </c>
      <c r="J54" s="6">
        <v>0</v>
      </c>
      <c r="K54" s="43">
        <f>VLOOKUP(Tabla1[[#This Row],[PAGO DIA]],DIAS!A:C,3,0)</f>
        <v>46084</v>
      </c>
      <c r="L54" s="6">
        <v>0</v>
      </c>
      <c r="M54" s="41">
        <f>VLOOKUP(Tabla1[[#This Row],[PAGO DIA]],DIAS!A:D,4,0)</f>
        <v>46119</v>
      </c>
      <c r="N54" s="6">
        <v>0</v>
      </c>
      <c r="O54" s="43">
        <f>VLOOKUP(Tabla1[[#This Row],[PAGO DIA]],DIAS!A:E,5,0)</f>
        <v>46147</v>
      </c>
      <c r="P54" s="6">
        <v>0</v>
      </c>
      <c r="Q54" s="43">
        <f>VLOOKUP(Tabla1[[#This Row],[PAGO DIA]],DIAS!A:F,6,0)</f>
        <v>46175</v>
      </c>
      <c r="R54" s="6">
        <v>0</v>
      </c>
      <c r="S54" s="43">
        <f>VLOOKUP(Tabla1[[#This Row],[PAGO DIA]],DIAS!A:G,7,0)</f>
        <v>46210</v>
      </c>
      <c r="T54" s="6">
        <v>0</v>
      </c>
      <c r="U54" s="43">
        <f>VLOOKUP(Tabla1[[#This Row],[PAGO DIA]],DIAS!A:H,8,0)</f>
        <v>46238</v>
      </c>
      <c r="V54" s="6">
        <v>0</v>
      </c>
      <c r="W54" s="43">
        <f>VLOOKUP(Tabla1[[#This Row],[PAGO DIA]],DIAS!A:I,9,0)</f>
        <v>46266</v>
      </c>
      <c r="X54" s="6">
        <v>0</v>
      </c>
      <c r="Y54" s="43">
        <f>VLOOKUP(Tabla1[[#This Row],[PAGO DIA]],DIAS!A:J,10,0)</f>
        <v>46301</v>
      </c>
      <c r="Z54" s="6">
        <v>0</v>
      </c>
      <c r="AA54" s="43">
        <f>VLOOKUP(Tabla1[[#This Row],[PAGO DIA]],DIAS!A:K,11,0)</f>
        <v>46329</v>
      </c>
      <c r="AB54" s="6">
        <v>0</v>
      </c>
      <c r="AC54" s="43">
        <f>VLOOKUP(Tabla1[[#This Row],[PAGO DIA]],DIAS!A:M,12,0)</f>
        <v>46357</v>
      </c>
      <c r="AD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4400000</v>
      </c>
    </row>
    <row r="55" spans="1:30">
      <c r="A55" s="3">
        <v>11138</v>
      </c>
      <c r="B55" s="3" t="s">
        <v>628</v>
      </c>
      <c r="C55" s="3" t="s">
        <v>629</v>
      </c>
      <c r="D55" s="3" t="s">
        <v>629</v>
      </c>
      <c r="E55" s="3" t="s">
        <v>630</v>
      </c>
      <c r="F55" s="42" t="s">
        <v>631</v>
      </c>
      <c r="G55" s="3"/>
      <c r="H55" s="7">
        <v>400000000</v>
      </c>
      <c r="I55" s="41">
        <f>VLOOKUP(Tabla1[[#This Row],[PAGO DIA]],DIAS!A:B,2,0)</f>
        <v>46080</v>
      </c>
      <c r="J55" s="6">
        <v>400000000</v>
      </c>
      <c r="K55" s="43">
        <f>VLOOKUP(Tabla1[[#This Row],[PAGO DIA]],DIAS!A:C,3,0)</f>
        <v>46112</v>
      </c>
      <c r="L55" s="6">
        <v>400000000</v>
      </c>
      <c r="M55" s="41">
        <f>VLOOKUP(Tabla1[[#This Row],[PAGO DIA]],DIAS!A:D,4,0)</f>
        <v>46142</v>
      </c>
      <c r="N55" s="6">
        <v>400000000</v>
      </c>
      <c r="O55" s="43">
        <f>VLOOKUP(Tabla1[[#This Row],[PAGO DIA]],DIAS!A:E,5,0)</f>
        <v>46171</v>
      </c>
      <c r="P55" s="6">
        <v>400000000</v>
      </c>
      <c r="Q55" s="43">
        <f>VLOOKUP(Tabla1[[#This Row],[PAGO DIA]],DIAS!A:F,6,0)</f>
        <v>46203</v>
      </c>
      <c r="R55" s="6">
        <v>400000000</v>
      </c>
      <c r="S55" s="43">
        <f>VLOOKUP(Tabla1[[#This Row],[PAGO DIA]],DIAS!A:G,7,0)</f>
        <v>46234</v>
      </c>
      <c r="T55" s="6">
        <v>400000000</v>
      </c>
      <c r="U55" s="43">
        <f>VLOOKUP(Tabla1[[#This Row],[PAGO DIA]],DIAS!A:H,8,0)</f>
        <v>46265</v>
      </c>
      <c r="V55" s="6">
        <v>400000000</v>
      </c>
      <c r="W55" s="43">
        <f>VLOOKUP(Tabla1[[#This Row],[PAGO DIA]],DIAS!A:I,9,0)</f>
        <v>46295</v>
      </c>
      <c r="X55" s="6">
        <v>400000000</v>
      </c>
      <c r="Y55" s="43">
        <f>VLOOKUP(Tabla1[[#This Row],[PAGO DIA]],DIAS!A:J,10,0)</f>
        <v>46325</v>
      </c>
      <c r="Z55" s="6">
        <v>400000000</v>
      </c>
      <c r="AA55" s="43">
        <f>VLOOKUP(Tabla1[[#This Row],[PAGO DIA]],DIAS!A:K,11,0)</f>
        <v>46356</v>
      </c>
      <c r="AB55" s="6">
        <v>400000000</v>
      </c>
      <c r="AC55" s="43">
        <f>VLOOKUP(Tabla1[[#This Row],[PAGO DIA]],DIAS!A:M,12,0)</f>
        <v>46386</v>
      </c>
      <c r="AD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4400000000</v>
      </c>
    </row>
    <row r="56" spans="1:30">
      <c r="A56" s="3">
        <v>11089</v>
      </c>
      <c r="B56" s="3" t="s">
        <v>548</v>
      </c>
      <c r="C56" s="3"/>
      <c r="D56" s="3" t="s">
        <v>632</v>
      </c>
      <c r="E56" s="3" t="s">
        <v>633</v>
      </c>
      <c r="F56" s="42" t="s">
        <v>551</v>
      </c>
      <c r="G56" s="3"/>
      <c r="H56" s="6">
        <v>273044</v>
      </c>
      <c r="I56" s="41">
        <f>VLOOKUP(Tabla1[[#This Row],[PAGO DIA]],DIAS!A:B,2,0)</f>
        <v>46063</v>
      </c>
      <c r="J56" s="6">
        <v>0</v>
      </c>
      <c r="K56" s="43">
        <f>VLOOKUP(Tabla1[[#This Row],[PAGO DIA]],DIAS!A:C,3,0)</f>
        <v>46091</v>
      </c>
      <c r="L56" s="6">
        <v>0</v>
      </c>
      <c r="M56" s="41">
        <f>VLOOKUP(Tabla1[[#This Row],[PAGO DIA]],DIAS!A:D,4,0)</f>
        <v>46126</v>
      </c>
      <c r="N56" s="6">
        <v>0</v>
      </c>
      <c r="O56" s="43">
        <f>VLOOKUP(Tabla1[[#This Row],[PAGO DIA]],DIAS!A:E,5,0)</f>
        <v>46154</v>
      </c>
      <c r="P56" s="6">
        <v>0</v>
      </c>
      <c r="Q56" s="43">
        <f>VLOOKUP(Tabla1[[#This Row],[PAGO DIA]],DIAS!A:F,6,0)</f>
        <v>46182</v>
      </c>
      <c r="R56" s="6">
        <v>0</v>
      </c>
      <c r="S56" s="43">
        <f>VLOOKUP(Tabla1[[#This Row],[PAGO DIA]],DIAS!A:G,7,0)</f>
        <v>46217</v>
      </c>
      <c r="T56" s="6">
        <v>0</v>
      </c>
      <c r="U56" s="43">
        <f>VLOOKUP(Tabla1[[#This Row],[PAGO DIA]],DIAS!A:H,8,0)</f>
        <v>46245</v>
      </c>
      <c r="V56" s="6">
        <v>0</v>
      </c>
      <c r="W56" s="43">
        <f>VLOOKUP(Tabla1[[#This Row],[PAGO DIA]],DIAS!A:I,9,0)</f>
        <v>46273</v>
      </c>
      <c r="X56" s="6">
        <v>0</v>
      </c>
      <c r="Y56" s="43">
        <f>VLOOKUP(Tabla1[[#This Row],[PAGO DIA]],DIAS!A:J,10,0)</f>
        <v>46308</v>
      </c>
      <c r="Z56" s="6">
        <v>0</v>
      </c>
      <c r="AA56" s="43">
        <f>VLOOKUP(Tabla1[[#This Row],[PAGO DIA]],DIAS!A:K,11,0)</f>
        <v>46336</v>
      </c>
      <c r="AB56" s="6">
        <v>0</v>
      </c>
      <c r="AC56" s="43">
        <f>VLOOKUP(Tabla1[[#This Row],[PAGO DIA]],DIAS!A:M,12,0)</f>
        <v>46365</v>
      </c>
      <c r="AD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273044</v>
      </c>
    </row>
    <row r="57" spans="1:30">
      <c r="A57" s="3">
        <v>12092</v>
      </c>
      <c r="B57" s="3" t="s">
        <v>628</v>
      </c>
      <c r="C57" s="3" t="s">
        <v>629</v>
      </c>
      <c r="D57" s="3" t="s">
        <v>629</v>
      </c>
      <c r="E57" s="3" t="s">
        <v>634</v>
      </c>
      <c r="F57" s="42" t="s">
        <v>631</v>
      </c>
      <c r="G57" s="3" t="s">
        <v>635</v>
      </c>
      <c r="H57" s="6">
        <v>0</v>
      </c>
      <c r="I57" s="41">
        <f>VLOOKUP(Tabla1[[#This Row],[PAGO DIA]],DIAS!A:B,2,0)</f>
        <v>46080</v>
      </c>
      <c r="J57" s="6">
        <v>0</v>
      </c>
      <c r="K57" s="43">
        <f>VLOOKUP(Tabla1[[#This Row],[PAGO DIA]],DIAS!A:C,3,0)</f>
        <v>46112</v>
      </c>
      <c r="L57" s="6">
        <v>0</v>
      </c>
      <c r="M57" s="41">
        <f>VLOOKUP(Tabla1[[#This Row],[PAGO DIA]],DIAS!A:D,4,0)</f>
        <v>46142</v>
      </c>
      <c r="N57" s="6">
        <v>0</v>
      </c>
      <c r="O57" s="43">
        <f>VLOOKUP(Tabla1[[#This Row],[PAGO DIA]],DIAS!A:E,5,0)</f>
        <v>46171</v>
      </c>
      <c r="P57" s="6">
        <v>0</v>
      </c>
      <c r="Q57" s="43">
        <f>VLOOKUP(Tabla1[[#This Row],[PAGO DIA]],DIAS!A:F,6,0)</f>
        <v>46203</v>
      </c>
      <c r="R57" s="6">
        <v>0</v>
      </c>
      <c r="S57" s="43">
        <f>VLOOKUP(Tabla1[[#This Row],[PAGO DIA]],DIAS!A:G,7,0)</f>
        <v>46234</v>
      </c>
      <c r="T57" s="6">
        <v>0</v>
      </c>
      <c r="U57" s="43">
        <f>VLOOKUP(Tabla1[[#This Row],[PAGO DIA]],DIAS!A:H,8,0)</f>
        <v>46265</v>
      </c>
      <c r="V57" s="6">
        <v>0</v>
      </c>
      <c r="W57" s="43">
        <f>VLOOKUP(Tabla1[[#This Row],[PAGO DIA]],DIAS!A:I,9,0)</f>
        <v>46295</v>
      </c>
      <c r="X57" s="6">
        <v>0</v>
      </c>
      <c r="Y57" s="43">
        <f>VLOOKUP(Tabla1[[#This Row],[PAGO DIA]],DIAS!A:J,10,0)</f>
        <v>46325</v>
      </c>
      <c r="Z57" s="6">
        <v>0</v>
      </c>
      <c r="AA57" s="43">
        <f>VLOOKUP(Tabla1[[#This Row],[PAGO DIA]],DIAS!A:K,11,0)</f>
        <v>46356</v>
      </c>
      <c r="AB57" s="6">
        <v>0</v>
      </c>
      <c r="AC57" s="43">
        <f>VLOOKUP(Tabla1[[#This Row],[PAGO DIA]],DIAS!A:M,12,0)</f>
        <v>46386</v>
      </c>
      <c r="AD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" spans="1:30">
      <c r="A58" s="3">
        <v>12060</v>
      </c>
      <c r="B58" s="3" t="s">
        <v>628</v>
      </c>
      <c r="C58" s="3" t="s">
        <v>629</v>
      </c>
      <c r="D58" s="3" t="s">
        <v>629</v>
      </c>
      <c r="E58" s="3" t="s">
        <v>636</v>
      </c>
      <c r="F58" s="42" t="s">
        <v>631</v>
      </c>
      <c r="G58" s="3" t="s">
        <v>635</v>
      </c>
      <c r="H58" s="6">
        <v>0</v>
      </c>
      <c r="I58" s="41">
        <f>VLOOKUP(Tabla1[[#This Row],[PAGO DIA]],DIAS!A:B,2,0)</f>
        <v>46080</v>
      </c>
      <c r="J58" s="6">
        <v>0</v>
      </c>
      <c r="K58" s="43">
        <f>VLOOKUP(Tabla1[[#This Row],[PAGO DIA]],DIAS!A:C,3,0)</f>
        <v>46112</v>
      </c>
      <c r="L58" s="6">
        <v>0</v>
      </c>
      <c r="M58" s="41">
        <f>VLOOKUP(Tabla1[[#This Row],[PAGO DIA]],DIAS!A:D,4,0)</f>
        <v>46142</v>
      </c>
      <c r="N58" s="6">
        <v>0</v>
      </c>
      <c r="O58" s="43">
        <f>VLOOKUP(Tabla1[[#This Row],[PAGO DIA]],DIAS!A:E,5,0)</f>
        <v>46171</v>
      </c>
      <c r="P58" s="6">
        <v>0</v>
      </c>
      <c r="Q58" s="43">
        <f>VLOOKUP(Tabla1[[#This Row],[PAGO DIA]],DIAS!A:F,6,0)</f>
        <v>46203</v>
      </c>
      <c r="R58" s="6">
        <v>0</v>
      </c>
      <c r="S58" s="43">
        <f>VLOOKUP(Tabla1[[#This Row],[PAGO DIA]],DIAS!A:G,7,0)</f>
        <v>46234</v>
      </c>
      <c r="T58" s="6">
        <v>0</v>
      </c>
      <c r="U58" s="43">
        <f>VLOOKUP(Tabla1[[#This Row],[PAGO DIA]],DIAS!A:H,8,0)</f>
        <v>46265</v>
      </c>
      <c r="V58" s="6">
        <v>0</v>
      </c>
      <c r="W58" s="43">
        <f>VLOOKUP(Tabla1[[#This Row],[PAGO DIA]],DIAS!A:I,9,0)</f>
        <v>46295</v>
      </c>
      <c r="X58" s="6">
        <v>0</v>
      </c>
      <c r="Y58" s="43">
        <f>VLOOKUP(Tabla1[[#This Row],[PAGO DIA]],DIAS!A:J,10,0)</f>
        <v>46325</v>
      </c>
      <c r="Z58" s="6">
        <v>0</v>
      </c>
      <c r="AA58" s="43">
        <f>VLOOKUP(Tabla1[[#This Row],[PAGO DIA]],DIAS!A:K,11,0)</f>
        <v>46356</v>
      </c>
      <c r="AB58" s="6">
        <v>0</v>
      </c>
      <c r="AC58" s="43">
        <f>VLOOKUP(Tabla1[[#This Row],[PAGO DIA]],DIAS!A:M,12,0)</f>
        <v>46386</v>
      </c>
      <c r="AD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" spans="1:30">
      <c r="A59" s="3">
        <v>12096</v>
      </c>
      <c r="B59" s="3" t="s">
        <v>628</v>
      </c>
      <c r="C59" s="3" t="s">
        <v>629</v>
      </c>
      <c r="D59" s="3" t="s">
        <v>629</v>
      </c>
      <c r="E59" s="3" t="s">
        <v>637</v>
      </c>
      <c r="F59" s="42" t="s">
        <v>631</v>
      </c>
      <c r="G59" s="3" t="s">
        <v>635</v>
      </c>
      <c r="H59" s="6">
        <v>0</v>
      </c>
      <c r="I59" s="41">
        <f>VLOOKUP(Tabla1[[#This Row],[PAGO DIA]],DIAS!A:B,2,0)</f>
        <v>46080</v>
      </c>
      <c r="J59" s="6">
        <v>0</v>
      </c>
      <c r="K59" s="43">
        <f>VLOOKUP(Tabla1[[#This Row],[PAGO DIA]],DIAS!A:C,3,0)</f>
        <v>46112</v>
      </c>
      <c r="L59" s="6">
        <v>0</v>
      </c>
      <c r="M59" s="41">
        <f>VLOOKUP(Tabla1[[#This Row],[PAGO DIA]],DIAS!A:D,4,0)</f>
        <v>46142</v>
      </c>
      <c r="N59" s="6">
        <v>0</v>
      </c>
      <c r="O59" s="43">
        <f>VLOOKUP(Tabla1[[#This Row],[PAGO DIA]],DIAS!A:E,5,0)</f>
        <v>46171</v>
      </c>
      <c r="P59" s="6">
        <v>0</v>
      </c>
      <c r="Q59" s="43">
        <f>VLOOKUP(Tabla1[[#This Row],[PAGO DIA]],DIAS!A:F,6,0)</f>
        <v>46203</v>
      </c>
      <c r="R59" s="6">
        <v>0</v>
      </c>
      <c r="S59" s="43">
        <f>VLOOKUP(Tabla1[[#This Row],[PAGO DIA]],DIAS!A:G,7,0)</f>
        <v>46234</v>
      </c>
      <c r="T59" s="6">
        <v>0</v>
      </c>
      <c r="U59" s="43">
        <f>VLOOKUP(Tabla1[[#This Row],[PAGO DIA]],DIAS!A:H,8,0)</f>
        <v>46265</v>
      </c>
      <c r="V59" s="6">
        <v>0</v>
      </c>
      <c r="W59" s="43">
        <f>VLOOKUP(Tabla1[[#This Row],[PAGO DIA]],DIAS!A:I,9,0)</f>
        <v>46295</v>
      </c>
      <c r="X59" s="6">
        <v>0</v>
      </c>
      <c r="Y59" s="43">
        <f>VLOOKUP(Tabla1[[#This Row],[PAGO DIA]],DIAS!A:J,10,0)</f>
        <v>46325</v>
      </c>
      <c r="Z59" s="6">
        <v>0</v>
      </c>
      <c r="AA59" s="43">
        <f>VLOOKUP(Tabla1[[#This Row],[PAGO DIA]],DIAS!A:K,11,0)</f>
        <v>46356</v>
      </c>
      <c r="AB59" s="6">
        <v>0</v>
      </c>
      <c r="AC59" s="43">
        <f>VLOOKUP(Tabla1[[#This Row],[PAGO DIA]],DIAS!A:M,12,0)</f>
        <v>46386</v>
      </c>
      <c r="AD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" spans="1:30">
      <c r="A60" s="3">
        <v>12110</v>
      </c>
      <c r="B60" s="3" t="s">
        <v>628</v>
      </c>
      <c r="C60" s="3" t="s">
        <v>629</v>
      </c>
      <c r="D60" s="3" t="s">
        <v>629</v>
      </c>
      <c r="E60" s="3" t="s">
        <v>638</v>
      </c>
      <c r="F60" s="42" t="s">
        <v>631</v>
      </c>
      <c r="G60" s="3" t="s">
        <v>639</v>
      </c>
      <c r="H60" s="6">
        <v>0</v>
      </c>
      <c r="I60" s="41">
        <f>VLOOKUP(Tabla1[[#This Row],[PAGO DIA]],DIAS!A:B,2,0)</f>
        <v>46080</v>
      </c>
      <c r="J60" s="6">
        <v>0</v>
      </c>
      <c r="K60" s="43">
        <f>VLOOKUP(Tabla1[[#This Row],[PAGO DIA]],DIAS!A:C,3,0)</f>
        <v>46112</v>
      </c>
      <c r="L60" s="6">
        <v>0</v>
      </c>
      <c r="M60" s="41">
        <f>VLOOKUP(Tabla1[[#This Row],[PAGO DIA]],DIAS!A:D,4,0)</f>
        <v>46142</v>
      </c>
      <c r="N60" s="6">
        <v>0</v>
      </c>
      <c r="O60" s="43">
        <f>VLOOKUP(Tabla1[[#This Row],[PAGO DIA]],DIAS!A:E,5,0)</f>
        <v>46171</v>
      </c>
      <c r="P60" s="6">
        <v>0</v>
      </c>
      <c r="Q60" s="43">
        <f>VLOOKUP(Tabla1[[#This Row],[PAGO DIA]],DIAS!A:F,6,0)</f>
        <v>46203</v>
      </c>
      <c r="R60" s="6">
        <v>0</v>
      </c>
      <c r="S60" s="43">
        <f>VLOOKUP(Tabla1[[#This Row],[PAGO DIA]],DIAS!A:G,7,0)</f>
        <v>46234</v>
      </c>
      <c r="T60" s="6">
        <v>0</v>
      </c>
      <c r="U60" s="43">
        <f>VLOOKUP(Tabla1[[#This Row],[PAGO DIA]],DIAS!A:H,8,0)</f>
        <v>46265</v>
      </c>
      <c r="V60" s="6">
        <v>0</v>
      </c>
      <c r="W60" s="43">
        <f>VLOOKUP(Tabla1[[#This Row],[PAGO DIA]],DIAS!A:I,9,0)</f>
        <v>46295</v>
      </c>
      <c r="X60" s="6">
        <v>0</v>
      </c>
      <c r="Y60" s="43">
        <f>VLOOKUP(Tabla1[[#This Row],[PAGO DIA]],DIAS!A:J,10,0)</f>
        <v>46325</v>
      </c>
      <c r="Z60" s="6">
        <v>0</v>
      </c>
      <c r="AA60" s="43">
        <f>VLOOKUP(Tabla1[[#This Row],[PAGO DIA]],DIAS!A:K,11,0)</f>
        <v>46356</v>
      </c>
      <c r="AB60" s="6">
        <v>0</v>
      </c>
      <c r="AC60" s="43">
        <f>VLOOKUP(Tabla1[[#This Row],[PAGO DIA]],DIAS!A:M,12,0)</f>
        <v>46386</v>
      </c>
      <c r="AD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" spans="1:30">
      <c r="A61" s="3">
        <v>11999</v>
      </c>
      <c r="B61" s="3" t="s">
        <v>628</v>
      </c>
      <c r="C61" s="3" t="s">
        <v>540</v>
      </c>
      <c r="D61" s="3" t="s">
        <v>540</v>
      </c>
      <c r="E61" s="3" t="s">
        <v>640</v>
      </c>
      <c r="F61" s="42" t="s">
        <v>631</v>
      </c>
      <c r="G61" s="3" t="s">
        <v>641</v>
      </c>
      <c r="H61" s="6">
        <v>0</v>
      </c>
      <c r="I61" s="41">
        <f>VLOOKUP(Tabla1[[#This Row],[PAGO DIA]],DIAS!A:B,2,0)</f>
        <v>46080</v>
      </c>
      <c r="J61" s="6">
        <v>0</v>
      </c>
      <c r="K61" s="43">
        <f>VLOOKUP(Tabla1[[#This Row],[PAGO DIA]],DIAS!A:C,3,0)</f>
        <v>46112</v>
      </c>
      <c r="L61" s="6">
        <v>0</v>
      </c>
      <c r="M61" s="41">
        <f>VLOOKUP(Tabla1[[#This Row],[PAGO DIA]],DIAS!A:D,4,0)</f>
        <v>46142</v>
      </c>
      <c r="N61" s="6">
        <v>0</v>
      </c>
      <c r="O61" s="43">
        <f>VLOOKUP(Tabla1[[#This Row],[PAGO DIA]],DIAS!A:E,5,0)</f>
        <v>46171</v>
      </c>
      <c r="P61" s="6">
        <v>0</v>
      </c>
      <c r="Q61" s="43">
        <f>VLOOKUP(Tabla1[[#This Row],[PAGO DIA]],DIAS!A:F,6,0)</f>
        <v>46203</v>
      </c>
      <c r="R61" s="6">
        <v>0</v>
      </c>
      <c r="S61" s="43">
        <f>VLOOKUP(Tabla1[[#This Row],[PAGO DIA]],DIAS!A:G,7,0)</f>
        <v>46234</v>
      </c>
      <c r="T61" s="6">
        <v>0</v>
      </c>
      <c r="U61" s="43">
        <f>VLOOKUP(Tabla1[[#This Row],[PAGO DIA]],DIAS!A:H,8,0)</f>
        <v>46265</v>
      </c>
      <c r="V61" s="6">
        <v>0</v>
      </c>
      <c r="W61" s="43">
        <f>VLOOKUP(Tabla1[[#This Row],[PAGO DIA]],DIAS!A:I,9,0)</f>
        <v>46295</v>
      </c>
      <c r="X61" s="6">
        <v>0</v>
      </c>
      <c r="Y61" s="43">
        <f>VLOOKUP(Tabla1[[#This Row],[PAGO DIA]],DIAS!A:J,10,0)</f>
        <v>46325</v>
      </c>
      <c r="Z61" s="6">
        <v>0</v>
      </c>
      <c r="AA61" s="43">
        <f>VLOOKUP(Tabla1[[#This Row],[PAGO DIA]],DIAS!A:K,11,0)</f>
        <v>46356</v>
      </c>
      <c r="AB61" s="6">
        <v>0</v>
      </c>
      <c r="AC61" s="43">
        <f>VLOOKUP(Tabla1[[#This Row],[PAGO DIA]],DIAS!A:M,12,0)</f>
        <v>46386</v>
      </c>
      <c r="AD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" spans="1:30">
      <c r="A62" s="3">
        <v>12038</v>
      </c>
      <c r="B62" s="3" t="s">
        <v>628</v>
      </c>
      <c r="C62" s="3" t="s">
        <v>629</v>
      </c>
      <c r="D62" s="3" t="s">
        <v>629</v>
      </c>
      <c r="E62" s="3" t="s">
        <v>642</v>
      </c>
      <c r="F62" s="42" t="s">
        <v>631</v>
      </c>
      <c r="G62" s="3" t="s">
        <v>635</v>
      </c>
      <c r="H62" s="6">
        <v>0</v>
      </c>
      <c r="I62" s="41">
        <f>VLOOKUP(Tabla1[[#This Row],[PAGO DIA]],DIAS!A:B,2,0)</f>
        <v>46080</v>
      </c>
      <c r="J62" s="6">
        <v>0</v>
      </c>
      <c r="K62" s="43">
        <f>VLOOKUP(Tabla1[[#This Row],[PAGO DIA]],DIAS!A:C,3,0)</f>
        <v>46112</v>
      </c>
      <c r="L62" s="6">
        <v>0</v>
      </c>
      <c r="M62" s="41">
        <f>VLOOKUP(Tabla1[[#This Row],[PAGO DIA]],DIAS!A:D,4,0)</f>
        <v>46142</v>
      </c>
      <c r="N62" s="6">
        <v>0</v>
      </c>
      <c r="O62" s="43">
        <f>VLOOKUP(Tabla1[[#This Row],[PAGO DIA]],DIAS!A:E,5,0)</f>
        <v>46171</v>
      </c>
      <c r="P62" s="6">
        <v>0</v>
      </c>
      <c r="Q62" s="43">
        <f>VLOOKUP(Tabla1[[#This Row],[PAGO DIA]],DIAS!A:F,6,0)</f>
        <v>46203</v>
      </c>
      <c r="R62" s="6">
        <v>0</v>
      </c>
      <c r="S62" s="43">
        <f>VLOOKUP(Tabla1[[#This Row],[PAGO DIA]],DIAS!A:G,7,0)</f>
        <v>46234</v>
      </c>
      <c r="T62" s="6">
        <v>0</v>
      </c>
      <c r="U62" s="43">
        <f>VLOOKUP(Tabla1[[#This Row],[PAGO DIA]],DIAS!A:H,8,0)</f>
        <v>46265</v>
      </c>
      <c r="V62" s="6">
        <v>0</v>
      </c>
      <c r="W62" s="43">
        <f>VLOOKUP(Tabla1[[#This Row],[PAGO DIA]],DIAS!A:I,9,0)</f>
        <v>46295</v>
      </c>
      <c r="X62" s="6">
        <v>0</v>
      </c>
      <c r="Y62" s="43">
        <f>VLOOKUP(Tabla1[[#This Row],[PAGO DIA]],DIAS!A:J,10,0)</f>
        <v>46325</v>
      </c>
      <c r="Z62" s="6">
        <v>0</v>
      </c>
      <c r="AA62" s="43">
        <f>VLOOKUP(Tabla1[[#This Row],[PAGO DIA]],DIAS!A:K,11,0)</f>
        <v>46356</v>
      </c>
      <c r="AB62" s="6">
        <v>0</v>
      </c>
      <c r="AC62" s="43">
        <f>VLOOKUP(Tabla1[[#This Row],[PAGO DIA]],DIAS!A:M,12,0)</f>
        <v>46386</v>
      </c>
      <c r="AD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" spans="1:30">
      <c r="A63" s="3">
        <v>12543</v>
      </c>
      <c r="B63" s="3" t="s">
        <v>628</v>
      </c>
      <c r="C63" s="3" t="s">
        <v>629</v>
      </c>
      <c r="D63" s="3" t="s">
        <v>540</v>
      </c>
      <c r="E63" s="3" t="s">
        <v>643</v>
      </c>
      <c r="F63" s="42" t="s">
        <v>631</v>
      </c>
      <c r="G63" s="3" t="s">
        <v>644</v>
      </c>
      <c r="H63" s="6">
        <v>0</v>
      </c>
      <c r="I63" s="41">
        <f>VLOOKUP(Tabla1[[#This Row],[PAGO DIA]],DIAS!A:B,2,0)</f>
        <v>46080</v>
      </c>
      <c r="J63" s="6">
        <v>0</v>
      </c>
      <c r="K63" s="43">
        <f>VLOOKUP(Tabla1[[#This Row],[PAGO DIA]],DIAS!A:C,3,0)</f>
        <v>46112</v>
      </c>
      <c r="L63" s="6">
        <v>0</v>
      </c>
      <c r="M63" s="41">
        <f>VLOOKUP(Tabla1[[#This Row],[PAGO DIA]],DIAS!A:D,4,0)</f>
        <v>46142</v>
      </c>
      <c r="N63" s="6">
        <v>0</v>
      </c>
      <c r="O63" s="43">
        <f>VLOOKUP(Tabla1[[#This Row],[PAGO DIA]],DIAS!A:E,5,0)</f>
        <v>46171</v>
      </c>
      <c r="P63" s="6">
        <v>0</v>
      </c>
      <c r="Q63" s="43">
        <f>VLOOKUP(Tabla1[[#This Row],[PAGO DIA]],DIAS!A:F,6,0)</f>
        <v>46203</v>
      </c>
      <c r="R63" s="6">
        <v>0</v>
      </c>
      <c r="S63" s="43">
        <f>VLOOKUP(Tabla1[[#This Row],[PAGO DIA]],DIAS!A:G,7,0)</f>
        <v>46234</v>
      </c>
      <c r="T63" s="6">
        <v>0</v>
      </c>
      <c r="U63" s="43">
        <f>VLOOKUP(Tabla1[[#This Row],[PAGO DIA]],DIAS!A:H,8,0)</f>
        <v>46265</v>
      </c>
      <c r="V63" s="6">
        <v>0</v>
      </c>
      <c r="W63" s="43">
        <f>VLOOKUP(Tabla1[[#This Row],[PAGO DIA]],DIAS!A:I,9,0)</f>
        <v>46295</v>
      </c>
      <c r="X63" s="6">
        <v>0</v>
      </c>
      <c r="Y63" s="43">
        <f>VLOOKUP(Tabla1[[#This Row],[PAGO DIA]],DIAS!A:J,10,0)</f>
        <v>46325</v>
      </c>
      <c r="Z63" s="6">
        <v>0</v>
      </c>
      <c r="AA63" s="43">
        <f>VLOOKUP(Tabla1[[#This Row],[PAGO DIA]],DIAS!A:K,11,0)</f>
        <v>46356</v>
      </c>
      <c r="AB63" s="6">
        <v>0</v>
      </c>
      <c r="AC63" s="43">
        <f>VLOOKUP(Tabla1[[#This Row],[PAGO DIA]],DIAS!A:M,12,0)</f>
        <v>46386</v>
      </c>
      <c r="AD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" spans="1:30">
      <c r="A64" s="3">
        <v>11118</v>
      </c>
      <c r="B64" s="3" t="s">
        <v>548</v>
      </c>
      <c r="C64" s="3" t="s">
        <v>645</v>
      </c>
      <c r="D64" s="3" t="s">
        <v>645</v>
      </c>
      <c r="E64" s="3" t="s">
        <v>645</v>
      </c>
      <c r="F64" s="42" t="s">
        <v>551</v>
      </c>
      <c r="G64" s="3"/>
      <c r="H64" s="6">
        <v>150000000</v>
      </c>
      <c r="I64" s="41">
        <f>VLOOKUP(Tabla1[[#This Row],[PAGO DIA]],DIAS!A:B,2,0)</f>
        <v>46063</v>
      </c>
      <c r="J64" s="6">
        <v>150000000</v>
      </c>
      <c r="K64" s="43">
        <f>VLOOKUP(Tabla1[[#This Row],[PAGO DIA]],DIAS!A:C,3,0)</f>
        <v>46091</v>
      </c>
      <c r="L64" s="6">
        <v>150000000</v>
      </c>
      <c r="M64" s="41">
        <f>VLOOKUP(Tabla1[[#This Row],[PAGO DIA]],DIAS!A:D,4,0)</f>
        <v>46126</v>
      </c>
      <c r="N64" s="6">
        <v>150000000</v>
      </c>
      <c r="O64" s="43">
        <f>VLOOKUP(Tabla1[[#This Row],[PAGO DIA]],DIAS!A:E,5,0)</f>
        <v>46154</v>
      </c>
      <c r="P64" s="6">
        <v>150000000</v>
      </c>
      <c r="Q64" s="43">
        <f>VLOOKUP(Tabla1[[#This Row],[PAGO DIA]],DIAS!A:F,6,0)</f>
        <v>46182</v>
      </c>
      <c r="R64" s="6">
        <v>150000000</v>
      </c>
      <c r="S64" s="43">
        <f>VLOOKUP(Tabla1[[#This Row],[PAGO DIA]],DIAS!A:G,7,0)</f>
        <v>46217</v>
      </c>
      <c r="T64" s="6">
        <v>150000000</v>
      </c>
      <c r="U64" s="43">
        <f>VLOOKUP(Tabla1[[#This Row],[PAGO DIA]],DIAS!A:H,8,0)</f>
        <v>46245</v>
      </c>
      <c r="V64" s="6">
        <v>150000000</v>
      </c>
      <c r="W64" s="43">
        <f>VLOOKUP(Tabla1[[#This Row],[PAGO DIA]],DIAS!A:I,9,0)</f>
        <v>46273</v>
      </c>
      <c r="X64" s="6">
        <v>150000000</v>
      </c>
      <c r="Y64" s="43">
        <f>VLOOKUP(Tabla1[[#This Row],[PAGO DIA]],DIAS!A:J,10,0)</f>
        <v>46308</v>
      </c>
      <c r="Z64" s="6">
        <v>150000000</v>
      </c>
      <c r="AA64" s="43">
        <f>VLOOKUP(Tabla1[[#This Row],[PAGO DIA]],DIAS!A:K,11,0)</f>
        <v>46336</v>
      </c>
      <c r="AB64" s="6">
        <v>150000000</v>
      </c>
      <c r="AC64" s="43">
        <f>VLOOKUP(Tabla1[[#This Row],[PAGO DIA]],DIAS!A:M,12,0)</f>
        <v>46365</v>
      </c>
      <c r="AD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1650000000</v>
      </c>
    </row>
    <row r="65" spans="1:30">
      <c r="A65" s="3">
        <v>12555</v>
      </c>
      <c r="B65" s="3" t="s">
        <v>628</v>
      </c>
      <c r="C65" s="3" t="s">
        <v>629</v>
      </c>
      <c r="D65" s="3" t="s">
        <v>540</v>
      </c>
      <c r="E65" s="3" t="s">
        <v>643</v>
      </c>
      <c r="F65" s="42" t="s">
        <v>631</v>
      </c>
      <c r="G65" s="3" t="s">
        <v>646</v>
      </c>
      <c r="H65" s="6">
        <v>0</v>
      </c>
      <c r="I65" s="41">
        <f>VLOOKUP(Tabla1[[#This Row],[PAGO DIA]],DIAS!A:B,2,0)</f>
        <v>46080</v>
      </c>
      <c r="J65" s="6">
        <v>0</v>
      </c>
      <c r="K65" s="43">
        <f>VLOOKUP(Tabla1[[#This Row],[PAGO DIA]],DIAS!A:C,3,0)</f>
        <v>46112</v>
      </c>
      <c r="L65" s="6">
        <v>0</v>
      </c>
      <c r="M65" s="41">
        <f>VLOOKUP(Tabla1[[#This Row],[PAGO DIA]],DIAS!A:D,4,0)</f>
        <v>46142</v>
      </c>
      <c r="N65" s="6">
        <v>0</v>
      </c>
      <c r="O65" s="43">
        <f>VLOOKUP(Tabla1[[#This Row],[PAGO DIA]],DIAS!A:E,5,0)</f>
        <v>46171</v>
      </c>
      <c r="P65" s="6">
        <v>0</v>
      </c>
      <c r="Q65" s="43">
        <f>VLOOKUP(Tabla1[[#This Row],[PAGO DIA]],DIAS!A:F,6,0)</f>
        <v>46203</v>
      </c>
      <c r="R65" s="6">
        <v>0</v>
      </c>
      <c r="S65" s="43">
        <f>VLOOKUP(Tabla1[[#This Row],[PAGO DIA]],DIAS!A:G,7,0)</f>
        <v>46234</v>
      </c>
      <c r="T65" s="6">
        <v>0</v>
      </c>
      <c r="U65" s="43">
        <f>VLOOKUP(Tabla1[[#This Row],[PAGO DIA]],DIAS!A:H,8,0)</f>
        <v>46265</v>
      </c>
      <c r="V65" s="6">
        <v>0</v>
      </c>
      <c r="W65" s="43">
        <f>VLOOKUP(Tabla1[[#This Row],[PAGO DIA]],DIAS!A:I,9,0)</f>
        <v>46295</v>
      </c>
      <c r="X65" s="6">
        <v>0</v>
      </c>
      <c r="Y65" s="43">
        <f>VLOOKUP(Tabla1[[#This Row],[PAGO DIA]],DIAS!A:J,10,0)</f>
        <v>46325</v>
      </c>
      <c r="Z65" s="6">
        <v>0</v>
      </c>
      <c r="AA65" s="43">
        <f>VLOOKUP(Tabla1[[#This Row],[PAGO DIA]],DIAS!A:K,11,0)</f>
        <v>46356</v>
      </c>
      <c r="AB65" s="6">
        <v>0</v>
      </c>
      <c r="AC65" s="43">
        <f>VLOOKUP(Tabla1[[#This Row],[PAGO DIA]],DIAS!A:M,12,0)</f>
        <v>46386</v>
      </c>
      <c r="AD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" spans="1:30">
      <c r="A66" s="3">
        <v>11453</v>
      </c>
      <c r="B66" s="3" t="s">
        <v>628</v>
      </c>
      <c r="C66" s="3" t="s">
        <v>540</v>
      </c>
      <c r="D66" s="3" t="s">
        <v>540</v>
      </c>
      <c r="E66" s="3" t="s">
        <v>647</v>
      </c>
      <c r="F66" s="42" t="s">
        <v>631</v>
      </c>
      <c r="G66" s="3" t="s">
        <v>648</v>
      </c>
      <c r="H66" s="6">
        <v>0</v>
      </c>
      <c r="I66" s="41">
        <f>VLOOKUP(Tabla1[[#This Row],[PAGO DIA]],DIAS!A:B,2,0)</f>
        <v>46080</v>
      </c>
      <c r="J66" s="6">
        <v>0</v>
      </c>
      <c r="K66" s="43">
        <f>VLOOKUP(Tabla1[[#This Row],[PAGO DIA]],DIAS!A:C,3,0)</f>
        <v>46112</v>
      </c>
      <c r="L66" s="6">
        <v>0</v>
      </c>
      <c r="M66" s="41">
        <f>VLOOKUP(Tabla1[[#This Row],[PAGO DIA]],DIAS!A:D,4,0)</f>
        <v>46142</v>
      </c>
      <c r="N66" s="6">
        <v>0</v>
      </c>
      <c r="O66" s="43">
        <f>VLOOKUP(Tabla1[[#This Row],[PAGO DIA]],DIAS!A:E,5,0)</f>
        <v>46171</v>
      </c>
      <c r="P66" s="6">
        <v>0</v>
      </c>
      <c r="Q66" s="43">
        <f>VLOOKUP(Tabla1[[#This Row],[PAGO DIA]],DIAS!A:F,6,0)</f>
        <v>46203</v>
      </c>
      <c r="R66" s="6">
        <v>0</v>
      </c>
      <c r="S66" s="43">
        <f>VLOOKUP(Tabla1[[#This Row],[PAGO DIA]],DIAS!A:G,7,0)</f>
        <v>46234</v>
      </c>
      <c r="T66" s="6">
        <v>0</v>
      </c>
      <c r="U66" s="43">
        <f>VLOOKUP(Tabla1[[#This Row],[PAGO DIA]],DIAS!A:H,8,0)</f>
        <v>46265</v>
      </c>
      <c r="V66" s="6">
        <v>0</v>
      </c>
      <c r="W66" s="43">
        <f>VLOOKUP(Tabla1[[#This Row],[PAGO DIA]],DIAS!A:I,9,0)</f>
        <v>46295</v>
      </c>
      <c r="X66" s="6">
        <v>0</v>
      </c>
      <c r="Y66" s="43">
        <f>VLOOKUP(Tabla1[[#This Row],[PAGO DIA]],DIAS!A:J,10,0)</f>
        <v>46325</v>
      </c>
      <c r="Z66" s="6">
        <v>0</v>
      </c>
      <c r="AA66" s="43">
        <f>VLOOKUP(Tabla1[[#This Row],[PAGO DIA]],DIAS!A:K,11,0)</f>
        <v>46356</v>
      </c>
      <c r="AB66" s="6">
        <v>0</v>
      </c>
      <c r="AC66" s="43">
        <f>VLOOKUP(Tabla1[[#This Row],[PAGO DIA]],DIAS!A:M,12,0)</f>
        <v>46386</v>
      </c>
      <c r="AD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" spans="1:30">
      <c r="A67" s="3">
        <v>11127</v>
      </c>
      <c r="B67" s="3" t="s">
        <v>548</v>
      </c>
      <c r="C67" s="3" t="s">
        <v>649</v>
      </c>
      <c r="D67" s="3" t="s">
        <v>650</v>
      </c>
      <c r="E67" s="3" t="s">
        <v>651</v>
      </c>
      <c r="F67" s="42" t="s">
        <v>562</v>
      </c>
      <c r="G67" s="3"/>
      <c r="H67" s="6">
        <v>122000000</v>
      </c>
      <c r="I67" s="41">
        <f>VLOOKUP(Tabla1[[#This Row],[PAGO DIA]],DIAS!A:B,2,0)</f>
        <v>46078</v>
      </c>
      <c r="J67" s="6">
        <v>122000000</v>
      </c>
      <c r="K67" s="43">
        <f>VLOOKUP(Tabla1[[#This Row],[PAGO DIA]],DIAS!A:C,3,0)</f>
        <v>46105</v>
      </c>
      <c r="L67" s="6">
        <v>122000000</v>
      </c>
      <c r="M67" s="41">
        <f>VLOOKUP(Tabla1[[#This Row],[PAGO DIA]],DIAS!A:D,4,0)</f>
        <v>46140</v>
      </c>
      <c r="N67" s="6">
        <v>122000000</v>
      </c>
      <c r="O67" s="43">
        <f>VLOOKUP(Tabla1[[#This Row],[PAGO DIA]],DIAS!A:E,5,0)</f>
        <v>46168</v>
      </c>
      <c r="P67" s="6">
        <v>122000000</v>
      </c>
      <c r="Q67" s="43">
        <f>VLOOKUP(Tabla1[[#This Row],[PAGO DIA]],DIAS!A:F,6,0)</f>
        <v>46196</v>
      </c>
      <c r="R67" s="6">
        <v>122000000</v>
      </c>
      <c r="S67" s="43">
        <f>VLOOKUP(Tabla1[[#This Row],[PAGO DIA]],DIAS!A:G,7,0)</f>
        <v>46231</v>
      </c>
      <c r="T67" s="6">
        <v>122000000</v>
      </c>
      <c r="U67" s="43">
        <f>VLOOKUP(Tabla1[[#This Row],[PAGO DIA]],DIAS!A:H,8,0)</f>
        <v>46259</v>
      </c>
      <c r="V67" s="6">
        <v>122000000</v>
      </c>
      <c r="W67" s="43">
        <f>VLOOKUP(Tabla1[[#This Row],[PAGO DIA]],DIAS!A:I,9,0)</f>
        <v>46287</v>
      </c>
      <c r="X67" s="6">
        <v>122000000</v>
      </c>
      <c r="Y67" s="43">
        <f>VLOOKUP(Tabla1[[#This Row],[PAGO DIA]],DIAS!A:J,10,0)</f>
        <v>46322</v>
      </c>
      <c r="Z67" s="6">
        <v>122000000</v>
      </c>
      <c r="AA67" s="43">
        <f>VLOOKUP(Tabla1[[#This Row],[PAGO DIA]],DIAS!A:K,11,0)</f>
        <v>46350</v>
      </c>
      <c r="AB67" s="6">
        <v>122000000</v>
      </c>
      <c r="AC67" s="43">
        <f>VLOOKUP(Tabla1[[#This Row],[PAGO DIA]],DIAS!A:M,12,0)</f>
        <v>46379</v>
      </c>
      <c r="AD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1342000000</v>
      </c>
    </row>
    <row r="68" spans="1:30">
      <c r="A68" s="3">
        <v>12630</v>
      </c>
      <c r="B68" s="3" t="s">
        <v>628</v>
      </c>
      <c r="C68" s="3" t="s">
        <v>629</v>
      </c>
      <c r="D68" s="3" t="s">
        <v>540</v>
      </c>
      <c r="E68" s="3" t="s">
        <v>652</v>
      </c>
      <c r="F68" s="42" t="s">
        <v>631</v>
      </c>
      <c r="G68" s="3" t="s">
        <v>653</v>
      </c>
      <c r="H68" s="6">
        <v>0</v>
      </c>
      <c r="I68" s="41">
        <f>VLOOKUP(Tabla1[[#This Row],[PAGO DIA]],DIAS!A:B,2,0)</f>
        <v>46080</v>
      </c>
      <c r="J68" s="6">
        <v>0</v>
      </c>
      <c r="K68" s="43">
        <f>VLOOKUP(Tabla1[[#This Row],[PAGO DIA]],DIAS!A:C,3,0)</f>
        <v>46112</v>
      </c>
      <c r="L68" s="6">
        <v>0</v>
      </c>
      <c r="M68" s="41">
        <f>VLOOKUP(Tabla1[[#This Row],[PAGO DIA]],DIAS!A:D,4,0)</f>
        <v>46142</v>
      </c>
      <c r="N68" s="6">
        <v>0</v>
      </c>
      <c r="O68" s="43">
        <f>VLOOKUP(Tabla1[[#This Row],[PAGO DIA]],DIAS!A:E,5,0)</f>
        <v>46171</v>
      </c>
      <c r="P68" s="6">
        <v>0</v>
      </c>
      <c r="Q68" s="43">
        <f>VLOOKUP(Tabla1[[#This Row],[PAGO DIA]],DIAS!A:F,6,0)</f>
        <v>46203</v>
      </c>
      <c r="R68" s="6">
        <v>0</v>
      </c>
      <c r="S68" s="43">
        <f>VLOOKUP(Tabla1[[#This Row],[PAGO DIA]],DIAS!A:G,7,0)</f>
        <v>46234</v>
      </c>
      <c r="T68" s="6">
        <v>0</v>
      </c>
      <c r="U68" s="43">
        <f>VLOOKUP(Tabla1[[#This Row],[PAGO DIA]],DIAS!A:H,8,0)</f>
        <v>46265</v>
      </c>
      <c r="V68" s="6">
        <v>0</v>
      </c>
      <c r="W68" s="43">
        <f>VLOOKUP(Tabla1[[#This Row],[PAGO DIA]],DIAS!A:I,9,0)</f>
        <v>46295</v>
      </c>
      <c r="X68" s="6">
        <v>0</v>
      </c>
      <c r="Y68" s="43">
        <f>VLOOKUP(Tabla1[[#This Row],[PAGO DIA]],DIAS!A:J,10,0)</f>
        <v>46325</v>
      </c>
      <c r="Z68" s="6">
        <v>0</v>
      </c>
      <c r="AA68" s="43">
        <f>VLOOKUP(Tabla1[[#This Row],[PAGO DIA]],DIAS!A:K,11,0)</f>
        <v>46356</v>
      </c>
      <c r="AB68" s="6">
        <v>0</v>
      </c>
      <c r="AC68" s="43">
        <f>VLOOKUP(Tabla1[[#This Row],[PAGO DIA]],DIAS!A:M,12,0)</f>
        <v>46386</v>
      </c>
      <c r="AD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" spans="1:30">
      <c r="A69" s="3">
        <v>12742</v>
      </c>
      <c r="B69" s="3" t="s">
        <v>628</v>
      </c>
      <c r="C69" s="3" t="s">
        <v>629</v>
      </c>
      <c r="D69" s="3" t="s">
        <v>540</v>
      </c>
      <c r="E69" s="3" t="s">
        <v>652</v>
      </c>
      <c r="F69" s="42" t="s">
        <v>631</v>
      </c>
      <c r="G69" s="3" t="s">
        <v>654</v>
      </c>
      <c r="H69" s="6">
        <v>0</v>
      </c>
      <c r="I69" s="41">
        <f>VLOOKUP(Tabla1[[#This Row],[PAGO DIA]],DIAS!A:B,2,0)</f>
        <v>46080</v>
      </c>
      <c r="J69" s="6">
        <v>0</v>
      </c>
      <c r="K69" s="43">
        <f>VLOOKUP(Tabla1[[#This Row],[PAGO DIA]],DIAS!A:C,3,0)</f>
        <v>46112</v>
      </c>
      <c r="L69" s="6">
        <v>0</v>
      </c>
      <c r="M69" s="41">
        <f>VLOOKUP(Tabla1[[#This Row],[PAGO DIA]],DIAS!A:D,4,0)</f>
        <v>46142</v>
      </c>
      <c r="N69" s="6">
        <v>0</v>
      </c>
      <c r="O69" s="43">
        <f>VLOOKUP(Tabla1[[#This Row],[PAGO DIA]],DIAS!A:E,5,0)</f>
        <v>46171</v>
      </c>
      <c r="P69" s="6">
        <v>0</v>
      </c>
      <c r="Q69" s="43">
        <f>VLOOKUP(Tabla1[[#This Row],[PAGO DIA]],DIAS!A:F,6,0)</f>
        <v>46203</v>
      </c>
      <c r="R69" s="6">
        <v>0</v>
      </c>
      <c r="S69" s="43">
        <f>VLOOKUP(Tabla1[[#This Row],[PAGO DIA]],DIAS!A:G,7,0)</f>
        <v>46234</v>
      </c>
      <c r="T69" s="6">
        <v>0</v>
      </c>
      <c r="U69" s="43">
        <f>VLOOKUP(Tabla1[[#This Row],[PAGO DIA]],DIAS!A:H,8,0)</f>
        <v>46265</v>
      </c>
      <c r="V69" s="6">
        <v>0</v>
      </c>
      <c r="W69" s="43">
        <f>VLOOKUP(Tabla1[[#This Row],[PAGO DIA]],DIAS!A:I,9,0)</f>
        <v>46295</v>
      </c>
      <c r="X69" s="6">
        <v>0</v>
      </c>
      <c r="Y69" s="43">
        <f>VLOOKUP(Tabla1[[#This Row],[PAGO DIA]],DIAS!A:J,10,0)</f>
        <v>46325</v>
      </c>
      <c r="Z69" s="6">
        <v>0</v>
      </c>
      <c r="AA69" s="43">
        <f>VLOOKUP(Tabla1[[#This Row],[PAGO DIA]],DIAS!A:K,11,0)</f>
        <v>46356</v>
      </c>
      <c r="AB69" s="6">
        <v>0</v>
      </c>
      <c r="AC69" s="43">
        <f>VLOOKUP(Tabla1[[#This Row],[PAGO DIA]],DIAS!A:M,12,0)</f>
        <v>46386</v>
      </c>
      <c r="AD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" spans="1:30">
      <c r="A70" s="3">
        <v>11462</v>
      </c>
      <c r="B70" s="3" t="s">
        <v>628</v>
      </c>
      <c r="C70" s="3" t="s">
        <v>655</v>
      </c>
      <c r="D70" s="3" t="s">
        <v>655</v>
      </c>
      <c r="E70" s="3" t="s">
        <v>656</v>
      </c>
      <c r="F70" s="42" t="s">
        <v>631</v>
      </c>
      <c r="G70" s="3" t="s">
        <v>653</v>
      </c>
      <c r="H70" s="6">
        <v>0</v>
      </c>
      <c r="I70" s="41">
        <f>VLOOKUP(Tabla1[[#This Row],[PAGO DIA]],DIAS!A:B,2,0)</f>
        <v>46080</v>
      </c>
      <c r="J70" s="6">
        <v>0</v>
      </c>
      <c r="K70" s="43">
        <f>VLOOKUP(Tabla1[[#This Row],[PAGO DIA]],DIAS!A:C,3,0)</f>
        <v>46112</v>
      </c>
      <c r="L70" s="6">
        <v>0</v>
      </c>
      <c r="M70" s="41">
        <f>VLOOKUP(Tabla1[[#This Row],[PAGO DIA]],DIAS!A:D,4,0)</f>
        <v>46142</v>
      </c>
      <c r="N70" s="6">
        <v>0</v>
      </c>
      <c r="O70" s="43">
        <f>VLOOKUP(Tabla1[[#This Row],[PAGO DIA]],DIAS!A:E,5,0)</f>
        <v>46171</v>
      </c>
      <c r="P70" s="6">
        <v>0</v>
      </c>
      <c r="Q70" s="43">
        <f>VLOOKUP(Tabla1[[#This Row],[PAGO DIA]],DIAS!A:F,6,0)</f>
        <v>46203</v>
      </c>
      <c r="R70" s="6">
        <v>0</v>
      </c>
      <c r="S70" s="43">
        <f>VLOOKUP(Tabla1[[#This Row],[PAGO DIA]],DIAS!A:G,7,0)</f>
        <v>46234</v>
      </c>
      <c r="T70" s="6">
        <v>0</v>
      </c>
      <c r="U70" s="43">
        <f>VLOOKUP(Tabla1[[#This Row],[PAGO DIA]],DIAS!A:H,8,0)</f>
        <v>46265</v>
      </c>
      <c r="V70" s="6">
        <v>0</v>
      </c>
      <c r="W70" s="43">
        <f>VLOOKUP(Tabla1[[#This Row],[PAGO DIA]],DIAS!A:I,9,0)</f>
        <v>46295</v>
      </c>
      <c r="X70" s="6">
        <v>0</v>
      </c>
      <c r="Y70" s="43">
        <f>VLOOKUP(Tabla1[[#This Row],[PAGO DIA]],DIAS!A:J,10,0)</f>
        <v>46325</v>
      </c>
      <c r="Z70" s="6">
        <v>0</v>
      </c>
      <c r="AA70" s="43">
        <f>VLOOKUP(Tabla1[[#This Row],[PAGO DIA]],DIAS!A:K,11,0)</f>
        <v>46356</v>
      </c>
      <c r="AB70" s="6">
        <v>0</v>
      </c>
      <c r="AC70" s="43">
        <f>VLOOKUP(Tabla1[[#This Row],[PAGO DIA]],DIAS!A:M,12,0)</f>
        <v>46386</v>
      </c>
      <c r="AD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" spans="1:30">
      <c r="A71" s="3">
        <v>12044</v>
      </c>
      <c r="B71" s="3" t="s">
        <v>628</v>
      </c>
      <c r="C71" s="3" t="s">
        <v>629</v>
      </c>
      <c r="D71" s="3" t="s">
        <v>629</v>
      </c>
      <c r="E71" s="3" t="s">
        <v>657</v>
      </c>
      <c r="F71" s="42" t="s">
        <v>631</v>
      </c>
      <c r="G71" s="3" t="s">
        <v>635</v>
      </c>
      <c r="H71" s="6">
        <v>0</v>
      </c>
      <c r="I71" s="41">
        <f>VLOOKUP(Tabla1[[#This Row],[PAGO DIA]],DIAS!A:B,2,0)</f>
        <v>46080</v>
      </c>
      <c r="J71" s="6">
        <v>0</v>
      </c>
      <c r="K71" s="43">
        <f>VLOOKUP(Tabla1[[#This Row],[PAGO DIA]],DIAS!A:C,3,0)</f>
        <v>46112</v>
      </c>
      <c r="L71" s="6">
        <v>0</v>
      </c>
      <c r="M71" s="41">
        <f>VLOOKUP(Tabla1[[#This Row],[PAGO DIA]],DIAS!A:D,4,0)</f>
        <v>46142</v>
      </c>
      <c r="N71" s="6">
        <v>0</v>
      </c>
      <c r="O71" s="43">
        <f>VLOOKUP(Tabla1[[#This Row],[PAGO DIA]],DIAS!A:E,5,0)</f>
        <v>46171</v>
      </c>
      <c r="P71" s="6">
        <v>0</v>
      </c>
      <c r="Q71" s="43">
        <f>VLOOKUP(Tabla1[[#This Row],[PAGO DIA]],DIAS!A:F,6,0)</f>
        <v>46203</v>
      </c>
      <c r="R71" s="6">
        <v>0</v>
      </c>
      <c r="S71" s="43">
        <f>VLOOKUP(Tabla1[[#This Row],[PAGO DIA]],DIAS!A:G,7,0)</f>
        <v>46234</v>
      </c>
      <c r="T71" s="6">
        <v>0</v>
      </c>
      <c r="U71" s="43">
        <f>VLOOKUP(Tabla1[[#This Row],[PAGO DIA]],DIAS!A:H,8,0)</f>
        <v>46265</v>
      </c>
      <c r="V71" s="6">
        <v>0</v>
      </c>
      <c r="W71" s="43">
        <f>VLOOKUP(Tabla1[[#This Row],[PAGO DIA]],DIAS!A:I,9,0)</f>
        <v>46295</v>
      </c>
      <c r="X71" s="6">
        <v>0</v>
      </c>
      <c r="Y71" s="43">
        <f>VLOOKUP(Tabla1[[#This Row],[PAGO DIA]],DIAS!A:J,10,0)</f>
        <v>46325</v>
      </c>
      <c r="Z71" s="6">
        <v>0</v>
      </c>
      <c r="AA71" s="43">
        <f>VLOOKUP(Tabla1[[#This Row],[PAGO DIA]],DIAS!A:K,11,0)</f>
        <v>46356</v>
      </c>
      <c r="AB71" s="6">
        <v>0</v>
      </c>
      <c r="AC71" s="43">
        <f>VLOOKUP(Tabla1[[#This Row],[PAGO DIA]],DIAS!A:M,12,0)</f>
        <v>46386</v>
      </c>
      <c r="AD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" spans="1:30">
      <c r="A72" s="3">
        <v>12520</v>
      </c>
      <c r="B72" s="3" t="s">
        <v>628</v>
      </c>
      <c r="C72" s="3" t="s">
        <v>629</v>
      </c>
      <c r="D72" s="3" t="s">
        <v>540</v>
      </c>
      <c r="E72" s="3" t="s">
        <v>658</v>
      </c>
      <c r="F72" s="42" t="s">
        <v>631</v>
      </c>
      <c r="G72" s="3" t="s">
        <v>659</v>
      </c>
      <c r="H72" s="6">
        <v>0</v>
      </c>
      <c r="I72" s="41">
        <f>VLOOKUP(Tabla1[[#This Row],[PAGO DIA]],DIAS!A:B,2,0)</f>
        <v>46080</v>
      </c>
      <c r="J72" s="6">
        <v>0</v>
      </c>
      <c r="K72" s="43">
        <f>VLOOKUP(Tabla1[[#This Row],[PAGO DIA]],DIAS!A:C,3,0)</f>
        <v>46112</v>
      </c>
      <c r="L72" s="6">
        <v>0</v>
      </c>
      <c r="M72" s="41">
        <f>VLOOKUP(Tabla1[[#This Row],[PAGO DIA]],DIAS!A:D,4,0)</f>
        <v>46142</v>
      </c>
      <c r="N72" s="6">
        <v>0</v>
      </c>
      <c r="O72" s="43">
        <f>VLOOKUP(Tabla1[[#This Row],[PAGO DIA]],DIAS!A:E,5,0)</f>
        <v>46171</v>
      </c>
      <c r="P72" s="6">
        <v>0</v>
      </c>
      <c r="Q72" s="43">
        <f>VLOOKUP(Tabla1[[#This Row],[PAGO DIA]],DIAS!A:F,6,0)</f>
        <v>46203</v>
      </c>
      <c r="R72" s="6">
        <v>0</v>
      </c>
      <c r="S72" s="43">
        <f>VLOOKUP(Tabla1[[#This Row],[PAGO DIA]],DIAS!A:G,7,0)</f>
        <v>46234</v>
      </c>
      <c r="T72" s="6">
        <v>0</v>
      </c>
      <c r="U72" s="43">
        <f>VLOOKUP(Tabla1[[#This Row],[PAGO DIA]],DIAS!A:H,8,0)</f>
        <v>46265</v>
      </c>
      <c r="V72" s="6">
        <v>0</v>
      </c>
      <c r="W72" s="43">
        <f>VLOOKUP(Tabla1[[#This Row],[PAGO DIA]],DIAS!A:I,9,0)</f>
        <v>46295</v>
      </c>
      <c r="X72" s="6">
        <v>0</v>
      </c>
      <c r="Y72" s="43">
        <f>VLOOKUP(Tabla1[[#This Row],[PAGO DIA]],DIAS!A:J,10,0)</f>
        <v>46325</v>
      </c>
      <c r="Z72" s="6">
        <v>0</v>
      </c>
      <c r="AA72" s="43">
        <f>VLOOKUP(Tabla1[[#This Row],[PAGO DIA]],DIAS!A:K,11,0)</f>
        <v>46356</v>
      </c>
      <c r="AB72" s="6">
        <v>0</v>
      </c>
      <c r="AC72" s="43">
        <f>VLOOKUP(Tabla1[[#This Row],[PAGO DIA]],DIAS!A:M,12,0)</f>
        <v>46386</v>
      </c>
      <c r="AD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" spans="1:30">
      <c r="A73" s="3">
        <v>12605</v>
      </c>
      <c r="B73" s="3" t="s">
        <v>628</v>
      </c>
      <c r="C73" s="3" t="s">
        <v>629</v>
      </c>
      <c r="D73" s="3" t="s">
        <v>540</v>
      </c>
      <c r="E73" s="3" t="s">
        <v>658</v>
      </c>
      <c r="F73" s="42" t="s">
        <v>631</v>
      </c>
      <c r="G73" s="3" t="s">
        <v>660</v>
      </c>
      <c r="H73" s="6">
        <v>0</v>
      </c>
      <c r="I73" s="41">
        <f>VLOOKUP(Tabla1[[#This Row],[PAGO DIA]],DIAS!A:B,2,0)</f>
        <v>46080</v>
      </c>
      <c r="J73" s="6">
        <v>0</v>
      </c>
      <c r="K73" s="43">
        <f>VLOOKUP(Tabla1[[#This Row],[PAGO DIA]],DIAS!A:C,3,0)</f>
        <v>46112</v>
      </c>
      <c r="L73" s="6">
        <v>0</v>
      </c>
      <c r="M73" s="41">
        <f>VLOOKUP(Tabla1[[#This Row],[PAGO DIA]],DIAS!A:D,4,0)</f>
        <v>46142</v>
      </c>
      <c r="N73" s="6">
        <v>0</v>
      </c>
      <c r="O73" s="43">
        <f>VLOOKUP(Tabla1[[#This Row],[PAGO DIA]],DIAS!A:E,5,0)</f>
        <v>46171</v>
      </c>
      <c r="P73" s="6">
        <v>0</v>
      </c>
      <c r="Q73" s="43">
        <f>VLOOKUP(Tabla1[[#This Row],[PAGO DIA]],DIAS!A:F,6,0)</f>
        <v>46203</v>
      </c>
      <c r="R73" s="6">
        <v>0</v>
      </c>
      <c r="S73" s="43">
        <f>VLOOKUP(Tabla1[[#This Row],[PAGO DIA]],DIAS!A:G,7,0)</f>
        <v>46234</v>
      </c>
      <c r="T73" s="6">
        <v>0</v>
      </c>
      <c r="U73" s="43">
        <f>VLOOKUP(Tabla1[[#This Row],[PAGO DIA]],DIAS!A:H,8,0)</f>
        <v>46265</v>
      </c>
      <c r="V73" s="6">
        <v>0</v>
      </c>
      <c r="W73" s="43">
        <f>VLOOKUP(Tabla1[[#This Row],[PAGO DIA]],DIAS!A:I,9,0)</f>
        <v>46295</v>
      </c>
      <c r="X73" s="6">
        <v>0</v>
      </c>
      <c r="Y73" s="43">
        <f>VLOOKUP(Tabla1[[#This Row],[PAGO DIA]],DIAS!A:J,10,0)</f>
        <v>46325</v>
      </c>
      <c r="Z73" s="6">
        <v>0</v>
      </c>
      <c r="AA73" s="43">
        <f>VLOOKUP(Tabla1[[#This Row],[PAGO DIA]],DIAS!A:K,11,0)</f>
        <v>46356</v>
      </c>
      <c r="AB73" s="6">
        <v>0</v>
      </c>
      <c r="AC73" s="43">
        <f>VLOOKUP(Tabla1[[#This Row],[PAGO DIA]],DIAS!A:M,12,0)</f>
        <v>46386</v>
      </c>
      <c r="AD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" spans="1:30">
      <c r="A74" s="3">
        <v>11467</v>
      </c>
      <c r="B74" s="3" t="s">
        <v>628</v>
      </c>
      <c r="C74" s="3" t="s">
        <v>540</v>
      </c>
      <c r="D74" s="3" t="s">
        <v>540</v>
      </c>
      <c r="E74" s="3" t="s">
        <v>661</v>
      </c>
      <c r="F74" s="42" t="s">
        <v>631</v>
      </c>
      <c r="G74" s="3" t="s">
        <v>662</v>
      </c>
      <c r="H74" s="6">
        <v>0</v>
      </c>
      <c r="I74" s="41">
        <f>VLOOKUP(Tabla1[[#This Row],[PAGO DIA]],DIAS!A:B,2,0)</f>
        <v>46080</v>
      </c>
      <c r="J74" s="6">
        <v>0</v>
      </c>
      <c r="K74" s="43">
        <f>VLOOKUP(Tabla1[[#This Row],[PAGO DIA]],DIAS!A:C,3,0)</f>
        <v>46112</v>
      </c>
      <c r="L74" s="6">
        <v>0</v>
      </c>
      <c r="M74" s="41">
        <f>VLOOKUP(Tabla1[[#This Row],[PAGO DIA]],DIAS!A:D,4,0)</f>
        <v>46142</v>
      </c>
      <c r="N74" s="6">
        <v>0</v>
      </c>
      <c r="O74" s="43">
        <f>VLOOKUP(Tabla1[[#This Row],[PAGO DIA]],DIAS!A:E,5,0)</f>
        <v>46171</v>
      </c>
      <c r="P74" s="6">
        <v>0</v>
      </c>
      <c r="Q74" s="43">
        <f>VLOOKUP(Tabla1[[#This Row],[PAGO DIA]],DIAS!A:F,6,0)</f>
        <v>46203</v>
      </c>
      <c r="R74" s="6">
        <v>0</v>
      </c>
      <c r="S74" s="43">
        <f>VLOOKUP(Tabla1[[#This Row],[PAGO DIA]],DIAS!A:G,7,0)</f>
        <v>46234</v>
      </c>
      <c r="T74" s="6">
        <v>0</v>
      </c>
      <c r="U74" s="43">
        <f>VLOOKUP(Tabla1[[#This Row],[PAGO DIA]],DIAS!A:H,8,0)</f>
        <v>46265</v>
      </c>
      <c r="V74" s="6">
        <v>0</v>
      </c>
      <c r="W74" s="43">
        <f>VLOOKUP(Tabla1[[#This Row],[PAGO DIA]],DIAS!A:I,9,0)</f>
        <v>46295</v>
      </c>
      <c r="X74" s="6">
        <v>0</v>
      </c>
      <c r="Y74" s="43">
        <f>VLOOKUP(Tabla1[[#This Row],[PAGO DIA]],DIAS!A:J,10,0)</f>
        <v>46325</v>
      </c>
      <c r="Z74" s="6">
        <v>0</v>
      </c>
      <c r="AA74" s="43">
        <f>VLOOKUP(Tabla1[[#This Row],[PAGO DIA]],DIAS!A:K,11,0)</f>
        <v>46356</v>
      </c>
      <c r="AB74" s="6">
        <v>0</v>
      </c>
      <c r="AC74" s="43">
        <f>VLOOKUP(Tabla1[[#This Row],[PAGO DIA]],DIAS!A:M,12,0)</f>
        <v>46386</v>
      </c>
      <c r="AD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" spans="1:30">
      <c r="A75" s="3">
        <v>11468</v>
      </c>
      <c r="B75" s="3" t="s">
        <v>628</v>
      </c>
      <c r="C75" s="3" t="s">
        <v>540</v>
      </c>
      <c r="D75" s="3" t="s">
        <v>540</v>
      </c>
      <c r="E75" s="3" t="s">
        <v>661</v>
      </c>
      <c r="F75" s="42" t="s">
        <v>631</v>
      </c>
      <c r="G75" s="3" t="s">
        <v>663</v>
      </c>
      <c r="H75" s="6">
        <v>0</v>
      </c>
      <c r="I75" s="41">
        <f>VLOOKUP(Tabla1[[#This Row],[PAGO DIA]],DIAS!A:B,2,0)</f>
        <v>46080</v>
      </c>
      <c r="J75" s="6">
        <v>0</v>
      </c>
      <c r="K75" s="43">
        <f>VLOOKUP(Tabla1[[#This Row],[PAGO DIA]],DIAS!A:C,3,0)</f>
        <v>46112</v>
      </c>
      <c r="L75" s="6">
        <v>0</v>
      </c>
      <c r="M75" s="41">
        <f>VLOOKUP(Tabla1[[#This Row],[PAGO DIA]],DIAS!A:D,4,0)</f>
        <v>46142</v>
      </c>
      <c r="N75" s="6">
        <v>0</v>
      </c>
      <c r="O75" s="43">
        <f>VLOOKUP(Tabla1[[#This Row],[PAGO DIA]],DIAS!A:E,5,0)</f>
        <v>46171</v>
      </c>
      <c r="P75" s="6">
        <v>0</v>
      </c>
      <c r="Q75" s="43">
        <f>VLOOKUP(Tabla1[[#This Row],[PAGO DIA]],DIAS!A:F,6,0)</f>
        <v>46203</v>
      </c>
      <c r="R75" s="6">
        <v>0</v>
      </c>
      <c r="S75" s="43">
        <f>VLOOKUP(Tabla1[[#This Row],[PAGO DIA]],DIAS!A:G,7,0)</f>
        <v>46234</v>
      </c>
      <c r="T75" s="6">
        <v>0</v>
      </c>
      <c r="U75" s="43">
        <f>VLOOKUP(Tabla1[[#This Row],[PAGO DIA]],DIAS!A:H,8,0)</f>
        <v>46265</v>
      </c>
      <c r="V75" s="6">
        <v>0</v>
      </c>
      <c r="W75" s="43">
        <f>VLOOKUP(Tabla1[[#This Row],[PAGO DIA]],DIAS!A:I,9,0)</f>
        <v>46295</v>
      </c>
      <c r="X75" s="6">
        <v>0</v>
      </c>
      <c r="Y75" s="43">
        <f>VLOOKUP(Tabla1[[#This Row],[PAGO DIA]],DIAS!A:J,10,0)</f>
        <v>46325</v>
      </c>
      <c r="Z75" s="6">
        <v>0</v>
      </c>
      <c r="AA75" s="43">
        <f>VLOOKUP(Tabla1[[#This Row],[PAGO DIA]],DIAS!A:K,11,0)</f>
        <v>46356</v>
      </c>
      <c r="AB75" s="6">
        <v>0</v>
      </c>
      <c r="AC75" s="43">
        <f>VLOOKUP(Tabla1[[#This Row],[PAGO DIA]],DIAS!A:M,12,0)</f>
        <v>46386</v>
      </c>
      <c r="AD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" spans="1:30">
      <c r="A76" s="3">
        <v>11494</v>
      </c>
      <c r="B76" s="3" t="s">
        <v>628</v>
      </c>
      <c r="C76" s="3" t="s">
        <v>540</v>
      </c>
      <c r="D76" s="3" t="s">
        <v>540</v>
      </c>
      <c r="E76" s="3" t="s">
        <v>664</v>
      </c>
      <c r="F76" s="42" t="s">
        <v>631</v>
      </c>
      <c r="G76" s="3" t="s">
        <v>665</v>
      </c>
      <c r="H76" s="6">
        <v>0</v>
      </c>
      <c r="I76" s="41">
        <f>VLOOKUP(Tabla1[[#This Row],[PAGO DIA]],DIAS!A:B,2,0)</f>
        <v>46080</v>
      </c>
      <c r="J76" s="6">
        <v>0</v>
      </c>
      <c r="K76" s="43">
        <f>VLOOKUP(Tabla1[[#This Row],[PAGO DIA]],DIAS!A:C,3,0)</f>
        <v>46112</v>
      </c>
      <c r="L76" s="6">
        <v>0</v>
      </c>
      <c r="M76" s="41">
        <f>VLOOKUP(Tabla1[[#This Row],[PAGO DIA]],DIAS!A:D,4,0)</f>
        <v>46142</v>
      </c>
      <c r="N76" s="6">
        <v>0</v>
      </c>
      <c r="O76" s="43">
        <f>VLOOKUP(Tabla1[[#This Row],[PAGO DIA]],DIAS!A:E,5,0)</f>
        <v>46171</v>
      </c>
      <c r="P76" s="6">
        <v>0</v>
      </c>
      <c r="Q76" s="43">
        <f>VLOOKUP(Tabla1[[#This Row],[PAGO DIA]],DIAS!A:F,6,0)</f>
        <v>46203</v>
      </c>
      <c r="R76" s="6">
        <v>0</v>
      </c>
      <c r="S76" s="43">
        <f>VLOOKUP(Tabla1[[#This Row],[PAGO DIA]],DIAS!A:G,7,0)</f>
        <v>46234</v>
      </c>
      <c r="T76" s="6">
        <v>0</v>
      </c>
      <c r="U76" s="43">
        <f>VLOOKUP(Tabla1[[#This Row],[PAGO DIA]],DIAS!A:H,8,0)</f>
        <v>46265</v>
      </c>
      <c r="V76" s="6">
        <v>0</v>
      </c>
      <c r="W76" s="43">
        <f>VLOOKUP(Tabla1[[#This Row],[PAGO DIA]],DIAS!A:I,9,0)</f>
        <v>46295</v>
      </c>
      <c r="X76" s="6">
        <v>0</v>
      </c>
      <c r="Y76" s="43">
        <f>VLOOKUP(Tabla1[[#This Row],[PAGO DIA]],DIAS!A:J,10,0)</f>
        <v>46325</v>
      </c>
      <c r="Z76" s="6">
        <v>0</v>
      </c>
      <c r="AA76" s="43">
        <f>VLOOKUP(Tabla1[[#This Row],[PAGO DIA]],DIAS!A:K,11,0)</f>
        <v>46356</v>
      </c>
      <c r="AB76" s="6">
        <v>0</v>
      </c>
      <c r="AC76" s="43">
        <f>VLOOKUP(Tabla1[[#This Row],[PAGO DIA]],DIAS!A:M,12,0)</f>
        <v>46386</v>
      </c>
      <c r="AD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" spans="1:30">
      <c r="A77" s="3">
        <v>11495</v>
      </c>
      <c r="B77" s="3" t="s">
        <v>628</v>
      </c>
      <c r="C77" s="3" t="s">
        <v>629</v>
      </c>
      <c r="D77" s="3" t="s">
        <v>629</v>
      </c>
      <c r="E77" s="3" t="s">
        <v>664</v>
      </c>
      <c r="F77" s="42" t="s">
        <v>631</v>
      </c>
      <c r="G77" s="3" t="s">
        <v>635</v>
      </c>
      <c r="H77" s="6">
        <v>0</v>
      </c>
      <c r="I77" s="41">
        <f>VLOOKUP(Tabla1[[#This Row],[PAGO DIA]],DIAS!A:B,2,0)</f>
        <v>46080</v>
      </c>
      <c r="J77" s="6">
        <v>0</v>
      </c>
      <c r="K77" s="43">
        <f>VLOOKUP(Tabla1[[#This Row],[PAGO DIA]],DIAS!A:C,3,0)</f>
        <v>46112</v>
      </c>
      <c r="L77" s="6">
        <v>0</v>
      </c>
      <c r="M77" s="41">
        <f>VLOOKUP(Tabla1[[#This Row],[PAGO DIA]],DIAS!A:D,4,0)</f>
        <v>46142</v>
      </c>
      <c r="N77" s="6">
        <v>0</v>
      </c>
      <c r="O77" s="43">
        <f>VLOOKUP(Tabla1[[#This Row],[PAGO DIA]],DIAS!A:E,5,0)</f>
        <v>46171</v>
      </c>
      <c r="P77" s="6">
        <v>0</v>
      </c>
      <c r="Q77" s="43">
        <f>VLOOKUP(Tabla1[[#This Row],[PAGO DIA]],DIAS!A:F,6,0)</f>
        <v>46203</v>
      </c>
      <c r="R77" s="6">
        <v>0</v>
      </c>
      <c r="S77" s="43">
        <f>VLOOKUP(Tabla1[[#This Row],[PAGO DIA]],DIAS!A:G,7,0)</f>
        <v>46234</v>
      </c>
      <c r="T77" s="6">
        <v>0</v>
      </c>
      <c r="U77" s="43">
        <f>VLOOKUP(Tabla1[[#This Row],[PAGO DIA]],DIAS!A:H,8,0)</f>
        <v>46265</v>
      </c>
      <c r="V77" s="6">
        <v>0</v>
      </c>
      <c r="W77" s="43">
        <f>VLOOKUP(Tabla1[[#This Row],[PAGO DIA]],DIAS!A:I,9,0)</f>
        <v>46295</v>
      </c>
      <c r="X77" s="6">
        <v>0</v>
      </c>
      <c r="Y77" s="43">
        <f>VLOOKUP(Tabla1[[#This Row],[PAGO DIA]],DIAS!A:J,10,0)</f>
        <v>46325</v>
      </c>
      <c r="Z77" s="6">
        <v>0</v>
      </c>
      <c r="AA77" s="43">
        <f>VLOOKUP(Tabla1[[#This Row],[PAGO DIA]],DIAS!A:K,11,0)</f>
        <v>46356</v>
      </c>
      <c r="AB77" s="6">
        <v>0</v>
      </c>
      <c r="AC77" s="43">
        <f>VLOOKUP(Tabla1[[#This Row],[PAGO DIA]],DIAS!A:M,12,0)</f>
        <v>46386</v>
      </c>
      <c r="AD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" spans="1:30">
      <c r="A78" s="3">
        <v>11496</v>
      </c>
      <c r="B78" s="3" t="s">
        <v>628</v>
      </c>
      <c r="C78" s="3" t="s">
        <v>540</v>
      </c>
      <c r="D78" s="3" t="s">
        <v>540</v>
      </c>
      <c r="E78" s="3" t="s">
        <v>666</v>
      </c>
      <c r="F78" s="42" t="s">
        <v>631</v>
      </c>
      <c r="G78" s="3" t="s">
        <v>667</v>
      </c>
      <c r="H78" s="6">
        <v>0</v>
      </c>
      <c r="I78" s="41">
        <f>VLOOKUP(Tabla1[[#This Row],[PAGO DIA]],DIAS!A:B,2,0)</f>
        <v>46080</v>
      </c>
      <c r="J78" s="6">
        <v>0</v>
      </c>
      <c r="K78" s="43">
        <f>VLOOKUP(Tabla1[[#This Row],[PAGO DIA]],DIAS!A:C,3,0)</f>
        <v>46112</v>
      </c>
      <c r="L78" s="6">
        <v>0</v>
      </c>
      <c r="M78" s="41">
        <f>VLOOKUP(Tabla1[[#This Row],[PAGO DIA]],DIAS!A:D,4,0)</f>
        <v>46142</v>
      </c>
      <c r="N78" s="6">
        <v>0</v>
      </c>
      <c r="O78" s="43">
        <f>VLOOKUP(Tabla1[[#This Row],[PAGO DIA]],DIAS!A:E,5,0)</f>
        <v>46171</v>
      </c>
      <c r="P78" s="6">
        <v>0</v>
      </c>
      <c r="Q78" s="43">
        <f>VLOOKUP(Tabla1[[#This Row],[PAGO DIA]],DIAS!A:F,6,0)</f>
        <v>46203</v>
      </c>
      <c r="R78" s="6">
        <v>0</v>
      </c>
      <c r="S78" s="43">
        <f>VLOOKUP(Tabla1[[#This Row],[PAGO DIA]],DIAS!A:G,7,0)</f>
        <v>46234</v>
      </c>
      <c r="T78" s="6">
        <v>0</v>
      </c>
      <c r="U78" s="43">
        <f>VLOOKUP(Tabla1[[#This Row],[PAGO DIA]],DIAS!A:H,8,0)</f>
        <v>46265</v>
      </c>
      <c r="V78" s="6">
        <v>0</v>
      </c>
      <c r="W78" s="43">
        <f>VLOOKUP(Tabla1[[#This Row],[PAGO DIA]],DIAS!A:I,9,0)</f>
        <v>46295</v>
      </c>
      <c r="X78" s="6">
        <v>0</v>
      </c>
      <c r="Y78" s="43">
        <f>VLOOKUP(Tabla1[[#This Row],[PAGO DIA]],DIAS!A:J,10,0)</f>
        <v>46325</v>
      </c>
      <c r="Z78" s="6">
        <v>0</v>
      </c>
      <c r="AA78" s="43">
        <f>VLOOKUP(Tabla1[[#This Row],[PAGO DIA]],DIAS!A:K,11,0)</f>
        <v>46356</v>
      </c>
      <c r="AB78" s="6">
        <v>0</v>
      </c>
      <c r="AC78" s="43">
        <f>VLOOKUP(Tabla1[[#This Row],[PAGO DIA]],DIAS!A:M,12,0)</f>
        <v>46386</v>
      </c>
      <c r="AD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" spans="1:30">
      <c r="A79" s="3">
        <v>11497</v>
      </c>
      <c r="B79" s="3" t="s">
        <v>628</v>
      </c>
      <c r="C79" s="3" t="s">
        <v>540</v>
      </c>
      <c r="D79" s="3" t="s">
        <v>540</v>
      </c>
      <c r="E79" s="3" t="s">
        <v>666</v>
      </c>
      <c r="F79" s="42" t="s">
        <v>631</v>
      </c>
      <c r="G79" s="3" t="s">
        <v>668</v>
      </c>
      <c r="H79" s="6">
        <v>0</v>
      </c>
      <c r="I79" s="41">
        <f>VLOOKUP(Tabla1[[#This Row],[PAGO DIA]],DIAS!A:B,2,0)</f>
        <v>46080</v>
      </c>
      <c r="J79" s="6">
        <v>0</v>
      </c>
      <c r="K79" s="43">
        <f>VLOOKUP(Tabla1[[#This Row],[PAGO DIA]],DIAS!A:C,3,0)</f>
        <v>46112</v>
      </c>
      <c r="L79" s="6">
        <v>0</v>
      </c>
      <c r="M79" s="41">
        <f>VLOOKUP(Tabla1[[#This Row],[PAGO DIA]],DIAS!A:D,4,0)</f>
        <v>46142</v>
      </c>
      <c r="N79" s="6">
        <v>0</v>
      </c>
      <c r="O79" s="43">
        <f>VLOOKUP(Tabla1[[#This Row],[PAGO DIA]],DIAS!A:E,5,0)</f>
        <v>46171</v>
      </c>
      <c r="P79" s="6">
        <v>0</v>
      </c>
      <c r="Q79" s="43">
        <f>VLOOKUP(Tabla1[[#This Row],[PAGO DIA]],DIAS!A:F,6,0)</f>
        <v>46203</v>
      </c>
      <c r="R79" s="6">
        <v>0</v>
      </c>
      <c r="S79" s="43">
        <f>VLOOKUP(Tabla1[[#This Row],[PAGO DIA]],DIAS!A:G,7,0)</f>
        <v>46234</v>
      </c>
      <c r="T79" s="6">
        <v>0</v>
      </c>
      <c r="U79" s="43">
        <f>VLOOKUP(Tabla1[[#This Row],[PAGO DIA]],DIAS!A:H,8,0)</f>
        <v>46265</v>
      </c>
      <c r="V79" s="6">
        <v>0</v>
      </c>
      <c r="W79" s="43">
        <f>VLOOKUP(Tabla1[[#This Row],[PAGO DIA]],DIAS!A:I,9,0)</f>
        <v>46295</v>
      </c>
      <c r="X79" s="6">
        <v>0</v>
      </c>
      <c r="Y79" s="43">
        <f>VLOOKUP(Tabla1[[#This Row],[PAGO DIA]],DIAS!A:J,10,0)</f>
        <v>46325</v>
      </c>
      <c r="Z79" s="6">
        <v>0</v>
      </c>
      <c r="AA79" s="43">
        <f>VLOOKUP(Tabla1[[#This Row],[PAGO DIA]],DIAS!A:K,11,0)</f>
        <v>46356</v>
      </c>
      <c r="AB79" s="6">
        <v>0</v>
      </c>
      <c r="AC79" s="43">
        <f>VLOOKUP(Tabla1[[#This Row],[PAGO DIA]],DIAS!A:M,12,0)</f>
        <v>46386</v>
      </c>
      <c r="AD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" spans="1:30">
      <c r="A80" s="3">
        <v>12066</v>
      </c>
      <c r="B80" s="3" t="s">
        <v>628</v>
      </c>
      <c r="C80" s="3" t="s">
        <v>629</v>
      </c>
      <c r="D80" s="3" t="s">
        <v>629</v>
      </c>
      <c r="E80" s="3" t="s">
        <v>669</v>
      </c>
      <c r="F80" s="42" t="s">
        <v>631</v>
      </c>
      <c r="G80" s="3" t="s">
        <v>635</v>
      </c>
      <c r="H80" s="6">
        <v>0</v>
      </c>
      <c r="I80" s="41">
        <f>VLOOKUP(Tabla1[[#This Row],[PAGO DIA]],DIAS!A:B,2,0)</f>
        <v>46080</v>
      </c>
      <c r="J80" s="6">
        <v>0</v>
      </c>
      <c r="K80" s="43">
        <f>VLOOKUP(Tabla1[[#This Row],[PAGO DIA]],DIAS!A:C,3,0)</f>
        <v>46112</v>
      </c>
      <c r="L80" s="6">
        <v>0</v>
      </c>
      <c r="M80" s="41">
        <f>VLOOKUP(Tabla1[[#This Row],[PAGO DIA]],DIAS!A:D,4,0)</f>
        <v>46142</v>
      </c>
      <c r="N80" s="6">
        <v>0</v>
      </c>
      <c r="O80" s="43">
        <f>VLOOKUP(Tabla1[[#This Row],[PAGO DIA]],DIAS!A:E,5,0)</f>
        <v>46171</v>
      </c>
      <c r="P80" s="6">
        <v>0</v>
      </c>
      <c r="Q80" s="43">
        <f>VLOOKUP(Tabla1[[#This Row],[PAGO DIA]],DIAS!A:F,6,0)</f>
        <v>46203</v>
      </c>
      <c r="R80" s="6">
        <v>0</v>
      </c>
      <c r="S80" s="43">
        <f>VLOOKUP(Tabla1[[#This Row],[PAGO DIA]],DIAS!A:G,7,0)</f>
        <v>46234</v>
      </c>
      <c r="T80" s="6">
        <v>0</v>
      </c>
      <c r="U80" s="43">
        <f>VLOOKUP(Tabla1[[#This Row],[PAGO DIA]],DIAS!A:H,8,0)</f>
        <v>46265</v>
      </c>
      <c r="V80" s="6">
        <v>0</v>
      </c>
      <c r="W80" s="43">
        <f>VLOOKUP(Tabla1[[#This Row],[PAGO DIA]],DIAS!A:I,9,0)</f>
        <v>46295</v>
      </c>
      <c r="X80" s="6">
        <v>0</v>
      </c>
      <c r="Y80" s="43">
        <f>VLOOKUP(Tabla1[[#This Row],[PAGO DIA]],DIAS!A:J,10,0)</f>
        <v>46325</v>
      </c>
      <c r="Z80" s="6">
        <v>0</v>
      </c>
      <c r="AA80" s="43">
        <f>VLOOKUP(Tabla1[[#This Row],[PAGO DIA]],DIAS!A:K,11,0)</f>
        <v>46356</v>
      </c>
      <c r="AB80" s="6">
        <v>0</v>
      </c>
      <c r="AC80" s="43">
        <f>VLOOKUP(Tabla1[[#This Row],[PAGO DIA]],DIAS!A:M,12,0)</f>
        <v>46386</v>
      </c>
      <c r="AD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" spans="1:30">
      <c r="A81" s="3">
        <v>11504</v>
      </c>
      <c r="B81" s="3" t="s">
        <v>628</v>
      </c>
      <c r="C81" s="3" t="s">
        <v>540</v>
      </c>
      <c r="D81" s="3" t="s">
        <v>540</v>
      </c>
      <c r="E81" s="3" t="s">
        <v>670</v>
      </c>
      <c r="F81" s="42" t="s">
        <v>631</v>
      </c>
      <c r="G81" s="3" t="s">
        <v>671</v>
      </c>
      <c r="H81" s="6">
        <v>0</v>
      </c>
      <c r="I81" s="41">
        <f>VLOOKUP(Tabla1[[#This Row],[PAGO DIA]],DIAS!A:B,2,0)</f>
        <v>46080</v>
      </c>
      <c r="J81" s="6">
        <v>0</v>
      </c>
      <c r="K81" s="43">
        <f>VLOOKUP(Tabla1[[#This Row],[PAGO DIA]],DIAS!A:C,3,0)</f>
        <v>46112</v>
      </c>
      <c r="L81" s="6">
        <v>0</v>
      </c>
      <c r="M81" s="41">
        <f>VLOOKUP(Tabla1[[#This Row],[PAGO DIA]],DIAS!A:D,4,0)</f>
        <v>46142</v>
      </c>
      <c r="N81" s="6">
        <v>0</v>
      </c>
      <c r="O81" s="43">
        <f>VLOOKUP(Tabla1[[#This Row],[PAGO DIA]],DIAS!A:E,5,0)</f>
        <v>46171</v>
      </c>
      <c r="P81" s="6">
        <v>0</v>
      </c>
      <c r="Q81" s="43">
        <f>VLOOKUP(Tabla1[[#This Row],[PAGO DIA]],DIAS!A:F,6,0)</f>
        <v>46203</v>
      </c>
      <c r="R81" s="6">
        <v>0</v>
      </c>
      <c r="S81" s="43">
        <f>VLOOKUP(Tabla1[[#This Row],[PAGO DIA]],DIAS!A:G,7,0)</f>
        <v>46234</v>
      </c>
      <c r="T81" s="6">
        <v>0</v>
      </c>
      <c r="U81" s="43">
        <f>VLOOKUP(Tabla1[[#This Row],[PAGO DIA]],DIAS!A:H,8,0)</f>
        <v>46265</v>
      </c>
      <c r="V81" s="6">
        <v>0</v>
      </c>
      <c r="W81" s="43">
        <f>VLOOKUP(Tabla1[[#This Row],[PAGO DIA]],DIAS!A:I,9,0)</f>
        <v>46295</v>
      </c>
      <c r="X81" s="6">
        <v>0</v>
      </c>
      <c r="Y81" s="43">
        <f>VLOOKUP(Tabla1[[#This Row],[PAGO DIA]],DIAS!A:J,10,0)</f>
        <v>46325</v>
      </c>
      <c r="Z81" s="6">
        <v>0</v>
      </c>
      <c r="AA81" s="43">
        <f>VLOOKUP(Tabla1[[#This Row],[PAGO DIA]],DIAS!A:K,11,0)</f>
        <v>46356</v>
      </c>
      <c r="AB81" s="6">
        <v>0</v>
      </c>
      <c r="AC81" s="43">
        <f>VLOOKUP(Tabla1[[#This Row],[PAGO DIA]],DIAS!A:M,12,0)</f>
        <v>46386</v>
      </c>
      <c r="AD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" spans="1:30">
      <c r="A82" s="3">
        <v>12063</v>
      </c>
      <c r="B82" s="3" t="s">
        <v>628</v>
      </c>
      <c r="C82" s="3" t="s">
        <v>629</v>
      </c>
      <c r="D82" s="3" t="s">
        <v>629</v>
      </c>
      <c r="E82" s="3" t="s">
        <v>672</v>
      </c>
      <c r="F82" s="42" t="s">
        <v>631</v>
      </c>
      <c r="G82" s="3" t="s">
        <v>635</v>
      </c>
      <c r="H82" s="6">
        <v>0</v>
      </c>
      <c r="I82" s="41">
        <f>VLOOKUP(Tabla1[[#This Row],[PAGO DIA]],DIAS!A:B,2,0)</f>
        <v>46080</v>
      </c>
      <c r="J82" s="6">
        <v>0</v>
      </c>
      <c r="K82" s="43">
        <f>VLOOKUP(Tabla1[[#This Row],[PAGO DIA]],DIAS!A:C,3,0)</f>
        <v>46112</v>
      </c>
      <c r="L82" s="6">
        <v>0</v>
      </c>
      <c r="M82" s="41">
        <f>VLOOKUP(Tabla1[[#This Row],[PAGO DIA]],DIAS!A:D,4,0)</f>
        <v>46142</v>
      </c>
      <c r="N82" s="6">
        <v>0</v>
      </c>
      <c r="O82" s="43">
        <f>VLOOKUP(Tabla1[[#This Row],[PAGO DIA]],DIAS!A:E,5,0)</f>
        <v>46171</v>
      </c>
      <c r="P82" s="6">
        <v>0</v>
      </c>
      <c r="Q82" s="43">
        <f>VLOOKUP(Tabla1[[#This Row],[PAGO DIA]],DIAS!A:F,6,0)</f>
        <v>46203</v>
      </c>
      <c r="R82" s="6">
        <v>0</v>
      </c>
      <c r="S82" s="43">
        <f>VLOOKUP(Tabla1[[#This Row],[PAGO DIA]],DIAS!A:G,7,0)</f>
        <v>46234</v>
      </c>
      <c r="T82" s="6">
        <v>0</v>
      </c>
      <c r="U82" s="43">
        <f>VLOOKUP(Tabla1[[#This Row],[PAGO DIA]],DIAS!A:H,8,0)</f>
        <v>46265</v>
      </c>
      <c r="V82" s="6">
        <v>0</v>
      </c>
      <c r="W82" s="43">
        <f>VLOOKUP(Tabla1[[#This Row],[PAGO DIA]],DIAS!A:I,9,0)</f>
        <v>46295</v>
      </c>
      <c r="X82" s="6">
        <v>0</v>
      </c>
      <c r="Y82" s="43">
        <f>VLOOKUP(Tabla1[[#This Row],[PAGO DIA]],DIAS!A:J,10,0)</f>
        <v>46325</v>
      </c>
      <c r="Z82" s="6">
        <v>0</v>
      </c>
      <c r="AA82" s="43">
        <f>VLOOKUP(Tabla1[[#This Row],[PAGO DIA]],DIAS!A:K,11,0)</f>
        <v>46356</v>
      </c>
      <c r="AB82" s="6">
        <v>0</v>
      </c>
      <c r="AC82" s="43">
        <f>VLOOKUP(Tabla1[[#This Row],[PAGO DIA]],DIAS!A:M,12,0)</f>
        <v>46386</v>
      </c>
      <c r="AD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" spans="1:30">
      <c r="A83" s="3">
        <v>12545</v>
      </c>
      <c r="B83" s="3" t="s">
        <v>628</v>
      </c>
      <c r="C83" s="3" t="s">
        <v>629</v>
      </c>
      <c r="D83" s="3" t="s">
        <v>540</v>
      </c>
      <c r="E83" s="3" t="s">
        <v>673</v>
      </c>
      <c r="F83" s="42" t="s">
        <v>631</v>
      </c>
      <c r="G83" s="3" t="s">
        <v>674</v>
      </c>
      <c r="H83" s="6">
        <v>0</v>
      </c>
      <c r="I83" s="41">
        <f>VLOOKUP(Tabla1[[#This Row],[PAGO DIA]],DIAS!A:B,2,0)</f>
        <v>46080</v>
      </c>
      <c r="J83" s="6">
        <v>0</v>
      </c>
      <c r="K83" s="43">
        <f>VLOOKUP(Tabla1[[#This Row],[PAGO DIA]],DIAS!A:C,3,0)</f>
        <v>46112</v>
      </c>
      <c r="L83" s="6">
        <v>0</v>
      </c>
      <c r="M83" s="41">
        <f>VLOOKUP(Tabla1[[#This Row],[PAGO DIA]],DIAS!A:D,4,0)</f>
        <v>46142</v>
      </c>
      <c r="N83" s="6">
        <v>0</v>
      </c>
      <c r="O83" s="43">
        <f>VLOOKUP(Tabla1[[#This Row],[PAGO DIA]],DIAS!A:E,5,0)</f>
        <v>46171</v>
      </c>
      <c r="P83" s="6">
        <v>0</v>
      </c>
      <c r="Q83" s="43">
        <f>VLOOKUP(Tabla1[[#This Row],[PAGO DIA]],DIAS!A:F,6,0)</f>
        <v>46203</v>
      </c>
      <c r="R83" s="6">
        <v>0</v>
      </c>
      <c r="S83" s="43">
        <f>VLOOKUP(Tabla1[[#This Row],[PAGO DIA]],DIAS!A:G,7,0)</f>
        <v>46234</v>
      </c>
      <c r="T83" s="6">
        <v>0</v>
      </c>
      <c r="U83" s="43">
        <f>VLOOKUP(Tabla1[[#This Row],[PAGO DIA]],DIAS!A:H,8,0)</f>
        <v>46265</v>
      </c>
      <c r="V83" s="6">
        <v>0</v>
      </c>
      <c r="W83" s="43">
        <f>VLOOKUP(Tabla1[[#This Row],[PAGO DIA]],DIAS!A:I,9,0)</f>
        <v>46295</v>
      </c>
      <c r="X83" s="6">
        <v>0</v>
      </c>
      <c r="Y83" s="43">
        <f>VLOOKUP(Tabla1[[#This Row],[PAGO DIA]],DIAS!A:J,10,0)</f>
        <v>46325</v>
      </c>
      <c r="Z83" s="6">
        <v>0</v>
      </c>
      <c r="AA83" s="43">
        <f>VLOOKUP(Tabla1[[#This Row],[PAGO DIA]],DIAS!A:K,11,0)</f>
        <v>46356</v>
      </c>
      <c r="AB83" s="6">
        <v>0</v>
      </c>
      <c r="AC83" s="43">
        <f>VLOOKUP(Tabla1[[#This Row],[PAGO DIA]],DIAS!A:M,12,0)</f>
        <v>46386</v>
      </c>
      <c r="AD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" spans="1:30">
      <c r="A84" s="3">
        <v>12094</v>
      </c>
      <c r="B84" s="3" t="s">
        <v>628</v>
      </c>
      <c r="C84" s="3" t="s">
        <v>629</v>
      </c>
      <c r="D84" s="3" t="s">
        <v>629</v>
      </c>
      <c r="E84" s="3" t="s">
        <v>675</v>
      </c>
      <c r="F84" s="42" t="s">
        <v>631</v>
      </c>
      <c r="G84" s="3" t="s">
        <v>635</v>
      </c>
      <c r="H84" s="6">
        <v>0</v>
      </c>
      <c r="I84" s="41">
        <f>VLOOKUP(Tabla1[[#This Row],[PAGO DIA]],DIAS!A:B,2,0)</f>
        <v>46080</v>
      </c>
      <c r="J84" s="6">
        <v>0</v>
      </c>
      <c r="K84" s="43">
        <f>VLOOKUP(Tabla1[[#This Row],[PAGO DIA]],DIAS!A:C,3,0)</f>
        <v>46112</v>
      </c>
      <c r="L84" s="6">
        <v>0</v>
      </c>
      <c r="M84" s="41">
        <f>VLOOKUP(Tabla1[[#This Row],[PAGO DIA]],DIAS!A:D,4,0)</f>
        <v>46142</v>
      </c>
      <c r="N84" s="6">
        <v>0</v>
      </c>
      <c r="O84" s="43">
        <f>VLOOKUP(Tabla1[[#This Row],[PAGO DIA]],DIAS!A:E,5,0)</f>
        <v>46171</v>
      </c>
      <c r="P84" s="6">
        <v>0</v>
      </c>
      <c r="Q84" s="43">
        <f>VLOOKUP(Tabla1[[#This Row],[PAGO DIA]],DIAS!A:F,6,0)</f>
        <v>46203</v>
      </c>
      <c r="R84" s="6">
        <v>0</v>
      </c>
      <c r="S84" s="43">
        <f>VLOOKUP(Tabla1[[#This Row],[PAGO DIA]],DIAS!A:G,7,0)</f>
        <v>46234</v>
      </c>
      <c r="T84" s="6">
        <v>0</v>
      </c>
      <c r="U84" s="43">
        <f>VLOOKUP(Tabla1[[#This Row],[PAGO DIA]],DIAS!A:H,8,0)</f>
        <v>46265</v>
      </c>
      <c r="V84" s="6">
        <v>0</v>
      </c>
      <c r="W84" s="43">
        <f>VLOOKUP(Tabla1[[#This Row],[PAGO DIA]],DIAS!A:I,9,0)</f>
        <v>46295</v>
      </c>
      <c r="X84" s="6">
        <v>0</v>
      </c>
      <c r="Y84" s="43">
        <f>VLOOKUP(Tabla1[[#This Row],[PAGO DIA]],DIAS!A:J,10,0)</f>
        <v>46325</v>
      </c>
      <c r="Z84" s="6">
        <v>0</v>
      </c>
      <c r="AA84" s="43">
        <f>VLOOKUP(Tabla1[[#This Row],[PAGO DIA]],DIAS!A:K,11,0)</f>
        <v>46356</v>
      </c>
      <c r="AB84" s="6">
        <v>0</v>
      </c>
      <c r="AC84" s="43">
        <f>VLOOKUP(Tabla1[[#This Row],[PAGO DIA]],DIAS!A:M,12,0)</f>
        <v>46386</v>
      </c>
      <c r="AD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" spans="1:30">
      <c r="A85" s="3">
        <v>12529</v>
      </c>
      <c r="B85" s="3" t="s">
        <v>628</v>
      </c>
      <c r="C85" s="3" t="s">
        <v>629</v>
      </c>
      <c r="D85" s="3" t="s">
        <v>540</v>
      </c>
      <c r="E85" s="3" t="s">
        <v>676</v>
      </c>
      <c r="F85" s="42" t="s">
        <v>631</v>
      </c>
      <c r="G85" s="3" t="s">
        <v>677</v>
      </c>
      <c r="H85" s="6">
        <v>0</v>
      </c>
      <c r="I85" s="41">
        <f>VLOOKUP(Tabla1[[#This Row],[PAGO DIA]],DIAS!A:B,2,0)</f>
        <v>46080</v>
      </c>
      <c r="J85" s="6">
        <v>0</v>
      </c>
      <c r="K85" s="43">
        <f>VLOOKUP(Tabla1[[#This Row],[PAGO DIA]],DIAS!A:C,3,0)</f>
        <v>46112</v>
      </c>
      <c r="L85" s="6">
        <v>0</v>
      </c>
      <c r="M85" s="41">
        <f>VLOOKUP(Tabla1[[#This Row],[PAGO DIA]],DIAS!A:D,4,0)</f>
        <v>46142</v>
      </c>
      <c r="N85" s="6">
        <v>0</v>
      </c>
      <c r="O85" s="43">
        <f>VLOOKUP(Tabla1[[#This Row],[PAGO DIA]],DIAS!A:E,5,0)</f>
        <v>46171</v>
      </c>
      <c r="P85" s="6">
        <v>0</v>
      </c>
      <c r="Q85" s="43">
        <f>VLOOKUP(Tabla1[[#This Row],[PAGO DIA]],DIAS!A:F,6,0)</f>
        <v>46203</v>
      </c>
      <c r="R85" s="6">
        <v>0</v>
      </c>
      <c r="S85" s="43">
        <f>VLOOKUP(Tabla1[[#This Row],[PAGO DIA]],DIAS!A:G,7,0)</f>
        <v>46234</v>
      </c>
      <c r="T85" s="6">
        <v>0</v>
      </c>
      <c r="U85" s="43">
        <f>VLOOKUP(Tabla1[[#This Row],[PAGO DIA]],DIAS!A:H,8,0)</f>
        <v>46265</v>
      </c>
      <c r="V85" s="6">
        <v>0</v>
      </c>
      <c r="W85" s="43">
        <f>VLOOKUP(Tabla1[[#This Row],[PAGO DIA]],DIAS!A:I,9,0)</f>
        <v>46295</v>
      </c>
      <c r="X85" s="6">
        <v>0</v>
      </c>
      <c r="Y85" s="43">
        <f>VLOOKUP(Tabla1[[#This Row],[PAGO DIA]],DIAS!A:J,10,0)</f>
        <v>46325</v>
      </c>
      <c r="Z85" s="6">
        <v>0</v>
      </c>
      <c r="AA85" s="43">
        <f>VLOOKUP(Tabla1[[#This Row],[PAGO DIA]],DIAS!A:K,11,0)</f>
        <v>46356</v>
      </c>
      <c r="AB85" s="6">
        <v>0</v>
      </c>
      <c r="AC85" s="43">
        <f>VLOOKUP(Tabla1[[#This Row],[PAGO DIA]],DIAS!A:M,12,0)</f>
        <v>46386</v>
      </c>
      <c r="AD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" spans="1:30">
      <c r="A86" s="3">
        <v>11228</v>
      </c>
      <c r="B86" s="3" t="s">
        <v>548</v>
      </c>
      <c r="C86" s="3"/>
      <c r="D86" s="3" t="s">
        <v>549</v>
      </c>
      <c r="E86" s="3" t="s">
        <v>678</v>
      </c>
      <c r="F86" s="42" t="s">
        <v>612</v>
      </c>
      <c r="G86" s="3"/>
      <c r="H86" s="7">
        <v>37381500</v>
      </c>
      <c r="I86" s="41">
        <f>VLOOKUP(Tabla1[[#This Row],[PAGO DIA]],DIAS!A:B,2,0)</f>
        <v>46071</v>
      </c>
      <c r="J86" s="6">
        <v>0</v>
      </c>
      <c r="K86" s="43">
        <f>VLOOKUP(Tabla1[[#This Row],[PAGO DIA]],DIAS!A:C,3,0)</f>
        <v>46098</v>
      </c>
      <c r="L86" s="6">
        <v>0</v>
      </c>
      <c r="M86" s="41">
        <f>VLOOKUP(Tabla1[[#This Row],[PAGO DIA]],DIAS!A:D,4,0)</f>
        <v>46133</v>
      </c>
      <c r="N86" s="6">
        <v>0</v>
      </c>
      <c r="O86" s="43">
        <f>VLOOKUP(Tabla1[[#This Row],[PAGO DIA]],DIAS!A:E,5,0)</f>
        <v>46161</v>
      </c>
      <c r="P86" s="6">
        <v>0</v>
      </c>
      <c r="Q86" s="43">
        <f>VLOOKUP(Tabla1[[#This Row],[PAGO DIA]],DIAS!A:F,6,0)</f>
        <v>46189</v>
      </c>
      <c r="R86" s="6">
        <v>0</v>
      </c>
      <c r="S86" s="43">
        <f>VLOOKUP(Tabla1[[#This Row],[PAGO DIA]],DIAS!A:G,7,0)</f>
        <v>46224</v>
      </c>
      <c r="T86" s="6">
        <v>0</v>
      </c>
      <c r="U86" s="43">
        <f>VLOOKUP(Tabla1[[#This Row],[PAGO DIA]],DIAS!A:H,8,0)</f>
        <v>46252</v>
      </c>
      <c r="V86" s="6">
        <v>0</v>
      </c>
      <c r="W86" s="43">
        <f>VLOOKUP(Tabla1[[#This Row],[PAGO DIA]],DIAS!A:I,9,0)</f>
        <v>46280</v>
      </c>
      <c r="X86" s="6">
        <v>0</v>
      </c>
      <c r="Y86" s="43">
        <f>VLOOKUP(Tabla1[[#This Row],[PAGO DIA]],DIAS!A:J,10,0)</f>
        <v>46315</v>
      </c>
      <c r="Z86" s="6">
        <v>0</v>
      </c>
      <c r="AA86" s="43">
        <f>VLOOKUP(Tabla1[[#This Row],[PAGO DIA]],DIAS!A:K,11,0)</f>
        <v>46343</v>
      </c>
      <c r="AB86" s="6">
        <v>0</v>
      </c>
      <c r="AC86" s="43">
        <f>VLOOKUP(Tabla1[[#This Row],[PAGO DIA]],DIAS!A:M,12,0)</f>
        <v>46372</v>
      </c>
      <c r="AD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37381500</v>
      </c>
    </row>
    <row r="87" spans="1:30">
      <c r="A87" s="3">
        <v>11234</v>
      </c>
      <c r="B87" s="3" t="s">
        <v>548</v>
      </c>
      <c r="C87" s="3" t="s">
        <v>649</v>
      </c>
      <c r="D87" s="3" t="s">
        <v>649</v>
      </c>
      <c r="E87" s="3" t="s">
        <v>649</v>
      </c>
      <c r="F87" s="42" t="s">
        <v>562</v>
      </c>
      <c r="G87" s="3"/>
      <c r="H87" s="6">
        <v>19428996.07</v>
      </c>
      <c r="I87" s="41">
        <f>VLOOKUP(Tabla1[[#This Row],[PAGO DIA]],DIAS!A:B,2,0)</f>
        <v>46078</v>
      </c>
      <c r="J87" s="6">
        <v>19428996.07</v>
      </c>
      <c r="K87" s="43">
        <f>VLOOKUP(Tabla1[[#This Row],[PAGO DIA]],DIAS!A:C,3,0)</f>
        <v>46105</v>
      </c>
      <c r="L87" s="6">
        <v>19428996.07</v>
      </c>
      <c r="M87" s="41">
        <f>VLOOKUP(Tabla1[[#This Row],[PAGO DIA]],DIAS!A:D,4,0)</f>
        <v>46140</v>
      </c>
      <c r="N87" s="6">
        <v>19428996.07</v>
      </c>
      <c r="O87" s="43">
        <f>VLOOKUP(Tabla1[[#This Row],[PAGO DIA]],DIAS!A:E,5,0)</f>
        <v>46168</v>
      </c>
      <c r="P87" s="6">
        <v>19428996.07</v>
      </c>
      <c r="Q87" s="43">
        <f>VLOOKUP(Tabla1[[#This Row],[PAGO DIA]],DIAS!A:F,6,0)</f>
        <v>46196</v>
      </c>
      <c r="R87" s="6">
        <v>19428996.07</v>
      </c>
      <c r="S87" s="43">
        <f>VLOOKUP(Tabla1[[#This Row],[PAGO DIA]],DIAS!A:G,7,0)</f>
        <v>46231</v>
      </c>
      <c r="T87" s="6">
        <v>19428996.07</v>
      </c>
      <c r="U87" s="43">
        <f>VLOOKUP(Tabla1[[#This Row],[PAGO DIA]],DIAS!A:H,8,0)</f>
        <v>46259</v>
      </c>
      <c r="V87" s="6">
        <v>19428996.07</v>
      </c>
      <c r="W87" s="43">
        <f>VLOOKUP(Tabla1[[#This Row],[PAGO DIA]],DIAS!A:I,9,0)</f>
        <v>46287</v>
      </c>
      <c r="X87" s="6">
        <v>19428996.07</v>
      </c>
      <c r="Y87" s="43">
        <f>VLOOKUP(Tabla1[[#This Row],[PAGO DIA]],DIAS!A:J,10,0)</f>
        <v>46322</v>
      </c>
      <c r="Z87" s="6">
        <v>19428996.07</v>
      </c>
      <c r="AA87" s="43">
        <f>VLOOKUP(Tabla1[[#This Row],[PAGO DIA]],DIAS!A:K,11,0)</f>
        <v>46350</v>
      </c>
      <c r="AB87" s="6">
        <v>19428996.07</v>
      </c>
      <c r="AC87" s="43">
        <f>VLOOKUP(Tabla1[[#This Row],[PAGO DIA]],DIAS!A:M,12,0)</f>
        <v>46379</v>
      </c>
      <c r="AD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213718956.76999995</v>
      </c>
    </row>
    <row r="88" spans="1:30">
      <c r="A88" s="3">
        <v>12540</v>
      </c>
      <c r="B88" s="3" t="s">
        <v>628</v>
      </c>
      <c r="C88" s="3" t="s">
        <v>629</v>
      </c>
      <c r="D88" s="3" t="s">
        <v>540</v>
      </c>
      <c r="E88" s="3" t="s">
        <v>676</v>
      </c>
      <c r="F88" s="42" t="s">
        <v>631</v>
      </c>
      <c r="G88" s="3" t="s">
        <v>679</v>
      </c>
      <c r="H88" s="6">
        <v>0</v>
      </c>
      <c r="I88" s="41">
        <f>VLOOKUP(Tabla1[[#This Row],[PAGO DIA]],DIAS!A:B,2,0)</f>
        <v>46080</v>
      </c>
      <c r="J88" s="6">
        <v>0</v>
      </c>
      <c r="K88" s="43">
        <f>VLOOKUP(Tabla1[[#This Row],[PAGO DIA]],DIAS!A:C,3,0)</f>
        <v>46112</v>
      </c>
      <c r="L88" s="6">
        <v>0</v>
      </c>
      <c r="M88" s="41">
        <f>VLOOKUP(Tabla1[[#This Row],[PAGO DIA]],DIAS!A:D,4,0)</f>
        <v>46142</v>
      </c>
      <c r="N88" s="6">
        <v>0</v>
      </c>
      <c r="O88" s="43">
        <f>VLOOKUP(Tabla1[[#This Row],[PAGO DIA]],DIAS!A:E,5,0)</f>
        <v>46171</v>
      </c>
      <c r="P88" s="6">
        <v>0</v>
      </c>
      <c r="Q88" s="43">
        <f>VLOOKUP(Tabla1[[#This Row],[PAGO DIA]],DIAS!A:F,6,0)</f>
        <v>46203</v>
      </c>
      <c r="R88" s="6">
        <v>0</v>
      </c>
      <c r="S88" s="43">
        <f>VLOOKUP(Tabla1[[#This Row],[PAGO DIA]],DIAS!A:G,7,0)</f>
        <v>46234</v>
      </c>
      <c r="T88" s="6">
        <v>0</v>
      </c>
      <c r="U88" s="43">
        <f>VLOOKUP(Tabla1[[#This Row],[PAGO DIA]],DIAS!A:H,8,0)</f>
        <v>46265</v>
      </c>
      <c r="V88" s="6">
        <v>0</v>
      </c>
      <c r="W88" s="43">
        <f>VLOOKUP(Tabla1[[#This Row],[PAGO DIA]],DIAS!A:I,9,0)</f>
        <v>46295</v>
      </c>
      <c r="X88" s="6">
        <v>0</v>
      </c>
      <c r="Y88" s="43">
        <f>VLOOKUP(Tabla1[[#This Row],[PAGO DIA]],DIAS!A:J,10,0)</f>
        <v>46325</v>
      </c>
      <c r="Z88" s="6">
        <v>0</v>
      </c>
      <c r="AA88" s="43">
        <f>VLOOKUP(Tabla1[[#This Row],[PAGO DIA]],DIAS!A:K,11,0)</f>
        <v>46356</v>
      </c>
      <c r="AB88" s="6">
        <v>0</v>
      </c>
      <c r="AC88" s="43">
        <f>VLOOKUP(Tabla1[[#This Row],[PAGO DIA]],DIAS!A:M,12,0)</f>
        <v>46386</v>
      </c>
      <c r="AD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" spans="1:30">
      <c r="A89" s="3">
        <v>12582</v>
      </c>
      <c r="B89" s="3" t="s">
        <v>628</v>
      </c>
      <c r="C89" s="3" t="s">
        <v>629</v>
      </c>
      <c r="D89" s="3" t="s">
        <v>540</v>
      </c>
      <c r="E89" s="3" t="s">
        <v>676</v>
      </c>
      <c r="F89" s="42" t="s">
        <v>631</v>
      </c>
      <c r="G89" s="3" t="s">
        <v>680</v>
      </c>
      <c r="H89" s="6">
        <v>0</v>
      </c>
      <c r="I89" s="41">
        <f>VLOOKUP(Tabla1[[#This Row],[PAGO DIA]],DIAS!A:B,2,0)</f>
        <v>46080</v>
      </c>
      <c r="J89" s="6">
        <v>0</v>
      </c>
      <c r="K89" s="43">
        <f>VLOOKUP(Tabla1[[#This Row],[PAGO DIA]],DIAS!A:C,3,0)</f>
        <v>46112</v>
      </c>
      <c r="L89" s="6">
        <v>0</v>
      </c>
      <c r="M89" s="41">
        <f>VLOOKUP(Tabla1[[#This Row],[PAGO DIA]],DIAS!A:D,4,0)</f>
        <v>46142</v>
      </c>
      <c r="N89" s="6">
        <v>0</v>
      </c>
      <c r="O89" s="43">
        <f>VLOOKUP(Tabla1[[#This Row],[PAGO DIA]],DIAS!A:E,5,0)</f>
        <v>46171</v>
      </c>
      <c r="P89" s="6">
        <v>0</v>
      </c>
      <c r="Q89" s="43">
        <f>VLOOKUP(Tabla1[[#This Row],[PAGO DIA]],DIAS!A:F,6,0)</f>
        <v>46203</v>
      </c>
      <c r="R89" s="6">
        <v>0</v>
      </c>
      <c r="S89" s="43">
        <f>VLOOKUP(Tabla1[[#This Row],[PAGO DIA]],DIAS!A:G,7,0)</f>
        <v>46234</v>
      </c>
      <c r="T89" s="6">
        <v>0</v>
      </c>
      <c r="U89" s="43">
        <f>VLOOKUP(Tabla1[[#This Row],[PAGO DIA]],DIAS!A:H,8,0)</f>
        <v>46265</v>
      </c>
      <c r="V89" s="6">
        <v>0</v>
      </c>
      <c r="W89" s="43">
        <f>VLOOKUP(Tabla1[[#This Row],[PAGO DIA]],DIAS!A:I,9,0)</f>
        <v>46295</v>
      </c>
      <c r="X89" s="6">
        <v>0</v>
      </c>
      <c r="Y89" s="43">
        <f>VLOOKUP(Tabla1[[#This Row],[PAGO DIA]],DIAS!A:J,10,0)</f>
        <v>46325</v>
      </c>
      <c r="Z89" s="6">
        <v>0</v>
      </c>
      <c r="AA89" s="43">
        <f>VLOOKUP(Tabla1[[#This Row],[PAGO DIA]],DIAS!A:K,11,0)</f>
        <v>46356</v>
      </c>
      <c r="AB89" s="6">
        <v>0</v>
      </c>
      <c r="AC89" s="43">
        <f>VLOOKUP(Tabla1[[#This Row],[PAGO DIA]],DIAS!A:M,12,0)</f>
        <v>46386</v>
      </c>
      <c r="AD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" spans="1:30">
      <c r="A90" s="3">
        <v>12016</v>
      </c>
      <c r="B90" s="3" t="s">
        <v>628</v>
      </c>
      <c r="C90" s="3" t="s">
        <v>540</v>
      </c>
      <c r="D90" s="3" t="s">
        <v>540</v>
      </c>
      <c r="E90" s="3" t="s">
        <v>681</v>
      </c>
      <c r="F90" s="42" t="s">
        <v>631</v>
      </c>
      <c r="G90" s="3" t="s">
        <v>682</v>
      </c>
      <c r="H90" s="6">
        <v>0</v>
      </c>
      <c r="I90" s="41">
        <f>VLOOKUP(Tabla1[[#This Row],[PAGO DIA]],DIAS!A:B,2,0)</f>
        <v>46080</v>
      </c>
      <c r="J90" s="6">
        <v>0</v>
      </c>
      <c r="K90" s="43">
        <f>VLOOKUP(Tabla1[[#This Row],[PAGO DIA]],DIAS!A:C,3,0)</f>
        <v>46112</v>
      </c>
      <c r="L90" s="6">
        <v>0</v>
      </c>
      <c r="M90" s="41">
        <f>VLOOKUP(Tabla1[[#This Row],[PAGO DIA]],DIAS!A:D,4,0)</f>
        <v>46142</v>
      </c>
      <c r="N90" s="6">
        <v>0</v>
      </c>
      <c r="O90" s="43">
        <f>VLOOKUP(Tabla1[[#This Row],[PAGO DIA]],DIAS!A:E,5,0)</f>
        <v>46171</v>
      </c>
      <c r="P90" s="6">
        <v>0</v>
      </c>
      <c r="Q90" s="43">
        <f>VLOOKUP(Tabla1[[#This Row],[PAGO DIA]],DIAS!A:F,6,0)</f>
        <v>46203</v>
      </c>
      <c r="R90" s="6">
        <v>0</v>
      </c>
      <c r="S90" s="43">
        <f>VLOOKUP(Tabla1[[#This Row],[PAGO DIA]],DIAS!A:G,7,0)</f>
        <v>46234</v>
      </c>
      <c r="T90" s="6">
        <v>0</v>
      </c>
      <c r="U90" s="43">
        <f>VLOOKUP(Tabla1[[#This Row],[PAGO DIA]],DIAS!A:H,8,0)</f>
        <v>46265</v>
      </c>
      <c r="V90" s="6">
        <v>0</v>
      </c>
      <c r="W90" s="43">
        <f>VLOOKUP(Tabla1[[#This Row],[PAGO DIA]],DIAS!A:I,9,0)</f>
        <v>46295</v>
      </c>
      <c r="X90" s="6">
        <v>0</v>
      </c>
      <c r="Y90" s="43">
        <f>VLOOKUP(Tabla1[[#This Row],[PAGO DIA]],DIAS!A:J,10,0)</f>
        <v>46325</v>
      </c>
      <c r="Z90" s="6">
        <v>0</v>
      </c>
      <c r="AA90" s="43">
        <f>VLOOKUP(Tabla1[[#This Row],[PAGO DIA]],DIAS!A:K,11,0)</f>
        <v>46356</v>
      </c>
      <c r="AB90" s="6">
        <v>0</v>
      </c>
      <c r="AC90" s="43">
        <f>VLOOKUP(Tabla1[[#This Row],[PAGO DIA]],DIAS!A:M,12,0)</f>
        <v>46386</v>
      </c>
      <c r="AD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" spans="1:30">
      <c r="A91" s="3">
        <v>12017</v>
      </c>
      <c r="B91" s="3" t="s">
        <v>628</v>
      </c>
      <c r="C91" s="3" t="s">
        <v>540</v>
      </c>
      <c r="D91" s="3" t="s">
        <v>540</v>
      </c>
      <c r="E91" s="3" t="s">
        <v>681</v>
      </c>
      <c r="F91" s="42" t="s">
        <v>631</v>
      </c>
      <c r="G91" s="3" t="s">
        <v>683</v>
      </c>
      <c r="H91" s="6">
        <v>0</v>
      </c>
      <c r="I91" s="41">
        <f>VLOOKUP(Tabla1[[#This Row],[PAGO DIA]],DIAS!A:B,2,0)</f>
        <v>46080</v>
      </c>
      <c r="J91" s="6">
        <v>0</v>
      </c>
      <c r="K91" s="43">
        <f>VLOOKUP(Tabla1[[#This Row],[PAGO DIA]],DIAS!A:C,3,0)</f>
        <v>46112</v>
      </c>
      <c r="L91" s="6">
        <v>0</v>
      </c>
      <c r="M91" s="41">
        <f>VLOOKUP(Tabla1[[#This Row],[PAGO DIA]],DIAS!A:D,4,0)</f>
        <v>46142</v>
      </c>
      <c r="N91" s="6">
        <v>0</v>
      </c>
      <c r="O91" s="43">
        <f>VLOOKUP(Tabla1[[#This Row],[PAGO DIA]],DIAS!A:E,5,0)</f>
        <v>46171</v>
      </c>
      <c r="P91" s="6">
        <v>0</v>
      </c>
      <c r="Q91" s="43">
        <f>VLOOKUP(Tabla1[[#This Row],[PAGO DIA]],DIAS!A:F,6,0)</f>
        <v>46203</v>
      </c>
      <c r="R91" s="6">
        <v>0</v>
      </c>
      <c r="S91" s="43">
        <f>VLOOKUP(Tabla1[[#This Row],[PAGO DIA]],DIAS!A:G,7,0)</f>
        <v>46234</v>
      </c>
      <c r="T91" s="6">
        <v>0</v>
      </c>
      <c r="U91" s="43">
        <f>VLOOKUP(Tabla1[[#This Row],[PAGO DIA]],DIAS!A:H,8,0)</f>
        <v>46265</v>
      </c>
      <c r="V91" s="6">
        <v>0</v>
      </c>
      <c r="W91" s="43">
        <f>VLOOKUP(Tabla1[[#This Row],[PAGO DIA]],DIAS!A:I,9,0)</f>
        <v>46295</v>
      </c>
      <c r="X91" s="6">
        <v>0</v>
      </c>
      <c r="Y91" s="43">
        <f>VLOOKUP(Tabla1[[#This Row],[PAGO DIA]],DIAS!A:J,10,0)</f>
        <v>46325</v>
      </c>
      <c r="Z91" s="6">
        <v>0</v>
      </c>
      <c r="AA91" s="43">
        <f>VLOOKUP(Tabla1[[#This Row],[PAGO DIA]],DIAS!A:K,11,0)</f>
        <v>46356</v>
      </c>
      <c r="AB91" s="6">
        <v>0</v>
      </c>
      <c r="AC91" s="43">
        <f>VLOOKUP(Tabla1[[#This Row],[PAGO DIA]],DIAS!A:M,12,0)</f>
        <v>46386</v>
      </c>
      <c r="AD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" spans="1:30">
      <c r="A92" s="3">
        <v>12018</v>
      </c>
      <c r="B92" s="3" t="s">
        <v>628</v>
      </c>
      <c r="C92" s="3" t="s">
        <v>540</v>
      </c>
      <c r="D92" s="3" t="s">
        <v>540</v>
      </c>
      <c r="E92" s="3" t="s">
        <v>681</v>
      </c>
      <c r="F92" s="42" t="s">
        <v>631</v>
      </c>
      <c r="G92" s="3" t="s">
        <v>684</v>
      </c>
      <c r="H92" s="6">
        <v>0</v>
      </c>
      <c r="I92" s="41">
        <f>VLOOKUP(Tabla1[[#This Row],[PAGO DIA]],DIAS!A:B,2,0)</f>
        <v>46080</v>
      </c>
      <c r="J92" s="6">
        <v>0</v>
      </c>
      <c r="K92" s="43">
        <f>VLOOKUP(Tabla1[[#This Row],[PAGO DIA]],DIAS!A:C,3,0)</f>
        <v>46112</v>
      </c>
      <c r="L92" s="6">
        <v>0</v>
      </c>
      <c r="M92" s="41">
        <f>VLOOKUP(Tabla1[[#This Row],[PAGO DIA]],DIAS!A:D,4,0)</f>
        <v>46142</v>
      </c>
      <c r="N92" s="6">
        <v>0</v>
      </c>
      <c r="O92" s="43">
        <f>VLOOKUP(Tabla1[[#This Row],[PAGO DIA]],DIAS!A:E,5,0)</f>
        <v>46171</v>
      </c>
      <c r="P92" s="6">
        <v>0</v>
      </c>
      <c r="Q92" s="43">
        <f>VLOOKUP(Tabla1[[#This Row],[PAGO DIA]],DIAS!A:F,6,0)</f>
        <v>46203</v>
      </c>
      <c r="R92" s="6">
        <v>0</v>
      </c>
      <c r="S92" s="43">
        <f>VLOOKUP(Tabla1[[#This Row],[PAGO DIA]],DIAS!A:G,7,0)</f>
        <v>46234</v>
      </c>
      <c r="T92" s="6">
        <v>0</v>
      </c>
      <c r="U92" s="43">
        <f>VLOOKUP(Tabla1[[#This Row],[PAGO DIA]],DIAS!A:H,8,0)</f>
        <v>46265</v>
      </c>
      <c r="V92" s="6">
        <v>0</v>
      </c>
      <c r="W92" s="43">
        <f>VLOOKUP(Tabla1[[#This Row],[PAGO DIA]],DIAS!A:I,9,0)</f>
        <v>46295</v>
      </c>
      <c r="X92" s="6">
        <v>0</v>
      </c>
      <c r="Y92" s="43">
        <f>VLOOKUP(Tabla1[[#This Row],[PAGO DIA]],DIAS!A:J,10,0)</f>
        <v>46325</v>
      </c>
      <c r="Z92" s="6">
        <v>0</v>
      </c>
      <c r="AA92" s="43">
        <f>VLOOKUP(Tabla1[[#This Row],[PAGO DIA]],DIAS!A:K,11,0)</f>
        <v>46356</v>
      </c>
      <c r="AB92" s="6">
        <v>0</v>
      </c>
      <c r="AC92" s="43">
        <f>VLOOKUP(Tabla1[[#This Row],[PAGO DIA]],DIAS!A:M,12,0)</f>
        <v>46386</v>
      </c>
      <c r="AD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" spans="1:30">
      <c r="A93" s="3">
        <v>12019</v>
      </c>
      <c r="B93" s="3" t="s">
        <v>628</v>
      </c>
      <c r="C93" s="3" t="s">
        <v>540</v>
      </c>
      <c r="D93" s="3" t="s">
        <v>540</v>
      </c>
      <c r="E93" s="3" t="s">
        <v>681</v>
      </c>
      <c r="F93" s="42" t="s">
        <v>631</v>
      </c>
      <c r="G93" s="3" t="s">
        <v>685</v>
      </c>
      <c r="H93" s="6">
        <v>0</v>
      </c>
      <c r="I93" s="41">
        <f>VLOOKUP(Tabla1[[#This Row],[PAGO DIA]],DIAS!A:B,2,0)</f>
        <v>46080</v>
      </c>
      <c r="J93" s="6">
        <v>0</v>
      </c>
      <c r="K93" s="43">
        <f>VLOOKUP(Tabla1[[#This Row],[PAGO DIA]],DIAS!A:C,3,0)</f>
        <v>46112</v>
      </c>
      <c r="L93" s="6">
        <v>0</v>
      </c>
      <c r="M93" s="41">
        <f>VLOOKUP(Tabla1[[#This Row],[PAGO DIA]],DIAS!A:D,4,0)</f>
        <v>46142</v>
      </c>
      <c r="N93" s="6">
        <v>0</v>
      </c>
      <c r="O93" s="43">
        <f>VLOOKUP(Tabla1[[#This Row],[PAGO DIA]],DIAS!A:E,5,0)</f>
        <v>46171</v>
      </c>
      <c r="P93" s="6">
        <v>0</v>
      </c>
      <c r="Q93" s="43">
        <f>VLOOKUP(Tabla1[[#This Row],[PAGO DIA]],DIAS!A:F,6,0)</f>
        <v>46203</v>
      </c>
      <c r="R93" s="6">
        <v>0</v>
      </c>
      <c r="S93" s="43">
        <f>VLOOKUP(Tabla1[[#This Row],[PAGO DIA]],DIAS!A:G,7,0)</f>
        <v>46234</v>
      </c>
      <c r="T93" s="6">
        <v>0</v>
      </c>
      <c r="U93" s="43">
        <f>VLOOKUP(Tabla1[[#This Row],[PAGO DIA]],DIAS!A:H,8,0)</f>
        <v>46265</v>
      </c>
      <c r="V93" s="6">
        <v>0</v>
      </c>
      <c r="W93" s="43">
        <f>VLOOKUP(Tabla1[[#This Row],[PAGO DIA]],DIAS!A:I,9,0)</f>
        <v>46295</v>
      </c>
      <c r="X93" s="6">
        <v>0</v>
      </c>
      <c r="Y93" s="43">
        <f>VLOOKUP(Tabla1[[#This Row],[PAGO DIA]],DIAS!A:J,10,0)</f>
        <v>46325</v>
      </c>
      <c r="Z93" s="6">
        <v>0</v>
      </c>
      <c r="AA93" s="43">
        <f>VLOOKUP(Tabla1[[#This Row],[PAGO DIA]],DIAS!A:K,11,0)</f>
        <v>46356</v>
      </c>
      <c r="AB93" s="6">
        <v>0</v>
      </c>
      <c r="AC93" s="43">
        <f>VLOOKUP(Tabla1[[#This Row],[PAGO DIA]],DIAS!A:M,12,0)</f>
        <v>46386</v>
      </c>
      <c r="AD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" spans="1:30">
      <c r="A94" s="3">
        <v>12020</v>
      </c>
      <c r="B94" s="3" t="s">
        <v>628</v>
      </c>
      <c r="C94" s="3" t="s">
        <v>540</v>
      </c>
      <c r="D94" s="3" t="s">
        <v>540</v>
      </c>
      <c r="E94" s="3" t="s">
        <v>681</v>
      </c>
      <c r="F94" s="42" t="s">
        <v>631</v>
      </c>
      <c r="G94" s="3" t="s">
        <v>686</v>
      </c>
      <c r="H94" s="6">
        <v>0</v>
      </c>
      <c r="I94" s="41">
        <f>VLOOKUP(Tabla1[[#This Row],[PAGO DIA]],DIAS!A:B,2,0)</f>
        <v>46080</v>
      </c>
      <c r="J94" s="6">
        <v>0</v>
      </c>
      <c r="K94" s="43">
        <f>VLOOKUP(Tabla1[[#This Row],[PAGO DIA]],DIAS!A:C,3,0)</f>
        <v>46112</v>
      </c>
      <c r="L94" s="6">
        <v>0</v>
      </c>
      <c r="M94" s="41">
        <f>VLOOKUP(Tabla1[[#This Row],[PAGO DIA]],DIAS!A:D,4,0)</f>
        <v>46142</v>
      </c>
      <c r="N94" s="6">
        <v>0</v>
      </c>
      <c r="O94" s="43">
        <f>VLOOKUP(Tabla1[[#This Row],[PAGO DIA]],DIAS!A:E,5,0)</f>
        <v>46171</v>
      </c>
      <c r="P94" s="6">
        <v>0</v>
      </c>
      <c r="Q94" s="43">
        <f>VLOOKUP(Tabla1[[#This Row],[PAGO DIA]],DIAS!A:F,6,0)</f>
        <v>46203</v>
      </c>
      <c r="R94" s="6">
        <v>0</v>
      </c>
      <c r="S94" s="43">
        <f>VLOOKUP(Tabla1[[#This Row],[PAGO DIA]],DIAS!A:G,7,0)</f>
        <v>46234</v>
      </c>
      <c r="T94" s="6">
        <v>0</v>
      </c>
      <c r="U94" s="43">
        <f>VLOOKUP(Tabla1[[#This Row],[PAGO DIA]],DIAS!A:H,8,0)</f>
        <v>46265</v>
      </c>
      <c r="V94" s="6">
        <v>0</v>
      </c>
      <c r="W94" s="43">
        <f>VLOOKUP(Tabla1[[#This Row],[PAGO DIA]],DIAS!A:I,9,0)</f>
        <v>46295</v>
      </c>
      <c r="X94" s="6">
        <v>0</v>
      </c>
      <c r="Y94" s="43">
        <f>VLOOKUP(Tabla1[[#This Row],[PAGO DIA]],DIAS!A:J,10,0)</f>
        <v>46325</v>
      </c>
      <c r="Z94" s="6">
        <v>0</v>
      </c>
      <c r="AA94" s="43">
        <f>VLOOKUP(Tabla1[[#This Row],[PAGO DIA]],DIAS!A:K,11,0)</f>
        <v>46356</v>
      </c>
      <c r="AB94" s="6">
        <v>0</v>
      </c>
      <c r="AC94" s="43">
        <f>VLOOKUP(Tabla1[[#This Row],[PAGO DIA]],DIAS!A:M,12,0)</f>
        <v>46386</v>
      </c>
      <c r="AD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" spans="1:30">
      <c r="A95" s="3">
        <v>12021</v>
      </c>
      <c r="B95" s="3" t="s">
        <v>628</v>
      </c>
      <c r="C95" s="3" t="s">
        <v>540</v>
      </c>
      <c r="D95" s="3" t="s">
        <v>540</v>
      </c>
      <c r="E95" s="3" t="s">
        <v>681</v>
      </c>
      <c r="F95" s="42" t="s">
        <v>631</v>
      </c>
      <c r="G95" s="3" t="s">
        <v>686</v>
      </c>
      <c r="H95" s="6">
        <v>0</v>
      </c>
      <c r="I95" s="41">
        <f>VLOOKUP(Tabla1[[#This Row],[PAGO DIA]],DIAS!A:B,2,0)</f>
        <v>46080</v>
      </c>
      <c r="J95" s="6">
        <v>0</v>
      </c>
      <c r="K95" s="43">
        <f>VLOOKUP(Tabla1[[#This Row],[PAGO DIA]],DIAS!A:C,3,0)</f>
        <v>46112</v>
      </c>
      <c r="L95" s="6">
        <v>0</v>
      </c>
      <c r="M95" s="41">
        <f>VLOOKUP(Tabla1[[#This Row],[PAGO DIA]],DIAS!A:D,4,0)</f>
        <v>46142</v>
      </c>
      <c r="N95" s="6">
        <v>0</v>
      </c>
      <c r="O95" s="43">
        <f>VLOOKUP(Tabla1[[#This Row],[PAGO DIA]],DIAS!A:E,5,0)</f>
        <v>46171</v>
      </c>
      <c r="P95" s="6">
        <v>0</v>
      </c>
      <c r="Q95" s="43">
        <f>VLOOKUP(Tabla1[[#This Row],[PAGO DIA]],DIAS!A:F,6,0)</f>
        <v>46203</v>
      </c>
      <c r="R95" s="6">
        <v>0</v>
      </c>
      <c r="S95" s="43">
        <f>VLOOKUP(Tabla1[[#This Row],[PAGO DIA]],DIAS!A:G,7,0)</f>
        <v>46234</v>
      </c>
      <c r="T95" s="6">
        <v>0</v>
      </c>
      <c r="U95" s="43">
        <f>VLOOKUP(Tabla1[[#This Row],[PAGO DIA]],DIAS!A:H,8,0)</f>
        <v>46265</v>
      </c>
      <c r="V95" s="6">
        <v>0</v>
      </c>
      <c r="W95" s="43">
        <f>VLOOKUP(Tabla1[[#This Row],[PAGO DIA]],DIAS!A:I,9,0)</f>
        <v>46295</v>
      </c>
      <c r="X95" s="6">
        <v>0</v>
      </c>
      <c r="Y95" s="43">
        <f>VLOOKUP(Tabla1[[#This Row],[PAGO DIA]],DIAS!A:J,10,0)</f>
        <v>46325</v>
      </c>
      <c r="Z95" s="6">
        <v>0</v>
      </c>
      <c r="AA95" s="43">
        <f>VLOOKUP(Tabla1[[#This Row],[PAGO DIA]],DIAS!A:K,11,0)</f>
        <v>46356</v>
      </c>
      <c r="AB95" s="6">
        <v>0</v>
      </c>
      <c r="AC95" s="43">
        <f>VLOOKUP(Tabla1[[#This Row],[PAGO DIA]],DIAS!A:M,12,0)</f>
        <v>46386</v>
      </c>
      <c r="AD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" spans="1:30">
      <c r="A96" s="3">
        <v>12022</v>
      </c>
      <c r="B96" s="3" t="s">
        <v>628</v>
      </c>
      <c r="C96" s="3" t="s">
        <v>540</v>
      </c>
      <c r="D96" s="3" t="s">
        <v>540</v>
      </c>
      <c r="E96" s="3" t="s">
        <v>681</v>
      </c>
      <c r="F96" s="42" t="s">
        <v>631</v>
      </c>
      <c r="G96" s="3" t="s">
        <v>683</v>
      </c>
      <c r="H96" s="6">
        <v>0</v>
      </c>
      <c r="I96" s="41">
        <f>VLOOKUP(Tabla1[[#This Row],[PAGO DIA]],DIAS!A:B,2,0)</f>
        <v>46080</v>
      </c>
      <c r="J96" s="6">
        <v>0</v>
      </c>
      <c r="K96" s="43">
        <f>VLOOKUP(Tabla1[[#This Row],[PAGO DIA]],DIAS!A:C,3,0)</f>
        <v>46112</v>
      </c>
      <c r="L96" s="6">
        <v>0</v>
      </c>
      <c r="M96" s="41">
        <f>VLOOKUP(Tabla1[[#This Row],[PAGO DIA]],DIAS!A:D,4,0)</f>
        <v>46142</v>
      </c>
      <c r="N96" s="6">
        <v>0</v>
      </c>
      <c r="O96" s="43">
        <f>VLOOKUP(Tabla1[[#This Row],[PAGO DIA]],DIAS!A:E,5,0)</f>
        <v>46171</v>
      </c>
      <c r="P96" s="6">
        <v>0</v>
      </c>
      <c r="Q96" s="43">
        <f>VLOOKUP(Tabla1[[#This Row],[PAGO DIA]],DIAS!A:F,6,0)</f>
        <v>46203</v>
      </c>
      <c r="R96" s="6">
        <v>0</v>
      </c>
      <c r="S96" s="43">
        <f>VLOOKUP(Tabla1[[#This Row],[PAGO DIA]],DIAS!A:G,7,0)</f>
        <v>46234</v>
      </c>
      <c r="T96" s="6">
        <v>0</v>
      </c>
      <c r="U96" s="43">
        <f>VLOOKUP(Tabla1[[#This Row],[PAGO DIA]],DIAS!A:H,8,0)</f>
        <v>46265</v>
      </c>
      <c r="V96" s="6">
        <v>0</v>
      </c>
      <c r="W96" s="43">
        <f>VLOOKUP(Tabla1[[#This Row],[PAGO DIA]],DIAS!A:I,9,0)</f>
        <v>46295</v>
      </c>
      <c r="X96" s="6">
        <v>0</v>
      </c>
      <c r="Y96" s="43">
        <f>VLOOKUP(Tabla1[[#This Row],[PAGO DIA]],DIAS!A:J,10,0)</f>
        <v>46325</v>
      </c>
      <c r="Z96" s="6">
        <v>0</v>
      </c>
      <c r="AA96" s="43">
        <f>VLOOKUP(Tabla1[[#This Row],[PAGO DIA]],DIAS!A:K,11,0)</f>
        <v>46356</v>
      </c>
      <c r="AB96" s="6">
        <v>0</v>
      </c>
      <c r="AC96" s="43">
        <f>VLOOKUP(Tabla1[[#This Row],[PAGO DIA]],DIAS!A:M,12,0)</f>
        <v>46386</v>
      </c>
      <c r="AD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" spans="1:30">
      <c r="A97" s="3">
        <v>12023</v>
      </c>
      <c r="B97" s="3" t="s">
        <v>628</v>
      </c>
      <c r="C97" s="3" t="s">
        <v>540</v>
      </c>
      <c r="D97" s="3" t="s">
        <v>540</v>
      </c>
      <c r="E97" s="3" t="s">
        <v>681</v>
      </c>
      <c r="F97" s="42" t="s">
        <v>631</v>
      </c>
      <c r="G97" s="3" t="s">
        <v>686</v>
      </c>
      <c r="H97" s="6">
        <v>0</v>
      </c>
      <c r="I97" s="41">
        <f>VLOOKUP(Tabla1[[#This Row],[PAGO DIA]],DIAS!A:B,2,0)</f>
        <v>46080</v>
      </c>
      <c r="J97" s="6">
        <v>0</v>
      </c>
      <c r="K97" s="43">
        <f>VLOOKUP(Tabla1[[#This Row],[PAGO DIA]],DIAS!A:C,3,0)</f>
        <v>46112</v>
      </c>
      <c r="L97" s="6">
        <v>0</v>
      </c>
      <c r="M97" s="41">
        <f>VLOOKUP(Tabla1[[#This Row],[PAGO DIA]],DIAS!A:D,4,0)</f>
        <v>46142</v>
      </c>
      <c r="N97" s="6">
        <v>0</v>
      </c>
      <c r="O97" s="43">
        <f>VLOOKUP(Tabla1[[#This Row],[PAGO DIA]],DIAS!A:E,5,0)</f>
        <v>46171</v>
      </c>
      <c r="P97" s="6">
        <v>0</v>
      </c>
      <c r="Q97" s="43">
        <f>VLOOKUP(Tabla1[[#This Row],[PAGO DIA]],DIAS!A:F,6,0)</f>
        <v>46203</v>
      </c>
      <c r="R97" s="6">
        <v>0</v>
      </c>
      <c r="S97" s="43">
        <f>VLOOKUP(Tabla1[[#This Row],[PAGO DIA]],DIAS!A:G,7,0)</f>
        <v>46234</v>
      </c>
      <c r="T97" s="6">
        <v>0</v>
      </c>
      <c r="U97" s="43">
        <f>VLOOKUP(Tabla1[[#This Row],[PAGO DIA]],DIAS!A:H,8,0)</f>
        <v>46265</v>
      </c>
      <c r="V97" s="6">
        <v>0</v>
      </c>
      <c r="W97" s="43">
        <f>VLOOKUP(Tabla1[[#This Row],[PAGO DIA]],DIAS!A:I,9,0)</f>
        <v>46295</v>
      </c>
      <c r="X97" s="6">
        <v>0</v>
      </c>
      <c r="Y97" s="43">
        <f>VLOOKUP(Tabla1[[#This Row],[PAGO DIA]],DIAS!A:J,10,0)</f>
        <v>46325</v>
      </c>
      <c r="Z97" s="6">
        <v>0</v>
      </c>
      <c r="AA97" s="43">
        <f>VLOOKUP(Tabla1[[#This Row],[PAGO DIA]],DIAS!A:K,11,0)</f>
        <v>46356</v>
      </c>
      <c r="AB97" s="6">
        <v>0</v>
      </c>
      <c r="AC97" s="43">
        <f>VLOOKUP(Tabla1[[#This Row],[PAGO DIA]],DIAS!A:M,12,0)</f>
        <v>46386</v>
      </c>
      <c r="AD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" spans="1:30">
      <c r="A98" s="3">
        <v>12024</v>
      </c>
      <c r="B98" s="3" t="s">
        <v>628</v>
      </c>
      <c r="C98" s="3" t="s">
        <v>540</v>
      </c>
      <c r="D98" s="3" t="s">
        <v>540</v>
      </c>
      <c r="E98" s="3" t="s">
        <v>681</v>
      </c>
      <c r="F98" s="42" t="s">
        <v>631</v>
      </c>
      <c r="G98" s="3" t="s">
        <v>687</v>
      </c>
      <c r="H98" s="6">
        <v>0</v>
      </c>
      <c r="I98" s="41">
        <f>VLOOKUP(Tabla1[[#This Row],[PAGO DIA]],DIAS!A:B,2,0)</f>
        <v>46080</v>
      </c>
      <c r="J98" s="6">
        <v>0</v>
      </c>
      <c r="K98" s="43">
        <f>VLOOKUP(Tabla1[[#This Row],[PAGO DIA]],DIAS!A:C,3,0)</f>
        <v>46112</v>
      </c>
      <c r="L98" s="6">
        <v>0</v>
      </c>
      <c r="M98" s="41">
        <f>VLOOKUP(Tabla1[[#This Row],[PAGO DIA]],DIAS!A:D,4,0)</f>
        <v>46142</v>
      </c>
      <c r="N98" s="6">
        <v>0</v>
      </c>
      <c r="O98" s="43">
        <f>VLOOKUP(Tabla1[[#This Row],[PAGO DIA]],DIAS!A:E,5,0)</f>
        <v>46171</v>
      </c>
      <c r="P98" s="6">
        <v>0</v>
      </c>
      <c r="Q98" s="43">
        <f>VLOOKUP(Tabla1[[#This Row],[PAGO DIA]],DIAS!A:F,6,0)</f>
        <v>46203</v>
      </c>
      <c r="R98" s="6">
        <v>0</v>
      </c>
      <c r="S98" s="43">
        <f>VLOOKUP(Tabla1[[#This Row],[PAGO DIA]],DIAS!A:G,7,0)</f>
        <v>46234</v>
      </c>
      <c r="T98" s="6">
        <v>0</v>
      </c>
      <c r="U98" s="43">
        <f>VLOOKUP(Tabla1[[#This Row],[PAGO DIA]],DIAS!A:H,8,0)</f>
        <v>46265</v>
      </c>
      <c r="V98" s="6">
        <v>0</v>
      </c>
      <c r="W98" s="43">
        <f>VLOOKUP(Tabla1[[#This Row],[PAGO DIA]],DIAS!A:I,9,0)</f>
        <v>46295</v>
      </c>
      <c r="X98" s="6">
        <v>0</v>
      </c>
      <c r="Y98" s="43">
        <f>VLOOKUP(Tabla1[[#This Row],[PAGO DIA]],DIAS!A:J,10,0)</f>
        <v>46325</v>
      </c>
      <c r="Z98" s="6">
        <v>0</v>
      </c>
      <c r="AA98" s="43">
        <f>VLOOKUP(Tabla1[[#This Row],[PAGO DIA]],DIAS!A:K,11,0)</f>
        <v>46356</v>
      </c>
      <c r="AB98" s="6">
        <v>0</v>
      </c>
      <c r="AC98" s="43">
        <f>VLOOKUP(Tabla1[[#This Row],[PAGO DIA]],DIAS!A:M,12,0)</f>
        <v>46386</v>
      </c>
      <c r="AD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" spans="1:30">
      <c r="A99" s="3">
        <v>12739</v>
      </c>
      <c r="B99" s="3" t="s">
        <v>628</v>
      </c>
      <c r="C99" s="3" t="s">
        <v>629</v>
      </c>
      <c r="D99" s="3" t="s">
        <v>540</v>
      </c>
      <c r="E99" s="3" t="s">
        <v>688</v>
      </c>
      <c r="F99" s="42" t="s">
        <v>631</v>
      </c>
      <c r="G99" s="3" t="s">
        <v>689</v>
      </c>
      <c r="H99" s="6">
        <v>0</v>
      </c>
      <c r="I99" s="41">
        <f>VLOOKUP(Tabla1[[#This Row],[PAGO DIA]],DIAS!A:B,2,0)</f>
        <v>46080</v>
      </c>
      <c r="J99" s="6">
        <v>0</v>
      </c>
      <c r="K99" s="43">
        <f>VLOOKUP(Tabla1[[#This Row],[PAGO DIA]],DIAS!A:C,3,0)</f>
        <v>46112</v>
      </c>
      <c r="L99" s="6">
        <v>0</v>
      </c>
      <c r="M99" s="41">
        <f>VLOOKUP(Tabla1[[#This Row],[PAGO DIA]],DIAS!A:D,4,0)</f>
        <v>46142</v>
      </c>
      <c r="N99" s="6">
        <v>0</v>
      </c>
      <c r="O99" s="43">
        <f>VLOOKUP(Tabla1[[#This Row],[PAGO DIA]],DIAS!A:E,5,0)</f>
        <v>46171</v>
      </c>
      <c r="P99" s="6">
        <v>0</v>
      </c>
      <c r="Q99" s="43">
        <f>VLOOKUP(Tabla1[[#This Row],[PAGO DIA]],DIAS!A:F,6,0)</f>
        <v>46203</v>
      </c>
      <c r="R99" s="6">
        <v>0</v>
      </c>
      <c r="S99" s="43">
        <f>VLOOKUP(Tabla1[[#This Row],[PAGO DIA]],DIAS!A:G,7,0)</f>
        <v>46234</v>
      </c>
      <c r="T99" s="6">
        <v>0</v>
      </c>
      <c r="U99" s="43">
        <f>VLOOKUP(Tabla1[[#This Row],[PAGO DIA]],DIAS!A:H,8,0)</f>
        <v>46265</v>
      </c>
      <c r="V99" s="6">
        <v>0</v>
      </c>
      <c r="W99" s="43">
        <f>VLOOKUP(Tabla1[[#This Row],[PAGO DIA]],DIAS!A:I,9,0)</f>
        <v>46295</v>
      </c>
      <c r="X99" s="6">
        <v>0</v>
      </c>
      <c r="Y99" s="43">
        <f>VLOOKUP(Tabla1[[#This Row],[PAGO DIA]],DIAS!A:J,10,0)</f>
        <v>46325</v>
      </c>
      <c r="Z99" s="6">
        <v>0</v>
      </c>
      <c r="AA99" s="43">
        <f>VLOOKUP(Tabla1[[#This Row],[PAGO DIA]],DIAS!A:K,11,0)</f>
        <v>46356</v>
      </c>
      <c r="AB99" s="6">
        <v>0</v>
      </c>
      <c r="AC99" s="43">
        <f>VLOOKUP(Tabla1[[#This Row],[PAGO DIA]],DIAS!A:M,12,0)</f>
        <v>46386</v>
      </c>
      <c r="AD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" spans="1:30">
      <c r="A100" s="3">
        <v>11522</v>
      </c>
      <c r="B100" s="3" t="s">
        <v>628</v>
      </c>
      <c r="C100" s="3" t="s">
        <v>540</v>
      </c>
      <c r="D100" s="3" t="s">
        <v>540</v>
      </c>
      <c r="E100" s="3" t="s">
        <v>690</v>
      </c>
      <c r="F100" s="42" t="s">
        <v>631</v>
      </c>
      <c r="G100" s="3" t="s">
        <v>691</v>
      </c>
      <c r="H100" s="6">
        <v>0</v>
      </c>
      <c r="I100" s="41">
        <f>VLOOKUP(Tabla1[[#This Row],[PAGO DIA]],DIAS!A:B,2,0)</f>
        <v>46080</v>
      </c>
      <c r="J100" s="6">
        <v>0</v>
      </c>
      <c r="K100" s="43">
        <f>VLOOKUP(Tabla1[[#This Row],[PAGO DIA]],DIAS!A:C,3,0)</f>
        <v>46112</v>
      </c>
      <c r="L100" s="6">
        <v>0</v>
      </c>
      <c r="M100" s="41">
        <f>VLOOKUP(Tabla1[[#This Row],[PAGO DIA]],DIAS!A:D,4,0)</f>
        <v>46142</v>
      </c>
      <c r="N100" s="6">
        <v>0</v>
      </c>
      <c r="O100" s="43">
        <f>VLOOKUP(Tabla1[[#This Row],[PAGO DIA]],DIAS!A:E,5,0)</f>
        <v>46171</v>
      </c>
      <c r="P100" s="6">
        <v>0</v>
      </c>
      <c r="Q100" s="43">
        <f>VLOOKUP(Tabla1[[#This Row],[PAGO DIA]],DIAS!A:F,6,0)</f>
        <v>46203</v>
      </c>
      <c r="R100" s="6">
        <v>0</v>
      </c>
      <c r="S100" s="43">
        <f>VLOOKUP(Tabla1[[#This Row],[PAGO DIA]],DIAS!A:G,7,0)</f>
        <v>46234</v>
      </c>
      <c r="T100" s="6">
        <v>0</v>
      </c>
      <c r="U100" s="43">
        <f>VLOOKUP(Tabla1[[#This Row],[PAGO DIA]],DIAS!A:H,8,0)</f>
        <v>46265</v>
      </c>
      <c r="V100" s="6">
        <v>0</v>
      </c>
      <c r="W100" s="43">
        <f>VLOOKUP(Tabla1[[#This Row],[PAGO DIA]],DIAS!A:I,9,0)</f>
        <v>46295</v>
      </c>
      <c r="X100" s="6">
        <v>0</v>
      </c>
      <c r="Y100" s="43">
        <f>VLOOKUP(Tabla1[[#This Row],[PAGO DIA]],DIAS!A:J,10,0)</f>
        <v>46325</v>
      </c>
      <c r="Z100" s="6">
        <v>0</v>
      </c>
      <c r="AA100" s="43">
        <f>VLOOKUP(Tabla1[[#This Row],[PAGO DIA]],DIAS!A:K,11,0)</f>
        <v>46356</v>
      </c>
      <c r="AB100" s="6">
        <v>0</v>
      </c>
      <c r="AC100" s="43">
        <f>VLOOKUP(Tabla1[[#This Row],[PAGO DIA]],DIAS!A:M,12,0)</f>
        <v>46386</v>
      </c>
      <c r="AD1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" spans="1:30">
      <c r="A101" s="3">
        <v>11368</v>
      </c>
      <c r="B101" s="3" t="s">
        <v>548</v>
      </c>
      <c r="C101" s="3" t="s">
        <v>692</v>
      </c>
      <c r="D101" s="3" t="s">
        <v>693</v>
      </c>
      <c r="E101" s="3" t="s">
        <v>693</v>
      </c>
      <c r="F101" s="42" t="s">
        <v>562</v>
      </c>
      <c r="G101" s="3"/>
      <c r="H101" s="6">
        <v>630000</v>
      </c>
      <c r="I101" s="41">
        <f>VLOOKUP(Tabla1[[#This Row],[PAGO DIA]],DIAS!A:B,2,0)</f>
        <v>46078</v>
      </c>
      <c r="J101" s="6">
        <v>0</v>
      </c>
      <c r="K101" s="43">
        <f>VLOOKUP(Tabla1[[#This Row],[PAGO DIA]],DIAS!A:C,3,0)</f>
        <v>46105</v>
      </c>
      <c r="L101" s="6">
        <v>0</v>
      </c>
      <c r="M101" s="41">
        <f>VLOOKUP(Tabla1[[#This Row],[PAGO DIA]],DIAS!A:D,4,0)</f>
        <v>46140</v>
      </c>
      <c r="N101" s="6">
        <v>0</v>
      </c>
      <c r="O101" s="43">
        <f>VLOOKUP(Tabla1[[#This Row],[PAGO DIA]],DIAS!A:E,5,0)</f>
        <v>46168</v>
      </c>
      <c r="P101" s="6">
        <v>0</v>
      </c>
      <c r="Q101" s="43">
        <f>VLOOKUP(Tabla1[[#This Row],[PAGO DIA]],DIAS!A:F,6,0)</f>
        <v>46196</v>
      </c>
      <c r="R101" s="6">
        <v>0</v>
      </c>
      <c r="S101" s="43">
        <f>VLOOKUP(Tabla1[[#This Row],[PAGO DIA]],DIAS!A:G,7,0)</f>
        <v>46231</v>
      </c>
      <c r="T101" s="6">
        <v>0</v>
      </c>
      <c r="U101" s="43">
        <f>VLOOKUP(Tabla1[[#This Row],[PAGO DIA]],DIAS!A:H,8,0)</f>
        <v>46259</v>
      </c>
      <c r="V101" s="6">
        <v>0</v>
      </c>
      <c r="W101" s="43">
        <f>VLOOKUP(Tabla1[[#This Row],[PAGO DIA]],DIAS!A:I,9,0)</f>
        <v>46287</v>
      </c>
      <c r="X101" s="6">
        <v>0</v>
      </c>
      <c r="Y101" s="43">
        <f>VLOOKUP(Tabla1[[#This Row],[PAGO DIA]],DIAS!A:J,10,0)</f>
        <v>46322</v>
      </c>
      <c r="Z101" s="6">
        <v>0</v>
      </c>
      <c r="AA101" s="43">
        <f>VLOOKUP(Tabla1[[#This Row],[PAGO DIA]],DIAS!A:K,11,0)</f>
        <v>46350</v>
      </c>
      <c r="AB101" s="6">
        <v>0</v>
      </c>
      <c r="AC101" s="43">
        <f>VLOOKUP(Tabla1[[#This Row],[PAGO DIA]],DIAS!A:M,12,0)</f>
        <v>46379</v>
      </c>
      <c r="AD1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630000</v>
      </c>
    </row>
    <row r="102" spans="1:30">
      <c r="A102" s="3">
        <v>11369</v>
      </c>
      <c r="B102" s="3" t="s">
        <v>548</v>
      </c>
      <c r="C102" s="3" t="s">
        <v>694</v>
      </c>
      <c r="D102" s="3" t="s">
        <v>694</v>
      </c>
      <c r="E102" s="3" t="s">
        <v>694</v>
      </c>
      <c r="F102" s="42" t="s">
        <v>551</v>
      </c>
      <c r="G102" s="3"/>
      <c r="H102" s="6">
        <v>322836.42</v>
      </c>
      <c r="I102" s="41">
        <f>VLOOKUP(Tabla1[[#This Row],[PAGO DIA]],DIAS!A:B,2,0)</f>
        <v>46063</v>
      </c>
      <c r="J102" s="6">
        <v>0</v>
      </c>
      <c r="K102" s="43">
        <f>VLOOKUP(Tabla1[[#This Row],[PAGO DIA]],DIAS!A:C,3,0)</f>
        <v>46091</v>
      </c>
      <c r="L102" s="6">
        <v>0</v>
      </c>
      <c r="M102" s="41">
        <f>VLOOKUP(Tabla1[[#This Row],[PAGO DIA]],DIAS!A:D,4,0)</f>
        <v>46126</v>
      </c>
      <c r="N102" s="6">
        <v>0</v>
      </c>
      <c r="O102" s="43">
        <f>VLOOKUP(Tabla1[[#This Row],[PAGO DIA]],DIAS!A:E,5,0)</f>
        <v>46154</v>
      </c>
      <c r="P102" s="6">
        <v>0</v>
      </c>
      <c r="Q102" s="43">
        <f>VLOOKUP(Tabla1[[#This Row],[PAGO DIA]],DIAS!A:F,6,0)</f>
        <v>46182</v>
      </c>
      <c r="R102" s="6">
        <v>0</v>
      </c>
      <c r="S102" s="43">
        <f>VLOOKUP(Tabla1[[#This Row],[PAGO DIA]],DIAS!A:G,7,0)</f>
        <v>46217</v>
      </c>
      <c r="T102" s="6">
        <v>0</v>
      </c>
      <c r="U102" s="43">
        <f>VLOOKUP(Tabla1[[#This Row],[PAGO DIA]],DIAS!A:H,8,0)</f>
        <v>46245</v>
      </c>
      <c r="V102" s="6">
        <v>0</v>
      </c>
      <c r="W102" s="43">
        <f>VLOOKUP(Tabla1[[#This Row],[PAGO DIA]],DIAS!A:I,9,0)</f>
        <v>46273</v>
      </c>
      <c r="X102" s="6">
        <v>0</v>
      </c>
      <c r="Y102" s="43">
        <f>VLOOKUP(Tabla1[[#This Row],[PAGO DIA]],DIAS!A:J,10,0)</f>
        <v>46308</v>
      </c>
      <c r="Z102" s="6">
        <v>0</v>
      </c>
      <c r="AA102" s="43">
        <f>VLOOKUP(Tabla1[[#This Row],[PAGO DIA]],DIAS!A:K,11,0)</f>
        <v>46336</v>
      </c>
      <c r="AB102" s="6">
        <v>0</v>
      </c>
      <c r="AC102" s="43">
        <f>VLOOKUP(Tabla1[[#This Row],[PAGO DIA]],DIAS!A:M,12,0)</f>
        <v>46365</v>
      </c>
      <c r="AD1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322836.42</v>
      </c>
    </row>
    <row r="103" spans="1:30">
      <c r="A103" s="3">
        <v>11525</v>
      </c>
      <c r="B103" s="3" t="s">
        <v>628</v>
      </c>
      <c r="C103" s="3" t="s">
        <v>540</v>
      </c>
      <c r="D103" s="3" t="s">
        <v>540</v>
      </c>
      <c r="E103" s="3" t="s">
        <v>690</v>
      </c>
      <c r="F103" s="42" t="s">
        <v>631</v>
      </c>
      <c r="G103" s="3" t="s">
        <v>695</v>
      </c>
      <c r="H103" s="6">
        <v>0</v>
      </c>
      <c r="I103" s="41">
        <f>VLOOKUP(Tabla1[[#This Row],[PAGO DIA]],DIAS!A:B,2,0)</f>
        <v>46080</v>
      </c>
      <c r="J103" s="6">
        <v>0</v>
      </c>
      <c r="K103" s="43">
        <f>VLOOKUP(Tabla1[[#This Row],[PAGO DIA]],DIAS!A:C,3,0)</f>
        <v>46112</v>
      </c>
      <c r="L103" s="6">
        <v>0</v>
      </c>
      <c r="M103" s="41">
        <f>VLOOKUP(Tabla1[[#This Row],[PAGO DIA]],DIAS!A:D,4,0)</f>
        <v>46142</v>
      </c>
      <c r="N103" s="6">
        <v>0</v>
      </c>
      <c r="O103" s="43">
        <f>VLOOKUP(Tabla1[[#This Row],[PAGO DIA]],DIAS!A:E,5,0)</f>
        <v>46171</v>
      </c>
      <c r="P103" s="6">
        <v>0</v>
      </c>
      <c r="Q103" s="43">
        <f>VLOOKUP(Tabla1[[#This Row],[PAGO DIA]],DIAS!A:F,6,0)</f>
        <v>46203</v>
      </c>
      <c r="R103" s="6">
        <v>0</v>
      </c>
      <c r="S103" s="43">
        <f>VLOOKUP(Tabla1[[#This Row],[PAGO DIA]],DIAS!A:G,7,0)</f>
        <v>46234</v>
      </c>
      <c r="T103" s="6">
        <v>0</v>
      </c>
      <c r="U103" s="43">
        <f>VLOOKUP(Tabla1[[#This Row],[PAGO DIA]],DIAS!A:H,8,0)</f>
        <v>46265</v>
      </c>
      <c r="V103" s="6">
        <v>0</v>
      </c>
      <c r="W103" s="43">
        <f>VLOOKUP(Tabla1[[#This Row],[PAGO DIA]],DIAS!A:I,9,0)</f>
        <v>46295</v>
      </c>
      <c r="X103" s="6">
        <v>0</v>
      </c>
      <c r="Y103" s="43">
        <f>VLOOKUP(Tabla1[[#This Row],[PAGO DIA]],DIAS!A:J,10,0)</f>
        <v>46325</v>
      </c>
      <c r="Z103" s="6">
        <v>0</v>
      </c>
      <c r="AA103" s="43">
        <f>VLOOKUP(Tabla1[[#This Row],[PAGO DIA]],DIAS!A:K,11,0)</f>
        <v>46356</v>
      </c>
      <c r="AB103" s="6">
        <v>0</v>
      </c>
      <c r="AC103" s="43">
        <f>VLOOKUP(Tabla1[[#This Row],[PAGO DIA]],DIAS!A:M,12,0)</f>
        <v>46386</v>
      </c>
      <c r="AD1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" spans="1:30">
      <c r="A104" s="3">
        <v>12045</v>
      </c>
      <c r="B104" s="3" t="s">
        <v>628</v>
      </c>
      <c r="C104" s="3" t="s">
        <v>629</v>
      </c>
      <c r="D104" s="3" t="s">
        <v>629</v>
      </c>
      <c r="E104" s="3" t="s">
        <v>696</v>
      </c>
      <c r="F104" s="42" t="s">
        <v>631</v>
      </c>
      <c r="G104" s="3" t="s">
        <v>635</v>
      </c>
      <c r="H104" s="6">
        <v>0</v>
      </c>
      <c r="I104" s="41">
        <f>VLOOKUP(Tabla1[[#This Row],[PAGO DIA]],DIAS!A:B,2,0)</f>
        <v>46080</v>
      </c>
      <c r="J104" s="6">
        <v>0</v>
      </c>
      <c r="K104" s="43">
        <f>VLOOKUP(Tabla1[[#This Row],[PAGO DIA]],DIAS!A:C,3,0)</f>
        <v>46112</v>
      </c>
      <c r="L104" s="6">
        <v>0</v>
      </c>
      <c r="M104" s="41">
        <f>VLOOKUP(Tabla1[[#This Row],[PAGO DIA]],DIAS!A:D,4,0)</f>
        <v>46142</v>
      </c>
      <c r="N104" s="6">
        <v>0</v>
      </c>
      <c r="O104" s="43">
        <f>VLOOKUP(Tabla1[[#This Row],[PAGO DIA]],DIAS!A:E,5,0)</f>
        <v>46171</v>
      </c>
      <c r="P104" s="6">
        <v>0</v>
      </c>
      <c r="Q104" s="43">
        <f>VLOOKUP(Tabla1[[#This Row],[PAGO DIA]],DIAS!A:F,6,0)</f>
        <v>46203</v>
      </c>
      <c r="R104" s="6">
        <v>0</v>
      </c>
      <c r="S104" s="43">
        <f>VLOOKUP(Tabla1[[#This Row],[PAGO DIA]],DIAS!A:G,7,0)</f>
        <v>46234</v>
      </c>
      <c r="T104" s="6">
        <v>0</v>
      </c>
      <c r="U104" s="43">
        <f>VLOOKUP(Tabla1[[#This Row],[PAGO DIA]],DIAS!A:H,8,0)</f>
        <v>46265</v>
      </c>
      <c r="V104" s="6">
        <v>0</v>
      </c>
      <c r="W104" s="43">
        <f>VLOOKUP(Tabla1[[#This Row],[PAGO DIA]],DIAS!A:I,9,0)</f>
        <v>46295</v>
      </c>
      <c r="X104" s="6">
        <v>0</v>
      </c>
      <c r="Y104" s="43">
        <f>VLOOKUP(Tabla1[[#This Row],[PAGO DIA]],DIAS!A:J,10,0)</f>
        <v>46325</v>
      </c>
      <c r="Z104" s="6">
        <v>0</v>
      </c>
      <c r="AA104" s="43">
        <f>VLOOKUP(Tabla1[[#This Row],[PAGO DIA]],DIAS!A:K,11,0)</f>
        <v>46356</v>
      </c>
      <c r="AB104" s="6">
        <v>0</v>
      </c>
      <c r="AC104" s="43">
        <f>VLOOKUP(Tabla1[[#This Row],[PAGO DIA]],DIAS!A:M,12,0)</f>
        <v>46386</v>
      </c>
      <c r="AD1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" spans="1:30">
      <c r="A105" s="3">
        <v>12801</v>
      </c>
      <c r="B105" s="3" t="s">
        <v>628</v>
      </c>
      <c r="C105" s="3" t="s">
        <v>629</v>
      </c>
      <c r="D105" s="3" t="s">
        <v>540</v>
      </c>
      <c r="E105" s="3" t="s">
        <v>697</v>
      </c>
      <c r="F105" s="42" t="s">
        <v>631</v>
      </c>
      <c r="G105" s="3" t="s">
        <v>698</v>
      </c>
      <c r="H105" s="6">
        <v>0</v>
      </c>
      <c r="I105" s="41">
        <f>VLOOKUP(Tabla1[[#This Row],[PAGO DIA]],DIAS!A:B,2,0)</f>
        <v>46080</v>
      </c>
      <c r="J105" s="6">
        <v>0</v>
      </c>
      <c r="K105" s="43">
        <f>VLOOKUP(Tabla1[[#This Row],[PAGO DIA]],DIAS!A:C,3,0)</f>
        <v>46112</v>
      </c>
      <c r="L105" s="6">
        <v>0</v>
      </c>
      <c r="M105" s="41">
        <f>VLOOKUP(Tabla1[[#This Row],[PAGO DIA]],DIAS!A:D,4,0)</f>
        <v>46142</v>
      </c>
      <c r="N105" s="6">
        <v>0</v>
      </c>
      <c r="O105" s="43">
        <f>VLOOKUP(Tabla1[[#This Row],[PAGO DIA]],DIAS!A:E,5,0)</f>
        <v>46171</v>
      </c>
      <c r="P105" s="6">
        <v>0</v>
      </c>
      <c r="Q105" s="43">
        <f>VLOOKUP(Tabla1[[#This Row],[PAGO DIA]],DIAS!A:F,6,0)</f>
        <v>46203</v>
      </c>
      <c r="R105" s="6">
        <v>0</v>
      </c>
      <c r="S105" s="43">
        <f>VLOOKUP(Tabla1[[#This Row],[PAGO DIA]],DIAS!A:G,7,0)</f>
        <v>46234</v>
      </c>
      <c r="T105" s="6">
        <v>0</v>
      </c>
      <c r="U105" s="43">
        <f>VLOOKUP(Tabla1[[#This Row],[PAGO DIA]],DIAS!A:H,8,0)</f>
        <v>46265</v>
      </c>
      <c r="V105" s="6">
        <v>0</v>
      </c>
      <c r="W105" s="43">
        <f>VLOOKUP(Tabla1[[#This Row],[PAGO DIA]],DIAS!A:I,9,0)</f>
        <v>46295</v>
      </c>
      <c r="X105" s="6">
        <v>0</v>
      </c>
      <c r="Y105" s="43">
        <f>VLOOKUP(Tabla1[[#This Row],[PAGO DIA]],DIAS!A:J,10,0)</f>
        <v>46325</v>
      </c>
      <c r="Z105" s="6">
        <v>0</v>
      </c>
      <c r="AA105" s="43">
        <f>VLOOKUP(Tabla1[[#This Row],[PAGO DIA]],DIAS!A:K,11,0)</f>
        <v>46356</v>
      </c>
      <c r="AB105" s="6">
        <v>0</v>
      </c>
      <c r="AC105" s="43">
        <f>VLOOKUP(Tabla1[[#This Row],[PAGO DIA]],DIAS!A:M,12,0)</f>
        <v>46386</v>
      </c>
      <c r="AD1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" spans="1:30">
      <c r="A106" s="3">
        <v>11556</v>
      </c>
      <c r="B106" s="3" t="s">
        <v>628</v>
      </c>
      <c r="C106" s="3" t="s">
        <v>540</v>
      </c>
      <c r="D106" s="3" t="s">
        <v>540</v>
      </c>
      <c r="E106" s="3" t="s">
        <v>699</v>
      </c>
      <c r="F106" s="42" t="s">
        <v>631</v>
      </c>
      <c r="G106" s="3" t="s">
        <v>700</v>
      </c>
      <c r="H106" s="6">
        <v>0</v>
      </c>
      <c r="I106" s="41">
        <f>VLOOKUP(Tabla1[[#This Row],[PAGO DIA]],DIAS!A:B,2,0)</f>
        <v>46080</v>
      </c>
      <c r="J106" s="6">
        <v>0</v>
      </c>
      <c r="K106" s="43">
        <f>VLOOKUP(Tabla1[[#This Row],[PAGO DIA]],DIAS!A:C,3,0)</f>
        <v>46112</v>
      </c>
      <c r="L106" s="6">
        <v>0</v>
      </c>
      <c r="M106" s="41">
        <f>VLOOKUP(Tabla1[[#This Row],[PAGO DIA]],DIAS!A:D,4,0)</f>
        <v>46142</v>
      </c>
      <c r="N106" s="6">
        <v>0</v>
      </c>
      <c r="O106" s="43">
        <f>VLOOKUP(Tabla1[[#This Row],[PAGO DIA]],DIAS!A:E,5,0)</f>
        <v>46171</v>
      </c>
      <c r="P106" s="6">
        <v>0</v>
      </c>
      <c r="Q106" s="43">
        <f>VLOOKUP(Tabla1[[#This Row],[PAGO DIA]],DIAS!A:F,6,0)</f>
        <v>46203</v>
      </c>
      <c r="R106" s="6">
        <v>0</v>
      </c>
      <c r="S106" s="43">
        <f>VLOOKUP(Tabla1[[#This Row],[PAGO DIA]],DIAS!A:G,7,0)</f>
        <v>46234</v>
      </c>
      <c r="T106" s="6">
        <v>0</v>
      </c>
      <c r="U106" s="43">
        <f>VLOOKUP(Tabla1[[#This Row],[PAGO DIA]],DIAS!A:H,8,0)</f>
        <v>46265</v>
      </c>
      <c r="V106" s="6">
        <v>0</v>
      </c>
      <c r="W106" s="43">
        <f>VLOOKUP(Tabla1[[#This Row],[PAGO DIA]],DIAS!A:I,9,0)</f>
        <v>46295</v>
      </c>
      <c r="X106" s="6">
        <v>0</v>
      </c>
      <c r="Y106" s="43">
        <f>VLOOKUP(Tabla1[[#This Row],[PAGO DIA]],DIAS!A:J,10,0)</f>
        <v>46325</v>
      </c>
      <c r="Z106" s="6">
        <v>0</v>
      </c>
      <c r="AA106" s="43">
        <f>VLOOKUP(Tabla1[[#This Row],[PAGO DIA]],DIAS!A:K,11,0)</f>
        <v>46356</v>
      </c>
      <c r="AB106" s="6">
        <v>0</v>
      </c>
      <c r="AC106" s="43">
        <f>VLOOKUP(Tabla1[[#This Row],[PAGO DIA]],DIAS!A:M,12,0)</f>
        <v>46386</v>
      </c>
      <c r="AD1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" spans="1:30">
      <c r="A107" s="3">
        <v>11557</v>
      </c>
      <c r="B107" s="3" t="s">
        <v>628</v>
      </c>
      <c r="C107" s="3" t="s">
        <v>540</v>
      </c>
      <c r="D107" s="3" t="s">
        <v>540</v>
      </c>
      <c r="E107" s="3" t="s">
        <v>699</v>
      </c>
      <c r="F107" s="42" t="s">
        <v>631</v>
      </c>
      <c r="G107" s="3" t="s">
        <v>701</v>
      </c>
      <c r="H107" s="6">
        <v>0</v>
      </c>
      <c r="I107" s="41">
        <f>VLOOKUP(Tabla1[[#This Row],[PAGO DIA]],DIAS!A:B,2,0)</f>
        <v>46080</v>
      </c>
      <c r="J107" s="6">
        <v>0</v>
      </c>
      <c r="K107" s="43">
        <f>VLOOKUP(Tabla1[[#This Row],[PAGO DIA]],DIAS!A:C,3,0)</f>
        <v>46112</v>
      </c>
      <c r="L107" s="6">
        <v>0</v>
      </c>
      <c r="M107" s="41">
        <f>VLOOKUP(Tabla1[[#This Row],[PAGO DIA]],DIAS!A:D,4,0)</f>
        <v>46142</v>
      </c>
      <c r="N107" s="6">
        <v>0</v>
      </c>
      <c r="O107" s="43">
        <f>VLOOKUP(Tabla1[[#This Row],[PAGO DIA]],DIAS!A:E,5,0)</f>
        <v>46171</v>
      </c>
      <c r="P107" s="6">
        <v>0</v>
      </c>
      <c r="Q107" s="43">
        <f>VLOOKUP(Tabla1[[#This Row],[PAGO DIA]],DIAS!A:F,6,0)</f>
        <v>46203</v>
      </c>
      <c r="R107" s="6">
        <v>0</v>
      </c>
      <c r="S107" s="43">
        <f>VLOOKUP(Tabla1[[#This Row],[PAGO DIA]],DIAS!A:G,7,0)</f>
        <v>46234</v>
      </c>
      <c r="T107" s="6">
        <v>0</v>
      </c>
      <c r="U107" s="43">
        <f>VLOOKUP(Tabla1[[#This Row],[PAGO DIA]],DIAS!A:H,8,0)</f>
        <v>46265</v>
      </c>
      <c r="V107" s="6">
        <v>0</v>
      </c>
      <c r="W107" s="43">
        <f>VLOOKUP(Tabla1[[#This Row],[PAGO DIA]],DIAS!A:I,9,0)</f>
        <v>46295</v>
      </c>
      <c r="X107" s="6">
        <v>0</v>
      </c>
      <c r="Y107" s="43">
        <f>VLOOKUP(Tabla1[[#This Row],[PAGO DIA]],DIAS!A:J,10,0)</f>
        <v>46325</v>
      </c>
      <c r="Z107" s="6">
        <v>0</v>
      </c>
      <c r="AA107" s="43">
        <f>VLOOKUP(Tabla1[[#This Row],[PAGO DIA]],DIAS!A:K,11,0)</f>
        <v>46356</v>
      </c>
      <c r="AB107" s="6">
        <v>0</v>
      </c>
      <c r="AC107" s="43">
        <f>VLOOKUP(Tabla1[[#This Row],[PAGO DIA]],DIAS!A:M,12,0)</f>
        <v>46386</v>
      </c>
      <c r="AD1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" spans="1:30">
      <c r="A108" s="3">
        <v>11558</v>
      </c>
      <c r="B108" s="3" t="s">
        <v>628</v>
      </c>
      <c r="C108" s="3" t="s">
        <v>540</v>
      </c>
      <c r="D108" s="3" t="s">
        <v>540</v>
      </c>
      <c r="E108" s="3" t="s">
        <v>699</v>
      </c>
      <c r="F108" s="42" t="s">
        <v>631</v>
      </c>
      <c r="G108" s="3" t="s">
        <v>702</v>
      </c>
      <c r="H108" s="6">
        <v>0</v>
      </c>
      <c r="I108" s="41">
        <f>VLOOKUP(Tabla1[[#This Row],[PAGO DIA]],DIAS!A:B,2,0)</f>
        <v>46080</v>
      </c>
      <c r="J108" s="6">
        <v>0</v>
      </c>
      <c r="K108" s="43">
        <f>VLOOKUP(Tabla1[[#This Row],[PAGO DIA]],DIAS!A:C,3,0)</f>
        <v>46112</v>
      </c>
      <c r="L108" s="6">
        <v>0</v>
      </c>
      <c r="M108" s="41">
        <f>VLOOKUP(Tabla1[[#This Row],[PAGO DIA]],DIAS!A:D,4,0)</f>
        <v>46142</v>
      </c>
      <c r="N108" s="6">
        <v>0</v>
      </c>
      <c r="O108" s="43">
        <f>VLOOKUP(Tabla1[[#This Row],[PAGO DIA]],DIAS!A:E,5,0)</f>
        <v>46171</v>
      </c>
      <c r="P108" s="6">
        <v>0</v>
      </c>
      <c r="Q108" s="43">
        <f>VLOOKUP(Tabla1[[#This Row],[PAGO DIA]],DIAS!A:F,6,0)</f>
        <v>46203</v>
      </c>
      <c r="R108" s="6">
        <v>0</v>
      </c>
      <c r="S108" s="43">
        <f>VLOOKUP(Tabla1[[#This Row],[PAGO DIA]],DIAS!A:G,7,0)</f>
        <v>46234</v>
      </c>
      <c r="T108" s="6">
        <v>0</v>
      </c>
      <c r="U108" s="43">
        <f>VLOOKUP(Tabla1[[#This Row],[PAGO DIA]],DIAS!A:H,8,0)</f>
        <v>46265</v>
      </c>
      <c r="V108" s="6">
        <v>0</v>
      </c>
      <c r="W108" s="43">
        <f>VLOOKUP(Tabla1[[#This Row],[PAGO DIA]],DIAS!A:I,9,0)</f>
        <v>46295</v>
      </c>
      <c r="X108" s="6">
        <v>0</v>
      </c>
      <c r="Y108" s="43">
        <f>VLOOKUP(Tabla1[[#This Row],[PAGO DIA]],DIAS!A:J,10,0)</f>
        <v>46325</v>
      </c>
      <c r="Z108" s="6">
        <v>0</v>
      </c>
      <c r="AA108" s="43">
        <f>VLOOKUP(Tabla1[[#This Row],[PAGO DIA]],DIAS!A:K,11,0)</f>
        <v>46356</v>
      </c>
      <c r="AB108" s="6">
        <v>0</v>
      </c>
      <c r="AC108" s="43">
        <f>VLOOKUP(Tabla1[[#This Row],[PAGO DIA]],DIAS!A:M,12,0)</f>
        <v>46386</v>
      </c>
      <c r="AD1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" spans="1:30">
      <c r="A109" s="3">
        <v>11559</v>
      </c>
      <c r="B109" s="3" t="s">
        <v>628</v>
      </c>
      <c r="C109" s="3" t="s">
        <v>540</v>
      </c>
      <c r="D109" s="3" t="s">
        <v>540</v>
      </c>
      <c r="E109" s="3" t="s">
        <v>699</v>
      </c>
      <c r="F109" s="42" t="s">
        <v>631</v>
      </c>
      <c r="G109" s="3" t="s">
        <v>703</v>
      </c>
      <c r="H109" s="6">
        <v>0</v>
      </c>
      <c r="I109" s="41">
        <f>VLOOKUP(Tabla1[[#This Row],[PAGO DIA]],DIAS!A:B,2,0)</f>
        <v>46080</v>
      </c>
      <c r="J109" s="6">
        <v>0</v>
      </c>
      <c r="K109" s="43">
        <f>VLOOKUP(Tabla1[[#This Row],[PAGO DIA]],DIAS!A:C,3,0)</f>
        <v>46112</v>
      </c>
      <c r="L109" s="6">
        <v>0</v>
      </c>
      <c r="M109" s="41">
        <f>VLOOKUP(Tabla1[[#This Row],[PAGO DIA]],DIAS!A:D,4,0)</f>
        <v>46142</v>
      </c>
      <c r="N109" s="6">
        <v>0</v>
      </c>
      <c r="O109" s="43">
        <f>VLOOKUP(Tabla1[[#This Row],[PAGO DIA]],DIAS!A:E,5,0)</f>
        <v>46171</v>
      </c>
      <c r="P109" s="6">
        <v>0</v>
      </c>
      <c r="Q109" s="43">
        <f>VLOOKUP(Tabla1[[#This Row],[PAGO DIA]],DIAS!A:F,6,0)</f>
        <v>46203</v>
      </c>
      <c r="R109" s="6">
        <v>0</v>
      </c>
      <c r="S109" s="43">
        <f>VLOOKUP(Tabla1[[#This Row],[PAGO DIA]],DIAS!A:G,7,0)</f>
        <v>46234</v>
      </c>
      <c r="T109" s="6">
        <v>0</v>
      </c>
      <c r="U109" s="43">
        <f>VLOOKUP(Tabla1[[#This Row],[PAGO DIA]],DIAS!A:H,8,0)</f>
        <v>46265</v>
      </c>
      <c r="V109" s="6">
        <v>0</v>
      </c>
      <c r="W109" s="43">
        <f>VLOOKUP(Tabla1[[#This Row],[PAGO DIA]],DIAS!A:I,9,0)</f>
        <v>46295</v>
      </c>
      <c r="X109" s="6">
        <v>0</v>
      </c>
      <c r="Y109" s="43">
        <f>VLOOKUP(Tabla1[[#This Row],[PAGO DIA]],DIAS!A:J,10,0)</f>
        <v>46325</v>
      </c>
      <c r="Z109" s="6">
        <v>0</v>
      </c>
      <c r="AA109" s="43">
        <f>VLOOKUP(Tabla1[[#This Row],[PAGO DIA]],DIAS!A:K,11,0)</f>
        <v>46356</v>
      </c>
      <c r="AB109" s="6">
        <v>0</v>
      </c>
      <c r="AC109" s="43">
        <f>VLOOKUP(Tabla1[[#This Row],[PAGO DIA]],DIAS!A:M,12,0)</f>
        <v>46386</v>
      </c>
      <c r="AD1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" spans="1:30">
      <c r="A110" s="3">
        <v>11560</v>
      </c>
      <c r="B110" s="3" t="s">
        <v>628</v>
      </c>
      <c r="C110" s="3" t="s">
        <v>540</v>
      </c>
      <c r="D110" s="3" t="s">
        <v>540</v>
      </c>
      <c r="E110" s="3" t="s">
        <v>699</v>
      </c>
      <c r="F110" s="42" t="s">
        <v>631</v>
      </c>
      <c r="G110" s="3" t="s">
        <v>704</v>
      </c>
      <c r="H110" s="6">
        <v>0</v>
      </c>
      <c r="I110" s="41">
        <f>VLOOKUP(Tabla1[[#This Row],[PAGO DIA]],DIAS!A:B,2,0)</f>
        <v>46080</v>
      </c>
      <c r="J110" s="6">
        <v>0</v>
      </c>
      <c r="K110" s="43">
        <f>VLOOKUP(Tabla1[[#This Row],[PAGO DIA]],DIAS!A:C,3,0)</f>
        <v>46112</v>
      </c>
      <c r="L110" s="6">
        <v>0</v>
      </c>
      <c r="M110" s="41">
        <f>VLOOKUP(Tabla1[[#This Row],[PAGO DIA]],DIAS!A:D,4,0)</f>
        <v>46142</v>
      </c>
      <c r="N110" s="6">
        <v>0</v>
      </c>
      <c r="O110" s="43">
        <f>VLOOKUP(Tabla1[[#This Row],[PAGO DIA]],DIAS!A:E,5,0)</f>
        <v>46171</v>
      </c>
      <c r="P110" s="6">
        <v>0</v>
      </c>
      <c r="Q110" s="43">
        <f>VLOOKUP(Tabla1[[#This Row],[PAGO DIA]],DIAS!A:F,6,0)</f>
        <v>46203</v>
      </c>
      <c r="R110" s="6">
        <v>0</v>
      </c>
      <c r="S110" s="43">
        <f>VLOOKUP(Tabla1[[#This Row],[PAGO DIA]],DIAS!A:G,7,0)</f>
        <v>46234</v>
      </c>
      <c r="T110" s="6">
        <v>0</v>
      </c>
      <c r="U110" s="43">
        <f>VLOOKUP(Tabla1[[#This Row],[PAGO DIA]],DIAS!A:H,8,0)</f>
        <v>46265</v>
      </c>
      <c r="V110" s="6">
        <v>0</v>
      </c>
      <c r="W110" s="43">
        <f>VLOOKUP(Tabla1[[#This Row],[PAGO DIA]],DIAS!A:I,9,0)</f>
        <v>46295</v>
      </c>
      <c r="X110" s="6">
        <v>0</v>
      </c>
      <c r="Y110" s="43">
        <f>VLOOKUP(Tabla1[[#This Row],[PAGO DIA]],DIAS!A:J,10,0)</f>
        <v>46325</v>
      </c>
      <c r="Z110" s="6">
        <v>0</v>
      </c>
      <c r="AA110" s="43">
        <f>VLOOKUP(Tabla1[[#This Row],[PAGO DIA]],DIAS!A:K,11,0)</f>
        <v>46356</v>
      </c>
      <c r="AB110" s="6">
        <v>0</v>
      </c>
      <c r="AC110" s="43">
        <f>VLOOKUP(Tabla1[[#This Row],[PAGO DIA]],DIAS!A:M,12,0)</f>
        <v>46386</v>
      </c>
      <c r="AD1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" spans="1:30">
      <c r="A111" s="3">
        <v>11561</v>
      </c>
      <c r="B111" s="3" t="s">
        <v>628</v>
      </c>
      <c r="C111" s="3" t="s">
        <v>540</v>
      </c>
      <c r="D111" s="3" t="s">
        <v>540</v>
      </c>
      <c r="E111" s="3" t="s">
        <v>699</v>
      </c>
      <c r="F111" s="42" t="s">
        <v>631</v>
      </c>
      <c r="G111" s="3" t="s">
        <v>705</v>
      </c>
      <c r="H111" s="6">
        <v>0</v>
      </c>
      <c r="I111" s="41">
        <f>VLOOKUP(Tabla1[[#This Row],[PAGO DIA]],DIAS!A:B,2,0)</f>
        <v>46080</v>
      </c>
      <c r="J111" s="6">
        <v>0</v>
      </c>
      <c r="K111" s="43">
        <f>VLOOKUP(Tabla1[[#This Row],[PAGO DIA]],DIAS!A:C,3,0)</f>
        <v>46112</v>
      </c>
      <c r="L111" s="6">
        <v>0</v>
      </c>
      <c r="M111" s="41">
        <f>VLOOKUP(Tabla1[[#This Row],[PAGO DIA]],DIAS!A:D,4,0)</f>
        <v>46142</v>
      </c>
      <c r="N111" s="6">
        <v>0</v>
      </c>
      <c r="O111" s="43">
        <f>VLOOKUP(Tabla1[[#This Row],[PAGO DIA]],DIAS!A:E,5,0)</f>
        <v>46171</v>
      </c>
      <c r="P111" s="6">
        <v>0</v>
      </c>
      <c r="Q111" s="43">
        <f>VLOOKUP(Tabla1[[#This Row],[PAGO DIA]],DIAS!A:F,6,0)</f>
        <v>46203</v>
      </c>
      <c r="R111" s="6">
        <v>0</v>
      </c>
      <c r="S111" s="43">
        <f>VLOOKUP(Tabla1[[#This Row],[PAGO DIA]],DIAS!A:G,7,0)</f>
        <v>46234</v>
      </c>
      <c r="T111" s="6">
        <v>0</v>
      </c>
      <c r="U111" s="43">
        <f>VLOOKUP(Tabla1[[#This Row],[PAGO DIA]],DIAS!A:H,8,0)</f>
        <v>46265</v>
      </c>
      <c r="V111" s="6">
        <v>0</v>
      </c>
      <c r="W111" s="43">
        <f>VLOOKUP(Tabla1[[#This Row],[PAGO DIA]],DIAS!A:I,9,0)</f>
        <v>46295</v>
      </c>
      <c r="X111" s="6">
        <v>0</v>
      </c>
      <c r="Y111" s="43">
        <f>VLOOKUP(Tabla1[[#This Row],[PAGO DIA]],DIAS!A:J,10,0)</f>
        <v>46325</v>
      </c>
      <c r="Z111" s="6">
        <v>0</v>
      </c>
      <c r="AA111" s="43">
        <f>VLOOKUP(Tabla1[[#This Row],[PAGO DIA]],DIAS!A:K,11,0)</f>
        <v>46356</v>
      </c>
      <c r="AB111" s="6">
        <v>0</v>
      </c>
      <c r="AC111" s="43">
        <f>VLOOKUP(Tabla1[[#This Row],[PAGO DIA]],DIAS!A:M,12,0)</f>
        <v>46386</v>
      </c>
      <c r="AD1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" spans="1:30">
      <c r="A112" s="3">
        <v>11562</v>
      </c>
      <c r="B112" s="3" t="s">
        <v>628</v>
      </c>
      <c r="C112" s="3" t="s">
        <v>540</v>
      </c>
      <c r="D112" s="3" t="s">
        <v>540</v>
      </c>
      <c r="E112" s="3" t="s">
        <v>699</v>
      </c>
      <c r="F112" s="42" t="s">
        <v>631</v>
      </c>
      <c r="G112" s="3" t="s">
        <v>706</v>
      </c>
      <c r="H112" s="6">
        <v>0</v>
      </c>
      <c r="I112" s="41">
        <f>VLOOKUP(Tabla1[[#This Row],[PAGO DIA]],DIAS!A:B,2,0)</f>
        <v>46080</v>
      </c>
      <c r="J112" s="6">
        <v>0</v>
      </c>
      <c r="K112" s="43">
        <f>VLOOKUP(Tabla1[[#This Row],[PAGO DIA]],DIAS!A:C,3,0)</f>
        <v>46112</v>
      </c>
      <c r="L112" s="6">
        <v>0</v>
      </c>
      <c r="M112" s="41">
        <f>VLOOKUP(Tabla1[[#This Row],[PAGO DIA]],DIAS!A:D,4,0)</f>
        <v>46142</v>
      </c>
      <c r="N112" s="6">
        <v>0</v>
      </c>
      <c r="O112" s="43">
        <f>VLOOKUP(Tabla1[[#This Row],[PAGO DIA]],DIAS!A:E,5,0)</f>
        <v>46171</v>
      </c>
      <c r="P112" s="6">
        <v>0</v>
      </c>
      <c r="Q112" s="43">
        <f>VLOOKUP(Tabla1[[#This Row],[PAGO DIA]],DIAS!A:F,6,0)</f>
        <v>46203</v>
      </c>
      <c r="R112" s="6">
        <v>0</v>
      </c>
      <c r="S112" s="43">
        <f>VLOOKUP(Tabla1[[#This Row],[PAGO DIA]],DIAS!A:G,7,0)</f>
        <v>46234</v>
      </c>
      <c r="T112" s="6">
        <v>0</v>
      </c>
      <c r="U112" s="43">
        <f>VLOOKUP(Tabla1[[#This Row],[PAGO DIA]],DIAS!A:H,8,0)</f>
        <v>46265</v>
      </c>
      <c r="V112" s="6">
        <v>0</v>
      </c>
      <c r="W112" s="43">
        <f>VLOOKUP(Tabla1[[#This Row],[PAGO DIA]],DIAS!A:I,9,0)</f>
        <v>46295</v>
      </c>
      <c r="X112" s="6">
        <v>0</v>
      </c>
      <c r="Y112" s="43">
        <f>VLOOKUP(Tabla1[[#This Row],[PAGO DIA]],DIAS!A:J,10,0)</f>
        <v>46325</v>
      </c>
      <c r="Z112" s="6">
        <v>0</v>
      </c>
      <c r="AA112" s="43">
        <f>VLOOKUP(Tabla1[[#This Row],[PAGO DIA]],DIAS!A:K,11,0)</f>
        <v>46356</v>
      </c>
      <c r="AB112" s="6">
        <v>0</v>
      </c>
      <c r="AC112" s="43">
        <f>VLOOKUP(Tabla1[[#This Row],[PAGO DIA]],DIAS!A:M,12,0)</f>
        <v>46386</v>
      </c>
      <c r="AD1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" spans="1:30">
      <c r="A113" s="3">
        <v>11563</v>
      </c>
      <c r="B113" s="3" t="s">
        <v>628</v>
      </c>
      <c r="C113" s="3" t="s">
        <v>540</v>
      </c>
      <c r="D113" s="3" t="s">
        <v>540</v>
      </c>
      <c r="E113" s="3" t="s">
        <v>699</v>
      </c>
      <c r="F113" s="42" t="s">
        <v>631</v>
      </c>
      <c r="G113" s="3" t="s">
        <v>707</v>
      </c>
      <c r="H113" s="6">
        <v>0</v>
      </c>
      <c r="I113" s="41">
        <f>VLOOKUP(Tabla1[[#This Row],[PAGO DIA]],DIAS!A:B,2,0)</f>
        <v>46080</v>
      </c>
      <c r="J113" s="6">
        <v>0</v>
      </c>
      <c r="K113" s="43">
        <f>VLOOKUP(Tabla1[[#This Row],[PAGO DIA]],DIAS!A:C,3,0)</f>
        <v>46112</v>
      </c>
      <c r="L113" s="6">
        <v>0</v>
      </c>
      <c r="M113" s="41">
        <f>VLOOKUP(Tabla1[[#This Row],[PAGO DIA]],DIAS!A:D,4,0)</f>
        <v>46142</v>
      </c>
      <c r="N113" s="6">
        <v>0</v>
      </c>
      <c r="O113" s="43">
        <f>VLOOKUP(Tabla1[[#This Row],[PAGO DIA]],DIAS!A:E,5,0)</f>
        <v>46171</v>
      </c>
      <c r="P113" s="6">
        <v>0</v>
      </c>
      <c r="Q113" s="43">
        <f>VLOOKUP(Tabla1[[#This Row],[PAGO DIA]],DIAS!A:F,6,0)</f>
        <v>46203</v>
      </c>
      <c r="R113" s="6">
        <v>0</v>
      </c>
      <c r="S113" s="43">
        <f>VLOOKUP(Tabla1[[#This Row],[PAGO DIA]],DIAS!A:G,7,0)</f>
        <v>46234</v>
      </c>
      <c r="T113" s="6">
        <v>0</v>
      </c>
      <c r="U113" s="43">
        <f>VLOOKUP(Tabla1[[#This Row],[PAGO DIA]],DIAS!A:H,8,0)</f>
        <v>46265</v>
      </c>
      <c r="V113" s="6">
        <v>0</v>
      </c>
      <c r="W113" s="43">
        <f>VLOOKUP(Tabla1[[#This Row],[PAGO DIA]],DIAS!A:I,9,0)</f>
        <v>46295</v>
      </c>
      <c r="X113" s="6">
        <v>0</v>
      </c>
      <c r="Y113" s="43">
        <f>VLOOKUP(Tabla1[[#This Row],[PAGO DIA]],DIAS!A:J,10,0)</f>
        <v>46325</v>
      </c>
      <c r="Z113" s="6">
        <v>0</v>
      </c>
      <c r="AA113" s="43">
        <f>VLOOKUP(Tabla1[[#This Row],[PAGO DIA]],DIAS!A:K,11,0)</f>
        <v>46356</v>
      </c>
      <c r="AB113" s="6">
        <v>0</v>
      </c>
      <c r="AC113" s="43">
        <f>VLOOKUP(Tabla1[[#This Row],[PAGO DIA]],DIAS!A:M,12,0)</f>
        <v>46386</v>
      </c>
      <c r="AD1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" spans="1:30">
      <c r="A114" s="3">
        <v>11564</v>
      </c>
      <c r="B114" s="3" t="s">
        <v>628</v>
      </c>
      <c r="C114" s="3" t="s">
        <v>540</v>
      </c>
      <c r="D114" s="3" t="s">
        <v>540</v>
      </c>
      <c r="E114" s="3" t="s">
        <v>699</v>
      </c>
      <c r="F114" s="42" t="s">
        <v>631</v>
      </c>
      <c r="G114" s="3" t="s">
        <v>708</v>
      </c>
      <c r="H114" s="6">
        <v>0</v>
      </c>
      <c r="I114" s="41">
        <f>VLOOKUP(Tabla1[[#This Row],[PAGO DIA]],DIAS!A:B,2,0)</f>
        <v>46080</v>
      </c>
      <c r="J114" s="6">
        <v>0</v>
      </c>
      <c r="K114" s="43">
        <f>VLOOKUP(Tabla1[[#This Row],[PAGO DIA]],DIAS!A:C,3,0)</f>
        <v>46112</v>
      </c>
      <c r="L114" s="6">
        <v>0</v>
      </c>
      <c r="M114" s="41">
        <f>VLOOKUP(Tabla1[[#This Row],[PAGO DIA]],DIAS!A:D,4,0)</f>
        <v>46142</v>
      </c>
      <c r="N114" s="6">
        <v>0</v>
      </c>
      <c r="O114" s="43">
        <f>VLOOKUP(Tabla1[[#This Row],[PAGO DIA]],DIAS!A:E,5,0)</f>
        <v>46171</v>
      </c>
      <c r="P114" s="6">
        <v>0</v>
      </c>
      <c r="Q114" s="43">
        <f>VLOOKUP(Tabla1[[#This Row],[PAGO DIA]],DIAS!A:F,6,0)</f>
        <v>46203</v>
      </c>
      <c r="R114" s="6">
        <v>0</v>
      </c>
      <c r="S114" s="43">
        <f>VLOOKUP(Tabla1[[#This Row],[PAGO DIA]],DIAS!A:G,7,0)</f>
        <v>46234</v>
      </c>
      <c r="T114" s="6">
        <v>0</v>
      </c>
      <c r="U114" s="43">
        <f>VLOOKUP(Tabla1[[#This Row],[PAGO DIA]],DIAS!A:H,8,0)</f>
        <v>46265</v>
      </c>
      <c r="V114" s="6">
        <v>0</v>
      </c>
      <c r="W114" s="43">
        <f>VLOOKUP(Tabla1[[#This Row],[PAGO DIA]],DIAS!A:I,9,0)</f>
        <v>46295</v>
      </c>
      <c r="X114" s="6">
        <v>0</v>
      </c>
      <c r="Y114" s="43">
        <f>VLOOKUP(Tabla1[[#This Row],[PAGO DIA]],DIAS!A:J,10,0)</f>
        <v>46325</v>
      </c>
      <c r="Z114" s="6">
        <v>0</v>
      </c>
      <c r="AA114" s="43">
        <f>VLOOKUP(Tabla1[[#This Row],[PAGO DIA]],DIAS!A:K,11,0)</f>
        <v>46356</v>
      </c>
      <c r="AB114" s="6">
        <v>0</v>
      </c>
      <c r="AC114" s="43">
        <f>VLOOKUP(Tabla1[[#This Row],[PAGO DIA]],DIAS!A:M,12,0)</f>
        <v>46386</v>
      </c>
      <c r="AD1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" spans="1:30">
      <c r="A115" s="3">
        <v>11565</v>
      </c>
      <c r="B115" s="3" t="s">
        <v>628</v>
      </c>
      <c r="C115" s="3" t="s">
        <v>540</v>
      </c>
      <c r="D115" s="3" t="s">
        <v>540</v>
      </c>
      <c r="E115" s="3" t="s">
        <v>699</v>
      </c>
      <c r="F115" s="42" t="s">
        <v>631</v>
      </c>
      <c r="G115" s="3" t="s">
        <v>709</v>
      </c>
      <c r="H115" s="6">
        <v>0</v>
      </c>
      <c r="I115" s="41">
        <f>VLOOKUP(Tabla1[[#This Row],[PAGO DIA]],DIAS!A:B,2,0)</f>
        <v>46080</v>
      </c>
      <c r="J115" s="6">
        <v>0</v>
      </c>
      <c r="K115" s="43">
        <f>VLOOKUP(Tabla1[[#This Row],[PAGO DIA]],DIAS!A:C,3,0)</f>
        <v>46112</v>
      </c>
      <c r="L115" s="6">
        <v>0</v>
      </c>
      <c r="M115" s="41">
        <f>VLOOKUP(Tabla1[[#This Row],[PAGO DIA]],DIAS!A:D,4,0)</f>
        <v>46142</v>
      </c>
      <c r="N115" s="6">
        <v>0</v>
      </c>
      <c r="O115" s="43">
        <f>VLOOKUP(Tabla1[[#This Row],[PAGO DIA]],DIAS!A:E,5,0)</f>
        <v>46171</v>
      </c>
      <c r="P115" s="6">
        <v>0</v>
      </c>
      <c r="Q115" s="43">
        <f>VLOOKUP(Tabla1[[#This Row],[PAGO DIA]],DIAS!A:F,6,0)</f>
        <v>46203</v>
      </c>
      <c r="R115" s="6">
        <v>0</v>
      </c>
      <c r="S115" s="43">
        <f>VLOOKUP(Tabla1[[#This Row],[PAGO DIA]],DIAS!A:G,7,0)</f>
        <v>46234</v>
      </c>
      <c r="T115" s="6">
        <v>0</v>
      </c>
      <c r="U115" s="43">
        <f>VLOOKUP(Tabla1[[#This Row],[PAGO DIA]],DIAS!A:H,8,0)</f>
        <v>46265</v>
      </c>
      <c r="V115" s="6">
        <v>0</v>
      </c>
      <c r="W115" s="43">
        <f>VLOOKUP(Tabla1[[#This Row],[PAGO DIA]],DIAS!A:I,9,0)</f>
        <v>46295</v>
      </c>
      <c r="X115" s="6">
        <v>0</v>
      </c>
      <c r="Y115" s="43">
        <f>VLOOKUP(Tabla1[[#This Row],[PAGO DIA]],DIAS!A:J,10,0)</f>
        <v>46325</v>
      </c>
      <c r="Z115" s="6">
        <v>0</v>
      </c>
      <c r="AA115" s="43">
        <f>VLOOKUP(Tabla1[[#This Row],[PAGO DIA]],DIAS!A:K,11,0)</f>
        <v>46356</v>
      </c>
      <c r="AB115" s="6">
        <v>0</v>
      </c>
      <c r="AC115" s="43">
        <f>VLOOKUP(Tabla1[[#This Row],[PAGO DIA]],DIAS!A:M,12,0)</f>
        <v>46386</v>
      </c>
      <c r="AD1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" spans="1:30">
      <c r="A116" s="3">
        <v>11566</v>
      </c>
      <c r="B116" s="3" t="s">
        <v>628</v>
      </c>
      <c r="C116" s="3" t="s">
        <v>540</v>
      </c>
      <c r="D116" s="3" t="s">
        <v>540</v>
      </c>
      <c r="E116" s="3" t="s">
        <v>699</v>
      </c>
      <c r="F116" s="42" t="s">
        <v>631</v>
      </c>
      <c r="G116" s="3" t="s">
        <v>710</v>
      </c>
      <c r="H116" s="6">
        <v>0</v>
      </c>
      <c r="I116" s="41">
        <f>VLOOKUP(Tabla1[[#This Row],[PAGO DIA]],DIAS!A:B,2,0)</f>
        <v>46080</v>
      </c>
      <c r="J116" s="6">
        <v>0</v>
      </c>
      <c r="K116" s="43">
        <f>VLOOKUP(Tabla1[[#This Row],[PAGO DIA]],DIAS!A:C,3,0)</f>
        <v>46112</v>
      </c>
      <c r="L116" s="6">
        <v>0</v>
      </c>
      <c r="M116" s="41">
        <f>VLOOKUP(Tabla1[[#This Row],[PAGO DIA]],DIAS!A:D,4,0)</f>
        <v>46142</v>
      </c>
      <c r="N116" s="6">
        <v>0</v>
      </c>
      <c r="O116" s="43">
        <f>VLOOKUP(Tabla1[[#This Row],[PAGO DIA]],DIAS!A:E,5,0)</f>
        <v>46171</v>
      </c>
      <c r="P116" s="6">
        <v>0</v>
      </c>
      <c r="Q116" s="43">
        <f>VLOOKUP(Tabla1[[#This Row],[PAGO DIA]],DIAS!A:F,6,0)</f>
        <v>46203</v>
      </c>
      <c r="R116" s="6">
        <v>0</v>
      </c>
      <c r="S116" s="43">
        <f>VLOOKUP(Tabla1[[#This Row],[PAGO DIA]],DIAS!A:G,7,0)</f>
        <v>46234</v>
      </c>
      <c r="T116" s="6">
        <v>0</v>
      </c>
      <c r="U116" s="43">
        <f>VLOOKUP(Tabla1[[#This Row],[PAGO DIA]],DIAS!A:H,8,0)</f>
        <v>46265</v>
      </c>
      <c r="V116" s="6">
        <v>0</v>
      </c>
      <c r="W116" s="43">
        <f>VLOOKUP(Tabla1[[#This Row],[PAGO DIA]],DIAS!A:I,9,0)</f>
        <v>46295</v>
      </c>
      <c r="X116" s="6">
        <v>0</v>
      </c>
      <c r="Y116" s="43">
        <f>VLOOKUP(Tabla1[[#This Row],[PAGO DIA]],DIAS!A:J,10,0)</f>
        <v>46325</v>
      </c>
      <c r="Z116" s="6">
        <v>0</v>
      </c>
      <c r="AA116" s="43">
        <f>VLOOKUP(Tabla1[[#This Row],[PAGO DIA]],DIAS!A:K,11,0)</f>
        <v>46356</v>
      </c>
      <c r="AB116" s="6">
        <v>0</v>
      </c>
      <c r="AC116" s="43">
        <f>VLOOKUP(Tabla1[[#This Row],[PAGO DIA]],DIAS!A:M,12,0)</f>
        <v>46386</v>
      </c>
      <c r="AD1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" spans="1:30">
      <c r="A117" s="3">
        <v>11567</v>
      </c>
      <c r="B117" s="3" t="s">
        <v>628</v>
      </c>
      <c r="C117" s="3" t="s">
        <v>540</v>
      </c>
      <c r="D117" s="3" t="s">
        <v>540</v>
      </c>
      <c r="E117" s="3" t="s">
        <v>699</v>
      </c>
      <c r="F117" s="42" t="s">
        <v>631</v>
      </c>
      <c r="G117" s="3" t="s">
        <v>711</v>
      </c>
      <c r="H117" s="6">
        <v>0</v>
      </c>
      <c r="I117" s="41">
        <f>VLOOKUP(Tabla1[[#This Row],[PAGO DIA]],DIAS!A:B,2,0)</f>
        <v>46080</v>
      </c>
      <c r="J117" s="6">
        <v>0</v>
      </c>
      <c r="K117" s="43">
        <f>VLOOKUP(Tabla1[[#This Row],[PAGO DIA]],DIAS!A:C,3,0)</f>
        <v>46112</v>
      </c>
      <c r="L117" s="6">
        <v>0</v>
      </c>
      <c r="M117" s="41">
        <f>VLOOKUP(Tabla1[[#This Row],[PAGO DIA]],DIAS!A:D,4,0)</f>
        <v>46142</v>
      </c>
      <c r="N117" s="6">
        <v>0</v>
      </c>
      <c r="O117" s="43">
        <f>VLOOKUP(Tabla1[[#This Row],[PAGO DIA]],DIAS!A:E,5,0)</f>
        <v>46171</v>
      </c>
      <c r="P117" s="6">
        <v>0</v>
      </c>
      <c r="Q117" s="43">
        <f>VLOOKUP(Tabla1[[#This Row],[PAGO DIA]],DIAS!A:F,6,0)</f>
        <v>46203</v>
      </c>
      <c r="R117" s="6">
        <v>0</v>
      </c>
      <c r="S117" s="43">
        <f>VLOOKUP(Tabla1[[#This Row],[PAGO DIA]],DIAS!A:G,7,0)</f>
        <v>46234</v>
      </c>
      <c r="T117" s="6">
        <v>0</v>
      </c>
      <c r="U117" s="43">
        <f>VLOOKUP(Tabla1[[#This Row],[PAGO DIA]],DIAS!A:H,8,0)</f>
        <v>46265</v>
      </c>
      <c r="V117" s="6">
        <v>0</v>
      </c>
      <c r="W117" s="43">
        <f>VLOOKUP(Tabla1[[#This Row],[PAGO DIA]],DIAS!A:I,9,0)</f>
        <v>46295</v>
      </c>
      <c r="X117" s="6">
        <v>0</v>
      </c>
      <c r="Y117" s="43">
        <f>VLOOKUP(Tabla1[[#This Row],[PAGO DIA]],DIAS!A:J,10,0)</f>
        <v>46325</v>
      </c>
      <c r="Z117" s="6">
        <v>0</v>
      </c>
      <c r="AA117" s="43">
        <f>VLOOKUP(Tabla1[[#This Row],[PAGO DIA]],DIAS!A:K,11,0)</f>
        <v>46356</v>
      </c>
      <c r="AB117" s="6">
        <v>0</v>
      </c>
      <c r="AC117" s="43">
        <f>VLOOKUP(Tabla1[[#This Row],[PAGO DIA]],DIAS!A:M,12,0)</f>
        <v>46386</v>
      </c>
      <c r="AD1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" spans="1:30">
      <c r="A118" s="3">
        <v>11568</v>
      </c>
      <c r="B118" s="3" t="s">
        <v>628</v>
      </c>
      <c r="C118" s="3" t="s">
        <v>540</v>
      </c>
      <c r="D118" s="3" t="s">
        <v>540</v>
      </c>
      <c r="E118" s="3" t="s">
        <v>699</v>
      </c>
      <c r="F118" s="42" t="s">
        <v>631</v>
      </c>
      <c r="G118" s="3" t="s">
        <v>712</v>
      </c>
      <c r="H118" s="6">
        <v>0</v>
      </c>
      <c r="I118" s="41">
        <f>VLOOKUP(Tabla1[[#This Row],[PAGO DIA]],DIAS!A:B,2,0)</f>
        <v>46080</v>
      </c>
      <c r="J118" s="6">
        <v>0</v>
      </c>
      <c r="K118" s="43">
        <f>VLOOKUP(Tabla1[[#This Row],[PAGO DIA]],DIAS!A:C,3,0)</f>
        <v>46112</v>
      </c>
      <c r="L118" s="6">
        <v>0</v>
      </c>
      <c r="M118" s="41">
        <f>VLOOKUP(Tabla1[[#This Row],[PAGO DIA]],DIAS!A:D,4,0)</f>
        <v>46142</v>
      </c>
      <c r="N118" s="6">
        <v>0</v>
      </c>
      <c r="O118" s="43">
        <f>VLOOKUP(Tabla1[[#This Row],[PAGO DIA]],DIAS!A:E,5,0)</f>
        <v>46171</v>
      </c>
      <c r="P118" s="6">
        <v>0</v>
      </c>
      <c r="Q118" s="43">
        <f>VLOOKUP(Tabla1[[#This Row],[PAGO DIA]],DIAS!A:F,6,0)</f>
        <v>46203</v>
      </c>
      <c r="R118" s="6">
        <v>0</v>
      </c>
      <c r="S118" s="43">
        <f>VLOOKUP(Tabla1[[#This Row],[PAGO DIA]],DIAS!A:G,7,0)</f>
        <v>46234</v>
      </c>
      <c r="T118" s="6">
        <v>0</v>
      </c>
      <c r="U118" s="43">
        <f>VLOOKUP(Tabla1[[#This Row],[PAGO DIA]],DIAS!A:H,8,0)</f>
        <v>46265</v>
      </c>
      <c r="V118" s="6">
        <v>0</v>
      </c>
      <c r="W118" s="43">
        <f>VLOOKUP(Tabla1[[#This Row],[PAGO DIA]],DIAS!A:I,9,0)</f>
        <v>46295</v>
      </c>
      <c r="X118" s="6">
        <v>0</v>
      </c>
      <c r="Y118" s="43">
        <f>VLOOKUP(Tabla1[[#This Row],[PAGO DIA]],DIAS!A:J,10,0)</f>
        <v>46325</v>
      </c>
      <c r="Z118" s="6">
        <v>0</v>
      </c>
      <c r="AA118" s="43">
        <f>VLOOKUP(Tabla1[[#This Row],[PAGO DIA]],DIAS!A:K,11,0)</f>
        <v>46356</v>
      </c>
      <c r="AB118" s="6">
        <v>0</v>
      </c>
      <c r="AC118" s="43">
        <f>VLOOKUP(Tabla1[[#This Row],[PAGO DIA]],DIAS!A:M,12,0)</f>
        <v>46386</v>
      </c>
      <c r="AD1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" spans="1:30">
      <c r="A119" s="3">
        <v>11569</v>
      </c>
      <c r="B119" s="3" t="s">
        <v>628</v>
      </c>
      <c r="C119" s="3" t="s">
        <v>540</v>
      </c>
      <c r="D119" s="3" t="s">
        <v>540</v>
      </c>
      <c r="E119" s="3" t="s">
        <v>699</v>
      </c>
      <c r="F119" s="42" t="s">
        <v>631</v>
      </c>
      <c r="G119" s="3" t="s">
        <v>713</v>
      </c>
      <c r="H119" s="6">
        <v>0</v>
      </c>
      <c r="I119" s="41">
        <f>VLOOKUP(Tabla1[[#This Row],[PAGO DIA]],DIAS!A:B,2,0)</f>
        <v>46080</v>
      </c>
      <c r="J119" s="6">
        <v>0</v>
      </c>
      <c r="K119" s="43">
        <f>VLOOKUP(Tabla1[[#This Row],[PAGO DIA]],DIAS!A:C,3,0)</f>
        <v>46112</v>
      </c>
      <c r="L119" s="6">
        <v>0</v>
      </c>
      <c r="M119" s="41">
        <f>VLOOKUP(Tabla1[[#This Row],[PAGO DIA]],DIAS!A:D,4,0)</f>
        <v>46142</v>
      </c>
      <c r="N119" s="6">
        <v>0</v>
      </c>
      <c r="O119" s="43">
        <f>VLOOKUP(Tabla1[[#This Row],[PAGO DIA]],DIAS!A:E,5,0)</f>
        <v>46171</v>
      </c>
      <c r="P119" s="6">
        <v>0</v>
      </c>
      <c r="Q119" s="43">
        <f>VLOOKUP(Tabla1[[#This Row],[PAGO DIA]],DIAS!A:F,6,0)</f>
        <v>46203</v>
      </c>
      <c r="R119" s="6">
        <v>0</v>
      </c>
      <c r="S119" s="43">
        <f>VLOOKUP(Tabla1[[#This Row],[PAGO DIA]],DIAS!A:G,7,0)</f>
        <v>46234</v>
      </c>
      <c r="T119" s="6">
        <v>0</v>
      </c>
      <c r="U119" s="43">
        <f>VLOOKUP(Tabla1[[#This Row],[PAGO DIA]],DIAS!A:H,8,0)</f>
        <v>46265</v>
      </c>
      <c r="V119" s="6">
        <v>0</v>
      </c>
      <c r="W119" s="43">
        <f>VLOOKUP(Tabla1[[#This Row],[PAGO DIA]],DIAS!A:I,9,0)</f>
        <v>46295</v>
      </c>
      <c r="X119" s="6">
        <v>0</v>
      </c>
      <c r="Y119" s="43">
        <f>VLOOKUP(Tabla1[[#This Row],[PAGO DIA]],DIAS!A:J,10,0)</f>
        <v>46325</v>
      </c>
      <c r="Z119" s="6">
        <v>0</v>
      </c>
      <c r="AA119" s="43">
        <f>VLOOKUP(Tabla1[[#This Row],[PAGO DIA]],DIAS!A:K,11,0)</f>
        <v>46356</v>
      </c>
      <c r="AB119" s="6">
        <v>0</v>
      </c>
      <c r="AC119" s="43">
        <f>VLOOKUP(Tabla1[[#This Row],[PAGO DIA]],DIAS!A:M,12,0)</f>
        <v>46386</v>
      </c>
      <c r="AD1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" spans="1:30">
      <c r="A120" s="3">
        <v>11570</v>
      </c>
      <c r="B120" s="3" t="s">
        <v>628</v>
      </c>
      <c r="C120" s="3" t="s">
        <v>540</v>
      </c>
      <c r="D120" s="3" t="s">
        <v>540</v>
      </c>
      <c r="E120" s="3" t="s">
        <v>699</v>
      </c>
      <c r="F120" s="42" t="s">
        <v>631</v>
      </c>
      <c r="G120" s="3" t="s">
        <v>714</v>
      </c>
      <c r="H120" s="6">
        <v>0</v>
      </c>
      <c r="I120" s="41">
        <f>VLOOKUP(Tabla1[[#This Row],[PAGO DIA]],DIAS!A:B,2,0)</f>
        <v>46080</v>
      </c>
      <c r="J120" s="6">
        <v>0</v>
      </c>
      <c r="K120" s="43">
        <f>VLOOKUP(Tabla1[[#This Row],[PAGO DIA]],DIAS!A:C,3,0)</f>
        <v>46112</v>
      </c>
      <c r="L120" s="6">
        <v>0</v>
      </c>
      <c r="M120" s="41">
        <f>VLOOKUP(Tabla1[[#This Row],[PAGO DIA]],DIAS!A:D,4,0)</f>
        <v>46142</v>
      </c>
      <c r="N120" s="6">
        <v>0</v>
      </c>
      <c r="O120" s="43">
        <f>VLOOKUP(Tabla1[[#This Row],[PAGO DIA]],DIAS!A:E,5,0)</f>
        <v>46171</v>
      </c>
      <c r="P120" s="6">
        <v>0</v>
      </c>
      <c r="Q120" s="43">
        <f>VLOOKUP(Tabla1[[#This Row],[PAGO DIA]],DIAS!A:F,6,0)</f>
        <v>46203</v>
      </c>
      <c r="R120" s="6">
        <v>0</v>
      </c>
      <c r="S120" s="43">
        <f>VLOOKUP(Tabla1[[#This Row],[PAGO DIA]],DIAS!A:G,7,0)</f>
        <v>46234</v>
      </c>
      <c r="T120" s="6">
        <v>0</v>
      </c>
      <c r="U120" s="43">
        <f>VLOOKUP(Tabla1[[#This Row],[PAGO DIA]],DIAS!A:H,8,0)</f>
        <v>46265</v>
      </c>
      <c r="V120" s="6">
        <v>0</v>
      </c>
      <c r="W120" s="43">
        <f>VLOOKUP(Tabla1[[#This Row],[PAGO DIA]],DIAS!A:I,9,0)</f>
        <v>46295</v>
      </c>
      <c r="X120" s="6">
        <v>0</v>
      </c>
      <c r="Y120" s="43">
        <f>VLOOKUP(Tabla1[[#This Row],[PAGO DIA]],DIAS!A:J,10,0)</f>
        <v>46325</v>
      </c>
      <c r="Z120" s="6">
        <v>0</v>
      </c>
      <c r="AA120" s="43">
        <f>VLOOKUP(Tabla1[[#This Row],[PAGO DIA]],DIAS!A:K,11,0)</f>
        <v>46356</v>
      </c>
      <c r="AB120" s="6">
        <v>0</v>
      </c>
      <c r="AC120" s="43">
        <f>VLOOKUP(Tabla1[[#This Row],[PAGO DIA]],DIAS!A:M,12,0)</f>
        <v>46386</v>
      </c>
      <c r="AD1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" spans="1:30">
      <c r="A121" s="3">
        <v>11571</v>
      </c>
      <c r="B121" s="3" t="s">
        <v>628</v>
      </c>
      <c r="C121" s="3" t="s">
        <v>629</v>
      </c>
      <c r="D121" s="3" t="s">
        <v>629</v>
      </c>
      <c r="E121" s="3" t="s">
        <v>699</v>
      </c>
      <c r="F121" s="42" t="s">
        <v>631</v>
      </c>
      <c r="G121" s="3" t="s">
        <v>635</v>
      </c>
      <c r="H121" s="6">
        <v>0</v>
      </c>
      <c r="I121" s="41">
        <f>VLOOKUP(Tabla1[[#This Row],[PAGO DIA]],DIAS!A:B,2,0)</f>
        <v>46080</v>
      </c>
      <c r="J121" s="6">
        <v>0</v>
      </c>
      <c r="K121" s="43">
        <f>VLOOKUP(Tabla1[[#This Row],[PAGO DIA]],DIAS!A:C,3,0)</f>
        <v>46112</v>
      </c>
      <c r="L121" s="6">
        <v>0</v>
      </c>
      <c r="M121" s="41">
        <f>VLOOKUP(Tabla1[[#This Row],[PAGO DIA]],DIAS!A:D,4,0)</f>
        <v>46142</v>
      </c>
      <c r="N121" s="6">
        <v>0</v>
      </c>
      <c r="O121" s="43">
        <f>VLOOKUP(Tabla1[[#This Row],[PAGO DIA]],DIAS!A:E,5,0)</f>
        <v>46171</v>
      </c>
      <c r="P121" s="6">
        <v>0</v>
      </c>
      <c r="Q121" s="43">
        <f>VLOOKUP(Tabla1[[#This Row],[PAGO DIA]],DIAS!A:F,6,0)</f>
        <v>46203</v>
      </c>
      <c r="R121" s="6">
        <v>0</v>
      </c>
      <c r="S121" s="43">
        <f>VLOOKUP(Tabla1[[#This Row],[PAGO DIA]],DIAS!A:G,7,0)</f>
        <v>46234</v>
      </c>
      <c r="T121" s="6">
        <v>0</v>
      </c>
      <c r="U121" s="43">
        <f>VLOOKUP(Tabla1[[#This Row],[PAGO DIA]],DIAS!A:H,8,0)</f>
        <v>46265</v>
      </c>
      <c r="V121" s="6">
        <v>0</v>
      </c>
      <c r="W121" s="43">
        <f>VLOOKUP(Tabla1[[#This Row],[PAGO DIA]],DIAS!A:I,9,0)</f>
        <v>46295</v>
      </c>
      <c r="X121" s="6">
        <v>0</v>
      </c>
      <c r="Y121" s="43">
        <f>VLOOKUP(Tabla1[[#This Row],[PAGO DIA]],DIAS!A:J,10,0)</f>
        <v>46325</v>
      </c>
      <c r="Z121" s="6">
        <v>0</v>
      </c>
      <c r="AA121" s="43">
        <f>VLOOKUP(Tabla1[[#This Row],[PAGO DIA]],DIAS!A:K,11,0)</f>
        <v>46356</v>
      </c>
      <c r="AB121" s="6">
        <v>0</v>
      </c>
      <c r="AC121" s="43">
        <f>VLOOKUP(Tabla1[[#This Row],[PAGO DIA]],DIAS!A:M,12,0)</f>
        <v>46386</v>
      </c>
      <c r="AD1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" spans="1:30">
      <c r="A122" s="3">
        <v>12498</v>
      </c>
      <c r="B122" s="3" t="s">
        <v>628</v>
      </c>
      <c r="C122" s="3"/>
      <c r="D122" s="3" t="s">
        <v>540</v>
      </c>
      <c r="E122" s="3" t="s">
        <v>699</v>
      </c>
      <c r="F122" s="42" t="s">
        <v>631</v>
      </c>
      <c r="G122" s="3"/>
      <c r="H122" s="6">
        <v>0</v>
      </c>
      <c r="I122" s="41">
        <f>VLOOKUP(Tabla1[[#This Row],[PAGO DIA]],DIAS!A:B,2,0)</f>
        <v>46080</v>
      </c>
      <c r="J122" s="6">
        <v>0</v>
      </c>
      <c r="K122" s="43">
        <f>VLOOKUP(Tabla1[[#This Row],[PAGO DIA]],DIAS!A:C,3,0)</f>
        <v>46112</v>
      </c>
      <c r="L122" s="6">
        <v>0</v>
      </c>
      <c r="M122" s="41">
        <f>VLOOKUP(Tabla1[[#This Row],[PAGO DIA]],DIAS!A:D,4,0)</f>
        <v>46142</v>
      </c>
      <c r="N122" s="6">
        <v>0</v>
      </c>
      <c r="O122" s="43">
        <f>VLOOKUP(Tabla1[[#This Row],[PAGO DIA]],DIAS!A:E,5,0)</f>
        <v>46171</v>
      </c>
      <c r="P122" s="6">
        <v>0</v>
      </c>
      <c r="Q122" s="43">
        <f>VLOOKUP(Tabla1[[#This Row],[PAGO DIA]],DIAS!A:F,6,0)</f>
        <v>46203</v>
      </c>
      <c r="R122" s="6">
        <v>0</v>
      </c>
      <c r="S122" s="43">
        <f>VLOOKUP(Tabla1[[#This Row],[PAGO DIA]],DIAS!A:G,7,0)</f>
        <v>46234</v>
      </c>
      <c r="T122" s="6">
        <v>0</v>
      </c>
      <c r="U122" s="43">
        <f>VLOOKUP(Tabla1[[#This Row],[PAGO DIA]],DIAS!A:H,8,0)</f>
        <v>46265</v>
      </c>
      <c r="V122" s="6">
        <v>0</v>
      </c>
      <c r="W122" s="43">
        <f>VLOOKUP(Tabla1[[#This Row],[PAGO DIA]],DIAS!A:I,9,0)</f>
        <v>46295</v>
      </c>
      <c r="X122" s="6">
        <v>0</v>
      </c>
      <c r="Y122" s="43">
        <f>VLOOKUP(Tabla1[[#This Row],[PAGO DIA]],DIAS!A:J,10,0)</f>
        <v>46325</v>
      </c>
      <c r="Z122" s="6">
        <v>0</v>
      </c>
      <c r="AA122" s="43">
        <f>VLOOKUP(Tabla1[[#This Row],[PAGO DIA]],DIAS!A:K,11,0)</f>
        <v>46356</v>
      </c>
      <c r="AB122" s="6">
        <v>0</v>
      </c>
      <c r="AC122" s="43">
        <f>VLOOKUP(Tabla1[[#This Row],[PAGO DIA]],DIAS!A:M,12,0)</f>
        <v>46386</v>
      </c>
      <c r="AD1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" spans="1:30">
      <c r="A123" s="3">
        <v>11069</v>
      </c>
      <c r="B123" s="3" t="s">
        <v>628</v>
      </c>
      <c r="C123" s="3" t="s">
        <v>540</v>
      </c>
      <c r="D123" s="3" t="s">
        <v>540</v>
      </c>
      <c r="E123" s="3" t="s">
        <v>715</v>
      </c>
      <c r="F123" s="42" t="s">
        <v>631</v>
      </c>
      <c r="G123" s="3"/>
      <c r="H123" s="6">
        <v>0</v>
      </c>
      <c r="I123" s="41">
        <f>VLOOKUP(Tabla1[[#This Row],[PAGO DIA]],DIAS!A:B,2,0)</f>
        <v>46080</v>
      </c>
      <c r="J123" s="6">
        <v>0</v>
      </c>
      <c r="K123" s="43">
        <f>VLOOKUP(Tabla1[[#This Row],[PAGO DIA]],DIAS!A:C,3,0)</f>
        <v>46112</v>
      </c>
      <c r="L123" s="6">
        <v>0</v>
      </c>
      <c r="M123" s="41">
        <f>VLOOKUP(Tabla1[[#This Row],[PAGO DIA]],DIAS!A:D,4,0)</f>
        <v>46142</v>
      </c>
      <c r="N123" s="6">
        <v>0</v>
      </c>
      <c r="O123" s="43">
        <f>VLOOKUP(Tabla1[[#This Row],[PAGO DIA]],DIAS!A:E,5,0)</f>
        <v>46171</v>
      </c>
      <c r="P123" s="6">
        <v>0</v>
      </c>
      <c r="Q123" s="43">
        <f>VLOOKUP(Tabla1[[#This Row],[PAGO DIA]],DIAS!A:F,6,0)</f>
        <v>46203</v>
      </c>
      <c r="R123" s="6">
        <v>0</v>
      </c>
      <c r="S123" s="43">
        <f>VLOOKUP(Tabla1[[#This Row],[PAGO DIA]],DIAS!A:G,7,0)</f>
        <v>46234</v>
      </c>
      <c r="T123" s="6">
        <v>0</v>
      </c>
      <c r="U123" s="43">
        <f>VLOOKUP(Tabla1[[#This Row],[PAGO DIA]],DIAS!A:H,8,0)</f>
        <v>46265</v>
      </c>
      <c r="V123" s="6">
        <v>0</v>
      </c>
      <c r="W123" s="43">
        <f>VLOOKUP(Tabla1[[#This Row],[PAGO DIA]],DIAS!A:I,9,0)</f>
        <v>46295</v>
      </c>
      <c r="X123" s="6">
        <v>0</v>
      </c>
      <c r="Y123" s="43">
        <f>VLOOKUP(Tabla1[[#This Row],[PAGO DIA]],DIAS!A:J,10,0)</f>
        <v>46325</v>
      </c>
      <c r="Z123" s="6">
        <v>0</v>
      </c>
      <c r="AA123" s="43">
        <f>VLOOKUP(Tabla1[[#This Row],[PAGO DIA]],DIAS!A:K,11,0)</f>
        <v>46356</v>
      </c>
      <c r="AB123" s="6">
        <v>0</v>
      </c>
      <c r="AC123" s="43">
        <f>VLOOKUP(Tabla1[[#This Row],[PAGO DIA]],DIAS!A:M,12,0)</f>
        <v>46386</v>
      </c>
      <c r="AD1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" spans="1:30">
      <c r="A124" s="3">
        <v>11329</v>
      </c>
      <c r="B124" s="3" t="s">
        <v>628</v>
      </c>
      <c r="C124" s="3" t="s">
        <v>540</v>
      </c>
      <c r="D124" s="3" t="s">
        <v>540</v>
      </c>
      <c r="E124" s="3" t="s">
        <v>715</v>
      </c>
      <c r="F124" s="42" t="s">
        <v>631</v>
      </c>
      <c r="G124" s="3"/>
      <c r="H124" s="6">
        <v>0</v>
      </c>
      <c r="I124" s="41">
        <f>VLOOKUP(Tabla1[[#This Row],[PAGO DIA]],DIAS!A:B,2,0)</f>
        <v>46080</v>
      </c>
      <c r="J124" s="6">
        <v>0</v>
      </c>
      <c r="K124" s="43">
        <f>VLOOKUP(Tabla1[[#This Row],[PAGO DIA]],DIAS!A:C,3,0)</f>
        <v>46112</v>
      </c>
      <c r="L124" s="6">
        <v>0</v>
      </c>
      <c r="M124" s="41">
        <f>VLOOKUP(Tabla1[[#This Row],[PAGO DIA]],DIAS!A:D,4,0)</f>
        <v>46142</v>
      </c>
      <c r="N124" s="6">
        <v>0</v>
      </c>
      <c r="O124" s="43">
        <f>VLOOKUP(Tabla1[[#This Row],[PAGO DIA]],DIAS!A:E,5,0)</f>
        <v>46171</v>
      </c>
      <c r="P124" s="6">
        <v>0</v>
      </c>
      <c r="Q124" s="43">
        <f>VLOOKUP(Tabla1[[#This Row],[PAGO DIA]],DIAS!A:F,6,0)</f>
        <v>46203</v>
      </c>
      <c r="R124" s="6">
        <v>0</v>
      </c>
      <c r="S124" s="43">
        <f>VLOOKUP(Tabla1[[#This Row],[PAGO DIA]],DIAS!A:G,7,0)</f>
        <v>46234</v>
      </c>
      <c r="T124" s="6">
        <v>0</v>
      </c>
      <c r="U124" s="43">
        <f>VLOOKUP(Tabla1[[#This Row],[PAGO DIA]],DIAS!A:H,8,0)</f>
        <v>46265</v>
      </c>
      <c r="V124" s="6">
        <v>0</v>
      </c>
      <c r="W124" s="43">
        <f>VLOOKUP(Tabla1[[#This Row],[PAGO DIA]],DIAS!A:I,9,0)</f>
        <v>46295</v>
      </c>
      <c r="X124" s="6">
        <v>0</v>
      </c>
      <c r="Y124" s="43">
        <f>VLOOKUP(Tabla1[[#This Row],[PAGO DIA]],DIAS!A:J,10,0)</f>
        <v>46325</v>
      </c>
      <c r="Z124" s="6">
        <v>0</v>
      </c>
      <c r="AA124" s="43">
        <f>VLOOKUP(Tabla1[[#This Row],[PAGO DIA]],DIAS!A:K,11,0)</f>
        <v>46356</v>
      </c>
      <c r="AB124" s="6">
        <v>0</v>
      </c>
      <c r="AC124" s="43">
        <f>VLOOKUP(Tabla1[[#This Row],[PAGO DIA]],DIAS!A:M,12,0)</f>
        <v>46386</v>
      </c>
      <c r="AD1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" spans="1:30">
      <c r="A125" s="3">
        <v>11572</v>
      </c>
      <c r="B125" s="3" t="s">
        <v>628</v>
      </c>
      <c r="C125" s="3" t="s">
        <v>540</v>
      </c>
      <c r="D125" s="3" t="s">
        <v>540</v>
      </c>
      <c r="E125" s="3" t="s">
        <v>715</v>
      </c>
      <c r="F125" s="42" t="s">
        <v>631</v>
      </c>
      <c r="G125" s="3" t="s">
        <v>716</v>
      </c>
      <c r="H125" s="6">
        <v>0</v>
      </c>
      <c r="I125" s="41">
        <f>VLOOKUP(Tabla1[[#This Row],[PAGO DIA]],DIAS!A:B,2,0)</f>
        <v>46080</v>
      </c>
      <c r="J125" s="6">
        <v>0</v>
      </c>
      <c r="K125" s="43">
        <f>VLOOKUP(Tabla1[[#This Row],[PAGO DIA]],DIAS!A:C,3,0)</f>
        <v>46112</v>
      </c>
      <c r="L125" s="6">
        <v>0</v>
      </c>
      <c r="M125" s="41">
        <f>VLOOKUP(Tabla1[[#This Row],[PAGO DIA]],DIAS!A:D,4,0)</f>
        <v>46142</v>
      </c>
      <c r="N125" s="6">
        <v>0</v>
      </c>
      <c r="O125" s="43">
        <f>VLOOKUP(Tabla1[[#This Row],[PAGO DIA]],DIAS!A:E,5,0)</f>
        <v>46171</v>
      </c>
      <c r="P125" s="6">
        <v>0</v>
      </c>
      <c r="Q125" s="43">
        <f>VLOOKUP(Tabla1[[#This Row],[PAGO DIA]],DIAS!A:F,6,0)</f>
        <v>46203</v>
      </c>
      <c r="R125" s="6">
        <v>0</v>
      </c>
      <c r="S125" s="43">
        <f>VLOOKUP(Tabla1[[#This Row],[PAGO DIA]],DIAS!A:G,7,0)</f>
        <v>46234</v>
      </c>
      <c r="T125" s="6">
        <v>0</v>
      </c>
      <c r="U125" s="43">
        <f>VLOOKUP(Tabla1[[#This Row],[PAGO DIA]],DIAS!A:H,8,0)</f>
        <v>46265</v>
      </c>
      <c r="V125" s="6">
        <v>0</v>
      </c>
      <c r="W125" s="43">
        <f>VLOOKUP(Tabla1[[#This Row],[PAGO DIA]],DIAS!A:I,9,0)</f>
        <v>46295</v>
      </c>
      <c r="X125" s="6">
        <v>0</v>
      </c>
      <c r="Y125" s="43">
        <f>VLOOKUP(Tabla1[[#This Row],[PAGO DIA]],DIAS!A:J,10,0)</f>
        <v>46325</v>
      </c>
      <c r="Z125" s="6">
        <v>0</v>
      </c>
      <c r="AA125" s="43">
        <f>VLOOKUP(Tabla1[[#This Row],[PAGO DIA]],DIAS!A:K,11,0)</f>
        <v>46356</v>
      </c>
      <c r="AB125" s="6">
        <v>0</v>
      </c>
      <c r="AC125" s="43">
        <f>VLOOKUP(Tabla1[[#This Row],[PAGO DIA]],DIAS!A:M,12,0)</f>
        <v>46386</v>
      </c>
      <c r="AD1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6" spans="1:30">
      <c r="A126" s="3">
        <v>11573</v>
      </c>
      <c r="B126" s="3" t="s">
        <v>628</v>
      </c>
      <c r="C126" s="3" t="s">
        <v>540</v>
      </c>
      <c r="D126" s="3" t="s">
        <v>540</v>
      </c>
      <c r="E126" s="3" t="s">
        <v>715</v>
      </c>
      <c r="F126" s="42" t="s">
        <v>631</v>
      </c>
      <c r="G126" s="3" t="s">
        <v>717</v>
      </c>
      <c r="H126" s="6">
        <v>0</v>
      </c>
      <c r="I126" s="41">
        <f>VLOOKUP(Tabla1[[#This Row],[PAGO DIA]],DIAS!A:B,2,0)</f>
        <v>46080</v>
      </c>
      <c r="J126" s="6">
        <v>0</v>
      </c>
      <c r="K126" s="43">
        <f>VLOOKUP(Tabla1[[#This Row],[PAGO DIA]],DIAS!A:C,3,0)</f>
        <v>46112</v>
      </c>
      <c r="L126" s="6">
        <v>0</v>
      </c>
      <c r="M126" s="41">
        <f>VLOOKUP(Tabla1[[#This Row],[PAGO DIA]],DIAS!A:D,4,0)</f>
        <v>46142</v>
      </c>
      <c r="N126" s="6">
        <v>0</v>
      </c>
      <c r="O126" s="43">
        <f>VLOOKUP(Tabla1[[#This Row],[PAGO DIA]],DIAS!A:E,5,0)</f>
        <v>46171</v>
      </c>
      <c r="P126" s="6">
        <v>0</v>
      </c>
      <c r="Q126" s="43">
        <f>VLOOKUP(Tabla1[[#This Row],[PAGO DIA]],DIAS!A:F,6,0)</f>
        <v>46203</v>
      </c>
      <c r="R126" s="6">
        <v>0</v>
      </c>
      <c r="S126" s="43">
        <f>VLOOKUP(Tabla1[[#This Row],[PAGO DIA]],DIAS!A:G,7,0)</f>
        <v>46234</v>
      </c>
      <c r="T126" s="6">
        <v>0</v>
      </c>
      <c r="U126" s="43">
        <f>VLOOKUP(Tabla1[[#This Row],[PAGO DIA]],DIAS!A:H,8,0)</f>
        <v>46265</v>
      </c>
      <c r="V126" s="6">
        <v>0</v>
      </c>
      <c r="W126" s="43">
        <f>VLOOKUP(Tabla1[[#This Row],[PAGO DIA]],DIAS!A:I,9,0)</f>
        <v>46295</v>
      </c>
      <c r="X126" s="6">
        <v>0</v>
      </c>
      <c r="Y126" s="43">
        <f>VLOOKUP(Tabla1[[#This Row],[PAGO DIA]],DIAS!A:J,10,0)</f>
        <v>46325</v>
      </c>
      <c r="Z126" s="6">
        <v>0</v>
      </c>
      <c r="AA126" s="43">
        <f>VLOOKUP(Tabla1[[#This Row],[PAGO DIA]],DIAS!A:K,11,0)</f>
        <v>46356</v>
      </c>
      <c r="AB126" s="6">
        <v>0</v>
      </c>
      <c r="AC126" s="43">
        <f>VLOOKUP(Tabla1[[#This Row],[PAGO DIA]],DIAS!A:M,12,0)</f>
        <v>46386</v>
      </c>
      <c r="AD1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7" spans="1:30">
      <c r="A127" s="3">
        <v>11574</v>
      </c>
      <c r="B127" s="3" t="s">
        <v>628</v>
      </c>
      <c r="C127" s="3" t="s">
        <v>540</v>
      </c>
      <c r="D127" s="3" t="s">
        <v>540</v>
      </c>
      <c r="E127" s="3" t="s">
        <v>715</v>
      </c>
      <c r="F127" s="42" t="s">
        <v>631</v>
      </c>
      <c r="G127" s="3" t="s">
        <v>718</v>
      </c>
      <c r="H127" s="6">
        <v>0</v>
      </c>
      <c r="I127" s="41">
        <f>VLOOKUP(Tabla1[[#This Row],[PAGO DIA]],DIAS!A:B,2,0)</f>
        <v>46080</v>
      </c>
      <c r="J127" s="6">
        <v>0</v>
      </c>
      <c r="K127" s="43">
        <f>VLOOKUP(Tabla1[[#This Row],[PAGO DIA]],DIAS!A:C,3,0)</f>
        <v>46112</v>
      </c>
      <c r="L127" s="6">
        <v>0</v>
      </c>
      <c r="M127" s="41">
        <f>VLOOKUP(Tabla1[[#This Row],[PAGO DIA]],DIAS!A:D,4,0)</f>
        <v>46142</v>
      </c>
      <c r="N127" s="6">
        <v>0</v>
      </c>
      <c r="O127" s="43">
        <f>VLOOKUP(Tabla1[[#This Row],[PAGO DIA]],DIAS!A:E,5,0)</f>
        <v>46171</v>
      </c>
      <c r="P127" s="6">
        <v>0</v>
      </c>
      <c r="Q127" s="43">
        <f>VLOOKUP(Tabla1[[#This Row],[PAGO DIA]],DIAS!A:F,6,0)</f>
        <v>46203</v>
      </c>
      <c r="R127" s="6">
        <v>0</v>
      </c>
      <c r="S127" s="43">
        <f>VLOOKUP(Tabla1[[#This Row],[PAGO DIA]],DIAS!A:G,7,0)</f>
        <v>46234</v>
      </c>
      <c r="T127" s="6">
        <v>0</v>
      </c>
      <c r="U127" s="43">
        <f>VLOOKUP(Tabla1[[#This Row],[PAGO DIA]],DIAS!A:H,8,0)</f>
        <v>46265</v>
      </c>
      <c r="V127" s="6">
        <v>0</v>
      </c>
      <c r="W127" s="43">
        <f>VLOOKUP(Tabla1[[#This Row],[PAGO DIA]],DIAS!A:I,9,0)</f>
        <v>46295</v>
      </c>
      <c r="X127" s="6">
        <v>0</v>
      </c>
      <c r="Y127" s="43">
        <f>VLOOKUP(Tabla1[[#This Row],[PAGO DIA]],DIAS!A:J,10,0)</f>
        <v>46325</v>
      </c>
      <c r="Z127" s="6">
        <v>0</v>
      </c>
      <c r="AA127" s="43">
        <f>VLOOKUP(Tabla1[[#This Row],[PAGO DIA]],DIAS!A:K,11,0)</f>
        <v>46356</v>
      </c>
      <c r="AB127" s="6">
        <v>0</v>
      </c>
      <c r="AC127" s="43">
        <f>VLOOKUP(Tabla1[[#This Row],[PAGO DIA]],DIAS!A:M,12,0)</f>
        <v>46386</v>
      </c>
      <c r="AD1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8" spans="1:30">
      <c r="A128" s="3">
        <v>11575</v>
      </c>
      <c r="B128" s="3" t="s">
        <v>628</v>
      </c>
      <c r="C128" s="3" t="s">
        <v>540</v>
      </c>
      <c r="D128" s="3" t="s">
        <v>540</v>
      </c>
      <c r="E128" s="3" t="s">
        <v>715</v>
      </c>
      <c r="F128" s="42" t="s">
        <v>631</v>
      </c>
      <c r="G128" s="3" t="s">
        <v>719</v>
      </c>
      <c r="H128" s="6">
        <v>0</v>
      </c>
      <c r="I128" s="41">
        <f>VLOOKUP(Tabla1[[#This Row],[PAGO DIA]],DIAS!A:B,2,0)</f>
        <v>46080</v>
      </c>
      <c r="J128" s="6">
        <v>0</v>
      </c>
      <c r="K128" s="43">
        <f>VLOOKUP(Tabla1[[#This Row],[PAGO DIA]],DIAS!A:C,3,0)</f>
        <v>46112</v>
      </c>
      <c r="L128" s="6">
        <v>0</v>
      </c>
      <c r="M128" s="41">
        <f>VLOOKUP(Tabla1[[#This Row],[PAGO DIA]],DIAS!A:D,4,0)</f>
        <v>46142</v>
      </c>
      <c r="N128" s="6">
        <v>0</v>
      </c>
      <c r="O128" s="43">
        <f>VLOOKUP(Tabla1[[#This Row],[PAGO DIA]],DIAS!A:E,5,0)</f>
        <v>46171</v>
      </c>
      <c r="P128" s="6">
        <v>0</v>
      </c>
      <c r="Q128" s="43">
        <f>VLOOKUP(Tabla1[[#This Row],[PAGO DIA]],DIAS!A:F,6,0)</f>
        <v>46203</v>
      </c>
      <c r="R128" s="6">
        <v>0</v>
      </c>
      <c r="S128" s="43">
        <f>VLOOKUP(Tabla1[[#This Row],[PAGO DIA]],DIAS!A:G,7,0)</f>
        <v>46234</v>
      </c>
      <c r="T128" s="6">
        <v>0</v>
      </c>
      <c r="U128" s="43">
        <f>VLOOKUP(Tabla1[[#This Row],[PAGO DIA]],DIAS!A:H,8,0)</f>
        <v>46265</v>
      </c>
      <c r="V128" s="6">
        <v>0</v>
      </c>
      <c r="W128" s="43">
        <f>VLOOKUP(Tabla1[[#This Row],[PAGO DIA]],DIAS!A:I,9,0)</f>
        <v>46295</v>
      </c>
      <c r="X128" s="6">
        <v>0</v>
      </c>
      <c r="Y128" s="43">
        <f>VLOOKUP(Tabla1[[#This Row],[PAGO DIA]],DIAS!A:J,10,0)</f>
        <v>46325</v>
      </c>
      <c r="Z128" s="6">
        <v>0</v>
      </c>
      <c r="AA128" s="43">
        <f>VLOOKUP(Tabla1[[#This Row],[PAGO DIA]],DIAS!A:K,11,0)</f>
        <v>46356</v>
      </c>
      <c r="AB128" s="6">
        <v>0</v>
      </c>
      <c r="AC128" s="43">
        <f>VLOOKUP(Tabla1[[#This Row],[PAGO DIA]],DIAS!A:M,12,0)</f>
        <v>46386</v>
      </c>
      <c r="AD1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9" spans="1:30">
      <c r="A129" s="3">
        <v>11435</v>
      </c>
      <c r="B129" s="3" t="s">
        <v>510</v>
      </c>
      <c r="C129" s="3" t="s">
        <v>505</v>
      </c>
      <c r="D129" s="3" t="s">
        <v>549</v>
      </c>
      <c r="E129" s="3" t="s">
        <v>720</v>
      </c>
      <c r="F129" s="42" t="s">
        <v>612</v>
      </c>
      <c r="G129" s="3"/>
      <c r="H129" s="7">
        <v>71453200</v>
      </c>
      <c r="I129" s="41">
        <f>VLOOKUP(Tabla1[[#This Row],[PAGO DIA]],DIAS!A:B,2,0)</f>
        <v>46071</v>
      </c>
      <c r="J129" s="6">
        <v>0</v>
      </c>
      <c r="K129" s="43">
        <f>VLOOKUP(Tabla1[[#This Row],[PAGO DIA]],DIAS!A:C,3,0)</f>
        <v>46098</v>
      </c>
      <c r="L129" s="6">
        <v>0</v>
      </c>
      <c r="M129" s="41">
        <f>VLOOKUP(Tabla1[[#This Row],[PAGO DIA]],DIAS!A:D,4,0)</f>
        <v>46133</v>
      </c>
      <c r="N129" s="6">
        <v>0</v>
      </c>
      <c r="O129" s="43">
        <f>VLOOKUP(Tabla1[[#This Row],[PAGO DIA]],DIAS!A:E,5,0)</f>
        <v>46161</v>
      </c>
      <c r="P129" s="6">
        <v>0</v>
      </c>
      <c r="Q129" s="43">
        <f>VLOOKUP(Tabla1[[#This Row],[PAGO DIA]],DIAS!A:F,6,0)</f>
        <v>46189</v>
      </c>
      <c r="R129" s="6">
        <v>0</v>
      </c>
      <c r="S129" s="43">
        <f>VLOOKUP(Tabla1[[#This Row],[PAGO DIA]],DIAS!A:G,7,0)</f>
        <v>46224</v>
      </c>
      <c r="T129" s="6">
        <v>0</v>
      </c>
      <c r="U129" s="43">
        <f>VLOOKUP(Tabla1[[#This Row],[PAGO DIA]],DIAS!A:H,8,0)</f>
        <v>46252</v>
      </c>
      <c r="V129" s="6">
        <v>0</v>
      </c>
      <c r="W129" s="43">
        <f>VLOOKUP(Tabla1[[#This Row],[PAGO DIA]],DIAS!A:I,9,0)</f>
        <v>46280</v>
      </c>
      <c r="X129" s="6">
        <v>0</v>
      </c>
      <c r="Y129" s="43">
        <f>VLOOKUP(Tabla1[[#This Row],[PAGO DIA]],DIAS!A:J,10,0)</f>
        <v>46315</v>
      </c>
      <c r="Z129" s="6">
        <v>0</v>
      </c>
      <c r="AA129" s="43">
        <f>VLOOKUP(Tabla1[[#This Row],[PAGO DIA]],DIAS!A:K,11,0)</f>
        <v>46343</v>
      </c>
      <c r="AB129" s="6">
        <v>0</v>
      </c>
      <c r="AC129" s="43">
        <f>VLOOKUP(Tabla1[[#This Row],[PAGO DIA]],DIAS!A:M,12,0)</f>
        <v>46372</v>
      </c>
      <c r="AD1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71453200</v>
      </c>
    </row>
    <row r="130" spans="1:30">
      <c r="A130" s="3">
        <v>11576</v>
      </c>
      <c r="B130" s="3" t="s">
        <v>628</v>
      </c>
      <c r="C130" s="3" t="s">
        <v>540</v>
      </c>
      <c r="D130" s="3" t="s">
        <v>540</v>
      </c>
      <c r="E130" s="3" t="s">
        <v>715</v>
      </c>
      <c r="F130" s="42" t="s">
        <v>631</v>
      </c>
      <c r="G130" s="3" t="s">
        <v>721</v>
      </c>
      <c r="H130" s="6">
        <v>0</v>
      </c>
      <c r="I130" s="41">
        <f>VLOOKUP(Tabla1[[#This Row],[PAGO DIA]],DIAS!A:B,2,0)</f>
        <v>46080</v>
      </c>
      <c r="J130" s="6">
        <v>0</v>
      </c>
      <c r="K130" s="43">
        <f>VLOOKUP(Tabla1[[#This Row],[PAGO DIA]],DIAS!A:C,3,0)</f>
        <v>46112</v>
      </c>
      <c r="L130" s="6">
        <v>0</v>
      </c>
      <c r="M130" s="41">
        <f>VLOOKUP(Tabla1[[#This Row],[PAGO DIA]],DIAS!A:D,4,0)</f>
        <v>46142</v>
      </c>
      <c r="N130" s="6">
        <v>0</v>
      </c>
      <c r="O130" s="43">
        <f>VLOOKUP(Tabla1[[#This Row],[PAGO DIA]],DIAS!A:E,5,0)</f>
        <v>46171</v>
      </c>
      <c r="P130" s="6">
        <v>0</v>
      </c>
      <c r="Q130" s="43">
        <f>VLOOKUP(Tabla1[[#This Row],[PAGO DIA]],DIAS!A:F,6,0)</f>
        <v>46203</v>
      </c>
      <c r="R130" s="6">
        <v>0</v>
      </c>
      <c r="S130" s="43">
        <f>VLOOKUP(Tabla1[[#This Row],[PAGO DIA]],DIAS!A:G,7,0)</f>
        <v>46234</v>
      </c>
      <c r="T130" s="6">
        <v>0</v>
      </c>
      <c r="U130" s="43">
        <f>VLOOKUP(Tabla1[[#This Row],[PAGO DIA]],DIAS!A:H,8,0)</f>
        <v>46265</v>
      </c>
      <c r="V130" s="6">
        <v>0</v>
      </c>
      <c r="W130" s="43">
        <f>VLOOKUP(Tabla1[[#This Row],[PAGO DIA]],DIAS!A:I,9,0)</f>
        <v>46295</v>
      </c>
      <c r="X130" s="6">
        <v>0</v>
      </c>
      <c r="Y130" s="43">
        <f>VLOOKUP(Tabla1[[#This Row],[PAGO DIA]],DIAS!A:J,10,0)</f>
        <v>46325</v>
      </c>
      <c r="Z130" s="6">
        <v>0</v>
      </c>
      <c r="AA130" s="43">
        <f>VLOOKUP(Tabla1[[#This Row],[PAGO DIA]],DIAS!A:K,11,0)</f>
        <v>46356</v>
      </c>
      <c r="AB130" s="6">
        <v>0</v>
      </c>
      <c r="AC130" s="43">
        <f>VLOOKUP(Tabla1[[#This Row],[PAGO DIA]],DIAS!A:M,12,0)</f>
        <v>46386</v>
      </c>
      <c r="AD1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" spans="1:30">
      <c r="A131" s="3">
        <v>11469</v>
      </c>
      <c r="B131" s="3" t="s">
        <v>510</v>
      </c>
      <c r="C131" s="3" t="s">
        <v>576</v>
      </c>
      <c r="D131" s="3" t="s">
        <v>722</v>
      </c>
      <c r="E131" s="3" t="s">
        <v>723</v>
      </c>
      <c r="F131" s="42" t="s">
        <v>612</v>
      </c>
      <c r="G131" s="3"/>
      <c r="H131" s="7">
        <v>8680750</v>
      </c>
      <c r="I131" s="41">
        <f>VLOOKUP(Tabla1[[#This Row],[PAGO DIA]],DIAS!A:B,2,0)</f>
        <v>46071</v>
      </c>
      <c r="J131" s="6">
        <v>0</v>
      </c>
      <c r="K131" s="43">
        <f>VLOOKUP(Tabla1[[#This Row],[PAGO DIA]],DIAS!A:C,3,0)</f>
        <v>46098</v>
      </c>
      <c r="L131" s="6">
        <v>0</v>
      </c>
      <c r="M131" s="41">
        <f>VLOOKUP(Tabla1[[#This Row],[PAGO DIA]],DIAS!A:D,4,0)</f>
        <v>46133</v>
      </c>
      <c r="N131" s="6">
        <v>0</v>
      </c>
      <c r="O131" s="43">
        <f>VLOOKUP(Tabla1[[#This Row],[PAGO DIA]],DIAS!A:E,5,0)</f>
        <v>46161</v>
      </c>
      <c r="P131" s="6">
        <v>0</v>
      </c>
      <c r="Q131" s="43">
        <f>VLOOKUP(Tabla1[[#This Row],[PAGO DIA]],DIAS!A:F,6,0)</f>
        <v>46189</v>
      </c>
      <c r="R131" s="6">
        <v>0</v>
      </c>
      <c r="S131" s="43">
        <f>VLOOKUP(Tabla1[[#This Row],[PAGO DIA]],DIAS!A:G,7,0)</f>
        <v>46224</v>
      </c>
      <c r="T131" s="6">
        <v>0</v>
      </c>
      <c r="U131" s="43">
        <f>VLOOKUP(Tabla1[[#This Row],[PAGO DIA]],DIAS!A:H,8,0)</f>
        <v>46252</v>
      </c>
      <c r="V131" s="6">
        <v>0</v>
      </c>
      <c r="W131" s="43">
        <f>VLOOKUP(Tabla1[[#This Row],[PAGO DIA]],DIAS!A:I,9,0)</f>
        <v>46280</v>
      </c>
      <c r="X131" s="6">
        <v>0</v>
      </c>
      <c r="Y131" s="43">
        <f>VLOOKUP(Tabla1[[#This Row],[PAGO DIA]],DIAS!A:J,10,0)</f>
        <v>46315</v>
      </c>
      <c r="Z131" s="6">
        <v>0</v>
      </c>
      <c r="AA131" s="43">
        <f>VLOOKUP(Tabla1[[#This Row],[PAGO DIA]],DIAS!A:K,11,0)</f>
        <v>46343</v>
      </c>
      <c r="AB131" s="6">
        <v>0</v>
      </c>
      <c r="AC131" s="43">
        <f>VLOOKUP(Tabla1[[#This Row],[PAGO DIA]],DIAS!A:M,12,0)</f>
        <v>46372</v>
      </c>
      <c r="AD1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8680750</v>
      </c>
    </row>
    <row r="132" spans="1:30">
      <c r="A132" s="3">
        <v>12046</v>
      </c>
      <c r="B132" s="3" t="s">
        <v>628</v>
      </c>
      <c r="C132" s="3" t="s">
        <v>629</v>
      </c>
      <c r="D132" s="3" t="s">
        <v>629</v>
      </c>
      <c r="E132" s="3" t="s">
        <v>724</v>
      </c>
      <c r="F132" s="42" t="s">
        <v>631</v>
      </c>
      <c r="G132" s="3" t="s">
        <v>635</v>
      </c>
      <c r="H132" s="6">
        <v>0</v>
      </c>
      <c r="I132" s="41">
        <f>VLOOKUP(Tabla1[[#This Row],[PAGO DIA]],DIAS!A:B,2,0)</f>
        <v>46080</v>
      </c>
      <c r="J132" s="6">
        <v>0</v>
      </c>
      <c r="K132" s="43">
        <f>VLOOKUP(Tabla1[[#This Row],[PAGO DIA]],DIAS!A:C,3,0)</f>
        <v>46112</v>
      </c>
      <c r="L132" s="6">
        <v>0</v>
      </c>
      <c r="M132" s="41">
        <f>VLOOKUP(Tabla1[[#This Row],[PAGO DIA]],DIAS!A:D,4,0)</f>
        <v>46142</v>
      </c>
      <c r="N132" s="6">
        <v>0</v>
      </c>
      <c r="O132" s="43">
        <f>VLOOKUP(Tabla1[[#This Row],[PAGO DIA]],DIAS!A:E,5,0)</f>
        <v>46171</v>
      </c>
      <c r="P132" s="6">
        <v>0</v>
      </c>
      <c r="Q132" s="43">
        <f>VLOOKUP(Tabla1[[#This Row],[PAGO DIA]],DIAS!A:F,6,0)</f>
        <v>46203</v>
      </c>
      <c r="R132" s="6">
        <v>0</v>
      </c>
      <c r="S132" s="43">
        <f>VLOOKUP(Tabla1[[#This Row],[PAGO DIA]],DIAS!A:G,7,0)</f>
        <v>46234</v>
      </c>
      <c r="T132" s="6">
        <v>0</v>
      </c>
      <c r="U132" s="43">
        <f>VLOOKUP(Tabla1[[#This Row],[PAGO DIA]],DIAS!A:H,8,0)</f>
        <v>46265</v>
      </c>
      <c r="V132" s="6">
        <v>0</v>
      </c>
      <c r="W132" s="43">
        <f>VLOOKUP(Tabla1[[#This Row],[PAGO DIA]],DIAS!A:I,9,0)</f>
        <v>46295</v>
      </c>
      <c r="X132" s="6">
        <v>0</v>
      </c>
      <c r="Y132" s="43">
        <f>VLOOKUP(Tabla1[[#This Row],[PAGO DIA]],DIAS!A:J,10,0)</f>
        <v>46325</v>
      </c>
      <c r="Z132" s="6">
        <v>0</v>
      </c>
      <c r="AA132" s="43">
        <f>VLOOKUP(Tabla1[[#This Row],[PAGO DIA]],DIAS!A:K,11,0)</f>
        <v>46356</v>
      </c>
      <c r="AB132" s="6">
        <v>0</v>
      </c>
      <c r="AC132" s="43">
        <f>VLOOKUP(Tabla1[[#This Row],[PAGO DIA]],DIAS!A:M,12,0)</f>
        <v>46386</v>
      </c>
      <c r="AD1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" spans="1:30">
      <c r="A133" s="3">
        <v>12639</v>
      </c>
      <c r="B133" s="3" t="s">
        <v>628</v>
      </c>
      <c r="C133" s="3" t="s">
        <v>629</v>
      </c>
      <c r="D133" s="3" t="s">
        <v>540</v>
      </c>
      <c r="E133" s="3" t="s">
        <v>725</v>
      </c>
      <c r="F133" s="42" t="s">
        <v>631</v>
      </c>
      <c r="G133" s="3" t="s">
        <v>726</v>
      </c>
      <c r="H133" s="6">
        <v>0</v>
      </c>
      <c r="I133" s="41">
        <f>VLOOKUP(Tabla1[[#This Row],[PAGO DIA]],DIAS!A:B,2,0)</f>
        <v>46080</v>
      </c>
      <c r="J133" s="6">
        <v>0</v>
      </c>
      <c r="K133" s="43">
        <f>VLOOKUP(Tabla1[[#This Row],[PAGO DIA]],DIAS!A:C,3,0)</f>
        <v>46112</v>
      </c>
      <c r="L133" s="6">
        <v>0</v>
      </c>
      <c r="M133" s="41">
        <f>VLOOKUP(Tabla1[[#This Row],[PAGO DIA]],DIAS!A:D,4,0)</f>
        <v>46142</v>
      </c>
      <c r="N133" s="6">
        <v>0</v>
      </c>
      <c r="O133" s="43">
        <f>VLOOKUP(Tabla1[[#This Row],[PAGO DIA]],DIAS!A:E,5,0)</f>
        <v>46171</v>
      </c>
      <c r="P133" s="6">
        <v>0</v>
      </c>
      <c r="Q133" s="43">
        <f>VLOOKUP(Tabla1[[#This Row],[PAGO DIA]],DIAS!A:F,6,0)</f>
        <v>46203</v>
      </c>
      <c r="R133" s="6">
        <v>0</v>
      </c>
      <c r="S133" s="43">
        <f>VLOOKUP(Tabla1[[#This Row],[PAGO DIA]],DIAS!A:G,7,0)</f>
        <v>46234</v>
      </c>
      <c r="T133" s="6">
        <v>0</v>
      </c>
      <c r="U133" s="43">
        <f>VLOOKUP(Tabla1[[#This Row],[PAGO DIA]],DIAS!A:H,8,0)</f>
        <v>46265</v>
      </c>
      <c r="V133" s="6">
        <v>0</v>
      </c>
      <c r="W133" s="43">
        <f>VLOOKUP(Tabla1[[#This Row],[PAGO DIA]],DIAS!A:I,9,0)</f>
        <v>46295</v>
      </c>
      <c r="X133" s="6">
        <v>0</v>
      </c>
      <c r="Y133" s="43">
        <f>VLOOKUP(Tabla1[[#This Row],[PAGO DIA]],DIAS!A:J,10,0)</f>
        <v>46325</v>
      </c>
      <c r="Z133" s="6">
        <v>0</v>
      </c>
      <c r="AA133" s="43">
        <f>VLOOKUP(Tabla1[[#This Row],[PAGO DIA]],DIAS!A:K,11,0)</f>
        <v>46356</v>
      </c>
      <c r="AB133" s="6">
        <v>0</v>
      </c>
      <c r="AC133" s="43">
        <f>VLOOKUP(Tabla1[[#This Row],[PAGO DIA]],DIAS!A:M,12,0)</f>
        <v>46386</v>
      </c>
      <c r="AD1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" spans="1:30">
      <c r="A134" s="3">
        <v>12270</v>
      </c>
      <c r="B134" s="3" t="s">
        <v>510</v>
      </c>
      <c r="C134" s="3"/>
      <c r="D134" s="3" t="s">
        <v>549</v>
      </c>
      <c r="E134" s="3" t="s">
        <v>727</v>
      </c>
      <c r="F134" s="42" t="s">
        <v>612</v>
      </c>
      <c r="G134" s="3"/>
      <c r="H134" s="7">
        <v>25568400</v>
      </c>
      <c r="I134" s="41">
        <f>VLOOKUP(Tabla1[[#This Row],[PAGO DIA]],DIAS!A:B,2,0)</f>
        <v>46071</v>
      </c>
      <c r="J134" s="6">
        <v>0</v>
      </c>
      <c r="K134" s="43">
        <f>VLOOKUP(Tabla1[[#This Row],[PAGO DIA]],DIAS!A:C,3,0)</f>
        <v>46098</v>
      </c>
      <c r="L134" s="6">
        <v>0</v>
      </c>
      <c r="M134" s="41">
        <f>VLOOKUP(Tabla1[[#This Row],[PAGO DIA]],DIAS!A:D,4,0)</f>
        <v>46133</v>
      </c>
      <c r="N134" s="6">
        <v>0</v>
      </c>
      <c r="O134" s="43">
        <f>VLOOKUP(Tabla1[[#This Row],[PAGO DIA]],DIAS!A:E,5,0)</f>
        <v>46161</v>
      </c>
      <c r="P134" s="6">
        <v>0</v>
      </c>
      <c r="Q134" s="43">
        <f>VLOOKUP(Tabla1[[#This Row],[PAGO DIA]],DIAS!A:F,6,0)</f>
        <v>46189</v>
      </c>
      <c r="R134" s="6">
        <v>0</v>
      </c>
      <c r="S134" s="43">
        <f>VLOOKUP(Tabla1[[#This Row],[PAGO DIA]],DIAS!A:G,7,0)</f>
        <v>46224</v>
      </c>
      <c r="T134" s="6">
        <v>0</v>
      </c>
      <c r="U134" s="43">
        <f>VLOOKUP(Tabla1[[#This Row],[PAGO DIA]],DIAS!A:H,8,0)</f>
        <v>46252</v>
      </c>
      <c r="V134" s="6">
        <v>0</v>
      </c>
      <c r="W134" s="43">
        <f>VLOOKUP(Tabla1[[#This Row],[PAGO DIA]],DIAS!A:I,9,0)</f>
        <v>46280</v>
      </c>
      <c r="X134" s="6">
        <v>0</v>
      </c>
      <c r="Y134" s="43">
        <f>VLOOKUP(Tabla1[[#This Row],[PAGO DIA]],DIAS!A:J,10,0)</f>
        <v>46315</v>
      </c>
      <c r="Z134" s="6">
        <v>0</v>
      </c>
      <c r="AA134" s="43">
        <f>VLOOKUP(Tabla1[[#This Row],[PAGO DIA]],DIAS!A:K,11,0)</f>
        <v>46343</v>
      </c>
      <c r="AB134" s="6">
        <v>0</v>
      </c>
      <c r="AC134" s="43">
        <f>VLOOKUP(Tabla1[[#This Row],[PAGO DIA]],DIAS!A:M,12,0)</f>
        <v>46372</v>
      </c>
      <c r="AD1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25568400</v>
      </c>
    </row>
    <row r="135" spans="1:30">
      <c r="A135" s="3">
        <v>12746</v>
      </c>
      <c r="B135" s="3" t="s">
        <v>628</v>
      </c>
      <c r="C135" s="3" t="s">
        <v>629</v>
      </c>
      <c r="D135" s="3" t="s">
        <v>540</v>
      </c>
      <c r="E135" s="3" t="s">
        <v>725</v>
      </c>
      <c r="F135" s="42" t="s">
        <v>631</v>
      </c>
      <c r="G135" s="3" t="s">
        <v>728</v>
      </c>
      <c r="H135" s="6">
        <v>0</v>
      </c>
      <c r="I135" s="41">
        <f>VLOOKUP(Tabla1[[#This Row],[PAGO DIA]],DIAS!A:B,2,0)</f>
        <v>46080</v>
      </c>
      <c r="J135" s="6">
        <v>0</v>
      </c>
      <c r="K135" s="43">
        <f>VLOOKUP(Tabla1[[#This Row],[PAGO DIA]],DIAS!A:C,3,0)</f>
        <v>46112</v>
      </c>
      <c r="L135" s="6">
        <v>0</v>
      </c>
      <c r="M135" s="41">
        <f>VLOOKUP(Tabla1[[#This Row],[PAGO DIA]],DIAS!A:D,4,0)</f>
        <v>46142</v>
      </c>
      <c r="N135" s="6">
        <v>0</v>
      </c>
      <c r="O135" s="43">
        <f>VLOOKUP(Tabla1[[#This Row],[PAGO DIA]],DIAS!A:E,5,0)</f>
        <v>46171</v>
      </c>
      <c r="P135" s="6">
        <v>0</v>
      </c>
      <c r="Q135" s="43">
        <f>VLOOKUP(Tabla1[[#This Row],[PAGO DIA]],DIAS!A:F,6,0)</f>
        <v>46203</v>
      </c>
      <c r="R135" s="6">
        <v>0</v>
      </c>
      <c r="S135" s="43">
        <f>VLOOKUP(Tabla1[[#This Row],[PAGO DIA]],DIAS!A:G,7,0)</f>
        <v>46234</v>
      </c>
      <c r="T135" s="6">
        <v>0</v>
      </c>
      <c r="U135" s="43">
        <f>VLOOKUP(Tabla1[[#This Row],[PAGO DIA]],DIAS!A:H,8,0)</f>
        <v>46265</v>
      </c>
      <c r="V135" s="6">
        <v>0</v>
      </c>
      <c r="W135" s="43">
        <f>VLOOKUP(Tabla1[[#This Row],[PAGO DIA]],DIAS!A:I,9,0)</f>
        <v>46295</v>
      </c>
      <c r="X135" s="6">
        <v>0</v>
      </c>
      <c r="Y135" s="43">
        <f>VLOOKUP(Tabla1[[#This Row],[PAGO DIA]],DIAS!A:J,10,0)</f>
        <v>46325</v>
      </c>
      <c r="Z135" s="6">
        <v>0</v>
      </c>
      <c r="AA135" s="43">
        <f>VLOOKUP(Tabla1[[#This Row],[PAGO DIA]],DIAS!A:K,11,0)</f>
        <v>46356</v>
      </c>
      <c r="AB135" s="6">
        <v>0</v>
      </c>
      <c r="AC135" s="43">
        <f>VLOOKUP(Tabla1[[#This Row],[PAGO DIA]],DIAS!A:M,12,0)</f>
        <v>46386</v>
      </c>
      <c r="AD1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" spans="1:30">
      <c r="A136" s="3">
        <v>12072</v>
      </c>
      <c r="B136" s="3" t="s">
        <v>628</v>
      </c>
      <c r="C136" s="3" t="s">
        <v>629</v>
      </c>
      <c r="D136" s="3" t="s">
        <v>629</v>
      </c>
      <c r="E136" s="3" t="s">
        <v>729</v>
      </c>
      <c r="F136" s="42" t="s">
        <v>631</v>
      </c>
      <c r="G136" s="3" t="s">
        <v>635</v>
      </c>
      <c r="H136" s="6">
        <v>0</v>
      </c>
      <c r="I136" s="41">
        <f>VLOOKUP(Tabla1[[#This Row],[PAGO DIA]],DIAS!A:B,2,0)</f>
        <v>46080</v>
      </c>
      <c r="J136" s="6">
        <v>0</v>
      </c>
      <c r="K136" s="43">
        <f>VLOOKUP(Tabla1[[#This Row],[PAGO DIA]],DIAS!A:C,3,0)</f>
        <v>46112</v>
      </c>
      <c r="L136" s="6">
        <v>0</v>
      </c>
      <c r="M136" s="41">
        <f>VLOOKUP(Tabla1[[#This Row],[PAGO DIA]],DIAS!A:D,4,0)</f>
        <v>46142</v>
      </c>
      <c r="N136" s="6">
        <v>0</v>
      </c>
      <c r="O136" s="43">
        <f>VLOOKUP(Tabla1[[#This Row],[PAGO DIA]],DIAS!A:E,5,0)</f>
        <v>46171</v>
      </c>
      <c r="P136" s="6">
        <v>0</v>
      </c>
      <c r="Q136" s="43">
        <f>VLOOKUP(Tabla1[[#This Row],[PAGO DIA]],DIAS!A:F,6,0)</f>
        <v>46203</v>
      </c>
      <c r="R136" s="6">
        <v>0</v>
      </c>
      <c r="S136" s="43">
        <f>VLOOKUP(Tabla1[[#This Row],[PAGO DIA]],DIAS!A:G,7,0)</f>
        <v>46234</v>
      </c>
      <c r="T136" s="6">
        <v>0</v>
      </c>
      <c r="U136" s="43">
        <f>VLOOKUP(Tabla1[[#This Row],[PAGO DIA]],DIAS!A:H,8,0)</f>
        <v>46265</v>
      </c>
      <c r="V136" s="6">
        <v>0</v>
      </c>
      <c r="W136" s="43">
        <f>VLOOKUP(Tabla1[[#This Row],[PAGO DIA]],DIAS!A:I,9,0)</f>
        <v>46295</v>
      </c>
      <c r="X136" s="6">
        <v>0</v>
      </c>
      <c r="Y136" s="43">
        <f>VLOOKUP(Tabla1[[#This Row],[PAGO DIA]],DIAS!A:J,10,0)</f>
        <v>46325</v>
      </c>
      <c r="Z136" s="6">
        <v>0</v>
      </c>
      <c r="AA136" s="43">
        <f>VLOOKUP(Tabla1[[#This Row],[PAGO DIA]],DIAS!A:K,11,0)</f>
        <v>46356</v>
      </c>
      <c r="AB136" s="6">
        <v>0</v>
      </c>
      <c r="AC136" s="43">
        <f>VLOOKUP(Tabla1[[#This Row],[PAGO DIA]],DIAS!A:M,12,0)</f>
        <v>46386</v>
      </c>
      <c r="AD1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" spans="1:30">
      <c r="A137" s="3">
        <v>12546</v>
      </c>
      <c r="B137" s="3" t="s">
        <v>628</v>
      </c>
      <c r="C137" s="3" t="s">
        <v>629</v>
      </c>
      <c r="D137" s="3" t="s">
        <v>540</v>
      </c>
      <c r="E137" s="3" t="s">
        <v>730</v>
      </c>
      <c r="F137" s="42" t="s">
        <v>631</v>
      </c>
      <c r="G137" s="3" t="s">
        <v>731</v>
      </c>
      <c r="H137" s="6">
        <v>0</v>
      </c>
      <c r="I137" s="41">
        <f>VLOOKUP(Tabla1[[#This Row],[PAGO DIA]],DIAS!A:B,2,0)</f>
        <v>46080</v>
      </c>
      <c r="J137" s="6">
        <v>0</v>
      </c>
      <c r="K137" s="43">
        <f>VLOOKUP(Tabla1[[#This Row],[PAGO DIA]],DIAS!A:C,3,0)</f>
        <v>46112</v>
      </c>
      <c r="L137" s="6">
        <v>0</v>
      </c>
      <c r="M137" s="41">
        <f>VLOOKUP(Tabla1[[#This Row],[PAGO DIA]],DIAS!A:D,4,0)</f>
        <v>46142</v>
      </c>
      <c r="N137" s="6">
        <v>0</v>
      </c>
      <c r="O137" s="43">
        <f>VLOOKUP(Tabla1[[#This Row],[PAGO DIA]],DIAS!A:E,5,0)</f>
        <v>46171</v>
      </c>
      <c r="P137" s="6">
        <v>0</v>
      </c>
      <c r="Q137" s="43">
        <f>VLOOKUP(Tabla1[[#This Row],[PAGO DIA]],DIAS!A:F,6,0)</f>
        <v>46203</v>
      </c>
      <c r="R137" s="6">
        <v>0</v>
      </c>
      <c r="S137" s="43">
        <f>VLOOKUP(Tabla1[[#This Row],[PAGO DIA]],DIAS!A:G,7,0)</f>
        <v>46234</v>
      </c>
      <c r="T137" s="6">
        <v>0</v>
      </c>
      <c r="U137" s="43">
        <f>VLOOKUP(Tabla1[[#This Row],[PAGO DIA]],DIAS!A:H,8,0)</f>
        <v>46265</v>
      </c>
      <c r="V137" s="6">
        <v>0</v>
      </c>
      <c r="W137" s="43">
        <f>VLOOKUP(Tabla1[[#This Row],[PAGO DIA]],DIAS!A:I,9,0)</f>
        <v>46295</v>
      </c>
      <c r="X137" s="6">
        <v>0</v>
      </c>
      <c r="Y137" s="43">
        <f>VLOOKUP(Tabla1[[#This Row],[PAGO DIA]],DIAS!A:J,10,0)</f>
        <v>46325</v>
      </c>
      <c r="Z137" s="6">
        <v>0</v>
      </c>
      <c r="AA137" s="43">
        <f>VLOOKUP(Tabla1[[#This Row],[PAGO DIA]],DIAS!A:K,11,0)</f>
        <v>46356</v>
      </c>
      <c r="AB137" s="6">
        <v>0</v>
      </c>
      <c r="AC137" s="43">
        <f>VLOOKUP(Tabla1[[#This Row],[PAGO DIA]],DIAS!A:M,12,0)</f>
        <v>46386</v>
      </c>
      <c r="AD1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" spans="1:30">
      <c r="A138" s="3">
        <v>12842</v>
      </c>
      <c r="B138" s="3" t="s">
        <v>510</v>
      </c>
      <c r="C138" s="3" t="s">
        <v>505</v>
      </c>
      <c r="D138" s="3" t="s">
        <v>732</v>
      </c>
      <c r="E138" s="3" t="s">
        <v>733</v>
      </c>
      <c r="F138" s="42" t="s">
        <v>612</v>
      </c>
      <c r="G138" s="3" t="s">
        <v>734</v>
      </c>
      <c r="H138" s="7">
        <v>3547116</v>
      </c>
      <c r="I138" s="41">
        <f>VLOOKUP(Tabla1[[#This Row],[PAGO DIA]],DIAS!A:B,2,0)</f>
        <v>46071</v>
      </c>
      <c r="J138" s="6">
        <v>0</v>
      </c>
      <c r="K138" s="43">
        <f>VLOOKUP(Tabla1[[#This Row],[PAGO DIA]],DIAS!A:C,3,0)</f>
        <v>46098</v>
      </c>
      <c r="L138" s="6">
        <v>0</v>
      </c>
      <c r="M138" s="41">
        <f>VLOOKUP(Tabla1[[#This Row],[PAGO DIA]],DIAS!A:D,4,0)</f>
        <v>46133</v>
      </c>
      <c r="N138" s="6">
        <v>0</v>
      </c>
      <c r="O138" s="43">
        <f>VLOOKUP(Tabla1[[#This Row],[PAGO DIA]],DIAS!A:E,5,0)</f>
        <v>46161</v>
      </c>
      <c r="P138" s="6">
        <v>0</v>
      </c>
      <c r="Q138" s="43">
        <f>VLOOKUP(Tabla1[[#This Row],[PAGO DIA]],DIAS!A:F,6,0)</f>
        <v>46189</v>
      </c>
      <c r="R138" s="6">
        <v>0</v>
      </c>
      <c r="S138" s="43">
        <f>VLOOKUP(Tabla1[[#This Row],[PAGO DIA]],DIAS!A:G,7,0)</f>
        <v>46224</v>
      </c>
      <c r="T138" s="6">
        <v>0</v>
      </c>
      <c r="U138" s="43">
        <f>VLOOKUP(Tabla1[[#This Row],[PAGO DIA]],DIAS!A:H,8,0)</f>
        <v>46252</v>
      </c>
      <c r="V138" s="6">
        <v>0</v>
      </c>
      <c r="W138" s="43">
        <f>VLOOKUP(Tabla1[[#This Row],[PAGO DIA]],DIAS!A:I,9,0)</f>
        <v>46280</v>
      </c>
      <c r="X138" s="6">
        <v>0</v>
      </c>
      <c r="Y138" s="43">
        <f>VLOOKUP(Tabla1[[#This Row],[PAGO DIA]],DIAS!A:J,10,0)</f>
        <v>46315</v>
      </c>
      <c r="Z138" s="6">
        <v>0</v>
      </c>
      <c r="AA138" s="43">
        <f>VLOOKUP(Tabla1[[#This Row],[PAGO DIA]],DIAS!A:K,11,0)</f>
        <v>46343</v>
      </c>
      <c r="AB138" s="6">
        <v>0</v>
      </c>
      <c r="AC138" s="43">
        <f>VLOOKUP(Tabla1[[#This Row],[PAGO DIA]],DIAS!A:M,12,0)</f>
        <v>46372</v>
      </c>
      <c r="AD1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3547116</v>
      </c>
    </row>
    <row r="139" spans="1:30">
      <c r="A139" s="3">
        <v>12843</v>
      </c>
      <c r="B139" s="3" t="s">
        <v>510</v>
      </c>
      <c r="C139" s="3" t="s">
        <v>505</v>
      </c>
      <c r="D139" s="3" t="s">
        <v>732</v>
      </c>
      <c r="E139" s="3" t="s">
        <v>733</v>
      </c>
      <c r="F139" s="42" t="s">
        <v>612</v>
      </c>
      <c r="G139" s="3" t="s">
        <v>735</v>
      </c>
      <c r="H139" s="7">
        <v>7020000</v>
      </c>
      <c r="I139" s="41">
        <f>VLOOKUP(Tabla1[[#This Row],[PAGO DIA]],DIAS!A:B,2,0)</f>
        <v>46071</v>
      </c>
      <c r="J139" s="6">
        <v>0</v>
      </c>
      <c r="K139" s="43">
        <f>VLOOKUP(Tabla1[[#This Row],[PAGO DIA]],DIAS!A:C,3,0)</f>
        <v>46098</v>
      </c>
      <c r="L139" s="6">
        <v>0</v>
      </c>
      <c r="M139" s="41">
        <f>VLOOKUP(Tabla1[[#This Row],[PAGO DIA]],DIAS!A:D,4,0)</f>
        <v>46133</v>
      </c>
      <c r="N139" s="6">
        <v>0</v>
      </c>
      <c r="O139" s="43">
        <f>VLOOKUP(Tabla1[[#This Row],[PAGO DIA]],DIAS!A:E,5,0)</f>
        <v>46161</v>
      </c>
      <c r="P139" s="6">
        <v>0</v>
      </c>
      <c r="Q139" s="43">
        <f>VLOOKUP(Tabla1[[#This Row],[PAGO DIA]],DIAS!A:F,6,0)</f>
        <v>46189</v>
      </c>
      <c r="R139" s="6">
        <v>0</v>
      </c>
      <c r="S139" s="43">
        <f>VLOOKUP(Tabla1[[#This Row],[PAGO DIA]],DIAS!A:G,7,0)</f>
        <v>46224</v>
      </c>
      <c r="T139" s="6">
        <v>0</v>
      </c>
      <c r="U139" s="43">
        <f>VLOOKUP(Tabla1[[#This Row],[PAGO DIA]],DIAS!A:H,8,0)</f>
        <v>46252</v>
      </c>
      <c r="V139" s="6">
        <v>0</v>
      </c>
      <c r="W139" s="43">
        <f>VLOOKUP(Tabla1[[#This Row],[PAGO DIA]],DIAS!A:I,9,0)</f>
        <v>46280</v>
      </c>
      <c r="X139" s="6">
        <v>0</v>
      </c>
      <c r="Y139" s="43">
        <f>VLOOKUP(Tabla1[[#This Row],[PAGO DIA]],DIAS!A:J,10,0)</f>
        <v>46315</v>
      </c>
      <c r="Z139" s="6">
        <v>0</v>
      </c>
      <c r="AA139" s="43">
        <f>VLOOKUP(Tabla1[[#This Row],[PAGO DIA]],DIAS!A:K,11,0)</f>
        <v>46343</v>
      </c>
      <c r="AB139" s="6">
        <v>0</v>
      </c>
      <c r="AC139" s="43">
        <f>VLOOKUP(Tabla1[[#This Row],[PAGO DIA]],DIAS!A:M,12,0)</f>
        <v>46372</v>
      </c>
      <c r="AD1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7020000</v>
      </c>
    </row>
    <row r="140" spans="1:30">
      <c r="A140" s="3">
        <v>11585</v>
      </c>
      <c r="B140" s="3" t="s">
        <v>628</v>
      </c>
      <c r="C140" s="3" t="s">
        <v>540</v>
      </c>
      <c r="D140" s="3" t="s">
        <v>540</v>
      </c>
      <c r="E140" s="3" t="s">
        <v>736</v>
      </c>
      <c r="F140" s="42" t="s">
        <v>631</v>
      </c>
      <c r="G140" s="3" t="s">
        <v>737</v>
      </c>
      <c r="H140" s="6">
        <v>0</v>
      </c>
      <c r="I140" s="41">
        <f>VLOOKUP(Tabla1[[#This Row],[PAGO DIA]],DIAS!A:B,2,0)</f>
        <v>46080</v>
      </c>
      <c r="J140" s="6">
        <v>0</v>
      </c>
      <c r="K140" s="43">
        <f>VLOOKUP(Tabla1[[#This Row],[PAGO DIA]],DIAS!A:C,3,0)</f>
        <v>46112</v>
      </c>
      <c r="L140" s="6">
        <v>0</v>
      </c>
      <c r="M140" s="41">
        <f>VLOOKUP(Tabla1[[#This Row],[PAGO DIA]],DIAS!A:D,4,0)</f>
        <v>46142</v>
      </c>
      <c r="N140" s="6">
        <v>0</v>
      </c>
      <c r="O140" s="43">
        <f>VLOOKUP(Tabla1[[#This Row],[PAGO DIA]],DIAS!A:E,5,0)</f>
        <v>46171</v>
      </c>
      <c r="P140" s="6">
        <v>0</v>
      </c>
      <c r="Q140" s="43">
        <f>VLOOKUP(Tabla1[[#This Row],[PAGO DIA]],DIAS!A:F,6,0)</f>
        <v>46203</v>
      </c>
      <c r="R140" s="6">
        <v>0</v>
      </c>
      <c r="S140" s="43">
        <f>VLOOKUP(Tabla1[[#This Row],[PAGO DIA]],DIAS!A:G,7,0)</f>
        <v>46234</v>
      </c>
      <c r="T140" s="6">
        <v>0</v>
      </c>
      <c r="U140" s="43">
        <f>VLOOKUP(Tabla1[[#This Row],[PAGO DIA]],DIAS!A:H,8,0)</f>
        <v>46265</v>
      </c>
      <c r="V140" s="6">
        <v>0</v>
      </c>
      <c r="W140" s="43">
        <f>VLOOKUP(Tabla1[[#This Row],[PAGO DIA]],DIAS!A:I,9,0)</f>
        <v>46295</v>
      </c>
      <c r="X140" s="6">
        <v>0</v>
      </c>
      <c r="Y140" s="43">
        <f>VLOOKUP(Tabla1[[#This Row],[PAGO DIA]],DIAS!A:J,10,0)</f>
        <v>46325</v>
      </c>
      <c r="Z140" s="6">
        <v>0</v>
      </c>
      <c r="AA140" s="43">
        <f>VLOOKUP(Tabla1[[#This Row],[PAGO DIA]],DIAS!A:K,11,0)</f>
        <v>46356</v>
      </c>
      <c r="AB140" s="6">
        <v>0</v>
      </c>
      <c r="AC140" s="43">
        <f>VLOOKUP(Tabla1[[#This Row],[PAGO DIA]],DIAS!A:M,12,0)</f>
        <v>46386</v>
      </c>
      <c r="AD1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" spans="1:30">
      <c r="A141" s="3">
        <v>12744</v>
      </c>
      <c r="B141" s="3" t="s">
        <v>628</v>
      </c>
      <c r="C141" s="3" t="s">
        <v>629</v>
      </c>
      <c r="D141" s="3" t="s">
        <v>540</v>
      </c>
      <c r="E141" s="3" t="s">
        <v>738</v>
      </c>
      <c r="F141" s="42" t="s">
        <v>631</v>
      </c>
      <c r="G141" s="3" t="s">
        <v>739</v>
      </c>
      <c r="H141" s="6">
        <v>0</v>
      </c>
      <c r="I141" s="41">
        <f>VLOOKUP(Tabla1[[#This Row],[PAGO DIA]],DIAS!A:B,2,0)</f>
        <v>46080</v>
      </c>
      <c r="J141" s="6">
        <v>0</v>
      </c>
      <c r="K141" s="43">
        <f>VLOOKUP(Tabla1[[#This Row],[PAGO DIA]],DIAS!A:C,3,0)</f>
        <v>46112</v>
      </c>
      <c r="L141" s="6">
        <v>0</v>
      </c>
      <c r="M141" s="41">
        <f>VLOOKUP(Tabla1[[#This Row],[PAGO DIA]],DIAS!A:D,4,0)</f>
        <v>46142</v>
      </c>
      <c r="N141" s="6">
        <v>0</v>
      </c>
      <c r="O141" s="43">
        <f>VLOOKUP(Tabla1[[#This Row],[PAGO DIA]],DIAS!A:E,5,0)</f>
        <v>46171</v>
      </c>
      <c r="P141" s="6">
        <v>0</v>
      </c>
      <c r="Q141" s="43">
        <f>VLOOKUP(Tabla1[[#This Row],[PAGO DIA]],DIAS!A:F,6,0)</f>
        <v>46203</v>
      </c>
      <c r="R141" s="6">
        <v>0</v>
      </c>
      <c r="S141" s="43">
        <f>VLOOKUP(Tabla1[[#This Row],[PAGO DIA]],DIAS!A:G,7,0)</f>
        <v>46234</v>
      </c>
      <c r="T141" s="6">
        <v>0</v>
      </c>
      <c r="U141" s="43">
        <f>VLOOKUP(Tabla1[[#This Row],[PAGO DIA]],DIAS!A:H,8,0)</f>
        <v>46265</v>
      </c>
      <c r="V141" s="6">
        <v>0</v>
      </c>
      <c r="W141" s="43">
        <f>VLOOKUP(Tabla1[[#This Row],[PAGO DIA]],DIAS!A:I,9,0)</f>
        <v>46295</v>
      </c>
      <c r="X141" s="6">
        <v>0</v>
      </c>
      <c r="Y141" s="43">
        <f>VLOOKUP(Tabla1[[#This Row],[PAGO DIA]],DIAS!A:J,10,0)</f>
        <v>46325</v>
      </c>
      <c r="Z141" s="6">
        <v>0</v>
      </c>
      <c r="AA141" s="43">
        <f>VLOOKUP(Tabla1[[#This Row],[PAGO DIA]],DIAS!A:K,11,0)</f>
        <v>46356</v>
      </c>
      <c r="AB141" s="6">
        <v>0</v>
      </c>
      <c r="AC141" s="43">
        <f>VLOOKUP(Tabla1[[#This Row],[PAGO DIA]],DIAS!A:M,12,0)</f>
        <v>46386</v>
      </c>
      <c r="AD1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" spans="1:30">
      <c r="A142" s="3">
        <v>11592</v>
      </c>
      <c r="B142" s="3" t="s">
        <v>628</v>
      </c>
      <c r="C142" s="3" t="s">
        <v>540</v>
      </c>
      <c r="D142" s="3" t="s">
        <v>540</v>
      </c>
      <c r="E142" s="3" t="s">
        <v>740</v>
      </c>
      <c r="F142" s="42" t="s">
        <v>631</v>
      </c>
      <c r="G142" s="3" t="s">
        <v>741</v>
      </c>
      <c r="H142" s="6">
        <v>0</v>
      </c>
      <c r="I142" s="41">
        <f>VLOOKUP(Tabla1[[#This Row],[PAGO DIA]],DIAS!A:B,2,0)</f>
        <v>46080</v>
      </c>
      <c r="J142" s="6">
        <v>0</v>
      </c>
      <c r="K142" s="43">
        <f>VLOOKUP(Tabla1[[#This Row],[PAGO DIA]],DIAS!A:C,3,0)</f>
        <v>46112</v>
      </c>
      <c r="L142" s="6">
        <v>0</v>
      </c>
      <c r="M142" s="41">
        <f>VLOOKUP(Tabla1[[#This Row],[PAGO DIA]],DIAS!A:D,4,0)</f>
        <v>46142</v>
      </c>
      <c r="N142" s="6">
        <v>0</v>
      </c>
      <c r="O142" s="43">
        <f>VLOOKUP(Tabla1[[#This Row],[PAGO DIA]],DIAS!A:E,5,0)</f>
        <v>46171</v>
      </c>
      <c r="P142" s="6">
        <v>0</v>
      </c>
      <c r="Q142" s="43">
        <f>VLOOKUP(Tabla1[[#This Row],[PAGO DIA]],DIAS!A:F,6,0)</f>
        <v>46203</v>
      </c>
      <c r="R142" s="6">
        <v>0</v>
      </c>
      <c r="S142" s="43">
        <f>VLOOKUP(Tabla1[[#This Row],[PAGO DIA]],DIAS!A:G,7,0)</f>
        <v>46234</v>
      </c>
      <c r="T142" s="6">
        <v>0</v>
      </c>
      <c r="U142" s="43">
        <f>VLOOKUP(Tabla1[[#This Row],[PAGO DIA]],DIAS!A:H,8,0)</f>
        <v>46265</v>
      </c>
      <c r="V142" s="6">
        <v>0</v>
      </c>
      <c r="W142" s="43">
        <f>VLOOKUP(Tabla1[[#This Row],[PAGO DIA]],DIAS!A:I,9,0)</f>
        <v>46295</v>
      </c>
      <c r="X142" s="6">
        <v>0</v>
      </c>
      <c r="Y142" s="43">
        <f>VLOOKUP(Tabla1[[#This Row],[PAGO DIA]],DIAS!A:J,10,0)</f>
        <v>46325</v>
      </c>
      <c r="Z142" s="6">
        <v>0</v>
      </c>
      <c r="AA142" s="43">
        <f>VLOOKUP(Tabla1[[#This Row],[PAGO DIA]],DIAS!A:K,11,0)</f>
        <v>46356</v>
      </c>
      <c r="AB142" s="6">
        <v>0</v>
      </c>
      <c r="AC142" s="43">
        <f>VLOOKUP(Tabla1[[#This Row],[PAGO DIA]],DIAS!A:M,12,0)</f>
        <v>46386</v>
      </c>
      <c r="AD1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" spans="1:30">
      <c r="A143" s="3">
        <v>12856</v>
      </c>
      <c r="B143" s="3" t="s">
        <v>548</v>
      </c>
      <c r="C143" s="3"/>
      <c r="D143" s="3" t="s">
        <v>742</v>
      </c>
      <c r="E143" s="3"/>
      <c r="F143" s="42" t="s">
        <v>562</v>
      </c>
      <c r="G143" s="3"/>
      <c r="H143" s="6">
        <v>24000000</v>
      </c>
      <c r="I143" s="41">
        <f>VLOOKUP(Tabla1[[#This Row],[PAGO DIA]],DIAS!A:B,2,0)</f>
        <v>46078</v>
      </c>
      <c r="J143" s="6">
        <v>0</v>
      </c>
      <c r="K143" s="43">
        <f>VLOOKUP(Tabla1[[#This Row],[PAGO DIA]],DIAS!A:C,3,0)</f>
        <v>46105</v>
      </c>
      <c r="L143" s="6">
        <v>0</v>
      </c>
      <c r="M143" s="41">
        <f>VLOOKUP(Tabla1[[#This Row],[PAGO DIA]],DIAS!A:D,4,0)</f>
        <v>46140</v>
      </c>
      <c r="N143" s="6">
        <v>0</v>
      </c>
      <c r="O143" s="43">
        <f>VLOOKUP(Tabla1[[#This Row],[PAGO DIA]],DIAS!A:E,5,0)</f>
        <v>46168</v>
      </c>
      <c r="P143" s="6">
        <v>0</v>
      </c>
      <c r="Q143" s="43">
        <f>VLOOKUP(Tabla1[[#This Row],[PAGO DIA]],DIAS!A:F,6,0)</f>
        <v>46196</v>
      </c>
      <c r="R143" s="6">
        <v>0</v>
      </c>
      <c r="S143" s="43">
        <f>VLOOKUP(Tabla1[[#This Row],[PAGO DIA]],DIAS!A:G,7,0)</f>
        <v>46231</v>
      </c>
      <c r="T143" s="6">
        <v>0</v>
      </c>
      <c r="U143" s="43">
        <f>VLOOKUP(Tabla1[[#This Row],[PAGO DIA]],DIAS!A:H,8,0)</f>
        <v>46259</v>
      </c>
      <c r="V143" s="6">
        <v>0</v>
      </c>
      <c r="W143" s="43">
        <f>VLOOKUP(Tabla1[[#This Row],[PAGO DIA]],DIAS!A:I,9,0)</f>
        <v>46287</v>
      </c>
      <c r="X143" s="6">
        <v>0</v>
      </c>
      <c r="Y143" s="43">
        <f>VLOOKUP(Tabla1[[#This Row],[PAGO DIA]],DIAS!A:J,10,0)</f>
        <v>46322</v>
      </c>
      <c r="Z143" s="6">
        <v>0</v>
      </c>
      <c r="AA143" s="43">
        <f>VLOOKUP(Tabla1[[#This Row],[PAGO DIA]],DIAS!A:K,11,0)</f>
        <v>46350</v>
      </c>
      <c r="AB143" s="6">
        <v>0</v>
      </c>
      <c r="AC143" s="43">
        <f>VLOOKUP(Tabla1[[#This Row],[PAGO DIA]],DIAS!A:M,12,0)</f>
        <v>46379</v>
      </c>
      <c r="AD1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24000000</v>
      </c>
    </row>
    <row r="144" spans="1:30">
      <c r="A144" s="3">
        <v>11593</v>
      </c>
      <c r="B144" s="3" t="s">
        <v>628</v>
      </c>
      <c r="C144" s="3" t="s">
        <v>540</v>
      </c>
      <c r="D144" s="3" t="s">
        <v>540</v>
      </c>
      <c r="E144" s="3" t="s">
        <v>743</v>
      </c>
      <c r="F144" s="42" t="s">
        <v>631</v>
      </c>
      <c r="G144" s="3" t="s">
        <v>744</v>
      </c>
      <c r="H144" s="6">
        <v>0</v>
      </c>
      <c r="I144" s="41">
        <f>VLOOKUP(Tabla1[[#This Row],[PAGO DIA]],DIAS!A:B,2,0)</f>
        <v>46080</v>
      </c>
      <c r="J144" s="6">
        <v>0</v>
      </c>
      <c r="K144" s="43">
        <f>VLOOKUP(Tabla1[[#This Row],[PAGO DIA]],DIAS!A:C,3,0)</f>
        <v>46112</v>
      </c>
      <c r="L144" s="6">
        <v>0</v>
      </c>
      <c r="M144" s="41">
        <f>VLOOKUP(Tabla1[[#This Row],[PAGO DIA]],DIAS!A:D,4,0)</f>
        <v>46142</v>
      </c>
      <c r="N144" s="6">
        <v>0</v>
      </c>
      <c r="O144" s="43">
        <f>VLOOKUP(Tabla1[[#This Row],[PAGO DIA]],DIAS!A:E,5,0)</f>
        <v>46171</v>
      </c>
      <c r="P144" s="6">
        <v>0</v>
      </c>
      <c r="Q144" s="43">
        <f>VLOOKUP(Tabla1[[#This Row],[PAGO DIA]],DIAS!A:F,6,0)</f>
        <v>46203</v>
      </c>
      <c r="R144" s="6">
        <v>0</v>
      </c>
      <c r="S144" s="43">
        <f>VLOOKUP(Tabla1[[#This Row],[PAGO DIA]],DIAS!A:G,7,0)</f>
        <v>46234</v>
      </c>
      <c r="T144" s="6">
        <v>0</v>
      </c>
      <c r="U144" s="43">
        <f>VLOOKUP(Tabla1[[#This Row],[PAGO DIA]],DIAS!A:H,8,0)</f>
        <v>46265</v>
      </c>
      <c r="V144" s="6">
        <v>0</v>
      </c>
      <c r="W144" s="43">
        <f>VLOOKUP(Tabla1[[#This Row],[PAGO DIA]],DIAS!A:I,9,0)</f>
        <v>46295</v>
      </c>
      <c r="X144" s="6">
        <v>0</v>
      </c>
      <c r="Y144" s="43">
        <f>VLOOKUP(Tabla1[[#This Row],[PAGO DIA]],DIAS!A:J,10,0)</f>
        <v>46325</v>
      </c>
      <c r="Z144" s="6">
        <v>0</v>
      </c>
      <c r="AA144" s="43">
        <f>VLOOKUP(Tabla1[[#This Row],[PAGO DIA]],DIAS!A:K,11,0)</f>
        <v>46356</v>
      </c>
      <c r="AB144" s="6">
        <v>0</v>
      </c>
      <c r="AC144" s="43">
        <f>VLOOKUP(Tabla1[[#This Row],[PAGO DIA]],DIAS!A:M,12,0)</f>
        <v>46386</v>
      </c>
      <c r="AD1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" spans="1:30">
      <c r="A145" s="3">
        <v>11062</v>
      </c>
      <c r="B145" s="3" t="s">
        <v>628</v>
      </c>
      <c r="C145" s="3" t="s">
        <v>540</v>
      </c>
      <c r="D145" s="3" t="s">
        <v>540</v>
      </c>
      <c r="E145" s="3" t="s">
        <v>745</v>
      </c>
      <c r="F145" s="42" t="s">
        <v>631</v>
      </c>
      <c r="G145" s="3"/>
      <c r="H145" s="6">
        <v>0</v>
      </c>
      <c r="I145" s="41">
        <f>VLOOKUP(Tabla1[[#This Row],[PAGO DIA]],DIAS!A:B,2,0)</f>
        <v>46080</v>
      </c>
      <c r="J145" s="6">
        <v>0</v>
      </c>
      <c r="K145" s="43">
        <f>VLOOKUP(Tabla1[[#This Row],[PAGO DIA]],DIAS!A:C,3,0)</f>
        <v>46112</v>
      </c>
      <c r="L145" s="6">
        <v>0</v>
      </c>
      <c r="M145" s="41">
        <f>VLOOKUP(Tabla1[[#This Row],[PAGO DIA]],DIAS!A:D,4,0)</f>
        <v>46142</v>
      </c>
      <c r="N145" s="6">
        <v>0</v>
      </c>
      <c r="O145" s="43">
        <f>VLOOKUP(Tabla1[[#This Row],[PAGO DIA]],DIAS!A:E,5,0)</f>
        <v>46171</v>
      </c>
      <c r="P145" s="6">
        <v>0</v>
      </c>
      <c r="Q145" s="43">
        <f>VLOOKUP(Tabla1[[#This Row],[PAGO DIA]],DIAS!A:F,6,0)</f>
        <v>46203</v>
      </c>
      <c r="R145" s="6">
        <v>0</v>
      </c>
      <c r="S145" s="43">
        <f>VLOOKUP(Tabla1[[#This Row],[PAGO DIA]],DIAS!A:G,7,0)</f>
        <v>46234</v>
      </c>
      <c r="T145" s="6">
        <v>0</v>
      </c>
      <c r="U145" s="43">
        <f>VLOOKUP(Tabla1[[#This Row],[PAGO DIA]],DIAS!A:H,8,0)</f>
        <v>46265</v>
      </c>
      <c r="V145" s="6">
        <v>0</v>
      </c>
      <c r="W145" s="43">
        <f>VLOOKUP(Tabla1[[#This Row],[PAGO DIA]],DIAS!A:I,9,0)</f>
        <v>46295</v>
      </c>
      <c r="X145" s="6">
        <v>0</v>
      </c>
      <c r="Y145" s="43">
        <f>VLOOKUP(Tabla1[[#This Row],[PAGO DIA]],DIAS!A:J,10,0)</f>
        <v>46325</v>
      </c>
      <c r="Z145" s="6">
        <v>0</v>
      </c>
      <c r="AA145" s="43">
        <f>VLOOKUP(Tabla1[[#This Row],[PAGO DIA]],DIAS!A:K,11,0)</f>
        <v>46356</v>
      </c>
      <c r="AB145" s="6">
        <v>0</v>
      </c>
      <c r="AC145" s="43">
        <f>VLOOKUP(Tabla1[[#This Row],[PAGO DIA]],DIAS!A:M,12,0)</f>
        <v>46386</v>
      </c>
      <c r="AD1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" spans="1:30">
      <c r="A146" s="3">
        <v>12863</v>
      </c>
      <c r="B146" s="3" t="s">
        <v>510</v>
      </c>
      <c r="C146" s="3"/>
      <c r="D146" s="3" t="s">
        <v>510</v>
      </c>
      <c r="E146" s="3" t="s">
        <v>746</v>
      </c>
      <c r="F146" s="42" t="s">
        <v>612</v>
      </c>
      <c r="G146" s="3"/>
      <c r="H146" s="6">
        <v>100000000</v>
      </c>
      <c r="I146" s="41">
        <f>VLOOKUP(Tabla1[[#This Row],[PAGO DIA]],DIAS!A:B,2,0)</f>
        <v>46071</v>
      </c>
      <c r="J146" s="6">
        <v>0</v>
      </c>
      <c r="K146" s="43">
        <f>VLOOKUP(Tabla1[[#This Row],[PAGO DIA]],DIAS!A:C,3,0)</f>
        <v>46098</v>
      </c>
      <c r="L146" s="6">
        <v>0</v>
      </c>
      <c r="M146" s="41">
        <f>VLOOKUP(Tabla1[[#This Row],[PAGO DIA]],DIAS!A:D,4,0)</f>
        <v>46133</v>
      </c>
      <c r="N146" s="6">
        <v>0</v>
      </c>
      <c r="O146" s="43">
        <f>VLOOKUP(Tabla1[[#This Row],[PAGO DIA]],DIAS!A:E,5,0)</f>
        <v>46161</v>
      </c>
      <c r="P146" s="6">
        <v>0</v>
      </c>
      <c r="Q146" s="43">
        <f>VLOOKUP(Tabla1[[#This Row],[PAGO DIA]],DIAS!A:F,6,0)</f>
        <v>46189</v>
      </c>
      <c r="R146" s="6">
        <v>0</v>
      </c>
      <c r="S146" s="43">
        <f>VLOOKUP(Tabla1[[#This Row],[PAGO DIA]],DIAS!A:G,7,0)</f>
        <v>46224</v>
      </c>
      <c r="T146" s="6">
        <v>0</v>
      </c>
      <c r="U146" s="43">
        <f>VLOOKUP(Tabla1[[#This Row],[PAGO DIA]],DIAS!A:H,8,0)</f>
        <v>46252</v>
      </c>
      <c r="V146" s="6">
        <v>0</v>
      </c>
      <c r="W146" s="43">
        <f>VLOOKUP(Tabla1[[#This Row],[PAGO DIA]],DIAS!A:I,9,0)</f>
        <v>46280</v>
      </c>
      <c r="X146" s="6">
        <v>0</v>
      </c>
      <c r="Y146" s="43">
        <f>VLOOKUP(Tabla1[[#This Row],[PAGO DIA]],DIAS!A:J,10,0)</f>
        <v>46315</v>
      </c>
      <c r="Z146" s="6">
        <v>0</v>
      </c>
      <c r="AA146" s="43">
        <f>VLOOKUP(Tabla1[[#This Row],[PAGO DIA]],DIAS!A:K,11,0)</f>
        <v>46343</v>
      </c>
      <c r="AB146" s="6">
        <v>0</v>
      </c>
      <c r="AC146" s="43">
        <f>VLOOKUP(Tabla1[[#This Row],[PAGO DIA]],DIAS!A:M,12,0)</f>
        <v>46372</v>
      </c>
      <c r="AD1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100000000</v>
      </c>
    </row>
    <row r="147" spans="1:30">
      <c r="A147" s="3">
        <v>12866</v>
      </c>
      <c r="B147" s="3" t="s">
        <v>510</v>
      </c>
      <c r="C147" s="3"/>
      <c r="D147" s="3" t="s">
        <v>576</v>
      </c>
      <c r="E147" s="3" t="s">
        <v>747</v>
      </c>
      <c r="F147" s="42" t="s">
        <v>612</v>
      </c>
      <c r="G147" s="3"/>
      <c r="H147" s="6">
        <v>10210000</v>
      </c>
      <c r="I147" s="41">
        <f>VLOOKUP(Tabla1[[#This Row],[PAGO DIA]],DIAS!A:B,2,0)</f>
        <v>46071</v>
      </c>
      <c r="J147" s="6">
        <v>0</v>
      </c>
      <c r="K147" s="43">
        <f>VLOOKUP(Tabla1[[#This Row],[PAGO DIA]],DIAS!A:C,3,0)</f>
        <v>46098</v>
      </c>
      <c r="L147" s="6">
        <v>0</v>
      </c>
      <c r="M147" s="41">
        <f>VLOOKUP(Tabla1[[#This Row],[PAGO DIA]],DIAS!A:D,4,0)</f>
        <v>46133</v>
      </c>
      <c r="N147" s="6">
        <v>0</v>
      </c>
      <c r="O147" s="43">
        <f>VLOOKUP(Tabla1[[#This Row],[PAGO DIA]],DIAS!A:E,5,0)</f>
        <v>46161</v>
      </c>
      <c r="P147" s="6">
        <v>0</v>
      </c>
      <c r="Q147" s="43">
        <f>VLOOKUP(Tabla1[[#This Row],[PAGO DIA]],DIAS!A:F,6,0)</f>
        <v>46189</v>
      </c>
      <c r="R147" s="6">
        <v>0</v>
      </c>
      <c r="S147" s="43">
        <f>VLOOKUP(Tabla1[[#This Row],[PAGO DIA]],DIAS!A:G,7,0)</f>
        <v>46224</v>
      </c>
      <c r="T147" s="6">
        <v>0</v>
      </c>
      <c r="U147" s="43">
        <f>VLOOKUP(Tabla1[[#This Row],[PAGO DIA]],DIAS!A:H,8,0)</f>
        <v>46252</v>
      </c>
      <c r="V147" s="6">
        <v>0</v>
      </c>
      <c r="W147" s="43">
        <f>VLOOKUP(Tabla1[[#This Row],[PAGO DIA]],DIAS!A:I,9,0)</f>
        <v>46280</v>
      </c>
      <c r="X147" s="6">
        <v>0</v>
      </c>
      <c r="Y147" s="43">
        <f>VLOOKUP(Tabla1[[#This Row],[PAGO DIA]],DIAS!A:J,10,0)</f>
        <v>46315</v>
      </c>
      <c r="Z147" s="6">
        <v>0</v>
      </c>
      <c r="AA147" s="43">
        <f>VLOOKUP(Tabla1[[#This Row],[PAGO DIA]],DIAS!A:K,11,0)</f>
        <v>46343</v>
      </c>
      <c r="AB147" s="6">
        <v>0</v>
      </c>
      <c r="AC147" s="43">
        <f>VLOOKUP(Tabla1[[#This Row],[PAGO DIA]],DIAS!A:M,12,0)</f>
        <v>46372</v>
      </c>
      <c r="AD1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10210000</v>
      </c>
    </row>
    <row r="148" spans="1:30">
      <c r="A148" s="3">
        <v>11312</v>
      </c>
      <c r="B148" s="3" t="s">
        <v>628</v>
      </c>
      <c r="C148" s="3" t="s">
        <v>540</v>
      </c>
      <c r="D148" s="3" t="s">
        <v>540</v>
      </c>
      <c r="E148" s="3" t="s">
        <v>745</v>
      </c>
      <c r="F148" s="42" t="s">
        <v>631</v>
      </c>
      <c r="G148" s="3"/>
      <c r="H148" s="6">
        <v>0</v>
      </c>
      <c r="I148" s="41">
        <f>VLOOKUP(Tabla1[[#This Row],[PAGO DIA]],DIAS!A:B,2,0)</f>
        <v>46080</v>
      </c>
      <c r="J148" s="6">
        <v>0</v>
      </c>
      <c r="K148" s="43">
        <f>VLOOKUP(Tabla1[[#This Row],[PAGO DIA]],DIAS!A:C,3,0)</f>
        <v>46112</v>
      </c>
      <c r="L148" s="6">
        <v>0</v>
      </c>
      <c r="M148" s="41">
        <f>VLOOKUP(Tabla1[[#This Row],[PAGO DIA]],DIAS!A:D,4,0)</f>
        <v>46142</v>
      </c>
      <c r="N148" s="6">
        <v>0</v>
      </c>
      <c r="O148" s="43">
        <f>VLOOKUP(Tabla1[[#This Row],[PAGO DIA]],DIAS!A:E,5,0)</f>
        <v>46171</v>
      </c>
      <c r="P148" s="6">
        <v>0</v>
      </c>
      <c r="Q148" s="43">
        <f>VLOOKUP(Tabla1[[#This Row],[PAGO DIA]],DIAS!A:F,6,0)</f>
        <v>46203</v>
      </c>
      <c r="R148" s="6">
        <v>0</v>
      </c>
      <c r="S148" s="43">
        <f>VLOOKUP(Tabla1[[#This Row],[PAGO DIA]],DIAS!A:G,7,0)</f>
        <v>46234</v>
      </c>
      <c r="T148" s="6">
        <v>0</v>
      </c>
      <c r="U148" s="43">
        <f>VLOOKUP(Tabla1[[#This Row],[PAGO DIA]],DIAS!A:H,8,0)</f>
        <v>46265</v>
      </c>
      <c r="V148" s="6">
        <v>0</v>
      </c>
      <c r="W148" s="43">
        <f>VLOOKUP(Tabla1[[#This Row],[PAGO DIA]],DIAS!A:I,9,0)</f>
        <v>46295</v>
      </c>
      <c r="X148" s="6">
        <v>0</v>
      </c>
      <c r="Y148" s="43">
        <f>VLOOKUP(Tabla1[[#This Row],[PAGO DIA]],DIAS!A:J,10,0)</f>
        <v>46325</v>
      </c>
      <c r="Z148" s="6">
        <v>0</v>
      </c>
      <c r="AA148" s="43">
        <f>VLOOKUP(Tabla1[[#This Row],[PAGO DIA]],DIAS!A:K,11,0)</f>
        <v>46356</v>
      </c>
      <c r="AB148" s="6">
        <v>0</v>
      </c>
      <c r="AC148" s="43">
        <f>VLOOKUP(Tabla1[[#This Row],[PAGO DIA]],DIAS!A:M,12,0)</f>
        <v>46386</v>
      </c>
      <c r="AD1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" spans="1:30">
      <c r="A149" s="3">
        <v>12043</v>
      </c>
      <c r="B149" s="3" t="s">
        <v>628</v>
      </c>
      <c r="C149" s="3" t="s">
        <v>629</v>
      </c>
      <c r="D149" s="3" t="s">
        <v>629</v>
      </c>
      <c r="E149" s="3" t="s">
        <v>748</v>
      </c>
      <c r="F149" s="42" t="s">
        <v>631</v>
      </c>
      <c r="G149" s="3" t="s">
        <v>635</v>
      </c>
      <c r="H149" s="6">
        <v>0</v>
      </c>
      <c r="I149" s="41">
        <f>VLOOKUP(Tabla1[[#This Row],[PAGO DIA]],DIAS!A:B,2,0)</f>
        <v>46080</v>
      </c>
      <c r="J149" s="6">
        <v>0</v>
      </c>
      <c r="K149" s="43">
        <f>VLOOKUP(Tabla1[[#This Row],[PAGO DIA]],DIAS!A:C,3,0)</f>
        <v>46112</v>
      </c>
      <c r="L149" s="6">
        <v>0</v>
      </c>
      <c r="M149" s="41">
        <f>VLOOKUP(Tabla1[[#This Row],[PAGO DIA]],DIAS!A:D,4,0)</f>
        <v>46142</v>
      </c>
      <c r="N149" s="6">
        <v>0</v>
      </c>
      <c r="O149" s="43">
        <f>VLOOKUP(Tabla1[[#This Row],[PAGO DIA]],DIAS!A:E,5,0)</f>
        <v>46171</v>
      </c>
      <c r="P149" s="6">
        <v>0</v>
      </c>
      <c r="Q149" s="43">
        <f>VLOOKUP(Tabla1[[#This Row],[PAGO DIA]],DIAS!A:F,6,0)</f>
        <v>46203</v>
      </c>
      <c r="R149" s="6">
        <v>0</v>
      </c>
      <c r="S149" s="43">
        <f>VLOOKUP(Tabla1[[#This Row],[PAGO DIA]],DIAS!A:G,7,0)</f>
        <v>46234</v>
      </c>
      <c r="T149" s="6">
        <v>0</v>
      </c>
      <c r="U149" s="43">
        <f>VLOOKUP(Tabla1[[#This Row],[PAGO DIA]],DIAS!A:H,8,0)</f>
        <v>46265</v>
      </c>
      <c r="V149" s="6">
        <v>0</v>
      </c>
      <c r="W149" s="43">
        <f>VLOOKUP(Tabla1[[#This Row],[PAGO DIA]],DIAS!A:I,9,0)</f>
        <v>46295</v>
      </c>
      <c r="X149" s="6">
        <v>0</v>
      </c>
      <c r="Y149" s="43">
        <f>VLOOKUP(Tabla1[[#This Row],[PAGO DIA]],DIAS!A:J,10,0)</f>
        <v>46325</v>
      </c>
      <c r="Z149" s="6">
        <v>0</v>
      </c>
      <c r="AA149" s="43">
        <f>VLOOKUP(Tabla1[[#This Row],[PAGO DIA]],DIAS!A:K,11,0)</f>
        <v>46356</v>
      </c>
      <c r="AB149" s="6">
        <v>0</v>
      </c>
      <c r="AC149" s="43">
        <f>VLOOKUP(Tabla1[[#This Row],[PAGO DIA]],DIAS!A:M,12,0)</f>
        <v>46386</v>
      </c>
      <c r="AD1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" spans="1:30">
      <c r="A150" s="3">
        <v>11598</v>
      </c>
      <c r="B150" s="3" t="s">
        <v>628</v>
      </c>
      <c r="C150" s="3" t="s">
        <v>540</v>
      </c>
      <c r="D150" s="3" t="s">
        <v>540</v>
      </c>
      <c r="E150" s="3" t="s">
        <v>749</v>
      </c>
      <c r="F150" s="42" t="s">
        <v>631</v>
      </c>
      <c r="G150" s="3" t="s">
        <v>750</v>
      </c>
      <c r="H150" s="6">
        <v>0</v>
      </c>
      <c r="I150" s="41">
        <f>VLOOKUP(Tabla1[[#This Row],[PAGO DIA]],DIAS!A:B,2,0)</f>
        <v>46080</v>
      </c>
      <c r="J150" s="6">
        <v>0</v>
      </c>
      <c r="K150" s="43">
        <f>VLOOKUP(Tabla1[[#This Row],[PAGO DIA]],DIAS!A:C,3,0)</f>
        <v>46112</v>
      </c>
      <c r="L150" s="6">
        <v>0</v>
      </c>
      <c r="M150" s="41">
        <f>VLOOKUP(Tabla1[[#This Row],[PAGO DIA]],DIAS!A:D,4,0)</f>
        <v>46142</v>
      </c>
      <c r="N150" s="6">
        <v>0</v>
      </c>
      <c r="O150" s="43">
        <f>VLOOKUP(Tabla1[[#This Row],[PAGO DIA]],DIAS!A:E,5,0)</f>
        <v>46171</v>
      </c>
      <c r="P150" s="6">
        <v>0</v>
      </c>
      <c r="Q150" s="43">
        <f>VLOOKUP(Tabla1[[#This Row],[PAGO DIA]],DIAS!A:F,6,0)</f>
        <v>46203</v>
      </c>
      <c r="R150" s="6">
        <v>0</v>
      </c>
      <c r="S150" s="43">
        <f>VLOOKUP(Tabla1[[#This Row],[PAGO DIA]],DIAS!A:G,7,0)</f>
        <v>46234</v>
      </c>
      <c r="T150" s="6">
        <v>0</v>
      </c>
      <c r="U150" s="43">
        <f>VLOOKUP(Tabla1[[#This Row],[PAGO DIA]],DIAS!A:H,8,0)</f>
        <v>46265</v>
      </c>
      <c r="V150" s="6">
        <v>0</v>
      </c>
      <c r="W150" s="43">
        <f>VLOOKUP(Tabla1[[#This Row],[PAGO DIA]],DIAS!A:I,9,0)</f>
        <v>46295</v>
      </c>
      <c r="X150" s="6">
        <v>0</v>
      </c>
      <c r="Y150" s="43">
        <f>VLOOKUP(Tabla1[[#This Row],[PAGO DIA]],DIAS!A:J,10,0)</f>
        <v>46325</v>
      </c>
      <c r="Z150" s="6">
        <v>0</v>
      </c>
      <c r="AA150" s="43">
        <f>VLOOKUP(Tabla1[[#This Row],[PAGO DIA]],DIAS!A:K,11,0)</f>
        <v>46356</v>
      </c>
      <c r="AB150" s="6">
        <v>0</v>
      </c>
      <c r="AC150" s="43">
        <f>VLOOKUP(Tabla1[[#This Row],[PAGO DIA]],DIAS!A:M,12,0)</f>
        <v>46386</v>
      </c>
      <c r="AD1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" spans="1:30">
      <c r="A151" s="3">
        <v>11026</v>
      </c>
      <c r="B151" s="3" t="s">
        <v>628</v>
      </c>
      <c r="C151" s="3" t="s">
        <v>629</v>
      </c>
      <c r="D151" s="3" t="s">
        <v>629</v>
      </c>
      <c r="E151" s="3" t="s">
        <v>751</v>
      </c>
      <c r="F151" s="42" t="s">
        <v>631</v>
      </c>
      <c r="G151" s="3"/>
      <c r="H151" s="6">
        <v>0</v>
      </c>
      <c r="I151" s="41">
        <f>VLOOKUP(Tabla1[[#This Row],[PAGO DIA]],DIAS!A:B,2,0)</f>
        <v>46080</v>
      </c>
      <c r="J151" s="6">
        <v>0</v>
      </c>
      <c r="K151" s="43">
        <f>VLOOKUP(Tabla1[[#This Row],[PAGO DIA]],DIAS!A:C,3,0)</f>
        <v>46112</v>
      </c>
      <c r="L151" s="6">
        <v>0</v>
      </c>
      <c r="M151" s="41">
        <f>VLOOKUP(Tabla1[[#This Row],[PAGO DIA]],DIAS!A:D,4,0)</f>
        <v>46142</v>
      </c>
      <c r="N151" s="6">
        <v>0</v>
      </c>
      <c r="O151" s="43">
        <f>VLOOKUP(Tabla1[[#This Row],[PAGO DIA]],DIAS!A:E,5,0)</f>
        <v>46171</v>
      </c>
      <c r="P151" s="6">
        <v>0</v>
      </c>
      <c r="Q151" s="43">
        <f>VLOOKUP(Tabla1[[#This Row],[PAGO DIA]],DIAS!A:F,6,0)</f>
        <v>46203</v>
      </c>
      <c r="R151" s="6">
        <v>0</v>
      </c>
      <c r="S151" s="43">
        <f>VLOOKUP(Tabla1[[#This Row],[PAGO DIA]],DIAS!A:G,7,0)</f>
        <v>46234</v>
      </c>
      <c r="T151" s="6">
        <v>0</v>
      </c>
      <c r="U151" s="43">
        <f>VLOOKUP(Tabla1[[#This Row],[PAGO DIA]],DIAS!A:H,8,0)</f>
        <v>46265</v>
      </c>
      <c r="V151" s="6">
        <v>0</v>
      </c>
      <c r="W151" s="43">
        <f>VLOOKUP(Tabla1[[#This Row],[PAGO DIA]],DIAS!A:I,9,0)</f>
        <v>46295</v>
      </c>
      <c r="X151" s="6">
        <v>0</v>
      </c>
      <c r="Y151" s="43">
        <f>VLOOKUP(Tabla1[[#This Row],[PAGO DIA]],DIAS!A:J,10,0)</f>
        <v>46325</v>
      </c>
      <c r="Z151" s="6">
        <v>0</v>
      </c>
      <c r="AA151" s="43">
        <f>VLOOKUP(Tabla1[[#This Row],[PAGO DIA]],DIAS!A:K,11,0)</f>
        <v>46356</v>
      </c>
      <c r="AB151" s="6">
        <v>0</v>
      </c>
      <c r="AC151" s="43">
        <f>VLOOKUP(Tabla1[[#This Row],[PAGO DIA]],DIAS!A:M,12,0)</f>
        <v>46386</v>
      </c>
      <c r="AD1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" spans="1:30">
      <c r="A152" s="3">
        <v>11255</v>
      </c>
      <c r="B152" s="3" t="s">
        <v>628</v>
      </c>
      <c r="C152" s="3" t="s">
        <v>629</v>
      </c>
      <c r="D152" s="3" t="s">
        <v>629</v>
      </c>
      <c r="E152" s="3" t="s">
        <v>751</v>
      </c>
      <c r="F152" s="42" t="s">
        <v>631</v>
      </c>
      <c r="G152" s="3"/>
      <c r="H152" s="6">
        <v>0</v>
      </c>
      <c r="I152" s="41">
        <f>VLOOKUP(Tabla1[[#This Row],[PAGO DIA]],DIAS!A:B,2,0)</f>
        <v>46080</v>
      </c>
      <c r="J152" s="6">
        <v>0</v>
      </c>
      <c r="K152" s="43">
        <f>VLOOKUP(Tabla1[[#This Row],[PAGO DIA]],DIAS!A:C,3,0)</f>
        <v>46112</v>
      </c>
      <c r="L152" s="6">
        <v>0</v>
      </c>
      <c r="M152" s="41">
        <f>VLOOKUP(Tabla1[[#This Row],[PAGO DIA]],DIAS!A:D,4,0)</f>
        <v>46142</v>
      </c>
      <c r="N152" s="6">
        <v>0</v>
      </c>
      <c r="O152" s="43">
        <f>VLOOKUP(Tabla1[[#This Row],[PAGO DIA]],DIAS!A:E,5,0)</f>
        <v>46171</v>
      </c>
      <c r="P152" s="6">
        <v>0</v>
      </c>
      <c r="Q152" s="43">
        <f>VLOOKUP(Tabla1[[#This Row],[PAGO DIA]],DIAS!A:F,6,0)</f>
        <v>46203</v>
      </c>
      <c r="R152" s="6">
        <v>0</v>
      </c>
      <c r="S152" s="43">
        <f>VLOOKUP(Tabla1[[#This Row],[PAGO DIA]],DIAS!A:G,7,0)</f>
        <v>46234</v>
      </c>
      <c r="T152" s="6">
        <v>0</v>
      </c>
      <c r="U152" s="43">
        <f>VLOOKUP(Tabla1[[#This Row],[PAGO DIA]],DIAS!A:H,8,0)</f>
        <v>46265</v>
      </c>
      <c r="V152" s="6">
        <v>0</v>
      </c>
      <c r="W152" s="43">
        <f>VLOOKUP(Tabla1[[#This Row],[PAGO DIA]],DIAS!A:I,9,0)</f>
        <v>46295</v>
      </c>
      <c r="X152" s="6">
        <v>0</v>
      </c>
      <c r="Y152" s="43">
        <f>VLOOKUP(Tabla1[[#This Row],[PAGO DIA]],DIAS!A:J,10,0)</f>
        <v>46325</v>
      </c>
      <c r="Z152" s="6">
        <v>0</v>
      </c>
      <c r="AA152" s="43">
        <f>VLOOKUP(Tabla1[[#This Row],[PAGO DIA]],DIAS!A:K,11,0)</f>
        <v>46356</v>
      </c>
      <c r="AB152" s="6">
        <v>0</v>
      </c>
      <c r="AC152" s="43">
        <f>VLOOKUP(Tabla1[[#This Row],[PAGO DIA]],DIAS!A:M,12,0)</f>
        <v>46386</v>
      </c>
      <c r="AD1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" spans="1:30">
      <c r="A153" s="3">
        <v>12622</v>
      </c>
      <c r="B153" s="3" t="s">
        <v>628</v>
      </c>
      <c r="C153" s="3" t="s">
        <v>629</v>
      </c>
      <c r="D153" s="3" t="s">
        <v>540</v>
      </c>
      <c r="E153" s="3" t="s">
        <v>752</v>
      </c>
      <c r="F153" s="42" t="s">
        <v>631</v>
      </c>
      <c r="G153" s="3" t="s">
        <v>753</v>
      </c>
      <c r="H153" s="6">
        <v>0</v>
      </c>
      <c r="I153" s="41">
        <f>VLOOKUP(Tabla1[[#This Row],[PAGO DIA]],DIAS!A:B,2,0)</f>
        <v>46080</v>
      </c>
      <c r="J153" s="6">
        <v>0</v>
      </c>
      <c r="K153" s="43">
        <f>VLOOKUP(Tabla1[[#This Row],[PAGO DIA]],DIAS!A:C,3,0)</f>
        <v>46112</v>
      </c>
      <c r="L153" s="6">
        <v>0</v>
      </c>
      <c r="M153" s="41">
        <f>VLOOKUP(Tabla1[[#This Row],[PAGO DIA]],DIAS!A:D,4,0)</f>
        <v>46142</v>
      </c>
      <c r="N153" s="6">
        <v>0</v>
      </c>
      <c r="O153" s="43">
        <f>VLOOKUP(Tabla1[[#This Row],[PAGO DIA]],DIAS!A:E,5,0)</f>
        <v>46171</v>
      </c>
      <c r="P153" s="6">
        <v>0</v>
      </c>
      <c r="Q153" s="43">
        <f>VLOOKUP(Tabla1[[#This Row],[PAGO DIA]],DIAS!A:F,6,0)</f>
        <v>46203</v>
      </c>
      <c r="R153" s="6">
        <v>0</v>
      </c>
      <c r="S153" s="43">
        <f>VLOOKUP(Tabla1[[#This Row],[PAGO DIA]],DIAS!A:G,7,0)</f>
        <v>46234</v>
      </c>
      <c r="T153" s="6">
        <v>0</v>
      </c>
      <c r="U153" s="43">
        <f>VLOOKUP(Tabla1[[#This Row],[PAGO DIA]],DIAS!A:H,8,0)</f>
        <v>46265</v>
      </c>
      <c r="V153" s="6">
        <v>0</v>
      </c>
      <c r="W153" s="43">
        <f>VLOOKUP(Tabla1[[#This Row],[PAGO DIA]],DIAS!A:I,9,0)</f>
        <v>46295</v>
      </c>
      <c r="X153" s="6">
        <v>0</v>
      </c>
      <c r="Y153" s="43">
        <f>VLOOKUP(Tabla1[[#This Row],[PAGO DIA]],DIAS!A:J,10,0)</f>
        <v>46325</v>
      </c>
      <c r="Z153" s="6">
        <v>0</v>
      </c>
      <c r="AA153" s="43">
        <f>VLOOKUP(Tabla1[[#This Row],[PAGO DIA]],DIAS!A:K,11,0)</f>
        <v>46356</v>
      </c>
      <c r="AB153" s="6">
        <v>0</v>
      </c>
      <c r="AC153" s="43">
        <f>VLOOKUP(Tabla1[[#This Row],[PAGO DIA]],DIAS!A:M,12,0)</f>
        <v>46386</v>
      </c>
      <c r="AD1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" spans="1:30">
      <c r="A154" s="3">
        <v>11600</v>
      </c>
      <c r="B154" s="3" t="s">
        <v>628</v>
      </c>
      <c r="C154" s="3" t="s">
        <v>540</v>
      </c>
      <c r="D154" s="3" t="s">
        <v>540</v>
      </c>
      <c r="E154" s="3" t="s">
        <v>754</v>
      </c>
      <c r="F154" s="42" t="s">
        <v>631</v>
      </c>
      <c r="G154" s="3" t="s">
        <v>755</v>
      </c>
      <c r="H154" s="6">
        <v>0</v>
      </c>
      <c r="I154" s="41">
        <f>VLOOKUP(Tabla1[[#This Row],[PAGO DIA]],DIAS!A:B,2,0)</f>
        <v>46080</v>
      </c>
      <c r="J154" s="6">
        <v>0</v>
      </c>
      <c r="K154" s="43">
        <f>VLOOKUP(Tabla1[[#This Row],[PAGO DIA]],DIAS!A:C,3,0)</f>
        <v>46112</v>
      </c>
      <c r="L154" s="6">
        <v>0</v>
      </c>
      <c r="M154" s="41">
        <f>VLOOKUP(Tabla1[[#This Row],[PAGO DIA]],DIAS!A:D,4,0)</f>
        <v>46142</v>
      </c>
      <c r="N154" s="6">
        <v>0</v>
      </c>
      <c r="O154" s="43">
        <f>VLOOKUP(Tabla1[[#This Row],[PAGO DIA]],DIAS!A:E,5,0)</f>
        <v>46171</v>
      </c>
      <c r="P154" s="6">
        <v>0</v>
      </c>
      <c r="Q154" s="43">
        <f>VLOOKUP(Tabla1[[#This Row],[PAGO DIA]],DIAS!A:F,6,0)</f>
        <v>46203</v>
      </c>
      <c r="R154" s="6">
        <v>0</v>
      </c>
      <c r="S154" s="43">
        <f>VLOOKUP(Tabla1[[#This Row],[PAGO DIA]],DIAS!A:G,7,0)</f>
        <v>46234</v>
      </c>
      <c r="T154" s="6">
        <v>0</v>
      </c>
      <c r="U154" s="43">
        <f>VLOOKUP(Tabla1[[#This Row],[PAGO DIA]],DIAS!A:H,8,0)</f>
        <v>46265</v>
      </c>
      <c r="V154" s="6">
        <v>0</v>
      </c>
      <c r="W154" s="43">
        <f>VLOOKUP(Tabla1[[#This Row],[PAGO DIA]],DIAS!A:I,9,0)</f>
        <v>46295</v>
      </c>
      <c r="X154" s="6">
        <v>0</v>
      </c>
      <c r="Y154" s="43">
        <f>VLOOKUP(Tabla1[[#This Row],[PAGO DIA]],DIAS!A:J,10,0)</f>
        <v>46325</v>
      </c>
      <c r="Z154" s="6">
        <v>0</v>
      </c>
      <c r="AA154" s="43">
        <f>VLOOKUP(Tabla1[[#This Row],[PAGO DIA]],DIAS!A:K,11,0)</f>
        <v>46356</v>
      </c>
      <c r="AB154" s="6">
        <v>0</v>
      </c>
      <c r="AC154" s="43">
        <f>VLOOKUP(Tabla1[[#This Row],[PAGO DIA]],DIAS!A:M,12,0)</f>
        <v>46386</v>
      </c>
      <c r="AD1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" spans="1:30">
      <c r="A155" s="3">
        <v>12056</v>
      </c>
      <c r="B155" s="3" t="s">
        <v>628</v>
      </c>
      <c r="C155" s="3" t="s">
        <v>540</v>
      </c>
      <c r="D155" s="3" t="s">
        <v>540</v>
      </c>
      <c r="E155" s="3" t="s">
        <v>756</v>
      </c>
      <c r="F155" s="42" t="s">
        <v>631</v>
      </c>
      <c r="G155" s="3" t="s">
        <v>757</v>
      </c>
      <c r="H155" s="6">
        <v>0</v>
      </c>
      <c r="I155" s="41">
        <f>VLOOKUP(Tabla1[[#This Row],[PAGO DIA]],DIAS!A:B,2,0)</f>
        <v>46080</v>
      </c>
      <c r="J155" s="6">
        <v>0</v>
      </c>
      <c r="K155" s="43">
        <f>VLOOKUP(Tabla1[[#This Row],[PAGO DIA]],DIAS!A:C,3,0)</f>
        <v>46112</v>
      </c>
      <c r="L155" s="6">
        <v>0</v>
      </c>
      <c r="M155" s="41">
        <f>VLOOKUP(Tabla1[[#This Row],[PAGO DIA]],DIAS!A:D,4,0)</f>
        <v>46142</v>
      </c>
      <c r="N155" s="6">
        <v>0</v>
      </c>
      <c r="O155" s="43">
        <f>VLOOKUP(Tabla1[[#This Row],[PAGO DIA]],DIAS!A:E,5,0)</f>
        <v>46171</v>
      </c>
      <c r="P155" s="6">
        <v>0</v>
      </c>
      <c r="Q155" s="43">
        <f>VLOOKUP(Tabla1[[#This Row],[PAGO DIA]],DIAS!A:F,6,0)</f>
        <v>46203</v>
      </c>
      <c r="R155" s="6">
        <v>0</v>
      </c>
      <c r="S155" s="43">
        <f>VLOOKUP(Tabla1[[#This Row],[PAGO DIA]],DIAS!A:G,7,0)</f>
        <v>46234</v>
      </c>
      <c r="T155" s="6">
        <v>0</v>
      </c>
      <c r="U155" s="43">
        <f>VLOOKUP(Tabla1[[#This Row],[PAGO DIA]],DIAS!A:H,8,0)</f>
        <v>46265</v>
      </c>
      <c r="V155" s="6">
        <v>0</v>
      </c>
      <c r="W155" s="43">
        <f>VLOOKUP(Tabla1[[#This Row],[PAGO DIA]],DIAS!A:I,9,0)</f>
        <v>46295</v>
      </c>
      <c r="X155" s="6">
        <v>0</v>
      </c>
      <c r="Y155" s="43">
        <f>VLOOKUP(Tabla1[[#This Row],[PAGO DIA]],DIAS!A:J,10,0)</f>
        <v>46325</v>
      </c>
      <c r="Z155" s="6">
        <v>0</v>
      </c>
      <c r="AA155" s="43">
        <f>VLOOKUP(Tabla1[[#This Row],[PAGO DIA]],DIAS!A:K,11,0)</f>
        <v>46356</v>
      </c>
      <c r="AB155" s="6">
        <v>0</v>
      </c>
      <c r="AC155" s="43">
        <f>VLOOKUP(Tabla1[[#This Row],[PAGO DIA]],DIAS!A:M,12,0)</f>
        <v>46386</v>
      </c>
      <c r="AD1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" spans="1:30">
      <c r="A156" s="3">
        <v>12057</v>
      </c>
      <c r="B156" s="3" t="s">
        <v>628</v>
      </c>
      <c r="C156" s="3" t="s">
        <v>540</v>
      </c>
      <c r="D156" s="3" t="s">
        <v>540</v>
      </c>
      <c r="E156" s="3" t="s">
        <v>756</v>
      </c>
      <c r="F156" s="42" t="s">
        <v>631</v>
      </c>
      <c r="G156" s="3" t="s">
        <v>758</v>
      </c>
      <c r="H156" s="6">
        <v>0</v>
      </c>
      <c r="I156" s="41">
        <f>VLOOKUP(Tabla1[[#This Row],[PAGO DIA]],DIAS!A:B,2,0)</f>
        <v>46080</v>
      </c>
      <c r="J156" s="6">
        <v>0</v>
      </c>
      <c r="K156" s="43">
        <f>VLOOKUP(Tabla1[[#This Row],[PAGO DIA]],DIAS!A:C,3,0)</f>
        <v>46112</v>
      </c>
      <c r="L156" s="6">
        <v>0</v>
      </c>
      <c r="M156" s="41">
        <f>VLOOKUP(Tabla1[[#This Row],[PAGO DIA]],DIAS!A:D,4,0)</f>
        <v>46142</v>
      </c>
      <c r="N156" s="6">
        <v>0</v>
      </c>
      <c r="O156" s="43">
        <f>VLOOKUP(Tabla1[[#This Row],[PAGO DIA]],DIAS!A:E,5,0)</f>
        <v>46171</v>
      </c>
      <c r="P156" s="6">
        <v>0</v>
      </c>
      <c r="Q156" s="43">
        <f>VLOOKUP(Tabla1[[#This Row],[PAGO DIA]],DIAS!A:F,6,0)</f>
        <v>46203</v>
      </c>
      <c r="R156" s="6">
        <v>0</v>
      </c>
      <c r="S156" s="43">
        <f>VLOOKUP(Tabla1[[#This Row],[PAGO DIA]],DIAS!A:G,7,0)</f>
        <v>46234</v>
      </c>
      <c r="T156" s="6">
        <v>0</v>
      </c>
      <c r="U156" s="43">
        <f>VLOOKUP(Tabla1[[#This Row],[PAGO DIA]],DIAS!A:H,8,0)</f>
        <v>46265</v>
      </c>
      <c r="V156" s="6">
        <v>0</v>
      </c>
      <c r="W156" s="43">
        <f>VLOOKUP(Tabla1[[#This Row],[PAGO DIA]],DIAS!A:I,9,0)</f>
        <v>46295</v>
      </c>
      <c r="X156" s="6">
        <v>0</v>
      </c>
      <c r="Y156" s="43">
        <f>VLOOKUP(Tabla1[[#This Row],[PAGO DIA]],DIAS!A:J,10,0)</f>
        <v>46325</v>
      </c>
      <c r="Z156" s="6">
        <v>0</v>
      </c>
      <c r="AA156" s="43">
        <f>VLOOKUP(Tabla1[[#This Row],[PAGO DIA]],DIAS!A:K,11,0)</f>
        <v>46356</v>
      </c>
      <c r="AB156" s="6">
        <v>0</v>
      </c>
      <c r="AC156" s="43">
        <f>VLOOKUP(Tabla1[[#This Row],[PAGO DIA]],DIAS!A:M,12,0)</f>
        <v>46386</v>
      </c>
      <c r="AD1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" spans="1:30">
      <c r="A157" s="3">
        <v>12059</v>
      </c>
      <c r="B157" s="3" t="s">
        <v>628</v>
      </c>
      <c r="C157" s="3" t="s">
        <v>540</v>
      </c>
      <c r="D157" s="3" t="s">
        <v>540</v>
      </c>
      <c r="E157" s="3" t="s">
        <v>756</v>
      </c>
      <c r="F157" s="42" t="s">
        <v>631</v>
      </c>
      <c r="G157" s="3" t="s">
        <v>759</v>
      </c>
      <c r="H157" s="6">
        <v>0</v>
      </c>
      <c r="I157" s="41">
        <f>VLOOKUP(Tabla1[[#This Row],[PAGO DIA]],DIAS!A:B,2,0)</f>
        <v>46080</v>
      </c>
      <c r="J157" s="6">
        <v>0</v>
      </c>
      <c r="K157" s="43">
        <f>VLOOKUP(Tabla1[[#This Row],[PAGO DIA]],DIAS!A:C,3,0)</f>
        <v>46112</v>
      </c>
      <c r="L157" s="6">
        <v>0</v>
      </c>
      <c r="M157" s="41">
        <f>VLOOKUP(Tabla1[[#This Row],[PAGO DIA]],DIAS!A:D,4,0)</f>
        <v>46142</v>
      </c>
      <c r="N157" s="6">
        <v>0</v>
      </c>
      <c r="O157" s="43">
        <f>VLOOKUP(Tabla1[[#This Row],[PAGO DIA]],DIAS!A:E,5,0)</f>
        <v>46171</v>
      </c>
      <c r="P157" s="6">
        <v>0</v>
      </c>
      <c r="Q157" s="43">
        <f>VLOOKUP(Tabla1[[#This Row],[PAGO DIA]],DIAS!A:F,6,0)</f>
        <v>46203</v>
      </c>
      <c r="R157" s="6">
        <v>0</v>
      </c>
      <c r="S157" s="43">
        <f>VLOOKUP(Tabla1[[#This Row],[PAGO DIA]],DIAS!A:G,7,0)</f>
        <v>46234</v>
      </c>
      <c r="T157" s="6">
        <v>0</v>
      </c>
      <c r="U157" s="43">
        <f>VLOOKUP(Tabla1[[#This Row],[PAGO DIA]],DIAS!A:H,8,0)</f>
        <v>46265</v>
      </c>
      <c r="V157" s="6">
        <v>0</v>
      </c>
      <c r="W157" s="43">
        <f>VLOOKUP(Tabla1[[#This Row],[PAGO DIA]],DIAS!A:I,9,0)</f>
        <v>46295</v>
      </c>
      <c r="X157" s="6">
        <v>0</v>
      </c>
      <c r="Y157" s="43">
        <f>VLOOKUP(Tabla1[[#This Row],[PAGO DIA]],DIAS!A:J,10,0)</f>
        <v>46325</v>
      </c>
      <c r="Z157" s="6">
        <v>0</v>
      </c>
      <c r="AA157" s="43">
        <f>VLOOKUP(Tabla1[[#This Row],[PAGO DIA]],DIAS!A:K,11,0)</f>
        <v>46356</v>
      </c>
      <c r="AB157" s="6">
        <v>0</v>
      </c>
      <c r="AC157" s="43">
        <f>VLOOKUP(Tabla1[[#This Row],[PAGO DIA]],DIAS!A:M,12,0)</f>
        <v>46386</v>
      </c>
      <c r="AD1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" spans="1:30">
      <c r="A158" s="3">
        <v>12049</v>
      </c>
      <c r="B158" s="3" t="s">
        <v>628</v>
      </c>
      <c r="C158" s="3" t="s">
        <v>629</v>
      </c>
      <c r="D158" s="3" t="s">
        <v>629</v>
      </c>
      <c r="E158" s="3" t="s">
        <v>760</v>
      </c>
      <c r="F158" s="42" t="s">
        <v>631</v>
      </c>
      <c r="G158" s="3" t="s">
        <v>635</v>
      </c>
      <c r="H158" s="6">
        <v>0</v>
      </c>
      <c r="I158" s="41">
        <f>VLOOKUP(Tabla1[[#This Row],[PAGO DIA]],DIAS!A:B,2,0)</f>
        <v>46080</v>
      </c>
      <c r="J158" s="6">
        <v>0</v>
      </c>
      <c r="K158" s="43">
        <f>VLOOKUP(Tabla1[[#This Row],[PAGO DIA]],DIAS!A:C,3,0)</f>
        <v>46112</v>
      </c>
      <c r="L158" s="6">
        <v>0</v>
      </c>
      <c r="M158" s="41">
        <f>VLOOKUP(Tabla1[[#This Row],[PAGO DIA]],DIAS!A:D,4,0)</f>
        <v>46142</v>
      </c>
      <c r="N158" s="6">
        <v>0</v>
      </c>
      <c r="O158" s="43">
        <f>VLOOKUP(Tabla1[[#This Row],[PAGO DIA]],DIAS!A:E,5,0)</f>
        <v>46171</v>
      </c>
      <c r="P158" s="6">
        <v>0</v>
      </c>
      <c r="Q158" s="43">
        <f>VLOOKUP(Tabla1[[#This Row],[PAGO DIA]],DIAS!A:F,6,0)</f>
        <v>46203</v>
      </c>
      <c r="R158" s="6">
        <v>0</v>
      </c>
      <c r="S158" s="43">
        <f>VLOOKUP(Tabla1[[#This Row],[PAGO DIA]],DIAS!A:G,7,0)</f>
        <v>46234</v>
      </c>
      <c r="T158" s="6">
        <v>0</v>
      </c>
      <c r="U158" s="43">
        <f>VLOOKUP(Tabla1[[#This Row],[PAGO DIA]],DIAS!A:H,8,0)</f>
        <v>46265</v>
      </c>
      <c r="V158" s="6">
        <v>0</v>
      </c>
      <c r="W158" s="43">
        <f>VLOOKUP(Tabla1[[#This Row],[PAGO DIA]],DIAS!A:I,9,0)</f>
        <v>46295</v>
      </c>
      <c r="X158" s="6">
        <v>0</v>
      </c>
      <c r="Y158" s="43">
        <f>VLOOKUP(Tabla1[[#This Row],[PAGO DIA]],DIAS!A:J,10,0)</f>
        <v>46325</v>
      </c>
      <c r="Z158" s="6">
        <v>0</v>
      </c>
      <c r="AA158" s="43">
        <f>VLOOKUP(Tabla1[[#This Row],[PAGO DIA]],DIAS!A:K,11,0)</f>
        <v>46356</v>
      </c>
      <c r="AB158" s="6">
        <v>0</v>
      </c>
      <c r="AC158" s="43">
        <f>VLOOKUP(Tabla1[[#This Row],[PAGO DIA]],DIAS!A:M,12,0)</f>
        <v>46386</v>
      </c>
      <c r="AD1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" spans="1:30">
      <c r="A159" s="3">
        <v>12763</v>
      </c>
      <c r="B159" s="3" t="s">
        <v>628</v>
      </c>
      <c r="C159" s="3" t="s">
        <v>629</v>
      </c>
      <c r="D159" s="3" t="s">
        <v>540</v>
      </c>
      <c r="E159" s="3" t="s">
        <v>761</v>
      </c>
      <c r="F159" s="42" t="s">
        <v>631</v>
      </c>
      <c r="G159" s="3" t="s">
        <v>762</v>
      </c>
      <c r="H159" s="6">
        <v>0</v>
      </c>
      <c r="I159" s="41">
        <f>VLOOKUP(Tabla1[[#This Row],[PAGO DIA]],DIAS!A:B,2,0)</f>
        <v>46080</v>
      </c>
      <c r="J159" s="6">
        <v>0</v>
      </c>
      <c r="K159" s="43">
        <f>VLOOKUP(Tabla1[[#This Row],[PAGO DIA]],DIAS!A:C,3,0)</f>
        <v>46112</v>
      </c>
      <c r="L159" s="6">
        <v>0</v>
      </c>
      <c r="M159" s="41">
        <f>VLOOKUP(Tabla1[[#This Row],[PAGO DIA]],DIAS!A:D,4,0)</f>
        <v>46142</v>
      </c>
      <c r="N159" s="6">
        <v>0</v>
      </c>
      <c r="O159" s="43">
        <f>VLOOKUP(Tabla1[[#This Row],[PAGO DIA]],DIAS!A:E,5,0)</f>
        <v>46171</v>
      </c>
      <c r="P159" s="6">
        <v>0</v>
      </c>
      <c r="Q159" s="43">
        <f>VLOOKUP(Tabla1[[#This Row],[PAGO DIA]],DIAS!A:F,6,0)</f>
        <v>46203</v>
      </c>
      <c r="R159" s="6">
        <v>0</v>
      </c>
      <c r="S159" s="43">
        <f>VLOOKUP(Tabla1[[#This Row],[PAGO DIA]],DIAS!A:G,7,0)</f>
        <v>46234</v>
      </c>
      <c r="T159" s="6">
        <v>0</v>
      </c>
      <c r="U159" s="43">
        <f>VLOOKUP(Tabla1[[#This Row],[PAGO DIA]],DIAS!A:H,8,0)</f>
        <v>46265</v>
      </c>
      <c r="V159" s="6">
        <v>0</v>
      </c>
      <c r="W159" s="43">
        <f>VLOOKUP(Tabla1[[#This Row],[PAGO DIA]],DIAS!A:I,9,0)</f>
        <v>46295</v>
      </c>
      <c r="X159" s="6">
        <v>0</v>
      </c>
      <c r="Y159" s="43">
        <f>VLOOKUP(Tabla1[[#This Row],[PAGO DIA]],DIAS!A:J,10,0)</f>
        <v>46325</v>
      </c>
      <c r="Z159" s="6">
        <v>0</v>
      </c>
      <c r="AA159" s="43">
        <f>VLOOKUP(Tabla1[[#This Row],[PAGO DIA]],DIAS!A:K,11,0)</f>
        <v>46356</v>
      </c>
      <c r="AB159" s="6">
        <v>0</v>
      </c>
      <c r="AC159" s="43">
        <f>VLOOKUP(Tabla1[[#This Row],[PAGO DIA]],DIAS!A:M,12,0)</f>
        <v>46386</v>
      </c>
      <c r="AD1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" spans="1:30">
      <c r="A160" s="3">
        <v>12791</v>
      </c>
      <c r="B160" s="3" t="s">
        <v>628</v>
      </c>
      <c r="C160" s="3" t="s">
        <v>629</v>
      </c>
      <c r="D160" s="3" t="s">
        <v>540</v>
      </c>
      <c r="E160" s="3" t="s">
        <v>761</v>
      </c>
      <c r="F160" s="42" t="s">
        <v>631</v>
      </c>
      <c r="G160" s="3" t="s">
        <v>763</v>
      </c>
      <c r="H160" s="6">
        <v>0</v>
      </c>
      <c r="I160" s="41">
        <f>VLOOKUP(Tabla1[[#This Row],[PAGO DIA]],DIAS!A:B,2,0)</f>
        <v>46080</v>
      </c>
      <c r="J160" s="6">
        <v>0</v>
      </c>
      <c r="K160" s="43">
        <f>VLOOKUP(Tabla1[[#This Row],[PAGO DIA]],DIAS!A:C,3,0)</f>
        <v>46112</v>
      </c>
      <c r="L160" s="6">
        <v>0</v>
      </c>
      <c r="M160" s="41">
        <f>VLOOKUP(Tabla1[[#This Row],[PAGO DIA]],DIAS!A:D,4,0)</f>
        <v>46142</v>
      </c>
      <c r="N160" s="6">
        <v>0</v>
      </c>
      <c r="O160" s="43">
        <f>VLOOKUP(Tabla1[[#This Row],[PAGO DIA]],DIAS!A:E,5,0)</f>
        <v>46171</v>
      </c>
      <c r="P160" s="6">
        <v>0</v>
      </c>
      <c r="Q160" s="43">
        <f>VLOOKUP(Tabla1[[#This Row],[PAGO DIA]],DIAS!A:F,6,0)</f>
        <v>46203</v>
      </c>
      <c r="R160" s="6">
        <v>0</v>
      </c>
      <c r="S160" s="43">
        <f>VLOOKUP(Tabla1[[#This Row],[PAGO DIA]],DIAS!A:G,7,0)</f>
        <v>46234</v>
      </c>
      <c r="T160" s="6">
        <v>0</v>
      </c>
      <c r="U160" s="43">
        <f>VLOOKUP(Tabla1[[#This Row],[PAGO DIA]],DIAS!A:H,8,0)</f>
        <v>46265</v>
      </c>
      <c r="V160" s="6">
        <v>0</v>
      </c>
      <c r="W160" s="43">
        <f>VLOOKUP(Tabla1[[#This Row],[PAGO DIA]],DIAS!A:I,9,0)</f>
        <v>46295</v>
      </c>
      <c r="X160" s="6">
        <v>0</v>
      </c>
      <c r="Y160" s="43">
        <f>VLOOKUP(Tabla1[[#This Row],[PAGO DIA]],DIAS!A:J,10,0)</f>
        <v>46325</v>
      </c>
      <c r="Z160" s="6">
        <v>0</v>
      </c>
      <c r="AA160" s="43">
        <f>VLOOKUP(Tabla1[[#This Row],[PAGO DIA]],DIAS!A:K,11,0)</f>
        <v>46356</v>
      </c>
      <c r="AB160" s="6">
        <v>0</v>
      </c>
      <c r="AC160" s="43">
        <f>VLOOKUP(Tabla1[[#This Row],[PAGO DIA]],DIAS!A:M,12,0)</f>
        <v>46386</v>
      </c>
      <c r="AD1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" spans="1:30">
      <c r="A161" s="3">
        <v>11065</v>
      </c>
      <c r="B161" s="3" t="s">
        <v>628</v>
      </c>
      <c r="C161" s="3" t="s">
        <v>629</v>
      </c>
      <c r="D161" s="3" t="s">
        <v>629</v>
      </c>
      <c r="E161" s="3" t="s">
        <v>764</v>
      </c>
      <c r="F161" s="42" t="s">
        <v>631</v>
      </c>
      <c r="G161" s="3"/>
      <c r="H161" s="6">
        <v>0</v>
      </c>
      <c r="I161" s="41">
        <f>VLOOKUP(Tabla1[[#This Row],[PAGO DIA]],DIAS!A:B,2,0)</f>
        <v>46080</v>
      </c>
      <c r="J161" s="6">
        <v>0</v>
      </c>
      <c r="K161" s="43">
        <f>VLOOKUP(Tabla1[[#This Row],[PAGO DIA]],DIAS!A:C,3,0)</f>
        <v>46112</v>
      </c>
      <c r="L161" s="6">
        <v>0</v>
      </c>
      <c r="M161" s="41">
        <f>VLOOKUP(Tabla1[[#This Row],[PAGO DIA]],DIAS!A:D,4,0)</f>
        <v>46142</v>
      </c>
      <c r="N161" s="6">
        <v>0</v>
      </c>
      <c r="O161" s="43">
        <f>VLOOKUP(Tabla1[[#This Row],[PAGO DIA]],DIAS!A:E,5,0)</f>
        <v>46171</v>
      </c>
      <c r="P161" s="6">
        <v>0</v>
      </c>
      <c r="Q161" s="43">
        <f>VLOOKUP(Tabla1[[#This Row],[PAGO DIA]],DIAS!A:F,6,0)</f>
        <v>46203</v>
      </c>
      <c r="R161" s="6">
        <v>0</v>
      </c>
      <c r="S161" s="43">
        <f>VLOOKUP(Tabla1[[#This Row],[PAGO DIA]],DIAS!A:G,7,0)</f>
        <v>46234</v>
      </c>
      <c r="T161" s="6">
        <v>0</v>
      </c>
      <c r="U161" s="43">
        <f>VLOOKUP(Tabla1[[#This Row],[PAGO DIA]],DIAS!A:H,8,0)</f>
        <v>46265</v>
      </c>
      <c r="V161" s="6">
        <v>0</v>
      </c>
      <c r="W161" s="43">
        <f>VLOOKUP(Tabla1[[#This Row],[PAGO DIA]],DIAS!A:I,9,0)</f>
        <v>46295</v>
      </c>
      <c r="X161" s="6">
        <v>0</v>
      </c>
      <c r="Y161" s="43">
        <f>VLOOKUP(Tabla1[[#This Row],[PAGO DIA]],DIAS!A:J,10,0)</f>
        <v>46325</v>
      </c>
      <c r="Z161" s="6">
        <v>0</v>
      </c>
      <c r="AA161" s="43">
        <f>VLOOKUP(Tabla1[[#This Row],[PAGO DIA]],DIAS!A:K,11,0)</f>
        <v>46356</v>
      </c>
      <c r="AB161" s="6">
        <v>0</v>
      </c>
      <c r="AC161" s="43">
        <f>VLOOKUP(Tabla1[[#This Row],[PAGO DIA]],DIAS!A:M,12,0)</f>
        <v>46386</v>
      </c>
      <c r="AD1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" spans="1:30">
      <c r="A162" s="3">
        <v>11316</v>
      </c>
      <c r="B162" s="3" t="s">
        <v>628</v>
      </c>
      <c r="C162" s="3" t="s">
        <v>629</v>
      </c>
      <c r="D162" s="3" t="s">
        <v>629</v>
      </c>
      <c r="E162" s="3" t="s">
        <v>764</v>
      </c>
      <c r="F162" s="42" t="s">
        <v>631</v>
      </c>
      <c r="G162" s="3" t="s">
        <v>635</v>
      </c>
      <c r="H162" s="6">
        <v>0</v>
      </c>
      <c r="I162" s="41">
        <f>VLOOKUP(Tabla1[[#This Row],[PAGO DIA]],DIAS!A:B,2,0)</f>
        <v>46080</v>
      </c>
      <c r="J162" s="6">
        <v>0</v>
      </c>
      <c r="K162" s="43">
        <f>VLOOKUP(Tabla1[[#This Row],[PAGO DIA]],DIAS!A:C,3,0)</f>
        <v>46112</v>
      </c>
      <c r="L162" s="6">
        <v>0</v>
      </c>
      <c r="M162" s="41">
        <f>VLOOKUP(Tabla1[[#This Row],[PAGO DIA]],DIAS!A:D,4,0)</f>
        <v>46142</v>
      </c>
      <c r="N162" s="6">
        <v>0</v>
      </c>
      <c r="O162" s="43">
        <f>VLOOKUP(Tabla1[[#This Row],[PAGO DIA]],DIAS!A:E,5,0)</f>
        <v>46171</v>
      </c>
      <c r="P162" s="6">
        <v>0</v>
      </c>
      <c r="Q162" s="43">
        <f>VLOOKUP(Tabla1[[#This Row],[PAGO DIA]],DIAS!A:F,6,0)</f>
        <v>46203</v>
      </c>
      <c r="R162" s="6">
        <v>0</v>
      </c>
      <c r="S162" s="43">
        <f>VLOOKUP(Tabla1[[#This Row],[PAGO DIA]],DIAS!A:G,7,0)</f>
        <v>46234</v>
      </c>
      <c r="T162" s="6">
        <v>0</v>
      </c>
      <c r="U162" s="43">
        <f>VLOOKUP(Tabla1[[#This Row],[PAGO DIA]],DIAS!A:H,8,0)</f>
        <v>46265</v>
      </c>
      <c r="V162" s="6">
        <v>0</v>
      </c>
      <c r="W162" s="43">
        <f>VLOOKUP(Tabla1[[#This Row],[PAGO DIA]],DIAS!A:I,9,0)</f>
        <v>46295</v>
      </c>
      <c r="X162" s="6">
        <v>0</v>
      </c>
      <c r="Y162" s="43">
        <f>VLOOKUP(Tabla1[[#This Row],[PAGO DIA]],DIAS!A:J,10,0)</f>
        <v>46325</v>
      </c>
      <c r="Z162" s="6">
        <v>0</v>
      </c>
      <c r="AA162" s="43">
        <f>VLOOKUP(Tabla1[[#This Row],[PAGO DIA]],DIAS!A:K,11,0)</f>
        <v>46356</v>
      </c>
      <c r="AB162" s="6">
        <v>0</v>
      </c>
      <c r="AC162" s="43">
        <f>VLOOKUP(Tabla1[[#This Row],[PAGO DIA]],DIAS!A:M,12,0)</f>
        <v>46386</v>
      </c>
      <c r="AD1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" spans="1:30">
      <c r="A163" s="3">
        <v>11635</v>
      </c>
      <c r="B163" s="3" t="s">
        <v>628</v>
      </c>
      <c r="C163" s="3" t="s">
        <v>540</v>
      </c>
      <c r="D163" s="3" t="s">
        <v>540</v>
      </c>
      <c r="E163" s="3" t="s">
        <v>581</v>
      </c>
      <c r="F163" s="42" t="s">
        <v>631</v>
      </c>
      <c r="G163" s="3" t="s">
        <v>765</v>
      </c>
      <c r="H163" s="6">
        <v>0</v>
      </c>
      <c r="I163" s="41">
        <f>VLOOKUP(Tabla1[[#This Row],[PAGO DIA]],DIAS!A:B,2,0)</f>
        <v>46080</v>
      </c>
      <c r="J163" s="6">
        <v>0</v>
      </c>
      <c r="K163" s="43">
        <f>VLOOKUP(Tabla1[[#This Row],[PAGO DIA]],DIAS!A:C,3,0)</f>
        <v>46112</v>
      </c>
      <c r="L163" s="6">
        <v>0</v>
      </c>
      <c r="M163" s="41">
        <f>VLOOKUP(Tabla1[[#This Row],[PAGO DIA]],DIAS!A:D,4,0)</f>
        <v>46142</v>
      </c>
      <c r="N163" s="6">
        <v>0</v>
      </c>
      <c r="O163" s="43">
        <f>VLOOKUP(Tabla1[[#This Row],[PAGO DIA]],DIAS!A:E,5,0)</f>
        <v>46171</v>
      </c>
      <c r="P163" s="6">
        <v>0</v>
      </c>
      <c r="Q163" s="43">
        <f>VLOOKUP(Tabla1[[#This Row],[PAGO DIA]],DIAS!A:F,6,0)</f>
        <v>46203</v>
      </c>
      <c r="R163" s="6">
        <v>0</v>
      </c>
      <c r="S163" s="43">
        <f>VLOOKUP(Tabla1[[#This Row],[PAGO DIA]],DIAS!A:G,7,0)</f>
        <v>46234</v>
      </c>
      <c r="T163" s="6">
        <v>0</v>
      </c>
      <c r="U163" s="43">
        <f>VLOOKUP(Tabla1[[#This Row],[PAGO DIA]],DIAS!A:H,8,0)</f>
        <v>46265</v>
      </c>
      <c r="V163" s="6">
        <v>0</v>
      </c>
      <c r="W163" s="43">
        <f>VLOOKUP(Tabla1[[#This Row],[PAGO DIA]],DIAS!A:I,9,0)</f>
        <v>46295</v>
      </c>
      <c r="X163" s="6">
        <v>0</v>
      </c>
      <c r="Y163" s="43">
        <f>VLOOKUP(Tabla1[[#This Row],[PAGO DIA]],DIAS!A:J,10,0)</f>
        <v>46325</v>
      </c>
      <c r="Z163" s="6">
        <v>0</v>
      </c>
      <c r="AA163" s="43">
        <f>VLOOKUP(Tabla1[[#This Row],[PAGO DIA]],DIAS!A:K,11,0)</f>
        <v>46356</v>
      </c>
      <c r="AB163" s="6">
        <v>0</v>
      </c>
      <c r="AC163" s="43">
        <f>VLOOKUP(Tabla1[[#This Row],[PAGO DIA]],DIAS!A:M,12,0)</f>
        <v>46386</v>
      </c>
      <c r="AD1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" spans="1:30">
      <c r="A164" s="3">
        <v>11636</v>
      </c>
      <c r="B164" s="3" t="s">
        <v>628</v>
      </c>
      <c r="C164" s="3" t="s">
        <v>540</v>
      </c>
      <c r="D164" s="3" t="s">
        <v>540</v>
      </c>
      <c r="E164" s="3" t="s">
        <v>581</v>
      </c>
      <c r="F164" s="42" t="s">
        <v>631</v>
      </c>
      <c r="G164" s="3" t="s">
        <v>766</v>
      </c>
      <c r="H164" s="6">
        <v>0</v>
      </c>
      <c r="I164" s="41">
        <f>VLOOKUP(Tabla1[[#This Row],[PAGO DIA]],DIAS!A:B,2,0)</f>
        <v>46080</v>
      </c>
      <c r="J164" s="6">
        <v>0</v>
      </c>
      <c r="K164" s="43">
        <f>VLOOKUP(Tabla1[[#This Row],[PAGO DIA]],DIAS!A:C,3,0)</f>
        <v>46112</v>
      </c>
      <c r="L164" s="6">
        <v>0</v>
      </c>
      <c r="M164" s="41">
        <f>VLOOKUP(Tabla1[[#This Row],[PAGO DIA]],DIAS!A:D,4,0)</f>
        <v>46142</v>
      </c>
      <c r="N164" s="6">
        <v>0</v>
      </c>
      <c r="O164" s="43">
        <f>VLOOKUP(Tabla1[[#This Row],[PAGO DIA]],DIAS!A:E,5,0)</f>
        <v>46171</v>
      </c>
      <c r="P164" s="6">
        <v>0</v>
      </c>
      <c r="Q164" s="43">
        <f>VLOOKUP(Tabla1[[#This Row],[PAGO DIA]],DIAS!A:F,6,0)</f>
        <v>46203</v>
      </c>
      <c r="R164" s="6">
        <v>0</v>
      </c>
      <c r="S164" s="43">
        <f>VLOOKUP(Tabla1[[#This Row],[PAGO DIA]],DIAS!A:G,7,0)</f>
        <v>46234</v>
      </c>
      <c r="T164" s="6">
        <v>0</v>
      </c>
      <c r="U164" s="43">
        <f>VLOOKUP(Tabla1[[#This Row],[PAGO DIA]],DIAS!A:H,8,0)</f>
        <v>46265</v>
      </c>
      <c r="V164" s="6">
        <v>0</v>
      </c>
      <c r="W164" s="43">
        <f>VLOOKUP(Tabla1[[#This Row],[PAGO DIA]],DIAS!A:I,9,0)</f>
        <v>46295</v>
      </c>
      <c r="X164" s="6">
        <v>0</v>
      </c>
      <c r="Y164" s="43">
        <f>VLOOKUP(Tabla1[[#This Row],[PAGO DIA]],DIAS!A:J,10,0)</f>
        <v>46325</v>
      </c>
      <c r="Z164" s="6">
        <v>0</v>
      </c>
      <c r="AA164" s="43">
        <f>VLOOKUP(Tabla1[[#This Row],[PAGO DIA]],DIAS!A:K,11,0)</f>
        <v>46356</v>
      </c>
      <c r="AB164" s="6">
        <v>0</v>
      </c>
      <c r="AC164" s="43">
        <f>VLOOKUP(Tabla1[[#This Row],[PAGO DIA]],DIAS!A:M,12,0)</f>
        <v>46386</v>
      </c>
      <c r="AD1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" spans="1:30">
      <c r="A165" s="3">
        <v>11637</v>
      </c>
      <c r="B165" s="3" t="s">
        <v>628</v>
      </c>
      <c r="C165" s="3" t="s">
        <v>540</v>
      </c>
      <c r="D165" s="3" t="s">
        <v>540</v>
      </c>
      <c r="E165" s="3" t="s">
        <v>581</v>
      </c>
      <c r="F165" s="42" t="s">
        <v>631</v>
      </c>
      <c r="G165" s="3" t="s">
        <v>767</v>
      </c>
      <c r="H165" s="6">
        <v>0</v>
      </c>
      <c r="I165" s="41">
        <f>VLOOKUP(Tabla1[[#This Row],[PAGO DIA]],DIAS!A:B,2,0)</f>
        <v>46080</v>
      </c>
      <c r="J165" s="6">
        <v>0</v>
      </c>
      <c r="K165" s="43">
        <f>VLOOKUP(Tabla1[[#This Row],[PAGO DIA]],DIAS!A:C,3,0)</f>
        <v>46112</v>
      </c>
      <c r="L165" s="6">
        <v>0</v>
      </c>
      <c r="M165" s="41">
        <f>VLOOKUP(Tabla1[[#This Row],[PAGO DIA]],DIAS!A:D,4,0)</f>
        <v>46142</v>
      </c>
      <c r="N165" s="6">
        <v>0</v>
      </c>
      <c r="O165" s="43">
        <f>VLOOKUP(Tabla1[[#This Row],[PAGO DIA]],DIAS!A:E,5,0)</f>
        <v>46171</v>
      </c>
      <c r="P165" s="6">
        <v>0</v>
      </c>
      <c r="Q165" s="43">
        <f>VLOOKUP(Tabla1[[#This Row],[PAGO DIA]],DIAS!A:F,6,0)</f>
        <v>46203</v>
      </c>
      <c r="R165" s="6">
        <v>0</v>
      </c>
      <c r="S165" s="43">
        <f>VLOOKUP(Tabla1[[#This Row],[PAGO DIA]],DIAS!A:G,7,0)</f>
        <v>46234</v>
      </c>
      <c r="T165" s="6">
        <v>0</v>
      </c>
      <c r="U165" s="43">
        <f>VLOOKUP(Tabla1[[#This Row],[PAGO DIA]],DIAS!A:H,8,0)</f>
        <v>46265</v>
      </c>
      <c r="V165" s="6">
        <v>0</v>
      </c>
      <c r="W165" s="43">
        <f>VLOOKUP(Tabla1[[#This Row],[PAGO DIA]],DIAS!A:I,9,0)</f>
        <v>46295</v>
      </c>
      <c r="X165" s="6">
        <v>0</v>
      </c>
      <c r="Y165" s="43">
        <f>VLOOKUP(Tabla1[[#This Row],[PAGO DIA]],DIAS!A:J,10,0)</f>
        <v>46325</v>
      </c>
      <c r="Z165" s="6">
        <v>0</v>
      </c>
      <c r="AA165" s="43">
        <f>VLOOKUP(Tabla1[[#This Row],[PAGO DIA]],DIAS!A:K,11,0)</f>
        <v>46356</v>
      </c>
      <c r="AB165" s="6">
        <v>0</v>
      </c>
      <c r="AC165" s="43">
        <f>VLOOKUP(Tabla1[[#This Row],[PAGO DIA]],DIAS!A:M,12,0)</f>
        <v>46386</v>
      </c>
      <c r="AD1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" spans="1:30">
      <c r="A166" s="3">
        <v>11638</v>
      </c>
      <c r="B166" s="3" t="s">
        <v>628</v>
      </c>
      <c r="C166" s="3" t="s">
        <v>540</v>
      </c>
      <c r="D166" s="3" t="s">
        <v>540</v>
      </c>
      <c r="E166" s="3" t="s">
        <v>581</v>
      </c>
      <c r="F166" s="42" t="s">
        <v>631</v>
      </c>
      <c r="G166" s="3" t="s">
        <v>768</v>
      </c>
      <c r="H166" s="6">
        <v>0</v>
      </c>
      <c r="I166" s="41">
        <f>VLOOKUP(Tabla1[[#This Row],[PAGO DIA]],DIAS!A:B,2,0)</f>
        <v>46080</v>
      </c>
      <c r="J166" s="6">
        <v>0</v>
      </c>
      <c r="K166" s="43">
        <f>VLOOKUP(Tabla1[[#This Row],[PAGO DIA]],DIAS!A:C,3,0)</f>
        <v>46112</v>
      </c>
      <c r="L166" s="6">
        <v>0</v>
      </c>
      <c r="M166" s="41">
        <f>VLOOKUP(Tabla1[[#This Row],[PAGO DIA]],DIAS!A:D,4,0)</f>
        <v>46142</v>
      </c>
      <c r="N166" s="6">
        <v>0</v>
      </c>
      <c r="O166" s="43">
        <f>VLOOKUP(Tabla1[[#This Row],[PAGO DIA]],DIAS!A:E,5,0)</f>
        <v>46171</v>
      </c>
      <c r="P166" s="6">
        <v>0</v>
      </c>
      <c r="Q166" s="43">
        <f>VLOOKUP(Tabla1[[#This Row],[PAGO DIA]],DIAS!A:F,6,0)</f>
        <v>46203</v>
      </c>
      <c r="R166" s="6">
        <v>0</v>
      </c>
      <c r="S166" s="43">
        <f>VLOOKUP(Tabla1[[#This Row],[PAGO DIA]],DIAS!A:G,7,0)</f>
        <v>46234</v>
      </c>
      <c r="T166" s="6">
        <v>0</v>
      </c>
      <c r="U166" s="43">
        <f>VLOOKUP(Tabla1[[#This Row],[PAGO DIA]],DIAS!A:H,8,0)</f>
        <v>46265</v>
      </c>
      <c r="V166" s="6">
        <v>0</v>
      </c>
      <c r="W166" s="43">
        <f>VLOOKUP(Tabla1[[#This Row],[PAGO DIA]],DIAS!A:I,9,0)</f>
        <v>46295</v>
      </c>
      <c r="X166" s="6">
        <v>0</v>
      </c>
      <c r="Y166" s="43">
        <f>VLOOKUP(Tabla1[[#This Row],[PAGO DIA]],DIAS!A:J,10,0)</f>
        <v>46325</v>
      </c>
      <c r="Z166" s="6">
        <v>0</v>
      </c>
      <c r="AA166" s="43">
        <f>VLOOKUP(Tabla1[[#This Row],[PAGO DIA]],DIAS!A:K,11,0)</f>
        <v>46356</v>
      </c>
      <c r="AB166" s="6">
        <v>0</v>
      </c>
      <c r="AC166" s="43">
        <f>VLOOKUP(Tabla1[[#This Row],[PAGO DIA]],DIAS!A:M,12,0)</f>
        <v>46386</v>
      </c>
      <c r="AD1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" spans="1:30">
      <c r="A167" s="3">
        <v>11639</v>
      </c>
      <c r="B167" s="3" t="s">
        <v>628</v>
      </c>
      <c r="C167" s="3" t="s">
        <v>540</v>
      </c>
      <c r="D167" s="3" t="s">
        <v>540</v>
      </c>
      <c r="E167" s="3" t="s">
        <v>581</v>
      </c>
      <c r="F167" s="42" t="s">
        <v>631</v>
      </c>
      <c r="G167" s="3" t="s">
        <v>769</v>
      </c>
      <c r="H167" s="6">
        <v>0</v>
      </c>
      <c r="I167" s="41">
        <f>VLOOKUP(Tabla1[[#This Row],[PAGO DIA]],DIAS!A:B,2,0)</f>
        <v>46080</v>
      </c>
      <c r="J167" s="6">
        <v>0</v>
      </c>
      <c r="K167" s="43">
        <f>VLOOKUP(Tabla1[[#This Row],[PAGO DIA]],DIAS!A:C,3,0)</f>
        <v>46112</v>
      </c>
      <c r="L167" s="6">
        <v>0</v>
      </c>
      <c r="M167" s="41">
        <f>VLOOKUP(Tabla1[[#This Row],[PAGO DIA]],DIAS!A:D,4,0)</f>
        <v>46142</v>
      </c>
      <c r="N167" s="6">
        <v>0</v>
      </c>
      <c r="O167" s="43">
        <f>VLOOKUP(Tabla1[[#This Row],[PAGO DIA]],DIAS!A:E,5,0)</f>
        <v>46171</v>
      </c>
      <c r="P167" s="6">
        <v>0</v>
      </c>
      <c r="Q167" s="43">
        <f>VLOOKUP(Tabla1[[#This Row],[PAGO DIA]],DIAS!A:F,6,0)</f>
        <v>46203</v>
      </c>
      <c r="R167" s="6">
        <v>0</v>
      </c>
      <c r="S167" s="43">
        <f>VLOOKUP(Tabla1[[#This Row],[PAGO DIA]],DIAS!A:G,7,0)</f>
        <v>46234</v>
      </c>
      <c r="T167" s="6">
        <v>0</v>
      </c>
      <c r="U167" s="43">
        <f>VLOOKUP(Tabla1[[#This Row],[PAGO DIA]],DIAS!A:H,8,0)</f>
        <v>46265</v>
      </c>
      <c r="V167" s="6">
        <v>0</v>
      </c>
      <c r="W167" s="43">
        <f>VLOOKUP(Tabla1[[#This Row],[PAGO DIA]],DIAS!A:I,9,0)</f>
        <v>46295</v>
      </c>
      <c r="X167" s="6">
        <v>0</v>
      </c>
      <c r="Y167" s="43">
        <f>VLOOKUP(Tabla1[[#This Row],[PAGO DIA]],DIAS!A:J,10,0)</f>
        <v>46325</v>
      </c>
      <c r="Z167" s="6">
        <v>0</v>
      </c>
      <c r="AA167" s="43">
        <f>VLOOKUP(Tabla1[[#This Row],[PAGO DIA]],DIAS!A:K,11,0)</f>
        <v>46356</v>
      </c>
      <c r="AB167" s="6">
        <v>0</v>
      </c>
      <c r="AC167" s="43">
        <f>VLOOKUP(Tabla1[[#This Row],[PAGO DIA]],DIAS!A:M,12,0)</f>
        <v>46386</v>
      </c>
      <c r="AD1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" spans="1:30">
      <c r="A168" s="3">
        <v>11640</v>
      </c>
      <c r="B168" s="3" t="s">
        <v>628</v>
      </c>
      <c r="C168" s="3" t="s">
        <v>540</v>
      </c>
      <c r="D168" s="3" t="s">
        <v>540</v>
      </c>
      <c r="E168" s="3" t="s">
        <v>581</v>
      </c>
      <c r="F168" s="42" t="s">
        <v>631</v>
      </c>
      <c r="G168" s="3" t="s">
        <v>770</v>
      </c>
      <c r="H168" s="6">
        <v>0</v>
      </c>
      <c r="I168" s="41">
        <f>VLOOKUP(Tabla1[[#This Row],[PAGO DIA]],DIAS!A:B,2,0)</f>
        <v>46080</v>
      </c>
      <c r="J168" s="6">
        <v>0</v>
      </c>
      <c r="K168" s="43">
        <f>VLOOKUP(Tabla1[[#This Row],[PAGO DIA]],DIAS!A:C,3,0)</f>
        <v>46112</v>
      </c>
      <c r="L168" s="6">
        <v>0</v>
      </c>
      <c r="M168" s="41">
        <f>VLOOKUP(Tabla1[[#This Row],[PAGO DIA]],DIAS!A:D,4,0)</f>
        <v>46142</v>
      </c>
      <c r="N168" s="6">
        <v>0</v>
      </c>
      <c r="O168" s="43">
        <f>VLOOKUP(Tabla1[[#This Row],[PAGO DIA]],DIAS!A:E,5,0)</f>
        <v>46171</v>
      </c>
      <c r="P168" s="6">
        <v>0</v>
      </c>
      <c r="Q168" s="43">
        <f>VLOOKUP(Tabla1[[#This Row],[PAGO DIA]],DIAS!A:F,6,0)</f>
        <v>46203</v>
      </c>
      <c r="R168" s="6">
        <v>0</v>
      </c>
      <c r="S168" s="43">
        <f>VLOOKUP(Tabla1[[#This Row],[PAGO DIA]],DIAS!A:G,7,0)</f>
        <v>46234</v>
      </c>
      <c r="T168" s="6">
        <v>0</v>
      </c>
      <c r="U168" s="43">
        <f>VLOOKUP(Tabla1[[#This Row],[PAGO DIA]],DIAS!A:H,8,0)</f>
        <v>46265</v>
      </c>
      <c r="V168" s="6">
        <v>0</v>
      </c>
      <c r="W168" s="43">
        <f>VLOOKUP(Tabla1[[#This Row],[PAGO DIA]],DIAS!A:I,9,0)</f>
        <v>46295</v>
      </c>
      <c r="X168" s="6">
        <v>0</v>
      </c>
      <c r="Y168" s="43">
        <f>VLOOKUP(Tabla1[[#This Row],[PAGO DIA]],DIAS!A:J,10,0)</f>
        <v>46325</v>
      </c>
      <c r="Z168" s="6">
        <v>0</v>
      </c>
      <c r="AA168" s="43">
        <f>VLOOKUP(Tabla1[[#This Row],[PAGO DIA]],DIAS!A:K,11,0)</f>
        <v>46356</v>
      </c>
      <c r="AB168" s="6">
        <v>0</v>
      </c>
      <c r="AC168" s="43">
        <f>VLOOKUP(Tabla1[[#This Row],[PAGO DIA]],DIAS!A:M,12,0)</f>
        <v>46386</v>
      </c>
      <c r="AD1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" spans="1:30">
      <c r="A169" s="3">
        <v>11641</v>
      </c>
      <c r="B169" s="3" t="s">
        <v>628</v>
      </c>
      <c r="C169" s="3" t="s">
        <v>540</v>
      </c>
      <c r="D169" s="3" t="s">
        <v>540</v>
      </c>
      <c r="E169" s="3" t="s">
        <v>581</v>
      </c>
      <c r="F169" s="42" t="s">
        <v>631</v>
      </c>
      <c r="G169" s="3" t="s">
        <v>771</v>
      </c>
      <c r="H169" s="6">
        <v>0</v>
      </c>
      <c r="I169" s="41">
        <f>VLOOKUP(Tabla1[[#This Row],[PAGO DIA]],DIAS!A:B,2,0)</f>
        <v>46080</v>
      </c>
      <c r="J169" s="6">
        <v>0</v>
      </c>
      <c r="K169" s="43">
        <f>VLOOKUP(Tabla1[[#This Row],[PAGO DIA]],DIAS!A:C,3,0)</f>
        <v>46112</v>
      </c>
      <c r="L169" s="6">
        <v>0</v>
      </c>
      <c r="M169" s="41">
        <f>VLOOKUP(Tabla1[[#This Row],[PAGO DIA]],DIAS!A:D,4,0)</f>
        <v>46142</v>
      </c>
      <c r="N169" s="6">
        <v>0</v>
      </c>
      <c r="O169" s="43">
        <f>VLOOKUP(Tabla1[[#This Row],[PAGO DIA]],DIAS!A:E,5,0)</f>
        <v>46171</v>
      </c>
      <c r="P169" s="6">
        <v>0</v>
      </c>
      <c r="Q169" s="43">
        <f>VLOOKUP(Tabla1[[#This Row],[PAGO DIA]],DIAS!A:F,6,0)</f>
        <v>46203</v>
      </c>
      <c r="R169" s="6">
        <v>0</v>
      </c>
      <c r="S169" s="43">
        <f>VLOOKUP(Tabla1[[#This Row],[PAGO DIA]],DIAS!A:G,7,0)</f>
        <v>46234</v>
      </c>
      <c r="T169" s="6">
        <v>0</v>
      </c>
      <c r="U169" s="43">
        <f>VLOOKUP(Tabla1[[#This Row],[PAGO DIA]],DIAS!A:H,8,0)</f>
        <v>46265</v>
      </c>
      <c r="V169" s="6">
        <v>0</v>
      </c>
      <c r="W169" s="43">
        <f>VLOOKUP(Tabla1[[#This Row],[PAGO DIA]],DIAS!A:I,9,0)</f>
        <v>46295</v>
      </c>
      <c r="X169" s="6">
        <v>0</v>
      </c>
      <c r="Y169" s="43">
        <f>VLOOKUP(Tabla1[[#This Row],[PAGO DIA]],DIAS!A:J,10,0)</f>
        <v>46325</v>
      </c>
      <c r="Z169" s="6">
        <v>0</v>
      </c>
      <c r="AA169" s="43">
        <f>VLOOKUP(Tabla1[[#This Row],[PAGO DIA]],DIAS!A:K,11,0)</f>
        <v>46356</v>
      </c>
      <c r="AB169" s="6">
        <v>0</v>
      </c>
      <c r="AC169" s="43">
        <f>VLOOKUP(Tabla1[[#This Row],[PAGO DIA]],DIAS!A:M,12,0)</f>
        <v>46386</v>
      </c>
      <c r="AD1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" spans="1:30">
      <c r="A170" s="3">
        <v>11642</v>
      </c>
      <c r="B170" s="3" t="s">
        <v>628</v>
      </c>
      <c r="C170" s="3" t="s">
        <v>540</v>
      </c>
      <c r="D170" s="3" t="s">
        <v>540</v>
      </c>
      <c r="E170" s="3" t="s">
        <v>581</v>
      </c>
      <c r="F170" s="42" t="s">
        <v>631</v>
      </c>
      <c r="G170" s="3" t="s">
        <v>772</v>
      </c>
      <c r="H170" s="6">
        <v>0</v>
      </c>
      <c r="I170" s="41">
        <f>VLOOKUP(Tabla1[[#This Row],[PAGO DIA]],DIAS!A:B,2,0)</f>
        <v>46080</v>
      </c>
      <c r="J170" s="6">
        <v>0</v>
      </c>
      <c r="K170" s="43">
        <f>VLOOKUP(Tabla1[[#This Row],[PAGO DIA]],DIAS!A:C,3,0)</f>
        <v>46112</v>
      </c>
      <c r="L170" s="6">
        <v>0</v>
      </c>
      <c r="M170" s="41">
        <f>VLOOKUP(Tabla1[[#This Row],[PAGO DIA]],DIAS!A:D,4,0)</f>
        <v>46142</v>
      </c>
      <c r="N170" s="6">
        <v>0</v>
      </c>
      <c r="O170" s="43">
        <f>VLOOKUP(Tabla1[[#This Row],[PAGO DIA]],DIAS!A:E,5,0)</f>
        <v>46171</v>
      </c>
      <c r="P170" s="6">
        <v>0</v>
      </c>
      <c r="Q170" s="43">
        <f>VLOOKUP(Tabla1[[#This Row],[PAGO DIA]],DIAS!A:F,6,0)</f>
        <v>46203</v>
      </c>
      <c r="R170" s="6">
        <v>0</v>
      </c>
      <c r="S170" s="43">
        <f>VLOOKUP(Tabla1[[#This Row],[PAGO DIA]],DIAS!A:G,7,0)</f>
        <v>46234</v>
      </c>
      <c r="T170" s="6">
        <v>0</v>
      </c>
      <c r="U170" s="43">
        <f>VLOOKUP(Tabla1[[#This Row],[PAGO DIA]],DIAS!A:H,8,0)</f>
        <v>46265</v>
      </c>
      <c r="V170" s="6">
        <v>0</v>
      </c>
      <c r="W170" s="43">
        <f>VLOOKUP(Tabla1[[#This Row],[PAGO DIA]],DIAS!A:I,9,0)</f>
        <v>46295</v>
      </c>
      <c r="X170" s="6">
        <v>0</v>
      </c>
      <c r="Y170" s="43">
        <f>VLOOKUP(Tabla1[[#This Row],[PAGO DIA]],DIAS!A:J,10,0)</f>
        <v>46325</v>
      </c>
      <c r="Z170" s="6">
        <v>0</v>
      </c>
      <c r="AA170" s="43">
        <f>VLOOKUP(Tabla1[[#This Row],[PAGO DIA]],DIAS!A:K,11,0)</f>
        <v>46356</v>
      </c>
      <c r="AB170" s="6">
        <v>0</v>
      </c>
      <c r="AC170" s="43">
        <f>VLOOKUP(Tabla1[[#This Row],[PAGO DIA]],DIAS!A:M,12,0)</f>
        <v>46386</v>
      </c>
      <c r="AD1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" spans="1:30">
      <c r="A171" s="3">
        <v>11643</v>
      </c>
      <c r="B171" s="3" t="s">
        <v>628</v>
      </c>
      <c r="C171" s="3" t="s">
        <v>540</v>
      </c>
      <c r="D171" s="3" t="s">
        <v>540</v>
      </c>
      <c r="E171" s="3" t="s">
        <v>581</v>
      </c>
      <c r="F171" s="42" t="s">
        <v>631</v>
      </c>
      <c r="G171" s="3" t="s">
        <v>773</v>
      </c>
      <c r="H171" s="6">
        <v>0</v>
      </c>
      <c r="I171" s="41">
        <f>VLOOKUP(Tabla1[[#This Row],[PAGO DIA]],DIAS!A:B,2,0)</f>
        <v>46080</v>
      </c>
      <c r="J171" s="6">
        <v>0</v>
      </c>
      <c r="K171" s="43">
        <f>VLOOKUP(Tabla1[[#This Row],[PAGO DIA]],DIAS!A:C,3,0)</f>
        <v>46112</v>
      </c>
      <c r="L171" s="6">
        <v>0</v>
      </c>
      <c r="M171" s="41">
        <f>VLOOKUP(Tabla1[[#This Row],[PAGO DIA]],DIAS!A:D,4,0)</f>
        <v>46142</v>
      </c>
      <c r="N171" s="6">
        <v>0</v>
      </c>
      <c r="O171" s="43">
        <f>VLOOKUP(Tabla1[[#This Row],[PAGO DIA]],DIAS!A:E,5,0)</f>
        <v>46171</v>
      </c>
      <c r="P171" s="6">
        <v>0</v>
      </c>
      <c r="Q171" s="43">
        <f>VLOOKUP(Tabla1[[#This Row],[PAGO DIA]],DIAS!A:F,6,0)</f>
        <v>46203</v>
      </c>
      <c r="R171" s="6">
        <v>0</v>
      </c>
      <c r="S171" s="43">
        <f>VLOOKUP(Tabla1[[#This Row],[PAGO DIA]],DIAS!A:G,7,0)</f>
        <v>46234</v>
      </c>
      <c r="T171" s="6">
        <v>0</v>
      </c>
      <c r="U171" s="43">
        <f>VLOOKUP(Tabla1[[#This Row],[PAGO DIA]],DIAS!A:H,8,0)</f>
        <v>46265</v>
      </c>
      <c r="V171" s="6">
        <v>0</v>
      </c>
      <c r="W171" s="43">
        <f>VLOOKUP(Tabla1[[#This Row],[PAGO DIA]],DIAS!A:I,9,0)</f>
        <v>46295</v>
      </c>
      <c r="X171" s="6">
        <v>0</v>
      </c>
      <c r="Y171" s="43">
        <f>VLOOKUP(Tabla1[[#This Row],[PAGO DIA]],DIAS!A:J,10,0)</f>
        <v>46325</v>
      </c>
      <c r="Z171" s="6">
        <v>0</v>
      </c>
      <c r="AA171" s="43">
        <f>VLOOKUP(Tabla1[[#This Row],[PAGO DIA]],DIAS!A:K,11,0)</f>
        <v>46356</v>
      </c>
      <c r="AB171" s="6">
        <v>0</v>
      </c>
      <c r="AC171" s="43">
        <f>VLOOKUP(Tabla1[[#This Row],[PAGO DIA]],DIAS!A:M,12,0)</f>
        <v>46386</v>
      </c>
      <c r="AD1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" spans="1:30">
      <c r="A172" s="3">
        <v>11644</v>
      </c>
      <c r="B172" s="3" t="s">
        <v>628</v>
      </c>
      <c r="C172" s="3" t="s">
        <v>540</v>
      </c>
      <c r="D172" s="3" t="s">
        <v>540</v>
      </c>
      <c r="E172" s="3" t="s">
        <v>581</v>
      </c>
      <c r="F172" s="42" t="s">
        <v>631</v>
      </c>
      <c r="G172" s="3" t="s">
        <v>774</v>
      </c>
      <c r="H172" s="6">
        <v>0</v>
      </c>
      <c r="I172" s="41">
        <f>VLOOKUP(Tabla1[[#This Row],[PAGO DIA]],DIAS!A:B,2,0)</f>
        <v>46080</v>
      </c>
      <c r="J172" s="6">
        <v>0</v>
      </c>
      <c r="K172" s="43">
        <f>VLOOKUP(Tabla1[[#This Row],[PAGO DIA]],DIAS!A:C,3,0)</f>
        <v>46112</v>
      </c>
      <c r="L172" s="6">
        <v>0</v>
      </c>
      <c r="M172" s="41">
        <f>VLOOKUP(Tabla1[[#This Row],[PAGO DIA]],DIAS!A:D,4,0)</f>
        <v>46142</v>
      </c>
      <c r="N172" s="6">
        <v>0</v>
      </c>
      <c r="O172" s="43">
        <f>VLOOKUP(Tabla1[[#This Row],[PAGO DIA]],DIAS!A:E,5,0)</f>
        <v>46171</v>
      </c>
      <c r="P172" s="6">
        <v>0</v>
      </c>
      <c r="Q172" s="43">
        <f>VLOOKUP(Tabla1[[#This Row],[PAGO DIA]],DIAS!A:F,6,0)</f>
        <v>46203</v>
      </c>
      <c r="R172" s="6">
        <v>0</v>
      </c>
      <c r="S172" s="43">
        <f>VLOOKUP(Tabla1[[#This Row],[PAGO DIA]],DIAS!A:G,7,0)</f>
        <v>46234</v>
      </c>
      <c r="T172" s="6">
        <v>0</v>
      </c>
      <c r="U172" s="43">
        <f>VLOOKUP(Tabla1[[#This Row],[PAGO DIA]],DIAS!A:H,8,0)</f>
        <v>46265</v>
      </c>
      <c r="V172" s="6">
        <v>0</v>
      </c>
      <c r="W172" s="43">
        <f>VLOOKUP(Tabla1[[#This Row],[PAGO DIA]],DIAS!A:I,9,0)</f>
        <v>46295</v>
      </c>
      <c r="X172" s="6">
        <v>0</v>
      </c>
      <c r="Y172" s="43">
        <f>VLOOKUP(Tabla1[[#This Row],[PAGO DIA]],DIAS!A:J,10,0)</f>
        <v>46325</v>
      </c>
      <c r="Z172" s="6">
        <v>0</v>
      </c>
      <c r="AA172" s="43">
        <f>VLOOKUP(Tabla1[[#This Row],[PAGO DIA]],DIAS!A:K,11,0)</f>
        <v>46356</v>
      </c>
      <c r="AB172" s="6">
        <v>0</v>
      </c>
      <c r="AC172" s="43">
        <f>VLOOKUP(Tabla1[[#This Row],[PAGO DIA]],DIAS!A:M,12,0)</f>
        <v>46386</v>
      </c>
      <c r="AD1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" spans="1:30">
      <c r="A173" s="3">
        <v>11650</v>
      </c>
      <c r="B173" s="3" t="s">
        <v>628</v>
      </c>
      <c r="C173" s="3" t="s">
        <v>540</v>
      </c>
      <c r="D173" s="3" t="s">
        <v>540</v>
      </c>
      <c r="E173" s="3" t="s">
        <v>775</v>
      </c>
      <c r="F173" s="42" t="s">
        <v>631</v>
      </c>
      <c r="G173" s="3" t="s">
        <v>776</v>
      </c>
      <c r="H173" s="6">
        <v>0</v>
      </c>
      <c r="I173" s="41">
        <f>VLOOKUP(Tabla1[[#This Row],[PAGO DIA]],DIAS!A:B,2,0)</f>
        <v>46080</v>
      </c>
      <c r="J173" s="6">
        <v>0</v>
      </c>
      <c r="K173" s="43">
        <f>VLOOKUP(Tabla1[[#This Row],[PAGO DIA]],DIAS!A:C,3,0)</f>
        <v>46112</v>
      </c>
      <c r="L173" s="6">
        <v>0</v>
      </c>
      <c r="M173" s="41">
        <f>VLOOKUP(Tabla1[[#This Row],[PAGO DIA]],DIAS!A:D,4,0)</f>
        <v>46142</v>
      </c>
      <c r="N173" s="6">
        <v>0</v>
      </c>
      <c r="O173" s="43">
        <f>VLOOKUP(Tabla1[[#This Row],[PAGO DIA]],DIAS!A:E,5,0)</f>
        <v>46171</v>
      </c>
      <c r="P173" s="6">
        <v>0</v>
      </c>
      <c r="Q173" s="43">
        <f>VLOOKUP(Tabla1[[#This Row],[PAGO DIA]],DIAS!A:F,6,0)</f>
        <v>46203</v>
      </c>
      <c r="R173" s="6">
        <v>0</v>
      </c>
      <c r="S173" s="43">
        <f>VLOOKUP(Tabla1[[#This Row],[PAGO DIA]],DIAS!A:G,7,0)</f>
        <v>46234</v>
      </c>
      <c r="T173" s="6">
        <v>0</v>
      </c>
      <c r="U173" s="43">
        <f>VLOOKUP(Tabla1[[#This Row],[PAGO DIA]],DIAS!A:H,8,0)</f>
        <v>46265</v>
      </c>
      <c r="V173" s="6">
        <v>0</v>
      </c>
      <c r="W173" s="43">
        <f>VLOOKUP(Tabla1[[#This Row],[PAGO DIA]],DIAS!A:I,9,0)</f>
        <v>46295</v>
      </c>
      <c r="X173" s="6">
        <v>0</v>
      </c>
      <c r="Y173" s="43">
        <f>VLOOKUP(Tabla1[[#This Row],[PAGO DIA]],DIAS!A:J,10,0)</f>
        <v>46325</v>
      </c>
      <c r="Z173" s="6">
        <v>0</v>
      </c>
      <c r="AA173" s="43">
        <f>VLOOKUP(Tabla1[[#This Row],[PAGO DIA]],DIAS!A:K,11,0)</f>
        <v>46356</v>
      </c>
      <c r="AB173" s="6">
        <v>0</v>
      </c>
      <c r="AC173" s="43">
        <f>VLOOKUP(Tabla1[[#This Row],[PAGO DIA]],DIAS!A:M,12,0)</f>
        <v>46386</v>
      </c>
      <c r="AD1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" spans="1:30">
      <c r="A174" s="3">
        <v>11651</v>
      </c>
      <c r="B174" s="3" t="s">
        <v>628</v>
      </c>
      <c r="C174" s="3" t="s">
        <v>540</v>
      </c>
      <c r="D174" s="3" t="s">
        <v>540</v>
      </c>
      <c r="E174" s="3" t="s">
        <v>775</v>
      </c>
      <c r="F174" s="42" t="s">
        <v>631</v>
      </c>
      <c r="G174" s="3" t="s">
        <v>777</v>
      </c>
      <c r="H174" s="6">
        <v>0</v>
      </c>
      <c r="I174" s="41">
        <f>VLOOKUP(Tabla1[[#This Row],[PAGO DIA]],DIAS!A:B,2,0)</f>
        <v>46080</v>
      </c>
      <c r="J174" s="6">
        <v>0</v>
      </c>
      <c r="K174" s="43">
        <f>VLOOKUP(Tabla1[[#This Row],[PAGO DIA]],DIAS!A:C,3,0)</f>
        <v>46112</v>
      </c>
      <c r="L174" s="6">
        <v>0</v>
      </c>
      <c r="M174" s="41">
        <f>VLOOKUP(Tabla1[[#This Row],[PAGO DIA]],DIAS!A:D,4,0)</f>
        <v>46142</v>
      </c>
      <c r="N174" s="6">
        <v>0</v>
      </c>
      <c r="O174" s="43">
        <f>VLOOKUP(Tabla1[[#This Row],[PAGO DIA]],DIAS!A:E,5,0)</f>
        <v>46171</v>
      </c>
      <c r="P174" s="6">
        <v>0</v>
      </c>
      <c r="Q174" s="43">
        <f>VLOOKUP(Tabla1[[#This Row],[PAGO DIA]],DIAS!A:F,6,0)</f>
        <v>46203</v>
      </c>
      <c r="R174" s="6">
        <v>0</v>
      </c>
      <c r="S174" s="43">
        <f>VLOOKUP(Tabla1[[#This Row],[PAGO DIA]],DIAS!A:G,7,0)</f>
        <v>46234</v>
      </c>
      <c r="T174" s="6">
        <v>0</v>
      </c>
      <c r="U174" s="43">
        <f>VLOOKUP(Tabla1[[#This Row],[PAGO DIA]],DIAS!A:H,8,0)</f>
        <v>46265</v>
      </c>
      <c r="V174" s="6">
        <v>0</v>
      </c>
      <c r="W174" s="43">
        <f>VLOOKUP(Tabla1[[#This Row],[PAGO DIA]],DIAS!A:I,9,0)</f>
        <v>46295</v>
      </c>
      <c r="X174" s="6">
        <v>0</v>
      </c>
      <c r="Y174" s="43">
        <f>VLOOKUP(Tabla1[[#This Row],[PAGO DIA]],DIAS!A:J,10,0)</f>
        <v>46325</v>
      </c>
      <c r="Z174" s="6">
        <v>0</v>
      </c>
      <c r="AA174" s="43">
        <f>VLOOKUP(Tabla1[[#This Row],[PAGO DIA]],DIAS!A:K,11,0)</f>
        <v>46356</v>
      </c>
      <c r="AB174" s="6">
        <v>0</v>
      </c>
      <c r="AC174" s="43">
        <f>VLOOKUP(Tabla1[[#This Row],[PAGO DIA]],DIAS!A:M,12,0)</f>
        <v>46386</v>
      </c>
      <c r="AD1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" spans="1:30">
      <c r="A175" s="3">
        <v>11653</v>
      </c>
      <c r="B175" s="3" t="s">
        <v>628</v>
      </c>
      <c r="C175" s="3" t="s">
        <v>540</v>
      </c>
      <c r="D175" s="3" t="s">
        <v>540</v>
      </c>
      <c r="E175" s="3" t="s">
        <v>775</v>
      </c>
      <c r="F175" s="42" t="s">
        <v>631</v>
      </c>
      <c r="G175" s="3" t="s">
        <v>778</v>
      </c>
      <c r="H175" s="6">
        <v>0</v>
      </c>
      <c r="I175" s="41">
        <f>VLOOKUP(Tabla1[[#This Row],[PAGO DIA]],DIAS!A:B,2,0)</f>
        <v>46080</v>
      </c>
      <c r="J175" s="6">
        <v>0</v>
      </c>
      <c r="K175" s="43">
        <f>VLOOKUP(Tabla1[[#This Row],[PAGO DIA]],DIAS!A:C,3,0)</f>
        <v>46112</v>
      </c>
      <c r="L175" s="6">
        <v>0</v>
      </c>
      <c r="M175" s="41">
        <f>VLOOKUP(Tabla1[[#This Row],[PAGO DIA]],DIAS!A:D,4,0)</f>
        <v>46142</v>
      </c>
      <c r="N175" s="6">
        <v>0</v>
      </c>
      <c r="O175" s="43">
        <f>VLOOKUP(Tabla1[[#This Row],[PAGO DIA]],DIAS!A:E,5,0)</f>
        <v>46171</v>
      </c>
      <c r="P175" s="6">
        <v>0</v>
      </c>
      <c r="Q175" s="43">
        <f>VLOOKUP(Tabla1[[#This Row],[PAGO DIA]],DIAS!A:F,6,0)</f>
        <v>46203</v>
      </c>
      <c r="R175" s="6">
        <v>0</v>
      </c>
      <c r="S175" s="43">
        <f>VLOOKUP(Tabla1[[#This Row],[PAGO DIA]],DIAS!A:G,7,0)</f>
        <v>46234</v>
      </c>
      <c r="T175" s="6">
        <v>0</v>
      </c>
      <c r="U175" s="43">
        <f>VLOOKUP(Tabla1[[#This Row],[PAGO DIA]],DIAS!A:H,8,0)</f>
        <v>46265</v>
      </c>
      <c r="V175" s="6">
        <v>0</v>
      </c>
      <c r="W175" s="43">
        <f>VLOOKUP(Tabla1[[#This Row],[PAGO DIA]],DIAS!A:I,9,0)</f>
        <v>46295</v>
      </c>
      <c r="X175" s="6">
        <v>0</v>
      </c>
      <c r="Y175" s="43">
        <f>VLOOKUP(Tabla1[[#This Row],[PAGO DIA]],DIAS!A:J,10,0)</f>
        <v>46325</v>
      </c>
      <c r="Z175" s="6">
        <v>0</v>
      </c>
      <c r="AA175" s="43">
        <f>VLOOKUP(Tabla1[[#This Row],[PAGO DIA]],DIAS!A:K,11,0)</f>
        <v>46356</v>
      </c>
      <c r="AB175" s="6">
        <v>0</v>
      </c>
      <c r="AC175" s="43">
        <f>VLOOKUP(Tabla1[[#This Row],[PAGO DIA]],DIAS!A:M,12,0)</f>
        <v>46386</v>
      </c>
      <c r="AD1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" spans="1:30">
      <c r="A176" s="3">
        <v>12065</v>
      </c>
      <c r="B176" s="3" t="s">
        <v>628</v>
      </c>
      <c r="C176" s="3" t="s">
        <v>629</v>
      </c>
      <c r="D176" s="3" t="s">
        <v>629</v>
      </c>
      <c r="E176" s="3" t="s">
        <v>779</v>
      </c>
      <c r="F176" s="42" t="s">
        <v>631</v>
      </c>
      <c r="G176" s="3" t="s">
        <v>635</v>
      </c>
      <c r="H176" s="6">
        <v>0</v>
      </c>
      <c r="I176" s="41">
        <f>VLOOKUP(Tabla1[[#This Row],[PAGO DIA]],DIAS!A:B,2,0)</f>
        <v>46080</v>
      </c>
      <c r="J176" s="6">
        <v>0</v>
      </c>
      <c r="K176" s="43">
        <f>VLOOKUP(Tabla1[[#This Row],[PAGO DIA]],DIAS!A:C,3,0)</f>
        <v>46112</v>
      </c>
      <c r="L176" s="6">
        <v>0</v>
      </c>
      <c r="M176" s="41">
        <f>VLOOKUP(Tabla1[[#This Row],[PAGO DIA]],DIAS!A:D,4,0)</f>
        <v>46142</v>
      </c>
      <c r="N176" s="6">
        <v>0</v>
      </c>
      <c r="O176" s="43">
        <f>VLOOKUP(Tabla1[[#This Row],[PAGO DIA]],DIAS!A:E,5,0)</f>
        <v>46171</v>
      </c>
      <c r="P176" s="6">
        <v>0</v>
      </c>
      <c r="Q176" s="43">
        <f>VLOOKUP(Tabla1[[#This Row],[PAGO DIA]],DIAS!A:F,6,0)</f>
        <v>46203</v>
      </c>
      <c r="R176" s="6">
        <v>0</v>
      </c>
      <c r="S176" s="43">
        <f>VLOOKUP(Tabla1[[#This Row],[PAGO DIA]],DIAS!A:G,7,0)</f>
        <v>46234</v>
      </c>
      <c r="T176" s="6">
        <v>0</v>
      </c>
      <c r="U176" s="43">
        <f>VLOOKUP(Tabla1[[#This Row],[PAGO DIA]],DIAS!A:H,8,0)</f>
        <v>46265</v>
      </c>
      <c r="V176" s="6">
        <v>0</v>
      </c>
      <c r="W176" s="43">
        <f>VLOOKUP(Tabla1[[#This Row],[PAGO DIA]],DIAS!A:I,9,0)</f>
        <v>46295</v>
      </c>
      <c r="X176" s="6">
        <v>0</v>
      </c>
      <c r="Y176" s="43">
        <f>VLOOKUP(Tabla1[[#This Row],[PAGO DIA]],DIAS!A:J,10,0)</f>
        <v>46325</v>
      </c>
      <c r="Z176" s="6">
        <v>0</v>
      </c>
      <c r="AA176" s="43">
        <f>VLOOKUP(Tabla1[[#This Row],[PAGO DIA]],DIAS!A:K,11,0)</f>
        <v>46356</v>
      </c>
      <c r="AB176" s="6">
        <v>0</v>
      </c>
      <c r="AC176" s="43">
        <f>VLOOKUP(Tabla1[[#This Row],[PAGO DIA]],DIAS!A:M,12,0)</f>
        <v>46386</v>
      </c>
      <c r="AD1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" spans="1:30">
      <c r="A177" s="3">
        <v>12525</v>
      </c>
      <c r="B177" s="3" t="s">
        <v>628</v>
      </c>
      <c r="C177" s="3" t="s">
        <v>629</v>
      </c>
      <c r="D177" s="3" t="s">
        <v>540</v>
      </c>
      <c r="E177" s="3" t="s">
        <v>780</v>
      </c>
      <c r="F177" s="42" t="s">
        <v>631</v>
      </c>
      <c r="G177" s="3" t="s">
        <v>781</v>
      </c>
      <c r="H177" s="6">
        <v>0</v>
      </c>
      <c r="I177" s="41">
        <f>VLOOKUP(Tabla1[[#This Row],[PAGO DIA]],DIAS!A:B,2,0)</f>
        <v>46080</v>
      </c>
      <c r="J177" s="6">
        <v>0</v>
      </c>
      <c r="K177" s="43">
        <f>VLOOKUP(Tabla1[[#This Row],[PAGO DIA]],DIAS!A:C,3,0)</f>
        <v>46112</v>
      </c>
      <c r="L177" s="6">
        <v>0</v>
      </c>
      <c r="M177" s="41">
        <f>VLOOKUP(Tabla1[[#This Row],[PAGO DIA]],DIAS!A:D,4,0)</f>
        <v>46142</v>
      </c>
      <c r="N177" s="6">
        <v>0</v>
      </c>
      <c r="O177" s="43">
        <f>VLOOKUP(Tabla1[[#This Row],[PAGO DIA]],DIAS!A:E,5,0)</f>
        <v>46171</v>
      </c>
      <c r="P177" s="6">
        <v>0</v>
      </c>
      <c r="Q177" s="43">
        <f>VLOOKUP(Tabla1[[#This Row],[PAGO DIA]],DIAS!A:F,6,0)</f>
        <v>46203</v>
      </c>
      <c r="R177" s="6">
        <v>0</v>
      </c>
      <c r="S177" s="43">
        <f>VLOOKUP(Tabla1[[#This Row],[PAGO DIA]],DIAS!A:G,7,0)</f>
        <v>46234</v>
      </c>
      <c r="T177" s="6">
        <v>0</v>
      </c>
      <c r="U177" s="43">
        <f>VLOOKUP(Tabla1[[#This Row],[PAGO DIA]],DIAS!A:H,8,0)</f>
        <v>46265</v>
      </c>
      <c r="V177" s="6">
        <v>0</v>
      </c>
      <c r="W177" s="43">
        <f>VLOOKUP(Tabla1[[#This Row],[PAGO DIA]],DIAS!A:I,9,0)</f>
        <v>46295</v>
      </c>
      <c r="X177" s="6">
        <v>0</v>
      </c>
      <c r="Y177" s="43">
        <f>VLOOKUP(Tabla1[[#This Row],[PAGO DIA]],DIAS!A:J,10,0)</f>
        <v>46325</v>
      </c>
      <c r="Z177" s="6">
        <v>0</v>
      </c>
      <c r="AA177" s="43">
        <f>VLOOKUP(Tabla1[[#This Row],[PAGO DIA]],DIAS!A:K,11,0)</f>
        <v>46356</v>
      </c>
      <c r="AB177" s="6">
        <v>0</v>
      </c>
      <c r="AC177" s="43">
        <f>VLOOKUP(Tabla1[[#This Row],[PAGO DIA]],DIAS!A:M,12,0)</f>
        <v>46386</v>
      </c>
      <c r="AD1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" spans="1:30">
      <c r="A178" s="3">
        <v>12095</v>
      </c>
      <c r="B178" s="3" t="s">
        <v>628</v>
      </c>
      <c r="C178" s="3" t="s">
        <v>629</v>
      </c>
      <c r="D178" s="3" t="s">
        <v>629</v>
      </c>
      <c r="E178" s="3" t="s">
        <v>782</v>
      </c>
      <c r="F178" s="42" t="s">
        <v>631</v>
      </c>
      <c r="G178" s="3" t="s">
        <v>635</v>
      </c>
      <c r="H178" s="6">
        <v>0</v>
      </c>
      <c r="I178" s="41">
        <f>VLOOKUP(Tabla1[[#This Row],[PAGO DIA]],DIAS!A:B,2,0)</f>
        <v>46080</v>
      </c>
      <c r="J178" s="6">
        <v>0</v>
      </c>
      <c r="K178" s="43">
        <f>VLOOKUP(Tabla1[[#This Row],[PAGO DIA]],DIAS!A:C,3,0)</f>
        <v>46112</v>
      </c>
      <c r="L178" s="6">
        <v>0</v>
      </c>
      <c r="M178" s="41">
        <f>VLOOKUP(Tabla1[[#This Row],[PAGO DIA]],DIAS!A:D,4,0)</f>
        <v>46142</v>
      </c>
      <c r="N178" s="6">
        <v>0</v>
      </c>
      <c r="O178" s="43">
        <f>VLOOKUP(Tabla1[[#This Row],[PAGO DIA]],DIAS!A:E,5,0)</f>
        <v>46171</v>
      </c>
      <c r="P178" s="6">
        <v>0</v>
      </c>
      <c r="Q178" s="43">
        <f>VLOOKUP(Tabla1[[#This Row],[PAGO DIA]],DIAS!A:F,6,0)</f>
        <v>46203</v>
      </c>
      <c r="R178" s="6">
        <v>0</v>
      </c>
      <c r="S178" s="43">
        <f>VLOOKUP(Tabla1[[#This Row],[PAGO DIA]],DIAS!A:G,7,0)</f>
        <v>46234</v>
      </c>
      <c r="T178" s="6">
        <v>0</v>
      </c>
      <c r="U178" s="43">
        <f>VLOOKUP(Tabla1[[#This Row],[PAGO DIA]],DIAS!A:H,8,0)</f>
        <v>46265</v>
      </c>
      <c r="V178" s="6">
        <v>0</v>
      </c>
      <c r="W178" s="43">
        <f>VLOOKUP(Tabla1[[#This Row],[PAGO DIA]],DIAS!A:I,9,0)</f>
        <v>46295</v>
      </c>
      <c r="X178" s="6">
        <v>0</v>
      </c>
      <c r="Y178" s="43">
        <f>VLOOKUP(Tabla1[[#This Row],[PAGO DIA]],DIAS!A:J,10,0)</f>
        <v>46325</v>
      </c>
      <c r="Z178" s="6">
        <v>0</v>
      </c>
      <c r="AA178" s="43">
        <f>VLOOKUP(Tabla1[[#This Row],[PAGO DIA]],DIAS!A:K,11,0)</f>
        <v>46356</v>
      </c>
      <c r="AB178" s="6">
        <v>0</v>
      </c>
      <c r="AC178" s="43">
        <f>VLOOKUP(Tabla1[[#This Row],[PAGO DIA]],DIAS!A:M,12,0)</f>
        <v>46386</v>
      </c>
      <c r="AD1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" spans="1:30">
      <c r="A179" s="3">
        <v>12580</v>
      </c>
      <c r="B179" s="3" t="s">
        <v>628</v>
      </c>
      <c r="C179" s="3" t="s">
        <v>629</v>
      </c>
      <c r="D179" s="3" t="s">
        <v>540</v>
      </c>
      <c r="E179" s="3" t="s">
        <v>783</v>
      </c>
      <c r="F179" s="42" t="s">
        <v>631</v>
      </c>
      <c r="G179" s="3" t="s">
        <v>784</v>
      </c>
      <c r="H179" s="6">
        <v>0</v>
      </c>
      <c r="I179" s="41">
        <f>VLOOKUP(Tabla1[[#This Row],[PAGO DIA]],DIAS!A:B,2,0)</f>
        <v>46080</v>
      </c>
      <c r="J179" s="6">
        <v>0</v>
      </c>
      <c r="K179" s="43">
        <f>VLOOKUP(Tabla1[[#This Row],[PAGO DIA]],DIAS!A:C,3,0)</f>
        <v>46112</v>
      </c>
      <c r="L179" s="6">
        <v>0</v>
      </c>
      <c r="M179" s="41">
        <f>VLOOKUP(Tabla1[[#This Row],[PAGO DIA]],DIAS!A:D,4,0)</f>
        <v>46142</v>
      </c>
      <c r="N179" s="6">
        <v>0</v>
      </c>
      <c r="O179" s="43">
        <f>VLOOKUP(Tabla1[[#This Row],[PAGO DIA]],DIAS!A:E,5,0)</f>
        <v>46171</v>
      </c>
      <c r="P179" s="6">
        <v>0</v>
      </c>
      <c r="Q179" s="43">
        <f>VLOOKUP(Tabla1[[#This Row],[PAGO DIA]],DIAS!A:F,6,0)</f>
        <v>46203</v>
      </c>
      <c r="R179" s="6">
        <v>0</v>
      </c>
      <c r="S179" s="43">
        <f>VLOOKUP(Tabla1[[#This Row],[PAGO DIA]],DIAS!A:G,7,0)</f>
        <v>46234</v>
      </c>
      <c r="T179" s="6">
        <v>0</v>
      </c>
      <c r="U179" s="43">
        <f>VLOOKUP(Tabla1[[#This Row],[PAGO DIA]],DIAS!A:H,8,0)</f>
        <v>46265</v>
      </c>
      <c r="V179" s="6">
        <v>0</v>
      </c>
      <c r="W179" s="43">
        <f>VLOOKUP(Tabla1[[#This Row],[PAGO DIA]],DIAS!A:I,9,0)</f>
        <v>46295</v>
      </c>
      <c r="X179" s="6">
        <v>0</v>
      </c>
      <c r="Y179" s="43">
        <f>VLOOKUP(Tabla1[[#This Row],[PAGO DIA]],DIAS!A:J,10,0)</f>
        <v>46325</v>
      </c>
      <c r="Z179" s="6">
        <v>0</v>
      </c>
      <c r="AA179" s="43">
        <f>VLOOKUP(Tabla1[[#This Row],[PAGO DIA]],DIAS!A:K,11,0)</f>
        <v>46356</v>
      </c>
      <c r="AB179" s="6">
        <v>0</v>
      </c>
      <c r="AC179" s="43">
        <f>VLOOKUP(Tabla1[[#This Row],[PAGO DIA]],DIAS!A:M,12,0)</f>
        <v>46386</v>
      </c>
      <c r="AD1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" spans="1:30">
      <c r="A180" s="3">
        <v>12600</v>
      </c>
      <c r="B180" s="3" t="s">
        <v>628</v>
      </c>
      <c r="C180" s="3" t="s">
        <v>629</v>
      </c>
      <c r="D180" s="3" t="s">
        <v>540</v>
      </c>
      <c r="E180" s="3" t="s">
        <v>783</v>
      </c>
      <c r="F180" s="42" t="s">
        <v>631</v>
      </c>
      <c r="G180" s="3" t="s">
        <v>785</v>
      </c>
      <c r="H180" s="6">
        <v>0</v>
      </c>
      <c r="I180" s="41">
        <f>VLOOKUP(Tabla1[[#This Row],[PAGO DIA]],DIAS!A:B,2,0)</f>
        <v>46080</v>
      </c>
      <c r="J180" s="6">
        <v>0</v>
      </c>
      <c r="K180" s="43">
        <f>VLOOKUP(Tabla1[[#This Row],[PAGO DIA]],DIAS!A:C,3,0)</f>
        <v>46112</v>
      </c>
      <c r="L180" s="6">
        <v>0</v>
      </c>
      <c r="M180" s="41">
        <f>VLOOKUP(Tabla1[[#This Row],[PAGO DIA]],DIAS!A:D,4,0)</f>
        <v>46142</v>
      </c>
      <c r="N180" s="6">
        <v>0</v>
      </c>
      <c r="O180" s="43">
        <f>VLOOKUP(Tabla1[[#This Row],[PAGO DIA]],DIAS!A:E,5,0)</f>
        <v>46171</v>
      </c>
      <c r="P180" s="6">
        <v>0</v>
      </c>
      <c r="Q180" s="43">
        <f>VLOOKUP(Tabla1[[#This Row],[PAGO DIA]],DIAS!A:F,6,0)</f>
        <v>46203</v>
      </c>
      <c r="R180" s="6">
        <v>0</v>
      </c>
      <c r="S180" s="43">
        <f>VLOOKUP(Tabla1[[#This Row],[PAGO DIA]],DIAS!A:G,7,0)</f>
        <v>46234</v>
      </c>
      <c r="T180" s="6">
        <v>0</v>
      </c>
      <c r="U180" s="43">
        <f>VLOOKUP(Tabla1[[#This Row],[PAGO DIA]],DIAS!A:H,8,0)</f>
        <v>46265</v>
      </c>
      <c r="V180" s="6">
        <v>0</v>
      </c>
      <c r="W180" s="43">
        <f>VLOOKUP(Tabla1[[#This Row],[PAGO DIA]],DIAS!A:I,9,0)</f>
        <v>46295</v>
      </c>
      <c r="X180" s="6">
        <v>0</v>
      </c>
      <c r="Y180" s="43">
        <f>VLOOKUP(Tabla1[[#This Row],[PAGO DIA]],DIAS!A:J,10,0)</f>
        <v>46325</v>
      </c>
      <c r="Z180" s="6">
        <v>0</v>
      </c>
      <c r="AA180" s="43">
        <f>VLOOKUP(Tabla1[[#This Row],[PAGO DIA]],DIAS!A:K,11,0)</f>
        <v>46356</v>
      </c>
      <c r="AB180" s="6">
        <v>0</v>
      </c>
      <c r="AC180" s="43">
        <f>VLOOKUP(Tabla1[[#This Row],[PAGO DIA]],DIAS!A:M,12,0)</f>
        <v>46386</v>
      </c>
      <c r="AD1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" spans="1:30">
      <c r="A181" s="3">
        <v>12802</v>
      </c>
      <c r="B181" s="3" t="s">
        <v>628</v>
      </c>
      <c r="C181" s="3" t="s">
        <v>629</v>
      </c>
      <c r="D181" s="3" t="s">
        <v>540</v>
      </c>
      <c r="E181" s="3" t="s">
        <v>783</v>
      </c>
      <c r="F181" s="42" t="s">
        <v>631</v>
      </c>
      <c r="G181" s="3" t="s">
        <v>786</v>
      </c>
      <c r="H181" s="6">
        <v>0</v>
      </c>
      <c r="I181" s="41">
        <f>VLOOKUP(Tabla1[[#This Row],[PAGO DIA]],DIAS!A:B,2,0)</f>
        <v>46080</v>
      </c>
      <c r="J181" s="6">
        <v>0</v>
      </c>
      <c r="K181" s="43">
        <f>VLOOKUP(Tabla1[[#This Row],[PAGO DIA]],DIAS!A:C,3,0)</f>
        <v>46112</v>
      </c>
      <c r="L181" s="6">
        <v>0</v>
      </c>
      <c r="M181" s="41">
        <f>VLOOKUP(Tabla1[[#This Row],[PAGO DIA]],DIAS!A:D,4,0)</f>
        <v>46142</v>
      </c>
      <c r="N181" s="6">
        <v>0</v>
      </c>
      <c r="O181" s="43">
        <f>VLOOKUP(Tabla1[[#This Row],[PAGO DIA]],DIAS!A:E,5,0)</f>
        <v>46171</v>
      </c>
      <c r="P181" s="6">
        <v>0</v>
      </c>
      <c r="Q181" s="43">
        <f>VLOOKUP(Tabla1[[#This Row],[PAGO DIA]],DIAS!A:F,6,0)</f>
        <v>46203</v>
      </c>
      <c r="R181" s="6">
        <v>0</v>
      </c>
      <c r="S181" s="43">
        <f>VLOOKUP(Tabla1[[#This Row],[PAGO DIA]],DIAS!A:G,7,0)</f>
        <v>46234</v>
      </c>
      <c r="T181" s="6">
        <v>0</v>
      </c>
      <c r="U181" s="43">
        <f>VLOOKUP(Tabla1[[#This Row],[PAGO DIA]],DIAS!A:H,8,0)</f>
        <v>46265</v>
      </c>
      <c r="V181" s="6">
        <v>0</v>
      </c>
      <c r="W181" s="43">
        <f>VLOOKUP(Tabla1[[#This Row],[PAGO DIA]],DIAS!A:I,9,0)</f>
        <v>46295</v>
      </c>
      <c r="X181" s="6">
        <v>0</v>
      </c>
      <c r="Y181" s="43">
        <f>VLOOKUP(Tabla1[[#This Row],[PAGO DIA]],DIAS!A:J,10,0)</f>
        <v>46325</v>
      </c>
      <c r="Z181" s="6">
        <v>0</v>
      </c>
      <c r="AA181" s="43">
        <f>VLOOKUP(Tabla1[[#This Row],[PAGO DIA]],DIAS!A:K,11,0)</f>
        <v>46356</v>
      </c>
      <c r="AB181" s="6">
        <v>0</v>
      </c>
      <c r="AC181" s="43">
        <f>VLOOKUP(Tabla1[[#This Row],[PAGO DIA]],DIAS!A:M,12,0)</f>
        <v>46386</v>
      </c>
      <c r="AD1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" spans="1:30">
      <c r="A182" s="3">
        <v>11657</v>
      </c>
      <c r="B182" s="3" t="s">
        <v>628</v>
      </c>
      <c r="C182" s="3" t="s">
        <v>540</v>
      </c>
      <c r="D182" s="3" t="s">
        <v>540</v>
      </c>
      <c r="E182" s="3" t="s">
        <v>787</v>
      </c>
      <c r="F182" s="42" t="s">
        <v>631</v>
      </c>
      <c r="G182" s="3" t="s">
        <v>785</v>
      </c>
      <c r="H182" s="6">
        <v>0</v>
      </c>
      <c r="I182" s="41">
        <f>VLOOKUP(Tabla1[[#This Row],[PAGO DIA]],DIAS!A:B,2,0)</f>
        <v>46080</v>
      </c>
      <c r="J182" s="6">
        <v>0</v>
      </c>
      <c r="K182" s="43">
        <f>VLOOKUP(Tabla1[[#This Row],[PAGO DIA]],DIAS!A:C,3,0)</f>
        <v>46112</v>
      </c>
      <c r="L182" s="6">
        <v>0</v>
      </c>
      <c r="M182" s="41">
        <f>VLOOKUP(Tabla1[[#This Row],[PAGO DIA]],DIAS!A:D,4,0)</f>
        <v>46142</v>
      </c>
      <c r="N182" s="6">
        <v>0</v>
      </c>
      <c r="O182" s="43">
        <f>VLOOKUP(Tabla1[[#This Row],[PAGO DIA]],DIAS!A:E,5,0)</f>
        <v>46171</v>
      </c>
      <c r="P182" s="6">
        <v>0</v>
      </c>
      <c r="Q182" s="43">
        <f>VLOOKUP(Tabla1[[#This Row],[PAGO DIA]],DIAS!A:F,6,0)</f>
        <v>46203</v>
      </c>
      <c r="R182" s="6">
        <v>0</v>
      </c>
      <c r="S182" s="43">
        <f>VLOOKUP(Tabla1[[#This Row],[PAGO DIA]],DIAS!A:G,7,0)</f>
        <v>46234</v>
      </c>
      <c r="T182" s="6">
        <v>0</v>
      </c>
      <c r="U182" s="43">
        <f>VLOOKUP(Tabla1[[#This Row],[PAGO DIA]],DIAS!A:H,8,0)</f>
        <v>46265</v>
      </c>
      <c r="V182" s="6">
        <v>0</v>
      </c>
      <c r="W182" s="43">
        <f>VLOOKUP(Tabla1[[#This Row],[PAGO DIA]],DIAS!A:I,9,0)</f>
        <v>46295</v>
      </c>
      <c r="X182" s="6">
        <v>0</v>
      </c>
      <c r="Y182" s="43">
        <f>VLOOKUP(Tabla1[[#This Row],[PAGO DIA]],DIAS!A:J,10,0)</f>
        <v>46325</v>
      </c>
      <c r="Z182" s="6">
        <v>0</v>
      </c>
      <c r="AA182" s="43">
        <f>VLOOKUP(Tabla1[[#This Row],[PAGO DIA]],DIAS!A:K,11,0)</f>
        <v>46356</v>
      </c>
      <c r="AB182" s="6">
        <v>0</v>
      </c>
      <c r="AC182" s="43">
        <f>VLOOKUP(Tabla1[[#This Row],[PAGO DIA]],DIAS!A:M,12,0)</f>
        <v>46386</v>
      </c>
      <c r="AD1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" spans="1:30">
      <c r="A183" s="3">
        <v>11658</v>
      </c>
      <c r="B183" s="3" t="s">
        <v>628</v>
      </c>
      <c r="C183" s="3" t="s">
        <v>540</v>
      </c>
      <c r="D183" s="3" t="s">
        <v>540</v>
      </c>
      <c r="E183" s="3" t="s">
        <v>787</v>
      </c>
      <c r="F183" s="42" t="s">
        <v>631</v>
      </c>
      <c r="G183" s="3" t="s">
        <v>785</v>
      </c>
      <c r="H183" s="6">
        <v>0</v>
      </c>
      <c r="I183" s="41">
        <f>VLOOKUP(Tabla1[[#This Row],[PAGO DIA]],DIAS!A:B,2,0)</f>
        <v>46080</v>
      </c>
      <c r="J183" s="6">
        <v>0</v>
      </c>
      <c r="K183" s="43">
        <f>VLOOKUP(Tabla1[[#This Row],[PAGO DIA]],DIAS!A:C,3,0)</f>
        <v>46112</v>
      </c>
      <c r="L183" s="6">
        <v>0</v>
      </c>
      <c r="M183" s="41">
        <f>VLOOKUP(Tabla1[[#This Row],[PAGO DIA]],DIAS!A:D,4,0)</f>
        <v>46142</v>
      </c>
      <c r="N183" s="6">
        <v>0</v>
      </c>
      <c r="O183" s="43">
        <f>VLOOKUP(Tabla1[[#This Row],[PAGO DIA]],DIAS!A:E,5,0)</f>
        <v>46171</v>
      </c>
      <c r="P183" s="6">
        <v>0</v>
      </c>
      <c r="Q183" s="43">
        <f>VLOOKUP(Tabla1[[#This Row],[PAGO DIA]],DIAS!A:F,6,0)</f>
        <v>46203</v>
      </c>
      <c r="R183" s="6">
        <v>0</v>
      </c>
      <c r="S183" s="43">
        <f>VLOOKUP(Tabla1[[#This Row],[PAGO DIA]],DIAS!A:G,7,0)</f>
        <v>46234</v>
      </c>
      <c r="T183" s="6">
        <v>0</v>
      </c>
      <c r="U183" s="43">
        <f>VLOOKUP(Tabla1[[#This Row],[PAGO DIA]],DIAS!A:H,8,0)</f>
        <v>46265</v>
      </c>
      <c r="V183" s="6">
        <v>0</v>
      </c>
      <c r="W183" s="43">
        <f>VLOOKUP(Tabla1[[#This Row],[PAGO DIA]],DIAS!A:I,9,0)</f>
        <v>46295</v>
      </c>
      <c r="X183" s="6">
        <v>0</v>
      </c>
      <c r="Y183" s="43">
        <f>VLOOKUP(Tabla1[[#This Row],[PAGO DIA]],DIAS!A:J,10,0)</f>
        <v>46325</v>
      </c>
      <c r="Z183" s="6">
        <v>0</v>
      </c>
      <c r="AA183" s="43">
        <f>VLOOKUP(Tabla1[[#This Row],[PAGO DIA]],DIAS!A:K,11,0)</f>
        <v>46356</v>
      </c>
      <c r="AB183" s="6">
        <v>0</v>
      </c>
      <c r="AC183" s="43">
        <f>VLOOKUP(Tabla1[[#This Row],[PAGO DIA]],DIAS!A:M,12,0)</f>
        <v>46386</v>
      </c>
      <c r="AD1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4" spans="1:30">
      <c r="A184" s="3">
        <v>12040</v>
      </c>
      <c r="B184" s="3" t="s">
        <v>628</v>
      </c>
      <c r="C184" s="3" t="s">
        <v>629</v>
      </c>
      <c r="D184" s="3" t="s">
        <v>629</v>
      </c>
      <c r="E184" s="3" t="s">
        <v>788</v>
      </c>
      <c r="F184" s="42" t="s">
        <v>631</v>
      </c>
      <c r="G184" s="3" t="s">
        <v>635</v>
      </c>
      <c r="H184" s="6">
        <v>0</v>
      </c>
      <c r="I184" s="41">
        <f>VLOOKUP(Tabla1[[#This Row],[PAGO DIA]],DIAS!A:B,2,0)</f>
        <v>46080</v>
      </c>
      <c r="J184" s="6">
        <v>0</v>
      </c>
      <c r="K184" s="43">
        <f>VLOOKUP(Tabla1[[#This Row],[PAGO DIA]],DIAS!A:C,3,0)</f>
        <v>46112</v>
      </c>
      <c r="L184" s="6">
        <v>0</v>
      </c>
      <c r="M184" s="41">
        <f>VLOOKUP(Tabla1[[#This Row],[PAGO DIA]],DIAS!A:D,4,0)</f>
        <v>46142</v>
      </c>
      <c r="N184" s="6">
        <v>0</v>
      </c>
      <c r="O184" s="43">
        <f>VLOOKUP(Tabla1[[#This Row],[PAGO DIA]],DIAS!A:E,5,0)</f>
        <v>46171</v>
      </c>
      <c r="P184" s="6">
        <v>0</v>
      </c>
      <c r="Q184" s="43">
        <f>VLOOKUP(Tabla1[[#This Row],[PAGO DIA]],DIAS!A:F,6,0)</f>
        <v>46203</v>
      </c>
      <c r="R184" s="6">
        <v>0</v>
      </c>
      <c r="S184" s="43">
        <f>VLOOKUP(Tabla1[[#This Row],[PAGO DIA]],DIAS!A:G,7,0)</f>
        <v>46234</v>
      </c>
      <c r="T184" s="6">
        <v>0</v>
      </c>
      <c r="U184" s="43">
        <f>VLOOKUP(Tabla1[[#This Row],[PAGO DIA]],DIAS!A:H,8,0)</f>
        <v>46265</v>
      </c>
      <c r="V184" s="6">
        <v>0</v>
      </c>
      <c r="W184" s="43">
        <f>VLOOKUP(Tabla1[[#This Row],[PAGO DIA]],DIAS!A:I,9,0)</f>
        <v>46295</v>
      </c>
      <c r="X184" s="6">
        <v>0</v>
      </c>
      <c r="Y184" s="43">
        <f>VLOOKUP(Tabla1[[#This Row],[PAGO DIA]],DIAS!A:J,10,0)</f>
        <v>46325</v>
      </c>
      <c r="Z184" s="6">
        <v>0</v>
      </c>
      <c r="AA184" s="43">
        <f>VLOOKUP(Tabla1[[#This Row],[PAGO DIA]],DIAS!A:K,11,0)</f>
        <v>46356</v>
      </c>
      <c r="AB184" s="6">
        <v>0</v>
      </c>
      <c r="AC184" s="43">
        <f>VLOOKUP(Tabla1[[#This Row],[PAGO DIA]],DIAS!A:M,12,0)</f>
        <v>46386</v>
      </c>
      <c r="AD1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5" spans="1:30">
      <c r="A185" s="3">
        <v>12539</v>
      </c>
      <c r="B185" s="3" t="s">
        <v>628</v>
      </c>
      <c r="C185" s="3" t="s">
        <v>629</v>
      </c>
      <c r="D185" s="3" t="s">
        <v>540</v>
      </c>
      <c r="E185" s="3" t="s">
        <v>789</v>
      </c>
      <c r="F185" s="42" t="s">
        <v>631</v>
      </c>
      <c r="G185" s="3" t="s">
        <v>790</v>
      </c>
      <c r="H185" s="6">
        <v>0</v>
      </c>
      <c r="I185" s="41">
        <f>VLOOKUP(Tabla1[[#This Row],[PAGO DIA]],DIAS!A:B,2,0)</f>
        <v>46080</v>
      </c>
      <c r="J185" s="6">
        <v>0</v>
      </c>
      <c r="K185" s="43">
        <f>VLOOKUP(Tabla1[[#This Row],[PAGO DIA]],DIAS!A:C,3,0)</f>
        <v>46112</v>
      </c>
      <c r="L185" s="6">
        <v>0</v>
      </c>
      <c r="M185" s="41">
        <f>VLOOKUP(Tabla1[[#This Row],[PAGO DIA]],DIAS!A:D,4,0)</f>
        <v>46142</v>
      </c>
      <c r="N185" s="6">
        <v>0</v>
      </c>
      <c r="O185" s="43">
        <f>VLOOKUP(Tabla1[[#This Row],[PAGO DIA]],DIAS!A:E,5,0)</f>
        <v>46171</v>
      </c>
      <c r="P185" s="6">
        <v>0</v>
      </c>
      <c r="Q185" s="43">
        <f>VLOOKUP(Tabla1[[#This Row],[PAGO DIA]],DIAS!A:F,6,0)</f>
        <v>46203</v>
      </c>
      <c r="R185" s="6">
        <v>0</v>
      </c>
      <c r="S185" s="43">
        <f>VLOOKUP(Tabla1[[#This Row],[PAGO DIA]],DIAS!A:G,7,0)</f>
        <v>46234</v>
      </c>
      <c r="T185" s="6">
        <v>0</v>
      </c>
      <c r="U185" s="43">
        <f>VLOOKUP(Tabla1[[#This Row],[PAGO DIA]],DIAS!A:H,8,0)</f>
        <v>46265</v>
      </c>
      <c r="V185" s="6">
        <v>0</v>
      </c>
      <c r="W185" s="43">
        <f>VLOOKUP(Tabla1[[#This Row],[PAGO DIA]],DIAS!A:I,9,0)</f>
        <v>46295</v>
      </c>
      <c r="X185" s="6">
        <v>0</v>
      </c>
      <c r="Y185" s="43">
        <f>VLOOKUP(Tabla1[[#This Row],[PAGO DIA]],DIAS!A:J,10,0)</f>
        <v>46325</v>
      </c>
      <c r="Z185" s="6">
        <v>0</v>
      </c>
      <c r="AA185" s="43">
        <f>VLOOKUP(Tabla1[[#This Row],[PAGO DIA]],DIAS!A:K,11,0)</f>
        <v>46356</v>
      </c>
      <c r="AB185" s="6">
        <v>0</v>
      </c>
      <c r="AC185" s="43">
        <f>VLOOKUP(Tabla1[[#This Row],[PAGO DIA]],DIAS!A:M,12,0)</f>
        <v>46386</v>
      </c>
      <c r="AD1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6" spans="1:30">
      <c r="A186" s="3">
        <v>11662</v>
      </c>
      <c r="B186" s="3" t="s">
        <v>628</v>
      </c>
      <c r="C186" s="3" t="s">
        <v>540</v>
      </c>
      <c r="D186" s="3" t="s">
        <v>540</v>
      </c>
      <c r="E186" s="3" t="s">
        <v>791</v>
      </c>
      <c r="F186" s="42" t="s">
        <v>631</v>
      </c>
      <c r="G186" s="3" t="s">
        <v>792</v>
      </c>
      <c r="H186" s="6">
        <v>0</v>
      </c>
      <c r="I186" s="41">
        <f>VLOOKUP(Tabla1[[#This Row],[PAGO DIA]],DIAS!A:B,2,0)</f>
        <v>46080</v>
      </c>
      <c r="J186" s="6">
        <v>0</v>
      </c>
      <c r="K186" s="43">
        <f>VLOOKUP(Tabla1[[#This Row],[PAGO DIA]],DIAS!A:C,3,0)</f>
        <v>46112</v>
      </c>
      <c r="L186" s="6">
        <v>0</v>
      </c>
      <c r="M186" s="41">
        <f>VLOOKUP(Tabla1[[#This Row],[PAGO DIA]],DIAS!A:D,4,0)</f>
        <v>46142</v>
      </c>
      <c r="N186" s="6">
        <v>0</v>
      </c>
      <c r="O186" s="43">
        <f>VLOOKUP(Tabla1[[#This Row],[PAGO DIA]],DIAS!A:E,5,0)</f>
        <v>46171</v>
      </c>
      <c r="P186" s="6">
        <v>0</v>
      </c>
      <c r="Q186" s="43">
        <f>VLOOKUP(Tabla1[[#This Row],[PAGO DIA]],DIAS!A:F,6,0)</f>
        <v>46203</v>
      </c>
      <c r="R186" s="6">
        <v>0</v>
      </c>
      <c r="S186" s="43">
        <f>VLOOKUP(Tabla1[[#This Row],[PAGO DIA]],DIAS!A:G,7,0)</f>
        <v>46234</v>
      </c>
      <c r="T186" s="6">
        <v>0</v>
      </c>
      <c r="U186" s="43">
        <f>VLOOKUP(Tabla1[[#This Row],[PAGO DIA]],DIAS!A:H,8,0)</f>
        <v>46265</v>
      </c>
      <c r="V186" s="6">
        <v>0</v>
      </c>
      <c r="W186" s="43">
        <f>VLOOKUP(Tabla1[[#This Row],[PAGO DIA]],DIAS!A:I,9,0)</f>
        <v>46295</v>
      </c>
      <c r="X186" s="6">
        <v>0</v>
      </c>
      <c r="Y186" s="43">
        <f>VLOOKUP(Tabla1[[#This Row],[PAGO DIA]],DIAS!A:J,10,0)</f>
        <v>46325</v>
      </c>
      <c r="Z186" s="6">
        <v>0</v>
      </c>
      <c r="AA186" s="43">
        <f>VLOOKUP(Tabla1[[#This Row],[PAGO DIA]],DIAS!A:K,11,0)</f>
        <v>46356</v>
      </c>
      <c r="AB186" s="6">
        <v>0</v>
      </c>
      <c r="AC186" s="43">
        <f>VLOOKUP(Tabla1[[#This Row],[PAGO DIA]],DIAS!A:M,12,0)</f>
        <v>46386</v>
      </c>
      <c r="AD1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7" spans="1:30">
      <c r="A187" s="3">
        <v>11663</v>
      </c>
      <c r="B187" s="3" t="s">
        <v>628</v>
      </c>
      <c r="C187" s="3" t="s">
        <v>540</v>
      </c>
      <c r="D187" s="3" t="s">
        <v>540</v>
      </c>
      <c r="E187" s="3" t="s">
        <v>791</v>
      </c>
      <c r="F187" s="42" t="s">
        <v>631</v>
      </c>
      <c r="G187" s="3" t="s">
        <v>793</v>
      </c>
      <c r="H187" s="6">
        <v>0</v>
      </c>
      <c r="I187" s="41">
        <f>VLOOKUP(Tabla1[[#This Row],[PAGO DIA]],DIAS!A:B,2,0)</f>
        <v>46080</v>
      </c>
      <c r="J187" s="6">
        <v>0</v>
      </c>
      <c r="K187" s="43">
        <f>VLOOKUP(Tabla1[[#This Row],[PAGO DIA]],DIAS!A:C,3,0)</f>
        <v>46112</v>
      </c>
      <c r="L187" s="6">
        <v>0</v>
      </c>
      <c r="M187" s="41">
        <f>VLOOKUP(Tabla1[[#This Row],[PAGO DIA]],DIAS!A:D,4,0)</f>
        <v>46142</v>
      </c>
      <c r="N187" s="6">
        <v>0</v>
      </c>
      <c r="O187" s="43">
        <f>VLOOKUP(Tabla1[[#This Row],[PAGO DIA]],DIAS!A:E,5,0)</f>
        <v>46171</v>
      </c>
      <c r="P187" s="6">
        <v>0</v>
      </c>
      <c r="Q187" s="43">
        <f>VLOOKUP(Tabla1[[#This Row],[PAGO DIA]],DIAS!A:F,6,0)</f>
        <v>46203</v>
      </c>
      <c r="R187" s="6">
        <v>0</v>
      </c>
      <c r="S187" s="43">
        <f>VLOOKUP(Tabla1[[#This Row],[PAGO DIA]],DIAS!A:G,7,0)</f>
        <v>46234</v>
      </c>
      <c r="T187" s="6">
        <v>0</v>
      </c>
      <c r="U187" s="43">
        <f>VLOOKUP(Tabla1[[#This Row],[PAGO DIA]],DIAS!A:H,8,0)</f>
        <v>46265</v>
      </c>
      <c r="V187" s="6">
        <v>0</v>
      </c>
      <c r="W187" s="43">
        <f>VLOOKUP(Tabla1[[#This Row],[PAGO DIA]],DIAS!A:I,9,0)</f>
        <v>46295</v>
      </c>
      <c r="X187" s="6">
        <v>0</v>
      </c>
      <c r="Y187" s="43">
        <f>VLOOKUP(Tabla1[[#This Row],[PAGO DIA]],DIAS!A:J,10,0)</f>
        <v>46325</v>
      </c>
      <c r="Z187" s="6">
        <v>0</v>
      </c>
      <c r="AA187" s="43">
        <f>VLOOKUP(Tabla1[[#This Row],[PAGO DIA]],DIAS!A:K,11,0)</f>
        <v>46356</v>
      </c>
      <c r="AB187" s="6">
        <v>0</v>
      </c>
      <c r="AC187" s="43">
        <f>VLOOKUP(Tabla1[[#This Row],[PAGO DIA]],DIAS!A:M,12,0)</f>
        <v>46386</v>
      </c>
      <c r="AD1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8" spans="1:30">
      <c r="A188" s="3">
        <v>11664</v>
      </c>
      <c r="B188" s="3" t="s">
        <v>628</v>
      </c>
      <c r="C188" s="3" t="s">
        <v>540</v>
      </c>
      <c r="D188" s="3" t="s">
        <v>540</v>
      </c>
      <c r="E188" s="3" t="s">
        <v>791</v>
      </c>
      <c r="F188" s="42" t="s">
        <v>631</v>
      </c>
      <c r="G188" s="3" t="s">
        <v>794</v>
      </c>
      <c r="H188" s="6">
        <v>0</v>
      </c>
      <c r="I188" s="41">
        <f>VLOOKUP(Tabla1[[#This Row],[PAGO DIA]],DIAS!A:B,2,0)</f>
        <v>46080</v>
      </c>
      <c r="J188" s="6">
        <v>0</v>
      </c>
      <c r="K188" s="43">
        <f>VLOOKUP(Tabla1[[#This Row],[PAGO DIA]],DIAS!A:C,3,0)</f>
        <v>46112</v>
      </c>
      <c r="L188" s="6">
        <v>0</v>
      </c>
      <c r="M188" s="41">
        <f>VLOOKUP(Tabla1[[#This Row],[PAGO DIA]],DIAS!A:D,4,0)</f>
        <v>46142</v>
      </c>
      <c r="N188" s="6">
        <v>0</v>
      </c>
      <c r="O188" s="43">
        <f>VLOOKUP(Tabla1[[#This Row],[PAGO DIA]],DIAS!A:E,5,0)</f>
        <v>46171</v>
      </c>
      <c r="P188" s="6">
        <v>0</v>
      </c>
      <c r="Q188" s="43">
        <f>VLOOKUP(Tabla1[[#This Row],[PAGO DIA]],DIAS!A:F,6,0)</f>
        <v>46203</v>
      </c>
      <c r="R188" s="6">
        <v>0</v>
      </c>
      <c r="S188" s="43">
        <f>VLOOKUP(Tabla1[[#This Row],[PAGO DIA]],DIAS!A:G,7,0)</f>
        <v>46234</v>
      </c>
      <c r="T188" s="6">
        <v>0</v>
      </c>
      <c r="U188" s="43">
        <f>VLOOKUP(Tabla1[[#This Row],[PAGO DIA]],DIAS!A:H,8,0)</f>
        <v>46265</v>
      </c>
      <c r="V188" s="6">
        <v>0</v>
      </c>
      <c r="W188" s="43">
        <f>VLOOKUP(Tabla1[[#This Row],[PAGO DIA]],DIAS!A:I,9,0)</f>
        <v>46295</v>
      </c>
      <c r="X188" s="6">
        <v>0</v>
      </c>
      <c r="Y188" s="43">
        <f>VLOOKUP(Tabla1[[#This Row],[PAGO DIA]],DIAS!A:J,10,0)</f>
        <v>46325</v>
      </c>
      <c r="Z188" s="6">
        <v>0</v>
      </c>
      <c r="AA188" s="43">
        <f>VLOOKUP(Tabla1[[#This Row],[PAGO DIA]],DIAS!A:K,11,0)</f>
        <v>46356</v>
      </c>
      <c r="AB188" s="6">
        <v>0</v>
      </c>
      <c r="AC188" s="43">
        <f>VLOOKUP(Tabla1[[#This Row],[PAGO DIA]],DIAS!A:M,12,0)</f>
        <v>46386</v>
      </c>
      <c r="AD1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9" spans="1:30">
      <c r="A189" s="3">
        <v>11320</v>
      </c>
      <c r="B189" s="3" t="s">
        <v>628</v>
      </c>
      <c r="C189" s="3" t="s">
        <v>629</v>
      </c>
      <c r="D189" s="3" t="s">
        <v>629</v>
      </c>
      <c r="E189" s="3" t="s">
        <v>795</v>
      </c>
      <c r="F189" s="42" t="s">
        <v>631</v>
      </c>
      <c r="G189" s="3" t="s">
        <v>635</v>
      </c>
      <c r="H189" s="6">
        <v>0</v>
      </c>
      <c r="I189" s="41">
        <f>VLOOKUP(Tabla1[[#This Row],[PAGO DIA]],DIAS!A:B,2,0)</f>
        <v>46080</v>
      </c>
      <c r="J189" s="6">
        <v>0</v>
      </c>
      <c r="K189" s="43">
        <f>VLOOKUP(Tabla1[[#This Row],[PAGO DIA]],DIAS!A:C,3,0)</f>
        <v>46112</v>
      </c>
      <c r="L189" s="6">
        <v>0</v>
      </c>
      <c r="M189" s="41">
        <f>VLOOKUP(Tabla1[[#This Row],[PAGO DIA]],DIAS!A:D,4,0)</f>
        <v>46142</v>
      </c>
      <c r="N189" s="6">
        <v>0</v>
      </c>
      <c r="O189" s="43">
        <f>VLOOKUP(Tabla1[[#This Row],[PAGO DIA]],DIAS!A:E,5,0)</f>
        <v>46171</v>
      </c>
      <c r="P189" s="6">
        <v>0</v>
      </c>
      <c r="Q189" s="43">
        <f>VLOOKUP(Tabla1[[#This Row],[PAGO DIA]],DIAS!A:F,6,0)</f>
        <v>46203</v>
      </c>
      <c r="R189" s="6">
        <v>0</v>
      </c>
      <c r="S189" s="43">
        <f>VLOOKUP(Tabla1[[#This Row],[PAGO DIA]],DIAS!A:G,7,0)</f>
        <v>46234</v>
      </c>
      <c r="T189" s="6">
        <v>0</v>
      </c>
      <c r="U189" s="43">
        <f>VLOOKUP(Tabla1[[#This Row],[PAGO DIA]],DIAS!A:H,8,0)</f>
        <v>46265</v>
      </c>
      <c r="V189" s="6">
        <v>0</v>
      </c>
      <c r="W189" s="43">
        <f>VLOOKUP(Tabla1[[#This Row],[PAGO DIA]],DIAS!A:I,9,0)</f>
        <v>46295</v>
      </c>
      <c r="X189" s="6">
        <v>0</v>
      </c>
      <c r="Y189" s="43">
        <f>VLOOKUP(Tabla1[[#This Row],[PAGO DIA]],DIAS!A:J,10,0)</f>
        <v>46325</v>
      </c>
      <c r="Z189" s="6">
        <v>0</v>
      </c>
      <c r="AA189" s="43">
        <f>VLOOKUP(Tabla1[[#This Row],[PAGO DIA]],DIAS!A:K,11,0)</f>
        <v>46356</v>
      </c>
      <c r="AB189" s="6">
        <v>0</v>
      </c>
      <c r="AC189" s="43">
        <f>VLOOKUP(Tabla1[[#This Row],[PAGO DIA]],DIAS!A:M,12,0)</f>
        <v>46386</v>
      </c>
      <c r="AD1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0" spans="1:30">
      <c r="A190" s="3">
        <v>12672</v>
      </c>
      <c r="B190" s="3" t="s">
        <v>628</v>
      </c>
      <c r="C190" s="3" t="s">
        <v>629</v>
      </c>
      <c r="D190" s="3" t="s">
        <v>540</v>
      </c>
      <c r="E190" s="3" t="s">
        <v>796</v>
      </c>
      <c r="F190" s="42" t="s">
        <v>631</v>
      </c>
      <c r="G190" s="3" t="s">
        <v>797</v>
      </c>
      <c r="H190" s="6">
        <v>0</v>
      </c>
      <c r="I190" s="41">
        <f>VLOOKUP(Tabla1[[#This Row],[PAGO DIA]],DIAS!A:B,2,0)</f>
        <v>46080</v>
      </c>
      <c r="J190" s="6">
        <v>0</v>
      </c>
      <c r="K190" s="43">
        <f>VLOOKUP(Tabla1[[#This Row],[PAGO DIA]],DIAS!A:C,3,0)</f>
        <v>46112</v>
      </c>
      <c r="L190" s="6">
        <v>0</v>
      </c>
      <c r="M190" s="41">
        <f>VLOOKUP(Tabla1[[#This Row],[PAGO DIA]],DIAS!A:D,4,0)</f>
        <v>46142</v>
      </c>
      <c r="N190" s="6">
        <v>0</v>
      </c>
      <c r="O190" s="43">
        <f>VLOOKUP(Tabla1[[#This Row],[PAGO DIA]],DIAS!A:E,5,0)</f>
        <v>46171</v>
      </c>
      <c r="P190" s="6">
        <v>0</v>
      </c>
      <c r="Q190" s="43">
        <f>VLOOKUP(Tabla1[[#This Row],[PAGO DIA]],DIAS!A:F,6,0)</f>
        <v>46203</v>
      </c>
      <c r="R190" s="6">
        <v>0</v>
      </c>
      <c r="S190" s="43">
        <f>VLOOKUP(Tabla1[[#This Row],[PAGO DIA]],DIAS!A:G,7,0)</f>
        <v>46234</v>
      </c>
      <c r="T190" s="6">
        <v>0</v>
      </c>
      <c r="U190" s="43">
        <f>VLOOKUP(Tabla1[[#This Row],[PAGO DIA]],DIAS!A:H,8,0)</f>
        <v>46265</v>
      </c>
      <c r="V190" s="6">
        <v>0</v>
      </c>
      <c r="W190" s="43">
        <f>VLOOKUP(Tabla1[[#This Row],[PAGO DIA]],DIAS!A:I,9,0)</f>
        <v>46295</v>
      </c>
      <c r="X190" s="6">
        <v>0</v>
      </c>
      <c r="Y190" s="43">
        <f>VLOOKUP(Tabla1[[#This Row],[PAGO DIA]],DIAS!A:J,10,0)</f>
        <v>46325</v>
      </c>
      <c r="Z190" s="6">
        <v>0</v>
      </c>
      <c r="AA190" s="43">
        <f>VLOOKUP(Tabla1[[#This Row],[PAGO DIA]],DIAS!A:K,11,0)</f>
        <v>46356</v>
      </c>
      <c r="AB190" s="6">
        <v>0</v>
      </c>
      <c r="AC190" s="43">
        <f>VLOOKUP(Tabla1[[#This Row],[PAGO DIA]],DIAS!A:M,12,0)</f>
        <v>46386</v>
      </c>
      <c r="AD1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1" spans="1:30">
      <c r="A191" s="3">
        <v>11066</v>
      </c>
      <c r="B191" s="3" t="s">
        <v>628</v>
      </c>
      <c r="C191" s="3" t="s">
        <v>629</v>
      </c>
      <c r="D191" s="3" t="s">
        <v>629</v>
      </c>
      <c r="E191" s="3" t="s">
        <v>798</v>
      </c>
      <c r="F191" s="42" t="s">
        <v>631</v>
      </c>
      <c r="G191" s="3"/>
      <c r="H191" s="6">
        <v>0</v>
      </c>
      <c r="I191" s="41">
        <f>VLOOKUP(Tabla1[[#This Row],[PAGO DIA]],DIAS!A:B,2,0)</f>
        <v>46080</v>
      </c>
      <c r="J191" s="6">
        <v>0</v>
      </c>
      <c r="K191" s="43">
        <f>VLOOKUP(Tabla1[[#This Row],[PAGO DIA]],DIAS!A:C,3,0)</f>
        <v>46112</v>
      </c>
      <c r="L191" s="6">
        <v>0</v>
      </c>
      <c r="M191" s="41">
        <f>VLOOKUP(Tabla1[[#This Row],[PAGO DIA]],DIAS!A:D,4,0)</f>
        <v>46142</v>
      </c>
      <c r="N191" s="6">
        <v>0</v>
      </c>
      <c r="O191" s="43">
        <f>VLOOKUP(Tabla1[[#This Row],[PAGO DIA]],DIAS!A:E,5,0)</f>
        <v>46171</v>
      </c>
      <c r="P191" s="6">
        <v>0</v>
      </c>
      <c r="Q191" s="43">
        <f>VLOOKUP(Tabla1[[#This Row],[PAGO DIA]],DIAS!A:F,6,0)</f>
        <v>46203</v>
      </c>
      <c r="R191" s="6">
        <v>0</v>
      </c>
      <c r="S191" s="43">
        <f>VLOOKUP(Tabla1[[#This Row],[PAGO DIA]],DIAS!A:G,7,0)</f>
        <v>46234</v>
      </c>
      <c r="T191" s="6">
        <v>0</v>
      </c>
      <c r="U191" s="43">
        <f>VLOOKUP(Tabla1[[#This Row],[PAGO DIA]],DIAS!A:H,8,0)</f>
        <v>46265</v>
      </c>
      <c r="V191" s="6">
        <v>0</v>
      </c>
      <c r="W191" s="43">
        <f>VLOOKUP(Tabla1[[#This Row],[PAGO DIA]],DIAS!A:I,9,0)</f>
        <v>46295</v>
      </c>
      <c r="X191" s="6">
        <v>0</v>
      </c>
      <c r="Y191" s="43">
        <f>VLOOKUP(Tabla1[[#This Row],[PAGO DIA]],DIAS!A:J,10,0)</f>
        <v>46325</v>
      </c>
      <c r="Z191" s="6">
        <v>0</v>
      </c>
      <c r="AA191" s="43">
        <f>VLOOKUP(Tabla1[[#This Row],[PAGO DIA]],DIAS!A:K,11,0)</f>
        <v>46356</v>
      </c>
      <c r="AB191" s="6">
        <v>0</v>
      </c>
      <c r="AC191" s="43">
        <f>VLOOKUP(Tabla1[[#This Row],[PAGO DIA]],DIAS!A:M,12,0)</f>
        <v>46386</v>
      </c>
      <c r="AD1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2" spans="1:30">
      <c r="A192" s="3">
        <v>11668</v>
      </c>
      <c r="B192" s="3" t="s">
        <v>628</v>
      </c>
      <c r="C192" s="3" t="s">
        <v>540</v>
      </c>
      <c r="D192" s="3" t="s">
        <v>540</v>
      </c>
      <c r="E192" s="3" t="s">
        <v>799</v>
      </c>
      <c r="F192" s="42" t="s">
        <v>631</v>
      </c>
      <c r="G192" s="3" t="s">
        <v>800</v>
      </c>
      <c r="H192" s="6">
        <v>0</v>
      </c>
      <c r="I192" s="41">
        <f>VLOOKUP(Tabla1[[#This Row],[PAGO DIA]],DIAS!A:B,2,0)</f>
        <v>46080</v>
      </c>
      <c r="J192" s="6">
        <v>0</v>
      </c>
      <c r="K192" s="43">
        <f>VLOOKUP(Tabla1[[#This Row],[PAGO DIA]],DIAS!A:C,3,0)</f>
        <v>46112</v>
      </c>
      <c r="L192" s="6">
        <v>0</v>
      </c>
      <c r="M192" s="41">
        <f>VLOOKUP(Tabla1[[#This Row],[PAGO DIA]],DIAS!A:D,4,0)</f>
        <v>46142</v>
      </c>
      <c r="N192" s="6">
        <v>0</v>
      </c>
      <c r="O192" s="43">
        <f>VLOOKUP(Tabla1[[#This Row],[PAGO DIA]],DIAS!A:E,5,0)</f>
        <v>46171</v>
      </c>
      <c r="P192" s="6">
        <v>0</v>
      </c>
      <c r="Q192" s="43">
        <f>VLOOKUP(Tabla1[[#This Row],[PAGO DIA]],DIAS!A:F,6,0)</f>
        <v>46203</v>
      </c>
      <c r="R192" s="6">
        <v>0</v>
      </c>
      <c r="S192" s="43">
        <f>VLOOKUP(Tabla1[[#This Row],[PAGO DIA]],DIAS!A:G,7,0)</f>
        <v>46234</v>
      </c>
      <c r="T192" s="6">
        <v>0</v>
      </c>
      <c r="U192" s="43">
        <f>VLOOKUP(Tabla1[[#This Row],[PAGO DIA]],DIAS!A:H,8,0)</f>
        <v>46265</v>
      </c>
      <c r="V192" s="6">
        <v>0</v>
      </c>
      <c r="W192" s="43">
        <f>VLOOKUP(Tabla1[[#This Row],[PAGO DIA]],DIAS!A:I,9,0)</f>
        <v>46295</v>
      </c>
      <c r="X192" s="6">
        <v>0</v>
      </c>
      <c r="Y192" s="43">
        <f>VLOOKUP(Tabla1[[#This Row],[PAGO DIA]],DIAS!A:J,10,0)</f>
        <v>46325</v>
      </c>
      <c r="Z192" s="6">
        <v>0</v>
      </c>
      <c r="AA192" s="43">
        <f>VLOOKUP(Tabla1[[#This Row],[PAGO DIA]],DIAS!A:K,11,0)</f>
        <v>46356</v>
      </c>
      <c r="AB192" s="6">
        <v>0</v>
      </c>
      <c r="AC192" s="43">
        <f>VLOOKUP(Tabla1[[#This Row],[PAGO DIA]],DIAS!A:M,12,0)</f>
        <v>46386</v>
      </c>
      <c r="AD1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3" spans="1:30">
      <c r="A193" s="3">
        <v>12589</v>
      </c>
      <c r="B193" s="3" t="s">
        <v>628</v>
      </c>
      <c r="C193" s="3" t="s">
        <v>629</v>
      </c>
      <c r="D193" s="3" t="s">
        <v>540</v>
      </c>
      <c r="E193" s="3" t="s">
        <v>588</v>
      </c>
      <c r="F193" s="42" t="s">
        <v>631</v>
      </c>
      <c r="G193" s="3" t="s">
        <v>801</v>
      </c>
      <c r="H193" s="6">
        <v>0</v>
      </c>
      <c r="I193" s="41">
        <f>VLOOKUP(Tabla1[[#This Row],[PAGO DIA]],DIAS!A:B,2,0)</f>
        <v>46080</v>
      </c>
      <c r="J193" s="6">
        <v>0</v>
      </c>
      <c r="K193" s="43">
        <f>VLOOKUP(Tabla1[[#This Row],[PAGO DIA]],DIAS!A:C,3,0)</f>
        <v>46112</v>
      </c>
      <c r="L193" s="6">
        <v>0</v>
      </c>
      <c r="M193" s="41">
        <f>VLOOKUP(Tabla1[[#This Row],[PAGO DIA]],DIAS!A:D,4,0)</f>
        <v>46142</v>
      </c>
      <c r="N193" s="6">
        <v>0</v>
      </c>
      <c r="O193" s="43">
        <f>VLOOKUP(Tabla1[[#This Row],[PAGO DIA]],DIAS!A:E,5,0)</f>
        <v>46171</v>
      </c>
      <c r="P193" s="6">
        <v>0</v>
      </c>
      <c r="Q193" s="43">
        <f>VLOOKUP(Tabla1[[#This Row],[PAGO DIA]],DIAS!A:F,6,0)</f>
        <v>46203</v>
      </c>
      <c r="R193" s="6">
        <v>0</v>
      </c>
      <c r="S193" s="43">
        <f>VLOOKUP(Tabla1[[#This Row],[PAGO DIA]],DIAS!A:G,7,0)</f>
        <v>46234</v>
      </c>
      <c r="T193" s="6">
        <v>0</v>
      </c>
      <c r="U193" s="43">
        <f>VLOOKUP(Tabla1[[#This Row],[PAGO DIA]],DIAS!A:H,8,0)</f>
        <v>46265</v>
      </c>
      <c r="V193" s="6">
        <v>0</v>
      </c>
      <c r="W193" s="43">
        <f>VLOOKUP(Tabla1[[#This Row],[PAGO DIA]],DIAS!A:I,9,0)</f>
        <v>46295</v>
      </c>
      <c r="X193" s="6">
        <v>0</v>
      </c>
      <c r="Y193" s="43">
        <f>VLOOKUP(Tabla1[[#This Row],[PAGO DIA]],DIAS!A:J,10,0)</f>
        <v>46325</v>
      </c>
      <c r="Z193" s="6">
        <v>0</v>
      </c>
      <c r="AA193" s="43">
        <f>VLOOKUP(Tabla1[[#This Row],[PAGO DIA]],DIAS!A:K,11,0)</f>
        <v>46356</v>
      </c>
      <c r="AB193" s="6">
        <v>0</v>
      </c>
      <c r="AC193" s="43">
        <f>VLOOKUP(Tabla1[[#This Row],[PAGO DIA]],DIAS!A:M,12,0)</f>
        <v>46386</v>
      </c>
      <c r="AD1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4" spans="1:30">
      <c r="A194" s="3">
        <v>12613</v>
      </c>
      <c r="B194" s="3" t="s">
        <v>628</v>
      </c>
      <c r="C194" s="3" t="s">
        <v>629</v>
      </c>
      <c r="D194" s="3" t="s">
        <v>540</v>
      </c>
      <c r="E194" s="3" t="s">
        <v>802</v>
      </c>
      <c r="F194" s="42" t="s">
        <v>631</v>
      </c>
      <c r="G194" s="3" t="s">
        <v>803</v>
      </c>
      <c r="H194" s="6">
        <v>0</v>
      </c>
      <c r="I194" s="41">
        <f>VLOOKUP(Tabla1[[#This Row],[PAGO DIA]],DIAS!A:B,2,0)</f>
        <v>46080</v>
      </c>
      <c r="J194" s="6">
        <v>0</v>
      </c>
      <c r="K194" s="43">
        <f>VLOOKUP(Tabla1[[#This Row],[PAGO DIA]],DIAS!A:C,3,0)</f>
        <v>46112</v>
      </c>
      <c r="L194" s="6">
        <v>0</v>
      </c>
      <c r="M194" s="41">
        <f>VLOOKUP(Tabla1[[#This Row],[PAGO DIA]],DIAS!A:D,4,0)</f>
        <v>46142</v>
      </c>
      <c r="N194" s="6">
        <v>0</v>
      </c>
      <c r="O194" s="43">
        <f>VLOOKUP(Tabla1[[#This Row],[PAGO DIA]],DIAS!A:E,5,0)</f>
        <v>46171</v>
      </c>
      <c r="P194" s="6">
        <v>0</v>
      </c>
      <c r="Q194" s="43">
        <f>VLOOKUP(Tabla1[[#This Row],[PAGO DIA]],DIAS!A:F,6,0)</f>
        <v>46203</v>
      </c>
      <c r="R194" s="6">
        <v>0</v>
      </c>
      <c r="S194" s="43">
        <f>VLOOKUP(Tabla1[[#This Row],[PAGO DIA]],DIAS!A:G,7,0)</f>
        <v>46234</v>
      </c>
      <c r="T194" s="6">
        <v>0</v>
      </c>
      <c r="U194" s="43">
        <f>VLOOKUP(Tabla1[[#This Row],[PAGO DIA]],DIAS!A:H,8,0)</f>
        <v>46265</v>
      </c>
      <c r="V194" s="6">
        <v>0</v>
      </c>
      <c r="W194" s="43">
        <f>VLOOKUP(Tabla1[[#This Row],[PAGO DIA]],DIAS!A:I,9,0)</f>
        <v>46295</v>
      </c>
      <c r="X194" s="6">
        <v>0</v>
      </c>
      <c r="Y194" s="43">
        <f>VLOOKUP(Tabla1[[#This Row],[PAGO DIA]],DIAS!A:J,10,0)</f>
        <v>46325</v>
      </c>
      <c r="Z194" s="6">
        <v>0</v>
      </c>
      <c r="AA194" s="43">
        <f>VLOOKUP(Tabla1[[#This Row],[PAGO DIA]],DIAS!A:K,11,0)</f>
        <v>46356</v>
      </c>
      <c r="AB194" s="6">
        <v>0</v>
      </c>
      <c r="AC194" s="43">
        <f>VLOOKUP(Tabla1[[#This Row],[PAGO DIA]],DIAS!A:M,12,0)</f>
        <v>46386</v>
      </c>
      <c r="AD1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5" spans="1:30">
      <c r="A195" s="3">
        <v>11727</v>
      </c>
      <c r="B195" s="3" t="s">
        <v>628</v>
      </c>
      <c r="C195" s="3" t="s">
        <v>629</v>
      </c>
      <c r="D195" s="3" t="s">
        <v>629</v>
      </c>
      <c r="E195" s="3" t="s">
        <v>804</v>
      </c>
      <c r="F195" s="42" t="s">
        <v>631</v>
      </c>
      <c r="G195" s="3" t="s">
        <v>635</v>
      </c>
      <c r="H195" s="6">
        <v>0</v>
      </c>
      <c r="I195" s="41">
        <f>VLOOKUP(Tabla1[[#This Row],[PAGO DIA]],DIAS!A:B,2,0)</f>
        <v>46080</v>
      </c>
      <c r="J195" s="6">
        <v>0</v>
      </c>
      <c r="K195" s="43">
        <f>VLOOKUP(Tabla1[[#This Row],[PAGO DIA]],DIAS!A:C,3,0)</f>
        <v>46112</v>
      </c>
      <c r="L195" s="6">
        <v>0</v>
      </c>
      <c r="M195" s="41">
        <f>VLOOKUP(Tabla1[[#This Row],[PAGO DIA]],DIAS!A:D,4,0)</f>
        <v>46142</v>
      </c>
      <c r="N195" s="6">
        <v>0</v>
      </c>
      <c r="O195" s="43">
        <f>VLOOKUP(Tabla1[[#This Row],[PAGO DIA]],DIAS!A:E,5,0)</f>
        <v>46171</v>
      </c>
      <c r="P195" s="6">
        <v>0</v>
      </c>
      <c r="Q195" s="43">
        <f>VLOOKUP(Tabla1[[#This Row],[PAGO DIA]],DIAS!A:F,6,0)</f>
        <v>46203</v>
      </c>
      <c r="R195" s="6">
        <v>0</v>
      </c>
      <c r="S195" s="43">
        <f>VLOOKUP(Tabla1[[#This Row],[PAGO DIA]],DIAS!A:G,7,0)</f>
        <v>46234</v>
      </c>
      <c r="T195" s="6">
        <v>0</v>
      </c>
      <c r="U195" s="43">
        <f>VLOOKUP(Tabla1[[#This Row],[PAGO DIA]],DIAS!A:H,8,0)</f>
        <v>46265</v>
      </c>
      <c r="V195" s="6">
        <v>0</v>
      </c>
      <c r="W195" s="43">
        <f>VLOOKUP(Tabla1[[#This Row],[PAGO DIA]],DIAS!A:I,9,0)</f>
        <v>46295</v>
      </c>
      <c r="X195" s="6">
        <v>0</v>
      </c>
      <c r="Y195" s="43">
        <f>VLOOKUP(Tabla1[[#This Row],[PAGO DIA]],DIAS!A:J,10,0)</f>
        <v>46325</v>
      </c>
      <c r="Z195" s="6">
        <v>0</v>
      </c>
      <c r="AA195" s="43">
        <f>VLOOKUP(Tabla1[[#This Row],[PAGO DIA]],DIAS!A:K,11,0)</f>
        <v>46356</v>
      </c>
      <c r="AB195" s="6">
        <v>0</v>
      </c>
      <c r="AC195" s="43">
        <f>VLOOKUP(Tabla1[[#This Row],[PAGO DIA]],DIAS!A:M,12,0)</f>
        <v>46386</v>
      </c>
      <c r="AD1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6" spans="1:30">
      <c r="A196" s="3">
        <v>11728</v>
      </c>
      <c r="B196" s="3" t="s">
        <v>628</v>
      </c>
      <c r="C196" s="3" t="s">
        <v>540</v>
      </c>
      <c r="D196" s="3" t="s">
        <v>540</v>
      </c>
      <c r="E196" s="3" t="s">
        <v>804</v>
      </c>
      <c r="F196" s="42" t="s">
        <v>631</v>
      </c>
      <c r="G196" s="3" t="s">
        <v>805</v>
      </c>
      <c r="H196" s="6">
        <v>0</v>
      </c>
      <c r="I196" s="41">
        <f>VLOOKUP(Tabla1[[#This Row],[PAGO DIA]],DIAS!A:B,2,0)</f>
        <v>46080</v>
      </c>
      <c r="J196" s="6">
        <v>0</v>
      </c>
      <c r="K196" s="43">
        <f>VLOOKUP(Tabla1[[#This Row],[PAGO DIA]],DIAS!A:C,3,0)</f>
        <v>46112</v>
      </c>
      <c r="L196" s="6">
        <v>0</v>
      </c>
      <c r="M196" s="41">
        <f>VLOOKUP(Tabla1[[#This Row],[PAGO DIA]],DIAS!A:D,4,0)</f>
        <v>46142</v>
      </c>
      <c r="N196" s="6">
        <v>0</v>
      </c>
      <c r="O196" s="43">
        <f>VLOOKUP(Tabla1[[#This Row],[PAGO DIA]],DIAS!A:E,5,0)</f>
        <v>46171</v>
      </c>
      <c r="P196" s="6">
        <v>0</v>
      </c>
      <c r="Q196" s="43">
        <f>VLOOKUP(Tabla1[[#This Row],[PAGO DIA]],DIAS!A:F,6,0)</f>
        <v>46203</v>
      </c>
      <c r="R196" s="6">
        <v>0</v>
      </c>
      <c r="S196" s="43">
        <f>VLOOKUP(Tabla1[[#This Row],[PAGO DIA]],DIAS!A:G,7,0)</f>
        <v>46234</v>
      </c>
      <c r="T196" s="6">
        <v>0</v>
      </c>
      <c r="U196" s="43">
        <f>VLOOKUP(Tabla1[[#This Row],[PAGO DIA]],DIAS!A:H,8,0)</f>
        <v>46265</v>
      </c>
      <c r="V196" s="6">
        <v>0</v>
      </c>
      <c r="W196" s="43">
        <f>VLOOKUP(Tabla1[[#This Row],[PAGO DIA]],DIAS!A:I,9,0)</f>
        <v>46295</v>
      </c>
      <c r="X196" s="6">
        <v>0</v>
      </c>
      <c r="Y196" s="43">
        <f>VLOOKUP(Tabla1[[#This Row],[PAGO DIA]],DIAS!A:J,10,0)</f>
        <v>46325</v>
      </c>
      <c r="Z196" s="6">
        <v>0</v>
      </c>
      <c r="AA196" s="43">
        <f>VLOOKUP(Tabla1[[#This Row],[PAGO DIA]],DIAS!A:K,11,0)</f>
        <v>46356</v>
      </c>
      <c r="AB196" s="6">
        <v>0</v>
      </c>
      <c r="AC196" s="43">
        <f>VLOOKUP(Tabla1[[#This Row],[PAGO DIA]],DIAS!A:M,12,0)</f>
        <v>46386</v>
      </c>
      <c r="AD1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7" spans="1:30">
      <c r="A197" s="3">
        <v>11729</v>
      </c>
      <c r="B197" s="3" t="s">
        <v>628</v>
      </c>
      <c r="C197" s="3" t="s">
        <v>540</v>
      </c>
      <c r="D197" s="3" t="s">
        <v>540</v>
      </c>
      <c r="E197" s="3" t="s">
        <v>804</v>
      </c>
      <c r="F197" s="42" t="s">
        <v>631</v>
      </c>
      <c r="G197" s="3"/>
      <c r="H197" s="6">
        <v>0</v>
      </c>
      <c r="I197" s="41">
        <f>VLOOKUP(Tabla1[[#This Row],[PAGO DIA]],DIAS!A:B,2,0)</f>
        <v>46080</v>
      </c>
      <c r="J197" s="6">
        <v>0</v>
      </c>
      <c r="K197" s="43">
        <f>VLOOKUP(Tabla1[[#This Row],[PAGO DIA]],DIAS!A:C,3,0)</f>
        <v>46112</v>
      </c>
      <c r="L197" s="6">
        <v>0</v>
      </c>
      <c r="M197" s="41">
        <f>VLOOKUP(Tabla1[[#This Row],[PAGO DIA]],DIAS!A:D,4,0)</f>
        <v>46142</v>
      </c>
      <c r="N197" s="6">
        <v>0</v>
      </c>
      <c r="O197" s="43">
        <f>VLOOKUP(Tabla1[[#This Row],[PAGO DIA]],DIAS!A:E,5,0)</f>
        <v>46171</v>
      </c>
      <c r="P197" s="6">
        <v>0</v>
      </c>
      <c r="Q197" s="43">
        <f>VLOOKUP(Tabla1[[#This Row],[PAGO DIA]],DIAS!A:F,6,0)</f>
        <v>46203</v>
      </c>
      <c r="R197" s="6">
        <v>0</v>
      </c>
      <c r="S197" s="43">
        <f>VLOOKUP(Tabla1[[#This Row],[PAGO DIA]],DIAS!A:G,7,0)</f>
        <v>46234</v>
      </c>
      <c r="T197" s="6">
        <v>0</v>
      </c>
      <c r="U197" s="43">
        <f>VLOOKUP(Tabla1[[#This Row],[PAGO DIA]],DIAS!A:H,8,0)</f>
        <v>46265</v>
      </c>
      <c r="V197" s="6">
        <v>0</v>
      </c>
      <c r="W197" s="43">
        <f>VLOOKUP(Tabla1[[#This Row],[PAGO DIA]],DIAS!A:I,9,0)</f>
        <v>46295</v>
      </c>
      <c r="X197" s="6">
        <v>0</v>
      </c>
      <c r="Y197" s="43">
        <f>VLOOKUP(Tabla1[[#This Row],[PAGO DIA]],DIAS!A:J,10,0)</f>
        <v>46325</v>
      </c>
      <c r="Z197" s="6">
        <v>0</v>
      </c>
      <c r="AA197" s="43">
        <f>VLOOKUP(Tabla1[[#This Row],[PAGO DIA]],DIAS!A:K,11,0)</f>
        <v>46356</v>
      </c>
      <c r="AB197" s="6">
        <v>0</v>
      </c>
      <c r="AC197" s="43">
        <f>VLOOKUP(Tabla1[[#This Row],[PAGO DIA]],DIAS!A:M,12,0)</f>
        <v>46386</v>
      </c>
      <c r="AD1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8" spans="1:30">
      <c r="A198" s="3">
        <v>11743</v>
      </c>
      <c r="B198" s="3" t="s">
        <v>628</v>
      </c>
      <c r="C198" s="3" t="s">
        <v>629</v>
      </c>
      <c r="D198" s="3" t="s">
        <v>629</v>
      </c>
      <c r="E198" s="3" t="s">
        <v>806</v>
      </c>
      <c r="F198" s="42" t="s">
        <v>631</v>
      </c>
      <c r="G198" s="3" t="s">
        <v>635</v>
      </c>
      <c r="H198" s="6">
        <v>0</v>
      </c>
      <c r="I198" s="41">
        <f>VLOOKUP(Tabla1[[#This Row],[PAGO DIA]],DIAS!A:B,2,0)</f>
        <v>46080</v>
      </c>
      <c r="J198" s="6">
        <v>0</v>
      </c>
      <c r="K198" s="43">
        <f>VLOOKUP(Tabla1[[#This Row],[PAGO DIA]],DIAS!A:C,3,0)</f>
        <v>46112</v>
      </c>
      <c r="L198" s="6">
        <v>0</v>
      </c>
      <c r="M198" s="41">
        <f>VLOOKUP(Tabla1[[#This Row],[PAGO DIA]],DIAS!A:D,4,0)</f>
        <v>46142</v>
      </c>
      <c r="N198" s="6">
        <v>0</v>
      </c>
      <c r="O198" s="43">
        <f>VLOOKUP(Tabla1[[#This Row],[PAGO DIA]],DIAS!A:E,5,0)</f>
        <v>46171</v>
      </c>
      <c r="P198" s="6">
        <v>0</v>
      </c>
      <c r="Q198" s="43">
        <f>VLOOKUP(Tabla1[[#This Row],[PAGO DIA]],DIAS!A:F,6,0)</f>
        <v>46203</v>
      </c>
      <c r="R198" s="6">
        <v>0</v>
      </c>
      <c r="S198" s="43">
        <f>VLOOKUP(Tabla1[[#This Row],[PAGO DIA]],DIAS!A:G,7,0)</f>
        <v>46234</v>
      </c>
      <c r="T198" s="6">
        <v>0</v>
      </c>
      <c r="U198" s="43">
        <f>VLOOKUP(Tabla1[[#This Row],[PAGO DIA]],DIAS!A:H,8,0)</f>
        <v>46265</v>
      </c>
      <c r="V198" s="6">
        <v>0</v>
      </c>
      <c r="W198" s="43">
        <f>VLOOKUP(Tabla1[[#This Row],[PAGO DIA]],DIAS!A:I,9,0)</f>
        <v>46295</v>
      </c>
      <c r="X198" s="6">
        <v>0</v>
      </c>
      <c r="Y198" s="43">
        <f>VLOOKUP(Tabla1[[#This Row],[PAGO DIA]],DIAS!A:J,10,0)</f>
        <v>46325</v>
      </c>
      <c r="Z198" s="6">
        <v>0</v>
      </c>
      <c r="AA198" s="43">
        <f>VLOOKUP(Tabla1[[#This Row],[PAGO DIA]],DIAS!A:K,11,0)</f>
        <v>46356</v>
      </c>
      <c r="AB198" s="6">
        <v>0</v>
      </c>
      <c r="AC198" s="43">
        <f>VLOOKUP(Tabla1[[#This Row],[PAGO DIA]],DIAS!A:M,12,0)</f>
        <v>46386</v>
      </c>
      <c r="AD1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99" spans="1:30">
      <c r="A199" s="3">
        <v>11744</v>
      </c>
      <c r="B199" s="3" t="s">
        <v>628</v>
      </c>
      <c r="C199" s="3" t="s">
        <v>540</v>
      </c>
      <c r="D199" s="3" t="s">
        <v>540</v>
      </c>
      <c r="E199" s="3" t="s">
        <v>806</v>
      </c>
      <c r="F199" s="42" t="s">
        <v>631</v>
      </c>
      <c r="G199" s="3" t="s">
        <v>807</v>
      </c>
      <c r="H199" s="6">
        <v>0</v>
      </c>
      <c r="I199" s="41">
        <f>VLOOKUP(Tabla1[[#This Row],[PAGO DIA]],DIAS!A:B,2,0)</f>
        <v>46080</v>
      </c>
      <c r="J199" s="6">
        <v>0</v>
      </c>
      <c r="K199" s="43">
        <f>VLOOKUP(Tabla1[[#This Row],[PAGO DIA]],DIAS!A:C,3,0)</f>
        <v>46112</v>
      </c>
      <c r="L199" s="6">
        <v>0</v>
      </c>
      <c r="M199" s="41">
        <f>VLOOKUP(Tabla1[[#This Row],[PAGO DIA]],DIAS!A:D,4,0)</f>
        <v>46142</v>
      </c>
      <c r="N199" s="6">
        <v>0</v>
      </c>
      <c r="O199" s="43">
        <f>VLOOKUP(Tabla1[[#This Row],[PAGO DIA]],DIAS!A:E,5,0)</f>
        <v>46171</v>
      </c>
      <c r="P199" s="6">
        <v>0</v>
      </c>
      <c r="Q199" s="43">
        <f>VLOOKUP(Tabla1[[#This Row],[PAGO DIA]],DIAS!A:F,6,0)</f>
        <v>46203</v>
      </c>
      <c r="R199" s="6">
        <v>0</v>
      </c>
      <c r="S199" s="43">
        <f>VLOOKUP(Tabla1[[#This Row],[PAGO DIA]],DIAS!A:G,7,0)</f>
        <v>46234</v>
      </c>
      <c r="T199" s="6">
        <v>0</v>
      </c>
      <c r="U199" s="43">
        <f>VLOOKUP(Tabla1[[#This Row],[PAGO DIA]],DIAS!A:H,8,0)</f>
        <v>46265</v>
      </c>
      <c r="V199" s="6">
        <v>0</v>
      </c>
      <c r="W199" s="43">
        <f>VLOOKUP(Tabla1[[#This Row],[PAGO DIA]],DIAS!A:I,9,0)</f>
        <v>46295</v>
      </c>
      <c r="X199" s="6">
        <v>0</v>
      </c>
      <c r="Y199" s="43">
        <f>VLOOKUP(Tabla1[[#This Row],[PAGO DIA]],DIAS!A:J,10,0)</f>
        <v>46325</v>
      </c>
      <c r="Z199" s="6">
        <v>0</v>
      </c>
      <c r="AA199" s="43">
        <f>VLOOKUP(Tabla1[[#This Row],[PAGO DIA]],DIAS!A:K,11,0)</f>
        <v>46356</v>
      </c>
      <c r="AB199" s="6">
        <v>0</v>
      </c>
      <c r="AC199" s="43">
        <f>VLOOKUP(Tabla1[[#This Row],[PAGO DIA]],DIAS!A:M,12,0)</f>
        <v>46386</v>
      </c>
      <c r="AD1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0" spans="1:30">
      <c r="A200" s="3">
        <v>11745</v>
      </c>
      <c r="B200" s="3" t="s">
        <v>628</v>
      </c>
      <c r="C200" s="3" t="s">
        <v>540</v>
      </c>
      <c r="D200" s="3" t="s">
        <v>540</v>
      </c>
      <c r="E200" s="3" t="s">
        <v>806</v>
      </c>
      <c r="F200" s="42" t="s">
        <v>631</v>
      </c>
      <c r="G200" s="3" t="s">
        <v>808</v>
      </c>
      <c r="H200" s="6">
        <v>0</v>
      </c>
      <c r="I200" s="41">
        <f>VLOOKUP(Tabla1[[#This Row],[PAGO DIA]],DIAS!A:B,2,0)</f>
        <v>46080</v>
      </c>
      <c r="J200" s="6">
        <v>0</v>
      </c>
      <c r="K200" s="43">
        <f>VLOOKUP(Tabla1[[#This Row],[PAGO DIA]],DIAS!A:C,3,0)</f>
        <v>46112</v>
      </c>
      <c r="L200" s="6">
        <v>0</v>
      </c>
      <c r="M200" s="41">
        <f>VLOOKUP(Tabla1[[#This Row],[PAGO DIA]],DIAS!A:D,4,0)</f>
        <v>46142</v>
      </c>
      <c r="N200" s="6">
        <v>0</v>
      </c>
      <c r="O200" s="43">
        <f>VLOOKUP(Tabla1[[#This Row],[PAGO DIA]],DIAS!A:E,5,0)</f>
        <v>46171</v>
      </c>
      <c r="P200" s="6">
        <v>0</v>
      </c>
      <c r="Q200" s="43">
        <f>VLOOKUP(Tabla1[[#This Row],[PAGO DIA]],DIAS!A:F,6,0)</f>
        <v>46203</v>
      </c>
      <c r="R200" s="6">
        <v>0</v>
      </c>
      <c r="S200" s="43">
        <f>VLOOKUP(Tabla1[[#This Row],[PAGO DIA]],DIAS!A:G,7,0)</f>
        <v>46234</v>
      </c>
      <c r="T200" s="6">
        <v>0</v>
      </c>
      <c r="U200" s="43">
        <f>VLOOKUP(Tabla1[[#This Row],[PAGO DIA]],DIAS!A:H,8,0)</f>
        <v>46265</v>
      </c>
      <c r="V200" s="6">
        <v>0</v>
      </c>
      <c r="W200" s="43">
        <f>VLOOKUP(Tabla1[[#This Row],[PAGO DIA]],DIAS!A:I,9,0)</f>
        <v>46295</v>
      </c>
      <c r="X200" s="6">
        <v>0</v>
      </c>
      <c r="Y200" s="43">
        <f>VLOOKUP(Tabla1[[#This Row],[PAGO DIA]],DIAS!A:J,10,0)</f>
        <v>46325</v>
      </c>
      <c r="Z200" s="6">
        <v>0</v>
      </c>
      <c r="AA200" s="43">
        <f>VLOOKUP(Tabla1[[#This Row],[PAGO DIA]],DIAS!A:K,11,0)</f>
        <v>46356</v>
      </c>
      <c r="AB200" s="6">
        <v>0</v>
      </c>
      <c r="AC200" s="43">
        <f>VLOOKUP(Tabla1[[#This Row],[PAGO DIA]],DIAS!A:M,12,0)</f>
        <v>46386</v>
      </c>
      <c r="AD2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1" spans="1:30">
      <c r="A201" s="3">
        <v>11746</v>
      </c>
      <c r="B201" s="3" t="s">
        <v>628</v>
      </c>
      <c r="C201" s="3" t="s">
        <v>540</v>
      </c>
      <c r="D201" s="3" t="s">
        <v>540</v>
      </c>
      <c r="E201" s="3" t="s">
        <v>806</v>
      </c>
      <c r="F201" s="42" t="s">
        <v>631</v>
      </c>
      <c r="G201" s="3" t="s">
        <v>809</v>
      </c>
      <c r="H201" s="6">
        <v>0</v>
      </c>
      <c r="I201" s="41">
        <f>VLOOKUP(Tabla1[[#This Row],[PAGO DIA]],DIAS!A:B,2,0)</f>
        <v>46080</v>
      </c>
      <c r="J201" s="6">
        <v>0</v>
      </c>
      <c r="K201" s="43">
        <f>VLOOKUP(Tabla1[[#This Row],[PAGO DIA]],DIAS!A:C,3,0)</f>
        <v>46112</v>
      </c>
      <c r="L201" s="6">
        <v>0</v>
      </c>
      <c r="M201" s="41">
        <f>VLOOKUP(Tabla1[[#This Row],[PAGO DIA]],DIAS!A:D,4,0)</f>
        <v>46142</v>
      </c>
      <c r="N201" s="6">
        <v>0</v>
      </c>
      <c r="O201" s="43">
        <f>VLOOKUP(Tabla1[[#This Row],[PAGO DIA]],DIAS!A:E,5,0)</f>
        <v>46171</v>
      </c>
      <c r="P201" s="6">
        <v>0</v>
      </c>
      <c r="Q201" s="43">
        <f>VLOOKUP(Tabla1[[#This Row],[PAGO DIA]],DIAS!A:F,6,0)</f>
        <v>46203</v>
      </c>
      <c r="R201" s="6">
        <v>0</v>
      </c>
      <c r="S201" s="43">
        <f>VLOOKUP(Tabla1[[#This Row],[PAGO DIA]],DIAS!A:G,7,0)</f>
        <v>46234</v>
      </c>
      <c r="T201" s="6">
        <v>0</v>
      </c>
      <c r="U201" s="43">
        <f>VLOOKUP(Tabla1[[#This Row],[PAGO DIA]],DIAS!A:H,8,0)</f>
        <v>46265</v>
      </c>
      <c r="V201" s="6">
        <v>0</v>
      </c>
      <c r="W201" s="43">
        <f>VLOOKUP(Tabla1[[#This Row],[PAGO DIA]],DIAS!A:I,9,0)</f>
        <v>46295</v>
      </c>
      <c r="X201" s="6">
        <v>0</v>
      </c>
      <c r="Y201" s="43">
        <f>VLOOKUP(Tabla1[[#This Row],[PAGO DIA]],DIAS!A:J,10,0)</f>
        <v>46325</v>
      </c>
      <c r="Z201" s="6">
        <v>0</v>
      </c>
      <c r="AA201" s="43">
        <f>VLOOKUP(Tabla1[[#This Row],[PAGO DIA]],DIAS!A:K,11,0)</f>
        <v>46356</v>
      </c>
      <c r="AB201" s="6">
        <v>0</v>
      </c>
      <c r="AC201" s="43">
        <f>VLOOKUP(Tabla1[[#This Row],[PAGO DIA]],DIAS!A:M,12,0)</f>
        <v>46386</v>
      </c>
      <c r="AD2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2" spans="1:30">
      <c r="A202" s="3">
        <v>12519</v>
      </c>
      <c r="B202" s="3" t="s">
        <v>628</v>
      </c>
      <c r="C202" s="3" t="s">
        <v>629</v>
      </c>
      <c r="D202" s="3" t="s">
        <v>540</v>
      </c>
      <c r="E202" s="3" t="s">
        <v>810</v>
      </c>
      <c r="F202" s="42" t="s">
        <v>631</v>
      </c>
      <c r="G202" s="3" t="s">
        <v>811</v>
      </c>
      <c r="H202" s="6">
        <v>0</v>
      </c>
      <c r="I202" s="41">
        <f>VLOOKUP(Tabla1[[#This Row],[PAGO DIA]],DIAS!A:B,2,0)</f>
        <v>46080</v>
      </c>
      <c r="J202" s="6">
        <v>0</v>
      </c>
      <c r="K202" s="43">
        <f>VLOOKUP(Tabla1[[#This Row],[PAGO DIA]],DIAS!A:C,3,0)</f>
        <v>46112</v>
      </c>
      <c r="L202" s="6">
        <v>0</v>
      </c>
      <c r="M202" s="41">
        <f>VLOOKUP(Tabla1[[#This Row],[PAGO DIA]],DIAS!A:D,4,0)</f>
        <v>46142</v>
      </c>
      <c r="N202" s="6">
        <v>0</v>
      </c>
      <c r="O202" s="43">
        <f>VLOOKUP(Tabla1[[#This Row],[PAGO DIA]],DIAS!A:E,5,0)</f>
        <v>46171</v>
      </c>
      <c r="P202" s="6">
        <v>0</v>
      </c>
      <c r="Q202" s="43">
        <f>VLOOKUP(Tabla1[[#This Row],[PAGO DIA]],DIAS!A:F,6,0)</f>
        <v>46203</v>
      </c>
      <c r="R202" s="6">
        <v>0</v>
      </c>
      <c r="S202" s="43">
        <f>VLOOKUP(Tabla1[[#This Row],[PAGO DIA]],DIAS!A:G,7,0)</f>
        <v>46234</v>
      </c>
      <c r="T202" s="6">
        <v>0</v>
      </c>
      <c r="U202" s="43">
        <f>VLOOKUP(Tabla1[[#This Row],[PAGO DIA]],DIAS!A:H,8,0)</f>
        <v>46265</v>
      </c>
      <c r="V202" s="6">
        <v>0</v>
      </c>
      <c r="W202" s="43">
        <f>VLOOKUP(Tabla1[[#This Row],[PAGO DIA]],DIAS!A:I,9,0)</f>
        <v>46295</v>
      </c>
      <c r="X202" s="6">
        <v>0</v>
      </c>
      <c r="Y202" s="43">
        <f>VLOOKUP(Tabla1[[#This Row],[PAGO DIA]],DIAS!A:J,10,0)</f>
        <v>46325</v>
      </c>
      <c r="Z202" s="6">
        <v>0</v>
      </c>
      <c r="AA202" s="43">
        <f>VLOOKUP(Tabla1[[#This Row],[PAGO DIA]],DIAS!A:K,11,0)</f>
        <v>46356</v>
      </c>
      <c r="AB202" s="6">
        <v>0</v>
      </c>
      <c r="AC202" s="43">
        <f>VLOOKUP(Tabla1[[#This Row],[PAGO DIA]],DIAS!A:M,12,0)</f>
        <v>46386</v>
      </c>
      <c r="AD2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3" spans="1:30">
      <c r="A203" s="3">
        <v>12526</v>
      </c>
      <c r="B203" s="3" t="s">
        <v>628</v>
      </c>
      <c r="C203" s="3" t="s">
        <v>629</v>
      </c>
      <c r="D203" s="3" t="s">
        <v>540</v>
      </c>
      <c r="E203" s="3" t="s">
        <v>810</v>
      </c>
      <c r="F203" s="42" t="s">
        <v>631</v>
      </c>
      <c r="G203" s="3" t="s">
        <v>812</v>
      </c>
      <c r="H203" s="6">
        <v>0</v>
      </c>
      <c r="I203" s="41">
        <f>VLOOKUP(Tabla1[[#This Row],[PAGO DIA]],DIAS!A:B,2,0)</f>
        <v>46080</v>
      </c>
      <c r="J203" s="6">
        <v>0</v>
      </c>
      <c r="K203" s="43">
        <f>VLOOKUP(Tabla1[[#This Row],[PAGO DIA]],DIAS!A:C,3,0)</f>
        <v>46112</v>
      </c>
      <c r="L203" s="6">
        <v>0</v>
      </c>
      <c r="M203" s="41">
        <f>VLOOKUP(Tabla1[[#This Row],[PAGO DIA]],DIAS!A:D,4,0)</f>
        <v>46142</v>
      </c>
      <c r="N203" s="6">
        <v>0</v>
      </c>
      <c r="O203" s="43">
        <f>VLOOKUP(Tabla1[[#This Row],[PAGO DIA]],DIAS!A:E,5,0)</f>
        <v>46171</v>
      </c>
      <c r="P203" s="6">
        <v>0</v>
      </c>
      <c r="Q203" s="43">
        <f>VLOOKUP(Tabla1[[#This Row],[PAGO DIA]],DIAS!A:F,6,0)</f>
        <v>46203</v>
      </c>
      <c r="R203" s="6">
        <v>0</v>
      </c>
      <c r="S203" s="43">
        <f>VLOOKUP(Tabla1[[#This Row],[PAGO DIA]],DIAS!A:G,7,0)</f>
        <v>46234</v>
      </c>
      <c r="T203" s="6">
        <v>0</v>
      </c>
      <c r="U203" s="43">
        <f>VLOOKUP(Tabla1[[#This Row],[PAGO DIA]],DIAS!A:H,8,0)</f>
        <v>46265</v>
      </c>
      <c r="V203" s="6">
        <v>0</v>
      </c>
      <c r="W203" s="43">
        <f>VLOOKUP(Tabla1[[#This Row],[PAGO DIA]],DIAS!A:I,9,0)</f>
        <v>46295</v>
      </c>
      <c r="X203" s="6">
        <v>0</v>
      </c>
      <c r="Y203" s="43">
        <f>VLOOKUP(Tabla1[[#This Row],[PAGO DIA]],DIAS!A:J,10,0)</f>
        <v>46325</v>
      </c>
      <c r="Z203" s="6">
        <v>0</v>
      </c>
      <c r="AA203" s="43">
        <f>VLOOKUP(Tabla1[[#This Row],[PAGO DIA]],DIAS!A:K,11,0)</f>
        <v>46356</v>
      </c>
      <c r="AB203" s="6">
        <v>0</v>
      </c>
      <c r="AC203" s="43">
        <f>VLOOKUP(Tabla1[[#This Row],[PAGO DIA]],DIAS!A:M,12,0)</f>
        <v>46386</v>
      </c>
      <c r="AD2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4" spans="1:30">
      <c r="A204" s="3">
        <v>12530</v>
      </c>
      <c r="B204" s="3" t="s">
        <v>628</v>
      </c>
      <c r="C204" s="3" t="s">
        <v>629</v>
      </c>
      <c r="D204" s="3" t="s">
        <v>540</v>
      </c>
      <c r="E204" s="3" t="s">
        <v>810</v>
      </c>
      <c r="F204" s="42" t="s">
        <v>631</v>
      </c>
      <c r="G204" s="3" t="s">
        <v>813</v>
      </c>
      <c r="H204" s="6">
        <v>0</v>
      </c>
      <c r="I204" s="41">
        <f>VLOOKUP(Tabla1[[#This Row],[PAGO DIA]],DIAS!A:B,2,0)</f>
        <v>46080</v>
      </c>
      <c r="J204" s="6">
        <v>0</v>
      </c>
      <c r="K204" s="43">
        <f>VLOOKUP(Tabla1[[#This Row],[PAGO DIA]],DIAS!A:C,3,0)</f>
        <v>46112</v>
      </c>
      <c r="L204" s="6">
        <v>0</v>
      </c>
      <c r="M204" s="41">
        <f>VLOOKUP(Tabla1[[#This Row],[PAGO DIA]],DIAS!A:D,4,0)</f>
        <v>46142</v>
      </c>
      <c r="N204" s="6">
        <v>0</v>
      </c>
      <c r="O204" s="43">
        <f>VLOOKUP(Tabla1[[#This Row],[PAGO DIA]],DIAS!A:E,5,0)</f>
        <v>46171</v>
      </c>
      <c r="P204" s="6">
        <v>0</v>
      </c>
      <c r="Q204" s="43">
        <f>VLOOKUP(Tabla1[[#This Row],[PAGO DIA]],DIAS!A:F,6,0)</f>
        <v>46203</v>
      </c>
      <c r="R204" s="6">
        <v>0</v>
      </c>
      <c r="S204" s="43">
        <f>VLOOKUP(Tabla1[[#This Row],[PAGO DIA]],DIAS!A:G,7,0)</f>
        <v>46234</v>
      </c>
      <c r="T204" s="6">
        <v>0</v>
      </c>
      <c r="U204" s="43">
        <f>VLOOKUP(Tabla1[[#This Row],[PAGO DIA]],DIAS!A:H,8,0)</f>
        <v>46265</v>
      </c>
      <c r="V204" s="6">
        <v>0</v>
      </c>
      <c r="W204" s="43">
        <f>VLOOKUP(Tabla1[[#This Row],[PAGO DIA]],DIAS!A:I,9,0)</f>
        <v>46295</v>
      </c>
      <c r="X204" s="6">
        <v>0</v>
      </c>
      <c r="Y204" s="43">
        <f>VLOOKUP(Tabla1[[#This Row],[PAGO DIA]],DIAS!A:J,10,0)</f>
        <v>46325</v>
      </c>
      <c r="Z204" s="6">
        <v>0</v>
      </c>
      <c r="AA204" s="43">
        <f>VLOOKUP(Tabla1[[#This Row],[PAGO DIA]],DIAS!A:K,11,0)</f>
        <v>46356</v>
      </c>
      <c r="AB204" s="6">
        <v>0</v>
      </c>
      <c r="AC204" s="43">
        <f>VLOOKUP(Tabla1[[#This Row],[PAGO DIA]],DIAS!A:M,12,0)</f>
        <v>46386</v>
      </c>
      <c r="AD2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5" spans="1:30">
      <c r="A205" s="3">
        <v>12538</v>
      </c>
      <c r="B205" s="3" t="s">
        <v>628</v>
      </c>
      <c r="C205" s="3" t="s">
        <v>629</v>
      </c>
      <c r="D205" s="3" t="s">
        <v>540</v>
      </c>
      <c r="E205" s="3" t="s">
        <v>810</v>
      </c>
      <c r="F205" s="42" t="s">
        <v>631</v>
      </c>
      <c r="G205" s="3" t="s">
        <v>814</v>
      </c>
      <c r="H205" s="6">
        <v>0</v>
      </c>
      <c r="I205" s="41">
        <f>VLOOKUP(Tabla1[[#This Row],[PAGO DIA]],DIAS!A:B,2,0)</f>
        <v>46080</v>
      </c>
      <c r="J205" s="6">
        <v>0</v>
      </c>
      <c r="K205" s="43">
        <f>VLOOKUP(Tabla1[[#This Row],[PAGO DIA]],DIAS!A:C,3,0)</f>
        <v>46112</v>
      </c>
      <c r="L205" s="6">
        <v>0</v>
      </c>
      <c r="M205" s="41">
        <f>VLOOKUP(Tabla1[[#This Row],[PAGO DIA]],DIAS!A:D,4,0)</f>
        <v>46142</v>
      </c>
      <c r="N205" s="6">
        <v>0</v>
      </c>
      <c r="O205" s="43">
        <f>VLOOKUP(Tabla1[[#This Row],[PAGO DIA]],DIAS!A:E,5,0)</f>
        <v>46171</v>
      </c>
      <c r="P205" s="6">
        <v>0</v>
      </c>
      <c r="Q205" s="43">
        <f>VLOOKUP(Tabla1[[#This Row],[PAGO DIA]],DIAS!A:F,6,0)</f>
        <v>46203</v>
      </c>
      <c r="R205" s="6">
        <v>0</v>
      </c>
      <c r="S205" s="43">
        <f>VLOOKUP(Tabla1[[#This Row],[PAGO DIA]],DIAS!A:G,7,0)</f>
        <v>46234</v>
      </c>
      <c r="T205" s="6">
        <v>0</v>
      </c>
      <c r="U205" s="43">
        <f>VLOOKUP(Tabla1[[#This Row],[PAGO DIA]],DIAS!A:H,8,0)</f>
        <v>46265</v>
      </c>
      <c r="V205" s="6">
        <v>0</v>
      </c>
      <c r="W205" s="43">
        <f>VLOOKUP(Tabla1[[#This Row],[PAGO DIA]],DIAS!A:I,9,0)</f>
        <v>46295</v>
      </c>
      <c r="X205" s="6">
        <v>0</v>
      </c>
      <c r="Y205" s="43">
        <f>VLOOKUP(Tabla1[[#This Row],[PAGO DIA]],DIAS!A:J,10,0)</f>
        <v>46325</v>
      </c>
      <c r="Z205" s="6">
        <v>0</v>
      </c>
      <c r="AA205" s="43">
        <f>VLOOKUP(Tabla1[[#This Row],[PAGO DIA]],DIAS!A:K,11,0)</f>
        <v>46356</v>
      </c>
      <c r="AB205" s="6">
        <v>0</v>
      </c>
      <c r="AC205" s="43">
        <f>VLOOKUP(Tabla1[[#This Row],[PAGO DIA]],DIAS!A:M,12,0)</f>
        <v>46386</v>
      </c>
      <c r="AD2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6" spans="1:30">
      <c r="A206" s="3">
        <v>12544</v>
      </c>
      <c r="B206" s="3" t="s">
        <v>628</v>
      </c>
      <c r="C206" s="3" t="s">
        <v>629</v>
      </c>
      <c r="D206" s="3" t="s">
        <v>540</v>
      </c>
      <c r="E206" s="3" t="s">
        <v>810</v>
      </c>
      <c r="F206" s="42" t="s">
        <v>631</v>
      </c>
      <c r="G206" s="3" t="s">
        <v>815</v>
      </c>
      <c r="H206" s="6">
        <v>0</v>
      </c>
      <c r="I206" s="41">
        <f>VLOOKUP(Tabla1[[#This Row],[PAGO DIA]],DIAS!A:B,2,0)</f>
        <v>46080</v>
      </c>
      <c r="J206" s="6">
        <v>0</v>
      </c>
      <c r="K206" s="43">
        <f>VLOOKUP(Tabla1[[#This Row],[PAGO DIA]],DIAS!A:C,3,0)</f>
        <v>46112</v>
      </c>
      <c r="L206" s="6">
        <v>0</v>
      </c>
      <c r="M206" s="41">
        <f>VLOOKUP(Tabla1[[#This Row],[PAGO DIA]],DIAS!A:D,4,0)</f>
        <v>46142</v>
      </c>
      <c r="N206" s="6">
        <v>0</v>
      </c>
      <c r="O206" s="43">
        <f>VLOOKUP(Tabla1[[#This Row],[PAGO DIA]],DIAS!A:E,5,0)</f>
        <v>46171</v>
      </c>
      <c r="P206" s="6">
        <v>0</v>
      </c>
      <c r="Q206" s="43">
        <f>VLOOKUP(Tabla1[[#This Row],[PAGO DIA]],DIAS!A:F,6,0)</f>
        <v>46203</v>
      </c>
      <c r="R206" s="6">
        <v>0</v>
      </c>
      <c r="S206" s="43">
        <f>VLOOKUP(Tabla1[[#This Row],[PAGO DIA]],DIAS!A:G,7,0)</f>
        <v>46234</v>
      </c>
      <c r="T206" s="6">
        <v>0</v>
      </c>
      <c r="U206" s="43">
        <f>VLOOKUP(Tabla1[[#This Row],[PAGO DIA]],DIAS!A:H,8,0)</f>
        <v>46265</v>
      </c>
      <c r="V206" s="6">
        <v>0</v>
      </c>
      <c r="W206" s="43">
        <f>VLOOKUP(Tabla1[[#This Row],[PAGO DIA]],DIAS!A:I,9,0)</f>
        <v>46295</v>
      </c>
      <c r="X206" s="6">
        <v>0</v>
      </c>
      <c r="Y206" s="43">
        <f>VLOOKUP(Tabla1[[#This Row],[PAGO DIA]],DIAS!A:J,10,0)</f>
        <v>46325</v>
      </c>
      <c r="Z206" s="6">
        <v>0</v>
      </c>
      <c r="AA206" s="43">
        <f>VLOOKUP(Tabla1[[#This Row],[PAGO DIA]],DIAS!A:K,11,0)</f>
        <v>46356</v>
      </c>
      <c r="AB206" s="6">
        <v>0</v>
      </c>
      <c r="AC206" s="43">
        <f>VLOOKUP(Tabla1[[#This Row],[PAGO DIA]],DIAS!A:M,12,0)</f>
        <v>46386</v>
      </c>
      <c r="AD2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7" spans="1:30">
      <c r="A207" s="3">
        <v>12547</v>
      </c>
      <c r="B207" s="3" t="s">
        <v>628</v>
      </c>
      <c r="C207" s="3" t="s">
        <v>629</v>
      </c>
      <c r="D207" s="3" t="s">
        <v>540</v>
      </c>
      <c r="E207" s="3" t="s">
        <v>810</v>
      </c>
      <c r="F207" s="42" t="s">
        <v>631</v>
      </c>
      <c r="G207" s="3" t="s">
        <v>816</v>
      </c>
      <c r="H207" s="6">
        <v>0</v>
      </c>
      <c r="I207" s="41">
        <f>VLOOKUP(Tabla1[[#This Row],[PAGO DIA]],DIAS!A:B,2,0)</f>
        <v>46080</v>
      </c>
      <c r="J207" s="6">
        <v>0</v>
      </c>
      <c r="K207" s="43">
        <f>VLOOKUP(Tabla1[[#This Row],[PAGO DIA]],DIAS!A:C,3,0)</f>
        <v>46112</v>
      </c>
      <c r="L207" s="6">
        <v>0</v>
      </c>
      <c r="M207" s="41">
        <f>VLOOKUP(Tabla1[[#This Row],[PAGO DIA]],DIAS!A:D,4,0)</f>
        <v>46142</v>
      </c>
      <c r="N207" s="6">
        <v>0</v>
      </c>
      <c r="O207" s="43">
        <f>VLOOKUP(Tabla1[[#This Row],[PAGO DIA]],DIAS!A:E,5,0)</f>
        <v>46171</v>
      </c>
      <c r="P207" s="6">
        <v>0</v>
      </c>
      <c r="Q207" s="43">
        <f>VLOOKUP(Tabla1[[#This Row],[PAGO DIA]],DIAS!A:F,6,0)</f>
        <v>46203</v>
      </c>
      <c r="R207" s="6">
        <v>0</v>
      </c>
      <c r="S207" s="43">
        <f>VLOOKUP(Tabla1[[#This Row],[PAGO DIA]],DIAS!A:G,7,0)</f>
        <v>46234</v>
      </c>
      <c r="T207" s="6">
        <v>0</v>
      </c>
      <c r="U207" s="43">
        <f>VLOOKUP(Tabla1[[#This Row],[PAGO DIA]],DIAS!A:H,8,0)</f>
        <v>46265</v>
      </c>
      <c r="V207" s="6">
        <v>0</v>
      </c>
      <c r="W207" s="43">
        <f>VLOOKUP(Tabla1[[#This Row],[PAGO DIA]],DIAS!A:I,9,0)</f>
        <v>46295</v>
      </c>
      <c r="X207" s="6">
        <v>0</v>
      </c>
      <c r="Y207" s="43">
        <f>VLOOKUP(Tabla1[[#This Row],[PAGO DIA]],DIAS!A:J,10,0)</f>
        <v>46325</v>
      </c>
      <c r="Z207" s="6">
        <v>0</v>
      </c>
      <c r="AA207" s="43">
        <f>VLOOKUP(Tabla1[[#This Row],[PAGO DIA]],DIAS!A:K,11,0)</f>
        <v>46356</v>
      </c>
      <c r="AB207" s="6">
        <v>0</v>
      </c>
      <c r="AC207" s="43">
        <f>VLOOKUP(Tabla1[[#This Row],[PAGO DIA]],DIAS!A:M,12,0)</f>
        <v>46386</v>
      </c>
      <c r="AD2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8" spans="1:30">
      <c r="A208" s="3">
        <v>12557</v>
      </c>
      <c r="B208" s="3" t="s">
        <v>628</v>
      </c>
      <c r="C208" s="3" t="s">
        <v>629</v>
      </c>
      <c r="D208" s="3" t="s">
        <v>540</v>
      </c>
      <c r="E208" s="3" t="s">
        <v>810</v>
      </c>
      <c r="F208" s="42" t="s">
        <v>631</v>
      </c>
      <c r="G208" s="3" t="s">
        <v>817</v>
      </c>
      <c r="H208" s="6">
        <v>0</v>
      </c>
      <c r="I208" s="41">
        <f>VLOOKUP(Tabla1[[#This Row],[PAGO DIA]],DIAS!A:B,2,0)</f>
        <v>46080</v>
      </c>
      <c r="J208" s="6">
        <v>0</v>
      </c>
      <c r="K208" s="43">
        <f>VLOOKUP(Tabla1[[#This Row],[PAGO DIA]],DIAS!A:C,3,0)</f>
        <v>46112</v>
      </c>
      <c r="L208" s="6">
        <v>0</v>
      </c>
      <c r="M208" s="41">
        <f>VLOOKUP(Tabla1[[#This Row],[PAGO DIA]],DIAS!A:D,4,0)</f>
        <v>46142</v>
      </c>
      <c r="N208" s="6">
        <v>0</v>
      </c>
      <c r="O208" s="43">
        <f>VLOOKUP(Tabla1[[#This Row],[PAGO DIA]],DIAS!A:E,5,0)</f>
        <v>46171</v>
      </c>
      <c r="P208" s="6">
        <v>0</v>
      </c>
      <c r="Q208" s="43">
        <f>VLOOKUP(Tabla1[[#This Row],[PAGO DIA]],DIAS!A:F,6,0)</f>
        <v>46203</v>
      </c>
      <c r="R208" s="6">
        <v>0</v>
      </c>
      <c r="S208" s="43">
        <f>VLOOKUP(Tabla1[[#This Row],[PAGO DIA]],DIAS!A:G,7,0)</f>
        <v>46234</v>
      </c>
      <c r="T208" s="6">
        <v>0</v>
      </c>
      <c r="U208" s="43">
        <f>VLOOKUP(Tabla1[[#This Row],[PAGO DIA]],DIAS!A:H,8,0)</f>
        <v>46265</v>
      </c>
      <c r="V208" s="6">
        <v>0</v>
      </c>
      <c r="W208" s="43">
        <f>VLOOKUP(Tabla1[[#This Row],[PAGO DIA]],DIAS!A:I,9,0)</f>
        <v>46295</v>
      </c>
      <c r="X208" s="6">
        <v>0</v>
      </c>
      <c r="Y208" s="43">
        <f>VLOOKUP(Tabla1[[#This Row],[PAGO DIA]],DIAS!A:J,10,0)</f>
        <v>46325</v>
      </c>
      <c r="Z208" s="6">
        <v>0</v>
      </c>
      <c r="AA208" s="43">
        <f>VLOOKUP(Tabla1[[#This Row],[PAGO DIA]],DIAS!A:K,11,0)</f>
        <v>46356</v>
      </c>
      <c r="AB208" s="6">
        <v>0</v>
      </c>
      <c r="AC208" s="43">
        <f>VLOOKUP(Tabla1[[#This Row],[PAGO DIA]],DIAS!A:M,12,0)</f>
        <v>46386</v>
      </c>
      <c r="AD2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09" spans="1:30">
      <c r="A209" s="3">
        <v>12714</v>
      </c>
      <c r="B209" s="3" t="s">
        <v>628</v>
      </c>
      <c r="C209" s="3" t="s">
        <v>629</v>
      </c>
      <c r="D209" s="3" t="s">
        <v>540</v>
      </c>
      <c r="E209" s="3" t="s">
        <v>810</v>
      </c>
      <c r="F209" s="42" t="s">
        <v>631</v>
      </c>
      <c r="G209" s="3" t="s">
        <v>818</v>
      </c>
      <c r="H209" s="6">
        <v>0</v>
      </c>
      <c r="I209" s="41">
        <f>VLOOKUP(Tabla1[[#This Row],[PAGO DIA]],DIAS!A:B,2,0)</f>
        <v>46080</v>
      </c>
      <c r="J209" s="6">
        <v>0</v>
      </c>
      <c r="K209" s="43">
        <f>VLOOKUP(Tabla1[[#This Row],[PAGO DIA]],DIAS!A:C,3,0)</f>
        <v>46112</v>
      </c>
      <c r="L209" s="6">
        <v>0</v>
      </c>
      <c r="M209" s="41">
        <f>VLOOKUP(Tabla1[[#This Row],[PAGO DIA]],DIAS!A:D,4,0)</f>
        <v>46142</v>
      </c>
      <c r="N209" s="6">
        <v>0</v>
      </c>
      <c r="O209" s="43">
        <f>VLOOKUP(Tabla1[[#This Row],[PAGO DIA]],DIAS!A:E,5,0)</f>
        <v>46171</v>
      </c>
      <c r="P209" s="6">
        <v>0</v>
      </c>
      <c r="Q209" s="43">
        <f>VLOOKUP(Tabla1[[#This Row],[PAGO DIA]],DIAS!A:F,6,0)</f>
        <v>46203</v>
      </c>
      <c r="R209" s="6">
        <v>0</v>
      </c>
      <c r="S209" s="43">
        <f>VLOOKUP(Tabla1[[#This Row],[PAGO DIA]],DIAS!A:G,7,0)</f>
        <v>46234</v>
      </c>
      <c r="T209" s="6">
        <v>0</v>
      </c>
      <c r="U209" s="43">
        <f>VLOOKUP(Tabla1[[#This Row],[PAGO DIA]],DIAS!A:H,8,0)</f>
        <v>46265</v>
      </c>
      <c r="V209" s="6">
        <v>0</v>
      </c>
      <c r="W209" s="43">
        <f>VLOOKUP(Tabla1[[#This Row],[PAGO DIA]],DIAS!A:I,9,0)</f>
        <v>46295</v>
      </c>
      <c r="X209" s="6">
        <v>0</v>
      </c>
      <c r="Y209" s="43">
        <f>VLOOKUP(Tabla1[[#This Row],[PAGO DIA]],DIAS!A:J,10,0)</f>
        <v>46325</v>
      </c>
      <c r="Z209" s="6">
        <v>0</v>
      </c>
      <c r="AA209" s="43">
        <f>VLOOKUP(Tabla1[[#This Row],[PAGO DIA]],DIAS!A:K,11,0)</f>
        <v>46356</v>
      </c>
      <c r="AB209" s="6">
        <v>0</v>
      </c>
      <c r="AC209" s="43">
        <f>VLOOKUP(Tabla1[[#This Row],[PAGO DIA]],DIAS!A:M,12,0)</f>
        <v>46386</v>
      </c>
      <c r="AD2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0" spans="1:30">
      <c r="A210" s="3">
        <v>12792</v>
      </c>
      <c r="B210" s="3" t="s">
        <v>628</v>
      </c>
      <c r="C210" s="3" t="s">
        <v>629</v>
      </c>
      <c r="D210" s="3" t="s">
        <v>540</v>
      </c>
      <c r="E210" s="3" t="s">
        <v>810</v>
      </c>
      <c r="F210" s="42" t="s">
        <v>631</v>
      </c>
      <c r="G210" s="3" t="s">
        <v>819</v>
      </c>
      <c r="H210" s="6">
        <v>0</v>
      </c>
      <c r="I210" s="41">
        <f>VLOOKUP(Tabla1[[#This Row],[PAGO DIA]],DIAS!A:B,2,0)</f>
        <v>46080</v>
      </c>
      <c r="J210" s="6">
        <v>0</v>
      </c>
      <c r="K210" s="43">
        <f>VLOOKUP(Tabla1[[#This Row],[PAGO DIA]],DIAS!A:C,3,0)</f>
        <v>46112</v>
      </c>
      <c r="L210" s="6">
        <v>0</v>
      </c>
      <c r="M210" s="41">
        <f>VLOOKUP(Tabla1[[#This Row],[PAGO DIA]],DIAS!A:D,4,0)</f>
        <v>46142</v>
      </c>
      <c r="N210" s="6">
        <v>0</v>
      </c>
      <c r="O210" s="43">
        <f>VLOOKUP(Tabla1[[#This Row],[PAGO DIA]],DIAS!A:E,5,0)</f>
        <v>46171</v>
      </c>
      <c r="P210" s="6">
        <v>0</v>
      </c>
      <c r="Q210" s="43">
        <f>VLOOKUP(Tabla1[[#This Row],[PAGO DIA]],DIAS!A:F,6,0)</f>
        <v>46203</v>
      </c>
      <c r="R210" s="6">
        <v>0</v>
      </c>
      <c r="S210" s="43">
        <f>VLOOKUP(Tabla1[[#This Row],[PAGO DIA]],DIAS!A:G,7,0)</f>
        <v>46234</v>
      </c>
      <c r="T210" s="6">
        <v>0</v>
      </c>
      <c r="U210" s="43">
        <f>VLOOKUP(Tabla1[[#This Row],[PAGO DIA]],DIAS!A:H,8,0)</f>
        <v>46265</v>
      </c>
      <c r="V210" s="6">
        <v>0</v>
      </c>
      <c r="W210" s="43">
        <f>VLOOKUP(Tabla1[[#This Row],[PAGO DIA]],DIAS!A:I,9,0)</f>
        <v>46295</v>
      </c>
      <c r="X210" s="6">
        <v>0</v>
      </c>
      <c r="Y210" s="43">
        <f>VLOOKUP(Tabla1[[#This Row],[PAGO DIA]],DIAS!A:J,10,0)</f>
        <v>46325</v>
      </c>
      <c r="Z210" s="6">
        <v>0</v>
      </c>
      <c r="AA210" s="43">
        <f>VLOOKUP(Tabla1[[#This Row],[PAGO DIA]],DIAS!A:K,11,0)</f>
        <v>46356</v>
      </c>
      <c r="AB210" s="6">
        <v>0</v>
      </c>
      <c r="AC210" s="43">
        <f>VLOOKUP(Tabla1[[#This Row],[PAGO DIA]],DIAS!A:M,12,0)</f>
        <v>46386</v>
      </c>
      <c r="AD2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1" spans="1:30">
      <c r="A211" s="3">
        <v>12797</v>
      </c>
      <c r="B211" s="3" t="s">
        <v>628</v>
      </c>
      <c r="C211" s="3" t="s">
        <v>629</v>
      </c>
      <c r="D211" s="3" t="s">
        <v>540</v>
      </c>
      <c r="E211" s="3" t="s">
        <v>810</v>
      </c>
      <c r="F211" s="42" t="s">
        <v>631</v>
      </c>
      <c r="G211" s="3" t="s">
        <v>820</v>
      </c>
      <c r="H211" s="6">
        <v>0</v>
      </c>
      <c r="I211" s="41">
        <f>VLOOKUP(Tabla1[[#This Row],[PAGO DIA]],DIAS!A:B,2,0)</f>
        <v>46080</v>
      </c>
      <c r="J211" s="6">
        <v>0</v>
      </c>
      <c r="K211" s="43">
        <f>VLOOKUP(Tabla1[[#This Row],[PAGO DIA]],DIAS!A:C,3,0)</f>
        <v>46112</v>
      </c>
      <c r="L211" s="6">
        <v>0</v>
      </c>
      <c r="M211" s="41">
        <f>VLOOKUP(Tabla1[[#This Row],[PAGO DIA]],DIAS!A:D,4,0)</f>
        <v>46142</v>
      </c>
      <c r="N211" s="6">
        <v>0</v>
      </c>
      <c r="O211" s="43">
        <f>VLOOKUP(Tabla1[[#This Row],[PAGO DIA]],DIAS!A:E,5,0)</f>
        <v>46171</v>
      </c>
      <c r="P211" s="6">
        <v>0</v>
      </c>
      <c r="Q211" s="43">
        <f>VLOOKUP(Tabla1[[#This Row],[PAGO DIA]],DIAS!A:F,6,0)</f>
        <v>46203</v>
      </c>
      <c r="R211" s="6">
        <v>0</v>
      </c>
      <c r="S211" s="43">
        <f>VLOOKUP(Tabla1[[#This Row],[PAGO DIA]],DIAS!A:G,7,0)</f>
        <v>46234</v>
      </c>
      <c r="T211" s="6">
        <v>0</v>
      </c>
      <c r="U211" s="43">
        <f>VLOOKUP(Tabla1[[#This Row],[PAGO DIA]],DIAS!A:H,8,0)</f>
        <v>46265</v>
      </c>
      <c r="V211" s="6">
        <v>0</v>
      </c>
      <c r="W211" s="43">
        <f>VLOOKUP(Tabla1[[#This Row],[PAGO DIA]],DIAS!A:I,9,0)</f>
        <v>46295</v>
      </c>
      <c r="X211" s="6">
        <v>0</v>
      </c>
      <c r="Y211" s="43">
        <f>VLOOKUP(Tabla1[[#This Row],[PAGO DIA]],DIAS!A:J,10,0)</f>
        <v>46325</v>
      </c>
      <c r="Z211" s="6">
        <v>0</v>
      </c>
      <c r="AA211" s="43">
        <f>VLOOKUP(Tabla1[[#This Row],[PAGO DIA]],DIAS!A:K,11,0)</f>
        <v>46356</v>
      </c>
      <c r="AB211" s="6">
        <v>0</v>
      </c>
      <c r="AC211" s="43">
        <f>VLOOKUP(Tabla1[[#This Row],[PAGO DIA]],DIAS!A:M,12,0)</f>
        <v>46386</v>
      </c>
      <c r="AD2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2" spans="1:30">
      <c r="A212" s="3">
        <v>12798</v>
      </c>
      <c r="B212" s="3" t="s">
        <v>628</v>
      </c>
      <c r="C212" s="3" t="s">
        <v>629</v>
      </c>
      <c r="D212" s="3" t="s">
        <v>540</v>
      </c>
      <c r="E212" s="3" t="s">
        <v>810</v>
      </c>
      <c r="F212" s="42" t="s">
        <v>631</v>
      </c>
      <c r="G212" s="3" t="s">
        <v>821</v>
      </c>
      <c r="H212" s="6">
        <v>0</v>
      </c>
      <c r="I212" s="41">
        <f>VLOOKUP(Tabla1[[#This Row],[PAGO DIA]],DIAS!A:B,2,0)</f>
        <v>46080</v>
      </c>
      <c r="J212" s="6">
        <v>0</v>
      </c>
      <c r="K212" s="43">
        <f>VLOOKUP(Tabla1[[#This Row],[PAGO DIA]],DIAS!A:C,3,0)</f>
        <v>46112</v>
      </c>
      <c r="L212" s="6">
        <v>0</v>
      </c>
      <c r="M212" s="41">
        <f>VLOOKUP(Tabla1[[#This Row],[PAGO DIA]],DIAS!A:D,4,0)</f>
        <v>46142</v>
      </c>
      <c r="N212" s="6">
        <v>0</v>
      </c>
      <c r="O212" s="43">
        <f>VLOOKUP(Tabla1[[#This Row],[PAGO DIA]],DIAS!A:E,5,0)</f>
        <v>46171</v>
      </c>
      <c r="P212" s="6">
        <v>0</v>
      </c>
      <c r="Q212" s="43">
        <f>VLOOKUP(Tabla1[[#This Row],[PAGO DIA]],DIAS!A:F,6,0)</f>
        <v>46203</v>
      </c>
      <c r="R212" s="6">
        <v>0</v>
      </c>
      <c r="S212" s="43">
        <f>VLOOKUP(Tabla1[[#This Row],[PAGO DIA]],DIAS!A:G,7,0)</f>
        <v>46234</v>
      </c>
      <c r="T212" s="6">
        <v>0</v>
      </c>
      <c r="U212" s="43">
        <f>VLOOKUP(Tabla1[[#This Row],[PAGO DIA]],DIAS!A:H,8,0)</f>
        <v>46265</v>
      </c>
      <c r="V212" s="6">
        <v>0</v>
      </c>
      <c r="W212" s="43">
        <f>VLOOKUP(Tabla1[[#This Row],[PAGO DIA]],DIAS!A:I,9,0)</f>
        <v>46295</v>
      </c>
      <c r="X212" s="6">
        <v>0</v>
      </c>
      <c r="Y212" s="43">
        <f>VLOOKUP(Tabla1[[#This Row],[PAGO DIA]],DIAS!A:J,10,0)</f>
        <v>46325</v>
      </c>
      <c r="Z212" s="6">
        <v>0</v>
      </c>
      <c r="AA212" s="43">
        <f>VLOOKUP(Tabla1[[#This Row],[PAGO DIA]],DIAS!A:K,11,0)</f>
        <v>46356</v>
      </c>
      <c r="AB212" s="6">
        <v>0</v>
      </c>
      <c r="AC212" s="43">
        <f>VLOOKUP(Tabla1[[#This Row],[PAGO DIA]],DIAS!A:M,12,0)</f>
        <v>46386</v>
      </c>
      <c r="AD2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3" spans="1:30">
      <c r="A213" s="3">
        <v>12799</v>
      </c>
      <c r="B213" s="3" t="s">
        <v>628</v>
      </c>
      <c r="C213" s="3" t="s">
        <v>629</v>
      </c>
      <c r="D213" s="3" t="s">
        <v>540</v>
      </c>
      <c r="E213" s="3" t="s">
        <v>810</v>
      </c>
      <c r="F213" s="42" t="s">
        <v>631</v>
      </c>
      <c r="G213" s="3" t="s">
        <v>822</v>
      </c>
      <c r="H213" s="6">
        <v>0</v>
      </c>
      <c r="I213" s="41">
        <f>VLOOKUP(Tabla1[[#This Row],[PAGO DIA]],DIAS!A:B,2,0)</f>
        <v>46080</v>
      </c>
      <c r="J213" s="6">
        <v>0</v>
      </c>
      <c r="K213" s="43">
        <f>VLOOKUP(Tabla1[[#This Row],[PAGO DIA]],DIAS!A:C,3,0)</f>
        <v>46112</v>
      </c>
      <c r="L213" s="6">
        <v>0</v>
      </c>
      <c r="M213" s="41">
        <f>VLOOKUP(Tabla1[[#This Row],[PAGO DIA]],DIAS!A:D,4,0)</f>
        <v>46142</v>
      </c>
      <c r="N213" s="6">
        <v>0</v>
      </c>
      <c r="O213" s="43">
        <f>VLOOKUP(Tabla1[[#This Row],[PAGO DIA]],DIAS!A:E,5,0)</f>
        <v>46171</v>
      </c>
      <c r="P213" s="6">
        <v>0</v>
      </c>
      <c r="Q213" s="43">
        <f>VLOOKUP(Tabla1[[#This Row],[PAGO DIA]],DIAS!A:F,6,0)</f>
        <v>46203</v>
      </c>
      <c r="R213" s="6">
        <v>0</v>
      </c>
      <c r="S213" s="43">
        <f>VLOOKUP(Tabla1[[#This Row],[PAGO DIA]],DIAS!A:G,7,0)</f>
        <v>46234</v>
      </c>
      <c r="T213" s="6">
        <v>0</v>
      </c>
      <c r="U213" s="43">
        <f>VLOOKUP(Tabla1[[#This Row],[PAGO DIA]],DIAS!A:H,8,0)</f>
        <v>46265</v>
      </c>
      <c r="V213" s="6">
        <v>0</v>
      </c>
      <c r="W213" s="43">
        <f>VLOOKUP(Tabla1[[#This Row],[PAGO DIA]],DIAS!A:I,9,0)</f>
        <v>46295</v>
      </c>
      <c r="X213" s="6">
        <v>0</v>
      </c>
      <c r="Y213" s="43">
        <f>VLOOKUP(Tabla1[[#This Row],[PAGO DIA]],DIAS!A:J,10,0)</f>
        <v>46325</v>
      </c>
      <c r="Z213" s="6">
        <v>0</v>
      </c>
      <c r="AA213" s="43">
        <f>VLOOKUP(Tabla1[[#This Row],[PAGO DIA]],DIAS!A:K,11,0)</f>
        <v>46356</v>
      </c>
      <c r="AB213" s="6">
        <v>0</v>
      </c>
      <c r="AC213" s="43">
        <f>VLOOKUP(Tabla1[[#This Row],[PAGO DIA]],DIAS!A:M,12,0)</f>
        <v>46386</v>
      </c>
      <c r="AD2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4" spans="1:30">
      <c r="A214" s="3">
        <v>11752</v>
      </c>
      <c r="B214" s="3" t="s">
        <v>628</v>
      </c>
      <c r="C214" s="3" t="s">
        <v>629</v>
      </c>
      <c r="D214" s="3" t="s">
        <v>629</v>
      </c>
      <c r="E214" s="3" t="s">
        <v>823</v>
      </c>
      <c r="F214" s="42" t="s">
        <v>631</v>
      </c>
      <c r="G214" s="3" t="s">
        <v>635</v>
      </c>
      <c r="H214" s="6">
        <v>0</v>
      </c>
      <c r="I214" s="41">
        <f>VLOOKUP(Tabla1[[#This Row],[PAGO DIA]],DIAS!A:B,2,0)</f>
        <v>46080</v>
      </c>
      <c r="J214" s="6">
        <v>0</v>
      </c>
      <c r="K214" s="43">
        <f>VLOOKUP(Tabla1[[#This Row],[PAGO DIA]],DIAS!A:C,3,0)</f>
        <v>46112</v>
      </c>
      <c r="L214" s="6">
        <v>0</v>
      </c>
      <c r="M214" s="41">
        <f>VLOOKUP(Tabla1[[#This Row],[PAGO DIA]],DIAS!A:D,4,0)</f>
        <v>46142</v>
      </c>
      <c r="N214" s="6">
        <v>0</v>
      </c>
      <c r="O214" s="43">
        <f>VLOOKUP(Tabla1[[#This Row],[PAGO DIA]],DIAS!A:E,5,0)</f>
        <v>46171</v>
      </c>
      <c r="P214" s="6">
        <v>0</v>
      </c>
      <c r="Q214" s="43">
        <f>VLOOKUP(Tabla1[[#This Row],[PAGO DIA]],DIAS!A:F,6,0)</f>
        <v>46203</v>
      </c>
      <c r="R214" s="6">
        <v>0</v>
      </c>
      <c r="S214" s="43">
        <f>VLOOKUP(Tabla1[[#This Row],[PAGO DIA]],DIAS!A:G,7,0)</f>
        <v>46234</v>
      </c>
      <c r="T214" s="6">
        <v>0</v>
      </c>
      <c r="U214" s="43">
        <f>VLOOKUP(Tabla1[[#This Row],[PAGO DIA]],DIAS!A:H,8,0)</f>
        <v>46265</v>
      </c>
      <c r="V214" s="6">
        <v>0</v>
      </c>
      <c r="W214" s="43">
        <f>VLOOKUP(Tabla1[[#This Row],[PAGO DIA]],DIAS!A:I,9,0)</f>
        <v>46295</v>
      </c>
      <c r="X214" s="6">
        <v>0</v>
      </c>
      <c r="Y214" s="43">
        <f>VLOOKUP(Tabla1[[#This Row],[PAGO DIA]],DIAS!A:J,10,0)</f>
        <v>46325</v>
      </c>
      <c r="Z214" s="6">
        <v>0</v>
      </c>
      <c r="AA214" s="43">
        <f>VLOOKUP(Tabla1[[#This Row],[PAGO DIA]],DIAS!A:K,11,0)</f>
        <v>46356</v>
      </c>
      <c r="AB214" s="6">
        <v>0</v>
      </c>
      <c r="AC214" s="43">
        <f>VLOOKUP(Tabla1[[#This Row],[PAGO DIA]],DIAS!A:M,12,0)</f>
        <v>46386</v>
      </c>
      <c r="AD2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5" spans="1:30">
      <c r="A215" s="3">
        <v>11753</v>
      </c>
      <c r="B215" s="3" t="s">
        <v>628</v>
      </c>
      <c r="C215" s="3" t="s">
        <v>540</v>
      </c>
      <c r="D215" s="3" t="s">
        <v>540</v>
      </c>
      <c r="E215" s="3" t="s">
        <v>823</v>
      </c>
      <c r="F215" s="42" t="s">
        <v>631</v>
      </c>
      <c r="G215" s="3" t="s">
        <v>824</v>
      </c>
      <c r="H215" s="6">
        <v>0</v>
      </c>
      <c r="I215" s="41">
        <f>VLOOKUP(Tabla1[[#This Row],[PAGO DIA]],DIAS!A:B,2,0)</f>
        <v>46080</v>
      </c>
      <c r="J215" s="6">
        <v>0</v>
      </c>
      <c r="K215" s="43">
        <f>VLOOKUP(Tabla1[[#This Row],[PAGO DIA]],DIAS!A:C,3,0)</f>
        <v>46112</v>
      </c>
      <c r="L215" s="6">
        <v>0</v>
      </c>
      <c r="M215" s="41">
        <f>VLOOKUP(Tabla1[[#This Row],[PAGO DIA]],DIAS!A:D,4,0)</f>
        <v>46142</v>
      </c>
      <c r="N215" s="6">
        <v>0</v>
      </c>
      <c r="O215" s="43">
        <f>VLOOKUP(Tabla1[[#This Row],[PAGO DIA]],DIAS!A:E,5,0)</f>
        <v>46171</v>
      </c>
      <c r="P215" s="6">
        <v>0</v>
      </c>
      <c r="Q215" s="43">
        <f>VLOOKUP(Tabla1[[#This Row],[PAGO DIA]],DIAS!A:F,6,0)</f>
        <v>46203</v>
      </c>
      <c r="R215" s="6">
        <v>0</v>
      </c>
      <c r="S215" s="43">
        <f>VLOOKUP(Tabla1[[#This Row],[PAGO DIA]],DIAS!A:G,7,0)</f>
        <v>46234</v>
      </c>
      <c r="T215" s="6">
        <v>0</v>
      </c>
      <c r="U215" s="43">
        <f>VLOOKUP(Tabla1[[#This Row],[PAGO DIA]],DIAS!A:H,8,0)</f>
        <v>46265</v>
      </c>
      <c r="V215" s="6">
        <v>0</v>
      </c>
      <c r="W215" s="43">
        <f>VLOOKUP(Tabla1[[#This Row],[PAGO DIA]],DIAS!A:I,9,0)</f>
        <v>46295</v>
      </c>
      <c r="X215" s="6">
        <v>0</v>
      </c>
      <c r="Y215" s="43">
        <f>VLOOKUP(Tabla1[[#This Row],[PAGO DIA]],DIAS!A:J,10,0)</f>
        <v>46325</v>
      </c>
      <c r="Z215" s="6">
        <v>0</v>
      </c>
      <c r="AA215" s="43">
        <f>VLOOKUP(Tabla1[[#This Row],[PAGO DIA]],DIAS!A:K,11,0)</f>
        <v>46356</v>
      </c>
      <c r="AB215" s="6">
        <v>0</v>
      </c>
      <c r="AC215" s="43">
        <f>VLOOKUP(Tabla1[[#This Row],[PAGO DIA]],DIAS!A:M,12,0)</f>
        <v>46386</v>
      </c>
      <c r="AD2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6" spans="1:30">
      <c r="A216" s="3">
        <v>11754</v>
      </c>
      <c r="B216" s="3" t="s">
        <v>628</v>
      </c>
      <c r="C216" s="3" t="s">
        <v>540</v>
      </c>
      <c r="D216" s="3" t="s">
        <v>540</v>
      </c>
      <c r="E216" s="3" t="s">
        <v>823</v>
      </c>
      <c r="F216" s="42" t="s">
        <v>631</v>
      </c>
      <c r="G216" s="3" t="s">
        <v>825</v>
      </c>
      <c r="H216" s="6">
        <v>0</v>
      </c>
      <c r="I216" s="41">
        <f>VLOOKUP(Tabla1[[#This Row],[PAGO DIA]],DIAS!A:B,2,0)</f>
        <v>46080</v>
      </c>
      <c r="J216" s="6">
        <v>0</v>
      </c>
      <c r="K216" s="43">
        <f>VLOOKUP(Tabla1[[#This Row],[PAGO DIA]],DIAS!A:C,3,0)</f>
        <v>46112</v>
      </c>
      <c r="L216" s="6">
        <v>0</v>
      </c>
      <c r="M216" s="41">
        <f>VLOOKUP(Tabla1[[#This Row],[PAGO DIA]],DIAS!A:D,4,0)</f>
        <v>46142</v>
      </c>
      <c r="N216" s="6">
        <v>0</v>
      </c>
      <c r="O216" s="43">
        <f>VLOOKUP(Tabla1[[#This Row],[PAGO DIA]],DIAS!A:E,5,0)</f>
        <v>46171</v>
      </c>
      <c r="P216" s="6">
        <v>0</v>
      </c>
      <c r="Q216" s="43">
        <f>VLOOKUP(Tabla1[[#This Row],[PAGO DIA]],DIAS!A:F,6,0)</f>
        <v>46203</v>
      </c>
      <c r="R216" s="6">
        <v>0</v>
      </c>
      <c r="S216" s="43">
        <f>VLOOKUP(Tabla1[[#This Row],[PAGO DIA]],DIAS!A:G,7,0)</f>
        <v>46234</v>
      </c>
      <c r="T216" s="6">
        <v>0</v>
      </c>
      <c r="U216" s="43">
        <f>VLOOKUP(Tabla1[[#This Row],[PAGO DIA]],DIAS!A:H,8,0)</f>
        <v>46265</v>
      </c>
      <c r="V216" s="6">
        <v>0</v>
      </c>
      <c r="W216" s="43">
        <f>VLOOKUP(Tabla1[[#This Row],[PAGO DIA]],DIAS!A:I,9,0)</f>
        <v>46295</v>
      </c>
      <c r="X216" s="6">
        <v>0</v>
      </c>
      <c r="Y216" s="43">
        <f>VLOOKUP(Tabla1[[#This Row],[PAGO DIA]],DIAS!A:J,10,0)</f>
        <v>46325</v>
      </c>
      <c r="Z216" s="6">
        <v>0</v>
      </c>
      <c r="AA216" s="43">
        <f>VLOOKUP(Tabla1[[#This Row],[PAGO DIA]],DIAS!A:K,11,0)</f>
        <v>46356</v>
      </c>
      <c r="AB216" s="6">
        <v>0</v>
      </c>
      <c r="AC216" s="43">
        <f>VLOOKUP(Tabla1[[#This Row],[PAGO DIA]],DIAS!A:M,12,0)</f>
        <v>46386</v>
      </c>
      <c r="AD2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7" spans="1:30">
      <c r="A217" s="3">
        <v>11755</v>
      </c>
      <c r="B217" s="3" t="s">
        <v>628</v>
      </c>
      <c r="C217" s="3" t="s">
        <v>540</v>
      </c>
      <c r="D217" s="3" t="s">
        <v>540</v>
      </c>
      <c r="E217" s="3" t="s">
        <v>823</v>
      </c>
      <c r="F217" s="42" t="s">
        <v>631</v>
      </c>
      <c r="G217" s="3" t="s">
        <v>826</v>
      </c>
      <c r="H217" s="6">
        <v>0</v>
      </c>
      <c r="I217" s="41">
        <f>VLOOKUP(Tabla1[[#This Row],[PAGO DIA]],DIAS!A:B,2,0)</f>
        <v>46080</v>
      </c>
      <c r="J217" s="6">
        <v>0</v>
      </c>
      <c r="K217" s="43">
        <f>VLOOKUP(Tabla1[[#This Row],[PAGO DIA]],DIAS!A:C,3,0)</f>
        <v>46112</v>
      </c>
      <c r="L217" s="6">
        <v>0</v>
      </c>
      <c r="M217" s="41">
        <f>VLOOKUP(Tabla1[[#This Row],[PAGO DIA]],DIAS!A:D,4,0)</f>
        <v>46142</v>
      </c>
      <c r="N217" s="6">
        <v>0</v>
      </c>
      <c r="O217" s="43">
        <f>VLOOKUP(Tabla1[[#This Row],[PAGO DIA]],DIAS!A:E,5,0)</f>
        <v>46171</v>
      </c>
      <c r="P217" s="6">
        <v>0</v>
      </c>
      <c r="Q217" s="43">
        <f>VLOOKUP(Tabla1[[#This Row],[PAGO DIA]],DIAS!A:F,6,0)</f>
        <v>46203</v>
      </c>
      <c r="R217" s="6">
        <v>0</v>
      </c>
      <c r="S217" s="43">
        <f>VLOOKUP(Tabla1[[#This Row],[PAGO DIA]],DIAS!A:G,7,0)</f>
        <v>46234</v>
      </c>
      <c r="T217" s="6">
        <v>0</v>
      </c>
      <c r="U217" s="43">
        <f>VLOOKUP(Tabla1[[#This Row],[PAGO DIA]],DIAS!A:H,8,0)</f>
        <v>46265</v>
      </c>
      <c r="V217" s="6">
        <v>0</v>
      </c>
      <c r="W217" s="43">
        <f>VLOOKUP(Tabla1[[#This Row],[PAGO DIA]],DIAS!A:I,9,0)</f>
        <v>46295</v>
      </c>
      <c r="X217" s="6">
        <v>0</v>
      </c>
      <c r="Y217" s="43">
        <f>VLOOKUP(Tabla1[[#This Row],[PAGO DIA]],DIAS!A:J,10,0)</f>
        <v>46325</v>
      </c>
      <c r="Z217" s="6">
        <v>0</v>
      </c>
      <c r="AA217" s="43">
        <f>VLOOKUP(Tabla1[[#This Row],[PAGO DIA]],DIAS!A:K,11,0)</f>
        <v>46356</v>
      </c>
      <c r="AB217" s="6">
        <v>0</v>
      </c>
      <c r="AC217" s="43">
        <f>VLOOKUP(Tabla1[[#This Row],[PAGO DIA]],DIAS!A:M,12,0)</f>
        <v>46386</v>
      </c>
      <c r="AD2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8" spans="1:30">
      <c r="A218" s="3">
        <v>11756</v>
      </c>
      <c r="B218" s="3" t="s">
        <v>628</v>
      </c>
      <c r="C218" s="3" t="s">
        <v>540</v>
      </c>
      <c r="D218" s="3" t="s">
        <v>540</v>
      </c>
      <c r="E218" s="3" t="s">
        <v>823</v>
      </c>
      <c r="F218" s="42" t="s">
        <v>631</v>
      </c>
      <c r="G218" s="3" t="s">
        <v>827</v>
      </c>
      <c r="H218" s="6">
        <v>0</v>
      </c>
      <c r="I218" s="41">
        <f>VLOOKUP(Tabla1[[#This Row],[PAGO DIA]],DIAS!A:B,2,0)</f>
        <v>46080</v>
      </c>
      <c r="J218" s="6">
        <v>0</v>
      </c>
      <c r="K218" s="43">
        <f>VLOOKUP(Tabla1[[#This Row],[PAGO DIA]],DIAS!A:C,3,0)</f>
        <v>46112</v>
      </c>
      <c r="L218" s="6">
        <v>0</v>
      </c>
      <c r="M218" s="41">
        <f>VLOOKUP(Tabla1[[#This Row],[PAGO DIA]],DIAS!A:D,4,0)</f>
        <v>46142</v>
      </c>
      <c r="N218" s="6">
        <v>0</v>
      </c>
      <c r="O218" s="43">
        <f>VLOOKUP(Tabla1[[#This Row],[PAGO DIA]],DIAS!A:E,5,0)</f>
        <v>46171</v>
      </c>
      <c r="P218" s="6">
        <v>0</v>
      </c>
      <c r="Q218" s="43">
        <f>VLOOKUP(Tabla1[[#This Row],[PAGO DIA]],DIAS!A:F,6,0)</f>
        <v>46203</v>
      </c>
      <c r="R218" s="6">
        <v>0</v>
      </c>
      <c r="S218" s="43">
        <f>VLOOKUP(Tabla1[[#This Row],[PAGO DIA]],DIAS!A:G,7,0)</f>
        <v>46234</v>
      </c>
      <c r="T218" s="6">
        <v>0</v>
      </c>
      <c r="U218" s="43">
        <f>VLOOKUP(Tabla1[[#This Row],[PAGO DIA]],DIAS!A:H,8,0)</f>
        <v>46265</v>
      </c>
      <c r="V218" s="6">
        <v>0</v>
      </c>
      <c r="W218" s="43">
        <f>VLOOKUP(Tabla1[[#This Row],[PAGO DIA]],DIAS!A:I,9,0)</f>
        <v>46295</v>
      </c>
      <c r="X218" s="6">
        <v>0</v>
      </c>
      <c r="Y218" s="43">
        <f>VLOOKUP(Tabla1[[#This Row],[PAGO DIA]],DIAS!A:J,10,0)</f>
        <v>46325</v>
      </c>
      <c r="Z218" s="6">
        <v>0</v>
      </c>
      <c r="AA218" s="43">
        <f>VLOOKUP(Tabla1[[#This Row],[PAGO DIA]],DIAS!A:K,11,0)</f>
        <v>46356</v>
      </c>
      <c r="AB218" s="6">
        <v>0</v>
      </c>
      <c r="AC218" s="43">
        <f>VLOOKUP(Tabla1[[#This Row],[PAGO DIA]],DIAS!A:M,12,0)</f>
        <v>46386</v>
      </c>
      <c r="AD2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19" spans="1:30">
      <c r="A219" s="3">
        <v>11757</v>
      </c>
      <c r="B219" s="3" t="s">
        <v>628</v>
      </c>
      <c r="C219" s="3" t="s">
        <v>540</v>
      </c>
      <c r="D219" s="3" t="s">
        <v>540</v>
      </c>
      <c r="E219" s="3" t="s">
        <v>823</v>
      </c>
      <c r="F219" s="42" t="s">
        <v>631</v>
      </c>
      <c r="G219" s="3" t="s">
        <v>828</v>
      </c>
      <c r="H219" s="6">
        <v>0</v>
      </c>
      <c r="I219" s="41">
        <f>VLOOKUP(Tabla1[[#This Row],[PAGO DIA]],DIAS!A:B,2,0)</f>
        <v>46080</v>
      </c>
      <c r="J219" s="6">
        <v>0</v>
      </c>
      <c r="K219" s="43">
        <f>VLOOKUP(Tabla1[[#This Row],[PAGO DIA]],DIAS!A:C,3,0)</f>
        <v>46112</v>
      </c>
      <c r="L219" s="6">
        <v>0</v>
      </c>
      <c r="M219" s="41">
        <f>VLOOKUP(Tabla1[[#This Row],[PAGO DIA]],DIAS!A:D,4,0)</f>
        <v>46142</v>
      </c>
      <c r="N219" s="6">
        <v>0</v>
      </c>
      <c r="O219" s="43">
        <f>VLOOKUP(Tabla1[[#This Row],[PAGO DIA]],DIAS!A:E,5,0)</f>
        <v>46171</v>
      </c>
      <c r="P219" s="6">
        <v>0</v>
      </c>
      <c r="Q219" s="43">
        <f>VLOOKUP(Tabla1[[#This Row],[PAGO DIA]],DIAS!A:F,6,0)</f>
        <v>46203</v>
      </c>
      <c r="R219" s="6">
        <v>0</v>
      </c>
      <c r="S219" s="43">
        <f>VLOOKUP(Tabla1[[#This Row],[PAGO DIA]],DIAS!A:G,7,0)</f>
        <v>46234</v>
      </c>
      <c r="T219" s="6">
        <v>0</v>
      </c>
      <c r="U219" s="43">
        <f>VLOOKUP(Tabla1[[#This Row],[PAGO DIA]],DIAS!A:H,8,0)</f>
        <v>46265</v>
      </c>
      <c r="V219" s="6">
        <v>0</v>
      </c>
      <c r="W219" s="43">
        <f>VLOOKUP(Tabla1[[#This Row],[PAGO DIA]],DIAS!A:I,9,0)</f>
        <v>46295</v>
      </c>
      <c r="X219" s="6">
        <v>0</v>
      </c>
      <c r="Y219" s="43">
        <f>VLOOKUP(Tabla1[[#This Row],[PAGO DIA]],DIAS!A:J,10,0)</f>
        <v>46325</v>
      </c>
      <c r="Z219" s="6">
        <v>0</v>
      </c>
      <c r="AA219" s="43">
        <f>VLOOKUP(Tabla1[[#This Row],[PAGO DIA]],DIAS!A:K,11,0)</f>
        <v>46356</v>
      </c>
      <c r="AB219" s="6">
        <v>0</v>
      </c>
      <c r="AC219" s="43">
        <f>VLOOKUP(Tabla1[[#This Row],[PAGO DIA]],DIAS!A:M,12,0)</f>
        <v>46386</v>
      </c>
      <c r="AD2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0" spans="1:30">
      <c r="A220" s="3">
        <v>11758</v>
      </c>
      <c r="B220" s="3" t="s">
        <v>628</v>
      </c>
      <c r="C220" s="3" t="s">
        <v>540</v>
      </c>
      <c r="D220" s="3" t="s">
        <v>540</v>
      </c>
      <c r="E220" s="3" t="s">
        <v>823</v>
      </c>
      <c r="F220" s="42" t="s">
        <v>631</v>
      </c>
      <c r="G220" s="3" t="s">
        <v>829</v>
      </c>
      <c r="H220" s="6">
        <v>0</v>
      </c>
      <c r="I220" s="41">
        <f>VLOOKUP(Tabla1[[#This Row],[PAGO DIA]],DIAS!A:B,2,0)</f>
        <v>46080</v>
      </c>
      <c r="J220" s="6">
        <v>0</v>
      </c>
      <c r="K220" s="43">
        <f>VLOOKUP(Tabla1[[#This Row],[PAGO DIA]],DIAS!A:C,3,0)</f>
        <v>46112</v>
      </c>
      <c r="L220" s="6">
        <v>0</v>
      </c>
      <c r="M220" s="41">
        <f>VLOOKUP(Tabla1[[#This Row],[PAGO DIA]],DIAS!A:D,4,0)</f>
        <v>46142</v>
      </c>
      <c r="N220" s="6">
        <v>0</v>
      </c>
      <c r="O220" s="43">
        <f>VLOOKUP(Tabla1[[#This Row],[PAGO DIA]],DIAS!A:E,5,0)</f>
        <v>46171</v>
      </c>
      <c r="P220" s="6">
        <v>0</v>
      </c>
      <c r="Q220" s="43">
        <f>VLOOKUP(Tabla1[[#This Row],[PAGO DIA]],DIAS!A:F,6,0)</f>
        <v>46203</v>
      </c>
      <c r="R220" s="6">
        <v>0</v>
      </c>
      <c r="S220" s="43">
        <f>VLOOKUP(Tabla1[[#This Row],[PAGO DIA]],DIAS!A:G,7,0)</f>
        <v>46234</v>
      </c>
      <c r="T220" s="6">
        <v>0</v>
      </c>
      <c r="U220" s="43">
        <f>VLOOKUP(Tabla1[[#This Row],[PAGO DIA]],DIAS!A:H,8,0)</f>
        <v>46265</v>
      </c>
      <c r="V220" s="6">
        <v>0</v>
      </c>
      <c r="W220" s="43">
        <f>VLOOKUP(Tabla1[[#This Row],[PAGO DIA]],DIAS!A:I,9,0)</f>
        <v>46295</v>
      </c>
      <c r="X220" s="6">
        <v>0</v>
      </c>
      <c r="Y220" s="43">
        <f>VLOOKUP(Tabla1[[#This Row],[PAGO DIA]],DIAS!A:J,10,0)</f>
        <v>46325</v>
      </c>
      <c r="Z220" s="6">
        <v>0</v>
      </c>
      <c r="AA220" s="43">
        <f>VLOOKUP(Tabla1[[#This Row],[PAGO DIA]],DIAS!A:K,11,0)</f>
        <v>46356</v>
      </c>
      <c r="AB220" s="6">
        <v>0</v>
      </c>
      <c r="AC220" s="43">
        <f>VLOOKUP(Tabla1[[#This Row],[PAGO DIA]],DIAS!A:M,12,0)</f>
        <v>46386</v>
      </c>
      <c r="AD2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1" spans="1:30">
      <c r="A221" s="3">
        <v>11759</v>
      </c>
      <c r="B221" s="3" t="s">
        <v>628</v>
      </c>
      <c r="C221" s="3" t="s">
        <v>540</v>
      </c>
      <c r="D221" s="3" t="s">
        <v>540</v>
      </c>
      <c r="E221" s="3" t="s">
        <v>823</v>
      </c>
      <c r="F221" s="42" t="s">
        <v>631</v>
      </c>
      <c r="G221" s="3" t="s">
        <v>830</v>
      </c>
      <c r="H221" s="6">
        <v>0</v>
      </c>
      <c r="I221" s="41">
        <f>VLOOKUP(Tabla1[[#This Row],[PAGO DIA]],DIAS!A:B,2,0)</f>
        <v>46080</v>
      </c>
      <c r="J221" s="6">
        <v>0</v>
      </c>
      <c r="K221" s="43">
        <f>VLOOKUP(Tabla1[[#This Row],[PAGO DIA]],DIAS!A:C,3,0)</f>
        <v>46112</v>
      </c>
      <c r="L221" s="6">
        <v>0</v>
      </c>
      <c r="M221" s="41">
        <f>VLOOKUP(Tabla1[[#This Row],[PAGO DIA]],DIAS!A:D,4,0)</f>
        <v>46142</v>
      </c>
      <c r="N221" s="6">
        <v>0</v>
      </c>
      <c r="O221" s="43">
        <f>VLOOKUP(Tabla1[[#This Row],[PAGO DIA]],DIAS!A:E,5,0)</f>
        <v>46171</v>
      </c>
      <c r="P221" s="6">
        <v>0</v>
      </c>
      <c r="Q221" s="43">
        <f>VLOOKUP(Tabla1[[#This Row],[PAGO DIA]],DIAS!A:F,6,0)</f>
        <v>46203</v>
      </c>
      <c r="R221" s="6">
        <v>0</v>
      </c>
      <c r="S221" s="43">
        <f>VLOOKUP(Tabla1[[#This Row],[PAGO DIA]],DIAS!A:G,7,0)</f>
        <v>46234</v>
      </c>
      <c r="T221" s="6">
        <v>0</v>
      </c>
      <c r="U221" s="43">
        <f>VLOOKUP(Tabla1[[#This Row],[PAGO DIA]],DIAS!A:H,8,0)</f>
        <v>46265</v>
      </c>
      <c r="V221" s="6">
        <v>0</v>
      </c>
      <c r="W221" s="43">
        <f>VLOOKUP(Tabla1[[#This Row],[PAGO DIA]],DIAS!A:I,9,0)</f>
        <v>46295</v>
      </c>
      <c r="X221" s="6">
        <v>0</v>
      </c>
      <c r="Y221" s="43">
        <f>VLOOKUP(Tabla1[[#This Row],[PAGO DIA]],DIAS!A:J,10,0)</f>
        <v>46325</v>
      </c>
      <c r="Z221" s="6">
        <v>0</v>
      </c>
      <c r="AA221" s="43">
        <f>VLOOKUP(Tabla1[[#This Row],[PAGO DIA]],DIAS!A:K,11,0)</f>
        <v>46356</v>
      </c>
      <c r="AB221" s="6">
        <v>0</v>
      </c>
      <c r="AC221" s="43">
        <f>VLOOKUP(Tabla1[[#This Row],[PAGO DIA]],DIAS!A:M,12,0)</f>
        <v>46386</v>
      </c>
      <c r="AD2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2" spans="1:30">
      <c r="A222" s="3">
        <v>11760</v>
      </c>
      <c r="B222" s="3" t="s">
        <v>628</v>
      </c>
      <c r="C222" s="3" t="s">
        <v>540</v>
      </c>
      <c r="D222" s="3" t="s">
        <v>540</v>
      </c>
      <c r="E222" s="3" t="s">
        <v>823</v>
      </c>
      <c r="F222" s="42" t="s">
        <v>631</v>
      </c>
      <c r="G222" s="3" t="s">
        <v>831</v>
      </c>
      <c r="H222" s="6">
        <v>0</v>
      </c>
      <c r="I222" s="41">
        <f>VLOOKUP(Tabla1[[#This Row],[PAGO DIA]],DIAS!A:B,2,0)</f>
        <v>46080</v>
      </c>
      <c r="J222" s="6">
        <v>0</v>
      </c>
      <c r="K222" s="43">
        <f>VLOOKUP(Tabla1[[#This Row],[PAGO DIA]],DIAS!A:C,3,0)</f>
        <v>46112</v>
      </c>
      <c r="L222" s="6">
        <v>0</v>
      </c>
      <c r="M222" s="41">
        <f>VLOOKUP(Tabla1[[#This Row],[PAGO DIA]],DIAS!A:D,4,0)</f>
        <v>46142</v>
      </c>
      <c r="N222" s="6">
        <v>0</v>
      </c>
      <c r="O222" s="43">
        <f>VLOOKUP(Tabla1[[#This Row],[PAGO DIA]],DIAS!A:E,5,0)</f>
        <v>46171</v>
      </c>
      <c r="P222" s="6">
        <v>0</v>
      </c>
      <c r="Q222" s="43">
        <f>VLOOKUP(Tabla1[[#This Row],[PAGO DIA]],DIAS!A:F,6,0)</f>
        <v>46203</v>
      </c>
      <c r="R222" s="6">
        <v>0</v>
      </c>
      <c r="S222" s="43">
        <f>VLOOKUP(Tabla1[[#This Row],[PAGO DIA]],DIAS!A:G,7,0)</f>
        <v>46234</v>
      </c>
      <c r="T222" s="6">
        <v>0</v>
      </c>
      <c r="U222" s="43">
        <f>VLOOKUP(Tabla1[[#This Row],[PAGO DIA]],DIAS!A:H,8,0)</f>
        <v>46265</v>
      </c>
      <c r="V222" s="6">
        <v>0</v>
      </c>
      <c r="W222" s="43">
        <f>VLOOKUP(Tabla1[[#This Row],[PAGO DIA]],DIAS!A:I,9,0)</f>
        <v>46295</v>
      </c>
      <c r="X222" s="6">
        <v>0</v>
      </c>
      <c r="Y222" s="43">
        <f>VLOOKUP(Tabla1[[#This Row],[PAGO DIA]],DIAS!A:J,10,0)</f>
        <v>46325</v>
      </c>
      <c r="Z222" s="6">
        <v>0</v>
      </c>
      <c r="AA222" s="43">
        <f>VLOOKUP(Tabla1[[#This Row],[PAGO DIA]],DIAS!A:K,11,0)</f>
        <v>46356</v>
      </c>
      <c r="AB222" s="6">
        <v>0</v>
      </c>
      <c r="AC222" s="43">
        <f>VLOOKUP(Tabla1[[#This Row],[PAGO DIA]],DIAS!A:M,12,0)</f>
        <v>46386</v>
      </c>
      <c r="AD2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3" spans="1:30">
      <c r="A223" s="3">
        <v>11761</v>
      </c>
      <c r="B223" s="3" t="s">
        <v>628</v>
      </c>
      <c r="C223" s="3" t="s">
        <v>540</v>
      </c>
      <c r="D223" s="3" t="s">
        <v>540</v>
      </c>
      <c r="E223" s="3" t="s">
        <v>823</v>
      </c>
      <c r="F223" s="42" t="s">
        <v>631</v>
      </c>
      <c r="G223" s="3" t="s">
        <v>832</v>
      </c>
      <c r="H223" s="6">
        <v>0</v>
      </c>
      <c r="I223" s="41">
        <f>VLOOKUP(Tabla1[[#This Row],[PAGO DIA]],DIAS!A:B,2,0)</f>
        <v>46080</v>
      </c>
      <c r="J223" s="6">
        <v>0</v>
      </c>
      <c r="K223" s="43">
        <f>VLOOKUP(Tabla1[[#This Row],[PAGO DIA]],DIAS!A:C,3,0)</f>
        <v>46112</v>
      </c>
      <c r="L223" s="6">
        <v>0</v>
      </c>
      <c r="M223" s="41">
        <f>VLOOKUP(Tabla1[[#This Row],[PAGO DIA]],DIAS!A:D,4,0)</f>
        <v>46142</v>
      </c>
      <c r="N223" s="6">
        <v>0</v>
      </c>
      <c r="O223" s="43">
        <f>VLOOKUP(Tabla1[[#This Row],[PAGO DIA]],DIAS!A:E,5,0)</f>
        <v>46171</v>
      </c>
      <c r="P223" s="6">
        <v>0</v>
      </c>
      <c r="Q223" s="43">
        <f>VLOOKUP(Tabla1[[#This Row],[PAGO DIA]],DIAS!A:F,6,0)</f>
        <v>46203</v>
      </c>
      <c r="R223" s="6">
        <v>0</v>
      </c>
      <c r="S223" s="43">
        <f>VLOOKUP(Tabla1[[#This Row],[PAGO DIA]],DIAS!A:G,7,0)</f>
        <v>46234</v>
      </c>
      <c r="T223" s="6">
        <v>0</v>
      </c>
      <c r="U223" s="43">
        <f>VLOOKUP(Tabla1[[#This Row],[PAGO DIA]],DIAS!A:H,8,0)</f>
        <v>46265</v>
      </c>
      <c r="V223" s="6">
        <v>0</v>
      </c>
      <c r="W223" s="43">
        <f>VLOOKUP(Tabla1[[#This Row],[PAGO DIA]],DIAS!A:I,9,0)</f>
        <v>46295</v>
      </c>
      <c r="X223" s="6">
        <v>0</v>
      </c>
      <c r="Y223" s="43">
        <f>VLOOKUP(Tabla1[[#This Row],[PAGO DIA]],DIAS!A:J,10,0)</f>
        <v>46325</v>
      </c>
      <c r="Z223" s="6">
        <v>0</v>
      </c>
      <c r="AA223" s="43">
        <f>VLOOKUP(Tabla1[[#This Row],[PAGO DIA]],DIAS!A:K,11,0)</f>
        <v>46356</v>
      </c>
      <c r="AB223" s="6">
        <v>0</v>
      </c>
      <c r="AC223" s="43">
        <f>VLOOKUP(Tabla1[[#This Row],[PAGO DIA]],DIAS!A:M,12,0)</f>
        <v>46386</v>
      </c>
      <c r="AD2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4" spans="1:30">
      <c r="A224" s="3">
        <v>11762</v>
      </c>
      <c r="B224" s="3" t="s">
        <v>628</v>
      </c>
      <c r="C224" s="3" t="s">
        <v>540</v>
      </c>
      <c r="D224" s="3" t="s">
        <v>540</v>
      </c>
      <c r="E224" s="3" t="s">
        <v>823</v>
      </c>
      <c r="F224" s="42" t="s">
        <v>631</v>
      </c>
      <c r="G224" s="3" t="s">
        <v>833</v>
      </c>
      <c r="H224" s="6">
        <v>0</v>
      </c>
      <c r="I224" s="41">
        <f>VLOOKUP(Tabla1[[#This Row],[PAGO DIA]],DIAS!A:B,2,0)</f>
        <v>46080</v>
      </c>
      <c r="J224" s="6">
        <v>0</v>
      </c>
      <c r="K224" s="43">
        <f>VLOOKUP(Tabla1[[#This Row],[PAGO DIA]],DIAS!A:C,3,0)</f>
        <v>46112</v>
      </c>
      <c r="L224" s="6">
        <v>0</v>
      </c>
      <c r="M224" s="41">
        <f>VLOOKUP(Tabla1[[#This Row],[PAGO DIA]],DIAS!A:D,4,0)</f>
        <v>46142</v>
      </c>
      <c r="N224" s="6">
        <v>0</v>
      </c>
      <c r="O224" s="43">
        <f>VLOOKUP(Tabla1[[#This Row],[PAGO DIA]],DIAS!A:E,5,0)</f>
        <v>46171</v>
      </c>
      <c r="P224" s="6">
        <v>0</v>
      </c>
      <c r="Q224" s="43">
        <f>VLOOKUP(Tabla1[[#This Row],[PAGO DIA]],DIAS!A:F,6,0)</f>
        <v>46203</v>
      </c>
      <c r="R224" s="6">
        <v>0</v>
      </c>
      <c r="S224" s="43">
        <f>VLOOKUP(Tabla1[[#This Row],[PAGO DIA]],DIAS!A:G,7,0)</f>
        <v>46234</v>
      </c>
      <c r="T224" s="6">
        <v>0</v>
      </c>
      <c r="U224" s="43">
        <f>VLOOKUP(Tabla1[[#This Row],[PAGO DIA]],DIAS!A:H,8,0)</f>
        <v>46265</v>
      </c>
      <c r="V224" s="6">
        <v>0</v>
      </c>
      <c r="W224" s="43">
        <f>VLOOKUP(Tabla1[[#This Row],[PAGO DIA]],DIAS!A:I,9,0)</f>
        <v>46295</v>
      </c>
      <c r="X224" s="6">
        <v>0</v>
      </c>
      <c r="Y224" s="43">
        <f>VLOOKUP(Tabla1[[#This Row],[PAGO DIA]],DIAS!A:J,10,0)</f>
        <v>46325</v>
      </c>
      <c r="Z224" s="6">
        <v>0</v>
      </c>
      <c r="AA224" s="43">
        <f>VLOOKUP(Tabla1[[#This Row],[PAGO DIA]],DIAS!A:K,11,0)</f>
        <v>46356</v>
      </c>
      <c r="AB224" s="6">
        <v>0</v>
      </c>
      <c r="AC224" s="43">
        <f>VLOOKUP(Tabla1[[#This Row],[PAGO DIA]],DIAS!A:M,12,0)</f>
        <v>46386</v>
      </c>
      <c r="AD2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5" spans="1:30">
      <c r="A225" s="3">
        <v>11763</v>
      </c>
      <c r="B225" s="3" t="s">
        <v>628</v>
      </c>
      <c r="C225" s="3" t="s">
        <v>540</v>
      </c>
      <c r="D225" s="3" t="s">
        <v>540</v>
      </c>
      <c r="E225" s="3" t="s">
        <v>823</v>
      </c>
      <c r="F225" s="42" t="s">
        <v>631</v>
      </c>
      <c r="G225" s="3" t="s">
        <v>834</v>
      </c>
      <c r="H225" s="6">
        <v>0</v>
      </c>
      <c r="I225" s="41">
        <f>VLOOKUP(Tabla1[[#This Row],[PAGO DIA]],DIAS!A:B,2,0)</f>
        <v>46080</v>
      </c>
      <c r="J225" s="6">
        <v>0</v>
      </c>
      <c r="K225" s="43">
        <f>VLOOKUP(Tabla1[[#This Row],[PAGO DIA]],DIAS!A:C,3,0)</f>
        <v>46112</v>
      </c>
      <c r="L225" s="6">
        <v>0</v>
      </c>
      <c r="M225" s="41">
        <f>VLOOKUP(Tabla1[[#This Row],[PAGO DIA]],DIAS!A:D,4,0)</f>
        <v>46142</v>
      </c>
      <c r="N225" s="6">
        <v>0</v>
      </c>
      <c r="O225" s="43">
        <f>VLOOKUP(Tabla1[[#This Row],[PAGO DIA]],DIAS!A:E,5,0)</f>
        <v>46171</v>
      </c>
      <c r="P225" s="6">
        <v>0</v>
      </c>
      <c r="Q225" s="43">
        <f>VLOOKUP(Tabla1[[#This Row],[PAGO DIA]],DIAS!A:F,6,0)</f>
        <v>46203</v>
      </c>
      <c r="R225" s="6">
        <v>0</v>
      </c>
      <c r="S225" s="43">
        <f>VLOOKUP(Tabla1[[#This Row],[PAGO DIA]],DIAS!A:G,7,0)</f>
        <v>46234</v>
      </c>
      <c r="T225" s="6">
        <v>0</v>
      </c>
      <c r="U225" s="43">
        <f>VLOOKUP(Tabla1[[#This Row],[PAGO DIA]],DIAS!A:H,8,0)</f>
        <v>46265</v>
      </c>
      <c r="V225" s="6">
        <v>0</v>
      </c>
      <c r="W225" s="43">
        <f>VLOOKUP(Tabla1[[#This Row],[PAGO DIA]],DIAS!A:I,9,0)</f>
        <v>46295</v>
      </c>
      <c r="X225" s="6">
        <v>0</v>
      </c>
      <c r="Y225" s="43">
        <f>VLOOKUP(Tabla1[[#This Row],[PAGO DIA]],DIAS!A:J,10,0)</f>
        <v>46325</v>
      </c>
      <c r="Z225" s="6">
        <v>0</v>
      </c>
      <c r="AA225" s="43">
        <f>VLOOKUP(Tabla1[[#This Row],[PAGO DIA]],DIAS!A:K,11,0)</f>
        <v>46356</v>
      </c>
      <c r="AB225" s="6">
        <v>0</v>
      </c>
      <c r="AC225" s="43">
        <f>VLOOKUP(Tabla1[[#This Row],[PAGO DIA]],DIAS!A:M,12,0)</f>
        <v>46386</v>
      </c>
      <c r="AD2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6" spans="1:30">
      <c r="A226" s="3">
        <v>11764</v>
      </c>
      <c r="B226" s="3" t="s">
        <v>628</v>
      </c>
      <c r="C226" s="3" t="s">
        <v>540</v>
      </c>
      <c r="D226" s="3" t="s">
        <v>540</v>
      </c>
      <c r="E226" s="3" t="s">
        <v>823</v>
      </c>
      <c r="F226" s="42" t="s">
        <v>631</v>
      </c>
      <c r="G226" s="3" t="s">
        <v>835</v>
      </c>
      <c r="H226" s="6">
        <v>0</v>
      </c>
      <c r="I226" s="41">
        <f>VLOOKUP(Tabla1[[#This Row],[PAGO DIA]],DIAS!A:B,2,0)</f>
        <v>46080</v>
      </c>
      <c r="J226" s="6">
        <v>0</v>
      </c>
      <c r="K226" s="43">
        <f>VLOOKUP(Tabla1[[#This Row],[PAGO DIA]],DIAS!A:C,3,0)</f>
        <v>46112</v>
      </c>
      <c r="L226" s="6">
        <v>0</v>
      </c>
      <c r="M226" s="41">
        <f>VLOOKUP(Tabla1[[#This Row],[PAGO DIA]],DIAS!A:D,4,0)</f>
        <v>46142</v>
      </c>
      <c r="N226" s="6">
        <v>0</v>
      </c>
      <c r="O226" s="43">
        <f>VLOOKUP(Tabla1[[#This Row],[PAGO DIA]],DIAS!A:E,5,0)</f>
        <v>46171</v>
      </c>
      <c r="P226" s="6">
        <v>0</v>
      </c>
      <c r="Q226" s="43">
        <f>VLOOKUP(Tabla1[[#This Row],[PAGO DIA]],DIAS!A:F,6,0)</f>
        <v>46203</v>
      </c>
      <c r="R226" s="6">
        <v>0</v>
      </c>
      <c r="S226" s="43">
        <f>VLOOKUP(Tabla1[[#This Row],[PAGO DIA]],DIAS!A:G,7,0)</f>
        <v>46234</v>
      </c>
      <c r="T226" s="6">
        <v>0</v>
      </c>
      <c r="U226" s="43">
        <f>VLOOKUP(Tabla1[[#This Row],[PAGO DIA]],DIAS!A:H,8,0)</f>
        <v>46265</v>
      </c>
      <c r="V226" s="6">
        <v>0</v>
      </c>
      <c r="W226" s="43">
        <f>VLOOKUP(Tabla1[[#This Row],[PAGO DIA]],DIAS!A:I,9,0)</f>
        <v>46295</v>
      </c>
      <c r="X226" s="6">
        <v>0</v>
      </c>
      <c r="Y226" s="43">
        <f>VLOOKUP(Tabla1[[#This Row],[PAGO DIA]],DIAS!A:J,10,0)</f>
        <v>46325</v>
      </c>
      <c r="Z226" s="6">
        <v>0</v>
      </c>
      <c r="AA226" s="43">
        <f>VLOOKUP(Tabla1[[#This Row],[PAGO DIA]],DIAS!A:K,11,0)</f>
        <v>46356</v>
      </c>
      <c r="AB226" s="6">
        <v>0</v>
      </c>
      <c r="AC226" s="43">
        <f>VLOOKUP(Tabla1[[#This Row],[PAGO DIA]],DIAS!A:M,12,0)</f>
        <v>46386</v>
      </c>
      <c r="AD2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7" spans="1:30">
      <c r="A227" s="3">
        <v>11765</v>
      </c>
      <c r="B227" s="3" t="s">
        <v>628</v>
      </c>
      <c r="C227" s="3" t="s">
        <v>540</v>
      </c>
      <c r="D227" s="3" t="s">
        <v>540</v>
      </c>
      <c r="E227" s="3" t="s">
        <v>823</v>
      </c>
      <c r="F227" s="42" t="s">
        <v>631</v>
      </c>
      <c r="G227" s="3" t="s">
        <v>836</v>
      </c>
      <c r="H227" s="6">
        <v>0</v>
      </c>
      <c r="I227" s="41">
        <f>VLOOKUP(Tabla1[[#This Row],[PAGO DIA]],DIAS!A:B,2,0)</f>
        <v>46080</v>
      </c>
      <c r="J227" s="6">
        <v>0</v>
      </c>
      <c r="K227" s="43">
        <f>VLOOKUP(Tabla1[[#This Row],[PAGO DIA]],DIAS!A:C,3,0)</f>
        <v>46112</v>
      </c>
      <c r="L227" s="6">
        <v>0</v>
      </c>
      <c r="M227" s="41">
        <f>VLOOKUP(Tabla1[[#This Row],[PAGO DIA]],DIAS!A:D,4,0)</f>
        <v>46142</v>
      </c>
      <c r="N227" s="6">
        <v>0</v>
      </c>
      <c r="O227" s="43">
        <f>VLOOKUP(Tabla1[[#This Row],[PAGO DIA]],DIAS!A:E,5,0)</f>
        <v>46171</v>
      </c>
      <c r="P227" s="6">
        <v>0</v>
      </c>
      <c r="Q227" s="43">
        <f>VLOOKUP(Tabla1[[#This Row],[PAGO DIA]],DIAS!A:F,6,0)</f>
        <v>46203</v>
      </c>
      <c r="R227" s="6">
        <v>0</v>
      </c>
      <c r="S227" s="43">
        <f>VLOOKUP(Tabla1[[#This Row],[PAGO DIA]],DIAS!A:G,7,0)</f>
        <v>46234</v>
      </c>
      <c r="T227" s="6">
        <v>0</v>
      </c>
      <c r="U227" s="43">
        <f>VLOOKUP(Tabla1[[#This Row],[PAGO DIA]],DIAS!A:H,8,0)</f>
        <v>46265</v>
      </c>
      <c r="V227" s="6">
        <v>0</v>
      </c>
      <c r="W227" s="43">
        <f>VLOOKUP(Tabla1[[#This Row],[PAGO DIA]],DIAS!A:I,9,0)</f>
        <v>46295</v>
      </c>
      <c r="X227" s="6">
        <v>0</v>
      </c>
      <c r="Y227" s="43">
        <f>VLOOKUP(Tabla1[[#This Row],[PAGO DIA]],DIAS!A:J,10,0)</f>
        <v>46325</v>
      </c>
      <c r="Z227" s="6">
        <v>0</v>
      </c>
      <c r="AA227" s="43">
        <f>VLOOKUP(Tabla1[[#This Row],[PAGO DIA]],DIAS!A:K,11,0)</f>
        <v>46356</v>
      </c>
      <c r="AB227" s="6">
        <v>0</v>
      </c>
      <c r="AC227" s="43">
        <f>VLOOKUP(Tabla1[[#This Row],[PAGO DIA]],DIAS!A:M,12,0)</f>
        <v>46386</v>
      </c>
      <c r="AD2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8" spans="1:30">
      <c r="A228" s="3">
        <v>11785</v>
      </c>
      <c r="B228" s="3" t="s">
        <v>628</v>
      </c>
      <c r="C228" s="3" t="s">
        <v>540</v>
      </c>
      <c r="D228" s="3" t="s">
        <v>540</v>
      </c>
      <c r="E228" s="3" t="s">
        <v>837</v>
      </c>
      <c r="F228" s="42" t="s">
        <v>631</v>
      </c>
      <c r="G228" s="3" t="s">
        <v>838</v>
      </c>
      <c r="H228" s="6">
        <v>0</v>
      </c>
      <c r="I228" s="41">
        <f>VLOOKUP(Tabla1[[#This Row],[PAGO DIA]],DIAS!A:B,2,0)</f>
        <v>46080</v>
      </c>
      <c r="J228" s="6">
        <v>0</v>
      </c>
      <c r="K228" s="43">
        <f>VLOOKUP(Tabla1[[#This Row],[PAGO DIA]],DIAS!A:C,3,0)</f>
        <v>46112</v>
      </c>
      <c r="L228" s="6">
        <v>0</v>
      </c>
      <c r="M228" s="41">
        <f>VLOOKUP(Tabla1[[#This Row],[PAGO DIA]],DIAS!A:D,4,0)</f>
        <v>46142</v>
      </c>
      <c r="N228" s="6">
        <v>0</v>
      </c>
      <c r="O228" s="43">
        <f>VLOOKUP(Tabla1[[#This Row],[PAGO DIA]],DIAS!A:E,5,0)</f>
        <v>46171</v>
      </c>
      <c r="P228" s="6">
        <v>0</v>
      </c>
      <c r="Q228" s="43">
        <f>VLOOKUP(Tabla1[[#This Row],[PAGO DIA]],DIAS!A:F,6,0)</f>
        <v>46203</v>
      </c>
      <c r="R228" s="6">
        <v>0</v>
      </c>
      <c r="S228" s="43">
        <f>VLOOKUP(Tabla1[[#This Row],[PAGO DIA]],DIAS!A:G,7,0)</f>
        <v>46234</v>
      </c>
      <c r="T228" s="6">
        <v>0</v>
      </c>
      <c r="U228" s="43">
        <f>VLOOKUP(Tabla1[[#This Row],[PAGO DIA]],DIAS!A:H,8,0)</f>
        <v>46265</v>
      </c>
      <c r="V228" s="6">
        <v>0</v>
      </c>
      <c r="W228" s="43">
        <f>VLOOKUP(Tabla1[[#This Row],[PAGO DIA]],DIAS!A:I,9,0)</f>
        <v>46295</v>
      </c>
      <c r="X228" s="6">
        <v>0</v>
      </c>
      <c r="Y228" s="43">
        <f>VLOOKUP(Tabla1[[#This Row],[PAGO DIA]],DIAS!A:J,10,0)</f>
        <v>46325</v>
      </c>
      <c r="Z228" s="6">
        <v>0</v>
      </c>
      <c r="AA228" s="43">
        <f>VLOOKUP(Tabla1[[#This Row],[PAGO DIA]],DIAS!A:K,11,0)</f>
        <v>46356</v>
      </c>
      <c r="AB228" s="6">
        <v>0</v>
      </c>
      <c r="AC228" s="43">
        <f>VLOOKUP(Tabla1[[#This Row],[PAGO DIA]],DIAS!A:M,12,0)</f>
        <v>46386</v>
      </c>
      <c r="AD2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29" spans="1:30">
      <c r="A229" s="3">
        <v>11799</v>
      </c>
      <c r="B229" s="3" t="s">
        <v>628</v>
      </c>
      <c r="C229" s="3" t="s">
        <v>540</v>
      </c>
      <c r="D229" s="3" t="s">
        <v>540</v>
      </c>
      <c r="E229" s="3" t="s">
        <v>839</v>
      </c>
      <c r="F229" s="42" t="s">
        <v>631</v>
      </c>
      <c r="G229" s="3" t="s">
        <v>840</v>
      </c>
      <c r="H229" s="6">
        <v>0</v>
      </c>
      <c r="I229" s="41">
        <f>VLOOKUP(Tabla1[[#This Row],[PAGO DIA]],DIAS!A:B,2,0)</f>
        <v>46080</v>
      </c>
      <c r="J229" s="6">
        <v>0</v>
      </c>
      <c r="K229" s="43">
        <f>VLOOKUP(Tabla1[[#This Row],[PAGO DIA]],DIAS!A:C,3,0)</f>
        <v>46112</v>
      </c>
      <c r="L229" s="6">
        <v>0</v>
      </c>
      <c r="M229" s="41">
        <f>VLOOKUP(Tabla1[[#This Row],[PAGO DIA]],DIAS!A:D,4,0)</f>
        <v>46142</v>
      </c>
      <c r="N229" s="6">
        <v>0</v>
      </c>
      <c r="O229" s="43">
        <f>VLOOKUP(Tabla1[[#This Row],[PAGO DIA]],DIAS!A:E,5,0)</f>
        <v>46171</v>
      </c>
      <c r="P229" s="6">
        <v>0</v>
      </c>
      <c r="Q229" s="43">
        <f>VLOOKUP(Tabla1[[#This Row],[PAGO DIA]],DIAS!A:F,6,0)</f>
        <v>46203</v>
      </c>
      <c r="R229" s="6">
        <v>0</v>
      </c>
      <c r="S229" s="43">
        <f>VLOOKUP(Tabla1[[#This Row],[PAGO DIA]],DIAS!A:G,7,0)</f>
        <v>46234</v>
      </c>
      <c r="T229" s="6">
        <v>0</v>
      </c>
      <c r="U229" s="43">
        <f>VLOOKUP(Tabla1[[#This Row],[PAGO DIA]],DIAS!A:H,8,0)</f>
        <v>46265</v>
      </c>
      <c r="V229" s="6">
        <v>0</v>
      </c>
      <c r="W229" s="43">
        <f>VLOOKUP(Tabla1[[#This Row],[PAGO DIA]],DIAS!A:I,9,0)</f>
        <v>46295</v>
      </c>
      <c r="X229" s="6">
        <v>0</v>
      </c>
      <c r="Y229" s="43">
        <f>VLOOKUP(Tabla1[[#This Row],[PAGO DIA]],DIAS!A:J,10,0)</f>
        <v>46325</v>
      </c>
      <c r="Z229" s="6">
        <v>0</v>
      </c>
      <c r="AA229" s="43">
        <f>VLOOKUP(Tabla1[[#This Row],[PAGO DIA]],DIAS!A:K,11,0)</f>
        <v>46356</v>
      </c>
      <c r="AB229" s="6">
        <v>0</v>
      </c>
      <c r="AC229" s="43">
        <f>VLOOKUP(Tabla1[[#This Row],[PAGO DIA]],DIAS!A:M,12,0)</f>
        <v>46386</v>
      </c>
      <c r="AD2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0" spans="1:30">
      <c r="A230" s="3">
        <v>11800</v>
      </c>
      <c r="B230" s="3" t="s">
        <v>628</v>
      </c>
      <c r="C230" s="3" t="s">
        <v>540</v>
      </c>
      <c r="D230" s="3" t="s">
        <v>540</v>
      </c>
      <c r="E230" s="3" t="s">
        <v>839</v>
      </c>
      <c r="F230" s="42" t="s">
        <v>631</v>
      </c>
      <c r="G230" s="3" t="s">
        <v>841</v>
      </c>
      <c r="H230" s="6">
        <v>0</v>
      </c>
      <c r="I230" s="41">
        <f>VLOOKUP(Tabla1[[#This Row],[PAGO DIA]],DIAS!A:B,2,0)</f>
        <v>46080</v>
      </c>
      <c r="J230" s="6">
        <v>0</v>
      </c>
      <c r="K230" s="43">
        <f>VLOOKUP(Tabla1[[#This Row],[PAGO DIA]],DIAS!A:C,3,0)</f>
        <v>46112</v>
      </c>
      <c r="L230" s="6">
        <v>0</v>
      </c>
      <c r="M230" s="41">
        <f>VLOOKUP(Tabla1[[#This Row],[PAGO DIA]],DIAS!A:D,4,0)</f>
        <v>46142</v>
      </c>
      <c r="N230" s="6">
        <v>0</v>
      </c>
      <c r="O230" s="43">
        <f>VLOOKUP(Tabla1[[#This Row],[PAGO DIA]],DIAS!A:E,5,0)</f>
        <v>46171</v>
      </c>
      <c r="P230" s="6">
        <v>0</v>
      </c>
      <c r="Q230" s="43">
        <f>VLOOKUP(Tabla1[[#This Row],[PAGO DIA]],DIAS!A:F,6,0)</f>
        <v>46203</v>
      </c>
      <c r="R230" s="6">
        <v>0</v>
      </c>
      <c r="S230" s="43">
        <f>VLOOKUP(Tabla1[[#This Row],[PAGO DIA]],DIAS!A:G,7,0)</f>
        <v>46234</v>
      </c>
      <c r="T230" s="6">
        <v>0</v>
      </c>
      <c r="U230" s="43">
        <f>VLOOKUP(Tabla1[[#This Row],[PAGO DIA]],DIAS!A:H,8,0)</f>
        <v>46265</v>
      </c>
      <c r="V230" s="6">
        <v>0</v>
      </c>
      <c r="W230" s="43">
        <f>VLOOKUP(Tabla1[[#This Row],[PAGO DIA]],DIAS!A:I,9,0)</f>
        <v>46295</v>
      </c>
      <c r="X230" s="6">
        <v>0</v>
      </c>
      <c r="Y230" s="43">
        <f>VLOOKUP(Tabla1[[#This Row],[PAGO DIA]],DIAS!A:J,10,0)</f>
        <v>46325</v>
      </c>
      <c r="Z230" s="6">
        <v>0</v>
      </c>
      <c r="AA230" s="43">
        <f>VLOOKUP(Tabla1[[#This Row],[PAGO DIA]],DIAS!A:K,11,0)</f>
        <v>46356</v>
      </c>
      <c r="AB230" s="6">
        <v>0</v>
      </c>
      <c r="AC230" s="43">
        <f>VLOOKUP(Tabla1[[#This Row],[PAGO DIA]],DIAS!A:M,12,0)</f>
        <v>46386</v>
      </c>
      <c r="AD2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1" spans="1:30">
      <c r="A231" s="3">
        <v>11801</v>
      </c>
      <c r="B231" s="3" t="s">
        <v>628</v>
      </c>
      <c r="C231" s="3" t="s">
        <v>540</v>
      </c>
      <c r="D231" s="3" t="s">
        <v>540</v>
      </c>
      <c r="E231" s="3" t="s">
        <v>839</v>
      </c>
      <c r="F231" s="42" t="s">
        <v>631</v>
      </c>
      <c r="G231" s="3" t="s">
        <v>842</v>
      </c>
      <c r="H231" s="6">
        <v>0</v>
      </c>
      <c r="I231" s="41">
        <f>VLOOKUP(Tabla1[[#This Row],[PAGO DIA]],DIAS!A:B,2,0)</f>
        <v>46080</v>
      </c>
      <c r="J231" s="6">
        <v>0</v>
      </c>
      <c r="K231" s="43">
        <f>VLOOKUP(Tabla1[[#This Row],[PAGO DIA]],DIAS!A:C,3,0)</f>
        <v>46112</v>
      </c>
      <c r="L231" s="6">
        <v>0</v>
      </c>
      <c r="M231" s="41">
        <f>VLOOKUP(Tabla1[[#This Row],[PAGO DIA]],DIAS!A:D,4,0)</f>
        <v>46142</v>
      </c>
      <c r="N231" s="6">
        <v>0</v>
      </c>
      <c r="O231" s="43">
        <f>VLOOKUP(Tabla1[[#This Row],[PAGO DIA]],DIAS!A:E,5,0)</f>
        <v>46171</v>
      </c>
      <c r="P231" s="6">
        <v>0</v>
      </c>
      <c r="Q231" s="43">
        <f>VLOOKUP(Tabla1[[#This Row],[PAGO DIA]],DIAS!A:F,6,0)</f>
        <v>46203</v>
      </c>
      <c r="R231" s="6">
        <v>0</v>
      </c>
      <c r="S231" s="43">
        <f>VLOOKUP(Tabla1[[#This Row],[PAGO DIA]],DIAS!A:G,7,0)</f>
        <v>46234</v>
      </c>
      <c r="T231" s="6">
        <v>0</v>
      </c>
      <c r="U231" s="43">
        <f>VLOOKUP(Tabla1[[#This Row],[PAGO DIA]],DIAS!A:H,8,0)</f>
        <v>46265</v>
      </c>
      <c r="V231" s="6">
        <v>0</v>
      </c>
      <c r="W231" s="43">
        <f>VLOOKUP(Tabla1[[#This Row],[PAGO DIA]],DIAS!A:I,9,0)</f>
        <v>46295</v>
      </c>
      <c r="X231" s="6">
        <v>0</v>
      </c>
      <c r="Y231" s="43">
        <f>VLOOKUP(Tabla1[[#This Row],[PAGO DIA]],DIAS!A:J,10,0)</f>
        <v>46325</v>
      </c>
      <c r="Z231" s="6">
        <v>0</v>
      </c>
      <c r="AA231" s="43">
        <f>VLOOKUP(Tabla1[[#This Row],[PAGO DIA]],DIAS!A:K,11,0)</f>
        <v>46356</v>
      </c>
      <c r="AB231" s="6">
        <v>0</v>
      </c>
      <c r="AC231" s="43">
        <f>VLOOKUP(Tabla1[[#This Row],[PAGO DIA]],DIAS!A:M,12,0)</f>
        <v>46386</v>
      </c>
      <c r="AD2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2" spans="1:30">
      <c r="A232" s="3">
        <v>11802</v>
      </c>
      <c r="B232" s="3" t="s">
        <v>628</v>
      </c>
      <c r="C232" s="3" t="s">
        <v>540</v>
      </c>
      <c r="D232" s="3" t="s">
        <v>540</v>
      </c>
      <c r="E232" s="3" t="s">
        <v>839</v>
      </c>
      <c r="F232" s="42" t="s">
        <v>631</v>
      </c>
      <c r="G232" s="3" t="s">
        <v>843</v>
      </c>
      <c r="H232" s="6">
        <v>0</v>
      </c>
      <c r="I232" s="41">
        <f>VLOOKUP(Tabla1[[#This Row],[PAGO DIA]],DIAS!A:B,2,0)</f>
        <v>46080</v>
      </c>
      <c r="J232" s="6">
        <v>0</v>
      </c>
      <c r="K232" s="43">
        <f>VLOOKUP(Tabla1[[#This Row],[PAGO DIA]],DIAS!A:C,3,0)</f>
        <v>46112</v>
      </c>
      <c r="L232" s="6">
        <v>0</v>
      </c>
      <c r="M232" s="41">
        <f>VLOOKUP(Tabla1[[#This Row],[PAGO DIA]],DIAS!A:D,4,0)</f>
        <v>46142</v>
      </c>
      <c r="N232" s="6">
        <v>0</v>
      </c>
      <c r="O232" s="43">
        <f>VLOOKUP(Tabla1[[#This Row],[PAGO DIA]],DIAS!A:E,5,0)</f>
        <v>46171</v>
      </c>
      <c r="P232" s="6">
        <v>0</v>
      </c>
      <c r="Q232" s="43">
        <f>VLOOKUP(Tabla1[[#This Row],[PAGO DIA]],DIAS!A:F,6,0)</f>
        <v>46203</v>
      </c>
      <c r="R232" s="6">
        <v>0</v>
      </c>
      <c r="S232" s="43">
        <f>VLOOKUP(Tabla1[[#This Row],[PAGO DIA]],DIAS!A:G,7,0)</f>
        <v>46234</v>
      </c>
      <c r="T232" s="6">
        <v>0</v>
      </c>
      <c r="U232" s="43">
        <f>VLOOKUP(Tabla1[[#This Row],[PAGO DIA]],DIAS!A:H,8,0)</f>
        <v>46265</v>
      </c>
      <c r="V232" s="6">
        <v>0</v>
      </c>
      <c r="W232" s="43">
        <f>VLOOKUP(Tabla1[[#This Row],[PAGO DIA]],DIAS!A:I,9,0)</f>
        <v>46295</v>
      </c>
      <c r="X232" s="6">
        <v>0</v>
      </c>
      <c r="Y232" s="43">
        <f>VLOOKUP(Tabla1[[#This Row],[PAGO DIA]],DIAS!A:J,10,0)</f>
        <v>46325</v>
      </c>
      <c r="Z232" s="6">
        <v>0</v>
      </c>
      <c r="AA232" s="43">
        <f>VLOOKUP(Tabla1[[#This Row],[PAGO DIA]],DIAS!A:K,11,0)</f>
        <v>46356</v>
      </c>
      <c r="AB232" s="6">
        <v>0</v>
      </c>
      <c r="AC232" s="43">
        <f>VLOOKUP(Tabla1[[#This Row],[PAGO DIA]],DIAS!A:M,12,0)</f>
        <v>46386</v>
      </c>
      <c r="AD2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3" spans="1:30">
      <c r="A233" s="3">
        <v>11803</v>
      </c>
      <c r="B233" s="3" t="s">
        <v>628</v>
      </c>
      <c r="C233" s="3" t="s">
        <v>540</v>
      </c>
      <c r="D233" s="3" t="s">
        <v>540</v>
      </c>
      <c r="E233" s="3" t="s">
        <v>839</v>
      </c>
      <c r="F233" s="42" t="s">
        <v>631</v>
      </c>
      <c r="G233" s="3" t="s">
        <v>844</v>
      </c>
      <c r="H233" s="6">
        <v>0</v>
      </c>
      <c r="I233" s="41">
        <f>VLOOKUP(Tabla1[[#This Row],[PAGO DIA]],DIAS!A:B,2,0)</f>
        <v>46080</v>
      </c>
      <c r="J233" s="6">
        <v>0</v>
      </c>
      <c r="K233" s="43">
        <f>VLOOKUP(Tabla1[[#This Row],[PAGO DIA]],DIAS!A:C,3,0)</f>
        <v>46112</v>
      </c>
      <c r="L233" s="6">
        <v>0</v>
      </c>
      <c r="M233" s="41">
        <f>VLOOKUP(Tabla1[[#This Row],[PAGO DIA]],DIAS!A:D,4,0)</f>
        <v>46142</v>
      </c>
      <c r="N233" s="6">
        <v>0</v>
      </c>
      <c r="O233" s="43">
        <f>VLOOKUP(Tabla1[[#This Row],[PAGO DIA]],DIAS!A:E,5,0)</f>
        <v>46171</v>
      </c>
      <c r="P233" s="6">
        <v>0</v>
      </c>
      <c r="Q233" s="43">
        <f>VLOOKUP(Tabla1[[#This Row],[PAGO DIA]],DIAS!A:F,6,0)</f>
        <v>46203</v>
      </c>
      <c r="R233" s="6">
        <v>0</v>
      </c>
      <c r="S233" s="43">
        <f>VLOOKUP(Tabla1[[#This Row],[PAGO DIA]],DIAS!A:G,7,0)</f>
        <v>46234</v>
      </c>
      <c r="T233" s="6">
        <v>0</v>
      </c>
      <c r="U233" s="43">
        <f>VLOOKUP(Tabla1[[#This Row],[PAGO DIA]],DIAS!A:H,8,0)</f>
        <v>46265</v>
      </c>
      <c r="V233" s="6">
        <v>0</v>
      </c>
      <c r="W233" s="43">
        <f>VLOOKUP(Tabla1[[#This Row],[PAGO DIA]],DIAS!A:I,9,0)</f>
        <v>46295</v>
      </c>
      <c r="X233" s="6">
        <v>0</v>
      </c>
      <c r="Y233" s="43">
        <f>VLOOKUP(Tabla1[[#This Row],[PAGO DIA]],DIAS!A:J,10,0)</f>
        <v>46325</v>
      </c>
      <c r="Z233" s="6">
        <v>0</v>
      </c>
      <c r="AA233" s="43">
        <f>VLOOKUP(Tabla1[[#This Row],[PAGO DIA]],DIAS!A:K,11,0)</f>
        <v>46356</v>
      </c>
      <c r="AB233" s="6">
        <v>0</v>
      </c>
      <c r="AC233" s="43">
        <f>VLOOKUP(Tabla1[[#This Row],[PAGO DIA]],DIAS!A:M,12,0)</f>
        <v>46386</v>
      </c>
      <c r="AD2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4" spans="1:30">
      <c r="A234" s="3">
        <v>11804</v>
      </c>
      <c r="B234" s="3" t="s">
        <v>628</v>
      </c>
      <c r="C234" s="3" t="s">
        <v>540</v>
      </c>
      <c r="D234" s="3" t="s">
        <v>540</v>
      </c>
      <c r="E234" s="3" t="s">
        <v>839</v>
      </c>
      <c r="F234" s="42" t="s">
        <v>631</v>
      </c>
      <c r="G234" s="3" t="s">
        <v>845</v>
      </c>
      <c r="H234" s="6">
        <v>0</v>
      </c>
      <c r="I234" s="41">
        <f>VLOOKUP(Tabla1[[#This Row],[PAGO DIA]],DIAS!A:B,2,0)</f>
        <v>46080</v>
      </c>
      <c r="J234" s="6">
        <v>0</v>
      </c>
      <c r="K234" s="43">
        <f>VLOOKUP(Tabla1[[#This Row],[PAGO DIA]],DIAS!A:C,3,0)</f>
        <v>46112</v>
      </c>
      <c r="L234" s="6">
        <v>0</v>
      </c>
      <c r="M234" s="41">
        <f>VLOOKUP(Tabla1[[#This Row],[PAGO DIA]],DIAS!A:D,4,0)</f>
        <v>46142</v>
      </c>
      <c r="N234" s="6">
        <v>0</v>
      </c>
      <c r="O234" s="43">
        <f>VLOOKUP(Tabla1[[#This Row],[PAGO DIA]],DIAS!A:E,5,0)</f>
        <v>46171</v>
      </c>
      <c r="P234" s="6">
        <v>0</v>
      </c>
      <c r="Q234" s="43">
        <f>VLOOKUP(Tabla1[[#This Row],[PAGO DIA]],DIAS!A:F,6,0)</f>
        <v>46203</v>
      </c>
      <c r="R234" s="6">
        <v>0</v>
      </c>
      <c r="S234" s="43">
        <f>VLOOKUP(Tabla1[[#This Row],[PAGO DIA]],DIAS!A:G,7,0)</f>
        <v>46234</v>
      </c>
      <c r="T234" s="6">
        <v>0</v>
      </c>
      <c r="U234" s="43">
        <f>VLOOKUP(Tabla1[[#This Row],[PAGO DIA]],DIAS!A:H,8,0)</f>
        <v>46265</v>
      </c>
      <c r="V234" s="6">
        <v>0</v>
      </c>
      <c r="W234" s="43">
        <f>VLOOKUP(Tabla1[[#This Row],[PAGO DIA]],DIAS!A:I,9,0)</f>
        <v>46295</v>
      </c>
      <c r="X234" s="6">
        <v>0</v>
      </c>
      <c r="Y234" s="43">
        <f>VLOOKUP(Tabla1[[#This Row],[PAGO DIA]],DIAS!A:J,10,0)</f>
        <v>46325</v>
      </c>
      <c r="Z234" s="6">
        <v>0</v>
      </c>
      <c r="AA234" s="43">
        <f>VLOOKUP(Tabla1[[#This Row],[PAGO DIA]],DIAS!A:K,11,0)</f>
        <v>46356</v>
      </c>
      <c r="AB234" s="6">
        <v>0</v>
      </c>
      <c r="AC234" s="43">
        <f>VLOOKUP(Tabla1[[#This Row],[PAGO DIA]],DIAS!A:M,12,0)</f>
        <v>46386</v>
      </c>
      <c r="AD2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5" spans="1:30">
      <c r="A235" s="3">
        <v>11805</v>
      </c>
      <c r="B235" s="3" t="s">
        <v>628</v>
      </c>
      <c r="C235" s="3" t="s">
        <v>540</v>
      </c>
      <c r="D235" s="3" t="s">
        <v>540</v>
      </c>
      <c r="E235" s="3" t="s">
        <v>839</v>
      </c>
      <c r="F235" s="42" t="s">
        <v>631</v>
      </c>
      <c r="G235" s="3" t="s">
        <v>846</v>
      </c>
      <c r="H235" s="6">
        <v>0</v>
      </c>
      <c r="I235" s="41">
        <f>VLOOKUP(Tabla1[[#This Row],[PAGO DIA]],DIAS!A:B,2,0)</f>
        <v>46080</v>
      </c>
      <c r="J235" s="6">
        <v>0</v>
      </c>
      <c r="K235" s="43">
        <f>VLOOKUP(Tabla1[[#This Row],[PAGO DIA]],DIAS!A:C,3,0)</f>
        <v>46112</v>
      </c>
      <c r="L235" s="6">
        <v>0</v>
      </c>
      <c r="M235" s="41">
        <f>VLOOKUP(Tabla1[[#This Row],[PAGO DIA]],DIAS!A:D,4,0)</f>
        <v>46142</v>
      </c>
      <c r="N235" s="6">
        <v>0</v>
      </c>
      <c r="O235" s="43">
        <f>VLOOKUP(Tabla1[[#This Row],[PAGO DIA]],DIAS!A:E,5,0)</f>
        <v>46171</v>
      </c>
      <c r="P235" s="6">
        <v>0</v>
      </c>
      <c r="Q235" s="43">
        <f>VLOOKUP(Tabla1[[#This Row],[PAGO DIA]],DIAS!A:F,6,0)</f>
        <v>46203</v>
      </c>
      <c r="R235" s="6">
        <v>0</v>
      </c>
      <c r="S235" s="43">
        <f>VLOOKUP(Tabla1[[#This Row],[PAGO DIA]],DIAS!A:G,7,0)</f>
        <v>46234</v>
      </c>
      <c r="T235" s="6">
        <v>0</v>
      </c>
      <c r="U235" s="43">
        <f>VLOOKUP(Tabla1[[#This Row],[PAGO DIA]],DIAS!A:H,8,0)</f>
        <v>46265</v>
      </c>
      <c r="V235" s="6">
        <v>0</v>
      </c>
      <c r="W235" s="43">
        <f>VLOOKUP(Tabla1[[#This Row],[PAGO DIA]],DIAS!A:I,9,0)</f>
        <v>46295</v>
      </c>
      <c r="X235" s="6">
        <v>0</v>
      </c>
      <c r="Y235" s="43">
        <f>VLOOKUP(Tabla1[[#This Row],[PAGO DIA]],DIAS!A:J,10,0)</f>
        <v>46325</v>
      </c>
      <c r="Z235" s="6">
        <v>0</v>
      </c>
      <c r="AA235" s="43">
        <f>VLOOKUP(Tabla1[[#This Row],[PAGO DIA]],DIAS!A:K,11,0)</f>
        <v>46356</v>
      </c>
      <c r="AB235" s="6">
        <v>0</v>
      </c>
      <c r="AC235" s="43">
        <f>VLOOKUP(Tabla1[[#This Row],[PAGO DIA]],DIAS!A:M,12,0)</f>
        <v>46386</v>
      </c>
      <c r="AD2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6" spans="1:30">
      <c r="A236" s="3">
        <v>11806</v>
      </c>
      <c r="B236" s="3" t="s">
        <v>628</v>
      </c>
      <c r="C236" s="3" t="s">
        <v>540</v>
      </c>
      <c r="D236" s="3" t="s">
        <v>540</v>
      </c>
      <c r="E236" s="3" t="s">
        <v>839</v>
      </c>
      <c r="F236" s="42" t="s">
        <v>631</v>
      </c>
      <c r="G236" s="3" t="s">
        <v>847</v>
      </c>
      <c r="H236" s="6">
        <v>0</v>
      </c>
      <c r="I236" s="41">
        <f>VLOOKUP(Tabla1[[#This Row],[PAGO DIA]],DIAS!A:B,2,0)</f>
        <v>46080</v>
      </c>
      <c r="J236" s="6">
        <v>0</v>
      </c>
      <c r="K236" s="43">
        <f>VLOOKUP(Tabla1[[#This Row],[PAGO DIA]],DIAS!A:C,3,0)</f>
        <v>46112</v>
      </c>
      <c r="L236" s="6">
        <v>0</v>
      </c>
      <c r="M236" s="41">
        <f>VLOOKUP(Tabla1[[#This Row],[PAGO DIA]],DIAS!A:D,4,0)</f>
        <v>46142</v>
      </c>
      <c r="N236" s="6">
        <v>0</v>
      </c>
      <c r="O236" s="43">
        <f>VLOOKUP(Tabla1[[#This Row],[PAGO DIA]],DIAS!A:E,5,0)</f>
        <v>46171</v>
      </c>
      <c r="P236" s="6">
        <v>0</v>
      </c>
      <c r="Q236" s="43">
        <f>VLOOKUP(Tabla1[[#This Row],[PAGO DIA]],DIAS!A:F,6,0)</f>
        <v>46203</v>
      </c>
      <c r="R236" s="6">
        <v>0</v>
      </c>
      <c r="S236" s="43">
        <f>VLOOKUP(Tabla1[[#This Row],[PAGO DIA]],DIAS!A:G,7,0)</f>
        <v>46234</v>
      </c>
      <c r="T236" s="6">
        <v>0</v>
      </c>
      <c r="U236" s="43">
        <f>VLOOKUP(Tabla1[[#This Row],[PAGO DIA]],DIAS!A:H,8,0)</f>
        <v>46265</v>
      </c>
      <c r="V236" s="6">
        <v>0</v>
      </c>
      <c r="W236" s="43">
        <f>VLOOKUP(Tabla1[[#This Row],[PAGO DIA]],DIAS!A:I,9,0)</f>
        <v>46295</v>
      </c>
      <c r="X236" s="6">
        <v>0</v>
      </c>
      <c r="Y236" s="43">
        <f>VLOOKUP(Tabla1[[#This Row],[PAGO DIA]],DIAS!A:J,10,0)</f>
        <v>46325</v>
      </c>
      <c r="Z236" s="6">
        <v>0</v>
      </c>
      <c r="AA236" s="43">
        <f>VLOOKUP(Tabla1[[#This Row],[PAGO DIA]],DIAS!A:K,11,0)</f>
        <v>46356</v>
      </c>
      <c r="AB236" s="6">
        <v>0</v>
      </c>
      <c r="AC236" s="43">
        <f>VLOOKUP(Tabla1[[#This Row],[PAGO DIA]],DIAS!A:M,12,0)</f>
        <v>46386</v>
      </c>
      <c r="AD2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7" spans="1:30">
      <c r="A237" s="3">
        <v>12524</v>
      </c>
      <c r="B237" s="3" t="s">
        <v>628</v>
      </c>
      <c r="C237" s="3" t="s">
        <v>629</v>
      </c>
      <c r="D237" s="3" t="s">
        <v>540</v>
      </c>
      <c r="E237" s="3" t="s">
        <v>848</v>
      </c>
      <c r="F237" s="42" t="s">
        <v>631</v>
      </c>
      <c r="G237" s="3" t="s">
        <v>849</v>
      </c>
      <c r="H237" s="6">
        <v>0</v>
      </c>
      <c r="I237" s="41">
        <f>VLOOKUP(Tabla1[[#This Row],[PAGO DIA]],DIAS!A:B,2,0)</f>
        <v>46080</v>
      </c>
      <c r="J237" s="6">
        <v>0</v>
      </c>
      <c r="K237" s="43">
        <f>VLOOKUP(Tabla1[[#This Row],[PAGO DIA]],DIAS!A:C,3,0)</f>
        <v>46112</v>
      </c>
      <c r="L237" s="6">
        <v>0</v>
      </c>
      <c r="M237" s="41">
        <f>VLOOKUP(Tabla1[[#This Row],[PAGO DIA]],DIAS!A:D,4,0)</f>
        <v>46142</v>
      </c>
      <c r="N237" s="6">
        <v>0</v>
      </c>
      <c r="O237" s="43">
        <f>VLOOKUP(Tabla1[[#This Row],[PAGO DIA]],DIAS!A:E,5,0)</f>
        <v>46171</v>
      </c>
      <c r="P237" s="6">
        <v>0</v>
      </c>
      <c r="Q237" s="43">
        <f>VLOOKUP(Tabla1[[#This Row],[PAGO DIA]],DIAS!A:F,6,0)</f>
        <v>46203</v>
      </c>
      <c r="R237" s="6">
        <v>0</v>
      </c>
      <c r="S237" s="43">
        <f>VLOOKUP(Tabla1[[#This Row],[PAGO DIA]],DIAS!A:G,7,0)</f>
        <v>46234</v>
      </c>
      <c r="T237" s="6">
        <v>0</v>
      </c>
      <c r="U237" s="43">
        <f>VLOOKUP(Tabla1[[#This Row],[PAGO DIA]],DIAS!A:H,8,0)</f>
        <v>46265</v>
      </c>
      <c r="V237" s="6">
        <v>0</v>
      </c>
      <c r="W237" s="43">
        <f>VLOOKUP(Tabla1[[#This Row],[PAGO DIA]],DIAS!A:I,9,0)</f>
        <v>46295</v>
      </c>
      <c r="X237" s="6">
        <v>0</v>
      </c>
      <c r="Y237" s="43">
        <f>VLOOKUP(Tabla1[[#This Row],[PAGO DIA]],DIAS!A:J,10,0)</f>
        <v>46325</v>
      </c>
      <c r="Z237" s="6">
        <v>0</v>
      </c>
      <c r="AA237" s="43">
        <f>VLOOKUP(Tabla1[[#This Row],[PAGO DIA]],DIAS!A:K,11,0)</f>
        <v>46356</v>
      </c>
      <c r="AB237" s="6">
        <v>0</v>
      </c>
      <c r="AC237" s="43">
        <f>VLOOKUP(Tabla1[[#This Row],[PAGO DIA]],DIAS!A:M,12,0)</f>
        <v>46386</v>
      </c>
      <c r="AD2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8" spans="1:30">
      <c r="A238" s="3">
        <v>12531</v>
      </c>
      <c r="B238" s="3" t="s">
        <v>628</v>
      </c>
      <c r="C238" s="3" t="s">
        <v>629</v>
      </c>
      <c r="D238" s="3" t="s">
        <v>540</v>
      </c>
      <c r="E238" s="3" t="s">
        <v>848</v>
      </c>
      <c r="F238" s="42" t="s">
        <v>631</v>
      </c>
      <c r="G238" s="3" t="s">
        <v>850</v>
      </c>
      <c r="H238" s="6">
        <v>0</v>
      </c>
      <c r="I238" s="41">
        <f>VLOOKUP(Tabla1[[#This Row],[PAGO DIA]],DIAS!A:B,2,0)</f>
        <v>46080</v>
      </c>
      <c r="J238" s="6">
        <v>0</v>
      </c>
      <c r="K238" s="43">
        <f>VLOOKUP(Tabla1[[#This Row],[PAGO DIA]],DIAS!A:C,3,0)</f>
        <v>46112</v>
      </c>
      <c r="L238" s="6">
        <v>0</v>
      </c>
      <c r="M238" s="41">
        <f>VLOOKUP(Tabla1[[#This Row],[PAGO DIA]],DIAS!A:D,4,0)</f>
        <v>46142</v>
      </c>
      <c r="N238" s="6">
        <v>0</v>
      </c>
      <c r="O238" s="43">
        <f>VLOOKUP(Tabla1[[#This Row],[PAGO DIA]],DIAS!A:E,5,0)</f>
        <v>46171</v>
      </c>
      <c r="P238" s="6">
        <v>0</v>
      </c>
      <c r="Q238" s="43">
        <f>VLOOKUP(Tabla1[[#This Row],[PAGO DIA]],DIAS!A:F,6,0)</f>
        <v>46203</v>
      </c>
      <c r="R238" s="6">
        <v>0</v>
      </c>
      <c r="S238" s="43">
        <f>VLOOKUP(Tabla1[[#This Row],[PAGO DIA]],DIAS!A:G,7,0)</f>
        <v>46234</v>
      </c>
      <c r="T238" s="6">
        <v>0</v>
      </c>
      <c r="U238" s="43">
        <f>VLOOKUP(Tabla1[[#This Row],[PAGO DIA]],DIAS!A:H,8,0)</f>
        <v>46265</v>
      </c>
      <c r="V238" s="6">
        <v>0</v>
      </c>
      <c r="W238" s="43">
        <f>VLOOKUP(Tabla1[[#This Row],[PAGO DIA]],DIAS!A:I,9,0)</f>
        <v>46295</v>
      </c>
      <c r="X238" s="6">
        <v>0</v>
      </c>
      <c r="Y238" s="43">
        <f>VLOOKUP(Tabla1[[#This Row],[PAGO DIA]],DIAS!A:J,10,0)</f>
        <v>46325</v>
      </c>
      <c r="Z238" s="6">
        <v>0</v>
      </c>
      <c r="AA238" s="43">
        <f>VLOOKUP(Tabla1[[#This Row],[PAGO DIA]],DIAS!A:K,11,0)</f>
        <v>46356</v>
      </c>
      <c r="AB238" s="6">
        <v>0</v>
      </c>
      <c r="AC238" s="43">
        <f>VLOOKUP(Tabla1[[#This Row],[PAGO DIA]],DIAS!A:M,12,0)</f>
        <v>46386</v>
      </c>
      <c r="AD2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39" spans="1:30">
      <c r="A239" s="3">
        <v>11828</v>
      </c>
      <c r="B239" s="3" t="s">
        <v>628</v>
      </c>
      <c r="C239" s="3" t="s">
        <v>540</v>
      </c>
      <c r="D239" s="3" t="s">
        <v>540</v>
      </c>
      <c r="E239" s="3" t="s">
        <v>851</v>
      </c>
      <c r="F239" s="42" t="s">
        <v>631</v>
      </c>
      <c r="G239" s="3" t="s">
        <v>852</v>
      </c>
      <c r="H239" s="6">
        <v>0</v>
      </c>
      <c r="I239" s="41">
        <f>VLOOKUP(Tabla1[[#This Row],[PAGO DIA]],DIAS!A:B,2,0)</f>
        <v>46080</v>
      </c>
      <c r="J239" s="6">
        <v>0</v>
      </c>
      <c r="K239" s="43">
        <f>VLOOKUP(Tabla1[[#This Row],[PAGO DIA]],DIAS!A:C,3,0)</f>
        <v>46112</v>
      </c>
      <c r="L239" s="6">
        <v>0</v>
      </c>
      <c r="M239" s="41">
        <f>VLOOKUP(Tabla1[[#This Row],[PAGO DIA]],DIAS!A:D,4,0)</f>
        <v>46142</v>
      </c>
      <c r="N239" s="6">
        <v>0</v>
      </c>
      <c r="O239" s="43">
        <f>VLOOKUP(Tabla1[[#This Row],[PAGO DIA]],DIAS!A:E,5,0)</f>
        <v>46171</v>
      </c>
      <c r="P239" s="6">
        <v>0</v>
      </c>
      <c r="Q239" s="43">
        <f>VLOOKUP(Tabla1[[#This Row],[PAGO DIA]],DIAS!A:F,6,0)</f>
        <v>46203</v>
      </c>
      <c r="R239" s="6">
        <v>0</v>
      </c>
      <c r="S239" s="43">
        <f>VLOOKUP(Tabla1[[#This Row],[PAGO DIA]],DIAS!A:G,7,0)</f>
        <v>46234</v>
      </c>
      <c r="T239" s="6">
        <v>0</v>
      </c>
      <c r="U239" s="43">
        <f>VLOOKUP(Tabla1[[#This Row],[PAGO DIA]],DIAS!A:H,8,0)</f>
        <v>46265</v>
      </c>
      <c r="V239" s="6">
        <v>0</v>
      </c>
      <c r="W239" s="43">
        <f>VLOOKUP(Tabla1[[#This Row],[PAGO DIA]],DIAS!A:I,9,0)</f>
        <v>46295</v>
      </c>
      <c r="X239" s="6">
        <v>0</v>
      </c>
      <c r="Y239" s="43">
        <f>VLOOKUP(Tabla1[[#This Row],[PAGO DIA]],DIAS!A:J,10,0)</f>
        <v>46325</v>
      </c>
      <c r="Z239" s="6">
        <v>0</v>
      </c>
      <c r="AA239" s="43">
        <f>VLOOKUP(Tabla1[[#This Row],[PAGO DIA]],DIAS!A:K,11,0)</f>
        <v>46356</v>
      </c>
      <c r="AB239" s="6">
        <v>0</v>
      </c>
      <c r="AC239" s="43">
        <f>VLOOKUP(Tabla1[[#This Row],[PAGO DIA]],DIAS!A:M,12,0)</f>
        <v>46386</v>
      </c>
      <c r="AD2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0" spans="1:30">
      <c r="A240" s="3">
        <v>11829</v>
      </c>
      <c r="B240" s="3" t="s">
        <v>628</v>
      </c>
      <c r="C240" s="3" t="s">
        <v>540</v>
      </c>
      <c r="D240" s="3" t="s">
        <v>540</v>
      </c>
      <c r="E240" s="3" t="s">
        <v>851</v>
      </c>
      <c r="F240" s="42" t="s">
        <v>631</v>
      </c>
      <c r="G240" s="3" t="s">
        <v>853</v>
      </c>
      <c r="H240" s="6">
        <v>0</v>
      </c>
      <c r="I240" s="41">
        <f>VLOOKUP(Tabla1[[#This Row],[PAGO DIA]],DIAS!A:B,2,0)</f>
        <v>46080</v>
      </c>
      <c r="J240" s="6">
        <v>0</v>
      </c>
      <c r="K240" s="43">
        <f>VLOOKUP(Tabla1[[#This Row],[PAGO DIA]],DIAS!A:C,3,0)</f>
        <v>46112</v>
      </c>
      <c r="L240" s="6">
        <v>0</v>
      </c>
      <c r="M240" s="41">
        <f>VLOOKUP(Tabla1[[#This Row],[PAGO DIA]],DIAS!A:D,4,0)</f>
        <v>46142</v>
      </c>
      <c r="N240" s="6">
        <v>0</v>
      </c>
      <c r="O240" s="43">
        <f>VLOOKUP(Tabla1[[#This Row],[PAGO DIA]],DIAS!A:E,5,0)</f>
        <v>46171</v>
      </c>
      <c r="P240" s="6">
        <v>0</v>
      </c>
      <c r="Q240" s="43">
        <f>VLOOKUP(Tabla1[[#This Row],[PAGO DIA]],DIAS!A:F,6,0)</f>
        <v>46203</v>
      </c>
      <c r="R240" s="6">
        <v>0</v>
      </c>
      <c r="S240" s="43">
        <f>VLOOKUP(Tabla1[[#This Row],[PAGO DIA]],DIAS!A:G,7,0)</f>
        <v>46234</v>
      </c>
      <c r="T240" s="6">
        <v>0</v>
      </c>
      <c r="U240" s="43">
        <f>VLOOKUP(Tabla1[[#This Row],[PAGO DIA]],DIAS!A:H,8,0)</f>
        <v>46265</v>
      </c>
      <c r="V240" s="6">
        <v>0</v>
      </c>
      <c r="W240" s="43">
        <f>VLOOKUP(Tabla1[[#This Row],[PAGO DIA]],DIAS!A:I,9,0)</f>
        <v>46295</v>
      </c>
      <c r="X240" s="6">
        <v>0</v>
      </c>
      <c r="Y240" s="43">
        <f>VLOOKUP(Tabla1[[#This Row],[PAGO DIA]],DIAS!A:J,10,0)</f>
        <v>46325</v>
      </c>
      <c r="Z240" s="6">
        <v>0</v>
      </c>
      <c r="AA240" s="43">
        <f>VLOOKUP(Tabla1[[#This Row],[PAGO DIA]],DIAS!A:K,11,0)</f>
        <v>46356</v>
      </c>
      <c r="AB240" s="6">
        <v>0</v>
      </c>
      <c r="AC240" s="43">
        <f>VLOOKUP(Tabla1[[#This Row],[PAGO DIA]],DIAS!A:M,12,0)</f>
        <v>46386</v>
      </c>
      <c r="AD2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1" spans="1:30">
      <c r="A241" s="3">
        <v>11830</v>
      </c>
      <c r="B241" s="3" t="s">
        <v>628</v>
      </c>
      <c r="C241" s="3" t="s">
        <v>540</v>
      </c>
      <c r="D241" s="3" t="s">
        <v>540</v>
      </c>
      <c r="E241" s="3" t="s">
        <v>851</v>
      </c>
      <c r="F241" s="42" t="s">
        <v>631</v>
      </c>
      <c r="G241" s="3" t="s">
        <v>854</v>
      </c>
      <c r="H241" s="6">
        <v>0</v>
      </c>
      <c r="I241" s="41">
        <f>VLOOKUP(Tabla1[[#This Row],[PAGO DIA]],DIAS!A:B,2,0)</f>
        <v>46080</v>
      </c>
      <c r="J241" s="6">
        <v>0</v>
      </c>
      <c r="K241" s="43">
        <f>VLOOKUP(Tabla1[[#This Row],[PAGO DIA]],DIAS!A:C,3,0)</f>
        <v>46112</v>
      </c>
      <c r="L241" s="6">
        <v>0</v>
      </c>
      <c r="M241" s="41">
        <f>VLOOKUP(Tabla1[[#This Row],[PAGO DIA]],DIAS!A:D,4,0)</f>
        <v>46142</v>
      </c>
      <c r="N241" s="6">
        <v>0</v>
      </c>
      <c r="O241" s="43">
        <f>VLOOKUP(Tabla1[[#This Row],[PAGO DIA]],DIAS!A:E,5,0)</f>
        <v>46171</v>
      </c>
      <c r="P241" s="6">
        <v>0</v>
      </c>
      <c r="Q241" s="43">
        <f>VLOOKUP(Tabla1[[#This Row],[PAGO DIA]],DIAS!A:F,6,0)</f>
        <v>46203</v>
      </c>
      <c r="R241" s="6">
        <v>0</v>
      </c>
      <c r="S241" s="43">
        <f>VLOOKUP(Tabla1[[#This Row],[PAGO DIA]],DIAS!A:G,7,0)</f>
        <v>46234</v>
      </c>
      <c r="T241" s="6">
        <v>0</v>
      </c>
      <c r="U241" s="43">
        <f>VLOOKUP(Tabla1[[#This Row],[PAGO DIA]],DIAS!A:H,8,0)</f>
        <v>46265</v>
      </c>
      <c r="V241" s="6">
        <v>0</v>
      </c>
      <c r="W241" s="43">
        <f>VLOOKUP(Tabla1[[#This Row],[PAGO DIA]],DIAS!A:I,9,0)</f>
        <v>46295</v>
      </c>
      <c r="X241" s="6">
        <v>0</v>
      </c>
      <c r="Y241" s="43">
        <f>VLOOKUP(Tabla1[[#This Row],[PAGO DIA]],DIAS!A:J,10,0)</f>
        <v>46325</v>
      </c>
      <c r="Z241" s="6">
        <v>0</v>
      </c>
      <c r="AA241" s="43">
        <f>VLOOKUP(Tabla1[[#This Row],[PAGO DIA]],DIAS!A:K,11,0)</f>
        <v>46356</v>
      </c>
      <c r="AB241" s="6">
        <v>0</v>
      </c>
      <c r="AC241" s="43">
        <f>VLOOKUP(Tabla1[[#This Row],[PAGO DIA]],DIAS!A:M,12,0)</f>
        <v>46386</v>
      </c>
      <c r="AD2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2" spans="1:30">
      <c r="A242" s="3">
        <v>11082</v>
      </c>
      <c r="B242" s="3" t="s">
        <v>628</v>
      </c>
      <c r="C242" s="3" t="s">
        <v>540</v>
      </c>
      <c r="D242" s="3" t="s">
        <v>540</v>
      </c>
      <c r="E242" s="3" t="s">
        <v>855</v>
      </c>
      <c r="F242" s="42" t="s">
        <v>631</v>
      </c>
      <c r="G242" s="3"/>
      <c r="H242" s="6">
        <v>0</v>
      </c>
      <c r="I242" s="41">
        <f>VLOOKUP(Tabla1[[#This Row],[PAGO DIA]],DIAS!A:B,2,0)</f>
        <v>46080</v>
      </c>
      <c r="J242" s="6">
        <v>0</v>
      </c>
      <c r="K242" s="43">
        <f>VLOOKUP(Tabla1[[#This Row],[PAGO DIA]],DIAS!A:C,3,0)</f>
        <v>46112</v>
      </c>
      <c r="L242" s="6">
        <v>0</v>
      </c>
      <c r="M242" s="41">
        <f>VLOOKUP(Tabla1[[#This Row],[PAGO DIA]],DIAS!A:D,4,0)</f>
        <v>46142</v>
      </c>
      <c r="N242" s="6">
        <v>0</v>
      </c>
      <c r="O242" s="43">
        <f>VLOOKUP(Tabla1[[#This Row],[PAGO DIA]],DIAS!A:E,5,0)</f>
        <v>46171</v>
      </c>
      <c r="P242" s="6">
        <v>0</v>
      </c>
      <c r="Q242" s="43">
        <f>VLOOKUP(Tabla1[[#This Row],[PAGO DIA]],DIAS!A:F,6,0)</f>
        <v>46203</v>
      </c>
      <c r="R242" s="6">
        <v>0</v>
      </c>
      <c r="S242" s="43">
        <f>VLOOKUP(Tabla1[[#This Row],[PAGO DIA]],DIAS!A:G,7,0)</f>
        <v>46234</v>
      </c>
      <c r="T242" s="6">
        <v>0</v>
      </c>
      <c r="U242" s="43">
        <f>VLOOKUP(Tabla1[[#This Row],[PAGO DIA]],DIAS!A:H,8,0)</f>
        <v>46265</v>
      </c>
      <c r="V242" s="6">
        <v>0</v>
      </c>
      <c r="W242" s="43">
        <f>VLOOKUP(Tabla1[[#This Row],[PAGO DIA]],DIAS!A:I,9,0)</f>
        <v>46295</v>
      </c>
      <c r="X242" s="6">
        <v>0</v>
      </c>
      <c r="Y242" s="43">
        <f>VLOOKUP(Tabla1[[#This Row],[PAGO DIA]],DIAS!A:J,10,0)</f>
        <v>46325</v>
      </c>
      <c r="Z242" s="6">
        <v>0</v>
      </c>
      <c r="AA242" s="43">
        <f>VLOOKUP(Tabla1[[#This Row],[PAGO DIA]],DIAS!A:K,11,0)</f>
        <v>46356</v>
      </c>
      <c r="AB242" s="6">
        <v>0</v>
      </c>
      <c r="AC242" s="43">
        <f>VLOOKUP(Tabla1[[#This Row],[PAGO DIA]],DIAS!A:M,12,0)</f>
        <v>46386</v>
      </c>
      <c r="AD2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3" spans="1:30">
      <c r="A243" s="3">
        <v>11363</v>
      </c>
      <c r="B243" s="3" t="s">
        <v>628</v>
      </c>
      <c r="C243" s="3" t="s">
        <v>540</v>
      </c>
      <c r="D243" s="3" t="s">
        <v>540</v>
      </c>
      <c r="E243" s="3" t="s">
        <v>855</v>
      </c>
      <c r="F243" s="42" t="s">
        <v>631</v>
      </c>
      <c r="G243" s="3"/>
      <c r="H243" s="6">
        <v>0</v>
      </c>
      <c r="I243" s="41">
        <f>VLOOKUP(Tabla1[[#This Row],[PAGO DIA]],DIAS!A:B,2,0)</f>
        <v>46080</v>
      </c>
      <c r="J243" s="6">
        <v>0</v>
      </c>
      <c r="K243" s="43">
        <f>VLOOKUP(Tabla1[[#This Row],[PAGO DIA]],DIAS!A:C,3,0)</f>
        <v>46112</v>
      </c>
      <c r="L243" s="6">
        <v>0</v>
      </c>
      <c r="M243" s="41">
        <f>VLOOKUP(Tabla1[[#This Row],[PAGO DIA]],DIAS!A:D,4,0)</f>
        <v>46142</v>
      </c>
      <c r="N243" s="6">
        <v>0</v>
      </c>
      <c r="O243" s="43">
        <f>VLOOKUP(Tabla1[[#This Row],[PAGO DIA]],DIAS!A:E,5,0)</f>
        <v>46171</v>
      </c>
      <c r="P243" s="6">
        <v>0</v>
      </c>
      <c r="Q243" s="43">
        <f>VLOOKUP(Tabla1[[#This Row],[PAGO DIA]],DIAS!A:F,6,0)</f>
        <v>46203</v>
      </c>
      <c r="R243" s="6">
        <v>0</v>
      </c>
      <c r="S243" s="43">
        <f>VLOOKUP(Tabla1[[#This Row],[PAGO DIA]],DIAS!A:G,7,0)</f>
        <v>46234</v>
      </c>
      <c r="T243" s="6">
        <v>0</v>
      </c>
      <c r="U243" s="43">
        <f>VLOOKUP(Tabla1[[#This Row],[PAGO DIA]],DIAS!A:H,8,0)</f>
        <v>46265</v>
      </c>
      <c r="V243" s="6">
        <v>0</v>
      </c>
      <c r="W243" s="43">
        <f>VLOOKUP(Tabla1[[#This Row],[PAGO DIA]],DIAS!A:I,9,0)</f>
        <v>46295</v>
      </c>
      <c r="X243" s="6">
        <v>0</v>
      </c>
      <c r="Y243" s="43">
        <f>VLOOKUP(Tabla1[[#This Row],[PAGO DIA]],DIAS!A:J,10,0)</f>
        <v>46325</v>
      </c>
      <c r="Z243" s="6">
        <v>0</v>
      </c>
      <c r="AA243" s="43">
        <f>VLOOKUP(Tabla1[[#This Row],[PAGO DIA]],DIAS!A:K,11,0)</f>
        <v>46356</v>
      </c>
      <c r="AB243" s="6">
        <v>0</v>
      </c>
      <c r="AC243" s="43">
        <f>VLOOKUP(Tabla1[[#This Row],[PAGO DIA]],DIAS!A:M,12,0)</f>
        <v>46386</v>
      </c>
      <c r="AD2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4" spans="1:30">
      <c r="A244" s="3">
        <v>11831</v>
      </c>
      <c r="B244" s="3" t="s">
        <v>628</v>
      </c>
      <c r="C244" s="3" t="s">
        <v>540</v>
      </c>
      <c r="D244" s="3" t="s">
        <v>540</v>
      </c>
      <c r="E244" s="3" t="s">
        <v>855</v>
      </c>
      <c r="F244" s="42" t="s">
        <v>631</v>
      </c>
      <c r="G244" s="3" t="s">
        <v>856</v>
      </c>
      <c r="H244" s="6">
        <v>0</v>
      </c>
      <c r="I244" s="41">
        <f>VLOOKUP(Tabla1[[#This Row],[PAGO DIA]],DIAS!A:B,2,0)</f>
        <v>46080</v>
      </c>
      <c r="J244" s="6">
        <v>0</v>
      </c>
      <c r="K244" s="43">
        <f>VLOOKUP(Tabla1[[#This Row],[PAGO DIA]],DIAS!A:C,3,0)</f>
        <v>46112</v>
      </c>
      <c r="L244" s="6">
        <v>0</v>
      </c>
      <c r="M244" s="41">
        <f>VLOOKUP(Tabla1[[#This Row],[PAGO DIA]],DIAS!A:D,4,0)</f>
        <v>46142</v>
      </c>
      <c r="N244" s="6">
        <v>0</v>
      </c>
      <c r="O244" s="43">
        <f>VLOOKUP(Tabla1[[#This Row],[PAGO DIA]],DIAS!A:E,5,0)</f>
        <v>46171</v>
      </c>
      <c r="P244" s="6">
        <v>0</v>
      </c>
      <c r="Q244" s="43">
        <f>VLOOKUP(Tabla1[[#This Row],[PAGO DIA]],DIAS!A:F,6,0)</f>
        <v>46203</v>
      </c>
      <c r="R244" s="6">
        <v>0</v>
      </c>
      <c r="S244" s="43">
        <f>VLOOKUP(Tabla1[[#This Row],[PAGO DIA]],DIAS!A:G,7,0)</f>
        <v>46234</v>
      </c>
      <c r="T244" s="6">
        <v>0</v>
      </c>
      <c r="U244" s="43">
        <f>VLOOKUP(Tabla1[[#This Row],[PAGO DIA]],DIAS!A:H,8,0)</f>
        <v>46265</v>
      </c>
      <c r="V244" s="6">
        <v>0</v>
      </c>
      <c r="W244" s="43">
        <f>VLOOKUP(Tabla1[[#This Row],[PAGO DIA]],DIAS!A:I,9,0)</f>
        <v>46295</v>
      </c>
      <c r="X244" s="6">
        <v>0</v>
      </c>
      <c r="Y244" s="43">
        <f>VLOOKUP(Tabla1[[#This Row],[PAGO DIA]],DIAS!A:J,10,0)</f>
        <v>46325</v>
      </c>
      <c r="Z244" s="6">
        <v>0</v>
      </c>
      <c r="AA244" s="43">
        <f>VLOOKUP(Tabla1[[#This Row],[PAGO DIA]],DIAS!A:K,11,0)</f>
        <v>46356</v>
      </c>
      <c r="AB244" s="6">
        <v>0</v>
      </c>
      <c r="AC244" s="43">
        <f>VLOOKUP(Tabla1[[#This Row],[PAGO DIA]],DIAS!A:M,12,0)</f>
        <v>46386</v>
      </c>
      <c r="AD2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5" spans="1:30">
      <c r="A245" s="3">
        <v>11837</v>
      </c>
      <c r="B245" s="3" t="s">
        <v>628</v>
      </c>
      <c r="C245" s="3" t="s">
        <v>540</v>
      </c>
      <c r="D245" s="3" t="s">
        <v>540</v>
      </c>
      <c r="E245" s="3" t="s">
        <v>857</v>
      </c>
      <c r="F245" s="42" t="s">
        <v>631</v>
      </c>
      <c r="G245" s="3" t="s">
        <v>858</v>
      </c>
      <c r="H245" s="6">
        <v>0</v>
      </c>
      <c r="I245" s="41">
        <f>VLOOKUP(Tabla1[[#This Row],[PAGO DIA]],DIAS!A:B,2,0)</f>
        <v>46080</v>
      </c>
      <c r="J245" s="6">
        <v>0</v>
      </c>
      <c r="K245" s="43">
        <f>VLOOKUP(Tabla1[[#This Row],[PAGO DIA]],DIAS!A:C,3,0)</f>
        <v>46112</v>
      </c>
      <c r="L245" s="6">
        <v>0</v>
      </c>
      <c r="M245" s="41">
        <f>VLOOKUP(Tabla1[[#This Row],[PAGO DIA]],DIAS!A:D,4,0)</f>
        <v>46142</v>
      </c>
      <c r="N245" s="6">
        <v>0</v>
      </c>
      <c r="O245" s="43">
        <f>VLOOKUP(Tabla1[[#This Row],[PAGO DIA]],DIAS!A:E,5,0)</f>
        <v>46171</v>
      </c>
      <c r="P245" s="6">
        <v>0</v>
      </c>
      <c r="Q245" s="43">
        <f>VLOOKUP(Tabla1[[#This Row],[PAGO DIA]],DIAS!A:F,6,0)</f>
        <v>46203</v>
      </c>
      <c r="R245" s="6">
        <v>0</v>
      </c>
      <c r="S245" s="43">
        <f>VLOOKUP(Tabla1[[#This Row],[PAGO DIA]],DIAS!A:G,7,0)</f>
        <v>46234</v>
      </c>
      <c r="T245" s="6">
        <v>0</v>
      </c>
      <c r="U245" s="43">
        <f>VLOOKUP(Tabla1[[#This Row],[PAGO DIA]],DIAS!A:H,8,0)</f>
        <v>46265</v>
      </c>
      <c r="V245" s="6">
        <v>0</v>
      </c>
      <c r="W245" s="43">
        <f>VLOOKUP(Tabla1[[#This Row],[PAGO DIA]],DIAS!A:I,9,0)</f>
        <v>46295</v>
      </c>
      <c r="X245" s="6">
        <v>0</v>
      </c>
      <c r="Y245" s="43">
        <f>VLOOKUP(Tabla1[[#This Row],[PAGO DIA]],DIAS!A:J,10,0)</f>
        <v>46325</v>
      </c>
      <c r="Z245" s="6">
        <v>0</v>
      </c>
      <c r="AA245" s="43">
        <f>VLOOKUP(Tabla1[[#This Row],[PAGO DIA]],DIAS!A:K,11,0)</f>
        <v>46356</v>
      </c>
      <c r="AB245" s="6">
        <v>0</v>
      </c>
      <c r="AC245" s="43">
        <f>VLOOKUP(Tabla1[[#This Row],[PAGO DIA]],DIAS!A:M,12,0)</f>
        <v>46386</v>
      </c>
      <c r="AD2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6" spans="1:30">
      <c r="A246" s="3">
        <v>12542</v>
      </c>
      <c r="B246" s="3" t="s">
        <v>628</v>
      </c>
      <c r="C246" s="3" t="s">
        <v>629</v>
      </c>
      <c r="D246" s="3" t="s">
        <v>540</v>
      </c>
      <c r="E246" s="3" t="s">
        <v>859</v>
      </c>
      <c r="F246" s="42" t="s">
        <v>631</v>
      </c>
      <c r="G246" s="3" t="s">
        <v>860</v>
      </c>
      <c r="H246" s="6">
        <v>0</v>
      </c>
      <c r="I246" s="41">
        <f>VLOOKUP(Tabla1[[#This Row],[PAGO DIA]],DIAS!A:B,2,0)</f>
        <v>46080</v>
      </c>
      <c r="J246" s="6">
        <v>0</v>
      </c>
      <c r="K246" s="43">
        <f>VLOOKUP(Tabla1[[#This Row],[PAGO DIA]],DIAS!A:C,3,0)</f>
        <v>46112</v>
      </c>
      <c r="L246" s="6">
        <v>0</v>
      </c>
      <c r="M246" s="41">
        <f>VLOOKUP(Tabla1[[#This Row],[PAGO DIA]],DIAS!A:D,4,0)</f>
        <v>46142</v>
      </c>
      <c r="N246" s="6">
        <v>0</v>
      </c>
      <c r="O246" s="43">
        <f>VLOOKUP(Tabla1[[#This Row],[PAGO DIA]],DIAS!A:E,5,0)</f>
        <v>46171</v>
      </c>
      <c r="P246" s="6">
        <v>0</v>
      </c>
      <c r="Q246" s="43">
        <f>VLOOKUP(Tabla1[[#This Row],[PAGO DIA]],DIAS!A:F,6,0)</f>
        <v>46203</v>
      </c>
      <c r="R246" s="6">
        <v>0</v>
      </c>
      <c r="S246" s="43">
        <f>VLOOKUP(Tabla1[[#This Row],[PAGO DIA]],DIAS!A:G,7,0)</f>
        <v>46234</v>
      </c>
      <c r="T246" s="6">
        <v>0</v>
      </c>
      <c r="U246" s="43">
        <f>VLOOKUP(Tabla1[[#This Row],[PAGO DIA]],DIAS!A:H,8,0)</f>
        <v>46265</v>
      </c>
      <c r="V246" s="6">
        <v>0</v>
      </c>
      <c r="W246" s="43">
        <f>VLOOKUP(Tabla1[[#This Row],[PAGO DIA]],DIAS!A:I,9,0)</f>
        <v>46295</v>
      </c>
      <c r="X246" s="6">
        <v>0</v>
      </c>
      <c r="Y246" s="43">
        <f>VLOOKUP(Tabla1[[#This Row],[PAGO DIA]],DIAS!A:J,10,0)</f>
        <v>46325</v>
      </c>
      <c r="Z246" s="6">
        <v>0</v>
      </c>
      <c r="AA246" s="43">
        <f>VLOOKUP(Tabla1[[#This Row],[PAGO DIA]],DIAS!A:K,11,0)</f>
        <v>46356</v>
      </c>
      <c r="AB246" s="6">
        <v>0</v>
      </c>
      <c r="AC246" s="43">
        <f>VLOOKUP(Tabla1[[#This Row],[PAGO DIA]],DIAS!A:M,12,0)</f>
        <v>46386</v>
      </c>
      <c r="AD2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7" spans="1:30">
      <c r="A247" s="3">
        <v>12708</v>
      </c>
      <c r="B247" s="3" t="s">
        <v>628</v>
      </c>
      <c r="C247" s="3" t="s">
        <v>629</v>
      </c>
      <c r="D247" s="3" t="s">
        <v>540</v>
      </c>
      <c r="E247" s="3" t="s">
        <v>859</v>
      </c>
      <c r="F247" s="42" t="s">
        <v>631</v>
      </c>
      <c r="G247" s="3" t="s">
        <v>861</v>
      </c>
      <c r="H247" s="6">
        <v>0</v>
      </c>
      <c r="I247" s="41">
        <f>VLOOKUP(Tabla1[[#This Row],[PAGO DIA]],DIAS!A:B,2,0)</f>
        <v>46080</v>
      </c>
      <c r="J247" s="6">
        <v>0</v>
      </c>
      <c r="K247" s="43">
        <f>VLOOKUP(Tabla1[[#This Row],[PAGO DIA]],DIAS!A:C,3,0)</f>
        <v>46112</v>
      </c>
      <c r="L247" s="6">
        <v>0</v>
      </c>
      <c r="M247" s="41">
        <f>VLOOKUP(Tabla1[[#This Row],[PAGO DIA]],DIAS!A:D,4,0)</f>
        <v>46142</v>
      </c>
      <c r="N247" s="6">
        <v>0</v>
      </c>
      <c r="O247" s="43">
        <f>VLOOKUP(Tabla1[[#This Row],[PAGO DIA]],DIAS!A:E,5,0)</f>
        <v>46171</v>
      </c>
      <c r="P247" s="6">
        <v>0</v>
      </c>
      <c r="Q247" s="43">
        <f>VLOOKUP(Tabla1[[#This Row],[PAGO DIA]],DIAS!A:F,6,0)</f>
        <v>46203</v>
      </c>
      <c r="R247" s="6">
        <v>0</v>
      </c>
      <c r="S247" s="43">
        <f>VLOOKUP(Tabla1[[#This Row],[PAGO DIA]],DIAS!A:G,7,0)</f>
        <v>46234</v>
      </c>
      <c r="T247" s="6">
        <v>0</v>
      </c>
      <c r="U247" s="43">
        <f>VLOOKUP(Tabla1[[#This Row],[PAGO DIA]],DIAS!A:H,8,0)</f>
        <v>46265</v>
      </c>
      <c r="V247" s="6">
        <v>0</v>
      </c>
      <c r="W247" s="43">
        <f>VLOOKUP(Tabla1[[#This Row],[PAGO DIA]],DIAS!A:I,9,0)</f>
        <v>46295</v>
      </c>
      <c r="X247" s="6">
        <v>0</v>
      </c>
      <c r="Y247" s="43">
        <f>VLOOKUP(Tabla1[[#This Row],[PAGO DIA]],DIAS!A:J,10,0)</f>
        <v>46325</v>
      </c>
      <c r="Z247" s="6">
        <v>0</v>
      </c>
      <c r="AA247" s="43">
        <f>VLOOKUP(Tabla1[[#This Row],[PAGO DIA]],DIAS!A:K,11,0)</f>
        <v>46356</v>
      </c>
      <c r="AB247" s="6">
        <v>0</v>
      </c>
      <c r="AC247" s="43">
        <f>VLOOKUP(Tabla1[[#This Row],[PAGO DIA]],DIAS!A:M,12,0)</f>
        <v>46386</v>
      </c>
      <c r="AD2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8" spans="1:30">
      <c r="A248" s="3">
        <v>11848</v>
      </c>
      <c r="B248" s="3" t="s">
        <v>628</v>
      </c>
      <c r="C248" s="3" t="s">
        <v>540</v>
      </c>
      <c r="D248" s="3" t="s">
        <v>540</v>
      </c>
      <c r="E248" s="3" t="s">
        <v>862</v>
      </c>
      <c r="F248" s="42" t="s">
        <v>631</v>
      </c>
      <c r="G248" s="3" t="s">
        <v>863</v>
      </c>
      <c r="H248" s="6">
        <v>0</v>
      </c>
      <c r="I248" s="41">
        <f>VLOOKUP(Tabla1[[#This Row],[PAGO DIA]],DIAS!A:B,2,0)</f>
        <v>46080</v>
      </c>
      <c r="J248" s="6">
        <v>0</v>
      </c>
      <c r="K248" s="43">
        <f>VLOOKUP(Tabla1[[#This Row],[PAGO DIA]],DIAS!A:C,3,0)</f>
        <v>46112</v>
      </c>
      <c r="L248" s="6">
        <v>0</v>
      </c>
      <c r="M248" s="41">
        <f>VLOOKUP(Tabla1[[#This Row],[PAGO DIA]],DIAS!A:D,4,0)</f>
        <v>46142</v>
      </c>
      <c r="N248" s="6">
        <v>0</v>
      </c>
      <c r="O248" s="43">
        <f>VLOOKUP(Tabla1[[#This Row],[PAGO DIA]],DIAS!A:E,5,0)</f>
        <v>46171</v>
      </c>
      <c r="P248" s="6">
        <v>0</v>
      </c>
      <c r="Q248" s="43">
        <f>VLOOKUP(Tabla1[[#This Row],[PAGO DIA]],DIAS!A:F,6,0)</f>
        <v>46203</v>
      </c>
      <c r="R248" s="6">
        <v>0</v>
      </c>
      <c r="S248" s="43">
        <f>VLOOKUP(Tabla1[[#This Row],[PAGO DIA]],DIAS!A:G,7,0)</f>
        <v>46234</v>
      </c>
      <c r="T248" s="6">
        <v>0</v>
      </c>
      <c r="U248" s="43">
        <f>VLOOKUP(Tabla1[[#This Row],[PAGO DIA]],DIAS!A:H,8,0)</f>
        <v>46265</v>
      </c>
      <c r="V248" s="6">
        <v>0</v>
      </c>
      <c r="W248" s="43">
        <f>VLOOKUP(Tabla1[[#This Row],[PAGO DIA]],DIAS!A:I,9,0)</f>
        <v>46295</v>
      </c>
      <c r="X248" s="6">
        <v>0</v>
      </c>
      <c r="Y248" s="43">
        <f>VLOOKUP(Tabla1[[#This Row],[PAGO DIA]],DIAS!A:J,10,0)</f>
        <v>46325</v>
      </c>
      <c r="Z248" s="6">
        <v>0</v>
      </c>
      <c r="AA248" s="43">
        <f>VLOOKUP(Tabla1[[#This Row],[PAGO DIA]],DIAS!A:K,11,0)</f>
        <v>46356</v>
      </c>
      <c r="AB248" s="6">
        <v>0</v>
      </c>
      <c r="AC248" s="43">
        <f>VLOOKUP(Tabla1[[#This Row],[PAGO DIA]],DIAS!A:M,12,0)</f>
        <v>46386</v>
      </c>
      <c r="AD2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49" spans="1:30">
      <c r="A249" s="3">
        <v>11865</v>
      </c>
      <c r="B249" s="3" t="s">
        <v>628</v>
      </c>
      <c r="C249" s="3" t="s">
        <v>540</v>
      </c>
      <c r="D249" s="3" t="s">
        <v>540</v>
      </c>
      <c r="E249" s="3" t="s">
        <v>864</v>
      </c>
      <c r="F249" s="42" t="s">
        <v>631</v>
      </c>
      <c r="G249" s="3" t="s">
        <v>865</v>
      </c>
      <c r="H249" s="6">
        <v>0</v>
      </c>
      <c r="I249" s="41">
        <f>VLOOKUP(Tabla1[[#This Row],[PAGO DIA]],DIAS!A:B,2,0)</f>
        <v>46080</v>
      </c>
      <c r="J249" s="6">
        <v>0</v>
      </c>
      <c r="K249" s="43">
        <f>VLOOKUP(Tabla1[[#This Row],[PAGO DIA]],DIAS!A:C,3,0)</f>
        <v>46112</v>
      </c>
      <c r="L249" s="6">
        <v>0</v>
      </c>
      <c r="M249" s="41">
        <f>VLOOKUP(Tabla1[[#This Row],[PAGO DIA]],DIAS!A:D,4,0)</f>
        <v>46142</v>
      </c>
      <c r="N249" s="6">
        <v>0</v>
      </c>
      <c r="O249" s="43">
        <f>VLOOKUP(Tabla1[[#This Row],[PAGO DIA]],DIAS!A:E,5,0)</f>
        <v>46171</v>
      </c>
      <c r="P249" s="6">
        <v>0</v>
      </c>
      <c r="Q249" s="43">
        <f>VLOOKUP(Tabla1[[#This Row],[PAGO DIA]],DIAS!A:F,6,0)</f>
        <v>46203</v>
      </c>
      <c r="R249" s="6">
        <v>0</v>
      </c>
      <c r="S249" s="43">
        <f>VLOOKUP(Tabla1[[#This Row],[PAGO DIA]],DIAS!A:G,7,0)</f>
        <v>46234</v>
      </c>
      <c r="T249" s="6">
        <v>0</v>
      </c>
      <c r="U249" s="43">
        <f>VLOOKUP(Tabla1[[#This Row],[PAGO DIA]],DIAS!A:H,8,0)</f>
        <v>46265</v>
      </c>
      <c r="V249" s="6">
        <v>0</v>
      </c>
      <c r="W249" s="43">
        <f>VLOOKUP(Tabla1[[#This Row],[PAGO DIA]],DIAS!A:I,9,0)</f>
        <v>46295</v>
      </c>
      <c r="X249" s="6">
        <v>0</v>
      </c>
      <c r="Y249" s="43">
        <f>VLOOKUP(Tabla1[[#This Row],[PAGO DIA]],DIAS!A:J,10,0)</f>
        <v>46325</v>
      </c>
      <c r="Z249" s="6">
        <v>0</v>
      </c>
      <c r="AA249" s="43">
        <f>VLOOKUP(Tabla1[[#This Row],[PAGO DIA]],DIAS!A:K,11,0)</f>
        <v>46356</v>
      </c>
      <c r="AB249" s="6">
        <v>0</v>
      </c>
      <c r="AC249" s="43">
        <f>VLOOKUP(Tabla1[[#This Row],[PAGO DIA]],DIAS!A:M,12,0)</f>
        <v>46386</v>
      </c>
      <c r="AD2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0" spans="1:30">
      <c r="A250" s="3">
        <v>12583</v>
      </c>
      <c r="B250" s="3" t="s">
        <v>628</v>
      </c>
      <c r="C250" s="3" t="s">
        <v>629</v>
      </c>
      <c r="D250" s="3" t="s">
        <v>540</v>
      </c>
      <c r="E250" s="3" t="s">
        <v>866</v>
      </c>
      <c r="F250" s="42" t="s">
        <v>631</v>
      </c>
      <c r="G250" s="3" t="s">
        <v>867</v>
      </c>
      <c r="H250" s="6">
        <v>0</v>
      </c>
      <c r="I250" s="41">
        <f>VLOOKUP(Tabla1[[#This Row],[PAGO DIA]],DIAS!A:B,2,0)</f>
        <v>46080</v>
      </c>
      <c r="J250" s="6">
        <v>0</v>
      </c>
      <c r="K250" s="43">
        <f>VLOOKUP(Tabla1[[#This Row],[PAGO DIA]],DIAS!A:C,3,0)</f>
        <v>46112</v>
      </c>
      <c r="L250" s="6">
        <v>0</v>
      </c>
      <c r="M250" s="41">
        <f>VLOOKUP(Tabla1[[#This Row],[PAGO DIA]],DIAS!A:D,4,0)</f>
        <v>46142</v>
      </c>
      <c r="N250" s="6">
        <v>0</v>
      </c>
      <c r="O250" s="43">
        <f>VLOOKUP(Tabla1[[#This Row],[PAGO DIA]],DIAS!A:E,5,0)</f>
        <v>46171</v>
      </c>
      <c r="P250" s="6">
        <v>0</v>
      </c>
      <c r="Q250" s="43">
        <f>VLOOKUP(Tabla1[[#This Row],[PAGO DIA]],DIAS!A:F,6,0)</f>
        <v>46203</v>
      </c>
      <c r="R250" s="6">
        <v>0</v>
      </c>
      <c r="S250" s="43">
        <f>VLOOKUP(Tabla1[[#This Row],[PAGO DIA]],DIAS!A:G,7,0)</f>
        <v>46234</v>
      </c>
      <c r="T250" s="6">
        <v>0</v>
      </c>
      <c r="U250" s="43">
        <f>VLOOKUP(Tabla1[[#This Row],[PAGO DIA]],DIAS!A:H,8,0)</f>
        <v>46265</v>
      </c>
      <c r="V250" s="6">
        <v>0</v>
      </c>
      <c r="W250" s="43">
        <f>VLOOKUP(Tabla1[[#This Row],[PAGO DIA]],DIAS!A:I,9,0)</f>
        <v>46295</v>
      </c>
      <c r="X250" s="6">
        <v>0</v>
      </c>
      <c r="Y250" s="43">
        <f>VLOOKUP(Tabla1[[#This Row],[PAGO DIA]],DIAS!A:J,10,0)</f>
        <v>46325</v>
      </c>
      <c r="Z250" s="6">
        <v>0</v>
      </c>
      <c r="AA250" s="43">
        <f>VLOOKUP(Tabla1[[#This Row],[PAGO DIA]],DIAS!A:K,11,0)</f>
        <v>46356</v>
      </c>
      <c r="AB250" s="6">
        <v>0</v>
      </c>
      <c r="AC250" s="43">
        <f>VLOOKUP(Tabla1[[#This Row],[PAGO DIA]],DIAS!A:M,12,0)</f>
        <v>46386</v>
      </c>
      <c r="AD2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1" spans="1:30">
      <c r="A251" s="3">
        <v>12050</v>
      </c>
      <c r="B251" s="3" t="s">
        <v>628</v>
      </c>
      <c r="C251" s="3" t="s">
        <v>629</v>
      </c>
      <c r="D251" s="3" t="s">
        <v>629</v>
      </c>
      <c r="E251" s="3" t="s">
        <v>868</v>
      </c>
      <c r="F251" s="42" t="s">
        <v>631</v>
      </c>
      <c r="G251" s="3" t="s">
        <v>635</v>
      </c>
      <c r="H251" s="6">
        <v>0</v>
      </c>
      <c r="I251" s="41">
        <f>VLOOKUP(Tabla1[[#This Row],[PAGO DIA]],DIAS!A:B,2,0)</f>
        <v>46080</v>
      </c>
      <c r="J251" s="6">
        <v>0</v>
      </c>
      <c r="K251" s="43">
        <f>VLOOKUP(Tabla1[[#This Row],[PAGO DIA]],DIAS!A:C,3,0)</f>
        <v>46112</v>
      </c>
      <c r="L251" s="6">
        <v>0</v>
      </c>
      <c r="M251" s="41">
        <f>VLOOKUP(Tabla1[[#This Row],[PAGO DIA]],DIAS!A:D,4,0)</f>
        <v>46142</v>
      </c>
      <c r="N251" s="6">
        <v>0</v>
      </c>
      <c r="O251" s="43">
        <f>VLOOKUP(Tabla1[[#This Row],[PAGO DIA]],DIAS!A:E,5,0)</f>
        <v>46171</v>
      </c>
      <c r="P251" s="6">
        <v>0</v>
      </c>
      <c r="Q251" s="43">
        <f>VLOOKUP(Tabla1[[#This Row],[PAGO DIA]],DIAS!A:F,6,0)</f>
        <v>46203</v>
      </c>
      <c r="R251" s="6">
        <v>0</v>
      </c>
      <c r="S251" s="43">
        <f>VLOOKUP(Tabla1[[#This Row],[PAGO DIA]],DIAS!A:G,7,0)</f>
        <v>46234</v>
      </c>
      <c r="T251" s="6">
        <v>0</v>
      </c>
      <c r="U251" s="43">
        <f>VLOOKUP(Tabla1[[#This Row],[PAGO DIA]],DIAS!A:H,8,0)</f>
        <v>46265</v>
      </c>
      <c r="V251" s="6">
        <v>0</v>
      </c>
      <c r="W251" s="43">
        <f>VLOOKUP(Tabla1[[#This Row],[PAGO DIA]],DIAS!A:I,9,0)</f>
        <v>46295</v>
      </c>
      <c r="X251" s="6">
        <v>0</v>
      </c>
      <c r="Y251" s="43">
        <f>VLOOKUP(Tabla1[[#This Row],[PAGO DIA]],DIAS!A:J,10,0)</f>
        <v>46325</v>
      </c>
      <c r="Z251" s="6">
        <v>0</v>
      </c>
      <c r="AA251" s="43">
        <f>VLOOKUP(Tabla1[[#This Row],[PAGO DIA]],DIAS!A:K,11,0)</f>
        <v>46356</v>
      </c>
      <c r="AB251" s="6">
        <v>0</v>
      </c>
      <c r="AC251" s="43">
        <f>VLOOKUP(Tabla1[[#This Row],[PAGO DIA]],DIAS!A:M,12,0)</f>
        <v>46386</v>
      </c>
      <c r="AD2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2" spans="1:30">
      <c r="A252" s="3">
        <v>12067</v>
      </c>
      <c r="B252" s="3" t="s">
        <v>628</v>
      </c>
      <c r="C252" s="3" t="s">
        <v>629</v>
      </c>
      <c r="D252" s="3" t="s">
        <v>629</v>
      </c>
      <c r="E252" s="3" t="s">
        <v>869</v>
      </c>
      <c r="F252" s="42" t="s">
        <v>631</v>
      </c>
      <c r="G252" s="3" t="s">
        <v>635</v>
      </c>
      <c r="H252" s="6">
        <v>0</v>
      </c>
      <c r="I252" s="41">
        <f>VLOOKUP(Tabla1[[#This Row],[PAGO DIA]],DIAS!A:B,2,0)</f>
        <v>46080</v>
      </c>
      <c r="J252" s="6">
        <v>0</v>
      </c>
      <c r="K252" s="43">
        <f>VLOOKUP(Tabla1[[#This Row],[PAGO DIA]],DIAS!A:C,3,0)</f>
        <v>46112</v>
      </c>
      <c r="L252" s="6">
        <v>0</v>
      </c>
      <c r="M252" s="41">
        <f>VLOOKUP(Tabla1[[#This Row],[PAGO DIA]],DIAS!A:D,4,0)</f>
        <v>46142</v>
      </c>
      <c r="N252" s="6">
        <v>0</v>
      </c>
      <c r="O252" s="43">
        <f>VLOOKUP(Tabla1[[#This Row],[PAGO DIA]],DIAS!A:E,5,0)</f>
        <v>46171</v>
      </c>
      <c r="P252" s="6">
        <v>0</v>
      </c>
      <c r="Q252" s="43">
        <f>VLOOKUP(Tabla1[[#This Row],[PAGO DIA]],DIAS!A:F,6,0)</f>
        <v>46203</v>
      </c>
      <c r="R252" s="6">
        <v>0</v>
      </c>
      <c r="S252" s="43">
        <f>VLOOKUP(Tabla1[[#This Row],[PAGO DIA]],DIAS!A:G,7,0)</f>
        <v>46234</v>
      </c>
      <c r="T252" s="6">
        <v>0</v>
      </c>
      <c r="U252" s="43">
        <f>VLOOKUP(Tabla1[[#This Row],[PAGO DIA]],DIAS!A:H,8,0)</f>
        <v>46265</v>
      </c>
      <c r="V252" s="6">
        <v>0</v>
      </c>
      <c r="W252" s="43">
        <f>VLOOKUP(Tabla1[[#This Row],[PAGO DIA]],DIAS!A:I,9,0)</f>
        <v>46295</v>
      </c>
      <c r="X252" s="6">
        <v>0</v>
      </c>
      <c r="Y252" s="43">
        <f>VLOOKUP(Tabla1[[#This Row],[PAGO DIA]],DIAS!A:J,10,0)</f>
        <v>46325</v>
      </c>
      <c r="Z252" s="6">
        <v>0</v>
      </c>
      <c r="AA252" s="43">
        <f>VLOOKUP(Tabla1[[#This Row],[PAGO DIA]],DIAS!A:K,11,0)</f>
        <v>46356</v>
      </c>
      <c r="AB252" s="6">
        <v>0</v>
      </c>
      <c r="AC252" s="43">
        <f>VLOOKUP(Tabla1[[#This Row],[PAGO DIA]],DIAS!A:M,12,0)</f>
        <v>46386</v>
      </c>
      <c r="AD2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3" spans="1:30">
      <c r="A253" s="3">
        <v>12537</v>
      </c>
      <c r="B253" s="3" t="s">
        <v>628</v>
      </c>
      <c r="C253" s="3" t="s">
        <v>629</v>
      </c>
      <c r="D253" s="3" t="s">
        <v>540</v>
      </c>
      <c r="E253" s="3" t="s">
        <v>870</v>
      </c>
      <c r="F253" s="42" t="s">
        <v>631</v>
      </c>
      <c r="G253" s="3" t="s">
        <v>871</v>
      </c>
      <c r="H253" s="6">
        <v>0</v>
      </c>
      <c r="I253" s="41">
        <f>VLOOKUP(Tabla1[[#This Row],[PAGO DIA]],DIAS!A:B,2,0)</f>
        <v>46080</v>
      </c>
      <c r="J253" s="6">
        <v>0</v>
      </c>
      <c r="K253" s="43">
        <f>VLOOKUP(Tabla1[[#This Row],[PAGO DIA]],DIAS!A:C,3,0)</f>
        <v>46112</v>
      </c>
      <c r="L253" s="6">
        <v>0</v>
      </c>
      <c r="M253" s="41">
        <f>VLOOKUP(Tabla1[[#This Row],[PAGO DIA]],DIAS!A:D,4,0)</f>
        <v>46142</v>
      </c>
      <c r="N253" s="6">
        <v>0</v>
      </c>
      <c r="O253" s="43">
        <f>VLOOKUP(Tabla1[[#This Row],[PAGO DIA]],DIAS!A:E,5,0)</f>
        <v>46171</v>
      </c>
      <c r="P253" s="6">
        <v>0</v>
      </c>
      <c r="Q253" s="43">
        <f>VLOOKUP(Tabla1[[#This Row],[PAGO DIA]],DIAS!A:F,6,0)</f>
        <v>46203</v>
      </c>
      <c r="R253" s="6">
        <v>0</v>
      </c>
      <c r="S253" s="43">
        <f>VLOOKUP(Tabla1[[#This Row],[PAGO DIA]],DIAS!A:G,7,0)</f>
        <v>46234</v>
      </c>
      <c r="T253" s="6">
        <v>0</v>
      </c>
      <c r="U253" s="43">
        <f>VLOOKUP(Tabla1[[#This Row],[PAGO DIA]],DIAS!A:H,8,0)</f>
        <v>46265</v>
      </c>
      <c r="V253" s="6">
        <v>0</v>
      </c>
      <c r="W253" s="43">
        <f>VLOOKUP(Tabla1[[#This Row],[PAGO DIA]],DIAS!A:I,9,0)</f>
        <v>46295</v>
      </c>
      <c r="X253" s="6">
        <v>0</v>
      </c>
      <c r="Y253" s="43">
        <f>VLOOKUP(Tabla1[[#This Row],[PAGO DIA]],DIAS!A:J,10,0)</f>
        <v>46325</v>
      </c>
      <c r="Z253" s="6">
        <v>0</v>
      </c>
      <c r="AA253" s="43">
        <f>VLOOKUP(Tabla1[[#This Row],[PAGO DIA]],DIAS!A:K,11,0)</f>
        <v>46356</v>
      </c>
      <c r="AB253" s="6">
        <v>0</v>
      </c>
      <c r="AC253" s="43">
        <f>VLOOKUP(Tabla1[[#This Row],[PAGO DIA]],DIAS!A:M,12,0)</f>
        <v>46386</v>
      </c>
      <c r="AD2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4" spans="1:30">
      <c r="A254" s="3">
        <v>12713</v>
      </c>
      <c r="B254" s="3" t="s">
        <v>628</v>
      </c>
      <c r="C254" s="3" t="s">
        <v>629</v>
      </c>
      <c r="D254" s="3" t="s">
        <v>540</v>
      </c>
      <c r="E254" s="3" t="s">
        <v>870</v>
      </c>
      <c r="F254" s="42" t="s">
        <v>631</v>
      </c>
      <c r="G254" s="3" t="s">
        <v>872</v>
      </c>
      <c r="H254" s="6">
        <v>0</v>
      </c>
      <c r="I254" s="41">
        <f>VLOOKUP(Tabla1[[#This Row],[PAGO DIA]],DIAS!A:B,2,0)</f>
        <v>46080</v>
      </c>
      <c r="J254" s="6">
        <v>0</v>
      </c>
      <c r="K254" s="43">
        <f>VLOOKUP(Tabla1[[#This Row],[PAGO DIA]],DIAS!A:C,3,0)</f>
        <v>46112</v>
      </c>
      <c r="L254" s="6">
        <v>0</v>
      </c>
      <c r="M254" s="41">
        <f>VLOOKUP(Tabla1[[#This Row],[PAGO DIA]],DIAS!A:D,4,0)</f>
        <v>46142</v>
      </c>
      <c r="N254" s="6">
        <v>0</v>
      </c>
      <c r="O254" s="43">
        <f>VLOOKUP(Tabla1[[#This Row],[PAGO DIA]],DIAS!A:E,5,0)</f>
        <v>46171</v>
      </c>
      <c r="P254" s="6">
        <v>0</v>
      </c>
      <c r="Q254" s="43">
        <f>VLOOKUP(Tabla1[[#This Row],[PAGO DIA]],DIAS!A:F,6,0)</f>
        <v>46203</v>
      </c>
      <c r="R254" s="6">
        <v>0</v>
      </c>
      <c r="S254" s="43">
        <f>VLOOKUP(Tabla1[[#This Row],[PAGO DIA]],DIAS!A:G,7,0)</f>
        <v>46234</v>
      </c>
      <c r="T254" s="6">
        <v>0</v>
      </c>
      <c r="U254" s="43">
        <f>VLOOKUP(Tabla1[[#This Row],[PAGO DIA]],DIAS!A:H,8,0)</f>
        <v>46265</v>
      </c>
      <c r="V254" s="6">
        <v>0</v>
      </c>
      <c r="W254" s="43">
        <f>VLOOKUP(Tabla1[[#This Row],[PAGO DIA]],DIAS!A:I,9,0)</f>
        <v>46295</v>
      </c>
      <c r="X254" s="6">
        <v>0</v>
      </c>
      <c r="Y254" s="43">
        <f>VLOOKUP(Tabla1[[#This Row],[PAGO DIA]],DIAS!A:J,10,0)</f>
        <v>46325</v>
      </c>
      <c r="Z254" s="6">
        <v>0</v>
      </c>
      <c r="AA254" s="43">
        <f>VLOOKUP(Tabla1[[#This Row],[PAGO DIA]],DIAS!A:K,11,0)</f>
        <v>46356</v>
      </c>
      <c r="AB254" s="6">
        <v>0</v>
      </c>
      <c r="AC254" s="43">
        <f>VLOOKUP(Tabla1[[#This Row],[PAGO DIA]],DIAS!A:M,12,0)</f>
        <v>46386</v>
      </c>
      <c r="AD2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5" spans="1:30">
      <c r="A255" s="3">
        <v>11880</v>
      </c>
      <c r="B255" s="3" t="s">
        <v>628</v>
      </c>
      <c r="C255" s="3" t="s">
        <v>540</v>
      </c>
      <c r="D255" s="3" t="s">
        <v>540</v>
      </c>
      <c r="E255" s="3" t="s">
        <v>873</v>
      </c>
      <c r="F255" s="42" t="s">
        <v>631</v>
      </c>
      <c r="G255" s="3" t="s">
        <v>874</v>
      </c>
      <c r="H255" s="6">
        <v>0</v>
      </c>
      <c r="I255" s="41">
        <f>VLOOKUP(Tabla1[[#This Row],[PAGO DIA]],DIAS!A:B,2,0)</f>
        <v>46080</v>
      </c>
      <c r="J255" s="6">
        <v>0</v>
      </c>
      <c r="K255" s="43">
        <f>VLOOKUP(Tabla1[[#This Row],[PAGO DIA]],DIAS!A:C,3,0)</f>
        <v>46112</v>
      </c>
      <c r="L255" s="6">
        <v>0</v>
      </c>
      <c r="M255" s="41">
        <f>VLOOKUP(Tabla1[[#This Row],[PAGO DIA]],DIAS!A:D,4,0)</f>
        <v>46142</v>
      </c>
      <c r="N255" s="6">
        <v>0</v>
      </c>
      <c r="O255" s="43">
        <f>VLOOKUP(Tabla1[[#This Row],[PAGO DIA]],DIAS!A:E,5,0)</f>
        <v>46171</v>
      </c>
      <c r="P255" s="6">
        <v>0</v>
      </c>
      <c r="Q255" s="43">
        <f>VLOOKUP(Tabla1[[#This Row],[PAGO DIA]],DIAS!A:F,6,0)</f>
        <v>46203</v>
      </c>
      <c r="R255" s="6">
        <v>0</v>
      </c>
      <c r="S255" s="43">
        <f>VLOOKUP(Tabla1[[#This Row],[PAGO DIA]],DIAS!A:G,7,0)</f>
        <v>46234</v>
      </c>
      <c r="T255" s="6">
        <v>0</v>
      </c>
      <c r="U255" s="43">
        <f>VLOOKUP(Tabla1[[#This Row],[PAGO DIA]],DIAS!A:H,8,0)</f>
        <v>46265</v>
      </c>
      <c r="V255" s="6">
        <v>0</v>
      </c>
      <c r="W255" s="43">
        <f>VLOOKUP(Tabla1[[#This Row],[PAGO DIA]],DIAS!A:I,9,0)</f>
        <v>46295</v>
      </c>
      <c r="X255" s="6">
        <v>0</v>
      </c>
      <c r="Y255" s="43">
        <f>VLOOKUP(Tabla1[[#This Row],[PAGO DIA]],DIAS!A:J,10,0)</f>
        <v>46325</v>
      </c>
      <c r="Z255" s="6">
        <v>0</v>
      </c>
      <c r="AA255" s="43">
        <f>VLOOKUP(Tabla1[[#This Row],[PAGO DIA]],DIAS!A:K,11,0)</f>
        <v>46356</v>
      </c>
      <c r="AB255" s="6">
        <v>0</v>
      </c>
      <c r="AC255" s="43">
        <f>VLOOKUP(Tabla1[[#This Row],[PAGO DIA]],DIAS!A:M,12,0)</f>
        <v>46386</v>
      </c>
      <c r="AD2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6" spans="1:30">
      <c r="A256" s="3">
        <v>11881</v>
      </c>
      <c r="B256" s="3" t="s">
        <v>628</v>
      </c>
      <c r="C256" s="3" t="s">
        <v>540</v>
      </c>
      <c r="D256" s="3" t="s">
        <v>540</v>
      </c>
      <c r="E256" s="3" t="s">
        <v>873</v>
      </c>
      <c r="F256" s="42" t="s">
        <v>631</v>
      </c>
      <c r="G256" s="3" t="s">
        <v>875</v>
      </c>
      <c r="H256" s="6">
        <v>0</v>
      </c>
      <c r="I256" s="41">
        <f>VLOOKUP(Tabla1[[#This Row],[PAGO DIA]],DIAS!A:B,2,0)</f>
        <v>46080</v>
      </c>
      <c r="J256" s="6">
        <v>0</v>
      </c>
      <c r="K256" s="43">
        <f>VLOOKUP(Tabla1[[#This Row],[PAGO DIA]],DIAS!A:C,3,0)</f>
        <v>46112</v>
      </c>
      <c r="L256" s="6">
        <v>0</v>
      </c>
      <c r="M256" s="41">
        <f>VLOOKUP(Tabla1[[#This Row],[PAGO DIA]],DIAS!A:D,4,0)</f>
        <v>46142</v>
      </c>
      <c r="N256" s="6">
        <v>0</v>
      </c>
      <c r="O256" s="43">
        <f>VLOOKUP(Tabla1[[#This Row],[PAGO DIA]],DIAS!A:E,5,0)</f>
        <v>46171</v>
      </c>
      <c r="P256" s="6">
        <v>0</v>
      </c>
      <c r="Q256" s="43">
        <f>VLOOKUP(Tabla1[[#This Row],[PAGO DIA]],DIAS!A:F,6,0)</f>
        <v>46203</v>
      </c>
      <c r="R256" s="6">
        <v>0</v>
      </c>
      <c r="S256" s="43">
        <f>VLOOKUP(Tabla1[[#This Row],[PAGO DIA]],DIAS!A:G,7,0)</f>
        <v>46234</v>
      </c>
      <c r="T256" s="6">
        <v>0</v>
      </c>
      <c r="U256" s="43">
        <f>VLOOKUP(Tabla1[[#This Row],[PAGO DIA]],DIAS!A:H,8,0)</f>
        <v>46265</v>
      </c>
      <c r="V256" s="6">
        <v>0</v>
      </c>
      <c r="W256" s="43">
        <f>VLOOKUP(Tabla1[[#This Row],[PAGO DIA]],DIAS!A:I,9,0)</f>
        <v>46295</v>
      </c>
      <c r="X256" s="6">
        <v>0</v>
      </c>
      <c r="Y256" s="43">
        <f>VLOOKUP(Tabla1[[#This Row],[PAGO DIA]],DIAS!A:J,10,0)</f>
        <v>46325</v>
      </c>
      <c r="Z256" s="6">
        <v>0</v>
      </c>
      <c r="AA256" s="43">
        <f>VLOOKUP(Tabla1[[#This Row],[PAGO DIA]],DIAS!A:K,11,0)</f>
        <v>46356</v>
      </c>
      <c r="AB256" s="6">
        <v>0</v>
      </c>
      <c r="AC256" s="43">
        <f>VLOOKUP(Tabla1[[#This Row],[PAGO DIA]],DIAS!A:M,12,0)</f>
        <v>46386</v>
      </c>
      <c r="AD2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7" spans="1:30">
      <c r="A257" s="3">
        <v>11070</v>
      </c>
      <c r="B257" s="3" t="s">
        <v>628</v>
      </c>
      <c r="C257" s="3" t="s">
        <v>540</v>
      </c>
      <c r="D257" s="3" t="s">
        <v>540</v>
      </c>
      <c r="E257" s="3" t="s">
        <v>876</v>
      </c>
      <c r="F257" s="42" t="s">
        <v>631</v>
      </c>
      <c r="G257" s="3"/>
      <c r="H257" s="6">
        <v>0</v>
      </c>
      <c r="I257" s="41">
        <f>VLOOKUP(Tabla1[[#This Row],[PAGO DIA]],DIAS!A:B,2,0)</f>
        <v>46080</v>
      </c>
      <c r="J257" s="6">
        <v>0</v>
      </c>
      <c r="K257" s="43">
        <f>VLOOKUP(Tabla1[[#This Row],[PAGO DIA]],DIAS!A:C,3,0)</f>
        <v>46112</v>
      </c>
      <c r="L257" s="6">
        <v>0</v>
      </c>
      <c r="M257" s="41">
        <f>VLOOKUP(Tabla1[[#This Row],[PAGO DIA]],DIAS!A:D,4,0)</f>
        <v>46142</v>
      </c>
      <c r="N257" s="6">
        <v>0</v>
      </c>
      <c r="O257" s="43">
        <f>VLOOKUP(Tabla1[[#This Row],[PAGO DIA]],DIAS!A:E,5,0)</f>
        <v>46171</v>
      </c>
      <c r="P257" s="6">
        <v>0</v>
      </c>
      <c r="Q257" s="43">
        <f>VLOOKUP(Tabla1[[#This Row],[PAGO DIA]],DIAS!A:F,6,0)</f>
        <v>46203</v>
      </c>
      <c r="R257" s="6">
        <v>0</v>
      </c>
      <c r="S257" s="43">
        <f>VLOOKUP(Tabla1[[#This Row],[PAGO DIA]],DIAS!A:G,7,0)</f>
        <v>46234</v>
      </c>
      <c r="T257" s="6">
        <v>0</v>
      </c>
      <c r="U257" s="43">
        <f>VLOOKUP(Tabla1[[#This Row],[PAGO DIA]],DIAS!A:H,8,0)</f>
        <v>46265</v>
      </c>
      <c r="V257" s="6">
        <v>0</v>
      </c>
      <c r="W257" s="43">
        <f>VLOOKUP(Tabla1[[#This Row],[PAGO DIA]],DIAS!A:I,9,0)</f>
        <v>46295</v>
      </c>
      <c r="X257" s="6">
        <v>0</v>
      </c>
      <c r="Y257" s="43">
        <f>VLOOKUP(Tabla1[[#This Row],[PAGO DIA]],DIAS!A:J,10,0)</f>
        <v>46325</v>
      </c>
      <c r="Z257" s="6">
        <v>0</v>
      </c>
      <c r="AA257" s="43">
        <f>VLOOKUP(Tabla1[[#This Row],[PAGO DIA]],DIAS!A:K,11,0)</f>
        <v>46356</v>
      </c>
      <c r="AB257" s="6">
        <v>0</v>
      </c>
      <c r="AC257" s="43">
        <f>VLOOKUP(Tabla1[[#This Row],[PAGO DIA]],DIAS!A:M,12,0)</f>
        <v>46386</v>
      </c>
      <c r="AD2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8" spans="1:30">
      <c r="A258" s="3">
        <v>11333</v>
      </c>
      <c r="B258" s="3" t="s">
        <v>628</v>
      </c>
      <c r="C258" s="3" t="s">
        <v>540</v>
      </c>
      <c r="D258" s="3" t="s">
        <v>540</v>
      </c>
      <c r="E258" s="3" t="s">
        <v>876</v>
      </c>
      <c r="F258" s="42" t="s">
        <v>631</v>
      </c>
      <c r="G258" s="3" t="s">
        <v>877</v>
      </c>
      <c r="H258" s="6">
        <v>0</v>
      </c>
      <c r="I258" s="41">
        <f>VLOOKUP(Tabla1[[#This Row],[PAGO DIA]],DIAS!A:B,2,0)</f>
        <v>46080</v>
      </c>
      <c r="J258" s="6">
        <v>0</v>
      </c>
      <c r="K258" s="43">
        <f>VLOOKUP(Tabla1[[#This Row],[PAGO DIA]],DIAS!A:C,3,0)</f>
        <v>46112</v>
      </c>
      <c r="L258" s="6">
        <v>0</v>
      </c>
      <c r="M258" s="41">
        <f>VLOOKUP(Tabla1[[#This Row],[PAGO DIA]],DIAS!A:D,4,0)</f>
        <v>46142</v>
      </c>
      <c r="N258" s="6">
        <v>0</v>
      </c>
      <c r="O258" s="43">
        <f>VLOOKUP(Tabla1[[#This Row],[PAGO DIA]],DIAS!A:E,5,0)</f>
        <v>46171</v>
      </c>
      <c r="P258" s="6">
        <v>0</v>
      </c>
      <c r="Q258" s="43">
        <f>VLOOKUP(Tabla1[[#This Row],[PAGO DIA]],DIAS!A:F,6,0)</f>
        <v>46203</v>
      </c>
      <c r="R258" s="6">
        <v>0</v>
      </c>
      <c r="S258" s="43">
        <f>VLOOKUP(Tabla1[[#This Row],[PAGO DIA]],DIAS!A:G,7,0)</f>
        <v>46234</v>
      </c>
      <c r="T258" s="6">
        <v>0</v>
      </c>
      <c r="U258" s="43">
        <f>VLOOKUP(Tabla1[[#This Row],[PAGO DIA]],DIAS!A:H,8,0)</f>
        <v>46265</v>
      </c>
      <c r="V258" s="6">
        <v>0</v>
      </c>
      <c r="W258" s="43">
        <f>VLOOKUP(Tabla1[[#This Row],[PAGO DIA]],DIAS!A:I,9,0)</f>
        <v>46295</v>
      </c>
      <c r="X258" s="6">
        <v>0</v>
      </c>
      <c r="Y258" s="43">
        <f>VLOOKUP(Tabla1[[#This Row],[PAGO DIA]],DIAS!A:J,10,0)</f>
        <v>46325</v>
      </c>
      <c r="Z258" s="6">
        <v>0</v>
      </c>
      <c r="AA258" s="43">
        <f>VLOOKUP(Tabla1[[#This Row],[PAGO DIA]],DIAS!A:K,11,0)</f>
        <v>46356</v>
      </c>
      <c r="AB258" s="6">
        <v>0</v>
      </c>
      <c r="AC258" s="43">
        <f>VLOOKUP(Tabla1[[#This Row],[PAGO DIA]],DIAS!A:M,12,0)</f>
        <v>46386</v>
      </c>
      <c r="AD2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59" spans="1:30">
      <c r="A259" s="3">
        <v>11893</v>
      </c>
      <c r="B259" s="3" t="s">
        <v>628</v>
      </c>
      <c r="C259" s="3" t="s">
        <v>540</v>
      </c>
      <c r="D259" s="3" t="s">
        <v>540</v>
      </c>
      <c r="E259" s="3" t="s">
        <v>876</v>
      </c>
      <c r="F259" s="42" t="s">
        <v>631</v>
      </c>
      <c r="G259" s="3" t="s">
        <v>878</v>
      </c>
      <c r="H259" s="6">
        <v>0</v>
      </c>
      <c r="I259" s="41">
        <f>VLOOKUP(Tabla1[[#This Row],[PAGO DIA]],DIAS!A:B,2,0)</f>
        <v>46080</v>
      </c>
      <c r="J259" s="6">
        <v>0</v>
      </c>
      <c r="K259" s="43">
        <f>VLOOKUP(Tabla1[[#This Row],[PAGO DIA]],DIAS!A:C,3,0)</f>
        <v>46112</v>
      </c>
      <c r="L259" s="6">
        <v>0</v>
      </c>
      <c r="M259" s="41">
        <f>VLOOKUP(Tabla1[[#This Row],[PAGO DIA]],DIAS!A:D,4,0)</f>
        <v>46142</v>
      </c>
      <c r="N259" s="6">
        <v>0</v>
      </c>
      <c r="O259" s="43">
        <f>VLOOKUP(Tabla1[[#This Row],[PAGO DIA]],DIAS!A:E,5,0)</f>
        <v>46171</v>
      </c>
      <c r="P259" s="6">
        <v>0</v>
      </c>
      <c r="Q259" s="43">
        <f>VLOOKUP(Tabla1[[#This Row],[PAGO DIA]],DIAS!A:F,6,0)</f>
        <v>46203</v>
      </c>
      <c r="R259" s="6">
        <v>0</v>
      </c>
      <c r="S259" s="43">
        <f>VLOOKUP(Tabla1[[#This Row],[PAGO DIA]],DIAS!A:G,7,0)</f>
        <v>46234</v>
      </c>
      <c r="T259" s="6">
        <v>0</v>
      </c>
      <c r="U259" s="43">
        <f>VLOOKUP(Tabla1[[#This Row],[PAGO DIA]],DIAS!A:H,8,0)</f>
        <v>46265</v>
      </c>
      <c r="V259" s="6">
        <v>0</v>
      </c>
      <c r="W259" s="43">
        <f>VLOOKUP(Tabla1[[#This Row],[PAGO DIA]],DIAS!A:I,9,0)</f>
        <v>46295</v>
      </c>
      <c r="X259" s="6">
        <v>0</v>
      </c>
      <c r="Y259" s="43">
        <f>VLOOKUP(Tabla1[[#This Row],[PAGO DIA]],DIAS!A:J,10,0)</f>
        <v>46325</v>
      </c>
      <c r="Z259" s="6">
        <v>0</v>
      </c>
      <c r="AA259" s="43">
        <f>VLOOKUP(Tabla1[[#This Row],[PAGO DIA]],DIAS!A:K,11,0)</f>
        <v>46356</v>
      </c>
      <c r="AB259" s="6">
        <v>0</v>
      </c>
      <c r="AC259" s="43">
        <f>VLOOKUP(Tabla1[[#This Row],[PAGO DIA]],DIAS!A:M,12,0)</f>
        <v>46386</v>
      </c>
      <c r="AD2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0" spans="1:30">
      <c r="A260" s="3">
        <v>11894</v>
      </c>
      <c r="B260" s="3" t="s">
        <v>628</v>
      </c>
      <c r="C260" s="3" t="s">
        <v>540</v>
      </c>
      <c r="D260" s="3" t="s">
        <v>540</v>
      </c>
      <c r="E260" s="3" t="s">
        <v>876</v>
      </c>
      <c r="F260" s="42" t="s">
        <v>631</v>
      </c>
      <c r="G260" s="3" t="s">
        <v>879</v>
      </c>
      <c r="H260" s="6">
        <v>0</v>
      </c>
      <c r="I260" s="41">
        <f>VLOOKUP(Tabla1[[#This Row],[PAGO DIA]],DIAS!A:B,2,0)</f>
        <v>46080</v>
      </c>
      <c r="J260" s="6">
        <v>0</v>
      </c>
      <c r="K260" s="43">
        <f>VLOOKUP(Tabla1[[#This Row],[PAGO DIA]],DIAS!A:C,3,0)</f>
        <v>46112</v>
      </c>
      <c r="L260" s="6">
        <v>0</v>
      </c>
      <c r="M260" s="41">
        <f>VLOOKUP(Tabla1[[#This Row],[PAGO DIA]],DIAS!A:D,4,0)</f>
        <v>46142</v>
      </c>
      <c r="N260" s="6">
        <v>0</v>
      </c>
      <c r="O260" s="43">
        <f>VLOOKUP(Tabla1[[#This Row],[PAGO DIA]],DIAS!A:E,5,0)</f>
        <v>46171</v>
      </c>
      <c r="P260" s="6">
        <v>0</v>
      </c>
      <c r="Q260" s="43">
        <f>VLOOKUP(Tabla1[[#This Row],[PAGO DIA]],DIAS!A:F,6,0)</f>
        <v>46203</v>
      </c>
      <c r="R260" s="6">
        <v>0</v>
      </c>
      <c r="S260" s="43">
        <f>VLOOKUP(Tabla1[[#This Row],[PAGO DIA]],DIAS!A:G,7,0)</f>
        <v>46234</v>
      </c>
      <c r="T260" s="6">
        <v>0</v>
      </c>
      <c r="U260" s="43">
        <f>VLOOKUP(Tabla1[[#This Row],[PAGO DIA]],DIAS!A:H,8,0)</f>
        <v>46265</v>
      </c>
      <c r="V260" s="6">
        <v>0</v>
      </c>
      <c r="W260" s="43">
        <f>VLOOKUP(Tabla1[[#This Row],[PAGO DIA]],DIAS!A:I,9,0)</f>
        <v>46295</v>
      </c>
      <c r="X260" s="6">
        <v>0</v>
      </c>
      <c r="Y260" s="43">
        <f>VLOOKUP(Tabla1[[#This Row],[PAGO DIA]],DIAS!A:J,10,0)</f>
        <v>46325</v>
      </c>
      <c r="Z260" s="6">
        <v>0</v>
      </c>
      <c r="AA260" s="43">
        <f>VLOOKUP(Tabla1[[#This Row],[PAGO DIA]],DIAS!A:K,11,0)</f>
        <v>46356</v>
      </c>
      <c r="AB260" s="6">
        <v>0</v>
      </c>
      <c r="AC260" s="43">
        <f>VLOOKUP(Tabla1[[#This Row],[PAGO DIA]],DIAS!A:M,12,0)</f>
        <v>46386</v>
      </c>
      <c r="AD2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1" spans="1:30">
      <c r="A261" s="3">
        <v>11895</v>
      </c>
      <c r="B261" s="3" t="s">
        <v>628</v>
      </c>
      <c r="C261" s="3" t="s">
        <v>540</v>
      </c>
      <c r="D261" s="3" t="s">
        <v>540</v>
      </c>
      <c r="E261" s="3" t="s">
        <v>876</v>
      </c>
      <c r="F261" s="42" t="s">
        <v>631</v>
      </c>
      <c r="G261" s="3" t="s">
        <v>880</v>
      </c>
      <c r="H261" s="6">
        <v>0</v>
      </c>
      <c r="I261" s="41">
        <f>VLOOKUP(Tabla1[[#This Row],[PAGO DIA]],DIAS!A:B,2,0)</f>
        <v>46080</v>
      </c>
      <c r="J261" s="6">
        <v>0</v>
      </c>
      <c r="K261" s="43">
        <f>VLOOKUP(Tabla1[[#This Row],[PAGO DIA]],DIAS!A:C,3,0)</f>
        <v>46112</v>
      </c>
      <c r="L261" s="6">
        <v>0</v>
      </c>
      <c r="M261" s="41">
        <f>VLOOKUP(Tabla1[[#This Row],[PAGO DIA]],DIAS!A:D,4,0)</f>
        <v>46142</v>
      </c>
      <c r="N261" s="6">
        <v>0</v>
      </c>
      <c r="O261" s="43">
        <f>VLOOKUP(Tabla1[[#This Row],[PAGO DIA]],DIAS!A:E,5,0)</f>
        <v>46171</v>
      </c>
      <c r="P261" s="6">
        <v>0</v>
      </c>
      <c r="Q261" s="43">
        <f>VLOOKUP(Tabla1[[#This Row],[PAGO DIA]],DIAS!A:F,6,0)</f>
        <v>46203</v>
      </c>
      <c r="R261" s="6">
        <v>0</v>
      </c>
      <c r="S261" s="43">
        <f>VLOOKUP(Tabla1[[#This Row],[PAGO DIA]],DIAS!A:G,7,0)</f>
        <v>46234</v>
      </c>
      <c r="T261" s="6">
        <v>0</v>
      </c>
      <c r="U261" s="43">
        <f>VLOOKUP(Tabla1[[#This Row],[PAGO DIA]],DIAS!A:H,8,0)</f>
        <v>46265</v>
      </c>
      <c r="V261" s="6">
        <v>0</v>
      </c>
      <c r="W261" s="43">
        <f>VLOOKUP(Tabla1[[#This Row],[PAGO DIA]],DIAS!A:I,9,0)</f>
        <v>46295</v>
      </c>
      <c r="X261" s="6">
        <v>0</v>
      </c>
      <c r="Y261" s="43">
        <f>VLOOKUP(Tabla1[[#This Row],[PAGO DIA]],DIAS!A:J,10,0)</f>
        <v>46325</v>
      </c>
      <c r="Z261" s="6">
        <v>0</v>
      </c>
      <c r="AA261" s="43">
        <f>VLOOKUP(Tabla1[[#This Row],[PAGO DIA]],DIAS!A:K,11,0)</f>
        <v>46356</v>
      </c>
      <c r="AB261" s="6">
        <v>0</v>
      </c>
      <c r="AC261" s="43">
        <f>VLOOKUP(Tabla1[[#This Row],[PAGO DIA]],DIAS!A:M,12,0)</f>
        <v>46386</v>
      </c>
      <c r="AD2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2" spans="1:30">
      <c r="A262" s="3">
        <v>11896</v>
      </c>
      <c r="B262" s="3" t="s">
        <v>628</v>
      </c>
      <c r="C262" s="3" t="s">
        <v>540</v>
      </c>
      <c r="D262" s="3" t="s">
        <v>540</v>
      </c>
      <c r="E262" s="3" t="s">
        <v>876</v>
      </c>
      <c r="F262" s="42" t="s">
        <v>631</v>
      </c>
      <c r="G262" s="3" t="s">
        <v>881</v>
      </c>
      <c r="H262" s="6">
        <v>0</v>
      </c>
      <c r="I262" s="41">
        <f>VLOOKUP(Tabla1[[#This Row],[PAGO DIA]],DIAS!A:B,2,0)</f>
        <v>46080</v>
      </c>
      <c r="J262" s="6">
        <v>0</v>
      </c>
      <c r="K262" s="43">
        <f>VLOOKUP(Tabla1[[#This Row],[PAGO DIA]],DIAS!A:C,3,0)</f>
        <v>46112</v>
      </c>
      <c r="L262" s="6">
        <v>0</v>
      </c>
      <c r="M262" s="41">
        <f>VLOOKUP(Tabla1[[#This Row],[PAGO DIA]],DIAS!A:D,4,0)</f>
        <v>46142</v>
      </c>
      <c r="N262" s="6">
        <v>0</v>
      </c>
      <c r="O262" s="43">
        <f>VLOOKUP(Tabla1[[#This Row],[PAGO DIA]],DIAS!A:E,5,0)</f>
        <v>46171</v>
      </c>
      <c r="P262" s="6">
        <v>0</v>
      </c>
      <c r="Q262" s="43">
        <f>VLOOKUP(Tabla1[[#This Row],[PAGO DIA]],DIAS!A:F,6,0)</f>
        <v>46203</v>
      </c>
      <c r="R262" s="6">
        <v>0</v>
      </c>
      <c r="S262" s="43">
        <f>VLOOKUP(Tabla1[[#This Row],[PAGO DIA]],DIAS!A:G,7,0)</f>
        <v>46234</v>
      </c>
      <c r="T262" s="6">
        <v>0</v>
      </c>
      <c r="U262" s="43">
        <f>VLOOKUP(Tabla1[[#This Row],[PAGO DIA]],DIAS!A:H,8,0)</f>
        <v>46265</v>
      </c>
      <c r="V262" s="6">
        <v>0</v>
      </c>
      <c r="W262" s="43">
        <f>VLOOKUP(Tabla1[[#This Row],[PAGO DIA]],DIAS!A:I,9,0)</f>
        <v>46295</v>
      </c>
      <c r="X262" s="6">
        <v>0</v>
      </c>
      <c r="Y262" s="43">
        <f>VLOOKUP(Tabla1[[#This Row],[PAGO DIA]],DIAS!A:J,10,0)</f>
        <v>46325</v>
      </c>
      <c r="Z262" s="6">
        <v>0</v>
      </c>
      <c r="AA262" s="43">
        <f>VLOOKUP(Tabla1[[#This Row],[PAGO DIA]],DIAS!A:K,11,0)</f>
        <v>46356</v>
      </c>
      <c r="AB262" s="6">
        <v>0</v>
      </c>
      <c r="AC262" s="43">
        <f>VLOOKUP(Tabla1[[#This Row],[PAGO DIA]],DIAS!A:M,12,0)</f>
        <v>46386</v>
      </c>
      <c r="AD2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3" spans="1:30">
      <c r="A263" s="3">
        <v>11903</v>
      </c>
      <c r="B263" s="3" t="s">
        <v>628</v>
      </c>
      <c r="C263" s="3" t="s">
        <v>540</v>
      </c>
      <c r="D263" s="3" t="s">
        <v>540</v>
      </c>
      <c r="E263" s="3" t="s">
        <v>882</v>
      </c>
      <c r="F263" s="42" t="s">
        <v>631</v>
      </c>
      <c r="G263" s="3" t="s">
        <v>883</v>
      </c>
      <c r="H263" s="6">
        <v>0</v>
      </c>
      <c r="I263" s="41">
        <f>VLOOKUP(Tabla1[[#This Row],[PAGO DIA]],DIAS!A:B,2,0)</f>
        <v>46080</v>
      </c>
      <c r="J263" s="6">
        <v>0</v>
      </c>
      <c r="K263" s="43">
        <f>VLOOKUP(Tabla1[[#This Row],[PAGO DIA]],DIAS!A:C,3,0)</f>
        <v>46112</v>
      </c>
      <c r="L263" s="6">
        <v>0</v>
      </c>
      <c r="M263" s="41">
        <f>VLOOKUP(Tabla1[[#This Row],[PAGO DIA]],DIAS!A:D,4,0)</f>
        <v>46142</v>
      </c>
      <c r="N263" s="6">
        <v>0</v>
      </c>
      <c r="O263" s="43">
        <f>VLOOKUP(Tabla1[[#This Row],[PAGO DIA]],DIAS!A:E,5,0)</f>
        <v>46171</v>
      </c>
      <c r="P263" s="6">
        <v>0</v>
      </c>
      <c r="Q263" s="43">
        <f>VLOOKUP(Tabla1[[#This Row],[PAGO DIA]],DIAS!A:F,6,0)</f>
        <v>46203</v>
      </c>
      <c r="R263" s="6">
        <v>0</v>
      </c>
      <c r="S263" s="43">
        <f>VLOOKUP(Tabla1[[#This Row],[PAGO DIA]],DIAS!A:G,7,0)</f>
        <v>46234</v>
      </c>
      <c r="T263" s="6">
        <v>0</v>
      </c>
      <c r="U263" s="43">
        <f>VLOOKUP(Tabla1[[#This Row],[PAGO DIA]],DIAS!A:H,8,0)</f>
        <v>46265</v>
      </c>
      <c r="V263" s="6">
        <v>0</v>
      </c>
      <c r="W263" s="43">
        <f>VLOOKUP(Tabla1[[#This Row],[PAGO DIA]],DIAS!A:I,9,0)</f>
        <v>46295</v>
      </c>
      <c r="X263" s="6">
        <v>0</v>
      </c>
      <c r="Y263" s="43">
        <f>VLOOKUP(Tabla1[[#This Row],[PAGO DIA]],DIAS!A:J,10,0)</f>
        <v>46325</v>
      </c>
      <c r="Z263" s="6">
        <v>0</v>
      </c>
      <c r="AA263" s="43">
        <f>VLOOKUP(Tabla1[[#This Row],[PAGO DIA]],DIAS!A:K,11,0)</f>
        <v>46356</v>
      </c>
      <c r="AB263" s="6">
        <v>0</v>
      </c>
      <c r="AC263" s="43">
        <f>VLOOKUP(Tabla1[[#This Row],[PAGO DIA]],DIAS!A:M,12,0)</f>
        <v>46386</v>
      </c>
      <c r="AD2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4" spans="1:30">
      <c r="A264" s="3">
        <v>12550</v>
      </c>
      <c r="B264" s="3" t="s">
        <v>628</v>
      </c>
      <c r="C264" s="3" t="s">
        <v>629</v>
      </c>
      <c r="D264" s="3" t="s">
        <v>540</v>
      </c>
      <c r="E264" s="3" t="s">
        <v>884</v>
      </c>
      <c r="F264" s="42" t="s">
        <v>631</v>
      </c>
      <c r="G264" s="3" t="s">
        <v>885</v>
      </c>
      <c r="H264" s="6">
        <v>0</v>
      </c>
      <c r="I264" s="41">
        <f>VLOOKUP(Tabla1[[#This Row],[PAGO DIA]],DIAS!A:B,2,0)</f>
        <v>46080</v>
      </c>
      <c r="J264" s="6">
        <v>0</v>
      </c>
      <c r="K264" s="43">
        <f>VLOOKUP(Tabla1[[#This Row],[PAGO DIA]],DIAS!A:C,3,0)</f>
        <v>46112</v>
      </c>
      <c r="L264" s="6">
        <v>0</v>
      </c>
      <c r="M264" s="41">
        <f>VLOOKUP(Tabla1[[#This Row],[PAGO DIA]],DIAS!A:D,4,0)</f>
        <v>46142</v>
      </c>
      <c r="N264" s="6">
        <v>0</v>
      </c>
      <c r="O264" s="43">
        <f>VLOOKUP(Tabla1[[#This Row],[PAGO DIA]],DIAS!A:E,5,0)</f>
        <v>46171</v>
      </c>
      <c r="P264" s="6">
        <v>0</v>
      </c>
      <c r="Q264" s="43">
        <f>VLOOKUP(Tabla1[[#This Row],[PAGO DIA]],DIAS!A:F,6,0)</f>
        <v>46203</v>
      </c>
      <c r="R264" s="6">
        <v>0</v>
      </c>
      <c r="S264" s="43">
        <f>VLOOKUP(Tabla1[[#This Row],[PAGO DIA]],DIAS!A:G,7,0)</f>
        <v>46234</v>
      </c>
      <c r="T264" s="6">
        <v>0</v>
      </c>
      <c r="U264" s="43">
        <f>VLOOKUP(Tabla1[[#This Row],[PAGO DIA]],DIAS!A:H,8,0)</f>
        <v>46265</v>
      </c>
      <c r="V264" s="6">
        <v>0</v>
      </c>
      <c r="W264" s="43">
        <f>VLOOKUP(Tabla1[[#This Row],[PAGO DIA]],DIAS!A:I,9,0)</f>
        <v>46295</v>
      </c>
      <c r="X264" s="6">
        <v>0</v>
      </c>
      <c r="Y264" s="43">
        <f>VLOOKUP(Tabla1[[#This Row],[PAGO DIA]],DIAS!A:J,10,0)</f>
        <v>46325</v>
      </c>
      <c r="Z264" s="6">
        <v>0</v>
      </c>
      <c r="AA264" s="43">
        <f>VLOOKUP(Tabla1[[#This Row],[PAGO DIA]],DIAS!A:K,11,0)</f>
        <v>46356</v>
      </c>
      <c r="AB264" s="6">
        <v>0</v>
      </c>
      <c r="AC264" s="43">
        <f>VLOOKUP(Tabla1[[#This Row],[PAGO DIA]],DIAS!A:M,12,0)</f>
        <v>46386</v>
      </c>
      <c r="AD2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5" spans="1:30">
      <c r="A265" s="3">
        <v>12627</v>
      </c>
      <c r="B265" s="3" t="s">
        <v>628</v>
      </c>
      <c r="C265" s="3" t="s">
        <v>629</v>
      </c>
      <c r="D265" s="3" t="s">
        <v>540</v>
      </c>
      <c r="E265" s="3" t="s">
        <v>884</v>
      </c>
      <c r="F265" s="42" t="s">
        <v>631</v>
      </c>
      <c r="G265" s="3" t="s">
        <v>886</v>
      </c>
      <c r="H265" s="6">
        <v>0</v>
      </c>
      <c r="I265" s="41">
        <f>VLOOKUP(Tabla1[[#This Row],[PAGO DIA]],DIAS!A:B,2,0)</f>
        <v>46080</v>
      </c>
      <c r="J265" s="6">
        <v>0</v>
      </c>
      <c r="K265" s="43">
        <f>VLOOKUP(Tabla1[[#This Row],[PAGO DIA]],DIAS!A:C,3,0)</f>
        <v>46112</v>
      </c>
      <c r="L265" s="6">
        <v>0</v>
      </c>
      <c r="M265" s="41">
        <f>VLOOKUP(Tabla1[[#This Row],[PAGO DIA]],DIAS!A:D,4,0)</f>
        <v>46142</v>
      </c>
      <c r="N265" s="6">
        <v>0</v>
      </c>
      <c r="O265" s="43">
        <f>VLOOKUP(Tabla1[[#This Row],[PAGO DIA]],DIAS!A:E,5,0)</f>
        <v>46171</v>
      </c>
      <c r="P265" s="6">
        <v>0</v>
      </c>
      <c r="Q265" s="43">
        <f>VLOOKUP(Tabla1[[#This Row],[PAGO DIA]],DIAS!A:F,6,0)</f>
        <v>46203</v>
      </c>
      <c r="R265" s="6">
        <v>0</v>
      </c>
      <c r="S265" s="43">
        <f>VLOOKUP(Tabla1[[#This Row],[PAGO DIA]],DIAS!A:G,7,0)</f>
        <v>46234</v>
      </c>
      <c r="T265" s="6">
        <v>0</v>
      </c>
      <c r="U265" s="43">
        <f>VLOOKUP(Tabla1[[#This Row],[PAGO DIA]],DIAS!A:H,8,0)</f>
        <v>46265</v>
      </c>
      <c r="V265" s="6">
        <v>0</v>
      </c>
      <c r="W265" s="43">
        <f>VLOOKUP(Tabla1[[#This Row],[PAGO DIA]],DIAS!A:I,9,0)</f>
        <v>46295</v>
      </c>
      <c r="X265" s="6">
        <v>0</v>
      </c>
      <c r="Y265" s="43">
        <f>VLOOKUP(Tabla1[[#This Row],[PAGO DIA]],DIAS!A:J,10,0)</f>
        <v>46325</v>
      </c>
      <c r="Z265" s="6">
        <v>0</v>
      </c>
      <c r="AA265" s="43">
        <f>VLOOKUP(Tabla1[[#This Row],[PAGO DIA]],DIAS!A:K,11,0)</f>
        <v>46356</v>
      </c>
      <c r="AB265" s="6">
        <v>0</v>
      </c>
      <c r="AC265" s="43">
        <f>VLOOKUP(Tabla1[[#This Row],[PAGO DIA]],DIAS!A:M,12,0)</f>
        <v>46386</v>
      </c>
      <c r="AD2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6" spans="1:30">
      <c r="A266" s="3">
        <v>11077</v>
      </c>
      <c r="B266" s="3" t="s">
        <v>628</v>
      </c>
      <c r="C266" s="3" t="s">
        <v>540</v>
      </c>
      <c r="D266" s="3" t="s">
        <v>540</v>
      </c>
      <c r="E266" s="3" t="s">
        <v>887</v>
      </c>
      <c r="F266" s="42" t="s">
        <v>631</v>
      </c>
      <c r="G266" s="3"/>
      <c r="H266" s="6">
        <v>0</v>
      </c>
      <c r="I266" s="41">
        <f>VLOOKUP(Tabla1[[#This Row],[PAGO DIA]],DIAS!A:B,2,0)</f>
        <v>46080</v>
      </c>
      <c r="J266" s="6">
        <v>0</v>
      </c>
      <c r="K266" s="43">
        <f>VLOOKUP(Tabla1[[#This Row],[PAGO DIA]],DIAS!A:C,3,0)</f>
        <v>46112</v>
      </c>
      <c r="L266" s="6">
        <v>0</v>
      </c>
      <c r="M266" s="41">
        <f>VLOOKUP(Tabla1[[#This Row],[PAGO DIA]],DIAS!A:D,4,0)</f>
        <v>46142</v>
      </c>
      <c r="N266" s="6">
        <v>0</v>
      </c>
      <c r="O266" s="43">
        <f>VLOOKUP(Tabla1[[#This Row],[PAGO DIA]],DIAS!A:E,5,0)</f>
        <v>46171</v>
      </c>
      <c r="P266" s="6">
        <v>0</v>
      </c>
      <c r="Q266" s="43">
        <f>VLOOKUP(Tabla1[[#This Row],[PAGO DIA]],DIAS!A:F,6,0)</f>
        <v>46203</v>
      </c>
      <c r="R266" s="6">
        <v>0</v>
      </c>
      <c r="S266" s="43">
        <f>VLOOKUP(Tabla1[[#This Row],[PAGO DIA]],DIAS!A:G,7,0)</f>
        <v>46234</v>
      </c>
      <c r="T266" s="6">
        <v>0</v>
      </c>
      <c r="U266" s="43">
        <f>VLOOKUP(Tabla1[[#This Row],[PAGO DIA]],DIAS!A:H,8,0)</f>
        <v>46265</v>
      </c>
      <c r="V266" s="6">
        <v>0</v>
      </c>
      <c r="W266" s="43">
        <f>VLOOKUP(Tabla1[[#This Row],[PAGO DIA]],DIAS!A:I,9,0)</f>
        <v>46295</v>
      </c>
      <c r="X266" s="6">
        <v>0</v>
      </c>
      <c r="Y266" s="43">
        <f>VLOOKUP(Tabla1[[#This Row],[PAGO DIA]],DIAS!A:J,10,0)</f>
        <v>46325</v>
      </c>
      <c r="Z266" s="6">
        <v>0</v>
      </c>
      <c r="AA266" s="43">
        <f>VLOOKUP(Tabla1[[#This Row],[PAGO DIA]],DIAS!A:K,11,0)</f>
        <v>46356</v>
      </c>
      <c r="AB266" s="6">
        <v>0</v>
      </c>
      <c r="AC266" s="43">
        <f>VLOOKUP(Tabla1[[#This Row],[PAGO DIA]],DIAS!A:M,12,0)</f>
        <v>46386</v>
      </c>
      <c r="AD2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7" spans="1:30">
      <c r="A267" s="3">
        <v>11351</v>
      </c>
      <c r="B267" s="3" t="s">
        <v>628</v>
      </c>
      <c r="C267" s="3" t="s">
        <v>540</v>
      </c>
      <c r="D267" s="3" t="s">
        <v>540</v>
      </c>
      <c r="E267" s="3" t="s">
        <v>887</v>
      </c>
      <c r="F267" s="42" t="s">
        <v>631</v>
      </c>
      <c r="G267" s="3" t="s">
        <v>888</v>
      </c>
      <c r="H267" s="6">
        <v>0</v>
      </c>
      <c r="I267" s="41">
        <f>VLOOKUP(Tabla1[[#This Row],[PAGO DIA]],DIAS!A:B,2,0)</f>
        <v>46080</v>
      </c>
      <c r="J267" s="6">
        <v>0</v>
      </c>
      <c r="K267" s="43">
        <f>VLOOKUP(Tabla1[[#This Row],[PAGO DIA]],DIAS!A:C,3,0)</f>
        <v>46112</v>
      </c>
      <c r="L267" s="6">
        <v>0</v>
      </c>
      <c r="M267" s="41">
        <f>VLOOKUP(Tabla1[[#This Row],[PAGO DIA]],DIAS!A:D,4,0)</f>
        <v>46142</v>
      </c>
      <c r="N267" s="6">
        <v>0</v>
      </c>
      <c r="O267" s="43">
        <f>VLOOKUP(Tabla1[[#This Row],[PAGO DIA]],DIAS!A:E,5,0)</f>
        <v>46171</v>
      </c>
      <c r="P267" s="6">
        <v>0</v>
      </c>
      <c r="Q267" s="43">
        <f>VLOOKUP(Tabla1[[#This Row],[PAGO DIA]],DIAS!A:F,6,0)</f>
        <v>46203</v>
      </c>
      <c r="R267" s="6">
        <v>0</v>
      </c>
      <c r="S267" s="43">
        <f>VLOOKUP(Tabla1[[#This Row],[PAGO DIA]],DIAS!A:G,7,0)</f>
        <v>46234</v>
      </c>
      <c r="T267" s="6">
        <v>0</v>
      </c>
      <c r="U267" s="43">
        <f>VLOOKUP(Tabla1[[#This Row],[PAGO DIA]],DIAS!A:H,8,0)</f>
        <v>46265</v>
      </c>
      <c r="V267" s="6">
        <v>0</v>
      </c>
      <c r="W267" s="43">
        <f>VLOOKUP(Tabla1[[#This Row],[PAGO DIA]],DIAS!A:I,9,0)</f>
        <v>46295</v>
      </c>
      <c r="X267" s="6">
        <v>0</v>
      </c>
      <c r="Y267" s="43">
        <f>VLOOKUP(Tabla1[[#This Row],[PAGO DIA]],DIAS!A:J,10,0)</f>
        <v>46325</v>
      </c>
      <c r="Z267" s="6">
        <v>0</v>
      </c>
      <c r="AA267" s="43">
        <f>VLOOKUP(Tabla1[[#This Row],[PAGO DIA]],DIAS!A:K,11,0)</f>
        <v>46356</v>
      </c>
      <c r="AB267" s="6">
        <v>0</v>
      </c>
      <c r="AC267" s="43">
        <f>VLOOKUP(Tabla1[[#This Row],[PAGO DIA]],DIAS!A:M,12,0)</f>
        <v>46386</v>
      </c>
      <c r="AD2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8" spans="1:30">
      <c r="A268" s="3">
        <v>11904</v>
      </c>
      <c r="B268" s="3" t="s">
        <v>628</v>
      </c>
      <c r="C268" s="3" t="s">
        <v>540</v>
      </c>
      <c r="D268" s="3" t="s">
        <v>540</v>
      </c>
      <c r="E268" s="3" t="s">
        <v>887</v>
      </c>
      <c r="F268" s="42" t="s">
        <v>631</v>
      </c>
      <c r="G268" s="3" t="s">
        <v>889</v>
      </c>
      <c r="H268" s="6">
        <v>0</v>
      </c>
      <c r="I268" s="41">
        <f>VLOOKUP(Tabla1[[#This Row],[PAGO DIA]],DIAS!A:B,2,0)</f>
        <v>46080</v>
      </c>
      <c r="J268" s="6">
        <v>0</v>
      </c>
      <c r="K268" s="43">
        <f>VLOOKUP(Tabla1[[#This Row],[PAGO DIA]],DIAS!A:C,3,0)</f>
        <v>46112</v>
      </c>
      <c r="L268" s="6">
        <v>0</v>
      </c>
      <c r="M268" s="41">
        <f>VLOOKUP(Tabla1[[#This Row],[PAGO DIA]],DIAS!A:D,4,0)</f>
        <v>46142</v>
      </c>
      <c r="N268" s="6">
        <v>0</v>
      </c>
      <c r="O268" s="43">
        <f>VLOOKUP(Tabla1[[#This Row],[PAGO DIA]],DIAS!A:E,5,0)</f>
        <v>46171</v>
      </c>
      <c r="P268" s="6">
        <v>0</v>
      </c>
      <c r="Q268" s="43">
        <f>VLOOKUP(Tabla1[[#This Row],[PAGO DIA]],DIAS!A:F,6,0)</f>
        <v>46203</v>
      </c>
      <c r="R268" s="6">
        <v>0</v>
      </c>
      <c r="S268" s="43">
        <f>VLOOKUP(Tabla1[[#This Row],[PAGO DIA]],DIAS!A:G,7,0)</f>
        <v>46234</v>
      </c>
      <c r="T268" s="6">
        <v>0</v>
      </c>
      <c r="U268" s="43">
        <f>VLOOKUP(Tabla1[[#This Row],[PAGO DIA]],DIAS!A:H,8,0)</f>
        <v>46265</v>
      </c>
      <c r="V268" s="6">
        <v>0</v>
      </c>
      <c r="W268" s="43">
        <f>VLOOKUP(Tabla1[[#This Row],[PAGO DIA]],DIAS!A:I,9,0)</f>
        <v>46295</v>
      </c>
      <c r="X268" s="6">
        <v>0</v>
      </c>
      <c r="Y268" s="43">
        <f>VLOOKUP(Tabla1[[#This Row],[PAGO DIA]],DIAS!A:J,10,0)</f>
        <v>46325</v>
      </c>
      <c r="Z268" s="6">
        <v>0</v>
      </c>
      <c r="AA268" s="43">
        <f>VLOOKUP(Tabla1[[#This Row],[PAGO DIA]],DIAS!A:K,11,0)</f>
        <v>46356</v>
      </c>
      <c r="AB268" s="6">
        <v>0</v>
      </c>
      <c r="AC268" s="43">
        <f>VLOOKUP(Tabla1[[#This Row],[PAGO DIA]],DIAS!A:M,12,0)</f>
        <v>46386</v>
      </c>
      <c r="AD2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69" spans="1:30">
      <c r="A269" s="3">
        <v>11905</v>
      </c>
      <c r="B269" s="3" t="s">
        <v>628</v>
      </c>
      <c r="C269" s="3" t="s">
        <v>540</v>
      </c>
      <c r="D269" s="3" t="s">
        <v>540</v>
      </c>
      <c r="E269" s="3" t="s">
        <v>887</v>
      </c>
      <c r="F269" s="42" t="s">
        <v>631</v>
      </c>
      <c r="G269" s="3" t="s">
        <v>888</v>
      </c>
      <c r="H269" s="6">
        <v>0</v>
      </c>
      <c r="I269" s="41">
        <f>VLOOKUP(Tabla1[[#This Row],[PAGO DIA]],DIAS!A:B,2,0)</f>
        <v>46080</v>
      </c>
      <c r="J269" s="6">
        <v>0</v>
      </c>
      <c r="K269" s="43">
        <f>VLOOKUP(Tabla1[[#This Row],[PAGO DIA]],DIAS!A:C,3,0)</f>
        <v>46112</v>
      </c>
      <c r="L269" s="6">
        <v>0</v>
      </c>
      <c r="M269" s="41">
        <f>VLOOKUP(Tabla1[[#This Row],[PAGO DIA]],DIAS!A:D,4,0)</f>
        <v>46142</v>
      </c>
      <c r="N269" s="6">
        <v>0</v>
      </c>
      <c r="O269" s="43">
        <f>VLOOKUP(Tabla1[[#This Row],[PAGO DIA]],DIAS!A:E,5,0)</f>
        <v>46171</v>
      </c>
      <c r="P269" s="6">
        <v>0</v>
      </c>
      <c r="Q269" s="43">
        <f>VLOOKUP(Tabla1[[#This Row],[PAGO DIA]],DIAS!A:F,6,0)</f>
        <v>46203</v>
      </c>
      <c r="R269" s="6">
        <v>0</v>
      </c>
      <c r="S269" s="43">
        <f>VLOOKUP(Tabla1[[#This Row],[PAGO DIA]],DIAS!A:G,7,0)</f>
        <v>46234</v>
      </c>
      <c r="T269" s="6">
        <v>0</v>
      </c>
      <c r="U269" s="43">
        <f>VLOOKUP(Tabla1[[#This Row],[PAGO DIA]],DIAS!A:H,8,0)</f>
        <v>46265</v>
      </c>
      <c r="V269" s="6">
        <v>0</v>
      </c>
      <c r="W269" s="43">
        <f>VLOOKUP(Tabla1[[#This Row],[PAGO DIA]],DIAS!A:I,9,0)</f>
        <v>46295</v>
      </c>
      <c r="X269" s="6">
        <v>0</v>
      </c>
      <c r="Y269" s="43">
        <f>VLOOKUP(Tabla1[[#This Row],[PAGO DIA]],DIAS!A:J,10,0)</f>
        <v>46325</v>
      </c>
      <c r="Z269" s="6">
        <v>0</v>
      </c>
      <c r="AA269" s="43">
        <f>VLOOKUP(Tabla1[[#This Row],[PAGO DIA]],DIAS!A:K,11,0)</f>
        <v>46356</v>
      </c>
      <c r="AB269" s="6">
        <v>0</v>
      </c>
      <c r="AC269" s="43">
        <f>VLOOKUP(Tabla1[[#This Row],[PAGO DIA]],DIAS!A:M,12,0)</f>
        <v>46386</v>
      </c>
      <c r="AD2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0" spans="1:30">
      <c r="A270" s="3">
        <v>11906</v>
      </c>
      <c r="B270" s="3" t="s">
        <v>628</v>
      </c>
      <c r="C270" s="3" t="s">
        <v>540</v>
      </c>
      <c r="D270" s="3" t="s">
        <v>540</v>
      </c>
      <c r="E270" s="3" t="s">
        <v>887</v>
      </c>
      <c r="F270" s="42" t="s">
        <v>631</v>
      </c>
      <c r="G270" s="3" t="s">
        <v>889</v>
      </c>
      <c r="H270" s="6">
        <v>0</v>
      </c>
      <c r="I270" s="41">
        <f>VLOOKUP(Tabla1[[#This Row],[PAGO DIA]],DIAS!A:B,2,0)</f>
        <v>46080</v>
      </c>
      <c r="J270" s="6">
        <v>0</v>
      </c>
      <c r="K270" s="43">
        <f>VLOOKUP(Tabla1[[#This Row],[PAGO DIA]],DIAS!A:C,3,0)</f>
        <v>46112</v>
      </c>
      <c r="L270" s="6">
        <v>0</v>
      </c>
      <c r="M270" s="41">
        <f>VLOOKUP(Tabla1[[#This Row],[PAGO DIA]],DIAS!A:D,4,0)</f>
        <v>46142</v>
      </c>
      <c r="N270" s="6">
        <v>0</v>
      </c>
      <c r="O270" s="43">
        <f>VLOOKUP(Tabla1[[#This Row],[PAGO DIA]],DIAS!A:E,5,0)</f>
        <v>46171</v>
      </c>
      <c r="P270" s="6">
        <v>0</v>
      </c>
      <c r="Q270" s="43">
        <f>VLOOKUP(Tabla1[[#This Row],[PAGO DIA]],DIAS!A:F,6,0)</f>
        <v>46203</v>
      </c>
      <c r="R270" s="6">
        <v>0</v>
      </c>
      <c r="S270" s="43">
        <f>VLOOKUP(Tabla1[[#This Row],[PAGO DIA]],DIAS!A:G,7,0)</f>
        <v>46234</v>
      </c>
      <c r="T270" s="6">
        <v>0</v>
      </c>
      <c r="U270" s="43">
        <f>VLOOKUP(Tabla1[[#This Row],[PAGO DIA]],DIAS!A:H,8,0)</f>
        <v>46265</v>
      </c>
      <c r="V270" s="6">
        <v>0</v>
      </c>
      <c r="W270" s="43">
        <f>VLOOKUP(Tabla1[[#This Row],[PAGO DIA]],DIAS!A:I,9,0)</f>
        <v>46295</v>
      </c>
      <c r="X270" s="6">
        <v>0</v>
      </c>
      <c r="Y270" s="43">
        <f>VLOOKUP(Tabla1[[#This Row],[PAGO DIA]],DIAS!A:J,10,0)</f>
        <v>46325</v>
      </c>
      <c r="Z270" s="6">
        <v>0</v>
      </c>
      <c r="AA270" s="43">
        <f>VLOOKUP(Tabla1[[#This Row],[PAGO DIA]],DIAS!A:K,11,0)</f>
        <v>46356</v>
      </c>
      <c r="AB270" s="6">
        <v>0</v>
      </c>
      <c r="AC270" s="43">
        <f>VLOOKUP(Tabla1[[#This Row],[PAGO DIA]],DIAS!A:M,12,0)</f>
        <v>46386</v>
      </c>
      <c r="AD2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1" spans="1:30">
      <c r="A271" s="3">
        <v>11907</v>
      </c>
      <c r="B271" s="3" t="s">
        <v>628</v>
      </c>
      <c r="C271" s="3" t="s">
        <v>540</v>
      </c>
      <c r="D271" s="3" t="s">
        <v>540</v>
      </c>
      <c r="E271" s="3" t="s">
        <v>887</v>
      </c>
      <c r="F271" s="42" t="s">
        <v>631</v>
      </c>
      <c r="G271" s="3" t="s">
        <v>889</v>
      </c>
      <c r="H271" s="6">
        <v>0</v>
      </c>
      <c r="I271" s="41">
        <f>VLOOKUP(Tabla1[[#This Row],[PAGO DIA]],DIAS!A:B,2,0)</f>
        <v>46080</v>
      </c>
      <c r="J271" s="6">
        <v>0</v>
      </c>
      <c r="K271" s="43">
        <f>VLOOKUP(Tabla1[[#This Row],[PAGO DIA]],DIAS!A:C,3,0)</f>
        <v>46112</v>
      </c>
      <c r="L271" s="6">
        <v>0</v>
      </c>
      <c r="M271" s="41">
        <f>VLOOKUP(Tabla1[[#This Row],[PAGO DIA]],DIAS!A:D,4,0)</f>
        <v>46142</v>
      </c>
      <c r="N271" s="6">
        <v>0</v>
      </c>
      <c r="O271" s="43">
        <f>VLOOKUP(Tabla1[[#This Row],[PAGO DIA]],DIAS!A:E,5,0)</f>
        <v>46171</v>
      </c>
      <c r="P271" s="6">
        <v>0</v>
      </c>
      <c r="Q271" s="43">
        <f>VLOOKUP(Tabla1[[#This Row],[PAGO DIA]],DIAS!A:F,6,0)</f>
        <v>46203</v>
      </c>
      <c r="R271" s="6">
        <v>0</v>
      </c>
      <c r="S271" s="43">
        <f>VLOOKUP(Tabla1[[#This Row],[PAGO DIA]],DIAS!A:G,7,0)</f>
        <v>46234</v>
      </c>
      <c r="T271" s="6">
        <v>0</v>
      </c>
      <c r="U271" s="43">
        <f>VLOOKUP(Tabla1[[#This Row],[PAGO DIA]],DIAS!A:H,8,0)</f>
        <v>46265</v>
      </c>
      <c r="V271" s="6">
        <v>0</v>
      </c>
      <c r="W271" s="43">
        <f>VLOOKUP(Tabla1[[#This Row],[PAGO DIA]],DIAS!A:I,9,0)</f>
        <v>46295</v>
      </c>
      <c r="X271" s="6">
        <v>0</v>
      </c>
      <c r="Y271" s="43">
        <f>VLOOKUP(Tabla1[[#This Row],[PAGO DIA]],DIAS!A:J,10,0)</f>
        <v>46325</v>
      </c>
      <c r="Z271" s="6">
        <v>0</v>
      </c>
      <c r="AA271" s="43">
        <f>VLOOKUP(Tabla1[[#This Row],[PAGO DIA]],DIAS!A:K,11,0)</f>
        <v>46356</v>
      </c>
      <c r="AB271" s="6">
        <v>0</v>
      </c>
      <c r="AC271" s="43">
        <f>VLOOKUP(Tabla1[[#This Row],[PAGO DIA]],DIAS!A:M,12,0)</f>
        <v>46386</v>
      </c>
      <c r="AD2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2" spans="1:30">
      <c r="A272" s="3">
        <v>11908</v>
      </c>
      <c r="B272" s="3" t="s">
        <v>628</v>
      </c>
      <c r="C272" s="3" t="s">
        <v>540</v>
      </c>
      <c r="D272" s="3" t="s">
        <v>540</v>
      </c>
      <c r="E272" s="3" t="s">
        <v>887</v>
      </c>
      <c r="F272" s="42" t="s">
        <v>631</v>
      </c>
      <c r="G272" s="3" t="s">
        <v>888</v>
      </c>
      <c r="H272" s="6">
        <v>0</v>
      </c>
      <c r="I272" s="41">
        <f>VLOOKUP(Tabla1[[#This Row],[PAGO DIA]],DIAS!A:B,2,0)</f>
        <v>46080</v>
      </c>
      <c r="J272" s="6">
        <v>0</v>
      </c>
      <c r="K272" s="43">
        <f>VLOOKUP(Tabla1[[#This Row],[PAGO DIA]],DIAS!A:C,3,0)</f>
        <v>46112</v>
      </c>
      <c r="L272" s="6">
        <v>0</v>
      </c>
      <c r="M272" s="41">
        <f>VLOOKUP(Tabla1[[#This Row],[PAGO DIA]],DIAS!A:D,4,0)</f>
        <v>46142</v>
      </c>
      <c r="N272" s="6">
        <v>0</v>
      </c>
      <c r="O272" s="43">
        <f>VLOOKUP(Tabla1[[#This Row],[PAGO DIA]],DIAS!A:E,5,0)</f>
        <v>46171</v>
      </c>
      <c r="P272" s="6">
        <v>0</v>
      </c>
      <c r="Q272" s="43">
        <f>VLOOKUP(Tabla1[[#This Row],[PAGO DIA]],DIAS!A:F,6,0)</f>
        <v>46203</v>
      </c>
      <c r="R272" s="6">
        <v>0</v>
      </c>
      <c r="S272" s="43">
        <f>VLOOKUP(Tabla1[[#This Row],[PAGO DIA]],DIAS!A:G,7,0)</f>
        <v>46234</v>
      </c>
      <c r="T272" s="6">
        <v>0</v>
      </c>
      <c r="U272" s="43">
        <f>VLOOKUP(Tabla1[[#This Row],[PAGO DIA]],DIAS!A:H,8,0)</f>
        <v>46265</v>
      </c>
      <c r="V272" s="6">
        <v>0</v>
      </c>
      <c r="W272" s="43">
        <f>VLOOKUP(Tabla1[[#This Row],[PAGO DIA]],DIAS!A:I,9,0)</f>
        <v>46295</v>
      </c>
      <c r="X272" s="6">
        <v>0</v>
      </c>
      <c r="Y272" s="43">
        <f>VLOOKUP(Tabla1[[#This Row],[PAGO DIA]],DIAS!A:J,10,0)</f>
        <v>46325</v>
      </c>
      <c r="Z272" s="6">
        <v>0</v>
      </c>
      <c r="AA272" s="43">
        <f>VLOOKUP(Tabla1[[#This Row],[PAGO DIA]],DIAS!A:K,11,0)</f>
        <v>46356</v>
      </c>
      <c r="AB272" s="6">
        <v>0</v>
      </c>
      <c r="AC272" s="43">
        <f>VLOOKUP(Tabla1[[#This Row],[PAGO DIA]],DIAS!A:M,12,0)</f>
        <v>46386</v>
      </c>
      <c r="AD2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3" spans="1:30">
      <c r="A273" s="3">
        <v>11909</v>
      </c>
      <c r="B273" s="3" t="s">
        <v>628</v>
      </c>
      <c r="C273" s="3" t="s">
        <v>540</v>
      </c>
      <c r="D273" s="3" t="s">
        <v>540</v>
      </c>
      <c r="E273" s="3" t="s">
        <v>887</v>
      </c>
      <c r="F273" s="42" t="s">
        <v>631</v>
      </c>
      <c r="G273" s="3" t="s">
        <v>888</v>
      </c>
      <c r="H273" s="6">
        <v>0</v>
      </c>
      <c r="I273" s="41">
        <f>VLOOKUP(Tabla1[[#This Row],[PAGO DIA]],DIAS!A:B,2,0)</f>
        <v>46080</v>
      </c>
      <c r="J273" s="6">
        <v>0</v>
      </c>
      <c r="K273" s="43">
        <f>VLOOKUP(Tabla1[[#This Row],[PAGO DIA]],DIAS!A:C,3,0)</f>
        <v>46112</v>
      </c>
      <c r="L273" s="6">
        <v>0</v>
      </c>
      <c r="M273" s="41">
        <f>VLOOKUP(Tabla1[[#This Row],[PAGO DIA]],DIAS!A:D,4,0)</f>
        <v>46142</v>
      </c>
      <c r="N273" s="6">
        <v>0</v>
      </c>
      <c r="O273" s="43">
        <f>VLOOKUP(Tabla1[[#This Row],[PAGO DIA]],DIAS!A:E,5,0)</f>
        <v>46171</v>
      </c>
      <c r="P273" s="6">
        <v>0</v>
      </c>
      <c r="Q273" s="43">
        <f>VLOOKUP(Tabla1[[#This Row],[PAGO DIA]],DIAS!A:F,6,0)</f>
        <v>46203</v>
      </c>
      <c r="R273" s="6">
        <v>0</v>
      </c>
      <c r="S273" s="43">
        <f>VLOOKUP(Tabla1[[#This Row],[PAGO DIA]],DIAS!A:G,7,0)</f>
        <v>46234</v>
      </c>
      <c r="T273" s="6">
        <v>0</v>
      </c>
      <c r="U273" s="43">
        <f>VLOOKUP(Tabla1[[#This Row],[PAGO DIA]],DIAS!A:H,8,0)</f>
        <v>46265</v>
      </c>
      <c r="V273" s="6">
        <v>0</v>
      </c>
      <c r="W273" s="43">
        <f>VLOOKUP(Tabla1[[#This Row],[PAGO DIA]],DIAS!A:I,9,0)</f>
        <v>46295</v>
      </c>
      <c r="X273" s="6">
        <v>0</v>
      </c>
      <c r="Y273" s="43">
        <f>VLOOKUP(Tabla1[[#This Row],[PAGO DIA]],DIAS!A:J,10,0)</f>
        <v>46325</v>
      </c>
      <c r="Z273" s="6">
        <v>0</v>
      </c>
      <c r="AA273" s="43">
        <f>VLOOKUP(Tabla1[[#This Row],[PAGO DIA]],DIAS!A:K,11,0)</f>
        <v>46356</v>
      </c>
      <c r="AB273" s="6">
        <v>0</v>
      </c>
      <c r="AC273" s="43">
        <f>VLOOKUP(Tabla1[[#This Row],[PAGO DIA]],DIAS!A:M,12,0)</f>
        <v>46386</v>
      </c>
      <c r="AD2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4" spans="1:30">
      <c r="A274" s="3">
        <v>11910</v>
      </c>
      <c r="B274" s="3" t="s">
        <v>628</v>
      </c>
      <c r="C274" s="3" t="s">
        <v>540</v>
      </c>
      <c r="D274" s="3" t="s">
        <v>540</v>
      </c>
      <c r="E274" s="3" t="s">
        <v>887</v>
      </c>
      <c r="F274" s="42" t="s">
        <v>631</v>
      </c>
      <c r="G274" s="3" t="s">
        <v>888</v>
      </c>
      <c r="H274" s="6">
        <v>0</v>
      </c>
      <c r="I274" s="41">
        <f>VLOOKUP(Tabla1[[#This Row],[PAGO DIA]],DIAS!A:B,2,0)</f>
        <v>46080</v>
      </c>
      <c r="J274" s="6">
        <v>0</v>
      </c>
      <c r="K274" s="43">
        <f>VLOOKUP(Tabla1[[#This Row],[PAGO DIA]],DIAS!A:C,3,0)</f>
        <v>46112</v>
      </c>
      <c r="L274" s="6">
        <v>0</v>
      </c>
      <c r="M274" s="41">
        <f>VLOOKUP(Tabla1[[#This Row],[PAGO DIA]],DIAS!A:D,4,0)</f>
        <v>46142</v>
      </c>
      <c r="N274" s="6">
        <v>0</v>
      </c>
      <c r="O274" s="43">
        <f>VLOOKUP(Tabla1[[#This Row],[PAGO DIA]],DIAS!A:E,5,0)</f>
        <v>46171</v>
      </c>
      <c r="P274" s="6">
        <v>0</v>
      </c>
      <c r="Q274" s="43">
        <f>VLOOKUP(Tabla1[[#This Row],[PAGO DIA]],DIAS!A:F,6,0)</f>
        <v>46203</v>
      </c>
      <c r="R274" s="6">
        <v>0</v>
      </c>
      <c r="S274" s="43">
        <f>VLOOKUP(Tabla1[[#This Row],[PAGO DIA]],DIAS!A:G,7,0)</f>
        <v>46234</v>
      </c>
      <c r="T274" s="6">
        <v>0</v>
      </c>
      <c r="U274" s="43">
        <f>VLOOKUP(Tabla1[[#This Row],[PAGO DIA]],DIAS!A:H,8,0)</f>
        <v>46265</v>
      </c>
      <c r="V274" s="6">
        <v>0</v>
      </c>
      <c r="W274" s="43">
        <f>VLOOKUP(Tabla1[[#This Row],[PAGO DIA]],DIAS!A:I,9,0)</f>
        <v>46295</v>
      </c>
      <c r="X274" s="6">
        <v>0</v>
      </c>
      <c r="Y274" s="43">
        <f>VLOOKUP(Tabla1[[#This Row],[PAGO DIA]],DIAS!A:J,10,0)</f>
        <v>46325</v>
      </c>
      <c r="Z274" s="6">
        <v>0</v>
      </c>
      <c r="AA274" s="43">
        <f>VLOOKUP(Tabla1[[#This Row],[PAGO DIA]],DIAS!A:K,11,0)</f>
        <v>46356</v>
      </c>
      <c r="AB274" s="6">
        <v>0</v>
      </c>
      <c r="AC274" s="43">
        <f>VLOOKUP(Tabla1[[#This Row],[PAGO DIA]],DIAS!A:M,12,0)</f>
        <v>46386</v>
      </c>
      <c r="AD2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5" spans="1:30">
      <c r="A275" s="3">
        <v>11911</v>
      </c>
      <c r="B275" s="3" t="s">
        <v>628</v>
      </c>
      <c r="C275" s="3" t="s">
        <v>540</v>
      </c>
      <c r="D275" s="3" t="s">
        <v>540</v>
      </c>
      <c r="E275" s="3" t="s">
        <v>887</v>
      </c>
      <c r="F275" s="42" t="s">
        <v>631</v>
      </c>
      <c r="G275" s="3" t="s">
        <v>890</v>
      </c>
      <c r="H275" s="6">
        <v>0</v>
      </c>
      <c r="I275" s="41">
        <f>VLOOKUP(Tabla1[[#This Row],[PAGO DIA]],DIAS!A:B,2,0)</f>
        <v>46080</v>
      </c>
      <c r="J275" s="6">
        <v>0</v>
      </c>
      <c r="K275" s="43">
        <f>VLOOKUP(Tabla1[[#This Row],[PAGO DIA]],DIAS!A:C,3,0)</f>
        <v>46112</v>
      </c>
      <c r="L275" s="6">
        <v>0</v>
      </c>
      <c r="M275" s="41">
        <f>VLOOKUP(Tabla1[[#This Row],[PAGO DIA]],DIAS!A:D,4,0)</f>
        <v>46142</v>
      </c>
      <c r="N275" s="6">
        <v>0</v>
      </c>
      <c r="O275" s="43">
        <f>VLOOKUP(Tabla1[[#This Row],[PAGO DIA]],DIAS!A:E,5,0)</f>
        <v>46171</v>
      </c>
      <c r="P275" s="6">
        <v>0</v>
      </c>
      <c r="Q275" s="43">
        <f>VLOOKUP(Tabla1[[#This Row],[PAGO DIA]],DIAS!A:F,6,0)</f>
        <v>46203</v>
      </c>
      <c r="R275" s="6">
        <v>0</v>
      </c>
      <c r="S275" s="43">
        <f>VLOOKUP(Tabla1[[#This Row],[PAGO DIA]],DIAS!A:G,7,0)</f>
        <v>46234</v>
      </c>
      <c r="T275" s="6">
        <v>0</v>
      </c>
      <c r="U275" s="43">
        <f>VLOOKUP(Tabla1[[#This Row],[PAGO DIA]],DIAS!A:H,8,0)</f>
        <v>46265</v>
      </c>
      <c r="V275" s="6">
        <v>0</v>
      </c>
      <c r="W275" s="43">
        <f>VLOOKUP(Tabla1[[#This Row],[PAGO DIA]],DIAS!A:I,9,0)</f>
        <v>46295</v>
      </c>
      <c r="X275" s="6">
        <v>0</v>
      </c>
      <c r="Y275" s="43">
        <f>VLOOKUP(Tabla1[[#This Row],[PAGO DIA]],DIAS!A:J,10,0)</f>
        <v>46325</v>
      </c>
      <c r="Z275" s="6">
        <v>0</v>
      </c>
      <c r="AA275" s="43">
        <f>VLOOKUP(Tabla1[[#This Row],[PAGO DIA]],DIAS!A:K,11,0)</f>
        <v>46356</v>
      </c>
      <c r="AB275" s="6">
        <v>0</v>
      </c>
      <c r="AC275" s="43">
        <f>VLOOKUP(Tabla1[[#This Row],[PAGO DIA]],DIAS!A:M,12,0)</f>
        <v>46386</v>
      </c>
      <c r="AD2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6" spans="1:30">
      <c r="A276" s="3">
        <v>11912</v>
      </c>
      <c r="B276" s="3" t="s">
        <v>628</v>
      </c>
      <c r="C276" s="3" t="s">
        <v>540</v>
      </c>
      <c r="D276" s="3" t="s">
        <v>540</v>
      </c>
      <c r="E276" s="3" t="s">
        <v>887</v>
      </c>
      <c r="F276" s="42" t="s">
        <v>631</v>
      </c>
      <c r="G276" s="3" t="s">
        <v>890</v>
      </c>
      <c r="H276" s="6">
        <v>0</v>
      </c>
      <c r="I276" s="41">
        <f>VLOOKUP(Tabla1[[#This Row],[PAGO DIA]],DIAS!A:B,2,0)</f>
        <v>46080</v>
      </c>
      <c r="J276" s="6">
        <v>0</v>
      </c>
      <c r="K276" s="43">
        <f>VLOOKUP(Tabla1[[#This Row],[PAGO DIA]],DIAS!A:C,3,0)</f>
        <v>46112</v>
      </c>
      <c r="L276" s="6">
        <v>0</v>
      </c>
      <c r="M276" s="41">
        <f>VLOOKUP(Tabla1[[#This Row],[PAGO DIA]],DIAS!A:D,4,0)</f>
        <v>46142</v>
      </c>
      <c r="N276" s="6">
        <v>0</v>
      </c>
      <c r="O276" s="43">
        <f>VLOOKUP(Tabla1[[#This Row],[PAGO DIA]],DIAS!A:E,5,0)</f>
        <v>46171</v>
      </c>
      <c r="P276" s="6">
        <v>0</v>
      </c>
      <c r="Q276" s="43">
        <f>VLOOKUP(Tabla1[[#This Row],[PAGO DIA]],DIAS!A:F,6,0)</f>
        <v>46203</v>
      </c>
      <c r="R276" s="6">
        <v>0</v>
      </c>
      <c r="S276" s="43">
        <f>VLOOKUP(Tabla1[[#This Row],[PAGO DIA]],DIAS!A:G,7,0)</f>
        <v>46234</v>
      </c>
      <c r="T276" s="6">
        <v>0</v>
      </c>
      <c r="U276" s="43">
        <f>VLOOKUP(Tabla1[[#This Row],[PAGO DIA]],DIAS!A:H,8,0)</f>
        <v>46265</v>
      </c>
      <c r="V276" s="6">
        <v>0</v>
      </c>
      <c r="W276" s="43">
        <f>VLOOKUP(Tabla1[[#This Row],[PAGO DIA]],DIAS!A:I,9,0)</f>
        <v>46295</v>
      </c>
      <c r="X276" s="6">
        <v>0</v>
      </c>
      <c r="Y276" s="43">
        <f>VLOOKUP(Tabla1[[#This Row],[PAGO DIA]],DIAS!A:J,10,0)</f>
        <v>46325</v>
      </c>
      <c r="Z276" s="6">
        <v>0</v>
      </c>
      <c r="AA276" s="43">
        <f>VLOOKUP(Tabla1[[#This Row],[PAGO DIA]],DIAS!A:K,11,0)</f>
        <v>46356</v>
      </c>
      <c r="AB276" s="6">
        <v>0</v>
      </c>
      <c r="AC276" s="43">
        <f>VLOOKUP(Tabla1[[#This Row],[PAGO DIA]],DIAS!A:M,12,0)</f>
        <v>46386</v>
      </c>
      <c r="AD2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7" spans="1:30">
      <c r="A277" s="3">
        <v>11913</v>
      </c>
      <c r="B277" s="3" t="s">
        <v>628</v>
      </c>
      <c r="C277" s="3" t="s">
        <v>540</v>
      </c>
      <c r="D277" s="3" t="s">
        <v>540</v>
      </c>
      <c r="E277" s="3" t="s">
        <v>887</v>
      </c>
      <c r="F277" s="42" t="s">
        <v>631</v>
      </c>
      <c r="G277" s="3" t="s">
        <v>890</v>
      </c>
      <c r="H277" s="6">
        <v>0</v>
      </c>
      <c r="I277" s="41">
        <f>VLOOKUP(Tabla1[[#This Row],[PAGO DIA]],DIAS!A:B,2,0)</f>
        <v>46080</v>
      </c>
      <c r="J277" s="6">
        <v>0</v>
      </c>
      <c r="K277" s="43">
        <f>VLOOKUP(Tabla1[[#This Row],[PAGO DIA]],DIAS!A:C,3,0)</f>
        <v>46112</v>
      </c>
      <c r="L277" s="6">
        <v>0</v>
      </c>
      <c r="M277" s="41">
        <f>VLOOKUP(Tabla1[[#This Row],[PAGO DIA]],DIAS!A:D,4,0)</f>
        <v>46142</v>
      </c>
      <c r="N277" s="6">
        <v>0</v>
      </c>
      <c r="O277" s="43">
        <f>VLOOKUP(Tabla1[[#This Row],[PAGO DIA]],DIAS!A:E,5,0)</f>
        <v>46171</v>
      </c>
      <c r="P277" s="6">
        <v>0</v>
      </c>
      <c r="Q277" s="43">
        <f>VLOOKUP(Tabla1[[#This Row],[PAGO DIA]],DIAS!A:F,6,0)</f>
        <v>46203</v>
      </c>
      <c r="R277" s="6">
        <v>0</v>
      </c>
      <c r="S277" s="43">
        <f>VLOOKUP(Tabla1[[#This Row],[PAGO DIA]],DIAS!A:G,7,0)</f>
        <v>46234</v>
      </c>
      <c r="T277" s="6">
        <v>0</v>
      </c>
      <c r="U277" s="43">
        <f>VLOOKUP(Tabla1[[#This Row],[PAGO DIA]],DIAS!A:H,8,0)</f>
        <v>46265</v>
      </c>
      <c r="V277" s="6">
        <v>0</v>
      </c>
      <c r="W277" s="43">
        <f>VLOOKUP(Tabla1[[#This Row],[PAGO DIA]],DIAS!A:I,9,0)</f>
        <v>46295</v>
      </c>
      <c r="X277" s="6">
        <v>0</v>
      </c>
      <c r="Y277" s="43">
        <f>VLOOKUP(Tabla1[[#This Row],[PAGO DIA]],DIAS!A:J,10,0)</f>
        <v>46325</v>
      </c>
      <c r="Z277" s="6">
        <v>0</v>
      </c>
      <c r="AA277" s="43">
        <f>VLOOKUP(Tabla1[[#This Row],[PAGO DIA]],DIAS!A:K,11,0)</f>
        <v>46356</v>
      </c>
      <c r="AB277" s="6">
        <v>0</v>
      </c>
      <c r="AC277" s="43">
        <f>VLOOKUP(Tabla1[[#This Row],[PAGO DIA]],DIAS!A:M,12,0)</f>
        <v>46386</v>
      </c>
      <c r="AD2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8" spans="1:30">
      <c r="A278" s="3">
        <v>11914</v>
      </c>
      <c r="B278" s="3" t="s">
        <v>628</v>
      </c>
      <c r="C278" s="3" t="s">
        <v>540</v>
      </c>
      <c r="D278" s="3" t="s">
        <v>540</v>
      </c>
      <c r="E278" s="3" t="s">
        <v>887</v>
      </c>
      <c r="F278" s="42" t="s">
        <v>631</v>
      </c>
      <c r="G278" s="3" t="s">
        <v>890</v>
      </c>
      <c r="H278" s="6">
        <v>0</v>
      </c>
      <c r="I278" s="41">
        <f>VLOOKUP(Tabla1[[#This Row],[PAGO DIA]],DIAS!A:B,2,0)</f>
        <v>46080</v>
      </c>
      <c r="J278" s="6">
        <v>0</v>
      </c>
      <c r="K278" s="43">
        <f>VLOOKUP(Tabla1[[#This Row],[PAGO DIA]],DIAS!A:C,3,0)</f>
        <v>46112</v>
      </c>
      <c r="L278" s="6">
        <v>0</v>
      </c>
      <c r="M278" s="41">
        <f>VLOOKUP(Tabla1[[#This Row],[PAGO DIA]],DIAS!A:D,4,0)</f>
        <v>46142</v>
      </c>
      <c r="N278" s="6">
        <v>0</v>
      </c>
      <c r="O278" s="43">
        <f>VLOOKUP(Tabla1[[#This Row],[PAGO DIA]],DIAS!A:E,5,0)</f>
        <v>46171</v>
      </c>
      <c r="P278" s="6">
        <v>0</v>
      </c>
      <c r="Q278" s="43">
        <f>VLOOKUP(Tabla1[[#This Row],[PAGO DIA]],DIAS!A:F,6,0)</f>
        <v>46203</v>
      </c>
      <c r="R278" s="6">
        <v>0</v>
      </c>
      <c r="S278" s="43">
        <f>VLOOKUP(Tabla1[[#This Row],[PAGO DIA]],DIAS!A:G,7,0)</f>
        <v>46234</v>
      </c>
      <c r="T278" s="6">
        <v>0</v>
      </c>
      <c r="U278" s="43">
        <f>VLOOKUP(Tabla1[[#This Row],[PAGO DIA]],DIAS!A:H,8,0)</f>
        <v>46265</v>
      </c>
      <c r="V278" s="6">
        <v>0</v>
      </c>
      <c r="W278" s="43">
        <f>VLOOKUP(Tabla1[[#This Row],[PAGO DIA]],DIAS!A:I,9,0)</f>
        <v>46295</v>
      </c>
      <c r="X278" s="6">
        <v>0</v>
      </c>
      <c r="Y278" s="43">
        <f>VLOOKUP(Tabla1[[#This Row],[PAGO DIA]],DIAS!A:J,10,0)</f>
        <v>46325</v>
      </c>
      <c r="Z278" s="6">
        <v>0</v>
      </c>
      <c r="AA278" s="43">
        <f>VLOOKUP(Tabla1[[#This Row],[PAGO DIA]],DIAS!A:K,11,0)</f>
        <v>46356</v>
      </c>
      <c r="AB278" s="6">
        <v>0</v>
      </c>
      <c r="AC278" s="43">
        <f>VLOOKUP(Tabla1[[#This Row],[PAGO DIA]],DIAS!A:M,12,0)</f>
        <v>46386</v>
      </c>
      <c r="AD2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79" spans="1:30">
      <c r="A279" s="3">
        <v>11915</v>
      </c>
      <c r="B279" s="3" t="s">
        <v>628</v>
      </c>
      <c r="C279" s="3" t="s">
        <v>540</v>
      </c>
      <c r="D279" s="3" t="s">
        <v>540</v>
      </c>
      <c r="E279" s="3" t="s">
        <v>887</v>
      </c>
      <c r="F279" s="42" t="s">
        <v>631</v>
      </c>
      <c r="G279" s="3" t="s">
        <v>890</v>
      </c>
      <c r="H279" s="6">
        <v>0</v>
      </c>
      <c r="I279" s="41">
        <f>VLOOKUP(Tabla1[[#This Row],[PAGO DIA]],DIAS!A:B,2,0)</f>
        <v>46080</v>
      </c>
      <c r="J279" s="6">
        <v>0</v>
      </c>
      <c r="K279" s="43">
        <f>VLOOKUP(Tabla1[[#This Row],[PAGO DIA]],DIAS!A:C,3,0)</f>
        <v>46112</v>
      </c>
      <c r="L279" s="6">
        <v>0</v>
      </c>
      <c r="M279" s="41">
        <f>VLOOKUP(Tabla1[[#This Row],[PAGO DIA]],DIAS!A:D,4,0)</f>
        <v>46142</v>
      </c>
      <c r="N279" s="6">
        <v>0</v>
      </c>
      <c r="O279" s="43">
        <f>VLOOKUP(Tabla1[[#This Row],[PAGO DIA]],DIAS!A:E,5,0)</f>
        <v>46171</v>
      </c>
      <c r="P279" s="6">
        <v>0</v>
      </c>
      <c r="Q279" s="43">
        <f>VLOOKUP(Tabla1[[#This Row],[PAGO DIA]],DIAS!A:F,6,0)</f>
        <v>46203</v>
      </c>
      <c r="R279" s="6">
        <v>0</v>
      </c>
      <c r="S279" s="43">
        <f>VLOOKUP(Tabla1[[#This Row],[PAGO DIA]],DIAS!A:G,7,0)</f>
        <v>46234</v>
      </c>
      <c r="T279" s="6">
        <v>0</v>
      </c>
      <c r="U279" s="43">
        <f>VLOOKUP(Tabla1[[#This Row],[PAGO DIA]],DIAS!A:H,8,0)</f>
        <v>46265</v>
      </c>
      <c r="V279" s="6">
        <v>0</v>
      </c>
      <c r="W279" s="43">
        <f>VLOOKUP(Tabla1[[#This Row],[PAGO DIA]],DIAS!A:I,9,0)</f>
        <v>46295</v>
      </c>
      <c r="X279" s="6">
        <v>0</v>
      </c>
      <c r="Y279" s="43">
        <f>VLOOKUP(Tabla1[[#This Row],[PAGO DIA]],DIAS!A:J,10,0)</f>
        <v>46325</v>
      </c>
      <c r="Z279" s="6">
        <v>0</v>
      </c>
      <c r="AA279" s="43">
        <f>VLOOKUP(Tabla1[[#This Row],[PAGO DIA]],DIAS!A:K,11,0)</f>
        <v>46356</v>
      </c>
      <c r="AB279" s="6">
        <v>0</v>
      </c>
      <c r="AC279" s="43">
        <f>VLOOKUP(Tabla1[[#This Row],[PAGO DIA]],DIAS!A:M,12,0)</f>
        <v>46386</v>
      </c>
      <c r="AD2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0" spans="1:30">
      <c r="A280" s="3">
        <v>11916</v>
      </c>
      <c r="B280" s="3" t="s">
        <v>628</v>
      </c>
      <c r="C280" s="3" t="s">
        <v>540</v>
      </c>
      <c r="D280" s="3" t="s">
        <v>540</v>
      </c>
      <c r="E280" s="3" t="s">
        <v>887</v>
      </c>
      <c r="F280" s="42" t="s">
        <v>631</v>
      </c>
      <c r="G280" s="3" t="s">
        <v>890</v>
      </c>
      <c r="H280" s="6">
        <v>0</v>
      </c>
      <c r="I280" s="41">
        <f>VLOOKUP(Tabla1[[#This Row],[PAGO DIA]],DIAS!A:B,2,0)</f>
        <v>46080</v>
      </c>
      <c r="J280" s="6">
        <v>0</v>
      </c>
      <c r="K280" s="43">
        <f>VLOOKUP(Tabla1[[#This Row],[PAGO DIA]],DIAS!A:C,3,0)</f>
        <v>46112</v>
      </c>
      <c r="L280" s="6">
        <v>0</v>
      </c>
      <c r="M280" s="41">
        <f>VLOOKUP(Tabla1[[#This Row],[PAGO DIA]],DIAS!A:D,4,0)</f>
        <v>46142</v>
      </c>
      <c r="N280" s="6">
        <v>0</v>
      </c>
      <c r="O280" s="43">
        <f>VLOOKUP(Tabla1[[#This Row],[PAGO DIA]],DIAS!A:E,5,0)</f>
        <v>46171</v>
      </c>
      <c r="P280" s="6">
        <v>0</v>
      </c>
      <c r="Q280" s="43">
        <f>VLOOKUP(Tabla1[[#This Row],[PAGO DIA]],DIAS!A:F,6,0)</f>
        <v>46203</v>
      </c>
      <c r="R280" s="6">
        <v>0</v>
      </c>
      <c r="S280" s="43">
        <f>VLOOKUP(Tabla1[[#This Row],[PAGO DIA]],DIAS!A:G,7,0)</f>
        <v>46234</v>
      </c>
      <c r="T280" s="6">
        <v>0</v>
      </c>
      <c r="U280" s="43">
        <f>VLOOKUP(Tabla1[[#This Row],[PAGO DIA]],DIAS!A:H,8,0)</f>
        <v>46265</v>
      </c>
      <c r="V280" s="6">
        <v>0</v>
      </c>
      <c r="W280" s="43">
        <f>VLOOKUP(Tabla1[[#This Row],[PAGO DIA]],DIAS!A:I,9,0)</f>
        <v>46295</v>
      </c>
      <c r="X280" s="6">
        <v>0</v>
      </c>
      <c r="Y280" s="43">
        <f>VLOOKUP(Tabla1[[#This Row],[PAGO DIA]],DIAS!A:J,10,0)</f>
        <v>46325</v>
      </c>
      <c r="Z280" s="6">
        <v>0</v>
      </c>
      <c r="AA280" s="43">
        <f>VLOOKUP(Tabla1[[#This Row],[PAGO DIA]],DIAS!A:K,11,0)</f>
        <v>46356</v>
      </c>
      <c r="AB280" s="6">
        <v>0</v>
      </c>
      <c r="AC280" s="43">
        <f>VLOOKUP(Tabla1[[#This Row],[PAGO DIA]],DIAS!A:M,12,0)</f>
        <v>46386</v>
      </c>
      <c r="AD2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1" spans="1:30">
      <c r="A281" s="3">
        <v>11917</v>
      </c>
      <c r="B281" s="3" t="s">
        <v>628</v>
      </c>
      <c r="C281" s="3" t="s">
        <v>540</v>
      </c>
      <c r="D281" s="3" t="s">
        <v>540</v>
      </c>
      <c r="E281" s="3" t="s">
        <v>887</v>
      </c>
      <c r="F281" s="42" t="s">
        <v>631</v>
      </c>
      <c r="G281" s="3" t="s">
        <v>890</v>
      </c>
      <c r="H281" s="6">
        <v>0</v>
      </c>
      <c r="I281" s="41">
        <f>VLOOKUP(Tabla1[[#This Row],[PAGO DIA]],DIAS!A:B,2,0)</f>
        <v>46080</v>
      </c>
      <c r="J281" s="6">
        <v>0</v>
      </c>
      <c r="K281" s="43">
        <f>VLOOKUP(Tabla1[[#This Row],[PAGO DIA]],DIAS!A:C,3,0)</f>
        <v>46112</v>
      </c>
      <c r="L281" s="6">
        <v>0</v>
      </c>
      <c r="M281" s="41">
        <f>VLOOKUP(Tabla1[[#This Row],[PAGO DIA]],DIAS!A:D,4,0)</f>
        <v>46142</v>
      </c>
      <c r="N281" s="6">
        <v>0</v>
      </c>
      <c r="O281" s="43">
        <f>VLOOKUP(Tabla1[[#This Row],[PAGO DIA]],DIAS!A:E,5,0)</f>
        <v>46171</v>
      </c>
      <c r="P281" s="6">
        <v>0</v>
      </c>
      <c r="Q281" s="43">
        <f>VLOOKUP(Tabla1[[#This Row],[PAGO DIA]],DIAS!A:F,6,0)</f>
        <v>46203</v>
      </c>
      <c r="R281" s="6">
        <v>0</v>
      </c>
      <c r="S281" s="43">
        <f>VLOOKUP(Tabla1[[#This Row],[PAGO DIA]],DIAS!A:G,7,0)</f>
        <v>46234</v>
      </c>
      <c r="T281" s="6">
        <v>0</v>
      </c>
      <c r="U281" s="43">
        <f>VLOOKUP(Tabla1[[#This Row],[PAGO DIA]],DIAS!A:H,8,0)</f>
        <v>46265</v>
      </c>
      <c r="V281" s="6">
        <v>0</v>
      </c>
      <c r="W281" s="43">
        <f>VLOOKUP(Tabla1[[#This Row],[PAGO DIA]],DIAS!A:I,9,0)</f>
        <v>46295</v>
      </c>
      <c r="X281" s="6">
        <v>0</v>
      </c>
      <c r="Y281" s="43">
        <f>VLOOKUP(Tabla1[[#This Row],[PAGO DIA]],DIAS!A:J,10,0)</f>
        <v>46325</v>
      </c>
      <c r="Z281" s="6">
        <v>0</v>
      </c>
      <c r="AA281" s="43">
        <f>VLOOKUP(Tabla1[[#This Row],[PAGO DIA]],DIAS!A:K,11,0)</f>
        <v>46356</v>
      </c>
      <c r="AB281" s="6">
        <v>0</v>
      </c>
      <c r="AC281" s="43">
        <f>VLOOKUP(Tabla1[[#This Row],[PAGO DIA]],DIAS!A:M,12,0)</f>
        <v>46386</v>
      </c>
      <c r="AD2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2" spans="1:30">
      <c r="A282" s="3">
        <v>11918</v>
      </c>
      <c r="B282" s="3" t="s">
        <v>628</v>
      </c>
      <c r="C282" s="3" t="s">
        <v>540</v>
      </c>
      <c r="D282" s="3" t="s">
        <v>540</v>
      </c>
      <c r="E282" s="3" t="s">
        <v>887</v>
      </c>
      <c r="F282" s="42" t="s">
        <v>631</v>
      </c>
      <c r="G282" s="3" t="s">
        <v>891</v>
      </c>
      <c r="H282" s="6">
        <v>0</v>
      </c>
      <c r="I282" s="41">
        <f>VLOOKUP(Tabla1[[#This Row],[PAGO DIA]],DIAS!A:B,2,0)</f>
        <v>46080</v>
      </c>
      <c r="J282" s="6">
        <v>0</v>
      </c>
      <c r="K282" s="43">
        <f>VLOOKUP(Tabla1[[#This Row],[PAGO DIA]],DIAS!A:C,3,0)</f>
        <v>46112</v>
      </c>
      <c r="L282" s="6">
        <v>0</v>
      </c>
      <c r="M282" s="41">
        <f>VLOOKUP(Tabla1[[#This Row],[PAGO DIA]],DIAS!A:D,4,0)</f>
        <v>46142</v>
      </c>
      <c r="N282" s="6">
        <v>0</v>
      </c>
      <c r="O282" s="43">
        <f>VLOOKUP(Tabla1[[#This Row],[PAGO DIA]],DIAS!A:E,5,0)</f>
        <v>46171</v>
      </c>
      <c r="P282" s="6">
        <v>0</v>
      </c>
      <c r="Q282" s="43">
        <f>VLOOKUP(Tabla1[[#This Row],[PAGO DIA]],DIAS!A:F,6,0)</f>
        <v>46203</v>
      </c>
      <c r="R282" s="6">
        <v>0</v>
      </c>
      <c r="S282" s="43">
        <f>VLOOKUP(Tabla1[[#This Row],[PAGO DIA]],DIAS!A:G,7,0)</f>
        <v>46234</v>
      </c>
      <c r="T282" s="6">
        <v>0</v>
      </c>
      <c r="U282" s="43">
        <f>VLOOKUP(Tabla1[[#This Row],[PAGO DIA]],DIAS!A:H,8,0)</f>
        <v>46265</v>
      </c>
      <c r="V282" s="6">
        <v>0</v>
      </c>
      <c r="W282" s="43">
        <f>VLOOKUP(Tabla1[[#This Row],[PAGO DIA]],DIAS!A:I,9,0)</f>
        <v>46295</v>
      </c>
      <c r="X282" s="6">
        <v>0</v>
      </c>
      <c r="Y282" s="43">
        <f>VLOOKUP(Tabla1[[#This Row],[PAGO DIA]],DIAS!A:J,10,0)</f>
        <v>46325</v>
      </c>
      <c r="Z282" s="6">
        <v>0</v>
      </c>
      <c r="AA282" s="43">
        <f>VLOOKUP(Tabla1[[#This Row],[PAGO DIA]],DIAS!A:K,11,0)</f>
        <v>46356</v>
      </c>
      <c r="AB282" s="6">
        <v>0</v>
      </c>
      <c r="AC282" s="43">
        <f>VLOOKUP(Tabla1[[#This Row],[PAGO DIA]],DIAS!A:M,12,0)</f>
        <v>46386</v>
      </c>
      <c r="AD2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3" spans="1:30">
      <c r="A283" s="3">
        <v>11922</v>
      </c>
      <c r="B283" s="3" t="s">
        <v>628</v>
      </c>
      <c r="C283" s="3" t="s">
        <v>540</v>
      </c>
      <c r="D283" s="3" t="s">
        <v>540</v>
      </c>
      <c r="E283" s="3" t="s">
        <v>892</v>
      </c>
      <c r="F283" s="42" t="s">
        <v>631</v>
      </c>
      <c r="G283" s="3" t="s">
        <v>893</v>
      </c>
      <c r="H283" s="6">
        <v>0</v>
      </c>
      <c r="I283" s="41">
        <f>VLOOKUP(Tabla1[[#This Row],[PAGO DIA]],DIAS!A:B,2,0)</f>
        <v>46080</v>
      </c>
      <c r="J283" s="6">
        <v>0</v>
      </c>
      <c r="K283" s="43">
        <f>VLOOKUP(Tabla1[[#This Row],[PAGO DIA]],DIAS!A:C,3,0)</f>
        <v>46112</v>
      </c>
      <c r="L283" s="6">
        <v>0</v>
      </c>
      <c r="M283" s="41">
        <f>VLOOKUP(Tabla1[[#This Row],[PAGO DIA]],DIAS!A:D,4,0)</f>
        <v>46142</v>
      </c>
      <c r="N283" s="6">
        <v>0</v>
      </c>
      <c r="O283" s="43">
        <f>VLOOKUP(Tabla1[[#This Row],[PAGO DIA]],DIAS!A:E,5,0)</f>
        <v>46171</v>
      </c>
      <c r="P283" s="6">
        <v>0</v>
      </c>
      <c r="Q283" s="43">
        <f>VLOOKUP(Tabla1[[#This Row],[PAGO DIA]],DIAS!A:F,6,0)</f>
        <v>46203</v>
      </c>
      <c r="R283" s="6">
        <v>0</v>
      </c>
      <c r="S283" s="43">
        <f>VLOOKUP(Tabla1[[#This Row],[PAGO DIA]],DIAS!A:G,7,0)</f>
        <v>46234</v>
      </c>
      <c r="T283" s="6">
        <v>0</v>
      </c>
      <c r="U283" s="43">
        <f>VLOOKUP(Tabla1[[#This Row],[PAGO DIA]],DIAS!A:H,8,0)</f>
        <v>46265</v>
      </c>
      <c r="V283" s="6">
        <v>0</v>
      </c>
      <c r="W283" s="43">
        <f>VLOOKUP(Tabla1[[#This Row],[PAGO DIA]],DIAS!A:I,9,0)</f>
        <v>46295</v>
      </c>
      <c r="X283" s="6">
        <v>0</v>
      </c>
      <c r="Y283" s="43">
        <f>VLOOKUP(Tabla1[[#This Row],[PAGO DIA]],DIAS!A:J,10,0)</f>
        <v>46325</v>
      </c>
      <c r="Z283" s="6">
        <v>0</v>
      </c>
      <c r="AA283" s="43">
        <f>VLOOKUP(Tabla1[[#This Row],[PAGO DIA]],DIAS!A:K,11,0)</f>
        <v>46356</v>
      </c>
      <c r="AB283" s="6">
        <v>0</v>
      </c>
      <c r="AC283" s="43">
        <f>VLOOKUP(Tabla1[[#This Row],[PAGO DIA]],DIAS!A:M,12,0)</f>
        <v>46386</v>
      </c>
      <c r="AD2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4" spans="1:30">
      <c r="A284" s="3">
        <v>12075</v>
      </c>
      <c r="B284" s="3" t="s">
        <v>628</v>
      </c>
      <c r="C284" s="3" t="s">
        <v>629</v>
      </c>
      <c r="D284" s="3" t="s">
        <v>629</v>
      </c>
      <c r="E284" s="3" t="s">
        <v>894</v>
      </c>
      <c r="F284" s="42" t="s">
        <v>631</v>
      </c>
      <c r="G284" s="3" t="s">
        <v>635</v>
      </c>
      <c r="H284" s="6">
        <v>0</v>
      </c>
      <c r="I284" s="41">
        <f>VLOOKUP(Tabla1[[#This Row],[PAGO DIA]],DIAS!A:B,2,0)</f>
        <v>46080</v>
      </c>
      <c r="J284" s="6">
        <v>0</v>
      </c>
      <c r="K284" s="43">
        <f>VLOOKUP(Tabla1[[#This Row],[PAGO DIA]],DIAS!A:C,3,0)</f>
        <v>46112</v>
      </c>
      <c r="L284" s="6">
        <v>0</v>
      </c>
      <c r="M284" s="41">
        <f>VLOOKUP(Tabla1[[#This Row],[PAGO DIA]],DIAS!A:D,4,0)</f>
        <v>46142</v>
      </c>
      <c r="N284" s="6">
        <v>0</v>
      </c>
      <c r="O284" s="43">
        <f>VLOOKUP(Tabla1[[#This Row],[PAGO DIA]],DIAS!A:E,5,0)</f>
        <v>46171</v>
      </c>
      <c r="P284" s="6">
        <v>0</v>
      </c>
      <c r="Q284" s="43">
        <f>VLOOKUP(Tabla1[[#This Row],[PAGO DIA]],DIAS!A:F,6,0)</f>
        <v>46203</v>
      </c>
      <c r="R284" s="6">
        <v>0</v>
      </c>
      <c r="S284" s="43">
        <f>VLOOKUP(Tabla1[[#This Row],[PAGO DIA]],DIAS!A:G,7,0)</f>
        <v>46234</v>
      </c>
      <c r="T284" s="6">
        <v>0</v>
      </c>
      <c r="U284" s="43">
        <f>VLOOKUP(Tabla1[[#This Row],[PAGO DIA]],DIAS!A:H,8,0)</f>
        <v>46265</v>
      </c>
      <c r="V284" s="6">
        <v>0</v>
      </c>
      <c r="W284" s="43">
        <f>VLOOKUP(Tabla1[[#This Row],[PAGO DIA]],DIAS!A:I,9,0)</f>
        <v>46295</v>
      </c>
      <c r="X284" s="6">
        <v>0</v>
      </c>
      <c r="Y284" s="43">
        <f>VLOOKUP(Tabla1[[#This Row],[PAGO DIA]],DIAS!A:J,10,0)</f>
        <v>46325</v>
      </c>
      <c r="Z284" s="6">
        <v>0</v>
      </c>
      <c r="AA284" s="43">
        <f>VLOOKUP(Tabla1[[#This Row],[PAGO DIA]],DIAS!A:K,11,0)</f>
        <v>46356</v>
      </c>
      <c r="AB284" s="6">
        <v>0</v>
      </c>
      <c r="AC284" s="43">
        <f>VLOOKUP(Tabla1[[#This Row],[PAGO DIA]],DIAS!A:M,12,0)</f>
        <v>46386</v>
      </c>
      <c r="AD2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5" spans="1:30">
      <c r="A285" s="3">
        <v>11942</v>
      </c>
      <c r="B285" s="3" t="s">
        <v>628</v>
      </c>
      <c r="C285" s="3" t="s">
        <v>540</v>
      </c>
      <c r="D285" s="3" t="s">
        <v>540</v>
      </c>
      <c r="E285" s="3" t="s">
        <v>733</v>
      </c>
      <c r="F285" s="42" t="s">
        <v>631</v>
      </c>
      <c r="G285" s="3" t="s">
        <v>895</v>
      </c>
      <c r="H285" s="6">
        <v>0</v>
      </c>
      <c r="I285" s="41">
        <f>VLOOKUP(Tabla1[[#This Row],[PAGO DIA]],DIAS!A:B,2,0)</f>
        <v>46080</v>
      </c>
      <c r="J285" s="6">
        <v>0</v>
      </c>
      <c r="K285" s="43">
        <f>VLOOKUP(Tabla1[[#This Row],[PAGO DIA]],DIAS!A:C,3,0)</f>
        <v>46112</v>
      </c>
      <c r="L285" s="6">
        <v>0</v>
      </c>
      <c r="M285" s="41">
        <f>VLOOKUP(Tabla1[[#This Row],[PAGO DIA]],DIAS!A:D,4,0)</f>
        <v>46142</v>
      </c>
      <c r="N285" s="6">
        <v>0</v>
      </c>
      <c r="O285" s="43">
        <f>VLOOKUP(Tabla1[[#This Row],[PAGO DIA]],DIAS!A:E,5,0)</f>
        <v>46171</v>
      </c>
      <c r="P285" s="6">
        <v>0</v>
      </c>
      <c r="Q285" s="43">
        <f>VLOOKUP(Tabla1[[#This Row],[PAGO DIA]],DIAS!A:F,6,0)</f>
        <v>46203</v>
      </c>
      <c r="R285" s="6">
        <v>0</v>
      </c>
      <c r="S285" s="43">
        <f>VLOOKUP(Tabla1[[#This Row],[PAGO DIA]],DIAS!A:G,7,0)</f>
        <v>46234</v>
      </c>
      <c r="T285" s="6">
        <v>0</v>
      </c>
      <c r="U285" s="43">
        <f>VLOOKUP(Tabla1[[#This Row],[PAGO DIA]],DIAS!A:H,8,0)</f>
        <v>46265</v>
      </c>
      <c r="V285" s="6">
        <v>0</v>
      </c>
      <c r="W285" s="43">
        <f>VLOOKUP(Tabla1[[#This Row],[PAGO DIA]],DIAS!A:I,9,0)</f>
        <v>46295</v>
      </c>
      <c r="X285" s="6">
        <v>0</v>
      </c>
      <c r="Y285" s="43">
        <f>VLOOKUP(Tabla1[[#This Row],[PAGO DIA]],DIAS!A:J,10,0)</f>
        <v>46325</v>
      </c>
      <c r="Z285" s="6">
        <v>0</v>
      </c>
      <c r="AA285" s="43">
        <f>VLOOKUP(Tabla1[[#This Row],[PAGO DIA]],DIAS!A:K,11,0)</f>
        <v>46356</v>
      </c>
      <c r="AB285" s="6">
        <v>0</v>
      </c>
      <c r="AC285" s="43">
        <f>VLOOKUP(Tabla1[[#This Row],[PAGO DIA]],DIAS!A:M,12,0)</f>
        <v>46386</v>
      </c>
      <c r="AD2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6" spans="1:30">
      <c r="A286" s="3">
        <v>11943</v>
      </c>
      <c r="B286" s="3" t="s">
        <v>628</v>
      </c>
      <c r="C286" s="3" t="s">
        <v>629</v>
      </c>
      <c r="D286" s="3" t="s">
        <v>629</v>
      </c>
      <c r="E286" s="3" t="s">
        <v>733</v>
      </c>
      <c r="F286" s="42" t="s">
        <v>631</v>
      </c>
      <c r="G286" s="3" t="s">
        <v>639</v>
      </c>
      <c r="H286" s="6">
        <v>0</v>
      </c>
      <c r="I286" s="41">
        <f>VLOOKUP(Tabla1[[#This Row],[PAGO DIA]],DIAS!A:B,2,0)</f>
        <v>46080</v>
      </c>
      <c r="J286" s="6">
        <v>0</v>
      </c>
      <c r="K286" s="43">
        <f>VLOOKUP(Tabla1[[#This Row],[PAGO DIA]],DIAS!A:C,3,0)</f>
        <v>46112</v>
      </c>
      <c r="L286" s="6">
        <v>0</v>
      </c>
      <c r="M286" s="41">
        <f>VLOOKUP(Tabla1[[#This Row],[PAGO DIA]],DIAS!A:D,4,0)</f>
        <v>46142</v>
      </c>
      <c r="N286" s="6">
        <v>0</v>
      </c>
      <c r="O286" s="43">
        <f>VLOOKUP(Tabla1[[#This Row],[PAGO DIA]],DIAS!A:E,5,0)</f>
        <v>46171</v>
      </c>
      <c r="P286" s="6">
        <v>0</v>
      </c>
      <c r="Q286" s="43">
        <f>VLOOKUP(Tabla1[[#This Row],[PAGO DIA]],DIAS!A:F,6,0)</f>
        <v>46203</v>
      </c>
      <c r="R286" s="6">
        <v>0</v>
      </c>
      <c r="S286" s="43">
        <f>VLOOKUP(Tabla1[[#This Row],[PAGO DIA]],DIAS!A:G,7,0)</f>
        <v>46234</v>
      </c>
      <c r="T286" s="6">
        <v>0</v>
      </c>
      <c r="U286" s="43">
        <f>VLOOKUP(Tabla1[[#This Row],[PAGO DIA]],DIAS!A:H,8,0)</f>
        <v>46265</v>
      </c>
      <c r="V286" s="6">
        <v>0</v>
      </c>
      <c r="W286" s="43">
        <f>VLOOKUP(Tabla1[[#This Row],[PAGO DIA]],DIAS!A:I,9,0)</f>
        <v>46295</v>
      </c>
      <c r="X286" s="6">
        <v>0</v>
      </c>
      <c r="Y286" s="43">
        <f>VLOOKUP(Tabla1[[#This Row],[PAGO DIA]],DIAS!A:J,10,0)</f>
        <v>46325</v>
      </c>
      <c r="Z286" s="6">
        <v>0</v>
      </c>
      <c r="AA286" s="43">
        <f>VLOOKUP(Tabla1[[#This Row],[PAGO DIA]],DIAS!A:K,11,0)</f>
        <v>46356</v>
      </c>
      <c r="AB286" s="6">
        <v>0</v>
      </c>
      <c r="AC286" s="43">
        <f>VLOOKUP(Tabla1[[#This Row],[PAGO DIA]],DIAS!A:M,12,0)</f>
        <v>46386</v>
      </c>
      <c r="AD2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7" spans="1:30">
      <c r="A287" s="3">
        <v>12091</v>
      </c>
      <c r="B287" s="3" t="s">
        <v>628</v>
      </c>
      <c r="C287" s="3" t="s">
        <v>629</v>
      </c>
      <c r="D287" s="3" t="s">
        <v>629</v>
      </c>
      <c r="E287" s="3" t="s">
        <v>896</v>
      </c>
      <c r="F287" s="42" t="s">
        <v>631</v>
      </c>
      <c r="G287" s="3" t="s">
        <v>635</v>
      </c>
      <c r="H287" s="6">
        <v>0</v>
      </c>
      <c r="I287" s="41">
        <f>VLOOKUP(Tabla1[[#This Row],[PAGO DIA]],DIAS!A:B,2,0)</f>
        <v>46080</v>
      </c>
      <c r="J287" s="6">
        <v>0</v>
      </c>
      <c r="K287" s="43">
        <f>VLOOKUP(Tabla1[[#This Row],[PAGO DIA]],DIAS!A:C,3,0)</f>
        <v>46112</v>
      </c>
      <c r="L287" s="6">
        <v>0</v>
      </c>
      <c r="M287" s="41">
        <f>VLOOKUP(Tabla1[[#This Row],[PAGO DIA]],DIAS!A:D,4,0)</f>
        <v>46142</v>
      </c>
      <c r="N287" s="6">
        <v>0</v>
      </c>
      <c r="O287" s="43">
        <f>VLOOKUP(Tabla1[[#This Row],[PAGO DIA]],DIAS!A:E,5,0)</f>
        <v>46171</v>
      </c>
      <c r="P287" s="6">
        <v>0</v>
      </c>
      <c r="Q287" s="43">
        <f>VLOOKUP(Tabla1[[#This Row],[PAGO DIA]],DIAS!A:F,6,0)</f>
        <v>46203</v>
      </c>
      <c r="R287" s="6">
        <v>0</v>
      </c>
      <c r="S287" s="43">
        <f>VLOOKUP(Tabla1[[#This Row],[PAGO DIA]],DIAS!A:G,7,0)</f>
        <v>46234</v>
      </c>
      <c r="T287" s="6">
        <v>0</v>
      </c>
      <c r="U287" s="43">
        <f>VLOOKUP(Tabla1[[#This Row],[PAGO DIA]],DIAS!A:H,8,0)</f>
        <v>46265</v>
      </c>
      <c r="V287" s="6">
        <v>0</v>
      </c>
      <c r="W287" s="43">
        <f>VLOOKUP(Tabla1[[#This Row],[PAGO DIA]],DIAS!A:I,9,0)</f>
        <v>46295</v>
      </c>
      <c r="X287" s="6">
        <v>0</v>
      </c>
      <c r="Y287" s="43">
        <f>VLOOKUP(Tabla1[[#This Row],[PAGO DIA]],DIAS!A:J,10,0)</f>
        <v>46325</v>
      </c>
      <c r="Z287" s="6">
        <v>0</v>
      </c>
      <c r="AA287" s="43">
        <f>VLOOKUP(Tabla1[[#This Row],[PAGO DIA]],DIAS!A:K,11,0)</f>
        <v>46356</v>
      </c>
      <c r="AB287" s="6">
        <v>0</v>
      </c>
      <c r="AC287" s="43">
        <f>VLOOKUP(Tabla1[[#This Row],[PAGO DIA]],DIAS!A:M,12,0)</f>
        <v>46386</v>
      </c>
      <c r="AD2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8" spans="1:30">
      <c r="A288" s="3">
        <v>12536</v>
      </c>
      <c r="B288" s="3" t="s">
        <v>628</v>
      </c>
      <c r="C288" s="3" t="s">
        <v>629</v>
      </c>
      <c r="D288" s="3" t="s">
        <v>540</v>
      </c>
      <c r="E288" s="3" t="s">
        <v>897</v>
      </c>
      <c r="F288" s="42" t="s">
        <v>631</v>
      </c>
      <c r="G288" s="3" t="s">
        <v>898</v>
      </c>
      <c r="H288" s="6">
        <v>0</v>
      </c>
      <c r="I288" s="41">
        <f>VLOOKUP(Tabla1[[#This Row],[PAGO DIA]],DIAS!A:B,2,0)</f>
        <v>46080</v>
      </c>
      <c r="J288" s="6">
        <v>0</v>
      </c>
      <c r="K288" s="43">
        <f>VLOOKUP(Tabla1[[#This Row],[PAGO DIA]],DIAS!A:C,3,0)</f>
        <v>46112</v>
      </c>
      <c r="L288" s="6">
        <v>0</v>
      </c>
      <c r="M288" s="41">
        <f>VLOOKUP(Tabla1[[#This Row],[PAGO DIA]],DIAS!A:D,4,0)</f>
        <v>46142</v>
      </c>
      <c r="N288" s="6">
        <v>0</v>
      </c>
      <c r="O288" s="43">
        <f>VLOOKUP(Tabla1[[#This Row],[PAGO DIA]],DIAS!A:E,5,0)</f>
        <v>46171</v>
      </c>
      <c r="P288" s="6">
        <v>0</v>
      </c>
      <c r="Q288" s="43">
        <f>VLOOKUP(Tabla1[[#This Row],[PAGO DIA]],DIAS!A:F,6,0)</f>
        <v>46203</v>
      </c>
      <c r="R288" s="6">
        <v>0</v>
      </c>
      <c r="S288" s="43">
        <f>VLOOKUP(Tabla1[[#This Row],[PAGO DIA]],DIAS!A:G,7,0)</f>
        <v>46234</v>
      </c>
      <c r="T288" s="6">
        <v>0</v>
      </c>
      <c r="U288" s="43">
        <f>VLOOKUP(Tabla1[[#This Row],[PAGO DIA]],DIAS!A:H,8,0)</f>
        <v>46265</v>
      </c>
      <c r="V288" s="6">
        <v>0</v>
      </c>
      <c r="W288" s="43">
        <f>VLOOKUP(Tabla1[[#This Row],[PAGO DIA]],DIAS!A:I,9,0)</f>
        <v>46295</v>
      </c>
      <c r="X288" s="6">
        <v>0</v>
      </c>
      <c r="Y288" s="43">
        <f>VLOOKUP(Tabla1[[#This Row],[PAGO DIA]],DIAS!A:J,10,0)</f>
        <v>46325</v>
      </c>
      <c r="Z288" s="6">
        <v>0</v>
      </c>
      <c r="AA288" s="43">
        <f>VLOOKUP(Tabla1[[#This Row],[PAGO DIA]],DIAS!A:K,11,0)</f>
        <v>46356</v>
      </c>
      <c r="AB288" s="6">
        <v>0</v>
      </c>
      <c r="AC288" s="43">
        <f>VLOOKUP(Tabla1[[#This Row],[PAGO DIA]],DIAS!A:M,12,0)</f>
        <v>46386</v>
      </c>
      <c r="AD2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89" spans="1:30">
      <c r="A289" s="3">
        <v>11404</v>
      </c>
      <c r="B289" s="3" t="s">
        <v>628</v>
      </c>
      <c r="C289" s="3" t="s">
        <v>655</v>
      </c>
      <c r="D289" s="3" t="s">
        <v>655</v>
      </c>
      <c r="E289" s="3" t="s">
        <v>899</v>
      </c>
      <c r="F289" s="42" t="s">
        <v>631</v>
      </c>
      <c r="G289" s="3" t="s">
        <v>900</v>
      </c>
      <c r="H289" s="6">
        <v>0</v>
      </c>
      <c r="I289" s="41">
        <f>VLOOKUP(Tabla1[[#This Row],[PAGO DIA]],DIAS!A:B,2,0)</f>
        <v>46080</v>
      </c>
      <c r="J289" s="6">
        <v>0</v>
      </c>
      <c r="K289" s="43">
        <f>VLOOKUP(Tabla1[[#This Row],[PAGO DIA]],DIAS!A:C,3,0)</f>
        <v>46112</v>
      </c>
      <c r="L289" s="6">
        <v>0</v>
      </c>
      <c r="M289" s="41">
        <f>VLOOKUP(Tabla1[[#This Row],[PAGO DIA]],DIAS!A:D,4,0)</f>
        <v>46142</v>
      </c>
      <c r="N289" s="6">
        <v>0</v>
      </c>
      <c r="O289" s="43">
        <f>VLOOKUP(Tabla1[[#This Row],[PAGO DIA]],DIAS!A:E,5,0)</f>
        <v>46171</v>
      </c>
      <c r="P289" s="6">
        <v>0</v>
      </c>
      <c r="Q289" s="43">
        <f>VLOOKUP(Tabla1[[#This Row],[PAGO DIA]],DIAS!A:F,6,0)</f>
        <v>46203</v>
      </c>
      <c r="R289" s="6">
        <v>0</v>
      </c>
      <c r="S289" s="43">
        <f>VLOOKUP(Tabla1[[#This Row],[PAGO DIA]],DIAS!A:G,7,0)</f>
        <v>46234</v>
      </c>
      <c r="T289" s="6">
        <v>0</v>
      </c>
      <c r="U289" s="43">
        <f>VLOOKUP(Tabla1[[#This Row],[PAGO DIA]],DIAS!A:H,8,0)</f>
        <v>46265</v>
      </c>
      <c r="V289" s="6">
        <v>0</v>
      </c>
      <c r="W289" s="43">
        <f>VLOOKUP(Tabla1[[#This Row],[PAGO DIA]],DIAS!A:I,9,0)</f>
        <v>46295</v>
      </c>
      <c r="X289" s="6">
        <v>0</v>
      </c>
      <c r="Y289" s="43">
        <f>VLOOKUP(Tabla1[[#This Row],[PAGO DIA]],DIAS!A:J,10,0)</f>
        <v>46325</v>
      </c>
      <c r="Z289" s="6">
        <v>0</v>
      </c>
      <c r="AA289" s="43">
        <f>VLOOKUP(Tabla1[[#This Row],[PAGO DIA]],DIAS!A:K,11,0)</f>
        <v>46356</v>
      </c>
      <c r="AB289" s="6">
        <v>0</v>
      </c>
      <c r="AC289" s="43">
        <f>VLOOKUP(Tabla1[[#This Row],[PAGO DIA]],DIAS!A:M,12,0)</f>
        <v>46386</v>
      </c>
      <c r="AD2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0" spans="1:30">
      <c r="A290" s="3">
        <v>11454</v>
      </c>
      <c r="B290" s="3" t="s">
        <v>628</v>
      </c>
      <c r="C290" s="3" t="s">
        <v>655</v>
      </c>
      <c r="D290" s="3" t="s">
        <v>655</v>
      </c>
      <c r="E290" s="3" t="s">
        <v>899</v>
      </c>
      <c r="F290" s="42" t="s">
        <v>631</v>
      </c>
      <c r="G290" s="3" t="s">
        <v>901</v>
      </c>
      <c r="H290" s="6">
        <v>0</v>
      </c>
      <c r="I290" s="41">
        <f>VLOOKUP(Tabla1[[#This Row],[PAGO DIA]],DIAS!A:B,2,0)</f>
        <v>46080</v>
      </c>
      <c r="J290" s="6">
        <v>0</v>
      </c>
      <c r="K290" s="43">
        <f>VLOOKUP(Tabla1[[#This Row],[PAGO DIA]],DIAS!A:C,3,0)</f>
        <v>46112</v>
      </c>
      <c r="L290" s="6">
        <v>0</v>
      </c>
      <c r="M290" s="41">
        <f>VLOOKUP(Tabla1[[#This Row],[PAGO DIA]],DIAS!A:D,4,0)</f>
        <v>46142</v>
      </c>
      <c r="N290" s="6">
        <v>0</v>
      </c>
      <c r="O290" s="43">
        <f>VLOOKUP(Tabla1[[#This Row],[PAGO DIA]],DIAS!A:E,5,0)</f>
        <v>46171</v>
      </c>
      <c r="P290" s="6">
        <v>0</v>
      </c>
      <c r="Q290" s="43">
        <f>VLOOKUP(Tabla1[[#This Row],[PAGO DIA]],DIAS!A:F,6,0)</f>
        <v>46203</v>
      </c>
      <c r="R290" s="6">
        <v>0</v>
      </c>
      <c r="S290" s="43">
        <f>VLOOKUP(Tabla1[[#This Row],[PAGO DIA]],DIAS!A:G,7,0)</f>
        <v>46234</v>
      </c>
      <c r="T290" s="6">
        <v>0</v>
      </c>
      <c r="U290" s="43">
        <f>VLOOKUP(Tabla1[[#This Row],[PAGO DIA]],DIAS!A:H,8,0)</f>
        <v>46265</v>
      </c>
      <c r="V290" s="6">
        <v>0</v>
      </c>
      <c r="W290" s="43">
        <f>VLOOKUP(Tabla1[[#This Row],[PAGO DIA]],DIAS!A:I,9,0)</f>
        <v>46295</v>
      </c>
      <c r="X290" s="6">
        <v>0</v>
      </c>
      <c r="Y290" s="43">
        <f>VLOOKUP(Tabla1[[#This Row],[PAGO DIA]],DIAS!A:J,10,0)</f>
        <v>46325</v>
      </c>
      <c r="Z290" s="6">
        <v>0</v>
      </c>
      <c r="AA290" s="43">
        <f>VLOOKUP(Tabla1[[#This Row],[PAGO DIA]],DIAS!A:K,11,0)</f>
        <v>46356</v>
      </c>
      <c r="AB290" s="6">
        <v>0</v>
      </c>
      <c r="AC290" s="43">
        <f>VLOOKUP(Tabla1[[#This Row],[PAGO DIA]],DIAS!A:M,12,0)</f>
        <v>46386</v>
      </c>
      <c r="AD2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1" spans="1:30">
      <c r="A291" s="3">
        <v>12179</v>
      </c>
      <c r="B291" s="3" t="s">
        <v>628</v>
      </c>
      <c r="C291" s="3" t="s">
        <v>629</v>
      </c>
      <c r="D291" s="3" t="s">
        <v>629</v>
      </c>
      <c r="E291" s="3" t="s">
        <v>902</v>
      </c>
      <c r="F291" s="42" t="s">
        <v>631</v>
      </c>
      <c r="G291" s="3" t="s">
        <v>639</v>
      </c>
      <c r="H291" s="6">
        <v>0</v>
      </c>
      <c r="I291" s="41">
        <f>VLOOKUP(Tabla1[[#This Row],[PAGO DIA]],DIAS!A:B,2,0)</f>
        <v>46080</v>
      </c>
      <c r="J291" s="6">
        <v>0</v>
      </c>
      <c r="K291" s="43">
        <f>VLOOKUP(Tabla1[[#This Row],[PAGO DIA]],DIAS!A:C,3,0)</f>
        <v>46112</v>
      </c>
      <c r="L291" s="6">
        <v>0</v>
      </c>
      <c r="M291" s="41">
        <f>VLOOKUP(Tabla1[[#This Row],[PAGO DIA]],DIAS!A:D,4,0)</f>
        <v>46142</v>
      </c>
      <c r="N291" s="6">
        <v>0</v>
      </c>
      <c r="O291" s="43">
        <f>VLOOKUP(Tabla1[[#This Row],[PAGO DIA]],DIAS!A:E,5,0)</f>
        <v>46171</v>
      </c>
      <c r="P291" s="6">
        <v>0</v>
      </c>
      <c r="Q291" s="43">
        <f>VLOOKUP(Tabla1[[#This Row],[PAGO DIA]],DIAS!A:F,6,0)</f>
        <v>46203</v>
      </c>
      <c r="R291" s="6">
        <v>0</v>
      </c>
      <c r="S291" s="43">
        <f>VLOOKUP(Tabla1[[#This Row],[PAGO DIA]],DIAS!A:G,7,0)</f>
        <v>46234</v>
      </c>
      <c r="T291" s="6">
        <v>0</v>
      </c>
      <c r="U291" s="43">
        <f>VLOOKUP(Tabla1[[#This Row],[PAGO DIA]],DIAS!A:H,8,0)</f>
        <v>46265</v>
      </c>
      <c r="V291" s="6">
        <v>0</v>
      </c>
      <c r="W291" s="43">
        <f>VLOOKUP(Tabla1[[#This Row],[PAGO DIA]],DIAS!A:I,9,0)</f>
        <v>46295</v>
      </c>
      <c r="X291" s="6">
        <v>0</v>
      </c>
      <c r="Y291" s="43">
        <f>VLOOKUP(Tabla1[[#This Row],[PAGO DIA]],DIAS!A:J,10,0)</f>
        <v>46325</v>
      </c>
      <c r="Z291" s="6">
        <v>0</v>
      </c>
      <c r="AA291" s="43">
        <f>VLOOKUP(Tabla1[[#This Row],[PAGO DIA]],DIAS!A:K,11,0)</f>
        <v>46356</v>
      </c>
      <c r="AB291" s="6">
        <v>0</v>
      </c>
      <c r="AC291" s="43">
        <f>VLOOKUP(Tabla1[[#This Row],[PAGO DIA]],DIAS!A:M,12,0)</f>
        <v>46386</v>
      </c>
      <c r="AD2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2" spans="1:30">
      <c r="A292" s="3">
        <v>12180</v>
      </c>
      <c r="B292" s="3" t="s">
        <v>628</v>
      </c>
      <c r="C292" s="3" t="s">
        <v>629</v>
      </c>
      <c r="D292" s="3" t="s">
        <v>629</v>
      </c>
      <c r="E292" s="3" t="s">
        <v>903</v>
      </c>
      <c r="F292" s="42" t="s">
        <v>631</v>
      </c>
      <c r="G292" s="3"/>
      <c r="H292" s="6">
        <v>0</v>
      </c>
      <c r="I292" s="41">
        <f>VLOOKUP(Tabla1[[#This Row],[PAGO DIA]],DIAS!A:B,2,0)</f>
        <v>46080</v>
      </c>
      <c r="J292" s="6">
        <v>0</v>
      </c>
      <c r="K292" s="43">
        <f>VLOOKUP(Tabla1[[#This Row],[PAGO DIA]],DIAS!A:C,3,0)</f>
        <v>46112</v>
      </c>
      <c r="L292" s="6">
        <v>0</v>
      </c>
      <c r="M292" s="41">
        <f>VLOOKUP(Tabla1[[#This Row],[PAGO DIA]],DIAS!A:D,4,0)</f>
        <v>46142</v>
      </c>
      <c r="N292" s="6">
        <v>0</v>
      </c>
      <c r="O292" s="43">
        <f>VLOOKUP(Tabla1[[#This Row],[PAGO DIA]],DIAS!A:E,5,0)</f>
        <v>46171</v>
      </c>
      <c r="P292" s="6">
        <v>0</v>
      </c>
      <c r="Q292" s="43">
        <f>VLOOKUP(Tabla1[[#This Row],[PAGO DIA]],DIAS!A:F,6,0)</f>
        <v>46203</v>
      </c>
      <c r="R292" s="6">
        <v>0</v>
      </c>
      <c r="S292" s="43">
        <f>VLOOKUP(Tabla1[[#This Row],[PAGO DIA]],DIAS!A:G,7,0)</f>
        <v>46234</v>
      </c>
      <c r="T292" s="6">
        <v>0</v>
      </c>
      <c r="U292" s="43">
        <f>VLOOKUP(Tabla1[[#This Row],[PAGO DIA]],DIAS!A:H,8,0)</f>
        <v>46265</v>
      </c>
      <c r="V292" s="6">
        <v>0</v>
      </c>
      <c r="W292" s="43">
        <f>VLOOKUP(Tabla1[[#This Row],[PAGO DIA]],DIAS!A:I,9,0)</f>
        <v>46295</v>
      </c>
      <c r="X292" s="6">
        <v>0</v>
      </c>
      <c r="Y292" s="43">
        <f>VLOOKUP(Tabla1[[#This Row],[PAGO DIA]],DIAS!A:J,10,0)</f>
        <v>46325</v>
      </c>
      <c r="Z292" s="6">
        <v>0</v>
      </c>
      <c r="AA292" s="43">
        <f>VLOOKUP(Tabla1[[#This Row],[PAGO DIA]],DIAS!A:K,11,0)</f>
        <v>46356</v>
      </c>
      <c r="AB292" s="6">
        <v>0</v>
      </c>
      <c r="AC292" s="43">
        <f>VLOOKUP(Tabla1[[#This Row],[PAGO DIA]],DIAS!A:M,12,0)</f>
        <v>46386</v>
      </c>
      <c r="AD2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3" spans="1:30">
      <c r="A293" s="3">
        <v>11279</v>
      </c>
      <c r="B293" s="3" t="s">
        <v>575</v>
      </c>
      <c r="C293" s="3" t="s">
        <v>576</v>
      </c>
      <c r="D293" s="3" t="s">
        <v>904</v>
      </c>
      <c r="E293" s="3" t="s">
        <v>630</v>
      </c>
      <c r="F293" s="42" t="s">
        <v>631</v>
      </c>
      <c r="G293" s="3"/>
      <c r="H293" s="7">
        <v>100000000</v>
      </c>
      <c r="I293" s="41">
        <f>VLOOKUP(Tabla1[[#This Row],[PAGO DIA]],DIAS!A:B,2,0)</f>
        <v>46080</v>
      </c>
      <c r="J293" s="6">
        <v>100000000</v>
      </c>
      <c r="K293" s="43">
        <f>VLOOKUP(Tabla1[[#This Row],[PAGO DIA]],DIAS!A:C,3,0)</f>
        <v>46112</v>
      </c>
      <c r="L293" s="6">
        <v>100000000</v>
      </c>
      <c r="M293" s="41">
        <f>VLOOKUP(Tabla1[[#This Row],[PAGO DIA]],DIAS!A:D,4,0)</f>
        <v>46142</v>
      </c>
      <c r="N293" s="6">
        <v>100000000</v>
      </c>
      <c r="O293" s="43">
        <f>VLOOKUP(Tabla1[[#This Row],[PAGO DIA]],DIAS!A:E,5,0)</f>
        <v>46171</v>
      </c>
      <c r="P293" s="6">
        <v>100000000</v>
      </c>
      <c r="Q293" s="43">
        <f>VLOOKUP(Tabla1[[#This Row],[PAGO DIA]],DIAS!A:F,6,0)</f>
        <v>46203</v>
      </c>
      <c r="R293" s="6">
        <v>100000000</v>
      </c>
      <c r="S293" s="43">
        <f>VLOOKUP(Tabla1[[#This Row],[PAGO DIA]],DIAS!A:G,7,0)</f>
        <v>46234</v>
      </c>
      <c r="T293" s="6">
        <v>100000000</v>
      </c>
      <c r="U293" s="43">
        <f>VLOOKUP(Tabla1[[#This Row],[PAGO DIA]],DIAS!A:H,8,0)</f>
        <v>46265</v>
      </c>
      <c r="V293" s="6">
        <v>100000000</v>
      </c>
      <c r="W293" s="43">
        <f>VLOOKUP(Tabla1[[#This Row],[PAGO DIA]],DIAS!A:I,9,0)</f>
        <v>46295</v>
      </c>
      <c r="X293" s="6">
        <v>100000000</v>
      </c>
      <c r="Y293" s="43">
        <f>VLOOKUP(Tabla1[[#This Row],[PAGO DIA]],DIAS!A:J,10,0)</f>
        <v>46325</v>
      </c>
      <c r="Z293" s="6">
        <v>100000000</v>
      </c>
      <c r="AA293" s="43">
        <f>VLOOKUP(Tabla1[[#This Row],[PAGO DIA]],DIAS!A:K,11,0)</f>
        <v>46356</v>
      </c>
      <c r="AB293" s="6">
        <v>100000000</v>
      </c>
      <c r="AC293" s="43">
        <f>VLOOKUP(Tabla1[[#This Row],[PAGO DIA]],DIAS!A:M,12,0)</f>
        <v>46386</v>
      </c>
      <c r="AD2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1100000000</v>
      </c>
    </row>
    <row r="294" spans="1:30">
      <c r="A294" s="3">
        <v>12642</v>
      </c>
      <c r="B294" s="3" t="s">
        <v>575</v>
      </c>
      <c r="C294" s="3" t="s">
        <v>576</v>
      </c>
      <c r="D294" s="3" t="s">
        <v>540</v>
      </c>
      <c r="E294" s="3" t="s">
        <v>905</v>
      </c>
      <c r="F294" s="42" t="s">
        <v>631</v>
      </c>
      <c r="G294" s="3" t="s">
        <v>906</v>
      </c>
      <c r="H294" s="6">
        <v>0</v>
      </c>
      <c r="I294" s="41">
        <f>VLOOKUP(Tabla1[[#This Row],[PAGO DIA]],DIAS!A:B,2,0)</f>
        <v>46080</v>
      </c>
      <c r="J294" s="6">
        <v>0</v>
      </c>
      <c r="K294" s="43">
        <f>VLOOKUP(Tabla1[[#This Row],[PAGO DIA]],DIAS!A:C,3,0)</f>
        <v>46112</v>
      </c>
      <c r="L294" s="6">
        <v>0</v>
      </c>
      <c r="M294" s="41">
        <f>VLOOKUP(Tabla1[[#This Row],[PAGO DIA]],DIAS!A:D,4,0)</f>
        <v>46142</v>
      </c>
      <c r="N294" s="6">
        <v>0</v>
      </c>
      <c r="O294" s="43">
        <f>VLOOKUP(Tabla1[[#This Row],[PAGO DIA]],DIAS!A:E,5,0)</f>
        <v>46171</v>
      </c>
      <c r="P294" s="6">
        <v>0</v>
      </c>
      <c r="Q294" s="43">
        <f>VLOOKUP(Tabla1[[#This Row],[PAGO DIA]],DIAS!A:F,6,0)</f>
        <v>46203</v>
      </c>
      <c r="R294" s="6">
        <v>0</v>
      </c>
      <c r="S294" s="43">
        <f>VLOOKUP(Tabla1[[#This Row],[PAGO DIA]],DIAS!A:G,7,0)</f>
        <v>46234</v>
      </c>
      <c r="T294" s="6">
        <v>0</v>
      </c>
      <c r="U294" s="43">
        <f>VLOOKUP(Tabla1[[#This Row],[PAGO DIA]],DIAS!A:H,8,0)</f>
        <v>46265</v>
      </c>
      <c r="V294" s="6">
        <v>0</v>
      </c>
      <c r="W294" s="43">
        <f>VLOOKUP(Tabla1[[#This Row],[PAGO DIA]],DIAS!A:I,9,0)</f>
        <v>46295</v>
      </c>
      <c r="X294" s="6">
        <v>0</v>
      </c>
      <c r="Y294" s="43">
        <f>VLOOKUP(Tabla1[[#This Row],[PAGO DIA]],DIAS!A:J,10,0)</f>
        <v>46325</v>
      </c>
      <c r="Z294" s="6">
        <v>0</v>
      </c>
      <c r="AA294" s="43">
        <f>VLOOKUP(Tabla1[[#This Row],[PAGO DIA]],DIAS!A:K,11,0)</f>
        <v>46356</v>
      </c>
      <c r="AB294" s="6">
        <v>0</v>
      </c>
      <c r="AC294" s="43">
        <f>VLOOKUP(Tabla1[[#This Row],[PAGO DIA]],DIAS!A:M,12,0)</f>
        <v>46386</v>
      </c>
      <c r="AD2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5" spans="1:30">
      <c r="A295" s="3">
        <v>12692</v>
      </c>
      <c r="B295" s="3" t="s">
        <v>575</v>
      </c>
      <c r="C295" s="3" t="s">
        <v>576</v>
      </c>
      <c r="D295" s="3" t="s">
        <v>540</v>
      </c>
      <c r="E295" s="3" t="s">
        <v>905</v>
      </c>
      <c r="F295" s="42" t="s">
        <v>631</v>
      </c>
      <c r="G295" s="3" t="s">
        <v>907</v>
      </c>
      <c r="H295" s="6">
        <v>0</v>
      </c>
      <c r="I295" s="41">
        <f>VLOOKUP(Tabla1[[#This Row],[PAGO DIA]],DIAS!A:B,2,0)</f>
        <v>46080</v>
      </c>
      <c r="J295" s="6">
        <v>0</v>
      </c>
      <c r="K295" s="43">
        <f>VLOOKUP(Tabla1[[#This Row],[PAGO DIA]],DIAS!A:C,3,0)</f>
        <v>46112</v>
      </c>
      <c r="L295" s="6">
        <v>0</v>
      </c>
      <c r="M295" s="41">
        <f>VLOOKUP(Tabla1[[#This Row],[PAGO DIA]],DIAS!A:D,4,0)</f>
        <v>46142</v>
      </c>
      <c r="N295" s="6">
        <v>0</v>
      </c>
      <c r="O295" s="43">
        <f>VLOOKUP(Tabla1[[#This Row],[PAGO DIA]],DIAS!A:E,5,0)</f>
        <v>46171</v>
      </c>
      <c r="P295" s="6">
        <v>0</v>
      </c>
      <c r="Q295" s="43">
        <f>VLOOKUP(Tabla1[[#This Row],[PAGO DIA]],DIAS!A:F,6,0)</f>
        <v>46203</v>
      </c>
      <c r="R295" s="6">
        <v>0</v>
      </c>
      <c r="S295" s="43">
        <f>VLOOKUP(Tabla1[[#This Row],[PAGO DIA]],DIAS!A:G,7,0)</f>
        <v>46234</v>
      </c>
      <c r="T295" s="6">
        <v>0</v>
      </c>
      <c r="U295" s="43">
        <f>VLOOKUP(Tabla1[[#This Row],[PAGO DIA]],DIAS!A:H,8,0)</f>
        <v>46265</v>
      </c>
      <c r="V295" s="6">
        <v>0</v>
      </c>
      <c r="W295" s="43">
        <f>VLOOKUP(Tabla1[[#This Row],[PAGO DIA]],DIAS!A:I,9,0)</f>
        <v>46295</v>
      </c>
      <c r="X295" s="6">
        <v>0</v>
      </c>
      <c r="Y295" s="43">
        <f>VLOOKUP(Tabla1[[#This Row],[PAGO DIA]],DIAS!A:J,10,0)</f>
        <v>46325</v>
      </c>
      <c r="Z295" s="6">
        <v>0</v>
      </c>
      <c r="AA295" s="43">
        <f>VLOOKUP(Tabla1[[#This Row],[PAGO DIA]],DIAS!A:K,11,0)</f>
        <v>46356</v>
      </c>
      <c r="AB295" s="6">
        <v>0</v>
      </c>
      <c r="AC295" s="43">
        <f>VLOOKUP(Tabla1[[#This Row],[PAGO DIA]],DIAS!A:M,12,0)</f>
        <v>46386</v>
      </c>
      <c r="AD2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6" spans="1:30">
      <c r="A296" s="3">
        <v>12736</v>
      </c>
      <c r="B296" s="3" t="s">
        <v>575</v>
      </c>
      <c r="C296" s="3" t="s">
        <v>576</v>
      </c>
      <c r="D296" s="3" t="s">
        <v>540</v>
      </c>
      <c r="E296" s="3" t="s">
        <v>905</v>
      </c>
      <c r="F296" s="42" t="s">
        <v>631</v>
      </c>
      <c r="G296" s="3" t="s">
        <v>908</v>
      </c>
      <c r="H296" s="6">
        <v>0</v>
      </c>
      <c r="I296" s="41">
        <f>VLOOKUP(Tabla1[[#This Row],[PAGO DIA]],DIAS!A:B,2,0)</f>
        <v>46080</v>
      </c>
      <c r="J296" s="6">
        <v>0</v>
      </c>
      <c r="K296" s="43">
        <f>VLOOKUP(Tabla1[[#This Row],[PAGO DIA]],DIAS!A:C,3,0)</f>
        <v>46112</v>
      </c>
      <c r="L296" s="6">
        <v>0</v>
      </c>
      <c r="M296" s="41">
        <f>VLOOKUP(Tabla1[[#This Row],[PAGO DIA]],DIAS!A:D,4,0)</f>
        <v>46142</v>
      </c>
      <c r="N296" s="6">
        <v>0</v>
      </c>
      <c r="O296" s="43">
        <f>VLOOKUP(Tabla1[[#This Row],[PAGO DIA]],DIAS!A:E,5,0)</f>
        <v>46171</v>
      </c>
      <c r="P296" s="6">
        <v>0</v>
      </c>
      <c r="Q296" s="43">
        <f>VLOOKUP(Tabla1[[#This Row],[PAGO DIA]],DIAS!A:F,6,0)</f>
        <v>46203</v>
      </c>
      <c r="R296" s="6">
        <v>0</v>
      </c>
      <c r="S296" s="43">
        <f>VLOOKUP(Tabla1[[#This Row],[PAGO DIA]],DIAS!A:G,7,0)</f>
        <v>46234</v>
      </c>
      <c r="T296" s="6">
        <v>0</v>
      </c>
      <c r="U296" s="43">
        <f>VLOOKUP(Tabla1[[#This Row],[PAGO DIA]],DIAS!A:H,8,0)</f>
        <v>46265</v>
      </c>
      <c r="V296" s="6">
        <v>0</v>
      </c>
      <c r="W296" s="43">
        <f>VLOOKUP(Tabla1[[#This Row],[PAGO DIA]],DIAS!A:I,9,0)</f>
        <v>46295</v>
      </c>
      <c r="X296" s="6">
        <v>0</v>
      </c>
      <c r="Y296" s="43">
        <f>VLOOKUP(Tabla1[[#This Row],[PAGO DIA]],DIAS!A:J,10,0)</f>
        <v>46325</v>
      </c>
      <c r="Z296" s="6">
        <v>0</v>
      </c>
      <c r="AA296" s="43">
        <f>VLOOKUP(Tabla1[[#This Row],[PAGO DIA]],DIAS!A:K,11,0)</f>
        <v>46356</v>
      </c>
      <c r="AB296" s="6">
        <v>0</v>
      </c>
      <c r="AC296" s="43">
        <f>VLOOKUP(Tabla1[[#This Row],[PAGO DIA]],DIAS!A:M,12,0)</f>
        <v>46386</v>
      </c>
      <c r="AD2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7" spans="1:30">
      <c r="A297" s="3">
        <v>12741</v>
      </c>
      <c r="B297" s="3" t="s">
        <v>575</v>
      </c>
      <c r="C297" s="3" t="s">
        <v>576</v>
      </c>
      <c r="D297" s="3" t="s">
        <v>540</v>
      </c>
      <c r="E297" s="3" t="s">
        <v>905</v>
      </c>
      <c r="F297" s="42" t="s">
        <v>631</v>
      </c>
      <c r="G297" s="3" t="s">
        <v>909</v>
      </c>
      <c r="H297" s="6">
        <v>0</v>
      </c>
      <c r="I297" s="41">
        <f>VLOOKUP(Tabla1[[#This Row],[PAGO DIA]],DIAS!A:B,2,0)</f>
        <v>46080</v>
      </c>
      <c r="J297" s="6">
        <v>0</v>
      </c>
      <c r="K297" s="43">
        <f>VLOOKUP(Tabla1[[#This Row],[PAGO DIA]],DIAS!A:C,3,0)</f>
        <v>46112</v>
      </c>
      <c r="L297" s="6">
        <v>0</v>
      </c>
      <c r="M297" s="41">
        <f>VLOOKUP(Tabla1[[#This Row],[PAGO DIA]],DIAS!A:D,4,0)</f>
        <v>46142</v>
      </c>
      <c r="N297" s="6">
        <v>0</v>
      </c>
      <c r="O297" s="43">
        <f>VLOOKUP(Tabla1[[#This Row],[PAGO DIA]],DIAS!A:E,5,0)</f>
        <v>46171</v>
      </c>
      <c r="P297" s="6">
        <v>0</v>
      </c>
      <c r="Q297" s="43">
        <f>VLOOKUP(Tabla1[[#This Row],[PAGO DIA]],DIAS!A:F,6,0)</f>
        <v>46203</v>
      </c>
      <c r="R297" s="6">
        <v>0</v>
      </c>
      <c r="S297" s="43">
        <f>VLOOKUP(Tabla1[[#This Row],[PAGO DIA]],DIAS!A:G,7,0)</f>
        <v>46234</v>
      </c>
      <c r="T297" s="6">
        <v>0</v>
      </c>
      <c r="U297" s="43">
        <f>VLOOKUP(Tabla1[[#This Row],[PAGO DIA]],DIAS!A:H,8,0)</f>
        <v>46265</v>
      </c>
      <c r="V297" s="6">
        <v>0</v>
      </c>
      <c r="W297" s="43">
        <f>VLOOKUP(Tabla1[[#This Row],[PAGO DIA]],DIAS!A:I,9,0)</f>
        <v>46295</v>
      </c>
      <c r="X297" s="6">
        <v>0</v>
      </c>
      <c r="Y297" s="43">
        <f>VLOOKUP(Tabla1[[#This Row],[PAGO DIA]],DIAS!A:J,10,0)</f>
        <v>46325</v>
      </c>
      <c r="Z297" s="6">
        <v>0</v>
      </c>
      <c r="AA297" s="43">
        <f>VLOOKUP(Tabla1[[#This Row],[PAGO DIA]],DIAS!A:K,11,0)</f>
        <v>46356</v>
      </c>
      <c r="AB297" s="6">
        <v>0</v>
      </c>
      <c r="AC297" s="43">
        <f>VLOOKUP(Tabla1[[#This Row],[PAGO DIA]],DIAS!A:M,12,0)</f>
        <v>46386</v>
      </c>
      <c r="AD2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8" spans="1:30">
      <c r="A298" s="3">
        <v>12761</v>
      </c>
      <c r="B298" s="3" t="s">
        <v>575</v>
      </c>
      <c r="C298" s="3" t="s">
        <v>576</v>
      </c>
      <c r="D298" s="3" t="s">
        <v>540</v>
      </c>
      <c r="E298" s="3" t="s">
        <v>905</v>
      </c>
      <c r="F298" s="42" t="s">
        <v>631</v>
      </c>
      <c r="G298" s="3" t="s">
        <v>910</v>
      </c>
      <c r="H298" s="6">
        <v>0</v>
      </c>
      <c r="I298" s="41">
        <f>VLOOKUP(Tabla1[[#This Row],[PAGO DIA]],DIAS!A:B,2,0)</f>
        <v>46080</v>
      </c>
      <c r="J298" s="6">
        <v>0</v>
      </c>
      <c r="K298" s="43">
        <f>VLOOKUP(Tabla1[[#This Row],[PAGO DIA]],DIAS!A:C,3,0)</f>
        <v>46112</v>
      </c>
      <c r="L298" s="6">
        <v>0</v>
      </c>
      <c r="M298" s="41">
        <f>VLOOKUP(Tabla1[[#This Row],[PAGO DIA]],DIAS!A:D,4,0)</f>
        <v>46142</v>
      </c>
      <c r="N298" s="6">
        <v>0</v>
      </c>
      <c r="O298" s="43">
        <f>VLOOKUP(Tabla1[[#This Row],[PAGO DIA]],DIAS!A:E,5,0)</f>
        <v>46171</v>
      </c>
      <c r="P298" s="6">
        <v>0</v>
      </c>
      <c r="Q298" s="43">
        <f>VLOOKUP(Tabla1[[#This Row],[PAGO DIA]],DIAS!A:F,6,0)</f>
        <v>46203</v>
      </c>
      <c r="R298" s="6">
        <v>0</v>
      </c>
      <c r="S298" s="43">
        <f>VLOOKUP(Tabla1[[#This Row],[PAGO DIA]],DIAS!A:G,7,0)</f>
        <v>46234</v>
      </c>
      <c r="T298" s="6">
        <v>0</v>
      </c>
      <c r="U298" s="43">
        <f>VLOOKUP(Tabla1[[#This Row],[PAGO DIA]],DIAS!A:H,8,0)</f>
        <v>46265</v>
      </c>
      <c r="V298" s="6">
        <v>0</v>
      </c>
      <c r="W298" s="43">
        <f>VLOOKUP(Tabla1[[#This Row],[PAGO DIA]],DIAS!A:I,9,0)</f>
        <v>46295</v>
      </c>
      <c r="X298" s="6">
        <v>0</v>
      </c>
      <c r="Y298" s="43">
        <f>VLOOKUP(Tabla1[[#This Row],[PAGO DIA]],DIAS!A:J,10,0)</f>
        <v>46325</v>
      </c>
      <c r="Z298" s="6">
        <v>0</v>
      </c>
      <c r="AA298" s="43">
        <f>VLOOKUP(Tabla1[[#This Row],[PAGO DIA]],DIAS!A:K,11,0)</f>
        <v>46356</v>
      </c>
      <c r="AB298" s="6">
        <v>0</v>
      </c>
      <c r="AC298" s="43">
        <f>VLOOKUP(Tabla1[[#This Row],[PAGO DIA]],DIAS!A:M,12,0)</f>
        <v>46386</v>
      </c>
      <c r="AD2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299" spans="1:30">
      <c r="A299" s="3">
        <v>12783</v>
      </c>
      <c r="B299" s="3" t="s">
        <v>575</v>
      </c>
      <c r="C299" s="3" t="s">
        <v>576</v>
      </c>
      <c r="D299" s="3" t="s">
        <v>540</v>
      </c>
      <c r="E299" s="3" t="s">
        <v>905</v>
      </c>
      <c r="F299" s="42" t="s">
        <v>631</v>
      </c>
      <c r="G299" s="3" t="s">
        <v>911</v>
      </c>
      <c r="H299" s="6">
        <v>0</v>
      </c>
      <c r="I299" s="41">
        <f>VLOOKUP(Tabla1[[#This Row],[PAGO DIA]],DIAS!A:B,2,0)</f>
        <v>46080</v>
      </c>
      <c r="J299" s="6">
        <v>0</v>
      </c>
      <c r="K299" s="43">
        <f>VLOOKUP(Tabla1[[#This Row],[PAGO DIA]],DIAS!A:C,3,0)</f>
        <v>46112</v>
      </c>
      <c r="L299" s="6">
        <v>0</v>
      </c>
      <c r="M299" s="41">
        <f>VLOOKUP(Tabla1[[#This Row],[PAGO DIA]],DIAS!A:D,4,0)</f>
        <v>46142</v>
      </c>
      <c r="N299" s="6">
        <v>0</v>
      </c>
      <c r="O299" s="43">
        <f>VLOOKUP(Tabla1[[#This Row],[PAGO DIA]],DIAS!A:E,5,0)</f>
        <v>46171</v>
      </c>
      <c r="P299" s="6">
        <v>0</v>
      </c>
      <c r="Q299" s="43">
        <f>VLOOKUP(Tabla1[[#This Row],[PAGO DIA]],DIAS!A:F,6,0)</f>
        <v>46203</v>
      </c>
      <c r="R299" s="6">
        <v>0</v>
      </c>
      <c r="S299" s="43">
        <f>VLOOKUP(Tabla1[[#This Row],[PAGO DIA]],DIAS!A:G,7,0)</f>
        <v>46234</v>
      </c>
      <c r="T299" s="6">
        <v>0</v>
      </c>
      <c r="U299" s="43">
        <f>VLOOKUP(Tabla1[[#This Row],[PAGO DIA]],DIAS!A:H,8,0)</f>
        <v>46265</v>
      </c>
      <c r="V299" s="6">
        <v>0</v>
      </c>
      <c r="W299" s="43">
        <f>VLOOKUP(Tabla1[[#This Row],[PAGO DIA]],DIAS!A:I,9,0)</f>
        <v>46295</v>
      </c>
      <c r="X299" s="6">
        <v>0</v>
      </c>
      <c r="Y299" s="43">
        <f>VLOOKUP(Tabla1[[#This Row],[PAGO DIA]],DIAS!A:J,10,0)</f>
        <v>46325</v>
      </c>
      <c r="Z299" s="6">
        <v>0</v>
      </c>
      <c r="AA299" s="43">
        <f>VLOOKUP(Tabla1[[#This Row],[PAGO DIA]],DIAS!A:K,11,0)</f>
        <v>46356</v>
      </c>
      <c r="AB299" s="6">
        <v>0</v>
      </c>
      <c r="AC299" s="43">
        <f>VLOOKUP(Tabla1[[#This Row],[PAGO DIA]],DIAS!A:M,12,0)</f>
        <v>46386</v>
      </c>
      <c r="AD2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0" spans="1:30">
      <c r="A300" s="3">
        <v>12793</v>
      </c>
      <c r="B300" s="3" t="s">
        <v>575</v>
      </c>
      <c r="C300" s="3" t="s">
        <v>576</v>
      </c>
      <c r="D300" s="3" t="s">
        <v>540</v>
      </c>
      <c r="E300" s="3" t="s">
        <v>905</v>
      </c>
      <c r="F300" s="42" t="s">
        <v>631</v>
      </c>
      <c r="G300" s="3" t="s">
        <v>912</v>
      </c>
      <c r="H300" s="6">
        <v>0</v>
      </c>
      <c r="I300" s="41">
        <f>VLOOKUP(Tabla1[[#This Row],[PAGO DIA]],DIAS!A:B,2,0)</f>
        <v>46080</v>
      </c>
      <c r="J300" s="6">
        <v>0</v>
      </c>
      <c r="K300" s="43">
        <f>VLOOKUP(Tabla1[[#This Row],[PAGO DIA]],DIAS!A:C,3,0)</f>
        <v>46112</v>
      </c>
      <c r="L300" s="6">
        <v>0</v>
      </c>
      <c r="M300" s="41">
        <f>VLOOKUP(Tabla1[[#This Row],[PAGO DIA]],DIAS!A:D,4,0)</f>
        <v>46142</v>
      </c>
      <c r="N300" s="6">
        <v>0</v>
      </c>
      <c r="O300" s="43">
        <f>VLOOKUP(Tabla1[[#This Row],[PAGO DIA]],DIAS!A:E,5,0)</f>
        <v>46171</v>
      </c>
      <c r="P300" s="6">
        <v>0</v>
      </c>
      <c r="Q300" s="43">
        <f>VLOOKUP(Tabla1[[#This Row],[PAGO DIA]],DIAS!A:F,6,0)</f>
        <v>46203</v>
      </c>
      <c r="R300" s="6">
        <v>0</v>
      </c>
      <c r="S300" s="43">
        <f>VLOOKUP(Tabla1[[#This Row],[PAGO DIA]],DIAS!A:G,7,0)</f>
        <v>46234</v>
      </c>
      <c r="T300" s="6">
        <v>0</v>
      </c>
      <c r="U300" s="43">
        <f>VLOOKUP(Tabla1[[#This Row],[PAGO DIA]],DIAS!A:H,8,0)</f>
        <v>46265</v>
      </c>
      <c r="V300" s="6">
        <v>0</v>
      </c>
      <c r="W300" s="43">
        <f>VLOOKUP(Tabla1[[#This Row],[PAGO DIA]],DIAS!A:I,9,0)</f>
        <v>46295</v>
      </c>
      <c r="X300" s="6">
        <v>0</v>
      </c>
      <c r="Y300" s="43">
        <f>VLOOKUP(Tabla1[[#This Row],[PAGO DIA]],DIAS!A:J,10,0)</f>
        <v>46325</v>
      </c>
      <c r="Z300" s="6">
        <v>0</v>
      </c>
      <c r="AA300" s="43">
        <f>VLOOKUP(Tabla1[[#This Row],[PAGO DIA]],DIAS!A:K,11,0)</f>
        <v>46356</v>
      </c>
      <c r="AB300" s="6">
        <v>0</v>
      </c>
      <c r="AC300" s="43">
        <f>VLOOKUP(Tabla1[[#This Row],[PAGO DIA]],DIAS!A:M,12,0)</f>
        <v>46386</v>
      </c>
      <c r="AD3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1" spans="1:30">
      <c r="A301" s="3">
        <v>12795</v>
      </c>
      <c r="B301" s="3" t="s">
        <v>575</v>
      </c>
      <c r="C301" s="3" t="s">
        <v>576</v>
      </c>
      <c r="D301" s="3" t="s">
        <v>540</v>
      </c>
      <c r="E301" s="3" t="s">
        <v>905</v>
      </c>
      <c r="F301" s="42" t="s">
        <v>631</v>
      </c>
      <c r="G301" s="3" t="s">
        <v>913</v>
      </c>
      <c r="H301" s="6">
        <v>0</v>
      </c>
      <c r="I301" s="41">
        <f>VLOOKUP(Tabla1[[#This Row],[PAGO DIA]],DIAS!A:B,2,0)</f>
        <v>46080</v>
      </c>
      <c r="J301" s="6">
        <v>0</v>
      </c>
      <c r="K301" s="43">
        <f>VLOOKUP(Tabla1[[#This Row],[PAGO DIA]],DIAS!A:C,3,0)</f>
        <v>46112</v>
      </c>
      <c r="L301" s="6">
        <v>0</v>
      </c>
      <c r="M301" s="41">
        <f>VLOOKUP(Tabla1[[#This Row],[PAGO DIA]],DIAS!A:D,4,0)</f>
        <v>46142</v>
      </c>
      <c r="N301" s="6">
        <v>0</v>
      </c>
      <c r="O301" s="43">
        <f>VLOOKUP(Tabla1[[#This Row],[PAGO DIA]],DIAS!A:E,5,0)</f>
        <v>46171</v>
      </c>
      <c r="P301" s="6">
        <v>0</v>
      </c>
      <c r="Q301" s="43">
        <f>VLOOKUP(Tabla1[[#This Row],[PAGO DIA]],DIAS!A:F,6,0)</f>
        <v>46203</v>
      </c>
      <c r="R301" s="6">
        <v>0</v>
      </c>
      <c r="S301" s="43">
        <f>VLOOKUP(Tabla1[[#This Row],[PAGO DIA]],DIAS!A:G,7,0)</f>
        <v>46234</v>
      </c>
      <c r="T301" s="6">
        <v>0</v>
      </c>
      <c r="U301" s="43">
        <f>VLOOKUP(Tabla1[[#This Row],[PAGO DIA]],DIAS!A:H,8,0)</f>
        <v>46265</v>
      </c>
      <c r="V301" s="6">
        <v>0</v>
      </c>
      <c r="W301" s="43">
        <f>VLOOKUP(Tabla1[[#This Row],[PAGO DIA]],DIAS!A:I,9,0)</f>
        <v>46295</v>
      </c>
      <c r="X301" s="6">
        <v>0</v>
      </c>
      <c r="Y301" s="43">
        <f>VLOOKUP(Tabla1[[#This Row],[PAGO DIA]],DIAS!A:J,10,0)</f>
        <v>46325</v>
      </c>
      <c r="Z301" s="6">
        <v>0</v>
      </c>
      <c r="AA301" s="43">
        <f>VLOOKUP(Tabla1[[#This Row],[PAGO DIA]],DIAS!A:K,11,0)</f>
        <v>46356</v>
      </c>
      <c r="AB301" s="6">
        <v>0</v>
      </c>
      <c r="AC301" s="43">
        <f>VLOOKUP(Tabla1[[#This Row],[PAGO DIA]],DIAS!A:M,12,0)</f>
        <v>46386</v>
      </c>
      <c r="AD3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2" spans="1:30">
      <c r="A302" s="3">
        <v>11526</v>
      </c>
      <c r="B302" s="3" t="s">
        <v>575</v>
      </c>
      <c r="C302" s="3" t="s">
        <v>540</v>
      </c>
      <c r="D302" s="3" t="s">
        <v>540</v>
      </c>
      <c r="E302" s="3" t="s">
        <v>914</v>
      </c>
      <c r="F302" s="42" t="s">
        <v>631</v>
      </c>
      <c r="G302" s="3" t="s">
        <v>915</v>
      </c>
      <c r="H302" s="6">
        <v>0</v>
      </c>
      <c r="I302" s="41">
        <f>VLOOKUP(Tabla1[[#This Row],[PAGO DIA]],DIAS!A:B,2,0)</f>
        <v>46080</v>
      </c>
      <c r="J302" s="6">
        <v>0</v>
      </c>
      <c r="K302" s="43">
        <f>VLOOKUP(Tabla1[[#This Row],[PAGO DIA]],DIAS!A:C,3,0)</f>
        <v>46112</v>
      </c>
      <c r="L302" s="6">
        <v>0</v>
      </c>
      <c r="M302" s="41">
        <f>VLOOKUP(Tabla1[[#This Row],[PAGO DIA]],DIAS!A:D,4,0)</f>
        <v>46142</v>
      </c>
      <c r="N302" s="6">
        <v>0</v>
      </c>
      <c r="O302" s="43">
        <f>VLOOKUP(Tabla1[[#This Row],[PAGO DIA]],DIAS!A:E,5,0)</f>
        <v>46171</v>
      </c>
      <c r="P302" s="6">
        <v>0</v>
      </c>
      <c r="Q302" s="43">
        <f>VLOOKUP(Tabla1[[#This Row],[PAGO DIA]],DIAS!A:F,6,0)</f>
        <v>46203</v>
      </c>
      <c r="R302" s="6">
        <v>0</v>
      </c>
      <c r="S302" s="43">
        <f>VLOOKUP(Tabla1[[#This Row],[PAGO DIA]],DIAS!A:G,7,0)</f>
        <v>46234</v>
      </c>
      <c r="T302" s="6">
        <v>0</v>
      </c>
      <c r="U302" s="43">
        <f>VLOOKUP(Tabla1[[#This Row],[PAGO DIA]],DIAS!A:H,8,0)</f>
        <v>46265</v>
      </c>
      <c r="V302" s="6">
        <v>0</v>
      </c>
      <c r="W302" s="43">
        <f>VLOOKUP(Tabla1[[#This Row],[PAGO DIA]],DIAS!A:I,9,0)</f>
        <v>46295</v>
      </c>
      <c r="X302" s="6">
        <v>0</v>
      </c>
      <c r="Y302" s="43">
        <f>VLOOKUP(Tabla1[[#This Row],[PAGO DIA]],DIAS!A:J,10,0)</f>
        <v>46325</v>
      </c>
      <c r="Z302" s="6">
        <v>0</v>
      </c>
      <c r="AA302" s="43">
        <f>VLOOKUP(Tabla1[[#This Row],[PAGO DIA]],DIAS!A:K,11,0)</f>
        <v>46356</v>
      </c>
      <c r="AB302" s="6">
        <v>0</v>
      </c>
      <c r="AC302" s="43">
        <f>VLOOKUP(Tabla1[[#This Row],[PAGO DIA]],DIAS!A:M,12,0)</f>
        <v>46386</v>
      </c>
      <c r="AD3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3" spans="1:30">
      <c r="A303" s="3">
        <v>11527</v>
      </c>
      <c r="B303" s="3" t="s">
        <v>575</v>
      </c>
      <c r="C303" s="3" t="s">
        <v>540</v>
      </c>
      <c r="D303" s="3" t="s">
        <v>540</v>
      </c>
      <c r="E303" s="3" t="s">
        <v>914</v>
      </c>
      <c r="F303" s="42" t="s">
        <v>631</v>
      </c>
      <c r="G303" s="3" t="s">
        <v>916</v>
      </c>
      <c r="H303" s="6">
        <v>0</v>
      </c>
      <c r="I303" s="41">
        <f>VLOOKUP(Tabla1[[#This Row],[PAGO DIA]],DIAS!A:B,2,0)</f>
        <v>46080</v>
      </c>
      <c r="J303" s="6">
        <v>0</v>
      </c>
      <c r="K303" s="43">
        <f>VLOOKUP(Tabla1[[#This Row],[PAGO DIA]],DIAS!A:C,3,0)</f>
        <v>46112</v>
      </c>
      <c r="L303" s="6">
        <v>0</v>
      </c>
      <c r="M303" s="41">
        <f>VLOOKUP(Tabla1[[#This Row],[PAGO DIA]],DIAS!A:D,4,0)</f>
        <v>46142</v>
      </c>
      <c r="N303" s="6">
        <v>0</v>
      </c>
      <c r="O303" s="43">
        <f>VLOOKUP(Tabla1[[#This Row],[PAGO DIA]],DIAS!A:E,5,0)</f>
        <v>46171</v>
      </c>
      <c r="P303" s="6">
        <v>0</v>
      </c>
      <c r="Q303" s="43">
        <f>VLOOKUP(Tabla1[[#This Row],[PAGO DIA]],DIAS!A:F,6,0)</f>
        <v>46203</v>
      </c>
      <c r="R303" s="6">
        <v>0</v>
      </c>
      <c r="S303" s="43">
        <f>VLOOKUP(Tabla1[[#This Row],[PAGO DIA]],DIAS!A:G,7,0)</f>
        <v>46234</v>
      </c>
      <c r="T303" s="6">
        <v>0</v>
      </c>
      <c r="U303" s="43">
        <f>VLOOKUP(Tabla1[[#This Row],[PAGO DIA]],DIAS!A:H,8,0)</f>
        <v>46265</v>
      </c>
      <c r="V303" s="6">
        <v>0</v>
      </c>
      <c r="W303" s="43">
        <f>VLOOKUP(Tabla1[[#This Row],[PAGO DIA]],DIAS!A:I,9,0)</f>
        <v>46295</v>
      </c>
      <c r="X303" s="6">
        <v>0</v>
      </c>
      <c r="Y303" s="43">
        <f>VLOOKUP(Tabla1[[#This Row],[PAGO DIA]],DIAS!A:J,10,0)</f>
        <v>46325</v>
      </c>
      <c r="Z303" s="6">
        <v>0</v>
      </c>
      <c r="AA303" s="43">
        <f>VLOOKUP(Tabla1[[#This Row],[PAGO DIA]],DIAS!A:K,11,0)</f>
        <v>46356</v>
      </c>
      <c r="AB303" s="6">
        <v>0</v>
      </c>
      <c r="AC303" s="43">
        <f>VLOOKUP(Tabla1[[#This Row],[PAGO DIA]],DIAS!A:M,12,0)</f>
        <v>46386</v>
      </c>
      <c r="AD3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4" spans="1:30">
      <c r="A304" s="3">
        <v>11528</v>
      </c>
      <c r="B304" s="3" t="s">
        <v>575</v>
      </c>
      <c r="C304" s="3" t="s">
        <v>540</v>
      </c>
      <c r="D304" s="3" t="s">
        <v>540</v>
      </c>
      <c r="E304" s="3" t="s">
        <v>914</v>
      </c>
      <c r="F304" s="42" t="s">
        <v>631</v>
      </c>
      <c r="G304" s="3" t="s">
        <v>917</v>
      </c>
      <c r="H304" s="6">
        <v>0</v>
      </c>
      <c r="I304" s="41">
        <f>VLOOKUP(Tabla1[[#This Row],[PAGO DIA]],DIAS!A:B,2,0)</f>
        <v>46080</v>
      </c>
      <c r="J304" s="6">
        <v>0</v>
      </c>
      <c r="K304" s="43">
        <f>VLOOKUP(Tabla1[[#This Row],[PAGO DIA]],DIAS!A:C,3,0)</f>
        <v>46112</v>
      </c>
      <c r="L304" s="6">
        <v>0</v>
      </c>
      <c r="M304" s="41">
        <f>VLOOKUP(Tabla1[[#This Row],[PAGO DIA]],DIAS!A:D,4,0)</f>
        <v>46142</v>
      </c>
      <c r="N304" s="6">
        <v>0</v>
      </c>
      <c r="O304" s="43">
        <f>VLOOKUP(Tabla1[[#This Row],[PAGO DIA]],DIAS!A:E,5,0)</f>
        <v>46171</v>
      </c>
      <c r="P304" s="6">
        <v>0</v>
      </c>
      <c r="Q304" s="43">
        <f>VLOOKUP(Tabla1[[#This Row],[PAGO DIA]],DIAS!A:F,6,0)</f>
        <v>46203</v>
      </c>
      <c r="R304" s="6">
        <v>0</v>
      </c>
      <c r="S304" s="43">
        <f>VLOOKUP(Tabla1[[#This Row],[PAGO DIA]],DIAS!A:G,7,0)</f>
        <v>46234</v>
      </c>
      <c r="T304" s="6">
        <v>0</v>
      </c>
      <c r="U304" s="43">
        <f>VLOOKUP(Tabla1[[#This Row],[PAGO DIA]],DIAS!A:H,8,0)</f>
        <v>46265</v>
      </c>
      <c r="V304" s="6">
        <v>0</v>
      </c>
      <c r="W304" s="43">
        <f>VLOOKUP(Tabla1[[#This Row],[PAGO DIA]],DIAS!A:I,9,0)</f>
        <v>46295</v>
      </c>
      <c r="X304" s="6">
        <v>0</v>
      </c>
      <c r="Y304" s="43">
        <f>VLOOKUP(Tabla1[[#This Row],[PAGO DIA]],DIAS!A:J,10,0)</f>
        <v>46325</v>
      </c>
      <c r="Z304" s="6">
        <v>0</v>
      </c>
      <c r="AA304" s="43">
        <f>VLOOKUP(Tabla1[[#This Row],[PAGO DIA]],DIAS!A:K,11,0)</f>
        <v>46356</v>
      </c>
      <c r="AB304" s="6">
        <v>0</v>
      </c>
      <c r="AC304" s="43">
        <f>VLOOKUP(Tabla1[[#This Row],[PAGO DIA]],DIAS!A:M,12,0)</f>
        <v>46386</v>
      </c>
      <c r="AD3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5" spans="1:30">
      <c r="A305" s="3">
        <v>11529</v>
      </c>
      <c r="B305" s="3" t="s">
        <v>575</v>
      </c>
      <c r="C305" s="3" t="s">
        <v>540</v>
      </c>
      <c r="D305" s="3" t="s">
        <v>540</v>
      </c>
      <c r="E305" s="3" t="s">
        <v>914</v>
      </c>
      <c r="F305" s="42" t="s">
        <v>631</v>
      </c>
      <c r="G305" s="3" t="s">
        <v>918</v>
      </c>
      <c r="H305" s="6">
        <v>0</v>
      </c>
      <c r="I305" s="41">
        <f>VLOOKUP(Tabla1[[#This Row],[PAGO DIA]],DIAS!A:B,2,0)</f>
        <v>46080</v>
      </c>
      <c r="J305" s="6">
        <v>0</v>
      </c>
      <c r="K305" s="43">
        <f>VLOOKUP(Tabla1[[#This Row],[PAGO DIA]],DIAS!A:C,3,0)</f>
        <v>46112</v>
      </c>
      <c r="L305" s="6">
        <v>0</v>
      </c>
      <c r="M305" s="41">
        <f>VLOOKUP(Tabla1[[#This Row],[PAGO DIA]],DIAS!A:D,4,0)</f>
        <v>46142</v>
      </c>
      <c r="N305" s="6">
        <v>0</v>
      </c>
      <c r="O305" s="43">
        <f>VLOOKUP(Tabla1[[#This Row],[PAGO DIA]],DIAS!A:E,5,0)</f>
        <v>46171</v>
      </c>
      <c r="P305" s="6">
        <v>0</v>
      </c>
      <c r="Q305" s="43">
        <f>VLOOKUP(Tabla1[[#This Row],[PAGO DIA]],DIAS!A:F,6,0)</f>
        <v>46203</v>
      </c>
      <c r="R305" s="6">
        <v>0</v>
      </c>
      <c r="S305" s="43">
        <f>VLOOKUP(Tabla1[[#This Row],[PAGO DIA]],DIAS!A:G,7,0)</f>
        <v>46234</v>
      </c>
      <c r="T305" s="6">
        <v>0</v>
      </c>
      <c r="U305" s="43">
        <f>VLOOKUP(Tabla1[[#This Row],[PAGO DIA]],DIAS!A:H,8,0)</f>
        <v>46265</v>
      </c>
      <c r="V305" s="6">
        <v>0</v>
      </c>
      <c r="W305" s="43">
        <f>VLOOKUP(Tabla1[[#This Row],[PAGO DIA]],DIAS!A:I,9,0)</f>
        <v>46295</v>
      </c>
      <c r="X305" s="6">
        <v>0</v>
      </c>
      <c r="Y305" s="43">
        <f>VLOOKUP(Tabla1[[#This Row],[PAGO DIA]],DIAS!A:J,10,0)</f>
        <v>46325</v>
      </c>
      <c r="Z305" s="6">
        <v>0</v>
      </c>
      <c r="AA305" s="43">
        <f>VLOOKUP(Tabla1[[#This Row],[PAGO DIA]],DIAS!A:K,11,0)</f>
        <v>46356</v>
      </c>
      <c r="AB305" s="6">
        <v>0</v>
      </c>
      <c r="AC305" s="43">
        <f>VLOOKUP(Tabla1[[#This Row],[PAGO DIA]],DIAS!A:M,12,0)</f>
        <v>46386</v>
      </c>
      <c r="AD3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6" spans="1:30">
      <c r="A306" s="3">
        <v>11530</v>
      </c>
      <c r="B306" s="3" t="s">
        <v>575</v>
      </c>
      <c r="C306" s="3" t="s">
        <v>540</v>
      </c>
      <c r="D306" s="3" t="s">
        <v>540</v>
      </c>
      <c r="E306" s="3" t="s">
        <v>914</v>
      </c>
      <c r="F306" s="42" t="s">
        <v>631</v>
      </c>
      <c r="G306" s="3" t="s">
        <v>919</v>
      </c>
      <c r="H306" s="6">
        <v>0</v>
      </c>
      <c r="I306" s="41">
        <f>VLOOKUP(Tabla1[[#This Row],[PAGO DIA]],DIAS!A:B,2,0)</f>
        <v>46080</v>
      </c>
      <c r="J306" s="6">
        <v>0</v>
      </c>
      <c r="K306" s="43">
        <f>VLOOKUP(Tabla1[[#This Row],[PAGO DIA]],DIAS!A:C,3,0)</f>
        <v>46112</v>
      </c>
      <c r="L306" s="6">
        <v>0</v>
      </c>
      <c r="M306" s="41">
        <f>VLOOKUP(Tabla1[[#This Row],[PAGO DIA]],DIAS!A:D,4,0)</f>
        <v>46142</v>
      </c>
      <c r="N306" s="6">
        <v>0</v>
      </c>
      <c r="O306" s="43">
        <f>VLOOKUP(Tabla1[[#This Row],[PAGO DIA]],DIAS!A:E,5,0)</f>
        <v>46171</v>
      </c>
      <c r="P306" s="6">
        <v>0</v>
      </c>
      <c r="Q306" s="43">
        <f>VLOOKUP(Tabla1[[#This Row],[PAGO DIA]],DIAS!A:F,6,0)</f>
        <v>46203</v>
      </c>
      <c r="R306" s="6">
        <v>0</v>
      </c>
      <c r="S306" s="43">
        <f>VLOOKUP(Tabla1[[#This Row],[PAGO DIA]],DIAS!A:G,7,0)</f>
        <v>46234</v>
      </c>
      <c r="T306" s="6">
        <v>0</v>
      </c>
      <c r="U306" s="43">
        <f>VLOOKUP(Tabla1[[#This Row],[PAGO DIA]],DIAS!A:H,8,0)</f>
        <v>46265</v>
      </c>
      <c r="V306" s="6">
        <v>0</v>
      </c>
      <c r="W306" s="43">
        <f>VLOOKUP(Tabla1[[#This Row],[PAGO DIA]],DIAS!A:I,9,0)</f>
        <v>46295</v>
      </c>
      <c r="X306" s="6">
        <v>0</v>
      </c>
      <c r="Y306" s="43">
        <f>VLOOKUP(Tabla1[[#This Row],[PAGO DIA]],DIAS!A:J,10,0)</f>
        <v>46325</v>
      </c>
      <c r="Z306" s="6">
        <v>0</v>
      </c>
      <c r="AA306" s="43">
        <f>VLOOKUP(Tabla1[[#This Row],[PAGO DIA]],DIAS!A:K,11,0)</f>
        <v>46356</v>
      </c>
      <c r="AB306" s="6">
        <v>0</v>
      </c>
      <c r="AC306" s="43">
        <f>VLOOKUP(Tabla1[[#This Row],[PAGO DIA]],DIAS!A:M,12,0)</f>
        <v>46386</v>
      </c>
      <c r="AD3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7" spans="1:30">
      <c r="A307" s="3">
        <v>11531</v>
      </c>
      <c r="B307" s="3" t="s">
        <v>575</v>
      </c>
      <c r="C307" s="3" t="s">
        <v>540</v>
      </c>
      <c r="D307" s="3" t="s">
        <v>540</v>
      </c>
      <c r="E307" s="3" t="s">
        <v>914</v>
      </c>
      <c r="F307" s="42" t="s">
        <v>631</v>
      </c>
      <c r="G307" s="3" t="s">
        <v>920</v>
      </c>
      <c r="H307" s="6">
        <v>0</v>
      </c>
      <c r="I307" s="41">
        <f>VLOOKUP(Tabla1[[#This Row],[PAGO DIA]],DIAS!A:B,2,0)</f>
        <v>46080</v>
      </c>
      <c r="J307" s="6">
        <v>0</v>
      </c>
      <c r="K307" s="43">
        <f>VLOOKUP(Tabla1[[#This Row],[PAGO DIA]],DIAS!A:C,3,0)</f>
        <v>46112</v>
      </c>
      <c r="L307" s="6">
        <v>0</v>
      </c>
      <c r="M307" s="41">
        <f>VLOOKUP(Tabla1[[#This Row],[PAGO DIA]],DIAS!A:D,4,0)</f>
        <v>46142</v>
      </c>
      <c r="N307" s="6">
        <v>0</v>
      </c>
      <c r="O307" s="43">
        <f>VLOOKUP(Tabla1[[#This Row],[PAGO DIA]],DIAS!A:E,5,0)</f>
        <v>46171</v>
      </c>
      <c r="P307" s="6">
        <v>0</v>
      </c>
      <c r="Q307" s="43">
        <f>VLOOKUP(Tabla1[[#This Row],[PAGO DIA]],DIAS!A:F,6,0)</f>
        <v>46203</v>
      </c>
      <c r="R307" s="6">
        <v>0</v>
      </c>
      <c r="S307" s="43">
        <f>VLOOKUP(Tabla1[[#This Row],[PAGO DIA]],DIAS!A:G,7,0)</f>
        <v>46234</v>
      </c>
      <c r="T307" s="6">
        <v>0</v>
      </c>
      <c r="U307" s="43">
        <f>VLOOKUP(Tabla1[[#This Row],[PAGO DIA]],DIAS!A:H,8,0)</f>
        <v>46265</v>
      </c>
      <c r="V307" s="6">
        <v>0</v>
      </c>
      <c r="W307" s="43">
        <f>VLOOKUP(Tabla1[[#This Row],[PAGO DIA]],DIAS!A:I,9,0)</f>
        <v>46295</v>
      </c>
      <c r="X307" s="6">
        <v>0</v>
      </c>
      <c r="Y307" s="43">
        <f>VLOOKUP(Tabla1[[#This Row],[PAGO DIA]],DIAS!A:J,10,0)</f>
        <v>46325</v>
      </c>
      <c r="Z307" s="6">
        <v>0</v>
      </c>
      <c r="AA307" s="43">
        <f>VLOOKUP(Tabla1[[#This Row],[PAGO DIA]],DIAS!A:K,11,0)</f>
        <v>46356</v>
      </c>
      <c r="AB307" s="6">
        <v>0</v>
      </c>
      <c r="AC307" s="43">
        <f>VLOOKUP(Tabla1[[#This Row],[PAGO DIA]],DIAS!A:M,12,0)</f>
        <v>46386</v>
      </c>
      <c r="AD3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8" spans="1:30">
      <c r="A308" s="3">
        <v>11532</v>
      </c>
      <c r="B308" s="3" t="s">
        <v>575</v>
      </c>
      <c r="C308" s="3" t="s">
        <v>540</v>
      </c>
      <c r="D308" s="3" t="s">
        <v>540</v>
      </c>
      <c r="E308" s="3" t="s">
        <v>914</v>
      </c>
      <c r="F308" s="42" t="s">
        <v>631</v>
      </c>
      <c r="G308" s="3" t="s">
        <v>921</v>
      </c>
      <c r="H308" s="6">
        <v>0</v>
      </c>
      <c r="I308" s="41">
        <f>VLOOKUP(Tabla1[[#This Row],[PAGO DIA]],DIAS!A:B,2,0)</f>
        <v>46080</v>
      </c>
      <c r="J308" s="6">
        <v>0</v>
      </c>
      <c r="K308" s="43">
        <f>VLOOKUP(Tabla1[[#This Row],[PAGO DIA]],DIAS!A:C,3,0)</f>
        <v>46112</v>
      </c>
      <c r="L308" s="6">
        <v>0</v>
      </c>
      <c r="M308" s="41">
        <f>VLOOKUP(Tabla1[[#This Row],[PAGO DIA]],DIAS!A:D,4,0)</f>
        <v>46142</v>
      </c>
      <c r="N308" s="6">
        <v>0</v>
      </c>
      <c r="O308" s="43">
        <f>VLOOKUP(Tabla1[[#This Row],[PAGO DIA]],DIAS!A:E,5,0)</f>
        <v>46171</v>
      </c>
      <c r="P308" s="6">
        <v>0</v>
      </c>
      <c r="Q308" s="43">
        <f>VLOOKUP(Tabla1[[#This Row],[PAGO DIA]],DIAS!A:F,6,0)</f>
        <v>46203</v>
      </c>
      <c r="R308" s="6">
        <v>0</v>
      </c>
      <c r="S308" s="43">
        <f>VLOOKUP(Tabla1[[#This Row],[PAGO DIA]],DIAS!A:G,7,0)</f>
        <v>46234</v>
      </c>
      <c r="T308" s="6">
        <v>0</v>
      </c>
      <c r="U308" s="43">
        <f>VLOOKUP(Tabla1[[#This Row],[PAGO DIA]],DIAS!A:H,8,0)</f>
        <v>46265</v>
      </c>
      <c r="V308" s="6">
        <v>0</v>
      </c>
      <c r="W308" s="43">
        <f>VLOOKUP(Tabla1[[#This Row],[PAGO DIA]],DIAS!A:I,9,0)</f>
        <v>46295</v>
      </c>
      <c r="X308" s="6">
        <v>0</v>
      </c>
      <c r="Y308" s="43">
        <f>VLOOKUP(Tabla1[[#This Row],[PAGO DIA]],DIAS!A:J,10,0)</f>
        <v>46325</v>
      </c>
      <c r="Z308" s="6">
        <v>0</v>
      </c>
      <c r="AA308" s="43">
        <f>VLOOKUP(Tabla1[[#This Row],[PAGO DIA]],DIAS!A:K,11,0)</f>
        <v>46356</v>
      </c>
      <c r="AB308" s="6">
        <v>0</v>
      </c>
      <c r="AC308" s="43">
        <f>VLOOKUP(Tabla1[[#This Row],[PAGO DIA]],DIAS!A:M,12,0)</f>
        <v>46386</v>
      </c>
      <c r="AD3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09" spans="1:30">
      <c r="A309" s="3">
        <v>12684</v>
      </c>
      <c r="B309" s="3" t="s">
        <v>575</v>
      </c>
      <c r="C309" s="3" t="s">
        <v>576</v>
      </c>
      <c r="D309" s="3" t="s">
        <v>540</v>
      </c>
      <c r="E309" s="3" t="s">
        <v>922</v>
      </c>
      <c r="F309" s="42" t="s">
        <v>631</v>
      </c>
      <c r="G309" s="3" t="s">
        <v>923</v>
      </c>
      <c r="H309" s="6">
        <v>0</v>
      </c>
      <c r="I309" s="41">
        <f>VLOOKUP(Tabla1[[#This Row],[PAGO DIA]],DIAS!A:B,2,0)</f>
        <v>46080</v>
      </c>
      <c r="J309" s="6">
        <v>0</v>
      </c>
      <c r="K309" s="43">
        <f>VLOOKUP(Tabla1[[#This Row],[PAGO DIA]],DIAS!A:C,3,0)</f>
        <v>46112</v>
      </c>
      <c r="L309" s="6">
        <v>0</v>
      </c>
      <c r="M309" s="41">
        <f>VLOOKUP(Tabla1[[#This Row],[PAGO DIA]],DIAS!A:D,4,0)</f>
        <v>46142</v>
      </c>
      <c r="N309" s="6">
        <v>0</v>
      </c>
      <c r="O309" s="43">
        <f>VLOOKUP(Tabla1[[#This Row],[PAGO DIA]],DIAS!A:E,5,0)</f>
        <v>46171</v>
      </c>
      <c r="P309" s="6">
        <v>0</v>
      </c>
      <c r="Q309" s="43">
        <f>VLOOKUP(Tabla1[[#This Row],[PAGO DIA]],DIAS!A:F,6,0)</f>
        <v>46203</v>
      </c>
      <c r="R309" s="6">
        <v>0</v>
      </c>
      <c r="S309" s="43">
        <f>VLOOKUP(Tabla1[[#This Row],[PAGO DIA]],DIAS!A:G,7,0)</f>
        <v>46234</v>
      </c>
      <c r="T309" s="6">
        <v>0</v>
      </c>
      <c r="U309" s="43">
        <f>VLOOKUP(Tabla1[[#This Row],[PAGO DIA]],DIAS!A:H,8,0)</f>
        <v>46265</v>
      </c>
      <c r="V309" s="6">
        <v>0</v>
      </c>
      <c r="W309" s="43">
        <f>VLOOKUP(Tabla1[[#This Row],[PAGO DIA]],DIAS!A:I,9,0)</f>
        <v>46295</v>
      </c>
      <c r="X309" s="6">
        <v>0</v>
      </c>
      <c r="Y309" s="43">
        <f>VLOOKUP(Tabla1[[#This Row],[PAGO DIA]],DIAS!A:J,10,0)</f>
        <v>46325</v>
      </c>
      <c r="Z309" s="6">
        <v>0</v>
      </c>
      <c r="AA309" s="43">
        <f>VLOOKUP(Tabla1[[#This Row],[PAGO DIA]],DIAS!A:K,11,0)</f>
        <v>46356</v>
      </c>
      <c r="AB309" s="6">
        <v>0</v>
      </c>
      <c r="AC309" s="43">
        <f>VLOOKUP(Tabla1[[#This Row],[PAGO DIA]],DIAS!A:M,12,0)</f>
        <v>46386</v>
      </c>
      <c r="AD3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0" spans="1:30">
      <c r="A310" s="3">
        <v>12785</v>
      </c>
      <c r="B310" s="3" t="s">
        <v>575</v>
      </c>
      <c r="C310" s="3" t="s">
        <v>576</v>
      </c>
      <c r="D310" s="3" t="s">
        <v>540</v>
      </c>
      <c r="E310" s="3" t="s">
        <v>924</v>
      </c>
      <c r="F310" s="42" t="s">
        <v>631</v>
      </c>
      <c r="G310" s="3" t="s">
        <v>925</v>
      </c>
      <c r="H310" s="6">
        <v>0</v>
      </c>
      <c r="I310" s="41">
        <f>VLOOKUP(Tabla1[[#This Row],[PAGO DIA]],DIAS!A:B,2,0)</f>
        <v>46080</v>
      </c>
      <c r="J310" s="6">
        <v>0</v>
      </c>
      <c r="K310" s="43">
        <f>VLOOKUP(Tabla1[[#This Row],[PAGO DIA]],DIAS!A:C,3,0)</f>
        <v>46112</v>
      </c>
      <c r="L310" s="6">
        <v>0</v>
      </c>
      <c r="M310" s="41">
        <f>VLOOKUP(Tabla1[[#This Row],[PAGO DIA]],DIAS!A:D,4,0)</f>
        <v>46142</v>
      </c>
      <c r="N310" s="6">
        <v>0</v>
      </c>
      <c r="O310" s="43">
        <f>VLOOKUP(Tabla1[[#This Row],[PAGO DIA]],DIAS!A:E,5,0)</f>
        <v>46171</v>
      </c>
      <c r="P310" s="6">
        <v>0</v>
      </c>
      <c r="Q310" s="43">
        <f>VLOOKUP(Tabla1[[#This Row],[PAGO DIA]],DIAS!A:F,6,0)</f>
        <v>46203</v>
      </c>
      <c r="R310" s="6">
        <v>0</v>
      </c>
      <c r="S310" s="43">
        <f>VLOOKUP(Tabla1[[#This Row],[PAGO DIA]],DIAS!A:G,7,0)</f>
        <v>46234</v>
      </c>
      <c r="T310" s="6">
        <v>0</v>
      </c>
      <c r="U310" s="43">
        <f>VLOOKUP(Tabla1[[#This Row],[PAGO DIA]],DIAS!A:H,8,0)</f>
        <v>46265</v>
      </c>
      <c r="V310" s="6">
        <v>0</v>
      </c>
      <c r="W310" s="43">
        <f>VLOOKUP(Tabla1[[#This Row],[PAGO DIA]],DIAS!A:I,9,0)</f>
        <v>46295</v>
      </c>
      <c r="X310" s="6">
        <v>0</v>
      </c>
      <c r="Y310" s="43">
        <f>VLOOKUP(Tabla1[[#This Row],[PAGO DIA]],DIAS!A:J,10,0)</f>
        <v>46325</v>
      </c>
      <c r="Z310" s="6">
        <v>0</v>
      </c>
      <c r="AA310" s="43">
        <f>VLOOKUP(Tabla1[[#This Row],[PAGO DIA]],DIAS!A:K,11,0)</f>
        <v>46356</v>
      </c>
      <c r="AB310" s="6">
        <v>0</v>
      </c>
      <c r="AC310" s="43">
        <f>VLOOKUP(Tabla1[[#This Row],[PAGO DIA]],DIAS!A:M,12,0)</f>
        <v>46386</v>
      </c>
      <c r="AD3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1" spans="1:30">
      <c r="A311" s="3">
        <v>12794</v>
      </c>
      <c r="B311" s="3" t="s">
        <v>575</v>
      </c>
      <c r="C311" s="3" t="s">
        <v>576</v>
      </c>
      <c r="D311" s="3" t="s">
        <v>540</v>
      </c>
      <c r="E311" s="3" t="s">
        <v>924</v>
      </c>
      <c r="F311" s="42" t="s">
        <v>631</v>
      </c>
      <c r="G311" s="3" t="s">
        <v>926</v>
      </c>
      <c r="H311" s="6">
        <v>0</v>
      </c>
      <c r="I311" s="41">
        <f>VLOOKUP(Tabla1[[#This Row],[PAGO DIA]],DIAS!A:B,2,0)</f>
        <v>46080</v>
      </c>
      <c r="J311" s="6">
        <v>0</v>
      </c>
      <c r="K311" s="43">
        <f>VLOOKUP(Tabla1[[#This Row],[PAGO DIA]],DIAS!A:C,3,0)</f>
        <v>46112</v>
      </c>
      <c r="L311" s="6">
        <v>0</v>
      </c>
      <c r="M311" s="41">
        <f>VLOOKUP(Tabla1[[#This Row],[PAGO DIA]],DIAS!A:D,4,0)</f>
        <v>46142</v>
      </c>
      <c r="N311" s="6">
        <v>0</v>
      </c>
      <c r="O311" s="43">
        <f>VLOOKUP(Tabla1[[#This Row],[PAGO DIA]],DIAS!A:E,5,0)</f>
        <v>46171</v>
      </c>
      <c r="P311" s="6">
        <v>0</v>
      </c>
      <c r="Q311" s="43">
        <f>VLOOKUP(Tabla1[[#This Row],[PAGO DIA]],DIAS!A:F,6,0)</f>
        <v>46203</v>
      </c>
      <c r="R311" s="6">
        <v>0</v>
      </c>
      <c r="S311" s="43">
        <f>VLOOKUP(Tabla1[[#This Row],[PAGO DIA]],DIAS!A:G,7,0)</f>
        <v>46234</v>
      </c>
      <c r="T311" s="6">
        <v>0</v>
      </c>
      <c r="U311" s="43">
        <f>VLOOKUP(Tabla1[[#This Row],[PAGO DIA]],DIAS!A:H,8,0)</f>
        <v>46265</v>
      </c>
      <c r="V311" s="6">
        <v>0</v>
      </c>
      <c r="W311" s="43">
        <f>VLOOKUP(Tabla1[[#This Row],[PAGO DIA]],DIAS!A:I,9,0)</f>
        <v>46295</v>
      </c>
      <c r="X311" s="6">
        <v>0</v>
      </c>
      <c r="Y311" s="43">
        <f>VLOOKUP(Tabla1[[#This Row],[PAGO DIA]],DIAS!A:J,10,0)</f>
        <v>46325</v>
      </c>
      <c r="Z311" s="6">
        <v>0</v>
      </c>
      <c r="AA311" s="43">
        <f>VLOOKUP(Tabla1[[#This Row],[PAGO DIA]],DIAS!A:K,11,0)</f>
        <v>46356</v>
      </c>
      <c r="AB311" s="6">
        <v>0</v>
      </c>
      <c r="AC311" s="43">
        <f>VLOOKUP(Tabla1[[#This Row],[PAGO DIA]],DIAS!A:M,12,0)</f>
        <v>46386</v>
      </c>
      <c r="AD3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2" spans="1:30">
      <c r="A312" s="3">
        <v>11534</v>
      </c>
      <c r="B312" s="3" t="s">
        <v>575</v>
      </c>
      <c r="C312" s="3" t="s">
        <v>540</v>
      </c>
      <c r="D312" s="3" t="s">
        <v>540</v>
      </c>
      <c r="E312" s="3" t="s">
        <v>927</v>
      </c>
      <c r="F312" s="42" t="s">
        <v>631</v>
      </c>
      <c r="G312" s="3" t="s">
        <v>928</v>
      </c>
      <c r="H312" s="6">
        <v>0</v>
      </c>
      <c r="I312" s="41">
        <f>VLOOKUP(Tabla1[[#This Row],[PAGO DIA]],DIAS!A:B,2,0)</f>
        <v>46080</v>
      </c>
      <c r="J312" s="6">
        <v>0</v>
      </c>
      <c r="K312" s="43">
        <f>VLOOKUP(Tabla1[[#This Row],[PAGO DIA]],DIAS!A:C,3,0)</f>
        <v>46112</v>
      </c>
      <c r="L312" s="6">
        <v>0</v>
      </c>
      <c r="M312" s="41">
        <f>VLOOKUP(Tabla1[[#This Row],[PAGO DIA]],DIAS!A:D,4,0)</f>
        <v>46142</v>
      </c>
      <c r="N312" s="6">
        <v>0</v>
      </c>
      <c r="O312" s="43">
        <f>VLOOKUP(Tabla1[[#This Row],[PAGO DIA]],DIAS!A:E,5,0)</f>
        <v>46171</v>
      </c>
      <c r="P312" s="6">
        <v>0</v>
      </c>
      <c r="Q312" s="43">
        <f>VLOOKUP(Tabla1[[#This Row],[PAGO DIA]],DIAS!A:F,6,0)</f>
        <v>46203</v>
      </c>
      <c r="R312" s="6">
        <v>0</v>
      </c>
      <c r="S312" s="43">
        <f>VLOOKUP(Tabla1[[#This Row],[PAGO DIA]],DIAS!A:G,7,0)</f>
        <v>46234</v>
      </c>
      <c r="T312" s="6">
        <v>0</v>
      </c>
      <c r="U312" s="43">
        <f>VLOOKUP(Tabla1[[#This Row],[PAGO DIA]],DIAS!A:H,8,0)</f>
        <v>46265</v>
      </c>
      <c r="V312" s="6">
        <v>0</v>
      </c>
      <c r="W312" s="43">
        <f>VLOOKUP(Tabla1[[#This Row],[PAGO DIA]],DIAS!A:I,9,0)</f>
        <v>46295</v>
      </c>
      <c r="X312" s="6">
        <v>0</v>
      </c>
      <c r="Y312" s="43">
        <f>VLOOKUP(Tabla1[[#This Row],[PAGO DIA]],DIAS!A:J,10,0)</f>
        <v>46325</v>
      </c>
      <c r="Z312" s="6">
        <v>0</v>
      </c>
      <c r="AA312" s="43">
        <f>VLOOKUP(Tabla1[[#This Row],[PAGO DIA]],DIAS!A:K,11,0)</f>
        <v>46356</v>
      </c>
      <c r="AB312" s="6">
        <v>0</v>
      </c>
      <c r="AC312" s="43">
        <f>VLOOKUP(Tabla1[[#This Row],[PAGO DIA]],DIAS!A:M,12,0)</f>
        <v>46386</v>
      </c>
      <c r="AD3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3" spans="1:30">
      <c r="A313" s="3">
        <v>11535</v>
      </c>
      <c r="B313" s="3" t="s">
        <v>575</v>
      </c>
      <c r="C313" s="3" t="s">
        <v>540</v>
      </c>
      <c r="D313" s="3" t="s">
        <v>540</v>
      </c>
      <c r="E313" s="3" t="s">
        <v>927</v>
      </c>
      <c r="F313" s="42" t="s">
        <v>631</v>
      </c>
      <c r="G313" s="3" t="s">
        <v>929</v>
      </c>
      <c r="H313" s="6">
        <v>0</v>
      </c>
      <c r="I313" s="41">
        <f>VLOOKUP(Tabla1[[#This Row],[PAGO DIA]],DIAS!A:B,2,0)</f>
        <v>46080</v>
      </c>
      <c r="J313" s="6">
        <v>0</v>
      </c>
      <c r="K313" s="43">
        <f>VLOOKUP(Tabla1[[#This Row],[PAGO DIA]],DIAS!A:C,3,0)</f>
        <v>46112</v>
      </c>
      <c r="L313" s="6">
        <v>0</v>
      </c>
      <c r="M313" s="41">
        <f>VLOOKUP(Tabla1[[#This Row],[PAGO DIA]],DIAS!A:D,4,0)</f>
        <v>46142</v>
      </c>
      <c r="N313" s="6">
        <v>0</v>
      </c>
      <c r="O313" s="43">
        <f>VLOOKUP(Tabla1[[#This Row],[PAGO DIA]],DIAS!A:E,5,0)</f>
        <v>46171</v>
      </c>
      <c r="P313" s="6">
        <v>0</v>
      </c>
      <c r="Q313" s="43">
        <f>VLOOKUP(Tabla1[[#This Row],[PAGO DIA]],DIAS!A:F,6,0)</f>
        <v>46203</v>
      </c>
      <c r="R313" s="6">
        <v>0</v>
      </c>
      <c r="S313" s="43">
        <f>VLOOKUP(Tabla1[[#This Row],[PAGO DIA]],DIAS!A:G,7,0)</f>
        <v>46234</v>
      </c>
      <c r="T313" s="6">
        <v>0</v>
      </c>
      <c r="U313" s="43">
        <f>VLOOKUP(Tabla1[[#This Row],[PAGO DIA]],DIAS!A:H,8,0)</f>
        <v>46265</v>
      </c>
      <c r="V313" s="6">
        <v>0</v>
      </c>
      <c r="W313" s="43">
        <f>VLOOKUP(Tabla1[[#This Row],[PAGO DIA]],DIAS!A:I,9,0)</f>
        <v>46295</v>
      </c>
      <c r="X313" s="6">
        <v>0</v>
      </c>
      <c r="Y313" s="43">
        <f>VLOOKUP(Tabla1[[#This Row],[PAGO DIA]],DIAS!A:J,10,0)</f>
        <v>46325</v>
      </c>
      <c r="Z313" s="6">
        <v>0</v>
      </c>
      <c r="AA313" s="43">
        <f>VLOOKUP(Tabla1[[#This Row],[PAGO DIA]],DIAS!A:K,11,0)</f>
        <v>46356</v>
      </c>
      <c r="AB313" s="6">
        <v>0</v>
      </c>
      <c r="AC313" s="43">
        <f>VLOOKUP(Tabla1[[#This Row],[PAGO DIA]],DIAS!A:M,12,0)</f>
        <v>46386</v>
      </c>
      <c r="AD3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4" spans="1:30">
      <c r="A314" s="3">
        <v>12780</v>
      </c>
      <c r="B314" s="3" t="s">
        <v>575</v>
      </c>
      <c r="C314" s="3" t="s">
        <v>576</v>
      </c>
      <c r="D314" s="3" t="s">
        <v>540</v>
      </c>
      <c r="E314" s="3" t="s">
        <v>930</v>
      </c>
      <c r="F314" s="42" t="s">
        <v>631</v>
      </c>
      <c r="G314" s="3" t="s">
        <v>931</v>
      </c>
      <c r="H314" s="6">
        <v>0</v>
      </c>
      <c r="I314" s="41">
        <f>VLOOKUP(Tabla1[[#This Row],[PAGO DIA]],DIAS!A:B,2,0)</f>
        <v>46080</v>
      </c>
      <c r="J314" s="6">
        <v>0</v>
      </c>
      <c r="K314" s="43">
        <f>VLOOKUP(Tabla1[[#This Row],[PAGO DIA]],DIAS!A:C,3,0)</f>
        <v>46112</v>
      </c>
      <c r="L314" s="6">
        <v>0</v>
      </c>
      <c r="M314" s="41">
        <f>VLOOKUP(Tabla1[[#This Row],[PAGO DIA]],DIAS!A:D,4,0)</f>
        <v>46142</v>
      </c>
      <c r="N314" s="6">
        <v>0</v>
      </c>
      <c r="O314" s="43">
        <f>VLOOKUP(Tabla1[[#This Row],[PAGO DIA]],DIAS!A:E,5,0)</f>
        <v>46171</v>
      </c>
      <c r="P314" s="6">
        <v>0</v>
      </c>
      <c r="Q314" s="43">
        <f>VLOOKUP(Tabla1[[#This Row],[PAGO DIA]],DIAS!A:F,6,0)</f>
        <v>46203</v>
      </c>
      <c r="R314" s="6">
        <v>0</v>
      </c>
      <c r="S314" s="43">
        <f>VLOOKUP(Tabla1[[#This Row],[PAGO DIA]],DIAS!A:G,7,0)</f>
        <v>46234</v>
      </c>
      <c r="T314" s="6">
        <v>0</v>
      </c>
      <c r="U314" s="43">
        <f>VLOOKUP(Tabla1[[#This Row],[PAGO DIA]],DIAS!A:H,8,0)</f>
        <v>46265</v>
      </c>
      <c r="V314" s="6">
        <v>0</v>
      </c>
      <c r="W314" s="43">
        <f>VLOOKUP(Tabla1[[#This Row],[PAGO DIA]],DIAS!A:I,9,0)</f>
        <v>46295</v>
      </c>
      <c r="X314" s="6">
        <v>0</v>
      </c>
      <c r="Y314" s="43">
        <f>VLOOKUP(Tabla1[[#This Row],[PAGO DIA]],DIAS!A:J,10,0)</f>
        <v>46325</v>
      </c>
      <c r="Z314" s="6">
        <v>0</v>
      </c>
      <c r="AA314" s="43">
        <f>VLOOKUP(Tabla1[[#This Row],[PAGO DIA]],DIAS!A:K,11,0)</f>
        <v>46356</v>
      </c>
      <c r="AB314" s="6">
        <v>0</v>
      </c>
      <c r="AC314" s="43">
        <f>VLOOKUP(Tabla1[[#This Row],[PAGO DIA]],DIAS!A:M,12,0)</f>
        <v>46386</v>
      </c>
      <c r="AD3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5" spans="1:30">
      <c r="A315" s="3">
        <v>12584</v>
      </c>
      <c r="B315" s="3" t="s">
        <v>575</v>
      </c>
      <c r="C315" s="3" t="s">
        <v>576</v>
      </c>
      <c r="D315" s="3" t="s">
        <v>540</v>
      </c>
      <c r="E315" s="3" t="s">
        <v>577</v>
      </c>
      <c r="F315" s="42" t="s">
        <v>631</v>
      </c>
      <c r="G315" s="3" t="s">
        <v>932</v>
      </c>
      <c r="H315" s="6">
        <v>0</v>
      </c>
      <c r="I315" s="41">
        <f>VLOOKUP(Tabla1[[#This Row],[PAGO DIA]],DIAS!A:B,2,0)</f>
        <v>46080</v>
      </c>
      <c r="J315" s="6">
        <v>0</v>
      </c>
      <c r="K315" s="43">
        <f>VLOOKUP(Tabla1[[#This Row],[PAGO DIA]],DIAS!A:C,3,0)</f>
        <v>46112</v>
      </c>
      <c r="L315" s="6">
        <v>0</v>
      </c>
      <c r="M315" s="41">
        <f>VLOOKUP(Tabla1[[#This Row],[PAGO DIA]],DIAS!A:D,4,0)</f>
        <v>46142</v>
      </c>
      <c r="N315" s="6">
        <v>0</v>
      </c>
      <c r="O315" s="43">
        <f>VLOOKUP(Tabla1[[#This Row],[PAGO DIA]],DIAS!A:E,5,0)</f>
        <v>46171</v>
      </c>
      <c r="P315" s="6">
        <v>0</v>
      </c>
      <c r="Q315" s="43">
        <f>VLOOKUP(Tabla1[[#This Row],[PAGO DIA]],DIAS!A:F,6,0)</f>
        <v>46203</v>
      </c>
      <c r="R315" s="6">
        <v>0</v>
      </c>
      <c r="S315" s="43">
        <f>VLOOKUP(Tabla1[[#This Row],[PAGO DIA]],DIAS!A:G,7,0)</f>
        <v>46234</v>
      </c>
      <c r="T315" s="6">
        <v>0</v>
      </c>
      <c r="U315" s="43">
        <f>VLOOKUP(Tabla1[[#This Row],[PAGO DIA]],DIAS!A:H,8,0)</f>
        <v>46265</v>
      </c>
      <c r="V315" s="6">
        <v>0</v>
      </c>
      <c r="W315" s="43">
        <f>VLOOKUP(Tabla1[[#This Row],[PAGO DIA]],DIAS!A:I,9,0)</f>
        <v>46295</v>
      </c>
      <c r="X315" s="6">
        <v>0</v>
      </c>
      <c r="Y315" s="43">
        <f>VLOOKUP(Tabla1[[#This Row],[PAGO DIA]],DIAS!A:J,10,0)</f>
        <v>46325</v>
      </c>
      <c r="Z315" s="6">
        <v>0</v>
      </c>
      <c r="AA315" s="43">
        <f>VLOOKUP(Tabla1[[#This Row],[PAGO DIA]],DIAS!A:K,11,0)</f>
        <v>46356</v>
      </c>
      <c r="AB315" s="6">
        <v>0</v>
      </c>
      <c r="AC315" s="43">
        <f>VLOOKUP(Tabla1[[#This Row],[PAGO DIA]],DIAS!A:M,12,0)</f>
        <v>46386</v>
      </c>
      <c r="AD3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6" spans="1:30">
      <c r="A316" s="3">
        <v>12619</v>
      </c>
      <c r="B316" s="3" t="s">
        <v>575</v>
      </c>
      <c r="C316" s="3" t="s">
        <v>576</v>
      </c>
      <c r="D316" s="3" t="s">
        <v>540</v>
      </c>
      <c r="E316" s="3" t="s">
        <v>577</v>
      </c>
      <c r="F316" s="42" t="s">
        <v>631</v>
      </c>
      <c r="G316" s="3" t="s">
        <v>933</v>
      </c>
      <c r="H316" s="6">
        <v>0</v>
      </c>
      <c r="I316" s="41">
        <f>VLOOKUP(Tabla1[[#This Row],[PAGO DIA]],DIAS!A:B,2,0)</f>
        <v>46080</v>
      </c>
      <c r="J316" s="6">
        <v>0</v>
      </c>
      <c r="K316" s="43">
        <f>VLOOKUP(Tabla1[[#This Row],[PAGO DIA]],DIAS!A:C,3,0)</f>
        <v>46112</v>
      </c>
      <c r="L316" s="6">
        <v>0</v>
      </c>
      <c r="M316" s="41">
        <f>VLOOKUP(Tabla1[[#This Row],[PAGO DIA]],DIAS!A:D,4,0)</f>
        <v>46142</v>
      </c>
      <c r="N316" s="6">
        <v>0</v>
      </c>
      <c r="O316" s="43">
        <f>VLOOKUP(Tabla1[[#This Row],[PAGO DIA]],DIAS!A:E,5,0)</f>
        <v>46171</v>
      </c>
      <c r="P316" s="6">
        <v>0</v>
      </c>
      <c r="Q316" s="43">
        <f>VLOOKUP(Tabla1[[#This Row],[PAGO DIA]],DIAS!A:F,6,0)</f>
        <v>46203</v>
      </c>
      <c r="R316" s="6">
        <v>0</v>
      </c>
      <c r="S316" s="43">
        <f>VLOOKUP(Tabla1[[#This Row],[PAGO DIA]],DIAS!A:G,7,0)</f>
        <v>46234</v>
      </c>
      <c r="T316" s="6">
        <v>0</v>
      </c>
      <c r="U316" s="43">
        <f>VLOOKUP(Tabla1[[#This Row],[PAGO DIA]],DIAS!A:H,8,0)</f>
        <v>46265</v>
      </c>
      <c r="V316" s="6">
        <v>0</v>
      </c>
      <c r="W316" s="43">
        <f>VLOOKUP(Tabla1[[#This Row],[PAGO DIA]],DIAS!A:I,9,0)</f>
        <v>46295</v>
      </c>
      <c r="X316" s="6">
        <v>0</v>
      </c>
      <c r="Y316" s="43">
        <f>VLOOKUP(Tabla1[[#This Row],[PAGO DIA]],DIAS!A:J,10,0)</f>
        <v>46325</v>
      </c>
      <c r="Z316" s="6">
        <v>0</v>
      </c>
      <c r="AA316" s="43">
        <f>VLOOKUP(Tabla1[[#This Row],[PAGO DIA]],DIAS!A:K,11,0)</f>
        <v>46356</v>
      </c>
      <c r="AB316" s="6">
        <v>0</v>
      </c>
      <c r="AC316" s="43">
        <f>VLOOKUP(Tabla1[[#This Row],[PAGO DIA]],DIAS!A:M,12,0)</f>
        <v>46386</v>
      </c>
      <c r="AD3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7" spans="1:30">
      <c r="A317" s="3">
        <v>12629</v>
      </c>
      <c r="B317" s="3" t="s">
        <v>575</v>
      </c>
      <c r="C317" s="3" t="s">
        <v>576</v>
      </c>
      <c r="D317" s="3" t="s">
        <v>540</v>
      </c>
      <c r="E317" s="3" t="s">
        <v>577</v>
      </c>
      <c r="F317" s="42" t="s">
        <v>631</v>
      </c>
      <c r="G317" s="3" t="s">
        <v>934</v>
      </c>
      <c r="H317" s="6">
        <v>0</v>
      </c>
      <c r="I317" s="41">
        <f>VLOOKUP(Tabla1[[#This Row],[PAGO DIA]],DIAS!A:B,2,0)</f>
        <v>46080</v>
      </c>
      <c r="J317" s="6">
        <v>0</v>
      </c>
      <c r="K317" s="43">
        <f>VLOOKUP(Tabla1[[#This Row],[PAGO DIA]],DIAS!A:C,3,0)</f>
        <v>46112</v>
      </c>
      <c r="L317" s="6">
        <v>0</v>
      </c>
      <c r="M317" s="41">
        <f>VLOOKUP(Tabla1[[#This Row],[PAGO DIA]],DIAS!A:D,4,0)</f>
        <v>46142</v>
      </c>
      <c r="N317" s="6">
        <v>0</v>
      </c>
      <c r="O317" s="43">
        <f>VLOOKUP(Tabla1[[#This Row],[PAGO DIA]],DIAS!A:E,5,0)</f>
        <v>46171</v>
      </c>
      <c r="P317" s="6">
        <v>0</v>
      </c>
      <c r="Q317" s="43">
        <f>VLOOKUP(Tabla1[[#This Row],[PAGO DIA]],DIAS!A:F,6,0)</f>
        <v>46203</v>
      </c>
      <c r="R317" s="6">
        <v>0</v>
      </c>
      <c r="S317" s="43">
        <f>VLOOKUP(Tabla1[[#This Row],[PAGO DIA]],DIAS!A:G,7,0)</f>
        <v>46234</v>
      </c>
      <c r="T317" s="6">
        <v>0</v>
      </c>
      <c r="U317" s="43">
        <f>VLOOKUP(Tabla1[[#This Row],[PAGO DIA]],DIAS!A:H,8,0)</f>
        <v>46265</v>
      </c>
      <c r="V317" s="6">
        <v>0</v>
      </c>
      <c r="W317" s="43">
        <f>VLOOKUP(Tabla1[[#This Row],[PAGO DIA]],DIAS!A:I,9,0)</f>
        <v>46295</v>
      </c>
      <c r="X317" s="6">
        <v>0</v>
      </c>
      <c r="Y317" s="43">
        <f>VLOOKUP(Tabla1[[#This Row],[PAGO DIA]],DIAS!A:J,10,0)</f>
        <v>46325</v>
      </c>
      <c r="Z317" s="6">
        <v>0</v>
      </c>
      <c r="AA317" s="43">
        <f>VLOOKUP(Tabla1[[#This Row],[PAGO DIA]],DIAS!A:K,11,0)</f>
        <v>46356</v>
      </c>
      <c r="AB317" s="6">
        <v>0</v>
      </c>
      <c r="AC317" s="43">
        <f>VLOOKUP(Tabla1[[#This Row],[PAGO DIA]],DIAS!A:M,12,0)</f>
        <v>46386</v>
      </c>
      <c r="AD3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8" spans="1:30">
      <c r="A318" s="3">
        <v>12644</v>
      </c>
      <c r="B318" s="3" t="s">
        <v>575</v>
      </c>
      <c r="C318" s="3" t="s">
        <v>576</v>
      </c>
      <c r="D318" s="3" t="s">
        <v>540</v>
      </c>
      <c r="E318" s="3" t="s">
        <v>577</v>
      </c>
      <c r="F318" s="42" t="s">
        <v>631</v>
      </c>
      <c r="G318" s="3" t="s">
        <v>935</v>
      </c>
      <c r="H318" s="6">
        <v>0</v>
      </c>
      <c r="I318" s="41">
        <f>VLOOKUP(Tabla1[[#This Row],[PAGO DIA]],DIAS!A:B,2,0)</f>
        <v>46080</v>
      </c>
      <c r="J318" s="6">
        <v>0</v>
      </c>
      <c r="K318" s="43">
        <f>VLOOKUP(Tabla1[[#This Row],[PAGO DIA]],DIAS!A:C,3,0)</f>
        <v>46112</v>
      </c>
      <c r="L318" s="6">
        <v>0</v>
      </c>
      <c r="M318" s="41">
        <f>VLOOKUP(Tabla1[[#This Row],[PAGO DIA]],DIAS!A:D,4,0)</f>
        <v>46142</v>
      </c>
      <c r="N318" s="6">
        <v>0</v>
      </c>
      <c r="O318" s="43">
        <f>VLOOKUP(Tabla1[[#This Row],[PAGO DIA]],DIAS!A:E,5,0)</f>
        <v>46171</v>
      </c>
      <c r="P318" s="6">
        <v>0</v>
      </c>
      <c r="Q318" s="43">
        <f>VLOOKUP(Tabla1[[#This Row],[PAGO DIA]],DIAS!A:F,6,0)</f>
        <v>46203</v>
      </c>
      <c r="R318" s="6">
        <v>0</v>
      </c>
      <c r="S318" s="43">
        <f>VLOOKUP(Tabla1[[#This Row],[PAGO DIA]],DIAS!A:G,7,0)</f>
        <v>46234</v>
      </c>
      <c r="T318" s="6">
        <v>0</v>
      </c>
      <c r="U318" s="43">
        <f>VLOOKUP(Tabla1[[#This Row],[PAGO DIA]],DIAS!A:H,8,0)</f>
        <v>46265</v>
      </c>
      <c r="V318" s="6">
        <v>0</v>
      </c>
      <c r="W318" s="43">
        <f>VLOOKUP(Tabla1[[#This Row],[PAGO DIA]],DIAS!A:I,9,0)</f>
        <v>46295</v>
      </c>
      <c r="X318" s="6">
        <v>0</v>
      </c>
      <c r="Y318" s="43">
        <f>VLOOKUP(Tabla1[[#This Row],[PAGO DIA]],DIAS!A:J,10,0)</f>
        <v>46325</v>
      </c>
      <c r="Z318" s="6">
        <v>0</v>
      </c>
      <c r="AA318" s="43">
        <f>VLOOKUP(Tabla1[[#This Row],[PAGO DIA]],DIAS!A:K,11,0)</f>
        <v>46356</v>
      </c>
      <c r="AB318" s="6">
        <v>0</v>
      </c>
      <c r="AC318" s="43">
        <f>VLOOKUP(Tabla1[[#This Row],[PAGO DIA]],DIAS!A:M,12,0)</f>
        <v>46386</v>
      </c>
      <c r="AD3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19" spans="1:30">
      <c r="A319" s="3">
        <v>12661</v>
      </c>
      <c r="B319" s="3" t="s">
        <v>575</v>
      </c>
      <c r="C319" s="3" t="s">
        <v>576</v>
      </c>
      <c r="D319" s="3" t="s">
        <v>540</v>
      </c>
      <c r="E319" s="3" t="s">
        <v>577</v>
      </c>
      <c r="F319" s="42" t="s">
        <v>631</v>
      </c>
      <c r="G319" s="3" t="s">
        <v>936</v>
      </c>
      <c r="H319" s="6">
        <v>0</v>
      </c>
      <c r="I319" s="41">
        <f>VLOOKUP(Tabla1[[#This Row],[PAGO DIA]],DIAS!A:B,2,0)</f>
        <v>46080</v>
      </c>
      <c r="J319" s="6">
        <v>0</v>
      </c>
      <c r="K319" s="43">
        <f>VLOOKUP(Tabla1[[#This Row],[PAGO DIA]],DIAS!A:C,3,0)</f>
        <v>46112</v>
      </c>
      <c r="L319" s="6">
        <v>0</v>
      </c>
      <c r="M319" s="41">
        <f>VLOOKUP(Tabla1[[#This Row],[PAGO DIA]],DIAS!A:D,4,0)</f>
        <v>46142</v>
      </c>
      <c r="N319" s="6">
        <v>0</v>
      </c>
      <c r="O319" s="43">
        <f>VLOOKUP(Tabla1[[#This Row],[PAGO DIA]],DIAS!A:E,5,0)</f>
        <v>46171</v>
      </c>
      <c r="P319" s="6">
        <v>0</v>
      </c>
      <c r="Q319" s="43">
        <f>VLOOKUP(Tabla1[[#This Row],[PAGO DIA]],DIAS!A:F,6,0)</f>
        <v>46203</v>
      </c>
      <c r="R319" s="6">
        <v>0</v>
      </c>
      <c r="S319" s="43">
        <f>VLOOKUP(Tabla1[[#This Row],[PAGO DIA]],DIAS!A:G,7,0)</f>
        <v>46234</v>
      </c>
      <c r="T319" s="6">
        <v>0</v>
      </c>
      <c r="U319" s="43">
        <f>VLOOKUP(Tabla1[[#This Row],[PAGO DIA]],DIAS!A:H,8,0)</f>
        <v>46265</v>
      </c>
      <c r="V319" s="6">
        <v>0</v>
      </c>
      <c r="W319" s="43">
        <f>VLOOKUP(Tabla1[[#This Row],[PAGO DIA]],DIAS!A:I,9,0)</f>
        <v>46295</v>
      </c>
      <c r="X319" s="6">
        <v>0</v>
      </c>
      <c r="Y319" s="43">
        <f>VLOOKUP(Tabla1[[#This Row],[PAGO DIA]],DIAS!A:J,10,0)</f>
        <v>46325</v>
      </c>
      <c r="Z319" s="6">
        <v>0</v>
      </c>
      <c r="AA319" s="43">
        <f>VLOOKUP(Tabla1[[#This Row],[PAGO DIA]],DIAS!A:K,11,0)</f>
        <v>46356</v>
      </c>
      <c r="AB319" s="6">
        <v>0</v>
      </c>
      <c r="AC319" s="43">
        <f>VLOOKUP(Tabla1[[#This Row],[PAGO DIA]],DIAS!A:M,12,0)</f>
        <v>46386</v>
      </c>
      <c r="AD3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0" spans="1:30">
      <c r="A320" s="3">
        <v>12673</v>
      </c>
      <c r="B320" s="3" t="s">
        <v>575</v>
      </c>
      <c r="C320" s="3" t="s">
        <v>576</v>
      </c>
      <c r="D320" s="3" t="s">
        <v>540</v>
      </c>
      <c r="E320" s="3" t="s">
        <v>577</v>
      </c>
      <c r="F320" s="42" t="s">
        <v>631</v>
      </c>
      <c r="G320" s="3" t="s">
        <v>937</v>
      </c>
      <c r="H320" s="6">
        <v>0</v>
      </c>
      <c r="I320" s="41">
        <f>VLOOKUP(Tabla1[[#This Row],[PAGO DIA]],DIAS!A:B,2,0)</f>
        <v>46080</v>
      </c>
      <c r="J320" s="6">
        <v>0</v>
      </c>
      <c r="K320" s="43">
        <f>VLOOKUP(Tabla1[[#This Row],[PAGO DIA]],DIAS!A:C,3,0)</f>
        <v>46112</v>
      </c>
      <c r="L320" s="6">
        <v>0</v>
      </c>
      <c r="M320" s="41">
        <f>VLOOKUP(Tabla1[[#This Row],[PAGO DIA]],DIAS!A:D,4,0)</f>
        <v>46142</v>
      </c>
      <c r="N320" s="6">
        <v>0</v>
      </c>
      <c r="O320" s="43">
        <f>VLOOKUP(Tabla1[[#This Row],[PAGO DIA]],DIAS!A:E,5,0)</f>
        <v>46171</v>
      </c>
      <c r="P320" s="6">
        <v>0</v>
      </c>
      <c r="Q320" s="43">
        <f>VLOOKUP(Tabla1[[#This Row],[PAGO DIA]],DIAS!A:F,6,0)</f>
        <v>46203</v>
      </c>
      <c r="R320" s="6">
        <v>0</v>
      </c>
      <c r="S320" s="43">
        <f>VLOOKUP(Tabla1[[#This Row],[PAGO DIA]],DIAS!A:G,7,0)</f>
        <v>46234</v>
      </c>
      <c r="T320" s="6">
        <v>0</v>
      </c>
      <c r="U320" s="43">
        <f>VLOOKUP(Tabla1[[#This Row],[PAGO DIA]],DIAS!A:H,8,0)</f>
        <v>46265</v>
      </c>
      <c r="V320" s="6">
        <v>0</v>
      </c>
      <c r="W320" s="43">
        <f>VLOOKUP(Tabla1[[#This Row],[PAGO DIA]],DIAS!A:I,9,0)</f>
        <v>46295</v>
      </c>
      <c r="X320" s="6">
        <v>0</v>
      </c>
      <c r="Y320" s="43">
        <f>VLOOKUP(Tabla1[[#This Row],[PAGO DIA]],DIAS!A:J,10,0)</f>
        <v>46325</v>
      </c>
      <c r="Z320" s="6">
        <v>0</v>
      </c>
      <c r="AA320" s="43">
        <f>VLOOKUP(Tabla1[[#This Row],[PAGO DIA]],DIAS!A:K,11,0)</f>
        <v>46356</v>
      </c>
      <c r="AB320" s="6">
        <v>0</v>
      </c>
      <c r="AC320" s="43">
        <f>VLOOKUP(Tabla1[[#This Row],[PAGO DIA]],DIAS!A:M,12,0)</f>
        <v>46386</v>
      </c>
      <c r="AD3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1" spans="1:30">
      <c r="A321" s="3">
        <v>12681</v>
      </c>
      <c r="B321" s="3" t="s">
        <v>575</v>
      </c>
      <c r="C321" s="3" t="s">
        <v>576</v>
      </c>
      <c r="D321" s="3" t="s">
        <v>540</v>
      </c>
      <c r="E321" s="3" t="s">
        <v>577</v>
      </c>
      <c r="F321" s="42" t="s">
        <v>631</v>
      </c>
      <c r="G321" s="3" t="s">
        <v>938</v>
      </c>
      <c r="H321" s="6">
        <v>0</v>
      </c>
      <c r="I321" s="41">
        <f>VLOOKUP(Tabla1[[#This Row],[PAGO DIA]],DIAS!A:B,2,0)</f>
        <v>46080</v>
      </c>
      <c r="J321" s="6">
        <v>0</v>
      </c>
      <c r="K321" s="43">
        <f>VLOOKUP(Tabla1[[#This Row],[PAGO DIA]],DIAS!A:C,3,0)</f>
        <v>46112</v>
      </c>
      <c r="L321" s="6">
        <v>0</v>
      </c>
      <c r="M321" s="41">
        <f>VLOOKUP(Tabla1[[#This Row],[PAGO DIA]],DIAS!A:D,4,0)</f>
        <v>46142</v>
      </c>
      <c r="N321" s="6">
        <v>0</v>
      </c>
      <c r="O321" s="43">
        <f>VLOOKUP(Tabla1[[#This Row],[PAGO DIA]],DIAS!A:E,5,0)</f>
        <v>46171</v>
      </c>
      <c r="P321" s="6">
        <v>0</v>
      </c>
      <c r="Q321" s="43">
        <f>VLOOKUP(Tabla1[[#This Row],[PAGO DIA]],DIAS!A:F,6,0)</f>
        <v>46203</v>
      </c>
      <c r="R321" s="6">
        <v>0</v>
      </c>
      <c r="S321" s="43">
        <f>VLOOKUP(Tabla1[[#This Row],[PAGO DIA]],DIAS!A:G,7,0)</f>
        <v>46234</v>
      </c>
      <c r="T321" s="6">
        <v>0</v>
      </c>
      <c r="U321" s="43">
        <f>VLOOKUP(Tabla1[[#This Row],[PAGO DIA]],DIAS!A:H,8,0)</f>
        <v>46265</v>
      </c>
      <c r="V321" s="6">
        <v>0</v>
      </c>
      <c r="W321" s="43">
        <f>VLOOKUP(Tabla1[[#This Row],[PAGO DIA]],DIAS!A:I,9,0)</f>
        <v>46295</v>
      </c>
      <c r="X321" s="6">
        <v>0</v>
      </c>
      <c r="Y321" s="43">
        <f>VLOOKUP(Tabla1[[#This Row],[PAGO DIA]],DIAS!A:J,10,0)</f>
        <v>46325</v>
      </c>
      <c r="Z321" s="6">
        <v>0</v>
      </c>
      <c r="AA321" s="43">
        <f>VLOOKUP(Tabla1[[#This Row],[PAGO DIA]],DIAS!A:K,11,0)</f>
        <v>46356</v>
      </c>
      <c r="AB321" s="6">
        <v>0</v>
      </c>
      <c r="AC321" s="43">
        <f>VLOOKUP(Tabla1[[#This Row],[PAGO DIA]],DIAS!A:M,12,0)</f>
        <v>46386</v>
      </c>
      <c r="AD3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2" spans="1:30">
      <c r="A322" s="3">
        <v>12685</v>
      </c>
      <c r="B322" s="3" t="s">
        <v>575</v>
      </c>
      <c r="C322" s="3" t="s">
        <v>576</v>
      </c>
      <c r="D322" s="3" t="s">
        <v>540</v>
      </c>
      <c r="E322" s="3" t="s">
        <v>577</v>
      </c>
      <c r="F322" s="42" t="s">
        <v>631</v>
      </c>
      <c r="G322" s="3" t="s">
        <v>939</v>
      </c>
      <c r="H322" s="6">
        <v>0</v>
      </c>
      <c r="I322" s="41">
        <f>VLOOKUP(Tabla1[[#This Row],[PAGO DIA]],DIAS!A:B,2,0)</f>
        <v>46080</v>
      </c>
      <c r="J322" s="6">
        <v>0</v>
      </c>
      <c r="K322" s="43">
        <f>VLOOKUP(Tabla1[[#This Row],[PAGO DIA]],DIAS!A:C,3,0)</f>
        <v>46112</v>
      </c>
      <c r="L322" s="6">
        <v>0</v>
      </c>
      <c r="M322" s="41">
        <f>VLOOKUP(Tabla1[[#This Row],[PAGO DIA]],DIAS!A:D,4,0)</f>
        <v>46142</v>
      </c>
      <c r="N322" s="6">
        <v>0</v>
      </c>
      <c r="O322" s="43">
        <f>VLOOKUP(Tabla1[[#This Row],[PAGO DIA]],DIAS!A:E,5,0)</f>
        <v>46171</v>
      </c>
      <c r="P322" s="6">
        <v>0</v>
      </c>
      <c r="Q322" s="43">
        <f>VLOOKUP(Tabla1[[#This Row],[PAGO DIA]],DIAS!A:F,6,0)</f>
        <v>46203</v>
      </c>
      <c r="R322" s="6">
        <v>0</v>
      </c>
      <c r="S322" s="43">
        <f>VLOOKUP(Tabla1[[#This Row],[PAGO DIA]],DIAS!A:G,7,0)</f>
        <v>46234</v>
      </c>
      <c r="T322" s="6">
        <v>0</v>
      </c>
      <c r="U322" s="43">
        <f>VLOOKUP(Tabla1[[#This Row],[PAGO DIA]],DIAS!A:H,8,0)</f>
        <v>46265</v>
      </c>
      <c r="V322" s="6">
        <v>0</v>
      </c>
      <c r="W322" s="43">
        <f>VLOOKUP(Tabla1[[#This Row],[PAGO DIA]],DIAS!A:I,9,0)</f>
        <v>46295</v>
      </c>
      <c r="X322" s="6">
        <v>0</v>
      </c>
      <c r="Y322" s="43">
        <f>VLOOKUP(Tabla1[[#This Row],[PAGO DIA]],DIAS!A:J,10,0)</f>
        <v>46325</v>
      </c>
      <c r="Z322" s="6">
        <v>0</v>
      </c>
      <c r="AA322" s="43">
        <f>VLOOKUP(Tabla1[[#This Row],[PAGO DIA]],DIAS!A:K,11,0)</f>
        <v>46356</v>
      </c>
      <c r="AB322" s="6">
        <v>0</v>
      </c>
      <c r="AC322" s="43">
        <f>VLOOKUP(Tabla1[[#This Row],[PAGO DIA]],DIAS!A:M,12,0)</f>
        <v>46386</v>
      </c>
      <c r="AD3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3" spans="1:30">
      <c r="A323" s="3">
        <v>12704</v>
      </c>
      <c r="B323" s="3" t="s">
        <v>575</v>
      </c>
      <c r="C323" s="3" t="s">
        <v>576</v>
      </c>
      <c r="D323" s="3" t="s">
        <v>540</v>
      </c>
      <c r="E323" s="3" t="s">
        <v>577</v>
      </c>
      <c r="F323" s="42" t="s">
        <v>631</v>
      </c>
      <c r="G323" s="3" t="s">
        <v>940</v>
      </c>
      <c r="H323" s="6">
        <v>0</v>
      </c>
      <c r="I323" s="41">
        <f>VLOOKUP(Tabla1[[#This Row],[PAGO DIA]],DIAS!A:B,2,0)</f>
        <v>46080</v>
      </c>
      <c r="J323" s="6">
        <v>0</v>
      </c>
      <c r="K323" s="43">
        <f>VLOOKUP(Tabla1[[#This Row],[PAGO DIA]],DIAS!A:C,3,0)</f>
        <v>46112</v>
      </c>
      <c r="L323" s="6">
        <v>0</v>
      </c>
      <c r="M323" s="41">
        <f>VLOOKUP(Tabla1[[#This Row],[PAGO DIA]],DIAS!A:D,4,0)</f>
        <v>46142</v>
      </c>
      <c r="N323" s="6">
        <v>0</v>
      </c>
      <c r="O323" s="43">
        <f>VLOOKUP(Tabla1[[#This Row],[PAGO DIA]],DIAS!A:E,5,0)</f>
        <v>46171</v>
      </c>
      <c r="P323" s="6">
        <v>0</v>
      </c>
      <c r="Q323" s="43">
        <f>VLOOKUP(Tabla1[[#This Row],[PAGO DIA]],DIAS!A:F,6,0)</f>
        <v>46203</v>
      </c>
      <c r="R323" s="6">
        <v>0</v>
      </c>
      <c r="S323" s="43">
        <f>VLOOKUP(Tabla1[[#This Row],[PAGO DIA]],DIAS!A:G,7,0)</f>
        <v>46234</v>
      </c>
      <c r="T323" s="6">
        <v>0</v>
      </c>
      <c r="U323" s="43">
        <f>VLOOKUP(Tabla1[[#This Row],[PAGO DIA]],DIAS!A:H,8,0)</f>
        <v>46265</v>
      </c>
      <c r="V323" s="6">
        <v>0</v>
      </c>
      <c r="W323" s="43">
        <f>VLOOKUP(Tabla1[[#This Row],[PAGO DIA]],DIAS!A:I,9,0)</f>
        <v>46295</v>
      </c>
      <c r="X323" s="6">
        <v>0</v>
      </c>
      <c r="Y323" s="43">
        <f>VLOOKUP(Tabla1[[#This Row],[PAGO DIA]],DIAS!A:J,10,0)</f>
        <v>46325</v>
      </c>
      <c r="Z323" s="6">
        <v>0</v>
      </c>
      <c r="AA323" s="43">
        <f>VLOOKUP(Tabla1[[#This Row],[PAGO DIA]],DIAS!A:K,11,0)</f>
        <v>46356</v>
      </c>
      <c r="AB323" s="6">
        <v>0</v>
      </c>
      <c r="AC323" s="43">
        <f>VLOOKUP(Tabla1[[#This Row],[PAGO DIA]],DIAS!A:M,12,0)</f>
        <v>46386</v>
      </c>
      <c r="AD3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4" spans="1:30">
      <c r="A324" s="3">
        <v>12051</v>
      </c>
      <c r="B324" s="3" t="s">
        <v>575</v>
      </c>
      <c r="C324" s="3" t="s">
        <v>540</v>
      </c>
      <c r="D324" s="3" t="s">
        <v>540</v>
      </c>
      <c r="E324" s="3" t="s">
        <v>941</v>
      </c>
      <c r="F324" s="42" t="s">
        <v>631</v>
      </c>
      <c r="G324" s="3" t="s">
        <v>942</v>
      </c>
      <c r="H324" s="6">
        <v>0</v>
      </c>
      <c r="I324" s="41">
        <f>VLOOKUP(Tabla1[[#This Row],[PAGO DIA]],DIAS!A:B,2,0)</f>
        <v>46080</v>
      </c>
      <c r="J324" s="6">
        <v>0</v>
      </c>
      <c r="K324" s="43">
        <f>VLOOKUP(Tabla1[[#This Row],[PAGO DIA]],DIAS!A:C,3,0)</f>
        <v>46112</v>
      </c>
      <c r="L324" s="6">
        <v>0</v>
      </c>
      <c r="M324" s="41">
        <f>VLOOKUP(Tabla1[[#This Row],[PAGO DIA]],DIAS!A:D,4,0)</f>
        <v>46142</v>
      </c>
      <c r="N324" s="6">
        <v>0</v>
      </c>
      <c r="O324" s="43">
        <f>VLOOKUP(Tabla1[[#This Row],[PAGO DIA]],DIAS!A:E,5,0)</f>
        <v>46171</v>
      </c>
      <c r="P324" s="6">
        <v>0</v>
      </c>
      <c r="Q324" s="43">
        <f>VLOOKUP(Tabla1[[#This Row],[PAGO DIA]],DIAS!A:F,6,0)</f>
        <v>46203</v>
      </c>
      <c r="R324" s="6">
        <v>0</v>
      </c>
      <c r="S324" s="43">
        <f>VLOOKUP(Tabla1[[#This Row],[PAGO DIA]],DIAS!A:G,7,0)</f>
        <v>46234</v>
      </c>
      <c r="T324" s="6">
        <v>0</v>
      </c>
      <c r="U324" s="43">
        <f>VLOOKUP(Tabla1[[#This Row],[PAGO DIA]],DIAS!A:H,8,0)</f>
        <v>46265</v>
      </c>
      <c r="V324" s="6">
        <v>0</v>
      </c>
      <c r="W324" s="43">
        <f>VLOOKUP(Tabla1[[#This Row],[PAGO DIA]],DIAS!A:I,9,0)</f>
        <v>46295</v>
      </c>
      <c r="X324" s="6">
        <v>0</v>
      </c>
      <c r="Y324" s="43">
        <f>VLOOKUP(Tabla1[[#This Row],[PAGO DIA]],DIAS!A:J,10,0)</f>
        <v>46325</v>
      </c>
      <c r="Z324" s="6">
        <v>0</v>
      </c>
      <c r="AA324" s="43">
        <f>VLOOKUP(Tabla1[[#This Row],[PAGO DIA]],DIAS!A:K,11,0)</f>
        <v>46356</v>
      </c>
      <c r="AB324" s="6">
        <v>0</v>
      </c>
      <c r="AC324" s="43">
        <f>VLOOKUP(Tabla1[[#This Row],[PAGO DIA]],DIAS!A:M,12,0)</f>
        <v>46386</v>
      </c>
      <c r="AD3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5" spans="1:30">
      <c r="A325" s="3">
        <v>12052</v>
      </c>
      <c r="B325" s="3" t="s">
        <v>575</v>
      </c>
      <c r="C325" s="3" t="s">
        <v>540</v>
      </c>
      <c r="D325" s="3" t="s">
        <v>540</v>
      </c>
      <c r="E325" s="3" t="s">
        <v>941</v>
      </c>
      <c r="F325" s="42" t="s">
        <v>631</v>
      </c>
      <c r="G325" s="3" t="s">
        <v>943</v>
      </c>
      <c r="H325" s="6">
        <v>0</v>
      </c>
      <c r="I325" s="41">
        <f>VLOOKUP(Tabla1[[#This Row],[PAGO DIA]],DIAS!A:B,2,0)</f>
        <v>46080</v>
      </c>
      <c r="J325" s="6">
        <v>0</v>
      </c>
      <c r="K325" s="43">
        <f>VLOOKUP(Tabla1[[#This Row],[PAGO DIA]],DIAS!A:C,3,0)</f>
        <v>46112</v>
      </c>
      <c r="L325" s="6">
        <v>0</v>
      </c>
      <c r="M325" s="41">
        <f>VLOOKUP(Tabla1[[#This Row],[PAGO DIA]],DIAS!A:D,4,0)</f>
        <v>46142</v>
      </c>
      <c r="N325" s="6">
        <v>0</v>
      </c>
      <c r="O325" s="43">
        <f>VLOOKUP(Tabla1[[#This Row],[PAGO DIA]],DIAS!A:E,5,0)</f>
        <v>46171</v>
      </c>
      <c r="P325" s="6">
        <v>0</v>
      </c>
      <c r="Q325" s="43">
        <f>VLOOKUP(Tabla1[[#This Row],[PAGO DIA]],DIAS!A:F,6,0)</f>
        <v>46203</v>
      </c>
      <c r="R325" s="6">
        <v>0</v>
      </c>
      <c r="S325" s="43">
        <f>VLOOKUP(Tabla1[[#This Row],[PAGO DIA]],DIAS!A:G,7,0)</f>
        <v>46234</v>
      </c>
      <c r="T325" s="6">
        <v>0</v>
      </c>
      <c r="U325" s="43">
        <f>VLOOKUP(Tabla1[[#This Row],[PAGO DIA]],DIAS!A:H,8,0)</f>
        <v>46265</v>
      </c>
      <c r="V325" s="6">
        <v>0</v>
      </c>
      <c r="W325" s="43">
        <f>VLOOKUP(Tabla1[[#This Row],[PAGO DIA]],DIAS!A:I,9,0)</f>
        <v>46295</v>
      </c>
      <c r="X325" s="6">
        <v>0</v>
      </c>
      <c r="Y325" s="43">
        <f>VLOOKUP(Tabla1[[#This Row],[PAGO DIA]],DIAS!A:J,10,0)</f>
        <v>46325</v>
      </c>
      <c r="Z325" s="6">
        <v>0</v>
      </c>
      <c r="AA325" s="43">
        <f>VLOOKUP(Tabla1[[#This Row],[PAGO DIA]],DIAS!A:K,11,0)</f>
        <v>46356</v>
      </c>
      <c r="AB325" s="6">
        <v>0</v>
      </c>
      <c r="AC325" s="43">
        <f>VLOOKUP(Tabla1[[#This Row],[PAGO DIA]],DIAS!A:M,12,0)</f>
        <v>46386</v>
      </c>
      <c r="AD3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6" spans="1:30">
      <c r="A326" s="3">
        <v>12054</v>
      </c>
      <c r="B326" s="3" t="s">
        <v>575</v>
      </c>
      <c r="C326" s="3" t="s">
        <v>540</v>
      </c>
      <c r="D326" s="3" t="s">
        <v>540</v>
      </c>
      <c r="E326" s="3" t="s">
        <v>941</v>
      </c>
      <c r="F326" s="42" t="s">
        <v>631</v>
      </c>
      <c r="G326" s="3" t="s">
        <v>944</v>
      </c>
      <c r="H326" s="6">
        <v>0</v>
      </c>
      <c r="I326" s="41">
        <f>VLOOKUP(Tabla1[[#This Row],[PAGO DIA]],DIAS!A:B,2,0)</f>
        <v>46080</v>
      </c>
      <c r="J326" s="6">
        <v>0</v>
      </c>
      <c r="K326" s="43">
        <f>VLOOKUP(Tabla1[[#This Row],[PAGO DIA]],DIAS!A:C,3,0)</f>
        <v>46112</v>
      </c>
      <c r="L326" s="6">
        <v>0</v>
      </c>
      <c r="M326" s="41">
        <f>VLOOKUP(Tabla1[[#This Row],[PAGO DIA]],DIAS!A:D,4,0)</f>
        <v>46142</v>
      </c>
      <c r="N326" s="6">
        <v>0</v>
      </c>
      <c r="O326" s="43">
        <f>VLOOKUP(Tabla1[[#This Row],[PAGO DIA]],DIAS!A:E,5,0)</f>
        <v>46171</v>
      </c>
      <c r="P326" s="6">
        <v>0</v>
      </c>
      <c r="Q326" s="43">
        <f>VLOOKUP(Tabla1[[#This Row],[PAGO DIA]],DIAS!A:F,6,0)</f>
        <v>46203</v>
      </c>
      <c r="R326" s="6">
        <v>0</v>
      </c>
      <c r="S326" s="43">
        <f>VLOOKUP(Tabla1[[#This Row],[PAGO DIA]],DIAS!A:G,7,0)</f>
        <v>46234</v>
      </c>
      <c r="T326" s="6">
        <v>0</v>
      </c>
      <c r="U326" s="43">
        <f>VLOOKUP(Tabla1[[#This Row],[PAGO DIA]],DIAS!A:H,8,0)</f>
        <v>46265</v>
      </c>
      <c r="V326" s="6">
        <v>0</v>
      </c>
      <c r="W326" s="43">
        <f>VLOOKUP(Tabla1[[#This Row],[PAGO DIA]],DIAS!A:I,9,0)</f>
        <v>46295</v>
      </c>
      <c r="X326" s="6">
        <v>0</v>
      </c>
      <c r="Y326" s="43">
        <f>VLOOKUP(Tabla1[[#This Row],[PAGO DIA]],DIAS!A:J,10,0)</f>
        <v>46325</v>
      </c>
      <c r="Z326" s="6">
        <v>0</v>
      </c>
      <c r="AA326" s="43">
        <f>VLOOKUP(Tabla1[[#This Row],[PAGO DIA]],DIAS!A:K,11,0)</f>
        <v>46356</v>
      </c>
      <c r="AB326" s="6">
        <v>0</v>
      </c>
      <c r="AC326" s="43">
        <f>VLOOKUP(Tabla1[[#This Row],[PAGO DIA]],DIAS!A:M,12,0)</f>
        <v>46386</v>
      </c>
      <c r="AD3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7" spans="1:30">
      <c r="A327" s="3">
        <v>12061</v>
      </c>
      <c r="B327" s="3" t="s">
        <v>575</v>
      </c>
      <c r="C327" s="3" t="s">
        <v>540</v>
      </c>
      <c r="D327" s="3" t="s">
        <v>540</v>
      </c>
      <c r="E327" s="3" t="s">
        <v>945</v>
      </c>
      <c r="F327" s="42" t="s">
        <v>631</v>
      </c>
      <c r="G327" s="3" t="s">
        <v>946</v>
      </c>
      <c r="H327" s="6">
        <v>0</v>
      </c>
      <c r="I327" s="41">
        <f>VLOOKUP(Tabla1[[#This Row],[PAGO DIA]],DIAS!A:B,2,0)</f>
        <v>46080</v>
      </c>
      <c r="J327" s="6">
        <v>0</v>
      </c>
      <c r="K327" s="43">
        <f>VLOOKUP(Tabla1[[#This Row],[PAGO DIA]],DIAS!A:C,3,0)</f>
        <v>46112</v>
      </c>
      <c r="L327" s="6">
        <v>0</v>
      </c>
      <c r="M327" s="41">
        <f>VLOOKUP(Tabla1[[#This Row],[PAGO DIA]],DIAS!A:D,4,0)</f>
        <v>46142</v>
      </c>
      <c r="N327" s="6">
        <v>0</v>
      </c>
      <c r="O327" s="43">
        <f>VLOOKUP(Tabla1[[#This Row],[PAGO DIA]],DIAS!A:E,5,0)</f>
        <v>46171</v>
      </c>
      <c r="P327" s="6">
        <v>0</v>
      </c>
      <c r="Q327" s="43">
        <f>VLOOKUP(Tabla1[[#This Row],[PAGO DIA]],DIAS!A:F,6,0)</f>
        <v>46203</v>
      </c>
      <c r="R327" s="6">
        <v>0</v>
      </c>
      <c r="S327" s="43">
        <f>VLOOKUP(Tabla1[[#This Row],[PAGO DIA]],DIAS!A:G,7,0)</f>
        <v>46234</v>
      </c>
      <c r="T327" s="6">
        <v>0</v>
      </c>
      <c r="U327" s="43">
        <f>VLOOKUP(Tabla1[[#This Row],[PAGO DIA]],DIAS!A:H,8,0)</f>
        <v>46265</v>
      </c>
      <c r="V327" s="6">
        <v>0</v>
      </c>
      <c r="W327" s="43">
        <f>VLOOKUP(Tabla1[[#This Row],[PAGO DIA]],DIAS!A:I,9,0)</f>
        <v>46295</v>
      </c>
      <c r="X327" s="6">
        <v>0</v>
      </c>
      <c r="Y327" s="43">
        <f>VLOOKUP(Tabla1[[#This Row],[PAGO DIA]],DIAS!A:J,10,0)</f>
        <v>46325</v>
      </c>
      <c r="Z327" s="6">
        <v>0</v>
      </c>
      <c r="AA327" s="43">
        <f>VLOOKUP(Tabla1[[#This Row],[PAGO DIA]],DIAS!A:K,11,0)</f>
        <v>46356</v>
      </c>
      <c r="AB327" s="6">
        <v>0</v>
      </c>
      <c r="AC327" s="43">
        <f>VLOOKUP(Tabla1[[#This Row],[PAGO DIA]],DIAS!A:M,12,0)</f>
        <v>46386</v>
      </c>
      <c r="AD3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8" spans="1:30">
      <c r="A328" s="3">
        <v>12665</v>
      </c>
      <c r="B328" s="3" t="s">
        <v>575</v>
      </c>
      <c r="C328" s="3" t="s">
        <v>576</v>
      </c>
      <c r="D328" s="3" t="s">
        <v>540</v>
      </c>
      <c r="E328" s="3" t="s">
        <v>947</v>
      </c>
      <c r="F328" s="42" t="s">
        <v>631</v>
      </c>
      <c r="G328" s="3" t="s">
        <v>948</v>
      </c>
      <c r="H328" s="6">
        <v>0</v>
      </c>
      <c r="I328" s="41">
        <f>VLOOKUP(Tabla1[[#This Row],[PAGO DIA]],DIAS!A:B,2,0)</f>
        <v>46080</v>
      </c>
      <c r="J328" s="6">
        <v>0</v>
      </c>
      <c r="K328" s="43">
        <f>VLOOKUP(Tabla1[[#This Row],[PAGO DIA]],DIAS!A:C,3,0)</f>
        <v>46112</v>
      </c>
      <c r="L328" s="6">
        <v>0</v>
      </c>
      <c r="M328" s="41">
        <f>VLOOKUP(Tabla1[[#This Row],[PAGO DIA]],DIAS!A:D,4,0)</f>
        <v>46142</v>
      </c>
      <c r="N328" s="6">
        <v>0</v>
      </c>
      <c r="O328" s="43">
        <f>VLOOKUP(Tabla1[[#This Row],[PAGO DIA]],DIAS!A:E,5,0)</f>
        <v>46171</v>
      </c>
      <c r="P328" s="6">
        <v>0</v>
      </c>
      <c r="Q328" s="43">
        <f>VLOOKUP(Tabla1[[#This Row],[PAGO DIA]],DIAS!A:F,6,0)</f>
        <v>46203</v>
      </c>
      <c r="R328" s="6">
        <v>0</v>
      </c>
      <c r="S328" s="43">
        <f>VLOOKUP(Tabla1[[#This Row],[PAGO DIA]],DIAS!A:G,7,0)</f>
        <v>46234</v>
      </c>
      <c r="T328" s="6">
        <v>0</v>
      </c>
      <c r="U328" s="43">
        <f>VLOOKUP(Tabla1[[#This Row],[PAGO DIA]],DIAS!A:H,8,0)</f>
        <v>46265</v>
      </c>
      <c r="V328" s="6">
        <v>0</v>
      </c>
      <c r="W328" s="43">
        <f>VLOOKUP(Tabla1[[#This Row],[PAGO DIA]],DIAS!A:I,9,0)</f>
        <v>46295</v>
      </c>
      <c r="X328" s="6">
        <v>0</v>
      </c>
      <c r="Y328" s="43">
        <f>VLOOKUP(Tabla1[[#This Row],[PAGO DIA]],DIAS!A:J,10,0)</f>
        <v>46325</v>
      </c>
      <c r="Z328" s="6">
        <v>0</v>
      </c>
      <c r="AA328" s="43">
        <f>VLOOKUP(Tabla1[[#This Row],[PAGO DIA]],DIAS!A:K,11,0)</f>
        <v>46356</v>
      </c>
      <c r="AB328" s="6">
        <v>0</v>
      </c>
      <c r="AC328" s="43">
        <f>VLOOKUP(Tabla1[[#This Row],[PAGO DIA]],DIAS!A:M,12,0)</f>
        <v>46386</v>
      </c>
      <c r="AD3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29" spans="1:30">
      <c r="A329" s="3">
        <v>12667</v>
      </c>
      <c r="B329" s="3" t="s">
        <v>575</v>
      </c>
      <c r="C329" s="3" t="s">
        <v>576</v>
      </c>
      <c r="D329" s="3" t="s">
        <v>540</v>
      </c>
      <c r="E329" s="3" t="s">
        <v>947</v>
      </c>
      <c r="F329" s="42" t="s">
        <v>631</v>
      </c>
      <c r="G329" s="3" t="s">
        <v>949</v>
      </c>
      <c r="H329" s="6">
        <v>0</v>
      </c>
      <c r="I329" s="41">
        <f>VLOOKUP(Tabla1[[#This Row],[PAGO DIA]],DIAS!A:B,2,0)</f>
        <v>46080</v>
      </c>
      <c r="J329" s="6">
        <v>0</v>
      </c>
      <c r="K329" s="43">
        <f>VLOOKUP(Tabla1[[#This Row],[PAGO DIA]],DIAS!A:C,3,0)</f>
        <v>46112</v>
      </c>
      <c r="L329" s="6">
        <v>0</v>
      </c>
      <c r="M329" s="41">
        <f>VLOOKUP(Tabla1[[#This Row],[PAGO DIA]],DIAS!A:D,4,0)</f>
        <v>46142</v>
      </c>
      <c r="N329" s="6">
        <v>0</v>
      </c>
      <c r="O329" s="43">
        <f>VLOOKUP(Tabla1[[#This Row],[PAGO DIA]],DIAS!A:E,5,0)</f>
        <v>46171</v>
      </c>
      <c r="P329" s="6">
        <v>0</v>
      </c>
      <c r="Q329" s="43">
        <f>VLOOKUP(Tabla1[[#This Row],[PAGO DIA]],DIAS!A:F,6,0)</f>
        <v>46203</v>
      </c>
      <c r="R329" s="6">
        <v>0</v>
      </c>
      <c r="S329" s="43">
        <f>VLOOKUP(Tabla1[[#This Row],[PAGO DIA]],DIAS!A:G,7,0)</f>
        <v>46234</v>
      </c>
      <c r="T329" s="6">
        <v>0</v>
      </c>
      <c r="U329" s="43">
        <f>VLOOKUP(Tabla1[[#This Row],[PAGO DIA]],DIAS!A:H,8,0)</f>
        <v>46265</v>
      </c>
      <c r="V329" s="6">
        <v>0</v>
      </c>
      <c r="W329" s="43">
        <f>VLOOKUP(Tabla1[[#This Row],[PAGO DIA]],DIAS!A:I,9,0)</f>
        <v>46295</v>
      </c>
      <c r="X329" s="6">
        <v>0</v>
      </c>
      <c r="Y329" s="43">
        <f>VLOOKUP(Tabla1[[#This Row],[PAGO DIA]],DIAS!A:J,10,0)</f>
        <v>46325</v>
      </c>
      <c r="Z329" s="6">
        <v>0</v>
      </c>
      <c r="AA329" s="43">
        <f>VLOOKUP(Tabla1[[#This Row],[PAGO DIA]],DIAS!A:K,11,0)</f>
        <v>46356</v>
      </c>
      <c r="AB329" s="6">
        <v>0</v>
      </c>
      <c r="AC329" s="43">
        <f>VLOOKUP(Tabla1[[#This Row],[PAGO DIA]],DIAS!A:M,12,0)</f>
        <v>46386</v>
      </c>
      <c r="AD3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0" spans="1:30">
      <c r="A330" s="3">
        <v>12549</v>
      </c>
      <c r="B330" s="3" t="s">
        <v>575</v>
      </c>
      <c r="C330" s="3" t="s">
        <v>576</v>
      </c>
      <c r="D330" s="3" t="s">
        <v>540</v>
      </c>
      <c r="E330" s="3" t="s">
        <v>588</v>
      </c>
      <c r="F330" s="42" t="s">
        <v>631</v>
      </c>
      <c r="G330" s="3" t="s">
        <v>950</v>
      </c>
      <c r="H330" s="6">
        <v>0</v>
      </c>
      <c r="I330" s="41">
        <f>VLOOKUP(Tabla1[[#This Row],[PAGO DIA]],DIAS!A:B,2,0)</f>
        <v>46080</v>
      </c>
      <c r="J330" s="6">
        <v>0</v>
      </c>
      <c r="K330" s="43">
        <f>VLOOKUP(Tabla1[[#This Row],[PAGO DIA]],DIAS!A:C,3,0)</f>
        <v>46112</v>
      </c>
      <c r="L330" s="6">
        <v>0</v>
      </c>
      <c r="M330" s="41">
        <f>VLOOKUP(Tabla1[[#This Row],[PAGO DIA]],DIAS!A:D,4,0)</f>
        <v>46142</v>
      </c>
      <c r="N330" s="6">
        <v>0</v>
      </c>
      <c r="O330" s="43">
        <f>VLOOKUP(Tabla1[[#This Row],[PAGO DIA]],DIAS!A:E,5,0)</f>
        <v>46171</v>
      </c>
      <c r="P330" s="6">
        <v>0</v>
      </c>
      <c r="Q330" s="43">
        <f>VLOOKUP(Tabla1[[#This Row],[PAGO DIA]],DIAS!A:F,6,0)</f>
        <v>46203</v>
      </c>
      <c r="R330" s="6">
        <v>0</v>
      </c>
      <c r="S330" s="43">
        <f>VLOOKUP(Tabla1[[#This Row],[PAGO DIA]],DIAS!A:G,7,0)</f>
        <v>46234</v>
      </c>
      <c r="T330" s="6">
        <v>0</v>
      </c>
      <c r="U330" s="43">
        <f>VLOOKUP(Tabla1[[#This Row],[PAGO DIA]],DIAS!A:H,8,0)</f>
        <v>46265</v>
      </c>
      <c r="V330" s="6">
        <v>0</v>
      </c>
      <c r="W330" s="43">
        <f>VLOOKUP(Tabla1[[#This Row],[PAGO DIA]],DIAS!A:I,9,0)</f>
        <v>46295</v>
      </c>
      <c r="X330" s="6">
        <v>0</v>
      </c>
      <c r="Y330" s="43">
        <f>VLOOKUP(Tabla1[[#This Row],[PAGO DIA]],DIAS!A:J,10,0)</f>
        <v>46325</v>
      </c>
      <c r="Z330" s="6">
        <v>0</v>
      </c>
      <c r="AA330" s="43">
        <f>VLOOKUP(Tabla1[[#This Row],[PAGO DIA]],DIAS!A:K,11,0)</f>
        <v>46356</v>
      </c>
      <c r="AB330" s="6">
        <v>0</v>
      </c>
      <c r="AC330" s="43">
        <f>VLOOKUP(Tabla1[[#This Row],[PAGO DIA]],DIAS!A:M,12,0)</f>
        <v>46386</v>
      </c>
      <c r="AD3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1" spans="1:30">
      <c r="A331" s="3">
        <v>12568</v>
      </c>
      <c r="B331" s="3" t="s">
        <v>575</v>
      </c>
      <c r="C331" s="3" t="s">
        <v>576</v>
      </c>
      <c r="D331" s="3" t="s">
        <v>540</v>
      </c>
      <c r="E331" s="3" t="s">
        <v>588</v>
      </c>
      <c r="F331" s="42" t="s">
        <v>631</v>
      </c>
      <c r="G331" s="3" t="s">
        <v>951</v>
      </c>
      <c r="H331" s="6">
        <v>0</v>
      </c>
      <c r="I331" s="41">
        <f>VLOOKUP(Tabla1[[#This Row],[PAGO DIA]],DIAS!A:B,2,0)</f>
        <v>46080</v>
      </c>
      <c r="J331" s="6">
        <v>0</v>
      </c>
      <c r="K331" s="43">
        <f>VLOOKUP(Tabla1[[#This Row],[PAGO DIA]],DIAS!A:C,3,0)</f>
        <v>46112</v>
      </c>
      <c r="L331" s="6">
        <v>0</v>
      </c>
      <c r="M331" s="41">
        <f>VLOOKUP(Tabla1[[#This Row],[PAGO DIA]],DIAS!A:D,4,0)</f>
        <v>46142</v>
      </c>
      <c r="N331" s="6">
        <v>0</v>
      </c>
      <c r="O331" s="43">
        <f>VLOOKUP(Tabla1[[#This Row],[PAGO DIA]],DIAS!A:E,5,0)</f>
        <v>46171</v>
      </c>
      <c r="P331" s="6">
        <v>0</v>
      </c>
      <c r="Q331" s="43">
        <f>VLOOKUP(Tabla1[[#This Row],[PAGO DIA]],DIAS!A:F,6,0)</f>
        <v>46203</v>
      </c>
      <c r="R331" s="6">
        <v>0</v>
      </c>
      <c r="S331" s="43">
        <f>VLOOKUP(Tabla1[[#This Row],[PAGO DIA]],DIAS!A:G,7,0)</f>
        <v>46234</v>
      </c>
      <c r="T331" s="6">
        <v>0</v>
      </c>
      <c r="U331" s="43">
        <f>VLOOKUP(Tabla1[[#This Row],[PAGO DIA]],DIAS!A:H,8,0)</f>
        <v>46265</v>
      </c>
      <c r="V331" s="6">
        <v>0</v>
      </c>
      <c r="W331" s="43">
        <f>VLOOKUP(Tabla1[[#This Row],[PAGO DIA]],DIAS!A:I,9,0)</f>
        <v>46295</v>
      </c>
      <c r="X331" s="6">
        <v>0</v>
      </c>
      <c r="Y331" s="43">
        <f>VLOOKUP(Tabla1[[#This Row],[PAGO DIA]],DIAS!A:J,10,0)</f>
        <v>46325</v>
      </c>
      <c r="Z331" s="6">
        <v>0</v>
      </c>
      <c r="AA331" s="43">
        <f>VLOOKUP(Tabla1[[#This Row],[PAGO DIA]],DIAS!A:K,11,0)</f>
        <v>46356</v>
      </c>
      <c r="AB331" s="6">
        <v>0</v>
      </c>
      <c r="AC331" s="43">
        <f>VLOOKUP(Tabla1[[#This Row],[PAGO DIA]],DIAS!A:M,12,0)</f>
        <v>46386</v>
      </c>
      <c r="AD3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2" spans="1:30">
      <c r="A332" s="3">
        <v>12586</v>
      </c>
      <c r="B332" s="3" t="s">
        <v>575</v>
      </c>
      <c r="C332" s="3" t="s">
        <v>576</v>
      </c>
      <c r="D332" s="3" t="s">
        <v>540</v>
      </c>
      <c r="E332" s="3" t="s">
        <v>588</v>
      </c>
      <c r="F332" s="42" t="s">
        <v>631</v>
      </c>
      <c r="G332" s="3" t="s">
        <v>952</v>
      </c>
      <c r="H332" s="6">
        <v>0</v>
      </c>
      <c r="I332" s="41">
        <f>VLOOKUP(Tabla1[[#This Row],[PAGO DIA]],DIAS!A:B,2,0)</f>
        <v>46080</v>
      </c>
      <c r="J332" s="6">
        <v>0</v>
      </c>
      <c r="K332" s="43">
        <f>VLOOKUP(Tabla1[[#This Row],[PAGO DIA]],DIAS!A:C,3,0)</f>
        <v>46112</v>
      </c>
      <c r="L332" s="6">
        <v>0</v>
      </c>
      <c r="M332" s="41">
        <f>VLOOKUP(Tabla1[[#This Row],[PAGO DIA]],DIAS!A:D,4,0)</f>
        <v>46142</v>
      </c>
      <c r="N332" s="6">
        <v>0</v>
      </c>
      <c r="O332" s="43">
        <f>VLOOKUP(Tabla1[[#This Row],[PAGO DIA]],DIAS!A:E,5,0)</f>
        <v>46171</v>
      </c>
      <c r="P332" s="6">
        <v>0</v>
      </c>
      <c r="Q332" s="43">
        <f>VLOOKUP(Tabla1[[#This Row],[PAGO DIA]],DIAS!A:F,6,0)</f>
        <v>46203</v>
      </c>
      <c r="R332" s="6">
        <v>0</v>
      </c>
      <c r="S332" s="43">
        <f>VLOOKUP(Tabla1[[#This Row],[PAGO DIA]],DIAS!A:G,7,0)</f>
        <v>46234</v>
      </c>
      <c r="T332" s="6">
        <v>0</v>
      </c>
      <c r="U332" s="43">
        <f>VLOOKUP(Tabla1[[#This Row],[PAGO DIA]],DIAS!A:H,8,0)</f>
        <v>46265</v>
      </c>
      <c r="V332" s="6">
        <v>0</v>
      </c>
      <c r="W332" s="43">
        <f>VLOOKUP(Tabla1[[#This Row],[PAGO DIA]],DIAS!A:I,9,0)</f>
        <v>46295</v>
      </c>
      <c r="X332" s="6">
        <v>0</v>
      </c>
      <c r="Y332" s="43">
        <f>VLOOKUP(Tabla1[[#This Row],[PAGO DIA]],DIAS!A:J,10,0)</f>
        <v>46325</v>
      </c>
      <c r="Z332" s="6">
        <v>0</v>
      </c>
      <c r="AA332" s="43">
        <f>VLOOKUP(Tabla1[[#This Row],[PAGO DIA]],DIAS!A:K,11,0)</f>
        <v>46356</v>
      </c>
      <c r="AB332" s="6">
        <v>0</v>
      </c>
      <c r="AC332" s="43">
        <f>VLOOKUP(Tabla1[[#This Row],[PAGO DIA]],DIAS!A:M,12,0)</f>
        <v>46386</v>
      </c>
      <c r="AD3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3" spans="1:30">
      <c r="A333" s="3">
        <v>12587</v>
      </c>
      <c r="B333" s="3" t="s">
        <v>575</v>
      </c>
      <c r="C333" s="3" t="s">
        <v>576</v>
      </c>
      <c r="D333" s="3" t="s">
        <v>540</v>
      </c>
      <c r="E333" s="3" t="s">
        <v>588</v>
      </c>
      <c r="F333" s="42" t="s">
        <v>631</v>
      </c>
      <c r="G333" s="3" t="s">
        <v>953</v>
      </c>
      <c r="H333" s="6">
        <v>0</v>
      </c>
      <c r="I333" s="41">
        <f>VLOOKUP(Tabla1[[#This Row],[PAGO DIA]],DIAS!A:B,2,0)</f>
        <v>46080</v>
      </c>
      <c r="J333" s="6">
        <v>0</v>
      </c>
      <c r="K333" s="43">
        <f>VLOOKUP(Tabla1[[#This Row],[PAGO DIA]],DIAS!A:C,3,0)</f>
        <v>46112</v>
      </c>
      <c r="L333" s="6">
        <v>0</v>
      </c>
      <c r="M333" s="41">
        <f>VLOOKUP(Tabla1[[#This Row],[PAGO DIA]],DIAS!A:D,4,0)</f>
        <v>46142</v>
      </c>
      <c r="N333" s="6">
        <v>0</v>
      </c>
      <c r="O333" s="43">
        <f>VLOOKUP(Tabla1[[#This Row],[PAGO DIA]],DIAS!A:E,5,0)</f>
        <v>46171</v>
      </c>
      <c r="P333" s="6">
        <v>0</v>
      </c>
      <c r="Q333" s="43">
        <f>VLOOKUP(Tabla1[[#This Row],[PAGO DIA]],DIAS!A:F,6,0)</f>
        <v>46203</v>
      </c>
      <c r="R333" s="6">
        <v>0</v>
      </c>
      <c r="S333" s="43">
        <f>VLOOKUP(Tabla1[[#This Row],[PAGO DIA]],DIAS!A:G,7,0)</f>
        <v>46234</v>
      </c>
      <c r="T333" s="6">
        <v>0</v>
      </c>
      <c r="U333" s="43">
        <f>VLOOKUP(Tabla1[[#This Row],[PAGO DIA]],DIAS!A:H,8,0)</f>
        <v>46265</v>
      </c>
      <c r="V333" s="6">
        <v>0</v>
      </c>
      <c r="W333" s="43">
        <f>VLOOKUP(Tabla1[[#This Row],[PAGO DIA]],DIAS!A:I,9,0)</f>
        <v>46295</v>
      </c>
      <c r="X333" s="6">
        <v>0</v>
      </c>
      <c r="Y333" s="43">
        <f>VLOOKUP(Tabla1[[#This Row],[PAGO DIA]],DIAS!A:J,10,0)</f>
        <v>46325</v>
      </c>
      <c r="Z333" s="6">
        <v>0</v>
      </c>
      <c r="AA333" s="43">
        <f>VLOOKUP(Tabla1[[#This Row],[PAGO DIA]],DIAS!A:K,11,0)</f>
        <v>46356</v>
      </c>
      <c r="AB333" s="6">
        <v>0</v>
      </c>
      <c r="AC333" s="43">
        <f>VLOOKUP(Tabla1[[#This Row],[PAGO DIA]],DIAS!A:M,12,0)</f>
        <v>46386</v>
      </c>
      <c r="AD3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4" spans="1:30">
      <c r="A334" s="3">
        <v>11670</v>
      </c>
      <c r="B334" s="3" t="s">
        <v>575</v>
      </c>
      <c r="C334" s="3" t="s">
        <v>540</v>
      </c>
      <c r="D334" s="3" t="s">
        <v>540</v>
      </c>
      <c r="E334" s="3" t="s">
        <v>954</v>
      </c>
      <c r="F334" s="42" t="s">
        <v>631</v>
      </c>
      <c r="G334" s="3" t="s">
        <v>955</v>
      </c>
      <c r="H334" s="6">
        <v>0</v>
      </c>
      <c r="I334" s="41">
        <f>VLOOKUP(Tabla1[[#This Row],[PAGO DIA]],DIAS!A:B,2,0)</f>
        <v>46080</v>
      </c>
      <c r="J334" s="6">
        <v>0</v>
      </c>
      <c r="K334" s="43">
        <f>VLOOKUP(Tabla1[[#This Row],[PAGO DIA]],DIAS!A:C,3,0)</f>
        <v>46112</v>
      </c>
      <c r="L334" s="6">
        <v>0</v>
      </c>
      <c r="M334" s="41">
        <f>VLOOKUP(Tabla1[[#This Row],[PAGO DIA]],DIAS!A:D,4,0)</f>
        <v>46142</v>
      </c>
      <c r="N334" s="6">
        <v>0</v>
      </c>
      <c r="O334" s="43">
        <f>VLOOKUP(Tabla1[[#This Row],[PAGO DIA]],DIAS!A:E,5,0)</f>
        <v>46171</v>
      </c>
      <c r="P334" s="6">
        <v>0</v>
      </c>
      <c r="Q334" s="43">
        <f>VLOOKUP(Tabla1[[#This Row],[PAGO DIA]],DIAS!A:F,6,0)</f>
        <v>46203</v>
      </c>
      <c r="R334" s="6">
        <v>0</v>
      </c>
      <c r="S334" s="43">
        <f>VLOOKUP(Tabla1[[#This Row],[PAGO DIA]],DIAS!A:G,7,0)</f>
        <v>46234</v>
      </c>
      <c r="T334" s="6">
        <v>0</v>
      </c>
      <c r="U334" s="43">
        <f>VLOOKUP(Tabla1[[#This Row],[PAGO DIA]],DIAS!A:H,8,0)</f>
        <v>46265</v>
      </c>
      <c r="V334" s="6">
        <v>0</v>
      </c>
      <c r="W334" s="43">
        <f>VLOOKUP(Tabla1[[#This Row],[PAGO DIA]],DIAS!A:I,9,0)</f>
        <v>46295</v>
      </c>
      <c r="X334" s="6">
        <v>0</v>
      </c>
      <c r="Y334" s="43">
        <f>VLOOKUP(Tabla1[[#This Row],[PAGO DIA]],DIAS!A:J,10,0)</f>
        <v>46325</v>
      </c>
      <c r="Z334" s="6">
        <v>0</v>
      </c>
      <c r="AA334" s="43">
        <f>VLOOKUP(Tabla1[[#This Row],[PAGO DIA]],DIAS!A:K,11,0)</f>
        <v>46356</v>
      </c>
      <c r="AB334" s="6">
        <v>0</v>
      </c>
      <c r="AC334" s="43">
        <f>VLOOKUP(Tabla1[[#This Row],[PAGO DIA]],DIAS!A:M,12,0)</f>
        <v>46386</v>
      </c>
      <c r="AD3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5" spans="1:30">
      <c r="A335" s="3">
        <v>12588</v>
      </c>
      <c r="B335" s="3" t="s">
        <v>575</v>
      </c>
      <c r="C335" s="3" t="s">
        <v>576</v>
      </c>
      <c r="D335" s="3" t="s">
        <v>540</v>
      </c>
      <c r="E335" s="3" t="s">
        <v>956</v>
      </c>
      <c r="F335" s="42" t="s">
        <v>631</v>
      </c>
      <c r="G335" s="3" t="s">
        <v>957</v>
      </c>
      <c r="H335" s="6">
        <v>0</v>
      </c>
      <c r="I335" s="41">
        <f>VLOOKUP(Tabla1[[#This Row],[PAGO DIA]],DIAS!A:B,2,0)</f>
        <v>46080</v>
      </c>
      <c r="J335" s="6">
        <v>0</v>
      </c>
      <c r="K335" s="43">
        <f>VLOOKUP(Tabla1[[#This Row],[PAGO DIA]],DIAS!A:C,3,0)</f>
        <v>46112</v>
      </c>
      <c r="L335" s="6">
        <v>0</v>
      </c>
      <c r="M335" s="41">
        <f>VLOOKUP(Tabla1[[#This Row],[PAGO DIA]],DIAS!A:D,4,0)</f>
        <v>46142</v>
      </c>
      <c r="N335" s="6">
        <v>0</v>
      </c>
      <c r="O335" s="43">
        <f>VLOOKUP(Tabla1[[#This Row],[PAGO DIA]],DIAS!A:E,5,0)</f>
        <v>46171</v>
      </c>
      <c r="P335" s="6">
        <v>0</v>
      </c>
      <c r="Q335" s="43">
        <f>VLOOKUP(Tabla1[[#This Row],[PAGO DIA]],DIAS!A:F,6,0)</f>
        <v>46203</v>
      </c>
      <c r="R335" s="6">
        <v>0</v>
      </c>
      <c r="S335" s="43">
        <f>VLOOKUP(Tabla1[[#This Row],[PAGO DIA]],DIAS!A:G,7,0)</f>
        <v>46234</v>
      </c>
      <c r="T335" s="6">
        <v>0</v>
      </c>
      <c r="U335" s="43">
        <f>VLOOKUP(Tabla1[[#This Row],[PAGO DIA]],DIAS!A:H,8,0)</f>
        <v>46265</v>
      </c>
      <c r="V335" s="6">
        <v>0</v>
      </c>
      <c r="W335" s="43">
        <f>VLOOKUP(Tabla1[[#This Row],[PAGO DIA]],DIAS!A:I,9,0)</f>
        <v>46295</v>
      </c>
      <c r="X335" s="6">
        <v>0</v>
      </c>
      <c r="Y335" s="43">
        <f>VLOOKUP(Tabla1[[#This Row],[PAGO DIA]],DIAS!A:J,10,0)</f>
        <v>46325</v>
      </c>
      <c r="Z335" s="6">
        <v>0</v>
      </c>
      <c r="AA335" s="43">
        <f>VLOOKUP(Tabla1[[#This Row],[PAGO DIA]],DIAS!A:K,11,0)</f>
        <v>46356</v>
      </c>
      <c r="AB335" s="6">
        <v>0</v>
      </c>
      <c r="AC335" s="43">
        <f>VLOOKUP(Tabla1[[#This Row],[PAGO DIA]],DIAS!A:M,12,0)</f>
        <v>46386</v>
      </c>
      <c r="AD3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6" spans="1:30">
      <c r="A336" s="3">
        <v>11740</v>
      </c>
      <c r="B336" s="3" t="s">
        <v>575</v>
      </c>
      <c r="C336" s="3" t="s">
        <v>540</v>
      </c>
      <c r="D336" s="3" t="s">
        <v>540</v>
      </c>
      <c r="E336" s="3" t="s">
        <v>958</v>
      </c>
      <c r="F336" s="42" t="s">
        <v>631</v>
      </c>
      <c r="G336" s="3" t="s">
        <v>959</v>
      </c>
      <c r="H336" s="6">
        <v>0</v>
      </c>
      <c r="I336" s="41">
        <f>VLOOKUP(Tabla1[[#This Row],[PAGO DIA]],DIAS!A:B,2,0)</f>
        <v>46080</v>
      </c>
      <c r="J336" s="6">
        <v>0</v>
      </c>
      <c r="K336" s="43">
        <f>VLOOKUP(Tabla1[[#This Row],[PAGO DIA]],DIAS!A:C,3,0)</f>
        <v>46112</v>
      </c>
      <c r="L336" s="6">
        <v>0</v>
      </c>
      <c r="M336" s="41">
        <f>VLOOKUP(Tabla1[[#This Row],[PAGO DIA]],DIAS!A:D,4,0)</f>
        <v>46142</v>
      </c>
      <c r="N336" s="6">
        <v>0</v>
      </c>
      <c r="O336" s="43">
        <f>VLOOKUP(Tabla1[[#This Row],[PAGO DIA]],DIAS!A:E,5,0)</f>
        <v>46171</v>
      </c>
      <c r="P336" s="6">
        <v>0</v>
      </c>
      <c r="Q336" s="43">
        <f>VLOOKUP(Tabla1[[#This Row],[PAGO DIA]],DIAS!A:F,6,0)</f>
        <v>46203</v>
      </c>
      <c r="R336" s="6">
        <v>0</v>
      </c>
      <c r="S336" s="43">
        <f>VLOOKUP(Tabla1[[#This Row],[PAGO DIA]],DIAS!A:G,7,0)</f>
        <v>46234</v>
      </c>
      <c r="T336" s="6">
        <v>0</v>
      </c>
      <c r="U336" s="43">
        <f>VLOOKUP(Tabla1[[#This Row],[PAGO DIA]],DIAS!A:H,8,0)</f>
        <v>46265</v>
      </c>
      <c r="V336" s="6">
        <v>0</v>
      </c>
      <c r="W336" s="43">
        <f>VLOOKUP(Tabla1[[#This Row],[PAGO DIA]],DIAS!A:I,9,0)</f>
        <v>46295</v>
      </c>
      <c r="X336" s="6">
        <v>0</v>
      </c>
      <c r="Y336" s="43">
        <f>VLOOKUP(Tabla1[[#This Row],[PAGO DIA]],DIAS!A:J,10,0)</f>
        <v>46325</v>
      </c>
      <c r="Z336" s="6">
        <v>0</v>
      </c>
      <c r="AA336" s="43">
        <f>VLOOKUP(Tabla1[[#This Row],[PAGO DIA]],DIAS!A:K,11,0)</f>
        <v>46356</v>
      </c>
      <c r="AB336" s="6">
        <v>0</v>
      </c>
      <c r="AC336" s="43">
        <f>VLOOKUP(Tabla1[[#This Row],[PAGO DIA]],DIAS!A:M,12,0)</f>
        <v>46386</v>
      </c>
      <c r="AD3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7" spans="1:30">
      <c r="A337" s="3">
        <v>11741</v>
      </c>
      <c r="B337" s="3" t="s">
        <v>575</v>
      </c>
      <c r="C337" s="3" t="s">
        <v>540</v>
      </c>
      <c r="D337" s="3" t="s">
        <v>540</v>
      </c>
      <c r="E337" s="3" t="s">
        <v>958</v>
      </c>
      <c r="F337" s="42" t="s">
        <v>631</v>
      </c>
      <c r="G337" s="3" t="s">
        <v>960</v>
      </c>
      <c r="H337" s="6">
        <v>0</v>
      </c>
      <c r="I337" s="41">
        <f>VLOOKUP(Tabla1[[#This Row],[PAGO DIA]],DIAS!A:B,2,0)</f>
        <v>46080</v>
      </c>
      <c r="J337" s="6">
        <v>0</v>
      </c>
      <c r="K337" s="43">
        <f>VLOOKUP(Tabla1[[#This Row],[PAGO DIA]],DIAS!A:C,3,0)</f>
        <v>46112</v>
      </c>
      <c r="L337" s="6">
        <v>0</v>
      </c>
      <c r="M337" s="41">
        <f>VLOOKUP(Tabla1[[#This Row],[PAGO DIA]],DIAS!A:D,4,0)</f>
        <v>46142</v>
      </c>
      <c r="N337" s="6">
        <v>0</v>
      </c>
      <c r="O337" s="43">
        <f>VLOOKUP(Tabla1[[#This Row],[PAGO DIA]],DIAS!A:E,5,0)</f>
        <v>46171</v>
      </c>
      <c r="P337" s="6">
        <v>0</v>
      </c>
      <c r="Q337" s="43">
        <f>VLOOKUP(Tabla1[[#This Row],[PAGO DIA]],DIAS!A:F,6,0)</f>
        <v>46203</v>
      </c>
      <c r="R337" s="6">
        <v>0</v>
      </c>
      <c r="S337" s="43">
        <f>VLOOKUP(Tabla1[[#This Row],[PAGO DIA]],DIAS!A:G,7,0)</f>
        <v>46234</v>
      </c>
      <c r="T337" s="6">
        <v>0</v>
      </c>
      <c r="U337" s="43">
        <f>VLOOKUP(Tabla1[[#This Row],[PAGO DIA]],DIAS!A:H,8,0)</f>
        <v>46265</v>
      </c>
      <c r="V337" s="6">
        <v>0</v>
      </c>
      <c r="W337" s="43">
        <f>VLOOKUP(Tabla1[[#This Row],[PAGO DIA]],DIAS!A:I,9,0)</f>
        <v>46295</v>
      </c>
      <c r="X337" s="6">
        <v>0</v>
      </c>
      <c r="Y337" s="43">
        <f>VLOOKUP(Tabla1[[#This Row],[PAGO DIA]],DIAS!A:J,10,0)</f>
        <v>46325</v>
      </c>
      <c r="Z337" s="6">
        <v>0</v>
      </c>
      <c r="AA337" s="43">
        <f>VLOOKUP(Tabla1[[#This Row],[PAGO DIA]],DIAS!A:K,11,0)</f>
        <v>46356</v>
      </c>
      <c r="AB337" s="6">
        <v>0</v>
      </c>
      <c r="AC337" s="43">
        <f>VLOOKUP(Tabla1[[#This Row],[PAGO DIA]],DIAS!A:M,12,0)</f>
        <v>46386</v>
      </c>
      <c r="AD3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8" spans="1:30">
      <c r="A338" s="3">
        <v>12779</v>
      </c>
      <c r="B338" s="3" t="s">
        <v>575</v>
      </c>
      <c r="C338" s="3" t="s">
        <v>576</v>
      </c>
      <c r="D338" s="3" t="s">
        <v>540</v>
      </c>
      <c r="E338" s="3" t="s">
        <v>961</v>
      </c>
      <c r="F338" s="42" t="s">
        <v>631</v>
      </c>
      <c r="G338" s="3" t="s">
        <v>962</v>
      </c>
      <c r="H338" s="6">
        <v>0</v>
      </c>
      <c r="I338" s="41">
        <f>VLOOKUP(Tabla1[[#This Row],[PAGO DIA]],DIAS!A:B,2,0)</f>
        <v>46080</v>
      </c>
      <c r="J338" s="6">
        <v>0</v>
      </c>
      <c r="K338" s="43">
        <f>VLOOKUP(Tabla1[[#This Row],[PAGO DIA]],DIAS!A:C,3,0)</f>
        <v>46112</v>
      </c>
      <c r="L338" s="6">
        <v>0</v>
      </c>
      <c r="M338" s="41">
        <f>VLOOKUP(Tabla1[[#This Row],[PAGO DIA]],DIAS!A:D,4,0)</f>
        <v>46142</v>
      </c>
      <c r="N338" s="6">
        <v>0</v>
      </c>
      <c r="O338" s="43">
        <f>VLOOKUP(Tabla1[[#This Row],[PAGO DIA]],DIAS!A:E,5,0)</f>
        <v>46171</v>
      </c>
      <c r="P338" s="6">
        <v>0</v>
      </c>
      <c r="Q338" s="43">
        <f>VLOOKUP(Tabla1[[#This Row],[PAGO DIA]],DIAS!A:F,6,0)</f>
        <v>46203</v>
      </c>
      <c r="R338" s="6">
        <v>0</v>
      </c>
      <c r="S338" s="43">
        <f>VLOOKUP(Tabla1[[#This Row],[PAGO DIA]],DIAS!A:G,7,0)</f>
        <v>46234</v>
      </c>
      <c r="T338" s="6">
        <v>0</v>
      </c>
      <c r="U338" s="43">
        <f>VLOOKUP(Tabla1[[#This Row],[PAGO DIA]],DIAS!A:H,8,0)</f>
        <v>46265</v>
      </c>
      <c r="V338" s="6">
        <v>0</v>
      </c>
      <c r="W338" s="43">
        <f>VLOOKUP(Tabla1[[#This Row],[PAGO DIA]],DIAS!A:I,9,0)</f>
        <v>46295</v>
      </c>
      <c r="X338" s="6">
        <v>0</v>
      </c>
      <c r="Y338" s="43">
        <f>VLOOKUP(Tabla1[[#This Row],[PAGO DIA]],DIAS!A:J,10,0)</f>
        <v>46325</v>
      </c>
      <c r="Z338" s="6">
        <v>0</v>
      </c>
      <c r="AA338" s="43">
        <f>VLOOKUP(Tabla1[[#This Row],[PAGO DIA]],DIAS!A:K,11,0)</f>
        <v>46356</v>
      </c>
      <c r="AB338" s="6">
        <v>0</v>
      </c>
      <c r="AC338" s="43">
        <f>VLOOKUP(Tabla1[[#This Row],[PAGO DIA]],DIAS!A:M,12,0)</f>
        <v>46386</v>
      </c>
      <c r="AD3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39" spans="1:30">
      <c r="A339" s="3">
        <v>12634</v>
      </c>
      <c r="B339" s="3" t="s">
        <v>575</v>
      </c>
      <c r="C339" s="3" t="s">
        <v>576</v>
      </c>
      <c r="D339" s="3" t="s">
        <v>540</v>
      </c>
      <c r="E339" s="3" t="s">
        <v>963</v>
      </c>
      <c r="F339" s="42" t="s">
        <v>631</v>
      </c>
      <c r="G339" s="3" t="s">
        <v>964</v>
      </c>
      <c r="H339" s="6">
        <v>0</v>
      </c>
      <c r="I339" s="41">
        <f>VLOOKUP(Tabla1[[#This Row],[PAGO DIA]],DIAS!A:B,2,0)</f>
        <v>46080</v>
      </c>
      <c r="J339" s="6">
        <v>0</v>
      </c>
      <c r="K339" s="43">
        <f>VLOOKUP(Tabla1[[#This Row],[PAGO DIA]],DIAS!A:C,3,0)</f>
        <v>46112</v>
      </c>
      <c r="L339" s="6">
        <v>0</v>
      </c>
      <c r="M339" s="41">
        <f>VLOOKUP(Tabla1[[#This Row],[PAGO DIA]],DIAS!A:D,4,0)</f>
        <v>46142</v>
      </c>
      <c r="N339" s="6">
        <v>0</v>
      </c>
      <c r="O339" s="43">
        <f>VLOOKUP(Tabla1[[#This Row],[PAGO DIA]],DIAS!A:E,5,0)</f>
        <v>46171</v>
      </c>
      <c r="P339" s="6">
        <v>0</v>
      </c>
      <c r="Q339" s="43">
        <f>VLOOKUP(Tabla1[[#This Row],[PAGO DIA]],DIAS!A:F,6,0)</f>
        <v>46203</v>
      </c>
      <c r="R339" s="6">
        <v>0</v>
      </c>
      <c r="S339" s="43">
        <f>VLOOKUP(Tabla1[[#This Row],[PAGO DIA]],DIAS!A:G,7,0)</f>
        <v>46234</v>
      </c>
      <c r="T339" s="6">
        <v>0</v>
      </c>
      <c r="U339" s="43">
        <f>VLOOKUP(Tabla1[[#This Row],[PAGO DIA]],DIAS!A:H,8,0)</f>
        <v>46265</v>
      </c>
      <c r="V339" s="6">
        <v>0</v>
      </c>
      <c r="W339" s="43">
        <f>VLOOKUP(Tabla1[[#This Row],[PAGO DIA]],DIAS!A:I,9,0)</f>
        <v>46295</v>
      </c>
      <c r="X339" s="6">
        <v>0</v>
      </c>
      <c r="Y339" s="43">
        <f>VLOOKUP(Tabla1[[#This Row],[PAGO DIA]],DIAS!A:J,10,0)</f>
        <v>46325</v>
      </c>
      <c r="Z339" s="6">
        <v>0</v>
      </c>
      <c r="AA339" s="43">
        <f>VLOOKUP(Tabla1[[#This Row],[PAGO DIA]],DIAS!A:K,11,0)</f>
        <v>46356</v>
      </c>
      <c r="AB339" s="6">
        <v>0</v>
      </c>
      <c r="AC339" s="43">
        <f>VLOOKUP(Tabla1[[#This Row],[PAGO DIA]],DIAS!A:M,12,0)</f>
        <v>46386</v>
      </c>
      <c r="AD3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0" spans="1:30">
      <c r="A340" s="3">
        <v>12635</v>
      </c>
      <c r="B340" s="3" t="s">
        <v>575</v>
      </c>
      <c r="C340" s="3" t="s">
        <v>576</v>
      </c>
      <c r="D340" s="3" t="s">
        <v>540</v>
      </c>
      <c r="E340" s="3" t="s">
        <v>963</v>
      </c>
      <c r="F340" s="42" t="s">
        <v>631</v>
      </c>
      <c r="G340" s="3" t="s">
        <v>965</v>
      </c>
      <c r="H340" s="6">
        <v>0</v>
      </c>
      <c r="I340" s="41">
        <f>VLOOKUP(Tabla1[[#This Row],[PAGO DIA]],DIAS!A:B,2,0)</f>
        <v>46080</v>
      </c>
      <c r="J340" s="6">
        <v>0</v>
      </c>
      <c r="K340" s="43">
        <f>VLOOKUP(Tabla1[[#This Row],[PAGO DIA]],DIAS!A:C,3,0)</f>
        <v>46112</v>
      </c>
      <c r="L340" s="6">
        <v>0</v>
      </c>
      <c r="M340" s="41">
        <f>VLOOKUP(Tabla1[[#This Row],[PAGO DIA]],DIAS!A:D,4,0)</f>
        <v>46142</v>
      </c>
      <c r="N340" s="6">
        <v>0</v>
      </c>
      <c r="O340" s="43">
        <f>VLOOKUP(Tabla1[[#This Row],[PAGO DIA]],DIAS!A:E,5,0)</f>
        <v>46171</v>
      </c>
      <c r="P340" s="6">
        <v>0</v>
      </c>
      <c r="Q340" s="43">
        <f>VLOOKUP(Tabla1[[#This Row],[PAGO DIA]],DIAS!A:F,6,0)</f>
        <v>46203</v>
      </c>
      <c r="R340" s="6">
        <v>0</v>
      </c>
      <c r="S340" s="43">
        <f>VLOOKUP(Tabla1[[#This Row],[PAGO DIA]],DIAS!A:G,7,0)</f>
        <v>46234</v>
      </c>
      <c r="T340" s="6">
        <v>0</v>
      </c>
      <c r="U340" s="43">
        <f>VLOOKUP(Tabla1[[#This Row],[PAGO DIA]],DIAS!A:H,8,0)</f>
        <v>46265</v>
      </c>
      <c r="V340" s="6">
        <v>0</v>
      </c>
      <c r="W340" s="43">
        <f>VLOOKUP(Tabla1[[#This Row],[PAGO DIA]],DIAS!A:I,9,0)</f>
        <v>46295</v>
      </c>
      <c r="X340" s="6">
        <v>0</v>
      </c>
      <c r="Y340" s="43">
        <f>VLOOKUP(Tabla1[[#This Row],[PAGO DIA]],DIAS!A:J,10,0)</f>
        <v>46325</v>
      </c>
      <c r="Z340" s="6">
        <v>0</v>
      </c>
      <c r="AA340" s="43">
        <f>VLOOKUP(Tabla1[[#This Row],[PAGO DIA]],DIAS!A:K,11,0)</f>
        <v>46356</v>
      </c>
      <c r="AB340" s="6">
        <v>0</v>
      </c>
      <c r="AC340" s="43">
        <f>VLOOKUP(Tabla1[[#This Row],[PAGO DIA]],DIAS!A:M,12,0)</f>
        <v>46386</v>
      </c>
      <c r="AD3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1" spans="1:30">
      <c r="A341" s="3">
        <v>12648</v>
      </c>
      <c r="B341" s="3" t="s">
        <v>575</v>
      </c>
      <c r="C341" s="3" t="s">
        <v>576</v>
      </c>
      <c r="D341" s="3" t="s">
        <v>540</v>
      </c>
      <c r="E341" s="3" t="s">
        <v>963</v>
      </c>
      <c r="F341" s="42" t="s">
        <v>631</v>
      </c>
      <c r="G341" s="3" t="s">
        <v>966</v>
      </c>
      <c r="H341" s="6">
        <v>0</v>
      </c>
      <c r="I341" s="41">
        <f>VLOOKUP(Tabla1[[#This Row],[PAGO DIA]],DIAS!A:B,2,0)</f>
        <v>46080</v>
      </c>
      <c r="J341" s="6">
        <v>0</v>
      </c>
      <c r="K341" s="43">
        <f>VLOOKUP(Tabla1[[#This Row],[PAGO DIA]],DIAS!A:C,3,0)</f>
        <v>46112</v>
      </c>
      <c r="L341" s="6">
        <v>0</v>
      </c>
      <c r="M341" s="41">
        <f>VLOOKUP(Tabla1[[#This Row],[PAGO DIA]],DIAS!A:D,4,0)</f>
        <v>46142</v>
      </c>
      <c r="N341" s="6">
        <v>0</v>
      </c>
      <c r="O341" s="43">
        <f>VLOOKUP(Tabla1[[#This Row],[PAGO DIA]],DIAS!A:E,5,0)</f>
        <v>46171</v>
      </c>
      <c r="P341" s="6">
        <v>0</v>
      </c>
      <c r="Q341" s="43">
        <f>VLOOKUP(Tabla1[[#This Row],[PAGO DIA]],DIAS!A:F,6,0)</f>
        <v>46203</v>
      </c>
      <c r="R341" s="6">
        <v>0</v>
      </c>
      <c r="S341" s="43">
        <f>VLOOKUP(Tabla1[[#This Row],[PAGO DIA]],DIAS!A:G,7,0)</f>
        <v>46234</v>
      </c>
      <c r="T341" s="6">
        <v>0</v>
      </c>
      <c r="U341" s="43">
        <f>VLOOKUP(Tabla1[[#This Row],[PAGO DIA]],DIAS!A:H,8,0)</f>
        <v>46265</v>
      </c>
      <c r="V341" s="6">
        <v>0</v>
      </c>
      <c r="W341" s="43">
        <f>VLOOKUP(Tabla1[[#This Row],[PAGO DIA]],DIAS!A:I,9,0)</f>
        <v>46295</v>
      </c>
      <c r="X341" s="6">
        <v>0</v>
      </c>
      <c r="Y341" s="43">
        <f>VLOOKUP(Tabla1[[#This Row],[PAGO DIA]],DIAS!A:J,10,0)</f>
        <v>46325</v>
      </c>
      <c r="Z341" s="6">
        <v>0</v>
      </c>
      <c r="AA341" s="43">
        <f>VLOOKUP(Tabla1[[#This Row],[PAGO DIA]],DIAS!A:K,11,0)</f>
        <v>46356</v>
      </c>
      <c r="AB341" s="6">
        <v>0</v>
      </c>
      <c r="AC341" s="43">
        <f>VLOOKUP(Tabla1[[#This Row],[PAGO DIA]],DIAS!A:M,12,0)</f>
        <v>46386</v>
      </c>
      <c r="AD3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2" spans="1:30">
      <c r="A342" s="3">
        <v>12655</v>
      </c>
      <c r="B342" s="3" t="s">
        <v>575</v>
      </c>
      <c r="C342" s="3" t="s">
        <v>576</v>
      </c>
      <c r="D342" s="3" t="s">
        <v>540</v>
      </c>
      <c r="E342" s="3" t="s">
        <v>963</v>
      </c>
      <c r="F342" s="42" t="s">
        <v>631</v>
      </c>
      <c r="G342" s="3" t="s">
        <v>967</v>
      </c>
      <c r="H342" s="6">
        <v>0</v>
      </c>
      <c r="I342" s="41">
        <f>VLOOKUP(Tabla1[[#This Row],[PAGO DIA]],DIAS!A:B,2,0)</f>
        <v>46080</v>
      </c>
      <c r="J342" s="6">
        <v>0</v>
      </c>
      <c r="K342" s="43">
        <f>VLOOKUP(Tabla1[[#This Row],[PAGO DIA]],DIAS!A:C,3,0)</f>
        <v>46112</v>
      </c>
      <c r="L342" s="6">
        <v>0</v>
      </c>
      <c r="M342" s="41">
        <f>VLOOKUP(Tabla1[[#This Row],[PAGO DIA]],DIAS!A:D,4,0)</f>
        <v>46142</v>
      </c>
      <c r="N342" s="6">
        <v>0</v>
      </c>
      <c r="O342" s="43">
        <f>VLOOKUP(Tabla1[[#This Row],[PAGO DIA]],DIAS!A:E,5,0)</f>
        <v>46171</v>
      </c>
      <c r="P342" s="6">
        <v>0</v>
      </c>
      <c r="Q342" s="43">
        <f>VLOOKUP(Tabla1[[#This Row],[PAGO DIA]],DIAS!A:F,6,0)</f>
        <v>46203</v>
      </c>
      <c r="R342" s="6">
        <v>0</v>
      </c>
      <c r="S342" s="43">
        <f>VLOOKUP(Tabla1[[#This Row],[PAGO DIA]],DIAS!A:G,7,0)</f>
        <v>46234</v>
      </c>
      <c r="T342" s="6">
        <v>0</v>
      </c>
      <c r="U342" s="43">
        <f>VLOOKUP(Tabla1[[#This Row],[PAGO DIA]],DIAS!A:H,8,0)</f>
        <v>46265</v>
      </c>
      <c r="V342" s="6">
        <v>0</v>
      </c>
      <c r="W342" s="43">
        <f>VLOOKUP(Tabla1[[#This Row],[PAGO DIA]],DIAS!A:I,9,0)</f>
        <v>46295</v>
      </c>
      <c r="X342" s="6">
        <v>0</v>
      </c>
      <c r="Y342" s="43">
        <f>VLOOKUP(Tabla1[[#This Row],[PAGO DIA]],DIAS!A:J,10,0)</f>
        <v>46325</v>
      </c>
      <c r="Z342" s="6">
        <v>0</v>
      </c>
      <c r="AA342" s="43">
        <f>VLOOKUP(Tabla1[[#This Row],[PAGO DIA]],DIAS!A:K,11,0)</f>
        <v>46356</v>
      </c>
      <c r="AB342" s="6">
        <v>0</v>
      </c>
      <c r="AC342" s="43">
        <f>VLOOKUP(Tabla1[[#This Row],[PAGO DIA]],DIAS!A:M,12,0)</f>
        <v>46386</v>
      </c>
      <c r="AD3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3" spans="1:30">
      <c r="A343" s="3">
        <v>12660</v>
      </c>
      <c r="B343" s="3" t="s">
        <v>575</v>
      </c>
      <c r="C343" s="3" t="s">
        <v>576</v>
      </c>
      <c r="D343" s="3" t="s">
        <v>540</v>
      </c>
      <c r="E343" s="3" t="s">
        <v>963</v>
      </c>
      <c r="F343" s="42" t="s">
        <v>631</v>
      </c>
      <c r="G343" s="3" t="s">
        <v>968</v>
      </c>
      <c r="H343" s="6">
        <v>0</v>
      </c>
      <c r="I343" s="41">
        <f>VLOOKUP(Tabla1[[#This Row],[PAGO DIA]],DIAS!A:B,2,0)</f>
        <v>46080</v>
      </c>
      <c r="J343" s="6">
        <v>0</v>
      </c>
      <c r="K343" s="43">
        <f>VLOOKUP(Tabla1[[#This Row],[PAGO DIA]],DIAS!A:C,3,0)</f>
        <v>46112</v>
      </c>
      <c r="L343" s="6">
        <v>0</v>
      </c>
      <c r="M343" s="41">
        <f>VLOOKUP(Tabla1[[#This Row],[PAGO DIA]],DIAS!A:D,4,0)</f>
        <v>46142</v>
      </c>
      <c r="N343" s="6">
        <v>0</v>
      </c>
      <c r="O343" s="43">
        <f>VLOOKUP(Tabla1[[#This Row],[PAGO DIA]],DIAS!A:E,5,0)</f>
        <v>46171</v>
      </c>
      <c r="P343" s="6">
        <v>0</v>
      </c>
      <c r="Q343" s="43">
        <f>VLOOKUP(Tabla1[[#This Row],[PAGO DIA]],DIAS!A:F,6,0)</f>
        <v>46203</v>
      </c>
      <c r="R343" s="6">
        <v>0</v>
      </c>
      <c r="S343" s="43">
        <f>VLOOKUP(Tabla1[[#This Row],[PAGO DIA]],DIAS!A:G,7,0)</f>
        <v>46234</v>
      </c>
      <c r="T343" s="6">
        <v>0</v>
      </c>
      <c r="U343" s="43">
        <f>VLOOKUP(Tabla1[[#This Row],[PAGO DIA]],DIAS!A:H,8,0)</f>
        <v>46265</v>
      </c>
      <c r="V343" s="6">
        <v>0</v>
      </c>
      <c r="W343" s="43">
        <f>VLOOKUP(Tabla1[[#This Row],[PAGO DIA]],DIAS!A:I,9,0)</f>
        <v>46295</v>
      </c>
      <c r="X343" s="6">
        <v>0</v>
      </c>
      <c r="Y343" s="43">
        <f>VLOOKUP(Tabla1[[#This Row],[PAGO DIA]],DIAS!A:J,10,0)</f>
        <v>46325</v>
      </c>
      <c r="Z343" s="6">
        <v>0</v>
      </c>
      <c r="AA343" s="43">
        <f>VLOOKUP(Tabla1[[#This Row],[PAGO DIA]],DIAS!A:K,11,0)</f>
        <v>46356</v>
      </c>
      <c r="AB343" s="6">
        <v>0</v>
      </c>
      <c r="AC343" s="43">
        <f>VLOOKUP(Tabla1[[#This Row],[PAGO DIA]],DIAS!A:M,12,0)</f>
        <v>46386</v>
      </c>
      <c r="AD3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4" spans="1:30">
      <c r="A344" s="3">
        <v>12666</v>
      </c>
      <c r="B344" s="3" t="s">
        <v>575</v>
      </c>
      <c r="C344" s="3" t="s">
        <v>576</v>
      </c>
      <c r="D344" s="3" t="s">
        <v>540</v>
      </c>
      <c r="E344" s="3" t="s">
        <v>963</v>
      </c>
      <c r="F344" s="42" t="s">
        <v>631</v>
      </c>
      <c r="G344" s="3" t="s">
        <v>969</v>
      </c>
      <c r="H344" s="6">
        <v>0</v>
      </c>
      <c r="I344" s="41">
        <f>VLOOKUP(Tabla1[[#This Row],[PAGO DIA]],DIAS!A:B,2,0)</f>
        <v>46080</v>
      </c>
      <c r="J344" s="6">
        <v>0</v>
      </c>
      <c r="K344" s="43">
        <f>VLOOKUP(Tabla1[[#This Row],[PAGO DIA]],DIAS!A:C,3,0)</f>
        <v>46112</v>
      </c>
      <c r="L344" s="6">
        <v>0</v>
      </c>
      <c r="M344" s="41">
        <f>VLOOKUP(Tabla1[[#This Row],[PAGO DIA]],DIAS!A:D,4,0)</f>
        <v>46142</v>
      </c>
      <c r="N344" s="6">
        <v>0</v>
      </c>
      <c r="O344" s="43">
        <f>VLOOKUP(Tabla1[[#This Row],[PAGO DIA]],DIAS!A:E,5,0)</f>
        <v>46171</v>
      </c>
      <c r="P344" s="6">
        <v>0</v>
      </c>
      <c r="Q344" s="43">
        <f>VLOOKUP(Tabla1[[#This Row],[PAGO DIA]],DIAS!A:F,6,0)</f>
        <v>46203</v>
      </c>
      <c r="R344" s="6">
        <v>0</v>
      </c>
      <c r="S344" s="43">
        <f>VLOOKUP(Tabla1[[#This Row],[PAGO DIA]],DIAS!A:G,7,0)</f>
        <v>46234</v>
      </c>
      <c r="T344" s="6">
        <v>0</v>
      </c>
      <c r="U344" s="43">
        <f>VLOOKUP(Tabla1[[#This Row],[PAGO DIA]],DIAS!A:H,8,0)</f>
        <v>46265</v>
      </c>
      <c r="V344" s="6">
        <v>0</v>
      </c>
      <c r="W344" s="43">
        <f>VLOOKUP(Tabla1[[#This Row],[PAGO DIA]],DIAS!A:I,9,0)</f>
        <v>46295</v>
      </c>
      <c r="X344" s="6">
        <v>0</v>
      </c>
      <c r="Y344" s="43">
        <f>VLOOKUP(Tabla1[[#This Row],[PAGO DIA]],DIAS!A:J,10,0)</f>
        <v>46325</v>
      </c>
      <c r="Z344" s="6">
        <v>0</v>
      </c>
      <c r="AA344" s="43">
        <f>VLOOKUP(Tabla1[[#This Row],[PAGO DIA]],DIAS!A:K,11,0)</f>
        <v>46356</v>
      </c>
      <c r="AB344" s="6">
        <v>0</v>
      </c>
      <c r="AC344" s="43">
        <f>VLOOKUP(Tabla1[[#This Row],[PAGO DIA]],DIAS!A:M,12,0)</f>
        <v>46386</v>
      </c>
      <c r="AD3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5" spans="1:30">
      <c r="A345" s="3">
        <v>12674</v>
      </c>
      <c r="B345" s="3" t="s">
        <v>575</v>
      </c>
      <c r="C345" s="3" t="s">
        <v>576</v>
      </c>
      <c r="D345" s="3" t="s">
        <v>540</v>
      </c>
      <c r="E345" s="3" t="s">
        <v>963</v>
      </c>
      <c r="F345" s="42" t="s">
        <v>631</v>
      </c>
      <c r="G345" s="3" t="s">
        <v>970</v>
      </c>
      <c r="H345" s="6">
        <v>0</v>
      </c>
      <c r="I345" s="41">
        <f>VLOOKUP(Tabla1[[#This Row],[PAGO DIA]],DIAS!A:B,2,0)</f>
        <v>46080</v>
      </c>
      <c r="J345" s="6">
        <v>0</v>
      </c>
      <c r="K345" s="43">
        <f>VLOOKUP(Tabla1[[#This Row],[PAGO DIA]],DIAS!A:C,3,0)</f>
        <v>46112</v>
      </c>
      <c r="L345" s="6">
        <v>0</v>
      </c>
      <c r="M345" s="41">
        <f>VLOOKUP(Tabla1[[#This Row],[PAGO DIA]],DIAS!A:D,4,0)</f>
        <v>46142</v>
      </c>
      <c r="N345" s="6">
        <v>0</v>
      </c>
      <c r="O345" s="43">
        <f>VLOOKUP(Tabla1[[#This Row],[PAGO DIA]],DIAS!A:E,5,0)</f>
        <v>46171</v>
      </c>
      <c r="P345" s="6">
        <v>0</v>
      </c>
      <c r="Q345" s="43">
        <f>VLOOKUP(Tabla1[[#This Row],[PAGO DIA]],DIAS!A:F,6,0)</f>
        <v>46203</v>
      </c>
      <c r="R345" s="6">
        <v>0</v>
      </c>
      <c r="S345" s="43">
        <f>VLOOKUP(Tabla1[[#This Row],[PAGO DIA]],DIAS!A:G,7,0)</f>
        <v>46234</v>
      </c>
      <c r="T345" s="6">
        <v>0</v>
      </c>
      <c r="U345" s="43">
        <f>VLOOKUP(Tabla1[[#This Row],[PAGO DIA]],DIAS!A:H,8,0)</f>
        <v>46265</v>
      </c>
      <c r="V345" s="6">
        <v>0</v>
      </c>
      <c r="W345" s="43">
        <f>VLOOKUP(Tabla1[[#This Row],[PAGO DIA]],DIAS!A:I,9,0)</f>
        <v>46295</v>
      </c>
      <c r="X345" s="6">
        <v>0</v>
      </c>
      <c r="Y345" s="43">
        <f>VLOOKUP(Tabla1[[#This Row],[PAGO DIA]],DIAS!A:J,10,0)</f>
        <v>46325</v>
      </c>
      <c r="Z345" s="6">
        <v>0</v>
      </c>
      <c r="AA345" s="43">
        <f>VLOOKUP(Tabla1[[#This Row],[PAGO DIA]],DIAS!A:K,11,0)</f>
        <v>46356</v>
      </c>
      <c r="AB345" s="6">
        <v>0</v>
      </c>
      <c r="AC345" s="43">
        <f>VLOOKUP(Tabla1[[#This Row],[PAGO DIA]],DIAS!A:M,12,0)</f>
        <v>46386</v>
      </c>
      <c r="AD3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6" spans="1:30">
      <c r="A346" s="3">
        <v>12675</v>
      </c>
      <c r="B346" s="3" t="s">
        <v>575</v>
      </c>
      <c r="C346" s="3" t="s">
        <v>576</v>
      </c>
      <c r="D346" s="3" t="s">
        <v>540</v>
      </c>
      <c r="E346" s="3" t="s">
        <v>963</v>
      </c>
      <c r="F346" s="42" t="s">
        <v>631</v>
      </c>
      <c r="G346" s="3" t="s">
        <v>971</v>
      </c>
      <c r="H346" s="6">
        <v>0</v>
      </c>
      <c r="I346" s="41">
        <f>VLOOKUP(Tabla1[[#This Row],[PAGO DIA]],DIAS!A:B,2,0)</f>
        <v>46080</v>
      </c>
      <c r="J346" s="6">
        <v>0</v>
      </c>
      <c r="K346" s="43">
        <f>VLOOKUP(Tabla1[[#This Row],[PAGO DIA]],DIAS!A:C,3,0)</f>
        <v>46112</v>
      </c>
      <c r="L346" s="6">
        <v>0</v>
      </c>
      <c r="M346" s="41">
        <f>VLOOKUP(Tabla1[[#This Row],[PAGO DIA]],DIAS!A:D,4,0)</f>
        <v>46142</v>
      </c>
      <c r="N346" s="6">
        <v>0</v>
      </c>
      <c r="O346" s="43">
        <f>VLOOKUP(Tabla1[[#This Row],[PAGO DIA]],DIAS!A:E,5,0)</f>
        <v>46171</v>
      </c>
      <c r="P346" s="6">
        <v>0</v>
      </c>
      <c r="Q346" s="43">
        <f>VLOOKUP(Tabla1[[#This Row],[PAGO DIA]],DIAS!A:F,6,0)</f>
        <v>46203</v>
      </c>
      <c r="R346" s="6">
        <v>0</v>
      </c>
      <c r="S346" s="43">
        <f>VLOOKUP(Tabla1[[#This Row],[PAGO DIA]],DIAS!A:G,7,0)</f>
        <v>46234</v>
      </c>
      <c r="T346" s="6">
        <v>0</v>
      </c>
      <c r="U346" s="43">
        <f>VLOOKUP(Tabla1[[#This Row],[PAGO DIA]],DIAS!A:H,8,0)</f>
        <v>46265</v>
      </c>
      <c r="V346" s="6">
        <v>0</v>
      </c>
      <c r="W346" s="43">
        <f>VLOOKUP(Tabla1[[#This Row],[PAGO DIA]],DIAS!A:I,9,0)</f>
        <v>46295</v>
      </c>
      <c r="X346" s="6">
        <v>0</v>
      </c>
      <c r="Y346" s="43">
        <f>VLOOKUP(Tabla1[[#This Row],[PAGO DIA]],DIAS!A:J,10,0)</f>
        <v>46325</v>
      </c>
      <c r="Z346" s="6">
        <v>0</v>
      </c>
      <c r="AA346" s="43">
        <f>VLOOKUP(Tabla1[[#This Row],[PAGO DIA]],DIAS!A:K,11,0)</f>
        <v>46356</v>
      </c>
      <c r="AB346" s="6">
        <v>0</v>
      </c>
      <c r="AC346" s="43">
        <f>VLOOKUP(Tabla1[[#This Row],[PAGO DIA]],DIAS!A:M,12,0)</f>
        <v>46386</v>
      </c>
      <c r="AD3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7" spans="1:30">
      <c r="A347" s="3">
        <v>12682</v>
      </c>
      <c r="B347" s="3" t="s">
        <v>575</v>
      </c>
      <c r="C347" s="3" t="s">
        <v>576</v>
      </c>
      <c r="D347" s="3" t="s">
        <v>540</v>
      </c>
      <c r="E347" s="3" t="s">
        <v>963</v>
      </c>
      <c r="F347" s="42" t="s">
        <v>631</v>
      </c>
      <c r="G347" s="3" t="s">
        <v>972</v>
      </c>
      <c r="H347" s="6">
        <v>0</v>
      </c>
      <c r="I347" s="41">
        <f>VLOOKUP(Tabla1[[#This Row],[PAGO DIA]],DIAS!A:B,2,0)</f>
        <v>46080</v>
      </c>
      <c r="J347" s="6">
        <v>0</v>
      </c>
      <c r="K347" s="43">
        <f>VLOOKUP(Tabla1[[#This Row],[PAGO DIA]],DIAS!A:C,3,0)</f>
        <v>46112</v>
      </c>
      <c r="L347" s="6">
        <v>0</v>
      </c>
      <c r="M347" s="41">
        <f>VLOOKUP(Tabla1[[#This Row],[PAGO DIA]],DIAS!A:D,4,0)</f>
        <v>46142</v>
      </c>
      <c r="N347" s="6">
        <v>0</v>
      </c>
      <c r="O347" s="43">
        <f>VLOOKUP(Tabla1[[#This Row],[PAGO DIA]],DIAS!A:E,5,0)</f>
        <v>46171</v>
      </c>
      <c r="P347" s="6">
        <v>0</v>
      </c>
      <c r="Q347" s="43">
        <f>VLOOKUP(Tabla1[[#This Row],[PAGO DIA]],DIAS!A:F,6,0)</f>
        <v>46203</v>
      </c>
      <c r="R347" s="6">
        <v>0</v>
      </c>
      <c r="S347" s="43">
        <f>VLOOKUP(Tabla1[[#This Row],[PAGO DIA]],DIAS!A:G,7,0)</f>
        <v>46234</v>
      </c>
      <c r="T347" s="6">
        <v>0</v>
      </c>
      <c r="U347" s="43">
        <f>VLOOKUP(Tabla1[[#This Row],[PAGO DIA]],DIAS!A:H,8,0)</f>
        <v>46265</v>
      </c>
      <c r="V347" s="6">
        <v>0</v>
      </c>
      <c r="W347" s="43">
        <f>VLOOKUP(Tabla1[[#This Row],[PAGO DIA]],DIAS!A:I,9,0)</f>
        <v>46295</v>
      </c>
      <c r="X347" s="6">
        <v>0</v>
      </c>
      <c r="Y347" s="43">
        <f>VLOOKUP(Tabla1[[#This Row],[PAGO DIA]],DIAS!A:J,10,0)</f>
        <v>46325</v>
      </c>
      <c r="Z347" s="6">
        <v>0</v>
      </c>
      <c r="AA347" s="43">
        <f>VLOOKUP(Tabla1[[#This Row],[PAGO DIA]],DIAS!A:K,11,0)</f>
        <v>46356</v>
      </c>
      <c r="AB347" s="6">
        <v>0</v>
      </c>
      <c r="AC347" s="43">
        <f>VLOOKUP(Tabla1[[#This Row],[PAGO DIA]],DIAS!A:M,12,0)</f>
        <v>46386</v>
      </c>
      <c r="AD3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8" spans="1:30">
      <c r="A348" s="3">
        <v>12695</v>
      </c>
      <c r="B348" s="3" t="s">
        <v>575</v>
      </c>
      <c r="C348" s="3" t="s">
        <v>576</v>
      </c>
      <c r="D348" s="3" t="s">
        <v>540</v>
      </c>
      <c r="E348" s="3" t="s">
        <v>963</v>
      </c>
      <c r="F348" s="42" t="s">
        <v>631</v>
      </c>
      <c r="G348" s="3" t="s">
        <v>973</v>
      </c>
      <c r="H348" s="6">
        <v>0</v>
      </c>
      <c r="I348" s="41">
        <f>VLOOKUP(Tabla1[[#This Row],[PAGO DIA]],DIAS!A:B,2,0)</f>
        <v>46080</v>
      </c>
      <c r="J348" s="6">
        <v>0</v>
      </c>
      <c r="K348" s="43">
        <f>VLOOKUP(Tabla1[[#This Row],[PAGO DIA]],DIAS!A:C,3,0)</f>
        <v>46112</v>
      </c>
      <c r="L348" s="6">
        <v>0</v>
      </c>
      <c r="M348" s="41">
        <f>VLOOKUP(Tabla1[[#This Row],[PAGO DIA]],DIAS!A:D,4,0)</f>
        <v>46142</v>
      </c>
      <c r="N348" s="6">
        <v>0</v>
      </c>
      <c r="O348" s="43">
        <f>VLOOKUP(Tabla1[[#This Row],[PAGO DIA]],DIAS!A:E,5,0)</f>
        <v>46171</v>
      </c>
      <c r="P348" s="6">
        <v>0</v>
      </c>
      <c r="Q348" s="43">
        <f>VLOOKUP(Tabla1[[#This Row],[PAGO DIA]],DIAS!A:F,6,0)</f>
        <v>46203</v>
      </c>
      <c r="R348" s="6">
        <v>0</v>
      </c>
      <c r="S348" s="43">
        <f>VLOOKUP(Tabla1[[#This Row],[PAGO DIA]],DIAS!A:G,7,0)</f>
        <v>46234</v>
      </c>
      <c r="T348" s="6">
        <v>0</v>
      </c>
      <c r="U348" s="43">
        <f>VLOOKUP(Tabla1[[#This Row],[PAGO DIA]],DIAS!A:H,8,0)</f>
        <v>46265</v>
      </c>
      <c r="V348" s="6">
        <v>0</v>
      </c>
      <c r="W348" s="43">
        <f>VLOOKUP(Tabla1[[#This Row],[PAGO DIA]],DIAS!A:I,9,0)</f>
        <v>46295</v>
      </c>
      <c r="X348" s="6">
        <v>0</v>
      </c>
      <c r="Y348" s="43">
        <f>VLOOKUP(Tabla1[[#This Row],[PAGO DIA]],DIAS!A:J,10,0)</f>
        <v>46325</v>
      </c>
      <c r="Z348" s="6">
        <v>0</v>
      </c>
      <c r="AA348" s="43">
        <f>VLOOKUP(Tabla1[[#This Row],[PAGO DIA]],DIAS!A:K,11,0)</f>
        <v>46356</v>
      </c>
      <c r="AB348" s="6">
        <v>0</v>
      </c>
      <c r="AC348" s="43">
        <f>VLOOKUP(Tabla1[[#This Row],[PAGO DIA]],DIAS!A:M,12,0)</f>
        <v>46386</v>
      </c>
      <c r="AD3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49" spans="1:30">
      <c r="A349" s="3">
        <v>12716</v>
      </c>
      <c r="B349" s="3" t="s">
        <v>575</v>
      </c>
      <c r="C349" s="3" t="s">
        <v>576</v>
      </c>
      <c r="D349" s="3" t="s">
        <v>540</v>
      </c>
      <c r="E349" s="3" t="s">
        <v>963</v>
      </c>
      <c r="F349" s="42" t="s">
        <v>631</v>
      </c>
      <c r="G349" s="3" t="s">
        <v>974</v>
      </c>
      <c r="H349" s="6">
        <v>0</v>
      </c>
      <c r="I349" s="41">
        <f>VLOOKUP(Tabla1[[#This Row],[PAGO DIA]],DIAS!A:B,2,0)</f>
        <v>46080</v>
      </c>
      <c r="J349" s="6">
        <v>0</v>
      </c>
      <c r="K349" s="43">
        <f>VLOOKUP(Tabla1[[#This Row],[PAGO DIA]],DIAS!A:C,3,0)</f>
        <v>46112</v>
      </c>
      <c r="L349" s="6">
        <v>0</v>
      </c>
      <c r="M349" s="41">
        <f>VLOOKUP(Tabla1[[#This Row],[PAGO DIA]],DIAS!A:D,4,0)</f>
        <v>46142</v>
      </c>
      <c r="N349" s="6">
        <v>0</v>
      </c>
      <c r="O349" s="43">
        <f>VLOOKUP(Tabla1[[#This Row],[PAGO DIA]],DIAS!A:E,5,0)</f>
        <v>46171</v>
      </c>
      <c r="P349" s="6">
        <v>0</v>
      </c>
      <c r="Q349" s="43">
        <f>VLOOKUP(Tabla1[[#This Row],[PAGO DIA]],DIAS!A:F,6,0)</f>
        <v>46203</v>
      </c>
      <c r="R349" s="6">
        <v>0</v>
      </c>
      <c r="S349" s="43">
        <f>VLOOKUP(Tabla1[[#This Row],[PAGO DIA]],DIAS!A:G,7,0)</f>
        <v>46234</v>
      </c>
      <c r="T349" s="6">
        <v>0</v>
      </c>
      <c r="U349" s="43">
        <f>VLOOKUP(Tabla1[[#This Row],[PAGO DIA]],DIAS!A:H,8,0)</f>
        <v>46265</v>
      </c>
      <c r="V349" s="6">
        <v>0</v>
      </c>
      <c r="W349" s="43">
        <f>VLOOKUP(Tabla1[[#This Row],[PAGO DIA]],DIAS!A:I,9,0)</f>
        <v>46295</v>
      </c>
      <c r="X349" s="6">
        <v>0</v>
      </c>
      <c r="Y349" s="43">
        <f>VLOOKUP(Tabla1[[#This Row],[PAGO DIA]],DIAS!A:J,10,0)</f>
        <v>46325</v>
      </c>
      <c r="Z349" s="6">
        <v>0</v>
      </c>
      <c r="AA349" s="43">
        <f>VLOOKUP(Tabla1[[#This Row],[PAGO DIA]],DIAS!A:K,11,0)</f>
        <v>46356</v>
      </c>
      <c r="AB349" s="6">
        <v>0</v>
      </c>
      <c r="AC349" s="43">
        <f>VLOOKUP(Tabla1[[#This Row],[PAGO DIA]],DIAS!A:M,12,0)</f>
        <v>46386</v>
      </c>
      <c r="AD3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0" spans="1:30">
      <c r="A350" s="3">
        <v>12730</v>
      </c>
      <c r="B350" s="3" t="s">
        <v>575</v>
      </c>
      <c r="C350" s="3" t="s">
        <v>576</v>
      </c>
      <c r="D350" s="3" t="s">
        <v>540</v>
      </c>
      <c r="E350" s="3" t="s">
        <v>963</v>
      </c>
      <c r="F350" s="42" t="s">
        <v>631</v>
      </c>
      <c r="G350" s="3" t="s">
        <v>975</v>
      </c>
      <c r="H350" s="6">
        <v>0</v>
      </c>
      <c r="I350" s="41">
        <f>VLOOKUP(Tabla1[[#This Row],[PAGO DIA]],DIAS!A:B,2,0)</f>
        <v>46080</v>
      </c>
      <c r="J350" s="6">
        <v>0</v>
      </c>
      <c r="K350" s="43">
        <f>VLOOKUP(Tabla1[[#This Row],[PAGO DIA]],DIAS!A:C,3,0)</f>
        <v>46112</v>
      </c>
      <c r="L350" s="6">
        <v>0</v>
      </c>
      <c r="M350" s="41">
        <f>VLOOKUP(Tabla1[[#This Row],[PAGO DIA]],DIAS!A:D,4,0)</f>
        <v>46142</v>
      </c>
      <c r="N350" s="6">
        <v>0</v>
      </c>
      <c r="O350" s="43">
        <f>VLOOKUP(Tabla1[[#This Row],[PAGO DIA]],DIAS!A:E,5,0)</f>
        <v>46171</v>
      </c>
      <c r="P350" s="6">
        <v>0</v>
      </c>
      <c r="Q350" s="43">
        <f>VLOOKUP(Tabla1[[#This Row],[PAGO DIA]],DIAS!A:F,6,0)</f>
        <v>46203</v>
      </c>
      <c r="R350" s="6">
        <v>0</v>
      </c>
      <c r="S350" s="43">
        <f>VLOOKUP(Tabla1[[#This Row],[PAGO DIA]],DIAS!A:G,7,0)</f>
        <v>46234</v>
      </c>
      <c r="T350" s="6">
        <v>0</v>
      </c>
      <c r="U350" s="43">
        <f>VLOOKUP(Tabla1[[#This Row],[PAGO DIA]],DIAS!A:H,8,0)</f>
        <v>46265</v>
      </c>
      <c r="V350" s="6">
        <v>0</v>
      </c>
      <c r="W350" s="43">
        <f>VLOOKUP(Tabla1[[#This Row],[PAGO DIA]],DIAS!A:I,9,0)</f>
        <v>46295</v>
      </c>
      <c r="X350" s="6">
        <v>0</v>
      </c>
      <c r="Y350" s="43">
        <f>VLOOKUP(Tabla1[[#This Row],[PAGO DIA]],DIAS!A:J,10,0)</f>
        <v>46325</v>
      </c>
      <c r="Z350" s="6">
        <v>0</v>
      </c>
      <c r="AA350" s="43">
        <f>VLOOKUP(Tabla1[[#This Row],[PAGO DIA]],DIAS!A:K,11,0)</f>
        <v>46356</v>
      </c>
      <c r="AB350" s="6">
        <v>0</v>
      </c>
      <c r="AC350" s="43">
        <f>VLOOKUP(Tabla1[[#This Row],[PAGO DIA]],DIAS!A:M,12,0)</f>
        <v>46386</v>
      </c>
      <c r="AD3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1" spans="1:30">
      <c r="A351" s="3">
        <v>11885</v>
      </c>
      <c r="B351" s="3" t="s">
        <v>575</v>
      </c>
      <c r="C351" s="3" t="s">
        <v>540</v>
      </c>
      <c r="D351" s="3" t="s">
        <v>540</v>
      </c>
      <c r="E351" s="3" t="s">
        <v>976</v>
      </c>
      <c r="F351" s="42" t="s">
        <v>631</v>
      </c>
      <c r="G351" s="3" t="s">
        <v>977</v>
      </c>
      <c r="H351" s="6">
        <v>0</v>
      </c>
      <c r="I351" s="41">
        <f>VLOOKUP(Tabla1[[#This Row],[PAGO DIA]],DIAS!A:B,2,0)</f>
        <v>46080</v>
      </c>
      <c r="J351" s="6">
        <v>0</v>
      </c>
      <c r="K351" s="43">
        <f>VLOOKUP(Tabla1[[#This Row],[PAGO DIA]],DIAS!A:C,3,0)</f>
        <v>46112</v>
      </c>
      <c r="L351" s="6">
        <v>0</v>
      </c>
      <c r="M351" s="41">
        <f>VLOOKUP(Tabla1[[#This Row],[PAGO DIA]],DIAS!A:D,4,0)</f>
        <v>46142</v>
      </c>
      <c r="N351" s="6">
        <v>0</v>
      </c>
      <c r="O351" s="43">
        <f>VLOOKUP(Tabla1[[#This Row],[PAGO DIA]],DIAS!A:E,5,0)</f>
        <v>46171</v>
      </c>
      <c r="P351" s="6">
        <v>0</v>
      </c>
      <c r="Q351" s="43">
        <f>VLOOKUP(Tabla1[[#This Row],[PAGO DIA]],DIAS!A:F,6,0)</f>
        <v>46203</v>
      </c>
      <c r="R351" s="6">
        <v>0</v>
      </c>
      <c r="S351" s="43">
        <f>VLOOKUP(Tabla1[[#This Row],[PAGO DIA]],DIAS!A:G,7,0)</f>
        <v>46234</v>
      </c>
      <c r="T351" s="6">
        <v>0</v>
      </c>
      <c r="U351" s="43">
        <f>VLOOKUP(Tabla1[[#This Row],[PAGO DIA]],DIAS!A:H,8,0)</f>
        <v>46265</v>
      </c>
      <c r="V351" s="6">
        <v>0</v>
      </c>
      <c r="W351" s="43">
        <f>VLOOKUP(Tabla1[[#This Row],[PAGO DIA]],DIAS!A:I,9,0)</f>
        <v>46295</v>
      </c>
      <c r="X351" s="6">
        <v>0</v>
      </c>
      <c r="Y351" s="43">
        <f>VLOOKUP(Tabla1[[#This Row],[PAGO DIA]],DIAS!A:J,10,0)</f>
        <v>46325</v>
      </c>
      <c r="Z351" s="6">
        <v>0</v>
      </c>
      <c r="AA351" s="43">
        <f>VLOOKUP(Tabla1[[#This Row],[PAGO DIA]],DIAS!A:K,11,0)</f>
        <v>46356</v>
      </c>
      <c r="AB351" s="6">
        <v>0</v>
      </c>
      <c r="AC351" s="43">
        <f>VLOOKUP(Tabla1[[#This Row],[PAGO DIA]],DIAS!A:M,12,0)</f>
        <v>46386</v>
      </c>
      <c r="AD3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2" spans="1:30">
      <c r="A352" s="3">
        <v>11886</v>
      </c>
      <c r="B352" s="3" t="s">
        <v>575</v>
      </c>
      <c r="C352" s="3" t="s">
        <v>540</v>
      </c>
      <c r="D352" s="3" t="s">
        <v>540</v>
      </c>
      <c r="E352" s="3" t="s">
        <v>976</v>
      </c>
      <c r="F352" s="42" t="s">
        <v>631</v>
      </c>
      <c r="G352" s="3" t="s">
        <v>978</v>
      </c>
      <c r="H352" s="6">
        <v>0</v>
      </c>
      <c r="I352" s="41">
        <f>VLOOKUP(Tabla1[[#This Row],[PAGO DIA]],DIAS!A:B,2,0)</f>
        <v>46080</v>
      </c>
      <c r="J352" s="6">
        <v>0</v>
      </c>
      <c r="K352" s="43">
        <f>VLOOKUP(Tabla1[[#This Row],[PAGO DIA]],DIAS!A:C,3,0)</f>
        <v>46112</v>
      </c>
      <c r="L352" s="6">
        <v>0</v>
      </c>
      <c r="M352" s="41">
        <f>VLOOKUP(Tabla1[[#This Row],[PAGO DIA]],DIAS!A:D,4,0)</f>
        <v>46142</v>
      </c>
      <c r="N352" s="6">
        <v>0</v>
      </c>
      <c r="O352" s="43">
        <f>VLOOKUP(Tabla1[[#This Row],[PAGO DIA]],DIAS!A:E,5,0)</f>
        <v>46171</v>
      </c>
      <c r="P352" s="6">
        <v>0</v>
      </c>
      <c r="Q352" s="43">
        <f>VLOOKUP(Tabla1[[#This Row],[PAGO DIA]],DIAS!A:F,6,0)</f>
        <v>46203</v>
      </c>
      <c r="R352" s="6">
        <v>0</v>
      </c>
      <c r="S352" s="43">
        <f>VLOOKUP(Tabla1[[#This Row],[PAGO DIA]],DIAS!A:G,7,0)</f>
        <v>46234</v>
      </c>
      <c r="T352" s="6">
        <v>0</v>
      </c>
      <c r="U352" s="43">
        <f>VLOOKUP(Tabla1[[#This Row],[PAGO DIA]],DIAS!A:H,8,0)</f>
        <v>46265</v>
      </c>
      <c r="V352" s="6">
        <v>0</v>
      </c>
      <c r="W352" s="43">
        <f>VLOOKUP(Tabla1[[#This Row],[PAGO DIA]],DIAS!A:I,9,0)</f>
        <v>46295</v>
      </c>
      <c r="X352" s="6">
        <v>0</v>
      </c>
      <c r="Y352" s="43">
        <f>VLOOKUP(Tabla1[[#This Row],[PAGO DIA]],DIAS!A:J,10,0)</f>
        <v>46325</v>
      </c>
      <c r="Z352" s="6">
        <v>0</v>
      </c>
      <c r="AA352" s="43">
        <f>VLOOKUP(Tabla1[[#This Row],[PAGO DIA]],DIAS!A:K,11,0)</f>
        <v>46356</v>
      </c>
      <c r="AB352" s="6">
        <v>0</v>
      </c>
      <c r="AC352" s="43">
        <f>VLOOKUP(Tabla1[[#This Row],[PAGO DIA]],DIAS!A:M,12,0)</f>
        <v>46386</v>
      </c>
      <c r="AD3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3" spans="1:30">
      <c r="A353" s="3">
        <v>11218</v>
      </c>
      <c r="B353" s="3" t="s">
        <v>604</v>
      </c>
      <c r="C353" s="3" t="s">
        <v>605</v>
      </c>
      <c r="D353" s="3" t="s">
        <v>605</v>
      </c>
      <c r="E353" s="3" t="s">
        <v>630</v>
      </c>
      <c r="F353" s="42" t="s">
        <v>631</v>
      </c>
      <c r="G353" s="3"/>
      <c r="H353" s="7">
        <v>150000000</v>
      </c>
      <c r="I353" s="41">
        <f>VLOOKUP(Tabla1[[#This Row],[PAGO DIA]],DIAS!A:B,2,0)</f>
        <v>46080</v>
      </c>
      <c r="J353" s="6">
        <v>150000000</v>
      </c>
      <c r="K353" s="43">
        <f>VLOOKUP(Tabla1[[#This Row],[PAGO DIA]],DIAS!A:C,3,0)</f>
        <v>46112</v>
      </c>
      <c r="L353" s="6">
        <v>150000000</v>
      </c>
      <c r="M353" s="41">
        <f>VLOOKUP(Tabla1[[#This Row],[PAGO DIA]],DIAS!A:D,4,0)</f>
        <v>46142</v>
      </c>
      <c r="N353" s="6">
        <v>150000000</v>
      </c>
      <c r="O353" s="43">
        <f>VLOOKUP(Tabla1[[#This Row],[PAGO DIA]],DIAS!A:E,5,0)</f>
        <v>46171</v>
      </c>
      <c r="P353" s="6">
        <v>150000000</v>
      </c>
      <c r="Q353" s="43">
        <f>VLOOKUP(Tabla1[[#This Row],[PAGO DIA]],DIAS!A:F,6,0)</f>
        <v>46203</v>
      </c>
      <c r="R353" s="6">
        <v>150000000</v>
      </c>
      <c r="S353" s="43">
        <f>VLOOKUP(Tabla1[[#This Row],[PAGO DIA]],DIAS!A:G,7,0)</f>
        <v>46234</v>
      </c>
      <c r="T353" s="6">
        <v>150000000</v>
      </c>
      <c r="U353" s="43">
        <f>VLOOKUP(Tabla1[[#This Row],[PAGO DIA]],DIAS!A:H,8,0)</f>
        <v>46265</v>
      </c>
      <c r="V353" s="6">
        <v>150000000</v>
      </c>
      <c r="W353" s="43">
        <f>VLOOKUP(Tabla1[[#This Row],[PAGO DIA]],DIAS!A:I,9,0)</f>
        <v>46295</v>
      </c>
      <c r="X353" s="6">
        <v>150000000</v>
      </c>
      <c r="Y353" s="43">
        <f>VLOOKUP(Tabla1[[#This Row],[PAGO DIA]],DIAS!A:J,10,0)</f>
        <v>46325</v>
      </c>
      <c r="Z353" s="6">
        <v>150000000</v>
      </c>
      <c r="AA353" s="43">
        <f>VLOOKUP(Tabla1[[#This Row],[PAGO DIA]],DIAS!A:K,11,0)</f>
        <v>46356</v>
      </c>
      <c r="AB353" s="6">
        <v>150000000</v>
      </c>
      <c r="AC353" s="43">
        <f>VLOOKUP(Tabla1[[#This Row],[PAGO DIA]],DIAS!A:M,12,0)</f>
        <v>46386</v>
      </c>
      <c r="AD3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1650000000</v>
      </c>
    </row>
    <row r="354" spans="1:30">
      <c r="A354" s="3">
        <v>12064</v>
      </c>
      <c r="B354" s="3" t="s">
        <v>604</v>
      </c>
      <c r="C354" s="3" t="s">
        <v>605</v>
      </c>
      <c r="D354" s="3" t="s">
        <v>605</v>
      </c>
      <c r="E354" s="3" t="s">
        <v>979</v>
      </c>
      <c r="F354" s="42" t="s">
        <v>631</v>
      </c>
      <c r="G354" s="3" t="s">
        <v>635</v>
      </c>
      <c r="H354" s="6">
        <v>0</v>
      </c>
      <c r="I354" s="41">
        <f>VLOOKUP(Tabla1[[#This Row],[PAGO DIA]],DIAS!A:B,2,0)</f>
        <v>46080</v>
      </c>
      <c r="J354" s="6">
        <v>0</v>
      </c>
      <c r="K354" s="43">
        <f>VLOOKUP(Tabla1[[#This Row],[PAGO DIA]],DIAS!A:C,3,0)</f>
        <v>46112</v>
      </c>
      <c r="L354" s="6">
        <v>0</v>
      </c>
      <c r="M354" s="41">
        <f>VLOOKUP(Tabla1[[#This Row],[PAGO DIA]],DIAS!A:D,4,0)</f>
        <v>46142</v>
      </c>
      <c r="N354" s="6">
        <v>0</v>
      </c>
      <c r="O354" s="43">
        <f>VLOOKUP(Tabla1[[#This Row],[PAGO DIA]],DIAS!A:E,5,0)</f>
        <v>46171</v>
      </c>
      <c r="P354" s="6">
        <v>0</v>
      </c>
      <c r="Q354" s="43">
        <f>VLOOKUP(Tabla1[[#This Row],[PAGO DIA]],DIAS!A:F,6,0)</f>
        <v>46203</v>
      </c>
      <c r="R354" s="6">
        <v>0</v>
      </c>
      <c r="S354" s="43">
        <f>VLOOKUP(Tabla1[[#This Row],[PAGO DIA]],DIAS!A:G,7,0)</f>
        <v>46234</v>
      </c>
      <c r="T354" s="6">
        <v>0</v>
      </c>
      <c r="U354" s="43">
        <f>VLOOKUP(Tabla1[[#This Row],[PAGO DIA]],DIAS!A:H,8,0)</f>
        <v>46265</v>
      </c>
      <c r="V354" s="6">
        <v>0</v>
      </c>
      <c r="W354" s="43">
        <f>VLOOKUP(Tabla1[[#This Row],[PAGO DIA]],DIAS!A:I,9,0)</f>
        <v>46295</v>
      </c>
      <c r="X354" s="6">
        <v>0</v>
      </c>
      <c r="Y354" s="43">
        <f>VLOOKUP(Tabla1[[#This Row],[PAGO DIA]],DIAS!A:J,10,0)</f>
        <v>46325</v>
      </c>
      <c r="Z354" s="6">
        <v>0</v>
      </c>
      <c r="AA354" s="43">
        <f>VLOOKUP(Tabla1[[#This Row],[PAGO DIA]],DIAS!A:K,11,0)</f>
        <v>46356</v>
      </c>
      <c r="AB354" s="6">
        <v>0</v>
      </c>
      <c r="AC354" s="43">
        <f>VLOOKUP(Tabla1[[#This Row],[PAGO DIA]],DIAS!A:M,12,0)</f>
        <v>46386</v>
      </c>
      <c r="AD3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5" spans="1:30">
      <c r="A355" s="3">
        <v>12740</v>
      </c>
      <c r="B355" s="3" t="s">
        <v>604</v>
      </c>
      <c r="C355" s="3" t="s">
        <v>605</v>
      </c>
      <c r="D355" s="3" t="s">
        <v>540</v>
      </c>
      <c r="E355" s="3" t="s">
        <v>980</v>
      </c>
      <c r="F355" s="42" t="s">
        <v>631</v>
      </c>
      <c r="G355" s="3" t="s">
        <v>981</v>
      </c>
      <c r="H355" s="6">
        <v>0</v>
      </c>
      <c r="I355" s="41">
        <f>VLOOKUP(Tabla1[[#This Row],[PAGO DIA]],DIAS!A:B,2,0)</f>
        <v>46080</v>
      </c>
      <c r="J355" s="6">
        <v>0</v>
      </c>
      <c r="K355" s="43">
        <f>VLOOKUP(Tabla1[[#This Row],[PAGO DIA]],DIAS!A:C,3,0)</f>
        <v>46112</v>
      </c>
      <c r="L355" s="6">
        <v>0</v>
      </c>
      <c r="M355" s="41">
        <f>VLOOKUP(Tabla1[[#This Row],[PAGO DIA]],DIAS!A:D,4,0)</f>
        <v>46142</v>
      </c>
      <c r="N355" s="6">
        <v>0</v>
      </c>
      <c r="O355" s="43">
        <f>VLOOKUP(Tabla1[[#This Row],[PAGO DIA]],DIAS!A:E,5,0)</f>
        <v>46171</v>
      </c>
      <c r="P355" s="6">
        <v>0</v>
      </c>
      <c r="Q355" s="43">
        <f>VLOOKUP(Tabla1[[#This Row],[PAGO DIA]],DIAS!A:F,6,0)</f>
        <v>46203</v>
      </c>
      <c r="R355" s="6">
        <v>0</v>
      </c>
      <c r="S355" s="43">
        <f>VLOOKUP(Tabla1[[#This Row],[PAGO DIA]],DIAS!A:G,7,0)</f>
        <v>46234</v>
      </c>
      <c r="T355" s="6">
        <v>0</v>
      </c>
      <c r="U355" s="43">
        <f>VLOOKUP(Tabla1[[#This Row],[PAGO DIA]],DIAS!A:H,8,0)</f>
        <v>46265</v>
      </c>
      <c r="V355" s="6">
        <v>0</v>
      </c>
      <c r="W355" s="43">
        <f>VLOOKUP(Tabla1[[#This Row],[PAGO DIA]],DIAS!A:I,9,0)</f>
        <v>46295</v>
      </c>
      <c r="X355" s="6">
        <v>0</v>
      </c>
      <c r="Y355" s="43">
        <f>VLOOKUP(Tabla1[[#This Row],[PAGO DIA]],DIAS!A:J,10,0)</f>
        <v>46325</v>
      </c>
      <c r="Z355" s="6">
        <v>0</v>
      </c>
      <c r="AA355" s="43">
        <f>VLOOKUP(Tabla1[[#This Row],[PAGO DIA]],DIAS!A:K,11,0)</f>
        <v>46356</v>
      </c>
      <c r="AB355" s="6">
        <v>0</v>
      </c>
      <c r="AC355" s="43">
        <f>VLOOKUP(Tabla1[[#This Row],[PAGO DIA]],DIAS!A:M,12,0)</f>
        <v>46386</v>
      </c>
      <c r="AD3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6" spans="1:30">
      <c r="A356" s="3">
        <v>12786</v>
      </c>
      <c r="B356" s="3" t="s">
        <v>604</v>
      </c>
      <c r="C356" s="3" t="s">
        <v>605</v>
      </c>
      <c r="D356" s="3" t="s">
        <v>540</v>
      </c>
      <c r="E356" s="3" t="s">
        <v>980</v>
      </c>
      <c r="F356" s="42" t="s">
        <v>631</v>
      </c>
      <c r="G356" s="3" t="s">
        <v>982</v>
      </c>
      <c r="H356" s="6">
        <v>0</v>
      </c>
      <c r="I356" s="41">
        <f>VLOOKUP(Tabla1[[#This Row],[PAGO DIA]],DIAS!A:B,2,0)</f>
        <v>46080</v>
      </c>
      <c r="J356" s="6">
        <v>0</v>
      </c>
      <c r="K356" s="43">
        <f>VLOOKUP(Tabla1[[#This Row],[PAGO DIA]],DIAS!A:C,3,0)</f>
        <v>46112</v>
      </c>
      <c r="L356" s="6">
        <v>0</v>
      </c>
      <c r="M356" s="41">
        <f>VLOOKUP(Tabla1[[#This Row],[PAGO DIA]],DIAS!A:D,4,0)</f>
        <v>46142</v>
      </c>
      <c r="N356" s="6">
        <v>0</v>
      </c>
      <c r="O356" s="43">
        <f>VLOOKUP(Tabla1[[#This Row],[PAGO DIA]],DIAS!A:E,5,0)</f>
        <v>46171</v>
      </c>
      <c r="P356" s="6">
        <v>0</v>
      </c>
      <c r="Q356" s="43">
        <f>VLOOKUP(Tabla1[[#This Row],[PAGO DIA]],DIAS!A:F,6,0)</f>
        <v>46203</v>
      </c>
      <c r="R356" s="6">
        <v>0</v>
      </c>
      <c r="S356" s="43">
        <f>VLOOKUP(Tabla1[[#This Row],[PAGO DIA]],DIAS!A:G,7,0)</f>
        <v>46234</v>
      </c>
      <c r="T356" s="6">
        <v>0</v>
      </c>
      <c r="U356" s="43">
        <f>VLOOKUP(Tabla1[[#This Row],[PAGO DIA]],DIAS!A:H,8,0)</f>
        <v>46265</v>
      </c>
      <c r="V356" s="6">
        <v>0</v>
      </c>
      <c r="W356" s="43">
        <f>VLOOKUP(Tabla1[[#This Row],[PAGO DIA]],DIAS!A:I,9,0)</f>
        <v>46295</v>
      </c>
      <c r="X356" s="6">
        <v>0</v>
      </c>
      <c r="Y356" s="43">
        <f>VLOOKUP(Tabla1[[#This Row],[PAGO DIA]],DIAS!A:J,10,0)</f>
        <v>46325</v>
      </c>
      <c r="Z356" s="6">
        <v>0</v>
      </c>
      <c r="AA356" s="43">
        <f>VLOOKUP(Tabla1[[#This Row],[PAGO DIA]],DIAS!A:K,11,0)</f>
        <v>46356</v>
      </c>
      <c r="AB356" s="6">
        <v>0</v>
      </c>
      <c r="AC356" s="43">
        <f>VLOOKUP(Tabla1[[#This Row],[PAGO DIA]],DIAS!A:M,12,0)</f>
        <v>46386</v>
      </c>
      <c r="AD3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7" spans="1:30">
      <c r="A357" s="3">
        <v>12077</v>
      </c>
      <c r="B357" s="3" t="s">
        <v>604</v>
      </c>
      <c r="C357" s="3" t="s">
        <v>605</v>
      </c>
      <c r="D357" s="3" t="s">
        <v>605</v>
      </c>
      <c r="E357" s="3" t="s">
        <v>983</v>
      </c>
      <c r="F357" s="42" t="s">
        <v>631</v>
      </c>
      <c r="G357" s="3" t="s">
        <v>635</v>
      </c>
      <c r="H357" s="6">
        <v>0</v>
      </c>
      <c r="I357" s="41">
        <f>VLOOKUP(Tabla1[[#This Row],[PAGO DIA]],DIAS!A:B,2,0)</f>
        <v>46080</v>
      </c>
      <c r="J357" s="6">
        <v>0</v>
      </c>
      <c r="K357" s="43">
        <f>VLOOKUP(Tabla1[[#This Row],[PAGO DIA]],DIAS!A:C,3,0)</f>
        <v>46112</v>
      </c>
      <c r="L357" s="6">
        <v>0</v>
      </c>
      <c r="M357" s="41">
        <f>VLOOKUP(Tabla1[[#This Row],[PAGO DIA]],DIAS!A:D,4,0)</f>
        <v>46142</v>
      </c>
      <c r="N357" s="6">
        <v>0</v>
      </c>
      <c r="O357" s="43">
        <f>VLOOKUP(Tabla1[[#This Row],[PAGO DIA]],DIAS!A:E,5,0)</f>
        <v>46171</v>
      </c>
      <c r="P357" s="6">
        <v>0</v>
      </c>
      <c r="Q357" s="43">
        <f>VLOOKUP(Tabla1[[#This Row],[PAGO DIA]],DIAS!A:F,6,0)</f>
        <v>46203</v>
      </c>
      <c r="R357" s="6">
        <v>0</v>
      </c>
      <c r="S357" s="43">
        <f>VLOOKUP(Tabla1[[#This Row],[PAGO DIA]],DIAS!A:G,7,0)</f>
        <v>46234</v>
      </c>
      <c r="T357" s="6">
        <v>0</v>
      </c>
      <c r="U357" s="43">
        <f>VLOOKUP(Tabla1[[#This Row],[PAGO DIA]],DIAS!A:H,8,0)</f>
        <v>46265</v>
      </c>
      <c r="V357" s="6">
        <v>0</v>
      </c>
      <c r="W357" s="43">
        <f>VLOOKUP(Tabla1[[#This Row],[PAGO DIA]],DIAS!A:I,9,0)</f>
        <v>46295</v>
      </c>
      <c r="X357" s="6">
        <v>0</v>
      </c>
      <c r="Y357" s="43">
        <f>VLOOKUP(Tabla1[[#This Row],[PAGO DIA]],DIAS!A:J,10,0)</f>
        <v>46325</v>
      </c>
      <c r="Z357" s="6">
        <v>0</v>
      </c>
      <c r="AA357" s="43">
        <f>VLOOKUP(Tabla1[[#This Row],[PAGO DIA]],DIAS!A:K,11,0)</f>
        <v>46356</v>
      </c>
      <c r="AB357" s="6">
        <v>0</v>
      </c>
      <c r="AC357" s="43">
        <f>VLOOKUP(Tabla1[[#This Row],[PAGO DIA]],DIAS!A:M,12,0)</f>
        <v>46386</v>
      </c>
      <c r="AD3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8" spans="1:30">
      <c r="A358" s="3">
        <v>12606</v>
      </c>
      <c r="B358" s="3" t="s">
        <v>604</v>
      </c>
      <c r="C358" s="3" t="s">
        <v>605</v>
      </c>
      <c r="D358" s="3" t="s">
        <v>540</v>
      </c>
      <c r="E358" s="3" t="s">
        <v>984</v>
      </c>
      <c r="F358" s="42" t="s">
        <v>631</v>
      </c>
      <c r="G358" s="3" t="s">
        <v>985</v>
      </c>
      <c r="H358" s="6">
        <v>0</v>
      </c>
      <c r="I358" s="41">
        <f>VLOOKUP(Tabla1[[#This Row],[PAGO DIA]],DIAS!A:B,2,0)</f>
        <v>46080</v>
      </c>
      <c r="J358" s="6">
        <v>0</v>
      </c>
      <c r="K358" s="43">
        <f>VLOOKUP(Tabla1[[#This Row],[PAGO DIA]],DIAS!A:C,3,0)</f>
        <v>46112</v>
      </c>
      <c r="L358" s="6">
        <v>0</v>
      </c>
      <c r="M358" s="41">
        <f>VLOOKUP(Tabla1[[#This Row],[PAGO DIA]],DIAS!A:D,4,0)</f>
        <v>46142</v>
      </c>
      <c r="N358" s="6">
        <v>0</v>
      </c>
      <c r="O358" s="43">
        <f>VLOOKUP(Tabla1[[#This Row],[PAGO DIA]],DIAS!A:E,5,0)</f>
        <v>46171</v>
      </c>
      <c r="P358" s="6">
        <v>0</v>
      </c>
      <c r="Q358" s="43">
        <f>VLOOKUP(Tabla1[[#This Row],[PAGO DIA]],DIAS!A:F,6,0)</f>
        <v>46203</v>
      </c>
      <c r="R358" s="6">
        <v>0</v>
      </c>
      <c r="S358" s="43">
        <f>VLOOKUP(Tabla1[[#This Row],[PAGO DIA]],DIAS!A:G,7,0)</f>
        <v>46234</v>
      </c>
      <c r="T358" s="6">
        <v>0</v>
      </c>
      <c r="U358" s="43">
        <f>VLOOKUP(Tabla1[[#This Row],[PAGO DIA]],DIAS!A:H,8,0)</f>
        <v>46265</v>
      </c>
      <c r="V358" s="6">
        <v>0</v>
      </c>
      <c r="W358" s="43">
        <f>VLOOKUP(Tabla1[[#This Row],[PAGO DIA]],DIAS!A:I,9,0)</f>
        <v>46295</v>
      </c>
      <c r="X358" s="6">
        <v>0</v>
      </c>
      <c r="Y358" s="43">
        <f>VLOOKUP(Tabla1[[#This Row],[PAGO DIA]],DIAS!A:J,10,0)</f>
        <v>46325</v>
      </c>
      <c r="Z358" s="6">
        <v>0</v>
      </c>
      <c r="AA358" s="43">
        <f>VLOOKUP(Tabla1[[#This Row],[PAGO DIA]],DIAS!A:K,11,0)</f>
        <v>46356</v>
      </c>
      <c r="AB358" s="6">
        <v>0</v>
      </c>
      <c r="AC358" s="43">
        <f>VLOOKUP(Tabla1[[#This Row],[PAGO DIA]],DIAS!A:M,12,0)</f>
        <v>46386</v>
      </c>
      <c r="AD3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59" spans="1:30">
      <c r="A359" s="3">
        <v>12610</v>
      </c>
      <c r="B359" s="3" t="s">
        <v>604</v>
      </c>
      <c r="C359" s="3" t="s">
        <v>605</v>
      </c>
      <c r="D359" s="3" t="s">
        <v>540</v>
      </c>
      <c r="E359" s="3" t="s">
        <v>984</v>
      </c>
      <c r="F359" s="42" t="s">
        <v>631</v>
      </c>
      <c r="G359" s="3" t="s">
        <v>986</v>
      </c>
      <c r="H359" s="6">
        <v>0</v>
      </c>
      <c r="I359" s="41">
        <f>VLOOKUP(Tabla1[[#This Row],[PAGO DIA]],DIAS!A:B,2,0)</f>
        <v>46080</v>
      </c>
      <c r="J359" s="6">
        <v>0</v>
      </c>
      <c r="K359" s="43">
        <f>VLOOKUP(Tabla1[[#This Row],[PAGO DIA]],DIAS!A:C,3,0)</f>
        <v>46112</v>
      </c>
      <c r="L359" s="6">
        <v>0</v>
      </c>
      <c r="M359" s="41">
        <f>VLOOKUP(Tabla1[[#This Row],[PAGO DIA]],DIAS!A:D,4,0)</f>
        <v>46142</v>
      </c>
      <c r="N359" s="6">
        <v>0</v>
      </c>
      <c r="O359" s="43">
        <f>VLOOKUP(Tabla1[[#This Row],[PAGO DIA]],DIAS!A:E,5,0)</f>
        <v>46171</v>
      </c>
      <c r="P359" s="6">
        <v>0</v>
      </c>
      <c r="Q359" s="43">
        <f>VLOOKUP(Tabla1[[#This Row],[PAGO DIA]],DIAS!A:F,6,0)</f>
        <v>46203</v>
      </c>
      <c r="R359" s="6">
        <v>0</v>
      </c>
      <c r="S359" s="43">
        <f>VLOOKUP(Tabla1[[#This Row],[PAGO DIA]],DIAS!A:G,7,0)</f>
        <v>46234</v>
      </c>
      <c r="T359" s="6">
        <v>0</v>
      </c>
      <c r="U359" s="43">
        <f>VLOOKUP(Tabla1[[#This Row],[PAGO DIA]],DIAS!A:H,8,0)</f>
        <v>46265</v>
      </c>
      <c r="V359" s="6">
        <v>0</v>
      </c>
      <c r="W359" s="43">
        <f>VLOOKUP(Tabla1[[#This Row],[PAGO DIA]],DIAS!A:I,9,0)</f>
        <v>46295</v>
      </c>
      <c r="X359" s="6">
        <v>0</v>
      </c>
      <c r="Y359" s="43">
        <f>VLOOKUP(Tabla1[[#This Row],[PAGO DIA]],DIAS!A:J,10,0)</f>
        <v>46325</v>
      </c>
      <c r="Z359" s="6">
        <v>0</v>
      </c>
      <c r="AA359" s="43">
        <f>VLOOKUP(Tabla1[[#This Row],[PAGO DIA]],DIAS!A:K,11,0)</f>
        <v>46356</v>
      </c>
      <c r="AB359" s="6">
        <v>0</v>
      </c>
      <c r="AC359" s="43">
        <f>VLOOKUP(Tabla1[[#This Row],[PAGO DIA]],DIAS!A:M,12,0)</f>
        <v>46386</v>
      </c>
      <c r="AD3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0" spans="1:30">
      <c r="A360" s="3">
        <v>12647</v>
      </c>
      <c r="B360" s="3" t="s">
        <v>604</v>
      </c>
      <c r="C360" s="3" t="s">
        <v>605</v>
      </c>
      <c r="D360" s="3" t="s">
        <v>540</v>
      </c>
      <c r="E360" s="3" t="s">
        <v>652</v>
      </c>
      <c r="F360" s="42" t="s">
        <v>631</v>
      </c>
      <c r="G360" s="3" t="s">
        <v>987</v>
      </c>
      <c r="H360" s="6">
        <v>0</v>
      </c>
      <c r="I360" s="41">
        <f>VLOOKUP(Tabla1[[#This Row],[PAGO DIA]],DIAS!A:B,2,0)</f>
        <v>46080</v>
      </c>
      <c r="J360" s="6">
        <v>0</v>
      </c>
      <c r="K360" s="43">
        <f>VLOOKUP(Tabla1[[#This Row],[PAGO DIA]],DIAS!A:C,3,0)</f>
        <v>46112</v>
      </c>
      <c r="L360" s="6">
        <v>0</v>
      </c>
      <c r="M360" s="41">
        <f>VLOOKUP(Tabla1[[#This Row],[PAGO DIA]],DIAS!A:D,4,0)</f>
        <v>46142</v>
      </c>
      <c r="N360" s="6">
        <v>0</v>
      </c>
      <c r="O360" s="43">
        <f>VLOOKUP(Tabla1[[#This Row],[PAGO DIA]],DIAS!A:E,5,0)</f>
        <v>46171</v>
      </c>
      <c r="P360" s="6">
        <v>0</v>
      </c>
      <c r="Q360" s="43">
        <f>VLOOKUP(Tabla1[[#This Row],[PAGO DIA]],DIAS!A:F,6,0)</f>
        <v>46203</v>
      </c>
      <c r="R360" s="6">
        <v>0</v>
      </c>
      <c r="S360" s="43">
        <f>VLOOKUP(Tabla1[[#This Row],[PAGO DIA]],DIAS!A:G,7,0)</f>
        <v>46234</v>
      </c>
      <c r="T360" s="6">
        <v>0</v>
      </c>
      <c r="U360" s="43">
        <f>VLOOKUP(Tabla1[[#This Row],[PAGO DIA]],DIAS!A:H,8,0)</f>
        <v>46265</v>
      </c>
      <c r="V360" s="6">
        <v>0</v>
      </c>
      <c r="W360" s="43">
        <f>VLOOKUP(Tabla1[[#This Row],[PAGO DIA]],DIAS!A:I,9,0)</f>
        <v>46295</v>
      </c>
      <c r="X360" s="6">
        <v>0</v>
      </c>
      <c r="Y360" s="43">
        <f>VLOOKUP(Tabla1[[#This Row],[PAGO DIA]],DIAS!A:J,10,0)</f>
        <v>46325</v>
      </c>
      <c r="Z360" s="6">
        <v>0</v>
      </c>
      <c r="AA360" s="43">
        <f>VLOOKUP(Tabla1[[#This Row],[PAGO DIA]],DIAS!A:K,11,0)</f>
        <v>46356</v>
      </c>
      <c r="AB360" s="6">
        <v>0</v>
      </c>
      <c r="AC360" s="43">
        <f>VLOOKUP(Tabla1[[#This Row],[PAGO DIA]],DIAS!A:M,12,0)</f>
        <v>46386</v>
      </c>
      <c r="AD3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1" spans="1:30">
      <c r="A361" s="3">
        <v>12654</v>
      </c>
      <c r="B361" s="3" t="s">
        <v>604</v>
      </c>
      <c r="C361" s="3" t="s">
        <v>605</v>
      </c>
      <c r="D361" s="3" t="s">
        <v>540</v>
      </c>
      <c r="E361" s="3" t="s">
        <v>652</v>
      </c>
      <c r="F361" s="42" t="s">
        <v>631</v>
      </c>
      <c r="G361" s="3" t="s">
        <v>988</v>
      </c>
      <c r="H361" s="6">
        <v>0</v>
      </c>
      <c r="I361" s="41">
        <f>VLOOKUP(Tabla1[[#This Row],[PAGO DIA]],DIAS!A:B,2,0)</f>
        <v>46080</v>
      </c>
      <c r="J361" s="6">
        <v>0</v>
      </c>
      <c r="K361" s="43">
        <f>VLOOKUP(Tabla1[[#This Row],[PAGO DIA]],DIAS!A:C,3,0)</f>
        <v>46112</v>
      </c>
      <c r="L361" s="6">
        <v>0</v>
      </c>
      <c r="M361" s="41">
        <f>VLOOKUP(Tabla1[[#This Row],[PAGO DIA]],DIAS!A:D,4,0)</f>
        <v>46142</v>
      </c>
      <c r="N361" s="6">
        <v>0</v>
      </c>
      <c r="O361" s="43">
        <f>VLOOKUP(Tabla1[[#This Row],[PAGO DIA]],DIAS!A:E,5,0)</f>
        <v>46171</v>
      </c>
      <c r="P361" s="6">
        <v>0</v>
      </c>
      <c r="Q361" s="43">
        <f>VLOOKUP(Tabla1[[#This Row],[PAGO DIA]],DIAS!A:F,6,0)</f>
        <v>46203</v>
      </c>
      <c r="R361" s="6">
        <v>0</v>
      </c>
      <c r="S361" s="43">
        <f>VLOOKUP(Tabla1[[#This Row],[PAGO DIA]],DIAS!A:G,7,0)</f>
        <v>46234</v>
      </c>
      <c r="T361" s="6">
        <v>0</v>
      </c>
      <c r="U361" s="43">
        <f>VLOOKUP(Tabla1[[#This Row],[PAGO DIA]],DIAS!A:H,8,0)</f>
        <v>46265</v>
      </c>
      <c r="V361" s="6">
        <v>0</v>
      </c>
      <c r="W361" s="43">
        <f>VLOOKUP(Tabla1[[#This Row],[PAGO DIA]],DIAS!A:I,9,0)</f>
        <v>46295</v>
      </c>
      <c r="X361" s="6">
        <v>0</v>
      </c>
      <c r="Y361" s="43">
        <f>VLOOKUP(Tabla1[[#This Row],[PAGO DIA]],DIAS!A:J,10,0)</f>
        <v>46325</v>
      </c>
      <c r="Z361" s="6">
        <v>0</v>
      </c>
      <c r="AA361" s="43">
        <f>VLOOKUP(Tabla1[[#This Row],[PAGO DIA]],DIAS!A:K,11,0)</f>
        <v>46356</v>
      </c>
      <c r="AB361" s="6">
        <v>0</v>
      </c>
      <c r="AC361" s="43">
        <f>VLOOKUP(Tabla1[[#This Row],[PAGO DIA]],DIAS!A:M,12,0)</f>
        <v>46386</v>
      </c>
      <c r="AD3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2" spans="1:30">
      <c r="A362" s="3">
        <v>12658</v>
      </c>
      <c r="B362" s="3" t="s">
        <v>604</v>
      </c>
      <c r="C362" s="3" t="s">
        <v>605</v>
      </c>
      <c r="D362" s="3" t="s">
        <v>540</v>
      </c>
      <c r="E362" s="3" t="s">
        <v>652</v>
      </c>
      <c r="F362" s="42" t="s">
        <v>631</v>
      </c>
      <c r="G362" s="3" t="s">
        <v>989</v>
      </c>
      <c r="H362" s="6">
        <v>0</v>
      </c>
      <c r="I362" s="41">
        <f>VLOOKUP(Tabla1[[#This Row],[PAGO DIA]],DIAS!A:B,2,0)</f>
        <v>46080</v>
      </c>
      <c r="J362" s="6">
        <v>0</v>
      </c>
      <c r="K362" s="43">
        <f>VLOOKUP(Tabla1[[#This Row],[PAGO DIA]],DIAS!A:C,3,0)</f>
        <v>46112</v>
      </c>
      <c r="L362" s="6">
        <v>0</v>
      </c>
      <c r="M362" s="41">
        <f>VLOOKUP(Tabla1[[#This Row],[PAGO DIA]],DIAS!A:D,4,0)</f>
        <v>46142</v>
      </c>
      <c r="N362" s="6">
        <v>0</v>
      </c>
      <c r="O362" s="43">
        <f>VLOOKUP(Tabla1[[#This Row],[PAGO DIA]],DIAS!A:E,5,0)</f>
        <v>46171</v>
      </c>
      <c r="P362" s="6">
        <v>0</v>
      </c>
      <c r="Q362" s="43">
        <f>VLOOKUP(Tabla1[[#This Row],[PAGO DIA]],DIAS!A:F,6,0)</f>
        <v>46203</v>
      </c>
      <c r="R362" s="6">
        <v>0</v>
      </c>
      <c r="S362" s="43">
        <f>VLOOKUP(Tabla1[[#This Row],[PAGO DIA]],DIAS!A:G,7,0)</f>
        <v>46234</v>
      </c>
      <c r="T362" s="6">
        <v>0</v>
      </c>
      <c r="U362" s="43">
        <f>VLOOKUP(Tabla1[[#This Row],[PAGO DIA]],DIAS!A:H,8,0)</f>
        <v>46265</v>
      </c>
      <c r="V362" s="6">
        <v>0</v>
      </c>
      <c r="W362" s="43">
        <f>VLOOKUP(Tabla1[[#This Row],[PAGO DIA]],DIAS!A:I,9,0)</f>
        <v>46295</v>
      </c>
      <c r="X362" s="6">
        <v>0</v>
      </c>
      <c r="Y362" s="43">
        <f>VLOOKUP(Tabla1[[#This Row],[PAGO DIA]],DIAS!A:J,10,0)</f>
        <v>46325</v>
      </c>
      <c r="Z362" s="6">
        <v>0</v>
      </c>
      <c r="AA362" s="43">
        <f>VLOOKUP(Tabla1[[#This Row],[PAGO DIA]],DIAS!A:K,11,0)</f>
        <v>46356</v>
      </c>
      <c r="AB362" s="6">
        <v>0</v>
      </c>
      <c r="AC362" s="43">
        <f>VLOOKUP(Tabla1[[#This Row],[PAGO DIA]],DIAS!A:M,12,0)</f>
        <v>46386</v>
      </c>
      <c r="AD3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3" spans="1:30">
      <c r="A363" s="3">
        <v>12664</v>
      </c>
      <c r="B363" s="3" t="s">
        <v>604</v>
      </c>
      <c r="C363" s="3" t="s">
        <v>605</v>
      </c>
      <c r="D363" s="3" t="s">
        <v>540</v>
      </c>
      <c r="E363" s="3" t="s">
        <v>652</v>
      </c>
      <c r="F363" s="42" t="s">
        <v>631</v>
      </c>
      <c r="G363" s="3" t="s">
        <v>990</v>
      </c>
      <c r="H363" s="6">
        <v>0</v>
      </c>
      <c r="I363" s="41">
        <f>VLOOKUP(Tabla1[[#This Row],[PAGO DIA]],DIAS!A:B,2,0)</f>
        <v>46080</v>
      </c>
      <c r="J363" s="6">
        <v>0</v>
      </c>
      <c r="K363" s="43">
        <f>VLOOKUP(Tabla1[[#This Row],[PAGO DIA]],DIAS!A:C,3,0)</f>
        <v>46112</v>
      </c>
      <c r="L363" s="6">
        <v>0</v>
      </c>
      <c r="M363" s="41">
        <f>VLOOKUP(Tabla1[[#This Row],[PAGO DIA]],DIAS!A:D,4,0)</f>
        <v>46142</v>
      </c>
      <c r="N363" s="6">
        <v>0</v>
      </c>
      <c r="O363" s="43">
        <f>VLOOKUP(Tabla1[[#This Row],[PAGO DIA]],DIAS!A:E,5,0)</f>
        <v>46171</v>
      </c>
      <c r="P363" s="6">
        <v>0</v>
      </c>
      <c r="Q363" s="43">
        <f>VLOOKUP(Tabla1[[#This Row],[PAGO DIA]],DIAS!A:F,6,0)</f>
        <v>46203</v>
      </c>
      <c r="R363" s="6">
        <v>0</v>
      </c>
      <c r="S363" s="43">
        <f>VLOOKUP(Tabla1[[#This Row],[PAGO DIA]],DIAS!A:G,7,0)</f>
        <v>46234</v>
      </c>
      <c r="T363" s="6">
        <v>0</v>
      </c>
      <c r="U363" s="43">
        <f>VLOOKUP(Tabla1[[#This Row],[PAGO DIA]],DIAS!A:H,8,0)</f>
        <v>46265</v>
      </c>
      <c r="V363" s="6">
        <v>0</v>
      </c>
      <c r="W363" s="43">
        <f>VLOOKUP(Tabla1[[#This Row],[PAGO DIA]],DIAS!A:I,9,0)</f>
        <v>46295</v>
      </c>
      <c r="X363" s="6">
        <v>0</v>
      </c>
      <c r="Y363" s="43">
        <f>VLOOKUP(Tabla1[[#This Row],[PAGO DIA]],DIAS!A:J,10,0)</f>
        <v>46325</v>
      </c>
      <c r="Z363" s="6">
        <v>0</v>
      </c>
      <c r="AA363" s="43">
        <f>VLOOKUP(Tabla1[[#This Row],[PAGO DIA]],DIAS!A:K,11,0)</f>
        <v>46356</v>
      </c>
      <c r="AB363" s="6">
        <v>0</v>
      </c>
      <c r="AC363" s="43">
        <f>VLOOKUP(Tabla1[[#This Row],[PAGO DIA]],DIAS!A:M,12,0)</f>
        <v>46386</v>
      </c>
      <c r="AD3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4" spans="1:30">
      <c r="A364" s="3">
        <v>11455</v>
      </c>
      <c r="B364" s="3" t="s">
        <v>604</v>
      </c>
      <c r="C364" s="3" t="s">
        <v>540</v>
      </c>
      <c r="D364" s="3" t="s">
        <v>540</v>
      </c>
      <c r="E364" s="3" t="s">
        <v>656</v>
      </c>
      <c r="F364" s="42" t="s">
        <v>631</v>
      </c>
      <c r="G364" s="3" t="s">
        <v>991</v>
      </c>
      <c r="H364" s="6">
        <v>0</v>
      </c>
      <c r="I364" s="41">
        <f>VLOOKUP(Tabla1[[#This Row],[PAGO DIA]],DIAS!A:B,2,0)</f>
        <v>46080</v>
      </c>
      <c r="J364" s="6">
        <v>0</v>
      </c>
      <c r="K364" s="43">
        <f>VLOOKUP(Tabla1[[#This Row],[PAGO DIA]],DIAS!A:C,3,0)</f>
        <v>46112</v>
      </c>
      <c r="L364" s="6">
        <v>0</v>
      </c>
      <c r="M364" s="41">
        <f>VLOOKUP(Tabla1[[#This Row],[PAGO DIA]],DIAS!A:D,4,0)</f>
        <v>46142</v>
      </c>
      <c r="N364" s="6">
        <v>0</v>
      </c>
      <c r="O364" s="43">
        <f>VLOOKUP(Tabla1[[#This Row],[PAGO DIA]],DIAS!A:E,5,0)</f>
        <v>46171</v>
      </c>
      <c r="P364" s="6">
        <v>0</v>
      </c>
      <c r="Q364" s="43">
        <f>VLOOKUP(Tabla1[[#This Row],[PAGO DIA]],DIAS!A:F,6,0)</f>
        <v>46203</v>
      </c>
      <c r="R364" s="6">
        <v>0</v>
      </c>
      <c r="S364" s="43">
        <f>VLOOKUP(Tabla1[[#This Row],[PAGO DIA]],DIAS!A:G,7,0)</f>
        <v>46234</v>
      </c>
      <c r="T364" s="6">
        <v>0</v>
      </c>
      <c r="U364" s="43">
        <f>VLOOKUP(Tabla1[[#This Row],[PAGO DIA]],DIAS!A:H,8,0)</f>
        <v>46265</v>
      </c>
      <c r="V364" s="6">
        <v>0</v>
      </c>
      <c r="W364" s="43">
        <f>VLOOKUP(Tabla1[[#This Row],[PAGO DIA]],DIAS!A:I,9,0)</f>
        <v>46295</v>
      </c>
      <c r="X364" s="6">
        <v>0</v>
      </c>
      <c r="Y364" s="43">
        <f>VLOOKUP(Tabla1[[#This Row],[PAGO DIA]],DIAS!A:J,10,0)</f>
        <v>46325</v>
      </c>
      <c r="Z364" s="6">
        <v>0</v>
      </c>
      <c r="AA364" s="43">
        <f>VLOOKUP(Tabla1[[#This Row],[PAGO DIA]],DIAS!A:K,11,0)</f>
        <v>46356</v>
      </c>
      <c r="AB364" s="6">
        <v>0</v>
      </c>
      <c r="AC364" s="43">
        <f>VLOOKUP(Tabla1[[#This Row],[PAGO DIA]],DIAS!A:M,12,0)</f>
        <v>46386</v>
      </c>
      <c r="AD3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5" spans="1:30">
      <c r="A365" s="3">
        <v>11456</v>
      </c>
      <c r="B365" s="3" t="s">
        <v>604</v>
      </c>
      <c r="C365" s="3" t="s">
        <v>540</v>
      </c>
      <c r="D365" s="3" t="s">
        <v>540</v>
      </c>
      <c r="E365" s="3" t="s">
        <v>656</v>
      </c>
      <c r="F365" s="42" t="s">
        <v>631</v>
      </c>
      <c r="G365" s="3" t="s">
        <v>992</v>
      </c>
      <c r="H365" s="6">
        <v>0</v>
      </c>
      <c r="I365" s="41">
        <f>VLOOKUP(Tabla1[[#This Row],[PAGO DIA]],DIAS!A:B,2,0)</f>
        <v>46080</v>
      </c>
      <c r="J365" s="6">
        <v>0</v>
      </c>
      <c r="K365" s="43">
        <f>VLOOKUP(Tabla1[[#This Row],[PAGO DIA]],DIAS!A:C,3,0)</f>
        <v>46112</v>
      </c>
      <c r="L365" s="6">
        <v>0</v>
      </c>
      <c r="M365" s="41">
        <f>VLOOKUP(Tabla1[[#This Row],[PAGO DIA]],DIAS!A:D,4,0)</f>
        <v>46142</v>
      </c>
      <c r="N365" s="6">
        <v>0</v>
      </c>
      <c r="O365" s="43">
        <f>VLOOKUP(Tabla1[[#This Row],[PAGO DIA]],DIAS!A:E,5,0)</f>
        <v>46171</v>
      </c>
      <c r="P365" s="6">
        <v>0</v>
      </c>
      <c r="Q365" s="43">
        <f>VLOOKUP(Tabla1[[#This Row],[PAGO DIA]],DIAS!A:F,6,0)</f>
        <v>46203</v>
      </c>
      <c r="R365" s="6">
        <v>0</v>
      </c>
      <c r="S365" s="43">
        <f>VLOOKUP(Tabla1[[#This Row],[PAGO DIA]],DIAS!A:G,7,0)</f>
        <v>46234</v>
      </c>
      <c r="T365" s="6">
        <v>0</v>
      </c>
      <c r="U365" s="43">
        <f>VLOOKUP(Tabla1[[#This Row],[PAGO DIA]],DIAS!A:H,8,0)</f>
        <v>46265</v>
      </c>
      <c r="V365" s="6">
        <v>0</v>
      </c>
      <c r="W365" s="43">
        <f>VLOOKUP(Tabla1[[#This Row],[PAGO DIA]],DIAS!A:I,9,0)</f>
        <v>46295</v>
      </c>
      <c r="X365" s="6">
        <v>0</v>
      </c>
      <c r="Y365" s="43">
        <f>VLOOKUP(Tabla1[[#This Row],[PAGO DIA]],DIAS!A:J,10,0)</f>
        <v>46325</v>
      </c>
      <c r="Z365" s="6">
        <v>0</v>
      </c>
      <c r="AA365" s="43">
        <f>VLOOKUP(Tabla1[[#This Row],[PAGO DIA]],DIAS!A:K,11,0)</f>
        <v>46356</v>
      </c>
      <c r="AB365" s="6">
        <v>0</v>
      </c>
      <c r="AC365" s="43">
        <f>VLOOKUP(Tabla1[[#This Row],[PAGO DIA]],DIAS!A:M,12,0)</f>
        <v>46386</v>
      </c>
      <c r="AD3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6" spans="1:30">
      <c r="A366" s="3">
        <v>11457</v>
      </c>
      <c r="B366" s="3" t="s">
        <v>604</v>
      </c>
      <c r="C366" s="3" t="s">
        <v>540</v>
      </c>
      <c r="D366" s="3" t="s">
        <v>540</v>
      </c>
      <c r="E366" s="3" t="s">
        <v>656</v>
      </c>
      <c r="F366" s="42" t="s">
        <v>631</v>
      </c>
      <c r="G366" s="3" t="s">
        <v>993</v>
      </c>
      <c r="H366" s="6">
        <v>0</v>
      </c>
      <c r="I366" s="41">
        <f>VLOOKUP(Tabla1[[#This Row],[PAGO DIA]],DIAS!A:B,2,0)</f>
        <v>46080</v>
      </c>
      <c r="J366" s="6">
        <v>0</v>
      </c>
      <c r="K366" s="43">
        <f>VLOOKUP(Tabla1[[#This Row],[PAGO DIA]],DIAS!A:C,3,0)</f>
        <v>46112</v>
      </c>
      <c r="L366" s="6">
        <v>0</v>
      </c>
      <c r="M366" s="41">
        <f>VLOOKUP(Tabla1[[#This Row],[PAGO DIA]],DIAS!A:D,4,0)</f>
        <v>46142</v>
      </c>
      <c r="N366" s="6">
        <v>0</v>
      </c>
      <c r="O366" s="43">
        <f>VLOOKUP(Tabla1[[#This Row],[PAGO DIA]],DIAS!A:E,5,0)</f>
        <v>46171</v>
      </c>
      <c r="P366" s="6">
        <v>0</v>
      </c>
      <c r="Q366" s="43">
        <f>VLOOKUP(Tabla1[[#This Row],[PAGO DIA]],DIAS!A:F,6,0)</f>
        <v>46203</v>
      </c>
      <c r="R366" s="6">
        <v>0</v>
      </c>
      <c r="S366" s="43">
        <f>VLOOKUP(Tabla1[[#This Row],[PAGO DIA]],DIAS!A:G,7,0)</f>
        <v>46234</v>
      </c>
      <c r="T366" s="6">
        <v>0</v>
      </c>
      <c r="U366" s="43">
        <f>VLOOKUP(Tabla1[[#This Row],[PAGO DIA]],DIAS!A:H,8,0)</f>
        <v>46265</v>
      </c>
      <c r="V366" s="6">
        <v>0</v>
      </c>
      <c r="W366" s="43">
        <f>VLOOKUP(Tabla1[[#This Row],[PAGO DIA]],DIAS!A:I,9,0)</f>
        <v>46295</v>
      </c>
      <c r="X366" s="6">
        <v>0</v>
      </c>
      <c r="Y366" s="43">
        <f>VLOOKUP(Tabla1[[#This Row],[PAGO DIA]],DIAS!A:J,10,0)</f>
        <v>46325</v>
      </c>
      <c r="Z366" s="6">
        <v>0</v>
      </c>
      <c r="AA366" s="43">
        <f>VLOOKUP(Tabla1[[#This Row],[PAGO DIA]],DIAS!A:K,11,0)</f>
        <v>46356</v>
      </c>
      <c r="AB366" s="6">
        <v>0</v>
      </c>
      <c r="AC366" s="43">
        <f>VLOOKUP(Tabla1[[#This Row],[PAGO DIA]],DIAS!A:M,12,0)</f>
        <v>46386</v>
      </c>
      <c r="AD3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7" spans="1:30">
      <c r="A367" s="3">
        <v>11458</v>
      </c>
      <c r="B367" s="3" t="s">
        <v>604</v>
      </c>
      <c r="C367" s="3" t="s">
        <v>540</v>
      </c>
      <c r="D367" s="3" t="s">
        <v>540</v>
      </c>
      <c r="E367" s="3" t="s">
        <v>656</v>
      </c>
      <c r="F367" s="42" t="s">
        <v>631</v>
      </c>
      <c r="G367" s="3" t="s">
        <v>994</v>
      </c>
      <c r="H367" s="6">
        <v>0</v>
      </c>
      <c r="I367" s="41">
        <f>VLOOKUP(Tabla1[[#This Row],[PAGO DIA]],DIAS!A:B,2,0)</f>
        <v>46080</v>
      </c>
      <c r="J367" s="6">
        <v>0</v>
      </c>
      <c r="K367" s="43">
        <f>VLOOKUP(Tabla1[[#This Row],[PAGO DIA]],DIAS!A:C,3,0)</f>
        <v>46112</v>
      </c>
      <c r="L367" s="6">
        <v>0</v>
      </c>
      <c r="M367" s="41">
        <f>VLOOKUP(Tabla1[[#This Row],[PAGO DIA]],DIAS!A:D,4,0)</f>
        <v>46142</v>
      </c>
      <c r="N367" s="6">
        <v>0</v>
      </c>
      <c r="O367" s="43">
        <f>VLOOKUP(Tabla1[[#This Row],[PAGO DIA]],DIAS!A:E,5,0)</f>
        <v>46171</v>
      </c>
      <c r="P367" s="6">
        <v>0</v>
      </c>
      <c r="Q367" s="43">
        <f>VLOOKUP(Tabla1[[#This Row],[PAGO DIA]],DIAS!A:F,6,0)</f>
        <v>46203</v>
      </c>
      <c r="R367" s="6">
        <v>0</v>
      </c>
      <c r="S367" s="43">
        <f>VLOOKUP(Tabla1[[#This Row],[PAGO DIA]],DIAS!A:G,7,0)</f>
        <v>46234</v>
      </c>
      <c r="T367" s="6">
        <v>0</v>
      </c>
      <c r="U367" s="43">
        <f>VLOOKUP(Tabla1[[#This Row],[PAGO DIA]],DIAS!A:H,8,0)</f>
        <v>46265</v>
      </c>
      <c r="V367" s="6">
        <v>0</v>
      </c>
      <c r="W367" s="43">
        <f>VLOOKUP(Tabla1[[#This Row],[PAGO DIA]],DIAS!A:I,9,0)</f>
        <v>46295</v>
      </c>
      <c r="X367" s="6">
        <v>0</v>
      </c>
      <c r="Y367" s="43">
        <f>VLOOKUP(Tabla1[[#This Row],[PAGO DIA]],DIAS!A:J,10,0)</f>
        <v>46325</v>
      </c>
      <c r="Z367" s="6">
        <v>0</v>
      </c>
      <c r="AA367" s="43">
        <f>VLOOKUP(Tabla1[[#This Row],[PAGO DIA]],DIAS!A:K,11,0)</f>
        <v>46356</v>
      </c>
      <c r="AB367" s="6">
        <v>0</v>
      </c>
      <c r="AC367" s="43">
        <f>VLOOKUP(Tabla1[[#This Row],[PAGO DIA]],DIAS!A:M,12,0)</f>
        <v>46386</v>
      </c>
      <c r="AD3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8" spans="1:30">
      <c r="A368" s="3">
        <v>11459</v>
      </c>
      <c r="B368" s="3" t="s">
        <v>604</v>
      </c>
      <c r="C368" s="3" t="s">
        <v>540</v>
      </c>
      <c r="D368" s="3" t="s">
        <v>540</v>
      </c>
      <c r="E368" s="3" t="s">
        <v>656</v>
      </c>
      <c r="F368" s="42" t="s">
        <v>631</v>
      </c>
      <c r="G368" s="3" t="s">
        <v>995</v>
      </c>
      <c r="H368" s="6">
        <v>0</v>
      </c>
      <c r="I368" s="41">
        <f>VLOOKUP(Tabla1[[#This Row],[PAGO DIA]],DIAS!A:B,2,0)</f>
        <v>46080</v>
      </c>
      <c r="J368" s="6">
        <v>0</v>
      </c>
      <c r="K368" s="43">
        <f>VLOOKUP(Tabla1[[#This Row],[PAGO DIA]],DIAS!A:C,3,0)</f>
        <v>46112</v>
      </c>
      <c r="L368" s="6">
        <v>0</v>
      </c>
      <c r="M368" s="41">
        <f>VLOOKUP(Tabla1[[#This Row],[PAGO DIA]],DIAS!A:D,4,0)</f>
        <v>46142</v>
      </c>
      <c r="N368" s="6">
        <v>0</v>
      </c>
      <c r="O368" s="43">
        <f>VLOOKUP(Tabla1[[#This Row],[PAGO DIA]],DIAS!A:E,5,0)</f>
        <v>46171</v>
      </c>
      <c r="P368" s="6">
        <v>0</v>
      </c>
      <c r="Q368" s="43">
        <f>VLOOKUP(Tabla1[[#This Row],[PAGO DIA]],DIAS!A:F,6,0)</f>
        <v>46203</v>
      </c>
      <c r="R368" s="6">
        <v>0</v>
      </c>
      <c r="S368" s="43">
        <f>VLOOKUP(Tabla1[[#This Row],[PAGO DIA]],DIAS!A:G,7,0)</f>
        <v>46234</v>
      </c>
      <c r="T368" s="6">
        <v>0</v>
      </c>
      <c r="U368" s="43">
        <f>VLOOKUP(Tabla1[[#This Row],[PAGO DIA]],DIAS!A:H,8,0)</f>
        <v>46265</v>
      </c>
      <c r="V368" s="6">
        <v>0</v>
      </c>
      <c r="W368" s="43">
        <f>VLOOKUP(Tabla1[[#This Row],[PAGO DIA]],DIAS!A:I,9,0)</f>
        <v>46295</v>
      </c>
      <c r="X368" s="6">
        <v>0</v>
      </c>
      <c r="Y368" s="43">
        <f>VLOOKUP(Tabla1[[#This Row],[PAGO DIA]],DIAS!A:J,10,0)</f>
        <v>46325</v>
      </c>
      <c r="Z368" s="6">
        <v>0</v>
      </c>
      <c r="AA368" s="43">
        <f>VLOOKUP(Tabla1[[#This Row],[PAGO DIA]],DIAS!A:K,11,0)</f>
        <v>46356</v>
      </c>
      <c r="AB368" s="6">
        <v>0</v>
      </c>
      <c r="AC368" s="43">
        <f>VLOOKUP(Tabla1[[#This Row],[PAGO DIA]],DIAS!A:M,12,0)</f>
        <v>46386</v>
      </c>
      <c r="AD3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69" spans="1:30">
      <c r="A369" s="3">
        <v>12528</v>
      </c>
      <c r="B369" s="3" t="s">
        <v>604</v>
      </c>
      <c r="C369" s="3" t="s">
        <v>605</v>
      </c>
      <c r="D369" s="3" t="s">
        <v>540</v>
      </c>
      <c r="E369" s="3" t="s">
        <v>996</v>
      </c>
      <c r="F369" s="42" t="s">
        <v>631</v>
      </c>
      <c r="G369" s="3" t="s">
        <v>997</v>
      </c>
      <c r="H369" s="6">
        <v>0</v>
      </c>
      <c r="I369" s="41">
        <f>VLOOKUP(Tabla1[[#This Row],[PAGO DIA]],DIAS!A:B,2,0)</f>
        <v>46080</v>
      </c>
      <c r="J369" s="6">
        <v>0</v>
      </c>
      <c r="K369" s="43">
        <f>VLOOKUP(Tabla1[[#This Row],[PAGO DIA]],DIAS!A:C,3,0)</f>
        <v>46112</v>
      </c>
      <c r="L369" s="6">
        <v>0</v>
      </c>
      <c r="M369" s="41">
        <f>VLOOKUP(Tabla1[[#This Row],[PAGO DIA]],DIAS!A:D,4,0)</f>
        <v>46142</v>
      </c>
      <c r="N369" s="6">
        <v>0</v>
      </c>
      <c r="O369" s="43">
        <f>VLOOKUP(Tabla1[[#This Row],[PAGO DIA]],DIAS!A:E,5,0)</f>
        <v>46171</v>
      </c>
      <c r="P369" s="6">
        <v>0</v>
      </c>
      <c r="Q369" s="43">
        <f>VLOOKUP(Tabla1[[#This Row],[PAGO DIA]],DIAS!A:F,6,0)</f>
        <v>46203</v>
      </c>
      <c r="R369" s="6">
        <v>0</v>
      </c>
      <c r="S369" s="43">
        <f>VLOOKUP(Tabla1[[#This Row],[PAGO DIA]],DIAS!A:G,7,0)</f>
        <v>46234</v>
      </c>
      <c r="T369" s="6">
        <v>0</v>
      </c>
      <c r="U369" s="43">
        <f>VLOOKUP(Tabla1[[#This Row],[PAGO DIA]],DIAS!A:H,8,0)</f>
        <v>46265</v>
      </c>
      <c r="V369" s="6">
        <v>0</v>
      </c>
      <c r="W369" s="43">
        <f>VLOOKUP(Tabla1[[#This Row],[PAGO DIA]],DIAS!A:I,9,0)</f>
        <v>46295</v>
      </c>
      <c r="X369" s="6">
        <v>0</v>
      </c>
      <c r="Y369" s="43">
        <f>VLOOKUP(Tabla1[[#This Row],[PAGO DIA]],DIAS!A:J,10,0)</f>
        <v>46325</v>
      </c>
      <c r="Z369" s="6">
        <v>0</v>
      </c>
      <c r="AA369" s="43">
        <f>VLOOKUP(Tabla1[[#This Row],[PAGO DIA]],DIAS!A:K,11,0)</f>
        <v>46356</v>
      </c>
      <c r="AB369" s="6">
        <v>0</v>
      </c>
      <c r="AC369" s="43">
        <f>VLOOKUP(Tabla1[[#This Row],[PAGO DIA]],DIAS!A:M,12,0)</f>
        <v>46386</v>
      </c>
      <c r="AD3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0" spans="1:30">
      <c r="A370" s="3">
        <v>12602</v>
      </c>
      <c r="B370" s="3" t="s">
        <v>604</v>
      </c>
      <c r="C370" s="3" t="s">
        <v>605</v>
      </c>
      <c r="D370" s="3" t="s">
        <v>540</v>
      </c>
      <c r="E370" s="3" t="s">
        <v>996</v>
      </c>
      <c r="F370" s="42" t="s">
        <v>631</v>
      </c>
      <c r="G370" s="3" t="s">
        <v>998</v>
      </c>
      <c r="H370" s="6">
        <v>0</v>
      </c>
      <c r="I370" s="41">
        <f>VLOOKUP(Tabla1[[#This Row],[PAGO DIA]],DIAS!A:B,2,0)</f>
        <v>46080</v>
      </c>
      <c r="J370" s="6">
        <v>0</v>
      </c>
      <c r="K370" s="43">
        <f>VLOOKUP(Tabla1[[#This Row],[PAGO DIA]],DIAS!A:C,3,0)</f>
        <v>46112</v>
      </c>
      <c r="L370" s="6">
        <v>0</v>
      </c>
      <c r="M370" s="41">
        <f>VLOOKUP(Tabla1[[#This Row],[PAGO DIA]],DIAS!A:D,4,0)</f>
        <v>46142</v>
      </c>
      <c r="N370" s="6">
        <v>0</v>
      </c>
      <c r="O370" s="43">
        <f>VLOOKUP(Tabla1[[#This Row],[PAGO DIA]],DIAS!A:E,5,0)</f>
        <v>46171</v>
      </c>
      <c r="P370" s="6">
        <v>0</v>
      </c>
      <c r="Q370" s="43">
        <f>VLOOKUP(Tabla1[[#This Row],[PAGO DIA]],DIAS!A:F,6,0)</f>
        <v>46203</v>
      </c>
      <c r="R370" s="6">
        <v>0</v>
      </c>
      <c r="S370" s="43">
        <f>VLOOKUP(Tabla1[[#This Row],[PAGO DIA]],DIAS!A:G,7,0)</f>
        <v>46234</v>
      </c>
      <c r="T370" s="6">
        <v>0</v>
      </c>
      <c r="U370" s="43">
        <f>VLOOKUP(Tabla1[[#This Row],[PAGO DIA]],DIAS!A:H,8,0)</f>
        <v>46265</v>
      </c>
      <c r="V370" s="6">
        <v>0</v>
      </c>
      <c r="W370" s="43">
        <f>VLOOKUP(Tabla1[[#This Row],[PAGO DIA]],DIAS!A:I,9,0)</f>
        <v>46295</v>
      </c>
      <c r="X370" s="6">
        <v>0</v>
      </c>
      <c r="Y370" s="43">
        <f>VLOOKUP(Tabla1[[#This Row],[PAGO DIA]],DIAS!A:J,10,0)</f>
        <v>46325</v>
      </c>
      <c r="Z370" s="6">
        <v>0</v>
      </c>
      <c r="AA370" s="43">
        <f>VLOOKUP(Tabla1[[#This Row],[PAGO DIA]],DIAS!A:K,11,0)</f>
        <v>46356</v>
      </c>
      <c r="AB370" s="6">
        <v>0</v>
      </c>
      <c r="AC370" s="43">
        <f>VLOOKUP(Tabla1[[#This Row],[PAGO DIA]],DIAS!A:M,12,0)</f>
        <v>46386</v>
      </c>
      <c r="AD3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1" spans="1:30">
      <c r="A371" s="3">
        <v>12754</v>
      </c>
      <c r="B371" s="3" t="s">
        <v>604</v>
      </c>
      <c r="C371" s="3" t="s">
        <v>605</v>
      </c>
      <c r="D371" s="3" t="s">
        <v>540</v>
      </c>
      <c r="E371" s="3" t="s">
        <v>996</v>
      </c>
      <c r="F371" s="42" t="s">
        <v>631</v>
      </c>
      <c r="G371" s="3" t="s">
        <v>999</v>
      </c>
      <c r="H371" s="6">
        <v>0</v>
      </c>
      <c r="I371" s="41">
        <f>VLOOKUP(Tabla1[[#This Row],[PAGO DIA]],DIAS!A:B,2,0)</f>
        <v>46080</v>
      </c>
      <c r="J371" s="6">
        <v>0</v>
      </c>
      <c r="K371" s="43">
        <f>VLOOKUP(Tabla1[[#This Row],[PAGO DIA]],DIAS!A:C,3,0)</f>
        <v>46112</v>
      </c>
      <c r="L371" s="6">
        <v>0</v>
      </c>
      <c r="M371" s="41">
        <f>VLOOKUP(Tabla1[[#This Row],[PAGO DIA]],DIAS!A:D,4,0)</f>
        <v>46142</v>
      </c>
      <c r="N371" s="6">
        <v>0</v>
      </c>
      <c r="O371" s="43">
        <f>VLOOKUP(Tabla1[[#This Row],[PAGO DIA]],DIAS!A:E,5,0)</f>
        <v>46171</v>
      </c>
      <c r="P371" s="6">
        <v>0</v>
      </c>
      <c r="Q371" s="43">
        <f>VLOOKUP(Tabla1[[#This Row],[PAGO DIA]],DIAS!A:F,6,0)</f>
        <v>46203</v>
      </c>
      <c r="R371" s="6">
        <v>0</v>
      </c>
      <c r="S371" s="43">
        <f>VLOOKUP(Tabla1[[#This Row],[PAGO DIA]],DIAS!A:G,7,0)</f>
        <v>46234</v>
      </c>
      <c r="T371" s="6">
        <v>0</v>
      </c>
      <c r="U371" s="43">
        <f>VLOOKUP(Tabla1[[#This Row],[PAGO DIA]],DIAS!A:H,8,0)</f>
        <v>46265</v>
      </c>
      <c r="V371" s="6">
        <v>0</v>
      </c>
      <c r="W371" s="43">
        <f>VLOOKUP(Tabla1[[#This Row],[PAGO DIA]],DIAS!A:I,9,0)</f>
        <v>46295</v>
      </c>
      <c r="X371" s="6">
        <v>0</v>
      </c>
      <c r="Y371" s="43">
        <f>VLOOKUP(Tabla1[[#This Row],[PAGO DIA]],DIAS!A:J,10,0)</f>
        <v>46325</v>
      </c>
      <c r="Z371" s="6">
        <v>0</v>
      </c>
      <c r="AA371" s="43">
        <f>VLOOKUP(Tabla1[[#This Row],[PAGO DIA]],DIAS!A:K,11,0)</f>
        <v>46356</v>
      </c>
      <c r="AB371" s="6">
        <v>0</v>
      </c>
      <c r="AC371" s="43">
        <f>VLOOKUP(Tabla1[[#This Row],[PAGO DIA]],DIAS!A:M,12,0)</f>
        <v>46386</v>
      </c>
      <c r="AD3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2" spans="1:30">
      <c r="A372" s="3">
        <v>11508</v>
      </c>
      <c r="B372" s="3" t="s">
        <v>604</v>
      </c>
      <c r="C372" s="3" t="s">
        <v>540</v>
      </c>
      <c r="D372" s="3" t="s">
        <v>540</v>
      </c>
      <c r="E372" s="3" t="s">
        <v>1000</v>
      </c>
      <c r="F372" s="42" t="s">
        <v>631</v>
      </c>
      <c r="G372" s="3" t="s">
        <v>1001</v>
      </c>
      <c r="H372" s="6">
        <v>0</v>
      </c>
      <c r="I372" s="41">
        <f>VLOOKUP(Tabla1[[#This Row],[PAGO DIA]],DIAS!A:B,2,0)</f>
        <v>46080</v>
      </c>
      <c r="J372" s="6">
        <v>0</v>
      </c>
      <c r="K372" s="43">
        <f>VLOOKUP(Tabla1[[#This Row],[PAGO DIA]],DIAS!A:C,3,0)</f>
        <v>46112</v>
      </c>
      <c r="L372" s="6">
        <v>0</v>
      </c>
      <c r="M372" s="41">
        <f>VLOOKUP(Tabla1[[#This Row],[PAGO DIA]],DIAS!A:D,4,0)</f>
        <v>46142</v>
      </c>
      <c r="N372" s="6">
        <v>0</v>
      </c>
      <c r="O372" s="43">
        <f>VLOOKUP(Tabla1[[#This Row],[PAGO DIA]],DIAS!A:E,5,0)</f>
        <v>46171</v>
      </c>
      <c r="P372" s="6">
        <v>0</v>
      </c>
      <c r="Q372" s="43">
        <f>VLOOKUP(Tabla1[[#This Row],[PAGO DIA]],DIAS!A:F,6,0)</f>
        <v>46203</v>
      </c>
      <c r="R372" s="6">
        <v>0</v>
      </c>
      <c r="S372" s="43">
        <f>VLOOKUP(Tabla1[[#This Row],[PAGO DIA]],DIAS!A:G,7,0)</f>
        <v>46234</v>
      </c>
      <c r="T372" s="6">
        <v>0</v>
      </c>
      <c r="U372" s="43">
        <f>VLOOKUP(Tabla1[[#This Row],[PAGO DIA]],DIAS!A:H,8,0)</f>
        <v>46265</v>
      </c>
      <c r="V372" s="6">
        <v>0</v>
      </c>
      <c r="W372" s="43">
        <f>VLOOKUP(Tabla1[[#This Row],[PAGO DIA]],DIAS!A:I,9,0)</f>
        <v>46295</v>
      </c>
      <c r="X372" s="6">
        <v>0</v>
      </c>
      <c r="Y372" s="43">
        <f>VLOOKUP(Tabla1[[#This Row],[PAGO DIA]],DIAS!A:J,10,0)</f>
        <v>46325</v>
      </c>
      <c r="Z372" s="6">
        <v>0</v>
      </c>
      <c r="AA372" s="43">
        <f>VLOOKUP(Tabla1[[#This Row],[PAGO DIA]],DIAS!A:K,11,0)</f>
        <v>46356</v>
      </c>
      <c r="AB372" s="6">
        <v>0</v>
      </c>
      <c r="AC372" s="43">
        <f>VLOOKUP(Tabla1[[#This Row],[PAGO DIA]],DIAS!A:M,12,0)</f>
        <v>46386</v>
      </c>
      <c r="AD3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3" spans="1:30">
      <c r="A373" s="3">
        <v>11509</v>
      </c>
      <c r="B373" s="3" t="s">
        <v>604</v>
      </c>
      <c r="C373" s="3" t="s">
        <v>540</v>
      </c>
      <c r="D373" s="3" t="s">
        <v>540</v>
      </c>
      <c r="E373" s="3" t="s">
        <v>1000</v>
      </c>
      <c r="F373" s="42" t="s">
        <v>631</v>
      </c>
      <c r="G373" s="3" t="s">
        <v>1002</v>
      </c>
      <c r="H373" s="6">
        <v>0</v>
      </c>
      <c r="I373" s="41">
        <f>VLOOKUP(Tabla1[[#This Row],[PAGO DIA]],DIAS!A:B,2,0)</f>
        <v>46080</v>
      </c>
      <c r="J373" s="6">
        <v>0</v>
      </c>
      <c r="K373" s="43">
        <f>VLOOKUP(Tabla1[[#This Row],[PAGO DIA]],DIAS!A:C,3,0)</f>
        <v>46112</v>
      </c>
      <c r="L373" s="6">
        <v>0</v>
      </c>
      <c r="M373" s="41">
        <f>VLOOKUP(Tabla1[[#This Row],[PAGO DIA]],DIAS!A:D,4,0)</f>
        <v>46142</v>
      </c>
      <c r="N373" s="6">
        <v>0</v>
      </c>
      <c r="O373" s="43">
        <f>VLOOKUP(Tabla1[[#This Row],[PAGO DIA]],DIAS!A:E,5,0)</f>
        <v>46171</v>
      </c>
      <c r="P373" s="6">
        <v>0</v>
      </c>
      <c r="Q373" s="43">
        <f>VLOOKUP(Tabla1[[#This Row],[PAGO DIA]],DIAS!A:F,6,0)</f>
        <v>46203</v>
      </c>
      <c r="R373" s="6">
        <v>0</v>
      </c>
      <c r="S373" s="43">
        <f>VLOOKUP(Tabla1[[#This Row],[PAGO DIA]],DIAS!A:G,7,0)</f>
        <v>46234</v>
      </c>
      <c r="T373" s="6">
        <v>0</v>
      </c>
      <c r="U373" s="43">
        <f>VLOOKUP(Tabla1[[#This Row],[PAGO DIA]],DIAS!A:H,8,0)</f>
        <v>46265</v>
      </c>
      <c r="V373" s="6">
        <v>0</v>
      </c>
      <c r="W373" s="43">
        <f>VLOOKUP(Tabla1[[#This Row],[PAGO DIA]],DIAS!A:I,9,0)</f>
        <v>46295</v>
      </c>
      <c r="X373" s="6">
        <v>0</v>
      </c>
      <c r="Y373" s="43">
        <f>VLOOKUP(Tabla1[[#This Row],[PAGO DIA]],DIAS!A:J,10,0)</f>
        <v>46325</v>
      </c>
      <c r="Z373" s="6">
        <v>0</v>
      </c>
      <c r="AA373" s="43">
        <f>VLOOKUP(Tabla1[[#This Row],[PAGO DIA]],DIAS!A:K,11,0)</f>
        <v>46356</v>
      </c>
      <c r="AB373" s="6">
        <v>0</v>
      </c>
      <c r="AC373" s="43">
        <f>VLOOKUP(Tabla1[[#This Row],[PAGO DIA]],DIAS!A:M,12,0)</f>
        <v>46386</v>
      </c>
      <c r="AD3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4" spans="1:30">
      <c r="A374" s="3">
        <v>11510</v>
      </c>
      <c r="B374" s="3" t="s">
        <v>604</v>
      </c>
      <c r="C374" s="3" t="s">
        <v>540</v>
      </c>
      <c r="D374" s="3" t="s">
        <v>540</v>
      </c>
      <c r="E374" s="3" t="s">
        <v>1000</v>
      </c>
      <c r="F374" s="42" t="s">
        <v>631</v>
      </c>
      <c r="G374" s="3" t="s">
        <v>1003</v>
      </c>
      <c r="H374" s="6">
        <v>0</v>
      </c>
      <c r="I374" s="41">
        <f>VLOOKUP(Tabla1[[#This Row],[PAGO DIA]],DIAS!A:B,2,0)</f>
        <v>46080</v>
      </c>
      <c r="J374" s="6">
        <v>0</v>
      </c>
      <c r="K374" s="43">
        <f>VLOOKUP(Tabla1[[#This Row],[PAGO DIA]],DIAS!A:C,3,0)</f>
        <v>46112</v>
      </c>
      <c r="L374" s="6">
        <v>0</v>
      </c>
      <c r="M374" s="41">
        <f>VLOOKUP(Tabla1[[#This Row],[PAGO DIA]],DIAS!A:D,4,0)</f>
        <v>46142</v>
      </c>
      <c r="N374" s="6">
        <v>0</v>
      </c>
      <c r="O374" s="43">
        <f>VLOOKUP(Tabla1[[#This Row],[PAGO DIA]],DIAS!A:E,5,0)</f>
        <v>46171</v>
      </c>
      <c r="P374" s="6">
        <v>0</v>
      </c>
      <c r="Q374" s="43">
        <f>VLOOKUP(Tabla1[[#This Row],[PAGO DIA]],DIAS!A:F,6,0)</f>
        <v>46203</v>
      </c>
      <c r="R374" s="6">
        <v>0</v>
      </c>
      <c r="S374" s="43">
        <f>VLOOKUP(Tabla1[[#This Row],[PAGO DIA]],DIAS!A:G,7,0)</f>
        <v>46234</v>
      </c>
      <c r="T374" s="6">
        <v>0</v>
      </c>
      <c r="U374" s="43">
        <f>VLOOKUP(Tabla1[[#This Row],[PAGO DIA]],DIAS!A:H,8,0)</f>
        <v>46265</v>
      </c>
      <c r="V374" s="6">
        <v>0</v>
      </c>
      <c r="W374" s="43">
        <f>VLOOKUP(Tabla1[[#This Row],[PAGO DIA]],DIAS!A:I,9,0)</f>
        <v>46295</v>
      </c>
      <c r="X374" s="6">
        <v>0</v>
      </c>
      <c r="Y374" s="43">
        <f>VLOOKUP(Tabla1[[#This Row],[PAGO DIA]],DIAS!A:J,10,0)</f>
        <v>46325</v>
      </c>
      <c r="Z374" s="6">
        <v>0</v>
      </c>
      <c r="AA374" s="43">
        <f>VLOOKUP(Tabla1[[#This Row],[PAGO DIA]],DIAS!A:K,11,0)</f>
        <v>46356</v>
      </c>
      <c r="AB374" s="6">
        <v>0</v>
      </c>
      <c r="AC374" s="43">
        <f>VLOOKUP(Tabla1[[#This Row],[PAGO DIA]],DIAS!A:M,12,0)</f>
        <v>46386</v>
      </c>
      <c r="AD3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5" spans="1:30">
      <c r="A375" s="3">
        <v>11511</v>
      </c>
      <c r="B375" s="3" t="s">
        <v>604</v>
      </c>
      <c r="C375" s="3" t="s">
        <v>540</v>
      </c>
      <c r="D375" s="3" t="s">
        <v>540</v>
      </c>
      <c r="E375" s="3" t="s">
        <v>1000</v>
      </c>
      <c r="F375" s="42" t="s">
        <v>631</v>
      </c>
      <c r="G375" s="3" t="s">
        <v>1004</v>
      </c>
      <c r="H375" s="6">
        <v>0</v>
      </c>
      <c r="I375" s="41">
        <f>VLOOKUP(Tabla1[[#This Row],[PAGO DIA]],DIAS!A:B,2,0)</f>
        <v>46080</v>
      </c>
      <c r="J375" s="6">
        <v>0</v>
      </c>
      <c r="K375" s="43">
        <f>VLOOKUP(Tabla1[[#This Row],[PAGO DIA]],DIAS!A:C,3,0)</f>
        <v>46112</v>
      </c>
      <c r="L375" s="6">
        <v>0</v>
      </c>
      <c r="M375" s="41">
        <f>VLOOKUP(Tabla1[[#This Row],[PAGO DIA]],DIAS!A:D,4,0)</f>
        <v>46142</v>
      </c>
      <c r="N375" s="6">
        <v>0</v>
      </c>
      <c r="O375" s="43">
        <f>VLOOKUP(Tabla1[[#This Row],[PAGO DIA]],DIAS!A:E,5,0)</f>
        <v>46171</v>
      </c>
      <c r="P375" s="6">
        <v>0</v>
      </c>
      <c r="Q375" s="43">
        <f>VLOOKUP(Tabla1[[#This Row],[PAGO DIA]],DIAS!A:F,6,0)</f>
        <v>46203</v>
      </c>
      <c r="R375" s="6">
        <v>0</v>
      </c>
      <c r="S375" s="43">
        <f>VLOOKUP(Tabla1[[#This Row],[PAGO DIA]],DIAS!A:G,7,0)</f>
        <v>46234</v>
      </c>
      <c r="T375" s="6">
        <v>0</v>
      </c>
      <c r="U375" s="43">
        <f>VLOOKUP(Tabla1[[#This Row],[PAGO DIA]],DIAS!A:H,8,0)</f>
        <v>46265</v>
      </c>
      <c r="V375" s="6">
        <v>0</v>
      </c>
      <c r="W375" s="43">
        <f>VLOOKUP(Tabla1[[#This Row],[PAGO DIA]],DIAS!A:I,9,0)</f>
        <v>46295</v>
      </c>
      <c r="X375" s="6">
        <v>0</v>
      </c>
      <c r="Y375" s="43">
        <f>VLOOKUP(Tabla1[[#This Row],[PAGO DIA]],DIAS!A:J,10,0)</f>
        <v>46325</v>
      </c>
      <c r="Z375" s="6">
        <v>0</v>
      </c>
      <c r="AA375" s="43">
        <f>VLOOKUP(Tabla1[[#This Row],[PAGO DIA]],DIAS!A:K,11,0)</f>
        <v>46356</v>
      </c>
      <c r="AB375" s="6">
        <v>0</v>
      </c>
      <c r="AC375" s="43">
        <f>VLOOKUP(Tabla1[[#This Row],[PAGO DIA]],DIAS!A:M,12,0)</f>
        <v>46386</v>
      </c>
      <c r="AD3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6" spans="1:30">
      <c r="A376" s="3">
        <v>11512</v>
      </c>
      <c r="B376" s="3" t="s">
        <v>604</v>
      </c>
      <c r="C376" s="3" t="s">
        <v>540</v>
      </c>
      <c r="D376" s="3" t="s">
        <v>540</v>
      </c>
      <c r="E376" s="3" t="s">
        <v>1000</v>
      </c>
      <c r="F376" s="42" t="s">
        <v>631</v>
      </c>
      <c r="G376" s="3" t="s">
        <v>1005</v>
      </c>
      <c r="H376" s="6">
        <v>0</v>
      </c>
      <c r="I376" s="41">
        <f>VLOOKUP(Tabla1[[#This Row],[PAGO DIA]],DIAS!A:B,2,0)</f>
        <v>46080</v>
      </c>
      <c r="J376" s="6">
        <v>0</v>
      </c>
      <c r="K376" s="43">
        <f>VLOOKUP(Tabla1[[#This Row],[PAGO DIA]],DIAS!A:C,3,0)</f>
        <v>46112</v>
      </c>
      <c r="L376" s="6">
        <v>0</v>
      </c>
      <c r="M376" s="41">
        <f>VLOOKUP(Tabla1[[#This Row],[PAGO DIA]],DIAS!A:D,4,0)</f>
        <v>46142</v>
      </c>
      <c r="N376" s="6">
        <v>0</v>
      </c>
      <c r="O376" s="43">
        <f>VLOOKUP(Tabla1[[#This Row],[PAGO DIA]],DIAS!A:E,5,0)</f>
        <v>46171</v>
      </c>
      <c r="P376" s="6">
        <v>0</v>
      </c>
      <c r="Q376" s="43">
        <f>VLOOKUP(Tabla1[[#This Row],[PAGO DIA]],DIAS!A:F,6,0)</f>
        <v>46203</v>
      </c>
      <c r="R376" s="6">
        <v>0</v>
      </c>
      <c r="S376" s="43">
        <f>VLOOKUP(Tabla1[[#This Row],[PAGO DIA]],DIAS!A:G,7,0)</f>
        <v>46234</v>
      </c>
      <c r="T376" s="6">
        <v>0</v>
      </c>
      <c r="U376" s="43">
        <f>VLOOKUP(Tabla1[[#This Row],[PAGO DIA]],DIAS!A:H,8,0)</f>
        <v>46265</v>
      </c>
      <c r="V376" s="6">
        <v>0</v>
      </c>
      <c r="W376" s="43">
        <f>VLOOKUP(Tabla1[[#This Row],[PAGO DIA]],DIAS!A:I,9,0)</f>
        <v>46295</v>
      </c>
      <c r="X376" s="6">
        <v>0</v>
      </c>
      <c r="Y376" s="43">
        <f>VLOOKUP(Tabla1[[#This Row],[PAGO DIA]],DIAS!A:J,10,0)</f>
        <v>46325</v>
      </c>
      <c r="Z376" s="6">
        <v>0</v>
      </c>
      <c r="AA376" s="43">
        <f>VLOOKUP(Tabla1[[#This Row],[PAGO DIA]],DIAS!A:K,11,0)</f>
        <v>46356</v>
      </c>
      <c r="AB376" s="6">
        <v>0</v>
      </c>
      <c r="AC376" s="43">
        <f>VLOOKUP(Tabla1[[#This Row],[PAGO DIA]],DIAS!A:M,12,0)</f>
        <v>46386</v>
      </c>
      <c r="AD3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7" spans="1:30">
      <c r="A377" s="3">
        <v>11513</v>
      </c>
      <c r="B377" s="3" t="s">
        <v>604</v>
      </c>
      <c r="C377" s="3" t="s">
        <v>540</v>
      </c>
      <c r="D377" s="3" t="s">
        <v>540</v>
      </c>
      <c r="E377" s="3" t="s">
        <v>1000</v>
      </c>
      <c r="F377" s="42" t="s">
        <v>631</v>
      </c>
      <c r="G377" s="3" t="s">
        <v>1006</v>
      </c>
      <c r="H377" s="6">
        <v>0</v>
      </c>
      <c r="I377" s="41">
        <f>VLOOKUP(Tabla1[[#This Row],[PAGO DIA]],DIAS!A:B,2,0)</f>
        <v>46080</v>
      </c>
      <c r="J377" s="6">
        <v>0</v>
      </c>
      <c r="K377" s="43">
        <f>VLOOKUP(Tabla1[[#This Row],[PAGO DIA]],DIAS!A:C,3,0)</f>
        <v>46112</v>
      </c>
      <c r="L377" s="6">
        <v>0</v>
      </c>
      <c r="M377" s="41">
        <f>VLOOKUP(Tabla1[[#This Row],[PAGO DIA]],DIAS!A:D,4,0)</f>
        <v>46142</v>
      </c>
      <c r="N377" s="6">
        <v>0</v>
      </c>
      <c r="O377" s="43">
        <f>VLOOKUP(Tabla1[[#This Row],[PAGO DIA]],DIAS!A:E,5,0)</f>
        <v>46171</v>
      </c>
      <c r="P377" s="6">
        <v>0</v>
      </c>
      <c r="Q377" s="43">
        <f>VLOOKUP(Tabla1[[#This Row],[PAGO DIA]],DIAS!A:F,6,0)</f>
        <v>46203</v>
      </c>
      <c r="R377" s="6">
        <v>0</v>
      </c>
      <c r="S377" s="43">
        <f>VLOOKUP(Tabla1[[#This Row],[PAGO DIA]],DIAS!A:G,7,0)</f>
        <v>46234</v>
      </c>
      <c r="T377" s="6">
        <v>0</v>
      </c>
      <c r="U377" s="43">
        <f>VLOOKUP(Tabla1[[#This Row],[PAGO DIA]],DIAS!A:H,8,0)</f>
        <v>46265</v>
      </c>
      <c r="V377" s="6">
        <v>0</v>
      </c>
      <c r="W377" s="43">
        <f>VLOOKUP(Tabla1[[#This Row],[PAGO DIA]],DIAS!A:I,9,0)</f>
        <v>46295</v>
      </c>
      <c r="X377" s="6">
        <v>0</v>
      </c>
      <c r="Y377" s="43">
        <f>VLOOKUP(Tabla1[[#This Row],[PAGO DIA]],DIAS!A:J,10,0)</f>
        <v>46325</v>
      </c>
      <c r="Z377" s="6">
        <v>0</v>
      </c>
      <c r="AA377" s="43">
        <f>VLOOKUP(Tabla1[[#This Row],[PAGO DIA]],DIAS!A:K,11,0)</f>
        <v>46356</v>
      </c>
      <c r="AB377" s="6">
        <v>0</v>
      </c>
      <c r="AC377" s="43">
        <f>VLOOKUP(Tabla1[[#This Row],[PAGO DIA]],DIAS!A:M,12,0)</f>
        <v>46386</v>
      </c>
      <c r="AD3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8" spans="1:30">
      <c r="A378" s="3">
        <v>11514</v>
      </c>
      <c r="B378" s="3" t="s">
        <v>604</v>
      </c>
      <c r="C378" s="3" t="s">
        <v>540</v>
      </c>
      <c r="D378" s="3" t="s">
        <v>540</v>
      </c>
      <c r="E378" s="3" t="s">
        <v>1000</v>
      </c>
      <c r="F378" s="42" t="s">
        <v>631</v>
      </c>
      <c r="G378" s="3" t="s">
        <v>1007</v>
      </c>
      <c r="H378" s="6">
        <v>0</v>
      </c>
      <c r="I378" s="41">
        <f>VLOOKUP(Tabla1[[#This Row],[PAGO DIA]],DIAS!A:B,2,0)</f>
        <v>46080</v>
      </c>
      <c r="J378" s="6">
        <v>0</v>
      </c>
      <c r="K378" s="43">
        <f>VLOOKUP(Tabla1[[#This Row],[PAGO DIA]],DIAS!A:C,3,0)</f>
        <v>46112</v>
      </c>
      <c r="L378" s="6">
        <v>0</v>
      </c>
      <c r="M378" s="41">
        <f>VLOOKUP(Tabla1[[#This Row],[PAGO DIA]],DIAS!A:D,4,0)</f>
        <v>46142</v>
      </c>
      <c r="N378" s="6">
        <v>0</v>
      </c>
      <c r="O378" s="43">
        <f>VLOOKUP(Tabla1[[#This Row],[PAGO DIA]],DIAS!A:E,5,0)</f>
        <v>46171</v>
      </c>
      <c r="P378" s="6">
        <v>0</v>
      </c>
      <c r="Q378" s="43">
        <f>VLOOKUP(Tabla1[[#This Row],[PAGO DIA]],DIAS!A:F,6,0)</f>
        <v>46203</v>
      </c>
      <c r="R378" s="6">
        <v>0</v>
      </c>
      <c r="S378" s="43">
        <f>VLOOKUP(Tabla1[[#This Row],[PAGO DIA]],DIAS!A:G,7,0)</f>
        <v>46234</v>
      </c>
      <c r="T378" s="6">
        <v>0</v>
      </c>
      <c r="U378" s="43">
        <f>VLOOKUP(Tabla1[[#This Row],[PAGO DIA]],DIAS!A:H,8,0)</f>
        <v>46265</v>
      </c>
      <c r="V378" s="6">
        <v>0</v>
      </c>
      <c r="W378" s="43">
        <f>VLOOKUP(Tabla1[[#This Row],[PAGO DIA]],DIAS!A:I,9,0)</f>
        <v>46295</v>
      </c>
      <c r="X378" s="6">
        <v>0</v>
      </c>
      <c r="Y378" s="43">
        <f>VLOOKUP(Tabla1[[#This Row],[PAGO DIA]],DIAS!A:J,10,0)</f>
        <v>46325</v>
      </c>
      <c r="Z378" s="6">
        <v>0</v>
      </c>
      <c r="AA378" s="43">
        <f>VLOOKUP(Tabla1[[#This Row],[PAGO DIA]],DIAS!A:K,11,0)</f>
        <v>46356</v>
      </c>
      <c r="AB378" s="6">
        <v>0</v>
      </c>
      <c r="AC378" s="43">
        <f>VLOOKUP(Tabla1[[#This Row],[PAGO DIA]],DIAS!A:M,12,0)</f>
        <v>46386</v>
      </c>
      <c r="AD3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79" spans="1:30">
      <c r="A379" s="3">
        <v>11515</v>
      </c>
      <c r="B379" s="3" t="s">
        <v>604</v>
      </c>
      <c r="C379" s="3" t="s">
        <v>540</v>
      </c>
      <c r="D379" s="3" t="s">
        <v>540</v>
      </c>
      <c r="E379" s="3" t="s">
        <v>1000</v>
      </c>
      <c r="F379" s="42" t="s">
        <v>631</v>
      </c>
      <c r="G379" s="3" t="s">
        <v>1008</v>
      </c>
      <c r="H379" s="6">
        <v>0</v>
      </c>
      <c r="I379" s="41">
        <f>VLOOKUP(Tabla1[[#This Row],[PAGO DIA]],DIAS!A:B,2,0)</f>
        <v>46080</v>
      </c>
      <c r="J379" s="6">
        <v>0</v>
      </c>
      <c r="K379" s="43">
        <f>VLOOKUP(Tabla1[[#This Row],[PAGO DIA]],DIAS!A:C,3,0)</f>
        <v>46112</v>
      </c>
      <c r="L379" s="6">
        <v>0</v>
      </c>
      <c r="M379" s="41">
        <f>VLOOKUP(Tabla1[[#This Row],[PAGO DIA]],DIAS!A:D,4,0)</f>
        <v>46142</v>
      </c>
      <c r="N379" s="6">
        <v>0</v>
      </c>
      <c r="O379" s="43">
        <f>VLOOKUP(Tabla1[[#This Row],[PAGO DIA]],DIAS!A:E,5,0)</f>
        <v>46171</v>
      </c>
      <c r="P379" s="6">
        <v>0</v>
      </c>
      <c r="Q379" s="43">
        <f>VLOOKUP(Tabla1[[#This Row],[PAGO DIA]],DIAS!A:F,6,0)</f>
        <v>46203</v>
      </c>
      <c r="R379" s="6">
        <v>0</v>
      </c>
      <c r="S379" s="43">
        <f>VLOOKUP(Tabla1[[#This Row],[PAGO DIA]],DIAS!A:G,7,0)</f>
        <v>46234</v>
      </c>
      <c r="T379" s="6">
        <v>0</v>
      </c>
      <c r="U379" s="43">
        <f>VLOOKUP(Tabla1[[#This Row],[PAGO DIA]],DIAS!A:H,8,0)</f>
        <v>46265</v>
      </c>
      <c r="V379" s="6">
        <v>0</v>
      </c>
      <c r="W379" s="43">
        <f>VLOOKUP(Tabla1[[#This Row],[PAGO DIA]],DIAS!A:I,9,0)</f>
        <v>46295</v>
      </c>
      <c r="X379" s="6">
        <v>0</v>
      </c>
      <c r="Y379" s="43">
        <f>VLOOKUP(Tabla1[[#This Row],[PAGO DIA]],DIAS!A:J,10,0)</f>
        <v>46325</v>
      </c>
      <c r="Z379" s="6">
        <v>0</v>
      </c>
      <c r="AA379" s="43">
        <f>VLOOKUP(Tabla1[[#This Row],[PAGO DIA]],DIAS!A:K,11,0)</f>
        <v>46356</v>
      </c>
      <c r="AB379" s="6">
        <v>0</v>
      </c>
      <c r="AC379" s="43">
        <f>VLOOKUP(Tabla1[[#This Row],[PAGO DIA]],DIAS!A:M,12,0)</f>
        <v>46386</v>
      </c>
      <c r="AD3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0" spans="1:30">
      <c r="A380" s="3">
        <v>11516</v>
      </c>
      <c r="B380" s="3" t="s">
        <v>604</v>
      </c>
      <c r="C380" s="3" t="s">
        <v>605</v>
      </c>
      <c r="D380" s="3" t="s">
        <v>605</v>
      </c>
      <c r="E380" s="3" t="s">
        <v>1000</v>
      </c>
      <c r="F380" s="42" t="s">
        <v>631</v>
      </c>
      <c r="G380" s="3" t="s">
        <v>635</v>
      </c>
      <c r="H380" s="6">
        <v>0</v>
      </c>
      <c r="I380" s="41">
        <f>VLOOKUP(Tabla1[[#This Row],[PAGO DIA]],DIAS!A:B,2,0)</f>
        <v>46080</v>
      </c>
      <c r="J380" s="6">
        <v>0</v>
      </c>
      <c r="K380" s="43">
        <f>VLOOKUP(Tabla1[[#This Row],[PAGO DIA]],DIAS!A:C,3,0)</f>
        <v>46112</v>
      </c>
      <c r="L380" s="6">
        <v>0</v>
      </c>
      <c r="M380" s="41">
        <f>VLOOKUP(Tabla1[[#This Row],[PAGO DIA]],DIAS!A:D,4,0)</f>
        <v>46142</v>
      </c>
      <c r="N380" s="6">
        <v>0</v>
      </c>
      <c r="O380" s="43">
        <f>VLOOKUP(Tabla1[[#This Row],[PAGO DIA]],DIAS!A:E,5,0)</f>
        <v>46171</v>
      </c>
      <c r="P380" s="6">
        <v>0</v>
      </c>
      <c r="Q380" s="43">
        <f>VLOOKUP(Tabla1[[#This Row],[PAGO DIA]],DIAS!A:F,6,0)</f>
        <v>46203</v>
      </c>
      <c r="R380" s="6">
        <v>0</v>
      </c>
      <c r="S380" s="43">
        <f>VLOOKUP(Tabla1[[#This Row],[PAGO DIA]],DIAS!A:G,7,0)</f>
        <v>46234</v>
      </c>
      <c r="T380" s="6">
        <v>0</v>
      </c>
      <c r="U380" s="43">
        <f>VLOOKUP(Tabla1[[#This Row],[PAGO DIA]],DIAS!A:H,8,0)</f>
        <v>46265</v>
      </c>
      <c r="V380" s="6">
        <v>0</v>
      </c>
      <c r="W380" s="43">
        <f>VLOOKUP(Tabla1[[#This Row],[PAGO DIA]],DIAS!A:I,9,0)</f>
        <v>46295</v>
      </c>
      <c r="X380" s="6">
        <v>0</v>
      </c>
      <c r="Y380" s="43">
        <f>VLOOKUP(Tabla1[[#This Row],[PAGO DIA]],DIAS!A:J,10,0)</f>
        <v>46325</v>
      </c>
      <c r="Z380" s="6">
        <v>0</v>
      </c>
      <c r="AA380" s="43">
        <f>VLOOKUP(Tabla1[[#This Row],[PAGO DIA]],DIAS!A:K,11,0)</f>
        <v>46356</v>
      </c>
      <c r="AB380" s="6">
        <v>0</v>
      </c>
      <c r="AC380" s="43">
        <f>VLOOKUP(Tabla1[[#This Row],[PAGO DIA]],DIAS!A:M,12,0)</f>
        <v>46386</v>
      </c>
      <c r="AD3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1" spans="1:30">
      <c r="A381" s="3">
        <v>12003</v>
      </c>
      <c r="B381" s="3" t="s">
        <v>604</v>
      </c>
      <c r="C381" s="3" t="s">
        <v>540</v>
      </c>
      <c r="D381" s="3" t="s">
        <v>540</v>
      </c>
      <c r="E381" s="3" t="s">
        <v>1009</v>
      </c>
      <c r="F381" s="42" t="s">
        <v>631</v>
      </c>
      <c r="G381" s="3" t="s">
        <v>1010</v>
      </c>
      <c r="H381" s="6">
        <v>0</v>
      </c>
      <c r="I381" s="41">
        <f>VLOOKUP(Tabla1[[#This Row],[PAGO DIA]],DIAS!A:B,2,0)</f>
        <v>46080</v>
      </c>
      <c r="J381" s="6">
        <v>0</v>
      </c>
      <c r="K381" s="43">
        <f>VLOOKUP(Tabla1[[#This Row],[PAGO DIA]],DIAS!A:C,3,0)</f>
        <v>46112</v>
      </c>
      <c r="L381" s="6">
        <v>0</v>
      </c>
      <c r="M381" s="41">
        <f>VLOOKUP(Tabla1[[#This Row],[PAGO DIA]],DIAS!A:D,4,0)</f>
        <v>46142</v>
      </c>
      <c r="N381" s="6">
        <v>0</v>
      </c>
      <c r="O381" s="43">
        <f>VLOOKUP(Tabla1[[#This Row],[PAGO DIA]],DIAS!A:E,5,0)</f>
        <v>46171</v>
      </c>
      <c r="P381" s="6">
        <v>0</v>
      </c>
      <c r="Q381" s="43">
        <f>VLOOKUP(Tabla1[[#This Row],[PAGO DIA]],DIAS!A:F,6,0)</f>
        <v>46203</v>
      </c>
      <c r="R381" s="6">
        <v>0</v>
      </c>
      <c r="S381" s="43">
        <f>VLOOKUP(Tabla1[[#This Row],[PAGO DIA]],DIAS!A:G,7,0)</f>
        <v>46234</v>
      </c>
      <c r="T381" s="6">
        <v>0</v>
      </c>
      <c r="U381" s="43">
        <f>VLOOKUP(Tabla1[[#This Row],[PAGO DIA]],DIAS!A:H,8,0)</f>
        <v>46265</v>
      </c>
      <c r="V381" s="6">
        <v>0</v>
      </c>
      <c r="W381" s="43">
        <f>VLOOKUP(Tabla1[[#This Row],[PAGO DIA]],DIAS!A:I,9,0)</f>
        <v>46295</v>
      </c>
      <c r="X381" s="6">
        <v>0</v>
      </c>
      <c r="Y381" s="43">
        <f>VLOOKUP(Tabla1[[#This Row],[PAGO DIA]],DIAS!A:J,10,0)</f>
        <v>46325</v>
      </c>
      <c r="Z381" s="6">
        <v>0</v>
      </c>
      <c r="AA381" s="43">
        <f>VLOOKUP(Tabla1[[#This Row],[PAGO DIA]],DIAS!A:K,11,0)</f>
        <v>46356</v>
      </c>
      <c r="AB381" s="6">
        <v>0</v>
      </c>
      <c r="AC381" s="43">
        <f>VLOOKUP(Tabla1[[#This Row],[PAGO DIA]],DIAS!A:M,12,0)</f>
        <v>46386</v>
      </c>
      <c r="AD3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2" spans="1:30">
      <c r="A382" s="3">
        <v>12004</v>
      </c>
      <c r="B382" s="3" t="s">
        <v>604</v>
      </c>
      <c r="C382" s="3" t="s">
        <v>540</v>
      </c>
      <c r="D382" s="3" t="s">
        <v>540</v>
      </c>
      <c r="E382" s="3" t="s">
        <v>1009</v>
      </c>
      <c r="F382" s="42" t="s">
        <v>631</v>
      </c>
      <c r="G382" s="3" t="s">
        <v>1011</v>
      </c>
      <c r="H382" s="6">
        <v>0</v>
      </c>
      <c r="I382" s="41">
        <f>VLOOKUP(Tabla1[[#This Row],[PAGO DIA]],DIAS!A:B,2,0)</f>
        <v>46080</v>
      </c>
      <c r="J382" s="6">
        <v>0</v>
      </c>
      <c r="K382" s="43">
        <f>VLOOKUP(Tabla1[[#This Row],[PAGO DIA]],DIAS!A:C,3,0)</f>
        <v>46112</v>
      </c>
      <c r="L382" s="6">
        <v>0</v>
      </c>
      <c r="M382" s="41">
        <f>VLOOKUP(Tabla1[[#This Row],[PAGO DIA]],DIAS!A:D,4,0)</f>
        <v>46142</v>
      </c>
      <c r="N382" s="6">
        <v>0</v>
      </c>
      <c r="O382" s="43">
        <f>VLOOKUP(Tabla1[[#This Row],[PAGO DIA]],DIAS!A:E,5,0)</f>
        <v>46171</v>
      </c>
      <c r="P382" s="6">
        <v>0</v>
      </c>
      <c r="Q382" s="43">
        <f>VLOOKUP(Tabla1[[#This Row],[PAGO DIA]],DIAS!A:F,6,0)</f>
        <v>46203</v>
      </c>
      <c r="R382" s="6">
        <v>0</v>
      </c>
      <c r="S382" s="43">
        <f>VLOOKUP(Tabla1[[#This Row],[PAGO DIA]],DIAS!A:G,7,0)</f>
        <v>46234</v>
      </c>
      <c r="T382" s="6">
        <v>0</v>
      </c>
      <c r="U382" s="43">
        <f>VLOOKUP(Tabla1[[#This Row],[PAGO DIA]],DIAS!A:H,8,0)</f>
        <v>46265</v>
      </c>
      <c r="V382" s="6">
        <v>0</v>
      </c>
      <c r="W382" s="43">
        <f>VLOOKUP(Tabla1[[#This Row],[PAGO DIA]],DIAS!A:I,9,0)</f>
        <v>46295</v>
      </c>
      <c r="X382" s="6">
        <v>0</v>
      </c>
      <c r="Y382" s="43">
        <f>VLOOKUP(Tabla1[[#This Row],[PAGO DIA]],DIAS!A:J,10,0)</f>
        <v>46325</v>
      </c>
      <c r="Z382" s="6">
        <v>0</v>
      </c>
      <c r="AA382" s="43">
        <f>VLOOKUP(Tabla1[[#This Row],[PAGO DIA]],DIAS!A:K,11,0)</f>
        <v>46356</v>
      </c>
      <c r="AB382" s="6">
        <v>0</v>
      </c>
      <c r="AC382" s="43">
        <f>VLOOKUP(Tabla1[[#This Row],[PAGO DIA]],DIAS!A:M,12,0)</f>
        <v>46386</v>
      </c>
      <c r="AD3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3" spans="1:30">
      <c r="A383" s="3">
        <v>12005</v>
      </c>
      <c r="B383" s="3" t="s">
        <v>604</v>
      </c>
      <c r="C383" s="3" t="s">
        <v>540</v>
      </c>
      <c r="D383" s="3" t="s">
        <v>540</v>
      </c>
      <c r="E383" s="3" t="s">
        <v>1009</v>
      </c>
      <c r="F383" s="42" t="s">
        <v>631</v>
      </c>
      <c r="G383" s="3" t="s">
        <v>1012</v>
      </c>
      <c r="H383" s="6">
        <v>0</v>
      </c>
      <c r="I383" s="41">
        <f>VLOOKUP(Tabla1[[#This Row],[PAGO DIA]],DIAS!A:B,2,0)</f>
        <v>46080</v>
      </c>
      <c r="J383" s="6">
        <v>0</v>
      </c>
      <c r="K383" s="43">
        <f>VLOOKUP(Tabla1[[#This Row],[PAGO DIA]],DIAS!A:C,3,0)</f>
        <v>46112</v>
      </c>
      <c r="L383" s="6">
        <v>0</v>
      </c>
      <c r="M383" s="41">
        <f>VLOOKUP(Tabla1[[#This Row],[PAGO DIA]],DIAS!A:D,4,0)</f>
        <v>46142</v>
      </c>
      <c r="N383" s="6">
        <v>0</v>
      </c>
      <c r="O383" s="43">
        <f>VLOOKUP(Tabla1[[#This Row],[PAGO DIA]],DIAS!A:E,5,0)</f>
        <v>46171</v>
      </c>
      <c r="P383" s="6">
        <v>0</v>
      </c>
      <c r="Q383" s="43">
        <f>VLOOKUP(Tabla1[[#This Row],[PAGO DIA]],DIAS!A:F,6,0)</f>
        <v>46203</v>
      </c>
      <c r="R383" s="6">
        <v>0</v>
      </c>
      <c r="S383" s="43">
        <f>VLOOKUP(Tabla1[[#This Row],[PAGO DIA]],DIAS!A:G,7,0)</f>
        <v>46234</v>
      </c>
      <c r="T383" s="6">
        <v>0</v>
      </c>
      <c r="U383" s="43">
        <f>VLOOKUP(Tabla1[[#This Row],[PAGO DIA]],DIAS!A:H,8,0)</f>
        <v>46265</v>
      </c>
      <c r="V383" s="6">
        <v>0</v>
      </c>
      <c r="W383" s="43">
        <f>VLOOKUP(Tabla1[[#This Row],[PAGO DIA]],DIAS!A:I,9,0)</f>
        <v>46295</v>
      </c>
      <c r="X383" s="6">
        <v>0</v>
      </c>
      <c r="Y383" s="43">
        <f>VLOOKUP(Tabla1[[#This Row],[PAGO DIA]],DIAS!A:J,10,0)</f>
        <v>46325</v>
      </c>
      <c r="Z383" s="6">
        <v>0</v>
      </c>
      <c r="AA383" s="43">
        <f>VLOOKUP(Tabla1[[#This Row],[PAGO DIA]],DIAS!A:K,11,0)</f>
        <v>46356</v>
      </c>
      <c r="AB383" s="6">
        <v>0</v>
      </c>
      <c r="AC383" s="43">
        <f>VLOOKUP(Tabla1[[#This Row],[PAGO DIA]],DIAS!A:M,12,0)</f>
        <v>46386</v>
      </c>
      <c r="AD3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4" spans="1:30">
      <c r="A384" s="3">
        <v>12006</v>
      </c>
      <c r="B384" s="3" t="s">
        <v>604</v>
      </c>
      <c r="C384" s="3" t="s">
        <v>540</v>
      </c>
      <c r="D384" s="3" t="s">
        <v>540</v>
      </c>
      <c r="E384" s="3" t="s">
        <v>1009</v>
      </c>
      <c r="F384" s="42" t="s">
        <v>631</v>
      </c>
      <c r="G384" s="3" t="s">
        <v>1013</v>
      </c>
      <c r="H384" s="6">
        <v>0</v>
      </c>
      <c r="I384" s="41">
        <f>VLOOKUP(Tabla1[[#This Row],[PAGO DIA]],DIAS!A:B,2,0)</f>
        <v>46080</v>
      </c>
      <c r="J384" s="6">
        <v>0</v>
      </c>
      <c r="K384" s="43">
        <f>VLOOKUP(Tabla1[[#This Row],[PAGO DIA]],DIAS!A:C,3,0)</f>
        <v>46112</v>
      </c>
      <c r="L384" s="6">
        <v>0</v>
      </c>
      <c r="M384" s="41">
        <f>VLOOKUP(Tabla1[[#This Row],[PAGO DIA]],DIAS!A:D,4,0)</f>
        <v>46142</v>
      </c>
      <c r="N384" s="6">
        <v>0</v>
      </c>
      <c r="O384" s="43">
        <f>VLOOKUP(Tabla1[[#This Row],[PAGO DIA]],DIAS!A:E,5,0)</f>
        <v>46171</v>
      </c>
      <c r="P384" s="6">
        <v>0</v>
      </c>
      <c r="Q384" s="43">
        <f>VLOOKUP(Tabla1[[#This Row],[PAGO DIA]],DIAS!A:F,6,0)</f>
        <v>46203</v>
      </c>
      <c r="R384" s="6">
        <v>0</v>
      </c>
      <c r="S384" s="43">
        <f>VLOOKUP(Tabla1[[#This Row],[PAGO DIA]],DIAS!A:G,7,0)</f>
        <v>46234</v>
      </c>
      <c r="T384" s="6">
        <v>0</v>
      </c>
      <c r="U384" s="43">
        <f>VLOOKUP(Tabla1[[#This Row],[PAGO DIA]],DIAS!A:H,8,0)</f>
        <v>46265</v>
      </c>
      <c r="V384" s="6">
        <v>0</v>
      </c>
      <c r="W384" s="43">
        <f>VLOOKUP(Tabla1[[#This Row],[PAGO DIA]],DIAS!A:I,9,0)</f>
        <v>46295</v>
      </c>
      <c r="X384" s="6">
        <v>0</v>
      </c>
      <c r="Y384" s="43">
        <f>VLOOKUP(Tabla1[[#This Row],[PAGO DIA]],DIAS!A:J,10,0)</f>
        <v>46325</v>
      </c>
      <c r="Z384" s="6">
        <v>0</v>
      </c>
      <c r="AA384" s="43">
        <f>VLOOKUP(Tabla1[[#This Row],[PAGO DIA]],DIAS!A:K,11,0)</f>
        <v>46356</v>
      </c>
      <c r="AB384" s="6">
        <v>0</v>
      </c>
      <c r="AC384" s="43">
        <f>VLOOKUP(Tabla1[[#This Row],[PAGO DIA]],DIAS!A:M,12,0)</f>
        <v>46386</v>
      </c>
      <c r="AD3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5" spans="1:30">
      <c r="A385" s="3">
        <v>12007</v>
      </c>
      <c r="B385" s="3" t="s">
        <v>604</v>
      </c>
      <c r="C385" s="3" t="s">
        <v>540</v>
      </c>
      <c r="D385" s="3" t="s">
        <v>540</v>
      </c>
      <c r="E385" s="3" t="s">
        <v>1009</v>
      </c>
      <c r="F385" s="42" t="s">
        <v>631</v>
      </c>
      <c r="G385" s="3" t="s">
        <v>1014</v>
      </c>
      <c r="H385" s="6">
        <v>0</v>
      </c>
      <c r="I385" s="41">
        <f>VLOOKUP(Tabla1[[#This Row],[PAGO DIA]],DIAS!A:B,2,0)</f>
        <v>46080</v>
      </c>
      <c r="J385" s="6">
        <v>0</v>
      </c>
      <c r="K385" s="43">
        <f>VLOOKUP(Tabla1[[#This Row],[PAGO DIA]],DIAS!A:C,3,0)</f>
        <v>46112</v>
      </c>
      <c r="L385" s="6">
        <v>0</v>
      </c>
      <c r="M385" s="41">
        <f>VLOOKUP(Tabla1[[#This Row],[PAGO DIA]],DIAS!A:D,4,0)</f>
        <v>46142</v>
      </c>
      <c r="N385" s="6">
        <v>0</v>
      </c>
      <c r="O385" s="43">
        <f>VLOOKUP(Tabla1[[#This Row],[PAGO DIA]],DIAS!A:E,5,0)</f>
        <v>46171</v>
      </c>
      <c r="P385" s="6">
        <v>0</v>
      </c>
      <c r="Q385" s="43">
        <f>VLOOKUP(Tabla1[[#This Row],[PAGO DIA]],DIAS!A:F,6,0)</f>
        <v>46203</v>
      </c>
      <c r="R385" s="6">
        <v>0</v>
      </c>
      <c r="S385" s="43">
        <f>VLOOKUP(Tabla1[[#This Row],[PAGO DIA]],DIAS!A:G,7,0)</f>
        <v>46234</v>
      </c>
      <c r="T385" s="6">
        <v>0</v>
      </c>
      <c r="U385" s="43">
        <f>VLOOKUP(Tabla1[[#This Row],[PAGO DIA]],DIAS!A:H,8,0)</f>
        <v>46265</v>
      </c>
      <c r="V385" s="6">
        <v>0</v>
      </c>
      <c r="W385" s="43">
        <f>VLOOKUP(Tabla1[[#This Row],[PAGO DIA]],DIAS!A:I,9,0)</f>
        <v>46295</v>
      </c>
      <c r="X385" s="6">
        <v>0</v>
      </c>
      <c r="Y385" s="43">
        <f>VLOOKUP(Tabla1[[#This Row],[PAGO DIA]],DIAS!A:J,10,0)</f>
        <v>46325</v>
      </c>
      <c r="Z385" s="6">
        <v>0</v>
      </c>
      <c r="AA385" s="43">
        <f>VLOOKUP(Tabla1[[#This Row],[PAGO DIA]],DIAS!A:K,11,0)</f>
        <v>46356</v>
      </c>
      <c r="AB385" s="6">
        <v>0</v>
      </c>
      <c r="AC385" s="43">
        <f>VLOOKUP(Tabla1[[#This Row],[PAGO DIA]],DIAS!A:M,12,0)</f>
        <v>46386</v>
      </c>
      <c r="AD3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6" spans="1:30">
      <c r="A386" s="3">
        <v>12008</v>
      </c>
      <c r="B386" s="3" t="s">
        <v>604</v>
      </c>
      <c r="C386" s="3" t="s">
        <v>540</v>
      </c>
      <c r="D386" s="3" t="s">
        <v>540</v>
      </c>
      <c r="E386" s="3" t="s">
        <v>1009</v>
      </c>
      <c r="F386" s="42" t="s">
        <v>631</v>
      </c>
      <c r="G386" s="3" t="s">
        <v>1015</v>
      </c>
      <c r="H386" s="6">
        <v>0</v>
      </c>
      <c r="I386" s="41">
        <f>VLOOKUP(Tabla1[[#This Row],[PAGO DIA]],DIAS!A:B,2,0)</f>
        <v>46080</v>
      </c>
      <c r="J386" s="6">
        <v>0</v>
      </c>
      <c r="K386" s="43">
        <f>VLOOKUP(Tabla1[[#This Row],[PAGO DIA]],DIAS!A:C,3,0)</f>
        <v>46112</v>
      </c>
      <c r="L386" s="6">
        <v>0</v>
      </c>
      <c r="M386" s="41">
        <f>VLOOKUP(Tabla1[[#This Row],[PAGO DIA]],DIAS!A:D,4,0)</f>
        <v>46142</v>
      </c>
      <c r="N386" s="6">
        <v>0</v>
      </c>
      <c r="O386" s="43">
        <f>VLOOKUP(Tabla1[[#This Row],[PAGO DIA]],DIAS!A:E,5,0)</f>
        <v>46171</v>
      </c>
      <c r="P386" s="6">
        <v>0</v>
      </c>
      <c r="Q386" s="43">
        <f>VLOOKUP(Tabla1[[#This Row],[PAGO DIA]],DIAS!A:F,6,0)</f>
        <v>46203</v>
      </c>
      <c r="R386" s="6">
        <v>0</v>
      </c>
      <c r="S386" s="43">
        <f>VLOOKUP(Tabla1[[#This Row],[PAGO DIA]],DIAS!A:G,7,0)</f>
        <v>46234</v>
      </c>
      <c r="T386" s="6">
        <v>0</v>
      </c>
      <c r="U386" s="43">
        <f>VLOOKUP(Tabla1[[#This Row],[PAGO DIA]],DIAS!A:H,8,0)</f>
        <v>46265</v>
      </c>
      <c r="V386" s="6">
        <v>0</v>
      </c>
      <c r="W386" s="43">
        <f>VLOOKUP(Tabla1[[#This Row],[PAGO DIA]],DIAS!A:I,9,0)</f>
        <v>46295</v>
      </c>
      <c r="X386" s="6">
        <v>0</v>
      </c>
      <c r="Y386" s="43">
        <f>VLOOKUP(Tabla1[[#This Row],[PAGO DIA]],DIAS!A:J,10,0)</f>
        <v>46325</v>
      </c>
      <c r="Z386" s="6">
        <v>0</v>
      </c>
      <c r="AA386" s="43">
        <f>VLOOKUP(Tabla1[[#This Row],[PAGO DIA]],DIAS!A:K,11,0)</f>
        <v>46356</v>
      </c>
      <c r="AB386" s="6">
        <v>0</v>
      </c>
      <c r="AC386" s="43">
        <f>VLOOKUP(Tabla1[[#This Row],[PAGO DIA]],DIAS!A:M,12,0)</f>
        <v>46386</v>
      </c>
      <c r="AD3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7" spans="1:30">
      <c r="A387" s="3">
        <v>12009</v>
      </c>
      <c r="B387" s="3" t="s">
        <v>604</v>
      </c>
      <c r="C387" s="3" t="s">
        <v>540</v>
      </c>
      <c r="D387" s="3" t="s">
        <v>540</v>
      </c>
      <c r="E387" s="3" t="s">
        <v>1009</v>
      </c>
      <c r="F387" s="42" t="s">
        <v>631</v>
      </c>
      <c r="G387" s="3" t="s">
        <v>1016</v>
      </c>
      <c r="H387" s="6">
        <v>0</v>
      </c>
      <c r="I387" s="41">
        <f>VLOOKUP(Tabla1[[#This Row],[PAGO DIA]],DIAS!A:B,2,0)</f>
        <v>46080</v>
      </c>
      <c r="J387" s="6">
        <v>0</v>
      </c>
      <c r="K387" s="43">
        <f>VLOOKUP(Tabla1[[#This Row],[PAGO DIA]],DIAS!A:C,3,0)</f>
        <v>46112</v>
      </c>
      <c r="L387" s="6">
        <v>0</v>
      </c>
      <c r="M387" s="41">
        <f>VLOOKUP(Tabla1[[#This Row],[PAGO DIA]],DIAS!A:D,4,0)</f>
        <v>46142</v>
      </c>
      <c r="N387" s="6">
        <v>0</v>
      </c>
      <c r="O387" s="43">
        <f>VLOOKUP(Tabla1[[#This Row],[PAGO DIA]],DIAS!A:E,5,0)</f>
        <v>46171</v>
      </c>
      <c r="P387" s="6">
        <v>0</v>
      </c>
      <c r="Q387" s="43">
        <f>VLOOKUP(Tabla1[[#This Row],[PAGO DIA]],DIAS!A:F,6,0)</f>
        <v>46203</v>
      </c>
      <c r="R387" s="6">
        <v>0</v>
      </c>
      <c r="S387" s="43">
        <f>VLOOKUP(Tabla1[[#This Row],[PAGO DIA]],DIAS!A:G,7,0)</f>
        <v>46234</v>
      </c>
      <c r="T387" s="6">
        <v>0</v>
      </c>
      <c r="U387" s="43">
        <f>VLOOKUP(Tabla1[[#This Row],[PAGO DIA]],DIAS!A:H,8,0)</f>
        <v>46265</v>
      </c>
      <c r="V387" s="6">
        <v>0</v>
      </c>
      <c r="W387" s="43">
        <f>VLOOKUP(Tabla1[[#This Row],[PAGO DIA]],DIAS!A:I,9,0)</f>
        <v>46295</v>
      </c>
      <c r="X387" s="6">
        <v>0</v>
      </c>
      <c r="Y387" s="43">
        <f>VLOOKUP(Tabla1[[#This Row],[PAGO DIA]],DIAS!A:J,10,0)</f>
        <v>46325</v>
      </c>
      <c r="Z387" s="6">
        <v>0</v>
      </c>
      <c r="AA387" s="43">
        <f>VLOOKUP(Tabla1[[#This Row],[PAGO DIA]],DIAS!A:K,11,0)</f>
        <v>46356</v>
      </c>
      <c r="AB387" s="6">
        <v>0</v>
      </c>
      <c r="AC387" s="43">
        <f>VLOOKUP(Tabla1[[#This Row],[PAGO DIA]],DIAS!A:M,12,0)</f>
        <v>46386</v>
      </c>
      <c r="AD3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8" spans="1:30">
      <c r="A388" s="3">
        <v>12010</v>
      </c>
      <c r="B388" s="3" t="s">
        <v>604</v>
      </c>
      <c r="C388" s="3" t="s">
        <v>540</v>
      </c>
      <c r="D388" s="3" t="s">
        <v>540</v>
      </c>
      <c r="E388" s="3" t="s">
        <v>1009</v>
      </c>
      <c r="F388" s="42" t="s">
        <v>631</v>
      </c>
      <c r="G388" s="3" t="s">
        <v>1017</v>
      </c>
      <c r="H388" s="6">
        <v>0</v>
      </c>
      <c r="I388" s="41">
        <f>VLOOKUP(Tabla1[[#This Row],[PAGO DIA]],DIAS!A:B,2,0)</f>
        <v>46080</v>
      </c>
      <c r="J388" s="6">
        <v>0</v>
      </c>
      <c r="K388" s="43">
        <f>VLOOKUP(Tabla1[[#This Row],[PAGO DIA]],DIAS!A:C,3,0)</f>
        <v>46112</v>
      </c>
      <c r="L388" s="6">
        <v>0</v>
      </c>
      <c r="M388" s="41">
        <f>VLOOKUP(Tabla1[[#This Row],[PAGO DIA]],DIAS!A:D,4,0)</f>
        <v>46142</v>
      </c>
      <c r="N388" s="6">
        <v>0</v>
      </c>
      <c r="O388" s="43">
        <f>VLOOKUP(Tabla1[[#This Row],[PAGO DIA]],DIAS!A:E,5,0)</f>
        <v>46171</v>
      </c>
      <c r="P388" s="6">
        <v>0</v>
      </c>
      <c r="Q388" s="43">
        <f>VLOOKUP(Tabla1[[#This Row],[PAGO DIA]],DIAS!A:F,6,0)</f>
        <v>46203</v>
      </c>
      <c r="R388" s="6">
        <v>0</v>
      </c>
      <c r="S388" s="43">
        <f>VLOOKUP(Tabla1[[#This Row],[PAGO DIA]],DIAS!A:G,7,0)</f>
        <v>46234</v>
      </c>
      <c r="T388" s="6">
        <v>0</v>
      </c>
      <c r="U388" s="43">
        <f>VLOOKUP(Tabla1[[#This Row],[PAGO DIA]],DIAS!A:H,8,0)</f>
        <v>46265</v>
      </c>
      <c r="V388" s="6">
        <v>0</v>
      </c>
      <c r="W388" s="43">
        <f>VLOOKUP(Tabla1[[#This Row],[PAGO DIA]],DIAS!A:I,9,0)</f>
        <v>46295</v>
      </c>
      <c r="X388" s="6">
        <v>0</v>
      </c>
      <c r="Y388" s="43">
        <f>VLOOKUP(Tabla1[[#This Row],[PAGO DIA]],DIAS!A:J,10,0)</f>
        <v>46325</v>
      </c>
      <c r="Z388" s="6">
        <v>0</v>
      </c>
      <c r="AA388" s="43">
        <f>VLOOKUP(Tabla1[[#This Row],[PAGO DIA]],DIAS!A:K,11,0)</f>
        <v>46356</v>
      </c>
      <c r="AB388" s="6">
        <v>0</v>
      </c>
      <c r="AC388" s="43">
        <f>VLOOKUP(Tabla1[[#This Row],[PAGO DIA]],DIAS!A:M,12,0)</f>
        <v>46386</v>
      </c>
      <c r="AD3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89" spans="1:30">
      <c r="A389" s="3">
        <v>12011</v>
      </c>
      <c r="B389" s="3" t="s">
        <v>604</v>
      </c>
      <c r="C389" s="3" t="s">
        <v>540</v>
      </c>
      <c r="D389" s="3" t="s">
        <v>540</v>
      </c>
      <c r="E389" s="3" t="s">
        <v>1009</v>
      </c>
      <c r="F389" s="42" t="s">
        <v>631</v>
      </c>
      <c r="G389" s="3" t="s">
        <v>1018</v>
      </c>
      <c r="H389" s="6">
        <v>0</v>
      </c>
      <c r="I389" s="41">
        <f>VLOOKUP(Tabla1[[#This Row],[PAGO DIA]],DIAS!A:B,2,0)</f>
        <v>46080</v>
      </c>
      <c r="J389" s="6">
        <v>0</v>
      </c>
      <c r="K389" s="43">
        <f>VLOOKUP(Tabla1[[#This Row],[PAGO DIA]],DIAS!A:C,3,0)</f>
        <v>46112</v>
      </c>
      <c r="L389" s="6">
        <v>0</v>
      </c>
      <c r="M389" s="41">
        <f>VLOOKUP(Tabla1[[#This Row],[PAGO DIA]],DIAS!A:D,4,0)</f>
        <v>46142</v>
      </c>
      <c r="N389" s="6">
        <v>0</v>
      </c>
      <c r="O389" s="43">
        <f>VLOOKUP(Tabla1[[#This Row],[PAGO DIA]],DIAS!A:E,5,0)</f>
        <v>46171</v>
      </c>
      <c r="P389" s="6">
        <v>0</v>
      </c>
      <c r="Q389" s="43">
        <f>VLOOKUP(Tabla1[[#This Row],[PAGO DIA]],DIAS!A:F,6,0)</f>
        <v>46203</v>
      </c>
      <c r="R389" s="6">
        <v>0</v>
      </c>
      <c r="S389" s="43">
        <f>VLOOKUP(Tabla1[[#This Row],[PAGO DIA]],DIAS!A:G,7,0)</f>
        <v>46234</v>
      </c>
      <c r="T389" s="6">
        <v>0</v>
      </c>
      <c r="U389" s="43">
        <f>VLOOKUP(Tabla1[[#This Row],[PAGO DIA]],DIAS!A:H,8,0)</f>
        <v>46265</v>
      </c>
      <c r="V389" s="6">
        <v>0</v>
      </c>
      <c r="W389" s="43">
        <f>VLOOKUP(Tabla1[[#This Row],[PAGO DIA]],DIAS!A:I,9,0)</f>
        <v>46295</v>
      </c>
      <c r="X389" s="6">
        <v>0</v>
      </c>
      <c r="Y389" s="43">
        <f>VLOOKUP(Tabla1[[#This Row],[PAGO DIA]],DIAS!A:J,10,0)</f>
        <v>46325</v>
      </c>
      <c r="Z389" s="6">
        <v>0</v>
      </c>
      <c r="AA389" s="43">
        <f>VLOOKUP(Tabla1[[#This Row],[PAGO DIA]],DIAS!A:K,11,0)</f>
        <v>46356</v>
      </c>
      <c r="AB389" s="6">
        <v>0</v>
      </c>
      <c r="AC389" s="43">
        <f>VLOOKUP(Tabla1[[#This Row],[PAGO DIA]],DIAS!A:M,12,0)</f>
        <v>46386</v>
      </c>
      <c r="AD3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0" spans="1:30">
      <c r="A390" s="3">
        <v>12012</v>
      </c>
      <c r="B390" s="3" t="s">
        <v>604</v>
      </c>
      <c r="C390" s="3" t="s">
        <v>540</v>
      </c>
      <c r="D390" s="3" t="s">
        <v>540</v>
      </c>
      <c r="E390" s="3" t="s">
        <v>1009</v>
      </c>
      <c r="F390" s="42" t="s">
        <v>631</v>
      </c>
      <c r="G390" s="3" t="s">
        <v>1019</v>
      </c>
      <c r="H390" s="6">
        <v>0</v>
      </c>
      <c r="I390" s="41">
        <f>VLOOKUP(Tabla1[[#This Row],[PAGO DIA]],DIAS!A:B,2,0)</f>
        <v>46080</v>
      </c>
      <c r="J390" s="6">
        <v>0</v>
      </c>
      <c r="K390" s="43">
        <f>VLOOKUP(Tabla1[[#This Row],[PAGO DIA]],DIAS!A:C,3,0)</f>
        <v>46112</v>
      </c>
      <c r="L390" s="6">
        <v>0</v>
      </c>
      <c r="M390" s="41">
        <f>VLOOKUP(Tabla1[[#This Row],[PAGO DIA]],DIAS!A:D,4,0)</f>
        <v>46142</v>
      </c>
      <c r="N390" s="6">
        <v>0</v>
      </c>
      <c r="O390" s="43">
        <f>VLOOKUP(Tabla1[[#This Row],[PAGO DIA]],DIAS!A:E,5,0)</f>
        <v>46171</v>
      </c>
      <c r="P390" s="6">
        <v>0</v>
      </c>
      <c r="Q390" s="43">
        <f>VLOOKUP(Tabla1[[#This Row],[PAGO DIA]],DIAS!A:F,6,0)</f>
        <v>46203</v>
      </c>
      <c r="R390" s="6">
        <v>0</v>
      </c>
      <c r="S390" s="43">
        <f>VLOOKUP(Tabla1[[#This Row],[PAGO DIA]],DIAS!A:G,7,0)</f>
        <v>46234</v>
      </c>
      <c r="T390" s="6">
        <v>0</v>
      </c>
      <c r="U390" s="43">
        <f>VLOOKUP(Tabla1[[#This Row],[PAGO DIA]],DIAS!A:H,8,0)</f>
        <v>46265</v>
      </c>
      <c r="V390" s="6">
        <v>0</v>
      </c>
      <c r="W390" s="43">
        <f>VLOOKUP(Tabla1[[#This Row],[PAGO DIA]],DIAS!A:I,9,0)</f>
        <v>46295</v>
      </c>
      <c r="X390" s="6">
        <v>0</v>
      </c>
      <c r="Y390" s="43">
        <f>VLOOKUP(Tabla1[[#This Row],[PAGO DIA]],DIAS!A:J,10,0)</f>
        <v>46325</v>
      </c>
      <c r="Z390" s="6">
        <v>0</v>
      </c>
      <c r="AA390" s="43">
        <f>VLOOKUP(Tabla1[[#This Row],[PAGO DIA]],DIAS!A:K,11,0)</f>
        <v>46356</v>
      </c>
      <c r="AB390" s="6">
        <v>0</v>
      </c>
      <c r="AC390" s="43">
        <f>VLOOKUP(Tabla1[[#This Row],[PAGO DIA]],DIAS!A:M,12,0)</f>
        <v>46386</v>
      </c>
      <c r="AD3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1" spans="1:30">
      <c r="A391" s="3">
        <v>12014</v>
      </c>
      <c r="B391" s="3" t="s">
        <v>604</v>
      </c>
      <c r="C391" s="3" t="s">
        <v>540</v>
      </c>
      <c r="D391" s="3" t="s">
        <v>540</v>
      </c>
      <c r="E391" s="3" t="s">
        <v>1009</v>
      </c>
      <c r="F391" s="42" t="s">
        <v>631</v>
      </c>
      <c r="G391" s="3" t="s">
        <v>1020</v>
      </c>
      <c r="H391" s="6">
        <v>0</v>
      </c>
      <c r="I391" s="41">
        <f>VLOOKUP(Tabla1[[#This Row],[PAGO DIA]],DIAS!A:B,2,0)</f>
        <v>46080</v>
      </c>
      <c r="J391" s="6">
        <v>0</v>
      </c>
      <c r="K391" s="43">
        <f>VLOOKUP(Tabla1[[#This Row],[PAGO DIA]],DIAS!A:C,3,0)</f>
        <v>46112</v>
      </c>
      <c r="L391" s="6">
        <v>0</v>
      </c>
      <c r="M391" s="41">
        <f>VLOOKUP(Tabla1[[#This Row],[PAGO DIA]],DIAS!A:D,4,0)</f>
        <v>46142</v>
      </c>
      <c r="N391" s="6">
        <v>0</v>
      </c>
      <c r="O391" s="43">
        <f>VLOOKUP(Tabla1[[#This Row],[PAGO DIA]],DIAS!A:E,5,0)</f>
        <v>46171</v>
      </c>
      <c r="P391" s="6">
        <v>0</v>
      </c>
      <c r="Q391" s="43">
        <f>VLOOKUP(Tabla1[[#This Row],[PAGO DIA]],DIAS!A:F,6,0)</f>
        <v>46203</v>
      </c>
      <c r="R391" s="6">
        <v>0</v>
      </c>
      <c r="S391" s="43">
        <f>VLOOKUP(Tabla1[[#This Row],[PAGO DIA]],DIAS!A:G,7,0)</f>
        <v>46234</v>
      </c>
      <c r="T391" s="6">
        <v>0</v>
      </c>
      <c r="U391" s="43">
        <f>VLOOKUP(Tabla1[[#This Row],[PAGO DIA]],DIAS!A:H,8,0)</f>
        <v>46265</v>
      </c>
      <c r="V391" s="6">
        <v>0</v>
      </c>
      <c r="W391" s="43">
        <f>VLOOKUP(Tabla1[[#This Row],[PAGO DIA]],DIAS!A:I,9,0)</f>
        <v>46295</v>
      </c>
      <c r="X391" s="6">
        <v>0</v>
      </c>
      <c r="Y391" s="43">
        <f>VLOOKUP(Tabla1[[#This Row],[PAGO DIA]],DIAS!A:J,10,0)</f>
        <v>46325</v>
      </c>
      <c r="Z391" s="6">
        <v>0</v>
      </c>
      <c r="AA391" s="43">
        <f>VLOOKUP(Tabla1[[#This Row],[PAGO DIA]],DIAS!A:K,11,0)</f>
        <v>46356</v>
      </c>
      <c r="AB391" s="6">
        <v>0</v>
      </c>
      <c r="AC391" s="43">
        <f>VLOOKUP(Tabla1[[#This Row],[PAGO DIA]],DIAS!A:M,12,0)</f>
        <v>46386</v>
      </c>
      <c r="AD3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2" spans="1:30">
      <c r="A392" s="3">
        <v>12015</v>
      </c>
      <c r="B392" s="3" t="s">
        <v>604</v>
      </c>
      <c r="C392" s="3" t="s">
        <v>540</v>
      </c>
      <c r="D392" s="3" t="s">
        <v>540</v>
      </c>
      <c r="E392" s="3" t="s">
        <v>1009</v>
      </c>
      <c r="F392" s="42" t="s">
        <v>631</v>
      </c>
      <c r="G392" s="3" t="s">
        <v>1021</v>
      </c>
      <c r="H392" s="6">
        <v>0</v>
      </c>
      <c r="I392" s="41">
        <f>VLOOKUP(Tabla1[[#This Row],[PAGO DIA]],DIAS!A:B,2,0)</f>
        <v>46080</v>
      </c>
      <c r="J392" s="6">
        <v>0</v>
      </c>
      <c r="K392" s="43">
        <f>VLOOKUP(Tabla1[[#This Row],[PAGO DIA]],DIAS!A:C,3,0)</f>
        <v>46112</v>
      </c>
      <c r="L392" s="6">
        <v>0</v>
      </c>
      <c r="M392" s="41">
        <f>VLOOKUP(Tabla1[[#This Row],[PAGO DIA]],DIAS!A:D,4,0)</f>
        <v>46142</v>
      </c>
      <c r="N392" s="6">
        <v>0</v>
      </c>
      <c r="O392" s="43">
        <f>VLOOKUP(Tabla1[[#This Row],[PAGO DIA]],DIAS!A:E,5,0)</f>
        <v>46171</v>
      </c>
      <c r="P392" s="6">
        <v>0</v>
      </c>
      <c r="Q392" s="43">
        <f>VLOOKUP(Tabla1[[#This Row],[PAGO DIA]],DIAS!A:F,6,0)</f>
        <v>46203</v>
      </c>
      <c r="R392" s="6">
        <v>0</v>
      </c>
      <c r="S392" s="43">
        <f>VLOOKUP(Tabla1[[#This Row],[PAGO DIA]],DIAS!A:G,7,0)</f>
        <v>46234</v>
      </c>
      <c r="T392" s="6">
        <v>0</v>
      </c>
      <c r="U392" s="43">
        <f>VLOOKUP(Tabla1[[#This Row],[PAGO DIA]],DIAS!A:H,8,0)</f>
        <v>46265</v>
      </c>
      <c r="V392" s="6">
        <v>0</v>
      </c>
      <c r="W392" s="43">
        <f>VLOOKUP(Tabla1[[#This Row],[PAGO DIA]],DIAS!A:I,9,0)</f>
        <v>46295</v>
      </c>
      <c r="X392" s="6">
        <v>0</v>
      </c>
      <c r="Y392" s="43">
        <f>VLOOKUP(Tabla1[[#This Row],[PAGO DIA]],DIAS!A:J,10,0)</f>
        <v>46325</v>
      </c>
      <c r="Z392" s="6">
        <v>0</v>
      </c>
      <c r="AA392" s="43">
        <f>VLOOKUP(Tabla1[[#This Row],[PAGO DIA]],DIAS!A:K,11,0)</f>
        <v>46356</v>
      </c>
      <c r="AB392" s="6">
        <v>0</v>
      </c>
      <c r="AC392" s="43">
        <f>VLOOKUP(Tabla1[[#This Row],[PAGO DIA]],DIAS!A:M,12,0)</f>
        <v>46386</v>
      </c>
      <c r="AD3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3" spans="1:30">
      <c r="A393" s="3">
        <v>12041</v>
      </c>
      <c r="B393" s="3" t="s">
        <v>604</v>
      </c>
      <c r="C393" s="3" t="s">
        <v>605</v>
      </c>
      <c r="D393" s="3" t="s">
        <v>605</v>
      </c>
      <c r="E393" s="3" t="s">
        <v>1009</v>
      </c>
      <c r="F393" s="42" t="s">
        <v>631</v>
      </c>
      <c r="G393" s="3" t="s">
        <v>635</v>
      </c>
      <c r="H393" s="6">
        <v>0</v>
      </c>
      <c r="I393" s="41">
        <f>VLOOKUP(Tabla1[[#This Row],[PAGO DIA]],DIAS!A:B,2,0)</f>
        <v>46080</v>
      </c>
      <c r="J393" s="6">
        <v>0</v>
      </c>
      <c r="K393" s="43">
        <f>VLOOKUP(Tabla1[[#This Row],[PAGO DIA]],DIAS!A:C,3,0)</f>
        <v>46112</v>
      </c>
      <c r="L393" s="6">
        <v>0</v>
      </c>
      <c r="M393" s="41">
        <f>VLOOKUP(Tabla1[[#This Row],[PAGO DIA]],DIAS!A:D,4,0)</f>
        <v>46142</v>
      </c>
      <c r="N393" s="6">
        <v>0</v>
      </c>
      <c r="O393" s="43">
        <f>VLOOKUP(Tabla1[[#This Row],[PAGO DIA]],DIAS!A:E,5,0)</f>
        <v>46171</v>
      </c>
      <c r="P393" s="6">
        <v>0</v>
      </c>
      <c r="Q393" s="43">
        <f>VLOOKUP(Tabla1[[#This Row],[PAGO DIA]],DIAS!A:F,6,0)</f>
        <v>46203</v>
      </c>
      <c r="R393" s="6">
        <v>0</v>
      </c>
      <c r="S393" s="43">
        <f>VLOOKUP(Tabla1[[#This Row],[PAGO DIA]],DIAS!A:G,7,0)</f>
        <v>46234</v>
      </c>
      <c r="T393" s="6">
        <v>0</v>
      </c>
      <c r="U393" s="43">
        <f>VLOOKUP(Tabla1[[#This Row],[PAGO DIA]],DIAS!A:H,8,0)</f>
        <v>46265</v>
      </c>
      <c r="V393" s="6">
        <v>0</v>
      </c>
      <c r="W393" s="43">
        <f>VLOOKUP(Tabla1[[#This Row],[PAGO DIA]],DIAS!A:I,9,0)</f>
        <v>46295</v>
      </c>
      <c r="X393" s="6">
        <v>0</v>
      </c>
      <c r="Y393" s="43">
        <f>VLOOKUP(Tabla1[[#This Row],[PAGO DIA]],DIAS!A:J,10,0)</f>
        <v>46325</v>
      </c>
      <c r="Z393" s="6">
        <v>0</v>
      </c>
      <c r="AA393" s="43">
        <f>VLOOKUP(Tabla1[[#This Row],[PAGO DIA]],DIAS!A:K,11,0)</f>
        <v>46356</v>
      </c>
      <c r="AB393" s="6">
        <v>0</v>
      </c>
      <c r="AC393" s="43">
        <f>VLOOKUP(Tabla1[[#This Row],[PAGO DIA]],DIAS!A:M,12,0)</f>
        <v>46386</v>
      </c>
      <c r="AD3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4" spans="1:30">
      <c r="A394" s="3">
        <v>12532</v>
      </c>
      <c r="B394" s="3" t="s">
        <v>604</v>
      </c>
      <c r="C394" s="3" t="s">
        <v>605</v>
      </c>
      <c r="D394" s="3" t="s">
        <v>540</v>
      </c>
      <c r="E394" s="3" t="s">
        <v>1009</v>
      </c>
      <c r="F394" s="42" t="s">
        <v>631</v>
      </c>
      <c r="G394" s="3" t="s">
        <v>1022</v>
      </c>
      <c r="H394" s="6">
        <v>0</v>
      </c>
      <c r="I394" s="41">
        <f>VLOOKUP(Tabla1[[#This Row],[PAGO DIA]],DIAS!A:B,2,0)</f>
        <v>46080</v>
      </c>
      <c r="J394" s="6">
        <v>0</v>
      </c>
      <c r="K394" s="43">
        <f>VLOOKUP(Tabla1[[#This Row],[PAGO DIA]],DIAS!A:C,3,0)</f>
        <v>46112</v>
      </c>
      <c r="L394" s="6">
        <v>0</v>
      </c>
      <c r="M394" s="41">
        <f>VLOOKUP(Tabla1[[#This Row],[PAGO DIA]],DIAS!A:D,4,0)</f>
        <v>46142</v>
      </c>
      <c r="N394" s="6">
        <v>0</v>
      </c>
      <c r="O394" s="43">
        <f>VLOOKUP(Tabla1[[#This Row],[PAGO DIA]],DIAS!A:E,5,0)</f>
        <v>46171</v>
      </c>
      <c r="P394" s="6">
        <v>0</v>
      </c>
      <c r="Q394" s="43">
        <f>VLOOKUP(Tabla1[[#This Row],[PAGO DIA]],DIAS!A:F,6,0)</f>
        <v>46203</v>
      </c>
      <c r="R394" s="6">
        <v>0</v>
      </c>
      <c r="S394" s="43">
        <f>VLOOKUP(Tabla1[[#This Row],[PAGO DIA]],DIAS!A:G,7,0)</f>
        <v>46234</v>
      </c>
      <c r="T394" s="6">
        <v>0</v>
      </c>
      <c r="U394" s="43">
        <f>VLOOKUP(Tabla1[[#This Row],[PAGO DIA]],DIAS!A:H,8,0)</f>
        <v>46265</v>
      </c>
      <c r="V394" s="6">
        <v>0</v>
      </c>
      <c r="W394" s="43">
        <f>VLOOKUP(Tabla1[[#This Row],[PAGO DIA]],DIAS!A:I,9,0)</f>
        <v>46295</v>
      </c>
      <c r="X394" s="6">
        <v>0</v>
      </c>
      <c r="Y394" s="43">
        <f>VLOOKUP(Tabla1[[#This Row],[PAGO DIA]],DIAS!A:J,10,0)</f>
        <v>46325</v>
      </c>
      <c r="Z394" s="6">
        <v>0</v>
      </c>
      <c r="AA394" s="43">
        <f>VLOOKUP(Tabla1[[#This Row],[PAGO DIA]],DIAS!A:K,11,0)</f>
        <v>46356</v>
      </c>
      <c r="AB394" s="6">
        <v>0</v>
      </c>
      <c r="AC394" s="43">
        <f>VLOOKUP(Tabla1[[#This Row],[PAGO DIA]],DIAS!A:M,12,0)</f>
        <v>46386</v>
      </c>
      <c r="AD3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5" spans="1:30">
      <c r="A395" s="3">
        <v>12553</v>
      </c>
      <c r="B395" s="3" t="s">
        <v>604</v>
      </c>
      <c r="C395" s="3" t="s">
        <v>605</v>
      </c>
      <c r="D395" s="3" t="s">
        <v>540</v>
      </c>
      <c r="E395" s="3" t="s">
        <v>1009</v>
      </c>
      <c r="F395" s="42" t="s">
        <v>631</v>
      </c>
      <c r="G395" s="3" t="s">
        <v>1023</v>
      </c>
      <c r="H395" s="6">
        <v>0</v>
      </c>
      <c r="I395" s="41">
        <f>VLOOKUP(Tabla1[[#This Row],[PAGO DIA]],DIAS!A:B,2,0)</f>
        <v>46080</v>
      </c>
      <c r="J395" s="6">
        <v>0</v>
      </c>
      <c r="K395" s="43">
        <f>VLOOKUP(Tabla1[[#This Row],[PAGO DIA]],DIAS!A:C,3,0)</f>
        <v>46112</v>
      </c>
      <c r="L395" s="6">
        <v>0</v>
      </c>
      <c r="M395" s="41">
        <f>VLOOKUP(Tabla1[[#This Row],[PAGO DIA]],DIAS!A:D,4,0)</f>
        <v>46142</v>
      </c>
      <c r="N395" s="6">
        <v>0</v>
      </c>
      <c r="O395" s="43">
        <f>VLOOKUP(Tabla1[[#This Row],[PAGO DIA]],DIAS!A:E,5,0)</f>
        <v>46171</v>
      </c>
      <c r="P395" s="6">
        <v>0</v>
      </c>
      <c r="Q395" s="43">
        <f>VLOOKUP(Tabla1[[#This Row],[PAGO DIA]],DIAS!A:F,6,0)</f>
        <v>46203</v>
      </c>
      <c r="R395" s="6">
        <v>0</v>
      </c>
      <c r="S395" s="43">
        <f>VLOOKUP(Tabla1[[#This Row],[PAGO DIA]],DIAS!A:G,7,0)</f>
        <v>46234</v>
      </c>
      <c r="T395" s="6">
        <v>0</v>
      </c>
      <c r="U395" s="43">
        <f>VLOOKUP(Tabla1[[#This Row],[PAGO DIA]],DIAS!A:H,8,0)</f>
        <v>46265</v>
      </c>
      <c r="V395" s="6">
        <v>0</v>
      </c>
      <c r="W395" s="43">
        <f>VLOOKUP(Tabla1[[#This Row],[PAGO DIA]],DIAS!A:I,9,0)</f>
        <v>46295</v>
      </c>
      <c r="X395" s="6">
        <v>0</v>
      </c>
      <c r="Y395" s="43">
        <f>VLOOKUP(Tabla1[[#This Row],[PAGO DIA]],DIAS!A:J,10,0)</f>
        <v>46325</v>
      </c>
      <c r="Z395" s="6">
        <v>0</v>
      </c>
      <c r="AA395" s="43">
        <f>VLOOKUP(Tabla1[[#This Row],[PAGO DIA]],DIAS!A:K,11,0)</f>
        <v>46356</v>
      </c>
      <c r="AB395" s="6">
        <v>0</v>
      </c>
      <c r="AC395" s="43">
        <f>VLOOKUP(Tabla1[[#This Row],[PAGO DIA]],DIAS!A:M,12,0)</f>
        <v>46386</v>
      </c>
      <c r="AD3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6" spans="1:30">
      <c r="A396" s="3">
        <v>12556</v>
      </c>
      <c r="B396" s="3" t="s">
        <v>604</v>
      </c>
      <c r="C396" s="3" t="s">
        <v>605</v>
      </c>
      <c r="D396" s="3" t="s">
        <v>540</v>
      </c>
      <c r="E396" s="3" t="s">
        <v>1009</v>
      </c>
      <c r="F396" s="42" t="s">
        <v>631</v>
      </c>
      <c r="G396" s="3" t="s">
        <v>1024</v>
      </c>
      <c r="H396" s="6">
        <v>0</v>
      </c>
      <c r="I396" s="41">
        <f>VLOOKUP(Tabla1[[#This Row],[PAGO DIA]],DIAS!A:B,2,0)</f>
        <v>46080</v>
      </c>
      <c r="J396" s="6">
        <v>0</v>
      </c>
      <c r="K396" s="43">
        <f>VLOOKUP(Tabla1[[#This Row],[PAGO DIA]],DIAS!A:C,3,0)</f>
        <v>46112</v>
      </c>
      <c r="L396" s="6">
        <v>0</v>
      </c>
      <c r="M396" s="41">
        <f>VLOOKUP(Tabla1[[#This Row],[PAGO DIA]],DIAS!A:D,4,0)</f>
        <v>46142</v>
      </c>
      <c r="N396" s="6">
        <v>0</v>
      </c>
      <c r="O396" s="43">
        <f>VLOOKUP(Tabla1[[#This Row],[PAGO DIA]],DIAS!A:E,5,0)</f>
        <v>46171</v>
      </c>
      <c r="P396" s="6">
        <v>0</v>
      </c>
      <c r="Q396" s="43">
        <f>VLOOKUP(Tabla1[[#This Row],[PAGO DIA]],DIAS!A:F,6,0)</f>
        <v>46203</v>
      </c>
      <c r="R396" s="6">
        <v>0</v>
      </c>
      <c r="S396" s="43">
        <f>VLOOKUP(Tabla1[[#This Row],[PAGO DIA]],DIAS!A:G,7,0)</f>
        <v>46234</v>
      </c>
      <c r="T396" s="6">
        <v>0</v>
      </c>
      <c r="U396" s="43">
        <f>VLOOKUP(Tabla1[[#This Row],[PAGO DIA]],DIAS!A:H,8,0)</f>
        <v>46265</v>
      </c>
      <c r="V396" s="6">
        <v>0</v>
      </c>
      <c r="W396" s="43">
        <f>VLOOKUP(Tabla1[[#This Row],[PAGO DIA]],DIAS!A:I,9,0)</f>
        <v>46295</v>
      </c>
      <c r="X396" s="6">
        <v>0</v>
      </c>
      <c r="Y396" s="43">
        <f>VLOOKUP(Tabla1[[#This Row],[PAGO DIA]],DIAS!A:J,10,0)</f>
        <v>46325</v>
      </c>
      <c r="Z396" s="6">
        <v>0</v>
      </c>
      <c r="AA396" s="43">
        <f>VLOOKUP(Tabla1[[#This Row],[PAGO DIA]],DIAS!A:K,11,0)</f>
        <v>46356</v>
      </c>
      <c r="AB396" s="6">
        <v>0</v>
      </c>
      <c r="AC396" s="43">
        <f>VLOOKUP(Tabla1[[#This Row],[PAGO DIA]],DIAS!A:M,12,0)</f>
        <v>46386</v>
      </c>
      <c r="AD3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7" spans="1:30">
      <c r="A397" s="3">
        <v>12687</v>
      </c>
      <c r="B397" s="3" t="s">
        <v>604</v>
      </c>
      <c r="C397" s="3" t="s">
        <v>605</v>
      </c>
      <c r="D397" s="3" t="s">
        <v>540</v>
      </c>
      <c r="E397" s="3" t="s">
        <v>1009</v>
      </c>
      <c r="F397" s="42" t="s">
        <v>631</v>
      </c>
      <c r="G397" s="3" t="s">
        <v>1025</v>
      </c>
      <c r="H397" s="6">
        <v>0</v>
      </c>
      <c r="I397" s="41">
        <f>VLOOKUP(Tabla1[[#This Row],[PAGO DIA]],DIAS!A:B,2,0)</f>
        <v>46080</v>
      </c>
      <c r="J397" s="6">
        <v>0</v>
      </c>
      <c r="K397" s="43">
        <f>VLOOKUP(Tabla1[[#This Row],[PAGO DIA]],DIAS!A:C,3,0)</f>
        <v>46112</v>
      </c>
      <c r="L397" s="6">
        <v>0</v>
      </c>
      <c r="M397" s="41">
        <f>VLOOKUP(Tabla1[[#This Row],[PAGO DIA]],DIAS!A:D,4,0)</f>
        <v>46142</v>
      </c>
      <c r="N397" s="6">
        <v>0</v>
      </c>
      <c r="O397" s="43">
        <f>VLOOKUP(Tabla1[[#This Row],[PAGO DIA]],DIAS!A:E,5,0)</f>
        <v>46171</v>
      </c>
      <c r="P397" s="6">
        <v>0</v>
      </c>
      <c r="Q397" s="43">
        <f>VLOOKUP(Tabla1[[#This Row],[PAGO DIA]],DIAS!A:F,6,0)</f>
        <v>46203</v>
      </c>
      <c r="R397" s="6">
        <v>0</v>
      </c>
      <c r="S397" s="43">
        <f>VLOOKUP(Tabla1[[#This Row],[PAGO DIA]],DIAS!A:G,7,0)</f>
        <v>46234</v>
      </c>
      <c r="T397" s="6">
        <v>0</v>
      </c>
      <c r="U397" s="43">
        <f>VLOOKUP(Tabla1[[#This Row],[PAGO DIA]],DIAS!A:H,8,0)</f>
        <v>46265</v>
      </c>
      <c r="V397" s="6">
        <v>0</v>
      </c>
      <c r="W397" s="43">
        <f>VLOOKUP(Tabla1[[#This Row],[PAGO DIA]],DIAS!A:I,9,0)</f>
        <v>46295</v>
      </c>
      <c r="X397" s="6">
        <v>0</v>
      </c>
      <c r="Y397" s="43">
        <f>VLOOKUP(Tabla1[[#This Row],[PAGO DIA]],DIAS!A:J,10,0)</f>
        <v>46325</v>
      </c>
      <c r="Z397" s="6">
        <v>0</v>
      </c>
      <c r="AA397" s="43">
        <f>VLOOKUP(Tabla1[[#This Row],[PAGO DIA]],DIAS!A:K,11,0)</f>
        <v>46356</v>
      </c>
      <c r="AB397" s="6">
        <v>0</v>
      </c>
      <c r="AC397" s="43">
        <f>VLOOKUP(Tabla1[[#This Row],[PAGO DIA]],DIAS!A:M,12,0)</f>
        <v>46386</v>
      </c>
      <c r="AD3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8" spans="1:30">
      <c r="A398" s="3">
        <v>12717</v>
      </c>
      <c r="B398" s="3" t="s">
        <v>604</v>
      </c>
      <c r="C398" s="3" t="s">
        <v>605</v>
      </c>
      <c r="D398" s="3" t="s">
        <v>540</v>
      </c>
      <c r="E398" s="3" t="s">
        <v>1009</v>
      </c>
      <c r="F398" s="42" t="s">
        <v>631</v>
      </c>
      <c r="G398" s="3" t="s">
        <v>1026</v>
      </c>
      <c r="H398" s="6">
        <v>0</v>
      </c>
      <c r="I398" s="41">
        <f>VLOOKUP(Tabla1[[#This Row],[PAGO DIA]],DIAS!A:B,2,0)</f>
        <v>46080</v>
      </c>
      <c r="J398" s="6">
        <v>0</v>
      </c>
      <c r="K398" s="43">
        <f>VLOOKUP(Tabla1[[#This Row],[PAGO DIA]],DIAS!A:C,3,0)</f>
        <v>46112</v>
      </c>
      <c r="L398" s="6">
        <v>0</v>
      </c>
      <c r="M398" s="41">
        <f>VLOOKUP(Tabla1[[#This Row],[PAGO DIA]],DIAS!A:D,4,0)</f>
        <v>46142</v>
      </c>
      <c r="N398" s="6">
        <v>0</v>
      </c>
      <c r="O398" s="43">
        <f>VLOOKUP(Tabla1[[#This Row],[PAGO DIA]],DIAS!A:E,5,0)</f>
        <v>46171</v>
      </c>
      <c r="P398" s="6">
        <v>0</v>
      </c>
      <c r="Q398" s="43">
        <f>VLOOKUP(Tabla1[[#This Row],[PAGO DIA]],DIAS!A:F,6,0)</f>
        <v>46203</v>
      </c>
      <c r="R398" s="6">
        <v>0</v>
      </c>
      <c r="S398" s="43">
        <f>VLOOKUP(Tabla1[[#This Row],[PAGO DIA]],DIAS!A:G,7,0)</f>
        <v>46234</v>
      </c>
      <c r="T398" s="6">
        <v>0</v>
      </c>
      <c r="U398" s="43">
        <f>VLOOKUP(Tabla1[[#This Row],[PAGO DIA]],DIAS!A:H,8,0)</f>
        <v>46265</v>
      </c>
      <c r="V398" s="6">
        <v>0</v>
      </c>
      <c r="W398" s="43">
        <f>VLOOKUP(Tabla1[[#This Row],[PAGO DIA]],DIAS!A:I,9,0)</f>
        <v>46295</v>
      </c>
      <c r="X398" s="6">
        <v>0</v>
      </c>
      <c r="Y398" s="43">
        <f>VLOOKUP(Tabla1[[#This Row],[PAGO DIA]],DIAS!A:J,10,0)</f>
        <v>46325</v>
      </c>
      <c r="Z398" s="6">
        <v>0</v>
      </c>
      <c r="AA398" s="43">
        <f>VLOOKUP(Tabla1[[#This Row],[PAGO DIA]],DIAS!A:K,11,0)</f>
        <v>46356</v>
      </c>
      <c r="AB398" s="6">
        <v>0</v>
      </c>
      <c r="AC398" s="43">
        <f>VLOOKUP(Tabla1[[#This Row],[PAGO DIA]],DIAS!A:M,12,0)</f>
        <v>46386</v>
      </c>
      <c r="AD3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399" spans="1:30">
      <c r="A399" s="3">
        <v>12722</v>
      </c>
      <c r="B399" s="3" t="s">
        <v>604</v>
      </c>
      <c r="C399" s="3" t="s">
        <v>605</v>
      </c>
      <c r="D399" s="3" t="s">
        <v>540</v>
      </c>
      <c r="E399" s="3" t="s">
        <v>1009</v>
      </c>
      <c r="F399" s="42" t="s">
        <v>631</v>
      </c>
      <c r="G399" s="3" t="s">
        <v>1027</v>
      </c>
      <c r="H399" s="6">
        <v>0</v>
      </c>
      <c r="I399" s="41">
        <f>VLOOKUP(Tabla1[[#This Row],[PAGO DIA]],DIAS!A:B,2,0)</f>
        <v>46080</v>
      </c>
      <c r="J399" s="6">
        <v>0</v>
      </c>
      <c r="K399" s="43">
        <f>VLOOKUP(Tabla1[[#This Row],[PAGO DIA]],DIAS!A:C,3,0)</f>
        <v>46112</v>
      </c>
      <c r="L399" s="6">
        <v>0</v>
      </c>
      <c r="M399" s="41">
        <f>VLOOKUP(Tabla1[[#This Row],[PAGO DIA]],DIAS!A:D,4,0)</f>
        <v>46142</v>
      </c>
      <c r="N399" s="6">
        <v>0</v>
      </c>
      <c r="O399" s="43">
        <f>VLOOKUP(Tabla1[[#This Row],[PAGO DIA]],DIAS!A:E,5,0)</f>
        <v>46171</v>
      </c>
      <c r="P399" s="6">
        <v>0</v>
      </c>
      <c r="Q399" s="43">
        <f>VLOOKUP(Tabla1[[#This Row],[PAGO DIA]],DIAS!A:F,6,0)</f>
        <v>46203</v>
      </c>
      <c r="R399" s="6">
        <v>0</v>
      </c>
      <c r="S399" s="43">
        <f>VLOOKUP(Tabla1[[#This Row],[PAGO DIA]],DIAS!A:G,7,0)</f>
        <v>46234</v>
      </c>
      <c r="T399" s="6">
        <v>0</v>
      </c>
      <c r="U399" s="43">
        <f>VLOOKUP(Tabla1[[#This Row],[PAGO DIA]],DIAS!A:H,8,0)</f>
        <v>46265</v>
      </c>
      <c r="V399" s="6">
        <v>0</v>
      </c>
      <c r="W399" s="43">
        <f>VLOOKUP(Tabla1[[#This Row],[PAGO DIA]],DIAS!A:I,9,0)</f>
        <v>46295</v>
      </c>
      <c r="X399" s="6">
        <v>0</v>
      </c>
      <c r="Y399" s="43">
        <f>VLOOKUP(Tabla1[[#This Row],[PAGO DIA]],DIAS!A:J,10,0)</f>
        <v>46325</v>
      </c>
      <c r="Z399" s="6">
        <v>0</v>
      </c>
      <c r="AA399" s="43">
        <f>VLOOKUP(Tabla1[[#This Row],[PAGO DIA]],DIAS!A:K,11,0)</f>
        <v>46356</v>
      </c>
      <c r="AB399" s="6">
        <v>0</v>
      </c>
      <c r="AC399" s="43">
        <f>VLOOKUP(Tabla1[[#This Row],[PAGO DIA]],DIAS!A:M,12,0)</f>
        <v>46386</v>
      </c>
      <c r="AD3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0" spans="1:30">
      <c r="A400" s="3">
        <v>12728</v>
      </c>
      <c r="B400" s="3" t="s">
        <v>604</v>
      </c>
      <c r="C400" s="3" t="s">
        <v>605</v>
      </c>
      <c r="D400" s="3" t="s">
        <v>540</v>
      </c>
      <c r="E400" s="3" t="s">
        <v>1009</v>
      </c>
      <c r="F400" s="42" t="s">
        <v>631</v>
      </c>
      <c r="G400" s="3" t="s">
        <v>1028</v>
      </c>
      <c r="H400" s="6">
        <v>0</v>
      </c>
      <c r="I400" s="41">
        <f>VLOOKUP(Tabla1[[#This Row],[PAGO DIA]],DIAS!A:B,2,0)</f>
        <v>46080</v>
      </c>
      <c r="J400" s="6">
        <v>0</v>
      </c>
      <c r="K400" s="43">
        <f>VLOOKUP(Tabla1[[#This Row],[PAGO DIA]],DIAS!A:C,3,0)</f>
        <v>46112</v>
      </c>
      <c r="L400" s="6">
        <v>0</v>
      </c>
      <c r="M400" s="41">
        <f>VLOOKUP(Tabla1[[#This Row],[PAGO DIA]],DIAS!A:D,4,0)</f>
        <v>46142</v>
      </c>
      <c r="N400" s="6">
        <v>0</v>
      </c>
      <c r="O400" s="43">
        <f>VLOOKUP(Tabla1[[#This Row],[PAGO DIA]],DIAS!A:E,5,0)</f>
        <v>46171</v>
      </c>
      <c r="P400" s="6">
        <v>0</v>
      </c>
      <c r="Q400" s="43">
        <f>VLOOKUP(Tabla1[[#This Row],[PAGO DIA]],DIAS!A:F,6,0)</f>
        <v>46203</v>
      </c>
      <c r="R400" s="6">
        <v>0</v>
      </c>
      <c r="S400" s="43">
        <f>VLOOKUP(Tabla1[[#This Row],[PAGO DIA]],DIAS!A:G,7,0)</f>
        <v>46234</v>
      </c>
      <c r="T400" s="6">
        <v>0</v>
      </c>
      <c r="U400" s="43">
        <f>VLOOKUP(Tabla1[[#This Row],[PAGO DIA]],DIAS!A:H,8,0)</f>
        <v>46265</v>
      </c>
      <c r="V400" s="6">
        <v>0</v>
      </c>
      <c r="W400" s="43">
        <f>VLOOKUP(Tabla1[[#This Row],[PAGO DIA]],DIAS!A:I,9,0)</f>
        <v>46295</v>
      </c>
      <c r="X400" s="6">
        <v>0</v>
      </c>
      <c r="Y400" s="43">
        <f>VLOOKUP(Tabla1[[#This Row],[PAGO DIA]],DIAS!A:J,10,0)</f>
        <v>46325</v>
      </c>
      <c r="Z400" s="6">
        <v>0</v>
      </c>
      <c r="AA400" s="43">
        <f>VLOOKUP(Tabla1[[#This Row],[PAGO DIA]],DIAS!A:K,11,0)</f>
        <v>46356</v>
      </c>
      <c r="AB400" s="6">
        <v>0</v>
      </c>
      <c r="AC400" s="43">
        <f>VLOOKUP(Tabla1[[#This Row],[PAGO DIA]],DIAS!A:M,12,0)</f>
        <v>46386</v>
      </c>
      <c r="AD4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1" spans="1:30">
      <c r="A401" s="3">
        <v>12758</v>
      </c>
      <c r="B401" s="3" t="s">
        <v>604</v>
      </c>
      <c r="C401" s="3" t="s">
        <v>605</v>
      </c>
      <c r="D401" s="3" t="s">
        <v>540</v>
      </c>
      <c r="E401" s="3" t="s">
        <v>1009</v>
      </c>
      <c r="F401" s="42" t="s">
        <v>631</v>
      </c>
      <c r="G401" s="3" t="s">
        <v>1029</v>
      </c>
      <c r="H401" s="6">
        <v>0</v>
      </c>
      <c r="I401" s="41">
        <f>VLOOKUP(Tabla1[[#This Row],[PAGO DIA]],DIAS!A:B,2,0)</f>
        <v>46080</v>
      </c>
      <c r="J401" s="6">
        <v>0</v>
      </c>
      <c r="K401" s="43">
        <f>VLOOKUP(Tabla1[[#This Row],[PAGO DIA]],DIAS!A:C,3,0)</f>
        <v>46112</v>
      </c>
      <c r="L401" s="6">
        <v>0</v>
      </c>
      <c r="M401" s="41">
        <f>VLOOKUP(Tabla1[[#This Row],[PAGO DIA]],DIAS!A:D,4,0)</f>
        <v>46142</v>
      </c>
      <c r="N401" s="6">
        <v>0</v>
      </c>
      <c r="O401" s="43">
        <f>VLOOKUP(Tabla1[[#This Row],[PAGO DIA]],DIAS!A:E,5,0)</f>
        <v>46171</v>
      </c>
      <c r="P401" s="6">
        <v>0</v>
      </c>
      <c r="Q401" s="43">
        <f>VLOOKUP(Tabla1[[#This Row],[PAGO DIA]],DIAS!A:F,6,0)</f>
        <v>46203</v>
      </c>
      <c r="R401" s="6">
        <v>0</v>
      </c>
      <c r="S401" s="43">
        <f>VLOOKUP(Tabla1[[#This Row],[PAGO DIA]],DIAS!A:G,7,0)</f>
        <v>46234</v>
      </c>
      <c r="T401" s="6">
        <v>0</v>
      </c>
      <c r="U401" s="43">
        <f>VLOOKUP(Tabla1[[#This Row],[PAGO DIA]],DIAS!A:H,8,0)</f>
        <v>46265</v>
      </c>
      <c r="V401" s="6">
        <v>0</v>
      </c>
      <c r="W401" s="43">
        <f>VLOOKUP(Tabla1[[#This Row],[PAGO DIA]],DIAS!A:I,9,0)</f>
        <v>46295</v>
      </c>
      <c r="X401" s="6">
        <v>0</v>
      </c>
      <c r="Y401" s="43">
        <f>VLOOKUP(Tabla1[[#This Row],[PAGO DIA]],DIAS!A:J,10,0)</f>
        <v>46325</v>
      </c>
      <c r="Z401" s="6">
        <v>0</v>
      </c>
      <c r="AA401" s="43">
        <f>VLOOKUP(Tabla1[[#This Row],[PAGO DIA]],DIAS!A:K,11,0)</f>
        <v>46356</v>
      </c>
      <c r="AB401" s="6">
        <v>0</v>
      </c>
      <c r="AC401" s="43">
        <f>VLOOKUP(Tabla1[[#This Row],[PAGO DIA]],DIAS!A:M,12,0)</f>
        <v>46386</v>
      </c>
      <c r="AD4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2" spans="1:30">
      <c r="A402" s="3">
        <v>12776</v>
      </c>
      <c r="B402" s="3" t="s">
        <v>604</v>
      </c>
      <c r="C402" s="3" t="s">
        <v>605</v>
      </c>
      <c r="D402" s="3" t="s">
        <v>540</v>
      </c>
      <c r="E402" s="3" t="s">
        <v>1009</v>
      </c>
      <c r="F402" s="42" t="s">
        <v>631</v>
      </c>
      <c r="G402" s="3" t="s">
        <v>1030</v>
      </c>
      <c r="H402" s="6">
        <v>0</v>
      </c>
      <c r="I402" s="41">
        <f>VLOOKUP(Tabla1[[#This Row],[PAGO DIA]],DIAS!A:B,2,0)</f>
        <v>46080</v>
      </c>
      <c r="J402" s="6">
        <v>0</v>
      </c>
      <c r="K402" s="43">
        <f>VLOOKUP(Tabla1[[#This Row],[PAGO DIA]],DIAS!A:C,3,0)</f>
        <v>46112</v>
      </c>
      <c r="L402" s="6">
        <v>0</v>
      </c>
      <c r="M402" s="41">
        <f>VLOOKUP(Tabla1[[#This Row],[PAGO DIA]],DIAS!A:D,4,0)</f>
        <v>46142</v>
      </c>
      <c r="N402" s="6">
        <v>0</v>
      </c>
      <c r="O402" s="43">
        <f>VLOOKUP(Tabla1[[#This Row],[PAGO DIA]],DIAS!A:E,5,0)</f>
        <v>46171</v>
      </c>
      <c r="P402" s="6">
        <v>0</v>
      </c>
      <c r="Q402" s="43">
        <f>VLOOKUP(Tabla1[[#This Row],[PAGO DIA]],DIAS!A:F,6,0)</f>
        <v>46203</v>
      </c>
      <c r="R402" s="6">
        <v>0</v>
      </c>
      <c r="S402" s="43">
        <f>VLOOKUP(Tabla1[[#This Row],[PAGO DIA]],DIAS!A:G,7,0)</f>
        <v>46234</v>
      </c>
      <c r="T402" s="6">
        <v>0</v>
      </c>
      <c r="U402" s="43">
        <f>VLOOKUP(Tabla1[[#This Row],[PAGO DIA]],DIAS!A:H,8,0)</f>
        <v>46265</v>
      </c>
      <c r="V402" s="6">
        <v>0</v>
      </c>
      <c r="W402" s="43">
        <f>VLOOKUP(Tabla1[[#This Row],[PAGO DIA]],DIAS!A:I,9,0)</f>
        <v>46295</v>
      </c>
      <c r="X402" s="6">
        <v>0</v>
      </c>
      <c r="Y402" s="43">
        <f>VLOOKUP(Tabla1[[#This Row],[PAGO DIA]],DIAS!A:J,10,0)</f>
        <v>46325</v>
      </c>
      <c r="Z402" s="6">
        <v>0</v>
      </c>
      <c r="AA402" s="43">
        <f>VLOOKUP(Tabla1[[#This Row],[PAGO DIA]],DIAS!A:K,11,0)</f>
        <v>46356</v>
      </c>
      <c r="AB402" s="6">
        <v>0</v>
      </c>
      <c r="AC402" s="43">
        <f>VLOOKUP(Tabla1[[#This Row],[PAGO DIA]],DIAS!A:M,12,0)</f>
        <v>46386</v>
      </c>
      <c r="AD4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3" spans="1:30">
      <c r="A403" s="3">
        <v>12749</v>
      </c>
      <c r="B403" s="3" t="s">
        <v>604</v>
      </c>
      <c r="C403" s="3" t="s">
        <v>605</v>
      </c>
      <c r="D403" s="3" t="s">
        <v>540</v>
      </c>
      <c r="E403" s="3" t="s">
        <v>1031</v>
      </c>
      <c r="F403" s="42" t="s">
        <v>631</v>
      </c>
      <c r="G403" s="3" t="s">
        <v>1032</v>
      </c>
      <c r="H403" s="6">
        <v>0</v>
      </c>
      <c r="I403" s="41">
        <f>VLOOKUP(Tabla1[[#This Row],[PAGO DIA]],DIAS!A:B,2,0)</f>
        <v>46080</v>
      </c>
      <c r="J403" s="6">
        <v>0</v>
      </c>
      <c r="K403" s="43">
        <f>VLOOKUP(Tabla1[[#This Row],[PAGO DIA]],DIAS!A:C,3,0)</f>
        <v>46112</v>
      </c>
      <c r="L403" s="6">
        <v>0</v>
      </c>
      <c r="M403" s="41">
        <f>VLOOKUP(Tabla1[[#This Row],[PAGO DIA]],DIAS!A:D,4,0)</f>
        <v>46142</v>
      </c>
      <c r="N403" s="6">
        <v>0</v>
      </c>
      <c r="O403" s="43">
        <f>VLOOKUP(Tabla1[[#This Row],[PAGO DIA]],DIAS!A:E,5,0)</f>
        <v>46171</v>
      </c>
      <c r="P403" s="6">
        <v>0</v>
      </c>
      <c r="Q403" s="43">
        <f>VLOOKUP(Tabla1[[#This Row],[PAGO DIA]],DIAS!A:F,6,0)</f>
        <v>46203</v>
      </c>
      <c r="R403" s="6">
        <v>0</v>
      </c>
      <c r="S403" s="43">
        <f>VLOOKUP(Tabla1[[#This Row],[PAGO DIA]],DIAS!A:G,7,0)</f>
        <v>46234</v>
      </c>
      <c r="T403" s="6">
        <v>0</v>
      </c>
      <c r="U403" s="43">
        <f>VLOOKUP(Tabla1[[#This Row],[PAGO DIA]],DIAS!A:H,8,0)</f>
        <v>46265</v>
      </c>
      <c r="V403" s="6">
        <v>0</v>
      </c>
      <c r="W403" s="43">
        <f>VLOOKUP(Tabla1[[#This Row],[PAGO DIA]],DIAS!A:I,9,0)</f>
        <v>46295</v>
      </c>
      <c r="X403" s="6">
        <v>0</v>
      </c>
      <c r="Y403" s="43">
        <f>VLOOKUP(Tabla1[[#This Row],[PAGO DIA]],DIAS!A:J,10,0)</f>
        <v>46325</v>
      </c>
      <c r="Z403" s="6">
        <v>0</v>
      </c>
      <c r="AA403" s="43">
        <f>VLOOKUP(Tabla1[[#This Row],[PAGO DIA]],DIAS!A:K,11,0)</f>
        <v>46356</v>
      </c>
      <c r="AB403" s="6">
        <v>0</v>
      </c>
      <c r="AC403" s="43">
        <f>VLOOKUP(Tabla1[[#This Row],[PAGO DIA]],DIAS!A:M,12,0)</f>
        <v>46386</v>
      </c>
      <c r="AD4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4" spans="1:30">
      <c r="A404" s="3">
        <v>12751</v>
      </c>
      <c r="B404" s="3" t="s">
        <v>604</v>
      </c>
      <c r="C404" s="3" t="s">
        <v>605</v>
      </c>
      <c r="D404" s="3" t="s">
        <v>540</v>
      </c>
      <c r="E404" s="3" t="s">
        <v>1031</v>
      </c>
      <c r="F404" s="42" t="s">
        <v>631</v>
      </c>
      <c r="G404" s="3" t="s">
        <v>1033</v>
      </c>
      <c r="H404" s="6">
        <v>0</v>
      </c>
      <c r="I404" s="41">
        <f>VLOOKUP(Tabla1[[#This Row],[PAGO DIA]],DIAS!A:B,2,0)</f>
        <v>46080</v>
      </c>
      <c r="J404" s="6">
        <v>0</v>
      </c>
      <c r="K404" s="43">
        <f>VLOOKUP(Tabla1[[#This Row],[PAGO DIA]],DIAS!A:C,3,0)</f>
        <v>46112</v>
      </c>
      <c r="L404" s="6">
        <v>0</v>
      </c>
      <c r="M404" s="41">
        <f>VLOOKUP(Tabla1[[#This Row],[PAGO DIA]],DIAS!A:D,4,0)</f>
        <v>46142</v>
      </c>
      <c r="N404" s="6">
        <v>0</v>
      </c>
      <c r="O404" s="43">
        <f>VLOOKUP(Tabla1[[#This Row],[PAGO DIA]],DIAS!A:E,5,0)</f>
        <v>46171</v>
      </c>
      <c r="P404" s="6">
        <v>0</v>
      </c>
      <c r="Q404" s="43">
        <f>VLOOKUP(Tabla1[[#This Row],[PAGO DIA]],DIAS!A:F,6,0)</f>
        <v>46203</v>
      </c>
      <c r="R404" s="6">
        <v>0</v>
      </c>
      <c r="S404" s="43">
        <f>VLOOKUP(Tabla1[[#This Row],[PAGO DIA]],DIAS!A:G,7,0)</f>
        <v>46234</v>
      </c>
      <c r="T404" s="6">
        <v>0</v>
      </c>
      <c r="U404" s="43">
        <f>VLOOKUP(Tabla1[[#This Row],[PAGO DIA]],DIAS!A:H,8,0)</f>
        <v>46265</v>
      </c>
      <c r="V404" s="6">
        <v>0</v>
      </c>
      <c r="W404" s="43">
        <f>VLOOKUP(Tabla1[[#This Row],[PAGO DIA]],DIAS!A:I,9,0)</f>
        <v>46295</v>
      </c>
      <c r="X404" s="6">
        <v>0</v>
      </c>
      <c r="Y404" s="43">
        <f>VLOOKUP(Tabla1[[#This Row],[PAGO DIA]],DIAS!A:J,10,0)</f>
        <v>46325</v>
      </c>
      <c r="Z404" s="6">
        <v>0</v>
      </c>
      <c r="AA404" s="43">
        <f>VLOOKUP(Tabla1[[#This Row],[PAGO DIA]],DIAS!A:K,11,0)</f>
        <v>46356</v>
      </c>
      <c r="AB404" s="6">
        <v>0</v>
      </c>
      <c r="AC404" s="43">
        <f>VLOOKUP(Tabla1[[#This Row],[PAGO DIA]],DIAS!A:M,12,0)</f>
        <v>46386</v>
      </c>
      <c r="AD4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5" spans="1:30">
      <c r="A405" s="3">
        <v>12753</v>
      </c>
      <c r="B405" s="3" t="s">
        <v>604</v>
      </c>
      <c r="C405" s="3" t="s">
        <v>605</v>
      </c>
      <c r="D405" s="3" t="s">
        <v>540</v>
      </c>
      <c r="E405" s="3" t="s">
        <v>1031</v>
      </c>
      <c r="F405" s="42" t="s">
        <v>631</v>
      </c>
      <c r="G405" s="3" t="s">
        <v>1034</v>
      </c>
      <c r="H405" s="6">
        <v>0</v>
      </c>
      <c r="I405" s="41">
        <f>VLOOKUP(Tabla1[[#This Row],[PAGO DIA]],DIAS!A:B,2,0)</f>
        <v>46080</v>
      </c>
      <c r="J405" s="6">
        <v>0</v>
      </c>
      <c r="K405" s="43">
        <f>VLOOKUP(Tabla1[[#This Row],[PAGO DIA]],DIAS!A:C,3,0)</f>
        <v>46112</v>
      </c>
      <c r="L405" s="6">
        <v>0</v>
      </c>
      <c r="M405" s="41">
        <f>VLOOKUP(Tabla1[[#This Row],[PAGO DIA]],DIAS!A:D,4,0)</f>
        <v>46142</v>
      </c>
      <c r="N405" s="6">
        <v>0</v>
      </c>
      <c r="O405" s="43">
        <f>VLOOKUP(Tabla1[[#This Row],[PAGO DIA]],DIAS!A:E,5,0)</f>
        <v>46171</v>
      </c>
      <c r="P405" s="6">
        <v>0</v>
      </c>
      <c r="Q405" s="43">
        <f>VLOOKUP(Tabla1[[#This Row],[PAGO DIA]],DIAS!A:F,6,0)</f>
        <v>46203</v>
      </c>
      <c r="R405" s="6">
        <v>0</v>
      </c>
      <c r="S405" s="43">
        <f>VLOOKUP(Tabla1[[#This Row],[PAGO DIA]],DIAS!A:G,7,0)</f>
        <v>46234</v>
      </c>
      <c r="T405" s="6">
        <v>0</v>
      </c>
      <c r="U405" s="43">
        <f>VLOOKUP(Tabla1[[#This Row],[PAGO DIA]],DIAS!A:H,8,0)</f>
        <v>46265</v>
      </c>
      <c r="V405" s="6">
        <v>0</v>
      </c>
      <c r="W405" s="43">
        <f>VLOOKUP(Tabla1[[#This Row],[PAGO DIA]],DIAS!A:I,9,0)</f>
        <v>46295</v>
      </c>
      <c r="X405" s="6">
        <v>0</v>
      </c>
      <c r="Y405" s="43">
        <f>VLOOKUP(Tabla1[[#This Row],[PAGO DIA]],DIAS!A:J,10,0)</f>
        <v>46325</v>
      </c>
      <c r="Z405" s="6">
        <v>0</v>
      </c>
      <c r="AA405" s="43">
        <f>VLOOKUP(Tabla1[[#This Row],[PAGO DIA]],DIAS!A:K,11,0)</f>
        <v>46356</v>
      </c>
      <c r="AB405" s="6">
        <v>0</v>
      </c>
      <c r="AC405" s="43">
        <f>VLOOKUP(Tabla1[[#This Row],[PAGO DIA]],DIAS!A:M,12,0)</f>
        <v>46386</v>
      </c>
      <c r="AD4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6" spans="1:30">
      <c r="A406" s="3">
        <v>12755</v>
      </c>
      <c r="B406" s="3" t="s">
        <v>604</v>
      </c>
      <c r="C406" s="3" t="s">
        <v>605</v>
      </c>
      <c r="D406" s="3" t="s">
        <v>540</v>
      </c>
      <c r="E406" s="3" t="s">
        <v>1031</v>
      </c>
      <c r="F406" s="42" t="s">
        <v>631</v>
      </c>
      <c r="G406" s="3" t="s">
        <v>1035</v>
      </c>
      <c r="H406" s="6">
        <v>0</v>
      </c>
      <c r="I406" s="41">
        <f>VLOOKUP(Tabla1[[#This Row],[PAGO DIA]],DIAS!A:B,2,0)</f>
        <v>46080</v>
      </c>
      <c r="J406" s="6">
        <v>0</v>
      </c>
      <c r="K406" s="43">
        <f>VLOOKUP(Tabla1[[#This Row],[PAGO DIA]],DIAS!A:C,3,0)</f>
        <v>46112</v>
      </c>
      <c r="L406" s="6">
        <v>0</v>
      </c>
      <c r="M406" s="41">
        <f>VLOOKUP(Tabla1[[#This Row],[PAGO DIA]],DIAS!A:D,4,0)</f>
        <v>46142</v>
      </c>
      <c r="N406" s="6">
        <v>0</v>
      </c>
      <c r="O406" s="43">
        <f>VLOOKUP(Tabla1[[#This Row],[PAGO DIA]],DIAS!A:E,5,0)</f>
        <v>46171</v>
      </c>
      <c r="P406" s="6">
        <v>0</v>
      </c>
      <c r="Q406" s="43">
        <f>VLOOKUP(Tabla1[[#This Row],[PAGO DIA]],DIAS!A:F,6,0)</f>
        <v>46203</v>
      </c>
      <c r="R406" s="6">
        <v>0</v>
      </c>
      <c r="S406" s="43">
        <f>VLOOKUP(Tabla1[[#This Row],[PAGO DIA]],DIAS!A:G,7,0)</f>
        <v>46234</v>
      </c>
      <c r="T406" s="6">
        <v>0</v>
      </c>
      <c r="U406" s="43">
        <f>VLOOKUP(Tabla1[[#This Row],[PAGO DIA]],DIAS!A:H,8,0)</f>
        <v>46265</v>
      </c>
      <c r="V406" s="6">
        <v>0</v>
      </c>
      <c r="W406" s="43">
        <f>VLOOKUP(Tabla1[[#This Row],[PAGO DIA]],DIAS!A:I,9,0)</f>
        <v>46295</v>
      </c>
      <c r="X406" s="6">
        <v>0</v>
      </c>
      <c r="Y406" s="43">
        <f>VLOOKUP(Tabla1[[#This Row],[PAGO DIA]],DIAS!A:J,10,0)</f>
        <v>46325</v>
      </c>
      <c r="Z406" s="6">
        <v>0</v>
      </c>
      <c r="AA406" s="43">
        <f>VLOOKUP(Tabla1[[#This Row],[PAGO DIA]],DIAS!A:K,11,0)</f>
        <v>46356</v>
      </c>
      <c r="AB406" s="6">
        <v>0</v>
      </c>
      <c r="AC406" s="43">
        <f>VLOOKUP(Tabla1[[#This Row],[PAGO DIA]],DIAS!A:M,12,0)</f>
        <v>46386</v>
      </c>
      <c r="AD4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7" spans="1:30">
      <c r="A407" s="3">
        <v>12047</v>
      </c>
      <c r="B407" s="3" t="s">
        <v>604</v>
      </c>
      <c r="C407" s="3" t="s">
        <v>605</v>
      </c>
      <c r="D407" s="3" t="s">
        <v>605</v>
      </c>
      <c r="E407" s="3" t="s">
        <v>1036</v>
      </c>
      <c r="F407" s="42" t="s">
        <v>631</v>
      </c>
      <c r="G407" s="3" t="s">
        <v>635</v>
      </c>
      <c r="H407" s="6">
        <v>0</v>
      </c>
      <c r="I407" s="41">
        <f>VLOOKUP(Tabla1[[#This Row],[PAGO DIA]],DIAS!A:B,2,0)</f>
        <v>46080</v>
      </c>
      <c r="J407" s="6">
        <v>0</v>
      </c>
      <c r="K407" s="43">
        <f>VLOOKUP(Tabla1[[#This Row],[PAGO DIA]],DIAS!A:C,3,0)</f>
        <v>46112</v>
      </c>
      <c r="L407" s="6">
        <v>0</v>
      </c>
      <c r="M407" s="41">
        <f>VLOOKUP(Tabla1[[#This Row],[PAGO DIA]],DIAS!A:D,4,0)</f>
        <v>46142</v>
      </c>
      <c r="N407" s="6">
        <v>0</v>
      </c>
      <c r="O407" s="43">
        <f>VLOOKUP(Tabla1[[#This Row],[PAGO DIA]],DIAS!A:E,5,0)</f>
        <v>46171</v>
      </c>
      <c r="P407" s="6">
        <v>0</v>
      </c>
      <c r="Q407" s="43">
        <f>VLOOKUP(Tabla1[[#This Row],[PAGO DIA]],DIAS!A:F,6,0)</f>
        <v>46203</v>
      </c>
      <c r="R407" s="6">
        <v>0</v>
      </c>
      <c r="S407" s="43">
        <f>VLOOKUP(Tabla1[[#This Row],[PAGO DIA]],DIAS!A:G,7,0)</f>
        <v>46234</v>
      </c>
      <c r="T407" s="6">
        <v>0</v>
      </c>
      <c r="U407" s="43">
        <f>VLOOKUP(Tabla1[[#This Row],[PAGO DIA]],DIAS!A:H,8,0)</f>
        <v>46265</v>
      </c>
      <c r="V407" s="6">
        <v>0</v>
      </c>
      <c r="W407" s="43">
        <f>VLOOKUP(Tabla1[[#This Row],[PAGO DIA]],DIAS!A:I,9,0)</f>
        <v>46295</v>
      </c>
      <c r="X407" s="6">
        <v>0</v>
      </c>
      <c r="Y407" s="43">
        <f>VLOOKUP(Tabla1[[#This Row],[PAGO DIA]],DIAS!A:J,10,0)</f>
        <v>46325</v>
      </c>
      <c r="Z407" s="6">
        <v>0</v>
      </c>
      <c r="AA407" s="43">
        <f>VLOOKUP(Tabla1[[#This Row],[PAGO DIA]],DIAS!A:K,11,0)</f>
        <v>46356</v>
      </c>
      <c r="AB407" s="6">
        <v>0</v>
      </c>
      <c r="AC407" s="43">
        <f>VLOOKUP(Tabla1[[#This Row],[PAGO DIA]],DIAS!A:M,12,0)</f>
        <v>46386</v>
      </c>
      <c r="AD4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8" spans="1:30">
      <c r="A408" s="3">
        <v>12476</v>
      </c>
      <c r="B408" s="3" t="s">
        <v>604</v>
      </c>
      <c r="C408" s="3" t="s">
        <v>605</v>
      </c>
      <c r="D408" s="3" t="s">
        <v>605</v>
      </c>
      <c r="E408" s="3" t="s">
        <v>1037</v>
      </c>
      <c r="F408" s="42" t="s">
        <v>631</v>
      </c>
      <c r="G408" s="3" t="s">
        <v>639</v>
      </c>
      <c r="H408" s="6">
        <v>0</v>
      </c>
      <c r="I408" s="41">
        <f>VLOOKUP(Tabla1[[#This Row],[PAGO DIA]],DIAS!A:B,2,0)</f>
        <v>46080</v>
      </c>
      <c r="J408" s="6">
        <v>0</v>
      </c>
      <c r="K408" s="43">
        <f>VLOOKUP(Tabla1[[#This Row],[PAGO DIA]],DIAS!A:C,3,0)</f>
        <v>46112</v>
      </c>
      <c r="L408" s="6">
        <v>0</v>
      </c>
      <c r="M408" s="41">
        <f>VLOOKUP(Tabla1[[#This Row],[PAGO DIA]],DIAS!A:D,4,0)</f>
        <v>46142</v>
      </c>
      <c r="N408" s="6">
        <v>0</v>
      </c>
      <c r="O408" s="43">
        <f>VLOOKUP(Tabla1[[#This Row],[PAGO DIA]],DIAS!A:E,5,0)</f>
        <v>46171</v>
      </c>
      <c r="P408" s="6">
        <v>0</v>
      </c>
      <c r="Q408" s="43">
        <f>VLOOKUP(Tabla1[[#This Row],[PAGO DIA]],DIAS!A:F,6,0)</f>
        <v>46203</v>
      </c>
      <c r="R408" s="6">
        <v>0</v>
      </c>
      <c r="S408" s="43">
        <f>VLOOKUP(Tabla1[[#This Row],[PAGO DIA]],DIAS!A:G,7,0)</f>
        <v>46234</v>
      </c>
      <c r="T408" s="6">
        <v>0</v>
      </c>
      <c r="U408" s="43">
        <f>VLOOKUP(Tabla1[[#This Row],[PAGO DIA]],DIAS!A:H,8,0)</f>
        <v>46265</v>
      </c>
      <c r="V408" s="6">
        <v>0</v>
      </c>
      <c r="W408" s="43">
        <f>VLOOKUP(Tabla1[[#This Row],[PAGO DIA]],DIAS!A:I,9,0)</f>
        <v>46295</v>
      </c>
      <c r="X408" s="6">
        <v>0</v>
      </c>
      <c r="Y408" s="43">
        <f>VLOOKUP(Tabla1[[#This Row],[PAGO DIA]],DIAS!A:J,10,0)</f>
        <v>46325</v>
      </c>
      <c r="Z408" s="6">
        <v>0</v>
      </c>
      <c r="AA408" s="43">
        <f>VLOOKUP(Tabla1[[#This Row],[PAGO DIA]],DIAS!A:K,11,0)</f>
        <v>46356</v>
      </c>
      <c r="AB408" s="6">
        <v>0</v>
      </c>
      <c r="AC408" s="43">
        <f>VLOOKUP(Tabla1[[#This Row],[PAGO DIA]],DIAS!A:M,12,0)</f>
        <v>46386</v>
      </c>
      <c r="AD4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09" spans="1:30">
      <c r="A409" s="3">
        <v>12053</v>
      </c>
      <c r="B409" s="3" t="s">
        <v>604</v>
      </c>
      <c r="C409" s="3" t="s">
        <v>605</v>
      </c>
      <c r="D409" s="3" t="s">
        <v>605</v>
      </c>
      <c r="E409" s="3" t="s">
        <v>1038</v>
      </c>
      <c r="F409" s="42" t="s">
        <v>631</v>
      </c>
      <c r="G409" s="3" t="s">
        <v>635</v>
      </c>
      <c r="H409" s="6">
        <v>0</v>
      </c>
      <c r="I409" s="41">
        <f>VLOOKUP(Tabla1[[#This Row],[PAGO DIA]],DIAS!A:B,2,0)</f>
        <v>46080</v>
      </c>
      <c r="J409" s="6">
        <v>0</v>
      </c>
      <c r="K409" s="43">
        <f>VLOOKUP(Tabla1[[#This Row],[PAGO DIA]],DIAS!A:C,3,0)</f>
        <v>46112</v>
      </c>
      <c r="L409" s="6">
        <v>0</v>
      </c>
      <c r="M409" s="41">
        <f>VLOOKUP(Tabla1[[#This Row],[PAGO DIA]],DIAS!A:D,4,0)</f>
        <v>46142</v>
      </c>
      <c r="N409" s="6">
        <v>0</v>
      </c>
      <c r="O409" s="43">
        <f>VLOOKUP(Tabla1[[#This Row],[PAGO DIA]],DIAS!A:E,5,0)</f>
        <v>46171</v>
      </c>
      <c r="P409" s="6">
        <v>0</v>
      </c>
      <c r="Q409" s="43">
        <f>VLOOKUP(Tabla1[[#This Row],[PAGO DIA]],DIAS!A:F,6,0)</f>
        <v>46203</v>
      </c>
      <c r="R409" s="6">
        <v>0</v>
      </c>
      <c r="S409" s="43">
        <f>VLOOKUP(Tabla1[[#This Row],[PAGO DIA]],DIAS!A:G,7,0)</f>
        <v>46234</v>
      </c>
      <c r="T409" s="6">
        <v>0</v>
      </c>
      <c r="U409" s="43">
        <f>VLOOKUP(Tabla1[[#This Row],[PAGO DIA]],DIAS!A:H,8,0)</f>
        <v>46265</v>
      </c>
      <c r="V409" s="6">
        <v>0</v>
      </c>
      <c r="W409" s="43">
        <f>VLOOKUP(Tabla1[[#This Row],[PAGO DIA]],DIAS!A:I,9,0)</f>
        <v>46295</v>
      </c>
      <c r="X409" s="6">
        <v>0</v>
      </c>
      <c r="Y409" s="43">
        <f>VLOOKUP(Tabla1[[#This Row],[PAGO DIA]],DIAS!A:J,10,0)</f>
        <v>46325</v>
      </c>
      <c r="Z409" s="6">
        <v>0</v>
      </c>
      <c r="AA409" s="43">
        <f>VLOOKUP(Tabla1[[#This Row],[PAGO DIA]],DIAS!A:K,11,0)</f>
        <v>46356</v>
      </c>
      <c r="AB409" s="6">
        <v>0</v>
      </c>
      <c r="AC409" s="43">
        <f>VLOOKUP(Tabla1[[#This Row],[PAGO DIA]],DIAS!A:M,12,0)</f>
        <v>46386</v>
      </c>
      <c r="AD4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0" spans="1:30">
      <c r="A410" s="3">
        <v>12074</v>
      </c>
      <c r="B410" s="3" t="s">
        <v>604</v>
      </c>
      <c r="C410" s="3" t="s">
        <v>605</v>
      </c>
      <c r="D410" s="3" t="s">
        <v>605</v>
      </c>
      <c r="E410" s="3" t="s">
        <v>1039</v>
      </c>
      <c r="F410" s="42" t="s">
        <v>631</v>
      </c>
      <c r="G410" s="3" t="s">
        <v>635</v>
      </c>
      <c r="H410" s="6">
        <v>0</v>
      </c>
      <c r="I410" s="41">
        <f>VLOOKUP(Tabla1[[#This Row],[PAGO DIA]],DIAS!A:B,2,0)</f>
        <v>46080</v>
      </c>
      <c r="J410" s="6">
        <v>0</v>
      </c>
      <c r="K410" s="43">
        <f>VLOOKUP(Tabla1[[#This Row],[PAGO DIA]],DIAS!A:C,3,0)</f>
        <v>46112</v>
      </c>
      <c r="L410" s="6">
        <v>0</v>
      </c>
      <c r="M410" s="41">
        <f>VLOOKUP(Tabla1[[#This Row],[PAGO DIA]],DIAS!A:D,4,0)</f>
        <v>46142</v>
      </c>
      <c r="N410" s="6">
        <v>0</v>
      </c>
      <c r="O410" s="43">
        <f>VLOOKUP(Tabla1[[#This Row],[PAGO DIA]],DIAS!A:E,5,0)</f>
        <v>46171</v>
      </c>
      <c r="P410" s="6">
        <v>0</v>
      </c>
      <c r="Q410" s="43">
        <f>VLOOKUP(Tabla1[[#This Row],[PAGO DIA]],DIAS!A:F,6,0)</f>
        <v>46203</v>
      </c>
      <c r="R410" s="6">
        <v>0</v>
      </c>
      <c r="S410" s="43">
        <f>VLOOKUP(Tabla1[[#This Row],[PAGO DIA]],DIAS!A:G,7,0)</f>
        <v>46234</v>
      </c>
      <c r="T410" s="6">
        <v>0</v>
      </c>
      <c r="U410" s="43">
        <f>VLOOKUP(Tabla1[[#This Row],[PAGO DIA]],DIAS!A:H,8,0)</f>
        <v>46265</v>
      </c>
      <c r="V410" s="6">
        <v>0</v>
      </c>
      <c r="W410" s="43">
        <f>VLOOKUP(Tabla1[[#This Row],[PAGO DIA]],DIAS!A:I,9,0)</f>
        <v>46295</v>
      </c>
      <c r="X410" s="6">
        <v>0</v>
      </c>
      <c r="Y410" s="43">
        <f>VLOOKUP(Tabla1[[#This Row],[PAGO DIA]],DIAS!A:J,10,0)</f>
        <v>46325</v>
      </c>
      <c r="Z410" s="6">
        <v>0</v>
      </c>
      <c r="AA410" s="43">
        <f>VLOOKUP(Tabla1[[#This Row],[PAGO DIA]],DIAS!A:K,11,0)</f>
        <v>46356</v>
      </c>
      <c r="AB410" s="6">
        <v>0</v>
      </c>
      <c r="AC410" s="43">
        <f>VLOOKUP(Tabla1[[#This Row],[PAGO DIA]],DIAS!A:M,12,0)</f>
        <v>46386</v>
      </c>
      <c r="AD4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1" spans="1:30">
      <c r="A411" s="3">
        <v>12039</v>
      </c>
      <c r="B411" s="3" t="s">
        <v>604</v>
      </c>
      <c r="C411" s="3" t="s">
        <v>605</v>
      </c>
      <c r="D411" s="3" t="s">
        <v>605</v>
      </c>
      <c r="E411" s="3" t="s">
        <v>1040</v>
      </c>
      <c r="F411" s="42" t="s">
        <v>631</v>
      </c>
      <c r="G411" s="3" t="s">
        <v>635</v>
      </c>
      <c r="H411" s="6">
        <v>0</v>
      </c>
      <c r="I411" s="41">
        <f>VLOOKUP(Tabla1[[#This Row],[PAGO DIA]],DIAS!A:B,2,0)</f>
        <v>46080</v>
      </c>
      <c r="J411" s="6">
        <v>0</v>
      </c>
      <c r="K411" s="43">
        <f>VLOOKUP(Tabla1[[#This Row],[PAGO DIA]],DIAS!A:C,3,0)</f>
        <v>46112</v>
      </c>
      <c r="L411" s="6">
        <v>0</v>
      </c>
      <c r="M411" s="41">
        <f>VLOOKUP(Tabla1[[#This Row],[PAGO DIA]],DIAS!A:D,4,0)</f>
        <v>46142</v>
      </c>
      <c r="N411" s="6">
        <v>0</v>
      </c>
      <c r="O411" s="43">
        <f>VLOOKUP(Tabla1[[#This Row],[PAGO DIA]],DIAS!A:E,5,0)</f>
        <v>46171</v>
      </c>
      <c r="P411" s="6">
        <v>0</v>
      </c>
      <c r="Q411" s="43">
        <f>VLOOKUP(Tabla1[[#This Row],[PAGO DIA]],DIAS!A:F,6,0)</f>
        <v>46203</v>
      </c>
      <c r="R411" s="6">
        <v>0</v>
      </c>
      <c r="S411" s="43">
        <f>VLOOKUP(Tabla1[[#This Row],[PAGO DIA]],DIAS!A:G,7,0)</f>
        <v>46234</v>
      </c>
      <c r="T411" s="6">
        <v>0</v>
      </c>
      <c r="U411" s="43">
        <f>VLOOKUP(Tabla1[[#This Row],[PAGO DIA]],DIAS!A:H,8,0)</f>
        <v>46265</v>
      </c>
      <c r="V411" s="6">
        <v>0</v>
      </c>
      <c r="W411" s="43">
        <f>VLOOKUP(Tabla1[[#This Row],[PAGO DIA]],DIAS!A:I,9,0)</f>
        <v>46295</v>
      </c>
      <c r="X411" s="6">
        <v>0</v>
      </c>
      <c r="Y411" s="43">
        <f>VLOOKUP(Tabla1[[#This Row],[PAGO DIA]],DIAS!A:J,10,0)</f>
        <v>46325</v>
      </c>
      <c r="Z411" s="6">
        <v>0</v>
      </c>
      <c r="AA411" s="43">
        <f>VLOOKUP(Tabla1[[#This Row],[PAGO DIA]],DIAS!A:K,11,0)</f>
        <v>46356</v>
      </c>
      <c r="AB411" s="6">
        <v>0</v>
      </c>
      <c r="AC411" s="43">
        <f>VLOOKUP(Tabla1[[#This Row],[PAGO DIA]],DIAS!A:M,12,0)</f>
        <v>46386</v>
      </c>
      <c r="AD4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2" spans="1:30">
      <c r="A412" s="3">
        <v>12068</v>
      </c>
      <c r="B412" s="3" t="s">
        <v>604</v>
      </c>
      <c r="C412" s="3" t="s">
        <v>540</v>
      </c>
      <c r="D412" s="3" t="s">
        <v>540</v>
      </c>
      <c r="E412" s="3" t="s">
        <v>1041</v>
      </c>
      <c r="F412" s="42" t="s">
        <v>631</v>
      </c>
      <c r="G412" s="3" t="s">
        <v>1042</v>
      </c>
      <c r="H412" s="6">
        <v>0</v>
      </c>
      <c r="I412" s="41">
        <f>VLOOKUP(Tabla1[[#This Row],[PAGO DIA]],DIAS!A:B,2,0)</f>
        <v>46080</v>
      </c>
      <c r="J412" s="6">
        <v>0</v>
      </c>
      <c r="K412" s="43">
        <f>VLOOKUP(Tabla1[[#This Row],[PAGO DIA]],DIAS!A:C,3,0)</f>
        <v>46112</v>
      </c>
      <c r="L412" s="6">
        <v>0</v>
      </c>
      <c r="M412" s="41">
        <f>VLOOKUP(Tabla1[[#This Row],[PAGO DIA]],DIAS!A:D,4,0)</f>
        <v>46142</v>
      </c>
      <c r="N412" s="6">
        <v>0</v>
      </c>
      <c r="O412" s="43">
        <f>VLOOKUP(Tabla1[[#This Row],[PAGO DIA]],DIAS!A:E,5,0)</f>
        <v>46171</v>
      </c>
      <c r="P412" s="6">
        <v>0</v>
      </c>
      <c r="Q412" s="43">
        <f>VLOOKUP(Tabla1[[#This Row],[PAGO DIA]],DIAS!A:F,6,0)</f>
        <v>46203</v>
      </c>
      <c r="R412" s="6">
        <v>0</v>
      </c>
      <c r="S412" s="43">
        <f>VLOOKUP(Tabla1[[#This Row],[PAGO DIA]],DIAS!A:G,7,0)</f>
        <v>46234</v>
      </c>
      <c r="T412" s="6">
        <v>0</v>
      </c>
      <c r="U412" s="43">
        <f>VLOOKUP(Tabla1[[#This Row],[PAGO DIA]],DIAS!A:H,8,0)</f>
        <v>46265</v>
      </c>
      <c r="V412" s="6">
        <v>0</v>
      </c>
      <c r="W412" s="43">
        <f>VLOOKUP(Tabla1[[#This Row],[PAGO DIA]],DIAS!A:I,9,0)</f>
        <v>46295</v>
      </c>
      <c r="X412" s="6">
        <v>0</v>
      </c>
      <c r="Y412" s="43">
        <f>VLOOKUP(Tabla1[[#This Row],[PAGO DIA]],DIAS!A:J,10,0)</f>
        <v>46325</v>
      </c>
      <c r="Z412" s="6">
        <v>0</v>
      </c>
      <c r="AA412" s="43">
        <f>VLOOKUP(Tabla1[[#This Row],[PAGO DIA]],DIAS!A:K,11,0)</f>
        <v>46356</v>
      </c>
      <c r="AB412" s="6">
        <v>0</v>
      </c>
      <c r="AC412" s="43">
        <f>VLOOKUP(Tabla1[[#This Row],[PAGO DIA]],DIAS!A:M,12,0)</f>
        <v>46386</v>
      </c>
      <c r="AD4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3" spans="1:30">
      <c r="A413" s="3">
        <v>12069</v>
      </c>
      <c r="B413" s="3" t="s">
        <v>604</v>
      </c>
      <c r="C413" s="3" t="s">
        <v>540</v>
      </c>
      <c r="D413" s="3" t="s">
        <v>540</v>
      </c>
      <c r="E413" s="3" t="s">
        <v>1041</v>
      </c>
      <c r="F413" s="42" t="s">
        <v>631</v>
      </c>
      <c r="G413" s="3" t="s">
        <v>1043</v>
      </c>
      <c r="H413" s="6">
        <v>0</v>
      </c>
      <c r="I413" s="41">
        <f>VLOOKUP(Tabla1[[#This Row],[PAGO DIA]],DIAS!A:B,2,0)</f>
        <v>46080</v>
      </c>
      <c r="J413" s="6">
        <v>0</v>
      </c>
      <c r="K413" s="43">
        <f>VLOOKUP(Tabla1[[#This Row],[PAGO DIA]],DIAS!A:C,3,0)</f>
        <v>46112</v>
      </c>
      <c r="L413" s="6">
        <v>0</v>
      </c>
      <c r="M413" s="41">
        <f>VLOOKUP(Tabla1[[#This Row],[PAGO DIA]],DIAS!A:D,4,0)</f>
        <v>46142</v>
      </c>
      <c r="N413" s="6">
        <v>0</v>
      </c>
      <c r="O413" s="43">
        <f>VLOOKUP(Tabla1[[#This Row],[PAGO DIA]],DIAS!A:E,5,0)</f>
        <v>46171</v>
      </c>
      <c r="P413" s="6">
        <v>0</v>
      </c>
      <c r="Q413" s="43">
        <f>VLOOKUP(Tabla1[[#This Row],[PAGO DIA]],DIAS!A:F,6,0)</f>
        <v>46203</v>
      </c>
      <c r="R413" s="6">
        <v>0</v>
      </c>
      <c r="S413" s="43">
        <f>VLOOKUP(Tabla1[[#This Row],[PAGO DIA]],DIAS!A:G,7,0)</f>
        <v>46234</v>
      </c>
      <c r="T413" s="6">
        <v>0</v>
      </c>
      <c r="U413" s="43">
        <f>VLOOKUP(Tabla1[[#This Row],[PAGO DIA]],DIAS!A:H,8,0)</f>
        <v>46265</v>
      </c>
      <c r="V413" s="6">
        <v>0</v>
      </c>
      <c r="W413" s="43">
        <f>VLOOKUP(Tabla1[[#This Row],[PAGO DIA]],DIAS!A:I,9,0)</f>
        <v>46295</v>
      </c>
      <c r="X413" s="6">
        <v>0</v>
      </c>
      <c r="Y413" s="43">
        <f>VLOOKUP(Tabla1[[#This Row],[PAGO DIA]],DIAS!A:J,10,0)</f>
        <v>46325</v>
      </c>
      <c r="Z413" s="6">
        <v>0</v>
      </c>
      <c r="AA413" s="43">
        <f>VLOOKUP(Tabla1[[#This Row],[PAGO DIA]],DIAS!A:K,11,0)</f>
        <v>46356</v>
      </c>
      <c r="AB413" s="6">
        <v>0</v>
      </c>
      <c r="AC413" s="43">
        <f>VLOOKUP(Tabla1[[#This Row],[PAGO DIA]],DIAS!A:M,12,0)</f>
        <v>46386</v>
      </c>
      <c r="AD4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4" spans="1:30">
      <c r="A414" s="3">
        <v>12070</v>
      </c>
      <c r="B414" s="3" t="s">
        <v>604</v>
      </c>
      <c r="C414" s="3" t="s">
        <v>540</v>
      </c>
      <c r="D414" s="3" t="s">
        <v>540</v>
      </c>
      <c r="E414" s="3" t="s">
        <v>1041</v>
      </c>
      <c r="F414" s="42" t="s">
        <v>631</v>
      </c>
      <c r="G414" s="3" t="s">
        <v>1044</v>
      </c>
      <c r="H414" s="6">
        <v>0</v>
      </c>
      <c r="I414" s="41">
        <f>VLOOKUP(Tabla1[[#This Row],[PAGO DIA]],DIAS!A:B,2,0)</f>
        <v>46080</v>
      </c>
      <c r="J414" s="6">
        <v>0</v>
      </c>
      <c r="K414" s="43">
        <f>VLOOKUP(Tabla1[[#This Row],[PAGO DIA]],DIAS!A:C,3,0)</f>
        <v>46112</v>
      </c>
      <c r="L414" s="6">
        <v>0</v>
      </c>
      <c r="M414" s="41">
        <f>VLOOKUP(Tabla1[[#This Row],[PAGO DIA]],DIAS!A:D,4,0)</f>
        <v>46142</v>
      </c>
      <c r="N414" s="6">
        <v>0</v>
      </c>
      <c r="O414" s="43">
        <f>VLOOKUP(Tabla1[[#This Row],[PAGO DIA]],DIAS!A:E,5,0)</f>
        <v>46171</v>
      </c>
      <c r="P414" s="6">
        <v>0</v>
      </c>
      <c r="Q414" s="43">
        <f>VLOOKUP(Tabla1[[#This Row],[PAGO DIA]],DIAS!A:F,6,0)</f>
        <v>46203</v>
      </c>
      <c r="R414" s="6">
        <v>0</v>
      </c>
      <c r="S414" s="43">
        <f>VLOOKUP(Tabla1[[#This Row],[PAGO DIA]],DIAS!A:G,7,0)</f>
        <v>46234</v>
      </c>
      <c r="T414" s="6">
        <v>0</v>
      </c>
      <c r="U414" s="43">
        <f>VLOOKUP(Tabla1[[#This Row],[PAGO DIA]],DIAS!A:H,8,0)</f>
        <v>46265</v>
      </c>
      <c r="V414" s="6">
        <v>0</v>
      </c>
      <c r="W414" s="43">
        <f>VLOOKUP(Tabla1[[#This Row],[PAGO DIA]],DIAS!A:I,9,0)</f>
        <v>46295</v>
      </c>
      <c r="X414" s="6">
        <v>0</v>
      </c>
      <c r="Y414" s="43">
        <f>VLOOKUP(Tabla1[[#This Row],[PAGO DIA]],DIAS!A:J,10,0)</f>
        <v>46325</v>
      </c>
      <c r="Z414" s="6">
        <v>0</v>
      </c>
      <c r="AA414" s="43">
        <f>VLOOKUP(Tabla1[[#This Row],[PAGO DIA]],DIAS!A:K,11,0)</f>
        <v>46356</v>
      </c>
      <c r="AB414" s="6">
        <v>0</v>
      </c>
      <c r="AC414" s="43">
        <f>VLOOKUP(Tabla1[[#This Row],[PAGO DIA]],DIAS!A:M,12,0)</f>
        <v>46386</v>
      </c>
      <c r="AD4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5" spans="1:30">
      <c r="A415" s="3">
        <v>12071</v>
      </c>
      <c r="B415" s="3" t="s">
        <v>604</v>
      </c>
      <c r="C415" s="3" t="s">
        <v>540</v>
      </c>
      <c r="D415" s="3" t="s">
        <v>540</v>
      </c>
      <c r="E415" s="3" t="s">
        <v>1041</v>
      </c>
      <c r="F415" s="42" t="s">
        <v>631</v>
      </c>
      <c r="G415" s="3" t="s">
        <v>1045</v>
      </c>
      <c r="H415" s="6">
        <v>0</v>
      </c>
      <c r="I415" s="41">
        <f>VLOOKUP(Tabla1[[#This Row],[PAGO DIA]],DIAS!A:B,2,0)</f>
        <v>46080</v>
      </c>
      <c r="J415" s="6">
        <v>0</v>
      </c>
      <c r="K415" s="43">
        <f>VLOOKUP(Tabla1[[#This Row],[PAGO DIA]],DIAS!A:C,3,0)</f>
        <v>46112</v>
      </c>
      <c r="L415" s="6">
        <v>0</v>
      </c>
      <c r="M415" s="41">
        <f>VLOOKUP(Tabla1[[#This Row],[PAGO DIA]],DIAS!A:D,4,0)</f>
        <v>46142</v>
      </c>
      <c r="N415" s="6">
        <v>0</v>
      </c>
      <c r="O415" s="43">
        <f>VLOOKUP(Tabla1[[#This Row],[PAGO DIA]],DIAS!A:E,5,0)</f>
        <v>46171</v>
      </c>
      <c r="P415" s="6">
        <v>0</v>
      </c>
      <c r="Q415" s="43">
        <f>VLOOKUP(Tabla1[[#This Row],[PAGO DIA]],DIAS!A:F,6,0)</f>
        <v>46203</v>
      </c>
      <c r="R415" s="6">
        <v>0</v>
      </c>
      <c r="S415" s="43">
        <f>VLOOKUP(Tabla1[[#This Row],[PAGO DIA]],DIAS!A:G,7,0)</f>
        <v>46234</v>
      </c>
      <c r="T415" s="6">
        <v>0</v>
      </c>
      <c r="U415" s="43">
        <f>VLOOKUP(Tabla1[[#This Row],[PAGO DIA]],DIAS!A:H,8,0)</f>
        <v>46265</v>
      </c>
      <c r="V415" s="6">
        <v>0</v>
      </c>
      <c r="W415" s="43">
        <f>VLOOKUP(Tabla1[[#This Row],[PAGO DIA]],DIAS!A:I,9,0)</f>
        <v>46295</v>
      </c>
      <c r="X415" s="6">
        <v>0</v>
      </c>
      <c r="Y415" s="43">
        <f>VLOOKUP(Tabla1[[#This Row],[PAGO DIA]],DIAS!A:J,10,0)</f>
        <v>46325</v>
      </c>
      <c r="Z415" s="6">
        <v>0</v>
      </c>
      <c r="AA415" s="43">
        <f>VLOOKUP(Tabla1[[#This Row],[PAGO DIA]],DIAS!A:K,11,0)</f>
        <v>46356</v>
      </c>
      <c r="AB415" s="6">
        <v>0</v>
      </c>
      <c r="AC415" s="43">
        <f>VLOOKUP(Tabla1[[#This Row],[PAGO DIA]],DIAS!A:M,12,0)</f>
        <v>46386</v>
      </c>
      <c r="AD4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6" spans="1:30">
      <c r="A416" s="3">
        <v>12548</v>
      </c>
      <c r="B416" s="3" t="s">
        <v>604</v>
      </c>
      <c r="C416" s="3" t="s">
        <v>605</v>
      </c>
      <c r="D416" s="3" t="s">
        <v>540</v>
      </c>
      <c r="E416" s="3" t="s">
        <v>1041</v>
      </c>
      <c r="F416" s="42" t="s">
        <v>631</v>
      </c>
      <c r="G416" s="3" t="s">
        <v>1046</v>
      </c>
      <c r="H416" s="6">
        <v>0</v>
      </c>
      <c r="I416" s="41">
        <f>VLOOKUP(Tabla1[[#This Row],[PAGO DIA]],DIAS!A:B,2,0)</f>
        <v>46080</v>
      </c>
      <c r="J416" s="6">
        <v>0</v>
      </c>
      <c r="K416" s="43">
        <f>VLOOKUP(Tabla1[[#This Row],[PAGO DIA]],DIAS!A:C,3,0)</f>
        <v>46112</v>
      </c>
      <c r="L416" s="6">
        <v>0</v>
      </c>
      <c r="M416" s="41">
        <f>VLOOKUP(Tabla1[[#This Row],[PAGO DIA]],DIAS!A:D,4,0)</f>
        <v>46142</v>
      </c>
      <c r="N416" s="6">
        <v>0</v>
      </c>
      <c r="O416" s="43">
        <f>VLOOKUP(Tabla1[[#This Row],[PAGO DIA]],DIAS!A:E,5,0)</f>
        <v>46171</v>
      </c>
      <c r="P416" s="6">
        <v>0</v>
      </c>
      <c r="Q416" s="43">
        <f>VLOOKUP(Tabla1[[#This Row],[PAGO DIA]],DIAS!A:F,6,0)</f>
        <v>46203</v>
      </c>
      <c r="R416" s="6">
        <v>0</v>
      </c>
      <c r="S416" s="43">
        <f>VLOOKUP(Tabla1[[#This Row],[PAGO DIA]],DIAS!A:G,7,0)</f>
        <v>46234</v>
      </c>
      <c r="T416" s="6">
        <v>0</v>
      </c>
      <c r="U416" s="43">
        <f>VLOOKUP(Tabla1[[#This Row],[PAGO DIA]],DIAS!A:H,8,0)</f>
        <v>46265</v>
      </c>
      <c r="V416" s="6">
        <v>0</v>
      </c>
      <c r="W416" s="43">
        <f>VLOOKUP(Tabla1[[#This Row],[PAGO DIA]],DIAS!A:I,9,0)</f>
        <v>46295</v>
      </c>
      <c r="X416" s="6">
        <v>0</v>
      </c>
      <c r="Y416" s="43">
        <f>VLOOKUP(Tabla1[[#This Row],[PAGO DIA]],DIAS!A:J,10,0)</f>
        <v>46325</v>
      </c>
      <c r="Z416" s="6">
        <v>0</v>
      </c>
      <c r="AA416" s="43">
        <f>VLOOKUP(Tabla1[[#This Row],[PAGO DIA]],DIAS!A:K,11,0)</f>
        <v>46356</v>
      </c>
      <c r="AB416" s="6">
        <v>0</v>
      </c>
      <c r="AC416" s="43">
        <f>VLOOKUP(Tabla1[[#This Row],[PAGO DIA]],DIAS!A:M,12,0)</f>
        <v>46386</v>
      </c>
      <c r="AD4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7" spans="1:30">
      <c r="A417" s="3">
        <v>12554</v>
      </c>
      <c r="B417" s="3" t="s">
        <v>604</v>
      </c>
      <c r="C417" s="3" t="s">
        <v>605</v>
      </c>
      <c r="D417" s="3" t="s">
        <v>540</v>
      </c>
      <c r="E417" s="3" t="s">
        <v>1041</v>
      </c>
      <c r="F417" s="42" t="s">
        <v>631</v>
      </c>
      <c r="G417" s="3" t="s">
        <v>1047</v>
      </c>
      <c r="H417" s="6">
        <v>0</v>
      </c>
      <c r="I417" s="41">
        <f>VLOOKUP(Tabla1[[#This Row],[PAGO DIA]],DIAS!A:B,2,0)</f>
        <v>46080</v>
      </c>
      <c r="J417" s="6">
        <v>0</v>
      </c>
      <c r="K417" s="43">
        <f>VLOOKUP(Tabla1[[#This Row],[PAGO DIA]],DIAS!A:C,3,0)</f>
        <v>46112</v>
      </c>
      <c r="L417" s="6">
        <v>0</v>
      </c>
      <c r="M417" s="41">
        <f>VLOOKUP(Tabla1[[#This Row],[PAGO DIA]],DIAS!A:D,4,0)</f>
        <v>46142</v>
      </c>
      <c r="N417" s="6">
        <v>0</v>
      </c>
      <c r="O417" s="43">
        <f>VLOOKUP(Tabla1[[#This Row],[PAGO DIA]],DIAS!A:E,5,0)</f>
        <v>46171</v>
      </c>
      <c r="P417" s="6">
        <v>0</v>
      </c>
      <c r="Q417" s="43">
        <f>VLOOKUP(Tabla1[[#This Row],[PAGO DIA]],DIAS!A:F,6,0)</f>
        <v>46203</v>
      </c>
      <c r="R417" s="6">
        <v>0</v>
      </c>
      <c r="S417" s="43">
        <f>VLOOKUP(Tabla1[[#This Row],[PAGO DIA]],DIAS!A:G,7,0)</f>
        <v>46234</v>
      </c>
      <c r="T417" s="6">
        <v>0</v>
      </c>
      <c r="U417" s="43">
        <f>VLOOKUP(Tabla1[[#This Row],[PAGO DIA]],DIAS!A:H,8,0)</f>
        <v>46265</v>
      </c>
      <c r="V417" s="6">
        <v>0</v>
      </c>
      <c r="W417" s="43">
        <f>VLOOKUP(Tabla1[[#This Row],[PAGO DIA]],DIAS!A:I,9,0)</f>
        <v>46295</v>
      </c>
      <c r="X417" s="6">
        <v>0</v>
      </c>
      <c r="Y417" s="43">
        <f>VLOOKUP(Tabla1[[#This Row],[PAGO DIA]],DIAS!A:J,10,0)</f>
        <v>46325</v>
      </c>
      <c r="Z417" s="6">
        <v>0</v>
      </c>
      <c r="AA417" s="43">
        <f>VLOOKUP(Tabla1[[#This Row],[PAGO DIA]],DIAS!A:K,11,0)</f>
        <v>46356</v>
      </c>
      <c r="AB417" s="6">
        <v>0</v>
      </c>
      <c r="AC417" s="43">
        <f>VLOOKUP(Tabla1[[#This Row],[PAGO DIA]],DIAS!A:M,12,0)</f>
        <v>46386</v>
      </c>
      <c r="AD4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8" spans="1:30">
      <c r="A418" s="3">
        <v>12638</v>
      </c>
      <c r="B418" s="3" t="s">
        <v>604</v>
      </c>
      <c r="C418" s="3" t="s">
        <v>605</v>
      </c>
      <c r="D418" s="3" t="s">
        <v>540</v>
      </c>
      <c r="E418" s="3" t="s">
        <v>1041</v>
      </c>
      <c r="F418" s="42" t="s">
        <v>631</v>
      </c>
      <c r="G418" s="3" t="s">
        <v>1048</v>
      </c>
      <c r="H418" s="6">
        <v>0</v>
      </c>
      <c r="I418" s="41">
        <f>VLOOKUP(Tabla1[[#This Row],[PAGO DIA]],DIAS!A:B,2,0)</f>
        <v>46080</v>
      </c>
      <c r="J418" s="6">
        <v>0</v>
      </c>
      <c r="K418" s="43">
        <f>VLOOKUP(Tabla1[[#This Row],[PAGO DIA]],DIAS!A:C,3,0)</f>
        <v>46112</v>
      </c>
      <c r="L418" s="6">
        <v>0</v>
      </c>
      <c r="M418" s="41">
        <f>VLOOKUP(Tabla1[[#This Row],[PAGO DIA]],DIAS!A:D,4,0)</f>
        <v>46142</v>
      </c>
      <c r="N418" s="6">
        <v>0</v>
      </c>
      <c r="O418" s="43">
        <f>VLOOKUP(Tabla1[[#This Row],[PAGO DIA]],DIAS!A:E,5,0)</f>
        <v>46171</v>
      </c>
      <c r="P418" s="6">
        <v>0</v>
      </c>
      <c r="Q418" s="43">
        <f>VLOOKUP(Tabla1[[#This Row],[PAGO DIA]],DIAS!A:F,6,0)</f>
        <v>46203</v>
      </c>
      <c r="R418" s="6">
        <v>0</v>
      </c>
      <c r="S418" s="43">
        <f>VLOOKUP(Tabla1[[#This Row],[PAGO DIA]],DIAS!A:G,7,0)</f>
        <v>46234</v>
      </c>
      <c r="T418" s="6">
        <v>0</v>
      </c>
      <c r="U418" s="43">
        <f>VLOOKUP(Tabla1[[#This Row],[PAGO DIA]],DIAS!A:H,8,0)</f>
        <v>46265</v>
      </c>
      <c r="V418" s="6">
        <v>0</v>
      </c>
      <c r="W418" s="43">
        <f>VLOOKUP(Tabla1[[#This Row],[PAGO DIA]],DIAS!A:I,9,0)</f>
        <v>46295</v>
      </c>
      <c r="X418" s="6">
        <v>0</v>
      </c>
      <c r="Y418" s="43">
        <f>VLOOKUP(Tabla1[[#This Row],[PAGO DIA]],DIAS!A:J,10,0)</f>
        <v>46325</v>
      </c>
      <c r="Z418" s="6">
        <v>0</v>
      </c>
      <c r="AA418" s="43">
        <f>VLOOKUP(Tabla1[[#This Row],[PAGO DIA]],DIAS!A:K,11,0)</f>
        <v>46356</v>
      </c>
      <c r="AB418" s="6">
        <v>0</v>
      </c>
      <c r="AC418" s="43">
        <f>VLOOKUP(Tabla1[[#This Row],[PAGO DIA]],DIAS!A:M,12,0)</f>
        <v>46386</v>
      </c>
      <c r="AD4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19" spans="1:30">
      <c r="A419" s="3">
        <v>12679</v>
      </c>
      <c r="B419" s="3" t="s">
        <v>604</v>
      </c>
      <c r="C419" s="3" t="s">
        <v>605</v>
      </c>
      <c r="D419" s="3" t="s">
        <v>540</v>
      </c>
      <c r="E419" s="3" t="s">
        <v>1041</v>
      </c>
      <c r="F419" s="42" t="s">
        <v>631</v>
      </c>
      <c r="G419" s="3" t="s">
        <v>1049</v>
      </c>
      <c r="H419" s="6">
        <v>0</v>
      </c>
      <c r="I419" s="41">
        <f>VLOOKUP(Tabla1[[#This Row],[PAGO DIA]],DIAS!A:B,2,0)</f>
        <v>46080</v>
      </c>
      <c r="J419" s="6">
        <v>0</v>
      </c>
      <c r="K419" s="43">
        <f>VLOOKUP(Tabla1[[#This Row],[PAGO DIA]],DIAS!A:C,3,0)</f>
        <v>46112</v>
      </c>
      <c r="L419" s="6">
        <v>0</v>
      </c>
      <c r="M419" s="41">
        <f>VLOOKUP(Tabla1[[#This Row],[PAGO DIA]],DIAS!A:D,4,0)</f>
        <v>46142</v>
      </c>
      <c r="N419" s="6">
        <v>0</v>
      </c>
      <c r="O419" s="43">
        <f>VLOOKUP(Tabla1[[#This Row],[PAGO DIA]],DIAS!A:E,5,0)</f>
        <v>46171</v>
      </c>
      <c r="P419" s="6">
        <v>0</v>
      </c>
      <c r="Q419" s="43">
        <f>VLOOKUP(Tabla1[[#This Row],[PAGO DIA]],DIAS!A:F,6,0)</f>
        <v>46203</v>
      </c>
      <c r="R419" s="6">
        <v>0</v>
      </c>
      <c r="S419" s="43">
        <f>VLOOKUP(Tabla1[[#This Row],[PAGO DIA]],DIAS!A:G,7,0)</f>
        <v>46234</v>
      </c>
      <c r="T419" s="6">
        <v>0</v>
      </c>
      <c r="U419" s="43">
        <f>VLOOKUP(Tabla1[[#This Row],[PAGO DIA]],DIAS!A:H,8,0)</f>
        <v>46265</v>
      </c>
      <c r="V419" s="6">
        <v>0</v>
      </c>
      <c r="W419" s="43">
        <f>VLOOKUP(Tabla1[[#This Row],[PAGO DIA]],DIAS!A:I,9,0)</f>
        <v>46295</v>
      </c>
      <c r="X419" s="6">
        <v>0</v>
      </c>
      <c r="Y419" s="43">
        <f>VLOOKUP(Tabla1[[#This Row],[PAGO DIA]],DIAS!A:J,10,0)</f>
        <v>46325</v>
      </c>
      <c r="Z419" s="6">
        <v>0</v>
      </c>
      <c r="AA419" s="43">
        <f>VLOOKUP(Tabla1[[#This Row],[PAGO DIA]],DIAS!A:K,11,0)</f>
        <v>46356</v>
      </c>
      <c r="AB419" s="6">
        <v>0</v>
      </c>
      <c r="AC419" s="43">
        <f>VLOOKUP(Tabla1[[#This Row],[PAGO DIA]],DIAS!A:M,12,0)</f>
        <v>46386</v>
      </c>
      <c r="AD4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0" spans="1:30">
      <c r="A420" s="3">
        <v>12680</v>
      </c>
      <c r="B420" s="3" t="s">
        <v>604</v>
      </c>
      <c r="C420" s="3" t="s">
        <v>605</v>
      </c>
      <c r="D420" s="3" t="s">
        <v>540</v>
      </c>
      <c r="E420" s="3" t="s">
        <v>1041</v>
      </c>
      <c r="F420" s="42" t="s">
        <v>631</v>
      </c>
      <c r="G420" s="3" t="s">
        <v>1050</v>
      </c>
      <c r="H420" s="6">
        <v>0</v>
      </c>
      <c r="I420" s="41">
        <f>VLOOKUP(Tabla1[[#This Row],[PAGO DIA]],DIAS!A:B,2,0)</f>
        <v>46080</v>
      </c>
      <c r="J420" s="6">
        <v>0</v>
      </c>
      <c r="K420" s="43">
        <f>VLOOKUP(Tabla1[[#This Row],[PAGO DIA]],DIAS!A:C,3,0)</f>
        <v>46112</v>
      </c>
      <c r="L420" s="6">
        <v>0</v>
      </c>
      <c r="M420" s="41">
        <f>VLOOKUP(Tabla1[[#This Row],[PAGO DIA]],DIAS!A:D,4,0)</f>
        <v>46142</v>
      </c>
      <c r="N420" s="6">
        <v>0</v>
      </c>
      <c r="O420" s="43">
        <f>VLOOKUP(Tabla1[[#This Row],[PAGO DIA]],DIAS!A:E,5,0)</f>
        <v>46171</v>
      </c>
      <c r="P420" s="6">
        <v>0</v>
      </c>
      <c r="Q420" s="43">
        <f>VLOOKUP(Tabla1[[#This Row],[PAGO DIA]],DIAS!A:F,6,0)</f>
        <v>46203</v>
      </c>
      <c r="R420" s="6">
        <v>0</v>
      </c>
      <c r="S420" s="43">
        <f>VLOOKUP(Tabla1[[#This Row],[PAGO DIA]],DIAS!A:G,7,0)</f>
        <v>46234</v>
      </c>
      <c r="T420" s="6">
        <v>0</v>
      </c>
      <c r="U420" s="43">
        <f>VLOOKUP(Tabla1[[#This Row],[PAGO DIA]],DIAS!A:H,8,0)</f>
        <v>46265</v>
      </c>
      <c r="V420" s="6">
        <v>0</v>
      </c>
      <c r="W420" s="43">
        <f>VLOOKUP(Tabla1[[#This Row],[PAGO DIA]],DIAS!A:I,9,0)</f>
        <v>46295</v>
      </c>
      <c r="X420" s="6">
        <v>0</v>
      </c>
      <c r="Y420" s="43">
        <f>VLOOKUP(Tabla1[[#This Row],[PAGO DIA]],DIAS!A:J,10,0)</f>
        <v>46325</v>
      </c>
      <c r="Z420" s="6">
        <v>0</v>
      </c>
      <c r="AA420" s="43">
        <f>VLOOKUP(Tabla1[[#This Row],[PAGO DIA]],DIAS!A:K,11,0)</f>
        <v>46356</v>
      </c>
      <c r="AB420" s="6">
        <v>0</v>
      </c>
      <c r="AC420" s="43">
        <f>VLOOKUP(Tabla1[[#This Row],[PAGO DIA]],DIAS!A:M,12,0)</f>
        <v>46386</v>
      </c>
      <c r="AD4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1" spans="1:30">
      <c r="A421" s="3">
        <v>12691</v>
      </c>
      <c r="B421" s="3" t="s">
        <v>604</v>
      </c>
      <c r="C421" s="3" t="s">
        <v>605</v>
      </c>
      <c r="D421" s="3" t="s">
        <v>540</v>
      </c>
      <c r="E421" s="3" t="s">
        <v>1041</v>
      </c>
      <c r="F421" s="42" t="s">
        <v>631</v>
      </c>
      <c r="G421" s="3" t="s">
        <v>1051</v>
      </c>
      <c r="H421" s="6">
        <v>0</v>
      </c>
      <c r="I421" s="41">
        <f>VLOOKUP(Tabla1[[#This Row],[PAGO DIA]],DIAS!A:B,2,0)</f>
        <v>46080</v>
      </c>
      <c r="J421" s="6">
        <v>0</v>
      </c>
      <c r="K421" s="43">
        <f>VLOOKUP(Tabla1[[#This Row],[PAGO DIA]],DIAS!A:C,3,0)</f>
        <v>46112</v>
      </c>
      <c r="L421" s="6">
        <v>0</v>
      </c>
      <c r="M421" s="41">
        <f>VLOOKUP(Tabla1[[#This Row],[PAGO DIA]],DIAS!A:D,4,0)</f>
        <v>46142</v>
      </c>
      <c r="N421" s="6">
        <v>0</v>
      </c>
      <c r="O421" s="43">
        <f>VLOOKUP(Tabla1[[#This Row],[PAGO DIA]],DIAS!A:E,5,0)</f>
        <v>46171</v>
      </c>
      <c r="P421" s="6">
        <v>0</v>
      </c>
      <c r="Q421" s="43">
        <f>VLOOKUP(Tabla1[[#This Row],[PAGO DIA]],DIAS!A:F,6,0)</f>
        <v>46203</v>
      </c>
      <c r="R421" s="6">
        <v>0</v>
      </c>
      <c r="S421" s="43">
        <f>VLOOKUP(Tabla1[[#This Row],[PAGO DIA]],DIAS!A:G,7,0)</f>
        <v>46234</v>
      </c>
      <c r="T421" s="6">
        <v>0</v>
      </c>
      <c r="U421" s="43">
        <f>VLOOKUP(Tabla1[[#This Row],[PAGO DIA]],DIAS!A:H,8,0)</f>
        <v>46265</v>
      </c>
      <c r="V421" s="6">
        <v>0</v>
      </c>
      <c r="W421" s="43">
        <f>VLOOKUP(Tabla1[[#This Row],[PAGO DIA]],DIAS!A:I,9,0)</f>
        <v>46295</v>
      </c>
      <c r="X421" s="6">
        <v>0</v>
      </c>
      <c r="Y421" s="43">
        <f>VLOOKUP(Tabla1[[#This Row],[PAGO DIA]],DIAS!A:J,10,0)</f>
        <v>46325</v>
      </c>
      <c r="Z421" s="6">
        <v>0</v>
      </c>
      <c r="AA421" s="43">
        <f>VLOOKUP(Tabla1[[#This Row],[PAGO DIA]],DIAS!A:K,11,0)</f>
        <v>46356</v>
      </c>
      <c r="AB421" s="6">
        <v>0</v>
      </c>
      <c r="AC421" s="43">
        <f>VLOOKUP(Tabla1[[#This Row],[PAGO DIA]],DIAS!A:M,12,0)</f>
        <v>46386</v>
      </c>
      <c r="AD4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2" spans="1:30">
      <c r="A422" s="3">
        <v>12696</v>
      </c>
      <c r="B422" s="3" t="s">
        <v>604</v>
      </c>
      <c r="C422" s="3" t="s">
        <v>605</v>
      </c>
      <c r="D422" s="3" t="s">
        <v>540</v>
      </c>
      <c r="E422" s="3" t="s">
        <v>1041</v>
      </c>
      <c r="F422" s="42" t="s">
        <v>631</v>
      </c>
      <c r="G422" s="3" t="s">
        <v>1052</v>
      </c>
      <c r="H422" s="6">
        <v>0</v>
      </c>
      <c r="I422" s="41">
        <f>VLOOKUP(Tabla1[[#This Row],[PAGO DIA]],DIAS!A:B,2,0)</f>
        <v>46080</v>
      </c>
      <c r="J422" s="6">
        <v>0</v>
      </c>
      <c r="K422" s="43">
        <f>VLOOKUP(Tabla1[[#This Row],[PAGO DIA]],DIAS!A:C,3,0)</f>
        <v>46112</v>
      </c>
      <c r="L422" s="6">
        <v>0</v>
      </c>
      <c r="M422" s="41">
        <f>VLOOKUP(Tabla1[[#This Row],[PAGO DIA]],DIAS!A:D,4,0)</f>
        <v>46142</v>
      </c>
      <c r="N422" s="6">
        <v>0</v>
      </c>
      <c r="O422" s="43">
        <f>VLOOKUP(Tabla1[[#This Row],[PAGO DIA]],DIAS!A:E,5,0)</f>
        <v>46171</v>
      </c>
      <c r="P422" s="6">
        <v>0</v>
      </c>
      <c r="Q422" s="43">
        <f>VLOOKUP(Tabla1[[#This Row],[PAGO DIA]],DIAS!A:F,6,0)</f>
        <v>46203</v>
      </c>
      <c r="R422" s="6">
        <v>0</v>
      </c>
      <c r="S422" s="43">
        <f>VLOOKUP(Tabla1[[#This Row],[PAGO DIA]],DIAS!A:G,7,0)</f>
        <v>46234</v>
      </c>
      <c r="T422" s="6">
        <v>0</v>
      </c>
      <c r="U422" s="43">
        <f>VLOOKUP(Tabla1[[#This Row],[PAGO DIA]],DIAS!A:H,8,0)</f>
        <v>46265</v>
      </c>
      <c r="V422" s="6">
        <v>0</v>
      </c>
      <c r="W422" s="43">
        <f>VLOOKUP(Tabla1[[#This Row],[PAGO DIA]],DIAS!A:I,9,0)</f>
        <v>46295</v>
      </c>
      <c r="X422" s="6">
        <v>0</v>
      </c>
      <c r="Y422" s="43">
        <f>VLOOKUP(Tabla1[[#This Row],[PAGO DIA]],DIAS!A:J,10,0)</f>
        <v>46325</v>
      </c>
      <c r="Z422" s="6">
        <v>0</v>
      </c>
      <c r="AA422" s="43">
        <f>VLOOKUP(Tabla1[[#This Row],[PAGO DIA]],DIAS!A:K,11,0)</f>
        <v>46356</v>
      </c>
      <c r="AB422" s="6">
        <v>0</v>
      </c>
      <c r="AC422" s="43">
        <f>VLOOKUP(Tabla1[[#This Row],[PAGO DIA]],DIAS!A:M,12,0)</f>
        <v>46386</v>
      </c>
      <c r="AD4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3" spans="1:30">
      <c r="A423" s="3">
        <v>12721</v>
      </c>
      <c r="B423" s="3" t="s">
        <v>604</v>
      </c>
      <c r="C423" s="3" t="s">
        <v>605</v>
      </c>
      <c r="D423" s="3" t="s">
        <v>540</v>
      </c>
      <c r="E423" s="3" t="s">
        <v>1041</v>
      </c>
      <c r="F423" s="42" t="s">
        <v>631</v>
      </c>
      <c r="G423" s="3" t="s">
        <v>1053</v>
      </c>
      <c r="H423" s="6">
        <v>0</v>
      </c>
      <c r="I423" s="41">
        <f>VLOOKUP(Tabla1[[#This Row],[PAGO DIA]],DIAS!A:B,2,0)</f>
        <v>46080</v>
      </c>
      <c r="J423" s="6">
        <v>0</v>
      </c>
      <c r="K423" s="43">
        <f>VLOOKUP(Tabla1[[#This Row],[PAGO DIA]],DIAS!A:C,3,0)</f>
        <v>46112</v>
      </c>
      <c r="L423" s="6">
        <v>0</v>
      </c>
      <c r="M423" s="41">
        <f>VLOOKUP(Tabla1[[#This Row],[PAGO DIA]],DIAS!A:D,4,0)</f>
        <v>46142</v>
      </c>
      <c r="N423" s="6">
        <v>0</v>
      </c>
      <c r="O423" s="43">
        <f>VLOOKUP(Tabla1[[#This Row],[PAGO DIA]],DIAS!A:E,5,0)</f>
        <v>46171</v>
      </c>
      <c r="P423" s="6">
        <v>0</v>
      </c>
      <c r="Q423" s="43">
        <f>VLOOKUP(Tabla1[[#This Row],[PAGO DIA]],DIAS!A:F,6,0)</f>
        <v>46203</v>
      </c>
      <c r="R423" s="6">
        <v>0</v>
      </c>
      <c r="S423" s="43">
        <f>VLOOKUP(Tabla1[[#This Row],[PAGO DIA]],DIAS!A:G,7,0)</f>
        <v>46234</v>
      </c>
      <c r="T423" s="6">
        <v>0</v>
      </c>
      <c r="U423" s="43">
        <f>VLOOKUP(Tabla1[[#This Row],[PAGO DIA]],DIAS!A:H,8,0)</f>
        <v>46265</v>
      </c>
      <c r="V423" s="6">
        <v>0</v>
      </c>
      <c r="W423" s="43">
        <f>VLOOKUP(Tabla1[[#This Row],[PAGO DIA]],DIAS!A:I,9,0)</f>
        <v>46295</v>
      </c>
      <c r="X423" s="6">
        <v>0</v>
      </c>
      <c r="Y423" s="43">
        <f>VLOOKUP(Tabla1[[#This Row],[PAGO DIA]],DIAS!A:J,10,0)</f>
        <v>46325</v>
      </c>
      <c r="Z423" s="6">
        <v>0</v>
      </c>
      <c r="AA423" s="43">
        <f>VLOOKUP(Tabla1[[#This Row],[PAGO DIA]],DIAS!A:K,11,0)</f>
        <v>46356</v>
      </c>
      <c r="AB423" s="6">
        <v>0</v>
      </c>
      <c r="AC423" s="43">
        <f>VLOOKUP(Tabla1[[#This Row],[PAGO DIA]],DIAS!A:M,12,0)</f>
        <v>46386</v>
      </c>
      <c r="AD4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4" spans="1:30">
      <c r="A424" s="3">
        <v>12743</v>
      </c>
      <c r="B424" s="3" t="s">
        <v>604</v>
      </c>
      <c r="C424" s="3" t="s">
        <v>605</v>
      </c>
      <c r="D424" s="3" t="s">
        <v>540</v>
      </c>
      <c r="E424" s="3" t="s">
        <v>1041</v>
      </c>
      <c r="F424" s="42" t="s">
        <v>631</v>
      </c>
      <c r="G424" s="3" t="s">
        <v>1054</v>
      </c>
      <c r="H424" s="6">
        <v>0</v>
      </c>
      <c r="I424" s="41">
        <f>VLOOKUP(Tabla1[[#This Row],[PAGO DIA]],DIAS!A:B,2,0)</f>
        <v>46080</v>
      </c>
      <c r="J424" s="6">
        <v>0</v>
      </c>
      <c r="K424" s="43">
        <f>VLOOKUP(Tabla1[[#This Row],[PAGO DIA]],DIAS!A:C,3,0)</f>
        <v>46112</v>
      </c>
      <c r="L424" s="6">
        <v>0</v>
      </c>
      <c r="M424" s="41">
        <f>VLOOKUP(Tabla1[[#This Row],[PAGO DIA]],DIAS!A:D,4,0)</f>
        <v>46142</v>
      </c>
      <c r="N424" s="6">
        <v>0</v>
      </c>
      <c r="O424" s="43">
        <f>VLOOKUP(Tabla1[[#This Row],[PAGO DIA]],DIAS!A:E,5,0)</f>
        <v>46171</v>
      </c>
      <c r="P424" s="6">
        <v>0</v>
      </c>
      <c r="Q424" s="43">
        <f>VLOOKUP(Tabla1[[#This Row],[PAGO DIA]],DIAS!A:F,6,0)</f>
        <v>46203</v>
      </c>
      <c r="R424" s="6">
        <v>0</v>
      </c>
      <c r="S424" s="43">
        <f>VLOOKUP(Tabla1[[#This Row],[PAGO DIA]],DIAS!A:G,7,0)</f>
        <v>46234</v>
      </c>
      <c r="T424" s="6">
        <v>0</v>
      </c>
      <c r="U424" s="43">
        <f>VLOOKUP(Tabla1[[#This Row],[PAGO DIA]],DIAS!A:H,8,0)</f>
        <v>46265</v>
      </c>
      <c r="V424" s="6">
        <v>0</v>
      </c>
      <c r="W424" s="43">
        <f>VLOOKUP(Tabla1[[#This Row],[PAGO DIA]],DIAS!A:I,9,0)</f>
        <v>46295</v>
      </c>
      <c r="X424" s="6">
        <v>0</v>
      </c>
      <c r="Y424" s="43">
        <f>VLOOKUP(Tabla1[[#This Row],[PAGO DIA]],DIAS!A:J,10,0)</f>
        <v>46325</v>
      </c>
      <c r="Z424" s="6">
        <v>0</v>
      </c>
      <c r="AA424" s="43">
        <f>VLOOKUP(Tabla1[[#This Row],[PAGO DIA]],DIAS!A:K,11,0)</f>
        <v>46356</v>
      </c>
      <c r="AB424" s="6">
        <v>0</v>
      </c>
      <c r="AC424" s="43">
        <f>VLOOKUP(Tabla1[[#This Row],[PAGO DIA]],DIAS!A:M,12,0)</f>
        <v>46386</v>
      </c>
      <c r="AD4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5" spans="1:30">
      <c r="A425" s="3">
        <v>12757</v>
      </c>
      <c r="B425" s="3" t="s">
        <v>604</v>
      </c>
      <c r="C425" s="3" t="s">
        <v>605</v>
      </c>
      <c r="D425" s="3" t="s">
        <v>540</v>
      </c>
      <c r="E425" s="3" t="s">
        <v>1041</v>
      </c>
      <c r="F425" s="42" t="s">
        <v>631</v>
      </c>
      <c r="G425" s="3" t="s">
        <v>1055</v>
      </c>
      <c r="H425" s="6">
        <v>0</v>
      </c>
      <c r="I425" s="41">
        <f>VLOOKUP(Tabla1[[#This Row],[PAGO DIA]],DIAS!A:B,2,0)</f>
        <v>46080</v>
      </c>
      <c r="J425" s="6">
        <v>0</v>
      </c>
      <c r="K425" s="43">
        <f>VLOOKUP(Tabla1[[#This Row],[PAGO DIA]],DIAS!A:C,3,0)</f>
        <v>46112</v>
      </c>
      <c r="L425" s="6">
        <v>0</v>
      </c>
      <c r="M425" s="41">
        <f>VLOOKUP(Tabla1[[#This Row],[PAGO DIA]],DIAS!A:D,4,0)</f>
        <v>46142</v>
      </c>
      <c r="N425" s="6">
        <v>0</v>
      </c>
      <c r="O425" s="43">
        <f>VLOOKUP(Tabla1[[#This Row],[PAGO DIA]],DIAS!A:E,5,0)</f>
        <v>46171</v>
      </c>
      <c r="P425" s="6">
        <v>0</v>
      </c>
      <c r="Q425" s="43">
        <f>VLOOKUP(Tabla1[[#This Row],[PAGO DIA]],DIAS!A:F,6,0)</f>
        <v>46203</v>
      </c>
      <c r="R425" s="6">
        <v>0</v>
      </c>
      <c r="S425" s="43">
        <f>VLOOKUP(Tabla1[[#This Row],[PAGO DIA]],DIAS!A:G,7,0)</f>
        <v>46234</v>
      </c>
      <c r="T425" s="6">
        <v>0</v>
      </c>
      <c r="U425" s="43">
        <f>VLOOKUP(Tabla1[[#This Row],[PAGO DIA]],DIAS!A:H,8,0)</f>
        <v>46265</v>
      </c>
      <c r="V425" s="6">
        <v>0</v>
      </c>
      <c r="W425" s="43">
        <f>VLOOKUP(Tabla1[[#This Row],[PAGO DIA]],DIAS!A:I,9,0)</f>
        <v>46295</v>
      </c>
      <c r="X425" s="6">
        <v>0</v>
      </c>
      <c r="Y425" s="43">
        <f>VLOOKUP(Tabla1[[#This Row],[PAGO DIA]],DIAS!A:J,10,0)</f>
        <v>46325</v>
      </c>
      <c r="Z425" s="6">
        <v>0</v>
      </c>
      <c r="AA425" s="43">
        <f>VLOOKUP(Tabla1[[#This Row],[PAGO DIA]],DIAS!A:K,11,0)</f>
        <v>46356</v>
      </c>
      <c r="AB425" s="6">
        <v>0</v>
      </c>
      <c r="AC425" s="43">
        <f>VLOOKUP(Tabla1[[#This Row],[PAGO DIA]],DIAS!A:M,12,0)</f>
        <v>46386</v>
      </c>
      <c r="AD4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6" spans="1:30">
      <c r="A426" s="3">
        <v>12737</v>
      </c>
      <c r="B426" s="3" t="s">
        <v>604</v>
      </c>
      <c r="C426" s="3" t="s">
        <v>605</v>
      </c>
      <c r="D426" s="3" t="s">
        <v>540</v>
      </c>
      <c r="E426" s="3" t="s">
        <v>1056</v>
      </c>
      <c r="F426" s="42" t="s">
        <v>631</v>
      </c>
      <c r="G426" s="3" t="s">
        <v>1057</v>
      </c>
      <c r="H426" s="6">
        <v>0</v>
      </c>
      <c r="I426" s="41">
        <f>VLOOKUP(Tabla1[[#This Row],[PAGO DIA]],DIAS!A:B,2,0)</f>
        <v>46080</v>
      </c>
      <c r="J426" s="6">
        <v>0</v>
      </c>
      <c r="K426" s="43">
        <f>VLOOKUP(Tabla1[[#This Row],[PAGO DIA]],DIAS!A:C,3,0)</f>
        <v>46112</v>
      </c>
      <c r="L426" s="6">
        <v>0</v>
      </c>
      <c r="M426" s="41">
        <f>VLOOKUP(Tabla1[[#This Row],[PAGO DIA]],DIAS!A:D,4,0)</f>
        <v>46142</v>
      </c>
      <c r="N426" s="6">
        <v>0</v>
      </c>
      <c r="O426" s="43">
        <f>VLOOKUP(Tabla1[[#This Row],[PAGO DIA]],DIAS!A:E,5,0)</f>
        <v>46171</v>
      </c>
      <c r="P426" s="6">
        <v>0</v>
      </c>
      <c r="Q426" s="43">
        <f>VLOOKUP(Tabla1[[#This Row],[PAGO DIA]],DIAS!A:F,6,0)</f>
        <v>46203</v>
      </c>
      <c r="R426" s="6">
        <v>0</v>
      </c>
      <c r="S426" s="43">
        <f>VLOOKUP(Tabla1[[#This Row],[PAGO DIA]],DIAS!A:G,7,0)</f>
        <v>46234</v>
      </c>
      <c r="T426" s="6">
        <v>0</v>
      </c>
      <c r="U426" s="43">
        <f>VLOOKUP(Tabla1[[#This Row],[PAGO DIA]],DIAS!A:H,8,0)</f>
        <v>46265</v>
      </c>
      <c r="V426" s="6">
        <v>0</v>
      </c>
      <c r="W426" s="43">
        <f>VLOOKUP(Tabla1[[#This Row],[PAGO DIA]],DIAS!A:I,9,0)</f>
        <v>46295</v>
      </c>
      <c r="X426" s="6">
        <v>0</v>
      </c>
      <c r="Y426" s="43">
        <f>VLOOKUP(Tabla1[[#This Row],[PAGO DIA]],DIAS!A:J,10,0)</f>
        <v>46325</v>
      </c>
      <c r="Z426" s="6">
        <v>0</v>
      </c>
      <c r="AA426" s="43">
        <f>VLOOKUP(Tabla1[[#This Row],[PAGO DIA]],DIAS!A:K,11,0)</f>
        <v>46356</v>
      </c>
      <c r="AB426" s="6">
        <v>0</v>
      </c>
      <c r="AC426" s="43">
        <f>VLOOKUP(Tabla1[[#This Row],[PAGO DIA]],DIAS!A:M,12,0)</f>
        <v>46386</v>
      </c>
      <c r="AD4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7" spans="1:30">
      <c r="A427" s="3">
        <v>12752</v>
      </c>
      <c r="B427" s="3" t="s">
        <v>604</v>
      </c>
      <c r="C427" s="3" t="s">
        <v>605</v>
      </c>
      <c r="D427" s="3" t="s">
        <v>540</v>
      </c>
      <c r="E427" s="3" t="s">
        <v>1056</v>
      </c>
      <c r="F427" s="42" t="s">
        <v>631</v>
      </c>
      <c r="G427" s="3" t="s">
        <v>1058</v>
      </c>
      <c r="H427" s="6">
        <v>0</v>
      </c>
      <c r="I427" s="41">
        <f>VLOOKUP(Tabla1[[#This Row],[PAGO DIA]],DIAS!A:B,2,0)</f>
        <v>46080</v>
      </c>
      <c r="J427" s="6">
        <v>0</v>
      </c>
      <c r="K427" s="43">
        <f>VLOOKUP(Tabla1[[#This Row],[PAGO DIA]],DIAS!A:C,3,0)</f>
        <v>46112</v>
      </c>
      <c r="L427" s="6">
        <v>0</v>
      </c>
      <c r="M427" s="41">
        <f>VLOOKUP(Tabla1[[#This Row],[PAGO DIA]],DIAS!A:D,4,0)</f>
        <v>46142</v>
      </c>
      <c r="N427" s="6">
        <v>0</v>
      </c>
      <c r="O427" s="43">
        <f>VLOOKUP(Tabla1[[#This Row],[PAGO DIA]],DIAS!A:E,5,0)</f>
        <v>46171</v>
      </c>
      <c r="P427" s="6">
        <v>0</v>
      </c>
      <c r="Q427" s="43">
        <f>VLOOKUP(Tabla1[[#This Row],[PAGO DIA]],DIAS!A:F,6,0)</f>
        <v>46203</v>
      </c>
      <c r="R427" s="6">
        <v>0</v>
      </c>
      <c r="S427" s="43">
        <f>VLOOKUP(Tabla1[[#This Row],[PAGO DIA]],DIAS!A:G,7,0)</f>
        <v>46234</v>
      </c>
      <c r="T427" s="6">
        <v>0</v>
      </c>
      <c r="U427" s="43">
        <f>VLOOKUP(Tabla1[[#This Row],[PAGO DIA]],DIAS!A:H,8,0)</f>
        <v>46265</v>
      </c>
      <c r="V427" s="6">
        <v>0</v>
      </c>
      <c r="W427" s="43">
        <f>VLOOKUP(Tabla1[[#This Row],[PAGO DIA]],DIAS!A:I,9,0)</f>
        <v>46295</v>
      </c>
      <c r="X427" s="6">
        <v>0</v>
      </c>
      <c r="Y427" s="43">
        <f>VLOOKUP(Tabla1[[#This Row],[PAGO DIA]],DIAS!A:J,10,0)</f>
        <v>46325</v>
      </c>
      <c r="Z427" s="6">
        <v>0</v>
      </c>
      <c r="AA427" s="43">
        <f>VLOOKUP(Tabla1[[#This Row],[PAGO DIA]],DIAS!A:K,11,0)</f>
        <v>46356</v>
      </c>
      <c r="AB427" s="6">
        <v>0</v>
      </c>
      <c r="AC427" s="43">
        <f>VLOOKUP(Tabla1[[#This Row],[PAGO DIA]],DIAS!A:M,12,0)</f>
        <v>46386</v>
      </c>
      <c r="AD4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8" spans="1:30">
      <c r="A428" s="3">
        <v>11671</v>
      </c>
      <c r="B428" s="3" t="s">
        <v>604</v>
      </c>
      <c r="C428" s="3" t="s">
        <v>540</v>
      </c>
      <c r="D428" s="3" t="s">
        <v>540</v>
      </c>
      <c r="E428" s="3" t="s">
        <v>1059</v>
      </c>
      <c r="F428" s="42" t="s">
        <v>631</v>
      </c>
      <c r="G428" s="3" t="s">
        <v>1060</v>
      </c>
      <c r="H428" s="6">
        <v>0</v>
      </c>
      <c r="I428" s="41">
        <f>VLOOKUP(Tabla1[[#This Row],[PAGO DIA]],DIAS!A:B,2,0)</f>
        <v>46080</v>
      </c>
      <c r="J428" s="6">
        <v>0</v>
      </c>
      <c r="K428" s="43">
        <f>VLOOKUP(Tabla1[[#This Row],[PAGO DIA]],DIAS!A:C,3,0)</f>
        <v>46112</v>
      </c>
      <c r="L428" s="6">
        <v>0</v>
      </c>
      <c r="M428" s="41">
        <f>VLOOKUP(Tabla1[[#This Row],[PAGO DIA]],DIAS!A:D,4,0)</f>
        <v>46142</v>
      </c>
      <c r="N428" s="6">
        <v>0</v>
      </c>
      <c r="O428" s="43">
        <f>VLOOKUP(Tabla1[[#This Row],[PAGO DIA]],DIAS!A:E,5,0)</f>
        <v>46171</v>
      </c>
      <c r="P428" s="6">
        <v>0</v>
      </c>
      <c r="Q428" s="43">
        <f>VLOOKUP(Tabla1[[#This Row],[PAGO DIA]],DIAS!A:F,6,0)</f>
        <v>46203</v>
      </c>
      <c r="R428" s="6">
        <v>0</v>
      </c>
      <c r="S428" s="43">
        <f>VLOOKUP(Tabla1[[#This Row],[PAGO DIA]],DIAS!A:G,7,0)</f>
        <v>46234</v>
      </c>
      <c r="T428" s="6">
        <v>0</v>
      </c>
      <c r="U428" s="43">
        <f>VLOOKUP(Tabla1[[#This Row],[PAGO DIA]],DIAS!A:H,8,0)</f>
        <v>46265</v>
      </c>
      <c r="V428" s="6">
        <v>0</v>
      </c>
      <c r="W428" s="43">
        <f>VLOOKUP(Tabla1[[#This Row],[PAGO DIA]],DIAS!A:I,9,0)</f>
        <v>46295</v>
      </c>
      <c r="X428" s="6">
        <v>0</v>
      </c>
      <c r="Y428" s="43">
        <f>VLOOKUP(Tabla1[[#This Row],[PAGO DIA]],DIAS!A:J,10,0)</f>
        <v>46325</v>
      </c>
      <c r="Z428" s="6">
        <v>0</v>
      </c>
      <c r="AA428" s="43">
        <f>VLOOKUP(Tabla1[[#This Row],[PAGO DIA]],DIAS!A:K,11,0)</f>
        <v>46356</v>
      </c>
      <c r="AB428" s="6">
        <v>0</v>
      </c>
      <c r="AC428" s="43">
        <f>VLOOKUP(Tabla1[[#This Row],[PAGO DIA]],DIAS!A:M,12,0)</f>
        <v>46386</v>
      </c>
      <c r="AD4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29" spans="1:30">
      <c r="A429" s="3">
        <v>11672</v>
      </c>
      <c r="B429" s="3" t="s">
        <v>604</v>
      </c>
      <c r="C429" s="3" t="s">
        <v>540</v>
      </c>
      <c r="D429" s="3" t="s">
        <v>540</v>
      </c>
      <c r="E429" s="3" t="s">
        <v>1059</v>
      </c>
      <c r="F429" s="42" t="s">
        <v>631</v>
      </c>
      <c r="G429" s="3" t="s">
        <v>1061</v>
      </c>
      <c r="H429" s="6">
        <v>0</v>
      </c>
      <c r="I429" s="41">
        <f>VLOOKUP(Tabla1[[#This Row],[PAGO DIA]],DIAS!A:B,2,0)</f>
        <v>46080</v>
      </c>
      <c r="J429" s="6">
        <v>0</v>
      </c>
      <c r="K429" s="43">
        <f>VLOOKUP(Tabla1[[#This Row],[PAGO DIA]],DIAS!A:C,3,0)</f>
        <v>46112</v>
      </c>
      <c r="L429" s="6">
        <v>0</v>
      </c>
      <c r="M429" s="41">
        <f>VLOOKUP(Tabla1[[#This Row],[PAGO DIA]],DIAS!A:D,4,0)</f>
        <v>46142</v>
      </c>
      <c r="N429" s="6">
        <v>0</v>
      </c>
      <c r="O429" s="43">
        <f>VLOOKUP(Tabla1[[#This Row],[PAGO DIA]],DIAS!A:E,5,0)</f>
        <v>46171</v>
      </c>
      <c r="P429" s="6">
        <v>0</v>
      </c>
      <c r="Q429" s="43">
        <f>VLOOKUP(Tabla1[[#This Row],[PAGO DIA]],DIAS!A:F,6,0)</f>
        <v>46203</v>
      </c>
      <c r="R429" s="6">
        <v>0</v>
      </c>
      <c r="S429" s="43">
        <f>VLOOKUP(Tabla1[[#This Row],[PAGO DIA]],DIAS!A:G,7,0)</f>
        <v>46234</v>
      </c>
      <c r="T429" s="6">
        <v>0</v>
      </c>
      <c r="U429" s="43">
        <f>VLOOKUP(Tabla1[[#This Row],[PAGO DIA]],DIAS!A:H,8,0)</f>
        <v>46265</v>
      </c>
      <c r="V429" s="6">
        <v>0</v>
      </c>
      <c r="W429" s="43">
        <f>VLOOKUP(Tabla1[[#This Row],[PAGO DIA]],DIAS!A:I,9,0)</f>
        <v>46295</v>
      </c>
      <c r="X429" s="6">
        <v>0</v>
      </c>
      <c r="Y429" s="43">
        <f>VLOOKUP(Tabla1[[#This Row],[PAGO DIA]],DIAS!A:J,10,0)</f>
        <v>46325</v>
      </c>
      <c r="Z429" s="6">
        <v>0</v>
      </c>
      <c r="AA429" s="43">
        <f>VLOOKUP(Tabla1[[#This Row],[PAGO DIA]],DIAS!A:K,11,0)</f>
        <v>46356</v>
      </c>
      <c r="AB429" s="6">
        <v>0</v>
      </c>
      <c r="AC429" s="43">
        <f>VLOOKUP(Tabla1[[#This Row],[PAGO DIA]],DIAS!A:M,12,0)</f>
        <v>46386</v>
      </c>
      <c r="AD4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0" spans="1:30">
      <c r="A430" s="3">
        <v>11673</v>
      </c>
      <c r="B430" s="3" t="s">
        <v>604</v>
      </c>
      <c r="C430" s="3" t="s">
        <v>540</v>
      </c>
      <c r="D430" s="3" t="s">
        <v>540</v>
      </c>
      <c r="E430" s="3" t="s">
        <v>1059</v>
      </c>
      <c r="F430" s="42" t="s">
        <v>631</v>
      </c>
      <c r="G430" s="3" t="s">
        <v>1062</v>
      </c>
      <c r="H430" s="6">
        <v>0</v>
      </c>
      <c r="I430" s="41">
        <f>VLOOKUP(Tabla1[[#This Row],[PAGO DIA]],DIAS!A:B,2,0)</f>
        <v>46080</v>
      </c>
      <c r="J430" s="6">
        <v>0</v>
      </c>
      <c r="K430" s="43">
        <f>VLOOKUP(Tabla1[[#This Row],[PAGO DIA]],DIAS!A:C,3,0)</f>
        <v>46112</v>
      </c>
      <c r="L430" s="6">
        <v>0</v>
      </c>
      <c r="M430" s="41">
        <f>VLOOKUP(Tabla1[[#This Row],[PAGO DIA]],DIAS!A:D,4,0)</f>
        <v>46142</v>
      </c>
      <c r="N430" s="6">
        <v>0</v>
      </c>
      <c r="O430" s="43">
        <f>VLOOKUP(Tabla1[[#This Row],[PAGO DIA]],DIAS!A:E,5,0)</f>
        <v>46171</v>
      </c>
      <c r="P430" s="6">
        <v>0</v>
      </c>
      <c r="Q430" s="43">
        <f>VLOOKUP(Tabla1[[#This Row],[PAGO DIA]],DIAS!A:F,6,0)</f>
        <v>46203</v>
      </c>
      <c r="R430" s="6">
        <v>0</v>
      </c>
      <c r="S430" s="43">
        <f>VLOOKUP(Tabla1[[#This Row],[PAGO DIA]],DIAS!A:G,7,0)</f>
        <v>46234</v>
      </c>
      <c r="T430" s="6">
        <v>0</v>
      </c>
      <c r="U430" s="43">
        <f>VLOOKUP(Tabla1[[#This Row],[PAGO DIA]],DIAS!A:H,8,0)</f>
        <v>46265</v>
      </c>
      <c r="V430" s="6">
        <v>0</v>
      </c>
      <c r="W430" s="43">
        <f>VLOOKUP(Tabla1[[#This Row],[PAGO DIA]],DIAS!A:I,9,0)</f>
        <v>46295</v>
      </c>
      <c r="X430" s="6">
        <v>0</v>
      </c>
      <c r="Y430" s="43">
        <f>VLOOKUP(Tabla1[[#This Row],[PAGO DIA]],DIAS!A:J,10,0)</f>
        <v>46325</v>
      </c>
      <c r="Z430" s="6">
        <v>0</v>
      </c>
      <c r="AA430" s="43">
        <f>VLOOKUP(Tabla1[[#This Row],[PAGO DIA]],DIAS!A:K,11,0)</f>
        <v>46356</v>
      </c>
      <c r="AB430" s="6">
        <v>0</v>
      </c>
      <c r="AC430" s="43">
        <f>VLOOKUP(Tabla1[[#This Row],[PAGO DIA]],DIAS!A:M,12,0)</f>
        <v>46386</v>
      </c>
      <c r="AD4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1" spans="1:30">
      <c r="A431" s="3">
        <v>11674</v>
      </c>
      <c r="B431" s="3" t="s">
        <v>604</v>
      </c>
      <c r="C431" s="3" t="s">
        <v>540</v>
      </c>
      <c r="D431" s="3" t="s">
        <v>540</v>
      </c>
      <c r="E431" s="3" t="s">
        <v>1059</v>
      </c>
      <c r="F431" s="42" t="s">
        <v>631</v>
      </c>
      <c r="G431" s="3" t="s">
        <v>1063</v>
      </c>
      <c r="H431" s="6">
        <v>0</v>
      </c>
      <c r="I431" s="41">
        <f>VLOOKUP(Tabla1[[#This Row],[PAGO DIA]],DIAS!A:B,2,0)</f>
        <v>46080</v>
      </c>
      <c r="J431" s="6">
        <v>0</v>
      </c>
      <c r="K431" s="43">
        <f>VLOOKUP(Tabla1[[#This Row],[PAGO DIA]],DIAS!A:C,3,0)</f>
        <v>46112</v>
      </c>
      <c r="L431" s="6">
        <v>0</v>
      </c>
      <c r="M431" s="41">
        <f>VLOOKUP(Tabla1[[#This Row],[PAGO DIA]],DIAS!A:D,4,0)</f>
        <v>46142</v>
      </c>
      <c r="N431" s="6">
        <v>0</v>
      </c>
      <c r="O431" s="43">
        <f>VLOOKUP(Tabla1[[#This Row],[PAGO DIA]],DIAS!A:E,5,0)</f>
        <v>46171</v>
      </c>
      <c r="P431" s="6">
        <v>0</v>
      </c>
      <c r="Q431" s="43">
        <f>VLOOKUP(Tabla1[[#This Row],[PAGO DIA]],DIAS!A:F,6,0)</f>
        <v>46203</v>
      </c>
      <c r="R431" s="6">
        <v>0</v>
      </c>
      <c r="S431" s="43">
        <f>VLOOKUP(Tabla1[[#This Row],[PAGO DIA]],DIAS!A:G,7,0)</f>
        <v>46234</v>
      </c>
      <c r="T431" s="6">
        <v>0</v>
      </c>
      <c r="U431" s="43">
        <f>VLOOKUP(Tabla1[[#This Row],[PAGO DIA]],DIAS!A:H,8,0)</f>
        <v>46265</v>
      </c>
      <c r="V431" s="6">
        <v>0</v>
      </c>
      <c r="W431" s="43">
        <f>VLOOKUP(Tabla1[[#This Row],[PAGO DIA]],DIAS!A:I,9,0)</f>
        <v>46295</v>
      </c>
      <c r="X431" s="6">
        <v>0</v>
      </c>
      <c r="Y431" s="43">
        <f>VLOOKUP(Tabla1[[#This Row],[PAGO DIA]],DIAS!A:J,10,0)</f>
        <v>46325</v>
      </c>
      <c r="Z431" s="6">
        <v>0</v>
      </c>
      <c r="AA431" s="43">
        <f>VLOOKUP(Tabla1[[#This Row],[PAGO DIA]],DIAS!A:K,11,0)</f>
        <v>46356</v>
      </c>
      <c r="AB431" s="6">
        <v>0</v>
      </c>
      <c r="AC431" s="43">
        <f>VLOOKUP(Tabla1[[#This Row],[PAGO DIA]],DIAS!A:M,12,0)</f>
        <v>46386</v>
      </c>
      <c r="AD4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2" spans="1:30">
      <c r="A432" s="3">
        <v>11675</v>
      </c>
      <c r="B432" s="3" t="s">
        <v>604</v>
      </c>
      <c r="C432" s="3" t="s">
        <v>540</v>
      </c>
      <c r="D432" s="3" t="s">
        <v>540</v>
      </c>
      <c r="E432" s="3" t="s">
        <v>1059</v>
      </c>
      <c r="F432" s="42" t="s">
        <v>631</v>
      </c>
      <c r="G432" s="3" t="s">
        <v>1064</v>
      </c>
      <c r="H432" s="6">
        <v>0</v>
      </c>
      <c r="I432" s="41">
        <f>VLOOKUP(Tabla1[[#This Row],[PAGO DIA]],DIAS!A:B,2,0)</f>
        <v>46080</v>
      </c>
      <c r="J432" s="6">
        <v>0</v>
      </c>
      <c r="K432" s="43">
        <f>VLOOKUP(Tabla1[[#This Row],[PAGO DIA]],DIAS!A:C,3,0)</f>
        <v>46112</v>
      </c>
      <c r="L432" s="6">
        <v>0</v>
      </c>
      <c r="M432" s="41">
        <f>VLOOKUP(Tabla1[[#This Row],[PAGO DIA]],DIAS!A:D,4,0)</f>
        <v>46142</v>
      </c>
      <c r="N432" s="6">
        <v>0</v>
      </c>
      <c r="O432" s="43">
        <f>VLOOKUP(Tabla1[[#This Row],[PAGO DIA]],DIAS!A:E,5,0)</f>
        <v>46171</v>
      </c>
      <c r="P432" s="6">
        <v>0</v>
      </c>
      <c r="Q432" s="43">
        <f>VLOOKUP(Tabla1[[#This Row],[PAGO DIA]],DIAS!A:F,6,0)</f>
        <v>46203</v>
      </c>
      <c r="R432" s="6">
        <v>0</v>
      </c>
      <c r="S432" s="43">
        <f>VLOOKUP(Tabla1[[#This Row],[PAGO DIA]],DIAS!A:G,7,0)</f>
        <v>46234</v>
      </c>
      <c r="T432" s="6">
        <v>0</v>
      </c>
      <c r="U432" s="43">
        <f>VLOOKUP(Tabla1[[#This Row],[PAGO DIA]],DIAS!A:H,8,0)</f>
        <v>46265</v>
      </c>
      <c r="V432" s="6">
        <v>0</v>
      </c>
      <c r="W432" s="43">
        <f>VLOOKUP(Tabla1[[#This Row],[PAGO DIA]],DIAS!A:I,9,0)</f>
        <v>46295</v>
      </c>
      <c r="X432" s="6">
        <v>0</v>
      </c>
      <c r="Y432" s="43">
        <f>VLOOKUP(Tabla1[[#This Row],[PAGO DIA]],DIAS!A:J,10,0)</f>
        <v>46325</v>
      </c>
      <c r="Z432" s="6">
        <v>0</v>
      </c>
      <c r="AA432" s="43">
        <f>VLOOKUP(Tabla1[[#This Row],[PAGO DIA]],DIAS!A:K,11,0)</f>
        <v>46356</v>
      </c>
      <c r="AB432" s="6">
        <v>0</v>
      </c>
      <c r="AC432" s="43">
        <f>VLOOKUP(Tabla1[[#This Row],[PAGO DIA]],DIAS!A:M,12,0)</f>
        <v>46386</v>
      </c>
      <c r="AD4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3" spans="1:30">
      <c r="A433" s="3">
        <v>11676</v>
      </c>
      <c r="B433" s="3" t="s">
        <v>604</v>
      </c>
      <c r="C433" s="3" t="s">
        <v>540</v>
      </c>
      <c r="D433" s="3" t="s">
        <v>540</v>
      </c>
      <c r="E433" s="3" t="s">
        <v>1059</v>
      </c>
      <c r="F433" s="42" t="s">
        <v>631</v>
      </c>
      <c r="G433" s="3" t="s">
        <v>1065</v>
      </c>
      <c r="H433" s="6">
        <v>0</v>
      </c>
      <c r="I433" s="41">
        <f>VLOOKUP(Tabla1[[#This Row],[PAGO DIA]],DIAS!A:B,2,0)</f>
        <v>46080</v>
      </c>
      <c r="J433" s="6">
        <v>0</v>
      </c>
      <c r="K433" s="43">
        <f>VLOOKUP(Tabla1[[#This Row],[PAGO DIA]],DIAS!A:C,3,0)</f>
        <v>46112</v>
      </c>
      <c r="L433" s="6">
        <v>0</v>
      </c>
      <c r="M433" s="41">
        <f>VLOOKUP(Tabla1[[#This Row],[PAGO DIA]],DIAS!A:D,4,0)</f>
        <v>46142</v>
      </c>
      <c r="N433" s="6">
        <v>0</v>
      </c>
      <c r="O433" s="43">
        <f>VLOOKUP(Tabla1[[#This Row],[PAGO DIA]],DIAS!A:E,5,0)</f>
        <v>46171</v>
      </c>
      <c r="P433" s="6">
        <v>0</v>
      </c>
      <c r="Q433" s="43">
        <f>VLOOKUP(Tabla1[[#This Row],[PAGO DIA]],DIAS!A:F,6,0)</f>
        <v>46203</v>
      </c>
      <c r="R433" s="6">
        <v>0</v>
      </c>
      <c r="S433" s="43">
        <f>VLOOKUP(Tabla1[[#This Row],[PAGO DIA]],DIAS!A:G,7,0)</f>
        <v>46234</v>
      </c>
      <c r="T433" s="6">
        <v>0</v>
      </c>
      <c r="U433" s="43">
        <f>VLOOKUP(Tabla1[[#This Row],[PAGO DIA]],DIAS!A:H,8,0)</f>
        <v>46265</v>
      </c>
      <c r="V433" s="6">
        <v>0</v>
      </c>
      <c r="W433" s="43">
        <f>VLOOKUP(Tabla1[[#This Row],[PAGO DIA]],DIAS!A:I,9,0)</f>
        <v>46295</v>
      </c>
      <c r="X433" s="6">
        <v>0</v>
      </c>
      <c r="Y433" s="43">
        <f>VLOOKUP(Tabla1[[#This Row],[PAGO DIA]],DIAS!A:J,10,0)</f>
        <v>46325</v>
      </c>
      <c r="Z433" s="6">
        <v>0</v>
      </c>
      <c r="AA433" s="43">
        <f>VLOOKUP(Tabla1[[#This Row],[PAGO DIA]],DIAS!A:K,11,0)</f>
        <v>46356</v>
      </c>
      <c r="AB433" s="6">
        <v>0</v>
      </c>
      <c r="AC433" s="43">
        <f>VLOOKUP(Tabla1[[#This Row],[PAGO DIA]],DIAS!A:M,12,0)</f>
        <v>46386</v>
      </c>
      <c r="AD4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4" spans="1:30">
      <c r="A434" s="3">
        <v>11677</v>
      </c>
      <c r="B434" s="3" t="s">
        <v>604</v>
      </c>
      <c r="C434" s="3" t="s">
        <v>540</v>
      </c>
      <c r="D434" s="3" t="s">
        <v>540</v>
      </c>
      <c r="E434" s="3" t="s">
        <v>1059</v>
      </c>
      <c r="F434" s="42" t="s">
        <v>631</v>
      </c>
      <c r="G434" s="3" t="s">
        <v>1066</v>
      </c>
      <c r="H434" s="6">
        <v>0</v>
      </c>
      <c r="I434" s="41">
        <f>VLOOKUP(Tabla1[[#This Row],[PAGO DIA]],DIAS!A:B,2,0)</f>
        <v>46080</v>
      </c>
      <c r="J434" s="6">
        <v>0</v>
      </c>
      <c r="K434" s="43">
        <f>VLOOKUP(Tabla1[[#This Row],[PAGO DIA]],DIAS!A:C,3,0)</f>
        <v>46112</v>
      </c>
      <c r="L434" s="6">
        <v>0</v>
      </c>
      <c r="M434" s="41">
        <f>VLOOKUP(Tabla1[[#This Row],[PAGO DIA]],DIAS!A:D,4,0)</f>
        <v>46142</v>
      </c>
      <c r="N434" s="6">
        <v>0</v>
      </c>
      <c r="O434" s="43">
        <f>VLOOKUP(Tabla1[[#This Row],[PAGO DIA]],DIAS!A:E,5,0)</f>
        <v>46171</v>
      </c>
      <c r="P434" s="6">
        <v>0</v>
      </c>
      <c r="Q434" s="43">
        <f>VLOOKUP(Tabla1[[#This Row],[PAGO DIA]],DIAS!A:F,6,0)</f>
        <v>46203</v>
      </c>
      <c r="R434" s="6">
        <v>0</v>
      </c>
      <c r="S434" s="43">
        <f>VLOOKUP(Tabla1[[#This Row],[PAGO DIA]],DIAS!A:G,7,0)</f>
        <v>46234</v>
      </c>
      <c r="T434" s="6">
        <v>0</v>
      </c>
      <c r="U434" s="43">
        <f>VLOOKUP(Tabla1[[#This Row],[PAGO DIA]],DIAS!A:H,8,0)</f>
        <v>46265</v>
      </c>
      <c r="V434" s="6">
        <v>0</v>
      </c>
      <c r="W434" s="43">
        <f>VLOOKUP(Tabla1[[#This Row],[PAGO DIA]],DIAS!A:I,9,0)</f>
        <v>46295</v>
      </c>
      <c r="X434" s="6">
        <v>0</v>
      </c>
      <c r="Y434" s="43">
        <f>VLOOKUP(Tabla1[[#This Row],[PAGO DIA]],DIAS!A:J,10,0)</f>
        <v>46325</v>
      </c>
      <c r="Z434" s="6">
        <v>0</v>
      </c>
      <c r="AA434" s="43">
        <f>VLOOKUP(Tabla1[[#This Row],[PAGO DIA]],DIAS!A:K,11,0)</f>
        <v>46356</v>
      </c>
      <c r="AB434" s="6">
        <v>0</v>
      </c>
      <c r="AC434" s="43">
        <f>VLOOKUP(Tabla1[[#This Row],[PAGO DIA]],DIAS!A:M,12,0)</f>
        <v>46386</v>
      </c>
      <c r="AD4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5" spans="1:30">
      <c r="A435" s="3">
        <v>11678</v>
      </c>
      <c r="B435" s="3" t="s">
        <v>604</v>
      </c>
      <c r="C435" s="3" t="s">
        <v>540</v>
      </c>
      <c r="D435" s="3" t="s">
        <v>540</v>
      </c>
      <c r="E435" s="3" t="s">
        <v>1059</v>
      </c>
      <c r="F435" s="42" t="s">
        <v>631</v>
      </c>
      <c r="G435" s="3" t="s">
        <v>1067</v>
      </c>
      <c r="H435" s="6">
        <v>0</v>
      </c>
      <c r="I435" s="41">
        <f>VLOOKUP(Tabla1[[#This Row],[PAGO DIA]],DIAS!A:B,2,0)</f>
        <v>46080</v>
      </c>
      <c r="J435" s="6">
        <v>0</v>
      </c>
      <c r="K435" s="43">
        <f>VLOOKUP(Tabla1[[#This Row],[PAGO DIA]],DIAS!A:C,3,0)</f>
        <v>46112</v>
      </c>
      <c r="L435" s="6">
        <v>0</v>
      </c>
      <c r="M435" s="41">
        <f>VLOOKUP(Tabla1[[#This Row],[PAGO DIA]],DIAS!A:D,4,0)</f>
        <v>46142</v>
      </c>
      <c r="N435" s="6">
        <v>0</v>
      </c>
      <c r="O435" s="43">
        <f>VLOOKUP(Tabla1[[#This Row],[PAGO DIA]],DIAS!A:E,5,0)</f>
        <v>46171</v>
      </c>
      <c r="P435" s="6">
        <v>0</v>
      </c>
      <c r="Q435" s="43">
        <f>VLOOKUP(Tabla1[[#This Row],[PAGO DIA]],DIAS!A:F,6,0)</f>
        <v>46203</v>
      </c>
      <c r="R435" s="6">
        <v>0</v>
      </c>
      <c r="S435" s="43">
        <f>VLOOKUP(Tabla1[[#This Row],[PAGO DIA]],DIAS!A:G,7,0)</f>
        <v>46234</v>
      </c>
      <c r="T435" s="6">
        <v>0</v>
      </c>
      <c r="U435" s="43">
        <f>VLOOKUP(Tabla1[[#This Row],[PAGO DIA]],DIAS!A:H,8,0)</f>
        <v>46265</v>
      </c>
      <c r="V435" s="6">
        <v>0</v>
      </c>
      <c r="W435" s="43">
        <f>VLOOKUP(Tabla1[[#This Row],[PAGO DIA]],DIAS!A:I,9,0)</f>
        <v>46295</v>
      </c>
      <c r="X435" s="6">
        <v>0</v>
      </c>
      <c r="Y435" s="43">
        <f>VLOOKUP(Tabla1[[#This Row],[PAGO DIA]],DIAS!A:J,10,0)</f>
        <v>46325</v>
      </c>
      <c r="Z435" s="6">
        <v>0</v>
      </c>
      <c r="AA435" s="43">
        <f>VLOOKUP(Tabla1[[#This Row],[PAGO DIA]],DIAS!A:K,11,0)</f>
        <v>46356</v>
      </c>
      <c r="AB435" s="6">
        <v>0</v>
      </c>
      <c r="AC435" s="43">
        <f>VLOOKUP(Tabla1[[#This Row],[PAGO DIA]],DIAS!A:M,12,0)</f>
        <v>46386</v>
      </c>
      <c r="AD4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6" spans="1:30">
      <c r="A436" s="3">
        <v>12076</v>
      </c>
      <c r="B436" s="3" t="s">
        <v>604</v>
      </c>
      <c r="C436" s="3" t="s">
        <v>605</v>
      </c>
      <c r="D436" s="3" t="s">
        <v>605</v>
      </c>
      <c r="E436" s="3" t="s">
        <v>1068</v>
      </c>
      <c r="F436" s="42" t="s">
        <v>631</v>
      </c>
      <c r="G436" s="3" t="s">
        <v>635</v>
      </c>
      <c r="H436" s="6">
        <v>0</v>
      </c>
      <c r="I436" s="41">
        <f>VLOOKUP(Tabla1[[#This Row],[PAGO DIA]],DIAS!A:B,2,0)</f>
        <v>46080</v>
      </c>
      <c r="J436" s="6">
        <v>0</v>
      </c>
      <c r="K436" s="43">
        <f>VLOOKUP(Tabla1[[#This Row],[PAGO DIA]],DIAS!A:C,3,0)</f>
        <v>46112</v>
      </c>
      <c r="L436" s="6">
        <v>0</v>
      </c>
      <c r="M436" s="41">
        <f>VLOOKUP(Tabla1[[#This Row],[PAGO DIA]],DIAS!A:D,4,0)</f>
        <v>46142</v>
      </c>
      <c r="N436" s="6">
        <v>0</v>
      </c>
      <c r="O436" s="43">
        <f>VLOOKUP(Tabla1[[#This Row],[PAGO DIA]],DIAS!A:E,5,0)</f>
        <v>46171</v>
      </c>
      <c r="P436" s="6">
        <v>0</v>
      </c>
      <c r="Q436" s="43">
        <f>VLOOKUP(Tabla1[[#This Row],[PAGO DIA]],DIAS!A:F,6,0)</f>
        <v>46203</v>
      </c>
      <c r="R436" s="6">
        <v>0</v>
      </c>
      <c r="S436" s="43">
        <f>VLOOKUP(Tabla1[[#This Row],[PAGO DIA]],DIAS!A:G,7,0)</f>
        <v>46234</v>
      </c>
      <c r="T436" s="6">
        <v>0</v>
      </c>
      <c r="U436" s="43">
        <f>VLOOKUP(Tabla1[[#This Row],[PAGO DIA]],DIAS!A:H,8,0)</f>
        <v>46265</v>
      </c>
      <c r="V436" s="6">
        <v>0</v>
      </c>
      <c r="W436" s="43">
        <f>VLOOKUP(Tabla1[[#This Row],[PAGO DIA]],DIAS!A:I,9,0)</f>
        <v>46295</v>
      </c>
      <c r="X436" s="6">
        <v>0</v>
      </c>
      <c r="Y436" s="43">
        <f>VLOOKUP(Tabla1[[#This Row],[PAGO DIA]],DIAS!A:J,10,0)</f>
        <v>46325</v>
      </c>
      <c r="Z436" s="6">
        <v>0</v>
      </c>
      <c r="AA436" s="43">
        <f>VLOOKUP(Tabla1[[#This Row],[PAGO DIA]],DIAS!A:K,11,0)</f>
        <v>46356</v>
      </c>
      <c r="AB436" s="6">
        <v>0</v>
      </c>
      <c r="AC436" s="43">
        <f>VLOOKUP(Tabla1[[#This Row],[PAGO DIA]],DIAS!A:M,12,0)</f>
        <v>46386</v>
      </c>
      <c r="AD4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7" spans="1:30">
      <c r="A437" s="3">
        <v>12693</v>
      </c>
      <c r="B437" s="3" t="s">
        <v>604</v>
      </c>
      <c r="C437" s="3" t="s">
        <v>605</v>
      </c>
      <c r="D437" s="3" t="s">
        <v>540</v>
      </c>
      <c r="E437" s="3" t="s">
        <v>1069</v>
      </c>
      <c r="F437" s="42" t="s">
        <v>631</v>
      </c>
      <c r="G437" s="3" t="s">
        <v>1070</v>
      </c>
      <c r="H437" s="6">
        <v>0</v>
      </c>
      <c r="I437" s="41">
        <f>VLOOKUP(Tabla1[[#This Row],[PAGO DIA]],DIAS!A:B,2,0)</f>
        <v>46080</v>
      </c>
      <c r="J437" s="6">
        <v>0</v>
      </c>
      <c r="K437" s="43">
        <f>VLOOKUP(Tabla1[[#This Row],[PAGO DIA]],DIAS!A:C,3,0)</f>
        <v>46112</v>
      </c>
      <c r="L437" s="6">
        <v>0</v>
      </c>
      <c r="M437" s="41">
        <f>VLOOKUP(Tabla1[[#This Row],[PAGO DIA]],DIAS!A:D,4,0)</f>
        <v>46142</v>
      </c>
      <c r="N437" s="6">
        <v>0</v>
      </c>
      <c r="O437" s="43">
        <f>VLOOKUP(Tabla1[[#This Row],[PAGO DIA]],DIAS!A:E,5,0)</f>
        <v>46171</v>
      </c>
      <c r="P437" s="6">
        <v>0</v>
      </c>
      <c r="Q437" s="43">
        <f>VLOOKUP(Tabla1[[#This Row],[PAGO DIA]],DIAS!A:F,6,0)</f>
        <v>46203</v>
      </c>
      <c r="R437" s="6">
        <v>0</v>
      </c>
      <c r="S437" s="43">
        <f>VLOOKUP(Tabla1[[#This Row],[PAGO DIA]],DIAS!A:G,7,0)</f>
        <v>46234</v>
      </c>
      <c r="T437" s="6">
        <v>0</v>
      </c>
      <c r="U437" s="43">
        <f>VLOOKUP(Tabla1[[#This Row],[PAGO DIA]],DIAS!A:H,8,0)</f>
        <v>46265</v>
      </c>
      <c r="V437" s="6">
        <v>0</v>
      </c>
      <c r="W437" s="43">
        <f>VLOOKUP(Tabla1[[#This Row],[PAGO DIA]],DIAS!A:I,9,0)</f>
        <v>46295</v>
      </c>
      <c r="X437" s="6">
        <v>0</v>
      </c>
      <c r="Y437" s="43">
        <f>VLOOKUP(Tabla1[[#This Row],[PAGO DIA]],DIAS!A:J,10,0)</f>
        <v>46325</v>
      </c>
      <c r="Z437" s="6">
        <v>0</v>
      </c>
      <c r="AA437" s="43">
        <f>VLOOKUP(Tabla1[[#This Row],[PAGO DIA]],DIAS!A:K,11,0)</f>
        <v>46356</v>
      </c>
      <c r="AB437" s="6">
        <v>0</v>
      </c>
      <c r="AC437" s="43">
        <f>VLOOKUP(Tabla1[[#This Row],[PAGO DIA]],DIAS!A:M,12,0)</f>
        <v>46386</v>
      </c>
      <c r="AD4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8" spans="1:30">
      <c r="A438" s="3">
        <v>12694</v>
      </c>
      <c r="B438" s="3" t="s">
        <v>604</v>
      </c>
      <c r="C438" s="3" t="s">
        <v>605</v>
      </c>
      <c r="D438" s="3" t="s">
        <v>540</v>
      </c>
      <c r="E438" s="3" t="s">
        <v>1069</v>
      </c>
      <c r="F438" s="42" t="s">
        <v>631</v>
      </c>
      <c r="G438" s="3" t="s">
        <v>1071</v>
      </c>
      <c r="H438" s="6">
        <v>0</v>
      </c>
      <c r="I438" s="41">
        <f>VLOOKUP(Tabla1[[#This Row],[PAGO DIA]],DIAS!A:B,2,0)</f>
        <v>46080</v>
      </c>
      <c r="J438" s="6">
        <v>0</v>
      </c>
      <c r="K438" s="43">
        <f>VLOOKUP(Tabla1[[#This Row],[PAGO DIA]],DIAS!A:C,3,0)</f>
        <v>46112</v>
      </c>
      <c r="L438" s="6">
        <v>0</v>
      </c>
      <c r="M438" s="41">
        <f>VLOOKUP(Tabla1[[#This Row],[PAGO DIA]],DIAS!A:D,4,0)</f>
        <v>46142</v>
      </c>
      <c r="N438" s="6">
        <v>0</v>
      </c>
      <c r="O438" s="43">
        <f>VLOOKUP(Tabla1[[#This Row],[PAGO DIA]],DIAS!A:E,5,0)</f>
        <v>46171</v>
      </c>
      <c r="P438" s="6">
        <v>0</v>
      </c>
      <c r="Q438" s="43">
        <f>VLOOKUP(Tabla1[[#This Row],[PAGO DIA]],DIAS!A:F,6,0)</f>
        <v>46203</v>
      </c>
      <c r="R438" s="6">
        <v>0</v>
      </c>
      <c r="S438" s="43">
        <f>VLOOKUP(Tabla1[[#This Row],[PAGO DIA]],DIAS!A:G,7,0)</f>
        <v>46234</v>
      </c>
      <c r="T438" s="6">
        <v>0</v>
      </c>
      <c r="U438" s="43">
        <f>VLOOKUP(Tabla1[[#This Row],[PAGO DIA]],DIAS!A:H,8,0)</f>
        <v>46265</v>
      </c>
      <c r="V438" s="6">
        <v>0</v>
      </c>
      <c r="W438" s="43">
        <f>VLOOKUP(Tabla1[[#This Row],[PAGO DIA]],DIAS!A:I,9,0)</f>
        <v>46295</v>
      </c>
      <c r="X438" s="6">
        <v>0</v>
      </c>
      <c r="Y438" s="43">
        <f>VLOOKUP(Tabla1[[#This Row],[PAGO DIA]],DIAS!A:J,10,0)</f>
        <v>46325</v>
      </c>
      <c r="Z438" s="6">
        <v>0</v>
      </c>
      <c r="AA438" s="43">
        <f>VLOOKUP(Tabla1[[#This Row],[PAGO DIA]],DIAS!A:K,11,0)</f>
        <v>46356</v>
      </c>
      <c r="AB438" s="6">
        <v>0</v>
      </c>
      <c r="AC438" s="43">
        <f>VLOOKUP(Tabla1[[#This Row],[PAGO DIA]],DIAS!A:M,12,0)</f>
        <v>46386</v>
      </c>
      <c r="AD4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39" spans="1:30">
      <c r="A439" s="3">
        <v>12042</v>
      </c>
      <c r="B439" s="3" t="s">
        <v>604</v>
      </c>
      <c r="C439" s="3" t="s">
        <v>605</v>
      </c>
      <c r="D439" s="3" t="s">
        <v>605</v>
      </c>
      <c r="E439" s="3" t="s">
        <v>1072</v>
      </c>
      <c r="F439" s="42" t="s">
        <v>631</v>
      </c>
      <c r="G439" s="3" t="s">
        <v>635</v>
      </c>
      <c r="H439" s="6">
        <v>0</v>
      </c>
      <c r="I439" s="41">
        <f>VLOOKUP(Tabla1[[#This Row],[PAGO DIA]],DIAS!A:B,2,0)</f>
        <v>46080</v>
      </c>
      <c r="J439" s="6">
        <v>0</v>
      </c>
      <c r="K439" s="43">
        <f>VLOOKUP(Tabla1[[#This Row],[PAGO DIA]],DIAS!A:C,3,0)</f>
        <v>46112</v>
      </c>
      <c r="L439" s="6">
        <v>0</v>
      </c>
      <c r="M439" s="41">
        <f>VLOOKUP(Tabla1[[#This Row],[PAGO DIA]],DIAS!A:D,4,0)</f>
        <v>46142</v>
      </c>
      <c r="N439" s="6">
        <v>0</v>
      </c>
      <c r="O439" s="43">
        <f>VLOOKUP(Tabla1[[#This Row],[PAGO DIA]],DIAS!A:E,5,0)</f>
        <v>46171</v>
      </c>
      <c r="P439" s="6">
        <v>0</v>
      </c>
      <c r="Q439" s="43">
        <f>VLOOKUP(Tabla1[[#This Row],[PAGO DIA]],DIAS!A:F,6,0)</f>
        <v>46203</v>
      </c>
      <c r="R439" s="6">
        <v>0</v>
      </c>
      <c r="S439" s="43">
        <f>VLOOKUP(Tabla1[[#This Row],[PAGO DIA]],DIAS!A:G,7,0)</f>
        <v>46234</v>
      </c>
      <c r="T439" s="6">
        <v>0</v>
      </c>
      <c r="U439" s="43">
        <f>VLOOKUP(Tabla1[[#This Row],[PAGO DIA]],DIAS!A:H,8,0)</f>
        <v>46265</v>
      </c>
      <c r="V439" s="6">
        <v>0</v>
      </c>
      <c r="W439" s="43">
        <f>VLOOKUP(Tabla1[[#This Row],[PAGO DIA]],DIAS!A:I,9,0)</f>
        <v>46295</v>
      </c>
      <c r="X439" s="6">
        <v>0</v>
      </c>
      <c r="Y439" s="43">
        <f>VLOOKUP(Tabla1[[#This Row],[PAGO DIA]],DIAS!A:J,10,0)</f>
        <v>46325</v>
      </c>
      <c r="Z439" s="6">
        <v>0</v>
      </c>
      <c r="AA439" s="43">
        <f>VLOOKUP(Tabla1[[#This Row],[PAGO DIA]],DIAS!A:K,11,0)</f>
        <v>46356</v>
      </c>
      <c r="AB439" s="6">
        <v>0</v>
      </c>
      <c r="AC439" s="43">
        <f>VLOOKUP(Tabla1[[#This Row],[PAGO DIA]],DIAS!A:M,12,0)</f>
        <v>46386</v>
      </c>
      <c r="AD4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0" spans="1:30">
      <c r="A440" s="3">
        <v>12632</v>
      </c>
      <c r="B440" s="3" t="s">
        <v>604</v>
      </c>
      <c r="C440" s="3" t="s">
        <v>605</v>
      </c>
      <c r="D440" s="3" t="s">
        <v>540</v>
      </c>
      <c r="E440" s="3" t="s">
        <v>1073</v>
      </c>
      <c r="F440" s="42" t="s">
        <v>631</v>
      </c>
      <c r="G440" s="3" t="s">
        <v>1074</v>
      </c>
      <c r="H440" s="6">
        <v>0</v>
      </c>
      <c r="I440" s="41">
        <f>VLOOKUP(Tabla1[[#This Row],[PAGO DIA]],DIAS!A:B,2,0)</f>
        <v>46080</v>
      </c>
      <c r="J440" s="6">
        <v>0</v>
      </c>
      <c r="K440" s="43">
        <f>VLOOKUP(Tabla1[[#This Row],[PAGO DIA]],DIAS!A:C,3,0)</f>
        <v>46112</v>
      </c>
      <c r="L440" s="6">
        <v>0</v>
      </c>
      <c r="M440" s="41">
        <f>VLOOKUP(Tabla1[[#This Row],[PAGO DIA]],DIAS!A:D,4,0)</f>
        <v>46142</v>
      </c>
      <c r="N440" s="6">
        <v>0</v>
      </c>
      <c r="O440" s="43">
        <f>VLOOKUP(Tabla1[[#This Row],[PAGO DIA]],DIAS!A:E,5,0)</f>
        <v>46171</v>
      </c>
      <c r="P440" s="6">
        <v>0</v>
      </c>
      <c r="Q440" s="43">
        <f>VLOOKUP(Tabla1[[#This Row],[PAGO DIA]],DIAS!A:F,6,0)</f>
        <v>46203</v>
      </c>
      <c r="R440" s="6">
        <v>0</v>
      </c>
      <c r="S440" s="43">
        <f>VLOOKUP(Tabla1[[#This Row],[PAGO DIA]],DIAS!A:G,7,0)</f>
        <v>46234</v>
      </c>
      <c r="T440" s="6">
        <v>0</v>
      </c>
      <c r="U440" s="43">
        <f>VLOOKUP(Tabla1[[#This Row],[PAGO DIA]],DIAS!A:H,8,0)</f>
        <v>46265</v>
      </c>
      <c r="V440" s="6">
        <v>0</v>
      </c>
      <c r="W440" s="43">
        <f>VLOOKUP(Tabla1[[#This Row],[PAGO DIA]],DIAS!A:I,9,0)</f>
        <v>46295</v>
      </c>
      <c r="X440" s="6">
        <v>0</v>
      </c>
      <c r="Y440" s="43">
        <f>VLOOKUP(Tabla1[[#This Row],[PAGO DIA]],DIAS!A:J,10,0)</f>
        <v>46325</v>
      </c>
      <c r="Z440" s="6">
        <v>0</v>
      </c>
      <c r="AA440" s="43">
        <f>VLOOKUP(Tabla1[[#This Row],[PAGO DIA]],DIAS!A:K,11,0)</f>
        <v>46356</v>
      </c>
      <c r="AB440" s="6">
        <v>0</v>
      </c>
      <c r="AC440" s="43">
        <f>VLOOKUP(Tabla1[[#This Row],[PAGO DIA]],DIAS!A:M,12,0)</f>
        <v>46386</v>
      </c>
      <c r="AD4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1" spans="1:30">
      <c r="A441" s="3">
        <v>12676</v>
      </c>
      <c r="B441" s="3" t="s">
        <v>604</v>
      </c>
      <c r="C441" s="3" t="s">
        <v>605</v>
      </c>
      <c r="D441" s="3" t="s">
        <v>540</v>
      </c>
      <c r="E441" s="3" t="s">
        <v>1073</v>
      </c>
      <c r="F441" s="42" t="s">
        <v>631</v>
      </c>
      <c r="G441" s="3" t="s">
        <v>1075</v>
      </c>
      <c r="H441" s="6">
        <v>0</v>
      </c>
      <c r="I441" s="41">
        <f>VLOOKUP(Tabla1[[#This Row],[PAGO DIA]],DIAS!A:B,2,0)</f>
        <v>46080</v>
      </c>
      <c r="J441" s="6">
        <v>0</v>
      </c>
      <c r="K441" s="43">
        <f>VLOOKUP(Tabla1[[#This Row],[PAGO DIA]],DIAS!A:C,3,0)</f>
        <v>46112</v>
      </c>
      <c r="L441" s="6">
        <v>0</v>
      </c>
      <c r="M441" s="41">
        <f>VLOOKUP(Tabla1[[#This Row],[PAGO DIA]],DIAS!A:D,4,0)</f>
        <v>46142</v>
      </c>
      <c r="N441" s="6">
        <v>0</v>
      </c>
      <c r="O441" s="43">
        <f>VLOOKUP(Tabla1[[#This Row],[PAGO DIA]],DIAS!A:E,5,0)</f>
        <v>46171</v>
      </c>
      <c r="P441" s="6">
        <v>0</v>
      </c>
      <c r="Q441" s="43">
        <f>VLOOKUP(Tabla1[[#This Row],[PAGO DIA]],DIAS!A:F,6,0)</f>
        <v>46203</v>
      </c>
      <c r="R441" s="6">
        <v>0</v>
      </c>
      <c r="S441" s="43">
        <f>VLOOKUP(Tabla1[[#This Row],[PAGO DIA]],DIAS!A:G,7,0)</f>
        <v>46234</v>
      </c>
      <c r="T441" s="6">
        <v>0</v>
      </c>
      <c r="U441" s="43">
        <f>VLOOKUP(Tabla1[[#This Row],[PAGO DIA]],DIAS!A:H,8,0)</f>
        <v>46265</v>
      </c>
      <c r="V441" s="6">
        <v>0</v>
      </c>
      <c r="W441" s="43">
        <f>VLOOKUP(Tabla1[[#This Row],[PAGO DIA]],DIAS!A:I,9,0)</f>
        <v>46295</v>
      </c>
      <c r="X441" s="6">
        <v>0</v>
      </c>
      <c r="Y441" s="43">
        <f>VLOOKUP(Tabla1[[#This Row],[PAGO DIA]],DIAS!A:J,10,0)</f>
        <v>46325</v>
      </c>
      <c r="Z441" s="6">
        <v>0</v>
      </c>
      <c r="AA441" s="43">
        <f>VLOOKUP(Tabla1[[#This Row],[PAGO DIA]],DIAS!A:K,11,0)</f>
        <v>46356</v>
      </c>
      <c r="AB441" s="6">
        <v>0</v>
      </c>
      <c r="AC441" s="43">
        <f>VLOOKUP(Tabla1[[#This Row],[PAGO DIA]],DIAS!A:M,12,0)</f>
        <v>46386</v>
      </c>
      <c r="AD4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2" spans="1:30">
      <c r="A442" s="3">
        <v>12677</v>
      </c>
      <c r="B442" s="3" t="s">
        <v>604</v>
      </c>
      <c r="C442" s="3" t="s">
        <v>605</v>
      </c>
      <c r="D442" s="3" t="s">
        <v>540</v>
      </c>
      <c r="E442" s="3" t="s">
        <v>1073</v>
      </c>
      <c r="F442" s="42" t="s">
        <v>631</v>
      </c>
      <c r="G442" s="3" t="s">
        <v>1076</v>
      </c>
      <c r="H442" s="6">
        <v>0</v>
      </c>
      <c r="I442" s="41">
        <f>VLOOKUP(Tabla1[[#This Row],[PAGO DIA]],DIAS!A:B,2,0)</f>
        <v>46080</v>
      </c>
      <c r="J442" s="6">
        <v>0</v>
      </c>
      <c r="K442" s="43">
        <f>VLOOKUP(Tabla1[[#This Row],[PAGO DIA]],DIAS!A:C,3,0)</f>
        <v>46112</v>
      </c>
      <c r="L442" s="6">
        <v>0</v>
      </c>
      <c r="M442" s="41">
        <f>VLOOKUP(Tabla1[[#This Row],[PAGO DIA]],DIAS!A:D,4,0)</f>
        <v>46142</v>
      </c>
      <c r="N442" s="6">
        <v>0</v>
      </c>
      <c r="O442" s="43">
        <f>VLOOKUP(Tabla1[[#This Row],[PAGO DIA]],DIAS!A:E,5,0)</f>
        <v>46171</v>
      </c>
      <c r="P442" s="6">
        <v>0</v>
      </c>
      <c r="Q442" s="43">
        <f>VLOOKUP(Tabla1[[#This Row],[PAGO DIA]],DIAS!A:F,6,0)</f>
        <v>46203</v>
      </c>
      <c r="R442" s="6">
        <v>0</v>
      </c>
      <c r="S442" s="43">
        <f>VLOOKUP(Tabla1[[#This Row],[PAGO DIA]],DIAS!A:G,7,0)</f>
        <v>46234</v>
      </c>
      <c r="T442" s="6">
        <v>0</v>
      </c>
      <c r="U442" s="43">
        <f>VLOOKUP(Tabla1[[#This Row],[PAGO DIA]],DIAS!A:H,8,0)</f>
        <v>46265</v>
      </c>
      <c r="V442" s="6">
        <v>0</v>
      </c>
      <c r="W442" s="43">
        <f>VLOOKUP(Tabla1[[#This Row],[PAGO DIA]],DIAS!A:I,9,0)</f>
        <v>46295</v>
      </c>
      <c r="X442" s="6">
        <v>0</v>
      </c>
      <c r="Y442" s="43">
        <f>VLOOKUP(Tabla1[[#This Row],[PAGO DIA]],DIAS!A:J,10,0)</f>
        <v>46325</v>
      </c>
      <c r="Z442" s="6">
        <v>0</v>
      </c>
      <c r="AA442" s="43">
        <f>VLOOKUP(Tabla1[[#This Row],[PAGO DIA]],DIAS!A:K,11,0)</f>
        <v>46356</v>
      </c>
      <c r="AB442" s="6">
        <v>0</v>
      </c>
      <c r="AC442" s="43">
        <f>VLOOKUP(Tabla1[[#This Row],[PAGO DIA]],DIAS!A:M,12,0)</f>
        <v>46386</v>
      </c>
      <c r="AD4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3" spans="1:30">
      <c r="A443" s="3">
        <v>12678</v>
      </c>
      <c r="B443" s="3" t="s">
        <v>604</v>
      </c>
      <c r="C443" s="3" t="s">
        <v>605</v>
      </c>
      <c r="D443" s="3" t="s">
        <v>540</v>
      </c>
      <c r="E443" s="3" t="s">
        <v>1073</v>
      </c>
      <c r="F443" s="42" t="s">
        <v>631</v>
      </c>
      <c r="G443" s="3" t="s">
        <v>1077</v>
      </c>
      <c r="H443" s="6">
        <v>0</v>
      </c>
      <c r="I443" s="41">
        <f>VLOOKUP(Tabla1[[#This Row],[PAGO DIA]],DIAS!A:B,2,0)</f>
        <v>46080</v>
      </c>
      <c r="J443" s="6">
        <v>0</v>
      </c>
      <c r="K443" s="43">
        <f>VLOOKUP(Tabla1[[#This Row],[PAGO DIA]],DIAS!A:C,3,0)</f>
        <v>46112</v>
      </c>
      <c r="L443" s="6">
        <v>0</v>
      </c>
      <c r="M443" s="41">
        <f>VLOOKUP(Tabla1[[#This Row],[PAGO DIA]],DIAS!A:D,4,0)</f>
        <v>46142</v>
      </c>
      <c r="N443" s="6">
        <v>0</v>
      </c>
      <c r="O443" s="43">
        <f>VLOOKUP(Tabla1[[#This Row],[PAGO DIA]],DIAS!A:E,5,0)</f>
        <v>46171</v>
      </c>
      <c r="P443" s="6">
        <v>0</v>
      </c>
      <c r="Q443" s="43">
        <f>VLOOKUP(Tabla1[[#This Row],[PAGO DIA]],DIAS!A:F,6,0)</f>
        <v>46203</v>
      </c>
      <c r="R443" s="6">
        <v>0</v>
      </c>
      <c r="S443" s="43">
        <f>VLOOKUP(Tabla1[[#This Row],[PAGO DIA]],DIAS!A:G,7,0)</f>
        <v>46234</v>
      </c>
      <c r="T443" s="6">
        <v>0</v>
      </c>
      <c r="U443" s="43">
        <f>VLOOKUP(Tabla1[[#This Row],[PAGO DIA]],DIAS!A:H,8,0)</f>
        <v>46265</v>
      </c>
      <c r="V443" s="6">
        <v>0</v>
      </c>
      <c r="W443" s="43">
        <f>VLOOKUP(Tabla1[[#This Row],[PAGO DIA]],DIAS!A:I,9,0)</f>
        <v>46295</v>
      </c>
      <c r="X443" s="6">
        <v>0</v>
      </c>
      <c r="Y443" s="43">
        <f>VLOOKUP(Tabla1[[#This Row],[PAGO DIA]],DIAS!A:J,10,0)</f>
        <v>46325</v>
      </c>
      <c r="Z443" s="6">
        <v>0</v>
      </c>
      <c r="AA443" s="43">
        <f>VLOOKUP(Tabla1[[#This Row],[PAGO DIA]],DIAS!A:K,11,0)</f>
        <v>46356</v>
      </c>
      <c r="AB443" s="6">
        <v>0</v>
      </c>
      <c r="AC443" s="43">
        <f>VLOOKUP(Tabla1[[#This Row],[PAGO DIA]],DIAS!A:M,12,0)</f>
        <v>46386</v>
      </c>
      <c r="AD4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4" spans="1:30">
      <c r="A444" s="3">
        <v>11768</v>
      </c>
      <c r="B444" s="3" t="s">
        <v>604</v>
      </c>
      <c r="C444" s="3" t="s">
        <v>540</v>
      </c>
      <c r="D444" s="3" t="s">
        <v>540</v>
      </c>
      <c r="E444" s="3" t="s">
        <v>1078</v>
      </c>
      <c r="F444" s="42" t="s">
        <v>631</v>
      </c>
      <c r="G444" s="3" t="s">
        <v>1079</v>
      </c>
      <c r="H444" s="6">
        <v>0</v>
      </c>
      <c r="I444" s="41">
        <f>VLOOKUP(Tabla1[[#This Row],[PAGO DIA]],DIAS!A:B,2,0)</f>
        <v>46080</v>
      </c>
      <c r="J444" s="6">
        <v>0</v>
      </c>
      <c r="K444" s="43">
        <f>VLOOKUP(Tabla1[[#This Row],[PAGO DIA]],DIAS!A:C,3,0)</f>
        <v>46112</v>
      </c>
      <c r="L444" s="6">
        <v>0</v>
      </c>
      <c r="M444" s="41">
        <f>VLOOKUP(Tabla1[[#This Row],[PAGO DIA]],DIAS!A:D,4,0)</f>
        <v>46142</v>
      </c>
      <c r="N444" s="6">
        <v>0</v>
      </c>
      <c r="O444" s="43">
        <f>VLOOKUP(Tabla1[[#This Row],[PAGO DIA]],DIAS!A:E,5,0)</f>
        <v>46171</v>
      </c>
      <c r="P444" s="6">
        <v>0</v>
      </c>
      <c r="Q444" s="43">
        <f>VLOOKUP(Tabla1[[#This Row],[PAGO DIA]],DIAS!A:F,6,0)</f>
        <v>46203</v>
      </c>
      <c r="R444" s="6">
        <v>0</v>
      </c>
      <c r="S444" s="43">
        <f>VLOOKUP(Tabla1[[#This Row],[PAGO DIA]],DIAS!A:G,7,0)</f>
        <v>46234</v>
      </c>
      <c r="T444" s="6">
        <v>0</v>
      </c>
      <c r="U444" s="43">
        <f>VLOOKUP(Tabla1[[#This Row],[PAGO DIA]],DIAS!A:H,8,0)</f>
        <v>46265</v>
      </c>
      <c r="V444" s="6">
        <v>0</v>
      </c>
      <c r="W444" s="43">
        <f>VLOOKUP(Tabla1[[#This Row],[PAGO DIA]],DIAS!A:I,9,0)</f>
        <v>46295</v>
      </c>
      <c r="X444" s="6">
        <v>0</v>
      </c>
      <c r="Y444" s="43">
        <f>VLOOKUP(Tabla1[[#This Row],[PAGO DIA]],DIAS!A:J,10,0)</f>
        <v>46325</v>
      </c>
      <c r="Z444" s="6">
        <v>0</v>
      </c>
      <c r="AA444" s="43">
        <f>VLOOKUP(Tabla1[[#This Row],[PAGO DIA]],DIAS!A:K,11,0)</f>
        <v>46356</v>
      </c>
      <c r="AB444" s="6">
        <v>0</v>
      </c>
      <c r="AC444" s="43">
        <f>VLOOKUP(Tabla1[[#This Row],[PAGO DIA]],DIAS!A:M,12,0)</f>
        <v>46386</v>
      </c>
      <c r="AD4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5" spans="1:30">
      <c r="A445" s="3">
        <v>11772</v>
      </c>
      <c r="B445" s="3" t="s">
        <v>604</v>
      </c>
      <c r="C445" s="3" t="s">
        <v>540</v>
      </c>
      <c r="D445" s="3" t="s">
        <v>540</v>
      </c>
      <c r="E445" s="3" t="s">
        <v>1078</v>
      </c>
      <c r="F445" s="42" t="s">
        <v>631</v>
      </c>
      <c r="G445" s="3" t="s">
        <v>1080</v>
      </c>
      <c r="H445" s="6">
        <v>0</v>
      </c>
      <c r="I445" s="41">
        <f>VLOOKUP(Tabla1[[#This Row],[PAGO DIA]],DIAS!A:B,2,0)</f>
        <v>46080</v>
      </c>
      <c r="J445" s="6">
        <v>0</v>
      </c>
      <c r="K445" s="43">
        <f>VLOOKUP(Tabla1[[#This Row],[PAGO DIA]],DIAS!A:C,3,0)</f>
        <v>46112</v>
      </c>
      <c r="L445" s="6">
        <v>0</v>
      </c>
      <c r="M445" s="41">
        <f>VLOOKUP(Tabla1[[#This Row],[PAGO DIA]],DIAS!A:D,4,0)</f>
        <v>46142</v>
      </c>
      <c r="N445" s="6">
        <v>0</v>
      </c>
      <c r="O445" s="43">
        <f>VLOOKUP(Tabla1[[#This Row],[PAGO DIA]],DIAS!A:E,5,0)</f>
        <v>46171</v>
      </c>
      <c r="P445" s="6">
        <v>0</v>
      </c>
      <c r="Q445" s="43">
        <f>VLOOKUP(Tabla1[[#This Row],[PAGO DIA]],DIAS!A:F,6,0)</f>
        <v>46203</v>
      </c>
      <c r="R445" s="6">
        <v>0</v>
      </c>
      <c r="S445" s="43">
        <f>VLOOKUP(Tabla1[[#This Row],[PAGO DIA]],DIAS!A:G,7,0)</f>
        <v>46234</v>
      </c>
      <c r="T445" s="6">
        <v>0</v>
      </c>
      <c r="U445" s="43">
        <f>VLOOKUP(Tabla1[[#This Row],[PAGO DIA]],DIAS!A:H,8,0)</f>
        <v>46265</v>
      </c>
      <c r="V445" s="6">
        <v>0</v>
      </c>
      <c r="W445" s="43">
        <f>VLOOKUP(Tabla1[[#This Row],[PAGO DIA]],DIAS!A:I,9,0)</f>
        <v>46295</v>
      </c>
      <c r="X445" s="6">
        <v>0</v>
      </c>
      <c r="Y445" s="43">
        <f>VLOOKUP(Tabla1[[#This Row],[PAGO DIA]],DIAS!A:J,10,0)</f>
        <v>46325</v>
      </c>
      <c r="Z445" s="6">
        <v>0</v>
      </c>
      <c r="AA445" s="43">
        <f>VLOOKUP(Tabla1[[#This Row],[PAGO DIA]],DIAS!A:K,11,0)</f>
        <v>46356</v>
      </c>
      <c r="AB445" s="6">
        <v>0</v>
      </c>
      <c r="AC445" s="43">
        <f>VLOOKUP(Tabla1[[#This Row],[PAGO DIA]],DIAS!A:M,12,0)</f>
        <v>46386</v>
      </c>
      <c r="AD4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6" spans="1:30">
      <c r="A446" s="3">
        <v>11773</v>
      </c>
      <c r="B446" s="3" t="s">
        <v>604</v>
      </c>
      <c r="C446" s="3" t="s">
        <v>540</v>
      </c>
      <c r="D446" s="3" t="s">
        <v>540</v>
      </c>
      <c r="E446" s="3" t="s">
        <v>1078</v>
      </c>
      <c r="F446" s="42" t="s">
        <v>631</v>
      </c>
      <c r="G446" s="3" t="s">
        <v>1081</v>
      </c>
      <c r="H446" s="6">
        <v>0</v>
      </c>
      <c r="I446" s="41">
        <f>VLOOKUP(Tabla1[[#This Row],[PAGO DIA]],DIAS!A:B,2,0)</f>
        <v>46080</v>
      </c>
      <c r="J446" s="6">
        <v>0</v>
      </c>
      <c r="K446" s="43">
        <f>VLOOKUP(Tabla1[[#This Row],[PAGO DIA]],DIAS!A:C,3,0)</f>
        <v>46112</v>
      </c>
      <c r="L446" s="6">
        <v>0</v>
      </c>
      <c r="M446" s="41">
        <f>VLOOKUP(Tabla1[[#This Row],[PAGO DIA]],DIAS!A:D,4,0)</f>
        <v>46142</v>
      </c>
      <c r="N446" s="6">
        <v>0</v>
      </c>
      <c r="O446" s="43">
        <f>VLOOKUP(Tabla1[[#This Row],[PAGO DIA]],DIAS!A:E,5,0)</f>
        <v>46171</v>
      </c>
      <c r="P446" s="6">
        <v>0</v>
      </c>
      <c r="Q446" s="43">
        <f>VLOOKUP(Tabla1[[#This Row],[PAGO DIA]],DIAS!A:F,6,0)</f>
        <v>46203</v>
      </c>
      <c r="R446" s="6">
        <v>0</v>
      </c>
      <c r="S446" s="43">
        <f>VLOOKUP(Tabla1[[#This Row],[PAGO DIA]],DIAS!A:G,7,0)</f>
        <v>46234</v>
      </c>
      <c r="T446" s="6">
        <v>0</v>
      </c>
      <c r="U446" s="43">
        <f>VLOOKUP(Tabla1[[#This Row],[PAGO DIA]],DIAS!A:H,8,0)</f>
        <v>46265</v>
      </c>
      <c r="V446" s="6">
        <v>0</v>
      </c>
      <c r="W446" s="43">
        <f>VLOOKUP(Tabla1[[#This Row],[PAGO DIA]],DIAS!A:I,9,0)</f>
        <v>46295</v>
      </c>
      <c r="X446" s="6">
        <v>0</v>
      </c>
      <c r="Y446" s="43">
        <f>VLOOKUP(Tabla1[[#This Row],[PAGO DIA]],DIAS!A:J,10,0)</f>
        <v>46325</v>
      </c>
      <c r="Z446" s="6">
        <v>0</v>
      </c>
      <c r="AA446" s="43">
        <f>VLOOKUP(Tabla1[[#This Row],[PAGO DIA]],DIAS!A:K,11,0)</f>
        <v>46356</v>
      </c>
      <c r="AB446" s="6">
        <v>0</v>
      </c>
      <c r="AC446" s="43">
        <f>VLOOKUP(Tabla1[[#This Row],[PAGO DIA]],DIAS!A:M,12,0)</f>
        <v>46386</v>
      </c>
      <c r="AD4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7" spans="1:30">
      <c r="A447" s="3">
        <v>11774</v>
      </c>
      <c r="B447" s="3" t="s">
        <v>604</v>
      </c>
      <c r="C447" s="3" t="s">
        <v>540</v>
      </c>
      <c r="D447" s="3" t="s">
        <v>540</v>
      </c>
      <c r="E447" s="3" t="s">
        <v>1078</v>
      </c>
      <c r="F447" s="42" t="s">
        <v>631</v>
      </c>
      <c r="G447" s="3" t="s">
        <v>1082</v>
      </c>
      <c r="H447" s="6">
        <v>0</v>
      </c>
      <c r="I447" s="41">
        <f>VLOOKUP(Tabla1[[#This Row],[PAGO DIA]],DIAS!A:B,2,0)</f>
        <v>46080</v>
      </c>
      <c r="J447" s="6">
        <v>0</v>
      </c>
      <c r="K447" s="43">
        <f>VLOOKUP(Tabla1[[#This Row],[PAGO DIA]],DIAS!A:C,3,0)</f>
        <v>46112</v>
      </c>
      <c r="L447" s="6">
        <v>0</v>
      </c>
      <c r="M447" s="41">
        <f>VLOOKUP(Tabla1[[#This Row],[PAGO DIA]],DIAS!A:D,4,0)</f>
        <v>46142</v>
      </c>
      <c r="N447" s="6">
        <v>0</v>
      </c>
      <c r="O447" s="43">
        <f>VLOOKUP(Tabla1[[#This Row],[PAGO DIA]],DIAS!A:E,5,0)</f>
        <v>46171</v>
      </c>
      <c r="P447" s="6">
        <v>0</v>
      </c>
      <c r="Q447" s="43">
        <f>VLOOKUP(Tabla1[[#This Row],[PAGO DIA]],DIAS!A:F,6,0)</f>
        <v>46203</v>
      </c>
      <c r="R447" s="6">
        <v>0</v>
      </c>
      <c r="S447" s="43">
        <f>VLOOKUP(Tabla1[[#This Row],[PAGO DIA]],DIAS!A:G,7,0)</f>
        <v>46234</v>
      </c>
      <c r="T447" s="6">
        <v>0</v>
      </c>
      <c r="U447" s="43">
        <f>VLOOKUP(Tabla1[[#This Row],[PAGO DIA]],DIAS!A:H,8,0)</f>
        <v>46265</v>
      </c>
      <c r="V447" s="6">
        <v>0</v>
      </c>
      <c r="W447" s="43">
        <f>VLOOKUP(Tabla1[[#This Row],[PAGO DIA]],DIAS!A:I,9,0)</f>
        <v>46295</v>
      </c>
      <c r="X447" s="6">
        <v>0</v>
      </c>
      <c r="Y447" s="43">
        <f>VLOOKUP(Tabla1[[#This Row],[PAGO DIA]],DIAS!A:J,10,0)</f>
        <v>46325</v>
      </c>
      <c r="Z447" s="6">
        <v>0</v>
      </c>
      <c r="AA447" s="43">
        <f>VLOOKUP(Tabla1[[#This Row],[PAGO DIA]],DIAS!A:K,11,0)</f>
        <v>46356</v>
      </c>
      <c r="AB447" s="6">
        <v>0</v>
      </c>
      <c r="AC447" s="43">
        <f>VLOOKUP(Tabla1[[#This Row],[PAGO DIA]],DIAS!A:M,12,0)</f>
        <v>46386</v>
      </c>
      <c r="AD4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8" spans="1:30">
      <c r="A448" s="3">
        <v>11775</v>
      </c>
      <c r="B448" s="3" t="s">
        <v>604</v>
      </c>
      <c r="C448" s="3" t="s">
        <v>540</v>
      </c>
      <c r="D448" s="3" t="s">
        <v>540</v>
      </c>
      <c r="E448" s="3" t="s">
        <v>1078</v>
      </c>
      <c r="F448" s="42" t="s">
        <v>631</v>
      </c>
      <c r="G448" s="3" t="s">
        <v>1083</v>
      </c>
      <c r="H448" s="6">
        <v>0</v>
      </c>
      <c r="I448" s="41">
        <f>VLOOKUP(Tabla1[[#This Row],[PAGO DIA]],DIAS!A:B,2,0)</f>
        <v>46080</v>
      </c>
      <c r="J448" s="6">
        <v>0</v>
      </c>
      <c r="K448" s="43">
        <f>VLOOKUP(Tabla1[[#This Row],[PAGO DIA]],DIAS!A:C,3,0)</f>
        <v>46112</v>
      </c>
      <c r="L448" s="6">
        <v>0</v>
      </c>
      <c r="M448" s="41">
        <f>VLOOKUP(Tabla1[[#This Row],[PAGO DIA]],DIAS!A:D,4,0)</f>
        <v>46142</v>
      </c>
      <c r="N448" s="6">
        <v>0</v>
      </c>
      <c r="O448" s="43">
        <f>VLOOKUP(Tabla1[[#This Row],[PAGO DIA]],DIAS!A:E,5,0)</f>
        <v>46171</v>
      </c>
      <c r="P448" s="6">
        <v>0</v>
      </c>
      <c r="Q448" s="43">
        <f>VLOOKUP(Tabla1[[#This Row],[PAGO DIA]],DIAS!A:F,6,0)</f>
        <v>46203</v>
      </c>
      <c r="R448" s="6">
        <v>0</v>
      </c>
      <c r="S448" s="43">
        <f>VLOOKUP(Tabla1[[#This Row],[PAGO DIA]],DIAS!A:G,7,0)</f>
        <v>46234</v>
      </c>
      <c r="T448" s="6">
        <v>0</v>
      </c>
      <c r="U448" s="43">
        <f>VLOOKUP(Tabla1[[#This Row],[PAGO DIA]],DIAS!A:H,8,0)</f>
        <v>46265</v>
      </c>
      <c r="V448" s="6">
        <v>0</v>
      </c>
      <c r="W448" s="43">
        <f>VLOOKUP(Tabla1[[#This Row],[PAGO DIA]],DIAS!A:I,9,0)</f>
        <v>46295</v>
      </c>
      <c r="X448" s="6">
        <v>0</v>
      </c>
      <c r="Y448" s="43">
        <f>VLOOKUP(Tabla1[[#This Row],[PAGO DIA]],DIAS!A:J,10,0)</f>
        <v>46325</v>
      </c>
      <c r="Z448" s="6">
        <v>0</v>
      </c>
      <c r="AA448" s="43">
        <f>VLOOKUP(Tabla1[[#This Row],[PAGO DIA]],DIAS!A:K,11,0)</f>
        <v>46356</v>
      </c>
      <c r="AB448" s="6">
        <v>0</v>
      </c>
      <c r="AC448" s="43">
        <f>VLOOKUP(Tabla1[[#This Row],[PAGO DIA]],DIAS!A:M,12,0)</f>
        <v>46386</v>
      </c>
      <c r="AD4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49" spans="1:30">
      <c r="A449" s="3">
        <v>11776</v>
      </c>
      <c r="B449" s="3" t="s">
        <v>604</v>
      </c>
      <c r="C449" s="3" t="s">
        <v>540</v>
      </c>
      <c r="D449" s="3" t="s">
        <v>540</v>
      </c>
      <c r="E449" s="3" t="s">
        <v>1078</v>
      </c>
      <c r="F449" s="42" t="s">
        <v>631</v>
      </c>
      <c r="G449" s="3" t="s">
        <v>1084</v>
      </c>
      <c r="H449" s="6">
        <v>0</v>
      </c>
      <c r="I449" s="41">
        <f>VLOOKUP(Tabla1[[#This Row],[PAGO DIA]],DIAS!A:B,2,0)</f>
        <v>46080</v>
      </c>
      <c r="J449" s="6">
        <v>0</v>
      </c>
      <c r="K449" s="43">
        <f>VLOOKUP(Tabla1[[#This Row],[PAGO DIA]],DIAS!A:C,3,0)</f>
        <v>46112</v>
      </c>
      <c r="L449" s="6">
        <v>0</v>
      </c>
      <c r="M449" s="41">
        <f>VLOOKUP(Tabla1[[#This Row],[PAGO DIA]],DIAS!A:D,4,0)</f>
        <v>46142</v>
      </c>
      <c r="N449" s="6">
        <v>0</v>
      </c>
      <c r="O449" s="43">
        <f>VLOOKUP(Tabla1[[#This Row],[PAGO DIA]],DIAS!A:E,5,0)</f>
        <v>46171</v>
      </c>
      <c r="P449" s="6">
        <v>0</v>
      </c>
      <c r="Q449" s="43">
        <f>VLOOKUP(Tabla1[[#This Row],[PAGO DIA]],DIAS!A:F,6,0)</f>
        <v>46203</v>
      </c>
      <c r="R449" s="6">
        <v>0</v>
      </c>
      <c r="S449" s="43">
        <f>VLOOKUP(Tabla1[[#This Row],[PAGO DIA]],DIAS!A:G,7,0)</f>
        <v>46234</v>
      </c>
      <c r="T449" s="6">
        <v>0</v>
      </c>
      <c r="U449" s="43">
        <f>VLOOKUP(Tabla1[[#This Row],[PAGO DIA]],DIAS!A:H,8,0)</f>
        <v>46265</v>
      </c>
      <c r="V449" s="6">
        <v>0</v>
      </c>
      <c r="W449" s="43">
        <f>VLOOKUP(Tabla1[[#This Row],[PAGO DIA]],DIAS!A:I,9,0)</f>
        <v>46295</v>
      </c>
      <c r="X449" s="6">
        <v>0</v>
      </c>
      <c r="Y449" s="43">
        <f>VLOOKUP(Tabla1[[#This Row],[PAGO DIA]],DIAS!A:J,10,0)</f>
        <v>46325</v>
      </c>
      <c r="Z449" s="6">
        <v>0</v>
      </c>
      <c r="AA449" s="43">
        <f>VLOOKUP(Tabla1[[#This Row],[PAGO DIA]],DIAS!A:K,11,0)</f>
        <v>46356</v>
      </c>
      <c r="AB449" s="6">
        <v>0</v>
      </c>
      <c r="AC449" s="43">
        <f>VLOOKUP(Tabla1[[#This Row],[PAGO DIA]],DIAS!A:M,12,0)</f>
        <v>46386</v>
      </c>
      <c r="AD4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0" spans="1:30">
      <c r="A450" s="3">
        <v>11777</v>
      </c>
      <c r="B450" s="3" t="s">
        <v>604</v>
      </c>
      <c r="C450" s="3" t="s">
        <v>540</v>
      </c>
      <c r="D450" s="3" t="s">
        <v>540</v>
      </c>
      <c r="E450" s="3" t="s">
        <v>1078</v>
      </c>
      <c r="F450" s="42" t="s">
        <v>631</v>
      </c>
      <c r="G450" s="3" t="s">
        <v>1085</v>
      </c>
      <c r="H450" s="6">
        <v>0</v>
      </c>
      <c r="I450" s="41">
        <f>VLOOKUP(Tabla1[[#This Row],[PAGO DIA]],DIAS!A:B,2,0)</f>
        <v>46080</v>
      </c>
      <c r="J450" s="6">
        <v>0</v>
      </c>
      <c r="K450" s="43">
        <f>VLOOKUP(Tabla1[[#This Row],[PAGO DIA]],DIAS!A:C,3,0)</f>
        <v>46112</v>
      </c>
      <c r="L450" s="6">
        <v>0</v>
      </c>
      <c r="M450" s="41">
        <f>VLOOKUP(Tabla1[[#This Row],[PAGO DIA]],DIAS!A:D,4,0)</f>
        <v>46142</v>
      </c>
      <c r="N450" s="6">
        <v>0</v>
      </c>
      <c r="O450" s="43">
        <f>VLOOKUP(Tabla1[[#This Row],[PAGO DIA]],DIAS!A:E,5,0)</f>
        <v>46171</v>
      </c>
      <c r="P450" s="6">
        <v>0</v>
      </c>
      <c r="Q450" s="43">
        <f>VLOOKUP(Tabla1[[#This Row],[PAGO DIA]],DIAS!A:F,6,0)</f>
        <v>46203</v>
      </c>
      <c r="R450" s="6">
        <v>0</v>
      </c>
      <c r="S450" s="43">
        <f>VLOOKUP(Tabla1[[#This Row],[PAGO DIA]],DIAS!A:G,7,0)</f>
        <v>46234</v>
      </c>
      <c r="T450" s="6">
        <v>0</v>
      </c>
      <c r="U450" s="43">
        <f>VLOOKUP(Tabla1[[#This Row],[PAGO DIA]],DIAS!A:H,8,0)</f>
        <v>46265</v>
      </c>
      <c r="V450" s="6">
        <v>0</v>
      </c>
      <c r="W450" s="43">
        <f>VLOOKUP(Tabla1[[#This Row],[PAGO DIA]],DIAS!A:I,9,0)</f>
        <v>46295</v>
      </c>
      <c r="X450" s="6">
        <v>0</v>
      </c>
      <c r="Y450" s="43">
        <f>VLOOKUP(Tabla1[[#This Row],[PAGO DIA]],DIAS!A:J,10,0)</f>
        <v>46325</v>
      </c>
      <c r="Z450" s="6">
        <v>0</v>
      </c>
      <c r="AA450" s="43">
        <f>VLOOKUP(Tabla1[[#This Row],[PAGO DIA]],DIAS!A:K,11,0)</f>
        <v>46356</v>
      </c>
      <c r="AB450" s="6">
        <v>0</v>
      </c>
      <c r="AC450" s="43">
        <f>VLOOKUP(Tabla1[[#This Row],[PAGO DIA]],DIAS!A:M,12,0)</f>
        <v>46386</v>
      </c>
      <c r="AD4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1" spans="1:30">
      <c r="A451" s="3">
        <v>11778</v>
      </c>
      <c r="B451" s="3" t="s">
        <v>604</v>
      </c>
      <c r="C451" s="3" t="s">
        <v>540</v>
      </c>
      <c r="D451" s="3" t="s">
        <v>540</v>
      </c>
      <c r="E451" s="3" t="s">
        <v>1078</v>
      </c>
      <c r="F451" s="42" t="s">
        <v>631</v>
      </c>
      <c r="G451" s="3" t="s">
        <v>1086</v>
      </c>
      <c r="H451" s="6">
        <v>0</v>
      </c>
      <c r="I451" s="41">
        <f>VLOOKUP(Tabla1[[#This Row],[PAGO DIA]],DIAS!A:B,2,0)</f>
        <v>46080</v>
      </c>
      <c r="J451" s="6">
        <v>0</v>
      </c>
      <c r="K451" s="43">
        <f>VLOOKUP(Tabla1[[#This Row],[PAGO DIA]],DIAS!A:C,3,0)</f>
        <v>46112</v>
      </c>
      <c r="L451" s="6">
        <v>0</v>
      </c>
      <c r="M451" s="41">
        <f>VLOOKUP(Tabla1[[#This Row],[PAGO DIA]],DIAS!A:D,4,0)</f>
        <v>46142</v>
      </c>
      <c r="N451" s="6">
        <v>0</v>
      </c>
      <c r="O451" s="43">
        <f>VLOOKUP(Tabla1[[#This Row],[PAGO DIA]],DIAS!A:E,5,0)</f>
        <v>46171</v>
      </c>
      <c r="P451" s="6">
        <v>0</v>
      </c>
      <c r="Q451" s="43">
        <f>VLOOKUP(Tabla1[[#This Row],[PAGO DIA]],DIAS!A:F,6,0)</f>
        <v>46203</v>
      </c>
      <c r="R451" s="6">
        <v>0</v>
      </c>
      <c r="S451" s="43">
        <f>VLOOKUP(Tabla1[[#This Row],[PAGO DIA]],DIAS!A:G,7,0)</f>
        <v>46234</v>
      </c>
      <c r="T451" s="6">
        <v>0</v>
      </c>
      <c r="U451" s="43">
        <f>VLOOKUP(Tabla1[[#This Row],[PAGO DIA]],DIAS!A:H,8,0)</f>
        <v>46265</v>
      </c>
      <c r="V451" s="6">
        <v>0</v>
      </c>
      <c r="W451" s="43">
        <f>VLOOKUP(Tabla1[[#This Row],[PAGO DIA]],DIAS!A:I,9,0)</f>
        <v>46295</v>
      </c>
      <c r="X451" s="6">
        <v>0</v>
      </c>
      <c r="Y451" s="43">
        <f>VLOOKUP(Tabla1[[#This Row],[PAGO DIA]],DIAS!A:J,10,0)</f>
        <v>46325</v>
      </c>
      <c r="Z451" s="6">
        <v>0</v>
      </c>
      <c r="AA451" s="43">
        <f>VLOOKUP(Tabla1[[#This Row],[PAGO DIA]],DIAS!A:K,11,0)</f>
        <v>46356</v>
      </c>
      <c r="AB451" s="6">
        <v>0</v>
      </c>
      <c r="AC451" s="43">
        <f>VLOOKUP(Tabla1[[#This Row],[PAGO DIA]],DIAS!A:M,12,0)</f>
        <v>46386</v>
      </c>
      <c r="AD4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2" spans="1:30">
      <c r="A452" s="3">
        <v>12699</v>
      </c>
      <c r="B452" s="3" t="s">
        <v>604</v>
      </c>
      <c r="C452" s="3" t="s">
        <v>605</v>
      </c>
      <c r="D452" s="3" t="s">
        <v>540</v>
      </c>
      <c r="E452" s="3" t="s">
        <v>1087</v>
      </c>
      <c r="F452" s="42" t="s">
        <v>631</v>
      </c>
      <c r="G452" s="3" t="s">
        <v>1088</v>
      </c>
      <c r="H452" s="6">
        <v>0</v>
      </c>
      <c r="I452" s="41">
        <f>VLOOKUP(Tabla1[[#This Row],[PAGO DIA]],DIAS!A:B,2,0)</f>
        <v>46080</v>
      </c>
      <c r="J452" s="6">
        <v>0</v>
      </c>
      <c r="K452" s="43">
        <f>VLOOKUP(Tabla1[[#This Row],[PAGO DIA]],DIAS!A:C,3,0)</f>
        <v>46112</v>
      </c>
      <c r="L452" s="6">
        <v>0</v>
      </c>
      <c r="M452" s="41">
        <f>VLOOKUP(Tabla1[[#This Row],[PAGO DIA]],DIAS!A:D,4,0)</f>
        <v>46142</v>
      </c>
      <c r="N452" s="6">
        <v>0</v>
      </c>
      <c r="O452" s="43">
        <f>VLOOKUP(Tabla1[[#This Row],[PAGO DIA]],DIAS!A:E,5,0)</f>
        <v>46171</v>
      </c>
      <c r="P452" s="6">
        <v>0</v>
      </c>
      <c r="Q452" s="43">
        <f>VLOOKUP(Tabla1[[#This Row],[PAGO DIA]],DIAS!A:F,6,0)</f>
        <v>46203</v>
      </c>
      <c r="R452" s="6">
        <v>0</v>
      </c>
      <c r="S452" s="43">
        <f>VLOOKUP(Tabla1[[#This Row],[PAGO DIA]],DIAS!A:G,7,0)</f>
        <v>46234</v>
      </c>
      <c r="T452" s="6">
        <v>0</v>
      </c>
      <c r="U452" s="43">
        <f>VLOOKUP(Tabla1[[#This Row],[PAGO DIA]],DIAS!A:H,8,0)</f>
        <v>46265</v>
      </c>
      <c r="V452" s="6">
        <v>0</v>
      </c>
      <c r="W452" s="43">
        <f>VLOOKUP(Tabla1[[#This Row],[PAGO DIA]],DIAS!A:I,9,0)</f>
        <v>46295</v>
      </c>
      <c r="X452" s="6">
        <v>0</v>
      </c>
      <c r="Y452" s="43">
        <f>VLOOKUP(Tabla1[[#This Row],[PAGO DIA]],DIAS!A:J,10,0)</f>
        <v>46325</v>
      </c>
      <c r="Z452" s="6">
        <v>0</v>
      </c>
      <c r="AA452" s="43">
        <f>VLOOKUP(Tabla1[[#This Row],[PAGO DIA]],DIAS!A:K,11,0)</f>
        <v>46356</v>
      </c>
      <c r="AB452" s="6">
        <v>0</v>
      </c>
      <c r="AC452" s="43">
        <f>VLOOKUP(Tabla1[[#This Row],[PAGO DIA]],DIAS!A:M,12,0)</f>
        <v>46386</v>
      </c>
      <c r="AD4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3" spans="1:30">
      <c r="A453" s="3">
        <v>12702</v>
      </c>
      <c r="B453" s="3" t="s">
        <v>604</v>
      </c>
      <c r="C453" s="3" t="s">
        <v>605</v>
      </c>
      <c r="D453" s="3" t="s">
        <v>540</v>
      </c>
      <c r="E453" s="3" t="s">
        <v>1087</v>
      </c>
      <c r="F453" s="42" t="s">
        <v>631</v>
      </c>
      <c r="G453" s="3" t="s">
        <v>1089</v>
      </c>
      <c r="H453" s="6">
        <v>0</v>
      </c>
      <c r="I453" s="41">
        <f>VLOOKUP(Tabla1[[#This Row],[PAGO DIA]],DIAS!A:B,2,0)</f>
        <v>46080</v>
      </c>
      <c r="J453" s="6">
        <v>0</v>
      </c>
      <c r="K453" s="43">
        <f>VLOOKUP(Tabla1[[#This Row],[PAGO DIA]],DIAS!A:C,3,0)</f>
        <v>46112</v>
      </c>
      <c r="L453" s="6">
        <v>0</v>
      </c>
      <c r="M453" s="41">
        <f>VLOOKUP(Tabla1[[#This Row],[PAGO DIA]],DIAS!A:D,4,0)</f>
        <v>46142</v>
      </c>
      <c r="N453" s="6">
        <v>0</v>
      </c>
      <c r="O453" s="43">
        <f>VLOOKUP(Tabla1[[#This Row],[PAGO DIA]],DIAS!A:E,5,0)</f>
        <v>46171</v>
      </c>
      <c r="P453" s="6">
        <v>0</v>
      </c>
      <c r="Q453" s="43">
        <f>VLOOKUP(Tabla1[[#This Row],[PAGO DIA]],DIAS!A:F,6,0)</f>
        <v>46203</v>
      </c>
      <c r="R453" s="6">
        <v>0</v>
      </c>
      <c r="S453" s="43">
        <f>VLOOKUP(Tabla1[[#This Row],[PAGO DIA]],DIAS!A:G,7,0)</f>
        <v>46234</v>
      </c>
      <c r="T453" s="6">
        <v>0</v>
      </c>
      <c r="U453" s="43">
        <f>VLOOKUP(Tabla1[[#This Row],[PAGO DIA]],DIAS!A:H,8,0)</f>
        <v>46265</v>
      </c>
      <c r="V453" s="6">
        <v>0</v>
      </c>
      <c r="W453" s="43">
        <f>VLOOKUP(Tabla1[[#This Row],[PAGO DIA]],DIAS!A:I,9,0)</f>
        <v>46295</v>
      </c>
      <c r="X453" s="6">
        <v>0</v>
      </c>
      <c r="Y453" s="43">
        <f>VLOOKUP(Tabla1[[#This Row],[PAGO DIA]],DIAS!A:J,10,0)</f>
        <v>46325</v>
      </c>
      <c r="Z453" s="6">
        <v>0</v>
      </c>
      <c r="AA453" s="43">
        <f>VLOOKUP(Tabla1[[#This Row],[PAGO DIA]],DIAS!A:K,11,0)</f>
        <v>46356</v>
      </c>
      <c r="AB453" s="6">
        <v>0</v>
      </c>
      <c r="AC453" s="43">
        <f>VLOOKUP(Tabla1[[#This Row],[PAGO DIA]],DIAS!A:M,12,0)</f>
        <v>46386</v>
      </c>
      <c r="AD4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4" spans="1:30">
      <c r="A454" s="3">
        <v>12706</v>
      </c>
      <c r="B454" s="3" t="s">
        <v>604</v>
      </c>
      <c r="C454" s="3" t="s">
        <v>605</v>
      </c>
      <c r="D454" s="3" t="s">
        <v>540</v>
      </c>
      <c r="E454" s="3" t="s">
        <v>1087</v>
      </c>
      <c r="F454" s="42" t="s">
        <v>631</v>
      </c>
      <c r="G454" s="3" t="s">
        <v>1090</v>
      </c>
      <c r="H454" s="6">
        <v>0</v>
      </c>
      <c r="I454" s="41">
        <f>VLOOKUP(Tabla1[[#This Row],[PAGO DIA]],DIAS!A:B,2,0)</f>
        <v>46080</v>
      </c>
      <c r="J454" s="6">
        <v>0</v>
      </c>
      <c r="K454" s="43">
        <f>VLOOKUP(Tabla1[[#This Row],[PAGO DIA]],DIAS!A:C,3,0)</f>
        <v>46112</v>
      </c>
      <c r="L454" s="6">
        <v>0</v>
      </c>
      <c r="M454" s="41">
        <f>VLOOKUP(Tabla1[[#This Row],[PAGO DIA]],DIAS!A:D,4,0)</f>
        <v>46142</v>
      </c>
      <c r="N454" s="6">
        <v>0</v>
      </c>
      <c r="O454" s="43">
        <f>VLOOKUP(Tabla1[[#This Row],[PAGO DIA]],DIAS!A:E,5,0)</f>
        <v>46171</v>
      </c>
      <c r="P454" s="6">
        <v>0</v>
      </c>
      <c r="Q454" s="43">
        <f>VLOOKUP(Tabla1[[#This Row],[PAGO DIA]],DIAS!A:F,6,0)</f>
        <v>46203</v>
      </c>
      <c r="R454" s="6">
        <v>0</v>
      </c>
      <c r="S454" s="43">
        <f>VLOOKUP(Tabla1[[#This Row],[PAGO DIA]],DIAS!A:G,7,0)</f>
        <v>46234</v>
      </c>
      <c r="T454" s="6">
        <v>0</v>
      </c>
      <c r="U454" s="43">
        <f>VLOOKUP(Tabla1[[#This Row],[PAGO DIA]],DIAS!A:H,8,0)</f>
        <v>46265</v>
      </c>
      <c r="V454" s="6">
        <v>0</v>
      </c>
      <c r="W454" s="43">
        <f>VLOOKUP(Tabla1[[#This Row],[PAGO DIA]],DIAS!A:I,9,0)</f>
        <v>46295</v>
      </c>
      <c r="X454" s="6">
        <v>0</v>
      </c>
      <c r="Y454" s="43">
        <f>VLOOKUP(Tabla1[[#This Row],[PAGO DIA]],DIAS!A:J,10,0)</f>
        <v>46325</v>
      </c>
      <c r="Z454" s="6">
        <v>0</v>
      </c>
      <c r="AA454" s="43">
        <f>VLOOKUP(Tabla1[[#This Row],[PAGO DIA]],DIAS!A:K,11,0)</f>
        <v>46356</v>
      </c>
      <c r="AB454" s="6">
        <v>0</v>
      </c>
      <c r="AC454" s="43">
        <f>VLOOKUP(Tabla1[[#This Row],[PAGO DIA]],DIAS!A:M,12,0)</f>
        <v>46386</v>
      </c>
      <c r="AD4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5" spans="1:30">
      <c r="A455" s="3">
        <v>12707</v>
      </c>
      <c r="B455" s="3" t="s">
        <v>604</v>
      </c>
      <c r="C455" s="3" t="s">
        <v>605</v>
      </c>
      <c r="D455" s="3" t="s">
        <v>540</v>
      </c>
      <c r="E455" s="3" t="s">
        <v>1087</v>
      </c>
      <c r="F455" s="42" t="s">
        <v>631</v>
      </c>
      <c r="G455" s="3" t="s">
        <v>1091</v>
      </c>
      <c r="H455" s="6">
        <v>0</v>
      </c>
      <c r="I455" s="41">
        <f>VLOOKUP(Tabla1[[#This Row],[PAGO DIA]],DIAS!A:B,2,0)</f>
        <v>46080</v>
      </c>
      <c r="J455" s="6">
        <v>0</v>
      </c>
      <c r="K455" s="43">
        <f>VLOOKUP(Tabla1[[#This Row],[PAGO DIA]],DIAS!A:C,3,0)</f>
        <v>46112</v>
      </c>
      <c r="L455" s="6">
        <v>0</v>
      </c>
      <c r="M455" s="41">
        <f>VLOOKUP(Tabla1[[#This Row],[PAGO DIA]],DIAS!A:D,4,0)</f>
        <v>46142</v>
      </c>
      <c r="N455" s="6">
        <v>0</v>
      </c>
      <c r="O455" s="43">
        <f>VLOOKUP(Tabla1[[#This Row],[PAGO DIA]],DIAS!A:E,5,0)</f>
        <v>46171</v>
      </c>
      <c r="P455" s="6">
        <v>0</v>
      </c>
      <c r="Q455" s="43">
        <f>VLOOKUP(Tabla1[[#This Row],[PAGO DIA]],DIAS!A:F,6,0)</f>
        <v>46203</v>
      </c>
      <c r="R455" s="6">
        <v>0</v>
      </c>
      <c r="S455" s="43">
        <f>VLOOKUP(Tabla1[[#This Row],[PAGO DIA]],DIAS!A:G,7,0)</f>
        <v>46234</v>
      </c>
      <c r="T455" s="6">
        <v>0</v>
      </c>
      <c r="U455" s="43">
        <f>VLOOKUP(Tabla1[[#This Row],[PAGO DIA]],DIAS!A:H,8,0)</f>
        <v>46265</v>
      </c>
      <c r="V455" s="6">
        <v>0</v>
      </c>
      <c r="W455" s="43">
        <f>VLOOKUP(Tabla1[[#This Row],[PAGO DIA]],DIAS!A:I,9,0)</f>
        <v>46295</v>
      </c>
      <c r="X455" s="6">
        <v>0</v>
      </c>
      <c r="Y455" s="43">
        <f>VLOOKUP(Tabla1[[#This Row],[PAGO DIA]],DIAS!A:J,10,0)</f>
        <v>46325</v>
      </c>
      <c r="Z455" s="6">
        <v>0</v>
      </c>
      <c r="AA455" s="43">
        <f>VLOOKUP(Tabla1[[#This Row],[PAGO DIA]],DIAS!A:K,11,0)</f>
        <v>46356</v>
      </c>
      <c r="AB455" s="6">
        <v>0</v>
      </c>
      <c r="AC455" s="43">
        <f>VLOOKUP(Tabla1[[#This Row],[PAGO DIA]],DIAS!A:M,12,0)</f>
        <v>46386</v>
      </c>
      <c r="AD4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6" spans="1:30">
      <c r="A456" s="3">
        <v>11779</v>
      </c>
      <c r="B456" s="3" t="s">
        <v>604</v>
      </c>
      <c r="C456" s="3" t="s">
        <v>540</v>
      </c>
      <c r="D456" s="3" t="s">
        <v>540</v>
      </c>
      <c r="E456" s="3" t="s">
        <v>837</v>
      </c>
      <c r="F456" s="42" t="s">
        <v>631</v>
      </c>
      <c r="G456" s="3" t="s">
        <v>1092</v>
      </c>
      <c r="H456" s="6">
        <v>0</v>
      </c>
      <c r="I456" s="41">
        <f>VLOOKUP(Tabla1[[#This Row],[PAGO DIA]],DIAS!A:B,2,0)</f>
        <v>46080</v>
      </c>
      <c r="J456" s="6">
        <v>0</v>
      </c>
      <c r="K456" s="43">
        <f>VLOOKUP(Tabla1[[#This Row],[PAGO DIA]],DIAS!A:C,3,0)</f>
        <v>46112</v>
      </c>
      <c r="L456" s="6">
        <v>0</v>
      </c>
      <c r="M456" s="41">
        <f>VLOOKUP(Tabla1[[#This Row],[PAGO DIA]],DIAS!A:D,4,0)</f>
        <v>46142</v>
      </c>
      <c r="N456" s="6">
        <v>0</v>
      </c>
      <c r="O456" s="43">
        <f>VLOOKUP(Tabla1[[#This Row],[PAGO DIA]],DIAS!A:E,5,0)</f>
        <v>46171</v>
      </c>
      <c r="P456" s="6">
        <v>0</v>
      </c>
      <c r="Q456" s="43">
        <f>VLOOKUP(Tabla1[[#This Row],[PAGO DIA]],DIAS!A:F,6,0)</f>
        <v>46203</v>
      </c>
      <c r="R456" s="6">
        <v>0</v>
      </c>
      <c r="S456" s="43">
        <f>VLOOKUP(Tabla1[[#This Row],[PAGO DIA]],DIAS!A:G,7,0)</f>
        <v>46234</v>
      </c>
      <c r="T456" s="6">
        <v>0</v>
      </c>
      <c r="U456" s="43">
        <f>VLOOKUP(Tabla1[[#This Row],[PAGO DIA]],DIAS!A:H,8,0)</f>
        <v>46265</v>
      </c>
      <c r="V456" s="6">
        <v>0</v>
      </c>
      <c r="W456" s="43">
        <f>VLOOKUP(Tabla1[[#This Row],[PAGO DIA]],DIAS!A:I,9,0)</f>
        <v>46295</v>
      </c>
      <c r="X456" s="6">
        <v>0</v>
      </c>
      <c r="Y456" s="43">
        <f>VLOOKUP(Tabla1[[#This Row],[PAGO DIA]],DIAS!A:J,10,0)</f>
        <v>46325</v>
      </c>
      <c r="Z456" s="6">
        <v>0</v>
      </c>
      <c r="AA456" s="43">
        <f>VLOOKUP(Tabla1[[#This Row],[PAGO DIA]],DIAS!A:K,11,0)</f>
        <v>46356</v>
      </c>
      <c r="AB456" s="6">
        <v>0</v>
      </c>
      <c r="AC456" s="43">
        <f>VLOOKUP(Tabla1[[#This Row],[PAGO DIA]],DIAS!A:M,12,0)</f>
        <v>46386</v>
      </c>
      <c r="AD4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7" spans="1:30">
      <c r="A457" s="3">
        <v>11780</v>
      </c>
      <c r="B457" s="3" t="s">
        <v>604</v>
      </c>
      <c r="C457" s="3" t="s">
        <v>540</v>
      </c>
      <c r="D457" s="3" t="s">
        <v>540</v>
      </c>
      <c r="E457" s="3" t="s">
        <v>837</v>
      </c>
      <c r="F457" s="42" t="s">
        <v>631</v>
      </c>
      <c r="G457" s="3" t="s">
        <v>1093</v>
      </c>
      <c r="H457" s="6">
        <v>0</v>
      </c>
      <c r="I457" s="41">
        <f>VLOOKUP(Tabla1[[#This Row],[PAGO DIA]],DIAS!A:B,2,0)</f>
        <v>46080</v>
      </c>
      <c r="J457" s="6">
        <v>0</v>
      </c>
      <c r="K457" s="43">
        <f>VLOOKUP(Tabla1[[#This Row],[PAGO DIA]],DIAS!A:C,3,0)</f>
        <v>46112</v>
      </c>
      <c r="L457" s="6">
        <v>0</v>
      </c>
      <c r="M457" s="41">
        <f>VLOOKUP(Tabla1[[#This Row],[PAGO DIA]],DIAS!A:D,4,0)</f>
        <v>46142</v>
      </c>
      <c r="N457" s="6">
        <v>0</v>
      </c>
      <c r="O457" s="43">
        <f>VLOOKUP(Tabla1[[#This Row],[PAGO DIA]],DIAS!A:E,5,0)</f>
        <v>46171</v>
      </c>
      <c r="P457" s="6">
        <v>0</v>
      </c>
      <c r="Q457" s="43">
        <f>VLOOKUP(Tabla1[[#This Row],[PAGO DIA]],DIAS!A:F,6,0)</f>
        <v>46203</v>
      </c>
      <c r="R457" s="6">
        <v>0</v>
      </c>
      <c r="S457" s="43">
        <f>VLOOKUP(Tabla1[[#This Row],[PAGO DIA]],DIAS!A:G,7,0)</f>
        <v>46234</v>
      </c>
      <c r="T457" s="6">
        <v>0</v>
      </c>
      <c r="U457" s="43">
        <f>VLOOKUP(Tabla1[[#This Row],[PAGO DIA]],DIAS!A:H,8,0)</f>
        <v>46265</v>
      </c>
      <c r="V457" s="6">
        <v>0</v>
      </c>
      <c r="W457" s="43">
        <f>VLOOKUP(Tabla1[[#This Row],[PAGO DIA]],DIAS!A:I,9,0)</f>
        <v>46295</v>
      </c>
      <c r="X457" s="6">
        <v>0</v>
      </c>
      <c r="Y457" s="43">
        <f>VLOOKUP(Tabla1[[#This Row],[PAGO DIA]],DIAS!A:J,10,0)</f>
        <v>46325</v>
      </c>
      <c r="Z457" s="6">
        <v>0</v>
      </c>
      <c r="AA457" s="43">
        <f>VLOOKUP(Tabla1[[#This Row],[PAGO DIA]],DIAS!A:K,11,0)</f>
        <v>46356</v>
      </c>
      <c r="AB457" s="6">
        <v>0</v>
      </c>
      <c r="AC457" s="43">
        <f>VLOOKUP(Tabla1[[#This Row],[PAGO DIA]],DIAS!A:M,12,0)</f>
        <v>46386</v>
      </c>
      <c r="AD4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8" spans="1:30">
      <c r="A458" s="3">
        <v>11781</v>
      </c>
      <c r="B458" s="3" t="s">
        <v>604</v>
      </c>
      <c r="C458" s="3" t="s">
        <v>540</v>
      </c>
      <c r="D458" s="3" t="s">
        <v>540</v>
      </c>
      <c r="E458" s="3" t="s">
        <v>837</v>
      </c>
      <c r="F458" s="42" t="s">
        <v>631</v>
      </c>
      <c r="G458" s="3" t="s">
        <v>1094</v>
      </c>
      <c r="H458" s="6">
        <v>0</v>
      </c>
      <c r="I458" s="41">
        <f>VLOOKUP(Tabla1[[#This Row],[PAGO DIA]],DIAS!A:B,2,0)</f>
        <v>46080</v>
      </c>
      <c r="J458" s="6">
        <v>0</v>
      </c>
      <c r="K458" s="43">
        <f>VLOOKUP(Tabla1[[#This Row],[PAGO DIA]],DIAS!A:C,3,0)</f>
        <v>46112</v>
      </c>
      <c r="L458" s="6">
        <v>0</v>
      </c>
      <c r="M458" s="41">
        <f>VLOOKUP(Tabla1[[#This Row],[PAGO DIA]],DIAS!A:D,4,0)</f>
        <v>46142</v>
      </c>
      <c r="N458" s="6">
        <v>0</v>
      </c>
      <c r="O458" s="43">
        <f>VLOOKUP(Tabla1[[#This Row],[PAGO DIA]],DIAS!A:E,5,0)</f>
        <v>46171</v>
      </c>
      <c r="P458" s="6">
        <v>0</v>
      </c>
      <c r="Q458" s="43">
        <f>VLOOKUP(Tabla1[[#This Row],[PAGO DIA]],DIAS!A:F,6,0)</f>
        <v>46203</v>
      </c>
      <c r="R458" s="6">
        <v>0</v>
      </c>
      <c r="S458" s="43">
        <f>VLOOKUP(Tabla1[[#This Row],[PAGO DIA]],DIAS!A:G,7,0)</f>
        <v>46234</v>
      </c>
      <c r="T458" s="6">
        <v>0</v>
      </c>
      <c r="U458" s="43">
        <f>VLOOKUP(Tabla1[[#This Row],[PAGO DIA]],DIAS!A:H,8,0)</f>
        <v>46265</v>
      </c>
      <c r="V458" s="6">
        <v>0</v>
      </c>
      <c r="W458" s="43">
        <f>VLOOKUP(Tabla1[[#This Row],[PAGO DIA]],DIAS!A:I,9,0)</f>
        <v>46295</v>
      </c>
      <c r="X458" s="6">
        <v>0</v>
      </c>
      <c r="Y458" s="43">
        <f>VLOOKUP(Tabla1[[#This Row],[PAGO DIA]],DIAS!A:J,10,0)</f>
        <v>46325</v>
      </c>
      <c r="Z458" s="6">
        <v>0</v>
      </c>
      <c r="AA458" s="43">
        <f>VLOOKUP(Tabla1[[#This Row],[PAGO DIA]],DIAS!A:K,11,0)</f>
        <v>46356</v>
      </c>
      <c r="AB458" s="6">
        <v>0</v>
      </c>
      <c r="AC458" s="43">
        <f>VLOOKUP(Tabla1[[#This Row],[PAGO DIA]],DIAS!A:M,12,0)</f>
        <v>46386</v>
      </c>
      <c r="AD4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59" spans="1:30">
      <c r="A459" s="3">
        <v>11835</v>
      </c>
      <c r="B459" s="3" t="s">
        <v>604</v>
      </c>
      <c r="C459" s="3" t="s">
        <v>540</v>
      </c>
      <c r="D459" s="3" t="s">
        <v>540</v>
      </c>
      <c r="E459" s="3" t="s">
        <v>1095</v>
      </c>
      <c r="F459" s="42" t="s">
        <v>631</v>
      </c>
      <c r="G459" s="3" t="s">
        <v>1096</v>
      </c>
      <c r="H459" s="6">
        <v>0</v>
      </c>
      <c r="I459" s="41">
        <f>VLOOKUP(Tabla1[[#This Row],[PAGO DIA]],DIAS!A:B,2,0)</f>
        <v>46080</v>
      </c>
      <c r="J459" s="6">
        <v>0</v>
      </c>
      <c r="K459" s="43">
        <f>VLOOKUP(Tabla1[[#This Row],[PAGO DIA]],DIAS!A:C,3,0)</f>
        <v>46112</v>
      </c>
      <c r="L459" s="6">
        <v>0</v>
      </c>
      <c r="M459" s="41">
        <f>VLOOKUP(Tabla1[[#This Row],[PAGO DIA]],DIAS!A:D,4,0)</f>
        <v>46142</v>
      </c>
      <c r="N459" s="6">
        <v>0</v>
      </c>
      <c r="O459" s="43">
        <f>VLOOKUP(Tabla1[[#This Row],[PAGO DIA]],DIAS!A:E,5,0)</f>
        <v>46171</v>
      </c>
      <c r="P459" s="6">
        <v>0</v>
      </c>
      <c r="Q459" s="43">
        <f>VLOOKUP(Tabla1[[#This Row],[PAGO DIA]],DIAS!A:F,6,0)</f>
        <v>46203</v>
      </c>
      <c r="R459" s="6">
        <v>0</v>
      </c>
      <c r="S459" s="43">
        <f>VLOOKUP(Tabla1[[#This Row],[PAGO DIA]],DIAS!A:G,7,0)</f>
        <v>46234</v>
      </c>
      <c r="T459" s="6">
        <v>0</v>
      </c>
      <c r="U459" s="43">
        <f>VLOOKUP(Tabla1[[#This Row],[PAGO DIA]],DIAS!A:H,8,0)</f>
        <v>46265</v>
      </c>
      <c r="V459" s="6">
        <v>0</v>
      </c>
      <c r="W459" s="43">
        <f>VLOOKUP(Tabla1[[#This Row],[PAGO DIA]],DIAS!A:I,9,0)</f>
        <v>46295</v>
      </c>
      <c r="X459" s="6">
        <v>0</v>
      </c>
      <c r="Y459" s="43">
        <f>VLOOKUP(Tabla1[[#This Row],[PAGO DIA]],DIAS!A:J,10,0)</f>
        <v>46325</v>
      </c>
      <c r="Z459" s="6">
        <v>0</v>
      </c>
      <c r="AA459" s="43">
        <f>VLOOKUP(Tabla1[[#This Row],[PAGO DIA]],DIAS!A:K,11,0)</f>
        <v>46356</v>
      </c>
      <c r="AB459" s="6">
        <v>0</v>
      </c>
      <c r="AC459" s="43">
        <f>VLOOKUP(Tabla1[[#This Row],[PAGO DIA]],DIAS!A:M,12,0)</f>
        <v>46386</v>
      </c>
      <c r="AD4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0" spans="1:30">
      <c r="A460" s="3">
        <v>11836</v>
      </c>
      <c r="B460" s="3" t="s">
        <v>604</v>
      </c>
      <c r="C460" s="3" t="s">
        <v>540</v>
      </c>
      <c r="D460" s="3" t="s">
        <v>540</v>
      </c>
      <c r="E460" s="3" t="s">
        <v>1095</v>
      </c>
      <c r="F460" s="42" t="s">
        <v>631</v>
      </c>
      <c r="G460" s="3" t="s">
        <v>1096</v>
      </c>
      <c r="H460" s="6">
        <v>0</v>
      </c>
      <c r="I460" s="41">
        <f>VLOOKUP(Tabla1[[#This Row],[PAGO DIA]],DIAS!A:B,2,0)</f>
        <v>46080</v>
      </c>
      <c r="J460" s="6">
        <v>0</v>
      </c>
      <c r="K460" s="43">
        <f>VLOOKUP(Tabla1[[#This Row],[PAGO DIA]],DIAS!A:C,3,0)</f>
        <v>46112</v>
      </c>
      <c r="L460" s="6">
        <v>0</v>
      </c>
      <c r="M460" s="41">
        <f>VLOOKUP(Tabla1[[#This Row],[PAGO DIA]],DIAS!A:D,4,0)</f>
        <v>46142</v>
      </c>
      <c r="N460" s="6">
        <v>0</v>
      </c>
      <c r="O460" s="43">
        <f>VLOOKUP(Tabla1[[#This Row],[PAGO DIA]],DIAS!A:E,5,0)</f>
        <v>46171</v>
      </c>
      <c r="P460" s="6">
        <v>0</v>
      </c>
      <c r="Q460" s="43">
        <f>VLOOKUP(Tabla1[[#This Row],[PAGO DIA]],DIAS!A:F,6,0)</f>
        <v>46203</v>
      </c>
      <c r="R460" s="6">
        <v>0</v>
      </c>
      <c r="S460" s="43">
        <f>VLOOKUP(Tabla1[[#This Row],[PAGO DIA]],DIAS!A:G,7,0)</f>
        <v>46234</v>
      </c>
      <c r="T460" s="6">
        <v>0</v>
      </c>
      <c r="U460" s="43">
        <f>VLOOKUP(Tabla1[[#This Row],[PAGO DIA]],DIAS!A:H,8,0)</f>
        <v>46265</v>
      </c>
      <c r="V460" s="6">
        <v>0</v>
      </c>
      <c r="W460" s="43">
        <f>VLOOKUP(Tabla1[[#This Row],[PAGO DIA]],DIAS!A:I,9,0)</f>
        <v>46295</v>
      </c>
      <c r="X460" s="6">
        <v>0</v>
      </c>
      <c r="Y460" s="43">
        <f>VLOOKUP(Tabla1[[#This Row],[PAGO DIA]],DIAS!A:J,10,0)</f>
        <v>46325</v>
      </c>
      <c r="Z460" s="6">
        <v>0</v>
      </c>
      <c r="AA460" s="43">
        <f>VLOOKUP(Tabla1[[#This Row],[PAGO DIA]],DIAS!A:K,11,0)</f>
        <v>46356</v>
      </c>
      <c r="AB460" s="6">
        <v>0</v>
      </c>
      <c r="AC460" s="43">
        <f>VLOOKUP(Tabla1[[#This Row],[PAGO DIA]],DIAS!A:M,12,0)</f>
        <v>46386</v>
      </c>
      <c r="AD4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1" spans="1:30">
      <c r="A461" s="3">
        <v>12086</v>
      </c>
      <c r="B461" s="3" t="s">
        <v>604</v>
      </c>
      <c r="C461" s="3" t="s">
        <v>605</v>
      </c>
      <c r="D461" s="3" t="s">
        <v>605</v>
      </c>
      <c r="E461" s="3" t="s">
        <v>1097</v>
      </c>
      <c r="F461" s="42" t="s">
        <v>631</v>
      </c>
      <c r="G461" s="3" t="s">
        <v>635</v>
      </c>
      <c r="H461" s="6">
        <v>0</v>
      </c>
      <c r="I461" s="41">
        <f>VLOOKUP(Tabla1[[#This Row],[PAGO DIA]],DIAS!A:B,2,0)</f>
        <v>46080</v>
      </c>
      <c r="J461" s="6">
        <v>0</v>
      </c>
      <c r="K461" s="43">
        <f>VLOOKUP(Tabla1[[#This Row],[PAGO DIA]],DIAS!A:C,3,0)</f>
        <v>46112</v>
      </c>
      <c r="L461" s="6">
        <v>0</v>
      </c>
      <c r="M461" s="41">
        <f>VLOOKUP(Tabla1[[#This Row],[PAGO DIA]],DIAS!A:D,4,0)</f>
        <v>46142</v>
      </c>
      <c r="N461" s="6">
        <v>0</v>
      </c>
      <c r="O461" s="43">
        <f>VLOOKUP(Tabla1[[#This Row],[PAGO DIA]],DIAS!A:E,5,0)</f>
        <v>46171</v>
      </c>
      <c r="P461" s="6">
        <v>0</v>
      </c>
      <c r="Q461" s="43">
        <f>VLOOKUP(Tabla1[[#This Row],[PAGO DIA]],DIAS!A:F,6,0)</f>
        <v>46203</v>
      </c>
      <c r="R461" s="6">
        <v>0</v>
      </c>
      <c r="S461" s="43">
        <f>VLOOKUP(Tabla1[[#This Row],[PAGO DIA]],DIAS!A:G,7,0)</f>
        <v>46234</v>
      </c>
      <c r="T461" s="6">
        <v>0</v>
      </c>
      <c r="U461" s="43">
        <f>VLOOKUP(Tabla1[[#This Row],[PAGO DIA]],DIAS!A:H,8,0)</f>
        <v>46265</v>
      </c>
      <c r="V461" s="6">
        <v>0</v>
      </c>
      <c r="W461" s="43">
        <f>VLOOKUP(Tabla1[[#This Row],[PAGO DIA]],DIAS!A:I,9,0)</f>
        <v>46295</v>
      </c>
      <c r="X461" s="6">
        <v>0</v>
      </c>
      <c r="Y461" s="43">
        <f>VLOOKUP(Tabla1[[#This Row],[PAGO DIA]],DIAS!A:J,10,0)</f>
        <v>46325</v>
      </c>
      <c r="Z461" s="6">
        <v>0</v>
      </c>
      <c r="AA461" s="43">
        <f>VLOOKUP(Tabla1[[#This Row],[PAGO DIA]],DIAS!A:K,11,0)</f>
        <v>46356</v>
      </c>
      <c r="AB461" s="6">
        <v>0</v>
      </c>
      <c r="AC461" s="43">
        <f>VLOOKUP(Tabla1[[#This Row],[PAGO DIA]],DIAS!A:M,12,0)</f>
        <v>46386</v>
      </c>
      <c r="AD4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2" spans="1:30">
      <c r="A462" s="3">
        <v>11839</v>
      </c>
      <c r="B462" s="3" t="s">
        <v>604</v>
      </c>
      <c r="C462" s="3" t="s">
        <v>540</v>
      </c>
      <c r="D462" s="3" t="s">
        <v>540</v>
      </c>
      <c r="E462" s="3" t="s">
        <v>1098</v>
      </c>
      <c r="F462" s="42" t="s">
        <v>631</v>
      </c>
      <c r="G462" s="3" t="s">
        <v>1099</v>
      </c>
      <c r="H462" s="6">
        <v>0</v>
      </c>
      <c r="I462" s="41">
        <f>VLOOKUP(Tabla1[[#This Row],[PAGO DIA]],DIAS!A:B,2,0)</f>
        <v>46080</v>
      </c>
      <c r="J462" s="6">
        <v>0</v>
      </c>
      <c r="K462" s="43">
        <f>VLOOKUP(Tabla1[[#This Row],[PAGO DIA]],DIAS!A:C,3,0)</f>
        <v>46112</v>
      </c>
      <c r="L462" s="6">
        <v>0</v>
      </c>
      <c r="M462" s="41">
        <f>VLOOKUP(Tabla1[[#This Row],[PAGO DIA]],DIAS!A:D,4,0)</f>
        <v>46142</v>
      </c>
      <c r="N462" s="6">
        <v>0</v>
      </c>
      <c r="O462" s="43">
        <f>VLOOKUP(Tabla1[[#This Row],[PAGO DIA]],DIAS!A:E,5,0)</f>
        <v>46171</v>
      </c>
      <c r="P462" s="6">
        <v>0</v>
      </c>
      <c r="Q462" s="43">
        <f>VLOOKUP(Tabla1[[#This Row],[PAGO DIA]],DIAS!A:F,6,0)</f>
        <v>46203</v>
      </c>
      <c r="R462" s="6">
        <v>0</v>
      </c>
      <c r="S462" s="43">
        <f>VLOOKUP(Tabla1[[#This Row],[PAGO DIA]],DIAS!A:G,7,0)</f>
        <v>46234</v>
      </c>
      <c r="T462" s="6">
        <v>0</v>
      </c>
      <c r="U462" s="43">
        <f>VLOOKUP(Tabla1[[#This Row],[PAGO DIA]],DIAS!A:H,8,0)</f>
        <v>46265</v>
      </c>
      <c r="V462" s="6">
        <v>0</v>
      </c>
      <c r="W462" s="43">
        <f>VLOOKUP(Tabla1[[#This Row],[PAGO DIA]],DIAS!A:I,9,0)</f>
        <v>46295</v>
      </c>
      <c r="X462" s="6">
        <v>0</v>
      </c>
      <c r="Y462" s="43">
        <f>VLOOKUP(Tabla1[[#This Row],[PAGO DIA]],DIAS!A:J,10,0)</f>
        <v>46325</v>
      </c>
      <c r="Z462" s="6">
        <v>0</v>
      </c>
      <c r="AA462" s="43">
        <f>VLOOKUP(Tabla1[[#This Row],[PAGO DIA]],DIAS!A:K,11,0)</f>
        <v>46356</v>
      </c>
      <c r="AB462" s="6">
        <v>0</v>
      </c>
      <c r="AC462" s="43">
        <f>VLOOKUP(Tabla1[[#This Row],[PAGO DIA]],DIAS!A:M,12,0)</f>
        <v>46386</v>
      </c>
      <c r="AD4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3" spans="1:30">
      <c r="A463" s="3">
        <v>11840</v>
      </c>
      <c r="B463" s="3" t="s">
        <v>604</v>
      </c>
      <c r="C463" s="3" t="s">
        <v>540</v>
      </c>
      <c r="D463" s="3" t="s">
        <v>540</v>
      </c>
      <c r="E463" s="3" t="s">
        <v>1098</v>
      </c>
      <c r="F463" s="42" t="s">
        <v>631</v>
      </c>
      <c r="G463" s="3" t="s">
        <v>1100</v>
      </c>
      <c r="H463" s="6">
        <v>0</v>
      </c>
      <c r="I463" s="41">
        <f>VLOOKUP(Tabla1[[#This Row],[PAGO DIA]],DIAS!A:B,2,0)</f>
        <v>46080</v>
      </c>
      <c r="J463" s="6">
        <v>0</v>
      </c>
      <c r="K463" s="43">
        <f>VLOOKUP(Tabla1[[#This Row],[PAGO DIA]],DIAS!A:C,3,0)</f>
        <v>46112</v>
      </c>
      <c r="L463" s="6">
        <v>0</v>
      </c>
      <c r="M463" s="41">
        <f>VLOOKUP(Tabla1[[#This Row],[PAGO DIA]],DIAS!A:D,4,0)</f>
        <v>46142</v>
      </c>
      <c r="N463" s="6">
        <v>0</v>
      </c>
      <c r="O463" s="43">
        <f>VLOOKUP(Tabla1[[#This Row],[PAGO DIA]],DIAS!A:E,5,0)</f>
        <v>46171</v>
      </c>
      <c r="P463" s="6">
        <v>0</v>
      </c>
      <c r="Q463" s="43">
        <f>VLOOKUP(Tabla1[[#This Row],[PAGO DIA]],DIAS!A:F,6,0)</f>
        <v>46203</v>
      </c>
      <c r="R463" s="6">
        <v>0</v>
      </c>
      <c r="S463" s="43">
        <f>VLOOKUP(Tabla1[[#This Row],[PAGO DIA]],DIAS!A:G,7,0)</f>
        <v>46234</v>
      </c>
      <c r="T463" s="6">
        <v>0</v>
      </c>
      <c r="U463" s="43">
        <f>VLOOKUP(Tabla1[[#This Row],[PAGO DIA]],DIAS!A:H,8,0)</f>
        <v>46265</v>
      </c>
      <c r="V463" s="6">
        <v>0</v>
      </c>
      <c r="W463" s="43">
        <f>VLOOKUP(Tabla1[[#This Row],[PAGO DIA]],DIAS!A:I,9,0)</f>
        <v>46295</v>
      </c>
      <c r="X463" s="6">
        <v>0</v>
      </c>
      <c r="Y463" s="43">
        <f>VLOOKUP(Tabla1[[#This Row],[PAGO DIA]],DIAS!A:J,10,0)</f>
        <v>46325</v>
      </c>
      <c r="Z463" s="6">
        <v>0</v>
      </c>
      <c r="AA463" s="43">
        <f>VLOOKUP(Tabla1[[#This Row],[PAGO DIA]],DIAS!A:K,11,0)</f>
        <v>46356</v>
      </c>
      <c r="AB463" s="6">
        <v>0</v>
      </c>
      <c r="AC463" s="43">
        <f>VLOOKUP(Tabla1[[#This Row],[PAGO DIA]],DIAS!A:M,12,0)</f>
        <v>46386</v>
      </c>
      <c r="AD4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4" spans="1:30">
      <c r="A464" s="3">
        <v>11841</v>
      </c>
      <c r="B464" s="3" t="s">
        <v>604</v>
      </c>
      <c r="C464" s="3" t="s">
        <v>540</v>
      </c>
      <c r="D464" s="3" t="s">
        <v>540</v>
      </c>
      <c r="E464" s="3" t="s">
        <v>1098</v>
      </c>
      <c r="F464" s="42" t="s">
        <v>631</v>
      </c>
      <c r="G464" s="3" t="s">
        <v>1100</v>
      </c>
      <c r="H464" s="6">
        <v>0</v>
      </c>
      <c r="I464" s="41">
        <f>VLOOKUP(Tabla1[[#This Row],[PAGO DIA]],DIAS!A:B,2,0)</f>
        <v>46080</v>
      </c>
      <c r="J464" s="6">
        <v>0</v>
      </c>
      <c r="K464" s="43">
        <f>VLOOKUP(Tabla1[[#This Row],[PAGO DIA]],DIAS!A:C,3,0)</f>
        <v>46112</v>
      </c>
      <c r="L464" s="6">
        <v>0</v>
      </c>
      <c r="M464" s="41">
        <f>VLOOKUP(Tabla1[[#This Row],[PAGO DIA]],DIAS!A:D,4,0)</f>
        <v>46142</v>
      </c>
      <c r="N464" s="6">
        <v>0</v>
      </c>
      <c r="O464" s="43">
        <f>VLOOKUP(Tabla1[[#This Row],[PAGO DIA]],DIAS!A:E,5,0)</f>
        <v>46171</v>
      </c>
      <c r="P464" s="6">
        <v>0</v>
      </c>
      <c r="Q464" s="43">
        <f>VLOOKUP(Tabla1[[#This Row],[PAGO DIA]],DIAS!A:F,6,0)</f>
        <v>46203</v>
      </c>
      <c r="R464" s="6">
        <v>0</v>
      </c>
      <c r="S464" s="43">
        <f>VLOOKUP(Tabla1[[#This Row],[PAGO DIA]],DIAS!A:G,7,0)</f>
        <v>46234</v>
      </c>
      <c r="T464" s="6">
        <v>0</v>
      </c>
      <c r="U464" s="43">
        <f>VLOOKUP(Tabla1[[#This Row],[PAGO DIA]],DIAS!A:H,8,0)</f>
        <v>46265</v>
      </c>
      <c r="V464" s="6">
        <v>0</v>
      </c>
      <c r="W464" s="43">
        <f>VLOOKUP(Tabla1[[#This Row],[PAGO DIA]],DIAS!A:I,9,0)</f>
        <v>46295</v>
      </c>
      <c r="X464" s="6">
        <v>0</v>
      </c>
      <c r="Y464" s="43">
        <f>VLOOKUP(Tabla1[[#This Row],[PAGO DIA]],DIAS!A:J,10,0)</f>
        <v>46325</v>
      </c>
      <c r="Z464" s="6">
        <v>0</v>
      </c>
      <c r="AA464" s="43">
        <f>VLOOKUP(Tabla1[[#This Row],[PAGO DIA]],DIAS!A:K,11,0)</f>
        <v>46356</v>
      </c>
      <c r="AB464" s="6">
        <v>0</v>
      </c>
      <c r="AC464" s="43">
        <f>VLOOKUP(Tabla1[[#This Row],[PAGO DIA]],DIAS!A:M,12,0)</f>
        <v>46386</v>
      </c>
      <c r="AD4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5" spans="1:30">
      <c r="A465" s="3">
        <v>11842</v>
      </c>
      <c r="B465" s="3" t="s">
        <v>604</v>
      </c>
      <c r="C465" s="3" t="s">
        <v>540</v>
      </c>
      <c r="D465" s="3" t="s">
        <v>540</v>
      </c>
      <c r="E465" s="3" t="s">
        <v>1098</v>
      </c>
      <c r="F465" s="42" t="s">
        <v>631</v>
      </c>
      <c r="G465" s="3" t="s">
        <v>1101</v>
      </c>
      <c r="H465" s="6">
        <v>0</v>
      </c>
      <c r="I465" s="41">
        <f>VLOOKUP(Tabla1[[#This Row],[PAGO DIA]],DIAS!A:B,2,0)</f>
        <v>46080</v>
      </c>
      <c r="J465" s="6">
        <v>0</v>
      </c>
      <c r="K465" s="43">
        <f>VLOOKUP(Tabla1[[#This Row],[PAGO DIA]],DIAS!A:C,3,0)</f>
        <v>46112</v>
      </c>
      <c r="L465" s="6">
        <v>0</v>
      </c>
      <c r="M465" s="41">
        <f>VLOOKUP(Tabla1[[#This Row],[PAGO DIA]],DIAS!A:D,4,0)</f>
        <v>46142</v>
      </c>
      <c r="N465" s="6">
        <v>0</v>
      </c>
      <c r="O465" s="43">
        <f>VLOOKUP(Tabla1[[#This Row],[PAGO DIA]],DIAS!A:E,5,0)</f>
        <v>46171</v>
      </c>
      <c r="P465" s="6">
        <v>0</v>
      </c>
      <c r="Q465" s="43">
        <f>VLOOKUP(Tabla1[[#This Row],[PAGO DIA]],DIAS!A:F,6,0)</f>
        <v>46203</v>
      </c>
      <c r="R465" s="6">
        <v>0</v>
      </c>
      <c r="S465" s="43">
        <f>VLOOKUP(Tabla1[[#This Row],[PAGO DIA]],DIAS!A:G,7,0)</f>
        <v>46234</v>
      </c>
      <c r="T465" s="6">
        <v>0</v>
      </c>
      <c r="U465" s="43">
        <f>VLOOKUP(Tabla1[[#This Row],[PAGO DIA]],DIAS!A:H,8,0)</f>
        <v>46265</v>
      </c>
      <c r="V465" s="6">
        <v>0</v>
      </c>
      <c r="W465" s="43">
        <f>VLOOKUP(Tabla1[[#This Row],[PAGO DIA]],DIAS!A:I,9,0)</f>
        <v>46295</v>
      </c>
      <c r="X465" s="6">
        <v>0</v>
      </c>
      <c r="Y465" s="43">
        <f>VLOOKUP(Tabla1[[#This Row],[PAGO DIA]],DIAS!A:J,10,0)</f>
        <v>46325</v>
      </c>
      <c r="Z465" s="6">
        <v>0</v>
      </c>
      <c r="AA465" s="43">
        <f>VLOOKUP(Tabla1[[#This Row],[PAGO DIA]],DIAS!A:K,11,0)</f>
        <v>46356</v>
      </c>
      <c r="AB465" s="6">
        <v>0</v>
      </c>
      <c r="AC465" s="43">
        <f>VLOOKUP(Tabla1[[#This Row],[PAGO DIA]],DIAS!A:M,12,0)</f>
        <v>46386</v>
      </c>
      <c r="AD4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6" spans="1:30">
      <c r="A466" s="3">
        <v>11843</v>
      </c>
      <c r="B466" s="3" t="s">
        <v>604</v>
      </c>
      <c r="C466" s="3" t="s">
        <v>540</v>
      </c>
      <c r="D466" s="3" t="s">
        <v>540</v>
      </c>
      <c r="E466" s="3" t="s">
        <v>1098</v>
      </c>
      <c r="F466" s="42" t="s">
        <v>631</v>
      </c>
      <c r="G466" s="3" t="s">
        <v>1102</v>
      </c>
      <c r="H466" s="6">
        <v>0</v>
      </c>
      <c r="I466" s="41">
        <f>VLOOKUP(Tabla1[[#This Row],[PAGO DIA]],DIAS!A:B,2,0)</f>
        <v>46080</v>
      </c>
      <c r="J466" s="6">
        <v>0</v>
      </c>
      <c r="K466" s="43">
        <f>VLOOKUP(Tabla1[[#This Row],[PAGO DIA]],DIAS!A:C,3,0)</f>
        <v>46112</v>
      </c>
      <c r="L466" s="6">
        <v>0</v>
      </c>
      <c r="M466" s="41">
        <f>VLOOKUP(Tabla1[[#This Row],[PAGO DIA]],DIAS!A:D,4,0)</f>
        <v>46142</v>
      </c>
      <c r="N466" s="6">
        <v>0</v>
      </c>
      <c r="O466" s="43">
        <f>VLOOKUP(Tabla1[[#This Row],[PAGO DIA]],DIAS!A:E,5,0)</f>
        <v>46171</v>
      </c>
      <c r="P466" s="6">
        <v>0</v>
      </c>
      <c r="Q466" s="43">
        <f>VLOOKUP(Tabla1[[#This Row],[PAGO DIA]],DIAS!A:F,6,0)</f>
        <v>46203</v>
      </c>
      <c r="R466" s="6">
        <v>0</v>
      </c>
      <c r="S466" s="43">
        <f>VLOOKUP(Tabla1[[#This Row],[PAGO DIA]],DIAS!A:G,7,0)</f>
        <v>46234</v>
      </c>
      <c r="T466" s="6">
        <v>0</v>
      </c>
      <c r="U466" s="43">
        <f>VLOOKUP(Tabla1[[#This Row],[PAGO DIA]],DIAS!A:H,8,0)</f>
        <v>46265</v>
      </c>
      <c r="V466" s="6">
        <v>0</v>
      </c>
      <c r="W466" s="43">
        <f>VLOOKUP(Tabla1[[#This Row],[PAGO DIA]],DIAS!A:I,9,0)</f>
        <v>46295</v>
      </c>
      <c r="X466" s="6">
        <v>0</v>
      </c>
      <c r="Y466" s="43">
        <f>VLOOKUP(Tabla1[[#This Row],[PAGO DIA]],DIAS!A:J,10,0)</f>
        <v>46325</v>
      </c>
      <c r="Z466" s="6">
        <v>0</v>
      </c>
      <c r="AA466" s="43">
        <f>VLOOKUP(Tabla1[[#This Row],[PAGO DIA]],DIAS!A:K,11,0)</f>
        <v>46356</v>
      </c>
      <c r="AB466" s="6">
        <v>0</v>
      </c>
      <c r="AC466" s="43">
        <f>VLOOKUP(Tabla1[[#This Row],[PAGO DIA]],DIAS!A:M,12,0)</f>
        <v>46386</v>
      </c>
      <c r="AD4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7" spans="1:30">
      <c r="A467" s="3">
        <v>11844</v>
      </c>
      <c r="B467" s="3" t="s">
        <v>604</v>
      </c>
      <c r="C467" s="3" t="s">
        <v>540</v>
      </c>
      <c r="D467" s="3" t="s">
        <v>540</v>
      </c>
      <c r="E467" s="3" t="s">
        <v>1098</v>
      </c>
      <c r="F467" s="42" t="s">
        <v>631</v>
      </c>
      <c r="G467" s="3" t="s">
        <v>1103</v>
      </c>
      <c r="H467" s="6">
        <v>0</v>
      </c>
      <c r="I467" s="41">
        <f>VLOOKUP(Tabla1[[#This Row],[PAGO DIA]],DIAS!A:B,2,0)</f>
        <v>46080</v>
      </c>
      <c r="J467" s="6">
        <v>0</v>
      </c>
      <c r="K467" s="43">
        <f>VLOOKUP(Tabla1[[#This Row],[PAGO DIA]],DIAS!A:C,3,0)</f>
        <v>46112</v>
      </c>
      <c r="L467" s="6">
        <v>0</v>
      </c>
      <c r="M467" s="41">
        <f>VLOOKUP(Tabla1[[#This Row],[PAGO DIA]],DIAS!A:D,4,0)</f>
        <v>46142</v>
      </c>
      <c r="N467" s="6">
        <v>0</v>
      </c>
      <c r="O467" s="43">
        <f>VLOOKUP(Tabla1[[#This Row],[PAGO DIA]],DIAS!A:E,5,0)</f>
        <v>46171</v>
      </c>
      <c r="P467" s="6">
        <v>0</v>
      </c>
      <c r="Q467" s="43">
        <f>VLOOKUP(Tabla1[[#This Row],[PAGO DIA]],DIAS!A:F,6,0)</f>
        <v>46203</v>
      </c>
      <c r="R467" s="6">
        <v>0</v>
      </c>
      <c r="S467" s="43">
        <f>VLOOKUP(Tabla1[[#This Row],[PAGO DIA]],DIAS!A:G,7,0)</f>
        <v>46234</v>
      </c>
      <c r="T467" s="6">
        <v>0</v>
      </c>
      <c r="U467" s="43">
        <f>VLOOKUP(Tabla1[[#This Row],[PAGO DIA]],DIAS!A:H,8,0)</f>
        <v>46265</v>
      </c>
      <c r="V467" s="6">
        <v>0</v>
      </c>
      <c r="W467" s="43">
        <f>VLOOKUP(Tabla1[[#This Row],[PAGO DIA]],DIAS!A:I,9,0)</f>
        <v>46295</v>
      </c>
      <c r="X467" s="6">
        <v>0</v>
      </c>
      <c r="Y467" s="43">
        <f>VLOOKUP(Tabla1[[#This Row],[PAGO DIA]],DIAS!A:J,10,0)</f>
        <v>46325</v>
      </c>
      <c r="Z467" s="6">
        <v>0</v>
      </c>
      <c r="AA467" s="43">
        <f>VLOOKUP(Tabla1[[#This Row],[PAGO DIA]],DIAS!A:K,11,0)</f>
        <v>46356</v>
      </c>
      <c r="AB467" s="6">
        <v>0</v>
      </c>
      <c r="AC467" s="43">
        <f>VLOOKUP(Tabla1[[#This Row],[PAGO DIA]],DIAS!A:M,12,0)</f>
        <v>46386</v>
      </c>
      <c r="AD4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8" spans="1:30">
      <c r="A468" s="3">
        <v>11845</v>
      </c>
      <c r="B468" s="3" t="s">
        <v>604</v>
      </c>
      <c r="C468" s="3" t="s">
        <v>540</v>
      </c>
      <c r="D468" s="3" t="s">
        <v>540</v>
      </c>
      <c r="E468" s="3" t="s">
        <v>1098</v>
      </c>
      <c r="F468" s="42" t="s">
        <v>631</v>
      </c>
      <c r="G468" s="3" t="s">
        <v>1104</v>
      </c>
      <c r="H468" s="6">
        <v>0</v>
      </c>
      <c r="I468" s="41">
        <f>VLOOKUP(Tabla1[[#This Row],[PAGO DIA]],DIAS!A:B,2,0)</f>
        <v>46080</v>
      </c>
      <c r="J468" s="6">
        <v>0</v>
      </c>
      <c r="K468" s="43">
        <f>VLOOKUP(Tabla1[[#This Row],[PAGO DIA]],DIAS!A:C,3,0)</f>
        <v>46112</v>
      </c>
      <c r="L468" s="6">
        <v>0</v>
      </c>
      <c r="M468" s="41">
        <f>VLOOKUP(Tabla1[[#This Row],[PAGO DIA]],DIAS!A:D,4,0)</f>
        <v>46142</v>
      </c>
      <c r="N468" s="6">
        <v>0</v>
      </c>
      <c r="O468" s="43">
        <f>VLOOKUP(Tabla1[[#This Row],[PAGO DIA]],DIAS!A:E,5,0)</f>
        <v>46171</v>
      </c>
      <c r="P468" s="6">
        <v>0</v>
      </c>
      <c r="Q468" s="43">
        <f>VLOOKUP(Tabla1[[#This Row],[PAGO DIA]],DIAS!A:F,6,0)</f>
        <v>46203</v>
      </c>
      <c r="R468" s="6">
        <v>0</v>
      </c>
      <c r="S468" s="43">
        <f>VLOOKUP(Tabla1[[#This Row],[PAGO DIA]],DIAS!A:G,7,0)</f>
        <v>46234</v>
      </c>
      <c r="T468" s="6">
        <v>0</v>
      </c>
      <c r="U468" s="43">
        <f>VLOOKUP(Tabla1[[#This Row],[PAGO DIA]],DIAS!A:H,8,0)</f>
        <v>46265</v>
      </c>
      <c r="V468" s="6">
        <v>0</v>
      </c>
      <c r="W468" s="43">
        <f>VLOOKUP(Tabla1[[#This Row],[PAGO DIA]],DIAS!A:I,9,0)</f>
        <v>46295</v>
      </c>
      <c r="X468" s="6">
        <v>0</v>
      </c>
      <c r="Y468" s="43">
        <f>VLOOKUP(Tabla1[[#This Row],[PAGO DIA]],DIAS!A:J,10,0)</f>
        <v>46325</v>
      </c>
      <c r="Z468" s="6">
        <v>0</v>
      </c>
      <c r="AA468" s="43">
        <f>VLOOKUP(Tabla1[[#This Row],[PAGO DIA]],DIAS!A:K,11,0)</f>
        <v>46356</v>
      </c>
      <c r="AB468" s="6">
        <v>0</v>
      </c>
      <c r="AC468" s="43">
        <f>VLOOKUP(Tabla1[[#This Row],[PAGO DIA]],DIAS!A:M,12,0)</f>
        <v>46386</v>
      </c>
      <c r="AD4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69" spans="1:30">
      <c r="A469" s="3">
        <v>11846</v>
      </c>
      <c r="B469" s="3" t="s">
        <v>604</v>
      </c>
      <c r="C469" s="3" t="s">
        <v>540</v>
      </c>
      <c r="D469" s="3" t="s">
        <v>540</v>
      </c>
      <c r="E469" s="3" t="s">
        <v>1098</v>
      </c>
      <c r="F469" s="42" t="s">
        <v>631</v>
      </c>
      <c r="G469" s="3" t="s">
        <v>1104</v>
      </c>
      <c r="H469" s="6">
        <v>0</v>
      </c>
      <c r="I469" s="41">
        <f>VLOOKUP(Tabla1[[#This Row],[PAGO DIA]],DIAS!A:B,2,0)</f>
        <v>46080</v>
      </c>
      <c r="J469" s="6">
        <v>0</v>
      </c>
      <c r="K469" s="43">
        <f>VLOOKUP(Tabla1[[#This Row],[PAGO DIA]],DIAS!A:C,3,0)</f>
        <v>46112</v>
      </c>
      <c r="L469" s="6">
        <v>0</v>
      </c>
      <c r="M469" s="41">
        <f>VLOOKUP(Tabla1[[#This Row],[PAGO DIA]],DIAS!A:D,4,0)</f>
        <v>46142</v>
      </c>
      <c r="N469" s="6">
        <v>0</v>
      </c>
      <c r="O469" s="43">
        <f>VLOOKUP(Tabla1[[#This Row],[PAGO DIA]],DIAS!A:E,5,0)</f>
        <v>46171</v>
      </c>
      <c r="P469" s="6">
        <v>0</v>
      </c>
      <c r="Q469" s="43">
        <f>VLOOKUP(Tabla1[[#This Row],[PAGO DIA]],DIAS!A:F,6,0)</f>
        <v>46203</v>
      </c>
      <c r="R469" s="6">
        <v>0</v>
      </c>
      <c r="S469" s="43">
        <f>VLOOKUP(Tabla1[[#This Row],[PAGO DIA]],DIAS!A:G,7,0)</f>
        <v>46234</v>
      </c>
      <c r="T469" s="6">
        <v>0</v>
      </c>
      <c r="U469" s="43">
        <f>VLOOKUP(Tabla1[[#This Row],[PAGO DIA]],DIAS!A:H,8,0)</f>
        <v>46265</v>
      </c>
      <c r="V469" s="6">
        <v>0</v>
      </c>
      <c r="W469" s="43">
        <f>VLOOKUP(Tabla1[[#This Row],[PAGO DIA]],DIAS!A:I,9,0)</f>
        <v>46295</v>
      </c>
      <c r="X469" s="6">
        <v>0</v>
      </c>
      <c r="Y469" s="43">
        <f>VLOOKUP(Tabla1[[#This Row],[PAGO DIA]],DIAS!A:J,10,0)</f>
        <v>46325</v>
      </c>
      <c r="Z469" s="6">
        <v>0</v>
      </c>
      <c r="AA469" s="43">
        <f>VLOOKUP(Tabla1[[#This Row],[PAGO DIA]],DIAS!A:K,11,0)</f>
        <v>46356</v>
      </c>
      <c r="AB469" s="6">
        <v>0</v>
      </c>
      <c r="AC469" s="43">
        <f>VLOOKUP(Tabla1[[#This Row],[PAGO DIA]],DIAS!A:M,12,0)</f>
        <v>46386</v>
      </c>
      <c r="AD4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0" spans="1:30">
      <c r="A470" s="3">
        <v>11847</v>
      </c>
      <c r="B470" s="3" t="s">
        <v>604</v>
      </c>
      <c r="C470" s="3" t="s">
        <v>540</v>
      </c>
      <c r="D470" s="3" t="s">
        <v>540</v>
      </c>
      <c r="E470" s="3" t="s">
        <v>1098</v>
      </c>
      <c r="F470" s="42" t="s">
        <v>631</v>
      </c>
      <c r="G470" s="3" t="s">
        <v>1105</v>
      </c>
      <c r="H470" s="6">
        <v>0</v>
      </c>
      <c r="I470" s="41">
        <f>VLOOKUP(Tabla1[[#This Row],[PAGO DIA]],DIAS!A:B,2,0)</f>
        <v>46080</v>
      </c>
      <c r="J470" s="6">
        <v>0</v>
      </c>
      <c r="K470" s="43">
        <f>VLOOKUP(Tabla1[[#This Row],[PAGO DIA]],DIAS!A:C,3,0)</f>
        <v>46112</v>
      </c>
      <c r="L470" s="6">
        <v>0</v>
      </c>
      <c r="M470" s="41">
        <f>VLOOKUP(Tabla1[[#This Row],[PAGO DIA]],DIAS!A:D,4,0)</f>
        <v>46142</v>
      </c>
      <c r="N470" s="6">
        <v>0</v>
      </c>
      <c r="O470" s="43">
        <f>VLOOKUP(Tabla1[[#This Row],[PAGO DIA]],DIAS!A:E,5,0)</f>
        <v>46171</v>
      </c>
      <c r="P470" s="6">
        <v>0</v>
      </c>
      <c r="Q470" s="43">
        <f>VLOOKUP(Tabla1[[#This Row],[PAGO DIA]],DIAS!A:F,6,0)</f>
        <v>46203</v>
      </c>
      <c r="R470" s="6">
        <v>0</v>
      </c>
      <c r="S470" s="43">
        <f>VLOOKUP(Tabla1[[#This Row],[PAGO DIA]],DIAS!A:G,7,0)</f>
        <v>46234</v>
      </c>
      <c r="T470" s="6">
        <v>0</v>
      </c>
      <c r="U470" s="43">
        <f>VLOOKUP(Tabla1[[#This Row],[PAGO DIA]],DIAS!A:H,8,0)</f>
        <v>46265</v>
      </c>
      <c r="V470" s="6">
        <v>0</v>
      </c>
      <c r="W470" s="43">
        <f>VLOOKUP(Tabla1[[#This Row],[PAGO DIA]],DIAS!A:I,9,0)</f>
        <v>46295</v>
      </c>
      <c r="X470" s="6">
        <v>0</v>
      </c>
      <c r="Y470" s="43">
        <f>VLOOKUP(Tabla1[[#This Row],[PAGO DIA]],DIAS!A:J,10,0)</f>
        <v>46325</v>
      </c>
      <c r="Z470" s="6">
        <v>0</v>
      </c>
      <c r="AA470" s="43">
        <f>VLOOKUP(Tabla1[[#This Row],[PAGO DIA]],DIAS!A:K,11,0)</f>
        <v>46356</v>
      </c>
      <c r="AB470" s="6">
        <v>0</v>
      </c>
      <c r="AC470" s="43">
        <f>VLOOKUP(Tabla1[[#This Row],[PAGO DIA]],DIAS!A:M,12,0)</f>
        <v>46386</v>
      </c>
      <c r="AD4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1" spans="1:30">
      <c r="A471" s="3">
        <v>12078</v>
      </c>
      <c r="B471" s="3" t="s">
        <v>604</v>
      </c>
      <c r="C471" s="3" t="s">
        <v>605</v>
      </c>
      <c r="D471" s="3" t="s">
        <v>605</v>
      </c>
      <c r="E471" s="3" t="s">
        <v>1106</v>
      </c>
      <c r="F471" s="42" t="s">
        <v>631</v>
      </c>
      <c r="G471" s="3" t="s">
        <v>635</v>
      </c>
      <c r="H471" s="6">
        <v>0</v>
      </c>
      <c r="I471" s="41">
        <f>VLOOKUP(Tabla1[[#This Row],[PAGO DIA]],DIAS!A:B,2,0)</f>
        <v>46080</v>
      </c>
      <c r="J471" s="6">
        <v>0</v>
      </c>
      <c r="K471" s="43">
        <f>VLOOKUP(Tabla1[[#This Row],[PAGO DIA]],DIAS!A:C,3,0)</f>
        <v>46112</v>
      </c>
      <c r="L471" s="6">
        <v>0</v>
      </c>
      <c r="M471" s="41">
        <f>VLOOKUP(Tabla1[[#This Row],[PAGO DIA]],DIAS!A:D,4,0)</f>
        <v>46142</v>
      </c>
      <c r="N471" s="6">
        <v>0</v>
      </c>
      <c r="O471" s="43">
        <f>VLOOKUP(Tabla1[[#This Row],[PAGO DIA]],DIAS!A:E,5,0)</f>
        <v>46171</v>
      </c>
      <c r="P471" s="6">
        <v>0</v>
      </c>
      <c r="Q471" s="43">
        <f>VLOOKUP(Tabla1[[#This Row],[PAGO DIA]],DIAS!A:F,6,0)</f>
        <v>46203</v>
      </c>
      <c r="R471" s="6">
        <v>0</v>
      </c>
      <c r="S471" s="43">
        <f>VLOOKUP(Tabla1[[#This Row],[PAGO DIA]],DIAS!A:G,7,0)</f>
        <v>46234</v>
      </c>
      <c r="T471" s="6">
        <v>0</v>
      </c>
      <c r="U471" s="43">
        <f>VLOOKUP(Tabla1[[#This Row],[PAGO DIA]],DIAS!A:H,8,0)</f>
        <v>46265</v>
      </c>
      <c r="V471" s="6">
        <v>0</v>
      </c>
      <c r="W471" s="43">
        <f>VLOOKUP(Tabla1[[#This Row],[PAGO DIA]],DIAS!A:I,9,0)</f>
        <v>46295</v>
      </c>
      <c r="X471" s="6">
        <v>0</v>
      </c>
      <c r="Y471" s="43">
        <f>VLOOKUP(Tabla1[[#This Row],[PAGO DIA]],DIAS!A:J,10,0)</f>
        <v>46325</v>
      </c>
      <c r="Z471" s="6">
        <v>0</v>
      </c>
      <c r="AA471" s="43">
        <f>VLOOKUP(Tabla1[[#This Row],[PAGO DIA]],DIAS!A:K,11,0)</f>
        <v>46356</v>
      </c>
      <c r="AB471" s="6">
        <v>0</v>
      </c>
      <c r="AC471" s="43">
        <f>VLOOKUP(Tabla1[[#This Row],[PAGO DIA]],DIAS!A:M,12,0)</f>
        <v>46386</v>
      </c>
      <c r="AD4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2" spans="1:30">
      <c r="A472" s="3">
        <v>12534</v>
      </c>
      <c r="B472" s="3" t="s">
        <v>604</v>
      </c>
      <c r="C472" s="3" t="s">
        <v>605</v>
      </c>
      <c r="D472" s="3" t="s">
        <v>540</v>
      </c>
      <c r="E472" s="3" t="s">
        <v>1107</v>
      </c>
      <c r="F472" s="42" t="s">
        <v>631</v>
      </c>
      <c r="G472" s="3" t="s">
        <v>1108</v>
      </c>
      <c r="H472" s="6">
        <v>0</v>
      </c>
      <c r="I472" s="41">
        <f>VLOOKUP(Tabla1[[#This Row],[PAGO DIA]],DIAS!A:B,2,0)</f>
        <v>46080</v>
      </c>
      <c r="J472" s="6">
        <v>0</v>
      </c>
      <c r="K472" s="43">
        <f>VLOOKUP(Tabla1[[#This Row],[PAGO DIA]],DIAS!A:C,3,0)</f>
        <v>46112</v>
      </c>
      <c r="L472" s="6">
        <v>0</v>
      </c>
      <c r="M472" s="41">
        <f>VLOOKUP(Tabla1[[#This Row],[PAGO DIA]],DIAS!A:D,4,0)</f>
        <v>46142</v>
      </c>
      <c r="N472" s="6">
        <v>0</v>
      </c>
      <c r="O472" s="43">
        <f>VLOOKUP(Tabla1[[#This Row],[PAGO DIA]],DIAS!A:E,5,0)</f>
        <v>46171</v>
      </c>
      <c r="P472" s="6">
        <v>0</v>
      </c>
      <c r="Q472" s="43">
        <f>VLOOKUP(Tabla1[[#This Row],[PAGO DIA]],DIAS!A:F,6,0)</f>
        <v>46203</v>
      </c>
      <c r="R472" s="6">
        <v>0</v>
      </c>
      <c r="S472" s="43">
        <f>VLOOKUP(Tabla1[[#This Row],[PAGO DIA]],DIAS!A:G,7,0)</f>
        <v>46234</v>
      </c>
      <c r="T472" s="6">
        <v>0</v>
      </c>
      <c r="U472" s="43">
        <f>VLOOKUP(Tabla1[[#This Row],[PAGO DIA]],DIAS!A:H,8,0)</f>
        <v>46265</v>
      </c>
      <c r="V472" s="6">
        <v>0</v>
      </c>
      <c r="W472" s="43">
        <f>VLOOKUP(Tabla1[[#This Row],[PAGO DIA]],DIAS!A:I,9,0)</f>
        <v>46295</v>
      </c>
      <c r="X472" s="6">
        <v>0</v>
      </c>
      <c r="Y472" s="43">
        <f>VLOOKUP(Tabla1[[#This Row],[PAGO DIA]],DIAS!A:J,10,0)</f>
        <v>46325</v>
      </c>
      <c r="Z472" s="6">
        <v>0</v>
      </c>
      <c r="AA472" s="43">
        <f>VLOOKUP(Tabla1[[#This Row],[PAGO DIA]],DIAS!A:K,11,0)</f>
        <v>46356</v>
      </c>
      <c r="AB472" s="6">
        <v>0</v>
      </c>
      <c r="AC472" s="43">
        <f>VLOOKUP(Tabla1[[#This Row],[PAGO DIA]],DIAS!A:M,12,0)</f>
        <v>46386</v>
      </c>
      <c r="AD4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3" spans="1:30">
      <c r="A473" s="3">
        <v>12535</v>
      </c>
      <c r="B473" s="3" t="s">
        <v>604</v>
      </c>
      <c r="C473" s="3" t="s">
        <v>605</v>
      </c>
      <c r="D473" s="3" t="s">
        <v>540</v>
      </c>
      <c r="E473" s="3" t="s">
        <v>1107</v>
      </c>
      <c r="F473" s="42" t="s">
        <v>631</v>
      </c>
      <c r="G473" s="3" t="s">
        <v>1109</v>
      </c>
      <c r="H473" s="6">
        <v>0</v>
      </c>
      <c r="I473" s="41">
        <f>VLOOKUP(Tabla1[[#This Row],[PAGO DIA]],DIAS!A:B,2,0)</f>
        <v>46080</v>
      </c>
      <c r="J473" s="6">
        <v>0</v>
      </c>
      <c r="K473" s="43">
        <f>VLOOKUP(Tabla1[[#This Row],[PAGO DIA]],DIAS!A:C,3,0)</f>
        <v>46112</v>
      </c>
      <c r="L473" s="6">
        <v>0</v>
      </c>
      <c r="M473" s="41">
        <f>VLOOKUP(Tabla1[[#This Row],[PAGO DIA]],DIAS!A:D,4,0)</f>
        <v>46142</v>
      </c>
      <c r="N473" s="6">
        <v>0</v>
      </c>
      <c r="O473" s="43">
        <f>VLOOKUP(Tabla1[[#This Row],[PAGO DIA]],DIAS!A:E,5,0)</f>
        <v>46171</v>
      </c>
      <c r="P473" s="6">
        <v>0</v>
      </c>
      <c r="Q473" s="43">
        <f>VLOOKUP(Tabla1[[#This Row],[PAGO DIA]],DIAS!A:F,6,0)</f>
        <v>46203</v>
      </c>
      <c r="R473" s="6">
        <v>0</v>
      </c>
      <c r="S473" s="43">
        <f>VLOOKUP(Tabla1[[#This Row],[PAGO DIA]],DIAS!A:G,7,0)</f>
        <v>46234</v>
      </c>
      <c r="T473" s="6">
        <v>0</v>
      </c>
      <c r="U473" s="43">
        <f>VLOOKUP(Tabla1[[#This Row],[PAGO DIA]],DIAS!A:H,8,0)</f>
        <v>46265</v>
      </c>
      <c r="V473" s="6">
        <v>0</v>
      </c>
      <c r="W473" s="43">
        <f>VLOOKUP(Tabla1[[#This Row],[PAGO DIA]],DIAS!A:I,9,0)</f>
        <v>46295</v>
      </c>
      <c r="X473" s="6">
        <v>0</v>
      </c>
      <c r="Y473" s="43">
        <f>VLOOKUP(Tabla1[[#This Row],[PAGO DIA]],DIAS!A:J,10,0)</f>
        <v>46325</v>
      </c>
      <c r="Z473" s="6">
        <v>0</v>
      </c>
      <c r="AA473" s="43">
        <f>VLOOKUP(Tabla1[[#This Row],[PAGO DIA]],DIAS!A:K,11,0)</f>
        <v>46356</v>
      </c>
      <c r="AB473" s="6">
        <v>0</v>
      </c>
      <c r="AC473" s="43">
        <f>VLOOKUP(Tabla1[[#This Row],[PAGO DIA]],DIAS!A:M,12,0)</f>
        <v>46386</v>
      </c>
      <c r="AD4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4" spans="1:30">
      <c r="A474" s="3">
        <v>12079</v>
      </c>
      <c r="B474" s="3" t="s">
        <v>604</v>
      </c>
      <c r="C474" s="3" t="s">
        <v>605</v>
      </c>
      <c r="D474" s="3" t="s">
        <v>605</v>
      </c>
      <c r="E474" s="3" t="s">
        <v>896</v>
      </c>
      <c r="F474" s="42" t="s">
        <v>631</v>
      </c>
      <c r="G474" s="3" t="s">
        <v>635</v>
      </c>
      <c r="H474" s="6">
        <v>0</v>
      </c>
      <c r="I474" s="41">
        <f>VLOOKUP(Tabla1[[#This Row],[PAGO DIA]],DIAS!A:B,2,0)</f>
        <v>46080</v>
      </c>
      <c r="J474" s="6">
        <v>0</v>
      </c>
      <c r="K474" s="43">
        <f>VLOOKUP(Tabla1[[#This Row],[PAGO DIA]],DIAS!A:C,3,0)</f>
        <v>46112</v>
      </c>
      <c r="L474" s="6">
        <v>0</v>
      </c>
      <c r="M474" s="41">
        <f>VLOOKUP(Tabla1[[#This Row],[PAGO DIA]],DIAS!A:D,4,0)</f>
        <v>46142</v>
      </c>
      <c r="N474" s="6">
        <v>0</v>
      </c>
      <c r="O474" s="43">
        <f>VLOOKUP(Tabla1[[#This Row],[PAGO DIA]],DIAS!A:E,5,0)</f>
        <v>46171</v>
      </c>
      <c r="P474" s="6">
        <v>0</v>
      </c>
      <c r="Q474" s="43">
        <f>VLOOKUP(Tabla1[[#This Row],[PAGO DIA]],DIAS!A:F,6,0)</f>
        <v>46203</v>
      </c>
      <c r="R474" s="6">
        <v>0</v>
      </c>
      <c r="S474" s="43">
        <f>VLOOKUP(Tabla1[[#This Row],[PAGO DIA]],DIAS!A:G,7,0)</f>
        <v>46234</v>
      </c>
      <c r="T474" s="6">
        <v>0</v>
      </c>
      <c r="U474" s="43">
        <f>VLOOKUP(Tabla1[[#This Row],[PAGO DIA]],DIAS!A:H,8,0)</f>
        <v>46265</v>
      </c>
      <c r="V474" s="6">
        <v>0</v>
      </c>
      <c r="W474" s="43">
        <f>VLOOKUP(Tabla1[[#This Row],[PAGO DIA]],DIAS!A:I,9,0)</f>
        <v>46295</v>
      </c>
      <c r="X474" s="6">
        <v>0</v>
      </c>
      <c r="Y474" s="43">
        <f>VLOOKUP(Tabla1[[#This Row],[PAGO DIA]],DIAS!A:J,10,0)</f>
        <v>46325</v>
      </c>
      <c r="Z474" s="6">
        <v>0</v>
      </c>
      <c r="AA474" s="43">
        <f>VLOOKUP(Tabla1[[#This Row],[PAGO DIA]],DIAS!A:K,11,0)</f>
        <v>46356</v>
      </c>
      <c r="AB474" s="6">
        <v>0</v>
      </c>
      <c r="AC474" s="43">
        <f>VLOOKUP(Tabla1[[#This Row],[PAGO DIA]],DIAS!A:M,12,0)</f>
        <v>46386</v>
      </c>
      <c r="AD4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5" spans="1:30">
      <c r="A475" s="3">
        <v>12612</v>
      </c>
      <c r="B475" s="3" t="s">
        <v>604</v>
      </c>
      <c r="C475" s="3" t="s">
        <v>605</v>
      </c>
      <c r="D475" s="3" t="s">
        <v>540</v>
      </c>
      <c r="E475" s="3" t="s">
        <v>897</v>
      </c>
      <c r="F475" s="42" t="s">
        <v>631</v>
      </c>
      <c r="G475" s="3" t="s">
        <v>1110</v>
      </c>
      <c r="H475" s="6">
        <v>0</v>
      </c>
      <c r="I475" s="41">
        <f>VLOOKUP(Tabla1[[#This Row],[PAGO DIA]],DIAS!A:B,2,0)</f>
        <v>46080</v>
      </c>
      <c r="J475" s="6">
        <v>0</v>
      </c>
      <c r="K475" s="43">
        <f>VLOOKUP(Tabla1[[#This Row],[PAGO DIA]],DIAS!A:C,3,0)</f>
        <v>46112</v>
      </c>
      <c r="L475" s="6">
        <v>0</v>
      </c>
      <c r="M475" s="41">
        <f>VLOOKUP(Tabla1[[#This Row],[PAGO DIA]],DIAS!A:D,4,0)</f>
        <v>46142</v>
      </c>
      <c r="N475" s="6">
        <v>0</v>
      </c>
      <c r="O475" s="43">
        <f>VLOOKUP(Tabla1[[#This Row],[PAGO DIA]],DIAS!A:E,5,0)</f>
        <v>46171</v>
      </c>
      <c r="P475" s="6">
        <v>0</v>
      </c>
      <c r="Q475" s="43">
        <f>VLOOKUP(Tabla1[[#This Row],[PAGO DIA]],DIAS!A:F,6,0)</f>
        <v>46203</v>
      </c>
      <c r="R475" s="6">
        <v>0</v>
      </c>
      <c r="S475" s="43">
        <f>VLOOKUP(Tabla1[[#This Row],[PAGO DIA]],DIAS!A:G,7,0)</f>
        <v>46234</v>
      </c>
      <c r="T475" s="6">
        <v>0</v>
      </c>
      <c r="U475" s="43">
        <f>VLOOKUP(Tabla1[[#This Row],[PAGO DIA]],DIAS!A:H,8,0)</f>
        <v>46265</v>
      </c>
      <c r="V475" s="6">
        <v>0</v>
      </c>
      <c r="W475" s="43">
        <f>VLOOKUP(Tabla1[[#This Row],[PAGO DIA]],DIAS!A:I,9,0)</f>
        <v>46295</v>
      </c>
      <c r="X475" s="6">
        <v>0</v>
      </c>
      <c r="Y475" s="43">
        <f>VLOOKUP(Tabla1[[#This Row],[PAGO DIA]],DIAS!A:J,10,0)</f>
        <v>46325</v>
      </c>
      <c r="Z475" s="6">
        <v>0</v>
      </c>
      <c r="AA475" s="43">
        <f>VLOOKUP(Tabla1[[#This Row],[PAGO DIA]],DIAS!A:K,11,0)</f>
        <v>46356</v>
      </c>
      <c r="AB475" s="6">
        <v>0</v>
      </c>
      <c r="AC475" s="43">
        <f>VLOOKUP(Tabla1[[#This Row],[PAGO DIA]],DIAS!A:M,12,0)</f>
        <v>46386</v>
      </c>
      <c r="AD4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6" spans="1:30">
      <c r="A476" s="3">
        <v>12615</v>
      </c>
      <c r="B476" s="3" t="s">
        <v>604</v>
      </c>
      <c r="C476" s="3" t="s">
        <v>605</v>
      </c>
      <c r="D476" s="3" t="s">
        <v>540</v>
      </c>
      <c r="E476" s="3" t="s">
        <v>897</v>
      </c>
      <c r="F476" s="42" t="s">
        <v>631</v>
      </c>
      <c r="G476" s="3" t="s">
        <v>1111</v>
      </c>
      <c r="H476" s="6">
        <v>0</v>
      </c>
      <c r="I476" s="41">
        <f>VLOOKUP(Tabla1[[#This Row],[PAGO DIA]],DIAS!A:B,2,0)</f>
        <v>46080</v>
      </c>
      <c r="J476" s="6">
        <v>0</v>
      </c>
      <c r="K476" s="43">
        <f>VLOOKUP(Tabla1[[#This Row],[PAGO DIA]],DIAS!A:C,3,0)</f>
        <v>46112</v>
      </c>
      <c r="L476" s="6">
        <v>0</v>
      </c>
      <c r="M476" s="41">
        <f>VLOOKUP(Tabla1[[#This Row],[PAGO DIA]],DIAS!A:D,4,0)</f>
        <v>46142</v>
      </c>
      <c r="N476" s="6">
        <v>0</v>
      </c>
      <c r="O476" s="43">
        <f>VLOOKUP(Tabla1[[#This Row],[PAGO DIA]],DIAS!A:E,5,0)</f>
        <v>46171</v>
      </c>
      <c r="P476" s="6">
        <v>0</v>
      </c>
      <c r="Q476" s="43">
        <f>VLOOKUP(Tabla1[[#This Row],[PAGO DIA]],DIAS!A:F,6,0)</f>
        <v>46203</v>
      </c>
      <c r="R476" s="6">
        <v>0</v>
      </c>
      <c r="S476" s="43">
        <f>VLOOKUP(Tabla1[[#This Row],[PAGO DIA]],DIAS!A:G,7,0)</f>
        <v>46234</v>
      </c>
      <c r="T476" s="6">
        <v>0</v>
      </c>
      <c r="U476" s="43">
        <f>VLOOKUP(Tabla1[[#This Row],[PAGO DIA]],DIAS!A:H,8,0)</f>
        <v>46265</v>
      </c>
      <c r="V476" s="6">
        <v>0</v>
      </c>
      <c r="W476" s="43">
        <f>VLOOKUP(Tabla1[[#This Row],[PAGO DIA]],DIAS!A:I,9,0)</f>
        <v>46295</v>
      </c>
      <c r="X476" s="6">
        <v>0</v>
      </c>
      <c r="Y476" s="43">
        <f>VLOOKUP(Tabla1[[#This Row],[PAGO DIA]],DIAS!A:J,10,0)</f>
        <v>46325</v>
      </c>
      <c r="Z476" s="6">
        <v>0</v>
      </c>
      <c r="AA476" s="43">
        <f>VLOOKUP(Tabla1[[#This Row],[PAGO DIA]],DIAS!A:K,11,0)</f>
        <v>46356</v>
      </c>
      <c r="AB476" s="6">
        <v>0</v>
      </c>
      <c r="AC476" s="43">
        <f>VLOOKUP(Tabla1[[#This Row],[PAGO DIA]],DIAS!A:M,12,0)</f>
        <v>46386</v>
      </c>
      <c r="AD4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7" spans="1:30">
      <c r="A477" s="3">
        <v>12620</v>
      </c>
      <c r="B477" s="3" t="s">
        <v>604</v>
      </c>
      <c r="C477" s="3" t="s">
        <v>605</v>
      </c>
      <c r="D477" s="3" t="s">
        <v>540</v>
      </c>
      <c r="E477" s="3" t="s">
        <v>897</v>
      </c>
      <c r="F477" s="42" t="s">
        <v>631</v>
      </c>
      <c r="G477" s="3" t="s">
        <v>1112</v>
      </c>
      <c r="H477" s="6">
        <v>0</v>
      </c>
      <c r="I477" s="41">
        <f>VLOOKUP(Tabla1[[#This Row],[PAGO DIA]],DIAS!A:B,2,0)</f>
        <v>46080</v>
      </c>
      <c r="J477" s="6">
        <v>0</v>
      </c>
      <c r="K477" s="43">
        <f>VLOOKUP(Tabla1[[#This Row],[PAGO DIA]],DIAS!A:C,3,0)</f>
        <v>46112</v>
      </c>
      <c r="L477" s="6">
        <v>0</v>
      </c>
      <c r="M477" s="41">
        <f>VLOOKUP(Tabla1[[#This Row],[PAGO DIA]],DIAS!A:D,4,0)</f>
        <v>46142</v>
      </c>
      <c r="N477" s="6">
        <v>0</v>
      </c>
      <c r="O477" s="43">
        <f>VLOOKUP(Tabla1[[#This Row],[PAGO DIA]],DIAS!A:E,5,0)</f>
        <v>46171</v>
      </c>
      <c r="P477" s="6">
        <v>0</v>
      </c>
      <c r="Q477" s="43">
        <f>VLOOKUP(Tabla1[[#This Row],[PAGO DIA]],DIAS!A:F,6,0)</f>
        <v>46203</v>
      </c>
      <c r="R477" s="6">
        <v>0</v>
      </c>
      <c r="S477" s="43">
        <f>VLOOKUP(Tabla1[[#This Row],[PAGO DIA]],DIAS!A:G,7,0)</f>
        <v>46234</v>
      </c>
      <c r="T477" s="6">
        <v>0</v>
      </c>
      <c r="U477" s="43">
        <f>VLOOKUP(Tabla1[[#This Row],[PAGO DIA]],DIAS!A:H,8,0)</f>
        <v>46265</v>
      </c>
      <c r="V477" s="6">
        <v>0</v>
      </c>
      <c r="W477" s="43">
        <f>VLOOKUP(Tabla1[[#This Row],[PAGO DIA]],DIAS!A:I,9,0)</f>
        <v>46295</v>
      </c>
      <c r="X477" s="6">
        <v>0</v>
      </c>
      <c r="Y477" s="43">
        <f>VLOOKUP(Tabla1[[#This Row],[PAGO DIA]],DIAS!A:J,10,0)</f>
        <v>46325</v>
      </c>
      <c r="Z477" s="6">
        <v>0</v>
      </c>
      <c r="AA477" s="43">
        <f>VLOOKUP(Tabla1[[#This Row],[PAGO DIA]],DIAS!A:K,11,0)</f>
        <v>46356</v>
      </c>
      <c r="AB477" s="6">
        <v>0</v>
      </c>
      <c r="AC477" s="43">
        <f>VLOOKUP(Tabla1[[#This Row],[PAGO DIA]],DIAS!A:M,12,0)</f>
        <v>46386</v>
      </c>
      <c r="AD4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8" spans="1:30">
      <c r="A478" s="3">
        <v>12621</v>
      </c>
      <c r="B478" s="3" t="s">
        <v>604</v>
      </c>
      <c r="C478" s="3" t="s">
        <v>605</v>
      </c>
      <c r="D478" s="3" t="s">
        <v>540</v>
      </c>
      <c r="E478" s="3" t="s">
        <v>897</v>
      </c>
      <c r="F478" s="42" t="s">
        <v>631</v>
      </c>
      <c r="G478" s="3" t="s">
        <v>1113</v>
      </c>
      <c r="H478" s="6">
        <v>0</v>
      </c>
      <c r="I478" s="41">
        <f>VLOOKUP(Tabla1[[#This Row],[PAGO DIA]],DIAS!A:B,2,0)</f>
        <v>46080</v>
      </c>
      <c r="J478" s="6">
        <v>0</v>
      </c>
      <c r="K478" s="43">
        <f>VLOOKUP(Tabla1[[#This Row],[PAGO DIA]],DIAS!A:C,3,0)</f>
        <v>46112</v>
      </c>
      <c r="L478" s="6">
        <v>0</v>
      </c>
      <c r="M478" s="41">
        <f>VLOOKUP(Tabla1[[#This Row],[PAGO DIA]],DIAS!A:D,4,0)</f>
        <v>46142</v>
      </c>
      <c r="N478" s="6">
        <v>0</v>
      </c>
      <c r="O478" s="43">
        <f>VLOOKUP(Tabla1[[#This Row],[PAGO DIA]],DIAS!A:E,5,0)</f>
        <v>46171</v>
      </c>
      <c r="P478" s="6">
        <v>0</v>
      </c>
      <c r="Q478" s="43">
        <f>VLOOKUP(Tabla1[[#This Row],[PAGO DIA]],DIAS!A:F,6,0)</f>
        <v>46203</v>
      </c>
      <c r="R478" s="6">
        <v>0</v>
      </c>
      <c r="S478" s="43">
        <f>VLOOKUP(Tabla1[[#This Row],[PAGO DIA]],DIAS!A:G,7,0)</f>
        <v>46234</v>
      </c>
      <c r="T478" s="6">
        <v>0</v>
      </c>
      <c r="U478" s="43">
        <f>VLOOKUP(Tabla1[[#This Row],[PAGO DIA]],DIAS!A:H,8,0)</f>
        <v>46265</v>
      </c>
      <c r="V478" s="6">
        <v>0</v>
      </c>
      <c r="W478" s="43">
        <f>VLOOKUP(Tabla1[[#This Row],[PAGO DIA]],DIAS!A:I,9,0)</f>
        <v>46295</v>
      </c>
      <c r="X478" s="6">
        <v>0</v>
      </c>
      <c r="Y478" s="43">
        <f>VLOOKUP(Tabla1[[#This Row],[PAGO DIA]],DIAS!A:J,10,0)</f>
        <v>46325</v>
      </c>
      <c r="Z478" s="6">
        <v>0</v>
      </c>
      <c r="AA478" s="43">
        <f>VLOOKUP(Tabla1[[#This Row],[PAGO DIA]],DIAS!A:K,11,0)</f>
        <v>46356</v>
      </c>
      <c r="AB478" s="6">
        <v>0</v>
      </c>
      <c r="AC478" s="43">
        <f>VLOOKUP(Tabla1[[#This Row],[PAGO DIA]],DIAS!A:M,12,0)</f>
        <v>46386</v>
      </c>
      <c r="AD4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79" spans="1:30">
      <c r="A479" s="3">
        <v>12623</v>
      </c>
      <c r="B479" s="3" t="s">
        <v>604</v>
      </c>
      <c r="C479" s="3" t="s">
        <v>605</v>
      </c>
      <c r="D479" s="3" t="s">
        <v>540</v>
      </c>
      <c r="E479" s="3" t="s">
        <v>897</v>
      </c>
      <c r="F479" s="42" t="s">
        <v>631</v>
      </c>
      <c r="G479" s="3" t="s">
        <v>1114</v>
      </c>
      <c r="H479" s="6">
        <v>0</v>
      </c>
      <c r="I479" s="41">
        <f>VLOOKUP(Tabla1[[#This Row],[PAGO DIA]],DIAS!A:B,2,0)</f>
        <v>46080</v>
      </c>
      <c r="J479" s="6">
        <v>0</v>
      </c>
      <c r="K479" s="43">
        <f>VLOOKUP(Tabla1[[#This Row],[PAGO DIA]],DIAS!A:C,3,0)</f>
        <v>46112</v>
      </c>
      <c r="L479" s="6">
        <v>0</v>
      </c>
      <c r="M479" s="41">
        <f>VLOOKUP(Tabla1[[#This Row],[PAGO DIA]],DIAS!A:D,4,0)</f>
        <v>46142</v>
      </c>
      <c r="N479" s="6">
        <v>0</v>
      </c>
      <c r="O479" s="43">
        <f>VLOOKUP(Tabla1[[#This Row],[PAGO DIA]],DIAS!A:E,5,0)</f>
        <v>46171</v>
      </c>
      <c r="P479" s="6">
        <v>0</v>
      </c>
      <c r="Q479" s="43">
        <f>VLOOKUP(Tabla1[[#This Row],[PAGO DIA]],DIAS!A:F,6,0)</f>
        <v>46203</v>
      </c>
      <c r="R479" s="6">
        <v>0</v>
      </c>
      <c r="S479" s="43">
        <f>VLOOKUP(Tabla1[[#This Row],[PAGO DIA]],DIAS!A:G,7,0)</f>
        <v>46234</v>
      </c>
      <c r="T479" s="6">
        <v>0</v>
      </c>
      <c r="U479" s="43">
        <f>VLOOKUP(Tabla1[[#This Row],[PAGO DIA]],DIAS!A:H,8,0)</f>
        <v>46265</v>
      </c>
      <c r="V479" s="6">
        <v>0</v>
      </c>
      <c r="W479" s="43">
        <f>VLOOKUP(Tabla1[[#This Row],[PAGO DIA]],DIAS!A:I,9,0)</f>
        <v>46295</v>
      </c>
      <c r="X479" s="6">
        <v>0</v>
      </c>
      <c r="Y479" s="43">
        <f>VLOOKUP(Tabla1[[#This Row],[PAGO DIA]],DIAS!A:J,10,0)</f>
        <v>46325</v>
      </c>
      <c r="Z479" s="6">
        <v>0</v>
      </c>
      <c r="AA479" s="43">
        <f>VLOOKUP(Tabla1[[#This Row],[PAGO DIA]],DIAS!A:K,11,0)</f>
        <v>46356</v>
      </c>
      <c r="AB479" s="6">
        <v>0</v>
      </c>
      <c r="AC479" s="43">
        <f>VLOOKUP(Tabla1[[#This Row],[PAGO DIA]],DIAS!A:M,12,0)</f>
        <v>46386</v>
      </c>
      <c r="AD4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80" spans="1:30">
      <c r="A480" s="3">
        <v>11958</v>
      </c>
      <c r="B480" s="3" t="s">
        <v>604</v>
      </c>
      <c r="C480" s="3" t="s">
        <v>540</v>
      </c>
      <c r="D480" s="3" t="s">
        <v>540</v>
      </c>
      <c r="E480" s="3" t="s">
        <v>899</v>
      </c>
      <c r="F480" s="42" t="s">
        <v>631</v>
      </c>
      <c r="G480" s="3" t="s">
        <v>1115</v>
      </c>
      <c r="H480" s="6">
        <v>0</v>
      </c>
      <c r="I480" s="41">
        <f>VLOOKUP(Tabla1[[#This Row],[PAGO DIA]],DIAS!A:B,2,0)</f>
        <v>46080</v>
      </c>
      <c r="J480" s="6">
        <v>0</v>
      </c>
      <c r="K480" s="43">
        <f>VLOOKUP(Tabla1[[#This Row],[PAGO DIA]],DIAS!A:C,3,0)</f>
        <v>46112</v>
      </c>
      <c r="L480" s="6">
        <v>0</v>
      </c>
      <c r="M480" s="41">
        <f>VLOOKUP(Tabla1[[#This Row],[PAGO DIA]],DIAS!A:D,4,0)</f>
        <v>46142</v>
      </c>
      <c r="N480" s="6">
        <v>0</v>
      </c>
      <c r="O480" s="43">
        <f>VLOOKUP(Tabla1[[#This Row],[PAGO DIA]],DIAS!A:E,5,0)</f>
        <v>46171</v>
      </c>
      <c r="P480" s="6">
        <v>0</v>
      </c>
      <c r="Q480" s="43">
        <f>VLOOKUP(Tabla1[[#This Row],[PAGO DIA]],DIAS!A:F,6,0)</f>
        <v>46203</v>
      </c>
      <c r="R480" s="6">
        <v>0</v>
      </c>
      <c r="S480" s="43">
        <f>VLOOKUP(Tabla1[[#This Row],[PAGO DIA]],DIAS!A:G,7,0)</f>
        <v>46234</v>
      </c>
      <c r="T480" s="6">
        <v>0</v>
      </c>
      <c r="U480" s="43">
        <f>VLOOKUP(Tabla1[[#This Row],[PAGO DIA]],DIAS!A:H,8,0)</f>
        <v>46265</v>
      </c>
      <c r="V480" s="6">
        <v>0</v>
      </c>
      <c r="W480" s="43">
        <f>VLOOKUP(Tabla1[[#This Row],[PAGO DIA]],DIAS!A:I,9,0)</f>
        <v>46295</v>
      </c>
      <c r="X480" s="6">
        <v>0</v>
      </c>
      <c r="Y480" s="43">
        <f>VLOOKUP(Tabla1[[#This Row],[PAGO DIA]],DIAS!A:J,10,0)</f>
        <v>46325</v>
      </c>
      <c r="Z480" s="6">
        <v>0</v>
      </c>
      <c r="AA480" s="43">
        <f>VLOOKUP(Tabla1[[#This Row],[PAGO DIA]],DIAS!A:K,11,0)</f>
        <v>46356</v>
      </c>
      <c r="AB480" s="6">
        <v>0</v>
      </c>
      <c r="AC480" s="43">
        <f>VLOOKUP(Tabla1[[#This Row],[PAGO DIA]],DIAS!A:M,12,0)</f>
        <v>46386</v>
      </c>
      <c r="AD4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81" spans="1:30">
      <c r="A481" s="3">
        <v>12048</v>
      </c>
      <c r="B481" s="3" t="s">
        <v>604</v>
      </c>
      <c r="C481" s="3" t="s">
        <v>605</v>
      </c>
      <c r="D481" s="3" t="s">
        <v>605</v>
      </c>
      <c r="E481" s="3" t="s">
        <v>1116</v>
      </c>
      <c r="F481" s="42" t="s">
        <v>631</v>
      </c>
      <c r="G481" s="3" t="s">
        <v>635</v>
      </c>
      <c r="H481" s="6">
        <v>0</v>
      </c>
      <c r="I481" s="41">
        <f>VLOOKUP(Tabla1[[#This Row],[PAGO DIA]],DIAS!A:B,2,0)</f>
        <v>46080</v>
      </c>
      <c r="J481" s="6">
        <v>0</v>
      </c>
      <c r="K481" s="43">
        <f>VLOOKUP(Tabla1[[#This Row],[PAGO DIA]],DIAS!A:C,3,0)</f>
        <v>46112</v>
      </c>
      <c r="L481" s="6">
        <v>0</v>
      </c>
      <c r="M481" s="41">
        <f>VLOOKUP(Tabla1[[#This Row],[PAGO DIA]],DIAS!A:D,4,0)</f>
        <v>46142</v>
      </c>
      <c r="N481" s="6">
        <v>0</v>
      </c>
      <c r="O481" s="43">
        <f>VLOOKUP(Tabla1[[#This Row],[PAGO DIA]],DIAS!A:E,5,0)</f>
        <v>46171</v>
      </c>
      <c r="P481" s="6">
        <v>0</v>
      </c>
      <c r="Q481" s="43">
        <f>VLOOKUP(Tabla1[[#This Row],[PAGO DIA]],DIAS!A:F,6,0)</f>
        <v>46203</v>
      </c>
      <c r="R481" s="6">
        <v>0</v>
      </c>
      <c r="S481" s="43">
        <f>VLOOKUP(Tabla1[[#This Row],[PAGO DIA]],DIAS!A:G,7,0)</f>
        <v>46234</v>
      </c>
      <c r="T481" s="6">
        <v>0</v>
      </c>
      <c r="U481" s="43">
        <f>VLOOKUP(Tabla1[[#This Row],[PAGO DIA]],DIAS!A:H,8,0)</f>
        <v>46265</v>
      </c>
      <c r="V481" s="6">
        <v>0</v>
      </c>
      <c r="W481" s="43">
        <f>VLOOKUP(Tabla1[[#This Row],[PAGO DIA]],DIAS!A:I,9,0)</f>
        <v>46295</v>
      </c>
      <c r="X481" s="6">
        <v>0</v>
      </c>
      <c r="Y481" s="43">
        <f>VLOOKUP(Tabla1[[#This Row],[PAGO DIA]],DIAS!A:J,10,0)</f>
        <v>46325</v>
      </c>
      <c r="Z481" s="6">
        <v>0</v>
      </c>
      <c r="AA481" s="43">
        <f>VLOOKUP(Tabla1[[#This Row],[PAGO DIA]],DIAS!A:K,11,0)</f>
        <v>46356</v>
      </c>
      <c r="AB481" s="6">
        <v>0</v>
      </c>
      <c r="AC481" s="43">
        <f>VLOOKUP(Tabla1[[#This Row],[PAGO DIA]],DIAS!A:M,12,0)</f>
        <v>46386</v>
      </c>
      <c r="AD4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82" spans="1:30">
      <c r="A482" s="3">
        <v>12477</v>
      </c>
      <c r="B482" s="3" t="s">
        <v>604</v>
      </c>
      <c r="C482" s="3" t="s">
        <v>605</v>
      </c>
      <c r="D482" s="3" t="s">
        <v>605</v>
      </c>
      <c r="E482" s="3" t="s">
        <v>903</v>
      </c>
      <c r="F482" s="42" t="s">
        <v>631</v>
      </c>
      <c r="G482" s="3"/>
      <c r="H482" s="6">
        <v>0</v>
      </c>
      <c r="I482" s="41">
        <f>VLOOKUP(Tabla1[[#This Row],[PAGO DIA]],DIAS!A:B,2,0)</f>
        <v>46080</v>
      </c>
      <c r="J482" s="6">
        <v>0</v>
      </c>
      <c r="K482" s="43">
        <f>VLOOKUP(Tabla1[[#This Row],[PAGO DIA]],DIAS!A:C,3,0)</f>
        <v>46112</v>
      </c>
      <c r="L482" s="6">
        <v>0</v>
      </c>
      <c r="M482" s="41">
        <f>VLOOKUP(Tabla1[[#This Row],[PAGO DIA]],DIAS!A:D,4,0)</f>
        <v>46142</v>
      </c>
      <c r="N482" s="6">
        <v>0</v>
      </c>
      <c r="O482" s="43">
        <f>VLOOKUP(Tabla1[[#This Row],[PAGO DIA]],DIAS!A:E,5,0)</f>
        <v>46171</v>
      </c>
      <c r="P482" s="6">
        <v>0</v>
      </c>
      <c r="Q482" s="43">
        <f>VLOOKUP(Tabla1[[#This Row],[PAGO DIA]],DIAS!A:F,6,0)</f>
        <v>46203</v>
      </c>
      <c r="R482" s="6">
        <v>0</v>
      </c>
      <c r="S482" s="43">
        <f>VLOOKUP(Tabla1[[#This Row],[PAGO DIA]],DIAS!A:G,7,0)</f>
        <v>46234</v>
      </c>
      <c r="T482" s="6">
        <v>0</v>
      </c>
      <c r="U482" s="43">
        <f>VLOOKUP(Tabla1[[#This Row],[PAGO DIA]],DIAS!A:H,8,0)</f>
        <v>46265</v>
      </c>
      <c r="V482" s="6">
        <v>0</v>
      </c>
      <c r="W482" s="43">
        <f>VLOOKUP(Tabla1[[#This Row],[PAGO DIA]],DIAS!A:I,9,0)</f>
        <v>46295</v>
      </c>
      <c r="X482" s="6">
        <v>0</v>
      </c>
      <c r="Y482" s="43">
        <f>VLOOKUP(Tabla1[[#This Row],[PAGO DIA]],DIAS!A:J,10,0)</f>
        <v>46325</v>
      </c>
      <c r="Z482" s="6">
        <v>0</v>
      </c>
      <c r="AA482" s="43">
        <f>VLOOKUP(Tabla1[[#This Row],[PAGO DIA]],DIAS!A:K,11,0)</f>
        <v>46356</v>
      </c>
      <c r="AB482" s="6">
        <v>0</v>
      </c>
      <c r="AC482" s="43">
        <f>VLOOKUP(Tabla1[[#This Row],[PAGO DIA]],DIAS!A:M,12,0)</f>
        <v>46386</v>
      </c>
      <c r="AD4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83" spans="1:30">
      <c r="A483" s="3">
        <v>11096</v>
      </c>
      <c r="B483" s="3" t="s">
        <v>504</v>
      </c>
      <c r="C483" s="3" t="s">
        <v>505</v>
      </c>
      <c r="D483" s="3" t="s">
        <v>526</v>
      </c>
      <c r="E483" s="3" t="s">
        <v>1117</v>
      </c>
      <c r="F483" s="42" t="s">
        <v>631</v>
      </c>
      <c r="G483" s="3" t="s">
        <v>1118</v>
      </c>
      <c r="H483" s="7">
        <v>1000000000</v>
      </c>
      <c r="I483" s="41">
        <f>VLOOKUP(Tabla1[[#This Row],[PAGO DIA]],DIAS!A:B,2,0)</f>
        <v>46080</v>
      </c>
      <c r="J483" s="7">
        <v>1000000000</v>
      </c>
      <c r="K483" s="43">
        <f>VLOOKUP(Tabla1[[#This Row],[PAGO DIA]],DIAS!A:C,3,0)</f>
        <v>46112</v>
      </c>
      <c r="L483" s="7">
        <v>1000000000</v>
      </c>
      <c r="M483" s="41">
        <f>VLOOKUP(Tabla1[[#This Row],[PAGO DIA]],DIAS!A:D,4,0)</f>
        <v>46142</v>
      </c>
      <c r="N483" s="7">
        <v>1000000000</v>
      </c>
      <c r="O483" s="43">
        <f>VLOOKUP(Tabla1[[#This Row],[PAGO DIA]],DIAS!A:E,5,0)</f>
        <v>46171</v>
      </c>
      <c r="P483" s="7">
        <v>1000000000</v>
      </c>
      <c r="Q483" s="43">
        <f>VLOOKUP(Tabla1[[#This Row],[PAGO DIA]],DIAS!A:F,6,0)</f>
        <v>46203</v>
      </c>
      <c r="R483" s="7">
        <v>1000000000</v>
      </c>
      <c r="S483" s="43">
        <f>VLOOKUP(Tabla1[[#This Row],[PAGO DIA]],DIAS!A:G,7,0)</f>
        <v>46234</v>
      </c>
      <c r="T483" s="7">
        <v>1000000000</v>
      </c>
      <c r="U483" s="43">
        <f>VLOOKUP(Tabla1[[#This Row],[PAGO DIA]],DIAS!A:H,8,0)</f>
        <v>46265</v>
      </c>
      <c r="V483" s="6">
        <v>700000000</v>
      </c>
      <c r="W483" s="43">
        <f>VLOOKUP(Tabla1[[#This Row],[PAGO DIA]],DIAS!A:I,9,0)</f>
        <v>46295</v>
      </c>
      <c r="X483" s="6">
        <v>0</v>
      </c>
      <c r="Y483" s="43">
        <f>VLOOKUP(Tabla1[[#This Row],[PAGO DIA]],DIAS!A:J,10,0)</f>
        <v>46325</v>
      </c>
      <c r="Z483" s="6">
        <v>0</v>
      </c>
      <c r="AA483" s="43">
        <f>VLOOKUP(Tabla1[[#This Row],[PAGO DIA]],DIAS!A:K,11,0)</f>
        <v>46356</v>
      </c>
      <c r="AB483" s="6">
        <v>0</v>
      </c>
      <c r="AC483" s="43">
        <f>VLOOKUP(Tabla1[[#This Row],[PAGO DIA]],DIAS!A:M,12,0)</f>
        <v>46386</v>
      </c>
      <c r="AD4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7700000000</v>
      </c>
    </row>
    <row r="484" spans="1:30">
      <c r="A484" s="3">
        <v>11105</v>
      </c>
      <c r="B484" s="3" t="s">
        <v>504</v>
      </c>
      <c r="C484" s="3" t="s">
        <v>505</v>
      </c>
      <c r="D484" s="3" t="s">
        <v>526</v>
      </c>
      <c r="E484" s="3" t="s">
        <v>1119</v>
      </c>
      <c r="F484" s="42" t="s">
        <v>631</v>
      </c>
      <c r="G484" s="3" t="s">
        <v>1120</v>
      </c>
      <c r="H484" s="7">
        <v>400000000</v>
      </c>
      <c r="I484" s="41">
        <f>VLOOKUP(Tabla1[[#This Row],[PAGO DIA]],DIAS!A:B,2,0)</f>
        <v>46080</v>
      </c>
      <c r="J484" s="6">
        <v>600000000</v>
      </c>
      <c r="K484" s="43">
        <f>VLOOKUP(Tabla1[[#This Row],[PAGO DIA]],DIAS!A:C,3,0)</f>
        <v>46112</v>
      </c>
      <c r="L484" s="6">
        <v>600000000</v>
      </c>
      <c r="M484" s="41">
        <f>VLOOKUP(Tabla1[[#This Row],[PAGO DIA]],DIAS!A:D,4,0)</f>
        <v>46142</v>
      </c>
      <c r="N484" s="6">
        <v>454534670.39999998</v>
      </c>
      <c r="O484" s="43">
        <f>VLOOKUP(Tabla1[[#This Row],[PAGO DIA]],DIAS!A:E,5,0)</f>
        <v>46171</v>
      </c>
      <c r="P484" s="6">
        <v>0</v>
      </c>
      <c r="Q484" s="43">
        <f>VLOOKUP(Tabla1[[#This Row],[PAGO DIA]],DIAS!A:F,6,0)</f>
        <v>46203</v>
      </c>
      <c r="R484" s="6">
        <v>0</v>
      </c>
      <c r="S484" s="43">
        <f>VLOOKUP(Tabla1[[#This Row],[PAGO DIA]],DIAS!A:G,7,0)</f>
        <v>46234</v>
      </c>
      <c r="T484" s="6">
        <v>0</v>
      </c>
      <c r="U484" s="43">
        <f>VLOOKUP(Tabla1[[#This Row],[PAGO DIA]],DIAS!A:H,8,0)</f>
        <v>46265</v>
      </c>
      <c r="V484" s="6">
        <v>0</v>
      </c>
      <c r="W484" s="43">
        <f>VLOOKUP(Tabla1[[#This Row],[PAGO DIA]],DIAS!A:I,9,0)</f>
        <v>46295</v>
      </c>
      <c r="X484" s="6">
        <v>0</v>
      </c>
      <c r="Y484" s="43">
        <f>VLOOKUP(Tabla1[[#This Row],[PAGO DIA]],DIAS!A:J,10,0)</f>
        <v>46325</v>
      </c>
      <c r="Z484" s="6">
        <v>0</v>
      </c>
      <c r="AA484" s="43">
        <f>VLOOKUP(Tabla1[[#This Row],[PAGO DIA]],DIAS!A:K,11,0)</f>
        <v>46356</v>
      </c>
      <c r="AB484" s="6">
        <v>0</v>
      </c>
      <c r="AC484" s="43">
        <f>VLOOKUP(Tabla1[[#This Row],[PAGO DIA]],DIAS!A:M,12,0)</f>
        <v>46386</v>
      </c>
      <c r="AD4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2054534670.4000001</v>
      </c>
    </row>
    <row r="485" spans="1:30">
      <c r="A485" s="3">
        <v>11143</v>
      </c>
      <c r="B485" s="3" t="s">
        <v>504</v>
      </c>
      <c r="C485" s="3" t="s">
        <v>505</v>
      </c>
      <c r="D485" s="3" t="s">
        <v>506</v>
      </c>
      <c r="E485" s="3" t="s">
        <v>1121</v>
      </c>
      <c r="F485" s="42" t="s">
        <v>631</v>
      </c>
      <c r="G485" s="3" t="s">
        <v>1122</v>
      </c>
      <c r="H485" s="7">
        <v>174410517</v>
      </c>
      <c r="I485" s="41">
        <f>VLOOKUP(Tabla1[[#This Row],[PAGO DIA]],DIAS!A:B,2,0)</f>
        <v>46080</v>
      </c>
      <c r="J485" s="6">
        <v>0</v>
      </c>
      <c r="K485" s="43">
        <f>VLOOKUP(Tabla1[[#This Row],[PAGO DIA]],DIAS!A:C,3,0)</f>
        <v>46112</v>
      </c>
      <c r="L485" s="6">
        <v>0</v>
      </c>
      <c r="M485" s="41">
        <f>VLOOKUP(Tabla1[[#This Row],[PAGO DIA]],DIAS!A:D,4,0)</f>
        <v>46142</v>
      </c>
      <c r="N485" s="6">
        <v>0</v>
      </c>
      <c r="O485" s="43">
        <f>VLOOKUP(Tabla1[[#This Row],[PAGO DIA]],DIAS!A:E,5,0)</f>
        <v>46171</v>
      </c>
      <c r="P485" s="6">
        <v>0</v>
      </c>
      <c r="Q485" s="43">
        <f>VLOOKUP(Tabla1[[#This Row],[PAGO DIA]],DIAS!A:F,6,0)</f>
        <v>46203</v>
      </c>
      <c r="R485" s="6">
        <v>0</v>
      </c>
      <c r="S485" s="43">
        <f>VLOOKUP(Tabla1[[#This Row],[PAGO DIA]],DIAS!A:G,7,0)</f>
        <v>46234</v>
      </c>
      <c r="T485" s="6">
        <v>0</v>
      </c>
      <c r="U485" s="43">
        <f>VLOOKUP(Tabla1[[#This Row],[PAGO DIA]],DIAS!A:H,8,0)</f>
        <v>46265</v>
      </c>
      <c r="V485" s="6">
        <v>0</v>
      </c>
      <c r="W485" s="43">
        <f>VLOOKUP(Tabla1[[#This Row],[PAGO DIA]],DIAS!A:I,9,0)</f>
        <v>46295</v>
      </c>
      <c r="X485" s="6">
        <v>0</v>
      </c>
      <c r="Y485" s="43">
        <f>VLOOKUP(Tabla1[[#This Row],[PAGO DIA]],DIAS!A:J,10,0)</f>
        <v>46325</v>
      </c>
      <c r="Z485" s="6">
        <v>0</v>
      </c>
      <c r="AA485" s="43">
        <f>VLOOKUP(Tabla1[[#This Row],[PAGO DIA]],DIAS!A:K,11,0)</f>
        <v>46356</v>
      </c>
      <c r="AB485" s="6">
        <v>0</v>
      </c>
      <c r="AC485" s="43">
        <f>VLOOKUP(Tabla1[[#This Row],[PAGO DIA]],DIAS!A:M,12,0)</f>
        <v>46386</v>
      </c>
      <c r="AD4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174410517</v>
      </c>
    </row>
    <row r="486" spans="1:30">
      <c r="A486" s="3">
        <v>11181</v>
      </c>
      <c r="B486" s="3" t="s">
        <v>504</v>
      </c>
      <c r="C486" s="3" t="s">
        <v>505</v>
      </c>
      <c r="D486" s="3" t="s">
        <v>506</v>
      </c>
      <c r="E486" s="3" t="s">
        <v>507</v>
      </c>
      <c r="F486" s="42" t="s">
        <v>631</v>
      </c>
      <c r="G486" s="3" t="s">
        <v>1123</v>
      </c>
      <c r="H486" s="7">
        <v>221852744.5</v>
      </c>
      <c r="I486" s="41">
        <f>VLOOKUP(Tabla1[[#This Row],[PAGO DIA]],DIAS!A:B,2,0)</f>
        <v>46080</v>
      </c>
      <c r="J486" s="6">
        <v>283606445</v>
      </c>
      <c r="K486" s="43">
        <f>VLOOKUP(Tabla1[[#This Row],[PAGO DIA]],DIAS!A:C,3,0)</f>
        <v>46112</v>
      </c>
      <c r="L486" s="6">
        <v>0</v>
      </c>
      <c r="M486" s="41">
        <f>VLOOKUP(Tabla1[[#This Row],[PAGO DIA]],DIAS!A:D,4,0)</f>
        <v>46142</v>
      </c>
      <c r="N486" s="6">
        <v>0</v>
      </c>
      <c r="O486" s="43">
        <f>VLOOKUP(Tabla1[[#This Row],[PAGO DIA]],DIAS!A:E,5,0)</f>
        <v>46171</v>
      </c>
      <c r="P486" s="6">
        <v>0</v>
      </c>
      <c r="Q486" s="43">
        <f>VLOOKUP(Tabla1[[#This Row],[PAGO DIA]],DIAS!A:F,6,0)</f>
        <v>46203</v>
      </c>
      <c r="R486" s="6">
        <v>0</v>
      </c>
      <c r="S486" s="43">
        <f>VLOOKUP(Tabla1[[#This Row],[PAGO DIA]],DIAS!A:G,7,0)</f>
        <v>46234</v>
      </c>
      <c r="T486" s="6">
        <v>0</v>
      </c>
      <c r="U486" s="43">
        <f>VLOOKUP(Tabla1[[#This Row],[PAGO DIA]],DIAS!A:H,8,0)</f>
        <v>46265</v>
      </c>
      <c r="V486" s="6">
        <v>0</v>
      </c>
      <c r="W486" s="43">
        <f>VLOOKUP(Tabla1[[#This Row],[PAGO DIA]],DIAS!A:I,9,0)</f>
        <v>46295</v>
      </c>
      <c r="X486" s="6">
        <v>0</v>
      </c>
      <c r="Y486" s="43">
        <f>VLOOKUP(Tabla1[[#This Row],[PAGO DIA]],DIAS!A:J,10,0)</f>
        <v>46325</v>
      </c>
      <c r="Z486" s="6">
        <v>0</v>
      </c>
      <c r="AA486" s="43">
        <f>VLOOKUP(Tabla1[[#This Row],[PAGO DIA]],DIAS!A:K,11,0)</f>
        <v>46356</v>
      </c>
      <c r="AB486" s="6">
        <v>0</v>
      </c>
      <c r="AC486" s="43">
        <f>VLOOKUP(Tabla1[[#This Row],[PAGO DIA]],DIAS!A:M,12,0)</f>
        <v>46386</v>
      </c>
      <c r="AD4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505459189.5</v>
      </c>
    </row>
    <row r="487" spans="1:30">
      <c r="A487" s="3">
        <v>11244</v>
      </c>
      <c r="B487" s="3" t="s">
        <v>504</v>
      </c>
      <c r="C487" s="3" t="s">
        <v>505</v>
      </c>
      <c r="D487" s="3" t="s">
        <v>506</v>
      </c>
      <c r="E487" s="3" t="s">
        <v>1124</v>
      </c>
      <c r="F487" s="42" t="s">
        <v>631</v>
      </c>
      <c r="G487" s="3" t="s">
        <v>1125</v>
      </c>
      <c r="H487" s="6">
        <v>110000000</v>
      </c>
      <c r="I487" s="41">
        <f>VLOOKUP(Tabla1[[#This Row],[PAGO DIA]],DIAS!A:B,2,0)</f>
        <v>46080</v>
      </c>
      <c r="J487" s="6">
        <v>100000000</v>
      </c>
      <c r="K487" s="43">
        <f>VLOOKUP(Tabla1[[#This Row],[PAGO DIA]],DIAS!A:C,3,0)</f>
        <v>46112</v>
      </c>
      <c r="L487" s="6">
        <v>100000000</v>
      </c>
      <c r="M487" s="41">
        <f>VLOOKUP(Tabla1[[#This Row],[PAGO DIA]],DIAS!A:D,4,0)</f>
        <v>46142</v>
      </c>
      <c r="N487" s="6">
        <v>0</v>
      </c>
      <c r="O487" s="43">
        <f>VLOOKUP(Tabla1[[#This Row],[PAGO DIA]],DIAS!A:E,5,0)</f>
        <v>46171</v>
      </c>
      <c r="P487" s="6">
        <v>0</v>
      </c>
      <c r="Q487" s="43">
        <f>VLOOKUP(Tabla1[[#This Row],[PAGO DIA]],DIAS!A:F,6,0)</f>
        <v>46203</v>
      </c>
      <c r="R487" s="6">
        <v>0</v>
      </c>
      <c r="S487" s="43">
        <f>VLOOKUP(Tabla1[[#This Row],[PAGO DIA]],DIAS!A:G,7,0)</f>
        <v>46234</v>
      </c>
      <c r="T487" s="6">
        <v>0</v>
      </c>
      <c r="U487" s="43">
        <f>VLOOKUP(Tabla1[[#This Row],[PAGO DIA]],DIAS!A:H,8,0)</f>
        <v>46265</v>
      </c>
      <c r="V487" s="6">
        <v>0</v>
      </c>
      <c r="W487" s="43">
        <f>VLOOKUP(Tabla1[[#This Row],[PAGO DIA]],DIAS!A:I,9,0)</f>
        <v>46295</v>
      </c>
      <c r="X487" s="6">
        <v>0</v>
      </c>
      <c r="Y487" s="43">
        <f>VLOOKUP(Tabla1[[#This Row],[PAGO DIA]],DIAS!A:J,10,0)</f>
        <v>46325</v>
      </c>
      <c r="Z487" s="6">
        <v>0</v>
      </c>
      <c r="AA487" s="43">
        <f>VLOOKUP(Tabla1[[#This Row],[PAGO DIA]],DIAS!A:K,11,0)</f>
        <v>46356</v>
      </c>
      <c r="AB487" s="6">
        <v>0</v>
      </c>
      <c r="AC487" s="43">
        <f>VLOOKUP(Tabla1[[#This Row],[PAGO DIA]],DIAS!A:M,12,0)</f>
        <v>46386</v>
      </c>
      <c r="AD4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310000000</v>
      </c>
    </row>
    <row r="488" spans="1:30">
      <c r="A488" s="3">
        <v>11394</v>
      </c>
      <c r="B488" s="3" t="s">
        <v>504</v>
      </c>
      <c r="C488" s="3" t="s">
        <v>505</v>
      </c>
      <c r="D488" s="3" t="s">
        <v>506</v>
      </c>
      <c r="E488" s="3" t="s">
        <v>1126</v>
      </c>
      <c r="F488" s="42" t="s">
        <v>631</v>
      </c>
      <c r="G488" s="3" t="s">
        <v>1127</v>
      </c>
      <c r="H488" s="6">
        <v>40000000</v>
      </c>
      <c r="I488" s="41">
        <f>VLOOKUP(Tabla1[[#This Row],[PAGO DIA]],DIAS!A:B,2,0)</f>
        <v>46080</v>
      </c>
      <c r="J488" s="6">
        <v>0</v>
      </c>
      <c r="K488" s="43">
        <f>VLOOKUP(Tabla1[[#This Row],[PAGO DIA]],DIAS!A:C,3,0)</f>
        <v>46112</v>
      </c>
      <c r="L488" s="6">
        <v>0</v>
      </c>
      <c r="M488" s="41">
        <f>VLOOKUP(Tabla1[[#This Row],[PAGO DIA]],DIAS!A:D,4,0)</f>
        <v>46142</v>
      </c>
      <c r="N488" s="6">
        <v>0</v>
      </c>
      <c r="O488" s="43">
        <f>VLOOKUP(Tabla1[[#This Row],[PAGO DIA]],DIAS!A:E,5,0)</f>
        <v>46171</v>
      </c>
      <c r="P488" s="6">
        <v>0</v>
      </c>
      <c r="Q488" s="43">
        <f>VLOOKUP(Tabla1[[#This Row],[PAGO DIA]],DIAS!A:F,6,0)</f>
        <v>46203</v>
      </c>
      <c r="R488" s="6">
        <v>0</v>
      </c>
      <c r="S488" s="43">
        <f>VLOOKUP(Tabla1[[#This Row],[PAGO DIA]],DIAS!A:G,7,0)</f>
        <v>46234</v>
      </c>
      <c r="T488" s="6">
        <v>0</v>
      </c>
      <c r="U488" s="43">
        <f>VLOOKUP(Tabla1[[#This Row],[PAGO DIA]],DIAS!A:H,8,0)</f>
        <v>46265</v>
      </c>
      <c r="V488" s="6">
        <v>0</v>
      </c>
      <c r="W488" s="43">
        <f>VLOOKUP(Tabla1[[#This Row],[PAGO DIA]],DIAS!A:I,9,0)</f>
        <v>46295</v>
      </c>
      <c r="X488" s="6">
        <v>0</v>
      </c>
      <c r="Y488" s="43">
        <f>VLOOKUP(Tabla1[[#This Row],[PAGO DIA]],DIAS!A:J,10,0)</f>
        <v>46325</v>
      </c>
      <c r="Z488" s="6">
        <v>0</v>
      </c>
      <c r="AA488" s="43">
        <f>VLOOKUP(Tabla1[[#This Row],[PAGO DIA]],DIAS!A:K,11,0)</f>
        <v>46356</v>
      </c>
      <c r="AB488" s="6">
        <v>0</v>
      </c>
      <c r="AC488" s="43">
        <f>VLOOKUP(Tabla1[[#This Row],[PAGO DIA]],DIAS!A:M,12,0)</f>
        <v>46386</v>
      </c>
      <c r="AD4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40000000</v>
      </c>
    </row>
    <row r="489" spans="1:30">
      <c r="A489" s="3">
        <v>11411</v>
      </c>
      <c r="B489" s="3" t="s">
        <v>504</v>
      </c>
      <c r="C489" s="3" t="s">
        <v>505</v>
      </c>
      <c r="D489" s="3" t="s">
        <v>506</v>
      </c>
      <c r="E489" s="3" t="s">
        <v>602</v>
      </c>
      <c r="F489" s="42" t="s">
        <v>631</v>
      </c>
      <c r="G489" s="3" t="s">
        <v>1128</v>
      </c>
      <c r="H489" s="7">
        <v>19400000</v>
      </c>
      <c r="I489" s="41">
        <f>VLOOKUP(Tabla1[[#This Row],[PAGO DIA]],DIAS!A:B,2,0)</f>
        <v>46080</v>
      </c>
      <c r="J489" s="6">
        <v>0</v>
      </c>
      <c r="K489" s="43">
        <f>VLOOKUP(Tabla1[[#This Row],[PAGO DIA]],DIAS!A:C,3,0)</f>
        <v>46112</v>
      </c>
      <c r="L489" s="6">
        <v>0</v>
      </c>
      <c r="M489" s="41">
        <f>VLOOKUP(Tabla1[[#This Row],[PAGO DIA]],DIAS!A:D,4,0)</f>
        <v>46142</v>
      </c>
      <c r="N489" s="6">
        <v>0</v>
      </c>
      <c r="O489" s="43">
        <f>VLOOKUP(Tabla1[[#This Row],[PAGO DIA]],DIAS!A:E,5,0)</f>
        <v>46171</v>
      </c>
      <c r="P489" s="6">
        <v>0</v>
      </c>
      <c r="Q489" s="43">
        <f>VLOOKUP(Tabla1[[#This Row],[PAGO DIA]],DIAS!A:F,6,0)</f>
        <v>46203</v>
      </c>
      <c r="R489" s="6">
        <v>0</v>
      </c>
      <c r="S489" s="43">
        <f>VLOOKUP(Tabla1[[#This Row],[PAGO DIA]],DIAS!A:G,7,0)</f>
        <v>46234</v>
      </c>
      <c r="T489" s="6">
        <v>0</v>
      </c>
      <c r="U489" s="43">
        <f>VLOOKUP(Tabla1[[#This Row],[PAGO DIA]],DIAS!A:H,8,0)</f>
        <v>46265</v>
      </c>
      <c r="V489" s="6">
        <v>0</v>
      </c>
      <c r="W489" s="43">
        <f>VLOOKUP(Tabla1[[#This Row],[PAGO DIA]],DIAS!A:I,9,0)</f>
        <v>46295</v>
      </c>
      <c r="X489" s="6">
        <v>0</v>
      </c>
      <c r="Y489" s="43">
        <f>VLOOKUP(Tabla1[[#This Row],[PAGO DIA]],DIAS!A:J,10,0)</f>
        <v>46325</v>
      </c>
      <c r="Z489" s="6">
        <v>0</v>
      </c>
      <c r="AA489" s="43">
        <f>VLOOKUP(Tabla1[[#This Row],[PAGO DIA]],DIAS!A:K,11,0)</f>
        <v>46356</v>
      </c>
      <c r="AB489" s="6">
        <v>0</v>
      </c>
      <c r="AC489" s="43">
        <f>VLOOKUP(Tabla1[[#This Row],[PAGO DIA]],DIAS!A:M,12,0)</f>
        <v>46386</v>
      </c>
      <c r="AD4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19400000</v>
      </c>
    </row>
    <row r="490" spans="1:30">
      <c r="A490" s="3">
        <v>11946</v>
      </c>
      <c r="B490" s="3" t="s">
        <v>504</v>
      </c>
      <c r="C490" s="3" t="s">
        <v>505</v>
      </c>
      <c r="D490" s="3" t="s">
        <v>526</v>
      </c>
      <c r="E490" s="3" t="s">
        <v>527</v>
      </c>
      <c r="F490" s="42" t="s">
        <v>631</v>
      </c>
      <c r="G490" s="3" t="s">
        <v>529</v>
      </c>
      <c r="H490" s="7">
        <v>852659157.57000005</v>
      </c>
      <c r="I490" s="41">
        <f>VLOOKUP(Tabla1[[#This Row],[PAGO DIA]],DIAS!A:B,2,0)</f>
        <v>46080</v>
      </c>
      <c r="J490" s="6">
        <v>1000000000</v>
      </c>
      <c r="K490" s="43">
        <f>VLOOKUP(Tabla1[[#This Row],[PAGO DIA]],DIAS!A:C,3,0)</f>
        <v>46112</v>
      </c>
      <c r="L490" s="6"/>
      <c r="M490" s="41">
        <f>VLOOKUP(Tabla1[[#This Row],[PAGO DIA]],DIAS!A:D,4,0)</f>
        <v>46142</v>
      </c>
      <c r="N490" s="6">
        <v>0</v>
      </c>
      <c r="O490" s="43">
        <f>VLOOKUP(Tabla1[[#This Row],[PAGO DIA]],DIAS!A:E,5,0)</f>
        <v>46171</v>
      </c>
      <c r="P490" s="6">
        <v>0</v>
      </c>
      <c r="Q490" s="43">
        <f>VLOOKUP(Tabla1[[#This Row],[PAGO DIA]],DIAS!A:F,6,0)</f>
        <v>46203</v>
      </c>
      <c r="R490" s="6">
        <v>0</v>
      </c>
      <c r="S490" s="43">
        <f>VLOOKUP(Tabla1[[#This Row],[PAGO DIA]],DIAS!A:G,7,0)</f>
        <v>46234</v>
      </c>
      <c r="T490" s="6">
        <v>0</v>
      </c>
      <c r="U490" s="43">
        <f>VLOOKUP(Tabla1[[#This Row],[PAGO DIA]],DIAS!A:H,8,0)</f>
        <v>46265</v>
      </c>
      <c r="V490" s="6">
        <v>0</v>
      </c>
      <c r="W490" s="43">
        <f>VLOOKUP(Tabla1[[#This Row],[PAGO DIA]],DIAS!A:I,9,0)</f>
        <v>46295</v>
      </c>
      <c r="X490" s="6">
        <v>0</v>
      </c>
      <c r="Y490" s="43">
        <f>VLOOKUP(Tabla1[[#This Row],[PAGO DIA]],DIAS!A:J,10,0)</f>
        <v>46325</v>
      </c>
      <c r="Z490" s="6">
        <v>0</v>
      </c>
      <c r="AA490" s="43">
        <f>VLOOKUP(Tabla1[[#This Row],[PAGO DIA]],DIAS!A:K,11,0)</f>
        <v>46356</v>
      </c>
      <c r="AB490" s="6">
        <v>0</v>
      </c>
      <c r="AC490" s="43">
        <f>VLOOKUP(Tabla1[[#This Row],[PAGO DIA]],DIAS!A:M,12,0)</f>
        <v>46386</v>
      </c>
      <c r="AD4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1852659157.5700002</v>
      </c>
    </row>
    <row r="491" spans="1:30">
      <c r="A491" s="3">
        <v>12504</v>
      </c>
      <c r="B491" s="3" t="s">
        <v>504</v>
      </c>
      <c r="C491" s="3" t="s">
        <v>505</v>
      </c>
      <c r="D491" s="3" t="s">
        <v>506</v>
      </c>
      <c r="E491" s="3" t="s">
        <v>1126</v>
      </c>
      <c r="F491" s="42" t="s">
        <v>631</v>
      </c>
      <c r="G491" s="3" t="s">
        <v>1128</v>
      </c>
      <c r="H491" s="6">
        <v>7242000</v>
      </c>
      <c r="I491" s="41">
        <f>VLOOKUP(Tabla1[[#This Row],[PAGO DIA]],DIAS!A:B,2,0)</f>
        <v>46080</v>
      </c>
      <c r="J491" s="6">
        <v>0</v>
      </c>
      <c r="K491" s="43">
        <f>VLOOKUP(Tabla1[[#This Row],[PAGO DIA]],DIAS!A:C,3,0)</f>
        <v>46112</v>
      </c>
      <c r="L491" s="6">
        <v>0</v>
      </c>
      <c r="M491" s="41">
        <f>VLOOKUP(Tabla1[[#This Row],[PAGO DIA]],DIAS!A:D,4,0)</f>
        <v>46142</v>
      </c>
      <c r="N491" s="6">
        <v>0</v>
      </c>
      <c r="O491" s="43">
        <f>VLOOKUP(Tabla1[[#This Row],[PAGO DIA]],DIAS!A:E,5,0)</f>
        <v>46171</v>
      </c>
      <c r="P491" s="6">
        <v>0</v>
      </c>
      <c r="Q491" s="43">
        <f>VLOOKUP(Tabla1[[#This Row],[PAGO DIA]],DIAS!A:F,6,0)</f>
        <v>46203</v>
      </c>
      <c r="R491" s="6">
        <v>0</v>
      </c>
      <c r="S491" s="43">
        <f>VLOOKUP(Tabla1[[#This Row],[PAGO DIA]],DIAS!A:G,7,0)</f>
        <v>46234</v>
      </c>
      <c r="T491" s="6">
        <v>0</v>
      </c>
      <c r="U491" s="43">
        <f>VLOOKUP(Tabla1[[#This Row],[PAGO DIA]],DIAS!A:H,8,0)</f>
        <v>46265</v>
      </c>
      <c r="V491" s="6">
        <v>0</v>
      </c>
      <c r="W491" s="43">
        <f>VLOOKUP(Tabla1[[#This Row],[PAGO DIA]],DIAS!A:I,9,0)</f>
        <v>46295</v>
      </c>
      <c r="X491" s="6">
        <v>0</v>
      </c>
      <c r="Y491" s="43">
        <f>VLOOKUP(Tabla1[[#This Row],[PAGO DIA]],DIAS!A:J,10,0)</f>
        <v>46325</v>
      </c>
      <c r="Z491" s="6">
        <v>0</v>
      </c>
      <c r="AA491" s="43">
        <f>VLOOKUP(Tabla1[[#This Row],[PAGO DIA]],DIAS!A:K,11,0)</f>
        <v>46356</v>
      </c>
      <c r="AB491" s="6">
        <v>0</v>
      </c>
      <c r="AC491" s="43">
        <f>VLOOKUP(Tabla1[[#This Row],[PAGO DIA]],DIAS!A:M,12,0)</f>
        <v>46386</v>
      </c>
      <c r="AD4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7242000</v>
      </c>
    </row>
    <row r="492" spans="1:30">
      <c r="A492" s="3">
        <v>11402</v>
      </c>
      <c r="B492" s="3" t="s">
        <v>504</v>
      </c>
      <c r="C492" s="3" t="s">
        <v>505</v>
      </c>
      <c r="D492" s="3" t="s">
        <v>506</v>
      </c>
      <c r="E492" s="3" t="s">
        <v>1126</v>
      </c>
      <c r="F492" s="42" t="s">
        <v>631</v>
      </c>
      <c r="G492" s="3" t="s">
        <v>1129</v>
      </c>
      <c r="H492" s="6">
        <v>0</v>
      </c>
      <c r="I492" s="41">
        <f>VLOOKUP(Tabla1[[#This Row],[PAGO DIA]],DIAS!A:B,2,0)</f>
        <v>46080</v>
      </c>
      <c r="J492" s="6">
        <v>0</v>
      </c>
      <c r="K492" s="43">
        <f>VLOOKUP(Tabla1[[#This Row],[PAGO DIA]],DIAS!A:C,3,0)</f>
        <v>46112</v>
      </c>
      <c r="L492" s="6">
        <v>0</v>
      </c>
      <c r="M492" s="41">
        <f>VLOOKUP(Tabla1[[#This Row],[PAGO DIA]],DIAS!A:D,4,0)</f>
        <v>46142</v>
      </c>
      <c r="N492" s="6">
        <v>0</v>
      </c>
      <c r="O492" s="43">
        <f>VLOOKUP(Tabla1[[#This Row],[PAGO DIA]],DIAS!A:E,5,0)</f>
        <v>46171</v>
      </c>
      <c r="P492" s="6">
        <v>0</v>
      </c>
      <c r="Q492" s="43">
        <f>VLOOKUP(Tabla1[[#This Row],[PAGO DIA]],DIAS!A:F,6,0)</f>
        <v>46203</v>
      </c>
      <c r="R492" s="6">
        <v>0</v>
      </c>
      <c r="S492" s="43">
        <f>VLOOKUP(Tabla1[[#This Row],[PAGO DIA]],DIAS!A:G,7,0)</f>
        <v>46234</v>
      </c>
      <c r="T492" s="6">
        <v>0</v>
      </c>
      <c r="U492" s="43">
        <f>VLOOKUP(Tabla1[[#This Row],[PAGO DIA]],DIAS!A:H,8,0)</f>
        <v>46265</v>
      </c>
      <c r="V492" s="6">
        <v>0</v>
      </c>
      <c r="W492" s="43">
        <f>VLOOKUP(Tabla1[[#This Row],[PAGO DIA]],DIAS!A:I,9,0)</f>
        <v>46295</v>
      </c>
      <c r="X492" s="6">
        <v>0</v>
      </c>
      <c r="Y492" s="43">
        <f>VLOOKUP(Tabla1[[#This Row],[PAGO DIA]],DIAS!A:J,10,0)</f>
        <v>46325</v>
      </c>
      <c r="Z492" s="6">
        <v>0</v>
      </c>
      <c r="AA492" s="43">
        <f>VLOOKUP(Tabla1[[#This Row],[PAGO DIA]],DIAS!A:K,11,0)</f>
        <v>46356</v>
      </c>
      <c r="AB492" s="6">
        <v>0</v>
      </c>
      <c r="AC492" s="43">
        <f>VLOOKUP(Tabla1[[#This Row],[PAGO DIA]],DIAS!A:M,12,0)</f>
        <v>46386</v>
      </c>
      <c r="AD4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3" spans="1:30">
      <c r="A493" s="3">
        <v>11408</v>
      </c>
      <c r="B493" s="3" t="s">
        <v>504</v>
      </c>
      <c r="C493" s="3" t="s">
        <v>505</v>
      </c>
      <c r="D493" s="3" t="s">
        <v>506</v>
      </c>
      <c r="E493" s="3" t="s">
        <v>1126</v>
      </c>
      <c r="F493" s="42" t="s">
        <v>631</v>
      </c>
      <c r="G493" s="3" t="s">
        <v>1130</v>
      </c>
      <c r="H493" s="6">
        <v>0</v>
      </c>
      <c r="I493" s="41">
        <f>VLOOKUP(Tabla1[[#This Row],[PAGO DIA]],DIAS!A:B,2,0)</f>
        <v>46080</v>
      </c>
      <c r="J493" s="6">
        <v>0</v>
      </c>
      <c r="K493" s="43">
        <f>VLOOKUP(Tabla1[[#This Row],[PAGO DIA]],DIAS!A:C,3,0)</f>
        <v>46112</v>
      </c>
      <c r="L493" s="6">
        <v>0</v>
      </c>
      <c r="M493" s="41">
        <f>VLOOKUP(Tabla1[[#This Row],[PAGO DIA]],DIAS!A:D,4,0)</f>
        <v>46142</v>
      </c>
      <c r="N493" s="6">
        <v>0</v>
      </c>
      <c r="O493" s="43">
        <f>VLOOKUP(Tabla1[[#This Row],[PAGO DIA]],DIAS!A:E,5,0)</f>
        <v>46171</v>
      </c>
      <c r="P493" s="6">
        <v>0</v>
      </c>
      <c r="Q493" s="43">
        <f>VLOOKUP(Tabla1[[#This Row],[PAGO DIA]],DIAS!A:F,6,0)</f>
        <v>46203</v>
      </c>
      <c r="R493" s="6">
        <v>0</v>
      </c>
      <c r="S493" s="43">
        <f>VLOOKUP(Tabla1[[#This Row],[PAGO DIA]],DIAS!A:G,7,0)</f>
        <v>46234</v>
      </c>
      <c r="T493" s="6">
        <v>0</v>
      </c>
      <c r="U493" s="43">
        <f>VLOOKUP(Tabla1[[#This Row],[PAGO DIA]],DIAS!A:H,8,0)</f>
        <v>46265</v>
      </c>
      <c r="V493" s="6">
        <v>0</v>
      </c>
      <c r="W493" s="43">
        <f>VLOOKUP(Tabla1[[#This Row],[PAGO DIA]],DIAS!A:I,9,0)</f>
        <v>46295</v>
      </c>
      <c r="X493" s="6">
        <v>0</v>
      </c>
      <c r="Y493" s="43">
        <f>VLOOKUP(Tabla1[[#This Row],[PAGO DIA]],DIAS!A:J,10,0)</f>
        <v>46325</v>
      </c>
      <c r="Z493" s="6">
        <v>0</v>
      </c>
      <c r="AA493" s="43">
        <f>VLOOKUP(Tabla1[[#This Row],[PAGO DIA]],DIAS!A:K,11,0)</f>
        <v>46356</v>
      </c>
      <c r="AB493" s="6">
        <v>0</v>
      </c>
      <c r="AC493" s="43">
        <f>VLOOKUP(Tabla1[[#This Row],[PAGO DIA]],DIAS!A:M,12,0)</f>
        <v>46386</v>
      </c>
      <c r="AD4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4" spans="1:30">
      <c r="A494" s="3">
        <v>11421</v>
      </c>
      <c r="B494" s="3" t="s">
        <v>504</v>
      </c>
      <c r="C494" s="3" t="s">
        <v>505</v>
      </c>
      <c r="D494" s="3" t="s">
        <v>506</v>
      </c>
      <c r="E494" s="3" t="s">
        <v>1126</v>
      </c>
      <c r="F494" s="42" t="s">
        <v>631</v>
      </c>
      <c r="G494" s="3" t="s">
        <v>1131</v>
      </c>
      <c r="H494" s="6">
        <v>0</v>
      </c>
      <c r="I494" s="41">
        <f>VLOOKUP(Tabla1[[#This Row],[PAGO DIA]],DIAS!A:B,2,0)</f>
        <v>46080</v>
      </c>
      <c r="J494" s="6">
        <v>0</v>
      </c>
      <c r="K494" s="43">
        <f>VLOOKUP(Tabla1[[#This Row],[PAGO DIA]],DIAS!A:C,3,0)</f>
        <v>46112</v>
      </c>
      <c r="L494" s="6">
        <v>0</v>
      </c>
      <c r="M494" s="41">
        <f>VLOOKUP(Tabla1[[#This Row],[PAGO DIA]],DIAS!A:D,4,0)</f>
        <v>46142</v>
      </c>
      <c r="N494" s="6">
        <v>0</v>
      </c>
      <c r="O494" s="43">
        <f>VLOOKUP(Tabla1[[#This Row],[PAGO DIA]],DIAS!A:E,5,0)</f>
        <v>46171</v>
      </c>
      <c r="P494" s="6">
        <v>0</v>
      </c>
      <c r="Q494" s="43">
        <f>VLOOKUP(Tabla1[[#This Row],[PAGO DIA]],DIAS!A:F,6,0)</f>
        <v>46203</v>
      </c>
      <c r="R494" s="6">
        <v>0</v>
      </c>
      <c r="S494" s="43">
        <f>VLOOKUP(Tabla1[[#This Row],[PAGO DIA]],DIAS!A:G,7,0)</f>
        <v>46234</v>
      </c>
      <c r="T494" s="6">
        <v>0</v>
      </c>
      <c r="U494" s="43">
        <f>VLOOKUP(Tabla1[[#This Row],[PAGO DIA]],DIAS!A:H,8,0)</f>
        <v>46265</v>
      </c>
      <c r="V494" s="6">
        <v>0</v>
      </c>
      <c r="W494" s="43">
        <f>VLOOKUP(Tabla1[[#This Row],[PAGO DIA]],DIAS!A:I,9,0)</f>
        <v>46295</v>
      </c>
      <c r="X494" s="6">
        <v>0</v>
      </c>
      <c r="Y494" s="43">
        <f>VLOOKUP(Tabla1[[#This Row],[PAGO DIA]],DIAS!A:J,10,0)</f>
        <v>46325</v>
      </c>
      <c r="Z494" s="6">
        <v>0</v>
      </c>
      <c r="AA494" s="43">
        <f>VLOOKUP(Tabla1[[#This Row],[PAGO DIA]],DIAS!A:K,11,0)</f>
        <v>46356</v>
      </c>
      <c r="AB494" s="6">
        <v>0</v>
      </c>
      <c r="AC494" s="43">
        <f>VLOOKUP(Tabla1[[#This Row],[PAGO DIA]],DIAS!A:M,12,0)</f>
        <v>46386</v>
      </c>
      <c r="AD4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5" spans="1:30">
      <c r="A495" s="3">
        <v>11430</v>
      </c>
      <c r="B495" s="3" t="s">
        <v>504</v>
      </c>
      <c r="C495" s="3" t="s">
        <v>505</v>
      </c>
      <c r="D495" s="3" t="s">
        <v>506</v>
      </c>
      <c r="E495" s="3" t="s">
        <v>1126</v>
      </c>
      <c r="F495" s="42" t="s">
        <v>631</v>
      </c>
      <c r="G495" s="3" t="s">
        <v>1127</v>
      </c>
      <c r="H495" s="6">
        <v>0</v>
      </c>
      <c r="I495" s="41">
        <f>VLOOKUP(Tabla1[[#This Row],[PAGO DIA]],DIAS!A:B,2,0)</f>
        <v>46080</v>
      </c>
      <c r="J495" s="6">
        <v>0</v>
      </c>
      <c r="K495" s="43">
        <f>VLOOKUP(Tabla1[[#This Row],[PAGO DIA]],DIAS!A:C,3,0)</f>
        <v>46112</v>
      </c>
      <c r="L495" s="6">
        <v>0</v>
      </c>
      <c r="M495" s="41">
        <f>VLOOKUP(Tabla1[[#This Row],[PAGO DIA]],DIAS!A:D,4,0)</f>
        <v>46142</v>
      </c>
      <c r="N495" s="6">
        <v>0</v>
      </c>
      <c r="O495" s="43">
        <f>VLOOKUP(Tabla1[[#This Row],[PAGO DIA]],DIAS!A:E,5,0)</f>
        <v>46171</v>
      </c>
      <c r="P495" s="6">
        <v>0</v>
      </c>
      <c r="Q495" s="43">
        <f>VLOOKUP(Tabla1[[#This Row],[PAGO DIA]],DIAS!A:F,6,0)</f>
        <v>46203</v>
      </c>
      <c r="R495" s="6">
        <v>0</v>
      </c>
      <c r="S495" s="43">
        <f>VLOOKUP(Tabla1[[#This Row],[PAGO DIA]],DIAS!A:G,7,0)</f>
        <v>46234</v>
      </c>
      <c r="T495" s="6">
        <v>0</v>
      </c>
      <c r="U495" s="43">
        <f>VLOOKUP(Tabla1[[#This Row],[PAGO DIA]],DIAS!A:H,8,0)</f>
        <v>46265</v>
      </c>
      <c r="V495" s="6">
        <v>0</v>
      </c>
      <c r="W495" s="43">
        <f>VLOOKUP(Tabla1[[#This Row],[PAGO DIA]],DIAS!A:I,9,0)</f>
        <v>46295</v>
      </c>
      <c r="X495" s="6">
        <v>0</v>
      </c>
      <c r="Y495" s="43">
        <f>VLOOKUP(Tabla1[[#This Row],[PAGO DIA]],DIAS!A:J,10,0)</f>
        <v>46325</v>
      </c>
      <c r="Z495" s="6">
        <v>0</v>
      </c>
      <c r="AA495" s="43">
        <f>VLOOKUP(Tabla1[[#This Row],[PAGO DIA]],DIAS!A:K,11,0)</f>
        <v>46356</v>
      </c>
      <c r="AB495" s="6">
        <v>0</v>
      </c>
      <c r="AC495" s="43">
        <f>VLOOKUP(Tabla1[[#This Row],[PAGO DIA]],DIAS!A:M,12,0)</f>
        <v>46386</v>
      </c>
      <c r="AD4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6" spans="1:30">
      <c r="A496" s="3">
        <v>12503</v>
      </c>
      <c r="B496" s="3" t="s">
        <v>504</v>
      </c>
      <c r="C496" s="3" t="s">
        <v>505</v>
      </c>
      <c r="D496" s="3" t="s">
        <v>506</v>
      </c>
      <c r="E496" s="3" t="s">
        <v>1126</v>
      </c>
      <c r="F496" s="42" t="s">
        <v>631</v>
      </c>
      <c r="G496" s="3" t="s">
        <v>1132</v>
      </c>
      <c r="H496" s="6">
        <v>0</v>
      </c>
      <c r="I496" s="41">
        <f>VLOOKUP(Tabla1[[#This Row],[PAGO DIA]],DIAS!A:B,2,0)</f>
        <v>46080</v>
      </c>
      <c r="J496" s="6">
        <v>0</v>
      </c>
      <c r="K496" s="43">
        <f>VLOOKUP(Tabla1[[#This Row],[PAGO DIA]],DIAS!A:C,3,0)</f>
        <v>46112</v>
      </c>
      <c r="L496" s="6">
        <v>0</v>
      </c>
      <c r="M496" s="41">
        <f>VLOOKUP(Tabla1[[#This Row],[PAGO DIA]],DIAS!A:D,4,0)</f>
        <v>46142</v>
      </c>
      <c r="N496" s="6">
        <v>0</v>
      </c>
      <c r="O496" s="43">
        <f>VLOOKUP(Tabla1[[#This Row],[PAGO DIA]],DIAS!A:E,5,0)</f>
        <v>46171</v>
      </c>
      <c r="P496" s="6">
        <v>0</v>
      </c>
      <c r="Q496" s="43">
        <f>VLOOKUP(Tabla1[[#This Row],[PAGO DIA]],DIAS!A:F,6,0)</f>
        <v>46203</v>
      </c>
      <c r="R496" s="6">
        <v>0</v>
      </c>
      <c r="S496" s="43">
        <f>VLOOKUP(Tabla1[[#This Row],[PAGO DIA]],DIAS!A:G,7,0)</f>
        <v>46234</v>
      </c>
      <c r="T496" s="6">
        <v>0</v>
      </c>
      <c r="U496" s="43">
        <f>VLOOKUP(Tabla1[[#This Row],[PAGO DIA]],DIAS!A:H,8,0)</f>
        <v>46265</v>
      </c>
      <c r="V496" s="6">
        <v>0</v>
      </c>
      <c r="W496" s="43">
        <f>VLOOKUP(Tabla1[[#This Row],[PAGO DIA]],DIAS!A:I,9,0)</f>
        <v>46295</v>
      </c>
      <c r="X496" s="6">
        <v>0</v>
      </c>
      <c r="Y496" s="43">
        <f>VLOOKUP(Tabla1[[#This Row],[PAGO DIA]],DIAS!A:J,10,0)</f>
        <v>46325</v>
      </c>
      <c r="Z496" s="6">
        <v>0</v>
      </c>
      <c r="AA496" s="43">
        <f>VLOOKUP(Tabla1[[#This Row],[PAGO DIA]],DIAS!A:K,11,0)</f>
        <v>46356</v>
      </c>
      <c r="AB496" s="6">
        <v>0</v>
      </c>
      <c r="AC496" s="43">
        <f>VLOOKUP(Tabla1[[#This Row],[PAGO DIA]],DIAS!A:M,12,0)</f>
        <v>46386</v>
      </c>
      <c r="AD4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7" spans="1:30">
      <c r="A497" s="3">
        <v>11102</v>
      </c>
      <c r="B497" s="3" t="s">
        <v>504</v>
      </c>
      <c r="C497" s="3" t="s">
        <v>505</v>
      </c>
      <c r="D497" s="3" t="s">
        <v>506</v>
      </c>
      <c r="E497" s="3" t="s">
        <v>507</v>
      </c>
      <c r="F497" s="42" t="s">
        <v>631</v>
      </c>
      <c r="G497" s="3" t="s">
        <v>1133</v>
      </c>
      <c r="H497" s="6">
        <v>0</v>
      </c>
      <c r="I497" s="41">
        <f>VLOOKUP(Tabla1[[#This Row],[PAGO DIA]],DIAS!A:B,2,0)</f>
        <v>46080</v>
      </c>
      <c r="J497" s="6">
        <v>0</v>
      </c>
      <c r="K497" s="43">
        <f>VLOOKUP(Tabla1[[#This Row],[PAGO DIA]],DIAS!A:C,3,0)</f>
        <v>46112</v>
      </c>
      <c r="L497" s="6">
        <v>0</v>
      </c>
      <c r="M497" s="41">
        <f>VLOOKUP(Tabla1[[#This Row],[PAGO DIA]],DIAS!A:D,4,0)</f>
        <v>46142</v>
      </c>
      <c r="N497" s="6">
        <v>0</v>
      </c>
      <c r="O497" s="43">
        <f>VLOOKUP(Tabla1[[#This Row],[PAGO DIA]],DIAS!A:E,5,0)</f>
        <v>46171</v>
      </c>
      <c r="P497" s="6">
        <v>0</v>
      </c>
      <c r="Q497" s="43">
        <f>VLOOKUP(Tabla1[[#This Row],[PAGO DIA]],DIAS!A:F,6,0)</f>
        <v>46203</v>
      </c>
      <c r="R497" s="6">
        <v>0</v>
      </c>
      <c r="S497" s="43">
        <f>VLOOKUP(Tabla1[[#This Row],[PAGO DIA]],DIAS!A:G,7,0)</f>
        <v>46234</v>
      </c>
      <c r="T497" s="6">
        <v>0</v>
      </c>
      <c r="U497" s="43">
        <f>VLOOKUP(Tabla1[[#This Row],[PAGO DIA]],DIAS!A:H,8,0)</f>
        <v>46265</v>
      </c>
      <c r="V497" s="6">
        <v>0</v>
      </c>
      <c r="W497" s="43">
        <f>VLOOKUP(Tabla1[[#This Row],[PAGO DIA]],DIAS!A:I,9,0)</f>
        <v>46295</v>
      </c>
      <c r="X497" s="6">
        <v>0</v>
      </c>
      <c r="Y497" s="43">
        <f>VLOOKUP(Tabla1[[#This Row],[PAGO DIA]],DIAS!A:J,10,0)</f>
        <v>46325</v>
      </c>
      <c r="Z497" s="6">
        <v>0</v>
      </c>
      <c r="AA497" s="43">
        <f>VLOOKUP(Tabla1[[#This Row],[PAGO DIA]],DIAS!A:K,11,0)</f>
        <v>46356</v>
      </c>
      <c r="AB497" s="6">
        <v>0</v>
      </c>
      <c r="AC497" s="43">
        <f>VLOOKUP(Tabla1[[#This Row],[PAGO DIA]],DIAS!A:M,12,0)</f>
        <v>46386</v>
      </c>
      <c r="AD4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8" spans="1:30">
      <c r="A498" s="3">
        <v>11122</v>
      </c>
      <c r="B498" s="3" t="s">
        <v>504</v>
      </c>
      <c r="C498" s="3" t="s">
        <v>505</v>
      </c>
      <c r="D498" s="3" t="s">
        <v>506</v>
      </c>
      <c r="E498" s="3" t="s">
        <v>507</v>
      </c>
      <c r="F498" s="42" t="s">
        <v>631</v>
      </c>
      <c r="G498" s="3" t="s">
        <v>509</v>
      </c>
      <c r="H498" s="6">
        <v>0</v>
      </c>
      <c r="I498" s="41">
        <f>VLOOKUP(Tabla1[[#This Row],[PAGO DIA]],DIAS!A:B,2,0)</f>
        <v>46080</v>
      </c>
      <c r="J498" s="6">
        <v>0</v>
      </c>
      <c r="K498" s="43">
        <f>VLOOKUP(Tabla1[[#This Row],[PAGO DIA]],DIAS!A:C,3,0)</f>
        <v>46112</v>
      </c>
      <c r="L498" s="6">
        <v>0</v>
      </c>
      <c r="M498" s="41">
        <f>VLOOKUP(Tabla1[[#This Row],[PAGO DIA]],DIAS!A:D,4,0)</f>
        <v>46142</v>
      </c>
      <c r="N498" s="6">
        <v>0</v>
      </c>
      <c r="O498" s="43">
        <f>VLOOKUP(Tabla1[[#This Row],[PAGO DIA]],DIAS!A:E,5,0)</f>
        <v>46171</v>
      </c>
      <c r="P498" s="6">
        <v>0</v>
      </c>
      <c r="Q498" s="43">
        <f>VLOOKUP(Tabla1[[#This Row],[PAGO DIA]],DIAS!A:F,6,0)</f>
        <v>46203</v>
      </c>
      <c r="R498" s="6">
        <v>0</v>
      </c>
      <c r="S498" s="43">
        <f>VLOOKUP(Tabla1[[#This Row],[PAGO DIA]],DIAS!A:G,7,0)</f>
        <v>46234</v>
      </c>
      <c r="T498" s="6">
        <v>0</v>
      </c>
      <c r="U498" s="43">
        <f>VLOOKUP(Tabla1[[#This Row],[PAGO DIA]],DIAS!A:H,8,0)</f>
        <v>46265</v>
      </c>
      <c r="V498" s="6">
        <v>0</v>
      </c>
      <c r="W498" s="43">
        <f>VLOOKUP(Tabla1[[#This Row],[PAGO DIA]],DIAS!A:I,9,0)</f>
        <v>46295</v>
      </c>
      <c r="X498" s="6">
        <v>0</v>
      </c>
      <c r="Y498" s="43">
        <f>VLOOKUP(Tabla1[[#This Row],[PAGO DIA]],DIAS!A:J,10,0)</f>
        <v>46325</v>
      </c>
      <c r="Z498" s="6">
        <v>0</v>
      </c>
      <c r="AA498" s="43">
        <f>VLOOKUP(Tabla1[[#This Row],[PAGO DIA]],DIAS!A:K,11,0)</f>
        <v>46356</v>
      </c>
      <c r="AB498" s="6">
        <v>0</v>
      </c>
      <c r="AC498" s="43">
        <f>VLOOKUP(Tabla1[[#This Row],[PAGO DIA]],DIAS!A:M,12,0)</f>
        <v>46386</v>
      </c>
      <c r="AD4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499" spans="1:30">
      <c r="A499" s="3">
        <v>11149</v>
      </c>
      <c r="B499" s="3" t="s">
        <v>504</v>
      </c>
      <c r="C499" s="3" t="s">
        <v>505</v>
      </c>
      <c r="D499" s="3" t="s">
        <v>506</v>
      </c>
      <c r="E499" s="3" t="s">
        <v>507</v>
      </c>
      <c r="F499" s="42" t="s">
        <v>631</v>
      </c>
      <c r="G499" s="3" t="s">
        <v>1123</v>
      </c>
      <c r="H499" s="6">
        <v>0</v>
      </c>
      <c r="I499" s="41">
        <f>VLOOKUP(Tabla1[[#This Row],[PAGO DIA]],DIAS!A:B,2,0)</f>
        <v>46080</v>
      </c>
      <c r="J499" s="6">
        <v>0</v>
      </c>
      <c r="K499" s="43">
        <f>VLOOKUP(Tabla1[[#This Row],[PAGO DIA]],DIAS!A:C,3,0)</f>
        <v>46112</v>
      </c>
      <c r="L499" s="6">
        <v>0</v>
      </c>
      <c r="M499" s="41">
        <f>VLOOKUP(Tabla1[[#This Row],[PAGO DIA]],DIAS!A:D,4,0)</f>
        <v>46142</v>
      </c>
      <c r="N499" s="6">
        <v>0</v>
      </c>
      <c r="O499" s="43">
        <f>VLOOKUP(Tabla1[[#This Row],[PAGO DIA]],DIAS!A:E,5,0)</f>
        <v>46171</v>
      </c>
      <c r="P499" s="6">
        <v>0</v>
      </c>
      <c r="Q499" s="43">
        <f>VLOOKUP(Tabla1[[#This Row],[PAGO DIA]],DIAS!A:F,6,0)</f>
        <v>46203</v>
      </c>
      <c r="R499" s="6">
        <v>0</v>
      </c>
      <c r="S499" s="43">
        <f>VLOOKUP(Tabla1[[#This Row],[PAGO DIA]],DIAS!A:G,7,0)</f>
        <v>46234</v>
      </c>
      <c r="T499" s="6">
        <v>0</v>
      </c>
      <c r="U499" s="43">
        <f>VLOOKUP(Tabla1[[#This Row],[PAGO DIA]],DIAS!A:H,8,0)</f>
        <v>46265</v>
      </c>
      <c r="V499" s="6">
        <v>0</v>
      </c>
      <c r="W499" s="43">
        <f>VLOOKUP(Tabla1[[#This Row],[PAGO DIA]],DIAS!A:I,9,0)</f>
        <v>46295</v>
      </c>
      <c r="X499" s="6">
        <v>0</v>
      </c>
      <c r="Y499" s="43">
        <f>VLOOKUP(Tabla1[[#This Row],[PAGO DIA]],DIAS!A:J,10,0)</f>
        <v>46325</v>
      </c>
      <c r="Z499" s="6">
        <v>0</v>
      </c>
      <c r="AA499" s="43">
        <f>VLOOKUP(Tabla1[[#This Row],[PAGO DIA]],DIAS!A:K,11,0)</f>
        <v>46356</v>
      </c>
      <c r="AB499" s="6">
        <v>0</v>
      </c>
      <c r="AC499" s="43">
        <f>VLOOKUP(Tabla1[[#This Row],[PAGO DIA]],DIAS!A:M,12,0)</f>
        <v>46386</v>
      </c>
      <c r="AD4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0" spans="1:30">
      <c r="A500" s="3">
        <v>11431</v>
      </c>
      <c r="B500" s="3" t="s">
        <v>504</v>
      </c>
      <c r="C500" s="3" t="s">
        <v>505</v>
      </c>
      <c r="D500" s="3" t="s">
        <v>506</v>
      </c>
      <c r="E500" s="3" t="s">
        <v>507</v>
      </c>
      <c r="F500" s="42" t="s">
        <v>631</v>
      </c>
      <c r="G500" s="3" t="s">
        <v>1133</v>
      </c>
      <c r="H500" s="6">
        <v>0</v>
      </c>
      <c r="I500" s="41">
        <f>VLOOKUP(Tabla1[[#This Row],[PAGO DIA]],DIAS!A:B,2,0)</f>
        <v>46080</v>
      </c>
      <c r="J500" s="6">
        <v>0</v>
      </c>
      <c r="K500" s="43">
        <f>VLOOKUP(Tabla1[[#This Row],[PAGO DIA]],DIAS!A:C,3,0)</f>
        <v>46112</v>
      </c>
      <c r="L500" s="6">
        <v>0</v>
      </c>
      <c r="M500" s="41">
        <f>VLOOKUP(Tabla1[[#This Row],[PAGO DIA]],DIAS!A:D,4,0)</f>
        <v>46142</v>
      </c>
      <c r="N500" s="6">
        <v>0</v>
      </c>
      <c r="O500" s="43">
        <f>VLOOKUP(Tabla1[[#This Row],[PAGO DIA]],DIAS!A:E,5,0)</f>
        <v>46171</v>
      </c>
      <c r="P500" s="6">
        <v>0</v>
      </c>
      <c r="Q500" s="43">
        <f>VLOOKUP(Tabla1[[#This Row],[PAGO DIA]],DIAS!A:F,6,0)</f>
        <v>46203</v>
      </c>
      <c r="R500" s="6">
        <v>0</v>
      </c>
      <c r="S500" s="43">
        <f>VLOOKUP(Tabla1[[#This Row],[PAGO DIA]],DIAS!A:G,7,0)</f>
        <v>46234</v>
      </c>
      <c r="T500" s="6">
        <v>0</v>
      </c>
      <c r="U500" s="43">
        <f>VLOOKUP(Tabla1[[#This Row],[PAGO DIA]],DIAS!A:H,8,0)</f>
        <v>46265</v>
      </c>
      <c r="V500" s="6">
        <v>0</v>
      </c>
      <c r="W500" s="43">
        <f>VLOOKUP(Tabla1[[#This Row],[PAGO DIA]],DIAS!A:I,9,0)</f>
        <v>46295</v>
      </c>
      <c r="X500" s="6">
        <v>0</v>
      </c>
      <c r="Y500" s="43">
        <f>VLOOKUP(Tabla1[[#This Row],[PAGO DIA]],DIAS!A:J,10,0)</f>
        <v>46325</v>
      </c>
      <c r="Z500" s="6">
        <v>0</v>
      </c>
      <c r="AA500" s="43">
        <f>VLOOKUP(Tabla1[[#This Row],[PAGO DIA]],DIAS!A:K,11,0)</f>
        <v>46356</v>
      </c>
      <c r="AB500" s="6">
        <v>0</v>
      </c>
      <c r="AC500" s="43">
        <f>VLOOKUP(Tabla1[[#This Row],[PAGO DIA]],DIAS!A:M,12,0)</f>
        <v>46386</v>
      </c>
      <c r="AD5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1" spans="1:30">
      <c r="A501" s="3">
        <v>11432</v>
      </c>
      <c r="B501" s="3" t="s">
        <v>504</v>
      </c>
      <c r="C501" s="3" t="s">
        <v>505</v>
      </c>
      <c r="D501" s="3" t="s">
        <v>506</v>
      </c>
      <c r="E501" s="3" t="s">
        <v>507</v>
      </c>
      <c r="F501" s="42" t="s">
        <v>631</v>
      </c>
      <c r="G501" s="3" t="s">
        <v>1134</v>
      </c>
      <c r="H501" s="6">
        <v>0</v>
      </c>
      <c r="I501" s="41">
        <f>VLOOKUP(Tabla1[[#This Row],[PAGO DIA]],DIAS!A:B,2,0)</f>
        <v>46080</v>
      </c>
      <c r="J501" s="6">
        <v>0</v>
      </c>
      <c r="K501" s="43">
        <f>VLOOKUP(Tabla1[[#This Row],[PAGO DIA]],DIAS!A:C,3,0)</f>
        <v>46112</v>
      </c>
      <c r="L501" s="6">
        <v>0</v>
      </c>
      <c r="M501" s="41">
        <f>VLOOKUP(Tabla1[[#This Row],[PAGO DIA]],DIAS!A:D,4,0)</f>
        <v>46142</v>
      </c>
      <c r="N501" s="6">
        <v>0</v>
      </c>
      <c r="O501" s="43">
        <f>VLOOKUP(Tabla1[[#This Row],[PAGO DIA]],DIAS!A:E,5,0)</f>
        <v>46171</v>
      </c>
      <c r="P501" s="6">
        <v>0</v>
      </c>
      <c r="Q501" s="43">
        <f>VLOOKUP(Tabla1[[#This Row],[PAGO DIA]],DIAS!A:F,6,0)</f>
        <v>46203</v>
      </c>
      <c r="R501" s="6">
        <v>0</v>
      </c>
      <c r="S501" s="43">
        <f>VLOOKUP(Tabla1[[#This Row],[PAGO DIA]],DIAS!A:G,7,0)</f>
        <v>46234</v>
      </c>
      <c r="T501" s="6">
        <v>0</v>
      </c>
      <c r="U501" s="43">
        <f>VLOOKUP(Tabla1[[#This Row],[PAGO DIA]],DIAS!A:H,8,0)</f>
        <v>46265</v>
      </c>
      <c r="V501" s="6">
        <v>0</v>
      </c>
      <c r="W501" s="43">
        <f>VLOOKUP(Tabla1[[#This Row],[PAGO DIA]],DIAS!A:I,9,0)</f>
        <v>46295</v>
      </c>
      <c r="X501" s="6">
        <v>0</v>
      </c>
      <c r="Y501" s="43">
        <f>VLOOKUP(Tabla1[[#This Row],[PAGO DIA]],DIAS!A:J,10,0)</f>
        <v>46325</v>
      </c>
      <c r="Z501" s="6">
        <v>0</v>
      </c>
      <c r="AA501" s="43">
        <f>VLOOKUP(Tabla1[[#This Row],[PAGO DIA]],DIAS!A:K,11,0)</f>
        <v>46356</v>
      </c>
      <c r="AB501" s="6">
        <v>0</v>
      </c>
      <c r="AC501" s="43">
        <f>VLOOKUP(Tabla1[[#This Row],[PAGO DIA]],DIAS!A:M,12,0)</f>
        <v>46386</v>
      </c>
      <c r="AD5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2" spans="1:30">
      <c r="A502" s="3">
        <v>11092</v>
      </c>
      <c r="B502" s="3" t="s">
        <v>504</v>
      </c>
      <c r="C502" s="3" t="s">
        <v>505</v>
      </c>
      <c r="D502" s="3" t="s">
        <v>506</v>
      </c>
      <c r="E502" s="3" t="s">
        <v>1135</v>
      </c>
      <c r="F502" s="42" t="s">
        <v>631</v>
      </c>
      <c r="G502" s="3"/>
      <c r="H502" s="6">
        <v>0</v>
      </c>
      <c r="I502" s="41">
        <f>VLOOKUP(Tabla1[[#This Row],[PAGO DIA]],DIAS!A:B,2,0)</f>
        <v>46080</v>
      </c>
      <c r="J502" s="6">
        <v>0</v>
      </c>
      <c r="K502" s="43">
        <f>VLOOKUP(Tabla1[[#This Row],[PAGO DIA]],DIAS!A:C,3,0)</f>
        <v>46112</v>
      </c>
      <c r="L502" s="6">
        <v>0</v>
      </c>
      <c r="M502" s="41">
        <f>VLOOKUP(Tabla1[[#This Row],[PAGO DIA]],DIAS!A:D,4,0)</f>
        <v>46142</v>
      </c>
      <c r="N502" s="6">
        <v>0</v>
      </c>
      <c r="O502" s="43">
        <f>VLOOKUP(Tabla1[[#This Row],[PAGO DIA]],DIAS!A:E,5,0)</f>
        <v>46171</v>
      </c>
      <c r="P502" s="6">
        <v>0</v>
      </c>
      <c r="Q502" s="43">
        <f>VLOOKUP(Tabla1[[#This Row],[PAGO DIA]],DIAS!A:F,6,0)</f>
        <v>46203</v>
      </c>
      <c r="R502" s="6">
        <v>0</v>
      </c>
      <c r="S502" s="43">
        <f>VLOOKUP(Tabla1[[#This Row],[PAGO DIA]],DIAS!A:G,7,0)</f>
        <v>46234</v>
      </c>
      <c r="T502" s="6">
        <v>0</v>
      </c>
      <c r="U502" s="43">
        <f>VLOOKUP(Tabla1[[#This Row],[PAGO DIA]],DIAS!A:H,8,0)</f>
        <v>46265</v>
      </c>
      <c r="V502" s="6">
        <v>0</v>
      </c>
      <c r="W502" s="43">
        <f>VLOOKUP(Tabla1[[#This Row],[PAGO DIA]],DIAS!A:I,9,0)</f>
        <v>46295</v>
      </c>
      <c r="X502" s="6">
        <v>0</v>
      </c>
      <c r="Y502" s="43">
        <f>VLOOKUP(Tabla1[[#This Row],[PAGO DIA]],DIAS!A:J,10,0)</f>
        <v>46325</v>
      </c>
      <c r="Z502" s="6">
        <v>0</v>
      </c>
      <c r="AA502" s="43">
        <f>VLOOKUP(Tabla1[[#This Row],[PAGO DIA]],DIAS!A:K,11,0)</f>
        <v>46356</v>
      </c>
      <c r="AB502" s="6">
        <v>0</v>
      </c>
      <c r="AC502" s="43">
        <f>VLOOKUP(Tabla1[[#This Row],[PAGO DIA]],DIAS!A:M,12,0)</f>
        <v>46386</v>
      </c>
      <c r="AD5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3" spans="1:30">
      <c r="A503" s="3">
        <v>11103</v>
      </c>
      <c r="B503" s="3" t="s">
        <v>504</v>
      </c>
      <c r="C503" s="3" t="s">
        <v>505</v>
      </c>
      <c r="D503" s="3" t="s">
        <v>506</v>
      </c>
      <c r="E503" s="3" t="s">
        <v>1135</v>
      </c>
      <c r="F503" s="42" t="s">
        <v>631</v>
      </c>
      <c r="G503" s="3" t="s">
        <v>1136</v>
      </c>
      <c r="H503" s="6">
        <v>0</v>
      </c>
      <c r="I503" s="41">
        <f>VLOOKUP(Tabla1[[#This Row],[PAGO DIA]],DIAS!A:B,2,0)</f>
        <v>46080</v>
      </c>
      <c r="J503" s="6">
        <v>0</v>
      </c>
      <c r="K503" s="43">
        <f>VLOOKUP(Tabla1[[#This Row],[PAGO DIA]],DIAS!A:C,3,0)</f>
        <v>46112</v>
      </c>
      <c r="L503" s="6">
        <v>0</v>
      </c>
      <c r="M503" s="41">
        <f>VLOOKUP(Tabla1[[#This Row],[PAGO DIA]],DIAS!A:D,4,0)</f>
        <v>46142</v>
      </c>
      <c r="N503" s="6">
        <v>0</v>
      </c>
      <c r="O503" s="43">
        <f>VLOOKUP(Tabla1[[#This Row],[PAGO DIA]],DIAS!A:E,5,0)</f>
        <v>46171</v>
      </c>
      <c r="P503" s="6">
        <v>0</v>
      </c>
      <c r="Q503" s="43">
        <f>VLOOKUP(Tabla1[[#This Row],[PAGO DIA]],DIAS!A:F,6,0)</f>
        <v>46203</v>
      </c>
      <c r="R503" s="6">
        <v>0</v>
      </c>
      <c r="S503" s="43">
        <f>VLOOKUP(Tabla1[[#This Row],[PAGO DIA]],DIAS!A:G,7,0)</f>
        <v>46234</v>
      </c>
      <c r="T503" s="6">
        <v>0</v>
      </c>
      <c r="U503" s="43">
        <f>VLOOKUP(Tabla1[[#This Row],[PAGO DIA]],DIAS!A:H,8,0)</f>
        <v>46265</v>
      </c>
      <c r="V503" s="6">
        <v>0</v>
      </c>
      <c r="W503" s="43">
        <f>VLOOKUP(Tabla1[[#This Row],[PAGO DIA]],DIAS!A:I,9,0)</f>
        <v>46295</v>
      </c>
      <c r="X503" s="6">
        <v>0</v>
      </c>
      <c r="Y503" s="43">
        <f>VLOOKUP(Tabla1[[#This Row],[PAGO DIA]],DIAS!A:J,10,0)</f>
        <v>46325</v>
      </c>
      <c r="Z503" s="6">
        <v>0</v>
      </c>
      <c r="AA503" s="43">
        <f>VLOOKUP(Tabla1[[#This Row],[PAGO DIA]],DIAS!A:K,11,0)</f>
        <v>46356</v>
      </c>
      <c r="AB503" s="6">
        <v>0</v>
      </c>
      <c r="AC503" s="43">
        <f>VLOOKUP(Tabla1[[#This Row],[PAGO DIA]],DIAS!A:M,12,0)</f>
        <v>46386</v>
      </c>
      <c r="AD5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4" spans="1:30">
      <c r="A504" s="3">
        <v>11111</v>
      </c>
      <c r="B504" s="3" t="s">
        <v>504</v>
      </c>
      <c r="C504" s="3" t="s">
        <v>505</v>
      </c>
      <c r="D504" s="3" t="s">
        <v>506</v>
      </c>
      <c r="E504" s="3" t="s">
        <v>1135</v>
      </c>
      <c r="F504" s="42" t="s">
        <v>631</v>
      </c>
      <c r="G504" s="3" t="s">
        <v>1137</v>
      </c>
      <c r="H504" s="6">
        <v>0</v>
      </c>
      <c r="I504" s="41">
        <f>VLOOKUP(Tabla1[[#This Row],[PAGO DIA]],DIAS!A:B,2,0)</f>
        <v>46080</v>
      </c>
      <c r="J504" s="6">
        <v>0</v>
      </c>
      <c r="K504" s="43">
        <f>VLOOKUP(Tabla1[[#This Row],[PAGO DIA]],DIAS!A:C,3,0)</f>
        <v>46112</v>
      </c>
      <c r="L504" s="6">
        <v>0</v>
      </c>
      <c r="M504" s="41">
        <f>VLOOKUP(Tabla1[[#This Row],[PAGO DIA]],DIAS!A:D,4,0)</f>
        <v>46142</v>
      </c>
      <c r="N504" s="6">
        <v>0</v>
      </c>
      <c r="O504" s="43">
        <f>VLOOKUP(Tabla1[[#This Row],[PAGO DIA]],DIAS!A:E,5,0)</f>
        <v>46171</v>
      </c>
      <c r="P504" s="6">
        <v>0</v>
      </c>
      <c r="Q504" s="43">
        <f>VLOOKUP(Tabla1[[#This Row],[PAGO DIA]],DIAS!A:F,6,0)</f>
        <v>46203</v>
      </c>
      <c r="R504" s="6">
        <v>0</v>
      </c>
      <c r="S504" s="43">
        <f>VLOOKUP(Tabla1[[#This Row],[PAGO DIA]],DIAS!A:G,7,0)</f>
        <v>46234</v>
      </c>
      <c r="T504" s="6">
        <v>0</v>
      </c>
      <c r="U504" s="43">
        <f>VLOOKUP(Tabla1[[#This Row],[PAGO DIA]],DIAS!A:H,8,0)</f>
        <v>46265</v>
      </c>
      <c r="V504" s="6">
        <v>0</v>
      </c>
      <c r="W504" s="43">
        <f>VLOOKUP(Tabla1[[#This Row],[PAGO DIA]],DIAS!A:I,9,0)</f>
        <v>46295</v>
      </c>
      <c r="X504" s="6">
        <v>0</v>
      </c>
      <c r="Y504" s="43">
        <f>VLOOKUP(Tabla1[[#This Row],[PAGO DIA]],DIAS!A:J,10,0)</f>
        <v>46325</v>
      </c>
      <c r="Z504" s="6">
        <v>0</v>
      </c>
      <c r="AA504" s="43">
        <f>VLOOKUP(Tabla1[[#This Row],[PAGO DIA]],DIAS!A:K,11,0)</f>
        <v>46356</v>
      </c>
      <c r="AB504" s="6">
        <v>0</v>
      </c>
      <c r="AC504" s="43">
        <f>VLOOKUP(Tabla1[[#This Row],[PAGO DIA]],DIAS!A:M,12,0)</f>
        <v>46386</v>
      </c>
      <c r="AD5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5" spans="1:30">
      <c r="A505" s="3">
        <v>11381</v>
      </c>
      <c r="B505" s="3" t="s">
        <v>504</v>
      </c>
      <c r="C505" s="3" t="s">
        <v>505</v>
      </c>
      <c r="D505" s="3" t="s">
        <v>506</v>
      </c>
      <c r="E505" s="3" t="s">
        <v>1135</v>
      </c>
      <c r="F505" s="42" t="s">
        <v>631</v>
      </c>
      <c r="G505" s="3" t="s">
        <v>1138</v>
      </c>
      <c r="H505" s="6">
        <v>0</v>
      </c>
      <c r="I505" s="41">
        <f>VLOOKUP(Tabla1[[#This Row],[PAGO DIA]],DIAS!A:B,2,0)</f>
        <v>46080</v>
      </c>
      <c r="J505" s="6">
        <v>0</v>
      </c>
      <c r="K505" s="43">
        <f>VLOOKUP(Tabla1[[#This Row],[PAGO DIA]],DIAS!A:C,3,0)</f>
        <v>46112</v>
      </c>
      <c r="L505" s="6">
        <v>0</v>
      </c>
      <c r="M505" s="41">
        <f>VLOOKUP(Tabla1[[#This Row],[PAGO DIA]],DIAS!A:D,4,0)</f>
        <v>46142</v>
      </c>
      <c r="N505" s="6">
        <v>0</v>
      </c>
      <c r="O505" s="43">
        <f>VLOOKUP(Tabla1[[#This Row],[PAGO DIA]],DIAS!A:E,5,0)</f>
        <v>46171</v>
      </c>
      <c r="P505" s="6">
        <v>0</v>
      </c>
      <c r="Q505" s="43">
        <f>VLOOKUP(Tabla1[[#This Row],[PAGO DIA]],DIAS!A:F,6,0)</f>
        <v>46203</v>
      </c>
      <c r="R505" s="6">
        <v>0</v>
      </c>
      <c r="S505" s="43">
        <f>VLOOKUP(Tabla1[[#This Row],[PAGO DIA]],DIAS!A:G,7,0)</f>
        <v>46234</v>
      </c>
      <c r="T505" s="6">
        <v>0</v>
      </c>
      <c r="U505" s="43">
        <f>VLOOKUP(Tabla1[[#This Row],[PAGO DIA]],DIAS!A:H,8,0)</f>
        <v>46265</v>
      </c>
      <c r="V505" s="6">
        <v>0</v>
      </c>
      <c r="W505" s="43">
        <f>VLOOKUP(Tabla1[[#This Row],[PAGO DIA]],DIAS!A:I,9,0)</f>
        <v>46295</v>
      </c>
      <c r="X505" s="6">
        <v>0</v>
      </c>
      <c r="Y505" s="43">
        <f>VLOOKUP(Tabla1[[#This Row],[PAGO DIA]],DIAS!A:J,10,0)</f>
        <v>46325</v>
      </c>
      <c r="Z505" s="6">
        <v>0</v>
      </c>
      <c r="AA505" s="43">
        <f>VLOOKUP(Tabla1[[#This Row],[PAGO DIA]],DIAS!A:K,11,0)</f>
        <v>46356</v>
      </c>
      <c r="AB505" s="6">
        <v>0</v>
      </c>
      <c r="AC505" s="43">
        <f>VLOOKUP(Tabla1[[#This Row],[PAGO DIA]],DIAS!A:M,12,0)</f>
        <v>46386</v>
      </c>
      <c r="AD5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6" spans="1:30">
      <c r="A506" s="3">
        <v>11419</v>
      </c>
      <c r="B506" s="3" t="s">
        <v>504</v>
      </c>
      <c r="C506" s="3" t="s">
        <v>505</v>
      </c>
      <c r="D506" s="3" t="s">
        <v>506</v>
      </c>
      <c r="E506" s="3" t="s">
        <v>1135</v>
      </c>
      <c r="F506" s="42" t="s">
        <v>631</v>
      </c>
      <c r="G506" s="3" t="s">
        <v>1139</v>
      </c>
      <c r="H506" s="6">
        <v>0</v>
      </c>
      <c r="I506" s="41">
        <f>VLOOKUP(Tabla1[[#This Row],[PAGO DIA]],DIAS!A:B,2,0)</f>
        <v>46080</v>
      </c>
      <c r="J506" s="6">
        <v>0</v>
      </c>
      <c r="K506" s="43">
        <f>VLOOKUP(Tabla1[[#This Row],[PAGO DIA]],DIAS!A:C,3,0)</f>
        <v>46112</v>
      </c>
      <c r="L506" s="6">
        <v>0</v>
      </c>
      <c r="M506" s="41">
        <f>VLOOKUP(Tabla1[[#This Row],[PAGO DIA]],DIAS!A:D,4,0)</f>
        <v>46142</v>
      </c>
      <c r="N506" s="6">
        <v>0</v>
      </c>
      <c r="O506" s="43">
        <f>VLOOKUP(Tabla1[[#This Row],[PAGO DIA]],DIAS!A:E,5,0)</f>
        <v>46171</v>
      </c>
      <c r="P506" s="6">
        <v>0</v>
      </c>
      <c r="Q506" s="43">
        <f>VLOOKUP(Tabla1[[#This Row],[PAGO DIA]],DIAS!A:F,6,0)</f>
        <v>46203</v>
      </c>
      <c r="R506" s="6">
        <v>0</v>
      </c>
      <c r="S506" s="43">
        <f>VLOOKUP(Tabla1[[#This Row],[PAGO DIA]],DIAS!A:G,7,0)</f>
        <v>46234</v>
      </c>
      <c r="T506" s="6">
        <v>0</v>
      </c>
      <c r="U506" s="43">
        <f>VLOOKUP(Tabla1[[#This Row],[PAGO DIA]],DIAS!A:H,8,0)</f>
        <v>46265</v>
      </c>
      <c r="V506" s="6">
        <v>0</v>
      </c>
      <c r="W506" s="43">
        <f>VLOOKUP(Tabla1[[#This Row],[PAGO DIA]],DIAS!A:I,9,0)</f>
        <v>46295</v>
      </c>
      <c r="X506" s="6">
        <v>0</v>
      </c>
      <c r="Y506" s="43">
        <f>VLOOKUP(Tabla1[[#This Row],[PAGO DIA]],DIAS!A:J,10,0)</f>
        <v>46325</v>
      </c>
      <c r="Z506" s="6">
        <v>0</v>
      </c>
      <c r="AA506" s="43">
        <f>VLOOKUP(Tabla1[[#This Row],[PAGO DIA]],DIAS!A:K,11,0)</f>
        <v>46356</v>
      </c>
      <c r="AB506" s="6">
        <v>0</v>
      </c>
      <c r="AC506" s="43">
        <f>VLOOKUP(Tabla1[[#This Row],[PAGO DIA]],DIAS!A:M,12,0)</f>
        <v>46386</v>
      </c>
      <c r="AD5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7" spans="1:30">
      <c r="A507" s="3">
        <v>11009</v>
      </c>
      <c r="B507" s="3" t="s">
        <v>504</v>
      </c>
      <c r="C507" s="3" t="s">
        <v>1140</v>
      </c>
      <c r="D507" s="3" t="s">
        <v>1141</v>
      </c>
      <c r="E507" s="3" t="s">
        <v>699</v>
      </c>
      <c r="F507" s="42" t="s">
        <v>631</v>
      </c>
      <c r="G507" s="3"/>
      <c r="H507" s="6">
        <v>0</v>
      </c>
      <c r="I507" s="41">
        <f>VLOOKUP(Tabla1[[#This Row],[PAGO DIA]],DIAS!A:B,2,0)</f>
        <v>46080</v>
      </c>
      <c r="J507" s="6">
        <v>0</v>
      </c>
      <c r="K507" s="43">
        <f>VLOOKUP(Tabla1[[#This Row],[PAGO DIA]],DIAS!A:C,3,0)</f>
        <v>46112</v>
      </c>
      <c r="L507" s="6">
        <v>0</v>
      </c>
      <c r="M507" s="41">
        <f>VLOOKUP(Tabla1[[#This Row],[PAGO DIA]],DIAS!A:D,4,0)</f>
        <v>46142</v>
      </c>
      <c r="N507" s="6">
        <v>0</v>
      </c>
      <c r="O507" s="43">
        <f>VLOOKUP(Tabla1[[#This Row],[PAGO DIA]],DIAS!A:E,5,0)</f>
        <v>46171</v>
      </c>
      <c r="P507" s="6">
        <v>0</v>
      </c>
      <c r="Q507" s="43">
        <f>VLOOKUP(Tabla1[[#This Row],[PAGO DIA]],DIAS!A:F,6,0)</f>
        <v>46203</v>
      </c>
      <c r="R507" s="6">
        <v>0</v>
      </c>
      <c r="S507" s="43">
        <f>VLOOKUP(Tabla1[[#This Row],[PAGO DIA]],DIAS!A:G,7,0)</f>
        <v>46234</v>
      </c>
      <c r="T507" s="6">
        <v>0</v>
      </c>
      <c r="U507" s="43">
        <f>VLOOKUP(Tabla1[[#This Row],[PAGO DIA]],DIAS!A:H,8,0)</f>
        <v>46265</v>
      </c>
      <c r="V507" s="6">
        <v>0</v>
      </c>
      <c r="W507" s="43">
        <f>VLOOKUP(Tabla1[[#This Row],[PAGO DIA]],DIAS!A:I,9,0)</f>
        <v>46295</v>
      </c>
      <c r="X507" s="6">
        <v>0</v>
      </c>
      <c r="Y507" s="43">
        <f>VLOOKUP(Tabla1[[#This Row],[PAGO DIA]],DIAS!A:J,10,0)</f>
        <v>46325</v>
      </c>
      <c r="Z507" s="6">
        <v>0</v>
      </c>
      <c r="AA507" s="43">
        <f>VLOOKUP(Tabla1[[#This Row],[PAGO DIA]],DIAS!A:K,11,0)</f>
        <v>46356</v>
      </c>
      <c r="AB507" s="6">
        <v>0</v>
      </c>
      <c r="AC507" s="43">
        <f>VLOOKUP(Tabla1[[#This Row],[PAGO DIA]],DIAS!A:M,12,0)</f>
        <v>46386</v>
      </c>
      <c r="AD5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8" spans="1:30">
      <c r="A508" s="3">
        <v>11231</v>
      </c>
      <c r="B508" s="3" t="s">
        <v>504</v>
      </c>
      <c r="C508" s="3" t="s">
        <v>1140</v>
      </c>
      <c r="D508" s="3" t="s">
        <v>1141</v>
      </c>
      <c r="E508" s="3" t="s">
        <v>699</v>
      </c>
      <c r="F508" s="42" t="s">
        <v>631</v>
      </c>
      <c r="G508" s="3" t="s">
        <v>1142</v>
      </c>
      <c r="H508" s="6">
        <v>0</v>
      </c>
      <c r="I508" s="41">
        <f>VLOOKUP(Tabla1[[#This Row],[PAGO DIA]],DIAS!A:B,2,0)</f>
        <v>46080</v>
      </c>
      <c r="J508" s="6">
        <v>0</v>
      </c>
      <c r="K508" s="43">
        <f>VLOOKUP(Tabla1[[#This Row],[PAGO DIA]],DIAS!A:C,3,0)</f>
        <v>46112</v>
      </c>
      <c r="L508" s="6">
        <v>0</v>
      </c>
      <c r="M508" s="41">
        <f>VLOOKUP(Tabla1[[#This Row],[PAGO DIA]],DIAS!A:D,4,0)</f>
        <v>46142</v>
      </c>
      <c r="N508" s="6">
        <v>0</v>
      </c>
      <c r="O508" s="43">
        <f>VLOOKUP(Tabla1[[#This Row],[PAGO DIA]],DIAS!A:E,5,0)</f>
        <v>46171</v>
      </c>
      <c r="P508" s="6">
        <v>0</v>
      </c>
      <c r="Q508" s="43">
        <f>VLOOKUP(Tabla1[[#This Row],[PAGO DIA]],DIAS!A:F,6,0)</f>
        <v>46203</v>
      </c>
      <c r="R508" s="6">
        <v>0</v>
      </c>
      <c r="S508" s="43">
        <f>VLOOKUP(Tabla1[[#This Row],[PAGO DIA]],DIAS!A:G,7,0)</f>
        <v>46234</v>
      </c>
      <c r="T508" s="6">
        <v>0</v>
      </c>
      <c r="U508" s="43">
        <f>VLOOKUP(Tabla1[[#This Row],[PAGO DIA]],DIAS!A:H,8,0)</f>
        <v>46265</v>
      </c>
      <c r="V508" s="6">
        <v>0</v>
      </c>
      <c r="W508" s="43">
        <f>VLOOKUP(Tabla1[[#This Row],[PAGO DIA]],DIAS!A:I,9,0)</f>
        <v>46295</v>
      </c>
      <c r="X508" s="6">
        <v>0</v>
      </c>
      <c r="Y508" s="43">
        <f>VLOOKUP(Tabla1[[#This Row],[PAGO DIA]],DIAS!A:J,10,0)</f>
        <v>46325</v>
      </c>
      <c r="Z508" s="6">
        <v>0</v>
      </c>
      <c r="AA508" s="43">
        <f>VLOOKUP(Tabla1[[#This Row],[PAGO DIA]],DIAS!A:K,11,0)</f>
        <v>46356</v>
      </c>
      <c r="AB508" s="6">
        <v>0</v>
      </c>
      <c r="AC508" s="43">
        <f>VLOOKUP(Tabla1[[#This Row],[PAGO DIA]],DIAS!A:M,12,0)</f>
        <v>46386</v>
      </c>
      <c r="AD5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09" spans="1:30">
      <c r="A509" s="3">
        <v>11545</v>
      </c>
      <c r="B509" s="3" t="s">
        <v>504</v>
      </c>
      <c r="C509" s="3" t="s">
        <v>539</v>
      </c>
      <c r="D509" s="3" t="s">
        <v>540</v>
      </c>
      <c r="E509" s="3" t="s">
        <v>699</v>
      </c>
      <c r="F509" s="42" t="s">
        <v>631</v>
      </c>
      <c r="G509" s="3" t="s">
        <v>1143</v>
      </c>
      <c r="H509" s="6">
        <v>0</v>
      </c>
      <c r="I509" s="41">
        <f>VLOOKUP(Tabla1[[#This Row],[PAGO DIA]],DIAS!A:B,2,0)</f>
        <v>46080</v>
      </c>
      <c r="J509" s="6">
        <v>0</v>
      </c>
      <c r="K509" s="43">
        <f>VLOOKUP(Tabla1[[#This Row],[PAGO DIA]],DIAS!A:C,3,0)</f>
        <v>46112</v>
      </c>
      <c r="L509" s="6">
        <v>0</v>
      </c>
      <c r="M509" s="41">
        <f>VLOOKUP(Tabla1[[#This Row],[PAGO DIA]],DIAS!A:D,4,0)</f>
        <v>46142</v>
      </c>
      <c r="N509" s="6">
        <v>0</v>
      </c>
      <c r="O509" s="43">
        <f>VLOOKUP(Tabla1[[#This Row],[PAGO DIA]],DIAS!A:E,5,0)</f>
        <v>46171</v>
      </c>
      <c r="P509" s="6">
        <v>0</v>
      </c>
      <c r="Q509" s="43">
        <f>VLOOKUP(Tabla1[[#This Row],[PAGO DIA]],DIAS!A:F,6,0)</f>
        <v>46203</v>
      </c>
      <c r="R509" s="6">
        <v>0</v>
      </c>
      <c r="S509" s="43">
        <f>VLOOKUP(Tabla1[[#This Row],[PAGO DIA]],DIAS!A:G,7,0)</f>
        <v>46234</v>
      </c>
      <c r="T509" s="6">
        <v>0</v>
      </c>
      <c r="U509" s="43">
        <f>VLOOKUP(Tabla1[[#This Row],[PAGO DIA]],DIAS!A:H,8,0)</f>
        <v>46265</v>
      </c>
      <c r="V509" s="6">
        <v>0</v>
      </c>
      <c r="W509" s="43">
        <f>VLOOKUP(Tabla1[[#This Row],[PAGO DIA]],DIAS!A:I,9,0)</f>
        <v>46295</v>
      </c>
      <c r="X509" s="6">
        <v>0</v>
      </c>
      <c r="Y509" s="43">
        <f>VLOOKUP(Tabla1[[#This Row],[PAGO DIA]],DIAS!A:J,10,0)</f>
        <v>46325</v>
      </c>
      <c r="Z509" s="6">
        <v>0</v>
      </c>
      <c r="AA509" s="43">
        <f>VLOOKUP(Tabla1[[#This Row],[PAGO DIA]],DIAS!A:K,11,0)</f>
        <v>46356</v>
      </c>
      <c r="AB509" s="6">
        <v>0</v>
      </c>
      <c r="AC509" s="43">
        <f>VLOOKUP(Tabla1[[#This Row],[PAGO DIA]],DIAS!A:M,12,0)</f>
        <v>46386</v>
      </c>
      <c r="AD5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0" spans="1:30">
      <c r="A510" s="3">
        <v>11546</v>
      </c>
      <c r="B510" s="3" t="s">
        <v>504</v>
      </c>
      <c r="C510" s="3" t="s">
        <v>539</v>
      </c>
      <c r="D510" s="3" t="s">
        <v>540</v>
      </c>
      <c r="E510" s="3" t="s">
        <v>699</v>
      </c>
      <c r="F510" s="42" t="s">
        <v>631</v>
      </c>
      <c r="G510" s="3" t="s">
        <v>1142</v>
      </c>
      <c r="H510" s="6">
        <v>0</v>
      </c>
      <c r="I510" s="41">
        <f>VLOOKUP(Tabla1[[#This Row],[PAGO DIA]],DIAS!A:B,2,0)</f>
        <v>46080</v>
      </c>
      <c r="J510" s="6">
        <v>0</v>
      </c>
      <c r="K510" s="43">
        <f>VLOOKUP(Tabla1[[#This Row],[PAGO DIA]],DIAS!A:C,3,0)</f>
        <v>46112</v>
      </c>
      <c r="L510" s="6">
        <v>0</v>
      </c>
      <c r="M510" s="41">
        <f>VLOOKUP(Tabla1[[#This Row],[PAGO DIA]],DIAS!A:D,4,0)</f>
        <v>46142</v>
      </c>
      <c r="N510" s="6">
        <v>0</v>
      </c>
      <c r="O510" s="43">
        <f>VLOOKUP(Tabla1[[#This Row],[PAGO DIA]],DIAS!A:E,5,0)</f>
        <v>46171</v>
      </c>
      <c r="P510" s="6">
        <v>0</v>
      </c>
      <c r="Q510" s="43">
        <f>VLOOKUP(Tabla1[[#This Row],[PAGO DIA]],DIAS!A:F,6,0)</f>
        <v>46203</v>
      </c>
      <c r="R510" s="6">
        <v>0</v>
      </c>
      <c r="S510" s="43">
        <f>VLOOKUP(Tabla1[[#This Row],[PAGO DIA]],DIAS!A:G,7,0)</f>
        <v>46234</v>
      </c>
      <c r="T510" s="6">
        <v>0</v>
      </c>
      <c r="U510" s="43">
        <f>VLOOKUP(Tabla1[[#This Row],[PAGO DIA]],DIAS!A:H,8,0)</f>
        <v>46265</v>
      </c>
      <c r="V510" s="6">
        <v>0</v>
      </c>
      <c r="W510" s="43">
        <f>VLOOKUP(Tabla1[[#This Row],[PAGO DIA]],DIAS!A:I,9,0)</f>
        <v>46295</v>
      </c>
      <c r="X510" s="6">
        <v>0</v>
      </c>
      <c r="Y510" s="43">
        <f>VLOOKUP(Tabla1[[#This Row],[PAGO DIA]],DIAS!A:J,10,0)</f>
        <v>46325</v>
      </c>
      <c r="Z510" s="6">
        <v>0</v>
      </c>
      <c r="AA510" s="43">
        <f>VLOOKUP(Tabla1[[#This Row],[PAGO DIA]],DIAS!A:K,11,0)</f>
        <v>46356</v>
      </c>
      <c r="AB510" s="6">
        <v>0</v>
      </c>
      <c r="AC510" s="43">
        <f>VLOOKUP(Tabla1[[#This Row],[PAGO DIA]],DIAS!A:M,12,0)</f>
        <v>46386</v>
      </c>
      <c r="AD5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1" spans="1:30">
      <c r="A511" s="3">
        <v>10995</v>
      </c>
      <c r="B511" s="3" t="s">
        <v>504</v>
      </c>
      <c r="C511" s="3" t="s">
        <v>1140</v>
      </c>
      <c r="D511" s="3" t="s">
        <v>1144</v>
      </c>
      <c r="E511" s="3" t="s">
        <v>1145</v>
      </c>
      <c r="F511" s="42" t="s">
        <v>631</v>
      </c>
      <c r="G511" s="3" t="s">
        <v>1146</v>
      </c>
      <c r="H511" s="6">
        <v>0</v>
      </c>
      <c r="I511" s="41">
        <f>VLOOKUP(Tabla1[[#This Row],[PAGO DIA]],DIAS!A:B,2,0)</f>
        <v>46080</v>
      </c>
      <c r="J511" s="6">
        <v>0</v>
      </c>
      <c r="K511" s="43">
        <f>VLOOKUP(Tabla1[[#This Row],[PAGO DIA]],DIAS!A:C,3,0)</f>
        <v>46112</v>
      </c>
      <c r="L511" s="6">
        <v>0</v>
      </c>
      <c r="M511" s="41">
        <f>VLOOKUP(Tabla1[[#This Row],[PAGO DIA]],DIAS!A:D,4,0)</f>
        <v>46142</v>
      </c>
      <c r="N511" s="6">
        <v>0</v>
      </c>
      <c r="O511" s="43">
        <f>VLOOKUP(Tabla1[[#This Row],[PAGO DIA]],DIAS!A:E,5,0)</f>
        <v>46171</v>
      </c>
      <c r="P511" s="6">
        <v>0</v>
      </c>
      <c r="Q511" s="43">
        <f>VLOOKUP(Tabla1[[#This Row],[PAGO DIA]],DIAS!A:F,6,0)</f>
        <v>46203</v>
      </c>
      <c r="R511" s="6">
        <v>0</v>
      </c>
      <c r="S511" s="43">
        <f>VLOOKUP(Tabla1[[#This Row],[PAGO DIA]],DIAS!A:G,7,0)</f>
        <v>46234</v>
      </c>
      <c r="T511" s="6">
        <v>0</v>
      </c>
      <c r="U511" s="43">
        <f>VLOOKUP(Tabla1[[#This Row],[PAGO DIA]],DIAS!A:H,8,0)</f>
        <v>46265</v>
      </c>
      <c r="V511" s="6">
        <v>0</v>
      </c>
      <c r="W511" s="43">
        <f>VLOOKUP(Tabla1[[#This Row],[PAGO DIA]],DIAS!A:I,9,0)</f>
        <v>46295</v>
      </c>
      <c r="X511" s="6">
        <v>0</v>
      </c>
      <c r="Y511" s="43">
        <f>VLOOKUP(Tabla1[[#This Row],[PAGO DIA]],DIAS!A:J,10,0)</f>
        <v>46325</v>
      </c>
      <c r="Z511" s="6">
        <v>0</v>
      </c>
      <c r="AA511" s="43">
        <f>VLOOKUP(Tabla1[[#This Row],[PAGO DIA]],DIAS!A:K,11,0)</f>
        <v>46356</v>
      </c>
      <c r="AB511" s="6">
        <v>0</v>
      </c>
      <c r="AC511" s="43">
        <f>VLOOKUP(Tabla1[[#This Row],[PAGO DIA]],DIAS!A:M,12,0)</f>
        <v>46386</v>
      </c>
      <c r="AD5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2" spans="1:30">
      <c r="A512" s="3">
        <v>11215</v>
      </c>
      <c r="B512" s="3" t="s">
        <v>504</v>
      </c>
      <c r="C512" s="3" t="s">
        <v>1140</v>
      </c>
      <c r="D512" s="3" t="s">
        <v>1144</v>
      </c>
      <c r="E512" s="3" t="s">
        <v>1145</v>
      </c>
      <c r="F512" s="42" t="s">
        <v>631</v>
      </c>
      <c r="G512" s="3"/>
      <c r="H512" s="6">
        <v>0</v>
      </c>
      <c r="I512" s="41">
        <f>VLOOKUP(Tabla1[[#This Row],[PAGO DIA]],DIAS!A:B,2,0)</f>
        <v>46080</v>
      </c>
      <c r="J512" s="6">
        <v>0</v>
      </c>
      <c r="K512" s="43">
        <f>VLOOKUP(Tabla1[[#This Row],[PAGO DIA]],DIAS!A:C,3,0)</f>
        <v>46112</v>
      </c>
      <c r="L512" s="6">
        <v>0</v>
      </c>
      <c r="M512" s="41">
        <f>VLOOKUP(Tabla1[[#This Row],[PAGO DIA]],DIAS!A:D,4,0)</f>
        <v>46142</v>
      </c>
      <c r="N512" s="6">
        <v>0</v>
      </c>
      <c r="O512" s="43">
        <f>VLOOKUP(Tabla1[[#This Row],[PAGO DIA]],DIAS!A:E,5,0)</f>
        <v>46171</v>
      </c>
      <c r="P512" s="6">
        <v>0</v>
      </c>
      <c r="Q512" s="43">
        <f>VLOOKUP(Tabla1[[#This Row],[PAGO DIA]],DIAS!A:F,6,0)</f>
        <v>46203</v>
      </c>
      <c r="R512" s="6">
        <v>0</v>
      </c>
      <c r="S512" s="43">
        <f>VLOOKUP(Tabla1[[#This Row],[PAGO DIA]],DIAS!A:G,7,0)</f>
        <v>46234</v>
      </c>
      <c r="T512" s="6">
        <v>0</v>
      </c>
      <c r="U512" s="43">
        <f>VLOOKUP(Tabla1[[#This Row],[PAGO DIA]],DIAS!A:H,8,0)</f>
        <v>46265</v>
      </c>
      <c r="V512" s="6">
        <v>0</v>
      </c>
      <c r="W512" s="43">
        <f>VLOOKUP(Tabla1[[#This Row],[PAGO DIA]],DIAS!A:I,9,0)</f>
        <v>46295</v>
      </c>
      <c r="X512" s="6">
        <v>0</v>
      </c>
      <c r="Y512" s="43">
        <f>VLOOKUP(Tabla1[[#This Row],[PAGO DIA]],DIAS!A:J,10,0)</f>
        <v>46325</v>
      </c>
      <c r="Z512" s="6">
        <v>0</v>
      </c>
      <c r="AA512" s="43">
        <f>VLOOKUP(Tabla1[[#This Row],[PAGO DIA]],DIAS!A:K,11,0)</f>
        <v>46356</v>
      </c>
      <c r="AB512" s="6">
        <v>0</v>
      </c>
      <c r="AC512" s="43">
        <f>VLOOKUP(Tabla1[[#This Row],[PAGO DIA]],DIAS!A:M,12,0)</f>
        <v>46386</v>
      </c>
      <c r="AD5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3" spans="1:30">
      <c r="A513" s="3">
        <v>11083</v>
      </c>
      <c r="B513" s="3" t="s">
        <v>504</v>
      </c>
      <c r="C513" s="3" t="s">
        <v>1147</v>
      </c>
      <c r="D513" s="3" t="s">
        <v>1148</v>
      </c>
      <c r="E513" s="3" t="s">
        <v>1149</v>
      </c>
      <c r="F513" s="42" t="s">
        <v>631</v>
      </c>
      <c r="G513" s="3" t="s">
        <v>1150</v>
      </c>
      <c r="H513" s="6">
        <v>0</v>
      </c>
      <c r="I513" s="41">
        <f>VLOOKUP(Tabla1[[#This Row],[PAGO DIA]],DIAS!A:B,2,0)</f>
        <v>46080</v>
      </c>
      <c r="J513" s="6">
        <v>0</v>
      </c>
      <c r="K513" s="43">
        <f>VLOOKUP(Tabla1[[#This Row],[PAGO DIA]],DIAS!A:C,3,0)</f>
        <v>46112</v>
      </c>
      <c r="L513" s="6">
        <v>0</v>
      </c>
      <c r="M513" s="41">
        <f>VLOOKUP(Tabla1[[#This Row],[PAGO DIA]],DIAS!A:D,4,0)</f>
        <v>46142</v>
      </c>
      <c r="N513" s="6">
        <v>0</v>
      </c>
      <c r="O513" s="43">
        <f>VLOOKUP(Tabla1[[#This Row],[PAGO DIA]],DIAS!A:E,5,0)</f>
        <v>46171</v>
      </c>
      <c r="P513" s="6">
        <v>0</v>
      </c>
      <c r="Q513" s="43">
        <f>VLOOKUP(Tabla1[[#This Row],[PAGO DIA]],DIAS!A:F,6,0)</f>
        <v>46203</v>
      </c>
      <c r="R513" s="6">
        <v>0</v>
      </c>
      <c r="S513" s="43">
        <f>VLOOKUP(Tabla1[[#This Row],[PAGO DIA]],DIAS!A:G,7,0)</f>
        <v>46234</v>
      </c>
      <c r="T513" s="6">
        <v>0</v>
      </c>
      <c r="U513" s="43">
        <f>VLOOKUP(Tabla1[[#This Row],[PAGO DIA]],DIAS!A:H,8,0)</f>
        <v>46265</v>
      </c>
      <c r="V513" s="6">
        <v>0</v>
      </c>
      <c r="W513" s="43">
        <f>VLOOKUP(Tabla1[[#This Row],[PAGO DIA]],DIAS!A:I,9,0)</f>
        <v>46295</v>
      </c>
      <c r="X513" s="6">
        <v>0</v>
      </c>
      <c r="Y513" s="43">
        <f>VLOOKUP(Tabla1[[#This Row],[PAGO DIA]],DIAS!A:J,10,0)</f>
        <v>46325</v>
      </c>
      <c r="Z513" s="6">
        <v>0</v>
      </c>
      <c r="AA513" s="43">
        <f>VLOOKUP(Tabla1[[#This Row],[PAGO DIA]],DIAS!A:K,11,0)</f>
        <v>46356</v>
      </c>
      <c r="AB513" s="6">
        <v>0</v>
      </c>
      <c r="AC513" s="43">
        <f>VLOOKUP(Tabla1[[#This Row],[PAGO DIA]],DIAS!A:M,12,0)</f>
        <v>46386</v>
      </c>
      <c r="AD5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4" spans="1:30">
      <c r="A514" s="3">
        <v>11367</v>
      </c>
      <c r="B514" s="3" t="s">
        <v>504</v>
      </c>
      <c r="C514" s="3" t="s">
        <v>1147</v>
      </c>
      <c r="D514" s="3" t="s">
        <v>1148</v>
      </c>
      <c r="E514" s="3" t="s">
        <v>1149</v>
      </c>
      <c r="F514" s="42" t="s">
        <v>631</v>
      </c>
      <c r="G514" s="3"/>
      <c r="H514" s="6">
        <v>0</v>
      </c>
      <c r="I514" s="41">
        <f>VLOOKUP(Tabla1[[#This Row],[PAGO DIA]],DIAS!A:B,2,0)</f>
        <v>46080</v>
      </c>
      <c r="J514" s="6">
        <v>0</v>
      </c>
      <c r="K514" s="43">
        <f>VLOOKUP(Tabla1[[#This Row],[PAGO DIA]],DIAS!A:C,3,0)</f>
        <v>46112</v>
      </c>
      <c r="L514" s="6">
        <v>0</v>
      </c>
      <c r="M514" s="41">
        <f>VLOOKUP(Tabla1[[#This Row],[PAGO DIA]],DIAS!A:D,4,0)</f>
        <v>46142</v>
      </c>
      <c r="N514" s="6">
        <v>0</v>
      </c>
      <c r="O514" s="43">
        <f>VLOOKUP(Tabla1[[#This Row],[PAGO DIA]],DIAS!A:E,5,0)</f>
        <v>46171</v>
      </c>
      <c r="P514" s="6">
        <v>0</v>
      </c>
      <c r="Q514" s="43">
        <f>VLOOKUP(Tabla1[[#This Row],[PAGO DIA]],DIAS!A:F,6,0)</f>
        <v>46203</v>
      </c>
      <c r="R514" s="6">
        <v>0</v>
      </c>
      <c r="S514" s="43">
        <f>VLOOKUP(Tabla1[[#This Row],[PAGO DIA]],DIAS!A:G,7,0)</f>
        <v>46234</v>
      </c>
      <c r="T514" s="6">
        <v>0</v>
      </c>
      <c r="U514" s="43">
        <f>VLOOKUP(Tabla1[[#This Row],[PAGO DIA]],DIAS!A:H,8,0)</f>
        <v>46265</v>
      </c>
      <c r="V514" s="6">
        <v>0</v>
      </c>
      <c r="W514" s="43">
        <f>VLOOKUP(Tabla1[[#This Row],[PAGO DIA]],DIAS!A:I,9,0)</f>
        <v>46295</v>
      </c>
      <c r="X514" s="6">
        <v>0</v>
      </c>
      <c r="Y514" s="43">
        <f>VLOOKUP(Tabla1[[#This Row],[PAGO DIA]],DIAS!A:J,10,0)</f>
        <v>46325</v>
      </c>
      <c r="Z514" s="6">
        <v>0</v>
      </c>
      <c r="AA514" s="43">
        <f>VLOOKUP(Tabla1[[#This Row],[PAGO DIA]],DIAS!A:K,11,0)</f>
        <v>46356</v>
      </c>
      <c r="AB514" s="6">
        <v>0</v>
      </c>
      <c r="AC514" s="43">
        <f>VLOOKUP(Tabla1[[#This Row],[PAGO DIA]],DIAS!A:M,12,0)</f>
        <v>46386</v>
      </c>
      <c r="AD5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5" spans="1:30">
      <c r="A515" s="3">
        <v>11088</v>
      </c>
      <c r="B515" s="3" t="s">
        <v>504</v>
      </c>
      <c r="C515" s="3" t="s">
        <v>1147</v>
      </c>
      <c r="D515" s="3" t="s">
        <v>1148</v>
      </c>
      <c r="E515" s="3" t="s">
        <v>1151</v>
      </c>
      <c r="F515" s="42" t="s">
        <v>631</v>
      </c>
      <c r="G515" s="3" t="s">
        <v>1152</v>
      </c>
      <c r="H515" s="6">
        <v>0</v>
      </c>
      <c r="I515" s="41">
        <f>VLOOKUP(Tabla1[[#This Row],[PAGO DIA]],DIAS!A:B,2,0)</f>
        <v>46080</v>
      </c>
      <c r="J515" s="6">
        <v>0</v>
      </c>
      <c r="K515" s="43">
        <f>VLOOKUP(Tabla1[[#This Row],[PAGO DIA]],DIAS!A:C,3,0)</f>
        <v>46112</v>
      </c>
      <c r="L515" s="6">
        <v>0</v>
      </c>
      <c r="M515" s="41">
        <f>VLOOKUP(Tabla1[[#This Row],[PAGO DIA]],DIAS!A:D,4,0)</f>
        <v>46142</v>
      </c>
      <c r="N515" s="6">
        <v>0</v>
      </c>
      <c r="O515" s="43">
        <f>VLOOKUP(Tabla1[[#This Row],[PAGO DIA]],DIAS!A:E,5,0)</f>
        <v>46171</v>
      </c>
      <c r="P515" s="6">
        <v>0</v>
      </c>
      <c r="Q515" s="43">
        <f>VLOOKUP(Tabla1[[#This Row],[PAGO DIA]],DIAS!A:F,6,0)</f>
        <v>46203</v>
      </c>
      <c r="R515" s="6">
        <v>0</v>
      </c>
      <c r="S515" s="43">
        <f>VLOOKUP(Tabla1[[#This Row],[PAGO DIA]],DIAS!A:G,7,0)</f>
        <v>46234</v>
      </c>
      <c r="T515" s="6">
        <v>0</v>
      </c>
      <c r="U515" s="43">
        <f>VLOOKUP(Tabla1[[#This Row],[PAGO DIA]],DIAS!A:H,8,0)</f>
        <v>46265</v>
      </c>
      <c r="V515" s="6">
        <v>0</v>
      </c>
      <c r="W515" s="43">
        <f>VLOOKUP(Tabla1[[#This Row],[PAGO DIA]],DIAS!A:I,9,0)</f>
        <v>46295</v>
      </c>
      <c r="X515" s="6">
        <v>0</v>
      </c>
      <c r="Y515" s="43">
        <f>VLOOKUP(Tabla1[[#This Row],[PAGO DIA]],DIAS!A:J,10,0)</f>
        <v>46325</v>
      </c>
      <c r="Z515" s="6">
        <v>0</v>
      </c>
      <c r="AA515" s="43">
        <f>VLOOKUP(Tabla1[[#This Row],[PAGO DIA]],DIAS!A:K,11,0)</f>
        <v>46356</v>
      </c>
      <c r="AB515" s="6">
        <v>0</v>
      </c>
      <c r="AC515" s="43">
        <f>VLOOKUP(Tabla1[[#This Row],[PAGO DIA]],DIAS!A:M,12,0)</f>
        <v>46386</v>
      </c>
      <c r="AD5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6" spans="1:30">
      <c r="A516" s="3">
        <v>11375</v>
      </c>
      <c r="B516" s="3" t="s">
        <v>504</v>
      </c>
      <c r="C516" s="3" t="s">
        <v>1147</v>
      </c>
      <c r="D516" s="3" t="s">
        <v>1148</v>
      </c>
      <c r="E516" s="3" t="s">
        <v>1151</v>
      </c>
      <c r="F516" s="42" t="s">
        <v>631</v>
      </c>
      <c r="G516" s="3"/>
      <c r="H516" s="6">
        <v>0</v>
      </c>
      <c r="I516" s="41">
        <f>VLOOKUP(Tabla1[[#This Row],[PAGO DIA]],DIAS!A:B,2,0)</f>
        <v>46080</v>
      </c>
      <c r="J516" s="6">
        <v>0</v>
      </c>
      <c r="K516" s="43">
        <f>VLOOKUP(Tabla1[[#This Row],[PAGO DIA]],DIAS!A:C,3,0)</f>
        <v>46112</v>
      </c>
      <c r="L516" s="6">
        <v>0</v>
      </c>
      <c r="M516" s="41">
        <f>VLOOKUP(Tabla1[[#This Row],[PAGO DIA]],DIAS!A:D,4,0)</f>
        <v>46142</v>
      </c>
      <c r="N516" s="6">
        <v>0</v>
      </c>
      <c r="O516" s="43">
        <f>VLOOKUP(Tabla1[[#This Row],[PAGO DIA]],DIAS!A:E,5,0)</f>
        <v>46171</v>
      </c>
      <c r="P516" s="6">
        <v>0</v>
      </c>
      <c r="Q516" s="43">
        <f>VLOOKUP(Tabla1[[#This Row],[PAGO DIA]],DIAS!A:F,6,0)</f>
        <v>46203</v>
      </c>
      <c r="R516" s="6">
        <v>0</v>
      </c>
      <c r="S516" s="43">
        <f>VLOOKUP(Tabla1[[#This Row],[PAGO DIA]],DIAS!A:G,7,0)</f>
        <v>46234</v>
      </c>
      <c r="T516" s="6">
        <v>0</v>
      </c>
      <c r="U516" s="43">
        <f>VLOOKUP(Tabla1[[#This Row],[PAGO DIA]],DIAS!A:H,8,0)</f>
        <v>46265</v>
      </c>
      <c r="V516" s="6">
        <v>0</v>
      </c>
      <c r="W516" s="43">
        <f>VLOOKUP(Tabla1[[#This Row],[PAGO DIA]],DIAS!A:I,9,0)</f>
        <v>46295</v>
      </c>
      <c r="X516" s="6">
        <v>0</v>
      </c>
      <c r="Y516" s="43">
        <f>VLOOKUP(Tabla1[[#This Row],[PAGO DIA]],DIAS!A:J,10,0)</f>
        <v>46325</v>
      </c>
      <c r="Z516" s="6">
        <v>0</v>
      </c>
      <c r="AA516" s="43">
        <f>VLOOKUP(Tabla1[[#This Row],[PAGO DIA]],DIAS!A:K,11,0)</f>
        <v>46356</v>
      </c>
      <c r="AB516" s="6">
        <v>0</v>
      </c>
      <c r="AC516" s="43">
        <f>VLOOKUP(Tabla1[[#This Row],[PAGO DIA]],DIAS!A:M,12,0)</f>
        <v>46386</v>
      </c>
      <c r="AD5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7" spans="1:30">
      <c r="A517" s="3">
        <v>11749</v>
      </c>
      <c r="B517" s="3" t="s">
        <v>504</v>
      </c>
      <c r="C517" s="3" t="s">
        <v>1147</v>
      </c>
      <c r="D517" s="3" t="s">
        <v>1148</v>
      </c>
      <c r="E517" s="3" t="s">
        <v>1153</v>
      </c>
      <c r="F517" s="42" t="s">
        <v>631</v>
      </c>
      <c r="G517" s="3"/>
      <c r="H517" s="6">
        <v>0</v>
      </c>
      <c r="I517" s="41">
        <f>VLOOKUP(Tabla1[[#This Row],[PAGO DIA]],DIAS!A:B,2,0)</f>
        <v>46080</v>
      </c>
      <c r="J517" s="6">
        <v>0</v>
      </c>
      <c r="K517" s="43">
        <f>VLOOKUP(Tabla1[[#This Row],[PAGO DIA]],DIAS!A:C,3,0)</f>
        <v>46112</v>
      </c>
      <c r="L517" s="6">
        <v>0</v>
      </c>
      <c r="M517" s="41">
        <f>VLOOKUP(Tabla1[[#This Row],[PAGO DIA]],DIAS!A:D,4,0)</f>
        <v>46142</v>
      </c>
      <c r="N517" s="6">
        <v>0</v>
      </c>
      <c r="O517" s="43">
        <f>VLOOKUP(Tabla1[[#This Row],[PAGO DIA]],DIAS!A:E,5,0)</f>
        <v>46171</v>
      </c>
      <c r="P517" s="6">
        <v>0</v>
      </c>
      <c r="Q517" s="43">
        <f>VLOOKUP(Tabla1[[#This Row],[PAGO DIA]],DIAS!A:F,6,0)</f>
        <v>46203</v>
      </c>
      <c r="R517" s="6">
        <v>0</v>
      </c>
      <c r="S517" s="43">
        <f>VLOOKUP(Tabla1[[#This Row],[PAGO DIA]],DIAS!A:G,7,0)</f>
        <v>46234</v>
      </c>
      <c r="T517" s="6">
        <v>0</v>
      </c>
      <c r="U517" s="43">
        <f>VLOOKUP(Tabla1[[#This Row],[PAGO DIA]],DIAS!A:H,8,0)</f>
        <v>46265</v>
      </c>
      <c r="V517" s="6">
        <v>0</v>
      </c>
      <c r="W517" s="43">
        <f>VLOOKUP(Tabla1[[#This Row],[PAGO DIA]],DIAS!A:I,9,0)</f>
        <v>46295</v>
      </c>
      <c r="X517" s="6">
        <v>0</v>
      </c>
      <c r="Y517" s="43">
        <f>VLOOKUP(Tabla1[[#This Row],[PAGO DIA]],DIAS!A:J,10,0)</f>
        <v>46325</v>
      </c>
      <c r="Z517" s="6">
        <v>0</v>
      </c>
      <c r="AA517" s="43">
        <f>VLOOKUP(Tabla1[[#This Row],[PAGO DIA]],DIAS!A:K,11,0)</f>
        <v>46356</v>
      </c>
      <c r="AB517" s="6">
        <v>0</v>
      </c>
      <c r="AC517" s="43">
        <f>VLOOKUP(Tabla1[[#This Row],[PAGO DIA]],DIAS!A:M,12,0)</f>
        <v>46386</v>
      </c>
      <c r="AD5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8" spans="1:30">
      <c r="A518" s="3">
        <v>11029</v>
      </c>
      <c r="B518" s="3" t="s">
        <v>504</v>
      </c>
      <c r="C518" s="3" t="s">
        <v>1147</v>
      </c>
      <c r="D518" s="3" t="s">
        <v>1148</v>
      </c>
      <c r="E518" s="3" t="s">
        <v>1154</v>
      </c>
      <c r="F518" s="42" t="s">
        <v>631</v>
      </c>
      <c r="G518" s="3" t="s">
        <v>1155</v>
      </c>
      <c r="H518" s="6">
        <v>0</v>
      </c>
      <c r="I518" s="41">
        <f>VLOOKUP(Tabla1[[#This Row],[PAGO DIA]],DIAS!A:B,2,0)</f>
        <v>46080</v>
      </c>
      <c r="J518" s="6">
        <v>0</v>
      </c>
      <c r="K518" s="43">
        <f>VLOOKUP(Tabla1[[#This Row],[PAGO DIA]],DIAS!A:C,3,0)</f>
        <v>46112</v>
      </c>
      <c r="L518" s="6">
        <v>0</v>
      </c>
      <c r="M518" s="41">
        <f>VLOOKUP(Tabla1[[#This Row],[PAGO DIA]],DIAS!A:D,4,0)</f>
        <v>46142</v>
      </c>
      <c r="N518" s="6">
        <v>0</v>
      </c>
      <c r="O518" s="43">
        <f>VLOOKUP(Tabla1[[#This Row],[PAGO DIA]],DIAS!A:E,5,0)</f>
        <v>46171</v>
      </c>
      <c r="P518" s="6">
        <v>0</v>
      </c>
      <c r="Q518" s="43">
        <f>VLOOKUP(Tabla1[[#This Row],[PAGO DIA]],DIAS!A:F,6,0)</f>
        <v>46203</v>
      </c>
      <c r="R518" s="6">
        <v>0</v>
      </c>
      <c r="S518" s="43">
        <f>VLOOKUP(Tabla1[[#This Row],[PAGO DIA]],DIAS!A:G,7,0)</f>
        <v>46234</v>
      </c>
      <c r="T518" s="6">
        <v>0</v>
      </c>
      <c r="U518" s="43">
        <f>VLOOKUP(Tabla1[[#This Row],[PAGO DIA]],DIAS!A:H,8,0)</f>
        <v>46265</v>
      </c>
      <c r="V518" s="6">
        <v>0</v>
      </c>
      <c r="W518" s="43">
        <f>VLOOKUP(Tabla1[[#This Row],[PAGO DIA]],DIAS!A:I,9,0)</f>
        <v>46295</v>
      </c>
      <c r="X518" s="6">
        <v>0</v>
      </c>
      <c r="Y518" s="43">
        <f>VLOOKUP(Tabla1[[#This Row],[PAGO DIA]],DIAS!A:J,10,0)</f>
        <v>46325</v>
      </c>
      <c r="Z518" s="6">
        <v>0</v>
      </c>
      <c r="AA518" s="43">
        <f>VLOOKUP(Tabla1[[#This Row],[PAGO DIA]],DIAS!A:K,11,0)</f>
        <v>46356</v>
      </c>
      <c r="AB518" s="6">
        <v>0</v>
      </c>
      <c r="AC518" s="43">
        <f>VLOOKUP(Tabla1[[#This Row],[PAGO DIA]],DIAS!A:M,12,0)</f>
        <v>46386</v>
      </c>
      <c r="AD5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19" spans="1:30">
      <c r="A519" s="3">
        <v>11260</v>
      </c>
      <c r="B519" s="3" t="s">
        <v>504</v>
      </c>
      <c r="C519" s="3" t="s">
        <v>1147</v>
      </c>
      <c r="D519" s="3" t="s">
        <v>1148</v>
      </c>
      <c r="E519" s="3" t="s">
        <v>1154</v>
      </c>
      <c r="F519" s="42" t="s">
        <v>631</v>
      </c>
      <c r="G519" s="3"/>
      <c r="H519" s="6">
        <v>0</v>
      </c>
      <c r="I519" s="41">
        <f>VLOOKUP(Tabla1[[#This Row],[PAGO DIA]],DIAS!A:B,2,0)</f>
        <v>46080</v>
      </c>
      <c r="J519" s="6">
        <v>0</v>
      </c>
      <c r="K519" s="43">
        <f>VLOOKUP(Tabla1[[#This Row],[PAGO DIA]],DIAS!A:C,3,0)</f>
        <v>46112</v>
      </c>
      <c r="L519" s="6">
        <v>0</v>
      </c>
      <c r="M519" s="41">
        <f>VLOOKUP(Tabla1[[#This Row],[PAGO DIA]],DIAS!A:D,4,0)</f>
        <v>46142</v>
      </c>
      <c r="N519" s="6">
        <v>0</v>
      </c>
      <c r="O519" s="43">
        <f>VLOOKUP(Tabla1[[#This Row],[PAGO DIA]],DIAS!A:E,5,0)</f>
        <v>46171</v>
      </c>
      <c r="P519" s="6">
        <v>0</v>
      </c>
      <c r="Q519" s="43">
        <f>VLOOKUP(Tabla1[[#This Row],[PAGO DIA]],DIAS!A:F,6,0)</f>
        <v>46203</v>
      </c>
      <c r="R519" s="6">
        <v>0</v>
      </c>
      <c r="S519" s="43">
        <f>VLOOKUP(Tabla1[[#This Row],[PAGO DIA]],DIAS!A:G,7,0)</f>
        <v>46234</v>
      </c>
      <c r="T519" s="6">
        <v>0</v>
      </c>
      <c r="U519" s="43">
        <f>VLOOKUP(Tabla1[[#This Row],[PAGO DIA]],DIAS!A:H,8,0)</f>
        <v>46265</v>
      </c>
      <c r="V519" s="6">
        <v>0</v>
      </c>
      <c r="W519" s="43">
        <f>VLOOKUP(Tabla1[[#This Row],[PAGO DIA]],DIAS!A:I,9,0)</f>
        <v>46295</v>
      </c>
      <c r="X519" s="6">
        <v>0</v>
      </c>
      <c r="Y519" s="43">
        <f>VLOOKUP(Tabla1[[#This Row],[PAGO DIA]],DIAS!A:J,10,0)</f>
        <v>46325</v>
      </c>
      <c r="Z519" s="6">
        <v>0</v>
      </c>
      <c r="AA519" s="43">
        <f>VLOOKUP(Tabla1[[#This Row],[PAGO DIA]],DIAS!A:K,11,0)</f>
        <v>46356</v>
      </c>
      <c r="AB519" s="6">
        <v>0</v>
      </c>
      <c r="AC519" s="43">
        <f>VLOOKUP(Tabla1[[#This Row],[PAGO DIA]],DIAS!A:M,12,0)</f>
        <v>46386</v>
      </c>
      <c r="AD5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0" spans="1:30">
      <c r="A520" s="3">
        <v>12510</v>
      </c>
      <c r="B520" s="3" t="s">
        <v>504</v>
      </c>
      <c r="C520" s="3" t="s">
        <v>1147</v>
      </c>
      <c r="D520" s="3" t="s">
        <v>1148</v>
      </c>
      <c r="E520" s="3" t="s">
        <v>1154</v>
      </c>
      <c r="F520" s="42" t="s">
        <v>631</v>
      </c>
      <c r="G520" s="3" t="s">
        <v>1156</v>
      </c>
      <c r="H520" s="6">
        <v>0</v>
      </c>
      <c r="I520" s="41">
        <f>VLOOKUP(Tabla1[[#This Row],[PAGO DIA]],DIAS!A:B,2,0)</f>
        <v>46080</v>
      </c>
      <c r="J520" s="6">
        <v>0</v>
      </c>
      <c r="K520" s="43">
        <f>VLOOKUP(Tabla1[[#This Row],[PAGO DIA]],DIAS!A:C,3,0)</f>
        <v>46112</v>
      </c>
      <c r="L520" s="6">
        <v>0</v>
      </c>
      <c r="M520" s="41">
        <f>VLOOKUP(Tabla1[[#This Row],[PAGO DIA]],DIAS!A:D,4,0)</f>
        <v>46142</v>
      </c>
      <c r="N520" s="6">
        <v>0</v>
      </c>
      <c r="O520" s="43">
        <f>VLOOKUP(Tabla1[[#This Row],[PAGO DIA]],DIAS!A:E,5,0)</f>
        <v>46171</v>
      </c>
      <c r="P520" s="6">
        <v>0</v>
      </c>
      <c r="Q520" s="43">
        <f>VLOOKUP(Tabla1[[#This Row],[PAGO DIA]],DIAS!A:F,6,0)</f>
        <v>46203</v>
      </c>
      <c r="R520" s="6">
        <v>0</v>
      </c>
      <c r="S520" s="43">
        <f>VLOOKUP(Tabla1[[#This Row],[PAGO DIA]],DIAS!A:G,7,0)</f>
        <v>46234</v>
      </c>
      <c r="T520" s="6">
        <v>0</v>
      </c>
      <c r="U520" s="43">
        <f>VLOOKUP(Tabla1[[#This Row],[PAGO DIA]],DIAS!A:H,8,0)</f>
        <v>46265</v>
      </c>
      <c r="V520" s="6">
        <v>0</v>
      </c>
      <c r="W520" s="43">
        <f>VLOOKUP(Tabla1[[#This Row],[PAGO DIA]],DIAS!A:I,9,0)</f>
        <v>46295</v>
      </c>
      <c r="X520" s="6">
        <v>0</v>
      </c>
      <c r="Y520" s="43">
        <f>VLOOKUP(Tabla1[[#This Row],[PAGO DIA]],DIAS!A:J,10,0)</f>
        <v>46325</v>
      </c>
      <c r="Z520" s="6">
        <v>0</v>
      </c>
      <c r="AA520" s="43">
        <f>VLOOKUP(Tabla1[[#This Row],[PAGO DIA]],DIAS!A:K,11,0)</f>
        <v>46356</v>
      </c>
      <c r="AB520" s="6">
        <v>0</v>
      </c>
      <c r="AC520" s="43">
        <f>VLOOKUP(Tabla1[[#This Row],[PAGO DIA]],DIAS!A:M,12,0)</f>
        <v>46386</v>
      </c>
      <c r="AD5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1" spans="1:30">
      <c r="A521" s="3">
        <v>12511</v>
      </c>
      <c r="B521" s="3" t="s">
        <v>504</v>
      </c>
      <c r="C521" s="3" t="s">
        <v>1147</v>
      </c>
      <c r="D521" s="3" t="s">
        <v>1148</v>
      </c>
      <c r="E521" s="3" t="s">
        <v>1154</v>
      </c>
      <c r="F521" s="42" t="s">
        <v>631</v>
      </c>
      <c r="G521" s="3" t="s">
        <v>1157</v>
      </c>
      <c r="H521" s="6">
        <v>0</v>
      </c>
      <c r="I521" s="41">
        <f>VLOOKUP(Tabla1[[#This Row],[PAGO DIA]],DIAS!A:B,2,0)</f>
        <v>46080</v>
      </c>
      <c r="J521" s="6">
        <v>0</v>
      </c>
      <c r="K521" s="43">
        <f>VLOOKUP(Tabla1[[#This Row],[PAGO DIA]],DIAS!A:C,3,0)</f>
        <v>46112</v>
      </c>
      <c r="L521" s="6">
        <v>0</v>
      </c>
      <c r="M521" s="41">
        <f>VLOOKUP(Tabla1[[#This Row],[PAGO DIA]],DIAS!A:D,4,0)</f>
        <v>46142</v>
      </c>
      <c r="N521" s="6">
        <v>0</v>
      </c>
      <c r="O521" s="43">
        <f>VLOOKUP(Tabla1[[#This Row],[PAGO DIA]],DIAS!A:E,5,0)</f>
        <v>46171</v>
      </c>
      <c r="P521" s="6">
        <v>0</v>
      </c>
      <c r="Q521" s="43">
        <f>VLOOKUP(Tabla1[[#This Row],[PAGO DIA]],DIAS!A:F,6,0)</f>
        <v>46203</v>
      </c>
      <c r="R521" s="6">
        <v>0</v>
      </c>
      <c r="S521" s="43">
        <f>VLOOKUP(Tabla1[[#This Row],[PAGO DIA]],DIAS!A:G,7,0)</f>
        <v>46234</v>
      </c>
      <c r="T521" s="6">
        <v>0</v>
      </c>
      <c r="U521" s="43">
        <f>VLOOKUP(Tabla1[[#This Row],[PAGO DIA]],DIAS!A:H,8,0)</f>
        <v>46265</v>
      </c>
      <c r="V521" s="6">
        <v>0</v>
      </c>
      <c r="W521" s="43">
        <f>VLOOKUP(Tabla1[[#This Row],[PAGO DIA]],DIAS!A:I,9,0)</f>
        <v>46295</v>
      </c>
      <c r="X521" s="6">
        <v>0</v>
      </c>
      <c r="Y521" s="43">
        <f>VLOOKUP(Tabla1[[#This Row],[PAGO DIA]],DIAS!A:J,10,0)</f>
        <v>46325</v>
      </c>
      <c r="Z521" s="6">
        <v>0</v>
      </c>
      <c r="AA521" s="43">
        <f>VLOOKUP(Tabla1[[#This Row],[PAGO DIA]],DIAS!A:K,11,0)</f>
        <v>46356</v>
      </c>
      <c r="AB521" s="6">
        <v>0</v>
      </c>
      <c r="AC521" s="43">
        <f>VLOOKUP(Tabla1[[#This Row],[PAGO DIA]],DIAS!A:M,12,0)</f>
        <v>46386</v>
      </c>
      <c r="AD5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2" spans="1:30">
      <c r="A522" s="3">
        <v>11838</v>
      </c>
      <c r="B522" s="3" t="s">
        <v>504</v>
      </c>
      <c r="C522" s="3" t="s">
        <v>1147</v>
      </c>
      <c r="D522" s="3" t="s">
        <v>1148</v>
      </c>
      <c r="E522" s="3" t="s">
        <v>1158</v>
      </c>
      <c r="F522" s="42" t="s">
        <v>631</v>
      </c>
      <c r="G522" s="3"/>
      <c r="H522" s="6">
        <v>0</v>
      </c>
      <c r="I522" s="41">
        <f>VLOOKUP(Tabla1[[#This Row],[PAGO DIA]],DIAS!A:B,2,0)</f>
        <v>46080</v>
      </c>
      <c r="J522" s="6">
        <v>0</v>
      </c>
      <c r="K522" s="43">
        <f>VLOOKUP(Tabla1[[#This Row],[PAGO DIA]],DIAS!A:C,3,0)</f>
        <v>46112</v>
      </c>
      <c r="L522" s="6">
        <v>0</v>
      </c>
      <c r="M522" s="41">
        <f>VLOOKUP(Tabla1[[#This Row],[PAGO DIA]],DIAS!A:D,4,0)</f>
        <v>46142</v>
      </c>
      <c r="N522" s="6">
        <v>0</v>
      </c>
      <c r="O522" s="43">
        <f>VLOOKUP(Tabla1[[#This Row],[PAGO DIA]],DIAS!A:E,5,0)</f>
        <v>46171</v>
      </c>
      <c r="P522" s="6">
        <v>0</v>
      </c>
      <c r="Q522" s="43">
        <f>VLOOKUP(Tabla1[[#This Row],[PAGO DIA]],DIAS!A:F,6,0)</f>
        <v>46203</v>
      </c>
      <c r="R522" s="6">
        <v>0</v>
      </c>
      <c r="S522" s="43">
        <f>VLOOKUP(Tabla1[[#This Row],[PAGO DIA]],DIAS!A:G,7,0)</f>
        <v>46234</v>
      </c>
      <c r="T522" s="6">
        <v>0</v>
      </c>
      <c r="U522" s="43">
        <f>VLOOKUP(Tabla1[[#This Row],[PAGO DIA]],DIAS!A:H,8,0)</f>
        <v>46265</v>
      </c>
      <c r="V522" s="6">
        <v>0</v>
      </c>
      <c r="W522" s="43">
        <f>VLOOKUP(Tabla1[[#This Row],[PAGO DIA]],DIAS!A:I,9,0)</f>
        <v>46295</v>
      </c>
      <c r="X522" s="6">
        <v>0</v>
      </c>
      <c r="Y522" s="43">
        <f>VLOOKUP(Tabla1[[#This Row],[PAGO DIA]],DIAS!A:J,10,0)</f>
        <v>46325</v>
      </c>
      <c r="Z522" s="6">
        <v>0</v>
      </c>
      <c r="AA522" s="43">
        <f>VLOOKUP(Tabla1[[#This Row],[PAGO DIA]],DIAS!A:K,11,0)</f>
        <v>46356</v>
      </c>
      <c r="AB522" s="6">
        <v>0</v>
      </c>
      <c r="AC522" s="43">
        <f>VLOOKUP(Tabla1[[#This Row],[PAGO DIA]],DIAS!A:M,12,0)</f>
        <v>46386</v>
      </c>
      <c r="AD5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3" spans="1:30">
      <c r="A523" s="3">
        <v>11048</v>
      </c>
      <c r="B523" s="3" t="s">
        <v>504</v>
      </c>
      <c r="C523" s="3" t="s">
        <v>505</v>
      </c>
      <c r="D523" s="3" t="s">
        <v>506</v>
      </c>
      <c r="E523" s="3" t="s">
        <v>602</v>
      </c>
      <c r="F523" s="42" t="s">
        <v>631</v>
      </c>
      <c r="G523" s="3" t="s">
        <v>1159</v>
      </c>
      <c r="H523" s="6">
        <v>0</v>
      </c>
      <c r="I523" s="41">
        <f>VLOOKUP(Tabla1[[#This Row],[PAGO DIA]],DIAS!A:B,2,0)</f>
        <v>46080</v>
      </c>
      <c r="J523" s="6">
        <v>0</v>
      </c>
      <c r="K523" s="43">
        <f>VLOOKUP(Tabla1[[#This Row],[PAGO DIA]],DIAS!A:C,3,0)</f>
        <v>46112</v>
      </c>
      <c r="L523" s="6">
        <v>0</v>
      </c>
      <c r="M523" s="41">
        <f>VLOOKUP(Tabla1[[#This Row],[PAGO DIA]],DIAS!A:D,4,0)</f>
        <v>46142</v>
      </c>
      <c r="N523" s="6">
        <v>0</v>
      </c>
      <c r="O523" s="43">
        <f>VLOOKUP(Tabla1[[#This Row],[PAGO DIA]],DIAS!A:E,5,0)</f>
        <v>46171</v>
      </c>
      <c r="P523" s="6">
        <v>0</v>
      </c>
      <c r="Q523" s="43">
        <f>VLOOKUP(Tabla1[[#This Row],[PAGO DIA]],DIAS!A:F,6,0)</f>
        <v>46203</v>
      </c>
      <c r="R523" s="6">
        <v>0</v>
      </c>
      <c r="S523" s="43">
        <f>VLOOKUP(Tabla1[[#This Row],[PAGO DIA]],DIAS!A:G,7,0)</f>
        <v>46234</v>
      </c>
      <c r="T523" s="6">
        <v>0</v>
      </c>
      <c r="U523" s="43">
        <f>VLOOKUP(Tabla1[[#This Row],[PAGO DIA]],DIAS!A:H,8,0)</f>
        <v>46265</v>
      </c>
      <c r="V523" s="6">
        <v>0</v>
      </c>
      <c r="W523" s="43">
        <f>VLOOKUP(Tabla1[[#This Row],[PAGO DIA]],DIAS!A:I,9,0)</f>
        <v>46295</v>
      </c>
      <c r="X523" s="6">
        <v>0</v>
      </c>
      <c r="Y523" s="43">
        <f>VLOOKUP(Tabla1[[#This Row],[PAGO DIA]],DIAS!A:J,10,0)</f>
        <v>46325</v>
      </c>
      <c r="Z523" s="6">
        <v>0</v>
      </c>
      <c r="AA523" s="43">
        <f>VLOOKUP(Tabla1[[#This Row],[PAGO DIA]],DIAS!A:K,11,0)</f>
        <v>46356</v>
      </c>
      <c r="AB523" s="6">
        <v>0</v>
      </c>
      <c r="AC523" s="43">
        <f>VLOOKUP(Tabla1[[#This Row],[PAGO DIA]],DIAS!A:M,12,0)</f>
        <v>46386</v>
      </c>
      <c r="AD5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4" spans="1:30">
      <c r="A524" s="3">
        <v>11420</v>
      </c>
      <c r="B524" s="3" t="s">
        <v>504</v>
      </c>
      <c r="C524" s="3" t="s">
        <v>505</v>
      </c>
      <c r="D524" s="3" t="s">
        <v>506</v>
      </c>
      <c r="E524" s="3" t="s">
        <v>602</v>
      </c>
      <c r="F524" s="42" t="s">
        <v>631</v>
      </c>
      <c r="G524" s="3" t="s">
        <v>1160</v>
      </c>
      <c r="H524" s="6">
        <v>0</v>
      </c>
      <c r="I524" s="41">
        <f>VLOOKUP(Tabla1[[#This Row],[PAGO DIA]],DIAS!A:B,2,0)</f>
        <v>46080</v>
      </c>
      <c r="J524" s="6">
        <v>0</v>
      </c>
      <c r="K524" s="43">
        <f>VLOOKUP(Tabla1[[#This Row],[PAGO DIA]],DIAS!A:C,3,0)</f>
        <v>46112</v>
      </c>
      <c r="L524" s="6">
        <v>0</v>
      </c>
      <c r="M524" s="41">
        <f>VLOOKUP(Tabla1[[#This Row],[PAGO DIA]],DIAS!A:D,4,0)</f>
        <v>46142</v>
      </c>
      <c r="N524" s="6">
        <v>0</v>
      </c>
      <c r="O524" s="43">
        <f>VLOOKUP(Tabla1[[#This Row],[PAGO DIA]],DIAS!A:E,5,0)</f>
        <v>46171</v>
      </c>
      <c r="P524" s="6">
        <v>0</v>
      </c>
      <c r="Q524" s="43">
        <f>VLOOKUP(Tabla1[[#This Row],[PAGO DIA]],DIAS!A:F,6,0)</f>
        <v>46203</v>
      </c>
      <c r="R524" s="6">
        <v>0</v>
      </c>
      <c r="S524" s="43">
        <f>VLOOKUP(Tabla1[[#This Row],[PAGO DIA]],DIAS!A:G,7,0)</f>
        <v>46234</v>
      </c>
      <c r="T524" s="6">
        <v>0</v>
      </c>
      <c r="U524" s="43">
        <f>VLOOKUP(Tabla1[[#This Row],[PAGO DIA]],DIAS!A:H,8,0)</f>
        <v>46265</v>
      </c>
      <c r="V524" s="6">
        <v>0</v>
      </c>
      <c r="W524" s="43">
        <f>VLOOKUP(Tabla1[[#This Row],[PAGO DIA]],DIAS!A:I,9,0)</f>
        <v>46295</v>
      </c>
      <c r="X524" s="6">
        <v>0</v>
      </c>
      <c r="Y524" s="43">
        <f>VLOOKUP(Tabla1[[#This Row],[PAGO DIA]],DIAS!A:J,10,0)</f>
        <v>46325</v>
      </c>
      <c r="Z524" s="6">
        <v>0</v>
      </c>
      <c r="AA524" s="43">
        <f>VLOOKUP(Tabla1[[#This Row],[PAGO DIA]],DIAS!A:K,11,0)</f>
        <v>46356</v>
      </c>
      <c r="AB524" s="6">
        <v>0</v>
      </c>
      <c r="AC524" s="43">
        <f>VLOOKUP(Tabla1[[#This Row],[PAGO DIA]],DIAS!A:M,12,0)</f>
        <v>46386</v>
      </c>
      <c r="AD5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5" spans="1:30">
      <c r="A525" s="3">
        <v>11851</v>
      </c>
      <c r="B525" s="3" t="s">
        <v>504</v>
      </c>
      <c r="C525" s="3" t="s">
        <v>505</v>
      </c>
      <c r="D525" s="3" t="s">
        <v>506</v>
      </c>
      <c r="E525" s="3" t="s">
        <v>602</v>
      </c>
      <c r="F525" s="42" t="s">
        <v>631</v>
      </c>
      <c r="G525" s="3" t="s">
        <v>1161</v>
      </c>
      <c r="H525" s="6">
        <v>0</v>
      </c>
      <c r="I525" s="41">
        <f>VLOOKUP(Tabla1[[#This Row],[PAGO DIA]],DIAS!A:B,2,0)</f>
        <v>46080</v>
      </c>
      <c r="J525" s="6">
        <v>0</v>
      </c>
      <c r="K525" s="43">
        <f>VLOOKUP(Tabla1[[#This Row],[PAGO DIA]],DIAS!A:C,3,0)</f>
        <v>46112</v>
      </c>
      <c r="L525" s="6">
        <v>0</v>
      </c>
      <c r="M525" s="41">
        <f>VLOOKUP(Tabla1[[#This Row],[PAGO DIA]],DIAS!A:D,4,0)</f>
        <v>46142</v>
      </c>
      <c r="N525" s="6">
        <v>0</v>
      </c>
      <c r="O525" s="43">
        <f>VLOOKUP(Tabla1[[#This Row],[PAGO DIA]],DIAS!A:E,5,0)</f>
        <v>46171</v>
      </c>
      <c r="P525" s="6">
        <v>0</v>
      </c>
      <c r="Q525" s="43">
        <f>VLOOKUP(Tabla1[[#This Row],[PAGO DIA]],DIAS!A:F,6,0)</f>
        <v>46203</v>
      </c>
      <c r="R525" s="6">
        <v>0</v>
      </c>
      <c r="S525" s="43">
        <f>VLOOKUP(Tabla1[[#This Row],[PAGO DIA]],DIAS!A:G,7,0)</f>
        <v>46234</v>
      </c>
      <c r="T525" s="6">
        <v>0</v>
      </c>
      <c r="U525" s="43">
        <f>VLOOKUP(Tabla1[[#This Row],[PAGO DIA]],DIAS!A:H,8,0)</f>
        <v>46265</v>
      </c>
      <c r="V525" s="6">
        <v>0</v>
      </c>
      <c r="W525" s="43">
        <f>VLOOKUP(Tabla1[[#This Row],[PAGO DIA]],DIAS!A:I,9,0)</f>
        <v>46295</v>
      </c>
      <c r="X525" s="6">
        <v>0</v>
      </c>
      <c r="Y525" s="43">
        <f>VLOOKUP(Tabla1[[#This Row],[PAGO DIA]],DIAS!A:J,10,0)</f>
        <v>46325</v>
      </c>
      <c r="Z525" s="6">
        <v>0</v>
      </c>
      <c r="AA525" s="43">
        <f>VLOOKUP(Tabla1[[#This Row],[PAGO DIA]],DIAS!A:K,11,0)</f>
        <v>46356</v>
      </c>
      <c r="AB525" s="6">
        <v>0</v>
      </c>
      <c r="AC525" s="43">
        <f>VLOOKUP(Tabla1[[#This Row],[PAGO DIA]],DIAS!A:M,12,0)</f>
        <v>46386</v>
      </c>
      <c r="AD5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6" spans="1:30">
      <c r="A526" s="3">
        <v>11852</v>
      </c>
      <c r="B526" s="3" t="s">
        <v>504</v>
      </c>
      <c r="C526" s="3" t="s">
        <v>505</v>
      </c>
      <c r="D526" s="3" t="s">
        <v>506</v>
      </c>
      <c r="E526" s="3" t="s">
        <v>602</v>
      </c>
      <c r="F526" s="42" t="s">
        <v>631</v>
      </c>
      <c r="G526" s="3" t="s">
        <v>1160</v>
      </c>
      <c r="H526" s="6">
        <v>0</v>
      </c>
      <c r="I526" s="41">
        <f>VLOOKUP(Tabla1[[#This Row],[PAGO DIA]],DIAS!A:B,2,0)</f>
        <v>46080</v>
      </c>
      <c r="J526" s="6">
        <v>0</v>
      </c>
      <c r="K526" s="43">
        <f>VLOOKUP(Tabla1[[#This Row],[PAGO DIA]],DIAS!A:C,3,0)</f>
        <v>46112</v>
      </c>
      <c r="L526" s="6">
        <v>0</v>
      </c>
      <c r="M526" s="41">
        <f>VLOOKUP(Tabla1[[#This Row],[PAGO DIA]],DIAS!A:D,4,0)</f>
        <v>46142</v>
      </c>
      <c r="N526" s="6">
        <v>0</v>
      </c>
      <c r="O526" s="43">
        <f>VLOOKUP(Tabla1[[#This Row],[PAGO DIA]],DIAS!A:E,5,0)</f>
        <v>46171</v>
      </c>
      <c r="P526" s="6">
        <v>0</v>
      </c>
      <c r="Q526" s="43">
        <f>VLOOKUP(Tabla1[[#This Row],[PAGO DIA]],DIAS!A:F,6,0)</f>
        <v>46203</v>
      </c>
      <c r="R526" s="6">
        <v>0</v>
      </c>
      <c r="S526" s="43">
        <f>VLOOKUP(Tabla1[[#This Row],[PAGO DIA]],DIAS!A:G,7,0)</f>
        <v>46234</v>
      </c>
      <c r="T526" s="6">
        <v>0</v>
      </c>
      <c r="U526" s="43">
        <f>VLOOKUP(Tabla1[[#This Row],[PAGO DIA]],DIAS!A:H,8,0)</f>
        <v>46265</v>
      </c>
      <c r="V526" s="6">
        <v>0</v>
      </c>
      <c r="W526" s="43">
        <f>VLOOKUP(Tabla1[[#This Row],[PAGO DIA]],DIAS!A:I,9,0)</f>
        <v>46295</v>
      </c>
      <c r="X526" s="6">
        <v>0</v>
      </c>
      <c r="Y526" s="43">
        <f>VLOOKUP(Tabla1[[#This Row],[PAGO DIA]],DIAS!A:J,10,0)</f>
        <v>46325</v>
      </c>
      <c r="Z526" s="6">
        <v>0</v>
      </c>
      <c r="AA526" s="43">
        <f>VLOOKUP(Tabla1[[#This Row],[PAGO DIA]],DIAS!A:K,11,0)</f>
        <v>46356</v>
      </c>
      <c r="AB526" s="6">
        <v>0</v>
      </c>
      <c r="AC526" s="43">
        <f>VLOOKUP(Tabla1[[#This Row],[PAGO DIA]],DIAS!A:M,12,0)</f>
        <v>46386</v>
      </c>
      <c r="AD5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7" spans="1:30">
      <c r="A527" s="3">
        <v>11853</v>
      </c>
      <c r="B527" s="3" t="s">
        <v>504</v>
      </c>
      <c r="C527" s="3" t="s">
        <v>505</v>
      </c>
      <c r="D527" s="3" t="s">
        <v>506</v>
      </c>
      <c r="E527" s="3" t="s">
        <v>602</v>
      </c>
      <c r="F527" s="42" t="s">
        <v>631</v>
      </c>
      <c r="G527" s="3" t="s">
        <v>1162</v>
      </c>
      <c r="H527" s="6">
        <v>0</v>
      </c>
      <c r="I527" s="41">
        <f>VLOOKUP(Tabla1[[#This Row],[PAGO DIA]],DIAS!A:B,2,0)</f>
        <v>46080</v>
      </c>
      <c r="J527" s="6">
        <v>0</v>
      </c>
      <c r="K527" s="43">
        <f>VLOOKUP(Tabla1[[#This Row],[PAGO DIA]],DIAS!A:C,3,0)</f>
        <v>46112</v>
      </c>
      <c r="L527" s="6">
        <v>0</v>
      </c>
      <c r="M527" s="41">
        <f>VLOOKUP(Tabla1[[#This Row],[PAGO DIA]],DIAS!A:D,4,0)</f>
        <v>46142</v>
      </c>
      <c r="N527" s="6">
        <v>0</v>
      </c>
      <c r="O527" s="43">
        <f>VLOOKUP(Tabla1[[#This Row],[PAGO DIA]],DIAS!A:E,5,0)</f>
        <v>46171</v>
      </c>
      <c r="P527" s="6">
        <v>0</v>
      </c>
      <c r="Q527" s="43">
        <f>VLOOKUP(Tabla1[[#This Row],[PAGO DIA]],DIAS!A:F,6,0)</f>
        <v>46203</v>
      </c>
      <c r="R527" s="6">
        <v>0</v>
      </c>
      <c r="S527" s="43">
        <f>VLOOKUP(Tabla1[[#This Row],[PAGO DIA]],DIAS!A:G,7,0)</f>
        <v>46234</v>
      </c>
      <c r="T527" s="6">
        <v>0</v>
      </c>
      <c r="U527" s="43">
        <f>VLOOKUP(Tabla1[[#This Row],[PAGO DIA]],DIAS!A:H,8,0)</f>
        <v>46265</v>
      </c>
      <c r="V527" s="6">
        <v>0</v>
      </c>
      <c r="W527" s="43">
        <f>VLOOKUP(Tabla1[[#This Row],[PAGO DIA]],DIAS!A:I,9,0)</f>
        <v>46295</v>
      </c>
      <c r="X527" s="6">
        <v>0</v>
      </c>
      <c r="Y527" s="43">
        <f>VLOOKUP(Tabla1[[#This Row],[PAGO DIA]],DIAS!A:J,10,0)</f>
        <v>46325</v>
      </c>
      <c r="Z527" s="6">
        <v>0</v>
      </c>
      <c r="AA527" s="43">
        <f>VLOOKUP(Tabla1[[#This Row],[PAGO DIA]],DIAS!A:K,11,0)</f>
        <v>46356</v>
      </c>
      <c r="AB527" s="6">
        <v>0</v>
      </c>
      <c r="AC527" s="43">
        <f>VLOOKUP(Tabla1[[#This Row],[PAGO DIA]],DIAS!A:M,12,0)</f>
        <v>46386</v>
      </c>
      <c r="AD5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8" spans="1:30">
      <c r="A528" s="3">
        <v>11854</v>
      </c>
      <c r="B528" s="3" t="s">
        <v>504</v>
      </c>
      <c r="C528" s="3" t="s">
        <v>505</v>
      </c>
      <c r="D528" s="3" t="s">
        <v>506</v>
      </c>
      <c r="E528" s="3" t="s">
        <v>1163</v>
      </c>
      <c r="F528" s="42" t="s">
        <v>631</v>
      </c>
      <c r="G528" s="3" t="s">
        <v>1162</v>
      </c>
      <c r="H528" s="6">
        <v>0</v>
      </c>
      <c r="I528" s="41">
        <f>VLOOKUP(Tabla1[[#This Row],[PAGO DIA]],DIAS!A:B,2,0)</f>
        <v>46080</v>
      </c>
      <c r="J528" s="6">
        <v>0</v>
      </c>
      <c r="K528" s="43">
        <f>VLOOKUP(Tabla1[[#This Row],[PAGO DIA]],DIAS!A:C,3,0)</f>
        <v>46112</v>
      </c>
      <c r="L528" s="6">
        <v>0</v>
      </c>
      <c r="M528" s="41">
        <f>VLOOKUP(Tabla1[[#This Row],[PAGO DIA]],DIAS!A:D,4,0)</f>
        <v>46142</v>
      </c>
      <c r="N528" s="6">
        <v>0</v>
      </c>
      <c r="O528" s="43">
        <f>VLOOKUP(Tabla1[[#This Row],[PAGO DIA]],DIAS!A:E,5,0)</f>
        <v>46171</v>
      </c>
      <c r="P528" s="6">
        <v>0</v>
      </c>
      <c r="Q528" s="43">
        <f>VLOOKUP(Tabla1[[#This Row],[PAGO DIA]],DIAS!A:F,6,0)</f>
        <v>46203</v>
      </c>
      <c r="R528" s="6">
        <v>0</v>
      </c>
      <c r="S528" s="43">
        <f>VLOOKUP(Tabla1[[#This Row],[PAGO DIA]],DIAS!A:G,7,0)</f>
        <v>46234</v>
      </c>
      <c r="T528" s="6">
        <v>0</v>
      </c>
      <c r="U528" s="43">
        <f>VLOOKUP(Tabla1[[#This Row],[PAGO DIA]],DIAS!A:H,8,0)</f>
        <v>46265</v>
      </c>
      <c r="V528" s="6">
        <v>0</v>
      </c>
      <c r="W528" s="43">
        <f>VLOOKUP(Tabla1[[#This Row],[PAGO DIA]],DIAS!A:I,9,0)</f>
        <v>46295</v>
      </c>
      <c r="X528" s="6">
        <v>0</v>
      </c>
      <c r="Y528" s="43">
        <f>VLOOKUP(Tabla1[[#This Row],[PAGO DIA]],DIAS!A:J,10,0)</f>
        <v>46325</v>
      </c>
      <c r="Z528" s="6">
        <v>0</v>
      </c>
      <c r="AA528" s="43">
        <f>VLOOKUP(Tabla1[[#This Row],[PAGO DIA]],DIAS!A:K,11,0)</f>
        <v>46356</v>
      </c>
      <c r="AB528" s="6">
        <v>0</v>
      </c>
      <c r="AC528" s="43">
        <f>VLOOKUP(Tabla1[[#This Row],[PAGO DIA]],DIAS!A:M,12,0)</f>
        <v>46386</v>
      </c>
      <c r="AD5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29" spans="1:30">
      <c r="A529" s="3">
        <v>12030</v>
      </c>
      <c r="B529" s="3" t="s">
        <v>504</v>
      </c>
      <c r="C529" s="3" t="s">
        <v>505</v>
      </c>
      <c r="D529" s="3" t="s">
        <v>506</v>
      </c>
      <c r="E529" s="3" t="s">
        <v>1164</v>
      </c>
      <c r="F529" s="42" t="s">
        <v>631</v>
      </c>
      <c r="G529" s="3" t="s">
        <v>1161</v>
      </c>
      <c r="H529" s="6">
        <v>0</v>
      </c>
      <c r="I529" s="41">
        <f>VLOOKUP(Tabla1[[#This Row],[PAGO DIA]],DIAS!A:B,2,0)</f>
        <v>46080</v>
      </c>
      <c r="J529" s="6">
        <v>0</v>
      </c>
      <c r="K529" s="43">
        <f>VLOOKUP(Tabla1[[#This Row],[PAGO DIA]],DIAS!A:C,3,0)</f>
        <v>46112</v>
      </c>
      <c r="L529" s="6">
        <v>0</v>
      </c>
      <c r="M529" s="41">
        <f>VLOOKUP(Tabla1[[#This Row],[PAGO DIA]],DIAS!A:D,4,0)</f>
        <v>46142</v>
      </c>
      <c r="N529" s="6">
        <v>0</v>
      </c>
      <c r="O529" s="43">
        <f>VLOOKUP(Tabla1[[#This Row],[PAGO DIA]],DIAS!A:E,5,0)</f>
        <v>46171</v>
      </c>
      <c r="P529" s="6">
        <v>0</v>
      </c>
      <c r="Q529" s="43">
        <f>VLOOKUP(Tabla1[[#This Row],[PAGO DIA]],DIAS!A:F,6,0)</f>
        <v>46203</v>
      </c>
      <c r="R529" s="6">
        <v>0</v>
      </c>
      <c r="S529" s="43">
        <f>VLOOKUP(Tabla1[[#This Row],[PAGO DIA]],DIAS!A:G,7,0)</f>
        <v>46234</v>
      </c>
      <c r="T529" s="6">
        <v>0</v>
      </c>
      <c r="U529" s="43">
        <f>VLOOKUP(Tabla1[[#This Row],[PAGO DIA]],DIAS!A:H,8,0)</f>
        <v>46265</v>
      </c>
      <c r="V529" s="6">
        <v>0</v>
      </c>
      <c r="W529" s="43">
        <f>VLOOKUP(Tabla1[[#This Row],[PAGO DIA]],DIAS!A:I,9,0)</f>
        <v>46295</v>
      </c>
      <c r="X529" s="6">
        <v>0</v>
      </c>
      <c r="Y529" s="43">
        <f>VLOOKUP(Tabla1[[#This Row],[PAGO DIA]],DIAS!A:J,10,0)</f>
        <v>46325</v>
      </c>
      <c r="Z529" s="6">
        <v>0</v>
      </c>
      <c r="AA529" s="43">
        <f>VLOOKUP(Tabla1[[#This Row],[PAGO DIA]],DIAS!A:K,11,0)</f>
        <v>46356</v>
      </c>
      <c r="AB529" s="6">
        <v>0</v>
      </c>
      <c r="AC529" s="43">
        <f>VLOOKUP(Tabla1[[#This Row],[PAGO DIA]],DIAS!A:M,12,0)</f>
        <v>46386</v>
      </c>
      <c r="AD5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0" spans="1:30">
      <c r="A530" s="3">
        <v>12035</v>
      </c>
      <c r="B530" s="3" t="s">
        <v>504</v>
      </c>
      <c r="C530" s="3" t="s">
        <v>505</v>
      </c>
      <c r="D530" s="3" t="s">
        <v>506</v>
      </c>
      <c r="E530" s="3" t="s">
        <v>1164</v>
      </c>
      <c r="F530" s="42" t="s">
        <v>631</v>
      </c>
      <c r="G530" s="3" t="s">
        <v>1161</v>
      </c>
      <c r="H530" s="6">
        <v>0</v>
      </c>
      <c r="I530" s="41">
        <f>VLOOKUP(Tabla1[[#This Row],[PAGO DIA]],DIAS!A:B,2,0)</f>
        <v>46080</v>
      </c>
      <c r="J530" s="6">
        <v>0</v>
      </c>
      <c r="K530" s="43">
        <f>VLOOKUP(Tabla1[[#This Row],[PAGO DIA]],DIAS!A:C,3,0)</f>
        <v>46112</v>
      </c>
      <c r="L530" s="6">
        <v>0</v>
      </c>
      <c r="M530" s="41">
        <f>VLOOKUP(Tabla1[[#This Row],[PAGO DIA]],DIAS!A:D,4,0)</f>
        <v>46142</v>
      </c>
      <c r="N530" s="6">
        <v>0</v>
      </c>
      <c r="O530" s="43">
        <f>VLOOKUP(Tabla1[[#This Row],[PAGO DIA]],DIAS!A:E,5,0)</f>
        <v>46171</v>
      </c>
      <c r="P530" s="6">
        <v>0</v>
      </c>
      <c r="Q530" s="43">
        <f>VLOOKUP(Tabla1[[#This Row],[PAGO DIA]],DIAS!A:F,6,0)</f>
        <v>46203</v>
      </c>
      <c r="R530" s="6">
        <v>0</v>
      </c>
      <c r="S530" s="43">
        <f>VLOOKUP(Tabla1[[#This Row],[PAGO DIA]],DIAS!A:G,7,0)</f>
        <v>46234</v>
      </c>
      <c r="T530" s="6">
        <v>0</v>
      </c>
      <c r="U530" s="43">
        <f>VLOOKUP(Tabla1[[#This Row],[PAGO DIA]],DIAS!A:H,8,0)</f>
        <v>46265</v>
      </c>
      <c r="V530" s="6">
        <v>0</v>
      </c>
      <c r="W530" s="43">
        <f>VLOOKUP(Tabla1[[#This Row],[PAGO DIA]],DIAS!A:I,9,0)</f>
        <v>46295</v>
      </c>
      <c r="X530" s="6">
        <v>0</v>
      </c>
      <c r="Y530" s="43">
        <f>VLOOKUP(Tabla1[[#This Row],[PAGO DIA]],DIAS!A:J,10,0)</f>
        <v>46325</v>
      </c>
      <c r="Z530" s="6">
        <v>0</v>
      </c>
      <c r="AA530" s="43">
        <f>VLOOKUP(Tabla1[[#This Row],[PAGO DIA]],DIAS!A:K,11,0)</f>
        <v>46356</v>
      </c>
      <c r="AB530" s="6">
        <v>0</v>
      </c>
      <c r="AC530" s="43">
        <f>VLOOKUP(Tabla1[[#This Row],[PAGO DIA]],DIAS!A:M,12,0)</f>
        <v>46386</v>
      </c>
      <c r="AD5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1" spans="1:30">
      <c r="A531" s="3">
        <v>11242</v>
      </c>
      <c r="B531" s="3" t="s">
        <v>504</v>
      </c>
      <c r="C531" s="3" t="s">
        <v>505</v>
      </c>
      <c r="D531" s="3" t="s">
        <v>506</v>
      </c>
      <c r="E531" s="3" t="s">
        <v>733</v>
      </c>
      <c r="F531" s="42" t="s">
        <v>631</v>
      </c>
      <c r="G531" s="3" t="s">
        <v>1165</v>
      </c>
      <c r="H531" s="6">
        <v>0</v>
      </c>
      <c r="I531" s="41">
        <f>VLOOKUP(Tabla1[[#This Row],[PAGO DIA]],DIAS!A:B,2,0)</f>
        <v>46080</v>
      </c>
      <c r="J531" s="6">
        <v>0</v>
      </c>
      <c r="K531" s="43">
        <f>VLOOKUP(Tabla1[[#This Row],[PAGO DIA]],DIAS!A:C,3,0)</f>
        <v>46112</v>
      </c>
      <c r="L531" s="6">
        <v>0</v>
      </c>
      <c r="M531" s="41">
        <f>VLOOKUP(Tabla1[[#This Row],[PAGO DIA]],DIAS!A:D,4,0)</f>
        <v>46142</v>
      </c>
      <c r="N531" s="6">
        <v>0</v>
      </c>
      <c r="O531" s="43">
        <f>VLOOKUP(Tabla1[[#This Row],[PAGO DIA]],DIAS!A:E,5,0)</f>
        <v>46171</v>
      </c>
      <c r="P531" s="6">
        <v>0</v>
      </c>
      <c r="Q531" s="43">
        <f>VLOOKUP(Tabla1[[#This Row],[PAGO DIA]],DIAS!A:F,6,0)</f>
        <v>46203</v>
      </c>
      <c r="R531" s="6">
        <v>0</v>
      </c>
      <c r="S531" s="43">
        <f>VLOOKUP(Tabla1[[#This Row],[PAGO DIA]],DIAS!A:G,7,0)</f>
        <v>46234</v>
      </c>
      <c r="T531" s="6">
        <v>0</v>
      </c>
      <c r="U531" s="43">
        <f>VLOOKUP(Tabla1[[#This Row],[PAGO DIA]],DIAS!A:H,8,0)</f>
        <v>46265</v>
      </c>
      <c r="V531" s="6">
        <v>0</v>
      </c>
      <c r="W531" s="43">
        <f>VLOOKUP(Tabla1[[#This Row],[PAGO DIA]],DIAS!A:I,9,0)</f>
        <v>46295</v>
      </c>
      <c r="X531" s="6">
        <v>0</v>
      </c>
      <c r="Y531" s="43">
        <f>VLOOKUP(Tabla1[[#This Row],[PAGO DIA]],DIAS!A:J,10,0)</f>
        <v>46325</v>
      </c>
      <c r="Z531" s="6">
        <v>0</v>
      </c>
      <c r="AA531" s="43">
        <f>VLOOKUP(Tabla1[[#This Row],[PAGO DIA]],DIAS!A:K,11,0)</f>
        <v>46356</v>
      </c>
      <c r="AB531" s="6">
        <v>0</v>
      </c>
      <c r="AC531" s="43">
        <f>VLOOKUP(Tabla1[[#This Row],[PAGO DIA]],DIAS!A:M,12,0)</f>
        <v>46386</v>
      </c>
      <c r="AD5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2" spans="1:30">
      <c r="A532" s="3">
        <v>11248</v>
      </c>
      <c r="B532" s="3" t="s">
        <v>504</v>
      </c>
      <c r="C532" s="3" t="s">
        <v>505</v>
      </c>
      <c r="D532" s="3" t="s">
        <v>506</v>
      </c>
      <c r="E532" s="3" t="s">
        <v>733</v>
      </c>
      <c r="F532" s="42" t="s">
        <v>631</v>
      </c>
      <c r="G532" s="3" t="s">
        <v>1165</v>
      </c>
      <c r="H532" s="6">
        <v>0</v>
      </c>
      <c r="I532" s="41">
        <f>VLOOKUP(Tabla1[[#This Row],[PAGO DIA]],DIAS!A:B,2,0)</f>
        <v>46080</v>
      </c>
      <c r="J532" s="6">
        <v>0</v>
      </c>
      <c r="K532" s="43">
        <f>VLOOKUP(Tabla1[[#This Row],[PAGO DIA]],DIAS!A:C,3,0)</f>
        <v>46112</v>
      </c>
      <c r="L532" s="6">
        <v>0</v>
      </c>
      <c r="M532" s="41">
        <f>VLOOKUP(Tabla1[[#This Row],[PAGO DIA]],DIAS!A:D,4,0)</f>
        <v>46142</v>
      </c>
      <c r="N532" s="6">
        <v>0</v>
      </c>
      <c r="O532" s="43">
        <f>VLOOKUP(Tabla1[[#This Row],[PAGO DIA]],DIAS!A:E,5,0)</f>
        <v>46171</v>
      </c>
      <c r="P532" s="6">
        <v>0</v>
      </c>
      <c r="Q532" s="43">
        <f>VLOOKUP(Tabla1[[#This Row],[PAGO DIA]],DIAS!A:F,6,0)</f>
        <v>46203</v>
      </c>
      <c r="R532" s="6">
        <v>0</v>
      </c>
      <c r="S532" s="43">
        <f>VLOOKUP(Tabla1[[#This Row],[PAGO DIA]],DIAS!A:G,7,0)</f>
        <v>46234</v>
      </c>
      <c r="T532" s="6">
        <v>0</v>
      </c>
      <c r="U532" s="43">
        <f>VLOOKUP(Tabla1[[#This Row],[PAGO DIA]],DIAS!A:H,8,0)</f>
        <v>46265</v>
      </c>
      <c r="V532" s="6">
        <v>0</v>
      </c>
      <c r="W532" s="43">
        <f>VLOOKUP(Tabla1[[#This Row],[PAGO DIA]],DIAS!A:I,9,0)</f>
        <v>46295</v>
      </c>
      <c r="X532" s="6">
        <v>0</v>
      </c>
      <c r="Y532" s="43">
        <f>VLOOKUP(Tabla1[[#This Row],[PAGO DIA]],DIAS!A:J,10,0)</f>
        <v>46325</v>
      </c>
      <c r="Z532" s="6">
        <v>0</v>
      </c>
      <c r="AA532" s="43">
        <f>VLOOKUP(Tabla1[[#This Row],[PAGO DIA]],DIAS!A:K,11,0)</f>
        <v>46356</v>
      </c>
      <c r="AB532" s="6">
        <v>0</v>
      </c>
      <c r="AC532" s="43">
        <f>VLOOKUP(Tabla1[[#This Row],[PAGO DIA]],DIAS!A:M,12,0)</f>
        <v>46386</v>
      </c>
      <c r="AD5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3" spans="1:30">
      <c r="A533" s="3">
        <v>10948</v>
      </c>
      <c r="B533" s="3" t="s">
        <v>504</v>
      </c>
      <c r="C533" s="3" t="s">
        <v>505</v>
      </c>
      <c r="D533" s="3" t="s">
        <v>526</v>
      </c>
      <c r="E533" s="3" t="s">
        <v>527</v>
      </c>
      <c r="F533" s="42" t="s">
        <v>631</v>
      </c>
      <c r="G533" s="3" t="s">
        <v>529</v>
      </c>
      <c r="H533" s="6">
        <v>0</v>
      </c>
      <c r="I533" s="41">
        <f>VLOOKUP(Tabla1[[#This Row],[PAGO DIA]],DIAS!A:B,2,0)</f>
        <v>46080</v>
      </c>
      <c r="J533" s="6"/>
      <c r="K533" s="43">
        <f>VLOOKUP(Tabla1[[#This Row],[PAGO DIA]],DIAS!A:C,3,0)</f>
        <v>46112</v>
      </c>
      <c r="L533" s="6">
        <v>1000000000</v>
      </c>
      <c r="M533" s="41">
        <f>VLOOKUP(Tabla1[[#This Row],[PAGO DIA]],DIAS!A:D,4,0)</f>
        <v>46142</v>
      </c>
      <c r="N533" s="6">
        <v>1000000000</v>
      </c>
      <c r="O533" s="43">
        <f>VLOOKUP(Tabla1[[#This Row],[PAGO DIA]],DIAS!A:E,5,0)</f>
        <v>46171</v>
      </c>
      <c r="P533" s="6">
        <v>1000000000</v>
      </c>
      <c r="Q533" s="43">
        <f>VLOOKUP(Tabla1[[#This Row],[PAGO DIA]],DIAS!A:F,6,0)</f>
        <v>46203</v>
      </c>
      <c r="R533" s="6">
        <v>700000000</v>
      </c>
      <c r="S533" s="43">
        <f>VLOOKUP(Tabla1[[#This Row],[PAGO DIA]],DIAS!A:G,7,0)</f>
        <v>46234</v>
      </c>
      <c r="T533" s="6"/>
      <c r="U533" s="43">
        <f>VLOOKUP(Tabla1[[#This Row],[PAGO DIA]],DIAS!A:H,8,0)</f>
        <v>46265</v>
      </c>
      <c r="V533" s="6">
        <v>0</v>
      </c>
      <c r="W533" s="43">
        <f>VLOOKUP(Tabla1[[#This Row],[PAGO DIA]],DIAS!A:I,9,0)</f>
        <v>46295</v>
      </c>
      <c r="X533" s="6">
        <v>0</v>
      </c>
      <c r="Y533" s="43">
        <f>VLOOKUP(Tabla1[[#This Row],[PAGO DIA]],DIAS!A:J,10,0)</f>
        <v>46325</v>
      </c>
      <c r="Z533" s="6">
        <v>0</v>
      </c>
      <c r="AA533" s="43">
        <f>VLOOKUP(Tabla1[[#This Row],[PAGO DIA]],DIAS!A:K,11,0)</f>
        <v>46356</v>
      </c>
      <c r="AB533" s="6">
        <v>0</v>
      </c>
      <c r="AC533" s="43">
        <f>VLOOKUP(Tabla1[[#This Row],[PAGO DIA]],DIAS!A:M,12,0)</f>
        <v>46386</v>
      </c>
      <c r="AD5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3700000000</v>
      </c>
    </row>
    <row r="534" spans="1:30">
      <c r="A534" s="3">
        <v>12182</v>
      </c>
      <c r="B534" s="3" t="s">
        <v>504</v>
      </c>
      <c r="C534" s="3" t="s">
        <v>505</v>
      </c>
      <c r="D534" s="3" t="s">
        <v>506</v>
      </c>
      <c r="E534" s="3" t="s">
        <v>1166</v>
      </c>
      <c r="F534" s="42" t="s">
        <v>631</v>
      </c>
      <c r="G534" s="3" t="s">
        <v>1167</v>
      </c>
      <c r="H534" s="6">
        <v>0</v>
      </c>
      <c r="I534" s="41">
        <f>VLOOKUP(Tabla1[[#This Row],[PAGO DIA]],DIAS!A:B,2,0)</f>
        <v>46080</v>
      </c>
      <c r="J534" s="6">
        <v>0</v>
      </c>
      <c r="K534" s="43">
        <f>VLOOKUP(Tabla1[[#This Row],[PAGO DIA]],DIAS!A:C,3,0)</f>
        <v>46112</v>
      </c>
      <c r="L534" s="6">
        <v>0</v>
      </c>
      <c r="M534" s="41">
        <f>VLOOKUP(Tabla1[[#This Row],[PAGO DIA]],DIAS!A:D,4,0)</f>
        <v>46142</v>
      </c>
      <c r="N534" s="6">
        <v>0</v>
      </c>
      <c r="O534" s="43">
        <f>VLOOKUP(Tabla1[[#This Row],[PAGO DIA]],DIAS!A:E,5,0)</f>
        <v>46171</v>
      </c>
      <c r="P534" s="6">
        <v>0</v>
      </c>
      <c r="Q534" s="43">
        <f>VLOOKUP(Tabla1[[#This Row],[PAGO DIA]],DIAS!A:F,6,0)</f>
        <v>46203</v>
      </c>
      <c r="R534" s="6">
        <v>0</v>
      </c>
      <c r="S534" s="43">
        <f>VLOOKUP(Tabla1[[#This Row],[PAGO DIA]],DIAS!A:G,7,0)</f>
        <v>46234</v>
      </c>
      <c r="T534" s="6">
        <v>0</v>
      </c>
      <c r="U534" s="43">
        <f>VLOOKUP(Tabla1[[#This Row],[PAGO DIA]],DIAS!A:H,8,0)</f>
        <v>46265</v>
      </c>
      <c r="V534" s="6">
        <v>0</v>
      </c>
      <c r="W534" s="43">
        <f>VLOOKUP(Tabla1[[#This Row],[PAGO DIA]],DIAS!A:I,9,0)</f>
        <v>46295</v>
      </c>
      <c r="X534" s="6">
        <v>0</v>
      </c>
      <c r="Y534" s="43">
        <f>VLOOKUP(Tabla1[[#This Row],[PAGO DIA]],DIAS!A:J,10,0)</f>
        <v>46325</v>
      </c>
      <c r="Z534" s="6">
        <v>0</v>
      </c>
      <c r="AA534" s="43">
        <f>VLOOKUP(Tabla1[[#This Row],[PAGO DIA]],DIAS!A:K,11,0)</f>
        <v>46356</v>
      </c>
      <c r="AB534" s="6">
        <v>0</v>
      </c>
      <c r="AC534" s="43">
        <f>VLOOKUP(Tabla1[[#This Row],[PAGO DIA]],DIAS!A:M,12,0)</f>
        <v>46386</v>
      </c>
      <c r="AD5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5" spans="1:30">
      <c r="A535" s="3">
        <v>11949</v>
      </c>
      <c r="B535" s="3" t="s">
        <v>504</v>
      </c>
      <c r="C535" s="3" t="s">
        <v>505</v>
      </c>
      <c r="D535" s="3" t="s">
        <v>506</v>
      </c>
      <c r="E535" s="3" t="s">
        <v>1121</v>
      </c>
      <c r="F535" s="42" t="s">
        <v>631</v>
      </c>
      <c r="G535" s="3" t="s">
        <v>1168</v>
      </c>
      <c r="H535" s="6">
        <v>0</v>
      </c>
      <c r="I535" s="41">
        <f>VLOOKUP(Tabla1[[#This Row],[PAGO DIA]],DIAS!A:B,2,0)</f>
        <v>46080</v>
      </c>
      <c r="J535" s="6">
        <v>0</v>
      </c>
      <c r="K535" s="43">
        <f>VLOOKUP(Tabla1[[#This Row],[PAGO DIA]],DIAS!A:C,3,0)</f>
        <v>46112</v>
      </c>
      <c r="L535" s="6">
        <v>0</v>
      </c>
      <c r="M535" s="41">
        <f>VLOOKUP(Tabla1[[#This Row],[PAGO DIA]],DIAS!A:D,4,0)</f>
        <v>46142</v>
      </c>
      <c r="N535" s="6">
        <v>0</v>
      </c>
      <c r="O535" s="43">
        <f>VLOOKUP(Tabla1[[#This Row],[PAGO DIA]],DIAS!A:E,5,0)</f>
        <v>46171</v>
      </c>
      <c r="P535" s="6">
        <v>0</v>
      </c>
      <c r="Q535" s="43">
        <f>VLOOKUP(Tabla1[[#This Row],[PAGO DIA]],DIAS!A:F,6,0)</f>
        <v>46203</v>
      </c>
      <c r="R535" s="6">
        <v>0</v>
      </c>
      <c r="S535" s="43">
        <f>VLOOKUP(Tabla1[[#This Row],[PAGO DIA]],DIAS!A:G,7,0)</f>
        <v>46234</v>
      </c>
      <c r="T535" s="6">
        <v>0</v>
      </c>
      <c r="U535" s="43">
        <f>VLOOKUP(Tabla1[[#This Row],[PAGO DIA]],DIAS!A:H,8,0)</f>
        <v>46265</v>
      </c>
      <c r="V535" s="6">
        <v>0</v>
      </c>
      <c r="W535" s="43">
        <f>VLOOKUP(Tabla1[[#This Row],[PAGO DIA]],DIAS!A:I,9,0)</f>
        <v>46295</v>
      </c>
      <c r="X535" s="6">
        <v>0</v>
      </c>
      <c r="Y535" s="43">
        <f>VLOOKUP(Tabla1[[#This Row],[PAGO DIA]],DIAS!A:J,10,0)</f>
        <v>46325</v>
      </c>
      <c r="Z535" s="6">
        <v>0</v>
      </c>
      <c r="AA535" s="43">
        <f>VLOOKUP(Tabla1[[#This Row],[PAGO DIA]],DIAS!A:K,11,0)</f>
        <v>46356</v>
      </c>
      <c r="AB535" s="6">
        <v>0</v>
      </c>
      <c r="AC535" s="43">
        <f>VLOOKUP(Tabla1[[#This Row],[PAGO DIA]],DIAS!A:M,12,0)</f>
        <v>46386</v>
      </c>
      <c r="AD5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6" spans="1:30">
      <c r="A536" s="3">
        <v>11950</v>
      </c>
      <c r="B536" s="3" t="s">
        <v>504</v>
      </c>
      <c r="C536" s="3" t="s">
        <v>505</v>
      </c>
      <c r="D536" s="3" t="s">
        <v>506</v>
      </c>
      <c r="E536" s="3" t="s">
        <v>1124</v>
      </c>
      <c r="F536" s="42" t="s">
        <v>631</v>
      </c>
      <c r="G536" s="3" t="s">
        <v>1169</v>
      </c>
      <c r="H536" s="6">
        <v>0</v>
      </c>
      <c r="I536" s="41">
        <f>VLOOKUP(Tabla1[[#This Row],[PAGO DIA]],DIAS!A:B,2,0)</f>
        <v>46080</v>
      </c>
      <c r="J536" s="6">
        <v>0</v>
      </c>
      <c r="K536" s="43">
        <f>VLOOKUP(Tabla1[[#This Row],[PAGO DIA]],DIAS!A:C,3,0)</f>
        <v>46112</v>
      </c>
      <c r="L536" s="6">
        <v>0</v>
      </c>
      <c r="M536" s="41">
        <f>VLOOKUP(Tabla1[[#This Row],[PAGO DIA]],DIAS!A:D,4,0)</f>
        <v>46142</v>
      </c>
      <c r="N536" s="6">
        <v>0</v>
      </c>
      <c r="O536" s="43">
        <f>VLOOKUP(Tabla1[[#This Row],[PAGO DIA]],DIAS!A:E,5,0)</f>
        <v>46171</v>
      </c>
      <c r="P536" s="6">
        <v>0</v>
      </c>
      <c r="Q536" s="43">
        <f>VLOOKUP(Tabla1[[#This Row],[PAGO DIA]],DIAS!A:F,6,0)</f>
        <v>46203</v>
      </c>
      <c r="R536" s="6">
        <v>0</v>
      </c>
      <c r="S536" s="43">
        <f>VLOOKUP(Tabla1[[#This Row],[PAGO DIA]],DIAS!A:G,7,0)</f>
        <v>46234</v>
      </c>
      <c r="T536" s="6">
        <v>0</v>
      </c>
      <c r="U536" s="43">
        <f>VLOOKUP(Tabla1[[#This Row],[PAGO DIA]],DIAS!A:H,8,0)</f>
        <v>46265</v>
      </c>
      <c r="V536" s="6">
        <v>0</v>
      </c>
      <c r="W536" s="43">
        <f>VLOOKUP(Tabla1[[#This Row],[PAGO DIA]],DIAS!A:I,9,0)</f>
        <v>46295</v>
      </c>
      <c r="X536" s="6">
        <v>0</v>
      </c>
      <c r="Y536" s="43">
        <f>VLOOKUP(Tabla1[[#This Row],[PAGO DIA]],DIAS!A:J,10,0)</f>
        <v>46325</v>
      </c>
      <c r="Z536" s="6">
        <v>0</v>
      </c>
      <c r="AA536" s="43">
        <f>VLOOKUP(Tabla1[[#This Row],[PAGO DIA]],DIAS!A:K,11,0)</f>
        <v>46356</v>
      </c>
      <c r="AB536" s="6">
        <v>0</v>
      </c>
      <c r="AC536" s="43">
        <f>VLOOKUP(Tabla1[[#This Row],[PAGO DIA]],DIAS!A:M,12,0)</f>
        <v>46386</v>
      </c>
      <c r="AD5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7" spans="1:30">
      <c r="A537" s="3">
        <v>11951</v>
      </c>
      <c r="B537" s="3" t="s">
        <v>504</v>
      </c>
      <c r="C537" s="3" t="s">
        <v>505</v>
      </c>
      <c r="D537" s="3" t="s">
        <v>506</v>
      </c>
      <c r="E537" s="3" t="s">
        <v>1124</v>
      </c>
      <c r="F537" s="42" t="s">
        <v>631</v>
      </c>
      <c r="G537" s="3" t="s">
        <v>1170</v>
      </c>
      <c r="H537" s="6">
        <v>0</v>
      </c>
      <c r="I537" s="41">
        <f>VLOOKUP(Tabla1[[#This Row],[PAGO DIA]],DIAS!A:B,2,0)</f>
        <v>46080</v>
      </c>
      <c r="J537" s="6">
        <v>0</v>
      </c>
      <c r="K537" s="43">
        <f>VLOOKUP(Tabla1[[#This Row],[PAGO DIA]],DIAS!A:C,3,0)</f>
        <v>46112</v>
      </c>
      <c r="L537" s="6">
        <v>0</v>
      </c>
      <c r="M537" s="41">
        <f>VLOOKUP(Tabla1[[#This Row],[PAGO DIA]],DIAS!A:D,4,0)</f>
        <v>46142</v>
      </c>
      <c r="N537" s="6">
        <v>0</v>
      </c>
      <c r="O537" s="43">
        <f>VLOOKUP(Tabla1[[#This Row],[PAGO DIA]],DIAS!A:E,5,0)</f>
        <v>46171</v>
      </c>
      <c r="P537" s="6">
        <v>0</v>
      </c>
      <c r="Q537" s="43">
        <f>VLOOKUP(Tabla1[[#This Row],[PAGO DIA]],DIAS!A:F,6,0)</f>
        <v>46203</v>
      </c>
      <c r="R537" s="6">
        <v>0</v>
      </c>
      <c r="S537" s="43">
        <f>VLOOKUP(Tabla1[[#This Row],[PAGO DIA]],DIAS!A:G,7,0)</f>
        <v>46234</v>
      </c>
      <c r="T537" s="6">
        <v>0</v>
      </c>
      <c r="U537" s="43">
        <f>VLOOKUP(Tabla1[[#This Row],[PAGO DIA]],DIAS!A:H,8,0)</f>
        <v>46265</v>
      </c>
      <c r="V537" s="6">
        <v>0</v>
      </c>
      <c r="W537" s="43">
        <f>VLOOKUP(Tabla1[[#This Row],[PAGO DIA]],DIAS!A:I,9,0)</f>
        <v>46295</v>
      </c>
      <c r="X537" s="6">
        <v>0</v>
      </c>
      <c r="Y537" s="43">
        <f>VLOOKUP(Tabla1[[#This Row],[PAGO DIA]],DIAS!A:J,10,0)</f>
        <v>46325</v>
      </c>
      <c r="Z537" s="6">
        <v>0</v>
      </c>
      <c r="AA537" s="43">
        <f>VLOOKUP(Tabla1[[#This Row],[PAGO DIA]],DIAS!A:K,11,0)</f>
        <v>46356</v>
      </c>
      <c r="AB537" s="6">
        <v>0</v>
      </c>
      <c r="AC537" s="43">
        <f>VLOOKUP(Tabla1[[#This Row],[PAGO DIA]],DIAS!A:M,12,0)</f>
        <v>46386</v>
      </c>
      <c r="AD5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38" spans="1:30">
      <c r="A538" s="3">
        <v>10946</v>
      </c>
      <c r="B538" s="3" t="s">
        <v>504</v>
      </c>
      <c r="C538" s="3" t="s">
        <v>505</v>
      </c>
      <c r="D538" s="3" t="s">
        <v>526</v>
      </c>
      <c r="E538" s="3" t="s">
        <v>531</v>
      </c>
      <c r="F538" s="42" t="s">
        <v>532</v>
      </c>
      <c r="G538" s="3" t="s">
        <v>533</v>
      </c>
      <c r="H538" s="6">
        <v>0</v>
      </c>
      <c r="I538" s="41">
        <f>VLOOKUP(Tabla1[[#This Row],[PAGO DIA]],DIAS!A:B,2,0)</f>
        <v>46072</v>
      </c>
      <c r="J538" s="8">
        <v>1000000000</v>
      </c>
      <c r="K538" s="43">
        <f>VLOOKUP(Tabla1[[#This Row],[PAGO DIA]],DIAS!A:C,3,0)</f>
        <v>46100</v>
      </c>
      <c r="L538" s="8">
        <v>1400000000</v>
      </c>
      <c r="M538" s="41">
        <f>VLOOKUP(Tabla1[[#This Row],[PAGO DIA]],DIAS!A:D,4,0)</f>
        <v>46132</v>
      </c>
      <c r="N538" s="6">
        <v>0</v>
      </c>
      <c r="O538" s="43">
        <f>VLOOKUP(Tabla1[[#This Row],[PAGO DIA]],DIAS!A:E,5,0)</f>
        <v>46171</v>
      </c>
      <c r="P538" s="6">
        <v>0</v>
      </c>
      <c r="Q538" s="43">
        <f>VLOOKUP(Tabla1[[#This Row],[PAGO DIA]],DIAS!A:F,6,0)</f>
        <v>46203</v>
      </c>
      <c r="R538" s="6">
        <v>0</v>
      </c>
      <c r="S538" s="43">
        <f>VLOOKUP(Tabla1[[#This Row],[PAGO DIA]],DIAS!A:G,7,0)</f>
        <v>46234</v>
      </c>
      <c r="T538" s="6">
        <v>0</v>
      </c>
      <c r="U538" s="43">
        <f>VLOOKUP(Tabla1[[#This Row],[PAGO DIA]],DIAS!A:H,8,0)</f>
        <v>0</v>
      </c>
      <c r="V538" s="6">
        <v>0</v>
      </c>
      <c r="W538" s="43">
        <f>VLOOKUP(Tabla1[[#This Row],[PAGO DIA]],DIAS!A:I,9,0)</f>
        <v>0</v>
      </c>
      <c r="X538" s="6">
        <v>0</v>
      </c>
      <c r="Y538" s="43">
        <f>VLOOKUP(Tabla1[[#This Row],[PAGO DIA]],DIAS!A:J,10,0)</f>
        <v>0</v>
      </c>
      <c r="Z538" s="6">
        <v>0</v>
      </c>
      <c r="AA538" s="43">
        <f>VLOOKUP(Tabla1[[#This Row],[PAGO DIA]],DIAS!A:K,11,0)</f>
        <v>0</v>
      </c>
      <c r="AB538" s="6">
        <v>0</v>
      </c>
      <c r="AC538" s="43">
        <f>VLOOKUP(Tabla1[[#This Row],[PAGO DIA]],DIAS!A:M,12,0)</f>
        <v>0</v>
      </c>
      <c r="AD5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2400000000</v>
      </c>
    </row>
    <row r="539" spans="1:30">
      <c r="A539" s="3">
        <v>12026</v>
      </c>
      <c r="B539" s="3" t="s">
        <v>504</v>
      </c>
      <c r="C539" s="3" t="s">
        <v>505</v>
      </c>
      <c r="D539" s="3" t="s">
        <v>506</v>
      </c>
      <c r="E539" s="3" t="s">
        <v>1171</v>
      </c>
      <c r="F539" s="42" t="s">
        <v>631</v>
      </c>
      <c r="G539" s="3" t="s">
        <v>1172</v>
      </c>
      <c r="H539" s="6">
        <v>0</v>
      </c>
      <c r="I539" s="41">
        <f>VLOOKUP(Tabla1[[#This Row],[PAGO DIA]],DIAS!A:B,2,0)</f>
        <v>46080</v>
      </c>
      <c r="J539" s="6">
        <v>0</v>
      </c>
      <c r="K539" s="43">
        <f>VLOOKUP(Tabla1[[#This Row],[PAGO DIA]],DIAS!A:C,3,0)</f>
        <v>46112</v>
      </c>
      <c r="L539" s="6">
        <v>0</v>
      </c>
      <c r="M539" s="41">
        <f>VLOOKUP(Tabla1[[#This Row],[PAGO DIA]],DIAS!A:D,4,0)</f>
        <v>46142</v>
      </c>
      <c r="N539" s="6">
        <v>0</v>
      </c>
      <c r="O539" s="43">
        <f>VLOOKUP(Tabla1[[#This Row],[PAGO DIA]],DIAS!A:E,5,0)</f>
        <v>46171</v>
      </c>
      <c r="P539" s="6">
        <v>0</v>
      </c>
      <c r="Q539" s="43">
        <f>VLOOKUP(Tabla1[[#This Row],[PAGO DIA]],DIAS!A:F,6,0)</f>
        <v>46203</v>
      </c>
      <c r="R539" s="6">
        <v>0</v>
      </c>
      <c r="S539" s="43">
        <f>VLOOKUP(Tabla1[[#This Row],[PAGO DIA]],DIAS!A:G,7,0)</f>
        <v>46234</v>
      </c>
      <c r="T539" s="6">
        <v>0</v>
      </c>
      <c r="U539" s="43">
        <f>VLOOKUP(Tabla1[[#This Row],[PAGO DIA]],DIAS!A:H,8,0)</f>
        <v>46265</v>
      </c>
      <c r="V539" s="6">
        <v>0</v>
      </c>
      <c r="W539" s="43">
        <f>VLOOKUP(Tabla1[[#This Row],[PAGO DIA]],DIAS!A:I,9,0)</f>
        <v>46295</v>
      </c>
      <c r="X539" s="6">
        <v>0</v>
      </c>
      <c r="Y539" s="43">
        <f>VLOOKUP(Tabla1[[#This Row],[PAGO DIA]],DIAS!A:J,10,0)</f>
        <v>46325</v>
      </c>
      <c r="Z539" s="6">
        <v>0</v>
      </c>
      <c r="AA539" s="43">
        <f>VLOOKUP(Tabla1[[#This Row],[PAGO DIA]],DIAS!A:K,11,0)</f>
        <v>46356</v>
      </c>
      <c r="AB539" s="6">
        <v>0</v>
      </c>
      <c r="AC539" s="43">
        <f>VLOOKUP(Tabla1[[#This Row],[PAGO DIA]],DIAS!A:M,12,0)</f>
        <v>46386</v>
      </c>
      <c r="AD5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0" spans="1:30">
      <c r="A540" s="3">
        <v>12183</v>
      </c>
      <c r="B540" s="3" t="s">
        <v>504</v>
      </c>
      <c r="C540" s="3" t="s">
        <v>505</v>
      </c>
      <c r="D540" s="3" t="s">
        <v>506</v>
      </c>
      <c r="E540" s="3" t="s">
        <v>1171</v>
      </c>
      <c r="F540" s="42" t="s">
        <v>631</v>
      </c>
      <c r="G540" s="3" t="s">
        <v>1173</v>
      </c>
      <c r="H540" s="6">
        <v>0</v>
      </c>
      <c r="I540" s="41">
        <f>VLOOKUP(Tabla1[[#This Row],[PAGO DIA]],DIAS!A:B,2,0)</f>
        <v>46080</v>
      </c>
      <c r="J540" s="6">
        <v>0</v>
      </c>
      <c r="K540" s="43">
        <f>VLOOKUP(Tabla1[[#This Row],[PAGO DIA]],DIAS!A:C,3,0)</f>
        <v>46112</v>
      </c>
      <c r="L540" s="6">
        <v>0</v>
      </c>
      <c r="M540" s="41">
        <f>VLOOKUP(Tabla1[[#This Row],[PAGO DIA]],DIAS!A:D,4,0)</f>
        <v>46142</v>
      </c>
      <c r="N540" s="6">
        <v>0</v>
      </c>
      <c r="O540" s="43">
        <f>VLOOKUP(Tabla1[[#This Row],[PAGO DIA]],DIAS!A:E,5,0)</f>
        <v>46171</v>
      </c>
      <c r="P540" s="6">
        <v>0</v>
      </c>
      <c r="Q540" s="43">
        <f>VLOOKUP(Tabla1[[#This Row],[PAGO DIA]],DIAS!A:F,6,0)</f>
        <v>46203</v>
      </c>
      <c r="R540" s="6">
        <v>0</v>
      </c>
      <c r="S540" s="43">
        <f>VLOOKUP(Tabla1[[#This Row],[PAGO DIA]],DIAS!A:G,7,0)</f>
        <v>46234</v>
      </c>
      <c r="T540" s="6">
        <v>0</v>
      </c>
      <c r="U540" s="43">
        <f>VLOOKUP(Tabla1[[#This Row],[PAGO DIA]],DIAS!A:H,8,0)</f>
        <v>46265</v>
      </c>
      <c r="V540" s="6">
        <v>0</v>
      </c>
      <c r="W540" s="43">
        <f>VLOOKUP(Tabla1[[#This Row],[PAGO DIA]],DIAS!A:I,9,0)</f>
        <v>46295</v>
      </c>
      <c r="X540" s="6">
        <v>0</v>
      </c>
      <c r="Y540" s="43">
        <f>VLOOKUP(Tabla1[[#This Row],[PAGO DIA]],DIAS!A:J,10,0)</f>
        <v>46325</v>
      </c>
      <c r="Z540" s="6">
        <v>0</v>
      </c>
      <c r="AA540" s="43">
        <f>VLOOKUP(Tabla1[[#This Row],[PAGO DIA]],DIAS!A:K,11,0)</f>
        <v>46356</v>
      </c>
      <c r="AB540" s="6">
        <v>0</v>
      </c>
      <c r="AC540" s="43">
        <f>VLOOKUP(Tabla1[[#This Row],[PAGO DIA]],DIAS!A:M,12,0)</f>
        <v>46386</v>
      </c>
      <c r="AD5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1" spans="1:30">
      <c r="A541" s="3">
        <v>12184</v>
      </c>
      <c r="B541" s="3" t="s">
        <v>504</v>
      </c>
      <c r="C541" s="3" t="s">
        <v>505</v>
      </c>
      <c r="D541" s="3" t="s">
        <v>506</v>
      </c>
      <c r="E541" s="3" t="s">
        <v>1171</v>
      </c>
      <c r="F541" s="42" t="s">
        <v>631</v>
      </c>
      <c r="G541" s="3" t="s">
        <v>1174</v>
      </c>
      <c r="H541" s="6">
        <v>0</v>
      </c>
      <c r="I541" s="41">
        <f>VLOOKUP(Tabla1[[#This Row],[PAGO DIA]],DIAS!A:B,2,0)</f>
        <v>46080</v>
      </c>
      <c r="J541" s="6">
        <v>0</v>
      </c>
      <c r="K541" s="43">
        <f>VLOOKUP(Tabla1[[#This Row],[PAGO DIA]],DIAS!A:C,3,0)</f>
        <v>46112</v>
      </c>
      <c r="L541" s="6">
        <v>0</v>
      </c>
      <c r="M541" s="41">
        <f>VLOOKUP(Tabla1[[#This Row],[PAGO DIA]],DIAS!A:D,4,0)</f>
        <v>46142</v>
      </c>
      <c r="N541" s="6">
        <v>0</v>
      </c>
      <c r="O541" s="43">
        <f>VLOOKUP(Tabla1[[#This Row],[PAGO DIA]],DIAS!A:E,5,0)</f>
        <v>46171</v>
      </c>
      <c r="P541" s="6">
        <v>0</v>
      </c>
      <c r="Q541" s="43">
        <f>VLOOKUP(Tabla1[[#This Row],[PAGO DIA]],DIAS!A:F,6,0)</f>
        <v>46203</v>
      </c>
      <c r="R541" s="6">
        <v>0</v>
      </c>
      <c r="S541" s="43">
        <f>VLOOKUP(Tabla1[[#This Row],[PAGO DIA]],DIAS!A:G,7,0)</f>
        <v>46234</v>
      </c>
      <c r="T541" s="6">
        <v>0</v>
      </c>
      <c r="U541" s="43">
        <f>VLOOKUP(Tabla1[[#This Row],[PAGO DIA]],DIAS!A:H,8,0)</f>
        <v>46265</v>
      </c>
      <c r="V541" s="6">
        <v>0</v>
      </c>
      <c r="W541" s="43">
        <f>VLOOKUP(Tabla1[[#This Row],[PAGO DIA]],DIAS!A:I,9,0)</f>
        <v>46295</v>
      </c>
      <c r="X541" s="6">
        <v>0</v>
      </c>
      <c r="Y541" s="43">
        <f>VLOOKUP(Tabla1[[#This Row],[PAGO DIA]],DIAS!A:J,10,0)</f>
        <v>46325</v>
      </c>
      <c r="Z541" s="6">
        <v>0</v>
      </c>
      <c r="AA541" s="43">
        <f>VLOOKUP(Tabla1[[#This Row],[PAGO DIA]],DIAS!A:K,11,0)</f>
        <v>46356</v>
      </c>
      <c r="AB541" s="6">
        <v>0</v>
      </c>
      <c r="AC541" s="43">
        <f>VLOOKUP(Tabla1[[#This Row],[PAGO DIA]],DIAS!A:M,12,0)</f>
        <v>46386</v>
      </c>
      <c r="AD5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2" spans="1:30">
      <c r="A542" s="3">
        <v>11353</v>
      </c>
      <c r="B542" s="3" t="s">
        <v>504</v>
      </c>
      <c r="C542" s="3" t="s">
        <v>505</v>
      </c>
      <c r="D542" s="3" t="s">
        <v>526</v>
      </c>
      <c r="E542" s="3" t="s">
        <v>1119</v>
      </c>
      <c r="F542" s="42" t="s">
        <v>631</v>
      </c>
      <c r="G542" s="3" t="s">
        <v>1120</v>
      </c>
      <c r="H542" s="6">
        <v>0</v>
      </c>
      <c r="I542" s="41">
        <f>VLOOKUP(Tabla1[[#This Row],[PAGO DIA]],DIAS!A:B,2,0)</f>
        <v>46080</v>
      </c>
      <c r="J542" s="6">
        <v>0</v>
      </c>
      <c r="K542" s="43">
        <f>VLOOKUP(Tabla1[[#This Row],[PAGO DIA]],DIAS!A:C,3,0)</f>
        <v>46112</v>
      </c>
      <c r="L542" s="6">
        <v>0</v>
      </c>
      <c r="M542" s="41">
        <f>VLOOKUP(Tabla1[[#This Row],[PAGO DIA]],DIAS!A:D,4,0)</f>
        <v>46142</v>
      </c>
      <c r="N542" s="6">
        <v>0</v>
      </c>
      <c r="O542" s="43">
        <f>VLOOKUP(Tabla1[[#This Row],[PAGO DIA]],DIAS!A:E,5,0)</f>
        <v>46171</v>
      </c>
      <c r="P542" s="6">
        <v>0</v>
      </c>
      <c r="Q542" s="43">
        <f>VLOOKUP(Tabla1[[#This Row],[PAGO DIA]],DIAS!A:F,6,0)</f>
        <v>46203</v>
      </c>
      <c r="R542" s="6">
        <v>0</v>
      </c>
      <c r="S542" s="43">
        <f>VLOOKUP(Tabla1[[#This Row],[PAGO DIA]],DIAS!A:G,7,0)</f>
        <v>46234</v>
      </c>
      <c r="T542" s="6">
        <v>0</v>
      </c>
      <c r="U542" s="43">
        <f>VLOOKUP(Tabla1[[#This Row],[PAGO DIA]],DIAS!A:H,8,0)</f>
        <v>46265</v>
      </c>
      <c r="V542" s="6">
        <v>0</v>
      </c>
      <c r="W542" s="43">
        <f>VLOOKUP(Tabla1[[#This Row],[PAGO DIA]],DIAS!A:I,9,0)</f>
        <v>46295</v>
      </c>
      <c r="X542" s="6">
        <v>0</v>
      </c>
      <c r="Y542" s="43">
        <f>VLOOKUP(Tabla1[[#This Row],[PAGO DIA]],DIAS!A:J,10,0)</f>
        <v>46325</v>
      </c>
      <c r="Z542" s="6">
        <v>0</v>
      </c>
      <c r="AA542" s="43">
        <f>VLOOKUP(Tabla1[[#This Row],[PAGO DIA]],DIAS!A:K,11,0)</f>
        <v>46356</v>
      </c>
      <c r="AB542" s="6">
        <v>0</v>
      </c>
      <c r="AC542" s="43">
        <f>VLOOKUP(Tabla1[[#This Row],[PAGO DIA]],DIAS!A:M,12,0)</f>
        <v>46386</v>
      </c>
      <c r="AD5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3" spans="1:30">
      <c r="A543" s="3">
        <v>11524</v>
      </c>
      <c r="B543" s="3" t="s">
        <v>504</v>
      </c>
      <c r="C543" s="3" t="s">
        <v>505</v>
      </c>
      <c r="D543" s="3" t="s">
        <v>526</v>
      </c>
      <c r="E543" s="3" t="s">
        <v>1119</v>
      </c>
      <c r="F543" s="42" t="s">
        <v>631</v>
      </c>
      <c r="G543" s="3" t="s">
        <v>1120</v>
      </c>
      <c r="H543" s="6">
        <v>0</v>
      </c>
      <c r="I543" s="41">
        <f>VLOOKUP(Tabla1[[#This Row],[PAGO DIA]],DIAS!A:B,2,0)</f>
        <v>46080</v>
      </c>
      <c r="J543" s="6">
        <v>0</v>
      </c>
      <c r="K543" s="43">
        <f>VLOOKUP(Tabla1[[#This Row],[PAGO DIA]],DIAS!A:C,3,0)</f>
        <v>46112</v>
      </c>
      <c r="L543" s="6">
        <v>0</v>
      </c>
      <c r="M543" s="41">
        <f>VLOOKUP(Tabla1[[#This Row],[PAGO DIA]],DIAS!A:D,4,0)</f>
        <v>46142</v>
      </c>
      <c r="N543" s="6">
        <v>0</v>
      </c>
      <c r="O543" s="43">
        <f>VLOOKUP(Tabla1[[#This Row],[PAGO DIA]],DIAS!A:E,5,0)</f>
        <v>46171</v>
      </c>
      <c r="P543" s="6">
        <v>0</v>
      </c>
      <c r="Q543" s="43">
        <f>VLOOKUP(Tabla1[[#This Row],[PAGO DIA]],DIAS!A:F,6,0)</f>
        <v>46203</v>
      </c>
      <c r="R543" s="6">
        <v>0</v>
      </c>
      <c r="S543" s="43">
        <f>VLOOKUP(Tabla1[[#This Row],[PAGO DIA]],DIAS!A:G,7,0)</f>
        <v>46234</v>
      </c>
      <c r="T543" s="6">
        <v>0</v>
      </c>
      <c r="U543" s="43">
        <f>VLOOKUP(Tabla1[[#This Row],[PAGO DIA]],DIAS!A:H,8,0)</f>
        <v>46265</v>
      </c>
      <c r="V543" s="6">
        <v>0</v>
      </c>
      <c r="W543" s="43">
        <f>VLOOKUP(Tabla1[[#This Row],[PAGO DIA]],DIAS!A:I,9,0)</f>
        <v>46295</v>
      </c>
      <c r="X543" s="6">
        <v>0</v>
      </c>
      <c r="Y543" s="43">
        <f>VLOOKUP(Tabla1[[#This Row],[PAGO DIA]],DIAS!A:J,10,0)</f>
        <v>46325</v>
      </c>
      <c r="Z543" s="6">
        <v>0</v>
      </c>
      <c r="AA543" s="43">
        <f>VLOOKUP(Tabla1[[#This Row],[PAGO DIA]],DIAS!A:K,11,0)</f>
        <v>46356</v>
      </c>
      <c r="AB543" s="6">
        <v>0</v>
      </c>
      <c r="AC543" s="43">
        <f>VLOOKUP(Tabla1[[#This Row],[PAGO DIA]],DIAS!A:M,12,0)</f>
        <v>46386</v>
      </c>
      <c r="AD5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4" spans="1:30">
      <c r="A544" s="3">
        <v>12185</v>
      </c>
      <c r="B544" s="3" t="s">
        <v>504</v>
      </c>
      <c r="C544" s="3" t="s">
        <v>505</v>
      </c>
      <c r="D544" s="3" t="s">
        <v>506</v>
      </c>
      <c r="E544" s="3" t="s">
        <v>1175</v>
      </c>
      <c r="F544" s="42" t="s">
        <v>631</v>
      </c>
      <c r="G544" s="3" t="s">
        <v>1176</v>
      </c>
      <c r="H544" s="6">
        <v>0</v>
      </c>
      <c r="I544" s="41">
        <f>VLOOKUP(Tabla1[[#This Row],[PAGO DIA]],DIAS!A:B,2,0)</f>
        <v>46080</v>
      </c>
      <c r="J544" s="6">
        <v>0</v>
      </c>
      <c r="K544" s="43">
        <f>VLOOKUP(Tabla1[[#This Row],[PAGO DIA]],DIAS!A:C,3,0)</f>
        <v>46112</v>
      </c>
      <c r="L544" s="6">
        <v>0</v>
      </c>
      <c r="M544" s="41">
        <f>VLOOKUP(Tabla1[[#This Row],[PAGO DIA]],DIAS!A:D,4,0)</f>
        <v>46142</v>
      </c>
      <c r="N544" s="6">
        <v>0</v>
      </c>
      <c r="O544" s="43">
        <f>VLOOKUP(Tabla1[[#This Row],[PAGO DIA]],DIAS!A:E,5,0)</f>
        <v>46171</v>
      </c>
      <c r="P544" s="6">
        <v>0</v>
      </c>
      <c r="Q544" s="43">
        <f>VLOOKUP(Tabla1[[#This Row],[PAGO DIA]],DIAS!A:F,6,0)</f>
        <v>46203</v>
      </c>
      <c r="R544" s="6">
        <v>0</v>
      </c>
      <c r="S544" s="43">
        <f>VLOOKUP(Tabla1[[#This Row],[PAGO DIA]],DIAS!A:G,7,0)</f>
        <v>46234</v>
      </c>
      <c r="T544" s="6">
        <v>0</v>
      </c>
      <c r="U544" s="43">
        <f>VLOOKUP(Tabla1[[#This Row],[PAGO DIA]],DIAS!A:H,8,0)</f>
        <v>46265</v>
      </c>
      <c r="V544" s="6">
        <v>0</v>
      </c>
      <c r="W544" s="43">
        <f>VLOOKUP(Tabla1[[#This Row],[PAGO DIA]],DIAS!A:I,9,0)</f>
        <v>46295</v>
      </c>
      <c r="X544" s="6">
        <v>0</v>
      </c>
      <c r="Y544" s="43">
        <f>VLOOKUP(Tabla1[[#This Row],[PAGO DIA]],DIAS!A:J,10,0)</f>
        <v>46325</v>
      </c>
      <c r="Z544" s="6">
        <v>0</v>
      </c>
      <c r="AA544" s="43">
        <f>VLOOKUP(Tabla1[[#This Row],[PAGO DIA]],DIAS!A:K,11,0)</f>
        <v>46356</v>
      </c>
      <c r="AB544" s="6">
        <v>0</v>
      </c>
      <c r="AC544" s="43">
        <f>VLOOKUP(Tabla1[[#This Row],[PAGO DIA]],DIAS!A:M,12,0)</f>
        <v>46386</v>
      </c>
      <c r="AD5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5" spans="1:30">
      <c r="A545" s="3">
        <v>12186</v>
      </c>
      <c r="B545" s="3" t="s">
        <v>504</v>
      </c>
      <c r="C545" s="3" t="s">
        <v>505</v>
      </c>
      <c r="D545" s="3" t="s">
        <v>506</v>
      </c>
      <c r="E545" s="3" t="s">
        <v>903</v>
      </c>
      <c r="F545" s="42" t="s">
        <v>631</v>
      </c>
      <c r="G545" s="3" t="s">
        <v>639</v>
      </c>
      <c r="H545" s="6">
        <v>0</v>
      </c>
      <c r="I545" s="41">
        <f>VLOOKUP(Tabla1[[#This Row],[PAGO DIA]],DIAS!A:B,2,0)</f>
        <v>46080</v>
      </c>
      <c r="J545" s="6">
        <v>0</v>
      </c>
      <c r="K545" s="43">
        <f>VLOOKUP(Tabla1[[#This Row],[PAGO DIA]],DIAS!A:C,3,0)</f>
        <v>46112</v>
      </c>
      <c r="L545" s="6">
        <v>0</v>
      </c>
      <c r="M545" s="41">
        <f>VLOOKUP(Tabla1[[#This Row],[PAGO DIA]],DIAS!A:D,4,0)</f>
        <v>46142</v>
      </c>
      <c r="N545" s="6">
        <v>0</v>
      </c>
      <c r="O545" s="43">
        <f>VLOOKUP(Tabla1[[#This Row],[PAGO DIA]],DIAS!A:E,5,0)</f>
        <v>46171</v>
      </c>
      <c r="P545" s="6">
        <v>0</v>
      </c>
      <c r="Q545" s="43">
        <f>VLOOKUP(Tabla1[[#This Row],[PAGO DIA]],DIAS!A:F,6,0)</f>
        <v>46203</v>
      </c>
      <c r="R545" s="6">
        <v>0</v>
      </c>
      <c r="S545" s="43">
        <f>VLOOKUP(Tabla1[[#This Row],[PAGO DIA]],DIAS!A:G,7,0)</f>
        <v>46234</v>
      </c>
      <c r="T545" s="6">
        <v>0</v>
      </c>
      <c r="U545" s="43">
        <f>VLOOKUP(Tabla1[[#This Row],[PAGO DIA]],DIAS!A:H,8,0)</f>
        <v>46265</v>
      </c>
      <c r="V545" s="6">
        <v>0</v>
      </c>
      <c r="W545" s="43">
        <f>VLOOKUP(Tabla1[[#This Row],[PAGO DIA]],DIAS!A:I,9,0)</f>
        <v>46295</v>
      </c>
      <c r="X545" s="6">
        <v>0</v>
      </c>
      <c r="Y545" s="43">
        <f>VLOOKUP(Tabla1[[#This Row],[PAGO DIA]],DIAS!A:J,10,0)</f>
        <v>46325</v>
      </c>
      <c r="Z545" s="6">
        <v>0</v>
      </c>
      <c r="AA545" s="43">
        <f>VLOOKUP(Tabla1[[#This Row],[PAGO DIA]],DIAS!A:K,11,0)</f>
        <v>46356</v>
      </c>
      <c r="AB545" s="6">
        <v>0</v>
      </c>
      <c r="AC545" s="43">
        <f>VLOOKUP(Tabla1[[#This Row],[PAGO DIA]],DIAS!A:M,12,0)</f>
        <v>46386</v>
      </c>
      <c r="AD5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6" spans="1:30">
      <c r="A546" s="3">
        <v>11977</v>
      </c>
      <c r="B546" s="3" t="s">
        <v>504</v>
      </c>
      <c r="C546" s="3"/>
      <c r="D546" s="3" t="s">
        <v>526</v>
      </c>
      <c r="E546" s="3" t="s">
        <v>1177</v>
      </c>
      <c r="F546" s="42" t="s">
        <v>631</v>
      </c>
      <c r="G546" s="3"/>
      <c r="H546" s="6">
        <v>0</v>
      </c>
      <c r="I546" s="41">
        <f>VLOOKUP(Tabla1[[#This Row],[PAGO DIA]],DIAS!A:B,2,0)</f>
        <v>46080</v>
      </c>
      <c r="J546" s="6">
        <v>0</v>
      </c>
      <c r="K546" s="43">
        <f>VLOOKUP(Tabla1[[#This Row],[PAGO DIA]],DIAS!A:C,3,0)</f>
        <v>46112</v>
      </c>
      <c r="L546" s="6">
        <v>0</v>
      </c>
      <c r="M546" s="41">
        <f>VLOOKUP(Tabla1[[#This Row],[PAGO DIA]],DIAS!A:D,4,0)</f>
        <v>46142</v>
      </c>
      <c r="N546" s="6">
        <v>0</v>
      </c>
      <c r="O546" s="43">
        <f>VLOOKUP(Tabla1[[#This Row],[PAGO DIA]],DIAS!A:E,5,0)</f>
        <v>46171</v>
      </c>
      <c r="P546" s="6">
        <v>0</v>
      </c>
      <c r="Q546" s="43">
        <f>VLOOKUP(Tabla1[[#This Row],[PAGO DIA]],DIAS!A:F,6,0)</f>
        <v>46203</v>
      </c>
      <c r="R546" s="6">
        <v>0</v>
      </c>
      <c r="S546" s="43">
        <f>VLOOKUP(Tabla1[[#This Row],[PAGO DIA]],DIAS!A:G,7,0)</f>
        <v>46234</v>
      </c>
      <c r="T546" s="6">
        <v>0</v>
      </c>
      <c r="U546" s="43">
        <f>VLOOKUP(Tabla1[[#This Row],[PAGO DIA]],DIAS!A:H,8,0)</f>
        <v>46265</v>
      </c>
      <c r="V546" s="6">
        <v>0</v>
      </c>
      <c r="W546" s="43">
        <f>VLOOKUP(Tabla1[[#This Row],[PAGO DIA]],DIAS!A:I,9,0)</f>
        <v>46295</v>
      </c>
      <c r="X546" s="6">
        <v>0</v>
      </c>
      <c r="Y546" s="43">
        <f>VLOOKUP(Tabla1[[#This Row],[PAGO DIA]],DIAS!A:J,10,0)</f>
        <v>46325</v>
      </c>
      <c r="Z546" s="6">
        <v>0</v>
      </c>
      <c r="AA546" s="43">
        <f>VLOOKUP(Tabla1[[#This Row],[PAGO DIA]],DIAS!A:K,11,0)</f>
        <v>46356</v>
      </c>
      <c r="AB546" s="6">
        <v>0</v>
      </c>
      <c r="AC546" s="43">
        <f>VLOOKUP(Tabla1[[#This Row],[PAGO DIA]],DIAS!A:M,12,0)</f>
        <v>46386</v>
      </c>
      <c r="AD5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7" spans="1:30">
      <c r="A547" s="3">
        <v>11978</v>
      </c>
      <c r="B547" s="3" t="s">
        <v>504</v>
      </c>
      <c r="C547" s="3"/>
      <c r="D547" s="3" t="s">
        <v>506</v>
      </c>
      <c r="E547" s="3" t="s">
        <v>1177</v>
      </c>
      <c r="F547" s="42" t="s">
        <v>631</v>
      </c>
      <c r="G547" s="3"/>
      <c r="H547" s="6">
        <v>0</v>
      </c>
      <c r="I547" s="41">
        <f>VLOOKUP(Tabla1[[#This Row],[PAGO DIA]],DIAS!A:B,2,0)</f>
        <v>46080</v>
      </c>
      <c r="J547" s="6">
        <v>0</v>
      </c>
      <c r="K547" s="43">
        <f>VLOOKUP(Tabla1[[#This Row],[PAGO DIA]],DIAS!A:C,3,0)</f>
        <v>46112</v>
      </c>
      <c r="L547" s="6">
        <v>0</v>
      </c>
      <c r="M547" s="41">
        <f>VLOOKUP(Tabla1[[#This Row],[PAGO DIA]],DIAS!A:D,4,0)</f>
        <v>46142</v>
      </c>
      <c r="N547" s="6">
        <v>0</v>
      </c>
      <c r="O547" s="43">
        <f>VLOOKUP(Tabla1[[#This Row],[PAGO DIA]],DIAS!A:E,5,0)</f>
        <v>46171</v>
      </c>
      <c r="P547" s="6">
        <v>0</v>
      </c>
      <c r="Q547" s="43">
        <f>VLOOKUP(Tabla1[[#This Row],[PAGO DIA]],DIAS!A:F,6,0)</f>
        <v>46203</v>
      </c>
      <c r="R547" s="6">
        <v>0</v>
      </c>
      <c r="S547" s="43">
        <f>VLOOKUP(Tabla1[[#This Row],[PAGO DIA]],DIAS!A:G,7,0)</f>
        <v>46234</v>
      </c>
      <c r="T547" s="6">
        <v>0</v>
      </c>
      <c r="U547" s="43">
        <f>VLOOKUP(Tabla1[[#This Row],[PAGO DIA]],DIAS!A:H,8,0)</f>
        <v>46265</v>
      </c>
      <c r="V547" s="6">
        <v>0</v>
      </c>
      <c r="W547" s="43">
        <f>VLOOKUP(Tabla1[[#This Row],[PAGO DIA]],DIAS!A:I,9,0)</f>
        <v>46295</v>
      </c>
      <c r="X547" s="6">
        <v>0</v>
      </c>
      <c r="Y547" s="43">
        <f>VLOOKUP(Tabla1[[#This Row],[PAGO DIA]],DIAS!A:J,10,0)</f>
        <v>46325</v>
      </c>
      <c r="Z547" s="6">
        <v>0</v>
      </c>
      <c r="AA547" s="43">
        <f>VLOOKUP(Tabla1[[#This Row],[PAGO DIA]],DIAS!A:K,11,0)</f>
        <v>46356</v>
      </c>
      <c r="AB547" s="6">
        <v>0</v>
      </c>
      <c r="AC547" s="43">
        <f>VLOOKUP(Tabla1[[#This Row],[PAGO DIA]],DIAS!A:M,12,0)</f>
        <v>46386</v>
      </c>
      <c r="AD5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48" spans="1:30">
      <c r="A548" s="3">
        <v>11313</v>
      </c>
      <c r="B548" s="3" t="s">
        <v>1178</v>
      </c>
      <c r="C548" s="3" t="s">
        <v>1179</v>
      </c>
      <c r="D548" s="3" t="s">
        <v>1180</v>
      </c>
      <c r="E548" s="3" t="s">
        <v>630</v>
      </c>
      <c r="F548" s="42" t="s">
        <v>631</v>
      </c>
      <c r="G548" s="3"/>
      <c r="H548" s="7">
        <v>75000000</v>
      </c>
      <c r="I548" s="41">
        <f>VLOOKUP(Tabla1[[#This Row],[PAGO DIA]],DIAS!A:B,2,0)</f>
        <v>46080</v>
      </c>
      <c r="J548" s="6">
        <v>75000000</v>
      </c>
      <c r="K548" s="43">
        <f>VLOOKUP(Tabla1[[#This Row],[PAGO DIA]],DIAS!A:C,3,0)</f>
        <v>46112</v>
      </c>
      <c r="L548" s="6">
        <v>75000000</v>
      </c>
      <c r="M548" s="41">
        <f>VLOOKUP(Tabla1[[#This Row],[PAGO DIA]],DIAS!A:D,4,0)</f>
        <v>46142</v>
      </c>
      <c r="N548" s="6">
        <v>75000000</v>
      </c>
      <c r="O548" s="43">
        <f>VLOOKUP(Tabla1[[#This Row],[PAGO DIA]],DIAS!A:E,5,0)</f>
        <v>46171</v>
      </c>
      <c r="P548" s="6">
        <v>75000000</v>
      </c>
      <c r="Q548" s="43">
        <f>VLOOKUP(Tabla1[[#This Row],[PAGO DIA]],DIAS!A:F,6,0)</f>
        <v>46203</v>
      </c>
      <c r="R548" s="6">
        <v>75000000</v>
      </c>
      <c r="S548" s="43">
        <f>VLOOKUP(Tabla1[[#This Row],[PAGO DIA]],DIAS!A:G,7,0)</f>
        <v>46234</v>
      </c>
      <c r="T548" s="6">
        <v>75000000</v>
      </c>
      <c r="U548" s="43">
        <f>VLOOKUP(Tabla1[[#This Row],[PAGO DIA]],DIAS!A:H,8,0)</f>
        <v>46265</v>
      </c>
      <c r="V548" s="6">
        <v>75000000</v>
      </c>
      <c r="W548" s="43">
        <f>VLOOKUP(Tabla1[[#This Row],[PAGO DIA]],DIAS!A:I,9,0)</f>
        <v>46295</v>
      </c>
      <c r="X548" s="6">
        <v>75000000</v>
      </c>
      <c r="Y548" s="43">
        <f>VLOOKUP(Tabla1[[#This Row],[PAGO DIA]],DIAS!A:J,10,0)</f>
        <v>46325</v>
      </c>
      <c r="Z548" s="6">
        <v>75000000</v>
      </c>
      <c r="AA548" s="43">
        <f>VLOOKUP(Tabla1[[#This Row],[PAGO DIA]],DIAS!A:K,11,0)</f>
        <v>46356</v>
      </c>
      <c r="AB548" s="6">
        <v>75000000</v>
      </c>
      <c r="AC548" s="43">
        <f>VLOOKUP(Tabla1[[#This Row],[PAGO DIA]],DIAS!A:M,12,0)</f>
        <v>46386</v>
      </c>
      <c r="AD5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825000000</v>
      </c>
    </row>
    <row r="549" spans="1:30">
      <c r="A549" s="3">
        <v>12590</v>
      </c>
      <c r="B549" s="3" t="s">
        <v>1178</v>
      </c>
      <c r="C549" s="3" t="s">
        <v>1179</v>
      </c>
      <c r="D549" s="3" t="s">
        <v>540</v>
      </c>
      <c r="E549" s="3" t="s">
        <v>730</v>
      </c>
      <c r="F549" s="42" t="s">
        <v>631</v>
      </c>
      <c r="G549" s="3" t="s">
        <v>1181</v>
      </c>
      <c r="H549" s="6">
        <v>0</v>
      </c>
      <c r="I549" s="41">
        <f>VLOOKUP(Tabla1[[#This Row],[PAGO DIA]],DIAS!A:B,2,0)</f>
        <v>46080</v>
      </c>
      <c r="J549" s="6">
        <v>0</v>
      </c>
      <c r="K549" s="43">
        <f>VLOOKUP(Tabla1[[#This Row],[PAGO DIA]],DIAS!A:C,3,0)</f>
        <v>46112</v>
      </c>
      <c r="L549" s="6">
        <v>0</v>
      </c>
      <c r="M549" s="41">
        <f>VLOOKUP(Tabla1[[#This Row],[PAGO DIA]],DIAS!A:D,4,0)</f>
        <v>46142</v>
      </c>
      <c r="N549" s="6">
        <v>0</v>
      </c>
      <c r="O549" s="43">
        <f>VLOOKUP(Tabla1[[#This Row],[PAGO DIA]],DIAS!A:E,5,0)</f>
        <v>46171</v>
      </c>
      <c r="P549" s="6">
        <v>0</v>
      </c>
      <c r="Q549" s="43">
        <f>VLOOKUP(Tabla1[[#This Row],[PAGO DIA]],DIAS!A:F,6,0)</f>
        <v>46203</v>
      </c>
      <c r="R549" s="6">
        <v>0</v>
      </c>
      <c r="S549" s="43">
        <f>VLOOKUP(Tabla1[[#This Row],[PAGO DIA]],DIAS!A:G,7,0)</f>
        <v>46234</v>
      </c>
      <c r="T549" s="6">
        <v>0</v>
      </c>
      <c r="U549" s="43">
        <f>VLOOKUP(Tabla1[[#This Row],[PAGO DIA]],DIAS!A:H,8,0)</f>
        <v>46265</v>
      </c>
      <c r="V549" s="6">
        <v>0</v>
      </c>
      <c r="W549" s="43">
        <f>VLOOKUP(Tabla1[[#This Row],[PAGO DIA]],DIAS!A:I,9,0)</f>
        <v>46295</v>
      </c>
      <c r="X549" s="6">
        <v>0</v>
      </c>
      <c r="Y549" s="43">
        <f>VLOOKUP(Tabla1[[#This Row],[PAGO DIA]],DIAS!A:J,10,0)</f>
        <v>46325</v>
      </c>
      <c r="Z549" s="6">
        <v>0</v>
      </c>
      <c r="AA549" s="43">
        <f>VLOOKUP(Tabla1[[#This Row],[PAGO DIA]],DIAS!A:K,11,0)</f>
        <v>46356</v>
      </c>
      <c r="AB549" s="6">
        <v>0</v>
      </c>
      <c r="AC549" s="43">
        <f>VLOOKUP(Tabla1[[#This Row],[PAGO DIA]],DIAS!A:M,12,0)</f>
        <v>46386</v>
      </c>
      <c r="AD5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0" spans="1:30">
      <c r="A550" s="3">
        <v>11582</v>
      </c>
      <c r="B550" s="3" t="s">
        <v>1178</v>
      </c>
      <c r="C550" s="3" t="s">
        <v>540</v>
      </c>
      <c r="D550" s="3" t="s">
        <v>540</v>
      </c>
      <c r="E550" s="3" t="s">
        <v>736</v>
      </c>
      <c r="F550" s="42" t="s">
        <v>631</v>
      </c>
      <c r="G550" s="3" t="s">
        <v>1181</v>
      </c>
      <c r="H550" s="6">
        <v>0</v>
      </c>
      <c r="I550" s="41">
        <f>VLOOKUP(Tabla1[[#This Row],[PAGO DIA]],DIAS!A:B,2,0)</f>
        <v>46080</v>
      </c>
      <c r="J550" s="6">
        <v>0</v>
      </c>
      <c r="K550" s="43">
        <f>VLOOKUP(Tabla1[[#This Row],[PAGO DIA]],DIAS!A:C,3,0)</f>
        <v>46112</v>
      </c>
      <c r="L550" s="6">
        <v>0</v>
      </c>
      <c r="M550" s="41">
        <f>VLOOKUP(Tabla1[[#This Row],[PAGO DIA]],DIAS!A:D,4,0)</f>
        <v>46142</v>
      </c>
      <c r="N550" s="6">
        <v>0</v>
      </c>
      <c r="O550" s="43">
        <f>VLOOKUP(Tabla1[[#This Row],[PAGO DIA]],DIAS!A:E,5,0)</f>
        <v>46171</v>
      </c>
      <c r="P550" s="6">
        <v>0</v>
      </c>
      <c r="Q550" s="43">
        <f>VLOOKUP(Tabla1[[#This Row],[PAGO DIA]],DIAS!A:F,6,0)</f>
        <v>46203</v>
      </c>
      <c r="R550" s="6">
        <v>0</v>
      </c>
      <c r="S550" s="43">
        <f>VLOOKUP(Tabla1[[#This Row],[PAGO DIA]],DIAS!A:G,7,0)</f>
        <v>46234</v>
      </c>
      <c r="T550" s="6">
        <v>0</v>
      </c>
      <c r="U550" s="43">
        <f>VLOOKUP(Tabla1[[#This Row],[PAGO DIA]],DIAS!A:H,8,0)</f>
        <v>46265</v>
      </c>
      <c r="V550" s="6">
        <v>0</v>
      </c>
      <c r="W550" s="43">
        <f>VLOOKUP(Tabla1[[#This Row],[PAGO DIA]],DIAS!A:I,9,0)</f>
        <v>46295</v>
      </c>
      <c r="X550" s="6">
        <v>0</v>
      </c>
      <c r="Y550" s="43">
        <f>VLOOKUP(Tabla1[[#This Row],[PAGO DIA]],DIAS!A:J,10,0)</f>
        <v>46325</v>
      </c>
      <c r="Z550" s="6">
        <v>0</v>
      </c>
      <c r="AA550" s="43">
        <f>VLOOKUP(Tabla1[[#This Row],[PAGO DIA]],DIAS!A:K,11,0)</f>
        <v>46356</v>
      </c>
      <c r="AB550" s="6">
        <v>0</v>
      </c>
      <c r="AC550" s="43">
        <f>VLOOKUP(Tabla1[[#This Row],[PAGO DIA]],DIAS!A:M,12,0)</f>
        <v>46386</v>
      </c>
      <c r="AD5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1" spans="1:30">
      <c r="A551" s="3">
        <v>11583</v>
      </c>
      <c r="B551" s="3" t="s">
        <v>1178</v>
      </c>
      <c r="C551" s="3" t="s">
        <v>540</v>
      </c>
      <c r="D551" s="3" t="s">
        <v>540</v>
      </c>
      <c r="E551" s="3" t="s">
        <v>736</v>
      </c>
      <c r="F551" s="42" t="s">
        <v>631</v>
      </c>
      <c r="G551" s="3" t="s">
        <v>1181</v>
      </c>
      <c r="H551" s="6">
        <v>0</v>
      </c>
      <c r="I551" s="41">
        <f>VLOOKUP(Tabla1[[#This Row],[PAGO DIA]],DIAS!A:B,2,0)</f>
        <v>46080</v>
      </c>
      <c r="J551" s="6">
        <v>0</v>
      </c>
      <c r="K551" s="43">
        <f>VLOOKUP(Tabla1[[#This Row],[PAGO DIA]],DIAS!A:C,3,0)</f>
        <v>46112</v>
      </c>
      <c r="L551" s="6">
        <v>0</v>
      </c>
      <c r="M551" s="41">
        <f>VLOOKUP(Tabla1[[#This Row],[PAGO DIA]],DIAS!A:D,4,0)</f>
        <v>46142</v>
      </c>
      <c r="N551" s="6">
        <v>0</v>
      </c>
      <c r="O551" s="43">
        <f>VLOOKUP(Tabla1[[#This Row],[PAGO DIA]],DIAS!A:E,5,0)</f>
        <v>46171</v>
      </c>
      <c r="P551" s="6">
        <v>0</v>
      </c>
      <c r="Q551" s="43">
        <f>VLOOKUP(Tabla1[[#This Row],[PAGO DIA]],DIAS!A:F,6,0)</f>
        <v>46203</v>
      </c>
      <c r="R551" s="6">
        <v>0</v>
      </c>
      <c r="S551" s="43">
        <f>VLOOKUP(Tabla1[[#This Row],[PAGO DIA]],DIAS!A:G,7,0)</f>
        <v>46234</v>
      </c>
      <c r="T551" s="6">
        <v>0</v>
      </c>
      <c r="U551" s="43">
        <f>VLOOKUP(Tabla1[[#This Row],[PAGO DIA]],DIAS!A:H,8,0)</f>
        <v>46265</v>
      </c>
      <c r="V551" s="6">
        <v>0</v>
      </c>
      <c r="W551" s="43">
        <f>VLOOKUP(Tabla1[[#This Row],[PAGO DIA]],DIAS!A:I,9,0)</f>
        <v>46295</v>
      </c>
      <c r="X551" s="6">
        <v>0</v>
      </c>
      <c r="Y551" s="43">
        <f>VLOOKUP(Tabla1[[#This Row],[PAGO DIA]],DIAS!A:J,10,0)</f>
        <v>46325</v>
      </c>
      <c r="Z551" s="6">
        <v>0</v>
      </c>
      <c r="AA551" s="43">
        <f>VLOOKUP(Tabla1[[#This Row],[PAGO DIA]],DIAS!A:K,11,0)</f>
        <v>46356</v>
      </c>
      <c r="AB551" s="6">
        <v>0</v>
      </c>
      <c r="AC551" s="43">
        <f>VLOOKUP(Tabla1[[#This Row],[PAGO DIA]],DIAS!A:M,12,0)</f>
        <v>46386</v>
      </c>
      <c r="AD5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2" spans="1:30">
      <c r="A552" s="3">
        <v>11584</v>
      </c>
      <c r="B552" s="3" t="s">
        <v>1178</v>
      </c>
      <c r="C552" s="3" t="s">
        <v>540</v>
      </c>
      <c r="D552" s="3" t="s">
        <v>540</v>
      </c>
      <c r="E552" s="3" t="s">
        <v>736</v>
      </c>
      <c r="F552" s="42" t="s">
        <v>631</v>
      </c>
      <c r="G552" s="3" t="s">
        <v>1182</v>
      </c>
      <c r="H552" s="6">
        <v>0</v>
      </c>
      <c r="I552" s="41">
        <f>VLOOKUP(Tabla1[[#This Row],[PAGO DIA]],DIAS!A:B,2,0)</f>
        <v>46080</v>
      </c>
      <c r="J552" s="6">
        <v>0</v>
      </c>
      <c r="K552" s="43">
        <f>VLOOKUP(Tabla1[[#This Row],[PAGO DIA]],DIAS!A:C,3,0)</f>
        <v>46112</v>
      </c>
      <c r="L552" s="6">
        <v>0</v>
      </c>
      <c r="M552" s="41">
        <f>VLOOKUP(Tabla1[[#This Row],[PAGO DIA]],DIAS!A:D,4,0)</f>
        <v>46142</v>
      </c>
      <c r="N552" s="6">
        <v>0</v>
      </c>
      <c r="O552" s="43">
        <f>VLOOKUP(Tabla1[[#This Row],[PAGO DIA]],DIAS!A:E,5,0)</f>
        <v>46171</v>
      </c>
      <c r="P552" s="6">
        <v>0</v>
      </c>
      <c r="Q552" s="43">
        <f>VLOOKUP(Tabla1[[#This Row],[PAGO DIA]],DIAS!A:F,6,0)</f>
        <v>46203</v>
      </c>
      <c r="R552" s="6">
        <v>0</v>
      </c>
      <c r="S552" s="43">
        <f>VLOOKUP(Tabla1[[#This Row],[PAGO DIA]],DIAS!A:G,7,0)</f>
        <v>46234</v>
      </c>
      <c r="T552" s="6">
        <v>0</v>
      </c>
      <c r="U552" s="43">
        <f>VLOOKUP(Tabla1[[#This Row],[PAGO DIA]],DIAS!A:H,8,0)</f>
        <v>46265</v>
      </c>
      <c r="V552" s="6">
        <v>0</v>
      </c>
      <c r="W552" s="43">
        <f>VLOOKUP(Tabla1[[#This Row],[PAGO DIA]],DIAS!A:I,9,0)</f>
        <v>46295</v>
      </c>
      <c r="X552" s="6">
        <v>0</v>
      </c>
      <c r="Y552" s="43">
        <f>VLOOKUP(Tabla1[[#This Row],[PAGO DIA]],DIAS!A:J,10,0)</f>
        <v>46325</v>
      </c>
      <c r="Z552" s="6">
        <v>0</v>
      </c>
      <c r="AA552" s="43">
        <f>VLOOKUP(Tabla1[[#This Row],[PAGO DIA]],DIAS!A:K,11,0)</f>
        <v>46356</v>
      </c>
      <c r="AB552" s="6">
        <v>0</v>
      </c>
      <c r="AC552" s="43">
        <f>VLOOKUP(Tabla1[[#This Row],[PAGO DIA]],DIAS!A:M,12,0)</f>
        <v>46386</v>
      </c>
      <c r="AD5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3" spans="1:30">
      <c r="A553" s="3">
        <v>11586</v>
      </c>
      <c r="B553" s="3" t="s">
        <v>1178</v>
      </c>
      <c r="C553" s="3" t="s">
        <v>540</v>
      </c>
      <c r="D553" s="3" t="s">
        <v>540</v>
      </c>
      <c r="E553" s="3" t="s">
        <v>736</v>
      </c>
      <c r="F553" s="42" t="s">
        <v>631</v>
      </c>
      <c r="G553" s="3" t="s">
        <v>1182</v>
      </c>
      <c r="H553" s="6">
        <v>0</v>
      </c>
      <c r="I553" s="41">
        <f>VLOOKUP(Tabla1[[#This Row],[PAGO DIA]],DIAS!A:B,2,0)</f>
        <v>46080</v>
      </c>
      <c r="J553" s="6">
        <v>0</v>
      </c>
      <c r="K553" s="43">
        <f>VLOOKUP(Tabla1[[#This Row],[PAGO DIA]],DIAS!A:C,3,0)</f>
        <v>46112</v>
      </c>
      <c r="L553" s="6">
        <v>0</v>
      </c>
      <c r="M553" s="41">
        <f>VLOOKUP(Tabla1[[#This Row],[PAGO DIA]],DIAS!A:D,4,0)</f>
        <v>46142</v>
      </c>
      <c r="N553" s="6">
        <v>0</v>
      </c>
      <c r="O553" s="43">
        <f>VLOOKUP(Tabla1[[#This Row],[PAGO DIA]],DIAS!A:E,5,0)</f>
        <v>46171</v>
      </c>
      <c r="P553" s="6">
        <v>0</v>
      </c>
      <c r="Q553" s="43">
        <f>VLOOKUP(Tabla1[[#This Row],[PAGO DIA]],DIAS!A:F,6,0)</f>
        <v>46203</v>
      </c>
      <c r="R553" s="6">
        <v>0</v>
      </c>
      <c r="S553" s="43">
        <f>VLOOKUP(Tabla1[[#This Row],[PAGO DIA]],DIAS!A:G,7,0)</f>
        <v>46234</v>
      </c>
      <c r="T553" s="6">
        <v>0</v>
      </c>
      <c r="U553" s="43">
        <f>VLOOKUP(Tabla1[[#This Row],[PAGO DIA]],DIAS!A:H,8,0)</f>
        <v>46265</v>
      </c>
      <c r="V553" s="6">
        <v>0</v>
      </c>
      <c r="W553" s="43">
        <f>VLOOKUP(Tabla1[[#This Row],[PAGO DIA]],DIAS!A:I,9,0)</f>
        <v>46295</v>
      </c>
      <c r="X553" s="6">
        <v>0</v>
      </c>
      <c r="Y553" s="43">
        <f>VLOOKUP(Tabla1[[#This Row],[PAGO DIA]],DIAS!A:J,10,0)</f>
        <v>46325</v>
      </c>
      <c r="Z553" s="6">
        <v>0</v>
      </c>
      <c r="AA553" s="43">
        <f>VLOOKUP(Tabla1[[#This Row],[PAGO DIA]],DIAS!A:K,11,0)</f>
        <v>46356</v>
      </c>
      <c r="AB553" s="6">
        <v>0</v>
      </c>
      <c r="AC553" s="43">
        <f>VLOOKUP(Tabla1[[#This Row],[PAGO DIA]],DIAS!A:M,12,0)</f>
        <v>46386</v>
      </c>
      <c r="AD5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4" spans="1:30">
      <c r="A554" s="3">
        <v>11587</v>
      </c>
      <c r="B554" s="3" t="s">
        <v>1178</v>
      </c>
      <c r="C554" s="3" t="s">
        <v>540</v>
      </c>
      <c r="D554" s="3" t="s">
        <v>540</v>
      </c>
      <c r="E554" s="3" t="s">
        <v>736</v>
      </c>
      <c r="F554" s="42" t="s">
        <v>631</v>
      </c>
      <c r="G554" s="3" t="s">
        <v>1181</v>
      </c>
      <c r="H554" s="6">
        <v>0</v>
      </c>
      <c r="I554" s="41">
        <f>VLOOKUP(Tabla1[[#This Row],[PAGO DIA]],DIAS!A:B,2,0)</f>
        <v>46080</v>
      </c>
      <c r="J554" s="6">
        <v>0</v>
      </c>
      <c r="K554" s="43">
        <f>VLOOKUP(Tabla1[[#This Row],[PAGO DIA]],DIAS!A:C,3,0)</f>
        <v>46112</v>
      </c>
      <c r="L554" s="6">
        <v>0</v>
      </c>
      <c r="M554" s="41">
        <f>VLOOKUP(Tabla1[[#This Row],[PAGO DIA]],DIAS!A:D,4,0)</f>
        <v>46142</v>
      </c>
      <c r="N554" s="6">
        <v>0</v>
      </c>
      <c r="O554" s="43">
        <f>VLOOKUP(Tabla1[[#This Row],[PAGO DIA]],DIAS!A:E,5,0)</f>
        <v>46171</v>
      </c>
      <c r="P554" s="6">
        <v>0</v>
      </c>
      <c r="Q554" s="43">
        <f>VLOOKUP(Tabla1[[#This Row],[PAGO DIA]],DIAS!A:F,6,0)</f>
        <v>46203</v>
      </c>
      <c r="R554" s="6">
        <v>0</v>
      </c>
      <c r="S554" s="43">
        <f>VLOOKUP(Tabla1[[#This Row],[PAGO DIA]],DIAS!A:G,7,0)</f>
        <v>46234</v>
      </c>
      <c r="T554" s="6">
        <v>0</v>
      </c>
      <c r="U554" s="43">
        <f>VLOOKUP(Tabla1[[#This Row],[PAGO DIA]],DIAS!A:H,8,0)</f>
        <v>46265</v>
      </c>
      <c r="V554" s="6">
        <v>0</v>
      </c>
      <c r="W554" s="43">
        <f>VLOOKUP(Tabla1[[#This Row],[PAGO DIA]],DIAS!A:I,9,0)</f>
        <v>46295</v>
      </c>
      <c r="X554" s="6">
        <v>0</v>
      </c>
      <c r="Y554" s="43">
        <f>VLOOKUP(Tabla1[[#This Row],[PAGO DIA]],DIAS!A:J,10,0)</f>
        <v>46325</v>
      </c>
      <c r="Z554" s="6">
        <v>0</v>
      </c>
      <c r="AA554" s="43">
        <f>VLOOKUP(Tabla1[[#This Row],[PAGO DIA]],DIAS!A:K,11,0)</f>
        <v>46356</v>
      </c>
      <c r="AB554" s="6">
        <v>0</v>
      </c>
      <c r="AC554" s="43">
        <f>VLOOKUP(Tabla1[[#This Row],[PAGO DIA]],DIAS!A:M,12,0)</f>
        <v>46386</v>
      </c>
      <c r="AD5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5" spans="1:30">
      <c r="A555" s="3">
        <v>11588</v>
      </c>
      <c r="B555" s="3" t="s">
        <v>1178</v>
      </c>
      <c r="C555" s="3" t="s">
        <v>540</v>
      </c>
      <c r="D555" s="3" t="s">
        <v>540</v>
      </c>
      <c r="E555" s="3" t="s">
        <v>736</v>
      </c>
      <c r="F555" s="42" t="s">
        <v>631</v>
      </c>
      <c r="G555" s="3" t="s">
        <v>1181</v>
      </c>
      <c r="H555" s="6">
        <v>0</v>
      </c>
      <c r="I555" s="41">
        <f>VLOOKUP(Tabla1[[#This Row],[PAGO DIA]],DIAS!A:B,2,0)</f>
        <v>46080</v>
      </c>
      <c r="J555" s="6">
        <v>0</v>
      </c>
      <c r="K555" s="43">
        <f>VLOOKUP(Tabla1[[#This Row],[PAGO DIA]],DIAS!A:C,3,0)</f>
        <v>46112</v>
      </c>
      <c r="L555" s="6">
        <v>0</v>
      </c>
      <c r="M555" s="41">
        <f>VLOOKUP(Tabla1[[#This Row],[PAGO DIA]],DIAS!A:D,4,0)</f>
        <v>46142</v>
      </c>
      <c r="N555" s="6">
        <v>0</v>
      </c>
      <c r="O555" s="43">
        <f>VLOOKUP(Tabla1[[#This Row],[PAGO DIA]],DIAS!A:E,5,0)</f>
        <v>46171</v>
      </c>
      <c r="P555" s="6">
        <v>0</v>
      </c>
      <c r="Q555" s="43">
        <f>VLOOKUP(Tabla1[[#This Row],[PAGO DIA]],DIAS!A:F,6,0)</f>
        <v>46203</v>
      </c>
      <c r="R555" s="6">
        <v>0</v>
      </c>
      <c r="S555" s="43">
        <f>VLOOKUP(Tabla1[[#This Row],[PAGO DIA]],DIAS!A:G,7,0)</f>
        <v>46234</v>
      </c>
      <c r="T555" s="6">
        <v>0</v>
      </c>
      <c r="U555" s="43">
        <f>VLOOKUP(Tabla1[[#This Row],[PAGO DIA]],DIAS!A:H,8,0)</f>
        <v>46265</v>
      </c>
      <c r="V555" s="6">
        <v>0</v>
      </c>
      <c r="W555" s="43">
        <f>VLOOKUP(Tabla1[[#This Row],[PAGO DIA]],DIAS!A:I,9,0)</f>
        <v>46295</v>
      </c>
      <c r="X555" s="6">
        <v>0</v>
      </c>
      <c r="Y555" s="43">
        <f>VLOOKUP(Tabla1[[#This Row],[PAGO DIA]],DIAS!A:J,10,0)</f>
        <v>46325</v>
      </c>
      <c r="Z555" s="6">
        <v>0</v>
      </c>
      <c r="AA555" s="43">
        <f>VLOOKUP(Tabla1[[#This Row],[PAGO DIA]],DIAS!A:K,11,0)</f>
        <v>46356</v>
      </c>
      <c r="AB555" s="6">
        <v>0</v>
      </c>
      <c r="AC555" s="43">
        <f>VLOOKUP(Tabla1[[#This Row],[PAGO DIA]],DIAS!A:M,12,0)</f>
        <v>46386</v>
      </c>
      <c r="AD5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6" spans="1:30">
      <c r="A556" s="3">
        <v>11589</v>
      </c>
      <c r="B556" s="3" t="s">
        <v>1178</v>
      </c>
      <c r="C556" s="3" t="s">
        <v>1179</v>
      </c>
      <c r="D556" s="3" t="s">
        <v>540</v>
      </c>
      <c r="E556" s="3" t="s">
        <v>736</v>
      </c>
      <c r="F556" s="42" t="s">
        <v>631</v>
      </c>
      <c r="G556" s="3" t="s">
        <v>1181</v>
      </c>
      <c r="H556" s="6">
        <v>0</v>
      </c>
      <c r="I556" s="41">
        <f>VLOOKUP(Tabla1[[#This Row],[PAGO DIA]],DIAS!A:B,2,0)</f>
        <v>46080</v>
      </c>
      <c r="J556" s="6">
        <v>0</v>
      </c>
      <c r="K556" s="43">
        <f>VLOOKUP(Tabla1[[#This Row],[PAGO DIA]],DIAS!A:C,3,0)</f>
        <v>46112</v>
      </c>
      <c r="L556" s="6">
        <v>0</v>
      </c>
      <c r="M556" s="41">
        <f>VLOOKUP(Tabla1[[#This Row],[PAGO DIA]],DIAS!A:D,4,0)</f>
        <v>46142</v>
      </c>
      <c r="N556" s="6">
        <v>0</v>
      </c>
      <c r="O556" s="43">
        <f>VLOOKUP(Tabla1[[#This Row],[PAGO DIA]],DIAS!A:E,5,0)</f>
        <v>46171</v>
      </c>
      <c r="P556" s="6">
        <v>0</v>
      </c>
      <c r="Q556" s="43">
        <f>VLOOKUP(Tabla1[[#This Row],[PAGO DIA]],DIAS!A:F,6,0)</f>
        <v>46203</v>
      </c>
      <c r="R556" s="6">
        <v>0</v>
      </c>
      <c r="S556" s="43">
        <f>VLOOKUP(Tabla1[[#This Row],[PAGO DIA]],DIAS!A:G,7,0)</f>
        <v>46234</v>
      </c>
      <c r="T556" s="6">
        <v>0</v>
      </c>
      <c r="U556" s="43">
        <f>VLOOKUP(Tabla1[[#This Row],[PAGO DIA]],DIAS!A:H,8,0)</f>
        <v>46265</v>
      </c>
      <c r="V556" s="6">
        <v>0</v>
      </c>
      <c r="W556" s="43">
        <f>VLOOKUP(Tabla1[[#This Row],[PAGO DIA]],DIAS!A:I,9,0)</f>
        <v>46295</v>
      </c>
      <c r="X556" s="6">
        <v>0</v>
      </c>
      <c r="Y556" s="43">
        <f>VLOOKUP(Tabla1[[#This Row],[PAGO DIA]],DIAS!A:J,10,0)</f>
        <v>46325</v>
      </c>
      <c r="Z556" s="6">
        <v>0</v>
      </c>
      <c r="AA556" s="43">
        <f>VLOOKUP(Tabla1[[#This Row],[PAGO DIA]],DIAS!A:K,11,0)</f>
        <v>46356</v>
      </c>
      <c r="AB556" s="6">
        <v>0</v>
      </c>
      <c r="AC556" s="43">
        <f>VLOOKUP(Tabla1[[#This Row],[PAGO DIA]],DIAS!A:M,12,0)</f>
        <v>46386</v>
      </c>
      <c r="AD5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7" spans="1:30">
      <c r="A557" s="3">
        <v>11597</v>
      </c>
      <c r="B557" s="3" t="s">
        <v>1178</v>
      </c>
      <c r="C557" s="3" t="s">
        <v>540</v>
      </c>
      <c r="D557" s="3" t="s">
        <v>540</v>
      </c>
      <c r="E557" s="3" t="s">
        <v>745</v>
      </c>
      <c r="F557" s="42" t="s">
        <v>631</v>
      </c>
      <c r="G557" s="3" t="s">
        <v>1183</v>
      </c>
      <c r="H557" s="6">
        <v>0</v>
      </c>
      <c r="I557" s="41">
        <f>VLOOKUP(Tabla1[[#This Row],[PAGO DIA]],DIAS!A:B,2,0)</f>
        <v>46080</v>
      </c>
      <c r="J557" s="6">
        <v>0</v>
      </c>
      <c r="K557" s="43">
        <f>VLOOKUP(Tabla1[[#This Row],[PAGO DIA]],DIAS!A:C,3,0)</f>
        <v>46112</v>
      </c>
      <c r="L557" s="6">
        <v>0</v>
      </c>
      <c r="M557" s="41">
        <f>VLOOKUP(Tabla1[[#This Row],[PAGO DIA]],DIAS!A:D,4,0)</f>
        <v>46142</v>
      </c>
      <c r="N557" s="6">
        <v>0</v>
      </c>
      <c r="O557" s="43">
        <f>VLOOKUP(Tabla1[[#This Row],[PAGO DIA]],DIAS!A:E,5,0)</f>
        <v>46171</v>
      </c>
      <c r="P557" s="6">
        <v>0</v>
      </c>
      <c r="Q557" s="43">
        <f>VLOOKUP(Tabla1[[#This Row],[PAGO DIA]],DIAS!A:F,6,0)</f>
        <v>46203</v>
      </c>
      <c r="R557" s="6">
        <v>0</v>
      </c>
      <c r="S557" s="43">
        <f>VLOOKUP(Tabla1[[#This Row],[PAGO DIA]],DIAS!A:G,7,0)</f>
        <v>46234</v>
      </c>
      <c r="T557" s="6">
        <v>0</v>
      </c>
      <c r="U557" s="43">
        <f>VLOOKUP(Tabla1[[#This Row],[PAGO DIA]],DIAS!A:H,8,0)</f>
        <v>46265</v>
      </c>
      <c r="V557" s="6">
        <v>0</v>
      </c>
      <c r="W557" s="43">
        <f>VLOOKUP(Tabla1[[#This Row],[PAGO DIA]],DIAS!A:I,9,0)</f>
        <v>46295</v>
      </c>
      <c r="X557" s="6">
        <v>0</v>
      </c>
      <c r="Y557" s="43">
        <f>VLOOKUP(Tabla1[[#This Row],[PAGO DIA]],DIAS!A:J,10,0)</f>
        <v>46325</v>
      </c>
      <c r="Z557" s="6">
        <v>0</v>
      </c>
      <c r="AA557" s="43">
        <f>VLOOKUP(Tabla1[[#This Row],[PAGO DIA]],DIAS!A:K,11,0)</f>
        <v>46356</v>
      </c>
      <c r="AB557" s="6">
        <v>0</v>
      </c>
      <c r="AC557" s="43">
        <f>VLOOKUP(Tabla1[[#This Row],[PAGO DIA]],DIAS!A:M,12,0)</f>
        <v>46386</v>
      </c>
      <c r="AD5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8" spans="1:30">
      <c r="A558" s="3">
        <v>11645</v>
      </c>
      <c r="B558" s="3" t="s">
        <v>1178</v>
      </c>
      <c r="C558" s="3" t="s">
        <v>1179</v>
      </c>
      <c r="D558" s="3" t="s">
        <v>1180</v>
      </c>
      <c r="E558" s="3" t="s">
        <v>581</v>
      </c>
      <c r="F558" s="42" t="s">
        <v>631</v>
      </c>
      <c r="G558" s="3" t="s">
        <v>635</v>
      </c>
      <c r="H558" s="6">
        <v>0</v>
      </c>
      <c r="I558" s="41">
        <f>VLOOKUP(Tabla1[[#This Row],[PAGO DIA]],DIAS!A:B,2,0)</f>
        <v>46080</v>
      </c>
      <c r="J558" s="6">
        <v>0</v>
      </c>
      <c r="K558" s="43">
        <f>VLOOKUP(Tabla1[[#This Row],[PAGO DIA]],DIAS!A:C,3,0)</f>
        <v>46112</v>
      </c>
      <c r="L558" s="6">
        <v>0</v>
      </c>
      <c r="M558" s="41">
        <f>VLOOKUP(Tabla1[[#This Row],[PAGO DIA]],DIAS!A:D,4,0)</f>
        <v>46142</v>
      </c>
      <c r="N558" s="6">
        <v>0</v>
      </c>
      <c r="O558" s="43">
        <f>VLOOKUP(Tabla1[[#This Row],[PAGO DIA]],DIAS!A:E,5,0)</f>
        <v>46171</v>
      </c>
      <c r="P558" s="6">
        <v>0</v>
      </c>
      <c r="Q558" s="43">
        <f>VLOOKUP(Tabla1[[#This Row],[PAGO DIA]],DIAS!A:F,6,0)</f>
        <v>46203</v>
      </c>
      <c r="R558" s="6">
        <v>0</v>
      </c>
      <c r="S558" s="43">
        <f>VLOOKUP(Tabla1[[#This Row],[PAGO DIA]],DIAS!A:G,7,0)</f>
        <v>46234</v>
      </c>
      <c r="T558" s="6">
        <v>0</v>
      </c>
      <c r="U558" s="43">
        <f>VLOOKUP(Tabla1[[#This Row],[PAGO DIA]],DIAS!A:H,8,0)</f>
        <v>46265</v>
      </c>
      <c r="V558" s="6">
        <v>0</v>
      </c>
      <c r="W558" s="43">
        <f>VLOOKUP(Tabla1[[#This Row],[PAGO DIA]],DIAS!A:I,9,0)</f>
        <v>46295</v>
      </c>
      <c r="X558" s="6">
        <v>0</v>
      </c>
      <c r="Y558" s="43">
        <f>VLOOKUP(Tabla1[[#This Row],[PAGO DIA]],DIAS!A:J,10,0)</f>
        <v>46325</v>
      </c>
      <c r="Z558" s="6">
        <v>0</v>
      </c>
      <c r="AA558" s="43">
        <f>VLOOKUP(Tabla1[[#This Row],[PAGO DIA]],DIAS!A:K,11,0)</f>
        <v>46356</v>
      </c>
      <c r="AB558" s="6">
        <v>0</v>
      </c>
      <c r="AC558" s="43">
        <f>VLOOKUP(Tabla1[[#This Row],[PAGO DIA]],DIAS!A:M,12,0)</f>
        <v>46386</v>
      </c>
      <c r="AD5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59" spans="1:30">
      <c r="A559" s="3">
        <v>11646</v>
      </c>
      <c r="B559" s="3" t="s">
        <v>1178</v>
      </c>
      <c r="C559" s="3"/>
      <c r="D559" s="3" t="s">
        <v>1180</v>
      </c>
      <c r="E559" s="3" t="s">
        <v>581</v>
      </c>
      <c r="F559" s="42" t="s">
        <v>631</v>
      </c>
      <c r="G559" s="3" t="s">
        <v>639</v>
      </c>
      <c r="H559" s="6">
        <v>0</v>
      </c>
      <c r="I559" s="41">
        <f>VLOOKUP(Tabla1[[#This Row],[PAGO DIA]],DIAS!A:B,2,0)</f>
        <v>46080</v>
      </c>
      <c r="J559" s="6">
        <v>0</v>
      </c>
      <c r="K559" s="43">
        <f>VLOOKUP(Tabla1[[#This Row],[PAGO DIA]],DIAS!A:C,3,0)</f>
        <v>46112</v>
      </c>
      <c r="L559" s="6">
        <v>0</v>
      </c>
      <c r="M559" s="41">
        <f>VLOOKUP(Tabla1[[#This Row],[PAGO DIA]],DIAS!A:D,4,0)</f>
        <v>46142</v>
      </c>
      <c r="N559" s="6">
        <v>0</v>
      </c>
      <c r="O559" s="43">
        <f>VLOOKUP(Tabla1[[#This Row],[PAGO DIA]],DIAS!A:E,5,0)</f>
        <v>46171</v>
      </c>
      <c r="P559" s="6">
        <v>0</v>
      </c>
      <c r="Q559" s="43">
        <f>VLOOKUP(Tabla1[[#This Row],[PAGO DIA]],DIAS!A:F,6,0)</f>
        <v>46203</v>
      </c>
      <c r="R559" s="6">
        <v>0</v>
      </c>
      <c r="S559" s="43">
        <f>VLOOKUP(Tabla1[[#This Row],[PAGO DIA]],DIAS!A:G,7,0)</f>
        <v>46234</v>
      </c>
      <c r="T559" s="6">
        <v>0</v>
      </c>
      <c r="U559" s="43">
        <f>VLOOKUP(Tabla1[[#This Row],[PAGO DIA]],DIAS!A:H,8,0)</f>
        <v>46265</v>
      </c>
      <c r="V559" s="6">
        <v>0</v>
      </c>
      <c r="W559" s="43">
        <f>VLOOKUP(Tabla1[[#This Row],[PAGO DIA]],DIAS!A:I,9,0)</f>
        <v>46295</v>
      </c>
      <c r="X559" s="6">
        <v>0</v>
      </c>
      <c r="Y559" s="43">
        <f>VLOOKUP(Tabla1[[#This Row],[PAGO DIA]],DIAS!A:J,10,0)</f>
        <v>46325</v>
      </c>
      <c r="Z559" s="6">
        <v>0</v>
      </c>
      <c r="AA559" s="43">
        <f>VLOOKUP(Tabla1[[#This Row],[PAGO DIA]],DIAS!A:K,11,0)</f>
        <v>46356</v>
      </c>
      <c r="AB559" s="6">
        <v>0</v>
      </c>
      <c r="AC559" s="43">
        <f>VLOOKUP(Tabla1[[#This Row],[PAGO DIA]],DIAS!A:M,12,0)</f>
        <v>46386</v>
      </c>
      <c r="AD5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0" spans="1:30">
      <c r="A560" s="3">
        <v>11652</v>
      </c>
      <c r="B560" s="3" t="s">
        <v>1178</v>
      </c>
      <c r="C560" s="3" t="s">
        <v>540</v>
      </c>
      <c r="D560" s="3" t="s">
        <v>540</v>
      </c>
      <c r="E560" s="3" t="s">
        <v>775</v>
      </c>
      <c r="F560" s="42" t="s">
        <v>631</v>
      </c>
      <c r="G560" s="3" t="s">
        <v>1184</v>
      </c>
      <c r="H560" s="6">
        <v>0</v>
      </c>
      <c r="I560" s="41">
        <f>VLOOKUP(Tabla1[[#This Row],[PAGO DIA]],DIAS!A:B,2,0)</f>
        <v>46080</v>
      </c>
      <c r="J560" s="6">
        <v>0</v>
      </c>
      <c r="K560" s="43">
        <f>VLOOKUP(Tabla1[[#This Row],[PAGO DIA]],DIAS!A:C,3,0)</f>
        <v>46112</v>
      </c>
      <c r="L560" s="6">
        <v>0</v>
      </c>
      <c r="M560" s="41">
        <f>VLOOKUP(Tabla1[[#This Row],[PAGO DIA]],DIAS!A:D,4,0)</f>
        <v>46142</v>
      </c>
      <c r="N560" s="6">
        <v>0</v>
      </c>
      <c r="O560" s="43">
        <f>VLOOKUP(Tabla1[[#This Row],[PAGO DIA]],DIAS!A:E,5,0)</f>
        <v>46171</v>
      </c>
      <c r="P560" s="6">
        <v>0</v>
      </c>
      <c r="Q560" s="43">
        <f>VLOOKUP(Tabla1[[#This Row],[PAGO DIA]],DIAS!A:F,6,0)</f>
        <v>46203</v>
      </c>
      <c r="R560" s="6">
        <v>0</v>
      </c>
      <c r="S560" s="43">
        <f>VLOOKUP(Tabla1[[#This Row],[PAGO DIA]],DIAS!A:G,7,0)</f>
        <v>46234</v>
      </c>
      <c r="T560" s="6">
        <v>0</v>
      </c>
      <c r="U560" s="43">
        <f>VLOOKUP(Tabla1[[#This Row],[PAGO DIA]],DIAS!A:H,8,0)</f>
        <v>46265</v>
      </c>
      <c r="V560" s="6">
        <v>0</v>
      </c>
      <c r="W560" s="43">
        <f>VLOOKUP(Tabla1[[#This Row],[PAGO DIA]],DIAS!A:I,9,0)</f>
        <v>46295</v>
      </c>
      <c r="X560" s="6">
        <v>0</v>
      </c>
      <c r="Y560" s="43">
        <f>VLOOKUP(Tabla1[[#This Row],[PAGO DIA]],DIAS!A:J,10,0)</f>
        <v>46325</v>
      </c>
      <c r="Z560" s="6">
        <v>0</v>
      </c>
      <c r="AA560" s="43">
        <f>VLOOKUP(Tabla1[[#This Row],[PAGO DIA]],DIAS!A:K,11,0)</f>
        <v>46356</v>
      </c>
      <c r="AB560" s="6">
        <v>0</v>
      </c>
      <c r="AC560" s="43">
        <f>VLOOKUP(Tabla1[[#This Row],[PAGO DIA]],DIAS!A:M,12,0)</f>
        <v>46386</v>
      </c>
      <c r="AD5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1" spans="1:30">
      <c r="A561" s="3">
        <v>11654</v>
      </c>
      <c r="B561" s="3" t="s">
        <v>1178</v>
      </c>
      <c r="C561" s="3" t="s">
        <v>1179</v>
      </c>
      <c r="D561" s="3" t="s">
        <v>1180</v>
      </c>
      <c r="E561" s="3" t="s">
        <v>775</v>
      </c>
      <c r="F561" s="42" t="s">
        <v>631</v>
      </c>
      <c r="G561" s="3" t="s">
        <v>635</v>
      </c>
      <c r="H561" s="6">
        <v>0</v>
      </c>
      <c r="I561" s="41">
        <f>VLOOKUP(Tabla1[[#This Row],[PAGO DIA]],DIAS!A:B,2,0)</f>
        <v>46080</v>
      </c>
      <c r="J561" s="6">
        <v>0</v>
      </c>
      <c r="K561" s="43">
        <f>VLOOKUP(Tabla1[[#This Row],[PAGO DIA]],DIAS!A:C,3,0)</f>
        <v>46112</v>
      </c>
      <c r="L561" s="6">
        <v>0</v>
      </c>
      <c r="M561" s="41">
        <f>VLOOKUP(Tabla1[[#This Row],[PAGO DIA]],DIAS!A:D,4,0)</f>
        <v>46142</v>
      </c>
      <c r="N561" s="6">
        <v>0</v>
      </c>
      <c r="O561" s="43">
        <f>VLOOKUP(Tabla1[[#This Row],[PAGO DIA]],DIAS!A:E,5,0)</f>
        <v>46171</v>
      </c>
      <c r="P561" s="6">
        <v>0</v>
      </c>
      <c r="Q561" s="43">
        <f>VLOOKUP(Tabla1[[#This Row],[PAGO DIA]],DIAS!A:F,6,0)</f>
        <v>46203</v>
      </c>
      <c r="R561" s="6">
        <v>0</v>
      </c>
      <c r="S561" s="43">
        <f>VLOOKUP(Tabla1[[#This Row],[PAGO DIA]],DIAS!A:G,7,0)</f>
        <v>46234</v>
      </c>
      <c r="T561" s="6">
        <v>0</v>
      </c>
      <c r="U561" s="43">
        <f>VLOOKUP(Tabla1[[#This Row],[PAGO DIA]],DIAS!A:H,8,0)</f>
        <v>46265</v>
      </c>
      <c r="V561" s="6">
        <v>0</v>
      </c>
      <c r="W561" s="43">
        <f>VLOOKUP(Tabla1[[#This Row],[PAGO DIA]],DIAS!A:I,9,0)</f>
        <v>46295</v>
      </c>
      <c r="X561" s="6">
        <v>0</v>
      </c>
      <c r="Y561" s="43">
        <f>VLOOKUP(Tabla1[[#This Row],[PAGO DIA]],DIAS!A:J,10,0)</f>
        <v>46325</v>
      </c>
      <c r="Z561" s="6">
        <v>0</v>
      </c>
      <c r="AA561" s="43">
        <f>VLOOKUP(Tabla1[[#This Row],[PAGO DIA]],DIAS!A:K,11,0)</f>
        <v>46356</v>
      </c>
      <c r="AB561" s="6">
        <v>0</v>
      </c>
      <c r="AC561" s="43">
        <f>VLOOKUP(Tabla1[[#This Row],[PAGO DIA]],DIAS!A:M,12,0)</f>
        <v>46386</v>
      </c>
      <c r="AD5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2" spans="1:30">
      <c r="A562" s="3">
        <v>12081</v>
      </c>
      <c r="B562" s="3" t="s">
        <v>1178</v>
      </c>
      <c r="C562" s="3" t="s">
        <v>540</v>
      </c>
      <c r="D562" s="3" t="s">
        <v>540</v>
      </c>
      <c r="E562" s="3" t="s">
        <v>1185</v>
      </c>
      <c r="F562" s="42" t="s">
        <v>631</v>
      </c>
      <c r="G562" s="3" t="s">
        <v>1186</v>
      </c>
      <c r="H562" s="6">
        <v>0</v>
      </c>
      <c r="I562" s="41">
        <f>VLOOKUP(Tabla1[[#This Row],[PAGO DIA]],DIAS!A:B,2,0)</f>
        <v>46080</v>
      </c>
      <c r="J562" s="6">
        <v>0</v>
      </c>
      <c r="K562" s="43">
        <f>VLOOKUP(Tabla1[[#This Row],[PAGO DIA]],DIAS!A:C,3,0)</f>
        <v>46112</v>
      </c>
      <c r="L562" s="6">
        <v>0</v>
      </c>
      <c r="M562" s="41">
        <f>VLOOKUP(Tabla1[[#This Row],[PAGO DIA]],DIAS!A:D,4,0)</f>
        <v>46142</v>
      </c>
      <c r="N562" s="6">
        <v>0</v>
      </c>
      <c r="O562" s="43">
        <f>VLOOKUP(Tabla1[[#This Row],[PAGO DIA]],DIAS!A:E,5,0)</f>
        <v>46171</v>
      </c>
      <c r="P562" s="6">
        <v>0</v>
      </c>
      <c r="Q562" s="43">
        <f>VLOOKUP(Tabla1[[#This Row],[PAGO DIA]],DIAS!A:F,6,0)</f>
        <v>46203</v>
      </c>
      <c r="R562" s="6">
        <v>0</v>
      </c>
      <c r="S562" s="43">
        <f>VLOOKUP(Tabla1[[#This Row],[PAGO DIA]],DIAS!A:G,7,0)</f>
        <v>46234</v>
      </c>
      <c r="T562" s="6">
        <v>0</v>
      </c>
      <c r="U562" s="43">
        <f>VLOOKUP(Tabla1[[#This Row],[PAGO DIA]],DIAS!A:H,8,0)</f>
        <v>46265</v>
      </c>
      <c r="V562" s="6">
        <v>0</v>
      </c>
      <c r="W562" s="43">
        <f>VLOOKUP(Tabla1[[#This Row],[PAGO DIA]],DIAS!A:I,9,0)</f>
        <v>46295</v>
      </c>
      <c r="X562" s="6">
        <v>0</v>
      </c>
      <c r="Y562" s="43">
        <f>VLOOKUP(Tabla1[[#This Row],[PAGO DIA]],DIAS!A:J,10,0)</f>
        <v>46325</v>
      </c>
      <c r="Z562" s="6">
        <v>0</v>
      </c>
      <c r="AA562" s="43">
        <f>VLOOKUP(Tabla1[[#This Row],[PAGO DIA]],DIAS!A:K,11,0)</f>
        <v>46356</v>
      </c>
      <c r="AB562" s="6">
        <v>0</v>
      </c>
      <c r="AC562" s="43">
        <f>VLOOKUP(Tabla1[[#This Row],[PAGO DIA]],DIAS!A:M,12,0)</f>
        <v>46386</v>
      </c>
      <c r="AD5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3" spans="1:30">
      <c r="A563" s="3">
        <v>12082</v>
      </c>
      <c r="B563" s="3" t="s">
        <v>1178</v>
      </c>
      <c r="C563" s="3" t="s">
        <v>540</v>
      </c>
      <c r="D563" s="3" t="s">
        <v>540</v>
      </c>
      <c r="E563" s="3" t="s">
        <v>1185</v>
      </c>
      <c r="F563" s="42" t="s">
        <v>631</v>
      </c>
      <c r="G563" s="3" t="s">
        <v>1186</v>
      </c>
      <c r="H563" s="6">
        <v>0</v>
      </c>
      <c r="I563" s="41">
        <f>VLOOKUP(Tabla1[[#This Row],[PAGO DIA]],DIAS!A:B,2,0)</f>
        <v>46080</v>
      </c>
      <c r="J563" s="6">
        <v>0</v>
      </c>
      <c r="K563" s="43">
        <f>VLOOKUP(Tabla1[[#This Row],[PAGO DIA]],DIAS!A:C,3,0)</f>
        <v>46112</v>
      </c>
      <c r="L563" s="6">
        <v>0</v>
      </c>
      <c r="M563" s="41">
        <f>VLOOKUP(Tabla1[[#This Row],[PAGO DIA]],DIAS!A:D,4,0)</f>
        <v>46142</v>
      </c>
      <c r="N563" s="6">
        <v>0</v>
      </c>
      <c r="O563" s="43">
        <f>VLOOKUP(Tabla1[[#This Row],[PAGO DIA]],DIAS!A:E,5,0)</f>
        <v>46171</v>
      </c>
      <c r="P563" s="6">
        <v>0</v>
      </c>
      <c r="Q563" s="43">
        <f>VLOOKUP(Tabla1[[#This Row],[PAGO DIA]],DIAS!A:F,6,0)</f>
        <v>46203</v>
      </c>
      <c r="R563" s="6">
        <v>0</v>
      </c>
      <c r="S563" s="43">
        <f>VLOOKUP(Tabla1[[#This Row],[PAGO DIA]],DIAS!A:G,7,0)</f>
        <v>46234</v>
      </c>
      <c r="T563" s="6">
        <v>0</v>
      </c>
      <c r="U563" s="43">
        <f>VLOOKUP(Tabla1[[#This Row],[PAGO DIA]],DIAS!A:H,8,0)</f>
        <v>46265</v>
      </c>
      <c r="V563" s="6">
        <v>0</v>
      </c>
      <c r="W563" s="43">
        <f>VLOOKUP(Tabla1[[#This Row],[PAGO DIA]],DIAS!A:I,9,0)</f>
        <v>46295</v>
      </c>
      <c r="X563" s="6">
        <v>0</v>
      </c>
      <c r="Y563" s="43">
        <f>VLOOKUP(Tabla1[[#This Row],[PAGO DIA]],DIAS!A:J,10,0)</f>
        <v>46325</v>
      </c>
      <c r="Z563" s="6">
        <v>0</v>
      </c>
      <c r="AA563" s="43">
        <f>VLOOKUP(Tabla1[[#This Row],[PAGO DIA]],DIAS!A:K,11,0)</f>
        <v>46356</v>
      </c>
      <c r="AB563" s="6">
        <v>0</v>
      </c>
      <c r="AC563" s="43">
        <f>VLOOKUP(Tabla1[[#This Row],[PAGO DIA]],DIAS!A:M,12,0)</f>
        <v>46386</v>
      </c>
      <c r="AD5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4" spans="1:30">
      <c r="A564" s="3">
        <v>12083</v>
      </c>
      <c r="B564" s="3" t="s">
        <v>1178</v>
      </c>
      <c r="C564" s="3" t="s">
        <v>540</v>
      </c>
      <c r="D564" s="3" t="s">
        <v>540</v>
      </c>
      <c r="E564" s="3" t="s">
        <v>1187</v>
      </c>
      <c r="F564" s="42" t="s">
        <v>631</v>
      </c>
      <c r="G564" s="3" t="s">
        <v>1188</v>
      </c>
      <c r="H564" s="6">
        <v>0</v>
      </c>
      <c r="I564" s="41">
        <f>VLOOKUP(Tabla1[[#This Row],[PAGO DIA]],DIAS!A:B,2,0)</f>
        <v>46080</v>
      </c>
      <c r="J564" s="6">
        <v>0</v>
      </c>
      <c r="K564" s="43">
        <f>VLOOKUP(Tabla1[[#This Row],[PAGO DIA]],DIAS!A:C,3,0)</f>
        <v>46112</v>
      </c>
      <c r="L564" s="6">
        <v>0</v>
      </c>
      <c r="M564" s="41">
        <f>VLOOKUP(Tabla1[[#This Row],[PAGO DIA]],DIAS!A:D,4,0)</f>
        <v>46142</v>
      </c>
      <c r="N564" s="6">
        <v>0</v>
      </c>
      <c r="O564" s="43">
        <f>VLOOKUP(Tabla1[[#This Row],[PAGO DIA]],DIAS!A:E,5,0)</f>
        <v>46171</v>
      </c>
      <c r="P564" s="6">
        <v>0</v>
      </c>
      <c r="Q564" s="43">
        <f>VLOOKUP(Tabla1[[#This Row],[PAGO DIA]],DIAS!A:F,6,0)</f>
        <v>46203</v>
      </c>
      <c r="R564" s="6">
        <v>0</v>
      </c>
      <c r="S564" s="43">
        <f>VLOOKUP(Tabla1[[#This Row],[PAGO DIA]],DIAS!A:G,7,0)</f>
        <v>46234</v>
      </c>
      <c r="T564" s="6">
        <v>0</v>
      </c>
      <c r="U564" s="43">
        <f>VLOOKUP(Tabla1[[#This Row],[PAGO DIA]],DIAS!A:H,8,0)</f>
        <v>46265</v>
      </c>
      <c r="V564" s="6">
        <v>0</v>
      </c>
      <c r="W564" s="43">
        <f>VLOOKUP(Tabla1[[#This Row],[PAGO DIA]],DIAS!A:I,9,0)</f>
        <v>46295</v>
      </c>
      <c r="X564" s="6">
        <v>0</v>
      </c>
      <c r="Y564" s="43">
        <f>VLOOKUP(Tabla1[[#This Row],[PAGO DIA]],DIAS!A:J,10,0)</f>
        <v>46325</v>
      </c>
      <c r="Z564" s="6">
        <v>0</v>
      </c>
      <c r="AA564" s="43">
        <f>VLOOKUP(Tabla1[[#This Row],[PAGO DIA]],DIAS!A:K,11,0)</f>
        <v>46356</v>
      </c>
      <c r="AB564" s="6">
        <v>0</v>
      </c>
      <c r="AC564" s="43">
        <f>VLOOKUP(Tabla1[[#This Row],[PAGO DIA]],DIAS!A:M,12,0)</f>
        <v>46386</v>
      </c>
      <c r="AD5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5" spans="1:30">
      <c r="A565" s="3">
        <v>12084</v>
      </c>
      <c r="B565" s="3" t="s">
        <v>1178</v>
      </c>
      <c r="C565" s="3" t="s">
        <v>540</v>
      </c>
      <c r="D565" s="3" t="s">
        <v>540</v>
      </c>
      <c r="E565" s="3" t="s">
        <v>1187</v>
      </c>
      <c r="F565" s="42" t="s">
        <v>631</v>
      </c>
      <c r="G565" s="3" t="s">
        <v>1188</v>
      </c>
      <c r="H565" s="6">
        <v>0</v>
      </c>
      <c r="I565" s="41">
        <f>VLOOKUP(Tabla1[[#This Row],[PAGO DIA]],DIAS!A:B,2,0)</f>
        <v>46080</v>
      </c>
      <c r="J565" s="6">
        <v>0</v>
      </c>
      <c r="K565" s="43">
        <f>VLOOKUP(Tabla1[[#This Row],[PAGO DIA]],DIAS!A:C,3,0)</f>
        <v>46112</v>
      </c>
      <c r="L565" s="6">
        <v>0</v>
      </c>
      <c r="M565" s="41">
        <f>VLOOKUP(Tabla1[[#This Row],[PAGO DIA]],DIAS!A:D,4,0)</f>
        <v>46142</v>
      </c>
      <c r="N565" s="6">
        <v>0</v>
      </c>
      <c r="O565" s="43">
        <f>VLOOKUP(Tabla1[[#This Row],[PAGO DIA]],DIAS!A:E,5,0)</f>
        <v>46171</v>
      </c>
      <c r="P565" s="6">
        <v>0</v>
      </c>
      <c r="Q565" s="43">
        <f>VLOOKUP(Tabla1[[#This Row],[PAGO DIA]],DIAS!A:F,6,0)</f>
        <v>46203</v>
      </c>
      <c r="R565" s="6">
        <v>0</v>
      </c>
      <c r="S565" s="43">
        <f>VLOOKUP(Tabla1[[#This Row],[PAGO DIA]],DIAS!A:G,7,0)</f>
        <v>46234</v>
      </c>
      <c r="T565" s="6">
        <v>0</v>
      </c>
      <c r="U565" s="43">
        <f>VLOOKUP(Tabla1[[#This Row],[PAGO DIA]],DIAS!A:H,8,0)</f>
        <v>46265</v>
      </c>
      <c r="V565" s="6">
        <v>0</v>
      </c>
      <c r="W565" s="43">
        <f>VLOOKUP(Tabla1[[#This Row],[PAGO DIA]],DIAS!A:I,9,0)</f>
        <v>46295</v>
      </c>
      <c r="X565" s="6">
        <v>0</v>
      </c>
      <c r="Y565" s="43">
        <f>VLOOKUP(Tabla1[[#This Row],[PAGO DIA]],DIAS!A:J,10,0)</f>
        <v>46325</v>
      </c>
      <c r="Z565" s="6">
        <v>0</v>
      </c>
      <c r="AA565" s="43">
        <f>VLOOKUP(Tabla1[[#This Row],[PAGO DIA]],DIAS!A:K,11,0)</f>
        <v>46356</v>
      </c>
      <c r="AB565" s="6">
        <v>0</v>
      </c>
      <c r="AC565" s="43">
        <f>VLOOKUP(Tabla1[[#This Row],[PAGO DIA]],DIAS!A:M,12,0)</f>
        <v>46386</v>
      </c>
      <c r="AD5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6" spans="1:30">
      <c r="A566" s="3">
        <v>12085</v>
      </c>
      <c r="B566" s="3" t="s">
        <v>1178</v>
      </c>
      <c r="C566" s="3" t="s">
        <v>540</v>
      </c>
      <c r="D566" s="3" t="s">
        <v>540</v>
      </c>
      <c r="E566" s="3" t="s">
        <v>1187</v>
      </c>
      <c r="F566" s="42" t="s">
        <v>631</v>
      </c>
      <c r="G566" s="3" t="s">
        <v>1188</v>
      </c>
      <c r="H566" s="6">
        <v>0</v>
      </c>
      <c r="I566" s="41">
        <f>VLOOKUP(Tabla1[[#This Row],[PAGO DIA]],DIAS!A:B,2,0)</f>
        <v>46080</v>
      </c>
      <c r="J566" s="6">
        <v>0</v>
      </c>
      <c r="K566" s="43">
        <f>VLOOKUP(Tabla1[[#This Row],[PAGO DIA]],DIAS!A:C,3,0)</f>
        <v>46112</v>
      </c>
      <c r="L566" s="6">
        <v>0</v>
      </c>
      <c r="M566" s="41">
        <f>VLOOKUP(Tabla1[[#This Row],[PAGO DIA]],DIAS!A:D,4,0)</f>
        <v>46142</v>
      </c>
      <c r="N566" s="6">
        <v>0</v>
      </c>
      <c r="O566" s="43">
        <f>VLOOKUP(Tabla1[[#This Row],[PAGO DIA]],DIAS!A:E,5,0)</f>
        <v>46171</v>
      </c>
      <c r="P566" s="6">
        <v>0</v>
      </c>
      <c r="Q566" s="43">
        <f>VLOOKUP(Tabla1[[#This Row],[PAGO DIA]],DIAS!A:F,6,0)</f>
        <v>46203</v>
      </c>
      <c r="R566" s="6">
        <v>0</v>
      </c>
      <c r="S566" s="43">
        <f>VLOOKUP(Tabla1[[#This Row],[PAGO DIA]],DIAS!A:G,7,0)</f>
        <v>46234</v>
      </c>
      <c r="T566" s="6">
        <v>0</v>
      </c>
      <c r="U566" s="43">
        <f>VLOOKUP(Tabla1[[#This Row],[PAGO DIA]],DIAS!A:H,8,0)</f>
        <v>46265</v>
      </c>
      <c r="V566" s="6">
        <v>0</v>
      </c>
      <c r="W566" s="43">
        <f>VLOOKUP(Tabla1[[#This Row],[PAGO DIA]],DIAS!A:I,9,0)</f>
        <v>46295</v>
      </c>
      <c r="X566" s="6">
        <v>0</v>
      </c>
      <c r="Y566" s="43">
        <f>VLOOKUP(Tabla1[[#This Row],[PAGO DIA]],DIAS!A:J,10,0)</f>
        <v>46325</v>
      </c>
      <c r="Z566" s="6">
        <v>0</v>
      </c>
      <c r="AA566" s="43">
        <f>VLOOKUP(Tabla1[[#This Row],[PAGO DIA]],DIAS!A:K,11,0)</f>
        <v>46356</v>
      </c>
      <c r="AB566" s="6">
        <v>0</v>
      </c>
      <c r="AC566" s="43">
        <f>VLOOKUP(Tabla1[[#This Row],[PAGO DIA]],DIAS!A:M,12,0)</f>
        <v>46386</v>
      </c>
      <c r="AD5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7" spans="1:30">
      <c r="A567" s="3">
        <v>12087</v>
      </c>
      <c r="B567" s="3" t="s">
        <v>1178</v>
      </c>
      <c r="C567" s="3" t="s">
        <v>540</v>
      </c>
      <c r="D567" s="3" t="s">
        <v>540</v>
      </c>
      <c r="E567" s="3" t="s">
        <v>1187</v>
      </c>
      <c r="F567" s="42" t="s">
        <v>631</v>
      </c>
      <c r="G567" s="3" t="s">
        <v>1188</v>
      </c>
      <c r="H567" s="6">
        <v>0</v>
      </c>
      <c r="I567" s="41">
        <f>VLOOKUP(Tabla1[[#This Row],[PAGO DIA]],DIAS!A:B,2,0)</f>
        <v>46080</v>
      </c>
      <c r="J567" s="6">
        <v>0</v>
      </c>
      <c r="K567" s="43">
        <f>VLOOKUP(Tabla1[[#This Row],[PAGO DIA]],DIAS!A:C,3,0)</f>
        <v>46112</v>
      </c>
      <c r="L567" s="6">
        <v>0</v>
      </c>
      <c r="M567" s="41">
        <f>VLOOKUP(Tabla1[[#This Row],[PAGO DIA]],DIAS!A:D,4,0)</f>
        <v>46142</v>
      </c>
      <c r="N567" s="6">
        <v>0</v>
      </c>
      <c r="O567" s="43">
        <f>VLOOKUP(Tabla1[[#This Row],[PAGO DIA]],DIAS!A:E,5,0)</f>
        <v>46171</v>
      </c>
      <c r="P567" s="6">
        <v>0</v>
      </c>
      <c r="Q567" s="43">
        <f>VLOOKUP(Tabla1[[#This Row],[PAGO DIA]],DIAS!A:F,6,0)</f>
        <v>46203</v>
      </c>
      <c r="R567" s="6">
        <v>0</v>
      </c>
      <c r="S567" s="43">
        <f>VLOOKUP(Tabla1[[#This Row],[PAGO DIA]],DIAS!A:G,7,0)</f>
        <v>46234</v>
      </c>
      <c r="T567" s="6">
        <v>0</v>
      </c>
      <c r="U567" s="43">
        <f>VLOOKUP(Tabla1[[#This Row],[PAGO DIA]],DIAS!A:H,8,0)</f>
        <v>46265</v>
      </c>
      <c r="V567" s="6">
        <v>0</v>
      </c>
      <c r="W567" s="43">
        <f>VLOOKUP(Tabla1[[#This Row],[PAGO DIA]],DIAS!A:I,9,0)</f>
        <v>46295</v>
      </c>
      <c r="X567" s="6">
        <v>0</v>
      </c>
      <c r="Y567" s="43">
        <f>VLOOKUP(Tabla1[[#This Row],[PAGO DIA]],DIAS!A:J,10,0)</f>
        <v>46325</v>
      </c>
      <c r="Z567" s="6">
        <v>0</v>
      </c>
      <c r="AA567" s="43">
        <f>VLOOKUP(Tabla1[[#This Row],[PAGO DIA]],DIAS!A:K,11,0)</f>
        <v>46356</v>
      </c>
      <c r="AB567" s="6">
        <v>0</v>
      </c>
      <c r="AC567" s="43">
        <f>VLOOKUP(Tabla1[[#This Row],[PAGO DIA]],DIAS!A:M,12,0)</f>
        <v>46386</v>
      </c>
      <c r="AD5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8" spans="1:30">
      <c r="A568" s="3">
        <v>12088</v>
      </c>
      <c r="B568" s="3" t="s">
        <v>1178</v>
      </c>
      <c r="C568" s="3" t="s">
        <v>540</v>
      </c>
      <c r="D568" s="3" t="s">
        <v>540</v>
      </c>
      <c r="E568" s="3" t="s">
        <v>1187</v>
      </c>
      <c r="F568" s="42" t="s">
        <v>631</v>
      </c>
      <c r="G568" s="3" t="s">
        <v>1188</v>
      </c>
      <c r="H568" s="6">
        <v>0</v>
      </c>
      <c r="I568" s="41">
        <f>VLOOKUP(Tabla1[[#This Row],[PAGO DIA]],DIAS!A:B,2,0)</f>
        <v>46080</v>
      </c>
      <c r="J568" s="6">
        <v>0</v>
      </c>
      <c r="K568" s="43">
        <f>VLOOKUP(Tabla1[[#This Row],[PAGO DIA]],DIAS!A:C,3,0)</f>
        <v>46112</v>
      </c>
      <c r="L568" s="6">
        <v>0</v>
      </c>
      <c r="M568" s="41">
        <f>VLOOKUP(Tabla1[[#This Row],[PAGO DIA]],DIAS!A:D,4,0)</f>
        <v>46142</v>
      </c>
      <c r="N568" s="6">
        <v>0</v>
      </c>
      <c r="O568" s="43">
        <f>VLOOKUP(Tabla1[[#This Row],[PAGO DIA]],DIAS!A:E,5,0)</f>
        <v>46171</v>
      </c>
      <c r="P568" s="6">
        <v>0</v>
      </c>
      <c r="Q568" s="43">
        <f>VLOOKUP(Tabla1[[#This Row],[PAGO DIA]],DIAS!A:F,6,0)</f>
        <v>46203</v>
      </c>
      <c r="R568" s="6">
        <v>0</v>
      </c>
      <c r="S568" s="43">
        <f>VLOOKUP(Tabla1[[#This Row],[PAGO DIA]],DIAS!A:G,7,0)</f>
        <v>46234</v>
      </c>
      <c r="T568" s="6">
        <v>0</v>
      </c>
      <c r="U568" s="43">
        <f>VLOOKUP(Tabla1[[#This Row],[PAGO DIA]],DIAS!A:H,8,0)</f>
        <v>46265</v>
      </c>
      <c r="V568" s="6">
        <v>0</v>
      </c>
      <c r="W568" s="43">
        <f>VLOOKUP(Tabla1[[#This Row],[PAGO DIA]],DIAS!A:I,9,0)</f>
        <v>46295</v>
      </c>
      <c r="X568" s="6">
        <v>0</v>
      </c>
      <c r="Y568" s="43">
        <f>VLOOKUP(Tabla1[[#This Row],[PAGO DIA]],DIAS!A:J,10,0)</f>
        <v>46325</v>
      </c>
      <c r="Z568" s="6">
        <v>0</v>
      </c>
      <c r="AA568" s="43">
        <f>VLOOKUP(Tabla1[[#This Row],[PAGO DIA]],DIAS!A:K,11,0)</f>
        <v>46356</v>
      </c>
      <c r="AB568" s="6">
        <v>0</v>
      </c>
      <c r="AC568" s="43">
        <f>VLOOKUP(Tabla1[[#This Row],[PAGO DIA]],DIAS!A:M,12,0)</f>
        <v>46386</v>
      </c>
      <c r="AD5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69" spans="1:30">
      <c r="A569" s="3">
        <v>12089</v>
      </c>
      <c r="B569" s="3" t="s">
        <v>1178</v>
      </c>
      <c r="C569" s="3" t="s">
        <v>540</v>
      </c>
      <c r="D569" s="3" t="s">
        <v>540</v>
      </c>
      <c r="E569" s="3" t="s">
        <v>1187</v>
      </c>
      <c r="F569" s="42" t="s">
        <v>631</v>
      </c>
      <c r="G569" s="3" t="s">
        <v>1188</v>
      </c>
      <c r="H569" s="6">
        <v>0</v>
      </c>
      <c r="I569" s="41">
        <f>VLOOKUP(Tabla1[[#This Row],[PAGO DIA]],DIAS!A:B,2,0)</f>
        <v>46080</v>
      </c>
      <c r="J569" s="6">
        <v>0</v>
      </c>
      <c r="K569" s="43">
        <f>VLOOKUP(Tabla1[[#This Row],[PAGO DIA]],DIAS!A:C,3,0)</f>
        <v>46112</v>
      </c>
      <c r="L569" s="6">
        <v>0</v>
      </c>
      <c r="M569" s="41">
        <f>VLOOKUP(Tabla1[[#This Row],[PAGO DIA]],DIAS!A:D,4,0)</f>
        <v>46142</v>
      </c>
      <c r="N569" s="6">
        <v>0</v>
      </c>
      <c r="O569" s="43">
        <f>VLOOKUP(Tabla1[[#This Row],[PAGO DIA]],DIAS!A:E,5,0)</f>
        <v>46171</v>
      </c>
      <c r="P569" s="6">
        <v>0</v>
      </c>
      <c r="Q569" s="43">
        <f>VLOOKUP(Tabla1[[#This Row],[PAGO DIA]],DIAS!A:F,6,0)</f>
        <v>46203</v>
      </c>
      <c r="R569" s="6">
        <v>0</v>
      </c>
      <c r="S569" s="43">
        <f>VLOOKUP(Tabla1[[#This Row],[PAGO DIA]],DIAS!A:G,7,0)</f>
        <v>46234</v>
      </c>
      <c r="T569" s="6">
        <v>0</v>
      </c>
      <c r="U569" s="43">
        <f>VLOOKUP(Tabla1[[#This Row],[PAGO DIA]],DIAS!A:H,8,0)</f>
        <v>46265</v>
      </c>
      <c r="V569" s="6">
        <v>0</v>
      </c>
      <c r="W569" s="43">
        <f>VLOOKUP(Tabla1[[#This Row],[PAGO DIA]],DIAS!A:I,9,0)</f>
        <v>46295</v>
      </c>
      <c r="X569" s="6">
        <v>0</v>
      </c>
      <c r="Y569" s="43">
        <f>VLOOKUP(Tabla1[[#This Row],[PAGO DIA]],DIAS!A:J,10,0)</f>
        <v>46325</v>
      </c>
      <c r="Z569" s="6">
        <v>0</v>
      </c>
      <c r="AA569" s="43">
        <f>VLOOKUP(Tabla1[[#This Row],[PAGO DIA]],DIAS!A:K,11,0)</f>
        <v>46356</v>
      </c>
      <c r="AB569" s="6">
        <v>0</v>
      </c>
      <c r="AC569" s="43">
        <f>VLOOKUP(Tabla1[[#This Row],[PAGO DIA]],DIAS!A:M,12,0)</f>
        <v>46386</v>
      </c>
      <c r="AD5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0" spans="1:30">
      <c r="A570" s="3">
        <v>11726</v>
      </c>
      <c r="B570" s="3" t="s">
        <v>1178</v>
      </c>
      <c r="C570" s="3" t="s">
        <v>1179</v>
      </c>
      <c r="D570" s="3" t="s">
        <v>1180</v>
      </c>
      <c r="E570" s="3" t="s">
        <v>1189</v>
      </c>
      <c r="F570" s="42" t="s">
        <v>631</v>
      </c>
      <c r="G570" s="3" t="s">
        <v>635</v>
      </c>
      <c r="H570" s="6">
        <v>0</v>
      </c>
      <c r="I570" s="41">
        <f>VLOOKUP(Tabla1[[#This Row],[PAGO DIA]],DIAS!A:B,2,0)</f>
        <v>46080</v>
      </c>
      <c r="J570" s="6">
        <v>0</v>
      </c>
      <c r="K570" s="43">
        <f>VLOOKUP(Tabla1[[#This Row],[PAGO DIA]],DIAS!A:C,3,0)</f>
        <v>46112</v>
      </c>
      <c r="L570" s="6">
        <v>0</v>
      </c>
      <c r="M570" s="41">
        <f>VLOOKUP(Tabla1[[#This Row],[PAGO DIA]],DIAS!A:D,4,0)</f>
        <v>46142</v>
      </c>
      <c r="N570" s="6">
        <v>0</v>
      </c>
      <c r="O570" s="43">
        <f>VLOOKUP(Tabla1[[#This Row],[PAGO DIA]],DIAS!A:E,5,0)</f>
        <v>46171</v>
      </c>
      <c r="P570" s="6">
        <v>0</v>
      </c>
      <c r="Q570" s="43">
        <f>VLOOKUP(Tabla1[[#This Row],[PAGO DIA]],DIAS!A:F,6,0)</f>
        <v>46203</v>
      </c>
      <c r="R570" s="6">
        <v>0</v>
      </c>
      <c r="S570" s="43">
        <f>VLOOKUP(Tabla1[[#This Row],[PAGO DIA]],DIAS!A:G,7,0)</f>
        <v>46234</v>
      </c>
      <c r="T570" s="6">
        <v>0</v>
      </c>
      <c r="U570" s="43">
        <f>VLOOKUP(Tabla1[[#This Row],[PAGO DIA]],DIAS!A:H,8,0)</f>
        <v>46265</v>
      </c>
      <c r="V570" s="6">
        <v>0</v>
      </c>
      <c r="W570" s="43">
        <f>VLOOKUP(Tabla1[[#This Row],[PAGO DIA]],DIAS!A:I,9,0)</f>
        <v>46295</v>
      </c>
      <c r="X570" s="6">
        <v>0</v>
      </c>
      <c r="Y570" s="43">
        <f>VLOOKUP(Tabla1[[#This Row],[PAGO DIA]],DIAS!A:J,10,0)</f>
        <v>46325</v>
      </c>
      <c r="Z570" s="6">
        <v>0</v>
      </c>
      <c r="AA570" s="43">
        <f>VLOOKUP(Tabla1[[#This Row],[PAGO DIA]],DIAS!A:K,11,0)</f>
        <v>46356</v>
      </c>
      <c r="AB570" s="6">
        <v>0</v>
      </c>
      <c r="AC570" s="43">
        <f>VLOOKUP(Tabla1[[#This Row],[PAGO DIA]],DIAS!A:M,12,0)</f>
        <v>46386</v>
      </c>
      <c r="AD5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1" spans="1:30">
      <c r="A571" s="3">
        <v>11882</v>
      </c>
      <c r="B571" s="3" t="s">
        <v>1178</v>
      </c>
      <c r="C571" s="3" t="s">
        <v>540</v>
      </c>
      <c r="D571" s="3" t="s">
        <v>540</v>
      </c>
      <c r="E571" s="3" t="s">
        <v>873</v>
      </c>
      <c r="F571" s="42" t="s">
        <v>631</v>
      </c>
      <c r="G571" s="3" t="s">
        <v>1190</v>
      </c>
      <c r="H571" s="6">
        <v>0</v>
      </c>
      <c r="I571" s="41">
        <f>VLOOKUP(Tabla1[[#This Row],[PAGO DIA]],DIAS!A:B,2,0)</f>
        <v>46080</v>
      </c>
      <c r="J571" s="6">
        <v>0</v>
      </c>
      <c r="K571" s="43">
        <f>VLOOKUP(Tabla1[[#This Row],[PAGO DIA]],DIAS!A:C,3,0)</f>
        <v>46112</v>
      </c>
      <c r="L571" s="6">
        <v>0</v>
      </c>
      <c r="M571" s="41">
        <f>VLOOKUP(Tabla1[[#This Row],[PAGO DIA]],DIAS!A:D,4,0)</f>
        <v>46142</v>
      </c>
      <c r="N571" s="6">
        <v>0</v>
      </c>
      <c r="O571" s="43">
        <f>VLOOKUP(Tabla1[[#This Row],[PAGO DIA]],DIAS!A:E,5,0)</f>
        <v>46171</v>
      </c>
      <c r="P571" s="6">
        <v>0</v>
      </c>
      <c r="Q571" s="43">
        <f>VLOOKUP(Tabla1[[#This Row],[PAGO DIA]],DIAS!A:F,6,0)</f>
        <v>46203</v>
      </c>
      <c r="R571" s="6">
        <v>0</v>
      </c>
      <c r="S571" s="43">
        <f>VLOOKUP(Tabla1[[#This Row],[PAGO DIA]],DIAS!A:G,7,0)</f>
        <v>46234</v>
      </c>
      <c r="T571" s="6">
        <v>0</v>
      </c>
      <c r="U571" s="43">
        <f>VLOOKUP(Tabla1[[#This Row],[PAGO DIA]],DIAS!A:H,8,0)</f>
        <v>46265</v>
      </c>
      <c r="V571" s="6">
        <v>0</v>
      </c>
      <c r="W571" s="43">
        <f>VLOOKUP(Tabla1[[#This Row],[PAGO DIA]],DIAS!A:I,9,0)</f>
        <v>46295</v>
      </c>
      <c r="X571" s="6">
        <v>0</v>
      </c>
      <c r="Y571" s="43">
        <f>VLOOKUP(Tabla1[[#This Row],[PAGO DIA]],DIAS!A:J,10,0)</f>
        <v>46325</v>
      </c>
      <c r="Z571" s="6">
        <v>0</v>
      </c>
      <c r="AA571" s="43">
        <f>VLOOKUP(Tabla1[[#This Row],[PAGO DIA]],DIAS!A:K,11,0)</f>
        <v>46356</v>
      </c>
      <c r="AB571" s="6">
        <v>0</v>
      </c>
      <c r="AC571" s="43">
        <f>VLOOKUP(Tabla1[[#This Row],[PAGO DIA]],DIAS!A:M,12,0)</f>
        <v>46386</v>
      </c>
      <c r="AD5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2" spans="1:30">
      <c r="A572" s="3">
        <v>11883</v>
      </c>
      <c r="B572" s="3" t="s">
        <v>1178</v>
      </c>
      <c r="C572" s="3" t="s">
        <v>540</v>
      </c>
      <c r="D572" s="3" t="s">
        <v>540</v>
      </c>
      <c r="E572" s="3" t="s">
        <v>873</v>
      </c>
      <c r="F572" s="42" t="s">
        <v>631</v>
      </c>
      <c r="G572" s="3" t="s">
        <v>1191</v>
      </c>
      <c r="H572" s="6">
        <v>0</v>
      </c>
      <c r="I572" s="41">
        <f>VLOOKUP(Tabla1[[#This Row],[PAGO DIA]],DIAS!A:B,2,0)</f>
        <v>46080</v>
      </c>
      <c r="J572" s="6">
        <v>0</v>
      </c>
      <c r="K572" s="43">
        <f>VLOOKUP(Tabla1[[#This Row],[PAGO DIA]],DIAS!A:C,3,0)</f>
        <v>46112</v>
      </c>
      <c r="L572" s="6">
        <v>0</v>
      </c>
      <c r="M572" s="41">
        <f>VLOOKUP(Tabla1[[#This Row],[PAGO DIA]],DIAS!A:D,4,0)</f>
        <v>46142</v>
      </c>
      <c r="N572" s="6">
        <v>0</v>
      </c>
      <c r="O572" s="43">
        <f>VLOOKUP(Tabla1[[#This Row],[PAGO DIA]],DIAS!A:E,5,0)</f>
        <v>46171</v>
      </c>
      <c r="P572" s="6">
        <v>0</v>
      </c>
      <c r="Q572" s="43">
        <f>VLOOKUP(Tabla1[[#This Row],[PAGO DIA]],DIAS!A:F,6,0)</f>
        <v>46203</v>
      </c>
      <c r="R572" s="6">
        <v>0</v>
      </c>
      <c r="S572" s="43">
        <f>VLOOKUP(Tabla1[[#This Row],[PAGO DIA]],DIAS!A:G,7,0)</f>
        <v>46234</v>
      </c>
      <c r="T572" s="6">
        <v>0</v>
      </c>
      <c r="U572" s="43">
        <f>VLOOKUP(Tabla1[[#This Row],[PAGO DIA]],DIAS!A:H,8,0)</f>
        <v>46265</v>
      </c>
      <c r="V572" s="6">
        <v>0</v>
      </c>
      <c r="W572" s="43">
        <f>VLOOKUP(Tabla1[[#This Row],[PAGO DIA]],DIAS!A:I,9,0)</f>
        <v>46295</v>
      </c>
      <c r="X572" s="6">
        <v>0</v>
      </c>
      <c r="Y572" s="43">
        <f>VLOOKUP(Tabla1[[#This Row],[PAGO DIA]],DIAS!A:J,10,0)</f>
        <v>46325</v>
      </c>
      <c r="Z572" s="6">
        <v>0</v>
      </c>
      <c r="AA572" s="43">
        <f>VLOOKUP(Tabla1[[#This Row],[PAGO DIA]],DIAS!A:K,11,0)</f>
        <v>46356</v>
      </c>
      <c r="AB572" s="6">
        <v>0</v>
      </c>
      <c r="AC572" s="43">
        <f>VLOOKUP(Tabla1[[#This Row],[PAGO DIA]],DIAS!A:M,12,0)</f>
        <v>46386</v>
      </c>
      <c r="AD5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3" spans="1:30">
      <c r="A573" s="3">
        <v>12481</v>
      </c>
      <c r="B573" s="3" t="s">
        <v>1178</v>
      </c>
      <c r="C573" s="3" t="s">
        <v>1179</v>
      </c>
      <c r="D573" s="3" t="s">
        <v>1180</v>
      </c>
      <c r="E573" s="3" t="s">
        <v>903</v>
      </c>
      <c r="F573" s="42" t="s">
        <v>631</v>
      </c>
      <c r="G573" s="3" t="s">
        <v>639</v>
      </c>
      <c r="H573" s="6">
        <v>0</v>
      </c>
      <c r="I573" s="41">
        <f>VLOOKUP(Tabla1[[#This Row],[PAGO DIA]],DIAS!A:B,2,0)</f>
        <v>46080</v>
      </c>
      <c r="J573" s="6">
        <v>0</v>
      </c>
      <c r="K573" s="43">
        <f>VLOOKUP(Tabla1[[#This Row],[PAGO DIA]],DIAS!A:C,3,0)</f>
        <v>46112</v>
      </c>
      <c r="L573" s="6">
        <v>0</v>
      </c>
      <c r="M573" s="41">
        <f>VLOOKUP(Tabla1[[#This Row],[PAGO DIA]],DIAS!A:D,4,0)</f>
        <v>46142</v>
      </c>
      <c r="N573" s="6">
        <v>0</v>
      </c>
      <c r="O573" s="43">
        <f>VLOOKUP(Tabla1[[#This Row],[PAGO DIA]],DIAS!A:E,5,0)</f>
        <v>46171</v>
      </c>
      <c r="P573" s="6">
        <v>0</v>
      </c>
      <c r="Q573" s="43">
        <f>VLOOKUP(Tabla1[[#This Row],[PAGO DIA]],DIAS!A:F,6,0)</f>
        <v>46203</v>
      </c>
      <c r="R573" s="6">
        <v>0</v>
      </c>
      <c r="S573" s="43">
        <f>VLOOKUP(Tabla1[[#This Row],[PAGO DIA]],DIAS!A:G,7,0)</f>
        <v>46234</v>
      </c>
      <c r="T573" s="6">
        <v>0</v>
      </c>
      <c r="U573" s="43">
        <f>VLOOKUP(Tabla1[[#This Row],[PAGO DIA]],DIAS!A:H,8,0)</f>
        <v>46265</v>
      </c>
      <c r="V573" s="6">
        <v>0</v>
      </c>
      <c r="W573" s="43">
        <f>VLOOKUP(Tabla1[[#This Row],[PAGO DIA]],DIAS!A:I,9,0)</f>
        <v>46295</v>
      </c>
      <c r="X573" s="6">
        <v>0</v>
      </c>
      <c r="Y573" s="43">
        <f>VLOOKUP(Tabla1[[#This Row],[PAGO DIA]],DIAS!A:J,10,0)</f>
        <v>46325</v>
      </c>
      <c r="Z573" s="6">
        <v>0</v>
      </c>
      <c r="AA573" s="43">
        <f>VLOOKUP(Tabla1[[#This Row],[PAGO DIA]],DIAS!A:K,11,0)</f>
        <v>46356</v>
      </c>
      <c r="AB573" s="6">
        <v>0</v>
      </c>
      <c r="AC573" s="43">
        <f>VLOOKUP(Tabla1[[#This Row],[PAGO DIA]],DIAS!A:M,12,0)</f>
        <v>46386</v>
      </c>
      <c r="AD5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4" spans="1:30">
      <c r="A574" s="3">
        <v>11099</v>
      </c>
      <c r="B574" s="3" t="s">
        <v>544</v>
      </c>
      <c r="C574" s="3" t="s">
        <v>505</v>
      </c>
      <c r="D574" s="3" t="s">
        <v>545</v>
      </c>
      <c r="E574" s="3" t="s">
        <v>1177</v>
      </c>
      <c r="F574" s="42" t="s">
        <v>631</v>
      </c>
      <c r="G574" s="3"/>
      <c r="H574" s="7">
        <v>1000000000</v>
      </c>
      <c r="I574" s="41">
        <f>VLOOKUP(Tabla1[[#This Row],[PAGO DIA]],DIAS!A:B,2,0)</f>
        <v>46080</v>
      </c>
      <c r="J574" s="6">
        <v>1000000000</v>
      </c>
      <c r="K574" s="43">
        <f>VLOOKUP(Tabla1[[#This Row],[PAGO DIA]],DIAS!A:C,3,0)</f>
        <v>46112</v>
      </c>
      <c r="L574" s="6">
        <v>1500000000</v>
      </c>
      <c r="M574" s="41">
        <f>VLOOKUP(Tabla1[[#This Row],[PAGO DIA]],DIAS!A:D,4,0)</f>
        <v>46142</v>
      </c>
      <c r="N574" s="6">
        <v>1500000000</v>
      </c>
      <c r="O574" s="43">
        <f>VLOOKUP(Tabla1[[#This Row],[PAGO DIA]],DIAS!A:E,5,0)</f>
        <v>46171</v>
      </c>
      <c r="P574" s="6">
        <v>1500000000</v>
      </c>
      <c r="Q574" s="43">
        <f>VLOOKUP(Tabla1[[#This Row],[PAGO DIA]],DIAS!A:F,6,0)</f>
        <v>46203</v>
      </c>
      <c r="R574" s="6">
        <v>1500000000</v>
      </c>
      <c r="S574" s="43">
        <f>VLOOKUP(Tabla1[[#This Row],[PAGO DIA]],DIAS!A:G,7,0)</f>
        <v>46234</v>
      </c>
      <c r="T574" s="6">
        <v>1500000000</v>
      </c>
      <c r="U574" s="43">
        <f>VLOOKUP(Tabla1[[#This Row],[PAGO DIA]],DIAS!A:H,8,0)</f>
        <v>46265</v>
      </c>
      <c r="V574" s="6">
        <v>1500000000</v>
      </c>
      <c r="W574" s="43">
        <f>VLOOKUP(Tabla1[[#This Row],[PAGO DIA]],DIAS!A:I,9,0)</f>
        <v>46295</v>
      </c>
      <c r="X574" s="6">
        <v>1500000000</v>
      </c>
      <c r="Y574" s="43">
        <f>VLOOKUP(Tabla1[[#This Row],[PAGO DIA]],DIAS!A:J,10,0)</f>
        <v>46325</v>
      </c>
      <c r="Z574" s="6">
        <v>1500000000</v>
      </c>
      <c r="AA574" s="43">
        <f>VLOOKUP(Tabla1[[#This Row],[PAGO DIA]],DIAS!A:K,11,0)</f>
        <v>46356</v>
      </c>
      <c r="AB574" s="6">
        <v>1500000000</v>
      </c>
      <c r="AC574" s="43">
        <f>VLOOKUP(Tabla1[[#This Row],[PAGO DIA]],DIAS!A:M,12,0)</f>
        <v>46386</v>
      </c>
      <c r="AD5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15500000000</v>
      </c>
    </row>
    <row r="575" spans="1:30">
      <c r="A575" s="3">
        <v>11126</v>
      </c>
      <c r="B575" s="3" t="s">
        <v>544</v>
      </c>
      <c r="C575" s="3" t="s">
        <v>505</v>
      </c>
      <c r="D575" s="3" t="s">
        <v>1192</v>
      </c>
      <c r="E575" s="3" t="s">
        <v>527</v>
      </c>
      <c r="F575" s="42" t="s">
        <v>631</v>
      </c>
      <c r="G575" s="3"/>
      <c r="H575" s="7">
        <v>434000000</v>
      </c>
      <c r="I575" s="41">
        <f>VLOOKUP(Tabla1[[#This Row],[PAGO DIA]],DIAS!A:B,2,0)</f>
        <v>46080</v>
      </c>
      <c r="J575" s="6">
        <v>434000000</v>
      </c>
      <c r="K575" s="43">
        <f>VLOOKUP(Tabla1[[#This Row],[PAGO DIA]],DIAS!A:C,3,0)</f>
        <v>46112</v>
      </c>
      <c r="L575" s="6">
        <v>434000000</v>
      </c>
      <c r="M575" s="41">
        <f>VLOOKUP(Tabla1[[#This Row],[PAGO DIA]],DIAS!A:D,4,0)</f>
        <v>46142</v>
      </c>
      <c r="N575" s="6">
        <v>434000000</v>
      </c>
      <c r="O575" s="43">
        <f>VLOOKUP(Tabla1[[#This Row],[PAGO DIA]],DIAS!A:E,5,0)</f>
        <v>46171</v>
      </c>
      <c r="P575" s="6">
        <v>434000000</v>
      </c>
      <c r="Q575" s="43">
        <f>VLOOKUP(Tabla1[[#This Row],[PAGO DIA]],DIAS!A:F,6,0)</f>
        <v>46203</v>
      </c>
      <c r="R575" s="6">
        <v>434000000</v>
      </c>
      <c r="S575" s="43">
        <f>VLOOKUP(Tabla1[[#This Row],[PAGO DIA]],DIAS!A:G,7,0)</f>
        <v>46234</v>
      </c>
      <c r="T575" s="6">
        <v>0</v>
      </c>
      <c r="U575" s="43">
        <f>VLOOKUP(Tabla1[[#This Row],[PAGO DIA]],DIAS!A:H,8,0)</f>
        <v>46265</v>
      </c>
      <c r="V575" s="6">
        <v>0</v>
      </c>
      <c r="W575" s="43">
        <f>VLOOKUP(Tabla1[[#This Row],[PAGO DIA]],DIAS!A:I,9,0)</f>
        <v>46295</v>
      </c>
      <c r="X575" s="6">
        <v>0</v>
      </c>
      <c r="Y575" s="43">
        <f>VLOOKUP(Tabla1[[#This Row],[PAGO DIA]],DIAS!A:J,10,0)</f>
        <v>46325</v>
      </c>
      <c r="Z575" s="6">
        <v>0</v>
      </c>
      <c r="AA575" s="43">
        <f>VLOOKUP(Tabla1[[#This Row],[PAGO DIA]],DIAS!A:K,11,0)</f>
        <v>46356</v>
      </c>
      <c r="AB575" s="6">
        <v>0</v>
      </c>
      <c r="AC575" s="43">
        <f>VLOOKUP(Tabla1[[#This Row],[PAGO DIA]],DIAS!A:M,12,0)</f>
        <v>46386</v>
      </c>
      <c r="AD5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2604000000</v>
      </c>
    </row>
    <row r="576" spans="1:30">
      <c r="A576" s="3">
        <v>11176</v>
      </c>
      <c r="B576" s="3" t="s">
        <v>544</v>
      </c>
      <c r="C576" s="3" t="s">
        <v>505</v>
      </c>
      <c r="D576" s="3" t="s">
        <v>1193</v>
      </c>
      <c r="E576" s="3" t="s">
        <v>1194</v>
      </c>
      <c r="F576" s="42" t="s">
        <v>631</v>
      </c>
      <c r="G576" s="3" t="s">
        <v>1195</v>
      </c>
      <c r="H576" s="7">
        <v>50000000</v>
      </c>
      <c r="I576" s="41">
        <f>VLOOKUP(Tabla1[[#This Row],[PAGO DIA]],DIAS!A:B,2,0)</f>
        <v>46080</v>
      </c>
      <c r="J576" s="6">
        <v>50000000</v>
      </c>
      <c r="K576" s="43">
        <f>VLOOKUP(Tabla1[[#This Row],[PAGO DIA]],DIAS!A:C,3,0)</f>
        <v>46112</v>
      </c>
      <c r="L576" s="6">
        <v>50000000</v>
      </c>
      <c r="M576" s="41">
        <f>VLOOKUP(Tabla1[[#This Row],[PAGO DIA]],DIAS!A:D,4,0)</f>
        <v>46142</v>
      </c>
      <c r="N576" s="6">
        <v>50000000</v>
      </c>
      <c r="O576" s="43">
        <f>VLOOKUP(Tabla1[[#This Row],[PAGO DIA]],DIAS!A:E,5,0)</f>
        <v>46171</v>
      </c>
      <c r="P576" s="6">
        <v>50000000</v>
      </c>
      <c r="Q576" s="43">
        <f>VLOOKUP(Tabla1[[#This Row],[PAGO DIA]],DIAS!A:F,6,0)</f>
        <v>46203</v>
      </c>
      <c r="R576" s="6">
        <v>50000000</v>
      </c>
      <c r="S576" s="43">
        <f>VLOOKUP(Tabla1[[#This Row],[PAGO DIA]],DIAS!A:G,7,0)</f>
        <v>46234</v>
      </c>
      <c r="T576" s="6">
        <v>50239070</v>
      </c>
      <c r="U576" s="43">
        <f>VLOOKUP(Tabla1[[#This Row],[PAGO DIA]],DIAS!A:H,8,0)</f>
        <v>46265</v>
      </c>
      <c r="V576" s="6">
        <v>0</v>
      </c>
      <c r="W576" s="43">
        <f>VLOOKUP(Tabla1[[#This Row],[PAGO DIA]],DIAS!A:I,9,0)</f>
        <v>46295</v>
      </c>
      <c r="X576" s="6">
        <v>0</v>
      </c>
      <c r="Y576" s="43">
        <f>VLOOKUP(Tabla1[[#This Row],[PAGO DIA]],DIAS!A:J,10,0)</f>
        <v>46325</v>
      </c>
      <c r="Z576" s="6">
        <v>0</v>
      </c>
      <c r="AA576" s="43">
        <f>VLOOKUP(Tabla1[[#This Row],[PAGO DIA]],DIAS!A:K,11,0)</f>
        <v>46356</v>
      </c>
      <c r="AB576" s="6">
        <v>0</v>
      </c>
      <c r="AC576" s="43">
        <f>VLOOKUP(Tabla1[[#This Row],[PAGO DIA]],DIAS!A:M,12,0)</f>
        <v>46386</v>
      </c>
      <c r="AD5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350239070</v>
      </c>
    </row>
    <row r="577" spans="1:30">
      <c r="A577" s="3">
        <v>11250</v>
      </c>
      <c r="B577" s="3" t="s">
        <v>544</v>
      </c>
      <c r="C577" s="3" t="s">
        <v>505</v>
      </c>
      <c r="D577" s="3" t="s">
        <v>1196</v>
      </c>
      <c r="E577" s="3" t="s">
        <v>1197</v>
      </c>
      <c r="F577" s="42" t="s">
        <v>631</v>
      </c>
      <c r="G577" s="3" t="s">
        <v>1198</v>
      </c>
      <c r="H577" s="7">
        <v>200000000</v>
      </c>
      <c r="I577" s="41">
        <f>VLOOKUP(Tabla1[[#This Row],[PAGO DIA]],DIAS!A:B,2,0)</f>
        <v>46080</v>
      </c>
      <c r="J577" s="6">
        <v>200000000</v>
      </c>
      <c r="K577" s="43">
        <f>VLOOKUP(Tabla1[[#This Row],[PAGO DIA]],DIAS!A:C,3,0)</f>
        <v>46112</v>
      </c>
      <c r="L577" s="6">
        <v>101000000</v>
      </c>
      <c r="M577" s="41">
        <f>VLOOKUP(Tabla1[[#This Row],[PAGO DIA]],DIAS!A:D,4,0)</f>
        <v>46142</v>
      </c>
      <c r="N577" s="6">
        <v>100000000</v>
      </c>
      <c r="O577" s="43">
        <f>VLOOKUP(Tabla1[[#This Row],[PAGO DIA]],DIAS!A:E,5,0)</f>
        <v>46171</v>
      </c>
      <c r="P577" s="6">
        <v>0</v>
      </c>
      <c r="Q577" s="43">
        <f>VLOOKUP(Tabla1[[#This Row],[PAGO DIA]],DIAS!A:F,6,0)</f>
        <v>46203</v>
      </c>
      <c r="R577" s="6">
        <v>0</v>
      </c>
      <c r="S577" s="43">
        <f>VLOOKUP(Tabla1[[#This Row],[PAGO DIA]],DIAS!A:G,7,0)</f>
        <v>46234</v>
      </c>
      <c r="T577" s="6">
        <v>0</v>
      </c>
      <c r="U577" s="43">
        <f>VLOOKUP(Tabla1[[#This Row],[PAGO DIA]],DIAS!A:H,8,0)</f>
        <v>46265</v>
      </c>
      <c r="V577" s="6">
        <v>0</v>
      </c>
      <c r="W577" s="43">
        <f>VLOOKUP(Tabla1[[#This Row],[PAGO DIA]],DIAS!A:I,9,0)</f>
        <v>46295</v>
      </c>
      <c r="X577" s="6">
        <v>0</v>
      </c>
      <c r="Y577" s="43">
        <f>VLOOKUP(Tabla1[[#This Row],[PAGO DIA]],DIAS!A:J,10,0)</f>
        <v>46325</v>
      </c>
      <c r="Z577" s="6">
        <v>0</v>
      </c>
      <c r="AA577" s="43">
        <f>VLOOKUP(Tabla1[[#This Row],[PAGO DIA]],DIAS!A:K,11,0)</f>
        <v>46356</v>
      </c>
      <c r="AB577" s="6">
        <v>0</v>
      </c>
      <c r="AC577" s="43">
        <f>VLOOKUP(Tabla1[[#This Row],[PAGO DIA]],DIAS!A:M,12,0)</f>
        <v>46386</v>
      </c>
      <c r="AD5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601000000</v>
      </c>
    </row>
    <row r="578" spans="1:30">
      <c r="A578" s="3">
        <v>11005</v>
      </c>
      <c r="B578" s="3" t="s">
        <v>544</v>
      </c>
      <c r="C578" s="3" t="s">
        <v>505</v>
      </c>
      <c r="D578" s="3" t="s">
        <v>549</v>
      </c>
      <c r="E578" s="3" t="s">
        <v>1199</v>
      </c>
      <c r="F578" s="42" t="s">
        <v>631</v>
      </c>
      <c r="G578" s="3"/>
      <c r="H578" s="6">
        <v>0</v>
      </c>
      <c r="I578" s="41">
        <f>VLOOKUP(Tabla1[[#This Row],[PAGO DIA]],DIAS!A:B,2,0)</f>
        <v>46080</v>
      </c>
      <c r="J578" s="6">
        <v>0</v>
      </c>
      <c r="K578" s="43">
        <f>VLOOKUP(Tabla1[[#This Row],[PAGO DIA]],DIAS!A:C,3,0)</f>
        <v>46112</v>
      </c>
      <c r="L578" s="6">
        <v>0</v>
      </c>
      <c r="M578" s="41">
        <f>VLOOKUP(Tabla1[[#This Row],[PAGO DIA]],DIAS!A:D,4,0)</f>
        <v>46142</v>
      </c>
      <c r="N578" s="6">
        <v>0</v>
      </c>
      <c r="O578" s="43">
        <f>VLOOKUP(Tabla1[[#This Row],[PAGO DIA]],DIAS!A:E,5,0)</f>
        <v>46171</v>
      </c>
      <c r="P578" s="6">
        <v>0</v>
      </c>
      <c r="Q578" s="43">
        <f>VLOOKUP(Tabla1[[#This Row],[PAGO DIA]],DIAS!A:F,6,0)</f>
        <v>46203</v>
      </c>
      <c r="R578" s="6">
        <v>0</v>
      </c>
      <c r="S578" s="43">
        <f>VLOOKUP(Tabla1[[#This Row],[PAGO DIA]],DIAS!A:G,7,0)</f>
        <v>46234</v>
      </c>
      <c r="T578" s="6">
        <v>0</v>
      </c>
      <c r="U578" s="43">
        <f>VLOOKUP(Tabla1[[#This Row],[PAGO DIA]],DIAS!A:H,8,0)</f>
        <v>46265</v>
      </c>
      <c r="V578" s="6">
        <v>0</v>
      </c>
      <c r="W578" s="43">
        <f>VLOOKUP(Tabla1[[#This Row],[PAGO DIA]],DIAS!A:I,9,0)</f>
        <v>46295</v>
      </c>
      <c r="X578" s="6">
        <v>0</v>
      </c>
      <c r="Y578" s="43">
        <f>VLOOKUP(Tabla1[[#This Row],[PAGO DIA]],DIAS!A:J,10,0)</f>
        <v>46325</v>
      </c>
      <c r="Z578" s="6">
        <v>0</v>
      </c>
      <c r="AA578" s="43">
        <f>VLOOKUP(Tabla1[[#This Row],[PAGO DIA]],DIAS!A:K,11,0)</f>
        <v>46356</v>
      </c>
      <c r="AB578" s="6">
        <v>0</v>
      </c>
      <c r="AC578" s="43">
        <f>VLOOKUP(Tabla1[[#This Row],[PAGO DIA]],DIAS!A:M,12,0)</f>
        <v>46386</v>
      </c>
      <c r="AD5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79" spans="1:30">
      <c r="A579" s="3">
        <v>11226</v>
      </c>
      <c r="B579" s="3" t="s">
        <v>544</v>
      </c>
      <c r="C579" s="3" t="s">
        <v>505</v>
      </c>
      <c r="D579" s="3" t="s">
        <v>549</v>
      </c>
      <c r="E579" s="3" t="s">
        <v>1199</v>
      </c>
      <c r="F579" s="42" t="s">
        <v>631</v>
      </c>
      <c r="G579" s="3"/>
      <c r="H579" s="6">
        <v>0</v>
      </c>
      <c r="I579" s="41">
        <f>VLOOKUP(Tabla1[[#This Row],[PAGO DIA]],DIAS!A:B,2,0)</f>
        <v>46080</v>
      </c>
      <c r="J579" s="6">
        <v>0</v>
      </c>
      <c r="K579" s="43">
        <f>VLOOKUP(Tabla1[[#This Row],[PAGO DIA]],DIAS!A:C,3,0)</f>
        <v>46112</v>
      </c>
      <c r="L579" s="6">
        <v>0</v>
      </c>
      <c r="M579" s="41">
        <f>VLOOKUP(Tabla1[[#This Row],[PAGO DIA]],DIAS!A:D,4,0)</f>
        <v>46142</v>
      </c>
      <c r="N579" s="6">
        <v>0</v>
      </c>
      <c r="O579" s="43">
        <f>VLOOKUP(Tabla1[[#This Row],[PAGO DIA]],DIAS!A:E,5,0)</f>
        <v>46171</v>
      </c>
      <c r="P579" s="6">
        <v>0</v>
      </c>
      <c r="Q579" s="43">
        <f>VLOOKUP(Tabla1[[#This Row],[PAGO DIA]],DIAS!A:F,6,0)</f>
        <v>46203</v>
      </c>
      <c r="R579" s="6">
        <v>0</v>
      </c>
      <c r="S579" s="43">
        <f>VLOOKUP(Tabla1[[#This Row],[PAGO DIA]],DIAS!A:G,7,0)</f>
        <v>46234</v>
      </c>
      <c r="T579" s="6">
        <v>0</v>
      </c>
      <c r="U579" s="43">
        <f>VLOOKUP(Tabla1[[#This Row],[PAGO DIA]],DIAS!A:H,8,0)</f>
        <v>46265</v>
      </c>
      <c r="V579" s="6">
        <v>0</v>
      </c>
      <c r="W579" s="43">
        <f>VLOOKUP(Tabla1[[#This Row],[PAGO DIA]],DIAS!A:I,9,0)</f>
        <v>46295</v>
      </c>
      <c r="X579" s="6">
        <v>0</v>
      </c>
      <c r="Y579" s="43">
        <f>VLOOKUP(Tabla1[[#This Row],[PAGO DIA]],DIAS!A:J,10,0)</f>
        <v>46325</v>
      </c>
      <c r="Z579" s="6">
        <v>0</v>
      </c>
      <c r="AA579" s="43">
        <f>VLOOKUP(Tabla1[[#This Row],[PAGO DIA]],DIAS!A:K,11,0)</f>
        <v>46356</v>
      </c>
      <c r="AB579" s="6">
        <v>0</v>
      </c>
      <c r="AC579" s="43">
        <f>VLOOKUP(Tabla1[[#This Row],[PAGO DIA]],DIAS!A:M,12,0)</f>
        <v>46386</v>
      </c>
      <c r="AD5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0" spans="1:30">
      <c r="A580" s="3">
        <v>11100</v>
      </c>
      <c r="B580" s="3" t="s">
        <v>544</v>
      </c>
      <c r="C580" s="3" t="s">
        <v>505</v>
      </c>
      <c r="D580" s="3" t="s">
        <v>1200</v>
      </c>
      <c r="E580" s="3" t="s">
        <v>507</v>
      </c>
      <c r="F580" s="42" t="s">
        <v>631</v>
      </c>
      <c r="G580" s="3" t="s">
        <v>1201</v>
      </c>
      <c r="H580" s="6">
        <v>0</v>
      </c>
      <c r="I580" s="41">
        <f>VLOOKUP(Tabla1[[#This Row],[PAGO DIA]],DIAS!A:B,2,0)</f>
        <v>46080</v>
      </c>
      <c r="J580" s="6">
        <v>400000000</v>
      </c>
      <c r="K580" s="43">
        <f>VLOOKUP(Tabla1[[#This Row],[PAGO DIA]],DIAS!A:C,3,0)</f>
        <v>46112</v>
      </c>
      <c r="L580" s="6">
        <v>600000000</v>
      </c>
      <c r="M580" s="41">
        <f>VLOOKUP(Tabla1[[#This Row],[PAGO DIA]],DIAS!A:D,4,0)</f>
        <v>46142</v>
      </c>
      <c r="N580" s="6">
        <v>0</v>
      </c>
      <c r="O580" s="43">
        <f>VLOOKUP(Tabla1[[#This Row],[PAGO DIA]],DIAS!A:E,5,0)</f>
        <v>46171</v>
      </c>
      <c r="P580" s="6">
        <v>0</v>
      </c>
      <c r="Q580" s="43">
        <f>VLOOKUP(Tabla1[[#This Row],[PAGO DIA]],DIAS!A:F,6,0)</f>
        <v>46203</v>
      </c>
      <c r="R580" s="6">
        <v>0</v>
      </c>
      <c r="S580" s="43">
        <f>VLOOKUP(Tabla1[[#This Row],[PAGO DIA]],DIAS!A:G,7,0)</f>
        <v>46234</v>
      </c>
      <c r="T580" s="6">
        <v>0</v>
      </c>
      <c r="U580" s="43">
        <f>VLOOKUP(Tabla1[[#This Row],[PAGO DIA]],DIAS!A:H,8,0)</f>
        <v>46265</v>
      </c>
      <c r="V580" s="6">
        <v>0</v>
      </c>
      <c r="W580" s="43">
        <f>VLOOKUP(Tabla1[[#This Row],[PAGO DIA]],DIAS!A:I,9,0)</f>
        <v>46295</v>
      </c>
      <c r="X580" s="6">
        <v>0</v>
      </c>
      <c r="Y580" s="43">
        <f>VLOOKUP(Tabla1[[#This Row],[PAGO DIA]],DIAS!A:J,10,0)</f>
        <v>46325</v>
      </c>
      <c r="Z580" s="6">
        <v>0</v>
      </c>
      <c r="AA580" s="43">
        <f>VLOOKUP(Tabla1[[#This Row],[PAGO DIA]],DIAS!A:K,11,0)</f>
        <v>46356</v>
      </c>
      <c r="AB580" s="6">
        <v>0</v>
      </c>
      <c r="AC580" s="43">
        <f>VLOOKUP(Tabla1[[#This Row],[PAGO DIA]],DIAS!A:M,12,0)</f>
        <v>46386</v>
      </c>
      <c r="AD5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1000000000</v>
      </c>
    </row>
    <row r="581" spans="1:30">
      <c r="A581" s="3">
        <v>11407</v>
      </c>
      <c r="B581" s="3" t="s">
        <v>544</v>
      </c>
      <c r="C581" s="3" t="s">
        <v>505</v>
      </c>
      <c r="D581" s="3" t="s">
        <v>1202</v>
      </c>
      <c r="E581" s="3" t="s">
        <v>507</v>
      </c>
      <c r="F581" s="42" t="s">
        <v>631</v>
      </c>
      <c r="G581" s="3" t="s">
        <v>1201</v>
      </c>
      <c r="H581" s="6">
        <v>0</v>
      </c>
      <c r="I581" s="41">
        <f>VLOOKUP(Tabla1[[#This Row],[PAGO DIA]],DIAS!A:B,2,0)</f>
        <v>46080</v>
      </c>
      <c r="J581" s="6">
        <v>0</v>
      </c>
      <c r="K581" s="43">
        <f>VLOOKUP(Tabla1[[#This Row],[PAGO DIA]],DIAS!A:C,3,0)</f>
        <v>46112</v>
      </c>
      <c r="L581" s="6">
        <v>0</v>
      </c>
      <c r="M581" s="41">
        <f>VLOOKUP(Tabla1[[#This Row],[PAGO DIA]],DIAS!A:D,4,0)</f>
        <v>46142</v>
      </c>
      <c r="N581" s="6">
        <v>0</v>
      </c>
      <c r="O581" s="43">
        <f>VLOOKUP(Tabla1[[#This Row],[PAGO DIA]],DIAS!A:E,5,0)</f>
        <v>46171</v>
      </c>
      <c r="P581" s="6">
        <v>0</v>
      </c>
      <c r="Q581" s="43">
        <f>VLOOKUP(Tabla1[[#This Row],[PAGO DIA]],DIAS!A:F,6,0)</f>
        <v>46203</v>
      </c>
      <c r="R581" s="6">
        <v>0</v>
      </c>
      <c r="S581" s="43">
        <f>VLOOKUP(Tabla1[[#This Row],[PAGO DIA]],DIAS!A:G,7,0)</f>
        <v>46234</v>
      </c>
      <c r="T581" s="6">
        <v>0</v>
      </c>
      <c r="U581" s="43">
        <f>VLOOKUP(Tabla1[[#This Row],[PAGO DIA]],DIAS!A:H,8,0)</f>
        <v>46265</v>
      </c>
      <c r="V581" s="6">
        <v>0</v>
      </c>
      <c r="W581" s="43">
        <f>VLOOKUP(Tabla1[[#This Row],[PAGO DIA]],DIAS!A:I,9,0)</f>
        <v>46295</v>
      </c>
      <c r="X581" s="6">
        <v>0</v>
      </c>
      <c r="Y581" s="43">
        <f>VLOOKUP(Tabla1[[#This Row],[PAGO DIA]],DIAS!A:J,10,0)</f>
        <v>46325</v>
      </c>
      <c r="Z581" s="6">
        <v>0</v>
      </c>
      <c r="AA581" s="43">
        <f>VLOOKUP(Tabla1[[#This Row],[PAGO DIA]],DIAS!A:K,11,0)</f>
        <v>46356</v>
      </c>
      <c r="AB581" s="6">
        <v>0</v>
      </c>
      <c r="AC581" s="43">
        <f>VLOOKUP(Tabla1[[#This Row],[PAGO DIA]],DIAS!A:M,12,0)</f>
        <v>46386</v>
      </c>
      <c r="AD5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2" spans="1:30">
      <c r="A582" s="3">
        <v>12036</v>
      </c>
      <c r="B582" s="3" t="s">
        <v>544</v>
      </c>
      <c r="C582" s="3" t="s">
        <v>505</v>
      </c>
      <c r="D582" s="3" t="s">
        <v>545</v>
      </c>
      <c r="E582" s="3" t="s">
        <v>1203</v>
      </c>
      <c r="F582" s="42" t="s">
        <v>631</v>
      </c>
      <c r="G582" s="3" t="s">
        <v>635</v>
      </c>
      <c r="H582" s="6">
        <v>0</v>
      </c>
      <c r="I582" s="41">
        <f>VLOOKUP(Tabla1[[#This Row],[PAGO DIA]],DIAS!A:B,2,0)</f>
        <v>46080</v>
      </c>
      <c r="J582" s="6">
        <v>0</v>
      </c>
      <c r="K582" s="43">
        <f>VLOOKUP(Tabla1[[#This Row],[PAGO DIA]],DIAS!A:C,3,0)</f>
        <v>46112</v>
      </c>
      <c r="L582" s="6">
        <v>0</v>
      </c>
      <c r="M582" s="41">
        <f>VLOOKUP(Tabla1[[#This Row],[PAGO DIA]],DIAS!A:D,4,0)</f>
        <v>46142</v>
      </c>
      <c r="N582" s="6">
        <v>0</v>
      </c>
      <c r="O582" s="43">
        <f>VLOOKUP(Tabla1[[#This Row],[PAGO DIA]],DIAS!A:E,5,0)</f>
        <v>46171</v>
      </c>
      <c r="P582" s="6">
        <v>0</v>
      </c>
      <c r="Q582" s="43">
        <f>VLOOKUP(Tabla1[[#This Row],[PAGO DIA]],DIAS!A:F,6,0)</f>
        <v>46203</v>
      </c>
      <c r="R582" s="6">
        <v>0</v>
      </c>
      <c r="S582" s="43">
        <f>VLOOKUP(Tabla1[[#This Row],[PAGO DIA]],DIAS!A:G,7,0)</f>
        <v>46234</v>
      </c>
      <c r="T582" s="6">
        <v>0</v>
      </c>
      <c r="U582" s="43">
        <f>VLOOKUP(Tabla1[[#This Row],[PAGO DIA]],DIAS!A:H,8,0)</f>
        <v>46265</v>
      </c>
      <c r="V582" s="6">
        <v>0</v>
      </c>
      <c r="W582" s="43">
        <f>VLOOKUP(Tabla1[[#This Row],[PAGO DIA]],DIAS!A:I,9,0)</f>
        <v>46295</v>
      </c>
      <c r="X582" s="6">
        <v>0</v>
      </c>
      <c r="Y582" s="43">
        <f>VLOOKUP(Tabla1[[#This Row],[PAGO DIA]],DIAS!A:J,10,0)</f>
        <v>46325</v>
      </c>
      <c r="Z582" s="6">
        <v>0</v>
      </c>
      <c r="AA582" s="43">
        <f>VLOOKUP(Tabla1[[#This Row],[PAGO DIA]],DIAS!A:K,11,0)</f>
        <v>46356</v>
      </c>
      <c r="AB582" s="6">
        <v>0</v>
      </c>
      <c r="AC582" s="43">
        <f>VLOOKUP(Tabla1[[#This Row],[PAGO DIA]],DIAS!A:M,12,0)</f>
        <v>46386</v>
      </c>
      <c r="AD5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3" spans="1:30">
      <c r="A583" s="3">
        <v>10988</v>
      </c>
      <c r="B583" s="3" t="s">
        <v>544</v>
      </c>
      <c r="C583" s="3" t="s">
        <v>505</v>
      </c>
      <c r="D583" s="3" t="s">
        <v>549</v>
      </c>
      <c r="E583" s="3" t="s">
        <v>1204</v>
      </c>
      <c r="F583" s="42" t="s">
        <v>631</v>
      </c>
      <c r="G583" s="3"/>
      <c r="H583" s="6">
        <v>0</v>
      </c>
      <c r="I583" s="41">
        <f>VLOOKUP(Tabla1[[#This Row],[PAGO DIA]],DIAS!A:B,2,0)</f>
        <v>46080</v>
      </c>
      <c r="J583" s="6">
        <v>0</v>
      </c>
      <c r="K583" s="43">
        <f>VLOOKUP(Tabla1[[#This Row],[PAGO DIA]],DIAS!A:C,3,0)</f>
        <v>46112</v>
      </c>
      <c r="L583" s="6">
        <v>0</v>
      </c>
      <c r="M583" s="41">
        <f>VLOOKUP(Tabla1[[#This Row],[PAGO DIA]],DIAS!A:D,4,0)</f>
        <v>46142</v>
      </c>
      <c r="N583" s="6">
        <v>0</v>
      </c>
      <c r="O583" s="43">
        <f>VLOOKUP(Tabla1[[#This Row],[PAGO DIA]],DIAS!A:E,5,0)</f>
        <v>46171</v>
      </c>
      <c r="P583" s="6">
        <v>0</v>
      </c>
      <c r="Q583" s="43">
        <f>VLOOKUP(Tabla1[[#This Row],[PAGO DIA]],DIAS!A:F,6,0)</f>
        <v>46203</v>
      </c>
      <c r="R583" s="6">
        <v>0</v>
      </c>
      <c r="S583" s="43">
        <f>VLOOKUP(Tabla1[[#This Row],[PAGO DIA]],DIAS!A:G,7,0)</f>
        <v>46234</v>
      </c>
      <c r="T583" s="6">
        <v>0</v>
      </c>
      <c r="U583" s="43">
        <f>VLOOKUP(Tabla1[[#This Row],[PAGO DIA]],DIAS!A:H,8,0)</f>
        <v>46265</v>
      </c>
      <c r="V583" s="6">
        <v>0</v>
      </c>
      <c r="W583" s="43">
        <f>VLOOKUP(Tabla1[[#This Row],[PAGO DIA]],DIAS!A:I,9,0)</f>
        <v>46295</v>
      </c>
      <c r="X583" s="6">
        <v>0</v>
      </c>
      <c r="Y583" s="43">
        <f>VLOOKUP(Tabla1[[#This Row],[PAGO DIA]],DIAS!A:J,10,0)</f>
        <v>46325</v>
      </c>
      <c r="Z583" s="6">
        <v>0</v>
      </c>
      <c r="AA583" s="43">
        <f>VLOOKUP(Tabla1[[#This Row],[PAGO DIA]],DIAS!A:K,11,0)</f>
        <v>46356</v>
      </c>
      <c r="AB583" s="6">
        <v>0</v>
      </c>
      <c r="AC583" s="43">
        <f>VLOOKUP(Tabla1[[#This Row],[PAGO DIA]],DIAS!A:M,12,0)</f>
        <v>46386</v>
      </c>
      <c r="AD5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4" spans="1:30">
      <c r="A584" s="3">
        <v>10989</v>
      </c>
      <c r="B584" s="3" t="s">
        <v>544</v>
      </c>
      <c r="C584" s="3" t="s">
        <v>505</v>
      </c>
      <c r="D584" s="3" t="s">
        <v>549</v>
      </c>
      <c r="E584" s="3" t="s">
        <v>1204</v>
      </c>
      <c r="F584" s="42" t="s">
        <v>631</v>
      </c>
      <c r="G584" s="3"/>
      <c r="H584" s="6">
        <v>0</v>
      </c>
      <c r="I584" s="41">
        <f>VLOOKUP(Tabla1[[#This Row],[PAGO DIA]],DIAS!A:B,2,0)</f>
        <v>46080</v>
      </c>
      <c r="J584" s="6">
        <v>0</v>
      </c>
      <c r="K584" s="43">
        <f>VLOOKUP(Tabla1[[#This Row],[PAGO DIA]],DIAS!A:C,3,0)</f>
        <v>46112</v>
      </c>
      <c r="L584" s="6">
        <v>0</v>
      </c>
      <c r="M584" s="41">
        <f>VLOOKUP(Tabla1[[#This Row],[PAGO DIA]],DIAS!A:D,4,0)</f>
        <v>46142</v>
      </c>
      <c r="N584" s="6">
        <v>0</v>
      </c>
      <c r="O584" s="43">
        <f>VLOOKUP(Tabla1[[#This Row],[PAGO DIA]],DIAS!A:E,5,0)</f>
        <v>46171</v>
      </c>
      <c r="P584" s="6">
        <v>0</v>
      </c>
      <c r="Q584" s="43">
        <f>VLOOKUP(Tabla1[[#This Row],[PAGO DIA]],DIAS!A:F,6,0)</f>
        <v>46203</v>
      </c>
      <c r="R584" s="6">
        <v>0</v>
      </c>
      <c r="S584" s="43">
        <f>VLOOKUP(Tabla1[[#This Row],[PAGO DIA]],DIAS!A:G,7,0)</f>
        <v>46234</v>
      </c>
      <c r="T584" s="6">
        <v>0</v>
      </c>
      <c r="U584" s="43">
        <f>VLOOKUP(Tabla1[[#This Row],[PAGO DIA]],DIAS!A:H,8,0)</f>
        <v>46265</v>
      </c>
      <c r="V584" s="6">
        <v>0</v>
      </c>
      <c r="W584" s="43">
        <f>VLOOKUP(Tabla1[[#This Row],[PAGO DIA]],DIAS!A:I,9,0)</f>
        <v>46295</v>
      </c>
      <c r="X584" s="6">
        <v>0</v>
      </c>
      <c r="Y584" s="43">
        <f>VLOOKUP(Tabla1[[#This Row],[PAGO DIA]],DIAS!A:J,10,0)</f>
        <v>46325</v>
      </c>
      <c r="Z584" s="6">
        <v>0</v>
      </c>
      <c r="AA584" s="43">
        <f>VLOOKUP(Tabla1[[#This Row],[PAGO DIA]],DIAS!A:K,11,0)</f>
        <v>46356</v>
      </c>
      <c r="AB584" s="6">
        <v>0</v>
      </c>
      <c r="AC584" s="43">
        <f>VLOOKUP(Tabla1[[#This Row],[PAGO DIA]],DIAS!A:M,12,0)</f>
        <v>46386</v>
      </c>
      <c r="AD5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5" spans="1:30">
      <c r="A585" s="3">
        <v>11205</v>
      </c>
      <c r="B585" s="3" t="s">
        <v>544</v>
      </c>
      <c r="C585" s="3" t="s">
        <v>505</v>
      </c>
      <c r="D585" s="3" t="s">
        <v>549</v>
      </c>
      <c r="E585" s="3" t="s">
        <v>1204</v>
      </c>
      <c r="F585" s="42" t="s">
        <v>631</v>
      </c>
      <c r="G585" s="3"/>
      <c r="H585" s="6">
        <v>0</v>
      </c>
      <c r="I585" s="41">
        <f>VLOOKUP(Tabla1[[#This Row],[PAGO DIA]],DIAS!A:B,2,0)</f>
        <v>46080</v>
      </c>
      <c r="J585" s="6">
        <v>0</v>
      </c>
      <c r="K585" s="43">
        <f>VLOOKUP(Tabla1[[#This Row],[PAGO DIA]],DIAS!A:C,3,0)</f>
        <v>46112</v>
      </c>
      <c r="L585" s="6">
        <v>0</v>
      </c>
      <c r="M585" s="41">
        <f>VLOOKUP(Tabla1[[#This Row],[PAGO DIA]],DIAS!A:D,4,0)</f>
        <v>46142</v>
      </c>
      <c r="N585" s="6">
        <v>0</v>
      </c>
      <c r="O585" s="43">
        <f>VLOOKUP(Tabla1[[#This Row],[PAGO DIA]],DIAS!A:E,5,0)</f>
        <v>46171</v>
      </c>
      <c r="P585" s="6">
        <v>0</v>
      </c>
      <c r="Q585" s="43">
        <f>VLOOKUP(Tabla1[[#This Row],[PAGO DIA]],DIAS!A:F,6,0)</f>
        <v>46203</v>
      </c>
      <c r="R585" s="6">
        <v>0</v>
      </c>
      <c r="S585" s="43">
        <f>VLOOKUP(Tabla1[[#This Row],[PAGO DIA]],DIAS!A:G,7,0)</f>
        <v>46234</v>
      </c>
      <c r="T585" s="6">
        <v>0</v>
      </c>
      <c r="U585" s="43">
        <f>VLOOKUP(Tabla1[[#This Row],[PAGO DIA]],DIAS!A:H,8,0)</f>
        <v>46265</v>
      </c>
      <c r="V585" s="6">
        <v>0</v>
      </c>
      <c r="W585" s="43">
        <f>VLOOKUP(Tabla1[[#This Row],[PAGO DIA]],DIAS!A:I,9,0)</f>
        <v>46295</v>
      </c>
      <c r="X585" s="6">
        <v>0</v>
      </c>
      <c r="Y585" s="43">
        <f>VLOOKUP(Tabla1[[#This Row],[PAGO DIA]],DIAS!A:J,10,0)</f>
        <v>46325</v>
      </c>
      <c r="Z585" s="6">
        <v>0</v>
      </c>
      <c r="AA585" s="43">
        <f>VLOOKUP(Tabla1[[#This Row],[PAGO DIA]],DIAS!A:K,11,0)</f>
        <v>46356</v>
      </c>
      <c r="AB585" s="6">
        <v>0</v>
      </c>
      <c r="AC585" s="43">
        <f>VLOOKUP(Tabla1[[#This Row],[PAGO DIA]],DIAS!A:M,12,0)</f>
        <v>46386</v>
      </c>
      <c r="AD5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6" spans="1:30">
      <c r="A586" s="3">
        <v>11206</v>
      </c>
      <c r="B586" s="3" t="s">
        <v>544</v>
      </c>
      <c r="C586" s="3" t="s">
        <v>505</v>
      </c>
      <c r="D586" s="3" t="s">
        <v>549</v>
      </c>
      <c r="E586" s="3" t="s">
        <v>1204</v>
      </c>
      <c r="F586" s="42" t="s">
        <v>631</v>
      </c>
      <c r="G586" s="3"/>
      <c r="H586" s="6">
        <v>0</v>
      </c>
      <c r="I586" s="41">
        <f>VLOOKUP(Tabla1[[#This Row],[PAGO DIA]],DIAS!A:B,2,0)</f>
        <v>46080</v>
      </c>
      <c r="J586" s="6">
        <v>0</v>
      </c>
      <c r="K586" s="43">
        <f>VLOOKUP(Tabla1[[#This Row],[PAGO DIA]],DIAS!A:C,3,0)</f>
        <v>46112</v>
      </c>
      <c r="L586" s="6">
        <v>0</v>
      </c>
      <c r="M586" s="41">
        <f>VLOOKUP(Tabla1[[#This Row],[PAGO DIA]],DIAS!A:D,4,0)</f>
        <v>46142</v>
      </c>
      <c r="N586" s="6">
        <v>0</v>
      </c>
      <c r="O586" s="43">
        <f>VLOOKUP(Tabla1[[#This Row],[PAGO DIA]],DIAS!A:E,5,0)</f>
        <v>46171</v>
      </c>
      <c r="P586" s="6">
        <v>0</v>
      </c>
      <c r="Q586" s="43">
        <f>VLOOKUP(Tabla1[[#This Row],[PAGO DIA]],DIAS!A:F,6,0)</f>
        <v>46203</v>
      </c>
      <c r="R586" s="6">
        <v>0</v>
      </c>
      <c r="S586" s="43">
        <f>VLOOKUP(Tabla1[[#This Row],[PAGO DIA]],DIAS!A:G,7,0)</f>
        <v>46234</v>
      </c>
      <c r="T586" s="6">
        <v>0</v>
      </c>
      <c r="U586" s="43">
        <f>VLOOKUP(Tabla1[[#This Row],[PAGO DIA]],DIAS!A:H,8,0)</f>
        <v>46265</v>
      </c>
      <c r="V586" s="6">
        <v>0</v>
      </c>
      <c r="W586" s="43">
        <f>VLOOKUP(Tabla1[[#This Row],[PAGO DIA]],DIAS!A:I,9,0)</f>
        <v>46295</v>
      </c>
      <c r="X586" s="6">
        <v>0</v>
      </c>
      <c r="Y586" s="43">
        <f>VLOOKUP(Tabla1[[#This Row],[PAGO DIA]],DIAS!A:J,10,0)</f>
        <v>46325</v>
      </c>
      <c r="Z586" s="6">
        <v>0</v>
      </c>
      <c r="AA586" s="43">
        <f>VLOOKUP(Tabla1[[#This Row],[PAGO DIA]],DIAS!A:K,11,0)</f>
        <v>46356</v>
      </c>
      <c r="AB586" s="6">
        <v>0</v>
      </c>
      <c r="AC586" s="43">
        <f>VLOOKUP(Tabla1[[#This Row],[PAGO DIA]],DIAS!A:M,12,0)</f>
        <v>46386</v>
      </c>
      <c r="AD5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7" spans="1:30">
      <c r="A587" s="3">
        <v>12822</v>
      </c>
      <c r="B587" s="3" t="s">
        <v>544</v>
      </c>
      <c r="C587" s="3" t="s">
        <v>505</v>
      </c>
      <c r="D587" s="3" t="s">
        <v>545</v>
      </c>
      <c r="E587" s="3" t="s">
        <v>1205</v>
      </c>
      <c r="F587" s="42" t="s">
        <v>631</v>
      </c>
      <c r="G587" s="3" t="s">
        <v>1206</v>
      </c>
      <c r="H587" s="6">
        <v>0</v>
      </c>
      <c r="I587" s="41">
        <f>VLOOKUP(Tabla1[[#This Row],[PAGO DIA]],DIAS!A:B,2,0)</f>
        <v>46080</v>
      </c>
      <c r="J587" s="6">
        <v>0</v>
      </c>
      <c r="K587" s="43">
        <f>VLOOKUP(Tabla1[[#This Row],[PAGO DIA]],DIAS!A:C,3,0)</f>
        <v>46112</v>
      </c>
      <c r="L587" s="6">
        <v>0</v>
      </c>
      <c r="M587" s="41">
        <f>VLOOKUP(Tabla1[[#This Row],[PAGO DIA]],DIAS!A:D,4,0)</f>
        <v>46142</v>
      </c>
      <c r="N587" s="6">
        <v>0</v>
      </c>
      <c r="O587" s="43">
        <f>VLOOKUP(Tabla1[[#This Row],[PAGO DIA]],DIAS!A:E,5,0)</f>
        <v>46171</v>
      </c>
      <c r="P587" s="6">
        <v>0</v>
      </c>
      <c r="Q587" s="43">
        <f>VLOOKUP(Tabla1[[#This Row],[PAGO DIA]],DIAS!A:F,6,0)</f>
        <v>46203</v>
      </c>
      <c r="R587" s="6">
        <v>0</v>
      </c>
      <c r="S587" s="43">
        <f>VLOOKUP(Tabla1[[#This Row],[PAGO DIA]],DIAS!A:G,7,0)</f>
        <v>46234</v>
      </c>
      <c r="T587" s="6">
        <v>0</v>
      </c>
      <c r="U587" s="43">
        <f>VLOOKUP(Tabla1[[#This Row],[PAGO DIA]],DIAS!A:H,8,0)</f>
        <v>46265</v>
      </c>
      <c r="V587" s="6">
        <v>0</v>
      </c>
      <c r="W587" s="43">
        <f>VLOOKUP(Tabla1[[#This Row],[PAGO DIA]],DIAS!A:I,9,0)</f>
        <v>46295</v>
      </c>
      <c r="X587" s="6">
        <v>0</v>
      </c>
      <c r="Y587" s="43">
        <f>VLOOKUP(Tabla1[[#This Row],[PAGO DIA]],DIAS!A:J,10,0)</f>
        <v>46325</v>
      </c>
      <c r="Z587" s="6">
        <v>0</v>
      </c>
      <c r="AA587" s="43">
        <f>VLOOKUP(Tabla1[[#This Row],[PAGO DIA]],DIAS!A:K,11,0)</f>
        <v>46356</v>
      </c>
      <c r="AB587" s="6">
        <v>0</v>
      </c>
      <c r="AC587" s="43">
        <f>VLOOKUP(Tabla1[[#This Row],[PAGO DIA]],DIAS!A:M,12,0)</f>
        <v>46386</v>
      </c>
      <c r="AD5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8" spans="1:30">
      <c r="A588" s="3">
        <v>12824</v>
      </c>
      <c r="B588" s="3" t="s">
        <v>544</v>
      </c>
      <c r="C588" s="3" t="s">
        <v>505</v>
      </c>
      <c r="D588" s="3" t="s">
        <v>545</v>
      </c>
      <c r="E588" s="3" t="s">
        <v>1205</v>
      </c>
      <c r="F588" s="42" t="s">
        <v>631</v>
      </c>
      <c r="G588" s="3" t="s">
        <v>1207</v>
      </c>
      <c r="H588" s="6">
        <v>0</v>
      </c>
      <c r="I588" s="41">
        <f>VLOOKUP(Tabla1[[#This Row],[PAGO DIA]],DIAS!A:B,2,0)</f>
        <v>46080</v>
      </c>
      <c r="J588" s="6">
        <v>0</v>
      </c>
      <c r="K588" s="43">
        <f>VLOOKUP(Tabla1[[#This Row],[PAGO DIA]],DIAS!A:C,3,0)</f>
        <v>46112</v>
      </c>
      <c r="L588" s="6">
        <v>0</v>
      </c>
      <c r="M588" s="41">
        <f>VLOOKUP(Tabla1[[#This Row],[PAGO DIA]],DIAS!A:D,4,0)</f>
        <v>46142</v>
      </c>
      <c r="N588" s="6">
        <v>0</v>
      </c>
      <c r="O588" s="43">
        <f>VLOOKUP(Tabla1[[#This Row],[PAGO DIA]],DIAS!A:E,5,0)</f>
        <v>46171</v>
      </c>
      <c r="P588" s="6">
        <v>0</v>
      </c>
      <c r="Q588" s="43">
        <f>VLOOKUP(Tabla1[[#This Row],[PAGO DIA]],DIAS!A:F,6,0)</f>
        <v>46203</v>
      </c>
      <c r="R588" s="6">
        <v>0</v>
      </c>
      <c r="S588" s="43">
        <f>VLOOKUP(Tabla1[[#This Row],[PAGO DIA]],DIAS!A:G,7,0)</f>
        <v>46234</v>
      </c>
      <c r="T588" s="6">
        <v>0</v>
      </c>
      <c r="U588" s="43">
        <f>VLOOKUP(Tabla1[[#This Row],[PAGO DIA]],DIAS!A:H,8,0)</f>
        <v>46265</v>
      </c>
      <c r="V588" s="6">
        <v>0</v>
      </c>
      <c r="W588" s="43">
        <f>VLOOKUP(Tabla1[[#This Row],[PAGO DIA]],DIAS!A:I,9,0)</f>
        <v>46295</v>
      </c>
      <c r="X588" s="6">
        <v>0</v>
      </c>
      <c r="Y588" s="43">
        <f>VLOOKUP(Tabla1[[#This Row],[PAGO DIA]],DIAS!A:J,10,0)</f>
        <v>46325</v>
      </c>
      <c r="Z588" s="6">
        <v>0</v>
      </c>
      <c r="AA588" s="43">
        <f>VLOOKUP(Tabla1[[#This Row],[PAGO DIA]],DIAS!A:K,11,0)</f>
        <v>46356</v>
      </c>
      <c r="AB588" s="6">
        <v>0</v>
      </c>
      <c r="AC588" s="43">
        <f>VLOOKUP(Tabla1[[#This Row],[PAGO DIA]],DIAS!A:M,12,0)</f>
        <v>46386</v>
      </c>
      <c r="AD5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89" spans="1:30">
      <c r="A589" s="3">
        <v>11043</v>
      </c>
      <c r="B589" s="3" t="s">
        <v>544</v>
      </c>
      <c r="C589" s="3" t="s">
        <v>505</v>
      </c>
      <c r="D589" s="3" t="s">
        <v>545</v>
      </c>
      <c r="E589" s="3" t="s">
        <v>1208</v>
      </c>
      <c r="F589" s="42" t="s">
        <v>631</v>
      </c>
      <c r="G589" s="3"/>
      <c r="H589" s="6">
        <v>0</v>
      </c>
      <c r="I589" s="41">
        <f>VLOOKUP(Tabla1[[#This Row],[PAGO DIA]],DIAS!A:B,2,0)</f>
        <v>46080</v>
      </c>
      <c r="J589" s="6">
        <v>0</v>
      </c>
      <c r="K589" s="43">
        <f>VLOOKUP(Tabla1[[#This Row],[PAGO DIA]],DIAS!A:C,3,0)</f>
        <v>46112</v>
      </c>
      <c r="L589" s="6">
        <v>0</v>
      </c>
      <c r="M589" s="41">
        <f>VLOOKUP(Tabla1[[#This Row],[PAGO DIA]],DIAS!A:D,4,0)</f>
        <v>46142</v>
      </c>
      <c r="N589" s="6">
        <v>0</v>
      </c>
      <c r="O589" s="43">
        <f>VLOOKUP(Tabla1[[#This Row],[PAGO DIA]],DIAS!A:E,5,0)</f>
        <v>46171</v>
      </c>
      <c r="P589" s="6">
        <v>0</v>
      </c>
      <c r="Q589" s="43">
        <f>VLOOKUP(Tabla1[[#This Row],[PAGO DIA]],DIAS!A:F,6,0)</f>
        <v>46203</v>
      </c>
      <c r="R589" s="6">
        <v>0</v>
      </c>
      <c r="S589" s="43">
        <f>VLOOKUP(Tabla1[[#This Row],[PAGO DIA]],DIAS!A:G,7,0)</f>
        <v>46234</v>
      </c>
      <c r="T589" s="6">
        <v>0</v>
      </c>
      <c r="U589" s="43">
        <f>VLOOKUP(Tabla1[[#This Row],[PAGO DIA]],DIAS!A:H,8,0)</f>
        <v>46265</v>
      </c>
      <c r="V589" s="6">
        <v>0</v>
      </c>
      <c r="W589" s="43">
        <f>VLOOKUP(Tabla1[[#This Row],[PAGO DIA]],DIAS!A:I,9,0)</f>
        <v>46295</v>
      </c>
      <c r="X589" s="6">
        <v>0</v>
      </c>
      <c r="Y589" s="43">
        <f>VLOOKUP(Tabla1[[#This Row],[PAGO DIA]],DIAS!A:J,10,0)</f>
        <v>46325</v>
      </c>
      <c r="Z589" s="6">
        <v>0</v>
      </c>
      <c r="AA589" s="43">
        <f>VLOOKUP(Tabla1[[#This Row],[PAGO DIA]],DIAS!A:K,11,0)</f>
        <v>46356</v>
      </c>
      <c r="AB589" s="6">
        <v>0</v>
      </c>
      <c r="AC589" s="43">
        <f>VLOOKUP(Tabla1[[#This Row],[PAGO DIA]],DIAS!A:M,12,0)</f>
        <v>46386</v>
      </c>
      <c r="AD5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0" spans="1:30">
      <c r="A590" s="3">
        <v>11284</v>
      </c>
      <c r="B590" s="3" t="s">
        <v>544</v>
      </c>
      <c r="C590" s="3" t="s">
        <v>505</v>
      </c>
      <c r="D590" s="3" t="s">
        <v>545</v>
      </c>
      <c r="E590" s="3" t="s">
        <v>1208</v>
      </c>
      <c r="F590" s="42" t="s">
        <v>631</v>
      </c>
      <c r="G590" s="3" t="s">
        <v>1209</v>
      </c>
      <c r="H590" s="6">
        <v>0</v>
      </c>
      <c r="I590" s="41">
        <f>VLOOKUP(Tabla1[[#This Row],[PAGO DIA]],DIAS!A:B,2,0)</f>
        <v>46080</v>
      </c>
      <c r="J590" s="6">
        <v>0</v>
      </c>
      <c r="K590" s="43">
        <f>VLOOKUP(Tabla1[[#This Row],[PAGO DIA]],DIAS!A:C,3,0)</f>
        <v>46112</v>
      </c>
      <c r="L590" s="6">
        <v>0</v>
      </c>
      <c r="M590" s="41">
        <f>VLOOKUP(Tabla1[[#This Row],[PAGO DIA]],DIAS!A:D,4,0)</f>
        <v>46142</v>
      </c>
      <c r="N590" s="6">
        <v>0</v>
      </c>
      <c r="O590" s="43">
        <f>VLOOKUP(Tabla1[[#This Row],[PAGO DIA]],DIAS!A:E,5,0)</f>
        <v>46171</v>
      </c>
      <c r="P590" s="6">
        <v>0</v>
      </c>
      <c r="Q590" s="43">
        <f>VLOOKUP(Tabla1[[#This Row],[PAGO DIA]],DIAS!A:F,6,0)</f>
        <v>46203</v>
      </c>
      <c r="R590" s="6">
        <v>0</v>
      </c>
      <c r="S590" s="43">
        <f>VLOOKUP(Tabla1[[#This Row],[PAGO DIA]],DIAS!A:G,7,0)</f>
        <v>46234</v>
      </c>
      <c r="T590" s="6">
        <v>0</v>
      </c>
      <c r="U590" s="43">
        <f>VLOOKUP(Tabla1[[#This Row],[PAGO DIA]],DIAS!A:H,8,0)</f>
        <v>46265</v>
      </c>
      <c r="V590" s="6">
        <v>0</v>
      </c>
      <c r="W590" s="43">
        <f>VLOOKUP(Tabla1[[#This Row],[PAGO DIA]],DIAS!A:I,9,0)</f>
        <v>46295</v>
      </c>
      <c r="X590" s="6">
        <v>0</v>
      </c>
      <c r="Y590" s="43">
        <f>VLOOKUP(Tabla1[[#This Row],[PAGO DIA]],DIAS!A:J,10,0)</f>
        <v>46325</v>
      </c>
      <c r="Z590" s="6">
        <v>0</v>
      </c>
      <c r="AA590" s="43">
        <f>VLOOKUP(Tabla1[[#This Row],[PAGO DIA]],DIAS!A:K,11,0)</f>
        <v>46356</v>
      </c>
      <c r="AB590" s="6">
        <v>0</v>
      </c>
      <c r="AC590" s="43">
        <f>VLOOKUP(Tabla1[[#This Row],[PAGO DIA]],DIAS!A:M,12,0)</f>
        <v>46386</v>
      </c>
      <c r="AD5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1" spans="1:30">
      <c r="A591" s="3">
        <v>11442</v>
      </c>
      <c r="B591" s="3" t="s">
        <v>544</v>
      </c>
      <c r="C591" s="3" t="s">
        <v>540</v>
      </c>
      <c r="D591" s="3" t="s">
        <v>545</v>
      </c>
      <c r="E591" s="3" t="s">
        <v>1208</v>
      </c>
      <c r="F591" s="42" t="s">
        <v>631</v>
      </c>
      <c r="G591" s="3" t="s">
        <v>1210</v>
      </c>
      <c r="H591" s="6">
        <v>0</v>
      </c>
      <c r="I591" s="41">
        <f>VLOOKUP(Tabla1[[#This Row],[PAGO DIA]],DIAS!A:B,2,0)</f>
        <v>46080</v>
      </c>
      <c r="J591" s="6">
        <v>0</v>
      </c>
      <c r="K591" s="43">
        <f>VLOOKUP(Tabla1[[#This Row],[PAGO DIA]],DIAS!A:C,3,0)</f>
        <v>46112</v>
      </c>
      <c r="L591" s="6">
        <v>0</v>
      </c>
      <c r="M591" s="41">
        <f>VLOOKUP(Tabla1[[#This Row],[PAGO DIA]],DIAS!A:D,4,0)</f>
        <v>46142</v>
      </c>
      <c r="N591" s="6">
        <v>0</v>
      </c>
      <c r="O591" s="43">
        <f>VLOOKUP(Tabla1[[#This Row],[PAGO DIA]],DIAS!A:E,5,0)</f>
        <v>46171</v>
      </c>
      <c r="P591" s="6">
        <v>0</v>
      </c>
      <c r="Q591" s="43">
        <f>VLOOKUP(Tabla1[[#This Row],[PAGO DIA]],DIAS!A:F,6,0)</f>
        <v>46203</v>
      </c>
      <c r="R591" s="6">
        <v>0</v>
      </c>
      <c r="S591" s="43">
        <f>VLOOKUP(Tabla1[[#This Row],[PAGO DIA]],DIAS!A:G,7,0)</f>
        <v>46234</v>
      </c>
      <c r="T591" s="6">
        <v>0</v>
      </c>
      <c r="U591" s="43">
        <f>VLOOKUP(Tabla1[[#This Row],[PAGO DIA]],DIAS!A:H,8,0)</f>
        <v>46265</v>
      </c>
      <c r="V591" s="6">
        <v>0</v>
      </c>
      <c r="W591" s="43">
        <f>VLOOKUP(Tabla1[[#This Row],[PAGO DIA]],DIAS!A:I,9,0)</f>
        <v>46295</v>
      </c>
      <c r="X591" s="6">
        <v>0</v>
      </c>
      <c r="Y591" s="43">
        <f>VLOOKUP(Tabla1[[#This Row],[PAGO DIA]],DIAS!A:J,10,0)</f>
        <v>46325</v>
      </c>
      <c r="Z591" s="6">
        <v>0</v>
      </c>
      <c r="AA591" s="43">
        <f>VLOOKUP(Tabla1[[#This Row],[PAGO DIA]],DIAS!A:K,11,0)</f>
        <v>46356</v>
      </c>
      <c r="AB591" s="6">
        <v>0</v>
      </c>
      <c r="AC591" s="43">
        <f>VLOOKUP(Tabla1[[#This Row],[PAGO DIA]],DIAS!A:M,12,0)</f>
        <v>46386</v>
      </c>
      <c r="AD5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2" spans="1:30">
      <c r="A592" s="3">
        <v>11443</v>
      </c>
      <c r="B592" s="3" t="s">
        <v>544</v>
      </c>
      <c r="C592" s="3" t="s">
        <v>540</v>
      </c>
      <c r="D592" s="3" t="s">
        <v>545</v>
      </c>
      <c r="E592" s="3" t="s">
        <v>1208</v>
      </c>
      <c r="F592" s="42" t="s">
        <v>631</v>
      </c>
      <c r="G592" s="3" t="s">
        <v>1211</v>
      </c>
      <c r="H592" s="6">
        <v>0</v>
      </c>
      <c r="I592" s="41">
        <f>VLOOKUP(Tabla1[[#This Row],[PAGO DIA]],DIAS!A:B,2,0)</f>
        <v>46080</v>
      </c>
      <c r="J592" s="6">
        <v>0</v>
      </c>
      <c r="K592" s="43">
        <f>VLOOKUP(Tabla1[[#This Row],[PAGO DIA]],DIAS!A:C,3,0)</f>
        <v>46112</v>
      </c>
      <c r="L592" s="6">
        <v>0</v>
      </c>
      <c r="M592" s="41">
        <f>VLOOKUP(Tabla1[[#This Row],[PAGO DIA]],DIAS!A:D,4,0)</f>
        <v>46142</v>
      </c>
      <c r="N592" s="6">
        <v>0</v>
      </c>
      <c r="O592" s="43">
        <f>VLOOKUP(Tabla1[[#This Row],[PAGO DIA]],DIAS!A:E,5,0)</f>
        <v>46171</v>
      </c>
      <c r="P592" s="6">
        <v>0</v>
      </c>
      <c r="Q592" s="43">
        <f>VLOOKUP(Tabla1[[#This Row],[PAGO DIA]],DIAS!A:F,6,0)</f>
        <v>46203</v>
      </c>
      <c r="R592" s="6">
        <v>0</v>
      </c>
      <c r="S592" s="43">
        <f>VLOOKUP(Tabla1[[#This Row],[PAGO DIA]],DIAS!A:G,7,0)</f>
        <v>46234</v>
      </c>
      <c r="T592" s="6">
        <v>0</v>
      </c>
      <c r="U592" s="43">
        <f>VLOOKUP(Tabla1[[#This Row],[PAGO DIA]],DIAS!A:H,8,0)</f>
        <v>46265</v>
      </c>
      <c r="V592" s="6">
        <v>0</v>
      </c>
      <c r="W592" s="43">
        <f>VLOOKUP(Tabla1[[#This Row],[PAGO DIA]],DIAS!A:I,9,0)</f>
        <v>46295</v>
      </c>
      <c r="X592" s="6">
        <v>0</v>
      </c>
      <c r="Y592" s="43">
        <f>VLOOKUP(Tabla1[[#This Row],[PAGO DIA]],DIAS!A:J,10,0)</f>
        <v>46325</v>
      </c>
      <c r="Z592" s="6">
        <v>0</v>
      </c>
      <c r="AA592" s="43">
        <f>VLOOKUP(Tabla1[[#This Row],[PAGO DIA]],DIAS!A:K,11,0)</f>
        <v>46356</v>
      </c>
      <c r="AB592" s="6">
        <v>0</v>
      </c>
      <c r="AC592" s="43">
        <f>VLOOKUP(Tabla1[[#This Row],[PAGO DIA]],DIAS!A:M,12,0)</f>
        <v>46386</v>
      </c>
      <c r="AD5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3" spans="1:30">
      <c r="A593" s="3">
        <v>12114</v>
      </c>
      <c r="B593" s="3" t="s">
        <v>544</v>
      </c>
      <c r="C593" s="3" t="s">
        <v>540</v>
      </c>
      <c r="D593" s="3" t="s">
        <v>545</v>
      </c>
      <c r="E593" s="3" t="s">
        <v>1212</v>
      </c>
      <c r="F593" s="42" t="s">
        <v>631</v>
      </c>
      <c r="G593" s="3" t="s">
        <v>1213</v>
      </c>
      <c r="H593" s="6">
        <v>0</v>
      </c>
      <c r="I593" s="41">
        <f>VLOOKUP(Tabla1[[#This Row],[PAGO DIA]],DIAS!A:B,2,0)</f>
        <v>46080</v>
      </c>
      <c r="J593" s="6">
        <v>0</v>
      </c>
      <c r="K593" s="43">
        <f>VLOOKUP(Tabla1[[#This Row],[PAGO DIA]],DIAS!A:C,3,0)</f>
        <v>46112</v>
      </c>
      <c r="L593" s="6">
        <v>0</v>
      </c>
      <c r="M593" s="41">
        <f>VLOOKUP(Tabla1[[#This Row],[PAGO DIA]],DIAS!A:D,4,0)</f>
        <v>46142</v>
      </c>
      <c r="N593" s="6">
        <v>0</v>
      </c>
      <c r="O593" s="43">
        <f>VLOOKUP(Tabla1[[#This Row],[PAGO DIA]],DIAS!A:E,5,0)</f>
        <v>46171</v>
      </c>
      <c r="P593" s="6">
        <v>0</v>
      </c>
      <c r="Q593" s="43">
        <f>VLOOKUP(Tabla1[[#This Row],[PAGO DIA]],DIAS!A:F,6,0)</f>
        <v>46203</v>
      </c>
      <c r="R593" s="6">
        <v>0</v>
      </c>
      <c r="S593" s="43">
        <f>VLOOKUP(Tabla1[[#This Row],[PAGO DIA]],DIAS!A:G,7,0)</f>
        <v>46234</v>
      </c>
      <c r="T593" s="6">
        <v>0</v>
      </c>
      <c r="U593" s="43">
        <f>VLOOKUP(Tabla1[[#This Row],[PAGO DIA]],DIAS!A:H,8,0)</f>
        <v>46265</v>
      </c>
      <c r="V593" s="6">
        <v>0</v>
      </c>
      <c r="W593" s="43">
        <f>VLOOKUP(Tabla1[[#This Row],[PAGO DIA]],DIAS!A:I,9,0)</f>
        <v>46295</v>
      </c>
      <c r="X593" s="6">
        <v>0</v>
      </c>
      <c r="Y593" s="43">
        <f>VLOOKUP(Tabla1[[#This Row],[PAGO DIA]],DIAS!A:J,10,0)</f>
        <v>46325</v>
      </c>
      <c r="Z593" s="6">
        <v>0</v>
      </c>
      <c r="AA593" s="43">
        <f>VLOOKUP(Tabla1[[#This Row],[PAGO DIA]],DIAS!A:K,11,0)</f>
        <v>46356</v>
      </c>
      <c r="AB593" s="6">
        <v>0</v>
      </c>
      <c r="AC593" s="43">
        <f>VLOOKUP(Tabla1[[#This Row],[PAGO DIA]],DIAS!A:M,12,0)</f>
        <v>46386</v>
      </c>
      <c r="AD5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4" spans="1:30">
      <c r="A594" s="3">
        <v>12826</v>
      </c>
      <c r="B594" s="3" t="s">
        <v>544</v>
      </c>
      <c r="C594" s="3" t="s">
        <v>505</v>
      </c>
      <c r="D594" s="3" t="s">
        <v>545</v>
      </c>
      <c r="E594" s="3" t="s">
        <v>1214</v>
      </c>
      <c r="F594" s="42" t="s">
        <v>631</v>
      </c>
      <c r="G594" s="3" t="s">
        <v>1215</v>
      </c>
      <c r="H594" s="6">
        <v>0</v>
      </c>
      <c r="I594" s="41">
        <f>VLOOKUP(Tabla1[[#This Row],[PAGO DIA]],DIAS!A:B,2,0)</f>
        <v>46080</v>
      </c>
      <c r="J594" s="6">
        <v>0</v>
      </c>
      <c r="K594" s="43">
        <f>VLOOKUP(Tabla1[[#This Row],[PAGO DIA]],DIAS!A:C,3,0)</f>
        <v>46112</v>
      </c>
      <c r="L594" s="6">
        <v>0</v>
      </c>
      <c r="M594" s="41">
        <f>VLOOKUP(Tabla1[[#This Row],[PAGO DIA]],DIAS!A:D,4,0)</f>
        <v>46142</v>
      </c>
      <c r="N594" s="6">
        <v>0</v>
      </c>
      <c r="O594" s="43">
        <f>VLOOKUP(Tabla1[[#This Row],[PAGO DIA]],DIAS!A:E,5,0)</f>
        <v>46171</v>
      </c>
      <c r="P594" s="6">
        <v>0</v>
      </c>
      <c r="Q594" s="43">
        <f>VLOOKUP(Tabla1[[#This Row],[PAGO DIA]],DIAS!A:F,6,0)</f>
        <v>46203</v>
      </c>
      <c r="R594" s="6">
        <v>0</v>
      </c>
      <c r="S594" s="43">
        <f>VLOOKUP(Tabla1[[#This Row],[PAGO DIA]],DIAS!A:G,7,0)</f>
        <v>46234</v>
      </c>
      <c r="T594" s="6">
        <v>0</v>
      </c>
      <c r="U594" s="43">
        <f>VLOOKUP(Tabla1[[#This Row],[PAGO DIA]],DIAS!A:H,8,0)</f>
        <v>46265</v>
      </c>
      <c r="V594" s="6">
        <v>0</v>
      </c>
      <c r="W594" s="43">
        <f>VLOOKUP(Tabla1[[#This Row],[PAGO DIA]],DIAS!A:I,9,0)</f>
        <v>46295</v>
      </c>
      <c r="X594" s="6">
        <v>0</v>
      </c>
      <c r="Y594" s="43">
        <f>VLOOKUP(Tabla1[[#This Row],[PAGO DIA]],DIAS!A:J,10,0)</f>
        <v>46325</v>
      </c>
      <c r="Z594" s="6">
        <v>0</v>
      </c>
      <c r="AA594" s="43">
        <f>VLOOKUP(Tabla1[[#This Row],[PAGO DIA]],DIAS!A:K,11,0)</f>
        <v>46356</v>
      </c>
      <c r="AB594" s="6">
        <v>0</v>
      </c>
      <c r="AC594" s="43">
        <f>VLOOKUP(Tabla1[[#This Row],[PAGO DIA]],DIAS!A:M,12,0)</f>
        <v>46386</v>
      </c>
      <c r="AD5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5" spans="1:30">
      <c r="A595" s="3">
        <v>12815</v>
      </c>
      <c r="B595" s="3" t="s">
        <v>544</v>
      </c>
      <c r="C595" s="3" t="s">
        <v>505</v>
      </c>
      <c r="D595" s="3" t="s">
        <v>545</v>
      </c>
      <c r="E595" s="3" t="s">
        <v>1216</v>
      </c>
      <c r="F595" s="42" t="s">
        <v>631</v>
      </c>
      <c r="G595" s="3" t="s">
        <v>1217</v>
      </c>
      <c r="H595" s="6">
        <v>0</v>
      </c>
      <c r="I595" s="41">
        <f>VLOOKUP(Tabla1[[#This Row],[PAGO DIA]],DIAS!A:B,2,0)</f>
        <v>46080</v>
      </c>
      <c r="J595" s="6">
        <v>0</v>
      </c>
      <c r="K595" s="43">
        <f>VLOOKUP(Tabla1[[#This Row],[PAGO DIA]],DIAS!A:C,3,0)</f>
        <v>46112</v>
      </c>
      <c r="L595" s="6">
        <v>0</v>
      </c>
      <c r="M595" s="41">
        <f>VLOOKUP(Tabla1[[#This Row],[PAGO DIA]],DIAS!A:D,4,0)</f>
        <v>46142</v>
      </c>
      <c r="N595" s="6">
        <v>0</v>
      </c>
      <c r="O595" s="43">
        <f>VLOOKUP(Tabla1[[#This Row],[PAGO DIA]],DIAS!A:E,5,0)</f>
        <v>46171</v>
      </c>
      <c r="P595" s="6">
        <v>0</v>
      </c>
      <c r="Q595" s="43">
        <f>VLOOKUP(Tabla1[[#This Row],[PAGO DIA]],DIAS!A:F,6,0)</f>
        <v>46203</v>
      </c>
      <c r="R595" s="6">
        <v>0</v>
      </c>
      <c r="S595" s="43">
        <f>VLOOKUP(Tabla1[[#This Row],[PAGO DIA]],DIAS!A:G,7,0)</f>
        <v>46234</v>
      </c>
      <c r="T595" s="6">
        <v>0</v>
      </c>
      <c r="U595" s="43">
        <f>VLOOKUP(Tabla1[[#This Row],[PAGO DIA]],DIAS!A:H,8,0)</f>
        <v>46265</v>
      </c>
      <c r="V595" s="6">
        <v>0</v>
      </c>
      <c r="W595" s="43">
        <f>VLOOKUP(Tabla1[[#This Row],[PAGO DIA]],DIAS!A:I,9,0)</f>
        <v>46295</v>
      </c>
      <c r="X595" s="6">
        <v>0</v>
      </c>
      <c r="Y595" s="43">
        <f>VLOOKUP(Tabla1[[#This Row],[PAGO DIA]],DIAS!A:J,10,0)</f>
        <v>46325</v>
      </c>
      <c r="Z595" s="6">
        <v>0</v>
      </c>
      <c r="AA595" s="43">
        <f>VLOOKUP(Tabla1[[#This Row],[PAGO DIA]],DIAS!A:K,11,0)</f>
        <v>46356</v>
      </c>
      <c r="AB595" s="6">
        <v>0</v>
      </c>
      <c r="AC595" s="43">
        <f>VLOOKUP(Tabla1[[#This Row],[PAGO DIA]],DIAS!A:M,12,0)</f>
        <v>46386</v>
      </c>
      <c r="AD5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6" spans="1:30">
      <c r="A596" s="3">
        <v>12827</v>
      </c>
      <c r="B596" s="3" t="s">
        <v>544</v>
      </c>
      <c r="C596" s="3" t="s">
        <v>505</v>
      </c>
      <c r="D596" s="3" t="s">
        <v>545</v>
      </c>
      <c r="E596" s="3" t="s">
        <v>1218</v>
      </c>
      <c r="F596" s="42" t="s">
        <v>631</v>
      </c>
      <c r="G596" s="3" t="s">
        <v>1219</v>
      </c>
      <c r="H596" s="6">
        <v>0</v>
      </c>
      <c r="I596" s="41">
        <f>VLOOKUP(Tabla1[[#This Row],[PAGO DIA]],DIAS!A:B,2,0)</f>
        <v>46080</v>
      </c>
      <c r="J596" s="6">
        <v>0</v>
      </c>
      <c r="K596" s="43">
        <f>VLOOKUP(Tabla1[[#This Row],[PAGO DIA]],DIAS!A:C,3,0)</f>
        <v>46112</v>
      </c>
      <c r="L596" s="6">
        <v>0</v>
      </c>
      <c r="M596" s="41">
        <f>VLOOKUP(Tabla1[[#This Row],[PAGO DIA]],DIAS!A:D,4,0)</f>
        <v>46142</v>
      </c>
      <c r="N596" s="6">
        <v>0</v>
      </c>
      <c r="O596" s="43">
        <f>VLOOKUP(Tabla1[[#This Row],[PAGO DIA]],DIAS!A:E,5,0)</f>
        <v>46171</v>
      </c>
      <c r="P596" s="6">
        <v>0</v>
      </c>
      <c r="Q596" s="43">
        <f>VLOOKUP(Tabla1[[#This Row],[PAGO DIA]],DIAS!A:F,6,0)</f>
        <v>46203</v>
      </c>
      <c r="R596" s="6">
        <v>0</v>
      </c>
      <c r="S596" s="43">
        <f>VLOOKUP(Tabla1[[#This Row],[PAGO DIA]],DIAS!A:G,7,0)</f>
        <v>46234</v>
      </c>
      <c r="T596" s="6">
        <v>0</v>
      </c>
      <c r="U596" s="43">
        <f>VLOOKUP(Tabla1[[#This Row],[PAGO DIA]],DIAS!A:H,8,0)</f>
        <v>46265</v>
      </c>
      <c r="V596" s="6">
        <v>0</v>
      </c>
      <c r="W596" s="43">
        <f>VLOOKUP(Tabla1[[#This Row],[PAGO DIA]],DIAS!A:I,9,0)</f>
        <v>46295</v>
      </c>
      <c r="X596" s="6">
        <v>0</v>
      </c>
      <c r="Y596" s="43">
        <f>VLOOKUP(Tabla1[[#This Row],[PAGO DIA]],DIAS!A:J,10,0)</f>
        <v>46325</v>
      </c>
      <c r="Z596" s="6">
        <v>0</v>
      </c>
      <c r="AA596" s="43">
        <f>VLOOKUP(Tabla1[[#This Row],[PAGO DIA]],DIAS!A:K,11,0)</f>
        <v>46356</v>
      </c>
      <c r="AB596" s="6">
        <v>0</v>
      </c>
      <c r="AC596" s="43">
        <f>VLOOKUP(Tabla1[[#This Row],[PAGO DIA]],DIAS!A:M,12,0)</f>
        <v>46386</v>
      </c>
      <c r="AD5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7" spans="1:30">
      <c r="A597" s="3">
        <v>12828</v>
      </c>
      <c r="B597" s="3" t="s">
        <v>544</v>
      </c>
      <c r="C597" s="3" t="s">
        <v>505</v>
      </c>
      <c r="D597" s="3" t="s">
        <v>545</v>
      </c>
      <c r="E597" s="3" t="s">
        <v>1218</v>
      </c>
      <c r="F597" s="42" t="s">
        <v>631</v>
      </c>
      <c r="G597" s="3" t="s">
        <v>1220</v>
      </c>
      <c r="H597" s="6">
        <v>0</v>
      </c>
      <c r="I597" s="41">
        <f>VLOOKUP(Tabla1[[#This Row],[PAGO DIA]],DIAS!A:B,2,0)</f>
        <v>46080</v>
      </c>
      <c r="J597" s="6">
        <v>0</v>
      </c>
      <c r="K597" s="43">
        <f>VLOOKUP(Tabla1[[#This Row],[PAGO DIA]],DIAS!A:C,3,0)</f>
        <v>46112</v>
      </c>
      <c r="L597" s="6">
        <v>0</v>
      </c>
      <c r="M597" s="41">
        <f>VLOOKUP(Tabla1[[#This Row],[PAGO DIA]],DIAS!A:D,4,0)</f>
        <v>46142</v>
      </c>
      <c r="N597" s="6">
        <v>0</v>
      </c>
      <c r="O597" s="43">
        <f>VLOOKUP(Tabla1[[#This Row],[PAGO DIA]],DIAS!A:E,5,0)</f>
        <v>46171</v>
      </c>
      <c r="P597" s="6">
        <v>0</v>
      </c>
      <c r="Q597" s="43">
        <f>VLOOKUP(Tabla1[[#This Row],[PAGO DIA]],DIAS!A:F,6,0)</f>
        <v>46203</v>
      </c>
      <c r="R597" s="6">
        <v>0</v>
      </c>
      <c r="S597" s="43">
        <f>VLOOKUP(Tabla1[[#This Row],[PAGO DIA]],DIAS!A:G,7,0)</f>
        <v>46234</v>
      </c>
      <c r="T597" s="6">
        <v>0</v>
      </c>
      <c r="U597" s="43">
        <f>VLOOKUP(Tabla1[[#This Row],[PAGO DIA]],DIAS!A:H,8,0)</f>
        <v>46265</v>
      </c>
      <c r="V597" s="6">
        <v>0</v>
      </c>
      <c r="W597" s="43">
        <f>VLOOKUP(Tabla1[[#This Row],[PAGO DIA]],DIAS!A:I,9,0)</f>
        <v>46295</v>
      </c>
      <c r="X597" s="6">
        <v>0</v>
      </c>
      <c r="Y597" s="43">
        <f>VLOOKUP(Tabla1[[#This Row],[PAGO DIA]],DIAS!A:J,10,0)</f>
        <v>46325</v>
      </c>
      <c r="Z597" s="6">
        <v>0</v>
      </c>
      <c r="AA597" s="43">
        <f>VLOOKUP(Tabla1[[#This Row],[PAGO DIA]],DIAS!A:K,11,0)</f>
        <v>46356</v>
      </c>
      <c r="AB597" s="6">
        <v>0</v>
      </c>
      <c r="AC597" s="43">
        <f>VLOOKUP(Tabla1[[#This Row],[PAGO DIA]],DIAS!A:M,12,0)</f>
        <v>46386</v>
      </c>
      <c r="AD5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8" spans="1:30">
      <c r="A598" s="3">
        <v>12829</v>
      </c>
      <c r="B598" s="3" t="s">
        <v>544</v>
      </c>
      <c r="C598" s="3" t="s">
        <v>505</v>
      </c>
      <c r="D598" s="3" t="s">
        <v>545</v>
      </c>
      <c r="E598" s="3" t="s">
        <v>1218</v>
      </c>
      <c r="F598" s="42" t="s">
        <v>631</v>
      </c>
      <c r="G598" s="3" t="s">
        <v>1221</v>
      </c>
      <c r="H598" s="6">
        <v>0</v>
      </c>
      <c r="I598" s="41">
        <f>VLOOKUP(Tabla1[[#This Row],[PAGO DIA]],DIAS!A:B,2,0)</f>
        <v>46080</v>
      </c>
      <c r="J598" s="6">
        <v>0</v>
      </c>
      <c r="K598" s="43">
        <f>VLOOKUP(Tabla1[[#This Row],[PAGO DIA]],DIAS!A:C,3,0)</f>
        <v>46112</v>
      </c>
      <c r="L598" s="6">
        <v>0</v>
      </c>
      <c r="M598" s="41">
        <f>VLOOKUP(Tabla1[[#This Row],[PAGO DIA]],DIAS!A:D,4,0)</f>
        <v>46142</v>
      </c>
      <c r="N598" s="6">
        <v>0</v>
      </c>
      <c r="O598" s="43">
        <f>VLOOKUP(Tabla1[[#This Row],[PAGO DIA]],DIAS!A:E,5,0)</f>
        <v>46171</v>
      </c>
      <c r="P598" s="6">
        <v>0</v>
      </c>
      <c r="Q598" s="43">
        <f>VLOOKUP(Tabla1[[#This Row],[PAGO DIA]],DIAS!A:F,6,0)</f>
        <v>46203</v>
      </c>
      <c r="R598" s="6">
        <v>0</v>
      </c>
      <c r="S598" s="43">
        <f>VLOOKUP(Tabla1[[#This Row],[PAGO DIA]],DIAS!A:G,7,0)</f>
        <v>46234</v>
      </c>
      <c r="T598" s="6">
        <v>0</v>
      </c>
      <c r="U598" s="43">
        <f>VLOOKUP(Tabla1[[#This Row],[PAGO DIA]],DIAS!A:H,8,0)</f>
        <v>46265</v>
      </c>
      <c r="V598" s="6">
        <v>0</v>
      </c>
      <c r="W598" s="43">
        <f>VLOOKUP(Tabla1[[#This Row],[PAGO DIA]],DIAS!A:I,9,0)</f>
        <v>46295</v>
      </c>
      <c r="X598" s="6">
        <v>0</v>
      </c>
      <c r="Y598" s="43">
        <f>VLOOKUP(Tabla1[[#This Row],[PAGO DIA]],DIAS!A:J,10,0)</f>
        <v>46325</v>
      </c>
      <c r="Z598" s="6">
        <v>0</v>
      </c>
      <c r="AA598" s="43">
        <f>VLOOKUP(Tabla1[[#This Row],[PAGO DIA]],DIAS!A:K,11,0)</f>
        <v>46356</v>
      </c>
      <c r="AB598" s="6">
        <v>0</v>
      </c>
      <c r="AC598" s="43">
        <f>VLOOKUP(Tabla1[[#This Row],[PAGO DIA]],DIAS!A:M,12,0)</f>
        <v>46386</v>
      </c>
      <c r="AD5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599" spans="1:30">
      <c r="A599" s="3">
        <v>10956</v>
      </c>
      <c r="B599" s="3" t="s">
        <v>544</v>
      </c>
      <c r="C599" s="3" t="s">
        <v>505</v>
      </c>
      <c r="D599" s="3" t="s">
        <v>545</v>
      </c>
      <c r="E599" s="3" t="s">
        <v>1222</v>
      </c>
      <c r="F599" s="42" t="s">
        <v>631</v>
      </c>
      <c r="G599" s="3"/>
      <c r="H599" s="6">
        <v>0</v>
      </c>
      <c r="I599" s="41">
        <f>VLOOKUP(Tabla1[[#This Row],[PAGO DIA]],DIAS!A:B,2,0)</f>
        <v>46080</v>
      </c>
      <c r="J599" s="6">
        <v>0</v>
      </c>
      <c r="K599" s="43">
        <f>VLOOKUP(Tabla1[[#This Row],[PAGO DIA]],DIAS!A:C,3,0)</f>
        <v>46112</v>
      </c>
      <c r="L599" s="6">
        <v>0</v>
      </c>
      <c r="M599" s="41">
        <f>VLOOKUP(Tabla1[[#This Row],[PAGO DIA]],DIAS!A:D,4,0)</f>
        <v>46142</v>
      </c>
      <c r="N599" s="6">
        <v>0</v>
      </c>
      <c r="O599" s="43">
        <f>VLOOKUP(Tabla1[[#This Row],[PAGO DIA]],DIAS!A:E,5,0)</f>
        <v>46171</v>
      </c>
      <c r="P599" s="6">
        <v>0</v>
      </c>
      <c r="Q599" s="43">
        <f>VLOOKUP(Tabla1[[#This Row],[PAGO DIA]],DIAS!A:F,6,0)</f>
        <v>46203</v>
      </c>
      <c r="R599" s="6">
        <v>0</v>
      </c>
      <c r="S599" s="43">
        <f>VLOOKUP(Tabla1[[#This Row],[PAGO DIA]],DIAS!A:G,7,0)</f>
        <v>46234</v>
      </c>
      <c r="T599" s="6">
        <v>0</v>
      </c>
      <c r="U599" s="43">
        <f>VLOOKUP(Tabla1[[#This Row],[PAGO DIA]],DIAS!A:H,8,0)</f>
        <v>46265</v>
      </c>
      <c r="V599" s="6">
        <v>0</v>
      </c>
      <c r="W599" s="43">
        <f>VLOOKUP(Tabla1[[#This Row],[PAGO DIA]],DIAS!A:I,9,0)</f>
        <v>46295</v>
      </c>
      <c r="X599" s="6">
        <v>0</v>
      </c>
      <c r="Y599" s="43">
        <f>VLOOKUP(Tabla1[[#This Row],[PAGO DIA]],DIAS!A:J,10,0)</f>
        <v>46325</v>
      </c>
      <c r="Z599" s="6">
        <v>0</v>
      </c>
      <c r="AA599" s="43">
        <f>VLOOKUP(Tabla1[[#This Row],[PAGO DIA]],DIAS!A:K,11,0)</f>
        <v>46356</v>
      </c>
      <c r="AB599" s="6">
        <v>0</v>
      </c>
      <c r="AC599" s="43">
        <f>VLOOKUP(Tabla1[[#This Row],[PAGO DIA]],DIAS!A:M,12,0)</f>
        <v>46386</v>
      </c>
      <c r="AD5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0" spans="1:30">
      <c r="A600" s="3">
        <v>11146</v>
      </c>
      <c r="B600" s="3" t="s">
        <v>544</v>
      </c>
      <c r="C600" s="3" t="s">
        <v>505</v>
      </c>
      <c r="D600" s="3" t="s">
        <v>545</v>
      </c>
      <c r="E600" s="3" t="s">
        <v>1222</v>
      </c>
      <c r="F600" s="42" t="s">
        <v>631</v>
      </c>
      <c r="G600" s="3" t="s">
        <v>1223</v>
      </c>
      <c r="H600" s="6">
        <v>0</v>
      </c>
      <c r="I600" s="41">
        <f>VLOOKUP(Tabla1[[#This Row],[PAGO DIA]],DIAS!A:B,2,0)</f>
        <v>46080</v>
      </c>
      <c r="J600" s="6">
        <v>0</v>
      </c>
      <c r="K600" s="43">
        <f>VLOOKUP(Tabla1[[#This Row],[PAGO DIA]],DIAS!A:C,3,0)</f>
        <v>46112</v>
      </c>
      <c r="L600" s="6">
        <v>0</v>
      </c>
      <c r="M600" s="41">
        <f>VLOOKUP(Tabla1[[#This Row],[PAGO DIA]],DIAS!A:D,4,0)</f>
        <v>46142</v>
      </c>
      <c r="N600" s="6">
        <v>0</v>
      </c>
      <c r="O600" s="43">
        <f>VLOOKUP(Tabla1[[#This Row],[PAGO DIA]],DIAS!A:E,5,0)</f>
        <v>46171</v>
      </c>
      <c r="P600" s="6">
        <v>0</v>
      </c>
      <c r="Q600" s="43">
        <f>VLOOKUP(Tabla1[[#This Row],[PAGO DIA]],DIAS!A:F,6,0)</f>
        <v>46203</v>
      </c>
      <c r="R600" s="6">
        <v>0</v>
      </c>
      <c r="S600" s="43">
        <f>VLOOKUP(Tabla1[[#This Row],[PAGO DIA]],DIAS!A:G,7,0)</f>
        <v>46234</v>
      </c>
      <c r="T600" s="6">
        <v>0</v>
      </c>
      <c r="U600" s="43">
        <f>VLOOKUP(Tabla1[[#This Row],[PAGO DIA]],DIAS!A:H,8,0)</f>
        <v>46265</v>
      </c>
      <c r="V600" s="6">
        <v>0</v>
      </c>
      <c r="W600" s="43">
        <f>VLOOKUP(Tabla1[[#This Row],[PAGO DIA]],DIAS!A:I,9,0)</f>
        <v>46295</v>
      </c>
      <c r="X600" s="6">
        <v>0</v>
      </c>
      <c r="Y600" s="43">
        <f>VLOOKUP(Tabla1[[#This Row],[PAGO DIA]],DIAS!A:J,10,0)</f>
        <v>46325</v>
      </c>
      <c r="Z600" s="6">
        <v>0</v>
      </c>
      <c r="AA600" s="43">
        <f>VLOOKUP(Tabla1[[#This Row],[PAGO DIA]],DIAS!A:K,11,0)</f>
        <v>46356</v>
      </c>
      <c r="AB600" s="6">
        <v>0</v>
      </c>
      <c r="AC600" s="43">
        <f>VLOOKUP(Tabla1[[#This Row],[PAGO DIA]],DIAS!A:M,12,0)</f>
        <v>46386</v>
      </c>
      <c r="AD6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1" spans="1:30">
      <c r="A601" s="3">
        <v>11463</v>
      </c>
      <c r="B601" s="3" t="s">
        <v>544</v>
      </c>
      <c r="C601" s="3" t="s">
        <v>540</v>
      </c>
      <c r="D601" s="3" t="s">
        <v>545</v>
      </c>
      <c r="E601" s="3" t="s">
        <v>1222</v>
      </c>
      <c r="F601" s="42" t="s">
        <v>631</v>
      </c>
      <c r="G601" s="3" t="s">
        <v>1224</v>
      </c>
      <c r="H601" s="6">
        <v>0</v>
      </c>
      <c r="I601" s="41">
        <f>VLOOKUP(Tabla1[[#This Row],[PAGO DIA]],DIAS!A:B,2,0)</f>
        <v>46080</v>
      </c>
      <c r="J601" s="6">
        <v>0</v>
      </c>
      <c r="K601" s="43">
        <f>VLOOKUP(Tabla1[[#This Row],[PAGO DIA]],DIAS!A:C,3,0)</f>
        <v>46112</v>
      </c>
      <c r="L601" s="6">
        <v>0</v>
      </c>
      <c r="M601" s="41">
        <f>VLOOKUP(Tabla1[[#This Row],[PAGO DIA]],DIAS!A:D,4,0)</f>
        <v>46142</v>
      </c>
      <c r="N601" s="6">
        <v>0</v>
      </c>
      <c r="O601" s="43">
        <f>VLOOKUP(Tabla1[[#This Row],[PAGO DIA]],DIAS!A:E,5,0)</f>
        <v>46171</v>
      </c>
      <c r="P601" s="6">
        <v>0</v>
      </c>
      <c r="Q601" s="43">
        <f>VLOOKUP(Tabla1[[#This Row],[PAGO DIA]],DIAS!A:F,6,0)</f>
        <v>46203</v>
      </c>
      <c r="R601" s="6">
        <v>0</v>
      </c>
      <c r="S601" s="43">
        <f>VLOOKUP(Tabla1[[#This Row],[PAGO DIA]],DIAS!A:G,7,0)</f>
        <v>46234</v>
      </c>
      <c r="T601" s="6">
        <v>0</v>
      </c>
      <c r="U601" s="43">
        <f>VLOOKUP(Tabla1[[#This Row],[PAGO DIA]],DIAS!A:H,8,0)</f>
        <v>46265</v>
      </c>
      <c r="V601" s="6">
        <v>0</v>
      </c>
      <c r="W601" s="43">
        <f>VLOOKUP(Tabla1[[#This Row],[PAGO DIA]],DIAS!A:I,9,0)</f>
        <v>46295</v>
      </c>
      <c r="X601" s="6">
        <v>0</v>
      </c>
      <c r="Y601" s="43">
        <f>VLOOKUP(Tabla1[[#This Row],[PAGO DIA]],DIAS!A:J,10,0)</f>
        <v>46325</v>
      </c>
      <c r="Z601" s="6">
        <v>0</v>
      </c>
      <c r="AA601" s="43">
        <f>VLOOKUP(Tabla1[[#This Row],[PAGO DIA]],DIAS!A:K,11,0)</f>
        <v>46356</v>
      </c>
      <c r="AB601" s="6">
        <v>0</v>
      </c>
      <c r="AC601" s="43">
        <f>VLOOKUP(Tabla1[[#This Row],[PAGO DIA]],DIAS!A:M,12,0)</f>
        <v>46386</v>
      </c>
      <c r="AD6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2" spans="1:30">
      <c r="A602" s="3">
        <v>11464</v>
      </c>
      <c r="B602" s="3" t="s">
        <v>544</v>
      </c>
      <c r="C602" s="3" t="s">
        <v>540</v>
      </c>
      <c r="D602" s="3" t="s">
        <v>545</v>
      </c>
      <c r="E602" s="3" t="s">
        <v>1222</v>
      </c>
      <c r="F602" s="42" t="s">
        <v>631</v>
      </c>
      <c r="G602" s="3" t="s">
        <v>1225</v>
      </c>
      <c r="H602" s="6">
        <v>0</v>
      </c>
      <c r="I602" s="41">
        <f>VLOOKUP(Tabla1[[#This Row],[PAGO DIA]],DIAS!A:B,2,0)</f>
        <v>46080</v>
      </c>
      <c r="J602" s="6">
        <v>0</v>
      </c>
      <c r="K602" s="43">
        <f>VLOOKUP(Tabla1[[#This Row],[PAGO DIA]],DIAS!A:C,3,0)</f>
        <v>46112</v>
      </c>
      <c r="L602" s="6">
        <v>0</v>
      </c>
      <c r="M602" s="41">
        <f>VLOOKUP(Tabla1[[#This Row],[PAGO DIA]],DIAS!A:D,4,0)</f>
        <v>46142</v>
      </c>
      <c r="N602" s="6">
        <v>0</v>
      </c>
      <c r="O602" s="43">
        <f>VLOOKUP(Tabla1[[#This Row],[PAGO DIA]],DIAS!A:E,5,0)</f>
        <v>46171</v>
      </c>
      <c r="P602" s="6">
        <v>0</v>
      </c>
      <c r="Q602" s="43">
        <f>VLOOKUP(Tabla1[[#This Row],[PAGO DIA]],DIAS!A:F,6,0)</f>
        <v>46203</v>
      </c>
      <c r="R602" s="6">
        <v>0</v>
      </c>
      <c r="S602" s="43">
        <f>VLOOKUP(Tabla1[[#This Row],[PAGO DIA]],DIAS!A:G,7,0)</f>
        <v>46234</v>
      </c>
      <c r="T602" s="6">
        <v>0</v>
      </c>
      <c r="U602" s="43">
        <f>VLOOKUP(Tabla1[[#This Row],[PAGO DIA]],DIAS!A:H,8,0)</f>
        <v>46265</v>
      </c>
      <c r="V602" s="6">
        <v>0</v>
      </c>
      <c r="W602" s="43">
        <f>VLOOKUP(Tabla1[[#This Row],[PAGO DIA]],DIAS!A:I,9,0)</f>
        <v>46295</v>
      </c>
      <c r="X602" s="6">
        <v>0</v>
      </c>
      <c r="Y602" s="43">
        <f>VLOOKUP(Tabla1[[#This Row],[PAGO DIA]],DIAS!A:J,10,0)</f>
        <v>46325</v>
      </c>
      <c r="Z602" s="6">
        <v>0</v>
      </c>
      <c r="AA602" s="43">
        <f>VLOOKUP(Tabla1[[#This Row],[PAGO DIA]],DIAS!A:K,11,0)</f>
        <v>46356</v>
      </c>
      <c r="AB602" s="6">
        <v>0</v>
      </c>
      <c r="AC602" s="43">
        <f>VLOOKUP(Tabla1[[#This Row],[PAGO DIA]],DIAS!A:M,12,0)</f>
        <v>46386</v>
      </c>
      <c r="AD6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3" spans="1:30">
      <c r="A603" s="3">
        <v>11465</v>
      </c>
      <c r="B603" s="3" t="s">
        <v>544</v>
      </c>
      <c r="C603" s="3" t="s">
        <v>540</v>
      </c>
      <c r="D603" s="3" t="s">
        <v>545</v>
      </c>
      <c r="E603" s="3" t="s">
        <v>1222</v>
      </c>
      <c r="F603" s="42" t="s">
        <v>631</v>
      </c>
      <c r="G603" s="3" t="s">
        <v>1226</v>
      </c>
      <c r="H603" s="6">
        <v>0</v>
      </c>
      <c r="I603" s="41">
        <f>VLOOKUP(Tabla1[[#This Row],[PAGO DIA]],DIAS!A:B,2,0)</f>
        <v>46080</v>
      </c>
      <c r="J603" s="6">
        <v>0</v>
      </c>
      <c r="K603" s="43">
        <f>VLOOKUP(Tabla1[[#This Row],[PAGO DIA]],DIAS!A:C,3,0)</f>
        <v>46112</v>
      </c>
      <c r="L603" s="6">
        <v>0</v>
      </c>
      <c r="M603" s="41">
        <f>VLOOKUP(Tabla1[[#This Row],[PAGO DIA]],DIAS!A:D,4,0)</f>
        <v>46142</v>
      </c>
      <c r="N603" s="6">
        <v>0</v>
      </c>
      <c r="O603" s="43">
        <f>VLOOKUP(Tabla1[[#This Row],[PAGO DIA]],DIAS!A:E,5,0)</f>
        <v>46171</v>
      </c>
      <c r="P603" s="6">
        <v>0</v>
      </c>
      <c r="Q603" s="43">
        <f>VLOOKUP(Tabla1[[#This Row],[PAGO DIA]],DIAS!A:F,6,0)</f>
        <v>46203</v>
      </c>
      <c r="R603" s="6">
        <v>0</v>
      </c>
      <c r="S603" s="43">
        <f>VLOOKUP(Tabla1[[#This Row],[PAGO DIA]],DIAS!A:G,7,0)</f>
        <v>46234</v>
      </c>
      <c r="T603" s="6">
        <v>0</v>
      </c>
      <c r="U603" s="43">
        <f>VLOOKUP(Tabla1[[#This Row],[PAGO DIA]],DIAS!A:H,8,0)</f>
        <v>46265</v>
      </c>
      <c r="V603" s="6">
        <v>0</v>
      </c>
      <c r="W603" s="43">
        <f>VLOOKUP(Tabla1[[#This Row],[PAGO DIA]],DIAS!A:I,9,0)</f>
        <v>46295</v>
      </c>
      <c r="X603" s="6">
        <v>0</v>
      </c>
      <c r="Y603" s="43">
        <f>VLOOKUP(Tabla1[[#This Row],[PAGO DIA]],DIAS!A:J,10,0)</f>
        <v>46325</v>
      </c>
      <c r="Z603" s="6">
        <v>0</v>
      </c>
      <c r="AA603" s="43">
        <f>VLOOKUP(Tabla1[[#This Row],[PAGO DIA]],DIAS!A:K,11,0)</f>
        <v>46356</v>
      </c>
      <c r="AB603" s="6">
        <v>0</v>
      </c>
      <c r="AC603" s="43">
        <f>VLOOKUP(Tabla1[[#This Row],[PAGO DIA]],DIAS!A:M,12,0)</f>
        <v>46386</v>
      </c>
      <c r="AD6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4" spans="1:30">
      <c r="A604" s="3">
        <v>11466</v>
      </c>
      <c r="B604" s="3" t="s">
        <v>544</v>
      </c>
      <c r="C604" s="3" t="s">
        <v>540</v>
      </c>
      <c r="D604" s="3" t="s">
        <v>545</v>
      </c>
      <c r="E604" s="3" t="s">
        <v>1222</v>
      </c>
      <c r="F604" s="42" t="s">
        <v>631</v>
      </c>
      <c r="G604" s="3" t="s">
        <v>1227</v>
      </c>
      <c r="H604" s="6">
        <v>0</v>
      </c>
      <c r="I604" s="41">
        <f>VLOOKUP(Tabla1[[#This Row],[PAGO DIA]],DIAS!A:B,2,0)</f>
        <v>46080</v>
      </c>
      <c r="J604" s="6">
        <v>0</v>
      </c>
      <c r="K604" s="43">
        <f>VLOOKUP(Tabla1[[#This Row],[PAGO DIA]],DIAS!A:C,3,0)</f>
        <v>46112</v>
      </c>
      <c r="L604" s="6">
        <v>0</v>
      </c>
      <c r="M604" s="41">
        <f>VLOOKUP(Tabla1[[#This Row],[PAGO DIA]],DIAS!A:D,4,0)</f>
        <v>46142</v>
      </c>
      <c r="N604" s="6">
        <v>0</v>
      </c>
      <c r="O604" s="43">
        <f>VLOOKUP(Tabla1[[#This Row],[PAGO DIA]],DIAS!A:E,5,0)</f>
        <v>46171</v>
      </c>
      <c r="P604" s="6">
        <v>0</v>
      </c>
      <c r="Q604" s="43">
        <f>VLOOKUP(Tabla1[[#This Row],[PAGO DIA]],DIAS!A:F,6,0)</f>
        <v>46203</v>
      </c>
      <c r="R604" s="6">
        <v>0</v>
      </c>
      <c r="S604" s="43">
        <f>VLOOKUP(Tabla1[[#This Row],[PAGO DIA]],DIAS!A:G,7,0)</f>
        <v>46234</v>
      </c>
      <c r="T604" s="6">
        <v>0</v>
      </c>
      <c r="U604" s="43">
        <f>VLOOKUP(Tabla1[[#This Row],[PAGO DIA]],DIAS!A:H,8,0)</f>
        <v>46265</v>
      </c>
      <c r="V604" s="6">
        <v>0</v>
      </c>
      <c r="W604" s="43">
        <f>VLOOKUP(Tabla1[[#This Row],[PAGO DIA]],DIAS!A:I,9,0)</f>
        <v>46295</v>
      </c>
      <c r="X604" s="6">
        <v>0</v>
      </c>
      <c r="Y604" s="43">
        <f>VLOOKUP(Tabla1[[#This Row],[PAGO DIA]],DIAS!A:J,10,0)</f>
        <v>46325</v>
      </c>
      <c r="Z604" s="6">
        <v>0</v>
      </c>
      <c r="AA604" s="43">
        <f>VLOOKUP(Tabla1[[#This Row],[PAGO DIA]],DIAS!A:K,11,0)</f>
        <v>46356</v>
      </c>
      <c r="AB604" s="6">
        <v>0</v>
      </c>
      <c r="AC604" s="43">
        <f>VLOOKUP(Tabla1[[#This Row],[PAGO DIA]],DIAS!A:M,12,0)</f>
        <v>46386</v>
      </c>
      <c r="AD6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5" spans="1:30">
      <c r="A605" s="3">
        <v>11064</v>
      </c>
      <c r="B605" s="3" t="s">
        <v>544</v>
      </c>
      <c r="C605" s="3" t="s">
        <v>505</v>
      </c>
      <c r="D605" s="3" t="s">
        <v>545</v>
      </c>
      <c r="E605" s="3" t="s">
        <v>1228</v>
      </c>
      <c r="F605" s="42" t="s">
        <v>631</v>
      </c>
      <c r="G605" s="3"/>
      <c r="H605" s="6">
        <v>0</v>
      </c>
      <c r="I605" s="41">
        <f>VLOOKUP(Tabla1[[#This Row],[PAGO DIA]],DIAS!A:B,2,0)</f>
        <v>46080</v>
      </c>
      <c r="J605" s="6">
        <v>0</v>
      </c>
      <c r="K605" s="43">
        <f>VLOOKUP(Tabla1[[#This Row],[PAGO DIA]],DIAS!A:C,3,0)</f>
        <v>46112</v>
      </c>
      <c r="L605" s="6">
        <v>0</v>
      </c>
      <c r="M605" s="41">
        <f>VLOOKUP(Tabla1[[#This Row],[PAGO DIA]],DIAS!A:D,4,0)</f>
        <v>46142</v>
      </c>
      <c r="N605" s="6">
        <v>0</v>
      </c>
      <c r="O605" s="43">
        <f>VLOOKUP(Tabla1[[#This Row],[PAGO DIA]],DIAS!A:E,5,0)</f>
        <v>46171</v>
      </c>
      <c r="P605" s="6">
        <v>0</v>
      </c>
      <c r="Q605" s="43">
        <f>VLOOKUP(Tabla1[[#This Row],[PAGO DIA]],DIAS!A:F,6,0)</f>
        <v>46203</v>
      </c>
      <c r="R605" s="6">
        <v>0</v>
      </c>
      <c r="S605" s="43">
        <f>VLOOKUP(Tabla1[[#This Row],[PAGO DIA]],DIAS!A:G,7,0)</f>
        <v>46234</v>
      </c>
      <c r="T605" s="6">
        <v>0</v>
      </c>
      <c r="U605" s="43">
        <f>VLOOKUP(Tabla1[[#This Row],[PAGO DIA]],DIAS!A:H,8,0)</f>
        <v>46265</v>
      </c>
      <c r="V605" s="6">
        <v>0</v>
      </c>
      <c r="W605" s="43">
        <f>VLOOKUP(Tabla1[[#This Row],[PAGO DIA]],DIAS!A:I,9,0)</f>
        <v>46295</v>
      </c>
      <c r="X605" s="6">
        <v>0</v>
      </c>
      <c r="Y605" s="43">
        <f>VLOOKUP(Tabla1[[#This Row],[PAGO DIA]],DIAS!A:J,10,0)</f>
        <v>46325</v>
      </c>
      <c r="Z605" s="6">
        <v>0</v>
      </c>
      <c r="AA605" s="43">
        <f>VLOOKUP(Tabla1[[#This Row],[PAGO DIA]],DIAS!A:K,11,0)</f>
        <v>46356</v>
      </c>
      <c r="AB605" s="6">
        <v>0</v>
      </c>
      <c r="AC605" s="43">
        <f>VLOOKUP(Tabla1[[#This Row],[PAGO DIA]],DIAS!A:M,12,0)</f>
        <v>46386</v>
      </c>
      <c r="AD6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6" spans="1:30">
      <c r="A606" s="3">
        <v>11315</v>
      </c>
      <c r="B606" s="3" t="s">
        <v>544</v>
      </c>
      <c r="C606" s="3" t="s">
        <v>505</v>
      </c>
      <c r="D606" s="3" t="s">
        <v>545</v>
      </c>
      <c r="E606" s="3" t="s">
        <v>1228</v>
      </c>
      <c r="F606" s="42" t="s">
        <v>631</v>
      </c>
      <c r="G606" s="3" t="s">
        <v>1229</v>
      </c>
      <c r="H606" s="6">
        <v>0</v>
      </c>
      <c r="I606" s="41">
        <f>VLOOKUP(Tabla1[[#This Row],[PAGO DIA]],DIAS!A:B,2,0)</f>
        <v>46080</v>
      </c>
      <c r="J606" s="6">
        <v>0</v>
      </c>
      <c r="K606" s="43">
        <f>VLOOKUP(Tabla1[[#This Row],[PAGO DIA]],DIAS!A:C,3,0)</f>
        <v>46112</v>
      </c>
      <c r="L606" s="6">
        <v>0</v>
      </c>
      <c r="M606" s="41">
        <f>VLOOKUP(Tabla1[[#This Row],[PAGO DIA]],DIAS!A:D,4,0)</f>
        <v>46142</v>
      </c>
      <c r="N606" s="6">
        <v>0</v>
      </c>
      <c r="O606" s="43">
        <f>VLOOKUP(Tabla1[[#This Row],[PAGO DIA]],DIAS!A:E,5,0)</f>
        <v>46171</v>
      </c>
      <c r="P606" s="6">
        <v>0</v>
      </c>
      <c r="Q606" s="43">
        <f>VLOOKUP(Tabla1[[#This Row],[PAGO DIA]],DIAS!A:F,6,0)</f>
        <v>46203</v>
      </c>
      <c r="R606" s="6">
        <v>0</v>
      </c>
      <c r="S606" s="43">
        <f>VLOOKUP(Tabla1[[#This Row],[PAGO DIA]],DIAS!A:G,7,0)</f>
        <v>46234</v>
      </c>
      <c r="T606" s="6">
        <v>0</v>
      </c>
      <c r="U606" s="43">
        <f>VLOOKUP(Tabla1[[#This Row],[PAGO DIA]],DIAS!A:H,8,0)</f>
        <v>46265</v>
      </c>
      <c r="V606" s="6">
        <v>0</v>
      </c>
      <c r="W606" s="43">
        <f>VLOOKUP(Tabla1[[#This Row],[PAGO DIA]],DIAS!A:I,9,0)</f>
        <v>46295</v>
      </c>
      <c r="X606" s="6">
        <v>0</v>
      </c>
      <c r="Y606" s="43">
        <f>VLOOKUP(Tabla1[[#This Row],[PAGO DIA]],DIAS!A:J,10,0)</f>
        <v>46325</v>
      </c>
      <c r="Z606" s="6">
        <v>0</v>
      </c>
      <c r="AA606" s="43">
        <f>VLOOKUP(Tabla1[[#This Row],[PAGO DIA]],DIAS!A:K,11,0)</f>
        <v>46356</v>
      </c>
      <c r="AB606" s="6">
        <v>0</v>
      </c>
      <c r="AC606" s="43">
        <f>VLOOKUP(Tabla1[[#This Row],[PAGO DIA]],DIAS!A:M,12,0)</f>
        <v>46386</v>
      </c>
      <c r="AD6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7" spans="1:30">
      <c r="A607" s="3">
        <v>11198</v>
      </c>
      <c r="B607" s="3" t="s">
        <v>544</v>
      </c>
      <c r="C607" s="3" t="s">
        <v>505</v>
      </c>
      <c r="D607" s="3" t="s">
        <v>545</v>
      </c>
      <c r="E607" s="3" t="s">
        <v>666</v>
      </c>
      <c r="F607" s="42" t="s">
        <v>631</v>
      </c>
      <c r="G607" s="3" t="s">
        <v>1230</v>
      </c>
      <c r="H607" s="6">
        <v>0</v>
      </c>
      <c r="I607" s="41">
        <f>VLOOKUP(Tabla1[[#This Row],[PAGO DIA]],DIAS!A:B,2,0)</f>
        <v>46080</v>
      </c>
      <c r="J607" s="6">
        <v>0</v>
      </c>
      <c r="K607" s="43">
        <f>VLOOKUP(Tabla1[[#This Row],[PAGO DIA]],DIAS!A:C,3,0)</f>
        <v>46112</v>
      </c>
      <c r="L607" s="6">
        <v>0</v>
      </c>
      <c r="M607" s="41">
        <f>VLOOKUP(Tabla1[[#This Row],[PAGO DIA]],DIAS!A:D,4,0)</f>
        <v>46142</v>
      </c>
      <c r="N607" s="6">
        <v>0</v>
      </c>
      <c r="O607" s="43">
        <f>VLOOKUP(Tabla1[[#This Row],[PAGO DIA]],DIAS!A:E,5,0)</f>
        <v>46171</v>
      </c>
      <c r="P607" s="6">
        <v>0</v>
      </c>
      <c r="Q607" s="43">
        <f>VLOOKUP(Tabla1[[#This Row],[PAGO DIA]],DIAS!A:F,6,0)</f>
        <v>46203</v>
      </c>
      <c r="R607" s="6">
        <v>0</v>
      </c>
      <c r="S607" s="43">
        <f>VLOOKUP(Tabla1[[#This Row],[PAGO DIA]],DIAS!A:G,7,0)</f>
        <v>46234</v>
      </c>
      <c r="T607" s="6">
        <v>0</v>
      </c>
      <c r="U607" s="43">
        <f>VLOOKUP(Tabla1[[#This Row],[PAGO DIA]],DIAS!A:H,8,0)</f>
        <v>46265</v>
      </c>
      <c r="V607" s="6">
        <v>0</v>
      </c>
      <c r="W607" s="43">
        <f>VLOOKUP(Tabla1[[#This Row],[PAGO DIA]],DIAS!A:I,9,0)</f>
        <v>46295</v>
      </c>
      <c r="X607" s="6">
        <v>0</v>
      </c>
      <c r="Y607" s="43">
        <f>VLOOKUP(Tabla1[[#This Row],[PAGO DIA]],DIAS!A:J,10,0)</f>
        <v>46325</v>
      </c>
      <c r="Z607" s="6">
        <v>0</v>
      </c>
      <c r="AA607" s="43">
        <f>VLOOKUP(Tabla1[[#This Row],[PAGO DIA]],DIAS!A:K,11,0)</f>
        <v>46356</v>
      </c>
      <c r="AB607" s="6">
        <v>0</v>
      </c>
      <c r="AC607" s="43">
        <f>VLOOKUP(Tabla1[[#This Row],[PAGO DIA]],DIAS!A:M,12,0)</f>
        <v>46386</v>
      </c>
      <c r="AD6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8" spans="1:30">
      <c r="A608" s="3">
        <v>12112</v>
      </c>
      <c r="B608" s="3" t="s">
        <v>544</v>
      </c>
      <c r="C608" s="3" t="s">
        <v>540</v>
      </c>
      <c r="D608" s="3" t="s">
        <v>545</v>
      </c>
      <c r="E608" s="3" t="s">
        <v>1231</v>
      </c>
      <c r="F608" s="42" t="s">
        <v>631</v>
      </c>
      <c r="G608" s="3" t="s">
        <v>1232</v>
      </c>
      <c r="H608" s="6">
        <v>0</v>
      </c>
      <c r="I608" s="41">
        <f>VLOOKUP(Tabla1[[#This Row],[PAGO DIA]],DIAS!A:B,2,0)</f>
        <v>46080</v>
      </c>
      <c r="J608" s="6">
        <v>0</v>
      </c>
      <c r="K608" s="43">
        <f>VLOOKUP(Tabla1[[#This Row],[PAGO DIA]],DIAS!A:C,3,0)</f>
        <v>46112</v>
      </c>
      <c r="L608" s="6">
        <v>0</v>
      </c>
      <c r="M608" s="41">
        <f>VLOOKUP(Tabla1[[#This Row],[PAGO DIA]],DIAS!A:D,4,0)</f>
        <v>46142</v>
      </c>
      <c r="N608" s="6">
        <v>0</v>
      </c>
      <c r="O608" s="43">
        <f>VLOOKUP(Tabla1[[#This Row],[PAGO DIA]],DIAS!A:E,5,0)</f>
        <v>46171</v>
      </c>
      <c r="P608" s="6">
        <v>0</v>
      </c>
      <c r="Q608" s="43">
        <f>VLOOKUP(Tabla1[[#This Row],[PAGO DIA]],DIAS!A:F,6,0)</f>
        <v>46203</v>
      </c>
      <c r="R608" s="6">
        <v>0</v>
      </c>
      <c r="S608" s="43">
        <f>VLOOKUP(Tabla1[[#This Row],[PAGO DIA]],DIAS!A:G,7,0)</f>
        <v>46234</v>
      </c>
      <c r="T608" s="6">
        <v>0</v>
      </c>
      <c r="U608" s="43">
        <f>VLOOKUP(Tabla1[[#This Row],[PAGO DIA]],DIAS!A:H,8,0)</f>
        <v>46265</v>
      </c>
      <c r="V608" s="6">
        <v>0</v>
      </c>
      <c r="W608" s="43">
        <f>VLOOKUP(Tabla1[[#This Row],[PAGO DIA]],DIAS!A:I,9,0)</f>
        <v>46295</v>
      </c>
      <c r="X608" s="6">
        <v>0</v>
      </c>
      <c r="Y608" s="43">
        <f>VLOOKUP(Tabla1[[#This Row],[PAGO DIA]],DIAS!A:J,10,0)</f>
        <v>46325</v>
      </c>
      <c r="Z608" s="6">
        <v>0</v>
      </c>
      <c r="AA608" s="43">
        <f>VLOOKUP(Tabla1[[#This Row],[PAGO DIA]],DIAS!A:K,11,0)</f>
        <v>46356</v>
      </c>
      <c r="AB608" s="6">
        <v>0</v>
      </c>
      <c r="AC608" s="43">
        <f>VLOOKUP(Tabla1[[#This Row],[PAGO DIA]],DIAS!A:M,12,0)</f>
        <v>46386</v>
      </c>
      <c r="AD6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09" spans="1:30">
      <c r="A609" s="3">
        <v>12113</v>
      </c>
      <c r="B609" s="3" t="s">
        <v>544</v>
      </c>
      <c r="C609" s="3" t="s">
        <v>540</v>
      </c>
      <c r="D609" s="3" t="s">
        <v>545</v>
      </c>
      <c r="E609" s="3" t="s">
        <v>1231</v>
      </c>
      <c r="F609" s="42" t="s">
        <v>631</v>
      </c>
      <c r="G609" s="3" t="s">
        <v>1232</v>
      </c>
      <c r="H609" s="6">
        <v>0</v>
      </c>
      <c r="I609" s="41">
        <f>VLOOKUP(Tabla1[[#This Row],[PAGO DIA]],DIAS!A:B,2,0)</f>
        <v>46080</v>
      </c>
      <c r="J609" s="6">
        <v>0</v>
      </c>
      <c r="K609" s="43">
        <f>VLOOKUP(Tabla1[[#This Row],[PAGO DIA]],DIAS!A:C,3,0)</f>
        <v>46112</v>
      </c>
      <c r="L609" s="6">
        <v>0</v>
      </c>
      <c r="M609" s="41">
        <f>VLOOKUP(Tabla1[[#This Row],[PAGO DIA]],DIAS!A:D,4,0)</f>
        <v>46142</v>
      </c>
      <c r="N609" s="6">
        <v>0</v>
      </c>
      <c r="O609" s="43">
        <f>VLOOKUP(Tabla1[[#This Row],[PAGO DIA]],DIAS!A:E,5,0)</f>
        <v>46171</v>
      </c>
      <c r="P609" s="6">
        <v>0</v>
      </c>
      <c r="Q609" s="43">
        <f>VLOOKUP(Tabla1[[#This Row],[PAGO DIA]],DIAS!A:F,6,0)</f>
        <v>46203</v>
      </c>
      <c r="R609" s="6">
        <v>0</v>
      </c>
      <c r="S609" s="43">
        <f>VLOOKUP(Tabla1[[#This Row],[PAGO DIA]],DIAS!A:G,7,0)</f>
        <v>46234</v>
      </c>
      <c r="T609" s="6">
        <v>0</v>
      </c>
      <c r="U609" s="43">
        <f>VLOOKUP(Tabla1[[#This Row],[PAGO DIA]],DIAS!A:H,8,0)</f>
        <v>46265</v>
      </c>
      <c r="V609" s="6">
        <v>0</v>
      </c>
      <c r="W609" s="43">
        <f>VLOOKUP(Tabla1[[#This Row],[PAGO DIA]],DIAS!A:I,9,0)</f>
        <v>46295</v>
      </c>
      <c r="X609" s="6">
        <v>0</v>
      </c>
      <c r="Y609" s="43">
        <f>VLOOKUP(Tabla1[[#This Row],[PAGO DIA]],DIAS!A:J,10,0)</f>
        <v>46325</v>
      </c>
      <c r="Z609" s="6">
        <v>0</v>
      </c>
      <c r="AA609" s="43">
        <f>VLOOKUP(Tabla1[[#This Row],[PAGO DIA]],DIAS!A:K,11,0)</f>
        <v>46356</v>
      </c>
      <c r="AB609" s="6">
        <v>0</v>
      </c>
      <c r="AC609" s="43">
        <f>VLOOKUP(Tabla1[[#This Row],[PAGO DIA]],DIAS!A:M,12,0)</f>
        <v>46386</v>
      </c>
      <c r="AD6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0" spans="1:30">
      <c r="A610" s="3">
        <v>12806</v>
      </c>
      <c r="B610" s="3" t="s">
        <v>544</v>
      </c>
      <c r="C610" s="3" t="s">
        <v>505</v>
      </c>
      <c r="D610" s="3" t="s">
        <v>545</v>
      </c>
      <c r="E610" s="3" t="s">
        <v>996</v>
      </c>
      <c r="F610" s="42" t="s">
        <v>631</v>
      </c>
      <c r="G610" s="3" t="s">
        <v>1233</v>
      </c>
      <c r="H610" s="6">
        <v>0</v>
      </c>
      <c r="I610" s="41">
        <f>VLOOKUP(Tabla1[[#This Row],[PAGO DIA]],DIAS!A:B,2,0)</f>
        <v>46080</v>
      </c>
      <c r="J610" s="6">
        <v>0</v>
      </c>
      <c r="K610" s="43">
        <f>VLOOKUP(Tabla1[[#This Row],[PAGO DIA]],DIAS!A:C,3,0)</f>
        <v>46112</v>
      </c>
      <c r="L610" s="6">
        <v>0</v>
      </c>
      <c r="M610" s="41">
        <f>VLOOKUP(Tabla1[[#This Row],[PAGO DIA]],DIAS!A:D,4,0)</f>
        <v>46142</v>
      </c>
      <c r="N610" s="6">
        <v>0</v>
      </c>
      <c r="O610" s="43">
        <f>VLOOKUP(Tabla1[[#This Row],[PAGO DIA]],DIAS!A:E,5,0)</f>
        <v>46171</v>
      </c>
      <c r="P610" s="6">
        <v>0</v>
      </c>
      <c r="Q610" s="43">
        <f>VLOOKUP(Tabla1[[#This Row],[PAGO DIA]],DIAS!A:F,6,0)</f>
        <v>46203</v>
      </c>
      <c r="R610" s="6">
        <v>0</v>
      </c>
      <c r="S610" s="43">
        <f>VLOOKUP(Tabla1[[#This Row],[PAGO DIA]],DIAS!A:G,7,0)</f>
        <v>46234</v>
      </c>
      <c r="T610" s="6">
        <v>0</v>
      </c>
      <c r="U610" s="43">
        <f>VLOOKUP(Tabla1[[#This Row],[PAGO DIA]],DIAS!A:H,8,0)</f>
        <v>46265</v>
      </c>
      <c r="V610" s="6">
        <v>0</v>
      </c>
      <c r="W610" s="43">
        <f>VLOOKUP(Tabla1[[#This Row],[PAGO DIA]],DIAS!A:I,9,0)</f>
        <v>46295</v>
      </c>
      <c r="X610" s="6">
        <v>0</v>
      </c>
      <c r="Y610" s="43">
        <f>VLOOKUP(Tabla1[[#This Row],[PAGO DIA]],DIAS!A:J,10,0)</f>
        <v>46325</v>
      </c>
      <c r="Z610" s="6">
        <v>0</v>
      </c>
      <c r="AA610" s="43">
        <f>VLOOKUP(Tabla1[[#This Row],[PAGO DIA]],DIAS!A:K,11,0)</f>
        <v>46356</v>
      </c>
      <c r="AB610" s="6">
        <v>0</v>
      </c>
      <c r="AC610" s="43">
        <f>VLOOKUP(Tabla1[[#This Row],[PAGO DIA]],DIAS!A:M,12,0)</f>
        <v>46386</v>
      </c>
      <c r="AD6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1" spans="1:30">
      <c r="A611" s="3">
        <v>11505</v>
      </c>
      <c r="B611" s="3" t="s">
        <v>544</v>
      </c>
      <c r="C611" s="3" t="s">
        <v>540</v>
      </c>
      <c r="D611" s="3" t="s">
        <v>545</v>
      </c>
      <c r="E611" s="3" t="s">
        <v>1000</v>
      </c>
      <c r="F611" s="42" t="s">
        <v>631</v>
      </c>
      <c r="G611" s="3" t="s">
        <v>1234</v>
      </c>
      <c r="H611" s="6">
        <v>0</v>
      </c>
      <c r="I611" s="41">
        <f>VLOOKUP(Tabla1[[#This Row],[PAGO DIA]],DIAS!A:B,2,0)</f>
        <v>46080</v>
      </c>
      <c r="J611" s="6">
        <v>0</v>
      </c>
      <c r="K611" s="43">
        <f>VLOOKUP(Tabla1[[#This Row],[PAGO DIA]],DIAS!A:C,3,0)</f>
        <v>46112</v>
      </c>
      <c r="L611" s="6">
        <v>0</v>
      </c>
      <c r="M611" s="41">
        <f>VLOOKUP(Tabla1[[#This Row],[PAGO DIA]],DIAS!A:D,4,0)</f>
        <v>46142</v>
      </c>
      <c r="N611" s="6">
        <v>0</v>
      </c>
      <c r="O611" s="43">
        <f>VLOOKUP(Tabla1[[#This Row],[PAGO DIA]],DIAS!A:E,5,0)</f>
        <v>46171</v>
      </c>
      <c r="P611" s="6">
        <v>0</v>
      </c>
      <c r="Q611" s="43">
        <f>VLOOKUP(Tabla1[[#This Row],[PAGO DIA]],DIAS!A:F,6,0)</f>
        <v>46203</v>
      </c>
      <c r="R611" s="6">
        <v>0</v>
      </c>
      <c r="S611" s="43">
        <f>VLOOKUP(Tabla1[[#This Row],[PAGO DIA]],DIAS!A:G,7,0)</f>
        <v>46234</v>
      </c>
      <c r="T611" s="6">
        <v>0</v>
      </c>
      <c r="U611" s="43">
        <f>VLOOKUP(Tabla1[[#This Row],[PAGO DIA]],DIAS!A:H,8,0)</f>
        <v>46265</v>
      </c>
      <c r="V611" s="6">
        <v>0</v>
      </c>
      <c r="W611" s="43">
        <f>VLOOKUP(Tabla1[[#This Row],[PAGO DIA]],DIAS!A:I,9,0)</f>
        <v>46295</v>
      </c>
      <c r="X611" s="6">
        <v>0</v>
      </c>
      <c r="Y611" s="43">
        <f>VLOOKUP(Tabla1[[#This Row],[PAGO DIA]],DIAS!A:J,10,0)</f>
        <v>46325</v>
      </c>
      <c r="Z611" s="6">
        <v>0</v>
      </c>
      <c r="AA611" s="43">
        <f>VLOOKUP(Tabla1[[#This Row],[PAGO DIA]],DIAS!A:K,11,0)</f>
        <v>46356</v>
      </c>
      <c r="AB611" s="6">
        <v>0</v>
      </c>
      <c r="AC611" s="43">
        <f>VLOOKUP(Tabla1[[#This Row],[PAGO DIA]],DIAS!A:M,12,0)</f>
        <v>46386</v>
      </c>
      <c r="AD6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2" spans="1:30">
      <c r="A612" s="3">
        <v>11506</v>
      </c>
      <c r="B612" s="3" t="s">
        <v>544</v>
      </c>
      <c r="C612" s="3" t="s">
        <v>540</v>
      </c>
      <c r="D612" s="3" t="s">
        <v>545</v>
      </c>
      <c r="E612" s="3" t="s">
        <v>1000</v>
      </c>
      <c r="F612" s="42" t="s">
        <v>631</v>
      </c>
      <c r="G612" s="3" t="s">
        <v>1235</v>
      </c>
      <c r="H612" s="6">
        <v>0</v>
      </c>
      <c r="I612" s="41">
        <f>VLOOKUP(Tabla1[[#This Row],[PAGO DIA]],DIAS!A:B,2,0)</f>
        <v>46080</v>
      </c>
      <c r="J612" s="6">
        <v>0</v>
      </c>
      <c r="K612" s="43">
        <f>VLOOKUP(Tabla1[[#This Row],[PAGO DIA]],DIAS!A:C,3,0)</f>
        <v>46112</v>
      </c>
      <c r="L612" s="6">
        <v>0</v>
      </c>
      <c r="M612" s="41">
        <f>VLOOKUP(Tabla1[[#This Row],[PAGO DIA]],DIAS!A:D,4,0)</f>
        <v>46142</v>
      </c>
      <c r="N612" s="6">
        <v>0</v>
      </c>
      <c r="O612" s="43">
        <f>VLOOKUP(Tabla1[[#This Row],[PAGO DIA]],DIAS!A:E,5,0)</f>
        <v>46171</v>
      </c>
      <c r="P612" s="6">
        <v>0</v>
      </c>
      <c r="Q612" s="43">
        <f>VLOOKUP(Tabla1[[#This Row],[PAGO DIA]],DIAS!A:F,6,0)</f>
        <v>46203</v>
      </c>
      <c r="R612" s="6">
        <v>0</v>
      </c>
      <c r="S612" s="43">
        <f>VLOOKUP(Tabla1[[#This Row],[PAGO DIA]],DIAS!A:G,7,0)</f>
        <v>46234</v>
      </c>
      <c r="T612" s="6">
        <v>0</v>
      </c>
      <c r="U612" s="43">
        <f>VLOOKUP(Tabla1[[#This Row],[PAGO DIA]],DIAS!A:H,8,0)</f>
        <v>46265</v>
      </c>
      <c r="V612" s="6">
        <v>0</v>
      </c>
      <c r="W612" s="43">
        <f>VLOOKUP(Tabla1[[#This Row],[PAGO DIA]],DIAS!A:I,9,0)</f>
        <v>46295</v>
      </c>
      <c r="X612" s="6">
        <v>0</v>
      </c>
      <c r="Y612" s="43">
        <f>VLOOKUP(Tabla1[[#This Row],[PAGO DIA]],DIAS!A:J,10,0)</f>
        <v>46325</v>
      </c>
      <c r="Z612" s="6">
        <v>0</v>
      </c>
      <c r="AA612" s="43">
        <f>VLOOKUP(Tabla1[[#This Row],[PAGO DIA]],DIAS!A:K,11,0)</f>
        <v>46356</v>
      </c>
      <c r="AB612" s="6">
        <v>0</v>
      </c>
      <c r="AC612" s="43">
        <f>VLOOKUP(Tabla1[[#This Row],[PAGO DIA]],DIAS!A:M,12,0)</f>
        <v>46386</v>
      </c>
      <c r="AD6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3" spans="1:30">
      <c r="A613" s="3">
        <v>12115</v>
      </c>
      <c r="B613" s="3" t="s">
        <v>544</v>
      </c>
      <c r="C613" s="3" t="s">
        <v>540</v>
      </c>
      <c r="D613" s="3" t="s">
        <v>545</v>
      </c>
      <c r="E613" s="3" t="s">
        <v>1236</v>
      </c>
      <c r="F613" s="42" t="s">
        <v>631</v>
      </c>
      <c r="G613" s="3" t="s">
        <v>1237</v>
      </c>
      <c r="H613" s="6">
        <v>0</v>
      </c>
      <c r="I613" s="41">
        <f>VLOOKUP(Tabla1[[#This Row],[PAGO DIA]],DIAS!A:B,2,0)</f>
        <v>46080</v>
      </c>
      <c r="J613" s="6">
        <v>0</v>
      </c>
      <c r="K613" s="43">
        <f>VLOOKUP(Tabla1[[#This Row],[PAGO DIA]],DIAS!A:C,3,0)</f>
        <v>46112</v>
      </c>
      <c r="L613" s="6">
        <v>0</v>
      </c>
      <c r="M613" s="41">
        <f>VLOOKUP(Tabla1[[#This Row],[PAGO DIA]],DIAS!A:D,4,0)</f>
        <v>46142</v>
      </c>
      <c r="N613" s="6">
        <v>0</v>
      </c>
      <c r="O613" s="43">
        <f>VLOOKUP(Tabla1[[#This Row],[PAGO DIA]],DIAS!A:E,5,0)</f>
        <v>46171</v>
      </c>
      <c r="P613" s="6">
        <v>0</v>
      </c>
      <c r="Q613" s="43">
        <f>VLOOKUP(Tabla1[[#This Row],[PAGO DIA]],DIAS!A:F,6,0)</f>
        <v>46203</v>
      </c>
      <c r="R613" s="6">
        <v>0</v>
      </c>
      <c r="S613" s="43">
        <f>VLOOKUP(Tabla1[[#This Row],[PAGO DIA]],DIAS!A:G,7,0)</f>
        <v>46234</v>
      </c>
      <c r="T613" s="6">
        <v>0</v>
      </c>
      <c r="U613" s="43">
        <f>VLOOKUP(Tabla1[[#This Row],[PAGO DIA]],DIAS!A:H,8,0)</f>
        <v>46265</v>
      </c>
      <c r="V613" s="6">
        <v>0</v>
      </c>
      <c r="W613" s="43">
        <f>VLOOKUP(Tabla1[[#This Row],[PAGO DIA]],DIAS!A:I,9,0)</f>
        <v>46295</v>
      </c>
      <c r="X613" s="6">
        <v>0</v>
      </c>
      <c r="Y613" s="43">
        <f>VLOOKUP(Tabla1[[#This Row],[PAGO DIA]],DIAS!A:J,10,0)</f>
        <v>46325</v>
      </c>
      <c r="Z613" s="6">
        <v>0</v>
      </c>
      <c r="AA613" s="43">
        <f>VLOOKUP(Tabla1[[#This Row],[PAGO DIA]],DIAS!A:K,11,0)</f>
        <v>46356</v>
      </c>
      <c r="AB613" s="6">
        <v>0</v>
      </c>
      <c r="AC613" s="43">
        <f>VLOOKUP(Tabla1[[#This Row],[PAGO DIA]],DIAS!A:M,12,0)</f>
        <v>46386</v>
      </c>
      <c r="AD6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4" spans="1:30">
      <c r="A614" s="3">
        <v>11517</v>
      </c>
      <c r="B614" s="3" t="s">
        <v>544</v>
      </c>
      <c r="C614" s="3" t="s">
        <v>540</v>
      </c>
      <c r="D614" s="3" t="s">
        <v>545</v>
      </c>
      <c r="E614" s="3" t="s">
        <v>1238</v>
      </c>
      <c r="F614" s="42" t="s">
        <v>631</v>
      </c>
      <c r="G614" s="3" t="s">
        <v>1239</v>
      </c>
      <c r="H614" s="6">
        <v>0</v>
      </c>
      <c r="I614" s="41">
        <f>VLOOKUP(Tabla1[[#This Row],[PAGO DIA]],DIAS!A:B,2,0)</f>
        <v>46080</v>
      </c>
      <c r="J614" s="6">
        <v>0</v>
      </c>
      <c r="K614" s="43">
        <f>VLOOKUP(Tabla1[[#This Row],[PAGO DIA]],DIAS!A:C,3,0)</f>
        <v>46112</v>
      </c>
      <c r="L614" s="6">
        <v>0</v>
      </c>
      <c r="M614" s="41">
        <f>VLOOKUP(Tabla1[[#This Row],[PAGO DIA]],DIAS!A:D,4,0)</f>
        <v>46142</v>
      </c>
      <c r="N614" s="6">
        <v>0</v>
      </c>
      <c r="O614" s="43">
        <f>VLOOKUP(Tabla1[[#This Row],[PAGO DIA]],DIAS!A:E,5,0)</f>
        <v>46171</v>
      </c>
      <c r="P614" s="6">
        <v>0</v>
      </c>
      <c r="Q614" s="43">
        <f>VLOOKUP(Tabla1[[#This Row],[PAGO DIA]],DIAS!A:F,6,0)</f>
        <v>46203</v>
      </c>
      <c r="R614" s="6">
        <v>0</v>
      </c>
      <c r="S614" s="43">
        <f>VLOOKUP(Tabla1[[#This Row],[PAGO DIA]],DIAS!A:G,7,0)</f>
        <v>46234</v>
      </c>
      <c r="T614" s="6">
        <v>0</v>
      </c>
      <c r="U614" s="43">
        <f>VLOOKUP(Tabla1[[#This Row],[PAGO DIA]],DIAS!A:H,8,0)</f>
        <v>46265</v>
      </c>
      <c r="V614" s="6">
        <v>0</v>
      </c>
      <c r="W614" s="43">
        <f>VLOOKUP(Tabla1[[#This Row],[PAGO DIA]],DIAS!A:I,9,0)</f>
        <v>46295</v>
      </c>
      <c r="X614" s="6">
        <v>0</v>
      </c>
      <c r="Y614" s="43">
        <f>VLOOKUP(Tabla1[[#This Row],[PAGO DIA]],DIAS!A:J,10,0)</f>
        <v>46325</v>
      </c>
      <c r="Z614" s="6">
        <v>0</v>
      </c>
      <c r="AA614" s="43">
        <f>VLOOKUP(Tabla1[[#This Row],[PAGO DIA]],DIAS!A:K,11,0)</f>
        <v>46356</v>
      </c>
      <c r="AB614" s="6">
        <v>0</v>
      </c>
      <c r="AC614" s="43">
        <f>VLOOKUP(Tabla1[[#This Row],[PAGO DIA]],DIAS!A:M,12,0)</f>
        <v>46386</v>
      </c>
      <c r="AD6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5" spans="1:30">
      <c r="A615" s="3">
        <v>12116</v>
      </c>
      <c r="B615" s="3" t="s">
        <v>544</v>
      </c>
      <c r="C615" s="3" t="s">
        <v>540</v>
      </c>
      <c r="D615" s="3" t="s">
        <v>545</v>
      </c>
      <c r="E615" s="3" t="s">
        <v>1240</v>
      </c>
      <c r="F615" s="42" t="s">
        <v>631</v>
      </c>
      <c r="G615" s="3" t="s">
        <v>571</v>
      </c>
      <c r="H615" s="6">
        <v>0</v>
      </c>
      <c r="I615" s="41">
        <f>VLOOKUP(Tabla1[[#This Row],[PAGO DIA]],DIAS!A:B,2,0)</f>
        <v>46080</v>
      </c>
      <c r="J615" s="6">
        <v>0</v>
      </c>
      <c r="K615" s="43">
        <f>VLOOKUP(Tabla1[[#This Row],[PAGO DIA]],DIAS!A:C,3,0)</f>
        <v>46112</v>
      </c>
      <c r="L615" s="6">
        <v>0</v>
      </c>
      <c r="M615" s="41">
        <f>VLOOKUP(Tabla1[[#This Row],[PAGO DIA]],DIAS!A:D,4,0)</f>
        <v>46142</v>
      </c>
      <c r="N615" s="6">
        <v>0</v>
      </c>
      <c r="O615" s="43">
        <f>VLOOKUP(Tabla1[[#This Row],[PAGO DIA]],DIAS!A:E,5,0)</f>
        <v>46171</v>
      </c>
      <c r="P615" s="6">
        <v>0</v>
      </c>
      <c r="Q615" s="43">
        <f>VLOOKUP(Tabla1[[#This Row],[PAGO DIA]],DIAS!A:F,6,0)</f>
        <v>46203</v>
      </c>
      <c r="R615" s="6">
        <v>0</v>
      </c>
      <c r="S615" s="43">
        <f>VLOOKUP(Tabla1[[#This Row],[PAGO DIA]],DIAS!A:G,7,0)</f>
        <v>46234</v>
      </c>
      <c r="T615" s="6">
        <v>0</v>
      </c>
      <c r="U615" s="43">
        <f>VLOOKUP(Tabla1[[#This Row],[PAGO DIA]],DIAS!A:H,8,0)</f>
        <v>46265</v>
      </c>
      <c r="V615" s="6">
        <v>0</v>
      </c>
      <c r="W615" s="43">
        <f>VLOOKUP(Tabla1[[#This Row],[PAGO DIA]],DIAS!A:I,9,0)</f>
        <v>46295</v>
      </c>
      <c r="X615" s="6">
        <v>0</v>
      </c>
      <c r="Y615" s="43">
        <f>VLOOKUP(Tabla1[[#This Row],[PAGO DIA]],DIAS!A:J,10,0)</f>
        <v>46325</v>
      </c>
      <c r="Z615" s="6">
        <v>0</v>
      </c>
      <c r="AA615" s="43">
        <f>VLOOKUP(Tabla1[[#This Row],[PAGO DIA]],DIAS!A:K,11,0)</f>
        <v>46356</v>
      </c>
      <c r="AB615" s="6">
        <v>0</v>
      </c>
      <c r="AC615" s="43">
        <f>VLOOKUP(Tabla1[[#This Row],[PAGO DIA]],DIAS!A:M,12,0)</f>
        <v>46386</v>
      </c>
      <c r="AD6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6" spans="1:30">
      <c r="A616" s="3">
        <v>12032</v>
      </c>
      <c r="B616" s="3" t="s">
        <v>544</v>
      </c>
      <c r="C616" s="3" t="s">
        <v>505</v>
      </c>
      <c r="D616" s="3" t="s">
        <v>1241</v>
      </c>
      <c r="E616" s="3" t="s">
        <v>1242</v>
      </c>
      <c r="F616" s="42" t="s">
        <v>631</v>
      </c>
      <c r="G616" s="3" t="s">
        <v>1243</v>
      </c>
      <c r="H616" s="6">
        <v>0</v>
      </c>
      <c r="I616" s="41">
        <f>VLOOKUP(Tabla1[[#This Row],[PAGO DIA]],DIAS!A:B,2,0)</f>
        <v>46080</v>
      </c>
      <c r="J616" s="6">
        <v>0</v>
      </c>
      <c r="K616" s="43">
        <f>VLOOKUP(Tabla1[[#This Row],[PAGO DIA]],DIAS!A:C,3,0)</f>
        <v>46112</v>
      </c>
      <c r="L616" s="6">
        <v>0</v>
      </c>
      <c r="M616" s="41">
        <f>VLOOKUP(Tabla1[[#This Row],[PAGO DIA]],DIAS!A:D,4,0)</f>
        <v>46142</v>
      </c>
      <c r="N616" s="6">
        <v>0</v>
      </c>
      <c r="O616" s="43">
        <f>VLOOKUP(Tabla1[[#This Row],[PAGO DIA]],DIAS!A:E,5,0)</f>
        <v>46171</v>
      </c>
      <c r="P616" s="6">
        <v>0</v>
      </c>
      <c r="Q616" s="43">
        <f>VLOOKUP(Tabla1[[#This Row],[PAGO DIA]],DIAS!A:F,6,0)</f>
        <v>46203</v>
      </c>
      <c r="R616" s="6">
        <v>0</v>
      </c>
      <c r="S616" s="43">
        <f>VLOOKUP(Tabla1[[#This Row],[PAGO DIA]],DIAS!A:G,7,0)</f>
        <v>46234</v>
      </c>
      <c r="T616" s="6">
        <v>0</v>
      </c>
      <c r="U616" s="43">
        <f>VLOOKUP(Tabla1[[#This Row],[PAGO DIA]],DIAS!A:H,8,0)</f>
        <v>46265</v>
      </c>
      <c r="V616" s="6">
        <v>0</v>
      </c>
      <c r="W616" s="43">
        <f>VLOOKUP(Tabla1[[#This Row],[PAGO DIA]],DIAS!A:I,9,0)</f>
        <v>46295</v>
      </c>
      <c r="X616" s="6">
        <v>0</v>
      </c>
      <c r="Y616" s="43">
        <f>VLOOKUP(Tabla1[[#This Row],[PAGO DIA]],DIAS!A:J,10,0)</f>
        <v>46325</v>
      </c>
      <c r="Z616" s="6">
        <v>0</v>
      </c>
      <c r="AA616" s="43">
        <f>VLOOKUP(Tabla1[[#This Row],[PAGO DIA]],DIAS!A:K,11,0)</f>
        <v>46356</v>
      </c>
      <c r="AB616" s="6">
        <v>0</v>
      </c>
      <c r="AC616" s="43">
        <f>VLOOKUP(Tabla1[[#This Row],[PAGO DIA]],DIAS!A:M,12,0)</f>
        <v>46386</v>
      </c>
      <c r="AD6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7" spans="1:30">
      <c r="A617" s="3">
        <v>12109</v>
      </c>
      <c r="B617" s="3" t="s">
        <v>544</v>
      </c>
      <c r="C617" s="3" t="s">
        <v>505</v>
      </c>
      <c r="D617" s="3" t="s">
        <v>1244</v>
      </c>
      <c r="E617" s="3" t="s">
        <v>1242</v>
      </c>
      <c r="F617" s="42" t="s">
        <v>631</v>
      </c>
      <c r="G617" s="3" t="s">
        <v>1245</v>
      </c>
      <c r="H617" s="6">
        <v>0</v>
      </c>
      <c r="I617" s="41">
        <f>VLOOKUP(Tabla1[[#This Row],[PAGO DIA]],DIAS!A:B,2,0)</f>
        <v>46080</v>
      </c>
      <c r="J617" s="6">
        <v>0</v>
      </c>
      <c r="K617" s="43">
        <f>VLOOKUP(Tabla1[[#This Row],[PAGO DIA]],DIAS!A:C,3,0)</f>
        <v>46112</v>
      </c>
      <c r="L617" s="6">
        <v>0</v>
      </c>
      <c r="M617" s="41">
        <f>VLOOKUP(Tabla1[[#This Row],[PAGO DIA]],DIAS!A:D,4,0)</f>
        <v>46142</v>
      </c>
      <c r="N617" s="6">
        <v>0</v>
      </c>
      <c r="O617" s="43">
        <f>VLOOKUP(Tabla1[[#This Row],[PAGO DIA]],DIAS!A:E,5,0)</f>
        <v>46171</v>
      </c>
      <c r="P617" s="6">
        <v>0</v>
      </c>
      <c r="Q617" s="43">
        <f>VLOOKUP(Tabla1[[#This Row],[PAGO DIA]],DIAS!A:F,6,0)</f>
        <v>46203</v>
      </c>
      <c r="R617" s="6">
        <v>0</v>
      </c>
      <c r="S617" s="43">
        <f>VLOOKUP(Tabla1[[#This Row],[PAGO DIA]],DIAS!A:G,7,0)</f>
        <v>46234</v>
      </c>
      <c r="T617" s="6">
        <v>0</v>
      </c>
      <c r="U617" s="43">
        <f>VLOOKUP(Tabla1[[#This Row],[PAGO DIA]],DIAS!A:H,8,0)</f>
        <v>46265</v>
      </c>
      <c r="V617" s="6">
        <v>0</v>
      </c>
      <c r="W617" s="43">
        <f>VLOOKUP(Tabla1[[#This Row],[PAGO DIA]],DIAS!A:I,9,0)</f>
        <v>46295</v>
      </c>
      <c r="X617" s="6">
        <v>0</v>
      </c>
      <c r="Y617" s="43">
        <f>VLOOKUP(Tabla1[[#This Row],[PAGO DIA]],DIAS!A:J,10,0)</f>
        <v>46325</v>
      </c>
      <c r="Z617" s="6">
        <v>0</v>
      </c>
      <c r="AA617" s="43">
        <f>VLOOKUP(Tabla1[[#This Row],[PAGO DIA]],DIAS!A:K,11,0)</f>
        <v>46356</v>
      </c>
      <c r="AB617" s="6">
        <v>0</v>
      </c>
      <c r="AC617" s="43">
        <f>VLOOKUP(Tabla1[[#This Row],[PAGO DIA]],DIAS!A:M,12,0)</f>
        <v>46386</v>
      </c>
      <c r="AD6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8" spans="1:30">
      <c r="A618" s="3">
        <v>12025</v>
      </c>
      <c r="B618" s="3" t="s">
        <v>544</v>
      </c>
      <c r="C618" s="3" t="s">
        <v>505</v>
      </c>
      <c r="D618" s="3" t="s">
        <v>1244</v>
      </c>
      <c r="E618" s="3" t="s">
        <v>1246</v>
      </c>
      <c r="F618" s="42" t="s">
        <v>631</v>
      </c>
      <c r="G618" s="3" t="s">
        <v>1247</v>
      </c>
      <c r="H618" s="6">
        <v>0</v>
      </c>
      <c r="I618" s="41">
        <f>VLOOKUP(Tabla1[[#This Row],[PAGO DIA]],DIAS!A:B,2,0)</f>
        <v>46080</v>
      </c>
      <c r="J618" s="6">
        <v>0</v>
      </c>
      <c r="K618" s="43">
        <f>VLOOKUP(Tabla1[[#This Row],[PAGO DIA]],DIAS!A:C,3,0)</f>
        <v>46112</v>
      </c>
      <c r="L618" s="6">
        <v>0</v>
      </c>
      <c r="M618" s="41">
        <f>VLOOKUP(Tabla1[[#This Row],[PAGO DIA]],DIAS!A:D,4,0)</f>
        <v>46142</v>
      </c>
      <c r="N618" s="6">
        <v>0</v>
      </c>
      <c r="O618" s="43">
        <f>VLOOKUP(Tabla1[[#This Row],[PAGO DIA]],DIAS!A:E,5,0)</f>
        <v>46171</v>
      </c>
      <c r="P618" s="6">
        <v>0</v>
      </c>
      <c r="Q618" s="43">
        <f>VLOOKUP(Tabla1[[#This Row],[PAGO DIA]],DIAS!A:F,6,0)</f>
        <v>46203</v>
      </c>
      <c r="R618" s="6">
        <v>0</v>
      </c>
      <c r="S618" s="43">
        <f>VLOOKUP(Tabla1[[#This Row],[PAGO DIA]],DIAS!A:G,7,0)</f>
        <v>46234</v>
      </c>
      <c r="T618" s="6">
        <v>0</v>
      </c>
      <c r="U618" s="43">
        <f>VLOOKUP(Tabla1[[#This Row],[PAGO DIA]],DIAS!A:H,8,0)</f>
        <v>46265</v>
      </c>
      <c r="V618" s="6">
        <v>0</v>
      </c>
      <c r="W618" s="43">
        <f>VLOOKUP(Tabla1[[#This Row],[PAGO DIA]],DIAS!A:I,9,0)</f>
        <v>46295</v>
      </c>
      <c r="X618" s="6">
        <v>0</v>
      </c>
      <c r="Y618" s="43">
        <f>VLOOKUP(Tabla1[[#This Row],[PAGO DIA]],DIAS!A:J,10,0)</f>
        <v>46325</v>
      </c>
      <c r="Z618" s="6">
        <v>0</v>
      </c>
      <c r="AA618" s="43">
        <f>VLOOKUP(Tabla1[[#This Row],[PAGO DIA]],DIAS!A:K,11,0)</f>
        <v>46356</v>
      </c>
      <c r="AB618" s="6">
        <v>0</v>
      </c>
      <c r="AC618" s="43">
        <f>VLOOKUP(Tabla1[[#This Row],[PAGO DIA]],DIAS!A:M,12,0)</f>
        <v>46386</v>
      </c>
      <c r="AD6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19" spans="1:30">
      <c r="A619" s="3">
        <v>12133</v>
      </c>
      <c r="B619" s="3" t="s">
        <v>544</v>
      </c>
      <c r="C619" s="3" t="s">
        <v>505</v>
      </c>
      <c r="D619" s="3" t="s">
        <v>1244</v>
      </c>
      <c r="E619" s="3" t="s">
        <v>1246</v>
      </c>
      <c r="F619" s="42" t="s">
        <v>631</v>
      </c>
      <c r="G619" s="3" t="s">
        <v>1248</v>
      </c>
      <c r="H619" s="6">
        <v>0</v>
      </c>
      <c r="I619" s="41">
        <f>VLOOKUP(Tabla1[[#This Row],[PAGO DIA]],DIAS!A:B,2,0)</f>
        <v>46080</v>
      </c>
      <c r="J619" s="6">
        <v>0</v>
      </c>
      <c r="K619" s="43">
        <f>VLOOKUP(Tabla1[[#This Row],[PAGO DIA]],DIAS!A:C,3,0)</f>
        <v>46112</v>
      </c>
      <c r="L619" s="6">
        <v>0</v>
      </c>
      <c r="M619" s="41">
        <f>VLOOKUP(Tabla1[[#This Row],[PAGO DIA]],DIAS!A:D,4,0)</f>
        <v>46142</v>
      </c>
      <c r="N619" s="6">
        <v>0</v>
      </c>
      <c r="O619" s="43">
        <f>VLOOKUP(Tabla1[[#This Row],[PAGO DIA]],DIAS!A:E,5,0)</f>
        <v>46171</v>
      </c>
      <c r="P619" s="6">
        <v>0</v>
      </c>
      <c r="Q619" s="43">
        <f>VLOOKUP(Tabla1[[#This Row],[PAGO DIA]],DIAS!A:F,6,0)</f>
        <v>46203</v>
      </c>
      <c r="R619" s="6">
        <v>0</v>
      </c>
      <c r="S619" s="43">
        <f>VLOOKUP(Tabla1[[#This Row],[PAGO DIA]],DIAS!A:G,7,0)</f>
        <v>46234</v>
      </c>
      <c r="T619" s="6">
        <v>0</v>
      </c>
      <c r="U619" s="43">
        <f>VLOOKUP(Tabla1[[#This Row],[PAGO DIA]],DIAS!A:H,8,0)</f>
        <v>46265</v>
      </c>
      <c r="V619" s="6">
        <v>0</v>
      </c>
      <c r="W619" s="43">
        <f>VLOOKUP(Tabla1[[#This Row],[PAGO DIA]],DIAS!A:I,9,0)</f>
        <v>46295</v>
      </c>
      <c r="X619" s="6">
        <v>0</v>
      </c>
      <c r="Y619" s="43">
        <f>VLOOKUP(Tabla1[[#This Row],[PAGO DIA]],DIAS!A:J,10,0)</f>
        <v>46325</v>
      </c>
      <c r="Z619" s="6">
        <v>0</v>
      </c>
      <c r="AA619" s="43">
        <f>VLOOKUP(Tabla1[[#This Row],[PAGO DIA]],DIAS!A:K,11,0)</f>
        <v>46356</v>
      </c>
      <c r="AB619" s="6">
        <v>0</v>
      </c>
      <c r="AC619" s="43">
        <f>VLOOKUP(Tabla1[[#This Row],[PAGO DIA]],DIAS!A:M,12,0)</f>
        <v>46386</v>
      </c>
      <c r="AD6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0" spans="1:30">
      <c r="A620" s="3">
        <v>12818</v>
      </c>
      <c r="B620" s="3" t="s">
        <v>544</v>
      </c>
      <c r="C620" s="3" t="s">
        <v>505</v>
      </c>
      <c r="D620" s="3" t="s">
        <v>545</v>
      </c>
      <c r="E620" s="3" t="s">
        <v>1249</v>
      </c>
      <c r="F620" s="42" t="s">
        <v>631</v>
      </c>
      <c r="G620" s="3" t="s">
        <v>1247</v>
      </c>
      <c r="H620" s="6">
        <v>0</v>
      </c>
      <c r="I620" s="41">
        <f>VLOOKUP(Tabla1[[#This Row],[PAGO DIA]],DIAS!A:B,2,0)</f>
        <v>46080</v>
      </c>
      <c r="J620" s="6">
        <v>0</v>
      </c>
      <c r="K620" s="43">
        <f>VLOOKUP(Tabla1[[#This Row],[PAGO DIA]],DIAS!A:C,3,0)</f>
        <v>46112</v>
      </c>
      <c r="L620" s="6">
        <v>0</v>
      </c>
      <c r="M620" s="41">
        <f>VLOOKUP(Tabla1[[#This Row],[PAGO DIA]],DIAS!A:D,4,0)</f>
        <v>46142</v>
      </c>
      <c r="N620" s="6">
        <v>0</v>
      </c>
      <c r="O620" s="43">
        <f>VLOOKUP(Tabla1[[#This Row],[PAGO DIA]],DIAS!A:E,5,0)</f>
        <v>46171</v>
      </c>
      <c r="P620" s="6">
        <v>0</v>
      </c>
      <c r="Q620" s="43">
        <f>VLOOKUP(Tabla1[[#This Row],[PAGO DIA]],DIAS!A:F,6,0)</f>
        <v>46203</v>
      </c>
      <c r="R620" s="6">
        <v>0</v>
      </c>
      <c r="S620" s="43">
        <f>VLOOKUP(Tabla1[[#This Row],[PAGO DIA]],DIAS!A:G,7,0)</f>
        <v>46234</v>
      </c>
      <c r="T620" s="6">
        <v>0</v>
      </c>
      <c r="U620" s="43">
        <f>VLOOKUP(Tabla1[[#This Row],[PAGO DIA]],DIAS!A:H,8,0)</f>
        <v>46265</v>
      </c>
      <c r="V620" s="6">
        <v>0</v>
      </c>
      <c r="W620" s="43">
        <f>VLOOKUP(Tabla1[[#This Row],[PAGO DIA]],DIAS!A:I,9,0)</f>
        <v>46295</v>
      </c>
      <c r="X620" s="6">
        <v>0</v>
      </c>
      <c r="Y620" s="43">
        <f>VLOOKUP(Tabla1[[#This Row],[PAGO DIA]],DIAS!A:J,10,0)</f>
        <v>46325</v>
      </c>
      <c r="Z620" s="6">
        <v>0</v>
      </c>
      <c r="AA620" s="43">
        <f>VLOOKUP(Tabla1[[#This Row],[PAGO DIA]],DIAS!A:K,11,0)</f>
        <v>46356</v>
      </c>
      <c r="AB620" s="6">
        <v>0</v>
      </c>
      <c r="AC620" s="43">
        <f>VLOOKUP(Tabla1[[#This Row],[PAGO DIA]],DIAS!A:M,12,0)</f>
        <v>46386</v>
      </c>
      <c r="AD6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1" spans="1:30">
      <c r="A621" s="3">
        <v>11098</v>
      </c>
      <c r="B621" s="3" t="s">
        <v>544</v>
      </c>
      <c r="C621" s="3" t="s">
        <v>505</v>
      </c>
      <c r="D621" s="3" t="s">
        <v>1193</v>
      </c>
      <c r="E621" s="3" t="s">
        <v>1250</v>
      </c>
      <c r="F621" s="42" t="s">
        <v>631</v>
      </c>
      <c r="G621" s="3" t="s">
        <v>1251</v>
      </c>
      <c r="H621" s="6">
        <v>0</v>
      </c>
      <c r="I621" s="41">
        <f>VLOOKUP(Tabla1[[#This Row],[PAGO DIA]],DIAS!A:B,2,0)</f>
        <v>46080</v>
      </c>
      <c r="J621" s="6">
        <v>0</v>
      </c>
      <c r="K621" s="43">
        <f>VLOOKUP(Tabla1[[#This Row],[PAGO DIA]],DIAS!A:C,3,0)</f>
        <v>46112</v>
      </c>
      <c r="L621" s="6">
        <v>0</v>
      </c>
      <c r="M621" s="41">
        <f>VLOOKUP(Tabla1[[#This Row],[PAGO DIA]],DIAS!A:D,4,0)</f>
        <v>46142</v>
      </c>
      <c r="N621" s="6">
        <v>0</v>
      </c>
      <c r="O621" s="43">
        <f>VLOOKUP(Tabla1[[#This Row],[PAGO DIA]],DIAS!A:E,5,0)</f>
        <v>46171</v>
      </c>
      <c r="P621" s="6">
        <v>0</v>
      </c>
      <c r="Q621" s="43">
        <f>VLOOKUP(Tabla1[[#This Row],[PAGO DIA]],DIAS!A:F,6,0)</f>
        <v>46203</v>
      </c>
      <c r="R621" s="6">
        <v>0</v>
      </c>
      <c r="S621" s="43">
        <f>VLOOKUP(Tabla1[[#This Row],[PAGO DIA]],DIAS!A:G,7,0)</f>
        <v>46234</v>
      </c>
      <c r="T621" s="6">
        <v>0</v>
      </c>
      <c r="U621" s="43">
        <f>VLOOKUP(Tabla1[[#This Row],[PAGO DIA]],DIAS!A:H,8,0)</f>
        <v>46265</v>
      </c>
      <c r="V621" s="6">
        <v>0</v>
      </c>
      <c r="W621" s="43">
        <f>VLOOKUP(Tabla1[[#This Row],[PAGO DIA]],DIAS!A:I,9,0)</f>
        <v>46295</v>
      </c>
      <c r="X621" s="6">
        <v>0</v>
      </c>
      <c r="Y621" s="43">
        <f>VLOOKUP(Tabla1[[#This Row],[PAGO DIA]],DIAS!A:J,10,0)</f>
        <v>46325</v>
      </c>
      <c r="Z621" s="6">
        <v>0</v>
      </c>
      <c r="AA621" s="43">
        <f>VLOOKUP(Tabla1[[#This Row],[PAGO DIA]],DIAS!A:K,11,0)</f>
        <v>46356</v>
      </c>
      <c r="AB621" s="6">
        <v>0</v>
      </c>
      <c r="AC621" s="43">
        <f>VLOOKUP(Tabla1[[#This Row],[PAGO DIA]],DIAS!A:M,12,0)</f>
        <v>46386</v>
      </c>
      <c r="AD6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2" spans="1:30">
      <c r="A622" s="3">
        <v>11197</v>
      </c>
      <c r="B622" s="3" t="s">
        <v>544</v>
      </c>
      <c r="C622" s="3" t="s">
        <v>505</v>
      </c>
      <c r="D622" s="3" t="s">
        <v>1193</v>
      </c>
      <c r="E622" s="3" t="s">
        <v>1250</v>
      </c>
      <c r="F622" s="42" t="s">
        <v>631</v>
      </c>
      <c r="G622" s="3" t="s">
        <v>1247</v>
      </c>
      <c r="H622" s="6">
        <v>0</v>
      </c>
      <c r="I622" s="41">
        <f>VLOOKUP(Tabla1[[#This Row],[PAGO DIA]],DIAS!A:B,2,0)</f>
        <v>46080</v>
      </c>
      <c r="J622" s="6">
        <v>0</v>
      </c>
      <c r="K622" s="43">
        <f>VLOOKUP(Tabla1[[#This Row],[PAGO DIA]],DIAS!A:C,3,0)</f>
        <v>46112</v>
      </c>
      <c r="L622" s="6">
        <v>0</v>
      </c>
      <c r="M622" s="41">
        <f>VLOOKUP(Tabla1[[#This Row],[PAGO DIA]],DIAS!A:D,4,0)</f>
        <v>46142</v>
      </c>
      <c r="N622" s="6">
        <v>0</v>
      </c>
      <c r="O622" s="43">
        <f>VLOOKUP(Tabla1[[#This Row],[PAGO DIA]],DIAS!A:E,5,0)</f>
        <v>46171</v>
      </c>
      <c r="P622" s="6">
        <v>0</v>
      </c>
      <c r="Q622" s="43">
        <f>VLOOKUP(Tabla1[[#This Row],[PAGO DIA]],DIAS!A:F,6,0)</f>
        <v>46203</v>
      </c>
      <c r="R622" s="6">
        <v>0</v>
      </c>
      <c r="S622" s="43">
        <f>VLOOKUP(Tabla1[[#This Row],[PAGO DIA]],DIAS!A:G,7,0)</f>
        <v>46234</v>
      </c>
      <c r="T622" s="6">
        <v>0</v>
      </c>
      <c r="U622" s="43">
        <f>VLOOKUP(Tabla1[[#This Row],[PAGO DIA]],DIAS!A:H,8,0)</f>
        <v>46265</v>
      </c>
      <c r="V622" s="6">
        <v>0</v>
      </c>
      <c r="W622" s="43">
        <f>VLOOKUP(Tabla1[[#This Row],[PAGO DIA]],DIAS!A:I,9,0)</f>
        <v>46295</v>
      </c>
      <c r="X622" s="6">
        <v>0</v>
      </c>
      <c r="Y622" s="43">
        <f>VLOOKUP(Tabla1[[#This Row],[PAGO DIA]],DIAS!A:J,10,0)</f>
        <v>46325</v>
      </c>
      <c r="Z622" s="6">
        <v>0</v>
      </c>
      <c r="AA622" s="43">
        <f>VLOOKUP(Tabla1[[#This Row],[PAGO DIA]],DIAS!A:K,11,0)</f>
        <v>46356</v>
      </c>
      <c r="AB622" s="6">
        <v>0</v>
      </c>
      <c r="AC622" s="43">
        <f>VLOOKUP(Tabla1[[#This Row],[PAGO DIA]],DIAS!A:M,12,0)</f>
        <v>46386</v>
      </c>
      <c r="AD6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3" spans="1:30">
      <c r="A623" s="3">
        <v>11040</v>
      </c>
      <c r="B623" s="3" t="s">
        <v>544</v>
      </c>
      <c r="C623" s="3" t="s">
        <v>505</v>
      </c>
      <c r="D623" s="3" t="s">
        <v>545</v>
      </c>
      <c r="E623" s="3" t="s">
        <v>572</v>
      </c>
      <c r="F623" s="42" t="s">
        <v>631</v>
      </c>
      <c r="G623" s="3"/>
      <c r="H623" s="6">
        <v>0</v>
      </c>
      <c r="I623" s="41">
        <f>VLOOKUP(Tabla1[[#This Row],[PAGO DIA]],DIAS!A:B,2,0)</f>
        <v>46080</v>
      </c>
      <c r="J623" s="6">
        <v>0</v>
      </c>
      <c r="K623" s="43">
        <f>VLOOKUP(Tabla1[[#This Row],[PAGO DIA]],DIAS!A:C,3,0)</f>
        <v>46112</v>
      </c>
      <c r="L623" s="6">
        <v>0</v>
      </c>
      <c r="M623" s="41">
        <f>VLOOKUP(Tabla1[[#This Row],[PAGO DIA]],DIAS!A:D,4,0)</f>
        <v>46142</v>
      </c>
      <c r="N623" s="6">
        <v>0</v>
      </c>
      <c r="O623" s="43">
        <f>VLOOKUP(Tabla1[[#This Row],[PAGO DIA]],DIAS!A:E,5,0)</f>
        <v>46171</v>
      </c>
      <c r="P623" s="6">
        <v>0</v>
      </c>
      <c r="Q623" s="43">
        <f>VLOOKUP(Tabla1[[#This Row],[PAGO DIA]],DIAS!A:F,6,0)</f>
        <v>46203</v>
      </c>
      <c r="R623" s="6">
        <v>0</v>
      </c>
      <c r="S623" s="43">
        <f>VLOOKUP(Tabla1[[#This Row],[PAGO DIA]],DIAS!A:G,7,0)</f>
        <v>46234</v>
      </c>
      <c r="T623" s="6">
        <v>0</v>
      </c>
      <c r="U623" s="43">
        <f>VLOOKUP(Tabla1[[#This Row],[PAGO DIA]],DIAS!A:H,8,0)</f>
        <v>46265</v>
      </c>
      <c r="V623" s="6">
        <v>0</v>
      </c>
      <c r="W623" s="43">
        <f>VLOOKUP(Tabla1[[#This Row],[PAGO DIA]],DIAS!A:I,9,0)</f>
        <v>46295</v>
      </c>
      <c r="X623" s="6">
        <v>0</v>
      </c>
      <c r="Y623" s="43">
        <f>VLOOKUP(Tabla1[[#This Row],[PAGO DIA]],DIAS!A:J,10,0)</f>
        <v>46325</v>
      </c>
      <c r="Z623" s="6">
        <v>0</v>
      </c>
      <c r="AA623" s="43">
        <f>VLOOKUP(Tabla1[[#This Row],[PAGO DIA]],DIAS!A:K,11,0)</f>
        <v>46356</v>
      </c>
      <c r="AB623" s="6">
        <v>0</v>
      </c>
      <c r="AC623" s="43">
        <f>VLOOKUP(Tabla1[[#This Row],[PAGO DIA]],DIAS!A:M,12,0)</f>
        <v>46386</v>
      </c>
      <c r="AD6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4" spans="1:30">
      <c r="A624" s="3">
        <v>11041</v>
      </c>
      <c r="B624" s="3" t="s">
        <v>544</v>
      </c>
      <c r="C624" s="3" t="s">
        <v>505</v>
      </c>
      <c r="D624" s="3" t="s">
        <v>545</v>
      </c>
      <c r="E624" s="3" t="s">
        <v>572</v>
      </c>
      <c r="F624" s="42" t="s">
        <v>631</v>
      </c>
      <c r="G624" s="3"/>
      <c r="H624" s="6">
        <v>0</v>
      </c>
      <c r="I624" s="41">
        <f>VLOOKUP(Tabla1[[#This Row],[PAGO DIA]],DIAS!A:B,2,0)</f>
        <v>46080</v>
      </c>
      <c r="J624" s="6">
        <v>0</v>
      </c>
      <c r="K624" s="43">
        <f>VLOOKUP(Tabla1[[#This Row],[PAGO DIA]],DIAS!A:C,3,0)</f>
        <v>46112</v>
      </c>
      <c r="L624" s="6">
        <v>0</v>
      </c>
      <c r="M624" s="41">
        <f>VLOOKUP(Tabla1[[#This Row],[PAGO DIA]],DIAS!A:D,4,0)</f>
        <v>46142</v>
      </c>
      <c r="N624" s="6">
        <v>0</v>
      </c>
      <c r="O624" s="43">
        <f>VLOOKUP(Tabla1[[#This Row],[PAGO DIA]],DIAS!A:E,5,0)</f>
        <v>46171</v>
      </c>
      <c r="P624" s="6">
        <v>0</v>
      </c>
      <c r="Q624" s="43">
        <f>VLOOKUP(Tabla1[[#This Row],[PAGO DIA]],DIAS!A:F,6,0)</f>
        <v>46203</v>
      </c>
      <c r="R624" s="6">
        <v>0</v>
      </c>
      <c r="S624" s="43">
        <f>VLOOKUP(Tabla1[[#This Row],[PAGO DIA]],DIAS!A:G,7,0)</f>
        <v>46234</v>
      </c>
      <c r="T624" s="6">
        <v>0</v>
      </c>
      <c r="U624" s="43">
        <f>VLOOKUP(Tabla1[[#This Row],[PAGO DIA]],DIAS!A:H,8,0)</f>
        <v>46265</v>
      </c>
      <c r="V624" s="6">
        <v>0</v>
      </c>
      <c r="W624" s="43">
        <f>VLOOKUP(Tabla1[[#This Row],[PAGO DIA]],DIAS!A:I,9,0)</f>
        <v>46295</v>
      </c>
      <c r="X624" s="6">
        <v>0</v>
      </c>
      <c r="Y624" s="43">
        <f>VLOOKUP(Tabla1[[#This Row],[PAGO DIA]],DIAS!A:J,10,0)</f>
        <v>46325</v>
      </c>
      <c r="Z624" s="6">
        <v>0</v>
      </c>
      <c r="AA624" s="43">
        <f>VLOOKUP(Tabla1[[#This Row],[PAGO DIA]],DIAS!A:K,11,0)</f>
        <v>46356</v>
      </c>
      <c r="AB624" s="6">
        <v>0</v>
      </c>
      <c r="AC624" s="43">
        <f>VLOOKUP(Tabla1[[#This Row],[PAGO DIA]],DIAS!A:M,12,0)</f>
        <v>46386</v>
      </c>
      <c r="AD6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5" spans="1:30">
      <c r="A625" s="3">
        <v>11281</v>
      </c>
      <c r="B625" s="3" t="s">
        <v>544</v>
      </c>
      <c r="C625" s="3" t="s">
        <v>505</v>
      </c>
      <c r="D625" s="3" t="s">
        <v>545</v>
      </c>
      <c r="E625" s="3" t="s">
        <v>572</v>
      </c>
      <c r="F625" s="42" t="s">
        <v>631</v>
      </c>
      <c r="G625" s="3" t="s">
        <v>1252</v>
      </c>
      <c r="H625" s="6">
        <v>0</v>
      </c>
      <c r="I625" s="41">
        <f>VLOOKUP(Tabla1[[#This Row],[PAGO DIA]],DIAS!A:B,2,0)</f>
        <v>46080</v>
      </c>
      <c r="J625" s="6">
        <v>0</v>
      </c>
      <c r="K625" s="43">
        <f>VLOOKUP(Tabla1[[#This Row],[PAGO DIA]],DIAS!A:C,3,0)</f>
        <v>46112</v>
      </c>
      <c r="L625" s="6">
        <v>0</v>
      </c>
      <c r="M625" s="41">
        <f>VLOOKUP(Tabla1[[#This Row],[PAGO DIA]],DIAS!A:D,4,0)</f>
        <v>46142</v>
      </c>
      <c r="N625" s="6">
        <v>0</v>
      </c>
      <c r="O625" s="43">
        <f>VLOOKUP(Tabla1[[#This Row],[PAGO DIA]],DIAS!A:E,5,0)</f>
        <v>46171</v>
      </c>
      <c r="P625" s="6">
        <v>0</v>
      </c>
      <c r="Q625" s="43">
        <f>VLOOKUP(Tabla1[[#This Row],[PAGO DIA]],DIAS!A:F,6,0)</f>
        <v>46203</v>
      </c>
      <c r="R625" s="6">
        <v>0</v>
      </c>
      <c r="S625" s="43">
        <f>VLOOKUP(Tabla1[[#This Row],[PAGO DIA]],DIAS!A:G,7,0)</f>
        <v>46234</v>
      </c>
      <c r="T625" s="6">
        <v>0</v>
      </c>
      <c r="U625" s="43">
        <f>VLOOKUP(Tabla1[[#This Row],[PAGO DIA]],DIAS!A:H,8,0)</f>
        <v>46265</v>
      </c>
      <c r="V625" s="6">
        <v>0</v>
      </c>
      <c r="W625" s="43">
        <f>VLOOKUP(Tabla1[[#This Row],[PAGO DIA]],DIAS!A:I,9,0)</f>
        <v>46295</v>
      </c>
      <c r="X625" s="6">
        <v>0</v>
      </c>
      <c r="Y625" s="43">
        <f>VLOOKUP(Tabla1[[#This Row],[PAGO DIA]],DIAS!A:J,10,0)</f>
        <v>46325</v>
      </c>
      <c r="Z625" s="6">
        <v>0</v>
      </c>
      <c r="AA625" s="43">
        <f>VLOOKUP(Tabla1[[#This Row],[PAGO DIA]],DIAS!A:K,11,0)</f>
        <v>46356</v>
      </c>
      <c r="AB625" s="6">
        <v>0</v>
      </c>
      <c r="AC625" s="43">
        <f>VLOOKUP(Tabla1[[#This Row],[PAGO DIA]],DIAS!A:M,12,0)</f>
        <v>46386</v>
      </c>
      <c r="AD6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6" spans="1:30">
      <c r="A626" s="3">
        <v>11282</v>
      </c>
      <c r="B626" s="3" t="s">
        <v>544</v>
      </c>
      <c r="C626" s="3" t="s">
        <v>505</v>
      </c>
      <c r="D626" s="3" t="s">
        <v>545</v>
      </c>
      <c r="E626" s="3" t="s">
        <v>572</v>
      </c>
      <c r="F626" s="42" t="s">
        <v>631</v>
      </c>
      <c r="G626" s="3" t="s">
        <v>1253</v>
      </c>
      <c r="H626" s="6">
        <v>0</v>
      </c>
      <c r="I626" s="41">
        <f>VLOOKUP(Tabla1[[#This Row],[PAGO DIA]],DIAS!A:B,2,0)</f>
        <v>46080</v>
      </c>
      <c r="J626" s="6">
        <v>0</v>
      </c>
      <c r="K626" s="43">
        <f>VLOOKUP(Tabla1[[#This Row],[PAGO DIA]],DIAS!A:C,3,0)</f>
        <v>46112</v>
      </c>
      <c r="L626" s="6">
        <v>0</v>
      </c>
      <c r="M626" s="41">
        <f>VLOOKUP(Tabla1[[#This Row],[PAGO DIA]],DIAS!A:D,4,0)</f>
        <v>46142</v>
      </c>
      <c r="N626" s="6">
        <v>0</v>
      </c>
      <c r="O626" s="43">
        <f>VLOOKUP(Tabla1[[#This Row],[PAGO DIA]],DIAS!A:E,5,0)</f>
        <v>46171</v>
      </c>
      <c r="P626" s="6">
        <v>0</v>
      </c>
      <c r="Q626" s="43">
        <f>VLOOKUP(Tabla1[[#This Row],[PAGO DIA]],DIAS!A:F,6,0)</f>
        <v>46203</v>
      </c>
      <c r="R626" s="6">
        <v>0</v>
      </c>
      <c r="S626" s="43">
        <f>VLOOKUP(Tabla1[[#This Row],[PAGO DIA]],DIAS!A:G,7,0)</f>
        <v>46234</v>
      </c>
      <c r="T626" s="6">
        <v>0</v>
      </c>
      <c r="U626" s="43">
        <f>VLOOKUP(Tabla1[[#This Row],[PAGO DIA]],DIAS!A:H,8,0)</f>
        <v>46265</v>
      </c>
      <c r="V626" s="6">
        <v>0</v>
      </c>
      <c r="W626" s="43">
        <f>VLOOKUP(Tabla1[[#This Row],[PAGO DIA]],DIAS!A:I,9,0)</f>
        <v>46295</v>
      </c>
      <c r="X626" s="6">
        <v>0</v>
      </c>
      <c r="Y626" s="43">
        <f>VLOOKUP(Tabla1[[#This Row],[PAGO DIA]],DIAS!A:J,10,0)</f>
        <v>46325</v>
      </c>
      <c r="Z626" s="6">
        <v>0</v>
      </c>
      <c r="AA626" s="43">
        <f>VLOOKUP(Tabla1[[#This Row],[PAGO DIA]],DIAS!A:K,11,0)</f>
        <v>46356</v>
      </c>
      <c r="AB626" s="6">
        <v>0</v>
      </c>
      <c r="AC626" s="43">
        <f>VLOOKUP(Tabla1[[#This Row],[PAGO DIA]],DIAS!A:M,12,0)</f>
        <v>46386</v>
      </c>
      <c r="AD6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7" spans="1:30">
      <c r="A627" s="3">
        <v>11518</v>
      </c>
      <c r="B627" s="3" t="s">
        <v>544</v>
      </c>
      <c r="C627" s="3" t="s">
        <v>540</v>
      </c>
      <c r="D627" s="3" t="s">
        <v>545</v>
      </c>
      <c r="E627" s="3" t="s">
        <v>572</v>
      </c>
      <c r="F627" s="42" t="s">
        <v>631</v>
      </c>
      <c r="G627" s="3" t="s">
        <v>1254</v>
      </c>
      <c r="H627" s="6">
        <v>0</v>
      </c>
      <c r="I627" s="41">
        <f>VLOOKUP(Tabla1[[#This Row],[PAGO DIA]],DIAS!A:B,2,0)</f>
        <v>46080</v>
      </c>
      <c r="J627" s="6">
        <v>0</v>
      </c>
      <c r="K627" s="43">
        <f>VLOOKUP(Tabla1[[#This Row],[PAGO DIA]],DIAS!A:C,3,0)</f>
        <v>46112</v>
      </c>
      <c r="L627" s="6">
        <v>0</v>
      </c>
      <c r="M627" s="41">
        <f>VLOOKUP(Tabla1[[#This Row],[PAGO DIA]],DIAS!A:D,4,0)</f>
        <v>46142</v>
      </c>
      <c r="N627" s="6">
        <v>0</v>
      </c>
      <c r="O627" s="43">
        <f>VLOOKUP(Tabla1[[#This Row],[PAGO DIA]],DIAS!A:E,5,0)</f>
        <v>46171</v>
      </c>
      <c r="P627" s="6">
        <v>0</v>
      </c>
      <c r="Q627" s="43">
        <f>VLOOKUP(Tabla1[[#This Row],[PAGO DIA]],DIAS!A:F,6,0)</f>
        <v>46203</v>
      </c>
      <c r="R627" s="6">
        <v>0</v>
      </c>
      <c r="S627" s="43">
        <f>VLOOKUP(Tabla1[[#This Row],[PAGO DIA]],DIAS!A:G,7,0)</f>
        <v>46234</v>
      </c>
      <c r="T627" s="6">
        <v>0</v>
      </c>
      <c r="U627" s="43">
        <f>VLOOKUP(Tabla1[[#This Row],[PAGO DIA]],DIAS!A:H,8,0)</f>
        <v>46265</v>
      </c>
      <c r="V627" s="6">
        <v>0</v>
      </c>
      <c r="W627" s="43">
        <f>VLOOKUP(Tabla1[[#This Row],[PAGO DIA]],DIAS!A:I,9,0)</f>
        <v>46295</v>
      </c>
      <c r="X627" s="6">
        <v>0</v>
      </c>
      <c r="Y627" s="43">
        <f>VLOOKUP(Tabla1[[#This Row],[PAGO DIA]],DIAS!A:J,10,0)</f>
        <v>46325</v>
      </c>
      <c r="Z627" s="6">
        <v>0</v>
      </c>
      <c r="AA627" s="43">
        <f>VLOOKUP(Tabla1[[#This Row],[PAGO DIA]],DIAS!A:K,11,0)</f>
        <v>46356</v>
      </c>
      <c r="AB627" s="6">
        <v>0</v>
      </c>
      <c r="AC627" s="43">
        <f>VLOOKUP(Tabla1[[#This Row],[PAGO DIA]],DIAS!A:M,12,0)</f>
        <v>46386</v>
      </c>
      <c r="AD6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8" spans="1:30">
      <c r="A628" s="3">
        <v>11519</v>
      </c>
      <c r="B628" s="3" t="s">
        <v>544</v>
      </c>
      <c r="C628" s="3" t="s">
        <v>540</v>
      </c>
      <c r="D628" s="3" t="s">
        <v>545</v>
      </c>
      <c r="E628" s="3" t="s">
        <v>572</v>
      </c>
      <c r="F628" s="42" t="s">
        <v>631</v>
      </c>
      <c r="G628" s="3" t="s">
        <v>574</v>
      </c>
      <c r="H628" s="6">
        <v>0</v>
      </c>
      <c r="I628" s="41">
        <f>VLOOKUP(Tabla1[[#This Row],[PAGO DIA]],DIAS!A:B,2,0)</f>
        <v>46080</v>
      </c>
      <c r="J628" s="6">
        <v>0</v>
      </c>
      <c r="K628" s="43">
        <f>VLOOKUP(Tabla1[[#This Row],[PAGO DIA]],DIAS!A:C,3,0)</f>
        <v>46112</v>
      </c>
      <c r="L628" s="6">
        <v>0</v>
      </c>
      <c r="M628" s="41">
        <f>VLOOKUP(Tabla1[[#This Row],[PAGO DIA]],DIAS!A:D,4,0)</f>
        <v>46142</v>
      </c>
      <c r="N628" s="6">
        <v>0</v>
      </c>
      <c r="O628" s="43">
        <f>VLOOKUP(Tabla1[[#This Row],[PAGO DIA]],DIAS!A:E,5,0)</f>
        <v>46171</v>
      </c>
      <c r="P628" s="6">
        <v>0</v>
      </c>
      <c r="Q628" s="43">
        <f>VLOOKUP(Tabla1[[#This Row],[PAGO DIA]],DIAS!A:F,6,0)</f>
        <v>46203</v>
      </c>
      <c r="R628" s="6">
        <v>0</v>
      </c>
      <c r="S628" s="43">
        <f>VLOOKUP(Tabla1[[#This Row],[PAGO DIA]],DIAS!A:G,7,0)</f>
        <v>46234</v>
      </c>
      <c r="T628" s="6">
        <v>0</v>
      </c>
      <c r="U628" s="43">
        <f>VLOOKUP(Tabla1[[#This Row],[PAGO DIA]],DIAS!A:H,8,0)</f>
        <v>46265</v>
      </c>
      <c r="V628" s="6">
        <v>0</v>
      </c>
      <c r="W628" s="43">
        <f>VLOOKUP(Tabla1[[#This Row],[PAGO DIA]],DIAS!A:I,9,0)</f>
        <v>46295</v>
      </c>
      <c r="X628" s="6">
        <v>0</v>
      </c>
      <c r="Y628" s="43">
        <f>VLOOKUP(Tabla1[[#This Row],[PAGO DIA]],DIAS!A:J,10,0)</f>
        <v>46325</v>
      </c>
      <c r="Z628" s="6">
        <v>0</v>
      </c>
      <c r="AA628" s="43">
        <f>VLOOKUP(Tabla1[[#This Row],[PAGO DIA]],DIAS!A:K,11,0)</f>
        <v>46356</v>
      </c>
      <c r="AB628" s="6">
        <v>0</v>
      </c>
      <c r="AC628" s="43">
        <f>VLOOKUP(Tabla1[[#This Row],[PAGO DIA]],DIAS!A:M,12,0)</f>
        <v>46386</v>
      </c>
      <c r="AD6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29" spans="1:30">
      <c r="A629" s="3">
        <v>11520</v>
      </c>
      <c r="B629" s="3" t="s">
        <v>544</v>
      </c>
      <c r="C629" s="3" t="s">
        <v>540</v>
      </c>
      <c r="D629" s="3" t="s">
        <v>545</v>
      </c>
      <c r="E629" s="3" t="s">
        <v>572</v>
      </c>
      <c r="F629" s="42" t="s">
        <v>631</v>
      </c>
      <c r="G629" s="3" t="s">
        <v>1255</v>
      </c>
      <c r="H629" s="6">
        <v>0</v>
      </c>
      <c r="I629" s="41">
        <f>VLOOKUP(Tabla1[[#This Row],[PAGO DIA]],DIAS!A:B,2,0)</f>
        <v>46080</v>
      </c>
      <c r="J629" s="6">
        <v>0</v>
      </c>
      <c r="K629" s="43">
        <f>VLOOKUP(Tabla1[[#This Row],[PAGO DIA]],DIAS!A:C,3,0)</f>
        <v>46112</v>
      </c>
      <c r="L629" s="6">
        <v>0</v>
      </c>
      <c r="M629" s="41">
        <f>VLOOKUP(Tabla1[[#This Row],[PAGO DIA]],DIAS!A:D,4,0)</f>
        <v>46142</v>
      </c>
      <c r="N629" s="6">
        <v>0</v>
      </c>
      <c r="O629" s="43">
        <f>VLOOKUP(Tabla1[[#This Row],[PAGO DIA]],DIAS!A:E,5,0)</f>
        <v>46171</v>
      </c>
      <c r="P629" s="6">
        <v>0</v>
      </c>
      <c r="Q629" s="43">
        <f>VLOOKUP(Tabla1[[#This Row],[PAGO DIA]],DIAS!A:F,6,0)</f>
        <v>46203</v>
      </c>
      <c r="R629" s="6">
        <v>0</v>
      </c>
      <c r="S629" s="43">
        <f>VLOOKUP(Tabla1[[#This Row],[PAGO DIA]],DIAS!A:G,7,0)</f>
        <v>46234</v>
      </c>
      <c r="T629" s="6">
        <v>0</v>
      </c>
      <c r="U629" s="43">
        <f>VLOOKUP(Tabla1[[#This Row],[PAGO DIA]],DIAS!A:H,8,0)</f>
        <v>46265</v>
      </c>
      <c r="V629" s="6">
        <v>0</v>
      </c>
      <c r="W629" s="43">
        <f>VLOOKUP(Tabla1[[#This Row],[PAGO DIA]],DIAS!A:I,9,0)</f>
        <v>46295</v>
      </c>
      <c r="X629" s="6">
        <v>0</v>
      </c>
      <c r="Y629" s="43">
        <f>VLOOKUP(Tabla1[[#This Row],[PAGO DIA]],DIAS!A:J,10,0)</f>
        <v>46325</v>
      </c>
      <c r="Z629" s="6">
        <v>0</v>
      </c>
      <c r="AA629" s="43">
        <f>VLOOKUP(Tabla1[[#This Row],[PAGO DIA]],DIAS!A:K,11,0)</f>
        <v>46356</v>
      </c>
      <c r="AB629" s="6">
        <v>0</v>
      </c>
      <c r="AC629" s="43">
        <f>VLOOKUP(Tabla1[[#This Row],[PAGO DIA]],DIAS!A:M,12,0)</f>
        <v>46386</v>
      </c>
      <c r="AD6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0" spans="1:30">
      <c r="A630" s="3">
        <v>12820</v>
      </c>
      <c r="B630" s="3" t="s">
        <v>544</v>
      </c>
      <c r="C630" s="3" t="s">
        <v>505</v>
      </c>
      <c r="D630" s="3" t="s">
        <v>545</v>
      </c>
      <c r="E630" s="3" t="s">
        <v>1256</v>
      </c>
      <c r="F630" s="42" t="s">
        <v>631</v>
      </c>
      <c r="G630" s="3" t="s">
        <v>1257</v>
      </c>
      <c r="H630" s="6">
        <v>0</v>
      </c>
      <c r="I630" s="41">
        <f>VLOOKUP(Tabla1[[#This Row],[PAGO DIA]],DIAS!A:B,2,0)</f>
        <v>46080</v>
      </c>
      <c r="J630" s="6">
        <v>0</v>
      </c>
      <c r="K630" s="43">
        <f>VLOOKUP(Tabla1[[#This Row],[PAGO DIA]],DIAS!A:C,3,0)</f>
        <v>46112</v>
      </c>
      <c r="L630" s="6">
        <v>0</v>
      </c>
      <c r="M630" s="41">
        <f>VLOOKUP(Tabla1[[#This Row],[PAGO DIA]],DIAS!A:D,4,0)</f>
        <v>46142</v>
      </c>
      <c r="N630" s="6">
        <v>0</v>
      </c>
      <c r="O630" s="43">
        <f>VLOOKUP(Tabla1[[#This Row],[PAGO DIA]],DIAS!A:E,5,0)</f>
        <v>46171</v>
      </c>
      <c r="P630" s="6">
        <v>0</v>
      </c>
      <c r="Q630" s="43">
        <f>VLOOKUP(Tabla1[[#This Row],[PAGO DIA]],DIAS!A:F,6,0)</f>
        <v>46203</v>
      </c>
      <c r="R630" s="6">
        <v>0</v>
      </c>
      <c r="S630" s="43">
        <f>VLOOKUP(Tabla1[[#This Row],[PAGO DIA]],DIAS!A:G,7,0)</f>
        <v>46234</v>
      </c>
      <c r="T630" s="6">
        <v>0</v>
      </c>
      <c r="U630" s="43">
        <f>VLOOKUP(Tabla1[[#This Row],[PAGO DIA]],DIAS!A:H,8,0)</f>
        <v>46265</v>
      </c>
      <c r="V630" s="6">
        <v>0</v>
      </c>
      <c r="W630" s="43">
        <f>VLOOKUP(Tabla1[[#This Row],[PAGO DIA]],DIAS!A:I,9,0)</f>
        <v>46295</v>
      </c>
      <c r="X630" s="6">
        <v>0</v>
      </c>
      <c r="Y630" s="43">
        <f>VLOOKUP(Tabla1[[#This Row],[PAGO DIA]],DIAS!A:J,10,0)</f>
        <v>46325</v>
      </c>
      <c r="Z630" s="6">
        <v>0</v>
      </c>
      <c r="AA630" s="43">
        <f>VLOOKUP(Tabla1[[#This Row],[PAGO DIA]],DIAS!A:K,11,0)</f>
        <v>46356</v>
      </c>
      <c r="AB630" s="6">
        <v>0</v>
      </c>
      <c r="AC630" s="43">
        <f>VLOOKUP(Tabla1[[#This Row],[PAGO DIA]],DIAS!A:M,12,0)</f>
        <v>46386</v>
      </c>
      <c r="AD6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1" spans="1:30">
      <c r="A631" s="3">
        <v>11536</v>
      </c>
      <c r="B631" s="3" t="s">
        <v>544</v>
      </c>
      <c r="C631" s="3" t="s">
        <v>540</v>
      </c>
      <c r="D631" s="3" t="s">
        <v>545</v>
      </c>
      <c r="E631" s="3" t="s">
        <v>1258</v>
      </c>
      <c r="F631" s="42" t="s">
        <v>631</v>
      </c>
      <c r="G631" s="3" t="s">
        <v>1257</v>
      </c>
      <c r="H631" s="6">
        <v>0</v>
      </c>
      <c r="I631" s="41">
        <f>VLOOKUP(Tabla1[[#This Row],[PAGO DIA]],DIAS!A:B,2,0)</f>
        <v>46080</v>
      </c>
      <c r="J631" s="6">
        <v>0</v>
      </c>
      <c r="K631" s="43">
        <f>VLOOKUP(Tabla1[[#This Row],[PAGO DIA]],DIAS!A:C,3,0)</f>
        <v>46112</v>
      </c>
      <c r="L631" s="6">
        <v>0</v>
      </c>
      <c r="M631" s="41">
        <f>VLOOKUP(Tabla1[[#This Row],[PAGO DIA]],DIAS!A:D,4,0)</f>
        <v>46142</v>
      </c>
      <c r="N631" s="6">
        <v>0</v>
      </c>
      <c r="O631" s="43">
        <f>VLOOKUP(Tabla1[[#This Row],[PAGO DIA]],DIAS!A:E,5,0)</f>
        <v>46171</v>
      </c>
      <c r="P631" s="6">
        <v>0</v>
      </c>
      <c r="Q631" s="43">
        <f>VLOOKUP(Tabla1[[#This Row],[PAGO DIA]],DIAS!A:F,6,0)</f>
        <v>46203</v>
      </c>
      <c r="R631" s="6">
        <v>0</v>
      </c>
      <c r="S631" s="43">
        <f>VLOOKUP(Tabla1[[#This Row],[PAGO DIA]],DIAS!A:G,7,0)</f>
        <v>46234</v>
      </c>
      <c r="T631" s="6">
        <v>0</v>
      </c>
      <c r="U631" s="43">
        <f>VLOOKUP(Tabla1[[#This Row],[PAGO DIA]],DIAS!A:H,8,0)</f>
        <v>46265</v>
      </c>
      <c r="V631" s="6">
        <v>0</v>
      </c>
      <c r="W631" s="43">
        <f>VLOOKUP(Tabla1[[#This Row],[PAGO DIA]],DIAS!A:I,9,0)</f>
        <v>46295</v>
      </c>
      <c r="X631" s="6">
        <v>0</v>
      </c>
      <c r="Y631" s="43">
        <f>VLOOKUP(Tabla1[[#This Row],[PAGO DIA]],DIAS!A:J,10,0)</f>
        <v>46325</v>
      </c>
      <c r="Z631" s="6">
        <v>0</v>
      </c>
      <c r="AA631" s="43">
        <f>VLOOKUP(Tabla1[[#This Row],[PAGO DIA]],DIAS!A:K,11,0)</f>
        <v>46356</v>
      </c>
      <c r="AB631" s="6">
        <v>0</v>
      </c>
      <c r="AC631" s="43">
        <f>VLOOKUP(Tabla1[[#This Row],[PAGO DIA]],DIAS!A:M,12,0)</f>
        <v>46386</v>
      </c>
      <c r="AD6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2" spans="1:30">
      <c r="A632" s="3">
        <v>12812</v>
      </c>
      <c r="B632" s="3" t="s">
        <v>544</v>
      </c>
      <c r="C632" s="3" t="s">
        <v>505</v>
      </c>
      <c r="D632" s="3" t="s">
        <v>545</v>
      </c>
      <c r="E632" s="3" t="s">
        <v>1259</v>
      </c>
      <c r="F632" s="42" t="s">
        <v>631</v>
      </c>
      <c r="G632" s="3" t="s">
        <v>1260</v>
      </c>
      <c r="H632" s="6">
        <v>0</v>
      </c>
      <c r="I632" s="41">
        <f>VLOOKUP(Tabla1[[#This Row],[PAGO DIA]],DIAS!A:B,2,0)</f>
        <v>46080</v>
      </c>
      <c r="J632" s="6">
        <v>0</v>
      </c>
      <c r="K632" s="43">
        <f>VLOOKUP(Tabla1[[#This Row],[PAGO DIA]],DIAS!A:C,3,0)</f>
        <v>46112</v>
      </c>
      <c r="L632" s="6">
        <v>0</v>
      </c>
      <c r="M632" s="41">
        <f>VLOOKUP(Tabla1[[#This Row],[PAGO DIA]],DIAS!A:D,4,0)</f>
        <v>46142</v>
      </c>
      <c r="N632" s="6">
        <v>0</v>
      </c>
      <c r="O632" s="43">
        <f>VLOOKUP(Tabla1[[#This Row],[PAGO DIA]],DIAS!A:E,5,0)</f>
        <v>46171</v>
      </c>
      <c r="P632" s="6">
        <v>0</v>
      </c>
      <c r="Q632" s="43">
        <f>VLOOKUP(Tabla1[[#This Row],[PAGO DIA]],DIAS!A:F,6,0)</f>
        <v>46203</v>
      </c>
      <c r="R632" s="6">
        <v>0</v>
      </c>
      <c r="S632" s="43">
        <f>VLOOKUP(Tabla1[[#This Row],[PAGO DIA]],DIAS!A:G,7,0)</f>
        <v>46234</v>
      </c>
      <c r="T632" s="6">
        <v>0</v>
      </c>
      <c r="U632" s="43">
        <f>VLOOKUP(Tabla1[[#This Row],[PAGO DIA]],DIAS!A:H,8,0)</f>
        <v>46265</v>
      </c>
      <c r="V632" s="6">
        <v>0</v>
      </c>
      <c r="W632" s="43">
        <f>VLOOKUP(Tabla1[[#This Row],[PAGO DIA]],DIAS!A:I,9,0)</f>
        <v>46295</v>
      </c>
      <c r="X632" s="6">
        <v>0</v>
      </c>
      <c r="Y632" s="43">
        <f>VLOOKUP(Tabla1[[#This Row],[PAGO DIA]],DIAS!A:J,10,0)</f>
        <v>46325</v>
      </c>
      <c r="Z632" s="6">
        <v>0</v>
      </c>
      <c r="AA632" s="43">
        <f>VLOOKUP(Tabla1[[#This Row],[PAGO DIA]],DIAS!A:K,11,0)</f>
        <v>46356</v>
      </c>
      <c r="AB632" s="6">
        <v>0</v>
      </c>
      <c r="AC632" s="43">
        <f>VLOOKUP(Tabla1[[#This Row],[PAGO DIA]],DIAS!A:M,12,0)</f>
        <v>46386</v>
      </c>
      <c r="AD6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3" spans="1:30">
      <c r="A633" s="3">
        <v>12814</v>
      </c>
      <c r="B633" s="3" t="s">
        <v>544</v>
      </c>
      <c r="C633" s="3" t="s">
        <v>505</v>
      </c>
      <c r="D633" s="3" t="s">
        <v>545</v>
      </c>
      <c r="E633" s="3" t="s">
        <v>1259</v>
      </c>
      <c r="F633" s="42" t="s">
        <v>631</v>
      </c>
      <c r="G633" s="3" t="s">
        <v>1261</v>
      </c>
      <c r="H633" s="6">
        <v>0</v>
      </c>
      <c r="I633" s="41">
        <f>VLOOKUP(Tabla1[[#This Row],[PAGO DIA]],DIAS!A:B,2,0)</f>
        <v>46080</v>
      </c>
      <c r="J633" s="6">
        <v>0</v>
      </c>
      <c r="K633" s="43">
        <f>VLOOKUP(Tabla1[[#This Row],[PAGO DIA]],DIAS!A:C,3,0)</f>
        <v>46112</v>
      </c>
      <c r="L633" s="6">
        <v>0</v>
      </c>
      <c r="M633" s="41">
        <f>VLOOKUP(Tabla1[[#This Row],[PAGO DIA]],DIAS!A:D,4,0)</f>
        <v>46142</v>
      </c>
      <c r="N633" s="6">
        <v>0</v>
      </c>
      <c r="O633" s="43">
        <f>VLOOKUP(Tabla1[[#This Row],[PAGO DIA]],DIAS!A:E,5,0)</f>
        <v>46171</v>
      </c>
      <c r="P633" s="6">
        <v>0</v>
      </c>
      <c r="Q633" s="43">
        <f>VLOOKUP(Tabla1[[#This Row],[PAGO DIA]],DIAS!A:F,6,0)</f>
        <v>46203</v>
      </c>
      <c r="R633" s="6">
        <v>0</v>
      </c>
      <c r="S633" s="43">
        <f>VLOOKUP(Tabla1[[#This Row],[PAGO DIA]],DIAS!A:G,7,0)</f>
        <v>46234</v>
      </c>
      <c r="T633" s="6">
        <v>0</v>
      </c>
      <c r="U633" s="43">
        <f>VLOOKUP(Tabla1[[#This Row],[PAGO DIA]],DIAS!A:H,8,0)</f>
        <v>46265</v>
      </c>
      <c r="V633" s="6">
        <v>0</v>
      </c>
      <c r="W633" s="43">
        <f>VLOOKUP(Tabla1[[#This Row],[PAGO DIA]],DIAS!A:I,9,0)</f>
        <v>46295</v>
      </c>
      <c r="X633" s="6">
        <v>0</v>
      </c>
      <c r="Y633" s="43">
        <f>VLOOKUP(Tabla1[[#This Row],[PAGO DIA]],DIAS!A:J,10,0)</f>
        <v>46325</v>
      </c>
      <c r="Z633" s="6">
        <v>0</v>
      </c>
      <c r="AA633" s="43">
        <f>VLOOKUP(Tabla1[[#This Row],[PAGO DIA]],DIAS!A:K,11,0)</f>
        <v>46356</v>
      </c>
      <c r="AB633" s="6">
        <v>0</v>
      </c>
      <c r="AC633" s="43">
        <f>VLOOKUP(Tabla1[[#This Row],[PAGO DIA]],DIAS!A:M,12,0)</f>
        <v>46386</v>
      </c>
      <c r="AD6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4" spans="1:30">
      <c r="A634" s="3">
        <v>11590</v>
      </c>
      <c r="B634" s="3" t="s">
        <v>544</v>
      </c>
      <c r="C634" s="3" t="s">
        <v>540</v>
      </c>
      <c r="D634" s="3" t="s">
        <v>545</v>
      </c>
      <c r="E634" s="3" t="s">
        <v>1262</v>
      </c>
      <c r="F634" s="42" t="s">
        <v>631</v>
      </c>
      <c r="G634" s="3" t="s">
        <v>1263</v>
      </c>
      <c r="H634" s="6">
        <v>0</v>
      </c>
      <c r="I634" s="41">
        <f>VLOOKUP(Tabla1[[#This Row],[PAGO DIA]],DIAS!A:B,2,0)</f>
        <v>46080</v>
      </c>
      <c r="J634" s="6">
        <v>0</v>
      </c>
      <c r="K634" s="43">
        <f>VLOOKUP(Tabla1[[#This Row],[PAGO DIA]],DIAS!A:C,3,0)</f>
        <v>46112</v>
      </c>
      <c r="L634" s="6">
        <v>0</v>
      </c>
      <c r="M634" s="41">
        <f>VLOOKUP(Tabla1[[#This Row],[PAGO DIA]],DIAS!A:D,4,0)</f>
        <v>46142</v>
      </c>
      <c r="N634" s="6">
        <v>0</v>
      </c>
      <c r="O634" s="43">
        <f>VLOOKUP(Tabla1[[#This Row],[PAGO DIA]],DIAS!A:E,5,0)</f>
        <v>46171</v>
      </c>
      <c r="P634" s="6">
        <v>0</v>
      </c>
      <c r="Q634" s="43">
        <f>VLOOKUP(Tabla1[[#This Row],[PAGO DIA]],DIAS!A:F,6,0)</f>
        <v>46203</v>
      </c>
      <c r="R634" s="6">
        <v>0</v>
      </c>
      <c r="S634" s="43">
        <f>VLOOKUP(Tabla1[[#This Row],[PAGO DIA]],DIAS!A:G,7,0)</f>
        <v>46234</v>
      </c>
      <c r="T634" s="6">
        <v>0</v>
      </c>
      <c r="U634" s="43">
        <f>VLOOKUP(Tabla1[[#This Row],[PAGO DIA]],DIAS!A:H,8,0)</f>
        <v>46265</v>
      </c>
      <c r="V634" s="6">
        <v>0</v>
      </c>
      <c r="W634" s="43">
        <f>VLOOKUP(Tabla1[[#This Row],[PAGO DIA]],DIAS!A:I,9,0)</f>
        <v>46295</v>
      </c>
      <c r="X634" s="6">
        <v>0</v>
      </c>
      <c r="Y634" s="43">
        <f>VLOOKUP(Tabla1[[#This Row],[PAGO DIA]],DIAS!A:J,10,0)</f>
        <v>46325</v>
      </c>
      <c r="Z634" s="6">
        <v>0</v>
      </c>
      <c r="AA634" s="43">
        <f>VLOOKUP(Tabla1[[#This Row],[PAGO DIA]],DIAS!A:K,11,0)</f>
        <v>46356</v>
      </c>
      <c r="AB634" s="6">
        <v>0</v>
      </c>
      <c r="AC634" s="43">
        <f>VLOOKUP(Tabla1[[#This Row],[PAGO DIA]],DIAS!A:M,12,0)</f>
        <v>46386</v>
      </c>
      <c r="AD6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5" spans="1:30">
      <c r="A635" s="3">
        <v>12805</v>
      </c>
      <c r="B635" s="3" t="s">
        <v>544</v>
      </c>
      <c r="C635" s="3" t="s">
        <v>505</v>
      </c>
      <c r="D635" s="3" t="s">
        <v>545</v>
      </c>
      <c r="E635" s="3" t="s">
        <v>1264</v>
      </c>
      <c r="F635" s="42" t="s">
        <v>631</v>
      </c>
      <c r="G635" s="3" t="s">
        <v>1265</v>
      </c>
      <c r="H635" s="6">
        <v>0</v>
      </c>
      <c r="I635" s="41">
        <f>VLOOKUP(Tabla1[[#This Row],[PAGO DIA]],DIAS!A:B,2,0)</f>
        <v>46080</v>
      </c>
      <c r="J635" s="6">
        <v>0</v>
      </c>
      <c r="K635" s="43">
        <f>VLOOKUP(Tabla1[[#This Row],[PAGO DIA]],DIAS!A:C,3,0)</f>
        <v>46112</v>
      </c>
      <c r="L635" s="6">
        <v>0</v>
      </c>
      <c r="M635" s="41">
        <f>VLOOKUP(Tabla1[[#This Row],[PAGO DIA]],DIAS!A:D,4,0)</f>
        <v>46142</v>
      </c>
      <c r="N635" s="6">
        <v>0</v>
      </c>
      <c r="O635" s="43">
        <f>VLOOKUP(Tabla1[[#This Row],[PAGO DIA]],DIAS!A:E,5,0)</f>
        <v>46171</v>
      </c>
      <c r="P635" s="6">
        <v>0</v>
      </c>
      <c r="Q635" s="43">
        <f>VLOOKUP(Tabla1[[#This Row],[PAGO DIA]],DIAS!A:F,6,0)</f>
        <v>46203</v>
      </c>
      <c r="R635" s="6">
        <v>0</v>
      </c>
      <c r="S635" s="43">
        <f>VLOOKUP(Tabla1[[#This Row],[PAGO DIA]],DIAS!A:G,7,0)</f>
        <v>46234</v>
      </c>
      <c r="T635" s="6">
        <v>0</v>
      </c>
      <c r="U635" s="43">
        <f>VLOOKUP(Tabla1[[#This Row],[PAGO DIA]],DIAS!A:H,8,0)</f>
        <v>46265</v>
      </c>
      <c r="V635" s="6">
        <v>0</v>
      </c>
      <c r="W635" s="43">
        <f>VLOOKUP(Tabla1[[#This Row],[PAGO DIA]],DIAS!A:I,9,0)</f>
        <v>46295</v>
      </c>
      <c r="X635" s="6">
        <v>0</v>
      </c>
      <c r="Y635" s="43">
        <f>VLOOKUP(Tabla1[[#This Row],[PAGO DIA]],DIAS!A:J,10,0)</f>
        <v>46325</v>
      </c>
      <c r="Z635" s="6">
        <v>0</v>
      </c>
      <c r="AA635" s="43">
        <f>VLOOKUP(Tabla1[[#This Row],[PAGO DIA]],DIAS!A:K,11,0)</f>
        <v>46356</v>
      </c>
      <c r="AB635" s="6">
        <v>0</v>
      </c>
      <c r="AC635" s="43">
        <f>VLOOKUP(Tabla1[[#This Row],[PAGO DIA]],DIAS!A:M,12,0)</f>
        <v>46386</v>
      </c>
      <c r="AD6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6" spans="1:30">
      <c r="A636" s="3">
        <v>12830</v>
      </c>
      <c r="B636" s="3" t="s">
        <v>544</v>
      </c>
      <c r="C636" s="3" t="s">
        <v>505</v>
      </c>
      <c r="D636" s="3" t="s">
        <v>545</v>
      </c>
      <c r="E636" s="3" t="s">
        <v>1264</v>
      </c>
      <c r="F636" s="42" t="s">
        <v>631</v>
      </c>
      <c r="G636" s="3" t="s">
        <v>1266</v>
      </c>
      <c r="H636" s="6">
        <v>0</v>
      </c>
      <c r="I636" s="41">
        <f>VLOOKUP(Tabla1[[#This Row],[PAGO DIA]],DIAS!A:B,2,0)</f>
        <v>46080</v>
      </c>
      <c r="J636" s="6">
        <v>0</v>
      </c>
      <c r="K636" s="43">
        <f>VLOOKUP(Tabla1[[#This Row],[PAGO DIA]],DIAS!A:C,3,0)</f>
        <v>46112</v>
      </c>
      <c r="L636" s="6">
        <v>0</v>
      </c>
      <c r="M636" s="41">
        <f>VLOOKUP(Tabla1[[#This Row],[PAGO DIA]],DIAS!A:D,4,0)</f>
        <v>46142</v>
      </c>
      <c r="N636" s="6">
        <v>0</v>
      </c>
      <c r="O636" s="43">
        <f>VLOOKUP(Tabla1[[#This Row],[PAGO DIA]],DIAS!A:E,5,0)</f>
        <v>46171</v>
      </c>
      <c r="P636" s="6">
        <v>0</v>
      </c>
      <c r="Q636" s="43">
        <f>VLOOKUP(Tabla1[[#This Row],[PAGO DIA]],DIAS!A:F,6,0)</f>
        <v>46203</v>
      </c>
      <c r="R636" s="6">
        <v>0</v>
      </c>
      <c r="S636" s="43">
        <f>VLOOKUP(Tabla1[[#This Row],[PAGO DIA]],DIAS!A:G,7,0)</f>
        <v>46234</v>
      </c>
      <c r="T636" s="6">
        <v>0</v>
      </c>
      <c r="U636" s="43">
        <f>VLOOKUP(Tabla1[[#This Row],[PAGO DIA]],DIAS!A:H,8,0)</f>
        <v>46265</v>
      </c>
      <c r="V636" s="6">
        <v>0</v>
      </c>
      <c r="W636" s="43">
        <f>VLOOKUP(Tabla1[[#This Row],[PAGO DIA]],DIAS!A:I,9,0)</f>
        <v>46295</v>
      </c>
      <c r="X636" s="6">
        <v>0</v>
      </c>
      <c r="Y636" s="43">
        <f>VLOOKUP(Tabla1[[#This Row],[PAGO DIA]],DIAS!A:J,10,0)</f>
        <v>46325</v>
      </c>
      <c r="Z636" s="6">
        <v>0</v>
      </c>
      <c r="AA636" s="43">
        <f>VLOOKUP(Tabla1[[#This Row],[PAGO DIA]],DIAS!A:K,11,0)</f>
        <v>46356</v>
      </c>
      <c r="AB636" s="6">
        <v>0</v>
      </c>
      <c r="AC636" s="43">
        <f>VLOOKUP(Tabla1[[#This Row],[PAGO DIA]],DIAS!A:M,12,0)</f>
        <v>46386</v>
      </c>
      <c r="AD6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7" spans="1:30">
      <c r="A637" s="3">
        <v>11384</v>
      </c>
      <c r="B637" s="3" t="s">
        <v>544</v>
      </c>
      <c r="C637" s="3" t="s">
        <v>505</v>
      </c>
      <c r="D637" s="3" t="s">
        <v>545</v>
      </c>
      <c r="E637" s="3" t="s">
        <v>581</v>
      </c>
      <c r="F637" s="42" t="s">
        <v>631</v>
      </c>
      <c r="G637" s="3" t="s">
        <v>1267</v>
      </c>
      <c r="H637" s="6">
        <v>0</v>
      </c>
      <c r="I637" s="41">
        <f>VLOOKUP(Tabla1[[#This Row],[PAGO DIA]],DIAS!A:B,2,0)</f>
        <v>46080</v>
      </c>
      <c r="J637" s="6">
        <v>0</v>
      </c>
      <c r="K637" s="43">
        <f>VLOOKUP(Tabla1[[#This Row],[PAGO DIA]],DIAS!A:C,3,0)</f>
        <v>46112</v>
      </c>
      <c r="L637" s="6">
        <v>0</v>
      </c>
      <c r="M637" s="41">
        <f>VLOOKUP(Tabla1[[#This Row],[PAGO DIA]],DIAS!A:D,4,0)</f>
        <v>46142</v>
      </c>
      <c r="N637" s="6">
        <v>0</v>
      </c>
      <c r="O637" s="43">
        <f>VLOOKUP(Tabla1[[#This Row],[PAGO DIA]],DIAS!A:E,5,0)</f>
        <v>46171</v>
      </c>
      <c r="P637" s="6">
        <v>0</v>
      </c>
      <c r="Q637" s="43">
        <f>VLOOKUP(Tabla1[[#This Row],[PAGO DIA]],DIAS!A:F,6,0)</f>
        <v>46203</v>
      </c>
      <c r="R637" s="6">
        <v>0</v>
      </c>
      <c r="S637" s="43">
        <f>VLOOKUP(Tabla1[[#This Row],[PAGO DIA]],DIAS!A:G,7,0)</f>
        <v>46234</v>
      </c>
      <c r="T637" s="6">
        <v>0</v>
      </c>
      <c r="U637" s="43">
        <f>VLOOKUP(Tabla1[[#This Row],[PAGO DIA]],DIAS!A:H,8,0)</f>
        <v>46265</v>
      </c>
      <c r="V637" s="6">
        <v>0</v>
      </c>
      <c r="W637" s="43">
        <f>VLOOKUP(Tabla1[[#This Row],[PAGO DIA]],DIAS!A:I,9,0)</f>
        <v>46295</v>
      </c>
      <c r="X637" s="6">
        <v>0</v>
      </c>
      <c r="Y637" s="43">
        <f>VLOOKUP(Tabla1[[#This Row],[PAGO DIA]],DIAS!A:J,10,0)</f>
        <v>46325</v>
      </c>
      <c r="Z637" s="6">
        <v>0</v>
      </c>
      <c r="AA637" s="43">
        <f>VLOOKUP(Tabla1[[#This Row],[PAGO DIA]],DIAS!A:K,11,0)</f>
        <v>46356</v>
      </c>
      <c r="AB637" s="6">
        <v>0</v>
      </c>
      <c r="AC637" s="43">
        <f>VLOOKUP(Tabla1[[#This Row],[PAGO DIA]],DIAS!A:M,12,0)</f>
        <v>46386</v>
      </c>
      <c r="AD6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8" spans="1:30">
      <c r="A638" s="3">
        <v>11633</v>
      </c>
      <c r="B638" s="3" t="s">
        <v>544</v>
      </c>
      <c r="C638" s="3" t="s">
        <v>540</v>
      </c>
      <c r="D638" s="3" t="s">
        <v>545</v>
      </c>
      <c r="E638" s="3" t="s">
        <v>581</v>
      </c>
      <c r="F638" s="42" t="s">
        <v>631</v>
      </c>
      <c r="G638" s="3" t="s">
        <v>1268</v>
      </c>
      <c r="H638" s="6">
        <v>0</v>
      </c>
      <c r="I638" s="41">
        <f>VLOOKUP(Tabla1[[#This Row],[PAGO DIA]],DIAS!A:B,2,0)</f>
        <v>46080</v>
      </c>
      <c r="J638" s="6">
        <v>0</v>
      </c>
      <c r="K638" s="43">
        <f>VLOOKUP(Tabla1[[#This Row],[PAGO DIA]],DIAS!A:C,3,0)</f>
        <v>46112</v>
      </c>
      <c r="L638" s="6">
        <v>0</v>
      </c>
      <c r="M638" s="41">
        <f>VLOOKUP(Tabla1[[#This Row],[PAGO DIA]],DIAS!A:D,4,0)</f>
        <v>46142</v>
      </c>
      <c r="N638" s="6">
        <v>0</v>
      </c>
      <c r="O638" s="43">
        <f>VLOOKUP(Tabla1[[#This Row],[PAGO DIA]],DIAS!A:E,5,0)</f>
        <v>46171</v>
      </c>
      <c r="P638" s="6">
        <v>0</v>
      </c>
      <c r="Q638" s="43">
        <f>VLOOKUP(Tabla1[[#This Row],[PAGO DIA]],DIAS!A:F,6,0)</f>
        <v>46203</v>
      </c>
      <c r="R638" s="6">
        <v>0</v>
      </c>
      <c r="S638" s="43">
        <f>VLOOKUP(Tabla1[[#This Row],[PAGO DIA]],DIAS!A:G,7,0)</f>
        <v>46234</v>
      </c>
      <c r="T638" s="6">
        <v>0</v>
      </c>
      <c r="U638" s="43">
        <f>VLOOKUP(Tabla1[[#This Row],[PAGO DIA]],DIAS!A:H,8,0)</f>
        <v>46265</v>
      </c>
      <c r="V638" s="6">
        <v>0</v>
      </c>
      <c r="W638" s="43">
        <f>VLOOKUP(Tabla1[[#This Row],[PAGO DIA]],DIAS!A:I,9,0)</f>
        <v>46295</v>
      </c>
      <c r="X638" s="6">
        <v>0</v>
      </c>
      <c r="Y638" s="43">
        <f>VLOOKUP(Tabla1[[#This Row],[PAGO DIA]],DIAS!A:J,10,0)</f>
        <v>46325</v>
      </c>
      <c r="Z638" s="6">
        <v>0</v>
      </c>
      <c r="AA638" s="43">
        <f>VLOOKUP(Tabla1[[#This Row],[PAGO DIA]],DIAS!A:K,11,0)</f>
        <v>46356</v>
      </c>
      <c r="AB638" s="6">
        <v>0</v>
      </c>
      <c r="AC638" s="43">
        <f>VLOOKUP(Tabla1[[#This Row],[PAGO DIA]],DIAS!A:M,12,0)</f>
        <v>46386</v>
      </c>
      <c r="AD6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39" spans="1:30">
      <c r="A639" s="3">
        <v>10997</v>
      </c>
      <c r="B639" s="3" t="s">
        <v>544</v>
      </c>
      <c r="C639" s="3" t="s">
        <v>505</v>
      </c>
      <c r="D639" s="3" t="s">
        <v>545</v>
      </c>
      <c r="E639" s="3" t="s">
        <v>1269</v>
      </c>
      <c r="F639" s="42" t="s">
        <v>631</v>
      </c>
      <c r="G639" s="3"/>
      <c r="H639" s="6">
        <v>0</v>
      </c>
      <c r="I639" s="41">
        <f>VLOOKUP(Tabla1[[#This Row],[PAGO DIA]],DIAS!A:B,2,0)</f>
        <v>46080</v>
      </c>
      <c r="J639" s="6">
        <v>0</v>
      </c>
      <c r="K639" s="43">
        <f>VLOOKUP(Tabla1[[#This Row],[PAGO DIA]],DIAS!A:C,3,0)</f>
        <v>46112</v>
      </c>
      <c r="L639" s="6">
        <v>0</v>
      </c>
      <c r="M639" s="41">
        <f>VLOOKUP(Tabla1[[#This Row],[PAGO DIA]],DIAS!A:D,4,0)</f>
        <v>46142</v>
      </c>
      <c r="N639" s="6">
        <v>0</v>
      </c>
      <c r="O639" s="43">
        <f>VLOOKUP(Tabla1[[#This Row],[PAGO DIA]],DIAS!A:E,5,0)</f>
        <v>46171</v>
      </c>
      <c r="P639" s="6">
        <v>0</v>
      </c>
      <c r="Q639" s="43">
        <f>VLOOKUP(Tabla1[[#This Row],[PAGO DIA]],DIAS!A:F,6,0)</f>
        <v>46203</v>
      </c>
      <c r="R639" s="6">
        <v>0</v>
      </c>
      <c r="S639" s="43">
        <f>VLOOKUP(Tabla1[[#This Row],[PAGO DIA]],DIAS!A:G,7,0)</f>
        <v>46234</v>
      </c>
      <c r="T639" s="6">
        <v>0</v>
      </c>
      <c r="U639" s="43">
        <f>VLOOKUP(Tabla1[[#This Row],[PAGO DIA]],DIAS!A:H,8,0)</f>
        <v>46265</v>
      </c>
      <c r="V639" s="6">
        <v>0</v>
      </c>
      <c r="W639" s="43">
        <f>VLOOKUP(Tabla1[[#This Row],[PAGO DIA]],DIAS!A:I,9,0)</f>
        <v>46295</v>
      </c>
      <c r="X639" s="6">
        <v>0</v>
      </c>
      <c r="Y639" s="43">
        <f>VLOOKUP(Tabla1[[#This Row],[PAGO DIA]],DIAS!A:J,10,0)</f>
        <v>46325</v>
      </c>
      <c r="Z639" s="6">
        <v>0</v>
      </c>
      <c r="AA639" s="43">
        <f>VLOOKUP(Tabla1[[#This Row],[PAGO DIA]],DIAS!A:K,11,0)</f>
        <v>46356</v>
      </c>
      <c r="AB639" s="6">
        <v>0</v>
      </c>
      <c r="AC639" s="43">
        <f>VLOOKUP(Tabla1[[#This Row],[PAGO DIA]],DIAS!A:M,12,0)</f>
        <v>46386</v>
      </c>
      <c r="AD6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0" spans="1:30">
      <c r="A640" s="3">
        <v>11217</v>
      </c>
      <c r="B640" s="3" t="s">
        <v>544</v>
      </c>
      <c r="C640" s="3" t="s">
        <v>505</v>
      </c>
      <c r="D640" s="3" t="s">
        <v>545</v>
      </c>
      <c r="E640" s="3" t="s">
        <v>1269</v>
      </c>
      <c r="F640" s="42" t="s">
        <v>631</v>
      </c>
      <c r="G640" s="3" t="s">
        <v>1270</v>
      </c>
      <c r="H640" s="6">
        <v>0</v>
      </c>
      <c r="I640" s="41">
        <f>VLOOKUP(Tabla1[[#This Row],[PAGO DIA]],DIAS!A:B,2,0)</f>
        <v>46080</v>
      </c>
      <c r="J640" s="6">
        <v>0</v>
      </c>
      <c r="K640" s="43">
        <f>VLOOKUP(Tabla1[[#This Row],[PAGO DIA]],DIAS!A:C,3,0)</f>
        <v>46112</v>
      </c>
      <c r="L640" s="6">
        <v>0</v>
      </c>
      <c r="M640" s="41">
        <f>VLOOKUP(Tabla1[[#This Row],[PAGO DIA]],DIAS!A:D,4,0)</f>
        <v>46142</v>
      </c>
      <c r="N640" s="6">
        <v>0</v>
      </c>
      <c r="O640" s="43">
        <f>VLOOKUP(Tabla1[[#This Row],[PAGO DIA]],DIAS!A:E,5,0)</f>
        <v>46171</v>
      </c>
      <c r="P640" s="6">
        <v>0</v>
      </c>
      <c r="Q640" s="43">
        <f>VLOOKUP(Tabla1[[#This Row],[PAGO DIA]],DIAS!A:F,6,0)</f>
        <v>46203</v>
      </c>
      <c r="R640" s="6">
        <v>0</v>
      </c>
      <c r="S640" s="43">
        <f>VLOOKUP(Tabla1[[#This Row],[PAGO DIA]],DIAS!A:G,7,0)</f>
        <v>46234</v>
      </c>
      <c r="T640" s="6">
        <v>0</v>
      </c>
      <c r="U640" s="43">
        <f>VLOOKUP(Tabla1[[#This Row],[PAGO DIA]],DIAS!A:H,8,0)</f>
        <v>46265</v>
      </c>
      <c r="V640" s="6">
        <v>0</v>
      </c>
      <c r="W640" s="43">
        <f>VLOOKUP(Tabla1[[#This Row],[PAGO DIA]],DIAS!A:I,9,0)</f>
        <v>46295</v>
      </c>
      <c r="X640" s="6">
        <v>0</v>
      </c>
      <c r="Y640" s="43">
        <f>VLOOKUP(Tabla1[[#This Row],[PAGO DIA]],DIAS!A:J,10,0)</f>
        <v>46325</v>
      </c>
      <c r="Z640" s="6">
        <v>0</v>
      </c>
      <c r="AA640" s="43">
        <f>VLOOKUP(Tabla1[[#This Row],[PAGO DIA]],DIAS!A:K,11,0)</f>
        <v>46356</v>
      </c>
      <c r="AB640" s="6">
        <v>0</v>
      </c>
      <c r="AC640" s="43">
        <f>VLOOKUP(Tabla1[[#This Row],[PAGO DIA]],DIAS!A:M,12,0)</f>
        <v>46386</v>
      </c>
      <c r="AD6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1" spans="1:30">
      <c r="A641" s="3">
        <v>10986</v>
      </c>
      <c r="B641" s="3" t="s">
        <v>544</v>
      </c>
      <c r="C641" s="3" t="s">
        <v>505</v>
      </c>
      <c r="D641" s="3" t="s">
        <v>545</v>
      </c>
      <c r="E641" s="3" t="s">
        <v>1271</v>
      </c>
      <c r="F641" s="42" t="s">
        <v>631</v>
      </c>
      <c r="G641" s="3"/>
      <c r="H641" s="6">
        <v>0</v>
      </c>
      <c r="I641" s="41">
        <f>VLOOKUP(Tabla1[[#This Row],[PAGO DIA]],DIAS!A:B,2,0)</f>
        <v>46080</v>
      </c>
      <c r="J641" s="6">
        <v>0</v>
      </c>
      <c r="K641" s="43">
        <f>VLOOKUP(Tabla1[[#This Row],[PAGO DIA]],DIAS!A:C,3,0)</f>
        <v>46112</v>
      </c>
      <c r="L641" s="6">
        <v>0</v>
      </c>
      <c r="M641" s="41">
        <f>VLOOKUP(Tabla1[[#This Row],[PAGO DIA]],DIAS!A:D,4,0)</f>
        <v>46142</v>
      </c>
      <c r="N641" s="6">
        <v>0</v>
      </c>
      <c r="O641" s="43">
        <f>VLOOKUP(Tabla1[[#This Row],[PAGO DIA]],DIAS!A:E,5,0)</f>
        <v>46171</v>
      </c>
      <c r="P641" s="6">
        <v>0</v>
      </c>
      <c r="Q641" s="43">
        <f>VLOOKUP(Tabla1[[#This Row],[PAGO DIA]],DIAS!A:F,6,0)</f>
        <v>46203</v>
      </c>
      <c r="R641" s="6">
        <v>0</v>
      </c>
      <c r="S641" s="43">
        <f>VLOOKUP(Tabla1[[#This Row],[PAGO DIA]],DIAS!A:G,7,0)</f>
        <v>46234</v>
      </c>
      <c r="T641" s="6">
        <v>0</v>
      </c>
      <c r="U641" s="43">
        <f>VLOOKUP(Tabla1[[#This Row],[PAGO DIA]],DIAS!A:H,8,0)</f>
        <v>46265</v>
      </c>
      <c r="V641" s="6">
        <v>0</v>
      </c>
      <c r="W641" s="43">
        <f>VLOOKUP(Tabla1[[#This Row],[PAGO DIA]],DIAS!A:I,9,0)</f>
        <v>46295</v>
      </c>
      <c r="X641" s="6">
        <v>0</v>
      </c>
      <c r="Y641" s="43">
        <f>VLOOKUP(Tabla1[[#This Row],[PAGO DIA]],DIAS!A:J,10,0)</f>
        <v>46325</v>
      </c>
      <c r="Z641" s="6">
        <v>0</v>
      </c>
      <c r="AA641" s="43">
        <f>VLOOKUP(Tabla1[[#This Row],[PAGO DIA]],DIAS!A:K,11,0)</f>
        <v>46356</v>
      </c>
      <c r="AB641" s="6">
        <v>0</v>
      </c>
      <c r="AC641" s="43">
        <f>VLOOKUP(Tabla1[[#This Row],[PAGO DIA]],DIAS!A:M,12,0)</f>
        <v>46386</v>
      </c>
      <c r="AD6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2" spans="1:30">
      <c r="A642" s="3">
        <v>11200</v>
      </c>
      <c r="B642" s="3" t="s">
        <v>544</v>
      </c>
      <c r="C642" s="3" t="s">
        <v>505</v>
      </c>
      <c r="D642" s="3" t="s">
        <v>545</v>
      </c>
      <c r="E642" s="3" t="s">
        <v>1271</v>
      </c>
      <c r="F642" s="42" t="s">
        <v>631</v>
      </c>
      <c r="G642" s="3" t="s">
        <v>1272</v>
      </c>
      <c r="H642" s="6">
        <v>0</v>
      </c>
      <c r="I642" s="41">
        <f>VLOOKUP(Tabla1[[#This Row],[PAGO DIA]],DIAS!A:B,2,0)</f>
        <v>46080</v>
      </c>
      <c r="J642" s="6">
        <v>0</v>
      </c>
      <c r="K642" s="43">
        <f>VLOOKUP(Tabla1[[#This Row],[PAGO DIA]],DIAS!A:C,3,0)</f>
        <v>46112</v>
      </c>
      <c r="L642" s="6">
        <v>0</v>
      </c>
      <c r="M642" s="41">
        <f>VLOOKUP(Tabla1[[#This Row],[PAGO DIA]],DIAS!A:D,4,0)</f>
        <v>46142</v>
      </c>
      <c r="N642" s="6">
        <v>0</v>
      </c>
      <c r="O642" s="43">
        <f>VLOOKUP(Tabla1[[#This Row],[PAGO DIA]],DIAS!A:E,5,0)</f>
        <v>46171</v>
      </c>
      <c r="P642" s="6">
        <v>0</v>
      </c>
      <c r="Q642" s="43">
        <f>VLOOKUP(Tabla1[[#This Row],[PAGO DIA]],DIAS!A:F,6,0)</f>
        <v>46203</v>
      </c>
      <c r="R642" s="6">
        <v>0</v>
      </c>
      <c r="S642" s="43">
        <f>VLOOKUP(Tabla1[[#This Row],[PAGO DIA]],DIAS!A:G,7,0)</f>
        <v>46234</v>
      </c>
      <c r="T642" s="6">
        <v>0</v>
      </c>
      <c r="U642" s="43">
        <f>VLOOKUP(Tabla1[[#This Row],[PAGO DIA]],DIAS!A:H,8,0)</f>
        <v>46265</v>
      </c>
      <c r="V642" s="6">
        <v>0</v>
      </c>
      <c r="W642" s="43">
        <f>VLOOKUP(Tabla1[[#This Row],[PAGO DIA]],DIAS!A:I,9,0)</f>
        <v>46295</v>
      </c>
      <c r="X642" s="6">
        <v>0</v>
      </c>
      <c r="Y642" s="43">
        <f>VLOOKUP(Tabla1[[#This Row],[PAGO DIA]],DIAS!A:J,10,0)</f>
        <v>46325</v>
      </c>
      <c r="Z642" s="6">
        <v>0</v>
      </c>
      <c r="AA642" s="43">
        <f>VLOOKUP(Tabla1[[#This Row],[PAGO DIA]],DIAS!A:K,11,0)</f>
        <v>46356</v>
      </c>
      <c r="AB642" s="6">
        <v>0</v>
      </c>
      <c r="AC642" s="43">
        <f>VLOOKUP(Tabla1[[#This Row],[PAGO DIA]],DIAS!A:M,12,0)</f>
        <v>46386</v>
      </c>
      <c r="AD6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3" spans="1:30">
      <c r="A643" s="3">
        <v>10957</v>
      </c>
      <c r="B643" s="3" t="s">
        <v>544</v>
      </c>
      <c r="C643" s="3" t="s">
        <v>505</v>
      </c>
      <c r="D643" s="3" t="s">
        <v>545</v>
      </c>
      <c r="E643" s="3" t="s">
        <v>1273</v>
      </c>
      <c r="F643" s="42" t="s">
        <v>631</v>
      </c>
      <c r="G643" s="3"/>
      <c r="H643" s="6">
        <v>0</v>
      </c>
      <c r="I643" s="41">
        <f>VLOOKUP(Tabla1[[#This Row],[PAGO DIA]],DIAS!A:B,2,0)</f>
        <v>46080</v>
      </c>
      <c r="J643" s="6">
        <v>0</v>
      </c>
      <c r="K643" s="43">
        <f>VLOOKUP(Tabla1[[#This Row],[PAGO DIA]],DIAS!A:C,3,0)</f>
        <v>46112</v>
      </c>
      <c r="L643" s="6">
        <v>0</v>
      </c>
      <c r="M643" s="41">
        <f>VLOOKUP(Tabla1[[#This Row],[PAGO DIA]],DIAS!A:D,4,0)</f>
        <v>46142</v>
      </c>
      <c r="N643" s="6">
        <v>0</v>
      </c>
      <c r="O643" s="43">
        <f>VLOOKUP(Tabla1[[#This Row],[PAGO DIA]],DIAS!A:E,5,0)</f>
        <v>46171</v>
      </c>
      <c r="P643" s="6">
        <v>0</v>
      </c>
      <c r="Q643" s="43">
        <f>VLOOKUP(Tabla1[[#This Row],[PAGO DIA]],DIAS!A:F,6,0)</f>
        <v>46203</v>
      </c>
      <c r="R643" s="6">
        <v>0</v>
      </c>
      <c r="S643" s="43">
        <f>VLOOKUP(Tabla1[[#This Row],[PAGO DIA]],DIAS!A:G,7,0)</f>
        <v>46234</v>
      </c>
      <c r="T643" s="6">
        <v>0</v>
      </c>
      <c r="U643" s="43">
        <f>VLOOKUP(Tabla1[[#This Row],[PAGO DIA]],DIAS!A:H,8,0)</f>
        <v>46265</v>
      </c>
      <c r="V643" s="6">
        <v>0</v>
      </c>
      <c r="W643" s="43">
        <f>VLOOKUP(Tabla1[[#This Row],[PAGO DIA]],DIAS!A:I,9,0)</f>
        <v>46295</v>
      </c>
      <c r="X643" s="6">
        <v>0</v>
      </c>
      <c r="Y643" s="43">
        <f>VLOOKUP(Tabla1[[#This Row],[PAGO DIA]],DIAS!A:J,10,0)</f>
        <v>46325</v>
      </c>
      <c r="Z643" s="6">
        <v>0</v>
      </c>
      <c r="AA643" s="43">
        <f>VLOOKUP(Tabla1[[#This Row],[PAGO DIA]],DIAS!A:K,11,0)</f>
        <v>46356</v>
      </c>
      <c r="AB643" s="6">
        <v>0</v>
      </c>
      <c r="AC643" s="43">
        <f>VLOOKUP(Tabla1[[#This Row],[PAGO DIA]],DIAS!A:M,12,0)</f>
        <v>46386</v>
      </c>
      <c r="AD6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4" spans="1:30">
      <c r="A644" s="3">
        <v>11147</v>
      </c>
      <c r="B644" s="3" t="s">
        <v>544</v>
      </c>
      <c r="C644" s="3" t="s">
        <v>505</v>
      </c>
      <c r="D644" s="3" t="s">
        <v>545</v>
      </c>
      <c r="E644" s="3" t="s">
        <v>1273</v>
      </c>
      <c r="F644" s="42" t="s">
        <v>631</v>
      </c>
      <c r="G644" s="3" t="s">
        <v>1274</v>
      </c>
      <c r="H644" s="6">
        <v>0</v>
      </c>
      <c r="I644" s="41">
        <f>VLOOKUP(Tabla1[[#This Row],[PAGO DIA]],DIAS!A:B,2,0)</f>
        <v>46080</v>
      </c>
      <c r="J644" s="6">
        <v>0</v>
      </c>
      <c r="K644" s="43">
        <f>VLOOKUP(Tabla1[[#This Row],[PAGO DIA]],DIAS!A:C,3,0)</f>
        <v>46112</v>
      </c>
      <c r="L644" s="6">
        <v>0</v>
      </c>
      <c r="M644" s="41">
        <f>VLOOKUP(Tabla1[[#This Row],[PAGO DIA]],DIAS!A:D,4,0)</f>
        <v>46142</v>
      </c>
      <c r="N644" s="6">
        <v>0</v>
      </c>
      <c r="O644" s="43">
        <f>VLOOKUP(Tabla1[[#This Row],[PAGO DIA]],DIAS!A:E,5,0)</f>
        <v>46171</v>
      </c>
      <c r="P644" s="6">
        <v>0</v>
      </c>
      <c r="Q644" s="43">
        <f>VLOOKUP(Tabla1[[#This Row],[PAGO DIA]],DIAS!A:F,6,0)</f>
        <v>46203</v>
      </c>
      <c r="R644" s="6">
        <v>0</v>
      </c>
      <c r="S644" s="43">
        <f>VLOOKUP(Tabla1[[#This Row],[PAGO DIA]],DIAS!A:G,7,0)</f>
        <v>46234</v>
      </c>
      <c r="T644" s="6">
        <v>0</v>
      </c>
      <c r="U644" s="43">
        <f>VLOOKUP(Tabla1[[#This Row],[PAGO DIA]],DIAS!A:H,8,0)</f>
        <v>46265</v>
      </c>
      <c r="V644" s="6">
        <v>0</v>
      </c>
      <c r="W644" s="43">
        <f>VLOOKUP(Tabla1[[#This Row],[PAGO DIA]],DIAS!A:I,9,0)</f>
        <v>46295</v>
      </c>
      <c r="X644" s="6">
        <v>0</v>
      </c>
      <c r="Y644" s="43">
        <f>VLOOKUP(Tabla1[[#This Row],[PAGO DIA]],DIAS!A:J,10,0)</f>
        <v>46325</v>
      </c>
      <c r="Z644" s="6">
        <v>0</v>
      </c>
      <c r="AA644" s="43">
        <f>VLOOKUP(Tabla1[[#This Row],[PAGO DIA]],DIAS!A:K,11,0)</f>
        <v>46356</v>
      </c>
      <c r="AB644" s="6">
        <v>0</v>
      </c>
      <c r="AC644" s="43">
        <f>VLOOKUP(Tabla1[[#This Row],[PAGO DIA]],DIAS!A:M,12,0)</f>
        <v>46386</v>
      </c>
      <c r="AD6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5" spans="1:30">
      <c r="A645" s="3">
        <v>11655</v>
      </c>
      <c r="B645" s="3" t="s">
        <v>544</v>
      </c>
      <c r="C645" s="3" t="s">
        <v>540</v>
      </c>
      <c r="D645" s="3" t="s">
        <v>545</v>
      </c>
      <c r="E645" s="3" t="s">
        <v>1273</v>
      </c>
      <c r="F645" s="42" t="s">
        <v>631</v>
      </c>
      <c r="G645" s="3" t="s">
        <v>1274</v>
      </c>
      <c r="H645" s="6">
        <v>0</v>
      </c>
      <c r="I645" s="41">
        <f>VLOOKUP(Tabla1[[#This Row],[PAGO DIA]],DIAS!A:B,2,0)</f>
        <v>46080</v>
      </c>
      <c r="J645" s="6">
        <v>0</v>
      </c>
      <c r="K645" s="43">
        <f>VLOOKUP(Tabla1[[#This Row],[PAGO DIA]],DIAS!A:C,3,0)</f>
        <v>46112</v>
      </c>
      <c r="L645" s="6">
        <v>0</v>
      </c>
      <c r="M645" s="41">
        <f>VLOOKUP(Tabla1[[#This Row],[PAGO DIA]],DIAS!A:D,4,0)</f>
        <v>46142</v>
      </c>
      <c r="N645" s="6">
        <v>0</v>
      </c>
      <c r="O645" s="43">
        <f>VLOOKUP(Tabla1[[#This Row],[PAGO DIA]],DIAS!A:E,5,0)</f>
        <v>46171</v>
      </c>
      <c r="P645" s="6">
        <v>0</v>
      </c>
      <c r="Q645" s="43">
        <f>VLOOKUP(Tabla1[[#This Row],[PAGO DIA]],DIAS!A:F,6,0)</f>
        <v>46203</v>
      </c>
      <c r="R645" s="6">
        <v>0</v>
      </c>
      <c r="S645" s="43">
        <f>VLOOKUP(Tabla1[[#This Row],[PAGO DIA]],DIAS!A:G,7,0)</f>
        <v>46234</v>
      </c>
      <c r="T645" s="6">
        <v>0</v>
      </c>
      <c r="U645" s="43">
        <f>VLOOKUP(Tabla1[[#This Row],[PAGO DIA]],DIAS!A:H,8,0)</f>
        <v>46265</v>
      </c>
      <c r="V645" s="6">
        <v>0</v>
      </c>
      <c r="W645" s="43">
        <f>VLOOKUP(Tabla1[[#This Row],[PAGO DIA]],DIAS!A:I,9,0)</f>
        <v>46295</v>
      </c>
      <c r="X645" s="6">
        <v>0</v>
      </c>
      <c r="Y645" s="43">
        <f>VLOOKUP(Tabla1[[#This Row],[PAGO DIA]],DIAS!A:J,10,0)</f>
        <v>46325</v>
      </c>
      <c r="Z645" s="6">
        <v>0</v>
      </c>
      <c r="AA645" s="43">
        <f>VLOOKUP(Tabla1[[#This Row],[PAGO DIA]],DIAS!A:K,11,0)</f>
        <v>46356</v>
      </c>
      <c r="AB645" s="6">
        <v>0</v>
      </c>
      <c r="AC645" s="43">
        <f>VLOOKUP(Tabla1[[#This Row],[PAGO DIA]],DIAS!A:M,12,0)</f>
        <v>46386</v>
      </c>
      <c r="AD6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6" spans="1:30">
      <c r="A646" s="3">
        <v>11120</v>
      </c>
      <c r="B646" s="3" t="s">
        <v>544</v>
      </c>
      <c r="C646" s="3" t="s">
        <v>505</v>
      </c>
      <c r="D646" s="3" t="s">
        <v>1196</v>
      </c>
      <c r="E646" s="3" t="s">
        <v>1197</v>
      </c>
      <c r="F646" s="42" t="s">
        <v>631</v>
      </c>
      <c r="G646" s="3" t="s">
        <v>1198</v>
      </c>
      <c r="H646" s="6">
        <v>0</v>
      </c>
      <c r="I646" s="41">
        <f>VLOOKUP(Tabla1[[#This Row],[PAGO DIA]],DIAS!A:B,2,0)</f>
        <v>46080</v>
      </c>
      <c r="J646" s="6">
        <v>0</v>
      </c>
      <c r="K646" s="43">
        <f>VLOOKUP(Tabla1[[#This Row],[PAGO DIA]],DIAS!A:C,3,0)</f>
        <v>46112</v>
      </c>
      <c r="L646" s="6">
        <v>0</v>
      </c>
      <c r="M646" s="41">
        <f>VLOOKUP(Tabla1[[#This Row],[PAGO DIA]],DIAS!A:D,4,0)</f>
        <v>46142</v>
      </c>
      <c r="N646" s="6">
        <v>0</v>
      </c>
      <c r="O646" s="43">
        <f>VLOOKUP(Tabla1[[#This Row],[PAGO DIA]],DIAS!A:E,5,0)</f>
        <v>46171</v>
      </c>
      <c r="P646" s="6">
        <v>0</v>
      </c>
      <c r="Q646" s="43">
        <f>VLOOKUP(Tabla1[[#This Row],[PAGO DIA]],DIAS!A:F,6,0)</f>
        <v>46203</v>
      </c>
      <c r="R646" s="6">
        <v>0</v>
      </c>
      <c r="S646" s="43">
        <f>VLOOKUP(Tabla1[[#This Row],[PAGO DIA]],DIAS!A:G,7,0)</f>
        <v>46234</v>
      </c>
      <c r="T646" s="6">
        <v>0</v>
      </c>
      <c r="U646" s="43">
        <f>VLOOKUP(Tabla1[[#This Row],[PAGO DIA]],DIAS!A:H,8,0)</f>
        <v>46265</v>
      </c>
      <c r="V646" s="6">
        <v>0</v>
      </c>
      <c r="W646" s="43">
        <f>VLOOKUP(Tabla1[[#This Row],[PAGO DIA]],DIAS!A:I,9,0)</f>
        <v>46295</v>
      </c>
      <c r="X646" s="6">
        <v>0</v>
      </c>
      <c r="Y646" s="43">
        <f>VLOOKUP(Tabla1[[#This Row],[PAGO DIA]],DIAS!A:J,10,0)</f>
        <v>46325</v>
      </c>
      <c r="Z646" s="6">
        <v>0</v>
      </c>
      <c r="AA646" s="43">
        <f>VLOOKUP(Tabla1[[#This Row],[PAGO DIA]],DIAS!A:K,11,0)</f>
        <v>46356</v>
      </c>
      <c r="AB646" s="6">
        <v>0</v>
      </c>
      <c r="AC646" s="43">
        <f>VLOOKUP(Tabla1[[#This Row],[PAGO DIA]],DIAS!A:M,12,0)</f>
        <v>46386</v>
      </c>
      <c r="AD6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7" spans="1:30">
      <c r="A647" s="3">
        <v>11656</v>
      </c>
      <c r="B647" s="3" t="s">
        <v>544</v>
      </c>
      <c r="C647" s="3" t="s">
        <v>505</v>
      </c>
      <c r="D647" s="3" t="s">
        <v>1196</v>
      </c>
      <c r="E647" s="3" t="s">
        <v>1275</v>
      </c>
      <c r="F647" s="42" t="s">
        <v>631</v>
      </c>
      <c r="G647" s="3" t="s">
        <v>1198</v>
      </c>
      <c r="H647" s="6">
        <v>0</v>
      </c>
      <c r="I647" s="41">
        <f>VLOOKUP(Tabla1[[#This Row],[PAGO DIA]],DIAS!A:B,2,0)</f>
        <v>46080</v>
      </c>
      <c r="J647" s="6">
        <v>0</v>
      </c>
      <c r="K647" s="43">
        <f>VLOOKUP(Tabla1[[#This Row],[PAGO DIA]],DIAS!A:C,3,0)</f>
        <v>46112</v>
      </c>
      <c r="L647" s="6">
        <v>0</v>
      </c>
      <c r="M647" s="41">
        <f>VLOOKUP(Tabla1[[#This Row],[PAGO DIA]],DIAS!A:D,4,0)</f>
        <v>46142</v>
      </c>
      <c r="N647" s="6">
        <v>0</v>
      </c>
      <c r="O647" s="43">
        <f>VLOOKUP(Tabla1[[#This Row],[PAGO DIA]],DIAS!A:E,5,0)</f>
        <v>46171</v>
      </c>
      <c r="P647" s="6">
        <v>0</v>
      </c>
      <c r="Q647" s="43">
        <f>VLOOKUP(Tabla1[[#This Row],[PAGO DIA]],DIAS!A:F,6,0)</f>
        <v>46203</v>
      </c>
      <c r="R647" s="6">
        <v>0</v>
      </c>
      <c r="S647" s="43">
        <f>VLOOKUP(Tabla1[[#This Row],[PAGO DIA]],DIAS!A:G,7,0)</f>
        <v>46234</v>
      </c>
      <c r="T647" s="6">
        <v>0</v>
      </c>
      <c r="U647" s="43">
        <f>VLOOKUP(Tabla1[[#This Row],[PAGO DIA]],DIAS!A:H,8,0)</f>
        <v>46265</v>
      </c>
      <c r="V647" s="6">
        <v>0</v>
      </c>
      <c r="W647" s="43">
        <f>VLOOKUP(Tabla1[[#This Row],[PAGO DIA]],DIAS!A:I,9,0)</f>
        <v>46295</v>
      </c>
      <c r="X647" s="6">
        <v>0</v>
      </c>
      <c r="Y647" s="43">
        <f>VLOOKUP(Tabla1[[#This Row],[PAGO DIA]],DIAS!A:J,10,0)</f>
        <v>46325</v>
      </c>
      <c r="Z647" s="6">
        <v>0</v>
      </c>
      <c r="AA647" s="43">
        <f>VLOOKUP(Tabla1[[#This Row],[PAGO DIA]],DIAS!A:K,11,0)</f>
        <v>46356</v>
      </c>
      <c r="AB647" s="6">
        <v>0</v>
      </c>
      <c r="AC647" s="43">
        <f>VLOOKUP(Tabla1[[#This Row],[PAGO DIA]],DIAS!A:M,12,0)</f>
        <v>46386</v>
      </c>
      <c r="AD6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8" spans="1:30">
      <c r="A648" s="3">
        <v>12073</v>
      </c>
      <c r="B648" s="3" t="s">
        <v>544</v>
      </c>
      <c r="C648" s="3" t="s">
        <v>505</v>
      </c>
      <c r="D648" s="3" t="s">
        <v>545</v>
      </c>
      <c r="E648" s="3" t="s">
        <v>1276</v>
      </c>
      <c r="F648" s="42" t="s">
        <v>631</v>
      </c>
      <c r="G648" s="3" t="s">
        <v>635</v>
      </c>
      <c r="H648" s="6">
        <v>0</v>
      </c>
      <c r="I648" s="41">
        <f>VLOOKUP(Tabla1[[#This Row],[PAGO DIA]],DIAS!A:B,2,0)</f>
        <v>46080</v>
      </c>
      <c r="J648" s="6">
        <v>0</v>
      </c>
      <c r="K648" s="43">
        <f>VLOOKUP(Tabla1[[#This Row],[PAGO DIA]],DIAS!A:C,3,0)</f>
        <v>46112</v>
      </c>
      <c r="L648" s="6">
        <v>0</v>
      </c>
      <c r="M648" s="41">
        <f>VLOOKUP(Tabla1[[#This Row],[PAGO DIA]],DIAS!A:D,4,0)</f>
        <v>46142</v>
      </c>
      <c r="N648" s="6">
        <v>0</v>
      </c>
      <c r="O648" s="43">
        <f>VLOOKUP(Tabla1[[#This Row],[PAGO DIA]],DIAS!A:E,5,0)</f>
        <v>46171</v>
      </c>
      <c r="P648" s="6">
        <v>0</v>
      </c>
      <c r="Q648" s="43">
        <f>VLOOKUP(Tabla1[[#This Row],[PAGO DIA]],DIAS!A:F,6,0)</f>
        <v>46203</v>
      </c>
      <c r="R648" s="6">
        <v>0</v>
      </c>
      <c r="S648" s="43">
        <f>VLOOKUP(Tabla1[[#This Row],[PAGO DIA]],DIAS!A:G,7,0)</f>
        <v>46234</v>
      </c>
      <c r="T648" s="6">
        <v>0</v>
      </c>
      <c r="U648" s="43">
        <f>VLOOKUP(Tabla1[[#This Row],[PAGO DIA]],DIAS!A:H,8,0)</f>
        <v>46265</v>
      </c>
      <c r="V648" s="6">
        <v>0</v>
      </c>
      <c r="W648" s="43">
        <f>VLOOKUP(Tabla1[[#This Row],[PAGO DIA]],DIAS!A:I,9,0)</f>
        <v>46295</v>
      </c>
      <c r="X648" s="6">
        <v>0</v>
      </c>
      <c r="Y648" s="43">
        <f>VLOOKUP(Tabla1[[#This Row],[PAGO DIA]],DIAS!A:J,10,0)</f>
        <v>46325</v>
      </c>
      <c r="Z648" s="6">
        <v>0</v>
      </c>
      <c r="AA648" s="43">
        <f>VLOOKUP(Tabla1[[#This Row],[PAGO DIA]],DIAS!A:K,11,0)</f>
        <v>46356</v>
      </c>
      <c r="AB648" s="6">
        <v>0</v>
      </c>
      <c r="AC648" s="43">
        <f>VLOOKUP(Tabla1[[#This Row],[PAGO DIA]],DIAS!A:M,12,0)</f>
        <v>46386</v>
      </c>
      <c r="AD6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49" spans="1:30">
      <c r="A649" s="3">
        <v>12119</v>
      </c>
      <c r="B649" s="3" t="s">
        <v>544</v>
      </c>
      <c r="C649" s="3" t="s">
        <v>540</v>
      </c>
      <c r="D649" s="3" t="s">
        <v>545</v>
      </c>
      <c r="E649" s="3" t="s">
        <v>1277</v>
      </c>
      <c r="F649" s="42" t="s">
        <v>631</v>
      </c>
      <c r="G649" s="3" t="s">
        <v>584</v>
      </c>
      <c r="H649" s="6">
        <v>0</v>
      </c>
      <c r="I649" s="41">
        <f>VLOOKUP(Tabla1[[#This Row],[PAGO DIA]],DIAS!A:B,2,0)</f>
        <v>46080</v>
      </c>
      <c r="J649" s="6">
        <v>0</v>
      </c>
      <c r="K649" s="43">
        <f>VLOOKUP(Tabla1[[#This Row],[PAGO DIA]],DIAS!A:C,3,0)</f>
        <v>46112</v>
      </c>
      <c r="L649" s="6">
        <v>0</v>
      </c>
      <c r="M649" s="41">
        <f>VLOOKUP(Tabla1[[#This Row],[PAGO DIA]],DIAS!A:D,4,0)</f>
        <v>46142</v>
      </c>
      <c r="N649" s="6">
        <v>0</v>
      </c>
      <c r="O649" s="43">
        <f>VLOOKUP(Tabla1[[#This Row],[PAGO DIA]],DIAS!A:E,5,0)</f>
        <v>46171</v>
      </c>
      <c r="P649" s="6">
        <v>0</v>
      </c>
      <c r="Q649" s="43">
        <f>VLOOKUP(Tabla1[[#This Row],[PAGO DIA]],DIAS!A:F,6,0)</f>
        <v>46203</v>
      </c>
      <c r="R649" s="6">
        <v>0</v>
      </c>
      <c r="S649" s="43">
        <f>VLOOKUP(Tabla1[[#This Row],[PAGO DIA]],DIAS!A:G,7,0)</f>
        <v>46234</v>
      </c>
      <c r="T649" s="6">
        <v>0</v>
      </c>
      <c r="U649" s="43">
        <f>VLOOKUP(Tabla1[[#This Row],[PAGO DIA]],DIAS!A:H,8,0)</f>
        <v>46265</v>
      </c>
      <c r="V649" s="6">
        <v>0</v>
      </c>
      <c r="W649" s="43">
        <f>VLOOKUP(Tabla1[[#This Row],[PAGO DIA]],DIAS!A:I,9,0)</f>
        <v>46295</v>
      </c>
      <c r="X649" s="6">
        <v>0</v>
      </c>
      <c r="Y649" s="43">
        <f>VLOOKUP(Tabla1[[#This Row],[PAGO DIA]],DIAS!A:J,10,0)</f>
        <v>46325</v>
      </c>
      <c r="Z649" s="6">
        <v>0</v>
      </c>
      <c r="AA649" s="43">
        <f>VLOOKUP(Tabla1[[#This Row],[PAGO DIA]],DIAS!A:K,11,0)</f>
        <v>46356</v>
      </c>
      <c r="AB649" s="6">
        <v>0</v>
      </c>
      <c r="AC649" s="43">
        <f>VLOOKUP(Tabla1[[#This Row],[PAGO DIA]],DIAS!A:M,12,0)</f>
        <v>46386</v>
      </c>
      <c r="AD6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0" spans="1:30">
      <c r="A650" s="3">
        <v>11660</v>
      </c>
      <c r="B650" s="3" t="s">
        <v>544</v>
      </c>
      <c r="C650" s="3" t="s">
        <v>540</v>
      </c>
      <c r="D650" s="3" t="s">
        <v>545</v>
      </c>
      <c r="E650" s="3" t="s">
        <v>1278</v>
      </c>
      <c r="F650" s="42" t="s">
        <v>631</v>
      </c>
      <c r="G650" s="3" t="s">
        <v>1279</v>
      </c>
      <c r="H650" s="6">
        <v>0</v>
      </c>
      <c r="I650" s="41">
        <f>VLOOKUP(Tabla1[[#This Row],[PAGO DIA]],DIAS!A:B,2,0)</f>
        <v>46080</v>
      </c>
      <c r="J650" s="6">
        <v>0</v>
      </c>
      <c r="K650" s="43">
        <f>VLOOKUP(Tabla1[[#This Row],[PAGO DIA]],DIAS!A:C,3,0)</f>
        <v>46112</v>
      </c>
      <c r="L650" s="6">
        <v>0</v>
      </c>
      <c r="M650" s="41">
        <f>VLOOKUP(Tabla1[[#This Row],[PAGO DIA]],DIAS!A:D,4,0)</f>
        <v>46142</v>
      </c>
      <c r="N650" s="6">
        <v>0</v>
      </c>
      <c r="O650" s="43">
        <f>VLOOKUP(Tabla1[[#This Row],[PAGO DIA]],DIAS!A:E,5,0)</f>
        <v>46171</v>
      </c>
      <c r="P650" s="6">
        <v>0</v>
      </c>
      <c r="Q650" s="43">
        <f>VLOOKUP(Tabla1[[#This Row],[PAGO DIA]],DIAS!A:F,6,0)</f>
        <v>46203</v>
      </c>
      <c r="R650" s="6">
        <v>0</v>
      </c>
      <c r="S650" s="43">
        <f>VLOOKUP(Tabla1[[#This Row],[PAGO DIA]],DIAS!A:G,7,0)</f>
        <v>46234</v>
      </c>
      <c r="T650" s="6">
        <v>0</v>
      </c>
      <c r="U650" s="43">
        <f>VLOOKUP(Tabla1[[#This Row],[PAGO DIA]],DIAS!A:H,8,0)</f>
        <v>46265</v>
      </c>
      <c r="V650" s="6">
        <v>0</v>
      </c>
      <c r="W650" s="43">
        <f>VLOOKUP(Tabla1[[#This Row],[PAGO DIA]],DIAS!A:I,9,0)</f>
        <v>46295</v>
      </c>
      <c r="X650" s="6">
        <v>0</v>
      </c>
      <c r="Y650" s="43">
        <f>VLOOKUP(Tabla1[[#This Row],[PAGO DIA]],DIAS!A:J,10,0)</f>
        <v>46325</v>
      </c>
      <c r="Z650" s="6">
        <v>0</v>
      </c>
      <c r="AA650" s="43">
        <f>VLOOKUP(Tabla1[[#This Row],[PAGO DIA]],DIAS!A:K,11,0)</f>
        <v>46356</v>
      </c>
      <c r="AB650" s="6">
        <v>0</v>
      </c>
      <c r="AC650" s="43">
        <f>VLOOKUP(Tabla1[[#This Row],[PAGO DIA]],DIAS!A:M,12,0)</f>
        <v>46386</v>
      </c>
      <c r="AD6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1" spans="1:30">
      <c r="A651" s="3">
        <v>12080</v>
      </c>
      <c r="B651" s="3" t="s">
        <v>544</v>
      </c>
      <c r="C651" s="3" t="s">
        <v>505</v>
      </c>
      <c r="D651" s="3" t="s">
        <v>545</v>
      </c>
      <c r="E651" s="3" t="s">
        <v>1280</v>
      </c>
      <c r="F651" s="42" t="s">
        <v>631</v>
      </c>
      <c r="G651" s="3" t="s">
        <v>635</v>
      </c>
      <c r="H651" s="6">
        <v>0</v>
      </c>
      <c r="I651" s="41">
        <f>VLOOKUP(Tabla1[[#This Row],[PAGO DIA]],DIAS!A:B,2,0)</f>
        <v>46080</v>
      </c>
      <c r="J651" s="6">
        <v>0</v>
      </c>
      <c r="K651" s="43">
        <f>VLOOKUP(Tabla1[[#This Row],[PAGO DIA]],DIAS!A:C,3,0)</f>
        <v>46112</v>
      </c>
      <c r="L651" s="6">
        <v>0</v>
      </c>
      <c r="M651" s="41">
        <f>VLOOKUP(Tabla1[[#This Row],[PAGO DIA]],DIAS!A:D,4,0)</f>
        <v>46142</v>
      </c>
      <c r="N651" s="6">
        <v>0</v>
      </c>
      <c r="O651" s="43">
        <f>VLOOKUP(Tabla1[[#This Row],[PAGO DIA]],DIAS!A:E,5,0)</f>
        <v>46171</v>
      </c>
      <c r="P651" s="6">
        <v>0</v>
      </c>
      <c r="Q651" s="43">
        <f>VLOOKUP(Tabla1[[#This Row],[PAGO DIA]],DIAS!A:F,6,0)</f>
        <v>46203</v>
      </c>
      <c r="R651" s="6">
        <v>0</v>
      </c>
      <c r="S651" s="43">
        <f>VLOOKUP(Tabla1[[#This Row],[PAGO DIA]],DIAS!A:G,7,0)</f>
        <v>46234</v>
      </c>
      <c r="T651" s="6">
        <v>0</v>
      </c>
      <c r="U651" s="43">
        <f>VLOOKUP(Tabla1[[#This Row],[PAGO DIA]],DIAS!A:H,8,0)</f>
        <v>46265</v>
      </c>
      <c r="V651" s="6">
        <v>0</v>
      </c>
      <c r="W651" s="43">
        <f>VLOOKUP(Tabla1[[#This Row],[PAGO DIA]],DIAS!A:I,9,0)</f>
        <v>46295</v>
      </c>
      <c r="X651" s="6">
        <v>0</v>
      </c>
      <c r="Y651" s="43">
        <f>VLOOKUP(Tabla1[[#This Row],[PAGO DIA]],DIAS!A:J,10,0)</f>
        <v>46325</v>
      </c>
      <c r="Z651" s="6">
        <v>0</v>
      </c>
      <c r="AA651" s="43">
        <f>VLOOKUP(Tabla1[[#This Row],[PAGO DIA]],DIAS!A:K,11,0)</f>
        <v>46356</v>
      </c>
      <c r="AB651" s="6">
        <v>0</v>
      </c>
      <c r="AC651" s="43">
        <f>VLOOKUP(Tabla1[[#This Row],[PAGO DIA]],DIAS!A:M,12,0)</f>
        <v>46386</v>
      </c>
      <c r="AD6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2" spans="1:30">
      <c r="A652" s="3">
        <v>11719</v>
      </c>
      <c r="B652" s="3" t="s">
        <v>544</v>
      </c>
      <c r="C652" s="3" t="s">
        <v>540</v>
      </c>
      <c r="D652" s="3" t="s">
        <v>545</v>
      </c>
      <c r="E652" s="3" t="s">
        <v>1281</v>
      </c>
      <c r="F652" s="42" t="s">
        <v>631</v>
      </c>
      <c r="G652" s="3" t="s">
        <v>1282</v>
      </c>
      <c r="H652" s="6">
        <v>0</v>
      </c>
      <c r="I652" s="41">
        <f>VLOOKUP(Tabla1[[#This Row],[PAGO DIA]],DIAS!A:B,2,0)</f>
        <v>46080</v>
      </c>
      <c r="J652" s="6">
        <v>0</v>
      </c>
      <c r="K652" s="43">
        <f>VLOOKUP(Tabla1[[#This Row],[PAGO DIA]],DIAS!A:C,3,0)</f>
        <v>46112</v>
      </c>
      <c r="L652" s="6">
        <v>0</v>
      </c>
      <c r="M652" s="41">
        <f>VLOOKUP(Tabla1[[#This Row],[PAGO DIA]],DIAS!A:D,4,0)</f>
        <v>46142</v>
      </c>
      <c r="N652" s="6">
        <v>0</v>
      </c>
      <c r="O652" s="43">
        <f>VLOOKUP(Tabla1[[#This Row],[PAGO DIA]],DIAS!A:E,5,0)</f>
        <v>46171</v>
      </c>
      <c r="P652" s="6">
        <v>0</v>
      </c>
      <c r="Q652" s="43">
        <f>VLOOKUP(Tabla1[[#This Row],[PAGO DIA]],DIAS!A:F,6,0)</f>
        <v>46203</v>
      </c>
      <c r="R652" s="6">
        <v>0</v>
      </c>
      <c r="S652" s="43">
        <f>VLOOKUP(Tabla1[[#This Row],[PAGO DIA]],DIAS!A:G,7,0)</f>
        <v>46234</v>
      </c>
      <c r="T652" s="6">
        <v>0</v>
      </c>
      <c r="U652" s="43">
        <f>VLOOKUP(Tabla1[[#This Row],[PAGO DIA]],DIAS!A:H,8,0)</f>
        <v>46265</v>
      </c>
      <c r="V652" s="6">
        <v>0</v>
      </c>
      <c r="W652" s="43">
        <f>VLOOKUP(Tabla1[[#This Row],[PAGO DIA]],DIAS!A:I,9,0)</f>
        <v>46295</v>
      </c>
      <c r="X652" s="6">
        <v>0</v>
      </c>
      <c r="Y652" s="43">
        <f>VLOOKUP(Tabla1[[#This Row],[PAGO DIA]],DIAS!A:J,10,0)</f>
        <v>46325</v>
      </c>
      <c r="Z652" s="6">
        <v>0</v>
      </c>
      <c r="AA652" s="43">
        <f>VLOOKUP(Tabla1[[#This Row],[PAGO DIA]],DIAS!A:K,11,0)</f>
        <v>46356</v>
      </c>
      <c r="AB652" s="6">
        <v>0</v>
      </c>
      <c r="AC652" s="43">
        <f>VLOOKUP(Tabla1[[#This Row],[PAGO DIA]],DIAS!A:M,12,0)</f>
        <v>46386</v>
      </c>
      <c r="AD6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3" spans="1:30">
      <c r="A653" s="3">
        <v>11720</v>
      </c>
      <c r="B653" s="3" t="s">
        <v>544</v>
      </c>
      <c r="C653" s="3" t="s">
        <v>540</v>
      </c>
      <c r="D653" s="3" t="s">
        <v>545</v>
      </c>
      <c r="E653" s="3" t="s">
        <v>1281</v>
      </c>
      <c r="F653" s="42" t="s">
        <v>631</v>
      </c>
      <c r="G653" s="3" t="s">
        <v>1283</v>
      </c>
      <c r="H653" s="6">
        <v>0</v>
      </c>
      <c r="I653" s="41">
        <f>VLOOKUP(Tabla1[[#This Row],[PAGO DIA]],DIAS!A:B,2,0)</f>
        <v>46080</v>
      </c>
      <c r="J653" s="6">
        <v>0</v>
      </c>
      <c r="K653" s="43">
        <f>VLOOKUP(Tabla1[[#This Row],[PAGO DIA]],DIAS!A:C,3,0)</f>
        <v>46112</v>
      </c>
      <c r="L653" s="6">
        <v>0</v>
      </c>
      <c r="M653" s="41">
        <f>VLOOKUP(Tabla1[[#This Row],[PAGO DIA]],DIAS!A:D,4,0)</f>
        <v>46142</v>
      </c>
      <c r="N653" s="6">
        <v>0</v>
      </c>
      <c r="O653" s="43">
        <f>VLOOKUP(Tabla1[[#This Row],[PAGO DIA]],DIAS!A:E,5,0)</f>
        <v>46171</v>
      </c>
      <c r="P653" s="6">
        <v>0</v>
      </c>
      <c r="Q653" s="43">
        <f>VLOOKUP(Tabla1[[#This Row],[PAGO DIA]],DIAS!A:F,6,0)</f>
        <v>46203</v>
      </c>
      <c r="R653" s="6">
        <v>0</v>
      </c>
      <c r="S653" s="43">
        <f>VLOOKUP(Tabla1[[#This Row],[PAGO DIA]],DIAS!A:G,7,0)</f>
        <v>46234</v>
      </c>
      <c r="T653" s="6">
        <v>0</v>
      </c>
      <c r="U653" s="43">
        <f>VLOOKUP(Tabla1[[#This Row],[PAGO DIA]],DIAS!A:H,8,0)</f>
        <v>46265</v>
      </c>
      <c r="V653" s="6">
        <v>0</v>
      </c>
      <c r="W653" s="43">
        <f>VLOOKUP(Tabla1[[#This Row],[PAGO DIA]],DIAS!A:I,9,0)</f>
        <v>46295</v>
      </c>
      <c r="X653" s="6">
        <v>0</v>
      </c>
      <c r="Y653" s="43">
        <f>VLOOKUP(Tabla1[[#This Row],[PAGO DIA]],DIAS!A:J,10,0)</f>
        <v>46325</v>
      </c>
      <c r="Z653" s="6">
        <v>0</v>
      </c>
      <c r="AA653" s="43">
        <f>VLOOKUP(Tabla1[[#This Row],[PAGO DIA]],DIAS!A:K,11,0)</f>
        <v>46356</v>
      </c>
      <c r="AB653" s="6">
        <v>0</v>
      </c>
      <c r="AC653" s="43">
        <f>VLOOKUP(Tabla1[[#This Row],[PAGO DIA]],DIAS!A:M,12,0)</f>
        <v>46386</v>
      </c>
      <c r="AD6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4" spans="1:30">
      <c r="A654" s="3">
        <v>11047</v>
      </c>
      <c r="B654" s="3" t="s">
        <v>544</v>
      </c>
      <c r="C654" s="3" t="s">
        <v>505</v>
      </c>
      <c r="D654" s="3" t="s">
        <v>545</v>
      </c>
      <c r="E654" s="3" t="s">
        <v>1284</v>
      </c>
      <c r="F654" s="42" t="s">
        <v>631</v>
      </c>
      <c r="G654" s="3"/>
      <c r="H654" s="6">
        <v>0</v>
      </c>
      <c r="I654" s="41">
        <f>VLOOKUP(Tabla1[[#This Row],[PAGO DIA]],DIAS!A:B,2,0)</f>
        <v>46080</v>
      </c>
      <c r="J654" s="6">
        <v>0</v>
      </c>
      <c r="K654" s="43">
        <f>VLOOKUP(Tabla1[[#This Row],[PAGO DIA]],DIAS!A:C,3,0)</f>
        <v>46112</v>
      </c>
      <c r="L654" s="6">
        <v>0</v>
      </c>
      <c r="M654" s="41">
        <f>VLOOKUP(Tabla1[[#This Row],[PAGO DIA]],DIAS!A:D,4,0)</f>
        <v>46142</v>
      </c>
      <c r="N654" s="6">
        <v>0</v>
      </c>
      <c r="O654" s="43">
        <f>VLOOKUP(Tabla1[[#This Row],[PAGO DIA]],DIAS!A:E,5,0)</f>
        <v>46171</v>
      </c>
      <c r="P654" s="6">
        <v>0</v>
      </c>
      <c r="Q654" s="43">
        <f>VLOOKUP(Tabla1[[#This Row],[PAGO DIA]],DIAS!A:F,6,0)</f>
        <v>46203</v>
      </c>
      <c r="R654" s="6">
        <v>0</v>
      </c>
      <c r="S654" s="43">
        <f>VLOOKUP(Tabla1[[#This Row],[PAGO DIA]],DIAS!A:G,7,0)</f>
        <v>46234</v>
      </c>
      <c r="T654" s="6">
        <v>0</v>
      </c>
      <c r="U654" s="43">
        <f>VLOOKUP(Tabla1[[#This Row],[PAGO DIA]],DIAS!A:H,8,0)</f>
        <v>46265</v>
      </c>
      <c r="V654" s="6">
        <v>0</v>
      </c>
      <c r="W654" s="43">
        <f>VLOOKUP(Tabla1[[#This Row],[PAGO DIA]],DIAS!A:I,9,0)</f>
        <v>46295</v>
      </c>
      <c r="X654" s="6">
        <v>0</v>
      </c>
      <c r="Y654" s="43">
        <f>VLOOKUP(Tabla1[[#This Row],[PAGO DIA]],DIAS!A:J,10,0)</f>
        <v>46325</v>
      </c>
      <c r="Z654" s="6">
        <v>0</v>
      </c>
      <c r="AA654" s="43">
        <f>VLOOKUP(Tabla1[[#This Row],[PAGO DIA]],DIAS!A:K,11,0)</f>
        <v>46356</v>
      </c>
      <c r="AB654" s="6">
        <v>0</v>
      </c>
      <c r="AC654" s="43">
        <f>VLOOKUP(Tabla1[[#This Row],[PAGO DIA]],DIAS!A:M,12,0)</f>
        <v>46386</v>
      </c>
      <c r="AD6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5" spans="1:30">
      <c r="A655" s="3">
        <v>12809</v>
      </c>
      <c r="B655" s="3" t="s">
        <v>544</v>
      </c>
      <c r="C655" s="3" t="s">
        <v>505</v>
      </c>
      <c r="D655" s="3" t="s">
        <v>545</v>
      </c>
      <c r="E655" s="3" t="s">
        <v>1285</v>
      </c>
      <c r="F655" s="42" t="s">
        <v>631</v>
      </c>
      <c r="G655" s="3" t="s">
        <v>1286</v>
      </c>
      <c r="H655" s="6">
        <v>0</v>
      </c>
      <c r="I655" s="41">
        <f>VLOOKUP(Tabla1[[#This Row],[PAGO DIA]],DIAS!A:B,2,0)</f>
        <v>46080</v>
      </c>
      <c r="J655" s="6">
        <v>0</v>
      </c>
      <c r="K655" s="43">
        <f>VLOOKUP(Tabla1[[#This Row],[PAGO DIA]],DIAS!A:C,3,0)</f>
        <v>46112</v>
      </c>
      <c r="L655" s="6">
        <v>0</v>
      </c>
      <c r="M655" s="41">
        <f>VLOOKUP(Tabla1[[#This Row],[PAGO DIA]],DIAS!A:D,4,0)</f>
        <v>46142</v>
      </c>
      <c r="N655" s="6">
        <v>0</v>
      </c>
      <c r="O655" s="43">
        <f>VLOOKUP(Tabla1[[#This Row],[PAGO DIA]],DIAS!A:E,5,0)</f>
        <v>46171</v>
      </c>
      <c r="P655" s="6">
        <v>0</v>
      </c>
      <c r="Q655" s="43">
        <f>VLOOKUP(Tabla1[[#This Row],[PAGO DIA]],DIAS!A:F,6,0)</f>
        <v>46203</v>
      </c>
      <c r="R655" s="6">
        <v>0</v>
      </c>
      <c r="S655" s="43">
        <f>VLOOKUP(Tabla1[[#This Row],[PAGO DIA]],DIAS!A:G,7,0)</f>
        <v>46234</v>
      </c>
      <c r="T655" s="6">
        <v>0</v>
      </c>
      <c r="U655" s="43">
        <f>VLOOKUP(Tabla1[[#This Row],[PAGO DIA]],DIAS!A:H,8,0)</f>
        <v>46265</v>
      </c>
      <c r="V655" s="6">
        <v>0</v>
      </c>
      <c r="W655" s="43">
        <f>VLOOKUP(Tabla1[[#This Row],[PAGO DIA]],DIAS!A:I,9,0)</f>
        <v>46295</v>
      </c>
      <c r="X655" s="6">
        <v>0</v>
      </c>
      <c r="Y655" s="43">
        <f>VLOOKUP(Tabla1[[#This Row],[PAGO DIA]],DIAS!A:J,10,0)</f>
        <v>46325</v>
      </c>
      <c r="Z655" s="6">
        <v>0</v>
      </c>
      <c r="AA655" s="43">
        <f>VLOOKUP(Tabla1[[#This Row],[PAGO DIA]],DIAS!A:K,11,0)</f>
        <v>46356</v>
      </c>
      <c r="AB655" s="6">
        <v>0</v>
      </c>
      <c r="AC655" s="43">
        <f>VLOOKUP(Tabla1[[#This Row],[PAGO DIA]],DIAS!A:M,12,0)</f>
        <v>46386</v>
      </c>
      <c r="AD6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6" spans="1:30">
      <c r="A656" s="3">
        <v>12831</v>
      </c>
      <c r="B656" s="3" t="s">
        <v>544</v>
      </c>
      <c r="C656" s="3" t="s">
        <v>505</v>
      </c>
      <c r="D656" s="3" t="s">
        <v>545</v>
      </c>
      <c r="E656" s="3" t="s">
        <v>1285</v>
      </c>
      <c r="F656" s="42" t="s">
        <v>631</v>
      </c>
      <c r="G656" s="3" t="s">
        <v>1287</v>
      </c>
      <c r="H656" s="6">
        <v>0</v>
      </c>
      <c r="I656" s="41">
        <f>VLOOKUP(Tabla1[[#This Row],[PAGO DIA]],DIAS!A:B,2,0)</f>
        <v>46080</v>
      </c>
      <c r="J656" s="6">
        <v>0</v>
      </c>
      <c r="K656" s="43">
        <f>VLOOKUP(Tabla1[[#This Row],[PAGO DIA]],DIAS!A:C,3,0)</f>
        <v>46112</v>
      </c>
      <c r="L656" s="6">
        <v>0</v>
      </c>
      <c r="M656" s="41">
        <f>VLOOKUP(Tabla1[[#This Row],[PAGO DIA]],DIAS!A:D,4,0)</f>
        <v>46142</v>
      </c>
      <c r="N656" s="6">
        <v>0</v>
      </c>
      <c r="O656" s="43">
        <f>VLOOKUP(Tabla1[[#This Row],[PAGO DIA]],DIAS!A:E,5,0)</f>
        <v>46171</v>
      </c>
      <c r="P656" s="6">
        <v>0</v>
      </c>
      <c r="Q656" s="43">
        <f>VLOOKUP(Tabla1[[#This Row],[PAGO DIA]],DIAS!A:F,6,0)</f>
        <v>46203</v>
      </c>
      <c r="R656" s="6">
        <v>0</v>
      </c>
      <c r="S656" s="43">
        <f>VLOOKUP(Tabla1[[#This Row],[PAGO DIA]],DIAS!A:G,7,0)</f>
        <v>46234</v>
      </c>
      <c r="T656" s="6">
        <v>0</v>
      </c>
      <c r="U656" s="43">
        <f>VLOOKUP(Tabla1[[#This Row],[PAGO DIA]],DIAS!A:H,8,0)</f>
        <v>46265</v>
      </c>
      <c r="V656" s="6">
        <v>0</v>
      </c>
      <c r="W656" s="43">
        <f>VLOOKUP(Tabla1[[#This Row],[PAGO DIA]],DIAS!A:I,9,0)</f>
        <v>46295</v>
      </c>
      <c r="X656" s="6">
        <v>0</v>
      </c>
      <c r="Y656" s="43">
        <f>VLOOKUP(Tabla1[[#This Row],[PAGO DIA]],DIAS!A:J,10,0)</f>
        <v>46325</v>
      </c>
      <c r="Z656" s="6">
        <v>0</v>
      </c>
      <c r="AA656" s="43">
        <f>VLOOKUP(Tabla1[[#This Row],[PAGO DIA]],DIAS!A:K,11,0)</f>
        <v>46356</v>
      </c>
      <c r="AB656" s="6">
        <v>0</v>
      </c>
      <c r="AC656" s="43">
        <f>VLOOKUP(Tabla1[[#This Row],[PAGO DIA]],DIAS!A:M,12,0)</f>
        <v>46386</v>
      </c>
      <c r="AD6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7" spans="1:30">
      <c r="A657" s="3">
        <v>11039</v>
      </c>
      <c r="B657" s="3" t="s">
        <v>544</v>
      </c>
      <c r="C657" s="3" t="s">
        <v>505</v>
      </c>
      <c r="D657" s="3" t="s">
        <v>545</v>
      </c>
      <c r="E657" s="3" t="s">
        <v>1288</v>
      </c>
      <c r="F657" s="42" t="s">
        <v>631</v>
      </c>
      <c r="G657" s="3"/>
      <c r="H657" s="6">
        <v>0</v>
      </c>
      <c r="I657" s="41">
        <f>VLOOKUP(Tabla1[[#This Row],[PAGO DIA]],DIAS!A:B,2,0)</f>
        <v>46080</v>
      </c>
      <c r="J657" s="6">
        <v>0</v>
      </c>
      <c r="K657" s="43">
        <f>VLOOKUP(Tabla1[[#This Row],[PAGO DIA]],DIAS!A:C,3,0)</f>
        <v>46112</v>
      </c>
      <c r="L657" s="6">
        <v>0</v>
      </c>
      <c r="M657" s="41">
        <f>VLOOKUP(Tabla1[[#This Row],[PAGO DIA]],DIAS!A:D,4,0)</f>
        <v>46142</v>
      </c>
      <c r="N657" s="6">
        <v>0</v>
      </c>
      <c r="O657" s="43">
        <f>VLOOKUP(Tabla1[[#This Row],[PAGO DIA]],DIAS!A:E,5,0)</f>
        <v>46171</v>
      </c>
      <c r="P657" s="6">
        <v>0</v>
      </c>
      <c r="Q657" s="43">
        <f>VLOOKUP(Tabla1[[#This Row],[PAGO DIA]],DIAS!A:F,6,0)</f>
        <v>46203</v>
      </c>
      <c r="R657" s="6">
        <v>0</v>
      </c>
      <c r="S657" s="43">
        <f>VLOOKUP(Tabla1[[#This Row],[PAGO DIA]],DIAS!A:G,7,0)</f>
        <v>46234</v>
      </c>
      <c r="T657" s="6">
        <v>0</v>
      </c>
      <c r="U657" s="43">
        <f>VLOOKUP(Tabla1[[#This Row],[PAGO DIA]],DIAS!A:H,8,0)</f>
        <v>46265</v>
      </c>
      <c r="V657" s="6">
        <v>0</v>
      </c>
      <c r="W657" s="43">
        <f>VLOOKUP(Tabla1[[#This Row],[PAGO DIA]],DIAS!A:I,9,0)</f>
        <v>46295</v>
      </c>
      <c r="X657" s="6">
        <v>0</v>
      </c>
      <c r="Y657" s="43">
        <f>VLOOKUP(Tabla1[[#This Row],[PAGO DIA]],DIAS!A:J,10,0)</f>
        <v>46325</v>
      </c>
      <c r="Z657" s="6">
        <v>0</v>
      </c>
      <c r="AA657" s="43">
        <f>VLOOKUP(Tabla1[[#This Row],[PAGO DIA]],DIAS!A:K,11,0)</f>
        <v>46356</v>
      </c>
      <c r="AB657" s="6">
        <v>0</v>
      </c>
      <c r="AC657" s="43">
        <f>VLOOKUP(Tabla1[[#This Row],[PAGO DIA]],DIAS!A:M,12,0)</f>
        <v>46386</v>
      </c>
      <c r="AD6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8" spans="1:30">
      <c r="A658" s="3">
        <v>11278</v>
      </c>
      <c r="B658" s="3" t="s">
        <v>544</v>
      </c>
      <c r="C658" s="3" t="s">
        <v>505</v>
      </c>
      <c r="D658" s="3" t="s">
        <v>545</v>
      </c>
      <c r="E658" s="3" t="s">
        <v>1288</v>
      </c>
      <c r="F658" s="42" t="s">
        <v>631</v>
      </c>
      <c r="G658" s="3" t="s">
        <v>1289</v>
      </c>
      <c r="H658" s="6">
        <v>0</v>
      </c>
      <c r="I658" s="41">
        <f>VLOOKUP(Tabla1[[#This Row],[PAGO DIA]],DIAS!A:B,2,0)</f>
        <v>46080</v>
      </c>
      <c r="J658" s="6">
        <v>0</v>
      </c>
      <c r="K658" s="43">
        <f>VLOOKUP(Tabla1[[#This Row],[PAGO DIA]],DIAS!A:C,3,0)</f>
        <v>46112</v>
      </c>
      <c r="L658" s="6">
        <v>0</v>
      </c>
      <c r="M658" s="41">
        <f>VLOOKUP(Tabla1[[#This Row],[PAGO DIA]],DIAS!A:D,4,0)</f>
        <v>46142</v>
      </c>
      <c r="N658" s="6">
        <v>0</v>
      </c>
      <c r="O658" s="43">
        <f>VLOOKUP(Tabla1[[#This Row],[PAGO DIA]],DIAS!A:E,5,0)</f>
        <v>46171</v>
      </c>
      <c r="P658" s="6">
        <v>0</v>
      </c>
      <c r="Q658" s="43">
        <f>VLOOKUP(Tabla1[[#This Row],[PAGO DIA]],DIAS!A:F,6,0)</f>
        <v>46203</v>
      </c>
      <c r="R658" s="6">
        <v>0</v>
      </c>
      <c r="S658" s="43">
        <f>VLOOKUP(Tabla1[[#This Row],[PAGO DIA]],DIAS!A:G,7,0)</f>
        <v>46234</v>
      </c>
      <c r="T658" s="6">
        <v>0</v>
      </c>
      <c r="U658" s="43">
        <f>VLOOKUP(Tabla1[[#This Row],[PAGO DIA]],DIAS!A:H,8,0)</f>
        <v>46265</v>
      </c>
      <c r="V658" s="6">
        <v>0</v>
      </c>
      <c r="W658" s="43">
        <f>VLOOKUP(Tabla1[[#This Row],[PAGO DIA]],DIAS!A:I,9,0)</f>
        <v>46295</v>
      </c>
      <c r="X658" s="6">
        <v>0</v>
      </c>
      <c r="Y658" s="43">
        <f>VLOOKUP(Tabla1[[#This Row],[PAGO DIA]],DIAS!A:J,10,0)</f>
        <v>46325</v>
      </c>
      <c r="Z658" s="6">
        <v>0</v>
      </c>
      <c r="AA658" s="43">
        <f>VLOOKUP(Tabla1[[#This Row],[PAGO DIA]],DIAS!A:K,11,0)</f>
        <v>46356</v>
      </c>
      <c r="AB658" s="6">
        <v>0</v>
      </c>
      <c r="AC658" s="43">
        <f>VLOOKUP(Tabla1[[#This Row],[PAGO DIA]],DIAS!A:M,12,0)</f>
        <v>46386</v>
      </c>
      <c r="AD6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59" spans="1:30">
      <c r="A659" s="3">
        <v>11721</v>
      </c>
      <c r="B659" s="3" t="s">
        <v>544</v>
      </c>
      <c r="C659" s="3" t="s">
        <v>540</v>
      </c>
      <c r="D659" s="3" t="s">
        <v>545</v>
      </c>
      <c r="E659" s="3" t="s">
        <v>1288</v>
      </c>
      <c r="F659" s="42" t="s">
        <v>631</v>
      </c>
      <c r="G659" s="3" t="s">
        <v>1290</v>
      </c>
      <c r="H659" s="6">
        <v>0</v>
      </c>
      <c r="I659" s="41">
        <f>VLOOKUP(Tabla1[[#This Row],[PAGO DIA]],DIAS!A:B,2,0)</f>
        <v>46080</v>
      </c>
      <c r="J659" s="6">
        <v>0</v>
      </c>
      <c r="K659" s="43">
        <f>VLOOKUP(Tabla1[[#This Row],[PAGO DIA]],DIAS!A:C,3,0)</f>
        <v>46112</v>
      </c>
      <c r="L659" s="6">
        <v>0</v>
      </c>
      <c r="M659" s="41">
        <f>VLOOKUP(Tabla1[[#This Row],[PAGO DIA]],DIAS!A:D,4,0)</f>
        <v>46142</v>
      </c>
      <c r="N659" s="6">
        <v>0</v>
      </c>
      <c r="O659" s="43">
        <f>VLOOKUP(Tabla1[[#This Row],[PAGO DIA]],DIAS!A:E,5,0)</f>
        <v>46171</v>
      </c>
      <c r="P659" s="6">
        <v>0</v>
      </c>
      <c r="Q659" s="43">
        <f>VLOOKUP(Tabla1[[#This Row],[PAGO DIA]],DIAS!A:F,6,0)</f>
        <v>46203</v>
      </c>
      <c r="R659" s="6">
        <v>0</v>
      </c>
      <c r="S659" s="43">
        <f>VLOOKUP(Tabla1[[#This Row],[PAGO DIA]],DIAS!A:G,7,0)</f>
        <v>46234</v>
      </c>
      <c r="T659" s="6">
        <v>0</v>
      </c>
      <c r="U659" s="43">
        <f>VLOOKUP(Tabla1[[#This Row],[PAGO DIA]],DIAS!A:H,8,0)</f>
        <v>46265</v>
      </c>
      <c r="V659" s="6">
        <v>0</v>
      </c>
      <c r="W659" s="43">
        <f>VLOOKUP(Tabla1[[#This Row],[PAGO DIA]],DIAS!A:I,9,0)</f>
        <v>46295</v>
      </c>
      <c r="X659" s="6">
        <v>0</v>
      </c>
      <c r="Y659" s="43">
        <f>VLOOKUP(Tabla1[[#This Row],[PAGO DIA]],DIAS!A:J,10,0)</f>
        <v>46325</v>
      </c>
      <c r="Z659" s="6">
        <v>0</v>
      </c>
      <c r="AA659" s="43">
        <f>VLOOKUP(Tabla1[[#This Row],[PAGO DIA]],DIAS!A:K,11,0)</f>
        <v>46356</v>
      </c>
      <c r="AB659" s="6">
        <v>0</v>
      </c>
      <c r="AC659" s="43">
        <f>VLOOKUP(Tabla1[[#This Row],[PAGO DIA]],DIAS!A:M,12,0)</f>
        <v>46386</v>
      </c>
      <c r="AD6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0" spans="1:30">
      <c r="A660" s="3">
        <v>11722</v>
      </c>
      <c r="B660" s="3" t="s">
        <v>544</v>
      </c>
      <c r="C660" s="3" t="s">
        <v>540</v>
      </c>
      <c r="D660" s="3" t="s">
        <v>545</v>
      </c>
      <c r="E660" s="3" t="s">
        <v>1288</v>
      </c>
      <c r="F660" s="42" t="s">
        <v>631</v>
      </c>
      <c r="G660" s="3" t="s">
        <v>1291</v>
      </c>
      <c r="H660" s="6">
        <v>0</v>
      </c>
      <c r="I660" s="41">
        <f>VLOOKUP(Tabla1[[#This Row],[PAGO DIA]],DIAS!A:B,2,0)</f>
        <v>46080</v>
      </c>
      <c r="J660" s="6">
        <v>0</v>
      </c>
      <c r="K660" s="43">
        <f>VLOOKUP(Tabla1[[#This Row],[PAGO DIA]],DIAS!A:C,3,0)</f>
        <v>46112</v>
      </c>
      <c r="L660" s="6">
        <v>0</v>
      </c>
      <c r="M660" s="41">
        <f>VLOOKUP(Tabla1[[#This Row],[PAGO DIA]],DIAS!A:D,4,0)</f>
        <v>46142</v>
      </c>
      <c r="N660" s="6">
        <v>0</v>
      </c>
      <c r="O660" s="43">
        <f>VLOOKUP(Tabla1[[#This Row],[PAGO DIA]],DIAS!A:E,5,0)</f>
        <v>46171</v>
      </c>
      <c r="P660" s="6">
        <v>0</v>
      </c>
      <c r="Q660" s="43">
        <f>VLOOKUP(Tabla1[[#This Row],[PAGO DIA]],DIAS!A:F,6,0)</f>
        <v>46203</v>
      </c>
      <c r="R660" s="6">
        <v>0</v>
      </c>
      <c r="S660" s="43">
        <f>VLOOKUP(Tabla1[[#This Row],[PAGO DIA]],DIAS!A:G,7,0)</f>
        <v>46234</v>
      </c>
      <c r="T660" s="6">
        <v>0</v>
      </c>
      <c r="U660" s="43">
        <f>VLOOKUP(Tabla1[[#This Row],[PAGO DIA]],DIAS!A:H,8,0)</f>
        <v>46265</v>
      </c>
      <c r="V660" s="6">
        <v>0</v>
      </c>
      <c r="W660" s="43">
        <f>VLOOKUP(Tabla1[[#This Row],[PAGO DIA]],DIAS!A:I,9,0)</f>
        <v>46295</v>
      </c>
      <c r="X660" s="6">
        <v>0</v>
      </c>
      <c r="Y660" s="43">
        <f>VLOOKUP(Tabla1[[#This Row],[PAGO DIA]],DIAS!A:J,10,0)</f>
        <v>46325</v>
      </c>
      <c r="Z660" s="6">
        <v>0</v>
      </c>
      <c r="AA660" s="43">
        <f>VLOOKUP(Tabla1[[#This Row],[PAGO DIA]],DIAS!A:K,11,0)</f>
        <v>46356</v>
      </c>
      <c r="AB660" s="6">
        <v>0</v>
      </c>
      <c r="AC660" s="43">
        <f>VLOOKUP(Tabla1[[#This Row],[PAGO DIA]],DIAS!A:M,12,0)</f>
        <v>46386</v>
      </c>
      <c r="AD6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1" spans="1:30">
      <c r="A661" s="3">
        <v>11059</v>
      </c>
      <c r="B661" s="3" t="s">
        <v>544</v>
      </c>
      <c r="C661" s="3" t="s">
        <v>505</v>
      </c>
      <c r="D661" s="3" t="s">
        <v>545</v>
      </c>
      <c r="E661" s="3" t="s">
        <v>1189</v>
      </c>
      <c r="F661" s="42" t="s">
        <v>631</v>
      </c>
      <c r="G661" s="3"/>
      <c r="H661" s="6">
        <v>0</v>
      </c>
      <c r="I661" s="41">
        <f>VLOOKUP(Tabla1[[#This Row],[PAGO DIA]],DIAS!A:B,2,0)</f>
        <v>46080</v>
      </c>
      <c r="J661" s="6">
        <v>0</v>
      </c>
      <c r="K661" s="43">
        <f>VLOOKUP(Tabla1[[#This Row],[PAGO DIA]],DIAS!A:C,3,0)</f>
        <v>46112</v>
      </c>
      <c r="L661" s="6">
        <v>0</v>
      </c>
      <c r="M661" s="41">
        <f>VLOOKUP(Tabla1[[#This Row],[PAGO DIA]],DIAS!A:D,4,0)</f>
        <v>46142</v>
      </c>
      <c r="N661" s="6">
        <v>0</v>
      </c>
      <c r="O661" s="43">
        <f>VLOOKUP(Tabla1[[#This Row],[PAGO DIA]],DIAS!A:E,5,0)</f>
        <v>46171</v>
      </c>
      <c r="P661" s="6">
        <v>0</v>
      </c>
      <c r="Q661" s="43">
        <f>VLOOKUP(Tabla1[[#This Row],[PAGO DIA]],DIAS!A:F,6,0)</f>
        <v>46203</v>
      </c>
      <c r="R661" s="6">
        <v>0</v>
      </c>
      <c r="S661" s="43">
        <f>VLOOKUP(Tabla1[[#This Row],[PAGO DIA]],DIAS!A:G,7,0)</f>
        <v>46234</v>
      </c>
      <c r="T661" s="6">
        <v>0</v>
      </c>
      <c r="U661" s="43">
        <f>VLOOKUP(Tabla1[[#This Row],[PAGO DIA]],DIAS!A:H,8,0)</f>
        <v>46265</v>
      </c>
      <c r="V661" s="6">
        <v>0</v>
      </c>
      <c r="W661" s="43">
        <f>VLOOKUP(Tabla1[[#This Row],[PAGO DIA]],DIAS!A:I,9,0)</f>
        <v>46295</v>
      </c>
      <c r="X661" s="6">
        <v>0</v>
      </c>
      <c r="Y661" s="43">
        <f>VLOOKUP(Tabla1[[#This Row],[PAGO DIA]],DIAS!A:J,10,0)</f>
        <v>46325</v>
      </c>
      <c r="Z661" s="6">
        <v>0</v>
      </c>
      <c r="AA661" s="43">
        <f>VLOOKUP(Tabla1[[#This Row],[PAGO DIA]],DIAS!A:K,11,0)</f>
        <v>46356</v>
      </c>
      <c r="AB661" s="6">
        <v>0</v>
      </c>
      <c r="AC661" s="43">
        <f>VLOOKUP(Tabla1[[#This Row],[PAGO DIA]],DIAS!A:M,12,0)</f>
        <v>46386</v>
      </c>
      <c r="AD6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2" spans="1:30">
      <c r="A662" s="3">
        <v>11306</v>
      </c>
      <c r="B662" s="3" t="s">
        <v>544</v>
      </c>
      <c r="C662" s="3" t="s">
        <v>505</v>
      </c>
      <c r="D662" s="3" t="s">
        <v>545</v>
      </c>
      <c r="E662" s="3" t="s">
        <v>1189</v>
      </c>
      <c r="F662" s="42" t="s">
        <v>631</v>
      </c>
      <c r="G662" s="3" t="s">
        <v>1292</v>
      </c>
      <c r="H662" s="6">
        <v>0</v>
      </c>
      <c r="I662" s="41">
        <f>VLOOKUP(Tabla1[[#This Row],[PAGO DIA]],DIAS!A:B,2,0)</f>
        <v>46080</v>
      </c>
      <c r="J662" s="6">
        <v>0</v>
      </c>
      <c r="K662" s="43">
        <f>VLOOKUP(Tabla1[[#This Row],[PAGO DIA]],DIAS!A:C,3,0)</f>
        <v>46112</v>
      </c>
      <c r="L662" s="6">
        <v>0</v>
      </c>
      <c r="M662" s="41">
        <f>VLOOKUP(Tabla1[[#This Row],[PAGO DIA]],DIAS!A:D,4,0)</f>
        <v>46142</v>
      </c>
      <c r="N662" s="6">
        <v>0</v>
      </c>
      <c r="O662" s="43">
        <f>VLOOKUP(Tabla1[[#This Row],[PAGO DIA]],DIAS!A:E,5,0)</f>
        <v>46171</v>
      </c>
      <c r="P662" s="6">
        <v>0</v>
      </c>
      <c r="Q662" s="43">
        <f>VLOOKUP(Tabla1[[#This Row],[PAGO DIA]],DIAS!A:F,6,0)</f>
        <v>46203</v>
      </c>
      <c r="R662" s="6">
        <v>0</v>
      </c>
      <c r="S662" s="43">
        <f>VLOOKUP(Tabla1[[#This Row],[PAGO DIA]],DIAS!A:G,7,0)</f>
        <v>46234</v>
      </c>
      <c r="T662" s="6">
        <v>0</v>
      </c>
      <c r="U662" s="43">
        <f>VLOOKUP(Tabla1[[#This Row],[PAGO DIA]],DIAS!A:H,8,0)</f>
        <v>46265</v>
      </c>
      <c r="V662" s="6">
        <v>0</v>
      </c>
      <c r="W662" s="43">
        <f>VLOOKUP(Tabla1[[#This Row],[PAGO DIA]],DIAS!A:I,9,0)</f>
        <v>46295</v>
      </c>
      <c r="X662" s="6">
        <v>0</v>
      </c>
      <c r="Y662" s="43">
        <f>VLOOKUP(Tabla1[[#This Row],[PAGO DIA]],DIAS!A:J,10,0)</f>
        <v>46325</v>
      </c>
      <c r="Z662" s="6">
        <v>0</v>
      </c>
      <c r="AA662" s="43">
        <f>VLOOKUP(Tabla1[[#This Row],[PAGO DIA]],DIAS!A:K,11,0)</f>
        <v>46356</v>
      </c>
      <c r="AB662" s="6">
        <v>0</v>
      </c>
      <c r="AC662" s="43">
        <f>VLOOKUP(Tabla1[[#This Row],[PAGO DIA]],DIAS!A:M,12,0)</f>
        <v>46386</v>
      </c>
      <c r="AD6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3" spans="1:30">
      <c r="A663" s="3">
        <v>11725</v>
      </c>
      <c r="B663" s="3" t="s">
        <v>544</v>
      </c>
      <c r="C663" s="3" t="s">
        <v>540</v>
      </c>
      <c r="D663" s="3" t="s">
        <v>545</v>
      </c>
      <c r="E663" s="3" t="s">
        <v>1189</v>
      </c>
      <c r="F663" s="42" t="s">
        <v>631</v>
      </c>
      <c r="G663" s="3" t="s">
        <v>1293</v>
      </c>
      <c r="H663" s="6">
        <v>0</v>
      </c>
      <c r="I663" s="41">
        <f>VLOOKUP(Tabla1[[#This Row],[PAGO DIA]],DIAS!A:B,2,0)</f>
        <v>46080</v>
      </c>
      <c r="J663" s="6">
        <v>0</v>
      </c>
      <c r="K663" s="43">
        <f>VLOOKUP(Tabla1[[#This Row],[PAGO DIA]],DIAS!A:C,3,0)</f>
        <v>46112</v>
      </c>
      <c r="L663" s="6">
        <v>0</v>
      </c>
      <c r="M663" s="41">
        <f>VLOOKUP(Tabla1[[#This Row],[PAGO DIA]],DIAS!A:D,4,0)</f>
        <v>46142</v>
      </c>
      <c r="N663" s="6">
        <v>0</v>
      </c>
      <c r="O663" s="43">
        <f>VLOOKUP(Tabla1[[#This Row],[PAGO DIA]],DIAS!A:E,5,0)</f>
        <v>46171</v>
      </c>
      <c r="P663" s="6">
        <v>0</v>
      </c>
      <c r="Q663" s="43">
        <f>VLOOKUP(Tabla1[[#This Row],[PAGO DIA]],DIAS!A:F,6,0)</f>
        <v>46203</v>
      </c>
      <c r="R663" s="6">
        <v>0</v>
      </c>
      <c r="S663" s="43">
        <f>VLOOKUP(Tabla1[[#This Row],[PAGO DIA]],DIAS!A:G,7,0)</f>
        <v>46234</v>
      </c>
      <c r="T663" s="6">
        <v>0</v>
      </c>
      <c r="U663" s="43">
        <f>VLOOKUP(Tabla1[[#This Row],[PAGO DIA]],DIAS!A:H,8,0)</f>
        <v>46265</v>
      </c>
      <c r="V663" s="6">
        <v>0</v>
      </c>
      <c r="W663" s="43">
        <f>VLOOKUP(Tabla1[[#This Row],[PAGO DIA]],DIAS!A:I,9,0)</f>
        <v>46295</v>
      </c>
      <c r="X663" s="6">
        <v>0</v>
      </c>
      <c r="Y663" s="43">
        <f>VLOOKUP(Tabla1[[#This Row],[PAGO DIA]],DIAS!A:J,10,0)</f>
        <v>46325</v>
      </c>
      <c r="Z663" s="6">
        <v>0</v>
      </c>
      <c r="AA663" s="43">
        <f>VLOOKUP(Tabla1[[#This Row],[PAGO DIA]],DIAS!A:K,11,0)</f>
        <v>46356</v>
      </c>
      <c r="AB663" s="6">
        <v>0</v>
      </c>
      <c r="AC663" s="43">
        <f>VLOOKUP(Tabla1[[#This Row],[PAGO DIA]],DIAS!A:M,12,0)</f>
        <v>46386</v>
      </c>
      <c r="AD6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4" spans="1:30">
      <c r="A664" s="3">
        <v>11795</v>
      </c>
      <c r="B664" s="3" t="s">
        <v>544</v>
      </c>
      <c r="C664" s="3" t="s">
        <v>540</v>
      </c>
      <c r="D664" s="3" t="s">
        <v>545</v>
      </c>
      <c r="E664" s="3" t="s">
        <v>837</v>
      </c>
      <c r="F664" s="42" t="s">
        <v>631</v>
      </c>
      <c r="G664" s="3" t="s">
        <v>1294</v>
      </c>
      <c r="H664" s="6">
        <v>0</v>
      </c>
      <c r="I664" s="41">
        <f>VLOOKUP(Tabla1[[#This Row],[PAGO DIA]],DIAS!A:B,2,0)</f>
        <v>46080</v>
      </c>
      <c r="J664" s="6">
        <v>0</v>
      </c>
      <c r="K664" s="43">
        <f>VLOOKUP(Tabla1[[#This Row],[PAGO DIA]],DIAS!A:C,3,0)</f>
        <v>46112</v>
      </c>
      <c r="L664" s="6">
        <v>0</v>
      </c>
      <c r="M664" s="41">
        <f>VLOOKUP(Tabla1[[#This Row],[PAGO DIA]],DIAS!A:D,4,0)</f>
        <v>46142</v>
      </c>
      <c r="N664" s="6">
        <v>0</v>
      </c>
      <c r="O664" s="43">
        <f>VLOOKUP(Tabla1[[#This Row],[PAGO DIA]],DIAS!A:E,5,0)</f>
        <v>46171</v>
      </c>
      <c r="P664" s="6">
        <v>0</v>
      </c>
      <c r="Q664" s="43">
        <f>VLOOKUP(Tabla1[[#This Row],[PAGO DIA]],DIAS!A:F,6,0)</f>
        <v>46203</v>
      </c>
      <c r="R664" s="6">
        <v>0</v>
      </c>
      <c r="S664" s="43">
        <f>VLOOKUP(Tabla1[[#This Row],[PAGO DIA]],DIAS!A:G,7,0)</f>
        <v>46234</v>
      </c>
      <c r="T664" s="6">
        <v>0</v>
      </c>
      <c r="U664" s="43">
        <f>VLOOKUP(Tabla1[[#This Row],[PAGO DIA]],DIAS!A:H,8,0)</f>
        <v>46265</v>
      </c>
      <c r="V664" s="6">
        <v>0</v>
      </c>
      <c r="W664" s="43">
        <f>VLOOKUP(Tabla1[[#This Row],[PAGO DIA]],DIAS!A:I,9,0)</f>
        <v>46295</v>
      </c>
      <c r="X664" s="6">
        <v>0</v>
      </c>
      <c r="Y664" s="43">
        <f>VLOOKUP(Tabla1[[#This Row],[PAGO DIA]],DIAS!A:J,10,0)</f>
        <v>46325</v>
      </c>
      <c r="Z664" s="6">
        <v>0</v>
      </c>
      <c r="AA664" s="43">
        <f>VLOOKUP(Tabla1[[#This Row],[PAGO DIA]],DIAS!A:K,11,0)</f>
        <v>46356</v>
      </c>
      <c r="AB664" s="6">
        <v>0</v>
      </c>
      <c r="AC664" s="43">
        <f>VLOOKUP(Tabla1[[#This Row],[PAGO DIA]],DIAS!A:M,12,0)</f>
        <v>46386</v>
      </c>
      <c r="AD6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5" spans="1:30">
      <c r="A665" s="3">
        <v>11044</v>
      </c>
      <c r="B665" s="3" t="s">
        <v>544</v>
      </c>
      <c r="C665" s="3" t="s">
        <v>505</v>
      </c>
      <c r="D665" s="3" t="s">
        <v>545</v>
      </c>
      <c r="E665" s="3" t="s">
        <v>600</v>
      </c>
      <c r="F665" s="42" t="s">
        <v>631</v>
      </c>
      <c r="G665" s="3"/>
      <c r="H665" s="6">
        <v>0</v>
      </c>
      <c r="I665" s="41">
        <f>VLOOKUP(Tabla1[[#This Row],[PAGO DIA]],DIAS!A:B,2,0)</f>
        <v>46080</v>
      </c>
      <c r="J665" s="6">
        <v>0</v>
      </c>
      <c r="K665" s="43">
        <f>VLOOKUP(Tabla1[[#This Row],[PAGO DIA]],DIAS!A:C,3,0)</f>
        <v>46112</v>
      </c>
      <c r="L665" s="6">
        <v>0</v>
      </c>
      <c r="M665" s="41">
        <f>VLOOKUP(Tabla1[[#This Row],[PAGO DIA]],DIAS!A:D,4,0)</f>
        <v>46142</v>
      </c>
      <c r="N665" s="6">
        <v>0</v>
      </c>
      <c r="O665" s="43">
        <f>VLOOKUP(Tabla1[[#This Row],[PAGO DIA]],DIAS!A:E,5,0)</f>
        <v>46171</v>
      </c>
      <c r="P665" s="6">
        <v>0</v>
      </c>
      <c r="Q665" s="43">
        <f>VLOOKUP(Tabla1[[#This Row],[PAGO DIA]],DIAS!A:F,6,0)</f>
        <v>46203</v>
      </c>
      <c r="R665" s="6">
        <v>0</v>
      </c>
      <c r="S665" s="43">
        <f>VLOOKUP(Tabla1[[#This Row],[PAGO DIA]],DIAS!A:G,7,0)</f>
        <v>46234</v>
      </c>
      <c r="T665" s="6">
        <v>0</v>
      </c>
      <c r="U665" s="43">
        <f>VLOOKUP(Tabla1[[#This Row],[PAGO DIA]],DIAS!A:H,8,0)</f>
        <v>46265</v>
      </c>
      <c r="V665" s="6">
        <v>0</v>
      </c>
      <c r="W665" s="43">
        <f>VLOOKUP(Tabla1[[#This Row],[PAGO DIA]],DIAS!A:I,9,0)</f>
        <v>46295</v>
      </c>
      <c r="X665" s="6">
        <v>0</v>
      </c>
      <c r="Y665" s="43">
        <f>VLOOKUP(Tabla1[[#This Row],[PAGO DIA]],DIAS!A:J,10,0)</f>
        <v>46325</v>
      </c>
      <c r="Z665" s="6">
        <v>0</v>
      </c>
      <c r="AA665" s="43">
        <f>VLOOKUP(Tabla1[[#This Row],[PAGO DIA]],DIAS!A:K,11,0)</f>
        <v>46356</v>
      </c>
      <c r="AB665" s="6">
        <v>0</v>
      </c>
      <c r="AC665" s="43">
        <f>VLOOKUP(Tabla1[[#This Row],[PAGO DIA]],DIAS!A:M,12,0)</f>
        <v>46386</v>
      </c>
      <c r="AD6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6" spans="1:30">
      <c r="A666" s="3">
        <v>11286</v>
      </c>
      <c r="B666" s="3" t="s">
        <v>544</v>
      </c>
      <c r="C666" s="3" t="s">
        <v>505</v>
      </c>
      <c r="D666" s="3" t="s">
        <v>545</v>
      </c>
      <c r="E666" s="3" t="s">
        <v>600</v>
      </c>
      <c r="F666" s="42" t="s">
        <v>631</v>
      </c>
      <c r="G666" s="3" t="s">
        <v>1295</v>
      </c>
      <c r="H666" s="6">
        <v>0</v>
      </c>
      <c r="I666" s="41">
        <f>VLOOKUP(Tabla1[[#This Row],[PAGO DIA]],DIAS!A:B,2,0)</f>
        <v>46080</v>
      </c>
      <c r="J666" s="6">
        <v>0</v>
      </c>
      <c r="K666" s="43">
        <f>VLOOKUP(Tabla1[[#This Row],[PAGO DIA]],DIAS!A:C,3,0)</f>
        <v>46112</v>
      </c>
      <c r="L666" s="6">
        <v>0</v>
      </c>
      <c r="M666" s="41">
        <f>VLOOKUP(Tabla1[[#This Row],[PAGO DIA]],DIAS!A:D,4,0)</f>
        <v>46142</v>
      </c>
      <c r="N666" s="6">
        <v>0</v>
      </c>
      <c r="O666" s="43">
        <f>VLOOKUP(Tabla1[[#This Row],[PAGO DIA]],DIAS!A:E,5,0)</f>
        <v>46171</v>
      </c>
      <c r="P666" s="6">
        <v>0</v>
      </c>
      <c r="Q666" s="43">
        <f>VLOOKUP(Tabla1[[#This Row],[PAGO DIA]],DIAS!A:F,6,0)</f>
        <v>46203</v>
      </c>
      <c r="R666" s="6">
        <v>0</v>
      </c>
      <c r="S666" s="43">
        <f>VLOOKUP(Tabla1[[#This Row],[PAGO DIA]],DIAS!A:G,7,0)</f>
        <v>46234</v>
      </c>
      <c r="T666" s="6">
        <v>0</v>
      </c>
      <c r="U666" s="43">
        <f>VLOOKUP(Tabla1[[#This Row],[PAGO DIA]],DIAS!A:H,8,0)</f>
        <v>46265</v>
      </c>
      <c r="V666" s="6">
        <v>0</v>
      </c>
      <c r="W666" s="43">
        <f>VLOOKUP(Tabla1[[#This Row],[PAGO DIA]],DIAS!A:I,9,0)</f>
        <v>46295</v>
      </c>
      <c r="X666" s="6">
        <v>0</v>
      </c>
      <c r="Y666" s="43">
        <f>VLOOKUP(Tabla1[[#This Row],[PAGO DIA]],DIAS!A:J,10,0)</f>
        <v>46325</v>
      </c>
      <c r="Z666" s="6">
        <v>0</v>
      </c>
      <c r="AA666" s="43">
        <f>VLOOKUP(Tabla1[[#This Row],[PAGO DIA]],DIAS!A:K,11,0)</f>
        <v>46356</v>
      </c>
      <c r="AB666" s="6">
        <v>0</v>
      </c>
      <c r="AC666" s="43">
        <f>VLOOKUP(Tabla1[[#This Row],[PAGO DIA]],DIAS!A:M,12,0)</f>
        <v>46386</v>
      </c>
      <c r="AD6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7" spans="1:30">
      <c r="A667" s="3">
        <v>12033</v>
      </c>
      <c r="B667" s="3" t="s">
        <v>544</v>
      </c>
      <c r="C667" s="3" t="s">
        <v>505</v>
      </c>
      <c r="D667" s="3" t="s">
        <v>1241</v>
      </c>
      <c r="E667" s="3" t="s">
        <v>1296</v>
      </c>
      <c r="F667" s="42" t="s">
        <v>631</v>
      </c>
      <c r="G667" s="3" t="s">
        <v>1297</v>
      </c>
      <c r="H667" s="6">
        <v>0</v>
      </c>
      <c r="I667" s="41">
        <f>VLOOKUP(Tabla1[[#This Row],[PAGO DIA]],DIAS!A:B,2,0)</f>
        <v>46080</v>
      </c>
      <c r="J667" s="6">
        <v>0</v>
      </c>
      <c r="K667" s="43">
        <f>VLOOKUP(Tabla1[[#This Row],[PAGO DIA]],DIAS!A:C,3,0)</f>
        <v>46112</v>
      </c>
      <c r="L667" s="6">
        <v>0</v>
      </c>
      <c r="M667" s="41">
        <f>VLOOKUP(Tabla1[[#This Row],[PAGO DIA]],DIAS!A:D,4,0)</f>
        <v>46142</v>
      </c>
      <c r="N667" s="6">
        <v>0</v>
      </c>
      <c r="O667" s="43">
        <f>VLOOKUP(Tabla1[[#This Row],[PAGO DIA]],DIAS!A:E,5,0)</f>
        <v>46171</v>
      </c>
      <c r="P667" s="6">
        <v>0</v>
      </c>
      <c r="Q667" s="43">
        <f>VLOOKUP(Tabla1[[#This Row],[PAGO DIA]],DIAS!A:F,6,0)</f>
        <v>46203</v>
      </c>
      <c r="R667" s="6">
        <v>0</v>
      </c>
      <c r="S667" s="43">
        <f>VLOOKUP(Tabla1[[#This Row],[PAGO DIA]],DIAS!A:G,7,0)</f>
        <v>46234</v>
      </c>
      <c r="T667" s="6">
        <v>0</v>
      </c>
      <c r="U667" s="43">
        <f>VLOOKUP(Tabla1[[#This Row],[PAGO DIA]],DIAS!A:H,8,0)</f>
        <v>46265</v>
      </c>
      <c r="V667" s="6">
        <v>0</v>
      </c>
      <c r="W667" s="43">
        <f>VLOOKUP(Tabla1[[#This Row],[PAGO DIA]],DIAS!A:I,9,0)</f>
        <v>46295</v>
      </c>
      <c r="X667" s="6">
        <v>0</v>
      </c>
      <c r="Y667" s="43">
        <f>VLOOKUP(Tabla1[[#This Row],[PAGO DIA]],DIAS!A:J,10,0)</f>
        <v>46325</v>
      </c>
      <c r="Z667" s="6">
        <v>0</v>
      </c>
      <c r="AA667" s="43">
        <f>VLOOKUP(Tabla1[[#This Row],[PAGO DIA]],DIAS!A:K,11,0)</f>
        <v>46356</v>
      </c>
      <c r="AB667" s="6">
        <v>0</v>
      </c>
      <c r="AC667" s="43">
        <f>VLOOKUP(Tabla1[[#This Row],[PAGO DIA]],DIAS!A:M,12,0)</f>
        <v>46386</v>
      </c>
      <c r="AD6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8" spans="1:30">
      <c r="A668" s="3">
        <v>10981</v>
      </c>
      <c r="B668" s="3" t="s">
        <v>544</v>
      </c>
      <c r="C668" s="3" t="s">
        <v>505</v>
      </c>
      <c r="D668" s="3" t="s">
        <v>1193</v>
      </c>
      <c r="E668" s="3" t="s">
        <v>1298</v>
      </c>
      <c r="F668" s="42" t="s">
        <v>631</v>
      </c>
      <c r="G668" s="3"/>
      <c r="H668" s="6">
        <v>0</v>
      </c>
      <c r="I668" s="41">
        <f>VLOOKUP(Tabla1[[#This Row],[PAGO DIA]],DIAS!A:B,2,0)</f>
        <v>46080</v>
      </c>
      <c r="J668" s="6">
        <v>0</v>
      </c>
      <c r="K668" s="43">
        <f>VLOOKUP(Tabla1[[#This Row],[PAGO DIA]],DIAS!A:C,3,0)</f>
        <v>46112</v>
      </c>
      <c r="L668" s="6">
        <v>0</v>
      </c>
      <c r="M668" s="41">
        <f>VLOOKUP(Tabla1[[#This Row],[PAGO DIA]],DIAS!A:D,4,0)</f>
        <v>46142</v>
      </c>
      <c r="N668" s="6">
        <v>0</v>
      </c>
      <c r="O668" s="43">
        <f>VLOOKUP(Tabla1[[#This Row],[PAGO DIA]],DIAS!A:E,5,0)</f>
        <v>46171</v>
      </c>
      <c r="P668" s="6">
        <v>0</v>
      </c>
      <c r="Q668" s="43">
        <f>VLOOKUP(Tabla1[[#This Row],[PAGO DIA]],DIAS!A:F,6,0)</f>
        <v>46203</v>
      </c>
      <c r="R668" s="6">
        <v>0</v>
      </c>
      <c r="S668" s="43">
        <f>VLOOKUP(Tabla1[[#This Row],[PAGO DIA]],DIAS!A:G,7,0)</f>
        <v>46234</v>
      </c>
      <c r="T668" s="6">
        <v>0</v>
      </c>
      <c r="U668" s="43">
        <f>VLOOKUP(Tabla1[[#This Row],[PAGO DIA]],DIAS!A:H,8,0)</f>
        <v>46265</v>
      </c>
      <c r="V668" s="6">
        <v>0</v>
      </c>
      <c r="W668" s="43">
        <f>VLOOKUP(Tabla1[[#This Row],[PAGO DIA]],DIAS!A:I,9,0)</f>
        <v>46295</v>
      </c>
      <c r="X668" s="6">
        <v>0</v>
      </c>
      <c r="Y668" s="43">
        <f>VLOOKUP(Tabla1[[#This Row],[PAGO DIA]],DIAS!A:J,10,0)</f>
        <v>46325</v>
      </c>
      <c r="Z668" s="6">
        <v>0</v>
      </c>
      <c r="AA668" s="43">
        <f>VLOOKUP(Tabla1[[#This Row],[PAGO DIA]],DIAS!A:K,11,0)</f>
        <v>46356</v>
      </c>
      <c r="AB668" s="6">
        <v>0</v>
      </c>
      <c r="AC668" s="43">
        <f>VLOOKUP(Tabla1[[#This Row],[PAGO DIA]],DIAS!A:M,12,0)</f>
        <v>46386</v>
      </c>
      <c r="AD6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69" spans="1:30">
      <c r="A669" s="3">
        <v>11193</v>
      </c>
      <c r="B669" s="3" t="s">
        <v>544</v>
      </c>
      <c r="C669" s="3" t="s">
        <v>505</v>
      </c>
      <c r="D669" s="3" t="s">
        <v>1193</v>
      </c>
      <c r="E669" s="3" t="s">
        <v>1298</v>
      </c>
      <c r="F669" s="42" t="s">
        <v>631</v>
      </c>
      <c r="G669" s="3" t="s">
        <v>1297</v>
      </c>
      <c r="H669" s="6">
        <v>0</v>
      </c>
      <c r="I669" s="41">
        <f>VLOOKUP(Tabla1[[#This Row],[PAGO DIA]],DIAS!A:B,2,0)</f>
        <v>46080</v>
      </c>
      <c r="J669" s="6">
        <v>0</v>
      </c>
      <c r="K669" s="43">
        <f>VLOOKUP(Tabla1[[#This Row],[PAGO DIA]],DIAS!A:C,3,0)</f>
        <v>46112</v>
      </c>
      <c r="L669" s="6">
        <v>0</v>
      </c>
      <c r="M669" s="41">
        <f>VLOOKUP(Tabla1[[#This Row],[PAGO DIA]],DIAS!A:D,4,0)</f>
        <v>46142</v>
      </c>
      <c r="N669" s="6">
        <v>0</v>
      </c>
      <c r="O669" s="43">
        <f>VLOOKUP(Tabla1[[#This Row],[PAGO DIA]],DIAS!A:E,5,0)</f>
        <v>46171</v>
      </c>
      <c r="P669" s="6">
        <v>0</v>
      </c>
      <c r="Q669" s="43">
        <f>VLOOKUP(Tabla1[[#This Row],[PAGO DIA]],DIAS!A:F,6,0)</f>
        <v>46203</v>
      </c>
      <c r="R669" s="6">
        <v>0</v>
      </c>
      <c r="S669" s="43">
        <f>VLOOKUP(Tabla1[[#This Row],[PAGO DIA]],DIAS!A:G,7,0)</f>
        <v>46234</v>
      </c>
      <c r="T669" s="6">
        <v>0</v>
      </c>
      <c r="U669" s="43">
        <f>VLOOKUP(Tabla1[[#This Row],[PAGO DIA]],DIAS!A:H,8,0)</f>
        <v>46265</v>
      </c>
      <c r="V669" s="6">
        <v>0</v>
      </c>
      <c r="W669" s="43">
        <f>VLOOKUP(Tabla1[[#This Row],[PAGO DIA]],DIAS!A:I,9,0)</f>
        <v>46295</v>
      </c>
      <c r="X669" s="6">
        <v>0</v>
      </c>
      <c r="Y669" s="43">
        <f>VLOOKUP(Tabla1[[#This Row],[PAGO DIA]],DIAS!A:J,10,0)</f>
        <v>46325</v>
      </c>
      <c r="Z669" s="6">
        <v>0</v>
      </c>
      <c r="AA669" s="43">
        <f>VLOOKUP(Tabla1[[#This Row],[PAGO DIA]],DIAS!A:K,11,0)</f>
        <v>46356</v>
      </c>
      <c r="AB669" s="6">
        <v>0</v>
      </c>
      <c r="AC669" s="43">
        <f>VLOOKUP(Tabla1[[#This Row],[PAGO DIA]],DIAS!A:M,12,0)</f>
        <v>46386</v>
      </c>
      <c r="AD6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0" spans="1:30">
      <c r="A670" s="3">
        <v>12810</v>
      </c>
      <c r="B670" s="3" t="s">
        <v>544</v>
      </c>
      <c r="C670" s="3" t="s">
        <v>505</v>
      </c>
      <c r="D670" s="3" t="s">
        <v>545</v>
      </c>
      <c r="E670" s="3" t="s">
        <v>1299</v>
      </c>
      <c r="F670" s="42" t="s">
        <v>631</v>
      </c>
      <c r="G670" s="3" t="s">
        <v>1300</v>
      </c>
      <c r="H670" s="6">
        <v>0</v>
      </c>
      <c r="I670" s="41">
        <f>VLOOKUP(Tabla1[[#This Row],[PAGO DIA]],DIAS!A:B,2,0)</f>
        <v>46080</v>
      </c>
      <c r="J670" s="6">
        <v>0</v>
      </c>
      <c r="K670" s="43">
        <f>VLOOKUP(Tabla1[[#This Row],[PAGO DIA]],DIAS!A:C,3,0)</f>
        <v>46112</v>
      </c>
      <c r="L670" s="6">
        <v>0</v>
      </c>
      <c r="M670" s="41">
        <f>VLOOKUP(Tabla1[[#This Row],[PAGO DIA]],DIAS!A:D,4,0)</f>
        <v>46142</v>
      </c>
      <c r="N670" s="6">
        <v>0</v>
      </c>
      <c r="O670" s="43">
        <f>VLOOKUP(Tabla1[[#This Row],[PAGO DIA]],DIAS!A:E,5,0)</f>
        <v>46171</v>
      </c>
      <c r="P670" s="6">
        <v>0</v>
      </c>
      <c r="Q670" s="43">
        <f>VLOOKUP(Tabla1[[#This Row],[PAGO DIA]],DIAS!A:F,6,0)</f>
        <v>46203</v>
      </c>
      <c r="R670" s="6">
        <v>0</v>
      </c>
      <c r="S670" s="43">
        <f>VLOOKUP(Tabla1[[#This Row],[PAGO DIA]],DIAS!A:G,7,0)</f>
        <v>46234</v>
      </c>
      <c r="T670" s="6">
        <v>0</v>
      </c>
      <c r="U670" s="43">
        <f>VLOOKUP(Tabla1[[#This Row],[PAGO DIA]],DIAS!A:H,8,0)</f>
        <v>46265</v>
      </c>
      <c r="V670" s="6">
        <v>0</v>
      </c>
      <c r="W670" s="43">
        <f>VLOOKUP(Tabla1[[#This Row],[PAGO DIA]],DIAS!A:I,9,0)</f>
        <v>46295</v>
      </c>
      <c r="X670" s="6">
        <v>0</v>
      </c>
      <c r="Y670" s="43">
        <f>VLOOKUP(Tabla1[[#This Row],[PAGO DIA]],DIAS!A:J,10,0)</f>
        <v>46325</v>
      </c>
      <c r="Z670" s="6">
        <v>0</v>
      </c>
      <c r="AA670" s="43">
        <f>VLOOKUP(Tabla1[[#This Row],[PAGO DIA]],DIAS!A:K,11,0)</f>
        <v>46356</v>
      </c>
      <c r="AB670" s="6">
        <v>0</v>
      </c>
      <c r="AC670" s="43">
        <f>VLOOKUP(Tabla1[[#This Row],[PAGO DIA]],DIAS!A:M,12,0)</f>
        <v>46386</v>
      </c>
      <c r="AD6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1" spans="1:30">
      <c r="A671" s="3">
        <v>12811</v>
      </c>
      <c r="B671" s="3" t="s">
        <v>544</v>
      </c>
      <c r="C671" s="3" t="s">
        <v>505</v>
      </c>
      <c r="D671" s="3" t="s">
        <v>545</v>
      </c>
      <c r="E671" s="3" t="s">
        <v>1299</v>
      </c>
      <c r="F671" s="42" t="s">
        <v>631</v>
      </c>
      <c r="G671" s="3" t="s">
        <v>1301</v>
      </c>
      <c r="H671" s="6">
        <v>0</v>
      </c>
      <c r="I671" s="41">
        <f>VLOOKUP(Tabla1[[#This Row],[PAGO DIA]],DIAS!A:B,2,0)</f>
        <v>46080</v>
      </c>
      <c r="J671" s="6">
        <v>0</v>
      </c>
      <c r="K671" s="43">
        <f>VLOOKUP(Tabla1[[#This Row],[PAGO DIA]],DIAS!A:C,3,0)</f>
        <v>46112</v>
      </c>
      <c r="L671" s="6">
        <v>0</v>
      </c>
      <c r="M671" s="41">
        <f>VLOOKUP(Tabla1[[#This Row],[PAGO DIA]],DIAS!A:D,4,0)</f>
        <v>46142</v>
      </c>
      <c r="N671" s="6">
        <v>0</v>
      </c>
      <c r="O671" s="43">
        <f>VLOOKUP(Tabla1[[#This Row],[PAGO DIA]],DIAS!A:E,5,0)</f>
        <v>46171</v>
      </c>
      <c r="P671" s="6">
        <v>0</v>
      </c>
      <c r="Q671" s="43">
        <f>VLOOKUP(Tabla1[[#This Row],[PAGO DIA]],DIAS!A:F,6,0)</f>
        <v>46203</v>
      </c>
      <c r="R671" s="6">
        <v>0</v>
      </c>
      <c r="S671" s="43">
        <f>VLOOKUP(Tabla1[[#This Row],[PAGO DIA]],DIAS!A:G,7,0)</f>
        <v>46234</v>
      </c>
      <c r="T671" s="6">
        <v>0</v>
      </c>
      <c r="U671" s="43">
        <f>VLOOKUP(Tabla1[[#This Row],[PAGO DIA]],DIAS!A:H,8,0)</f>
        <v>46265</v>
      </c>
      <c r="V671" s="6">
        <v>0</v>
      </c>
      <c r="W671" s="43">
        <f>VLOOKUP(Tabla1[[#This Row],[PAGO DIA]],DIAS!A:I,9,0)</f>
        <v>46295</v>
      </c>
      <c r="X671" s="6">
        <v>0</v>
      </c>
      <c r="Y671" s="43">
        <f>VLOOKUP(Tabla1[[#This Row],[PAGO DIA]],DIAS!A:J,10,0)</f>
        <v>46325</v>
      </c>
      <c r="Z671" s="6">
        <v>0</v>
      </c>
      <c r="AA671" s="43">
        <f>VLOOKUP(Tabla1[[#This Row],[PAGO DIA]],DIAS!A:K,11,0)</f>
        <v>46356</v>
      </c>
      <c r="AB671" s="6">
        <v>0</v>
      </c>
      <c r="AC671" s="43">
        <f>VLOOKUP(Tabla1[[#This Row],[PAGO DIA]],DIAS!A:M,12,0)</f>
        <v>46386</v>
      </c>
      <c r="AD6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2" spans="1:30">
      <c r="A672" s="3">
        <v>12813</v>
      </c>
      <c r="B672" s="3" t="s">
        <v>544</v>
      </c>
      <c r="C672" s="3" t="s">
        <v>505</v>
      </c>
      <c r="D672" s="3" t="s">
        <v>545</v>
      </c>
      <c r="E672" s="3" t="s">
        <v>1299</v>
      </c>
      <c r="F672" s="42" t="s">
        <v>631</v>
      </c>
      <c r="G672" s="3" t="s">
        <v>1302</v>
      </c>
      <c r="H672" s="6">
        <v>0</v>
      </c>
      <c r="I672" s="41">
        <f>VLOOKUP(Tabla1[[#This Row],[PAGO DIA]],DIAS!A:B,2,0)</f>
        <v>46080</v>
      </c>
      <c r="J672" s="6">
        <v>0</v>
      </c>
      <c r="K672" s="43">
        <f>VLOOKUP(Tabla1[[#This Row],[PAGO DIA]],DIAS!A:C,3,0)</f>
        <v>46112</v>
      </c>
      <c r="L672" s="6">
        <v>0</v>
      </c>
      <c r="M672" s="41">
        <f>VLOOKUP(Tabla1[[#This Row],[PAGO DIA]],DIAS!A:D,4,0)</f>
        <v>46142</v>
      </c>
      <c r="N672" s="6">
        <v>0</v>
      </c>
      <c r="O672" s="43">
        <f>VLOOKUP(Tabla1[[#This Row],[PAGO DIA]],DIAS!A:E,5,0)</f>
        <v>46171</v>
      </c>
      <c r="P672" s="6">
        <v>0</v>
      </c>
      <c r="Q672" s="43">
        <f>VLOOKUP(Tabla1[[#This Row],[PAGO DIA]],DIAS!A:F,6,0)</f>
        <v>46203</v>
      </c>
      <c r="R672" s="6">
        <v>0</v>
      </c>
      <c r="S672" s="43">
        <f>VLOOKUP(Tabla1[[#This Row],[PAGO DIA]],DIAS!A:G,7,0)</f>
        <v>46234</v>
      </c>
      <c r="T672" s="6">
        <v>0</v>
      </c>
      <c r="U672" s="43">
        <f>VLOOKUP(Tabla1[[#This Row],[PAGO DIA]],DIAS!A:H,8,0)</f>
        <v>46265</v>
      </c>
      <c r="V672" s="6">
        <v>0</v>
      </c>
      <c r="W672" s="43">
        <f>VLOOKUP(Tabla1[[#This Row],[PAGO DIA]],DIAS!A:I,9,0)</f>
        <v>46295</v>
      </c>
      <c r="X672" s="6">
        <v>0</v>
      </c>
      <c r="Y672" s="43">
        <f>VLOOKUP(Tabla1[[#This Row],[PAGO DIA]],DIAS!A:J,10,0)</f>
        <v>46325</v>
      </c>
      <c r="Z672" s="6">
        <v>0</v>
      </c>
      <c r="AA672" s="43">
        <f>VLOOKUP(Tabla1[[#This Row],[PAGO DIA]],DIAS!A:K,11,0)</f>
        <v>46356</v>
      </c>
      <c r="AB672" s="6">
        <v>0</v>
      </c>
      <c r="AC672" s="43">
        <f>VLOOKUP(Tabla1[[#This Row],[PAGO DIA]],DIAS!A:M,12,0)</f>
        <v>46386</v>
      </c>
      <c r="AD6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3" spans="1:30">
      <c r="A673" s="3">
        <v>12832</v>
      </c>
      <c r="B673" s="3" t="s">
        <v>544</v>
      </c>
      <c r="C673" s="3" t="s">
        <v>505</v>
      </c>
      <c r="D673" s="3" t="s">
        <v>545</v>
      </c>
      <c r="E673" s="3" t="s">
        <v>1299</v>
      </c>
      <c r="F673" s="42" t="s">
        <v>631</v>
      </c>
      <c r="G673" s="3" t="s">
        <v>1303</v>
      </c>
      <c r="H673" s="6">
        <v>0</v>
      </c>
      <c r="I673" s="41">
        <f>VLOOKUP(Tabla1[[#This Row],[PAGO DIA]],DIAS!A:B,2,0)</f>
        <v>46080</v>
      </c>
      <c r="J673" s="6">
        <v>0</v>
      </c>
      <c r="K673" s="43">
        <f>VLOOKUP(Tabla1[[#This Row],[PAGO DIA]],DIAS!A:C,3,0)</f>
        <v>46112</v>
      </c>
      <c r="L673" s="6">
        <v>0</v>
      </c>
      <c r="M673" s="41">
        <f>VLOOKUP(Tabla1[[#This Row],[PAGO DIA]],DIAS!A:D,4,0)</f>
        <v>46142</v>
      </c>
      <c r="N673" s="6">
        <v>0</v>
      </c>
      <c r="O673" s="43">
        <f>VLOOKUP(Tabla1[[#This Row],[PAGO DIA]],DIAS!A:E,5,0)</f>
        <v>46171</v>
      </c>
      <c r="P673" s="6">
        <v>0</v>
      </c>
      <c r="Q673" s="43">
        <f>VLOOKUP(Tabla1[[#This Row],[PAGO DIA]],DIAS!A:F,6,0)</f>
        <v>46203</v>
      </c>
      <c r="R673" s="6">
        <v>0</v>
      </c>
      <c r="S673" s="43">
        <f>VLOOKUP(Tabla1[[#This Row],[PAGO DIA]],DIAS!A:G,7,0)</f>
        <v>46234</v>
      </c>
      <c r="T673" s="6">
        <v>0</v>
      </c>
      <c r="U673" s="43">
        <f>VLOOKUP(Tabla1[[#This Row],[PAGO DIA]],DIAS!A:H,8,0)</f>
        <v>46265</v>
      </c>
      <c r="V673" s="6">
        <v>0</v>
      </c>
      <c r="W673" s="43">
        <f>VLOOKUP(Tabla1[[#This Row],[PAGO DIA]],DIAS!A:I,9,0)</f>
        <v>46295</v>
      </c>
      <c r="X673" s="6">
        <v>0</v>
      </c>
      <c r="Y673" s="43">
        <f>VLOOKUP(Tabla1[[#This Row],[PAGO DIA]],DIAS!A:J,10,0)</f>
        <v>46325</v>
      </c>
      <c r="Z673" s="6">
        <v>0</v>
      </c>
      <c r="AA673" s="43">
        <f>VLOOKUP(Tabla1[[#This Row],[PAGO DIA]],DIAS!A:K,11,0)</f>
        <v>46356</v>
      </c>
      <c r="AB673" s="6">
        <v>0</v>
      </c>
      <c r="AC673" s="43">
        <f>VLOOKUP(Tabla1[[#This Row],[PAGO DIA]],DIAS!A:M,12,0)</f>
        <v>46386</v>
      </c>
      <c r="AD6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4" spans="1:30">
      <c r="A674" s="3">
        <v>12833</v>
      </c>
      <c r="B674" s="3" t="s">
        <v>544</v>
      </c>
      <c r="C674" s="3" t="s">
        <v>505</v>
      </c>
      <c r="D674" s="3" t="s">
        <v>545</v>
      </c>
      <c r="E674" s="3" t="s">
        <v>1299</v>
      </c>
      <c r="F674" s="42" t="s">
        <v>631</v>
      </c>
      <c r="G674" s="3" t="s">
        <v>1304</v>
      </c>
      <c r="H674" s="6">
        <v>0</v>
      </c>
      <c r="I674" s="41">
        <f>VLOOKUP(Tabla1[[#This Row],[PAGO DIA]],DIAS!A:B,2,0)</f>
        <v>46080</v>
      </c>
      <c r="J674" s="6">
        <v>0</v>
      </c>
      <c r="K674" s="43">
        <f>VLOOKUP(Tabla1[[#This Row],[PAGO DIA]],DIAS!A:C,3,0)</f>
        <v>46112</v>
      </c>
      <c r="L674" s="6">
        <v>0</v>
      </c>
      <c r="M674" s="41">
        <f>VLOOKUP(Tabla1[[#This Row],[PAGO DIA]],DIAS!A:D,4,0)</f>
        <v>46142</v>
      </c>
      <c r="N674" s="6">
        <v>0</v>
      </c>
      <c r="O674" s="43">
        <f>VLOOKUP(Tabla1[[#This Row],[PAGO DIA]],DIAS!A:E,5,0)</f>
        <v>46171</v>
      </c>
      <c r="P674" s="6">
        <v>0</v>
      </c>
      <c r="Q674" s="43">
        <f>VLOOKUP(Tabla1[[#This Row],[PAGO DIA]],DIAS!A:F,6,0)</f>
        <v>46203</v>
      </c>
      <c r="R674" s="6">
        <v>0</v>
      </c>
      <c r="S674" s="43">
        <f>VLOOKUP(Tabla1[[#This Row],[PAGO DIA]],DIAS!A:G,7,0)</f>
        <v>46234</v>
      </c>
      <c r="T674" s="6">
        <v>0</v>
      </c>
      <c r="U674" s="43">
        <f>VLOOKUP(Tabla1[[#This Row],[PAGO DIA]],DIAS!A:H,8,0)</f>
        <v>46265</v>
      </c>
      <c r="V674" s="6">
        <v>0</v>
      </c>
      <c r="W674" s="43">
        <f>VLOOKUP(Tabla1[[#This Row],[PAGO DIA]],DIAS!A:I,9,0)</f>
        <v>46295</v>
      </c>
      <c r="X674" s="6">
        <v>0</v>
      </c>
      <c r="Y674" s="43">
        <f>VLOOKUP(Tabla1[[#This Row],[PAGO DIA]],DIAS!A:J,10,0)</f>
        <v>46325</v>
      </c>
      <c r="Z674" s="6">
        <v>0</v>
      </c>
      <c r="AA674" s="43">
        <f>VLOOKUP(Tabla1[[#This Row],[PAGO DIA]],DIAS!A:K,11,0)</f>
        <v>46356</v>
      </c>
      <c r="AB674" s="6">
        <v>0</v>
      </c>
      <c r="AC674" s="43">
        <f>VLOOKUP(Tabla1[[#This Row],[PAGO DIA]],DIAS!A:M,12,0)</f>
        <v>46386</v>
      </c>
      <c r="AD6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5" spans="1:30">
      <c r="A675" s="3">
        <v>11036</v>
      </c>
      <c r="B675" s="3" t="s">
        <v>544</v>
      </c>
      <c r="C675" s="3" t="s">
        <v>505</v>
      </c>
      <c r="D675" s="3" t="s">
        <v>545</v>
      </c>
      <c r="E675" s="3" t="s">
        <v>1305</v>
      </c>
      <c r="F675" s="42" t="s">
        <v>631</v>
      </c>
      <c r="G675" s="3"/>
      <c r="H675" s="6">
        <v>0</v>
      </c>
      <c r="I675" s="41">
        <f>VLOOKUP(Tabla1[[#This Row],[PAGO DIA]],DIAS!A:B,2,0)</f>
        <v>46080</v>
      </c>
      <c r="J675" s="6">
        <v>0</v>
      </c>
      <c r="K675" s="43">
        <f>VLOOKUP(Tabla1[[#This Row],[PAGO DIA]],DIAS!A:C,3,0)</f>
        <v>46112</v>
      </c>
      <c r="L675" s="6">
        <v>0</v>
      </c>
      <c r="M675" s="41">
        <f>VLOOKUP(Tabla1[[#This Row],[PAGO DIA]],DIAS!A:D,4,0)</f>
        <v>46142</v>
      </c>
      <c r="N675" s="6">
        <v>0</v>
      </c>
      <c r="O675" s="43">
        <f>VLOOKUP(Tabla1[[#This Row],[PAGO DIA]],DIAS!A:E,5,0)</f>
        <v>46171</v>
      </c>
      <c r="P675" s="6">
        <v>0</v>
      </c>
      <c r="Q675" s="43">
        <f>VLOOKUP(Tabla1[[#This Row],[PAGO DIA]],DIAS!A:F,6,0)</f>
        <v>46203</v>
      </c>
      <c r="R675" s="6">
        <v>0</v>
      </c>
      <c r="S675" s="43">
        <f>VLOOKUP(Tabla1[[#This Row],[PAGO DIA]],DIAS!A:G,7,0)</f>
        <v>46234</v>
      </c>
      <c r="T675" s="6">
        <v>0</v>
      </c>
      <c r="U675" s="43">
        <f>VLOOKUP(Tabla1[[#This Row],[PAGO DIA]],DIAS!A:H,8,0)</f>
        <v>46265</v>
      </c>
      <c r="V675" s="6">
        <v>0</v>
      </c>
      <c r="W675" s="43">
        <f>VLOOKUP(Tabla1[[#This Row],[PAGO DIA]],DIAS!A:I,9,0)</f>
        <v>46295</v>
      </c>
      <c r="X675" s="6">
        <v>0</v>
      </c>
      <c r="Y675" s="43">
        <f>VLOOKUP(Tabla1[[#This Row],[PAGO DIA]],DIAS!A:J,10,0)</f>
        <v>46325</v>
      </c>
      <c r="Z675" s="6">
        <v>0</v>
      </c>
      <c r="AA675" s="43">
        <f>VLOOKUP(Tabla1[[#This Row],[PAGO DIA]],DIAS!A:K,11,0)</f>
        <v>46356</v>
      </c>
      <c r="AB675" s="6">
        <v>0</v>
      </c>
      <c r="AC675" s="43">
        <f>VLOOKUP(Tabla1[[#This Row],[PAGO DIA]],DIAS!A:M,12,0)</f>
        <v>46386</v>
      </c>
      <c r="AD6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6" spans="1:30">
      <c r="A676" s="3">
        <v>11038</v>
      </c>
      <c r="B676" s="3" t="s">
        <v>544</v>
      </c>
      <c r="C676" s="3" t="s">
        <v>505</v>
      </c>
      <c r="D676" s="3" t="s">
        <v>545</v>
      </c>
      <c r="E676" s="3" t="s">
        <v>1305</v>
      </c>
      <c r="F676" s="42" t="s">
        <v>631</v>
      </c>
      <c r="G676" s="3"/>
      <c r="H676" s="6">
        <v>0</v>
      </c>
      <c r="I676" s="41">
        <f>VLOOKUP(Tabla1[[#This Row],[PAGO DIA]],DIAS!A:B,2,0)</f>
        <v>46080</v>
      </c>
      <c r="J676" s="6">
        <v>0</v>
      </c>
      <c r="K676" s="43">
        <f>VLOOKUP(Tabla1[[#This Row],[PAGO DIA]],DIAS!A:C,3,0)</f>
        <v>46112</v>
      </c>
      <c r="L676" s="6">
        <v>0</v>
      </c>
      <c r="M676" s="41">
        <f>VLOOKUP(Tabla1[[#This Row],[PAGO DIA]],DIAS!A:D,4,0)</f>
        <v>46142</v>
      </c>
      <c r="N676" s="6">
        <v>0</v>
      </c>
      <c r="O676" s="43">
        <f>VLOOKUP(Tabla1[[#This Row],[PAGO DIA]],DIAS!A:E,5,0)</f>
        <v>46171</v>
      </c>
      <c r="P676" s="6">
        <v>0</v>
      </c>
      <c r="Q676" s="43">
        <f>VLOOKUP(Tabla1[[#This Row],[PAGO DIA]],DIAS!A:F,6,0)</f>
        <v>46203</v>
      </c>
      <c r="R676" s="6">
        <v>0</v>
      </c>
      <c r="S676" s="43">
        <f>VLOOKUP(Tabla1[[#This Row],[PAGO DIA]],DIAS!A:G,7,0)</f>
        <v>46234</v>
      </c>
      <c r="T676" s="6">
        <v>0</v>
      </c>
      <c r="U676" s="43">
        <f>VLOOKUP(Tabla1[[#This Row],[PAGO DIA]],DIAS!A:H,8,0)</f>
        <v>46265</v>
      </c>
      <c r="V676" s="6">
        <v>0</v>
      </c>
      <c r="W676" s="43">
        <f>VLOOKUP(Tabla1[[#This Row],[PAGO DIA]],DIAS!A:I,9,0)</f>
        <v>46295</v>
      </c>
      <c r="X676" s="6">
        <v>0</v>
      </c>
      <c r="Y676" s="43">
        <f>VLOOKUP(Tabla1[[#This Row],[PAGO DIA]],DIAS!A:J,10,0)</f>
        <v>46325</v>
      </c>
      <c r="Z676" s="6">
        <v>0</v>
      </c>
      <c r="AA676" s="43">
        <f>VLOOKUP(Tabla1[[#This Row],[PAGO DIA]],DIAS!A:K,11,0)</f>
        <v>46356</v>
      </c>
      <c r="AB676" s="6">
        <v>0</v>
      </c>
      <c r="AC676" s="43">
        <f>VLOOKUP(Tabla1[[#This Row],[PAGO DIA]],DIAS!A:M,12,0)</f>
        <v>46386</v>
      </c>
      <c r="AD6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7" spans="1:30">
      <c r="A677" s="3">
        <v>11053</v>
      </c>
      <c r="B677" s="3" t="s">
        <v>544</v>
      </c>
      <c r="C677" s="3" t="s">
        <v>505</v>
      </c>
      <c r="D677" s="3" t="s">
        <v>545</v>
      </c>
      <c r="E677" s="3" t="s">
        <v>1305</v>
      </c>
      <c r="F677" s="42" t="s">
        <v>631</v>
      </c>
      <c r="G677" s="3"/>
      <c r="H677" s="6">
        <v>0</v>
      </c>
      <c r="I677" s="41">
        <f>VLOOKUP(Tabla1[[#This Row],[PAGO DIA]],DIAS!A:B,2,0)</f>
        <v>46080</v>
      </c>
      <c r="J677" s="6">
        <v>0</v>
      </c>
      <c r="K677" s="43">
        <f>VLOOKUP(Tabla1[[#This Row],[PAGO DIA]],DIAS!A:C,3,0)</f>
        <v>46112</v>
      </c>
      <c r="L677" s="6">
        <v>0</v>
      </c>
      <c r="M677" s="41">
        <f>VLOOKUP(Tabla1[[#This Row],[PAGO DIA]],DIAS!A:D,4,0)</f>
        <v>46142</v>
      </c>
      <c r="N677" s="6">
        <v>0</v>
      </c>
      <c r="O677" s="43">
        <f>VLOOKUP(Tabla1[[#This Row],[PAGO DIA]],DIAS!A:E,5,0)</f>
        <v>46171</v>
      </c>
      <c r="P677" s="6">
        <v>0</v>
      </c>
      <c r="Q677" s="43">
        <f>VLOOKUP(Tabla1[[#This Row],[PAGO DIA]],DIAS!A:F,6,0)</f>
        <v>46203</v>
      </c>
      <c r="R677" s="6">
        <v>0</v>
      </c>
      <c r="S677" s="43">
        <f>VLOOKUP(Tabla1[[#This Row],[PAGO DIA]],DIAS!A:G,7,0)</f>
        <v>46234</v>
      </c>
      <c r="T677" s="6">
        <v>0</v>
      </c>
      <c r="U677" s="43">
        <f>VLOOKUP(Tabla1[[#This Row],[PAGO DIA]],DIAS!A:H,8,0)</f>
        <v>46265</v>
      </c>
      <c r="V677" s="6">
        <v>0</v>
      </c>
      <c r="W677" s="43">
        <f>VLOOKUP(Tabla1[[#This Row],[PAGO DIA]],DIAS!A:I,9,0)</f>
        <v>46295</v>
      </c>
      <c r="X677" s="6">
        <v>0</v>
      </c>
      <c r="Y677" s="43">
        <f>VLOOKUP(Tabla1[[#This Row],[PAGO DIA]],DIAS!A:J,10,0)</f>
        <v>46325</v>
      </c>
      <c r="Z677" s="6">
        <v>0</v>
      </c>
      <c r="AA677" s="43">
        <f>VLOOKUP(Tabla1[[#This Row],[PAGO DIA]],DIAS!A:K,11,0)</f>
        <v>46356</v>
      </c>
      <c r="AB677" s="6">
        <v>0</v>
      </c>
      <c r="AC677" s="43">
        <f>VLOOKUP(Tabla1[[#This Row],[PAGO DIA]],DIAS!A:M,12,0)</f>
        <v>46386</v>
      </c>
      <c r="AD6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8" spans="1:30">
      <c r="A678" s="3">
        <v>11271</v>
      </c>
      <c r="B678" s="3" t="s">
        <v>544</v>
      </c>
      <c r="C678" s="3" t="s">
        <v>505</v>
      </c>
      <c r="D678" s="3" t="s">
        <v>545</v>
      </c>
      <c r="E678" s="3" t="s">
        <v>1305</v>
      </c>
      <c r="F678" s="42" t="s">
        <v>631</v>
      </c>
      <c r="G678" s="3" t="s">
        <v>1306</v>
      </c>
      <c r="H678" s="6">
        <v>0</v>
      </c>
      <c r="I678" s="41">
        <f>VLOOKUP(Tabla1[[#This Row],[PAGO DIA]],DIAS!A:B,2,0)</f>
        <v>46080</v>
      </c>
      <c r="J678" s="6">
        <v>0</v>
      </c>
      <c r="K678" s="43">
        <f>VLOOKUP(Tabla1[[#This Row],[PAGO DIA]],DIAS!A:C,3,0)</f>
        <v>46112</v>
      </c>
      <c r="L678" s="6">
        <v>0</v>
      </c>
      <c r="M678" s="41">
        <f>VLOOKUP(Tabla1[[#This Row],[PAGO DIA]],DIAS!A:D,4,0)</f>
        <v>46142</v>
      </c>
      <c r="N678" s="6">
        <v>0</v>
      </c>
      <c r="O678" s="43">
        <f>VLOOKUP(Tabla1[[#This Row],[PAGO DIA]],DIAS!A:E,5,0)</f>
        <v>46171</v>
      </c>
      <c r="P678" s="6">
        <v>0</v>
      </c>
      <c r="Q678" s="43">
        <f>VLOOKUP(Tabla1[[#This Row],[PAGO DIA]],DIAS!A:F,6,0)</f>
        <v>46203</v>
      </c>
      <c r="R678" s="6">
        <v>0</v>
      </c>
      <c r="S678" s="43">
        <f>VLOOKUP(Tabla1[[#This Row],[PAGO DIA]],DIAS!A:G,7,0)</f>
        <v>46234</v>
      </c>
      <c r="T678" s="6">
        <v>0</v>
      </c>
      <c r="U678" s="43">
        <f>VLOOKUP(Tabla1[[#This Row],[PAGO DIA]],DIAS!A:H,8,0)</f>
        <v>46265</v>
      </c>
      <c r="V678" s="6">
        <v>0</v>
      </c>
      <c r="W678" s="43">
        <f>VLOOKUP(Tabla1[[#This Row],[PAGO DIA]],DIAS!A:I,9,0)</f>
        <v>46295</v>
      </c>
      <c r="X678" s="6">
        <v>0</v>
      </c>
      <c r="Y678" s="43">
        <f>VLOOKUP(Tabla1[[#This Row],[PAGO DIA]],DIAS!A:J,10,0)</f>
        <v>46325</v>
      </c>
      <c r="Z678" s="6">
        <v>0</v>
      </c>
      <c r="AA678" s="43">
        <f>VLOOKUP(Tabla1[[#This Row],[PAGO DIA]],DIAS!A:K,11,0)</f>
        <v>46356</v>
      </c>
      <c r="AB678" s="6">
        <v>0</v>
      </c>
      <c r="AC678" s="43">
        <f>VLOOKUP(Tabla1[[#This Row],[PAGO DIA]],DIAS!A:M,12,0)</f>
        <v>46386</v>
      </c>
      <c r="AD6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79" spans="1:30">
      <c r="A679" s="3">
        <v>11277</v>
      </c>
      <c r="B679" s="3" t="s">
        <v>544</v>
      </c>
      <c r="C679" s="3" t="s">
        <v>505</v>
      </c>
      <c r="D679" s="3" t="s">
        <v>545</v>
      </c>
      <c r="E679" s="3" t="s">
        <v>1305</v>
      </c>
      <c r="F679" s="42" t="s">
        <v>631</v>
      </c>
      <c r="G679" s="3" t="s">
        <v>1307</v>
      </c>
      <c r="H679" s="6">
        <v>0</v>
      </c>
      <c r="I679" s="41">
        <f>VLOOKUP(Tabla1[[#This Row],[PAGO DIA]],DIAS!A:B,2,0)</f>
        <v>46080</v>
      </c>
      <c r="J679" s="6">
        <v>0</v>
      </c>
      <c r="K679" s="43">
        <f>VLOOKUP(Tabla1[[#This Row],[PAGO DIA]],DIAS!A:C,3,0)</f>
        <v>46112</v>
      </c>
      <c r="L679" s="6">
        <v>0</v>
      </c>
      <c r="M679" s="41">
        <f>VLOOKUP(Tabla1[[#This Row],[PAGO DIA]],DIAS!A:D,4,0)</f>
        <v>46142</v>
      </c>
      <c r="N679" s="6">
        <v>0</v>
      </c>
      <c r="O679" s="43">
        <f>VLOOKUP(Tabla1[[#This Row],[PAGO DIA]],DIAS!A:E,5,0)</f>
        <v>46171</v>
      </c>
      <c r="P679" s="6">
        <v>0</v>
      </c>
      <c r="Q679" s="43">
        <f>VLOOKUP(Tabla1[[#This Row],[PAGO DIA]],DIAS!A:F,6,0)</f>
        <v>46203</v>
      </c>
      <c r="R679" s="6">
        <v>0</v>
      </c>
      <c r="S679" s="43">
        <f>VLOOKUP(Tabla1[[#This Row],[PAGO DIA]],DIAS!A:G,7,0)</f>
        <v>46234</v>
      </c>
      <c r="T679" s="6">
        <v>0</v>
      </c>
      <c r="U679" s="43">
        <f>VLOOKUP(Tabla1[[#This Row],[PAGO DIA]],DIAS!A:H,8,0)</f>
        <v>46265</v>
      </c>
      <c r="V679" s="6">
        <v>0</v>
      </c>
      <c r="W679" s="43">
        <f>VLOOKUP(Tabla1[[#This Row],[PAGO DIA]],DIAS!A:I,9,0)</f>
        <v>46295</v>
      </c>
      <c r="X679" s="6">
        <v>0</v>
      </c>
      <c r="Y679" s="43">
        <f>VLOOKUP(Tabla1[[#This Row],[PAGO DIA]],DIAS!A:J,10,0)</f>
        <v>46325</v>
      </c>
      <c r="Z679" s="6">
        <v>0</v>
      </c>
      <c r="AA679" s="43">
        <f>VLOOKUP(Tabla1[[#This Row],[PAGO DIA]],DIAS!A:K,11,0)</f>
        <v>46356</v>
      </c>
      <c r="AB679" s="6">
        <v>0</v>
      </c>
      <c r="AC679" s="43">
        <f>VLOOKUP(Tabla1[[#This Row],[PAGO DIA]],DIAS!A:M,12,0)</f>
        <v>46386</v>
      </c>
      <c r="AD6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0" spans="1:30">
      <c r="A680" s="3">
        <v>11297</v>
      </c>
      <c r="B680" s="3" t="s">
        <v>544</v>
      </c>
      <c r="C680" s="3" t="s">
        <v>505</v>
      </c>
      <c r="D680" s="3" t="s">
        <v>545</v>
      </c>
      <c r="E680" s="3" t="s">
        <v>1305</v>
      </c>
      <c r="F680" s="42" t="s">
        <v>631</v>
      </c>
      <c r="G680" s="3" t="s">
        <v>1308</v>
      </c>
      <c r="H680" s="6">
        <v>0</v>
      </c>
      <c r="I680" s="41">
        <f>VLOOKUP(Tabla1[[#This Row],[PAGO DIA]],DIAS!A:B,2,0)</f>
        <v>46080</v>
      </c>
      <c r="J680" s="6">
        <v>0</v>
      </c>
      <c r="K680" s="43">
        <f>VLOOKUP(Tabla1[[#This Row],[PAGO DIA]],DIAS!A:C,3,0)</f>
        <v>46112</v>
      </c>
      <c r="L680" s="6">
        <v>0</v>
      </c>
      <c r="M680" s="41">
        <f>VLOOKUP(Tabla1[[#This Row],[PAGO DIA]],DIAS!A:D,4,0)</f>
        <v>46142</v>
      </c>
      <c r="N680" s="6">
        <v>0</v>
      </c>
      <c r="O680" s="43">
        <f>VLOOKUP(Tabla1[[#This Row],[PAGO DIA]],DIAS!A:E,5,0)</f>
        <v>46171</v>
      </c>
      <c r="P680" s="6">
        <v>0</v>
      </c>
      <c r="Q680" s="43">
        <f>VLOOKUP(Tabla1[[#This Row],[PAGO DIA]],DIAS!A:F,6,0)</f>
        <v>46203</v>
      </c>
      <c r="R680" s="6">
        <v>0</v>
      </c>
      <c r="S680" s="43">
        <f>VLOOKUP(Tabla1[[#This Row],[PAGO DIA]],DIAS!A:G,7,0)</f>
        <v>46234</v>
      </c>
      <c r="T680" s="6">
        <v>0</v>
      </c>
      <c r="U680" s="43">
        <f>VLOOKUP(Tabla1[[#This Row],[PAGO DIA]],DIAS!A:H,8,0)</f>
        <v>46265</v>
      </c>
      <c r="V680" s="6">
        <v>0</v>
      </c>
      <c r="W680" s="43">
        <f>VLOOKUP(Tabla1[[#This Row],[PAGO DIA]],DIAS!A:I,9,0)</f>
        <v>46295</v>
      </c>
      <c r="X680" s="6">
        <v>0</v>
      </c>
      <c r="Y680" s="43">
        <f>VLOOKUP(Tabla1[[#This Row],[PAGO DIA]],DIAS!A:J,10,0)</f>
        <v>46325</v>
      </c>
      <c r="Z680" s="6">
        <v>0</v>
      </c>
      <c r="AA680" s="43">
        <f>VLOOKUP(Tabla1[[#This Row],[PAGO DIA]],DIAS!A:K,11,0)</f>
        <v>46356</v>
      </c>
      <c r="AB680" s="6">
        <v>0</v>
      </c>
      <c r="AC680" s="43">
        <f>VLOOKUP(Tabla1[[#This Row],[PAGO DIA]],DIAS!A:M,12,0)</f>
        <v>46386</v>
      </c>
      <c r="AD6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1" spans="1:30">
      <c r="A681" s="3">
        <v>11849</v>
      </c>
      <c r="B681" s="3" t="s">
        <v>544</v>
      </c>
      <c r="C681" s="3" t="s">
        <v>540</v>
      </c>
      <c r="D681" s="3" t="s">
        <v>545</v>
      </c>
      <c r="E681" s="3" t="s">
        <v>1305</v>
      </c>
      <c r="F681" s="42" t="s">
        <v>631</v>
      </c>
      <c r="G681" s="3" t="s">
        <v>1309</v>
      </c>
      <c r="H681" s="6">
        <v>0</v>
      </c>
      <c r="I681" s="41">
        <f>VLOOKUP(Tabla1[[#This Row],[PAGO DIA]],DIAS!A:B,2,0)</f>
        <v>46080</v>
      </c>
      <c r="J681" s="6">
        <v>0</v>
      </c>
      <c r="K681" s="43">
        <f>VLOOKUP(Tabla1[[#This Row],[PAGO DIA]],DIAS!A:C,3,0)</f>
        <v>46112</v>
      </c>
      <c r="L681" s="6">
        <v>0</v>
      </c>
      <c r="M681" s="41">
        <f>VLOOKUP(Tabla1[[#This Row],[PAGO DIA]],DIAS!A:D,4,0)</f>
        <v>46142</v>
      </c>
      <c r="N681" s="6">
        <v>0</v>
      </c>
      <c r="O681" s="43">
        <f>VLOOKUP(Tabla1[[#This Row],[PAGO DIA]],DIAS!A:E,5,0)</f>
        <v>46171</v>
      </c>
      <c r="P681" s="6">
        <v>0</v>
      </c>
      <c r="Q681" s="43">
        <f>VLOOKUP(Tabla1[[#This Row],[PAGO DIA]],DIAS!A:F,6,0)</f>
        <v>46203</v>
      </c>
      <c r="R681" s="6">
        <v>0</v>
      </c>
      <c r="S681" s="43">
        <f>VLOOKUP(Tabla1[[#This Row],[PAGO DIA]],DIAS!A:G,7,0)</f>
        <v>46234</v>
      </c>
      <c r="T681" s="6">
        <v>0</v>
      </c>
      <c r="U681" s="43">
        <f>VLOOKUP(Tabla1[[#This Row],[PAGO DIA]],DIAS!A:H,8,0)</f>
        <v>46265</v>
      </c>
      <c r="V681" s="6">
        <v>0</v>
      </c>
      <c r="W681" s="43">
        <f>VLOOKUP(Tabla1[[#This Row],[PAGO DIA]],DIAS!A:I,9,0)</f>
        <v>46295</v>
      </c>
      <c r="X681" s="6">
        <v>0</v>
      </c>
      <c r="Y681" s="43">
        <f>VLOOKUP(Tabla1[[#This Row],[PAGO DIA]],DIAS!A:J,10,0)</f>
        <v>46325</v>
      </c>
      <c r="Z681" s="6">
        <v>0</v>
      </c>
      <c r="AA681" s="43">
        <f>VLOOKUP(Tabla1[[#This Row],[PAGO DIA]],DIAS!A:K,11,0)</f>
        <v>46356</v>
      </c>
      <c r="AB681" s="6">
        <v>0</v>
      </c>
      <c r="AC681" s="43">
        <f>VLOOKUP(Tabla1[[#This Row],[PAGO DIA]],DIAS!A:M,12,0)</f>
        <v>46386</v>
      </c>
      <c r="AD6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2" spans="1:30">
      <c r="A682" s="3">
        <v>12031</v>
      </c>
      <c r="B682" s="3" t="s">
        <v>544</v>
      </c>
      <c r="C682" s="3" t="s">
        <v>505</v>
      </c>
      <c r="D682" s="3" t="s">
        <v>545</v>
      </c>
      <c r="E682" s="3" t="s">
        <v>1310</v>
      </c>
      <c r="F682" s="42" t="s">
        <v>631</v>
      </c>
      <c r="G682" s="3" t="s">
        <v>635</v>
      </c>
      <c r="H682" s="6">
        <v>0</v>
      </c>
      <c r="I682" s="41">
        <f>VLOOKUP(Tabla1[[#This Row],[PAGO DIA]],DIAS!A:B,2,0)</f>
        <v>46080</v>
      </c>
      <c r="J682" s="6">
        <v>0</v>
      </c>
      <c r="K682" s="43">
        <f>VLOOKUP(Tabla1[[#This Row],[PAGO DIA]],DIAS!A:C,3,0)</f>
        <v>46112</v>
      </c>
      <c r="L682" s="6">
        <v>0</v>
      </c>
      <c r="M682" s="41">
        <f>VLOOKUP(Tabla1[[#This Row],[PAGO DIA]],DIAS!A:D,4,0)</f>
        <v>46142</v>
      </c>
      <c r="N682" s="6">
        <v>0</v>
      </c>
      <c r="O682" s="43">
        <f>VLOOKUP(Tabla1[[#This Row],[PAGO DIA]],DIAS!A:E,5,0)</f>
        <v>46171</v>
      </c>
      <c r="P682" s="6">
        <v>0</v>
      </c>
      <c r="Q682" s="43">
        <f>VLOOKUP(Tabla1[[#This Row],[PAGO DIA]],DIAS!A:F,6,0)</f>
        <v>46203</v>
      </c>
      <c r="R682" s="6">
        <v>0</v>
      </c>
      <c r="S682" s="43">
        <f>VLOOKUP(Tabla1[[#This Row],[PAGO DIA]],DIAS!A:G,7,0)</f>
        <v>46234</v>
      </c>
      <c r="T682" s="6">
        <v>0</v>
      </c>
      <c r="U682" s="43">
        <f>VLOOKUP(Tabla1[[#This Row],[PAGO DIA]],DIAS!A:H,8,0)</f>
        <v>46265</v>
      </c>
      <c r="V682" s="6">
        <v>0</v>
      </c>
      <c r="W682" s="43">
        <f>VLOOKUP(Tabla1[[#This Row],[PAGO DIA]],DIAS!A:I,9,0)</f>
        <v>46295</v>
      </c>
      <c r="X682" s="6">
        <v>0</v>
      </c>
      <c r="Y682" s="43">
        <f>VLOOKUP(Tabla1[[#This Row],[PAGO DIA]],DIAS!A:J,10,0)</f>
        <v>46325</v>
      </c>
      <c r="Z682" s="6">
        <v>0</v>
      </c>
      <c r="AA682" s="43">
        <f>VLOOKUP(Tabla1[[#This Row],[PAGO DIA]],DIAS!A:K,11,0)</f>
        <v>46356</v>
      </c>
      <c r="AB682" s="6">
        <v>0</v>
      </c>
      <c r="AC682" s="43">
        <f>VLOOKUP(Tabla1[[#This Row],[PAGO DIA]],DIAS!A:M,12,0)</f>
        <v>46386</v>
      </c>
      <c r="AD6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3" spans="1:30">
      <c r="A683" s="3">
        <v>11850</v>
      </c>
      <c r="B683" s="3" t="s">
        <v>544</v>
      </c>
      <c r="C683" s="3" t="s">
        <v>540</v>
      </c>
      <c r="D683" s="3" t="s">
        <v>545</v>
      </c>
      <c r="E683" s="3" t="s">
        <v>1311</v>
      </c>
      <c r="F683" s="42" t="s">
        <v>631</v>
      </c>
      <c r="G683" s="3" t="s">
        <v>1312</v>
      </c>
      <c r="H683" s="6">
        <v>0</v>
      </c>
      <c r="I683" s="41">
        <f>VLOOKUP(Tabla1[[#This Row],[PAGO DIA]],DIAS!A:B,2,0)</f>
        <v>46080</v>
      </c>
      <c r="J683" s="6">
        <v>0</v>
      </c>
      <c r="K683" s="43">
        <f>VLOOKUP(Tabla1[[#This Row],[PAGO DIA]],DIAS!A:C,3,0)</f>
        <v>46112</v>
      </c>
      <c r="L683" s="6">
        <v>0</v>
      </c>
      <c r="M683" s="41">
        <f>VLOOKUP(Tabla1[[#This Row],[PAGO DIA]],DIAS!A:D,4,0)</f>
        <v>46142</v>
      </c>
      <c r="N683" s="6">
        <v>0</v>
      </c>
      <c r="O683" s="43">
        <f>VLOOKUP(Tabla1[[#This Row],[PAGO DIA]],DIAS!A:E,5,0)</f>
        <v>46171</v>
      </c>
      <c r="P683" s="6">
        <v>0</v>
      </c>
      <c r="Q683" s="43">
        <f>VLOOKUP(Tabla1[[#This Row],[PAGO DIA]],DIAS!A:F,6,0)</f>
        <v>46203</v>
      </c>
      <c r="R683" s="6">
        <v>0</v>
      </c>
      <c r="S683" s="43">
        <f>VLOOKUP(Tabla1[[#This Row],[PAGO DIA]],DIAS!A:G,7,0)</f>
        <v>46234</v>
      </c>
      <c r="T683" s="6">
        <v>0</v>
      </c>
      <c r="U683" s="43">
        <f>VLOOKUP(Tabla1[[#This Row],[PAGO DIA]],DIAS!A:H,8,0)</f>
        <v>46265</v>
      </c>
      <c r="V683" s="6">
        <v>0</v>
      </c>
      <c r="W683" s="43">
        <f>VLOOKUP(Tabla1[[#This Row],[PAGO DIA]],DIAS!A:I,9,0)</f>
        <v>46295</v>
      </c>
      <c r="X683" s="6">
        <v>0</v>
      </c>
      <c r="Y683" s="43">
        <f>VLOOKUP(Tabla1[[#This Row],[PAGO DIA]],DIAS!A:J,10,0)</f>
        <v>46325</v>
      </c>
      <c r="Z683" s="6">
        <v>0</v>
      </c>
      <c r="AA683" s="43">
        <f>VLOOKUP(Tabla1[[#This Row],[PAGO DIA]],DIAS!A:K,11,0)</f>
        <v>46356</v>
      </c>
      <c r="AB683" s="6">
        <v>0</v>
      </c>
      <c r="AC683" s="43">
        <f>VLOOKUP(Tabla1[[#This Row],[PAGO DIA]],DIAS!A:M,12,0)</f>
        <v>46386</v>
      </c>
      <c r="AD6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4" spans="1:30">
      <c r="A684" s="3">
        <v>12055</v>
      </c>
      <c r="B684" s="3" t="s">
        <v>544</v>
      </c>
      <c r="C684" s="3" t="s">
        <v>505</v>
      </c>
      <c r="D684" s="3" t="s">
        <v>545</v>
      </c>
      <c r="E684" s="3" t="s">
        <v>1313</v>
      </c>
      <c r="F684" s="42" t="s">
        <v>631</v>
      </c>
      <c r="G684" s="3" t="s">
        <v>635</v>
      </c>
      <c r="H684" s="6">
        <v>0</v>
      </c>
      <c r="I684" s="41">
        <f>VLOOKUP(Tabla1[[#This Row],[PAGO DIA]],DIAS!A:B,2,0)</f>
        <v>46080</v>
      </c>
      <c r="J684" s="6">
        <v>0</v>
      </c>
      <c r="K684" s="43">
        <f>VLOOKUP(Tabla1[[#This Row],[PAGO DIA]],DIAS!A:C,3,0)</f>
        <v>46112</v>
      </c>
      <c r="L684" s="6">
        <v>0</v>
      </c>
      <c r="M684" s="41">
        <f>VLOOKUP(Tabla1[[#This Row],[PAGO DIA]],DIAS!A:D,4,0)</f>
        <v>46142</v>
      </c>
      <c r="N684" s="6">
        <v>0</v>
      </c>
      <c r="O684" s="43">
        <f>VLOOKUP(Tabla1[[#This Row],[PAGO DIA]],DIAS!A:E,5,0)</f>
        <v>46171</v>
      </c>
      <c r="P684" s="6">
        <v>0</v>
      </c>
      <c r="Q684" s="43">
        <f>VLOOKUP(Tabla1[[#This Row],[PAGO DIA]],DIAS!A:F,6,0)</f>
        <v>46203</v>
      </c>
      <c r="R684" s="6">
        <v>0</v>
      </c>
      <c r="S684" s="43">
        <f>VLOOKUP(Tabla1[[#This Row],[PAGO DIA]],DIAS!A:G,7,0)</f>
        <v>46234</v>
      </c>
      <c r="T684" s="6">
        <v>0</v>
      </c>
      <c r="U684" s="43">
        <f>VLOOKUP(Tabla1[[#This Row],[PAGO DIA]],DIAS!A:H,8,0)</f>
        <v>46265</v>
      </c>
      <c r="V684" s="6">
        <v>0</v>
      </c>
      <c r="W684" s="43">
        <f>VLOOKUP(Tabla1[[#This Row],[PAGO DIA]],DIAS!A:I,9,0)</f>
        <v>46295</v>
      </c>
      <c r="X684" s="6">
        <v>0</v>
      </c>
      <c r="Y684" s="43">
        <f>VLOOKUP(Tabla1[[#This Row],[PAGO DIA]],DIAS!A:J,10,0)</f>
        <v>46325</v>
      </c>
      <c r="Z684" s="6">
        <v>0</v>
      </c>
      <c r="AA684" s="43">
        <f>VLOOKUP(Tabla1[[#This Row],[PAGO DIA]],DIAS!A:K,11,0)</f>
        <v>46356</v>
      </c>
      <c r="AB684" s="6">
        <v>0</v>
      </c>
      <c r="AC684" s="43">
        <f>VLOOKUP(Tabla1[[#This Row],[PAGO DIA]],DIAS!A:M,12,0)</f>
        <v>46386</v>
      </c>
      <c r="AD6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5" spans="1:30">
      <c r="A685" s="3">
        <v>12807</v>
      </c>
      <c r="B685" s="3" t="s">
        <v>544</v>
      </c>
      <c r="C685" s="3" t="s">
        <v>505</v>
      </c>
      <c r="D685" s="3" t="s">
        <v>545</v>
      </c>
      <c r="E685" s="3" t="s">
        <v>1314</v>
      </c>
      <c r="F685" s="42" t="s">
        <v>631</v>
      </c>
      <c r="G685" s="3" t="s">
        <v>1315</v>
      </c>
      <c r="H685" s="6">
        <v>0</v>
      </c>
      <c r="I685" s="41">
        <f>VLOOKUP(Tabla1[[#This Row],[PAGO DIA]],DIAS!A:B,2,0)</f>
        <v>46080</v>
      </c>
      <c r="J685" s="6">
        <v>0</v>
      </c>
      <c r="K685" s="43">
        <f>VLOOKUP(Tabla1[[#This Row],[PAGO DIA]],DIAS!A:C,3,0)</f>
        <v>46112</v>
      </c>
      <c r="L685" s="6">
        <v>0</v>
      </c>
      <c r="M685" s="41">
        <f>VLOOKUP(Tabla1[[#This Row],[PAGO DIA]],DIAS!A:D,4,0)</f>
        <v>46142</v>
      </c>
      <c r="N685" s="6">
        <v>0</v>
      </c>
      <c r="O685" s="43">
        <f>VLOOKUP(Tabla1[[#This Row],[PAGO DIA]],DIAS!A:E,5,0)</f>
        <v>46171</v>
      </c>
      <c r="P685" s="6">
        <v>0</v>
      </c>
      <c r="Q685" s="43">
        <f>VLOOKUP(Tabla1[[#This Row],[PAGO DIA]],DIAS!A:F,6,0)</f>
        <v>46203</v>
      </c>
      <c r="R685" s="6">
        <v>0</v>
      </c>
      <c r="S685" s="43">
        <f>VLOOKUP(Tabla1[[#This Row],[PAGO DIA]],DIAS!A:G,7,0)</f>
        <v>46234</v>
      </c>
      <c r="T685" s="6">
        <v>0</v>
      </c>
      <c r="U685" s="43">
        <f>VLOOKUP(Tabla1[[#This Row],[PAGO DIA]],DIAS!A:H,8,0)</f>
        <v>46265</v>
      </c>
      <c r="V685" s="6">
        <v>0</v>
      </c>
      <c r="W685" s="43">
        <f>VLOOKUP(Tabla1[[#This Row],[PAGO DIA]],DIAS!A:I,9,0)</f>
        <v>46295</v>
      </c>
      <c r="X685" s="6">
        <v>0</v>
      </c>
      <c r="Y685" s="43">
        <f>VLOOKUP(Tabla1[[#This Row],[PAGO DIA]],DIAS!A:J,10,0)</f>
        <v>46325</v>
      </c>
      <c r="Z685" s="6">
        <v>0</v>
      </c>
      <c r="AA685" s="43">
        <f>VLOOKUP(Tabla1[[#This Row],[PAGO DIA]],DIAS!A:K,11,0)</f>
        <v>46356</v>
      </c>
      <c r="AB685" s="6">
        <v>0</v>
      </c>
      <c r="AC685" s="43">
        <f>VLOOKUP(Tabla1[[#This Row],[PAGO DIA]],DIAS!A:M,12,0)</f>
        <v>46386</v>
      </c>
      <c r="AD6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6" spans="1:30">
      <c r="A686" s="3">
        <v>12808</v>
      </c>
      <c r="B686" s="3" t="s">
        <v>544</v>
      </c>
      <c r="C686" s="3" t="s">
        <v>505</v>
      </c>
      <c r="D686" s="3" t="s">
        <v>545</v>
      </c>
      <c r="E686" s="3" t="s">
        <v>1314</v>
      </c>
      <c r="F686" s="42" t="s">
        <v>631</v>
      </c>
      <c r="G686" s="3" t="s">
        <v>1316</v>
      </c>
      <c r="H686" s="6">
        <v>0</v>
      </c>
      <c r="I686" s="41">
        <f>VLOOKUP(Tabla1[[#This Row],[PAGO DIA]],DIAS!A:B,2,0)</f>
        <v>46080</v>
      </c>
      <c r="J686" s="6">
        <v>0</v>
      </c>
      <c r="K686" s="43">
        <f>VLOOKUP(Tabla1[[#This Row],[PAGO DIA]],DIAS!A:C,3,0)</f>
        <v>46112</v>
      </c>
      <c r="L686" s="6">
        <v>0</v>
      </c>
      <c r="M686" s="41">
        <f>VLOOKUP(Tabla1[[#This Row],[PAGO DIA]],DIAS!A:D,4,0)</f>
        <v>46142</v>
      </c>
      <c r="N686" s="6">
        <v>0</v>
      </c>
      <c r="O686" s="43">
        <f>VLOOKUP(Tabla1[[#This Row],[PAGO DIA]],DIAS!A:E,5,0)</f>
        <v>46171</v>
      </c>
      <c r="P686" s="6">
        <v>0</v>
      </c>
      <c r="Q686" s="43">
        <f>VLOOKUP(Tabla1[[#This Row],[PAGO DIA]],DIAS!A:F,6,0)</f>
        <v>46203</v>
      </c>
      <c r="R686" s="6">
        <v>0</v>
      </c>
      <c r="S686" s="43">
        <f>VLOOKUP(Tabla1[[#This Row],[PAGO DIA]],DIAS!A:G,7,0)</f>
        <v>46234</v>
      </c>
      <c r="T686" s="6">
        <v>0</v>
      </c>
      <c r="U686" s="43">
        <f>VLOOKUP(Tabla1[[#This Row],[PAGO DIA]],DIAS!A:H,8,0)</f>
        <v>46265</v>
      </c>
      <c r="V686" s="6">
        <v>0</v>
      </c>
      <c r="W686" s="43">
        <f>VLOOKUP(Tabla1[[#This Row],[PAGO DIA]],DIAS!A:I,9,0)</f>
        <v>46295</v>
      </c>
      <c r="X686" s="6">
        <v>0</v>
      </c>
      <c r="Y686" s="43">
        <f>VLOOKUP(Tabla1[[#This Row],[PAGO DIA]],DIAS!A:J,10,0)</f>
        <v>46325</v>
      </c>
      <c r="Z686" s="6">
        <v>0</v>
      </c>
      <c r="AA686" s="43">
        <f>VLOOKUP(Tabla1[[#This Row],[PAGO DIA]],DIAS!A:K,11,0)</f>
        <v>46356</v>
      </c>
      <c r="AB686" s="6">
        <v>0</v>
      </c>
      <c r="AC686" s="43">
        <f>VLOOKUP(Tabla1[[#This Row],[PAGO DIA]],DIAS!A:M,12,0)</f>
        <v>46386</v>
      </c>
      <c r="AD6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7" spans="1:30">
      <c r="A687" s="3">
        <v>12821</v>
      </c>
      <c r="B687" s="3" t="s">
        <v>544</v>
      </c>
      <c r="C687" s="3" t="s">
        <v>505</v>
      </c>
      <c r="D687" s="3" t="s">
        <v>545</v>
      </c>
      <c r="E687" s="3" t="s">
        <v>1314</v>
      </c>
      <c r="F687" s="42" t="s">
        <v>631</v>
      </c>
      <c r="G687" s="3" t="s">
        <v>1317</v>
      </c>
      <c r="H687" s="6">
        <v>0</v>
      </c>
      <c r="I687" s="41">
        <f>VLOOKUP(Tabla1[[#This Row],[PAGO DIA]],DIAS!A:B,2,0)</f>
        <v>46080</v>
      </c>
      <c r="J687" s="6">
        <v>0</v>
      </c>
      <c r="K687" s="43">
        <f>VLOOKUP(Tabla1[[#This Row],[PAGO DIA]],DIAS!A:C,3,0)</f>
        <v>46112</v>
      </c>
      <c r="L687" s="6">
        <v>0</v>
      </c>
      <c r="M687" s="41">
        <f>VLOOKUP(Tabla1[[#This Row],[PAGO DIA]],DIAS!A:D,4,0)</f>
        <v>46142</v>
      </c>
      <c r="N687" s="6">
        <v>0</v>
      </c>
      <c r="O687" s="43">
        <f>VLOOKUP(Tabla1[[#This Row],[PAGO DIA]],DIAS!A:E,5,0)</f>
        <v>46171</v>
      </c>
      <c r="P687" s="6">
        <v>0</v>
      </c>
      <c r="Q687" s="43">
        <f>VLOOKUP(Tabla1[[#This Row],[PAGO DIA]],DIAS!A:F,6,0)</f>
        <v>46203</v>
      </c>
      <c r="R687" s="6">
        <v>0</v>
      </c>
      <c r="S687" s="43">
        <f>VLOOKUP(Tabla1[[#This Row],[PAGO DIA]],DIAS!A:G,7,0)</f>
        <v>46234</v>
      </c>
      <c r="T687" s="6">
        <v>0</v>
      </c>
      <c r="U687" s="43">
        <f>VLOOKUP(Tabla1[[#This Row],[PAGO DIA]],DIAS!A:H,8,0)</f>
        <v>46265</v>
      </c>
      <c r="V687" s="6">
        <v>0</v>
      </c>
      <c r="W687" s="43">
        <f>VLOOKUP(Tabla1[[#This Row],[PAGO DIA]],DIAS!A:I,9,0)</f>
        <v>46295</v>
      </c>
      <c r="X687" s="6">
        <v>0</v>
      </c>
      <c r="Y687" s="43">
        <f>VLOOKUP(Tabla1[[#This Row],[PAGO DIA]],DIAS!A:J,10,0)</f>
        <v>46325</v>
      </c>
      <c r="Z687" s="6">
        <v>0</v>
      </c>
      <c r="AA687" s="43">
        <f>VLOOKUP(Tabla1[[#This Row],[PAGO DIA]],DIAS!A:K,11,0)</f>
        <v>46356</v>
      </c>
      <c r="AB687" s="6">
        <v>0</v>
      </c>
      <c r="AC687" s="43">
        <f>VLOOKUP(Tabla1[[#This Row],[PAGO DIA]],DIAS!A:M,12,0)</f>
        <v>46386</v>
      </c>
      <c r="AD6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8" spans="1:30">
      <c r="A688" s="3">
        <v>11857</v>
      </c>
      <c r="B688" s="3" t="s">
        <v>544</v>
      </c>
      <c r="C688" s="3" t="s">
        <v>540</v>
      </c>
      <c r="D688" s="3" t="s">
        <v>545</v>
      </c>
      <c r="E688" s="3" t="s">
        <v>1318</v>
      </c>
      <c r="F688" s="42" t="s">
        <v>631</v>
      </c>
      <c r="G688" s="3" t="s">
        <v>1319</v>
      </c>
      <c r="H688" s="6">
        <v>0</v>
      </c>
      <c r="I688" s="41">
        <f>VLOOKUP(Tabla1[[#This Row],[PAGO DIA]],DIAS!A:B,2,0)</f>
        <v>46080</v>
      </c>
      <c r="J688" s="6">
        <v>0</v>
      </c>
      <c r="K688" s="43">
        <f>VLOOKUP(Tabla1[[#This Row],[PAGO DIA]],DIAS!A:C,3,0)</f>
        <v>46112</v>
      </c>
      <c r="L688" s="6">
        <v>0</v>
      </c>
      <c r="M688" s="41">
        <f>VLOOKUP(Tabla1[[#This Row],[PAGO DIA]],DIAS!A:D,4,0)</f>
        <v>46142</v>
      </c>
      <c r="N688" s="6">
        <v>0</v>
      </c>
      <c r="O688" s="43">
        <f>VLOOKUP(Tabla1[[#This Row],[PAGO DIA]],DIAS!A:E,5,0)</f>
        <v>46171</v>
      </c>
      <c r="P688" s="6">
        <v>0</v>
      </c>
      <c r="Q688" s="43">
        <f>VLOOKUP(Tabla1[[#This Row],[PAGO DIA]],DIAS!A:F,6,0)</f>
        <v>46203</v>
      </c>
      <c r="R688" s="6">
        <v>0</v>
      </c>
      <c r="S688" s="43">
        <f>VLOOKUP(Tabla1[[#This Row],[PAGO DIA]],DIAS!A:G,7,0)</f>
        <v>46234</v>
      </c>
      <c r="T688" s="6">
        <v>0</v>
      </c>
      <c r="U688" s="43">
        <f>VLOOKUP(Tabla1[[#This Row],[PAGO DIA]],DIAS!A:H,8,0)</f>
        <v>46265</v>
      </c>
      <c r="V688" s="6">
        <v>0</v>
      </c>
      <c r="W688" s="43">
        <f>VLOOKUP(Tabla1[[#This Row],[PAGO DIA]],DIAS!A:I,9,0)</f>
        <v>46295</v>
      </c>
      <c r="X688" s="6">
        <v>0</v>
      </c>
      <c r="Y688" s="43">
        <f>VLOOKUP(Tabla1[[#This Row],[PAGO DIA]],DIAS!A:J,10,0)</f>
        <v>46325</v>
      </c>
      <c r="Z688" s="6">
        <v>0</v>
      </c>
      <c r="AA688" s="43">
        <f>VLOOKUP(Tabla1[[#This Row],[PAGO DIA]],DIAS!A:K,11,0)</f>
        <v>46356</v>
      </c>
      <c r="AB688" s="6">
        <v>0</v>
      </c>
      <c r="AC688" s="43">
        <f>VLOOKUP(Tabla1[[#This Row],[PAGO DIA]],DIAS!A:M,12,0)</f>
        <v>46386</v>
      </c>
      <c r="AD6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89" spans="1:30">
      <c r="A689" s="3">
        <v>11858</v>
      </c>
      <c r="B689" s="3" t="s">
        <v>544</v>
      </c>
      <c r="C689" s="3" t="s">
        <v>540</v>
      </c>
      <c r="D689" s="3" t="s">
        <v>545</v>
      </c>
      <c r="E689" s="3" t="s">
        <v>1318</v>
      </c>
      <c r="F689" s="42" t="s">
        <v>631</v>
      </c>
      <c r="G689" s="3" t="s">
        <v>1320</v>
      </c>
      <c r="H689" s="6">
        <v>0</v>
      </c>
      <c r="I689" s="41">
        <f>VLOOKUP(Tabla1[[#This Row],[PAGO DIA]],DIAS!A:B,2,0)</f>
        <v>46080</v>
      </c>
      <c r="J689" s="6">
        <v>0</v>
      </c>
      <c r="K689" s="43">
        <f>VLOOKUP(Tabla1[[#This Row],[PAGO DIA]],DIAS!A:C,3,0)</f>
        <v>46112</v>
      </c>
      <c r="L689" s="6">
        <v>0</v>
      </c>
      <c r="M689" s="41">
        <f>VLOOKUP(Tabla1[[#This Row],[PAGO DIA]],DIAS!A:D,4,0)</f>
        <v>46142</v>
      </c>
      <c r="N689" s="6">
        <v>0</v>
      </c>
      <c r="O689" s="43">
        <f>VLOOKUP(Tabla1[[#This Row],[PAGO DIA]],DIAS!A:E,5,0)</f>
        <v>46171</v>
      </c>
      <c r="P689" s="6">
        <v>0</v>
      </c>
      <c r="Q689" s="43">
        <f>VLOOKUP(Tabla1[[#This Row],[PAGO DIA]],DIAS!A:F,6,0)</f>
        <v>46203</v>
      </c>
      <c r="R689" s="6">
        <v>0</v>
      </c>
      <c r="S689" s="43">
        <f>VLOOKUP(Tabla1[[#This Row],[PAGO DIA]],DIAS!A:G,7,0)</f>
        <v>46234</v>
      </c>
      <c r="T689" s="6">
        <v>0</v>
      </c>
      <c r="U689" s="43">
        <f>VLOOKUP(Tabla1[[#This Row],[PAGO DIA]],DIAS!A:H,8,0)</f>
        <v>46265</v>
      </c>
      <c r="V689" s="6">
        <v>0</v>
      </c>
      <c r="W689" s="43">
        <f>VLOOKUP(Tabla1[[#This Row],[PAGO DIA]],DIAS!A:I,9,0)</f>
        <v>46295</v>
      </c>
      <c r="X689" s="6">
        <v>0</v>
      </c>
      <c r="Y689" s="43">
        <f>VLOOKUP(Tabla1[[#This Row],[PAGO DIA]],DIAS!A:J,10,0)</f>
        <v>46325</v>
      </c>
      <c r="Z689" s="6">
        <v>0</v>
      </c>
      <c r="AA689" s="43">
        <f>VLOOKUP(Tabla1[[#This Row],[PAGO DIA]],DIAS!A:K,11,0)</f>
        <v>46356</v>
      </c>
      <c r="AB689" s="6">
        <v>0</v>
      </c>
      <c r="AC689" s="43">
        <f>VLOOKUP(Tabla1[[#This Row],[PAGO DIA]],DIAS!A:M,12,0)</f>
        <v>46386</v>
      </c>
      <c r="AD6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0" spans="1:30">
      <c r="A690" s="3">
        <v>11859</v>
      </c>
      <c r="B690" s="3" t="s">
        <v>544</v>
      </c>
      <c r="C690" s="3" t="s">
        <v>540</v>
      </c>
      <c r="D690" s="3" t="s">
        <v>545</v>
      </c>
      <c r="E690" s="3" t="s">
        <v>1318</v>
      </c>
      <c r="F690" s="42" t="s">
        <v>631</v>
      </c>
      <c r="G690" s="3" t="s">
        <v>1321</v>
      </c>
      <c r="H690" s="6">
        <v>0</v>
      </c>
      <c r="I690" s="41">
        <f>VLOOKUP(Tabla1[[#This Row],[PAGO DIA]],DIAS!A:B,2,0)</f>
        <v>46080</v>
      </c>
      <c r="J690" s="6">
        <v>0</v>
      </c>
      <c r="K690" s="43">
        <f>VLOOKUP(Tabla1[[#This Row],[PAGO DIA]],DIAS!A:C,3,0)</f>
        <v>46112</v>
      </c>
      <c r="L690" s="6">
        <v>0</v>
      </c>
      <c r="M690" s="41">
        <f>VLOOKUP(Tabla1[[#This Row],[PAGO DIA]],DIAS!A:D,4,0)</f>
        <v>46142</v>
      </c>
      <c r="N690" s="6">
        <v>0</v>
      </c>
      <c r="O690" s="43">
        <f>VLOOKUP(Tabla1[[#This Row],[PAGO DIA]],DIAS!A:E,5,0)</f>
        <v>46171</v>
      </c>
      <c r="P690" s="6">
        <v>0</v>
      </c>
      <c r="Q690" s="43">
        <f>VLOOKUP(Tabla1[[#This Row],[PAGO DIA]],DIAS!A:F,6,0)</f>
        <v>46203</v>
      </c>
      <c r="R690" s="6">
        <v>0</v>
      </c>
      <c r="S690" s="43">
        <f>VLOOKUP(Tabla1[[#This Row],[PAGO DIA]],DIAS!A:G,7,0)</f>
        <v>46234</v>
      </c>
      <c r="T690" s="6">
        <v>0</v>
      </c>
      <c r="U690" s="43">
        <f>VLOOKUP(Tabla1[[#This Row],[PAGO DIA]],DIAS!A:H,8,0)</f>
        <v>46265</v>
      </c>
      <c r="V690" s="6">
        <v>0</v>
      </c>
      <c r="W690" s="43">
        <f>VLOOKUP(Tabla1[[#This Row],[PAGO DIA]],DIAS!A:I,9,0)</f>
        <v>46295</v>
      </c>
      <c r="X690" s="6">
        <v>0</v>
      </c>
      <c r="Y690" s="43">
        <f>VLOOKUP(Tabla1[[#This Row],[PAGO DIA]],DIAS!A:J,10,0)</f>
        <v>46325</v>
      </c>
      <c r="Z690" s="6">
        <v>0</v>
      </c>
      <c r="AA690" s="43">
        <f>VLOOKUP(Tabla1[[#This Row],[PAGO DIA]],DIAS!A:K,11,0)</f>
        <v>46356</v>
      </c>
      <c r="AB690" s="6">
        <v>0</v>
      </c>
      <c r="AC690" s="43">
        <f>VLOOKUP(Tabla1[[#This Row],[PAGO DIA]],DIAS!A:M,12,0)</f>
        <v>46386</v>
      </c>
      <c r="AD6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1" spans="1:30">
      <c r="A691" s="3">
        <v>11860</v>
      </c>
      <c r="B691" s="3" t="s">
        <v>544</v>
      </c>
      <c r="C691" s="3" t="s">
        <v>540</v>
      </c>
      <c r="D691" s="3" t="s">
        <v>545</v>
      </c>
      <c r="E691" s="3" t="s">
        <v>1318</v>
      </c>
      <c r="F691" s="42" t="s">
        <v>631</v>
      </c>
      <c r="G691" s="3" t="s">
        <v>1317</v>
      </c>
      <c r="H691" s="6">
        <v>0</v>
      </c>
      <c r="I691" s="41">
        <f>VLOOKUP(Tabla1[[#This Row],[PAGO DIA]],DIAS!A:B,2,0)</f>
        <v>46080</v>
      </c>
      <c r="J691" s="6">
        <v>0</v>
      </c>
      <c r="K691" s="43">
        <f>VLOOKUP(Tabla1[[#This Row],[PAGO DIA]],DIAS!A:C,3,0)</f>
        <v>46112</v>
      </c>
      <c r="L691" s="6">
        <v>0</v>
      </c>
      <c r="M691" s="41">
        <f>VLOOKUP(Tabla1[[#This Row],[PAGO DIA]],DIAS!A:D,4,0)</f>
        <v>46142</v>
      </c>
      <c r="N691" s="6">
        <v>0</v>
      </c>
      <c r="O691" s="43">
        <f>VLOOKUP(Tabla1[[#This Row],[PAGO DIA]],DIAS!A:E,5,0)</f>
        <v>46171</v>
      </c>
      <c r="P691" s="6">
        <v>0</v>
      </c>
      <c r="Q691" s="43">
        <f>VLOOKUP(Tabla1[[#This Row],[PAGO DIA]],DIAS!A:F,6,0)</f>
        <v>46203</v>
      </c>
      <c r="R691" s="6">
        <v>0</v>
      </c>
      <c r="S691" s="43">
        <f>VLOOKUP(Tabla1[[#This Row],[PAGO DIA]],DIAS!A:G,7,0)</f>
        <v>46234</v>
      </c>
      <c r="T691" s="6">
        <v>0</v>
      </c>
      <c r="U691" s="43">
        <f>VLOOKUP(Tabla1[[#This Row],[PAGO DIA]],DIAS!A:H,8,0)</f>
        <v>46265</v>
      </c>
      <c r="V691" s="6">
        <v>0</v>
      </c>
      <c r="W691" s="43">
        <f>VLOOKUP(Tabla1[[#This Row],[PAGO DIA]],DIAS!A:I,9,0)</f>
        <v>46295</v>
      </c>
      <c r="X691" s="6">
        <v>0</v>
      </c>
      <c r="Y691" s="43">
        <f>VLOOKUP(Tabla1[[#This Row],[PAGO DIA]],DIAS!A:J,10,0)</f>
        <v>46325</v>
      </c>
      <c r="Z691" s="6">
        <v>0</v>
      </c>
      <c r="AA691" s="43">
        <f>VLOOKUP(Tabla1[[#This Row],[PAGO DIA]],DIAS!A:K,11,0)</f>
        <v>46356</v>
      </c>
      <c r="AB691" s="6">
        <v>0</v>
      </c>
      <c r="AC691" s="43">
        <f>VLOOKUP(Tabla1[[#This Row],[PAGO DIA]],DIAS!A:M,12,0)</f>
        <v>46386</v>
      </c>
      <c r="AD6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2" spans="1:30">
      <c r="A692" s="3">
        <v>11861</v>
      </c>
      <c r="B692" s="3" t="s">
        <v>544</v>
      </c>
      <c r="C692" s="3" t="s">
        <v>540</v>
      </c>
      <c r="D692" s="3" t="s">
        <v>545</v>
      </c>
      <c r="E692" s="3" t="s">
        <v>1322</v>
      </c>
      <c r="F692" s="42" t="s">
        <v>631</v>
      </c>
      <c r="G692" s="3" t="s">
        <v>1323</v>
      </c>
      <c r="H692" s="6">
        <v>0</v>
      </c>
      <c r="I692" s="41">
        <f>VLOOKUP(Tabla1[[#This Row],[PAGO DIA]],DIAS!A:B,2,0)</f>
        <v>46080</v>
      </c>
      <c r="J692" s="6">
        <v>0</v>
      </c>
      <c r="K692" s="43">
        <f>VLOOKUP(Tabla1[[#This Row],[PAGO DIA]],DIAS!A:C,3,0)</f>
        <v>46112</v>
      </c>
      <c r="L692" s="6">
        <v>0</v>
      </c>
      <c r="M692" s="41">
        <f>VLOOKUP(Tabla1[[#This Row],[PAGO DIA]],DIAS!A:D,4,0)</f>
        <v>46142</v>
      </c>
      <c r="N692" s="6">
        <v>0</v>
      </c>
      <c r="O692" s="43">
        <f>VLOOKUP(Tabla1[[#This Row],[PAGO DIA]],DIAS!A:E,5,0)</f>
        <v>46171</v>
      </c>
      <c r="P692" s="6">
        <v>0</v>
      </c>
      <c r="Q692" s="43">
        <f>VLOOKUP(Tabla1[[#This Row],[PAGO DIA]],DIAS!A:F,6,0)</f>
        <v>46203</v>
      </c>
      <c r="R692" s="6">
        <v>0</v>
      </c>
      <c r="S692" s="43">
        <f>VLOOKUP(Tabla1[[#This Row],[PAGO DIA]],DIAS!A:G,7,0)</f>
        <v>46234</v>
      </c>
      <c r="T692" s="6">
        <v>0</v>
      </c>
      <c r="U692" s="43">
        <f>VLOOKUP(Tabla1[[#This Row],[PAGO DIA]],DIAS!A:H,8,0)</f>
        <v>46265</v>
      </c>
      <c r="V692" s="6">
        <v>0</v>
      </c>
      <c r="W692" s="43">
        <f>VLOOKUP(Tabla1[[#This Row],[PAGO DIA]],DIAS!A:I,9,0)</f>
        <v>46295</v>
      </c>
      <c r="X692" s="6">
        <v>0</v>
      </c>
      <c r="Y692" s="43">
        <f>VLOOKUP(Tabla1[[#This Row],[PAGO DIA]],DIAS!A:J,10,0)</f>
        <v>46325</v>
      </c>
      <c r="Z692" s="6">
        <v>0</v>
      </c>
      <c r="AA692" s="43">
        <f>VLOOKUP(Tabla1[[#This Row],[PAGO DIA]],DIAS!A:K,11,0)</f>
        <v>46356</v>
      </c>
      <c r="AB692" s="6">
        <v>0</v>
      </c>
      <c r="AC692" s="43">
        <f>VLOOKUP(Tabla1[[#This Row],[PAGO DIA]],DIAS!A:M,12,0)</f>
        <v>46386</v>
      </c>
      <c r="AD6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3" spans="1:30">
      <c r="A693" s="3">
        <v>12825</v>
      </c>
      <c r="B693" s="3" t="s">
        <v>544</v>
      </c>
      <c r="C693" s="3" t="s">
        <v>505</v>
      </c>
      <c r="D693" s="3" t="s">
        <v>545</v>
      </c>
      <c r="E693" s="3" t="s">
        <v>1324</v>
      </c>
      <c r="F693" s="42" t="s">
        <v>631</v>
      </c>
      <c r="G693" s="3" t="s">
        <v>1325</v>
      </c>
      <c r="H693" s="6">
        <v>0</v>
      </c>
      <c r="I693" s="41">
        <f>VLOOKUP(Tabla1[[#This Row],[PAGO DIA]],DIAS!A:B,2,0)</f>
        <v>46080</v>
      </c>
      <c r="J693" s="6">
        <v>0</v>
      </c>
      <c r="K693" s="43">
        <f>VLOOKUP(Tabla1[[#This Row],[PAGO DIA]],DIAS!A:C,3,0)</f>
        <v>46112</v>
      </c>
      <c r="L693" s="6">
        <v>0</v>
      </c>
      <c r="M693" s="41">
        <f>VLOOKUP(Tabla1[[#This Row],[PAGO DIA]],DIAS!A:D,4,0)</f>
        <v>46142</v>
      </c>
      <c r="N693" s="6">
        <v>0</v>
      </c>
      <c r="O693" s="43">
        <f>VLOOKUP(Tabla1[[#This Row],[PAGO DIA]],DIAS!A:E,5,0)</f>
        <v>46171</v>
      </c>
      <c r="P693" s="6">
        <v>0</v>
      </c>
      <c r="Q693" s="43">
        <f>VLOOKUP(Tabla1[[#This Row],[PAGO DIA]],DIAS!A:F,6,0)</f>
        <v>46203</v>
      </c>
      <c r="R693" s="6">
        <v>0</v>
      </c>
      <c r="S693" s="43">
        <f>VLOOKUP(Tabla1[[#This Row],[PAGO DIA]],DIAS!A:G,7,0)</f>
        <v>46234</v>
      </c>
      <c r="T693" s="6">
        <v>0</v>
      </c>
      <c r="U693" s="43">
        <f>VLOOKUP(Tabla1[[#This Row],[PAGO DIA]],DIAS!A:H,8,0)</f>
        <v>46265</v>
      </c>
      <c r="V693" s="6">
        <v>0</v>
      </c>
      <c r="W693" s="43">
        <f>VLOOKUP(Tabla1[[#This Row],[PAGO DIA]],DIAS!A:I,9,0)</f>
        <v>46295</v>
      </c>
      <c r="X693" s="6">
        <v>0</v>
      </c>
      <c r="Y693" s="43">
        <f>VLOOKUP(Tabla1[[#This Row],[PAGO DIA]],DIAS!A:J,10,0)</f>
        <v>46325</v>
      </c>
      <c r="Z693" s="6">
        <v>0</v>
      </c>
      <c r="AA693" s="43">
        <f>VLOOKUP(Tabla1[[#This Row],[PAGO DIA]],DIAS!A:K,11,0)</f>
        <v>46356</v>
      </c>
      <c r="AB693" s="6">
        <v>0</v>
      </c>
      <c r="AC693" s="43">
        <f>VLOOKUP(Tabla1[[#This Row],[PAGO DIA]],DIAS!A:M,12,0)</f>
        <v>46386</v>
      </c>
      <c r="AD6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4" spans="1:30">
      <c r="A694" s="3">
        <v>10983</v>
      </c>
      <c r="B694" s="3" t="s">
        <v>544</v>
      </c>
      <c r="C694" s="3" t="s">
        <v>505</v>
      </c>
      <c r="D694" s="3" t="s">
        <v>545</v>
      </c>
      <c r="E694" s="3" t="s">
        <v>1326</v>
      </c>
      <c r="F694" s="42" t="s">
        <v>631</v>
      </c>
      <c r="G694" s="3"/>
      <c r="H694" s="6">
        <v>0</v>
      </c>
      <c r="I694" s="41">
        <f>VLOOKUP(Tabla1[[#This Row],[PAGO DIA]],DIAS!A:B,2,0)</f>
        <v>46080</v>
      </c>
      <c r="J694" s="6">
        <v>0</v>
      </c>
      <c r="K694" s="43">
        <f>VLOOKUP(Tabla1[[#This Row],[PAGO DIA]],DIAS!A:C,3,0)</f>
        <v>46112</v>
      </c>
      <c r="L694" s="6">
        <v>0</v>
      </c>
      <c r="M694" s="41">
        <f>VLOOKUP(Tabla1[[#This Row],[PAGO DIA]],DIAS!A:D,4,0)</f>
        <v>46142</v>
      </c>
      <c r="N694" s="6">
        <v>0</v>
      </c>
      <c r="O694" s="43">
        <f>VLOOKUP(Tabla1[[#This Row],[PAGO DIA]],DIAS!A:E,5,0)</f>
        <v>46171</v>
      </c>
      <c r="P694" s="6">
        <v>0</v>
      </c>
      <c r="Q694" s="43">
        <f>VLOOKUP(Tabla1[[#This Row],[PAGO DIA]],DIAS!A:F,6,0)</f>
        <v>46203</v>
      </c>
      <c r="R694" s="6">
        <v>0</v>
      </c>
      <c r="S694" s="43">
        <f>VLOOKUP(Tabla1[[#This Row],[PAGO DIA]],DIAS!A:G,7,0)</f>
        <v>46234</v>
      </c>
      <c r="T694" s="6">
        <v>0</v>
      </c>
      <c r="U694" s="43">
        <f>VLOOKUP(Tabla1[[#This Row],[PAGO DIA]],DIAS!A:H,8,0)</f>
        <v>46265</v>
      </c>
      <c r="V694" s="6">
        <v>0</v>
      </c>
      <c r="W694" s="43">
        <f>VLOOKUP(Tabla1[[#This Row],[PAGO DIA]],DIAS!A:I,9,0)</f>
        <v>46295</v>
      </c>
      <c r="X694" s="6">
        <v>0</v>
      </c>
      <c r="Y694" s="43">
        <f>VLOOKUP(Tabla1[[#This Row],[PAGO DIA]],DIAS!A:J,10,0)</f>
        <v>46325</v>
      </c>
      <c r="Z694" s="6">
        <v>0</v>
      </c>
      <c r="AA694" s="43">
        <f>VLOOKUP(Tabla1[[#This Row],[PAGO DIA]],DIAS!A:K,11,0)</f>
        <v>46356</v>
      </c>
      <c r="AB694" s="6">
        <v>0</v>
      </c>
      <c r="AC694" s="43">
        <f>VLOOKUP(Tabla1[[#This Row],[PAGO DIA]],DIAS!A:M,12,0)</f>
        <v>46386</v>
      </c>
      <c r="AD6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5" spans="1:30">
      <c r="A695" s="3">
        <v>11195</v>
      </c>
      <c r="B695" s="3" t="s">
        <v>544</v>
      </c>
      <c r="C695" s="3" t="s">
        <v>505</v>
      </c>
      <c r="D695" s="3" t="s">
        <v>545</v>
      </c>
      <c r="E695" s="3" t="s">
        <v>1326</v>
      </c>
      <c r="F695" s="42" t="s">
        <v>631</v>
      </c>
      <c r="G695" s="3" t="s">
        <v>1327</v>
      </c>
      <c r="H695" s="6">
        <v>0</v>
      </c>
      <c r="I695" s="41">
        <f>VLOOKUP(Tabla1[[#This Row],[PAGO DIA]],DIAS!A:B,2,0)</f>
        <v>46080</v>
      </c>
      <c r="J695" s="6">
        <v>0</v>
      </c>
      <c r="K695" s="43">
        <f>VLOOKUP(Tabla1[[#This Row],[PAGO DIA]],DIAS!A:C,3,0)</f>
        <v>46112</v>
      </c>
      <c r="L695" s="6">
        <v>0</v>
      </c>
      <c r="M695" s="41">
        <f>VLOOKUP(Tabla1[[#This Row],[PAGO DIA]],DIAS!A:D,4,0)</f>
        <v>46142</v>
      </c>
      <c r="N695" s="6">
        <v>0</v>
      </c>
      <c r="O695" s="43">
        <f>VLOOKUP(Tabla1[[#This Row],[PAGO DIA]],DIAS!A:E,5,0)</f>
        <v>46171</v>
      </c>
      <c r="P695" s="6">
        <v>0</v>
      </c>
      <c r="Q695" s="43">
        <f>VLOOKUP(Tabla1[[#This Row],[PAGO DIA]],DIAS!A:F,6,0)</f>
        <v>46203</v>
      </c>
      <c r="R695" s="6">
        <v>0</v>
      </c>
      <c r="S695" s="43">
        <f>VLOOKUP(Tabla1[[#This Row],[PAGO DIA]],DIAS!A:G,7,0)</f>
        <v>46234</v>
      </c>
      <c r="T695" s="6">
        <v>0</v>
      </c>
      <c r="U695" s="43">
        <f>VLOOKUP(Tabla1[[#This Row],[PAGO DIA]],DIAS!A:H,8,0)</f>
        <v>46265</v>
      </c>
      <c r="V695" s="6">
        <v>0</v>
      </c>
      <c r="W695" s="43">
        <f>VLOOKUP(Tabla1[[#This Row],[PAGO DIA]],DIAS!A:I,9,0)</f>
        <v>46295</v>
      </c>
      <c r="X695" s="6">
        <v>0</v>
      </c>
      <c r="Y695" s="43">
        <f>VLOOKUP(Tabla1[[#This Row],[PAGO DIA]],DIAS!A:J,10,0)</f>
        <v>46325</v>
      </c>
      <c r="Z695" s="6">
        <v>0</v>
      </c>
      <c r="AA695" s="43">
        <f>VLOOKUP(Tabla1[[#This Row],[PAGO DIA]],DIAS!A:K,11,0)</f>
        <v>46356</v>
      </c>
      <c r="AB695" s="6">
        <v>0</v>
      </c>
      <c r="AC695" s="43">
        <f>VLOOKUP(Tabla1[[#This Row],[PAGO DIA]],DIAS!A:M,12,0)</f>
        <v>46386</v>
      </c>
      <c r="AD6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6" spans="1:30">
      <c r="A696" s="3">
        <v>11864</v>
      </c>
      <c r="B696" s="3" t="s">
        <v>544</v>
      </c>
      <c r="C696" s="3" t="s">
        <v>540</v>
      </c>
      <c r="D696" s="3" t="s">
        <v>545</v>
      </c>
      <c r="E696" s="3" t="s">
        <v>1326</v>
      </c>
      <c r="F696" s="42" t="s">
        <v>631</v>
      </c>
      <c r="G696" s="3" t="s">
        <v>1328</v>
      </c>
      <c r="H696" s="6">
        <v>0</v>
      </c>
      <c r="I696" s="41">
        <f>VLOOKUP(Tabla1[[#This Row],[PAGO DIA]],DIAS!A:B,2,0)</f>
        <v>46080</v>
      </c>
      <c r="J696" s="6">
        <v>0</v>
      </c>
      <c r="K696" s="43">
        <f>VLOOKUP(Tabla1[[#This Row],[PAGO DIA]],DIAS!A:C,3,0)</f>
        <v>46112</v>
      </c>
      <c r="L696" s="6">
        <v>0</v>
      </c>
      <c r="M696" s="41">
        <f>VLOOKUP(Tabla1[[#This Row],[PAGO DIA]],DIAS!A:D,4,0)</f>
        <v>46142</v>
      </c>
      <c r="N696" s="6">
        <v>0</v>
      </c>
      <c r="O696" s="43">
        <f>VLOOKUP(Tabla1[[#This Row],[PAGO DIA]],DIAS!A:E,5,0)</f>
        <v>46171</v>
      </c>
      <c r="P696" s="6">
        <v>0</v>
      </c>
      <c r="Q696" s="43">
        <f>VLOOKUP(Tabla1[[#This Row],[PAGO DIA]],DIAS!A:F,6,0)</f>
        <v>46203</v>
      </c>
      <c r="R696" s="6">
        <v>0</v>
      </c>
      <c r="S696" s="43">
        <f>VLOOKUP(Tabla1[[#This Row],[PAGO DIA]],DIAS!A:G,7,0)</f>
        <v>46234</v>
      </c>
      <c r="T696" s="6">
        <v>0</v>
      </c>
      <c r="U696" s="43">
        <f>VLOOKUP(Tabla1[[#This Row],[PAGO DIA]],DIAS!A:H,8,0)</f>
        <v>46265</v>
      </c>
      <c r="V696" s="6">
        <v>0</v>
      </c>
      <c r="W696" s="43">
        <f>VLOOKUP(Tabla1[[#This Row],[PAGO DIA]],DIAS!A:I,9,0)</f>
        <v>46295</v>
      </c>
      <c r="X696" s="6">
        <v>0</v>
      </c>
      <c r="Y696" s="43">
        <f>VLOOKUP(Tabla1[[#This Row],[PAGO DIA]],DIAS!A:J,10,0)</f>
        <v>46325</v>
      </c>
      <c r="Z696" s="6">
        <v>0</v>
      </c>
      <c r="AA696" s="43">
        <f>VLOOKUP(Tabla1[[#This Row],[PAGO DIA]],DIAS!A:K,11,0)</f>
        <v>46356</v>
      </c>
      <c r="AB696" s="6">
        <v>0</v>
      </c>
      <c r="AC696" s="43">
        <f>VLOOKUP(Tabla1[[#This Row],[PAGO DIA]],DIAS!A:M,12,0)</f>
        <v>46386</v>
      </c>
      <c r="AD6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7" spans="1:30">
      <c r="A697" s="3">
        <v>12105</v>
      </c>
      <c r="B697" s="3" t="s">
        <v>544</v>
      </c>
      <c r="C697" s="3" t="s">
        <v>505</v>
      </c>
      <c r="D697" s="3" t="s">
        <v>1241</v>
      </c>
      <c r="E697" s="3" t="s">
        <v>1329</v>
      </c>
      <c r="F697" s="42" t="s">
        <v>631</v>
      </c>
      <c r="G697" s="3" t="s">
        <v>1330</v>
      </c>
      <c r="H697" s="6">
        <v>0</v>
      </c>
      <c r="I697" s="41">
        <f>VLOOKUP(Tabla1[[#This Row],[PAGO DIA]],DIAS!A:B,2,0)</f>
        <v>46080</v>
      </c>
      <c r="J697" s="6">
        <v>0</v>
      </c>
      <c r="K697" s="43">
        <f>VLOOKUP(Tabla1[[#This Row],[PAGO DIA]],DIAS!A:C,3,0)</f>
        <v>46112</v>
      </c>
      <c r="L697" s="6">
        <v>0</v>
      </c>
      <c r="M697" s="41">
        <f>VLOOKUP(Tabla1[[#This Row],[PAGO DIA]],DIAS!A:D,4,0)</f>
        <v>46142</v>
      </c>
      <c r="N697" s="6">
        <v>0</v>
      </c>
      <c r="O697" s="43">
        <f>VLOOKUP(Tabla1[[#This Row],[PAGO DIA]],DIAS!A:E,5,0)</f>
        <v>46171</v>
      </c>
      <c r="P697" s="6">
        <v>0</v>
      </c>
      <c r="Q697" s="43">
        <f>VLOOKUP(Tabla1[[#This Row],[PAGO DIA]],DIAS!A:F,6,0)</f>
        <v>46203</v>
      </c>
      <c r="R697" s="6">
        <v>0</v>
      </c>
      <c r="S697" s="43">
        <f>VLOOKUP(Tabla1[[#This Row],[PAGO DIA]],DIAS!A:G,7,0)</f>
        <v>46234</v>
      </c>
      <c r="T697" s="6">
        <v>0</v>
      </c>
      <c r="U697" s="43">
        <f>VLOOKUP(Tabla1[[#This Row],[PAGO DIA]],DIAS!A:H,8,0)</f>
        <v>46265</v>
      </c>
      <c r="V697" s="6">
        <v>0</v>
      </c>
      <c r="W697" s="43">
        <f>VLOOKUP(Tabla1[[#This Row],[PAGO DIA]],DIAS!A:I,9,0)</f>
        <v>46295</v>
      </c>
      <c r="X697" s="6">
        <v>0</v>
      </c>
      <c r="Y697" s="43">
        <f>VLOOKUP(Tabla1[[#This Row],[PAGO DIA]],DIAS!A:J,10,0)</f>
        <v>46325</v>
      </c>
      <c r="Z697" s="6">
        <v>0</v>
      </c>
      <c r="AA697" s="43">
        <f>VLOOKUP(Tabla1[[#This Row],[PAGO DIA]],DIAS!A:K,11,0)</f>
        <v>46356</v>
      </c>
      <c r="AB697" s="6">
        <v>0</v>
      </c>
      <c r="AC697" s="43">
        <f>VLOOKUP(Tabla1[[#This Row],[PAGO DIA]],DIAS!A:M,12,0)</f>
        <v>46386</v>
      </c>
      <c r="AD6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8" spans="1:30">
      <c r="A698" s="3">
        <v>12108</v>
      </c>
      <c r="B698" s="3" t="s">
        <v>544</v>
      </c>
      <c r="C698" s="3" t="s">
        <v>505</v>
      </c>
      <c r="D698" s="3" t="s">
        <v>1244</v>
      </c>
      <c r="E698" s="3" t="s">
        <v>1329</v>
      </c>
      <c r="F698" s="42" t="s">
        <v>631</v>
      </c>
      <c r="G698" s="3" t="s">
        <v>1331</v>
      </c>
      <c r="H698" s="6">
        <v>0</v>
      </c>
      <c r="I698" s="41">
        <f>VLOOKUP(Tabla1[[#This Row],[PAGO DIA]],DIAS!A:B,2,0)</f>
        <v>46080</v>
      </c>
      <c r="J698" s="6">
        <v>0</v>
      </c>
      <c r="K698" s="43">
        <f>VLOOKUP(Tabla1[[#This Row],[PAGO DIA]],DIAS!A:C,3,0)</f>
        <v>46112</v>
      </c>
      <c r="L698" s="6">
        <v>0</v>
      </c>
      <c r="M698" s="41">
        <f>VLOOKUP(Tabla1[[#This Row],[PAGO DIA]],DIAS!A:D,4,0)</f>
        <v>46142</v>
      </c>
      <c r="N698" s="6">
        <v>0</v>
      </c>
      <c r="O698" s="43">
        <f>VLOOKUP(Tabla1[[#This Row],[PAGO DIA]],DIAS!A:E,5,0)</f>
        <v>46171</v>
      </c>
      <c r="P698" s="6">
        <v>0</v>
      </c>
      <c r="Q698" s="43">
        <f>VLOOKUP(Tabla1[[#This Row],[PAGO DIA]],DIAS!A:F,6,0)</f>
        <v>46203</v>
      </c>
      <c r="R698" s="6">
        <v>0</v>
      </c>
      <c r="S698" s="43">
        <f>VLOOKUP(Tabla1[[#This Row],[PAGO DIA]],DIAS!A:G,7,0)</f>
        <v>46234</v>
      </c>
      <c r="T698" s="6">
        <v>0</v>
      </c>
      <c r="U698" s="43">
        <f>VLOOKUP(Tabla1[[#This Row],[PAGO DIA]],DIAS!A:H,8,0)</f>
        <v>46265</v>
      </c>
      <c r="V698" s="6">
        <v>0</v>
      </c>
      <c r="W698" s="43">
        <f>VLOOKUP(Tabla1[[#This Row],[PAGO DIA]],DIAS!A:I,9,0)</f>
        <v>46295</v>
      </c>
      <c r="X698" s="6">
        <v>0</v>
      </c>
      <c r="Y698" s="43">
        <f>VLOOKUP(Tabla1[[#This Row],[PAGO DIA]],DIAS!A:J,10,0)</f>
        <v>46325</v>
      </c>
      <c r="Z698" s="6">
        <v>0</v>
      </c>
      <c r="AA698" s="43">
        <f>VLOOKUP(Tabla1[[#This Row],[PAGO DIA]],DIAS!A:K,11,0)</f>
        <v>46356</v>
      </c>
      <c r="AB698" s="6">
        <v>0</v>
      </c>
      <c r="AC698" s="43">
        <f>VLOOKUP(Tabla1[[#This Row],[PAGO DIA]],DIAS!A:M,12,0)</f>
        <v>46386</v>
      </c>
      <c r="AD6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699" spans="1:30">
      <c r="A699" s="3">
        <v>12131</v>
      </c>
      <c r="B699" s="3" t="s">
        <v>544</v>
      </c>
      <c r="C699" s="3" t="s">
        <v>505</v>
      </c>
      <c r="D699" s="3" t="s">
        <v>1244</v>
      </c>
      <c r="E699" s="3" t="s">
        <v>1329</v>
      </c>
      <c r="F699" s="42" t="s">
        <v>631</v>
      </c>
      <c r="G699" s="3" t="s">
        <v>1332</v>
      </c>
      <c r="H699" s="6">
        <v>0</v>
      </c>
      <c r="I699" s="41">
        <f>VLOOKUP(Tabla1[[#This Row],[PAGO DIA]],DIAS!A:B,2,0)</f>
        <v>46080</v>
      </c>
      <c r="J699" s="6">
        <v>0</v>
      </c>
      <c r="K699" s="43">
        <f>VLOOKUP(Tabla1[[#This Row],[PAGO DIA]],DIAS!A:C,3,0)</f>
        <v>46112</v>
      </c>
      <c r="L699" s="6">
        <v>0</v>
      </c>
      <c r="M699" s="41">
        <f>VLOOKUP(Tabla1[[#This Row],[PAGO DIA]],DIAS!A:D,4,0)</f>
        <v>46142</v>
      </c>
      <c r="N699" s="6">
        <v>0</v>
      </c>
      <c r="O699" s="43">
        <f>VLOOKUP(Tabla1[[#This Row],[PAGO DIA]],DIAS!A:E,5,0)</f>
        <v>46171</v>
      </c>
      <c r="P699" s="6">
        <v>0</v>
      </c>
      <c r="Q699" s="43">
        <f>VLOOKUP(Tabla1[[#This Row],[PAGO DIA]],DIAS!A:F,6,0)</f>
        <v>46203</v>
      </c>
      <c r="R699" s="6">
        <v>0</v>
      </c>
      <c r="S699" s="43">
        <f>VLOOKUP(Tabla1[[#This Row],[PAGO DIA]],DIAS!A:G,7,0)</f>
        <v>46234</v>
      </c>
      <c r="T699" s="6">
        <v>0</v>
      </c>
      <c r="U699" s="43">
        <f>VLOOKUP(Tabla1[[#This Row],[PAGO DIA]],DIAS!A:H,8,0)</f>
        <v>46265</v>
      </c>
      <c r="V699" s="6">
        <v>0</v>
      </c>
      <c r="W699" s="43">
        <f>VLOOKUP(Tabla1[[#This Row],[PAGO DIA]],DIAS!A:I,9,0)</f>
        <v>46295</v>
      </c>
      <c r="X699" s="6">
        <v>0</v>
      </c>
      <c r="Y699" s="43">
        <f>VLOOKUP(Tabla1[[#This Row],[PAGO DIA]],DIAS!A:J,10,0)</f>
        <v>46325</v>
      </c>
      <c r="Z699" s="6">
        <v>0</v>
      </c>
      <c r="AA699" s="43">
        <f>VLOOKUP(Tabla1[[#This Row],[PAGO DIA]],DIAS!A:K,11,0)</f>
        <v>46356</v>
      </c>
      <c r="AB699" s="6">
        <v>0</v>
      </c>
      <c r="AC699" s="43">
        <f>VLOOKUP(Tabla1[[#This Row],[PAGO DIA]],DIAS!A:M,12,0)</f>
        <v>46386</v>
      </c>
      <c r="AD6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0" spans="1:30">
      <c r="A700" s="3">
        <v>10985</v>
      </c>
      <c r="B700" s="3" t="s">
        <v>544</v>
      </c>
      <c r="C700" s="3" t="s">
        <v>505</v>
      </c>
      <c r="D700" s="3" t="s">
        <v>1193</v>
      </c>
      <c r="E700" s="3" t="s">
        <v>1333</v>
      </c>
      <c r="F700" s="42" t="s">
        <v>631</v>
      </c>
      <c r="G700" s="3" t="s">
        <v>1334</v>
      </c>
      <c r="H700" s="6">
        <v>0</v>
      </c>
      <c r="I700" s="41">
        <f>VLOOKUP(Tabla1[[#This Row],[PAGO DIA]],DIAS!A:B,2,0)</f>
        <v>46080</v>
      </c>
      <c r="J700" s="6">
        <v>0</v>
      </c>
      <c r="K700" s="43">
        <f>VLOOKUP(Tabla1[[#This Row],[PAGO DIA]],DIAS!A:C,3,0)</f>
        <v>46112</v>
      </c>
      <c r="L700" s="6">
        <v>0</v>
      </c>
      <c r="M700" s="41">
        <f>VLOOKUP(Tabla1[[#This Row],[PAGO DIA]],DIAS!A:D,4,0)</f>
        <v>46142</v>
      </c>
      <c r="N700" s="6">
        <v>0</v>
      </c>
      <c r="O700" s="43">
        <f>VLOOKUP(Tabla1[[#This Row],[PAGO DIA]],DIAS!A:E,5,0)</f>
        <v>46171</v>
      </c>
      <c r="P700" s="6">
        <v>0</v>
      </c>
      <c r="Q700" s="43">
        <f>VLOOKUP(Tabla1[[#This Row],[PAGO DIA]],DIAS!A:F,6,0)</f>
        <v>46203</v>
      </c>
      <c r="R700" s="6">
        <v>0</v>
      </c>
      <c r="S700" s="43">
        <f>VLOOKUP(Tabla1[[#This Row],[PAGO DIA]],DIAS!A:G,7,0)</f>
        <v>46234</v>
      </c>
      <c r="T700" s="6">
        <v>0</v>
      </c>
      <c r="U700" s="43">
        <f>VLOOKUP(Tabla1[[#This Row],[PAGO DIA]],DIAS!A:H,8,0)</f>
        <v>46265</v>
      </c>
      <c r="V700" s="6">
        <v>0</v>
      </c>
      <c r="W700" s="43">
        <f>VLOOKUP(Tabla1[[#This Row],[PAGO DIA]],DIAS!A:I,9,0)</f>
        <v>46295</v>
      </c>
      <c r="X700" s="6">
        <v>0</v>
      </c>
      <c r="Y700" s="43">
        <f>VLOOKUP(Tabla1[[#This Row],[PAGO DIA]],DIAS!A:J,10,0)</f>
        <v>46325</v>
      </c>
      <c r="Z700" s="6">
        <v>0</v>
      </c>
      <c r="AA700" s="43">
        <f>VLOOKUP(Tabla1[[#This Row],[PAGO DIA]],DIAS!A:K,11,0)</f>
        <v>46356</v>
      </c>
      <c r="AB700" s="6">
        <v>0</v>
      </c>
      <c r="AC700" s="43">
        <f>VLOOKUP(Tabla1[[#This Row],[PAGO DIA]],DIAS!A:M,12,0)</f>
        <v>46386</v>
      </c>
      <c r="AD7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1" spans="1:30">
      <c r="A701" s="3">
        <v>11199</v>
      </c>
      <c r="B701" s="3" t="s">
        <v>544</v>
      </c>
      <c r="C701" s="3" t="s">
        <v>505</v>
      </c>
      <c r="D701" s="3" t="s">
        <v>1193</v>
      </c>
      <c r="E701" s="3" t="s">
        <v>1333</v>
      </c>
      <c r="F701" s="42" t="s">
        <v>631</v>
      </c>
      <c r="G701" s="3" t="s">
        <v>1335</v>
      </c>
      <c r="H701" s="6">
        <v>0</v>
      </c>
      <c r="I701" s="41">
        <f>VLOOKUP(Tabla1[[#This Row],[PAGO DIA]],DIAS!A:B,2,0)</f>
        <v>46080</v>
      </c>
      <c r="J701" s="6">
        <v>0</v>
      </c>
      <c r="K701" s="43">
        <f>VLOOKUP(Tabla1[[#This Row],[PAGO DIA]],DIAS!A:C,3,0)</f>
        <v>46112</v>
      </c>
      <c r="L701" s="6">
        <v>0</v>
      </c>
      <c r="M701" s="41">
        <f>VLOOKUP(Tabla1[[#This Row],[PAGO DIA]],DIAS!A:D,4,0)</f>
        <v>46142</v>
      </c>
      <c r="N701" s="6">
        <v>0</v>
      </c>
      <c r="O701" s="43">
        <f>VLOOKUP(Tabla1[[#This Row],[PAGO DIA]],DIAS!A:E,5,0)</f>
        <v>46171</v>
      </c>
      <c r="P701" s="6">
        <v>0</v>
      </c>
      <c r="Q701" s="43">
        <f>VLOOKUP(Tabla1[[#This Row],[PAGO DIA]],DIAS!A:F,6,0)</f>
        <v>46203</v>
      </c>
      <c r="R701" s="6">
        <v>0</v>
      </c>
      <c r="S701" s="43">
        <f>VLOOKUP(Tabla1[[#This Row],[PAGO DIA]],DIAS!A:G,7,0)</f>
        <v>46234</v>
      </c>
      <c r="T701" s="6">
        <v>0</v>
      </c>
      <c r="U701" s="43">
        <f>VLOOKUP(Tabla1[[#This Row],[PAGO DIA]],DIAS!A:H,8,0)</f>
        <v>46265</v>
      </c>
      <c r="V701" s="6">
        <v>0</v>
      </c>
      <c r="W701" s="43">
        <f>VLOOKUP(Tabla1[[#This Row],[PAGO DIA]],DIAS!A:I,9,0)</f>
        <v>46295</v>
      </c>
      <c r="X701" s="6">
        <v>0</v>
      </c>
      <c r="Y701" s="43">
        <f>VLOOKUP(Tabla1[[#This Row],[PAGO DIA]],DIAS!A:J,10,0)</f>
        <v>46325</v>
      </c>
      <c r="Z701" s="6">
        <v>0</v>
      </c>
      <c r="AA701" s="43">
        <f>VLOOKUP(Tabla1[[#This Row],[PAGO DIA]],DIAS!A:K,11,0)</f>
        <v>46356</v>
      </c>
      <c r="AB701" s="6">
        <v>0</v>
      </c>
      <c r="AC701" s="43">
        <f>VLOOKUP(Tabla1[[#This Row],[PAGO DIA]],DIAS!A:M,12,0)</f>
        <v>46386</v>
      </c>
      <c r="AD7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2" spans="1:30">
      <c r="A702" s="3">
        <v>11050</v>
      </c>
      <c r="B702" s="3" t="s">
        <v>544</v>
      </c>
      <c r="C702" s="3" t="s">
        <v>505</v>
      </c>
      <c r="D702" s="3" t="s">
        <v>545</v>
      </c>
      <c r="E702" s="3" t="s">
        <v>1336</v>
      </c>
      <c r="F702" s="42" t="s">
        <v>631</v>
      </c>
      <c r="G702" s="3"/>
      <c r="H702" s="6">
        <v>0</v>
      </c>
      <c r="I702" s="41">
        <f>VLOOKUP(Tabla1[[#This Row],[PAGO DIA]],DIAS!A:B,2,0)</f>
        <v>46080</v>
      </c>
      <c r="J702" s="6">
        <v>0</v>
      </c>
      <c r="K702" s="43">
        <f>VLOOKUP(Tabla1[[#This Row],[PAGO DIA]],DIAS!A:C,3,0)</f>
        <v>46112</v>
      </c>
      <c r="L702" s="6">
        <v>0</v>
      </c>
      <c r="M702" s="41">
        <f>VLOOKUP(Tabla1[[#This Row],[PAGO DIA]],DIAS!A:D,4,0)</f>
        <v>46142</v>
      </c>
      <c r="N702" s="6">
        <v>0</v>
      </c>
      <c r="O702" s="43">
        <f>VLOOKUP(Tabla1[[#This Row],[PAGO DIA]],DIAS!A:E,5,0)</f>
        <v>46171</v>
      </c>
      <c r="P702" s="6">
        <v>0</v>
      </c>
      <c r="Q702" s="43">
        <f>VLOOKUP(Tabla1[[#This Row],[PAGO DIA]],DIAS!A:F,6,0)</f>
        <v>46203</v>
      </c>
      <c r="R702" s="6">
        <v>0</v>
      </c>
      <c r="S702" s="43">
        <f>VLOOKUP(Tabla1[[#This Row],[PAGO DIA]],DIAS!A:G,7,0)</f>
        <v>46234</v>
      </c>
      <c r="T702" s="6">
        <v>0</v>
      </c>
      <c r="U702" s="43">
        <f>VLOOKUP(Tabla1[[#This Row],[PAGO DIA]],DIAS!A:H,8,0)</f>
        <v>46265</v>
      </c>
      <c r="V702" s="6">
        <v>0</v>
      </c>
      <c r="W702" s="43">
        <f>VLOOKUP(Tabla1[[#This Row],[PAGO DIA]],DIAS!A:I,9,0)</f>
        <v>46295</v>
      </c>
      <c r="X702" s="6">
        <v>0</v>
      </c>
      <c r="Y702" s="43">
        <f>VLOOKUP(Tabla1[[#This Row],[PAGO DIA]],DIAS!A:J,10,0)</f>
        <v>46325</v>
      </c>
      <c r="Z702" s="6">
        <v>0</v>
      </c>
      <c r="AA702" s="43">
        <f>VLOOKUP(Tabla1[[#This Row],[PAGO DIA]],DIAS!A:K,11,0)</f>
        <v>46356</v>
      </c>
      <c r="AB702" s="6">
        <v>0</v>
      </c>
      <c r="AC702" s="43">
        <f>VLOOKUP(Tabla1[[#This Row],[PAGO DIA]],DIAS!A:M,12,0)</f>
        <v>46386</v>
      </c>
      <c r="AD7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3" spans="1:30">
      <c r="A703" s="3">
        <v>11292</v>
      </c>
      <c r="B703" s="3" t="s">
        <v>544</v>
      </c>
      <c r="C703" s="3" t="s">
        <v>505</v>
      </c>
      <c r="D703" s="3" t="s">
        <v>545</v>
      </c>
      <c r="E703" s="3" t="s">
        <v>1336</v>
      </c>
      <c r="F703" s="42" t="s">
        <v>631</v>
      </c>
      <c r="G703" s="3" t="s">
        <v>1337</v>
      </c>
      <c r="H703" s="6">
        <v>0</v>
      </c>
      <c r="I703" s="41">
        <f>VLOOKUP(Tabla1[[#This Row],[PAGO DIA]],DIAS!A:B,2,0)</f>
        <v>46080</v>
      </c>
      <c r="J703" s="6">
        <v>0</v>
      </c>
      <c r="K703" s="43">
        <f>VLOOKUP(Tabla1[[#This Row],[PAGO DIA]],DIAS!A:C,3,0)</f>
        <v>46112</v>
      </c>
      <c r="L703" s="6">
        <v>0</v>
      </c>
      <c r="M703" s="41">
        <f>VLOOKUP(Tabla1[[#This Row],[PAGO DIA]],DIAS!A:D,4,0)</f>
        <v>46142</v>
      </c>
      <c r="N703" s="6">
        <v>0</v>
      </c>
      <c r="O703" s="43">
        <f>VLOOKUP(Tabla1[[#This Row],[PAGO DIA]],DIAS!A:E,5,0)</f>
        <v>46171</v>
      </c>
      <c r="P703" s="6">
        <v>0</v>
      </c>
      <c r="Q703" s="43">
        <f>VLOOKUP(Tabla1[[#This Row],[PAGO DIA]],DIAS!A:F,6,0)</f>
        <v>46203</v>
      </c>
      <c r="R703" s="6">
        <v>0</v>
      </c>
      <c r="S703" s="43">
        <f>VLOOKUP(Tabla1[[#This Row],[PAGO DIA]],DIAS!A:G,7,0)</f>
        <v>46234</v>
      </c>
      <c r="T703" s="6">
        <v>0</v>
      </c>
      <c r="U703" s="43">
        <f>VLOOKUP(Tabla1[[#This Row],[PAGO DIA]],DIAS!A:H,8,0)</f>
        <v>46265</v>
      </c>
      <c r="V703" s="6">
        <v>0</v>
      </c>
      <c r="W703" s="43">
        <f>VLOOKUP(Tabla1[[#This Row],[PAGO DIA]],DIAS!A:I,9,0)</f>
        <v>46295</v>
      </c>
      <c r="X703" s="6">
        <v>0</v>
      </c>
      <c r="Y703" s="43">
        <f>VLOOKUP(Tabla1[[#This Row],[PAGO DIA]],DIAS!A:J,10,0)</f>
        <v>46325</v>
      </c>
      <c r="Z703" s="6">
        <v>0</v>
      </c>
      <c r="AA703" s="43">
        <f>VLOOKUP(Tabla1[[#This Row],[PAGO DIA]],DIAS!A:K,11,0)</f>
        <v>46356</v>
      </c>
      <c r="AB703" s="6">
        <v>0</v>
      </c>
      <c r="AC703" s="43">
        <f>VLOOKUP(Tabla1[[#This Row],[PAGO DIA]],DIAS!A:M,12,0)</f>
        <v>46386</v>
      </c>
      <c r="AD7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4" spans="1:30">
      <c r="A704" s="3">
        <v>11866</v>
      </c>
      <c r="B704" s="3" t="s">
        <v>544</v>
      </c>
      <c r="C704" s="3" t="s">
        <v>540</v>
      </c>
      <c r="D704" s="3" t="s">
        <v>545</v>
      </c>
      <c r="E704" s="3" t="s">
        <v>1336</v>
      </c>
      <c r="F704" s="42" t="s">
        <v>631</v>
      </c>
      <c r="G704" s="3" t="s">
        <v>1338</v>
      </c>
      <c r="H704" s="6">
        <v>0</v>
      </c>
      <c r="I704" s="41">
        <f>VLOOKUP(Tabla1[[#This Row],[PAGO DIA]],DIAS!A:B,2,0)</f>
        <v>46080</v>
      </c>
      <c r="J704" s="6">
        <v>0</v>
      </c>
      <c r="K704" s="43">
        <f>VLOOKUP(Tabla1[[#This Row],[PAGO DIA]],DIAS!A:C,3,0)</f>
        <v>46112</v>
      </c>
      <c r="L704" s="6">
        <v>0</v>
      </c>
      <c r="M704" s="41">
        <f>VLOOKUP(Tabla1[[#This Row],[PAGO DIA]],DIAS!A:D,4,0)</f>
        <v>46142</v>
      </c>
      <c r="N704" s="6">
        <v>0</v>
      </c>
      <c r="O704" s="43">
        <f>VLOOKUP(Tabla1[[#This Row],[PAGO DIA]],DIAS!A:E,5,0)</f>
        <v>46171</v>
      </c>
      <c r="P704" s="6">
        <v>0</v>
      </c>
      <c r="Q704" s="43">
        <f>VLOOKUP(Tabla1[[#This Row],[PAGO DIA]],DIAS!A:F,6,0)</f>
        <v>46203</v>
      </c>
      <c r="R704" s="6">
        <v>0</v>
      </c>
      <c r="S704" s="43">
        <f>VLOOKUP(Tabla1[[#This Row],[PAGO DIA]],DIAS!A:G,7,0)</f>
        <v>46234</v>
      </c>
      <c r="T704" s="6">
        <v>0</v>
      </c>
      <c r="U704" s="43">
        <f>VLOOKUP(Tabla1[[#This Row],[PAGO DIA]],DIAS!A:H,8,0)</f>
        <v>46265</v>
      </c>
      <c r="V704" s="6">
        <v>0</v>
      </c>
      <c r="W704" s="43">
        <f>VLOOKUP(Tabla1[[#This Row],[PAGO DIA]],DIAS!A:I,9,0)</f>
        <v>46295</v>
      </c>
      <c r="X704" s="6">
        <v>0</v>
      </c>
      <c r="Y704" s="43">
        <f>VLOOKUP(Tabla1[[#This Row],[PAGO DIA]],DIAS!A:J,10,0)</f>
        <v>46325</v>
      </c>
      <c r="Z704" s="6">
        <v>0</v>
      </c>
      <c r="AA704" s="43">
        <f>VLOOKUP(Tabla1[[#This Row],[PAGO DIA]],DIAS!A:K,11,0)</f>
        <v>46356</v>
      </c>
      <c r="AB704" s="6">
        <v>0</v>
      </c>
      <c r="AC704" s="43">
        <f>VLOOKUP(Tabla1[[#This Row],[PAGO DIA]],DIAS!A:M,12,0)</f>
        <v>46386</v>
      </c>
      <c r="AD7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5" spans="1:30">
      <c r="A705" s="3">
        <v>12034</v>
      </c>
      <c r="B705" s="3" t="s">
        <v>544</v>
      </c>
      <c r="C705" s="3" t="s">
        <v>505</v>
      </c>
      <c r="D705" s="3" t="s">
        <v>1244</v>
      </c>
      <c r="E705" s="3" t="s">
        <v>1339</v>
      </c>
      <c r="F705" s="42" t="s">
        <v>631</v>
      </c>
      <c r="G705" s="3" t="s">
        <v>1195</v>
      </c>
      <c r="H705" s="6">
        <v>0</v>
      </c>
      <c r="I705" s="41">
        <f>VLOOKUP(Tabla1[[#This Row],[PAGO DIA]],DIAS!A:B,2,0)</f>
        <v>46080</v>
      </c>
      <c r="J705" s="6">
        <v>0</v>
      </c>
      <c r="K705" s="43">
        <f>VLOOKUP(Tabla1[[#This Row],[PAGO DIA]],DIAS!A:C,3,0)</f>
        <v>46112</v>
      </c>
      <c r="L705" s="6">
        <v>0</v>
      </c>
      <c r="M705" s="41">
        <f>VLOOKUP(Tabla1[[#This Row],[PAGO DIA]],DIAS!A:D,4,0)</f>
        <v>46142</v>
      </c>
      <c r="N705" s="6">
        <v>0</v>
      </c>
      <c r="O705" s="43">
        <f>VLOOKUP(Tabla1[[#This Row],[PAGO DIA]],DIAS!A:E,5,0)</f>
        <v>46171</v>
      </c>
      <c r="P705" s="6">
        <v>0</v>
      </c>
      <c r="Q705" s="43">
        <f>VLOOKUP(Tabla1[[#This Row],[PAGO DIA]],DIAS!A:F,6,0)</f>
        <v>46203</v>
      </c>
      <c r="R705" s="6">
        <v>0</v>
      </c>
      <c r="S705" s="43">
        <f>VLOOKUP(Tabla1[[#This Row],[PAGO DIA]],DIAS!A:G,7,0)</f>
        <v>46234</v>
      </c>
      <c r="T705" s="6">
        <v>0</v>
      </c>
      <c r="U705" s="43">
        <f>VLOOKUP(Tabla1[[#This Row],[PAGO DIA]],DIAS!A:H,8,0)</f>
        <v>46265</v>
      </c>
      <c r="V705" s="6">
        <v>0</v>
      </c>
      <c r="W705" s="43">
        <f>VLOOKUP(Tabla1[[#This Row],[PAGO DIA]],DIAS!A:I,9,0)</f>
        <v>46295</v>
      </c>
      <c r="X705" s="6">
        <v>0</v>
      </c>
      <c r="Y705" s="43">
        <f>VLOOKUP(Tabla1[[#This Row],[PAGO DIA]],DIAS!A:J,10,0)</f>
        <v>46325</v>
      </c>
      <c r="Z705" s="6">
        <v>0</v>
      </c>
      <c r="AA705" s="43">
        <f>VLOOKUP(Tabla1[[#This Row],[PAGO DIA]],DIAS!A:K,11,0)</f>
        <v>46356</v>
      </c>
      <c r="AB705" s="6">
        <v>0</v>
      </c>
      <c r="AC705" s="43">
        <f>VLOOKUP(Tabla1[[#This Row],[PAGO DIA]],DIAS!A:M,12,0)</f>
        <v>46386</v>
      </c>
      <c r="AD7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6" spans="1:30">
      <c r="A706" s="3">
        <v>10972</v>
      </c>
      <c r="B706" s="3" t="s">
        <v>544</v>
      </c>
      <c r="C706" s="3" t="s">
        <v>505</v>
      </c>
      <c r="D706" s="3" t="s">
        <v>1193</v>
      </c>
      <c r="E706" s="3" t="s">
        <v>1194</v>
      </c>
      <c r="F706" s="42" t="s">
        <v>631</v>
      </c>
      <c r="G706" s="3" t="s">
        <v>1195</v>
      </c>
      <c r="H706" s="6">
        <v>0</v>
      </c>
      <c r="I706" s="41">
        <f>VLOOKUP(Tabla1[[#This Row],[PAGO DIA]],DIAS!A:B,2,0)</f>
        <v>46080</v>
      </c>
      <c r="J706" s="6">
        <v>0</v>
      </c>
      <c r="K706" s="43">
        <f>VLOOKUP(Tabla1[[#This Row],[PAGO DIA]],DIAS!A:C,3,0)</f>
        <v>46112</v>
      </c>
      <c r="L706" s="6">
        <v>0</v>
      </c>
      <c r="M706" s="41">
        <f>VLOOKUP(Tabla1[[#This Row],[PAGO DIA]],DIAS!A:D,4,0)</f>
        <v>46142</v>
      </c>
      <c r="N706" s="6">
        <v>0</v>
      </c>
      <c r="O706" s="43">
        <f>VLOOKUP(Tabla1[[#This Row],[PAGO DIA]],DIAS!A:E,5,0)</f>
        <v>46171</v>
      </c>
      <c r="P706" s="6">
        <v>0</v>
      </c>
      <c r="Q706" s="43">
        <f>VLOOKUP(Tabla1[[#This Row],[PAGO DIA]],DIAS!A:F,6,0)</f>
        <v>46203</v>
      </c>
      <c r="R706" s="6">
        <v>0</v>
      </c>
      <c r="S706" s="43">
        <f>VLOOKUP(Tabla1[[#This Row],[PAGO DIA]],DIAS!A:G,7,0)</f>
        <v>46234</v>
      </c>
      <c r="T706" s="6">
        <v>0</v>
      </c>
      <c r="U706" s="43">
        <f>VLOOKUP(Tabla1[[#This Row],[PAGO DIA]],DIAS!A:H,8,0)</f>
        <v>46265</v>
      </c>
      <c r="V706" s="6">
        <v>0</v>
      </c>
      <c r="W706" s="43">
        <f>VLOOKUP(Tabla1[[#This Row],[PAGO DIA]],DIAS!A:I,9,0)</f>
        <v>46295</v>
      </c>
      <c r="X706" s="6">
        <v>0</v>
      </c>
      <c r="Y706" s="43">
        <f>VLOOKUP(Tabla1[[#This Row],[PAGO DIA]],DIAS!A:J,10,0)</f>
        <v>46325</v>
      </c>
      <c r="Z706" s="6">
        <v>0</v>
      </c>
      <c r="AA706" s="43">
        <f>VLOOKUP(Tabla1[[#This Row],[PAGO DIA]],DIAS!A:K,11,0)</f>
        <v>46356</v>
      </c>
      <c r="AB706" s="6">
        <v>0</v>
      </c>
      <c r="AC706" s="43">
        <f>VLOOKUP(Tabla1[[#This Row],[PAGO DIA]],DIAS!A:M,12,0)</f>
        <v>46386</v>
      </c>
      <c r="AD7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7" spans="1:30">
      <c r="A707" s="3">
        <v>12058</v>
      </c>
      <c r="B707" s="3" t="s">
        <v>544</v>
      </c>
      <c r="C707" s="3" t="s">
        <v>505</v>
      </c>
      <c r="D707" s="3" t="s">
        <v>545</v>
      </c>
      <c r="E707" s="3" t="s">
        <v>869</v>
      </c>
      <c r="F707" s="42" t="s">
        <v>631</v>
      </c>
      <c r="G707" s="3" t="s">
        <v>635</v>
      </c>
      <c r="H707" s="6">
        <v>0</v>
      </c>
      <c r="I707" s="41">
        <f>VLOOKUP(Tabla1[[#This Row],[PAGO DIA]],DIAS!A:B,2,0)</f>
        <v>46080</v>
      </c>
      <c r="J707" s="6">
        <v>0</v>
      </c>
      <c r="K707" s="43">
        <f>VLOOKUP(Tabla1[[#This Row],[PAGO DIA]],DIAS!A:C,3,0)</f>
        <v>46112</v>
      </c>
      <c r="L707" s="6">
        <v>0</v>
      </c>
      <c r="M707" s="41">
        <f>VLOOKUP(Tabla1[[#This Row],[PAGO DIA]],DIAS!A:D,4,0)</f>
        <v>46142</v>
      </c>
      <c r="N707" s="6">
        <v>0</v>
      </c>
      <c r="O707" s="43">
        <f>VLOOKUP(Tabla1[[#This Row],[PAGO DIA]],DIAS!A:E,5,0)</f>
        <v>46171</v>
      </c>
      <c r="P707" s="6">
        <v>0</v>
      </c>
      <c r="Q707" s="43">
        <f>VLOOKUP(Tabla1[[#This Row],[PAGO DIA]],DIAS!A:F,6,0)</f>
        <v>46203</v>
      </c>
      <c r="R707" s="6">
        <v>0</v>
      </c>
      <c r="S707" s="43">
        <f>VLOOKUP(Tabla1[[#This Row],[PAGO DIA]],DIAS!A:G,7,0)</f>
        <v>46234</v>
      </c>
      <c r="T707" s="6">
        <v>0</v>
      </c>
      <c r="U707" s="43">
        <f>VLOOKUP(Tabla1[[#This Row],[PAGO DIA]],DIAS!A:H,8,0)</f>
        <v>46265</v>
      </c>
      <c r="V707" s="6">
        <v>0</v>
      </c>
      <c r="W707" s="43">
        <f>VLOOKUP(Tabla1[[#This Row],[PAGO DIA]],DIAS!A:I,9,0)</f>
        <v>46295</v>
      </c>
      <c r="X707" s="6">
        <v>0</v>
      </c>
      <c r="Y707" s="43">
        <f>VLOOKUP(Tabla1[[#This Row],[PAGO DIA]],DIAS!A:J,10,0)</f>
        <v>46325</v>
      </c>
      <c r="Z707" s="6">
        <v>0</v>
      </c>
      <c r="AA707" s="43">
        <f>VLOOKUP(Tabla1[[#This Row],[PAGO DIA]],DIAS!A:K,11,0)</f>
        <v>46356</v>
      </c>
      <c r="AB707" s="6">
        <v>0</v>
      </c>
      <c r="AC707" s="43">
        <f>VLOOKUP(Tabla1[[#This Row],[PAGO DIA]],DIAS!A:M,12,0)</f>
        <v>46386</v>
      </c>
      <c r="AD7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8" spans="1:30">
      <c r="A708" s="3">
        <v>11892</v>
      </c>
      <c r="B708" s="3" t="s">
        <v>544</v>
      </c>
      <c r="C708" s="3" t="s">
        <v>540</v>
      </c>
      <c r="D708" s="3" t="s">
        <v>545</v>
      </c>
      <c r="E708" s="3" t="s">
        <v>1340</v>
      </c>
      <c r="F708" s="42" t="s">
        <v>631</v>
      </c>
      <c r="G708" s="3" t="s">
        <v>1341</v>
      </c>
      <c r="H708" s="6">
        <v>0</v>
      </c>
      <c r="I708" s="41">
        <f>VLOOKUP(Tabla1[[#This Row],[PAGO DIA]],DIAS!A:B,2,0)</f>
        <v>46080</v>
      </c>
      <c r="J708" s="6">
        <v>0</v>
      </c>
      <c r="K708" s="43">
        <f>VLOOKUP(Tabla1[[#This Row],[PAGO DIA]],DIAS!A:C,3,0)</f>
        <v>46112</v>
      </c>
      <c r="L708" s="6">
        <v>0</v>
      </c>
      <c r="M708" s="41">
        <f>VLOOKUP(Tabla1[[#This Row],[PAGO DIA]],DIAS!A:D,4,0)</f>
        <v>46142</v>
      </c>
      <c r="N708" s="6">
        <v>0</v>
      </c>
      <c r="O708" s="43">
        <f>VLOOKUP(Tabla1[[#This Row],[PAGO DIA]],DIAS!A:E,5,0)</f>
        <v>46171</v>
      </c>
      <c r="P708" s="6">
        <v>0</v>
      </c>
      <c r="Q708" s="43">
        <f>VLOOKUP(Tabla1[[#This Row],[PAGO DIA]],DIAS!A:F,6,0)</f>
        <v>46203</v>
      </c>
      <c r="R708" s="6">
        <v>0</v>
      </c>
      <c r="S708" s="43">
        <f>VLOOKUP(Tabla1[[#This Row],[PAGO DIA]],DIAS!A:G,7,0)</f>
        <v>46234</v>
      </c>
      <c r="T708" s="6">
        <v>0</v>
      </c>
      <c r="U708" s="43">
        <f>VLOOKUP(Tabla1[[#This Row],[PAGO DIA]],DIAS!A:H,8,0)</f>
        <v>46265</v>
      </c>
      <c r="V708" s="6">
        <v>0</v>
      </c>
      <c r="W708" s="43">
        <f>VLOOKUP(Tabla1[[#This Row],[PAGO DIA]],DIAS!A:I,9,0)</f>
        <v>46295</v>
      </c>
      <c r="X708" s="6">
        <v>0</v>
      </c>
      <c r="Y708" s="43">
        <f>VLOOKUP(Tabla1[[#This Row],[PAGO DIA]],DIAS!A:J,10,0)</f>
        <v>46325</v>
      </c>
      <c r="Z708" s="6">
        <v>0</v>
      </c>
      <c r="AA708" s="43">
        <f>VLOOKUP(Tabla1[[#This Row],[PAGO DIA]],DIAS!A:K,11,0)</f>
        <v>46356</v>
      </c>
      <c r="AB708" s="6">
        <v>0</v>
      </c>
      <c r="AC708" s="43">
        <f>VLOOKUP(Tabla1[[#This Row],[PAGO DIA]],DIAS!A:M,12,0)</f>
        <v>46386</v>
      </c>
      <c r="AD7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09" spans="1:30">
      <c r="A709" s="3">
        <v>12823</v>
      </c>
      <c r="B709" s="3" t="s">
        <v>544</v>
      </c>
      <c r="C709" s="3" t="s">
        <v>505</v>
      </c>
      <c r="D709" s="3" t="s">
        <v>545</v>
      </c>
      <c r="E709" s="3" t="s">
        <v>1342</v>
      </c>
      <c r="F709" s="42" t="s">
        <v>631</v>
      </c>
      <c r="G709" s="3" t="s">
        <v>1343</v>
      </c>
      <c r="H709" s="6">
        <v>0</v>
      </c>
      <c r="I709" s="41">
        <f>VLOOKUP(Tabla1[[#This Row],[PAGO DIA]],DIAS!A:B,2,0)</f>
        <v>46080</v>
      </c>
      <c r="J709" s="6">
        <v>0</v>
      </c>
      <c r="K709" s="43">
        <f>VLOOKUP(Tabla1[[#This Row],[PAGO DIA]],DIAS!A:C,3,0)</f>
        <v>46112</v>
      </c>
      <c r="L709" s="6">
        <v>0</v>
      </c>
      <c r="M709" s="41">
        <f>VLOOKUP(Tabla1[[#This Row],[PAGO DIA]],DIAS!A:D,4,0)</f>
        <v>46142</v>
      </c>
      <c r="N709" s="6">
        <v>0</v>
      </c>
      <c r="O709" s="43">
        <f>VLOOKUP(Tabla1[[#This Row],[PAGO DIA]],DIAS!A:E,5,0)</f>
        <v>46171</v>
      </c>
      <c r="P709" s="6">
        <v>0</v>
      </c>
      <c r="Q709" s="43">
        <f>VLOOKUP(Tabla1[[#This Row],[PAGO DIA]],DIAS!A:F,6,0)</f>
        <v>46203</v>
      </c>
      <c r="R709" s="6">
        <v>0</v>
      </c>
      <c r="S709" s="43">
        <f>VLOOKUP(Tabla1[[#This Row],[PAGO DIA]],DIAS!A:G,7,0)</f>
        <v>46234</v>
      </c>
      <c r="T709" s="6">
        <v>0</v>
      </c>
      <c r="U709" s="43">
        <f>VLOOKUP(Tabla1[[#This Row],[PAGO DIA]],DIAS!A:H,8,0)</f>
        <v>46265</v>
      </c>
      <c r="V709" s="6">
        <v>0</v>
      </c>
      <c r="W709" s="43">
        <f>VLOOKUP(Tabla1[[#This Row],[PAGO DIA]],DIAS!A:I,9,0)</f>
        <v>46295</v>
      </c>
      <c r="X709" s="6">
        <v>0</v>
      </c>
      <c r="Y709" s="43">
        <f>VLOOKUP(Tabla1[[#This Row],[PAGO DIA]],DIAS!A:J,10,0)</f>
        <v>46325</v>
      </c>
      <c r="Z709" s="6">
        <v>0</v>
      </c>
      <c r="AA709" s="43">
        <f>VLOOKUP(Tabla1[[#This Row],[PAGO DIA]],DIAS!A:K,11,0)</f>
        <v>46356</v>
      </c>
      <c r="AB709" s="6">
        <v>0</v>
      </c>
      <c r="AC709" s="43">
        <f>VLOOKUP(Tabla1[[#This Row],[PAGO DIA]],DIAS!A:M,12,0)</f>
        <v>46386</v>
      </c>
      <c r="AD7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0" spans="1:30">
      <c r="A710" s="3">
        <v>12027</v>
      </c>
      <c r="B710" s="3" t="s">
        <v>544</v>
      </c>
      <c r="C710" s="3" t="s">
        <v>505</v>
      </c>
      <c r="D710" s="3" t="s">
        <v>1244</v>
      </c>
      <c r="E710" s="3" t="s">
        <v>1344</v>
      </c>
      <c r="F710" s="42" t="s">
        <v>631</v>
      </c>
      <c r="G710" s="3" t="s">
        <v>1345</v>
      </c>
      <c r="H710" s="6">
        <v>0</v>
      </c>
      <c r="I710" s="41">
        <f>VLOOKUP(Tabla1[[#This Row],[PAGO DIA]],DIAS!A:B,2,0)</f>
        <v>46080</v>
      </c>
      <c r="J710" s="6">
        <v>0</v>
      </c>
      <c r="K710" s="43">
        <f>VLOOKUP(Tabla1[[#This Row],[PAGO DIA]],DIAS!A:C,3,0)</f>
        <v>46112</v>
      </c>
      <c r="L710" s="6">
        <v>0</v>
      </c>
      <c r="M710" s="41">
        <f>VLOOKUP(Tabla1[[#This Row],[PAGO DIA]],DIAS!A:D,4,0)</f>
        <v>46142</v>
      </c>
      <c r="N710" s="6">
        <v>0</v>
      </c>
      <c r="O710" s="43">
        <f>VLOOKUP(Tabla1[[#This Row],[PAGO DIA]],DIAS!A:E,5,0)</f>
        <v>46171</v>
      </c>
      <c r="P710" s="6">
        <v>0</v>
      </c>
      <c r="Q710" s="43">
        <f>VLOOKUP(Tabla1[[#This Row],[PAGO DIA]],DIAS!A:F,6,0)</f>
        <v>46203</v>
      </c>
      <c r="R710" s="6">
        <v>0</v>
      </c>
      <c r="S710" s="43">
        <f>VLOOKUP(Tabla1[[#This Row],[PAGO DIA]],DIAS!A:G,7,0)</f>
        <v>46234</v>
      </c>
      <c r="T710" s="6">
        <v>0</v>
      </c>
      <c r="U710" s="43">
        <f>VLOOKUP(Tabla1[[#This Row],[PAGO DIA]],DIAS!A:H,8,0)</f>
        <v>46265</v>
      </c>
      <c r="V710" s="6">
        <v>0</v>
      </c>
      <c r="W710" s="43">
        <f>VLOOKUP(Tabla1[[#This Row],[PAGO DIA]],DIAS!A:I,9,0)</f>
        <v>46295</v>
      </c>
      <c r="X710" s="6">
        <v>0</v>
      </c>
      <c r="Y710" s="43">
        <f>VLOOKUP(Tabla1[[#This Row],[PAGO DIA]],DIAS!A:J,10,0)</f>
        <v>46325</v>
      </c>
      <c r="Z710" s="6">
        <v>0</v>
      </c>
      <c r="AA710" s="43">
        <f>VLOOKUP(Tabla1[[#This Row],[PAGO DIA]],DIAS!A:K,11,0)</f>
        <v>46356</v>
      </c>
      <c r="AB710" s="6">
        <v>0</v>
      </c>
      <c r="AC710" s="43">
        <f>VLOOKUP(Tabla1[[#This Row],[PAGO DIA]],DIAS!A:M,12,0)</f>
        <v>46386</v>
      </c>
      <c r="AD7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1" spans="1:30">
      <c r="A711" s="3">
        <v>12106</v>
      </c>
      <c r="B711" s="3" t="s">
        <v>544</v>
      </c>
      <c r="C711" s="3" t="s">
        <v>505</v>
      </c>
      <c r="D711" s="3" t="s">
        <v>1241</v>
      </c>
      <c r="E711" s="3" t="s">
        <v>1344</v>
      </c>
      <c r="F711" s="42" t="s">
        <v>631</v>
      </c>
      <c r="G711" s="3" t="s">
        <v>1346</v>
      </c>
      <c r="H711" s="6">
        <v>0</v>
      </c>
      <c r="I711" s="41">
        <f>VLOOKUP(Tabla1[[#This Row],[PAGO DIA]],DIAS!A:B,2,0)</f>
        <v>46080</v>
      </c>
      <c r="J711" s="6">
        <v>0</v>
      </c>
      <c r="K711" s="43">
        <f>VLOOKUP(Tabla1[[#This Row],[PAGO DIA]],DIAS!A:C,3,0)</f>
        <v>46112</v>
      </c>
      <c r="L711" s="6">
        <v>0</v>
      </c>
      <c r="M711" s="41">
        <f>VLOOKUP(Tabla1[[#This Row],[PAGO DIA]],DIAS!A:D,4,0)</f>
        <v>46142</v>
      </c>
      <c r="N711" s="6">
        <v>0</v>
      </c>
      <c r="O711" s="43">
        <f>VLOOKUP(Tabla1[[#This Row],[PAGO DIA]],DIAS!A:E,5,0)</f>
        <v>46171</v>
      </c>
      <c r="P711" s="6">
        <v>0</v>
      </c>
      <c r="Q711" s="43">
        <f>VLOOKUP(Tabla1[[#This Row],[PAGO DIA]],DIAS!A:F,6,0)</f>
        <v>46203</v>
      </c>
      <c r="R711" s="6">
        <v>0</v>
      </c>
      <c r="S711" s="43">
        <f>VLOOKUP(Tabla1[[#This Row],[PAGO DIA]],DIAS!A:G,7,0)</f>
        <v>46234</v>
      </c>
      <c r="T711" s="6">
        <v>0</v>
      </c>
      <c r="U711" s="43">
        <f>VLOOKUP(Tabla1[[#This Row],[PAGO DIA]],DIAS!A:H,8,0)</f>
        <v>46265</v>
      </c>
      <c r="V711" s="6">
        <v>0</v>
      </c>
      <c r="W711" s="43">
        <f>VLOOKUP(Tabla1[[#This Row],[PAGO DIA]],DIAS!A:I,9,0)</f>
        <v>46295</v>
      </c>
      <c r="X711" s="6">
        <v>0</v>
      </c>
      <c r="Y711" s="43">
        <f>VLOOKUP(Tabla1[[#This Row],[PAGO DIA]],DIAS!A:J,10,0)</f>
        <v>46325</v>
      </c>
      <c r="Z711" s="6">
        <v>0</v>
      </c>
      <c r="AA711" s="43">
        <f>VLOOKUP(Tabla1[[#This Row],[PAGO DIA]],DIAS!A:K,11,0)</f>
        <v>46356</v>
      </c>
      <c r="AB711" s="6">
        <v>0</v>
      </c>
      <c r="AC711" s="43">
        <f>VLOOKUP(Tabla1[[#This Row],[PAGO DIA]],DIAS!A:M,12,0)</f>
        <v>46386</v>
      </c>
      <c r="AD7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2" spans="1:30">
      <c r="A712" s="3">
        <v>12132</v>
      </c>
      <c r="B712" s="3" t="s">
        <v>544</v>
      </c>
      <c r="C712" s="3" t="s">
        <v>505</v>
      </c>
      <c r="D712" s="3" t="s">
        <v>1244</v>
      </c>
      <c r="E712" s="3" t="s">
        <v>1344</v>
      </c>
      <c r="F712" s="42" t="s">
        <v>631</v>
      </c>
      <c r="G712" s="3" t="s">
        <v>1332</v>
      </c>
      <c r="H712" s="6">
        <v>0</v>
      </c>
      <c r="I712" s="41">
        <f>VLOOKUP(Tabla1[[#This Row],[PAGO DIA]],DIAS!A:B,2,0)</f>
        <v>46080</v>
      </c>
      <c r="J712" s="6">
        <v>0</v>
      </c>
      <c r="K712" s="43">
        <f>VLOOKUP(Tabla1[[#This Row],[PAGO DIA]],DIAS!A:C,3,0)</f>
        <v>46112</v>
      </c>
      <c r="L712" s="6">
        <v>0</v>
      </c>
      <c r="M712" s="41">
        <f>VLOOKUP(Tabla1[[#This Row],[PAGO DIA]],DIAS!A:D,4,0)</f>
        <v>46142</v>
      </c>
      <c r="N712" s="6">
        <v>0</v>
      </c>
      <c r="O712" s="43">
        <f>VLOOKUP(Tabla1[[#This Row],[PAGO DIA]],DIAS!A:E,5,0)</f>
        <v>46171</v>
      </c>
      <c r="P712" s="6">
        <v>0</v>
      </c>
      <c r="Q712" s="43">
        <f>VLOOKUP(Tabla1[[#This Row],[PAGO DIA]],DIAS!A:F,6,0)</f>
        <v>46203</v>
      </c>
      <c r="R712" s="6">
        <v>0</v>
      </c>
      <c r="S712" s="43">
        <f>VLOOKUP(Tabla1[[#This Row],[PAGO DIA]],DIAS!A:G,7,0)</f>
        <v>46234</v>
      </c>
      <c r="T712" s="6">
        <v>0</v>
      </c>
      <c r="U712" s="43">
        <f>VLOOKUP(Tabla1[[#This Row],[PAGO DIA]],DIAS!A:H,8,0)</f>
        <v>46265</v>
      </c>
      <c r="V712" s="6">
        <v>0</v>
      </c>
      <c r="W712" s="43">
        <f>VLOOKUP(Tabla1[[#This Row],[PAGO DIA]],DIAS!A:I,9,0)</f>
        <v>46295</v>
      </c>
      <c r="X712" s="6">
        <v>0</v>
      </c>
      <c r="Y712" s="43">
        <f>VLOOKUP(Tabla1[[#This Row],[PAGO DIA]],DIAS!A:J,10,0)</f>
        <v>46325</v>
      </c>
      <c r="Z712" s="6">
        <v>0</v>
      </c>
      <c r="AA712" s="43">
        <f>VLOOKUP(Tabla1[[#This Row],[PAGO DIA]],DIAS!A:K,11,0)</f>
        <v>46356</v>
      </c>
      <c r="AB712" s="6">
        <v>0</v>
      </c>
      <c r="AC712" s="43">
        <f>VLOOKUP(Tabla1[[#This Row],[PAGO DIA]],DIAS!A:M,12,0)</f>
        <v>46386</v>
      </c>
      <c r="AD7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3" spans="1:30">
      <c r="A713" s="3">
        <v>12816</v>
      </c>
      <c r="B713" s="3" t="s">
        <v>544</v>
      </c>
      <c r="C713" s="3" t="s">
        <v>505</v>
      </c>
      <c r="D713" s="3" t="s">
        <v>545</v>
      </c>
      <c r="E713" s="3" t="s">
        <v>1347</v>
      </c>
      <c r="F713" s="42" t="s">
        <v>631</v>
      </c>
      <c r="G713" s="3" t="s">
        <v>1346</v>
      </c>
      <c r="H713" s="6">
        <v>0</v>
      </c>
      <c r="I713" s="41">
        <f>VLOOKUP(Tabla1[[#This Row],[PAGO DIA]],DIAS!A:B,2,0)</f>
        <v>46080</v>
      </c>
      <c r="J713" s="6">
        <v>0</v>
      </c>
      <c r="K713" s="43">
        <f>VLOOKUP(Tabla1[[#This Row],[PAGO DIA]],DIAS!A:C,3,0)</f>
        <v>46112</v>
      </c>
      <c r="L713" s="6">
        <v>0</v>
      </c>
      <c r="M713" s="41">
        <f>VLOOKUP(Tabla1[[#This Row],[PAGO DIA]],DIAS!A:D,4,0)</f>
        <v>46142</v>
      </c>
      <c r="N713" s="6">
        <v>0</v>
      </c>
      <c r="O713" s="43">
        <f>VLOOKUP(Tabla1[[#This Row],[PAGO DIA]],DIAS!A:E,5,0)</f>
        <v>46171</v>
      </c>
      <c r="P713" s="6">
        <v>0</v>
      </c>
      <c r="Q713" s="43">
        <f>VLOOKUP(Tabla1[[#This Row],[PAGO DIA]],DIAS!A:F,6,0)</f>
        <v>46203</v>
      </c>
      <c r="R713" s="6">
        <v>0</v>
      </c>
      <c r="S713" s="43">
        <f>VLOOKUP(Tabla1[[#This Row],[PAGO DIA]],DIAS!A:G,7,0)</f>
        <v>46234</v>
      </c>
      <c r="T713" s="6">
        <v>0</v>
      </c>
      <c r="U713" s="43">
        <f>VLOOKUP(Tabla1[[#This Row],[PAGO DIA]],DIAS!A:H,8,0)</f>
        <v>46265</v>
      </c>
      <c r="V713" s="6">
        <v>0</v>
      </c>
      <c r="W713" s="43">
        <f>VLOOKUP(Tabla1[[#This Row],[PAGO DIA]],DIAS!A:I,9,0)</f>
        <v>46295</v>
      </c>
      <c r="X713" s="6">
        <v>0</v>
      </c>
      <c r="Y713" s="43">
        <f>VLOOKUP(Tabla1[[#This Row],[PAGO DIA]],DIAS!A:J,10,0)</f>
        <v>46325</v>
      </c>
      <c r="Z713" s="6">
        <v>0</v>
      </c>
      <c r="AA713" s="43">
        <f>VLOOKUP(Tabla1[[#This Row],[PAGO DIA]],DIAS!A:K,11,0)</f>
        <v>46356</v>
      </c>
      <c r="AB713" s="6">
        <v>0</v>
      </c>
      <c r="AC713" s="43">
        <f>VLOOKUP(Tabla1[[#This Row],[PAGO DIA]],DIAS!A:M,12,0)</f>
        <v>46386</v>
      </c>
      <c r="AD7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4" spans="1:30">
      <c r="A714" s="3">
        <v>12817</v>
      </c>
      <c r="B714" s="3" t="s">
        <v>544</v>
      </c>
      <c r="C714" s="3" t="s">
        <v>505</v>
      </c>
      <c r="D714" s="3" t="s">
        <v>545</v>
      </c>
      <c r="E714" s="3" t="s">
        <v>1347</v>
      </c>
      <c r="F714" s="42" t="s">
        <v>631</v>
      </c>
      <c r="G714" s="3" t="s">
        <v>1345</v>
      </c>
      <c r="H714" s="6">
        <v>0</v>
      </c>
      <c r="I714" s="41">
        <f>VLOOKUP(Tabla1[[#This Row],[PAGO DIA]],DIAS!A:B,2,0)</f>
        <v>46080</v>
      </c>
      <c r="J714" s="6">
        <v>0</v>
      </c>
      <c r="K714" s="43">
        <f>VLOOKUP(Tabla1[[#This Row],[PAGO DIA]],DIAS!A:C,3,0)</f>
        <v>46112</v>
      </c>
      <c r="L714" s="6">
        <v>0</v>
      </c>
      <c r="M714" s="41">
        <f>VLOOKUP(Tabla1[[#This Row],[PAGO DIA]],DIAS!A:D,4,0)</f>
        <v>46142</v>
      </c>
      <c r="N714" s="6">
        <v>0</v>
      </c>
      <c r="O714" s="43">
        <f>VLOOKUP(Tabla1[[#This Row],[PAGO DIA]],DIAS!A:E,5,0)</f>
        <v>46171</v>
      </c>
      <c r="P714" s="6">
        <v>0</v>
      </c>
      <c r="Q714" s="43">
        <f>VLOOKUP(Tabla1[[#This Row],[PAGO DIA]],DIAS!A:F,6,0)</f>
        <v>46203</v>
      </c>
      <c r="R714" s="6">
        <v>0</v>
      </c>
      <c r="S714" s="43">
        <f>VLOOKUP(Tabla1[[#This Row],[PAGO DIA]],DIAS!A:G,7,0)</f>
        <v>46234</v>
      </c>
      <c r="T714" s="6">
        <v>0</v>
      </c>
      <c r="U714" s="43">
        <f>VLOOKUP(Tabla1[[#This Row],[PAGO DIA]],DIAS!A:H,8,0)</f>
        <v>46265</v>
      </c>
      <c r="V714" s="6">
        <v>0</v>
      </c>
      <c r="W714" s="43">
        <f>VLOOKUP(Tabla1[[#This Row],[PAGO DIA]],DIAS!A:I,9,0)</f>
        <v>46295</v>
      </c>
      <c r="X714" s="6">
        <v>0</v>
      </c>
      <c r="Y714" s="43">
        <f>VLOOKUP(Tabla1[[#This Row],[PAGO DIA]],DIAS!A:J,10,0)</f>
        <v>46325</v>
      </c>
      <c r="Z714" s="6">
        <v>0</v>
      </c>
      <c r="AA714" s="43">
        <f>VLOOKUP(Tabla1[[#This Row],[PAGO DIA]],DIAS!A:K,11,0)</f>
        <v>46356</v>
      </c>
      <c r="AB714" s="6">
        <v>0</v>
      </c>
      <c r="AC714" s="43">
        <f>VLOOKUP(Tabla1[[#This Row],[PAGO DIA]],DIAS!A:M,12,0)</f>
        <v>46386</v>
      </c>
      <c r="AD7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5" spans="1:30">
      <c r="A715" s="3">
        <v>11152</v>
      </c>
      <c r="B715" s="3" t="s">
        <v>544</v>
      </c>
      <c r="C715" s="3" t="s">
        <v>505</v>
      </c>
      <c r="D715" s="3" t="s">
        <v>1193</v>
      </c>
      <c r="E715" s="3" t="s">
        <v>1348</v>
      </c>
      <c r="F715" s="42" t="s">
        <v>631</v>
      </c>
      <c r="G715" s="3" t="s">
        <v>1349</v>
      </c>
      <c r="H715" s="6">
        <v>0</v>
      </c>
      <c r="I715" s="41">
        <f>VLOOKUP(Tabla1[[#This Row],[PAGO DIA]],DIAS!A:B,2,0)</f>
        <v>46080</v>
      </c>
      <c r="J715" s="6">
        <v>0</v>
      </c>
      <c r="K715" s="43">
        <f>VLOOKUP(Tabla1[[#This Row],[PAGO DIA]],DIAS!A:C,3,0)</f>
        <v>46112</v>
      </c>
      <c r="L715" s="6">
        <v>0</v>
      </c>
      <c r="M715" s="41">
        <f>VLOOKUP(Tabla1[[#This Row],[PAGO DIA]],DIAS!A:D,4,0)</f>
        <v>46142</v>
      </c>
      <c r="N715" s="6">
        <v>0</v>
      </c>
      <c r="O715" s="43">
        <f>VLOOKUP(Tabla1[[#This Row],[PAGO DIA]],DIAS!A:E,5,0)</f>
        <v>46171</v>
      </c>
      <c r="P715" s="6">
        <v>0</v>
      </c>
      <c r="Q715" s="43">
        <f>VLOOKUP(Tabla1[[#This Row],[PAGO DIA]],DIAS!A:F,6,0)</f>
        <v>46203</v>
      </c>
      <c r="R715" s="6">
        <v>0</v>
      </c>
      <c r="S715" s="43">
        <f>VLOOKUP(Tabla1[[#This Row],[PAGO DIA]],DIAS!A:G,7,0)</f>
        <v>46234</v>
      </c>
      <c r="T715" s="6">
        <v>0</v>
      </c>
      <c r="U715" s="43">
        <f>VLOOKUP(Tabla1[[#This Row],[PAGO DIA]],DIAS!A:H,8,0)</f>
        <v>46265</v>
      </c>
      <c r="V715" s="6">
        <v>0</v>
      </c>
      <c r="W715" s="43">
        <f>VLOOKUP(Tabla1[[#This Row],[PAGO DIA]],DIAS!A:I,9,0)</f>
        <v>46295</v>
      </c>
      <c r="X715" s="6">
        <v>0</v>
      </c>
      <c r="Y715" s="43">
        <f>VLOOKUP(Tabla1[[#This Row],[PAGO DIA]],DIAS!A:J,10,0)</f>
        <v>46325</v>
      </c>
      <c r="Z715" s="6">
        <v>0</v>
      </c>
      <c r="AA715" s="43">
        <f>VLOOKUP(Tabla1[[#This Row],[PAGO DIA]],DIAS!A:K,11,0)</f>
        <v>46356</v>
      </c>
      <c r="AB715" s="6">
        <v>0</v>
      </c>
      <c r="AC715" s="43">
        <f>VLOOKUP(Tabla1[[#This Row],[PAGO DIA]],DIAS!A:M,12,0)</f>
        <v>46386</v>
      </c>
      <c r="AD7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6" spans="1:30">
      <c r="A716" s="3">
        <v>11161</v>
      </c>
      <c r="B716" s="3" t="s">
        <v>544</v>
      </c>
      <c r="C716" s="3" t="s">
        <v>505</v>
      </c>
      <c r="D716" s="3" t="s">
        <v>1193</v>
      </c>
      <c r="E716" s="3" t="s">
        <v>1348</v>
      </c>
      <c r="F716" s="42" t="s">
        <v>631</v>
      </c>
      <c r="G716" s="3" t="s">
        <v>1346</v>
      </c>
      <c r="H716" s="6">
        <v>0</v>
      </c>
      <c r="I716" s="41">
        <f>VLOOKUP(Tabla1[[#This Row],[PAGO DIA]],DIAS!A:B,2,0)</f>
        <v>46080</v>
      </c>
      <c r="J716" s="6">
        <v>0</v>
      </c>
      <c r="K716" s="43">
        <f>VLOOKUP(Tabla1[[#This Row],[PAGO DIA]],DIAS!A:C,3,0)</f>
        <v>46112</v>
      </c>
      <c r="L716" s="6">
        <v>0</v>
      </c>
      <c r="M716" s="41">
        <f>VLOOKUP(Tabla1[[#This Row],[PAGO DIA]],DIAS!A:D,4,0)</f>
        <v>46142</v>
      </c>
      <c r="N716" s="6">
        <v>0</v>
      </c>
      <c r="O716" s="43">
        <f>VLOOKUP(Tabla1[[#This Row],[PAGO DIA]],DIAS!A:E,5,0)</f>
        <v>46171</v>
      </c>
      <c r="P716" s="6">
        <v>0</v>
      </c>
      <c r="Q716" s="43">
        <f>VLOOKUP(Tabla1[[#This Row],[PAGO DIA]],DIAS!A:F,6,0)</f>
        <v>46203</v>
      </c>
      <c r="R716" s="6">
        <v>0</v>
      </c>
      <c r="S716" s="43">
        <f>VLOOKUP(Tabla1[[#This Row],[PAGO DIA]],DIAS!A:G,7,0)</f>
        <v>46234</v>
      </c>
      <c r="T716" s="6">
        <v>0</v>
      </c>
      <c r="U716" s="43">
        <f>VLOOKUP(Tabla1[[#This Row],[PAGO DIA]],DIAS!A:H,8,0)</f>
        <v>46265</v>
      </c>
      <c r="V716" s="6">
        <v>0</v>
      </c>
      <c r="W716" s="43">
        <f>VLOOKUP(Tabla1[[#This Row],[PAGO DIA]],DIAS!A:I,9,0)</f>
        <v>46295</v>
      </c>
      <c r="X716" s="6">
        <v>0</v>
      </c>
      <c r="Y716" s="43">
        <f>VLOOKUP(Tabla1[[#This Row],[PAGO DIA]],DIAS!A:J,10,0)</f>
        <v>46325</v>
      </c>
      <c r="Z716" s="6">
        <v>0</v>
      </c>
      <c r="AA716" s="43">
        <f>VLOOKUP(Tabla1[[#This Row],[PAGO DIA]],DIAS!A:K,11,0)</f>
        <v>46356</v>
      </c>
      <c r="AB716" s="6">
        <v>0</v>
      </c>
      <c r="AC716" s="43">
        <f>VLOOKUP(Tabla1[[#This Row],[PAGO DIA]],DIAS!A:M,12,0)</f>
        <v>46386</v>
      </c>
      <c r="AD7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7" spans="1:30">
      <c r="A717" s="3">
        <v>11166</v>
      </c>
      <c r="B717" s="3" t="s">
        <v>544</v>
      </c>
      <c r="C717" s="3" t="s">
        <v>505</v>
      </c>
      <c r="D717" s="3" t="s">
        <v>1193</v>
      </c>
      <c r="E717" s="3" t="s">
        <v>1348</v>
      </c>
      <c r="F717" s="42" t="s">
        <v>631</v>
      </c>
      <c r="G717" s="3" t="s">
        <v>1349</v>
      </c>
      <c r="H717" s="6">
        <v>0</v>
      </c>
      <c r="I717" s="41">
        <f>VLOOKUP(Tabla1[[#This Row],[PAGO DIA]],DIAS!A:B,2,0)</f>
        <v>46080</v>
      </c>
      <c r="J717" s="6">
        <v>0</v>
      </c>
      <c r="K717" s="43">
        <f>VLOOKUP(Tabla1[[#This Row],[PAGO DIA]],DIAS!A:C,3,0)</f>
        <v>46112</v>
      </c>
      <c r="L717" s="6">
        <v>0</v>
      </c>
      <c r="M717" s="41">
        <f>VLOOKUP(Tabla1[[#This Row],[PAGO DIA]],DIAS!A:D,4,0)</f>
        <v>46142</v>
      </c>
      <c r="N717" s="6">
        <v>0</v>
      </c>
      <c r="O717" s="43">
        <f>VLOOKUP(Tabla1[[#This Row],[PAGO DIA]],DIAS!A:E,5,0)</f>
        <v>46171</v>
      </c>
      <c r="P717" s="6">
        <v>0</v>
      </c>
      <c r="Q717" s="43">
        <f>VLOOKUP(Tabla1[[#This Row],[PAGO DIA]],DIAS!A:F,6,0)</f>
        <v>46203</v>
      </c>
      <c r="R717" s="6">
        <v>0</v>
      </c>
      <c r="S717" s="43">
        <f>VLOOKUP(Tabla1[[#This Row],[PAGO DIA]],DIAS!A:G,7,0)</f>
        <v>46234</v>
      </c>
      <c r="T717" s="6">
        <v>0</v>
      </c>
      <c r="U717" s="43">
        <f>VLOOKUP(Tabla1[[#This Row],[PAGO DIA]],DIAS!A:H,8,0)</f>
        <v>46265</v>
      </c>
      <c r="V717" s="6">
        <v>0</v>
      </c>
      <c r="W717" s="43">
        <f>VLOOKUP(Tabla1[[#This Row],[PAGO DIA]],DIAS!A:I,9,0)</f>
        <v>46295</v>
      </c>
      <c r="X717" s="6">
        <v>0</v>
      </c>
      <c r="Y717" s="43">
        <f>VLOOKUP(Tabla1[[#This Row],[PAGO DIA]],DIAS!A:J,10,0)</f>
        <v>46325</v>
      </c>
      <c r="Z717" s="6">
        <v>0</v>
      </c>
      <c r="AA717" s="43">
        <f>VLOOKUP(Tabla1[[#This Row],[PAGO DIA]],DIAS!A:K,11,0)</f>
        <v>46356</v>
      </c>
      <c r="AB717" s="6">
        <v>0</v>
      </c>
      <c r="AC717" s="43">
        <f>VLOOKUP(Tabla1[[#This Row],[PAGO DIA]],DIAS!A:M,12,0)</f>
        <v>46386</v>
      </c>
      <c r="AD7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8" spans="1:30">
      <c r="A718" s="3">
        <v>11400</v>
      </c>
      <c r="B718" s="3" t="s">
        <v>544</v>
      </c>
      <c r="C718" s="3" t="s">
        <v>505</v>
      </c>
      <c r="D718" s="3" t="s">
        <v>1193</v>
      </c>
      <c r="E718" s="3" t="s">
        <v>1348</v>
      </c>
      <c r="F718" s="42" t="s">
        <v>631</v>
      </c>
      <c r="G718" s="3" t="s">
        <v>1346</v>
      </c>
      <c r="H718" s="6">
        <v>0</v>
      </c>
      <c r="I718" s="41">
        <f>VLOOKUP(Tabla1[[#This Row],[PAGO DIA]],DIAS!A:B,2,0)</f>
        <v>46080</v>
      </c>
      <c r="J718" s="6">
        <v>0</v>
      </c>
      <c r="K718" s="43">
        <f>VLOOKUP(Tabla1[[#This Row],[PAGO DIA]],DIAS!A:C,3,0)</f>
        <v>46112</v>
      </c>
      <c r="L718" s="6">
        <v>0</v>
      </c>
      <c r="M718" s="41">
        <f>VLOOKUP(Tabla1[[#This Row],[PAGO DIA]],DIAS!A:D,4,0)</f>
        <v>46142</v>
      </c>
      <c r="N718" s="6">
        <v>0</v>
      </c>
      <c r="O718" s="43">
        <f>VLOOKUP(Tabla1[[#This Row],[PAGO DIA]],DIAS!A:E,5,0)</f>
        <v>46171</v>
      </c>
      <c r="P718" s="6">
        <v>0</v>
      </c>
      <c r="Q718" s="43">
        <f>VLOOKUP(Tabla1[[#This Row],[PAGO DIA]],DIAS!A:F,6,0)</f>
        <v>46203</v>
      </c>
      <c r="R718" s="6">
        <v>0</v>
      </c>
      <c r="S718" s="43">
        <f>VLOOKUP(Tabla1[[#This Row],[PAGO DIA]],DIAS!A:G,7,0)</f>
        <v>46234</v>
      </c>
      <c r="T718" s="6">
        <v>0</v>
      </c>
      <c r="U718" s="43">
        <f>VLOOKUP(Tabla1[[#This Row],[PAGO DIA]],DIAS!A:H,8,0)</f>
        <v>46265</v>
      </c>
      <c r="V718" s="6">
        <v>0</v>
      </c>
      <c r="W718" s="43">
        <f>VLOOKUP(Tabla1[[#This Row],[PAGO DIA]],DIAS!A:I,9,0)</f>
        <v>46295</v>
      </c>
      <c r="X718" s="6">
        <v>0</v>
      </c>
      <c r="Y718" s="43">
        <f>VLOOKUP(Tabla1[[#This Row],[PAGO DIA]],DIAS!A:J,10,0)</f>
        <v>46325</v>
      </c>
      <c r="Z718" s="6">
        <v>0</v>
      </c>
      <c r="AA718" s="43">
        <f>VLOOKUP(Tabla1[[#This Row],[PAGO DIA]],DIAS!A:K,11,0)</f>
        <v>46356</v>
      </c>
      <c r="AB718" s="6">
        <v>0</v>
      </c>
      <c r="AC718" s="43">
        <f>VLOOKUP(Tabla1[[#This Row],[PAGO DIA]],DIAS!A:M,12,0)</f>
        <v>46386</v>
      </c>
      <c r="AD7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19" spans="1:30">
      <c r="A719" s="3">
        <v>12029</v>
      </c>
      <c r="B719" s="3" t="s">
        <v>544</v>
      </c>
      <c r="C719" s="3" t="s">
        <v>505</v>
      </c>
      <c r="D719" s="3" t="s">
        <v>1244</v>
      </c>
      <c r="E719" s="3" t="s">
        <v>1350</v>
      </c>
      <c r="F719" s="42" t="s">
        <v>631</v>
      </c>
      <c r="G719" s="3" t="s">
        <v>1351</v>
      </c>
      <c r="H719" s="6">
        <v>0</v>
      </c>
      <c r="I719" s="41">
        <f>VLOOKUP(Tabla1[[#This Row],[PAGO DIA]],DIAS!A:B,2,0)</f>
        <v>46080</v>
      </c>
      <c r="J719" s="6">
        <v>0</v>
      </c>
      <c r="K719" s="43">
        <f>VLOOKUP(Tabla1[[#This Row],[PAGO DIA]],DIAS!A:C,3,0)</f>
        <v>46112</v>
      </c>
      <c r="L719" s="6">
        <v>0</v>
      </c>
      <c r="M719" s="41">
        <f>VLOOKUP(Tabla1[[#This Row],[PAGO DIA]],DIAS!A:D,4,0)</f>
        <v>46142</v>
      </c>
      <c r="N719" s="6">
        <v>0</v>
      </c>
      <c r="O719" s="43">
        <f>VLOOKUP(Tabla1[[#This Row],[PAGO DIA]],DIAS!A:E,5,0)</f>
        <v>46171</v>
      </c>
      <c r="P719" s="6">
        <v>0</v>
      </c>
      <c r="Q719" s="43">
        <f>VLOOKUP(Tabla1[[#This Row],[PAGO DIA]],DIAS!A:F,6,0)</f>
        <v>46203</v>
      </c>
      <c r="R719" s="6">
        <v>0</v>
      </c>
      <c r="S719" s="43">
        <f>VLOOKUP(Tabla1[[#This Row],[PAGO DIA]],DIAS!A:G,7,0)</f>
        <v>46234</v>
      </c>
      <c r="T719" s="6">
        <v>0</v>
      </c>
      <c r="U719" s="43">
        <f>VLOOKUP(Tabla1[[#This Row],[PAGO DIA]],DIAS!A:H,8,0)</f>
        <v>46265</v>
      </c>
      <c r="V719" s="6">
        <v>0</v>
      </c>
      <c r="W719" s="43">
        <f>VLOOKUP(Tabla1[[#This Row],[PAGO DIA]],DIAS!A:I,9,0)</f>
        <v>46295</v>
      </c>
      <c r="X719" s="6">
        <v>0</v>
      </c>
      <c r="Y719" s="43">
        <f>VLOOKUP(Tabla1[[#This Row],[PAGO DIA]],DIAS!A:J,10,0)</f>
        <v>46325</v>
      </c>
      <c r="Z719" s="6">
        <v>0</v>
      </c>
      <c r="AA719" s="43">
        <f>VLOOKUP(Tabla1[[#This Row],[PAGO DIA]],DIAS!A:K,11,0)</f>
        <v>46356</v>
      </c>
      <c r="AB719" s="6">
        <v>0</v>
      </c>
      <c r="AC719" s="43">
        <f>VLOOKUP(Tabla1[[#This Row],[PAGO DIA]],DIAS!A:M,12,0)</f>
        <v>46386</v>
      </c>
      <c r="AD7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0" spans="1:30">
      <c r="A720" s="3">
        <v>12107</v>
      </c>
      <c r="B720" s="3" t="s">
        <v>544</v>
      </c>
      <c r="C720" s="3" t="s">
        <v>505</v>
      </c>
      <c r="D720" s="3" t="s">
        <v>1241</v>
      </c>
      <c r="E720" s="3" t="s">
        <v>1350</v>
      </c>
      <c r="F720" s="42" t="s">
        <v>631</v>
      </c>
      <c r="G720" s="3" t="s">
        <v>1352</v>
      </c>
      <c r="H720" s="6">
        <v>0</v>
      </c>
      <c r="I720" s="41">
        <f>VLOOKUP(Tabla1[[#This Row],[PAGO DIA]],DIAS!A:B,2,0)</f>
        <v>46080</v>
      </c>
      <c r="J720" s="6">
        <v>0</v>
      </c>
      <c r="K720" s="43">
        <f>VLOOKUP(Tabla1[[#This Row],[PAGO DIA]],DIAS!A:C,3,0)</f>
        <v>46112</v>
      </c>
      <c r="L720" s="6">
        <v>0</v>
      </c>
      <c r="M720" s="41">
        <f>VLOOKUP(Tabla1[[#This Row],[PAGO DIA]],DIAS!A:D,4,0)</f>
        <v>46142</v>
      </c>
      <c r="N720" s="6">
        <v>0</v>
      </c>
      <c r="O720" s="43">
        <f>VLOOKUP(Tabla1[[#This Row],[PAGO DIA]],DIAS!A:E,5,0)</f>
        <v>46171</v>
      </c>
      <c r="P720" s="6">
        <v>0</v>
      </c>
      <c r="Q720" s="43">
        <f>VLOOKUP(Tabla1[[#This Row],[PAGO DIA]],DIAS!A:F,6,0)</f>
        <v>46203</v>
      </c>
      <c r="R720" s="6">
        <v>0</v>
      </c>
      <c r="S720" s="43">
        <f>VLOOKUP(Tabla1[[#This Row],[PAGO DIA]],DIAS!A:G,7,0)</f>
        <v>46234</v>
      </c>
      <c r="T720" s="6">
        <v>0</v>
      </c>
      <c r="U720" s="43">
        <f>VLOOKUP(Tabla1[[#This Row],[PAGO DIA]],DIAS!A:H,8,0)</f>
        <v>46265</v>
      </c>
      <c r="V720" s="6">
        <v>0</v>
      </c>
      <c r="W720" s="43">
        <f>VLOOKUP(Tabla1[[#This Row],[PAGO DIA]],DIAS!A:I,9,0)</f>
        <v>46295</v>
      </c>
      <c r="X720" s="6">
        <v>0</v>
      </c>
      <c r="Y720" s="43">
        <f>VLOOKUP(Tabla1[[#This Row],[PAGO DIA]],DIAS!A:J,10,0)</f>
        <v>46325</v>
      </c>
      <c r="Z720" s="6">
        <v>0</v>
      </c>
      <c r="AA720" s="43">
        <f>VLOOKUP(Tabla1[[#This Row],[PAGO DIA]],DIAS!A:K,11,0)</f>
        <v>46356</v>
      </c>
      <c r="AB720" s="6">
        <v>0</v>
      </c>
      <c r="AC720" s="43">
        <f>VLOOKUP(Tabla1[[#This Row],[PAGO DIA]],DIAS!A:M,12,0)</f>
        <v>46386</v>
      </c>
      <c r="AD7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1" spans="1:30">
      <c r="A721" s="3">
        <v>12129</v>
      </c>
      <c r="B721" s="3" t="s">
        <v>544</v>
      </c>
      <c r="C721" s="3" t="s">
        <v>505</v>
      </c>
      <c r="D721" s="3" t="s">
        <v>1244</v>
      </c>
      <c r="E721" s="3" t="s">
        <v>1350</v>
      </c>
      <c r="F721" s="42" t="s">
        <v>631</v>
      </c>
      <c r="G721" s="3" t="s">
        <v>1353</v>
      </c>
      <c r="H721" s="6">
        <v>0</v>
      </c>
      <c r="I721" s="41">
        <f>VLOOKUP(Tabla1[[#This Row],[PAGO DIA]],DIAS!A:B,2,0)</f>
        <v>46080</v>
      </c>
      <c r="J721" s="6">
        <v>0</v>
      </c>
      <c r="K721" s="43">
        <f>VLOOKUP(Tabla1[[#This Row],[PAGO DIA]],DIAS!A:C,3,0)</f>
        <v>46112</v>
      </c>
      <c r="L721" s="6">
        <v>0</v>
      </c>
      <c r="M721" s="41">
        <f>VLOOKUP(Tabla1[[#This Row],[PAGO DIA]],DIAS!A:D,4,0)</f>
        <v>46142</v>
      </c>
      <c r="N721" s="6">
        <v>0</v>
      </c>
      <c r="O721" s="43">
        <f>VLOOKUP(Tabla1[[#This Row],[PAGO DIA]],DIAS!A:E,5,0)</f>
        <v>46171</v>
      </c>
      <c r="P721" s="6">
        <v>0</v>
      </c>
      <c r="Q721" s="43">
        <f>VLOOKUP(Tabla1[[#This Row],[PAGO DIA]],DIAS!A:F,6,0)</f>
        <v>46203</v>
      </c>
      <c r="R721" s="6">
        <v>0</v>
      </c>
      <c r="S721" s="43">
        <f>VLOOKUP(Tabla1[[#This Row],[PAGO DIA]],DIAS!A:G,7,0)</f>
        <v>46234</v>
      </c>
      <c r="T721" s="6">
        <v>0</v>
      </c>
      <c r="U721" s="43">
        <f>VLOOKUP(Tabla1[[#This Row],[PAGO DIA]],DIAS!A:H,8,0)</f>
        <v>46265</v>
      </c>
      <c r="V721" s="6">
        <v>0</v>
      </c>
      <c r="W721" s="43">
        <f>VLOOKUP(Tabla1[[#This Row],[PAGO DIA]],DIAS!A:I,9,0)</f>
        <v>46295</v>
      </c>
      <c r="X721" s="6">
        <v>0</v>
      </c>
      <c r="Y721" s="43">
        <f>VLOOKUP(Tabla1[[#This Row],[PAGO DIA]],DIAS!A:J,10,0)</f>
        <v>46325</v>
      </c>
      <c r="Z721" s="6">
        <v>0</v>
      </c>
      <c r="AA721" s="43">
        <f>VLOOKUP(Tabla1[[#This Row],[PAGO DIA]],DIAS!A:K,11,0)</f>
        <v>46356</v>
      </c>
      <c r="AB721" s="6">
        <v>0</v>
      </c>
      <c r="AC721" s="43">
        <f>VLOOKUP(Tabla1[[#This Row],[PAGO DIA]],DIAS!A:M,12,0)</f>
        <v>46386</v>
      </c>
      <c r="AD7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2" spans="1:30">
      <c r="A722" s="3">
        <v>12130</v>
      </c>
      <c r="B722" s="3" t="s">
        <v>544</v>
      </c>
      <c r="C722" s="3" t="s">
        <v>505</v>
      </c>
      <c r="D722" s="3" t="s">
        <v>1244</v>
      </c>
      <c r="E722" s="3" t="s">
        <v>1350</v>
      </c>
      <c r="F722" s="42" t="s">
        <v>631</v>
      </c>
      <c r="G722" s="3" t="s">
        <v>1354</v>
      </c>
      <c r="H722" s="6">
        <v>0</v>
      </c>
      <c r="I722" s="41">
        <f>VLOOKUP(Tabla1[[#This Row],[PAGO DIA]],DIAS!A:B,2,0)</f>
        <v>46080</v>
      </c>
      <c r="J722" s="6">
        <v>0</v>
      </c>
      <c r="K722" s="43">
        <f>VLOOKUP(Tabla1[[#This Row],[PAGO DIA]],DIAS!A:C,3,0)</f>
        <v>46112</v>
      </c>
      <c r="L722" s="6">
        <v>0</v>
      </c>
      <c r="M722" s="41">
        <f>VLOOKUP(Tabla1[[#This Row],[PAGO DIA]],DIAS!A:D,4,0)</f>
        <v>46142</v>
      </c>
      <c r="N722" s="6">
        <v>0</v>
      </c>
      <c r="O722" s="43">
        <f>VLOOKUP(Tabla1[[#This Row],[PAGO DIA]],DIAS!A:E,5,0)</f>
        <v>46171</v>
      </c>
      <c r="P722" s="6">
        <v>0</v>
      </c>
      <c r="Q722" s="43">
        <f>VLOOKUP(Tabla1[[#This Row],[PAGO DIA]],DIAS!A:F,6,0)</f>
        <v>46203</v>
      </c>
      <c r="R722" s="6">
        <v>0</v>
      </c>
      <c r="S722" s="43">
        <f>VLOOKUP(Tabla1[[#This Row],[PAGO DIA]],DIAS!A:G,7,0)</f>
        <v>46234</v>
      </c>
      <c r="T722" s="6">
        <v>0</v>
      </c>
      <c r="U722" s="43">
        <f>VLOOKUP(Tabla1[[#This Row],[PAGO DIA]],DIAS!A:H,8,0)</f>
        <v>46265</v>
      </c>
      <c r="V722" s="6">
        <v>0</v>
      </c>
      <c r="W722" s="43">
        <f>VLOOKUP(Tabla1[[#This Row],[PAGO DIA]],DIAS!A:I,9,0)</f>
        <v>46295</v>
      </c>
      <c r="X722" s="6">
        <v>0</v>
      </c>
      <c r="Y722" s="43">
        <f>VLOOKUP(Tabla1[[#This Row],[PAGO DIA]],DIAS!A:J,10,0)</f>
        <v>46325</v>
      </c>
      <c r="Z722" s="6">
        <v>0</v>
      </c>
      <c r="AA722" s="43">
        <f>VLOOKUP(Tabla1[[#This Row],[PAGO DIA]],DIAS!A:K,11,0)</f>
        <v>46356</v>
      </c>
      <c r="AB722" s="6">
        <v>0</v>
      </c>
      <c r="AC722" s="43">
        <f>VLOOKUP(Tabla1[[#This Row],[PAGO DIA]],DIAS!A:M,12,0)</f>
        <v>46386</v>
      </c>
      <c r="AD7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3" spans="1:30">
      <c r="A723" s="3">
        <v>11209</v>
      </c>
      <c r="B723" s="3" t="s">
        <v>544</v>
      </c>
      <c r="C723" s="3" t="s">
        <v>505</v>
      </c>
      <c r="D723" s="3" t="s">
        <v>1193</v>
      </c>
      <c r="E723" s="3" t="s">
        <v>1355</v>
      </c>
      <c r="F723" s="42" t="s">
        <v>631</v>
      </c>
      <c r="G723" s="3" t="s">
        <v>785</v>
      </c>
      <c r="H723" s="6">
        <v>0</v>
      </c>
      <c r="I723" s="41">
        <f>VLOOKUP(Tabla1[[#This Row],[PAGO DIA]],DIAS!A:B,2,0)</f>
        <v>46080</v>
      </c>
      <c r="J723" s="6">
        <v>0</v>
      </c>
      <c r="K723" s="43">
        <f>VLOOKUP(Tabla1[[#This Row],[PAGO DIA]],DIAS!A:C,3,0)</f>
        <v>46112</v>
      </c>
      <c r="L723" s="6">
        <v>0</v>
      </c>
      <c r="M723" s="41">
        <f>VLOOKUP(Tabla1[[#This Row],[PAGO DIA]],DIAS!A:D,4,0)</f>
        <v>46142</v>
      </c>
      <c r="N723" s="6">
        <v>0</v>
      </c>
      <c r="O723" s="43">
        <f>VLOOKUP(Tabla1[[#This Row],[PAGO DIA]],DIAS!A:E,5,0)</f>
        <v>46171</v>
      </c>
      <c r="P723" s="6">
        <v>0</v>
      </c>
      <c r="Q723" s="43">
        <f>VLOOKUP(Tabla1[[#This Row],[PAGO DIA]],DIAS!A:F,6,0)</f>
        <v>46203</v>
      </c>
      <c r="R723" s="6">
        <v>0</v>
      </c>
      <c r="S723" s="43">
        <f>VLOOKUP(Tabla1[[#This Row],[PAGO DIA]],DIAS!A:G,7,0)</f>
        <v>46234</v>
      </c>
      <c r="T723" s="6">
        <v>0</v>
      </c>
      <c r="U723" s="43">
        <f>VLOOKUP(Tabla1[[#This Row],[PAGO DIA]],DIAS!A:H,8,0)</f>
        <v>46265</v>
      </c>
      <c r="V723" s="6">
        <v>0</v>
      </c>
      <c r="W723" s="43">
        <f>VLOOKUP(Tabla1[[#This Row],[PAGO DIA]],DIAS!A:I,9,0)</f>
        <v>46295</v>
      </c>
      <c r="X723" s="6">
        <v>0</v>
      </c>
      <c r="Y723" s="43">
        <f>VLOOKUP(Tabla1[[#This Row],[PAGO DIA]],DIAS!A:J,10,0)</f>
        <v>46325</v>
      </c>
      <c r="Z723" s="6">
        <v>0</v>
      </c>
      <c r="AA723" s="43">
        <f>VLOOKUP(Tabla1[[#This Row],[PAGO DIA]],DIAS!A:K,11,0)</f>
        <v>46356</v>
      </c>
      <c r="AB723" s="6">
        <v>0</v>
      </c>
      <c r="AC723" s="43">
        <f>VLOOKUP(Tabla1[[#This Row],[PAGO DIA]],DIAS!A:M,12,0)</f>
        <v>46386</v>
      </c>
      <c r="AD7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4" spans="1:30">
      <c r="A724" s="3">
        <v>11214</v>
      </c>
      <c r="B724" s="3" t="s">
        <v>544</v>
      </c>
      <c r="C724" s="3" t="s">
        <v>505</v>
      </c>
      <c r="D724" s="3" t="s">
        <v>1193</v>
      </c>
      <c r="E724" s="3" t="s">
        <v>1355</v>
      </c>
      <c r="F724" s="42" t="s">
        <v>631</v>
      </c>
      <c r="G724" s="3" t="s">
        <v>785</v>
      </c>
      <c r="H724" s="6">
        <v>0</v>
      </c>
      <c r="I724" s="41">
        <f>VLOOKUP(Tabla1[[#This Row],[PAGO DIA]],DIAS!A:B,2,0)</f>
        <v>46080</v>
      </c>
      <c r="J724" s="6">
        <v>0</v>
      </c>
      <c r="K724" s="43">
        <f>VLOOKUP(Tabla1[[#This Row],[PAGO DIA]],DIAS!A:C,3,0)</f>
        <v>46112</v>
      </c>
      <c r="L724" s="6">
        <v>0</v>
      </c>
      <c r="M724" s="41">
        <f>VLOOKUP(Tabla1[[#This Row],[PAGO DIA]],DIAS!A:D,4,0)</f>
        <v>46142</v>
      </c>
      <c r="N724" s="6">
        <v>0</v>
      </c>
      <c r="O724" s="43">
        <f>VLOOKUP(Tabla1[[#This Row],[PAGO DIA]],DIAS!A:E,5,0)</f>
        <v>46171</v>
      </c>
      <c r="P724" s="6">
        <v>0</v>
      </c>
      <c r="Q724" s="43">
        <f>VLOOKUP(Tabla1[[#This Row],[PAGO DIA]],DIAS!A:F,6,0)</f>
        <v>46203</v>
      </c>
      <c r="R724" s="6">
        <v>0</v>
      </c>
      <c r="S724" s="43">
        <f>VLOOKUP(Tabla1[[#This Row],[PAGO DIA]],DIAS!A:G,7,0)</f>
        <v>46234</v>
      </c>
      <c r="T724" s="6">
        <v>0</v>
      </c>
      <c r="U724" s="43">
        <f>VLOOKUP(Tabla1[[#This Row],[PAGO DIA]],DIAS!A:H,8,0)</f>
        <v>46265</v>
      </c>
      <c r="V724" s="6">
        <v>0</v>
      </c>
      <c r="W724" s="43">
        <f>VLOOKUP(Tabla1[[#This Row],[PAGO DIA]],DIAS!A:I,9,0)</f>
        <v>46295</v>
      </c>
      <c r="X724" s="6">
        <v>0</v>
      </c>
      <c r="Y724" s="43">
        <f>VLOOKUP(Tabla1[[#This Row],[PAGO DIA]],DIAS!A:J,10,0)</f>
        <v>46325</v>
      </c>
      <c r="Z724" s="6">
        <v>0</v>
      </c>
      <c r="AA724" s="43">
        <f>VLOOKUP(Tabla1[[#This Row],[PAGO DIA]],DIAS!A:K,11,0)</f>
        <v>46356</v>
      </c>
      <c r="AB724" s="6">
        <v>0</v>
      </c>
      <c r="AC724" s="43">
        <f>VLOOKUP(Tabla1[[#This Row],[PAGO DIA]],DIAS!A:M,12,0)</f>
        <v>46386</v>
      </c>
      <c r="AD7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5" spans="1:30">
      <c r="A725" s="3">
        <v>11263</v>
      </c>
      <c r="B725" s="3" t="s">
        <v>544</v>
      </c>
      <c r="C725" s="3" t="s">
        <v>505</v>
      </c>
      <c r="D725" s="3" t="s">
        <v>1193</v>
      </c>
      <c r="E725" s="3" t="s">
        <v>1355</v>
      </c>
      <c r="F725" s="42" t="s">
        <v>631</v>
      </c>
      <c r="G725" s="3" t="s">
        <v>785</v>
      </c>
      <c r="H725" s="6">
        <v>0</v>
      </c>
      <c r="I725" s="41">
        <f>VLOOKUP(Tabla1[[#This Row],[PAGO DIA]],DIAS!A:B,2,0)</f>
        <v>46080</v>
      </c>
      <c r="J725" s="6">
        <v>0</v>
      </c>
      <c r="K725" s="43">
        <f>VLOOKUP(Tabla1[[#This Row],[PAGO DIA]],DIAS!A:C,3,0)</f>
        <v>46112</v>
      </c>
      <c r="L725" s="6">
        <v>0</v>
      </c>
      <c r="M725" s="41">
        <f>VLOOKUP(Tabla1[[#This Row],[PAGO DIA]],DIAS!A:D,4,0)</f>
        <v>46142</v>
      </c>
      <c r="N725" s="6">
        <v>0</v>
      </c>
      <c r="O725" s="43">
        <f>VLOOKUP(Tabla1[[#This Row],[PAGO DIA]],DIAS!A:E,5,0)</f>
        <v>46171</v>
      </c>
      <c r="P725" s="6">
        <v>0</v>
      </c>
      <c r="Q725" s="43">
        <f>VLOOKUP(Tabla1[[#This Row],[PAGO DIA]],DIAS!A:F,6,0)</f>
        <v>46203</v>
      </c>
      <c r="R725" s="6">
        <v>0</v>
      </c>
      <c r="S725" s="43">
        <f>VLOOKUP(Tabla1[[#This Row],[PAGO DIA]],DIAS!A:G,7,0)</f>
        <v>46234</v>
      </c>
      <c r="T725" s="6">
        <v>0</v>
      </c>
      <c r="U725" s="43">
        <f>VLOOKUP(Tabla1[[#This Row],[PAGO DIA]],DIAS!A:H,8,0)</f>
        <v>46265</v>
      </c>
      <c r="V725" s="6">
        <v>0</v>
      </c>
      <c r="W725" s="43">
        <f>VLOOKUP(Tabla1[[#This Row],[PAGO DIA]],DIAS!A:I,9,0)</f>
        <v>46295</v>
      </c>
      <c r="X725" s="6">
        <v>0</v>
      </c>
      <c r="Y725" s="43">
        <f>VLOOKUP(Tabla1[[#This Row],[PAGO DIA]],DIAS!A:J,10,0)</f>
        <v>46325</v>
      </c>
      <c r="Z725" s="6">
        <v>0</v>
      </c>
      <c r="AA725" s="43">
        <f>VLOOKUP(Tabla1[[#This Row],[PAGO DIA]],DIAS!A:K,11,0)</f>
        <v>46356</v>
      </c>
      <c r="AB725" s="6">
        <v>0</v>
      </c>
      <c r="AC725" s="43">
        <f>VLOOKUP(Tabla1[[#This Row],[PAGO DIA]],DIAS!A:M,12,0)</f>
        <v>46386</v>
      </c>
      <c r="AD7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6" spans="1:30">
      <c r="A726" s="3">
        <v>11362</v>
      </c>
      <c r="B726" s="3" t="s">
        <v>544</v>
      </c>
      <c r="C726" s="3" t="s">
        <v>505</v>
      </c>
      <c r="D726" s="3" t="s">
        <v>1193</v>
      </c>
      <c r="E726" s="3" t="s">
        <v>1355</v>
      </c>
      <c r="F726" s="42" t="s">
        <v>631</v>
      </c>
      <c r="G726" s="3" t="s">
        <v>785</v>
      </c>
      <c r="H726" s="6">
        <v>0</v>
      </c>
      <c r="I726" s="41">
        <f>VLOOKUP(Tabla1[[#This Row],[PAGO DIA]],DIAS!A:B,2,0)</f>
        <v>46080</v>
      </c>
      <c r="J726" s="6">
        <v>0</v>
      </c>
      <c r="K726" s="43">
        <f>VLOOKUP(Tabla1[[#This Row],[PAGO DIA]],DIAS!A:C,3,0)</f>
        <v>46112</v>
      </c>
      <c r="L726" s="6">
        <v>0</v>
      </c>
      <c r="M726" s="41">
        <f>VLOOKUP(Tabla1[[#This Row],[PAGO DIA]],DIAS!A:D,4,0)</f>
        <v>46142</v>
      </c>
      <c r="N726" s="6">
        <v>0</v>
      </c>
      <c r="O726" s="43">
        <f>VLOOKUP(Tabla1[[#This Row],[PAGO DIA]],DIAS!A:E,5,0)</f>
        <v>46171</v>
      </c>
      <c r="P726" s="6">
        <v>0</v>
      </c>
      <c r="Q726" s="43">
        <f>VLOOKUP(Tabla1[[#This Row],[PAGO DIA]],DIAS!A:F,6,0)</f>
        <v>46203</v>
      </c>
      <c r="R726" s="6">
        <v>0</v>
      </c>
      <c r="S726" s="43">
        <f>VLOOKUP(Tabla1[[#This Row],[PAGO DIA]],DIAS!A:G,7,0)</f>
        <v>46234</v>
      </c>
      <c r="T726" s="6">
        <v>0</v>
      </c>
      <c r="U726" s="43">
        <f>VLOOKUP(Tabla1[[#This Row],[PAGO DIA]],DIAS!A:H,8,0)</f>
        <v>46265</v>
      </c>
      <c r="V726" s="6">
        <v>0</v>
      </c>
      <c r="W726" s="43">
        <f>VLOOKUP(Tabla1[[#This Row],[PAGO DIA]],DIAS!A:I,9,0)</f>
        <v>46295</v>
      </c>
      <c r="X726" s="6">
        <v>0</v>
      </c>
      <c r="Y726" s="43">
        <f>VLOOKUP(Tabla1[[#This Row],[PAGO DIA]],DIAS!A:J,10,0)</f>
        <v>46325</v>
      </c>
      <c r="Z726" s="6">
        <v>0</v>
      </c>
      <c r="AA726" s="43">
        <f>VLOOKUP(Tabla1[[#This Row],[PAGO DIA]],DIAS!A:K,11,0)</f>
        <v>46356</v>
      </c>
      <c r="AB726" s="6">
        <v>0</v>
      </c>
      <c r="AC726" s="43">
        <f>VLOOKUP(Tabla1[[#This Row],[PAGO DIA]],DIAS!A:M,12,0)</f>
        <v>46386</v>
      </c>
      <c r="AD7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7" spans="1:30">
      <c r="A727" s="3">
        <v>10991</v>
      </c>
      <c r="B727" s="3" t="s">
        <v>544</v>
      </c>
      <c r="C727" s="3" t="s">
        <v>505</v>
      </c>
      <c r="D727" s="3" t="s">
        <v>1193</v>
      </c>
      <c r="E727" s="3" t="s">
        <v>1117</v>
      </c>
      <c r="F727" s="42" t="s">
        <v>631</v>
      </c>
      <c r="G727" s="3" t="s">
        <v>1356</v>
      </c>
      <c r="H727" s="6">
        <v>0</v>
      </c>
      <c r="I727" s="41">
        <f>VLOOKUP(Tabla1[[#This Row],[PAGO DIA]],DIAS!A:B,2,0)</f>
        <v>46080</v>
      </c>
      <c r="J727" s="6">
        <v>0</v>
      </c>
      <c r="K727" s="43">
        <f>VLOOKUP(Tabla1[[#This Row],[PAGO DIA]],DIAS!A:C,3,0)</f>
        <v>46112</v>
      </c>
      <c r="L727" s="6">
        <v>0</v>
      </c>
      <c r="M727" s="41">
        <f>VLOOKUP(Tabla1[[#This Row],[PAGO DIA]],DIAS!A:D,4,0)</f>
        <v>46142</v>
      </c>
      <c r="N727" s="6">
        <v>0</v>
      </c>
      <c r="O727" s="43">
        <f>VLOOKUP(Tabla1[[#This Row],[PAGO DIA]],DIAS!A:E,5,0)</f>
        <v>46171</v>
      </c>
      <c r="P727" s="6">
        <v>0</v>
      </c>
      <c r="Q727" s="43">
        <f>VLOOKUP(Tabla1[[#This Row],[PAGO DIA]],DIAS!A:F,6,0)</f>
        <v>46203</v>
      </c>
      <c r="R727" s="6">
        <v>0</v>
      </c>
      <c r="S727" s="43">
        <f>VLOOKUP(Tabla1[[#This Row],[PAGO DIA]],DIAS!A:G,7,0)</f>
        <v>46234</v>
      </c>
      <c r="T727" s="6">
        <v>0</v>
      </c>
      <c r="U727" s="43">
        <f>VLOOKUP(Tabla1[[#This Row],[PAGO DIA]],DIAS!A:H,8,0)</f>
        <v>46265</v>
      </c>
      <c r="V727" s="6">
        <v>0</v>
      </c>
      <c r="W727" s="43">
        <f>VLOOKUP(Tabla1[[#This Row],[PAGO DIA]],DIAS!A:I,9,0)</f>
        <v>46295</v>
      </c>
      <c r="X727" s="6">
        <v>0</v>
      </c>
      <c r="Y727" s="43">
        <f>VLOOKUP(Tabla1[[#This Row],[PAGO DIA]],DIAS!A:J,10,0)</f>
        <v>46325</v>
      </c>
      <c r="Z727" s="6">
        <v>0</v>
      </c>
      <c r="AA727" s="43">
        <f>VLOOKUP(Tabla1[[#This Row],[PAGO DIA]],DIAS!A:K,11,0)</f>
        <v>46356</v>
      </c>
      <c r="AB727" s="6">
        <v>0</v>
      </c>
      <c r="AC727" s="43">
        <f>VLOOKUP(Tabla1[[#This Row],[PAGO DIA]],DIAS!A:M,12,0)</f>
        <v>46386</v>
      </c>
      <c r="AD7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8" spans="1:30">
      <c r="A728" s="3">
        <v>10994</v>
      </c>
      <c r="B728" s="3" t="s">
        <v>544</v>
      </c>
      <c r="C728" s="3" t="s">
        <v>505</v>
      </c>
      <c r="D728" s="3" t="s">
        <v>1193</v>
      </c>
      <c r="E728" s="3" t="s">
        <v>1117</v>
      </c>
      <c r="F728" s="42" t="s">
        <v>631</v>
      </c>
      <c r="G728" s="3" t="s">
        <v>1356</v>
      </c>
      <c r="H728" s="6">
        <v>0</v>
      </c>
      <c r="I728" s="41">
        <f>VLOOKUP(Tabla1[[#This Row],[PAGO DIA]],DIAS!A:B,2,0)</f>
        <v>46080</v>
      </c>
      <c r="J728" s="6">
        <v>0</v>
      </c>
      <c r="K728" s="43">
        <f>VLOOKUP(Tabla1[[#This Row],[PAGO DIA]],DIAS!A:C,3,0)</f>
        <v>46112</v>
      </c>
      <c r="L728" s="6">
        <v>0</v>
      </c>
      <c r="M728" s="41">
        <f>VLOOKUP(Tabla1[[#This Row],[PAGO DIA]],DIAS!A:D,4,0)</f>
        <v>46142</v>
      </c>
      <c r="N728" s="6">
        <v>0</v>
      </c>
      <c r="O728" s="43">
        <f>VLOOKUP(Tabla1[[#This Row],[PAGO DIA]],DIAS!A:E,5,0)</f>
        <v>46171</v>
      </c>
      <c r="P728" s="6">
        <v>0</v>
      </c>
      <c r="Q728" s="43">
        <f>VLOOKUP(Tabla1[[#This Row],[PAGO DIA]],DIAS!A:F,6,0)</f>
        <v>46203</v>
      </c>
      <c r="R728" s="6">
        <v>0</v>
      </c>
      <c r="S728" s="43">
        <f>VLOOKUP(Tabla1[[#This Row],[PAGO DIA]],DIAS!A:G,7,0)</f>
        <v>46234</v>
      </c>
      <c r="T728" s="6">
        <v>0</v>
      </c>
      <c r="U728" s="43">
        <f>VLOOKUP(Tabla1[[#This Row],[PAGO DIA]],DIAS!A:H,8,0)</f>
        <v>46265</v>
      </c>
      <c r="V728" s="6">
        <v>0</v>
      </c>
      <c r="W728" s="43">
        <f>VLOOKUP(Tabla1[[#This Row],[PAGO DIA]],DIAS!A:I,9,0)</f>
        <v>46295</v>
      </c>
      <c r="X728" s="6">
        <v>0</v>
      </c>
      <c r="Y728" s="43">
        <f>VLOOKUP(Tabla1[[#This Row],[PAGO DIA]],DIAS!A:J,10,0)</f>
        <v>46325</v>
      </c>
      <c r="Z728" s="6">
        <v>0</v>
      </c>
      <c r="AA728" s="43">
        <f>VLOOKUP(Tabla1[[#This Row],[PAGO DIA]],DIAS!A:K,11,0)</f>
        <v>46356</v>
      </c>
      <c r="AB728" s="6">
        <v>0</v>
      </c>
      <c r="AC728" s="43">
        <f>VLOOKUP(Tabla1[[#This Row],[PAGO DIA]],DIAS!A:M,12,0)</f>
        <v>46386</v>
      </c>
      <c r="AD7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29" spans="1:30">
      <c r="A729" s="3">
        <v>11031</v>
      </c>
      <c r="B729" s="3" t="s">
        <v>544</v>
      </c>
      <c r="C729" s="3" t="s">
        <v>505</v>
      </c>
      <c r="D729" s="3" t="s">
        <v>1193</v>
      </c>
      <c r="E729" s="3" t="s">
        <v>1117</v>
      </c>
      <c r="F729" s="42" t="s">
        <v>631</v>
      </c>
      <c r="G729" s="3" t="s">
        <v>1356</v>
      </c>
      <c r="H729" s="6">
        <v>0</v>
      </c>
      <c r="I729" s="41">
        <f>VLOOKUP(Tabla1[[#This Row],[PAGO DIA]],DIAS!A:B,2,0)</f>
        <v>46080</v>
      </c>
      <c r="J729" s="6">
        <v>0</v>
      </c>
      <c r="K729" s="43">
        <f>VLOOKUP(Tabla1[[#This Row],[PAGO DIA]],DIAS!A:C,3,0)</f>
        <v>46112</v>
      </c>
      <c r="L729" s="6">
        <v>0</v>
      </c>
      <c r="M729" s="41">
        <f>VLOOKUP(Tabla1[[#This Row],[PAGO DIA]],DIAS!A:D,4,0)</f>
        <v>46142</v>
      </c>
      <c r="N729" s="6">
        <v>0</v>
      </c>
      <c r="O729" s="43">
        <f>VLOOKUP(Tabla1[[#This Row],[PAGO DIA]],DIAS!A:E,5,0)</f>
        <v>46171</v>
      </c>
      <c r="P729" s="6">
        <v>0</v>
      </c>
      <c r="Q729" s="43">
        <f>VLOOKUP(Tabla1[[#This Row],[PAGO DIA]],DIAS!A:F,6,0)</f>
        <v>46203</v>
      </c>
      <c r="R729" s="6">
        <v>0</v>
      </c>
      <c r="S729" s="43">
        <f>VLOOKUP(Tabla1[[#This Row],[PAGO DIA]],DIAS!A:G,7,0)</f>
        <v>46234</v>
      </c>
      <c r="T729" s="6">
        <v>0</v>
      </c>
      <c r="U729" s="43">
        <f>VLOOKUP(Tabla1[[#This Row],[PAGO DIA]],DIAS!A:H,8,0)</f>
        <v>46265</v>
      </c>
      <c r="V729" s="6">
        <v>0</v>
      </c>
      <c r="W729" s="43">
        <f>VLOOKUP(Tabla1[[#This Row],[PAGO DIA]],DIAS!A:I,9,0)</f>
        <v>46295</v>
      </c>
      <c r="X729" s="6">
        <v>0</v>
      </c>
      <c r="Y729" s="43">
        <f>VLOOKUP(Tabla1[[#This Row],[PAGO DIA]],DIAS!A:J,10,0)</f>
        <v>46325</v>
      </c>
      <c r="Z729" s="6">
        <v>0</v>
      </c>
      <c r="AA729" s="43">
        <f>VLOOKUP(Tabla1[[#This Row],[PAGO DIA]],DIAS!A:K,11,0)</f>
        <v>46356</v>
      </c>
      <c r="AB729" s="6">
        <v>0</v>
      </c>
      <c r="AC729" s="43">
        <f>VLOOKUP(Tabla1[[#This Row],[PAGO DIA]],DIAS!A:M,12,0)</f>
        <v>46386</v>
      </c>
      <c r="AD7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0" spans="1:30">
      <c r="A730" s="3">
        <v>11081</v>
      </c>
      <c r="B730" s="3" t="s">
        <v>544</v>
      </c>
      <c r="C730" s="3" t="s">
        <v>505</v>
      </c>
      <c r="D730" s="3" t="s">
        <v>1193</v>
      </c>
      <c r="E730" s="3" t="s">
        <v>1117</v>
      </c>
      <c r="F730" s="42" t="s">
        <v>631</v>
      </c>
      <c r="G730" s="3" t="s">
        <v>1356</v>
      </c>
      <c r="H730" s="6">
        <v>0</v>
      </c>
      <c r="I730" s="41">
        <f>VLOOKUP(Tabla1[[#This Row],[PAGO DIA]],DIAS!A:B,2,0)</f>
        <v>46080</v>
      </c>
      <c r="J730" s="6">
        <v>0</v>
      </c>
      <c r="K730" s="43">
        <f>VLOOKUP(Tabla1[[#This Row],[PAGO DIA]],DIAS!A:C,3,0)</f>
        <v>46112</v>
      </c>
      <c r="L730" s="6">
        <v>0</v>
      </c>
      <c r="M730" s="41">
        <f>VLOOKUP(Tabla1[[#This Row],[PAGO DIA]],DIAS!A:D,4,0)</f>
        <v>46142</v>
      </c>
      <c r="N730" s="6">
        <v>0</v>
      </c>
      <c r="O730" s="43">
        <f>VLOOKUP(Tabla1[[#This Row],[PAGO DIA]],DIAS!A:E,5,0)</f>
        <v>46171</v>
      </c>
      <c r="P730" s="6">
        <v>0</v>
      </c>
      <c r="Q730" s="43">
        <f>VLOOKUP(Tabla1[[#This Row],[PAGO DIA]],DIAS!A:F,6,0)</f>
        <v>46203</v>
      </c>
      <c r="R730" s="6">
        <v>0</v>
      </c>
      <c r="S730" s="43">
        <f>VLOOKUP(Tabla1[[#This Row],[PAGO DIA]],DIAS!A:G,7,0)</f>
        <v>46234</v>
      </c>
      <c r="T730" s="6">
        <v>0</v>
      </c>
      <c r="U730" s="43">
        <f>VLOOKUP(Tabla1[[#This Row],[PAGO DIA]],DIAS!A:H,8,0)</f>
        <v>46265</v>
      </c>
      <c r="V730" s="6">
        <v>0</v>
      </c>
      <c r="W730" s="43">
        <f>VLOOKUP(Tabla1[[#This Row],[PAGO DIA]],DIAS!A:I,9,0)</f>
        <v>46295</v>
      </c>
      <c r="X730" s="6">
        <v>0</v>
      </c>
      <c r="Y730" s="43">
        <f>VLOOKUP(Tabla1[[#This Row],[PAGO DIA]],DIAS!A:J,10,0)</f>
        <v>46325</v>
      </c>
      <c r="Z730" s="6">
        <v>0</v>
      </c>
      <c r="AA730" s="43">
        <f>VLOOKUP(Tabla1[[#This Row],[PAGO DIA]],DIAS!A:K,11,0)</f>
        <v>46356</v>
      </c>
      <c r="AB730" s="6">
        <v>0</v>
      </c>
      <c r="AC730" s="43">
        <f>VLOOKUP(Tabla1[[#This Row],[PAGO DIA]],DIAS!A:M,12,0)</f>
        <v>46386</v>
      </c>
      <c r="AD7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1" spans="1:30">
      <c r="A731" s="3">
        <v>11940</v>
      </c>
      <c r="B731" s="3" t="s">
        <v>544</v>
      </c>
      <c r="C731" s="3" t="s">
        <v>540</v>
      </c>
      <c r="D731" s="3" t="s">
        <v>545</v>
      </c>
      <c r="E731" s="3" t="s">
        <v>1357</v>
      </c>
      <c r="F731" s="42" t="s">
        <v>631</v>
      </c>
      <c r="G731" s="3" t="s">
        <v>1358</v>
      </c>
      <c r="H731" s="6">
        <v>0</v>
      </c>
      <c r="I731" s="41">
        <f>VLOOKUP(Tabla1[[#This Row],[PAGO DIA]],DIAS!A:B,2,0)</f>
        <v>46080</v>
      </c>
      <c r="J731" s="6">
        <v>0</v>
      </c>
      <c r="K731" s="43">
        <f>VLOOKUP(Tabla1[[#This Row],[PAGO DIA]],DIAS!A:C,3,0)</f>
        <v>46112</v>
      </c>
      <c r="L731" s="6">
        <v>0</v>
      </c>
      <c r="M731" s="41">
        <f>VLOOKUP(Tabla1[[#This Row],[PAGO DIA]],DIAS!A:D,4,0)</f>
        <v>46142</v>
      </c>
      <c r="N731" s="6">
        <v>0</v>
      </c>
      <c r="O731" s="43">
        <f>VLOOKUP(Tabla1[[#This Row],[PAGO DIA]],DIAS!A:E,5,0)</f>
        <v>46171</v>
      </c>
      <c r="P731" s="6">
        <v>0</v>
      </c>
      <c r="Q731" s="43">
        <f>VLOOKUP(Tabla1[[#This Row],[PAGO DIA]],DIAS!A:F,6,0)</f>
        <v>46203</v>
      </c>
      <c r="R731" s="6">
        <v>0</v>
      </c>
      <c r="S731" s="43">
        <f>VLOOKUP(Tabla1[[#This Row],[PAGO DIA]],DIAS!A:G,7,0)</f>
        <v>46234</v>
      </c>
      <c r="T731" s="6">
        <v>0</v>
      </c>
      <c r="U731" s="43">
        <f>VLOOKUP(Tabla1[[#This Row],[PAGO DIA]],DIAS!A:H,8,0)</f>
        <v>46265</v>
      </c>
      <c r="V731" s="6">
        <v>0</v>
      </c>
      <c r="W731" s="43">
        <f>VLOOKUP(Tabla1[[#This Row],[PAGO DIA]],DIAS!A:I,9,0)</f>
        <v>46295</v>
      </c>
      <c r="X731" s="6">
        <v>0</v>
      </c>
      <c r="Y731" s="43">
        <f>VLOOKUP(Tabla1[[#This Row],[PAGO DIA]],DIAS!A:J,10,0)</f>
        <v>46325</v>
      </c>
      <c r="Z731" s="6">
        <v>0</v>
      </c>
      <c r="AA731" s="43">
        <f>VLOOKUP(Tabla1[[#This Row],[PAGO DIA]],DIAS!A:K,11,0)</f>
        <v>46356</v>
      </c>
      <c r="AB731" s="6">
        <v>0</v>
      </c>
      <c r="AC731" s="43">
        <f>VLOOKUP(Tabla1[[#This Row],[PAGO DIA]],DIAS!A:M,12,0)</f>
        <v>46386</v>
      </c>
      <c r="AD7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2" spans="1:30">
      <c r="A732" s="3">
        <v>11941</v>
      </c>
      <c r="B732" s="3" t="s">
        <v>544</v>
      </c>
      <c r="C732" s="3" t="s">
        <v>540</v>
      </c>
      <c r="D732" s="3" t="s">
        <v>545</v>
      </c>
      <c r="E732" s="3" t="s">
        <v>1357</v>
      </c>
      <c r="F732" s="42" t="s">
        <v>631</v>
      </c>
      <c r="G732" s="3" t="s">
        <v>1359</v>
      </c>
      <c r="H732" s="6">
        <v>0</v>
      </c>
      <c r="I732" s="41">
        <f>VLOOKUP(Tabla1[[#This Row],[PAGO DIA]],DIAS!A:B,2,0)</f>
        <v>46080</v>
      </c>
      <c r="J732" s="6">
        <v>0</v>
      </c>
      <c r="K732" s="43">
        <f>VLOOKUP(Tabla1[[#This Row],[PAGO DIA]],DIAS!A:C,3,0)</f>
        <v>46112</v>
      </c>
      <c r="L732" s="6">
        <v>0</v>
      </c>
      <c r="M732" s="41">
        <f>VLOOKUP(Tabla1[[#This Row],[PAGO DIA]],DIAS!A:D,4,0)</f>
        <v>46142</v>
      </c>
      <c r="N732" s="6">
        <v>0</v>
      </c>
      <c r="O732" s="43">
        <f>VLOOKUP(Tabla1[[#This Row],[PAGO DIA]],DIAS!A:E,5,0)</f>
        <v>46171</v>
      </c>
      <c r="P732" s="6">
        <v>0</v>
      </c>
      <c r="Q732" s="43">
        <f>VLOOKUP(Tabla1[[#This Row],[PAGO DIA]],DIAS!A:F,6,0)</f>
        <v>46203</v>
      </c>
      <c r="R732" s="6">
        <v>0</v>
      </c>
      <c r="S732" s="43">
        <f>VLOOKUP(Tabla1[[#This Row],[PAGO DIA]],DIAS!A:G,7,0)</f>
        <v>46234</v>
      </c>
      <c r="T732" s="6">
        <v>0</v>
      </c>
      <c r="U732" s="43">
        <f>VLOOKUP(Tabla1[[#This Row],[PAGO DIA]],DIAS!A:H,8,0)</f>
        <v>46265</v>
      </c>
      <c r="V732" s="6">
        <v>0</v>
      </c>
      <c r="W732" s="43">
        <f>VLOOKUP(Tabla1[[#This Row],[PAGO DIA]],DIAS!A:I,9,0)</f>
        <v>46295</v>
      </c>
      <c r="X732" s="6">
        <v>0</v>
      </c>
      <c r="Y732" s="43">
        <f>VLOOKUP(Tabla1[[#This Row],[PAGO DIA]],DIAS!A:J,10,0)</f>
        <v>46325</v>
      </c>
      <c r="Z732" s="6">
        <v>0</v>
      </c>
      <c r="AA732" s="43">
        <f>VLOOKUP(Tabla1[[#This Row],[PAGO DIA]],DIAS!A:K,11,0)</f>
        <v>46356</v>
      </c>
      <c r="AB732" s="6">
        <v>0</v>
      </c>
      <c r="AC732" s="43">
        <f>VLOOKUP(Tabla1[[#This Row],[PAGO DIA]],DIAS!A:M,12,0)</f>
        <v>46386</v>
      </c>
      <c r="AD7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3" spans="1:30">
      <c r="A733" s="3">
        <v>12111</v>
      </c>
      <c r="B733" s="3" t="s">
        <v>544</v>
      </c>
      <c r="C733" s="3" t="s">
        <v>540</v>
      </c>
      <c r="D733" s="3" t="s">
        <v>545</v>
      </c>
      <c r="E733" s="3" t="s">
        <v>1360</v>
      </c>
      <c r="F733" s="42" t="s">
        <v>631</v>
      </c>
      <c r="G733" s="3" t="s">
        <v>1361</v>
      </c>
      <c r="H733" s="6">
        <v>0</v>
      </c>
      <c r="I733" s="41">
        <f>VLOOKUP(Tabla1[[#This Row],[PAGO DIA]],DIAS!A:B,2,0)</f>
        <v>46080</v>
      </c>
      <c r="J733" s="6">
        <v>0</v>
      </c>
      <c r="K733" s="43">
        <f>VLOOKUP(Tabla1[[#This Row],[PAGO DIA]],DIAS!A:C,3,0)</f>
        <v>46112</v>
      </c>
      <c r="L733" s="6">
        <v>0</v>
      </c>
      <c r="M733" s="41">
        <f>VLOOKUP(Tabla1[[#This Row],[PAGO DIA]],DIAS!A:D,4,0)</f>
        <v>46142</v>
      </c>
      <c r="N733" s="6">
        <v>0</v>
      </c>
      <c r="O733" s="43">
        <f>VLOOKUP(Tabla1[[#This Row],[PAGO DIA]],DIAS!A:E,5,0)</f>
        <v>46171</v>
      </c>
      <c r="P733" s="6">
        <v>0</v>
      </c>
      <c r="Q733" s="43">
        <f>VLOOKUP(Tabla1[[#This Row],[PAGO DIA]],DIAS!A:F,6,0)</f>
        <v>46203</v>
      </c>
      <c r="R733" s="6">
        <v>0</v>
      </c>
      <c r="S733" s="43">
        <f>VLOOKUP(Tabla1[[#This Row],[PAGO DIA]],DIAS!A:G,7,0)</f>
        <v>46234</v>
      </c>
      <c r="T733" s="6">
        <v>0</v>
      </c>
      <c r="U733" s="43">
        <f>VLOOKUP(Tabla1[[#This Row],[PAGO DIA]],DIAS!A:H,8,0)</f>
        <v>46265</v>
      </c>
      <c r="V733" s="6">
        <v>0</v>
      </c>
      <c r="W733" s="43">
        <f>VLOOKUP(Tabla1[[#This Row],[PAGO DIA]],DIAS!A:I,9,0)</f>
        <v>46295</v>
      </c>
      <c r="X733" s="6">
        <v>0</v>
      </c>
      <c r="Y733" s="43">
        <f>VLOOKUP(Tabla1[[#This Row],[PAGO DIA]],DIAS!A:J,10,0)</f>
        <v>46325</v>
      </c>
      <c r="Z733" s="6">
        <v>0</v>
      </c>
      <c r="AA733" s="43">
        <f>VLOOKUP(Tabla1[[#This Row],[PAGO DIA]],DIAS!A:K,11,0)</f>
        <v>46356</v>
      </c>
      <c r="AB733" s="6">
        <v>0</v>
      </c>
      <c r="AC733" s="43">
        <f>VLOOKUP(Tabla1[[#This Row],[PAGO DIA]],DIAS!A:M,12,0)</f>
        <v>46386</v>
      </c>
      <c r="AD7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4" spans="1:30">
      <c r="A734" s="3">
        <v>11275</v>
      </c>
      <c r="B734" s="3" t="s">
        <v>544</v>
      </c>
      <c r="C734" s="3" t="s">
        <v>505</v>
      </c>
      <c r="D734" s="3" t="s">
        <v>545</v>
      </c>
      <c r="E734" s="3" t="s">
        <v>733</v>
      </c>
      <c r="F734" s="42" t="s">
        <v>631</v>
      </c>
      <c r="G734" s="3" t="s">
        <v>1362</v>
      </c>
      <c r="H734" s="6">
        <v>0</v>
      </c>
      <c r="I734" s="41">
        <f>VLOOKUP(Tabla1[[#This Row],[PAGO DIA]],DIAS!A:B,2,0)</f>
        <v>46080</v>
      </c>
      <c r="J734" s="6">
        <v>0</v>
      </c>
      <c r="K734" s="43">
        <f>VLOOKUP(Tabla1[[#This Row],[PAGO DIA]],DIAS!A:C,3,0)</f>
        <v>46112</v>
      </c>
      <c r="L734" s="6">
        <v>0</v>
      </c>
      <c r="M734" s="41">
        <f>VLOOKUP(Tabla1[[#This Row],[PAGO DIA]],DIAS!A:D,4,0)</f>
        <v>46142</v>
      </c>
      <c r="N734" s="6">
        <v>0</v>
      </c>
      <c r="O734" s="43">
        <f>VLOOKUP(Tabla1[[#This Row],[PAGO DIA]],DIAS!A:E,5,0)</f>
        <v>46171</v>
      </c>
      <c r="P734" s="6">
        <v>0</v>
      </c>
      <c r="Q734" s="43">
        <f>VLOOKUP(Tabla1[[#This Row],[PAGO DIA]],DIAS!A:F,6,0)</f>
        <v>46203</v>
      </c>
      <c r="R734" s="6">
        <v>0</v>
      </c>
      <c r="S734" s="43">
        <f>VLOOKUP(Tabla1[[#This Row],[PAGO DIA]],DIAS!A:G,7,0)</f>
        <v>46234</v>
      </c>
      <c r="T734" s="6">
        <v>0</v>
      </c>
      <c r="U734" s="43">
        <f>VLOOKUP(Tabla1[[#This Row],[PAGO DIA]],DIAS!A:H,8,0)</f>
        <v>46265</v>
      </c>
      <c r="V734" s="6">
        <v>0</v>
      </c>
      <c r="W734" s="43">
        <f>VLOOKUP(Tabla1[[#This Row],[PAGO DIA]],DIAS!A:I,9,0)</f>
        <v>46295</v>
      </c>
      <c r="X734" s="6">
        <v>0</v>
      </c>
      <c r="Y734" s="43">
        <f>VLOOKUP(Tabla1[[#This Row],[PAGO DIA]],DIAS!A:J,10,0)</f>
        <v>46325</v>
      </c>
      <c r="Z734" s="6">
        <v>0</v>
      </c>
      <c r="AA734" s="43">
        <f>VLOOKUP(Tabla1[[#This Row],[PAGO DIA]],DIAS!A:K,11,0)</f>
        <v>46356</v>
      </c>
      <c r="AB734" s="6">
        <v>0</v>
      </c>
      <c r="AC734" s="43">
        <f>VLOOKUP(Tabla1[[#This Row],[PAGO DIA]],DIAS!A:M,12,0)</f>
        <v>46386</v>
      </c>
      <c r="AD7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5" spans="1:30">
      <c r="A735" s="3">
        <v>12037</v>
      </c>
      <c r="B735" s="3" t="s">
        <v>544</v>
      </c>
      <c r="C735" s="3" t="s">
        <v>505</v>
      </c>
      <c r="D735" s="3" t="s">
        <v>1244</v>
      </c>
      <c r="E735" s="3" t="s">
        <v>1363</v>
      </c>
      <c r="F735" s="42" t="s">
        <v>631</v>
      </c>
      <c r="G735" s="3" t="s">
        <v>1364</v>
      </c>
      <c r="H735" s="6">
        <v>0</v>
      </c>
      <c r="I735" s="41">
        <f>VLOOKUP(Tabla1[[#This Row],[PAGO DIA]],DIAS!A:B,2,0)</f>
        <v>46080</v>
      </c>
      <c r="J735" s="6">
        <v>0</v>
      </c>
      <c r="K735" s="43">
        <f>VLOOKUP(Tabla1[[#This Row],[PAGO DIA]],DIAS!A:C,3,0)</f>
        <v>46112</v>
      </c>
      <c r="L735" s="6">
        <v>0</v>
      </c>
      <c r="M735" s="41">
        <f>VLOOKUP(Tabla1[[#This Row],[PAGO DIA]],DIAS!A:D,4,0)</f>
        <v>46142</v>
      </c>
      <c r="N735" s="6">
        <v>0</v>
      </c>
      <c r="O735" s="43">
        <f>VLOOKUP(Tabla1[[#This Row],[PAGO DIA]],DIAS!A:E,5,0)</f>
        <v>46171</v>
      </c>
      <c r="P735" s="6">
        <v>0</v>
      </c>
      <c r="Q735" s="43">
        <f>VLOOKUP(Tabla1[[#This Row],[PAGO DIA]],DIAS!A:F,6,0)</f>
        <v>46203</v>
      </c>
      <c r="R735" s="6">
        <v>0</v>
      </c>
      <c r="S735" s="43">
        <f>VLOOKUP(Tabla1[[#This Row],[PAGO DIA]],DIAS!A:G,7,0)</f>
        <v>46234</v>
      </c>
      <c r="T735" s="6">
        <v>0</v>
      </c>
      <c r="U735" s="43">
        <f>VLOOKUP(Tabla1[[#This Row],[PAGO DIA]],DIAS!A:H,8,0)</f>
        <v>46265</v>
      </c>
      <c r="V735" s="6">
        <v>0</v>
      </c>
      <c r="W735" s="43">
        <f>VLOOKUP(Tabla1[[#This Row],[PAGO DIA]],DIAS!A:I,9,0)</f>
        <v>46295</v>
      </c>
      <c r="X735" s="6">
        <v>0</v>
      </c>
      <c r="Y735" s="43">
        <f>VLOOKUP(Tabla1[[#This Row],[PAGO DIA]],DIAS!A:J,10,0)</f>
        <v>46325</v>
      </c>
      <c r="Z735" s="6">
        <v>0</v>
      </c>
      <c r="AA735" s="43">
        <f>VLOOKUP(Tabla1[[#This Row],[PAGO DIA]],DIAS!A:K,11,0)</f>
        <v>46356</v>
      </c>
      <c r="AB735" s="6">
        <v>0</v>
      </c>
      <c r="AC735" s="43">
        <f>VLOOKUP(Tabla1[[#This Row],[PAGO DIA]],DIAS!A:M,12,0)</f>
        <v>46386</v>
      </c>
      <c r="AD7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6" spans="1:30">
      <c r="A736" s="3">
        <v>12126</v>
      </c>
      <c r="B736" s="3" t="s">
        <v>544</v>
      </c>
      <c r="C736" s="3" t="s">
        <v>505</v>
      </c>
      <c r="D736" s="3" t="s">
        <v>1244</v>
      </c>
      <c r="E736" s="3" t="s">
        <v>1363</v>
      </c>
      <c r="F736" s="42" t="s">
        <v>631</v>
      </c>
      <c r="G736" s="3" t="s">
        <v>1364</v>
      </c>
      <c r="H736" s="6">
        <v>0</v>
      </c>
      <c r="I736" s="41">
        <f>VLOOKUP(Tabla1[[#This Row],[PAGO DIA]],DIAS!A:B,2,0)</f>
        <v>46080</v>
      </c>
      <c r="J736" s="6">
        <v>0</v>
      </c>
      <c r="K736" s="43">
        <f>VLOOKUP(Tabla1[[#This Row],[PAGO DIA]],DIAS!A:C,3,0)</f>
        <v>46112</v>
      </c>
      <c r="L736" s="6">
        <v>0</v>
      </c>
      <c r="M736" s="41">
        <f>VLOOKUP(Tabla1[[#This Row],[PAGO DIA]],DIAS!A:D,4,0)</f>
        <v>46142</v>
      </c>
      <c r="N736" s="6">
        <v>0</v>
      </c>
      <c r="O736" s="43">
        <f>VLOOKUP(Tabla1[[#This Row],[PAGO DIA]],DIAS!A:E,5,0)</f>
        <v>46171</v>
      </c>
      <c r="P736" s="6">
        <v>0</v>
      </c>
      <c r="Q736" s="43">
        <f>VLOOKUP(Tabla1[[#This Row],[PAGO DIA]],DIAS!A:F,6,0)</f>
        <v>46203</v>
      </c>
      <c r="R736" s="6">
        <v>0</v>
      </c>
      <c r="S736" s="43">
        <f>VLOOKUP(Tabla1[[#This Row],[PAGO DIA]],DIAS!A:G,7,0)</f>
        <v>46234</v>
      </c>
      <c r="T736" s="6">
        <v>0</v>
      </c>
      <c r="U736" s="43">
        <f>VLOOKUP(Tabla1[[#This Row],[PAGO DIA]],DIAS!A:H,8,0)</f>
        <v>46265</v>
      </c>
      <c r="V736" s="6">
        <v>0</v>
      </c>
      <c r="W736" s="43">
        <f>VLOOKUP(Tabla1[[#This Row],[PAGO DIA]],DIAS!A:I,9,0)</f>
        <v>46295</v>
      </c>
      <c r="X736" s="6">
        <v>0</v>
      </c>
      <c r="Y736" s="43">
        <f>VLOOKUP(Tabla1[[#This Row],[PAGO DIA]],DIAS!A:J,10,0)</f>
        <v>46325</v>
      </c>
      <c r="Z736" s="6">
        <v>0</v>
      </c>
      <c r="AA736" s="43">
        <f>VLOOKUP(Tabla1[[#This Row],[PAGO DIA]],DIAS!A:K,11,0)</f>
        <v>46356</v>
      </c>
      <c r="AB736" s="6">
        <v>0</v>
      </c>
      <c r="AC736" s="43">
        <f>VLOOKUP(Tabla1[[#This Row],[PAGO DIA]],DIAS!A:M,12,0)</f>
        <v>46386</v>
      </c>
      <c r="AD7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7" spans="1:30">
      <c r="A737" s="3">
        <v>12128</v>
      </c>
      <c r="B737" s="3" t="s">
        <v>544</v>
      </c>
      <c r="C737" s="3" t="s">
        <v>505</v>
      </c>
      <c r="D737" s="3" t="s">
        <v>1244</v>
      </c>
      <c r="E737" s="3" t="s">
        <v>1363</v>
      </c>
      <c r="F737" s="42" t="s">
        <v>631</v>
      </c>
      <c r="G737" s="3" t="s">
        <v>1365</v>
      </c>
      <c r="H737" s="6">
        <v>0</v>
      </c>
      <c r="I737" s="41">
        <f>VLOOKUP(Tabla1[[#This Row],[PAGO DIA]],DIAS!A:B,2,0)</f>
        <v>46080</v>
      </c>
      <c r="J737" s="6">
        <v>0</v>
      </c>
      <c r="K737" s="43">
        <f>VLOOKUP(Tabla1[[#This Row],[PAGO DIA]],DIAS!A:C,3,0)</f>
        <v>46112</v>
      </c>
      <c r="L737" s="6">
        <v>0</v>
      </c>
      <c r="M737" s="41">
        <f>VLOOKUP(Tabla1[[#This Row],[PAGO DIA]],DIAS!A:D,4,0)</f>
        <v>46142</v>
      </c>
      <c r="N737" s="6">
        <v>0</v>
      </c>
      <c r="O737" s="43">
        <f>VLOOKUP(Tabla1[[#This Row],[PAGO DIA]],DIAS!A:E,5,0)</f>
        <v>46171</v>
      </c>
      <c r="P737" s="6">
        <v>0</v>
      </c>
      <c r="Q737" s="43">
        <f>VLOOKUP(Tabla1[[#This Row],[PAGO DIA]],DIAS!A:F,6,0)</f>
        <v>46203</v>
      </c>
      <c r="R737" s="6">
        <v>0</v>
      </c>
      <c r="S737" s="43">
        <f>VLOOKUP(Tabla1[[#This Row],[PAGO DIA]],DIAS!A:G,7,0)</f>
        <v>46234</v>
      </c>
      <c r="T737" s="6">
        <v>0</v>
      </c>
      <c r="U737" s="43">
        <f>VLOOKUP(Tabla1[[#This Row],[PAGO DIA]],DIAS!A:H,8,0)</f>
        <v>46265</v>
      </c>
      <c r="V737" s="6">
        <v>0</v>
      </c>
      <c r="W737" s="43">
        <f>VLOOKUP(Tabla1[[#This Row],[PAGO DIA]],DIAS!A:I,9,0)</f>
        <v>46295</v>
      </c>
      <c r="X737" s="6">
        <v>0</v>
      </c>
      <c r="Y737" s="43">
        <f>VLOOKUP(Tabla1[[#This Row],[PAGO DIA]],DIAS!A:J,10,0)</f>
        <v>46325</v>
      </c>
      <c r="Z737" s="6">
        <v>0</v>
      </c>
      <c r="AA737" s="43">
        <f>VLOOKUP(Tabla1[[#This Row],[PAGO DIA]],DIAS!A:K,11,0)</f>
        <v>46356</v>
      </c>
      <c r="AB737" s="6">
        <v>0</v>
      </c>
      <c r="AC737" s="43">
        <f>VLOOKUP(Tabla1[[#This Row],[PAGO DIA]],DIAS!A:M,12,0)</f>
        <v>46386</v>
      </c>
      <c r="AD7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8" spans="1:30">
      <c r="A738" s="3">
        <v>12819</v>
      </c>
      <c r="B738" s="3" t="s">
        <v>544</v>
      </c>
      <c r="C738" s="3" t="s">
        <v>505</v>
      </c>
      <c r="D738" s="3" t="s">
        <v>545</v>
      </c>
      <c r="E738" s="3" t="s">
        <v>1366</v>
      </c>
      <c r="F738" s="42" t="s">
        <v>631</v>
      </c>
      <c r="G738" s="3" t="s">
        <v>1364</v>
      </c>
      <c r="H738" s="6">
        <v>0</v>
      </c>
      <c r="I738" s="41">
        <f>VLOOKUP(Tabla1[[#This Row],[PAGO DIA]],DIAS!A:B,2,0)</f>
        <v>46080</v>
      </c>
      <c r="J738" s="6">
        <v>0</v>
      </c>
      <c r="K738" s="43">
        <f>VLOOKUP(Tabla1[[#This Row],[PAGO DIA]],DIAS!A:C,3,0)</f>
        <v>46112</v>
      </c>
      <c r="L738" s="6">
        <v>0</v>
      </c>
      <c r="M738" s="41">
        <f>VLOOKUP(Tabla1[[#This Row],[PAGO DIA]],DIAS!A:D,4,0)</f>
        <v>46142</v>
      </c>
      <c r="N738" s="6">
        <v>0</v>
      </c>
      <c r="O738" s="43">
        <f>VLOOKUP(Tabla1[[#This Row],[PAGO DIA]],DIAS!A:E,5,0)</f>
        <v>46171</v>
      </c>
      <c r="P738" s="6">
        <v>0</v>
      </c>
      <c r="Q738" s="43">
        <f>VLOOKUP(Tabla1[[#This Row],[PAGO DIA]],DIAS!A:F,6,0)</f>
        <v>46203</v>
      </c>
      <c r="R738" s="6">
        <v>0</v>
      </c>
      <c r="S738" s="43">
        <f>VLOOKUP(Tabla1[[#This Row],[PAGO DIA]],DIAS!A:G,7,0)</f>
        <v>46234</v>
      </c>
      <c r="T738" s="6">
        <v>0</v>
      </c>
      <c r="U738" s="43">
        <f>VLOOKUP(Tabla1[[#This Row],[PAGO DIA]],DIAS!A:H,8,0)</f>
        <v>46265</v>
      </c>
      <c r="V738" s="6">
        <v>0</v>
      </c>
      <c r="W738" s="43">
        <f>VLOOKUP(Tabla1[[#This Row],[PAGO DIA]],DIAS!A:I,9,0)</f>
        <v>46295</v>
      </c>
      <c r="X738" s="6">
        <v>0</v>
      </c>
      <c r="Y738" s="43">
        <f>VLOOKUP(Tabla1[[#This Row],[PAGO DIA]],DIAS!A:J,10,0)</f>
        <v>46325</v>
      </c>
      <c r="Z738" s="6">
        <v>0</v>
      </c>
      <c r="AA738" s="43">
        <f>VLOOKUP(Tabla1[[#This Row],[PAGO DIA]],DIAS!A:K,11,0)</f>
        <v>46356</v>
      </c>
      <c r="AB738" s="6">
        <v>0</v>
      </c>
      <c r="AC738" s="43">
        <f>VLOOKUP(Tabla1[[#This Row],[PAGO DIA]],DIAS!A:M,12,0)</f>
        <v>46386</v>
      </c>
      <c r="AD7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39" spans="1:30">
      <c r="A739" s="3">
        <v>11162</v>
      </c>
      <c r="B739" s="3" t="s">
        <v>544</v>
      </c>
      <c r="C739" s="3" t="s">
        <v>505</v>
      </c>
      <c r="D739" s="3" t="s">
        <v>1193</v>
      </c>
      <c r="E739" s="3" t="s">
        <v>1367</v>
      </c>
      <c r="F739" s="42" t="s">
        <v>631</v>
      </c>
      <c r="G739" s="3" t="s">
        <v>1364</v>
      </c>
      <c r="H739" s="6">
        <v>0</v>
      </c>
      <c r="I739" s="41">
        <f>VLOOKUP(Tabla1[[#This Row],[PAGO DIA]],DIAS!A:B,2,0)</f>
        <v>46080</v>
      </c>
      <c r="J739" s="6">
        <v>0</v>
      </c>
      <c r="K739" s="43">
        <f>VLOOKUP(Tabla1[[#This Row],[PAGO DIA]],DIAS!A:C,3,0)</f>
        <v>46112</v>
      </c>
      <c r="L739" s="6">
        <v>0</v>
      </c>
      <c r="M739" s="41">
        <f>VLOOKUP(Tabla1[[#This Row],[PAGO DIA]],DIAS!A:D,4,0)</f>
        <v>46142</v>
      </c>
      <c r="N739" s="6">
        <v>0</v>
      </c>
      <c r="O739" s="43">
        <f>VLOOKUP(Tabla1[[#This Row],[PAGO DIA]],DIAS!A:E,5,0)</f>
        <v>46171</v>
      </c>
      <c r="P739" s="6">
        <v>0</v>
      </c>
      <c r="Q739" s="43">
        <f>VLOOKUP(Tabla1[[#This Row],[PAGO DIA]],DIAS!A:F,6,0)</f>
        <v>46203</v>
      </c>
      <c r="R739" s="6">
        <v>0</v>
      </c>
      <c r="S739" s="43">
        <f>VLOOKUP(Tabla1[[#This Row],[PAGO DIA]],DIAS!A:G,7,0)</f>
        <v>46234</v>
      </c>
      <c r="T739" s="6">
        <v>0</v>
      </c>
      <c r="U739" s="43">
        <f>VLOOKUP(Tabla1[[#This Row],[PAGO DIA]],DIAS!A:H,8,0)</f>
        <v>46265</v>
      </c>
      <c r="V739" s="6">
        <v>0</v>
      </c>
      <c r="W739" s="43">
        <f>VLOOKUP(Tabla1[[#This Row],[PAGO DIA]],DIAS!A:I,9,0)</f>
        <v>46295</v>
      </c>
      <c r="X739" s="6">
        <v>0</v>
      </c>
      <c r="Y739" s="43">
        <f>VLOOKUP(Tabla1[[#This Row],[PAGO DIA]],DIAS!A:J,10,0)</f>
        <v>46325</v>
      </c>
      <c r="Z739" s="6">
        <v>0</v>
      </c>
      <c r="AA739" s="43">
        <f>VLOOKUP(Tabla1[[#This Row],[PAGO DIA]],DIAS!A:K,11,0)</f>
        <v>46356</v>
      </c>
      <c r="AB739" s="6">
        <v>0</v>
      </c>
      <c r="AC739" s="43">
        <f>VLOOKUP(Tabla1[[#This Row],[PAGO DIA]],DIAS!A:M,12,0)</f>
        <v>46386</v>
      </c>
      <c r="AD7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0" spans="1:30">
      <c r="A740" s="3">
        <v>10966</v>
      </c>
      <c r="B740" s="3" t="s">
        <v>544</v>
      </c>
      <c r="C740" s="3" t="s">
        <v>505</v>
      </c>
      <c r="D740" s="3" t="s">
        <v>1193</v>
      </c>
      <c r="E740" s="3" t="s">
        <v>1368</v>
      </c>
      <c r="F740" s="42" t="s">
        <v>631</v>
      </c>
      <c r="G740" s="3" t="s">
        <v>1364</v>
      </c>
      <c r="H740" s="6">
        <v>0</v>
      </c>
      <c r="I740" s="41">
        <f>VLOOKUP(Tabla1[[#This Row],[PAGO DIA]],DIAS!A:B,2,0)</f>
        <v>46080</v>
      </c>
      <c r="J740" s="6">
        <v>0</v>
      </c>
      <c r="K740" s="43">
        <f>VLOOKUP(Tabla1[[#This Row],[PAGO DIA]],DIAS!A:C,3,0)</f>
        <v>46112</v>
      </c>
      <c r="L740" s="6">
        <v>0</v>
      </c>
      <c r="M740" s="41">
        <f>VLOOKUP(Tabla1[[#This Row],[PAGO DIA]],DIAS!A:D,4,0)</f>
        <v>46142</v>
      </c>
      <c r="N740" s="6">
        <v>0</v>
      </c>
      <c r="O740" s="43">
        <f>VLOOKUP(Tabla1[[#This Row],[PAGO DIA]],DIAS!A:E,5,0)</f>
        <v>46171</v>
      </c>
      <c r="P740" s="6">
        <v>0</v>
      </c>
      <c r="Q740" s="43">
        <f>VLOOKUP(Tabla1[[#This Row],[PAGO DIA]],DIAS!A:F,6,0)</f>
        <v>46203</v>
      </c>
      <c r="R740" s="6">
        <v>0</v>
      </c>
      <c r="S740" s="43">
        <f>VLOOKUP(Tabla1[[#This Row],[PAGO DIA]],DIAS!A:G,7,0)</f>
        <v>46234</v>
      </c>
      <c r="T740" s="6">
        <v>0</v>
      </c>
      <c r="U740" s="43">
        <f>VLOOKUP(Tabla1[[#This Row],[PAGO DIA]],DIAS!A:H,8,0)</f>
        <v>46265</v>
      </c>
      <c r="V740" s="6">
        <v>0</v>
      </c>
      <c r="W740" s="43">
        <f>VLOOKUP(Tabla1[[#This Row],[PAGO DIA]],DIAS!A:I,9,0)</f>
        <v>46295</v>
      </c>
      <c r="X740" s="6">
        <v>0</v>
      </c>
      <c r="Y740" s="43">
        <f>VLOOKUP(Tabla1[[#This Row],[PAGO DIA]],DIAS!A:J,10,0)</f>
        <v>46325</v>
      </c>
      <c r="Z740" s="6">
        <v>0</v>
      </c>
      <c r="AA740" s="43">
        <f>VLOOKUP(Tabla1[[#This Row],[PAGO DIA]],DIAS!A:K,11,0)</f>
        <v>46356</v>
      </c>
      <c r="AB740" s="6">
        <v>0</v>
      </c>
      <c r="AC740" s="43">
        <f>VLOOKUP(Tabla1[[#This Row],[PAGO DIA]],DIAS!A:M,12,0)</f>
        <v>46386</v>
      </c>
      <c r="AD7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1" spans="1:30">
      <c r="A741" s="3">
        <v>11944</v>
      </c>
      <c r="B741" s="3" t="s">
        <v>544</v>
      </c>
      <c r="C741" s="3" t="s">
        <v>505</v>
      </c>
      <c r="D741" s="3" t="s">
        <v>1192</v>
      </c>
      <c r="E741" s="3" t="s">
        <v>527</v>
      </c>
      <c r="F741" s="42" t="s">
        <v>631</v>
      </c>
      <c r="G741" s="3" t="s">
        <v>1369</v>
      </c>
      <c r="H741" s="6">
        <v>0</v>
      </c>
      <c r="I741" s="41">
        <f>VLOOKUP(Tabla1[[#This Row],[PAGO DIA]],DIAS!A:B,2,0)</f>
        <v>46080</v>
      </c>
      <c r="J741" s="6">
        <v>0</v>
      </c>
      <c r="K741" s="43">
        <f>VLOOKUP(Tabla1[[#This Row],[PAGO DIA]],DIAS!A:C,3,0)</f>
        <v>46112</v>
      </c>
      <c r="L741" s="6">
        <v>0</v>
      </c>
      <c r="M741" s="41">
        <f>VLOOKUP(Tabla1[[#This Row],[PAGO DIA]],DIAS!A:D,4,0)</f>
        <v>46142</v>
      </c>
      <c r="N741" s="6">
        <v>0</v>
      </c>
      <c r="O741" s="43">
        <f>VLOOKUP(Tabla1[[#This Row],[PAGO DIA]],DIAS!A:E,5,0)</f>
        <v>46171</v>
      </c>
      <c r="P741" s="6">
        <v>0</v>
      </c>
      <c r="Q741" s="43">
        <f>VLOOKUP(Tabla1[[#This Row],[PAGO DIA]],DIAS!A:F,6,0)</f>
        <v>46203</v>
      </c>
      <c r="R741" s="6">
        <v>0</v>
      </c>
      <c r="S741" s="43">
        <f>VLOOKUP(Tabla1[[#This Row],[PAGO DIA]],DIAS!A:G,7,0)</f>
        <v>46234</v>
      </c>
      <c r="T741" s="6">
        <v>0</v>
      </c>
      <c r="U741" s="43">
        <f>VLOOKUP(Tabla1[[#This Row],[PAGO DIA]],DIAS!A:H,8,0)</f>
        <v>46265</v>
      </c>
      <c r="V741" s="6">
        <v>0</v>
      </c>
      <c r="W741" s="43">
        <f>VLOOKUP(Tabla1[[#This Row],[PAGO DIA]],DIAS!A:I,9,0)</f>
        <v>46295</v>
      </c>
      <c r="X741" s="6">
        <v>0</v>
      </c>
      <c r="Y741" s="43">
        <f>VLOOKUP(Tabla1[[#This Row],[PAGO DIA]],DIAS!A:J,10,0)</f>
        <v>46325</v>
      </c>
      <c r="Z741" s="6">
        <v>0</v>
      </c>
      <c r="AA741" s="43">
        <f>VLOOKUP(Tabla1[[#This Row],[PAGO DIA]],DIAS!A:K,11,0)</f>
        <v>46356</v>
      </c>
      <c r="AB741" s="6">
        <v>0</v>
      </c>
      <c r="AC741" s="43">
        <f>VLOOKUP(Tabla1[[#This Row],[PAGO DIA]],DIAS!A:M,12,0)</f>
        <v>46386</v>
      </c>
      <c r="AD7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2" spans="1:30">
      <c r="A742" s="3">
        <v>11945</v>
      </c>
      <c r="B742" s="3" t="s">
        <v>544</v>
      </c>
      <c r="C742" s="3" t="s">
        <v>505</v>
      </c>
      <c r="D742" s="3" t="s">
        <v>530</v>
      </c>
      <c r="E742" s="3" t="s">
        <v>527</v>
      </c>
      <c r="F742" s="42" t="s">
        <v>631</v>
      </c>
      <c r="G742" s="3" t="s">
        <v>1370</v>
      </c>
      <c r="H742" s="6">
        <v>0</v>
      </c>
      <c r="I742" s="41">
        <f>VLOOKUP(Tabla1[[#This Row],[PAGO DIA]],DIAS!A:B,2,0)</f>
        <v>46080</v>
      </c>
      <c r="J742" s="6">
        <v>100000000</v>
      </c>
      <c r="K742" s="43">
        <f>VLOOKUP(Tabla1[[#This Row],[PAGO DIA]],DIAS!A:C,3,0)</f>
        <v>46112</v>
      </c>
      <c r="L742" s="6">
        <v>100000000</v>
      </c>
      <c r="M742" s="41">
        <f>VLOOKUP(Tabla1[[#This Row],[PAGO DIA]],DIAS!A:D,4,0)</f>
        <v>46142</v>
      </c>
      <c r="N742" s="6">
        <v>100000000</v>
      </c>
      <c r="O742" s="43">
        <f>VLOOKUP(Tabla1[[#This Row],[PAGO DIA]],DIAS!A:E,5,0)</f>
        <v>46171</v>
      </c>
      <c r="P742" s="6">
        <v>100000000</v>
      </c>
      <c r="Q742" s="43">
        <f>VLOOKUP(Tabla1[[#This Row],[PAGO DIA]],DIAS!A:F,6,0)</f>
        <v>46203</v>
      </c>
      <c r="R742" s="6">
        <v>100000000</v>
      </c>
      <c r="S742" s="43">
        <f>VLOOKUP(Tabla1[[#This Row],[PAGO DIA]],DIAS!A:G,7,0)</f>
        <v>46234</v>
      </c>
      <c r="T742" s="6">
        <v>0</v>
      </c>
      <c r="U742" s="43">
        <f>VLOOKUP(Tabla1[[#This Row],[PAGO DIA]],DIAS!A:H,8,0)</f>
        <v>46265</v>
      </c>
      <c r="V742" s="6">
        <v>0</v>
      </c>
      <c r="W742" s="43">
        <f>VLOOKUP(Tabla1[[#This Row],[PAGO DIA]],DIAS!A:I,9,0)</f>
        <v>46295</v>
      </c>
      <c r="X742" s="6">
        <v>0</v>
      </c>
      <c r="Y742" s="43">
        <f>VLOOKUP(Tabla1[[#This Row],[PAGO DIA]],DIAS!A:J,10,0)</f>
        <v>46325</v>
      </c>
      <c r="Z742" s="6">
        <v>0</v>
      </c>
      <c r="AA742" s="43">
        <f>VLOOKUP(Tabla1[[#This Row],[PAGO DIA]],DIAS!A:K,11,0)</f>
        <v>46356</v>
      </c>
      <c r="AB742" s="6">
        <v>0</v>
      </c>
      <c r="AC742" s="43">
        <f>VLOOKUP(Tabla1[[#This Row],[PAGO DIA]],DIAS!A:M,12,0)</f>
        <v>46386</v>
      </c>
      <c r="AD7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500000000</v>
      </c>
    </row>
    <row r="743" spans="1:30">
      <c r="A743" s="3">
        <v>11947</v>
      </c>
      <c r="B743" s="3" t="s">
        <v>544</v>
      </c>
      <c r="C743" s="3" t="s">
        <v>505</v>
      </c>
      <c r="D743" s="3" t="s">
        <v>1192</v>
      </c>
      <c r="E743" s="3" t="s">
        <v>527</v>
      </c>
      <c r="F743" s="42" t="s">
        <v>631</v>
      </c>
      <c r="G743" s="3" t="s">
        <v>1371</v>
      </c>
      <c r="H743" s="6">
        <v>0</v>
      </c>
      <c r="I743" s="41">
        <f>VLOOKUP(Tabla1[[#This Row],[PAGO DIA]],DIAS!A:B,2,0)</f>
        <v>46080</v>
      </c>
      <c r="J743" s="6">
        <v>0</v>
      </c>
      <c r="K743" s="43">
        <f>VLOOKUP(Tabla1[[#This Row],[PAGO DIA]],DIAS!A:C,3,0)</f>
        <v>46112</v>
      </c>
      <c r="L743" s="6">
        <v>0</v>
      </c>
      <c r="M743" s="41">
        <f>VLOOKUP(Tabla1[[#This Row],[PAGO DIA]],DIAS!A:D,4,0)</f>
        <v>46142</v>
      </c>
      <c r="N743" s="6">
        <v>0</v>
      </c>
      <c r="O743" s="43">
        <f>VLOOKUP(Tabla1[[#This Row],[PAGO DIA]],DIAS!A:E,5,0)</f>
        <v>46171</v>
      </c>
      <c r="P743" s="6">
        <v>0</v>
      </c>
      <c r="Q743" s="43">
        <f>VLOOKUP(Tabla1[[#This Row],[PAGO DIA]],DIAS!A:F,6,0)</f>
        <v>46203</v>
      </c>
      <c r="R743" s="6">
        <v>0</v>
      </c>
      <c r="S743" s="43">
        <f>VLOOKUP(Tabla1[[#This Row],[PAGO DIA]],DIAS!A:G,7,0)</f>
        <v>46234</v>
      </c>
      <c r="T743" s="6">
        <v>0</v>
      </c>
      <c r="U743" s="43">
        <f>VLOOKUP(Tabla1[[#This Row],[PAGO DIA]],DIAS!A:H,8,0)</f>
        <v>46265</v>
      </c>
      <c r="V743" s="6">
        <v>0</v>
      </c>
      <c r="W743" s="43">
        <f>VLOOKUP(Tabla1[[#This Row],[PAGO DIA]],DIAS!A:I,9,0)</f>
        <v>46295</v>
      </c>
      <c r="X743" s="6">
        <v>0</v>
      </c>
      <c r="Y743" s="43">
        <f>VLOOKUP(Tabla1[[#This Row],[PAGO DIA]],DIAS!A:J,10,0)</f>
        <v>46325</v>
      </c>
      <c r="Z743" s="6">
        <v>0</v>
      </c>
      <c r="AA743" s="43">
        <f>VLOOKUP(Tabla1[[#This Row],[PAGO DIA]],DIAS!A:K,11,0)</f>
        <v>46356</v>
      </c>
      <c r="AB743" s="6">
        <v>0</v>
      </c>
      <c r="AC743" s="43">
        <f>VLOOKUP(Tabla1[[#This Row],[PAGO DIA]],DIAS!A:M,12,0)</f>
        <v>46386</v>
      </c>
      <c r="AD7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4" spans="1:30">
      <c r="A744" s="3">
        <v>11948</v>
      </c>
      <c r="B744" s="3" t="s">
        <v>544</v>
      </c>
      <c r="C744" s="3" t="s">
        <v>505</v>
      </c>
      <c r="D744" s="3" t="s">
        <v>1244</v>
      </c>
      <c r="E744" s="3" t="s">
        <v>527</v>
      </c>
      <c r="F744" s="42" t="s">
        <v>631</v>
      </c>
      <c r="G744" s="3" t="s">
        <v>1372</v>
      </c>
      <c r="H744" s="6">
        <v>0</v>
      </c>
      <c r="I744" s="41">
        <f>VLOOKUP(Tabla1[[#This Row],[PAGO DIA]],DIAS!A:B,2,0)</f>
        <v>46080</v>
      </c>
      <c r="J744" s="6">
        <v>0</v>
      </c>
      <c r="K744" s="43">
        <f>VLOOKUP(Tabla1[[#This Row],[PAGO DIA]],DIAS!A:C,3,0)</f>
        <v>46112</v>
      </c>
      <c r="L744" s="6">
        <v>0</v>
      </c>
      <c r="M744" s="41">
        <f>VLOOKUP(Tabla1[[#This Row],[PAGO DIA]],DIAS!A:D,4,0)</f>
        <v>46142</v>
      </c>
      <c r="N744" s="6">
        <v>0</v>
      </c>
      <c r="O744" s="43">
        <f>VLOOKUP(Tabla1[[#This Row],[PAGO DIA]],DIAS!A:E,5,0)</f>
        <v>46171</v>
      </c>
      <c r="P744" s="6">
        <v>0</v>
      </c>
      <c r="Q744" s="43">
        <f>VLOOKUP(Tabla1[[#This Row],[PAGO DIA]],DIAS!A:F,6,0)</f>
        <v>46203</v>
      </c>
      <c r="R744" s="6">
        <v>0</v>
      </c>
      <c r="S744" s="43">
        <f>VLOOKUP(Tabla1[[#This Row],[PAGO DIA]],DIAS!A:G,7,0)</f>
        <v>46234</v>
      </c>
      <c r="T744" s="6">
        <v>0</v>
      </c>
      <c r="U744" s="43">
        <f>VLOOKUP(Tabla1[[#This Row],[PAGO DIA]],DIAS!A:H,8,0)</f>
        <v>46265</v>
      </c>
      <c r="V744" s="6">
        <v>0</v>
      </c>
      <c r="W744" s="43">
        <f>VLOOKUP(Tabla1[[#This Row],[PAGO DIA]],DIAS!A:I,9,0)</f>
        <v>46295</v>
      </c>
      <c r="X744" s="6">
        <v>0</v>
      </c>
      <c r="Y744" s="43">
        <f>VLOOKUP(Tabla1[[#This Row],[PAGO DIA]],DIAS!A:J,10,0)</f>
        <v>46325</v>
      </c>
      <c r="Z744" s="6">
        <v>0</v>
      </c>
      <c r="AA744" s="43">
        <f>VLOOKUP(Tabla1[[#This Row],[PAGO DIA]],DIAS!A:K,11,0)</f>
        <v>46356</v>
      </c>
      <c r="AB744" s="6">
        <v>0</v>
      </c>
      <c r="AC744" s="43">
        <f>VLOOKUP(Tabla1[[#This Row],[PAGO DIA]],DIAS!A:M,12,0)</f>
        <v>46386</v>
      </c>
      <c r="AD7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5" spans="1:30">
      <c r="A745" s="3">
        <v>12127</v>
      </c>
      <c r="B745" s="3" t="s">
        <v>544</v>
      </c>
      <c r="C745" s="3" t="s">
        <v>505</v>
      </c>
      <c r="D745" s="3" t="s">
        <v>1244</v>
      </c>
      <c r="E745" s="3" t="s">
        <v>1373</v>
      </c>
      <c r="F745" s="42" t="s">
        <v>631</v>
      </c>
      <c r="G745" s="3" t="s">
        <v>1374</v>
      </c>
      <c r="H745" s="6">
        <v>0</v>
      </c>
      <c r="I745" s="41">
        <f>VLOOKUP(Tabla1[[#This Row],[PAGO DIA]],DIAS!A:B,2,0)</f>
        <v>46080</v>
      </c>
      <c r="J745" s="6">
        <v>0</v>
      </c>
      <c r="K745" s="43">
        <f>VLOOKUP(Tabla1[[#This Row],[PAGO DIA]],DIAS!A:C,3,0)</f>
        <v>46112</v>
      </c>
      <c r="L745" s="6">
        <v>0</v>
      </c>
      <c r="M745" s="41">
        <f>VLOOKUP(Tabla1[[#This Row],[PAGO DIA]],DIAS!A:D,4,0)</f>
        <v>46142</v>
      </c>
      <c r="N745" s="6">
        <v>0</v>
      </c>
      <c r="O745" s="43">
        <f>VLOOKUP(Tabla1[[#This Row],[PAGO DIA]],DIAS!A:E,5,0)</f>
        <v>46171</v>
      </c>
      <c r="P745" s="6">
        <v>0</v>
      </c>
      <c r="Q745" s="43">
        <f>VLOOKUP(Tabla1[[#This Row],[PAGO DIA]],DIAS!A:F,6,0)</f>
        <v>46203</v>
      </c>
      <c r="R745" s="6">
        <v>0</v>
      </c>
      <c r="S745" s="43">
        <f>VLOOKUP(Tabla1[[#This Row],[PAGO DIA]],DIAS!A:G,7,0)</f>
        <v>46234</v>
      </c>
      <c r="T745" s="6">
        <v>0</v>
      </c>
      <c r="U745" s="43">
        <f>VLOOKUP(Tabla1[[#This Row],[PAGO DIA]],DIAS!A:H,8,0)</f>
        <v>46265</v>
      </c>
      <c r="V745" s="6">
        <v>0</v>
      </c>
      <c r="W745" s="43">
        <f>VLOOKUP(Tabla1[[#This Row],[PAGO DIA]],DIAS!A:I,9,0)</f>
        <v>46295</v>
      </c>
      <c r="X745" s="6">
        <v>0</v>
      </c>
      <c r="Y745" s="43">
        <f>VLOOKUP(Tabla1[[#This Row],[PAGO DIA]],DIAS!A:J,10,0)</f>
        <v>46325</v>
      </c>
      <c r="Z745" s="6">
        <v>0</v>
      </c>
      <c r="AA745" s="43">
        <f>VLOOKUP(Tabla1[[#This Row],[PAGO DIA]],DIAS!A:K,11,0)</f>
        <v>46356</v>
      </c>
      <c r="AB745" s="6">
        <v>0</v>
      </c>
      <c r="AC745" s="43">
        <f>VLOOKUP(Tabla1[[#This Row],[PAGO DIA]],DIAS!A:M,12,0)</f>
        <v>46386</v>
      </c>
      <c r="AD7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6" spans="1:30">
      <c r="A746" s="3">
        <v>10996</v>
      </c>
      <c r="B746" s="3" t="s">
        <v>544</v>
      </c>
      <c r="C746" s="3" t="s">
        <v>505</v>
      </c>
      <c r="D746" s="3" t="s">
        <v>1193</v>
      </c>
      <c r="E746" s="3" t="s">
        <v>1375</v>
      </c>
      <c r="F746" s="42" t="s">
        <v>631</v>
      </c>
      <c r="G746" s="3"/>
      <c r="H746" s="6">
        <v>0</v>
      </c>
      <c r="I746" s="41">
        <f>VLOOKUP(Tabla1[[#This Row],[PAGO DIA]],DIAS!A:B,2,0)</f>
        <v>46080</v>
      </c>
      <c r="J746" s="6">
        <v>0</v>
      </c>
      <c r="K746" s="43">
        <f>VLOOKUP(Tabla1[[#This Row],[PAGO DIA]],DIAS!A:C,3,0)</f>
        <v>46112</v>
      </c>
      <c r="L746" s="6">
        <v>0</v>
      </c>
      <c r="M746" s="41">
        <f>VLOOKUP(Tabla1[[#This Row],[PAGO DIA]],DIAS!A:D,4,0)</f>
        <v>46142</v>
      </c>
      <c r="N746" s="6">
        <v>0</v>
      </c>
      <c r="O746" s="43">
        <f>VLOOKUP(Tabla1[[#This Row],[PAGO DIA]],DIAS!A:E,5,0)</f>
        <v>46171</v>
      </c>
      <c r="P746" s="6">
        <v>0</v>
      </c>
      <c r="Q746" s="43">
        <f>VLOOKUP(Tabla1[[#This Row],[PAGO DIA]],DIAS!A:F,6,0)</f>
        <v>46203</v>
      </c>
      <c r="R746" s="6">
        <v>0</v>
      </c>
      <c r="S746" s="43">
        <f>VLOOKUP(Tabla1[[#This Row],[PAGO DIA]],DIAS!A:G,7,0)</f>
        <v>46234</v>
      </c>
      <c r="T746" s="6">
        <v>0</v>
      </c>
      <c r="U746" s="43">
        <f>VLOOKUP(Tabla1[[#This Row],[PAGO DIA]],DIAS!A:H,8,0)</f>
        <v>46265</v>
      </c>
      <c r="V746" s="6">
        <v>0</v>
      </c>
      <c r="W746" s="43">
        <f>VLOOKUP(Tabla1[[#This Row],[PAGO DIA]],DIAS!A:I,9,0)</f>
        <v>46295</v>
      </c>
      <c r="X746" s="6">
        <v>0</v>
      </c>
      <c r="Y746" s="43">
        <f>VLOOKUP(Tabla1[[#This Row],[PAGO DIA]],DIAS!A:J,10,0)</f>
        <v>46325</v>
      </c>
      <c r="Z746" s="6">
        <v>0</v>
      </c>
      <c r="AA746" s="43">
        <f>VLOOKUP(Tabla1[[#This Row],[PAGO DIA]],DIAS!A:K,11,0)</f>
        <v>46356</v>
      </c>
      <c r="AB746" s="6">
        <v>0</v>
      </c>
      <c r="AC746" s="43">
        <f>VLOOKUP(Tabla1[[#This Row],[PAGO DIA]],DIAS!A:M,12,0)</f>
        <v>46386</v>
      </c>
      <c r="AD7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7" spans="1:30">
      <c r="A747" s="3">
        <v>11216</v>
      </c>
      <c r="B747" s="3" t="s">
        <v>544</v>
      </c>
      <c r="C747" s="3" t="s">
        <v>505</v>
      </c>
      <c r="D747" s="3" t="s">
        <v>1193</v>
      </c>
      <c r="E747" s="3" t="s">
        <v>1375</v>
      </c>
      <c r="F747" s="42" t="s">
        <v>631</v>
      </c>
      <c r="G747" s="3" t="s">
        <v>1374</v>
      </c>
      <c r="H747" s="6">
        <v>0</v>
      </c>
      <c r="I747" s="41">
        <f>VLOOKUP(Tabla1[[#This Row],[PAGO DIA]],DIAS!A:B,2,0)</f>
        <v>46080</v>
      </c>
      <c r="J747" s="6">
        <v>0</v>
      </c>
      <c r="K747" s="43">
        <f>VLOOKUP(Tabla1[[#This Row],[PAGO DIA]],DIAS!A:C,3,0)</f>
        <v>46112</v>
      </c>
      <c r="L747" s="6">
        <v>0</v>
      </c>
      <c r="M747" s="41">
        <f>VLOOKUP(Tabla1[[#This Row],[PAGO DIA]],DIAS!A:D,4,0)</f>
        <v>46142</v>
      </c>
      <c r="N747" s="6">
        <v>0</v>
      </c>
      <c r="O747" s="43">
        <f>VLOOKUP(Tabla1[[#This Row],[PAGO DIA]],DIAS!A:E,5,0)</f>
        <v>46171</v>
      </c>
      <c r="P747" s="6">
        <v>0</v>
      </c>
      <c r="Q747" s="43">
        <f>VLOOKUP(Tabla1[[#This Row],[PAGO DIA]],DIAS!A:F,6,0)</f>
        <v>46203</v>
      </c>
      <c r="R747" s="6">
        <v>0</v>
      </c>
      <c r="S747" s="43">
        <f>VLOOKUP(Tabla1[[#This Row],[PAGO DIA]],DIAS!A:G,7,0)</f>
        <v>46234</v>
      </c>
      <c r="T747" s="6">
        <v>0</v>
      </c>
      <c r="U747" s="43">
        <f>VLOOKUP(Tabla1[[#This Row],[PAGO DIA]],DIAS!A:H,8,0)</f>
        <v>46265</v>
      </c>
      <c r="V747" s="6">
        <v>0</v>
      </c>
      <c r="W747" s="43">
        <f>VLOOKUP(Tabla1[[#This Row],[PAGO DIA]],DIAS!A:I,9,0)</f>
        <v>46295</v>
      </c>
      <c r="X747" s="6">
        <v>0</v>
      </c>
      <c r="Y747" s="43">
        <f>VLOOKUP(Tabla1[[#This Row],[PAGO DIA]],DIAS!A:J,10,0)</f>
        <v>46325</v>
      </c>
      <c r="Z747" s="6">
        <v>0</v>
      </c>
      <c r="AA747" s="43">
        <f>VLOOKUP(Tabla1[[#This Row],[PAGO DIA]],DIAS!A:K,11,0)</f>
        <v>46356</v>
      </c>
      <c r="AB747" s="6">
        <v>0</v>
      </c>
      <c r="AC747" s="43">
        <f>VLOOKUP(Tabla1[[#This Row],[PAGO DIA]],DIAS!A:M,12,0)</f>
        <v>46386</v>
      </c>
      <c r="AD7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48" spans="1:30">
      <c r="A748" s="3">
        <v>10954</v>
      </c>
      <c r="B748" s="3" t="s">
        <v>544</v>
      </c>
      <c r="C748" s="3" t="s">
        <v>505</v>
      </c>
      <c r="D748" s="3" t="s">
        <v>1193</v>
      </c>
      <c r="E748" s="3" t="s">
        <v>531</v>
      </c>
      <c r="F748" s="42" t="s">
        <v>631</v>
      </c>
      <c r="G748" s="3" t="s">
        <v>1376</v>
      </c>
      <c r="H748" s="6">
        <v>0</v>
      </c>
      <c r="I748" s="41">
        <f>VLOOKUP(Tabla1[[#This Row],[PAGO DIA]],DIAS!A:B,2,0)</f>
        <v>46080</v>
      </c>
      <c r="J748" s="6">
        <v>0</v>
      </c>
      <c r="K748" s="43">
        <f>VLOOKUP(Tabla1[[#This Row],[PAGO DIA]],DIAS!A:C,3,0)</f>
        <v>46112</v>
      </c>
      <c r="L748" s="6">
        <v>0</v>
      </c>
      <c r="M748" s="41">
        <f>VLOOKUP(Tabla1[[#This Row],[PAGO DIA]],DIAS!A:D,4,0)</f>
        <v>46142</v>
      </c>
      <c r="N748" s="6"/>
      <c r="O748" s="43">
        <f>VLOOKUP(Tabla1[[#This Row],[PAGO DIA]],DIAS!A:E,5,0)</f>
        <v>46171</v>
      </c>
      <c r="P748" s="6">
        <v>260000000</v>
      </c>
      <c r="Q748" s="43">
        <f>VLOOKUP(Tabla1[[#This Row],[PAGO DIA]],DIAS!A:F,6,0)</f>
        <v>46203</v>
      </c>
      <c r="R748" s="6">
        <v>0</v>
      </c>
      <c r="S748" s="43">
        <f>VLOOKUP(Tabla1[[#This Row],[PAGO DIA]],DIAS!A:G,7,0)</f>
        <v>46234</v>
      </c>
      <c r="T748" s="6">
        <v>0</v>
      </c>
      <c r="U748" s="43">
        <f>VLOOKUP(Tabla1[[#This Row],[PAGO DIA]],DIAS!A:H,8,0)</f>
        <v>46265</v>
      </c>
      <c r="V748" s="6">
        <v>0</v>
      </c>
      <c r="W748" s="43">
        <f>VLOOKUP(Tabla1[[#This Row],[PAGO DIA]],DIAS!A:I,9,0)</f>
        <v>46295</v>
      </c>
      <c r="X748" s="6">
        <v>0</v>
      </c>
      <c r="Y748" s="43">
        <f>VLOOKUP(Tabla1[[#This Row],[PAGO DIA]],DIAS!A:J,10,0)</f>
        <v>46325</v>
      </c>
      <c r="Z748" s="6">
        <v>0</v>
      </c>
      <c r="AA748" s="43">
        <f>VLOOKUP(Tabla1[[#This Row],[PAGO DIA]],DIAS!A:K,11,0)</f>
        <v>46356</v>
      </c>
      <c r="AB748" s="6">
        <v>0</v>
      </c>
      <c r="AC748" s="43">
        <f>VLOOKUP(Tabla1[[#This Row],[PAGO DIA]],DIAS!A:M,12,0)</f>
        <v>46386</v>
      </c>
      <c r="AD7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260000000</v>
      </c>
    </row>
    <row r="749" spans="1:30">
      <c r="A749" s="3">
        <v>11139</v>
      </c>
      <c r="B749" s="3" t="s">
        <v>544</v>
      </c>
      <c r="C749" s="3" t="s">
        <v>505</v>
      </c>
      <c r="D749" s="3" t="s">
        <v>1193</v>
      </c>
      <c r="E749" s="3" t="s">
        <v>531</v>
      </c>
      <c r="F749" s="42" t="s">
        <v>631</v>
      </c>
      <c r="G749" s="3" t="s">
        <v>1376</v>
      </c>
      <c r="H749" s="6">
        <v>0</v>
      </c>
      <c r="I749" s="41">
        <f>VLOOKUP(Tabla1[[#This Row],[PAGO DIA]],DIAS!A:B,2,0)</f>
        <v>46080</v>
      </c>
      <c r="J749" s="6">
        <v>0</v>
      </c>
      <c r="K749" s="43">
        <f>VLOOKUP(Tabla1[[#This Row],[PAGO DIA]],DIAS!A:C,3,0)</f>
        <v>46112</v>
      </c>
      <c r="L749" s="6">
        <v>0</v>
      </c>
      <c r="M749" s="41">
        <f>VLOOKUP(Tabla1[[#This Row],[PAGO DIA]],DIAS!A:D,4,0)</f>
        <v>46142</v>
      </c>
      <c r="N749" s="6">
        <v>0</v>
      </c>
      <c r="O749" s="43">
        <f>VLOOKUP(Tabla1[[#This Row],[PAGO DIA]],DIAS!A:E,5,0)</f>
        <v>46171</v>
      </c>
      <c r="P749" s="6">
        <v>0</v>
      </c>
      <c r="Q749" s="43">
        <f>VLOOKUP(Tabla1[[#This Row],[PAGO DIA]],DIAS!A:F,6,0)</f>
        <v>46203</v>
      </c>
      <c r="R749" s="6">
        <v>0</v>
      </c>
      <c r="S749" s="43">
        <f>VLOOKUP(Tabla1[[#This Row],[PAGO DIA]],DIAS!A:G,7,0)</f>
        <v>46234</v>
      </c>
      <c r="T749" s="6">
        <v>0</v>
      </c>
      <c r="U749" s="43">
        <f>VLOOKUP(Tabla1[[#This Row],[PAGO DIA]],DIAS!A:H,8,0)</f>
        <v>46265</v>
      </c>
      <c r="V749" s="6">
        <v>0</v>
      </c>
      <c r="W749" s="43">
        <f>VLOOKUP(Tabla1[[#This Row],[PAGO DIA]],DIAS!A:I,9,0)</f>
        <v>46295</v>
      </c>
      <c r="X749" s="6">
        <v>0</v>
      </c>
      <c r="Y749" s="43">
        <f>VLOOKUP(Tabla1[[#This Row],[PAGO DIA]],DIAS!A:J,10,0)</f>
        <v>46325</v>
      </c>
      <c r="Z749" s="6">
        <v>0</v>
      </c>
      <c r="AA749" s="43">
        <f>VLOOKUP(Tabla1[[#This Row],[PAGO DIA]],DIAS!A:K,11,0)</f>
        <v>46356</v>
      </c>
      <c r="AB749" s="6">
        <v>0</v>
      </c>
      <c r="AC749" s="43">
        <f>VLOOKUP(Tabla1[[#This Row],[PAGO DIA]],DIAS!A:M,12,0)</f>
        <v>46386</v>
      </c>
      <c r="AD7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0" spans="1:30">
      <c r="A750" s="3">
        <v>11973</v>
      </c>
      <c r="B750" s="3" t="s">
        <v>544</v>
      </c>
      <c r="C750" s="3" t="s">
        <v>505</v>
      </c>
      <c r="D750" s="3" t="s">
        <v>1377</v>
      </c>
      <c r="E750" s="3" t="s">
        <v>531</v>
      </c>
      <c r="F750" s="42" t="s">
        <v>631</v>
      </c>
      <c r="G750" s="3" t="s">
        <v>1378</v>
      </c>
      <c r="H750" s="6">
        <v>0</v>
      </c>
      <c r="I750" s="41">
        <f>VLOOKUP(Tabla1[[#This Row],[PAGO DIA]],DIAS!A:B,2,0)</f>
        <v>46080</v>
      </c>
      <c r="J750" s="6">
        <v>0</v>
      </c>
      <c r="K750" s="43">
        <f>VLOOKUP(Tabla1[[#This Row],[PAGO DIA]],DIAS!A:C,3,0)</f>
        <v>46112</v>
      </c>
      <c r="L750" s="6">
        <v>0</v>
      </c>
      <c r="M750" s="41">
        <f>VLOOKUP(Tabla1[[#This Row],[PAGO DIA]],DIAS!A:D,4,0)</f>
        <v>46142</v>
      </c>
      <c r="N750" s="6"/>
      <c r="O750" s="43">
        <f>VLOOKUP(Tabla1[[#This Row],[PAGO DIA]],DIAS!A:E,5,0)</f>
        <v>46171</v>
      </c>
      <c r="P750" s="6">
        <v>30000000</v>
      </c>
      <c r="Q750" s="43">
        <f>VLOOKUP(Tabla1[[#This Row],[PAGO DIA]],DIAS!A:F,6,0)</f>
        <v>46203</v>
      </c>
      <c r="R750" s="6">
        <v>0</v>
      </c>
      <c r="S750" s="43">
        <f>VLOOKUP(Tabla1[[#This Row],[PAGO DIA]],DIAS!A:G,7,0)</f>
        <v>46234</v>
      </c>
      <c r="T750" s="6">
        <v>0</v>
      </c>
      <c r="U750" s="43">
        <f>VLOOKUP(Tabla1[[#This Row],[PAGO DIA]],DIAS!A:H,8,0)</f>
        <v>46265</v>
      </c>
      <c r="V750" s="6">
        <v>0</v>
      </c>
      <c r="W750" s="43">
        <f>VLOOKUP(Tabla1[[#This Row],[PAGO DIA]],DIAS!A:I,9,0)</f>
        <v>46295</v>
      </c>
      <c r="X750" s="6">
        <v>0</v>
      </c>
      <c r="Y750" s="43">
        <f>VLOOKUP(Tabla1[[#This Row],[PAGO DIA]],DIAS!A:J,10,0)</f>
        <v>46325</v>
      </c>
      <c r="Z750" s="6">
        <v>0</v>
      </c>
      <c r="AA750" s="43">
        <f>VLOOKUP(Tabla1[[#This Row],[PAGO DIA]],DIAS!A:K,11,0)</f>
        <v>46356</v>
      </c>
      <c r="AB750" s="6">
        <v>0</v>
      </c>
      <c r="AC750" s="43">
        <f>VLOOKUP(Tabla1[[#This Row],[PAGO DIA]],DIAS!A:M,12,0)</f>
        <v>46386</v>
      </c>
      <c r="AD7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30000000</v>
      </c>
    </row>
    <row r="751" spans="1:30">
      <c r="A751" s="3">
        <v>11974</v>
      </c>
      <c r="B751" s="3" t="s">
        <v>544</v>
      </c>
      <c r="C751" s="3" t="s">
        <v>505</v>
      </c>
      <c r="D751" s="3" t="s">
        <v>1244</v>
      </c>
      <c r="E751" s="3" t="s">
        <v>531</v>
      </c>
      <c r="F751" s="42" t="s">
        <v>631</v>
      </c>
      <c r="G751" s="3" t="s">
        <v>1376</v>
      </c>
      <c r="H751" s="6">
        <v>0</v>
      </c>
      <c r="I751" s="41">
        <f>VLOOKUP(Tabla1[[#This Row],[PAGO DIA]],DIAS!A:B,2,0)</f>
        <v>46080</v>
      </c>
      <c r="J751" s="6">
        <v>0</v>
      </c>
      <c r="K751" s="43">
        <f>VLOOKUP(Tabla1[[#This Row],[PAGO DIA]],DIAS!A:C,3,0)</f>
        <v>46112</v>
      </c>
      <c r="L751" s="6">
        <v>0</v>
      </c>
      <c r="M751" s="41">
        <f>VLOOKUP(Tabla1[[#This Row],[PAGO DIA]],DIAS!A:D,4,0)</f>
        <v>46142</v>
      </c>
      <c r="N751" s="6">
        <v>0</v>
      </c>
      <c r="O751" s="43">
        <f>VLOOKUP(Tabla1[[#This Row],[PAGO DIA]],DIAS!A:E,5,0)</f>
        <v>46171</v>
      </c>
      <c r="P751" s="6">
        <v>0</v>
      </c>
      <c r="Q751" s="43">
        <f>VLOOKUP(Tabla1[[#This Row],[PAGO DIA]],DIAS!A:F,6,0)</f>
        <v>46203</v>
      </c>
      <c r="R751" s="6">
        <v>0</v>
      </c>
      <c r="S751" s="43">
        <f>VLOOKUP(Tabla1[[#This Row],[PAGO DIA]],DIAS!A:G,7,0)</f>
        <v>46234</v>
      </c>
      <c r="T751" s="6">
        <v>0</v>
      </c>
      <c r="U751" s="43">
        <f>VLOOKUP(Tabla1[[#This Row],[PAGO DIA]],DIAS!A:H,8,0)</f>
        <v>46265</v>
      </c>
      <c r="V751" s="6">
        <v>0</v>
      </c>
      <c r="W751" s="43">
        <f>VLOOKUP(Tabla1[[#This Row],[PAGO DIA]],DIAS!A:I,9,0)</f>
        <v>46295</v>
      </c>
      <c r="X751" s="6">
        <v>0</v>
      </c>
      <c r="Y751" s="43">
        <f>VLOOKUP(Tabla1[[#This Row],[PAGO DIA]],DIAS!A:J,10,0)</f>
        <v>46325</v>
      </c>
      <c r="Z751" s="6">
        <v>0</v>
      </c>
      <c r="AA751" s="43">
        <f>VLOOKUP(Tabla1[[#This Row],[PAGO DIA]],DIAS!A:K,11,0)</f>
        <v>46356</v>
      </c>
      <c r="AB751" s="6">
        <v>0</v>
      </c>
      <c r="AC751" s="43">
        <f>VLOOKUP(Tabla1[[#This Row],[PAGO DIA]],DIAS!A:M,12,0)</f>
        <v>46386</v>
      </c>
      <c r="AD7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2" spans="1:30">
      <c r="A752" s="3">
        <v>11975</v>
      </c>
      <c r="B752" s="3" t="s">
        <v>544</v>
      </c>
      <c r="C752" s="3" t="s">
        <v>505</v>
      </c>
      <c r="D752" s="3" t="s">
        <v>530</v>
      </c>
      <c r="E752" s="3" t="s">
        <v>531</v>
      </c>
      <c r="F752" s="42" t="s">
        <v>631</v>
      </c>
      <c r="G752" s="3"/>
      <c r="H752" s="6">
        <v>0</v>
      </c>
      <c r="I752" s="41">
        <f>VLOOKUP(Tabla1[[#This Row],[PAGO DIA]],DIAS!A:B,2,0)</f>
        <v>46080</v>
      </c>
      <c r="J752" s="6">
        <v>0</v>
      </c>
      <c r="K752" s="43">
        <f>VLOOKUP(Tabla1[[#This Row],[PAGO DIA]],DIAS!A:C,3,0)</f>
        <v>46112</v>
      </c>
      <c r="L752" s="6">
        <v>0</v>
      </c>
      <c r="M752" s="41">
        <f>VLOOKUP(Tabla1[[#This Row],[PAGO DIA]],DIAS!A:D,4,0)</f>
        <v>46142</v>
      </c>
      <c r="N752" s="6">
        <v>0</v>
      </c>
      <c r="O752" s="43">
        <f>VLOOKUP(Tabla1[[#This Row],[PAGO DIA]],DIAS!A:E,5,0)</f>
        <v>46171</v>
      </c>
      <c r="P752" s="6">
        <v>0</v>
      </c>
      <c r="Q752" s="43">
        <f>VLOOKUP(Tabla1[[#This Row],[PAGO DIA]],DIAS!A:F,6,0)</f>
        <v>46203</v>
      </c>
      <c r="R752" s="6">
        <v>0</v>
      </c>
      <c r="S752" s="43">
        <f>VLOOKUP(Tabla1[[#This Row],[PAGO DIA]],DIAS!A:G,7,0)</f>
        <v>46234</v>
      </c>
      <c r="T752" s="6">
        <v>0</v>
      </c>
      <c r="U752" s="43">
        <f>VLOOKUP(Tabla1[[#This Row],[PAGO DIA]],DIAS!A:H,8,0)</f>
        <v>46265</v>
      </c>
      <c r="V752" s="6">
        <v>0</v>
      </c>
      <c r="W752" s="43">
        <f>VLOOKUP(Tabla1[[#This Row],[PAGO DIA]],DIAS!A:I,9,0)</f>
        <v>46295</v>
      </c>
      <c r="X752" s="6">
        <v>0</v>
      </c>
      <c r="Y752" s="43">
        <f>VLOOKUP(Tabla1[[#This Row],[PAGO DIA]],DIAS!A:J,10,0)</f>
        <v>46325</v>
      </c>
      <c r="Z752" s="6">
        <v>0</v>
      </c>
      <c r="AA752" s="43">
        <f>VLOOKUP(Tabla1[[#This Row],[PAGO DIA]],DIAS!A:K,11,0)</f>
        <v>46356</v>
      </c>
      <c r="AB752" s="6">
        <v>0</v>
      </c>
      <c r="AC752" s="43">
        <f>VLOOKUP(Tabla1[[#This Row],[PAGO DIA]],DIAS!A:M,12,0)</f>
        <v>46386</v>
      </c>
      <c r="AD7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3" spans="1:30">
      <c r="A753" s="3">
        <v>12864</v>
      </c>
      <c r="B753" s="3" t="s">
        <v>544</v>
      </c>
      <c r="C753" s="3" t="s">
        <v>1379</v>
      </c>
      <c r="D753" s="3" t="s">
        <v>1379</v>
      </c>
      <c r="E753" s="3" t="s">
        <v>531</v>
      </c>
      <c r="F753" s="42" t="s">
        <v>631</v>
      </c>
      <c r="G753" s="3" t="s">
        <v>1380</v>
      </c>
      <c r="H753" s="6">
        <v>0</v>
      </c>
      <c r="I753" s="41">
        <f>VLOOKUP(Tabla1[[#This Row],[PAGO DIA]],DIAS!A:B,2,0)</f>
        <v>46080</v>
      </c>
      <c r="J753" s="6">
        <v>0</v>
      </c>
      <c r="K753" s="43">
        <f>VLOOKUP(Tabla1[[#This Row],[PAGO DIA]],DIAS!A:C,3,0)</f>
        <v>46112</v>
      </c>
      <c r="L753" s="6">
        <v>0</v>
      </c>
      <c r="M753" s="41">
        <f>VLOOKUP(Tabla1[[#This Row],[PAGO DIA]],DIAS!A:D,4,0)</f>
        <v>46142</v>
      </c>
      <c r="N753" s="6"/>
      <c r="O753" s="43">
        <f>VLOOKUP(Tabla1[[#This Row],[PAGO DIA]],DIAS!A:E,5,0)</f>
        <v>46171</v>
      </c>
      <c r="P753" s="6">
        <v>1300000000</v>
      </c>
      <c r="Q753" s="43">
        <f>VLOOKUP(Tabla1[[#This Row],[PAGO DIA]],DIAS!A:F,6,0)</f>
        <v>46203</v>
      </c>
      <c r="R753" s="6">
        <v>0</v>
      </c>
      <c r="S753" s="43">
        <f>VLOOKUP(Tabla1[[#This Row],[PAGO DIA]],DIAS!A:G,7,0)</f>
        <v>46234</v>
      </c>
      <c r="T753" s="6">
        <v>0</v>
      </c>
      <c r="U753" s="43">
        <f>VLOOKUP(Tabla1[[#This Row],[PAGO DIA]],DIAS!A:H,8,0)</f>
        <v>46265</v>
      </c>
      <c r="V753" s="6">
        <v>0</v>
      </c>
      <c r="W753" s="43">
        <f>VLOOKUP(Tabla1[[#This Row],[PAGO DIA]],DIAS!A:I,9,0)</f>
        <v>46295</v>
      </c>
      <c r="X753" s="6">
        <v>0</v>
      </c>
      <c r="Y753" s="43">
        <f>VLOOKUP(Tabla1[[#This Row],[PAGO DIA]],DIAS!A:J,10,0)</f>
        <v>46325</v>
      </c>
      <c r="Z753" s="6">
        <v>0</v>
      </c>
      <c r="AA753" s="43">
        <f>VLOOKUP(Tabla1[[#This Row],[PAGO DIA]],DIAS!A:K,11,0)</f>
        <v>46356</v>
      </c>
      <c r="AB753" s="6">
        <v>0</v>
      </c>
      <c r="AC753" s="43">
        <f>VLOOKUP(Tabla1[[#This Row],[PAGO DIA]],DIAS!A:M,12,0)</f>
        <v>46386</v>
      </c>
      <c r="AD7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1300000000</v>
      </c>
    </row>
    <row r="754" spans="1:30">
      <c r="A754" s="3">
        <v>11289</v>
      </c>
      <c r="B754" s="3" t="s">
        <v>544</v>
      </c>
      <c r="C754" s="3" t="s">
        <v>505</v>
      </c>
      <c r="D754" s="3" t="s">
        <v>545</v>
      </c>
      <c r="E754" s="3" t="s">
        <v>1381</v>
      </c>
      <c r="F754" s="42" t="s">
        <v>631</v>
      </c>
      <c r="G754" s="3" t="s">
        <v>1382</v>
      </c>
      <c r="H754" s="6">
        <v>0</v>
      </c>
      <c r="I754" s="41">
        <f>VLOOKUP(Tabla1[[#This Row],[PAGO DIA]],DIAS!A:B,2,0)</f>
        <v>46080</v>
      </c>
      <c r="J754" s="6">
        <v>0</v>
      </c>
      <c r="K754" s="43">
        <f>VLOOKUP(Tabla1[[#This Row],[PAGO DIA]],DIAS!A:C,3,0)</f>
        <v>46112</v>
      </c>
      <c r="L754" s="6">
        <v>0</v>
      </c>
      <c r="M754" s="41">
        <f>VLOOKUP(Tabla1[[#This Row],[PAGO DIA]],DIAS!A:D,4,0)</f>
        <v>46142</v>
      </c>
      <c r="N754" s="6">
        <v>0</v>
      </c>
      <c r="O754" s="43">
        <f>VLOOKUP(Tabla1[[#This Row],[PAGO DIA]],DIAS!A:E,5,0)</f>
        <v>46171</v>
      </c>
      <c r="P754" s="6">
        <v>0</v>
      </c>
      <c r="Q754" s="43">
        <f>VLOOKUP(Tabla1[[#This Row],[PAGO DIA]],DIAS!A:F,6,0)</f>
        <v>46203</v>
      </c>
      <c r="R754" s="6">
        <v>0</v>
      </c>
      <c r="S754" s="43">
        <f>VLOOKUP(Tabla1[[#This Row],[PAGO DIA]],DIAS!A:G,7,0)</f>
        <v>46234</v>
      </c>
      <c r="T754" s="6">
        <v>0</v>
      </c>
      <c r="U754" s="43">
        <f>VLOOKUP(Tabla1[[#This Row],[PAGO DIA]],DIAS!A:H,8,0)</f>
        <v>46265</v>
      </c>
      <c r="V754" s="6">
        <v>0</v>
      </c>
      <c r="W754" s="43">
        <f>VLOOKUP(Tabla1[[#This Row],[PAGO DIA]],DIAS!A:I,9,0)</f>
        <v>46295</v>
      </c>
      <c r="X754" s="6">
        <v>0</v>
      </c>
      <c r="Y754" s="43">
        <f>VLOOKUP(Tabla1[[#This Row],[PAGO DIA]],DIAS!A:J,10,0)</f>
        <v>46325</v>
      </c>
      <c r="Z754" s="6">
        <v>0</v>
      </c>
      <c r="AA754" s="43">
        <f>VLOOKUP(Tabla1[[#This Row],[PAGO DIA]],DIAS!A:K,11,0)</f>
        <v>46356</v>
      </c>
      <c r="AB754" s="6">
        <v>0</v>
      </c>
      <c r="AC754" s="43">
        <f>VLOOKUP(Tabla1[[#This Row],[PAGO DIA]],DIAS!A:M,12,0)</f>
        <v>46386</v>
      </c>
      <c r="AD7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5" spans="1:30">
      <c r="A755" s="3">
        <v>11232</v>
      </c>
      <c r="B755" s="3" t="s">
        <v>544</v>
      </c>
      <c r="C755" s="3" t="s">
        <v>505</v>
      </c>
      <c r="D755" s="3" t="s">
        <v>1193</v>
      </c>
      <c r="E755" s="3" t="s">
        <v>1177</v>
      </c>
      <c r="F755" s="42" t="s">
        <v>631</v>
      </c>
      <c r="G755" s="3"/>
      <c r="H755" s="6">
        <v>0</v>
      </c>
      <c r="I755" s="41">
        <f>VLOOKUP(Tabla1[[#This Row],[PAGO DIA]],DIAS!A:B,2,0)</f>
        <v>46080</v>
      </c>
      <c r="J755" s="6">
        <v>0</v>
      </c>
      <c r="K755" s="43">
        <f>VLOOKUP(Tabla1[[#This Row],[PAGO DIA]],DIAS!A:C,3,0)</f>
        <v>46112</v>
      </c>
      <c r="L755" s="6">
        <v>0</v>
      </c>
      <c r="M755" s="41">
        <f>VLOOKUP(Tabla1[[#This Row],[PAGO DIA]],DIAS!A:D,4,0)</f>
        <v>46142</v>
      </c>
      <c r="N755" s="6">
        <v>0</v>
      </c>
      <c r="O755" s="43">
        <f>VLOOKUP(Tabla1[[#This Row],[PAGO DIA]],DIAS!A:E,5,0)</f>
        <v>46171</v>
      </c>
      <c r="P755" s="6">
        <v>0</v>
      </c>
      <c r="Q755" s="43">
        <f>VLOOKUP(Tabla1[[#This Row],[PAGO DIA]],DIAS!A:F,6,0)</f>
        <v>46203</v>
      </c>
      <c r="R755" s="6">
        <v>0</v>
      </c>
      <c r="S755" s="43">
        <f>VLOOKUP(Tabla1[[#This Row],[PAGO DIA]],DIAS!A:G,7,0)</f>
        <v>46234</v>
      </c>
      <c r="T755" s="6">
        <v>0</v>
      </c>
      <c r="U755" s="43">
        <f>VLOOKUP(Tabla1[[#This Row],[PAGO DIA]],DIAS!A:H,8,0)</f>
        <v>46265</v>
      </c>
      <c r="V755" s="6">
        <v>0</v>
      </c>
      <c r="W755" s="43">
        <f>VLOOKUP(Tabla1[[#This Row],[PAGO DIA]],DIAS!A:I,9,0)</f>
        <v>46295</v>
      </c>
      <c r="X755" s="6">
        <v>0</v>
      </c>
      <c r="Y755" s="43">
        <f>VLOOKUP(Tabla1[[#This Row],[PAGO DIA]],DIAS!A:J,10,0)</f>
        <v>46325</v>
      </c>
      <c r="Z755" s="6">
        <v>0</v>
      </c>
      <c r="AA755" s="43">
        <f>VLOOKUP(Tabla1[[#This Row],[PAGO DIA]],DIAS!A:K,11,0)</f>
        <v>46356</v>
      </c>
      <c r="AB755" s="6">
        <v>0</v>
      </c>
      <c r="AC755" s="43">
        <f>VLOOKUP(Tabla1[[#This Row],[PAGO DIA]],DIAS!A:M,12,0)</f>
        <v>46386</v>
      </c>
      <c r="AD7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6" spans="1:30">
      <c r="A756" s="3">
        <v>11395</v>
      </c>
      <c r="B756" s="3" t="s">
        <v>544</v>
      </c>
      <c r="C756" s="3" t="s">
        <v>505</v>
      </c>
      <c r="D756" s="3" t="s">
        <v>1244</v>
      </c>
      <c r="E756" s="3" t="s">
        <v>1177</v>
      </c>
      <c r="F756" s="42" t="s">
        <v>631</v>
      </c>
      <c r="G756" s="3"/>
      <c r="H756" s="6">
        <v>0</v>
      </c>
      <c r="I756" s="41">
        <f>VLOOKUP(Tabla1[[#This Row],[PAGO DIA]],DIAS!A:B,2,0)</f>
        <v>46080</v>
      </c>
      <c r="J756" s="6">
        <v>0</v>
      </c>
      <c r="K756" s="43">
        <f>VLOOKUP(Tabla1[[#This Row],[PAGO DIA]],DIAS!A:C,3,0)</f>
        <v>46112</v>
      </c>
      <c r="L756" s="6">
        <v>0</v>
      </c>
      <c r="M756" s="41">
        <f>VLOOKUP(Tabla1[[#This Row],[PAGO DIA]],DIAS!A:D,4,0)</f>
        <v>46142</v>
      </c>
      <c r="N756" s="6">
        <v>0</v>
      </c>
      <c r="O756" s="43">
        <f>VLOOKUP(Tabla1[[#This Row],[PAGO DIA]],DIAS!A:E,5,0)</f>
        <v>46171</v>
      </c>
      <c r="P756" s="6">
        <v>0</v>
      </c>
      <c r="Q756" s="43">
        <f>VLOOKUP(Tabla1[[#This Row],[PAGO DIA]],DIAS!A:F,6,0)</f>
        <v>46203</v>
      </c>
      <c r="R756" s="6">
        <v>0</v>
      </c>
      <c r="S756" s="43">
        <f>VLOOKUP(Tabla1[[#This Row],[PAGO DIA]],DIAS!A:G,7,0)</f>
        <v>46234</v>
      </c>
      <c r="T756" s="6">
        <v>0</v>
      </c>
      <c r="U756" s="43">
        <f>VLOOKUP(Tabla1[[#This Row],[PAGO DIA]],DIAS!A:H,8,0)</f>
        <v>46265</v>
      </c>
      <c r="V756" s="6">
        <v>0</v>
      </c>
      <c r="W756" s="43">
        <f>VLOOKUP(Tabla1[[#This Row],[PAGO DIA]],DIAS!A:I,9,0)</f>
        <v>46295</v>
      </c>
      <c r="X756" s="6">
        <v>0</v>
      </c>
      <c r="Y756" s="43">
        <f>VLOOKUP(Tabla1[[#This Row],[PAGO DIA]],DIAS!A:J,10,0)</f>
        <v>46325</v>
      </c>
      <c r="Z756" s="6">
        <v>0</v>
      </c>
      <c r="AA756" s="43">
        <f>VLOOKUP(Tabla1[[#This Row],[PAGO DIA]],DIAS!A:K,11,0)</f>
        <v>46356</v>
      </c>
      <c r="AB756" s="6">
        <v>0</v>
      </c>
      <c r="AC756" s="43">
        <f>VLOOKUP(Tabla1[[#This Row],[PAGO DIA]],DIAS!A:M,12,0)</f>
        <v>46386</v>
      </c>
      <c r="AD7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7" spans="1:30">
      <c r="A757" s="3">
        <v>11396</v>
      </c>
      <c r="B757" s="3" t="s">
        <v>544</v>
      </c>
      <c r="C757" s="3" t="s">
        <v>505</v>
      </c>
      <c r="D757" s="3" t="s">
        <v>1244</v>
      </c>
      <c r="E757" s="3" t="s">
        <v>1177</v>
      </c>
      <c r="F757" s="42" t="s">
        <v>631</v>
      </c>
      <c r="G757" s="3"/>
      <c r="H757" s="6">
        <v>0</v>
      </c>
      <c r="I757" s="41">
        <f>VLOOKUP(Tabla1[[#This Row],[PAGO DIA]],DIAS!A:B,2,0)</f>
        <v>46080</v>
      </c>
      <c r="J757" s="6">
        <v>0</v>
      </c>
      <c r="K757" s="43">
        <f>VLOOKUP(Tabla1[[#This Row],[PAGO DIA]],DIAS!A:C,3,0)</f>
        <v>46112</v>
      </c>
      <c r="L757" s="6">
        <v>0</v>
      </c>
      <c r="M757" s="41">
        <f>VLOOKUP(Tabla1[[#This Row],[PAGO DIA]],DIAS!A:D,4,0)</f>
        <v>46142</v>
      </c>
      <c r="N757" s="6">
        <v>0</v>
      </c>
      <c r="O757" s="43">
        <f>VLOOKUP(Tabla1[[#This Row],[PAGO DIA]],DIAS!A:E,5,0)</f>
        <v>46171</v>
      </c>
      <c r="P757" s="6">
        <v>0</v>
      </c>
      <c r="Q757" s="43">
        <f>VLOOKUP(Tabla1[[#This Row],[PAGO DIA]],DIAS!A:F,6,0)</f>
        <v>46203</v>
      </c>
      <c r="R757" s="6">
        <v>0</v>
      </c>
      <c r="S757" s="43">
        <f>VLOOKUP(Tabla1[[#This Row],[PAGO DIA]],DIAS!A:G,7,0)</f>
        <v>46234</v>
      </c>
      <c r="T757" s="6">
        <v>0</v>
      </c>
      <c r="U757" s="43">
        <f>VLOOKUP(Tabla1[[#This Row],[PAGO DIA]],DIAS!A:H,8,0)</f>
        <v>46265</v>
      </c>
      <c r="V757" s="6">
        <v>0</v>
      </c>
      <c r="W757" s="43">
        <f>VLOOKUP(Tabla1[[#This Row],[PAGO DIA]],DIAS!A:I,9,0)</f>
        <v>46295</v>
      </c>
      <c r="X757" s="6">
        <v>0</v>
      </c>
      <c r="Y757" s="43">
        <f>VLOOKUP(Tabla1[[#This Row],[PAGO DIA]],DIAS!A:J,10,0)</f>
        <v>46325</v>
      </c>
      <c r="Z757" s="6">
        <v>0</v>
      </c>
      <c r="AA757" s="43">
        <f>VLOOKUP(Tabla1[[#This Row],[PAGO DIA]],DIAS!A:K,11,0)</f>
        <v>46356</v>
      </c>
      <c r="AB757" s="6">
        <v>0</v>
      </c>
      <c r="AC757" s="43">
        <f>VLOOKUP(Tabla1[[#This Row],[PAGO DIA]],DIAS!A:M,12,0)</f>
        <v>46386</v>
      </c>
      <c r="AD7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8" spans="1:30">
      <c r="A758" s="3">
        <v>11426</v>
      </c>
      <c r="B758" s="3" t="s">
        <v>544</v>
      </c>
      <c r="C758" s="3" t="s">
        <v>505</v>
      </c>
      <c r="D758" s="3" t="s">
        <v>1241</v>
      </c>
      <c r="E758" s="3" t="s">
        <v>1177</v>
      </c>
      <c r="F758" s="42" t="s">
        <v>631</v>
      </c>
      <c r="G758" s="3"/>
      <c r="H758" s="6">
        <v>0</v>
      </c>
      <c r="I758" s="41">
        <f>VLOOKUP(Tabla1[[#This Row],[PAGO DIA]],DIAS!A:B,2,0)</f>
        <v>46080</v>
      </c>
      <c r="J758" s="6">
        <v>0</v>
      </c>
      <c r="K758" s="43">
        <f>VLOOKUP(Tabla1[[#This Row],[PAGO DIA]],DIAS!A:C,3,0)</f>
        <v>46112</v>
      </c>
      <c r="L758" s="6">
        <v>0</v>
      </c>
      <c r="M758" s="41">
        <f>VLOOKUP(Tabla1[[#This Row],[PAGO DIA]],DIAS!A:D,4,0)</f>
        <v>46142</v>
      </c>
      <c r="N758" s="6">
        <v>0</v>
      </c>
      <c r="O758" s="43">
        <f>VLOOKUP(Tabla1[[#This Row],[PAGO DIA]],DIAS!A:E,5,0)</f>
        <v>46171</v>
      </c>
      <c r="P758" s="6">
        <v>0</v>
      </c>
      <c r="Q758" s="43">
        <f>VLOOKUP(Tabla1[[#This Row],[PAGO DIA]],DIAS!A:F,6,0)</f>
        <v>46203</v>
      </c>
      <c r="R758" s="6">
        <v>0</v>
      </c>
      <c r="S758" s="43">
        <f>VLOOKUP(Tabla1[[#This Row],[PAGO DIA]],DIAS!A:G,7,0)</f>
        <v>46234</v>
      </c>
      <c r="T758" s="6">
        <v>0</v>
      </c>
      <c r="U758" s="43">
        <f>VLOOKUP(Tabla1[[#This Row],[PAGO DIA]],DIAS!A:H,8,0)</f>
        <v>46265</v>
      </c>
      <c r="V758" s="6">
        <v>0</v>
      </c>
      <c r="W758" s="43">
        <f>VLOOKUP(Tabla1[[#This Row],[PAGO DIA]],DIAS!A:I,9,0)</f>
        <v>46295</v>
      </c>
      <c r="X758" s="6">
        <v>0</v>
      </c>
      <c r="Y758" s="43">
        <f>VLOOKUP(Tabla1[[#This Row],[PAGO DIA]],DIAS!A:J,10,0)</f>
        <v>46325</v>
      </c>
      <c r="Z758" s="6">
        <v>0</v>
      </c>
      <c r="AA758" s="43">
        <f>VLOOKUP(Tabla1[[#This Row],[PAGO DIA]],DIAS!A:K,11,0)</f>
        <v>46356</v>
      </c>
      <c r="AB758" s="6">
        <v>0</v>
      </c>
      <c r="AC758" s="43">
        <f>VLOOKUP(Tabla1[[#This Row],[PAGO DIA]],DIAS!A:M,12,0)</f>
        <v>46386</v>
      </c>
      <c r="AD7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59" spans="1:30">
      <c r="A759" s="3">
        <v>12099</v>
      </c>
      <c r="B759" s="3" t="s">
        <v>544</v>
      </c>
      <c r="C759" s="3" t="s">
        <v>540</v>
      </c>
      <c r="D759" s="3" t="s">
        <v>545</v>
      </c>
      <c r="E759" s="3" t="s">
        <v>1383</v>
      </c>
      <c r="F759" s="42" t="s">
        <v>631</v>
      </c>
      <c r="G759" s="3"/>
      <c r="H759" s="6">
        <v>0</v>
      </c>
      <c r="I759" s="41">
        <f>VLOOKUP(Tabla1[[#This Row],[PAGO DIA]],DIAS!A:B,2,0)</f>
        <v>46080</v>
      </c>
      <c r="J759" s="6">
        <v>0</v>
      </c>
      <c r="K759" s="43">
        <f>VLOOKUP(Tabla1[[#This Row],[PAGO DIA]],DIAS!A:C,3,0)</f>
        <v>46112</v>
      </c>
      <c r="L759" s="6">
        <v>0</v>
      </c>
      <c r="M759" s="41">
        <f>VLOOKUP(Tabla1[[#This Row],[PAGO DIA]],DIAS!A:D,4,0)</f>
        <v>46142</v>
      </c>
      <c r="N759" s="6">
        <v>0</v>
      </c>
      <c r="O759" s="43">
        <f>VLOOKUP(Tabla1[[#This Row],[PAGO DIA]],DIAS!A:E,5,0)</f>
        <v>46171</v>
      </c>
      <c r="P759" s="6">
        <v>0</v>
      </c>
      <c r="Q759" s="43">
        <f>VLOOKUP(Tabla1[[#This Row],[PAGO DIA]],DIAS!A:F,6,0)</f>
        <v>46203</v>
      </c>
      <c r="R759" s="6">
        <v>0</v>
      </c>
      <c r="S759" s="43">
        <f>VLOOKUP(Tabla1[[#This Row],[PAGO DIA]],DIAS!A:G,7,0)</f>
        <v>46234</v>
      </c>
      <c r="T759" s="6">
        <v>0</v>
      </c>
      <c r="U759" s="43">
        <f>VLOOKUP(Tabla1[[#This Row],[PAGO DIA]],DIAS!A:H,8,0)</f>
        <v>46265</v>
      </c>
      <c r="V759" s="6">
        <v>0</v>
      </c>
      <c r="W759" s="43">
        <f>VLOOKUP(Tabla1[[#This Row],[PAGO DIA]],DIAS!A:I,9,0)</f>
        <v>46295</v>
      </c>
      <c r="X759" s="6">
        <v>0</v>
      </c>
      <c r="Y759" s="43">
        <f>VLOOKUP(Tabla1[[#This Row],[PAGO DIA]],DIAS!A:J,10,0)</f>
        <v>46325</v>
      </c>
      <c r="Z759" s="6">
        <v>0</v>
      </c>
      <c r="AA759" s="43">
        <f>VLOOKUP(Tabla1[[#This Row],[PAGO DIA]],DIAS!A:K,11,0)</f>
        <v>46356</v>
      </c>
      <c r="AB759" s="6">
        <v>0</v>
      </c>
      <c r="AC759" s="43">
        <f>VLOOKUP(Tabla1[[#This Row],[PAGO DIA]],DIAS!A:M,12,0)</f>
        <v>46386</v>
      </c>
      <c r="AD7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0" spans="1:30">
      <c r="A760" s="3">
        <v>12120</v>
      </c>
      <c r="B760" s="3" t="s">
        <v>544</v>
      </c>
      <c r="C760" s="3"/>
      <c r="D760" s="3" t="s">
        <v>1384</v>
      </c>
      <c r="E760" s="3"/>
      <c r="F760" s="42" t="s">
        <v>631</v>
      </c>
      <c r="G760" s="3"/>
      <c r="H760" s="6">
        <v>0</v>
      </c>
      <c r="I760" s="41">
        <f>VLOOKUP(Tabla1[[#This Row],[PAGO DIA]],DIAS!A:B,2,0)</f>
        <v>46080</v>
      </c>
      <c r="J760" s="6">
        <v>0</v>
      </c>
      <c r="K760" s="43">
        <f>VLOOKUP(Tabla1[[#This Row],[PAGO DIA]],DIAS!A:C,3,0)</f>
        <v>46112</v>
      </c>
      <c r="L760" s="6">
        <v>0</v>
      </c>
      <c r="M760" s="41">
        <f>VLOOKUP(Tabla1[[#This Row],[PAGO DIA]],DIAS!A:D,4,0)</f>
        <v>46142</v>
      </c>
      <c r="N760" s="6">
        <v>0</v>
      </c>
      <c r="O760" s="43">
        <f>VLOOKUP(Tabla1[[#This Row],[PAGO DIA]],DIAS!A:E,5,0)</f>
        <v>46171</v>
      </c>
      <c r="P760" s="6">
        <v>0</v>
      </c>
      <c r="Q760" s="43">
        <f>VLOOKUP(Tabla1[[#This Row],[PAGO DIA]],DIAS!A:F,6,0)</f>
        <v>46203</v>
      </c>
      <c r="R760" s="6">
        <v>0</v>
      </c>
      <c r="S760" s="43">
        <f>VLOOKUP(Tabla1[[#This Row],[PAGO DIA]],DIAS!A:G,7,0)</f>
        <v>46234</v>
      </c>
      <c r="T760" s="6">
        <v>0</v>
      </c>
      <c r="U760" s="43">
        <f>VLOOKUP(Tabla1[[#This Row],[PAGO DIA]],DIAS!A:H,8,0)</f>
        <v>46265</v>
      </c>
      <c r="V760" s="6">
        <v>0</v>
      </c>
      <c r="W760" s="43">
        <f>VLOOKUP(Tabla1[[#This Row],[PAGO DIA]],DIAS!A:I,9,0)</f>
        <v>46295</v>
      </c>
      <c r="X760" s="6">
        <v>0</v>
      </c>
      <c r="Y760" s="43">
        <f>VLOOKUP(Tabla1[[#This Row],[PAGO DIA]],DIAS!A:J,10,0)</f>
        <v>46325</v>
      </c>
      <c r="Z760" s="6">
        <v>0</v>
      </c>
      <c r="AA760" s="43">
        <f>VLOOKUP(Tabla1[[#This Row],[PAGO DIA]],DIAS!A:K,11,0)</f>
        <v>46356</v>
      </c>
      <c r="AB760" s="6">
        <v>0</v>
      </c>
      <c r="AC760" s="43">
        <f>VLOOKUP(Tabla1[[#This Row],[PAGO DIA]],DIAS!A:M,12,0)</f>
        <v>46386</v>
      </c>
      <c r="AD7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1" spans="1:30">
      <c r="A761" s="3">
        <v>12121</v>
      </c>
      <c r="B761" s="3" t="s">
        <v>544</v>
      </c>
      <c r="C761" s="3"/>
      <c r="D761" s="3" t="s">
        <v>1385</v>
      </c>
      <c r="E761" s="3"/>
      <c r="F761" s="42" t="s">
        <v>631</v>
      </c>
      <c r="G761" s="3"/>
      <c r="H761" s="6">
        <v>0</v>
      </c>
      <c r="I761" s="41">
        <f>VLOOKUP(Tabla1[[#This Row],[PAGO DIA]],DIAS!A:B,2,0)</f>
        <v>46080</v>
      </c>
      <c r="J761" s="6">
        <v>0</v>
      </c>
      <c r="K761" s="43">
        <f>VLOOKUP(Tabla1[[#This Row],[PAGO DIA]],DIAS!A:C,3,0)</f>
        <v>46112</v>
      </c>
      <c r="L761" s="6">
        <v>0</v>
      </c>
      <c r="M761" s="41">
        <f>VLOOKUP(Tabla1[[#This Row],[PAGO DIA]],DIAS!A:D,4,0)</f>
        <v>46142</v>
      </c>
      <c r="N761" s="6">
        <v>0</v>
      </c>
      <c r="O761" s="43">
        <f>VLOOKUP(Tabla1[[#This Row],[PAGO DIA]],DIAS!A:E,5,0)</f>
        <v>46171</v>
      </c>
      <c r="P761" s="6">
        <v>0</v>
      </c>
      <c r="Q761" s="43">
        <f>VLOOKUP(Tabla1[[#This Row],[PAGO DIA]],DIAS!A:F,6,0)</f>
        <v>46203</v>
      </c>
      <c r="R761" s="6">
        <v>0</v>
      </c>
      <c r="S761" s="43">
        <f>VLOOKUP(Tabla1[[#This Row],[PAGO DIA]],DIAS!A:G,7,0)</f>
        <v>46234</v>
      </c>
      <c r="T761" s="6">
        <v>0</v>
      </c>
      <c r="U761" s="43">
        <f>VLOOKUP(Tabla1[[#This Row],[PAGO DIA]],DIAS!A:H,8,0)</f>
        <v>46265</v>
      </c>
      <c r="V761" s="6">
        <v>0</v>
      </c>
      <c r="W761" s="43">
        <f>VLOOKUP(Tabla1[[#This Row],[PAGO DIA]],DIAS!A:I,9,0)</f>
        <v>46295</v>
      </c>
      <c r="X761" s="6">
        <v>0</v>
      </c>
      <c r="Y761" s="43">
        <f>VLOOKUP(Tabla1[[#This Row],[PAGO DIA]],DIAS!A:J,10,0)</f>
        <v>46325</v>
      </c>
      <c r="Z761" s="6">
        <v>0</v>
      </c>
      <c r="AA761" s="43">
        <f>VLOOKUP(Tabla1[[#This Row],[PAGO DIA]],DIAS!A:K,11,0)</f>
        <v>46356</v>
      </c>
      <c r="AB761" s="6">
        <v>0</v>
      </c>
      <c r="AC761" s="43">
        <f>VLOOKUP(Tabla1[[#This Row],[PAGO DIA]],DIAS!A:M,12,0)</f>
        <v>46386</v>
      </c>
      <c r="AD7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2" spans="1:30">
      <c r="A762" s="3">
        <v>12122</v>
      </c>
      <c r="B762" s="3" t="s">
        <v>544</v>
      </c>
      <c r="C762" s="3"/>
      <c r="D762" s="3" t="s">
        <v>1241</v>
      </c>
      <c r="E762" s="3"/>
      <c r="F762" s="42" t="s">
        <v>631</v>
      </c>
      <c r="G762" s="3"/>
      <c r="H762" s="6">
        <v>0</v>
      </c>
      <c r="I762" s="41">
        <f>VLOOKUP(Tabla1[[#This Row],[PAGO DIA]],DIAS!A:B,2,0)</f>
        <v>46080</v>
      </c>
      <c r="J762" s="6">
        <v>0</v>
      </c>
      <c r="K762" s="43">
        <f>VLOOKUP(Tabla1[[#This Row],[PAGO DIA]],DIAS!A:C,3,0)</f>
        <v>46112</v>
      </c>
      <c r="L762" s="6">
        <v>0</v>
      </c>
      <c r="M762" s="41">
        <f>VLOOKUP(Tabla1[[#This Row],[PAGO DIA]],DIAS!A:D,4,0)</f>
        <v>46142</v>
      </c>
      <c r="N762" s="6">
        <v>0</v>
      </c>
      <c r="O762" s="43">
        <f>VLOOKUP(Tabla1[[#This Row],[PAGO DIA]],DIAS!A:E,5,0)</f>
        <v>46171</v>
      </c>
      <c r="P762" s="6">
        <v>0</v>
      </c>
      <c r="Q762" s="43">
        <f>VLOOKUP(Tabla1[[#This Row],[PAGO DIA]],DIAS!A:F,6,0)</f>
        <v>46203</v>
      </c>
      <c r="R762" s="6">
        <v>0</v>
      </c>
      <c r="S762" s="43">
        <f>VLOOKUP(Tabla1[[#This Row],[PAGO DIA]],DIAS!A:G,7,0)</f>
        <v>46234</v>
      </c>
      <c r="T762" s="6">
        <v>0</v>
      </c>
      <c r="U762" s="43">
        <f>VLOOKUP(Tabla1[[#This Row],[PAGO DIA]],DIAS!A:H,8,0)</f>
        <v>46265</v>
      </c>
      <c r="V762" s="6">
        <v>0</v>
      </c>
      <c r="W762" s="43">
        <f>VLOOKUP(Tabla1[[#This Row],[PAGO DIA]],DIAS!A:I,9,0)</f>
        <v>46295</v>
      </c>
      <c r="X762" s="6">
        <v>0</v>
      </c>
      <c r="Y762" s="43">
        <f>VLOOKUP(Tabla1[[#This Row],[PAGO DIA]],DIAS!A:J,10,0)</f>
        <v>46325</v>
      </c>
      <c r="Z762" s="6">
        <v>0</v>
      </c>
      <c r="AA762" s="43">
        <f>VLOOKUP(Tabla1[[#This Row],[PAGO DIA]],DIAS!A:K,11,0)</f>
        <v>46356</v>
      </c>
      <c r="AB762" s="6">
        <v>0</v>
      </c>
      <c r="AC762" s="43">
        <f>VLOOKUP(Tabla1[[#This Row],[PAGO DIA]],DIAS!A:M,12,0)</f>
        <v>46386</v>
      </c>
      <c r="AD7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3" spans="1:30">
      <c r="A763" s="3">
        <v>12125</v>
      </c>
      <c r="B763" s="3" t="s">
        <v>544</v>
      </c>
      <c r="C763" s="3"/>
      <c r="D763" s="3" t="s">
        <v>1386</v>
      </c>
      <c r="E763" s="3"/>
      <c r="F763" s="42" t="s">
        <v>631</v>
      </c>
      <c r="G763" s="3"/>
      <c r="H763" s="6">
        <v>0</v>
      </c>
      <c r="I763" s="41">
        <f>VLOOKUP(Tabla1[[#This Row],[PAGO DIA]],DIAS!A:B,2,0)</f>
        <v>46080</v>
      </c>
      <c r="J763" s="6">
        <v>0</v>
      </c>
      <c r="K763" s="43">
        <f>VLOOKUP(Tabla1[[#This Row],[PAGO DIA]],DIAS!A:C,3,0)</f>
        <v>46112</v>
      </c>
      <c r="L763" s="6">
        <v>0</v>
      </c>
      <c r="M763" s="41">
        <f>VLOOKUP(Tabla1[[#This Row],[PAGO DIA]],DIAS!A:D,4,0)</f>
        <v>46142</v>
      </c>
      <c r="N763" s="6">
        <v>0</v>
      </c>
      <c r="O763" s="43">
        <f>VLOOKUP(Tabla1[[#This Row],[PAGO DIA]],DIAS!A:E,5,0)</f>
        <v>46171</v>
      </c>
      <c r="P763" s="6">
        <v>0</v>
      </c>
      <c r="Q763" s="43">
        <f>VLOOKUP(Tabla1[[#This Row],[PAGO DIA]],DIAS!A:F,6,0)</f>
        <v>46203</v>
      </c>
      <c r="R763" s="6">
        <v>0</v>
      </c>
      <c r="S763" s="43">
        <f>VLOOKUP(Tabla1[[#This Row],[PAGO DIA]],DIAS!A:G,7,0)</f>
        <v>46234</v>
      </c>
      <c r="T763" s="6">
        <v>0</v>
      </c>
      <c r="U763" s="43">
        <f>VLOOKUP(Tabla1[[#This Row],[PAGO DIA]],DIAS!A:H,8,0)</f>
        <v>46265</v>
      </c>
      <c r="V763" s="6">
        <v>0</v>
      </c>
      <c r="W763" s="43">
        <f>VLOOKUP(Tabla1[[#This Row],[PAGO DIA]],DIAS!A:I,9,0)</f>
        <v>46295</v>
      </c>
      <c r="X763" s="6">
        <v>0</v>
      </c>
      <c r="Y763" s="43">
        <f>VLOOKUP(Tabla1[[#This Row],[PAGO DIA]],DIAS!A:J,10,0)</f>
        <v>46325</v>
      </c>
      <c r="Z763" s="6">
        <v>0</v>
      </c>
      <c r="AA763" s="43">
        <f>VLOOKUP(Tabla1[[#This Row],[PAGO DIA]],DIAS!A:K,11,0)</f>
        <v>46356</v>
      </c>
      <c r="AB763" s="6">
        <v>0</v>
      </c>
      <c r="AC763" s="43">
        <f>VLOOKUP(Tabla1[[#This Row],[PAGO DIA]],DIAS!A:M,12,0)</f>
        <v>46386</v>
      </c>
      <c r="AD7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4" spans="1:30">
      <c r="A764" s="3">
        <v>12135</v>
      </c>
      <c r="B764" s="3" t="s">
        <v>544</v>
      </c>
      <c r="C764" s="3"/>
      <c r="D764" s="3" t="s">
        <v>1387</v>
      </c>
      <c r="E764" s="3"/>
      <c r="F764" s="42" t="s">
        <v>631</v>
      </c>
      <c r="G764" s="3"/>
      <c r="H764" s="6">
        <v>0</v>
      </c>
      <c r="I764" s="41">
        <f>VLOOKUP(Tabla1[[#This Row],[PAGO DIA]],DIAS!A:B,2,0)</f>
        <v>46080</v>
      </c>
      <c r="J764" s="6">
        <v>0</v>
      </c>
      <c r="K764" s="43">
        <f>VLOOKUP(Tabla1[[#This Row],[PAGO DIA]],DIAS!A:C,3,0)</f>
        <v>46112</v>
      </c>
      <c r="L764" s="6">
        <v>0</v>
      </c>
      <c r="M764" s="41">
        <f>VLOOKUP(Tabla1[[#This Row],[PAGO DIA]],DIAS!A:D,4,0)</f>
        <v>46142</v>
      </c>
      <c r="N764" s="6">
        <v>0</v>
      </c>
      <c r="O764" s="43">
        <f>VLOOKUP(Tabla1[[#This Row],[PAGO DIA]],DIAS!A:E,5,0)</f>
        <v>46171</v>
      </c>
      <c r="P764" s="6">
        <v>0</v>
      </c>
      <c r="Q764" s="43">
        <f>VLOOKUP(Tabla1[[#This Row],[PAGO DIA]],DIAS!A:F,6,0)</f>
        <v>46203</v>
      </c>
      <c r="R764" s="6">
        <v>0</v>
      </c>
      <c r="S764" s="43">
        <f>VLOOKUP(Tabla1[[#This Row],[PAGO DIA]],DIAS!A:G,7,0)</f>
        <v>46234</v>
      </c>
      <c r="T764" s="6">
        <v>0</v>
      </c>
      <c r="U764" s="43">
        <f>VLOOKUP(Tabla1[[#This Row],[PAGO DIA]],DIAS!A:H,8,0)</f>
        <v>46265</v>
      </c>
      <c r="V764" s="6">
        <v>0</v>
      </c>
      <c r="W764" s="43">
        <f>VLOOKUP(Tabla1[[#This Row],[PAGO DIA]],DIAS!A:I,9,0)</f>
        <v>46295</v>
      </c>
      <c r="X764" s="6">
        <v>0</v>
      </c>
      <c r="Y764" s="43">
        <f>VLOOKUP(Tabla1[[#This Row],[PAGO DIA]],DIAS!A:J,10,0)</f>
        <v>46325</v>
      </c>
      <c r="Z764" s="6">
        <v>0</v>
      </c>
      <c r="AA764" s="43">
        <f>VLOOKUP(Tabla1[[#This Row],[PAGO DIA]],DIAS!A:K,11,0)</f>
        <v>46356</v>
      </c>
      <c r="AB764" s="6">
        <v>0</v>
      </c>
      <c r="AC764" s="43">
        <f>VLOOKUP(Tabla1[[#This Row],[PAGO DIA]],DIAS!A:M,12,0)</f>
        <v>46386</v>
      </c>
      <c r="AD7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5" spans="1:30">
      <c r="A765" s="3">
        <v>12136</v>
      </c>
      <c r="B765" s="3" t="s">
        <v>544</v>
      </c>
      <c r="C765" s="3"/>
      <c r="D765" s="3" t="s">
        <v>1388</v>
      </c>
      <c r="E765" s="3"/>
      <c r="F765" s="42" t="s">
        <v>631</v>
      </c>
      <c r="G765" s="3"/>
      <c r="H765" s="6">
        <v>0</v>
      </c>
      <c r="I765" s="41">
        <f>VLOOKUP(Tabla1[[#This Row],[PAGO DIA]],DIAS!A:B,2,0)</f>
        <v>46080</v>
      </c>
      <c r="J765" s="6">
        <v>0</v>
      </c>
      <c r="K765" s="43">
        <f>VLOOKUP(Tabla1[[#This Row],[PAGO DIA]],DIAS!A:C,3,0)</f>
        <v>46112</v>
      </c>
      <c r="L765" s="6">
        <v>0</v>
      </c>
      <c r="M765" s="41">
        <f>VLOOKUP(Tabla1[[#This Row],[PAGO DIA]],DIAS!A:D,4,0)</f>
        <v>46142</v>
      </c>
      <c r="N765" s="6">
        <v>0</v>
      </c>
      <c r="O765" s="43">
        <f>VLOOKUP(Tabla1[[#This Row],[PAGO DIA]],DIAS!A:E,5,0)</f>
        <v>46171</v>
      </c>
      <c r="P765" s="6">
        <v>0</v>
      </c>
      <c r="Q765" s="43">
        <f>VLOOKUP(Tabla1[[#This Row],[PAGO DIA]],DIAS!A:F,6,0)</f>
        <v>46203</v>
      </c>
      <c r="R765" s="6">
        <v>0</v>
      </c>
      <c r="S765" s="43">
        <f>VLOOKUP(Tabla1[[#This Row],[PAGO DIA]],DIAS!A:G,7,0)</f>
        <v>46234</v>
      </c>
      <c r="T765" s="6">
        <v>0</v>
      </c>
      <c r="U765" s="43">
        <f>VLOOKUP(Tabla1[[#This Row],[PAGO DIA]],DIAS!A:H,8,0)</f>
        <v>46265</v>
      </c>
      <c r="V765" s="6">
        <v>0</v>
      </c>
      <c r="W765" s="43">
        <f>VLOOKUP(Tabla1[[#This Row],[PAGO DIA]],DIAS!A:I,9,0)</f>
        <v>46295</v>
      </c>
      <c r="X765" s="6">
        <v>0</v>
      </c>
      <c r="Y765" s="43">
        <f>VLOOKUP(Tabla1[[#This Row],[PAGO DIA]],DIAS!A:J,10,0)</f>
        <v>46325</v>
      </c>
      <c r="Z765" s="6">
        <v>0</v>
      </c>
      <c r="AA765" s="43">
        <f>VLOOKUP(Tabla1[[#This Row],[PAGO DIA]],DIAS!A:K,11,0)</f>
        <v>46356</v>
      </c>
      <c r="AB765" s="6">
        <v>0</v>
      </c>
      <c r="AC765" s="43">
        <f>VLOOKUP(Tabla1[[#This Row],[PAGO DIA]],DIAS!A:M,12,0)</f>
        <v>46386</v>
      </c>
      <c r="AD7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6" spans="1:30">
      <c r="A766" s="3">
        <v>12137</v>
      </c>
      <c r="B766" s="3" t="s">
        <v>544</v>
      </c>
      <c r="C766" s="3"/>
      <c r="D766" s="3" t="s">
        <v>1202</v>
      </c>
      <c r="E766" s="3"/>
      <c r="F766" s="42" t="s">
        <v>631</v>
      </c>
      <c r="G766" s="3"/>
      <c r="H766" s="6">
        <v>0</v>
      </c>
      <c r="I766" s="41">
        <f>VLOOKUP(Tabla1[[#This Row],[PAGO DIA]],DIAS!A:B,2,0)</f>
        <v>46080</v>
      </c>
      <c r="J766" s="6">
        <v>0</v>
      </c>
      <c r="K766" s="43">
        <f>VLOOKUP(Tabla1[[#This Row],[PAGO DIA]],DIAS!A:C,3,0)</f>
        <v>46112</v>
      </c>
      <c r="L766" s="6">
        <v>0</v>
      </c>
      <c r="M766" s="41">
        <f>VLOOKUP(Tabla1[[#This Row],[PAGO DIA]],DIAS!A:D,4,0)</f>
        <v>46142</v>
      </c>
      <c r="N766" s="6">
        <v>0</v>
      </c>
      <c r="O766" s="43">
        <f>VLOOKUP(Tabla1[[#This Row],[PAGO DIA]],DIAS!A:E,5,0)</f>
        <v>46171</v>
      </c>
      <c r="P766" s="6">
        <v>0</v>
      </c>
      <c r="Q766" s="43">
        <f>VLOOKUP(Tabla1[[#This Row],[PAGO DIA]],DIAS!A:F,6,0)</f>
        <v>46203</v>
      </c>
      <c r="R766" s="6">
        <v>0</v>
      </c>
      <c r="S766" s="43">
        <f>VLOOKUP(Tabla1[[#This Row],[PAGO DIA]],DIAS!A:G,7,0)</f>
        <v>46234</v>
      </c>
      <c r="T766" s="6">
        <v>0</v>
      </c>
      <c r="U766" s="43">
        <f>VLOOKUP(Tabla1[[#This Row],[PAGO DIA]],DIAS!A:H,8,0)</f>
        <v>46265</v>
      </c>
      <c r="V766" s="6">
        <v>0</v>
      </c>
      <c r="W766" s="43">
        <f>VLOOKUP(Tabla1[[#This Row],[PAGO DIA]],DIAS!A:I,9,0)</f>
        <v>46295</v>
      </c>
      <c r="X766" s="6">
        <v>0</v>
      </c>
      <c r="Y766" s="43">
        <f>VLOOKUP(Tabla1[[#This Row],[PAGO DIA]],DIAS!A:J,10,0)</f>
        <v>46325</v>
      </c>
      <c r="Z766" s="6">
        <v>0</v>
      </c>
      <c r="AA766" s="43">
        <f>VLOOKUP(Tabla1[[#This Row],[PAGO DIA]],DIAS!A:K,11,0)</f>
        <v>46356</v>
      </c>
      <c r="AB766" s="6">
        <v>0</v>
      </c>
      <c r="AC766" s="43">
        <f>VLOOKUP(Tabla1[[#This Row],[PAGO DIA]],DIAS!A:M,12,0)</f>
        <v>46386</v>
      </c>
      <c r="AD7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7" spans="1:30">
      <c r="A767" s="3">
        <v>11135</v>
      </c>
      <c r="B767" s="3" t="s">
        <v>538</v>
      </c>
      <c r="C767" s="3" t="s">
        <v>539</v>
      </c>
      <c r="D767" s="3" t="s">
        <v>540</v>
      </c>
      <c r="E767" s="3" t="s">
        <v>630</v>
      </c>
      <c r="F767" s="42" t="s">
        <v>631</v>
      </c>
      <c r="G767" s="3"/>
      <c r="H767" s="7">
        <v>550000000</v>
      </c>
      <c r="I767" s="41">
        <f>VLOOKUP(Tabla1[[#This Row],[PAGO DIA]],DIAS!A:B,2,0)</f>
        <v>46080</v>
      </c>
      <c r="J767" s="6">
        <v>550000000</v>
      </c>
      <c r="K767" s="43">
        <f>VLOOKUP(Tabla1[[#This Row],[PAGO DIA]],DIAS!A:C,3,0)</f>
        <v>46112</v>
      </c>
      <c r="L767" s="6">
        <v>550000000</v>
      </c>
      <c r="M767" s="41">
        <f>VLOOKUP(Tabla1[[#This Row],[PAGO DIA]],DIAS!A:D,4,0)</f>
        <v>46142</v>
      </c>
      <c r="N767" s="6">
        <v>550000000</v>
      </c>
      <c r="O767" s="43">
        <f>VLOOKUP(Tabla1[[#This Row],[PAGO DIA]],DIAS!A:E,5,0)</f>
        <v>46171</v>
      </c>
      <c r="P767" s="6">
        <v>550000000</v>
      </c>
      <c r="Q767" s="43">
        <f>VLOOKUP(Tabla1[[#This Row],[PAGO DIA]],DIAS!A:F,6,0)</f>
        <v>46203</v>
      </c>
      <c r="R767" s="6">
        <v>550000000</v>
      </c>
      <c r="S767" s="43">
        <f>VLOOKUP(Tabla1[[#This Row],[PAGO DIA]],DIAS!A:G,7,0)</f>
        <v>46234</v>
      </c>
      <c r="T767" s="6">
        <v>550000000</v>
      </c>
      <c r="U767" s="43">
        <f>VLOOKUP(Tabla1[[#This Row],[PAGO DIA]],DIAS!A:H,8,0)</f>
        <v>46265</v>
      </c>
      <c r="V767" s="6">
        <v>550000000</v>
      </c>
      <c r="W767" s="43">
        <f>VLOOKUP(Tabla1[[#This Row],[PAGO DIA]],DIAS!A:I,9,0)</f>
        <v>46295</v>
      </c>
      <c r="X767" s="6">
        <v>550000000</v>
      </c>
      <c r="Y767" s="43">
        <f>VLOOKUP(Tabla1[[#This Row],[PAGO DIA]],DIAS!A:J,10,0)</f>
        <v>46325</v>
      </c>
      <c r="Z767" s="6">
        <v>550000000</v>
      </c>
      <c r="AA767" s="43">
        <f>VLOOKUP(Tabla1[[#This Row],[PAGO DIA]],DIAS!A:K,11,0)</f>
        <v>46356</v>
      </c>
      <c r="AB767" s="6">
        <v>550000000</v>
      </c>
      <c r="AC767" s="43">
        <f>VLOOKUP(Tabla1[[#This Row],[PAGO DIA]],DIAS!A:M,12,0)</f>
        <v>46386</v>
      </c>
      <c r="AD7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6050000000</v>
      </c>
    </row>
    <row r="768" spans="1:30">
      <c r="A768" s="3">
        <v>11136</v>
      </c>
      <c r="B768" s="3" t="s">
        <v>538</v>
      </c>
      <c r="C768" s="3" t="s">
        <v>539</v>
      </c>
      <c r="D768" s="3" t="s">
        <v>540</v>
      </c>
      <c r="E768" s="3" t="s">
        <v>1389</v>
      </c>
      <c r="F768" s="42" t="s">
        <v>631</v>
      </c>
      <c r="G768" s="3"/>
      <c r="H768" s="6">
        <v>0</v>
      </c>
      <c r="I768" s="41">
        <f>VLOOKUP(Tabla1[[#This Row],[PAGO DIA]],DIAS!A:B,2,0)</f>
        <v>46080</v>
      </c>
      <c r="J768" s="6">
        <v>0</v>
      </c>
      <c r="K768" s="43">
        <f>VLOOKUP(Tabla1[[#This Row],[PAGO DIA]],DIAS!A:C,3,0)</f>
        <v>46112</v>
      </c>
      <c r="L768" s="6">
        <v>0</v>
      </c>
      <c r="M768" s="41">
        <f>VLOOKUP(Tabla1[[#This Row],[PAGO DIA]],DIAS!A:D,4,0)</f>
        <v>46142</v>
      </c>
      <c r="N768" s="6">
        <v>0</v>
      </c>
      <c r="O768" s="43">
        <f>VLOOKUP(Tabla1[[#This Row],[PAGO DIA]],DIAS!A:E,5,0)</f>
        <v>46171</v>
      </c>
      <c r="P768" s="6">
        <v>0</v>
      </c>
      <c r="Q768" s="43">
        <f>VLOOKUP(Tabla1[[#This Row],[PAGO DIA]],DIAS!A:F,6,0)</f>
        <v>46203</v>
      </c>
      <c r="R768" s="6">
        <v>0</v>
      </c>
      <c r="S768" s="43">
        <f>VLOOKUP(Tabla1[[#This Row],[PAGO DIA]],DIAS!A:G,7,0)</f>
        <v>46234</v>
      </c>
      <c r="T768" s="6">
        <v>0</v>
      </c>
      <c r="U768" s="43">
        <f>VLOOKUP(Tabla1[[#This Row],[PAGO DIA]],DIAS!A:H,8,0)</f>
        <v>46265</v>
      </c>
      <c r="V768" s="6">
        <v>0</v>
      </c>
      <c r="W768" s="43">
        <f>VLOOKUP(Tabla1[[#This Row],[PAGO DIA]],DIAS!A:I,9,0)</f>
        <v>46295</v>
      </c>
      <c r="X768" s="6">
        <v>0</v>
      </c>
      <c r="Y768" s="43">
        <f>VLOOKUP(Tabla1[[#This Row],[PAGO DIA]],DIAS!A:J,10,0)</f>
        <v>46325</v>
      </c>
      <c r="Z768" s="6">
        <v>0</v>
      </c>
      <c r="AA768" s="43">
        <f>VLOOKUP(Tabla1[[#This Row],[PAGO DIA]],DIAS!A:K,11,0)</f>
        <v>46356</v>
      </c>
      <c r="AB768" s="6">
        <v>0</v>
      </c>
      <c r="AC768" s="43">
        <f>VLOOKUP(Tabla1[[#This Row],[PAGO DIA]],DIAS!A:M,12,0)</f>
        <v>46386</v>
      </c>
      <c r="AD7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69" spans="1:30">
      <c r="A769" s="3">
        <v>11049</v>
      </c>
      <c r="B769" s="3" t="s">
        <v>538</v>
      </c>
      <c r="C769" s="3" t="s">
        <v>539</v>
      </c>
      <c r="D769" s="3" t="s">
        <v>540</v>
      </c>
      <c r="E769" s="3" t="s">
        <v>1208</v>
      </c>
      <c r="F769" s="42" t="s">
        <v>631</v>
      </c>
      <c r="G769" s="3" t="s">
        <v>1207</v>
      </c>
      <c r="H769" s="6">
        <v>0</v>
      </c>
      <c r="I769" s="41">
        <f>VLOOKUP(Tabla1[[#This Row],[PAGO DIA]],DIAS!A:B,2,0)</f>
        <v>46080</v>
      </c>
      <c r="J769" s="6">
        <v>0</v>
      </c>
      <c r="K769" s="43">
        <f>VLOOKUP(Tabla1[[#This Row],[PAGO DIA]],DIAS!A:C,3,0)</f>
        <v>46112</v>
      </c>
      <c r="L769" s="6">
        <v>0</v>
      </c>
      <c r="M769" s="41">
        <f>VLOOKUP(Tabla1[[#This Row],[PAGO DIA]],DIAS!A:D,4,0)</f>
        <v>46142</v>
      </c>
      <c r="N769" s="6">
        <v>0</v>
      </c>
      <c r="O769" s="43">
        <f>VLOOKUP(Tabla1[[#This Row],[PAGO DIA]],DIAS!A:E,5,0)</f>
        <v>46171</v>
      </c>
      <c r="P769" s="6">
        <v>0</v>
      </c>
      <c r="Q769" s="43">
        <f>VLOOKUP(Tabla1[[#This Row],[PAGO DIA]],DIAS!A:F,6,0)</f>
        <v>46203</v>
      </c>
      <c r="R769" s="6">
        <v>0</v>
      </c>
      <c r="S769" s="43">
        <f>VLOOKUP(Tabla1[[#This Row],[PAGO DIA]],DIAS!A:G,7,0)</f>
        <v>46234</v>
      </c>
      <c r="T769" s="6">
        <v>0</v>
      </c>
      <c r="U769" s="43">
        <f>VLOOKUP(Tabla1[[#This Row],[PAGO DIA]],DIAS!A:H,8,0)</f>
        <v>46265</v>
      </c>
      <c r="V769" s="6">
        <v>0</v>
      </c>
      <c r="W769" s="43">
        <f>VLOOKUP(Tabla1[[#This Row],[PAGO DIA]],DIAS!A:I,9,0)</f>
        <v>46295</v>
      </c>
      <c r="X769" s="6">
        <v>0</v>
      </c>
      <c r="Y769" s="43">
        <f>VLOOKUP(Tabla1[[#This Row],[PAGO DIA]],DIAS!A:J,10,0)</f>
        <v>46325</v>
      </c>
      <c r="Z769" s="6">
        <v>0</v>
      </c>
      <c r="AA769" s="43">
        <f>VLOOKUP(Tabla1[[#This Row],[PAGO DIA]],DIAS!A:K,11,0)</f>
        <v>46356</v>
      </c>
      <c r="AB769" s="6">
        <v>0</v>
      </c>
      <c r="AC769" s="43">
        <f>VLOOKUP(Tabla1[[#This Row],[PAGO DIA]],DIAS!A:M,12,0)</f>
        <v>46386</v>
      </c>
      <c r="AD7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0" spans="1:30">
      <c r="A770" s="3">
        <v>11291</v>
      </c>
      <c r="B770" s="3" t="s">
        <v>538</v>
      </c>
      <c r="C770" s="3" t="s">
        <v>539</v>
      </c>
      <c r="D770" s="3" t="s">
        <v>540</v>
      </c>
      <c r="E770" s="3" t="s">
        <v>1208</v>
      </c>
      <c r="F770" s="42" t="s">
        <v>631</v>
      </c>
      <c r="G770" s="3"/>
      <c r="H770" s="6">
        <v>0</v>
      </c>
      <c r="I770" s="41">
        <f>VLOOKUP(Tabla1[[#This Row],[PAGO DIA]],DIAS!A:B,2,0)</f>
        <v>46080</v>
      </c>
      <c r="J770" s="6">
        <v>0</v>
      </c>
      <c r="K770" s="43">
        <f>VLOOKUP(Tabla1[[#This Row],[PAGO DIA]],DIAS!A:C,3,0)</f>
        <v>46112</v>
      </c>
      <c r="L770" s="6">
        <v>0</v>
      </c>
      <c r="M770" s="41">
        <f>VLOOKUP(Tabla1[[#This Row],[PAGO DIA]],DIAS!A:D,4,0)</f>
        <v>46142</v>
      </c>
      <c r="N770" s="6">
        <v>0</v>
      </c>
      <c r="O770" s="43">
        <f>VLOOKUP(Tabla1[[#This Row],[PAGO DIA]],DIAS!A:E,5,0)</f>
        <v>46171</v>
      </c>
      <c r="P770" s="6">
        <v>0</v>
      </c>
      <c r="Q770" s="43">
        <f>VLOOKUP(Tabla1[[#This Row],[PAGO DIA]],DIAS!A:F,6,0)</f>
        <v>46203</v>
      </c>
      <c r="R770" s="6">
        <v>0</v>
      </c>
      <c r="S770" s="43">
        <f>VLOOKUP(Tabla1[[#This Row],[PAGO DIA]],DIAS!A:G,7,0)</f>
        <v>46234</v>
      </c>
      <c r="T770" s="6">
        <v>0</v>
      </c>
      <c r="U770" s="43">
        <f>VLOOKUP(Tabla1[[#This Row],[PAGO DIA]],DIAS!A:H,8,0)</f>
        <v>46265</v>
      </c>
      <c r="V770" s="6">
        <v>0</v>
      </c>
      <c r="W770" s="43">
        <f>VLOOKUP(Tabla1[[#This Row],[PAGO DIA]],DIAS!A:I,9,0)</f>
        <v>46295</v>
      </c>
      <c r="X770" s="6">
        <v>0</v>
      </c>
      <c r="Y770" s="43">
        <f>VLOOKUP(Tabla1[[#This Row],[PAGO DIA]],DIAS!A:J,10,0)</f>
        <v>46325</v>
      </c>
      <c r="Z770" s="6">
        <v>0</v>
      </c>
      <c r="AA770" s="43">
        <f>VLOOKUP(Tabla1[[#This Row],[PAGO DIA]],DIAS!A:K,11,0)</f>
        <v>46356</v>
      </c>
      <c r="AB770" s="6">
        <v>0</v>
      </c>
      <c r="AC770" s="43">
        <f>VLOOKUP(Tabla1[[#This Row],[PAGO DIA]],DIAS!A:M,12,0)</f>
        <v>46386</v>
      </c>
      <c r="AD7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1" spans="1:30">
      <c r="A771" s="3">
        <v>11342</v>
      </c>
      <c r="B771" s="3" t="s">
        <v>538</v>
      </c>
      <c r="C771" s="3" t="s">
        <v>539</v>
      </c>
      <c r="D771" s="3" t="s">
        <v>540</v>
      </c>
      <c r="E771" s="3" t="s">
        <v>1208</v>
      </c>
      <c r="F771" s="42" t="s">
        <v>631</v>
      </c>
      <c r="G771" s="3"/>
      <c r="H771" s="6">
        <v>0</v>
      </c>
      <c r="I771" s="41">
        <f>VLOOKUP(Tabla1[[#This Row],[PAGO DIA]],DIAS!A:B,2,0)</f>
        <v>46080</v>
      </c>
      <c r="J771" s="6">
        <v>0</v>
      </c>
      <c r="K771" s="43">
        <f>VLOOKUP(Tabla1[[#This Row],[PAGO DIA]],DIAS!A:C,3,0)</f>
        <v>46112</v>
      </c>
      <c r="L771" s="6">
        <v>0</v>
      </c>
      <c r="M771" s="41">
        <f>VLOOKUP(Tabla1[[#This Row],[PAGO DIA]],DIAS!A:D,4,0)</f>
        <v>46142</v>
      </c>
      <c r="N771" s="6">
        <v>0</v>
      </c>
      <c r="O771" s="43">
        <f>VLOOKUP(Tabla1[[#This Row],[PAGO DIA]],DIAS!A:E,5,0)</f>
        <v>46171</v>
      </c>
      <c r="P771" s="6">
        <v>0</v>
      </c>
      <c r="Q771" s="43">
        <f>VLOOKUP(Tabla1[[#This Row],[PAGO DIA]],DIAS!A:F,6,0)</f>
        <v>46203</v>
      </c>
      <c r="R771" s="6">
        <v>0</v>
      </c>
      <c r="S771" s="43">
        <f>VLOOKUP(Tabla1[[#This Row],[PAGO DIA]],DIAS!A:G,7,0)</f>
        <v>46234</v>
      </c>
      <c r="T771" s="6">
        <v>0</v>
      </c>
      <c r="U771" s="43">
        <f>VLOOKUP(Tabla1[[#This Row],[PAGO DIA]],DIAS!A:H,8,0)</f>
        <v>46265</v>
      </c>
      <c r="V771" s="6">
        <v>0</v>
      </c>
      <c r="W771" s="43">
        <f>VLOOKUP(Tabla1[[#This Row],[PAGO DIA]],DIAS!A:I,9,0)</f>
        <v>46295</v>
      </c>
      <c r="X771" s="6">
        <v>0</v>
      </c>
      <c r="Y771" s="43">
        <f>VLOOKUP(Tabla1[[#This Row],[PAGO DIA]],DIAS!A:J,10,0)</f>
        <v>46325</v>
      </c>
      <c r="Z771" s="6">
        <v>0</v>
      </c>
      <c r="AA771" s="43">
        <f>VLOOKUP(Tabla1[[#This Row],[PAGO DIA]],DIAS!A:K,11,0)</f>
        <v>46356</v>
      </c>
      <c r="AB771" s="6">
        <v>0</v>
      </c>
      <c r="AC771" s="43">
        <f>VLOOKUP(Tabla1[[#This Row],[PAGO DIA]],DIAS!A:M,12,0)</f>
        <v>46386</v>
      </c>
      <c r="AD7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2" spans="1:30">
      <c r="A772" s="3">
        <v>11437</v>
      </c>
      <c r="B772" s="3" t="s">
        <v>538</v>
      </c>
      <c r="C772" s="3" t="s">
        <v>540</v>
      </c>
      <c r="D772" s="3" t="s">
        <v>540</v>
      </c>
      <c r="E772" s="3" t="s">
        <v>1208</v>
      </c>
      <c r="F772" s="42" t="s">
        <v>631</v>
      </c>
      <c r="G772" s="3" t="s">
        <v>1390</v>
      </c>
      <c r="H772" s="6">
        <v>0</v>
      </c>
      <c r="I772" s="41">
        <f>VLOOKUP(Tabla1[[#This Row],[PAGO DIA]],DIAS!A:B,2,0)</f>
        <v>46080</v>
      </c>
      <c r="J772" s="6">
        <v>0</v>
      </c>
      <c r="K772" s="43">
        <f>VLOOKUP(Tabla1[[#This Row],[PAGO DIA]],DIAS!A:C,3,0)</f>
        <v>46112</v>
      </c>
      <c r="L772" s="6">
        <v>0</v>
      </c>
      <c r="M772" s="41">
        <f>VLOOKUP(Tabla1[[#This Row],[PAGO DIA]],DIAS!A:D,4,0)</f>
        <v>46142</v>
      </c>
      <c r="N772" s="6">
        <v>0</v>
      </c>
      <c r="O772" s="43">
        <f>VLOOKUP(Tabla1[[#This Row],[PAGO DIA]],DIAS!A:E,5,0)</f>
        <v>46171</v>
      </c>
      <c r="P772" s="6">
        <v>0</v>
      </c>
      <c r="Q772" s="43">
        <f>VLOOKUP(Tabla1[[#This Row],[PAGO DIA]],DIAS!A:F,6,0)</f>
        <v>46203</v>
      </c>
      <c r="R772" s="6">
        <v>0</v>
      </c>
      <c r="S772" s="43">
        <f>VLOOKUP(Tabla1[[#This Row],[PAGO DIA]],DIAS!A:G,7,0)</f>
        <v>46234</v>
      </c>
      <c r="T772" s="6">
        <v>0</v>
      </c>
      <c r="U772" s="43">
        <f>VLOOKUP(Tabla1[[#This Row],[PAGO DIA]],DIAS!A:H,8,0)</f>
        <v>46265</v>
      </c>
      <c r="V772" s="6">
        <v>0</v>
      </c>
      <c r="W772" s="43">
        <f>VLOOKUP(Tabla1[[#This Row],[PAGO DIA]],DIAS!A:I,9,0)</f>
        <v>46295</v>
      </c>
      <c r="X772" s="6">
        <v>0</v>
      </c>
      <c r="Y772" s="43">
        <f>VLOOKUP(Tabla1[[#This Row],[PAGO DIA]],DIAS!A:J,10,0)</f>
        <v>46325</v>
      </c>
      <c r="Z772" s="6">
        <v>0</v>
      </c>
      <c r="AA772" s="43">
        <f>VLOOKUP(Tabla1[[#This Row],[PAGO DIA]],DIAS!A:K,11,0)</f>
        <v>46356</v>
      </c>
      <c r="AB772" s="6">
        <v>0</v>
      </c>
      <c r="AC772" s="43">
        <f>VLOOKUP(Tabla1[[#This Row],[PAGO DIA]],DIAS!A:M,12,0)</f>
        <v>46386</v>
      </c>
      <c r="AD7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3" spans="1:30">
      <c r="A773" s="3">
        <v>11438</v>
      </c>
      <c r="B773" s="3" t="s">
        <v>538</v>
      </c>
      <c r="C773" s="3" t="s">
        <v>540</v>
      </c>
      <c r="D773" s="3" t="s">
        <v>540</v>
      </c>
      <c r="E773" s="3" t="s">
        <v>1208</v>
      </c>
      <c r="F773" s="42" t="s">
        <v>631</v>
      </c>
      <c r="G773" s="3" t="s">
        <v>1391</v>
      </c>
      <c r="H773" s="6">
        <v>0</v>
      </c>
      <c r="I773" s="41">
        <f>VLOOKUP(Tabla1[[#This Row],[PAGO DIA]],DIAS!A:B,2,0)</f>
        <v>46080</v>
      </c>
      <c r="J773" s="6">
        <v>0</v>
      </c>
      <c r="K773" s="43">
        <f>VLOOKUP(Tabla1[[#This Row],[PAGO DIA]],DIAS!A:C,3,0)</f>
        <v>46112</v>
      </c>
      <c r="L773" s="6">
        <v>0</v>
      </c>
      <c r="M773" s="41">
        <f>VLOOKUP(Tabla1[[#This Row],[PAGO DIA]],DIAS!A:D,4,0)</f>
        <v>46142</v>
      </c>
      <c r="N773" s="6">
        <v>0</v>
      </c>
      <c r="O773" s="43">
        <f>VLOOKUP(Tabla1[[#This Row],[PAGO DIA]],DIAS!A:E,5,0)</f>
        <v>46171</v>
      </c>
      <c r="P773" s="6">
        <v>0</v>
      </c>
      <c r="Q773" s="43">
        <f>VLOOKUP(Tabla1[[#This Row],[PAGO DIA]],DIAS!A:F,6,0)</f>
        <v>46203</v>
      </c>
      <c r="R773" s="6">
        <v>0</v>
      </c>
      <c r="S773" s="43">
        <f>VLOOKUP(Tabla1[[#This Row],[PAGO DIA]],DIAS!A:G,7,0)</f>
        <v>46234</v>
      </c>
      <c r="T773" s="6">
        <v>0</v>
      </c>
      <c r="U773" s="43">
        <f>VLOOKUP(Tabla1[[#This Row],[PAGO DIA]],DIAS!A:H,8,0)</f>
        <v>46265</v>
      </c>
      <c r="V773" s="6">
        <v>0</v>
      </c>
      <c r="W773" s="43">
        <f>VLOOKUP(Tabla1[[#This Row],[PAGO DIA]],DIAS!A:I,9,0)</f>
        <v>46295</v>
      </c>
      <c r="X773" s="6">
        <v>0</v>
      </c>
      <c r="Y773" s="43">
        <f>VLOOKUP(Tabla1[[#This Row],[PAGO DIA]],DIAS!A:J,10,0)</f>
        <v>46325</v>
      </c>
      <c r="Z773" s="6">
        <v>0</v>
      </c>
      <c r="AA773" s="43">
        <f>VLOOKUP(Tabla1[[#This Row],[PAGO DIA]],DIAS!A:K,11,0)</f>
        <v>46356</v>
      </c>
      <c r="AB773" s="6">
        <v>0</v>
      </c>
      <c r="AC773" s="43">
        <f>VLOOKUP(Tabla1[[#This Row],[PAGO DIA]],DIAS!A:M,12,0)</f>
        <v>46386</v>
      </c>
      <c r="AD7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4" spans="1:30">
      <c r="A774" s="3">
        <v>11439</v>
      </c>
      <c r="B774" s="3" t="s">
        <v>538</v>
      </c>
      <c r="C774" s="3" t="s">
        <v>540</v>
      </c>
      <c r="D774" s="3" t="s">
        <v>540</v>
      </c>
      <c r="E774" s="3" t="s">
        <v>1208</v>
      </c>
      <c r="F774" s="42" t="s">
        <v>631</v>
      </c>
      <c r="G774" s="3" t="s">
        <v>1392</v>
      </c>
      <c r="H774" s="6">
        <v>0</v>
      </c>
      <c r="I774" s="41">
        <f>VLOOKUP(Tabla1[[#This Row],[PAGO DIA]],DIAS!A:B,2,0)</f>
        <v>46080</v>
      </c>
      <c r="J774" s="6">
        <v>0</v>
      </c>
      <c r="K774" s="43">
        <f>VLOOKUP(Tabla1[[#This Row],[PAGO DIA]],DIAS!A:C,3,0)</f>
        <v>46112</v>
      </c>
      <c r="L774" s="6">
        <v>0</v>
      </c>
      <c r="M774" s="41">
        <f>VLOOKUP(Tabla1[[#This Row],[PAGO DIA]],DIAS!A:D,4,0)</f>
        <v>46142</v>
      </c>
      <c r="N774" s="6">
        <v>0</v>
      </c>
      <c r="O774" s="43">
        <f>VLOOKUP(Tabla1[[#This Row],[PAGO DIA]],DIAS!A:E,5,0)</f>
        <v>46171</v>
      </c>
      <c r="P774" s="6">
        <v>0</v>
      </c>
      <c r="Q774" s="43">
        <f>VLOOKUP(Tabla1[[#This Row],[PAGO DIA]],DIAS!A:F,6,0)</f>
        <v>46203</v>
      </c>
      <c r="R774" s="6">
        <v>0</v>
      </c>
      <c r="S774" s="43">
        <f>VLOOKUP(Tabla1[[#This Row],[PAGO DIA]],DIAS!A:G,7,0)</f>
        <v>46234</v>
      </c>
      <c r="T774" s="6">
        <v>0</v>
      </c>
      <c r="U774" s="43">
        <f>VLOOKUP(Tabla1[[#This Row],[PAGO DIA]],DIAS!A:H,8,0)</f>
        <v>46265</v>
      </c>
      <c r="V774" s="6">
        <v>0</v>
      </c>
      <c r="W774" s="43">
        <f>VLOOKUP(Tabla1[[#This Row],[PAGO DIA]],DIAS!A:I,9,0)</f>
        <v>46295</v>
      </c>
      <c r="X774" s="6">
        <v>0</v>
      </c>
      <c r="Y774" s="43">
        <f>VLOOKUP(Tabla1[[#This Row],[PAGO DIA]],DIAS!A:J,10,0)</f>
        <v>46325</v>
      </c>
      <c r="Z774" s="6">
        <v>0</v>
      </c>
      <c r="AA774" s="43">
        <f>VLOOKUP(Tabla1[[#This Row],[PAGO DIA]],DIAS!A:K,11,0)</f>
        <v>46356</v>
      </c>
      <c r="AB774" s="6">
        <v>0</v>
      </c>
      <c r="AC774" s="43">
        <f>VLOOKUP(Tabla1[[#This Row],[PAGO DIA]],DIAS!A:M,12,0)</f>
        <v>46386</v>
      </c>
      <c r="AD7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5" spans="1:30">
      <c r="A775" s="3">
        <v>11440</v>
      </c>
      <c r="B775" s="3" t="s">
        <v>538</v>
      </c>
      <c r="C775" s="3" t="s">
        <v>540</v>
      </c>
      <c r="D775" s="3" t="s">
        <v>540</v>
      </c>
      <c r="E775" s="3" t="s">
        <v>1208</v>
      </c>
      <c r="F775" s="42" t="s">
        <v>631</v>
      </c>
      <c r="G775" s="3" t="s">
        <v>1393</v>
      </c>
      <c r="H775" s="6">
        <v>0</v>
      </c>
      <c r="I775" s="41">
        <f>VLOOKUP(Tabla1[[#This Row],[PAGO DIA]],DIAS!A:B,2,0)</f>
        <v>46080</v>
      </c>
      <c r="J775" s="6">
        <v>0</v>
      </c>
      <c r="K775" s="43">
        <f>VLOOKUP(Tabla1[[#This Row],[PAGO DIA]],DIAS!A:C,3,0)</f>
        <v>46112</v>
      </c>
      <c r="L775" s="6">
        <v>0</v>
      </c>
      <c r="M775" s="41">
        <f>VLOOKUP(Tabla1[[#This Row],[PAGO DIA]],DIAS!A:D,4,0)</f>
        <v>46142</v>
      </c>
      <c r="N775" s="6">
        <v>0</v>
      </c>
      <c r="O775" s="43">
        <f>VLOOKUP(Tabla1[[#This Row],[PAGO DIA]],DIAS!A:E,5,0)</f>
        <v>46171</v>
      </c>
      <c r="P775" s="6">
        <v>0</v>
      </c>
      <c r="Q775" s="43">
        <f>VLOOKUP(Tabla1[[#This Row],[PAGO DIA]],DIAS!A:F,6,0)</f>
        <v>46203</v>
      </c>
      <c r="R775" s="6">
        <v>0</v>
      </c>
      <c r="S775" s="43">
        <f>VLOOKUP(Tabla1[[#This Row],[PAGO DIA]],DIAS!A:G,7,0)</f>
        <v>46234</v>
      </c>
      <c r="T775" s="6">
        <v>0</v>
      </c>
      <c r="U775" s="43">
        <f>VLOOKUP(Tabla1[[#This Row],[PAGO DIA]],DIAS!A:H,8,0)</f>
        <v>46265</v>
      </c>
      <c r="V775" s="6">
        <v>0</v>
      </c>
      <c r="W775" s="43">
        <f>VLOOKUP(Tabla1[[#This Row],[PAGO DIA]],DIAS!A:I,9,0)</f>
        <v>46295</v>
      </c>
      <c r="X775" s="6">
        <v>0</v>
      </c>
      <c r="Y775" s="43">
        <f>VLOOKUP(Tabla1[[#This Row],[PAGO DIA]],DIAS!A:J,10,0)</f>
        <v>46325</v>
      </c>
      <c r="Z775" s="6">
        <v>0</v>
      </c>
      <c r="AA775" s="43">
        <f>VLOOKUP(Tabla1[[#This Row],[PAGO DIA]],DIAS!A:K,11,0)</f>
        <v>46356</v>
      </c>
      <c r="AB775" s="6">
        <v>0</v>
      </c>
      <c r="AC775" s="43">
        <f>VLOOKUP(Tabla1[[#This Row],[PAGO DIA]],DIAS!A:M,12,0)</f>
        <v>46386</v>
      </c>
      <c r="AD7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6" spans="1:30">
      <c r="A776" s="3">
        <v>11441</v>
      </c>
      <c r="B776" s="3" t="s">
        <v>538</v>
      </c>
      <c r="C776" s="3" t="s">
        <v>540</v>
      </c>
      <c r="D776" s="3" t="s">
        <v>540</v>
      </c>
      <c r="E776" s="3" t="s">
        <v>1208</v>
      </c>
      <c r="F776" s="42" t="s">
        <v>631</v>
      </c>
      <c r="G776" s="3" t="s">
        <v>1394</v>
      </c>
      <c r="H776" s="6">
        <v>0</v>
      </c>
      <c r="I776" s="41">
        <f>VLOOKUP(Tabla1[[#This Row],[PAGO DIA]],DIAS!A:B,2,0)</f>
        <v>46080</v>
      </c>
      <c r="J776" s="6">
        <v>0</v>
      </c>
      <c r="K776" s="43">
        <f>VLOOKUP(Tabla1[[#This Row],[PAGO DIA]],DIAS!A:C,3,0)</f>
        <v>46112</v>
      </c>
      <c r="L776" s="6">
        <v>0</v>
      </c>
      <c r="M776" s="41">
        <f>VLOOKUP(Tabla1[[#This Row],[PAGO DIA]],DIAS!A:D,4,0)</f>
        <v>46142</v>
      </c>
      <c r="N776" s="6">
        <v>0</v>
      </c>
      <c r="O776" s="43">
        <f>VLOOKUP(Tabla1[[#This Row],[PAGO DIA]],DIAS!A:E,5,0)</f>
        <v>46171</v>
      </c>
      <c r="P776" s="6">
        <v>0</v>
      </c>
      <c r="Q776" s="43">
        <f>VLOOKUP(Tabla1[[#This Row],[PAGO DIA]],DIAS!A:F,6,0)</f>
        <v>46203</v>
      </c>
      <c r="R776" s="6">
        <v>0</v>
      </c>
      <c r="S776" s="43">
        <f>VLOOKUP(Tabla1[[#This Row],[PAGO DIA]],DIAS!A:G,7,0)</f>
        <v>46234</v>
      </c>
      <c r="T776" s="6">
        <v>0</v>
      </c>
      <c r="U776" s="43">
        <f>VLOOKUP(Tabla1[[#This Row],[PAGO DIA]],DIAS!A:H,8,0)</f>
        <v>46265</v>
      </c>
      <c r="V776" s="6">
        <v>0</v>
      </c>
      <c r="W776" s="43">
        <f>VLOOKUP(Tabla1[[#This Row],[PAGO DIA]],DIAS!A:I,9,0)</f>
        <v>46295</v>
      </c>
      <c r="X776" s="6">
        <v>0</v>
      </c>
      <c r="Y776" s="43">
        <f>VLOOKUP(Tabla1[[#This Row],[PAGO DIA]],DIAS!A:J,10,0)</f>
        <v>46325</v>
      </c>
      <c r="Z776" s="6">
        <v>0</v>
      </c>
      <c r="AA776" s="43">
        <f>VLOOKUP(Tabla1[[#This Row],[PAGO DIA]],DIAS!A:K,11,0)</f>
        <v>46356</v>
      </c>
      <c r="AB776" s="6">
        <v>0</v>
      </c>
      <c r="AC776" s="43">
        <f>VLOOKUP(Tabla1[[#This Row],[PAGO DIA]],DIAS!A:M,12,0)</f>
        <v>46386</v>
      </c>
      <c r="AD7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7" spans="1:30">
      <c r="A777" s="3">
        <v>11035</v>
      </c>
      <c r="B777" s="3" t="s">
        <v>538</v>
      </c>
      <c r="C777" s="3" t="s">
        <v>539</v>
      </c>
      <c r="D777" s="3" t="s">
        <v>540</v>
      </c>
      <c r="E777" s="3" t="s">
        <v>1395</v>
      </c>
      <c r="F777" s="42" t="s">
        <v>631</v>
      </c>
      <c r="G777" s="3"/>
      <c r="H777" s="6">
        <v>0</v>
      </c>
      <c r="I777" s="41">
        <f>VLOOKUP(Tabla1[[#This Row],[PAGO DIA]],DIAS!A:B,2,0)</f>
        <v>46080</v>
      </c>
      <c r="J777" s="6">
        <v>0</v>
      </c>
      <c r="K777" s="43">
        <f>VLOOKUP(Tabla1[[#This Row],[PAGO DIA]],DIAS!A:C,3,0)</f>
        <v>46112</v>
      </c>
      <c r="L777" s="6">
        <v>0</v>
      </c>
      <c r="M777" s="41">
        <f>VLOOKUP(Tabla1[[#This Row],[PAGO DIA]],DIAS!A:D,4,0)</f>
        <v>46142</v>
      </c>
      <c r="N777" s="6">
        <v>0</v>
      </c>
      <c r="O777" s="43">
        <f>VLOOKUP(Tabla1[[#This Row],[PAGO DIA]],DIAS!A:E,5,0)</f>
        <v>46171</v>
      </c>
      <c r="P777" s="6">
        <v>0</v>
      </c>
      <c r="Q777" s="43">
        <f>VLOOKUP(Tabla1[[#This Row],[PAGO DIA]],DIAS!A:F,6,0)</f>
        <v>46203</v>
      </c>
      <c r="R777" s="6">
        <v>0</v>
      </c>
      <c r="S777" s="43">
        <f>VLOOKUP(Tabla1[[#This Row],[PAGO DIA]],DIAS!A:G,7,0)</f>
        <v>46234</v>
      </c>
      <c r="T777" s="6">
        <v>0</v>
      </c>
      <c r="U777" s="43">
        <f>VLOOKUP(Tabla1[[#This Row],[PAGO DIA]],DIAS!A:H,8,0)</f>
        <v>46265</v>
      </c>
      <c r="V777" s="6">
        <v>0</v>
      </c>
      <c r="W777" s="43">
        <f>VLOOKUP(Tabla1[[#This Row],[PAGO DIA]],DIAS!A:I,9,0)</f>
        <v>46295</v>
      </c>
      <c r="X777" s="6">
        <v>0</v>
      </c>
      <c r="Y777" s="43">
        <f>VLOOKUP(Tabla1[[#This Row],[PAGO DIA]],DIAS!A:J,10,0)</f>
        <v>46325</v>
      </c>
      <c r="Z777" s="6">
        <v>0</v>
      </c>
      <c r="AA777" s="43">
        <f>VLOOKUP(Tabla1[[#This Row],[PAGO DIA]],DIAS!A:K,11,0)</f>
        <v>46356</v>
      </c>
      <c r="AB777" s="6">
        <v>0</v>
      </c>
      <c r="AC777" s="43">
        <f>VLOOKUP(Tabla1[[#This Row],[PAGO DIA]],DIAS!A:M,12,0)</f>
        <v>46386</v>
      </c>
      <c r="AD7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8" spans="1:30">
      <c r="A778" s="3">
        <v>11269</v>
      </c>
      <c r="B778" s="3" t="s">
        <v>538</v>
      </c>
      <c r="C778" s="3" t="s">
        <v>539</v>
      </c>
      <c r="D778" s="3" t="s">
        <v>540</v>
      </c>
      <c r="E778" s="3" t="s">
        <v>1395</v>
      </c>
      <c r="F778" s="42" t="s">
        <v>631</v>
      </c>
      <c r="G778" s="3"/>
      <c r="H778" s="6">
        <v>0</v>
      </c>
      <c r="I778" s="41">
        <f>VLOOKUP(Tabla1[[#This Row],[PAGO DIA]],DIAS!A:B,2,0)</f>
        <v>46080</v>
      </c>
      <c r="J778" s="6">
        <v>0</v>
      </c>
      <c r="K778" s="43">
        <f>VLOOKUP(Tabla1[[#This Row],[PAGO DIA]],DIAS!A:C,3,0)</f>
        <v>46112</v>
      </c>
      <c r="L778" s="6">
        <v>0</v>
      </c>
      <c r="M778" s="41">
        <f>VLOOKUP(Tabla1[[#This Row],[PAGO DIA]],DIAS!A:D,4,0)</f>
        <v>46142</v>
      </c>
      <c r="N778" s="6">
        <v>0</v>
      </c>
      <c r="O778" s="43">
        <f>VLOOKUP(Tabla1[[#This Row],[PAGO DIA]],DIAS!A:E,5,0)</f>
        <v>46171</v>
      </c>
      <c r="P778" s="6">
        <v>0</v>
      </c>
      <c r="Q778" s="43">
        <f>VLOOKUP(Tabla1[[#This Row],[PAGO DIA]],DIAS!A:F,6,0)</f>
        <v>46203</v>
      </c>
      <c r="R778" s="6">
        <v>0</v>
      </c>
      <c r="S778" s="43">
        <f>VLOOKUP(Tabla1[[#This Row],[PAGO DIA]],DIAS!A:G,7,0)</f>
        <v>46234</v>
      </c>
      <c r="T778" s="6">
        <v>0</v>
      </c>
      <c r="U778" s="43">
        <f>VLOOKUP(Tabla1[[#This Row],[PAGO DIA]],DIAS!A:H,8,0)</f>
        <v>46265</v>
      </c>
      <c r="V778" s="6">
        <v>0</v>
      </c>
      <c r="W778" s="43">
        <f>VLOOKUP(Tabla1[[#This Row],[PAGO DIA]],DIAS!A:I,9,0)</f>
        <v>46295</v>
      </c>
      <c r="X778" s="6">
        <v>0</v>
      </c>
      <c r="Y778" s="43">
        <f>VLOOKUP(Tabla1[[#This Row],[PAGO DIA]],DIAS!A:J,10,0)</f>
        <v>46325</v>
      </c>
      <c r="Z778" s="6">
        <v>0</v>
      </c>
      <c r="AA778" s="43">
        <f>VLOOKUP(Tabla1[[#This Row],[PAGO DIA]],DIAS!A:K,11,0)</f>
        <v>46356</v>
      </c>
      <c r="AB778" s="6">
        <v>0</v>
      </c>
      <c r="AC778" s="43">
        <f>VLOOKUP(Tabla1[[#This Row],[PAGO DIA]],DIAS!A:M,12,0)</f>
        <v>46386</v>
      </c>
      <c r="AD7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79" spans="1:30">
      <c r="A779" s="3">
        <v>11332</v>
      </c>
      <c r="B779" s="3" t="s">
        <v>538</v>
      </c>
      <c r="C779" s="3" t="s">
        <v>539</v>
      </c>
      <c r="D779" s="3" t="s">
        <v>540</v>
      </c>
      <c r="E779" s="3" t="s">
        <v>1395</v>
      </c>
      <c r="F779" s="42" t="s">
        <v>631</v>
      </c>
      <c r="G779" s="3"/>
      <c r="H779" s="6">
        <v>0</v>
      </c>
      <c r="I779" s="41">
        <f>VLOOKUP(Tabla1[[#This Row],[PAGO DIA]],DIAS!A:B,2,0)</f>
        <v>46080</v>
      </c>
      <c r="J779" s="6">
        <v>0</v>
      </c>
      <c r="K779" s="43">
        <f>VLOOKUP(Tabla1[[#This Row],[PAGO DIA]],DIAS!A:C,3,0)</f>
        <v>46112</v>
      </c>
      <c r="L779" s="6">
        <v>0</v>
      </c>
      <c r="M779" s="41">
        <f>VLOOKUP(Tabla1[[#This Row],[PAGO DIA]],DIAS!A:D,4,0)</f>
        <v>46142</v>
      </c>
      <c r="N779" s="6">
        <v>0</v>
      </c>
      <c r="O779" s="43">
        <f>VLOOKUP(Tabla1[[#This Row],[PAGO DIA]],DIAS!A:E,5,0)</f>
        <v>46171</v>
      </c>
      <c r="P779" s="6">
        <v>0</v>
      </c>
      <c r="Q779" s="43">
        <f>VLOOKUP(Tabla1[[#This Row],[PAGO DIA]],DIAS!A:F,6,0)</f>
        <v>46203</v>
      </c>
      <c r="R779" s="6">
        <v>0</v>
      </c>
      <c r="S779" s="43">
        <f>VLOOKUP(Tabla1[[#This Row],[PAGO DIA]],DIAS!A:G,7,0)</f>
        <v>46234</v>
      </c>
      <c r="T779" s="6">
        <v>0</v>
      </c>
      <c r="U779" s="43">
        <f>VLOOKUP(Tabla1[[#This Row],[PAGO DIA]],DIAS!A:H,8,0)</f>
        <v>46265</v>
      </c>
      <c r="V779" s="6">
        <v>0</v>
      </c>
      <c r="W779" s="43">
        <f>VLOOKUP(Tabla1[[#This Row],[PAGO DIA]],DIAS!A:I,9,0)</f>
        <v>46295</v>
      </c>
      <c r="X779" s="6">
        <v>0</v>
      </c>
      <c r="Y779" s="43">
        <f>VLOOKUP(Tabla1[[#This Row],[PAGO DIA]],DIAS!A:J,10,0)</f>
        <v>46325</v>
      </c>
      <c r="Z779" s="6">
        <v>0</v>
      </c>
      <c r="AA779" s="43">
        <f>VLOOKUP(Tabla1[[#This Row],[PAGO DIA]],DIAS!A:K,11,0)</f>
        <v>46356</v>
      </c>
      <c r="AB779" s="6">
        <v>0</v>
      </c>
      <c r="AC779" s="43">
        <f>VLOOKUP(Tabla1[[#This Row],[PAGO DIA]],DIAS!A:M,12,0)</f>
        <v>46386</v>
      </c>
      <c r="AD7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0" spans="1:30">
      <c r="A780" s="3">
        <v>11034</v>
      </c>
      <c r="B780" s="3" t="s">
        <v>538</v>
      </c>
      <c r="C780" s="3" t="s">
        <v>539</v>
      </c>
      <c r="D780" s="3" t="s">
        <v>540</v>
      </c>
      <c r="E780" s="3" t="s">
        <v>1396</v>
      </c>
      <c r="F780" s="42" t="s">
        <v>631</v>
      </c>
      <c r="G780" s="3"/>
      <c r="H780" s="6">
        <v>0</v>
      </c>
      <c r="I780" s="41">
        <f>VLOOKUP(Tabla1[[#This Row],[PAGO DIA]],DIAS!A:B,2,0)</f>
        <v>46080</v>
      </c>
      <c r="J780" s="6">
        <v>0</v>
      </c>
      <c r="K780" s="43">
        <f>VLOOKUP(Tabla1[[#This Row],[PAGO DIA]],DIAS!A:C,3,0)</f>
        <v>46112</v>
      </c>
      <c r="L780" s="6">
        <v>0</v>
      </c>
      <c r="M780" s="41">
        <f>VLOOKUP(Tabla1[[#This Row],[PAGO DIA]],DIAS!A:D,4,0)</f>
        <v>46142</v>
      </c>
      <c r="N780" s="6">
        <v>0</v>
      </c>
      <c r="O780" s="43">
        <f>VLOOKUP(Tabla1[[#This Row],[PAGO DIA]],DIAS!A:E,5,0)</f>
        <v>46171</v>
      </c>
      <c r="P780" s="6">
        <v>0</v>
      </c>
      <c r="Q780" s="43">
        <f>VLOOKUP(Tabla1[[#This Row],[PAGO DIA]],DIAS!A:F,6,0)</f>
        <v>46203</v>
      </c>
      <c r="R780" s="6">
        <v>0</v>
      </c>
      <c r="S780" s="43">
        <f>VLOOKUP(Tabla1[[#This Row],[PAGO DIA]],DIAS!A:G,7,0)</f>
        <v>46234</v>
      </c>
      <c r="T780" s="6">
        <v>0</v>
      </c>
      <c r="U780" s="43">
        <f>VLOOKUP(Tabla1[[#This Row],[PAGO DIA]],DIAS!A:H,8,0)</f>
        <v>46265</v>
      </c>
      <c r="V780" s="6">
        <v>0</v>
      </c>
      <c r="W780" s="43">
        <f>VLOOKUP(Tabla1[[#This Row],[PAGO DIA]],DIAS!A:I,9,0)</f>
        <v>46295</v>
      </c>
      <c r="X780" s="6">
        <v>0</v>
      </c>
      <c r="Y780" s="43">
        <f>VLOOKUP(Tabla1[[#This Row],[PAGO DIA]],DIAS!A:J,10,0)</f>
        <v>46325</v>
      </c>
      <c r="Z780" s="6">
        <v>0</v>
      </c>
      <c r="AA780" s="43">
        <f>VLOOKUP(Tabla1[[#This Row],[PAGO DIA]],DIAS!A:K,11,0)</f>
        <v>46356</v>
      </c>
      <c r="AB780" s="6">
        <v>0</v>
      </c>
      <c r="AC780" s="43">
        <f>VLOOKUP(Tabla1[[#This Row],[PAGO DIA]],DIAS!A:M,12,0)</f>
        <v>46386</v>
      </c>
      <c r="AD7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1" spans="1:30">
      <c r="A781" s="3">
        <v>11267</v>
      </c>
      <c r="B781" s="3" t="s">
        <v>538</v>
      </c>
      <c r="C781" s="3" t="s">
        <v>539</v>
      </c>
      <c r="D781" s="3" t="s">
        <v>540</v>
      </c>
      <c r="E781" s="3" t="s">
        <v>1396</v>
      </c>
      <c r="F781" s="42" t="s">
        <v>631</v>
      </c>
      <c r="G781" s="3"/>
      <c r="H781" s="6">
        <v>0</v>
      </c>
      <c r="I781" s="41">
        <f>VLOOKUP(Tabla1[[#This Row],[PAGO DIA]],DIAS!A:B,2,0)</f>
        <v>46080</v>
      </c>
      <c r="J781" s="6">
        <v>0</v>
      </c>
      <c r="K781" s="43">
        <f>VLOOKUP(Tabla1[[#This Row],[PAGO DIA]],DIAS!A:C,3,0)</f>
        <v>46112</v>
      </c>
      <c r="L781" s="6">
        <v>0</v>
      </c>
      <c r="M781" s="41">
        <f>VLOOKUP(Tabla1[[#This Row],[PAGO DIA]],DIAS!A:D,4,0)</f>
        <v>46142</v>
      </c>
      <c r="N781" s="6">
        <v>0</v>
      </c>
      <c r="O781" s="43">
        <f>VLOOKUP(Tabla1[[#This Row],[PAGO DIA]],DIAS!A:E,5,0)</f>
        <v>46171</v>
      </c>
      <c r="P781" s="6">
        <v>0</v>
      </c>
      <c r="Q781" s="43">
        <f>VLOOKUP(Tabla1[[#This Row],[PAGO DIA]],DIAS!A:F,6,0)</f>
        <v>46203</v>
      </c>
      <c r="R781" s="6">
        <v>0</v>
      </c>
      <c r="S781" s="43">
        <f>VLOOKUP(Tabla1[[#This Row],[PAGO DIA]],DIAS!A:G,7,0)</f>
        <v>46234</v>
      </c>
      <c r="T781" s="6">
        <v>0</v>
      </c>
      <c r="U781" s="43">
        <f>VLOOKUP(Tabla1[[#This Row],[PAGO DIA]],DIAS!A:H,8,0)</f>
        <v>46265</v>
      </c>
      <c r="V781" s="6">
        <v>0</v>
      </c>
      <c r="W781" s="43">
        <f>VLOOKUP(Tabla1[[#This Row],[PAGO DIA]],DIAS!A:I,9,0)</f>
        <v>46295</v>
      </c>
      <c r="X781" s="6">
        <v>0</v>
      </c>
      <c r="Y781" s="43">
        <f>VLOOKUP(Tabla1[[#This Row],[PAGO DIA]],DIAS!A:J,10,0)</f>
        <v>46325</v>
      </c>
      <c r="Z781" s="6">
        <v>0</v>
      </c>
      <c r="AA781" s="43">
        <f>VLOOKUP(Tabla1[[#This Row],[PAGO DIA]],DIAS!A:K,11,0)</f>
        <v>46356</v>
      </c>
      <c r="AB781" s="6">
        <v>0</v>
      </c>
      <c r="AC781" s="43">
        <f>VLOOKUP(Tabla1[[#This Row],[PAGO DIA]],DIAS!A:M,12,0)</f>
        <v>46386</v>
      </c>
      <c r="AD7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2" spans="1:30">
      <c r="A782" s="3">
        <v>11318</v>
      </c>
      <c r="B782" s="3" t="s">
        <v>538</v>
      </c>
      <c r="C782" s="3" t="s">
        <v>539</v>
      </c>
      <c r="D782" s="3" t="s">
        <v>540</v>
      </c>
      <c r="E782" s="3" t="s">
        <v>1396</v>
      </c>
      <c r="F782" s="42" t="s">
        <v>631</v>
      </c>
      <c r="G782" s="3"/>
      <c r="H782" s="6">
        <v>0</v>
      </c>
      <c r="I782" s="41">
        <f>VLOOKUP(Tabla1[[#This Row],[PAGO DIA]],DIAS!A:B,2,0)</f>
        <v>46080</v>
      </c>
      <c r="J782" s="6">
        <v>0</v>
      </c>
      <c r="K782" s="43">
        <f>VLOOKUP(Tabla1[[#This Row],[PAGO DIA]],DIAS!A:C,3,0)</f>
        <v>46112</v>
      </c>
      <c r="L782" s="6">
        <v>0</v>
      </c>
      <c r="M782" s="41">
        <f>VLOOKUP(Tabla1[[#This Row],[PAGO DIA]],DIAS!A:D,4,0)</f>
        <v>46142</v>
      </c>
      <c r="N782" s="6">
        <v>0</v>
      </c>
      <c r="O782" s="43">
        <f>VLOOKUP(Tabla1[[#This Row],[PAGO DIA]],DIAS!A:E,5,0)</f>
        <v>46171</v>
      </c>
      <c r="P782" s="6">
        <v>0</v>
      </c>
      <c r="Q782" s="43">
        <f>VLOOKUP(Tabla1[[#This Row],[PAGO DIA]],DIAS!A:F,6,0)</f>
        <v>46203</v>
      </c>
      <c r="R782" s="6">
        <v>0</v>
      </c>
      <c r="S782" s="43">
        <f>VLOOKUP(Tabla1[[#This Row],[PAGO DIA]],DIAS!A:G,7,0)</f>
        <v>46234</v>
      </c>
      <c r="T782" s="6">
        <v>0</v>
      </c>
      <c r="U782" s="43">
        <f>VLOOKUP(Tabla1[[#This Row],[PAGO DIA]],DIAS!A:H,8,0)</f>
        <v>46265</v>
      </c>
      <c r="V782" s="6">
        <v>0</v>
      </c>
      <c r="W782" s="43">
        <f>VLOOKUP(Tabla1[[#This Row],[PAGO DIA]],DIAS!A:I,9,0)</f>
        <v>46295</v>
      </c>
      <c r="X782" s="6">
        <v>0</v>
      </c>
      <c r="Y782" s="43">
        <f>VLOOKUP(Tabla1[[#This Row],[PAGO DIA]],DIAS!A:J,10,0)</f>
        <v>46325</v>
      </c>
      <c r="Z782" s="6">
        <v>0</v>
      </c>
      <c r="AA782" s="43">
        <f>VLOOKUP(Tabla1[[#This Row],[PAGO DIA]],DIAS!A:K,11,0)</f>
        <v>46356</v>
      </c>
      <c r="AB782" s="6">
        <v>0</v>
      </c>
      <c r="AC782" s="43">
        <f>VLOOKUP(Tabla1[[#This Row],[PAGO DIA]],DIAS!A:M,12,0)</f>
        <v>46386</v>
      </c>
      <c r="AD7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3" spans="1:30">
      <c r="A783" s="3">
        <v>11067</v>
      </c>
      <c r="B783" s="3" t="s">
        <v>538</v>
      </c>
      <c r="C783" s="3" t="s">
        <v>539</v>
      </c>
      <c r="D783" s="3" t="s">
        <v>540</v>
      </c>
      <c r="E783" s="3" t="s">
        <v>1397</v>
      </c>
      <c r="F783" s="42" t="s">
        <v>631</v>
      </c>
      <c r="G783" s="3"/>
      <c r="H783" s="6">
        <v>0</v>
      </c>
      <c r="I783" s="41">
        <f>VLOOKUP(Tabla1[[#This Row],[PAGO DIA]],DIAS!A:B,2,0)</f>
        <v>46080</v>
      </c>
      <c r="J783" s="6">
        <v>0</v>
      </c>
      <c r="K783" s="43">
        <f>VLOOKUP(Tabla1[[#This Row],[PAGO DIA]],DIAS!A:C,3,0)</f>
        <v>46112</v>
      </c>
      <c r="L783" s="6">
        <v>0</v>
      </c>
      <c r="M783" s="41">
        <f>VLOOKUP(Tabla1[[#This Row],[PAGO DIA]],DIAS!A:D,4,0)</f>
        <v>46142</v>
      </c>
      <c r="N783" s="6">
        <v>0</v>
      </c>
      <c r="O783" s="43">
        <f>VLOOKUP(Tabla1[[#This Row],[PAGO DIA]],DIAS!A:E,5,0)</f>
        <v>46171</v>
      </c>
      <c r="P783" s="6">
        <v>0</v>
      </c>
      <c r="Q783" s="43">
        <f>VLOOKUP(Tabla1[[#This Row],[PAGO DIA]],DIAS!A:F,6,0)</f>
        <v>46203</v>
      </c>
      <c r="R783" s="6">
        <v>0</v>
      </c>
      <c r="S783" s="43">
        <f>VLOOKUP(Tabla1[[#This Row],[PAGO DIA]],DIAS!A:G,7,0)</f>
        <v>46234</v>
      </c>
      <c r="T783" s="6">
        <v>0</v>
      </c>
      <c r="U783" s="43">
        <f>VLOOKUP(Tabla1[[#This Row],[PAGO DIA]],DIAS!A:H,8,0)</f>
        <v>46265</v>
      </c>
      <c r="V783" s="6">
        <v>0</v>
      </c>
      <c r="W783" s="43">
        <f>VLOOKUP(Tabla1[[#This Row],[PAGO DIA]],DIAS!A:I,9,0)</f>
        <v>46295</v>
      </c>
      <c r="X783" s="6">
        <v>0</v>
      </c>
      <c r="Y783" s="43">
        <f>VLOOKUP(Tabla1[[#This Row],[PAGO DIA]],DIAS!A:J,10,0)</f>
        <v>46325</v>
      </c>
      <c r="Z783" s="6">
        <v>0</v>
      </c>
      <c r="AA783" s="43">
        <f>VLOOKUP(Tabla1[[#This Row],[PAGO DIA]],DIAS!A:K,11,0)</f>
        <v>46356</v>
      </c>
      <c r="AB783" s="6">
        <v>0</v>
      </c>
      <c r="AC783" s="43">
        <f>VLOOKUP(Tabla1[[#This Row],[PAGO DIA]],DIAS!A:M,12,0)</f>
        <v>46386</v>
      </c>
      <c r="AD7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4" spans="1:30">
      <c r="A784" s="3">
        <v>11326</v>
      </c>
      <c r="B784" s="3" t="s">
        <v>538</v>
      </c>
      <c r="C784" s="3" t="s">
        <v>539</v>
      </c>
      <c r="D784" s="3" t="s">
        <v>540</v>
      </c>
      <c r="E784" s="3" t="s">
        <v>1397</v>
      </c>
      <c r="F784" s="42" t="s">
        <v>631</v>
      </c>
      <c r="G784" s="3"/>
      <c r="H784" s="6">
        <v>0</v>
      </c>
      <c r="I784" s="41">
        <f>VLOOKUP(Tabla1[[#This Row],[PAGO DIA]],DIAS!A:B,2,0)</f>
        <v>46080</v>
      </c>
      <c r="J784" s="6">
        <v>0</v>
      </c>
      <c r="K784" s="43">
        <f>VLOOKUP(Tabla1[[#This Row],[PAGO DIA]],DIAS!A:C,3,0)</f>
        <v>46112</v>
      </c>
      <c r="L784" s="6">
        <v>0</v>
      </c>
      <c r="M784" s="41">
        <f>VLOOKUP(Tabla1[[#This Row],[PAGO DIA]],DIAS!A:D,4,0)</f>
        <v>46142</v>
      </c>
      <c r="N784" s="6">
        <v>0</v>
      </c>
      <c r="O784" s="43">
        <f>VLOOKUP(Tabla1[[#This Row],[PAGO DIA]],DIAS!A:E,5,0)</f>
        <v>46171</v>
      </c>
      <c r="P784" s="6">
        <v>0</v>
      </c>
      <c r="Q784" s="43">
        <f>VLOOKUP(Tabla1[[#This Row],[PAGO DIA]],DIAS!A:F,6,0)</f>
        <v>46203</v>
      </c>
      <c r="R784" s="6">
        <v>0</v>
      </c>
      <c r="S784" s="43">
        <f>VLOOKUP(Tabla1[[#This Row],[PAGO DIA]],DIAS!A:G,7,0)</f>
        <v>46234</v>
      </c>
      <c r="T784" s="6">
        <v>0</v>
      </c>
      <c r="U784" s="43">
        <f>VLOOKUP(Tabla1[[#This Row],[PAGO DIA]],DIAS!A:H,8,0)</f>
        <v>46265</v>
      </c>
      <c r="V784" s="6">
        <v>0</v>
      </c>
      <c r="W784" s="43">
        <f>VLOOKUP(Tabla1[[#This Row],[PAGO DIA]],DIAS!A:I,9,0)</f>
        <v>46295</v>
      </c>
      <c r="X784" s="6">
        <v>0</v>
      </c>
      <c r="Y784" s="43">
        <f>VLOOKUP(Tabla1[[#This Row],[PAGO DIA]],DIAS!A:J,10,0)</f>
        <v>46325</v>
      </c>
      <c r="Z784" s="6">
        <v>0</v>
      </c>
      <c r="AA784" s="43">
        <f>VLOOKUP(Tabla1[[#This Row],[PAGO DIA]],DIAS!A:K,11,0)</f>
        <v>46356</v>
      </c>
      <c r="AB784" s="6">
        <v>0</v>
      </c>
      <c r="AC784" s="43">
        <f>VLOOKUP(Tabla1[[#This Row],[PAGO DIA]],DIAS!A:M,12,0)</f>
        <v>46386</v>
      </c>
      <c r="AD7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5" spans="1:30">
      <c r="A785" s="3">
        <v>11336</v>
      </c>
      <c r="B785" s="3" t="s">
        <v>538</v>
      </c>
      <c r="C785" s="3" t="s">
        <v>539</v>
      </c>
      <c r="D785" s="3" t="s">
        <v>540</v>
      </c>
      <c r="E785" s="3" t="s">
        <v>1397</v>
      </c>
      <c r="F785" s="42" t="s">
        <v>631</v>
      </c>
      <c r="G785" s="3"/>
      <c r="H785" s="6">
        <v>0</v>
      </c>
      <c r="I785" s="41">
        <f>VLOOKUP(Tabla1[[#This Row],[PAGO DIA]],DIAS!A:B,2,0)</f>
        <v>46080</v>
      </c>
      <c r="J785" s="6">
        <v>0</v>
      </c>
      <c r="K785" s="43">
        <f>VLOOKUP(Tabla1[[#This Row],[PAGO DIA]],DIAS!A:C,3,0)</f>
        <v>46112</v>
      </c>
      <c r="L785" s="6">
        <v>0</v>
      </c>
      <c r="M785" s="41">
        <f>VLOOKUP(Tabla1[[#This Row],[PAGO DIA]],DIAS!A:D,4,0)</f>
        <v>46142</v>
      </c>
      <c r="N785" s="6">
        <v>0</v>
      </c>
      <c r="O785" s="43">
        <f>VLOOKUP(Tabla1[[#This Row],[PAGO DIA]],DIAS!A:E,5,0)</f>
        <v>46171</v>
      </c>
      <c r="P785" s="6">
        <v>0</v>
      </c>
      <c r="Q785" s="43">
        <f>VLOOKUP(Tabla1[[#This Row],[PAGO DIA]],DIAS!A:F,6,0)</f>
        <v>46203</v>
      </c>
      <c r="R785" s="6">
        <v>0</v>
      </c>
      <c r="S785" s="43">
        <f>VLOOKUP(Tabla1[[#This Row],[PAGO DIA]],DIAS!A:G,7,0)</f>
        <v>46234</v>
      </c>
      <c r="T785" s="6">
        <v>0</v>
      </c>
      <c r="U785" s="43">
        <f>VLOOKUP(Tabla1[[#This Row],[PAGO DIA]],DIAS!A:H,8,0)</f>
        <v>46265</v>
      </c>
      <c r="V785" s="6">
        <v>0</v>
      </c>
      <c r="W785" s="43">
        <f>VLOOKUP(Tabla1[[#This Row],[PAGO DIA]],DIAS!A:I,9,0)</f>
        <v>46295</v>
      </c>
      <c r="X785" s="6">
        <v>0</v>
      </c>
      <c r="Y785" s="43">
        <f>VLOOKUP(Tabla1[[#This Row],[PAGO DIA]],DIAS!A:J,10,0)</f>
        <v>46325</v>
      </c>
      <c r="Z785" s="6">
        <v>0</v>
      </c>
      <c r="AA785" s="43">
        <f>VLOOKUP(Tabla1[[#This Row],[PAGO DIA]],DIAS!A:K,11,0)</f>
        <v>46356</v>
      </c>
      <c r="AB785" s="6">
        <v>0</v>
      </c>
      <c r="AC785" s="43">
        <f>VLOOKUP(Tabla1[[#This Row],[PAGO DIA]],DIAS!A:M,12,0)</f>
        <v>46386</v>
      </c>
      <c r="AD7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6" spans="1:30">
      <c r="A786" s="3">
        <v>12614</v>
      </c>
      <c r="B786" s="3" t="s">
        <v>538</v>
      </c>
      <c r="C786" s="3" t="s">
        <v>539</v>
      </c>
      <c r="D786" s="3" t="s">
        <v>540</v>
      </c>
      <c r="E786" s="3" t="s">
        <v>555</v>
      </c>
      <c r="F786" s="42" t="s">
        <v>631</v>
      </c>
      <c r="G786" s="3" t="s">
        <v>1398</v>
      </c>
      <c r="H786" s="6">
        <v>0</v>
      </c>
      <c r="I786" s="41">
        <f>VLOOKUP(Tabla1[[#This Row],[PAGO DIA]],DIAS!A:B,2,0)</f>
        <v>46080</v>
      </c>
      <c r="J786" s="6">
        <v>0</v>
      </c>
      <c r="K786" s="43">
        <f>VLOOKUP(Tabla1[[#This Row],[PAGO DIA]],DIAS!A:C,3,0)</f>
        <v>46112</v>
      </c>
      <c r="L786" s="6">
        <v>0</v>
      </c>
      <c r="M786" s="41">
        <f>VLOOKUP(Tabla1[[#This Row],[PAGO DIA]],DIAS!A:D,4,0)</f>
        <v>46142</v>
      </c>
      <c r="N786" s="6">
        <v>0</v>
      </c>
      <c r="O786" s="43">
        <f>VLOOKUP(Tabla1[[#This Row],[PAGO DIA]],DIAS!A:E,5,0)</f>
        <v>46171</v>
      </c>
      <c r="P786" s="6">
        <v>0</v>
      </c>
      <c r="Q786" s="43">
        <f>VLOOKUP(Tabla1[[#This Row],[PAGO DIA]],DIAS!A:F,6,0)</f>
        <v>46203</v>
      </c>
      <c r="R786" s="6">
        <v>0</v>
      </c>
      <c r="S786" s="43">
        <f>VLOOKUP(Tabla1[[#This Row],[PAGO DIA]],DIAS!A:G,7,0)</f>
        <v>46234</v>
      </c>
      <c r="T786" s="6">
        <v>0</v>
      </c>
      <c r="U786" s="43">
        <f>VLOOKUP(Tabla1[[#This Row],[PAGO DIA]],DIAS!A:H,8,0)</f>
        <v>46265</v>
      </c>
      <c r="V786" s="6">
        <v>0</v>
      </c>
      <c r="W786" s="43">
        <f>VLOOKUP(Tabla1[[#This Row],[PAGO DIA]],DIAS!A:I,9,0)</f>
        <v>46295</v>
      </c>
      <c r="X786" s="6">
        <v>0</v>
      </c>
      <c r="Y786" s="43">
        <f>VLOOKUP(Tabla1[[#This Row],[PAGO DIA]],DIAS!A:J,10,0)</f>
        <v>46325</v>
      </c>
      <c r="Z786" s="6">
        <v>0</v>
      </c>
      <c r="AA786" s="43">
        <f>VLOOKUP(Tabla1[[#This Row],[PAGO DIA]],DIAS!A:K,11,0)</f>
        <v>46356</v>
      </c>
      <c r="AB786" s="6">
        <v>0</v>
      </c>
      <c r="AC786" s="43">
        <f>VLOOKUP(Tabla1[[#This Row],[PAGO DIA]],DIAS!A:M,12,0)</f>
        <v>46386</v>
      </c>
      <c r="AD7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7" spans="1:30">
      <c r="A787" s="3">
        <v>11997</v>
      </c>
      <c r="B787" s="3" t="s">
        <v>538</v>
      </c>
      <c r="C787" s="3" t="s">
        <v>540</v>
      </c>
      <c r="D787" s="3" t="s">
        <v>540</v>
      </c>
      <c r="E787" s="3" t="s">
        <v>1399</v>
      </c>
      <c r="F787" s="42" t="s">
        <v>631</v>
      </c>
      <c r="G787" s="3" t="s">
        <v>1400</v>
      </c>
      <c r="H787" s="6">
        <v>0</v>
      </c>
      <c r="I787" s="41">
        <f>VLOOKUP(Tabla1[[#This Row],[PAGO DIA]],DIAS!A:B,2,0)</f>
        <v>46080</v>
      </c>
      <c r="J787" s="6">
        <v>0</v>
      </c>
      <c r="K787" s="43">
        <f>VLOOKUP(Tabla1[[#This Row],[PAGO DIA]],DIAS!A:C,3,0)</f>
        <v>46112</v>
      </c>
      <c r="L787" s="6">
        <v>0</v>
      </c>
      <c r="M787" s="41">
        <f>VLOOKUP(Tabla1[[#This Row],[PAGO DIA]],DIAS!A:D,4,0)</f>
        <v>46142</v>
      </c>
      <c r="N787" s="6">
        <v>0</v>
      </c>
      <c r="O787" s="43">
        <f>VLOOKUP(Tabla1[[#This Row],[PAGO DIA]],DIAS!A:E,5,0)</f>
        <v>46171</v>
      </c>
      <c r="P787" s="6">
        <v>0</v>
      </c>
      <c r="Q787" s="43">
        <f>VLOOKUP(Tabla1[[#This Row],[PAGO DIA]],DIAS!A:F,6,0)</f>
        <v>46203</v>
      </c>
      <c r="R787" s="6">
        <v>0</v>
      </c>
      <c r="S787" s="43">
        <f>VLOOKUP(Tabla1[[#This Row],[PAGO DIA]],DIAS!A:G,7,0)</f>
        <v>46234</v>
      </c>
      <c r="T787" s="6">
        <v>0</v>
      </c>
      <c r="U787" s="43">
        <f>VLOOKUP(Tabla1[[#This Row],[PAGO DIA]],DIAS!A:H,8,0)</f>
        <v>46265</v>
      </c>
      <c r="V787" s="6">
        <v>0</v>
      </c>
      <c r="W787" s="43">
        <f>VLOOKUP(Tabla1[[#This Row],[PAGO DIA]],DIAS!A:I,9,0)</f>
        <v>46295</v>
      </c>
      <c r="X787" s="6">
        <v>0</v>
      </c>
      <c r="Y787" s="43">
        <f>VLOOKUP(Tabla1[[#This Row],[PAGO DIA]],DIAS!A:J,10,0)</f>
        <v>46325</v>
      </c>
      <c r="Z787" s="6">
        <v>0</v>
      </c>
      <c r="AA787" s="43">
        <f>VLOOKUP(Tabla1[[#This Row],[PAGO DIA]],DIAS!A:K,11,0)</f>
        <v>46356</v>
      </c>
      <c r="AB787" s="6">
        <v>0</v>
      </c>
      <c r="AC787" s="43">
        <f>VLOOKUP(Tabla1[[#This Row],[PAGO DIA]],DIAS!A:M,12,0)</f>
        <v>46386</v>
      </c>
      <c r="AD7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8" spans="1:30">
      <c r="A788" s="3">
        <v>11998</v>
      </c>
      <c r="B788" s="3" t="s">
        <v>538</v>
      </c>
      <c r="C788" s="3" t="s">
        <v>540</v>
      </c>
      <c r="D788" s="3" t="s">
        <v>540</v>
      </c>
      <c r="E788" s="3" t="s">
        <v>1399</v>
      </c>
      <c r="F788" s="42" t="s">
        <v>631</v>
      </c>
      <c r="G788" s="3" t="s">
        <v>1401</v>
      </c>
      <c r="H788" s="6">
        <v>0</v>
      </c>
      <c r="I788" s="41">
        <f>VLOOKUP(Tabla1[[#This Row],[PAGO DIA]],DIAS!A:B,2,0)</f>
        <v>46080</v>
      </c>
      <c r="J788" s="6">
        <v>0</v>
      </c>
      <c r="K788" s="43">
        <f>VLOOKUP(Tabla1[[#This Row],[PAGO DIA]],DIAS!A:C,3,0)</f>
        <v>46112</v>
      </c>
      <c r="L788" s="6">
        <v>0</v>
      </c>
      <c r="M788" s="41">
        <f>VLOOKUP(Tabla1[[#This Row],[PAGO DIA]],DIAS!A:D,4,0)</f>
        <v>46142</v>
      </c>
      <c r="N788" s="6">
        <v>0</v>
      </c>
      <c r="O788" s="43">
        <f>VLOOKUP(Tabla1[[#This Row],[PAGO DIA]],DIAS!A:E,5,0)</f>
        <v>46171</v>
      </c>
      <c r="P788" s="6">
        <v>0</v>
      </c>
      <c r="Q788" s="43">
        <f>VLOOKUP(Tabla1[[#This Row],[PAGO DIA]],DIAS!A:F,6,0)</f>
        <v>46203</v>
      </c>
      <c r="R788" s="6">
        <v>0</v>
      </c>
      <c r="S788" s="43">
        <f>VLOOKUP(Tabla1[[#This Row],[PAGO DIA]],DIAS!A:G,7,0)</f>
        <v>46234</v>
      </c>
      <c r="T788" s="6">
        <v>0</v>
      </c>
      <c r="U788" s="43">
        <f>VLOOKUP(Tabla1[[#This Row],[PAGO DIA]],DIAS!A:H,8,0)</f>
        <v>46265</v>
      </c>
      <c r="V788" s="6">
        <v>0</v>
      </c>
      <c r="W788" s="43">
        <f>VLOOKUP(Tabla1[[#This Row],[PAGO DIA]],DIAS!A:I,9,0)</f>
        <v>46295</v>
      </c>
      <c r="X788" s="6">
        <v>0</v>
      </c>
      <c r="Y788" s="43">
        <f>VLOOKUP(Tabla1[[#This Row],[PAGO DIA]],DIAS!A:J,10,0)</f>
        <v>46325</v>
      </c>
      <c r="Z788" s="6">
        <v>0</v>
      </c>
      <c r="AA788" s="43">
        <f>VLOOKUP(Tabla1[[#This Row],[PAGO DIA]],DIAS!A:K,11,0)</f>
        <v>46356</v>
      </c>
      <c r="AB788" s="6">
        <v>0</v>
      </c>
      <c r="AC788" s="43">
        <f>VLOOKUP(Tabla1[[#This Row],[PAGO DIA]],DIAS!A:M,12,0)</f>
        <v>46386</v>
      </c>
      <c r="AD7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89" spans="1:30">
      <c r="A789" s="3">
        <v>11444</v>
      </c>
      <c r="B789" s="3" t="s">
        <v>538</v>
      </c>
      <c r="C789" s="3" t="s">
        <v>540</v>
      </c>
      <c r="D789" s="3" t="s">
        <v>540</v>
      </c>
      <c r="E789" s="3" t="s">
        <v>1402</v>
      </c>
      <c r="F789" s="42" t="s">
        <v>631</v>
      </c>
      <c r="G789" s="3" t="s">
        <v>1403</v>
      </c>
      <c r="H789" s="6">
        <v>0</v>
      </c>
      <c r="I789" s="41">
        <f>VLOOKUP(Tabla1[[#This Row],[PAGO DIA]],DIAS!A:B,2,0)</f>
        <v>46080</v>
      </c>
      <c r="J789" s="6">
        <v>0</v>
      </c>
      <c r="K789" s="43">
        <f>VLOOKUP(Tabla1[[#This Row],[PAGO DIA]],DIAS!A:C,3,0)</f>
        <v>46112</v>
      </c>
      <c r="L789" s="6">
        <v>0</v>
      </c>
      <c r="M789" s="41">
        <f>VLOOKUP(Tabla1[[#This Row],[PAGO DIA]],DIAS!A:D,4,0)</f>
        <v>46142</v>
      </c>
      <c r="N789" s="6">
        <v>0</v>
      </c>
      <c r="O789" s="43">
        <f>VLOOKUP(Tabla1[[#This Row],[PAGO DIA]],DIAS!A:E,5,0)</f>
        <v>46171</v>
      </c>
      <c r="P789" s="6">
        <v>0</v>
      </c>
      <c r="Q789" s="43">
        <f>VLOOKUP(Tabla1[[#This Row],[PAGO DIA]],DIAS!A:F,6,0)</f>
        <v>46203</v>
      </c>
      <c r="R789" s="6">
        <v>0</v>
      </c>
      <c r="S789" s="43">
        <f>VLOOKUP(Tabla1[[#This Row],[PAGO DIA]],DIAS!A:G,7,0)</f>
        <v>46234</v>
      </c>
      <c r="T789" s="6">
        <v>0</v>
      </c>
      <c r="U789" s="43">
        <f>VLOOKUP(Tabla1[[#This Row],[PAGO DIA]],DIAS!A:H,8,0)</f>
        <v>46265</v>
      </c>
      <c r="V789" s="6">
        <v>0</v>
      </c>
      <c r="W789" s="43">
        <f>VLOOKUP(Tabla1[[#This Row],[PAGO DIA]],DIAS!A:I,9,0)</f>
        <v>46295</v>
      </c>
      <c r="X789" s="6">
        <v>0</v>
      </c>
      <c r="Y789" s="43">
        <f>VLOOKUP(Tabla1[[#This Row],[PAGO DIA]],DIAS!A:J,10,0)</f>
        <v>46325</v>
      </c>
      <c r="Z789" s="6">
        <v>0</v>
      </c>
      <c r="AA789" s="43">
        <f>VLOOKUP(Tabla1[[#This Row],[PAGO DIA]],DIAS!A:K,11,0)</f>
        <v>46356</v>
      </c>
      <c r="AB789" s="6">
        <v>0</v>
      </c>
      <c r="AC789" s="43">
        <f>VLOOKUP(Tabla1[[#This Row],[PAGO DIA]],DIAS!A:M,12,0)</f>
        <v>46386</v>
      </c>
      <c r="AD7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0" spans="1:30">
      <c r="A790" s="3">
        <v>11445</v>
      </c>
      <c r="B790" s="3" t="s">
        <v>538</v>
      </c>
      <c r="C790" s="3" t="s">
        <v>540</v>
      </c>
      <c r="D790" s="3" t="s">
        <v>540</v>
      </c>
      <c r="E790" s="3" t="s">
        <v>1402</v>
      </c>
      <c r="F790" s="42" t="s">
        <v>631</v>
      </c>
      <c r="G790" s="3" t="s">
        <v>1404</v>
      </c>
      <c r="H790" s="6">
        <v>0</v>
      </c>
      <c r="I790" s="41">
        <f>VLOOKUP(Tabla1[[#This Row],[PAGO DIA]],DIAS!A:B,2,0)</f>
        <v>46080</v>
      </c>
      <c r="J790" s="6">
        <v>0</v>
      </c>
      <c r="K790" s="43">
        <f>VLOOKUP(Tabla1[[#This Row],[PAGO DIA]],DIAS!A:C,3,0)</f>
        <v>46112</v>
      </c>
      <c r="L790" s="6">
        <v>0</v>
      </c>
      <c r="M790" s="41">
        <f>VLOOKUP(Tabla1[[#This Row],[PAGO DIA]],DIAS!A:D,4,0)</f>
        <v>46142</v>
      </c>
      <c r="N790" s="6">
        <v>0</v>
      </c>
      <c r="O790" s="43">
        <f>VLOOKUP(Tabla1[[#This Row],[PAGO DIA]],DIAS!A:E,5,0)</f>
        <v>46171</v>
      </c>
      <c r="P790" s="6">
        <v>0</v>
      </c>
      <c r="Q790" s="43">
        <f>VLOOKUP(Tabla1[[#This Row],[PAGO DIA]],DIAS!A:F,6,0)</f>
        <v>46203</v>
      </c>
      <c r="R790" s="6">
        <v>0</v>
      </c>
      <c r="S790" s="43">
        <f>VLOOKUP(Tabla1[[#This Row],[PAGO DIA]],DIAS!A:G,7,0)</f>
        <v>46234</v>
      </c>
      <c r="T790" s="6">
        <v>0</v>
      </c>
      <c r="U790" s="43">
        <f>VLOOKUP(Tabla1[[#This Row],[PAGO DIA]],DIAS!A:H,8,0)</f>
        <v>46265</v>
      </c>
      <c r="V790" s="6">
        <v>0</v>
      </c>
      <c r="W790" s="43">
        <f>VLOOKUP(Tabla1[[#This Row],[PAGO DIA]],DIAS!A:I,9,0)</f>
        <v>46295</v>
      </c>
      <c r="X790" s="6">
        <v>0</v>
      </c>
      <c r="Y790" s="43">
        <f>VLOOKUP(Tabla1[[#This Row],[PAGO DIA]],DIAS!A:J,10,0)</f>
        <v>46325</v>
      </c>
      <c r="Z790" s="6">
        <v>0</v>
      </c>
      <c r="AA790" s="43">
        <f>VLOOKUP(Tabla1[[#This Row],[PAGO DIA]],DIAS!A:K,11,0)</f>
        <v>46356</v>
      </c>
      <c r="AB790" s="6">
        <v>0</v>
      </c>
      <c r="AC790" s="43">
        <f>VLOOKUP(Tabla1[[#This Row],[PAGO DIA]],DIAS!A:M,12,0)</f>
        <v>46386</v>
      </c>
      <c r="AD7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1" spans="1:30">
      <c r="A791" s="3">
        <v>11446</v>
      </c>
      <c r="B791" s="3" t="s">
        <v>538</v>
      </c>
      <c r="C791" s="3" t="s">
        <v>540</v>
      </c>
      <c r="D791" s="3" t="s">
        <v>540</v>
      </c>
      <c r="E791" s="3" t="s">
        <v>1402</v>
      </c>
      <c r="F791" s="42" t="s">
        <v>631</v>
      </c>
      <c r="G791" s="3" t="s">
        <v>1405</v>
      </c>
      <c r="H791" s="6">
        <v>0</v>
      </c>
      <c r="I791" s="41">
        <f>VLOOKUP(Tabla1[[#This Row],[PAGO DIA]],DIAS!A:B,2,0)</f>
        <v>46080</v>
      </c>
      <c r="J791" s="6">
        <v>0</v>
      </c>
      <c r="K791" s="43">
        <f>VLOOKUP(Tabla1[[#This Row],[PAGO DIA]],DIAS!A:C,3,0)</f>
        <v>46112</v>
      </c>
      <c r="L791" s="6">
        <v>0</v>
      </c>
      <c r="M791" s="41">
        <f>VLOOKUP(Tabla1[[#This Row],[PAGO DIA]],DIAS!A:D,4,0)</f>
        <v>46142</v>
      </c>
      <c r="N791" s="6">
        <v>0</v>
      </c>
      <c r="O791" s="43">
        <f>VLOOKUP(Tabla1[[#This Row],[PAGO DIA]],DIAS!A:E,5,0)</f>
        <v>46171</v>
      </c>
      <c r="P791" s="6">
        <v>0</v>
      </c>
      <c r="Q791" s="43">
        <f>VLOOKUP(Tabla1[[#This Row],[PAGO DIA]],DIAS!A:F,6,0)</f>
        <v>46203</v>
      </c>
      <c r="R791" s="6">
        <v>0</v>
      </c>
      <c r="S791" s="43">
        <f>VLOOKUP(Tabla1[[#This Row],[PAGO DIA]],DIAS!A:G,7,0)</f>
        <v>46234</v>
      </c>
      <c r="T791" s="6">
        <v>0</v>
      </c>
      <c r="U791" s="43">
        <f>VLOOKUP(Tabla1[[#This Row],[PAGO DIA]],DIAS!A:H,8,0)</f>
        <v>46265</v>
      </c>
      <c r="V791" s="6">
        <v>0</v>
      </c>
      <c r="W791" s="43">
        <f>VLOOKUP(Tabla1[[#This Row],[PAGO DIA]],DIAS!A:I,9,0)</f>
        <v>46295</v>
      </c>
      <c r="X791" s="6">
        <v>0</v>
      </c>
      <c r="Y791" s="43">
        <f>VLOOKUP(Tabla1[[#This Row],[PAGO DIA]],DIAS!A:J,10,0)</f>
        <v>46325</v>
      </c>
      <c r="Z791" s="6">
        <v>0</v>
      </c>
      <c r="AA791" s="43">
        <f>VLOOKUP(Tabla1[[#This Row],[PAGO DIA]],DIAS!A:K,11,0)</f>
        <v>46356</v>
      </c>
      <c r="AB791" s="6">
        <v>0</v>
      </c>
      <c r="AC791" s="43">
        <f>VLOOKUP(Tabla1[[#This Row],[PAGO DIA]],DIAS!A:M,12,0)</f>
        <v>46386</v>
      </c>
      <c r="AD7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2" spans="1:30">
      <c r="A792" s="3">
        <v>11447</v>
      </c>
      <c r="B792" s="3" t="s">
        <v>538</v>
      </c>
      <c r="C792" s="3" t="s">
        <v>540</v>
      </c>
      <c r="D792" s="3" t="s">
        <v>540</v>
      </c>
      <c r="E792" s="3" t="s">
        <v>1402</v>
      </c>
      <c r="F792" s="42" t="s">
        <v>631</v>
      </c>
      <c r="G792" s="3" t="s">
        <v>1406</v>
      </c>
      <c r="H792" s="6">
        <v>0</v>
      </c>
      <c r="I792" s="41">
        <f>VLOOKUP(Tabla1[[#This Row],[PAGO DIA]],DIAS!A:B,2,0)</f>
        <v>46080</v>
      </c>
      <c r="J792" s="6">
        <v>0</v>
      </c>
      <c r="K792" s="43">
        <f>VLOOKUP(Tabla1[[#This Row],[PAGO DIA]],DIAS!A:C,3,0)</f>
        <v>46112</v>
      </c>
      <c r="L792" s="6">
        <v>0</v>
      </c>
      <c r="M792" s="41">
        <f>VLOOKUP(Tabla1[[#This Row],[PAGO DIA]],DIAS!A:D,4,0)</f>
        <v>46142</v>
      </c>
      <c r="N792" s="6">
        <v>0</v>
      </c>
      <c r="O792" s="43">
        <f>VLOOKUP(Tabla1[[#This Row],[PAGO DIA]],DIAS!A:E,5,0)</f>
        <v>46171</v>
      </c>
      <c r="P792" s="6">
        <v>0</v>
      </c>
      <c r="Q792" s="43">
        <f>VLOOKUP(Tabla1[[#This Row],[PAGO DIA]],DIAS!A:F,6,0)</f>
        <v>46203</v>
      </c>
      <c r="R792" s="6">
        <v>0</v>
      </c>
      <c r="S792" s="43">
        <f>VLOOKUP(Tabla1[[#This Row],[PAGO DIA]],DIAS!A:G,7,0)</f>
        <v>46234</v>
      </c>
      <c r="T792" s="6">
        <v>0</v>
      </c>
      <c r="U792" s="43">
        <f>VLOOKUP(Tabla1[[#This Row],[PAGO DIA]],DIAS!A:H,8,0)</f>
        <v>46265</v>
      </c>
      <c r="V792" s="6">
        <v>0</v>
      </c>
      <c r="W792" s="43">
        <f>VLOOKUP(Tabla1[[#This Row],[PAGO DIA]],DIAS!A:I,9,0)</f>
        <v>46295</v>
      </c>
      <c r="X792" s="6">
        <v>0</v>
      </c>
      <c r="Y792" s="43">
        <f>VLOOKUP(Tabla1[[#This Row],[PAGO DIA]],DIAS!A:J,10,0)</f>
        <v>46325</v>
      </c>
      <c r="Z792" s="6">
        <v>0</v>
      </c>
      <c r="AA792" s="43">
        <f>VLOOKUP(Tabla1[[#This Row],[PAGO DIA]],DIAS!A:K,11,0)</f>
        <v>46356</v>
      </c>
      <c r="AB792" s="6">
        <v>0</v>
      </c>
      <c r="AC792" s="43">
        <f>VLOOKUP(Tabla1[[#This Row],[PAGO DIA]],DIAS!A:M,12,0)</f>
        <v>46386</v>
      </c>
      <c r="AD7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3" spans="1:30">
      <c r="A793" s="3">
        <v>11448</v>
      </c>
      <c r="B793" s="3" t="s">
        <v>538</v>
      </c>
      <c r="C793" s="3" t="s">
        <v>540</v>
      </c>
      <c r="D793" s="3" t="s">
        <v>540</v>
      </c>
      <c r="E793" s="3" t="s">
        <v>1402</v>
      </c>
      <c r="F793" s="42" t="s">
        <v>631</v>
      </c>
      <c r="G793" s="3" t="s">
        <v>1407</v>
      </c>
      <c r="H793" s="6">
        <v>0</v>
      </c>
      <c r="I793" s="41">
        <f>VLOOKUP(Tabla1[[#This Row],[PAGO DIA]],DIAS!A:B,2,0)</f>
        <v>46080</v>
      </c>
      <c r="J793" s="6">
        <v>0</v>
      </c>
      <c r="K793" s="43">
        <f>VLOOKUP(Tabla1[[#This Row],[PAGO DIA]],DIAS!A:C,3,0)</f>
        <v>46112</v>
      </c>
      <c r="L793" s="6">
        <v>0</v>
      </c>
      <c r="M793" s="41">
        <f>VLOOKUP(Tabla1[[#This Row],[PAGO DIA]],DIAS!A:D,4,0)</f>
        <v>46142</v>
      </c>
      <c r="N793" s="6">
        <v>0</v>
      </c>
      <c r="O793" s="43">
        <f>VLOOKUP(Tabla1[[#This Row],[PAGO DIA]],DIAS!A:E,5,0)</f>
        <v>46171</v>
      </c>
      <c r="P793" s="6">
        <v>0</v>
      </c>
      <c r="Q793" s="43">
        <f>VLOOKUP(Tabla1[[#This Row],[PAGO DIA]],DIAS!A:F,6,0)</f>
        <v>46203</v>
      </c>
      <c r="R793" s="6">
        <v>0</v>
      </c>
      <c r="S793" s="43">
        <f>VLOOKUP(Tabla1[[#This Row],[PAGO DIA]],DIAS!A:G,7,0)</f>
        <v>46234</v>
      </c>
      <c r="T793" s="6">
        <v>0</v>
      </c>
      <c r="U793" s="43">
        <f>VLOOKUP(Tabla1[[#This Row],[PAGO DIA]],DIAS!A:H,8,0)</f>
        <v>46265</v>
      </c>
      <c r="V793" s="6">
        <v>0</v>
      </c>
      <c r="W793" s="43">
        <f>VLOOKUP(Tabla1[[#This Row],[PAGO DIA]],DIAS!A:I,9,0)</f>
        <v>46295</v>
      </c>
      <c r="X793" s="6">
        <v>0</v>
      </c>
      <c r="Y793" s="43">
        <f>VLOOKUP(Tabla1[[#This Row],[PAGO DIA]],DIAS!A:J,10,0)</f>
        <v>46325</v>
      </c>
      <c r="Z793" s="6">
        <v>0</v>
      </c>
      <c r="AA793" s="43">
        <f>VLOOKUP(Tabla1[[#This Row],[PAGO DIA]],DIAS!A:K,11,0)</f>
        <v>46356</v>
      </c>
      <c r="AB793" s="6">
        <v>0</v>
      </c>
      <c r="AC793" s="43">
        <f>VLOOKUP(Tabla1[[#This Row],[PAGO DIA]],DIAS!A:M,12,0)</f>
        <v>46386</v>
      </c>
      <c r="AD7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4" spans="1:30">
      <c r="A794" s="3">
        <v>11449</v>
      </c>
      <c r="B794" s="3" t="s">
        <v>538</v>
      </c>
      <c r="C794" s="3" t="s">
        <v>540</v>
      </c>
      <c r="D794" s="3" t="s">
        <v>540</v>
      </c>
      <c r="E794" s="3" t="s">
        <v>1402</v>
      </c>
      <c r="F794" s="42" t="s">
        <v>631</v>
      </c>
      <c r="G794" s="3" t="s">
        <v>1408</v>
      </c>
      <c r="H794" s="6">
        <v>0</v>
      </c>
      <c r="I794" s="41">
        <f>VLOOKUP(Tabla1[[#This Row],[PAGO DIA]],DIAS!A:B,2,0)</f>
        <v>46080</v>
      </c>
      <c r="J794" s="6">
        <v>0</v>
      </c>
      <c r="K794" s="43">
        <f>VLOOKUP(Tabla1[[#This Row],[PAGO DIA]],DIAS!A:C,3,0)</f>
        <v>46112</v>
      </c>
      <c r="L794" s="6">
        <v>0</v>
      </c>
      <c r="M794" s="41">
        <f>VLOOKUP(Tabla1[[#This Row],[PAGO DIA]],DIAS!A:D,4,0)</f>
        <v>46142</v>
      </c>
      <c r="N794" s="6">
        <v>0</v>
      </c>
      <c r="O794" s="43">
        <f>VLOOKUP(Tabla1[[#This Row],[PAGO DIA]],DIAS!A:E,5,0)</f>
        <v>46171</v>
      </c>
      <c r="P794" s="6">
        <v>0</v>
      </c>
      <c r="Q794" s="43">
        <f>VLOOKUP(Tabla1[[#This Row],[PAGO DIA]],DIAS!A:F,6,0)</f>
        <v>46203</v>
      </c>
      <c r="R794" s="6">
        <v>0</v>
      </c>
      <c r="S794" s="43">
        <f>VLOOKUP(Tabla1[[#This Row],[PAGO DIA]],DIAS!A:G,7,0)</f>
        <v>46234</v>
      </c>
      <c r="T794" s="6">
        <v>0</v>
      </c>
      <c r="U794" s="43">
        <f>VLOOKUP(Tabla1[[#This Row],[PAGO DIA]],DIAS!A:H,8,0)</f>
        <v>46265</v>
      </c>
      <c r="V794" s="6">
        <v>0</v>
      </c>
      <c r="W794" s="43">
        <f>VLOOKUP(Tabla1[[#This Row],[PAGO DIA]],DIAS!A:I,9,0)</f>
        <v>46295</v>
      </c>
      <c r="X794" s="6">
        <v>0</v>
      </c>
      <c r="Y794" s="43">
        <f>VLOOKUP(Tabla1[[#This Row],[PAGO DIA]],DIAS!A:J,10,0)</f>
        <v>46325</v>
      </c>
      <c r="Z794" s="6">
        <v>0</v>
      </c>
      <c r="AA794" s="43">
        <f>VLOOKUP(Tabla1[[#This Row],[PAGO DIA]],DIAS!A:K,11,0)</f>
        <v>46356</v>
      </c>
      <c r="AB794" s="6">
        <v>0</v>
      </c>
      <c r="AC794" s="43">
        <f>VLOOKUP(Tabla1[[#This Row],[PAGO DIA]],DIAS!A:M,12,0)</f>
        <v>46386</v>
      </c>
      <c r="AD7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5" spans="1:30">
      <c r="A795" s="3">
        <v>11450</v>
      </c>
      <c r="B795" s="3" t="s">
        <v>538</v>
      </c>
      <c r="C795" s="3" t="s">
        <v>540</v>
      </c>
      <c r="D795" s="3" t="s">
        <v>540</v>
      </c>
      <c r="E795" s="3" t="s">
        <v>1402</v>
      </c>
      <c r="F795" s="42" t="s">
        <v>631</v>
      </c>
      <c r="G795" s="3" t="s">
        <v>1409</v>
      </c>
      <c r="H795" s="6">
        <v>0</v>
      </c>
      <c r="I795" s="41">
        <f>VLOOKUP(Tabla1[[#This Row],[PAGO DIA]],DIAS!A:B,2,0)</f>
        <v>46080</v>
      </c>
      <c r="J795" s="6">
        <v>0</v>
      </c>
      <c r="K795" s="43">
        <f>VLOOKUP(Tabla1[[#This Row],[PAGO DIA]],DIAS!A:C,3,0)</f>
        <v>46112</v>
      </c>
      <c r="L795" s="6">
        <v>0</v>
      </c>
      <c r="M795" s="41">
        <f>VLOOKUP(Tabla1[[#This Row],[PAGO DIA]],DIAS!A:D,4,0)</f>
        <v>46142</v>
      </c>
      <c r="N795" s="6">
        <v>0</v>
      </c>
      <c r="O795" s="43">
        <f>VLOOKUP(Tabla1[[#This Row],[PAGO DIA]],DIAS!A:E,5,0)</f>
        <v>46171</v>
      </c>
      <c r="P795" s="6">
        <v>0</v>
      </c>
      <c r="Q795" s="43">
        <f>VLOOKUP(Tabla1[[#This Row],[PAGO DIA]],DIAS!A:F,6,0)</f>
        <v>46203</v>
      </c>
      <c r="R795" s="6">
        <v>0</v>
      </c>
      <c r="S795" s="43">
        <f>VLOOKUP(Tabla1[[#This Row],[PAGO DIA]],DIAS!A:G,7,0)</f>
        <v>46234</v>
      </c>
      <c r="T795" s="6">
        <v>0</v>
      </c>
      <c r="U795" s="43">
        <f>VLOOKUP(Tabla1[[#This Row],[PAGO DIA]],DIAS!A:H,8,0)</f>
        <v>46265</v>
      </c>
      <c r="V795" s="6">
        <v>0</v>
      </c>
      <c r="W795" s="43">
        <f>VLOOKUP(Tabla1[[#This Row],[PAGO DIA]],DIAS!A:I,9,0)</f>
        <v>46295</v>
      </c>
      <c r="X795" s="6">
        <v>0</v>
      </c>
      <c r="Y795" s="43">
        <f>VLOOKUP(Tabla1[[#This Row],[PAGO DIA]],DIAS!A:J,10,0)</f>
        <v>46325</v>
      </c>
      <c r="Z795" s="6">
        <v>0</v>
      </c>
      <c r="AA795" s="43">
        <f>VLOOKUP(Tabla1[[#This Row],[PAGO DIA]],DIAS!A:K,11,0)</f>
        <v>46356</v>
      </c>
      <c r="AB795" s="6">
        <v>0</v>
      </c>
      <c r="AC795" s="43">
        <f>VLOOKUP(Tabla1[[#This Row],[PAGO DIA]],DIAS!A:M,12,0)</f>
        <v>46386</v>
      </c>
      <c r="AD7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6" spans="1:30">
      <c r="A796" s="3">
        <v>11451</v>
      </c>
      <c r="B796" s="3" t="s">
        <v>538</v>
      </c>
      <c r="C796" s="3" t="s">
        <v>540</v>
      </c>
      <c r="D796" s="3" t="s">
        <v>540</v>
      </c>
      <c r="E796" s="3" t="s">
        <v>1402</v>
      </c>
      <c r="F796" s="42" t="s">
        <v>631</v>
      </c>
      <c r="G796" s="3" t="s">
        <v>1410</v>
      </c>
      <c r="H796" s="6">
        <v>0</v>
      </c>
      <c r="I796" s="41">
        <f>VLOOKUP(Tabla1[[#This Row],[PAGO DIA]],DIAS!A:B,2,0)</f>
        <v>46080</v>
      </c>
      <c r="J796" s="6">
        <v>0</v>
      </c>
      <c r="K796" s="43">
        <f>VLOOKUP(Tabla1[[#This Row],[PAGO DIA]],DIAS!A:C,3,0)</f>
        <v>46112</v>
      </c>
      <c r="L796" s="6">
        <v>0</v>
      </c>
      <c r="M796" s="41">
        <f>VLOOKUP(Tabla1[[#This Row],[PAGO DIA]],DIAS!A:D,4,0)</f>
        <v>46142</v>
      </c>
      <c r="N796" s="6">
        <v>0</v>
      </c>
      <c r="O796" s="43">
        <f>VLOOKUP(Tabla1[[#This Row],[PAGO DIA]],DIAS!A:E,5,0)</f>
        <v>46171</v>
      </c>
      <c r="P796" s="6">
        <v>0</v>
      </c>
      <c r="Q796" s="43">
        <f>VLOOKUP(Tabla1[[#This Row],[PAGO DIA]],DIAS!A:F,6,0)</f>
        <v>46203</v>
      </c>
      <c r="R796" s="6">
        <v>0</v>
      </c>
      <c r="S796" s="43">
        <f>VLOOKUP(Tabla1[[#This Row],[PAGO DIA]],DIAS!A:G,7,0)</f>
        <v>46234</v>
      </c>
      <c r="T796" s="6">
        <v>0</v>
      </c>
      <c r="U796" s="43">
        <f>VLOOKUP(Tabla1[[#This Row],[PAGO DIA]],DIAS!A:H,8,0)</f>
        <v>46265</v>
      </c>
      <c r="V796" s="6">
        <v>0</v>
      </c>
      <c r="W796" s="43">
        <f>VLOOKUP(Tabla1[[#This Row],[PAGO DIA]],DIAS!A:I,9,0)</f>
        <v>46295</v>
      </c>
      <c r="X796" s="6">
        <v>0</v>
      </c>
      <c r="Y796" s="43">
        <f>VLOOKUP(Tabla1[[#This Row],[PAGO DIA]],DIAS!A:J,10,0)</f>
        <v>46325</v>
      </c>
      <c r="Z796" s="6">
        <v>0</v>
      </c>
      <c r="AA796" s="43">
        <f>VLOOKUP(Tabla1[[#This Row],[PAGO DIA]],DIAS!A:K,11,0)</f>
        <v>46356</v>
      </c>
      <c r="AB796" s="6">
        <v>0</v>
      </c>
      <c r="AC796" s="43">
        <f>VLOOKUP(Tabla1[[#This Row],[PAGO DIA]],DIAS!A:M,12,0)</f>
        <v>46386</v>
      </c>
      <c r="AD7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7" spans="1:30">
      <c r="A797" s="3">
        <v>11452</v>
      </c>
      <c r="B797" s="3" t="s">
        <v>538</v>
      </c>
      <c r="C797" s="3" t="s">
        <v>540</v>
      </c>
      <c r="D797" s="3" t="s">
        <v>540</v>
      </c>
      <c r="E797" s="3" t="s">
        <v>1402</v>
      </c>
      <c r="F797" s="42" t="s">
        <v>631</v>
      </c>
      <c r="G797" s="3" t="s">
        <v>1411</v>
      </c>
      <c r="H797" s="6">
        <v>0</v>
      </c>
      <c r="I797" s="41">
        <f>VLOOKUP(Tabla1[[#This Row],[PAGO DIA]],DIAS!A:B,2,0)</f>
        <v>46080</v>
      </c>
      <c r="J797" s="6">
        <v>0</v>
      </c>
      <c r="K797" s="43">
        <f>VLOOKUP(Tabla1[[#This Row],[PAGO DIA]],DIAS!A:C,3,0)</f>
        <v>46112</v>
      </c>
      <c r="L797" s="6">
        <v>0</v>
      </c>
      <c r="M797" s="41">
        <f>VLOOKUP(Tabla1[[#This Row],[PAGO DIA]],DIAS!A:D,4,0)</f>
        <v>46142</v>
      </c>
      <c r="N797" s="6">
        <v>0</v>
      </c>
      <c r="O797" s="43">
        <f>VLOOKUP(Tabla1[[#This Row],[PAGO DIA]],DIAS!A:E,5,0)</f>
        <v>46171</v>
      </c>
      <c r="P797" s="6">
        <v>0</v>
      </c>
      <c r="Q797" s="43">
        <f>VLOOKUP(Tabla1[[#This Row],[PAGO DIA]],DIAS!A:F,6,0)</f>
        <v>46203</v>
      </c>
      <c r="R797" s="6">
        <v>0</v>
      </c>
      <c r="S797" s="43">
        <f>VLOOKUP(Tabla1[[#This Row],[PAGO DIA]],DIAS!A:G,7,0)</f>
        <v>46234</v>
      </c>
      <c r="T797" s="6">
        <v>0</v>
      </c>
      <c r="U797" s="43">
        <f>VLOOKUP(Tabla1[[#This Row],[PAGO DIA]],DIAS!A:H,8,0)</f>
        <v>46265</v>
      </c>
      <c r="V797" s="6">
        <v>0</v>
      </c>
      <c r="W797" s="43">
        <f>VLOOKUP(Tabla1[[#This Row],[PAGO DIA]],DIAS!A:I,9,0)</f>
        <v>46295</v>
      </c>
      <c r="X797" s="6">
        <v>0</v>
      </c>
      <c r="Y797" s="43">
        <f>VLOOKUP(Tabla1[[#This Row],[PAGO DIA]],DIAS!A:J,10,0)</f>
        <v>46325</v>
      </c>
      <c r="Z797" s="6">
        <v>0</v>
      </c>
      <c r="AA797" s="43">
        <f>VLOOKUP(Tabla1[[#This Row],[PAGO DIA]],DIAS!A:K,11,0)</f>
        <v>46356</v>
      </c>
      <c r="AB797" s="6">
        <v>0</v>
      </c>
      <c r="AC797" s="43">
        <f>VLOOKUP(Tabla1[[#This Row],[PAGO DIA]],DIAS!A:M,12,0)</f>
        <v>46386</v>
      </c>
      <c r="AD7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8" spans="1:30">
      <c r="A798" s="3">
        <v>12000</v>
      </c>
      <c r="B798" s="3" t="s">
        <v>538</v>
      </c>
      <c r="C798" s="3" t="s">
        <v>540</v>
      </c>
      <c r="D798" s="3" t="s">
        <v>540</v>
      </c>
      <c r="E798" s="3" t="s">
        <v>640</v>
      </c>
      <c r="F798" s="42" t="s">
        <v>631</v>
      </c>
      <c r="G798" s="3" t="s">
        <v>1412</v>
      </c>
      <c r="H798" s="6">
        <v>0</v>
      </c>
      <c r="I798" s="41">
        <f>VLOOKUP(Tabla1[[#This Row],[PAGO DIA]],DIAS!A:B,2,0)</f>
        <v>46080</v>
      </c>
      <c r="J798" s="6">
        <v>0</v>
      </c>
      <c r="K798" s="43">
        <f>VLOOKUP(Tabla1[[#This Row],[PAGO DIA]],DIAS!A:C,3,0)</f>
        <v>46112</v>
      </c>
      <c r="L798" s="6">
        <v>0</v>
      </c>
      <c r="M798" s="41">
        <f>VLOOKUP(Tabla1[[#This Row],[PAGO DIA]],DIAS!A:D,4,0)</f>
        <v>46142</v>
      </c>
      <c r="N798" s="6">
        <v>0</v>
      </c>
      <c r="O798" s="43">
        <f>VLOOKUP(Tabla1[[#This Row],[PAGO DIA]],DIAS!A:E,5,0)</f>
        <v>46171</v>
      </c>
      <c r="P798" s="6">
        <v>0</v>
      </c>
      <c r="Q798" s="43">
        <f>VLOOKUP(Tabla1[[#This Row],[PAGO DIA]],DIAS!A:F,6,0)</f>
        <v>46203</v>
      </c>
      <c r="R798" s="6">
        <v>0</v>
      </c>
      <c r="S798" s="43">
        <f>VLOOKUP(Tabla1[[#This Row],[PAGO DIA]],DIAS!A:G,7,0)</f>
        <v>46234</v>
      </c>
      <c r="T798" s="6">
        <v>0</v>
      </c>
      <c r="U798" s="43">
        <f>VLOOKUP(Tabla1[[#This Row],[PAGO DIA]],DIAS!A:H,8,0)</f>
        <v>46265</v>
      </c>
      <c r="V798" s="6">
        <v>0</v>
      </c>
      <c r="W798" s="43">
        <f>VLOOKUP(Tabla1[[#This Row],[PAGO DIA]],DIAS!A:I,9,0)</f>
        <v>46295</v>
      </c>
      <c r="X798" s="6">
        <v>0</v>
      </c>
      <c r="Y798" s="43">
        <f>VLOOKUP(Tabla1[[#This Row],[PAGO DIA]],DIAS!A:J,10,0)</f>
        <v>46325</v>
      </c>
      <c r="Z798" s="6">
        <v>0</v>
      </c>
      <c r="AA798" s="43">
        <f>VLOOKUP(Tabla1[[#This Row],[PAGO DIA]],DIAS!A:K,11,0)</f>
        <v>46356</v>
      </c>
      <c r="AB798" s="6">
        <v>0</v>
      </c>
      <c r="AC798" s="43">
        <f>VLOOKUP(Tabla1[[#This Row],[PAGO DIA]],DIAS!A:M,12,0)</f>
        <v>46386</v>
      </c>
      <c r="AD7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799" spans="1:30">
      <c r="A799" s="3">
        <v>11025</v>
      </c>
      <c r="B799" s="3" t="s">
        <v>538</v>
      </c>
      <c r="C799" s="3" t="s">
        <v>539</v>
      </c>
      <c r="D799" s="3" t="s">
        <v>540</v>
      </c>
      <c r="E799" s="3" t="s">
        <v>647</v>
      </c>
      <c r="F799" s="42" t="s">
        <v>631</v>
      </c>
      <c r="G799" s="3"/>
      <c r="H799" s="6">
        <v>0</v>
      </c>
      <c r="I799" s="41">
        <f>VLOOKUP(Tabla1[[#This Row],[PAGO DIA]],DIAS!A:B,2,0)</f>
        <v>46080</v>
      </c>
      <c r="J799" s="6">
        <v>0</v>
      </c>
      <c r="K799" s="43">
        <f>VLOOKUP(Tabla1[[#This Row],[PAGO DIA]],DIAS!A:C,3,0)</f>
        <v>46112</v>
      </c>
      <c r="L799" s="6">
        <v>0</v>
      </c>
      <c r="M799" s="41">
        <f>VLOOKUP(Tabla1[[#This Row],[PAGO DIA]],DIAS!A:D,4,0)</f>
        <v>46142</v>
      </c>
      <c r="N799" s="6">
        <v>0</v>
      </c>
      <c r="O799" s="43">
        <f>VLOOKUP(Tabla1[[#This Row],[PAGO DIA]],DIAS!A:E,5,0)</f>
        <v>46171</v>
      </c>
      <c r="P799" s="6">
        <v>0</v>
      </c>
      <c r="Q799" s="43">
        <f>VLOOKUP(Tabla1[[#This Row],[PAGO DIA]],DIAS!A:F,6,0)</f>
        <v>46203</v>
      </c>
      <c r="R799" s="6">
        <v>0</v>
      </c>
      <c r="S799" s="43">
        <f>VLOOKUP(Tabla1[[#This Row],[PAGO DIA]],DIAS!A:G,7,0)</f>
        <v>46234</v>
      </c>
      <c r="T799" s="6">
        <v>0</v>
      </c>
      <c r="U799" s="43">
        <f>VLOOKUP(Tabla1[[#This Row],[PAGO DIA]],DIAS!A:H,8,0)</f>
        <v>46265</v>
      </c>
      <c r="V799" s="6">
        <v>0</v>
      </c>
      <c r="W799" s="43">
        <f>VLOOKUP(Tabla1[[#This Row],[PAGO DIA]],DIAS!A:I,9,0)</f>
        <v>46295</v>
      </c>
      <c r="X799" s="6">
        <v>0</v>
      </c>
      <c r="Y799" s="43">
        <f>VLOOKUP(Tabla1[[#This Row],[PAGO DIA]],DIAS!A:J,10,0)</f>
        <v>46325</v>
      </c>
      <c r="Z799" s="6">
        <v>0</v>
      </c>
      <c r="AA799" s="43">
        <f>VLOOKUP(Tabla1[[#This Row],[PAGO DIA]],DIAS!A:K,11,0)</f>
        <v>46356</v>
      </c>
      <c r="AB799" s="6">
        <v>0</v>
      </c>
      <c r="AC799" s="43">
        <f>VLOOKUP(Tabla1[[#This Row],[PAGO DIA]],DIAS!A:M,12,0)</f>
        <v>46386</v>
      </c>
      <c r="AD7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0" spans="1:30">
      <c r="A800" s="3">
        <v>11121</v>
      </c>
      <c r="B800" s="3" t="s">
        <v>538</v>
      </c>
      <c r="C800" s="3" t="s">
        <v>539</v>
      </c>
      <c r="D800" s="3" t="s">
        <v>540</v>
      </c>
      <c r="E800" s="3" t="s">
        <v>647</v>
      </c>
      <c r="F800" s="42" t="s">
        <v>631</v>
      </c>
      <c r="G800" s="3"/>
      <c r="H800" s="6">
        <v>0</v>
      </c>
      <c r="I800" s="41">
        <f>VLOOKUP(Tabla1[[#This Row],[PAGO DIA]],DIAS!A:B,2,0)</f>
        <v>46080</v>
      </c>
      <c r="J800" s="6">
        <v>0</v>
      </c>
      <c r="K800" s="43">
        <f>VLOOKUP(Tabla1[[#This Row],[PAGO DIA]],DIAS!A:C,3,0)</f>
        <v>46112</v>
      </c>
      <c r="L800" s="6">
        <v>0</v>
      </c>
      <c r="M800" s="41">
        <f>VLOOKUP(Tabla1[[#This Row],[PAGO DIA]],DIAS!A:D,4,0)</f>
        <v>46142</v>
      </c>
      <c r="N800" s="6">
        <v>0</v>
      </c>
      <c r="O800" s="43">
        <f>VLOOKUP(Tabla1[[#This Row],[PAGO DIA]],DIAS!A:E,5,0)</f>
        <v>46171</v>
      </c>
      <c r="P800" s="6">
        <v>0</v>
      </c>
      <c r="Q800" s="43">
        <f>VLOOKUP(Tabla1[[#This Row],[PAGO DIA]],DIAS!A:F,6,0)</f>
        <v>46203</v>
      </c>
      <c r="R800" s="6">
        <v>0</v>
      </c>
      <c r="S800" s="43">
        <f>VLOOKUP(Tabla1[[#This Row],[PAGO DIA]],DIAS!A:G,7,0)</f>
        <v>46234</v>
      </c>
      <c r="T800" s="6">
        <v>0</v>
      </c>
      <c r="U800" s="43">
        <f>VLOOKUP(Tabla1[[#This Row],[PAGO DIA]],DIAS!A:H,8,0)</f>
        <v>46265</v>
      </c>
      <c r="V800" s="6">
        <v>0</v>
      </c>
      <c r="W800" s="43">
        <f>VLOOKUP(Tabla1[[#This Row],[PAGO DIA]],DIAS!A:I,9,0)</f>
        <v>46295</v>
      </c>
      <c r="X800" s="6">
        <v>0</v>
      </c>
      <c r="Y800" s="43">
        <f>VLOOKUP(Tabla1[[#This Row],[PAGO DIA]],DIAS!A:J,10,0)</f>
        <v>46325</v>
      </c>
      <c r="Z800" s="6">
        <v>0</v>
      </c>
      <c r="AA800" s="43">
        <f>VLOOKUP(Tabla1[[#This Row],[PAGO DIA]],DIAS!A:K,11,0)</f>
        <v>46356</v>
      </c>
      <c r="AB800" s="6">
        <v>0</v>
      </c>
      <c r="AC800" s="43">
        <f>VLOOKUP(Tabla1[[#This Row],[PAGO DIA]],DIAS!A:M,12,0)</f>
        <v>46386</v>
      </c>
      <c r="AD8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1" spans="1:30">
      <c r="A801" s="3">
        <v>11254</v>
      </c>
      <c r="B801" s="3" t="s">
        <v>538</v>
      </c>
      <c r="C801" s="3" t="s">
        <v>539</v>
      </c>
      <c r="D801" s="3" t="s">
        <v>540</v>
      </c>
      <c r="E801" s="3" t="s">
        <v>647</v>
      </c>
      <c r="F801" s="42" t="s">
        <v>631</v>
      </c>
      <c r="G801" s="3"/>
      <c r="H801" s="6">
        <v>0</v>
      </c>
      <c r="I801" s="41">
        <f>VLOOKUP(Tabla1[[#This Row],[PAGO DIA]],DIAS!A:B,2,0)</f>
        <v>46080</v>
      </c>
      <c r="J801" s="6">
        <v>0</v>
      </c>
      <c r="K801" s="43">
        <f>VLOOKUP(Tabla1[[#This Row],[PAGO DIA]],DIAS!A:C,3,0)</f>
        <v>46112</v>
      </c>
      <c r="L801" s="6">
        <v>0</v>
      </c>
      <c r="M801" s="41">
        <f>VLOOKUP(Tabla1[[#This Row],[PAGO DIA]],DIAS!A:D,4,0)</f>
        <v>46142</v>
      </c>
      <c r="N801" s="6">
        <v>0</v>
      </c>
      <c r="O801" s="43">
        <f>VLOOKUP(Tabla1[[#This Row],[PAGO DIA]],DIAS!A:E,5,0)</f>
        <v>46171</v>
      </c>
      <c r="P801" s="6">
        <v>0</v>
      </c>
      <c r="Q801" s="43">
        <f>VLOOKUP(Tabla1[[#This Row],[PAGO DIA]],DIAS!A:F,6,0)</f>
        <v>46203</v>
      </c>
      <c r="R801" s="6">
        <v>0</v>
      </c>
      <c r="S801" s="43">
        <f>VLOOKUP(Tabla1[[#This Row],[PAGO DIA]],DIAS!A:G,7,0)</f>
        <v>46234</v>
      </c>
      <c r="T801" s="6">
        <v>0</v>
      </c>
      <c r="U801" s="43">
        <f>VLOOKUP(Tabla1[[#This Row],[PAGO DIA]],DIAS!A:H,8,0)</f>
        <v>46265</v>
      </c>
      <c r="V801" s="6">
        <v>0</v>
      </c>
      <c r="W801" s="43">
        <f>VLOOKUP(Tabla1[[#This Row],[PAGO DIA]],DIAS!A:I,9,0)</f>
        <v>46295</v>
      </c>
      <c r="X801" s="6">
        <v>0</v>
      </c>
      <c r="Y801" s="43">
        <f>VLOOKUP(Tabla1[[#This Row],[PAGO DIA]],DIAS!A:J,10,0)</f>
        <v>46325</v>
      </c>
      <c r="Z801" s="6">
        <v>0</v>
      </c>
      <c r="AA801" s="43">
        <f>VLOOKUP(Tabla1[[#This Row],[PAGO DIA]],DIAS!A:K,11,0)</f>
        <v>46356</v>
      </c>
      <c r="AB801" s="6">
        <v>0</v>
      </c>
      <c r="AC801" s="43">
        <f>VLOOKUP(Tabla1[[#This Row],[PAGO DIA]],DIAS!A:M,12,0)</f>
        <v>46386</v>
      </c>
      <c r="AD8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2" spans="1:30">
      <c r="A802" s="3">
        <v>11343</v>
      </c>
      <c r="B802" s="3" t="s">
        <v>538</v>
      </c>
      <c r="C802" s="3" t="s">
        <v>539</v>
      </c>
      <c r="D802" s="3" t="s">
        <v>540</v>
      </c>
      <c r="E802" s="3" t="s">
        <v>647</v>
      </c>
      <c r="F802" s="42" t="s">
        <v>631</v>
      </c>
      <c r="G802" s="3"/>
      <c r="H802" s="6">
        <v>0</v>
      </c>
      <c r="I802" s="41">
        <f>VLOOKUP(Tabla1[[#This Row],[PAGO DIA]],DIAS!A:B,2,0)</f>
        <v>46080</v>
      </c>
      <c r="J802" s="6">
        <v>0</v>
      </c>
      <c r="K802" s="43">
        <f>VLOOKUP(Tabla1[[#This Row],[PAGO DIA]],DIAS!A:C,3,0)</f>
        <v>46112</v>
      </c>
      <c r="L802" s="6">
        <v>0</v>
      </c>
      <c r="M802" s="41">
        <f>VLOOKUP(Tabla1[[#This Row],[PAGO DIA]],DIAS!A:D,4,0)</f>
        <v>46142</v>
      </c>
      <c r="N802" s="6">
        <v>0</v>
      </c>
      <c r="O802" s="43">
        <f>VLOOKUP(Tabla1[[#This Row],[PAGO DIA]],DIAS!A:E,5,0)</f>
        <v>46171</v>
      </c>
      <c r="P802" s="6">
        <v>0</v>
      </c>
      <c r="Q802" s="43">
        <f>VLOOKUP(Tabla1[[#This Row],[PAGO DIA]],DIAS!A:F,6,0)</f>
        <v>46203</v>
      </c>
      <c r="R802" s="6">
        <v>0</v>
      </c>
      <c r="S802" s="43">
        <f>VLOOKUP(Tabla1[[#This Row],[PAGO DIA]],DIAS!A:G,7,0)</f>
        <v>46234</v>
      </c>
      <c r="T802" s="6">
        <v>0</v>
      </c>
      <c r="U802" s="43">
        <f>VLOOKUP(Tabla1[[#This Row],[PAGO DIA]],DIAS!A:H,8,0)</f>
        <v>46265</v>
      </c>
      <c r="V802" s="6">
        <v>0</v>
      </c>
      <c r="W802" s="43">
        <f>VLOOKUP(Tabla1[[#This Row],[PAGO DIA]],DIAS!A:I,9,0)</f>
        <v>46295</v>
      </c>
      <c r="X802" s="6">
        <v>0</v>
      </c>
      <c r="Y802" s="43">
        <f>VLOOKUP(Tabla1[[#This Row],[PAGO DIA]],DIAS!A:J,10,0)</f>
        <v>46325</v>
      </c>
      <c r="Z802" s="6">
        <v>0</v>
      </c>
      <c r="AA802" s="43">
        <f>VLOOKUP(Tabla1[[#This Row],[PAGO DIA]],DIAS!A:K,11,0)</f>
        <v>46356</v>
      </c>
      <c r="AB802" s="6">
        <v>0</v>
      </c>
      <c r="AC802" s="43">
        <f>VLOOKUP(Tabla1[[#This Row],[PAGO DIA]],DIAS!A:M,12,0)</f>
        <v>46386</v>
      </c>
      <c r="AD8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3" spans="1:30">
      <c r="A803" s="3">
        <v>11208</v>
      </c>
      <c r="B803" s="3" t="s">
        <v>538</v>
      </c>
      <c r="C803" s="3" t="s">
        <v>539</v>
      </c>
      <c r="D803" s="3" t="s">
        <v>540</v>
      </c>
      <c r="E803" s="3" t="s">
        <v>656</v>
      </c>
      <c r="F803" s="42" t="s">
        <v>631</v>
      </c>
      <c r="G803" s="3"/>
      <c r="H803" s="6">
        <v>0</v>
      </c>
      <c r="I803" s="41">
        <f>VLOOKUP(Tabla1[[#This Row],[PAGO DIA]],DIAS!A:B,2,0)</f>
        <v>46080</v>
      </c>
      <c r="J803" s="6">
        <v>0</v>
      </c>
      <c r="K803" s="43">
        <f>VLOOKUP(Tabla1[[#This Row],[PAGO DIA]],DIAS!A:C,3,0)</f>
        <v>46112</v>
      </c>
      <c r="L803" s="6">
        <v>0</v>
      </c>
      <c r="M803" s="41">
        <f>VLOOKUP(Tabla1[[#This Row],[PAGO DIA]],DIAS!A:D,4,0)</f>
        <v>46142</v>
      </c>
      <c r="N803" s="6">
        <v>0</v>
      </c>
      <c r="O803" s="43">
        <f>VLOOKUP(Tabla1[[#This Row],[PAGO DIA]],DIAS!A:E,5,0)</f>
        <v>46171</v>
      </c>
      <c r="P803" s="6">
        <v>0</v>
      </c>
      <c r="Q803" s="43">
        <f>VLOOKUP(Tabla1[[#This Row],[PAGO DIA]],DIAS!A:F,6,0)</f>
        <v>46203</v>
      </c>
      <c r="R803" s="6">
        <v>0</v>
      </c>
      <c r="S803" s="43">
        <f>VLOOKUP(Tabla1[[#This Row],[PAGO DIA]],DIAS!A:G,7,0)</f>
        <v>46234</v>
      </c>
      <c r="T803" s="6">
        <v>0</v>
      </c>
      <c r="U803" s="43">
        <f>VLOOKUP(Tabla1[[#This Row],[PAGO DIA]],DIAS!A:H,8,0)</f>
        <v>46265</v>
      </c>
      <c r="V803" s="6">
        <v>0</v>
      </c>
      <c r="W803" s="43">
        <f>VLOOKUP(Tabla1[[#This Row],[PAGO DIA]],DIAS!A:I,9,0)</f>
        <v>46295</v>
      </c>
      <c r="X803" s="6">
        <v>0</v>
      </c>
      <c r="Y803" s="43">
        <f>VLOOKUP(Tabla1[[#This Row],[PAGO DIA]],DIAS!A:J,10,0)</f>
        <v>46325</v>
      </c>
      <c r="Z803" s="6">
        <v>0</v>
      </c>
      <c r="AA803" s="43">
        <f>VLOOKUP(Tabla1[[#This Row],[PAGO DIA]],DIAS!A:K,11,0)</f>
        <v>46356</v>
      </c>
      <c r="AB803" s="6">
        <v>0</v>
      </c>
      <c r="AC803" s="43">
        <f>VLOOKUP(Tabla1[[#This Row],[PAGO DIA]],DIAS!A:M,12,0)</f>
        <v>46386</v>
      </c>
      <c r="AD8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4" spans="1:30">
      <c r="A804" s="3">
        <v>11460</v>
      </c>
      <c r="B804" s="3" t="s">
        <v>538</v>
      </c>
      <c r="C804" s="3" t="s">
        <v>540</v>
      </c>
      <c r="D804" s="3" t="s">
        <v>540</v>
      </c>
      <c r="E804" s="3" t="s">
        <v>656</v>
      </c>
      <c r="F804" s="42" t="s">
        <v>631</v>
      </c>
      <c r="G804" s="3" t="s">
        <v>1413</v>
      </c>
      <c r="H804" s="6">
        <v>0</v>
      </c>
      <c r="I804" s="41">
        <f>VLOOKUP(Tabla1[[#This Row],[PAGO DIA]],DIAS!A:B,2,0)</f>
        <v>46080</v>
      </c>
      <c r="J804" s="6">
        <v>0</v>
      </c>
      <c r="K804" s="43">
        <f>VLOOKUP(Tabla1[[#This Row],[PAGO DIA]],DIAS!A:C,3,0)</f>
        <v>46112</v>
      </c>
      <c r="L804" s="6">
        <v>0</v>
      </c>
      <c r="M804" s="41">
        <f>VLOOKUP(Tabla1[[#This Row],[PAGO DIA]],DIAS!A:D,4,0)</f>
        <v>46142</v>
      </c>
      <c r="N804" s="6">
        <v>0</v>
      </c>
      <c r="O804" s="43">
        <f>VLOOKUP(Tabla1[[#This Row],[PAGO DIA]],DIAS!A:E,5,0)</f>
        <v>46171</v>
      </c>
      <c r="P804" s="6">
        <v>0</v>
      </c>
      <c r="Q804" s="43">
        <f>VLOOKUP(Tabla1[[#This Row],[PAGO DIA]],DIAS!A:F,6,0)</f>
        <v>46203</v>
      </c>
      <c r="R804" s="6">
        <v>0</v>
      </c>
      <c r="S804" s="43">
        <f>VLOOKUP(Tabla1[[#This Row],[PAGO DIA]],DIAS!A:G,7,0)</f>
        <v>46234</v>
      </c>
      <c r="T804" s="6">
        <v>0</v>
      </c>
      <c r="U804" s="43">
        <f>VLOOKUP(Tabla1[[#This Row],[PAGO DIA]],DIAS!A:H,8,0)</f>
        <v>46265</v>
      </c>
      <c r="V804" s="6">
        <v>0</v>
      </c>
      <c r="W804" s="43">
        <f>VLOOKUP(Tabla1[[#This Row],[PAGO DIA]],DIAS!A:I,9,0)</f>
        <v>46295</v>
      </c>
      <c r="X804" s="6">
        <v>0</v>
      </c>
      <c r="Y804" s="43">
        <f>VLOOKUP(Tabla1[[#This Row],[PAGO DIA]],DIAS!A:J,10,0)</f>
        <v>46325</v>
      </c>
      <c r="Z804" s="6">
        <v>0</v>
      </c>
      <c r="AA804" s="43">
        <f>VLOOKUP(Tabla1[[#This Row],[PAGO DIA]],DIAS!A:K,11,0)</f>
        <v>46356</v>
      </c>
      <c r="AB804" s="6">
        <v>0</v>
      </c>
      <c r="AC804" s="43">
        <f>VLOOKUP(Tabla1[[#This Row],[PAGO DIA]],DIAS!A:M,12,0)</f>
        <v>46386</v>
      </c>
      <c r="AD8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5" spans="1:30">
      <c r="A805" s="3">
        <v>11461</v>
      </c>
      <c r="B805" s="3" t="s">
        <v>538</v>
      </c>
      <c r="C805" s="3" t="s">
        <v>540</v>
      </c>
      <c r="D805" s="3" t="s">
        <v>540</v>
      </c>
      <c r="E805" s="3" t="s">
        <v>656</v>
      </c>
      <c r="F805" s="42" t="s">
        <v>631</v>
      </c>
      <c r="G805" s="3" t="s">
        <v>1414</v>
      </c>
      <c r="H805" s="6">
        <v>0</v>
      </c>
      <c r="I805" s="41">
        <f>VLOOKUP(Tabla1[[#This Row],[PAGO DIA]],DIAS!A:B,2,0)</f>
        <v>46080</v>
      </c>
      <c r="J805" s="6">
        <v>0</v>
      </c>
      <c r="K805" s="43">
        <f>VLOOKUP(Tabla1[[#This Row],[PAGO DIA]],DIAS!A:C,3,0)</f>
        <v>46112</v>
      </c>
      <c r="L805" s="6">
        <v>0</v>
      </c>
      <c r="M805" s="41">
        <f>VLOOKUP(Tabla1[[#This Row],[PAGO DIA]],DIAS!A:D,4,0)</f>
        <v>46142</v>
      </c>
      <c r="N805" s="6">
        <v>0</v>
      </c>
      <c r="O805" s="43">
        <f>VLOOKUP(Tabla1[[#This Row],[PAGO DIA]],DIAS!A:E,5,0)</f>
        <v>46171</v>
      </c>
      <c r="P805" s="6">
        <v>0</v>
      </c>
      <c r="Q805" s="43">
        <f>VLOOKUP(Tabla1[[#This Row],[PAGO DIA]],DIAS!A:F,6,0)</f>
        <v>46203</v>
      </c>
      <c r="R805" s="6">
        <v>0</v>
      </c>
      <c r="S805" s="43">
        <f>VLOOKUP(Tabla1[[#This Row],[PAGO DIA]],DIAS!A:G,7,0)</f>
        <v>46234</v>
      </c>
      <c r="T805" s="6">
        <v>0</v>
      </c>
      <c r="U805" s="43">
        <f>VLOOKUP(Tabla1[[#This Row],[PAGO DIA]],DIAS!A:H,8,0)</f>
        <v>46265</v>
      </c>
      <c r="V805" s="6">
        <v>0</v>
      </c>
      <c r="W805" s="43">
        <f>VLOOKUP(Tabla1[[#This Row],[PAGO DIA]],DIAS!A:I,9,0)</f>
        <v>46295</v>
      </c>
      <c r="X805" s="6">
        <v>0</v>
      </c>
      <c r="Y805" s="43">
        <f>VLOOKUP(Tabla1[[#This Row],[PAGO DIA]],DIAS!A:J,10,0)</f>
        <v>46325</v>
      </c>
      <c r="Z805" s="6">
        <v>0</v>
      </c>
      <c r="AA805" s="43">
        <f>VLOOKUP(Tabla1[[#This Row],[PAGO DIA]],DIAS!A:K,11,0)</f>
        <v>46356</v>
      </c>
      <c r="AB805" s="6">
        <v>0</v>
      </c>
      <c r="AC805" s="43">
        <f>VLOOKUP(Tabla1[[#This Row],[PAGO DIA]],DIAS!A:M,12,0)</f>
        <v>46386</v>
      </c>
      <c r="AD8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6" spans="1:30">
      <c r="A806" s="3">
        <v>11084</v>
      </c>
      <c r="B806" s="3" t="s">
        <v>538</v>
      </c>
      <c r="C806" s="3" t="s">
        <v>539</v>
      </c>
      <c r="D806" s="3" t="s">
        <v>540</v>
      </c>
      <c r="E806" s="3" t="s">
        <v>661</v>
      </c>
      <c r="F806" s="42" t="s">
        <v>631</v>
      </c>
      <c r="G806" s="3"/>
      <c r="H806" s="6">
        <v>0</v>
      </c>
      <c r="I806" s="41">
        <f>VLOOKUP(Tabla1[[#This Row],[PAGO DIA]],DIAS!A:B,2,0)</f>
        <v>46080</v>
      </c>
      <c r="J806" s="6">
        <v>0</v>
      </c>
      <c r="K806" s="43">
        <f>VLOOKUP(Tabla1[[#This Row],[PAGO DIA]],DIAS!A:C,3,0)</f>
        <v>46112</v>
      </c>
      <c r="L806" s="6">
        <v>0</v>
      </c>
      <c r="M806" s="41">
        <f>VLOOKUP(Tabla1[[#This Row],[PAGO DIA]],DIAS!A:D,4,0)</f>
        <v>46142</v>
      </c>
      <c r="N806" s="6">
        <v>0</v>
      </c>
      <c r="O806" s="43">
        <f>VLOOKUP(Tabla1[[#This Row],[PAGO DIA]],DIAS!A:E,5,0)</f>
        <v>46171</v>
      </c>
      <c r="P806" s="6">
        <v>0</v>
      </c>
      <c r="Q806" s="43">
        <f>VLOOKUP(Tabla1[[#This Row],[PAGO DIA]],DIAS!A:F,6,0)</f>
        <v>46203</v>
      </c>
      <c r="R806" s="6">
        <v>0</v>
      </c>
      <c r="S806" s="43">
        <f>VLOOKUP(Tabla1[[#This Row],[PAGO DIA]],DIAS!A:G,7,0)</f>
        <v>46234</v>
      </c>
      <c r="T806" s="6">
        <v>0</v>
      </c>
      <c r="U806" s="43">
        <f>VLOOKUP(Tabla1[[#This Row],[PAGO DIA]],DIAS!A:H,8,0)</f>
        <v>46265</v>
      </c>
      <c r="V806" s="6">
        <v>0</v>
      </c>
      <c r="W806" s="43">
        <f>VLOOKUP(Tabla1[[#This Row],[PAGO DIA]],DIAS!A:I,9,0)</f>
        <v>46295</v>
      </c>
      <c r="X806" s="6">
        <v>0</v>
      </c>
      <c r="Y806" s="43">
        <f>VLOOKUP(Tabla1[[#This Row],[PAGO DIA]],DIAS!A:J,10,0)</f>
        <v>46325</v>
      </c>
      <c r="Z806" s="6">
        <v>0</v>
      </c>
      <c r="AA806" s="43">
        <f>VLOOKUP(Tabla1[[#This Row],[PAGO DIA]],DIAS!A:K,11,0)</f>
        <v>46356</v>
      </c>
      <c r="AB806" s="6">
        <v>0</v>
      </c>
      <c r="AC806" s="43">
        <f>VLOOKUP(Tabla1[[#This Row],[PAGO DIA]],DIAS!A:M,12,0)</f>
        <v>46386</v>
      </c>
      <c r="AD8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7" spans="1:30">
      <c r="A807" s="3">
        <v>11131</v>
      </c>
      <c r="B807" s="3" t="s">
        <v>538</v>
      </c>
      <c r="C807" s="3" t="s">
        <v>539</v>
      </c>
      <c r="D807" s="3" t="s">
        <v>540</v>
      </c>
      <c r="E807" s="3" t="s">
        <v>661</v>
      </c>
      <c r="F807" s="42" t="s">
        <v>631</v>
      </c>
      <c r="G807" s="3"/>
      <c r="H807" s="6">
        <v>0</v>
      </c>
      <c r="I807" s="41">
        <f>VLOOKUP(Tabla1[[#This Row],[PAGO DIA]],DIAS!A:B,2,0)</f>
        <v>46080</v>
      </c>
      <c r="J807" s="6">
        <v>0</v>
      </c>
      <c r="K807" s="43">
        <f>VLOOKUP(Tabla1[[#This Row],[PAGO DIA]],DIAS!A:C,3,0)</f>
        <v>46112</v>
      </c>
      <c r="L807" s="6">
        <v>0</v>
      </c>
      <c r="M807" s="41">
        <f>VLOOKUP(Tabla1[[#This Row],[PAGO DIA]],DIAS!A:D,4,0)</f>
        <v>46142</v>
      </c>
      <c r="N807" s="6">
        <v>0</v>
      </c>
      <c r="O807" s="43">
        <f>VLOOKUP(Tabla1[[#This Row],[PAGO DIA]],DIAS!A:E,5,0)</f>
        <v>46171</v>
      </c>
      <c r="P807" s="6">
        <v>0</v>
      </c>
      <c r="Q807" s="43">
        <f>VLOOKUP(Tabla1[[#This Row],[PAGO DIA]],DIAS!A:F,6,0)</f>
        <v>46203</v>
      </c>
      <c r="R807" s="6">
        <v>0</v>
      </c>
      <c r="S807" s="43">
        <f>VLOOKUP(Tabla1[[#This Row],[PAGO DIA]],DIAS!A:G,7,0)</f>
        <v>46234</v>
      </c>
      <c r="T807" s="6">
        <v>0</v>
      </c>
      <c r="U807" s="43">
        <f>VLOOKUP(Tabla1[[#This Row],[PAGO DIA]],DIAS!A:H,8,0)</f>
        <v>46265</v>
      </c>
      <c r="V807" s="6">
        <v>0</v>
      </c>
      <c r="W807" s="43">
        <f>VLOOKUP(Tabla1[[#This Row],[PAGO DIA]],DIAS!A:I,9,0)</f>
        <v>46295</v>
      </c>
      <c r="X807" s="6">
        <v>0</v>
      </c>
      <c r="Y807" s="43">
        <f>VLOOKUP(Tabla1[[#This Row],[PAGO DIA]],DIAS!A:J,10,0)</f>
        <v>46325</v>
      </c>
      <c r="Z807" s="6">
        <v>0</v>
      </c>
      <c r="AA807" s="43">
        <f>VLOOKUP(Tabla1[[#This Row],[PAGO DIA]],DIAS!A:K,11,0)</f>
        <v>46356</v>
      </c>
      <c r="AB807" s="6">
        <v>0</v>
      </c>
      <c r="AC807" s="43">
        <f>VLOOKUP(Tabla1[[#This Row],[PAGO DIA]],DIAS!A:M,12,0)</f>
        <v>46386</v>
      </c>
      <c r="AD8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8" spans="1:30">
      <c r="A808" s="3">
        <v>11344</v>
      </c>
      <c r="B808" s="3" t="s">
        <v>538</v>
      </c>
      <c r="C808" s="3" t="s">
        <v>539</v>
      </c>
      <c r="D808" s="3" t="s">
        <v>540</v>
      </c>
      <c r="E808" s="3" t="s">
        <v>661</v>
      </c>
      <c r="F808" s="42" t="s">
        <v>631</v>
      </c>
      <c r="G808" s="3"/>
      <c r="H808" s="6">
        <v>0</v>
      </c>
      <c r="I808" s="41">
        <f>VLOOKUP(Tabla1[[#This Row],[PAGO DIA]],DIAS!A:B,2,0)</f>
        <v>46080</v>
      </c>
      <c r="J808" s="6">
        <v>0</v>
      </c>
      <c r="K808" s="43">
        <f>VLOOKUP(Tabla1[[#This Row],[PAGO DIA]],DIAS!A:C,3,0)</f>
        <v>46112</v>
      </c>
      <c r="L808" s="6">
        <v>0</v>
      </c>
      <c r="M808" s="41">
        <f>VLOOKUP(Tabla1[[#This Row],[PAGO DIA]],DIAS!A:D,4,0)</f>
        <v>46142</v>
      </c>
      <c r="N808" s="6">
        <v>0</v>
      </c>
      <c r="O808" s="43">
        <f>VLOOKUP(Tabla1[[#This Row],[PAGO DIA]],DIAS!A:E,5,0)</f>
        <v>46171</v>
      </c>
      <c r="P808" s="6">
        <v>0</v>
      </c>
      <c r="Q808" s="43">
        <f>VLOOKUP(Tabla1[[#This Row],[PAGO DIA]],DIAS!A:F,6,0)</f>
        <v>46203</v>
      </c>
      <c r="R808" s="6">
        <v>0</v>
      </c>
      <c r="S808" s="43">
        <f>VLOOKUP(Tabla1[[#This Row],[PAGO DIA]],DIAS!A:G,7,0)</f>
        <v>46234</v>
      </c>
      <c r="T808" s="6">
        <v>0</v>
      </c>
      <c r="U808" s="43">
        <f>VLOOKUP(Tabla1[[#This Row],[PAGO DIA]],DIAS!A:H,8,0)</f>
        <v>46265</v>
      </c>
      <c r="V808" s="6">
        <v>0</v>
      </c>
      <c r="W808" s="43">
        <f>VLOOKUP(Tabla1[[#This Row],[PAGO DIA]],DIAS!A:I,9,0)</f>
        <v>46295</v>
      </c>
      <c r="X808" s="6">
        <v>0</v>
      </c>
      <c r="Y808" s="43">
        <f>VLOOKUP(Tabla1[[#This Row],[PAGO DIA]],DIAS!A:J,10,0)</f>
        <v>46325</v>
      </c>
      <c r="Z808" s="6">
        <v>0</v>
      </c>
      <c r="AA808" s="43">
        <f>VLOOKUP(Tabla1[[#This Row],[PAGO DIA]],DIAS!A:K,11,0)</f>
        <v>46356</v>
      </c>
      <c r="AB808" s="6">
        <v>0</v>
      </c>
      <c r="AC808" s="43">
        <f>VLOOKUP(Tabla1[[#This Row],[PAGO DIA]],DIAS!A:M,12,0)</f>
        <v>46386</v>
      </c>
      <c r="AD8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09" spans="1:30">
      <c r="A809" s="3">
        <v>11371</v>
      </c>
      <c r="B809" s="3" t="s">
        <v>538</v>
      </c>
      <c r="C809" s="3" t="s">
        <v>539</v>
      </c>
      <c r="D809" s="3" t="s">
        <v>540</v>
      </c>
      <c r="E809" s="3" t="s">
        <v>661</v>
      </c>
      <c r="F809" s="42" t="s">
        <v>631</v>
      </c>
      <c r="G809" s="3"/>
      <c r="H809" s="6">
        <v>0</v>
      </c>
      <c r="I809" s="41">
        <f>VLOOKUP(Tabla1[[#This Row],[PAGO DIA]],DIAS!A:B,2,0)</f>
        <v>46080</v>
      </c>
      <c r="J809" s="6">
        <v>0</v>
      </c>
      <c r="K809" s="43">
        <f>VLOOKUP(Tabla1[[#This Row],[PAGO DIA]],DIAS!A:C,3,0)</f>
        <v>46112</v>
      </c>
      <c r="L809" s="6">
        <v>0</v>
      </c>
      <c r="M809" s="41">
        <f>VLOOKUP(Tabla1[[#This Row],[PAGO DIA]],DIAS!A:D,4,0)</f>
        <v>46142</v>
      </c>
      <c r="N809" s="6">
        <v>0</v>
      </c>
      <c r="O809" s="43">
        <f>VLOOKUP(Tabla1[[#This Row],[PAGO DIA]],DIAS!A:E,5,0)</f>
        <v>46171</v>
      </c>
      <c r="P809" s="6">
        <v>0</v>
      </c>
      <c r="Q809" s="43">
        <f>VLOOKUP(Tabla1[[#This Row],[PAGO DIA]],DIAS!A:F,6,0)</f>
        <v>46203</v>
      </c>
      <c r="R809" s="6">
        <v>0</v>
      </c>
      <c r="S809" s="43">
        <f>VLOOKUP(Tabla1[[#This Row],[PAGO DIA]],DIAS!A:G,7,0)</f>
        <v>46234</v>
      </c>
      <c r="T809" s="6">
        <v>0</v>
      </c>
      <c r="U809" s="43">
        <f>VLOOKUP(Tabla1[[#This Row],[PAGO DIA]],DIAS!A:H,8,0)</f>
        <v>46265</v>
      </c>
      <c r="V809" s="6">
        <v>0</v>
      </c>
      <c r="W809" s="43">
        <f>VLOOKUP(Tabla1[[#This Row],[PAGO DIA]],DIAS!A:I,9,0)</f>
        <v>46295</v>
      </c>
      <c r="X809" s="6">
        <v>0</v>
      </c>
      <c r="Y809" s="43">
        <f>VLOOKUP(Tabla1[[#This Row],[PAGO DIA]],DIAS!A:J,10,0)</f>
        <v>46325</v>
      </c>
      <c r="Z809" s="6">
        <v>0</v>
      </c>
      <c r="AA809" s="43">
        <f>VLOOKUP(Tabla1[[#This Row],[PAGO DIA]],DIAS!A:K,11,0)</f>
        <v>46356</v>
      </c>
      <c r="AB809" s="6">
        <v>0</v>
      </c>
      <c r="AC809" s="43">
        <f>VLOOKUP(Tabla1[[#This Row],[PAGO DIA]],DIAS!A:M,12,0)</f>
        <v>46386</v>
      </c>
      <c r="AD8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0" spans="1:30">
      <c r="A810" s="3">
        <v>11045</v>
      </c>
      <c r="B810" s="3" t="s">
        <v>538</v>
      </c>
      <c r="C810" s="3" t="s">
        <v>539</v>
      </c>
      <c r="D810" s="3" t="s">
        <v>540</v>
      </c>
      <c r="E810" s="3" t="s">
        <v>1228</v>
      </c>
      <c r="F810" s="42" t="s">
        <v>631</v>
      </c>
      <c r="G810" s="3"/>
      <c r="H810" s="6">
        <v>0</v>
      </c>
      <c r="I810" s="41">
        <f>VLOOKUP(Tabla1[[#This Row],[PAGO DIA]],DIAS!A:B,2,0)</f>
        <v>46080</v>
      </c>
      <c r="J810" s="6">
        <v>0</v>
      </c>
      <c r="K810" s="43">
        <f>VLOOKUP(Tabla1[[#This Row],[PAGO DIA]],DIAS!A:C,3,0)</f>
        <v>46112</v>
      </c>
      <c r="L810" s="6">
        <v>0</v>
      </c>
      <c r="M810" s="41">
        <f>VLOOKUP(Tabla1[[#This Row],[PAGO DIA]],DIAS!A:D,4,0)</f>
        <v>46142</v>
      </c>
      <c r="N810" s="6">
        <v>0</v>
      </c>
      <c r="O810" s="43">
        <f>VLOOKUP(Tabla1[[#This Row],[PAGO DIA]],DIAS!A:E,5,0)</f>
        <v>46171</v>
      </c>
      <c r="P810" s="6">
        <v>0</v>
      </c>
      <c r="Q810" s="43">
        <f>VLOOKUP(Tabla1[[#This Row],[PAGO DIA]],DIAS!A:F,6,0)</f>
        <v>46203</v>
      </c>
      <c r="R810" s="6">
        <v>0</v>
      </c>
      <c r="S810" s="43">
        <f>VLOOKUP(Tabla1[[#This Row],[PAGO DIA]],DIAS!A:G,7,0)</f>
        <v>46234</v>
      </c>
      <c r="T810" s="6">
        <v>0</v>
      </c>
      <c r="U810" s="43">
        <f>VLOOKUP(Tabla1[[#This Row],[PAGO DIA]],DIAS!A:H,8,0)</f>
        <v>46265</v>
      </c>
      <c r="V810" s="6">
        <v>0</v>
      </c>
      <c r="W810" s="43">
        <f>VLOOKUP(Tabla1[[#This Row],[PAGO DIA]],DIAS!A:I,9,0)</f>
        <v>46295</v>
      </c>
      <c r="X810" s="6">
        <v>0</v>
      </c>
      <c r="Y810" s="43">
        <f>VLOOKUP(Tabla1[[#This Row],[PAGO DIA]],DIAS!A:J,10,0)</f>
        <v>46325</v>
      </c>
      <c r="Z810" s="6">
        <v>0</v>
      </c>
      <c r="AA810" s="43">
        <f>VLOOKUP(Tabla1[[#This Row],[PAGO DIA]],DIAS!A:K,11,0)</f>
        <v>46356</v>
      </c>
      <c r="AB810" s="6">
        <v>0</v>
      </c>
      <c r="AC810" s="43">
        <f>VLOOKUP(Tabla1[[#This Row],[PAGO DIA]],DIAS!A:M,12,0)</f>
        <v>46386</v>
      </c>
      <c r="AD8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1" spans="1:30">
      <c r="A811" s="3">
        <v>11287</v>
      </c>
      <c r="B811" s="3" t="s">
        <v>538</v>
      </c>
      <c r="C811" s="3" t="s">
        <v>539</v>
      </c>
      <c r="D811" s="3" t="s">
        <v>540</v>
      </c>
      <c r="E811" s="3" t="s">
        <v>1228</v>
      </c>
      <c r="F811" s="42" t="s">
        <v>631</v>
      </c>
      <c r="G811" s="3"/>
      <c r="H811" s="6">
        <v>0</v>
      </c>
      <c r="I811" s="41">
        <f>VLOOKUP(Tabla1[[#This Row],[PAGO DIA]],DIAS!A:B,2,0)</f>
        <v>46080</v>
      </c>
      <c r="J811" s="6">
        <v>0</v>
      </c>
      <c r="K811" s="43">
        <f>VLOOKUP(Tabla1[[#This Row],[PAGO DIA]],DIAS!A:C,3,0)</f>
        <v>46112</v>
      </c>
      <c r="L811" s="6">
        <v>0</v>
      </c>
      <c r="M811" s="41">
        <f>VLOOKUP(Tabla1[[#This Row],[PAGO DIA]],DIAS!A:D,4,0)</f>
        <v>46142</v>
      </c>
      <c r="N811" s="6">
        <v>0</v>
      </c>
      <c r="O811" s="43">
        <f>VLOOKUP(Tabla1[[#This Row],[PAGO DIA]],DIAS!A:E,5,0)</f>
        <v>46171</v>
      </c>
      <c r="P811" s="6">
        <v>0</v>
      </c>
      <c r="Q811" s="43">
        <f>VLOOKUP(Tabla1[[#This Row],[PAGO DIA]],DIAS!A:F,6,0)</f>
        <v>46203</v>
      </c>
      <c r="R811" s="6">
        <v>0</v>
      </c>
      <c r="S811" s="43">
        <f>VLOOKUP(Tabla1[[#This Row],[PAGO DIA]],DIAS!A:G,7,0)</f>
        <v>46234</v>
      </c>
      <c r="T811" s="6">
        <v>0</v>
      </c>
      <c r="U811" s="43">
        <f>VLOOKUP(Tabla1[[#This Row],[PAGO DIA]],DIAS!A:H,8,0)</f>
        <v>46265</v>
      </c>
      <c r="V811" s="6">
        <v>0</v>
      </c>
      <c r="W811" s="43">
        <f>VLOOKUP(Tabla1[[#This Row],[PAGO DIA]],DIAS!A:I,9,0)</f>
        <v>46295</v>
      </c>
      <c r="X811" s="6">
        <v>0</v>
      </c>
      <c r="Y811" s="43">
        <f>VLOOKUP(Tabla1[[#This Row],[PAGO DIA]],DIAS!A:J,10,0)</f>
        <v>46325</v>
      </c>
      <c r="Z811" s="6">
        <v>0</v>
      </c>
      <c r="AA811" s="43">
        <f>VLOOKUP(Tabla1[[#This Row],[PAGO DIA]],DIAS!A:K,11,0)</f>
        <v>46356</v>
      </c>
      <c r="AB811" s="6">
        <v>0</v>
      </c>
      <c r="AC811" s="43">
        <f>VLOOKUP(Tabla1[[#This Row],[PAGO DIA]],DIAS!A:M,12,0)</f>
        <v>46386</v>
      </c>
      <c r="AD8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2" spans="1:30">
      <c r="A812" s="3">
        <v>11020</v>
      </c>
      <c r="B812" s="3" t="s">
        <v>538</v>
      </c>
      <c r="C812" s="3" t="s">
        <v>539</v>
      </c>
      <c r="D812" s="3" t="s">
        <v>540</v>
      </c>
      <c r="E812" s="3" t="s">
        <v>1415</v>
      </c>
      <c r="F812" s="42" t="s">
        <v>631</v>
      </c>
      <c r="G812" s="3"/>
      <c r="H812" s="6">
        <v>0</v>
      </c>
      <c r="I812" s="41">
        <f>VLOOKUP(Tabla1[[#This Row],[PAGO DIA]],DIAS!A:B,2,0)</f>
        <v>46080</v>
      </c>
      <c r="J812" s="6">
        <v>0</v>
      </c>
      <c r="K812" s="43">
        <f>VLOOKUP(Tabla1[[#This Row],[PAGO DIA]],DIAS!A:C,3,0)</f>
        <v>46112</v>
      </c>
      <c r="L812" s="6">
        <v>0</v>
      </c>
      <c r="M812" s="41">
        <f>VLOOKUP(Tabla1[[#This Row],[PAGO DIA]],DIAS!A:D,4,0)</f>
        <v>46142</v>
      </c>
      <c r="N812" s="6">
        <v>0</v>
      </c>
      <c r="O812" s="43">
        <f>VLOOKUP(Tabla1[[#This Row],[PAGO DIA]],DIAS!A:E,5,0)</f>
        <v>46171</v>
      </c>
      <c r="P812" s="6">
        <v>0</v>
      </c>
      <c r="Q812" s="43">
        <f>VLOOKUP(Tabla1[[#This Row],[PAGO DIA]],DIAS!A:F,6,0)</f>
        <v>46203</v>
      </c>
      <c r="R812" s="6">
        <v>0</v>
      </c>
      <c r="S812" s="43">
        <f>VLOOKUP(Tabla1[[#This Row],[PAGO DIA]],DIAS!A:G,7,0)</f>
        <v>46234</v>
      </c>
      <c r="T812" s="6">
        <v>0</v>
      </c>
      <c r="U812" s="43">
        <f>VLOOKUP(Tabla1[[#This Row],[PAGO DIA]],DIAS!A:H,8,0)</f>
        <v>46265</v>
      </c>
      <c r="V812" s="6">
        <v>0</v>
      </c>
      <c r="W812" s="43">
        <f>VLOOKUP(Tabla1[[#This Row],[PAGO DIA]],DIAS!A:I,9,0)</f>
        <v>46295</v>
      </c>
      <c r="X812" s="6">
        <v>0</v>
      </c>
      <c r="Y812" s="43">
        <f>VLOOKUP(Tabla1[[#This Row],[PAGO DIA]],DIAS!A:J,10,0)</f>
        <v>46325</v>
      </c>
      <c r="Z812" s="6">
        <v>0</v>
      </c>
      <c r="AA812" s="43">
        <f>VLOOKUP(Tabla1[[#This Row],[PAGO DIA]],DIAS!A:K,11,0)</f>
        <v>46356</v>
      </c>
      <c r="AB812" s="6">
        <v>0</v>
      </c>
      <c r="AC812" s="43">
        <f>VLOOKUP(Tabla1[[#This Row],[PAGO DIA]],DIAS!A:M,12,0)</f>
        <v>46386</v>
      </c>
      <c r="AD8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3" spans="1:30">
      <c r="A813" s="3">
        <v>11247</v>
      </c>
      <c r="B813" s="3" t="s">
        <v>538</v>
      </c>
      <c r="C813" s="3" t="s">
        <v>539</v>
      </c>
      <c r="D813" s="3" t="s">
        <v>540</v>
      </c>
      <c r="E813" s="3" t="s">
        <v>1415</v>
      </c>
      <c r="F813" s="42" t="s">
        <v>631</v>
      </c>
      <c r="G813" s="3"/>
      <c r="H813" s="6">
        <v>0</v>
      </c>
      <c r="I813" s="41">
        <f>VLOOKUP(Tabla1[[#This Row],[PAGO DIA]],DIAS!A:B,2,0)</f>
        <v>46080</v>
      </c>
      <c r="J813" s="6">
        <v>0</v>
      </c>
      <c r="K813" s="43">
        <f>VLOOKUP(Tabla1[[#This Row],[PAGO DIA]],DIAS!A:C,3,0)</f>
        <v>46112</v>
      </c>
      <c r="L813" s="6">
        <v>0</v>
      </c>
      <c r="M813" s="41">
        <f>VLOOKUP(Tabla1[[#This Row],[PAGO DIA]],DIAS!A:D,4,0)</f>
        <v>46142</v>
      </c>
      <c r="N813" s="6">
        <v>0</v>
      </c>
      <c r="O813" s="43">
        <f>VLOOKUP(Tabla1[[#This Row],[PAGO DIA]],DIAS!A:E,5,0)</f>
        <v>46171</v>
      </c>
      <c r="P813" s="6">
        <v>0</v>
      </c>
      <c r="Q813" s="43">
        <f>VLOOKUP(Tabla1[[#This Row],[PAGO DIA]],DIAS!A:F,6,0)</f>
        <v>46203</v>
      </c>
      <c r="R813" s="6">
        <v>0</v>
      </c>
      <c r="S813" s="43">
        <f>VLOOKUP(Tabla1[[#This Row],[PAGO DIA]],DIAS!A:G,7,0)</f>
        <v>46234</v>
      </c>
      <c r="T813" s="6">
        <v>0</v>
      </c>
      <c r="U813" s="43">
        <f>VLOOKUP(Tabla1[[#This Row],[PAGO DIA]],DIAS!A:H,8,0)</f>
        <v>46265</v>
      </c>
      <c r="V813" s="6">
        <v>0</v>
      </c>
      <c r="W813" s="43">
        <f>VLOOKUP(Tabla1[[#This Row],[PAGO DIA]],DIAS!A:I,9,0)</f>
        <v>46295</v>
      </c>
      <c r="X813" s="6">
        <v>0</v>
      </c>
      <c r="Y813" s="43">
        <f>VLOOKUP(Tabla1[[#This Row],[PAGO DIA]],DIAS!A:J,10,0)</f>
        <v>46325</v>
      </c>
      <c r="Z813" s="6">
        <v>0</v>
      </c>
      <c r="AA813" s="43">
        <f>VLOOKUP(Tabla1[[#This Row],[PAGO DIA]],DIAS!A:K,11,0)</f>
        <v>46356</v>
      </c>
      <c r="AB813" s="6">
        <v>0</v>
      </c>
      <c r="AC813" s="43">
        <f>VLOOKUP(Tabla1[[#This Row],[PAGO DIA]],DIAS!A:M,12,0)</f>
        <v>46386</v>
      </c>
      <c r="AD8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4" spans="1:30">
      <c r="A814" s="3">
        <v>12592</v>
      </c>
      <c r="B814" s="3" t="s">
        <v>538</v>
      </c>
      <c r="C814" s="3" t="s">
        <v>539</v>
      </c>
      <c r="D814" s="3" t="s">
        <v>540</v>
      </c>
      <c r="E814" s="3" t="s">
        <v>1416</v>
      </c>
      <c r="F814" s="42" t="s">
        <v>631</v>
      </c>
      <c r="G814" s="3" t="s">
        <v>1417</v>
      </c>
      <c r="H814" s="6">
        <v>0</v>
      </c>
      <c r="I814" s="41">
        <f>VLOOKUP(Tabla1[[#This Row],[PAGO DIA]],DIAS!A:B,2,0)</f>
        <v>46080</v>
      </c>
      <c r="J814" s="6">
        <v>0</v>
      </c>
      <c r="K814" s="43">
        <f>VLOOKUP(Tabla1[[#This Row],[PAGO DIA]],DIAS!A:C,3,0)</f>
        <v>46112</v>
      </c>
      <c r="L814" s="6">
        <v>0</v>
      </c>
      <c r="M814" s="41">
        <f>VLOOKUP(Tabla1[[#This Row],[PAGO DIA]],DIAS!A:D,4,0)</f>
        <v>46142</v>
      </c>
      <c r="N814" s="6">
        <v>0</v>
      </c>
      <c r="O814" s="43">
        <f>VLOOKUP(Tabla1[[#This Row],[PAGO DIA]],DIAS!A:E,5,0)</f>
        <v>46171</v>
      </c>
      <c r="P814" s="6">
        <v>0</v>
      </c>
      <c r="Q814" s="43">
        <f>VLOOKUP(Tabla1[[#This Row],[PAGO DIA]],DIAS!A:F,6,0)</f>
        <v>46203</v>
      </c>
      <c r="R814" s="6">
        <v>0</v>
      </c>
      <c r="S814" s="43">
        <f>VLOOKUP(Tabla1[[#This Row],[PAGO DIA]],DIAS!A:G,7,0)</f>
        <v>46234</v>
      </c>
      <c r="T814" s="6">
        <v>0</v>
      </c>
      <c r="U814" s="43">
        <f>VLOOKUP(Tabla1[[#This Row],[PAGO DIA]],DIAS!A:H,8,0)</f>
        <v>46265</v>
      </c>
      <c r="V814" s="6">
        <v>0</v>
      </c>
      <c r="W814" s="43">
        <f>VLOOKUP(Tabla1[[#This Row],[PAGO DIA]],DIAS!A:I,9,0)</f>
        <v>46295</v>
      </c>
      <c r="X814" s="6">
        <v>0</v>
      </c>
      <c r="Y814" s="43">
        <f>VLOOKUP(Tabla1[[#This Row],[PAGO DIA]],DIAS!A:J,10,0)</f>
        <v>46325</v>
      </c>
      <c r="Z814" s="6">
        <v>0</v>
      </c>
      <c r="AA814" s="43">
        <f>VLOOKUP(Tabla1[[#This Row],[PAGO DIA]],DIAS!A:K,11,0)</f>
        <v>46356</v>
      </c>
      <c r="AB814" s="6">
        <v>0</v>
      </c>
      <c r="AC814" s="43">
        <f>VLOOKUP(Tabla1[[#This Row],[PAGO DIA]],DIAS!A:M,12,0)</f>
        <v>46386</v>
      </c>
      <c r="AD8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5" spans="1:30">
      <c r="A815" s="3">
        <v>12626</v>
      </c>
      <c r="B815" s="3" t="s">
        <v>538</v>
      </c>
      <c r="C815" s="3" t="s">
        <v>539</v>
      </c>
      <c r="D815" s="3" t="s">
        <v>540</v>
      </c>
      <c r="E815" s="3" t="s">
        <v>1416</v>
      </c>
      <c r="F815" s="42" t="s">
        <v>631</v>
      </c>
      <c r="G815" s="3" t="s">
        <v>1418</v>
      </c>
      <c r="H815" s="6">
        <v>0</v>
      </c>
      <c r="I815" s="41">
        <f>VLOOKUP(Tabla1[[#This Row],[PAGO DIA]],DIAS!A:B,2,0)</f>
        <v>46080</v>
      </c>
      <c r="J815" s="6">
        <v>0</v>
      </c>
      <c r="K815" s="43">
        <f>VLOOKUP(Tabla1[[#This Row],[PAGO DIA]],DIAS!A:C,3,0)</f>
        <v>46112</v>
      </c>
      <c r="L815" s="6">
        <v>0</v>
      </c>
      <c r="M815" s="41">
        <f>VLOOKUP(Tabla1[[#This Row],[PAGO DIA]],DIAS!A:D,4,0)</f>
        <v>46142</v>
      </c>
      <c r="N815" s="6">
        <v>0</v>
      </c>
      <c r="O815" s="43">
        <f>VLOOKUP(Tabla1[[#This Row],[PAGO DIA]],DIAS!A:E,5,0)</f>
        <v>46171</v>
      </c>
      <c r="P815" s="6">
        <v>0</v>
      </c>
      <c r="Q815" s="43">
        <f>VLOOKUP(Tabla1[[#This Row],[PAGO DIA]],DIAS!A:F,6,0)</f>
        <v>46203</v>
      </c>
      <c r="R815" s="6">
        <v>0</v>
      </c>
      <c r="S815" s="43">
        <f>VLOOKUP(Tabla1[[#This Row],[PAGO DIA]],DIAS!A:G,7,0)</f>
        <v>46234</v>
      </c>
      <c r="T815" s="6">
        <v>0</v>
      </c>
      <c r="U815" s="43">
        <f>VLOOKUP(Tabla1[[#This Row],[PAGO DIA]],DIAS!A:H,8,0)</f>
        <v>46265</v>
      </c>
      <c r="V815" s="6">
        <v>0</v>
      </c>
      <c r="W815" s="43">
        <f>VLOOKUP(Tabla1[[#This Row],[PAGO DIA]],DIAS!A:I,9,0)</f>
        <v>46295</v>
      </c>
      <c r="X815" s="6">
        <v>0</v>
      </c>
      <c r="Y815" s="43">
        <f>VLOOKUP(Tabla1[[#This Row],[PAGO DIA]],DIAS!A:J,10,0)</f>
        <v>46325</v>
      </c>
      <c r="Z815" s="6">
        <v>0</v>
      </c>
      <c r="AA815" s="43">
        <f>VLOOKUP(Tabla1[[#This Row],[PAGO DIA]],DIAS!A:K,11,0)</f>
        <v>46356</v>
      </c>
      <c r="AB815" s="6">
        <v>0</v>
      </c>
      <c r="AC815" s="43">
        <f>VLOOKUP(Tabla1[[#This Row],[PAGO DIA]],DIAS!A:M,12,0)</f>
        <v>46386</v>
      </c>
      <c r="AD8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6" spans="1:30">
      <c r="A816" s="3">
        <v>12669</v>
      </c>
      <c r="B816" s="3" t="s">
        <v>538</v>
      </c>
      <c r="C816" s="3" t="s">
        <v>539</v>
      </c>
      <c r="D816" s="3" t="s">
        <v>540</v>
      </c>
      <c r="E816" s="3" t="s">
        <v>1416</v>
      </c>
      <c r="F816" s="42" t="s">
        <v>631</v>
      </c>
      <c r="G816" s="3" t="s">
        <v>1419</v>
      </c>
      <c r="H816" s="6">
        <v>0</v>
      </c>
      <c r="I816" s="41">
        <f>VLOOKUP(Tabla1[[#This Row],[PAGO DIA]],DIAS!A:B,2,0)</f>
        <v>46080</v>
      </c>
      <c r="J816" s="6">
        <v>0</v>
      </c>
      <c r="K816" s="43">
        <f>VLOOKUP(Tabla1[[#This Row],[PAGO DIA]],DIAS!A:C,3,0)</f>
        <v>46112</v>
      </c>
      <c r="L816" s="6">
        <v>0</v>
      </c>
      <c r="M816" s="41">
        <f>VLOOKUP(Tabla1[[#This Row],[PAGO DIA]],DIAS!A:D,4,0)</f>
        <v>46142</v>
      </c>
      <c r="N816" s="6">
        <v>0</v>
      </c>
      <c r="O816" s="43">
        <f>VLOOKUP(Tabla1[[#This Row],[PAGO DIA]],DIAS!A:E,5,0)</f>
        <v>46171</v>
      </c>
      <c r="P816" s="6">
        <v>0</v>
      </c>
      <c r="Q816" s="43">
        <f>VLOOKUP(Tabla1[[#This Row],[PAGO DIA]],DIAS!A:F,6,0)</f>
        <v>46203</v>
      </c>
      <c r="R816" s="6">
        <v>0</v>
      </c>
      <c r="S816" s="43">
        <f>VLOOKUP(Tabla1[[#This Row],[PAGO DIA]],DIAS!A:G,7,0)</f>
        <v>46234</v>
      </c>
      <c r="T816" s="6">
        <v>0</v>
      </c>
      <c r="U816" s="43">
        <f>VLOOKUP(Tabla1[[#This Row],[PAGO DIA]],DIAS!A:H,8,0)</f>
        <v>46265</v>
      </c>
      <c r="V816" s="6">
        <v>0</v>
      </c>
      <c r="W816" s="43">
        <f>VLOOKUP(Tabla1[[#This Row],[PAGO DIA]],DIAS!A:I,9,0)</f>
        <v>46295</v>
      </c>
      <c r="X816" s="6">
        <v>0</v>
      </c>
      <c r="Y816" s="43">
        <f>VLOOKUP(Tabla1[[#This Row],[PAGO DIA]],DIAS!A:J,10,0)</f>
        <v>46325</v>
      </c>
      <c r="Z816" s="6">
        <v>0</v>
      </c>
      <c r="AA816" s="43">
        <f>VLOOKUP(Tabla1[[#This Row],[PAGO DIA]],DIAS!A:K,11,0)</f>
        <v>46356</v>
      </c>
      <c r="AB816" s="6">
        <v>0</v>
      </c>
      <c r="AC816" s="43">
        <f>VLOOKUP(Tabla1[[#This Row],[PAGO DIA]],DIAS!A:M,12,0)</f>
        <v>46386</v>
      </c>
      <c r="AD8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7" spans="1:30">
      <c r="A817" s="3">
        <v>12671</v>
      </c>
      <c r="B817" s="3" t="s">
        <v>538</v>
      </c>
      <c r="C817" s="3" t="s">
        <v>539</v>
      </c>
      <c r="D817" s="3" t="s">
        <v>540</v>
      </c>
      <c r="E817" s="3" t="s">
        <v>1416</v>
      </c>
      <c r="F817" s="42" t="s">
        <v>631</v>
      </c>
      <c r="G817" s="3" t="s">
        <v>1420</v>
      </c>
      <c r="H817" s="6">
        <v>0</v>
      </c>
      <c r="I817" s="41">
        <f>VLOOKUP(Tabla1[[#This Row],[PAGO DIA]],DIAS!A:B,2,0)</f>
        <v>46080</v>
      </c>
      <c r="J817" s="6">
        <v>0</v>
      </c>
      <c r="K817" s="43">
        <f>VLOOKUP(Tabla1[[#This Row],[PAGO DIA]],DIAS!A:C,3,0)</f>
        <v>46112</v>
      </c>
      <c r="L817" s="6">
        <v>0</v>
      </c>
      <c r="M817" s="41">
        <f>VLOOKUP(Tabla1[[#This Row],[PAGO DIA]],DIAS!A:D,4,0)</f>
        <v>46142</v>
      </c>
      <c r="N817" s="6">
        <v>0</v>
      </c>
      <c r="O817" s="43">
        <f>VLOOKUP(Tabla1[[#This Row],[PAGO DIA]],DIAS!A:E,5,0)</f>
        <v>46171</v>
      </c>
      <c r="P817" s="6">
        <v>0</v>
      </c>
      <c r="Q817" s="43">
        <f>VLOOKUP(Tabla1[[#This Row],[PAGO DIA]],DIAS!A:F,6,0)</f>
        <v>46203</v>
      </c>
      <c r="R817" s="6">
        <v>0</v>
      </c>
      <c r="S817" s="43">
        <f>VLOOKUP(Tabla1[[#This Row],[PAGO DIA]],DIAS!A:G,7,0)</f>
        <v>46234</v>
      </c>
      <c r="T817" s="6">
        <v>0</v>
      </c>
      <c r="U817" s="43">
        <f>VLOOKUP(Tabla1[[#This Row],[PAGO DIA]],DIAS!A:H,8,0)</f>
        <v>46265</v>
      </c>
      <c r="V817" s="6">
        <v>0</v>
      </c>
      <c r="W817" s="43">
        <f>VLOOKUP(Tabla1[[#This Row],[PAGO DIA]],DIAS!A:I,9,0)</f>
        <v>46295</v>
      </c>
      <c r="X817" s="6">
        <v>0</v>
      </c>
      <c r="Y817" s="43">
        <f>VLOOKUP(Tabla1[[#This Row],[PAGO DIA]],DIAS!A:J,10,0)</f>
        <v>46325</v>
      </c>
      <c r="Z817" s="6">
        <v>0</v>
      </c>
      <c r="AA817" s="43">
        <f>VLOOKUP(Tabla1[[#This Row],[PAGO DIA]],DIAS!A:K,11,0)</f>
        <v>46356</v>
      </c>
      <c r="AB817" s="6">
        <v>0</v>
      </c>
      <c r="AC817" s="43">
        <f>VLOOKUP(Tabla1[[#This Row],[PAGO DIA]],DIAS!A:M,12,0)</f>
        <v>46386</v>
      </c>
      <c r="AD8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8" spans="1:30">
      <c r="A818" s="3">
        <v>12715</v>
      </c>
      <c r="B818" s="3" t="s">
        <v>538</v>
      </c>
      <c r="C818" s="3" t="s">
        <v>539</v>
      </c>
      <c r="D818" s="3" t="s">
        <v>540</v>
      </c>
      <c r="E818" s="3" t="s">
        <v>1416</v>
      </c>
      <c r="F818" s="42" t="s">
        <v>631</v>
      </c>
      <c r="G818" s="3" t="s">
        <v>1421</v>
      </c>
      <c r="H818" s="6">
        <v>0</v>
      </c>
      <c r="I818" s="41">
        <f>VLOOKUP(Tabla1[[#This Row],[PAGO DIA]],DIAS!A:B,2,0)</f>
        <v>46080</v>
      </c>
      <c r="J818" s="6">
        <v>0</v>
      </c>
      <c r="K818" s="43">
        <f>VLOOKUP(Tabla1[[#This Row],[PAGO DIA]],DIAS!A:C,3,0)</f>
        <v>46112</v>
      </c>
      <c r="L818" s="6">
        <v>0</v>
      </c>
      <c r="M818" s="41">
        <f>VLOOKUP(Tabla1[[#This Row],[PAGO DIA]],DIAS!A:D,4,0)</f>
        <v>46142</v>
      </c>
      <c r="N818" s="6">
        <v>0</v>
      </c>
      <c r="O818" s="43">
        <f>VLOOKUP(Tabla1[[#This Row],[PAGO DIA]],DIAS!A:E,5,0)</f>
        <v>46171</v>
      </c>
      <c r="P818" s="6">
        <v>0</v>
      </c>
      <c r="Q818" s="43">
        <f>VLOOKUP(Tabla1[[#This Row],[PAGO DIA]],DIAS!A:F,6,0)</f>
        <v>46203</v>
      </c>
      <c r="R818" s="6">
        <v>0</v>
      </c>
      <c r="S818" s="43">
        <f>VLOOKUP(Tabla1[[#This Row],[PAGO DIA]],DIAS!A:G,7,0)</f>
        <v>46234</v>
      </c>
      <c r="T818" s="6">
        <v>0</v>
      </c>
      <c r="U818" s="43">
        <f>VLOOKUP(Tabla1[[#This Row],[PAGO DIA]],DIAS!A:H,8,0)</f>
        <v>46265</v>
      </c>
      <c r="V818" s="6">
        <v>0</v>
      </c>
      <c r="W818" s="43">
        <f>VLOOKUP(Tabla1[[#This Row],[PAGO DIA]],DIAS!A:I,9,0)</f>
        <v>46295</v>
      </c>
      <c r="X818" s="6">
        <v>0</v>
      </c>
      <c r="Y818" s="43">
        <f>VLOOKUP(Tabla1[[#This Row],[PAGO DIA]],DIAS!A:J,10,0)</f>
        <v>46325</v>
      </c>
      <c r="Z818" s="6">
        <v>0</v>
      </c>
      <c r="AA818" s="43">
        <f>VLOOKUP(Tabla1[[#This Row],[PAGO DIA]],DIAS!A:K,11,0)</f>
        <v>46356</v>
      </c>
      <c r="AB818" s="6">
        <v>0</v>
      </c>
      <c r="AC818" s="43">
        <f>VLOOKUP(Tabla1[[#This Row],[PAGO DIA]],DIAS!A:M,12,0)</f>
        <v>46386</v>
      </c>
      <c r="AD8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19" spans="1:30">
      <c r="A819" s="3">
        <v>12788</v>
      </c>
      <c r="B819" s="3" t="s">
        <v>538</v>
      </c>
      <c r="C819" s="3" t="s">
        <v>539</v>
      </c>
      <c r="D819" s="3" t="s">
        <v>540</v>
      </c>
      <c r="E819" s="3" t="s">
        <v>1416</v>
      </c>
      <c r="F819" s="42" t="s">
        <v>631</v>
      </c>
      <c r="G819" s="3" t="s">
        <v>1422</v>
      </c>
      <c r="H819" s="6">
        <v>0</v>
      </c>
      <c r="I819" s="41">
        <f>VLOOKUP(Tabla1[[#This Row],[PAGO DIA]],DIAS!A:B,2,0)</f>
        <v>46080</v>
      </c>
      <c r="J819" s="6">
        <v>0</v>
      </c>
      <c r="K819" s="43">
        <f>VLOOKUP(Tabla1[[#This Row],[PAGO DIA]],DIAS!A:C,3,0)</f>
        <v>46112</v>
      </c>
      <c r="L819" s="6">
        <v>0</v>
      </c>
      <c r="M819" s="41">
        <f>VLOOKUP(Tabla1[[#This Row],[PAGO DIA]],DIAS!A:D,4,0)</f>
        <v>46142</v>
      </c>
      <c r="N819" s="6">
        <v>0</v>
      </c>
      <c r="O819" s="43">
        <f>VLOOKUP(Tabla1[[#This Row],[PAGO DIA]],DIAS!A:E,5,0)</f>
        <v>46171</v>
      </c>
      <c r="P819" s="6">
        <v>0</v>
      </c>
      <c r="Q819" s="43">
        <f>VLOOKUP(Tabla1[[#This Row],[PAGO DIA]],DIAS!A:F,6,0)</f>
        <v>46203</v>
      </c>
      <c r="R819" s="6">
        <v>0</v>
      </c>
      <c r="S819" s="43">
        <f>VLOOKUP(Tabla1[[#This Row],[PAGO DIA]],DIAS!A:G,7,0)</f>
        <v>46234</v>
      </c>
      <c r="T819" s="6">
        <v>0</v>
      </c>
      <c r="U819" s="43">
        <f>VLOOKUP(Tabla1[[#This Row],[PAGO DIA]],DIAS!A:H,8,0)</f>
        <v>46265</v>
      </c>
      <c r="V819" s="6">
        <v>0</v>
      </c>
      <c r="W819" s="43">
        <f>VLOOKUP(Tabla1[[#This Row],[PAGO DIA]],DIAS!A:I,9,0)</f>
        <v>46295</v>
      </c>
      <c r="X819" s="6">
        <v>0</v>
      </c>
      <c r="Y819" s="43">
        <f>VLOOKUP(Tabla1[[#This Row],[PAGO DIA]],DIAS!A:J,10,0)</f>
        <v>46325</v>
      </c>
      <c r="Z819" s="6">
        <v>0</v>
      </c>
      <c r="AA819" s="43">
        <f>VLOOKUP(Tabla1[[#This Row],[PAGO DIA]],DIAS!A:K,11,0)</f>
        <v>46356</v>
      </c>
      <c r="AB819" s="6">
        <v>0</v>
      </c>
      <c r="AC819" s="43">
        <f>VLOOKUP(Tabla1[[#This Row],[PAGO DIA]],DIAS!A:M,12,0)</f>
        <v>46386</v>
      </c>
      <c r="AD8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0" spans="1:30">
      <c r="A820" s="3">
        <v>11011</v>
      </c>
      <c r="B820" s="3" t="s">
        <v>538</v>
      </c>
      <c r="C820" s="3" t="s">
        <v>539</v>
      </c>
      <c r="D820" s="3" t="s">
        <v>540</v>
      </c>
      <c r="E820" s="3" t="s">
        <v>1423</v>
      </c>
      <c r="F820" s="42" t="s">
        <v>631</v>
      </c>
      <c r="G820" s="3"/>
      <c r="H820" s="6">
        <v>0</v>
      </c>
      <c r="I820" s="41">
        <f>VLOOKUP(Tabla1[[#This Row],[PAGO DIA]],DIAS!A:B,2,0)</f>
        <v>46080</v>
      </c>
      <c r="J820" s="6">
        <v>0</v>
      </c>
      <c r="K820" s="43">
        <f>VLOOKUP(Tabla1[[#This Row],[PAGO DIA]],DIAS!A:C,3,0)</f>
        <v>46112</v>
      </c>
      <c r="L820" s="6">
        <v>0</v>
      </c>
      <c r="M820" s="41">
        <f>VLOOKUP(Tabla1[[#This Row],[PAGO DIA]],DIAS!A:D,4,0)</f>
        <v>46142</v>
      </c>
      <c r="N820" s="6">
        <v>0</v>
      </c>
      <c r="O820" s="43">
        <f>VLOOKUP(Tabla1[[#This Row],[PAGO DIA]],DIAS!A:E,5,0)</f>
        <v>46171</v>
      </c>
      <c r="P820" s="6">
        <v>0</v>
      </c>
      <c r="Q820" s="43">
        <f>VLOOKUP(Tabla1[[#This Row],[PAGO DIA]],DIAS!A:F,6,0)</f>
        <v>46203</v>
      </c>
      <c r="R820" s="6">
        <v>0</v>
      </c>
      <c r="S820" s="43">
        <f>VLOOKUP(Tabla1[[#This Row],[PAGO DIA]],DIAS!A:G,7,0)</f>
        <v>46234</v>
      </c>
      <c r="T820" s="6">
        <v>0</v>
      </c>
      <c r="U820" s="43">
        <f>VLOOKUP(Tabla1[[#This Row],[PAGO DIA]],DIAS!A:H,8,0)</f>
        <v>46265</v>
      </c>
      <c r="V820" s="6">
        <v>0</v>
      </c>
      <c r="W820" s="43">
        <f>VLOOKUP(Tabla1[[#This Row],[PAGO DIA]],DIAS!A:I,9,0)</f>
        <v>46295</v>
      </c>
      <c r="X820" s="6">
        <v>0</v>
      </c>
      <c r="Y820" s="43">
        <f>VLOOKUP(Tabla1[[#This Row],[PAGO DIA]],DIAS!A:J,10,0)</f>
        <v>46325</v>
      </c>
      <c r="Z820" s="6">
        <v>0</v>
      </c>
      <c r="AA820" s="43">
        <f>VLOOKUP(Tabla1[[#This Row],[PAGO DIA]],DIAS!A:K,11,0)</f>
        <v>46356</v>
      </c>
      <c r="AB820" s="6">
        <v>0</v>
      </c>
      <c r="AC820" s="43">
        <f>VLOOKUP(Tabla1[[#This Row],[PAGO DIA]],DIAS!A:M,12,0)</f>
        <v>46386</v>
      </c>
      <c r="AD8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1" spans="1:30">
      <c r="A821" s="3">
        <v>11236</v>
      </c>
      <c r="B821" s="3" t="s">
        <v>538</v>
      </c>
      <c r="C821" s="3" t="s">
        <v>539</v>
      </c>
      <c r="D821" s="3" t="s">
        <v>540</v>
      </c>
      <c r="E821" s="3" t="s">
        <v>1423</v>
      </c>
      <c r="F821" s="42" t="s">
        <v>631</v>
      </c>
      <c r="G821" s="3"/>
      <c r="H821" s="6">
        <v>0</v>
      </c>
      <c r="I821" s="41">
        <f>VLOOKUP(Tabla1[[#This Row],[PAGO DIA]],DIAS!A:B,2,0)</f>
        <v>46080</v>
      </c>
      <c r="J821" s="6">
        <v>0</v>
      </c>
      <c r="K821" s="43">
        <f>VLOOKUP(Tabla1[[#This Row],[PAGO DIA]],DIAS!A:C,3,0)</f>
        <v>46112</v>
      </c>
      <c r="L821" s="6">
        <v>0</v>
      </c>
      <c r="M821" s="41">
        <f>VLOOKUP(Tabla1[[#This Row],[PAGO DIA]],DIAS!A:D,4,0)</f>
        <v>46142</v>
      </c>
      <c r="N821" s="6">
        <v>0</v>
      </c>
      <c r="O821" s="43">
        <f>VLOOKUP(Tabla1[[#This Row],[PAGO DIA]],DIAS!A:E,5,0)</f>
        <v>46171</v>
      </c>
      <c r="P821" s="6">
        <v>0</v>
      </c>
      <c r="Q821" s="43">
        <f>VLOOKUP(Tabla1[[#This Row],[PAGO DIA]],DIAS!A:F,6,0)</f>
        <v>46203</v>
      </c>
      <c r="R821" s="6">
        <v>0</v>
      </c>
      <c r="S821" s="43">
        <f>VLOOKUP(Tabla1[[#This Row],[PAGO DIA]],DIAS!A:G,7,0)</f>
        <v>46234</v>
      </c>
      <c r="T821" s="6">
        <v>0</v>
      </c>
      <c r="U821" s="43">
        <f>VLOOKUP(Tabla1[[#This Row],[PAGO DIA]],DIAS!A:H,8,0)</f>
        <v>46265</v>
      </c>
      <c r="V821" s="6">
        <v>0</v>
      </c>
      <c r="W821" s="43">
        <f>VLOOKUP(Tabla1[[#This Row],[PAGO DIA]],DIAS!A:I,9,0)</f>
        <v>46295</v>
      </c>
      <c r="X821" s="6">
        <v>0</v>
      </c>
      <c r="Y821" s="43">
        <f>VLOOKUP(Tabla1[[#This Row],[PAGO DIA]],DIAS!A:J,10,0)</f>
        <v>46325</v>
      </c>
      <c r="Z821" s="6">
        <v>0</v>
      </c>
      <c r="AA821" s="43">
        <f>VLOOKUP(Tabla1[[#This Row],[PAGO DIA]],DIAS!A:K,11,0)</f>
        <v>46356</v>
      </c>
      <c r="AB821" s="6">
        <v>0</v>
      </c>
      <c r="AC821" s="43">
        <f>VLOOKUP(Tabla1[[#This Row],[PAGO DIA]],DIAS!A:M,12,0)</f>
        <v>46386</v>
      </c>
      <c r="AD8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2" spans="1:30">
      <c r="A822" s="3">
        <v>11478</v>
      </c>
      <c r="B822" s="3" t="s">
        <v>538</v>
      </c>
      <c r="C822" s="3" t="s">
        <v>540</v>
      </c>
      <c r="D822" s="3" t="s">
        <v>540</v>
      </c>
      <c r="E822" s="3" t="s">
        <v>1423</v>
      </c>
      <c r="F822" s="42" t="s">
        <v>631</v>
      </c>
      <c r="G822" s="3" t="s">
        <v>1424</v>
      </c>
      <c r="H822" s="6">
        <v>0</v>
      </c>
      <c r="I822" s="41">
        <f>VLOOKUP(Tabla1[[#This Row],[PAGO DIA]],DIAS!A:B,2,0)</f>
        <v>46080</v>
      </c>
      <c r="J822" s="6">
        <v>0</v>
      </c>
      <c r="K822" s="43">
        <f>VLOOKUP(Tabla1[[#This Row],[PAGO DIA]],DIAS!A:C,3,0)</f>
        <v>46112</v>
      </c>
      <c r="L822" s="6">
        <v>0</v>
      </c>
      <c r="M822" s="41">
        <f>VLOOKUP(Tabla1[[#This Row],[PAGO DIA]],DIAS!A:D,4,0)</f>
        <v>46142</v>
      </c>
      <c r="N822" s="6">
        <v>0</v>
      </c>
      <c r="O822" s="43">
        <f>VLOOKUP(Tabla1[[#This Row],[PAGO DIA]],DIAS!A:E,5,0)</f>
        <v>46171</v>
      </c>
      <c r="P822" s="6">
        <v>0</v>
      </c>
      <c r="Q822" s="43">
        <f>VLOOKUP(Tabla1[[#This Row],[PAGO DIA]],DIAS!A:F,6,0)</f>
        <v>46203</v>
      </c>
      <c r="R822" s="6">
        <v>0</v>
      </c>
      <c r="S822" s="43">
        <f>VLOOKUP(Tabla1[[#This Row],[PAGO DIA]],DIAS!A:G,7,0)</f>
        <v>46234</v>
      </c>
      <c r="T822" s="6">
        <v>0</v>
      </c>
      <c r="U822" s="43">
        <f>VLOOKUP(Tabla1[[#This Row],[PAGO DIA]],DIAS!A:H,8,0)</f>
        <v>46265</v>
      </c>
      <c r="V822" s="6">
        <v>0</v>
      </c>
      <c r="W822" s="43">
        <f>VLOOKUP(Tabla1[[#This Row],[PAGO DIA]],DIAS!A:I,9,0)</f>
        <v>46295</v>
      </c>
      <c r="X822" s="6">
        <v>0</v>
      </c>
      <c r="Y822" s="43">
        <f>VLOOKUP(Tabla1[[#This Row],[PAGO DIA]],DIAS!A:J,10,0)</f>
        <v>46325</v>
      </c>
      <c r="Z822" s="6">
        <v>0</v>
      </c>
      <c r="AA822" s="43">
        <f>VLOOKUP(Tabla1[[#This Row],[PAGO DIA]],DIAS!A:K,11,0)</f>
        <v>46356</v>
      </c>
      <c r="AB822" s="6">
        <v>0</v>
      </c>
      <c r="AC822" s="43">
        <f>VLOOKUP(Tabla1[[#This Row],[PAGO DIA]],DIAS!A:M,12,0)</f>
        <v>46386</v>
      </c>
      <c r="AD8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3" spans="1:30">
      <c r="A823" s="3">
        <v>11479</v>
      </c>
      <c r="B823" s="3" t="s">
        <v>538</v>
      </c>
      <c r="C823" s="3" t="s">
        <v>540</v>
      </c>
      <c r="D823" s="3" t="s">
        <v>540</v>
      </c>
      <c r="E823" s="3" t="s">
        <v>1423</v>
      </c>
      <c r="F823" s="42" t="s">
        <v>631</v>
      </c>
      <c r="G823" s="3" t="s">
        <v>1425</v>
      </c>
      <c r="H823" s="6">
        <v>0</v>
      </c>
      <c r="I823" s="41">
        <f>VLOOKUP(Tabla1[[#This Row],[PAGO DIA]],DIAS!A:B,2,0)</f>
        <v>46080</v>
      </c>
      <c r="J823" s="6">
        <v>0</v>
      </c>
      <c r="K823" s="43">
        <f>VLOOKUP(Tabla1[[#This Row],[PAGO DIA]],DIAS!A:C,3,0)</f>
        <v>46112</v>
      </c>
      <c r="L823" s="6">
        <v>0</v>
      </c>
      <c r="M823" s="41">
        <f>VLOOKUP(Tabla1[[#This Row],[PAGO DIA]],DIAS!A:D,4,0)</f>
        <v>46142</v>
      </c>
      <c r="N823" s="6">
        <v>0</v>
      </c>
      <c r="O823" s="43">
        <f>VLOOKUP(Tabla1[[#This Row],[PAGO DIA]],DIAS!A:E,5,0)</f>
        <v>46171</v>
      </c>
      <c r="P823" s="6">
        <v>0</v>
      </c>
      <c r="Q823" s="43">
        <f>VLOOKUP(Tabla1[[#This Row],[PAGO DIA]],DIAS!A:F,6,0)</f>
        <v>46203</v>
      </c>
      <c r="R823" s="6">
        <v>0</v>
      </c>
      <c r="S823" s="43">
        <f>VLOOKUP(Tabla1[[#This Row],[PAGO DIA]],DIAS!A:G,7,0)</f>
        <v>46234</v>
      </c>
      <c r="T823" s="6">
        <v>0</v>
      </c>
      <c r="U823" s="43">
        <f>VLOOKUP(Tabla1[[#This Row],[PAGO DIA]],DIAS!A:H,8,0)</f>
        <v>46265</v>
      </c>
      <c r="V823" s="6">
        <v>0</v>
      </c>
      <c r="W823" s="43">
        <f>VLOOKUP(Tabla1[[#This Row],[PAGO DIA]],DIAS!A:I,9,0)</f>
        <v>46295</v>
      </c>
      <c r="X823" s="6">
        <v>0</v>
      </c>
      <c r="Y823" s="43">
        <f>VLOOKUP(Tabla1[[#This Row],[PAGO DIA]],DIAS!A:J,10,0)</f>
        <v>46325</v>
      </c>
      <c r="Z823" s="6">
        <v>0</v>
      </c>
      <c r="AA823" s="43">
        <f>VLOOKUP(Tabla1[[#This Row],[PAGO DIA]],DIAS!A:K,11,0)</f>
        <v>46356</v>
      </c>
      <c r="AB823" s="6">
        <v>0</v>
      </c>
      <c r="AC823" s="43">
        <f>VLOOKUP(Tabla1[[#This Row],[PAGO DIA]],DIAS!A:M,12,0)</f>
        <v>46386</v>
      </c>
      <c r="AD8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4" spans="1:30">
      <c r="A824" s="3">
        <v>11480</v>
      </c>
      <c r="B824" s="3" t="s">
        <v>538</v>
      </c>
      <c r="C824" s="3" t="s">
        <v>540</v>
      </c>
      <c r="D824" s="3" t="s">
        <v>540</v>
      </c>
      <c r="E824" s="3" t="s">
        <v>1423</v>
      </c>
      <c r="F824" s="42" t="s">
        <v>631</v>
      </c>
      <c r="G824" s="3" t="s">
        <v>1426</v>
      </c>
      <c r="H824" s="6">
        <v>0</v>
      </c>
      <c r="I824" s="41">
        <f>VLOOKUP(Tabla1[[#This Row],[PAGO DIA]],DIAS!A:B,2,0)</f>
        <v>46080</v>
      </c>
      <c r="J824" s="6">
        <v>0</v>
      </c>
      <c r="K824" s="43">
        <f>VLOOKUP(Tabla1[[#This Row],[PAGO DIA]],DIAS!A:C,3,0)</f>
        <v>46112</v>
      </c>
      <c r="L824" s="6">
        <v>0</v>
      </c>
      <c r="M824" s="41">
        <f>VLOOKUP(Tabla1[[#This Row],[PAGO DIA]],DIAS!A:D,4,0)</f>
        <v>46142</v>
      </c>
      <c r="N824" s="6">
        <v>0</v>
      </c>
      <c r="O824" s="43">
        <f>VLOOKUP(Tabla1[[#This Row],[PAGO DIA]],DIAS!A:E,5,0)</f>
        <v>46171</v>
      </c>
      <c r="P824" s="6">
        <v>0</v>
      </c>
      <c r="Q824" s="43">
        <f>VLOOKUP(Tabla1[[#This Row],[PAGO DIA]],DIAS!A:F,6,0)</f>
        <v>46203</v>
      </c>
      <c r="R824" s="6">
        <v>0</v>
      </c>
      <c r="S824" s="43">
        <f>VLOOKUP(Tabla1[[#This Row],[PAGO DIA]],DIAS!A:G,7,0)</f>
        <v>46234</v>
      </c>
      <c r="T824" s="6">
        <v>0</v>
      </c>
      <c r="U824" s="43">
        <f>VLOOKUP(Tabla1[[#This Row],[PAGO DIA]],DIAS!A:H,8,0)</f>
        <v>46265</v>
      </c>
      <c r="V824" s="6">
        <v>0</v>
      </c>
      <c r="W824" s="43">
        <f>VLOOKUP(Tabla1[[#This Row],[PAGO DIA]],DIAS!A:I,9,0)</f>
        <v>46295</v>
      </c>
      <c r="X824" s="6">
        <v>0</v>
      </c>
      <c r="Y824" s="43">
        <f>VLOOKUP(Tabla1[[#This Row],[PAGO DIA]],DIAS!A:J,10,0)</f>
        <v>46325</v>
      </c>
      <c r="Z824" s="6">
        <v>0</v>
      </c>
      <c r="AA824" s="43">
        <f>VLOOKUP(Tabla1[[#This Row],[PAGO DIA]],DIAS!A:K,11,0)</f>
        <v>46356</v>
      </c>
      <c r="AB824" s="6">
        <v>0</v>
      </c>
      <c r="AC824" s="43">
        <f>VLOOKUP(Tabla1[[#This Row],[PAGO DIA]],DIAS!A:M,12,0)</f>
        <v>46386</v>
      </c>
      <c r="AD8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5" spans="1:30">
      <c r="A825" s="3">
        <v>11481</v>
      </c>
      <c r="B825" s="3" t="s">
        <v>538</v>
      </c>
      <c r="C825" s="3" t="s">
        <v>540</v>
      </c>
      <c r="D825" s="3" t="s">
        <v>540</v>
      </c>
      <c r="E825" s="3" t="s">
        <v>1423</v>
      </c>
      <c r="F825" s="42" t="s">
        <v>631</v>
      </c>
      <c r="G825" s="3" t="s">
        <v>1427</v>
      </c>
      <c r="H825" s="6">
        <v>0</v>
      </c>
      <c r="I825" s="41">
        <f>VLOOKUP(Tabla1[[#This Row],[PAGO DIA]],DIAS!A:B,2,0)</f>
        <v>46080</v>
      </c>
      <c r="J825" s="6">
        <v>0</v>
      </c>
      <c r="K825" s="43">
        <f>VLOOKUP(Tabla1[[#This Row],[PAGO DIA]],DIAS!A:C,3,0)</f>
        <v>46112</v>
      </c>
      <c r="L825" s="6">
        <v>0</v>
      </c>
      <c r="M825" s="41">
        <f>VLOOKUP(Tabla1[[#This Row],[PAGO DIA]],DIAS!A:D,4,0)</f>
        <v>46142</v>
      </c>
      <c r="N825" s="6">
        <v>0</v>
      </c>
      <c r="O825" s="43">
        <f>VLOOKUP(Tabla1[[#This Row],[PAGO DIA]],DIAS!A:E,5,0)</f>
        <v>46171</v>
      </c>
      <c r="P825" s="6">
        <v>0</v>
      </c>
      <c r="Q825" s="43">
        <f>VLOOKUP(Tabla1[[#This Row],[PAGO DIA]],DIAS!A:F,6,0)</f>
        <v>46203</v>
      </c>
      <c r="R825" s="6">
        <v>0</v>
      </c>
      <c r="S825" s="43">
        <f>VLOOKUP(Tabla1[[#This Row],[PAGO DIA]],DIAS!A:G,7,0)</f>
        <v>46234</v>
      </c>
      <c r="T825" s="6">
        <v>0</v>
      </c>
      <c r="U825" s="43">
        <f>VLOOKUP(Tabla1[[#This Row],[PAGO DIA]],DIAS!A:H,8,0)</f>
        <v>46265</v>
      </c>
      <c r="V825" s="6">
        <v>0</v>
      </c>
      <c r="W825" s="43">
        <f>VLOOKUP(Tabla1[[#This Row],[PAGO DIA]],DIAS!A:I,9,0)</f>
        <v>46295</v>
      </c>
      <c r="X825" s="6">
        <v>0</v>
      </c>
      <c r="Y825" s="43">
        <f>VLOOKUP(Tabla1[[#This Row],[PAGO DIA]],DIAS!A:J,10,0)</f>
        <v>46325</v>
      </c>
      <c r="Z825" s="6">
        <v>0</v>
      </c>
      <c r="AA825" s="43">
        <f>VLOOKUP(Tabla1[[#This Row],[PAGO DIA]],DIAS!A:K,11,0)</f>
        <v>46356</v>
      </c>
      <c r="AB825" s="6">
        <v>0</v>
      </c>
      <c r="AC825" s="43">
        <f>VLOOKUP(Tabla1[[#This Row],[PAGO DIA]],DIAS!A:M,12,0)</f>
        <v>46386</v>
      </c>
      <c r="AD8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6" spans="1:30">
      <c r="A826" s="3">
        <v>11482</v>
      </c>
      <c r="B826" s="3" t="s">
        <v>538</v>
      </c>
      <c r="C826" s="3" t="s">
        <v>540</v>
      </c>
      <c r="D826" s="3" t="s">
        <v>540</v>
      </c>
      <c r="E826" s="3" t="s">
        <v>1423</v>
      </c>
      <c r="F826" s="42" t="s">
        <v>631</v>
      </c>
      <c r="G826" s="3" t="s">
        <v>1428</v>
      </c>
      <c r="H826" s="6">
        <v>0</v>
      </c>
      <c r="I826" s="41">
        <f>VLOOKUP(Tabla1[[#This Row],[PAGO DIA]],DIAS!A:B,2,0)</f>
        <v>46080</v>
      </c>
      <c r="J826" s="6">
        <v>0</v>
      </c>
      <c r="K826" s="43">
        <f>VLOOKUP(Tabla1[[#This Row],[PAGO DIA]],DIAS!A:C,3,0)</f>
        <v>46112</v>
      </c>
      <c r="L826" s="6">
        <v>0</v>
      </c>
      <c r="M826" s="41">
        <f>VLOOKUP(Tabla1[[#This Row],[PAGO DIA]],DIAS!A:D,4,0)</f>
        <v>46142</v>
      </c>
      <c r="N826" s="6">
        <v>0</v>
      </c>
      <c r="O826" s="43">
        <f>VLOOKUP(Tabla1[[#This Row],[PAGO DIA]],DIAS!A:E,5,0)</f>
        <v>46171</v>
      </c>
      <c r="P826" s="6">
        <v>0</v>
      </c>
      <c r="Q826" s="43">
        <f>VLOOKUP(Tabla1[[#This Row],[PAGO DIA]],DIAS!A:F,6,0)</f>
        <v>46203</v>
      </c>
      <c r="R826" s="6">
        <v>0</v>
      </c>
      <c r="S826" s="43">
        <f>VLOOKUP(Tabla1[[#This Row],[PAGO DIA]],DIAS!A:G,7,0)</f>
        <v>46234</v>
      </c>
      <c r="T826" s="6">
        <v>0</v>
      </c>
      <c r="U826" s="43">
        <f>VLOOKUP(Tabla1[[#This Row],[PAGO DIA]],DIAS!A:H,8,0)</f>
        <v>46265</v>
      </c>
      <c r="V826" s="6">
        <v>0</v>
      </c>
      <c r="W826" s="43">
        <f>VLOOKUP(Tabla1[[#This Row],[PAGO DIA]],DIAS!A:I,9,0)</f>
        <v>46295</v>
      </c>
      <c r="X826" s="6">
        <v>0</v>
      </c>
      <c r="Y826" s="43">
        <f>VLOOKUP(Tabla1[[#This Row],[PAGO DIA]],DIAS!A:J,10,0)</f>
        <v>46325</v>
      </c>
      <c r="Z826" s="6">
        <v>0</v>
      </c>
      <c r="AA826" s="43">
        <f>VLOOKUP(Tabla1[[#This Row],[PAGO DIA]],DIAS!A:K,11,0)</f>
        <v>46356</v>
      </c>
      <c r="AB826" s="6">
        <v>0</v>
      </c>
      <c r="AC826" s="43">
        <f>VLOOKUP(Tabla1[[#This Row],[PAGO DIA]],DIAS!A:M,12,0)</f>
        <v>46386</v>
      </c>
      <c r="AD8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7" spans="1:30">
      <c r="A827" s="3">
        <v>11483</v>
      </c>
      <c r="B827" s="3" t="s">
        <v>538</v>
      </c>
      <c r="C827" s="3" t="s">
        <v>540</v>
      </c>
      <c r="D827" s="3" t="s">
        <v>540</v>
      </c>
      <c r="E827" s="3" t="s">
        <v>1423</v>
      </c>
      <c r="F827" s="42" t="s">
        <v>631</v>
      </c>
      <c r="G827" s="3" t="s">
        <v>1428</v>
      </c>
      <c r="H827" s="6">
        <v>0</v>
      </c>
      <c r="I827" s="41">
        <f>VLOOKUP(Tabla1[[#This Row],[PAGO DIA]],DIAS!A:B,2,0)</f>
        <v>46080</v>
      </c>
      <c r="J827" s="6">
        <v>0</v>
      </c>
      <c r="K827" s="43">
        <f>VLOOKUP(Tabla1[[#This Row],[PAGO DIA]],DIAS!A:C,3,0)</f>
        <v>46112</v>
      </c>
      <c r="L827" s="6">
        <v>0</v>
      </c>
      <c r="M827" s="41">
        <f>VLOOKUP(Tabla1[[#This Row],[PAGO DIA]],DIAS!A:D,4,0)</f>
        <v>46142</v>
      </c>
      <c r="N827" s="6">
        <v>0</v>
      </c>
      <c r="O827" s="43">
        <f>VLOOKUP(Tabla1[[#This Row],[PAGO DIA]],DIAS!A:E,5,0)</f>
        <v>46171</v>
      </c>
      <c r="P827" s="6">
        <v>0</v>
      </c>
      <c r="Q827" s="43">
        <f>VLOOKUP(Tabla1[[#This Row],[PAGO DIA]],DIAS!A:F,6,0)</f>
        <v>46203</v>
      </c>
      <c r="R827" s="6">
        <v>0</v>
      </c>
      <c r="S827" s="43">
        <f>VLOOKUP(Tabla1[[#This Row],[PAGO DIA]],DIAS!A:G,7,0)</f>
        <v>46234</v>
      </c>
      <c r="T827" s="6">
        <v>0</v>
      </c>
      <c r="U827" s="43">
        <f>VLOOKUP(Tabla1[[#This Row],[PAGO DIA]],DIAS!A:H,8,0)</f>
        <v>46265</v>
      </c>
      <c r="V827" s="6">
        <v>0</v>
      </c>
      <c r="W827" s="43">
        <f>VLOOKUP(Tabla1[[#This Row],[PAGO DIA]],DIAS!A:I,9,0)</f>
        <v>46295</v>
      </c>
      <c r="X827" s="6">
        <v>0</v>
      </c>
      <c r="Y827" s="43">
        <f>VLOOKUP(Tabla1[[#This Row],[PAGO DIA]],DIAS!A:J,10,0)</f>
        <v>46325</v>
      </c>
      <c r="Z827" s="6">
        <v>0</v>
      </c>
      <c r="AA827" s="43">
        <f>VLOOKUP(Tabla1[[#This Row],[PAGO DIA]],DIAS!A:K,11,0)</f>
        <v>46356</v>
      </c>
      <c r="AB827" s="6">
        <v>0</v>
      </c>
      <c r="AC827" s="43">
        <f>VLOOKUP(Tabla1[[#This Row],[PAGO DIA]],DIAS!A:M,12,0)</f>
        <v>46386</v>
      </c>
      <c r="AD8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8" spans="1:30">
      <c r="A828" s="3">
        <v>11484</v>
      </c>
      <c r="B828" s="3" t="s">
        <v>538</v>
      </c>
      <c r="C828" s="3" t="s">
        <v>540</v>
      </c>
      <c r="D828" s="3" t="s">
        <v>540</v>
      </c>
      <c r="E828" s="3" t="s">
        <v>1423</v>
      </c>
      <c r="F828" s="42" t="s">
        <v>631</v>
      </c>
      <c r="G828" s="3" t="s">
        <v>1428</v>
      </c>
      <c r="H828" s="6">
        <v>0</v>
      </c>
      <c r="I828" s="41">
        <f>VLOOKUP(Tabla1[[#This Row],[PAGO DIA]],DIAS!A:B,2,0)</f>
        <v>46080</v>
      </c>
      <c r="J828" s="6">
        <v>0</v>
      </c>
      <c r="K828" s="43">
        <f>VLOOKUP(Tabla1[[#This Row],[PAGO DIA]],DIAS!A:C,3,0)</f>
        <v>46112</v>
      </c>
      <c r="L828" s="6">
        <v>0</v>
      </c>
      <c r="M828" s="41">
        <f>VLOOKUP(Tabla1[[#This Row],[PAGO DIA]],DIAS!A:D,4,0)</f>
        <v>46142</v>
      </c>
      <c r="N828" s="6">
        <v>0</v>
      </c>
      <c r="O828" s="43">
        <f>VLOOKUP(Tabla1[[#This Row],[PAGO DIA]],DIAS!A:E,5,0)</f>
        <v>46171</v>
      </c>
      <c r="P828" s="6">
        <v>0</v>
      </c>
      <c r="Q828" s="43">
        <f>VLOOKUP(Tabla1[[#This Row],[PAGO DIA]],DIAS!A:F,6,0)</f>
        <v>46203</v>
      </c>
      <c r="R828" s="6">
        <v>0</v>
      </c>
      <c r="S828" s="43">
        <f>VLOOKUP(Tabla1[[#This Row],[PAGO DIA]],DIAS!A:G,7,0)</f>
        <v>46234</v>
      </c>
      <c r="T828" s="6">
        <v>0</v>
      </c>
      <c r="U828" s="43">
        <f>VLOOKUP(Tabla1[[#This Row],[PAGO DIA]],DIAS!A:H,8,0)</f>
        <v>46265</v>
      </c>
      <c r="V828" s="6">
        <v>0</v>
      </c>
      <c r="W828" s="43">
        <f>VLOOKUP(Tabla1[[#This Row],[PAGO DIA]],DIAS!A:I,9,0)</f>
        <v>46295</v>
      </c>
      <c r="X828" s="6">
        <v>0</v>
      </c>
      <c r="Y828" s="43">
        <f>VLOOKUP(Tabla1[[#This Row],[PAGO DIA]],DIAS!A:J,10,0)</f>
        <v>46325</v>
      </c>
      <c r="Z828" s="6">
        <v>0</v>
      </c>
      <c r="AA828" s="43">
        <f>VLOOKUP(Tabla1[[#This Row],[PAGO DIA]],DIAS!A:K,11,0)</f>
        <v>46356</v>
      </c>
      <c r="AB828" s="6">
        <v>0</v>
      </c>
      <c r="AC828" s="43">
        <f>VLOOKUP(Tabla1[[#This Row],[PAGO DIA]],DIAS!A:M,12,0)</f>
        <v>46386</v>
      </c>
      <c r="AD8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29" spans="1:30">
      <c r="A829" s="3">
        <v>11485</v>
      </c>
      <c r="B829" s="3" t="s">
        <v>538</v>
      </c>
      <c r="C829" s="3" t="s">
        <v>540</v>
      </c>
      <c r="D829" s="3" t="s">
        <v>540</v>
      </c>
      <c r="E829" s="3" t="s">
        <v>1423</v>
      </c>
      <c r="F829" s="42" t="s">
        <v>631</v>
      </c>
      <c r="G829" s="3" t="s">
        <v>1428</v>
      </c>
      <c r="H829" s="6">
        <v>0</v>
      </c>
      <c r="I829" s="41">
        <f>VLOOKUP(Tabla1[[#This Row],[PAGO DIA]],DIAS!A:B,2,0)</f>
        <v>46080</v>
      </c>
      <c r="J829" s="6">
        <v>0</v>
      </c>
      <c r="K829" s="43">
        <f>VLOOKUP(Tabla1[[#This Row],[PAGO DIA]],DIAS!A:C,3,0)</f>
        <v>46112</v>
      </c>
      <c r="L829" s="6">
        <v>0</v>
      </c>
      <c r="M829" s="41">
        <f>VLOOKUP(Tabla1[[#This Row],[PAGO DIA]],DIAS!A:D,4,0)</f>
        <v>46142</v>
      </c>
      <c r="N829" s="6">
        <v>0</v>
      </c>
      <c r="O829" s="43">
        <f>VLOOKUP(Tabla1[[#This Row],[PAGO DIA]],DIAS!A:E,5,0)</f>
        <v>46171</v>
      </c>
      <c r="P829" s="6">
        <v>0</v>
      </c>
      <c r="Q829" s="43">
        <f>VLOOKUP(Tabla1[[#This Row],[PAGO DIA]],DIAS!A:F,6,0)</f>
        <v>46203</v>
      </c>
      <c r="R829" s="6">
        <v>0</v>
      </c>
      <c r="S829" s="43">
        <f>VLOOKUP(Tabla1[[#This Row],[PAGO DIA]],DIAS!A:G,7,0)</f>
        <v>46234</v>
      </c>
      <c r="T829" s="6">
        <v>0</v>
      </c>
      <c r="U829" s="43">
        <f>VLOOKUP(Tabla1[[#This Row],[PAGO DIA]],DIAS!A:H,8,0)</f>
        <v>46265</v>
      </c>
      <c r="V829" s="6">
        <v>0</v>
      </c>
      <c r="W829" s="43">
        <f>VLOOKUP(Tabla1[[#This Row],[PAGO DIA]],DIAS!A:I,9,0)</f>
        <v>46295</v>
      </c>
      <c r="X829" s="6">
        <v>0</v>
      </c>
      <c r="Y829" s="43">
        <f>VLOOKUP(Tabla1[[#This Row],[PAGO DIA]],DIAS!A:J,10,0)</f>
        <v>46325</v>
      </c>
      <c r="Z829" s="6">
        <v>0</v>
      </c>
      <c r="AA829" s="43">
        <f>VLOOKUP(Tabla1[[#This Row],[PAGO DIA]],DIAS!A:K,11,0)</f>
        <v>46356</v>
      </c>
      <c r="AB829" s="6">
        <v>0</v>
      </c>
      <c r="AC829" s="43">
        <f>VLOOKUP(Tabla1[[#This Row],[PAGO DIA]],DIAS!A:M,12,0)</f>
        <v>46386</v>
      </c>
      <c r="AD8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0" spans="1:30">
      <c r="A830" s="3">
        <v>11486</v>
      </c>
      <c r="B830" s="3" t="s">
        <v>538</v>
      </c>
      <c r="C830" s="3" t="s">
        <v>540</v>
      </c>
      <c r="D830" s="3" t="s">
        <v>540</v>
      </c>
      <c r="E830" s="3" t="s">
        <v>1423</v>
      </c>
      <c r="F830" s="42" t="s">
        <v>631</v>
      </c>
      <c r="G830" s="3" t="s">
        <v>1428</v>
      </c>
      <c r="H830" s="6">
        <v>0</v>
      </c>
      <c r="I830" s="41">
        <f>VLOOKUP(Tabla1[[#This Row],[PAGO DIA]],DIAS!A:B,2,0)</f>
        <v>46080</v>
      </c>
      <c r="J830" s="6">
        <v>0</v>
      </c>
      <c r="K830" s="43">
        <f>VLOOKUP(Tabla1[[#This Row],[PAGO DIA]],DIAS!A:C,3,0)</f>
        <v>46112</v>
      </c>
      <c r="L830" s="6">
        <v>0</v>
      </c>
      <c r="M830" s="41">
        <f>VLOOKUP(Tabla1[[#This Row],[PAGO DIA]],DIAS!A:D,4,0)</f>
        <v>46142</v>
      </c>
      <c r="N830" s="6">
        <v>0</v>
      </c>
      <c r="O830" s="43">
        <f>VLOOKUP(Tabla1[[#This Row],[PAGO DIA]],DIAS!A:E,5,0)</f>
        <v>46171</v>
      </c>
      <c r="P830" s="6">
        <v>0</v>
      </c>
      <c r="Q830" s="43">
        <f>VLOOKUP(Tabla1[[#This Row],[PAGO DIA]],DIAS!A:F,6,0)</f>
        <v>46203</v>
      </c>
      <c r="R830" s="6">
        <v>0</v>
      </c>
      <c r="S830" s="43">
        <f>VLOOKUP(Tabla1[[#This Row],[PAGO DIA]],DIAS!A:G,7,0)</f>
        <v>46234</v>
      </c>
      <c r="T830" s="6">
        <v>0</v>
      </c>
      <c r="U830" s="43">
        <f>VLOOKUP(Tabla1[[#This Row],[PAGO DIA]],DIAS!A:H,8,0)</f>
        <v>46265</v>
      </c>
      <c r="V830" s="6">
        <v>0</v>
      </c>
      <c r="W830" s="43">
        <f>VLOOKUP(Tabla1[[#This Row],[PAGO DIA]],DIAS!A:I,9,0)</f>
        <v>46295</v>
      </c>
      <c r="X830" s="6">
        <v>0</v>
      </c>
      <c r="Y830" s="43">
        <f>VLOOKUP(Tabla1[[#This Row],[PAGO DIA]],DIAS!A:J,10,0)</f>
        <v>46325</v>
      </c>
      <c r="Z830" s="6">
        <v>0</v>
      </c>
      <c r="AA830" s="43">
        <f>VLOOKUP(Tabla1[[#This Row],[PAGO DIA]],DIAS!A:K,11,0)</f>
        <v>46356</v>
      </c>
      <c r="AB830" s="6">
        <v>0</v>
      </c>
      <c r="AC830" s="43">
        <f>VLOOKUP(Tabla1[[#This Row],[PAGO DIA]],DIAS!A:M,12,0)</f>
        <v>46386</v>
      </c>
      <c r="AD8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1" spans="1:30">
      <c r="A831" s="3">
        <v>11487</v>
      </c>
      <c r="B831" s="3" t="s">
        <v>538</v>
      </c>
      <c r="C831" s="3" t="s">
        <v>540</v>
      </c>
      <c r="D831" s="3" t="s">
        <v>540</v>
      </c>
      <c r="E831" s="3" t="s">
        <v>1423</v>
      </c>
      <c r="F831" s="42" t="s">
        <v>631</v>
      </c>
      <c r="G831" s="3" t="s">
        <v>1428</v>
      </c>
      <c r="H831" s="6">
        <v>0</v>
      </c>
      <c r="I831" s="41">
        <f>VLOOKUP(Tabla1[[#This Row],[PAGO DIA]],DIAS!A:B,2,0)</f>
        <v>46080</v>
      </c>
      <c r="J831" s="6">
        <v>0</v>
      </c>
      <c r="K831" s="43">
        <f>VLOOKUP(Tabla1[[#This Row],[PAGO DIA]],DIAS!A:C,3,0)</f>
        <v>46112</v>
      </c>
      <c r="L831" s="6">
        <v>0</v>
      </c>
      <c r="M831" s="41">
        <f>VLOOKUP(Tabla1[[#This Row],[PAGO DIA]],DIAS!A:D,4,0)</f>
        <v>46142</v>
      </c>
      <c r="N831" s="6">
        <v>0</v>
      </c>
      <c r="O831" s="43">
        <f>VLOOKUP(Tabla1[[#This Row],[PAGO DIA]],DIAS!A:E,5,0)</f>
        <v>46171</v>
      </c>
      <c r="P831" s="6">
        <v>0</v>
      </c>
      <c r="Q831" s="43">
        <f>VLOOKUP(Tabla1[[#This Row],[PAGO DIA]],DIAS!A:F,6,0)</f>
        <v>46203</v>
      </c>
      <c r="R831" s="6">
        <v>0</v>
      </c>
      <c r="S831" s="43">
        <f>VLOOKUP(Tabla1[[#This Row],[PAGO DIA]],DIAS!A:G,7,0)</f>
        <v>46234</v>
      </c>
      <c r="T831" s="6">
        <v>0</v>
      </c>
      <c r="U831" s="43">
        <f>VLOOKUP(Tabla1[[#This Row],[PAGO DIA]],DIAS!A:H,8,0)</f>
        <v>46265</v>
      </c>
      <c r="V831" s="6">
        <v>0</v>
      </c>
      <c r="W831" s="43">
        <f>VLOOKUP(Tabla1[[#This Row],[PAGO DIA]],DIAS!A:I,9,0)</f>
        <v>46295</v>
      </c>
      <c r="X831" s="6">
        <v>0</v>
      </c>
      <c r="Y831" s="43">
        <f>VLOOKUP(Tabla1[[#This Row],[PAGO DIA]],DIAS!A:J,10,0)</f>
        <v>46325</v>
      </c>
      <c r="Z831" s="6">
        <v>0</v>
      </c>
      <c r="AA831" s="43">
        <f>VLOOKUP(Tabla1[[#This Row],[PAGO DIA]],DIAS!A:K,11,0)</f>
        <v>46356</v>
      </c>
      <c r="AB831" s="6">
        <v>0</v>
      </c>
      <c r="AC831" s="43">
        <f>VLOOKUP(Tabla1[[#This Row],[PAGO DIA]],DIAS!A:M,12,0)</f>
        <v>46386</v>
      </c>
      <c r="AD8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2" spans="1:30">
      <c r="A832" s="3">
        <v>11488</v>
      </c>
      <c r="B832" s="3" t="s">
        <v>538</v>
      </c>
      <c r="C832" s="3" t="s">
        <v>540</v>
      </c>
      <c r="D832" s="3" t="s">
        <v>540</v>
      </c>
      <c r="E832" s="3" t="s">
        <v>1423</v>
      </c>
      <c r="F832" s="42" t="s">
        <v>631</v>
      </c>
      <c r="G832" s="3" t="s">
        <v>1428</v>
      </c>
      <c r="H832" s="6">
        <v>0</v>
      </c>
      <c r="I832" s="41">
        <f>VLOOKUP(Tabla1[[#This Row],[PAGO DIA]],DIAS!A:B,2,0)</f>
        <v>46080</v>
      </c>
      <c r="J832" s="6">
        <v>0</v>
      </c>
      <c r="K832" s="43">
        <f>VLOOKUP(Tabla1[[#This Row],[PAGO DIA]],DIAS!A:C,3,0)</f>
        <v>46112</v>
      </c>
      <c r="L832" s="6">
        <v>0</v>
      </c>
      <c r="M832" s="41">
        <f>VLOOKUP(Tabla1[[#This Row],[PAGO DIA]],DIAS!A:D,4,0)</f>
        <v>46142</v>
      </c>
      <c r="N832" s="6">
        <v>0</v>
      </c>
      <c r="O832" s="43">
        <f>VLOOKUP(Tabla1[[#This Row],[PAGO DIA]],DIAS!A:E,5,0)</f>
        <v>46171</v>
      </c>
      <c r="P832" s="6">
        <v>0</v>
      </c>
      <c r="Q832" s="43">
        <f>VLOOKUP(Tabla1[[#This Row],[PAGO DIA]],DIAS!A:F,6,0)</f>
        <v>46203</v>
      </c>
      <c r="R832" s="6">
        <v>0</v>
      </c>
      <c r="S832" s="43">
        <f>VLOOKUP(Tabla1[[#This Row],[PAGO DIA]],DIAS!A:G,7,0)</f>
        <v>46234</v>
      </c>
      <c r="T832" s="6">
        <v>0</v>
      </c>
      <c r="U832" s="43">
        <f>VLOOKUP(Tabla1[[#This Row],[PAGO DIA]],DIAS!A:H,8,0)</f>
        <v>46265</v>
      </c>
      <c r="V832" s="6">
        <v>0</v>
      </c>
      <c r="W832" s="43">
        <f>VLOOKUP(Tabla1[[#This Row],[PAGO DIA]],DIAS!A:I,9,0)</f>
        <v>46295</v>
      </c>
      <c r="X832" s="6">
        <v>0</v>
      </c>
      <c r="Y832" s="43">
        <f>VLOOKUP(Tabla1[[#This Row],[PAGO DIA]],DIAS!A:J,10,0)</f>
        <v>46325</v>
      </c>
      <c r="Z832" s="6">
        <v>0</v>
      </c>
      <c r="AA832" s="43">
        <f>VLOOKUP(Tabla1[[#This Row],[PAGO DIA]],DIAS!A:K,11,0)</f>
        <v>46356</v>
      </c>
      <c r="AB832" s="6">
        <v>0</v>
      </c>
      <c r="AC832" s="43">
        <f>VLOOKUP(Tabla1[[#This Row],[PAGO DIA]],DIAS!A:M,12,0)</f>
        <v>46386</v>
      </c>
      <c r="AD8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3" spans="1:30">
      <c r="A833" s="3">
        <v>11489</v>
      </c>
      <c r="B833" s="3" t="s">
        <v>538</v>
      </c>
      <c r="C833" s="3" t="s">
        <v>540</v>
      </c>
      <c r="D833" s="3" t="s">
        <v>540</v>
      </c>
      <c r="E833" s="3" t="s">
        <v>1423</v>
      </c>
      <c r="F833" s="42" t="s">
        <v>631</v>
      </c>
      <c r="G833" s="3" t="s">
        <v>1428</v>
      </c>
      <c r="H833" s="6">
        <v>0</v>
      </c>
      <c r="I833" s="41">
        <f>VLOOKUP(Tabla1[[#This Row],[PAGO DIA]],DIAS!A:B,2,0)</f>
        <v>46080</v>
      </c>
      <c r="J833" s="6">
        <v>0</v>
      </c>
      <c r="K833" s="43">
        <f>VLOOKUP(Tabla1[[#This Row],[PAGO DIA]],DIAS!A:C,3,0)</f>
        <v>46112</v>
      </c>
      <c r="L833" s="6">
        <v>0</v>
      </c>
      <c r="M833" s="41">
        <f>VLOOKUP(Tabla1[[#This Row],[PAGO DIA]],DIAS!A:D,4,0)</f>
        <v>46142</v>
      </c>
      <c r="N833" s="6">
        <v>0</v>
      </c>
      <c r="O833" s="43">
        <f>VLOOKUP(Tabla1[[#This Row],[PAGO DIA]],DIAS!A:E,5,0)</f>
        <v>46171</v>
      </c>
      <c r="P833" s="6">
        <v>0</v>
      </c>
      <c r="Q833" s="43">
        <f>VLOOKUP(Tabla1[[#This Row],[PAGO DIA]],DIAS!A:F,6,0)</f>
        <v>46203</v>
      </c>
      <c r="R833" s="6">
        <v>0</v>
      </c>
      <c r="S833" s="43">
        <f>VLOOKUP(Tabla1[[#This Row],[PAGO DIA]],DIAS!A:G,7,0)</f>
        <v>46234</v>
      </c>
      <c r="T833" s="6">
        <v>0</v>
      </c>
      <c r="U833" s="43">
        <f>VLOOKUP(Tabla1[[#This Row],[PAGO DIA]],DIAS!A:H,8,0)</f>
        <v>46265</v>
      </c>
      <c r="V833" s="6">
        <v>0</v>
      </c>
      <c r="W833" s="43">
        <f>VLOOKUP(Tabla1[[#This Row],[PAGO DIA]],DIAS!A:I,9,0)</f>
        <v>46295</v>
      </c>
      <c r="X833" s="6">
        <v>0</v>
      </c>
      <c r="Y833" s="43">
        <f>VLOOKUP(Tabla1[[#This Row],[PAGO DIA]],DIAS!A:J,10,0)</f>
        <v>46325</v>
      </c>
      <c r="Z833" s="6">
        <v>0</v>
      </c>
      <c r="AA833" s="43">
        <f>VLOOKUP(Tabla1[[#This Row],[PAGO DIA]],DIAS!A:K,11,0)</f>
        <v>46356</v>
      </c>
      <c r="AB833" s="6">
        <v>0</v>
      </c>
      <c r="AC833" s="43">
        <f>VLOOKUP(Tabla1[[#This Row],[PAGO DIA]],DIAS!A:M,12,0)</f>
        <v>46386</v>
      </c>
      <c r="AD8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4" spans="1:30">
      <c r="A834" s="3">
        <v>11490</v>
      </c>
      <c r="B834" s="3" t="s">
        <v>538</v>
      </c>
      <c r="C834" s="3" t="s">
        <v>540</v>
      </c>
      <c r="D834" s="3" t="s">
        <v>540</v>
      </c>
      <c r="E834" s="3" t="s">
        <v>1423</v>
      </c>
      <c r="F834" s="42" t="s">
        <v>631</v>
      </c>
      <c r="G834" s="3" t="s">
        <v>1428</v>
      </c>
      <c r="H834" s="6">
        <v>0</v>
      </c>
      <c r="I834" s="41">
        <f>VLOOKUP(Tabla1[[#This Row],[PAGO DIA]],DIAS!A:B,2,0)</f>
        <v>46080</v>
      </c>
      <c r="J834" s="6">
        <v>0</v>
      </c>
      <c r="K834" s="43">
        <f>VLOOKUP(Tabla1[[#This Row],[PAGO DIA]],DIAS!A:C,3,0)</f>
        <v>46112</v>
      </c>
      <c r="L834" s="6">
        <v>0</v>
      </c>
      <c r="M834" s="41">
        <f>VLOOKUP(Tabla1[[#This Row],[PAGO DIA]],DIAS!A:D,4,0)</f>
        <v>46142</v>
      </c>
      <c r="N834" s="6">
        <v>0</v>
      </c>
      <c r="O834" s="43">
        <f>VLOOKUP(Tabla1[[#This Row],[PAGO DIA]],DIAS!A:E,5,0)</f>
        <v>46171</v>
      </c>
      <c r="P834" s="6">
        <v>0</v>
      </c>
      <c r="Q834" s="43">
        <f>VLOOKUP(Tabla1[[#This Row],[PAGO DIA]],DIAS!A:F,6,0)</f>
        <v>46203</v>
      </c>
      <c r="R834" s="6">
        <v>0</v>
      </c>
      <c r="S834" s="43">
        <f>VLOOKUP(Tabla1[[#This Row],[PAGO DIA]],DIAS!A:G,7,0)</f>
        <v>46234</v>
      </c>
      <c r="T834" s="6">
        <v>0</v>
      </c>
      <c r="U834" s="43">
        <f>VLOOKUP(Tabla1[[#This Row],[PAGO DIA]],DIAS!A:H,8,0)</f>
        <v>46265</v>
      </c>
      <c r="V834" s="6">
        <v>0</v>
      </c>
      <c r="W834" s="43">
        <f>VLOOKUP(Tabla1[[#This Row],[PAGO DIA]],DIAS!A:I,9,0)</f>
        <v>46295</v>
      </c>
      <c r="X834" s="6">
        <v>0</v>
      </c>
      <c r="Y834" s="43">
        <f>VLOOKUP(Tabla1[[#This Row],[PAGO DIA]],DIAS!A:J,10,0)</f>
        <v>46325</v>
      </c>
      <c r="Z834" s="6">
        <v>0</v>
      </c>
      <c r="AA834" s="43">
        <f>VLOOKUP(Tabla1[[#This Row],[PAGO DIA]],DIAS!A:K,11,0)</f>
        <v>46356</v>
      </c>
      <c r="AB834" s="6">
        <v>0</v>
      </c>
      <c r="AC834" s="43">
        <f>VLOOKUP(Tabla1[[#This Row],[PAGO DIA]],DIAS!A:M,12,0)</f>
        <v>46386</v>
      </c>
      <c r="AD8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5" spans="1:30">
      <c r="A835" s="3">
        <v>11491</v>
      </c>
      <c r="B835" s="3" t="s">
        <v>538</v>
      </c>
      <c r="C835" s="3" t="s">
        <v>540</v>
      </c>
      <c r="D835" s="3" t="s">
        <v>540</v>
      </c>
      <c r="E835" s="3" t="s">
        <v>1423</v>
      </c>
      <c r="F835" s="42" t="s">
        <v>631</v>
      </c>
      <c r="G835" s="3" t="s">
        <v>1428</v>
      </c>
      <c r="H835" s="6">
        <v>0</v>
      </c>
      <c r="I835" s="41">
        <f>VLOOKUP(Tabla1[[#This Row],[PAGO DIA]],DIAS!A:B,2,0)</f>
        <v>46080</v>
      </c>
      <c r="J835" s="6">
        <v>0</v>
      </c>
      <c r="K835" s="43">
        <f>VLOOKUP(Tabla1[[#This Row],[PAGO DIA]],DIAS!A:C,3,0)</f>
        <v>46112</v>
      </c>
      <c r="L835" s="6">
        <v>0</v>
      </c>
      <c r="M835" s="41">
        <f>VLOOKUP(Tabla1[[#This Row],[PAGO DIA]],DIAS!A:D,4,0)</f>
        <v>46142</v>
      </c>
      <c r="N835" s="6">
        <v>0</v>
      </c>
      <c r="O835" s="43">
        <f>VLOOKUP(Tabla1[[#This Row],[PAGO DIA]],DIAS!A:E,5,0)</f>
        <v>46171</v>
      </c>
      <c r="P835" s="6">
        <v>0</v>
      </c>
      <c r="Q835" s="43">
        <f>VLOOKUP(Tabla1[[#This Row],[PAGO DIA]],DIAS!A:F,6,0)</f>
        <v>46203</v>
      </c>
      <c r="R835" s="6">
        <v>0</v>
      </c>
      <c r="S835" s="43">
        <f>VLOOKUP(Tabla1[[#This Row],[PAGO DIA]],DIAS!A:G,7,0)</f>
        <v>46234</v>
      </c>
      <c r="T835" s="6">
        <v>0</v>
      </c>
      <c r="U835" s="43">
        <f>VLOOKUP(Tabla1[[#This Row],[PAGO DIA]],DIAS!A:H,8,0)</f>
        <v>46265</v>
      </c>
      <c r="V835" s="6">
        <v>0</v>
      </c>
      <c r="W835" s="43">
        <f>VLOOKUP(Tabla1[[#This Row],[PAGO DIA]],DIAS!A:I,9,0)</f>
        <v>46295</v>
      </c>
      <c r="X835" s="6">
        <v>0</v>
      </c>
      <c r="Y835" s="43">
        <f>VLOOKUP(Tabla1[[#This Row],[PAGO DIA]],DIAS!A:J,10,0)</f>
        <v>46325</v>
      </c>
      <c r="Z835" s="6">
        <v>0</v>
      </c>
      <c r="AA835" s="43">
        <f>VLOOKUP(Tabla1[[#This Row],[PAGO DIA]],DIAS!A:K,11,0)</f>
        <v>46356</v>
      </c>
      <c r="AB835" s="6">
        <v>0</v>
      </c>
      <c r="AC835" s="43">
        <f>VLOOKUP(Tabla1[[#This Row],[PAGO DIA]],DIAS!A:M,12,0)</f>
        <v>46386</v>
      </c>
      <c r="AD8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6" spans="1:30">
      <c r="A836" s="3">
        <v>12837</v>
      </c>
      <c r="B836" s="3" t="s">
        <v>538</v>
      </c>
      <c r="C836" s="3"/>
      <c r="D836" s="3" t="s">
        <v>540</v>
      </c>
      <c r="E836" s="3" t="s">
        <v>666</v>
      </c>
      <c r="F836" s="42" t="s">
        <v>631</v>
      </c>
      <c r="G836" s="3" t="s">
        <v>1230</v>
      </c>
      <c r="H836" s="6">
        <v>0</v>
      </c>
      <c r="I836" s="41">
        <f>VLOOKUP(Tabla1[[#This Row],[PAGO DIA]],DIAS!A:B,2,0)</f>
        <v>46080</v>
      </c>
      <c r="J836" s="6">
        <v>0</v>
      </c>
      <c r="K836" s="43">
        <f>VLOOKUP(Tabla1[[#This Row],[PAGO DIA]],DIAS!A:C,3,0)</f>
        <v>46112</v>
      </c>
      <c r="L836" s="6">
        <v>0</v>
      </c>
      <c r="M836" s="41">
        <f>VLOOKUP(Tabla1[[#This Row],[PAGO DIA]],DIAS!A:D,4,0)</f>
        <v>46142</v>
      </c>
      <c r="N836" s="6">
        <v>0</v>
      </c>
      <c r="O836" s="43">
        <f>VLOOKUP(Tabla1[[#This Row],[PAGO DIA]],DIAS!A:E,5,0)</f>
        <v>46171</v>
      </c>
      <c r="P836" s="6">
        <v>0</v>
      </c>
      <c r="Q836" s="43">
        <f>VLOOKUP(Tabla1[[#This Row],[PAGO DIA]],DIAS!A:F,6,0)</f>
        <v>46203</v>
      </c>
      <c r="R836" s="6">
        <v>0</v>
      </c>
      <c r="S836" s="43">
        <f>VLOOKUP(Tabla1[[#This Row],[PAGO DIA]],DIAS!A:G,7,0)</f>
        <v>46234</v>
      </c>
      <c r="T836" s="6">
        <v>0</v>
      </c>
      <c r="U836" s="43">
        <f>VLOOKUP(Tabla1[[#This Row],[PAGO DIA]],DIAS!A:H,8,0)</f>
        <v>46265</v>
      </c>
      <c r="V836" s="6">
        <v>0</v>
      </c>
      <c r="W836" s="43">
        <f>VLOOKUP(Tabla1[[#This Row],[PAGO DIA]],DIAS!A:I,9,0)</f>
        <v>46295</v>
      </c>
      <c r="X836" s="6">
        <v>0</v>
      </c>
      <c r="Y836" s="43">
        <f>VLOOKUP(Tabla1[[#This Row],[PAGO DIA]],DIAS!A:J,10,0)</f>
        <v>46325</v>
      </c>
      <c r="Z836" s="6">
        <v>0</v>
      </c>
      <c r="AA836" s="43">
        <f>VLOOKUP(Tabla1[[#This Row],[PAGO DIA]],DIAS!A:K,11,0)</f>
        <v>46356</v>
      </c>
      <c r="AB836" s="6">
        <v>0</v>
      </c>
      <c r="AC836" s="43">
        <f>VLOOKUP(Tabla1[[#This Row],[PAGO DIA]],DIAS!A:M,12,0)</f>
        <v>46386</v>
      </c>
      <c r="AD8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7" spans="1:30">
      <c r="A837" s="3">
        <v>12607</v>
      </c>
      <c r="B837" s="3" t="s">
        <v>538</v>
      </c>
      <c r="C837" s="3" t="s">
        <v>539</v>
      </c>
      <c r="D837" s="3" t="s">
        <v>540</v>
      </c>
      <c r="E837" s="3" t="s">
        <v>1429</v>
      </c>
      <c r="F837" s="42" t="s">
        <v>631</v>
      </c>
      <c r="G837" s="3" t="s">
        <v>1430</v>
      </c>
      <c r="H837" s="6">
        <v>0</v>
      </c>
      <c r="I837" s="41">
        <f>VLOOKUP(Tabla1[[#This Row],[PAGO DIA]],DIAS!A:B,2,0)</f>
        <v>46080</v>
      </c>
      <c r="J837" s="6">
        <v>0</v>
      </c>
      <c r="K837" s="43">
        <f>VLOOKUP(Tabla1[[#This Row],[PAGO DIA]],DIAS!A:C,3,0)</f>
        <v>46112</v>
      </c>
      <c r="L837" s="6">
        <v>0</v>
      </c>
      <c r="M837" s="41">
        <f>VLOOKUP(Tabla1[[#This Row],[PAGO DIA]],DIAS!A:D,4,0)</f>
        <v>46142</v>
      </c>
      <c r="N837" s="6">
        <v>0</v>
      </c>
      <c r="O837" s="43">
        <f>VLOOKUP(Tabla1[[#This Row],[PAGO DIA]],DIAS!A:E,5,0)</f>
        <v>46171</v>
      </c>
      <c r="P837" s="6">
        <v>0</v>
      </c>
      <c r="Q837" s="43">
        <f>VLOOKUP(Tabla1[[#This Row],[PAGO DIA]],DIAS!A:F,6,0)</f>
        <v>46203</v>
      </c>
      <c r="R837" s="6">
        <v>0</v>
      </c>
      <c r="S837" s="43">
        <f>VLOOKUP(Tabla1[[#This Row],[PAGO DIA]],DIAS!A:G,7,0)</f>
        <v>46234</v>
      </c>
      <c r="T837" s="6">
        <v>0</v>
      </c>
      <c r="U837" s="43">
        <f>VLOOKUP(Tabla1[[#This Row],[PAGO DIA]],DIAS!A:H,8,0)</f>
        <v>46265</v>
      </c>
      <c r="V837" s="6">
        <v>0</v>
      </c>
      <c r="W837" s="43">
        <f>VLOOKUP(Tabla1[[#This Row],[PAGO DIA]],DIAS!A:I,9,0)</f>
        <v>46295</v>
      </c>
      <c r="X837" s="6">
        <v>0</v>
      </c>
      <c r="Y837" s="43">
        <f>VLOOKUP(Tabla1[[#This Row],[PAGO DIA]],DIAS!A:J,10,0)</f>
        <v>46325</v>
      </c>
      <c r="Z837" s="6">
        <v>0</v>
      </c>
      <c r="AA837" s="43">
        <f>VLOOKUP(Tabla1[[#This Row],[PAGO DIA]],DIAS!A:K,11,0)</f>
        <v>46356</v>
      </c>
      <c r="AB837" s="6">
        <v>0</v>
      </c>
      <c r="AC837" s="43">
        <f>VLOOKUP(Tabla1[[#This Row],[PAGO DIA]],DIAS!A:M,12,0)</f>
        <v>46386</v>
      </c>
      <c r="AD8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8" spans="1:30">
      <c r="A838" s="3">
        <v>12698</v>
      </c>
      <c r="B838" s="3" t="s">
        <v>538</v>
      </c>
      <c r="C838" s="3" t="s">
        <v>539</v>
      </c>
      <c r="D838" s="3" t="s">
        <v>540</v>
      </c>
      <c r="E838" s="3" t="s">
        <v>1429</v>
      </c>
      <c r="F838" s="42" t="s">
        <v>631</v>
      </c>
      <c r="G838" s="3" t="s">
        <v>1431</v>
      </c>
      <c r="H838" s="6">
        <v>0</v>
      </c>
      <c r="I838" s="41">
        <f>VLOOKUP(Tabla1[[#This Row],[PAGO DIA]],DIAS!A:B,2,0)</f>
        <v>46080</v>
      </c>
      <c r="J838" s="6">
        <v>0</v>
      </c>
      <c r="K838" s="43">
        <f>VLOOKUP(Tabla1[[#This Row],[PAGO DIA]],DIAS!A:C,3,0)</f>
        <v>46112</v>
      </c>
      <c r="L838" s="6">
        <v>0</v>
      </c>
      <c r="M838" s="41">
        <f>VLOOKUP(Tabla1[[#This Row],[PAGO DIA]],DIAS!A:D,4,0)</f>
        <v>46142</v>
      </c>
      <c r="N838" s="6">
        <v>0</v>
      </c>
      <c r="O838" s="43">
        <f>VLOOKUP(Tabla1[[#This Row],[PAGO DIA]],DIAS!A:E,5,0)</f>
        <v>46171</v>
      </c>
      <c r="P838" s="6">
        <v>0</v>
      </c>
      <c r="Q838" s="43">
        <f>VLOOKUP(Tabla1[[#This Row],[PAGO DIA]],DIAS!A:F,6,0)</f>
        <v>46203</v>
      </c>
      <c r="R838" s="6">
        <v>0</v>
      </c>
      <c r="S838" s="43">
        <f>VLOOKUP(Tabla1[[#This Row],[PAGO DIA]],DIAS!A:G,7,0)</f>
        <v>46234</v>
      </c>
      <c r="T838" s="6">
        <v>0</v>
      </c>
      <c r="U838" s="43">
        <f>VLOOKUP(Tabla1[[#This Row],[PAGO DIA]],DIAS!A:H,8,0)</f>
        <v>46265</v>
      </c>
      <c r="V838" s="6">
        <v>0</v>
      </c>
      <c r="W838" s="43">
        <f>VLOOKUP(Tabla1[[#This Row],[PAGO DIA]],DIAS!A:I,9,0)</f>
        <v>46295</v>
      </c>
      <c r="X838" s="6">
        <v>0</v>
      </c>
      <c r="Y838" s="43">
        <f>VLOOKUP(Tabla1[[#This Row],[PAGO DIA]],DIAS!A:J,10,0)</f>
        <v>46325</v>
      </c>
      <c r="Z838" s="6">
        <v>0</v>
      </c>
      <c r="AA838" s="43">
        <f>VLOOKUP(Tabla1[[#This Row],[PAGO DIA]],DIAS!A:K,11,0)</f>
        <v>46356</v>
      </c>
      <c r="AB838" s="6">
        <v>0</v>
      </c>
      <c r="AC838" s="43">
        <f>VLOOKUP(Tabla1[[#This Row],[PAGO DIA]],DIAS!A:M,12,0)</f>
        <v>46386</v>
      </c>
      <c r="AD8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39" spans="1:30">
      <c r="A839" s="3">
        <v>11145</v>
      </c>
      <c r="B839" s="3" t="s">
        <v>538</v>
      </c>
      <c r="C839" s="3" t="s">
        <v>539</v>
      </c>
      <c r="D839" s="3" t="s">
        <v>540</v>
      </c>
      <c r="E839" s="3" t="s">
        <v>1432</v>
      </c>
      <c r="F839" s="42" t="s">
        <v>631</v>
      </c>
      <c r="G839" s="3"/>
      <c r="H839" s="6">
        <v>0</v>
      </c>
      <c r="I839" s="41">
        <f>VLOOKUP(Tabla1[[#This Row],[PAGO DIA]],DIAS!A:B,2,0)</f>
        <v>46080</v>
      </c>
      <c r="J839" s="6">
        <v>0</v>
      </c>
      <c r="K839" s="43">
        <f>VLOOKUP(Tabla1[[#This Row],[PAGO DIA]],DIAS!A:C,3,0)</f>
        <v>46112</v>
      </c>
      <c r="L839" s="6">
        <v>0</v>
      </c>
      <c r="M839" s="41">
        <f>VLOOKUP(Tabla1[[#This Row],[PAGO DIA]],DIAS!A:D,4,0)</f>
        <v>46142</v>
      </c>
      <c r="N839" s="6">
        <v>0</v>
      </c>
      <c r="O839" s="43">
        <f>VLOOKUP(Tabla1[[#This Row],[PAGO DIA]],DIAS!A:E,5,0)</f>
        <v>46171</v>
      </c>
      <c r="P839" s="6">
        <v>0</v>
      </c>
      <c r="Q839" s="43">
        <f>VLOOKUP(Tabla1[[#This Row],[PAGO DIA]],DIAS!A:F,6,0)</f>
        <v>46203</v>
      </c>
      <c r="R839" s="6">
        <v>0</v>
      </c>
      <c r="S839" s="43">
        <f>VLOOKUP(Tabla1[[#This Row],[PAGO DIA]],DIAS!A:G,7,0)</f>
        <v>46234</v>
      </c>
      <c r="T839" s="6">
        <v>0</v>
      </c>
      <c r="U839" s="43">
        <f>VLOOKUP(Tabla1[[#This Row],[PAGO DIA]],DIAS!A:H,8,0)</f>
        <v>46265</v>
      </c>
      <c r="V839" s="6">
        <v>0</v>
      </c>
      <c r="W839" s="43">
        <f>VLOOKUP(Tabla1[[#This Row],[PAGO DIA]],DIAS!A:I,9,0)</f>
        <v>46295</v>
      </c>
      <c r="X839" s="6">
        <v>0</v>
      </c>
      <c r="Y839" s="43">
        <f>VLOOKUP(Tabla1[[#This Row],[PAGO DIA]],DIAS!A:J,10,0)</f>
        <v>46325</v>
      </c>
      <c r="Z839" s="6">
        <v>0</v>
      </c>
      <c r="AA839" s="43">
        <f>VLOOKUP(Tabla1[[#This Row],[PAGO DIA]],DIAS!A:K,11,0)</f>
        <v>46356</v>
      </c>
      <c r="AB839" s="6">
        <v>0</v>
      </c>
      <c r="AC839" s="43">
        <f>VLOOKUP(Tabla1[[#This Row],[PAGO DIA]],DIAS!A:M,12,0)</f>
        <v>46386</v>
      </c>
      <c r="AD8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0" spans="1:30">
      <c r="A840" s="3">
        <v>11304</v>
      </c>
      <c r="B840" s="3" t="s">
        <v>538</v>
      </c>
      <c r="C840" s="3" t="s">
        <v>539</v>
      </c>
      <c r="D840" s="3" t="s">
        <v>540</v>
      </c>
      <c r="E840" s="3" t="s">
        <v>1432</v>
      </c>
      <c r="F840" s="42" t="s">
        <v>631</v>
      </c>
      <c r="G840" s="3"/>
      <c r="H840" s="6">
        <v>0</v>
      </c>
      <c r="I840" s="41">
        <f>VLOOKUP(Tabla1[[#This Row],[PAGO DIA]],DIAS!A:B,2,0)</f>
        <v>46080</v>
      </c>
      <c r="J840" s="6">
        <v>0</v>
      </c>
      <c r="K840" s="43">
        <f>VLOOKUP(Tabla1[[#This Row],[PAGO DIA]],DIAS!A:C,3,0)</f>
        <v>46112</v>
      </c>
      <c r="L840" s="6">
        <v>0</v>
      </c>
      <c r="M840" s="41">
        <f>VLOOKUP(Tabla1[[#This Row],[PAGO DIA]],DIAS!A:D,4,0)</f>
        <v>46142</v>
      </c>
      <c r="N840" s="6">
        <v>0</v>
      </c>
      <c r="O840" s="43">
        <f>VLOOKUP(Tabla1[[#This Row],[PAGO DIA]],DIAS!A:E,5,0)</f>
        <v>46171</v>
      </c>
      <c r="P840" s="6">
        <v>0</v>
      </c>
      <c r="Q840" s="43">
        <f>VLOOKUP(Tabla1[[#This Row],[PAGO DIA]],DIAS!A:F,6,0)</f>
        <v>46203</v>
      </c>
      <c r="R840" s="6">
        <v>0</v>
      </c>
      <c r="S840" s="43">
        <f>VLOOKUP(Tabla1[[#This Row],[PAGO DIA]],DIAS!A:G,7,0)</f>
        <v>46234</v>
      </c>
      <c r="T840" s="6">
        <v>0</v>
      </c>
      <c r="U840" s="43">
        <f>VLOOKUP(Tabla1[[#This Row],[PAGO DIA]],DIAS!A:H,8,0)</f>
        <v>46265</v>
      </c>
      <c r="V840" s="6">
        <v>0</v>
      </c>
      <c r="W840" s="43">
        <f>VLOOKUP(Tabla1[[#This Row],[PAGO DIA]],DIAS!A:I,9,0)</f>
        <v>46295</v>
      </c>
      <c r="X840" s="6">
        <v>0</v>
      </c>
      <c r="Y840" s="43">
        <f>VLOOKUP(Tabla1[[#This Row],[PAGO DIA]],DIAS!A:J,10,0)</f>
        <v>46325</v>
      </c>
      <c r="Z840" s="6">
        <v>0</v>
      </c>
      <c r="AA840" s="43">
        <f>VLOOKUP(Tabla1[[#This Row],[PAGO DIA]],DIAS!A:K,11,0)</f>
        <v>46356</v>
      </c>
      <c r="AB840" s="6">
        <v>0</v>
      </c>
      <c r="AC840" s="43">
        <f>VLOOKUP(Tabla1[[#This Row],[PAGO DIA]],DIAS!A:M,12,0)</f>
        <v>46386</v>
      </c>
      <c r="AD8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1" spans="1:30">
      <c r="A841" s="3">
        <v>11499</v>
      </c>
      <c r="B841" s="3" t="s">
        <v>538</v>
      </c>
      <c r="C841" s="3" t="s">
        <v>540</v>
      </c>
      <c r="D841" s="3" t="s">
        <v>540</v>
      </c>
      <c r="E841" s="3" t="s">
        <v>1432</v>
      </c>
      <c r="F841" s="42" t="s">
        <v>631</v>
      </c>
      <c r="G841" s="3" t="s">
        <v>1433</v>
      </c>
      <c r="H841" s="6">
        <v>0</v>
      </c>
      <c r="I841" s="41">
        <f>VLOOKUP(Tabla1[[#This Row],[PAGO DIA]],DIAS!A:B,2,0)</f>
        <v>46080</v>
      </c>
      <c r="J841" s="6">
        <v>0</v>
      </c>
      <c r="K841" s="43">
        <f>VLOOKUP(Tabla1[[#This Row],[PAGO DIA]],DIAS!A:C,3,0)</f>
        <v>46112</v>
      </c>
      <c r="L841" s="6">
        <v>0</v>
      </c>
      <c r="M841" s="41">
        <f>VLOOKUP(Tabla1[[#This Row],[PAGO DIA]],DIAS!A:D,4,0)</f>
        <v>46142</v>
      </c>
      <c r="N841" s="6">
        <v>0</v>
      </c>
      <c r="O841" s="43">
        <f>VLOOKUP(Tabla1[[#This Row],[PAGO DIA]],DIAS!A:E,5,0)</f>
        <v>46171</v>
      </c>
      <c r="P841" s="6">
        <v>0</v>
      </c>
      <c r="Q841" s="43">
        <f>VLOOKUP(Tabla1[[#This Row],[PAGO DIA]],DIAS!A:F,6,0)</f>
        <v>46203</v>
      </c>
      <c r="R841" s="6">
        <v>0</v>
      </c>
      <c r="S841" s="43">
        <f>VLOOKUP(Tabla1[[#This Row],[PAGO DIA]],DIAS!A:G,7,0)</f>
        <v>46234</v>
      </c>
      <c r="T841" s="6">
        <v>0</v>
      </c>
      <c r="U841" s="43">
        <f>VLOOKUP(Tabla1[[#This Row],[PAGO DIA]],DIAS!A:H,8,0)</f>
        <v>46265</v>
      </c>
      <c r="V841" s="6">
        <v>0</v>
      </c>
      <c r="W841" s="43">
        <f>VLOOKUP(Tabla1[[#This Row],[PAGO DIA]],DIAS!A:I,9,0)</f>
        <v>46295</v>
      </c>
      <c r="X841" s="6">
        <v>0</v>
      </c>
      <c r="Y841" s="43">
        <f>VLOOKUP(Tabla1[[#This Row],[PAGO DIA]],DIAS!A:J,10,0)</f>
        <v>46325</v>
      </c>
      <c r="Z841" s="6">
        <v>0</v>
      </c>
      <c r="AA841" s="43">
        <f>VLOOKUP(Tabla1[[#This Row],[PAGO DIA]],DIAS!A:K,11,0)</f>
        <v>46356</v>
      </c>
      <c r="AB841" s="6">
        <v>0</v>
      </c>
      <c r="AC841" s="43">
        <f>VLOOKUP(Tabla1[[#This Row],[PAGO DIA]],DIAS!A:M,12,0)</f>
        <v>46386</v>
      </c>
      <c r="AD8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2" spans="1:30">
      <c r="A842" s="3">
        <v>11500</v>
      </c>
      <c r="B842" s="3" t="s">
        <v>538</v>
      </c>
      <c r="C842" s="3" t="s">
        <v>540</v>
      </c>
      <c r="D842" s="3" t="s">
        <v>540</v>
      </c>
      <c r="E842" s="3" t="s">
        <v>1432</v>
      </c>
      <c r="F842" s="42" t="s">
        <v>631</v>
      </c>
      <c r="G842" s="3" t="s">
        <v>1434</v>
      </c>
      <c r="H842" s="6">
        <v>0</v>
      </c>
      <c r="I842" s="41">
        <f>VLOOKUP(Tabla1[[#This Row],[PAGO DIA]],DIAS!A:B,2,0)</f>
        <v>46080</v>
      </c>
      <c r="J842" s="6">
        <v>0</v>
      </c>
      <c r="K842" s="43">
        <f>VLOOKUP(Tabla1[[#This Row],[PAGO DIA]],DIAS!A:C,3,0)</f>
        <v>46112</v>
      </c>
      <c r="L842" s="6">
        <v>0</v>
      </c>
      <c r="M842" s="41">
        <f>VLOOKUP(Tabla1[[#This Row],[PAGO DIA]],DIAS!A:D,4,0)</f>
        <v>46142</v>
      </c>
      <c r="N842" s="6">
        <v>0</v>
      </c>
      <c r="O842" s="43">
        <f>VLOOKUP(Tabla1[[#This Row],[PAGO DIA]],DIAS!A:E,5,0)</f>
        <v>46171</v>
      </c>
      <c r="P842" s="6">
        <v>0</v>
      </c>
      <c r="Q842" s="43">
        <f>VLOOKUP(Tabla1[[#This Row],[PAGO DIA]],DIAS!A:F,6,0)</f>
        <v>46203</v>
      </c>
      <c r="R842" s="6">
        <v>0</v>
      </c>
      <c r="S842" s="43">
        <f>VLOOKUP(Tabla1[[#This Row],[PAGO DIA]],DIAS!A:G,7,0)</f>
        <v>46234</v>
      </c>
      <c r="T842" s="6">
        <v>0</v>
      </c>
      <c r="U842" s="43">
        <f>VLOOKUP(Tabla1[[#This Row],[PAGO DIA]],DIAS!A:H,8,0)</f>
        <v>46265</v>
      </c>
      <c r="V842" s="6">
        <v>0</v>
      </c>
      <c r="W842" s="43">
        <f>VLOOKUP(Tabla1[[#This Row],[PAGO DIA]],DIAS!A:I,9,0)</f>
        <v>46295</v>
      </c>
      <c r="X842" s="6">
        <v>0</v>
      </c>
      <c r="Y842" s="43">
        <f>VLOOKUP(Tabla1[[#This Row],[PAGO DIA]],DIAS!A:J,10,0)</f>
        <v>46325</v>
      </c>
      <c r="Z842" s="6">
        <v>0</v>
      </c>
      <c r="AA842" s="43">
        <f>VLOOKUP(Tabla1[[#This Row],[PAGO DIA]],DIAS!A:K,11,0)</f>
        <v>46356</v>
      </c>
      <c r="AB842" s="6">
        <v>0</v>
      </c>
      <c r="AC842" s="43">
        <f>VLOOKUP(Tabla1[[#This Row],[PAGO DIA]],DIAS!A:M,12,0)</f>
        <v>46386</v>
      </c>
      <c r="AD8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3" spans="1:30">
      <c r="A843" s="3">
        <v>11501</v>
      </c>
      <c r="B843" s="3" t="s">
        <v>538</v>
      </c>
      <c r="C843" s="3" t="s">
        <v>540</v>
      </c>
      <c r="D843" s="3" t="s">
        <v>540</v>
      </c>
      <c r="E843" s="3" t="s">
        <v>1432</v>
      </c>
      <c r="F843" s="42" t="s">
        <v>631</v>
      </c>
      <c r="G843" s="3" t="s">
        <v>1435</v>
      </c>
      <c r="H843" s="6">
        <v>0</v>
      </c>
      <c r="I843" s="41">
        <f>VLOOKUP(Tabla1[[#This Row],[PAGO DIA]],DIAS!A:B,2,0)</f>
        <v>46080</v>
      </c>
      <c r="J843" s="6">
        <v>0</v>
      </c>
      <c r="K843" s="43">
        <f>VLOOKUP(Tabla1[[#This Row],[PAGO DIA]],DIAS!A:C,3,0)</f>
        <v>46112</v>
      </c>
      <c r="L843" s="6">
        <v>0</v>
      </c>
      <c r="M843" s="41">
        <f>VLOOKUP(Tabla1[[#This Row],[PAGO DIA]],DIAS!A:D,4,0)</f>
        <v>46142</v>
      </c>
      <c r="N843" s="6">
        <v>0</v>
      </c>
      <c r="O843" s="43">
        <f>VLOOKUP(Tabla1[[#This Row],[PAGO DIA]],DIAS!A:E,5,0)</f>
        <v>46171</v>
      </c>
      <c r="P843" s="6">
        <v>0</v>
      </c>
      <c r="Q843" s="43">
        <f>VLOOKUP(Tabla1[[#This Row],[PAGO DIA]],DIAS!A:F,6,0)</f>
        <v>46203</v>
      </c>
      <c r="R843" s="6">
        <v>0</v>
      </c>
      <c r="S843" s="43">
        <f>VLOOKUP(Tabla1[[#This Row],[PAGO DIA]],DIAS!A:G,7,0)</f>
        <v>46234</v>
      </c>
      <c r="T843" s="6">
        <v>0</v>
      </c>
      <c r="U843" s="43">
        <f>VLOOKUP(Tabla1[[#This Row],[PAGO DIA]],DIAS!A:H,8,0)</f>
        <v>46265</v>
      </c>
      <c r="V843" s="6">
        <v>0</v>
      </c>
      <c r="W843" s="43">
        <f>VLOOKUP(Tabla1[[#This Row],[PAGO DIA]],DIAS!A:I,9,0)</f>
        <v>46295</v>
      </c>
      <c r="X843" s="6">
        <v>0</v>
      </c>
      <c r="Y843" s="43">
        <f>VLOOKUP(Tabla1[[#This Row],[PAGO DIA]],DIAS!A:J,10,0)</f>
        <v>46325</v>
      </c>
      <c r="Z843" s="6">
        <v>0</v>
      </c>
      <c r="AA843" s="43">
        <f>VLOOKUP(Tabla1[[#This Row],[PAGO DIA]],DIAS!A:K,11,0)</f>
        <v>46356</v>
      </c>
      <c r="AB843" s="6">
        <v>0</v>
      </c>
      <c r="AC843" s="43">
        <f>VLOOKUP(Tabla1[[#This Row],[PAGO DIA]],DIAS!A:M,12,0)</f>
        <v>46386</v>
      </c>
      <c r="AD8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4" spans="1:30">
      <c r="A844" s="3">
        <v>11502</v>
      </c>
      <c r="B844" s="3" t="s">
        <v>538</v>
      </c>
      <c r="C844" s="3" t="s">
        <v>540</v>
      </c>
      <c r="D844" s="3" t="s">
        <v>540</v>
      </c>
      <c r="E844" s="3" t="s">
        <v>1432</v>
      </c>
      <c r="F844" s="42" t="s">
        <v>631</v>
      </c>
      <c r="G844" s="3" t="s">
        <v>1436</v>
      </c>
      <c r="H844" s="6">
        <v>0</v>
      </c>
      <c r="I844" s="41">
        <f>VLOOKUP(Tabla1[[#This Row],[PAGO DIA]],DIAS!A:B,2,0)</f>
        <v>46080</v>
      </c>
      <c r="J844" s="6">
        <v>0</v>
      </c>
      <c r="K844" s="43">
        <f>VLOOKUP(Tabla1[[#This Row],[PAGO DIA]],DIAS!A:C,3,0)</f>
        <v>46112</v>
      </c>
      <c r="L844" s="6">
        <v>0</v>
      </c>
      <c r="M844" s="41">
        <f>VLOOKUP(Tabla1[[#This Row],[PAGO DIA]],DIAS!A:D,4,0)</f>
        <v>46142</v>
      </c>
      <c r="N844" s="6">
        <v>0</v>
      </c>
      <c r="O844" s="43">
        <f>VLOOKUP(Tabla1[[#This Row],[PAGO DIA]],DIAS!A:E,5,0)</f>
        <v>46171</v>
      </c>
      <c r="P844" s="6">
        <v>0</v>
      </c>
      <c r="Q844" s="43">
        <f>VLOOKUP(Tabla1[[#This Row],[PAGO DIA]],DIAS!A:F,6,0)</f>
        <v>46203</v>
      </c>
      <c r="R844" s="6">
        <v>0</v>
      </c>
      <c r="S844" s="43">
        <f>VLOOKUP(Tabla1[[#This Row],[PAGO DIA]],DIAS!A:G,7,0)</f>
        <v>46234</v>
      </c>
      <c r="T844" s="6">
        <v>0</v>
      </c>
      <c r="U844" s="43">
        <f>VLOOKUP(Tabla1[[#This Row],[PAGO DIA]],DIAS!A:H,8,0)</f>
        <v>46265</v>
      </c>
      <c r="V844" s="6">
        <v>0</v>
      </c>
      <c r="W844" s="43">
        <f>VLOOKUP(Tabla1[[#This Row],[PAGO DIA]],DIAS!A:I,9,0)</f>
        <v>46295</v>
      </c>
      <c r="X844" s="6">
        <v>0</v>
      </c>
      <c r="Y844" s="43">
        <f>VLOOKUP(Tabla1[[#This Row],[PAGO DIA]],DIAS!A:J,10,0)</f>
        <v>46325</v>
      </c>
      <c r="Z844" s="6">
        <v>0</v>
      </c>
      <c r="AA844" s="43">
        <f>VLOOKUP(Tabla1[[#This Row],[PAGO DIA]],DIAS!A:K,11,0)</f>
        <v>46356</v>
      </c>
      <c r="AB844" s="6">
        <v>0</v>
      </c>
      <c r="AC844" s="43">
        <f>VLOOKUP(Tabla1[[#This Row],[PAGO DIA]],DIAS!A:M,12,0)</f>
        <v>46386</v>
      </c>
      <c r="AD8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5" spans="1:30">
      <c r="A845" s="3">
        <v>11503</v>
      </c>
      <c r="B845" s="3" t="s">
        <v>538</v>
      </c>
      <c r="C845" s="3" t="s">
        <v>540</v>
      </c>
      <c r="D845" s="3" t="s">
        <v>540</v>
      </c>
      <c r="E845" s="3" t="s">
        <v>1432</v>
      </c>
      <c r="F845" s="42" t="s">
        <v>631</v>
      </c>
      <c r="G845" s="3" t="s">
        <v>1437</v>
      </c>
      <c r="H845" s="6">
        <v>0</v>
      </c>
      <c r="I845" s="41">
        <f>VLOOKUP(Tabla1[[#This Row],[PAGO DIA]],DIAS!A:B,2,0)</f>
        <v>46080</v>
      </c>
      <c r="J845" s="6">
        <v>0</v>
      </c>
      <c r="K845" s="43">
        <f>VLOOKUP(Tabla1[[#This Row],[PAGO DIA]],DIAS!A:C,3,0)</f>
        <v>46112</v>
      </c>
      <c r="L845" s="6">
        <v>0</v>
      </c>
      <c r="M845" s="41">
        <f>VLOOKUP(Tabla1[[#This Row],[PAGO DIA]],DIAS!A:D,4,0)</f>
        <v>46142</v>
      </c>
      <c r="N845" s="6">
        <v>0</v>
      </c>
      <c r="O845" s="43">
        <f>VLOOKUP(Tabla1[[#This Row],[PAGO DIA]],DIAS!A:E,5,0)</f>
        <v>46171</v>
      </c>
      <c r="P845" s="6">
        <v>0</v>
      </c>
      <c r="Q845" s="43">
        <f>VLOOKUP(Tabla1[[#This Row],[PAGO DIA]],DIAS!A:F,6,0)</f>
        <v>46203</v>
      </c>
      <c r="R845" s="6">
        <v>0</v>
      </c>
      <c r="S845" s="43">
        <f>VLOOKUP(Tabla1[[#This Row],[PAGO DIA]],DIAS!A:G,7,0)</f>
        <v>46234</v>
      </c>
      <c r="T845" s="6">
        <v>0</v>
      </c>
      <c r="U845" s="43">
        <f>VLOOKUP(Tabla1[[#This Row],[PAGO DIA]],DIAS!A:H,8,0)</f>
        <v>46265</v>
      </c>
      <c r="V845" s="6">
        <v>0</v>
      </c>
      <c r="W845" s="43">
        <f>VLOOKUP(Tabla1[[#This Row],[PAGO DIA]],DIAS!A:I,9,0)</f>
        <v>46295</v>
      </c>
      <c r="X845" s="6">
        <v>0</v>
      </c>
      <c r="Y845" s="43">
        <f>VLOOKUP(Tabla1[[#This Row],[PAGO DIA]],DIAS!A:J,10,0)</f>
        <v>46325</v>
      </c>
      <c r="Z845" s="6">
        <v>0</v>
      </c>
      <c r="AA845" s="43">
        <f>VLOOKUP(Tabla1[[#This Row],[PAGO DIA]],DIAS!A:K,11,0)</f>
        <v>46356</v>
      </c>
      <c r="AB845" s="6">
        <v>0</v>
      </c>
      <c r="AC845" s="43">
        <f>VLOOKUP(Tabla1[[#This Row],[PAGO DIA]],DIAS!A:M,12,0)</f>
        <v>46386</v>
      </c>
      <c r="AD8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6" spans="1:30">
      <c r="A846" s="3">
        <v>11052</v>
      </c>
      <c r="B846" s="3" t="s">
        <v>538</v>
      </c>
      <c r="C846" s="3" t="s">
        <v>539</v>
      </c>
      <c r="D846" s="3" t="s">
        <v>540</v>
      </c>
      <c r="E846" s="3" t="s">
        <v>1000</v>
      </c>
      <c r="F846" s="42" t="s">
        <v>631</v>
      </c>
      <c r="G846" s="3"/>
      <c r="H846" s="6">
        <v>0</v>
      </c>
      <c r="I846" s="41">
        <f>VLOOKUP(Tabla1[[#This Row],[PAGO DIA]],DIAS!A:B,2,0)</f>
        <v>46080</v>
      </c>
      <c r="J846" s="6">
        <v>0</v>
      </c>
      <c r="K846" s="43">
        <f>VLOOKUP(Tabla1[[#This Row],[PAGO DIA]],DIAS!A:C,3,0)</f>
        <v>46112</v>
      </c>
      <c r="L846" s="6">
        <v>0</v>
      </c>
      <c r="M846" s="41">
        <f>VLOOKUP(Tabla1[[#This Row],[PAGO DIA]],DIAS!A:D,4,0)</f>
        <v>46142</v>
      </c>
      <c r="N846" s="6">
        <v>0</v>
      </c>
      <c r="O846" s="43">
        <f>VLOOKUP(Tabla1[[#This Row],[PAGO DIA]],DIAS!A:E,5,0)</f>
        <v>46171</v>
      </c>
      <c r="P846" s="6">
        <v>0</v>
      </c>
      <c r="Q846" s="43">
        <f>VLOOKUP(Tabla1[[#This Row],[PAGO DIA]],DIAS!A:F,6,0)</f>
        <v>46203</v>
      </c>
      <c r="R846" s="6">
        <v>0</v>
      </c>
      <c r="S846" s="43">
        <f>VLOOKUP(Tabla1[[#This Row],[PAGO DIA]],DIAS!A:G,7,0)</f>
        <v>46234</v>
      </c>
      <c r="T846" s="6">
        <v>0</v>
      </c>
      <c r="U846" s="43">
        <f>VLOOKUP(Tabla1[[#This Row],[PAGO DIA]],DIAS!A:H,8,0)</f>
        <v>46265</v>
      </c>
      <c r="V846" s="6">
        <v>0</v>
      </c>
      <c r="W846" s="43">
        <f>VLOOKUP(Tabla1[[#This Row],[PAGO DIA]],DIAS!A:I,9,0)</f>
        <v>46295</v>
      </c>
      <c r="X846" s="6">
        <v>0</v>
      </c>
      <c r="Y846" s="43">
        <f>VLOOKUP(Tabla1[[#This Row],[PAGO DIA]],DIAS!A:J,10,0)</f>
        <v>46325</v>
      </c>
      <c r="Z846" s="6">
        <v>0</v>
      </c>
      <c r="AA846" s="43">
        <f>VLOOKUP(Tabla1[[#This Row],[PAGO DIA]],DIAS!A:K,11,0)</f>
        <v>46356</v>
      </c>
      <c r="AB846" s="6">
        <v>0</v>
      </c>
      <c r="AC846" s="43">
        <f>VLOOKUP(Tabla1[[#This Row],[PAGO DIA]],DIAS!A:M,12,0)</f>
        <v>46386</v>
      </c>
      <c r="AD8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7" spans="1:30">
      <c r="A847" s="3">
        <v>11274</v>
      </c>
      <c r="B847" s="3" t="s">
        <v>538</v>
      </c>
      <c r="C847" s="3" t="s">
        <v>539</v>
      </c>
      <c r="D847" s="3" t="s">
        <v>540</v>
      </c>
      <c r="E847" s="3" t="s">
        <v>1000</v>
      </c>
      <c r="F847" s="42" t="s">
        <v>631</v>
      </c>
      <c r="G847" s="3"/>
      <c r="H847" s="6">
        <v>0</v>
      </c>
      <c r="I847" s="41">
        <f>VLOOKUP(Tabla1[[#This Row],[PAGO DIA]],DIAS!A:B,2,0)</f>
        <v>46080</v>
      </c>
      <c r="J847" s="6">
        <v>0</v>
      </c>
      <c r="K847" s="43">
        <f>VLOOKUP(Tabla1[[#This Row],[PAGO DIA]],DIAS!A:C,3,0)</f>
        <v>46112</v>
      </c>
      <c r="L847" s="6">
        <v>0</v>
      </c>
      <c r="M847" s="41">
        <f>VLOOKUP(Tabla1[[#This Row],[PAGO DIA]],DIAS!A:D,4,0)</f>
        <v>46142</v>
      </c>
      <c r="N847" s="6">
        <v>0</v>
      </c>
      <c r="O847" s="43">
        <f>VLOOKUP(Tabla1[[#This Row],[PAGO DIA]],DIAS!A:E,5,0)</f>
        <v>46171</v>
      </c>
      <c r="P847" s="6">
        <v>0</v>
      </c>
      <c r="Q847" s="43">
        <f>VLOOKUP(Tabla1[[#This Row],[PAGO DIA]],DIAS!A:F,6,0)</f>
        <v>46203</v>
      </c>
      <c r="R847" s="6">
        <v>0</v>
      </c>
      <c r="S847" s="43">
        <f>VLOOKUP(Tabla1[[#This Row],[PAGO DIA]],DIAS!A:G,7,0)</f>
        <v>46234</v>
      </c>
      <c r="T847" s="6">
        <v>0</v>
      </c>
      <c r="U847" s="43">
        <f>VLOOKUP(Tabla1[[#This Row],[PAGO DIA]],DIAS!A:H,8,0)</f>
        <v>46265</v>
      </c>
      <c r="V847" s="6">
        <v>0</v>
      </c>
      <c r="W847" s="43">
        <f>VLOOKUP(Tabla1[[#This Row],[PAGO DIA]],DIAS!A:I,9,0)</f>
        <v>46295</v>
      </c>
      <c r="X847" s="6">
        <v>0</v>
      </c>
      <c r="Y847" s="43">
        <f>VLOOKUP(Tabla1[[#This Row],[PAGO DIA]],DIAS!A:J,10,0)</f>
        <v>46325</v>
      </c>
      <c r="Z847" s="6">
        <v>0</v>
      </c>
      <c r="AA847" s="43">
        <f>VLOOKUP(Tabla1[[#This Row],[PAGO DIA]],DIAS!A:K,11,0)</f>
        <v>46356</v>
      </c>
      <c r="AB847" s="6">
        <v>0</v>
      </c>
      <c r="AC847" s="43">
        <f>VLOOKUP(Tabla1[[#This Row],[PAGO DIA]],DIAS!A:M,12,0)</f>
        <v>46386</v>
      </c>
      <c r="AD8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8" spans="1:30">
      <c r="A848" s="3">
        <v>11294</v>
      </c>
      <c r="B848" s="3" t="s">
        <v>538</v>
      </c>
      <c r="C848" s="3" t="s">
        <v>539</v>
      </c>
      <c r="D848" s="3" t="s">
        <v>540</v>
      </c>
      <c r="E848" s="3" t="s">
        <v>1000</v>
      </c>
      <c r="F848" s="42" t="s">
        <v>631</v>
      </c>
      <c r="G848" s="3"/>
      <c r="H848" s="6">
        <v>0</v>
      </c>
      <c r="I848" s="41">
        <f>VLOOKUP(Tabla1[[#This Row],[PAGO DIA]],DIAS!A:B,2,0)</f>
        <v>46080</v>
      </c>
      <c r="J848" s="6">
        <v>0</v>
      </c>
      <c r="K848" s="43">
        <f>VLOOKUP(Tabla1[[#This Row],[PAGO DIA]],DIAS!A:C,3,0)</f>
        <v>46112</v>
      </c>
      <c r="L848" s="6">
        <v>0</v>
      </c>
      <c r="M848" s="41">
        <f>VLOOKUP(Tabla1[[#This Row],[PAGO DIA]],DIAS!A:D,4,0)</f>
        <v>46142</v>
      </c>
      <c r="N848" s="6">
        <v>0</v>
      </c>
      <c r="O848" s="43">
        <f>VLOOKUP(Tabla1[[#This Row],[PAGO DIA]],DIAS!A:E,5,0)</f>
        <v>46171</v>
      </c>
      <c r="P848" s="6">
        <v>0</v>
      </c>
      <c r="Q848" s="43">
        <f>VLOOKUP(Tabla1[[#This Row],[PAGO DIA]],DIAS!A:F,6,0)</f>
        <v>46203</v>
      </c>
      <c r="R848" s="6">
        <v>0</v>
      </c>
      <c r="S848" s="43">
        <f>VLOOKUP(Tabla1[[#This Row],[PAGO DIA]],DIAS!A:G,7,0)</f>
        <v>46234</v>
      </c>
      <c r="T848" s="6">
        <v>0</v>
      </c>
      <c r="U848" s="43">
        <f>VLOOKUP(Tabla1[[#This Row],[PAGO DIA]],DIAS!A:H,8,0)</f>
        <v>46265</v>
      </c>
      <c r="V848" s="6">
        <v>0</v>
      </c>
      <c r="W848" s="43">
        <f>VLOOKUP(Tabla1[[#This Row],[PAGO DIA]],DIAS!A:I,9,0)</f>
        <v>46295</v>
      </c>
      <c r="X848" s="6">
        <v>0</v>
      </c>
      <c r="Y848" s="43">
        <f>VLOOKUP(Tabla1[[#This Row],[PAGO DIA]],DIAS!A:J,10,0)</f>
        <v>46325</v>
      </c>
      <c r="Z848" s="6">
        <v>0</v>
      </c>
      <c r="AA848" s="43">
        <f>VLOOKUP(Tabla1[[#This Row],[PAGO DIA]],DIAS!A:K,11,0)</f>
        <v>46356</v>
      </c>
      <c r="AB848" s="6">
        <v>0</v>
      </c>
      <c r="AC848" s="43">
        <f>VLOOKUP(Tabla1[[#This Row],[PAGO DIA]],DIAS!A:M,12,0)</f>
        <v>46386</v>
      </c>
      <c r="AD8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49" spans="1:30">
      <c r="A849" s="3">
        <v>11507</v>
      </c>
      <c r="B849" s="3" t="s">
        <v>538</v>
      </c>
      <c r="C849" s="3" t="s">
        <v>540</v>
      </c>
      <c r="D849" s="3" t="s">
        <v>540</v>
      </c>
      <c r="E849" s="3" t="s">
        <v>1000</v>
      </c>
      <c r="F849" s="42" t="s">
        <v>631</v>
      </c>
      <c r="G849" s="3" t="s">
        <v>1438</v>
      </c>
      <c r="H849" s="6">
        <v>0</v>
      </c>
      <c r="I849" s="41">
        <f>VLOOKUP(Tabla1[[#This Row],[PAGO DIA]],DIAS!A:B,2,0)</f>
        <v>46080</v>
      </c>
      <c r="J849" s="6">
        <v>0</v>
      </c>
      <c r="K849" s="43">
        <f>VLOOKUP(Tabla1[[#This Row],[PAGO DIA]],DIAS!A:C,3,0)</f>
        <v>46112</v>
      </c>
      <c r="L849" s="6">
        <v>0</v>
      </c>
      <c r="M849" s="41">
        <f>VLOOKUP(Tabla1[[#This Row],[PAGO DIA]],DIAS!A:D,4,0)</f>
        <v>46142</v>
      </c>
      <c r="N849" s="6">
        <v>0</v>
      </c>
      <c r="O849" s="43">
        <f>VLOOKUP(Tabla1[[#This Row],[PAGO DIA]],DIAS!A:E,5,0)</f>
        <v>46171</v>
      </c>
      <c r="P849" s="6">
        <v>0</v>
      </c>
      <c r="Q849" s="43">
        <f>VLOOKUP(Tabla1[[#This Row],[PAGO DIA]],DIAS!A:F,6,0)</f>
        <v>46203</v>
      </c>
      <c r="R849" s="6">
        <v>0</v>
      </c>
      <c r="S849" s="43">
        <f>VLOOKUP(Tabla1[[#This Row],[PAGO DIA]],DIAS!A:G,7,0)</f>
        <v>46234</v>
      </c>
      <c r="T849" s="6">
        <v>0</v>
      </c>
      <c r="U849" s="43">
        <f>VLOOKUP(Tabla1[[#This Row],[PAGO DIA]],DIAS!A:H,8,0)</f>
        <v>46265</v>
      </c>
      <c r="V849" s="6">
        <v>0</v>
      </c>
      <c r="W849" s="43">
        <f>VLOOKUP(Tabla1[[#This Row],[PAGO DIA]],DIAS!A:I,9,0)</f>
        <v>46295</v>
      </c>
      <c r="X849" s="6">
        <v>0</v>
      </c>
      <c r="Y849" s="43">
        <f>VLOOKUP(Tabla1[[#This Row],[PAGO DIA]],DIAS!A:J,10,0)</f>
        <v>46325</v>
      </c>
      <c r="Z849" s="6">
        <v>0</v>
      </c>
      <c r="AA849" s="43">
        <f>VLOOKUP(Tabla1[[#This Row],[PAGO DIA]],DIAS!A:K,11,0)</f>
        <v>46356</v>
      </c>
      <c r="AB849" s="6">
        <v>0</v>
      </c>
      <c r="AC849" s="43">
        <f>VLOOKUP(Tabla1[[#This Row],[PAGO DIA]],DIAS!A:M,12,0)</f>
        <v>46386</v>
      </c>
      <c r="AD8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0" spans="1:30">
      <c r="A850" s="3">
        <v>12002</v>
      </c>
      <c r="B850" s="3" t="s">
        <v>538</v>
      </c>
      <c r="C850" s="3" t="s">
        <v>540</v>
      </c>
      <c r="D850" s="3" t="s">
        <v>540</v>
      </c>
      <c r="E850" s="3" t="s">
        <v>1236</v>
      </c>
      <c r="F850" s="42" t="s">
        <v>631</v>
      </c>
      <c r="G850" s="3" t="s">
        <v>1439</v>
      </c>
      <c r="H850" s="6">
        <v>0</v>
      </c>
      <c r="I850" s="41">
        <f>VLOOKUP(Tabla1[[#This Row],[PAGO DIA]],DIAS!A:B,2,0)</f>
        <v>46080</v>
      </c>
      <c r="J850" s="6">
        <v>0</v>
      </c>
      <c r="K850" s="43">
        <f>VLOOKUP(Tabla1[[#This Row],[PAGO DIA]],DIAS!A:C,3,0)</f>
        <v>46112</v>
      </c>
      <c r="L850" s="6">
        <v>0</v>
      </c>
      <c r="M850" s="41">
        <f>VLOOKUP(Tabla1[[#This Row],[PAGO DIA]],DIAS!A:D,4,0)</f>
        <v>46142</v>
      </c>
      <c r="N850" s="6">
        <v>0</v>
      </c>
      <c r="O850" s="43">
        <f>VLOOKUP(Tabla1[[#This Row],[PAGO DIA]],DIAS!A:E,5,0)</f>
        <v>46171</v>
      </c>
      <c r="P850" s="6">
        <v>0</v>
      </c>
      <c r="Q850" s="43">
        <f>VLOOKUP(Tabla1[[#This Row],[PAGO DIA]],DIAS!A:F,6,0)</f>
        <v>46203</v>
      </c>
      <c r="R850" s="6">
        <v>0</v>
      </c>
      <c r="S850" s="43">
        <f>VLOOKUP(Tabla1[[#This Row],[PAGO DIA]],DIAS!A:G,7,0)</f>
        <v>46234</v>
      </c>
      <c r="T850" s="6">
        <v>0</v>
      </c>
      <c r="U850" s="43">
        <f>VLOOKUP(Tabla1[[#This Row],[PAGO DIA]],DIAS!A:H,8,0)</f>
        <v>46265</v>
      </c>
      <c r="V850" s="6">
        <v>0</v>
      </c>
      <c r="W850" s="43">
        <f>VLOOKUP(Tabla1[[#This Row],[PAGO DIA]],DIAS!A:I,9,0)</f>
        <v>46295</v>
      </c>
      <c r="X850" s="6">
        <v>0</v>
      </c>
      <c r="Y850" s="43">
        <f>VLOOKUP(Tabla1[[#This Row],[PAGO DIA]],DIAS!A:J,10,0)</f>
        <v>46325</v>
      </c>
      <c r="Z850" s="6">
        <v>0</v>
      </c>
      <c r="AA850" s="43">
        <f>VLOOKUP(Tabla1[[#This Row],[PAGO DIA]],DIAS!A:K,11,0)</f>
        <v>46356</v>
      </c>
      <c r="AB850" s="6">
        <v>0</v>
      </c>
      <c r="AC850" s="43">
        <f>VLOOKUP(Tabla1[[#This Row],[PAGO DIA]],DIAS!A:M,12,0)</f>
        <v>46386</v>
      </c>
      <c r="AD8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1" spans="1:30">
      <c r="A851" s="3">
        <v>11068</v>
      </c>
      <c r="B851" s="3" t="s">
        <v>538</v>
      </c>
      <c r="C851" s="3" t="s">
        <v>539</v>
      </c>
      <c r="D851" s="3" t="s">
        <v>540</v>
      </c>
      <c r="E851" s="3" t="s">
        <v>1440</v>
      </c>
      <c r="F851" s="42" t="s">
        <v>631</v>
      </c>
      <c r="G851" s="3"/>
      <c r="H851" s="6">
        <v>0</v>
      </c>
      <c r="I851" s="41">
        <f>VLOOKUP(Tabla1[[#This Row],[PAGO DIA]],DIAS!A:B,2,0)</f>
        <v>46080</v>
      </c>
      <c r="J851" s="6">
        <v>0</v>
      </c>
      <c r="K851" s="43">
        <f>VLOOKUP(Tabla1[[#This Row],[PAGO DIA]],DIAS!A:C,3,0)</f>
        <v>46112</v>
      </c>
      <c r="L851" s="6">
        <v>0</v>
      </c>
      <c r="M851" s="41">
        <f>VLOOKUP(Tabla1[[#This Row],[PAGO DIA]],DIAS!A:D,4,0)</f>
        <v>46142</v>
      </c>
      <c r="N851" s="6">
        <v>0</v>
      </c>
      <c r="O851" s="43">
        <f>VLOOKUP(Tabla1[[#This Row],[PAGO DIA]],DIAS!A:E,5,0)</f>
        <v>46171</v>
      </c>
      <c r="P851" s="6">
        <v>0</v>
      </c>
      <c r="Q851" s="43">
        <f>VLOOKUP(Tabla1[[#This Row],[PAGO DIA]],DIAS!A:F,6,0)</f>
        <v>46203</v>
      </c>
      <c r="R851" s="6">
        <v>0</v>
      </c>
      <c r="S851" s="43">
        <f>VLOOKUP(Tabla1[[#This Row],[PAGO DIA]],DIAS!A:G,7,0)</f>
        <v>46234</v>
      </c>
      <c r="T851" s="6">
        <v>0</v>
      </c>
      <c r="U851" s="43">
        <f>VLOOKUP(Tabla1[[#This Row],[PAGO DIA]],DIAS!A:H,8,0)</f>
        <v>46265</v>
      </c>
      <c r="V851" s="6">
        <v>0</v>
      </c>
      <c r="W851" s="43">
        <f>VLOOKUP(Tabla1[[#This Row],[PAGO DIA]],DIAS!A:I,9,0)</f>
        <v>46295</v>
      </c>
      <c r="X851" s="6">
        <v>0</v>
      </c>
      <c r="Y851" s="43">
        <f>VLOOKUP(Tabla1[[#This Row],[PAGO DIA]],DIAS!A:J,10,0)</f>
        <v>46325</v>
      </c>
      <c r="Z851" s="6">
        <v>0</v>
      </c>
      <c r="AA851" s="43">
        <f>VLOOKUP(Tabla1[[#This Row],[PAGO DIA]],DIAS!A:K,11,0)</f>
        <v>46356</v>
      </c>
      <c r="AB851" s="6">
        <v>0</v>
      </c>
      <c r="AC851" s="43">
        <f>VLOOKUP(Tabla1[[#This Row],[PAGO DIA]],DIAS!A:M,12,0)</f>
        <v>46386</v>
      </c>
      <c r="AD8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2" spans="1:30">
      <c r="A852" s="3">
        <v>11323</v>
      </c>
      <c r="B852" s="3" t="s">
        <v>538</v>
      </c>
      <c r="C852" s="3" t="s">
        <v>539</v>
      </c>
      <c r="D852" s="3" t="s">
        <v>540</v>
      </c>
      <c r="E852" s="3" t="s">
        <v>1440</v>
      </c>
      <c r="F852" s="42" t="s">
        <v>631</v>
      </c>
      <c r="G852" s="3"/>
      <c r="H852" s="6">
        <v>0</v>
      </c>
      <c r="I852" s="41">
        <f>VLOOKUP(Tabla1[[#This Row],[PAGO DIA]],DIAS!A:B,2,0)</f>
        <v>46080</v>
      </c>
      <c r="J852" s="6">
        <v>0</v>
      </c>
      <c r="K852" s="43">
        <f>VLOOKUP(Tabla1[[#This Row],[PAGO DIA]],DIAS!A:C,3,0)</f>
        <v>46112</v>
      </c>
      <c r="L852" s="6">
        <v>0</v>
      </c>
      <c r="M852" s="41">
        <f>VLOOKUP(Tabla1[[#This Row],[PAGO DIA]],DIAS!A:D,4,0)</f>
        <v>46142</v>
      </c>
      <c r="N852" s="6">
        <v>0</v>
      </c>
      <c r="O852" s="43">
        <f>VLOOKUP(Tabla1[[#This Row],[PAGO DIA]],DIAS!A:E,5,0)</f>
        <v>46171</v>
      </c>
      <c r="P852" s="6">
        <v>0</v>
      </c>
      <c r="Q852" s="43">
        <f>VLOOKUP(Tabla1[[#This Row],[PAGO DIA]],DIAS!A:F,6,0)</f>
        <v>46203</v>
      </c>
      <c r="R852" s="6">
        <v>0</v>
      </c>
      <c r="S852" s="43">
        <f>VLOOKUP(Tabla1[[#This Row],[PAGO DIA]],DIAS!A:G,7,0)</f>
        <v>46234</v>
      </c>
      <c r="T852" s="6">
        <v>0</v>
      </c>
      <c r="U852" s="43">
        <f>VLOOKUP(Tabla1[[#This Row],[PAGO DIA]],DIAS!A:H,8,0)</f>
        <v>46265</v>
      </c>
      <c r="V852" s="6">
        <v>0</v>
      </c>
      <c r="W852" s="43">
        <f>VLOOKUP(Tabla1[[#This Row],[PAGO DIA]],DIAS!A:I,9,0)</f>
        <v>46295</v>
      </c>
      <c r="X852" s="6">
        <v>0</v>
      </c>
      <c r="Y852" s="43">
        <f>VLOOKUP(Tabla1[[#This Row],[PAGO DIA]],DIAS!A:J,10,0)</f>
        <v>46325</v>
      </c>
      <c r="Z852" s="6">
        <v>0</v>
      </c>
      <c r="AA852" s="43">
        <f>VLOOKUP(Tabla1[[#This Row],[PAGO DIA]],DIAS!A:K,11,0)</f>
        <v>46356</v>
      </c>
      <c r="AB852" s="6">
        <v>0</v>
      </c>
      <c r="AC852" s="43">
        <f>VLOOKUP(Tabla1[[#This Row],[PAGO DIA]],DIAS!A:M,12,0)</f>
        <v>46386</v>
      </c>
      <c r="AD8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3" spans="1:30">
      <c r="A853" s="3">
        <v>11327</v>
      </c>
      <c r="B853" s="3" t="s">
        <v>538</v>
      </c>
      <c r="C853" s="3" t="s">
        <v>539</v>
      </c>
      <c r="D853" s="3" t="s">
        <v>540</v>
      </c>
      <c r="E853" s="3" t="s">
        <v>1440</v>
      </c>
      <c r="F853" s="42" t="s">
        <v>631</v>
      </c>
      <c r="G853" s="3"/>
      <c r="H853" s="6">
        <v>0</v>
      </c>
      <c r="I853" s="41">
        <f>VLOOKUP(Tabla1[[#This Row],[PAGO DIA]],DIAS!A:B,2,0)</f>
        <v>46080</v>
      </c>
      <c r="J853" s="6">
        <v>0</v>
      </c>
      <c r="K853" s="43">
        <f>VLOOKUP(Tabla1[[#This Row],[PAGO DIA]],DIAS!A:C,3,0)</f>
        <v>46112</v>
      </c>
      <c r="L853" s="6">
        <v>0</v>
      </c>
      <c r="M853" s="41">
        <f>VLOOKUP(Tabla1[[#This Row],[PAGO DIA]],DIAS!A:D,4,0)</f>
        <v>46142</v>
      </c>
      <c r="N853" s="6">
        <v>0</v>
      </c>
      <c r="O853" s="43">
        <f>VLOOKUP(Tabla1[[#This Row],[PAGO DIA]],DIAS!A:E,5,0)</f>
        <v>46171</v>
      </c>
      <c r="P853" s="6">
        <v>0</v>
      </c>
      <c r="Q853" s="43">
        <f>VLOOKUP(Tabla1[[#This Row],[PAGO DIA]],DIAS!A:F,6,0)</f>
        <v>46203</v>
      </c>
      <c r="R853" s="6">
        <v>0</v>
      </c>
      <c r="S853" s="43">
        <f>VLOOKUP(Tabla1[[#This Row],[PAGO DIA]],DIAS!A:G,7,0)</f>
        <v>46234</v>
      </c>
      <c r="T853" s="6">
        <v>0</v>
      </c>
      <c r="U853" s="43">
        <f>VLOOKUP(Tabla1[[#This Row],[PAGO DIA]],DIAS!A:H,8,0)</f>
        <v>46265</v>
      </c>
      <c r="V853" s="6">
        <v>0</v>
      </c>
      <c r="W853" s="43">
        <f>VLOOKUP(Tabla1[[#This Row],[PAGO DIA]],DIAS!A:I,9,0)</f>
        <v>46295</v>
      </c>
      <c r="X853" s="6">
        <v>0</v>
      </c>
      <c r="Y853" s="43">
        <f>VLOOKUP(Tabla1[[#This Row],[PAGO DIA]],DIAS!A:J,10,0)</f>
        <v>46325</v>
      </c>
      <c r="Z853" s="6">
        <v>0</v>
      </c>
      <c r="AA853" s="43">
        <f>VLOOKUP(Tabla1[[#This Row],[PAGO DIA]],DIAS!A:K,11,0)</f>
        <v>46356</v>
      </c>
      <c r="AB853" s="6">
        <v>0</v>
      </c>
      <c r="AC853" s="43">
        <f>VLOOKUP(Tabla1[[#This Row],[PAGO DIA]],DIAS!A:M,12,0)</f>
        <v>46386</v>
      </c>
      <c r="AD8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4" spans="1:30">
      <c r="A854" s="3">
        <v>11006</v>
      </c>
      <c r="B854" s="3" t="s">
        <v>538</v>
      </c>
      <c r="C854" s="3" t="s">
        <v>539</v>
      </c>
      <c r="D854" s="3" t="s">
        <v>540</v>
      </c>
      <c r="E854" s="3" t="s">
        <v>1441</v>
      </c>
      <c r="F854" s="42" t="s">
        <v>631</v>
      </c>
      <c r="G854" s="3"/>
      <c r="H854" s="6">
        <v>0</v>
      </c>
      <c r="I854" s="41">
        <f>VLOOKUP(Tabla1[[#This Row],[PAGO DIA]],DIAS!A:B,2,0)</f>
        <v>46080</v>
      </c>
      <c r="J854" s="6">
        <v>0</v>
      </c>
      <c r="K854" s="43">
        <f>VLOOKUP(Tabla1[[#This Row],[PAGO DIA]],DIAS!A:C,3,0)</f>
        <v>46112</v>
      </c>
      <c r="L854" s="6">
        <v>0</v>
      </c>
      <c r="M854" s="41">
        <f>VLOOKUP(Tabla1[[#This Row],[PAGO DIA]],DIAS!A:D,4,0)</f>
        <v>46142</v>
      </c>
      <c r="N854" s="6">
        <v>0</v>
      </c>
      <c r="O854" s="43">
        <f>VLOOKUP(Tabla1[[#This Row],[PAGO DIA]],DIAS!A:E,5,0)</f>
        <v>46171</v>
      </c>
      <c r="P854" s="6">
        <v>0</v>
      </c>
      <c r="Q854" s="43">
        <f>VLOOKUP(Tabla1[[#This Row],[PAGO DIA]],DIAS!A:F,6,0)</f>
        <v>46203</v>
      </c>
      <c r="R854" s="6">
        <v>0</v>
      </c>
      <c r="S854" s="43">
        <f>VLOOKUP(Tabla1[[#This Row],[PAGO DIA]],DIAS!A:G,7,0)</f>
        <v>46234</v>
      </c>
      <c r="T854" s="6">
        <v>0</v>
      </c>
      <c r="U854" s="43">
        <f>VLOOKUP(Tabla1[[#This Row],[PAGO DIA]],DIAS!A:H,8,0)</f>
        <v>46265</v>
      </c>
      <c r="V854" s="6">
        <v>0</v>
      </c>
      <c r="W854" s="43">
        <f>VLOOKUP(Tabla1[[#This Row],[PAGO DIA]],DIAS!A:I,9,0)</f>
        <v>46295</v>
      </c>
      <c r="X854" s="6">
        <v>0</v>
      </c>
      <c r="Y854" s="43">
        <f>VLOOKUP(Tabla1[[#This Row],[PAGO DIA]],DIAS!A:J,10,0)</f>
        <v>46325</v>
      </c>
      <c r="Z854" s="6">
        <v>0</v>
      </c>
      <c r="AA854" s="43">
        <f>VLOOKUP(Tabla1[[#This Row],[PAGO DIA]],DIAS!A:K,11,0)</f>
        <v>46356</v>
      </c>
      <c r="AB854" s="6">
        <v>0</v>
      </c>
      <c r="AC854" s="43">
        <f>VLOOKUP(Tabla1[[#This Row],[PAGO DIA]],DIAS!A:M,12,0)</f>
        <v>46386</v>
      </c>
      <c r="AD8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5" spans="1:30">
      <c r="A855" s="3">
        <v>11227</v>
      </c>
      <c r="B855" s="3" t="s">
        <v>538</v>
      </c>
      <c r="C855" s="3" t="s">
        <v>539</v>
      </c>
      <c r="D855" s="3" t="s">
        <v>540</v>
      </c>
      <c r="E855" s="3" t="s">
        <v>1441</v>
      </c>
      <c r="F855" s="42" t="s">
        <v>631</v>
      </c>
      <c r="G855" s="3"/>
      <c r="H855" s="6">
        <v>0</v>
      </c>
      <c r="I855" s="41">
        <f>VLOOKUP(Tabla1[[#This Row],[PAGO DIA]],DIAS!A:B,2,0)</f>
        <v>46080</v>
      </c>
      <c r="J855" s="6">
        <v>0</v>
      </c>
      <c r="K855" s="43">
        <f>VLOOKUP(Tabla1[[#This Row],[PAGO DIA]],DIAS!A:C,3,0)</f>
        <v>46112</v>
      </c>
      <c r="L855" s="6">
        <v>0</v>
      </c>
      <c r="M855" s="41">
        <f>VLOOKUP(Tabla1[[#This Row],[PAGO DIA]],DIAS!A:D,4,0)</f>
        <v>46142</v>
      </c>
      <c r="N855" s="6">
        <v>0</v>
      </c>
      <c r="O855" s="43">
        <f>VLOOKUP(Tabla1[[#This Row],[PAGO DIA]],DIAS!A:E,5,0)</f>
        <v>46171</v>
      </c>
      <c r="P855" s="6">
        <v>0</v>
      </c>
      <c r="Q855" s="43">
        <f>VLOOKUP(Tabla1[[#This Row],[PAGO DIA]],DIAS!A:F,6,0)</f>
        <v>46203</v>
      </c>
      <c r="R855" s="6">
        <v>0</v>
      </c>
      <c r="S855" s="43">
        <f>VLOOKUP(Tabla1[[#This Row],[PAGO DIA]],DIAS!A:G,7,0)</f>
        <v>46234</v>
      </c>
      <c r="T855" s="6">
        <v>0</v>
      </c>
      <c r="U855" s="43">
        <f>VLOOKUP(Tabla1[[#This Row],[PAGO DIA]],DIAS!A:H,8,0)</f>
        <v>46265</v>
      </c>
      <c r="V855" s="6">
        <v>0</v>
      </c>
      <c r="W855" s="43">
        <f>VLOOKUP(Tabla1[[#This Row],[PAGO DIA]],DIAS!A:I,9,0)</f>
        <v>46295</v>
      </c>
      <c r="X855" s="6">
        <v>0</v>
      </c>
      <c r="Y855" s="43">
        <f>VLOOKUP(Tabla1[[#This Row],[PAGO DIA]],DIAS!A:J,10,0)</f>
        <v>46325</v>
      </c>
      <c r="Z855" s="6">
        <v>0</v>
      </c>
      <c r="AA855" s="43">
        <f>VLOOKUP(Tabla1[[#This Row],[PAGO DIA]],DIAS!A:K,11,0)</f>
        <v>46356</v>
      </c>
      <c r="AB855" s="6">
        <v>0</v>
      </c>
      <c r="AC855" s="43">
        <f>VLOOKUP(Tabla1[[#This Row],[PAGO DIA]],DIAS!A:M,12,0)</f>
        <v>46386</v>
      </c>
      <c r="AD8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6" spans="1:30">
      <c r="A856" s="3">
        <v>10980</v>
      </c>
      <c r="B856" s="3" t="s">
        <v>538</v>
      </c>
      <c r="C856" s="3" t="s">
        <v>539</v>
      </c>
      <c r="D856" s="3" t="s">
        <v>540</v>
      </c>
      <c r="E856" s="3" t="s">
        <v>927</v>
      </c>
      <c r="F856" s="42" t="s">
        <v>631</v>
      </c>
      <c r="G856" s="3"/>
      <c r="H856" s="6">
        <v>0</v>
      </c>
      <c r="I856" s="41">
        <f>VLOOKUP(Tabla1[[#This Row],[PAGO DIA]],DIAS!A:B,2,0)</f>
        <v>46080</v>
      </c>
      <c r="J856" s="6">
        <v>0</v>
      </c>
      <c r="K856" s="43">
        <f>VLOOKUP(Tabla1[[#This Row],[PAGO DIA]],DIAS!A:C,3,0)</f>
        <v>46112</v>
      </c>
      <c r="L856" s="6">
        <v>0</v>
      </c>
      <c r="M856" s="41">
        <f>VLOOKUP(Tabla1[[#This Row],[PAGO DIA]],DIAS!A:D,4,0)</f>
        <v>46142</v>
      </c>
      <c r="N856" s="6">
        <v>0</v>
      </c>
      <c r="O856" s="43">
        <f>VLOOKUP(Tabla1[[#This Row],[PAGO DIA]],DIAS!A:E,5,0)</f>
        <v>46171</v>
      </c>
      <c r="P856" s="6">
        <v>0</v>
      </c>
      <c r="Q856" s="43">
        <f>VLOOKUP(Tabla1[[#This Row],[PAGO DIA]],DIAS!A:F,6,0)</f>
        <v>46203</v>
      </c>
      <c r="R856" s="6">
        <v>0</v>
      </c>
      <c r="S856" s="43">
        <f>VLOOKUP(Tabla1[[#This Row],[PAGO DIA]],DIAS!A:G,7,0)</f>
        <v>46234</v>
      </c>
      <c r="T856" s="6">
        <v>0</v>
      </c>
      <c r="U856" s="43">
        <f>VLOOKUP(Tabla1[[#This Row],[PAGO DIA]],DIAS!A:H,8,0)</f>
        <v>46265</v>
      </c>
      <c r="V856" s="6">
        <v>0</v>
      </c>
      <c r="W856" s="43">
        <f>VLOOKUP(Tabla1[[#This Row],[PAGO DIA]],DIAS!A:I,9,0)</f>
        <v>46295</v>
      </c>
      <c r="X856" s="6">
        <v>0</v>
      </c>
      <c r="Y856" s="43">
        <f>VLOOKUP(Tabla1[[#This Row],[PAGO DIA]],DIAS!A:J,10,0)</f>
        <v>46325</v>
      </c>
      <c r="Z856" s="6">
        <v>0</v>
      </c>
      <c r="AA856" s="43">
        <f>VLOOKUP(Tabla1[[#This Row],[PAGO DIA]],DIAS!A:K,11,0)</f>
        <v>46356</v>
      </c>
      <c r="AB856" s="6">
        <v>0</v>
      </c>
      <c r="AC856" s="43">
        <f>VLOOKUP(Tabla1[[#This Row],[PAGO DIA]],DIAS!A:M,12,0)</f>
        <v>46386</v>
      </c>
      <c r="AD8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7" spans="1:30">
      <c r="A857" s="3">
        <v>11192</v>
      </c>
      <c r="B857" s="3" t="s">
        <v>538</v>
      </c>
      <c r="C857" s="3" t="s">
        <v>539</v>
      </c>
      <c r="D857" s="3" t="s">
        <v>540</v>
      </c>
      <c r="E857" s="3" t="s">
        <v>927</v>
      </c>
      <c r="F857" s="42" t="s">
        <v>631</v>
      </c>
      <c r="G857" s="3"/>
      <c r="H857" s="6">
        <v>0</v>
      </c>
      <c r="I857" s="41">
        <f>VLOOKUP(Tabla1[[#This Row],[PAGO DIA]],DIAS!A:B,2,0)</f>
        <v>46080</v>
      </c>
      <c r="J857" s="6">
        <v>0</v>
      </c>
      <c r="K857" s="43">
        <f>VLOOKUP(Tabla1[[#This Row],[PAGO DIA]],DIAS!A:C,3,0)</f>
        <v>46112</v>
      </c>
      <c r="L857" s="6">
        <v>0</v>
      </c>
      <c r="M857" s="41">
        <f>VLOOKUP(Tabla1[[#This Row],[PAGO DIA]],DIAS!A:D,4,0)</f>
        <v>46142</v>
      </c>
      <c r="N857" s="6">
        <v>0</v>
      </c>
      <c r="O857" s="43">
        <f>VLOOKUP(Tabla1[[#This Row],[PAGO DIA]],DIAS!A:E,5,0)</f>
        <v>46171</v>
      </c>
      <c r="P857" s="6">
        <v>0</v>
      </c>
      <c r="Q857" s="43">
        <f>VLOOKUP(Tabla1[[#This Row],[PAGO DIA]],DIAS!A:F,6,0)</f>
        <v>46203</v>
      </c>
      <c r="R857" s="6">
        <v>0</v>
      </c>
      <c r="S857" s="43">
        <f>VLOOKUP(Tabla1[[#This Row],[PAGO DIA]],DIAS!A:G,7,0)</f>
        <v>46234</v>
      </c>
      <c r="T857" s="6">
        <v>0</v>
      </c>
      <c r="U857" s="43">
        <f>VLOOKUP(Tabla1[[#This Row],[PAGO DIA]],DIAS!A:H,8,0)</f>
        <v>46265</v>
      </c>
      <c r="V857" s="6">
        <v>0</v>
      </c>
      <c r="W857" s="43">
        <f>VLOOKUP(Tabla1[[#This Row],[PAGO DIA]],DIAS!A:I,9,0)</f>
        <v>46295</v>
      </c>
      <c r="X857" s="6">
        <v>0</v>
      </c>
      <c r="Y857" s="43">
        <f>VLOOKUP(Tabla1[[#This Row],[PAGO DIA]],DIAS!A:J,10,0)</f>
        <v>46325</v>
      </c>
      <c r="Z857" s="6">
        <v>0</v>
      </c>
      <c r="AA857" s="43">
        <f>VLOOKUP(Tabla1[[#This Row],[PAGO DIA]],DIAS!A:K,11,0)</f>
        <v>46356</v>
      </c>
      <c r="AB857" s="6">
        <v>0</v>
      </c>
      <c r="AC857" s="43">
        <f>VLOOKUP(Tabla1[[#This Row],[PAGO DIA]],DIAS!A:M,12,0)</f>
        <v>46386</v>
      </c>
      <c r="AD8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8" spans="1:30">
      <c r="A858" s="3">
        <v>11055</v>
      </c>
      <c r="B858" s="3" t="s">
        <v>538</v>
      </c>
      <c r="C858" s="3" t="s">
        <v>539</v>
      </c>
      <c r="D858" s="3" t="s">
        <v>540</v>
      </c>
      <c r="E858" s="3" t="s">
        <v>1442</v>
      </c>
      <c r="F858" s="42" t="s">
        <v>631</v>
      </c>
      <c r="G858" s="3"/>
      <c r="H858" s="6">
        <v>0</v>
      </c>
      <c r="I858" s="41">
        <f>VLOOKUP(Tabla1[[#This Row],[PAGO DIA]],DIAS!A:B,2,0)</f>
        <v>46080</v>
      </c>
      <c r="J858" s="6">
        <v>0</v>
      </c>
      <c r="K858" s="43">
        <f>VLOOKUP(Tabla1[[#This Row],[PAGO DIA]],DIAS!A:C,3,0)</f>
        <v>46112</v>
      </c>
      <c r="L858" s="6">
        <v>0</v>
      </c>
      <c r="M858" s="41">
        <f>VLOOKUP(Tabla1[[#This Row],[PAGO DIA]],DIAS!A:D,4,0)</f>
        <v>46142</v>
      </c>
      <c r="N858" s="6">
        <v>0</v>
      </c>
      <c r="O858" s="43">
        <f>VLOOKUP(Tabla1[[#This Row],[PAGO DIA]],DIAS!A:E,5,0)</f>
        <v>46171</v>
      </c>
      <c r="P858" s="6">
        <v>0</v>
      </c>
      <c r="Q858" s="43">
        <f>VLOOKUP(Tabla1[[#This Row],[PAGO DIA]],DIAS!A:F,6,0)</f>
        <v>46203</v>
      </c>
      <c r="R858" s="6">
        <v>0</v>
      </c>
      <c r="S858" s="43">
        <f>VLOOKUP(Tabla1[[#This Row],[PAGO DIA]],DIAS!A:G,7,0)</f>
        <v>46234</v>
      </c>
      <c r="T858" s="6">
        <v>0</v>
      </c>
      <c r="U858" s="43">
        <f>VLOOKUP(Tabla1[[#This Row],[PAGO DIA]],DIAS!A:H,8,0)</f>
        <v>46265</v>
      </c>
      <c r="V858" s="6">
        <v>0</v>
      </c>
      <c r="W858" s="43">
        <f>VLOOKUP(Tabla1[[#This Row],[PAGO DIA]],DIAS!A:I,9,0)</f>
        <v>46295</v>
      </c>
      <c r="X858" s="6">
        <v>0</v>
      </c>
      <c r="Y858" s="43">
        <f>VLOOKUP(Tabla1[[#This Row],[PAGO DIA]],DIAS!A:J,10,0)</f>
        <v>46325</v>
      </c>
      <c r="Z858" s="6">
        <v>0</v>
      </c>
      <c r="AA858" s="43">
        <f>VLOOKUP(Tabla1[[#This Row],[PAGO DIA]],DIAS!A:K,11,0)</f>
        <v>46356</v>
      </c>
      <c r="AB858" s="6">
        <v>0</v>
      </c>
      <c r="AC858" s="43">
        <f>VLOOKUP(Tabla1[[#This Row],[PAGO DIA]],DIAS!A:M,12,0)</f>
        <v>46386</v>
      </c>
      <c r="AD8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59" spans="1:30">
      <c r="A859" s="3">
        <v>11299</v>
      </c>
      <c r="B859" s="3" t="s">
        <v>538</v>
      </c>
      <c r="C859" s="3" t="s">
        <v>539</v>
      </c>
      <c r="D859" s="3" t="s">
        <v>540</v>
      </c>
      <c r="E859" s="3" t="s">
        <v>1442</v>
      </c>
      <c r="F859" s="42" t="s">
        <v>631</v>
      </c>
      <c r="G859" s="3"/>
      <c r="H859" s="6">
        <v>0</v>
      </c>
      <c r="I859" s="41">
        <f>VLOOKUP(Tabla1[[#This Row],[PAGO DIA]],DIAS!A:B,2,0)</f>
        <v>46080</v>
      </c>
      <c r="J859" s="6">
        <v>0</v>
      </c>
      <c r="K859" s="43">
        <f>VLOOKUP(Tabla1[[#This Row],[PAGO DIA]],DIAS!A:C,3,0)</f>
        <v>46112</v>
      </c>
      <c r="L859" s="6">
        <v>0</v>
      </c>
      <c r="M859" s="41">
        <f>VLOOKUP(Tabla1[[#This Row],[PAGO DIA]],DIAS!A:D,4,0)</f>
        <v>46142</v>
      </c>
      <c r="N859" s="6">
        <v>0</v>
      </c>
      <c r="O859" s="43">
        <f>VLOOKUP(Tabla1[[#This Row],[PAGO DIA]],DIAS!A:E,5,0)</f>
        <v>46171</v>
      </c>
      <c r="P859" s="6">
        <v>0</v>
      </c>
      <c r="Q859" s="43">
        <f>VLOOKUP(Tabla1[[#This Row],[PAGO DIA]],DIAS!A:F,6,0)</f>
        <v>46203</v>
      </c>
      <c r="R859" s="6">
        <v>0</v>
      </c>
      <c r="S859" s="43">
        <f>VLOOKUP(Tabla1[[#This Row],[PAGO DIA]],DIAS!A:G,7,0)</f>
        <v>46234</v>
      </c>
      <c r="T859" s="6">
        <v>0</v>
      </c>
      <c r="U859" s="43">
        <f>VLOOKUP(Tabla1[[#This Row],[PAGO DIA]],DIAS!A:H,8,0)</f>
        <v>46265</v>
      </c>
      <c r="V859" s="6">
        <v>0</v>
      </c>
      <c r="W859" s="43">
        <f>VLOOKUP(Tabla1[[#This Row],[PAGO DIA]],DIAS!A:I,9,0)</f>
        <v>46295</v>
      </c>
      <c r="X859" s="6">
        <v>0</v>
      </c>
      <c r="Y859" s="43">
        <f>VLOOKUP(Tabla1[[#This Row],[PAGO DIA]],DIAS!A:J,10,0)</f>
        <v>46325</v>
      </c>
      <c r="Z859" s="6">
        <v>0</v>
      </c>
      <c r="AA859" s="43">
        <f>VLOOKUP(Tabla1[[#This Row],[PAGO DIA]],DIAS!A:K,11,0)</f>
        <v>46356</v>
      </c>
      <c r="AB859" s="6">
        <v>0</v>
      </c>
      <c r="AC859" s="43">
        <f>VLOOKUP(Tabla1[[#This Row],[PAGO DIA]],DIAS!A:M,12,0)</f>
        <v>46386</v>
      </c>
      <c r="AD8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0" spans="1:30">
      <c r="A860" s="3">
        <v>11310</v>
      </c>
      <c r="B860" s="3" t="s">
        <v>538</v>
      </c>
      <c r="C860" s="3" t="s">
        <v>539</v>
      </c>
      <c r="D860" s="3" t="s">
        <v>540</v>
      </c>
      <c r="E860" s="3" t="s">
        <v>1442</v>
      </c>
      <c r="F860" s="42" t="s">
        <v>631</v>
      </c>
      <c r="G860" s="3"/>
      <c r="H860" s="6">
        <v>0</v>
      </c>
      <c r="I860" s="41">
        <f>VLOOKUP(Tabla1[[#This Row],[PAGO DIA]],DIAS!A:B,2,0)</f>
        <v>46080</v>
      </c>
      <c r="J860" s="6">
        <v>0</v>
      </c>
      <c r="K860" s="43">
        <f>VLOOKUP(Tabla1[[#This Row],[PAGO DIA]],DIAS!A:C,3,0)</f>
        <v>46112</v>
      </c>
      <c r="L860" s="6">
        <v>0</v>
      </c>
      <c r="M860" s="41">
        <f>VLOOKUP(Tabla1[[#This Row],[PAGO DIA]],DIAS!A:D,4,0)</f>
        <v>46142</v>
      </c>
      <c r="N860" s="6">
        <v>0</v>
      </c>
      <c r="O860" s="43">
        <f>VLOOKUP(Tabla1[[#This Row],[PAGO DIA]],DIAS!A:E,5,0)</f>
        <v>46171</v>
      </c>
      <c r="P860" s="6">
        <v>0</v>
      </c>
      <c r="Q860" s="43">
        <f>VLOOKUP(Tabla1[[#This Row],[PAGO DIA]],DIAS!A:F,6,0)</f>
        <v>46203</v>
      </c>
      <c r="R860" s="6">
        <v>0</v>
      </c>
      <c r="S860" s="43">
        <f>VLOOKUP(Tabla1[[#This Row],[PAGO DIA]],DIAS!A:G,7,0)</f>
        <v>46234</v>
      </c>
      <c r="T860" s="6">
        <v>0</v>
      </c>
      <c r="U860" s="43">
        <f>VLOOKUP(Tabla1[[#This Row],[PAGO DIA]],DIAS!A:H,8,0)</f>
        <v>46265</v>
      </c>
      <c r="V860" s="6">
        <v>0</v>
      </c>
      <c r="W860" s="43">
        <f>VLOOKUP(Tabla1[[#This Row],[PAGO DIA]],DIAS!A:I,9,0)</f>
        <v>46295</v>
      </c>
      <c r="X860" s="6">
        <v>0</v>
      </c>
      <c r="Y860" s="43">
        <f>VLOOKUP(Tabla1[[#This Row],[PAGO DIA]],DIAS!A:J,10,0)</f>
        <v>46325</v>
      </c>
      <c r="Z860" s="6">
        <v>0</v>
      </c>
      <c r="AA860" s="43">
        <f>VLOOKUP(Tabla1[[#This Row],[PAGO DIA]],DIAS!A:K,11,0)</f>
        <v>46356</v>
      </c>
      <c r="AB860" s="6">
        <v>0</v>
      </c>
      <c r="AC860" s="43">
        <f>VLOOKUP(Tabla1[[#This Row],[PAGO DIA]],DIAS!A:M,12,0)</f>
        <v>46386</v>
      </c>
      <c r="AD8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1" spans="1:30">
      <c r="A861" s="3">
        <v>10961</v>
      </c>
      <c r="B861" s="3" t="s">
        <v>538</v>
      </c>
      <c r="C861" s="3" t="s">
        <v>539</v>
      </c>
      <c r="D861" s="3" t="s">
        <v>540</v>
      </c>
      <c r="E861" s="3" t="s">
        <v>1443</v>
      </c>
      <c r="F861" s="42" t="s">
        <v>631</v>
      </c>
      <c r="G861" s="3"/>
      <c r="H861" s="6">
        <v>0</v>
      </c>
      <c r="I861" s="41">
        <f>VLOOKUP(Tabla1[[#This Row],[PAGO DIA]],DIAS!A:B,2,0)</f>
        <v>46080</v>
      </c>
      <c r="J861" s="6">
        <v>0</v>
      </c>
      <c r="K861" s="43">
        <f>VLOOKUP(Tabla1[[#This Row],[PAGO DIA]],DIAS!A:C,3,0)</f>
        <v>46112</v>
      </c>
      <c r="L861" s="6">
        <v>0</v>
      </c>
      <c r="M861" s="41">
        <f>VLOOKUP(Tabla1[[#This Row],[PAGO DIA]],DIAS!A:D,4,0)</f>
        <v>46142</v>
      </c>
      <c r="N861" s="6">
        <v>0</v>
      </c>
      <c r="O861" s="43">
        <f>VLOOKUP(Tabla1[[#This Row],[PAGO DIA]],DIAS!A:E,5,0)</f>
        <v>46171</v>
      </c>
      <c r="P861" s="6">
        <v>0</v>
      </c>
      <c r="Q861" s="43">
        <f>VLOOKUP(Tabla1[[#This Row],[PAGO DIA]],DIAS!A:F,6,0)</f>
        <v>46203</v>
      </c>
      <c r="R861" s="6">
        <v>0</v>
      </c>
      <c r="S861" s="43">
        <f>VLOOKUP(Tabla1[[#This Row],[PAGO DIA]],DIAS!A:G,7,0)</f>
        <v>46234</v>
      </c>
      <c r="T861" s="6">
        <v>0</v>
      </c>
      <c r="U861" s="43">
        <f>VLOOKUP(Tabla1[[#This Row],[PAGO DIA]],DIAS!A:H,8,0)</f>
        <v>46265</v>
      </c>
      <c r="V861" s="6">
        <v>0</v>
      </c>
      <c r="W861" s="43">
        <f>VLOOKUP(Tabla1[[#This Row],[PAGO DIA]],DIAS!A:I,9,0)</f>
        <v>46295</v>
      </c>
      <c r="X861" s="6">
        <v>0</v>
      </c>
      <c r="Y861" s="43">
        <f>VLOOKUP(Tabla1[[#This Row],[PAGO DIA]],DIAS!A:J,10,0)</f>
        <v>46325</v>
      </c>
      <c r="Z861" s="6">
        <v>0</v>
      </c>
      <c r="AA861" s="43">
        <f>VLOOKUP(Tabla1[[#This Row],[PAGO DIA]],DIAS!A:K,11,0)</f>
        <v>46356</v>
      </c>
      <c r="AB861" s="6">
        <v>0</v>
      </c>
      <c r="AC861" s="43">
        <f>VLOOKUP(Tabla1[[#This Row],[PAGO DIA]],DIAS!A:M,12,0)</f>
        <v>46386</v>
      </c>
      <c r="AD8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2" spans="1:30">
      <c r="A862" s="3">
        <v>11153</v>
      </c>
      <c r="B862" s="3" t="s">
        <v>538</v>
      </c>
      <c r="C862" s="3" t="s">
        <v>539</v>
      </c>
      <c r="D862" s="3" t="s">
        <v>540</v>
      </c>
      <c r="E862" s="3" t="s">
        <v>1443</v>
      </c>
      <c r="F862" s="42" t="s">
        <v>631</v>
      </c>
      <c r="G862" s="3"/>
      <c r="H862" s="6">
        <v>0</v>
      </c>
      <c r="I862" s="41">
        <f>VLOOKUP(Tabla1[[#This Row],[PAGO DIA]],DIAS!A:B,2,0)</f>
        <v>46080</v>
      </c>
      <c r="J862" s="6">
        <v>0</v>
      </c>
      <c r="K862" s="43">
        <f>VLOOKUP(Tabla1[[#This Row],[PAGO DIA]],DIAS!A:C,3,0)</f>
        <v>46112</v>
      </c>
      <c r="L862" s="6">
        <v>0</v>
      </c>
      <c r="M862" s="41">
        <f>VLOOKUP(Tabla1[[#This Row],[PAGO DIA]],DIAS!A:D,4,0)</f>
        <v>46142</v>
      </c>
      <c r="N862" s="6">
        <v>0</v>
      </c>
      <c r="O862" s="43">
        <f>VLOOKUP(Tabla1[[#This Row],[PAGO DIA]],DIAS!A:E,5,0)</f>
        <v>46171</v>
      </c>
      <c r="P862" s="6">
        <v>0</v>
      </c>
      <c r="Q862" s="43">
        <f>VLOOKUP(Tabla1[[#This Row],[PAGO DIA]],DIAS!A:F,6,0)</f>
        <v>46203</v>
      </c>
      <c r="R862" s="6">
        <v>0</v>
      </c>
      <c r="S862" s="43">
        <f>VLOOKUP(Tabla1[[#This Row],[PAGO DIA]],DIAS!A:G,7,0)</f>
        <v>46234</v>
      </c>
      <c r="T862" s="6">
        <v>0</v>
      </c>
      <c r="U862" s="43">
        <f>VLOOKUP(Tabla1[[#This Row],[PAGO DIA]],DIAS!A:H,8,0)</f>
        <v>46265</v>
      </c>
      <c r="V862" s="6">
        <v>0</v>
      </c>
      <c r="W862" s="43">
        <f>VLOOKUP(Tabla1[[#This Row],[PAGO DIA]],DIAS!A:I,9,0)</f>
        <v>46295</v>
      </c>
      <c r="X862" s="6">
        <v>0</v>
      </c>
      <c r="Y862" s="43">
        <f>VLOOKUP(Tabla1[[#This Row],[PAGO DIA]],DIAS!A:J,10,0)</f>
        <v>46325</v>
      </c>
      <c r="Z862" s="6">
        <v>0</v>
      </c>
      <c r="AA862" s="43">
        <f>VLOOKUP(Tabla1[[#This Row],[PAGO DIA]],DIAS!A:K,11,0)</f>
        <v>46356</v>
      </c>
      <c r="AB862" s="6">
        <v>0</v>
      </c>
      <c r="AC862" s="43">
        <f>VLOOKUP(Tabla1[[#This Row],[PAGO DIA]],DIAS!A:M,12,0)</f>
        <v>46386</v>
      </c>
      <c r="AD8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3" spans="1:30">
      <c r="A863" s="3">
        <v>11008</v>
      </c>
      <c r="B863" s="3" t="s">
        <v>538</v>
      </c>
      <c r="C863" s="3" t="s">
        <v>539</v>
      </c>
      <c r="D863" s="3" t="s">
        <v>540</v>
      </c>
      <c r="E863" s="3" t="s">
        <v>1444</v>
      </c>
      <c r="F863" s="42" t="s">
        <v>631</v>
      </c>
      <c r="G863" s="3"/>
      <c r="H863" s="6">
        <v>0</v>
      </c>
      <c r="I863" s="41">
        <f>VLOOKUP(Tabla1[[#This Row],[PAGO DIA]],DIAS!A:B,2,0)</f>
        <v>46080</v>
      </c>
      <c r="J863" s="6">
        <v>0</v>
      </c>
      <c r="K863" s="43">
        <f>VLOOKUP(Tabla1[[#This Row],[PAGO DIA]],DIAS!A:C,3,0)</f>
        <v>46112</v>
      </c>
      <c r="L863" s="6">
        <v>0</v>
      </c>
      <c r="M863" s="41">
        <f>VLOOKUP(Tabla1[[#This Row],[PAGO DIA]],DIAS!A:D,4,0)</f>
        <v>46142</v>
      </c>
      <c r="N863" s="6">
        <v>0</v>
      </c>
      <c r="O863" s="43">
        <f>VLOOKUP(Tabla1[[#This Row],[PAGO DIA]],DIAS!A:E,5,0)</f>
        <v>46171</v>
      </c>
      <c r="P863" s="6">
        <v>0</v>
      </c>
      <c r="Q863" s="43">
        <f>VLOOKUP(Tabla1[[#This Row],[PAGO DIA]],DIAS!A:F,6,0)</f>
        <v>46203</v>
      </c>
      <c r="R863" s="6">
        <v>0</v>
      </c>
      <c r="S863" s="43">
        <f>VLOOKUP(Tabla1[[#This Row],[PAGO DIA]],DIAS!A:G,7,0)</f>
        <v>46234</v>
      </c>
      <c r="T863" s="6">
        <v>0</v>
      </c>
      <c r="U863" s="43">
        <f>VLOOKUP(Tabla1[[#This Row],[PAGO DIA]],DIAS!A:H,8,0)</f>
        <v>46265</v>
      </c>
      <c r="V863" s="6">
        <v>0</v>
      </c>
      <c r="W863" s="43">
        <f>VLOOKUP(Tabla1[[#This Row],[PAGO DIA]],DIAS!A:I,9,0)</f>
        <v>46295</v>
      </c>
      <c r="X863" s="6">
        <v>0</v>
      </c>
      <c r="Y863" s="43">
        <f>VLOOKUP(Tabla1[[#This Row],[PAGO DIA]],DIAS!A:J,10,0)</f>
        <v>46325</v>
      </c>
      <c r="Z863" s="6">
        <v>0</v>
      </c>
      <c r="AA863" s="43">
        <f>VLOOKUP(Tabla1[[#This Row],[PAGO DIA]],DIAS!A:K,11,0)</f>
        <v>46356</v>
      </c>
      <c r="AB863" s="6">
        <v>0</v>
      </c>
      <c r="AC863" s="43">
        <f>VLOOKUP(Tabla1[[#This Row],[PAGO DIA]],DIAS!A:M,12,0)</f>
        <v>46386</v>
      </c>
      <c r="AD8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4" spans="1:30">
      <c r="A864" s="3">
        <v>11230</v>
      </c>
      <c r="B864" s="3" t="s">
        <v>538</v>
      </c>
      <c r="C864" s="3" t="s">
        <v>539</v>
      </c>
      <c r="D864" s="3" t="s">
        <v>540</v>
      </c>
      <c r="E864" s="3" t="s">
        <v>1444</v>
      </c>
      <c r="F864" s="42" t="s">
        <v>631</v>
      </c>
      <c r="G864" s="3"/>
      <c r="H864" s="6">
        <v>0</v>
      </c>
      <c r="I864" s="41">
        <f>VLOOKUP(Tabla1[[#This Row],[PAGO DIA]],DIAS!A:B,2,0)</f>
        <v>46080</v>
      </c>
      <c r="J864" s="6">
        <v>0</v>
      </c>
      <c r="K864" s="43">
        <f>VLOOKUP(Tabla1[[#This Row],[PAGO DIA]],DIAS!A:C,3,0)</f>
        <v>46112</v>
      </c>
      <c r="L864" s="6">
        <v>0</v>
      </c>
      <c r="M864" s="41">
        <f>VLOOKUP(Tabla1[[#This Row],[PAGO DIA]],DIAS!A:D,4,0)</f>
        <v>46142</v>
      </c>
      <c r="N864" s="6">
        <v>0</v>
      </c>
      <c r="O864" s="43">
        <f>VLOOKUP(Tabla1[[#This Row],[PAGO DIA]],DIAS!A:E,5,0)</f>
        <v>46171</v>
      </c>
      <c r="P864" s="6">
        <v>0</v>
      </c>
      <c r="Q864" s="43">
        <f>VLOOKUP(Tabla1[[#This Row],[PAGO DIA]],DIAS!A:F,6,0)</f>
        <v>46203</v>
      </c>
      <c r="R864" s="6">
        <v>0</v>
      </c>
      <c r="S864" s="43">
        <f>VLOOKUP(Tabla1[[#This Row],[PAGO DIA]],DIAS!A:G,7,0)</f>
        <v>46234</v>
      </c>
      <c r="T864" s="6">
        <v>0</v>
      </c>
      <c r="U864" s="43">
        <f>VLOOKUP(Tabla1[[#This Row],[PAGO DIA]],DIAS!A:H,8,0)</f>
        <v>46265</v>
      </c>
      <c r="V864" s="6">
        <v>0</v>
      </c>
      <c r="W864" s="43">
        <f>VLOOKUP(Tabla1[[#This Row],[PAGO DIA]],DIAS!A:I,9,0)</f>
        <v>46295</v>
      </c>
      <c r="X864" s="6">
        <v>0</v>
      </c>
      <c r="Y864" s="43">
        <f>VLOOKUP(Tabla1[[#This Row],[PAGO DIA]],DIAS!A:J,10,0)</f>
        <v>46325</v>
      </c>
      <c r="Z864" s="6">
        <v>0</v>
      </c>
      <c r="AA864" s="43">
        <f>VLOOKUP(Tabla1[[#This Row],[PAGO DIA]],DIAS!A:K,11,0)</f>
        <v>46356</v>
      </c>
      <c r="AB864" s="6">
        <v>0</v>
      </c>
      <c r="AC864" s="43">
        <f>VLOOKUP(Tabla1[[#This Row],[PAGO DIA]],DIAS!A:M,12,0)</f>
        <v>46386</v>
      </c>
      <c r="AD8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5" spans="1:30">
      <c r="A865" s="3">
        <v>11075</v>
      </c>
      <c r="B865" s="3" t="s">
        <v>538</v>
      </c>
      <c r="C865" s="3" t="s">
        <v>539</v>
      </c>
      <c r="D865" s="3" t="s">
        <v>540</v>
      </c>
      <c r="E865" s="3" t="s">
        <v>1445</v>
      </c>
      <c r="F865" s="42" t="s">
        <v>631</v>
      </c>
      <c r="G865" s="3"/>
      <c r="H865" s="6">
        <v>0</v>
      </c>
      <c r="I865" s="41">
        <f>VLOOKUP(Tabla1[[#This Row],[PAGO DIA]],DIAS!A:B,2,0)</f>
        <v>46080</v>
      </c>
      <c r="J865" s="6">
        <v>0</v>
      </c>
      <c r="K865" s="43">
        <f>VLOOKUP(Tabla1[[#This Row],[PAGO DIA]],DIAS!A:C,3,0)</f>
        <v>46112</v>
      </c>
      <c r="L865" s="6">
        <v>0</v>
      </c>
      <c r="M865" s="41">
        <f>VLOOKUP(Tabla1[[#This Row],[PAGO DIA]],DIAS!A:D,4,0)</f>
        <v>46142</v>
      </c>
      <c r="N865" s="6">
        <v>0</v>
      </c>
      <c r="O865" s="43">
        <f>VLOOKUP(Tabla1[[#This Row],[PAGO DIA]],DIAS!A:E,5,0)</f>
        <v>46171</v>
      </c>
      <c r="P865" s="6">
        <v>0</v>
      </c>
      <c r="Q865" s="43">
        <f>VLOOKUP(Tabla1[[#This Row],[PAGO DIA]],DIAS!A:F,6,0)</f>
        <v>46203</v>
      </c>
      <c r="R865" s="6">
        <v>0</v>
      </c>
      <c r="S865" s="43">
        <f>VLOOKUP(Tabla1[[#This Row],[PAGO DIA]],DIAS!A:G,7,0)</f>
        <v>46234</v>
      </c>
      <c r="T865" s="6">
        <v>0</v>
      </c>
      <c r="U865" s="43">
        <f>VLOOKUP(Tabla1[[#This Row],[PAGO DIA]],DIAS!A:H,8,0)</f>
        <v>46265</v>
      </c>
      <c r="V865" s="6">
        <v>0</v>
      </c>
      <c r="W865" s="43">
        <f>VLOOKUP(Tabla1[[#This Row],[PAGO DIA]],DIAS!A:I,9,0)</f>
        <v>46295</v>
      </c>
      <c r="X865" s="6">
        <v>0</v>
      </c>
      <c r="Y865" s="43">
        <f>VLOOKUP(Tabla1[[#This Row],[PAGO DIA]],DIAS!A:J,10,0)</f>
        <v>46325</v>
      </c>
      <c r="Z865" s="6">
        <v>0</v>
      </c>
      <c r="AA865" s="43">
        <f>VLOOKUP(Tabla1[[#This Row],[PAGO DIA]],DIAS!A:K,11,0)</f>
        <v>46356</v>
      </c>
      <c r="AB865" s="6">
        <v>0</v>
      </c>
      <c r="AC865" s="43">
        <f>VLOOKUP(Tabla1[[#This Row],[PAGO DIA]],DIAS!A:M,12,0)</f>
        <v>46386</v>
      </c>
      <c r="AD8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6" spans="1:30">
      <c r="A866" s="3">
        <v>11349</v>
      </c>
      <c r="B866" s="3" t="s">
        <v>538</v>
      </c>
      <c r="C866" s="3" t="s">
        <v>539</v>
      </c>
      <c r="D866" s="3" t="s">
        <v>540</v>
      </c>
      <c r="E866" s="3" t="s">
        <v>1445</v>
      </c>
      <c r="F866" s="42" t="s">
        <v>631</v>
      </c>
      <c r="G866" s="3"/>
      <c r="H866" s="6">
        <v>0</v>
      </c>
      <c r="I866" s="41">
        <f>VLOOKUP(Tabla1[[#This Row],[PAGO DIA]],DIAS!A:B,2,0)</f>
        <v>46080</v>
      </c>
      <c r="J866" s="6">
        <v>0</v>
      </c>
      <c r="K866" s="43">
        <f>VLOOKUP(Tabla1[[#This Row],[PAGO DIA]],DIAS!A:C,3,0)</f>
        <v>46112</v>
      </c>
      <c r="L866" s="6">
        <v>0</v>
      </c>
      <c r="M866" s="41">
        <f>VLOOKUP(Tabla1[[#This Row],[PAGO DIA]],DIAS!A:D,4,0)</f>
        <v>46142</v>
      </c>
      <c r="N866" s="6">
        <v>0</v>
      </c>
      <c r="O866" s="43">
        <f>VLOOKUP(Tabla1[[#This Row],[PAGO DIA]],DIAS!A:E,5,0)</f>
        <v>46171</v>
      </c>
      <c r="P866" s="6">
        <v>0</v>
      </c>
      <c r="Q866" s="43">
        <f>VLOOKUP(Tabla1[[#This Row],[PAGO DIA]],DIAS!A:F,6,0)</f>
        <v>46203</v>
      </c>
      <c r="R866" s="6">
        <v>0</v>
      </c>
      <c r="S866" s="43">
        <f>VLOOKUP(Tabla1[[#This Row],[PAGO DIA]],DIAS!A:G,7,0)</f>
        <v>46234</v>
      </c>
      <c r="T866" s="6">
        <v>0</v>
      </c>
      <c r="U866" s="43">
        <f>VLOOKUP(Tabla1[[#This Row],[PAGO DIA]],DIAS!A:H,8,0)</f>
        <v>46265</v>
      </c>
      <c r="V866" s="6">
        <v>0</v>
      </c>
      <c r="W866" s="43">
        <f>VLOOKUP(Tabla1[[#This Row],[PAGO DIA]],DIAS!A:I,9,0)</f>
        <v>46295</v>
      </c>
      <c r="X866" s="6">
        <v>0</v>
      </c>
      <c r="Y866" s="43">
        <f>VLOOKUP(Tabla1[[#This Row],[PAGO DIA]],DIAS!A:J,10,0)</f>
        <v>46325</v>
      </c>
      <c r="Z866" s="6">
        <v>0</v>
      </c>
      <c r="AA866" s="43">
        <f>VLOOKUP(Tabla1[[#This Row],[PAGO DIA]],DIAS!A:K,11,0)</f>
        <v>46356</v>
      </c>
      <c r="AB866" s="6">
        <v>0</v>
      </c>
      <c r="AC866" s="43">
        <f>VLOOKUP(Tabla1[[#This Row],[PAGO DIA]],DIAS!A:M,12,0)</f>
        <v>46386</v>
      </c>
      <c r="AD8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7" spans="1:30">
      <c r="A867" s="3">
        <v>11032</v>
      </c>
      <c r="B867" s="3" t="s">
        <v>538</v>
      </c>
      <c r="C867" s="3" t="s">
        <v>539</v>
      </c>
      <c r="D867" s="3" t="s">
        <v>540</v>
      </c>
      <c r="E867" s="3" t="s">
        <v>699</v>
      </c>
      <c r="F867" s="42" t="s">
        <v>631</v>
      </c>
      <c r="G867" s="3"/>
      <c r="H867" s="6">
        <v>0</v>
      </c>
      <c r="I867" s="41">
        <f>VLOOKUP(Tabla1[[#This Row],[PAGO DIA]],DIAS!A:B,2,0)</f>
        <v>46080</v>
      </c>
      <c r="J867" s="6">
        <v>0</v>
      </c>
      <c r="K867" s="43">
        <f>VLOOKUP(Tabla1[[#This Row],[PAGO DIA]],DIAS!A:C,3,0)</f>
        <v>46112</v>
      </c>
      <c r="L867" s="6">
        <v>0</v>
      </c>
      <c r="M867" s="41">
        <f>VLOOKUP(Tabla1[[#This Row],[PAGO DIA]],DIAS!A:D,4,0)</f>
        <v>46142</v>
      </c>
      <c r="N867" s="6">
        <v>0</v>
      </c>
      <c r="O867" s="43">
        <f>VLOOKUP(Tabla1[[#This Row],[PAGO DIA]],DIAS!A:E,5,0)</f>
        <v>46171</v>
      </c>
      <c r="P867" s="6">
        <v>0</v>
      </c>
      <c r="Q867" s="43">
        <f>VLOOKUP(Tabla1[[#This Row],[PAGO DIA]],DIAS!A:F,6,0)</f>
        <v>46203</v>
      </c>
      <c r="R867" s="6">
        <v>0</v>
      </c>
      <c r="S867" s="43">
        <f>VLOOKUP(Tabla1[[#This Row],[PAGO DIA]],DIAS!A:G,7,0)</f>
        <v>46234</v>
      </c>
      <c r="T867" s="6">
        <v>0</v>
      </c>
      <c r="U867" s="43">
        <f>VLOOKUP(Tabla1[[#This Row],[PAGO DIA]],DIAS!A:H,8,0)</f>
        <v>46265</v>
      </c>
      <c r="V867" s="6">
        <v>0</v>
      </c>
      <c r="W867" s="43">
        <f>VLOOKUP(Tabla1[[#This Row],[PAGO DIA]],DIAS!A:I,9,0)</f>
        <v>46295</v>
      </c>
      <c r="X867" s="6">
        <v>0</v>
      </c>
      <c r="Y867" s="43">
        <f>VLOOKUP(Tabla1[[#This Row],[PAGO DIA]],DIAS!A:J,10,0)</f>
        <v>46325</v>
      </c>
      <c r="Z867" s="6">
        <v>0</v>
      </c>
      <c r="AA867" s="43">
        <f>VLOOKUP(Tabla1[[#This Row],[PAGO DIA]],DIAS!A:K,11,0)</f>
        <v>46356</v>
      </c>
      <c r="AB867" s="6">
        <v>0</v>
      </c>
      <c r="AC867" s="43">
        <f>VLOOKUP(Tabla1[[#This Row],[PAGO DIA]],DIAS!A:M,12,0)</f>
        <v>46386</v>
      </c>
      <c r="AD8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8" spans="1:30">
      <c r="A868" s="3">
        <v>11265</v>
      </c>
      <c r="B868" s="3" t="s">
        <v>538</v>
      </c>
      <c r="C868" s="3" t="s">
        <v>539</v>
      </c>
      <c r="D868" s="3" t="s">
        <v>540</v>
      </c>
      <c r="E868" s="3" t="s">
        <v>699</v>
      </c>
      <c r="F868" s="42" t="s">
        <v>631</v>
      </c>
      <c r="G868" s="3"/>
      <c r="H868" s="6">
        <v>0</v>
      </c>
      <c r="I868" s="41">
        <f>VLOOKUP(Tabla1[[#This Row],[PAGO DIA]],DIAS!A:B,2,0)</f>
        <v>46080</v>
      </c>
      <c r="J868" s="6">
        <v>0</v>
      </c>
      <c r="K868" s="43">
        <f>VLOOKUP(Tabla1[[#This Row],[PAGO DIA]],DIAS!A:C,3,0)</f>
        <v>46112</v>
      </c>
      <c r="L868" s="6">
        <v>0</v>
      </c>
      <c r="M868" s="41">
        <f>VLOOKUP(Tabla1[[#This Row],[PAGO DIA]],DIAS!A:D,4,0)</f>
        <v>46142</v>
      </c>
      <c r="N868" s="6">
        <v>0</v>
      </c>
      <c r="O868" s="43">
        <f>VLOOKUP(Tabla1[[#This Row],[PAGO DIA]],DIAS!A:E,5,0)</f>
        <v>46171</v>
      </c>
      <c r="P868" s="6">
        <v>0</v>
      </c>
      <c r="Q868" s="43">
        <f>VLOOKUP(Tabla1[[#This Row],[PAGO DIA]],DIAS!A:F,6,0)</f>
        <v>46203</v>
      </c>
      <c r="R868" s="6">
        <v>0</v>
      </c>
      <c r="S868" s="43">
        <f>VLOOKUP(Tabla1[[#This Row],[PAGO DIA]],DIAS!A:G,7,0)</f>
        <v>46234</v>
      </c>
      <c r="T868" s="6">
        <v>0</v>
      </c>
      <c r="U868" s="43">
        <f>VLOOKUP(Tabla1[[#This Row],[PAGO DIA]],DIAS!A:H,8,0)</f>
        <v>46265</v>
      </c>
      <c r="V868" s="6">
        <v>0</v>
      </c>
      <c r="W868" s="43">
        <f>VLOOKUP(Tabla1[[#This Row],[PAGO DIA]],DIAS!A:I,9,0)</f>
        <v>46295</v>
      </c>
      <c r="X868" s="6">
        <v>0</v>
      </c>
      <c r="Y868" s="43">
        <f>VLOOKUP(Tabla1[[#This Row],[PAGO DIA]],DIAS!A:J,10,0)</f>
        <v>46325</v>
      </c>
      <c r="Z868" s="6">
        <v>0</v>
      </c>
      <c r="AA868" s="43">
        <f>VLOOKUP(Tabla1[[#This Row],[PAGO DIA]],DIAS!A:K,11,0)</f>
        <v>46356</v>
      </c>
      <c r="AB868" s="6">
        <v>0</v>
      </c>
      <c r="AC868" s="43">
        <f>VLOOKUP(Tabla1[[#This Row],[PAGO DIA]],DIAS!A:M,12,0)</f>
        <v>46386</v>
      </c>
      <c r="AD8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69" spans="1:30">
      <c r="A869" s="3">
        <v>11548</v>
      </c>
      <c r="B869" s="3" t="s">
        <v>538</v>
      </c>
      <c r="C869" s="3" t="s">
        <v>540</v>
      </c>
      <c r="D869" s="3" t="s">
        <v>540</v>
      </c>
      <c r="E869" s="3" t="s">
        <v>699</v>
      </c>
      <c r="F869" s="42" t="s">
        <v>631</v>
      </c>
      <c r="G869" s="3" t="s">
        <v>1446</v>
      </c>
      <c r="H869" s="6">
        <v>0</v>
      </c>
      <c r="I869" s="41">
        <f>VLOOKUP(Tabla1[[#This Row],[PAGO DIA]],DIAS!A:B,2,0)</f>
        <v>46080</v>
      </c>
      <c r="J869" s="6">
        <v>0</v>
      </c>
      <c r="K869" s="43">
        <f>VLOOKUP(Tabla1[[#This Row],[PAGO DIA]],DIAS!A:C,3,0)</f>
        <v>46112</v>
      </c>
      <c r="L869" s="6">
        <v>0</v>
      </c>
      <c r="M869" s="41">
        <f>VLOOKUP(Tabla1[[#This Row],[PAGO DIA]],DIAS!A:D,4,0)</f>
        <v>46142</v>
      </c>
      <c r="N869" s="6">
        <v>0</v>
      </c>
      <c r="O869" s="43">
        <f>VLOOKUP(Tabla1[[#This Row],[PAGO DIA]],DIAS!A:E,5,0)</f>
        <v>46171</v>
      </c>
      <c r="P869" s="6">
        <v>0</v>
      </c>
      <c r="Q869" s="43">
        <f>VLOOKUP(Tabla1[[#This Row],[PAGO DIA]],DIAS!A:F,6,0)</f>
        <v>46203</v>
      </c>
      <c r="R869" s="6">
        <v>0</v>
      </c>
      <c r="S869" s="43">
        <f>VLOOKUP(Tabla1[[#This Row],[PAGO DIA]],DIAS!A:G,7,0)</f>
        <v>46234</v>
      </c>
      <c r="T869" s="6">
        <v>0</v>
      </c>
      <c r="U869" s="43">
        <f>VLOOKUP(Tabla1[[#This Row],[PAGO DIA]],DIAS!A:H,8,0)</f>
        <v>46265</v>
      </c>
      <c r="V869" s="6">
        <v>0</v>
      </c>
      <c r="W869" s="43">
        <f>VLOOKUP(Tabla1[[#This Row],[PAGO DIA]],DIAS!A:I,9,0)</f>
        <v>46295</v>
      </c>
      <c r="X869" s="6">
        <v>0</v>
      </c>
      <c r="Y869" s="43">
        <f>VLOOKUP(Tabla1[[#This Row],[PAGO DIA]],DIAS!A:J,10,0)</f>
        <v>46325</v>
      </c>
      <c r="Z869" s="6">
        <v>0</v>
      </c>
      <c r="AA869" s="43">
        <f>VLOOKUP(Tabla1[[#This Row],[PAGO DIA]],DIAS!A:K,11,0)</f>
        <v>46356</v>
      </c>
      <c r="AB869" s="6">
        <v>0</v>
      </c>
      <c r="AC869" s="43">
        <f>VLOOKUP(Tabla1[[#This Row],[PAGO DIA]],DIAS!A:M,12,0)</f>
        <v>46386</v>
      </c>
      <c r="AD8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0" spans="1:30">
      <c r="A870" s="3">
        <v>11549</v>
      </c>
      <c r="B870" s="3" t="s">
        <v>538</v>
      </c>
      <c r="C870" s="3" t="s">
        <v>540</v>
      </c>
      <c r="D870" s="3" t="s">
        <v>540</v>
      </c>
      <c r="E870" s="3" t="s">
        <v>699</v>
      </c>
      <c r="F870" s="42" t="s">
        <v>631</v>
      </c>
      <c r="G870" s="3" t="s">
        <v>1447</v>
      </c>
      <c r="H870" s="6">
        <v>0</v>
      </c>
      <c r="I870" s="41">
        <f>VLOOKUP(Tabla1[[#This Row],[PAGO DIA]],DIAS!A:B,2,0)</f>
        <v>46080</v>
      </c>
      <c r="J870" s="6">
        <v>0</v>
      </c>
      <c r="K870" s="43">
        <f>VLOOKUP(Tabla1[[#This Row],[PAGO DIA]],DIAS!A:C,3,0)</f>
        <v>46112</v>
      </c>
      <c r="L870" s="6">
        <v>0</v>
      </c>
      <c r="M870" s="41">
        <f>VLOOKUP(Tabla1[[#This Row],[PAGO DIA]],DIAS!A:D,4,0)</f>
        <v>46142</v>
      </c>
      <c r="N870" s="6">
        <v>0</v>
      </c>
      <c r="O870" s="43">
        <f>VLOOKUP(Tabla1[[#This Row],[PAGO DIA]],DIAS!A:E,5,0)</f>
        <v>46171</v>
      </c>
      <c r="P870" s="6">
        <v>0</v>
      </c>
      <c r="Q870" s="43">
        <f>VLOOKUP(Tabla1[[#This Row],[PAGO DIA]],DIAS!A:F,6,0)</f>
        <v>46203</v>
      </c>
      <c r="R870" s="6">
        <v>0</v>
      </c>
      <c r="S870" s="43">
        <f>VLOOKUP(Tabla1[[#This Row],[PAGO DIA]],DIAS!A:G,7,0)</f>
        <v>46234</v>
      </c>
      <c r="T870" s="6">
        <v>0</v>
      </c>
      <c r="U870" s="43">
        <f>VLOOKUP(Tabla1[[#This Row],[PAGO DIA]],DIAS!A:H,8,0)</f>
        <v>46265</v>
      </c>
      <c r="V870" s="6">
        <v>0</v>
      </c>
      <c r="W870" s="43">
        <f>VLOOKUP(Tabla1[[#This Row],[PAGO DIA]],DIAS!A:I,9,0)</f>
        <v>46295</v>
      </c>
      <c r="X870" s="6">
        <v>0</v>
      </c>
      <c r="Y870" s="43">
        <f>VLOOKUP(Tabla1[[#This Row],[PAGO DIA]],DIAS!A:J,10,0)</f>
        <v>46325</v>
      </c>
      <c r="Z870" s="6">
        <v>0</v>
      </c>
      <c r="AA870" s="43">
        <f>VLOOKUP(Tabla1[[#This Row],[PAGO DIA]],DIAS!A:K,11,0)</f>
        <v>46356</v>
      </c>
      <c r="AB870" s="6">
        <v>0</v>
      </c>
      <c r="AC870" s="43">
        <f>VLOOKUP(Tabla1[[#This Row],[PAGO DIA]],DIAS!A:M,12,0)</f>
        <v>46386</v>
      </c>
      <c r="AD8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1" spans="1:30">
      <c r="A871" s="3">
        <v>11550</v>
      </c>
      <c r="B871" s="3" t="s">
        <v>538</v>
      </c>
      <c r="C871" s="3" t="s">
        <v>540</v>
      </c>
      <c r="D871" s="3" t="s">
        <v>540</v>
      </c>
      <c r="E871" s="3" t="s">
        <v>699</v>
      </c>
      <c r="F871" s="42" t="s">
        <v>631</v>
      </c>
      <c r="G871" s="3" t="s">
        <v>1448</v>
      </c>
      <c r="H871" s="6">
        <v>0</v>
      </c>
      <c r="I871" s="41">
        <f>VLOOKUP(Tabla1[[#This Row],[PAGO DIA]],DIAS!A:B,2,0)</f>
        <v>46080</v>
      </c>
      <c r="J871" s="6">
        <v>0</v>
      </c>
      <c r="K871" s="43">
        <f>VLOOKUP(Tabla1[[#This Row],[PAGO DIA]],DIAS!A:C,3,0)</f>
        <v>46112</v>
      </c>
      <c r="L871" s="6">
        <v>0</v>
      </c>
      <c r="M871" s="41">
        <f>VLOOKUP(Tabla1[[#This Row],[PAGO DIA]],DIAS!A:D,4,0)</f>
        <v>46142</v>
      </c>
      <c r="N871" s="6">
        <v>0</v>
      </c>
      <c r="O871" s="43">
        <f>VLOOKUP(Tabla1[[#This Row],[PAGO DIA]],DIAS!A:E,5,0)</f>
        <v>46171</v>
      </c>
      <c r="P871" s="6">
        <v>0</v>
      </c>
      <c r="Q871" s="43">
        <f>VLOOKUP(Tabla1[[#This Row],[PAGO DIA]],DIAS!A:F,6,0)</f>
        <v>46203</v>
      </c>
      <c r="R871" s="6">
        <v>0</v>
      </c>
      <c r="S871" s="43">
        <f>VLOOKUP(Tabla1[[#This Row],[PAGO DIA]],DIAS!A:G,7,0)</f>
        <v>46234</v>
      </c>
      <c r="T871" s="6">
        <v>0</v>
      </c>
      <c r="U871" s="43">
        <f>VLOOKUP(Tabla1[[#This Row],[PAGO DIA]],DIAS!A:H,8,0)</f>
        <v>46265</v>
      </c>
      <c r="V871" s="6">
        <v>0</v>
      </c>
      <c r="W871" s="43">
        <f>VLOOKUP(Tabla1[[#This Row],[PAGO DIA]],DIAS!A:I,9,0)</f>
        <v>46295</v>
      </c>
      <c r="X871" s="6">
        <v>0</v>
      </c>
      <c r="Y871" s="43">
        <f>VLOOKUP(Tabla1[[#This Row],[PAGO DIA]],DIAS!A:J,10,0)</f>
        <v>46325</v>
      </c>
      <c r="Z871" s="6">
        <v>0</v>
      </c>
      <c r="AA871" s="43">
        <f>VLOOKUP(Tabla1[[#This Row],[PAGO DIA]],DIAS!A:K,11,0)</f>
        <v>46356</v>
      </c>
      <c r="AB871" s="6">
        <v>0</v>
      </c>
      <c r="AC871" s="43">
        <f>VLOOKUP(Tabla1[[#This Row],[PAGO DIA]],DIAS!A:M,12,0)</f>
        <v>46386</v>
      </c>
      <c r="AD8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2" spans="1:30">
      <c r="A872" s="3">
        <v>11551</v>
      </c>
      <c r="B872" s="3" t="s">
        <v>538</v>
      </c>
      <c r="C872" s="3" t="s">
        <v>540</v>
      </c>
      <c r="D872" s="3" t="s">
        <v>540</v>
      </c>
      <c r="E872" s="3" t="s">
        <v>699</v>
      </c>
      <c r="F872" s="42" t="s">
        <v>631</v>
      </c>
      <c r="G872" s="3" t="s">
        <v>1449</v>
      </c>
      <c r="H872" s="6">
        <v>0</v>
      </c>
      <c r="I872" s="41">
        <f>VLOOKUP(Tabla1[[#This Row],[PAGO DIA]],DIAS!A:B,2,0)</f>
        <v>46080</v>
      </c>
      <c r="J872" s="6">
        <v>0</v>
      </c>
      <c r="K872" s="43">
        <f>VLOOKUP(Tabla1[[#This Row],[PAGO DIA]],DIAS!A:C,3,0)</f>
        <v>46112</v>
      </c>
      <c r="L872" s="6">
        <v>0</v>
      </c>
      <c r="M872" s="41">
        <f>VLOOKUP(Tabla1[[#This Row],[PAGO DIA]],DIAS!A:D,4,0)</f>
        <v>46142</v>
      </c>
      <c r="N872" s="6">
        <v>0</v>
      </c>
      <c r="O872" s="43">
        <f>VLOOKUP(Tabla1[[#This Row],[PAGO DIA]],DIAS!A:E,5,0)</f>
        <v>46171</v>
      </c>
      <c r="P872" s="6">
        <v>0</v>
      </c>
      <c r="Q872" s="43">
        <f>VLOOKUP(Tabla1[[#This Row],[PAGO DIA]],DIAS!A:F,6,0)</f>
        <v>46203</v>
      </c>
      <c r="R872" s="6">
        <v>0</v>
      </c>
      <c r="S872" s="43">
        <f>VLOOKUP(Tabla1[[#This Row],[PAGO DIA]],DIAS!A:G,7,0)</f>
        <v>46234</v>
      </c>
      <c r="T872" s="6">
        <v>0</v>
      </c>
      <c r="U872" s="43">
        <f>VLOOKUP(Tabla1[[#This Row],[PAGO DIA]],DIAS!A:H,8,0)</f>
        <v>46265</v>
      </c>
      <c r="V872" s="6">
        <v>0</v>
      </c>
      <c r="W872" s="43">
        <f>VLOOKUP(Tabla1[[#This Row],[PAGO DIA]],DIAS!A:I,9,0)</f>
        <v>46295</v>
      </c>
      <c r="X872" s="6">
        <v>0</v>
      </c>
      <c r="Y872" s="43">
        <f>VLOOKUP(Tabla1[[#This Row],[PAGO DIA]],DIAS!A:J,10,0)</f>
        <v>46325</v>
      </c>
      <c r="Z872" s="6">
        <v>0</v>
      </c>
      <c r="AA872" s="43">
        <f>VLOOKUP(Tabla1[[#This Row],[PAGO DIA]],DIAS!A:K,11,0)</f>
        <v>46356</v>
      </c>
      <c r="AB872" s="6">
        <v>0</v>
      </c>
      <c r="AC872" s="43">
        <f>VLOOKUP(Tabla1[[#This Row],[PAGO DIA]],DIAS!A:M,12,0)</f>
        <v>46386</v>
      </c>
      <c r="AD8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3" spans="1:30">
      <c r="A873" s="3">
        <v>11552</v>
      </c>
      <c r="B873" s="3" t="s">
        <v>538</v>
      </c>
      <c r="C873" s="3" t="s">
        <v>540</v>
      </c>
      <c r="D873" s="3" t="s">
        <v>540</v>
      </c>
      <c r="E873" s="3" t="s">
        <v>699</v>
      </c>
      <c r="F873" s="42" t="s">
        <v>631</v>
      </c>
      <c r="G873" s="3" t="s">
        <v>1450</v>
      </c>
      <c r="H873" s="6">
        <v>0</v>
      </c>
      <c r="I873" s="41">
        <f>VLOOKUP(Tabla1[[#This Row],[PAGO DIA]],DIAS!A:B,2,0)</f>
        <v>46080</v>
      </c>
      <c r="J873" s="6">
        <v>0</v>
      </c>
      <c r="K873" s="43">
        <f>VLOOKUP(Tabla1[[#This Row],[PAGO DIA]],DIAS!A:C,3,0)</f>
        <v>46112</v>
      </c>
      <c r="L873" s="6">
        <v>0</v>
      </c>
      <c r="M873" s="41">
        <f>VLOOKUP(Tabla1[[#This Row],[PAGO DIA]],DIAS!A:D,4,0)</f>
        <v>46142</v>
      </c>
      <c r="N873" s="6">
        <v>0</v>
      </c>
      <c r="O873" s="43">
        <f>VLOOKUP(Tabla1[[#This Row],[PAGO DIA]],DIAS!A:E,5,0)</f>
        <v>46171</v>
      </c>
      <c r="P873" s="6">
        <v>0</v>
      </c>
      <c r="Q873" s="43">
        <f>VLOOKUP(Tabla1[[#This Row],[PAGO DIA]],DIAS!A:F,6,0)</f>
        <v>46203</v>
      </c>
      <c r="R873" s="6">
        <v>0</v>
      </c>
      <c r="S873" s="43">
        <f>VLOOKUP(Tabla1[[#This Row],[PAGO DIA]],DIAS!A:G,7,0)</f>
        <v>46234</v>
      </c>
      <c r="T873" s="6">
        <v>0</v>
      </c>
      <c r="U873" s="43">
        <f>VLOOKUP(Tabla1[[#This Row],[PAGO DIA]],DIAS!A:H,8,0)</f>
        <v>46265</v>
      </c>
      <c r="V873" s="6">
        <v>0</v>
      </c>
      <c r="W873" s="43">
        <f>VLOOKUP(Tabla1[[#This Row],[PAGO DIA]],DIAS!A:I,9,0)</f>
        <v>46295</v>
      </c>
      <c r="X873" s="6">
        <v>0</v>
      </c>
      <c r="Y873" s="43">
        <f>VLOOKUP(Tabla1[[#This Row],[PAGO DIA]],DIAS!A:J,10,0)</f>
        <v>46325</v>
      </c>
      <c r="Z873" s="6">
        <v>0</v>
      </c>
      <c r="AA873" s="43">
        <f>VLOOKUP(Tabla1[[#This Row],[PAGO DIA]],DIAS!A:K,11,0)</f>
        <v>46356</v>
      </c>
      <c r="AB873" s="6">
        <v>0</v>
      </c>
      <c r="AC873" s="43">
        <f>VLOOKUP(Tabla1[[#This Row],[PAGO DIA]],DIAS!A:M,12,0)</f>
        <v>46386</v>
      </c>
      <c r="AD8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4" spans="1:30">
      <c r="A874" s="3">
        <v>11553</v>
      </c>
      <c r="B874" s="3" t="s">
        <v>538</v>
      </c>
      <c r="C874" s="3" t="s">
        <v>540</v>
      </c>
      <c r="D874" s="3" t="s">
        <v>540</v>
      </c>
      <c r="E874" s="3" t="s">
        <v>699</v>
      </c>
      <c r="F874" s="42" t="s">
        <v>631</v>
      </c>
      <c r="G874" s="3" t="s">
        <v>1451</v>
      </c>
      <c r="H874" s="6">
        <v>0</v>
      </c>
      <c r="I874" s="41">
        <f>VLOOKUP(Tabla1[[#This Row],[PAGO DIA]],DIAS!A:B,2,0)</f>
        <v>46080</v>
      </c>
      <c r="J874" s="6">
        <v>0</v>
      </c>
      <c r="K874" s="43">
        <f>VLOOKUP(Tabla1[[#This Row],[PAGO DIA]],DIAS!A:C,3,0)</f>
        <v>46112</v>
      </c>
      <c r="L874" s="6">
        <v>0</v>
      </c>
      <c r="M874" s="41">
        <f>VLOOKUP(Tabla1[[#This Row],[PAGO DIA]],DIAS!A:D,4,0)</f>
        <v>46142</v>
      </c>
      <c r="N874" s="6">
        <v>0</v>
      </c>
      <c r="O874" s="43">
        <f>VLOOKUP(Tabla1[[#This Row],[PAGO DIA]],DIAS!A:E,5,0)</f>
        <v>46171</v>
      </c>
      <c r="P874" s="6">
        <v>0</v>
      </c>
      <c r="Q874" s="43">
        <f>VLOOKUP(Tabla1[[#This Row],[PAGO DIA]],DIAS!A:F,6,0)</f>
        <v>46203</v>
      </c>
      <c r="R874" s="6">
        <v>0</v>
      </c>
      <c r="S874" s="43">
        <f>VLOOKUP(Tabla1[[#This Row],[PAGO DIA]],DIAS!A:G,7,0)</f>
        <v>46234</v>
      </c>
      <c r="T874" s="6">
        <v>0</v>
      </c>
      <c r="U874" s="43">
        <f>VLOOKUP(Tabla1[[#This Row],[PAGO DIA]],DIAS!A:H,8,0)</f>
        <v>46265</v>
      </c>
      <c r="V874" s="6">
        <v>0</v>
      </c>
      <c r="W874" s="43">
        <f>VLOOKUP(Tabla1[[#This Row],[PAGO DIA]],DIAS!A:I,9,0)</f>
        <v>46295</v>
      </c>
      <c r="X874" s="6">
        <v>0</v>
      </c>
      <c r="Y874" s="43">
        <f>VLOOKUP(Tabla1[[#This Row],[PAGO DIA]],DIAS!A:J,10,0)</f>
        <v>46325</v>
      </c>
      <c r="Z874" s="6">
        <v>0</v>
      </c>
      <c r="AA874" s="43">
        <f>VLOOKUP(Tabla1[[#This Row],[PAGO DIA]],DIAS!A:K,11,0)</f>
        <v>46356</v>
      </c>
      <c r="AB874" s="6">
        <v>0</v>
      </c>
      <c r="AC874" s="43">
        <f>VLOOKUP(Tabla1[[#This Row],[PAGO DIA]],DIAS!A:M,12,0)</f>
        <v>46386</v>
      </c>
      <c r="AD8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5" spans="1:30">
      <c r="A875" s="3">
        <v>11554</v>
      </c>
      <c r="B875" s="3" t="s">
        <v>538</v>
      </c>
      <c r="C875" s="3" t="s">
        <v>540</v>
      </c>
      <c r="D875" s="3" t="s">
        <v>540</v>
      </c>
      <c r="E875" s="3" t="s">
        <v>699</v>
      </c>
      <c r="F875" s="42" t="s">
        <v>631</v>
      </c>
      <c r="G875" s="3" t="s">
        <v>1452</v>
      </c>
      <c r="H875" s="6">
        <v>0</v>
      </c>
      <c r="I875" s="41">
        <f>VLOOKUP(Tabla1[[#This Row],[PAGO DIA]],DIAS!A:B,2,0)</f>
        <v>46080</v>
      </c>
      <c r="J875" s="6">
        <v>0</v>
      </c>
      <c r="K875" s="43">
        <f>VLOOKUP(Tabla1[[#This Row],[PAGO DIA]],DIAS!A:C,3,0)</f>
        <v>46112</v>
      </c>
      <c r="L875" s="6">
        <v>0</v>
      </c>
      <c r="M875" s="41">
        <f>VLOOKUP(Tabla1[[#This Row],[PAGO DIA]],DIAS!A:D,4,0)</f>
        <v>46142</v>
      </c>
      <c r="N875" s="6">
        <v>0</v>
      </c>
      <c r="O875" s="43">
        <f>VLOOKUP(Tabla1[[#This Row],[PAGO DIA]],DIAS!A:E,5,0)</f>
        <v>46171</v>
      </c>
      <c r="P875" s="6">
        <v>0</v>
      </c>
      <c r="Q875" s="43">
        <f>VLOOKUP(Tabla1[[#This Row],[PAGO DIA]],DIAS!A:F,6,0)</f>
        <v>46203</v>
      </c>
      <c r="R875" s="6">
        <v>0</v>
      </c>
      <c r="S875" s="43">
        <f>VLOOKUP(Tabla1[[#This Row],[PAGO DIA]],DIAS!A:G,7,0)</f>
        <v>46234</v>
      </c>
      <c r="T875" s="6">
        <v>0</v>
      </c>
      <c r="U875" s="43">
        <f>VLOOKUP(Tabla1[[#This Row],[PAGO DIA]],DIAS!A:H,8,0)</f>
        <v>46265</v>
      </c>
      <c r="V875" s="6">
        <v>0</v>
      </c>
      <c r="W875" s="43">
        <f>VLOOKUP(Tabla1[[#This Row],[PAGO DIA]],DIAS!A:I,9,0)</f>
        <v>46295</v>
      </c>
      <c r="X875" s="6">
        <v>0</v>
      </c>
      <c r="Y875" s="43">
        <f>VLOOKUP(Tabla1[[#This Row],[PAGO DIA]],DIAS!A:J,10,0)</f>
        <v>46325</v>
      </c>
      <c r="Z875" s="6">
        <v>0</v>
      </c>
      <c r="AA875" s="43">
        <f>VLOOKUP(Tabla1[[#This Row],[PAGO DIA]],DIAS!A:K,11,0)</f>
        <v>46356</v>
      </c>
      <c r="AB875" s="6">
        <v>0</v>
      </c>
      <c r="AC875" s="43">
        <f>VLOOKUP(Tabla1[[#This Row],[PAGO DIA]],DIAS!A:M,12,0)</f>
        <v>46386</v>
      </c>
      <c r="AD8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6" spans="1:30">
      <c r="A876" s="3">
        <v>11555</v>
      </c>
      <c r="B876" s="3" t="s">
        <v>538</v>
      </c>
      <c r="C876" s="3" t="s">
        <v>540</v>
      </c>
      <c r="D876" s="3" t="s">
        <v>540</v>
      </c>
      <c r="E876" s="3" t="s">
        <v>699</v>
      </c>
      <c r="F876" s="42" t="s">
        <v>631</v>
      </c>
      <c r="G876" s="3" t="s">
        <v>1453</v>
      </c>
      <c r="H876" s="6">
        <v>0</v>
      </c>
      <c r="I876" s="41">
        <f>VLOOKUP(Tabla1[[#This Row],[PAGO DIA]],DIAS!A:B,2,0)</f>
        <v>46080</v>
      </c>
      <c r="J876" s="6">
        <v>0</v>
      </c>
      <c r="K876" s="43">
        <f>VLOOKUP(Tabla1[[#This Row],[PAGO DIA]],DIAS!A:C,3,0)</f>
        <v>46112</v>
      </c>
      <c r="L876" s="6">
        <v>0</v>
      </c>
      <c r="M876" s="41">
        <f>VLOOKUP(Tabla1[[#This Row],[PAGO DIA]],DIAS!A:D,4,0)</f>
        <v>46142</v>
      </c>
      <c r="N876" s="6">
        <v>0</v>
      </c>
      <c r="O876" s="43">
        <f>VLOOKUP(Tabla1[[#This Row],[PAGO DIA]],DIAS!A:E,5,0)</f>
        <v>46171</v>
      </c>
      <c r="P876" s="6">
        <v>0</v>
      </c>
      <c r="Q876" s="43">
        <f>VLOOKUP(Tabla1[[#This Row],[PAGO DIA]],DIAS!A:F,6,0)</f>
        <v>46203</v>
      </c>
      <c r="R876" s="6">
        <v>0</v>
      </c>
      <c r="S876" s="43">
        <f>VLOOKUP(Tabla1[[#This Row],[PAGO DIA]],DIAS!A:G,7,0)</f>
        <v>46234</v>
      </c>
      <c r="T876" s="6">
        <v>0</v>
      </c>
      <c r="U876" s="43">
        <f>VLOOKUP(Tabla1[[#This Row],[PAGO DIA]],DIAS!A:H,8,0)</f>
        <v>46265</v>
      </c>
      <c r="V876" s="6">
        <v>0</v>
      </c>
      <c r="W876" s="43">
        <f>VLOOKUP(Tabla1[[#This Row],[PAGO DIA]],DIAS!A:I,9,0)</f>
        <v>46295</v>
      </c>
      <c r="X876" s="6">
        <v>0</v>
      </c>
      <c r="Y876" s="43">
        <f>VLOOKUP(Tabla1[[#This Row],[PAGO DIA]],DIAS!A:J,10,0)</f>
        <v>46325</v>
      </c>
      <c r="Z876" s="6">
        <v>0</v>
      </c>
      <c r="AA876" s="43">
        <f>VLOOKUP(Tabla1[[#This Row],[PAGO DIA]],DIAS!A:K,11,0)</f>
        <v>46356</v>
      </c>
      <c r="AB876" s="6">
        <v>0</v>
      </c>
      <c r="AC876" s="43">
        <f>VLOOKUP(Tabla1[[#This Row],[PAGO DIA]],DIAS!A:M,12,0)</f>
        <v>46386</v>
      </c>
      <c r="AD8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7" spans="1:30">
      <c r="A877" s="3">
        <v>11591</v>
      </c>
      <c r="B877" s="3" t="s">
        <v>538</v>
      </c>
      <c r="C877" s="3" t="s">
        <v>540</v>
      </c>
      <c r="D877" s="3" t="s">
        <v>540</v>
      </c>
      <c r="E877" s="3" t="s">
        <v>1262</v>
      </c>
      <c r="F877" s="42" t="s">
        <v>631</v>
      </c>
      <c r="G877" s="3" t="s">
        <v>1454</v>
      </c>
      <c r="H877" s="6">
        <v>0</v>
      </c>
      <c r="I877" s="41">
        <f>VLOOKUP(Tabla1[[#This Row],[PAGO DIA]],DIAS!A:B,2,0)</f>
        <v>46080</v>
      </c>
      <c r="J877" s="6">
        <v>0</v>
      </c>
      <c r="K877" s="43">
        <f>VLOOKUP(Tabla1[[#This Row],[PAGO DIA]],DIAS!A:C,3,0)</f>
        <v>46112</v>
      </c>
      <c r="L877" s="6">
        <v>0</v>
      </c>
      <c r="M877" s="41">
        <f>VLOOKUP(Tabla1[[#This Row],[PAGO DIA]],DIAS!A:D,4,0)</f>
        <v>46142</v>
      </c>
      <c r="N877" s="6">
        <v>0</v>
      </c>
      <c r="O877" s="43">
        <f>VLOOKUP(Tabla1[[#This Row],[PAGO DIA]],DIAS!A:E,5,0)</f>
        <v>46171</v>
      </c>
      <c r="P877" s="6">
        <v>0</v>
      </c>
      <c r="Q877" s="43">
        <f>VLOOKUP(Tabla1[[#This Row],[PAGO DIA]],DIAS!A:F,6,0)</f>
        <v>46203</v>
      </c>
      <c r="R877" s="6">
        <v>0</v>
      </c>
      <c r="S877" s="43">
        <f>VLOOKUP(Tabla1[[#This Row],[PAGO DIA]],DIAS!A:G,7,0)</f>
        <v>46234</v>
      </c>
      <c r="T877" s="6">
        <v>0</v>
      </c>
      <c r="U877" s="43">
        <f>VLOOKUP(Tabla1[[#This Row],[PAGO DIA]],DIAS!A:H,8,0)</f>
        <v>46265</v>
      </c>
      <c r="V877" s="6">
        <v>0</v>
      </c>
      <c r="W877" s="43">
        <f>VLOOKUP(Tabla1[[#This Row],[PAGO DIA]],DIAS!A:I,9,0)</f>
        <v>46295</v>
      </c>
      <c r="X877" s="6">
        <v>0</v>
      </c>
      <c r="Y877" s="43">
        <f>VLOOKUP(Tabla1[[#This Row],[PAGO DIA]],DIAS!A:J,10,0)</f>
        <v>46325</v>
      </c>
      <c r="Z877" s="6">
        <v>0</v>
      </c>
      <c r="AA877" s="43">
        <f>VLOOKUP(Tabla1[[#This Row],[PAGO DIA]],DIAS!A:K,11,0)</f>
        <v>46356</v>
      </c>
      <c r="AB877" s="6">
        <v>0</v>
      </c>
      <c r="AC877" s="43">
        <f>VLOOKUP(Tabla1[[#This Row],[PAGO DIA]],DIAS!A:M,12,0)</f>
        <v>46386</v>
      </c>
      <c r="AD8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8" spans="1:30">
      <c r="A878" s="3">
        <v>11303</v>
      </c>
      <c r="B878" s="3" t="s">
        <v>538</v>
      </c>
      <c r="C878" s="3" t="s">
        <v>539</v>
      </c>
      <c r="D878" s="3" t="s">
        <v>540</v>
      </c>
      <c r="E878" s="3" t="s">
        <v>749</v>
      </c>
      <c r="F878" s="42" t="s">
        <v>631</v>
      </c>
      <c r="G878" s="3"/>
      <c r="H878" s="6">
        <v>0</v>
      </c>
      <c r="I878" s="41">
        <f>VLOOKUP(Tabla1[[#This Row],[PAGO DIA]],DIAS!A:B,2,0)</f>
        <v>46080</v>
      </c>
      <c r="J878" s="6">
        <v>0</v>
      </c>
      <c r="K878" s="43">
        <f>VLOOKUP(Tabla1[[#This Row],[PAGO DIA]],DIAS!A:C,3,0)</f>
        <v>46112</v>
      </c>
      <c r="L878" s="6">
        <v>0</v>
      </c>
      <c r="M878" s="41">
        <f>VLOOKUP(Tabla1[[#This Row],[PAGO DIA]],DIAS!A:D,4,0)</f>
        <v>46142</v>
      </c>
      <c r="N878" s="6">
        <v>0</v>
      </c>
      <c r="O878" s="43">
        <f>VLOOKUP(Tabla1[[#This Row],[PAGO DIA]],DIAS!A:E,5,0)</f>
        <v>46171</v>
      </c>
      <c r="P878" s="6">
        <v>0</v>
      </c>
      <c r="Q878" s="43">
        <f>VLOOKUP(Tabla1[[#This Row],[PAGO DIA]],DIAS!A:F,6,0)</f>
        <v>46203</v>
      </c>
      <c r="R878" s="6">
        <v>0</v>
      </c>
      <c r="S878" s="43">
        <f>VLOOKUP(Tabla1[[#This Row],[PAGO DIA]],DIAS!A:G,7,0)</f>
        <v>46234</v>
      </c>
      <c r="T878" s="6">
        <v>0</v>
      </c>
      <c r="U878" s="43">
        <f>VLOOKUP(Tabla1[[#This Row],[PAGO DIA]],DIAS!A:H,8,0)</f>
        <v>46265</v>
      </c>
      <c r="V878" s="6">
        <v>0</v>
      </c>
      <c r="W878" s="43">
        <f>VLOOKUP(Tabla1[[#This Row],[PAGO DIA]],DIAS!A:I,9,0)</f>
        <v>46295</v>
      </c>
      <c r="X878" s="6">
        <v>0</v>
      </c>
      <c r="Y878" s="43">
        <f>VLOOKUP(Tabla1[[#This Row],[PAGO DIA]],DIAS!A:J,10,0)</f>
        <v>46325</v>
      </c>
      <c r="Z878" s="6">
        <v>0</v>
      </c>
      <c r="AA878" s="43">
        <f>VLOOKUP(Tabla1[[#This Row],[PAGO DIA]],DIAS!A:K,11,0)</f>
        <v>46356</v>
      </c>
      <c r="AB878" s="6">
        <v>0</v>
      </c>
      <c r="AC878" s="43">
        <f>VLOOKUP(Tabla1[[#This Row],[PAGO DIA]],DIAS!A:M,12,0)</f>
        <v>46386</v>
      </c>
      <c r="AD8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79" spans="1:30">
      <c r="A879" s="3">
        <v>11599</v>
      </c>
      <c r="B879" s="3" t="s">
        <v>538</v>
      </c>
      <c r="C879" s="3" t="s">
        <v>540</v>
      </c>
      <c r="D879" s="3" t="s">
        <v>540</v>
      </c>
      <c r="E879" s="3" t="s">
        <v>749</v>
      </c>
      <c r="F879" s="42" t="s">
        <v>631</v>
      </c>
      <c r="G879" s="3" t="s">
        <v>1455</v>
      </c>
      <c r="H879" s="6">
        <v>0</v>
      </c>
      <c r="I879" s="41">
        <f>VLOOKUP(Tabla1[[#This Row],[PAGO DIA]],DIAS!A:B,2,0)</f>
        <v>46080</v>
      </c>
      <c r="J879" s="6">
        <v>0</v>
      </c>
      <c r="K879" s="43">
        <f>VLOOKUP(Tabla1[[#This Row],[PAGO DIA]],DIAS!A:C,3,0)</f>
        <v>46112</v>
      </c>
      <c r="L879" s="6">
        <v>0</v>
      </c>
      <c r="M879" s="41">
        <f>VLOOKUP(Tabla1[[#This Row],[PAGO DIA]],DIAS!A:D,4,0)</f>
        <v>46142</v>
      </c>
      <c r="N879" s="6">
        <v>0</v>
      </c>
      <c r="O879" s="43">
        <f>VLOOKUP(Tabla1[[#This Row],[PAGO DIA]],DIAS!A:E,5,0)</f>
        <v>46171</v>
      </c>
      <c r="P879" s="6">
        <v>0</v>
      </c>
      <c r="Q879" s="43">
        <f>VLOOKUP(Tabla1[[#This Row],[PAGO DIA]],DIAS!A:F,6,0)</f>
        <v>46203</v>
      </c>
      <c r="R879" s="6">
        <v>0</v>
      </c>
      <c r="S879" s="43">
        <f>VLOOKUP(Tabla1[[#This Row],[PAGO DIA]],DIAS!A:G,7,0)</f>
        <v>46234</v>
      </c>
      <c r="T879" s="6">
        <v>0</v>
      </c>
      <c r="U879" s="43">
        <f>VLOOKUP(Tabla1[[#This Row],[PAGO DIA]],DIAS!A:H,8,0)</f>
        <v>46265</v>
      </c>
      <c r="V879" s="6">
        <v>0</v>
      </c>
      <c r="W879" s="43">
        <f>VLOOKUP(Tabla1[[#This Row],[PAGO DIA]],DIAS!A:I,9,0)</f>
        <v>46295</v>
      </c>
      <c r="X879" s="6">
        <v>0</v>
      </c>
      <c r="Y879" s="43">
        <f>VLOOKUP(Tabla1[[#This Row],[PAGO DIA]],DIAS!A:J,10,0)</f>
        <v>46325</v>
      </c>
      <c r="Z879" s="6">
        <v>0</v>
      </c>
      <c r="AA879" s="43">
        <f>VLOOKUP(Tabla1[[#This Row],[PAGO DIA]],DIAS!A:K,11,0)</f>
        <v>46356</v>
      </c>
      <c r="AB879" s="6">
        <v>0</v>
      </c>
      <c r="AC879" s="43">
        <f>VLOOKUP(Tabla1[[#This Row],[PAGO DIA]],DIAS!A:M,12,0)</f>
        <v>46386</v>
      </c>
      <c r="AD8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0" spans="1:30">
      <c r="A880" s="3">
        <v>11185</v>
      </c>
      <c r="B880" s="3" t="s">
        <v>538</v>
      </c>
      <c r="C880" s="3" t="s">
        <v>539</v>
      </c>
      <c r="D880" s="3" t="s">
        <v>540</v>
      </c>
      <c r="E880" s="3" t="s">
        <v>1456</v>
      </c>
      <c r="F880" s="42" t="s">
        <v>631</v>
      </c>
      <c r="G880" s="3"/>
      <c r="H880" s="6">
        <v>0</v>
      </c>
      <c r="I880" s="41">
        <f>VLOOKUP(Tabla1[[#This Row],[PAGO DIA]],DIAS!A:B,2,0)</f>
        <v>46080</v>
      </c>
      <c r="J880" s="6">
        <v>0</v>
      </c>
      <c r="K880" s="43">
        <f>VLOOKUP(Tabla1[[#This Row],[PAGO DIA]],DIAS!A:C,3,0)</f>
        <v>46112</v>
      </c>
      <c r="L880" s="6">
        <v>0</v>
      </c>
      <c r="M880" s="41">
        <f>VLOOKUP(Tabla1[[#This Row],[PAGO DIA]],DIAS!A:D,4,0)</f>
        <v>46142</v>
      </c>
      <c r="N880" s="6">
        <v>0</v>
      </c>
      <c r="O880" s="43">
        <f>VLOOKUP(Tabla1[[#This Row],[PAGO DIA]],DIAS!A:E,5,0)</f>
        <v>46171</v>
      </c>
      <c r="P880" s="6">
        <v>0</v>
      </c>
      <c r="Q880" s="43">
        <f>VLOOKUP(Tabla1[[#This Row],[PAGO DIA]],DIAS!A:F,6,0)</f>
        <v>46203</v>
      </c>
      <c r="R880" s="6">
        <v>0</v>
      </c>
      <c r="S880" s="43">
        <f>VLOOKUP(Tabla1[[#This Row],[PAGO DIA]],DIAS!A:G,7,0)</f>
        <v>46234</v>
      </c>
      <c r="T880" s="6">
        <v>0</v>
      </c>
      <c r="U880" s="43">
        <f>VLOOKUP(Tabla1[[#This Row],[PAGO DIA]],DIAS!A:H,8,0)</f>
        <v>46265</v>
      </c>
      <c r="V880" s="6">
        <v>0</v>
      </c>
      <c r="W880" s="43">
        <f>VLOOKUP(Tabla1[[#This Row],[PAGO DIA]],DIAS!A:I,9,0)</f>
        <v>46295</v>
      </c>
      <c r="X880" s="6">
        <v>0</v>
      </c>
      <c r="Y880" s="43">
        <f>VLOOKUP(Tabla1[[#This Row],[PAGO DIA]],DIAS!A:J,10,0)</f>
        <v>46325</v>
      </c>
      <c r="Z880" s="6">
        <v>0</v>
      </c>
      <c r="AA880" s="43">
        <f>VLOOKUP(Tabla1[[#This Row],[PAGO DIA]],DIAS!A:K,11,0)</f>
        <v>46356</v>
      </c>
      <c r="AB880" s="6">
        <v>0</v>
      </c>
      <c r="AC880" s="43">
        <f>VLOOKUP(Tabla1[[#This Row],[PAGO DIA]],DIAS!A:M,12,0)</f>
        <v>46386</v>
      </c>
      <c r="AD8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1" spans="1:30">
      <c r="A881" s="3">
        <v>11613</v>
      </c>
      <c r="B881" s="3" t="s">
        <v>538</v>
      </c>
      <c r="C881" s="3" t="s">
        <v>540</v>
      </c>
      <c r="D881" s="3" t="s">
        <v>540</v>
      </c>
      <c r="E881" s="3" t="s">
        <v>1457</v>
      </c>
      <c r="F881" s="42" t="s">
        <v>631</v>
      </c>
      <c r="G881" s="3" t="s">
        <v>1458</v>
      </c>
      <c r="H881" s="6">
        <v>0</v>
      </c>
      <c r="I881" s="41">
        <f>VLOOKUP(Tabla1[[#This Row],[PAGO DIA]],DIAS!A:B,2,0)</f>
        <v>46080</v>
      </c>
      <c r="J881" s="6">
        <v>0</v>
      </c>
      <c r="K881" s="43">
        <f>VLOOKUP(Tabla1[[#This Row],[PAGO DIA]],DIAS!A:C,3,0)</f>
        <v>46112</v>
      </c>
      <c r="L881" s="6">
        <v>0</v>
      </c>
      <c r="M881" s="41">
        <f>VLOOKUP(Tabla1[[#This Row],[PAGO DIA]],DIAS!A:D,4,0)</f>
        <v>46142</v>
      </c>
      <c r="N881" s="6">
        <v>0</v>
      </c>
      <c r="O881" s="43">
        <f>VLOOKUP(Tabla1[[#This Row],[PAGO DIA]],DIAS!A:E,5,0)</f>
        <v>46171</v>
      </c>
      <c r="P881" s="6">
        <v>0</v>
      </c>
      <c r="Q881" s="43">
        <f>VLOOKUP(Tabla1[[#This Row],[PAGO DIA]],DIAS!A:F,6,0)</f>
        <v>46203</v>
      </c>
      <c r="R881" s="6">
        <v>0</v>
      </c>
      <c r="S881" s="43">
        <f>VLOOKUP(Tabla1[[#This Row],[PAGO DIA]],DIAS!A:G,7,0)</f>
        <v>46234</v>
      </c>
      <c r="T881" s="6">
        <v>0</v>
      </c>
      <c r="U881" s="43">
        <f>VLOOKUP(Tabla1[[#This Row],[PAGO DIA]],DIAS!A:H,8,0)</f>
        <v>46265</v>
      </c>
      <c r="V881" s="6">
        <v>0</v>
      </c>
      <c r="W881" s="43">
        <f>VLOOKUP(Tabla1[[#This Row],[PAGO DIA]],DIAS!A:I,9,0)</f>
        <v>46295</v>
      </c>
      <c r="X881" s="6">
        <v>0</v>
      </c>
      <c r="Y881" s="43">
        <f>VLOOKUP(Tabla1[[#This Row],[PAGO DIA]],DIAS!A:J,10,0)</f>
        <v>46325</v>
      </c>
      <c r="Z881" s="6">
        <v>0</v>
      </c>
      <c r="AA881" s="43">
        <f>VLOOKUP(Tabla1[[#This Row],[PAGO DIA]],DIAS!A:K,11,0)</f>
        <v>46356</v>
      </c>
      <c r="AB881" s="6">
        <v>0</v>
      </c>
      <c r="AC881" s="43">
        <f>VLOOKUP(Tabla1[[#This Row],[PAGO DIA]],DIAS!A:M,12,0)</f>
        <v>46386</v>
      </c>
      <c r="AD8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2" spans="1:30">
      <c r="A882" s="3">
        <v>11614</v>
      </c>
      <c r="B882" s="3" t="s">
        <v>538</v>
      </c>
      <c r="C882" s="3" t="s">
        <v>540</v>
      </c>
      <c r="D882" s="3" t="s">
        <v>540</v>
      </c>
      <c r="E882" s="3" t="s">
        <v>1457</v>
      </c>
      <c r="F882" s="42" t="s">
        <v>631</v>
      </c>
      <c r="G882" s="3" t="s">
        <v>1459</v>
      </c>
      <c r="H882" s="6">
        <v>0</v>
      </c>
      <c r="I882" s="41">
        <f>VLOOKUP(Tabla1[[#This Row],[PAGO DIA]],DIAS!A:B,2,0)</f>
        <v>46080</v>
      </c>
      <c r="J882" s="6">
        <v>0</v>
      </c>
      <c r="K882" s="43">
        <f>VLOOKUP(Tabla1[[#This Row],[PAGO DIA]],DIAS!A:C,3,0)</f>
        <v>46112</v>
      </c>
      <c r="L882" s="6">
        <v>0</v>
      </c>
      <c r="M882" s="41">
        <f>VLOOKUP(Tabla1[[#This Row],[PAGO DIA]],DIAS!A:D,4,0)</f>
        <v>46142</v>
      </c>
      <c r="N882" s="6">
        <v>0</v>
      </c>
      <c r="O882" s="43">
        <f>VLOOKUP(Tabla1[[#This Row],[PAGO DIA]],DIAS!A:E,5,0)</f>
        <v>46171</v>
      </c>
      <c r="P882" s="6">
        <v>0</v>
      </c>
      <c r="Q882" s="43">
        <f>VLOOKUP(Tabla1[[#This Row],[PAGO DIA]],DIAS!A:F,6,0)</f>
        <v>46203</v>
      </c>
      <c r="R882" s="6">
        <v>0</v>
      </c>
      <c r="S882" s="43">
        <f>VLOOKUP(Tabla1[[#This Row],[PAGO DIA]],DIAS!A:G,7,0)</f>
        <v>46234</v>
      </c>
      <c r="T882" s="6">
        <v>0</v>
      </c>
      <c r="U882" s="43">
        <f>VLOOKUP(Tabla1[[#This Row],[PAGO DIA]],DIAS!A:H,8,0)</f>
        <v>46265</v>
      </c>
      <c r="V882" s="6">
        <v>0</v>
      </c>
      <c r="W882" s="43">
        <f>VLOOKUP(Tabla1[[#This Row],[PAGO DIA]],DIAS!A:I,9,0)</f>
        <v>46295</v>
      </c>
      <c r="X882" s="6">
        <v>0</v>
      </c>
      <c r="Y882" s="43">
        <f>VLOOKUP(Tabla1[[#This Row],[PAGO DIA]],DIAS!A:J,10,0)</f>
        <v>46325</v>
      </c>
      <c r="Z882" s="6">
        <v>0</v>
      </c>
      <c r="AA882" s="43">
        <f>VLOOKUP(Tabla1[[#This Row],[PAGO DIA]],DIAS!A:K,11,0)</f>
        <v>46356</v>
      </c>
      <c r="AB882" s="6">
        <v>0</v>
      </c>
      <c r="AC882" s="43">
        <f>VLOOKUP(Tabla1[[#This Row],[PAGO DIA]],DIAS!A:M,12,0)</f>
        <v>46386</v>
      </c>
      <c r="AD8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3" spans="1:30">
      <c r="A883" s="3">
        <v>11615</v>
      </c>
      <c r="B883" s="3" t="s">
        <v>538</v>
      </c>
      <c r="C883" s="3" t="s">
        <v>540</v>
      </c>
      <c r="D883" s="3" t="s">
        <v>540</v>
      </c>
      <c r="E883" s="3" t="s">
        <v>1457</v>
      </c>
      <c r="F883" s="42" t="s">
        <v>631</v>
      </c>
      <c r="G883" s="3" t="s">
        <v>1460</v>
      </c>
      <c r="H883" s="6">
        <v>0</v>
      </c>
      <c r="I883" s="41">
        <f>VLOOKUP(Tabla1[[#This Row],[PAGO DIA]],DIAS!A:B,2,0)</f>
        <v>46080</v>
      </c>
      <c r="J883" s="6">
        <v>0</v>
      </c>
      <c r="K883" s="43">
        <f>VLOOKUP(Tabla1[[#This Row],[PAGO DIA]],DIAS!A:C,3,0)</f>
        <v>46112</v>
      </c>
      <c r="L883" s="6">
        <v>0</v>
      </c>
      <c r="M883" s="41">
        <f>VLOOKUP(Tabla1[[#This Row],[PAGO DIA]],DIAS!A:D,4,0)</f>
        <v>46142</v>
      </c>
      <c r="N883" s="6">
        <v>0</v>
      </c>
      <c r="O883" s="43">
        <f>VLOOKUP(Tabla1[[#This Row],[PAGO DIA]],DIAS!A:E,5,0)</f>
        <v>46171</v>
      </c>
      <c r="P883" s="6">
        <v>0</v>
      </c>
      <c r="Q883" s="43">
        <f>VLOOKUP(Tabla1[[#This Row],[PAGO DIA]],DIAS!A:F,6,0)</f>
        <v>46203</v>
      </c>
      <c r="R883" s="6">
        <v>0</v>
      </c>
      <c r="S883" s="43">
        <f>VLOOKUP(Tabla1[[#This Row],[PAGO DIA]],DIAS!A:G,7,0)</f>
        <v>46234</v>
      </c>
      <c r="T883" s="6">
        <v>0</v>
      </c>
      <c r="U883" s="43">
        <f>VLOOKUP(Tabla1[[#This Row],[PAGO DIA]],DIAS!A:H,8,0)</f>
        <v>46265</v>
      </c>
      <c r="V883" s="6">
        <v>0</v>
      </c>
      <c r="W883" s="43">
        <f>VLOOKUP(Tabla1[[#This Row],[PAGO DIA]],DIAS!A:I,9,0)</f>
        <v>46295</v>
      </c>
      <c r="X883" s="6">
        <v>0</v>
      </c>
      <c r="Y883" s="43">
        <f>VLOOKUP(Tabla1[[#This Row],[PAGO DIA]],DIAS!A:J,10,0)</f>
        <v>46325</v>
      </c>
      <c r="Z883" s="6">
        <v>0</v>
      </c>
      <c r="AA883" s="43">
        <f>VLOOKUP(Tabla1[[#This Row],[PAGO DIA]],DIAS!A:K,11,0)</f>
        <v>46356</v>
      </c>
      <c r="AB883" s="6">
        <v>0</v>
      </c>
      <c r="AC883" s="43">
        <f>VLOOKUP(Tabla1[[#This Row],[PAGO DIA]],DIAS!A:M,12,0)</f>
        <v>46386</v>
      </c>
      <c r="AD8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4" spans="1:30">
      <c r="A884" s="3">
        <v>12569</v>
      </c>
      <c r="B884" s="3" t="s">
        <v>538</v>
      </c>
      <c r="C884" s="3" t="s">
        <v>539</v>
      </c>
      <c r="D884" s="3" t="s">
        <v>540</v>
      </c>
      <c r="E884" s="3" t="s">
        <v>1461</v>
      </c>
      <c r="F884" s="42" t="s">
        <v>631</v>
      </c>
      <c r="G884" s="3" t="s">
        <v>1462</v>
      </c>
      <c r="H884" s="6">
        <v>0</v>
      </c>
      <c r="I884" s="41">
        <f>VLOOKUP(Tabla1[[#This Row],[PAGO DIA]],DIAS!A:B,2,0)</f>
        <v>46080</v>
      </c>
      <c r="J884" s="6">
        <v>0</v>
      </c>
      <c r="K884" s="43">
        <f>VLOOKUP(Tabla1[[#This Row],[PAGO DIA]],DIAS!A:C,3,0)</f>
        <v>46112</v>
      </c>
      <c r="L884" s="6">
        <v>0</v>
      </c>
      <c r="M884" s="41">
        <f>VLOOKUP(Tabla1[[#This Row],[PAGO DIA]],DIAS!A:D,4,0)</f>
        <v>46142</v>
      </c>
      <c r="N884" s="6">
        <v>0</v>
      </c>
      <c r="O884" s="43">
        <f>VLOOKUP(Tabla1[[#This Row],[PAGO DIA]],DIAS!A:E,5,0)</f>
        <v>46171</v>
      </c>
      <c r="P884" s="6">
        <v>0</v>
      </c>
      <c r="Q884" s="43">
        <f>VLOOKUP(Tabla1[[#This Row],[PAGO DIA]],DIAS!A:F,6,0)</f>
        <v>46203</v>
      </c>
      <c r="R884" s="6">
        <v>0</v>
      </c>
      <c r="S884" s="43">
        <f>VLOOKUP(Tabla1[[#This Row],[PAGO DIA]],DIAS!A:G,7,0)</f>
        <v>46234</v>
      </c>
      <c r="T884" s="6">
        <v>0</v>
      </c>
      <c r="U884" s="43">
        <f>VLOOKUP(Tabla1[[#This Row],[PAGO DIA]],DIAS!A:H,8,0)</f>
        <v>46265</v>
      </c>
      <c r="V884" s="6">
        <v>0</v>
      </c>
      <c r="W884" s="43">
        <f>VLOOKUP(Tabla1[[#This Row],[PAGO DIA]],DIAS!A:I,9,0)</f>
        <v>46295</v>
      </c>
      <c r="X884" s="6">
        <v>0</v>
      </c>
      <c r="Y884" s="43">
        <f>VLOOKUP(Tabla1[[#This Row],[PAGO DIA]],DIAS!A:J,10,0)</f>
        <v>46325</v>
      </c>
      <c r="Z884" s="6">
        <v>0</v>
      </c>
      <c r="AA884" s="43">
        <f>VLOOKUP(Tabla1[[#This Row],[PAGO DIA]],DIAS!A:K,11,0)</f>
        <v>46356</v>
      </c>
      <c r="AB884" s="6">
        <v>0</v>
      </c>
      <c r="AC884" s="43">
        <f>VLOOKUP(Tabla1[[#This Row],[PAGO DIA]],DIAS!A:M,12,0)</f>
        <v>46386</v>
      </c>
      <c r="AD8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5" spans="1:30">
      <c r="A885" s="3">
        <v>12735</v>
      </c>
      <c r="B885" s="3" t="s">
        <v>538</v>
      </c>
      <c r="C885" s="3" t="s">
        <v>539</v>
      </c>
      <c r="D885" s="3" t="s">
        <v>540</v>
      </c>
      <c r="E885" s="3" t="s">
        <v>1461</v>
      </c>
      <c r="F885" s="42" t="s">
        <v>631</v>
      </c>
      <c r="G885" s="3" t="s">
        <v>1463</v>
      </c>
      <c r="H885" s="6">
        <v>0</v>
      </c>
      <c r="I885" s="41">
        <f>VLOOKUP(Tabla1[[#This Row],[PAGO DIA]],DIAS!A:B,2,0)</f>
        <v>46080</v>
      </c>
      <c r="J885" s="6">
        <v>0</v>
      </c>
      <c r="K885" s="43">
        <f>VLOOKUP(Tabla1[[#This Row],[PAGO DIA]],DIAS!A:C,3,0)</f>
        <v>46112</v>
      </c>
      <c r="L885" s="6">
        <v>0</v>
      </c>
      <c r="M885" s="41">
        <f>VLOOKUP(Tabla1[[#This Row],[PAGO DIA]],DIAS!A:D,4,0)</f>
        <v>46142</v>
      </c>
      <c r="N885" s="6">
        <v>0</v>
      </c>
      <c r="O885" s="43">
        <f>VLOOKUP(Tabla1[[#This Row],[PAGO DIA]],DIAS!A:E,5,0)</f>
        <v>46171</v>
      </c>
      <c r="P885" s="6">
        <v>0</v>
      </c>
      <c r="Q885" s="43">
        <f>VLOOKUP(Tabla1[[#This Row],[PAGO DIA]],DIAS!A:F,6,0)</f>
        <v>46203</v>
      </c>
      <c r="R885" s="6">
        <v>0</v>
      </c>
      <c r="S885" s="43">
        <f>VLOOKUP(Tabla1[[#This Row],[PAGO DIA]],DIAS!A:G,7,0)</f>
        <v>46234</v>
      </c>
      <c r="T885" s="6">
        <v>0</v>
      </c>
      <c r="U885" s="43">
        <f>VLOOKUP(Tabla1[[#This Row],[PAGO DIA]],DIAS!A:H,8,0)</f>
        <v>46265</v>
      </c>
      <c r="V885" s="6">
        <v>0</v>
      </c>
      <c r="W885" s="43">
        <f>VLOOKUP(Tabla1[[#This Row],[PAGO DIA]],DIAS!A:I,9,0)</f>
        <v>46295</v>
      </c>
      <c r="X885" s="6">
        <v>0</v>
      </c>
      <c r="Y885" s="43">
        <f>VLOOKUP(Tabla1[[#This Row],[PAGO DIA]],DIAS!A:J,10,0)</f>
        <v>46325</v>
      </c>
      <c r="Z885" s="6">
        <v>0</v>
      </c>
      <c r="AA885" s="43">
        <f>VLOOKUP(Tabla1[[#This Row],[PAGO DIA]],DIAS!A:K,11,0)</f>
        <v>46356</v>
      </c>
      <c r="AB885" s="6">
        <v>0</v>
      </c>
      <c r="AC885" s="43">
        <f>VLOOKUP(Tabla1[[#This Row],[PAGO DIA]],DIAS!A:M,12,0)</f>
        <v>46386</v>
      </c>
      <c r="AD8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6" spans="1:30">
      <c r="A886" s="3">
        <v>12775</v>
      </c>
      <c r="B886" s="3" t="s">
        <v>538</v>
      </c>
      <c r="C886" s="3" t="s">
        <v>539</v>
      </c>
      <c r="D886" s="3" t="s">
        <v>540</v>
      </c>
      <c r="E886" s="3" t="s">
        <v>1461</v>
      </c>
      <c r="F886" s="42" t="s">
        <v>631</v>
      </c>
      <c r="G886" s="3" t="s">
        <v>1464</v>
      </c>
      <c r="H886" s="6">
        <v>0</v>
      </c>
      <c r="I886" s="41">
        <f>VLOOKUP(Tabla1[[#This Row],[PAGO DIA]],DIAS!A:B,2,0)</f>
        <v>46080</v>
      </c>
      <c r="J886" s="6">
        <v>0</v>
      </c>
      <c r="K886" s="43">
        <f>VLOOKUP(Tabla1[[#This Row],[PAGO DIA]],DIAS!A:C,3,0)</f>
        <v>46112</v>
      </c>
      <c r="L886" s="6">
        <v>0</v>
      </c>
      <c r="M886" s="41">
        <f>VLOOKUP(Tabla1[[#This Row],[PAGO DIA]],DIAS!A:D,4,0)</f>
        <v>46142</v>
      </c>
      <c r="N886" s="6">
        <v>0</v>
      </c>
      <c r="O886" s="43">
        <f>VLOOKUP(Tabla1[[#This Row],[PAGO DIA]],DIAS!A:E,5,0)</f>
        <v>46171</v>
      </c>
      <c r="P886" s="6">
        <v>0</v>
      </c>
      <c r="Q886" s="43">
        <f>VLOOKUP(Tabla1[[#This Row],[PAGO DIA]],DIAS!A:F,6,0)</f>
        <v>46203</v>
      </c>
      <c r="R886" s="6">
        <v>0</v>
      </c>
      <c r="S886" s="43">
        <f>VLOOKUP(Tabla1[[#This Row],[PAGO DIA]],DIAS!A:G,7,0)</f>
        <v>46234</v>
      </c>
      <c r="T886" s="6">
        <v>0</v>
      </c>
      <c r="U886" s="43">
        <f>VLOOKUP(Tabla1[[#This Row],[PAGO DIA]],DIAS!A:H,8,0)</f>
        <v>46265</v>
      </c>
      <c r="V886" s="6">
        <v>0</v>
      </c>
      <c r="W886" s="43">
        <f>VLOOKUP(Tabla1[[#This Row],[PAGO DIA]],DIAS!A:I,9,0)</f>
        <v>46295</v>
      </c>
      <c r="X886" s="6">
        <v>0</v>
      </c>
      <c r="Y886" s="43">
        <f>VLOOKUP(Tabla1[[#This Row],[PAGO DIA]],DIAS!A:J,10,0)</f>
        <v>46325</v>
      </c>
      <c r="Z886" s="6">
        <v>0</v>
      </c>
      <c r="AA886" s="43">
        <f>VLOOKUP(Tabla1[[#This Row],[PAGO DIA]],DIAS!A:K,11,0)</f>
        <v>46356</v>
      </c>
      <c r="AB886" s="6">
        <v>0</v>
      </c>
      <c r="AC886" s="43">
        <f>VLOOKUP(Tabla1[[#This Row],[PAGO DIA]],DIAS!A:M,12,0)</f>
        <v>46386</v>
      </c>
      <c r="AD8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7" spans="1:30">
      <c r="A887" s="3">
        <v>11273</v>
      </c>
      <c r="B887" s="3" t="s">
        <v>538</v>
      </c>
      <c r="C887" s="3" t="s">
        <v>539</v>
      </c>
      <c r="D887" s="3" t="s">
        <v>540</v>
      </c>
      <c r="E887" s="3" t="s">
        <v>1465</v>
      </c>
      <c r="F887" s="42" t="s">
        <v>631</v>
      </c>
      <c r="G887" s="3"/>
      <c r="H887" s="6">
        <v>0</v>
      </c>
      <c r="I887" s="41">
        <f>VLOOKUP(Tabla1[[#This Row],[PAGO DIA]],DIAS!A:B,2,0)</f>
        <v>46080</v>
      </c>
      <c r="J887" s="6">
        <v>0</v>
      </c>
      <c r="K887" s="43">
        <f>VLOOKUP(Tabla1[[#This Row],[PAGO DIA]],DIAS!A:C,3,0)</f>
        <v>46112</v>
      </c>
      <c r="L887" s="6">
        <v>0</v>
      </c>
      <c r="M887" s="41">
        <f>VLOOKUP(Tabla1[[#This Row],[PAGO DIA]],DIAS!A:D,4,0)</f>
        <v>46142</v>
      </c>
      <c r="N887" s="6">
        <v>0</v>
      </c>
      <c r="O887" s="43">
        <f>VLOOKUP(Tabla1[[#This Row],[PAGO DIA]],DIAS!A:E,5,0)</f>
        <v>46171</v>
      </c>
      <c r="P887" s="6">
        <v>0</v>
      </c>
      <c r="Q887" s="43">
        <f>VLOOKUP(Tabla1[[#This Row],[PAGO DIA]],DIAS!A:F,6,0)</f>
        <v>46203</v>
      </c>
      <c r="R887" s="6">
        <v>0</v>
      </c>
      <c r="S887" s="43">
        <f>VLOOKUP(Tabla1[[#This Row],[PAGO DIA]],DIAS!A:G,7,0)</f>
        <v>46234</v>
      </c>
      <c r="T887" s="6">
        <v>0</v>
      </c>
      <c r="U887" s="43">
        <f>VLOOKUP(Tabla1[[#This Row],[PAGO DIA]],DIAS!A:H,8,0)</f>
        <v>46265</v>
      </c>
      <c r="V887" s="6">
        <v>0</v>
      </c>
      <c r="W887" s="43">
        <f>VLOOKUP(Tabla1[[#This Row],[PAGO DIA]],DIAS!A:I,9,0)</f>
        <v>46295</v>
      </c>
      <c r="X887" s="6">
        <v>0</v>
      </c>
      <c r="Y887" s="43">
        <f>VLOOKUP(Tabla1[[#This Row],[PAGO DIA]],DIAS!A:J,10,0)</f>
        <v>46325</v>
      </c>
      <c r="Z887" s="6">
        <v>0</v>
      </c>
      <c r="AA887" s="43">
        <f>VLOOKUP(Tabla1[[#This Row],[PAGO DIA]],DIAS!A:K,11,0)</f>
        <v>46356</v>
      </c>
      <c r="AB887" s="6">
        <v>0</v>
      </c>
      <c r="AC887" s="43">
        <f>VLOOKUP(Tabla1[[#This Row],[PAGO DIA]],DIAS!A:M,12,0)</f>
        <v>46386</v>
      </c>
      <c r="AD8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8" spans="1:30">
      <c r="A888" s="3">
        <v>11616</v>
      </c>
      <c r="B888" s="3" t="s">
        <v>538</v>
      </c>
      <c r="C888" s="3" t="s">
        <v>540</v>
      </c>
      <c r="D888" s="3" t="s">
        <v>540</v>
      </c>
      <c r="E888" s="3" t="s">
        <v>1465</v>
      </c>
      <c r="F888" s="42" t="s">
        <v>631</v>
      </c>
      <c r="G888" s="3" t="s">
        <v>1466</v>
      </c>
      <c r="H888" s="6">
        <v>0</v>
      </c>
      <c r="I888" s="41">
        <f>VLOOKUP(Tabla1[[#This Row],[PAGO DIA]],DIAS!A:B,2,0)</f>
        <v>46080</v>
      </c>
      <c r="J888" s="6">
        <v>0</v>
      </c>
      <c r="K888" s="43">
        <f>VLOOKUP(Tabla1[[#This Row],[PAGO DIA]],DIAS!A:C,3,0)</f>
        <v>46112</v>
      </c>
      <c r="L888" s="6">
        <v>0</v>
      </c>
      <c r="M888" s="41">
        <f>VLOOKUP(Tabla1[[#This Row],[PAGO DIA]],DIAS!A:D,4,0)</f>
        <v>46142</v>
      </c>
      <c r="N888" s="6">
        <v>0</v>
      </c>
      <c r="O888" s="43">
        <f>VLOOKUP(Tabla1[[#This Row],[PAGO DIA]],DIAS!A:E,5,0)</f>
        <v>46171</v>
      </c>
      <c r="P888" s="6">
        <v>0</v>
      </c>
      <c r="Q888" s="43">
        <f>VLOOKUP(Tabla1[[#This Row],[PAGO DIA]],DIAS!A:F,6,0)</f>
        <v>46203</v>
      </c>
      <c r="R888" s="6">
        <v>0</v>
      </c>
      <c r="S888" s="43">
        <f>VLOOKUP(Tabla1[[#This Row],[PAGO DIA]],DIAS!A:G,7,0)</f>
        <v>46234</v>
      </c>
      <c r="T888" s="6">
        <v>0</v>
      </c>
      <c r="U888" s="43">
        <f>VLOOKUP(Tabla1[[#This Row],[PAGO DIA]],DIAS!A:H,8,0)</f>
        <v>46265</v>
      </c>
      <c r="V888" s="6">
        <v>0</v>
      </c>
      <c r="W888" s="43">
        <f>VLOOKUP(Tabla1[[#This Row],[PAGO DIA]],DIAS!A:I,9,0)</f>
        <v>46295</v>
      </c>
      <c r="X888" s="6">
        <v>0</v>
      </c>
      <c r="Y888" s="43">
        <f>VLOOKUP(Tabla1[[#This Row],[PAGO DIA]],DIAS!A:J,10,0)</f>
        <v>46325</v>
      </c>
      <c r="Z888" s="6">
        <v>0</v>
      </c>
      <c r="AA888" s="43">
        <f>VLOOKUP(Tabla1[[#This Row],[PAGO DIA]],DIAS!A:K,11,0)</f>
        <v>46356</v>
      </c>
      <c r="AB888" s="6">
        <v>0</v>
      </c>
      <c r="AC888" s="43">
        <f>VLOOKUP(Tabla1[[#This Row],[PAGO DIA]],DIAS!A:M,12,0)</f>
        <v>46386</v>
      </c>
      <c r="AD8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89" spans="1:30">
      <c r="A889" s="3">
        <v>11617</v>
      </c>
      <c r="B889" s="3" t="s">
        <v>538</v>
      </c>
      <c r="C889" s="3" t="s">
        <v>540</v>
      </c>
      <c r="D889" s="3" t="s">
        <v>540</v>
      </c>
      <c r="E889" s="3" t="s">
        <v>1465</v>
      </c>
      <c r="F889" s="42" t="s">
        <v>631</v>
      </c>
      <c r="G889" s="3" t="s">
        <v>1467</v>
      </c>
      <c r="H889" s="6">
        <v>0</v>
      </c>
      <c r="I889" s="41">
        <f>VLOOKUP(Tabla1[[#This Row],[PAGO DIA]],DIAS!A:B,2,0)</f>
        <v>46080</v>
      </c>
      <c r="J889" s="6">
        <v>0</v>
      </c>
      <c r="K889" s="43">
        <f>VLOOKUP(Tabla1[[#This Row],[PAGO DIA]],DIAS!A:C,3,0)</f>
        <v>46112</v>
      </c>
      <c r="L889" s="6">
        <v>0</v>
      </c>
      <c r="M889" s="41">
        <f>VLOOKUP(Tabla1[[#This Row],[PAGO DIA]],DIAS!A:D,4,0)</f>
        <v>46142</v>
      </c>
      <c r="N889" s="6">
        <v>0</v>
      </c>
      <c r="O889" s="43">
        <f>VLOOKUP(Tabla1[[#This Row],[PAGO DIA]],DIAS!A:E,5,0)</f>
        <v>46171</v>
      </c>
      <c r="P889" s="6">
        <v>0</v>
      </c>
      <c r="Q889" s="43">
        <f>VLOOKUP(Tabla1[[#This Row],[PAGO DIA]],DIAS!A:F,6,0)</f>
        <v>46203</v>
      </c>
      <c r="R889" s="6">
        <v>0</v>
      </c>
      <c r="S889" s="43">
        <f>VLOOKUP(Tabla1[[#This Row],[PAGO DIA]],DIAS!A:G,7,0)</f>
        <v>46234</v>
      </c>
      <c r="T889" s="6">
        <v>0</v>
      </c>
      <c r="U889" s="43">
        <f>VLOOKUP(Tabla1[[#This Row],[PAGO DIA]],DIAS!A:H,8,0)</f>
        <v>46265</v>
      </c>
      <c r="V889" s="6">
        <v>0</v>
      </c>
      <c r="W889" s="43">
        <f>VLOOKUP(Tabla1[[#This Row],[PAGO DIA]],DIAS!A:I,9,0)</f>
        <v>46295</v>
      </c>
      <c r="X889" s="6">
        <v>0</v>
      </c>
      <c r="Y889" s="43">
        <f>VLOOKUP(Tabla1[[#This Row],[PAGO DIA]],DIAS!A:J,10,0)</f>
        <v>46325</v>
      </c>
      <c r="Z889" s="6">
        <v>0</v>
      </c>
      <c r="AA889" s="43">
        <f>VLOOKUP(Tabla1[[#This Row],[PAGO DIA]],DIAS!A:K,11,0)</f>
        <v>46356</v>
      </c>
      <c r="AB889" s="6">
        <v>0</v>
      </c>
      <c r="AC889" s="43">
        <f>VLOOKUP(Tabla1[[#This Row],[PAGO DIA]],DIAS!A:M,12,0)</f>
        <v>46386</v>
      </c>
      <c r="AD8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0" spans="1:30">
      <c r="A890" s="3">
        <v>12541</v>
      </c>
      <c r="B890" s="3" t="s">
        <v>538</v>
      </c>
      <c r="C890" s="3" t="s">
        <v>539</v>
      </c>
      <c r="D890" s="3" t="s">
        <v>540</v>
      </c>
      <c r="E890" s="3" t="s">
        <v>1468</v>
      </c>
      <c r="F890" s="42" t="s">
        <v>631</v>
      </c>
      <c r="G890" s="3" t="s">
        <v>1469</v>
      </c>
      <c r="H890" s="6">
        <v>0</v>
      </c>
      <c r="I890" s="41">
        <f>VLOOKUP(Tabla1[[#This Row],[PAGO DIA]],DIAS!A:B,2,0)</f>
        <v>46080</v>
      </c>
      <c r="J890" s="6">
        <v>0</v>
      </c>
      <c r="K890" s="43">
        <f>VLOOKUP(Tabla1[[#This Row],[PAGO DIA]],DIAS!A:C,3,0)</f>
        <v>46112</v>
      </c>
      <c r="L890" s="6">
        <v>0</v>
      </c>
      <c r="M890" s="41">
        <f>VLOOKUP(Tabla1[[#This Row],[PAGO DIA]],DIAS!A:D,4,0)</f>
        <v>46142</v>
      </c>
      <c r="N890" s="6">
        <v>0</v>
      </c>
      <c r="O890" s="43">
        <f>VLOOKUP(Tabla1[[#This Row],[PAGO DIA]],DIAS!A:E,5,0)</f>
        <v>46171</v>
      </c>
      <c r="P890" s="6">
        <v>0</v>
      </c>
      <c r="Q890" s="43">
        <f>VLOOKUP(Tabla1[[#This Row],[PAGO DIA]],DIAS!A:F,6,0)</f>
        <v>46203</v>
      </c>
      <c r="R890" s="6">
        <v>0</v>
      </c>
      <c r="S890" s="43">
        <f>VLOOKUP(Tabla1[[#This Row],[PAGO DIA]],DIAS!A:G,7,0)</f>
        <v>46234</v>
      </c>
      <c r="T890" s="6">
        <v>0</v>
      </c>
      <c r="U890" s="43">
        <f>VLOOKUP(Tabla1[[#This Row],[PAGO DIA]],DIAS!A:H,8,0)</f>
        <v>46265</v>
      </c>
      <c r="V890" s="6">
        <v>0</v>
      </c>
      <c r="W890" s="43">
        <f>VLOOKUP(Tabla1[[#This Row],[PAGO DIA]],DIAS!A:I,9,0)</f>
        <v>46295</v>
      </c>
      <c r="X890" s="6">
        <v>0</v>
      </c>
      <c r="Y890" s="43">
        <f>VLOOKUP(Tabla1[[#This Row],[PAGO DIA]],DIAS!A:J,10,0)</f>
        <v>46325</v>
      </c>
      <c r="Z890" s="6">
        <v>0</v>
      </c>
      <c r="AA890" s="43">
        <f>VLOOKUP(Tabla1[[#This Row],[PAGO DIA]],DIAS!A:K,11,0)</f>
        <v>46356</v>
      </c>
      <c r="AB890" s="6">
        <v>0</v>
      </c>
      <c r="AC890" s="43">
        <f>VLOOKUP(Tabla1[[#This Row],[PAGO DIA]],DIAS!A:M,12,0)</f>
        <v>46386</v>
      </c>
      <c r="AD8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1" spans="1:30">
      <c r="A891" s="3">
        <v>12565</v>
      </c>
      <c r="B891" s="3" t="s">
        <v>538</v>
      </c>
      <c r="C891" s="3" t="s">
        <v>539</v>
      </c>
      <c r="D891" s="3" t="s">
        <v>540</v>
      </c>
      <c r="E891" s="3" t="s">
        <v>1468</v>
      </c>
      <c r="F891" s="42" t="s">
        <v>631</v>
      </c>
      <c r="G891" s="3" t="s">
        <v>1470</v>
      </c>
      <c r="H891" s="6">
        <v>0</v>
      </c>
      <c r="I891" s="41">
        <f>VLOOKUP(Tabla1[[#This Row],[PAGO DIA]],DIAS!A:B,2,0)</f>
        <v>46080</v>
      </c>
      <c r="J891" s="6">
        <v>0</v>
      </c>
      <c r="K891" s="43">
        <f>VLOOKUP(Tabla1[[#This Row],[PAGO DIA]],DIAS!A:C,3,0)</f>
        <v>46112</v>
      </c>
      <c r="L891" s="6">
        <v>0</v>
      </c>
      <c r="M891" s="41">
        <f>VLOOKUP(Tabla1[[#This Row],[PAGO DIA]],DIAS!A:D,4,0)</f>
        <v>46142</v>
      </c>
      <c r="N891" s="6">
        <v>0</v>
      </c>
      <c r="O891" s="43">
        <f>VLOOKUP(Tabla1[[#This Row],[PAGO DIA]],DIAS!A:E,5,0)</f>
        <v>46171</v>
      </c>
      <c r="P891" s="6">
        <v>0</v>
      </c>
      <c r="Q891" s="43">
        <f>VLOOKUP(Tabla1[[#This Row],[PAGO DIA]],DIAS!A:F,6,0)</f>
        <v>46203</v>
      </c>
      <c r="R891" s="6">
        <v>0</v>
      </c>
      <c r="S891" s="43">
        <f>VLOOKUP(Tabla1[[#This Row],[PAGO DIA]],DIAS!A:G,7,0)</f>
        <v>46234</v>
      </c>
      <c r="T891" s="6">
        <v>0</v>
      </c>
      <c r="U891" s="43">
        <f>VLOOKUP(Tabla1[[#This Row],[PAGO DIA]],DIAS!A:H,8,0)</f>
        <v>46265</v>
      </c>
      <c r="V891" s="6">
        <v>0</v>
      </c>
      <c r="W891" s="43">
        <f>VLOOKUP(Tabla1[[#This Row],[PAGO DIA]],DIAS!A:I,9,0)</f>
        <v>46295</v>
      </c>
      <c r="X891" s="6">
        <v>0</v>
      </c>
      <c r="Y891" s="43">
        <f>VLOOKUP(Tabla1[[#This Row],[PAGO DIA]],DIAS!A:J,10,0)</f>
        <v>46325</v>
      </c>
      <c r="Z891" s="6">
        <v>0</v>
      </c>
      <c r="AA891" s="43">
        <f>VLOOKUP(Tabla1[[#This Row],[PAGO DIA]],DIAS!A:K,11,0)</f>
        <v>46356</v>
      </c>
      <c r="AB891" s="6">
        <v>0</v>
      </c>
      <c r="AC891" s="43">
        <f>VLOOKUP(Tabla1[[#This Row],[PAGO DIA]],DIAS!A:M,12,0)</f>
        <v>46386</v>
      </c>
      <c r="AD8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2" spans="1:30">
      <c r="A892" s="3">
        <v>12566</v>
      </c>
      <c r="B892" s="3" t="s">
        <v>538</v>
      </c>
      <c r="C892" s="3" t="s">
        <v>539</v>
      </c>
      <c r="D892" s="3" t="s">
        <v>540</v>
      </c>
      <c r="E892" s="3" t="s">
        <v>1468</v>
      </c>
      <c r="F892" s="42" t="s">
        <v>631</v>
      </c>
      <c r="G892" s="3" t="s">
        <v>1471</v>
      </c>
      <c r="H892" s="6">
        <v>0</v>
      </c>
      <c r="I892" s="41">
        <f>VLOOKUP(Tabla1[[#This Row],[PAGO DIA]],DIAS!A:B,2,0)</f>
        <v>46080</v>
      </c>
      <c r="J892" s="6">
        <v>0</v>
      </c>
      <c r="K892" s="43">
        <f>VLOOKUP(Tabla1[[#This Row],[PAGO DIA]],DIAS!A:C,3,0)</f>
        <v>46112</v>
      </c>
      <c r="L892" s="6">
        <v>0</v>
      </c>
      <c r="M892" s="41">
        <f>VLOOKUP(Tabla1[[#This Row],[PAGO DIA]],DIAS!A:D,4,0)</f>
        <v>46142</v>
      </c>
      <c r="N892" s="6">
        <v>0</v>
      </c>
      <c r="O892" s="43">
        <f>VLOOKUP(Tabla1[[#This Row],[PAGO DIA]],DIAS!A:E,5,0)</f>
        <v>46171</v>
      </c>
      <c r="P892" s="6">
        <v>0</v>
      </c>
      <c r="Q892" s="43">
        <f>VLOOKUP(Tabla1[[#This Row],[PAGO DIA]],DIAS!A:F,6,0)</f>
        <v>46203</v>
      </c>
      <c r="R892" s="6">
        <v>0</v>
      </c>
      <c r="S892" s="43">
        <f>VLOOKUP(Tabla1[[#This Row],[PAGO DIA]],DIAS!A:G,7,0)</f>
        <v>46234</v>
      </c>
      <c r="T892" s="6">
        <v>0</v>
      </c>
      <c r="U892" s="43">
        <f>VLOOKUP(Tabla1[[#This Row],[PAGO DIA]],DIAS!A:H,8,0)</f>
        <v>46265</v>
      </c>
      <c r="V892" s="6">
        <v>0</v>
      </c>
      <c r="W892" s="43">
        <f>VLOOKUP(Tabla1[[#This Row],[PAGO DIA]],DIAS!A:I,9,0)</f>
        <v>46295</v>
      </c>
      <c r="X892" s="6">
        <v>0</v>
      </c>
      <c r="Y892" s="43">
        <f>VLOOKUP(Tabla1[[#This Row],[PAGO DIA]],DIAS!A:J,10,0)</f>
        <v>46325</v>
      </c>
      <c r="Z892" s="6">
        <v>0</v>
      </c>
      <c r="AA892" s="43">
        <f>VLOOKUP(Tabla1[[#This Row],[PAGO DIA]],DIAS!A:K,11,0)</f>
        <v>46356</v>
      </c>
      <c r="AB892" s="6">
        <v>0</v>
      </c>
      <c r="AC892" s="43">
        <f>VLOOKUP(Tabla1[[#This Row],[PAGO DIA]],DIAS!A:M,12,0)</f>
        <v>46386</v>
      </c>
      <c r="AD8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3" spans="1:30">
      <c r="A893" s="3">
        <v>12616</v>
      </c>
      <c r="B893" s="3" t="s">
        <v>538</v>
      </c>
      <c r="C893" s="3" t="s">
        <v>539</v>
      </c>
      <c r="D893" s="3" t="s">
        <v>540</v>
      </c>
      <c r="E893" s="3" t="s">
        <v>1468</v>
      </c>
      <c r="F893" s="42" t="s">
        <v>631</v>
      </c>
      <c r="G893" s="3" t="s">
        <v>1472</v>
      </c>
      <c r="H893" s="6">
        <v>0</v>
      </c>
      <c r="I893" s="41">
        <f>VLOOKUP(Tabla1[[#This Row],[PAGO DIA]],DIAS!A:B,2,0)</f>
        <v>46080</v>
      </c>
      <c r="J893" s="6">
        <v>0</v>
      </c>
      <c r="K893" s="43">
        <f>VLOOKUP(Tabla1[[#This Row],[PAGO DIA]],DIAS!A:C,3,0)</f>
        <v>46112</v>
      </c>
      <c r="L893" s="6">
        <v>0</v>
      </c>
      <c r="M893" s="41">
        <f>VLOOKUP(Tabla1[[#This Row],[PAGO DIA]],DIAS!A:D,4,0)</f>
        <v>46142</v>
      </c>
      <c r="N893" s="6">
        <v>0</v>
      </c>
      <c r="O893" s="43">
        <f>VLOOKUP(Tabla1[[#This Row],[PAGO DIA]],DIAS!A:E,5,0)</f>
        <v>46171</v>
      </c>
      <c r="P893" s="6">
        <v>0</v>
      </c>
      <c r="Q893" s="43">
        <f>VLOOKUP(Tabla1[[#This Row],[PAGO DIA]],DIAS!A:F,6,0)</f>
        <v>46203</v>
      </c>
      <c r="R893" s="6">
        <v>0</v>
      </c>
      <c r="S893" s="43">
        <f>VLOOKUP(Tabla1[[#This Row],[PAGO DIA]],DIAS!A:G,7,0)</f>
        <v>46234</v>
      </c>
      <c r="T893" s="6">
        <v>0</v>
      </c>
      <c r="U893" s="43">
        <f>VLOOKUP(Tabla1[[#This Row],[PAGO DIA]],DIAS!A:H,8,0)</f>
        <v>46265</v>
      </c>
      <c r="V893" s="6">
        <v>0</v>
      </c>
      <c r="W893" s="43">
        <f>VLOOKUP(Tabla1[[#This Row],[PAGO DIA]],DIAS!A:I,9,0)</f>
        <v>46295</v>
      </c>
      <c r="X893" s="6">
        <v>0</v>
      </c>
      <c r="Y893" s="43">
        <f>VLOOKUP(Tabla1[[#This Row],[PAGO DIA]],DIAS!A:J,10,0)</f>
        <v>46325</v>
      </c>
      <c r="Z893" s="6">
        <v>0</v>
      </c>
      <c r="AA893" s="43">
        <f>VLOOKUP(Tabla1[[#This Row],[PAGO DIA]],DIAS!A:K,11,0)</f>
        <v>46356</v>
      </c>
      <c r="AB893" s="6">
        <v>0</v>
      </c>
      <c r="AC893" s="43">
        <f>VLOOKUP(Tabla1[[#This Row],[PAGO DIA]],DIAS!A:M,12,0)</f>
        <v>46386</v>
      </c>
      <c r="AD8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4" spans="1:30">
      <c r="A894" s="3">
        <v>12668</v>
      </c>
      <c r="B894" s="3" t="s">
        <v>538</v>
      </c>
      <c r="C894" s="3" t="s">
        <v>539</v>
      </c>
      <c r="D894" s="3" t="s">
        <v>540</v>
      </c>
      <c r="E894" s="3" t="s">
        <v>1468</v>
      </c>
      <c r="F894" s="42" t="s">
        <v>631</v>
      </c>
      <c r="G894" s="3" t="s">
        <v>1473</v>
      </c>
      <c r="H894" s="6">
        <v>0</v>
      </c>
      <c r="I894" s="41">
        <f>VLOOKUP(Tabla1[[#This Row],[PAGO DIA]],DIAS!A:B,2,0)</f>
        <v>46080</v>
      </c>
      <c r="J894" s="6">
        <v>0</v>
      </c>
      <c r="K894" s="43">
        <f>VLOOKUP(Tabla1[[#This Row],[PAGO DIA]],DIAS!A:C,3,0)</f>
        <v>46112</v>
      </c>
      <c r="L894" s="6">
        <v>0</v>
      </c>
      <c r="M894" s="41">
        <f>VLOOKUP(Tabla1[[#This Row],[PAGO DIA]],DIAS!A:D,4,0)</f>
        <v>46142</v>
      </c>
      <c r="N894" s="6">
        <v>0</v>
      </c>
      <c r="O894" s="43">
        <f>VLOOKUP(Tabla1[[#This Row],[PAGO DIA]],DIAS!A:E,5,0)</f>
        <v>46171</v>
      </c>
      <c r="P894" s="6">
        <v>0</v>
      </c>
      <c r="Q894" s="43">
        <f>VLOOKUP(Tabla1[[#This Row],[PAGO DIA]],DIAS!A:F,6,0)</f>
        <v>46203</v>
      </c>
      <c r="R894" s="6">
        <v>0</v>
      </c>
      <c r="S894" s="43">
        <f>VLOOKUP(Tabla1[[#This Row],[PAGO DIA]],DIAS!A:G,7,0)</f>
        <v>46234</v>
      </c>
      <c r="T894" s="6">
        <v>0</v>
      </c>
      <c r="U894" s="43">
        <f>VLOOKUP(Tabla1[[#This Row],[PAGO DIA]],DIAS!A:H,8,0)</f>
        <v>46265</v>
      </c>
      <c r="V894" s="6">
        <v>0</v>
      </c>
      <c r="W894" s="43">
        <f>VLOOKUP(Tabla1[[#This Row],[PAGO DIA]],DIAS!A:I,9,0)</f>
        <v>46295</v>
      </c>
      <c r="X894" s="6">
        <v>0</v>
      </c>
      <c r="Y894" s="43">
        <f>VLOOKUP(Tabla1[[#This Row],[PAGO DIA]],DIAS!A:J,10,0)</f>
        <v>46325</v>
      </c>
      <c r="Z894" s="6">
        <v>0</v>
      </c>
      <c r="AA894" s="43">
        <f>VLOOKUP(Tabla1[[#This Row],[PAGO DIA]],DIAS!A:K,11,0)</f>
        <v>46356</v>
      </c>
      <c r="AB894" s="6">
        <v>0</v>
      </c>
      <c r="AC894" s="43">
        <f>VLOOKUP(Tabla1[[#This Row],[PAGO DIA]],DIAS!A:M,12,0)</f>
        <v>46386</v>
      </c>
      <c r="AD8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5" spans="1:30">
      <c r="A895" s="3">
        <v>12705</v>
      </c>
      <c r="B895" s="3" t="s">
        <v>538</v>
      </c>
      <c r="C895" s="3" t="s">
        <v>539</v>
      </c>
      <c r="D895" s="3" t="s">
        <v>540</v>
      </c>
      <c r="E895" s="3" t="s">
        <v>1468</v>
      </c>
      <c r="F895" s="42" t="s">
        <v>631</v>
      </c>
      <c r="G895" s="3" t="s">
        <v>1474</v>
      </c>
      <c r="H895" s="6">
        <v>0</v>
      </c>
      <c r="I895" s="41">
        <f>VLOOKUP(Tabla1[[#This Row],[PAGO DIA]],DIAS!A:B,2,0)</f>
        <v>46080</v>
      </c>
      <c r="J895" s="6">
        <v>0</v>
      </c>
      <c r="K895" s="43">
        <f>VLOOKUP(Tabla1[[#This Row],[PAGO DIA]],DIAS!A:C,3,0)</f>
        <v>46112</v>
      </c>
      <c r="L895" s="6">
        <v>0</v>
      </c>
      <c r="M895" s="41">
        <f>VLOOKUP(Tabla1[[#This Row],[PAGO DIA]],DIAS!A:D,4,0)</f>
        <v>46142</v>
      </c>
      <c r="N895" s="6">
        <v>0</v>
      </c>
      <c r="O895" s="43">
        <f>VLOOKUP(Tabla1[[#This Row],[PAGO DIA]],DIAS!A:E,5,0)</f>
        <v>46171</v>
      </c>
      <c r="P895" s="6">
        <v>0</v>
      </c>
      <c r="Q895" s="43">
        <f>VLOOKUP(Tabla1[[#This Row],[PAGO DIA]],DIAS!A:F,6,0)</f>
        <v>46203</v>
      </c>
      <c r="R895" s="6">
        <v>0</v>
      </c>
      <c r="S895" s="43">
        <f>VLOOKUP(Tabla1[[#This Row],[PAGO DIA]],DIAS!A:G,7,0)</f>
        <v>46234</v>
      </c>
      <c r="T895" s="6">
        <v>0</v>
      </c>
      <c r="U895" s="43">
        <f>VLOOKUP(Tabla1[[#This Row],[PAGO DIA]],DIAS!A:H,8,0)</f>
        <v>46265</v>
      </c>
      <c r="V895" s="6">
        <v>0</v>
      </c>
      <c r="W895" s="43">
        <f>VLOOKUP(Tabla1[[#This Row],[PAGO DIA]],DIAS!A:I,9,0)</f>
        <v>46295</v>
      </c>
      <c r="X895" s="6">
        <v>0</v>
      </c>
      <c r="Y895" s="43">
        <f>VLOOKUP(Tabla1[[#This Row],[PAGO DIA]],DIAS!A:J,10,0)</f>
        <v>46325</v>
      </c>
      <c r="Z895" s="6">
        <v>0</v>
      </c>
      <c r="AA895" s="43">
        <f>VLOOKUP(Tabla1[[#This Row],[PAGO DIA]],DIAS!A:K,11,0)</f>
        <v>46356</v>
      </c>
      <c r="AB895" s="6">
        <v>0</v>
      </c>
      <c r="AC895" s="43">
        <f>VLOOKUP(Tabla1[[#This Row],[PAGO DIA]],DIAS!A:M,12,0)</f>
        <v>46386</v>
      </c>
      <c r="AD8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6" spans="1:30">
      <c r="A896" s="3">
        <v>12762</v>
      </c>
      <c r="B896" s="3" t="s">
        <v>538</v>
      </c>
      <c r="C896" s="3" t="s">
        <v>539</v>
      </c>
      <c r="D896" s="3" t="s">
        <v>540</v>
      </c>
      <c r="E896" s="3" t="s">
        <v>1468</v>
      </c>
      <c r="F896" s="42" t="s">
        <v>631</v>
      </c>
      <c r="G896" s="3" t="s">
        <v>1475</v>
      </c>
      <c r="H896" s="6">
        <v>0</v>
      </c>
      <c r="I896" s="41">
        <f>VLOOKUP(Tabla1[[#This Row],[PAGO DIA]],DIAS!A:B,2,0)</f>
        <v>46080</v>
      </c>
      <c r="J896" s="6">
        <v>0</v>
      </c>
      <c r="K896" s="43">
        <f>VLOOKUP(Tabla1[[#This Row],[PAGO DIA]],DIAS!A:C,3,0)</f>
        <v>46112</v>
      </c>
      <c r="L896" s="6">
        <v>0</v>
      </c>
      <c r="M896" s="41">
        <f>VLOOKUP(Tabla1[[#This Row],[PAGO DIA]],DIAS!A:D,4,0)</f>
        <v>46142</v>
      </c>
      <c r="N896" s="6">
        <v>0</v>
      </c>
      <c r="O896" s="43">
        <f>VLOOKUP(Tabla1[[#This Row],[PAGO DIA]],DIAS!A:E,5,0)</f>
        <v>46171</v>
      </c>
      <c r="P896" s="6">
        <v>0</v>
      </c>
      <c r="Q896" s="43">
        <f>VLOOKUP(Tabla1[[#This Row],[PAGO DIA]],DIAS!A:F,6,0)</f>
        <v>46203</v>
      </c>
      <c r="R896" s="6">
        <v>0</v>
      </c>
      <c r="S896" s="43">
        <f>VLOOKUP(Tabla1[[#This Row],[PAGO DIA]],DIAS!A:G,7,0)</f>
        <v>46234</v>
      </c>
      <c r="T896" s="6">
        <v>0</v>
      </c>
      <c r="U896" s="43">
        <f>VLOOKUP(Tabla1[[#This Row],[PAGO DIA]],DIAS!A:H,8,0)</f>
        <v>46265</v>
      </c>
      <c r="V896" s="6">
        <v>0</v>
      </c>
      <c r="W896" s="43">
        <f>VLOOKUP(Tabla1[[#This Row],[PAGO DIA]],DIAS!A:I,9,0)</f>
        <v>46295</v>
      </c>
      <c r="X896" s="6">
        <v>0</v>
      </c>
      <c r="Y896" s="43">
        <f>VLOOKUP(Tabla1[[#This Row],[PAGO DIA]],DIAS!A:J,10,0)</f>
        <v>46325</v>
      </c>
      <c r="Z896" s="6">
        <v>0</v>
      </c>
      <c r="AA896" s="43">
        <f>VLOOKUP(Tabla1[[#This Row],[PAGO DIA]],DIAS!A:K,11,0)</f>
        <v>46356</v>
      </c>
      <c r="AB896" s="6">
        <v>0</v>
      </c>
      <c r="AC896" s="43">
        <f>VLOOKUP(Tabla1[[#This Row],[PAGO DIA]],DIAS!A:M,12,0)</f>
        <v>46386</v>
      </c>
      <c r="AD8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7" spans="1:30">
      <c r="A897" s="3">
        <v>12778</v>
      </c>
      <c r="B897" s="3" t="s">
        <v>538</v>
      </c>
      <c r="C897" s="3" t="s">
        <v>539</v>
      </c>
      <c r="D897" s="3" t="s">
        <v>540</v>
      </c>
      <c r="E897" s="3" t="s">
        <v>1468</v>
      </c>
      <c r="F897" s="42" t="s">
        <v>631</v>
      </c>
      <c r="G897" s="3" t="s">
        <v>1476</v>
      </c>
      <c r="H897" s="6">
        <v>0</v>
      </c>
      <c r="I897" s="41">
        <f>VLOOKUP(Tabla1[[#This Row],[PAGO DIA]],DIAS!A:B,2,0)</f>
        <v>46080</v>
      </c>
      <c r="J897" s="6">
        <v>0</v>
      </c>
      <c r="K897" s="43">
        <f>VLOOKUP(Tabla1[[#This Row],[PAGO DIA]],DIAS!A:C,3,0)</f>
        <v>46112</v>
      </c>
      <c r="L897" s="6">
        <v>0</v>
      </c>
      <c r="M897" s="41">
        <f>VLOOKUP(Tabla1[[#This Row],[PAGO DIA]],DIAS!A:D,4,0)</f>
        <v>46142</v>
      </c>
      <c r="N897" s="6">
        <v>0</v>
      </c>
      <c r="O897" s="43">
        <f>VLOOKUP(Tabla1[[#This Row],[PAGO DIA]],DIAS!A:E,5,0)</f>
        <v>46171</v>
      </c>
      <c r="P897" s="6">
        <v>0</v>
      </c>
      <c r="Q897" s="43">
        <f>VLOOKUP(Tabla1[[#This Row],[PAGO DIA]],DIAS!A:F,6,0)</f>
        <v>46203</v>
      </c>
      <c r="R897" s="6">
        <v>0</v>
      </c>
      <c r="S897" s="43">
        <f>VLOOKUP(Tabla1[[#This Row],[PAGO DIA]],DIAS!A:G,7,0)</f>
        <v>46234</v>
      </c>
      <c r="T897" s="6">
        <v>0</v>
      </c>
      <c r="U897" s="43">
        <f>VLOOKUP(Tabla1[[#This Row],[PAGO DIA]],DIAS!A:H,8,0)</f>
        <v>46265</v>
      </c>
      <c r="V897" s="6">
        <v>0</v>
      </c>
      <c r="W897" s="43">
        <f>VLOOKUP(Tabla1[[#This Row],[PAGO DIA]],DIAS!A:I,9,0)</f>
        <v>46295</v>
      </c>
      <c r="X897" s="6">
        <v>0</v>
      </c>
      <c r="Y897" s="43">
        <f>VLOOKUP(Tabla1[[#This Row],[PAGO DIA]],DIAS!A:J,10,0)</f>
        <v>46325</v>
      </c>
      <c r="Z897" s="6">
        <v>0</v>
      </c>
      <c r="AA897" s="43">
        <f>VLOOKUP(Tabla1[[#This Row],[PAGO DIA]],DIAS!A:K,11,0)</f>
        <v>46356</v>
      </c>
      <c r="AB897" s="6">
        <v>0</v>
      </c>
      <c r="AC897" s="43">
        <f>VLOOKUP(Tabla1[[#This Row],[PAGO DIA]],DIAS!A:M,12,0)</f>
        <v>46386</v>
      </c>
      <c r="AD8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8" spans="1:30">
      <c r="A898" s="3">
        <v>11210</v>
      </c>
      <c r="B898" s="3" t="s">
        <v>538</v>
      </c>
      <c r="C898" s="3" t="s">
        <v>539</v>
      </c>
      <c r="D898" s="3" t="s">
        <v>540</v>
      </c>
      <c r="E898" s="3" t="s">
        <v>1477</v>
      </c>
      <c r="F898" s="42" t="s">
        <v>631</v>
      </c>
      <c r="G898" s="3"/>
      <c r="H898" s="6">
        <v>0</v>
      </c>
      <c r="I898" s="41">
        <f>VLOOKUP(Tabla1[[#This Row],[PAGO DIA]],DIAS!A:B,2,0)</f>
        <v>46080</v>
      </c>
      <c r="J898" s="6">
        <v>0</v>
      </c>
      <c r="K898" s="43">
        <f>VLOOKUP(Tabla1[[#This Row],[PAGO DIA]],DIAS!A:C,3,0)</f>
        <v>46112</v>
      </c>
      <c r="L898" s="6">
        <v>0</v>
      </c>
      <c r="M898" s="41">
        <f>VLOOKUP(Tabla1[[#This Row],[PAGO DIA]],DIAS!A:D,4,0)</f>
        <v>46142</v>
      </c>
      <c r="N898" s="6">
        <v>0</v>
      </c>
      <c r="O898" s="43">
        <f>VLOOKUP(Tabla1[[#This Row],[PAGO DIA]],DIAS!A:E,5,0)</f>
        <v>46171</v>
      </c>
      <c r="P898" s="6">
        <v>0</v>
      </c>
      <c r="Q898" s="43">
        <f>VLOOKUP(Tabla1[[#This Row],[PAGO DIA]],DIAS!A:F,6,0)</f>
        <v>46203</v>
      </c>
      <c r="R898" s="6">
        <v>0</v>
      </c>
      <c r="S898" s="43">
        <f>VLOOKUP(Tabla1[[#This Row],[PAGO DIA]],DIAS!A:G,7,0)</f>
        <v>46234</v>
      </c>
      <c r="T898" s="6">
        <v>0</v>
      </c>
      <c r="U898" s="43">
        <f>VLOOKUP(Tabla1[[#This Row],[PAGO DIA]],DIAS!A:H,8,0)</f>
        <v>46265</v>
      </c>
      <c r="V898" s="6">
        <v>0</v>
      </c>
      <c r="W898" s="43">
        <f>VLOOKUP(Tabla1[[#This Row],[PAGO DIA]],DIAS!A:I,9,0)</f>
        <v>46295</v>
      </c>
      <c r="X898" s="6">
        <v>0</v>
      </c>
      <c r="Y898" s="43">
        <f>VLOOKUP(Tabla1[[#This Row],[PAGO DIA]],DIAS!A:J,10,0)</f>
        <v>46325</v>
      </c>
      <c r="Z898" s="6">
        <v>0</v>
      </c>
      <c r="AA898" s="43">
        <f>VLOOKUP(Tabla1[[#This Row],[PAGO DIA]],DIAS!A:K,11,0)</f>
        <v>46356</v>
      </c>
      <c r="AB898" s="6">
        <v>0</v>
      </c>
      <c r="AC898" s="43">
        <f>VLOOKUP(Tabla1[[#This Row],[PAGO DIA]],DIAS!A:M,12,0)</f>
        <v>46386</v>
      </c>
      <c r="AD8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899" spans="1:30">
      <c r="A899" s="3">
        <v>11620</v>
      </c>
      <c r="B899" s="3" t="s">
        <v>538</v>
      </c>
      <c r="C899" s="3" t="s">
        <v>540</v>
      </c>
      <c r="D899" s="3" t="s">
        <v>540</v>
      </c>
      <c r="E899" s="3" t="s">
        <v>1477</v>
      </c>
      <c r="F899" s="42" t="s">
        <v>631</v>
      </c>
      <c r="G899" s="3" t="s">
        <v>1478</v>
      </c>
      <c r="H899" s="6">
        <v>0</v>
      </c>
      <c r="I899" s="41">
        <f>VLOOKUP(Tabla1[[#This Row],[PAGO DIA]],DIAS!A:B,2,0)</f>
        <v>46080</v>
      </c>
      <c r="J899" s="6">
        <v>0</v>
      </c>
      <c r="K899" s="43">
        <f>VLOOKUP(Tabla1[[#This Row],[PAGO DIA]],DIAS!A:C,3,0)</f>
        <v>46112</v>
      </c>
      <c r="L899" s="6">
        <v>0</v>
      </c>
      <c r="M899" s="41">
        <f>VLOOKUP(Tabla1[[#This Row],[PAGO DIA]],DIAS!A:D,4,0)</f>
        <v>46142</v>
      </c>
      <c r="N899" s="6">
        <v>0</v>
      </c>
      <c r="O899" s="43">
        <f>VLOOKUP(Tabla1[[#This Row],[PAGO DIA]],DIAS!A:E,5,0)</f>
        <v>46171</v>
      </c>
      <c r="P899" s="6">
        <v>0</v>
      </c>
      <c r="Q899" s="43">
        <f>VLOOKUP(Tabla1[[#This Row],[PAGO DIA]],DIAS!A:F,6,0)</f>
        <v>46203</v>
      </c>
      <c r="R899" s="6">
        <v>0</v>
      </c>
      <c r="S899" s="43">
        <f>VLOOKUP(Tabla1[[#This Row],[PAGO DIA]],DIAS!A:G,7,0)</f>
        <v>46234</v>
      </c>
      <c r="T899" s="6">
        <v>0</v>
      </c>
      <c r="U899" s="43">
        <f>VLOOKUP(Tabla1[[#This Row],[PAGO DIA]],DIAS!A:H,8,0)</f>
        <v>46265</v>
      </c>
      <c r="V899" s="6">
        <v>0</v>
      </c>
      <c r="W899" s="43">
        <f>VLOOKUP(Tabla1[[#This Row],[PAGO DIA]],DIAS!A:I,9,0)</f>
        <v>46295</v>
      </c>
      <c r="X899" s="6">
        <v>0</v>
      </c>
      <c r="Y899" s="43">
        <f>VLOOKUP(Tabla1[[#This Row],[PAGO DIA]],DIAS!A:J,10,0)</f>
        <v>46325</v>
      </c>
      <c r="Z899" s="6">
        <v>0</v>
      </c>
      <c r="AA899" s="43">
        <f>VLOOKUP(Tabla1[[#This Row],[PAGO DIA]],DIAS!A:K,11,0)</f>
        <v>46356</v>
      </c>
      <c r="AB899" s="6">
        <v>0</v>
      </c>
      <c r="AC899" s="43">
        <f>VLOOKUP(Tabla1[[#This Row],[PAGO DIA]],DIAS!A:M,12,0)</f>
        <v>46386</v>
      </c>
      <c r="AD8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0" spans="1:30">
      <c r="A900" s="3">
        <v>11621</v>
      </c>
      <c r="B900" s="3" t="s">
        <v>538</v>
      </c>
      <c r="C900" s="3" t="s">
        <v>540</v>
      </c>
      <c r="D900" s="3" t="s">
        <v>540</v>
      </c>
      <c r="E900" s="3" t="s">
        <v>1477</v>
      </c>
      <c r="F900" s="42" t="s">
        <v>631</v>
      </c>
      <c r="G900" s="3" t="s">
        <v>1479</v>
      </c>
      <c r="H900" s="6">
        <v>0</v>
      </c>
      <c r="I900" s="41">
        <f>VLOOKUP(Tabla1[[#This Row],[PAGO DIA]],DIAS!A:B,2,0)</f>
        <v>46080</v>
      </c>
      <c r="J900" s="6">
        <v>0</v>
      </c>
      <c r="K900" s="43">
        <f>VLOOKUP(Tabla1[[#This Row],[PAGO DIA]],DIAS!A:C,3,0)</f>
        <v>46112</v>
      </c>
      <c r="L900" s="6">
        <v>0</v>
      </c>
      <c r="M900" s="41">
        <f>VLOOKUP(Tabla1[[#This Row],[PAGO DIA]],DIAS!A:D,4,0)</f>
        <v>46142</v>
      </c>
      <c r="N900" s="6">
        <v>0</v>
      </c>
      <c r="O900" s="43">
        <f>VLOOKUP(Tabla1[[#This Row],[PAGO DIA]],DIAS!A:E,5,0)</f>
        <v>46171</v>
      </c>
      <c r="P900" s="6">
        <v>0</v>
      </c>
      <c r="Q900" s="43">
        <f>VLOOKUP(Tabla1[[#This Row],[PAGO DIA]],DIAS!A:F,6,0)</f>
        <v>46203</v>
      </c>
      <c r="R900" s="6">
        <v>0</v>
      </c>
      <c r="S900" s="43">
        <f>VLOOKUP(Tabla1[[#This Row],[PAGO DIA]],DIAS!A:G,7,0)</f>
        <v>46234</v>
      </c>
      <c r="T900" s="6">
        <v>0</v>
      </c>
      <c r="U900" s="43">
        <f>VLOOKUP(Tabla1[[#This Row],[PAGO DIA]],DIAS!A:H,8,0)</f>
        <v>46265</v>
      </c>
      <c r="V900" s="6">
        <v>0</v>
      </c>
      <c r="W900" s="43">
        <f>VLOOKUP(Tabla1[[#This Row],[PAGO DIA]],DIAS!A:I,9,0)</f>
        <v>46295</v>
      </c>
      <c r="X900" s="6">
        <v>0</v>
      </c>
      <c r="Y900" s="43">
        <f>VLOOKUP(Tabla1[[#This Row],[PAGO DIA]],DIAS!A:J,10,0)</f>
        <v>46325</v>
      </c>
      <c r="Z900" s="6">
        <v>0</v>
      </c>
      <c r="AA900" s="43">
        <f>VLOOKUP(Tabla1[[#This Row],[PAGO DIA]],DIAS!A:K,11,0)</f>
        <v>46356</v>
      </c>
      <c r="AB900" s="6">
        <v>0</v>
      </c>
      <c r="AC900" s="43">
        <f>VLOOKUP(Tabla1[[#This Row],[PAGO DIA]],DIAS!A:M,12,0)</f>
        <v>46386</v>
      </c>
      <c r="AD9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1" spans="1:30">
      <c r="A901" s="3">
        <v>11622</v>
      </c>
      <c r="B901" s="3" t="s">
        <v>538</v>
      </c>
      <c r="C901" s="3" t="s">
        <v>540</v>
      </c>
      <c r="D901" s="3" t="s">
        <v>540</v>
      </c>
      <c r="E901" s="3" t="s">
        <v>1477</v>
      </c>
      <c r="F901" s="42" t="s">
        <v>631</v>
      </c>
      <c r="G901" s="3" t="s">
        <v>1480</v>
      </c>
      <c r="H901" s="6">
        <v>0</v>
      </c>
      <c r="I901" s="41">
        <f>VLOOKUP(Tabla1[[#This Row],[PAGO DIA]],DIAS!A:B,2,0)</f>
        <v>46080</v>
      </c>
      <c r="J901" s="6">
        <v>0</v>
      </c>
      <c r="K901" s="43">
        <f>VLOOKUP(Tabla1[[#This Row],[PAGO DIA]],DIAS!A:C,3,0)</f>
        <v>46112</v>
      </c>
      <c r="L901" s="6">
        <v>0</v>
      </c>
      <c r="M901" s="41">
        <f>VLOOKUP(Tabla1[[#This Row],[PAGO DIA]],DIAS!A:D,4,0)</f>
        <v>46142</v>
      </c>
      <c r="N901" s="6">
        <v>0</v>
      </c>
      <c r="O901" s="43">
        <f>VLOOKUP(Tabla1[[#This Row],[PAGO DIA]],DIAS!A:E,5,0)</f>
        <v>46171</v>
      </c>
      <c r="P901" s="6">
        <v>0</v>
      </c>
      <c r="Q901" s="43">
        <f>VLOOKUP(Tabla1[[#This Row],[PAGO DIA]],DIAS!A:F,6,0)</f>
        <v>46203</v>
      </c>
      <c r="R901" s="6">
        <v>0</v>
      </c>
      <c r="S901" s="43">
        <f>VLOOKUP(Tabla1[[#This Row],[PAGO DIA]],DIAS!A:G,7,0)</f>
        <v>46234</v>
      </c>
      <c r="T901" s="6">
        <v>0</v>
      </c>
      <c r="U901" s="43">
        <f>VLOOKUP(Tabla1[[#This Row],[PAGO DIA]],DIAS!A:H,8,0)</f>
        <v>46265</v>
      </c>
      <c r="V901" s="6">
        <v>0</v>
      </c>
      <c r="W901" s="43">
        <f>VLOOKUP(Tabla1[[#This Row],[PAGO DIA]],DIAS!A:I,9,0)</f>
        <v>46295</v>
      </c>
      <c r="X901" s="6">
        <v>0</v>
      </c>
      <c r="Y901" s="43">
        <f>VLOOKUP(Tabla1[[#This Row],[PAGO DIA]],DIAS!A:J,10,0)</f>
        <v>46325</v>
      </c>
      <c r="Z901" s="6">
        <v>0</v>
      </c>
      <c r="AA901" s="43">
        <f>VLOOKUP(Tabla1[[#This Row],[PAGO DIA]],DIAS!A:K,11,0)</f>
        <v>46356</v>
      </c>
      <c r="AB901" s="6">
        <v>0</v>
      </c>
      <c r="AC901" s="43">
        <f>VLOOKUP(Tabla1[[#This Row],[PAGO DIA]],DIAS!A:M,12,0)</f>
        <v>46386</v>
      </c>
      <c r="AD9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2" spans="1:30">
      <c r="A902" s="3">
        <v>11623</v>
      </c>
      <c r="B902" s="3" t="s">
        <v>538</v>
      </c>
      <c r="C902" s="3" t="s">
        <v>540</v>
      </c>
      <c r="D902" s="3" t="s">
        <v>540</v>
      </c>
      <c r="E902" s="3" t="s">
        <v>1477</v>
      </c>
      <c r="F902" s="42" t="s">
        <v>631</v>
      </c>
      <c r="G902" s="3" t="s">
        <v>1481</v>
      </c>
      <c r="H902" s="6">
        <v>0</v>
      </c>
      <c r="I902" s="41">
        <f>VLOOKUP(Tabla1[[#This Row],[PAGO DIA]],DIAS!A:B,2,0)</f>
        <v>46080</v>
      </c>
      <c r="J902" s="6">
        <v>0</v>
      </c>
      <c r="K902" s="43">
        <f>VLOOKUP(Tabla1[[#This Row],[PAGO DIA]],DIAS!A:C,3,0)</f>
        <v>46112</v>
      </c>
      <c r="L902" s="6">
        <v>0</v>
      </c>
      <c r="M902" s="41">
        <f>VLOOKUP(Tabla1[[#This Row],[PAGO DIA]],DIAS!A:D,4,0)</f>
        <v>46142</v>
      </c>
      <c r="N902" s="6">
        <v>0</v>
      </c>
      <c r="O902" s="43">
        <f>VLOOKUP(Tabla1[[#This Row],[PAGO DIA]],DIAS!A:E,5,0)</f>
        <v>46171</v>
      </c>
      <c r="P902" s="6">
        <v>0</v>
      </c>
      <c r="Q902" s="43">
        <f>VLOOKUP(Tabla1[[#This Row],[PAGO DIA]],DIAS!A:F,6,0)</f>
        <v>46203</v>
      </c>
      <c r="R902" s="6">
        <v>0</v>
      </c>
      <c r="S902" s="43">
        <f>VLOOKUP(Tabla1[[#This Row],[PAGO DIA]],DIAS!A:G,7,0)</f>
        <v>46234</v>
      </c>
      <c r="T902" s="6">
        <v>0</v>
      </c>
      <c r="U902" s="43">
        <f>VLOOKUP(Tabla1[[#This Row],[PAGO DIA]],DIAS!A:H,8,0)</f>
        <v>46265</v>
      </c>
      <c r="V902" s="6">
        <v>0</v>
      </c>
      <c r="W902" s="43">
        <f>VLOOKUP(Tabla1[[#This Row],[PAGO DIA]],DIAS!A:I,9,0)</f>
        <v>46295</v>
      </c>
      <c r="X902" s="6">
        <v>0</v>
      </c>
      <c r="Y902" s="43">
        <f>VLOOKUP(Tabla1[[#This Row],[PAGO DIA]],DIAS!A:J,10,0)</f>
        <v>46325</v>
      </c>
      <c r="Z902" s="6">
        <v>0</v>
      </c>
      <c r="AA902" s="43">
        <f>VLOOKUP(Tabla1[[#This Row],[PAGO DIA]],DIAS!A:K,11,0)</f>
        <v>46356</v>
      </c>
      <c r="AB902" s="6">
        <v>0</v>
      </c>
      <c r="AC902" s="43">
        <f>VLOOKUP(Tabla1[[#This Row],[PAGO DIA]],DIAS!A:M,12,0)</f>
        <v>46386</v>
      </c>
      <c r="AD9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3" spans="1:30">
      <c r="A903" s="3">
        <v>11624</v>
      </c>
      <c r="B903" s="3" t="s">
        <v>538</v>
      </c>
      <c r="C903" s="3" t="s">
        <v>540</v>
      </c>
      <c r="D903" s="3" t="s">
        <v>540</v>
      </c>
      <c r="E903" s="3" t="s">
        <v>1477</v>
      </c>
      <c r="F903" s="42" t="s">
        <v>631</v>
      </c>
      <c r="G903" s="3" t="s">
        <v>1481</v>
      </c>
      <c r="H903" s="6">
        <v>0</v>
      </c>
      <c r="I903" s="41">
        <f>VLOOKUP(Tabla1[[#This Row],[PAGO DIA]],DIAS!A:B,2,0)</f>
        <v>46080</v>
      </c>
      <c r="J903" s="6">
        <v>0</v>
      </c>
      <c r="K903" s="43">
        <f>VLOOKUP(Tabla1[[#This Row],[PAGO DIA]],DIAS!A:C,3,0)</f>
        <v>46112</v>
      </c>
      <c r="L903" s="6">
        <v>0</v>
      </c>
      <c r="M903" s="41">
        <f>VLOOKUP(Tabla1[[#This Row],[PAGO DIA]],DIAS!A:D,4,0)</f>
        <v>46142</v>
      </c>
      <c r="N903" s="6">
        <v>0</v>
      </c>
      <c r="O903" s="43">
        <f>VLOOKUP(Tabla1[[#This Row],[PAGO DIA]],DIAS!A:E,5,0)</f>
        <v>46171</v>
      </c>
      <c r="P903" s="6">
        <v>0</v>
      </c>
      <c r="Q903" s="43">
        <f>VLOOKUP(Tabla1[[#This Row],[PAGO DIA]],DIAS!A:F,6,0)</f>
        <v>46203</v>
      </c>
      <c r="R903" s="6">
        <v>0</v>
      </c>
      <c r="S903" s="43">
        <f>VLOOKUP(Tabla1[[#This Row],[PAGO DIA]],DIAS!A:G,7,0)</f>
        <v>46234</v>
      </c>
      <c r="T903" s="6">
        <v>0</v>
      </c>
      <c r="U903" s="43">
        <f>VLOOKUP(Tabla1[[#This Row],[PAGO DIA]],DIAS!A:H,8,0)</f>
        <v>46265</v>
      </c>
      <c r="V903" s="6">
        <v>0</v>
      </c>
      <c r="W903" s="43">
        <f>VLOOKUP(Tabla1[[#This Row],[PAGO DIA]],DIAS!A:I,9,0)</f>
        <v>46295</v>
      </c>
      <c r="X903" s="6">
        <v>0</v>
      </c>
      <c r="Y903" s="43">
        <f>VLOOKUP(Tabla1[[#This Row],[PAGO DIA]],DIAS!A:J,10,0)</f>
        <v>46325</v>
      </c>
      <c r="Z903" s="6">
        <v>0</v>
      </c>
      <c r="AA903" s="43">
        <f>VLOOKUP(Tabla1[[#This Row],[PAGO DIA]],DIAS!A:K,11,0)</f>
        <v>46356</v>
      </c>
      <c r="AB903" s="6">
        <v>0</v>
      </c>
      <c r="AC903" s="43">
        <f>VLOOKUP(Tabla1[[#This Row],[PAGO DIA]],DIAS!A:M,12,0)</f>
        <v>46386</v>
      </c>
      <c r="AD9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4" spans="1:30">
      <c r="A904" s="3">
        <v>11625</v>
      </c>
      <c r="B904" s="3" t="s">
        <v>538</v>
      </c>
      <c r="C904" s="3" t="s">
        <v>540</v>
      </c>
      <c r="D904" s="3" t="s">
        <v>540</v>
      </c>
      <c r="E904" s="3" t="s">
        <v>1477</v>
      </c>
      <c r="F904" s="42" t="s">
        <v>631</v>
      </c>
      <c r="G904" s="3" t="s">
        <v>1472</v>
      </c>
      <c r="H904" s="6">
        <v>0</v>
      </c>
      <c r="I904" s="41">
        <f>VLOOKUP(Tabla1[[#This Row],[PAGO DIA]],DIAS!A:B,2,0)</f>
        <v>46080</v>
      </c>
      <c r="J904" s="6">
        <v>0</v>
      </c>
      <c r="K904" s="43">
        <f>VLOOKUP(Tabla1[[#This Row],[PAGO DIA]],DIAS!A:C,3,0)</f>
        <v>46112</v>
      </c>
      <c r="L904" s="6">
        <v>0</v>
      </c>
      <c r="M904" s="41">
        <f>VLOOKUP(Tabla1[[#This Row],[PAGO DIA]],DIAS!A:D,4,0)</f>
        <v>46142</v>
      </c>
      <c r="N904" s="6">
        <v>0</v>
      </c>
      <c r="O904" s="43">
        <f>VLOOKUP(Tabla1[[#This Row],[PAGO DIA]],DIAS!A:E,5,0)</f>
        <v>46171</v>
      </c>
      <c r="P904" s="6">
        <v>0</v>
      </c>
      <c r="Q904" s="43">
        <f>VLOOKUP(Tabla1[[#This Row],[PAGO DIA]],DIAS!A:F,6,0)</f>
        <v>46203</v>
      </c>
      <c r="R904" s="6">
        <v>0</v>
      </c>
      <c r="S904" s="43">
        <f>VLOOKUP(Tabla1[[#This Row],[PAGO DIA]],DIAS!A:G,7,0)</f>
        <v>46234</v>
      </c>
      <c r="T904" s="6">
        <v>0</v>
      </c>
      <c r="U904" s="43">
        <f>VLOOKUP(Tabla1[[#This Row],[PAGO DIA]],DIAS!A:H,8,0)</f>
        <v>46265</v>
      </c>
      <c r="V904" s="6">
        <v>0</v>
      </c>
      <c r="W904" s="43">
        <f>VLOOKUP(Tabla1[[#This Row],[PAGO DIA]],DIAS!A:I,9,0)</f>
        <v>46295</v>
      </c>
      <c r="X904" s="6">
        <v>0</v>
      </c>
      <c r="Y904" s="43">
        <f>VLOOKUP(Tabla1[[#This Row],[PAGO DIA]],DIAS!A:J,10,0)</f>
        <v>46325</v>
      </c>
      <c r="Z904" s="6">
        <v>0</v>
      </c>
      <c r="AA904" s="43">
        <f>VLOOKUP(Tabla1[[#This Row],[PAGO DIA]],DIAS!A:K,11,0)</f>
        <v>46356</v>
      </c>
      <c r="AB904" s="6">
        <v>0</v>
      </c>
      <c r="AC904" s="43">
        <f>VLOOKUP(Tabla1[[#This Row],[PAGO DIA]],DIAS!A:M,12,0)</f>
        <v>46386</v>
      </c>
      <c r="AD9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5" spans="1:30">
      <c r="A905" s="3">
        <v>11000</v>
      </c>
      <c r="B905" s="3" t="s">
        <v>538</v>
      </c>
      <c r="C905" s="3" t="s">
        <v>539</v>
      </c>
      <c r="D905" s="3" t="s">
        <v>540</v>
      </c>
      <c r="E905" s="3" t="s">
        <v>1482</v>
      </c>
      <c r="F905" s="42" t="s">
        <v>631</v>
      </c>
      <c r="G905" s="3"/>
      <c r="H905" s="6">
        <v>0</v>
      </c>
      <c r="I905" s="41">
        <f>VLOOKUP(Tabla1[[#This Row],[PAGO DIA]],DIAS!A:B,2,0)</f>
        <v>46080</v>
      </c>
      <c r="J905" s="6">
        <v>0</v>
      </c>
      <c r="K905" s="43">
        <f>VLOOKUP(Tabla1[[#This Row],[PAGO DIA]],DIAS!A:C,3,0)</f>
        <v>46112</v>
      </c>
      <c r="L905" s="6">
        <v>0</v>
      </c>
      <c r="M905" s="41">
        <f>VLOOKUP(Tabla1[[#This Row],[PAGO DIA]],DIAS!A:D,4,0)</f>
        <v>46142</v>
      </c>
      <c r="N905" s="6">
        <v>0</v>
      </c>
      <c r="O905" s="43">
        <f>VLOOKUP(Tabla1[[#This Row],[PAGO DIA]],DIAS!A:E,5,0)</f>
        <v>46171</v>
      </c>
      <c r="P905" s="6">
        <v>0</v>
      </c>
      <c r="Q905" s="43">
        <f>VLOOKUP(Tabla1[[#This Row],[PAGO DIA]],DIAS!A:F,6,0)</f>
        <v>46203</v>
      </c>
      <c r="R905" s="6">
        <v>0</v>
      </c>
      <c r="S905" s="43">
        <f>VLOOKUP(Tabla1[[#This Row],[PAGO DIA]],DIAS!A:G,7,0)</f>
        <v>46234</v>
      </c>
      <c r="T905" s="6">
        <v>0</v>
      </c>
      <c r="U905" s="43">
        <f>VLOOKUP(Tabla1[[#This Row],[PAGO DIA]],DIAS!A:H,8,0)</f>
        <v>46265</v>
      </c>
      <c r="V905" s="6">
        <v>0</v>
      </c>
      <c r="W905" s="43">
        <f>VLOOKUP(Tabla1[[#This Row],[PAGO DIA]],DIAS!A:I,9,0)</f>
        <v>46295</v>
      </c>
      <c r="X905" s="6">
        <v>0</v>
      </c>
      <c r="Y905" s="43">
        <f>VLOOKUP(Tabla1[[#This Row],[PAGO DIA]],DIAS!A:J,10,0)</f>
        <v>46325</v>
      </c>
      <c r="Z905" s="6">
        <v>0</v>
      </c>
      <c r="AA905" s="43">
        <f>VLOOKUP(Tabla1[[#This Row],[PAGO DIA]],DIAS!A:K,11,0)</f>
        <v>46356</v>
      </c>
      <c r="AB905" s="6">
        <v>0</v>
      </c>
      <c r="AC905" s="43">
        <f>VLOOKUP(Tabla1[[#This Row],[PAGO DIA]],DIAS!A:M,12,0)</f>
        <v>46386</v>
      </c>
      <c r="AD9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6" spans="1:30">
      <c r="A906" s="3">
        <v>11220</v>
      </c>
      <c r="B906" s="3" t="s">
        <v>538</v>
      </c>
      <c r="C906" s="3" t="s">
        <v>539</v>
      </c>
      <c r="D906" s="3" t="s">
        <v>540</v>
      </c>
      <c r="E906" s="3" t="s">
        <v>1482</v>
      </c>
      <c r="F906" s="42" t="s">
        <v>631</v>
      </c>
      <c r="G906" s="3"/>
      <c r="H906" s="6">
        <v>0</v>
      </c>
      <c r="I906" s="41">
        <f>VLOOKUP(Tabla1[[#This Row],[PAGO DIA]],DIAS!A:B,2,0)</f>
        <v>46080</v>
      </c>
      <c r="J906" s="6">
        <v>0</v>
      </c>
      <c r="K906" s="43">
        <f>VLOOKUP(Tabla1[[#This Row],[PAGO DIA]],DIAS!A:C,3,0)</f>
        <v>46112</v>
      </c>
      <c r="L906" s="6">
        <v>0</v>
      </c>
      <c r="M906" s="41">
        <f>VLOOKUP(Tabla1[[#This Row],[PAGO DIA]],DIAS!A:D,4,0)</f>
        <v>46142</v>
      </c>
      <c r="N906" s="6">
        <v>0</v>
      </c>
      <c r="O906" s="43">
        <f>VLOOKUP(Tabla1[[#This Row],[PAGO DIA]],DIAS!A:E,5,0)</f>
        <v>46171</v>
      </c>
      <c r="P906" s="6">
        <v>0</v>
      </c>
      <c r="Q906" s="43">
        <f>VLOOKUP(Tabla1[[#This Row],[PAGO DIA]],DIAS!A:F,6,0)</f>
        <v>46203</v>
      </c>
      <c r="R906" s="6">
        <v>0</v>
      </c>
      <c r="S906" s="43">
        <f>VLOOKUP(Tabla1[[#This Row],[PAGO DIA]],DIAS!A:G,7,0)</f>
        <v>46234</v>
      </c>
      <c r="T906" s="6">
        <v>0</v>
      </c>
      <c r="U906" s="43">
        <f>VLOOKUP(Tabla1[[#This Row],[PAGO DIA]],DIAS!A:H,8,0)</f>
        <v>46265</v>
      </c>
      <c r="V906" s="6">
        <v>0</v>
      </c>
      <c r="W906" s="43">
        <f>VLOOKUP(Tabla1[[#This Row],[PAGO DIA]],DIAS!A:I,9,0)</f>
        <v>46295</v>
      </c>
      <c r="X906" s="6">
        <v>0</v>
      </c>
      <c r="Y906" s="43">
        <f>VLOOKUP(Tabla1[[#This Row],[PAGO DIA]],DIAS!A:J,10,0)</f>
        <v>46325</v>
      </c>
      <c r="Z906" s="6">
        <v>0</v>
      </c>
      <c r="AA906" s="43">
        <f>VLOOKUP(Tabla1[[#This Row],[PAGO DIA]],DIAS!A:K,11,0)</f>
        <v>46356</v>
      </c>
      <c r="AB906" s="6">
        <v>0</v>
      </c>
      <c r="AC906" s="43">
        <f>VLOOKUP(Tabla1[[#This Row],[PAGO DIA]],DIAS!A:M,12,0)</f>
        <v>46386</v>
      </c>
      <c r="AD9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7" spans="1:30">
      <c r="A907" s="3">
        <v>11078</v>
      </c>
      <c r="B907" s="3" t="s">
        <v>538</v>
      </c>
      <c r="C907" s="3" t="s">
        <v>539</v>
      </c>
      <c r="D907" s="3" t="s">
        <v>540</v>
      </c>
      <c r="E907" s="3" t="s">
        <v>1483</v>
      </c>
      <c r="F907" s="42" t="s">
        <v>631</v>
      </c>
      <c r="G907" s="3"/>
      <c r="H907" s="6">
        <v>0</v>
      </c>
      <c r="I907" s="41">
        <f>VLOOKUP(Tabla1[[#This Row],[PAGO DIA]],DIAS!A:B,2,0)</f>
        <v>46080</v>
      </c>
      <c r="J907" s="6">
        <v>0</v>
      </c>
      <c r="K907" s="43">
        <f>VLOOKUP(Tabla1[[#This Row],[PAGO DIA]],DIAS!A:C,3,0)</f>
        <v>46112</v>
      </c>
      <c r="L907" s="6">
        <v>0</v>
      </c>
      <c r="M907" s="41">
        <f>VLOOKUP(Tabla1[[#This Row],[PAGO DIA]],DIAS!A:D,4,0)</f>
        <v>46142</v>
      </c>
      <c r="N907" s="6">
        <v>0</v>
      </c>
      <c r="O907" s="43">
        <f>VLOOKUP(Tabla1[[#This Row],[PAGO DIA]],DIAS!A:E,5,0)</f>
        <v>46171</v>
      </c>
      <c r="P907" s="6">
        <v>0</v>
      </c>
      <c r="Q907" s="43">
        <f>VLOOKUP(Tabla1[[#This Row],[PAGO DIA]],DIAS!A:F,6,0)</f>
        <v>46203</v>
      </c>
      <c r="R907" s="6">
        <v>0</v>
      </c>
      <c r="S907" s="43">
        <f>VLOOKUP(Tabla1[[#This Row],[PAGO DIA]],DIAS!A:G,7,0)</f>
        <v>46234</v>
      </c>
      <c r="T907" s="6">
        <v>0</v>
      </c>
      <c r="U907" s="43">
        <f>VLOOKUP(Tabla1[[#This Row],[PAGO DIA]],DIAS!A:H,8,0)</f>
        <v>46265</v>
      </c>
      <c r="V907" s="6">
        <v>0</v>
      </c>
      <c r="W907" s="43">
        <f>VLOOKUP(Tabla1[[#This Row],[PAGO DIA]],DIAS!A:I,9,0)</f>
        <v>46295</v>
      </c>
      <c r="X907" s="6">
        <v>0</v>
      </c>
      <c r="Y907" s="43">
        <f>VLOOKUP(Tabla1[[#This Row],[PAGO DIA]],DIAS!A:J,10,0)</f>
        <v>46325</v>
      </c>
      <c r="Z907" s="6">
        <v>0</v>
      </c>
      <c r="AA907" s="43">
        <f>VLOOKUP(Tabla1[[#This Row],[PAGO DIA]],DIAS!A:K,11,0)</f>
        <v>46356</v>
      </c>
      <c r="AB907" s="6">
        <v>0</v>
      </c>
      <c r="AC907" s="43">
        <f>VLOOKUP(Tabla1[[#This Row],[PAGO DIA]],DIAS!A:M,12,0)</f>
        <v>46386</v>
      </c>
      <c r="AD9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8" spans="1:30">
      <c r="A908" s="3">
        <v>11257</v>
      </c>
      <c r="B908" s="3" t="s">
        <v>538</v>
      </c>
      <c r="C908" s="3" t="s">
        <v>539</v>
      </c>
      <c r="D908" s="3" t="s">
        <v>540</v>
      </c>
      <c r="E908" s="3" t="s">
        <v>1483</v>
      </c>
      <c r="F908" s="42" t="s">
        <v>631</v>
      </c>
      <c r="G908" s="3"/>
      <c r="H908" s="6">
        <v>0</v>
      </c>
      <c r="I908" s="41">
        <f>VLOOKUP(Tabla1[[#This Row],[PAGO DIA]],DIAS!A:B,2,0)</f>
        <v>46080</v>
      </c>
      <c r="J908" s="6">
        <v>0</v>
      </c>
      <c r="K908" s="43">
        <f>VLOOKUP(Tabla1[[#This Row],[PAGO DIA]],DIAS!A:C,3,0)</f>
        <v>46112</v>
      </c>
      <c r="L908" s="6">
        <v>0</v>
      </c>
      <c r="M908" s="41">
        <f>VLOOKUP(Tabla1[[#This Row],[PAGO DIA]],DIAS!A:D,4,0)</f>
        <v>46142</v>
      </c>
      <c r="N908" s="6">
        <v>0</v>
      </c>
      <c r="O908" s="43">
        <f>VLOOKUP(Tabla1[[#This Row],[PAGO DIA]],DIAS!A:E,5,0)</f>
        <v>46171</v>
      </c>
      <c r="P908" s="6">
        <v>0</v>
      </c>
      <c r="Q908" s="43">
        <f>VLOOKUP(Tabla1[[#This Row],[PAGO DIA]],DIAS!A:F,6,0)</f>
        <v>46203</v>
      </c>
      <c r="R908" s="6">
        <v>0</v>
      </c>
      <c r="S908" s="43">
        <f>VLOOKUP(Tabla1[[#This Row],[PAGO DIA]],DIAS!A:G,7,0)</f>
        <v>46234</v>
      </c>
      <c r="T908" s="6">
        <v>0</v>
      </c>
      <c r="U908" s="43">
        <f>VLOOKUP(Tabla1[[#This Row],[PAGO DIA]],DIAS!A:H,8,0)</f>
        <v>46265</v>
      </c>
      <c r="V908" s="6">
        <v>0</v>
      </c>
      <c r="W908" s="43">
        <f>VLOOKUP(Tabla1[[#This Row],[PAGO DIA]],DIAS!A:I,9,0)</f>
        <v>46295</v>
      </c>
      <c r="X908" s="6">
        <v>0</v>
      </c>
      <c r="Y908" s="43">
        <f>VLOOKUP(Tabla1[[#This Row],[PAGO DIA]],DIAS!A:J,10,0)</f>
        <v>46325</v>
      </c>
      <c r="Z908" s="6">
        <v>0</v>
      </c>
      <c r="AA908" s="43">
        <f>VLOOKUP(Tabla1[[#This Row],[PAGO DIA]],DIAS!A:K,11,0)</f>
        <v>46356</v>
      </c>
      <c r="AB908" s="6">
        <v>0</v>
      </c>
      <c r="AC908" s="43">
        <f>VLOOKUP(Tabla1[[#This Row],[PAGO DIA]],DIAS!A:M,12,0)</f>
        <v>46386</v>
      </c>
      <c r="AD9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09" spans="1:30">
      <c r="A909" s="3">
        <v>11357</v>
      </c>
      <c r="B909" s="3" t="s">
        <v>538</v>
      </c>
      <c r="C909" s="3" t="s">
        <v>539</v>
      </c>
      <c r="D909" s="3" t="s">
        <v>540</v>
      </c>
      <c r="E909" s="3" t="s">
        <v>1483</v>
      </c>
      <c r="F909" s="42" t="s">
        <v>631</v>
      </c>
      <c r="G909" s="3"/>
      <c r="H909" s="6">
        <v>0</v>
      </c>
      <c r="I909" s="41">
        <f>VLOOKUP(Tabla1[[#This Row],[PAGO DIA]],DIAS!A:B,2,0)</f>
        <v>46080</v>
      </c>
      <c r="J909" s="6">
        <v>0</v>
      </c>
      <c r="K909" s="43">
        <f>VLOOKUP(Tabla1[[#This Row],[PAGO DIA]],DIAS!A:C,3,0)</f>
        <v>46112</v>
      </c>
      <c r="L909" s="6">
        <v>0</v>
      </c>
      <c r="M909" s="41">
        <f>VLOOKUP(Tabla1[[#This Row],[PAGO DIA]],DIAS!A:D,4,0)</f>
        <v>46142</v>
      </c>
      <c r="N909" s="6">
        <v>0</v>
      </c>
      <c r="O909" s="43">
        <f>VLOOKUP(Tabla1[[#This Row],[PAGO DIA]],DIAS!A:E,5,0)</f>
        <v>46171</v>
      </c>
      <c r="P909" s="6">
        <v>0</v>
      </c>
      <c r="Q909" s="43">
        <f>VLOOKUP(Tabla1[[#This Row],[PAGO DIA]],DIAS!A:F,6,0)</f>
        <v>46203</v>
      </c>
      <c r="R909" s="6">
        <v>0</v>
      </c>
      <c r="S909" s="43">
        <f>VLOOKUP(Tabla1[[#This Row],[PAGO DIA]],DIAS!A:G,7,0)</f>
        <v>46234</v>
      </c>
      <c r="T909" s="6">
        <v>0</v>
      </c>
      <c r="U909" s="43">
        <f>VLOOKUP(Tabla1[[#This Row],[PAGO DIA]],DIAS!A:H,8,0)</f>
        <v>46265</v>
      </c>
      <c r="V909" s="6">
        <v>0</v>
      </c>
      <c r="W909" s="43">
        <f>VLOOKUP(Tabla1[[#This Row],[PAGO DIA]],DIAS!A:I,9,0)</f>
        <v>46295</v>
      </c>
      <c r="X909" s="6">
        <v>0</v>
      </c>
      <c r="Y909" s="43">
        <f>VLOOKUP(Tabla1[[#This Row],[PAGO DIA]],DIAS!A:J,10,0)</f>
        <v>46325</v>
      </c>
      <c r="Z909" s="6">
        <v>0</v>
      </c>
      <c r="AA909" s="43">
        <f>VLOOKUP(Tabla1[[#This Row],[PAGO DIA]],DIAS!A:K,11,0)</f>
        <v>46356</v>
      </c>
      <c r="AB909" s="6">
        <v>0</v>
      </c>
      <c r="AC909" s="43">
        <f>VLOOKUP(Tabla1[[#This Row],[PAGO DIA]],DIAS!A:M,12,0)</f>
        <v>46386</v>
      </c>
      <c r="AD9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0" spans="1:30">
      <c r="A910" s="3">
        <v>11016</v>
      </c>
      <c r="B910" s="3" t="s">
        <v>538</v>
      </c>
      <c r="C910" s="3" t="s">
        <v>539</v>
      </c>
      <c r="D910" s="3" t="s">
        <v>540</v>
      </c>
      <c r="E910" s="3" t="s">
        <v>1484</v>
      </c>
      <c r="F910" s="42" t="s">
        <v>631</v>
      </c>
      <c r="G910" s="3"/>
      <c r="H910" s="6">
        <v>0</v>
      </c>
      <c r="I910" s="41">
        <f>VLOOKUP(Tabla1[[#This Row],[PAGO DIA]],DIAS!A:B,2,0)</f>
        <v>46080</v>
      </c>
      <c r="J910" s="6">
        <v>0</v>
      </c>
      <c r="K910" s="43">
        <f>VLOOKUP(Tabla1[[#This Row],[PAGO DIA]],DIAS!A:C,3,0)</f>
        <v>46112</v>
      </c>
      <c r="L910" s="6">
        <v>0</v>
      </c>
      <c r="M910" s="41">
        <f>VLOOKUP(Tabla1[[#This Row],[PAGO DIA]],DIAS!A:D,4,0)</f>
        <v>46142</v>
      </c>
      <c r="N910" s="6">
        <v>0</v>
      </c>
      <c r="O910" s="43">
        <f>VLOOKUP(Tabla1[[#This Row],[PAGO DIA]],DIAS!A:E,5,0)</f>
        <v>46171</v>
      </c>
      <c r="P910" s="6">
        <v>0</v>
      </c>
      <c r="Q910" s="43">
        <f>VLOOKUP(Tabla1[[#This Row],[PAGO DIA]],DIAS!A:F,6,0)</f>
        <v>46203</v>
      </c>
      <c r="R910" s="6">
        <v>0</v>
      </c>
      <c r="S910" s="43">
        <f>VLOOKUP(Tabla1[[#This Row],[PAGO DIA]],DIAS!A:G,7,0)</f>
        <v>46234</v>
      </c>
      <c r="T910" s="6">
        <v>0</v>
      </c>
      <c r="U910" s="43">
        <f>VLOOKUP(Tabla1[[#This Row],[PAGO DIA]],DIAS!A:H,8,0)</f>
        <v>46265</v>
      </c>
      <c r="V910" s="6">
        <v>0</v>
      </c>
      <c r="W910" s="43">
        <f>VLOOKUP(Tabla1[[#This Row],[PAGO DIA]],DIAS!A:I,9,0)</f>
        <v>46295</v>
      </c>
      <c r="X910" s="6">
        <v>0</v>
      </c>
      <c r="Y910" s="43">
        <f>VLOOKUP(Tabla1[[#This Row],[PAGO DIA]],DIAS!A:J,10,0)</f>
        <v>46325</v>
      </c>
      <c r="Z910" s="6">
        <v>0</v>
      </c>
      <c r="AA910" s="43">
        <f>VLOOKUP(Tabla1[[#This Row],[PAGO DIA]],DIAS!A:K,11,0)</f>
        <v>46356</v>
      </c>
      <c r="AB910" s="6">
        <v>0</v>
      </c>
      <c r="AC910" s="43">
        <f>VLOOKUP(Tabla1[[#This Row],[PAGO DIA]],DIAS!A:M,12,0)</f>
        <v>46386</v>
      </c>
      <c r="AD9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1" spans="1:30">
      <c r="A911" s="3">
        <v>11243</v>
      </c>
      <c r="B911" s="3" t="s">
        <v>538</v>
      </c>
      <c r="C911" s="3" t="s">
        <v>539</v>
      </c>
      <c r="D911" s="3" t="s">
        <v>540</v>
      </c>
      <c r="E911" s="3" t="s">
        <v>1484</v>
      </c>
      <c r="F911" s="42" t="s">
        <v>631</v>
      </c>
      <c r="G911" s="3"/>
      <c r="H911" s="6">
        <v>0</v>
      </c>
      <c r="I911" s="41">
        <f>VLOOKUP(Tabla1[[#This Row],[PAGO DIA]],DIAS!A:B,2,0)</f>
        <v>46080</v>
      </c>
      <c r="J911" s="6">
        <v>0</v>
      </c>
      <c r="K911" s="43">
        <f>VLOOKUP(Tabla1[[#This Row],[PAGO DIA]],DIAS!A:C,3,0)</f>
        <v>46112</v>
      </c>
      <c r="L911" s="6">
        <v>0</v>
      </c>
      <c r="M911" s="41">
        <f>VLOOKUP(Tabla1[[#This Row],[PAGO DIA]],DIAS!A:D,4,0)</f>
        <v>46142</v>
      </c>
      <c r="N911" s="6">
        <v>0</v>
      </c>
      <c r="O911" s="43">
        <f>VLOOKUP(Tabla1[[#This Row],[PAGO DIA]],DIAS!A:E,5,0)</f>
        <v>46171</v>
      </c>
      <c r="P911" s="6">
        <v>0</v>
      </c>
      <c r="Q911" s="43">
        <f>VLOOKUP(Tabla1[[#This Row],[PAGO DIA]],DIAS!A:F,6,0)</f>
        <v>46203</v>
      </c>
      <c r="R911" s="6">
        <v>0</v>
      </c>
      <c r="S911" s="43">
        <f>VLOOKUP(Tabla1[[#This Row],[PAGO DIA]],DIAS!A:G,7,0)</f>
        <v>46234</v>
      </c>
      <c r="T911" s="6">
        <v>0</v>
      </c>
      <c r="U911" s="43">
        <f>VLOOKUP(Tabla1[[#This Row],[PAGO DIA]],DIAS!A:H,8,0)</f>
        <v>46265</v>
      </c>
      <c r="V911" s="6">
        <v>0</v>
      </c>
      <c r="W911" s="43">
        <f>VLOOKUP(Tabla1[[#This Row],[PAGO DIA]],DIAS!A:I,9,0)</f>
        <v>46295</v>
      </c>
      <c r="X911" s="6">
        <v>0</v>
      </c>
      <c r="Y911" s="43">
        <f>VLOOKUP(Tabla1[[#This Row],[PAGO DIA]],DIAS!A:J,10,0)</f>
        <v>46325</v>
      </c>
      <c r="Z911" s="6">
        <v>0</v>
      </c>
      <c r="AA911" s="43">
        <f>VLOOKUP(Tabla1[[#This Row],[PAGO DIA]],DIAS!A:K,11,0)</f>
        <v>46356</v>
      </c>
      <c r="AB911" s="6">
        <v>0</v>
      </c>
      <c r="AC911" s="43">
        <f>VLOOKUP(Tabla1[[#This Row],[PAGO DIA]],DIAS!A:M,12,0)</f>
        <v>46386</v>
      </c>
      <c r="AD9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2" spans="1:30">
      <c r="A912" s="3">
        <v>12062</v>
      </c>
      <c r="B912" s="3" t="s">
        <v>538</v>
      </c>
      <c r="C912" s="3" t="s">
        <v>539</v>
      </c>
      <c r="D912" s="3" t="s">
        <v>540</v>
      </c>
      <c r="E912" s="3" t="s">
        <v>945</v>
      </c>
      <c r="F912" s="42" t="s">
        <v>631</v>
      </c>
      <c r="G912" s="3"/>
      <c r="H912" s="6">
        <v>0</v>
      </c>
      <c r="I912" s="41">
        <f>VLOOKUP(Tabla1[[#This Row],[PAGO DIA]],DIAS!A:B,2,0)</f>
        <v>46080</v>
      </c>
      <c r="J912" s="6">
        <v>0</v>
      </c>
      <c r="K912" s="43">
        <f>VLOOKUP(Tabla1[[#This Row],[PAGO DIA]],DIAS!A:C,3,0)</f>
        <v>46112</v>
      </c>
      <c r="L912" s="6">
        <v>0</v>
      </c>
      <c r="M912" s="41">
        <f>VLOOKUP(Tabla1[[#This Row],[PAGO DIA]],DIAS!A:D,4,0)</f>
        <v>46142</v>
      </c>
      <c r="N912" s="6">
        <v>0</v>
      </c>
      <c r="O912" s="43">
        <f>VLOOKUP(Tabla1[[#This Row],[PAGO DIA]],DIAS!A:E,5,0)</f>
        <v>46171</v>
      </c>
      <c r="P912" s="6">
        <v>0</v>
      </c>
      <c r="Q912" s="43">
        <f>VLOOKUP(Tabla1[[#This Row],[PAGO DIA]],DIAS!A:F,6,0)</f>
        <v>46203</v>
      </c>
      <c r="R912" s="6">
        <v>0</v>
      </c>
      <c r="S912" s="43">
        <f>VLOOKUP(Tabla1[[#This Row],[PAGO DIA]],DIAS!A:G,7,0)</f>
        <v>46234</v>
      </c>
      <c r="T912" s="6">
        <v>0</v>
      </c>
      <c r="U912" s="43">
        <f>VLOOKUP(Tabla1[[#This Row],[PAGO DIA]],DIAS!A:H,8,0)</f>
        <v>46265</v>
      </c>
      <c r="V912" s="6">
        <v>0</v>
      </c>
      <c r="W912" s="43">
        <f>VLOOKUP(Tabla1[[#This Row],[PAGO DIA]],DIAS!A:I,9,0)</f>
        <v>46295</v>
      </c>
      <c r="X912" s="6">
        <v>0</v>
      </c>
      <c r="Y912" s="43">
        <f>VLOOKUP(Tabla1[[#This Row],[PAGO DIA]],DIAS!A:J,10,0)</f>
        <v>46325</v>
      </c>
      <c r="Z912" s="6">
        <v>0</v>
      </c>
      <c r="AA912" s="43">
        <f>VLOOKUP(Tabla1[[#This Row],[PAGO DIA]],DIAS!A:K,11,0)</f>
        <v>46356</v>
      </c>
      <c r="AB912" s="6">
        <v>0</v>
      </c>
      <c r="AC912" s="43">
        <f>VLOOKUP(Tabla1[[#This Row],[PAGO DIA]],DIAS!A:M,12,0)</f>
        <v>46386</v>
      </c>
      <c r="AD9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3" spans="1:30">
      <c r="A913" s="3">
        <v>12581</v>
      </c>
      <c r="B913" s="3" t="s">
        <v>538</v>
      </c>
      <c r="C913" s="3" t="s">
        <v>539</v>
      </c>
      <c r="D913" s="3" t="s">
        <v>540</v>
      </c>
      <c r="E913" s="3" t="s">
        <v>945</v>
      </c>
      <c r="F913" s="42" t="s">
        <v>631</v>
      </c>
      <c r="G913" s="3" t="s">
        <v>1485</v>
      </c>
      <c r="H913" s="6">
        <v>0</v>
      </c>
      <c r="I913" s="41">
        <f>VLOOKUP(Tabla1[[#This Row],[PAGO DIA]],DIAS!A:B,2,0)</f>
        <v>46080</v>
      </c>
      <c r="J913" s="6">
        <v>0</v>
      </c>
      <c r="K913" s="43">
        <f>VLOOKUP(Tabla1[[#This Row],[PAGO DIA]],DIAS!A:C,3,0)</f>
        <v>46112</v>
      </c>
      <c r="L913" s="6">
        <v>0</v>
      </c>
      <c r="M913" s="41">
        <f>VLOOKUP(Tabla1[[#This Row],[PAGO DIA]],DIAS!A:D,4,0)</f>
        <v>46142</v>
      </c>
      <c r="N913" s="6">
        <v>0</v>
      </c>
      <c r="O913" s="43">
        <f>VLOOKUP(Tabla1[[#This Row],[PAGO DIA]],DIAS!A:E,5,0)</f>
        <v>46171</v>
      </c>
      <c r="P913" s="6">
        <v>0</v>
      </c>
      <c r="Q913" s="43">
        <f>VLOOKUP(Tabla1[[#This Row],[PAGO DIA]],DIAS!A:F,6,0)</f>
        <v>46203</v>
      </c>
      <c r="R913" s="6">
        <v>0</v>
      </c>
      <c r="S913" s="43">
        <f>VLOOKUP(Tabla1[[#This Row],[PAGO DIA]],DIAS!A:G,7,0)</f>
        <v>46234</v>
      </c>
      <c r="T913" s="6">
        <v>0</v>
      </c>
      <c r="U913" s="43">
        <f>VLOOKUP(Tabla1[[#This Row],[PAGO DIA]],DIAS!A:H,8,0)</f>
        <v>46265</v>
      </c>
      <c r="V913" s="6">
        <v>0</v>
      </c>
      <c r="W913" s="43">
        <f>VLOOKUP(Tabla1[[#This Row],[PAGO DIA]],DIAS!A:I,9,0)</f>
        <v>46295</v>
      </c>
      <c r="X913" s="6">
        <v>0</v>
      </c>
      <c r="Y913" s="43">
        <f>VLOOKUP(Tabla1[[#This Row],[PAGO DIA]],DIAS!A:J,10,0)</f>
        <v>46325</v>
      </c>
      <c r="Z913" s="6">
        <v>0</v>
      </c>
      <c r="AA913" s="43">
        <f>VLOOKUP(Tabla1[[#This Row],[PAGO DIA]],DIAS!A:K,11,0)</f>
        <v>46356</v>
      </c>
      <c r="AB913" s="6">
        <v>0</v>
      </c>
      <c r="AC913" s="43">
        <f>VLOOKUP(Tabla1[[#This Row],[PAGO DIA]],DIAS!A:M,12,0)</f>
        <v>46386</v>
      </c>
      <c r="AD9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4" spans="1:30">
      <c r="A914" s="3">
        <v>11270</v>
      </c>
      <c r="B914" s="3" t="s">
        <v>538</v>
      </c>
      <c r="C914" s="3" t="s">
        <v>539</v>
      </c>
      <c r="D914" s="3" t="s">
        <v>540</v>
      </c>
      <c r="E914" s="3" t="s">
        <v>1486</v>
      </c>
      <c r="F914" s="42" t="s">
        <v>631</v>
      </c>
      <c r="G914" s="3"/>
      <c r="H914" s="6">
        <v>0</v>
      </c>
      <c r="I914" s="41">
        <f>VLOOKUP(Tabla1[[#This Row],[PAGO DIA]],DIAS!A:B,2,0)</f>
        <v>46080</v>
      </c>
      <c r="J914" s="6">
        <v>0</v>
      </c>
      <c r="K914" s="43">
        <f>VLOOKUP(Tabla1[[#This Row],[PAGO DIA]],DIAS!A:C,3,0)</f>
        <v>46112</v>
      </c>
      <c r="L914" s="6">
        <v>0</v>
      </c>
      <c r="M914" s="41">
        <f>VLOOKUP(Tabla1[[#This Row],[PAGO DIA]],DIAS!A:D,4,0)</f>
        <v>46142</v>
      </c>
      <c r="N914" s="6">
        <v>0</v>
      </c>
      <c r="O914" s="43">
        <f>VLOOKUP(Tabla1[[#This Row],[PAGO DIA]],DIAS!A:E,5,0)</f>
        <v>46171</v>
      </c>
      <c r="P914" s="6">
        <v>0</v>
      </c>
      <c r="Q914" s="43">
        <f>VLOOKUP(Tabla1[[#This Row],[PAGO DIA]],DIAS!A:F,6,0)</f>
        <v>46203</v>
      </c>
      <c r="R914" s="6">
        <v>0</v>
      </c>
      <c r="S914" s="43">
        <f>VLOOKUP(Tabla1[[#This Row],[PAGO DIA]],DIAS!A:G,7,0)</f>
        <v>46234</v>
      </c>
      <c r="T914" s="6">
        <v>0</v>
      </c>
      <c r="U914" s="43">
        <f>VLOOKUP(Tabla1[[#This Row],[PAGO DIA]],DIAS!A:H,8,0)</f>
        <v>46265</v>
      </c>
      <c r="V914" s="6">
        <v>0</v>
      </c>
      <c r="W914" s="43">
        <f>VLOOKUP(Tabla1[[#This Row],[PAGO DIA]],DIAS!A:I,9,0)</f>
        <v>46295</v>
      </c>
      <c r="X914" s="6">
        <v>0</v>
      </c>
      <c r="Y914" s="43">
        <f>VLOOKUP(Tabla1[[#This Row],[PAGO DIA]],DIAS!A:J,10,0)</f>
        <v>46325</v>
      </c>
      <c r="Z914" s="6">
        <v>0</v>
      </c>
      <c r="AA914" s="43">
        <f>VLOOKUP(Tabla1[[#This Row],[PAGO DIA]],DIAS!A:K,11,0)</f>
        <v>46356</v>
      </c>
      <c r="AB914" s="6">
        <v>0</v>
      </c>
      <c r="AC914" s="43">
        <f>VLOOKUP(Tabla1[[#This Row],[PAGO DIA]],DIAS!A:M,12,0)</f>
        <v>46386</v>
      </c>
      <c r="AD9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5" spans="1:30">
      <c r="A915" s="3">
        <v>11338</v>
      </c>
      <c r="B915" s="3" t="s">
        <v>538</v>
      </c>
      <c r="C915" s="3" t="s">
        <v>539</v>
      </c>
      <c r="D915" s="3" t="s">
        <v>540</v>
      </c>
      <c r="E915" s="3" t="s">
        <v>1486</v>
      </c>
      <c r="F915" s="42" t="s">
        <v>631</v>
      </c>
      <c r="G915" s="3"/>
      <c r="H915" s="6">
        <v>0</v>
      </c>
      <c r="I915" s="41">
        <f>VLOOKUP(Tabla1[[#This Row],[PAGO DIA]],DIAS!A:B,2,0)</f>
        <v>46080</v>
      </c>
      <c r="J915" s="6">
        <v>0</v>
      </c>
      <c r="K915" s="43">
        <f>VLOOKUP(Tabla1[[#This Row],[PAGO DIA]],DIAS!A:C,3,0)</f>
        <v>46112</v>
      </c>
      <c r="L915" s="6">
        <v>0</v>
      </c>
      <c r="M915" s="41">
        <f>VLOOKUP(Tabla1[[#This Row],[PAGO DIA]],DIAS!A:D,4,0)</f>
        <v>46142</v>
      </c>
      <c r="N915" s="6">
        <v>0</v>
      </c>
      <c r="O915" s="43">
        <f>VLOOKUP(Tabla1[[#This Row],[PAGO DIA]],DIAS!A:E,5,0)</f>
        <v>46171</v>
      </c>
      <c r="P915" s="6">
        <v>0</v>
      </c>
      <c r="Q915" s="43">
        <f>VLOOKUP(Tabla1[[#This Row],[PAGO DIA]],DIAS!A:F,6,0)</f>
        <v>46203</v>
      </c>
      <c r="R915" s="6">
        <v>0</v>
      </c>
      <c r="S915" s="43">
        <f>VLOOKUP(Tabla1[[#This Row],[PAGO DIA]],DIAS!A:G,7,0)</f>
        <v>46234</v>
      </c>
      <c r="T915" s="6">
        <v>0</v>
      </c>
      <c r="U915" s="43">
        <f>VLOOKUP(Tabla1[[#This Row],[PAGO DIA]],DIAS!A:H,8,0)</f>
        <v>46265</v>
      </c>
      <c r="V915" s="6">
        <v>0</v>
      </c>
      <c r="W915" s="43">
        <f>VLOOKUP(Tabla1[[#This Row],[PAGO DIA]],DIAS!A:I,9,0)</f>
        <v>46295</v>
      </c>
      <c r="X915" s="6">
        <v>0</v>
      </c>
      <c r="Y915" s="43">
        <f>VLOOKUP(Tabla1[[#This Row],[PAGO DIA]],DIAS!A:J,10,0)</f>
        <v>46325</v>
      </c>
      <c r="Z915" s="6">
        <v>0</v>
      </c>
      <c r="AA915" s="43">
        <f>VLOOKUP(Tabla1[[#This Row],[PAGO DIA]],DIAS!A:K,11,0)</f>
        <v>46356</v>
      </c>
      <c r="AB915" s="6">
        <v>0</v>
      </c>
      <c r="AC915" s="43">
        <f>VLOOKUP(Tabla1[[#This Row],[PAGO DIA]],DIAS!A:M,12,0)</f>
        <v>46386</v>
      </c>
      <c r="AD9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6" spans="1:30">
      <c r="A916" s="3">
        <v>11235</v>
      </c>
      <c r="B916" s="3" t="s">
        <v>538</v>
      </c>
      <c r="C916" s="3" t="s">
        <v>539</v>
      </c>
      <c r="D916" s="3" t="s">
        <v>540</v>
      </c>
      <c r="E916" s="3" t="s">
        <v>1487</v>
      </c>
      <c r="F916" s="42" t="s">
        <v>631</v>
      </c>
      <c r="G916" s="3"/>
      <c r="H916" s="6">
        <v>0</v>
      </c>
      <c r="I916" s="41">
        <f>VLOOKUP(Tabla1[[#This Row],[PAGO DIA]],DIAS!A:B,2,0)</f>
        <v>46080</v>
      </c>
      <c r="J916" s="6">
        <v>0</v>
      </c>
      <c r="K916" s="43">
        <f>VLOOKUP(Tabla1[[#This Row],[PAGO DIA]],DIAS!A:C,3,0)</f>
        <v>46112</v>
      </c>
      <c r="L916" s="6">
        <v>0</v>
      </c>
      <c r="M916" s="41">
        <f>VLOOKUP(Tabla1[[#This Row],[PAGO DIA]],DIAS!A:D,4,0)</f>
        <v>46142</v>
      </c>
      <c r="N916" s="6">
        <v>0</v>
      </c>
      <c r="O916" s="43">
        <f>VLOOKUP(Tabla1[[#This Row],[PAGO DIA]],DIAS!A:E,5,0)</f>
        <v>46171</v>
      </c>
      <c r="P916" s="6">
        <v>0</v>
      </c>
      <c r="Q916" s="43">
        <f>VLOOKUP(Tabla1[[#This Row],[PAGO DIA]],DIAS!A:F,6,0)</f>
        <v>46203</v>
      </c>
      <c r="R916" s="6">
        <v>0</v>
      </c>
      <c r="S916" s="43">
        <f>VLOOKUP(Tabla1[[#This Row],[PAGO DIA]],DIAS!A:G,7,0)</f>
        <v>46234</v>
      </c>
      <c r="T916" s="6">
        <v>0</v>
      </c>
      <c r="U916" s="43">
        <f>VLOOKUP(Tabla1[[#This Row],[PAGO DIA]],DIAS!A:H,8,0)</f>
        <v>46265</v>
      </c>
      <c r="V916" s="6">
        <v>0</v>
      </c>
      <c r="W916" s="43">
        <f>VLOOKUP(Tabla1[[#This Row],[PAGO DIA]],DIAS!A:I,9,0)</f>
        <v>46295</v>
      </c>
      <c r="X916" s="6">
        <v>0</v>
      </c>
      <c r="Y916" s="43">
        <f>VLOOKUP(Tabla1[[#This Row],[PAGO DIA]],DIAS!A:J,10,0)</f>
        <v>46325</v>
      </c>
      <c r="Z916" s="6">
        <v>0</v>
      </c>
      <c r="AA916" s="43">
        <f>VLOOKUP(Tabla1[[#This Row],[PAGO DIA]],DIAS!A:K,11,0)</f>
        <v>46356</v>
      </c>
      <c r="AB916" s="6">
        <v>0</v>
      </c>
      <c r="AC916" s="43">
        <f>VLOOKUP(Tabla1[[#This Row],[PAGO DIA]],DIAS!A:M,12,0)</f>
        <v>46386</v>
      </c>
      <c r="AD9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7" spans="1:30">
      <c r="A917" s="3">
        <v>12576</v>
      </c>
      <c r="B917" s="3" t="s">
        <v>538</v>
      </c>
      <c r="C917" s="3" t="s">
        <v>539</v>
      </c>
      <c r="D917" s="3" t="s">
        <v>540</v>
      </c>
      <c r="E917" s="3" t="s">
        <v>1487</v>
      </c>
      <c r="F917" s="42" t="s">
        <v>631</v>
      </c>
      <c r="G917" s="3" t="s">
        <v>1488</v>
      </c>
      <c r="H917" s="6">
        <v>0</v>
      </c>
      <c r="I917" s="41">
        <f>VLOOKUP(Tabla1[[#This Row],[PAGO DIA]],DIAS!A:B,2,0)</f>
        <v>46080</v>
      </c>
      <c r="J917" s="6">
        <v>0</v>
      </c>
      <c r="K917" s="43">
        <f>VLOOKUP(Tabla1[[#This Row],[PAGO DIA]],DIAS!A:C,3,0)</f>
        <v>46112</v>
      </c>
      <c r="L917" s="6">
        <v>0</v>
      </c>
      <c r="M917" s="41">
        <f>VLOOKUP(Tabla1[[#This Row],[PAGO DIA]],DIAS!A:D,4,0)</f>
        <v>46142</v>
      </c>
      <c r="N917" s="6">
        <v>0</v>
      </c>
      <c r="O917" s="43">
        <f>VLOOKUP(Tabla1[[#This Row],[PAGO DIA]],DIAS!A:E,5,0)</f>
        <v>46171</v>
      </c>
      <c r="P917" s="6">
        <v>0</v>
      </c>
      <c r="Q917" s="43">
        <f>VLOOKUP(Tabla1[[#This Row],[PAGO DIA]],DIAS!A:F,6,0)</f>
        <v>46203</v>
      </c>
      <c r="R917" s="6">
        <v>0</v>
      </c>
      <c r="S917" s="43">
        <f>VLOOKUP(Tabla1[[#This Row],[PAGO DIA]],DIAS!A:G,7,0)</f>
        <v>46234</v>
      </c>
      <c r="T917" s="6">
        <v>0</v>
      </c>
      <c r="U917" s="43">
        <f>VLOOKUP(Tabla1[[#This Row],[PAGO DIA]],DIAS!A:H,8,0)</f>
        <v>46265</v>
      </c>
      <c r="V917" s="6">
        <v>0</v>
      </c>
      <c r="W917" s="43">
        <f>VLOOKUP(Tabla1[[#This Row],[PAGO DIA]],DIAS!A:I,9,0)</f>
        <v>46295</v>
      </c>
      <c r="X917" s="6">
        <v>0</v>
      </c>
      <c r="Y917" s="43">
        <f>VLOOKUP(Tabla1[[#This Row],[PAGO DIA]],DIAS!A:J,10,0)</f>
        <v>46325</v>
      </c>
      <c r="Z917" s="6">
        <v>0</v>
      </c>
      <c r="AA917" s="43">
        <f>VLOOKUP(Tabla1[[#This Row],[PAGO DIA]],DIAS!A:K,11,0)</f>
        <v>46356</v>
      </c>
      <c r="AB917" s="6">
        <v>0</v>
      </c>
      <c r="AC917" s="43">
        <f>VLOOKUP(Tabla1[[#This Row],[PAGO DIA]],DIAS!A:M,12,0)</f>
        <v>46386</v>
      </c>
      <c r="AD9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8" spans="1:30">
      <c r="A918" s="3">
        <v>11027</v>
      </c>
      <c r="B918" s="3" t="s">
        <v>538</v>
      </c>
      <c r="C918" s="3" t="s">
        <v>539</v>
      </c>
      <c r="D918" s="3" t="s">
        <v>540</v>
      </c>
      <c r="E918" s="3" t="s">
        <v>791</v>
      </c>
      <c r="F918" s="42" t="s">
        <v>631</v>
      </c>
      <c r="G918" s="3"/>
      <c r="H918" s="6">
        <v>0</v>
      </c>
      <c r="I918" s="41">
        <f>VLOOKUP(Tabla1[[#This Row],[PAGO DIA]],DIAS!A:B,2,0)</f>
        <v>46080</v>
      </c>
      <c r="J918" s="6">
        <v>0</v>
      </c>
      <c r="K918" s="43">
        <f>VLOOKUP(Tabla1[[#This Row],[PAGO DIA]],DIAS!A:C,3,0)</f>
        <v>46112</v>
      </c>
      <c r="L918" s="6">
        <v>0</v>
      </c>
      <c r="M918" s="41">
        <f>VLOOKUP(Tabla1[[#This Row],[PAGO DIA]],DIAS!A:D,4,0)</f>
        <v>46142</v>
      </c>
      <c r="N918" s="6">
        <v>0</v>
      </c>
      <c r="O918" s="43">
        <f>VLOOKUP(Tabla1[[#This Row],[PAGO DIA]],DIAS!A:E,5,0)</f>
        <v>46171</v>
      </c>
      <c r="P918" s="6">
        <v>0</v>
      </c>
      <c r="Q918" s="43">
        <f>VLOOKUP(Tabla1[[#This Row],[PAGO DIA]],DIAS!A:F,6,0)</f>
        <v>46203</v>
      </c>
      <c r="R918" s="6">
        <v>0</v>
      </c>
      <c r="S918" s="43">
        <f>VLOOKUP(Tabla1[[#This Row],[PAGO DIA]],DIAS!A:G,7,0)</f>
        <v>46234</v>
      </c>
      <c r="T918" s="6">
        <v>0</v>
      </c>
      <c r="U918" s="43">
        <f>VLOOKUP(Tabla1[[#This Row],[PAGO DIA]],DIAS!A:H,8,0)</f>
        <v>46265</v>
      </c>
      <c r="V918" s="6">
        <v>0</v>
      </c>
      <c r="W918" s="43">
        <f>VLOOKUP(Tabla1[[#This Row],[PAGO DIA]],DIAS!A:I,9,0)</f>
        <v>46295</v>
      </c>
      <c r="X918" s="6">
        <v>0</v>
      </c>
      <c r="Y918" s="43">
        <f>VLOOKUP(Tabla1[[#This Row],[PAGO DIA]],DIAS!A:J,10,0)</f>
        <v>46325</v>
      </c>
      <c r="Z918" s="6">
        <v>0</v>
      </c>
      <c r="AA918" s="43">
        <f>VLOOKUP(Tabla1[[#This Row],[PAGO DIA]],DIAS!A:K,11,0)</f>
        <v>46356</v>
      </c>
      <c r="AB918" s="6">
        <v>0</v>
      </c>
      <c r="AC918" s="43">
        <f>VLOOKUP(Tabla1[[#This Row],[PAGO DIA]],DIAS!A:M,12,0)</f>
        <v>46386</v>
      </c>
      <c r="AD9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19" spans="1:30">
      <c r="A919" s="3">
        <v>11256</v>
      </c>
      <c r="B919" s="3" t="s">
        <v>538</v>
      </c>
      <c r="C919" s="3" t="s">
        <v>539</v>
      </c>
      <c r="D919" s="3" t="s">
        <v>540</v>
      </c>
      <c r="E919" s="3" t="s">
        <v>791</v>
      </c>
      <c r="F919" s="42" t="s">
        <v>631</v>
      </c>
      <c r="G919" s="3"/>
      <c r="H919" s="6">
        <v>0</v>
      </c>
      <c r="I919" s="41">
        <f>VLOOKUP(Tabla1[[#This Row],[PAGO DIA]],DIAS!A:B,2,0)</f>
        <v>46080</v>
      </c>
      <c r="J919" s="6">
        <v>0</v>
      </c>
      <c r="K919" s="43">
        <f>VLOOKUP(Tabla1[[#This Row],[PAGO DIA]],DIAS!A:C,3,0)</f>
        <v>46112</v>
      </c>
      <c r="L919" s="6">
        <v>0</v>
      </c>
      <c r="M919" s="41">
        <f>VLOOKUP(Tabla1[[#This Row],[PAGO DIA]],DIAS!A:D,4,0)</f>
        <v>46142</v>
      </c>
      <c r="N919" s="6">
        <v>0</v>
      </c>
      <c r="O919" s="43">
        <f>VLOOKUP(Tabla1[[#This Row],[PAGO DIA]],DIAS!A:E,5,0)</f>
        <v>46171</v>
      </c>
      <c r="P919" s="6">
        <v>0</v>
      </c>
      <c r="Q919" s="43">
        <f>VLOOKUP(Tabla1[[#This Row],[PAGO DIA]],DIAS!A:F,6,0)</f>
        <v>46203</v>
      </c>
      <c r="R919" s="6">
        <v>0</v>
      </c>
      <c r="S919" s="43">
        <f>VLOOKUP(Tabla1[[#This Row],[PAGO DIA]],DIAS!A:G,7,0)</f>
        <v>46234</v>
      </c>
      <c r="T919" s="6">
        <v>0</v>
      </c>
      <c r="U919" s="43">
        <f>VLOOKUP(Tabla1[[#This Row],[PAGO DIA]],DIAS!A:H,8,0)</f>
        <v>46265</v>
      </c>
      <c r="V919" s="6">
        <v>0</v>
      </c>
      <c r="W919" s="43">
        <f>VLOOKUP(Tabla1[[#This Row],[PAGO DIA]],DIAS!A:I,9,0)</f>
        <v>46295</v>
      </c>
      <c r="X919" s="6">
        <v>0</v>
      </c>
      <c r="Y919" s="43">
        <f>VLOOKUP(Tabla1[[#This Row],[PAGO DIA]],DIAS!A:J,10,0)</f>
        <v>46325</v>
      </c>
      <c r="Z919" s="6">
        <v>0</v>
      </c>
      <c r="AA919" s="43">
        <f>VLOOKUP(Tabla1[[#This Row],[PAGO DIA]],DIAS!A:K,11,0)</f>
        <v>46356</v>
      </c>
      <c r="AB919" s="6">
        <v>0</v>
      </c>
      <c r="AC919" s="43">
        <f>VLOOKUP(Tabla1[[#This Row],[PAGO DIA]],DIAS!A:M,12,0)</f>
        <v>46386</v>
      </c>
      <c r="AD9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0" spans="1:30">
      <c r="A920" s="3">
        <v>11272</v>
      </c>
      <c r="B920" s="3" t="s">
        <v>538</v>
      </c>
      <c r="C920" s="3" t="s">
        <v>539</v>
      </c>
      <c r="D920" s="3" t="s">
        <v>540</v>
      </c>
      <c r="E920" s="3" t="s">
        <v>791</v>
      </c>
      <c r="F920" s="42" t="s">
        <v>631</v>
      </c>
      <c r="G920" s="3"/>
      <c r="H920" s="6">
        <v>0</v>
      </c>
      <c r="I920" s="41">
        <f>VLOOKUP(Tabla1[[#This Row],[PAGO DIA]],DIAS!A:B,2,0)</f>
        <v>46080</v>
      </c>
      <c r="J920" s="6">
        <v>0</v>
      </c>
      <c r="K920" s="43">
        <f>VLOOKUP(Tabla1[[#This Row],[PAGO DIA]],DIAS!A:C,3,0)</f>
        <v>46112</v>
      </c>
      <c r="L920" s="6">
        <v>0</v>
      </c>
      <c r="M920" s="41">
        <f>VLOOKUP(Tabla1[[#This Row],[PAGO DIA]],DIAS!A:D,4,0)</f>
        <v>46142</v>
      </c>
      <c r="N920" s="6">
        <v>0</v>
      </c>
      <c r="O920" s="43">
        <f>VLOOKUP(Tabla1[[#This Row],[PAGO DIA]],DIAS!A:E,5,0)</f>
        <v>46171</v>
      </c>
      <c r="P920" s="6">
        <v>0</v>
      </c>
      <c r="Q920" s="43">
        <f>VLOOKUP(Tabla1[[#This Row],[PAGO DIA]],DIAS!A:F,6,0)</f>
        <v>46203</v>
      </c>
      <c r="R920" s="6">
        <v>0</v>
      </c>
      <c r="S920" s="43">
        <f>VLOOKUP(Tabla1[[#This Row],[PAGO DIA]],DIAS!A:G,7,0)</f>
        <v>46234</v>
      </c>
      <c r="T920" s="6">
        <v>0</v>
      </c>
      <c r="U920" s="43">
        <f>VLOOKUP(Tabla1[[#This Row],[PAGO DIA]],DIAS!A:H,8,0)</f>
        <v>46265</v>
      </c>
      <c r="V920" s="6">
        <v>0</v>
      </c>
      <c r="W920" s="43">
        <f>VLOOKUP(Tabla1[[#This Row],[PAGO DIA]],DIAS!A:I,9,0)</f>
        <v>46295</v>
      </c>
      <c r="X920" s="6">
        <v>0</v>
      </c>
      <c r="Y920" s="43">
        <f>VLOOKUP(Tabla1[[#This Row],[PAGO DIA]],DIAS!A:J,10,0)</f>
        <v>46325</v>
      </c>
      <c r="Z920" s="6">
        <v>0</v>
      </c>
      <c r="AA920" s="43">
        <f>VLOOKUP(Tabla1[[#This Row],[PAGO DIA]],DIAS!A:K,11,0)</f>
        <v>46356</v>
      </c>
      <c r="AB920" s="6">
        <v>0</v>
      </c>
      <c r="AC920" s="43">
        <f>VLOOKUP(Tabla1[[#This Row],[PAGO DIA]],DIAS!A:M,12,0)</f>
        <v>46386</v>
      </c>
      <c r="AD9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1" spans="1:30">
      <c r="A921" s="3">
        <v>11280</v>
      </c>
      <c r="B921" s="3" t="s">
        <v>538</v>
      </c>
      <c r="C921" s="3" t="s">
        <v>539</v>
      </c>
      <c r="D921" s="3" t="s">
        <v>540</v>
      </c>
      <c r="E921" s="3" t="s">
        <v>791</v>
      </c>
      <c r="F921" s="42" t="s">
        <v>631</v>
      </c>
      <c r="G921" s="3"/>
      <c r="H921" s="6">
        <v>0</v>
      </c>
      <c r="I921" s="41">
        <f>VLOOKUP(Tabla1[[#This Row],[PAGO DIA]],DIAS!A:B,2,0)</f>
        <v>46080</v>
      </c>
      <c r="J921" s="6">
        <v>0</v>
      </c>
      <c r="K921" s="43">
        <f>VLOOKUP(Tabla1[[#This Row],[PAGO DIA]],DIAS!A:C,3,0)</f>
        <v>46112</v>
      </c>
      <c r="L921" s="6">
        <v>0</v>
      </c>
      <c r="M921" s="41">
        <f>VLOOKUP(Tabla1[[#This Row],[PAGO DIA]],DIAS!A:D,4,0)</f>
        <v>46142</v>
      </c>
      <c r="N921" s="6">
        <v>0</v>
      </c>
      <c r="O921" s="43">
        <f>VLOOKUP(Tabla1[[#This Row],[PAGO DIA]],DIAS!A:E,5,0)</f>
        <v>46171</v>
      </c>
      <c r="P921" s="6">
        <v>0</v>
      </c>
      <c r="Q921" s="43">
        <f>VLOOKUP(Tabla1[[#This Row],[PAGO DIA]],DIAS!A:F,6,0)</f>
        <v>46203</v>
      </c>
      <c r="R921" s="6">
        <v>0</v>
      </c>
      <c r="S921" s="43">
        <f>VLOOKUP(Tabla1[[#This Row],[PAGO DIA]],DIAS!A:G,7,0)</f>
        <v>46234</v>
      </c>
      <c r="T921" s="6">
        <v>0</v>
      </c>
      <c r="U921" s="43">
        <f>VLOOKUP(Tabla1[[#This Row],[PAGO DIA]],DIAS!A:H,8,0)</f>
        <v>46265</v>
      </c>
      <c r="V921" s="6">
        <v>0</v>
      </c>
      <c r="W921" s="43">
        <f>VLOOKUP(Tabla1[[#This Row],[PAGO DIA]],DIAS!A:I,9,0)</f>
        <v>46295</v>
      </c>
      <c r="X921" s="6">
        <v>0</v>
      </c>
      <c r="Y921" s="43">
        <f>VLOOKUP(Tabla1[[#This Row],[PAGO DIA]],DIAS!A:J,10,0)</f>
        <v>46325</v>
      </c>
      <c r="Z921" s="6">
        <v>0</v>
      </c>
      <c r="AA921" s="43">
        <f>VLOOKUP(Tabla1[[#This Row],[PAGO DIA]],DIAS!A:K,11,0)</f>
        <v>46356</v>
      </c>
      <c r="AB921" s="6">
        <v>0</v>
      </c>
      <c r="AC921" s="43">
        <f>VLOOKUP(Tabla1[[#This Row],[PAGO DIA]],DIAS!A:M,12,0)</f>
        <v>46386</v>
      </c>
      <c r="AD9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2" spans="1:30">
      <c r="A922" s="3">
        <v>11285</v>
      </c>
      <c r="B922" s="3" t="s">
        <v>538</v>
      </c>
      <c r="C922" s="3" t="s">
        <v>539</v>
      </c>
      <c r="D922" s="3" t="s">
        <v>540</v>
      </c>
      <c r="E922" s="3" t="s">
        <v>798</v>
      </c>
      <c r="F922" s="42" t="s">
        <v>631</v>
      </c>
      <c r="G922" s="3"/>
      <c r="H922" s="6">
        <v>0</v>
      </c>
      <c r="I922" s="41">
        <f>VLOOKUP(Tabla1[[#This Row],[PAGO DIA]],DIAS!A:B,2,0)</f>
        <v>46080</v>
      </c>
      <c r="J922" s="6">
        <v>0</v>
      </c>
      <c r="K922" s="43">
        <f>VLOOKUP(Tabla1[[#This Row],[PAGO DIA]],DIAS!A:C,3,0)</f>
        <v>46112</v>
      </c>
      <c r="L922" s="6">
        <v>0</v>
      </c>
      <c r="M922" s="41">
        <f>VLOOKUP(Tabla1[[#This Row],[PAGO DIA]],DIAS!A:D,4,0)</f>
        <v>46142</v>
      </c>
      <c r="N922" s="6">
        <v>0</v>
      </c>
      <c r="O922" s="43">
        <f>VLOOKUP(Tabla1[[#This Row],[PAGO DIA]],DIAS!A:E,5,0)</f>
        <v>46171</v>
      </c>
      <c r="P922" s="6">
        <v>0</v>
      </c>
      <c r="Q922" s="43">
        <f>VLOOKUP(Tabla1[[#This Row],[PAGO DIA]],DIAS!A:F,6,0)</f>
        <v>46203</v>
      </c>
      <c r="R922" s="6">
        <v>0</v>
      </c>
      <c r="S922" s="43">
        <f>VLOOKUP(Tabla1[[#This Row],[PAGO DIA]],DIAS!A:G,7,0)</f>
        <v>46234</v>
      </c>
      <c r="T922" s="6">
        <v>0</v>
      </c>
      <c r="U922" s="43">
        <f>VLOOKUP(Tabla1[[#This Row],[PAGO DIA]],DIAS!A:H,8,0)</f>
        <v>46265</v>
      </c>
      <c r="V922" s="6">
        <v>0</v>
      </c>
      <c r="W922" s="43">
        <f>VLOOKUP(Tabla1[[#This Row],[PAGO DIA]],DIAS!A:I,9,0)</f>
        <v>46295</v>
      </c>
      <c r="X922" s="6">
        <v>0</v>
      </c>
      <c r="Y922" s="43">
        <f>VLOOKUP(Tabla1[[#This Row],[PAGO DIA]],DIAS!A:J,10,0)</f>
        <v>46325</v>
      </c>
      <c r="Z922" s="6">
        <v>0</v>
      </c>
      <c r="AA922" s="43">
        <f>VLOOKUP(Tabla1[[#This Row],[PAGO DIA]],DIAS!A:K,11,0)</f>
        <v>46356</v>
      </c>
      <c r="AB922" s="6">
        <v>0</v>
      </c>
      <c r="AC922" s="43">
        <f>VLOOKUP(Tabla1[[#This Row],[PAGO DIA]],DIAS!A:M,12,0)</f>
        <v>46386</v>
      </c>
      <c r="AD9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3" spans="1:30">
      <c r="A923" s="3">
        <v>11330</v>
      </c>
      <c r="B923" s="3" t="s">
        <v>538</v>
      </c>
      <c r="C923" s="3" t="s">
        <v>539</v>
      </c>
      <c r="D923" s="3" t="s">
        <v>540</v>
      </c>
      <c r="E923" s="3" t="s">
        <v>798</v>
      </c>
      <c r="F923" s="42" t="s">
        <v>631</v>
      </c>
      <c r="G923" s="3"/>
      <c r="H923" s="6">
        <v>0</v>
      </c>
      <c r="I923" s="41">
        <f>VLOOKUP(Tabla1[[#This Row],[PAGO DIA]],DIAS!A:B,2,0)</f>
        <v>46080</v>
      </c>
      <c r="J923" s="6">
        <v>0</v>
      </c>
      <c r="K923" s="43">
        <f>VLOOKUP(Tabla1[[#This Row],[PAGO DIA]],DIAS!A:C,3,0)</f>
        <v>46112</v>
      </c>
      <c r="L923" s="6">
        <v>0</v>
      </c>
      <c r="M923" s="41">
        <f>VLOOKUP(Tabla1[[#This Row],[PAGO DIA]],DIAS!A:D,4,0)</f>
        <v>46142</v>
      </c>
      <c r="N923" s="6">
        <v>0</v>
      </c>
      <c r="O923" s="43">
        <f>VLOOKUP(Tabla1[[#This Row],[PAGO DIA]],DIAS!A:E,5,0)</f>
        <v>46171</v>
      </c>
      <c r="P923" s="6">
        <v>0</v>
      </c>
      <c r="Q923" s="43">
        <f>VLOOKUP(Tabla1[[#This Row],[PAGO DIA]],DIAS!A:F,6,0)</f>
        <v>46203</v>
      </c>
      <c r="R923" s="6">
        <v>0</v>
      </c>
      <c r="S923" s="43">
        <f>VLOOKUP(Tabla1[[#This Row],[PAGO DIA]],DIAS!A:G,7,0)</f>
        <v>46234</v>
      </c>
      <c r="T923" s="6">
        <v>0</v>
      </c>
      <c r="U923" s="43">
        <f>VLOOKUP(Tabla1[[#This Row],[PAGO DIA]],DIAS!A:H,8,0)</f>
        <v>46265</v>
      </c>
      <c r="V923" s="6">
        <v>0</v>
      </c>
      <c r="W923" s="43">
        <f>VLOOKUP(Tabla1[[#This Row],[PAGO DIA]],DIAS!A:I,9,0)</f>
        <v>46295</v>
      </c>
      <c r="X923" s="6">
        <v>0</v>
      </c>
      <c r="Y923" s="43">
        <f>VLOOKUP(Tabla1[[#This Row],[PAGO DIA]],DIAS!A:J,10,0)</f>
        <v>46325</v>
      </c>
      <c r="Z923" s="6">
        <v>0</v>
      </c>
      <c r="AA923" s="43">
        <f>VLOOKUP(Tabla1[[#This Row],[PAGO DIA]],DIAS!A:K,11,0)</f>
        <v>46356</v>
      </c>
      <c r="AB923" s="6">
        <v>0</v>
      </c>
      <c r="AC923" s="43">
        <f>VLOOKUP(Tabla1[[#This Row],[PAGO DIA]],DIAS!A:M,12,0)</f>
        <v>46386</v>
      </c>
      <c r="AD9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4" spans="1:30">
      <c r="A924" s="3">
        <v>11264</v>
      </c>
      <c r="B924" s="3" t="s">
        <v>538</v>
      </c>
      <c r="C924" s="3" t="s">
        <v>539</v>
      </c>
      <c r="D924" s="3" t="s">
        <v>540</v>
      </c>
      <c r="E924" s="3" t="s">
        <v>1489</v>
      </c>
      <c r="F924" s="42" t="s">
        <v>631</v>
      </c>
      <c r="G924" s="3"/>
      <c r="H924" s="6">
        <v>0</v>
      </c>
      <c r="I924" s="41">
        <f>VLOOKUP(Tabla1[[#This Row],[PAGO DIA]],DIAS!A:B,2,0)</f>
        <v>46080</v>
      </c>
      <c r="J924" s="6">
        <v>0</v>
      </c>
      <c r="K924" s="43">
        <f>VLOOKUP(Tabla1[[#This Row],[PAGO DIA]],DIAS!A:C,3,0)</f>
        <v>46112</v>
      </c>
      <c r="L924" s="6">
        <v>0</v>
      </c>
      <c r="M924" s="41">
        <f>VLOOKUP(Tabla1[[#This Row],[PAGO DIA]],DIAS!A:D,4,0)</f>
        <v>46142</v>
      </c>
      <c r="N924" s="6">
        <v>0</v>
      </c>
      <c r="O924" s="43">
        <f>VLOOKUP(Tabla1[[#This Row],[PAGO DIA]],DIAS!A:E,5,0)</f>
        <v>46171</v>
      </c>
      <c r="P924" s="6">
        <v>0</v>
      </c>
      <c r="Q924" s="43">
        <f>VLOOKUP(Tabla1[[#This Row],[PAGO DIA]],DIAS!A:F,6,0)</f>
        <v>46203</v>
      </c>
      <c r="R924" s="6">
        <v>0</v>
      </c>
      <c r="S924" s="43">
        <f>VLOOKUP(Tabla1[[#This Row],[PAGO DIA]],DIAS!A:G,7,0)</f>
        <v>46234</v>
      </c>
      <c r="T924" s="6">
        <v>0</v>
      </c>
      <c r="U924" s="43">
        <f>VLOOKUP(Tabla1[[#This Row],[PAGO DIA]],DIAS!A:H,8,0)</f>
        <v>46265</v>
      </c>
      <c r="V924" s="6">
        <v>0</v>
      </c>
      <c r="W924" s="43">
        <f>VLOOKUP(Tabla1[[#This Row],[PAGO DIA]],DIAS!A:I,9,0)</f>
        <v>46295</v>
      </c>
      <c r="X924" s="6">
        <v>0</v>
      </c>
      <c r="Y924" s="43">
        <f>VLOOKUP(Tabla1[[#This Row],[PAGO DIA]],DIAS!A:J,10,0)</f>
        <v>46325</v>
      </c>
      <c r="Z924" s="6">
        <v>0</v>
      </c>
      <c r="AA924" s="43">
        <f>VLOOKUP(Tabla1[[#This Row],[PAGO DIA]],DIAS!A:K,11,0)</f>
        <v>46356</v>
      </c>
      <c r="AB924" s="6">
        <v>0</v>
      </c>
      <c r="AC924" s="43">
        <f>VLOOKUP(Tabla1[[#This Row],[PAGO DIA]],DIAS!A:M,12,0)</f>
        <v>46386</v>
      </c>
      <c r="AD9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5" spans="1:30">
      <c r="A925" s="3">
        <v>11429</v>
      </c>
      <c r="B925" s="3" t="s">
        <v>538</v>
      </c>
      <c r="C925" s="3" t="s">
        <v>539</v>
      </c>
      <c r="D925" s="3" t="s">
        <v>540</v>
      </c>
      <c r="E925" s="3" t="s">
        <v>1489</v>
      </c>
      <c r="F925" s="42" t="s">
        <v>631</v>
      </c>
      <c r="G925" s="3"/>
      <c r="H925" s="6">
        <v>0</v>
      </c>
      <c r="I925" s="41">
        <f>VLOOKUP(Tabla1[[#This Row],[PAGO DIA]],DIAS!A:B,2,0)</f>
        <v>46080</v>
      </c>
      <c r="J925" s="6">
        <v>0</v>
      </c>
      <c r="K925" s="43">
        <f>VLOOKUP(Tabla1[[#This Row],[PAGO DIA]],DIAS!A:C,3,0)</f>
        <v>46112</v>
      </c>
      <c r="L925" s="6">
        <v>0</v>
      </c>
      <c r="M925" s="41">
        <f>VLOOKUP(Tabla1[[#This Row],[PAGO DIA]],DIAS!A:D,4,0)</f>
        <v>46142</v>
      </c>
      <c r="N925" s="6">
        <v>0</v>
      </c>
      <c r="O925" s="43">
        <f>VLOOKUP(Tabla1[[#This Row],[PAGO DIA]],DIAS!A:E,5,0)</f>
        <v>46171</v>
      </c>
      <c r="P925" s="6">
        <v>0</v>
      </c>
      <c r="Q925" s="43">
        <f>VLOOKUP(Tabla1[[#This Row],[PAGO DIA]],DIAS!A:F,6,0)</f>
        <v>46203</v>
      </c>
      <c r="R925" s="6">
        <v>0</v>
      </c>
      <c r="S925" s="43">
        <f>VLOOKUP(Tabla1[[#This Row],[PAGO DIA]],DIAS!A:G,7,0)</f>
        <v>46234</v>
      </c>
      <c r="T925" s="6">
        <v>0</v>
      </c>
      <c r="U925" s="43">
        <f>VLOOKUP(Tabla1[[#This Row],[PAGO DIA]],DIAS!A:H,8,0)</f>
        <v>46265</v>
      </c>
      <c r="V925" s="6">
        <v>0</v>
      </c>
      <c r="W925" s="43">
        <f>VLOOKUP(Tabla1[[#This Row],[PAGO DIA]],DIAS!A:I,9,0)</f>
        <v>46295</v>
      </c>
      <c r="X925" s="6">
        <v>0</v>
      </c>
      <c r="Y925" s="43">
        <f>VLOOKUP(Tabla1[[#This Row],[PAGO DIA]],DIAS!A:J,10,0)</f>
        <v>46325</v>
      </c>
      <c r="Z925" s="6">
        <v>0</v>
      </c>
      <c r="AA925" s="43">
        <f>VLOOKUP(Tabla1[[#This Row],[PAGO DIA]],DIAS!A:K,11,0)</f>
        <v>46356</v>
      </c>
      <c r="AB925" s="6">
        <v>0</v>
      </c>
      <c r="AC925" s="43">
        <f>VLOOKUP(Tabla1[[#This Row],[PAGO DIA]],DIAS!A:M,12,0)</f>
        <v>46386</v>
      </c>
      <c r="AD9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6" spans="1:30">
      <c r="A926" s="3">
        <v>11042</v>
      </c>
      <c r="B926" s="3" t="s">
        <v>538</v>
      </c>
      <c r="C926" s="3" t="s">
        <v>539</v>
      </c>
      <c r="D926" s="3" t="s">
        <v>540</v>
      </c>
      <c r="E926" s="3" t="s">
        <v>1490</v>
      </c>
      <c r="F926" s="42" t="s">
        <v>631</v>
      </c>
      <c r="G926" s="3"/>
      <c r="H926" s="6">
        <v>0</v>
      </c>
      <c r="I926" s="41">
        <f>VLOOKUP(Tabla1[[#This Row],[PAGO DIA]],DIAS!A:B,2,0)</f>
        <v>46080</v>
      </c>
      <c r="J926" s="6">
        <v>0</v>
      </c>
      <c r="K926" s="43">
        <f>VLOOKUP(Tabla1[[#This Row],[PAGO DIA]],DIAS!A:C,3,0)</f>
        <v>46112</v>
      </c>
      <c r="L926" s="6">
        <v>0</v>
      </c>
      <c r="M926" s="41">
        <f>VLOOKUP(Tabla1[[#This Row],[PAGO DIA]],DIAS!A:D,4,0)</f>
        <v>46142</v>
      </c>
      <c r="N926" s="6">
        <v>0</v>
      </c>
      <c r="O926" s="43">
        <f>VLOOKUP(Tabla1[[#This Row],[PAGO DIA]],DIAS!A:E,5,0)</f>
        <v>46171</v>
      </c>
      <c r="P926" s="6">
        <v>0</v>
      </c>
      <c r="Q926" s="43">
        <f>VLOOKUP(Tabla1[[#This Row],[PAGO DIA]],DIAS!A:F,6,0)</f>
        <v>46203</v>
      </c>
      <c r="R926" s="6">
        <v>0</v>
      </c>
      <c r="S926" s="43">
        <f>VLOOKUP(Tabla1[[#This Row],[PAGO DIA]],DIAS!A:G,7,0)</f>
        <v>46234</v>
      </c>
      <c r="T926" s="6">
        <v>0</v>
      </c>
      <c r="U926" s="43">
        <f>VLOOKUP(Tabla1[[#This Row],[PAGO DIA]],DIAS!A:H,8,0)</f>
        <v>46265</v>
      </c>
      <c r="V926" s="6">
        <v>0</v>
      </c>
      <c r="W926" s="43">
        <f>VLOOKUP(Tabla1[[#This Row],[PAGO DIA]],DIAS!A:I,9,0)</f>
        <v>46295</v>
      </c>
      <c r="X926" s="6">
        <v>0</v>
      </c>
      <c r="Y926" s="43">
        <f>VLOOKUP(Tabla1[[#This Row],[PAGO DIA]],DIAS!A:J,10,0)</f>
        <v>46325</v>
      </c>
      <c r="Z926" s="6">
        <v>0</v>
      </c>
      <c r="AA926" s="43">
        <f>VLOOKUP(Tabla1[[#This Row],[PAGO DIA]],DIAS!A:K,11,0)</f>
        <v>46356</v>
      </c>
      <c r="AB926" s="6">
        <v>0</v>
      </c>
      <c r="AC926" s="43">
        <f>VLOOKUP(Tabla1[[#This Row],[PAGO DIA]],DIAS!A:M,12,0)</f>
        <v>46386</v>
      </c>
      <c r="AD9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7" spans="1:30">
      <c r="A927" s="3">
        <v>11283</v>
      </c>
      <c r="B927" s="3" t="s">
        <v>538</v>
      </c>
      <c r="C927" s="3" t="s">
        <v>539</v>
      </c>
      <c r="D927" s="3" t="s">
        <v>540</v>
      </c>
      <c r="E927" s="3" t="s">
        <v>1490</v>
      </c>
      <c r="F927" s="42" t="s">
        <v>631</v>
      </c>
      <c r="G927" s="3"/>
      <c r="H927" s="6">
        <v>0</v>
      </c>
      <c r="I927" s="41">
        <f>VLOOKUP(Tabla1[[#This Row],[PAGO DIA]],DIAS!A:B,2,0)</f>
        <v>46080</v>
      </c>
      <c r="J927" s="6">
        <v>0</v>
      </c>
      <c r="K927" s="43">
        <f>VLOOKUP(Tabla1[[#This Row],[PAGO DIA]],DIAS!A:C,3,0)</f>
        <v>46112</v>
      </c>
      <c r="L927" s="6">
        <v>0</v>
      </c>
      <c r="M927" s="41">
        <f>VLOOKUP(Tabla1[[#This Row],[PAGO DIA]],DIAS!A:D,4,0)</f>
        <v>46142</v>
      </c>
      <c r="N927" s="6">
        <v>0</v>
      </c>
      <c r="O927" s="43">
        <f>VLOOKUP(Tabla1[[#This Row],[PAGO DIA]],DIAS!A:E,5,0)</f>
        <v>46171</v>
      </c>
      <c r="P927" s="6">
        <v>0</v>
      </c>
      <c r="Q927" s="43">
        <f>VLOOKUP(Tabla1[[#This Row],[PAGO DIA]],DIAS!A:F,6,0)</f>
        <v>46203</v>
      </c>
      <c r="R927" s="6">
        <v>0</v>
      </c>
      <c r="S927" s="43">
        <f>VLOOKUP(Tabla1[[#This Row],[PAGO DIA]],DIAS!A:G,7,0)</f>
        <v>46234</v>
      </c>
      <c r="T927" s="6">
        <v>0</v>
      </c>
      <c r="U927" s="43">
        <f>VLOOKUP(Tabla1[[#This Row],[PAGO DIA]],DIAS!A:H,8,0)</f>
        <v>46265</v>
      </c>
      <c r="V927" s="6">
        <v>0</v>
      </c>
      <c r="W927" s="43">
        <f>VLOOKUP(Tabla1[[#This Row],[PAGO DIA]],DIAS!A:I,9,0)</f>
        <v>46295</v>
      </c>
      <c r="X927" s="6">
        <v>0</v>
      </c>
      <c r="Y927" s="43">
        <f>VLOOKUP(Tabla1[[#This Row],[PAGO DIA]],DIAS!A:J,10,0)</f>
        <v>46325</v>
      </c>
      <c r="Z927" s="6">
        <v>0</v>
      </c>
      <c r="AA927" s="43">
        <f>VLOOKUP(Tabla1[[#This Row],[PAGO DIA]],DIAS!A:K,11,0)</f>
        <v>46356</v>
      </c>
      <c r="AB927" s="6">
        <v>0</v>
      </c>
      <c r="AC927" s="43">
        <f>VLOOKUP(Tabla1[[#This Row],[PAGO DIA]],DIAS!A:M,12,0)</f>
        <v>46386</v>
      </c>
      <c r="AD9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8" spans="1:30">
      <c r="A928" s="3">
        <v>11046</v>
      </c>
      <c r="B928" s="3" t="s">
        <v>538</v>
      </c>
      <c r="C928" s="3" t="s">
        <v>539</v>
      </c>
      <c r="D928" s="3" t="s">
        <v>540</v>
      </c>
      <c r="E928" s="3" t="s">
        <v>1491</v>
      </c>
      <c r="F928" s="42" t="s">
        <v>631</v>
      </c>
      <c r="G928" s="3"/>
      <c r="H928" s="6">
        <v>0</v>
      </c>
      <c r="I928" s="41">
        <f>VLOOKUP(Tabla1[[#This Row],[PAGO DIA]],DIAS!A:B,2,0)</f>
        <v>46080</v>
      </c>
      <c r="J928" s="6">
        <v>0</v>
      </c>
      <c r="K928" s="43">
        <f>VLOOKUP(Tabla1[[#This Row],[PAGO DIA]],DIAS!A:C,3,0)</f>
        <v>46112</v>
      </c>
      <c r="L928" s="6">
        <v>0</v>
      </c>
      <c r="M928" s="41">
        <f>VLOOKUP(Tabla1[[#This Row],[PAGO DIA]],DIAS!A:D,4,0)</f>
        <v>46142</v>
      </c>
      <c r="N928" s="6">
        <v>0</v>
      </c>
      <c r="O928" s="43">
        <f>VLOOKUP(Tabla1[[#This Row],[PAGO DIA]],DIAS!A:E,5,0)</f>
        <v>46171</v>
      </c>
      <c r="P928" s="6">
        <v>0</v>
      </c>
      <c r="Q928" s="43">
        <f>VLOOKUP(Tabla1[[#This Row],[PAGO DIA]],DIAS!A:F,6,0)</f>
        <v>46203</v>
      </c>
      <c r="R928" s="6">
        <v>0</v>
      </c>
      <c r="S928" s="43">
        <f>VLOOKUP(Tabla1[[#This Row],[PAGO DIA]],DIAS!A:G,7,0)</f>
        <v>46234</v>
      </c>
      <c r="T928" s="6">
        <v>0</v>
      </c>
      <c r="U928" s="43">
        <f>VLOOKUP(Tabla1[[#This Row],[PAGO DIA]],DIAS!A:H,8,0)</f>
        <v>46265</v>
      </c>
      <c r="V928" s="6">
        <v>0</v>
      </c>
      <c r="W928" s="43">
        <f>VLOOKUP(Tabla1[[#This Row],[PAGO DIA]],DIAS!A:I,9,0)</f>
        <v>46295</v>
      </c>
      <c r="X928" s="6">
        <v>0</v>
      </c>
      <c r="Y928" s="43">
        <f>VLOOKUP(Tabla1[[#This Row],[PAGO DIA]],DIAS!A:J,10,0)</f>
        <v>46325</v>
      </c>
      <c r="Z928" s="6">
        <v>0</v>
      </c>
      <c r="AA928" s="43">
        <f>VLOOKUP(Tabla1[[#This Row],[PAGO DIA]],DIAS!A:K,11,0)</f>
        <v>46356</v>
      </c>
      <c r="AB928" s="6">
        <v>0</v>
      </c>
      <c r="AC928" s="43">
        <f>VLOOKUP(Tabla1[[#This Row],[PAGO DIA]],DIAS!A:M,12,0)</f>
        <v>46386</v>
      </c>
      <c r="AD9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29" spans="1:30">
      <c r="A929" s="3">
        <v>11288</v>
      </c>
      <c r="B929" s="3" t="s">
        <v>538</v>
      </c>
      <c r="C929" s="3" t="s">
        <v>539</v>
      </c>
      <c r="D929" s="3" t="s">
        <v>540</v>
      </c>
      <c r="E929" s="3" t="s">
        <v>1491</v>
      </c>
      <c r="F929" s="42" t="s">
        <v>631</v>
      </c>
      <c r="G929" s="3"/>
      <c r="H929" s="6">
        <v>0</v>
      </c>
      <c r="I929" s="41">
        <f>VLOOKUP(Tabla1[[#This Row],[PAGO DIA]],DIAS!A:B,2,0)</f>
        <v>46080</v>
      </c>
      <c r="J929" s="6">
        <v>0</v>
      </c>
      <c r="K929" s="43">
        <f>VLOOKUP(Tabla1[[#This Row],[PAGO DIA]],DIAS!A:C,3,0)</f>
        <v>46112</v>
      </c>
      <c r="L929" s="6">
        <v>0</v>
      </c>
      <c r="M929" s="41">
        <f>VLOOKUP(Tabla1[[#This Row],[PAGO DIA]],DIAS!A:D,4,0)</f>
        <v>46142</v>
      </c>
      <c r="N929" s="6">
        <v>0</v>
      </c>
      <c r="O929" s="43">
        <f>VLOOKUP(Tabla1[[#This Row],[PAGO DIA]],DIAS!A:E,5,0)</f>
        <v>46171</v>
      </c>
      <c r="P929" s="6">
        <v>0</v>
      </c>
      <c r="Q929" s="43">
        <f>VLOOKUP(Tabla1[[#This Row],[PAGO DIA]],DIAS!A:F,6,0)</f>
        <v>46203</v>
      </c>
      <c r="R929" s="6">
        <v>0</v>
      </c>
      <c r="S929" s="43">
        <f>VLOOKUP(Tabla1[[#This Row],[PAGO DIA]],DIAS!A:G,7,0)</f>
        <v>46234</v>
      </c>
      <c r="T929" s="6">
        <v>0</v>
      </c>
      <c r="U929" s="43">
        <f>VLOOKUP(Tabla1[[#This Row],[PAGO DIA]],DIAS!A:H,8,0)</f>
        <v>46265</v>
      </c>
      <c r="V929" s="6">
        <v>0</v>
      </c>
      <c r="W929" s="43">
        <f>VLOOKUP(Tabla1[[#This Row],[PAGO DIA]],DIAS!A:I,9,0)</f>
        <v>46295</v>
      </c>
      <c r="X929" s="6">
        <v>0</v>
      </c>
      <c r="Y929" s="43">
        <f>VLOOKUP(Tabla1[[#This Row],[PAGO DIA]],DIAS!A:J,10,0)</f>
        <v>46325</v>
      </c>
      <c r="Z929" s="6">
        <v>0</v>
      </c>
      <c r="AA929" s="43">
        <f>VLOOKUP(Tabla1[[#This Row],[PAGO DIA]],DIAS!A:K,11,0)</f>
        <v>46356</v>
      </c>
      <c r="AB929" s="6">
        <v>0</v>
      </c>
      <c r="AC929" s="43">
        <f>VLOOKUP(Tabla1[[#This Row],[PAGO DIA]],DIAS!A:M,12,0)</f>
        <v>46386</v>
      </c>
      <c r="AD9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0" spans="1:30">
      <c r="A930" s="3">
        <v>11360</v>
      </c>
      <c r="B930" s="3" t="s">
        <v>538</v>
      </c>
      <c r="C930" s="3" t="s">
        <v>539</v>
      </c>
      <c r="D930" s="3" t="s">
        <v>540</v>
      </c>
      <c r="E930" s="3" t="s">
        <v>1491</v>
      </c>
      <c r="F930" s="42" t="s">
        <v>631</v>
      </c>
      <c r="G930" s="3"/>
      <c r="H930" s="6">
        <v>0</v>
      </c>
      <c r="I930" s="41">
        <f>VLOOKUP(Tabla1[[#This Row],[PAGO DIA]],DIAS!A:B,2,0)</f>
        <v>46080</v>
      </c>
      <c r="J930" s="6">
        <v>0</v>
      </c>
      <c r="K930" s="43">
        <f>VLOOKUP(Tabla1[[#This Row],[PAGO DIA]],DIAS!A:C,3,0)</f>
        <v>46112</v>
      </c>
      <c r="L930" s="6">
        <v>0</v>
      </c>
      <c r="M930" s="41">
        <f>VLOOKUP(Tabla1[[#This Row],[PAGO DIA]],DIAS!A:D,4,0)</f>
        <v>46142</v>
      </c>
      <c r="N930" s="6">
        <v>0</v>
      </c>
      <c r="O930" s="43">
        <f>VLOOKUP(Tabla1[[#This Row],[PAGO DIA]],DIAS!A:E,5,0)</f>
        <v>46171</v>
      </c>
      <c r="P930" s="6">
        <v>0</v>
      </c>
      <c r="Q930" s="43">
        <f>VLOOKUP(Tabla1[[#This Row],[PAGO DIA]],DIAS!A:F,6,0)</f>
        <v>46203</v>
      </c>
      <c r="R930" s="6">
        <v>0</v>
      </c>
      <c r="S930" s="43">
        <f>VLOOKUP(Tabla1[[#This Row],[PAGO DIA]],DIAS!A:G,7,0)</f>
        <v>46234</v>
      </c>
      <c r="T930" s="6">
        <v>0</v>
      </c>
      <c r="U930" s="43">
        <f>VLOOKUP(Tabla1[[#This Row],[PAGO DIA]],DIAS!A:H,8,0)</f>
        <v>46265</v>
      </c>
      <c r="V930" s="6">
        <v>0</v>
      </c>
      <c r="W930" s="43">
        <f>VLOOKUP(Tabla1[[#This Row],[PAGO DIA]],DIAS!A:I,9,0)</f>
        <v>46295</v>
      </c>
      <c r="X930" s="6">
        <v>0</v>
      </c>
      <c r="Y930" s="43">
        <f>VLOOKUP(Tabla1[[#This Row],[PAGO DIA]],DIAS!A:J,10,0)</f>
        <v>46325</v>
      </c>
      <c r="Z930" s="6">
        <v>0</v>
      </c>
      <c r="AA930" s="43">
        <f>VLOOKUP(Tabla1[[#This Row],[PAGO DIA]],DIAS!A:K,11,0)</f>
        <v>46356</v>
      </c>
      <c r="AB930" s="6">
        <v>0</v>
      </c>
      <c r="AC930" s="43">
        <f>VLOOKUP(Tabla1[[#This Row],[PAGO DIA]],DIAS!A:M,12,0)</f>
        <v>46386</v>
      </c>
      <c r="AD9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1" spans="1:30">
      <c r="A931" s="3">
        <v>11015</v>
      </c>
      <c r="B931" s="3" t="s">
        <v>538</v>
      </c>
      <c r="C931" s="3" t="s">
        <v>539</v>
      </c>
      <c r="D931" s="3" t="s">
        <v>540</v>
      </c>
      <c r="E931" s="3" t="s">
        <v>954</v>
      </c>
      <c r="F931" s="42" t="s">
        <v>631</v>
      </c>
      <c r="G931" s="3"/>
      <c r="H931" s="6">
        <v>0</v>
      </c>
      <c r="I931" s="41">
        <f>VLOOKUP(Tabla1[[#This Row],[PAGO DIA]],DIAS!A:B,2,0)</f>
        <v>46080</v>
      </c>
      <c r="J931" s="6">
        <v>0</v>
      </c>
      <c r="K931" s="43">
        <f>VLOOKUP(Tabla1[[#This Row],[PAGO DIA]],DIAS!A:C,3,0)</f>
        <v>46112</v>
      </c>
      <c r="L931" s="6">
        <v>0</v>
      </c>
      <c r="M931" s="41">
        <f>VLOOKUP(Tabla1[[#This Row],[PAGO DIA]],DIAS!A:D,4,0)</f>
        <v>46142</v>
      </c>
      <c r="N931" s="6">
        <v>0</v>
      </c>
      <c r="O931" s="43">
        <f>VLOOKUP(Tabla1[[#This Row],[PAGO DIA]],DIAS!A:E,5,0)</f>
        <v>46171</v>
      </c>
      <c r="P931" s="6">
        <v>0</v>
      </c>
      <c r="Q931" s="43">
        <f>VLOOKUP(Tabla1[[#This Row],[PAGO DIA]],DIAS!A:F,6,0)</f>
        <v>46203</v>
      </c>
      <c r="R931" s="6">
        <v>0</v>
      </c>
      <c r="S931" s="43">
        <f>VLOOKUP(Tabla1[[#This Row],[PAGO DIA]],DIAS!A:G,7,0)</f>
        <v>46234</v>
      </c>
      <c r="T931" s="6">
        <v>0</v>
      </c>
      <c r="U931" s="43">
        <f>VLOOKUP(Tabla1[[#This Row],[PAGO DIA]],DIAS!A:H,8,0)</f>
        <v>46265</v>
      </c>
      <c r="V931" s="6">
        <v>0</v>
      </c>
      <c r="W931" s="43">
        <f>VLOOKUP(Tabla1[[#This Row],[PAGO DIA]],DIAS!A:I,9,0)</f>
        <v>46295</v>
      </c>
      <c r="X931" s="6">
        <v>0</v>
      </c>
      <c r="Y931" s="43">
        <f>VLOOKUP(Tabla1[[#This Row],[PAGO DIA]],DIAS!A:J,10,0)</f>
        <v>46325</v>
      </c>
      <c r="Z931" s="6">
        <v>0</v>
      </c>
      <c r="AA931" s="43">
        <f>VLOOKUP(Tabla1[[#This Row],[PAGO DIA]],DIAS!A:K,11,0)</f>
        <v>46356</v>
      </c>
      <c r="AB931" s="6">
        <v>0</v>
      </c>
      <c r="AC931" s="43">
        <f>VLOOKUP(Tabla1[[#This Row],[PAGO DIA]],DIAS!A:M,12,0)</f>
        <v>46386</v>
      </c>
      <c r="AD9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2" spans="1:30">
      <c r="A932" s="3">
        <v>11241</v>
      </c>
      <c r="B932" s="3" t="s">
        <v>538</v>
      </c>
      <c r="C932" s="3" t="s">
        <v>539</v>
      </c>
      <c r="D932" s="3" t="s">
        <v>540</v>
      </c>
      <c r="E932" s="3" t="s">
        <v>954</v>
      </c>
      <c r="F932" s="42" t="s">
        <v>631</v>
      </c>
      <c r="G932" s="3"/>
      <c r="H932" s="6">
        <v>0</v>
      </c>
      <c r="I932" s="41">
        <f>VLOOKUP(Tabla1[[#This Row],[PAGO DIA]],DIAS!A:B,2,0)</f>
        <v>46080</v>
      </c>
      <c r="J932" s="6">
        <v>0</v>
      </c>
      <c r="K932" s="43">
        <f>VLOOKUP(Tabla1[[#This Row],[PAGO DIA]],DIAS!A:C,3,0)</f>
        <v>46112</v>
      </c>
      <c r="L932" s="6">
        <v>0</v>
      </c>
      <c r="M932" s="41">
        <f>VLOOKUP(Tabla1[[#This Row],[PAGO DIA]],DIAS!A:D,4,0)</f>
        <v>46142</v>
      </c>
      <c r="N932" s="6">
        <v>0</v>
      </c>
      <c r="O932" s="43">
        <f>VLOOKUP(Tabla1[[#This Row],[PAGO DIA]],DIAS!A:E,5,0)</f>
        <v>46171</v>
      </c>
      <c r="P932" s="6">
        <v>0</v>
      </c>
      <c r="Q932" s="43">
        <f>VLOOKUP(Tabla1[[#This Row],[PAGO DIA]],DIAS!A:F,6,0)</f>
        <v>46203</v>
      </c>
      <c r="R932" s="6">
        <v>0</v>
      </c>
      <c r="S932" s="43">
        <f>VLOOKUP(Tabla1[[#This Row],[PAGO DIA]],DIAS!A:G,7,0)</f>
        <v>46234</v>
      </c>
      <c r="T932" s="6">
        <v>0</v>
      </c>
      <c r="U932" s="43">
        <f>VLOOKUP(Tabla1[[#This Row],[PAGO DIA]],DIAS!A:H,8,0)</f>
        <v>46265</v>
      </c>
      <c r="V932" s="6">
        <v>0</v>
      </c>
      <c r="W932" s="43">
        <f>VLOOKUP(Tabla1[[#This Row],[PAGO DIA]],DIAS!A:I,9,0)</f>
        <v>46295</v>
      </c>
      <c r="X932" s="6">
        <v>0</v>
      </c>
      <c r="Y932" s="43">
        <f>VLOOKUP(Tabla1[[#This Row],[PAGO DIA]],DIAS!A:J,10,0)</f>
        <v>46325</v>
      </c>
      <c r="Z932" s="6">
        <v>0</v>
      </c>
      <c r="AA932" s="43">
        <f>VLOOKUP(Tabla1[[#This Row],[PAGO DIA]],DIAS!A:K,11,0)</f>
        <v>46356</v>
      </c>
      <c r="AB932" s="6">
        <v>0</v>
      </c>
      <c r="AC932" s="43">
        <f>VLOOKUP(Tabla1[[#This Row],[PAGO DIA]],DIAS!A:M,12,0)</f>
        <v>46386</v>
      </c>
      <c r="AD9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3" spans="1:30">
      <c r="A933" s="3">
        <v>12598</v>
      </c>
      <c r="B933" s="3" t="s">
        <v>538</v>
      </c>
      <c r="C933" s="3" t="s">
        <v>539</v>
      </c>
      <c r="D933" s="3" t="s">
        <v>1492</v>
      </c>
      <c r="E933" s="3" t="s">
        <v>1056</v>
      </c>
      <c r="F933" s="42" t="s">
        <v>631</v>
      </c>
      <c r="G933" s="3" t="s">
        <v>1493</v>
      </c>
      <c r="H933" s="6">
        <v>0</v>
      </c>
      <c r="I933" s="41">
        <f>VLOOKUP(Tabla1[[#This Row],[PAGO DIA]],DIAS!A:B,2,0)</f>
        <v>46080</v>
      </c>
      <c r="J933" s="6">
        <v>0</v>
      </c>
      <c r="K933" s="43">
        <f>VLOOKUP(Tabla1[[#This Row],[PAGO DIA]],DIAS!A:C,3,0)</f>
        <v>46112</v>
      </c>
      <c r="L933" s="6">
        <v>0</v>
      </c>
      <c r="M933" s="41">
        <f>VLOOKUP(Tabla1[[#This Row],[PAGO DIA]],DIAS!A:D,4,0)</f>
        <v>46142</v>
      </c>
      <c r="N933" s="6">
        <v>0</v>
      </c>
      <c r="O933" s="43">
        <f>VLOOKUP(Tabla1[[#This Row],[PAGO DIA]],DIAS!A:E,5,0)</f>
        <v>46171</v>
      </c>
      <c r="P933" s="6">
        <v>0</v>
      </c>
      <c r="Q933" s="43">
        <f>VLOOKUP(Tabla1[[#This Row],[PAGO DIA]],DIAS!A:F,6,0)</f>
        <v>46203</v>
      </c>
      <c r="R933" s="6">
        <v>0</v>
      </c>
      <c r="S933" s="43">
        <f>VLOOKUP(Tabla1[[#This Row],[PAGO DIA]],DIAS!A:G,7,0)</f>
        <v>46234</v>
      </c>
      <c r="T933" s="6">
        <v>0</v>
      </c>
      <c r="U933" s="43">
        <f>VLOOKUP(Tabla1[[#This Row],[PAGO DIA]],DIAS!A:H,8,0)</f>
        <v>46265</v>
      </c>
      <c r="V933" s="6">
        <v>0</v>
      </c>
      <c r="W933" s="43">
        <f>VLOOKUP(Tabla1[[#This Row],[PAGO DIA]],DIAS!A:I,9,0)</f>
        <v>46295</v>
      </c>
      <c r="X933" s="6">
        <v>0</v>
      </c>
      <c r="Y933" s="43">
        <f>VLOOKUP(Tabla1[[#This Row],[PAGO DIA]],DIAS!A:J,10,0)</f>
        <v>46325</v>
      </c>
      <c r="Z933" s="6">
        <v>0</v>
      </c>
      <c r="AA933" s="43">
        <f>VLOOKUP(Tabla1[[#This Row],[PAGO DIA]],DIAS!A:K,11,0)</f>
        <v>46356</v>
      </c>
      <c r="AB933" s="6">
        <v>0</v>
      </c>
      <c r="AC933" s="43">
        <f>VLOOKUP(Tabla1[[#This Row],[PAGO DIA]],DIAS!A:M,12,0)</f>
        <v>46386</v>
      </c>
      <c r="AD9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4" spans="1:30">
      <c r="A934" s="3">
        <v>11158</v>
      </c>
      <c r="B934" s="3" t="s">
        <v>538</v>
      </c>
      <c r="C934" s="3" t="s">
        <v>539</v>
      </c>
      <c r="D934" s="3" t="s">
        <v>540</v>
      </c>
      <c r="E934" s="3" t="s">
        <v>1059</v>
      </c>
      <c r="F934" s="42" t="s">
        <v>631</v>
      </c>
      <c r="G934" s="3"/>
      <c r="H934" s="6">
        <v>0</v>
      </c>
      <c r="I934" s="41">
        <f>VLOOKUP(Tabla1[[#This Row],[PAGO DIA]],DIAS!A:B,2,0)</f>
        <v>46080</v>
      </c>
      <c r="J934" s="6">
        <v>0</v>
      </c>
      <c r="K934" s="43">
        <f>VLOOKUP(Tabla1[[#This Row],[PAGO DIA]],DIAS!A:C,3,0)</f>
        <v>46112</v>
      </c>
      <c r="L934" s="6">
        <v>0</v>
      </c>
      <c r="M934" s="41">
        <f>VLOOKUP(Tabla1[[#This Row],[PAGO DIA]],DIAS!A:D,4,0)</f>
        <v>46142</v>
      </c>
      <c r="N934" s="6">
        <v>0</v>
      </c>
      <c r="O934" s="43">
        <f>VLOOKUP(Tabla1[[#This Row],[PAGO DIA]],DIAS!A:E,5,0)</f>
        <v>46171</v>
      </c>
      <c r="P934" s="6">
        <v>0</v>
      </c>
      <c r="Q934" s="43">
        <f>VLOOKUP(Tabla1[[#This Row],[PAGO DIA]],DIAS!A:F,6,0)</f>
        <v>46203</v>
      </c>
      <c r="R934" s="6">
        <v>0</v>
      </c>
      <c r="S934" s="43">
        <f>VLOOKUP(Tabla1[[#This Row],[PAGO DIA]],DIAS!A:G,7,0)</f>
        <v>46234</v>
      </c>
      <c r="T934" s="6">
        <v>0</v>
      </c>
      <c r="U934" s="43">
        <f>VLOOKUP(Tabla1[[#This Row],[PAGO DIA]],DIAS!A:H,8,0)</f>
        <v>46265</v>
      </c>
      <c r="V934" s="6">
        <v>0</v>
      </c>
      <c r="W934" s="43">
        <f>VLOOKUP(Tabla1[[#This Row],[PAGO DIA]],DIAS!A:I,9,0)</f>
        <v>46295</v>
      </c>
      <c r="X934" s="6">
        <v>0</v>
      </c>
      <c r="Y934" s="43">
        <f>VLOOKUP(Tabla1[[#This Row],[PAGO DIA]],DIAS!A:J,10,0)</f>
        <v>46325</v>
      </c>
      <c r="Z934" s="6">
        <v>0</v>
      </c>
      <c r="AA934" s="43">
        <f>VLOOKUP(Tabla1[[#This Row],[PAGO DIA]],DIAS!A:K,11,0)</f>
        <v>46356</v>
      </c>
      <c r="AB934" s="6">
        <v>0</v>
      </c>
      <c r="AC934" s="43">
        <f>VLOOKUP(Tabla1[[#This Row],[PAGO DIA]],DIAS!A:M,12,0)</f>
        <v>46386</v>
      </c>
      <c r="AD9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5" spans="1:30">
      <c r="A935" s="3">
        <v>12516</v>
      </c>
      <c r="B935" s="3" t="s">
        <v>538</v>
      </c>
      <c r="C935" s="3" t="s">
        <v>539</v>
      </c>
      <c r="D935" s="3" t="s">
        <v>540</v>
      </c>
      <c r="E935" s="3" t="s">
        <v>1494</v>
      </c>
      <c r="F935" s="42" t="s">
        <v>631</v>
      </c>
      <c r="G935" s="3" t="s">
        <v>1495</v>
      </c>
      <c r="H935" s="6">
        <v>0</v>
      </c>
      <c r="I935" s="41">
        <f>VLOOKUP(Tabla1[[#This Row],[PAGO DIA]],DIAS!A:B,2,0)</f>
        <v>46080</v>
      </c>
      <c r="J935" s="6">
        <v>0</v>
      </c>
      <c r="K935" s="43">
        <f>VLOOKUP(Tabla1[[#This Row],[PAGO DIA]],DIAS!A:C,3,0)</f>
        <v>46112</v>
      </c>
      <c r="L935" s="6">
        <v>0</v>
      </c>
      <c r="M935" s="41">
        <f>VLOOKUP(Tabla1[[#This Row],[PAGO DIA]],DIAS!A:D,4,0)</f>
        <v>46142</v>
      </c>
      <c r="N935" s="6">
        <v>0</v>
      </c>
      <c r="O935" s="43">
        <f>VLOOKUP(Tabla1[[#This Row],[PAGO DIA]],DIAS!A:E,5,0)</f>
        <v>46171</v>
      </c>
      <c r="P935" s="6">
        <v>0</v>
      </c>
      <c r="Q935" s="43">
        <f>VLOOKUP(Tabla1[[#This Row],[PAGO DIA]],DIAS!A:F,6,0)</f>
        <v>46203</v>
      </c>
      <c r="R935" s="6">
        <v>0</v>
      </c>
      <c r="S935" s="43">
        <f>VLOOKUP(Tabla1[[#This Row],[PAGO DIA]],DIAS!A:G,7,0)</f>
        <v>46234</v>
      </c>
      <c r="T935" s="6">
        <v>0</v>
      </c>
      <c r="U935" s="43">
        <f>VLOOKUP(Tabla1[[#This Row],[PAGO DIA]],DIAS!A:H,8,0)</f>
        <v>46265</v>
      </c>
      <c r="V935" s="6">
        <v>0</v>
      </c>
      <c r="W935" s="43">
        <f>VLOOKUP(Tabla1[[#This Row],[PAGO DIA]],DIAS!A:I,9,0)</f>
        <v>46295</v>
      </c>
      <c r="X935" s="6">
        <v>0</v>
      </c>
      <c r="Y935" s="43">
        <f>VLOOKUP(Tabla1[[#This Row],[PAGO DIA]],DIAS!A:J,10,0)</f>
        <v>46325</v>
      </c>
      <c r="Z935" s="6">
        <v>0</v>
      </c>
      <c r="AA935" s="43">
        <f>VLOOKUP(Tabla1[[#This Row],[PAGO DIA]],DIAS!A:K,11,0)</f>
        <v>46356</v>
      </c>
      <c r="AB935" s="6">
        <v>0</v>
      </c>
      <c r="AC935" s="43">
        <f>VLOOKUP(Tabla1[[#This Row],[PAGO DIA]],DIAS!A:M,12,0)</f>
        <v>46386</v>
      </c>
      <c r="AD9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6" spans="1:30">
      <c r="A936" s="3">
        <v>12640</v>
      </c>
      <c r="B936" s="3" t="s">
        <v>538</v>
      </c>
      <c r="C936" s="3" t="s">
        <v>539</v>
      </c>
      <c r="D936" s="3" t="s">
        <v>540</v>
      </c>
      <c r="E936" s="3" t="s">
        <v>1494</v>
      </c>
      <c r="F936" s="42" t="s">
        <v>631</v>
      </c>
      <c r="G936" s="3" t="s">
        <v>1496</v>
      </c>
      <c r="H936" s="6">
        <v>0</v>
      </c>
      <c r="I936" s="41">
        <f>VLOOKUP(Tabla1[[#This Row],[PAGO DIA]],DIAS!A:B,2,0)</f>
        <v>46080</v>
      </c>
      <c r="J936" s="6">
        <v>0</v>
      </c>
      <c r="K936" s="43">
        <f>VLOOKUP(Tabla1[[#This Row],[PAGO DIA]],DIAS!A:C,3,0)</f>
        <v>46112</v>
      </c>
      <c r="L936" s="6">
        <v>0</v>
      </c>
      <c r="M936" s="41">
        <f>VLOOKUP(Tabla1[[#This Row],[PAGO DIA]],DIAS!A:D,4,0)</f>
        <v>46142</v>
      </c>
      <c r="N936" s="6">
        <v>0</v>
      </c>
      <c r="O936" s="43">
        <f>VLOOKUP(Tabla1[[#This Row],[PAGO DIA]],DIAS!A:E,5,0)</f>
        <v>46171</v>
      </c>
      <c r="P936" s="6">
        <v>0</v>
      </c>
      <c r="Q936" s="43">
        <f>VLOOKUP(Tabla1[[#This Row],[PAGO DIA]],DIAS!A:F,6,0)</f>
        <v>46203</v>
      </c>
      <c r="R936" s="6">
        <v>0</v>
      </c>
      <c r="S936" s="43">
        <f>VLOOKUP(Tabla1[[#This Row],[PAGO DIA]],DIAS!A:G,7,0)</f>
        <v>46234</v>
      </c>
      <c r="T936" s="6">
        <v>0</v>
      </c>
      <c r="U936" s="43">
        <f>VLOOKUP(Tabla1[[#This Row],[PAGO DIA]],DIAS!A:H,8,0)</f>
        <v>46265</v>
      </c>
      <c r="V936" s="6">
        <v>0</v>
      </c>
      <c r="W936" s="43">
        <f>VLOOKUP(Tabla1[[#This Row],[PAGO DIA]],DIAS!A:I,9,0)</f>
        <v>46295</v>
      </c>
      <c r="X936" s="6">
        <v>0</v>
      </c>
      <c r="Y936" s="43">
        <f>VLOOKUP(Tabla1[[#This Row],[PAGO DIA]],DIAS!A:J,10,0)</f>
        <v>46325</v>
      </c>
      <c r="Z936" s="6">
        <v>0</v>
      </c>
      <c r="AA936" s="43">
        <f>VLOOKUP(Tabla1[[#This Row],[PAGO DIA]],DIAS!A:K,11,0)</f>
        <v>46356</v>
      </c>
      <c r="AB936" s="6">
        <v>0</v>
      </c>
      <c r="AC936" s="43">
        <f>VLOOKUP(Tabla1[[#This Row],[PAGO DIA]],DIAS!A:M,12,0)</f>
        <v>46386</v>
      </c>
      <c r="AD9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7" spans="1:30">
      <c r="A937" s="3">
        <v>12641</v>
      </c>
      <c r="B937" s="3" t="s">
        <v>538</v>
      </c>
      <c r="C937" s="3" t="s">
        <v>539</v>
      </c>
      <c r="D937" s="3" t="s">
        <v>540</v>
      </c>
      <c r="E937" s="3" t="s">
        <v>1494</v>
      </c>
      <c r="F937" s="42" t="s">
        <v>631</v>
      </c>
      <c r="G937" s="3" t="s">
        <v>1497</v>
      </c>
      <c r="H937" s="6">
        <v>0</v>
      </c>
      <c r="I937" s="41">
        <f>VLOOKUP(Tabla1[[#This Row],[PAGO DIA]],DIAS!A:B,2,0)</f>
        <v>46080</v>
      </c>
      <c r="J937" s="6">
        <v>0</v>
      </c>
      <c r="K937" s="43">
        <f>VLOOKUP(Tabla1[[#This Row],[PAGO DIA]],DIAS!A:C,3,0)</f>
        <v>46112</v>
      </c>
      <c r="L937" s="6">
        <v>0</v>
      </c>
      <c r="M937" s="41">
        <f>VLOOKUP(Tabla1[[#This Row],[PAGO DIA]],DIAS!A:D,4,0)</f>
        <v>46142</v>
      </c>
      <c r="N937" s="6">
        <v>0</v>
      </c>
      <c r="O937" s="43">
        <f>VLOOKUP(Tabla1[[#This Row],[PAGO DIA]],DIAS!A:E,5,0)</f>
        <v>46171</v>
      </c>
      <c r="P937" s="6">
        <v>0</v>
      </c>
      <c r="Q937" s="43">
        <f>VLOOKUP(Tabla1[[#This Row],[PAGO DIA]],DIAS!A:F,6,0)</f>
        <v>46203</v>
      </c>
      <c r="R937" s="6">
        <v>0</v>
      </c>
      <c r="S937" s="43">
        <f>VLOOKUP(Tabla1[[#This Row],[PAGO DIA]],DIAS!A:G,7,0)</f>
        <v>46234</v>
      </c>
      <c r="T937" s="6">
        <v>0</v>
      </c>
      <c r="U937" s="43">
        <f>VLOOKUP(Tabla1[[#This Row],[PAGO DIA]],DIAS!A:H,8,0)</f>
        <v>46265</v>
      </c>
      <c r="V937" s="6">
        <v>0</v>
      </c>
      <c r="W937" s="43">
        <f>VLOOKUP(Tabla1[[#This Row],[PAGO DIA]],DIAS!A:I,9,0)</f>
        <v>46295</v>
      </c>
      <c r="X937" s="6">
        <v>0</v>
      </c>
      <c r="Y937" s="43">
        <f>VLOOKUP(Tabla1[[#This Row],[PAGO DIA]],DIAS!A:J,10,0)</f>
        <v>46325</v>
      </c>
      <c r="Z937" s="6">
        <v>0</v>
      </c>
      <c r="AA937" s="43">
        <f>VLOOKUP(Tabla1[[#This Row],[PAGO DIA]],DIAS!A:K,11,0)</f>
        <v>46356</v>
      </c>
      <c r="AB937" s="6">
        <v>0</v>
      </c>
      <c r="AC937" s="43">
        <f>VLOOKUP(Tabla1[[#This Row],[PAGO DIA]],DIAS!A:M,12,0)</f>
        <v>46386</v>
      </c>
      <c r="AD9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8" spans="1:30">
      <c r="A938" s="3">
        <v>12656</v>
      </c>
      <c r="B938" s="3" t="s">
        <v>538</v>
      </c>
      <c r="C938" s="3" t="s">
        <v>539</v>
      </c>
      <c r="D938" s="3" t="s">
        <v>540</v>
      </c>
      <c r="E938" s="3" t="s">
        <v>1494</v>
      </c>
      <c r="F938" s="42" t="s">
        <v>631</v>
      </c>
      <c r="G938" s="3" t="s">
        <v>1498</v>
      </c>
      <c r="H938" s="6">
        <v>0</v>
      </c>
      <c r="I938" s="41">
        <f>VLOOKUP(Tabla1[[#This Row],[PAGO DIA]],DIAS!A:B,2,0)</f>
        <v>46080</v>
      </c>
      <c r="J938" s="6">
        <v>0</v>
      </c>
      <c r="K938" s="43">
        <f>VLOOKUP(Tabla1[[#This Row],[PAGO DIA]],DIAS!A:C,3,0)</f>
        <v>46112</v>
      </c>
      <c r="L938" s="6">
        <v>0</v>
      </c>
      <c r="M938" s="41">
        <f>VLOOKUP(Tabla1[[#This Row],[PAGO DIA]],DIAS!A:D,4,0)</f>
        <v>46142</v>
      </c>
      <c r="N938" s="6">
        <v>0</v>
      </c>
      <c r="O938" s="43">
        <f>VLOOKUP(Tabla1[[#This Row],[PAGO DIA]],DIAS!A:E,5,0)</f>
        <v>46171</v>
      </c>
      <c r="P938" s="6">
        <v>0</v>
      </c>
      <c r="Q938" s="43">
        <f>VLOOKUP(Tabla1[[#This Row],[PAGO DIA]],DIAS!A:F,6,0)</f>
        <v>46203</v>
      </c>
      <c r="R938" s="6">
        <v>0</v>
      </c>
      <c r="S938" s="43">
        <f>VLOOKUP(Tabla1[[#This Row],[PAGO DIA]],DIAS!A:G,7,0)</f>
        <v>46234</v>
      </c>
      <c r="T938" s="6">
        <v>0</v>
      </c>
      <c r="U938" s="43">
        <f>VLOOKUP(Tabla1[[#This Row],[PAGO DIA]],DIAS!A:H,8,0)</f>
        <v>46265</v>
      </c>
      <c r="V938" s="6">
        <v>0</v>
      </c>
      <c r="W938" s="43">
        <f>VLOOKUP(Tabla1[[#This Row],[PAGO DIA]],DIAS!A:I,9,0)</f>
        <v>46295</v>
      </c>
      <c r="X938" s="6">
        <v>0</v>
      </c>
      <c r="Y938" s="43">
        <f>VLOOKUP(Tabla1[[#This Row],[PAGO DIA]],DIAS!A:J,10,0)</f>
        <v>46325</v>
      </c>
      <c r="Z938" s="6">
        <v>0</v>
      </c>
      <c r="AA938" s="43">
        <f>VLOOKUP(Tabla1[[#This Row],[PAGO DIA]],DIAS!A:K,11,0)</f>
        <v>46356</v>
      </c>
      <c r="AB938" s="6">
        <v>0</v>
      </c>
      <c r="AC938" s="43">
        <f>VLOOKUP(Tabla1[[#This Row],[PAGO DIA]],DIAS!A:M,12,0)</f>
        <v>46386</v>
      </c>
      <c r="AD9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39" spans="1:30">
      <c r="A939" s="3">
        <v>12657</v>
      </c>
      <c r="B939" s="3" t="s">
        <v>538</v>
      </c>
      <c r="C939" s="3" t="s">
        <v>539</v>
      </c>
      <c r="D939" s="3" t="s">
        <v>540</v>
      </c>
      <c r="E939" s="3" t="s">
        <v>1494</v>
      </c>
      <c r="F939" s="42" t="s">
        <v>631</v>
      </c>
      <c r="G939" s="3" t="s">
        <v>1499</v>
      </c>
      <c r="H939" s="6">
        <v>0</v>
      </c>
      <c r="I939" s="41">
        <f>VLOOKUP(Tabla1[[#This Row],[PAGO DIA]],DIAS!A:B,2,0)</f>
        <v>46080</v>
      </c>
      <c r="J939" s="6">
        <v>0</v>
      </c>
      <c r="K939" s="43">
        <f>VLOOKUP(Tabla1[[#This Row],[PAGO DIA]],DIAS!A:C,3,0)</f>
        <v>46112</v>
      </c>
      <c r="L939" s="6">
        <v>0</v>
      </c>
      <c r="M939" s="41">
        <f>VLOOKUP(Tabla1[[#This Row],[PAGO DIA]],DIAS!A:D,4,0)</f>
        <v>46142</v>
      </c>
      <c r="N939" s="6">
        <v>0</v>
      </c>
      <c r="O939" s="43">
        <f>VLOOKUP(Tabla1[[#This Row],[PAGO DIA]],DIAS!A:E,5,0)</f>
        <v>46171</v>
      </c>
      <c r="P939" s="6">
        <v>0</v>
      </c>
      <c r="Q939" s="43">
        <f>VLOOKUP(Tabla1[[#This Row],[PAGO DIA]],DIAS!A:F,6,0)</f>
        <v>46203</v>
      </c>
      <c r="R939" s="6">
        <v>0</v>
      </c>
      <c r="S939" s="43">
        <f>VLOOKUP(Tabla1[[#This Row],[PAGO DIA]],DIAS!A:G,7,0)</f>
        <v>46234</v>
      </c>
      <c r="T939" s="6">
        <v>0</v>
      </c>
      <c r="U939" s="43">
        <f>VLOOKUP(Tabla1[[#This Row],[PAGO DIA]],DIAS!A:H,8,0)</f>
        <v>46265</v>
      </c>
      <c r="V939" s="6">
        <v>0</v>
      </c>
      <c r="W939" s="43">
        <f>VLOOKUP(Tabla1[[#This Row],[PAGO DIA]],DIAS!A:I,9,0)</f>
        <v>46295</v>
      </c>
      <c r="X939" s="6">
        <v>0</v>
      </c>
      <c r="Y939" s="43">
        <f>VLOOKUP(Tabla1[[#This Row],[PAGO DIA]],DIAS!A:J,10,0)</f>
        <v>46325</v>
      </c>
      <c r="Z939" s="6">
        <v>0</v>
      </c>
      <c r="AA939" s="43">
        <f>VLOOKUP(Tabla1[[#This Row],[PAGO DIA]],DIAS!A:K,11,0)</f>
        <v>46356</v>
      </c>
      <c r="AB939" s="6">
        <v>0</v>
      </c>
      <c r="AC939" s="43">
        <f>VLOOKUP(Tabla1[[#This Row],[PAGO DIA]],DIAS!A:M,12,0)</f>
        <v>46386</v>
      </c>
      <c r="AD9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0" spans="1:30">
      <c r="A940" s="3">
        <v>12663</v>
      </c>
      <c r="B940" s="3" t="s">
        <v>538</v>
      </c>
      <c r="C940" s="3" t="s">
        <v>539</v>
      </c>
      <c r="D940" s="3" t="s">
        <v>540</v>
      </c>
      <c r="E940" s="3" t="s">
        <v>1494</v>
      </c>
      <c r="F940" s="42" t="s">
        <v>631</v>
      </c>
      <c r="G940" s="3" t="s">
        <v>1500</v>
      </c>
      <c r="H940" s="6">
        <v>0</v>
      </c>
      <c r="I940" s="41">
        <f>VLOOKUP(Tabla1[[#This Row],[PAGO DIA]],DIAS!A:B,2,0)</f>
        <v>46080</v>
      </c>
      <c r="J940" s="6">
        <v>0</v>
      </c>
      <c r="K940" s="43">
        <f>VLOOKUP(Tabla1[[#This Row],[PAGO DIA]],DIAS!A:C,3,0)</f>
        <v>46112</v>
      </c>
      <c r="L940" s="6">
        <v>0</v>
      </c>
      <c r="M940" s="41">
        <f>VLOOKUP(Tabla1[[#This Row],[PAGO DIA]],DIAS!A:D,4,0)</f>
        <v>46142</v>
      </c>
      <c r="N940" s="6">
        <v>0</v>
      </c>
      <c r="O940" s="43">
        <f>VLOOKUP(Tabla1[[#This Row],[PAGO DIA]],DIAS!A:E,5,0)</f>
        <v>46171</v>
      </c>
      <c r="P940" s="6">
        <v>0</v>
      </c>
      <c r="Q940" s="43">
        <f>VLOOKUP(Tabla1[[#This Row],[PAGO DIA]],DIAS!A:F,6,0)</f>
        <v>46203</v>
      </c>
      <c r="R940" s="6">
        <v>0</v>
      </c>
      <c r="S940" s="43">
        <f>VLOOKUP(Tabla1[[#This Row],[PAGO DIA]],DIAS!A:G,7,0)</f>
        <v>46234</v>
      </c>
      <c r="T940" s="6">
        <v>0</v>
      </c>
      <c r="U940" s="43">
        <f>VLOOKUP(Tabla1[[#This Row],[PAGO DIA]],DIAS!A:H,8,0)</f>
        <v>46265</v>
      </c>
      <c r="V940" s="6">
        <v>0</v>
      </c>
      <c r="W940" s="43">
        <f>VLOOKUP(Tabla1[[#This Row],[PAGO DIA]],DIAS!A:I,9,0)</f>
        <v>46295</v>
      </c>
      <c r="X940" s="6">
        <v>0</v>
      </c>
      <c r="Y940" s="43">
        <f>VLOOKUP(Tabla1[[#This Row],[PAGO DIA]],DIAS!A:J,10,0)</f>
        <v>46325</v>
      </c>
      <c r="Z940" s="6">
        <v>0</v>
      </c>
      <c r="AA940" s="43">
        <f>VLOOKUP(Tabla1[[#This Row],[PAGO DIA]],DIAS!A:K,11,0)</f>
        <v>46356</v>
      </c>
      <c r="AB940" s="6">
        <v>0</v>
      </c>
      <c r="AC940" s="43">
        <f>VLOOKUP(Tabla1[[#This Row],[PAGO DIA]],DIAS!A:M,12,0)</f>
        <v>46386</v>
      </c>
      <c r="AD9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1" spans="1:30">
      <c r="A941" s="3">
        <v>12697</v>
      </c>
      <c r="B941" s="3" t="s">
        <v>538</v>
      </c>
      <c r="C941" s="3" t="s">
        <v>539</v>
      </c>
      <c r="D941" s="3" t="s">
        <v>540</v>
      </c>
      <c r="E941" s="3" t="s">
        <v>1494</v>
      </c>
      <c r="F941" s="42" t="s">
        <v>631</v>
      </c>
      <c r="G941" s="3" t="s">
        <v>1501</v>
      </c>
      <c r="H941" s="6">
        <v>0</v>
      </c>
      <c r="I941" s="41">
        <f>VLOOKUP(Tabla1[[#This Row],[PAGO DIA]],DIAS!A:B,2,0)</f>
        <v>46080</v>
      </c>
      <c r="J941" s="6">
        <v>0</v>
      </c>
      <c r="K941" s="43">
        <f>VLOOKUP(Tabla1[[#This Row],[PAGO DIA]],DIAS!A:C,3,0)</f>
        <v>46112</v>
      </c>
      <c r="L941" s="6">
        <v>0</v>
      </c>
      <c r="M941" s="41">
        <f>VLOOKUP(Tabla1[[#This Row],[PAGO DIA]],DIAS!A:D,4,0)</f>
        <v>46142</v>
      </c>
      <c r="N941" s="6">
        <v>0</v>
      </c>
      <c r="O941" s="43">
        <f>VLOOKUP(Tabla1[[#This Row],[PAGO DIA]],DIAS!A:E,5,0)</f>
        <v>46171</v>
      </c>
      <c r="P941" s="6">
        <v>0</v>
      </c>
      <c r="Q941" s="43">
        <f>VLOOKUP(Tabla1[[#This Row],[PAGO DIA]],DIAS!A:F,6,0)</f>
        <v>46203</v>
      </c>
      <c r="R941" s="6">
        <v>0</v>
      </c>
      <c r="S941" s="43">
        <f>VLOOKUP(Tabla1[[#This Row],[PAGO DIA]],DIAS!A:G,7,0)</f>
        <v>46234</v>
      </c>
      <c r="T941" s="6">
        <v>0</v>
      </c>
      <c r="U941" s="43">
        <f>VLOOKUP(Tabla1[[#This Row],[PAGO DIA]],DIAS!A:H,8,0)</f>
        <v>46265</v>
      </c>
      <c r="V941" s="6">
        <v>0</v>
      </c>
      <c r="W941" s="43">
        <f>VLOOKUP(Tabla1[[#This Row],[PAGO DIA]],DIAS!A:I,9,0)</f>
        <v>46295</v>
      </c>
      <c r="X941" s="6">
        <v>0</v>
      </c>
      <c r="Y941" s="43">
        <f>VLOOKUP(Tabla1[[#This Row],[PAGO DIA]],DIAS!A:J,10,0)</f>
        <v>46325</v>
      </c>
      <c r="Z941" s="6">
        <v>0</v>
      </c>
      <c r="AA941" s="43">
        <f>VLOOKUP(Tabla1[[#This Row],[PAGO DIA]],DIAS!A:K,11,0)</f>
        <v>46356</v>
      </c>
      <c r="AB941" s="6">
        <v>0</v>
      </c>
      <c r="AC941" s="43">
        <f>VLOOKUP(Tabla1[[#This Row],[PAGO DIA]],DIAS!A:M,12,0)</f>
        <v>46386</v>
      </c>
      <c r="AD9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2" spans="1:30">
      <c r="A942" s="3">
        <v>12700</v>
      </c>
      <c r="B942" s="3" t="s">
        <v>538</v>
      </c>
      <c r="C942" s="3" t="s">
        <v>539</v>
      </c>
      <c r="D942" s="3" t="s">
        <v>540</v>
      </c>
      <c r="E942" s="3" t="s">
        <v>1494</v>
      </c>
      <c r="F942" s="42" t="s">
        <v>631</v>
      </c>
      <c r="G942" s="3" t="s">
        <v>1502</v>
      </c>
      <c r="H942" s="6">
        <v>0</v>
      </c>
      <c r="I942" s="41">
        <f>VLOOKUP(Tabla1[[#This Row],[PAGO DIA]],DIAS!A:B,2,0)</f>
        <v>46080</v>
      </c>
      <c r="J942" s="6">
        <v>0</v>
      </c>
      <c r="K942" s="43">
        <f>VLOOKUP(Tabla1[[#This Row],[PAGO DIA]],DIAS!A:C,3,0)</f>
        <v>46112</v>
      </c>
      <c r="L942" s="6">
        <v>0</v>
      </c>
      <c r="M942" s="41">
        <f>VLOOKUP(Tabla1[[#This Row],[PAGO DIA]],DIAS!A:D,4,0)</f>
        <v>46142</v>
      </c>
      <c r="N942" s="6">
        <v>0</v>
      </c>
      <c r="O942" s="43">
        <f>VLOOKUP(Tabla1[[#This Row],[PAGO DIA]],DIAS!A:E,5,0)</f>
        <v>46171</v>
      </c>
      <c r="P942" s="6">
        <v>0</v>
      </c>
      <c r="Q942" s="43">
        <f>VLOOKUP(Tabla1[[#This Row],[PAGO DIA]],DIAS!A:F,6,0)</f>
        <v>46203</v>
      </c>
      <c r="R942" s="6">
        <v>0</v>
      </c>
      <c r="S942" s="43">
        <f>VLOOKUP(Tabla1[[#This Row],[PAGO DIA]],DIAS!A:G,7,0)</f>
        <v>46234</v>
      </c>
      <c r="T942" s="6">
        <v>0</v>
      </c>
      <c r="U942" s="43">
        <f>VLOOKUP(Tabla1[[#This Row],[PAGO DIA]],DIAS!A:H,8,0)</f>
        <v>46265</v>
      </c>
      <c r="V942" s="6">
        <v>0</v>
      </c>
      <c r="W942" s="43">
        <f>VLOOKUP(Tabla1[[#This Row],[PAGO DIA]],DIAS!A:I,9,0)</f>
        <v>46295</v>
      </c>
      <c r="X942" s="6">
        <v>0</v>
      </c>
      <c r="Y942" s="43">
        <f>VLOOKUP(Tabla1[[#This Row],[PAGO DIA]],DIAS!A:J,10,0)</f>
        <v>46325</v>
      </c>
      <c r="Z942" s="6">
        <v>0</v>
      </c>
      <c r="AA942" s="43">
        <f>VLOOKUP(Tabla1[[#This Row],[PAGO DIA]],DIAS!A:K,11,0)</f>
        <v>46356</v>
      </c>
      <c r="AB942" s="6">
        <v>0</v>
      </c>
      <c r="AC942" s="43">
        <f>VLOOKUP(Tabla1[[#This Row],[PAGO DIA]],DIAS!A:M,12,0)</f>
        <v>46386</v>
      </c>
      <c r="AD9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3" spans="1:30">
      <c r="A943" s="3">
        <v>12703</v>
      </c>
      <c r="B943" s="3" t="s">
        <v>538</v>
      </c>
      <c r="C943" s="3" t="s">
        <v>539</v>
      </c>
      <c r="D943" s="3" t="s">
        <v>540</v>
      </c>
      <c r="E943" s="3" t="s">
        <v>1494</v>
      </c>
      <c r="F943" s="42" t="s">
        <v>631</v>
      </c>
      <c r="G943" s="3" t="s">
        <v>1503</v>
      </c>
      <c r="H943" s="6">
        <v>0</v>
      </c>
      <c r="I943" s="41">
        <f>VLOOKUP(Tabla1[[#This Row],[PAGO DIA]],DIAS!A:B,2,0)</f>
        <v>46080</v>
      </c>
      <c r="J943" s="6">
        <v>0</v>
      </c>
      <c r="K943" s="43">
        <f>VLOOKUP(Tabla1[[#This Row],[PAGO DIA]],DIAS!A:C,3,0)</f>
        <v>46112</v>
      </c>
      <c r="L943" s="6">
        <v>0</v>
      </c>
      <c r="M943" s="41">
        <f>VLOOKUP(Tabla1[[#This Row],[PAGO DIA]],DIAS!A:D,4,0)</f>
        <v>46142</v>
      </c>
      <c r="N943" s="6">
        <v>0</v>
      </c>
      <c r="O943" s="43">
        <f>VLOOKUP(Tabla1[[#This Row],[PAGO DIA]],DIAS!A:E,5,0)</f>
        <v>46171</v>
      </c>
      <c r="P943" s="6">
        <v>0</v>
      </c>
      <c r="Q943" s="43">
        <f>VLOOKUP(Tabla1[[#This Row],[PAGO DIA]],DIAS!A:F,6,0)</f>
        <v>46203</v>
      </c>
      <c r="R943" s="6">
        <v>0</v>
      </c>
      <c r="S943" s="43">
        <f>VLOOKUP(Tabla1[[#This Row],[PAGO DIA]],DIAS!A:G,7,0)</f>
        <v>46234</v>
      </c>
      <c r="T943" s="6">
        <v>0</v>
      </c>
      <c r="U943" s="43">
        <f>VLOOKUP(Tabla1[[#This Row],[PAGO DIA]],DIAS!A:H,8,0)</f>
        <v>46265</v>
      </c>
      <c r="V943" s="6">
        <v>0</v>
      </c>
      <c r="W943" s="43">
        <f>VLOOKUP(Tabla1[[#This Row],[PAGO DIA]],DIAS!A:I,9,0)</f>
        <v>46295</v>
      </c>
      <c r="X943" s="6">
        <v>0</v>
      </c>
      <c r="Y943" s="43">
        <f>VLOOKUP(Tabla1[[#This Row],[PAGO DIA]],DIAS!A:J,10,0)</f>
        <v>46325</v>
      </c>
      <c r="Z943" s="6">
        <v>0</v>
      </c>
      <c r="AA943" s="43">
        <f>VLOOKUP(Tabla1[[#This Row],[PAGO DIA]],DIAS!A:K,11,0)</f>
        <v>46356</v>
      </c>
      <c r="AB943" s="6">
        <v>0</v>
      </c>
      <c r="AC943" s="43">
        <f>VLOOKUP(Tabla1[[#This Row],[PAGO DIA]],DIAS!A:M,12,0)</f>
        <v>46386</v>
      </c>
      <c r="AD9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4" spans="1:30">
      <c r="A944" s="3">
        <v>12709</v>
      </c>
      <c r="B944" s="3" t="s">
        <v>538</v>
      </c>
      <c r="C944" s="3" t="s">
        <v>539</v>
      </c>
      <c r="D944" s="3" t="s">
        <v>540</v>
      </c>
      <c r="E944" s="3" t="s">
        <v>1494</v>
      </c>
      <c r="F944" s="42" t="s">
        <v>631</v>
      </c>
      <c r="G944" s="3" t="s">
        <v>1504</v>
      </c>
      <c r="H944" s="6">
        <v>0</v>
      </c>
      <c r="I944" s="41">
        <f>VLOOKUP(Tabla1[[#This Row],[PAGO DIA]],DIAS!A:B,2,0)</f>
        <v>46080</v>
      </c>
      <c r="J944" s="6">
        <v>0</v>
      </c>
      <c r="K944" s="43">
        <f>VLOOKUP(Tabla1[[#This Row],[PAGO DIA]],DIAS!A:C,3,0)</f>
        <v>46112</v>
      </c>
      <c r="L944" s="6">
        <v>0</v>
      </c>
      <c r="M944" s="41">
        <f>VLOOKUP(Tabla1[[#This Row],[PAGO DIA]],DIAS!A:D,4,0)</f>
        <v>46142</v>
      </c>
      <c r="N944" s="6">
        <v>0</v>
      </c>
      <c r="O944" s="43">
        <f>VLOOKUP(Tabla1[[#This Row],[PAGO DIA]],DIAS!A:E,5,0)</f>
        <v>46171</v>
      </c>
      <c r="P944" s="6">
        <v>0</v>
      </c>
      <c r="Q944" s="43">
        <f>VLOOKUP(Tabla1[[#This Row],[PAGO DIA]],DIAS!A:F,6,0)</f>
        <v>46203</v>
      </c>
      <c r="R944" s="6">
        <v>0</v>
      </c>
      <c r="S944" s="43">
        <f>VLOOKUP(Tabla1[[#This Row],[PAGO DIA]],DIAS!A:G,7,0)</f>
        <v>46234</v>
      </c>
      <c r="T944" s="6">
        <v>0</v>
      </c>
      <c r="U944" s="43">
        <f>VLOOKUP(Tabla1[[#This Row],[PAGO DIA]],DIAS!A:H,8,0)</f>
        <v>46265</v>
      </c>
      <c r="V944" s="6">
        <v>0</v>
      </c>
      <c r="W944" s="43">
        <f>VLOOKUP(Tabla1[[#This Row],[PAGO DIA]],DIAS!A:I,9,0)</f>
        <v>46295</v>
      </c>
      <c r="X944" s="6">
        <v>0</v>
      </c>
      <c r="Y944" s="43">
        <f>VLOOKUP(Tabla1[[#This Row],[PAGO DIA]],DIAS!A:J,10,0)</f>
        <v>46325</v>
      </c>
      <c r="Z944" s="6">
        <v>0</v>
      </c>
      <c r="AA944" s="43">
        <f>VLOOKUP(Tabla1[[#This Row],[PAGO DIA]],DIAS!A:K,11,0)</f>
        <v>46356</v>
      </c>
      <c r="AB944" s="6">
        <v>0</v>
      </c>
      <c r="AC944" s="43">
        <f>VLOOKUP(Tabla1[[#This Row],[PAGO DIA]],DIAS!A:M,12,0)</f>
        <v>46386</v>
      </c>
      <c r="AD9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5" spans="1:30">
      <c r="A945" s="3">
        <v>12710</v>
      </c>
      <c r="B945" s="3" t="s">
        <v>538</v>
      </c>
      <c r="C945" s="3" t="s">
        <v>539</v>
      </c>
      <c r="D945" s="3" t="s">
        <v>540</v>
      </c>
      <c r="E945" s="3" t="s">
        <v>1494</v>
      </c>
      <c r="F945" s="42" t="s">
        <v>631</v>
      </c>
      <c r="G945" s="3" t="s">
        <v>1505</v>
      </c>
      <c r="H945" s="6">
        <v>0</v>
      </c>
      <c r="I945" s="41">
        <f>VLOOKUP(Tabla1[[#This Row],[PAGO DIA]],DIAS!A:B,2,0)</f>
        <v>46080</v>
      </c>
      <c r="J945" s="6">
        <v>0</v>
      </c>
      <c r="K945" s="43">
        <f>VLOOKUP(Tabla1[[#This Row],[PAGO DIA]],DIAS!A:C,3,0)</f>
        <v>46112</v>
      </c>
      <c r="L945" s="6">
        <v>0</v>
      </c>
      <c r="M945" s="41">
        <f>VLOOKUP(Tabla1[[#This Row],[PAGO DIA]],DIAS!A:D,4,0)</f>
        <v>46142</v>
      </c>
      <c r="N945" s="6">
        <v>0</v>
      </c>
      <c r="O945" s="43">
        <f>VLOOKUP(Tabla1[[#This Row],[PAGO DIA]],DIAS!A:E,5,0)</f>
        <v>46171</v>
      </c>
      <c r="P945" s="6">
        <v>0</v>
      </c>
      <c r="Q945" s="43">
        <f>VLOOKUP(Tabla1[[#This Row],[PAGO DIA]],DIAS!A:F,6,0)</f>
        <v>46203</v>
      </c>
      <c r="R945" s="6">
        <v>0</v>
      </c>
      <c r="S945" s="43">
        <f>VLOOKUP(Tabla1[[#This Row],[PAGO DIA]],DIAS!A:G,7,0)</f>
        <v>46234</v>
      </c>
      <c r="T945" s="6">
        <v>0</v>
      </c>
      <c r="U945" s="43">
        <f>VLOOKUP(Tabla1[[#This Row],[PAGO DIA]],DIAS!A:H,8,0)</f>
        <v>46265</v>
      </c>
      <c r="V945" s="6">
        <v>0</v>
      </c>
      <c r="W945" s="43">
        <f>VLOOKUP(Tabla1[[#This Row],[PAGO DIA]],DIAS!A:I,9,0)</f>
        <v>46295</v>
      </c>
      <c r="X945" s="6">
        <v>0</v>
      </c>
      <c r="Y945" s="43">
        <f>VLOOKUP(Tabla1[[#This Row],[PAGO DIA]],DIAS!A:J,10,0)</f>
        <v>46325</v>
      </c>
      <c r="Z945" s="6">
        <v>0</v>
      </c>
      <c r="AA945" s="43">
        <f>VLOOKUP(Tabla1[[#This Row],[PAGO DIA]],DIAS!A:K,11,0)</f>
        <v>46356</v>
      </c>
      <c r="AB945" s="6">
        <v>0</v>
      </c>
      <c r="AC945" s="43">
        <f>VLOOKUP(Tabla1[[#This Row],[PAGO DIA]],DIAS!A:M,12,0)</f>
        <v>46386</v>
      </c>
      <c r="AD9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6" spans="1:30">
      <c r="A946" s="3">
        <v>12723</v>
      </c>
      <c r="B946" s="3" t="s">
        <v>538</v>
      </c>
      <c r="C946" s="3" t="s">
        <v>539</v>
      </c>
      <c r="D946" s="3" t="s">
        <v>540</v>
      </c>
      <c r="E946" s="3" t="s">
        <v>1494</v>
      </c>
      <c r="F946" s="42" t="s">
        <v>631</v>
      </c>
      <c r="G946" s="3" t="s">
        <v>1506</v>
      </c>
      <c r="H946" s="6">
        <v>0</v>
      </c>
      <c r="I946" s="41">
        <f>VLOOKUP(Tabla1[[#This Row],[PAGO DIA]],DIAS!A:B,2,0)</f>
        <v>46080</v>
      </c>
      <c r="J946" s="6">
        <v>0</v>
      </c>
      <c r="K946" s="43">
        <f>VLOOKUP(Tabla1[[#This Row],[PAGO DIA]],DIAS!A:C,3,0)</f>
        <v>46112</v>
      </c>
      <c r="L946" s="6">
        <v>0</v>
      </c>
      <c r="M946" s="41">
        <f>VLOOKUP(Tabla1[[#This Row],[PAGO DIA]],DIAS!A:D,4,0)</f>
        <v>46142</v>
      </c>
      <c r="N946" s="6">
        <v>0</v>
      </c>
      <c r="O946" s="43">
        <f>VLOOKUP(Tabla1[[#This Row],[PAGO DIA]],DIAS!A:E,5,0)</f>
        <v>46171</v>
      </c>
      <c r="P946" s="6">
        <v>0</v>
      </c>
      <c r="Q946" s="43">
        <f>VLOOKUP(Tabla1[[#This Row],[PAGO DIA]],DIAS!A:F,6,0)</f>
        <v>46203</v>
      </c>
      <c r="R946" s="6">
        <v>0</v>
      </c>
      <c r="S946" s="43">
        <f>VLOOKUP(Tabla1[[#This Row],[PAGO DIA]],DIAS!A:G,7,0)</f>
        <v>46234</v>
      </c>
      <c r="T946" s="6">
        <v>0</v>
      </c>
      <c r="U946" s="43">
        <f>VLOOKUP(Tabla1[[#This Row],[PAGO DIA]],DIAS!A:H,8,0)</f>
        <v>46265</v>
      </c>
      <c r="V946" s="6">
        <v>0</v>
      </c>
      <c r="W946" s="43">
        <f>VLOOKUP(Tabla1[[#This Row],[PAGO DIA]],DIAS!A:I,9,0)</f>
        <v>46295</v>
      </c>
      <c r="X946" s="6">
        <v>0</v>
      </c>
      <c r="Y946" s="43">
        <f>VLOOKUP(Tabla1[[#This Row],[PAGO DIA]],DIAS!A:J,10,0)</f>
        <v>46325</v>
      </c>
      <c r="Z946" s="6">
        <v>0</v>
      </c>
      <c r="AA946" s="43">
        <f>VLOOKUP(Tabla1[[#This Row],[PAGO DIA]],DIAS!A:K,11,0)</f>
        <v>46356</v>
      </c>
      <c r="AB946" s="6">
        <v>0</v>
      </c>
      <c r="AC946" s="43">
        <f>VLOOKUP(Tabla1[[#This Row],[PAGO DIA]],DIAS!A:M,12,0)</f>
        <v>46386</v>
      </c>
      <c r="AD9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7" spans="1:30">
      <c r="A947" s="3">
        <v>12724</v>
      </c>
      <c r="B947" s="3" t="s">
        <v>538</v>
      </c>
      <c r="C947" s="3" t="s">
        <v>539</v>
      </c>
      <c r="D947" s="3" t="s">
        <v>540</v>
      </c>
      <c r="E947" s="3" t="s">
        <v>1494</v>
      </c>
      <c r="F947" s="42" t="s">
        <v>631</v>
      </c>
      <c r="G947" s="3" t="s">
        <v>1507</v>
      </c>
      <c r="H947" s="6">
        <v>0</v>
      </c>
      <c r="I947" s="41">
        <f>VLOOKUP(Tabla1[[#This Row],[PAGO DIA]],DIAS!A:B,2,0)</f>
        <v>46080</v>
      </c>
      <c r="J947" s="6">
        <v>0</v>
      </c>
      <c r="K947" s="43">
        <f>VLOOKUP(Tabla1[[#This Row],[PAGO DIA]],DIAS!A:C,3,0)</f>
        <v>46112</v>
      </c>
      <c r="L947" s="6">
        <v>0</v>
      </c>
      <c r="M947" s="41">
        <f>VLOOKUP(Tabla1[[#This Row],[PAGO DIA]],DIAS!A:D,4,0)</f>
        <v>46142</v>
      </c>
      <c r="N947" s="6">
        <v>0</v>
      </c>
      <c r="O947" s="43">
        <f>VLOOKUP(Tabla1[[#This Row],[PAGO DIA]],DIAS!A:E,5,0)</f>
        <v>46171</v>
      </c>
      <c r="P947" s="6">
        <v>0</v>
      </c>
      <c r="Q947" s="43">
        <f>VLOOKUP(Tabla1[[#This Row],[PAGO DIA]],DIAS!A:F,6,0)</f>
        <v>46203</v>
      </c>
      <c r="R947" s="6">
        <v>0</v>
      </c>
      <c r="S947" s="43">
        <f>VLOOKUP(Tabla1[[#This Row],[PAGO DIA]],DIAS!A:G,7,0)</f>
        <v>46234</v>
      </c>
      <c r="T947" s="6">
        <v>0</v>
      </c>
      <c r="U947" s="43">
        <f>VLOOKUP(Tabla1[[#This Row],[PAGO DIA]],DIAS!A:H,8,0)</f>
        <v>46265</v>
      </c>
      <c r="V947" s="6">
        <v>0</v>
      </c>
      <c r="W947" s="43">
        <f>VLOOKUP(Tabla1[[#This Row],[PAGO DIA]],DIAS!A:I,9,0)</f>
        <v>46295</v>
      </c>
      <c r="X947" s="6">
        <v>0</v>
      </c>
      <c r="Y947" s="43">
        <f>VLOOKUP(Tabla1[[#This Row],[PAGO DIA]],DIAS!A:J,10,0)</f>
        <v>46325</v>
      </c>
      <c r="Z947" s="6">
        <v>0</v>
      </c>
      <c r="AA947" s="43">
        <f>VLOOKUP(Tabla1[[#This Row],[PAGO DIA]],DIAS!A:K,11,0)</f>
        <v>46356</v>
      </c>
      <c r="AB947" s="6">
        <v>0</v>
      </c>
      <c r="AC947" s="43">
        <f>VLOOKUP(Tabla1[[#This Row],[PAGO DIA]],DIAS!A:M,12,0)</f>
        <v>46386</v>
      </c>
      <c r="AD9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8" spans="1:30">
      <c r="A948" s="3">
        <v>11164</v>
      </c>
      <c r="B948" s="3" t="s">
        <v>538</v>
      </c>
      <c r="C948" s="3" t="s">
        <v>539</v>
      </c>
      <c r="D948" s="3" t="s">
        <v>540</v>
      </c>
      <c r="E948" s="3" t="s">
        <v>1508</v>
      </c>
      <c r="F948" s="42" t="s">
        <v>631</v>
      </c>
      <c r="G948" s="3"/>
      <c r="H948" s="6">
        <v>0</v>
      </c>
      <c r="I948" s="41">
        <f>VLOOKUP(Tabla1[[#This Row],[PAGO DIA]],DIAS!A:B,2,0)</f>
        <v>46080</v>
      </c>
      <c r="J948" s="6">
        <v>0</v>
      </c>
      <c r="K948" s="43">
        <f>VLOOKUP(Tabla1[[#This Row],[PAGO DIA]],DIAS!A:C,3,0)</f>
        <v>46112</v>
      </c>
      <c r="L948" s="6">
        <v>0</v>
      </c>
      <c r="M948" s="41">
        <f>VLOOKUP(Tabla1[[#This Row],[PAGO DIA]],DIAS!A:D,4,0)</f>
        <v>46142</v>
      </c>
      <c r="N948" s="6">
        <v>0</v>
      </c>
      <c r="O948" s="43">
        <f>VLOOKUP(Tabla1[[#This Row],[PAGO DIA]],DIAS!A:E,5,0)</f>
        <v>46171</v>
      </c>
      <c r="P948" s="6">
        <v>0</v>
      </c>
      <c r="Q948" s="43">
        <f>VLOOKUP(Tabla1[[#This Row],[PAGO DIA]],DIAS!A:F,6,0)</f>
        <v>46203</v>
      </c>
      <c r="R948" s="6">
        <v>0</v>
      </c>
      <c r="S948" s="43">
        <f>VLOOKUP(Tabla1[[#This Row],[PAGO DIA]],DIAS!A:G,7,0)</f>
        <v>46234</v>
      </c>
      <c r="T948" s="6">
        <v>0</v>
      </c>
      <c r="U948" s="43">
        <f>VLOOKUP(Tabla1[[#This Row],[PAGO DIA]],DIAS!A:H,8,0)</f>
        <v>46265</v>
      </c>
      <c r="V948" s="6">
        <v>0</v>
      </c>
      <c r="W948" s="43">
        <f>VLOOKUP(Tabla1[[#This Row],[PAGO DIA]],DIAS!A:I,9,0)</f>
        <v>46295</v>
      </c>
      <c r="X948" s="6">
        <v>0</v>
      </c>
      <c r="Y948" s="43">
        <f>VLOOKUP(Tabla1[[#This Row],[PAGO DIA]],DIAS!A:J,10,0)</f>
        <v>46325</v>
      </c>
      <c r="Z948" s="6">
        <v>0</v>
      </c>
      <c r="AA948" s="43">
        <f>VLOOKUP(Tabla1[[#This Row],[PAGO DIA]],DIAS!A:K,11,0)</f>
        <v>46356</v>
      </c>
      <c r="AB948" s="6">
        <v>0</v>
      </c>
      <c r="AC948" s="43">
        <f>VLOOKUP(Tabla1[[#This Row],[PAGO DIA]],DIAS!A:M,12,0)</f>
        <v>46386</v>
      </c>
      <c r="AD9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49" spans="1:30">
      <c r="A949" s="3">
        <v>11679</v>
      </c>
      <c r="B949" s="3" t="s">
        <v>538</v>
      </c>
      <c r="C949" s="3" t="s">
        <v>540</v>
      </c>
      <c r="D949" s="3" t="s">
        <v>540</v>
      </c>
      <c r="E949" s="3" t="s">
        <v>1508</v>
      </c>
      <c r="F949" s="42" t="s">
        <v>631</v>
      </c>
      <c r="G949" s="3" t="s">
        <v>1509</v>
      </c>
      <c r="H949" s="6">
        <v>0</v>
      </c>
      <c r="I949" s="41">
        <f>VLOOKUP(Tabla1[[#This Row],[PAGO DIA]],DIAS!A:B,2,0)</f>
        <v>46080</v>
      </c>
      <c r="J949" s="6">
        <v>0</v>
      </c>
      <c r="K949" s="43">
        <f>VLOOKUP(Tabla1[[#This Row],[PAGO DIA]],DIAS!A:C,3,0)</f>
        <v>46112</v>
      </c>
      <c r="L949" s="6">
        <v>0</v>
      </c>
      <c r="M949" s="41">
        <f>VLOOKUP(Tabla1[[#This Row],[PAGO DIA]],DIAS!A:D,4,0)</f>
        <v>46142</v>
      </c>
      <c r="N949" s="6">
        <v>0</v>
      </c>
      <c r="O949" s="43">
        <f>VLOOKUP(Tabla1[[#This Row],[PAGO DIA]],DIAS!A:E,5,0)</f>
        <v>46171</v>
      </c>
      <c r="P949" s="6">
        <v>0</v>
      </c>
      <c r="Q949" s="43">
        <f>VLOOKUP(Tabla1[[#This Row],[PAGO DIA]],DIAS!A:F,6,0)</f>
        <v>46203</v>
      </c>
      <c r="R949" s="6">
        <v>0</v>
      </c>
      <c r="S949" s="43">
        <f>VLOOKUP(Tabla1[[#This Row],[PAGO DIA]],DIAS!A:G,7,0)</f>
        <v>46234</v>
      </c>
      <c r="T949" s="6">
        <v>0</v>
      </c>
      <c r="U949" s="43">
        <f>VLOOKUP(Tabla1[[#This Row],[PAGO DIA]],DIAS!A:H,8,0)</f>
        <v>46265</v>
      </c>
      <c r="V949" s="6">
        <v>0</v>
      </c>
      <c r="W949" s="43">
        <f>VLOOKUP(Tabla1[[#This Row],[PAGO DIA]],DIAS!A:I,9,0)</f>
        <v>46295</v>
      </c>
      <c r="X949" s="6">
        <v>0</v>
      </c>
      <c r="Y949" s="43">
        <f>VLOOKUP(Tabla1[[#This Row],[PAGO DIA]],DIAS!A:J,10,0)</f>
        <v>46325</v>
      </c>
      <c r="Z949" s="6">
        <v>0</v>
      </c>
      <c r="AA949" s="43">
        <f>VLOOKUP(Tabla1[[#This Row],[PAGO DIA]],DIAS!A:K,11,0)</f>
        <v>46356</v>
      </c>
      <c r="AB949" s="6">
        <v>0</v>
      </c>
      <c r="AC949" s="43">
        <f>VLOOKUP(Tabla1[[#This Row],[PAGO DIA]],DIAS!A:M,12,0)</f>
        <v>46386</v>
      </c>
      <c r="AD9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0" spans="1:30">
      <c r="A950" s="3">
        <v>11680</v>
      </c>
      <c r="B950" s="3" t="s">
        <v>538</v>
      </c>
      <c r="C950" s="3" t="s">
        <v>540</v>
      </c>
      <c r="D950" s="3" t="s">
        <v>540</v>
      </c>
      <c r="E950" s="3" t="s">
        <v>1508</v>
      </c>
      <c r="F950" s="42" t="s">
        <v>631</v>
      </c>
      <c r="G950" s="3" t="s">
        <v>1510</v>
      </c>
      <c r="H950" s="6">
        <v>0</v>
      </c>
      <c r="I950" s="41">
        <f>VLOOKUP(Tabla1[[#This Row],[PAGO DIA]],DIAS!A:B,2,0)</f>
        <v>46080</v>
      </c>
      <c r="J950" s="6">
        <v>0</v>
      </c>
      <c r="K950" s="43">
        <f>VLOOKUP(Tabla1[[#This Row],[PAGO DIA]],DIAS!A:C,3,0)</f>
        <v>46112</v>
      </c>
      <c r="L950" s="6">
        <v>0</v>
      </c>
      <c r="M950" s="41">
        <f>VLOOKUP(Tabla1[[#This Row],[PAGO DIA]],DIAS!A:D,4,0)</f>
        <v>46142</v>
      </c>
      <c r="N950" s="6">
        <v>0</v>
      </c>
      <c r="O950" s="43">
        <f>VLOOKUP(Tabla1[[#This Row],[PAGO DIA]],DIAS!A:E,5,0)</f>
        <v>46171</v>
      </c>
      <c r="P950" s="6">
        <v>0</v>
      </c>
      <c r="Q950" s="43">
        <f>VLOOKUP(Tabla1[[#This Row],[PAGO DIA]],DIAS!A:F,6,0)</f>
        <v>46203</v>
      </c>
      <c r="R950" s="6">
        <v>0</v>
      </c>
      <c r="S950" s="43">
        <f>VLOOKUP(Tabla1[[#This Row],[PAGO DIA]],DIAS!A:G,7,0)</f>
        <v>46234</v>
      </c>
      <c r="T950" s="6">
        <v>0</v>
      </c>
      <c r="U950" s="43">
        <f>VLOOKUP(Tabla1[[#This Row],[PAGO DIA]],DIAS!A:H,8,0)</f>
        <v>46265</v>
      </c>
      <c r="V950" s="6">
        <v>0</v>
      </c>
      <c r="W950" s="43">
        <f>VLOOKUP(Tabla1[[#This Row],[PAGO DIA]],DIAS!A:I,9,0)</f>
        <v>46295</v>
      </c>
      <c r="X950" s="6">
        <v>0</v>
      </c>
      <c r="Y950" s="43">
        <f>VLOOKUP(Tabla1[[#This Row],[PAGO DIA]],DIAS!A:J,10,0)</f>
        <v>46325</v>
      </c>
      <c r="Z950" s="6">
        <v>0</v>
      </c>
      <c r="AA950" s="43">
        <f>VLOOKUP(Tabla1[[#This Row],[PAGO DIA]],DIAS!A:K,11,0)</f>
        <v>46356</v>
      </c>
      <c r="AB950" s="6">
        <v>0</v>
      </c>
      <c r="AC950" s="43">
        <f>VLOOKUP(Tabla1[[#This Row],[PAGO DIA]],DIAS!A:M,12,0)</f>
        <v>46386</v>
      </c>
      <c r="AD9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1" spans="1:30">
      <c r="A951" s="3">
        <v>11681</v>
      </c>
      <c r="B951" s="3" t="s">
        <v>538</v>
      </c>
      <c r="C951" s="3" t="s">
        <v>540</v>
      </c>
      <c r="D951" s="3" t="s">
        <v>540</v>
      </c>
      <c r="E951" s="3" t="s">
        <v>1508</v>
      </c>
      <c r="F951" s="42" t="s">
        <v>631</v>
      </c>
      <c r="G951" s="3" t="s">
        <v>1511</v>
      </c>
      <c r="H951" s="6">
        <v>0</v>
      </c>
      <c r="I951" s="41">
        <f>VLOOKUP(Tabla1[[#This Row],[PAGO DIA]],DIAS!A:B,2,0)</f>
        <v>46080</v>
      </c>
      <c r="J951" s="6">
        <v>0</v>
      </c>
      <c r="K951" s="43">
        <f>VLOOKUP(Tabla1[[#This Row],[PAGO DIA]],DIAS!A:C,3,0)</f>
        <v>46112</v>
      </c>
      <c r="L951" s="6">
        <v>0</v>
      </c>
      <c r="M951" s="41">
        <f>VLOOKUP(Tabla1[[#This Row],[PAGO DIA]],DIAS!A:D,4,0)</f>
        <v>46142</v>
      </c>
      <c r="N951" s="6">
        <v>0</v>
      </c>
      <c r="O951" s="43">
        <f>VLOOKUP(Tabla1[[#This Row],[PAGO DIA]],DIAS!A:E,5,0)</f>
        <v>46171</v>
      </c>
      <c r="P951" s="6">
        <v>0</v>
      </c>
      <c r="Q951" s="43">
        <f>VLOOKUP(Tabla1[[#This Row],[PAGO DIA]],DIAS!A:F,6,0)</f>
        <v>46203</v>
      </c>
      <c r="R951" s="6">
        <v>0</v>
      </c>
      <c r="S951" s="43">
        <f>VLOOKUP(Tabla1[[#This Row],[PAGO DIA]],DIAS!A:G,7,0)</f>
        <v>46234</v>
      </c>
      <c r="T951" s="6">
        <v>0</v>
      </c>
      <c r="U951" s="43">
        <f>VLOOKUP(Tabla1[[#This Row],[PAGO DIA]],DIAS!A:H,8,0)</f>
        <v>46265</v>
      </c>
      <c r="V951" s="6">
        <v>0</v>
      </c>
      <c r="W951" s="43">
        <f>VLOOKUP(Tabla1[[#This Row],[PAGO DIA]],DIAS!A:I,9,0)</f>
        <v>46295</v>
      </c>
      <c r="X951" s="6">
        <v>0</v>
      </c>
      <c r="Y951" s="43">
        <f>VLOOKUP(Tabla1[[#This Row],[PAGO DIA]],DIAS!A:J,10,0)</f>
        <v>46325</v>
      </c>
      <c r="Z951" s="6">
        <v>0</v>
      </c>
      <c r="AA951" s="43">
        <f>VLOOKUP(Tabla1[[#This Row],[PAGO DIA]],DIAS!A:K,11,0)</f>
        <v>46356</v>
      </c>
      <c r="AB951" s="6">
        <v>0</v>
      </c>
      <c r="AC951" s="43">
        <f>VLOOKUP(Tabla1[[#This Row],[PAGO DIA]],DIAS!A:M,12,0)</f>
        <v>46386</v>
      </c>
      <c r="AD9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2" spans="1:30">
      <c r="A952" s="3">
        <v>11682</v>
      </c>
      <c r="B952" s="3" t="s">
        <v>538</v>
      </c>
      <c r="C952" s="3" t="s">
        <v>540</v>
      </c>
      <c r="D952" s="3" t="s">
        <v>540</v>
      </c>
      <c r="E952" s="3" t="s">
        <v>1508</v>
      </c>
      <c r="F952" s="42" t="s">
        <v>631</v>
      </c>
      <c r="G952" s="3" t="s">
        <v>1512</v>
      </c>
      <c r="H952" s="6">
        <v>0</v>
      </c>
      <c r="I952" s="41">
        <f>VLOOKUP(Tabla1[[#This Row],[PAGO DIA]],DIAS!A:B,2,0)</f>
        <v>46080</v>
      </c>
      <c r="J952" s="6">
        <v>0</v>
      </c>
      <c r="K952" s="43">
        <f>VLOOKUP(Tabla1[[#This Row],[PAGO DIA]],DIAS!A:C,3,0)</f>
        <v>46112</v>
      </c>
      <c r="L952" s="6">
        <v>0</v>
      </c>
      <c r="M952" s="41">
        <f>VLOOKUP(Tabla1[[#This Row],[PAGO DIA]],DIAS!A:D,4,0)</f>
        <v>46142</v>
      </c>
      <c r="N952" s="6">
        <v>0</v>
      </c>
      <c r="O952" s="43">
        <f>VLOOKUP(Tabla1[[#This Row],[PAGO DIA]],DIAS!A:E,5,0)</f>
        <v>46171</v>
      </c>
      <c r="P952" s="6">
        <v>0</v>
      </c>
      <c r="Q952" s="43">
        <f>VLOOKUP(Tabla1[[#This Row],[PAGO DIA]],DIAS!A:F,6,0)</f>
        <v>46203</v>
      </c>
      <c r="R952" s="6">
        <v>0</v>
      </c>
      <c r="S952" s="43">
        <f>VLOOKUP(Tabla1[[#This Row],[PAGO DIA]],DIAS!A:G,7,0)</f>
        <v>46234</v>
      </c>
      <c r="T952" s="6">
        <v>0</v>
      </c>
      <c r="U952" s="43">
        <f>VLOOKUP(Tabla1[[#This Row],[PAGO DIA]],DIAS!A:H,8,0)</f>
        <v>46265</v>
      </c>
      <c r="V952" s="6">
        <v>0</v>
      </c>
      <c r="W952" s="43">
        <f>VLOOKUP(Tabla1[[#This Row],[PAGO DIA]],DIAS!A:I,9,0)</f>
        <v>46295</v>
      </c>
      <c r="X952" s="6">
        <v>0</v>
      </c>
      <c r="Y952" s="43">
        <f>VLOOKUP(Tabla1[[#This Row],[PAGO DIA]],DIAS!A:J,10,0)</f>
        <v>46325</v>
      </c>
      <c r="Z952" s="6">
        <v>0</v>
      </c>
      <c r="AA952" s="43">
        <f>VLOOKUP(Tabla1[[#This Row],[PAGO DIA]],DIAS!A:K,11,0)</f>
        <v>46356</v>
      </c>
      <c r="AB952" s="6">
        <v>0</v>
      </c>
      <c r="AC952" s="43">
        <f>VLOOKUP(Tabla1[[#This Row],[PAGO DIA]],DIAS!A:M,12,0)</f>
        <v>46386</v>
      </c>
      <c r="AD9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3" spans="1:30">
      <c r="A953" s="3">
        <v>11683</v>
      </c>
      <c r="B953" s="3" t="s">
        <v>538</v>
      </c>
      <c r="C953" s="3" t="s">
        <v>540</v>
      </c>
      <c r="D953" s="3" t="s">
        <v>540</v>
      </c>
      <c r="E953" s="3" t="s">
        <v>1508</v>
      </c>
      <c r="F953" s="42" t="s">
        <v>631</v>
      </c>
      <c r="G953" s="3" t="s">
        <v>1513</v>
      </c>
      <c r="H953" s="6">
        <v>0</v>
      </c>
      <c r="I953" s="41">
        <f>VLOOKUP(Tabla1[[#This Row],[PAGO DIA]],DIAS!A:B,2,0)</f>
        <v>46080</v>
      </c>
      <c r="J953" s="6">
        <v>0</v>
      </c>
      <c r="K953" s="43">
        <f>VLOOKUP(Tabla1[[#This Row],[PAGO DIA]],DIAS!A:C,3,0)</f>
        <v>46112</v>
      </c>
      <c r="L953" s="6">
        <v>0</v>
      </c>
      <c r="M953" s="41">
        <f>VLOOKUP(Tabla1[[#This Row],[PAGO DIA]],DIAS!A:D,4,0)</f>
        <v>46142</v>
      </c>
      <c r="N953" s="6">
        <v>0</v>
      </c>
      <c r="O953" s="43">
        <f>VLOOKUP(Tabla1[[#This Row],[PAGO DIA]],DIAS!A:E,5,0)</f>
        <v>46171</v>
      </c>
      <c r="P953" s="6">
        <v>0</v>
      </c>
      <c r="Q953" s="43">
        <f>VLOOKUP(Tabla1[[#This Row],[PAGO DIA]],DIAS!A:F,6,0)</f>
        <v>46203</v>
      </c>
      <c r="R953" s="6">
        <v>0</v>
      </c>
      <c r="S953" s="43">
        <f>VLOOKUP(Tabla1[[#This Row],[PAGO DIA]],DIAS!A:G,7,0)</f>
        <v>46234</v>
      </c>
      <c r="T953" s="6">
        <v>0</v>
      </c>
      <c r="U953" s="43">
        <f>VLOOKUP(Tabla1[[#This Row],[PAGO DIA]],DIAS!A:H,8,0)</f>
        <v>46265</v>
      </c>
      <c r="V953" s="6">
        <v>0</v>
      </c>
      <c r="W953" s="43">
        <f>VLOOKUP(Tabla1[[#This Row],[PAGO DIA]],DIAS!A:I,9,0)</f>
        <v>46295</v>
      </c>
      <c r="X953" s="6">
        <v>0</v>
      </c>
      <c r="Y953" s="43">
        <f>VLOOKUP(Tabla1[[#This Row],[PAGO DIA]],DIAS!A:J,10,0)</f>
        <v>46325</v>
      </c>
      <c r="Z953" s="6">
        <v>0</v>
      </c>
      <c r="AA953" s="43">
        <f>VLOOKUP(Tabla1[[#This Row],[PAGO DIA]],DIAS!A:K,11,0)</f>
        <v>46356</v>
      </c>
      <c r="AB953" s="6">
        <v>0</v>
      </c>
      <c r="AC953" s="43">
        <f>VLOOKUP(Tabla1[[#This Row],[PAGO DIA]],DIAS!A:M,12,0)</f>
        <v>46386</v>
      </c>
      <c r="AD9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4" spans="1:30">
      <c r="A954" s="3">
        <v>11684</v>
      </c>
      <c r="B954" s="3" t="s">
        <v>538</v>
      </c>
      <c r="C954" s="3" t="s">
        <v>540</v>
      </c>
      <c r="D954" s="3" t="s">
        <v>540</v>
      </c>
      <c r="E954" s="3" t="s">
        <v>1508</v>
      </c>
      <c r="F954" s="42" t="s">
        <v>631</v>
      </c>
      <c r="G954" s="3" t="s">
        <v>1514</v>
      </c>
      <c r="H954" s="6">
        <v>0</v>
      </c>
      <c r="I954" s="41">
        <f>VLOOKUP(Tabla1[[#This Row],[PAGO DIA]],DIAS!A:B,2,0)</f>
        <v>46080</v>
      </c>
      <c r="J954" s="6">
        <v>0</v>
      </c>
      <c r="K954" s="43">
        <f>VLOOKUP(Tabla1[[#This Row],[PAGO DIA]],DIAS!A:C,3,0)</f>
        <v>46112</v>
      </c>
      <c r="L954" s="6">
        <v>0</v>
      </c>
      <c r="M954" s="41">
        <f>VLOOKUP(Tabla1[[#This Row],[PAGO DIA]],DIAS!A:D,4,0)</f>
        <v>46142</v>
      </c>
      <c r="N954" s="6">
        <v>0</v>
      </c>
      <c r="O954" s="43">
        <f>VLOOKUP(Tabla1[[#This Row],[PAGO DIA]],DIAS!A:E,5,0)</f>
        <v>46171</v>
      </c>
      <c r="P954" s="6">
        <v>0</v>
      </c>
      <c r="Q954" s="43">
        <f>VLOOKUP(Tabla1[[#This Row],[PAGO DIA]],DIAS!A:F,6,0)</f>
        <v>46203</v>
      </c>
      <c r="R954" s="6">
        <v>0</v>
      </c>
      <c r="S954" s="43">
        <f>VLOOKUP(Tabla1[[#This Row],[PAGO DIA]],DIAS!A:G,7,0)</f>
        <v>46234</v>
      </c>
      <c r="T954" s="6">
        <v>0</v>
      </c>
      <c r="U954" s="43">
        <f>VLOOKUP(Tabla1[[#This Row],[PAGO DIA]],DIAS!A:H,8,0)</f>
        <v>46265</v>
      </c>
      <c r="V954" s="6">
        <v>0</v>
      </c>
      <c r="W954" s="43">
        <f>VLOOKUP(Tabla1[[#This Row],[PAGO DIA]],DIAS!A:I,9,0)</f>
        <v>46295</v>
      </c>
      <c r="X954" s="6">
        <v>0</v>
      </c>
      <c r="Y954" s="43">
        <f>VLOOKUP(Tabla1[[#This Row],[PAGO DIA]],DIAS!A:J,10,0)</f>
        <v>46325</v>
      </c>
      <c r="Z954" s="6">
        <v>0</v>
      </c>
      <c r="AA954" s="43">
        <f>VLOOKUP(Tabla1[[#This Row],[PAGO DIA]],DIAS!A:K,11,0)</f>
        <v>46356</v>
      </c>
      <c r="AB954" s="6">
        <v>0</v>
      </c>
      <c r="AC954" s="43">
        <f>VLOOKUP(Tabla1[[#This Row],[PAGO DIA]],DIAS!A:M,12,0)</f>
        <v>46386</v>
      </c>
      <c r="AD9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5" spans="1:30">
      <c r="A955" s="3">
        <v>11685</v>
      </c>
      <c r="B955" s="3" t="s">
        <v>538</v>
      </c>
      <c r="C955" s="3" t="s">
        <v>540</v>
      </c>
      <c r="D955" s="3" t="s">
        <v>540</v>
      </c>
      <c r="E955" s="3" t="s">
        <v>1508</v>
      </c>
      <c r="F955" s="42" t="s">
        <v>631</v>
      </c>
      <c r="G955" s="3" t="s">
        <v>1515</v>
      </c>
      <c r="H955" s="6">
        <v>0</v>
      </c>
      <c r="I955" s="41">
        <f>VLOOKUP(Tabla1[[#This Row],[PAGO DIA]],DIAS!A:B,2,0)</f>
        <v>46080</v>
      </c>
      <c r="J955" s="6">
        <v>0</v>
      </c>
      <c r="K955" s="43">
        <f>VLOOKUP(Tabla1[[#This Row],[PAGO DIA]],DIAS!A:C,3,0)</f>
        <v>46112</v>
      </c>
      <c r="L955" s="6">
        <v>0</v>
      </c>
      <c r="M955" s="41">
        <f>VLOOKUP(Tabla1[[#This Row],[PAGO DIA]],DIAS!A:D,4,0)</f>
        <v>46142</v>
      </c>
      <c r="N955" s="6">
        <v>0</v>
      </c>
      <c r="O955" s="43">
        <f>VLOOKUP(Tabla1[[#This Row],[PAGO DIA]],DIAS!A:E,5,0)</f>
        <v>46171</v>
      </c>
      <c r="P955" s="6">
        <v>0</v>
      </c>
      <c r="Q955" s="43">
        <f>VLOOKUP(Tabla1[[#This Row],[PAGO DIA]],DIAS!A:F,6,0)</f>
        <v>46203</v>
      </c>
      <c r="R955" s="6">
        <v>0</v>
      </c>
      <c r="S955" s="43">
        <f>VLOOKUP(Tabla1[[#This Row],[PAGO DIA]],DIAS!A:G,7,0)</f>
        <v>46234</v>
      </c>
      <c r="T955" s="6">
        <v>0</v>
      </c>
      <c r="U955" s="43">
        <f>VLOOKUP(Tabla1[[#This Row],[PAGO DIA]],DIAS!A:H,8,0)</f>
        <v>46265</v>
      </c>
      <c r="V955" s="6">
        <v>0</v>
      </c>
      <c r="W955" s="43">
        <f>VLOOKUP(Tabla1[[#This Row],[PAGO DIA]],DIAS!A:I,9,0)</f>
        <v>46295</v>
      </c>
      <c r="X955" s="6">
        <v>0</v>
      </c>
      <c r="Y955" s="43">
        <f>VLOOKUP(Tabla1[[#This Row],[PAGO DIA]],DIAS!A:J,10,0)</f>
        <v>46325</v>
      </c>
      <c r="Z955" s="6">
        <v>0</v>
      </c>
      <c r="AA955" s="43">
        <f>VLOOKUP(Tabla1[[#This Row],[PAGO DIA]],DIAS!A:K,11,0)</f>
        <v>46356</v>
      </c>
      <c r="AB955" s="6">
        <v>0</v>
      </c>
      <c r="AC955" s="43">
        <f>VLOOKUP(Tabla1[[#This Row],[PAGO DIA]],DIAS!A:M,12,0)</f>
        <v>46386</v>
      </c>
      <c r="AD9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6" spans="1:30">
      <c r="A956" s="3">
        <v>11686</v>
      </c>
      <c r="B956" s="3" t="s">
        <v>538</v>
      </c>
      <c r="C956" s="3" t="s">
        <v>540</v>
      </c>
      <c r="D956" s="3" t="s">
        <v>540</v>
      </c>
      <c r="E956" s="3" t="s">
        <v>1508</v>
      </c>
      <c r="F956" s="42" t="s">
        <v>631</v>
      </c>
      <c r="G956" s="3" t="s">
        <v>1516</v>
      </c>
      <c r="H956" s="6">
        <v>0</v>
      </c>
      <c r="I956" s="41">
        <f>VLOOKUP(Tabla1[[#This Row],[PAGO DIA]],DIAS!A:B,2,0)</f>
        <v>46080</v>
      </c>
      <c r="J956" s="6">
        <v>0</v>
      </c>
      <c r="K956" s="43">
        <f>VLOOKUP(Tabla1[[#This Row],[PAGO DIA]],DIAS!A:C,3,0)</f>
        <v>46112</v>
      </c>
      <c r="L956" s="6">
        <v>0</v>
      </c>
      <c r="M956" s="41">
        <f>VLOOKUP(Tabla1[[#This Row],[PAGO DIA]],DIAS!A:D,4,0)</f>
        <v>46142</v>
      </c>
      <c r="N956" s="6">
        <v>0</v>
      </c>
      <c r="O956" s="43">
        <f>VLOOKUP(Tabla1[[#This Row],[PAGO DIA]],DIAS!A:E,5,0)</f>
        <v>46171</v>
      </c>
      <c r="P956" s="6">
        <v>0</v>
      </c>
      <c r="Q956" s="43">
        <f>VLOOKUP(Tabla1[[#This Row],[PAGO DIA]],DIAS!A:F,6,0)</f>
        <v>46203</v>
      </c>
      <c r="R956" s="6">
        <v>0</v>
      </c>
      <c r="S956" s="43">
        <f>VLOOKUP(Tabla1[[#This Row],[PAGO DIA]],DIAS!A:G,7,0)</f>
        <v>46234</v>
      </c>
      <c r="T956" s="6">
        <v>0</v>
      </c>
      <c r="U956" s="43">
        <f>VLOOKUP(Tabla1[[#This Row],[PAGO DIA]],DIAS!A:H,8,0)</f>
        <v>46265</v>
      </c>
      <c r="V956" s="6">
        <v>0</v>
      </c>
      <c r="W956" s="43">
        <f>VLOOKUP(Tabla1[[#This Row],[PAGO DIA]],DIAS!A:I,9,0)</f>
        <v>46295</v>
      </c>
      <c r="X956" s="6">
        <v>0</v>
      </c>
      <c r="Y956" s="43">
        <f>VLOOKUP(Tabla1[[#This Row],[PAGO DIA]],DIAS!A:J,10,0)</f>
        <v>46325</v>
      </c>
      <c r="Z956" s="6">
        <v>0</v>
      </c>
      <c r="AA956" s="43">
        <f>VLOOKUP(Tabla1[[#This Row],[PAGO DIA]],DIAS!A:K,11,0)</f>
        <v>46356</v>
      </c>
      <c r="AB956" s="6">
        <v>0</v>
      </c>
      <c r="AC956" s="43">
        <f>VLOOKUP(Tabla1[[#This Row],[PAGO DIA]],DIAS!A:M,12,0)</f>
        <v>46386</v>
      </c>
      <c r="AD9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7" spans="1:30">
      <c r="A957" s="3">
        <v>11687</v>
      </c>
      <c r="B957" s="3" t="s">
        <v>538</v>
      </c>
      <c r="C957" s="3" t="s">
        <v>540</v>
      </c>
      <c r="D957" s="3" t="s">
        <v>540</v>
      </c>
      <c r="E957" s="3" t="s">
        <v>1508</v>
      </c>
      <c r="F957" s="42" t="s">
        <v>631</v>
      </c>
      <c r="G957" s="3" t="s">
        <v>1517</v>
      </c>
      <c r="H957" s="6">
        <v>0</v>
      </c>
      <c r="I957" s="41">
        <f>VLOOKUP(Tabla1[[#This Row],[PAGO DIA]],DIAS!A:B,2,0)</f>
        <v>46080</v>
      </c>
      <c r="J957" s="6">
        <v>0</v>
      </c>
      <c r="K957" s="43">
        <f>VLOOKUP(Tabla1[[#This Row],[PAGO DIA]],DIAS!A:C,3,0)</f>
        <v>46112</v>
      </c>
      <c r="L957" s="6">
        <v>0</v>
      </c>
      <c r="M957" s="41">
        <f>VLOOKUP(Tabla1[[#This Row],[PAGO DIA]],DIAS!A:D,4,0)</f>
        <v>46142</v>
      </c>
      <c r="N957" s="6">
        <v>0</v>
      </c>
      <c r="O957" s="43">
        <f>VLOOKUP(Tabla1[[#This Row],[PAGO DIA]],DIAS!A:E,5,0)</f>
        <v>46171</v>
      </c>
      <c r="P957" s="6">
        <v>0</v>
      </c>
      <c r="Q957" s="43">
        <f>VLOOKUP(Tabla1[[#This Row],[PAGO DIA]],DIAS!A:F,6,0)</f>
        <v>46203</v>
      </c>
      <c r="R957" s="6">
        <v>0</v>
      </c>
      <c r="S957" s="43">
        <f>VLOOKUP(Tabla1[[#This Row],[PAGO DIA]],DIAS!A:G,7,0)</f>
        <v>46234</v>
      </c>
      <c r="T957" s="6">
        <v>0</v>
      </c>
      <c r="U957" s="43">
        <f>VLOOKUP(Tabla1[[#This Row],[PAGO DIA]],DIAS!A:H,8,0)</f>
        <v>46265</v>
      </c>
      <c r="V957" s="6">
        <v>0</v>
      </c>
      <c r="W957" s="43">
        <f>VLOOKUP(Tabla1[[#This Row],[PAGO DIA]],DIAS!A:I,9,0)</f>
        <v>46295</v>
      </c>
      <c r="X957" s="6">
        <v>0</v>
      </c>
      <c r="Y957" s="43">
        <f>VLOOKUP(Tabla1[[#This Row],[PAGO DIA]],DIAS!A:J,10,0)</f>
        <v>46325</v>
      </c>
      <c r="Z957" s="6">
        <v>0</v>
      </c>
      <c r="AA957" s="43">
        <f>VLOOKUP(Tabla1[[#This Row],[PAGO DIA]],DIAS!A:K,11,0)</f>
        <v>46356</v>
      </c>
      <c r="AB957" s="6">
        <v>0</v>
      </c>
      <c r="AC957" s="43">
        <f>VLOOKUP(Tabla1[[#This Row],[PAGO DIA]],DIAS!A:M,12,0)</f>
        <v>46386</v>
      </c>
      <c r="AD9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8" spans="1:30">
      <c r="A958" s="3">
        <v>11688</v>
      </c>
      <c r="B958" s="3" t="s">
        <v>538</v>
      </c>
      <c r="C958" s="3" t="s">
        <v>540</v>
      </c>
      <c r="D958" s="3" t="s">
        <v>540</v>
      </c>
      <c r="E958" s="3" t="s">
        <v>1508</v>
      </c>
      <c r="F958" s="42" t="s">
        <v>631</v>
      </c>
      <c r="G958" s="3" t="s">
        <v>1518</v>
      </c>
      <c r="H958" s="6">
        <v>0</v>
      </c>
      <c r="I958" s="41">
        <f>VLOOKUP(Tabla1[[#This Row],[PAGO DIA]],DIAS!A:B,2,0)</f>
        <v>46080</v>
      </c>
      <c r="J958" s="6">
        <v>0</v>
      </c>
      <c r="K958" s="43">
        <f>VLOOKUP(Tabla1[[#This Row],[PAGO DIA]],DIAS!A:C,3,0)</f>
        <v>46112</v>
      </c>
      <c r="L958" s="6">
        <v>0</v>
      </c>
      <c r="M958" s="41">
        <f>VLOOKUP(Tabla1[[#This Row],[PAGO DIA]],DIAS!A:D,4,0)</f>
        <v>46142</v>
      </c>
      <c r="N958" s="6">
        <v>0</v>
      </c>
      <c r="O958" s="43">
        <f>VLOOKUP(Tabla1[[#This Row],[PAGO DIA]],DIAS!A:E,5,0)</f>
        <v>46171</v>
      </c>
      <c r="P958" s="6">
        <v>0</v>
      </c>
      <c r="Q958" s="43">
        <f>VLOOKUP(Tabla1[[#This Row],[PAGO DIA]],DIAS!A:F,6,0)</f>
        <v>46203</v>
      </c>
      <c r="R958" s="6">
        <v>0</v>
      </c>
      <c r="S958" s="43">
        <f>VLOOKUP(Tabla1[[#This Row],[PAGO DIA]],DIAS!A:G,7,0)</f>
        <v>46234</v>
      </c>
      <c r="T958" s="6">
        <v>0</v>
      </c>
      <c r="U958" s="43">
        <f>VLOOKUP(Tabla1[[#This Row],[PAGO DIA]],DIAS!A:H,8,0)</f>
        <v>46265</v>
      </c>
      <c r="V958" s="6">
        <v>0</v>
      </c>
      <c r="W958" s="43">
        <f>VLOOKUP(Tabla1[[#This Row],[PAGO DIA]],DIAS!A:I,9,0)</f>
        <v>46295</v>
      </c>
      <c r="X958" s="6">
        <v>0</v>
      </c>
      <c r="Y958" s="43">
        <f>VLOOKUP(Tabla1[[#This Row],[PAGO DIA]],DIAS!A:J,10,0)</f>
        <v>46325</v>
      </c>
      <c r="Z958" s="6">
        <v>0</v>
      </c>
      <c r="AA958" s="43">
        <f>VLOOKUP(Tabla1[[#This Row],[PAGO DIA]],DIAS!A:K,11,0)</f>
        <v>46356</v>
      </c>
      <c r="AB958" s="6">
        <v>0</v>
      </c>
      <c r="AC958" s="43">
        <f>VLOOKUP(Tabla1[[#This Row],[PAGO DIA]],DIAS!A:M,12,0)</f>
        <v>46386</v>
      </c>
      <c r="AD9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59" spans="1:30">
      <c r="A959" s="3">
        <v>11689</v>
      </c>
      <c r="B959" s="3" t="s">
        <v>538</v>
      </c>
      <c r="C959" s="3" t="s">
        <v>540</v>
      </c>
      <c r="D959" s="3" t="s">
        <v>540</v>
      </c>
      <c r="E959" s="3" t="s">
        <v>1508</v>
      </c>
      <c r="F959" s="42" t="s">
        <v>631</v>
      </c>
      <c r="G959" s="3" t="s">
        <v>1519</v>
      </c>
      <c r="H959" s="6">
        <v>0</v>
      </c>
      <c r="I959" s="41">
        <f>VLOOKUP(Tabla1[[#This Row],[PAGO DIA]],DIAS!A:B,2,0)</f>
        <v>46080</v>
      </c>
      <c r="J959" s="6">
        <v>0</v>
      </c>
      <c r="K959" s="43">
        <f>VLOOKUP(Tabla1[[#This Row],[PAGO DIA]],DIAS!A:C,3,0)</f>
        <v>46112</v>
      </c>
      <c r="L959" s="6">
        <v>0</v>
      </c>
      <c r="M959" s="41">
        <f>VLOOKUP(Tabla1[[#This Row],[PAGO DIA]],DIAS!A:D,4,0)</f>
        <v>46142</v>
      </c>
      <c r="N959" s="6">
        <v>0</v>
      </c>
      <c r="O959" s="43">
        <f>VLOOKUP(Tabla1[[#This Row],[PAGO DIA]],DIAS!A:E,5,0)</f>
        <v>46171</v>
      </c>
      <c r="P959" s="6">
        <v>0</v>
      </c>
      <c r="Q959" s="43">
        <f>VLOOKUP(Tabla1[[#This Row],[PAGO DIA]],DIAS!A:F,6,0)</f>
        <v>46203</v>
      </c>
      <c r="R959" s="6">
        <v>0</v>
      </c>
      <c r="S959" s="43">
        <f>VLOOKUP(Tabla1[[#This Row],[PAGO DIA]],DIAS!A:G,7,0)</f>
        <v>46234</v>
      </c>
      <c r="T959" s="6">
        <v>0</v>
      </c>
      <c r="U959" s="43">
        <f>VLOOKUP(Tabla1[[#This Row],[PAGO DIA]],DIAS!A:H,8,0)</f>
        <v>46265</v>
      </c>
      <c r="V959" s="6">
        <v>0</v>
      </c>
      <c r="W959" s="43">
        <f>VLOOKUP(Tabla1[[#This Row],[PAGO DIA]],DIAS!A:I,9,0)</f>
        <v>46295</v>
      </c>
      <c r="X959" s="6">
        <v>0</v>
      </c>
      <c r="Y959" s="43">
        <f>VLOOKUP(Tabla1[[#This Row],[PAGO DIA]],DIAS!A:J,10,0)</f>
        <v>46325</v>
      </c>
      <c r="Z959" s="6">
        <v>0</v>
      </c>
      <c r="AA959" s="43">
        <f>VLOOKUP(Tabla1[[#This Row],[PAGO DIA]],DIAS!A:K,11,0)</f>
        <v>46356</v>
      </c>
      <c r="AB959" s="6">
        <v>0</v>
      </c>
      <c r="AC959" s="43">
        <f>VLOOKUP(Tabla1[[#This Row],[PAGO DIA]],DIAS!A:M,12,0)</f>
        <v>46386</v>
      </c>
      <c r="AD9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0" spans="1:30">
      <c r="A960" s="3">
        <v>11690</v>
      </c>
      <c r="B960" s="3" t="s">
        <v>538</v>
      </c>
      <c r="C960" s="3" t="s">
        <v>540</v>
      </c>
      <c r="D960" s="3" t="s">
        <v>540</v>
      </c>
      <c r="E960" s="3" t="s">
        <v>1508</v>
      </c>
      <c r="F960" s="42" t="s">
        <v>631</v>
      </c>
      <c r="G960" s="3" t="s">
        <v>1520</v>
      </c>
      <c r="H960" s="6">
        <v>0</v>
      </c>
      <c r="I960" s="41">
        <f>VLOOKUP(Tabla1[[#This Row],[PAGO DIA]],DIAS!A:B,2,0)</f>
        <v>46080</v>
      </c>
      <c r="J960" s="6">
        <v>0</v>
      </c>
      <c r="K960" s="43">
        <f>VLOOKUP(Tabla1[[#This Row],[PAGO DIA]],DIAS!A:C,3,0)</f>
        <v>46112</v>
      </c>
      <c r="L960" s="6">
        <v>0</v>
      </c>
      <c r="M960" s="41">
        <f>VLOOKUP(Tabla1[[#This Row],[PAGO DIA]],DIAS!A:D,4,0)</f>
        <v>46142</v>
      </c>
      <c r="N960" s="6">
        <v>0</v>
      </c>
      <c r="O960" s="43">
        <f>VLOOKUP(Tabla1[[#This Row],[PAGO DIA]],DIAS!A:E,5,0)</f>
        <v>46171</v>
      </c>
      <c r="P960" s="6">
        <v>0</v>
      </c>
      <c r="Q960" s="43">
        <f>VLOOKUP(Tabla1[[#This Row],[PAGO DIA]],DIAS!A:F,6,0)</f>
        <v>46203</v>
      </c>
      <c r="R960" s="6">
        <v>0</v>
      </c>
      <c r="S960" s="43">
        <f>VLOOKUP(Tabla1[[#This Row],[PAGO DIA]],DIAS!A:G,7,0)</f>
        <v>46234</v>
      </c>
      <c r="T960" s="6">
        <v>0</v>
      </c>
      <c r="U960" s="43">
        <f>VLOOKUP(Tabla1[[#This Row],[PAGO DIA]],DIAS!A:H,8,0)</f>
        <v>46265</v>
      </c>
      <c r="V960" s="6">
        <v>0</v>
      </c>
      <c r="W960" s="43">
        <f>VLOOKUP(Tabla1[[#This Row],[PAGO DIA]],DIAS!A:I,9,0)</f>
        <v>46295</v>
      </c>
      <c r="X960" s="6">
        <v>0</v>
      </c>
      <c r="Y960" s="43">
        <f>VLOOKUP(Tabla1[[#This Row],[PAGO DIA]],DIAS!A:J,10,0)</f>
        <v>46325</v>
      </c>
      <c r="Z960" s="6">
        <v>0</v>
      </c>
      <c r="AA960" s="43">
        <f>VLOOKUP(Tabla1[[#This Row],[PAGO DIA]],DIAS!A:K,11,0)</f>
        <v>46356</v>
      </c>
      <c r="AB960" s="6">
        <v>0</v>
      </c>
      <c r="AC960" s="43">
        <f>VLOOKUP(Tabla1[[#This Row],[PAGO DIA]],DIAS!A:M,12,0)</f>
        <v>46386</v>
      </c>
      <c r="AD9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1" spans="1:30">
      <c r="A961" s="3">
        <v>11691</v>
      </c>
      <c r="B961" s="3" t="s">
        <v>538</v>
      </c>
      <c r="C961" s="3" t="s">
        <v>540</v>
      </c>
      <c r="D961" s="3" t="s">
        <v>540</v>
      </c>
      <c r="E961" s="3" t="s">
        <v>1508</v>
      </c>
      <c r="F961" s="42" t="s">
        <v>631</v>
      </c>
      <c r="G961" s="3" t="s">
        <v>1521</v>
      </c>
      <c r="H961" s="6">
        <v>0</v>
      </c>
      <c r="I961" s="41">
        <f>VLOOKUP(Tabla1[[#This Row],[PAGO DIA]],DIAS!A:B,2,0)</f>
        <v>46080</v>
      </c>
      <c r="J961" s="6">
        <v>0</v>
      </c>
      <c r="K961" s="43">
        <f>VLOOKUP(Tabla1[[#This Row],[PAGO DIA]],DIAS!A:C,3,0)</f>
        <v>46112</v>
      </c>
      <c r="L961" s="6">
        <v>0</v>
      </c>
      <c r="M961" s="41">
        <f>VLOOKUP(Tabla1[[#This Row],[PAGO DIA]],DIAS!A:D,4,0)</f>
        <v>46142</v>
      </c>
      <c r="N961" s="6">
        <v>0</v>
      </c>
      <c r="O961" s="43">
        <f>VLOOKUP(Tabla1[[#This Row],[PAGO DIA]],DIAS!A:E,5,0)</f>
        <v>46171</v>
      </c>
      <c r="P961" s="6">
        <v>0</v>
      </c>
      <c r="Q961" s="43">
        <f>VLOOKUP(Tabla1[[#This Row],[PAGO DIA]],DIAS!A:F,6,0)</f>
        <v>46203</v>
      </c>
      <c r="R961" s="6">
        <v>0</v>
      </c>
      <c r="S961" s="43">
        <f>VLOOKUP(Tabla1[[#This Row],[PAGO DIA]],DIAS!A:G,7,0)</f>
        <v>46234</v>
      </c>
      <c r="T961" s="6">
        <v>0</v>
      </c>
      <c r="U961" s="43">
        <f>VLOOKUP(Tabla1[[#This Row],[PAGO DIA]],DIAS!A:H,8,0)</f>
        <v>46265</v>
      </c>
      <c r="V961" s="6">
        <v>0</v>
      </c>
      <c r="W961" s="43">
        <f>VLOOKUP(Tabla1[[#This Row],[PAGO DIA]],DIAS!A:I,9,0)</f>
        <v>46295</v>
      </c>
      <c r="X961" s="6">
        <v>0</v>
      </c>
      <c r="Y961" s="43">
        <f>VLOOKUP(Tabla1[[#This Row],[PAGO DIA]],DIAS!A:J,10,0)</f>
        <v>46325</v>
      </c>
      <c r="Z961" s="6">
        <v>0</v>
      </c>
      <c r="AA961" s="43">
        <f>VLOOKUP(Tabla1[[#This Row],[PAGO DIA]],DIAS!A:K,11,0)</f>
        <v>46356</v>
      </c>
      <c r="AB961" s="6">
        <v>0</v>
      </c>
      <c r="AC961" s="43">
        <f>VLOOKUP(Tabla1[[#This Row],[PAGO DIA]],DIAS!A:M,12,0)</f>
        <v>46386</v>
      </c>
      <c r="AD9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2" spans="1:30">
      <c r="A962" s="3">
        <v>11692</v>
      </c>
      <c r="B962" s="3" t="s">
        <v>538</v>
      </c>
      <c r="C962" s="3" t="s">
        <v>540</v>
      </c>
      <c r="D962" s="3" t="s">
        <v>540</v>
      </c>
      <c r="E962" s="3" t="s">
        <v>1508</v>
      </c>
      <c r="F962" s="42" t="s">
        <v>631</v>
      </c>
      <c r="G962" s="3" t="s">
        <v>1522</v>
      </c>
      <c r="H962" s="6">
        <v>0</v>
      </c>
      <c r="I962" s="41">
        <f>VLOOKUP(Tabla1[[#This Row],[PAGO DIA]],DIAS!A:B,2,0)</f>
        <v>46080</v>
      </c>
      <c r="J962" s="6">
        <v>0</v>
      </c>
      <c r="K962" s="43">
        <f>VLOOKUP(Tabla1[[#This Row],[PAGO DIA]],DIAS!A:C,3,0)</f>
        <v>46112</v>
      </c>
      <c r="L962" s="6">
        <v>0</v>
      </c>
      <c r="M962" s="41">
        <f>VLOOKUP(Tabla1[[#This Row],[PAGO DIA]],DIAS!A:D,4,0)</f>
        <v>46142</v>
      </c>
      <c r="N962" s="6">
        <v>0</v>
      </c>
      <c r="O962" s="43">
        <f>VLOOKUP(Tabla1[[#This Row],[PAGO DIA]],DIAS!A:E,5,0)</f>
        <v>46171</v>
      </c>
      <c r="P962" s="6">
        <v>0</v>
      </c>
      <c r="Q962" s="43">
        <f>VLOOKUP(Tabla1[[#This Row],[PAGO DIA]],DIAS!A:F,6,0)</f>
        <v>46203</v>
      </c>
      <c r="R962" s="6">
        <v>0</v>
      </c>
      <c r="S962" s="43">
        <f>VLOOKUP(Tabla1[[#This Row],[PAGO DIA]],DIAS!A:G,7,0)</f>
        <v>46234</v>
      </c>
      <c r="T962" s="6">
        <v>0</v>
      </c>
      <c r="U962" s="43">
        <f>VLOOKUP(Tabla1[[#This Row],[PAGO DIA]],DIAS!A:H,8,0)</f>
        <v>46265</v>
      </c>
      <c r="V962" s="6">
        <v>0</v>
      </c>
      <c r="W962" s="43">
        <f>VLOOKUP(Tabla1[[#This Row],[PAGO DIA]],DIAS!A:I,9,0)</f>
        <v>46295</v>
      </c>
      <c r="X962" s="6">
        <v>0</v>
      </c>
      <c r="Y962" s="43">
        <f>VLOOKUP(Tabla1[[#This Row],[PAGO DIA]],DIAS!A:J,10,0)</f>
        <v>46325</v>
      </c>
      <c r="Z962" s="6">
        <v>0</v>
      </c>
      <c r="AA962" s="43">
        <f>VLOOKUP(Tabla1[[#This Row],[PAGO DIA]],DIAS!A:K,11,0)</f>
        <v>46356</v>
      </c>
      <c r="AB962" s="6">
        <v>0</v>
      </c>
      <c r="AC962" s="43">
        <f>VLOOKUP(Tabla1[[#This Row],[PAGO DIA]],DIAS!A:M,12,0)</f>
        <v>46386</v>
      </c>
      <c r="AD9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3" spans="1:30">
      <c r="A963" s="3">
        <v>11693</v>
      </c>
      <c r="B963" s="3" t="s">
        <v>538</v>
      </c>
      <c r="C963" s="3" t="s">
        <v>540</v>
      </c>
      <c r="D963" s="3" t="s">
        <v>540</v>
      </c>
      <c r="E963" s="3" t="s">
        <v>1508</v>
      </c>
      <c r="F963" s="42" t="s">
        <v>631</v>
      </c>
      <c r="G963" s="3" t="s">
        <v>1523</v>
      </c>
      <c r="H963" s="6">
        <v>0</v>
      </c>
      <c r="I963" s="41">
        <f>VLOOKUP(Tabla1[[#This Row],[PAGO DIA]],DIAS!A:B,2,0)</f>
        <v>46080</v>
      </c>
      <c r="J963" s="6">
        <v>0</v>
      </c>
      <c r="K963" s="43">
        <f>VLOOKUP(Tabla1[[#This Row],[PAGO DIA]],DIAS!A:C,3,0)</f>
        <v>46112</v>
      </c>
      <c r="L963" s="6">
        <v>0</v>
      </c>
      <c r="M963" s="41">
        <f>VLOOKUP(Tabla1[[#This Row],[PAGO DIA]],DIAS!A:D,4,0)</f>
        <v>46142</v>
      </c>
      <c r="N963" s="6">
        <v>0</v>
      </c>
      <c r="O963" s="43">
        <f>VLOOKUP(Tabla1[[#This Row],[PAGO DIA]],DIAS!A:E,5,0)</f>
        <v>46171</v>
      </c>
      <c r="P963" s="6">
        <v>0</v>
      </c>
      <c r="Q963" s="43">
        <f>VLOOKUP(Tabla1[[#This Row],[PAGO DIA]],DIAS!A:F,6,0)</f>
        <v>46203</v>
      </c>
      <c r="R963" s="6">
        <v>0</v>
      </c>
      <c r="S963" s="43">
        <f>VLOOKUP(Tabla1[[#This Row],[PAGO DIA]],DIAS!A:G,7,0)</f>
        <v>46234</v>
      </c>
      <c r="T963" s="6">
        <v>0</v>
      </c>
      <c r="U963" s="43">
        <f>VLOOKUP(Tabla1[[#This Row],[PAGO DIA]],DIAS!A:H,8,0)</f>
        <v>46265</v>
      </c>
      <c r="V963" s="6">
        <v>0</v>
      </c>
      <c r="W963" s="43">
        <f>VLOOKUP(Tabla1[[#This Row],[PAGO DIA]],DIAS!A:I,9,0)</f>
        <v>46295</v>
      </c>
      <c r="X963" s="6">
        <v>0</v>
      </c>
      <c r="Y963" s="43">
        <f>VLOOKUP(Tabla1[[#This Row],[PAGO DIA]],DIAS!A:J,10,0)</f>
        <v>46325</v>
      </c>
      <c r="Z963" s="6">
        <v>0</v>
      </c>
      <c r="AA963" s="43">
        <f>VLOOKUP(Tabla1[[#This Row],[PAGO DIA]],DIAS!A:K,11,0)</f>
        <v>46356</v>
      </c>
      <c r="AB963" s="6">
        <v>0</v>
      </c>
      <c r="AC963" s="43">
        <f>VLOOKUP(Tabla1[[#This Row],[PAGO DIA]],DIAS!A:M,12,0)</f>
        <v>46386</v>
      </c>
      <c r="AD9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4" spans="1:30">
      <c r="A964" s="3">
        <v>11694</v>
      </c>
      <c r="B964" s="3" t="s">
        <v>538</v>
      </c>
      <c r="C964" s="3" t="s">
        <v>540</v>
      </c>
      <c r="D964" s="3" t="s">
        <v>540</v>
      </c>
      <c r="E964" s="3" t="s">
        <v>1508</v>
      </c>
      <c r="F964" s="42" t="s">
        <v>631</v>
      </c>
      <c r="G964" s="3" t="s">
        <v>1524</v>
      </c>
      <c r="H964" s="6">
        <v>0</v>
      </c>
      <c r="I964" s="41">
        <f>VLOOKUP(Tabla1[[#This Row],[PAGO DIA]],DIAS!A:B,2,0)</f>
        <v>46080</v>
      </c>
      <c r="J964" s="6">
        <v>0</v>
      </c>
      <c r="K964" s="43">
        <f>VLOOKUP(Tabla1[[#This Row],[PAGO DIA]],DIAS!A:C,3,0)</f>
        <v>46112</v>
      </c>
      <c r="L964" s="6">
        <v>0</v>
      </c>
      <c r="M964" s="41">
        <f>VLOOKUP(Tabla1[[#This Row],[PAGO DIA]],DIAS!A:D,4,0)</f>
        <v>46142</v>
      </c>
      <c r="N964" s="6">
        <v>0</v>
      </c>
      <c r="O964" s="43">
        <f>VLOOKUP(Tabla1[[#This Row],[PAGO DIA]],DIAS!A:E,5,0)</f>
        <v>46171</v>
      </c>
      <c r="P964" s="6">
        <v>0</v>
      </c>
      <c r="Q964" s="43">
        <f>VLOOKUP(Tabla1[[#This Row],[PAGO DIA]],DIAS!A:F,6,0)</f>
        <v>46203</v>
      </c>
      <c r="R964" s="6">
        <v>0</v>
      </c>
      <c r="S964" s="43">
        <f>VLOOKUP(Tabla1[[#This Row],[PAGO DIA]],DIAS!A:G,7,0)</f>
        <v>46234</v>
      </c>
      <c r="T964" s="6">
        <v>0</v>
      </c>
      <c r="U964" s="43">
        <f>VLOOKUP(Tabla1[[#This Row],[PAGO DIA]],DIAS!A:H,8,0)</f>
        <v>46265</v>
      </c>
      <c r="V964" s="6">
        <v>0</v>
      </c>
      <c r="W964" s="43">
        <f>VLOOKUP(Tabla1[[#This Row],[PAGO DIA]],DIAS!A:I,9,0)</f>
        <v>46295</v>
      </c>
      <c r="X964" s="6">
        <v>0</v>
      </c>
      <c r="Y964" s="43">
        <f>VLOOKUP(Tabla1[[#This Row],[PAGO DIA]],DIAS!A:J,10,0)</f>
        <v>46325</v>
      </c>
      <c r="Z964" s="6">
        <v>0</v>
      </c>
      <c r="AA964" s="43">
        <f>VLOOKUP(Tabla1[[#This Row],[PAGO DIA]],DIAS!A:K,11,0)</f>
        <v>46356</v>
      </c>
      <c r="AB964" s="6">
        <v>0</v>
      </c>
      <c r="AC964" s="43">
        <f>VLOOKUP(Tabla1[[#This Row],[PAGO DIA]],DIAS!A:M,12,0)</f>
        <v>46386</v>
      </c>
      <c r="AD9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5" spans="1:30">
      <c r="A965" s="3">
        <v>11695</v>
      </c>
      <c r="B965" s="3" t="s">
        <v>538</v>
      </c>
      <c r="C965" s="3" t="s">
        <v>540</v>
      </c>
      <c r="D965" s="3" t="s">
        <v>540</v>
      </c>
      <c r="E965" s="3" t="s">
        <v>1508</v>
      </c>
      <c r="F965" s="42" t="s">
        <v>631</v>
      </c>
      <c r="G965" s="3" t="s">
        <v>1525</v>
      </c>
      <c r="H965" s="6">
        <v>0</v>
      </c>
      <c r="I965" s="41">
        <f>VLOOKUP(Tabla1[[#This Row],[PAGO DIA]],DIAS!A:B,2,0)</f>
        <v>46080</v>
      </c>
      <c r="J965" s="6">
        <v>0</v>
      </c>
      <c r="K965" s="43">
        <f>VLOOKUP(Tabla1[[#This Row],[PAGO DIA]],DIAS!A:C,3,0)</f>
        <v>46112</v>
      </c>
      <c r="L965" s="6">
        <v>0</v>
      </c>
      <c r="M965" s="41">
        <f>VLOOKUP(Tabla1[[#This Row],[PAGO DIA]],DIAS!A:D,4,0)</f>
        <v>46142</v>
      </c>
      <c r="N965" s="6">
        <v>0</v>
      </c>
      <c r="O965" s="43">
        <f>VLOOKUP(Tabla1[[#This Row],[PAGO DIA]],DIAS!A:E,5,0)</f>
        <v>46171</v>
      </c>
      <c r="P965" s="6">
        <v>0</v>
      </c>
      <c r="Q965" s="43">
        <f>VLOOKUP(Tabla1[[#This Row],[PAGO DIA]],DIAS!A:F,6,0)</f>
        <v>46203</v>
      </c>
      <c r="R965" s="6">
        <v>0</v>
      </c>
      <c r="S965" s="43">
        <f>VLOOKUP(Tabla1[[#This Row],[PAGO DIA]],DIAS!A:G,7,0)</f>
        <v>46234</v>
      </c>
      <c r="T965" s="6">
        <v>0</v>
      </c>
      <c r="U965" s="43">
        <f>VLOOKUP(Tabla1[[#This Row],[PAGO DIA]],DIAS!A:H,8,0)</f>
        <v>46265</v>
      </c>
      <c r="V965" s="6">
        <v>0</v>
      </c>
      <c r="W965" s="43">
        <f>VLOOKUP(Tabla1[[#This Row],[PAGO DIA]],DIAS!A:I,9,0)</f>
        <v>46295</v>
      </c>
      <c r="X965" s="6">
        <v>0</v>
      </c>
      <c r="Y965" s="43">
        <f>VLOOKUP(Tabla1[[#This Row],[PAGO DIA]],DIAS!A:J,10,0)</f>
        <v>46325</v>
      </c>
      <c r="Z965" s="6">
        <v>0</v>
      </c>
      <c r="AA965" s="43">
        <f>VLOOKUP(Tabla1[[#This Row],[PAGO DIA]],DIAS!A:K,11,0)</f>
        <v>46356</v>
      </c>
      <c r="AB965" s="6">
        <v>0</v>
      </c>
      <c r="AC965" s="43">
        <f>VLOOKUP(Tabla1[[#This Row],[PAGO DIA]],DIAS!A:M,12,0)</f>
        <v>46386</v>
      </c>
      <c r="AD9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6" spans="1:30">
      <c r="A966" s="3">
        <v>11696</v>
      </c>
      <c r="B966" s="3" t="s">
        <v>538</v>
      </c>
      <c r="C966" s="3" t="s">
        <v>540</v>
      </c>
      <c r="D966" s="3" t="s">
        <v>540</v>
      </c>
      <c r="E966" s="3" t="s">
        <v>1508</v>
      </c>
      <c r="F966" s="42" t="s">
        <v>631</v>
      </c>
      <c r="G966" s="3" t="s">
        <v>1526</v>
      </c>
      <c r="H966" s="6">
        <v>0</v>
      </c>
      <c r="I966" s="41">
        <f>VLOOKUP(Tabla1[[#This Row],[PAGO DIA]],DIAS!A:B,2,0)</f>
        <v>46080</v>
      </c>
      <c r="J966" s="6">
        <v>0</v>
      </c>
      <c r="K966" s="43">
        <f>VLOOKUP(Tabla1[[#This Row],[PAGO DIA]],DIAS!A:C,3,0)</f>
        <v>46112</v>
      </c>
      <c r="L966" s="6">
        <v>0</v>
      </c>
      <c r="M966" s="41">
        <f>VLOOKUP(Tabla1[[#This Row],[PAGO DIA]],DIAS!A:D,4,0)</f>
        <v>46142</v>
      </c>
      <c r="N966" s="6">
        <v>0</v>
      </c>
      <c r="O966" s="43">
        <f>VLOOKUP(Tabla1[[#This Row],[PAGO DIA]],DIAS!A:E,5,0)</f>
        <v>46171</v>
      </c>
      <c r="P966" s="6">
        <v>0</v>
      </c>
      <c r="Q966" s="43">
        <f>VLOOKUP(Tabla1[[#This Row],[PAGO DIA]],DIAS!A:F,6,0)</f>
        <v>46203</v>
      </c>
      <c r="R966" s="6">
        <v>0</v>
      </c>
      <c r="S966" s="43">
        <f>VLOOKUP(Tabla1[[#This Row],[PAGO DIA]],DIAS!A:G,7,0)</f>
        <v>46234</v>
      </c>
      <c r="T966" s="6">
        <v>0</v>
      </c>
      <c r="U966" s="43">
        <f>VLOOKUP(Tabla1[[#This Row],[PAGO DIA]],DIAS!A:H,8,0)</f>
        <v>46265</v>
      </c>
      <c r="V966" s="6">
        <v>0</v>
      </c>
      <c r="W966" s="43">
        <f>VLOOKUP(Tabla1[[#This Row],[PAGO DIA]],DIAS!A:I,9,0)</f>
        <v>46295</v>
      </c>
      <c r="X966" s="6">
        <v>0</v>
      </c>
      <c r="Y966" s="43">
        <f>VLOOKUP(Tabla1[[#This Row],[PAGO DIA]],DIAS!A:J,10,0)</f>
        <v>46325</v>
      </c>
      <c r="Z966" s="6">
        <v>0</v>
      </c>
      <c r="AA966" s="43">
        <f>VLOOKUP(Tabla1[[#This Row],[PAGO DIA]],DIAS!A:K,11,0)</f>
        <v>46356</v>
      </c>
      <c r="AB966" s="6">
        <v>0</v>
      </c>
      <c r="AC966" s="43">
        <f>VLOOKUP(Tabla1[[#This Row],[PAGO DIA]],DIAS!A:M,12,0)</f>
        <v>46386</v>
      </c>
      <c r="AD9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7" spans="1:30">
      <c r="A967" s="3">
        <v>11697</v>
      </c>
      <c r="B967" s="3" t="s">
        <v>538</v>
      </c>
      <c r="C967" s="3" t="s">
        <v>540</v>
      </c>
      <c r="D967" s="3" t="s">
        <v>540</v>
      </c>
      <c r="E967" s="3" t="s">
        <v>1508</v>
      </c>
      <c r="F967" s="42" t="s">
        <v>631</v>
      </c>
      <c r="G967" s="3" t="s">
        <v>1527</v>
      </c>
      <c r="H967" s="6">
        <v>0</v>
      </c>
      <c r="I967" s="41">
        <f>VLOOKUP(Tabla1[[#This Row],[PAGO DIA]],DIAS!A:B,2,0)</f>
        <v>46080</v>
      </c>
      <c r="J967" s="6">
        <v>0</v>
      </c>
      <c r="K967" s="43">
        <f>VLOOKUP(Tabla1[[#This Row],[PAGO DIA]],DIAS!A:C,3,0)</f>
        <v>46112</v>
      </c>
      <c r="L967" s="6">
        <v>0</v>
      </c>
      <c r="M967" s="41">
        <f>VLOOKUP(Tabla1[[#This Row],[PAGO DIA]],DIAS!A:D,4,0)</f>
        <v>46142</v>
      </c>
      <c r="N967" s="6">
        <v>0</v>
      </c>
      <c r="O967" s="43">
        <f>VLOOKUP(Tabla1[[#This Row],[PAGO DIA]],DIAS!A:E,5,0)</f>
        <v>46171</v>
      </c>
      <c r="P967" s="6">
        <v>0</v>
      </c>
      <c r="Q967" s="43">
        <f>VLOOKUP(Tabla1[[#This Row],[PAGO DIA]],DIAS!A:F,6,0)</f>
        <v>46203</v>
      </c>
      <c r="R967" s="6">
        <v>0</v>
      </c>
      <c r="S967" s="43">
        <f>VLOOKUP(Tabla1[[#This Row],[PAGO DIA]],DIAS!A:G,7,0)</f>
        <v>46234</v>
      </c>
      <c r="T967" s="6">
        <v>0</v>
      </c>
      <c r="U967" s="43">
        <f>VLOOKUP(Tabla1[[#This Row],[PAGO DIA]],DIAS!A:H,8,0)</f>
        <v>46265</v>
      </c>
      <c r="V967" s="6">
        <v>0</v>
      </c>
      <c r="W967" s="43">
        <f>VLOOKUP(Tabla1[[#This Row],[PAGO DIA]],DIAS!A:I,9,0)</f>
        <v>46295</v>
      </c>
      <c r="X967" s="6">
        <v>0</v>
      </c>
      <c r="Y967" s="43">
        <f>VLOOKUP(Tabla1[[#This Row],[PAGO DIA]],DIAS!A:J,10,0)</f>
        <v>46325</v>
      </c>
      <c r="Z967" s="6">
        <v>0</v>
      </c>
      <c r="AA967" s="43">
        <f>VLOOKUP(Tabla1[[#This Row],[PAGO DIA]],DIAS!A:K,11,0)</f>
        <v>46356</v>
      </c>
      <c r="AB967" s="6">
        <v>0</v>
      </c>
      <c r="AC967" s="43">
        <f>VLOOKUP(Tabla1[[#This Row],[PAGO DIA]],DIAS!A:M,12,0)</f>
        <v>46386</v>
      </c>
      <c r="AD9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8" spans="1:30">
      <c r="A968" s="3">
        <v>11698</v>
      </c>
      <c r="B968" s="3" t="s">
        <v>538</v>
      </c>
      <c r="C968" s="3" t="s">
        <v>540</v>
      </c>
      <c r="D968" s="3" t="s">
        <v>540</v>
      </c>
      <c r="E968" s="3" t="s">
        <v>1508</v>
      </c>
      <c r="F968" s="42" t="s">
        <v>631</v>
      </c>
      <c r="G968" s="3" t="s">
        <v>1528</v>
      </c>
      <c r="H968" s="6">
        <v>0</v>
      </c>
      <c r="I968" s="41">
        <f>VLOOKUP(Tabla1[[#This Row],[PAGO DIA]],DIAS!A:B,2,0)</f>
        <v>46080</v>
      </c>
      <c r="J968" s="6">
        <v>0</v>
      </c>
      <c r="K968" s="43">
        <f>VLOOKUP(Tabla1[[#This Row],[PAGO DIA]],DIAS!A:C,3,0)</f>
        <v>46112</v>
      </c>
      <c r="L968" s="6">
        <v>0</v>
      </c>
      <c r="M968" s="41">
        <f>VLOOKUP(Tabla1[[#This Row],[PAGO DIA]],DIAS!A:D,4,0)</f>
        <v>46142</v>
      </c>
      <c r="N968" s="6">
        <v>0</v>
      </c>
      <c r="O968" s="43">
        <f>VLOOKUP(Tabla1[[#This Row],[PAGO DIA]],DIAS!A:E,5,0)</f>
        <v>46171</v>
      </c>
      <c r="P968" s="6">
        <v>0</v>
      </c>
      <c r="Q968" s="43">
        <f>VLOOKUP(Tabla1[[#This Row],[PAGO DIA]],DIAS!A:F,6,0)</f>
        <v>46203</v>
      </c>
      <c r="R968" s="6">
        <v>0</v>
      </c>
      <c r="S968" s="43">
        <f>VLOOKUP(Tabla1[[#This Row],[PAGO DIA]],DIAS!A:G,7,0)</f>
        <v>46234</v>
      </c>
      <c r="T968" s="6">
        <v>0</v>
      </c>
      <c r="U968" s="43">
        <f>VLOOKUP(Tabla1[[#This Row],[PAGO DIA]],DIAS!A:H,8,0)</f>
        <v>46265</v>
      </c>
      <c r="V968" s="6">
        <v>0</v>
      </c>
      <c r="W968" s="43">
        <f>VLOOKUP(Tabla1[[#This Row],[PAGO DIA]],DIAS!A:I,9,0)</f>
        <v>46295</v>
      </c>
      <c r="X968" s="6">
        <v>0</v>
      </c>
      <c r="Y968" s="43">
        <f>VLOOKUP(Tabla1[[#This Row],[PAGO DIA]],DIAS!A:J,10,0)</f>
        <v>46325</v>
      </c>
      <c r="Z968" s="6">
        <v>0</v>
      </c>
      <c r="AA968" s="43">
        <f>VLOOKUP(Tabla1[[#This Row],[PAGO DIA]],DIAS!A:K,11,0)</f>
        <v>46356</v>
      </c>
      <c r="AB968" s="6">
        <v>0</v>
      </c>
      <c r="AC968" s="43">
        <f>VLOOKUP(Tabla1[[#This Row],[PAGO DIA]],DIAS!A:M,12,0)</f>
        <v>46386</v>
      </c>
      <c r="AD9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69" spans="1:30">
      <c r="A969" s="3">
        <v>11699</v>
      </c>
      <c r="B969" s="3" t="s">
        <v>538</v>
      </c>
      <c r="C969" s="3" t="s">
        <v>540</v>
      </c>
      <c r="D969" s="3" t="s">
        <v>540</v>
      </c>
      <c r="E969" s="3" t="s">
        <v>1508</v>
      </c>
      <c r="F969" s="42" t="s">
        <v>631</v>
      </c>
      <c r="G969" s="3" t="s">
        <v>1529</v>
      </c>
      <c r="H969" s="6">
        <v>0</v>
      </c>
      <c r="I969" s="41">
        <f>VLOOKUP(Tabla1[[#This Row],[PAGO DIA]],DIAS!A:B,2,0)</f>
        <v>46080</v>
      </c>
      <c r="J969" s="6">
        <v>0</v>
      </c>
      <c r="K969" s="43">
        <f>VLOOKUP(Tabla1[[#This Row],[PAGO DIA]],DIAS!A:C,3,0)</f>
        <v>46112</v>
      </c>
      <c r="L969" s="6">
        <v>0</v>
      </c>
      <c r="M969" s="41">
        <f>VLOOKUP(Tabla1[[#This Row],[PAGO DIA]],DIAS!A:D,4,0)</f>
        <v>46142</v>
      </c>
      <c r="N969" s="6">
        <v>0</v>
      </c>
      <c r="O969" s="43">
        <f>VLOOKUP(Tabla1[[#This Row],[PAGO DIA]],DIAS!A:E,5,0)</f>
        <v>46171</v>
      </c>
      <c r="P969" s="6">
        <v>0</v>
      </c>
      <c r="Q969" s="43">
        <f>VLOOKUP(Tabla1[[#This Row],[PAGO DIA]],DIAS!A:F,6,0)</f>
        <v>46203</v>
      </c>
      <c r="R969" s="6">
        <v>0</v>
      </c>
      <c r="S969" s="43">
        <f>VLOOKUP(Tabla1[[#This Row],[PAGO DIA]],DIAS!A:G,7,0)</f>
        <v>46234</v>
      </c>
      <c r="T969" s="6">
        <v>0</v>
      </c>
      <c r="U969" s="43">
        <f>VLOOKUP(Tabla1[[#This Row],[PAGO DIA]],DIAS!A:H,8,0)</f>
        <v>46265</v>
      </c>
      <c r="V969" s="6">
        <v>0</v>
      </c>
      <c r="W969" s="43">
        <f>VLOOKUP(Tabla1[[#This Row],[PAGO DIA]],DIAS!A:I,9,0)</f>
        <v>46295</v>
      </c>
      <c r="X969" s="6">
        <v>0</v>
      </c>
      <c r="Y969" s="43">
        <f>VLOOKUP(Tabla1[[#This Row],[PAGO DIA]],DIAS!A:J,10,0)</f>
        <v>46325</v>
      </c>
      <c r="Z969" s="6">
        <v>0</v>
      </c>
      <c r="AA969" s="43">
        <f>VLOOKUP(Tabla1[[#This Row],[PAGO DIA]],DIAS!A:K,11,0)</f>
        <v>46356</v>
      </c>
      <c r="AB969" s="6">
        <v>0</v>
      </c>
      <c r="AC969" s="43">
        <f>VLOOKUP(Tabla1[[#This Row],[PAGO DIA]],DIAS!A:M,12,0)</f>
        <v>46386</v>
      </c>
      <c r="AD9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0" spans="1:30">
      <c r="A970" s="3">
        <v>11700</v>
      </c>
      <c r="B970" s="3" t="s">
        <v>538</v>
      </c>
      <c r="C970" s="3" t="s">
        <v>540</v>
      </c>
      <c r="D970" s="3" t="s">
        <v>540</v>
      </c>
      <c r="E970" s="3" t="s">
        <v>1508</v>
      </c>
      <c r="F970" s="42" t="s">
        <v>631</v>
      </c>
      <c r="G970" s="3" t="s">
        <v>1530</v>
      </c>
      <c r="H970" s="6">
        <v>0</v>
      </c>
      <c r="I970" s="41">
        <f>VLOOKUP(Tabla1[[#This Row],[PAGO DIA]],DIAS!A:B,2,0)</f>
        <v>46080</v>
      </c>
      <c r="J970" s="6">
        <v>0</v>
      </c>
      <c r="K970" s="43">
        <f>VLOOKUP(Tabla1[[#This Row],[PAGO DIA]],DIAS!A:C,3,0)</f>
        <v>46112</v>
      </c>
      <c r="L970" s="6">
        <v>0</v>
      </c>
      <c r="M970" s="41">
        <f>VLOOKUP(Tabla1[[#This Row],[PAGO DIA]],DIAS!A:D,4,0)</f>
        <v>46142</v>
      </c>
      <c r="N970" s="6">
        <v>0</v>
      </c>
      <c r="O970" s="43">
        <f>VLOOKUP(Tabla1[[#This Row],[PAGO DIA]],DIAS!A:E,5,0)</f>
        <v>46171</v>
      </c>
      <c r="P970" s="6">
        <v>0</v>
      </c>
      <c r="Q970" s="43">
        <f>VLOOKUP(Tabla1[[#This Row],[PAGO DIA]],DIAS!A:F,6,0)</f>
        <v>46203</v>
      </c>
      <c r="R970" s="6">
        <v>0</v>
      </c>
      <c r="S970" s="43">
        <f>VLOOKUP(Tabla1[[#This Row],[PAGO DIA]],DIAS!A:G,7,0)</f>
        <v>46234</v>
      </c>
      <c r="T970" s="6">
        <v>0</v>
      </c>
      <c r="U970" s="43">
        <f>VLOOKUP(Tabla1[[#This Row],[PAGO DIA]],DIAS!A:H,8,0)</f>
        <v>46265</v>
      </c>
      <c r="V970" s="6">
        <v>0</v>
      </c>
      <c r="W970" s="43">
        <f>VLOOKUP(Tabla1[[#This Row],[PAGO DIA]],DIAS!A:I,9,0)</f>
        <v>46295</v>
      </c>
      <c r="X970" s="6">
        <v>0</v>
      </c>
      <c r="Y970" s="43">
        <f>VLOOKUP(Tabla1[[#This Row],[PAGO DIA]],DIAS!A:J,10,0)</f>
        <v>46325</v>
      </c>
      <c r="Z970" s="6">
        <v>0</v>
      </c>
      <c r="AA970" s="43">
        <f>VLOOKUP(Tabla1[[#This Row],[PAGO DIA]],DIAS!A:K,11,0)</f>
        <v>46356</v>
      </c>
      <c r="AB970" s="6">
        <v>0</v>
      </c>
      <c r="AC970" s="43">
        <f>VLOOKUP(Tabla1[[#This Row],[PAGO DIA]],DIAS!A:M,12,0)</f>
        <v>46386</v>
      </c>
      <c r="AD9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1" spans="1:30">
      <c r="A971" s="3">
        <v>11701</v>
      </c>
      <c r="B971" s="3" t="s">
        <v>538</v>
      </c>
      <c r="C971" s="3" t="s">
        <v>540</v>
      </c>
      <c r="D971" s="3" t="s">
        <v>540</v>
      </c>
      <c r="E971" s="3" t="s">
        <v>1508</v>
      </c>
      <c r="F971" s="42" t="s">
        <v>631</v>
      </c>
      <c r="G971" s="3" t="s">
        <v>1531</v>
      </c>
      <c r="H971" s="6">
        <v>0</v>
      </c>
      <c r="I971" s="41">
        <f>VLOOKUP(Tabla1[[#This Row],[PAGO DIA]],DIAS!A:B,2,0)</f>
        <v>46080</v>
      </c>
      <c r="J971" s="6">
        <v>0</v>
      </c>
      <c r="K971" s="43">
        <f>VLOOKUP(Tabla1[[#This Row],[PAGO DIA]],DIAS!A:C,3,0)</f>
        <v>46112</v>
      </c>
      <c r="L971" s="6">
        <v>0</v>
      </c>
      <c r="M971" s="41">
        <f>VLOOKUP(Tabla1[[#This Row],[PAGO DIA]],DIAS!A:D,4,0)</f>
        <v>46142</v>
      </c>
      <c r="N971" s="6">
        <v>0</v>
      </c>
      <c r="O971" s="43">
        <f>VLOOKUP(Tabla1[[#This Row],[PAGO DIA]],DIAS!A:E,5,0)</f>
        <v>46171</v>
      </c>
      <c r="P971" s="6">
        <v>0</v>
      </c>
      <c r="Q971" s="43">
        <f>VLOOKUP(Tabla1[[#This Row],[PAGO DIA]],DIAS!A:F,6,0)</f>
        <v>46203</v>
      </c>
      <c r="R971" s="6">
        <v>0</v>
      </c>
      <c r="S971" s="43">
        <f>VLOOKUP(Tabla1[[#This Row],[PAGO DIA]],DIAS!A:G,7,0)</f>
        <v>46234</v>
      </c>
      <c r="T971" s="6">
        <v>0</v>
      </c>
      <c r="U971" s="43">
        <f>VLOOKUP(Tabla1[[#This Row],[PAGO DIA]],DIAS!A:H,8,0)</f>
        <v>46265</v>
      </c>
      <c r="V971" s="6">
        <v>0</v>
      </c>
      <c r="W971" s="43">
        <f>VLOOKUP(Tabla1[[#This Row],[PAGO DIA]],DIAS!A:I,9,0)</f>
        <v>46295</v>
      </c>
      <c r="X971" s="6">
        <v>0</v>
      </c>
      <c r="Y971" s="43">
        <f>VLOOKUP(Tabla1[[#This Row],[PAGO DIA]],DIAS!A:J,10,0)</f>
        <v>46325</v>
      </c>
      <c r="Z971" s="6">
        <v>0</v>
      </c>
      <c r="AA971" s="43">
        <f>VLOOKUP(Tabla1[[#This Row],[PAGO DIA]],DIAS!A:K,11,0)</f>
        <v>46356</v>
      </c>
      <c r="AB971" s="6">
        <v>0</v>
      </c>
      <c r="AC971" s="43">
        <f>VLOOKUP(Tabla1[[#This Row],[PAGO DIA]],DIAS!A:M,12,0)</f>
        <v>46386</v>
      </c>
      <c r="AD9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2" spans="1:30">
      <c r="A972" s="3">
        <v>11702</v>
      </c>
      <c r="B972" s="3" t="s">
        <v>538</v>
      </c>
      <c r="C972" s="3" t="s">
        <v>540</v>
      </c>
      <c r="D972" s="3" t="s">
        <v>540</v>
      </c>
      <c r="E972" s="3" t="s">
        <v>1508</v>
      </c>
      <c r="F972" s="42" t="s">
        <v>631</v>
      </c>
      <c r="G972" s="3" t="s">
        <v>1532</v>
      </c>
      <c r="H972" s="6">
        <v>0</v>
      </c>
      <c r="I972" s="41">
        <f>VLOOKUP(Tabla1[[#This Row],[PAGO DIA]],DIAS!A:B,2,0)</f>
        <v>46080</v>
      </c>
      <c r="J972" s="6">
        <v>0</v>
      </c>
      <c r="K972" s="43">
        <f>VLOOKUP(Tabla1[[#This Row],[PAGO DIA]],DIAS!A:C,3,0)</f>
        <v>46112</v>
      </c>
      <c r="L972" s="6">
        <v>0</v>
      </c>
      <c r="M972" s="41">
        <f>VLOOKUP(Tabla1[[#This Row],[PAGO DIA]],DIAS!A:D,4,0)</f>
        <v>46142</v>
      </c>
      <c r="N972" s="6">
        <v>0</v>
      </c>
      <c r="O972" s="43">
        <f>VLOOKUP(Tabla1[[#This Row],[PAGO DIA]],DIAS!A:E,5,0)</f>
        <v>46171</v>
      </c>
      <c r="P972" s="6">
        <v>0</v>
      </c>
      <c r="Q972" s="43">
        <f>VLOOKUP(Tabla1[[#This Row],[PAGO DIA]],DIAS!A:F,6,0)</f>
        <v>46203</v>
      </c>
      <c r="R972" s="6">
        <v>0</v>
      </c>
      <c r="S972" s="43">
        <f>VLOOKUP(Tabla1[[#This Row],[PAGO DIA]],DIAS!A:G,7,0)</f>
        <v>46234</v>
      </c>
      <c r="T972" s="6">
        <v>0</v>
      </c>
      <c r="U972" s="43">
        <f>VLOOKUP(Tabla1[[#This Row],[PAGO DIA]],DIAS!A:H,8,0)</f>
        <v>46265</v>
      </c>
      <c r="V972" s="6">
        <v>0</v>
      </c>
      <c r="W972" s="43">
        <f>VLOOKUP(Tabla1[[#This Row],[PAGO DIA]],DIAS!A:I,9,0)</f>
        <v>46295</v>
      </c>
      <c r="X972" s="6">
        <v>0</v>
      </c>
      <c r="Y972" s="43">
        <f>VLOOKUP(Tabla1[[#This Row],[PAGO DIA]],DIAS!A:J,10,0)</f>
        <v>46325</v>
      </c>
      <c r="Z972" s="6">
        <v>0</v>
      </c>
      <c r="AA972" s="43">
        <f>VLOOKUP(Tabla1[[#This Row],[PAGO DIA]],DIAS!A:K,11,0)</f>
        <v>46356</v>
      </c>
      <c r="AB972" s="6">
        <v>0</v>
      </c>
      <c r="AC972" s="43">
        <f>VLOOKUP(Tabla1[[#This Row],[PAGO DIA]],DIAS!A:M,12,0)</f>
        <v>46386</v>
      </c>
      <c r="AD9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3" spans="1:30">
      <c r="A973" s="3">
        <v>12618</v>
      </c>
      <c r="B973" s="3" t="s">
        <v>538</v>
      </c>
      <c r="C973" s="3" t="s">
        <v>539</v>
      </c>
      <c r="D973" s="3" t="s">
        <v>540</v>
      </c>
      <c r="E973" s="3" t="s">
        <v>592</v>
      </c>
      <c r="F973" s="42" t="s">
        <v>631</v>
      </c>
      <c r="G973" s="3" t="s">
        <v>1533</v>
      </c>
      <c r="H973" s="6">
        <v>0</v>
      </c>
      <c r="I973" s="41">
        <f>VLOOKUP(Tabla1[[#This Row],[PAGO DIA]],DIAS!A:B,2,0)</f>
        <v>46080</v>
      </c>
      <c r="J973" s="6">
        <v>0</v>
      </c>
      <c r="K973" s="43">
        <f>VLOOKUP(Tabla1[[#This Row],[PAGO DIA]],DIAS!A:C,3,0)</f>
        <v>46112</v>
      </c>
      <c r="L973" s="6">
        <v>0</v>
      </c>
      <c r="M973" s="41">
        <f>VLOOKUP(Tabla1[[#This Row],[PAGO DIA]],DIAS!A:D,4,0)</f>
        <v>46142</v>
      </c>
      <c r="N973" s="6">
        <v>0</v>
      </c>
      <c r="O973" s="43">
        <f>VLOOKUP(Tabla1[[#This Row],[PAGO DIA]],DIAS!A:E,5,0)</f>
        <v>46171</v>
      </c>
      <c r="P973" s="6">
        <v>0</v>
      </c>
      <c r="Q973" s="43">
        <f>VLOOKUP(Tabla1[[#This Row],[PAGO DIA]],DIAS!A:F,6,0)</f>
        <v>46203</v>
      </c>
      <c r="R973" s="6">
        <v>0</v>
      </c>
      <c r="S973" s="43">
        <f>VLOOKUP(Tabla1[[#This Row],[PAGO DIA]],DIAS!A:G,7,0)</f>
        <v>46234</v>
      </c>
      <c r="T973" s="6">
        <v>0</v>
      </c>
      <c r="U973" s="43">
        <f>VLOOKUP(Tabla1[[#This Row],[PAGO DIA]],DIAS!A:H,8,0)</f>
        <v>46265</v>
      </c>
      <c r="V973" s="6">
        <v>0</v>
      </c>
      <c r="W973" s="43">
        <f>VLOOKUP(Tabla1[[#This Row],[PAGO DIA]],DIAS!A:I,9,0)</f>
        <v>46295</v>
      </c>
      <c r="X973" s="6">
        <v>0</v>
      </c>
      <c r="Y973" s="43">
        <f>VLOOKUP(Tabla1[[#This Row],[PAGO DIA]],DIAS!A:J,10,0)</f>
        <v>46325</v>
      </c>
      <c r="Z973" s="6">
        <v>0</v>
      </c>
      <c r="AA973" s="43">
        <f>VLOOKUP(Tabla1[[#This Row],[PAGO DIA]],DIAS!A:K,11,0)</f>
        <v>46356</v>
      </c>
      <c r="AB973" s="6">
        <v>0</v>
      </c>
      <c r="AC973" s="43">
        <f>VLOOKUP(Tabla1[[#This Row],[PAGO DIA]],DIAS!A:M,12,0)</f>
        <v>46386</v>
      </c>
      <c r="AD9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4" spans="1:30">
      <c r="A974" s="3">
        <v>12625</v>
      </c>
      <c r="B974" s="3" t="s">
        <v>538</v>
      </c>
      <c r="C974" s="3" t="s">
        <v>539</v>
      </c>
      <c r="D974" s="3" t="s">
        <v>540</v>
      </c>
      <c r="E974" s="3" t="s">
        <v>592</v>
      </c>
      <c r="F974" s="42" t="s">
        <v>631</v>
      </c>
      <c r="G974" s="3" t="s">
        <v>1534</v>
      </c>
      <c r="H974" s="6">
        <v>0</v>
      </c>
      <c r="I974" s="41">
        <f>VLOOKUP(Tabla1[[#This Row],[PAGO DIA]],DIAS!A:B,2,0)</f>
        <v>46080</v>
      </c>
      <c r="J974" s="6">
        <v>0</v>
      </c>
      <c r="K974" s="43">
        <f>VLOOKUP(Tabla1[[#This Row],[PAGO DIA]],DIAS!A:C,3,0)</f>
        <v>46112</v>
      </c>
      <c r="L974" s="6">
        <v>0</v>
      </c>
      <c r="M974" s="41">
        <f>VLOOKUP(Tabla1[[#This Row],[PAGO DIA]],DIAS!A:D,4,0)</f>
        <v>46142</v>
      </c>
      <c r="N974" s="6">
        <v>0</v>
      </c>
      <c r="O974" s="43">
        <f>VLOOKUP(Tabla1[[#This Row],[PAGO DIA]],DIAS!A:E,5,0)</f>
        <v>46171</v>
      </c>
      <c r="P974" s="6">
        <v>0</v>
      </c>
      <c r="Q974" s="43">
        <f>VLOOKUP(Tabla1[[#This Row],[PAGO DIA]],DIAS!A:F,6,0)</f>
        <v>46203</v>
      </c>
      <c r="R974" s="6">
        <v>0</v>
      </c>
      <c r="S974" s="43">
        <f>VLOOKUP(Tabla1[[#This Row],[PAGO DIA]],DIAS!A:G,7,0)</f>
        <v>46234</v>
      </c>
      <c r="T974" s="6">
        <v>0</v>
      </c>
      <c r="U974" s="43">
        <f>VLOOKUP(Tabla1[[#This Row],[PAGO DIA]],DIAS!A:H,8,0)</f>
        <v>46265</v>
      </c>
      <c r="V974" s="6">
        <v>0</v>
      </c>
      <c r="W974" s="43">
        <f>VLOOKUP(Tabla1[[#This Row],[PAGO DIA]],DIAS!A:I,9,0)</f>
        <v>46295</v>
      </c>
      <c r="X974" s="6">
        <v>0</v>
      </c>
      <c r="Y974" s="43">
        <f>VLOOKUP(Tabla1[[#This Row],[PAGO DIA]],DIAS!A:J,10,0)</f>
        <v>46325</v>
      </c>
      <c r="Z974" s="6">
        <v>0</v>
      </c>
      <c r="AA974" s="43">
        <f>VLOOKUP(Tabla1[[#This Row],[PAGO DIA]],DIAS!A:K,11,0)</f>
        <v>46356</v>
      </c>
      <c r="AB974" s="6">
        <v>0</v>
      </c>
      <c r="AC974" s="43">
        <f>VLOOKUP(Tabla1[[#This Row],[PAGO DIA]],DIAS!A:M,12,0)</f>
        <v>46386</v>
      </c>
      <c r="AD9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5" spans="1:30">
      <c r="A975" s="3">
        <v>12636</v>
      </c>
      <c r="B975" s="3" t="s">
        <v>538</v>
      </c>
      <c r="C975" s="3" t="s">
        <v>539</v>
      </c>
      <c r="D975" s="3" t="s">
        <v>540</v>
      </c>
      <c r="E975" s="3" t="s">
        <v>592</v>
      </c>
      <c r="F975" s="42" t="s">
        <v>631</v>
      </c>
      <c r="G975" s="3" t="s">
        <v>1535</v>
      </c>
      <c r="H975" s="6">
        <v>0</v>
      </c>
      <c r="I975" s="41">
        <f>VLOOKUP(Tabla1[[#This Row],[PAGO DIA]],DIAS!A:B,2,0)</f>
        <v>46080</v>
      </c>
      <c r="J975" s="6">
        <v>0</v>
      </c>
      <c r="K975" s="43">
        <f>VLOOKUP(Tabla1[[#This Row],[PAGO DIA]],DIAS!A:C,3,0)</f>
        <v>46112</v>
      </c>
      <c r="L975" s="6">
        <v>0</v>
      </c>
      <c r="M975" s="41">
        <f>VLOOKUP(Tabla1[[#This Row],[PAGO DIA]],DIAS!A:D,4,0)</f>
        <v>46142</v>
      </c>
      <c r="N975" s="6">
        <v>0</v>
      </c>
      <c r="O975" s="43">
        <f>VLOOKUP(Tabla1[[#This Row],[PAGO DIA]],DIAS!A:E,5,0)</f>
        <v>46171</v>
      </c>
      <c r="P975" s="6">
        <v>0</v>
      </c>
      <c r="Q975" s="43">
        <f>VLOOKUP(Tabla1[[#This Row],[PAGO DIA]],DIAS!A:F,6,0)</f>
        <v>46203</v>
      </c>
      <c r="R975" s="6">
        <v>0</v>
      </c>
      <c r="S975" s="43">
        <f>VLOOKUP(Tabla1[[#This Row],[PAGO DIA]],DIAS!A:G,7,0)</f>
        <v>46234</v>
      </c>
      <c r="T975" s="6">
        <v>0</v>
      </c>
      <c r="U975" s="43">
        <f>VLOOKUP(Tabla1[[#This Row],[PAGO DIA]],DIAS!A:H,8,0)</f>
        <v>46265</v>
      </c>
      <c r="V975" s="6">
        <v>0</v>
      </c>
      <c r="W975" s="43">
        <f>VLOOKUP(Tabla1[[#This Row],[PAGO DIA]],DIAS!A:I,9,0)</f>
        <v>46295</v>
      </c>
      <c r="X975" s="6">
        <v>0</v>
      </c>
      <c r="Y975" s="43">
        <f>VLOOKUP(Tabla1[[#This Row],[PAGO DIA]],DIAS!A:J,10,0)</f>
        <v>46325</v>
      </c>
      <c r="Z975" s="6">
        <v>0</v>
      </c>
      <c r="AA975" s="43">
        <f>VLOOKUP(Tabla1[[#This Row],[PAGO DIA]],DIAS!A:K,11,0)</f>
        <v>46356</v>
      </c>
      <c r="AB975" s="6">
        <v>0</v>
      </c>
      <c r="AC975" s="43">
        <f>VLOOKUP(Tabla1[[#This Row],[PAGO DIA]],DIAS!A:M,12,0)</f>
        <v>46386</v>
      </c>
      <c r="AD9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6" spans="1:30">
      <c r="A976" s="3">
        <v>12662</v>
      </c>
      <c r="B976" s="3" t="s">
        <v>538</v>
      </c>
      <c r="C976" s="3" t="s">
        <v>539</v>
      </c>
      <c r="D976" s="3" t="s">
        <v>540</v>
      </c>
      <c r="E976" s="3" t="s">
        <v>592</v>
      </c>
      <c r="F976" s="42" t="s">
        <v>631</v>
      </c>
      <c r="G976" s="3" t="s">
        <v>1536</v>
      </c>
      <c r="H976" s="6">
        <v>0</v>
      </c>
      <c r="I976" s="41">
        <f>VLOOKUP(Tabla1[[#This Row],[PAGO DIA]],DIAS!A:B,2,0)</f>
        <v>46080</v>
      </c>
      <c r="J976" s="6">
        <v>0</v>
      </c>
      <c r="K976" s="43">
        <f>VLOOKUP(Tabla1[[#This Row],[PAGO DIA]],DIAS!A:C,3,0)</f>
        <v>46112</v>
      </c>
      <c r="L976" s="6">
        <v>0</v>
      </c>
      <c r="M976" s="41">
        <f>VLOOKUP(Tabla1[[#This Row],[PAGO DIA]],DIAS!A:D,4,0)</f>
        <v>46142</v>
      </c>
      <c r="N976" s="6">
        <v>0</v>
      </c>
      <c r="O976" s="43">
        <f>VLOOKUP(Tabla1[[#This Row],[PAGO DIA]],DIAS!A:E,5,0)</f>
        <v>46171</v>
      </c>
      <c r="P976" s="6">
        <v>0</v>
      </c>
      <c r="Q976" s="43">
        <f>VLOOKUP(Tabla1[[#This Row],[PAGO DIA]],DIAS!A:F,6,0)</f>
        <v>46203</v>
      </c>
      <c r="R976" s="6">
        <v>0</v>
      </c>
      <c r="S976" s="43">
        <f>VLOOKUP(Tabla1[[#This Row],[PAGO DIA]],DIAS!A:G,7,0)</f>
        <v>46234</v>
      </c>
      <c r="T976" s="6">
        <v>0</v>
      </c>
      <c r="U976" s="43">
        <f>VLOOKUP(Tabla1[[#This Row],[PAGO DIA]],DIAS!A:H,8,0)</f>
        <v>46265</v>
      </c>
      <c r="V976" s="6">
        <v>0</v>
      </c>
      <c r="W976" s="43">
        <f>VLOOKUP(Tabla1[[#This Row],[PAGO DIA]],DIAS!A:I,9,0)</f>
        <v>46295</v>
      </c>
      <c r="X976" s="6">
        <v>0</v>
      </c>
      <c r="Y976" s="43">
        <f>VLOOKUP(Tabla1[[#This Row],[PAGO DIA]],DIAS!A:J,10,0)</f>
        <v>46325</v>
      </c>
      <c r="Z976" s="6">
        <v>0</v>
      </c>
      <c r="AA976" s="43">
        <f>VLOOKUP(Tabla1[[#This Row],[PAGO DIA]],DIAS!A:K,11,0)</f>
        <v>46356</v>
      </c>
      <c r="AB976" s="6">
        <v>0</v>
      </c>
      <c r="AC976" s="43">
        <f>VLOOKUP(Tabla1[[#This Row],[PAGO DIA]],DIAS!A:M,12,0)</f>
        <v>46386</v>
      </c>
      <c r="AD9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7" spans="1:30">
      <c r="A977" s="3">
        <v>12718</v>
      </c>
      <c r="B977" s="3" t="s">
        <v>538</v>
      </c>
      <c r="C977" s="3" t="s">
        <v>539</v>
      </c>
      <c r="D977" s="3" t="s">
        <v>540</v>
      </c>
      <c r="E977" s="3" t="s">
        <v>592</v>
      </c>
      <c r="F977" s="42" t="s">
        <v>631</v>
      </c>
      <c r="G977" s="3" t="s">
        <v>1537</v>
      </c>
      <c r="H977" s="6">
        <v>0</v>
      </c>
      <c r="I977" s="41">
        <f>VLOOKUP(Tabla1[[#This Row],[PAGO DIA]],DIAS!A:B,2,0)</f>
        <v>46080</v>
      </c>
      <c r="J977" s="6">
        <v>0</v>
      </c>
      <c r="K977" s="43">
        <f>VLOOKUP(Tabla1[[#This Row],[PAGO DIA]],DIAS!A:C,3,0)</f>
        <v>46112</v>
      </c>
      <c r="L977" s="6">
        <v>0</v>
      </c>
      <c r="M977" s="41">
        <f>VLOOKUP(Tabla1[[#This Row],[PAGO DIA]],DIAS!A:D,4,0)</f>
        <v>46142</v>
      </c>
      <c r="N977" s="6">
        <v>0</v>
      </c>
      <c r="O977" s="43">
        <f>VLOOKUP(Tabla1[[#This Row],[PAGO DIA]],DIAS!A:E,5,0)</f>
        <v>46171</v>
      </c>
      <c r="P977" s="6">
        <v>0</v>
      </c>
      <c r="Q977" s="43">
        <f>VLOOKUP(Tabla1[[#This Row],[PAGO DIA]],DIAS!A:F,6,0)</f>
        <v>46203</v>
      </c>
      <c r="R977" s="6">
        <v>0</v>
      </c>
      <c r="S977" s="43">
        <f>VLOOKUP(Tabla1[[#This Row],[PAGO DIA]],DIAS!A:G,7,0)</f>
        <v>46234</v>
      </c>
      <c r="T977" s="6">
        <v>0</v>
      </c>
      <c r="U977" s="43">
        <f>VLOOKUP(Tabla1[[#This Row],[PAGO DIA]],DIAS!A:H,8,0)</f>
        <v>46265</v>
      </c>
      <c r="V977" s="6">
        <v>0</v>
      </c>
      <c r="W977" s="43">
        <f>VLOOKUP(Tabla1[[#This Row],[PAGO DIA]],DIAS!A:I,9,0)</f>
        <v>46295</v>
      </c>
      <c r="X977" s="6">
        <v>0</v>
      </c>
      <c r="Y977" s="43">
        <f>VLOOKUP(Tabla1[[#This Row],[PAGO DIA]],DIAS!A:J,10,0)</f>
        <v>46325</v>
      </c>
      <c r="Z977" s="6">
        <v>0</v>
      </c>
      <c r="AA977" s="43">
        <f>VLOOKUP(Tabla1[[#This Row],[PAGO DIA]],DIAS!A:K,11,0)</f>
        <v>46356</v>
      </c>
      <c r="AB977" s="6">
        <v>0</v>
      </c>
      <c r="AC977" s="43">
        <f>VLOOKUP(Tabla1[[#This Row],[PAGO DIA]],DIAS!A:M,12,0)</f>
        <v>46386</v>
      </c>
      <c r="AD9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8" spans="1:30">
      <c r="A978" s="3">
        <v>12725</v>
      </c>
      <c r="B978" s="3" t="s">
        <v>538</v>
      </c>
      <c r="C978" s="3" t="s">
        <v>539</v>
      </c>
      <c r="D978" s="3" t="s">
        <v>540</v>
      </c>
      <c r="E978" s="3" t="s">
        <v>592</v>
      </c>
      <c r="F978" s="42" t="s">
        <v>631</v>
      </c>
      <c r="G978" s="3" t="s">
        <v>1538</v>
      </c>
      <c r="H978" s="6">
        <v>0</v>
      </c>
      <c r="I978" s="41">
        <f>VLOOKUP(Tabla1[[#This Row],[PAGO DIA]],DIAS!A:B,2,0)</f>
        <v>46080</v>
      </c>
      <c r="J978" s="6">
        <v>0</v>
      </c>
      <c r="K978" s="43">
        <f>VLOOKUP(Tabla1[[#This Row],[PAGO DIA]],DIAS!A:C,3,0)</f>
        <v>46112</v>
      </c>
      <c r="L978" s="6">
        <v>0</v>
      </c>
      <c r="M978" s="41">
        <f>VLOOKUP(Tabla1[[#This Row],[PAGO DIA]],DIAS!A:D,4,0)</f>
        <v>46142</v>
      </c>
      <c r="N978" s="6">
        <v>0</v>
      </c>
      <c r="O978" s="43">
        <f>VLOOKUP(Tabla1[[#This Row],[PAGO DIA]],DIAS!A:E,5,0)</f>
        <v>46171</v>
      </c>
      <c r="P978" s="6">
        <v>0</v>
      </c>
      <c r="Q978" s="43">
        <f>VLOOKUP(Tabla1[[#This Row],[PAGO DIA]],DIAS!A:F,6,0)</f>
        <v>46203</v>
      </c>
      <c r="R978" s="6">
        <v>0</v>
      </c>
      <c r="S978" s="43">
        <f>VLOOKUP(Tabla1[[#This Row],[PAGO DIA]],DIAS!A:G,7,0)</f>
        <v>46234</v>
      </c>
      <c r="T978" s="6">
        <v>0</v>
      </c>
      <c r="U978" s="43">
        <f>VLOOKUP(Tabla1[[#This Row],[PAGO DIA]],DIAS!A:H,8,0)</f>
        <v>46265</v>
      </c>
      <c r="V978" s="6">
        <v>0</v>
      </c>
      <c r="W978" s="43">
        <f>VLOOKUP(Tabla1[[#This Row],[PAGO DIA]],DIAS!A:I,9,0)</f>
        <v>46295</v>
      </c>
      <c r="X978" s="6">
        <v>0</v>
      </c>
      <c r="Y978" s="43">
        <f>VLOOKUP(Tabla1[[#This Row],[PAGO DIA]],DIAS!A:J,10,0)</f>
        <v>46325</v>
      </c>
      <c r="Z978" s="6">
        <v>0</v>
      </c>
      <c r="AA978" s="43">
        <f>VLOOKUP(Tabla1[[#This Row],[PAGO DIA]],DIAS!A:K,11,0)</f>
        <v>46356</v>
      </c>
      <c r="AB978" s="6">
        <v>0</v>
      </c>
      <c r="AC978" s="43">
        <f>VLOOKUP(Tabla1[[#This Row],[PAGO DIA]],DIAS!A:M,12,0)</f>
        <v>46386</v>
      </c>
      <c r="AD9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79" spans="1:30">
      <c r="A979" s="3">
        <v>12727</v>
      </c>
      <c r="B979" s="3" t="s">
        <v>538</v>
      </c>
      <c r="C979" s="3" t="s">
        <v>539</v>
      </c>
      <c r="D979" s="3" t="s">
        <v>540</v>
      </c>
      <c r="E979" s="3" t="s">
        <v>592</v>
      </c>
      <c r="F979" s="42" t="s">
        <v>631</v>
      </c>
      <c r="G979" s="3" t="s">
        <v>1539</v>
      </c>
      <c r="H979" s="6">
        <v>0</v>
      </c>
      <c r="I979" s="41">
        <f>VLOOKUP(Tabla1[[#This Row],[PAGO DIA]],DIAS!A:B,2,0)</f>
        <v>46080</v>
      </c>
      <c r="J979" s="6">
        <v>0</v>
      </c>
      <c r="K979" s="43">
        <f>VLOOKUP(Tabla1[[#This Row],[PAGO DIA]],DIAS!A:C,3,0)</f>
        <v>46112</v>
      </c>
      <c r="L979" s="6">
        <v>0</v>
      </c>
      <c r="M979" s="41">
        <f>VLOOKUP(Tabla1[[#This Row],[PAGO DIA]],DIAS!A:D,4,0)</f>
        <v>46142</v>
      </c>
      <c r="N979" s="6">
        <v>0</v>
      </c>
      <c r="O979" s="43">
        <f>VLOOKUP(Tabla1[[#This Row],[PAGO DIA]],DIAS!A:E,5,0)</f>
        <v>46171</v>
      </c>
      <c r="P979" s="6">
        <v>0</v>
      </c>
      <c r="Q979" s="43">
        <f>VLOOKUP(Tabla1[[#This Row],[PAGO DIA]],DIAS!A:F,6,0)</f>
        <v>46203</v>
      </c>
      <c r="R979" s="6">
        <v>0</v>
      </c>
      <c r="S979" s="43">
        <f>VLOOKUP(Tabla1[[#This Row],[PAGO DIA]],DIAS!A:G,7,0)</f>
        <v>46234</v>
      </c>
      <c r="T979" s="6">
        <v>0</v>
      </c>
      <c r="U979" s="43">
        <f>VLOOKUP(Tabla1[[#This Row],[PAGO DIA]],DIAS!A:H,8,0)</f>
        <v>46265</v>
      </c>
      <c r="V979" s="6">
        <v>0</v>
      </c>
      <c r="W979" s="43">
        <f>VLOOKUP(Tabla1[[#This Row],[PAGO DIA]],DIAS!A:I,9,0)</f>
        <v>46295</v>
      </c>
      <c r="X979" s="6">
        <v>0</v>
      </c>
      <c r="Y979" s="43">
        <f>VLOOKUP(Tabla1[[#This Row],[PAGO DIA]],DIAS!A:J,10,0)</f>
        <v>46325</v>
      </c>
      <c r="Z979" s="6">
        <v>0</v>
      </c>
      <c r="AA979" s="43">
        <f>VLOOKUP(Tabla1[[#This Row],[PAGO DIA]],DIAS!A:K,11,0)</f>
        <v>46356</v>
      </c>
      <c r="AB979" s="6">
        <v>0</v>
      </c>
      <c r="AC979" s="43">
        <f>VLOOKUP(Tabla1[[#This Row],[PAGO DIA]],DIAS!A:M,12,0)</f>
        <v>46386</v>
      </c>
      <c r="AD9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0" spans="1:30">
      <c r="A980" s="3">
        <v>12731</v>
      </c>
      <c r="B980" s="3" t="s">
        <v>538</v>
      </c>
      <c r="C980" s="3" t="s">
        <v>539</v>
      </c>
      <c r="D980" s="3" t="s">
        <v>540</v>
      </c>
      <c r="E980" s="3" t="s">
        <v>592</v>
      </c>
      <c r="F980" s="42" t="s">
        <v>631</v>
      </c>
      <c r="G980" s="3" t="s">
        <v>1540</v>
      </c>
      <c r="H980" s="6">
        <v>0</v>
      </c>
      <c r="I980" s="41">
        <f>VLOOKUP(Tabla1[[#This Row],[PAGO DIA]],DIAS!A:B,2,0)</f>
        <v>46080</v>
      </c>
      <c r="J980" s="6">
        <v>0</v>
      </c>
      <c r="K980" s="43">
        <f>VLOOKUP(Tabla1[[#This Row],[PAGO DIA]],DIAS!A:C,3,0)</f>
        <v>46112</v>
      </c>
      <c r="L980" s="6">
        <v>0</v>
      </c>
      <c r="M980" s="41">
        <f>VLOOKUP(Tabla1[[#This Row],[PAGO DIA]],DIAS!A:D,4,0)</f>
        <v>46142</v>
      </c>
      <c r="N980" s="6">
        <v>0</v>
      </c>
      <c r="O980" s="43">
        <f>VLOOKUP(Tabla1[[#This Row],[PAGO DIA]],DIAS!A:E,5,0)</f>
        <v>46171</v>
      </c>
      <c r="P980" s="6">
        <v>0</v>
      </c>
      <c r="Q980" s="43">
        <f>VLOOKUP(Tabla1[[#This Row],[PAGO DIA]],DIAS!A:F,6,0)</f>
        <v>46203</v>
      </c>
      <c r="R980" s="6">
        <v>0</v>
      </c>
      <c r="S980" s="43">
        <f>VLOOKUP(Tabla1[[#This Row],[PAGO DIA]],DIAS!A:G,7,0)</f>
        <v>46234</v>
      </c>
      <c r="T980" s="6">
        <v>0</v>
      </c>
      <c r="U980" s="43">
        <f>VLOOKUP(Tabla1[[#This Row],[PAGO DIA]],DIAS!A:H,8,0)</f>
        <v>46265</v>
      </c>
      <c r="V980" s="6">
        <v>0</v>
      </c>
      <c r="W980" s="43">
        <f>VLOOKUP(Tabla1[[#This Row],[PAGO DIA]],DIAS!A:I,9,0)</f>
        <v>46295</v>
      </c>
      <c r="X980" s="6">
        <v>0</v>
      </c>
      <c r="Y980" s="43">
        <f>VLOOKUP(Tabla1[[#This Row],[PAGO DIA]],DIAS!A:J,10,0)</f>
        <v>46325</v>
      </c>
      <c r="Z980" s="6">
        <v>0</v>
      </c>
      <c r="AA980" s="43">
        <f>VLOOKUP(Tabla1[[#This Row],[PAGO DIA]],DIAS!A:K,11,0)</f>
        <v>46356</v>
      </c>
      <c r="AB980" s="6">
        <v>0</v>
      </c>
      <c r="AC980" s="43">
        <f>VLOOKUP(Tabla1[[#This Row],[PAGO DIA]],DIAS!A:M,12,0)</f>
        <v>46386</v>
      </c>
      <c r="AD9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1" spans="1:30">
      <c r="A981" s="3">
        <v>12732</v>
      </c>
      <c r="B981" s="3" t="s">
        <v>538</v>
      </c>
      <c r="C981" s="3" t="s">
        <v>539</v>
      </c>
      <c r="D981" s="3" t="s">
        <v>540</v>
      </c>
      <c r="E981" s="3" t="s">
        <v>592</v>
      </c>
      <c r="F981" s="42" t="s">
        <v>631</v>
      </c>
      <c r="G981" s="3" t="s">
        <v>1541</v>
      </c>
      <c r="H981" s="6">
        <v>0</v>
      </c>
      <c r="I981" s="41">
        <f>VLOOKUP(Tabla1[[#This Row],[PAGO DIA]],DIAS!A:B,2,0)</f>
        <v>46080</v>
      </c>
      <c r="J981" s="6">
        <v>0</v>
      </c>
      <c r="K981" s="43">
        <f>VLOOKUP(Tabla1[[#This Row],[PAGO DIA]],DIAS!A:C,3,0)</f>
        <v>46112</v>
      </c>
      <c r="L981" s="6">
        <v>0</v>
      </c>
      <c r="M981" s="41">
        <f>VLOOKUP(Tabla1[[#This Row],[PAGO DIA]],DIAS!A:D,4,0)</f>
        <v>46142</v>
      </c>
      <c r="N981" s="6">
        <v>0</v>
      </c>
      <c r="O981" s="43">
        <f>VLOOKUP(Tabla1[[#This Row],[PAGO DIA]],DIAS!A:E,5,0)</f>
        <v>46171</v>
      </c>
      <c r="P981" s="6">
        <v>0</v>
      </c>
      <c r="Q981" s="43">
        <f>VLOOKUP(Tabla1[[#This Row],[PAGO DIA]],DIAS!A:F,6,0)</f>
        <v>46203</v>
      </c>
      <c r="R981" s="6">
        <v>0</v>
      </c>
      <c r="S981" s="43">
        <f>VLOOKUP(Tabla1[[#This Row],[PAGO DIA]],DIAS!A:G,7,0)</f>
        <v>46234</v>
      </c>
      <c r="T981" s="6">
        <v>0</v>
      </c>
      <c r="U981" s="43">
        <f>VLOOKUP(Tabla1[[#This Row],[PAGO DIA]],DIAS!A:H,8,0)</f>
        <v>46265</v>
      </c>
      <c r="V981" s="6">
        <v>0</v>
      </c>
      <c r="W981" s="43">
        <f>VLOOKUP(Tabla1[[#This Row],[PAGO DIA]],DIAS!A:I,9,0)</f>
        <v>46295</v>
      </c>
      <c r="X981" s="6">
        <v>0</v>
      </c>
      <c r="Y981" s="43">
        <f>VLOOKUP(Tabla1[[#This Row],[PAGO DIA]],DIAS!A:J,10,0)</f>
        <v>46325</v>
      </c>
      <c r="Z981" s="6">
        <v>0</v>
      </c>
      <c r="AA981" s="43">
        <f>VLOOKUP(Tabla1[[#This Row],[PAGO DIA]],DIAS!A:K,11,0)</f>
        <v>46356</v>
      </c>
      <c r="AB981" s="6">
        <v>0</v>
      </c>
      <c r="AC981" s="43">
        <f>VLOOKUP(Tabla1[[#This Row],[PAGO DIA]],DIAS!A:M,12,0)</f>
        <v>46386</v>
      </c>
      <c r="AD9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2" spans="1:30">
      <c r="A982" s="3">
        <v>12733</v>
      </c>
      <c r="B982" s="3" t="s">
        <v>538</v>
      </c>
      <c r="C982" s="3" t="s">
        <v>539</v>
      </c>
      <c r="D982" s="3" t="s">
        <v>540</v>
      </c>
      <c r="E982" s="3" t="s">
        <v>592</v>
      </c>
      <c r="F982" s="42" t="s">
        <v>631</v>
      </c>
      <c r="G982" s="3" t="s">
        <v>1542</v>
      </c>
      <c r="H982" s="6">
        <v>0</v>
      </c>
      <c r="I982" s="41">
        <f>VLOOKUP(Tabla1[[#This Row],[PAGO DIA]],DIAS!A:B,2,0)</f>
        <v>46080</v>
      </c>
      <c r="J982" s="6">
        <v>0</v>
      </c>
      <c r="K982" s="43">
        <f>VLOOKUP(Tabla1[[#This Row],[PAGO DIA]],DIAS!A:C,3,0)</f>
        <v>46112</v>
      </c>
      <c r="L982" s="6">
        <v>0</v>
      </c>
      <c r="M982" s="41">
        <f>VLOOKUP(Tabla1[[#This Row],[PAGO DIA]],DIAS!A:D,4,0)</f>
        <v>46142</v>
      </c>
      <c r="N982" s="6">
        <v>0</v>
      </c>
      <c r="O982" s="43">
        <f>VLOOKUP(Tabla1[[#This Row],[PAGO DIA]],DIAS!A:E,5,0)</f>
        <v>46171</v>
      </c>
      <c r="P982" s="6">
        <v>0</v>
      </c>
      <c r="Q982" s="43">
        <f>VLOOKUP(Tabla1[[#This Row],[PAGO DIA]],DIAS!A:F,6,0)</f>
        <v>46203</v>
      </c>
      <c r="R982" s="6">
        <v>0</v>
      </c>
      <c r="S982" s="43">
        <f>VLOOKUP(Tabla1[[#This Row],[PAGO DIA]],DIAS!A:G,7,0)</f>
        <v>46234</v>
      </c>
      <c r="T982" s="6">
        <v>0</v>
      </c>
      <c r="U982" s="43">
        <f>VLOOKUP(Tabla1[[#This Row],[PAGO DIA]],DIAS!A:H,8,0)</f>
        <v>46265</v>
      </c>
      <c r="V982" s="6">
        <v>0</v>
      </c>
      <c r="W982" s="43">
        <f>VLOOKUP(Tabla1[[#This Row],[PAGO DIA]],DIAS!A:I,9,0)</f>
        <v>46295</v>
      </c>
      <c r="X982" s="6">
        <v>0</v>
      </c>
      <c r="Y982" s="43">
        <f>VLOOKUP(Tabla1[[#This Row],[PAGO DIA]],DIAS!A:J,10,0)</f>
        <v>46325</v>
      </c>
      <c r="Z982" s="6">
        <v>0</v>
      </c>
      <c r="AA982" s="43">
        <f>VLOOKUP(Tabla1[[#This Row],[PAGO DIA]],DIAS!A:K,11,0)</f>
        <v>46356</v>
      </c>
      <c r="AB982" s="6">
        <v>0</v>
      </c>
      <c r="AC982" s="43">
        <f>VLOOKUP(Tabla1[[#This Row],[PAGO DIA]],DIAS!A:M,12,0)</f>
        <v>46386</v>
      </c>
      <c r="AD9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3" spans="1:30">
      <c r="A983" s="3">
        <v>12734</v>
      </c>
      <c r="B983" s="3" t="s">
        <v>538</v>
      </c>
      <c r="C983" s="3" t="s">
        <v>539</v>
      </c>
      <c r="D983" s="3" t="s">
        <v>540</v>
      </c>
      <c r="E983" s="3" t="s">
        <v>592</v>
      </c>
      <c r="F983" s="42" t="s">
        <v>631</v>
      </c>
      <c r="G983" s="3" t="s">
        <v>1543</v>
      </c>
      <c r="H983" s="6">
        <v>0</v>
      </c>
      <c r="I983" s="41">
        <f>VLOOKUP(Tabla1[[#This Row],[PAGO DIA]],DIAS!A:B,2,0)</f>
        <v>46080</v>
      </c>
      <c r="J983" s="6">
        <v>0</v>
      </c>
      <c r="K983" s="43">
        <f>VLOOKUP(Tabla1[[#This Row],[PAGO DIA]],DIAS!A:C,3,0)</f>
        <v>46112</v>
      </c>
      <c r="L983" s="6">
        <v>0</v>
      </c>
      <c r="M983" s="41">
        <f>VLOOKUP(Tabla1[[#This Row],[PAGO DIA]],DIAS!A:D,4,0)</f>
        <v>46142</v>
      </c>
      <c r="N983" s="6">
        <v>0</v>
      </c>
      <c r="O983" s="43">
        <f>VLOOKUP(Tabla1[[#This Row],[PAGO DIA]],DIAS!A:E,5,0)</f>
        <v>46171</v>
      </c>
      <c r="P983" s="6">
        <v>0</v>
      </c>
      <c r="Q983" s="43">
        <f>VLOOKUP(Tabla1[[#This Row],[PAGO DIA]],DIAS!A:F,6,0)</f>
        <v>46203</v>
      </c>
      <c r="R983" s="6">
        <v>0</v>
      </c>
      <c r="S983" s="43">
        <f>VLOOKUP(Tabla1[[#This Row],[PAGO DIA]],DIAS!A:G,7,0)</f>
        <v>46234</v>
      </c>
      <c r="T983" s="6">
        <v>0</v>
      </c>
      <c r="U983" s="43">
        <f>VLOOKUP(Tabla1[[#This Row],[PAGO DIA]],DIAS!A:H,8,0)</f>
        <v>46265</v>
      </c>
      <c r="V983" s="6">
        <v>0</v>
      </c>
      <c r="W983" s="43">
        <f>VLOOKUP(Tabla1[[#This Row],[PAGO DIA]],DIAS!A:I,9,0)</f>
        <v>46295</v>
      </c>
      <c r="X983" s="6">
        <v>0</v>
      </c>
      <c r="Y983" s="43">
        <f>VLOOKUP(Tabla1[[#This Row],[PAGO DIA]],DIAS!A:J,10,0)</f>
        <v>46325</v>
      </c>
      <c r="Z983" s="6">
        <v>0</v>
      </c>
      <c r="AA983" s="43">
        <f>VLOOKUP(Tabla1[[#This Row],[PAGO DIA]],DIAS!A:K,11,0)</f>
        <v>46356</v>
      </c>
      <c r="AB983" s="6">
        <v>0</v>
      </c>
      <c r="AC983" s="43">
        <f>VLOOKUP(Tabla1[[#This Row],[PAGO DIA]],DIAS!A:M,12,0)</f>
        <v>46386</v>
      </c>
      <c r="AD9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4" spans="1:30">
      <c r="A984" s="3">
        <v>12738</v>
      </c>
      <c r="B984" s="3" t="s">
        <v>538</v>
      </c>
      <c r="C984" s="3" t="s">
        <v>539</v>
      </c>
      <c r="D984" s="3" t="s">
        <v>540</v>
      </c>
      <c r="E984" s="3" t="s">
        <v>592</v>
      </c>
      <c r="F984" s="42" t="s">
        <v>631</v>
      </c>
      <c r="G984" s="3" t="s">
        <v>1544</v>
      </c>
      <c r="H984" s="6">
        <v>0</v>
      </c>
      <c r="I984" s="41">
        <f>VLOOKUP(Tabla1[[#This Row],[PAGO DIA]],DIAS!A:B,2,0)</f>
        <v>46080</v>
      </c>
      <c r="J984" s="6">
        <v>0</v>
      </c>
      <c r="K984" s="43">
        <f>VLOOKUP(Tabla1[[#This Row],[PAGO DIA]],DIAS!A:C,3,0)</f>
        <v>46112</v>
      </c>
      <c r="L984" s="6">
        <v>0</v>
      </c>
      <c r="M984" s="41">
        <f>VLOOKUP(Tabla1[[#This Row],[PAGO DIA]],DIAS!A:D,4,0)</f>
        <v>46142</v>
      </c>
      <c r="N984" s="6">
        <v>0</v>
      </c>
      <c r="O984" s="43">
        <f>VLOOKUP(Tabla1[[#This Row],[PAGO DIA]],DIAS!A:E,5,0)</f>
        <v>46171</v>
      </c>
      <c r="P984" s="6">
        <v>0</v>
      </c>
      <c r="Q984" s="43">
        <f>VLOOKUP(Tabla1[[#This Row],[PAGO DIA]],DIAS!A:F,6,0)</f>
        <v>46203</v>
      </c>
      <c r="R984" s="6">
        <v>0</v>
      </c>
      <c r="S984" s="43">
        <f>VLOOKUP(Tabla1[[#This Row],[PAGO DIA]],DIAS!A:G,7,0)</f>
        <v>46234</v>
      </c>
      <c r="T984" s="6">
        <v>0</v>
      </c>
      <c r="U984" s="43">
        <f>VLOOKUP(Tabla1[[#This Row],[PAGO DIA]],DIAS!A:H,8,0)</f>
        <v>46265</v>
      </c>
      <c r="V984" s="6">
        <v>0</v>
      </c>
      <c r="W984" s="43">
        <f>VLOOKUP(Tabla1[[#This Row],[PAGO DIA]],DIAS!A:I,9,0)</f>
        <v>46295</v>
      </c>
      <c r="X984" s="6">
        <v>0</v>
      </c>
      <c r="Y984" s="43">
        <f>VLOOKUP(Tabla1[[#This Row],[PAGO DIA]],DIAS!A:J,10,0)</f>
        <v>46325</v>
      </c>
      <c r="Z984" s="6">
        <v>0</v>
      </c>
      <c r="AA984" s="43">
        <f>VLOOKUP(Tabla1[[#This Row],[PAGO DIA]],DIAS!A:K,11,0)</f>
        <v>46356</v>
      </c>
      <c r="AB984" s="6">
        <v>0</v>
      </c>
      <c r="AC984" s="43">
        <f>VLOOKUP(Tabla1[[#This Row],[PAGO DIA]],DIAS!A:M,12,0)</f>
        <v>46386</v>
      </c>
      <c r="AD9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5" spans="1:30">
      <c r="A985" s="3">
        <v>12747</v>
      </c>
      <c r="B985" s="3" t="s">
        <v>538</v>
      </c>
      <c r="C985" s="3" t="s">
        <v>539</v>
      </c>
      <c r="D985" s="3" t="s">
        <v>540</v>
      </c>
      <c r="E985" s="3" t="s">
        <v>592</v>
      </c>
      <c r="F985" s="42" t="s">
        <v>631</v>
      </c>
      <c r="G985" s="3" t="s">
        <v>1545</v>
      </c>
      <c r="H985" s="6">
        <v>0</v>
      </c>
      <c r="I985" s="41">
        <f>VLOOKUP(Tabla1[[#This Row],[PAGO DIA]],DIAS!A:B,2,0)</f>
        <v>46080</v>
      </c>
      <c r="J985" s="6">
        <v>0</v>
      </c>
      <c r="K985" s="43">
        <f>VLOOKUP(Tabla1[[#This Row],[PAGO DIA]],DIAS!A:C,3,0)</f>
        <v>46112</v>
      </c>
      <c r="L985" s="6">
        <v>0</v>
      </c>
      <c r="M985" s="41">
        <f>VLOOKUP(Tabla1[[#This Row],[PAGO DIA]],DIAS!A:D,4,0)</f>
        <v>46142</v>
      </c>
      <c r="N985" s="6">
        <v>0</v>
      </c>
      <c r="O985" s="43">
        <f>VLOOKUP(Tabla1[[#This Row],[PAGO DIA]],DIAS!A:E,5,0)</f>
        <v>46171</v>
      </c>
      <c r="P985" s="6">
        <v>0</v>
      </c>
      <c r="Q985" s="43">
        <f>VLOOKUP(Tabla1[[#This Row],[PAGO DIA]],DIAS!A:F,6,0)</f>
        <v>46203</v>
      </c>
      <c r="R985" s="6">
        <v>0</v>
      </c>
      <c r="S985" s="43">
        <f>VLOOKUP(Tabla1[[#This Row],[PAGO DIA]],DIAS!A:G,7,0)</f>
        <v>46234</v>
      </c>
      <c r="T985" s="6">
        <v>0</v>
      </c>
      <c r="U985" s="43">
        <f>VLOOKUP(Tabla1[[#This Row],[PAGO DIA]],DIAS!A:H,8,0)</f>
        <v>46265</v>
      </c>
      <c r="V985" s="6">
        <v>0</v>
      </c>
      <c r="W985" s="43">
        <f>VLOOKUP(Tabla1[[#This Row],[PAGO DIA]],DIAS!A:I,9,0)</f>
        <v>46295</v>
      </c>
      <c r="X985" s="6">
        <v>0</v>
      </c>
      <c r="Y985" s="43">
        <f>VLOOKUP(Tabla1[[#This Row],[PAGO DIA]],DIAS!A:J,10,0)</f>
        <v>46325</v>
      </c>
      <c r="Z985" s="6">
        <v>0</v>
      </c>
      <c r="AA985" s="43">
        <f>VLOOKUP(Tabla1[[#This Row],[PAGO DIA]],DIAS!A:K,11,0)</f>
        <v>46356</v>
      </c>
      <c r="AB985" s="6">
        <v>0</v>
      </c>
      <c r="AC985" s="43">
        <f>VLOOKUP(Tabla1[[#This Row],[PAGO DIA]],DIAS!A:M,12,0)</f>
        <v>46386</v>
      </c>
      <c r="AD9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6" spans="1:30">
      <c r="A986" s="3">
        <v>12748</v>
      </c>
      <c r="B986" s="3" t="s">
        <v>538</v>
      </c>
      <c r="C986" s="3" t="s">
        <v>539</v>
      </c>
      <c r="D986" s="3" t="s">
        <v>540</v>
      </c>
      <c r="E986" s="3" t="s">
        <v>592</v>
      </c>
      <c r="F986" s="42" t="s">
        <v>631</v>
      </c>
      <c r="G986" s="3" t="s">
        <v>1546</v>
      </c>
      <c r="H986" s="6">
        <v>0</v>
      </c>
      <c r="I986" s="41">
        <f>VLOOKUP(Tabla1[[#This Row],[PAGO DIA]],DIAS!A:B,2,0)</f>
        <v>46080</v>
      </c>
      <c r="J986" s="6">
        <v>0</v>
      </c>
      <c r="K986" s="43">
        <f>VLOOKUP(Tabla1[[#This Row],[PAGO DIA]],DIAS!A:C,3,0)</f>
        <v>46112</v>
      </c>
      <c r="L986" s="6">
        <v>0</v>
      </c>
      <c r="M986" s="41">
        <f>VLOOKUP(Tabla1[[#This Row],[PAGO DIA]],DIAS!A:D,4,0)</f>
        <v>46142</v>
      </c>
      <c r="N986" s="6">
        <v>0</v>
      </c>
      <c r="O986" s="43">
        <f>VLOOKUP(Tabla1[[#This Row],[PAGO DIA]],DIAS!A:E,5,0)</f>
        <v>46171</v>
      </c>
      <c r="P986" s="6">
        <v>0</v>
      </c>
      <c r="Q986" s="43">
        <f>VLOOKUP(Tabla1[[#This Row],[PAGO DIA]],DIAS!A:F,6,0)</f>
        <v>46203</v>
      </c>
      <c r="R986" s="6">
        <v>0</v>
      </c>
      <c r="S986" s="43">
        <f>VLOOKUP(Tabla1[[#This Row],[PAGO DIA]],DIAS!A:G,7,0)</f>
        <v>46234</v>
      </c>
      <c r="T986" s="6">
        <v>0</v>
      </c>
      <c r="U986" s="43">
        <f>VLOOKUP(Tabla1[[#This Row],[PAGO DIA]],DIAS!A:H,8,0)</f>
        <v>46265</v>
      </c>
      <c r="V986" s="6">
        <v>0</v>
      </c>
      <c r="W986" s="43">
        <f>VLOOKUP(Tabla1[[#This Row],[PAGO DIA]],DIAS!A:I,9,0)</f>
        <v>46295</v>
      </c>
      <c r="X986" s="6">
        <v>0</v>
      </c>
      <c r="Y986" s="43">
        <f>VLOOKUP(Tabla1[[#This Row],[PAGO DIA]],DIAS!A:J,10,0)</f>
        <v>46325</v>
      </c>
      <c r="Z986" s="6">
        <v>0</v>
      </c>
      <c r="AA986" s="43">
        <f>VLOOKUP(Tabla1[[#This Row],[PAGO DIA]],DIAS!A:K,11,0)</f>
        <v>46356</v>
      </c>
      <c r="AB986" s="6">
        <v>0</v>
      </c>
      <c r="AC986" s="43">
        <f>VLOOKUP(Tabla1[[#This Row],[PAGO DIA]],DIAS!A:M,12,0)</f>
        <v>46386</v>
      </c>
      <c r="AD9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7" spans="1:30">
      <c r="A987" s="3">
        <v>12756</v>
      </c>
      <c r="B987" s="3" t="s">
        <v>538</v>
      </c>
      <c r="C987" s="3" t="s">
        <v>539</v>
      </c>
      <c r="D987" s="3" t="s">
        <v>540</v>
      </c>
      <c r="E987" s="3" t="s">
        <v>592</v>
      </c>
      <c r="F987" s="42" t="s">
        <v>631</v>
      </c>
      <c r="G987" s="3" t="s">
        <v>1547</v>
      </c>
      <c r="H987" s="6">
        <v>0</v>
      </c>
      <c r="I987" s="41">
        <f>VLOOKUP(Tabla1[[#This Row],[PAGO DIA]],DIAS!A:B,2,0)</f>
        <v>46080</v>
      </c>
      <c r="J987" s="6">
        <v>0</v>
      </c>
      <c r="K987" s="43">
        <f>VLOOKUP(Tabla1[[#This Row],[PAGO DIA]],DIAS!A:C,3,0)</f>
        <v>46112</v>
      </c>
      <c r="L987" s="6">
        <v>0</v>
      </c>
      <c r="M987" s="41">
        <f>VLOOKUP(Tabla1[[#This Row],[PAGO DIA]],DIAS!A:D,4,0)</f>
        <v>46142</v>
      </c>
      <c r="N987" s="6">
        <v>0</v>
      </c>
      <c r="O987" s="43">
        <f>VLOOKUP(Tabla1[[#This Row],[PAGO DIA]],DIAS!A:E,5,0)</f>
        <v>46171</v>
      </c>
      <c r="P987" s="6">
        <v>0</v>
      </c>
      <c r="Q987" s="43">
        <f>VLOOKUP(Tabla1[[#This Row],[PAGO DIA]],DIAS!A:F,6,0)</f>
        <v>46203</v>
      </c>
      <c r="R987" s="6">
        <v>0</v>
      </c>
      <c r="S987" s="43">
        <f>VLOOKUP(Tabla1[[#This Row],[PAGO DIA]],DIAS!A:G,7,0)</f>
        <v>46234</v>
      </c>
      <c r="T987" s="6">
        <v>0</v>
      </c>
      <c r="U987" s="43">
        <f>VLOOKUP(Tabla1[[#This Row],[PAGO DIA]],DIAS!A:H,8,0)</f>
        <v>46265</v>
      </c>
      <c r="V987" s="6">
        <v>0</v>
      </c>
      <c r="W987" s="43">
        <f>VLOOKUP(Tabla1[[#This Row],[PAGO DIA]],DIAS!A:I,9,0)</f>
        <v>46295</v>
      </c>
      <c r="X987" s="6">
        <v>0</v>
      </c>
      <c r="Y987" s="43">
        <f>VLOOKUP(Tabla1[[#This Row],[PAGO DIA]],DIAS!A:J,10,0)</f>
        <v>46325</v>
      </c>
      <c r="Z987" s="6">
        <v>0</v>
      </c>
      <c r="AA987" s="43">
        <f>VLOOKUP(Tabla1[[#This Row],[PAGO DIA]],DIAS!A:K,11,0)</f>
        <v>46356</v>
      </c>
      <c r="AB987" s="6">
        <v>0</v>
      </c>
      <c r="AC987" s="43">
        <f>VLOOKUP(Tabla1[[#This Row],[PAGO DIA]],DIAS!A:M,12,0)</f>
        <v>46386</v>
      </c>
      <c r="AD9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8" spans="1:30">
      <c r="A988" s="3">
        <v>12789</v>
      </c>
      <c r="B988" s="3" t="s">
        <v>538</v>
      </c>
      <c r="C988" s="3" t="s">
        <v>539</v>
      </c>
      <c r="D988" s="3" t="s">
        <v>540</v>
      </c>
      <c r="E988" s="3" t="s">
        <v>592</v>
      </c>
      <c r="F988" s="42" t="s">
        <v>631</v>
      </c>
      <c r="G988" s="3" t="s">
        <v>1548</v>
      </c>
      <c r="H988" s="6">
        <v>0</v>
      </c>
      <c r="I988" s="41">
        <f>VLOOKUP(Tabla1[[#This Row],[PAGO DIA]],DIAS!A:B,2,0)</f>
        <v>46080</v>
      </c>
      <c r="J988" s="6">
        <v>0</v>
      </c>
      <c r="K988" s="43">
        <f>VLOOKUP(Tabla1[[#This Row],[PAGO DIA]],DIAS!A:C,3,0)</f>
        <v>46112</v>
      </c>
      <c r="L988" s="6">
        <v>0</v>
      </c>
      <c r="M988" s="41">
        <f>VLOOKUP(Tabla1[[#This Row],[PAGO DIA]],DIAS!A:D,4,0)</f>
        <v>46142</v>
      </c>
      <c r="N988" s="6">
        <v>0</v>
      </c>
      <c r="O988" s="43">
        <f>VLOOKUP(Tabla1[[#This Row],[PAGO DIA]],DIAS!A:E,5,0)</f>
        <v>46171</v>
      </c>
      <c r="P988" s="6">
        <v>0</v>
      </c>
      <c r="Q988" s="43">
        <f>VLOOKUP(Tabla1[[#This Row],[PAGO DIA]],DIAS!A:F,6,0)</f>
        <v>46203</v>
      </c>
      <c r="R988" s="6">
        <v>0</v>
      </c>
      <c r="S988" s="43">
        <f>VLOOKUP(Tabla1[[#This Row],[PAGO DIA]],DIAS!A:G,7,0)</f>
        <v>46234</v>
      </c>
      <c r="T988" s="6">
        <v>0</v>
      </c>
      <c r="U988" s="43">
        <f>VLOOKUP(Tabla1[[#This Row],[PAGO DIA]],DIAS!A:H,8,0)</f>
        <v>46265</v>
      </c>
      <c r="V988" s="6">
        <v>0</v>
      </c>
      <c r="W988" s="43">
        <f>VLOOKUP(Tabla1[[#This Row],[PAGO DIA]],DIAS!A:I,9,0)</f>
        <v>46295</v>
      </c>
      <c r="X988" s="6">
        <v>0</v>
      </c>
      <c r="Y988" s="43">
        <f>VLOOKUP(Tabla1[[#This Row],[PAGO DIA]],DIAS!A:J,10,0)</f>
        <v>46325</v>
      </c>
      <c r="Z988" s="6">
        <v>0</v>
      </c>
      <c r="AA988" s="43">
        <f>VLOOKUP(Tabla1[[#This Row],[PAGO DIA]],DIAS!A:K,11,0)</f>
        <v>46356</v>
      </c>
      <c r="AB988" s="6">
        <v>0</v>
      </c>
      <c r="AC988" s="43">
        <f>VLOOKUP(Tabla1[[#This Row],[PAGO DIA]],DIAS!A:M,12,0)</f>
        <v>46386</v>
      </c>
      <c r="AD9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89" spans="1:30">
      <c r="A989" s="3">
        <v>12790</v>
      </c>
      <c r="B989" s="3" t="s">
        <v>538</v>
      </c>
      <c r="C989" s="3" t="s">
        <v>539</v>
      </c>
      <c r="D989" s="3" t="s">
        <v>540</v>
      </c>
      <c r="E989" s="3" t="s">
        <v>592</v>
      </c>
      <c r="F989" s="42" t="s">
        <v>631</v>
      </c>
      <c r="G989" s="3" t="s">
        <v>1549</v>
      </c>
      <c r="H989" s="6">
        <v>0</v>
      </c>
      <c r="I989" s="41">
        <f>VLOOKUP(Tabla1[[#This Row],[PAGO DIA]],DIAS!A:B,2,0)</f>
        <v>46080</v>
      </c>
      <c r="J989" s="6">
        <v>0</v>
      </c>
      <c r="K989" s="43">
        <f>VLOOKUP(Tabla1[[#This Row],[PAGO DIA]],DIAS!A:C,3,0)</f>
        <v>46112</v>
      </c>
      <c r="L989" s="6">
        <v>0</v>
      </c>
      <c r="M989" s="41">
        <f>VLOOKUP(Tabla1[[#This Row],[PAGO DIA]],DIAS!A:D,4,0)</f>
        <v>46142</v>
      </c>
      <c r="N989" s="6">
        <v>0</v>
      </c>
      <c r="O989" s="43">
        <f>VLOOKUP(Tabla1[[#This Row],[PAGO DIA]],DIAS!A:E,5,0)</f>
        <v>46171</v>
      </c>
      <c r="P989" s="6">
        <v>0</v>
      </c>
      <c r="Q989" s="43">
        <f>VLOOKUP(Tabla1[[#This Row],[PAGO DIA]],DIAS!A:F,6,0)</f>
        <v>46203</v>
      </c>
      <c r="R989" s="6">
        <v>0</v>
      </c>
      <c r="S989" s="43">
        <f>VLOOKUP(Tabla1[[#This Row],[PAGO DIA]],DIAS!A:G,7,0)</f>
        <v>46234</v>
      </c>
      <c r="T989" s="6">
        <v>0</v>
      </c>
      <c r="U989" s="43">
        <f>VLOOKUP(Tabla1[[#This Row],[PAGO DIA]],DIAS!A:H,8,0)</f>
        <v>46265</v>
      </c>
      <c r="V989" s="6">
        <v>0</v>
      </c>
      <c r="W989" s="43">
        <f>VLOOKUP(Tabla1[[#This Row],[PAGO DIA]],DIAS!A:I,9,0)</f>
        <v>46295</v>
      </c>
      <c r="X989" s="6">
        <v>0</v>
      </c>
      <c r="Y989" s="43">
        <f>VLOOKUP(Tabla1[[#This Row],[PAGO DIA]],DIAS!A:J,10,0)</f>
        <v>46325</v>
      </c>
      <c r="Z989" s="6">
        <v>0</v>
      </c>
      <c r="AA989" s="43">
        <f>VLOOKUP(Tabla1[[#This Row],[PAGO DIA]],DIAS!A:K,11,0)</f>
        <v>46356</v>
      </c>
      <c r="AB989" s="6">
        <v>0</v>
      </c>
      <c r="AC989" s="43">
        <f>VLOOKUP(Tabla1[[#This Row],[PAGO DIA]],DIAS!A:M,12,0)</f>
        <v>46386</v>
      </c>
      <c r="AD9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0" spans="1:30">
      <c r="A990" s="3">
        <v>11201</v>
      </c>
      <c r="B990" s="3" t="s">
        <v>538</v>
      </c>
      <c r="C990" s="3" t="s">
        <v>539</v>
      </c>
      <c r="D990" s="3" t="s">
        <v>540</v>
      </c>
      <c r="E990" s="3" t="s">
        <v>1550</v>
      </c>
      <c r="F990" s="42" t="s">
        <v>631</v>
      </c>
      <c r="G990" s="3"/>
      <c r="H990" s="6">
        <v>0</v>
      </c>
      <c r="I990" s="41">
        <f>VLOOKUP(Tabla1[[#This Row],[PAGO DIA]],DIAS!A:B,2,0)</f>
        <v>46080</v>
      </c>
      <c r="J990" s="6">
        <v>0</v>
      </c>
      <c r="K990" s="43">
        <f>VLOOKUP(Tabla1[[#This Row],[PAGO DIA]],DIAS!A:C,3,0)</f>
        <v>46112</v>
      </c>
      <c r="L990" s="6">
        <v>0</v>
      </c>
      <c r="M990" s="41">
        <f>VLOOKUP(Tabla1[[#This Row],[PAGO DIA]],DIAS!A:D,4,0)</f>
        <v>46142</v>
      </c>
      <c r="N990" s="6">
        <v>0</v>
      </c>
      <c r="O990" s="43">
        <f>VLOOKUP(Tabla1[[#This Row],[PAGO DIA]],DIAS!A:E,5,0)</f>
        <v>46171</v>
      </c>
      <c r="P990" s="6">
        <v>0</v>
      </c>
      <c r="Q990" s="43">
        <f>VLOOKUP(Tabla1[[#This Row],[PAGO DIA]],DIAS!A:F,6,0)</f>
        <v>46203</v>
      </c>
      <c r="R990" s="6">
        <v>0</v>
      </c>
      <c r="S990" s="43">
        <f>VLOOKUP(Tabla1[[#This Row],[PAGO DIA]],DIAS!A:G,7,0)</f>
        <v>46234</v>
      </c>
      <c r="T990" s="6">
        <v>0</v>
      </c>
      <c r="U990" s="43">
        <f>VLOOKUP(Tabla1[[#This Row],[PAGO DIA]],DIAS!A:H,8,0)</f>
        <v>46265</v>
      </c>
      <c r="V990" s="6">
        <v>0</v>
      </c>
      <c r="W990" s="43">
        <f>VLOOKUP(Tabla1[[#This Row],[PAGO DIA]],DIAS!A:I,9,0)</f>
        <v>46295</v>
      </c>
      <c r="X990" s="6">
        <v>0</v>
      </c>
      <c r="Y990" s="43">
        <f>VLOOKUP(Tabla1[[#This Row],[PAGO DIA]],DIAS!A:J,10,0)</f>
        <v>46325</v>
      </c>
      <c r="Z990" s="6">
        <v>0</v>
      </c>
      <c r="AA990" s="43">
        <f>VLOOKUP(Tabla1[[#This Row],[PAGO DIA]],DIAS!A:K,11,0)</f>
        <v>46356</v>
      </c>
      <c r="AB990" s="6">
        <v>0</v>
      </c>
      <c r="AC990" s="43">
        <f>VLOOKUP(Tabla1[[#This Row],[PAGO DIA]],DIAS!A:M,12,0)</f>
        <v>46386</v>
      </c>
      <c r="AD9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1" spans="1:30">
      <c r="A991" s="3">
        <v>11300</v>
      </c>
      <c r="B991" s="3" t="s">
        <v>538</v>
      </c>
      <c r="C991" s="3" t="s">
        <v>539</v>
      </c>
      <c r="D991" s="3" t="s">
        <v>540</v>
      </c>
      <c r="E991" s="3" t="s">
        <v>1550</v>
      </c>
      <c r="F991" s="42" t="s">
        <v>631</v>
      </c>
      <c r="G991" s="3"/>
      <c r="H991" s="6">
        <v>0</v>
      </c>
      <c r="I991" s="41">
        <f>VLOOKUP(Tabla1[[#This Row],[PAGO DIA]],DIAS!A:B,2,0)</f>
        <v>46080</v>
      </c>
      <c r="J991" s="6">
        <v>0</v>
      </c>
      <c r="K991" s="43">
        <f>VLOOKUP(Tabla1[[#This Row],[PAGO DIA]],DIAS!A:C,3,0)</f>
        <v>46112</v>
      </c>
      <c r="L991" s="6">
        <v>0</v>
      </c>
      <c r="M991" s="41">
        <f>VLOOKUP(Tabla1[[#This Row],[PAGO DIA]],DIAS!A:D,4,0)</f>
        <v>46142</v>
      </c>
      <c r="N991" s="6">
        <v>0</v>
      </c>
      <c r="O991" s="43">
        <f>VLOOKUP(Tabla1[[#This Row],[PAGO DIA]],DIAS!A:E,5,0)</f>
        <v>46171</v>
      </c>
      <c r="P991" s="6">
        <v>0</v>
      </c>
      <c r="Q991" s="43">
        <f>VLOOKUP(Tabla1[[#This Row],[PAGO DIA]],DIAS!A:F,6,0)</f>
        <v>46203</v>
      </c>
      <c r="R991" s="6">
        <v>0</v>
      </c>
      <c r="S991" s="43">
        <f>VLOOKUP(Tabla1[[#This Row],[PAGO DIA]],DIAS!A:G,7,0)</f>
        <v>46234</v>
      </c>
      <c r="T991" s="6">
        <v>0</v>
      </c>
      <c r="U991" s="43">
        <f>VLOOKUP(Tabla1[[#This Row],[PAGO DIA]],DIAS!A:H,8,0)</f>
        <v>46265</v>
      </c>
      <c r="V991" s="6">
        <v>0</v>
      </c>
      <c r="W991" s="43">
        <f>VLOOKUP(Tabla1[[#This Row],[PAGO DIA]],DIAS!A:I,9,0)</f>
        <v>46295</v>
      </c>
      <c r="X991" s="6">
        <v>0</v>
      </c>
      <c r="Y991" s="43">
        <f>VLOOKUP(Tabla1[[#This Row],[PAGO DIA]],DIAS!A:J,10,0)</f>
        <v>46325</v>
      </c>
      <c r="Z991" s="6">
        <v>0</v>
      </c>
      <c r="AA991" s="43">
        <f>VLOOKUP(Tabla1[[#This Row],[PAGO DIA]],DIAS!A:K,11,0)</f>
        <v>46356</v>
      </c>
      <c r="AB991" s="6">
        <v>0</v>
      </c>
      <c r="AC991" s="43">
        <f>VLOOKUP(Tabla1[[#This Row],[PAGO DIA]],DIAS!A:M,12,0)</f>
        <v>46386</v>
      </c>
      <c r="AD9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2" spans="1:30">
      <c r="A992" s="3">
        <v>11703</v>
      </c>
      <c r="B992" s="3" t="s">
        <v>538</v>
      </c>
      <c r="C992" s="3" t="s">
        <v>540</v>
      </c>
      <c r="D992" s="3" t="s">
        <v>540</v>
      </c>
      <c r="E992" s="3" t="s">
        <v>1550</v>
      </c>
      <c r="F992" s="42" t="s">
        <v>631</v>
      </c>
      <c r="G992" s="3" t="s">
        <v>1551</v>
      </c>
      <c r="H992" s="6">
        <v>0</v>
      </c>
      <c r="I992" s="41">
        <f>VLOOKUP(Tabla1[[#This Row],[PAGO DIA]],DIAS!A:B,2,0)</f>
        <v>46080</v>
      </c>
      <c r="J992" s="6">
        <v>0</v>
      </c>
      <c r="K992" s="43">
        <f>VLOOKUP(Tabla1[[#This Row],[PAGO DIA]],DIAS!A:C,3,0)</f>
        <v>46112</v>
      </c>
      <c r="L992" s="6">
        <v>0</v>
      </c>
      <c r="M992" s="41">
        <f>VLOOKUP(Tabla1[[#This Row],[PAGO DIA]],DIAS!A:D,4,0)</f>
        <v>46142</v>
      </c>
      <c r="N992" s="6">
        <v>0</v>
      </c>
      <c r="O992" s="43">
        <f>VLOOKUP(Tabla1[[#This Row],[PAGO DIA]],DIAS!A:E,5,0)</f>
        <v>46171</v>
      </c>
      <c r="P992" s="6">
        <v>0</v>
      </c>
      <c r="Q992" s="43">
        <f>VLOOKUP(Tabla1[[#This Row],[PAGO DIA]],DIAS!A:F,6,0)</f>
        <v>46203</v>
      </c>
      <c r="R992" s="6">
        <v>0</v>
      </c>
      <c r="S992" s="43">
        <f>VLOOKUP(Tabla1[[#This Row],[PAGO DIA]],DIAS!A:G,7,0)</f>
        <v>46234</v>
      </c>
      <c r="T992" s="6">
        <v>0</v>
      </c>
      <c r="U992" s="43">
        <f>VLOOKUP(Tabla1[[#This Row],[PAGO DIA]],DIAS!A:H,8,0)</f>
        <v>46265</v>
      </c>
      <c r="V992" s="6">
        <v>0</v>
      </c>
      <c r="W992" s="43">
        <f>VLOOKUP(Tabla1[[#This Row],[PAGO DIA]],DIAS!A:I,9,0)</f>
        <v>46295</v>
      </c>
      <c r="X992" s="6">
        <v>0</v>
      </c>
      <c r="Y992" s="43">
        <f>VLOOKUP(Tabla1[[#This Row],[PAGO DIA]],DIAS!A:J,10,0)</f>
        <v>46325</v>
      </c>
      <c r="Z992" s="6">
        <v>0</v>
      </c>
      <c r="AA992" s="43">
        <f>VLOOKUP(Tabla1[[#This Row],[PAGO DIA]],DIAS!A:K,11,0)</f>
        <v>46356</v>
      </c>
      <c r="AB992" s="6">
        <v>0</v>
      </c>
      <c r="AC992" s="43">
        <f>VLOOKUP(Tabla1[[#This Row],[PAGO DIA]],DIAS!A:M,12,0)</f>
        <v>46386</v>
      </c>
      <c r="AD9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3" spans="1:30">
      <c r="A993" s="3">
        <v>11704</v>
      </c>
      <c r="B993" s="3" t="s">
        <v>538</v>
      </c>
      <c r="C993" s="3" t="s">
        <v>540</v>
      </c>
      <c r="D993" s="3" t="s">
        <v>540</v>
      </c>
      <c r="E993" s="3" t="s">
        <v>1550</v>
      </c>
      <c r="F993" s="42" t="s">
        <v>631</v>
      </c>
      <c r="G993" s="3" t="s">
        <v>1552</v>
      </c>
      <c r="H993" s="6">
        <v>0</v>
      </c>
      <c r="I993" s="41">
        <f>VLOOKUP(Tabla1[[#This Row],[PAGO DIA]],DIAS!A:B,2,0)</f>
        <v>46080</v>
      </c>
      <c r="J993" s="6">
        <v>0</v>
      </c>
      <c r="K993" s="43">
        <f>VLOOKUP(Tabla1[[#This Row],[PAGO DIA]],DIAS!A:C,3,0)</f>
        <v>46112</v>
      </c>
      <c r="L993" s="6">
        <v>0</v>
      </c>
      <c r="M993" s="41">
        <f>VLOOKUP(Tabla1[[#This Row],[PAGO DIA]],DIAS!A:D,4,0)</f>
        <v>46142</v>
      </c>
      <c r="N993" s="6">
        <v>0</v>
      </c>
      <c r="O993" s="43">
        <f>VLOOKUP(Tabla1[[#This Row],[PAGO DIA]],DIAS!A:E,5,0)</f>
        <v>46171</v>
      </c>
      <c r="P993" s="6">
        <v>0</v>
      </c>
      <c r="Q993" s="43">
        <f>VLOOKUP(Tabla1[[#This Row],[PAGO DIA]],DIAS!A:F,6,0)</f>
        <v>46203</v>
      </c>
      <c r="R993" s="6">
        <v>0</v>
      </c>
      <c r="S993" s="43">
        <f>VLOOKUP(Tabla1[[#This Row],[PAGO DIA]],DIAS!A:G,7,0)</f>
        <v>46234</v>
      </c>
      <c r="T993" s="6">
        <v>0</v>
      </c>
      <c r="U993" s="43">
        <f>VLOOKUP(Tabla1[[#This Row],[PAGO DIA]],DIAS!A:H,8,0)</f>
        <v>46265</v>
      </c>
      <c r="V993" s="6">
        <v>0</v>
      </c>
      <c r="W993" s="43">
        <f>VLOOKUP(Tabla1[[#This Row],[PAGO DIA]],DIAS!A:I,9,0)</f>
        <v>46295</v>
      </c>
      <c r="X993" s="6">
        <v>0</v>
      </c>
      <c r="Y993" s="43">
        <f>VLOOKUP(Tabla1[[#This Row],[PAGO DIA]],DIAS!A:J,10,0)</f>
        <v>46325</v>
      </c>
      <c r="Z993" s="6">
        <v>0</v>
      </c>
      <c r="AA993" s="43">
        <f>VLOOKUP(Tabla1[[#This Row],[PAGO DIA]],DIAS!A:K,11,0)</f>
        <v>46356</v>
      </c>
      <c r="AB993" s="6">
        <v>0</v>
      </c>
      <c r="AC993" s="43">
        <f>VLOOKUP(Tabla1[[#This Row],[PAGO DIA]],DIAS!A:M,12,0)</f>
        <v>46386</v>
      </c>
      <c r="AD9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4" spans="1:30">
      <c r="A994" s="3">
        <v>11705</v>
      </c>
      <c r="B994" s="3" t="s">
        <v>538</v>
      </c>
      <c r="C994" s="3" t="s">
        <v>540</v>
      </c>
      <c r="D994" s="3" t="s">
        <v>540</v>
      </c>
      <c r="E994" s="3" t="s">
        <v>1550</v>
      </c>
      <c r="F994" s="42" t="s">
        <v>631</v>
      </c>
      <c r="G994" s="3" t="s">
        <v>1553</v>
      </c>
      <c r="H994" s="6">
        <v>0</v>
      </c>
      <c r="I994" s="41">
        <f>VLOOKUP(Tabla1[[#This Row],[PAGO DIA]],DIAS!A:B,2,0)</f>
        <v>46080</v>
      </c>
      <c r="J994" s="6">
        <v>0</v>
      </c>
      <c r="K994" s="43">
        <f>VLOOKUP(Tabla1[[#This Row],[PAGO DIA]],DIAS!A:C,3,0)</f>
        <v>46112</v>
      </c>
      <c r="L994" s="6">
        <v>0</v>
      </c>
      <c r="M994" s="41">
        <f>VLOOKUP(Tabla1[[#This Row],[PAGO DIA]],DIAS!A:D,4,0)</f>
        <v>46142</v>
      </c>
      <c r="N994" s="6">
        <v>0</v>
      </c>
      <c r="O994" s="43">
        <f>VLOOKUP(Tabla1[[#This Row],[PAGO DIA]],DIAS!A:E,5,0)</f>
        <v>46171</v>
      </c>
      <c r="P994" s="6">
        <v>0</v>
      </c>
      <c r="Q994" s="43">
        <f>VLOOKUP(Tabla1[[#This Row],[PAGO DIA]],DIAS!A:F,6,0)</f>
        <v>46203</v>
      </c>
      <c r="R994" s="6">
        <v>0</v>
      </c>
      <c r="S994" s="43">
        <f>VLOOKUP(Tabla1[[#This Row],[PAGO DIA]],DIAS!A:G,7,0)</f>
        <v>46234</v>
      </c>
      <c r="T994" s="6">
        <v>0</v>
      </c>
      <c r="U994" s="43">
        <f>VLOOKUP(Tabla1[[#This Row],[PAGO DIA]],DIAS!A:H,8,0)</f>
        <v>46265</v>
      </c>
      <c r="V994" s="6">
        <v>0</v>
      </c>
      <c r="W994" s="43">
        <f>VLOOKUP(Tabla1[[#This Row],[PAGO DIA]],DIAS!A:I,9,0)</f>
        <v>46295</v>
      </c>
      <c r="X994" s="6">
        <v>0</v>
      </c>
      <c r="Y994" s="43">
        <f>VLOOKUP(Tabla1[[#This Row],[PAGO DIA]],DIAS!A:J,10,0)</f>
        <v>46325</v>
      </c>
      <c r="Z994" s="6">
        <v>0</v>
      </c>
      <c r="AA994" s="43">
        <f>VLOOKUP(Tabla1[[#This Row],[PAGO DIA]],DIAS!A:K,11,0)</f>
        <v>46356</v>
      </c>
      <c r="AB994" s="6">
        <v>0</v>
      </c>
      <c r="AC994" s="43">
        <f>VLOOKUP(Tabla1[[#This Row],[PAGO DIA]],DIAS!A:M,12,0)</f>
        <v>46386</v>
      </c>
      <c r="AD9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5" spans="1:30">
      <c r="A995" s="3">
        <v>11706</v>
      </c>
      <c r="B995" s="3" t="s">
        <v>538</v>
      </c>
      <c r="C995" s="3" t="s">
        <v>540</v>
      </c>
      <c r="D995" s="3" t="s">
        <v>540</v>
      </c>
      <c r="E995" s="3" t="s">
        <v>1550</v>
      </c>
      <c r="F995" s="42" t="s">
        <v>631</v>
      </c>
      <c r="G995" s="3" t="s">
        <v>1554</v>
      </c>
      <c r="H995" s="6">
        <v>0</v>
      </c>
      <c r="I995" s="41">
        <f>VLOOKUP(Tabla1[[#This Row],[PAGO DIA]],DIAS!A:B,2,0)</f>
        <v>46080</v>
      </c>
      <c r="J995" s="6">
        <v>0</v>
      </c>
      <c r="K995" s="43">
        <f>VLOOKUP(Tabla1[[#This Row],[PAGO DIA]],DIAS!A:C,3,0)</f>
        <v>46112</v>
      </c>
      <c r="L995" s="6">
        <v>0</v>
      </c>
      <c r="M995" s="41">
        <f>VLOOKUP(Tabla1[[#This Row],[PAGO DIA]],DIAS!A:D,4,0)</f>
        <v>46142</v>
      </c>
      <c r="N995" s="6">
        <v>0</v>
      </c>
      <c r="O995" s="43">
        <f>VLOOKUP(Tabla1[[#This Row],[PAGO DIA]],DIAS!A:E,5,0)</f>
        <v>46171</v>
      </c>
      <c r="P995" s="6">
        <v>0</v>
      </c>
      <c r="Q995" s="43">
        <f>VLOOKUP(Tabla1[[#This Row],[PAGO DIA]],DIAS!A:F,6,0)</f>
        <v>46203</v>
      </c>
      <c r="R995" s="6">
        <v>0</v>
      </c>
      <c r="S995" s="43">
        <f>VLOOKUP(Tabla1[[#This Row],[PAGO DIA]],DIAS!A:G,7,0)</f>
        <v>46234</v>
      </c>
      <c r="T995" s="6">
        <v>0</v>
      </c>
      <c r="U995" s="43">
        <f>VLOOKUP(Tabla1[[#This Row],[PAGO DIA]],DIAS!A:H,8,0)</f>
        <v>46265</v>
      </c>
      <c r="V995" s="6">
        <v>0</v>
      </c>
      <c r="W995" s="43">
        <f>VLOOKUP(Tabla1[[#This Row],[PAGO DIA]],DIAS!A:I,9,0)</f>
        <v>46295</v>
      </c>
      <c r="X995" s="6">
        <v>0</v>
      </c>
      <c r="Y995" s="43">
        <f>VLOOKUP(Tabla1[[#This Row],[PAGO DIA]],DIAS!A:J,10,0)</f>
        <v>46325</v>
      </c>
      <c r="Z995" s="6">
        <v>0</v>
      </c>
      <c r="AA995" s="43">
        <f>VLOOKUP(Tabla1[[#This Row],[PAGO DIA]],DIAS!A:K,11,0)</f>
        <v>46356</v>
      </c>
      <c r="AB995" s="6">
        <v>0</v>
      </c>
      <c r="AC995" s="43">
        <f>VLOOKUP(Tabla1[[#This Row],[PAGO DIA]],DIAS!A:M,12,0)</f>
        <v>46386</v>
      </c>
      <c r="AD9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6" spans="1:30">
      <c r="A996" s="3">
        <v>11707</v>
      </c>
      <c r="B996" s="3" t="s">
        <v>538</v>
      </c>
      <c r="C996" s="3" t="s">
        <v>540</v>
      </c>
      <c r="D996" s="3" t="s">
        <v>540</v>
      </c>
      <c r="E996" s="3" t="s">
        <v>1550</v>
      </c>
      <c r="F996" s="42" t="s">
        <v>631</v>
      </c>
      <c r="G996" s="3" t="s">
        <v>1555</v>
      </c>
      <c r="H996" s="6">
        <v>0</v>
      </c>
      <c r="I996" s="41">
        <f>VLOOKUP(Tabla1[[#This Row],[PAGO DIA]],DIAS!A:B,2,0)</f>
        <v>46080</v>
      </c>
      <c r="J996" s="6">
        <v>0</v>
      </c>
      <c r="K996" s="43">
        <f>VLOOKUP(Tabla1[[#This Row],[PAGO DIA]],DIAS!A:C,3,0)</f>
        <v>46112</v>
      </c>
      <c r="L996" s="6">
        <v>0</v>
      </c>
      <c r="M996" s="41">
        <f>VLOOKUP(Tabla1[[#This Row],[PAGO DIA]],DIAS!A:D,4,0)</f>
        <v>46142</v>
      </c>
      <c r="N996" s="6">
        <v>0</v>
      </c>
      <c r="O996" s="43">
        <f>VLOOKUP(Tabla1[[#This Row],[PAGO DIA]],DIAS!A:E,5,0)</f>
        <v>46171</v>
      </c>
      <c r="P996" s="6">
        <v>0</v>
      </c>
      <c r="Q996" s="43">
        <f>VLOOKUP(Tabla1[[#This Row],[PAGO DIA]],DIAS!A:F,6,0)</f>
        <v>46203</v>
      </c>
      <c r="R996" s="6">
        <v>0</v>
      </c>
      <c r="S996" s="43">
        <f>VLOOKUP(Tabla1[[#This Row],[PAGO DIA]],DIAS!A:G,7,0)</f>
        <v>46234</v>
      </c>
      <c r="T996" s="6">
        <v>0</v>
      </c>
      <c r="U996" s="43">
        <f>VLOOKUP(Tabla1[[#This Row],[PAGO DIA]],DIAS!A:H,8,0)</f>
        <v>46265</v>
      </c>
      <c r="V996" s="6">
        <v>0</v>
      </c>
      <c r="W996" s="43">
        <f>VLOOKUP(Tabla1[[#This Row],[PAGO DIA]],DIAS!A:I,9,0)</f>
        <v>46295</v>
      </c>
      <c r="X996" s="6">
        <v>0</v>
      </c>
      <c r="Y996" s="43">
        <f>VLOOKUP(Tabla1[[#This Row],[PAGO DIA]],DIAS!A:J,10,0)</f>
        <v>46325</v>
      </c>
      <c r="Z996" s="6">
        <v>0</v>
      </c>
      <c r="AA996" s="43">
        <f>VLOOKUP(Tabla1[[#This Row],[PAGO DIA]],DIAS!A:K,11,0)</f>
        <v>46356</v>
      </c>
      <c r="AB996" s="6">
        <v>0</v>
      </c>
      <c r="AC996" s="43">
        <f>VLOOKUP(Tabla1[[#This Row],[PAGO DIA]],DIAS!A:M,12,0)</f>
        <v>46386</v>
      </c>
      <c r="AD9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7" spans="1:30">
      <c r="A997" s="3">
        <v>11708</v>
      </c>
      <c r="B997" s="3" t="s">
        <v>538</v>
      </c>
      <c r="C997" s="3" t="s">
        <v>540</v>
      </c>
      <c r="D997" s="3" t="s">
        <v>540</v>
      </c>
      <c r="E997" s="3" t="s">
        <v>1550</v>
      </c>
      <c r="F997" s="42" t="s">
        <v>631</v>
      </c>
      <c r="G997" s="3" t="s">
        <v>1556</v>
      </c>
      <c r="H997" s="6">
        <v>0</v>
      </c>
      <c r="I997" s="41">
        <f>VLOOKUP(Tabla1[[#This Row],[PAGO DIA]],DIAS!A:B,2,0)</f>
        <v>46080</v>
      </c>
      <c r="J997" s="6">
        <v>0</v>
      </c>
      <c r="K997" s="43">
        <f>VLOOKUP(Tabla1[[#This Row],[PAGO DIA]],DIAS!A:C,3,0)</f>
        <v>46112</v>
      </c>
      <c r="L997" s="6">
        <v>0</v>
      </c>
      <c r="M997" s="41">
        <f>VLOOKUP(Tabla1[[#This Row],[PAGO DIA]],DIAS!A:D,4,0)</f>
        <v>46142</v>
      </c>
      <c r="N997" s="6">
        <v>0</v>
      </c>
      <c r="O997" s="43">
        <f>VLOOKUP(Tabla1[[#This Row],[PAGO DIA]],DIAS!A:E,5,0)</f>
        <v>46171</v>
      </c>
      <c r="P997" s="6">
        <v>0</v>
      </c>
      <c r="Q997" s="43">
        <f>VLOOKUP(Tabla1[[#This Row],[PAGO DIA]],DIAS!A:F,6,0)</f>
        <v>46203</v>
      </c>
      <c r="R997" s="6">
        <v>0</v>
      </c>
      <c r="S997" s="43">
        <f>VLOOKUP(Tabla1[[#This Row],[PAGO DIA]],DIAS!A:G,7,0)</f>
        <v>46234</v>
      </c>
      <c r="T997" s="6">
        <v>0</v>
      </c>
      <c r="U997" s="43">
        <f>VLOOKUP(Tabla1[[#This Row],[PAGO DIA]],DIAS!A:H,8,0)</f>
        <v>46265</v>
      </c>
      <c r="V997" s="6">
        <v>0</v>
      </c>
      <c r="W997" s="43">
        <f>VLOOKUP(Tabla1[[#This Row],[PAGO DIA]],DIAS!A:I,9,0)</f>
        <v>46295</v>
      </c>
      <c r="X997" s="6">
        <v>0</v>
      </c>
      <c r="Y997" s="43">
        <f>VLOOKUP(Tabla1[[#This Row],[PAGO DIA]],DIAS!A:J,10,0)</f>
        <v>46325</v>
      </c>
      <c r="Z997" s="6">
        <v>0</v>
      </c>
      <c r="AA997" s="43">
        <f>VLOOKUP(Tabla1[[#This Row],[PAGO DIA]],DIAS!A:K,11,0)</f>
        <v>46356</v>
      </c>
      <c r="AB997" s="6">
        <v>0</v>
      </c>
      <c r="AC997" s="43">
        <f>VLOOKUP(Tabla1[[#This Row],[PAGO DIA]],DIAS!A:M,12,0)</f>
        <v>46386</v>
      </c>
      <c r="AD9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8" spans="1:30">
      <c r="A998" s="3">
        <v>11709</v>
      </c>
      <c r="B998" s="3" t="s">
        <v>538</v>
      </c>
      <c r="C998" s="3" t="s">
        <v>540</v>
      </c>
      <c r="D998" s="3" t="s">
        <v>540</v>
      </c>
      <c r="E998" s="3" t="s">
        <v>1550</v>
      </c>
      <c r="F998" s="42" t="s">
        <v>631</v>
      </c>
      <c r="G998" s="3" t="s">
        <v>1557</v>
      </c>
      <c r="H998" s="6">
        <v>0</v>
      </c>
      <c r="I998" s="41">
        <f>VLOOKUP(Tabla1[[#This Row],[PAGO DIA]],DIAS!A:B,2,0)</f>
        <v>46080</v>
      </c>
      <c r="J998" s="6">
        <v>0</v>
      </c>
      <c r="K998" s="43">
        <f>VLOOKUP(Tabla1[[#This Row],[PAGO DIA]],DIAS!A:C,3,0)</f>
        <v>46112</v>
      </c>
      <c r="L998" s="6">
        <v>0</v>
      </c>
      <c r="M998" s="41">
        <f>VLOOKUP(Tabla1[[#This Row],[PAGO DIA]],DIAS!A:D,4,0)</f>
        <v>46142</v>
      </c>
      <c r="N998" s="6">
        <v>0</v>
      </c>
      <c r="O998" s="43">
        <f>VLOOKUP(Tabla1[[#This Row],[PAGO DIA]],DIAS!A:E,5,0)</f>
        <v>46171</v>
      </c>
      <c r="P998" s="6">
        <v>0</v>
      </c>
      <c r="Q998" s="43">
        <f>VLOOKUP(Tabla1[[#This Row],[PAGO DIA]],DIAS!A:F,6,0)</f>
        <v>46203</v>
      </c>
      <c r="R998" s="6">
        <v>0</v>
      </c>
      <c r="S998" s="43">
        <f>VLOOKUP(Tabla1[[#This Row],[PAGO DIA]],DIAS!A:G,7,0)</f>
        <v>46234</v>
      </c>
      <c r="T998" s="6">
        <v>0</v>
      </c>
      <c r="U998" s="43">
        <f>VLOOKUP(Tabla1[[#This Row],[PAGO DIA]],DIAS!A:H,8,0)</f>
        <v>46265</v>
      </c>
      <c r="V998" s="6">
        <v>0</v>
      </c>
      <c r="W998" s="43">
        <f>VLOOKUP(Tabla1[[#This Row],[PAGO DIA]],DIAS!A:I,9,0)</f>
        <v>46295</v>
      </c>
      <c r="X998" s="6">
        <v>0</v>
      </c>
      <c r="Y998" s="43">
        <f>VLOOKUP(Tabla1[[#This Row],[PAGO DIA]],DIAS!A:J,10,0)</f>
        <v>46325</v>
      </c>
      <c r="Z998" s="6">
        <v>0</v>
      </c>
      <c r="AA998" s="43">
        <f>VLOOKUP(Tabla1[[#This Row],[PAGO DIA]],DIAS!A:K,11,0)</f>
        <v>46356</v>
      </c>
      <c r="AB998" s="6">
        <v>0</v>
      </c>
      <c r="AC998" s="43">
        <f>VLOOKUP(Tabla1[[#This Row],[PAGO DIA]],DIAS!A:M,12,0)</f>
        <v>46386</v>
      </c>
      <c r="AD9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999" spans="1:30">
      <c r="A999" s="3">
        <v>11710</v>
      </c>
      <c r="B999" s="3" t="s">
        <v>538</v>
      </c>
      <c r="C999" s="3" t="s">
        <v>540</v>
      </c>
      <c r="D999" s="3" t="s">
        <v>540</v>
      </c>
      <c r="E999" s="3" t="s">
        <v>1550</v>
      </c>
      <c r="F999" s="42" t="s">
        <v>631</v>
      </c>
      <c r="G999" s="3" t="s">
        <v>1558</v>
      </c>
      <c r="H999" s="6">
        <v>0</v>
      </c>
      <c r="I999" s="41">
        <f>VLOOKUP(Tabla1[[#This Row],[PAGO DIA]],DIAS!A:B,2,0)</f>
        <v>46080</v>
      </c>
      <c r="J999" s="6">
        <v>0</v>
      </c>
      <c r="K999" s="43">
        <f>VLOOKUP(Tabla1[[#This Row],[PAGO DIA]],DIAS!A:C,3,0)</f>
        <v>46112</v>
      </c>
      <c r="L999" s="6">
        <v>0</v>
      </c>
      <c r="M999" s="41">
        <f>VLOOKUP(Tabla1[[#This Row],[PAGO DIA]],DIAS!A:D,4,0)</f>
        <v>46142</v>
      </c>
      <c r="N999" s="6">
        <v>0</v>
      </c>
      <c r="O999" s="43">
        <f>VLOOKUP(Tabla1[[#This Row],[PAGO DIA]],DIAS!A:E,5,0)</f>
        <v>46171</v>
      </c>
      <c r="P999" s="6">
        <v>0</v>
      </c>
      <c r="Q999" s="43">
        <f>VLOOKUP(Tabla1[[#This Row],[PAGO DIA]],DIAS!A:F,6,0)</f>
        <v>46203</v>
      </c>
      <c r="R999" s="6">
        <v>0</v>
      </c>
      <c r="S999" s="43">
        <f>VLOOKUP(Tabla1[[#This Row],[PAGO DIA]],DIAS!A:G,7,0)</f>
        <v>46234</v>
      </c>
      <c r="T999" s="6">
        <v>0</v>
      </c>
      <c r="U999" s="43">
        <f>VLOOKUP(Tabla1[[#This Row],[PAGO DIA]],DIAS!A:H,8,0)</f>
        <v>46265</v>
      </c>
      <c r="V999" s="6">
        <v>0</v>
      </c>
      <c r="W999" s="43">
        <f>VLOOKUP(Tabla1[[#This Row],[PAGO DIA]],DIAS!A:I,9,0)</f>
        <v>46295</v>
      </c>
      <c r="X999" s="6">
        <v>0</v>
      </c>
      <c r="Y999" s="43">
        <f>VLOOKUP(Tabla1[[#This Row],[PAGO DIA]],DIAS!A:J,10,0)</f>
        <v>46325</v>
      </c>
      <c r="Z999" s="6">
        <v>0</v>
      </c>
      <c r="AA999" s="43">
        <f>VLOOKUP(Tabla1[[#This Row],[PAGO DIA]],DIAS!A:K,11,0)</f>
        <v>46356</v>
      </c>
      <c r="AB999" s="6">
        <v>0</v>
      </c>
      <c r="AC999" s="43">
        <f>VLOOKUP(Tabla1[[#This Row],[PAGO DIA]],DIAS!A:M,12,0)</f>
        <v>46386</v>
      </c>
      <c r="AD9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0" spans="1:30">
      <c r="A1000" s="3">
        <v>11711</v>
      </c>
      <c r="B1000" s="3" t="s">
        <v>538</v>
      </c>
      <c r="C1000" s="3" t="s">
        <v>540</v>
      </c>
      <c r="D1000" s="3" t="s">
        <v>540</v>
      </c>
      <c r="E1000" s="3" t="s">
        <v>1550</v>
      </c>
      <c r="F1000" s="42" t="s">
        <v>631</v>
      </c>
      <c r="G1000" s="3" t="s">
        <v>1559</v>
      </c>
      <c r="H1000" s="6">
        <v>0</v>
      </c>
      <c r="I1000" s="41">
        <f>VLOOKUP(Tabla1[[#This Row],[PAGO DIA]],DIAS!A:B,2,0)</f>
        <v>46080</v>
      </c>
      <c r="J1000" s="6">
        <v>0</v>
      </c>
      <c r="K1000" s="43">
        <f>VLOOKUP(Tabla1[[#This Row],[PAGO DIA]],DIAS!A:C,3,0)</f>
        <v>46112</v>
      </c>
      <c r="L1000" s="6">
        <v>0</v>
      </c>
      <c r="M1000" s="41">
        <f>VLOOKUP(Tabla1[[#This Row],[PAGO DIA]],DIAS!A:D,4,0)</f>
        <v>46142</v>
      </c>
      <c r="N1000" s="6">
        <v>0</v>
      </c>
      <c r="O1000" s="43">
        <f>VLOOKUP(Tabla1[[#This Row],[PAGO DIA]],DIAS!A:E,5,0)</f>
        <v>46171</v>
      </c>
      <c r="P1000" s="6">
        <v>0</v>
      </c>
      <c r="Q1000" s="43">
        <f>VLOOKUP(Tabla1[[#This Row],[PAGO DIA]],DIAS!A:F,6,0)</f>
        <v>46203</v>
      </c>
      <c r="R1000" s="6">
        <v>0</v>
      </c>
      <c r="S1000" s="43">
        <f>VLOOKUP(Tabla1[[#This Row],[PAGO DIA]],DIAS!A:G,7,0)</f>
        <v>46234</v>
      </c>
      <c r="T1000" s="6">
        <v>0</v>
      </c>
      <c r="U1000" s="43">
        <f>VLOOKUP(Tabla1[[#This Row],[PAGO DIA]],DIAS!A:H,8,0)</f>
        <v>46265</v>
      </c>
      <c r="V1000" s="6">
        <v>0</v>
      </c>
      <c r="W1000" s="43">
        <f>VLOOKUP(Tabla1[[#This Row],[PAGO DIA]],DIAS!A:I,9,0)</f>
        <v>46295</v>
      </c>
      <c r="X1000" s="6">
        <v>0</v>
      </c>
      <c r="Y1000" s="43">
        <f>VLOOKUP(Tabla1[[#This Row],[PAGO DIA]],DIAS!A:J,10,0)</f>
        <v>46325</v>
      </c>
      <c r="Z1000" s="6">
        <v>0</v>
      </c>
      <c r="AA1000" s="43">
        <f>VLOOKUP(Tabla1[[#This Row],[PAGO DIA]],DIAS!A:K,11,0)</f>
        <v>46356</v>
      </c>
      <c r="AB1000" s="6">
        <v>0</v>
      </c>
      <c r="AC1000" s="43">
        <f>VLOOKUP(Tabla1[[#This Row],[PAGO DIA]],DIAS!A:M,12,0)</f>
        <v>46386</v>
      </c>
      <c r="AD10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1" spans="1:30">
      <c r="A1001" s="3">
        <v>11712</v>
      </c>
      <c r="B1001" s="3" t="s">
        <v>538</v>
      </c>
      <c r="C1001" s="3" t="s">
        <v>540</v>
      </c>
      <c r="D1001" s="3" t="s">
        <v>540</v>
      </c>
      <c r="E1001" s="3" t="s">
        <v>1550</v>
      </c>
      <c r="F1001" s="42" t="s">
        <v>631</v>
      </c>
      <c r="G1001" s="3" t="s">
        <v>1560</v>
      </c>
      <c r="H1001" s="6">
        <v>0</v>
      </c>
      <c r="I1001" s="41">
        <f>VLOOKUP(Tabla1[[#This Row],[PAGO DIA]],DIAS!A:B,2,0)</f>
        <v>46080</v>
      </c>
      <c r="J1001" s="6">
        <v>0</v>
      </c>
      <c r="K1001" s="43">
        <f>VLOOKUP(Tabla1[[#This Row],[PAGO DIA]],DIAS!A:C,3,0)</f>
        <v>46112</v>
      </c>
      <c r="L1001" s="6">
        <v>0</v>
      </c>
      <c r="M1001" s="41">
        <f>VLOOKUP(Tabla1[[#This Row],[PAGO DIA]],DIAS!A:D,4,0)</f>
        <v>46142</v>
      </c>
      <c r="N1001" s="6">
        <v>0</v>
      </c>
      <c r="O1001" s="43">
        <f>VLOOKUP(Tabla1[[#This Row],[PAGO DIA]],DIAS!A:E,5,0)</f>
        <v>46171</v>
      </c>
      <c r="P1001" s="6">
        <v>0</v>
      </c>
      <c r="Q1001" s="43">
        <f>VLOOKUP(Tabla1[[#This Row],[PAGO DIA]],DIAS!A:F,6,0)</f>
        <v>46203</v>
      </c>
      <c r="R1001" s="6">
        <v>0</v>
      </c>
      <c r="S1001" s="43">
        <f>VLOOKUP(Tabla1[[#This Row],[PAGO DIA]],DIAS!A:G,7,0)</f>
        <v>46234</v>
      </c>
      <c r="T1001" s="6">
        <v>0</v>
      </c>
      <c r="U1001" s="43">
        <f>VLOOKUP(Tabla1[[#This Row],[PAGO DIA]],DIAS!A:H,8,0)</f>
        <v>46265</v>
      </c>
      <c r="V1001" s="6">
        <v>0</v>
      </c>
      <c r="W1001" s="43">
        <f>VLOOKUP(Tabla1[[#This Row],[PAGO DIA]],DIAS!A:I,9,0)</f>
        <v>46295</v>
      </c>
      <c r="X1001" s="6">
        <v>0</v>
      </c>
      <c r="Y1001" s="43">
        <f>VLOOKUP(Tabla1[[#This Row],[PAGO DIA]],DIAS!A:J,10,0)</f>
        <v>46325</v>
      </c>
      <c r="Z1001" s="6">
        <v>0</v>
      </c>
      <c r="AA1001" s="43">
        <f>VLOOKUP(Tabla1[[#This Row],[PAGO DIA]],DIAS!A:K,11,0)</f>
        <v>46356</v>
      </c>
      <c r="AB1001" s="6">
        <v>0</v>
      </c>
      <c r="AC1001" s="43">
        <f>VLOOKUP(Tabla1[[#This Row],[PAGO DIA]],DIAS!A:M,12,0)</f>
        <v>46386</v>
      </c>
      <c r="AD10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2" spans="1:30">
      <c r="A1002" s="3">
        <v>12512</v>
      </c>
      <c r="B1002" s="3" t="s">
        <v>538</v>
      </c>
      <c r="C1002" s="3" t="s">
        <v>539</v>
      </c>
      <c r="D1002" s="3" t="s">
        <v>540</v>
      </c>
      <c r="E1002" s="3" t="s">
        <v>595</v>
      </c>
      <c r="F1002" s="42" t="s">
        <v>631</v>
      </c>
      <c r="G1002" s="3" t="s">
        <v>1561</v>
      </c>
      <c r="H1002" s="6">
        <v>0</v>
      </c>
      <c r="I1002" s="41">
        <f>VLOOKUP(Tabla1[[#This Row],[PAGO DIA]],DIAS!A:B,2,0)</f>
        <v>46080</v>
      </c>
      <c r="J1002" s="6">
        <v>0</v>
      </c>
      <c r="K1002" s="43">
        <f>VLOOKUP(Tabla1[[#This Row],[PAGO DIA]],DIAS!A:C,3,0)</f>
        <v>46112</v>
      </c>
      <c r="L1002" s="6">
        <v>0</v>
      </c>
      <c r="M1002" s="41">
        <f>VLOOKUP(Tabla1[[#This Row],[PAGO DIA]],DIAS!A:D,4,0)</f>
        <v>46142</v>
      </c>
      <c r="N1002" s="6">
        <v>0</v>
      </c>
      <c r="O1002" s="43">
        <f>VLOOKUP(Tabla1[[#This Row],[PAGO DIA]],DIAS!A:E,5,0)</f>
        <v>46171</v>
      </c>
      <c r="P1002" s="6">
        <v>0</v>
      </c>
      <c r="Q1002" s="43">
        <f>VLOOKUP(Tabla1[[#This Row],[PAGO DIA]],DIAS!A:F,6,0)</f>
        <v>46203</v>
      </c>
      <c r="R1002" s="6">
        <v>0</v>
      </c>
      <c r="S1002" s="43">
        <f>VLOOKUP(Tabla1[[#This Row],[PAGO DIA]],DIAS!A:G,7,0)</f>
        <v>46234</v>
      </c>
      <c r="T1002" s="6">
        <v>0</v>
      </c>
      <c r="U1002" s="43">
        <f>VLOOKUP(Tabla1[[#This Row],[PAGO DIA]],DIAS!A:H,8,0)</f>
        <v>46265</v>
      </c>
      <c r="V1002" s="6">
        <v>0</v>
      </c>
      <c r="W1002" s="43">
        <f>VLOOKUP(Tabla1[[#This Row],[PAGO DIA]],DIAS!A:I,9,0)</f>
        <v>46295</v>
      </c>
      <c r="X1002" s="6">
        <v>0</v>
      </c>
      <c r="Y1002" s="43">
        <f>VLOOKUP(Tabla1[[#This Row],[PAGO DIA]],DIAS!A:J,10,0)</f>
        <v>46325</v>
      </c>
      <c r="Z1002" s="6">
        <v>0</v>
      </c>
      <c r="AA1002" s="43">
        <f>VLOOKUP(Tabla1[[#This Row],[PAGO DIA]],DIAS!A:K,11,0)</f>
        <v>46356</v>
      </c>
      <c r="AB1002" s="6">
        <v>0</v>
      </c>
      <c r="AC1002" s="43">
        <f>VLOOKUP(Tabla1[[#This Row],[PAGO DIA]],DIAS!A:M,12,0)</f>
        <v>46386</v>
      </c>
      <c r="AD10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3" spans="1:30">
      <c r="A1003" s="3">
        <v>12513</v>
      </c>
      <c r="B1003" s="3" t="s">
        <v>538</v>
      </c>
      <c r="C1003" s="3" t="s">
        <v>539</v>
      </c>
      <c r="D1003" s="3" t="s">
        <v>540</v>
      </c>
      <c r="E1003" s="3" t="s">
        <v>595</v>
      </c>
      <c r="F1003" s="42" t="s">
        <v>631</v>
      </c>
      <c r="G1003" s="3" t="s">
        <v>1562</v>
      </c>
      <c r="H1003" s="6">
        <v>0</v>
      </c>
      <c r="I1003" s="41">
        <f>VLOOKUP(Tabla1[[#This Row],[PAGO DIA]],DIAS!A:B,2,0)</f>
        <v>46080</v>
      </c>
      <c r="J1003" s="6">
        <v>0</v>
      </c>
      <c r="K1003" s="43">
        <f>VLOOKUP(Tabla1[[#This Row],[PAGO DIA]],DIAS!A:C,3,0)</f>
        <v>46112</v>
      </c>
      <c r="L1003" s="6">
        <v>0</v>
      </c>
      <c r="M1003" s="41">
        <f>VLOOKUP(Tabla1[[#This Row],[PAGO DIA]],DIAS!A:D,4,0)</f>
        <v>46142</v>
      </c>
      <c r="N1003" s="6">
        <v>0</v>
      </c>
      <c r="O1003" s="43">
        <f>VLOOKUP(Tabla1[[#This Row],[PAGO DIA]],DIAS!A:E,5,0)</f>
        <v>46171</v>
      </c>
      <c r="P1003" s="6">
        <v>0</v>
      </c>
      <c r="Q1003" s="43">
        <f>VLOOKUP(Tabla1[[#This Row],[PAGO DIA]],DIAS!A:F,6,0)</f>
        <v>46203</v>
      </c>
      <c r="R1003" s="6">
        <v>0</v>
      </c>
      <c r="S1003" s="43">
        <f>VLOOKUP(Tabla1[[#This Row],[PAGO DIA]],DIAS!A:G,7,0)</f>
        <v>46234</v>
      </c>
      <c r="T1003" s="6">
        <v>0</v>
      </c>
      <c r="U1003" s="43">
        <f>VLOOKUP(Tabla1[[#This Row],[PAGO DIA]],DIAS!A:H,8,0)</f>
        <v>46265</v>
      </c>
      <c r="V1003" s="6">
        <v>0</v>
      </c>
      <c r="W1003" s="43">
        <f>VLOOKUP(Tabla1[[#This Row],[PAGO DIA]],DIAS!A:I,9,0)</f>
        <v>46295</v>
      </c>
      <c r="X1003" s="6">
        <v>0</v>
      </c>
      <c r="Y1003" s="43">
        <f>VLOOKUP(Tabla1[[#This Row],[PAGO DIA]],DIAS!A:J,10,0)</f>
        <v>46325</v>
      </c>
      <c r="Z1003" s="6">
        <v>0</v>
      </c>
      <c r="AA1003" s="43">
        <f>VLOOKUP(Tabla1[[#This Row],[PAGO DIA]],DIAS!A:K,11,0)</f>
        <v>46356</v>
      </c>
      <c r="AB1003" s="6">
        <v>0</v>
      </c>
      <c r="AC1003" s="43">
        <f>VLOOKUP(Tabla1[[#This Row],[PAGO DIA]],DIAS!A:M,12,0)</f>
        <v>46386</v>
      </c>
      <c r="AD10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4" spans="1:30">
      <c r="A1004" s="3">
        <v>12514</v>
      </c>
      <c r="B1004" s="3" t="s">
        <v>538</v>
      </c>
      <c r="C1004" s="3" t="s">
        <v>539</v>
      </c>
      <c r="D1004" s="3" t="s">
        <v>540</v>
      </c>
      <c r="E1004" s="3" t="s">
        <v>595</v>
      </c>
      <c r="F1004" s="42" t="s">
        <v>631</v>
      </c>
      <c r="G1004" s="3" t="s">
        <v>1563</v>
      </c>
      <c r="H1004" s="6">
        <v>0</v>
      </c>
      <c r="I1004" s="41">
        <f>VLOOKUP(Tabla1[[#This Row],[PAGO DIA]],DIAS!A:B,2,0)</f>
        <v>46080</v>
      </c>
      <c r="J1004" s="6">
        <v>0</v>
      </c>
      <c r="K1004" s="43">
        <f>VLOOKUP(Tabla1[[#This Row],[PAGO DIA]],DIAS!A:C,3,0)</f>
        <v>46112</v>
      </c>
      <c r="L1004" s="6">
        <v>0</v>
      </c>
      <c r="M1004" s="41">
        <f>VLOOKUP(Tabla1[[#This Row],[PAGO DIA]],DIAS!A:D,4,0)</f>
        <v>46142</v>
      </c>
      <c r="N1004" s="6">
        <v>0</v>
      </c>
      <c r="O1004" s="43">
        <f>VLOOKUP(Tabla1[[#This Row],[PAGO DIA]],DIAS!A:E,5,0)</f>
        <v>46171</v>
      </c>
      <c r="P1004" s="6">
        <v>0</v>
      </c>
      <c r="Q1004" s="43">
        <f>VLOOKUP(Tabla1[[#This Row],[PAGO DIA]],DIAS!A:F,6,0)</f>
        <v>46203</v>
      </c>
      <c r="R1004" s="6">
        <v>0</v>
      </c>
      <c r="S1004" s="43">
        <f>VLOOKUP(Tabla1[[#This Row],[PAGO DIA]],DIAS!A:G,7,0)</f>
        <v>46234</v>
      </c>
      <c r="T1004" s="6">
        <v>0</v>
      </c>
      <c r="U1004" s="43">
        <f>VLOOKUP(Tabla1[[#This Row],[PAGO DIA]],DIAS!A:H,8,0)</f>
        <v>46265</v>
      </c>
      <c r="V1004" s="6">
        <v>0</v>
      </c>
      <c r="W1004" s="43">
        <f>VLOOKUP(Tabla1[[#This Row],[PAGO DIA]],DIAS!A:I,9,0)</f>
        <v>46295</v>
      </c>
      <c r="X1004" s="6">
        <v>0</v>
      </c>
      <c r="Y1004" s="43">
        <f>VLOOKUP(Tabla1[[#This Row],[PAGO DIA]],DIAS!A:J,10,0)</f>
        <v>46325</v>
      </c>
      <c r="Z1004" s="6">
        <v>0</v>
      </c>
      <c r="AA1004" s="43">
        <f>VLOOKUP(Tabla1[[#This Row],[PAGO DIA]],DIAS!A:K,11,0)</f>
        <v>46356</v>
      </c>
      <c r="AB1004" s="6">
        <v>0</v>
      </c>
      <c r="AC1004" s="43">
        <f>VLOOKUP(Tabla1[[#This Row],[PAGO DIA]],DIAS!A:M,12,0)</f>
        <v>46386</v>
      </c>
      <c r="AD10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5" spans="1:30">
      <c r="A1005" s="3">
        <v>12515</v>
      </c>
      <c r="B1005" s="3" t="s">
        <v>538</v>
      </c>
      <c r="C1005" s="3" t="s">
        <v>539</v>
      </c>
      <c r="D1005" s="3" t="s">
        <v>540</v>
      </c>
      <c r="E1005" s="3" t="s">
        <v>595</v>
      </c>
      <c r="F1005" s="42" t="s">
        <v>631</v>
      </c>
      <c r="G1005" s="3" t="s">
        <v>1564</v>
      </c>
      <c r="H1005" s="6">
        <v>0</v>
      </c>
      <c r="I1005" s="41">
        <f>VLOOKUP(Tabla1[[#This Row],[PAGO DIA]],DIAS!A:B,2,0)</f>
        <v>46080</v>
      </c>
      <c r="J1005" s="6">
        <v>0</v>
      </c>
      <c r="K1005" s="43">
        <f>VLOOKUP(Tabla1[[#This Row],[PAGO DIA]],DIAS!A:C,3,0)</f>
        <v>46112</v>
      </c>
      <c r="L1005" s="6">
        <v>0</v>
      </c>
      <c r="M1005" s="41">
        <f>VLOOKUP(Tabla1[[#This Row],[PAGO DIA]],DIAS!A:D,4,0)</f>
        <v>46142</v>
      </c>
      <c r="N1005" s="6">
        <v>0</v>
      </c>
      <c r="O1005" s="43">
        <f>VLOOKUP(Tabla1[[#This Row],[PAGO DIA]],DIAS!A:E,5,0)</f>
        <v>46171</v>
      </c>
      <c r="P1005" s="6">
        <v>0</v>
      </c>
      <c r="Q1005" s="43">
        <f>VLOOKUP(Tabla1[[#This Row],[PAGO DIA]],DIAS!A:F,6,0)</f>
        <v>46203</v>
      </c>
      <c r="R1005" s="6">
        <v>0</v>
      </c>
      <c r="S1005" s="43">
        <f>VLOOKUP(Tabla1[[#This Row],[PAGO DIA]],DIAS!A:G,7,0)</f>
        <v>46234</v>
      </c>
      <c r="T1005" s="6">
        <v>0</v>
      </c>
      <c r="U1005" s="43">
        <f>VLOOKUP(Tabla1[[#This Row],[PAGO DIA]],DIAS!A:H,8,0)</f>
        <v>46265</v>
      </c>
      <c r="V1005" s="6">
        <v>0</v>
      </c>
      <c r="W1005" s="43">
        <f>VLOOKUP(Tabla1[[#This Row],[PAGO DIA]],DIAS!A:I,9,0)</f>
        <v>46295</v>
      </c>
      <c r="X1005" s="6">
        <v>0</v>
      </c>
      <c r="Y1005" s="43">
        <f>VLOOKUP(Tabla1[[#This Row],[PAGO DIA]],DIAS!A:J,10,0)</f>
        <v>46325</v>
      </c>
      <c r="Z1005" s="6">
        <v>0</v>
      </c>
      <c r="AA1005" s="43">
        <f>VLOOKUP(Tabla1[[#This Row],[PAGO DIA]],DIAS!A:K,11,0)</f>
        <v>46356</v>
      </c>
      <c r="AB1005" s="6">
        <v>0</v>
      </c>
      <c r="AC1005" s="43">
        <f>VLOOKUP(Tabla1[[#This Row],[PAGO DIA]],DIAS!A:M,12,0)</f>
        <v>46386</v>
      </c>
      <c r="AD10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6" spans="1:30">
      <c r="A1006" s="3">
        <v>12603</v>
      </c>
      <c r="B1006" s="3" t="s">
        <v>538</v>
      </c>
      <c r="C1006" s="3" t="s">
        <v>539</v>
      </c>
      <c r="D1006" s="3" t="s">
        <v>540</v>
      </c>
      <c r="E1006" s="3" t="s">
        <v>595</v>
      </c>
      <c r="F1006" s="42" t="s">
        <v>631</v>
      </c>
      <c r="G1006" s="3" t="s">
        <v>1565</v>
      </c>
      <c r="H1006" s="6">
        <v>0</v>
      </c>
      <c r="I1006" s="41">
        <f>VLOOKUP(Tabla1[[#This Row],[PAGO DIA]],DIAS!A:B,2,0)</f>
        <v>46080</v>
      </c>
      <c r="J1006" s="6">
        <v>0</v>
      </c>
      <c r="K1006" s="43">
        <f>VLOOKUP(Tabla1[[#This Row],[PAGO DIA]],DIAS!A:C,3,0)</f>
        <v>46112</v>
      </c>
      <c r="L1006" s="6">
        <v>0</v>
      </c>
      <c r="M1006" s="41">
        <f>VLOOKUP(Tabla1[[#This Row],[PAGO DIA]],DIAS!A:D,4,0)</f>
        <v>46142</v>
      </c>
      <c r="N1006" s="6">
        <v>0</v>
      </c>
      <c r="O1006" s="43">
        <f>VLOOKUP(Tabla1[[#This Row],[PAGO DIA]],DIAS!A:E,5,0)</f>
        <v>46171</v>
      </c>
      <c r="P1006" s="6">
        <v>0</v>
      </c>
      <c r="Q1006" s="43">
        <f>VLOOKUP(Tabla1[[#This Row],[PAGO DIA]],DIAS!A:F,6,0)</f>
        <v>46203</v>
      </c>
      <c r="R1006" s="6">
        <v>0</v>
      </c>
      <c r="S1006" s="43">
        <f>VLOOKUP(Tabla1[[#This Row],[PAGO DIA]],DIAS!A:G,7,0)</f>
        <v>46234</v>
      </c>
      <c r="T1006" s="6">
        <v>0</v>
      </c>
      <c r="U1006" s="43">
        <f>VLOOKUP(Tabla1[[#This Row],[PAGO DIA]],DIAS!A:H,8,0)</f>
        <v>46265</v>
      </c>
      <c r="V1006" s="6">
        <v>0</v>
      </c>
      <c r="W1006" s="43">
        <f>VLOOKUP(Tabla1[[#This Row],[PAGO DIA]],DIAS!A:I,9,0)</f>
        <v>46295</v>
      </c>
      <c r="X1006" s="6">
        <v>0</v>
      </c>
      <c r="Y1006" s="43">
        <f>VLOOKUP(Tabla1[[#This Row],[PAGO DIA]],DIAS!A:J,10,0)</f>
        <v>46325</v>
      </c>
      <c r="Z1006" s="6">
        <v>0</v>
      </c>
      <c r="AA1006" s="43">
        <f>VLOOKUP(Tabla1[[#This Row],[PAGO DIA]],DIAS!A:K,11,0)</f>
        <v>46356</v>
      </c>
      <c r="AB1006" s="6">
        <v>0</v>
      </c>
      <c r="AC1006" s="43">
        <f>VLOOKUP(Tabla1[[#This Row],[PAGO DIA]],DIAS!A:M,12,0)</f>
        <v>46386</v>
      </c>
      <c r="AD10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7" spans="1:30">
      <c r="A1007" s="3">
        <v>12604</v>
      </c>
      <c r="B1007" s="3" t="s">
        <v>538</v>
      </c>
      <c r="C1007" s="3" t="s">
        <v>539</v>
      </c>
      <c r="D1007" s="3" t="s">
        <v>540</v>
      </c>
      <c r="E1007" s="3" t="s">
        <v>595</v>
      </c>
      <c r="F1007" s="42" t="s">
        <v>631</v>
      </c>
      <c r="G1007" s="3" t="s">
        <v>1566</v>
      </c>
      <c r="H1007" s="6">
        <v>0</v>
      </c>
      <c r="I1007" s="41">
        <f>VLOOKUP(Tabla1[[#This Row],[PAGO DIA]],DIAS!A:B,2,0)</f>
        <v>46080</v>
      </c>
      <c r="J1007" s="6">
        <v>0</v>
      </c>
      <c r="K1007" s="43">
        <f>VLOOKUP(Tabla1[[#This Row],[PAGO DIA]],DIAS!A:C,3,0)</f>
        <v>46112</v>
      </c>
      <c r="L1007" s="6">
        <v>0</v>
      </c>
      <c r="M1007" s="41">
        <f>VLOOKUP(Tabla1[[#This Row],[PAGO DIA]],DIAS!A:D,4,0)</f>
        <v>46142</v>
      </c>
      <c r="N1007" s="6">
        <v>0</v>
      </c>
      <c r="O1007" s="43">
        <f>VLOOKUP(Tabla1[[#This Row],[PAGO DIA]],DIAS!A:E,5,0)</f>
        <v>46171</v>
      </c>
      <c r="P1007" s="6">
        <v>0</v>
      </c>
      <c r="Q1007" s="43">
        <f>VLOOKUP(Tabla1[[#This Row],[PAGO DIA]],DIAS!A:F,6,0)</f>
        <v>46203</v>
      </c>
      <c r="R1007" s="6">
        <v>0</v>
      </c>
      <c r="S1007" s="43">
        <f>VLOOKUP(Tabla1[[#This Row],[PAGO DIA]],DIAS!A:G,7,0)</f>
        <v>46234</v>
      </c>
      <c r="T1007" s="6">
        <v>0</v>
      </c>
      <c r="U1007" s="43">
        <f>VLOOKUP(Tabla1[[#This Row],[PAGO DIA]],DIAS!A:H,8,0)</f>
        <v>46265</v>
      </c>
      <c r="V1007" s="6">
        <v>0</v>
      </c>
      <c r="W1007" s="43">
        <f>VLOOKUP(Tabla1[[#This Row],[PAGO DIA]],DIAS!A:I,9,0)</f>
        <v>46295</v>
      </c>
      <c r="X1007" s="6">
        <v>0</v>
      </c>
      <c r="Y1007" s="43">
        <f>VLOOKUP(Tabla1[[#This Row],[PAGO DIA]],DIAS!A:J,10,0)</f>
        <v>46325</v>
      </c>
      <c r="Z1007" s="6">
        <v>0</v>
      </c>
      <c r="AA1007" s="43">
        <f>VLOOKUP(Tabla1[[#This Row],[PAGO DIA]],DIAS!A:K,11,0)</f>
        <v>46356</v>
      </c>
      <c r="AB1007" s="6">
        <v>0</v>
      </c>
      <c r="AC1007" s="43">
        <f>VLOOKUP(Tabla1[[#This Row],[PAGO DIA]],DIAS!A:M,12,0)</f>
        <v>46386</v>
      </c>
      <c r="AD10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8" spans="1:30">
      <c r="A1008" s="3">
        <v>12633</v>
      </c>
      <c r="B1008" s="3" t="s">
        <v>538</v>
      </c>
      <c r="C1008" s="3" t="s">
        <v>539</v>
      </c>
      <c r="D1008" s="3" t="s">
        <v>540</v>
      </c>
      <c r="E1008" s="3" t="s">
        <v>595</v>
      </c>
      <c r="F1008" s="42" t="s">
        <v>631</v>
      </c>
      <c r="G1008" s="3" t="s">
        <v>1567</v>
      </c>
      <c r="H1008" s="6">
        <v>0</v>
      </c>
      <c r="I1008" s="41">
        <f>VLOOKUP(Tabla1[[#This Row],[PAGO DIA]],DIAS!A:B,2,0)</f>
        <v>46080</v>
      </c>
      <c r="J1008" s="6">
        <v>0</v>
      </c>
      <c r="K1008" s="43">
        <f>VLOOKUP(Tabla1[[#This Row],[PAGO DIA]],DIAS!A:C,3,0)</f>
        <v>46112</v>
      </c>
      <c r="L1008" s="6">
        <v>0</v>
      </c>
      <c r="M1008" s="41">
        <f>VLOOKUP(Tabla1[[#This Row],[PAGO DIA]],DIAS!A:D,4,0)</f>
        <v>46142</v>
      </c>
      <c r="N1008" s="6">
        <v>0</v>
      </c>
      <c r="O1008" s="43">
        <f>VLOOKUP(Tabla1[[#This Row],[PAGO DIA]],DIAS!A:E,5,0)</f>
        <v>46171</v>
      </c>
      <c r="P1008" s="6">
        <v>0</v>
      </c>
      <c r="Q1008" s="43">
        <f>VLOOKUP(Tabla1[[#This Row],[PAGO DIA]],DIAS!A:F,6,0)</f>
        <v>46203</v>
      </c>
      <c r="R1008" s="6">
        <v>0</v>
      </c>
      <c r="S1008" s="43">
        <f>VLOOKUP(Tabla1[[#This Row],[PAGO DIA]],DIAS!A:G,7,0)</f>
        <v>46234</v>
      </c>
      <c r="T1008" s="6">
        <v>0</v>
      </c>
      <c r="U1008" s="43">
        <f>VLOOKUP(Tabla1[[#This Row],[PAGO DIA]],DIAS!A:H,8,0)</f>
        <v>46265</v>
      </c>
      <c r="V1008" s="6">
        <v>0</v>
      </c>
      <c r="W1008" s="43">
        <f>VLOOKUP(Tabla1[[#This Row],[PAGO DIA]],DIAS!A:I,9,0)</f>
        <v>46295</v>
      </c>
      <c r="X1008" s="6">
        <v>0</v>
      </c>
      <c r="Y1008" s="43">
        <f>VLOOKUP(Tabla1[[#This Row],[PAGO DIA]],DIAS!A:J,10,0)</f>
        <v>46325</v>
      </c>
      <c r="Z1008" s="6">
        <v>0</v>
      </c>
      <c r="AA1008" s="43">
        <f>VLOOKUP(Tabla1[[#This Row],[PAGO DIA]],DIAS!A:K,11,0)</f>
        <v>46356</v>
      </c>
      <c r="AB1008" s="6">
        <v>0</v>
      </c>
      <c r="AC1008" s="43">
        <f>VLOOKUP(Tabla1[[#This Row],[PAGO DIA]],DIAS!A:M,12,0)</f>
        <v>46386</v>
      </c>
      <c r="AD10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09" spans="1:30">
      <c r="A1009" s="3">
        <v>12637</v>
      </c>
      <c r="B1009" s="3" t="s">
        <v>538</v>
      </c>
      <c r="C1009" s="3" t="s">
        <v>539</v>
      </c>
      <c r="D1009" s="3" t="s">
        <v>540</v>
      </c>
      <c r="E1009" s="3" t="s">
        <v>595</v>
      </c>
      <c r="F1009" s="42" t="s">
        <v>631</v>
      </c>
      <c r="G1009" s="3" t="s">
        <v>1568</v>
      </c>
      <c r="H1009" s="6">
        <v>0</v>
      </c>
      <c r="I1009" s="41">
        <f>VLOOKUP(Tabla1[[#This Row],[PAGO DIA]],DIAS!A:B,2,0)</f>
        <v>46080</v>
      </c>
      <c r="J1009" s="6">
        <v>0</v>
      </c>
      <c r="K1009" s="43">
        <f>VLOOKUP(Tabla1[[#This Row],[PAGO DIA]],DIAS!A:C,3,0)</f>
        <v>46112</v>
      </c>
      <c r="L1009" s="6">
        <v>0</v>
      </c>
      <c r="M1009" s="41">
        <f>VLOOKUP(Tabla1[[#This Row],[PAGO DIA]],DIAS!A:D,4,0)</f>
        <v>46142</v>
      </c>
      <c r="N1009" s="6">
        <v>0</v>
      </c>
      <c r="O1009" s="43">
        <f>VLOOKUP(Tabla1[[#This Row],[PAGO DIA]],DIAS!A:E,5,0)</f>
        <v>46171</v>
      </c>
      <c r="P1009" s="6">
        <v>0</v>
      </c>
      <c r="Q1009" s="43">
        <f>VLOOKUP(Tabla1[[#This Row],[PAGO DIA]],DIAS!A:F,6,0)</f>
        <v>46203</v>
      </c>
      <c r="R1009" s="6">
        <v>0</v>
      </c>
      <c r="S1009" s="43">
        <f>VLOOKUP(Tabla1[[#This Row],[PAGO DIA]],DIAS!A:G,7,0)</f>
        <v>46234</v>
      </c>
      <c r="T1009" s="6">
        <v>0</v>
      </c>
      <c r="U1009" s="43">
        <f>VLOOKUP(Tabla1[[#This Row],[PAGO DIA]],DIAS!A:H,8,0)</f>
        <v>46265</v>
      </c>
      <c r="V1009" s="6">
        <v>0</v>
      </c>
      <c r="W1009" s="43">
        <f>VLOOKUP(Tabla1[[#This Row],[PAGO DIA]],DIAS!A:I,9,0)</f>
        <v>46295</v>
      </c>
      <c r="X1009" s="6">
        <v>0</v>
      </c>
      <c r="Y1009" s="43">
        <f>VLOOKUP(Tabla1[[#This Row],[PAGO DIA]],DIAS!A:J,10,0)</f>
        <v>46325</v>
      </c>
      <c r="Z1009" s="6">
        <v>0</v>
      </c>
      <c r="AA1009" s="43">
        <f>VLOOKUP(Tabla1[[#This Row],[PAGO DIA]],DIAS!A:K,11,0)</f>
        <v>46356</v>
      </c>
      <c r="AB1009" s="6">
        <v>0</v>
      </c>
      <c r="AC1009" s="43">
        <f>VLOOKUP(Tabla1[[#This Row],[PAGO DIA]],DIAS!A:M,12,0)</f>
        <v>46386</v>
      </c>
      <c r="AD10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0" spans="1:30">
      <c r="A1010" s="3">
        <v>12643</v>
      </c>
      <c r="B1010" s="3" t="s">
        <v>538</v>
      </c>
      <c r="C1010" s="3" t="s">
        <v>539</v>
      </c>
      <c r="D1010" s="3" t="s">
        <v>540</v>
      </c>
      <c r="E1010" s="3" t="s">
        <v>595</v>
      </c>
      <c r="F1010" s="42" t="s">
        <v>631</v>
      </c>
      <c r="G1010" s="3" t="s">
        <v>1569</v>
      </c>
      <c r="H1010" s="6">
        <v>0</v>
      </c>
      <c r="I1010" s="41">
        <f>VLOOKUP(Tabla1[[#This Row],[PAGO DIA]],DIAS!A:B,2,0)</f>
        <v>46080</v>
      </c>
      <c r="J1010" s="6">
        <v>0</v>
      </c>
      <c r="K1010" s="43">
        <f>VLOOKUP(Tabla1[[#This Row],[PAGO DIA]],DIAS!A:C,3,0)</f>
        <v>46112</v>
      </c>
      <c r="L1010" s="6">
        <v>0</v>
      </c>
      <c r="M1010" s="41">
        <f>VLOOKUP(Tabla1[[#This Row],[PAGO DIA]],DIAS!A:D,4,0)</f>
        <v>46142</v>
      </c>
      <c r="N1010" s="6">
        <v>0</v>
      </c>
      <c r="O1010" s="43">
        <f>VLOOKUP(Tabla1[[#This Row],[PAGO DIA]],DIAS!A:E,5,0)</f>
        <v>46171</v>
      </c>
      <c r="P1010" s="6">
        <v>0</v>
      </c>
      <c r="Q1010" s="43">
        <f>VLOOKUP(Tabla1[[#This Row],[PAGO DIA]],DIAS!A:F,6,0)</f>
        <v>46203</v>
      </c>
      <c r="R1010" s="6">
        <v>0</v>
      </c>
      <c r="S1010" s="43">
        <f>VLOOKUP(Tabla1[[#This Row],[PAGO DIA]],DIAS!A:G,7,0)</f>
        <v>46234</v>
      </c>
      <c r="T1010" s="6">
        <v>0</v>
      </c>
      <c r="U1010" s="43">
        <f>VLOOKUP(Tabla1[[#This Row],[PAGO DIA]],DIAS!A:H,8,0)</f>
        <v>46265</v>
      </c>
      <c r="V1010" s="6">
        <v>0</v>
      </c>
      <c r="W1010" s="43">
        <f>VLOOKUP(Tabla1[[#This Row],[PAGO DIA]],DIAS!A:I,9,0)</f>
        <v>46295</v>
      </c>
      <c r="X1010" s="6">
        <v>0</v>
      </c>
      <c r="Y1010" s="43">
        <f>VLOOKUP(Tabla1[[#This Row],[PAGO DIA]],DIAS!A:J,10,0)</f>
        <v>46325</v>
      </c>
      <c r="Z1010" s="6">
        <v>0</v>
      </c>
      <c r="AA1010" s="43">
        <f>VLOOKUP(Tabla1[[#This Row],[PAGO DIA]],DIAS!A:K,11,0)</f>
        <v>46356</v>
      </c>
      <c r="AB1010" s="6">
        <v>0</v>
      </c>
      <c r="AC1010" s="43">
        <f>VLOOKUP(Tabla1[[#This Row],[PAGO DIA]],DIAS!A:M,12,0)</f>
        <v>46386</v>
      </c>
      <c r="AD10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1" spans="1:30">
      <c r="A1011" s="3">
        <v>12645</v>
      </c>
      <c r="B1011" s="3" t="s">
        <v>538</v>
      </c>
      <c r="C1011" s="3" t="s">
        <v>539</v>
      </c>
      <c r="D1011" s="3" t="s">
        <v>540</v>
      </c>
      <c r="E1011" s="3" t="s">
        <v>595</v>
      </c>
      <c r="F1011" s="42" t="s">
        <v>631</v>
      </c>
      <c r="G1011" s="3" t="s">
        <v>1570</v>
      </c>
      <c r="H1011" s="6">
        <v>0</v>
      </c>
      <c r="I1011" s="41">
        <f>VLOOKUP(Tabla1[[#This Row],[PAGO DIA]],DIAS!A:B,2,0)</f>
        <v>46080</v>
      </c>
      <c r="J1011" s="6">
        <v>0</v>
      </c>
      <c r="K1011" s="43">
        <f>VLOOKUP(Tabla1[[#This Row],[PAGO DIA]],DIAS!A:C,3,0)</f>
        <v>46112</v>
      </c>
      <c r="L1011" s="6">
        <v>0</v>
      </c>
      <c r="M1011" s="41">
        <f>VLOOKUP(Tabla1[[#This Row],[PAGO DIA]],DIAS!A:D,4,0)</f>
        <v>46142</v>
      </c>
      <c r="N1011" s="6">
        <v>0</v>
      </c>
      <c r="O1011" s="43">
        <f>VLOOKUP(Tabla1[[#This Row],[PAGO DIA]],DIAS!A:E,5,0)</f>
        <v>46171</v>
      </c>
      <c r="P1011" s="6">
        <v>0</v>
      </c>
      <c r="Q1011" s="43">
        <f>VLOOKUP(Tabla1[[#This Row],[PAGO DIA]],DIAS!A:F,6,0)</f>
        <v>46203</v>
      </c>
      <c r="R1011" s="6">
        <v>0</v>
      </c>
      <c r="S1011" s="43">
        <f>VLOOKUP(Tabla1[[#This Row],[PAGO DIA]],DIAS!A:G,7,0)</f>
        <v>46234</v>
      </c>
      <c r="T1011" s="6">
        <v>0</v>
      </c>
      <c r="U1011" s="43">
        <f>VLOOKUP(Tabla1[[#This Row],[PAGO DIA]],DIAS!A:H,8,0)</f>
        <v>46265</v>
      </c>
      <c r="V1011" s="6">
        <v>0</v>
      </c>
      <c r="W1011" s="43">
        <f>VLOOKUP(Tabla1[[#This Row],[PAGO DIA]],DIAS!A:I,9,0)</f>
        <v>46295</v>
      </c>
      <c r="X1011" s="6">
        <v>0</v>
      </c>
      <c r="Y1011" s="43">
        <f>VLOOKUP(Tabla1[[#This Row],[PAGO DIA]],DIAS!A:J,10,0)</f>
        <v>46325</v>
      </c>
      <c r="Z1011" s="6">
        <v>0</v>
      </c>
      <c r="AA1011" s="43">
        <f>VLOOKUP(Tabla1[[#This Row],[PAGO DIA]],DIAS!A:K,11,0)</f>
        <v>46356</v>
      </c>
      <c r="AB1011" s="6">
        <v>0</v>
      </c>
      <c r="AC1011" s="43">
        <f>VLOOKUP(Tabla1[[#This Row],[PAGO DIA]],DIAS!A:M,12,0)</f>
        <v>46386</v>
      </c>
      <c r="AD10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2" spans="1:30">
      <c r="A1012" s="3">
        <v>12650</v>
      </c>
      <c r="B1012" s="3" t="s">
        <v>538</v>
      </c>
      <c r="C1012" s="3" t="s">
        <v>539</v>
      </c>
      <c r="D1012" s="3" t="s">
        <v>540</v>
      </c>
      <c r="E1012" s="3" t="s">
        <v>595</v>
      </c>
      <c r="F1012" s="42" t="s">
        <v>631</v>
      </c>
      <c r="G1012" s="3" t="s">
        <v>1571</v>
      </c>
      <c r="H1012" s="6">
        <v>0</v>
      </c>
      <c r="I1012" s="41">
        <f>VLOOKUP(Tabla1[[#This Row],[PAGO DIA]],DIAS!A:B,2,0)</f>
        <v>46080</v>
      </c>
      <c r="J1012" s="6">
        <v>0</v>
      </c>
      <c r="K1012" s="43">
        <f>VLOOKUP(Tabla1[[#This Row],[PAGO DIA]],DIAS!A:C,3,0)</f>
        <v>46112</v>
      </c>
      <c r="L1012" s="6">
        <v>0</v>
      </c>
      <c r="M1012" s="41">
        <f>VLOOKUP(Tabla1[[#This Row],[PAGO DIA]],DIAS!A:D,4,0)</f>
        <v>46142</v>
      </c>
      <c r="N1012" s="6">
        <v>0</v>
      </c>
      <c r="O1012" s="43">
        <f>VLOOKUP(Tabla1[[#This Row],[PAGO DIA]],DIAS!A:E,5,0)</f>
        <v>46171</v>
      </c>
      <c r="P1012" s="6">
        <v>0</v>
      </c>
      <c r="Q1012" s="43">
        <f>VLOOKUP(Tabla1[[#This Row],[PAGO DIA]],DIAS!A:F,6,0)</f>
        <v>46203</v>
      </c>
      <c r="R1012" s="6">
        <v>0</v>
      </c>
      <c r="S1012" s="43">
        <f>VLOOKUP(Tabla1[[#This Row],[PAGO DIA]],DIAS!A:G,7,0)</f>
        <v>46234</v>
      </c>
      <c r="T1012" s="6">
        <v>0</v>
      </c>
      <c r="U1012" s="43">
        <f>VLOOKUP(Tabla1[[#This Row],[PAGO DIA]],DIAS!A:H,8,0)</f>
        <v>46265</v>
      </c>
      <c r="V1012" s="6">
        <v>0</v>
      </c>
      <c r="W1012" s="43">
        <f>VLOOKUP(Tabla1[[#This Row],[PAGO DIA]],DIAS!A:I,9,0)</f>
        <v>46295</v>
      </c>
      <c r="X1012" s="6">
        <v>0</v>
      </c>
      <c r="Y1012" s="43">
        <f>VLOOKUP(Tabla1[[#This Row],[PAGO DIA]],DIAS!A:J,10,0)</f>
        <v>46325</v>
      </c>
      <c r="Z1012" s="6">
        <v>0</v>
      </c>
      <c r="AA1012" s="43">
        <f>VLOOKUP(Tabla1[[#This Row],[PAGO DIA]],DIAS!A:K,11,0)</f>
        <v>46356</v>
      </c>
      <c r="AB1012" s="6">
        <v>0</v>
      </c>
      <c r="AC1012" s="43">
        <f>VLOOKUP(Tabla1[[#This Row],[PAGO DIA]],DIAS!A:M,12,0)</f>
        <v>46386</v>
      </c>
      <c r="AD10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3" spans="1:30">
      <c r="A1013" s="3">
        <v>12651</v>
      </c>
      <c r="B1013" s="3" t="s">
        <v>538</v>
      </c>
      <c r="C1013" s="3" t="s">
        <v>539</v>
      </c>
      <c r="D1013" s="3" t="s">
        <v>540</v>
      </c>
      <c r="E1013" s="3" t="s">
        <v>595</v>
      </c>
      <c r="F1013" s="42" t="s">
        <v>631</v>
      </c>
      <c r="G1013" s="3" t="s">
        <v>1572</v>
      </c>
      <c r="H1013" s="6">
        <v>0</v>
      </c>
      <c r="I1013" s="41">
        <f>VLOOKUP(Tabla1[[#This Row],[PAGO DIA]],DIAS!A:B,2,0)</f>
        <v>46080</v>
      </c>
      <c r="J1013" s="6">
        <v>0</v>
      </c>
      <c r="K1013" s="43">
        <f>VLOOKUP(Tabla1[[#This Row],[PAGO DIA]],DIAS!A:C,3,0)</f>
        <v>46112</v>
      </c>
      <c r="L1013" s="6">
        <v>0</v>
      </c>
      <c r="M1013" s="41">
        <f>VLOOKUP(Tabla1[[#This Row],[PAGO DIA]],DIAS!A:D,4,0)</f>
        <v>46142</v>
      </c>
      <c r="N1013" s="6">
        <v>0</v>
      </c>
      <c r="O1013" s="43">
        <f>VLOOKUP(Tabla1[[#This Row],[PAGO DIA]],DIAS!A:E,5,0)</f>
        <v>46171</v>
      </c>
      <c r="P1013" s="6">
        <v>0</v>
      </c>
      <c r="Q1013" s="43">
        <f>VLOOKUP(Tabla1[[#This Row],[PAGO DIA]],DIAS!A:F,6,0)</f>
        <v>46203</v>
      </c>
      <c r="R1013" s="6">
        <v>0</v>
      </c>
      <c r="S1013" s="43">
        <f>VLOOKUP(Tabla1[[#This Row],[PAGO DIA]],DIAS!A:G,7,0)</f>
        <v>46234</v>
      </c>
      <c r="T1013" s="6">
        <v>0</v>
      </c>
      <c r="U1013" s="43">
        <f>VLOOKUP(Tabla1[[#This Row],[PAGO DIA]],DIAS!A:H,8,0)</f>
        <v>46265</v>
      </c>
      <c r="V1013" s="6">
        <v>0</v>
      </c>
      <c r="W1013" s="43">
        <f>VLOOKUP(Tabla1[[#This Row],[PAGO DIA]],DIAS!A:I,9,0)</f>
        <v>46295</v>
      </c>
      <c r="X1013" s="6">
        <v>0</v>
      </c>
      <c r="Y1013" s="43">
        <f>VLOOKUP(Tabla1[[#This Row],[PAGO DIA]],DIAS!A:J,10,0)</f>
        <v>46325</v>
      </c>
      <c r="Z1013" s="6">
        <v>0</v>
      </c>
      <c r="AA1013" s="43">
        <f>VLOOKUP(Tabla1[[#This Row],[PAGO DIA]],DIAS!A:K,11,0)</f>
        <v>46356</v>
      </c>
      <c r="AB1013" s="6">
        <v>0</v>
      </c>
      <c r="AC1013" s="43">
        <f>VLOOKUP(Tabla1[[#This Row],[PAGO DIA]],DIAS!A:M,12,0)</f>
        <v>46386</v>
      </c>
      <c r="AD10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4" spans="1:30">
      <c r="A1014" s="3">
        <v>12659</v>
      </c>
      <c r="B1014" s="3" t="s">
        <v>538</v>
      </c>
      <c r="C1014" s="3" t="s">
        <v>539</v>
      </c>
      <c r="D1014" s="3" t="s">
        <v>540</v>
      </c>
      <c r="E1014" s="3" t="s">
        <v>595</v>
      </c>
      <c r="F1014" s="42" t="s">
        <v>631</v>
      </c>
      <c r="G1014" s="3" t="s">
        <v>1573</v>
      </c>
      <c r="H1014" s="6">
        <v>0</v>
      </c>
      <c r="I1014" s="41">
        <f>VLOOKUP(Tabla1[[#This Row],[PAGO DIA]],DIAS!A:B,2,0)</f>
        <v>46080</v>
      </c>
      <c r="J1014" s="6">
        <v>0</v>
      </c>
      <c r="K1014" s="43">
        <f>VLOOKUP(Tabla1[[#This Row],[PAGO DIA]],DIAS!A:C,3,0)</f>
        <v>46112</v>
      </c>
      <c r="L1014" s="6">
        <v>0</v>
      </c>
      <c r="M1014" s="41">
        <f>VLOOKUP(Tabla1[[#This Row],[PAGO DIA]],DIAS!A:D,4,0)</f>
        <v>46142</v>
      </c>
      <c r="N1014" s="6">
        <v>0</v>
      </c>
      <c r="O1014" s="43">
        <f>VLOOKUP(Tabla1[[#This Row],[PAGO DIA]],DIAS!A:E,5,0)</f>
        <v>46171</v>
      </c>
      <c r="P1014" s="6">
        <v>0</v>
      </c>
      <c r="Q1014" s="43">
        <f>VLOOKUP(Tabla1[[#This Row],[PAGO DIA]],DIAS!A:F,6,0)</f>
        <v>46203</v>
      </c>
      <c r="R1014" s="6">
        <v>0</v>
      </c>
      <c r="S1014" s="43">
        <f>VLOOKUP(Tabla1[[#This Row],[PAGO DIA]],DIAS!A:G,7,0)</f>
        <v>46234</v>
      </c>
      <c r="T1014" s="6">
        <v>0</v>
      </c>
      <c r="U1014" s="43">
        <f>VLOOKUP(Tabla1[[#This Row],[PAGO DIA]],DIAS!A:H,8,0)</f>
        <v>46265</v>
      </c>
      <c r="V1014" s="6">
        <v>0</v>
      </c>
      <c r="W1014" s="43">
        <f>VLOOKUP(Tabla1[[#This Row],[PAGO DIA]],DIAS!A:I,9,0)</f>
        <v>46295</v>
      </c>
      <c r="X1014" s="6">
        <v>0</v>
      </c>
      <c r="Y1014" s="43">
        <f>VLOOKUP(Tabla1[[#This Row],[PAGO DIA]],DIAS!A:J,10,0)</f>
        <v>46325</v>
      </c>
      <c r="Z1014" s="6">
        <v>0</v>
      </c>
      <c r="AA1014" s="43">
        <f>VLOOKUP(Tabla1[[#This Row],[PAGO DIA]],DIAS!A:K,11,0)</f>
        <v>46356</v>
      </c>
      <c r="AB1014" s="6">
        <v>0</v>
      </c>
      <c r="AC1014" s="43">
        <f>VLOOKUP(Tabla1[[#This Row],[PAGO DIA]],DIAS!A:M,12,0)</f>
        <v>46386</v>
      </c>
      <c r="AD10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5" spans="1:30">
      <c r="A1015" s="3">
        <v>12683</v>
      </c>
      <c r="B1015" s="3" t="s">
        <v>538</v>
      </c>
      <c r="C1015" s="3" t="s">
        <v>539</v>
      </c>
      <c r="D1015" s="3" t="s">
        <v>540</v>
      </c>
      <c r="E1015" s="3" t="s">
        <v>595</v>
      </c>
      <c r="F1015" s="42" t="s">
        <v>631</v>
      </c>
      <c r="G1015" s="3" t="s">
        <v>1574</v>
      </c>
      <c r="H1015" s="6">
        <v>0</v>
      </c>
      <c r="I1015" s="41">
        <f>VLOOKUP(Tabla1[[#This Row],[PAGO DIA]],DIAS!A:B,2,0)</f>
        <v>46080</v>
      </c>
      <c r="J1015" s="6">
        <v>0</v>
      </c>
      <c r="K1015" s="43">
        <f>VLOOKUP(Tabla1[[#This Row],[PAGO DIA]],DIAS!A:C,3,0)</f>
        <v>46112</v>
      </c>
      <c r="L1015" s="6">
        <v>0</v>
      </c>
      <c r="M1015" s="41">
        <f>VLOOKUP(Tabla1[[#This Row],[PAGO DIA]],DIAS!A:D,4,0)</f>
        <v>46142</v>
      </c>
      <c r="N1015" s="6">
        <v>0</v>
      </c>
      <c r="O1015" s="43">
        <f>VLOOKUP(Tabla1[[#This Row],[PAGO DIA]],DIAS!A:E,5,0)</f>
        <v>46171</v>
      </c>
      <c r="P1015" s="6">
        <v>0</v>
      </c>
      <c r="Q1015" s="43">
        <f>VLOOKUP(Tabla1[[#This Row],[PAGO DIA]],DIAS!A:F,6,0)</f>
        <v>46203</v>
      </c>
      <c r="R1015" s="6">
        <v>0</v>
      </c>
      <c r="S1015" s="43">
        <f>VLOOKUP(Tabla1[[#This Row],[PAGO DIA]],DIAS!A:G,7,0)</f>
        <v>46234</v>
      </c>
      <c r="T1015" s="6">
        <v>0</v>
      </c>
      <c r="U1015" s="43">
        <f>VLOOKUP(Tabla1[[#This Row],[PAGO DIA]],DIAS!A:H,8,0)</f>
        <v>46265</v>
      </c>
      <c r="V1015" s="6">
        <v>0</v>
      </c>
      <c r="W1015" s="43">
        <f>VLOOKUP(Tabla1[[#This Row],[PAGO DIA]],DIAS!A:I,9,0)</f>
        <v>46295</v>
      </c>
      <c r="X1015" s="6">
        <v>0</v>
      </c>
      <c r="Y1015" s="43">
        <f>VLOOKUP(Tabla1[[#This Row],[PAGO DIA]],DIAS!A:J,10,0)</f>
        <v>46325</v>
      </c>
      <c r="Z1015" s="6">
        <v>0</v>
      </c>
      <c r="AA1015" s="43">
        <f>VLOOKUP(Tabla1[[#This Row],[PAGO DIA]],DIAS!A:K,11,0)</f>
        <v>46356</v>
      </c>
      <c r="AB1015" s="6">
        <v>0</v>
      </c>
      <c r="AC1015" s="43">
        <f>VLOOKUP(Tabla1[[#This Row],[PAGO DIA]],DIAS!A:M,12,0)</f>
        <v>46386</v>
      </c>
      <c r="AD10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6" spans="1:30">
      <c r="A1016" s="3">
        <v>12686</v>
      </c>
      <c r="B1016" s="3" t="s">
        <v>538</v>
      </c>
      <c r="C1016" s="3" t="s">
        <v>539</v>
      </c>
      <c r="D1016" s="3" t="s">
        <v>540</v>
      </c>
      <c r="E1016" s="3" t="s">
        <v>595</v>
      </c>
      <c r="F1016" s="42" t="s">
        <v>631</v>
      </c>
      <c r="G1016" s="3" t="s">
        <v>1575</v>
      </c>
      <c r="H1016" s="6">
        <v>0</v>
      </c>
      <c r="I1016" s="41">
        <f>VLOOKUP(Tabla1[[#This Row],[PAGO DIA]],DIAS!A:B,2,0)</f>
        <v>46080</v>
      </c>
      <c r="J1016" s="6">
        <v>0</v>
      </c>
      <c r="K1016" s="43">
        <f>VLOOKUP(Tabla1[[#This Row],[PAGO DIA]],DIAS!A:C,3,0)</f>
        <v>46112</v>
      </c>
      <c r="L1016" s="6">
        <v>0</v>
      </c>
      <c r="M1016" s="41">
        <f>VLOOKUP(Tabla1[[#This Row],[PAGO DIA]],DIAS!A:D,4,0)</f>
        <v>46142</v>
      </c>
      <c r="N1016" s="6">
        <v>0</v>
      </c>
      <c r="O1016" s="43">
        <f>VLOOKUP(Tabla1[[#This Row],[PAGO DIA]],DIAS!A:E,5,0)</f>
        <v>46171</v>
      </c>
      <c r="P1016" s="6">
        <v>0</v>
      </c>
      <c r="Q1016" s="43">
        <f>VLOOKUP(Tabla1[[#This Row],[PAGO DIA]],DIAS!A:F,6,0)</f>
        <v>46203</v>
      </c>
      <c r="R1016" s="6">
        <v>0</v>
      </c>
      <c r="S1016" s="43">
        <f>VLOOKUP(Tabla1[[#This Row],[PAGO DIA]],DIAS!A:G,7,0)</f>
        <v>46234</v>
      </c>
      <c r="T1016" s="6">
        <v>0</v>
      </c>
      <c r="U1016" s="43">
        <f>VLOOKUP(Tabla1[[#This Row],[PAGO DIA]],DIAS!A:H,8,0)</f>
        <v>46265</v>
      </c>
      <c r="V1016" s="6">
        <v>0</v>
      </c>
      <c r="W1016" s="43">
        <f>VLOOKUP(Tabla1[[#This Row],[PAGO DIA]],DIAS!A:I,9,0)</f>
        <v>46295</v>
      </c>
      <c r="X1016" s="6">
        <v>0</v>
      </c>
      <c r="Y1016" s="43">
        <f>VLOOKUP(Tabla1[[#This Row],[PAGO DIA]],DIAS!A:J,10,0)</f>
        <v>46325</v>
      </c>
      <c r="Z1016" s="6">
        <v>0</v>
      </c>
      <c r="AA1016" s="43">
        <f>VLOOKUP(Tabla1[[#This Row],[PAGO DIA]],DIAS!A:K,11,0)</f>
        <v>46356</v>
      </c>
      <c r="AB1016" s="6">
        <v>0</v>
      </c>
      <c r="AC1016" s="43">
        <f>VLOOKUP(Tabla1[[#This Row],[PAGO DIA]],DIAS!A:M,12,0)</f>
        <v>46386</v>
      </c>
      <c r="AD10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7" spans="1:30">
      <c r="A1017" s="3">
        <v>12688</v>
      </c>
      <c r="B1017" s="3" t="s">
        <v>538</v>
      </c>
      <c r="C1017" s="3" t="s">
        <v>539</v>
      </c>
      <c r="D1017" s="3" t="s">
        <v>540</v>
      </c>
      <c r="E1017" s="3" t="s">
        <v>595</v>
      </c>
      <c r="F1017" s="42" t="s">
        <v>631</v>
      </c>
      <c r="G1017" s="3" t="s">
        <v>1576</v>
      </c>
      <c r="H1017" s="6">
        <v>0</v>
      </c>
      <c r="I1017" s="41">
        <f>VLOOKUP(Tabla1[[#This Row],[PAGO DIA]],DIAS!A:B,2,0)</f>
        <v>46080</v>
      </c>
      <c r="J1017" s="6">
        <v>0</v>
      </c>
      <c r="K1017" s="43">
        <f>VLOOKUP(Tabla1[[#This Row],[PAGO DIA]],DIAS!A:C,3,0)</f>
        <v>46112</v>
      </c>
      <c r="L1017" s="6">
        <v>0</v>
      </c>
      <c r="M1017" s="41">
        <f>VLOOKUP(Tabla1[[#This Row],[PAGO DIA]],DIAS!A:D,4,0)</f>
        <v>46142</v>
      </c>
      <c r="N1017" s="6">
        <v>0</v>
      </c>
      <c r="O1017" s="43">
        <f>VLOOKUP(Tabla1[[#This Row],[PAGO DIA]],DIAS!A:E,5,0)</f>
        <v>46171</v>
      </c>
      <c r="P1017" s="6">
        <v>0</v>
      </c>
      <c r="Q1017" s="43">
        <f>VLOOKUP(Tabla1[[#This Row],[PAGO DIA]],DIAS!A:F,6,0)</f>
        <v>46203</v>
      </c>
      <c r="R1017" s="6">
        <v>0</v>
      </c>
      <c r="S1017" s="43">
        <f>VLOOKUP(Tabla1[[#This Row],[PAGO DIA]],DIAS!A:G,7,0)</f>
        <v>46234</v>
      </c>
      <c r="T1017" s="6">
        <v>0</v>
      </c>
      <c r="U1017" s="43">
        <f>VLOOKUP(Tabla1[[#This Row],[PAGO DIA]],DIAS!A:H,8,0)</f>
        <v>46265</v>
      </c>
      <c r="V1017" s="6">
        <v>0</v>
      </c>
      <c r="W1017" s="43">
        <f>VLOOKUP(Tabla1[[#This Row],[PAGO DIA]],DIAS!A:I,9,0)</f>
        <v>46295</v>
      </c>
      <c r="X1017" s="6">
        <v>0</v>
      </c>
      <c r="Y1017" s="43">
        <f>VLOOKUP(Tabla1[[#This Row],[PAGO DIA]],DIAS!A:J,10,0)</f>
        <v>46325</v>
      </c>
      <c r="Z1017" s="6">
        <v>0</v>
      </c>
      <c r="AA1017" s="43">
        <f>VLOOKUP(Tabla1[[#This Row],[PAGO DIA]],DIAS!A:K,11,0)</f>
        <v>46356</v>
      </c>
      <c r="AB1017" s="6">
        <v>0</v>
      </c>
      <c r="AC1017" s="43">
        <f>VLOOKUP(Tabla1[[#This Row],[PAGO DIA]],DIAS!A:M,12,0)</f>
        <v>46386</v>
      </c>
      <c r="AD10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8" spans="1:30">
      <c r="A1018" s="3">
        <v>12701</v>
      </c>
      <c r="B1018" s="3" t="s">
        <v>538</v>
      </c>
      <c r="C1018" s="3" t="s">
        <v>539</v>
      </c>
      <c r="D1018" s="3" t="s">
        <v>540</v>
      </c>
      <c r="E1018" s="3" t="s">
        <v>595</v>
      </c>
      <c r="F1018" s="42" t="s">
        <v>631</v>
      </c>
      <c r="G1018" s="3" t="s">
        <v>1577</v>
      </c>
      <c r="H1018" s="6">
        <v>0</v>
      </c>
      <c r="I1018" s="41">
        <f>VLOOKUP(Tabla1[[#This Row],[PAGO DIA]],DIAS!A:B,2,0)</f>
        <v>46080</v>
      </c>
      <c r="J1018" s="6">
        <v>0</v>
      </c>
      <c r="K1018" s="43">
        <f>VLOOKUP(Tabla1[[#This Row],[PAGO DIA]],DIAS!A:C,3,0)</f>
        <v>46112</v>
      </c>
      <c r="L1018" s="6">
        <v>0</v>
      </c>
      <c r="M1018" s="41">
        <f>VLOOKUP(Tabla1[[#This Row],[PAGO DIA]],DIAS!A:D,4,0)</f>
        <v>46142</v>
      </c>
      <c r="N1018" s="6">
        <v>0</v>
      </c>
      <c r="O1018" s="43">
        <f>VLOOKUP(Tabla1[[#This Row],[PAGO DIA]],DIAS!A:E,5,0)</f>
        <v>46171</v>
      </c>
      <c r="P1018" s="6">
        <v>0</v>
      </c>
      <c r="Q1018" s="43">
        <f>VLOOKUP(Tabla1[[#This Row],[PAGO DIA]],DIAS!A:F,6,0)</f>
        <v>46203</v>
      </c>
      <c r="R1018" s="6">
        <v>0</v>
      </c>
      <c r="S1018" s="43">
        <f>VLOOKUP(Tabla1[[#This Row],[PAGO DIA]],DIAS!A:G,7,0)</f>
        <v>46234</v>
      </c>
      <c r="T1018" s="6">
        <v>0</v>
      </c>
      <c r="U1018" s="43">
        <f>VLOOKUP(Tabla1[[#This Row],[PAGO DIA]],DIAS!A:H,8,0)</f>
        <v>46265</v>
      </c>
      <c r="V1018" s="6">
        <v>0</v>
      </c>
      <c r="W1018" s="43">
        <f>VLOOKUP(Tabla1[[#This Row],[PAGO DIA]],DIAS!A:I,9,0)</f>
        <v>46295</v>
      </c>
      <c r="X1018" s="6">
        <v>0</v>
      </c>
      <c r="Y1018" s="43">
        <f>VLOOKUP(Tabla1[[#This Row],[PAGO DIA]],DIAS!A:J,10,0)</f>
        <v>46325</v>
      </c>
      <c r="Z1018" s="6">
        <v>0</v>
      </c>
      <c r="AA1018" s="43">
        <f>VLOOKUP(Tabla1[[#This Row],[PAGO DIA]],DIAS!A:K,11,0)</f>
        <v>46356</v>
      </c>
      <c r="AB1018" s="6">
        <v>0</v>
      </c>
      <c r="AC1018" s="43">
        <f>VLOOKUP(Tabla1[[#This Row],[PAGO DIA]],DIAS!A:M,12,0)</f>
        <v>46386</v>
      </c>
      <c r="AD10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19" spans="1:30">
      <c r="A1019" s="3">
        <v>12719</v>
      </c>
      <c r="B1019" s="3" t="s">
        <v>538</v>
      </c>
      <c r="C1019" s="3" t="s">
        <v>539</v>
      </c>
      <c r="D1019" s="3" t="s">
        <v>540</v>
      </c>
      <c r="E1019" s="3" t="s">
        <v>595</v>
      </c>
      <c r="F1019" s="42" t="s">
        <v>631</v>
      </c>
      <c r="G1019" s="3" t="s">
        <v>1578</v>
      </c>
      <c r="H1019" s="6">
        <v>0</v>
      </c>
      <c r="I1019" s="41">
        <f>VLOOKUP(Tabla1[[#This Row],[PAGO DIA]],DIAS!A:B,2,0)</f>
        <v>46080</v>
      </c>
      <c r="J1019" s="6">
        <v>0</v>
      </c>
      <c r="K1019" s="43">
        <f>VLOOKUP(Tabla1[[#This Row],[PAGO DIA]],DIAS!A:C,3,0)</f>
        <v>46112</v>
      </c>
      <c r="L1019" s="6">
        <v>0</v>
      </c>
      <c r="M1019" s="41">
        <f>VLOOKUP(Tabla1[[#This Row],[PAGO DIA]],DIAS!A:D,4,0)</f>
        <v>46142</v>
      </c>
      <c r="N1019" s="6">
        <v>0</v>
      </c>
      <c r="O1019" s="43">
        <f>VLOOKUP(Tabla1[[#This Row],[PAGO DIA]],DIAS!A:E,5,0)</f>
        <v>46171</v>
      </c>
      <c r="P1019" s="6">
        <v>0</v>
      </c>
      <c r="Q1019" s="43">
        <f>VLOOKUP(Tabla1[[#This Row],[PAGO DIA]],DIAS!A:F,6,0)</f>
        <v>46203</v>
      </c>
      <c r="R1019" s="6">
        <v>0</v>
      </c>
      <c r="S1019" s="43">
        <f>VLOOKUP(Tabla1[[#This Row],[PAGO DIA]],DIAS!A:G,7,0)</f>
        <v>46234</v>
      </c>
      <c r="T1019" s="6">
        <v>0</v>
      </c>
      <c r="U1019" s="43">
        <f>VLOOKUP(Tabla1[[#This Row],[PAGO DIA]],DIAS!A:H,8,0)</f>
        <v>46265</v>
      </c>
      <c r="V1019" s="6">
        <v>0</v>
      </c>
      <c r="W1019" s="43">
        <f>VLOOKUP(Tabla1[[#This Row],[PAGO DIA]],DIAS!A:I,9,0)</f>
        <v>46295</v>
      </c>
      <c r="X1019" s="6">
        <v>0</v>
      </c>
      <c r="Y1019" s="43">
        <f>VLOOKUP(Tabla1[[#This Row],[PAGO DIA]],DIAS!A:J,10,0)</f>
        <v>46325</v>
      </c>
      <c r="Z1019" s="6">
        <v>0</v>
      </c>
      <c r="AA1019" s="43">
        <f>VLOOKUP(Tabla1[[#This Row],[PAGO DIA]],DIAS!A:K,11,0)</f>
        <v>46356</v>
      </c>
      <c r="AB1019" s="6">
        <v>0</v>
      </c>
      <c r="AC1019" s="43">
        <f>VLOOKUP(Tabla1[[#This Row],[PAGO DIA]],DIAS!A:M,12,0)</f>
        <v>46386</v>
      </c>
      <c r="AD10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0" spans="1:30">
      <c r="A1020" s="3">
        <v>12781</v>
      </c>
      <c r="B1020" s="3" t="s">
        <v>538</v>
      </c>
      <c r="C1020" s="3" t="s">
        <v>539</v>
      </c>
      <c r="D1020" s="3" t="s">
        <v>540</v>
      </c>
      <c r="E1020" s="3" t="s">
        <v>595</v>
      </c>
      <c r="F1020" s="42" t="s">
        <v>631</v>
      </c>
      <c r="G1020" s="3" t="s">
        <v>1579</v>
      </c>
      <c r="H1020" s="6">
        <v>0</v>
      </c>
      <c r="I1020" s="41">
        <f>VLOOKUP(Tabla1[[#This Row],[PAGO DIA]],DIAS!A:B,2,0)</f>
        <v>46080</v>
      </c>
      <c r="J1020" s="6">
        <v>0</v>
      </c>
      <c r="K1020" s="43">
        <f>VLOOKUP(Tabla1[[#This Row],[PAGO DIA]],DIAS!A:C,3,0)</f>
        <v>46112</v>
      </c>
      <c r="L1020" s="6">
        <v>0</v>
      </c>
      <c r="M1020" s="41">
        <f>VLOOKUP(Tabla1[[#This Row],[PAGO DIA]],DIAS!A:D,4,0)</f>
        <v>46142</v>
      </c>
      <c r="N1020" s="6">
        <v>0</v>
      </c>
      <c r="O1020" s="43">
        <f>VLOOKUP(Tabla1[[#This Row],[PAGO DIA]],DIAS!A:E,5,0)</f>
        <v>46171</v>
      </c>
      <c r="P1020" s="6">
        <v>0</v>
      </c>
      <c r="Q1020" s="43">
        <f>VLOOKUP(Tabla1[[#This Row],[PAGO DIA]],DIAS!A:F,6,0)</f>
        <v>46203</v>
      </c>
      <c r="R1020" s="6">
        <v>0</v>
      </c>
      <c r="S1020" s="43">
        <f>VLOOKUP(Tabla1[[#This Row],[PAGO DIA]],DIAS!A:G,7,0)</f>
        <v>46234</v>
      </c>
      <c r="T1020" s="6">
        <v>0</v>
      </c>
      <c r="U1020" s="43">
        <f>VLOOKUP(Tabla1[[#This Row],[PAGO DIA]],DIAS!A:H,8,0)</f>
        <v>46265</v>
      </c>
      <c r="V1020" s="6">
        <v>0</v>
      </c>
      <c r="W1020" s="43">
        <f>VLOOKUP(Tabla1[[#This Row],[PAGO DIA]],DIAS!A:I,9,0)</f>
        <v>46295</v>
      </c>
      <c r="X1020" s="6">
        <v>0</v>
      </c>
      <c r="Y1020" s="43">
        <f>VLOOKUP(Tabla1[[#This Row],[PAGO DIA]],DIAS!A:J,10,0)</f>
        <v>46325</v>
      </c>
      <c r="Z1020" s="6">
        <v>0</v>
      </c>
      <c r="AA1020" s="43">
        <f>VLOOKUP(Tabla1[[#This Row],[PAGO DIA]],DIAS!A:K,11,0)</f>
        <v>46356</v>
      </c>
      <c r="AB1020" s="6">
        <v>0</v>
      </c>
      <c r="AC1020" s="43">
        <f>VLOOKUP(Tabla1[[#This Row],[PAGO DIA]],DIAS!A:M,12,0)</f>
        <v>46386</v>
      </c>
      <c r="AD10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1" spans="1:30">
      <c r="A1021" s="3">
        <v>12782</v>
      </c>
      <c r="B1021" s="3" t="s">
        <v>538</v>
      </c>
      <c r="C1021" s="3" t="s">
        <v>539</v>
      </c>
      <c r="D1021" s="3" t="s">
        <v>540</v>
      </c>
      <c r="E1021" s="3" t="s">
        <v>595</v>
      </c>
      <c r="F1021" s="42" t="s">
        <v>631</v>
      </c>
      <c r="G1021" s="3" t="s">
        <v>1580</v>
      </c>
      <c r="H1021" s="6">
        <v>0</v>
      </c>
      <c r="I1021" s="41">
        <f>VLOOKUP(Tabla1[[#This Row],[PAGO DIA]],DIAS!A:B,2,0)</f>
        <v>46080</v>
      </c>
      <c r="J1021" s="6">
        <v>0</v>
      </c>
      <c r="K1021" s="43">
        <f>VLOOKUP(Tabla1[[#This Row],[PAGO DIA]],DIAS!A:C,3,0)</f>
        <v>46112</v>
      </c>
      <c r="L1021" s="6">
        <v>0</v>
      </c>
      <c r="M1021" s="41">
        <f>VLOOKUP(Tabla1[[#This Row],[PAGO DIA]],DIAS!A:D,4,0)</f>
        <v>46142</v>
      </c>
      <c r="N1021" s="6">
        <v>0</v>
      </c>
      <c r="O1021" s="43">
        <f>VLOOKUP(Tabla1[[#This Row],[PAGO DIA]],DIAS!A:E,5,0)</f>
        <v>46171</v>
      </c>
      <c r="P1021" s="6">
        <v>0</v>
      </c>
      <c r="Q1021" s="43">
        <f>VLOOKUP(Tabla1[[#This Row],[PAGO DIA]],DIAS!A:F,6,0)</f>
        <v>46203</v>
      </c>
      <c r="R1021" s="6">
        <v>0</v>
      </c>
      <c r="S1021" s="43">
        <f>VLOOKUP(Tabla1[[#This Row],[PAGO DIA]],DIAS!A:G,7,0)</f>
        <v>46234</v>
      </c>
      <c r="T1021" s="6">
        <v>0</v>
      </c>
      <c r="U1021" s="43">
        <f>VLOOKUP(Tabla1[[#This Row],[PAGO DIA]],DIAS!A:H,8,0)</f>
        <v>46265</v>
      </c>
      <c r="V1021" s="6">
        <v>0</v>
      </c>
      <c r="W1021" s="43">
        <f>VLOOKUP(Tabla1[[#This Row],[PAGO DIA]],DIAS!A:I,9,0)</f>
        <v>46295</v>
      </c>
      <c r="X1021" s="6">
        <v>0</v>
      </c>
      <c r="Y1021" s="43">
        <f>VLOOKUP(Tabla1[[#This Row],[PAGO DIA]],DIAS!A:J,10,0)</f>
        <v>46325</v>
      </c>
      <c r="Z1021" s="6">
        <v>0</v>
      </c>
      <c r="AA1021" s="43">
        <f>VLOOKUP(Tabla1[[#This Row],[PAGO DIA]],DIAS!A:K,11,0)</f>
        <v>46356</v>
      </c>
      <c r="AB1021" s="6">
        <v>0</v>
      </c>
      <c r="AC1021" s="43">
        <f>VLOOKUP(Tabla1[[#This Row],[PAGO DIA]],DIAS!A:M,12,0)</f>
        <v>46386</v>
      </c>
      <c r="AD10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2" spans="1:30">
      <c r="A1022" s="3">
        <v>11137</v>
      </c>
      <c r="B1022" s="3" t="s">
        <v>538</v>
      </c>
      <c r="C1022" s="3" t="s">
        <v>539</v>
      </c>
      <c r="D1022" s="3" t="s">
        <v>540</v>
      </c>
      <c r="E1022" s="3" t="s">
        <v>1581</v>
      </c>
      <c r="F1022" s="42" t="s">
        <v>631</v>
      </c>
      <c r="G1022" s="3"/>
      <c r="H1022" s="6">
        <v>0</v>
      </c>
      <c r="I1022" s="41">
        <f>VLOOKUP(Tabla1[[#This Row],[PAGO DIA]],DIAS!A:B,2,0)</f>
        <v>46080</v>
      </c>
      <c r="J1022" s="6">
        <v>0</v>
      </c>
      <c r="K1022" s="43">
        <f>VLOOKUP(Tabla1[[#This Row],[PAGO DIA]],DIAS!A:C,3,0)</f>
        <v>46112</v>
      </c>
      <c r="L1022" s="6">
        <v>0</v>
      </c>
      <c r="M1022" s="41">
        <f>VLOOKUP(Tabla1[[#This Row],[PAGO DIA]],DIAS!A:D,4,0)</f>
        <v>46142</v>
      </c>
      <c r="N1022" s="6">
        <v>0</v>
      </c>
      <c r="O1022" s="43">
        <f>VLOOKUP(Tabla1[[#This Row],[PAGO DIA]],DIAS!A:E,5,0)</f>
        <v>46171</v>
      </c>
      <c r="P1022" s="6">
        <v>0</v>
      </c>
      <c r="Q1022" s="43">
        <f>VLOOKUP(Tabla1[[#This Row],[PAGO DIA]],DIAS!A:F,6,0)</f>
        <v>46203</v>
      </c>
      <c r="R1022" s="6">
        <v>0</v>
      </c>
      <c r="S1022" s="43">
        <f>VLOOKUP(Tabla1[[#This Row],[PAGO DIA]],DIAS!A:G,7,0)</f>
        <v>46234</v>
      </c>
      <c r="T1022" s="6">
        <v>0</v>
      </c>
      <c r="U1022" s="43">
        <f>VLOOKUP(Tabla1[[#This Row],[PAGO DIA]],DIAS!A:H,8,0)</f>
        <v>46265</v>
      </c>
      <c r="V1022" s="6">
        <v>0</v>
      </c>
      <c r="W1022" s="43">
        <f>VLOOKUP(Tabla1[[#This Row],[PAGO DIA]],DIAS!A:I,9,0)</f>
        <v>46295</v>
      </c>
      <c r="X1022" s="6">
        <v>0</v>
      </c>
      <c r="Y1022" s="43">
        <f>VLOOKUP(Tabla1[[#This Row],[PAGO DIA]],DIAS!A:J,10,0)</f>
        <v>46325</v>
      </c>
      <c r="Z1022" s="6">
        <v>0</v>
      </c>
      <c r="AA1022" s="43">
        <f>VLOOKUP(Tabla1[[#This Row],[PAGO DIA]],DIAS!A:K,11,0)</f>
        <v>46356</v>
      </c>
      <c r="AB1022" s="6">
        <v>0</v>
      </c>
      <c r="AC1022" s="43">
        <f>VLOOKUP(Tabla1[[#This Row],[PAGO DIA]],DIAS!A:M,12,0)</f>
        <v>46386</v>
      </c>
      <c r="AD10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3" spans="1:30">
      <c r="A1023" s="3">
        <v>11713</v>
      </c>
      <c r="B1023" s="3" t="s">
        <v>538</v>
      </c>
      <c r="C1023" s="3" t="s">
        <v>540</v>
      </c>
      <c r="D1023" s="3" t="s">
        <v>540</v>
      </c>
      <c r="E1023" s="3" t="s">
        <v>1581</v>
      </c>
      <c r="F1023" s="42" t="s">
        <v>631</v>
      </c>
      <c r="G1023" s="3" t="s">
        <v>1582</v>
      </c>
      <c r="H1023" s="6">
        <v>0</v>
      </c>
      <c r="I1023" s="41">
        <f>VLOOKUP(Tabla1[[#This Row],[PAGO DIA]],DIAS!A:B,2,0)</f>
        <v>46080</v>
      </c>
      <c r="J1023" s="6">
        <v>0</v>
      </c>
      <c r="K1023" s="43">
        <f>VLOOKUP(Tabla1[[#This Row],[PAGO DIA]],DIAS!A:C,3,0)</f>
        <v>46112</v>
      </c>
      <c r="L1023" s="6">
        <v>0</v>
      </c>
      <c r="M1023" s="41">
        <f>VLOOKUP(Tabla1[[#This Row],[PAGO DIA]],DIAS!A:D,4,0)</f>
        <v>46142</v>
      </c>
      <c r="N1023" s="6">
        <v>0</v>
      </c>
      <c r="O1023" s="43">
        <f>VLOOKUP(Tabla1[[#This Row],[PAGO DIA]],DIAS!A:E,5,0)</f>
        <v>46171</v>
      </c>
      <c r="P1023" s="6">
        <v>0</v>
      </c>
      <c r="Q1023" s="43">
        <f>VLOOKUP(Tabla1[[#This Row],[PAGO DIA]],DIAS!A:F,6,0)</f>
        <v>46203</v>
      </c>
      <c r="R1023" s="6">
        <v>0</v>
      </c>
      <c r="S1023" s="43">
        <f>VLOOKUP(Tabla1[[#This Row],[PAGO DIA]],DIAS!A:G,7,0)</f>
        <v>46234</v>
      </c>
      <c r="T1023" s="6">
        <v>0</v>
      </c>
      <c r="U1023" s="43">
        <f>VLOOKUP(Tabla1[[#This Row],[PAGO DIA]],DIAS!A:H,8,0)</f>
        <v>46265</v>
      </c>
      <c r="V1023" s="6">
        <v>0</v>
      </c>
      <c r="W1023" s="43">
        <f>VLOOKUP(Tabla1[[#This Row],[PAGO DIA]],DIAS!A:I,9,0)</f>
        <v>46295</v>
      </c>
      <c r="X1023" s="6">
        <v>0</v>
      </c>
      <c r="Y1023" s="43">
        <f>VLOOKUP(Tabla1[[#This Row],[PAGO DIA]],DIAS!A:J,10,0)</f>
        <v>46325</v>
      </c>
      <c r="Z1023" s="6">
        <v>0</v>
      </c>
      <c r="AA1023" s="43">
        <f>VLOOKUP(Tabla1[[#This Row],[PAGO DIA]],DIAS!A:K,11,0)</f>
        <v>46356</v>
      </c>
      <c r="AB1023" s="6">
        <v>0</v>
      </c>
      <c r="AC1023" s="43">
        <f>VLOOKUP(Tabla1[[#This Row],[PAGO DIA]],DIAS!A:M,12,0)</f>
        <v>46386</v>
      </c>
      <c r="AD10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4" spans="1:30">
      <c r="A1024" s="3">
        <v>11714</v>
      </c>
      <c r="B1024" s="3" t="s">
        <v>538</v>
      </c>
      <c r="C1024" s="3" t="s">
        <v>540</v>
      </c>
      <c r="D1024" s="3" t="s">
        <v>540</v>
      </c>
      <c r="E1024" s="3" t="s">
        <v>1581</v>
      </c>
      <c r="F1024" s="42" t="s">
        <v>631</v>
      </c>
      <c r="G1024" s="3" t="s">
        <v>1583</v>
      </c>
      <c r="H1024" s="6">
        <v>0</v>
      </c>
      <c r="I1024" s="41">
        <f>VLOOKUP(Tabla1[[#This Row],[PAGO DIA]],DIAS!A:B,2,0)</f>
        <v>46080</v>
      </c>
      <c r="J1024" s="6">
        <v>0</v>
      </c>
      <c r="K1024" s="43">
        <f>VLOOKUP(Tabla1[[#This Row],[PAGO DIA]],DIAS!A:C,3,0)</f>
        <v>46112</v>
      </c>
      <c r="L1024" s="6">
        <v>0</v>
      </c>
      <c r="M1024" s="41">
        <f>VLOOKUP(Tabla1[[#This Row],[PAGO DIA]],DIAS!A:D,4,0)</f>
        <v>46142</v>
      </c>
      <c r="N1024" s="6">
        <v>0</v>
      </c>
      <c r="O1024" s="43">
        <f>VLOOKUP(Tabla1[[#This Row],[PAGO DIA]],DIAS!A:E,5,0)</f>
        <v>46171</v>
      </c>
      <c r="P1024" s="6">
        <v>0</v>
      </c>
      <c r="Q1024" s="43">
        <f>VLOOKUP(Tabla1[[#This Row],[PAGO DIA]],DIAS!A:F,6,0)</f>
        <v>46203</v>
      </c>
      <c r="R1024" s="6">
        <v>0</v>
      </c>
      <c r="S1024" s="43">
        <f>VLOOKUP(Tabla1[[#This Row],[PAGO DIA]],DIAS!A:G,7,0)</f>
        <v>46234</v>
      </c>
      <c r="T1024" s="6">
        <v>0</v>
      </c>
      <c r="U1024" s="43">
        <f>VLOOKUP(Tabla1[[#This Row],[PAGO DIA]],DIAS!A:H,8,0)</f>
        <v>46265</v>
      </c>
      <c r="V1024" s="6">
        <v>0</v>
      </c>
      <c r="W1024" s="43">
        <f>VLOOKUP(Tabla1[[#This Row],[PAGO DIA]],DIAS!A:I,9,0)</f>
        <v>46295</v>
      </c>
      <c r="X1024" s="6">
        <v>0</v>
      </c>
      <c r="Y1024" s="43">
        <f>VLOOKUP(Tabla1[[#This Row],[PAGO DIA]],DIAS!A:J,10,0)</f>
        <v>46325</v>
      </c>
      <c r="Z1024" s="6">
        <v>0</v>
      </c>
      <c r="AA1024" s="43">
        <f>VLOOKUP(Tabla1[[#This Row],[PAGO DIA]],DIAS!A:K,11,0)</f>
        <v>46356</v>
      </c>
      <c r="AB1024" s="6">
        <v>0</v>
      </c>
      <c r="AC1024" s="43">
        <f>VLOOKUP(Tabla1[[#This Row],[PAGO DIA]],DIAS!A:M,12,0)</f>
        <v>46386</v>
      </c>
      <c r="AD10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5" spans="1:30">
      <c r="A1025" s="3">
        <v>11715</v>
      </c>
      <c r="B1025" s="3" t="s">
        <v>538</v>
      </c>
      <c r="C1025" s="3" t="s">
        <v>540</v>
      </c>
      <c r="D1025" s="3" t="s">
        <v>540</v>
      </c>
      <c r="E1025" s="3" t="s">
        <v>1581</v>
      </c>
      <c r="F1025" s="42" t="s">
        <v>631</v>
      </c>
      <c r="G1025" s="3" t="s">
        <v>1584</v>
      </c>
      <c r="H1025" s="6">
        <v>0</v>
      </c>
      <c r="I1025" s="41">
        <f>VLOOKUP(Tabla1[[#This Row],[PAGO DIA]],DIAS!A:B,2,0)</f>
        <v>46080</v>
      </c>
      <c r="J1025" s="6">
        <v>0</v>
      </c>
      <c r="K1025" s="43">
        <f>VLOOKUP(Tabla1[[#This Row],[PAGO DIA]],DIAS!A:C,3,0)</f>
        <v>46112</v>
      </c>
      <c r="L1025" s="6">
        <v>0</v>
      </c>
      <c r="M1025" s="41">
        <f>VLOOKUP(Tabla1[[#This Row],[PAGO DIA]],DIAS!A:D,4,0)</f>
        <v>46142</v>
      </c>
      <c r="N1025" s="6">
        <v>0</v>
      </c>
      <c r="O1025" s="43">
        <f>VLOOKUP(Tabla1[[#This Row],[PAGO DIA]],DIAS!A:E,5,0)</f>
        <v>46171</v>
      </c>
      <c r="P1025" s="6">
        <v>0</v>
      </c>
      <c r="Q1025" s="43">
        <f>VLOOKUP(Tabla1[[#This Row],[PAGO DIA]],DIAS!A:F,6,0)</f>
        <v>46203</v>
      </c>
      <c r="R1025" s="6">
        <v>0</v>
      </c>
      <c r="S1025" s="43">
        <f>VLOOKUP(Tabla1[[#This Row],[PAGO DIA]],DIAS!A:G,7,0)</f>
        <v>46234</v>
      </c>
      <c r="T1025" s="6">
        <v>0</v>
      </c>
      <c r="U1025" s="43">
        <f>VLOOKUP(Tabla1[[#This Row],[PAGO DIA]],DIAS!A:H,8,0)</f>
        <v>46265</v>
      </c>
      <c r="V1025" s="6">
        <v>0</v>
      </c>
      <c r="W1025" s="43">
        <f>VLOOKUP(Tabla1[[#This Row],[PAGO DIA]],DIAS!A:I,9,0)</f>
        <v>46295</v>
      </c>
      <c r="X1025" s="6">
        <v>0</v>
      </c>
      <c r="Y1025" s="43">
        <f>VLOOKUP(Tabla1[[#This Row],[PAGO DIA]],DIAS!A:J,10,0)</f>
        <v>46325</v>
      </c>
      <c r="Z1025" s="6">
        <v>0</v>
      </c>
      <c r="AA1025" s="43">
        <f>VLOOKUP(Tabla1[[#This Row],[PAGO DIA]],DIAS!A:K,11,0)</f>
        <v>46356</v>
      </c>
      <c r="AB1025" s="6">
        <v>0</v>
      </c>
      <c r="AC1025" s="43">
        <f>VLOOKUP(Tabla1[[#This Row],[PAGO DIA]],DIAS!A:M,12,0)</f>
        <v>46386</v>
      </c>
      <c r="AD10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6" spans="1:30">
      <c r="A1026" s="3">
        <v>11716</v>
      </c>
      <c r="B1026" s="3" t="s">
        <v>538</v>
      </c>
      <c r="C1026" s="3" t="s">
        <v>540</v>
      </c>
      <c r="D1026" s="3" t="s">
        <v>540</v>
      </c>
      <c r="E1026" s="3" t="s">
        <v>1581</v>
      </c>
      <c r="F1026" s="42" t="s">
        <v>631</v>
      </c>
      <c r="G1026" s="3" t="s">
        <v>1585</v>
      </c>
      <c r="H1026" s="6">
        <v>0</v>
      </c>
      <c r="I1026" s="41">
        <f>VLOOKUP(Tabla1[[#This Row],[PAGO DIA]],DIAS!A:B,2,0)</f>
        <v>46080</v>
      </c>
      <c r="J1026" s="6">
        <v>0</v>
      </c>
      <c r="K1026" s="43">
        <f>VLOOKUP(Tabla1[[#This Row],[PAGO DIA]],DIAS!A:C,3,0)</f>
        <v>46112</v>
      </c>
      <c r="L1026" s="6">
        <v>0</v>
      </c>
      <c r="M1026" s="41">
        <f>VLOOKUP(Tabla1[[#This Row],[PAGO DIA]],DIAS!A:D,4,0)</f>
        <v>46142</v>
      </c>
      <c r="N1026" s="6">
        <v>0</v>
      </c>
      <c r="O1026" s="43">
        <f>VLOOKUP(Tabla1[[#This Row],[PAGO DIA]],DIAS!A:E,5,0)</f>
        <v>46171</v>
      </c>
      <c r="P1026" s="6">
        <v>0</v>
      </c>
      <c r="Q1026" s="43">
        <f>VLOOKUP(Tabla1[[#This Row],[PAGO DIA]],DIAS!A:F,6,0)</f>
        <v>46203</v>
      </c>
      <c r="R1026" s="6">
        <v>0</v>
      </c>
      <c r="S1026" s="43">
        <f>VLOOKUP(Tabla1[[#This Row],[PAGO DIA]],DIAS!A:G,7,0)</f>
        <v>46234</v>
      </c>
      <c r="T1026" s="6">
        <v>0</v>
      </c>
      <c r="U1026" s="43">
        <f>VLOOKUP(Tabla1[[#This Row],[PAGO DIA]],DIAS!A:H,8,0)</f>
        <v>46265</v>
      </c>
      <c r="V1026" s="6">
        <v>0</v>
      </c>
      <c r="W1026" s="43">
        <f>VLOOKUP(Tabla1[[#This Row],[PAGO DIA]],DIAS!A:I,9,0)</f>
        <v>46295</v>
      </c>
      <c r="X1026" s="6">
        <v>0</v>
      </c>
      <c r="Y1026" s="43">
        <f>VLOOKUP(Tabla1[[#This Row],[PAGO DIA]],DIAS!A:J,10,0)</f>
        <v>46325</v>
      </c>
      <c r="Z1026" s="6">
        <v>0</v>
      </c>
      <c r="AA1026" s="43">
        <f>VLOOKUP(Tabla1[[#This Row],[PAGO DIA]],DIAS!A:K,11,0)</f>
        <v>46356</v>
      </c>
      <c r="AB1026" s="6">
        <v>0</v>
      </c>
      <c r="AC1026" s="43">
        <f>VLOOKUP(Tabla1[[#This Row],[PAGO DIA]],DIAS!A:M,12,0)</f>
        <v>46386</v>
      </c>
      <c r="AD10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7" spans="1:30">
      <c r="A1027" s="3">
        <v>11717</v>
      </c>
      <c r="B1027" s="3" t="s">
        <v>538</v>
      </c>
      <c r="C1027" s="3" t="s">
        <v>540</v>
      </c>
      <c r="D1027" s="3" t="s">
        <v>540</v>
      </c>
      <c r="E1027" s="3" t="s">
        <v>1581</v>
      </c>
      <c r="F1027" s="42" t="s">
        <v>631</v>
      </c>
      <c r="G1027" s="3" t="s">
        <v>1586</v>
      </c>
      <c r="H1027" s="6">
        <v>0</v>
      </c>
      <c r="I1027" s="41">
        <f>VLOOKUP(Tabla1[[#This Row],[PAGO DIA]],DIAS!A:B,2,0)</f>
        <v>46080</v>
      </c>
      <c r="J1027" s="6">
        <v>0</v>
      </c>
      <c r="K1027" s="43">
        <f>VLOOKUP(Tabla1[[#This Row],[PAGO DIA]],DIAS!A:C,3,0)</f>
        <v>46112</v>
      </c>
      <c r="L1027" s="6">
        <v>0</v>
      </c>
      <c r="M1027" s="41">
        <f>VLOOKUP(Tabla1[[#This Row],[PAGO DIA]],DIAS!A:D,4,0)</f>
        <v>46142</v>
      </c>
      <c r="N1027" s="6">
        <v>0</v>
      </c>
      <c r="O1027" s="43">
        <f>VLOOKUP(Tabla1[[#This Row],[PAGO DIA]],DIAS!A:E,5,0)</f>
        <v>46171</v>
      </c>
      <c r="P1027" s="6">
        <v>0</v>
      </c>
      <c r="Q1027" s="43">
        <f>VLOOKUP(Tabla1[[#This Row],[PAGO DIA]],DIAS!A:F,6,0)</f>
        <v>46203</v>
      </c>
      <c r="R1027" s="6">
        <v>0</v>
      </c>
      <c r="S1027" s="43">
        <f>VLOOKUP(Tabla1[[#This Row],[PAGO DIA]],DIAS!A:G,7,0)</f>
        <v>46234</v>
      </c>
      <c r="T1027" s="6">
        <v>0</v>
      </c>
      <c r="U1027" s="43">
        <f>VLOOKUP(Tabla1[[#This Row],[PAGO DIA]],DIAS!A:H,8,0)</f>
        <v>46265</v>
      </c>
      <c r="V1027" s="6">
        <v>0</v>
      </c>
      <c r="W1027" s="43">
        <f>VLOOKUP(Tabla1[[#This Row],[PAGO DIA]],DIAS!A:I,9,0)</f>
        <v>46295</v>
      </c>
      <c r="X1027" s="6">
        <v>0</v>
      </c>
      <c r="Y1027" s="43">
        <f>VLOOKUP(Tabla1[[#This Row],[PAGO DIA]],DIAS!A:J,10,0)</f>
        <v>46325</v>
      </c>
      <c r="Z1027" s="6">
        <v>0</v>
      </c>
      <c r="AA1027" s="43">
        <f>VLOOKUP(Tabla1[[#This Row],[PAGO DIA]],DIAS!A:K,11,0)</f>
        <v>46356</v>
      </c>
      <c r="AB1027" s="6">
        <v>0</v>
      </c>
      <c r="AC1027" s="43">
        <f>VLOOKUP(Tabla1[[#This Row],[PAGO DIA]],DIAS!A:M,12,0)</f>
        <v>46386</v>
      </c>
      <c r="AD10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8" spans="1:30">
      <c r="A1028" s="3">
        <v>11718</v>
      </c>
      <c r="B1028" s="3" t="s">
        <v>538</v>
      </c>
      <c r="C1028" s="3" t="s">
        <v>540</v>
      </c>
      <c r="D1028" s="3" t="s">
        <v>540</v>
      </c>
      <c r="E1028" s="3" t="s">
        <v>1581</v>
      </c>
      <c r="F1028" s="42" t="s">
        <v>631</v>
      </c>
      <c r="G1028" s="3" t="s">
        <v>1586</v>
      </c>
      <c r="H1028" s="6">
        <v>0</v>
      </c>
      <c r="I1028" s="41">
        <f>VLOOKUP(Tabla1[[#This Row],[PAGO DIA]],DIAS!A:B,2,0)</f>
        <v>46080</v>
      </c>
      <c r="J1028" s="6">
        <v>0</v>
      </c>
      <c r="K1028" s="43">
        <f>VLOOKUP(Tabla1[[#This Row],[PAGO DIA]],DIAS!A:C,3,0)</f>
        <v>46112</v>
      </c>
      <c r="L1028" s="6">
        <v>0</v>
      </c>
      <c r="M1028" s="41">
        <f>VLOOKUP(Tabla1[[#This Row],[PAGO DIA]],DIAS!A:D,4,0)</f>
        <v>46142</v>
      </c>
      <c r="N1028" s="6">
        <v>0</v>
      </c>
      <c r="O1028" s="43">
        <f>VLOOKUP(Tabla1[[#This Row],[PAGO DIA]],DIAS!A:E,5,0)</f>
        <v>46171</v>
      </c>
      <c r="P1028" s="6">
        <v>0</v>
      </c>
      <c r="Q1028" s="43">
        <f>VLOOKUP(Tabla1[[#This Row],[PAGO DIA]],DIAS!A:F,6,0)</f>
        <v>46203</v>
      </c>
      <c r="R1028" s="6">
        <v>0</v>
      </c>
      <c r="S1028" s="43">
        <f>VLOOKUP(Tabla1[[#This Row],[PAGO DIA]],DIAS!A:G,7,0)</f>
        <v>46234</v>
      </c>
      <c r="T1028" s="6">
        <v>0</v>
      </c>
      <c r="U1028" s="43">
        <f>VLOOKUP(Tabla1[[#This Row],[PAGO DIA]],DIAS!A:H,8,0)</f>
        <v>46265</v>
      </c>
      <c r="V1028" s="6">
        <v>0</v>
      </c>
      <c r="W1028" s="43">
        <f>VLOOKUP(Tabla1[[#This Row],[PAGO DIA]],DIAS!A:I,9,0)</f>
        <v>46295</v>
      </c>
      <c r="X1028" s="6">
        <v>0</v>
      </c>
      <c r="Y1028" s="43">
        <f>VLOOKUP(Tabla1[[#This Row],[PAGO DIA]],DIAS!A:J,10,0)</f>
        <v>46325</v>
      </c>
      <c r="Z1028" s="6">
        <v>0</v>
      </c>
      <c r="AA1028" s="43">
        <f>VLOOKUP(Tabla1[[#This Row],[PAGO DIA]],DIAS!A:K,11,0)</f>
        <v>46356</v>
      </c>
      <c r="AB1028" s="6">
        <v>0</v>
      </c>
      <c r="AC1028" s="43">
        <f>VLOOKUP(Tabla1[[#This Row],[PAGO DIA]],DIAS!A:M,12,0)</f>
        <v>46386</v>
      </c>
      <c r="AD10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29" spans="1:30">
      <c r="A1029" s="3">
        <v>10967</v>
      </c>
      <c r="B1029" s="3" t="s">
        <v>538</v>
      </c>
      <c r="C1029" s="3" t="s">
        <v>539</v>
      </c>
      <c r="D1029" s="3" t="s">
        <v>540</v>
      </c>
      <c r="E1029" s="3" t="s">
        <v>1587</v>
      </c>
      <c r="F1029" s="42" t="s">
        <v>631</v>
      </c>
      <c r="G1029" s="3"/>
      <c r="H1029" s="6">
        <v>0</v>
      </c>
      <c r="I1029" s="41">
        <f>VLOOKUP(Tabla1[[#This Row],[PAGO DIA]],DIAS!A:B,2,0)</f>
        <v>46080</v>
      </c>
      <c r="J1029" s="6">
        <v>0</v>
      </c>
      <c r="K1029" s="43">
        <f>VLOOKUP(Tabla1[[#This Row],[PAGO DIA]],DIAS!A:C,3,0)</f>
        <v>46112</v>
      </c>
      <c r="L1029" s="6">
        <v>0</v>
      </c>
      <c r="M1029" s="41">
        <f>VLOOKUP(Tabla1[[#This Row],[PAGO DIA]],DIAS!A:D,4,0)</f>
        <v>46142</v>
      </c>
      <c r="N1029" s="6">
        <v>0</v>
      </c>
      <c r="O1029" s="43">
        <f>VLOOKUP(Tabla1[[#This Row],[PAGO DIA]],DIAS!A:E,5,0)</f>
        <v>46171</v>
      </c>
      <c r="P1029" s="6">
        <v>0</v>
      </c>
      <c r="Q1029" s="43">
        <f>VLOOKUP(Tabla1[[#This Row],[PAGO DIA]],DIAS!A:F,6,0)</f>
        <v>46203</v>
      </c>
      <c r="R1029" s="6">
        <v>0</v>
      </c>
      <c r="S1029" s="43">
        <f>VLOOKUP(Tabla1[[#This Row],[PAGO DIA]],DIAS!A:G,7,0)</f>
        <v>46234</v>
      </c>
      <c r="T1029" s="6">
        <v>0</v>
      </c>
      <c r="U1029" s="43">
        <f>VLOOKUP(Tabla1[[#This Row],[PAGO DIA]],DIAS!A:H,8,0)</f>
        <v>46265</v>
      </c>
      <c r="V1029" s="6">
        <v>0</v>
      </c>
      <c r="W1029" s="43">
        <f>VLOOKUP(Tabla1[[#This Row],[PAGO DIA]],DIAS!A:I,9,0)</f>
        <v>46295</v>
      </c>
      <c r="X1029" s="6">
        <v>0</v>
      </c>
      <c r="Y1029" s="43">
        <f>VLOOKUP(Tabla1[[#This Row],[PAGO DIA]],DIAS!A:J,10,0)</f>
        <v>46325</v>
      </c>
      <c r="Z1029" s="6">
        <v>0</v>
      </c>
      <c r="AA1029" s="43">
        <f>VLOOKUP(Tabla1[[#This Row],[PAGO DIA]],DIAS!A:K,11,0)</f>
        <v>46356</v>
      </c>
      <c r="AB1029" s="6">
        <v>0</v>
      </c>
      <c r="AC1029" s="43">
        <f>VLOOKUP(Tabla1[[#This Row],[PAGO DIA]],DIAS!A:M,12,0)</f>
        <v>46386</v>
      </c>
      <c r="AD10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0" spans="1:30">
      <c r="A1030" s="3">
        <v>11163</v>
      </c>
      <c r="B1030" s="3" t="s">
        <v>538</v>
      </c>
      <c r="C1030" s="3" t="s">
        <v>539</v>
      </c>
      <c r="D1030" s="3" t="s">
        <v>540</v>
      </c>
      <c r="E1030" s="3" t="s">
        <v>1587</v>
      </c>
      <c r="F1030" s="42" t="s">
        <v>631</v>
      </c>
      <c r="G1030" s="3"/>
      <c r="H1030" s="6">
        <v>0</v>
      </c>
      <c r="I1030" s="41">
        <f>VLOOKUP(Tabla1[[#This Row],[PAGO DIA]],DIAS!A:B,2,0)</f>
        <v>46080</v>
      </c>
      <c r="J1030" s="6">
        <v>0</v>
      </c>
      <c r="K1030" s="43">
        <f>VLOOKUP(Tabla1[[#This Row],[PAGO DIA]],DIAS!A:C,3,0)</f>
        <v>46112</v>
      </c>
      <c r="L1030" s="6">
        <v>0</v>
      </c>
      <c r="M1030" s="41">
        <f>VLOOKUP(Tabla1[[#This Row],[PAGO DIA]],DIAS!A:D,4,0)</f>
        <v>46142</v>
      </c>
      <c r="N1030" s="6">
        <v>0</v>
      </c>
      <c r="O1030" s="43">
        <f>VLOOKUP(Tabla1[[#This Row],[PAGO DIA]],DIAS!A:E,5,0)</f>
        <v>46171</v>
      </c>
      <c r="P1030" s="6">
        <v>0</v>
      </c>
      <c r="Q1030" s="43">
        <f>VLOOKUP(Tabla1[[#This Row],[PAGO DIA]],DIAS!A:F,6,0)</f>
        <v>46203</v>
      </c>
      <c r="R1030" s="6">
        <v>0</v>
      </c>
      <c r="S1030" s="43">
        <f>VLOOKUP(Tabla1[[#This Row],[PAGO DIA]],DIAS!A:G,7,0)</f>
        <v>46234</v>
      </c>
      <c r="T1030" s="6">
        <v>0</v>
      </c>
      <c r="U1030" s="43">
        <f>VLOOKUP(Tabla1[[#This Row],[PAGO DIA]],DIAS!A:H,8,0)</f>
        <v>46265</v>
      </c>
      <c r="V1030" s="6">
        <v>0</v>
      </c>
      <c r="W1030" s="43">
        <f>VLOOKUP(Tabla1[[#This Row],[PAGO DIA]],DIAS!A:I,9,0)</f>
        <v>46295</v>
      </c>
      <c r="X1030" s="6">
        <v>0</v>
      </c>
      <c r="Y1030" s="43">
        <f>VLOOKUP(Tabla1[[#This Row],[PAGO DIA]],DIAS!A:J,10,0)</f>
        <v>46325</v>
      </c>
      <c r="Z1030" s="6">
        <v>0</v>
      </c>
      <c r="AA1030" s="43">
        <f>VLOOKUP(Tabla1[[#This Row],[PAGO DIA]],DIAS!A:K,11,0)</f>
        <v>46356</v>
      </c>
      <c r="AB1030" s="6">
        <v>0</v>
      </c>
      <c r="AC1030" s="43">
        <f>VLOOKUP(Tabla1[[#This Row],[PAGO DIA]],DIAS!A:M,12,0)</f>
        <v>46386</v>
      </c>
      <c r="AD10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1" spans="1:30">
      <c r="A1031" s="3">
        <v>11033</v>
      </c>
      <c r="B1031" s="3" t="s">
        <v>538</v>
      </c>
      <c r="C1031" s="3" t="s">
        <v>539</v>
      </c>
      <c r="D1031" s="3" t="s">
        <v>540</v>
      </c>
      <c r="E1031" s="3" t="s">
        <v>1588</v>
      </c>
      <c r="F1031" s="42" t="s">
        <v>631</v>
      </c>
      <c r="G1031" s="3"/>
      <c r="H1031" s="6">
        <v>0</v>
      </c>
      <c r="I1031" s="41">
        <f>VLOOKUP(Tabla1[[#This Row],[PAGO DIA]],DIAS!A:B,2,0)</f>
        <v>46080</v>
      </c>
      <c r="J1031" s="6">
        <v>0</v>
      </c>
      <c r="K1031" s="43">
        <f>VLOOKUP(Tabla1[[#This Row],[PAGO DIA]],DIAS!A:C,3,0)</f>
        <v>46112</v>
      </c>
      <c r="L1031" s="6">
        <v>0</v>
      </c>
      <c r="M1031" s="41">
        <f>VLOOKUP(Tabla1[[#This Row],[PAGO DIA]],DIAS!A:D,4,0)</f>
        <v>46142</v>
      </c>
      <c r="N1031" s="6">
        <v>0</v>
      </c>
      <c r="O1031" s="43">
        <f>VLOOKUP(Tabla1[[#This Row],[PAGO DIA]],DIAS!A:E,5,0)</f>
        <v>46171</v>
      </c>
      <c r="P1031" s="6">
        <v>0</v>
      </c>
      <c r="Q1031" s="43">
        <f>VLOOKUP(Tabla1[[#This Row],[PAGO DIA]],DIAS!A:F,6,0)</f>
        <v>46203</v>
      </c>
      <c r="R1031" s="6">
        <v>0</v>
      </c>
      <c r="S1031" s="43">
        <f>VLOOKUP(Tabla1[[#This Row],[PAGO DIA]],DIAS!A:G,7,0)</f>
        <v>46234</v>
      </c>
      <c r="T1031" s="6">
        <v>0</v>
      </c>
      <c r="U1031" s="43">
        <f>VLOOKUP(Tabla1[[#This Row],[PAGO DIA]],DIAS!A:H,8,0)</f>
        <v>46265</v>
      </c>
      <c r="V1031" s="6">
        <v>0</v>
      </c>
      <c r="W1031" s="43">
        <f>VLOOKUP(Tabla1[[#This Row],[PAGO DIA]],DIAS!A:I,9,0)</f>
        <v>46295</v>
      </c>
      <c r="X1031" s="6">
        <v>0</v>
      </c>
      <c r="Y1031" s="43">
        <f>VLOOKUP(Tabla1[[#This Row],[PAGO DIA]],DIAS!A:J,10,0)</f>
        <v>46325</v>
      </c>
      <c r="Z1031" s="6">
        <v>0</v>
      </c>
      <c r="AA1031" s="43">
        <f>VLOOKUP(Tabla1[[#This Row],[PAGO DIA]],DIAS!A:K,11,0)</f>
        <v>46356</v>
      </c>
      <c r="AB1031" s="6">
        <v>0</v>
      </c>
      <c r="AC1031" s="43">
        <f>VLOOKUP(Tabla1[[#This Row],[PAGO DIA]],DIAS!A:M,12,0)</f>
        <v>46386</v>
      </c>
      <c r="AD10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2" spans="1:30">
      <c r="A1032" s="3">
        <v>11266</v>
      </c>
      <c r="B1032" s="3" t="s">
        <v>538</v>
      </c>
      <c r="C1032" s="3" t="s">
        <v>539</v>
      </c>
      <c r="D1032" s="3" t="s">
        <v>540</v>
      </c>
      <c r="E1032" s="3" t="s">
        <v>1588</v>
      </c>
      <c r="F1032" s="42" t="s">
        <v>631</v>
      </c>
      <c r="G1032" s="3"/>
      <c r="H1032" s="6">
        <v>0</v>
      </c>
      <c r="I1032" s="41">
        <f>VLOOKUP(Tabla1[[#This Row],[PAGO DIA]],DIAS!A:B,2,0)</f>
        <v>46080</v>
      </c>
      <c r="J1032" s="6">
        <v>0</v>
      </c>
      <c r="K1032" s="43">
        <f>VLOOKUP(Tabla1[[#This Row],[PAGO DIA]],DIAS!A:C,3,0)</f>
        <v>46112</v>
      </c>
      <c r="L1032" s="6">
        <v>0</v>
      </c>
      <c r="M1032" s="41">
        <f>VLOOKUP(Tabla1[[#This Row],[PAGO DIA]],DIAS!A:D,4,0)</f>
        <v>46142</v>
      </c>
      <c r="N1032" s="6">
        <v>0</v>
      </c>
      <c r="O1032" s="43">
        <f>VLOOKUP(Tabla1[[#This Row],[PAGO DIA]],DIAS!A:E,5,0)</f>
        <v>46171</v>
      </c>
      <c r="P1032" s="6">
        <v>0</v>
      </c>
      <c r="Q1032" s="43">
        <f>VLOOKUP(Tabla1[[#This Row],[PAGO DIA]],DIAS!A:F,6,0)</f>
        <v>46203</v>
      </c>
      <c r="R1032" s="6">
        <v>0</v>
      </c>
      <c r="S1032" s="43">
        <f>VLOOKUP(Tabla1[[#This Row],[PAGO DIA]],DIAS!A:G,7,0)</f>
        <v>46234</v>
      </c>
      <c r="T1032" s="6">
        <v>0</v>
      </c>
      <c r="U1032" s="43">
        <f>VLOOKUP(Tabla1[[#This Row],[PAGO DIA]],DIAS!A:H,8,0)</f>
        <v>46265</v>
      </c>
      <c r="V1032" s="6">
        <v>0</v>
      </c>
      <c r="W1032" s="43">
        <f>VLOOKUP(Tabla1[[#This Row],[PAGO DIA]],DIAS!A:I,9,0)</f>
        <v>46295</v>
      </c>
      <c r="X1032" s="6">
        <v>0</v>
      </c>
      <c r="Y1032" s="43">
        <f>VLOOKUP(Tabla1[[#This Row],[PAGO DIA]],DIAS!A:J,10,0)</f>
        <v>46325</v>
      </c>
      <c r="Z1032" s="6">
        <v>0</v>
      </c>
      <c r="AA1032" s="43">
        <f>VLOOKUP(Tabla1[[#This Row],[PAGO DIA]],DIAS!A:K,11,0)</f>
        <v>46356</v>
      </c>
      <c r="AB1032" s="6">
        <v>0</v>
      </c>
      <c r="AC1032" s="43">
        <f>VLOOKUP(Tabla1[[#This Row],[PAGO DIA]],DIAS!A:M,12,0)</f>
        <v>46386</v>
      </c>
      <c r="AD10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3" spans="1:30">
      <c r="A1033" s="3">
        <v>12597</v>
      </c>
      <c r="B1033" s="3" t="s">
        <v>538</v>
      </c>
      <c r="C1033" s="3" t="s">
        <v>539</v>
      </c>
      <c r="D1033" s="3" t="s">
        <v>540</v>
      </c>
      <c r="E1033" s="3" t="s">
        <v>1589</v>
      </c>
      <c r="F1033" s="42" t="s">
        <v>631</v>
      </c>
      <c r="G1033" s="3" t="s">
        <v>1590</v>
      </c>
      <c r="H1033" s="6">
        <v>0</v>
      </c>
      <c r="I1033" s="41">
        <f>VLOOKUP(Tabla1[[#This Row],[PAGO DIA]],DIAS!A:B,2,0)</f>
        <v>46080</v>
      </c>
      <c r="J1033" s="6">
        <v>0</v>
      </c>
      <c r="K1033" s="43">
        <f>VLOOKUP(Tabla1[[#This Row],[PAGO DIA]],DIAS!A:C,3,0)</f>
        <v>46112</v>
      </c>
      <c r="L1033" s="6">
        <v>0</v>
      </c>
      <c r="M1033" s="41">
        <f>VLOOKUP(Tabla1[[#This Row],[PAGO DIA]],DIAS!A:D,4,0)</f>
        <v>46142</v>
      </c>
      <c r="N1033" s="6">
        <v>0</v>
      </c>
      <c r="O1033" s="43">
        <f>VLOOKUP(Tabla1[[#This Row],[PAGO DIA]],DIAS!A:E,5,0)</f>
        <v>46171</v>
      </c>
      <c r="P1033" s="6">
        <v>0</v>
      </c>
      <c r="Q1033" s="43">
        <f>VLOOKUP(Tabla1[[#This Row],[PAGO DIA]],DIAS!A:F,6,0)</f>
        <v>46203</v>
      </c>
      <c r="R1033" s="6">
        <v>0</v>
      </c>
      <c r="S1033" s="43">
        <f>VLOOKUP(Tabla1[[#This Row],[PAGO DIA]],DIAS!A:G,7,0)</f>
        <v>46234</v>
      </c>
      <c r="T1033" s="6">
        <v>0</v>
      </c>
      <c r="U1033" s="43">
        <f>VLOOKUP(Tabla1[[#This Row],[PAGO DIA]],DIAS!A:H,8,0)</f>
        <v>46265</v>
      </c>
      <c r="V1033" s="6">
        <v>0</v>
      </c>
      <c r="W1033" s="43">
        <f>VLOOKUP(Tabla1[[#This Row],[PAGO DIA]],DIAS!A:I,9,0)</f>
        <v>46295</v>
      </c>
      <c r="X1033" s="6">
        <v>0</v>
      </c>
      <c r="Y1033" s="43">
        <f>VLOOKUP(Tabla1[[#This Row],[PAGO DIA]],DIAS!A:J,10,0)</f>
        <v>46325</v>
      </c>
      <c r="Z1033" s="6">
        <v>0</v>
      </c>
      <c r="AA1033" s="43">
        <f>VLOOKUP(Tabla1[[#This Row],[PAGO DIA]],DIAS!A:K,11,0)</f>
        <v>46356</v>
      </c>
      <c r="AB1033" s="6">
        <v>0</v>
      </c>
      <c r="AC1033" s="43">
        <f>VLOOKUP(Tabla1[[#This Row],[PAGO DIA]],DIAS!A:M,12,0)</f>
        <v>46386</v>
      </c>
      <c r="AD10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4" spans="1:30">
      <c r="A1034" s="3">
        <v>12090</v>
      </c>
      <c r="B1034" s="3" t="s">
        <v>538</v>
      </c>
      <c r="C1034" s="3" t="s">
        <v>540</v>
      </c>
      <c r="D1034" s="3" t="s">
        <v>540</v>
      </c>
      <c r="E1034" s="3" t="s">
        <v>1591</v>
      </c>
      <c r="F1034" s="42" t="s">
        <v>631</v>
      </c>
      <c r="G1034" s="3" t="s">
        <v>1592</v>
      </c>
      <c r="H1034" s="6">
        <v>0</v>
      </c>
      <c r="I1034" s="41">
        <f>VLOOKUP(Tabla1[[#This Row],[PAGO DIA]],DIAS!A:B,2,0)</f>
        <v>46080</v>
      </c>
      <c r="J1034" s="6">
        <v>0</v>
      </c>
      <c r="K1034" s="43">
        <f>VLOOKUP(Tabla1[[#This Row],[PAGO DIA]],DIAS!A:C,3,0)</f>
        <v>46112</v>
      </c>
      <c r="L1034" s="6">
        <v>0</v>
      </c>
      <c r="M1034" s="41">
        <f>VLOOKUP(Tabla1[[#This Row],[PAGO DIA]],DIAS!A:D,4,0)</f>
        <v>46142</v>
      </c>
      <c r="N1034" s="6">
        <v>0</v>
      </c>
      <c r="O1034" s="43">
        <f>VLOOKUP(Tabla1[[#This Row],[PAGO DIA]],DIAS!A:E,5,0)</f>
        <v>46171</v>
      </c>
      <c r="P1034" s="6">
        <v>0</v>
      </c>
      <c r="Q1034" s="43">
        <f>VLOOKUP(Tabla1[[#This Row],[PAGO DIA]],DIAS!A:F,6,0)</f>
        <v>46203</v>
      </c>
      <c r="R1034" s="6">
        <v>0</v>
      </c>
      <c r="S1034" s="43">
        <f>VLOOKUP(Tabla1[[#This Row],[PAGO DIA]],DIAS!A:G,7,0)</f>
        <v>46234</v>
      </c>
      <c r="T1034" s="6">
        <v>0</v>
      </c>
      <c r="U1034" s="43">
        <f>VLOOKUP(Tabla1[[#This Row],[PAGO DIA]],DIAS!A:H,8,0)</f>
        <v>46265</v>
      </c>
      <c r="V1034" s="6">
        <v>0</v>
      </c>
      <c r="W1034" s="43">
        <f>VLOOKUP(Tabla1[[#This Row],[PAGO DIA]],DIAS!A:I,9,0)</f>
        <v>46295</v>
      </c>
      <c r="X1034" s="6">
        <v>0</v>
      </c>
      <c r="Y1034" s="43">
        <f>VLOOKUP(Tabla1[[#This Row],[PAGO DIA]],DIAS!A:J,10,0)</f>
        <v>46325</v>
      </c>
      <c r="Z1034" s="6">
        <v>0</v>
      </c>
      <c r="AA1034" s="43">
        <f>VLOOKUP(Tabla1[[#This Row],[PAGO DIA]],DIAS!A:K,11,0)</f>
        <v>46356</v>
      </c>
      <c r="AB1034" s="6">
        <v>0</v>
      </c>
      <c r="AC1034" s="43">
        <f>VLOOKUP(Tabla1[[#This Row],[PAGO DIA]],DIAS!A:M,12,0)</f>
        <v>46386</v>
      </c>
      <c r="AD10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5" spans="1:30">
      <c r="A1035" s="3">
        <v>11296</v>
      </c>
      <c r="B1035" s="3" t="s">
        <v>538</v>
      </c>
      <c r="C1035" s="3" t="s">
        <v>539</v>
      </c>
      <c r="D1035" s="3" t="s">
        <v>540</v>
      </c>
      <c r="E1035" s="3" t="s">
        <v>804</v>
      </c>
      <c r="F1035" s="42" t="s">
        <v>631</v>
      </c>
      <c r="G1035" s="3"/>
      <c r="H1035" s="6">
        <v>0</v>
      </c>
      <c r="I1035" s="41">
        <f>VLOOKUP(Tabla1[[#This Row],[PAGO DIA]],DIAS!A:B,2,0)</f>
        <v>46080</v>
      </c>
      <c r="J1035" s="6">
        <v>0</v>
      </c>
      <c r="K1035" s="43">
        <f>VLOOKUP(Tabla1[[#This Row],[PAGO DIA]],DIAS!A:C,3,0)</f>
        <v>46112</v>
      </c>
      <c r="L1035" s="6">
        <v>0</v>
      </c>
      <c r="M1035" s="41">
        <f>VLOOKUP(Tabla1[[#This Row],[PAGO DIA]],DIAS!A:D,4,0)</f>
        <v>46142</v>
      </c>
      <c r="N1035" s="6">
        <v>0</v>
      </c>
      <c r="O1035" s="43">
        <f>VLOOKUP(Tabla1[[#This Row],[PAGO DIA]],DIAS!A:E,5,0)</f>
        <v>46171</v>
      </c>
      <c r="P1035" s="6">
        <v>0</v>
      </c>
      <c r="Q1035" s="43">
        <f>VLOOKUP(Tabla1[[#This Row],[PAGO DIA]],DIAS!A:F,6,0)</f>
        <v>46203</v>
      </c>
      <c r="R1035" s="6">
        <v>0</v>
      </c>
      <c r="S1035" s="43">
        <f>VLOOKUP(Tabla1[[#This Row],[PAGO DIA]],DIAS!A:G,7,0)</f>
        <v>46234</v>
      </c>
      <c r="T1035" s="6">
        <v>0</v>
      </c>
      <c r="U1035" s="43">
        <f>VLOOKUP(Tabla1[[#This Row],[PAGO DIA]],DIAS!A:H,8,0)</f>
        <v>46265</v>
      </c>
      <c r="V1035" s="6">
        <v>0</v>
      </c>
      <c r="W1035" s="43">
        <f>VLOOKUP(Tabla1[[#This Row],[PAGO DIA]],DIAS!A:I,9,0)</f>
        <v>46295</v>
      </c>
      <c r="X1035" s="6">
        <v>0</v>
      </c>
      <c r="Y1035" s="43">
        <f>VLOOKUP(Tabla1[[#This Row],[PAGO DIA]],DIAS!A:J,10,0)</f>
        <v>46325</v>
      </c>
      <c r="Z1035" s="6">
        <v>0</v>
      </c>
      <c r="AA1035" s="43">
        <f>VLOOKUP(Tabla1[[#This Row],[PAGO DIA]],DIAS!A:K,11,0)</f>
        <v>46356</v>
      </c>
      <c r="AB1035" s="6">
        <v>0</v>
      </c>
      <c r="AC1035" s="43">
        <f>VLOOKUP(Tabla1[[#This Row],[PAGO DIA]],DIAS!A:M,12,0)</f>
        <v>46386</v>
      </c>
      <c r="AD10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6" spans="1:30">
      <c r="A1036" s="3">
        <v>11410</v>
      </c>
      <c r="B1036" s="3" t="s">
        <v>538</v>
      </c>
      <c r="C1036" s="3" t="s">
        <v>539</v>
      </c>
      <c r="D1036" s="3" t="s">
        <v>540</v>
      </c>
      <c r="E1036" s="3" t="s">
        <v>804</v>
      </c>
      <c r="F1036" s="42" t="s">
        <v>631</v>
      </c>
      <c r="G1036" s="3"/>
      <c r="H1036" s="6">
        <v>0</v>
      </c>
      <c r="I1036" s="41">
        <f>VLOOKUP(Tabla1[[#This Row],[PAGO DIA]],DIAS!A:B,2,0)</f>
        <v>46080</v>
      </c>
      <c r="J1036" s="6">
        <v>0</v>
      </c>
      <c r="K1036" s="43">
        <f>VLOOKUP(Tabla1[[#This Row],[PAGO DIA]],DIAS!A:C,3,0)</f>
        <v>46112</v>
      </c>
      <c r="L1036" s="6">
        <v>0</v>
      </c>
      <c r="M1036" s="41">
        <f>VLOOKUP(Tabla1[[#This Row],[PAGO DIA]],DIAS!A:D,4,0)</f>
        <v>46142</v>
      </c>
      <c r="N1036" s="6">
        <v>0</v>
      </c>
      <c r="O1036" s="43">
        <f>VLOOKUP(Tabla1[[#This Row],[PAGO DIA]],DIAS!A:E,5,0)</f>
        <v>46171</v>
      </c>
      <c r="P1036" s="6">
        <v>0</v>
      </c>
      <c r="Q1036" s="43">
        <f>VLOOKUP(Tabla1[[#This Row],[PAGO DIA]],DIAS!A:F,6,0)</f>
        <v>46203</v>
      </c>
      <c r="R1036" s="6">
        <v>0</v>
      </c>
      <c r="S1036" s="43">
        <f>VLOOKUP(Tabla1[[#This Row],[PAGO DIA]],DIAS!A:G,7,0)</f>
        <v>46234</v>
      </c>
      <c r="T1036" s="6">
        <v>0</v>
      </c>
      <c r="U1036" s="43">
        <f>VLOOKUP(Tabla1[[#This Row],[PAGO DIA]],DIAS!A:H,8,0)</f>
        <v>46265</v>
      </c>
      <c r="V1036" s="6">
        <v>0</v>
      </c>
      <c r="W1036" s="43">
        <f>VLOOKUP(Tabla1[[#This Row],[PAGO DIA]],DIAS!A:I,9,0)</f>
        <v>46295</v>
      </c>
      <c r="X1036" s="6">
        <v>0</v>
      </c>
      <c r="Y1036" s="43">
        <f>VLOOKUP(Tabla1[[#This Row],[PAGO DIA]],DIAS!A:J,10,0)</f>
        <v>46325</v>
      </c>
      <c r="Z1036" s="6">
        <v>0</v>
      </c>
      <c r="AA1036" s="43">
        <f>VLOOKUP(Tabla1[[#This Row],[PAGO DIA]],DIAS!A:K,11,0)</f>
        <v>46356</v>
      </c>
      <c r="AB1036" s="6">
        <v>0</v>
      </c>
      <c r="AC1036" s="43">
        <f>VLOOKUP(Tabla1[[#This Row],[PAGO DIA]],DIAS!A:M,12,0)</f>
        <v>46386</v>
      </c>
      <c r="AD10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7" spans="1:30">
      <c r="A1037" s="3">
        <v>11037</v>
      </c>
      <c r="B1037" s="3" t="s">
        <v>538</v>
      </c>
      <c r="C1037" s="3" t="s">
        <v>539</v>
      </c>
      <c r="D1037" s="3" t="s">
        <v>540</v>
      </c>
      <c r="E1037" s="3" t="s">
        <v>958</v>
      </c>
      <c r="F1037" s="42" t="s">
        <v>631</v>
      </c>
      <c r="G1037" s="3"/>
      <c r="H1037" s="6">
        <v>0</v>
      </c>
      <c r="I1037" s="41">
        <f>VLOOKUP(Tabla1[[#This Row],[PAGO DIA]],DIAS!A:B,2,0)</f>
        <v>46080</v>
      </c>
      <c r="J1037" s="6">
        <v>0</v>
      </c>
      <c r="K1037" s="43">
        <f>VLOOKUP(Tabla1[[#This Row],[PAGO DIA]],DIAS!A:C,3,0)</f>
        <v>46112</v>
      </c>
      <c r="L1037" s="6">
        <v>0</v>
      </c>
      <c r="M1037" s="41">
        <f>VLOOKUP(Tabla1[[#This Row],[PAGO DIA]],DIAS!A:D,4,0)</f>
        <v>46142</v>
      </c>
      <c r="N1037" s="6">
        <v>0</v>
      </c>
      <c r="O1037" s="43">
        <f>VLOOKUP(Tabla1[[#This Row],[PAGO DIA]],DIAS!A:E,5,0)</f>
        <v>46171</v>
      </c>
      <c r="P1037" s="6">
        <v>0</v>
      </c>
      <c r="Q1037" s="43">
        <f>VLOOKUP(Tabla1[[#This Row],[PAGO DIA]],DIAS!A:F,6,0)</f>
        <v>46203</v>
      </c>
      <c r="R1037" s="6">
        <v>0</v>
      </c>
      <c r="S1037" s="43">
        <f>VLOOKUP(Tabla1[[#This Row],[PAGO DIA]],DIAS!A:G,7,0)</f>
        <v>46234</v>
      </c>
      <c r="T1037" s="6">
        <v>0</v>
      </c>
      <c r="U1037" s="43">
        <f>VLOOKUP(Tabla1[[#This Row],[PAGO DIA]],DIAS!A:H,8,0)</f>
        <v>46265</v>
      </c>
      <c r="V1037" s="6">
        <v>0</v>
      </c>
      <c r="W1037" s="43">
        <f>VLOOKUP(Tabla1[[#This Row],[PAGO DIA]],DIAS!A:I,9,0)</f>
        <v>46295</v>
      </c>
      <c r="X1037" s="6">
        <v>0</v>
      </c>
      <c r="Y1037" s="43">
        <f>VLOOKUP(Tabla1[[#This Row],[PAGO DIA]],DIAS!A:J,10,0)</f>
        <v>46325</v>
      </c>
      <c r="Z1037" s="6">
        <v>0</v>
      </c>
      <c r="AA1037" s="43">
        <f>VLOOKUP(Tabla1[[#This Row],[PAGO DIA]],DIAS!A:K,11,0)</f>
        <v>46356</v>
      </c>
      <c r="AB1037" s="6">
        <v>0</v>
      </c>
      <c r="AC1037" s="43">
        <f>VLOOKUP(Tabla1[[#This Row],[PAGO DIA]],DIAS!A:M,12,0)</f>
        <v>46386</v>
      </c>
      <c r="AD10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8" spans="1:30">
      <c r="A1038" s="3">
        <v>11276</v>
      </c>
      <c r="B1038" s="3" t="s">
        <v>538</v>
      </c>
      <c r="C1038" s="3" t="s">
        <v>539</v>
      </c>
      <c r="D1038" s="3" t="s">
        <v>540</v>
      </c>
      <c r="E1038" s="3" t="s">
        <v>958</v>
      </c>
      <c r="F1038" s="42" t="s">
        <v>631</v>
      </c>
      <c r="G1038" s="3"/>
      <c r="H1038" s="6">
        <v>0</v>
      </c>
      <c r="I1038" s="41">
        <f>VLOOKUP(Tabla1[[#This Row],[PAGO DIA]],DIAS!A:B,2,0)</f>
        <v>46080</v>
      </c>
      <c r="J1038" s="6">
        <v>0</v>
      </c>
      <c r="K1038" s="43">
        <f>VLOOKUP(Tabla1[[#This Row],[PAGO DIA]],DIAS!A:C,3,0)</f>
        <v>46112</v>
      </c>
      <c r="L1038" s="6">
        <v>0</v>
      </c>
      <c r="M1038" s="41">
        <f>VLOOKUP(Tabla1[[#This Row],[PAGO DIA]],DIAS!A:D,4,0)</f>
        <v>46142</v>
      </c>
      <c r="N1038" s="6">
        <v>0</v>
      </c>
      <c r="O1038" s="43">
        <f>VLOOKUP(Tabla1[[#This Row],[PAGO DIA]],DIAS!A:E,5,0)</f>
        <v>46171</v>
      </c>
      <c r="P1038" s="6">
        <v>0</v>
      </c>
      <c r="Q1038" s="43">
        <f>VLOOKUP(Tabla1[[#This Row],[PAGO DIA]],DIAS!A:F,6,0)</f>
        <v>46203</v>
      </c>
      <c r="R1038" s="6">
        <v>0</v>
      </c>
      <c r="S1038" s="43">
        <f>VLOOKUP(Tabla1[[#This Row],[PAGO DIA]],DIAS!A:G,7,0)</f>
        <v>46234</v>
      </c>
      <c r="T1038" s="6">
        <v>0</v>
      </c>
      <c r="U1038" s="43">
        <f>VLOOKUP(Tabla1[[#This Row],[PAGO DIA]],DIAS!A:H,8,0)</f>
        <v>46265</v>
      </c>
      <c r="V1038" s="6">
        <v>0</v>
      </c>
      <c r="W1038" s="43">
        <f>VLOOKUP(Tabla1[[#This Row],[PAGO DIA]],DIAS!A:I,9,0)</f>
        <v>46295</v>
      </c>
      <c r="X1038" s="6">
        <v>0</v>
      </c>
      <c r="Y1038" s="43">
        <f>VLOOKUP(Tabla1[[#This Row],[PAGO DIA]],DIAS!A:J,10,0)</f>
        <v>46325</v>
      </c>
      <c r="Z1038" s="6">
        <v>0</v>
      </c>
      <c r="AA1038" s="43">
        <f>VLOOKUP(Tabla1[[#This Row],[PAGO DIA]],DIAS!A:K,11,0)</f>
        <v>46356</v>
      </c>
      <c r="AB1038" s="6">
        <v>0</v>
      </c>
      <c r="AC1038" s="43">
        <f>VLOOKUP(Tabla1[[#This Row],[PAGO DIA]],DIAS!A:M,12,0)</f>
        <v>46386</v>
      </c>
      <c r="AD10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39" spans="1:30">
      <c r="A1039" s="3">
        <v>12652</v>
      </c>
      <c r="B1039" s="3" t="s">
        <v>538</v>
      </c>
      <c r="C1039" s="3" t="s">
        <v>539</v>
      </c>
      <c r="D1039" s="3" t="s">
        <v>540</v>
      </c>
      <c r="E1039" s="3" t="s">
        <v>1593</v>
      </c>
      <c r="F1039" s="42" t="s">
        <v>631</v>
      </c>
      <c r="G1039" s="3" t="s">
        <v>1594</v>
      </c>
      <c r="H1039" s="6">
        <v>0</v>
      </c>
      <c r="I1039" s="41">
        <f>VLOOKUP(Tabla1[[#This Row],[PAGO DIA]],DIAS!A:B,2,0)</f>
        <v>46080</v>
      </c>
      <c r="J1039" s="6">
        <v>0</v>
      </c>
      <c r="K1039" s="43">
        <f>VLOOKUP(Tabla1[[#This Row],[PAGO DIA]],DIAS!A:C,3,0)</f>
        <v>46112</v>
      </c>
      <c r="L1039" s="6">
        <v>0</v>
      </c>
      <c r="M1039" s="41">
        <f>VLOOKUP(Tabla1[[#This Row],[PAGO DIA]],DIAS!A:D,4,0)</f>
        <v>46142</v>
      </c>
      <c r="N1039" s="6">
        <v>0</v>
      </c>
      <c r="O1039" s="43">
        <f>VLOOKUP(Tabla1[[#This Row],[PAGO DIA]],DIAS!A:E,5,0)</f>
        <v>46171</v>
      </c>
      <c r="P1039" s="6">
        <v>0</v>
      </c>
      <c r="Q1039" s="43">
        <f>VLOOKUP(Tabla1[[#This Row],[PAGO DIA]],DIAS!A:F,6,0)</f>
        <v>46203</v>
      </c>
      <c r="R1039" s="6">
        <v>0</v>
      </c>
      <c r="S1039" s="43">
        <f>VLOOKUP(Tabla1[[#This Row],[PAGO DIA]],DIAS!A:G,7,0)</f>
        <v>46234</v>
      </c>
      <c r="T1039" s="6">
        <v>0</v>
      </c>
      <c r="U1039" s="43">
        <f>VLOOKUP(Tabla1[[#This Row],[PAGO DIA]],DIAS!A:H,8,0)</f>
        <v>46265</v>
      </c>
      <c r="V1039" s="6">
        <v>0</v>
      </c>
      <c r="W1039" s="43">
        <f>VLOOKUP(Tabla1[[#This Row],[PAGO DIA]],DIAS!A:I,9,0)</f>
        <v>46295</v>
      </c>
      <c r="X1039" s="6">
        <v>0</v>
      </c>
      <c r="Y1039" s="43">
        <f>VLOOKUP(Tabla1[[#This Row],[PAGO DIA]],DIAS!A:J,10,0)</f>
        <v>46325</v>
      </c>
      <c r="Z1039" s="6">
        <v>0</v>
      </c>
      <c r="AA1039" s="43">
        <f>VLOOKUP(Tabla1[[#This Row],[PAGO DIA]],DIAS!A:K,11,0)</f>
        <v>46356</v>
      </c>
      <c r="AB1039" s="6">
        <v>0</v>
      </c>
      <c r="AC1039" s="43">
        <f>VLOOKUP(Tabla1[[#This Row],[PAGO DIA]],DIAS!A:M,12,0)</f>
        <v>46386</v>
      </c>
      <c r="AD10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0" spans="1:30">
      <c r="A1040" s="3">
        <v>12653</v>
      </c>
      <c r="B1040" s="3" t="s">
        <v>538</v>
      </c>
      <c r="C1040" s="3" t="s">
        <v>539</v>
      </c>
      <c r="D1040" s="3" t="s">
        <v>540</v>
      </c>
      <c r="E1040" s="3" t="s">
        <v>1593</v>
      </c>
      <c r="F1040" s="42" t="s">
        <v>631</v>
      </c>
      <c r="G1040" s="3" t="s">
        <v>1595</v>
      </c>
      <c r="H1040" s="6">
        <v>0</v>
      </c>
      <c r="I1040" s="41">
        <f>VLOOKUP(Tabla1[[#This Row],[PAGO DIA]],DIAS!A:B,2,0)</f>
        <v>46080</v>
      </c>
      <c r="J1040" s="6">
        <v>0</v>
      </c>
      <c r="K1040" s="43">
        <f>VLOOKUP(Tabla1[[#This Row],[PAGO DIA]],DIAS!A:C,3,0)</f>
        <v>46112</v>
      </c>
      <c r="L1040" s="6">
        <v>0</v>
      </c>
      <c r="M1040" s="41">
        <f>VLOOKUP(Tabla1[[#This Row],[PAGO DIA]],DIAS!A:D,4,0)</f>
        <v>46142</v>
      </c>
      <c r="N1040" s="6">
        <v>0</v>
      </c>
      <c r="O1040" s="43">
        <f>VLOOKUP(Tabla1[[#This Row],[PAGO DIA]],DIAS!A:E,5,0)</f>
        <v>46171</v>
      </c>
      <c r="P1040" s="6">
        <v>0</v>
      </c>
      <c r="Q1040" s="43">
        <f>VLOOKUP(Tabla1[[#This Row],[PAGO DIA]],DIAS!A:F,6,0)</f>
        <v>46203</v>
      </c>
      <c r="R1040" s="6">
        <v>0</v>
      </c>
      <c r="S1040" s="43">
        <f>VLOOKUP(Tabla1[[#This Row],[PAGO DIA]],DIAS!A:G,7,0)</f>
        <v>46234</v>
      </c>
      <c r="T1040" s="6">
        <v>0</v>
      </c>
      <c r="U1040" s="43">
        <f>VLOOKUP(Tabla1[[#This Row],[PAGO DIA]],DIAS!A:H,8,0)</f>
        <v>46265</v>
      </c>
      <c r="V1040" s="6">
        <v>0</v>
      </c>
      <c r="W1040" s="43">
        <f>VLOOKUP(Tabla1[[#This Row],[PAGO DIA]],DIAS!A:I,9,0)</f>
        <v>46295</v>
      </c>
      <c r="X1040" s="6">
        <v>0</v>
      </c>
      <c r="Y1040" s="43">
        <f>VLOOKUP(Tabla1[[#This Row],[PAGO DIA]],DIAS!A:J,10,0)</f>
        <v>46325</v>
      </c>
      <c r="Z1040" s="6">
        <v>0</v>
      </c>
      <c r="AA1040" s="43">
        <f>VLOOKUP(Tabla1[[#This Row],[PAGO DIA]],DIAS!A:K,11,0)</f>
        <v>46356</v>
      </c>
      <c r="AB1040" s="6">
        <v>0</v>
      </c>
      <c r="AC1040" s="43">
        <f>VLOOKUP(Tabla1[[#This Row],[PAGO DIA]],DIAS!A:M,12,0)</f>
        <v>46386</v>
      </c>
      <c r="AD10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1" spans="1:30">
      <c r="A1041" s="3">
        <v>11019</v>
      </c>
      <c r="B1041" s="3" t="s">
        <v>538</v>
      </c>
      <c r="C1041" s="3" t="s">
        <v>539</v>
      </c>
      <c r="D1041" s="3" t="s">
        <v>540</v>
      </c>
      <c r="E1041" s="3" t="s">
        <v>1596</v>
      </c>
      <c r="F1041" s="42" t="s">
        <v>631</v>
      </c>
      <c r="G1041" s="3"/>
      <c r="H1041" s="6">
        <v>0</v>
      </c>
      <c r="I1041" s="41">
        <f>VLOOKUP(Tabla1[[#This Row],[PAGO DIA]],DIAS!A:B,2,0)</f>
        <v>46080</v>
      </c>
      <c r="J1041" s="6">
        <v>0</v>
      </c>
      <c r="K1041" s="43">
        <f>VLOOKUP(Tabla1[[#This Row],[PAGO DIA]],DIAS!A:C,3,0)</f>
        <v>46112</v>
      </c>
      <c r="L1041" s="6">
        <v>0</v>
      </c>
      <c r="M1041" s="41">
        <f>VLOOKUP(Tabla1[[#This Row],[PAGO DIA]],DIAS!A:D,4,0)</f>
        <v>46142</v>
      </c>
      <c r="N1041" s="6">
        <v>0</v>
      </c>
      <c r="O1041" s="43">
        <f>VLOOKUP(Tabla1[[#This Row],[PAGO DIA]],DIAS!A:E,5,0)</f>
        <v>46171</v>
      </c>
      <c r="P1041" s="6">
        <v>0</v>
      </c>
      <c r="Q1041" s="43">
        <f>VLOOKUP(Tabla1[[#This Row],[PAGO DIA]],DIAS!A:F,6,0)</f>
        <v>46203</v>
      </c>
      <c r="R1041" s="6">
        <v>0</v>
      </c>
      <c r="S1041" s="43">
        <f>VLOOKUP(Tabla1[[#This Row],[PAGO DIA]],DIAS!A:G,7,0)</f>
        <v>46234</v>
      </c>
      <c r="T1041" s="6">
        <v>0</v>
      </c>
      <c r="U1041" s="43">
        <f>VLOOKUP(Tabla1[[#This Row],[PAGO DIA]],DIAS!A:H,8,0)</f>
        <v>46265</v>
      </c>
      <c r="V1041" s="6">
        <v>0</v>
      </c>
      <c r="W1041" s="43">
        <f>VLOOKUP(Tabla1[[#This Row],[PAGO DIA]],DIAS!A:I,9,0)</f>
        <v>46295</v>
      </c>
      <c r="X1041" s="6">
        <v>0</v>
      </c>
      <c r="Y1041" s="43">
        <f>VLOOKUP(Tabla1[[#This Row],[PAGO DIA]],DIAS!A:J,10,0)</f>
        <v>46325</v>
      </c>
      <c r="Z1041" s="6">
        <v>0</v>
      </c>
      <c r="AA1041" s="43">
        <f>VLOOKUP(Tabla1[[#This Row],[PAGO DIA]],DIAS!A:K,11,0)</f>
        <v>46356</v>
      </c>
      <c r="AB1041" s="6">
        <v>0</v>
      </c>
      <c r="AC1041" s="43">
        <f>VLOOKUP(Tabla1[[#This Row],[PAGO DIA]],DIAS!A:M,12,0)</f>
        <v>46386</v>
      </c>
      <c r="AD10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2" spans="1:30">
      <c r="A1042" s="3">
        <v>11246</v>
      </c>
      <c r="B1042" s="3" t="s">
        <v>538</v>
      </c>
      <c r="C1042" s="3" t="s">
        <v>539</v>
      </c>
      <c r="D1042" s="3" t="s">
        <v>540</v>
      </c>
      <c r="E1042" s="3" t="s">
        <v>1596</v>
      </c>
      <c r="F1042" s="42" t="s">
        <v>631</v>
      </c>
      <c r="G1042" s="3"/>
      <c r="H1042" s="6">
        <v>0</v>
      </c>
      <c r="I1042" s="41">
        <f>VLOOKUP(Tabla1[[#This Row],[PAGO DIA]],DIAS!A:B,2,0)</f>
        <v>46080</v>
      </c>
      <c r="J1042" s="6">
        <v>0</v>
      </c>
      <c r="K1042" s="43">
        <f>VLOOKUP(Tabla1[[#This Row],[PAGO DIA]],DIAS!A:C,3,0)</f>
        <v>46112</v>
      </c>
      <c r="L1042" s="6">
        <v>0</v>
      </c>
      <c r="M1042" s="41">
        <f>VLOOKUP(Tabla1[[#This Row],[PAGO DIA]],DIAS!A:D,4,0)</f>
        <v>46142</v>
      </c>
      <c r="N1042" s="6">
        <v>0</v>
      </c>
      <c r="O1042" s="43">
        <f>VLOOKUP(Tabla1[[#This Row],[PAGO DIA]],DIAS!A:E,5,0)</f>
        <v>46171</v>
      </c>
      <c r="P1042" s="6">
        <v>0</v>
      </c>
      <c r="Q1042" s="43">
        <f>VLOOKUP(Tabla1[[#This Row],[PAGO DIA]],DIAS!A:F,6,0)</f>
        <v>46203</v>
      </c>
      <c r="R1042" s="6">
        <v>0</v>
      </c>
      <c r="S1042" s="43">
        <f>VLOOKUP(Tabla1[[#This Row],[PAGO DIA]],DIAS!A:G,7,0)</f>
        <v>46234</v>
      </c>
      <c r="T1042" s="6">
        <v>0</v>
      </c>
      <c r="U1042" s="43">
        <f>VLOOKUP(Tabla1[[#This Row],[PAGO DIA]],DIAS!A:H,8,0)</f>
        <v>46265</v>
      </c>
      <c r="V1042" s="6">
        <v>0</v>
      </c>
      <c r="W1042" s="43">
        <f>VLOOKUP(Tabla1[[#This Row],[PAGO DIA]],DIAS!A:I,9,0)</f>
        <v>46295</v>
      </c>
      <c r="X1042" s="6">
        <v>0</v>
      </c>
      <c r="Y1042" s="43">
        <f>VLOOKUP(Tabla1[[#This Row],[PAGO DIA]],DIAS!A:J,10,0)</f>
        <v>46325</v>
      </c>
      <c r="Z1042" s="6">
        <v>0</v>
      </c>
      <c r="AA1042" s="43">
        <f>VLOOKUP(Tabla1[[#This Row],[PAGO DIA]],DIAS!A:K,11,0)</f>
        <v>46356</v>
      </c>
      <c r="AB1042" s="6">
        <v>0</v>
      </c>
      <c r="AC1042" s="43">
        <f>VLOOKUP(Tabla1[[#This Row],[PAGO DIA]],DIAS!A:M,12,0)</f>
        <v>46386</v>
      </c>
      <c r="AD10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3" spans="1:30">
      <c r="A1043" s="3">
        <v>11322</v>
      </c>
      <c r="B1043" s="3" t="s">
        <v>538</v>
      </c>
      <c r="C1043" s="3" t="s">
        <v>539</v>
      </c>
      <c r="D1043" s="3" t="s">
        <v>540</v>
      </c>
      <c r="E1043" s="3" t="s">
        <v>1596</v>
      </c>
      <c r="F1043" s="42" t="s">
        <v>631</v>
      </c>
      <c r="G1043" s="3"/>
      <c r="H1043" s="6">
        <v>0</v>
      </c>
      <c r="I1043" s="41">
        <f>VLOOKUP(Tabla1[[#This Row],[PAGO DIA]],DIAS!A:B,2,0)</f>
        <v>46080</v>
      </c>
      <c r="J1043" s="6">
        <v>0</v>
      </c>
      <c r="K1043" s="43">
        <f>VLOOKUP(Tabla1[[#This Row],[PAGO DIA]],DIAS!A:C,3,0)</f>
        <v>46112</v>
      </c>
      <c r="L1043" s="6">
        <v>0</v>
      </c>
      <c r="M1043" s="41">
        <f>VLOOKUP(Tabla1[[#This Row],[PAGO DIA]],DIAS!A:D,4,0)</f>
        <v>46142</v>
      </c>
      <c r="N1043" s="6">
        <v>0</v>
      </c>
      <c r="O1043" s="43">
        <f>VLOOKUP(Tabla1[[#This Row],[PAGO DIA]],DIAS!A:E,5,0)</f>
        <v>46171</v>
      </c>
      <c r="P1043" s="6">
        <v>0</v>
      </c>
      <c r="Q1043" s="43">
        <f>VLOOKUP(Tabla1[[#This Row],[PAGO DIA]],DIAS!A:F,6,0)</f>
        <v>46203</v>
      </c>
      <c r="R1043" s="6">
        <v>0</v>
      </c>
      <c r="S1043" s="43">
        <f>VLOOKUP(Tabla1[[#This Row],[PAGO DIA]],DIAS!A:G,7,0)</f>
        <v>46234</v>
      </c>
      <c r="T1043" s="6">
        <v>0</v>
      </c>
      <c r="U1043" s="43">
        <f>VLOOKUP(Tabla1[[#This Row],[PAGO DIA]],DIAS!A:H,8,0)</f>
        <v>46265</v>
      </c>
      <c r="V1043" s="6">
        <v>0</v>
      </c>
      <c r="W1043" s="43">
        <f>VLOOKUP(Tabla1[[#This Row],[PAGO DIA]],DIAS!A:I,9,0)</f>
        <v>46295</v>
      </c>
      <c r="X1043" s="6">
        <v>0</v>
      </c>
      <c r="Y1043" s="43">
        <f>VLOOKUP(Tabla1[[#This Row],[PAGO DIA]],DIAS!A:J,10,0)</f>
        <v>46325</v>
      </c>
      <c r="Z1043" s="6">
        <v>0</v>
      </c>
      <c r="AA1043" s="43">
        <f>VLOOKUP(Tabla1[[#This Row],[PAGO DIA]],DIAS!A:K,11,0)</f>
        <v>46356</v>
      </c>
      <c r="AB1043" s="6">
        <v>0</v>
      </c>
      <c r="AC1043" s="43">
        <f>VLOOKUP(Tabla1[[#This Row],[PAGO DIA]],DIAS!A:M,12,0)</f>
        <v>46386</v>
      </c>
      <c r="AD10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4" spans="1:30">
      <c r="A1044" s="3">
        <v>11023</v>
      </c>
      <c r="B1044" s="3" t="s">
        <v>538</v>
      </c>
      <c r="C1044" s="3" t="s">
        <v>539</v>
      </c>
      <c r="D1044" s="3" t="s">
        <v>540</v>
      </c>
      <c r="E1044" s="3" t="s">
        <v>823</v>
      </c>
      <c r="F1044" s="42" t="s">
        <v>631</v>
      </c>
      <c r="G1044" s="3"/>
      <c r="H1044" s="6">
        <v>0</v>
      </c>
      <c r="I1044" s="41">
        <f>VLOOKUP(Tabla1[[#This Row],[PAGO DIA]],DIAS!A:B,2,0)</f>
        <v>46080</v>
      </c>
      <c r="J1044" s="6">
        <v>0</v>
      </c>
      <c r="K1044" s="43">
        <f>VLOOKUP(Tabla1[[#This Row],[PAGO DIA]],DIAS!A:C,3,0)</f>
        <v>46112</v>
      </c>
      <c r="L1044" s="6">
        <v>0</v>
      </c>
      <c r="M1044" s="41">
        <f>VLOOKUP(Tabla1[[#This Row],[PAGO DIA]],DIAS!A:D,4,0)</f>
        <v>46142</v>
      </c>
      <c r="N1044" s="6">
        <v>0</v>
      </c>
      <c r="O1044" s="43">
        <f>VLOOKUP(Tabla1[[#This Row],[PAGO DIA]],DIAS!A:E,5,0)</f>
        <v>46171</v>
      </c>
      <c r="P1044" s="6">
        <v>0</v>
      </c>
      <c r="Q1044" s="43">
        <f>VLOOKUP(Tabla1[[#This Row],[PAGO DIA]],DIAS!A:F,6,0)</f>
        <v>46203</v>
      </c>
      <c r="R1044" s="6">
        <v>0</v>
      </c>
      <c r="S1044" s="43">
        <f>VLOOKUP(Tabla1[[#This Row],[PAGO DIA]],DIAS!A:G,7,0)</f>
        <v>46234</v>
      </c>
      <c r="T1044" s="6">
        <v>0</v>
      </c>
      <c r="U1044" s="43">
        <f>VLOOKUP(Tabla1[[#This Row],[PAGO DIA]],DIAS!A:H,8,0)</f>
        <v>46265</v>
      </c>
      <c r="V1044" s="6">
        <v>0</v>
      </c>
      <c r="W1044" s="43">
        <f>VLOOKUP(Tabla1[[#This Row],[PAGO DIA]],DIAS!A:I,9,0)</f>
        <v>46295</v>
      </c>
      <c r="X1044" s="6">
        <v>0</v>
      </c>
      <c r="Y1044" s="43">
        <f>VLOOKUP(Tabla1[[#This Row],[PAGO DIA]],DIAS!A:J,10,0)</f>
        <v>46325</v>
      </c>
      <c r="Z1044" s="6">
        <v>0</v>
      </c>
      <c r="AA1044" s="43">
        <f>VLOOKUP(Tabla1[[#This Row],[PAGO DIA]],DIAS!A:K,11,0)</f>
        <v>46356</v>
      </c>
      <c r="AB1044" s="6">
        <v>0</v>
      </c>
      <c r="AC1044" s="43">
        <f>VLOOKUP(Tabla1[[#This Row],[PAGO DIA]],DIAS!A:M,12,0)</f>
        <v>46386</v>
      </c>
      <c r="AD10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5" spans="1:30">
      <c r="A1045" s="3">
        <v>11167</v>
      </c>
      <c r="B1045" s="3" t="s">
        <v>538</v>
      </c>
      <c r="C1045" s="3" t="s">
        <v>539</v>
      </c>
      <c r="D1045" s="3" t="s">
        <v>540</v>
      </c>
      <c r="E1045" s="3" t="s">
        <v>823</v>
      </c>
      <c r="F1045" s="42" t="s">
        <v>631</v>
      </c>
      <c r="G1045" s="3"/>
      <c r="H1045" s="6">
        <v>0</v>
      </c>
      <c r="I1045" s="41">
        <f>VLOOKUP(Tabla1[[#This Row],[PAGO DIA]],DIAS!A:B,2,0)</f>
        <v>46080</v>
      </c>
      <c r="J1045" s="6">
        <v>0</v>
      </c>
      <c r="K1045" s="43">
        <f>VLOOKUP(Tabla1[[#This Row],[PAGO DIA]],DIAS!A:C,3,0)</f>
        <v>46112</v>
      </c>
      <c r="L1045" s="6">
        <v>0</v>
      </c>
      <c r="M1045" s="41">
        <f>VLOOKUP(Tabla1[[#This Row],[PAGO DIA]],DIAS!A:D,4,0)</f>
        <v>46142</v>
      </c>
      <c r="N1045" s="6">
        <v>0</v>
      </c>
      <c r="O1045" s="43">
        <f>VLOOKUP(Tabla1[[#This Row],[PAGO DIA]],DIAS!A:E,5,0)</f>
        <v>46171</v>
      </c>
      <c r="P1045" s="6">
        <v>0</v>
      </c>
      <c r="Q1045" s="43">
        <f>VLOOKUP(Tabla1[[#This Row],[PAGO DIA]],DIAS!A:F,6,0)</f>
        <v>46203</v>
      </c>
      <c r="R1045" s="6">
        <v>0</v>
      </c>
      <c r="S1045" s="43">
        <f>VLOOKUP(Tabla1[[#This Row],[PAGO DIA]],DIAS!A:G,7,0)</f>
        <v>46234</v>
      </c>
      <c r="T1045" s="6">
        <v>0</v>
      </c>
      <c r="U1045" s="43">
        <f>VLOOKUP(Tabla1[[#This Row],[PAGO DIA]],DIAS!A:H,8,0)</f>
        <v>46265</v>
      </c>
      <c r="V1045" s="6">
        <v>0</v>
      </c>
      <c r="W1045" s="43">
        <f>VLOOKUP(Tabla1[[#This Row],[PAGO DIA]],DIAS!A:I,9,0)</f>
        <v>46295</v>
      </c>
      <c r="X1045" s="6">
        <v>0</v>
      </c>
      <c r="Y1045" s="43">
        <f>VLOOKUP(Tabla1[[#This Row],[PAGO DIA]],DIAS!A:J,10,0)</f>
        <v>46325</v>
      </c>
      <c r="Z1045" s="6">
        <v>0</v>
      </c>
      <c r="AA1045" s="43">
        <f>VLOOKUP(Tabla1[[#This Row],[PAGO DIA]],DIAS!A:K,11,0)</f>
        <v>46356</v>
      </c>
      <c r="AB1045" s="6">
        <v>0</v>
      </c>
      <c r="AC1045" s="43">
        <f>VLOOKUP(Tabla1[[#This Row],[PAGO DIA]],DIAS!A:M,12,0)</f>
        <v>46386</v>
      </c>
      <c r="AD10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6" spans="1:30">
      <c r="A1046" s="3">
        <v>11251</v>
      </c>
      <c r="B1046" s="3" t="s">
        <v>538</v>
      </c>
      <c r="C1046" s="3" t="s">
        <v>539</v>
      </c>
      <c r="D1046" s="3" t="s">
        <v>540</v>
      </c>
      <c r="E1046" s="3" t="s">
        <v>823</v>
      </c>
      <c r="F1046" s="42" t="s">
        <v>631</v>
      </c>
      <c r="G1046" s="3"/>
      <c r="H1046" s="6">
        <v>0</v>
      </c>
      <c r="I1046" s="41">
        <f>VLOOKUP(Tabla1[[#This Row],[PAGO DIA]],DIAS!A:B,2,0)</f>
        <v>46080</v>
      </c>
      <c r="J1046" s="6">
        <v>0</v>
      </c>
      <c r="K1046" s="43">
        <f>VLOOKUP(Tabla1[[#This Row],[PAGO DIA]],DIAS!A:C,3,0)</f>
        <v>46112</v>
      </c>
      <c r="L1046" s="6">
        <v>0</v>
      </c>
      <c r="M1046" s="41">
        <f>VLOOKUP(Tabla1[[#This Row],[PAGO DIA]],DIAS!A:D,4,0)</f>
        <v>46142</v>
      </c>
      <c r="N1046" s="6">
        <v>0</v>
      </c>
      <c r="O1046" s="43">
        <f>VLOOKUP(Tabla1[[#This Row],[PAGO DIA]],DIAS!A:E,5,0)</f>
        <v>46171</v>
      </c>
      <c r="P1046" s="6">
        <v>0</v>
      </c>
      <c r="Q1046" s="43">
        <f>VLOOKUP(Tabla1[[#This Row],[PAGO DIA]],DIAS!A:F,6,0)</f>
        <v>46203</v>
      </c>
      <c r="R1046" s="6">
        <v>0</v>
      </c>
      <c r="S1046" s="43">
        <f>VLOOKUP(Tabla1[[#This Row],[PAGO DIA]],DIAS!A:G,7,0)</f>
        <v>46234</v>
      </c>
      <c r="T1046" s="6">
        <v>0</v>
      </c>
      <c r="U1046" s="43">
        <f>VLOOKUP(Tabla1[[#This Row],[PAGO DIA]],DIAS!A:H,8,0)</f>
        <v>46265</v>
      </c>
      <c r="V1046" s="6">
        <v>0</v>
      </c>
      <c r="W1046" s="43">
        <f>VLOOKUP(Tabla1[[#This Row],[PAGO DIA]],DIAS!A:I,9,0)</f>
        <v>46295</v>
      </c>
      <c r="X1046" s="6">
        <v>0</v>
      </c>
      <c r="Y1046" s="43">
        <f>VLOOKUP(Tabla1[[#This Row],[PAGO DIA]],DIAS!A:J,10,0)</f>
        <v>46325</v>
      </c>
      <c r="Z1046" s="6">
        <v>0</v>
      </c>
      <c r="AA1046" s="43">
        <f>VLOOKUP(Tabla1[[#This Row],[PAGO DIA]],DIAS!A:K,11,0)</f>
        <v>46356</v>
      </c>
      <c r="AB1046" s="6">
        <v>0</v>
      </c>
      <c r="AC1046" s="43">
        <f>VLOOKUP(Tabla1[[#This Row],[PAGO DIA]],DIAS!A:M,12,0)</f>
        <v>46386</v>
      </c>
      <c r="AD10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7" spans="1:30">
      <c r="A1047" s="3">
        <v>11178</v>
      </c>
      <c r="B1047" s="3" t="s">
        <v>538</v>
      </c>
      <c r="C1047" s="3" t="s">
        <v>539</v>
      </c>
      <c r="D1047" s="3" t="s">
        <v>540</v>
      </c>
      <c r="E1047" s="3" t="s">
        <v>1078</v>
      </c>
      <c r="F1047" s="42" t="s">
        <v>631</v>
      </c>
      <c r="G1047" s="3"/>
      <c r="H1047" s="6">
        <v>0</v>
      </c>
      <c r="I1047" s="41">
        <f>VLOOKUP(Tabla1[[#This Row],[PAGO DIA]],DIAS!A:B,2,0)</f>
        <v>46080</v>
      </c>
      <c r="J1047" s="6">
        <v>0</v>
      </c>
      <c r="K1047" s="43">
        <f>VLOOKUP(Tabla1[[#This Row],[PAGO DIA]],DIAS!A:C,3,0)</f>
        <v>46112</v>
      </c>
      <c r="L1047" s="6">
        <v>0</v>
      </c>
      <c r="M1047" s="41">
        <f>VLOOKUP(Tabla1[[#This Row],[PAGO DIA]],DIAS!A:D,4,0)</f>
        <v>46142</v>
      </c>
      <c r="N1047" s="6">
        <v>0</v>
      </c>
      <c r="O1047" s="43">
        <f>VLOOKUP(Tabla1[[#This Row],[PAGO DIA]],DIAS!A:E,5,0)</f>
        <v>46171</v>
      </c>
      <c r="P1047" s="6">
        <v>0</v>
      </c>
      <c r="Q1047" s="43">
        <f>VLOOKUP(Tabla1[[#This Row],[PAGO DIA]],DIAS!A:F,6,0)</f>
        <v>46203</v>
      </c>
      <c r="R1047" s="6">
        <v>0</v>
      </c>
      <c r="S1047" s="43">
        <f>VLOOKUP(Tabla1[[#This Row],[PAGO DIA]],DIAS!A:G,7,0)</f>
        <v>46234</v>
      </c>
      <c r="T1047" s="6">
        <v>0</v>
      </c>
      <c r="U1047" s="43">
        <f>VLOOKUP(Tabla1[[#This Row],[PAGO DIA]],DIAS!A:H,8,0)</f>
        <v>46265</v>
      </c>
      <c r="V1047" s="6">
        <v>0</v>
      </c>
      <c r="W1047" s="43">
        <f>VLOOKUP(Tabla1[[#This Row],[PAGO DIA]],DIAS!A:I,9,0)</f>
        <v>46295</v>
      </c>
      <c r="X1047" s="6">
        <v>0</v>
      </c>
      <c r="Y1047" s="43">
        <f>VLOOKUP(Tabla1[[#This Row],[PAGO DIA]],DIAS!A:J,10,0)</f>
        <v>46325</v>
      </c>
      <c r="Z1047" s="6">
        <v>0</v>
      </c>
      <c r="AA1047" s="43">
        <f>VLOOKUP(Tabla1[[#This Row],[PAGO DIA]],DIAS!A:K,11,0)</f>
        <v>46356</v>
      </c>
      <c r="AB1047" s="6">
        <v>0</v>
      </c>
      <c r="AC1047" s="43">
        <f>VLOOKUP(Tabla1[[#This Row],[PAGO DIA]],DIAS!A:M,12,0)</f>
        <v>46386</v>
      </c>
      <c r="AD10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8" spans="1:30">
      <c r="A1048" s="3">
        <v>11179</v>
      </c>
      <c r="B1048" s="3" t="s">
        <v>538</v>
      </c>
      <c r="C1048" s="3" t="s">
        <v>539</v>
      </c>
      <c r="D1048" s="3" t="s">
        <v>540</v>
      </c>
      <c r="E1048" s="3" t="s">
        <v>1078</v>
      </c>
      <c r="F1048" s="42" t="s">
        <v>631</v>
      </c>
      <c r="G1048" s="3"/>
      <c r="H1048" s="6">
        <v>0</v>
      </c>
      <c r="I1048" s="41">
        <f>VLOOKUP(Tabla1[[#This Row],[PAGO DIA]],DIAS!A:B,2,0)</f>
        <v>46080</v>
      </c>
      <c r="J1048" s="6">
        <v>0</v>
      </c>
      <c r="K1048" s="43">
        <f>VLOOKUP(Tabla1[[#This Row],[PAGO DIA]],DIAS!A:C,3,0)</f>
        <v>46112</v>
      </c>
      <c r="L1048" s="6">
        <v>0</v>
      </c>
      <c r="M1048" s="41">
        <f>VLOOKUP(Tabla1[[#This Row],[PAGO DIA]],DIAS!A:D,4,0)</f>
        <v>46142</v>
      </c>
      <c r="N1048" s="6">
        <v>0</v>
      </c>
      <c r="O1048" s="43">
        <f>VLOOKUP(Tabla1[[#This Row],[PAGO DIA]],DIAS!A:E,5,0)</f>
        <v>46171</v>
      </c>
      <c r="P1048" s="6">
        <v>0</v>
      </c>
      <c r="Q1048" s="43">
        <f>VLOOKUP(Tabla1[[#This Row],[PAGO DIA]],DIAS!A:F,6,0)</f>
        <v>46203</v>
      </c>
      <c r="R1048" s="6">
        <v>0</v>
      </c>
      <c r="S1048" s="43">
        <f>VLOOKUP(Tabla1[[#This Row],[PAGO DIA]],DIAS!A:G,7,0)</f>
        <v>46234</v>
      </c>
      <c r="T1048" s="6">
        <v>0</v>
      </c>
      <c r="U1048" s="43">
        <f>VLOOKUP(Tabla1[[#This Row],[PAGO DIA]],DIAS!A:H,8,0)</f>
        <v>46265</v>
      </c>
      <c r="V1048" s="6">
        <v>0</v>
      </c>
      <c r="W1048" s="43">
        <f>VLOOKUP(Tabla1[[#This Row],[PAGO DIA]],DIAS!A:I,9,0)</f>
        <v>46295</v>
      </c>
      <c r="X1048" s="6">
        <v>0</v>
      </c>
      <c r="Y1048" s="43">
        <f>VLOOKUP(Tabla1[[#This Row],[PAGO DIA]],DIAS!A:J,10,0)</f>
        <v>46325</v>
      </c>
      <c r="Z1048" s="6">
        <v>0</v>
      </c>
      <c r="AA1048" s="43">
        <f>VLOOKUP(Tabla1[[#This Row],[PAGO DIA]],DIAS!A:K,11,0)</f>
        <v>46356</v>
      </c>
      <c r="AB1048" s="6">
        <v>0</v>
      </c>
      <c r="AC1048" s="43">
        <f>VLOOKUP(Tabla1[[#This Row],[PAGO DIA]],DIAS!A:M,12,0)</f>
        <v>46386</v>
      </c>
      <c r="AD10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49" spans="1:30">
      <c r="A1049" s="3">
        <v>11767</v>
      </c>
      <c r="B1049" s="3" t="s">
        <v>538</v>
      </c>
      <c r="C1049" s="3" t="s">
        <v>540</v>
      </c>
      <c r="D1049" s="3" t="s">
        <v>540</v>
      </c>
      <c r="E1049" s="3" t="s">
        <v>1078</v>
      </c>
      <c r="F1049" s="42" t="s">
        <v>631</v>
      </c>
      <c r="G1049" s="3" t="s">
        <v>1597</v>
      </c>
      <c r="H1049" s="6">
        <v>0</v>
      </c>
      <c r="I1049" s="41">
        <f>VLOOKUP(Tabla1[[#This Row],[PAGO DIA]],DIAS!A:B,2,0)</f>
        <v>46080</v>
      </c>
      <c r="J1049" s="6">
        <v>0</v>
      </c>
      <c r="K1049" s="43">
        <f>VLOOKUP(Tabla1[[#This Row],[PAGO DIA]],DIAS!A:C,3,0)</f>
        <v>46112</v>
      </c>
      <c r="L1049" s="6">
        <v>0</v>
      </c>
      <c r="M1049" s="41">
        <f>VLOOKUP(Tabla1[[#This Row],[PAGO DIA]],DIAS!A:D,4,0)</f>
        <v>46142</v>
      </c>
      <c r="N1049" s="6">
        <v>0</v>
      </c>
      <c r="O1049" s="43">
        <f>VLOOKUP(Tabla1[[#This Row],[PAGO DIA]],DIAS!A:E,5,0)</f>
        <v>46171</v>
      </c>
      <c r="P1049" s="6">
        <v>0</v>
      </c>
      <c r="Q1049" s="43">
        <f>VLOOKUP(Tabla1[[#This Row],[PAGO DIA]],DIAS!A:F,6,0)</f>
        <v>46203</v>
      </c>
      <c r="R1049" s="6">
        <v>0</v>
      </c>
      <c r="S1049" s="43">
        <f>VLOOKUP(Tabla1[[#This Row],[PAGO DIA]],DIAS!A:G,7,0)</f>
        <v>46234</v>
      </c>
      <c r="T1049" s="6">
        <v>0</v>
      </c>
      <c r="U1049" s="43">
        <f>VLOOKUP(Tabla1[[#This Row],[PAGO DIA]],DIAS!A:H,8,0)</f>
        <v>46265</v>
      </c>
      <c r="V1049" s="6">
        <v>0</v>
      </c>
      <c r="W1049" s="43">
        <f>VLOOKUP(Tabla1[[#This Row],[PAGO DIA]],DIAS!A:I,9,0)</f>
        <v>46295</v>
      </c>
      <c r="X1049" s="6">
        <v>0</v>
      </c>
      <c r="Y1049" s="43">
        <f>VLOOKUP(Tabla1[[#This Row],[PAGO DIA]],DIAS!A:J,10,0)</f>
        <v>46325</v>
      </c>
      <c r="Z1049" s="6">
        <v>0</v>
      </c>
      <c r="AA1049" s="43">
        <f>VLOOKUP(Tabla1[[#This Row],[PAGO DIA]],DIAS!A:K,11,0)</f>
        <v>46356</v>
      </c>
      <c r="AB1049" s="6">
        <v>0</v>
      </c>
      <c r="AC1049" s="43">
        <f>VLOOKUP(Tabla1[[#This Row],[PAGO DIA]],DIAS!A:M,12,0)</f>
        <v>46386</v>
      </c>
      <c r="AD10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0" spans="1:30">
      <c r="A1050" s="3">
        <v>11769</v>
      </c>
      <c r="B1050" s="3" t="s">
        <v>538</v>
      </c>
      <c r="C1050" s="3" t="s">
        <v>540</v>
      </c>
      <c r="D1050" s="3" t="s">
        <v>540</v>
      </c>
      <c r="E1050" s="3" t="s">
        <v>1078</v>
      </c>
      <c r="F1050" s="42" t="s">
        <v>631</v>
      </c>
      <c r="G1050" s="3" t="s">
        <v>1598</v>
      </c>
      <c r="H1050" s="6">
        <v>0</v>
      </c>
      <c r="I1050" s="41">
        <f>VLOOKUP(Tabla1[[#This Row],[PAGO DIA]],DIAS!A:B,2,0)</f>
        <v>46080</v>
      </c>
      <c r="J1050" s="6">
        <v>0</v>
      </c>
      <c r="K1050" s="43">
        <f>VLOOKUP(Tabla1[[#This Row],[PAGO DIA]],DIAS!A:C,3,0)</f>
        <v>46112</v>
      </c>
      <c r="L1050" s="6">
        <v>0</v>
      </c>
      <c r="M1050" s="41">
        <f>VLOOKUP(Tabla1[[#This Row],[PAGO DIA]],DIAS!A:D,4,0)</f>
        <v>46142</v>
      </c>
      <c r="N1050" s="6">
        <v>0</v>
      </c>
      <c r="O1050" s="43">
        <f>VLOOKUP(Tabla1[[#This Row],[PAGO DIA]],DIAS!A:E,5,0)</f>
        <v>46171</v>
      </c>
      <c r="P1050" s="6">
        <v>0</v>
      </c>
      <c r="Q1050" s="43">
        <f>VLOOKUP(Tabla1[[#This Row],[PAGO DIA]],DIAS!A:F,6,0)</f>
        <v>46203</v>
      </c>
      <c r="R1050" s="6">
        <v>0</v>
      </c>
      <c r="S1050" s="43">
        <f>VLOOKUP(Tabla1[[#This Row],[PAGO DIA]],DIAS!A:G,7,0)</f>
        <v>46234</v>
      </c>
      <c r="T1050" s="6">
        <v>0</v>
      </c>
      <c r="U1050" s="43">
        <f>VLOOKUP(Tabla1[[#This Row],[PAGO DIA]],DIAS!A:H,8,0)</f>
        <v>46265</v>
      </c>
      <c r="V1050" s="6">
        <v>0</v>
      </c>
      <c r="W1050" s="43">
        <f>VLOOKUP(Tabla1[[#This Row],[PAGO DIA]],DIAS!A:I,9,0)</f>
        <v>46295</v>
      </c>
      <c r="X1050" s="6">
        <v>0</v>
      </c>
      <c r="Y1050" s="43">
        <f>VLOOKUP(Tabla1[[#This Row],[PAGO DIA]],DIAS!A:J,10,0)</f>
        <v>46325</v>
      </c>
      <c r="Z1050" s="6">
        <v>0</v>
      </c>
      <c r="AA1050" s="43">
        <f>VLOOKUP(Tabla1[[#This Row],[PAGO DIA]],DIAS!A:K,11,0)</f>
        <v>46356</v>
      </c>
      <c r="AB1050" s="6">
        <v>0</v>
      </c>
      <c r="AC1050" s="43">
        <f>VLOOKUP(Tabla1[[#This Row],[PAGO DIA]],DIAS!A:M,12,0)</f>
        <v>46386</v>
      </c>
      <c r="AD10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1" spans="1:30">
      <c r="A1051" s="3">
        <v>11770</v>
      </c>
      <c r="B1051" s="3" t="s">
        <v>538</v>
      </c>
      <c r="C1051" s="3" t="s">
        <v>540</v>
      </c>
      <c r="D1051" s="3" t="s">
        <v>540</v>
      </c>
      <c r="E1051" s="3" t="s">
        <v>1078</v>
      </c>
      <c r="F1051" s="42" t="s">
        <v>631</v>
      </c>
      <c r="G1051" s="3" t="s">
        <v>1599</v>
      </c>
      <c r="H1051" s="6">
        <v>0</v>
      </c>
      <c r="I1051" s="41">
        <f>VLOOKUP(Tabla1[[#This Row],[PAGO DIA]],DIAS!A:B,2,0)</f>
        <v>46080</v>
      </c>
      <c r="J1051" s="6">
        <v>0</v>
      </c>
      <c r="K1051" s="43">
        <f>VLOOKUP(Tabla1[[#This Row],[PAGO DIA]],DIAS!A:C,3,0)</f>
        <v>46112</v>
      </c>
      <c r="L1051" s="6">
        <v>0</v>
      </c>
      <c r="M1051" s="41">
        <f>VLOOKUP(Tabla1[[#This Row],[PAGO DIA]],DIAS!A:D,4,0)</f>
        <v>46142</v>
      </c>
      <c r="N1051" s="6">
        <v>0</v>
      </c>
      <c r="O1051" s="43">
        <f>VLOOKUP(Tabla1[[#This Row],[PAGO DIA]],DIAS!A:E,5,0)</f>
        <v>46171</v>
      </c>
      <c r="P1051" s="6">
        <v>0</v>
      </c>
      <c r="Q1051" s="43">
        <f>VLOOKUP(Tabla1[[#This Row],[PAGO DIA]],DIAS!A:F,6,0)</f>
        <v>46203</v>
      </c>
      <c r="R1051" s="6">
        <v>0</v>
      </c>
      <c r="S1051" s="43">
        <f>VLOOKUP(Tabla1[[#This Row],[PAGO DIA]],DIAS!A:G,7,0)</f>
        <v>46234</v>
      </c>
      <c r="T1051" s="6">
        <v>0</v>
      </c>
      <c r="U1051" s="43">
        <f>VLOOKUP(Tabla1[[#This Row],[PAGO DIA]],DIAS!A:H,8,0)</f>
        <v>46265</v>
      </c>
      <c r="V1051" s="6">
        <v>0</v>
      </c>
      <c r="W1051" s="43">
        <f>VLOOKUP(Tabla1[[#This Row],[PAGO DIA]],DIAS!A:I,9,0)</f>
        <v>46295</v>
      </c>
      <c r="X1051" s="6">
        <v>0</v>
      </c>
      <c r="Y1051" s="43">
        <f>VLOOKUP(Tabla1[[#This Row],[PAGO DIA]],DIAS!A:J,10,0)</f>
        <v>46325</v>
      </c>
      <c r="Z1051" s="6">
        <v>0</v>
      </c>
      <c r="AA1051" s="43">
        <f>VLOOKUP(Tabla1[[#This Row],[PAGO DIA]],DIAS!A:K,11,0)</f>
        <v>46356</v>
      </c>
      <c r="AB1051" s="6">
        <v>0</v>
      </c>
      <c r="AC1051" s="43">
        <f>VLOOKUP(Tabla1[[#This Row],[PAGO DIA]],DIAS!A:M,12,0)</f>
        <v>46386</v>
      </c>
      <c r="AD10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2" spans="1:30">
      <c r="A1052" s="3">
        <v>11771</v>
      </c>
      <c r="B1052" s="3" t="s">
        <v>538</v>
      </c>
      <c r="C1052" s="3" t="s">
        <v>540</v>
      </c>
      <c r="D1052" s="3" t="s">
        <v>540</v>
      </c>
      <c r="E1052" s="3" t="s">
        <v>1078</v>
      </c>
      <c r="F1052" s="42" t="s">
        <v>631</v>
      </c>
      <c r="G1052" s="3" t="s">
        <v>1600</v>
      </c>
      <c r="H1052" s="6">
        <v>0</v>
      </c>
      <c r="I1052" s="41">
        <f>VLOOKUP(Tabla1[[#This Row],[PAGO DIA]],DIAS!A:B,2,0)</f>
        <v>46080</v>
      </c>
      <c r="J1052" s="6">
        <v>0</v>
      </c>
      <c r="K1052" s="43">
        <f>VLOOKUP(Tabla1[[#This Row],[PAGO DIA]],DIAS!A:C,3,0)</f>
        <v>46112</v>
      </c>
      <c r="L1052" s="6">
        <v>0</v>
      </c>
      <c r="M1052" s="41">
        <f>VLOOKUP(Tabla1[[#This Row],[PAGO DIA]],DIAS!A:D,4,0)</f>
        <v>46142</v>
      </c>
      <c r="N1052" s="6">
        <v>0</v>
      </c>
      <c r="O1052" s="43">
        <f>VLOOKUP(Tabla1[[#This Row],[PAGO DIA]],DIAS!A:E,5,0)</f>
        <v>46171</v>
      </c>
      <c r="P1052" s="6">
        <v>0</v>
      </c>
      <c r="Q1052" s="43">
        <f>VLOOKUP(Tabla1[[#This Row],[PAGO DIA]],DIAS!A:F,6,0)</f>
        <v>46203</v>
      </c>
      <c r="R1052" s="6">
        <v>0</v>
      </c>
      <c r="S1052" s="43">
        <f>VLOOKUP(Tabla1[[#This Row],[PAGO DIA]],DIAS!A:G,7,0)</f>
        <v>46234</v>
      </c>
      <c r="T1052" s="6">
        <v>0</v>
      </c>
      <c r="U1052" s="43">
        <f>VLOOKUP(Tabla1[[#This Row],[PAGO DIA]],DIAS!A:H,8,0)</f>
        <v>46265</v>
      </c>
      <c r="V1052" s="6">
        <v>0</v>
      </c>
      <c r="W1052" s="43">
        <f>VLOOKUP(Tabla1[[#This Row],[PAGO DIA]],DIAS!A:I,9,0)</f>
        <v>46295</v>
      </c>
      <c r="X1052" s="6">
        <v>0</v>
      </c>
      <c r="Y1052" s="43">
        <f>VLOOKUP(Tabla1[[#This Row],[PAGO DIA]],DIAS!A:J,10,0)</f>
        <v>46325</v>
      </c>
      <c r="Z1052" s="6">
        <v>0</v>
      </c>
      <c r="AA1052" s="43">
        <f>VLOOKUP(Tabla1[[#This Row],[PAGO DIA]],DIAS!A:K,11,0)</f>
        <v>46356</v>
      </c>
      <c r="AB1052" s="6">
        <v>0</v>
      </c>
      <c r="AC1052" s="43">
        <f>VLOOKUP(Tabla1[[#This Row],[PAGO DIA]],DIAS!A:M,12,0)</f>
        <v>46386</v>
      </c>
      <c r="AD10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3" spans="1:30">
      <c r="A1053" s="3">
        <v>12624</v>
      </c>
      <c r="B1053" s="3" t="s">
        <v>538</v>
      </c>
      <c r="C1053" s="3" t="s">
        <v>539</v>
      </c>
      <c r="D1053" s="3" t="s">
        <v>540</v>
      </c>
      <c r="E1053" s="3" t="s">
        <v>1087</v>
      </c>
      <c r="F1053" s="42" t="s">
        <v>631</v>
      </c>
      <c r="G1053" s="3" t="s">
        <v>1601</v>
      </c>
      <c r="H1053" s="6">
        <v>0</v>
      </c>
      <c r="I1053" s="41">
        <f>VLOOKUP(Tabla1[[#This Row],[PAGO DIA]],DIAS!A:B,2,0)</f>
        <v>46080</v>
      </c>
      <c r="J1053" s="6">
        <v>0</v>
      </c>
      <c r="K1053" s="43">
        <f>VLOOKUP(Tabla1[[#This Row],[PAGO DIA]],DIAS!A:C,3,0)</f>
        <v>46112</v>
      </c>
      <c r="L1053" s="6">
        <v>0</v>
      </c>
      <c r="M1053" s="41">
        <f>VLOOKUP(Tabla1[[#This Row],[PAGO DIA]],DIAS!A:D,4,0)</f>
        <v>46142</v>
      </c>
      <c r="N1053" s="6">
        <v>0</v>
      </c>
      <c r="O1053" s="43">
        <f>VLOOKUP(Tabla1[[#This Row],[PAGO DIA]],DIAS!A:E,5,0)</f>
        <v>46171</v>
      </c>
      <c r="P1053" s="6">
        <v>0</v>
      </c>
      <c r="Q1053" s="43">
        <f>VLOOKUP(Tabla1[[#This Row],[PAGO DIA]],DIAS!A:F,6,0)</f>
        <v>46203</v>
      </c>
      <c r="R1053" s="6">
        <v>0</v>
      </c>
      <c r="S1053" s="43">
        <f>VLOOKUP(Tabla1[[#This Row],[PAGO DIA]],DIAS!A:G,7,0)</f>
        <v>46234</v>
      </c>
      <c r="T1053" s="6">
        <v>0</v>
      </c>
      <c r="U1053" s="43">
        <f>VLOOKUP(Tabla1[[#This Row],[PAGO DIA]],DIAS!A:H,8,0)</f>
        <v>46265</v>
      </c>
      <c r="V1053" s="6">
        <v>0</v>
      </c>
      <c r="W1053" s="43">
        <f>VLOOKUP(Tabla1[[#This Row],[PAGO DIA]],DIAS!A:I,9,0)</f>
        <v>46295</v>
      </c>
      <c r="X1053" s="6">
        <v>0</v>
      </c>
      <c r="Y1053" s="43">
        <f>VLOOKUP(Tabla1[[#This Row],[PAGO DIA]],DIAS!A:J,10,0)</f>
        <v>46325</v>
      </c>
      <c r="Z1053" s="6">
        <v>0</v>
      </c>
      <c r="AA1053" s="43">
        <f>VLOOKUP(Tabla1[[#This Row],[PAGO DIA]],DIAS!A:K,11,0)</f>
        <v>46356</v>
      </c>
      <c r="AB1053" s="6">
        <v>0</v>
      </c>
      <c r="AC1053" s="43">
        <f>VLOOKUP(Tabla1[[#This Row],[PAGO DIA]],DIAS!A:M,12,0)</f>
        <v>46386</v>
      </c>
      <c r="AD10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4" spans="1:30">
      <c r="A1054" s="3">
        <v>12720</v>
      </c>
      <c r="B1054" s="3" t="s">
        <v>538</v>
      </c>
      <c r="C1054" s="3" t="s">
        <v>539</v>
      </c>
      <c r="D1054" s="3" t="s">
        <v>540</v>
      </c>
      <c r="E1054" s="3" t="s">
        <v>1087</v>
      </c>
      <c r="F1054" s="42" t="s">
        <v>631</v>
      </c>
      <c r="G1054" s="3" t="s">
        <v>1602</v>
      </c>
      <c r="H1054" s="6">
        <v>0</v>
      </c>
      <c r="I1054" s="41">
        <f>VLOOKUP(Tabla1[[#This Row],[PAGO DIA]],DIAS!A:B,2,0)</f>
        <v>46080</v>
      </c>
      <c r="J1054" s="6">
        <v>0</v>
      </c>
      <c r="K1054" s="43">
        <f>VLOOKUP(Tabla1[[#This Row],[PAGO DIA]],DIAS!A:C,3,0)</f>
        <v>46112</v>
      </c>
      <c r="L1054" s="6">
        <v>0</v>
      </c>
      <c r="M1054" s="41">
        <f>VLOOKUP(Tabla1[[#This Row],[PAGO DIA]],DIAS!A:D,4,0)</f>
        <v>46142</v>
      </c>
      <c r="N1054" s="6">
        <v>0</v>
      </c>
      <c r="O1054" s="43">
        <f>VLOOKUP(Tabla1[[#This Row],[PAGO DIA]],DIAS!A:E,5,0)</f>
        <v>46171</v>
      </c>
      <c r="P1054" s="6">
        <v>0</v>
      </c>
      <c r="Q1054" s="43">
        <f>VLOOKUP(Tabla1[[#This Row],[PAGO DIA]],DIAS!A:F,6,0)</f>
        <v>46203</v>
      </c>
      <c r="R1054" s="6">
        <v>0</v>
      </c>
      <c r="S1054" s="43">
        <f>VLOOKUP(Tabla1[[#This Row],[PAGO DIA]],DIAS!A:G,7,0)</f>
        <v>46234</v>
      </c>
      <c r="T1054" s="6">
        <v>0</v>
      </c>
      <c r="U1054" s="43">
        <f>VLOOKUP(Tabla1[[#This Row],[PAGO DIA]],DIAS!A:H,8,0)</f>
        <v>46265</v>
      </c>
      <c r="V1054" s="6">
        <v>0</v>
      </c>
      <c r="W1054" s="43">
        <f>VLOOKUP(Tabla1[[#This Row],[PAGO DIA]],DIAS!A:I,9,0)</f>
        <v>46295</v>
      </c>
      <c r="X1054" s="6">
        <v>0</v>
      </c>
      <c r="Y1054" s="43">
        <f>VLOOKUP(Tabla1[[#This Row],[PAGO DIA]],DIAS!A:J,10,0)</f>
        <v>46325</v>
      </c>
      <c r="Z1054" s="6">
        <v>0</v>
      </c>
      <c r="AA1054" s="43">
        <f>VLOOKUP(Tabla1[[#This Row],[PAGO DIA]],DIAS!A:K,11,0)</f>
        <v>46356</v>
      </c>
      <c r="AB1054" s="6">
        <v>0</v>
      </c>
      <c r="AC1054" s="43">
        <f>VLOOKUP(Tabla1[[#This Row],[PAGO DIA]],DIAS!A:M,12,0)</f>
        <v>46386</v>
      </c>
      <c r="AD10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5" spans="1:30">
      <c r="A1055" s="3">
        <v>11142</v>
      </c>
      <c r="B1055" s="3" t="s">
        <v>538</v>
      </c>
      <c r="C1055" s="3" t="s">
        <v>539</v>
      </c>
      <c r="D1055" s="3" t="s">
        <v>540</v>
      </c>
      <c r="E1055" s="3" t="s">
        <v>837</v>
      </c>
      <c r="F1055" s="42" t="s">
        <v>631</v>
      </c>
      <c r="G1055" s="3"/>
      <c r="H1055" s="6">
        <v>0</v>
      </c>
      <c r="I1055" s="41">
        <f>VLOOKUP(Tabla1[[#This Row],[PAGO DIA]],DIAS!A:B,2,0)</f>
        <v>46080</v>
      </c>
      <c r="J1055" s="6">
        <v>0</v>
      </c>
      <c r="K1055" s="43">
        <f>VLOOKUP(Tabla1[[#This Row],[PAGO DIA]],DIAS!A:C,3,0)</f>
        <v>46112</v>
      </c>
      <c r="L1055" s="6">
        <v>0</v>
      </c>
      <c r="M1055" s="41">
        <f>VLOOKUP(Tabla1[[#This Row],[PAGO DIA]],DIAS!A:D,4,0)</f>
        <v>46142</v>
      </c>
      <c r="N1055" s="6">
        <v>0</v>
      </c>
      <c r="O1055" s="43">
        <f>VLOOKUP(Tabla1[[#This Row],[PAGO DIA]],DIAS!A:E,5,0)</f>
        <v>46171</v>
      </c>
      <c r="P1055" s="6">
        <v>0</v>
      </c>
      <c r="Q1055" s="43">
        <f>VLOOKUP(Tabla1[[#This Row],[PAGO DIA]],DIAS!A:F,6,0)</f>
        <v>46203</v>
      </c>
      <c r="R1055" s="6">
        <v>0</v>
      </c>
      <c r="S1055" s="43">
        <f>VLOOKUP(Tabla1[[#This Row],[PAGO DIA]],DIAS!A:G,7,0)</f>
        <v>46234</v>
      </c>
      <c r="T1055" s="6">
        <v>0</v>
      </c>
      <c r="U1055" s="43">
        <f>VLOOKUP(Tabla1[[#This Row],[PAGO DIA]],DIAS!A:H,8,0)</f>
        <v>46265</v>
      </c>
      <c r="V1055" s="6">
        <v>0</v>
      </c>
      <c r="W1055" s="43">
        <f>VLOOKUP(Tabla1[[#This Row],[PAGO DIA]],DIAS!A:I,9,0)</f>
        <v>46295</v>
      </c>
      <c r="X1055" s="6">
        <v>0</v>
      </c>
      <c r="Y1055" s="43">
        <f>VLOOKUP(Tabla1[[#This Row],[PAGO DIA]],DIAS!A:J,10,0)</f>
        <v>46325</v>
      </c>
      <c r="Z1055" s="6">
        <v>0</v>
      </c>
      <c r="AA1055" s="43">
        <f>VLOOKUP(Tabla1[[#This Row],[PAGO DIA]],DIAS!A:K,11,0)</f>
        <v>46356</v>
      </c>
      <c r="AB1055" s="6">
        <v>0</v>
      </c>
      <c r="AC1055" s="43">
        <f>VLOOKUP(Tabla1[[#This Row],[PAGO DIA]],DIAS!A:M,12,0)</f>
        <v>46386</v>
      </c>
      <c r="AD10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6" spans="1:30">
      <c r="A1056" s="3">
        <v>11782</v>
      </c>
      <c r="B1056" s="3" t="s">
        <v>538</v>
      </c>
      <c r="C1056" s="3" t="s">
        <v>540</v>
      </c>
      <c r="D1056" s="3" t="s">
        <v>540</v>
      </c>
      <c r="E1056" s="3" t="s">
        <v>837</v>
      </c>
      <c r="F1056" s="42" t="s">
        <v>631</v>
      </c>
      <c r="G1056" s="3" t="s">
        <v>1603</v>
      </c>
      <c r="H1056" s="6">
        <v>0</v>
      </c>
      <c r="I1056" s="41">
        <f>VLOOKUP(Tabla1[[#This Row],[PAGO DIA]],DIAS!A:B,2,0)</f>
        <v>46080</v>
      </c>
      <c r="J1056" s="6">
        <v>0</v>
      </c>
      <c r="K1056" s="43">
        <f>VLOOKUP(Tabla1[[#This Row],[PAGO DIA]],DIAS!A:C,3,0)</f>
        <v>46112</v>
      </c>
      <c r="L1056" s="6">
        <v>0</v>
      </c>
      <c r="M1056" s="41">
        <f>VLOOKUP(Tabla1[[#This Row],[PAGO DIA]],DIAS!A:D,4,0)</f>
        <v>46142</v>
      </c>
      <c r="N1056" s="6">
        <v>0</v>
      </c>
      <c r="O1056" s="43">
        <f>VLOOKUP(Tabla1[[#This Row],[PAGO DIA]],DIAS!A:E,5,0)</f>
        <v>46171</v>
      </c>
      <c r="P1056" s="6">
        <v>0</v>
      </c>
      <c r="Q1056" s="43">
        <f>VLOOKUP(Tabla1[[#This Row],[PAGO DIA]],DIAS!A:F,6,0)</f>
        <v>46203</v>
      </c>
      <c r="R1056" s="6">
        <v>0</v>
      </c>
      <c r="S1056" s="43">
        <f>VLOOKUP(Tabla1[[#This Row],[PAGO DIA]],DIAS!A:G,7,0)</f>
        <v>46234</v>
      </c>
      <c r="T1056" s="6">
        <v>0</v>
      </c>
      <c r="U1056" s="43">
        <f>VLOOKUP(Tabla1[[#This Row],[PAGO DIA]],DIAS!A:H,8,0)</f>
        <v>46265</v>
      </c>
      <c r="V1056" s="6">
        <v>0</v>
      </c>
      <c r="W1056" s="43">
        <f>VLOOKUP(Tabla1[[#This Row],[PAGO DIA]],DIAS!A:I,9,0)</f>
        <v>46295</v>
      </c>
      <c r="X1056" s="6">
        <v>0</v>
      </c>
      <c r="Y1056" s="43">
        <f>VLOOKUP(Tabla1[[#This Row],[PAGO DIA]],DIAS!A:J,10,0)</f>
        <v>46325</v>
      </c>
      <c r="Z1056" s="6">
        <v>0</v>
      </c>
      <c r="AA1056" s="43">
        <f>VLOOKUP(Tabla1[[#This Row],[PAGO DIA]],DIAS!A:K,11,0)</f>
        <v>46356</v>
      </c>
      <c r="AB1056" s="6">
        <v>0</v>
      </c>
      <c r="AC1056" s="43">
        <f>VLOOKUP(Tabla1[[#This Row],[PAGO DIA]],DIAS!A:M,12,0)</f>
        <v>46386</v>
      </c>
      <c r="AD10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7" spans="1:30">
      <c r="A1057" s="3">
        <v>11783</v>
      </c>
      <c r="B1057" s="3" t="s">
        <v>538</v>
      </c>
      <c r="C1057" s="3" t="s">
        <v>540</v>
      </c>
      <c r="D1057" s="3" t="s">
        <v>540</v>
      </c>
      <c r="E1057" s="3" t="s">
        <v>837</v>
      </c>
      <c r="F1057" s="42" t="s">
        <v>631</v>
      </c>
      <c r="G1057" s="3" t="s">
        <v>1604</v>
      </c>
      <c r="H1057" s="6">
        <v>0</v>
      </c>
      <c r="I1057" s="41">
        <f>VLOOKUP(Tabla1[[#This Row],[PAGO DIA]],DIAS!A:B,2,0)</f>
        <v>46080</v>
      </c>
      <c r="J1057" s="6">
        <v>0</v>
      </c>
      <c r="K1057" s="43">
        <f>VLOOKUP(Tabla1[[#This Row],[PAGO DIA]],DIAS!A:C,3,0)</f>
        <v>46112</v>
      </c>
      <c r="L1057" s="6">
        <v>0</v>
      </c>
      <c r="M1057" s="41">
        <f>VLOOKUP(Tabla1[[#This Row],[PAGO DIA]],DIAS!A:D,4,0)</f>
        <v>46142</v>
      </c>
      <c r="N1057" s="6">
        <v>0</v>
      </c>
      <c r="O1057" s="43">
        <f>VLOOKUP(Tabla1[[#This Row],[PAGO DIA]],DIAS!A:E,5,0)</f>
        <v>46171</v>
      </c>
      <c r="P1057" s="6">
        <v>0</v>
      </c>
      <c r="Q1057" s="43">
        <f>VLOOKUP(Tabla1[[#This Row],[PAGO DIA]],DIAS!A:F,6,0)</f>
        <v>46203</v>
      </c>
      <c r="R1057" s="6">
        <v>0</v>
      </c>
      <c r="S1057" s="43">
        <f>VLOOKUP(Tabla1[[#This Row],[PAGO DIA]],DIAS!A:G,7,0)</f>
        <v>46234</v>
      </c>
      <c r="T1057" s="6">
        <v>0</v>
      </c>
      <c r="U1057" s="43">
        <f>VLOOKUP(Tabla1[[#This Row],[PAGO DIA]],DIAS!A:H,8,0)</f>
        <v>46265</v>
      </c>
      <c r="V1057" s="6">
        <v>0</v>
      </c>
      <c r="W1057" s="43">
        <f>VLOOKUP(Tabla1[[#This Row],[PAGO DIA]],DIAS!A:I,9,0)</f>
        <v>46295</v>
      </c>
      <c r="X1057" s="6">
        <v>0</v>
      </c>
      <c r="Y1057" s="43">
        <f>VLOOKUP(Tabla1[[#This Row],[PAGO DIA]],DIAS!A:J,10,0)</f>
        <v>46325</v>
      </c>
      <c r="Z1057" s="6">
        <v>0</v>
      </c>
      <c r="AA1057" s="43">
        <f>VLOOKUP(Tabla1[[#This Row],[PAGO DIA]],DIAS!A:K,11,0)</f>
        <v>46356</v>
      </c>
      <c r="AB1057" s="6">
        <v>0</v>
      </c>
      <c r="AC1057" s="43">
        <f>VLOOKUP(Tabla1[[#This Row],[PAGO DIA]],DIAS!A:M,12,0)</f>
        <v>46386</v>
      </c>
      <c r="AD10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8" spans="1:30">
      <c r="A1058" s="3">
        <v>11784</v>
      </c>
      <c r="B1058" s="3" t="s">
        <v>538</v>
      </c>
      <c r="C1058" s="3" t="s">
        <v>540</v>
      </c>
      <c r="D1058" s="3" t="s">
        <v>540</v>
      </c>
      <c r="E1058" s="3" t="s">
        <v>837</v>
      </c>
      <c r="F1058" s="42" t="s">
        <v>631</v>
      </c>
      <c r="G1058" s="3" t="s">
        <v>1605</v>
      </c>
      <c r="H1058" s="6">
        <v>0</v>
      </c>
      <c r="I1058" s="41">
        <f>VLOOKUP(Tabla1[[#This Row],[PAGO DIA]],DIAS!A:B,2,0)</f>
        <v>46080</v>
      </c>
      <c r="J1058" s="6">
        <v>0</v>
      </c>
      <c r="K1058" s="43">
        <f>VLOOKUP(Tabla1[[#This Row],[PAGO DIA]],DIAS!A:C,3,0)</f>
        <v>46112</v>
      </c>
      <c r="L1058" s="6">
        <v>0</v>
      </c>
      <c r="M1058" s="41">
        <f>VLOOKUP(Tabla1[[#This Row],[PAGO DIA]],DIAS!A:D,4,0)</f>
        <v>46142</v>
      </c>
      <c r="N1058" s="6">
        <v>0</v>
      </c>
      <c r="O1058" s="43">
        <f>VLOOKUP(Tabla1[[#This Row],[PAGO DIA]],DIAS!A:E,5,0)</f>
        <v>46171</v>
      </c>
      <c r="P1058" s="6">
        <v>0</v>
      </c>
      <c r="Q1058" s="43">
        <f>VLOOKUP(Tabla1[[#This Row],[PAGO DIA]],DIAS!A:F,6,0)</f>
        <v>46203</v>
      </c>
      <c r="R1058" s="6">
        <v>0</v>
      </c>
      <c r="S1058" s="43">
        <f>VLOOKUP(Tabla1[[#This Row],[PAGO DIA]],DIAS!A:G,7,0)</f>
        <v>46234</v>
      </c>
      <c r="T1058" s="6">
        <v>0</v>
      </c>
      <c r="U1058" s="43">
        <f>VLOOKUP(Tabla1[[#This Row],[PAGO DIA]],DIAS!A:H,8,0)</f>
        <v>46265</v>
      </c>
      <c r="V1058" s="6">
        <v>0</v>
      </c>
      <c r="W1058" s="43">
        <f>VLOOKUP(Tabla1[[#This Row],[PAGO DIA]],DIAS!A:I,9,0)</f>
        <v>46295</v>
      </c>
      <c r="X1058" s="6">
        <v>0</v>
      </c>
      <c r="Y1058" s="43">
        <f>VLOOKUP(Tabla1[[#This Row],[PAGO DIA]],DIAS!A:J,10,0)</f>
        <v>46325</v>
      </c>
      <c r="Z1058" s="6">
        <v>0</v>
      </c>
      <c r="AA1058" s="43">
        <f>VLOOKUP(Tabla1[[#This Row],[PAGO DIA]],DIAS!A:K,11,0)</f>
        <v>46356</v>
      </c>
      <c r="AB1058" s="6">
        <v>0</v>
      </c>
      <c r="AC1058" s="43">
        <f>VLOOKUP(Tabla1[[#This Row],[PAGO DIA]],DIAS!A:M,12,0)</f>
        <v>46386</v>
      </c>
      <c r="AD10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59" spans="1:30">
      <c r="A1059" s="3">
        <v>11786</v>
      </c>
      <c r="B1059" s="3" t="s">
        <v>538</v>
      </c>
      <c r="C1059" s="3" t="s">
        <v>540</v>
      </c>
      <c r="D1059" s="3" t="s">
        <v>540</v>
      </c>
      <c r="E1059" s="3" t="s">
        <v>837</v>
      </c>
      <c r="F1059" s="42" t="s">
        <v>631</v>
      </c>
      <c r="G1059" s="3" t="s">
        <v>1606</v>
      </c>
      <c r="H1059" s="6">
        <v>0</v>
      </c>
      <c r="I1059" s="41">
        <f>VLOOKUP(Tabla1[[#This Row],[PAGO DIA]],DIAS!A:B,2,0)</f>
        <v>46080</v>
      </c>
      <c r="J1059" s="6">
        <v>0</v>
      </c>
      <c r="K1059" s="43">
        <f>VLOOKUP(Tabla1[[#This Row],[PAGO DIA]],DIAS!A:C,3,0)</f>
        <v>46112</v>
      </c>
      <c r="L1059" s="6">
        <v>0</v>
      </c>
      <c r="M1059" s="41">
        <f>VLOOKUP(Tabla1[[#This Row],[PAGO DIA]],DIAS!A:D,4,0)</f>
        <v>46142</v>
      </c>
      <c r="N1059" s="6">
        <v>0</v>
      </c>
      <c r="O1059" s="43">
        <f>VLOOKUP(Tabla1[[#This Row],[PAGO DIA]],DIAS!A:E,5,0)</f>
        <v>46171</v>
      </c>
      <c r="P1059" s="6">
        <v>0</v>
      </c>
      <c r="Q1059" s="43">
        <f>VLOOKUP(Tabla1[[#This Row],[PAGO DIA]],DIAS!A:F,6,0)</f>
        <v>46203</v>
      </c>
      <c r="R1059" s="6">
        <v>0</v>
      </c>
      <c r="S1059" s="43">
        <f>VLOOKUP(Tabla1[[#This Row],[PAGO DIA]],DIAS!A:G,7,0)</f>
        <v>46234</v>
      </c>
      <c r="T1059" s="6">
        <v>0</v>
      </c>
      <c r="U1059" s="43">
        <f>VLOOKUP(Tabla1[[#This Row],[PAGO DIA]],DIAS!A:H,8,0)</f>
        <v>46265</v>
      </c>
      <c r="V1059" s="6">
        <v>0</v>
      </c>
      <c r="W1059" s="43">
        <f>VLOOKUP(Tabla1[[#This Row],[PAGO DIA]],DIAS!A:I,9,0)</f>
        <v>46295</v>
      </c>
      <c r="X1059" s="6">
        <v>0</v>
      </c>
      <c r="Y1059" s="43">
        <f>VLOOKUP(Tabla1[[#This Row],[PAGO DIA]],DIAS!A:J,10,0)</f>
        <v>46325</v>
      </c>
      <c r="Z1059" s="6">
        <v>0</v>
      </c>
      <c r="AA1059" s="43">
        <f>VLOOKUP(Tabla1[[#This Row],[PAGO DIA]],DIAS!A:K,11,0)</f>
        <v>46356</v>
      </c>
      <c r="AB1059" s="6">
        <v>0</v>
      </c>
      <c r="AC1059" s="43">
        <f>VLOOKUP(Tabla1[[#This Row],[PAGO DIA]],DIAS!A:M,12,0)</f>
        <v>46386</v>
      </c>
      <c r="AD10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0" spans="1:30">
      <c r="A1060" s="3">
        <v>11787</v>
      </c>
      <c r="B1060" s="3" t="s">
        <v>538</v>
      </c>
      <c r="C1060" s="3" t="s">
        <v>540</v>
      </c>
      <c r="D1060" s="3" t="s">
        <v>540</v>
      </c>
      <c r="E1060" s="3" t="s">
        <v>837</v>
      </c>
      <c r="F1060" s="42" t="s">
        <v>631</v>
      </c>
      <c r="G1060" s="3" t="s">
        <v>1607</v>
      </c>
      <c r="H1060" s="6">
        <v>0</v>
      </c>
      <c r="I1060" s="41">
        <f>VLOOKUP(Tabla1[[#This Row],[PAGO DIA]],DIAS!A:B,2,0)</f>
        <v>46080</v>
      </c>
      <c r="J1060" s="6">
        <v>0</v>
      </c>
      <c r="K1060" s="43">
        <f>VLOOKUP(Tabla1[[#This Row],[PAGO DIA]],DIAS!A:C,3,0)</f>
        <v>46112</v>
      </c>
      <c r="L1060" s="6">
        <v>0</v>
      </c>
      <c r="M1060" s="41">
        <f>VLOOKUP(Tabla1[[#This Row],[PAGO DIA]],DIAS!A:D,4,0)</f>
        <v>46142</v>
      </c>
      <c r="N1060" s="6">
        <v>0</v>
      </c>
      <c r="O1060" s="43">
        <f>VLOOKUP(Tabla1[[#This Row],[PAGO DIA]],DIAS!A:E,5,0)</f>
        <v>46171</v>
      </c>
      <c r="P1060" s="6">
        <v>0</v>
      </c>
      <c r="Q1060" s="43">
        <f>VLOOKUP(Tabla1[[#This Row],[PAGO DIA]],DIAS!A:F,6,0)</f>
        <v>46203</v>
      </c>
      <c r="R1060" s="6">
        <v>0</v>
      </c>
      <c r="S1060" s="43">
        <f>VLOOKUP(Tabla1[[#This Row],[PAGO DIA]],DIAS!A:G,7,0)</f>
        <v>46234</v>
      </c>
      <c r="T1060" s="6">
        <v>0</v>
      </c>
      <c r="U1060" s="43">
        <f>VLOOKUP(Tabla1[[#This Row],[PAGO DIA]],DIAS!A:H,8,0)</f>
        <v>46265</v>
      </c>
      <c r="V1060" s="6">
        <v>0</v>
      </c>
      <c r="W1060" s="43">
        <f>VLOOKUP(Tabla1[[#This Row],[PAGO DIA]],DIAS!A:I,9,0)</f>
        <v>46295</v>
      </c>
      <c r="X1060" s="6">
        <v>0</v>
      </c>
      <c r="Y1060" s="43">
        <f>VLOOKUP(Tabla1[[#This Row],[PAGO DIA]],DIAS!A:J,10,0)</f>
        <v>46325</v>
      </c>
      <c r="Z1060" s="6">
        <v>0</v>
      </c>
      <c r="AA1060" s="43">
        <f>VLOOKUP(Tabla1[[#This Row],[PAGO DIA]],DIAS!A:K,11,0)</f>
        <v>46356</v>
      </c>
      <c r="AB1060" s="6">
        <v>0</v>
      </c>
      <c r="AC1060" s="43">
        <f>VLOOKUP(Tabla1[[#This Row],[PAGO DIA]],DIAS!A:M,12,0)</f>
        <v>46386</v>
      </c>
      <c r="AD10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1" spans="1:30">
      <c r="A1061" s="3">
        <v>11788</v>
      </c>
      <c r="B1061" s="3" t="s">
        <v>538</v>
      </c>
      <c r="C1061" s="3" t="s">
        <v>540</v>
      </c>
      <c r="D1061" s="3" t="s">
        <v>540</v>
      </c>
      <c r="E1061" s="3" t="s">
        <v>837</v>
      </c>
      <c r="F1061" s="42" t="s">
        <v>631</v>
      </c>
      <c r="G1061" s="3" t="s">
        <v>1608</v>
      </c>
      <c r="H1061" s="6">
        <v>0</v>
      </c>
      <c r="I1061" s="41">
        <f>VLOOKUP(Tabla1[[#This Row],[PAGO DIA]],DIAS!A:B,2,0)</f>
        <v>46080</v>
      </c>
      <c r="J1061" s="6">
        <v>0</v>
      </c>
      <c r="K1061" s="43">
        <f>VLOOKUP(Tabla1[[#This Row],[PAGO DIA]],DIAS!A:C,3,0)</f>
        <v>46112</v>
      </c>
      <c r="L1061" s="6">
        <v>0</v>
      </c>
      <c r="M1061" s="41">
        <f>VLOOKUP(Tabla1[[#This Row],[PAGO DIA]],DIAS!A:D,4,0)</f>
        <v>46142</v>
      </c>
      <c r="N1061" s="6">
        <v>0</v>
      </c>
      <c r="O1061" s="43">
        <f>VLOOKUP(Tabla1[[#This Row],[PAGO DIA]],DIAS!A:E,5,0)</f>
        <v>46171</v>
      </c>
      <c r="P1061" s="6">
        <v>0</v>
      </c>
      <c r="Q1061" s="43">
        <f>VLOOKUP(Tabla1[[#This Row],[PAGO DIA]],DIAS!A:F,6,0)</f>
        <v>46203</v>
      </c>
      <c r="R1061" s="6">
        <v>0</v>
      </c>
      <c r="S1061" s="43">
        <f>VLOOKUP(Tabla1[[#This Row],[PAGO DIA]],DIAS!A:G,7,0)</f>
        <v>46234</v>
      </c>
      <c r="T1061" s="6">
        <v>0</v>
      </c>
      <c r="U1061" s="43">
        <f>VLOOKUP(Tabla1[[#This Row],[PAGO DIA]],DIAS!A:H,8,0)</f>
        <v>46265</v>
      </c>
      <c r="V1061" s="6">
        <v>0</v>
      </c>
      <c r="W1061" s="43">
        <f>VLOOKUP(Tabla1[[#This Row],[PAGO DIA]],DIAS!A:I,9,0)</f>
        <v>46295</v>
      </c>
      <c r="X1061" s="6">
        <v>0</v>
      </c>
      <c r="Y1061" s="43">
        <f>VLOOKUP(Tabla1[[#This Row],[PAGO DIA]],DIAS!A:J,10,0)</f>
        <v>46325</v>
      </c>
      <c r="Z1061" s="6">
        <v>0</v>
      </c>
      <c r="AA1061" s="43">
        <f>VLOOKUP(Tabla1[[#This Row],[PAGO DIA]],DIAS!A:K,11,0)</f>
        <v>46356</v>
      </c>
      <c r="AB1061" s="6">
        <v>0</v>
      </c>
      <c r="AC1061" s="43">
        <f>VLOOKUP(Tabla1[[#This Row],[PAGO DIA]],DIAS!A:M,12,0)</f>
        <v>46386</v>
      </c>
      <c r="AD10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2" spans="1:30">
      <c r="A1062" s="3">
        <v>11789</v>
      </c>
      <c r="B1062" s="3" t="s">
        <v>538</v>
      </c>
      <c r="C1062" s="3" t="s">
        <v>540</v>
      </c>
      <c r="D1062" s="3" t="s">
        <v>540</v>
      </c>
      <c r="E1062" s="3" t="s">
        <v>837</v>
      </c>
      <c r="F1062" s="42" t="s">
        <v>631</v>
      </c>
      <c r="G1062" s="3" t="s">
        <v>1609</v>
      </c>
      <c r="H1062" s="6">
        <v>0</v>
      </c>
      <c r="I1062" s="41">
        <f>VLOOKUP(Tabla1[[#This Row],[PAGO DIA]],DIAS!A:B,2,0)</f>
        <v>46080</v>
      </c>
      <c r="J1062" s="6">
        <v>0</v>
      </c>
      <c r="K1062" s="43">
        <f>VLOOKUP(Tabla1[[#This Row],[PAGO DIA]],DIAS!A:C,3,0)</f>
        <v>46112</v>
      </c>
      <c r="L1062" s="6">
        <v>0</v>
      </c>
      <c r="M1062" s="41">
        <f>VLOOKUP(Tabla1[[#This Row],[PAGO DIA]],DIAS!A:D,4,0)</f>
        <v>46142</v>
      </c>
      <c r="N1062" s="6">
        <v>0</v>
      </c>
      <c r="O1062" s="43">
        <f>VLOOKUP(Tabla1[[#This Row],[PAGO DIA]],DIAS!A:E,5,0)</f>
        <v>46171</v>
      </c>
      <c r="P1062" s="6">
        <v>0</v>
      </c>
      <c r="Q1062" s="43">
        <f>VLOOKUP(Tabla1[[#This Row],[PAGO DIA]],DIAS!A:F,6,0)</f>
        <v>46203</v>
      </c>
      <c r="R1062" s="6">
        <v>0</v>
      </c>
      <c r="S1062" s="43">
        <f>VLOOKUP(Tabla1[[#This Row],[PAGO DIA]],DIAS!A:G,7,0)</f>
        <v>46234</v>
      </c>
      <c r="T1062" s="6">
        <v>0</v>
      </c>
      <c r="U1062" s="43">
        <f>VLOOKUP(Tabla1[[#This Row],[PAGO DIA]],DIAS!A:H,8,0)</f>
        <v>46265</v>
      </c>
      <c r="V1062" s="6">
        <v>0</v>
      </c>
      <c r="W1062" s="43">
        <f>VLOOKUP(Tabla1[[#This Row],[PAGO DIA]],DIAS!A:I,9,0)</f>
        <v>46295</v>
      </c>
      <c r="X1062" s="6">
        <v>0</v>
      </c>
      <c r="Y1062" s="43">
        <f>VLOOKUP(Tabla1[[#This Row],[PAGO DIA]],DIAS!A:J,10,0)</f>
        <v>46325</v>
      </c>
      <c r="Z1062" s="6">
        <v>0</v>
      </c>
      <c r="AA1062" s="43">
        <f>VLOOKUP(Tabla1[[#This Row],[PAGO DIA]],DIAS!A:K,11,0)</f>
        <v>46356</v>
      </c>
      <c r="AB1062" s="6">
        <v>0</v>
      </c>
      <c r="AC1062" s="43">
        <f>VLOOKUP(Tabla1[[#This Row],[PAGO DIA]],DIAS!A:M,12,0)</f>
        <v>46386</v>
      </c>
      <c r="AD10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3" spans="1:30">
      <c r="A1063" s="3">
        <v>11790</v>
      </c>
      <c r="B1063" s="3" t="s">
        <v>538</v>
      </c>
      <c r="C1063" s="3" t="s">
        <v>540</v>
      </c>
      <c r="D1063" s="3" t="s">
        <v>540</v>
      </c>
      <c r="E1063" s="3" t="s">
        <v>837</v>
      </c>
      <c r="F1063" s="42" t="s">
        <v>631</v>
      </c>
      <c r="G1063" s="3" t="s">
        <v>1610</v>
      </c>
      <c r="H1063" s="6">
        <v>0</v>
      </c>
      <c r="I1063" s="41">
        <f>VLOOKUP(Tabla1[[#This Row],[PAGO DIA]],DIAS!A:B,2,0)</f>
        <v>46080</v>
      </c>
      <c r="J1063" s="6">
        <v>0</v>
      </c>
      <c r="K1063" s="43">
        <f>VLOOKUP(Tabla1[[#This Row],[PAGO DIA]],DIAS!A:C,3,0)</f>
        <v>46112</v>
      </c>
      <c r="L1063" s="6">
        <v>0</v>
      </c>
      <c r="M1063" s="41">
        <f>VLOOKUP(Tabla1[[#This Row],[PAGO DIA]],DIAS!A:D,4,0)</f>
        <v>46142</v>
      </c>
      <c r="N1063" s="6">
        <v>0</v>
      </c>
      <c r="O1063" s="43">
        <f>VLOOKUP(Tabla1[[#This Row],[PAGO DIA]],DIAS!A:E,5,0)</f>
        <v>46171</v>
      </c>
      <c r="P1063" s="6">
        <v>0</v>
      </c>
      <c r="Q1063" s="43">
        <f>VLOOKUP(Tabla1[[#This Row],[PAGO DIA]],DIAS!A:F,6,0)</f>
        <v>46203</v>
      </c>
      <c r="R1063" s="6">
        <v>0</v>
      </c>
      <c r="S1063" s="43">
        <f>VLOOKUP(Tabla1[[#This Row],[PAGO DIA]],DIAS!A:G,7,0)</f>
        <v>46234</v>
      </c>
      <c r="T1063" s="6">
        <v>0</v>
      </c>
      <c r="U1063" s="43">
        <f>VLOOKUP(Tabla1[[#This Row],[PAGO DIA]],DIAS!A:H,8,0)</f>
        <v>46265</v>
      </c>
      <c r="V1063" s="6">
        <v>0</v>
      </c>
      <c r="W1063" s="43">
        <f>VLOOKUP(Tabla1[[#This Row],[PAGO DIA]],DIAS!A:I,9,0)</f>
        <v>46295</v>
      </c>
      <c r="X1063" s="6">
        <v>0</v>
      </c>
      <c r="Y1063" s="43">
        <f>VLOOKUP(Tabla1[[#This Row],[PAGO DIA]],DIAS!A:J,10,0)</f>
        <v>46325</v>
      </c>
      <c r="Z1063" s="6">
        <v>0</v>
      </c>
      <c r="AA1063" s="43">
        <f>VLOOKUP(Tabla1[[#This Row],[PAGO DIA]],DIAS!A:K,11,0)</f>
        <v>46356</v>
      </c>
      <c r="AB1063" s="6">
        <v>0</v>
      </c>
      <c r="AC1063" s="43">
        <f>VLOOKUP(Tabla1[[#This Row],[PAGO DIA]],DIAS!A:M,12,0)</f>
        <v>46386</v>
      </c>
      <c r="AD10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4" spans="1:30">
      <c r="A1064" s="3">
        <v>11791</v>
      </c>
      <c r="B1064" s="3" t="s">
        <v>538</v>
      </c>
      <c r="C1064" s="3" t="s">
        <v>540</v>
      </c>
      <c r="D1064" s="3" t="s">
        <v>540</v>
      </c>
      <c r="E1064" s="3" t="s">
        <v>837</v>
      </c>
      <c r="F1064" s="42" t="s">
        <v>631</v>
      </c>
      <c r="G1064" s="3" t="s">
        <v>1611</v>
      </c>
      <c r="H1064" s="6">
        <v>0</v>
      </c>
      <c r="I1064" s="41">
        <f>VLOOKUP(Tabla1[[#This Row],[PAGO DIA]],DIAS!A:B,2,0)</f>
        <v>46080</v>
      </c>
      <c r="J1064" s="6">
        <v>0</v>
      </c>
      <c r="K1064" s="43">
        <f>VLOOKUP(Tabla1[[#This Row],[PAGO DIA]],DIAS!A:C,3,0)</f>
        <v>46112</v>
      </c>
      <c r="L1064" s="6">
        <v>0</v>
      </c>
      <c r="M1064" s="41">
        <f>VLOOKUP(Tabla1[[#This Row],[PAGO DIA]],DIAS!A:D,4,0)</f>
        <v>46142</v>
      </c>
      <c r="N1064" s="6">
        <v>0</v>
      </c>
      <c r="O1064" s="43">
        <f>VLOOKUP(Tabla1[[#This Row],[PAGO DIA]],DIAS!A:E,5,0)</f>
        <v>46171</v>
      </c>
      <c r="P1064" s="6">
        <v>0</v>
      </c>
      <c r="Q1064" s="43">
        <f>VLOOKUP(Tabla1[[#This Row],[PAGO DIA]],DIAS!A:F,6,0)</f>
        <v>46203</v>
      </c>
      <c r="R1064" s="6">
        <v>0</v>
      </c>
      <c r="S1064" s="43">
        <f>VLOOKUP(Tabla1[[#This Row],[PAGO DIA]],DIAS!A:G,7,0)</f>
        <v>46234</v>
      </c>
      <c r="T1064" s="6">
        <v>0</v>
      </c>
      <c r="U1064" s="43">
        <f>VLOOKUP(Tabla1[[#This Row],[PAGO DIA]],DIAS!A:H,8,0)</f>
        <v>46265</v>
      </c>
      <c r="V1064" s="6">
        <v>0</v>
      </c>
      <c r="W1064" s="43">
        <f>VLOOKUP(Tabla1[[#This Row],[PAGO DIA]],DIAS!A:I,9,0)</f>
        <v>46295</v>
      </c>
      <c r="X1064" s="6">
        <v>0</v>
      </c>
      <c r="Y1064" s="43">
        <f>VLOOKUP(Tabla1[[#This Row],[PAGO DIA]],DIAS!A:J,10,0)</f>
        <v>46325</v>
      </c>
      <c r="Z1064" s="6">
        <v>0</v>
      </c>
      <c r="AA1064" s="43">
        <f>VLOOKUP(Tabla1[[#This Row],[PAGO DIA]],DIAS!A:K,11,0)</f>
        <v>46356</v>
      </c>
      <c r="AB1064" s="6">
        <v>0</v>
      </c>
      <c r="AC1064" s="43">
        <f>VLOOKUP(Tabla1[[#This Row],[PAGO DIA]],DIAS!A:M,12,0)</f>
        <v>46386</v>
      </c>
      <c r="AD10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5" spans="1:30">
      <c r="A1065" s="3">
        <v>11792</v>
      </c>
      <c r="B1065" s="3" t="s">
        <v>538</v>
      </c>
      <c r="C1065" s="3" t="s">
        <v>540</v>
      </c>
      <c r="D1065" s="3" t="s">
        <v>540</v>
      </c>
      <c r="E1065" s="3" t="s">
        <v>837</v>
      </c>
      <c r="F1065" s="42" t="s">
        <v>631</v>
      </c>
      <c r="G1065" s="3" t="s">
        <v>1612</v>
      </c>
      <c r="H1065" s="6">
        <v>0</v>
      </c>
      <c r="I1065" s="41">
        <f>VLOOKUP(Tabla1[[#This Row],[PAGO DIA]],DIAS!A:B,2,0)</f>
        <v>46080</v>
      </c>
      <c r="J1065" s="6">
        <v>0</v>
      </c>
      <c r="K1065" s="43">
        <f>VLOOKUP(Tabla1[[#This Row],[PAGO DIA]],DIAS!A:C,3,0)</f>
        <v>46112</v>
      </c>
      <c r="L1065" s="6">
        <v>0</v>
      </c>
      <c r="M1065" s="41">
        <f>VLOOKUP(Tabla1[[#This Row],[PAGO DIA]],DIAS!A:D,4,0)</f>
        <v>46142</v>
      </c>
      <c r="N1065" s="6">
        <v>0</v>
      </c>
      <c r="O1065" s="43">
        <f>VLOOKUP(Tabla1[[#This Row],[PAGO DIA]],DIAS!A:E,5,0)</f>
        <v>46171</v>
      </c>
      <c r="P1065" s="6">
        <v>0</v>
      </c>
      <c r="Q1065" s="43">
        <f>VLOOKUP(Tabla1[[#This Row],[PAGO DIA]],DIAS!A:F,6,0)</f>
        <v>46203</v>
      </c>
      <c r="R1065" s="6">
        <v>0</v>
      </c>
      <c r="S1065" s="43">
        <f>VLOOKUP(Tabla1[[#This Row],[PAGO DIA]],DIAS!A:G,7,0)</f>
        <v>46234</v>
      </c>
      <c r="T1065" s="6">
        <v>0</v>
      </c>
      <c r="U1065" s="43">
        <f>VLOOKUP(Tabla1[[#This Row],[PAGO DIA]],DIAS!A:H,8,0)</f>
        <v>46265</v>
      </c>
      <c r="V1065" s="6">
        <v>0</v>
      </c>
      <c r="W1065" s="43">
        <f>VLOOKUP(Tabla1[[#This Row],[PAGO DIA]],DIAS!A:I,9,0)</f>
        <v>46295</v>
      </c>
      <c r="X1065" s="6">
        <v>0</v>
      </c>
      <c r="Y1065" s="43">
        <f>VLOOKUP(Tabla1[[#This Row],[PAGO DIA]],DIAS!A:J,10,0)</f>
        <v>46325</v>
      </c>
      <c r="Z1065" s="6">
        <v>0</v>
      </c>
      <c r="AA1065" s="43">
        <f>VLOOKUP(Tabla1[[#This Row],[PAGO DIA]],DIAS!A:K,11,0)</f>
        <v>46356</v>
      </c>
      <c r="AB1065" s="6">
        <v>0</v>
      </c>
      <c r="AC1065" s="43">
        <f>VLOOKUP(Tabla1[[#This Row],[PAGO DIA]],DIAS!A:M,12,0)</f>
        <v>46386</v>
      </c>
      <c r="AD10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6" spans="1:30">
      <c r="A1066" s="3">
        <v>11793</v>
      </c>
      <c r="B1066" s="3" t="s">
        <v>538</v>
      </c>
      <c r="C1066" s="3" t="s">
        <v>540</v>
      </c>
      <c r="D1066" s="3" t="s">
        <v>540</v>
      </c>
      <c r="E1066" s="3" t="s">
        <v>837</v>
      </c>
      <c r="F1066" s="42" t="s">
        <v>631</v>
      </c>
      <c r="G1066" s="3" t="s">
        <v>1613</v>
      </c>
      <c r="H1066" s="6">
        <v>0</v>
      </c>
      <c r="I1066" s="41">
        <f>VLOOKUP(Tabla1[[#This Row],[PAGO DIA]],DIAS!A:B,2,0)</f>
        <v>46080</v>
      </c>
      <c r="J1066" s="6">
        <v>0</v>
      </c>
      <c r="K1066" s="43">
        <f>VLOOKUP(Tabla1[[#This Row],[PAGO DIA]],DIAS!A:C,3,0)</f>
        <v>46112</v>
      </c>
      <c r="L1066" s="6">
        <v>0</v>
      </c>
      <c r="M1066" s="41">
        <f>VLOOKUP(Tabla1[[#This Row],[PAGO DIA]],DIAS!A:D,4,0)</f>
        <v>46142</v>
      </c>
      <c r="N1066" s="6">
        <v>0</v>
      </c>
      <c r="O1066" s="43">
        <f>VLOOKUP(Tabla1[[#This Row],[PAGO DIA]],DIAS!A:E,5,0)</f>
        <v>46171</v>
      </c>
      <c r="P1066" s="6">
        <v>0</v>
      </c>
      <c r="Q1066" s="43">
        <f>VLOOKUP(Tabla1[[#This Row],[PAGO DIA]],DIAS!A:F,6,0)</f>
        <v>46203</v>
      </c>
      <c r="R1066" s="6">
        <v>0</v>
      </c>
      <c r="S1066" s="43">
        <f>VLOOKUP(Tabla1[[#This Row],[PAGO DIA]],DIAS!A:G,7,0)</f>
        <v>46234</v>
      </c>
      <c r="T1066" s="6">
        <v>0</v>
      </c>
      <c r="U1066" s="43">
        <f>VLOOKUP(Tabla1[[#This Row],[PAGO DIA]],DIAS!A:H,8,0)</f>
        <v>46265</v>
      </c>
      <c r="V1066" s="6">
        <v>0</v>
      </c>
      <c r="W1066" s="43">
        <f>VLOOKUP(Tabla1[[#This Row],[PAGO DIA]],DIAS!A:I,9,0)</f>
        <v>46295</v>
      </c>
      <c r="X1066" s="6">
        <v>0</v>
      </c>
      <c r="Y1066" s="43">
        <f>VLOOKUP(Tabla1[[#This Row],[PAGO DIA]],DIAS!A:J,10,0)</f>
        <v>46325</v>
      </c>
      <c r="Z1066" s="6">
        <v>0</v>
      </c>
      <c r="AA1066" s="43">
        <f>VLOOKUP(Tabla1[[#This Row],[PAGO DIA]],DIAS!A:K,11,0)</f>
        <v>46356</v>
      </c>
      <c r="AB1066" s="6">
        <v>0</v>
      </c>
      <c r="AC1066" s="43">
        <f>VLOOKUP(Tabla1[[#This Row],[PAGO DIA]],DIAS!A:M,12,0)</f>
        <v>46386</v>
      </c>
      <c r="AD10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7" spans="1:30">
      <c r="A1067" s="3">
        <v>11794</v>
      </c>
      <c r="B1067" s="3" t="s">
        <v>538</v>
      </c>
      <c r="C1067" s="3" t="s">
        <v>540</v>
      </c>
      <c r="D1067" s="3" t="s">
        <v>540</v>
      </c>
      <c r="E1067" s="3" t="s">
        <v>837</v>
      </c>
      <c r="F1067" s="42" t="s">
        <v>631</v>
      </c>
      <c r="G1067" s="3" t="s">
        <v>1614</v>
      </c>
      <c r="H1067" s="6">
        <v>0</v>
      </c>
      <c r="I1067" s="41">
        <f>VLOOKUP(Tabla1[[#This Row],[PAGO DIA]],DIAS!A:B,2,0)</f>
        <v>46080</v>
      </c>
      <c r="J1067" s="6">
        <v>0</v>
      </c>
      <c r="K1067" s="43">
        <f>VLOOKUP(Tabla1[[#This Row],[PAGO DIA]],DIAS!A:C,3,0)</f>
        <v>46112</v>
      </c>
      <c r="L1067" s="6">
        <v>0</v>
      </c>
      <c r="M1067" s="41">
        <f>VLOOKUP(Tabla1[[#This Row],[PAGO DIA]],DIAS!A:D,4,0)</f>
        <v>46142</v>
      </c>
      <c r="N1067" s="6">
        <v>0</v>
      </c>
      <c r="O1067" s="43">
        <f>VLOOKUP(Tabla1[[#This Row],[PAGO DIA]],DIAS!A:E,5,0)</f>
        <v>46171</v>
      </c>
      <c r="P1067" s="6">
        <v>0</v>
      </c>
      <c r="Q1067" s="43">
        <f>VLOOKUP(Tabla1[[#This Row],[PAGO DIA]],DIAS!A:F,6,0)</f>
        <v>46203</v>
      </c>
      <c r="R1067" s="6">
        <v>0</v>
      </c>
      <c r="S1067" s="43">
        <f>VLOOKUP(Tabla1[[#This Row],[PAGO DIA]],DIAS!A:G,7,0)</f>
        <v>46234</v>
      </c>
      <c r="T1067" s="6">
        <v>0</v>
      </c>
      <c r="U1067" s="43">
        <f>VLOOKUP(Tabla1[[#This Row],[PAGO DIA]],DIAS!A:H,8,0)</f>
        <v>46265</v>
      </c>
      <c r="V1067" s="6">
        <v>0</v>
      </c>
      <c r="W1067" s="43">
        <f>VLOOKUP(Tabla1[[#This Row],[PAGO DIA]],DIAS!A:I,9,0)</f>
        <v>46295</v>
      </c>
      <c r="X1067" s="6">
        <v>0</v>
      </c>
      <c r="Y1067" s="43">
        <f>VLOOKUP(Tabla1[[#This Row],[PAGO DIA]],DIAS!A:J,10,0)</f>
        <v>46325</v>
      </c>
      <c r="Z1067" s="6">
        <v>0</v>
      </c>
      <c r="AA1067" s="43">
        <f>VLOOKUP(Tabla1[[#This Row],[PAGO DIA]],DIAS!A:K,11,0)</f>
        <v>46356</v>
      </c>
      <c r="AB1067" s="6">
        <v>0</v>
      </c>
      <c r="AC1067" s="43">
        <f>VLOOKUP(Tabla1[[#This Row],[PAGO DIA]],DIAS!A:M,12,0)</f>
        <v>46386</v>
      </c>
      <c r="AD10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8" spans="1:30">
      <c r="A1068" s="3">
        <v>11058</v>
      </c>
      <c r="B1068" s="3" t="s">
        <v>538</v>
      </c>
      <c r="C1068" s="3" t="s">
        <v>539</v>
      </c>
      <c r="D1068" s="3" t="s">
        <v>540</v>
      </c>
      <c r="E1068" s="3" t="s">
        <v>1615</v>
      </c>
      <c r="F1068" s="42" t="s">
        <v>631</v>
      </c>
      <c r="G1068" s="3"/>
      <c r="H1068" s="6">
        <v>0</v>
      </c>
      <c r="I1068" s="41">
        <f>VLOOKUP(Tabla1[[#This Row],[PAGO DIA]],DIAS!A:B,2,0)</f>
        <v>46080</v>
      </c>
      <c r="J1068" s="6">
        <v>0</v>
      </c>
      <c r="K1068" s="43">
        <f>VLOOKUP(Tabla1[[#This Row],[PAGO DIA]],DIAS!A:C,3,0)</f>
        <v>46112</v>
      </c>
      <c r="L1068" s="6">
        <v>0</v>
      </c>
      <c r="M1068" s="41">
        <f>VLOOKUP(Tabla1[[#This Row],[PAGO DIA]],DIAS!A:D,4,0)</f>
        <v>46142</v>
      </c>
      <c r="N1068" s="6">
        <v>0</v>
      </c>
      <c r="O1068" s="43">
        <f>VLOOKUP(Tabla1[[#This Row],[PAGO DIA]],DIAS!A:E,5,0)</f>
        <v>46171</v>
      </c>
      <c r="P1068" s="6">
        <v>0</v>
      </c>
      <c r="Q1068" s="43">
        <f>VLOOKUP(Tabla1[[#This Row],[PAGO DIA]],DIAS!A:F,6,0)</f>
        <v>46203</v>
      </c>
      <c r="R1068" s="6">
        <v>0</v>
      </c>
      <c r="S1068" s="43">
        <f>VLOOKUP(Tabla1[[#This Row],[PAGO DIA]],DIAS!A:G,7,0)</f>
        <v>46234</v>
      </c>
      <c r="T1068" s="6">
        <v>0</v>
      </c>
      <c r="U1068" s="43">
        <f>VLOOKUP(Tabla1[[#This Row],[PAGO DIA]],DIAS!A:H,8,0)</f>
        <v>46265</v>
      </c>
      <c r="V1068" s="6">
        <v>0</v>
      </c>
      <c r="W1068" s="43">
        <f>VLOOKUP(Tabla1[[#This Row],[PAGO DIA]],DIAS!A:I,9,0)</f>
        <v>46295</v>
      </c>
      <c r="X1068" s="6">
        <v>0</v>
      </c>
      <c r="Y1068" s="43">
        <f>VLOOKUP(Tabla1[[#This Row],[PAGO DIA]],DIAS!A:J,10,0)</f>
        <v>46325</v>
      </c>
      <c r="Z1068" s="6">
        <v>0</v>
      </c>
      <c r="AA1068" s="43">
        <f>VLOOKUP(Tabla1[[#This Row],[PAGO DIA]],DIAS!A:K,11,0)</f>
        <v>46356</v>
      </c>
      <c r="AB1068" s="6">
        <v>0</v>
      </c>
      <c r="AC1068" s="43">
        <f>VLOOKUP(Tabla1[[#This Row],[PAGO DIA]],DIAS!A:M,12,0)</f>
        <v>46386</v>
      </c>
      <c r="AD10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69" spans="1:30">
      <c r="A1069" s="3">
        <v>11305</v>
      </c>
      <c r="B1069" s="3" t="s">
        <v>538</v>
      </c>
      <c r="C1069" s="3" t="s">
        <v>539</v>
      </c>
      <c r="D1069" s="3" t="s">
        <v>540</v>
      </c>
      <c r="E1069" s="3" t="s">
        <v>1615</v>
      </c>
      <c r="F1069" s="42" t="s">
        <v>631</v>
      </c>
      <c r="G1069" s="3"/>
      <c r="H1069" s="6">
        <v>0</v>
      </c>
      <c r="I1069" s="41">
        <f>VLOOKUP(Tabla1[[#This Row],[PAGO DIA]],DIAS!A:B,2,0)</f>
        <v>46080</v>
      </c>
      <c r="J1069" s="6">
        <v>0</v>
      </c>
      <c r="K1069" s="43">
        <f>VLOOKUP(Tabla1[[#This Row],[PAGO DIA]],DIAS!A:C,3,0)</f>
        <v>46112</v>
      </c>
      <c r="L1069" s="6">
        <v>0</v>
      </c>
      <c r="M1069" s="41">
        <f>VLOOKUP(Tabla1[[#This Row],[PAGO DIA]],DIAS!A:D,4,0)</f>
        <v>46142</v>
      </c>
      <c r="N1069" s="6">
        <v>0</v>
      </c>
      <c r="O1069" s="43">
        <f>VLOOKUP(Tabla1[[#This Row],[PAGO DIA]],DIAS!A:E,5,0)</f>
        <v>46171</v>
      </c>
      <c r="P1069" s="6">
        <v>0</v>
      </c>
      <c r="Q1069" s="43">
        <f>VLOOKUP(Tabla1[[#This Row],[PAGO DIA]],DIAS!A:F,6,0)</f>
        <v>46203</v>
      </c>
      <c r="R1069" s="6">
        <v>0</v>
      </c>
      <c r="S1069" s="43">
        <f>VLOOKUP(Tabla1[[#This Row],[PAGO DIA]],DIAS!A:G,7,0)</f>
        <v>46234</v>
      </c>
      <c r="T1069" s="6">
        <v>0</v>
      </c>
      <c r="U1069" s="43">
        <f>VLOOKUP(Tabla1[[#This Row],[PAGO DIA]],DIAS!A:H,8,0)</f>
        <v>46265</v>
      </c>
      <c r="V1069" s="6">
        <v>0</v>
      </c>
      <c r="W1069" s="43">
        <f>VLOOKUP(Tabla1[[#This Row],[PAGO DIA]],DIAS!A:I,9,0)</f>
        <v>46295</v>
      </c>
      <c r="X1069" s="6">
        <v>0</v>
      </c>
      <c r="Y1069" s="43">
        <f>VLOOKUP(Tabla1[[#This Row],[PAGO DIA]],DIAS!A:J,10,0)</f>
        <v>46325</v>
      </c>
      <c r="Z1069" s="6">
        <v>0</v>
      </c>
      <c r="AA1069" s="43">
        <f>VLOOKUP(Tabla1[[#This Row],[PAGO DIA]],DIAS!A:K,11,0)</f>
        <v>46356</v>
      </c>
      <c r="AB1069" s="6">
        <v>0</v>
      </c>
      <c r="AC1069" s="43">
        <f>VLOOKUP(Tabla1[[#This Row],[PAGO DIA]],DIAS!A:M,12,0)</f>
        <v>46386</v>
      </c>
      <c r="AD10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0" spans="1:30">
      <c r="A1070" s="3">
        <v>11797</v>
      </c>
      <c r="B1070" s="3" t="s">
        <v>538</v>
      </c>
      <c r="C1070" s="3" t="s">
        <v>540</v>
      </c>
      <c r="D1070" s="3" t="s">
        <v>540</v>
      </c>
      <c r="E1070" s="3" t="s">
        <v>1615</v>
      </c>
      <c r="F1070" s="42" t="s">
        <v>631</v>
      </c>
      <c r="G1070" s="3" t="s">
        <v>1616</v>
      </c>
      <c r="H1070" s="6">
        <v>0</v>
      </c>
      <c r="I1070" s="41">
        <f>VLOOKUP(Tabla1[[#This Row],[PAGO DIA]],DIAS!A:B,2,0)</f>
        <v>46080</v>
      </c>
      <c r="J1070" s="6">
        <v>0</v>
      </c>
      <c r="K1070" s="43">
        <f>VLOOKUP(Tabla1[[#This Row],[PAGO DIA]],DIAS!A:C,3,0)</f>
        <v>46112</v>
      </c>
      <c r="L1070" s="6">
        <v>0</v>
      </c>
      <c r="M1070" s="41">
        <f>VLOOKUP(Tabla1[[#This Row],[PAGO DIA]],DIAS!A:D,4,0)</f>
        <v>46142</v>
      </c>
      <c r="N1070" s="6">
        <v>0</v>
      </c>
      <c r="O1070" s="43">
        <f>VLOOKUP(Tabla1[[#This Row],[PAGO DIA]],DIAS!A:E,5,0)</f>
        <v>46171</v>
      </c>
      <c r="P1070" s="6">
        <v>0</v>
      </c>
      <c r="Q1070" s="43">
        <f>VLOOKUP(Tabla1[[#This Row],[PAGO DIA]],DIAS!A:F,6,0)</f>
        <v>46203</v>
      </c>
      <c r="R1070" s="6">
        <v>0</v>
      </c>
      <c r="S1070" s="43">
        <f>VLOOKUP(Tabla1[[#This Row],[PAGO DIA]],DIAS!A:G,7,0)</f>
        <v>46234</v>
      </c>
      <c r="T1070" s="6">
        <v>0</v>
      </c>
      <c r="U1070" s="43">
        <f>VLOOKUP(Tabla1[[#This Row],[PAGO DIA]],DIAS!A:H,8,0)</f>
        <v>46265</v>
      </c>
      <c r="V1070" s="6">
        <v>0</v>
      </c>
      <c r="W1070" s="43">
        <f>VLOOKUP(Tabla1[[#This Row],[PAGO DIA]],DIAS!A:I,9,0)</f>
        <v>46295</v>
      </c>
      <c r="X1070" s="6">
        <v>0</v>
      </c>
      <c r="Y1070" s="43">
        <f>VLOOKUP(Tabla1[[#This Row],[PAGO DIA]],DIAS!A:J,10,0)</f>
        <v>46325</v>
      </c>
      <c r="Z1070" s="6">
        <v>0</v>
      </c>
      <c r="AA1070" s="43">
        <f>VLOOKUP(Tabla1[[#This Row],[PAGO DIA]],DIAS!A:K,11,0)</f>
        <v>46356</v>
      </c>
      <c r="AB1070" s="6">
        <v>0</v>
      </c>
      <c r="AC1070" s="43">
        <f>VLOOKUP(Tabla1[[#This Row],[PAGO DIA]],DIAS!A:M,12,0)</f>
        <v>46386</v>
      </c>
      <c r="AD10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1" spans="1:30">
      <c r="A1071" s="3">
        <v>11798</v>
      </c>
      <c r="B1071" s="3" t="s">
        <v>538</v>
      </c>
      <c r="C1071" s="3" t="s">
        <v>540</v>
      </c>
      <c r="D1071" s="3" t="s">
        <v>540</v>
      </c>
      <c r="E1071" s="3" t="s">
        <v>1615</v>
      </c>
      <c r="F1071" s="42" t="s">
        <v>631</v>
      </c>
      <c r="G1071" s="3" t="s">
        <v>1617</v>
      </c>
      <c r="H1071" s="6">
        <v>0</v>
      </c>
      <c r="I1071" s="41">
        <f>VLOOKUP(Tabla1[[#This Row],[PAGO DIA]],DIAS!A:B,2,0)</f>
        <v>46080</v>
      </c>
      <c r="J1071" s="6">
        <v>0</v>
      </c>
      <c r="K1071" s="43">
        <f>VLOOKUP(Tabla1[[#This Row],[PAGO DIA]],DIAS!A:C,3,0)</f>
        <v>46112</v>
      </c>
      <c r="L1071" s="6">
        <v>0</v>
      </c>
      <c r="M1071" s="41">
        <f>VLOOKUP(Tabla1[[#This Row],[PAGO DIA]],DIAS!A:D,4,0)</f>
        <v>46142</v>
      </c>
      <c r="N1071" s="6">
        <v>0</v>
      </c>
      <c r="O1071" s="43">
        <f>VLOOKUP(Tabla1[[#This Row],[PAGO DIA]],DIAS!A:E,5,0)</f>
        <v>46171</v>
      </c>
      <c r="P1071" s="6">
        <v>0</v>
      </c>
      <c r="Q1071" s="43">
        <f>VLOOKUP(Tabla1[[#This Row],[PAGO DIA]],DIAS!A:F,6,0)</f>
        <v>46203</v>
      </c>
      <c r="R1071" s="6">
        <v>0</v>
      </c>
      <c r="S1071" s="43">
        <f>VLOOKUP(Tabla1[[#This Row],[PAGO DIA]],DIAS!A:G,7,0)</f>
        <v>46234</v>
      </c>
      <c r="T1071" s="6">
        <v>0</v>
      </c>
      <c r="U1071" s="43">
        <f>VLOOKUP(Tabla1[[#This Row],[PAGO DIA]],DIAS!A:H,8,0)</f>
        <v>46265</v>
      </c>
      <c r="V1071" s="6">
        <v>0</v>
      </c>
      <c r="W1071" s="43">
        <f>VLOOKUP(Tabla1[[#This Row],[PAGO DIA]],DIAS!A:I,9,0)</f>
        <v>46295</v>
      </c>
      <c r="X1071" s="6">
        <v>0</v>
      </c>
      <c r="Y1071" s="43">
        <f>VLOOKUP(Tabla1[[#This Row],[PAGO DIA]],DIAS!A:J,10,0)</f>
        <v>46325</v>
      </c>
      <c r="Z1071" s="6">
        <v>0</v>
      </c>
      <c r="AA1071" s="43">
        <f>VLOOKUP(Tabla1[[#This Row],[PAGO DIA]],DIAS!A:K,11,0)</f>
        <v>46356</v>
      </c>
      <c r="AB1071" s="6">
        <v>0</v>
      </c>
      <c r="AC1071" s="43">
        <f>VLOOKUP(Tabla1[[#This Row],[PAGO DIA]],DIAS!A:M,12,0)</f>
        <v>46386</v>
      </c>
      <c r="AD10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2" spans="1:30">
      <c r="A1072" s="3">
        <v>12521</v>
      </c>
      <c r="B1072" s="3" t="s">
        <v>538</v>
      </c>
      <c r="C1072" s="3" t="s">
        <v>539</v>
      </c>
      <c r="D1072" s="3" t="s">
        <v>540</v>
      </c>
      <c r="E1072" s="3" t="s">
        <v>598</v>
      </c>
      <c r="F1072" s="42" t="s">
        <v>631</v>
      </c>
      <c r="G1072" s="3" t="s">
        <v>1618</v>
      </c>
      <c r="H1072" s="6">
        <v>0</v>
      </c>
      <c r="I1072" s="41">
        <f>VLOOKUP(Tabla1[[#This Row],[PAGO DIA]],DIAS!A:B,2,0)</f>
        <v>46080</v>
      </c>
      <c r="J1072" s="6">
        <v>0</v>
      </c>
      <c r="K1072" s="43">
        <f>VLOOKUP(Tabla1[[#This Row],[PAGO DIA]],DIAS!A:C,3,0)</f>
        <v>46112</v>
      </c>
      <c r="L1072" s="6">
        <v>0</v>
      </c>
      <c r="M1072" s="41">
        <f>VLOOKUP(Tabla1[[#This Row],[PAGO DIA]],DIAS!A:D,4,0)</f>
        <v>46142</v>
      </c>
      <c r="N1072" s="6">
        <v>0</v>
      </c>
      <c r="O1072" s="43">
        <f>VLOOKUP(Tabla1[[#This Row],[PAGO DIA]],DIAS!A:E,5,0)</f>
        <v>46171</v>
      </c>
      <c r="P1072" s="6">
        <v>0</v>
      </c>
      <c r="Q1072" s="43">
        <f>VLOOKUP(Tabla1[[#This Row],[PAGO DIA]],DIAS!A:F,6,0)</f>
        <v>46203</v>
      </c>
      <c r="R1072" s="6">
        <v>0</v>
      </c>
      <c r="S1072" s="43">
        <f>VLOOKUP(Tabla1[[#This Row],[PAGO DIA]],DIAS!A:G,7,0)</f>
        <v>46234</v>
      </c>
      <c r="T1072" s="6">
        <v>0</v>
      </c>
      <c r="U1072" s="43">
        <f>VLOOKUP(Tabla1[[#This Row],[PAGO DIA]],DIAS!A:H,8,0)</f>
        <v>46265</v>
      </c>
      <c r="V1072" s="6">
        <v>0</v>
      </c>
      <c r="W1072" s="43">
        <f>VLOOKUP(Tabla1[[#This Row],[PAGO DIA]],DIAS!A:I,9,0)</f>
        <v>46295</v>
      </c>
      <c r="X1072" s="6">
        <v>0</v>
      </c>
      <c r="Y1072" s="43">
        <f>VLOOKUP(Tabla1[[#This Row],[PAGO DIA]],DIAS!A:J,10,0)</f>
        <v>46325</v>
      </c>
      <c r="Z1072" s="6">
        <v>0</v>
      </c>
      <c r="AA1072" s="43">
        <f>VLOOKUP(Tabla1[[#This Row],[PAGO DIA]],DIAS!A:K,11,0)</f>
        <v>46356</v>
      </c>
      <c r="AB1072" s="6">
        <v>0</v>
      </c>
      <c r="AC1072" s="43">
        <f>VLOOKUP(Tabla1[[#This Row],[PAGO DIA]],DIAS!A:M,12,0)</f>
        <v>46386</v>
      </c>
      <c r="AD10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3" spans="1:30">
      <c r="A1073" s="3">
        <v>12522</v>
      </c>
      <c r="B1073" s="3" t="s">
        <v>538</v>
      </c>
      <c r="C1073" s="3" t="s">
        <v>539</v>
      </c>
      <c r="D1073" s="3" t="s">
        <v>540</v>
      </c>
      <c r="E1073" s="3" t="s">
        <v>598</v>
      </c>
      <c r="F1073" s="42" t="s">
        <v>631</v>
      </c>
      <c r="G1073" s="3" t="s">
        <v>1619</v>
      </c>
      <c r="H1073" s="6">
        <v>0</v>
      </c>
      <c r="I1073" s="41">
        <f>VLOOKUP(Tabla1[[#This Row],[PAGO DIA]],DIAS!A:B,2,0)</f>
        <v>46080</v>
      </c>
      <c r="J1073" s="6">
        <v>0</v>
      </c>
      <c r="K1073" s="43">
        <f>VLOOKUP(Tabla1[[#This Row],[PAGO DIA]],DIAS!A:C,3,0)</f>
        <v>46112</v>
      </c>
      <c r="L1073" s="6">
        <v>0</v>
      </c>
      <c r="M1073" s="41">
        <f>VLOOKUP(Tabla1[[#This Row],[PAGO DIA]],DIAS!A:D,4,0)</f>
        <v>46142</v>
      </c>
      <c r="N1073" s="6">
        <v>0</v>
      </c>
      <c r="O1073" s="43">
        <f>VLOOKUP(Tabla1[[#This Row],[PAGO DIA]],DIAS!A:E,5,0)</f>
        <v>46171</v>
      </c>
      <c r="P1073" s="6">
        <v>0</v>
      </c>
      <c r="Q1073" s="43">
        <f>VLOOKUP(Tabla1[[#This Row],[PAGO DIA]],DIAS!A:F,6,0)</f>
        <v>46203</v>
      </c>
      <c r="R1073" s="6">
        <v>0</v>
      </c>
      <c r="S1073" s="43">
        <f>VLOOKUP(Tabla1[[#This Row],[PAGO DIA]],DIAS!A:G,7,0)</f>
        <v>46234</v>
      </c>
      <c r="T1073" s="6">
        <v>0</v>
      </c>
      <c r="U1073" s="43">
        <f>VLOOKUP(Tabla1[[#This Row],[PAGO DIA]],DIAS!A:H,8,0)</f>
        <v>46265</v>
      </c>
      <c r="V1073" s="6">
        <v>0</v>
      </c>
      <c r="W1073" s="43">
        <f>VLOOKUP(Tabla1[[#This Row],[PAGO DIA]],DIAS!A:I,9,0)</f>
        <v>46295</v>
      </c>
      <c r="X1073" s="6">
        <v>0</v>
      </c>
      <c r="Y1073" s="43">
        <f>VLOOKUP(Tabla1[[#This Row],[PAGO DIA]],DIAS!A:J,10,0)</f>
        <v>46325</v>
      </c>
      <c r="Z1073" s="6">
        <v>0</v>
      </c>
      <c r="AA1073" s="43">
        <f>VLOOKUP(Tabla1[[#This Row],[PAGO DIA]],DIAS!A:K,11,0)</f>
        <v>46356</v>
      </c>
      <c r="AB1073" s="6">
        <v>0</v>
      </c>
      <c r="AC1073" s="43">
        <f>VLOOKUP(Tabla1[[#This Row],[PAGO DIA]],DIAS!A:M,12,0)</f>
        <v>46386</v>
      </c>
      <c r="AD10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4" spans="1:30">
      <c r="A1074" s="3">
        <v>12562</v>
      </c>
      <c r="B1074" s="3" t="s">
        <v>538</v>
      </c>
      <c r="C1074" s="3" t="s">
        <v>539</v>
      </c>
      <c r="D1074" s="3" t="s">
        <v>540</v>
      </c>
      <c r="E1074" s="3" t="s">
        <v>598</v>
      </c>
      <c r="F1074" s="42" t="s">
        <v>631</v>
      </c>
      <c r="G1074" s="3" t="s">
        <v>1620</v>
      </c>
      <c r="H1074" s="6">
        <v>0</v>
      </c>
      <c r="I1074" s="41">
        <f>VLOOKUP(Tabla1[[#This Row],[PAGO DIA]],DIAS!A:B,2,0)</f>
        <v>46080</v>
      </c>
      <c r="J1074" s="6">
        <v>0</v>
      </c>
      <c r="K1074" s="43">
        <f>VLOOKUP(Tabla1[[#This Row],[PAGO DIA]],DIAS!A:C,3,0)</f>
        <v>46112</v>
      </c>
      <c r="L1074" s="6">
        <v>0</v>
      </c>
      <c r="M1074" s="41">
        <f>VLOOKUP(Tabla1[[#This Row],[PAGO DIA]],DIAS!A:D,4,0)</f>
        <v>46142</v>
      </c>
      <c r="N1074" s="6">
        <v>0</v>
      </c>
      <c r="O1074" s="43">
        <f>VLOOKUP(Tabla1[[#This Row],[PAGO DIA]],DIAS!A:E,5,0)</f>
        <v>46171</v>
      </c>
      <c r="P1074" s="6">
        <v>0</v>
      </c>
      <c r="Q1074" s="43">
        <f>VLOOKUP(Tabla1[[#This Row],[PAGO DIA]],DIAS!A:F,6,0)</f>
        <v>46203</v>
      </c>
      <c r="R1074" s="6">
        <v>0</v>
      </c>
      <c r="S1074" s="43">
        <f>VLOOKUP(Tabla1[[#This Row],[PAGO DIA]],DIAS!A:G,7,0)</f>
        <v>46234</v>
      </c>
      <c r="T1074" s="6">
        <v>0</v>
      </c>
      <c r="U1074" s="43">
        <f>VLOOKUP(Tabla1[[#This Row],[PAGO DIA]],DIAS!A:H,8,0)</f>
        <v>46265</v>
      </c>
      <c r="V1074" s="6">
        <v>0</v>
      </c>
      <c r="W1074" s="43">
        <f>VLOOKUP(Tabla1[[#This Row],[PAGO DIA]],DIAS!A:I,9,0)</f>
        <v>46295</v>
      </c>
      <c r="X1074" s="6">
        <v>0</v>
      </c>
      <c r="Y1074" s="43">
        <f>VLOOKUP(Tabla1[[#This Row],[PAGO DIA]],DIAS!A:J,10,0)</f>
        <v>46325</v>
      </c>
      <c r="Z1074" s="6">
        <v>0</v>
      </c>
      <c r="AA1074" s="43">
        <f>VLOOKUP(Tabla1[[#This Row],[PAGO DIA]],DIAS!A:K,11,0)</f>
        <v>46356</v>
      </c>
      <c r="AB1074" s="6">
        <v>0</v>
      </c>
      <c r="AC1074" s="43">
        <f>VLOOKUP(Tabla1[[#This Row],[PAGO DIA]],DIAS!A:M,12,0)</f>
        <v>46386</v>
      </c>
      <c r="AD10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5" spans="1:30">
      <c r="A1075" s="3">
        <v>12563</v>
      </c>
      <c r="B1075" s="3" t="s">
        <v>538</v>
      </c>
      <c r="C1075" s="3" t="s">
        <v>539</v>
      </c>
      <c r="D1075" s="3" t="s">
        <v>540</v>
      </c>
      <c r="E1075" s="3" t="s">
        <v>598</v>
      </c>
      <c r="F1075" s="42" t="s">
        <v>631</v>
      </c>
      <c r="G1075" s="3" t="s">
        <v>1621</v>
      </c>
      <c r="H1075" s="6">
        <v>0</v>
      </c>
      <c r="I1075" s="41">
        <f>VLOOKUP(Tabla1[[#This Row],[PAGO DIA]],DIAS!A:B,2,0)</f>
        <v>46080</v>
      </c>
      <c r="J1075" s="6">
        <v>0</v>
      </c>
      <c r="K1075" s="43">
        <f>VLOOKUP(Tabla1[[#This Row],[PAGO DIA]],DIAS!A:C,3,0)</f>
        <v>46112</v>
      </c>
      <c r="L1075" s="6">
        <v>0</v>
      </c>
      <c r="M1075" s="41">
        <f>VLOOKUP(Tabla1[[#This Row],[PAGO DIA]],DIAS!A:D,4,0)</f>
        <v>46142</v>
      </c>
      <c r="N1075" s="6">
        <v>0</v>
      </c>
      <c r="O1075" s="43">
        <f>VLOOKUP(Tabla1[[#This Row],[PAGO DIA]],DIAS!A:E,5,0)</f>
        <v>46171</v>
      </c>
      <c r="P1075" s="6">
        <v>0</v>
      </c>
      <c r="Q1075" s="43">
        <f>VLOOKUP(Tabla1[[#This Row],[PAGO DIA]],DIAS!A:F,6,0)</f>
        <v>46203</v>
      </c>
      <c r="R1075" s="6">
        <v>0</v>
      </c>
      <c r="S1075" s="43">
        <f>VLOOKUP(Tabla1[[#This Row],[PAGO DIA]],DIAS!A:G,7,0)</f>
        <v>46234</v>
      </c>
      <c r="T1075" s="6">
        <v>0</v>
      </c>
      <c r="U1075" s="43">
        <f>VLOOKUP(Tabla1[[#This Row],[PAGO DIA]],DIAS!A:H,8,0)</f>
        <v>46265</v>
      </c>
      <c r="V1075" s="6">
        <v>0</v>
      </c>
      <c r="W1075" s="43">
        <f>VLOOKUP(Tabla1[[#This Row],[PAGO DIA]],DIAS!A:I,9,0)</f>
        <v>46295</v>
      </c>
      <c r="X1075" s="6">
        <v>0</v>
      </c>
      <c r="Y1075" s="43">
        <f>VLOOKUP(Tabla1[[#This Row],[PAGO DIA]],DIAS!A:J,10,0)</f>
        <v>46325</v>
      </c>
      <c r="Z1075" s="6">
        <v>0</v>
      </c>
      <c r="AA1075" s="43">
        <f>VLOOKUP(Tabla1[[#This Row],[PAGO DIA]],DIAS!A:K,11,0)</f>
        <v>46356</v>
      </c>
      <c r="AB1075" s="6">
        <v>0</v>
      </c>
      <c r="AC1075" s="43">
        <f>VLOOKUP(Tabla1[[#This Row],[PAGO DIA]],DIAS!A:M,12,0)</f>
        <v>46386</v>
      </c>
      <c r="AD10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6" spans="1:30">
      <c r="A1076" s="3">
        <v>12564</v>
      </c>
      <c r="B1076" s="3" t="s">
        <v>538</v>
      </c>
      <c r="C1076" s="3" t="s">
        <v>539</v>
      </c>
      <c r="D1076" s="3" t="s">
        <v>540</v>
      </c>
      <c r="E1076" s="3" t="s">
        <v>598</v>
      </c>
      <c r="F1076" s="42" t="s">
        <v>631</v>
      </c>
      <c r="G1076" s="3" t="s">
        <v>1622</v>
      </c>
      <c r="H1076" s="6">
        <v>0</v>
      </c>
      <c r="I1076" s="41">
        <f>VLOOKUP(Tabla1[[#This Row],[PAGO DIA]],DIAS!A:B,2,0)</f>
        <v>46080</v>
      </c>
      <c r="J1076" s="6">
        <v>0</v>
      </c>
      <c r="K1076" s="43">
        <f>VLOOKUP(Tabla1[[#This Row],[PAGO DIA]],DIAS!A:C,3,0)</f>
        <v>46112</v>
      </c>
      <c r="L1076" s="6">
        <v>0</v>
      </c>
      <c r="M1076" s="41">
        <f>VLOOKUP(Tabla1[[#This Row],[PAGO DIA]],DIAS!A:D,4,0)</f>
        <v>46142</v>
      </c>
      <c r="N1076" s="6">
        <v>0</v>
      </c>
      <c r="O1076" s="43">
        <f>VLOOKUP(Tabla1[[#This Row],[PAGO DIA]],DIAS!A:E,5,0)</f>
        <v>46171</v>
      </c>
      <c r="P1076" s="6">
        <v>0</v>
      </c>
      <c r="Q1076" s="43">
        <f>VLOOKUP(Tabla1[[#This Row],[PAGO DIA]],DIAS!A:F,6,0)</f>
        <v>46203</v>
      </c>
      <c r="R1076" s="6">
        <v>0</v>
      </c>
      <c r="S1076" s="43">
        <f>VLOOKUP(Tabla1[[#This Row],[PAGO DIA]],DIAS!A:G,7,0)</f>
        <v>46234</v>
      </c>
      <c r="T1076" s="6">
        <v>0</v>
      </c>
      <c r="U1076" s="43">
        <f>VLOOKUP(Tabla1[[#This Row],[PAGO DIA]],DIAS!A:H,8,0)</f>
        <v>46265</v>
      </c>
      <c r="V1076" s="6">
        <v>0</v>
      </c>
      <c r="W1076" s="43">
        <f>VLOOKUP(Tabla1[[#This Row],[PAGO DIA]],DIAS!A:I,9,0)</f>
        <v>46295</v>
      </c>
      <c r="X1076" s="6">
        <v>0</v>
      </c>
      <c r="Y1076" s="43">
        <f>VLOOKUP(Tabla1[[#This Row],[PAGO DIA]],DIAS!A:J,10,0)</f>
        <v>46325</v>
      </c>
      <c r="Z1076" s="6">
        <v>0</v>
      </c>
      <c r="AA1076" s="43">
        <f>VLOOKUP(Tabla1[[#This Row],[PAGO DIA]],DIAS!A:K,11,0)</f>
        <v>46356</v>
      </c>
      <c r="AB1076" s="6">
        <v>0</v>
      </c>
      <c r="AC1076" s="43">
        <f>VLOOKUP(Tabla1[[#This Row],[PAGO DIA]],DIAS!A:M,12,0)</f>
        <v>46386</v>
      </c>
      <c r="AD10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7" spans="1:30">
      <c r="A1077" s="3">
        <v>12628</v>
      </c>
      <c r="B1077" s="3" t="s">
        <v>538</v>
      </c>
      <c r="C1077" s="3" t="s">
        <v>539</v>
      </c>
      <c r="D1077" s="3" t="s">
        <v>540</v>
      </c>
      <c r="E1077" s="3" t="s">
        <v>598</v>
      </c>
      <c r="F1077" s="42" t="s">
        <v>631</v>
      </c>
      <c r="G1077" s="3" t="s">
        <v>1623</v>
      </c>
      <c r="H1077" s="6">
        <v>0</v>
      </c>
      <c r="I1077" s="41">
        <f>VLOOKUP(Tabla1[[#This Row],[PAGO DIA]],DIAS!A:B,2,0)</f>
        <v>46080</v>
      </c>
      <c r="J1077" s="6">
        <v>0</v>
      </c>
      <c r="K1077" s="43">
        <f>VLOOKUP(Tabla1[[#This Row],[PAGO DIA]],DIAS!A:C,3,0)</f>
        <v>46112</v>
      </c>
      <c r="L1077" s="6">
        <v>0</v>
      </c>
      <c r="M1077" s="41">
        <f>VLOOKUP(Tabla1[[#This Row],[PAGO DIA]],DIAS!A:D,4,0)</f>
        <v>46142</v>
      </c>
      <c r="N1077" s="6">
        <v>0</v>
      </c>
      <c r="O1077" s="43">
        <f>VLOOKUP(Tabla1[[#This Row],[PAGO DIA]],DIAS!A:E,5,0)</f>
        <v>46171</v>
      </c>
      <c r="P1077" s="6">
        <v>0</v>
      </c>
      <c r="Q1077" s="43">
        <f>VLOOKUP(Tabla1[[#This Row],[PAGO DIA]],DIAS!A:F,6,0)</f>
        <v>46203</v>
      </c>
      <c r="R1077" s="6">
        <v>0</v>
      </c>
      <c r="S1077" s="43">
        <f>VLOOKUP(Tabla1[[#This Row],[PAGO DIA]],DIAS!A:G,7,0)</f>
        <v>46234</v>
      </c>
      <c r="T1077" s="6">
        <v>0</v>
      </c>
      <c r="U1077" s="43">
        <f>VLOOKUP(Tabla1[[#This Row],[PAGO DIA]],DIAS!A:H,8,0)</f>
        <v>46265</v>
      </c>
      <c r="V1077" s="6">
        <v>0</v>
      </c>
      <c r="W1077" s="43">
        <f>VLOOKUP(Tabla1[[#This Row],[PAGO DIA]],DIAS!A:I,9,0)</f>
        <v>46295</v>
      </c>
      <c r="X1077" s="6">
        <v>0</v>
      </c>
      <c r="Y1077" s="43">
        <f>VLOOKUP(Tabla1[[#This Row],[PAGO DIA]],DIAS!A:J,10,0)</f>
        <v>46325</v>
      </c>
      <c r="Z1077" s="6">
        <v>0</v>
      </c>
      <c r="AA1077" s="43">
        <f>VLOOKUP(Tabla1[[#This Row],[PAGO DIA]],DIAS!A:K,11,0)</f>
        <v>46356</v>
      </c>
      <c r="AB1077" s="6">
        <v>0</v>
      </c>
      <c r="AC1077" s="43">
        <f>VLOOKUP(Tabla1[[#This Row],[PAGO DIA]],DIAS!A:M,12,0)</f>
        <v>46386</v>
      </c>
      <c r="AD10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8" spans="1:30">
      <c r="A1078" s="3">
        <v>12764</v>
      </c>
      <c r="B1078" s="3" t="s">
        <v>538</v>
      </c>
      <c r="C1078" s="3" t="s">
        <v>539</v>
      </c>
      <c r="D1078" s="3" t="s">
        <v>540</v>
      </c>
      <c r="E1078" s="3" t="s">
        <v>598</v>
      </c>
      <c r="F1078" s="42" t="s">
        <v>631</v>
      </c>
      <c r="G1078" s="3" t="s">
        <v>1624</v>
      </c>
      <c r="H1078" s="6">
        <v>0</v>
      </c>
      <c r="I1078" s="41">
        <f>VLOOKUP(Tabla1[[#This Row],[PAGO DIA]],DIAS!A:B,2,0)</f>
        <v>46080</v>
      </c>
      <c r="J1078" s="6">
        <v>0</v>
      </c>
      <c r="K1078" s="43">
        <f>VLOOKUP(Tabla1[[#This Row],[PAGO DIA]],DIAS!A:C,3,0)</f>
        <v>46112</v>
      </c>
      <c r="L1078" s="6">
        <v>0</v>
      </c>
      <c r="M1078" s="41">
        <f>VLOOKUP(Tabla1[[#This Row],[PAGO DIA]],DIAS!A:D,4,0)</f>
        <v>46142</v>
      </c>
      <c r="N1078" s="6">
        <v>0</v>
      </c>
      <c r="O1078" s="43">
        <f>VLOOKUP(Tabla1[[#This Row],[PAGO DIA]],DIAS!A:E,5,0)</f>
        <v>46171</v>
      </c>
      <c r="P1078" s="6">
        <v>0</v>
      </c>
      <c r="Q1078" s="43">
        <f>VLOOKUP(Tabla1[[#This Row],[PAGO DIA]],DIAS!A:F,6,0)</f>
        <v>46203</v>
      </c>
      <c r="R1078" s="6">
        <v>0</v>
      </c>
      <c r="S1078" s="43">
        <f>VLOOKUP(Tabla1[[#This Row],[PAGO DIA]],DIAS!A:G,7,0)</f>
        <v>46234</v>
      </c>
      <c r="T1078" s="6">
        <v>0</v>
      </c>
      <c r="U1078" s="43">
        <f>VLOOKUP(Tabla1[[#This Row],[PAGO DIA]],DIAS!A:H,8,0)</f>
        <v>46265</v>
      </c>
      <c r="V1078" s="6">
        <v>0</v>
      </c>
      <c r="W1078" s="43">
        <f>VLOOKUP(Tabla1[[#This Row],[PAGO DIA]],DIAS!A:I,9,0)</f>
        <v>46295</v>
      </c>
      <c r="X1078" s="6">
        <v>0</v>
      </c>
      <c r="Y1078" s="43">
        <f>VLOOKUP(Tabla1[[#This Row],[PAGO DIA]],DIAS!A:J,10,0)</f>
        <v>46325</v>
      </c>
      <c r="Z1078" s="6">
        <v>0</v>
      </c>
      <c r="AA1078" s="43">
        <f>VLOOKUP(Tabla1[[#This Row],[PAGO DIA]],DIAS!A:K,11,0)</f>
        <v>46356</v>
      </c>
      <c r="AB1078" s="6">
        <v>0</v>
      </c>
      <c r="AC1078" s="43">
        <f>VLOOKUP(Tabla1[[#This Row],[PAGO DIA]],DIAS!A:M,12,0)</f>
        <v>46386</v>
      </c>
      <c r="AD10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79" spans="1:30">
      <c r="A1079" s="3">
        <v>12765</v>
      </c>
      <c r="B1079" s="3" t="s">
        <v>538</v>
      </c>
      <c r="C1079" s="3" t="s">
        <v>539</v>
      </c>
      <c r="D1079" s="3" t="s">
        <v>540</v>
      </c>
      <c r="E1079" s="3" t="s">
        <v>598</v>
      </c>
      <c r="F1079" s="42" t="s">
        <v>631</v>
      </c>
      <c r="G1079" s="3" t="s">
        <v>1625</v>
      </c>
      <c r="H1079" s="6">
        <v>0</v>
      </c>
      <c r="I1079" s="41">
        <f>VLOOKUP(Tabla1[[#This Row],[PAGO DIA]],DIAS!A:B,2,0)</f>
        <v>46080</v>
      </c>
      <c r="J1079" s="6">
        <v>0</v>
      </c>
      <c r="K1079" s="43">
        <f>VLOOKUP(Tabla1[[#This Row],[PAGO DIA]],DIAS!A:C,3,0)</f>
        <v>46112</v>
      </c>
      <c r="L1079" s="6">
        <v>0</v>
      </c>
      <c r="M1079" s="41">
        <f>VLOOKUP(Tabla1[[#This Row],[PAGO DIA]],DIAS!A:D,4,0)</f>
        <v>46142</v>
      </c>
      <c r="N1079" s="6">
        <v>0</v>
      </c>
      <c r="O1079" s="43">
        <f>VLOOKUP(Tabla1[[#This Row],[PAGO DIA]],DIAS!A:E,5,0)</f>
        <v>46171</v>
      </c>
      <c r="P1079" s="6">
        <v>0</v>
      </c>
      <c r="Q1079" s="43">
        <f>VLOOKUP(Tabla1[[#This Row],[PAGO DIA]],DIAS!A:F,6,0)</f>
        <v>46203</v>
      </c>
      <c r="R1079" s="6">
        <v>0</v>
      </c>
      <c r="S1079" s="43">
        <f>VLOOKUP(Tabla1[[#This Row],[PAGO DIA]],DIAS!A:G,7,0)</f>
        <v>46234</v>
      </c>
      <c r="T1079" s="6">
        <v>0</v>
      </c>
      <c r="U1079" s="43">
        <f>VLOOKUP(Tabla1[[#This Row],[PAGO DIA]],DIAS!A:H,8,0)</f>
        <v>46265</v>
      </c>
      <c r="V1079" s="6">
        <v>0</v>
      </c>
      <c r="W1079" s="43">
        <f>VLOOKUP(Tabla1[[#This Row],[PAGO DIA]],DIAS!A:I,9,0)</f>
        <v>46295</v>
      </c>
      <c r="X1079" s="6">
        <v>0</v>
      </c>
      <c r="Y1079" s="43">
        <f>VLOOKUP(Tabla1[[#This Row],[PAGO DIA]],DIAS!A:J,10,0)</f>
        <v>46325</v>
      </c>
      <c r="Z1079" s="6">
        <v>0</v>
      </c>
      <c r="AA1079" s="43">
        <f>VLOOKUP(Tabla1[[#This Row],[PAGO DIA]],DIAS!A:K,11,0)</f>
        <v>46356</v>
      </c>
      <c r="AB1079" s="6">
        <v>0</v>
      </c>
      <c r="AC1079" s="43">
        <f>VLOOKUP(Tabla1[[#This Row],[PAGO DIA]],DIAS!A:M,12,0)</f>
        <v>46386</v>
      </c>
      <c r="AD10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0" spans="1:30">
      <c r="A1080" s="3">
        <v>12766</v>
      </c>
      <c r="B1080" s="3" t="s">
        <v>538</v>
      </c>
      <c r="C1080" s="3" t="s">
        <v>539</v>
      </c>
      <c r="D1080" s="3" t="s">
        <v>540</v>
      </c>
      <c r="E1080" s="3" t="s">
        <v>598</v>
      </c>
      <c r="F1080" s="42" t="s">
        <v>631</v>
      </c>
      <c r="G1080" s="3" t="s">
        <v>1626</v>
      </c>
      <c r="H1080" s="6">
        <v>0</v>
      </c>
      <c r="I1080" s="41">
        <f>VLOOKUP(Tabla1[[#This Row],[PAGO DIA]],DIAS!A:B,2,0)</f>
        <v>46080</v>
      </c>
      <c r="J1080" s="6">
        <v>0</v>
      </c>
      <c r="K1080" s="43">
        <f>VLOOKUP(Tabla1[[#This Row],[PAGO DIA]],DIAS!A:C,3,0)</f>
        <v>46112</v>
      </c>
      <c r="L1080" s="6">
        <v>0</v>
      </c>
      <c r="M1080" s="41">
        <f>VLOOKUP(Tabla1[[#This Row],[PAGO DIA]],DIAS!A:D,4,0)</f>
        <v>46142</v>
      </c>
      <c r="N1080" s="6">
        <v>0</v>
      </c>
      <c r="O1080" s="43">
        <f>VLOOKUP(Tabla1[[#This Row],[PAGO DIA]],DIAS!A:E,5,0)</f>
        <v>46171</v>
      </c>
      <c r="P1080" s="6">
        <v>0</v>
      </c>
      <c r="Q1080" s="43">
        <f>VLOOKUP(Tabla1[[#This Row],[PAGO DIA]],DIAS!A:F,6,0)</f>
        <v>46203</v>
      </c>
      <c r="R1080" s="6">
        <v>0</v>
      </c>
      <c r="S1080" s="43">
        <f>VLOOKUP(Tabla1[[#This Row],[PAGO DIA]],DIAS!A:G,7,0)</f>
        <v>46234</v>
      </c>
      <c r="T1080" s="6">
        <v>0</v>
      </c>
      <c r="U1080" s="43">
        <f>VLOOKUP(Tabla1[[#This Row],[PAGO DIA]],DIAS!A:H,8,0)</f>
        <v>46265</v>
      </c>
      <c r="V1080" s="6">
        <v>0</v>
      </c>
      <c r="W1080" s="43">
        <f>VLOOKUP(Tabla1[[#This Row],[PAGO DIA]],DIAS!A:I,9,0)</f>
        <v>46295</v>
      </c>
      <c r="X1080" s="6">
        <v>0</v>
      </c>
      <c r="Y1080" s="43">
        <f>VLOOKUP(Tabla1[[#This Row],[PAGO DIA]],DIAS!A:J,10,0)</f>
        <v>46325</v>
      </c>
      <c r="Z1080" s="6">
        <v>0</v>
      </c>
      <c r="AA1080" s="43">
        <f>VLOOKUP(Tabla1[[#This Row],[PAGO DIA]],DIAS!A:K,11,0)</f>
        <v>46356</v>
      </c>
      <c r="AB1080" s="6">
        <v>0</v>
      </c>
      <c r="AC1080" s="43">
        <f>VLOOKUP(Tabla1[[#This Row],[PAGO DIA]],DIAS!A:M,12,0)</f>
        <v>46386</v>
      </c>
      <c r="AD10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1" spans="1:30">
      <c r="A1081" s="3">
        <v>12767</v>
      </c>
      <c r="B1081" s="3" t="s">
        <v>538</v>
      </c>
      <c r="C1081" s="3" t="s">
        <v>539</v>
      </c>
      <c r="D1081" s="3" t="s">
        <v>540</v>
      </c>
      <c r="E1081" s="3" t="s">
        <v>598</v>
      </c>
      <c r="F1081" s="42" t="s">
        <v>631</v>
      </c>
      <c r="G1081" s="3" t="s">
        <v>1627</v>
      </c>
      <c r="H1081" s="6">
        <v>0</v>
      </c>
      <c r="I1081" s="41">
        <f>VLOOKUP(Tabla1[[#This Row],[PAGO DIA]],DIAS!A:B,2,0)</f>
        <v>46080</v>
      </c>
      <c r="J1081" s="6">
        <v>0</v>
      </c>
      <c r="K1081" s="43">
        <f>VLOOKUP(Tabla1[[#This Row],[PAGO DIA]],DIAS!A:C,3,0)</f>
        <v>46112</v>
      </c>
      <c r="L1081" s="6">
        <v>0</v>
      </c>
      <c r="M1081" s="41">
        <f>VLOOKUP(Tabla1[[#This Row],[PAGO DIA]],DIAS!A:D,4,0)</f>
        <v>46142</v>
      </c>
      <c r="N1081" s="6">
        <v>0</v>
      </c>
      <c r="O1081" s="43">
        <f>VLOOKUP(Tabla1[[#This Row],[PAGO DIA]],DIAS!A:E,5,0)</f>
        <v>46171</v>
      </c>
      <c r="P1081" s="6">
        <v>0</v>
      </c>
      <c r="Q1081" s="43">
        <f>VLOOKUP(Tabla1[[#This Row],[PAGO DIA]],DIAS!A:F,6,0)</f>
        <v>46203</v>
      </c>
      <c r="R1081" s="6">
        <v>0</v>
      </c>
      <c r="S1081" s="43">
        <f>VLOOKUP(Tabla1[[#This Row],[PAGO DIA]],DIAS!A:G,7,0)</f>
        <v>46234</v>
      </c>
      <c r="T1081" s="6">
        <v>0</v>
      </c>
      <c r="U1081" s="43">
        <f>VLOOKUP(Tabla1[[#This Row],[PAGO DIA]],DIAS!A:H,8,0)</f>
        <v>46265</v>
      </c>
      <c r="V1081" s="6">
        <v>0</v>
      </c>
      <c r="W1081" s="43">
        <f>VLOOKUP(Tabla1[[#This Row],[PAGO DIA]],DIAS!A:I,9,0)</f>
        <v>46295</v>
      </c>
      <c r="X1081" s="6">
        <v>0</v>
      </c>
      <c r="Y1081" s="43">
        <f>VLOOKUP(Tabla1[[#This Row],[PAGO DIA]],DIAS!A:J,10,0)</f>
        <v>46325</v>
      </c>
      <c r="Z1081" s="6">
        <v>0</v>
      </c>
      <c r="AA1081" s="43">
        <f>VLOOKUP(Tabla1[[#This Row],[PAGO DIA]],DIAS!A:K,11,0)</f>
        <v>46356</v>
      </c>
      <c r="AB1081" s="6">
        <v>0</v>
      </c>
      <c r="AC1081" s="43">
        <f>VLOOKUP(Tabla1[[#This Row],[PAGO DIA]],DIAS!A:M,12,0)</f>
        <v>46386</v>
      </c>
      <c r="AD10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2" spans="1:30">
      <c r="A1082" s="3">
        <v>12768</v>
      </c>
      <c r="B1082" s="3" t="s">
        <v>538</v>
      </c>
      <c r="C1082" s="3" t="s">
        <v>539</v>
      </c>
      <c r="D1082" s="3" t="s">
        <v>540</v>
      </c>
      <c r="E1082" s="3" t="s">
        <v>598</v>
      </c>
      <c r="F1082" s="42" t="s">
        <v>631</v>
      </c>
      <c r="G1082" s="3" t="s">
        <v>1628</v>
      </c>
      <c r="H1082" s="6">
        <v>0</v>
      </c>
      <c r="I1082" s="41">
        <f>VLOOKUP(Tabla1[[#This Row],[PAGO DIA]],DIAS!A:B,2,0)</f>
        <v>46080</v>
      </c>
      <c r="J1082" s="6">
        <v>0</v>
      </c>
      <c r="K1082" s="43">
        <f>VLOOKUP(Tabla1[[#This Row],[PAGO DIA]],DIAS!A:C,3,0)</f>
        <v>46112</v>
      </c>
      <c r="L1082" s="6">
        <v>0</v>
      </c>
      <c r="M1082" s="41">
        <f>VLOOKUP(Tabla1[[#This Row],[PAGO DIA]],DIAS!A:D,4,0)</f>
        <v>46142</v>
      </c>
      <c r="N1082" s="6">
        <v>0</v>
      </c>
      <c r="O1082" s="43">
        <f>VLOOKUP(Tabla1[[#This Row],[PAGO DIA]],DIAS!A:E,5,0)</f>
        <v>46171</v>
      </c>
      <c r="P1082" s="6">
        <v>0</v>
      </c>
      <c r="Q1082" s="43">
        <f>VLOOKUP(Tabla1[[#This Row],[PAGO DIA]],DIAS!A:F,6,0)</f>
        <v>46203</v>
      </c>
      <c r="R1082" s="6">
        <v>0</v>
      </c>
      <c r="S1082" s="43">
        <f>VLOOKUP(Tabla1[[#This Row],[PAGO DIA]],DIAS!A:G,7,0)</f>
        <v>46234</v>
      </c>
      <c r="T1082" s="6">
        <v>0</v>
      </c>
      <c r="U1082" s="43">
        <f>VLOOKUP(Tabla1[[#This Row],[PAGO DIA]],DIAS!A:H,8,0)</f>
        <v>46265</v>
      </c>
      <c r="V1082" s="6">
        <v>0</v>
      </c>
      <c r="W1082" s="43">
        <f>VLOOKUP(Tabla1[[#This Row],[PAGO DIA]],DIAS!A:I,9,0)</f>
        <v>46295</v>
      </c>
      <c r="X1082" s="6">
        <v>0</v>
      </c>
      <c r="Y1082" s="43">
        <f>VLOOKUP(Tabla1[[#This Row],[PAGO DIA]],DIAS!A:J,10,0)</f>
        <v>46325</v>
      </c>
      <c r="Z1082" s="6">
        <v>0</v>
      </c>
      <c r="AA1082" s="43">
        <f>VLOOKUP(Tabla1[[#This Row],[PAGO DIA]],DIAS!A:K,11,0)</f>
        <v>46356</v>
      </c>
      <c r="AB1082" s="6">
        <v>0</v>
      </c>
      <c r="AC1082" s="43">
        <f>VLOOKUP(Tabla1[[#This Row],[PAGO DIA]],DIAS!A:M,12,0)</f>
        <v>46386</v>
      </c>
      <c r="AD10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3" spans="1:30">
      <c r="A1083" s="3">
        <v>12769</v>
      </c>
      <c r="B1083" s="3" t="s">
        <v>538</v>
      </c>
      <c r="C1083" s="3" t="s">
        <v>539</v>
      </c>
      <c r="D1083" s="3" t="s">
        <v>540</v>
      </c>
      <c r="E1083" s="3" t="s">
        <v>598</v>
      </c>
      <c r="F1083" s="42" t="s">
        <v>631</v>
      </c>
      <c r="G1083" s="3" t="s">
        <v>1629</v>
      </c>
      <c r="H1083" s="6">
        <v>0</v>
      </c>
      <c r="I1083" s="41">
        <f>VLOOKUP(Tabla1[[#This Row],[PAGO DIA]],DIAS!A:B,2,0)</f>
        <v>46080</v>
      </c>
      <c r="J1083" s="6">
        <v>0</v>
      </c>
      <c r="K1083" s="43">
        <f>VLOOKUP(Tabla1[[#This Row],[PAGO DIA]],DIAS!A:C,3,0)</f>
        <v>46112</v>
      </c>
      <c r="L1083" s="6">
        <v>0</v>
      </c>
      <c r="M1083" s="41">
        <f>VLOOKUP(Tabla1[[#This Row],[PAGO DIA]],DIAS!A:D,4,0)</f>
        <v>46142</v>
      </c>
      <c r="N1083" s="6">
        <v>0</v>
      </c>
      <c r="O1083" s="43">
        <f>VLOOKUP(Tabla1[[#This Row],[PAGO DIA]],DIAS!A:E,5,0)</f>
        <v>46171</v>
      </c>
      <c r="P1083" s="6">
        <v>0</v>
      </c>
      <c r="Q1083" s="43">
        <f>VLOOKUP(Tabla1[[#This Row],[PAGO DIA]],DIAS!A:F,6,0)</f>
        <v>46203</v>
      </c>
      <c r="R1083" s="6">
        <v>0</v>
      </c>
      <c r="S1083" s="43">
        <f>VLOOKUP(Tabla1[[#This Row],[PAGO DIA]],DIAS!A:G,7,0)</f>
        <v>46234</v>
      </c>
      <c r="T1083" s="6">
        <v>0</v>
      </c>
      <c r="U1083" s="43">
        <f>VLOOKUP(Tabla1[[#This Row],[PAGO DIA]],DIAS!A:H,8,0)</f>
        <v>46265</v>
      </c>
      <c r="V1083" s="6">
        <v>0</v>
      </c>
      <c r="W1083" s="43">
        <f>VLOOKUP(Tabla1[[#This Row],[PAGO DIA]],DIAS!A:I,9,0)</f>
        <v>46295</v>
      </c>
      <c r="X1083" s="6">
        <v>0</v>
      </c>
      <c r="Y1083" s="43">
        <f>VLOOKUP(Tabla1[[#This Row],[PAGO DIA]],DIAS!A:J,10,0)</f>
        <v>46325</v>
      </c>
      <c r="Z1083" s="6">
        <v>0</v>
      </c>
      <c r="AA1083" s="43">
        <f>VLOOKUP(Tabla1[[#This Row],[PAGO DIA]],DIAS!A:K,11,0)</f>
        <v>46356</v>
      </c>
      <c r="AB1083" s="6">
        <v>0</v>
      </c>
      <c r="AC1083" s="43">
        <f>VLOOKUP(Tabla1[[#This Row],[PAGO DIA]],DIAS!A:M,12,0)</f>
        <v>46386</v>
      </c>
      <c r="AD10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4" spans="1:30">
      <c r="A1084" s="3">
        <v>12770</v>
      </c>
      <c r="B1084" s="3" t="s">
        <v>538</v>
      </c>
      <c r="C1084" s="3" t="s">
        <v>539</v>
      </c>
      <c r="D1084" s="3" t="s">
        <v>540</v>
      </c>
      <c r="E1084" s="3" t="s">
        <v>598</v>
      </c>
      <c r="F1084" s="42" t="s">
        <v>631</v>
      </c>
      <c r="G1084" s="3" t="s">
        <v>1630</v>
      </c>
      <c r="H1084" s="6">
        <v>0</v>
      </c>
      <c r="I1084" s="41">
        <f>VLOOKUP(Tabla1[[#This Row],[PAGO DIA]],DIAS!A:B,2,0)</f>
        <v>46080</v>
      </c>
      <c r="J1084" s="6">
        <v>0</v>
      </c>
      <c r="K1084" s="43">
        <f>VLOOKUP(Tabla1[[#This Row],[PAGO DIA]],DIAS!A:C,3,0)</f>
        <v>46112</v>
      </c>
      <c r="L1084" s="6">
        <v>0</v>
      </c>
      <c r="M1084" s="41">
        <f>VLOOKUP(Tabla1[[#This Row],[PAGO DIA]],DIAS!A:D,4,0)</f>
        <v>46142</v>
      </c>
      <c r="N1084" s="6">
        <v>0</v>
      </c>
      <c r="O1084" s="43">
        <f>VLOOKUP(Tabla1[[#This Row],[PAGO DIA]],DIAS!A:E,5,0)</f>
        <v>46171</v>
      </c>
      <c r="P1084" s="6">
        <v>0</v>
      </c>
      <c r="Q1084" s="43">
        <f>VLOOKUP(Tabla1[[#This Row],[PAGO DIA]],DIAS!A:F,6,0)</f>
        <v>46203</v>
      </c>
      <c r="R1084" s="6">
        <v>0</v>
      </c>
      <c r="S1084" s="43">
        <f>VLOOKUP(Tabla1[[#This Row],[PAGO DIA]],DIAS!A:G,7,0)</f>
        <v>46234</v>
      </c>
      <c r="T1084" s="6">
        <v>0</v>
      </c>
      <c r="U1084" s="43">
        <f>VLOOKUP(Tabla1[[#This Row],[PAGO DIA]],DIAS!A:H,8,0)</f>
        <v>46265</v>
      </c>
      <c r="V1084" s="6">
        <v>0</v>
      </c>
      <c r="W1084" s="43">
        <f>VLOOKUP(Tabla1[[#This Row],[PAGO DIA]],DIAS!A:I,9,0)</f>
        <v>46295</v>
      </c>
      <c r="X1084" s="6">
        <v>0</v>
      </c>
      <c r="Y1084" s="43">
        <f>VLOOKUP(Tabla1[[#This Row],[PAGO DIA]],DIAS!A:J,10,0)</f>
        <v>46325</v>
      </c>
      <c r="Z1084" s="6">
        <v>0</v>
      </c>
      <c r="AA1084" s="43">
        <f>VLOOKUP(Tabla1[[#This Row],[PAGO DIA]],DIAS!A:K,11,0)</f>
        <v>46356</v>
      </c>
      <c r="AB1084" s="6">
        <v>0</v>
      </c>
      <c r="AC1084" s="43">
        <f>VLOOKUP(Tabla1[[#This Row],[PAGO DIA]],DIAS!A:M,12,0)</f>
        <v>46386</v>
      </c>
      <c r="AD10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5" spans="1:30">
      <c r="A1085" s="3">
        <v>12771</v>
      </c>
      <c r="B1085" s="3" t="s">
        <v>538</v>
      </c>
      <c r="C1085" s="3" t="s">
        <v>539</v>
      </c>
      <c r="D1085" s="3" t="s">
        <v>540</v>
      </c>
      <c r="E1085" s="3" t="s">
        <v>598</v>
      </c>
      <c r="F1085" s="42" t="s">
        <v>631</v>
      </c>
      <c r="G1085" s="3" t="s">
        <v>1631</v>
      </c>
      <c r="H1085" s="6">
        <v>0</v>
      </c>
      <c r="I1085" s="41">
        <f>VLOOKUP(Tabla1[[#This Row],[PAGO DIA]],DIAS!A:B,2,0)</f>
        <v>46080</v>
      </c>
      <c r="J1085" s="6">
        <v>0</v>
      </c>
      <c r="K1085" s="43">
        <f>VLOOKUP(Tabla1[[#This Row],[PAGO DIA]],DIAS!A:C,3,0)</f>
        <v>46112</v>
      </c>
      <c r="L1085" s="6">
        <v>0</v>
      </c>
      <c r="M1085" s="41">
        <f>VLOOKUP(Tabla1[[#This Row],[PAGO DIA]],DIAS!A:D,4,0)</f>
        <v>46142</v>
      </c>
      <c r="N1085" s="6">
        <v>0</v>
      </c>
      <c r="O1085" s="43">
        <f>VLOOKUP(Tabla1[[#This Row],[PAGO DIA]],DIAS!A:E,5,0)</f>
        <v>46171</v>
      </c>
      <c r="P1085" s="6">
        <v>0</v>
      </c>
      <c r="Q1085" s="43">
        <f>VLOOKUP(Tabla1[[#This Row],[PAGO DIA]],DIAS!A:F,6,0)</f>
        <v>46203</v>
      </c>
      <c r="R1085" s="6">
        <v>0</v>
      </c>
      <c r="S1085" s="43">
        <f>VLOOKUP(Tabla1[[#This Row],[PAGO DIA]],DIAS!A:G,7,0)</f>
        <v>46234</v>
      </c>
      <c r="T1085" s="6">
        <v>0</v>
      </c>
      <c r="U1085" s="43">
        <f>VLOOKUP(Tabla1[[#This Row],[PAGO DIA]],DIAS!A:H,8,0)</f>
        <v>46265</v>
      </c>
      <c r="V1085" s="6">
        <v>0</v>
      </c>
      <c r="W1085" s="43">
        <f>VLOOKUP(Tabla1[[#This Row],[PAGO DIA]],DIAS!A:I,9,0)</f>
        <v>46295</v>
      </c>
      <c r="X1085" s="6">
        <v>0</v>
      </c>
      <c r="Y1085" s="43">
        <f>VLOOKUP(Tabla1[[#This Row],[PAGO DIA]],DIAS!A:J,10,0)</f>
        <v>46325</v>
      </c>
      <c r="Z1085" s="6">
        <v>0</v>
      </c>
      <c r="AA1085" s="43">
        <f>VLOOKUP(Tabla1[[#This Row],[PAGO DIA]],DIAS!A:K,11,0)</f>
        <v>46356</v>
      </c>
      <c r="AB1085" s="6">
        <v>0</v>
      </c>
      <c r="AC1085" s="43">
        <f>VLOOKUP(Tabla1[[#This Row],[PAGO DIA]],DIAS!A:M,12,0)</f>
        <v>46386</v>
      </c>
      <c r="AD10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6" spans="1:30">
      <c r="A1086" s="3">
        <v>12772</v>
      </c>
      <c r="B1086" s="3" t="s">
        <v>538</v>
      </c>
      <c r="C1086" s="3" t="s">
        <v>539</v>
      </c>
      <c r="D1086" s="3" t="s">
        <v>540</v>
      </c>
      <c r="E1086" s="3" t="s">
        <v>598</v>
      </c>
      <c r="F1086" s="42" t="s">
        <v>631</v>
      </c>
      <c r="G1086" s="3" t="s">
        <v>1632</v>
      </c>
      <c r="H1086" s="6">
        <v>0</v>
      </c>
      <c r="I1086" s="41">
        <f>VLOOKUP(Tabla1[[#This Row],[PAGO DIA]],DIAS!A:B,2,0)</f>
        <v>46080</v>
      </c>
      <c r="J1086" s="6">
        <v>0</v>
      </c>
      <c r="K1086" s="43">
        <f>VLOOKUP(Tabla1[[#This Row],[PAGO DIA]],DIAS!A:C,3,0)</f>
        <v>46112</v>
      </c>
      <c r="L1086" s="6">
        <v>0</v>
      </c>
      <c r="M1086" s="41">
        <f>VLOOKUP(Tabla1[[#This Row],[PAGO DIA]],DIAS!A:D,4,0)</f>
        <v>46142</v>
      </c>
      <c r="N1086" s="6">
        <v>0</v>
      </c>
      <c r="O1086" s="43">
        <f>VLOOKUP(Tabla1[[#This Row],[PAGO DIA]],DIAS!A:E,5,0)</f>
        <v>46171</v>
      </c>
      <c r="P1086" s="6">
        <v>0</v>
      </c>
      <c r="Q1086" s="43">
        <f>VLOOKUP(Tabla1[[#This Row],[PAGO DIA]],DIAS!A:F,6,0)</f>
        <v>46203</v>
      </c>
      <c r="R1086" s="6">
        <v>0</v>
      </c>
      <c r="S1086" s="43">
        <f>VLOOKUP(Tabla1[[#This Row],[PAGO DIA]],DIAS!A:G,7,0)</f>
        <v>46234</v>
      </c>
      <c r="T1086" s="6">
        <v>0</v>
      </c>
      <c r="U1086" s="43">
        <f>VLOOKUP(Tabla1[[#This Row],[PAGO DIA]],DIAS!A:H,8,0)</f>
        <v>46265</v>
      </c>
      <c r="V1086" s="6">
        <v>0</v>
      </c>
      <c r="W1086" s="43">
        <f>VLOOKUP(Tabla1[[#This Row],[PAGO DIA]],DIAS!A:I,9,0)</f>
        <v>46295</v>
      </c>
      <c r="X1086" s="6">
        <v>0</v>
      </c>
      <c r="Y1086" s="43">
        <f>VLOOKUP(Tabla1[[#This Row],[PAGO DIA]],DIAS!A:J,10,0)</f>
        <v>46325</v>
      </c>
      <c r="Z1086" s="6">
        <v>0</v>
      </c>
      <c r="AA1086" s="43">
        <f>VLOOKUP(Tabla1[[#This Row],[PAGO DIA]],DIAS!A:K,11,0)</f>
        <v>46356</v>
      </c>
      <c r="AB1086" s="6">
        <v>0</v>
      </c>
      <c r="AC1086" s="43">
        <f>VLOOKUP(Tabla1[[#This Row],[PAGO DIA]],DIAS!A:M,12,0)</f>
        <v>46386</v>
      </c>
      <c r="AD10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7" spans="1:30">
      <c r="A1087" s="3">
        <v>12773</v>
      </c>
      <c r="B1087" s="3" t="s">
        <v>538</v>
      </c>
      <c r="C1087" s="3" t="s">
        <v>539</v>
      </c>
      <c r="D1087" s="3" t="s">
        <v>540</v>
      </c>
      <c r="E1087" s="3" t="s">
        <v>598</v>
      </c>
      <c r="F1087" s="42" t="s">
        <v>631</v>
      </c>
      <c r="G1087" s="3" t="s">
        <v>1633</v>
      </c>
      <c r="H1087" s="6">
        <v>0</v>
      </c>
      <c r="I1087" s="41">
        <f>VLOOKUP(Tabla1[[#This Row],[PAGO DIA]],DIAS!A:B,2,0)</f>
        <v>46080</v>
      </c>
      <c r="J1087" s="6">
        <v>0</v>
      </c>
      <c r="K1087" s="43">
        <f>VLOOKUP(Tabla1[[#This Row],[PAGO DIA]],DIAS!A:C,3,0)</f>
        <v>46112</v>
      </c>
      <c r="L1087" s="6">
        <v>0</v>
      </c>
      <c r="M1087" s="41">
        <f>VLOOKUP(Tabla1[[#This Row],[PAGO DIA]],DIAS!A:D,4,0)</f>
        <v>46142</v>
      </c>
      <c r="N1087" s="6">
        <v>0</v>
      </c>
      <c r="O1087" s="43">
        <f>VLOOKUP(Tabla1[[#This Row],[PAGO DIA]],DIAS!A:E,5,0)</f>
        <v>46171</v>
      </c>
      <c r="P1087" s="6">
        <v>0</v>
      </c>
      <c r="Q1087" s="43">
        <f>VLOOKUP(Tabla1[[#This Row],[PAGO DIA]],DIAS!A:F,6,0)</f>
        <v>46203</v>
      </c>
      <c r="R1087" s="6">
        <v>0</v>
      </c>
      <c r="S1087" s="43">
        <f>VLOOKUP(Tabla1[[#This Row],[PAGO DIA]],DIAS!A:G,7,0)</f>
        <v>46234</v>
      </c>
      <c r="T1087" s="6">
        <v>0</v>
      </c>
      <c r="U1087" s="43">
        <f>VLOOKUP(Tabla1[[#This Row],[PAGO DIA]],DIAS!A:H,8,0)</f>
        <v>46265</v>
      </c>
      <c r="V1087" s="6">
        <v>0</v>
      </c>
      <c r="W1087" s="43">
        <f>VLOOKUP(Tabla1[[#This Row],[PAGO DIA]],DIAS!A:I,9,0)</f>
        <v>46295</v>
      </c>
      <c r="X1087" s="6">
        <v>0</v>
      </c>
      <c r="Y1087" s="43">
        <f>VLOOKUP(Tabla1[[#This Row],[PAGO DIA]],DIAS!A:J,10,0)</f>
        <v>46325</v>
      </c>
      <c r="Z1087" s="6">
        <v>0</v>
      </c>
      <c r="AA1087" s="43">
        <f>VLOOKUP(Tabla1[[#This Row],[PAGO DIA]],DIAS!A:K,11,0)</f>
        <v>46356</v>
      </c>
      <c r="AB1087" s="6">
        <v>0</v>
      </c>
      <c r="AC1087" s="43">
        <f>VLOOKUP(Tabla1[[#This Row],[PAGO DIA]],DIAS!A:M,12,0)</f>
        <v>46386</v>
      </c>
      <c r="AD10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8" spans="1:30">
      <c r="A1088" s="3">
        <v>12774</v>
      </c>
      <c r="B1088" s="3" t="s">
        <v>538</v>
      </c>
      <c r="C1088" s="3" t="s">
        <v>539</v>
      </c>
      <c r="D1088" s="3" t="s">
        <v>540</v>
      </c>
      <c r="E1088" s="3" t="s">
        <v>598</v>
      </c>
      <c r="F1088" s="42" t="s">
        <v>631</v>
      </c>
      <c r="G1088" s="3" t="s">
        <v>1634</v>
      </c>
      <c r="H1088" s="6">
        <v>0</v>
      </c>
      <c r="I1088" s="41">
        <f>VLOOKUP(Tabla1[[#This Row],[PAGO DIA]],DIAS!A:B,2,0)</f>
        <v>46080</v>
      </c>
      <c r="J1088" s="6">
        <v>0</v>
      </c>
      <c r="K1088" s="43">
        <f>VLOOKUP(Tabla1[[#This Row],[PAGO DIA]],DIAS!A:C,3,0)</f>
        <v>46112</v>
      </c>
      <c r="L1088" s="6">
        <v>0</v>
      </c>
      <c r="M1088" s="41">
        <f>VLOOKUP(Tabla1[[#This Row],[PAGO DIA]],DIAS!A:D,4,0)</f>
        <v>46142</v>
      </c>
      <c r="N1088" s="6">
        <v>0</v>
      </c>
      <c r="O1088" s="43">
        <f>VLOOKUP(Tabla1[[#This Row],[PAGO DIA]],DIAS!A:E,5,0)</f>
        <v>46171</v>
      </c>
      <c r="P1088" s="6">
        <v>0</v>
      </c>
      <c r="Q1088" s="43">
        <f>VLOOKUP(Tabla1[[#This Row],[PAGO DIA]],DIAS!A:F,6,0)</f>
        <v>46203</v>
      </c>
      <c r="R1088" s="6">
        <v>0</v>
      </c>
      <c r="S1088" s="43">
        <f>VLOOKUP(Tabla1[[#This Row],[PAGO DIA]],DIAS!A:G,7,0)</f>
        <v>46234</v>
      </c>
      <c r="T1088" s="6">
        <v>0</v>
      </c>
      <c r="U1088" s="43">
        <f>VLOOKUP(Tabla1[[#This Row],[PAGO DIA]],DIAS!A:H,8,0)</f>
        <v>46265</v>
      </c>
      <c r="V1088" s="6">
        <v>0</v>
      </c>
      <c r="W1088" s="43">
        <f>VLOOKUP(Tabla1[[#This Row],[PAGO DIA]],DIAS!A:I,9,0)</f>
        <v>46295</v>
      </c>
      <c r="X1088" s="6">
        <v>0</v>
      </c>
      <c r="Y1088" s="43">
        <f>VLOOKUP(Tabla1[[#This Row],[PAGO DIA]],DIAS!A:J,10,0)</f>
        <v>46325</v>
      </c>
      <c r="Z1088" s="6">
        <v>0</v>
      </c>
      <c r="AA1088" s="43">
        <f>VLOOKUP(Tabla1[[#This Row],[PAGO DIA]],DIAS!A:K,11,0)</f>
        <v>46356</v>
      </c>
      <c r="AB1088" s="6">
        <v>0</v>
      </c>
      <c r="AC1088" s="43">
        <f>VLOOKUP(Tabla1[[#This Row],[PAGO DIA]],DIAS!A:M,12,0)</f>
        <v>46386</v>
      </c>
      <c r="AD10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89" spans="1:30">
      <c r="A1089" s="3">
        <v>12777</v>
      </c>
      <c r="B1089" s="3" t="s">
        <v>538</v>
      </c>
      <c r="C1089" s="3" t="s">
        <v>539</v>
      </c>
      <c r="D1089" s="3" t="s">
        <v>540</v>
      </c>
      <c r="E1089" s="3" t="s">
        <v>598</v>
      </c>
      <c r="F1089" s="42" t="s">
        <v>631</v>
      </c>
      <c r="G1089" s="3" t="s">
        <v>1635</v>
      </c>
      <c r="H1089" s="6">
        <v>0</v>
      </c>
      <c r="I1089" s="41">
        <f>VLOOKUP(Tabla1[[#This Row],[PAGO DIA]],DIAS!A:B,2,0)</f>
        <v>46080</v>
      </c>
      <c r="J1089" s="6">
        <v>0</v>
      </c>
      <c r="K1089" s="43">
        <f>VLOOKUP(Tabla1[[#This Row],[PAGO DIA]],DIAS!A:C,3,0)</f>
        <v>46112</v>
      </c>
      <c r="L1089" s="6">
        <v>0</v>
      </c>
      <c r="M1089" s="41">
        <f>VLOOKUP(Tabla1[[#This Row],[PAGO DIA]],DIAS!A:D,4,0)</f>
        <v>46142</v>
      </c>
      <c r="N1089" s="6">
        <v>0</v>
      </c>
      <c r="O1089" s="43">
        <f>VLOOKUP(Tabla1[[#This Row],[PAGO DIA]],DIAS!A:E,5,0)</f>
        <v>46171</v>
      </c>
      <c r="P1089" s="6">
        <v>0</v>
      </c>
      <c r="Q1089" s="43">
        <f>VLOOKUP(Tabla1[[#This Row],[PAGO DIA]],DIAS!A:F,6,0)</f>
        <v>46203</v>
      </c>
      <c r="R1089" s="6">
        <v>0</v>
      </c>
      <c r="S1089" s="43">
        <f>VLOOKUP(Tabla1[[#This Row],[PAGO DIA]],DIAS!A:G,7,0)</f>
        <v>46234</v>
      </c>
      <c r="T1089" s="6">
        <v>0</v>
      </c>
      <c r="U1089" s="43">
        <f>VLOOKUP(Tabla1[[#This Row],[PAGO DIA]],DIAS!A:H,8,0)</f>
        <v>46265</v>
      </c>
      <c r="V1089" s="6">
        <v>0</v>
      </c>
      <c r="W1089" s="43">
        <f>VLOOKUP(Tabla1[[#This Row],[PAGO DIA]],DIAS!A:I,9,0)</f>
        <v>46295</v>
      </c>
      <c r="X1089" s="6">
        <v>0</v>
      </c>
      <c r="Y1089" s="43">
        <f>VLOOKUP(Tabla1[[#This Row],[PAGO DIA]],DIAS!A:J,10,0)</f>
        <v>46325</v>
      </c>
      <c r="Z1089" s="6">
        <v>0</v>
      </c>
      <c r="AA1089" s="43">
        <f>VLOOKUP(Tabla1[[#This Row],[PAGO DIA]],DIAS!A:K,11,0)</f>
        <v>46356</v>
      </c>
      <c r="AB1089" s="6">
        <v>0</v>
      </c>
      <c r="AC1089" s="43">
        <f>VLOOKUP(Tabla1[[#This Row],[PAGO DIA]],DIAS!A:M,12,0)</f>
        <v>46386</v>
      </c>
      <c r="AD10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0" spans="1:30">
      <c r="A1090" s="3">
        <v>10987</v>
      </c>
      <c r="B1090" s="3" t="s">
        <v>538</v>
      </c>
      <c r="C1090" s="3" t="s">
        <v>539</v>
      </c>
      <c r="D1090" s="3" t="s">
        <v>540</v>
      </c>
      <c r="E1090" s="3" t="s">
        <v>839</v>
      </c>
      <c r="F1090" s="42" t="s">
        <v>631</v>
      </c>
      <c r="G1090" s="3"/>
      <c r="H1090" s="6">
        <v>0</v>
      </c>
      <c r="I1090" s="41">
        <f>VLOOKUP(Tabla1[[#This Row],[PAGO DIA]],DIAS!A:B,2,0)</f>
        <v>46080</v>
      </c>
      <c r="J1090" s="6">
        <v>0</v>
      </c>
      <c r="K1090" s="43">
        <f>VLOOKUP(Tabla1[[#This Row],[PAGO DIA]],DIAS!A:C,3,0)</f>
        <v>46112</v>
      </c>
      <c r="L1090" s="6">
        <v>0</v>
      </c>
      <c r="M1090" s="41">
        <f>VLOOKUP(Tabla1[[#This Row],[PAGO DIA]],DIAS!A:D,4,0)</f>
        <v>46142</v>
      </c>
      <c r="N1090" s="6">
        <v>0</v>
      </c>
      <c r="O1090" s="43">
        <f>VLOOKUP(Tabla1[[#This Row],[PAGO DIA]],DIAS!A:E,5,0)</f>
        <v>46171</v>
      </c>
      <c r="P1090" s="6">
        <v>0</v>
      </c>
      <c r="Q1090" s="43">
        <f>VLOOKUP(Tabla1[[#This Row],[PAGO DIA]],DIAS!A:F,6,0)</f>
        <v>46203</v>
      </c>
      <c r="R1090" s="6">
        <v>0</v>
      </c>
      <c r="S1090" s="43">
        <f>VLOOKUP(Tabla1[[#This Row],[PAGO DIA]],DIAS!A:G,7,0)</f>
        <v>46234</v>
      </c>
      <c r="T1090" s="6">
        <v>0</v>
      </c>
      <c r="U1090" s="43">
        <f>VLOOKUP(Tabla1[[#This Row],[PAGO DIA]],DIAS!A:H,8,0)</f>
        <v>46265</v>
      </c>
      <c r="V1090" s="6">
        <v>0</v>
      </c>
      <c r="W1090" s="43">
        <f>VLOOKUP(Tabla1[[#This Row],[PAGO DIA]],DIAS!A:I,9,0)</f>
        <v>46295</v>
      </c>
      <c r="X1090" s="6">
        <v>0</v>
      </c>
      <c r="Y1090" s="43">
        <f>VLOOKUP(Tabla1[[#This Row],[PAGO DIA]],DIAS!A:J,10,0)</f>
        <v>46325</v>
      </c>
      <c r="Z1090" s="6">
        <v>0</v>
      </c>
      <c r="AA1090" s="43">
        <f>VLOOKUP(Tabla1[[#This Row],[PAGO DIA]],DIAS!A:K,11,0)</f>
        <v>46356</v>
      </c>
      <c r="AB1090" s="6">
        <v>0</v>
      </c>
      <c r="AC1090" s="43">
        <f>VLOOKUP(Tabla1[[#This Row],[PAGO DIA]],DIAS!A:M,12,0)</f>
        <v>46386</v>
      </c>
      <c r="AD10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1" spans="1:30">
      <c r="A1091" s="3">
        <v>11173</v>
      </c>
      <c r="B1091" s="3" t="s">
        <v>538</v>
      </c>
      <c r="C1091" s="3" t="s">
        <v>539</v>
      </c>
      <c r="D1091" s="3" t="s">
        <v>540</v>
      </c>
      <c r="E1091" s="3" t="s">
        <v>839</v>
      </c>
      <c r="F1091" s="42" t="s">
        <v>631</v>
      </c>
      <c r="G1091" s="3"/>
      <c r="H1091" s="6">
        <v>0</v>
      </c>
      <c r="I1091" s="41">
        <f>VLOOKUP(Tabla1[[#This Row],[PAGO DIA]],DIAS!A:B,2,0)</f>
        <v>46080</v>
      </c>
      <c r="J1091" s="6">
        <v>0</v>
      </c>
      <c r="K1091" s="43">
        <f>VLOOKUP(Tabla1[[#This Row],[PAGO DIA]],DIAS!A:C,3,0)</f>
        <v>46112</v>
      </c>
      <c r="L1091" s="6">
        <v>0</v>
      </c>
      <c r="M1091" s="41">
        <f>VLOOKUP(Tabla1[[#This Row],[PAGO DIA]],DIAS!A:D,4,0)</f>
        <v>46142</v>
      </c>
      <c r="N1091" s="6">
        <v>0</v>
      </c>
      <c r="O1091" s="43">
        <f>VLOOKUP(Tabla1[[#This Row],[PAGO DIA]],DIAS!A:E,5,0)</f>
        <v>46171</v>
      </c>
      <c r="P1091" s="6">
        <v>0</v>
      </c>
      <c r="Q1091" s="43">
        <f>VLOOKUP(Tabla1[[#This Row],[PAGO DIA]],DIAS!A:F,6,0)</f>
        <v>46203</v>
      </c>
      <c r="R1091" s="6">
        <v>0</v>
      </c>
      <c r="S1091" s="43">
        <f>VLOOKUP(Tabla1[[#This Row],[PAGO DIA]],DIAS!A:G,7,0)</f>
        <v>46234</v>
      </c>
      <c r="T1091" s="6">
        <v>0</v>
      </c>
      <c r="U1091" s="43">
        <f>VLOOKUP(Tabla1[[#This Row],[PAGO DIA]],DIAS!A:H,8,0)</f>
        <v>46265</v>
      </c>
      <c r="V1091" s="6">
        <v>0</v>
      </c>
      <c r="W1091" s="43">
        <f>VLOOKUP(Tabla1[[#This Row],[PAGO DIA]],DIAS!A:I,9,0)</f>
        <v>46295</v>
      </c>
      <c r="X1091" s="6">
        <v>0</v>
      </c>
      <c r="Y1091" s="43">
        <f>VLOOKUP(Tabla1[[#This Row],[PAGO DIA]],DIAS!A:J,10,0)</f>
        <v>46325</v>
      </c>
      <c r="Z1091" s="6">
        <v>0</v>
      </c>
      <c r="AA1091" s="43">
        <f>VLOOKUP(Tabla1[[#This Row],[PAGO DIA]],DIAS!A:K,11,0)</f>
        <v>46356</v>
      </c>
      <c r="AB1091" s="6">
        <v>0</v>
      </c>
      <c r="AC1091" s="43">
        <f>VLOOKUP(Tabla1[[#This Row],[PAGO DIA]],DIAS!A:M,12,0)</f>
        <v>46386</v>
      </c>
      <c r="AD10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2" spans="1:30">
      <c r="A1092" s="3">
        <v>11203</v>
      </c>
      <c r="B1092" s="3" t="s">
        <v>538</v>
      </c>
      <c r="C1092" s="3" t="s">
        <v>539</v>
      </c>
      <c r="D1092" s="3" t="s">
        <v>540</v>
      </c>
      <c r="E1092" s="3" t="s">
        <v>839</v>
      </c>
      <c r="F1092" s="42" t="s">
        <v>631</v>
      </c>
      <c r="G1092" s="3"/>
      <c r="H1092" s="6">
        <v>0</v>
      </c>
      <c r="I1092" s="41">
        <f>VLOOKUP(Tabla1[[#This Row],[PAGO DIA]],DIAS!A:B,2,0)</f>
        <v>46080</v>
      </c>
      <c r="J1092" s="6">
        <v>0</v>
      </c>
      <c r="K1092" s="43">
        <f>VLOOKUP(Tabla1[[#This Row],[PAGO DIA]],DIAS!A:C,3,0)</f>
        <v>46112</v>
      </c>
      <c r="L1092" s="6">
        <v>0</v>
      </c>
      <c r="M1092" s="41">
        <f>VLOOKUP(Tabla1[[#This Row],[PAGO DIA]],DIAS!A:D,4,0)</f>
        <v>46142</v>
      </c>
      <c r="N1092" s="6">
        <v>0</v>
      </c>
      <c r="O1092" s="43">
        <f>VLOOKUP(Tabla1[[#This Row],[PAGO DIA]],DIAS!A:E,5,0)</f>
        <v>46171</v>
      </c>
      <c r="P1092" s="6">
        <v>0</v>
      </c>
      <c r="Q1092" s="43">
        <f>VLOOKUP(Tabla1[[#This Row],[PAGO DIA]],DIAS!A:F,6,0)</f>
        <v>46203</v>
      </c>
      <c r="R1092" s="6">
        <v>0</v>
      </c>
      <c r="S1092" s="43">
        <f>VLOOKUP(Tabla1[[#This Row],[PAGO DIA]],DIAS!A:G,7,0)</f>
        <v>46234</v>
      </c>
      <c r="T1092" s="6">
        <v>0</v>
      </c>
      <c r="U1092" s="43">
        <f>VLOOKUP(Tabla1[[#This Row],[PAGO DIA]],DIAS!A:H,8,0)</f>
        <v>46265</v>
      </c>
      <c r="V1092" s="6">
        <v>0</v>
      </c>
      <c r="W1092" s="43">
        <f>VLOOKUP(Tabla1[[#This Row],[PAGO DIA]],DIAS!A:I,9,0)</f>
        <v>46295</v>
      </c>
      <c r="X1092" s="6">
        <v>0</v>
      </c>
      <c r="Y1092" s="43">
        <f>VLOOKUP(Tabla1[[#This Row],[PAGO DIA]],DIAS!A:J,10,0)</f>
        <v>46325</v>
      </c>
      <c r="Z1092" s="6">
        <v>0</v>
      </c>
      <c r="AA1092" s="43">
        <f>VLOOKUP(Tabla1[[#This Row],[PAGO DIA]],DIAS!A:K,11,0)</f>
        <v>46356</v>
      </c>
      <c r="AB1092" s="6">
        <v>0</v>
      </c>
      <c r="AC1092" s="43">
        <f>VLOOKUP(Tabla1[[#This Row],[PAGO DIA]],DIAS!A:M,12,0)</f>
        <v>46386</v>
      </c>
      <c r="AD10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3" spans="1:30">
      <c r="A1093" s="3">
        <v>11807</v>
      </c>
      <c r="B1093" s="3" t="s">
        <v>538</v>
      </c>
      <c r="C1093" s="3" t="s">
        <v>540</v>
      </c>
      <c r="D1093" s="3" t="s">
        <v>540</v>
      </c>
      <c r="E1093" s="3" t="s">
        <v>839</v>
      </c>
      <c r="F1093" s="42" t="s">
        <v>631</v>
      </c>
      <c r="G1093" s="3" t="s">
        <v>1636</v>
      </c>
      <c r="H1093" s="6">
        <v>0</v>
      </c>
      <c r="I1093" s="41">
        <f>VLOOKUP(Tabla1[[#This Row],[PAGO DIA]],DIAS!A:B,2,0)</f>
        <v>46080</v>
      </c>
      <c r="J1093" s="6">
        <v>0</v>
      </c>
      <c r="K1093" s="43">
        <f>VLOOKUP(Tabla1[[#This Row],[PAGO DIA]],DIAS!A:C,3,0)</f>
        <v>46112</v>
      </c>
      <c r="L1093" s="6">
        <v>0</v>
      </c>
      <c r="M1093" s="41">
        <f>VLOOKUP(Tabla1[[#This Row],[PAGO DIA]],DIAS!A:D,4,0)</f>
        <v>46142</v>
      </c>
      <c r="N1093" s="6">
        <v>0</v>
      </c>
      <c r="O1093" s="43">
        <f>VLOOKUP(Tabla1[[#This Row],[PAGO DIA]],DIAS!A:E,5,0)</f>
        <v>46171</v>
      </c>
      <c r="P1093" s="6">
        <v>0</v>
      </c>
      <c r="Q1093" s="43">
        <f>VLOOKUP(Tabla1[[#This Row],[PAGO DIA]],DIAS!A:F,6,0)</f>
        <v>46203</v>
      </c>
      <c r="R1093" s="6">
        <v>0</v>
      </c>
      <c r="S1093" s="43">
        <f>VLOOKUP(Tabla1[[#This Row],[PAGO DIA]],DIAS!A:G,7,0)</f>
        <v>46234</v>
      </c>
      <c r="T1093" s="6">
        <v>0</v>
      </c>
      <c r="U1093" s="43">
        <f>VLOOKUP(Tabla1[[#This Row],[PAGO DIA]],DIAS!A:H,8,0)</f>
        <v>46265</v>
      </c>
      <c r="V1093" s="6">
        <v>0</v>
      </c>
      <c r="W1093" s="43">
        <f>VLOOKUP(Tabla1[[#This Row],[PAGO DIA]],DIAS!A:I,9,0)</f>
        <v>46295</v>
      </c>
      <c r="X1093" s="6">
        <v>0</v>
      </c>
      <c r="Y1093" s="43">
        <f>VLOOKUP(Tabla1[[#This Row],[PAGO DIA]],DIAS!A:J,10,0)</f>
        <v>46325</v>
      </c>
      <c r="Z1093" s="6">
        <v>0</v>
      </c>
      <c r="AA1093" s="43">
        <f>VLOOKUP(Tabla1[[#This Row],[PAGO DIA]],DIAS!A:K,11,0)</f>
        <v>46356</v>
      </c>
      <c r="AB1093" s="6">
        <v>0</v>
      </c>
      <c r="AC1093" s="43">
        <f>VLOOKUP(Tabla1[[#This Row],[PAGO DIA]],DIAS!A:M,12,0)</f>
        <v>46386</v>
      </c>
      <c r="AD10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4" spans="1:30">
      <c r="A1094" s="3">
        <v>11808</v>
      </c>
      <c r="B1094" s="3" t="s">
        <v>538</v>
      </c>
      <c r="C1094" s="3" t="s">
        <v>540</v>
      </c>
      <c r="D1094" s="3" t="s">
        <v>540</v>
      </c>
      <c r="E1094" s="3" t="s">
        <v>839</v>
      </c>
      <c r="F1094" s="42" t="s">
        <v>631</v>
      </c>
      <c r="G1094" s="3" t="s">
        <v>1637</v>
      </c>
      <c r="H1094" s="6">
        <v>0</v>
      </c>
      <c r="I1094" s="41">
        <f>VLOOKUP(Tabla1[[#This Row],[PAGO DIA]],DIAS!A:B,2,0)</f>
        <v>46080</v>
      </c>
      <c r="J1094" s="6">
        <v>0</v>
      </c>
      <c r="K1094" s="43">
        <f>VLOOKUP(Tabla1[[#This Row],[PAGO DIA]],DIAS!A:C,3,0)</f>
        <v>46112</v>
      </c>
      <c r="L1094" s="6">
        <v>0</v>
      </c>
      <c r="M1094" s="41">
        <f>VLOOKUP(Tabla1[[#This Row],[PAGO DIA]],DIAS!A:D,4,0)</f>
        <v>46142</v>
      </c>
      <c r="N1094" s="6">
        <v>0</v>
      </c>
      <c r="O1094" s="43">
        <f>VLOOKUP(Tabla1[[#This Row],[PAGO DIA]],DIAS!A:E,5,0)</f>
        <v>46171</v>
      </c>
      <c r="P1094" s="6">
        <v>0</v>
      </c>
      <c r="Q1094" s="43">
        <f>VLOOKUP(Tabla1[[#This Row],[PAGO DIA]],DIAS!A:F,6,0)</f>
        <v>46203</v>
      </c>
      <c r="R1094" s="6">
        <v>0</v>
      </c>
      <c r="S1094" s="43">
        <f>VLOOKUP(Tabla1[[#This Row],[PAGO DIA]],DIAS!A:G,7,0)</f>
        <v>46234</v>
      </c>
      <c r="T1094" s="6">
        <v>0</v>
      </c>
      <c r="U1094" s="43">
        <f>VLOOKUP(Tabla1[[#This Row],[PAGO DIA]],DIAS!A:H,8,0)</f>
        <v>46265</v>
      </c>
      <c r="V1094" s="6">
        <v>0</v>
      </c>
      <c r="W1094" s="43">
        <f>VLOOKUP(Tabla1[[#This Row],[PAGO DIA]],DIAS!A:I,9,0)</f>
        <v>46295</v>
      </c>
      <c r="X1094" s="6">
        <v>0</v>
      </c>
      <c r="Y1094" s="43">
        <f>VLOOKUP(Tabla1[[#This Row],[PAGO DIA]],DIAS!A:J,10,0)</f>
        <v>46325</v>
      </c>
      <c r="Z1094" s="6">
        <v>0</v>
      </c>
      <c r="AA1094" s="43">
        <f>VLOOKUP(Tabla1[[#This Row],[PAGO DIA]],DIAS!A:K,11,0)</f>
        <v>46356</v>
      </c>
      <c r="AB1094" s="6">
        <v>0</v>
      </c>
      <c r="AC1094" s="43">
        <f>VLOOKUP(Tabla1[[#This Row],[PAGO DIA]],DIAS!A:M,12,0)</f>
        <v>46386</v>
      </c>
      <c r="AD10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5" spans="1:30">
      <c r="A1095" s="3">
        <v>11809</v>
      </c>
      <c r="B1095" s="3" t="s">
        <v>538</v>
      </c>
      <c r="C1095" s="3" t="s">
        <v>540</v>
      </c>
      <c r="D1095" s="3" t="s">
        <v>540</v>
      </c>
      <c r="E1095" s="3" t="s">
        <v>839</v>
      </c>
      <c r="F1095" s="42" t="s">
        <v>631</v>
      </c>
      <c r="G1095" s="3" t="s">
        <v>1638</v>
      </c>
      <c r="H1095" s="6">
        <v>0</v>
      </c>
      <c r="I1095" s="41">
        <f>VLOOKUP(Tabla1[[#This Row],[PAGO DIA]],DIAS!A:B,2,0)</f>
        <v>46080</v>
      </c>
      <c r="J1095" s="6">
        <v>0</v>
      </c>
      <c r="K1095" s="43">
        <f>VLOOKUP(Tabla1[[#This Row],[PAGO DIA]],DIAS!A:C,3,0)</f>
        <v>46112</v>
      </c>
      <c r="L1095" s="6">
        <v>0</v>
      </c>
      <c r="M1095" s="41">
        <f>VLOOKUP(Tabla1[[#This Row],[PAGO DIA]],DIAS!A:D,4,0)</f>
        <v>46142</v>
      </c>
      <c r="N1095" s="6">
        <v>0</v>
      </c>
      <c r="O1095" s="43">
        <f>VLOOKUP(Tabla1[[#This Row],[PAGO DIA]],DIAS!A:E,5,0)</f>
        <v>46171</v>
      </c>
      <c r="P1095" s="6">
        <v>0</v>
      </c>
      <c r="Q1095" s="43">
        <f>VLOOKUP(Tabla1[[#This Row],[PAGO DIA]],DIAS!A:F,6,0)</f>
        <v>46203</v>
      </c>
      <c r="R1095" s="6">
        <v>0</v>
      </c>
      <c r="S1095" s="43">
        <f>VLOOKUP(Tabla1[[#This Row],[PAGO DIA]],DIAS!A:G,7,0)</f>
        <v>46234</v>
      </c>
      <c r="T1095" s="6">
        <v>0</v>
      </c>
      <c r="U1095" s="43">
        <f>VLOOKUP(Tabla1[[#This Row],[PAGO DIA]],DIAS!A:H,8,0)</f>
        <v>46265</v>
      </c>
      <c r="V1095" s="6">
        <v>0</v>
      </c>
      <c r="W1095" s="43">
        <f>VLOOKUP(Tabla1[[#This Row],[PAGO DIA]],DIAS!A:I,9,0)</f>
        <v>46295</v>
      </c>
      <c r="X1095" s="6">
        <v>0</v>
      </c>
      <c r="Y1095" s="43">
        <f>VLOOKUP(Tabla1[[#This Row],[PAGO DIA]],DIAS!A:J,10,0)</f>
        <v>46325</v>
      </c>
      <c r="Z1095" s="6">
        <v>0</v>
      </c>
      <c r="AA1095" s="43">
        <f>VLOOKUP(Tabla1[[#This Row],[PAGO DIA]],DIAS!A:K,11,0)</f>
        <v>46356</v>
      </c>
      <c r="AB1095" s="6">
        <v>0</v>
      </c>
      <c r="AC1095" s="43">
        <f>VLOOKUP(Tabla1[[#This Row],[PAGO DIA]],DIAS!A:M,12,0)</f>
        <v>46386</v>
      </c>
      <c r="AD10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6" spans="1:30">
      <c r="A1096" s="3">
        <v>11810</v>
      </c>
      <c r="B1096" s="3" t="s">
        <v>538</v>
      </c>
      <c r="C1096" s="3" t="s">
        <v>540</v>
      </c>
      <c r="D1096" s="3" t="s">
        <v>540</v>
      </c>
      <c r="E1096" s="3" t="s">
        <v>839</v>
      </c>
      <c r="F1096" s="42" t="s">
        <v>631</v>
      </c>
      <c r="G1096" s="3" t="s">
        <v>1639</v>
      </c>
      <c r="H1096" s="6">
        <v>0</v>
      </c>
      <c r="I1096" s="41">
        <f>VLOOKUP(Tabla1[[#This Row],[PAGO DIA]],DIAS!A:B,2,0)</f>
        <v>46080</v>
      </c>
      <c r="J1096" s="6">
        <v>0</v>
      </c>
      <c r="K1096" s="43">
        <f>VLOOKUP(Tabla1[[#This Row],[PAGO DIA]],DIAS!A:C,3,0)</f>
        <v>46112</v>
      </c>
      <c r="L1096" s="6">
        <v>0</v>
      </c>
      <c r="M1096" s="41">
        <f>VLOOKUP(Tabla1[[#This Row],[PAGO DIA]],DIAS!A:D,4,0)</f>
        <v>46142</v>
      </c>
      <c r="N1096" s="6">
        <v>0</v>
      </c>
      <c r="O1096" s="43">
        <f>VLOOKUP(Tabla1[[#This Row],[PAGO DIA]],DIAS!A:E,5,0)</f>
        <v>46171</v>
      </c>
      <c r="P1096" s="6">
        <v>0</v>
      </c>
      <c r="Q1096" s="43">
        <f>VLOOKUP(Tabla1[[#This Row],[PAGO DIA]],DIAS!A:F,6,0)</f>
        <v>46203</v>
      </c>
      <c r="R1096" s="6">
        <v>0</v>
      </c>
      <c r="S1096" s="43">
        <f>VLOOKUP(Tabla1[[#This Row],[PAGO DIA]],DIAS!A:G,7,0)</f>
        <v>46234</v>
      </c>
      <c r="T1096" s="6">
        <v>0</v>
      </c>
      <c r="U1096" s="43">
        <f>VLOOKUP(Tabla1[[#This Row],[PAGO DIA]],DIAS!A:H,8,0)</f>
        <v>46265</v>
      </c>
      <c r="V1096" s="6">
        <v>0</v>
      </c>
      <c r="W1096" s="43">
        <f>VLOOKUP(Tabla1[[#This Row],[PAGO DIA]],DIAS!A:I,9,0)</f>
        <v>46295</v>
      </c>
      <c r="X1096" s="6">
        <v>0</v>
      </c>
      <c r="Y1096" s="43">
        <f>VLOOKUP(Tabla1[[#This Row],[PAGO DIA]],DIAS!A:J,10,0)</f>
        <v>46325</v>
      </c>
      <c r="Z1096" s="6">
        <v>0</v>
      </c>
      <c r="AA1096" s="43">
        <f>VLOOKUP(Tabla1[[#This Row],[PAGO DIA]],DIAS!A:K,11,0)</f>
        <v>46356</v>
      </c>
      <c r="AB1096" s="6">
        <v>0</v>
      </c>
      <c r="AC1096" s="43">
        <f>VLOOKUP(Tabla1[[#This Row],[PAGO DIA]],DIAS!A:M,12,0)</f>
        <v>46386</v>
      </c>
      <c r="AD10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7" spans="1:30">
      <c r="A1097" s="3">
        <v>11811</v>
      </c>
      <c r="B1097" s="3" t="s">
        <v>538</v>
      </c>
      <c r="C1097" s="3" t="s">
        <v>540</v>
      </c>
      <c r="D1097" s="3" t="s">
        <v>540</v>
      </c>
      <c r="E1097" s="3" t="s">
        <v>839</v>
      </c>
      <c r="F1097" s="42" t="s">
        <v>631</v>
      </c>
      <c r="G1097" s="3" t="s">
        <v>1640</v>
      </c>
      <c r="H1097" s="6">
        <v>0</v>
      </c>
      <c r="I1097" s="41">
        <f>VLOOKUP(Tabla1[[#This Row],[PAGO DIA]],DIAS!A:B,2,0)</f>
        <v>46080</v>
      </c>
      <c r="J1097" s="6">
        <v>0</v>
      </c>
      <c r="K1097" s="43">
        <f>VLOOKUP(Tabla1[[#This Row],[PAGO DIA]],DIAS!A:C,3,0)</f>
        <v>46112</v>
      </c>
      <c r="L1097" s="6">
        <v>0</v>
      </c>
      <c r="M1097" s="41">
        <f>VLOOKUP(Tabla1[[#This Row],[PAGO DIA]],DIAS!A:D,4,0)</f>
        <v>46142</v>
      </c>
      <c r="N1097" s="6">
        <v>0</v>
      </c>
      <c r="O1097" s="43">
        <f>VLOOKUP(Tabla1[[#This Row],[PAGO DIA]],DIAS!A:E,5,0)</f>
        <v>46171</v>
      </c>
      <c r="P1097" s="6">
        <v>0</v>
      </c>
      <c r="Q1097" s="43">
        <f>VLOOKUP(Tabla1[[#This Row],[PAGO DIA]],DIAS!A:F,6,0)</f>
        <v>46203</v>
      </c>
      <c r="R1097" s="6">
        <v>0</v>
      </c>
      <c r="S1097" s="43">
        <f>VLOOKUP(Tabla1[[#This Row],[PAGO DIA]],DIAS!A:G,7,0)</f>
        <v>46234</v>
      </c>
      <c r="T1097" s="6">
        <v>0</v>
      </c>
      <c r="U1097" s="43">
        <f>VLOOKUP(Tabla1[[#This Row],[PAGO DIA]],DIAS!A:H,8,0)</f>
        <v>46265</v>
      </c>
      <c r="V1097" s="6">
        <v>0</v>
      </c>
      <c r="W1097" s="43">
        <f>VLOOKUP(Tabla1[[#This Row],[PAGO DIA]],DIAS!A:I,9,0)</f>
        <v>46295</v>
      </c>
      <c r="X1097" s="6">
        <v>0</v>
      </c>
      <c r="Y1097" s="43">
        <f>VLOOKUP(Tabla1[[#This Row],[PAGO DIA]],DIAS!A:J,10,0)</f>
        <v>46325</v>
      </c>
      <c r="Z1097" s="6">
        <v>0</v>
      </c>
      <c r="AA1097" s="43">
        <f>VLOOKUP(Tabla1[[#This Row],[PAGO DIA]],DIAS!A:K,11,0)</f>
        <v>46356</v>
      </c>
      <c r="AB1097" s="6">
        <v>0</v>
      </c>
      <c r="AC1097" s="43">
        <f>VLOOKUP(Tabla1[[#This Row],[PAGO DIA]],DIAS!A:M,12,0)</f>
        <v>46386</v>
      </c>
      <c r="AD10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8" spans="1:30">
      <c r="A1098" s="3">
        <v>11812</v>
      </c>
      <c r="B1098" s="3" t="s">
        <v>538</v>
      </c>
      <c r="C1098" s="3" t="s">
        <v>540</v>
      </c>
      <c r="D1098" s="3" t="s">
        <v>540</v>
      </c>
      <c r="E1098" s="3" t="s">
        <v>839</v>
      </c>
      <c r="F1098" s="42" t="s">
        <v>631</v>
      </c>
      <c r="G1098" s="3" t="s">
        <v>1641</v>
      </c>
      <c r="H1098" s="6">
        <v>0</v>
      </c>
      <c r="I1098" s="41">
        <f>VLOOKUP(Tabla1[[#This Row],[PAGO DIA]],DIAS!A:B,2,0)</f>
        <v>46080</v>
      </c>
      <c r="J1098" s="6">
        <v>0</v>
      </c>
      <c r="K1098" s="43">
        <f>VLOOKUP(Tabla1[[#This Row],[PAGO DIA]],DIAS!A:C,3,0)</f>
        <v>46112</v>
      </c>
      <c r="L1098" s="6">
        <v>0</v>
      </c>
      <c r="M1098" s="41">
        <f>VLOOKUP(Tabla1[[#This Row],[PAGO DIA]],DIAS!A:D,4,0)</f>
        <v>46142</v>
      </c>
      <c r="N1098" s="6">
        <v>0</v>
      </c>
      <c r="O1098" s="43">
        <f>VLOOKUP(Tabla1[[#This Row],[PAGO DIA]],DIAS!A:E,5,0)</f>
        <v>46171</v>
      </c>
      <c r="P1098" s="6">
        <v>0</v>
      </c>
      <c r="Q1098" s="43">
        <f>VLOOKUP(Tabla1[[#This Row],[PAGO DIA]],DIAS!A:F,6,0)</f>
        <v>46203</v>
      </c>
      <c r="R1098" s="6">
        <v>0</v>
      </c>
      <c r="S1098" s="43">
        <f>VLOOKUP(Tabla1[[#This Row],[PAGO DIA]],DIAS!A:G,7,0)</f>
        <v>46234</v>
      </c>
      <c r="T1098" s="6">
        <v>0</v>
      </c>
      <c r="U1098" s="43">
        <f>VLOOKUP(Tabla1[[#This Row],[PAGO DIA]],DIAS!A:H,8,0)</f>
        <v>46265</v>
      </c>
      <c r="V1098" s="6">
        <v>0</v>
      </c>
      <c r="W1098" s="43">
        <f>VLOOKUP(Tabla1[[#This Row],[PAGO DIA]],DIAS!A:I,9,0)</f>
        <v>46295</v>
      </c>
      <c r="X1098" s="6">
        <v>0</v>
      </c>
      <c r="Y1098" s="43">
        <f>VLOOKUP(Tabla1[[#This Row],[PAGO DIA]],DIAS!A:J,10,0)</f>
        <v>46325</v>
      </c>
      <c r="Z1098" s="6">
        <v>0</v>
      </c>
      <c r="AA1098" s="43">
        <f>VLOOKUP(Tabla1[[#This Row],[PAGO DIA]],DIAS!A:K,11,0)</f>
        <v>46356</v>
      </c>
      <c r="AB1098" s="6">
        <v>0</v>
      </c>
      <c r="AC1098" s="43">
        <f>VLOOKUP(Tabla1[[#This Row],[PAGO DIA]],DIAS!A:M,12,0)</f>
        <v>46386</v>
      </c>
      <c r="AD10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099" spans="1:30">
      <c r="A1099" s="3">
        <v>11813</v>
      </c>
      <c r="B1099" s="3" t="s">
        <v>538</v>
      </c>
      <c r="C1099" s="3" t="s">
        <v>540</v>
      </c>
      <c r="D1099" s="3" t="s">
        <v>540</v>
      </c>
      <c r="E1099" s="3" t="s">
        <v>839</v>
      </c>
      <c r="F1099" s="42" t="s">
        <v>631</v>
      </c>
      <c r="G1099" s="3" t="s">
        <v>1642</v>
      </c>
      <c r="H1099" s="6">
        <v>0</v>
      </c>
      <c r="I1099" s="41">
        <f>VLOOKUP(Tabla1[[#This Row],[PAGO DIA]],DIAS!A:B,2,0)</f>
        <v>46080</v>
      </c>
      <c r="J1099" s="6">
        <v>0</v>
      </c>
      <c r="K1099" s="43">
        <f>VLOOKUP(Tabla1[[#This Row],[PAGO DIA]],DIAS!A:C,3,0)</f>
        <v>46112</v>
      </c>
      <c r="L1099" s="6">
        <v>0</v>
      </c>
      <c r="M1099" s="41">
        <f>VLOOKUP(Tabla1[[#This Row],[PAGO DIA]],DIAS!A:D,4,0)</f>
        <v>46142</v>
      </c>
      <c r="N1099" s="6">
        <v>0</v>
      </c>
      <c r="O1099" s="43">
        <f>VLOOKUP(Tabla1[[#This Row],[PAGO DIA]],DIAS!A:E,5,0)</f>
        <v>46171</v>
      </c>
      <c r="P1099" s="6">
        <v>0</v>
      </c>
      <c r="Q1099" s="43">
        <f>VLOOKUP(Tabla1[[#This Row],[PAGO DIA]],DIAS!A:F,6,0)</f>
        <v>46203</v>
      </c>
      <c r="R1099" s="6">
        <v>0</v>
      </c>
      <c r="S1099" s="43">
        <f>VLOOKUP(Tabla1[[#This Row],[PAGO DIA]],DIAS!A:G,7,0)</f>
        <v>46234</v>
      </c>
      <c r="T1099" s="6">
        <v>0</v>
      </c>
      <c r="U1099" s="43">
        <f>VLOOKUP(Tabla1[[#This Row],[PAGO DIA]],DIAS!A:H,8,0)</f>
        <v>46265</v>
      </c>
      <c r="V1099" s="6">
        <v>0</v>
      </c>
      <c r="W1099" s="43">
        <f>VLOOKUP(Tabla1[[#This Row],[PAGO DIA]],DIAS!A:I,9,0)</f>
        <v>46295</v>
      </c>
      <c r="X1099" s="6">
        <v>0</v>
      </c>
      <c r="Y1099" s="43">
        <f>VLOOKUP(Tabla1[[#This Row],[PAGO DIA]],DIAS!A:J,10,0)</f>
        <v>46325</v>
      </c>
      <c r="Z1099" s="6">
        <v>0</v>
      </c>
      <c r="AA1099" s="43">
        <f>VLOOKUP(Tabla1[[#This Row],[PAGO DIA]],DIAS!A:K,11,0)</f>
        <v>46356</v>
      </c>
      <c r="AB1099" s="6">
        <v>0</v>
      </c>
      <c r="AC1099" s="43">
        <f>VLOOKUP(Tabla1[[#This Row],[PAGO DIA]],DIAS!A:M,12,0)</f>
        <v>46386</v>
      </c>
      <c r="AD10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0" spans="1:30">
      <c r="A1100" s="3">
        <v>11814</v>
      </c>
      <c r="B1100" s="3" t="s">
        <v>538</v>
      </c>
      <c r="C1100" s="3" t="s">
        <v>540</v>
      </c>
      <c r="D1100" s="3" t="s">
        <v>540</v>
      </c>
      <c r="E1100" s="3" t="s">
        <v>839</v>
      </c>
      <c r="F1100" s="42" t="s">
        <v>631</v>
      </c>
      <c r="G1100" s="3" t="s">
        <v>1643</v>
      </c>
      <c r="H1100" s="6">
        <v>0</v>
      </c>
      <c r="I1100" s="41">
        <f>VLOOKUP(Tabla1[[#This Row],[PAGO DIA]],DIAS!A:B,2,0)</f>
        <v>46080</v>
      </c>
      <c r="J1100" s="6">
        <v>0</v>
      </c>
      <c r="K1100" s="43">
        <f>VLOOKUP(Tabla1[[#This Row],[PAGO DIA]],DIAS!A:C,3,0)</f>
        <v>46112</v>
      </c>
      <c r="L1100" s="6">
        <v>0</v>
      </c>
      <c r="M1100" s="41">
        <f>VLOOKUP(Tabla1[[#This Row],[PAGO DIA]],DIAS!A:D,4,0)</f>
        <v>46142</v>
      </c>
      <c r="N1100" s="6">
        <v>0</v>
      </c>
      <c r="O1100" s="43">
        <f>VLOOKUP(Tabla1[[#This Row],[PAGO DIA]],DIAS!A:E,5,0)</f>
        <v>46171</v>
      </c>
      <c r="P1100" s="6">
        <v>0</v>
      </c>
      <c r="Q1100" s="43">
        <f>VLOOKUP(Tabla1[[#This Row],[PAGO DIA]],DIAS!A:F,6,0)</f>
        <v>46203</v>
      </c>
      <c r="R1100" s="6">
        <v>0</v>
      </c>
      <c r="S1100" s="43">
        <f>VLOOKUP(Tabla1[[#This Row],[PAGO DIA]],DIAS!A:G,7,0)</f>
        <v>46234</v>
      </c>
      <c r="T1100" s="6">
        <v>0</v>
      </c>
      <c r="U1100" s="43">
        <f>VLOOKUP(Tabla1[[#This Row],[PAGO DIA]],DIAS!A:H,8,0)</f>
        <v>46265</v>
      </c>
      <c r="V1100" s="6">
        <v>0</v>
      </c>
      <c r="W1100" s="43">
        <f>VLOOKUP(Tabla1[[#This Row],[PAGO DIA]],DIAS!A:I,9,0)</f>
        <v>46295</v>
      </c>
      <c r="X1100" s="6">
        <v>0</v>
      </c>
      <c r="Y1100" s="43">
        <f>VLOOKUP(Tabla1[[#This Row],[PAGO DIA]],DIAS!A:J,10,0)</f>
        <v>46325</v>
      </c>
      <c r="Z1100" s="6">
        <v>0</v>
      </c>
      <c r="AA1100" s="43">
        <f>VLOOKUP(Tabla1[[#This Row],[PAGO DIA]],DIAS!A:K,11,0)</f>
        <v>46356</v>
      </c>
      <c r="AB1100" s="6">
        <v>0</v>
      </c>
      <c r="AC1100" s="43">
        <f>VLOOKUP(Tabla1[[#This Row],[PAGO DIA]],DIAS!A:M,12,0)</f>
        <v>46386</v>
      </c>
      <c r="AD11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1" spans="1:30">
      <c r="A1101" s="3">
        <v>11815</v>
      </c>
      <c r="B1101" s="3" t="s">
        <v>538</v>
      </c>
      <c r="C1101" s="3" t="s">
        <v>540</v>
      </c>
      <c r="D1101" s="3" t="s">
        <v>540</v>
      </c>
      <c r="E1101" s="3" t="s">
        <v>839</v>
      </c>
      <c r="F1101" s="42" t="s">
        <v>631</v>
      </c>
      <c r="G1101" s="3" t="s">
        <v>1644</v>
      </c>
      <c r="H1101" s="6">
        <v>0</v>
      </c>
      <c r="I1101" s="41">
        <f>VLOOKUP(Tabla1[[#This Row],[PAGO DIA]],DIAS!A:B,2,0)</f>
        <v>46080</v>
      </c>
      <c r="J1101" s="6">
        <v>0</v>
      </c>
      <c r="K1101" s="43">
        <f>VLOOKUP(Tabla1[[#This Row],[PAGO DIA]],DIAS!A:C,3,0)</f>
        <v>46112</v>
      </c>
      <c r="L1101" s="6">
        <v>0</v>
      </c>
      <c r="M1101" s="41">
        <f>VLOOKUP(Tabla1[[#This Row],[PAGO DIA]],DIAS!A:D,4,0)</f>
        <v>46142</v>
      </c>
      <c r="N1101" s="6">
        <v>0</v>
      </c>
      <c r="O1101" s="43">
        <f>VLOOKUP(Tabla1[[#This Row],[PAGO DIA]],DIAS!A:E,5,0)</f>
        <v>46171</v>
      </c>
      <c r="P1101" s="6">
        <v>0</v>
      </c>
      <c r="Q1101" s="43">
        <f>VLOOKUP(Tabla1[[#This Row],[PAGO DIA]],DIAS!A:F,6,0)</f>
        <v>46203</v>
      </c>
      <c r="R1101" s="6">
        <v>0</v>
      </c>
      <c r="S1101" s="43">
        <f>VLOOKUP(Tabla1[[#This Row],[PAGO DIA]],DIAS!A:G,7,0)</f>
        <v>46234</v>
      </c>
      <c r="T1101" s="6">
        <v>0</v>
      </c>
      <c r="U1101" s="43">
        <f>VLOOKUP(Tabla1[[#This Row],[PAGO DIA]],DIAS!A:H,8,0)</f>
        <v>46265</v>
      </c>
      <c r="V1101" s="6">
        <v>0</v>
      </c>
      <c r="W1101" s="43">
        <f>VLOOKUP(Tabla1[[#This Row],[PAGO DIA]],DIAS!A:I,9,0)</f>
        <v>46295</v>
      </c>
      <c r="X1101" s="6">
        <v>0</v>
      </c>
      <c r="Y1101" s="43">
        <f>VLOOKUP(Tabla1[[#This Row],[PAGO DIA]],DIAS!A:J,10,0)</f>
        <v>46325</v>
      </c>
      <c r="Z1101" s="6">
        <v>0</v>
      </c>
      <c r="AA1101" s="43">
        <f>VLOOKUP(Tabla1[[#This Row],[PAGO DIA]],DIAS!A:K,11,0)</f>
        <v>46356</v>
      </c>
      <c r="AB1101" s="6">
        <v>0</v>
      </c>
      <c r="AC1101" s="43">
        <f>VLOOKUP(Tabla1[[#This Row],[PAGO DIA]],DIAS!A:M,12,0)</f>
        <v>46386</v>
      </c>
      <c r="AD11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2" spans="1:30">
      <c r="A1102" s="3">
        <v>11816</v>
      </c>
      <c r="B1102" s="3" t="s">
        <v>538</v>
      </c>
      <c r="C1102" s="3" t="s">
        <v>540</v>
      </c>
      <c r="D1102" s="3" t="s">
        <v>540</v>
      </c>
      <c r="E1102" s="3" t="s">
        <v>839</v>
      </c>
      <c r="F1102" s="42" t="s">
        <v>631</v>
      </c>
      <c r="G1102" s="3" t="s">
        <v>1645</v>
      </c>
      <c r="H1102" s="6">
        <v>0</v>
      </c>
      <c r="I1102" s="41">
        <f>VLOOKUP(Tabla1[[#This Row],[PAGO DIA]],DIAS!A:B,2,0)</f>
        <v>46080</v>
      </c>
      <c r="J1102" s="6">
        <v>0</v>
      </c>
      <c r="K1102" s="43">
        <f>VLOOKUP(Tabla1[[#This Row],[PAGO DIA]],DIAS!A:C,3,0)</f>
        <v>46112</v>
      </c>
      <c r="L1102" s="6">
        <v>0</v>
      </c>
      <c r="M1102" s="41">
        <f>VLOOKUP(Tabla1[[#This Row],[PAGO DIA]],DIAS!A:D,4,0)</f>
        <v>46142</v>
      </c>
      <c r="N1102" s="6">
        <v>0</v>
      </c>
      <c r="O1102" s="43">
        <f>VLOOKUP(Tabla1[[#This Row],[PAGO DIA]],DIAS!A:E,5,0)</f>
        <v>46171</v>
      </c>
      <c r="P1102" s="6">
        <v>0</v>
      </c>
      <c r="Q1102" s="43">
        <f>VLOOKUP(Tabla1[[#This Row],[PAGO DIA]],DIAS!A:F,6,0)</f>
        <v>46203</v>
      </c>
      <c r="R1102" s="6">
        <v>0</v>
      </c>
      <c r="S1102" s="43">
        <f>VLOOKUP(Tabla1[[#This Row],[PAGO DIA]],DIAS!A:G,7,0)</f>
        <v>46234</v>
      </c>
      <c r="T1102" s="6">
        <v>0</v>
      </c>
      <c r="U1102" s="43">
        <f>VLOOKUP(Tabla1[[#This Row],[PAGO DIA]],DIAS!A:H,8,0)</f>
        <v>46265</v>
      </c>
      <c r="V1102" s="6">
        <v>0</v>
      </c>
      <c r="W1102" s="43">
        <f>VLOOKUP(Tabla1[[#This Row],[PAGO DIA]],DIAS!A:I,9,0)</f>
        <v>46295</v>
      </c>
      <c r="X1102" s="6">
        <v>0</v>
      </c>
      <c r="Y1102" s="43">
        <f>VLOOKUP(Tabla1[[#This Row],[PAGO DIA]],DIAS!A:J,10,0)</f>
        <v>46325</v>
      </c>
      <c r="Z1102" s="6">
        <v>0</v>
      </c>
      <c r="AA1102" s="43">
        <f>VLOOKUP(Tabla1[[#This Row],[PAGO DIA]],DIAS!A:K,11,0)</f>
        <v>46356</v>
      </c>
      <c r="AB1102" s="6">
        <v>0</v>
      </c>
      <c r="AC1102" s="43">
        <f>VLOOKUP(Tabla1[[#This Row],[PAGO DIA]],DIAS!A:M,12,0)</f>
        <v>46386</v>
      </c>
      <c r="AD11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3" spans="1:30">
      <c r="A1103" s="3">
        <v>11817</v>
      </c>
      <c r="B1103" s="3" t="s">
        <v>538</v>
      </c>
      <c r="C1103" s="3" t="s">
        <v>540</v>
      </c>
      <c r="D1103" s="3" t="s">
        <v>540</v>
      </c>
      <c r="E1103" s="3" t="s">
        <v>839</v>
      </c>
      <c r="F1103" s="42" t="s">
        <v>631</v>
      </c>
      <c r="G1103" s="3" t="s">
        <v>1646</v>
      </c>
      <c r="H1103" s="6">
        <v>0</v>
      </c>
      <c r="I1103" s="41">
        <f>VLOOKUP(Tabla1[[#This Row],[PAGO DIA]],DIAS!A:B,2,0)</f>
        <v>46080</v>
      </c>
      <c r="J1103" s="6">
        <v>0</v>
      </c>
      <c r="K1103" s="43">
        <f>VLOOKUP(Tabla1[[#This Row],[PAGO DIA]],DIAS!A:C,3,0)</f>
        <v>46112</v>
      </c>
      <c r="L1103" s="6">
        <v>0</v>
      </c>
      <c r="M1103" s="41">
        <f>VLOOKUP(Tabla1[[#This Row],[PAGO DIA]],DIAS!A:D,4,0)</f>
        <v>46142</v>
      </c>
      <c r="N1103" s="6">
        <v>0</v>
      </c>
      <c r="O1103" s="43">
        <f>VLOOKUP(Tabla1[[#This Row],[PAGO DIA]],DIAS!A:E,5,0)</f>
        <v>46171</v>
      </c>
      <c r="P1103" s="6">
        <v>0</v>
      </c>
      <c r="Q1103" s="43">
        <f>VLOOKUP(Tabla1[[#This Row],[PAGO DIA]],DIAS!A:F,6,0)</f>
        <v>46203</v>
      </c>
      <c r="R1103" s="6">
        <v>0</v>
      </c>
      <c r="S1103" s="43">
        <f>VLOOKUP(Tabla1[[#This Row],[PAGO DIA]],DIAS!A:G,7,0)</f>
        <v>46234</v>
      </c>
      <c r="T1103" s="6">
        <v>0</v>
      </c>
      <c r="U1103" s="43">
        <f>VLOOKUP(Tabla1[[#This Row],[PAGO DIA]],DIAS!A:H,8,0)</f>
        <v>46265</v>
      </c>
      <c r="V1103" s="6">
        <v>0</v>
      </c>
      <c r="W1103" s="43">
        <f>VLOOKUP(Tabla1[[#This Row],[PAGO DIA]],DIAS!A:I,9,0)</f>
        <v>46295</v>
      </c>
      <c r="X1103" s="6">
        <v>0</v>
      </c>
      <c r="Y1103" s="43">
        <f>VLOOKUP(Tabla1[[#This Row],[PAGO DIA]],DIAS!A:J,10,0)</f>
        <v>46325</v>
      </c>
      <c r="Z1103" s="6">
        <v>0</v>
      </c>
      <c r="AA1103" s="43">
        <f>VLOOKUP(Tabla1[[#This Row],[PAGO DIA]],DIAS!A:K,11,0)</f>
        <v>46356</v>
      </c>
      <c r="AB1103" s="6">
        <v>0</v>
      </c>
      <c r="AC1103" s="43">
        <f>VLOOKUP(Tabla1[[#This Row],[PAGO DIA]],DIAS!A:M,12,0)</f>
        <v>46386</v>
      </c>
      <c r="AD11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4" spans="1:30">
      <c r="A1104" s="3">
        <v>11818</v>
      </c>
      <c r="B1104" s="3" t="s">
        <v>538</v>
      </c>
      <c r="C1104" s="3" t="s">
        <v>540</v>
      </c>
      <c r="D1104" s="3" t="s">
        <v>540</v>
      </c>
      <c r="E1104" s="3" t="s">
        <v>839</v>
      </c>
      <c r="F1104" s="42" t="s">
        <v>631</v>
      </c>
      <c r="G1104" s="3" t="s">
        <v>1647</v>
      </c>
      <c r="H1104" s="6">
        <v>0</v>
      </c>
      <c r="I1104" s="41">
        <f>VLOOKUP(Tabla1[[#This Row],[PAGO DIA]],DIAS!A:B,2,0)</f>
        <v>46080</v>
      </c>
      <c r="J1104" s="6">
        <v>0</v>
      </c>
      <c r="K1104" s="43">
        <f>VLOOKUP(Tabla1[[#This Row],[PAGO DIA]],DIAS!A:C,3,0)</f>
        <v>46112</v>
      </c>
      <c r="L1104" s="6">
        <v>0</v>
      </c>
      <c r="M1104" s="41">
        <f>VLOOKUP(Tabla1[[#This Row],[PAGO DIA]],DIAS!A:D,4,0)</f>
        <v>46142</v>
      </c>
      <c r="N1104" s="6">
        <v>0</v>
      </c>
      <c r="O1104" s="43">
        <f>VLOOKUP(Tabla1[[#This Row],[PAGO DIA]],DIAS!A:E,5,0)</f>
        <v>46171</v>
      </c>
      <c r="P1104" s="6">
        <v>0</v>
      </c>
      <c r="Q1104" s="43">
        <f>VLOOKUP(Tabla1[[#This Row],[PAGO DIA]],DIAS!A:F,6,0)</f>
        <v>46203</v>
      </c>
      <c r="R1104" s="6">
        <v>0</v>
      </c>
      <c r="S1104" s="43">
        <f>VLOOKUP(Tabla1[[#This Row],[PAGO DIA]],DIAS!A:G,7,0)</f>
        <v>46234</v>
      </c>
      <c r="T1104" s="6">
        <v>0</v>
      </c>
      <c r="U1104" s="43">
        <f>VLOOKUP(Tabla1[[#This Row],[PAGO DIA]],DIAS!A:H,8,0)</f>
        <v>46265</v>
      </c>
      <c r="V1104" s="6">
        <v>0</v>
      </c>
      <c r="W1104" s="43">
        <f>VLOOKUP(Tabla1[[#This Row],[PAGO DIA]],DIAS!A:I,9,0)</f>
        <v>46295</v>
      </c>
      <c r="X1104" s="6">
        <v>0</v>
      </c>
      <c r="Y1104" s="43">
        <f>VLOOKUP(Tabla1[[#This Row],[PAGO DIA]],DIAS!A:J,10,0)</f>
        <v>46325</v>
      </c>
      <c r="Z1104" s="6">
        <v>0</v>
      </c>
      <c r="AA1104" s="43">
        <f>VLOOKUP(Tabla1[[#This Row],[PAGO DIA]],DIAS!A:K,11,0)</f>
        <v>46356</v>
      </c>
      <c r="AB1104" s="6">
        <v>0</v>
      </c>
      <c r="AC1104" s="43">
        <f>VLOOKUP(Tabla1[[#This Row],[PAGO DIA]],DIAS!A:M,12,0)</f>
        <v>46386</v>
      </c>
      <c r="AD11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5" spans="1:30">
      <c r="A1105" s="3">
        <v>11819</v>
      </c>
      <c r="B1105" s="3" t="s">
        <v>538</v>
      </c>
      <c r="C1105" s="3" t="s">
        <v>540</v>
      </c>
      <c r="D1105" s="3" t="s">
        <v>540</v>
      </c>
      <c r="E1105" s="3" t="s">
        <v>839</v>
      </c>
      <c r="F1105" s="42" t="s">
        <v>631</v>
      </c>
      <c r="G1105" s="3" t="s">
        <v>1648</v>
      </c>
      <c r="H1105" s="6">
        <v>0</v>
      </c>
      <c r="I1105" s="41">
        <f>VLOOKUP(Tabla1[[#This Row],[PAGO DIA]],DIAS!A:B,2,0)</f>
        <v>46080</v>
      </c>
      <c r="J1105" s="6">
        <v>0</v>
      </c>
      <c r="K1105" s="43">
        <f>VLOOKUP(Tabla1[[#This Row],[PAGO DIA]],DIAS!A:C,3,0)</f>
        <v>46112</v>
      </c>
      <c r="L1105" s="6">
        <v>0</v>
      </c>
      <c r="M1105" s="41">
        <f>VLOOKUP(Tabla1[[#This Row],[PAGO DIA]],DIAS!A:D,4,0)</f>
        <v>46142</v>
      </c>
      <c r="N1105" s="6">
        <v>0</v>
      </c>
      <c r="O1105" s="43">
        <f>VLOOKUP(Tabla1[[#This Row],[PAGO DIA]],DIAS!A:E,5,0)</f>
        <v>46171</v>
      </c>
      <c r="P1105" s="6">
        <v>0</v>
      </c>
      <c r="Q1105" s="43">
        <f>VLOOKUP(Tabla1[[#This Row],[PAGO DIA]],DIAS!A:F,6,0)</f>
        <v>46203</v>
      </c>
      <c r="R1105" s="6">
        <v>0</v>
      </c>
      <c r="S1105" s="43">
        <f>VLOOKUP(Tabla1[[#This Row],[PAGO DIA]],DIAS!A:G,7,0)</f>
        <v>46234</v>
      </c>
      <c r="T1105" s="6">
        <v>0</v>
      </c>
      <c r="U1105" s="43">
        <f>VLOOKUP(Tabla1[[#This Row],[PAGO DIA]],DIAS!A:H,8,0)</f>
        <v>46265</v>
      </c>
      <c r="V1105" s="6">
        <v>0</v>
      </c>
      <c r="W1105" s="43">
        <f>VLOOKUP(Tabla1[[#This Row],[PAGO DIA]],DIAS!A:I,9,0)</f>
        <v>46295</v>
      </c>
      <c r="X1105" s="6">
        <v>0</v>
      </c>
      <c r="Y1105" s="43">
        <f>VLOOKUP(Tabla1[[#This Row],[PAGO DIA]],DIAS!A:J,10,0)</f>
        <v>46325</v>
      </c>
      <c r="Z1105" s="6">
        <v>0</v>
      </c>
      <c r="AA1105" s="43">
        <f>VLOOKUP(Tabla1[[#This Row],[PAGO DIA]],DIAS!A:K,11,0)</f>
        <v>46356</v>
      </c>
      <c r="AB1105" s="6">
        <v>0</v>
      </c>
      <c r="AC1105" s="43">
        <f>VLOOKUP(Tabla1[[#This Row],[PAGO DIA]],DIAS!A:M,12,0)</f>
        <v>46386</v>
      </c>
      <c r="AD11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6" spans="1:30">
      <c r="A1106" s="3">
        <v>11820</v>
      </c>
      <c r="B1106" s="3" t="s">
        <v>538</v>
      </c>
      <c r="C1106" s="3" t="s">
        <v>540</v>
      </c>
      <c r="D1106" s="3" t="s">
        <v>540</v>
      </c>
      <c r="E1106" s="3" t="s">
        <v>839</v>
      </c>
      <c r="F1106" s="42" t="s">
        <v>631</v>
      </c>
      <c r="G1106" s="3" t="s">
        <v>1649</v>
      </c>
      <c r="H1106" s="6">
        <v>0</v>
      </c>
      <c r="I1106" s="41">
        <f>VLOOKUP(Tabla1[[#This Row],[PAGO DIA]],DIAS!A:B,2,0)</f>
        <v>46080</v>
      </c>
      <c r="J1106" s="6">
        <v>0</v>
      </c>
      <c r="K1106" s="43">
        <f>VLOOKUP(Tabla1[[#This Row],[PAGO DIA]],DIAS!A:C,3,0)</f>
        <v>46112</v>
      </c>
      <c r="L1106" s="6">
        <v>0</v>
      </c>
      <c r="M1106" s="41">
        <f>VLOOKUP(Tabla1[[#This Row],[PAGO DIA]],DIAS!A:D,4,0)</f>
        <v>46142</v>
      </c>
      <c r="N1106" s="6">
        <v>0</v>
      </c>
      <c r="O1106" s="43">
        <f>VLOOKUP(Tabla1[[#This Row],[PAGO DIA]],DIAS!A:E,5,0)</f>
        <v>46171</v>
      </c>
      <c r="P1106" s="6">
        <v>0</v>
      </c>
      <c r="Q1106" s="43">
        <f>VLOOKUP(Tabla1[[#This Row],[PAGO DIA]],DIAS!A:F,6,0)</f>
        <v>46203</v>
      </c>
      <c r="R1106" s="6">
        <v>0</v>
      </c>
      <c r="S1106" s="43">
        <f>VLOOKUP(Tabla1[[#This Row],[PAGO DIA]],DIAS!A:G,7,0)</f>
        <v>46234</v>
      </c>
      <c r="T1106" s="6">
        <v>0</v>
      </c>
      <c r="U1106" s="43">
        <f>VLOOKUP(Tabla1[[#This Row],[PAGO DIA]],DIAS!A:H,8,0)</f>
        <v>46265</v>
      </c>
      <c r="V1106" s="6">
        <v>0</v>
      </c>
      <c r="W1106" s="43">
        <f>VLOOKUP(Tabla1[[#This Row],[PAGO DIA]],DIAS!A:I,9,0)</f>
        <v>46295</v>
      </c>
      <c r="X1106" s="6">
        <v>0</v>
      </c>
      <c r="Y1106" s="43">
        <f>VLOOKUP(Tabla1[[#This Row],[PAGO DIA]],DIAS!A:J,10,0)</f>
        <v>46325</v>
      </c>
      <c r="Z1106" s="6">
        <v>0</v>
      </c>
      <c r="AA1106" s="43">
        <f>VLOOKUP(Tabla1[[#This Row],[PAGO DIA]],DIAS!A:K,11,0)</f>
        <v>46356</v>
      </c>
      <c r="AB1106" s="6">
        <v>0</v>
      </c>
      <c r="AC1106" s="43">
        <f>VLOOKUP(Tabla1[[#This Row],[PAGO DIA]],DIAS!A:M,12,0)</f>
        <v>46386</v>
      </c>
      <c r="AD11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7" spans="1:30">
      <c r="A1107" s="3">
        <v>11821</v>
      </c>
      <c r="B1107" s="3" t="s">
        <v>538</v>
      </c>
      <c r="C1107" s="3" t="s">
        <v>540</v>
      </c>
      <c r="D1107" s="3" t="s">
        <v>540</v>
      </c>
      <c r="E1107" s="3" t="s">
        <v>839</v>
      </c>
      <c r="F1107" s="42" t="s">
        <v>631</v>
      </c>
      <c r="G1107" s="3" t="s">
        <v>1650</v>
      </c>
      <c r="H1107" s="6">
        <v>0</v>
      </c>
      <c r="I1107" s="41">
        <f>VLOOKUP(Tabla1[[#This Row],[PAGO DIA]],DIAS!A:B,2,0)</f>
        <v>46080</v>
      </c>
      <c r="J1107" s="6">
        <v>0</v>
      </c>
      <c r="K1107" s="43">
        <f>VLOOKUP(Tabla1[[#This Row],[PAGO DIA]],DIAS!A:C,3,0)</f>
        <v>46112</v>
      </c>
      <c r="L1107" s="6">
        <v>0</v>
      </c>
      <c r="M1107" s="41">
        <f>VLOOKUP(Tabla1[[#This Row],[PAGO DIA]],DIAS!A:D,4,0)</f>
        <v>46142</v>
      </c>
      <c r="N1107" s="6">
        <v>0</v>
      </c>
      <c r="O1107" s="43">
        <f>VLOOKUP(Tabla1[[#This Row],[PAGO DIA]],DIAS!A:E,5,0)</f>
        <v>46171</v>
      </c>
      <c r="P1107" s="6">
        <v>0</v>
      </c>
      <c r="Q1107" s="43">
        <f>VLOOKUP(Tabla1[[#This Row],[PAGO DIA]],DIAS!A:F,6,0)</f>
        <v>46203</v>
      </c>
      <c r="R1107" s="6">
        <v>0</v>
      </c>
      <c r="S1107" s="43">
        <f>VLOOKUP(Tabla1[[#This Row],[PAGO DIA]],DIAS!A:G,7,0)</f>
        <v>46234</v>
      </c>
      <c r="T1107" s="6">
        <v>0</v>
      </c>
      <c r="U1107" s="43">
        <f>VLOOKUP(Tabla1[[#This Row],[PAGO DIA]],DIAS!A:H,8,0)</f>
        <v>46265</v>
      </c>
      <c r="V1107" s="6">
        <v>0</v>
      </c>
      <c r="W1107" s="43">
        <f>VLOOKUP(Tabla1[[#This Row],[PAGO DIA]],DIAS!A:I,9,0)</f>
        <v>46295</v>
      </c>
      <c r="X1107" s="6">
        <v>0</v>
      </c>
      <c r="Y1107" s="43">
        <f>VLOOKUP(Tabla1[[#This Row],[PAGO DIA]],DIAS!A:J,10,0)</f>
        <v>46325</v>
      </c>
      <c r="Z1107" s="6">
        <v>0</v>
      </c>
      <c r="AA1107" s="43">
        <f>VLOOKUP(Tabla1[[#This Row],[PAGO DIA]],DIAS!A:K,11,0)</f>
        <v>46356</v>
      </c>
      <c r="AB1107" s="6">
        <v>0</v>
      </c>
      <c r="AC1107" s="43">
        <f>VLOOKUP(Tabla1[[#This Row],[PAGO DIA]],DIAS!A:M,12,0)</f>
        <v>46386</v>
      </c>
      <c r="AD11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8" spans="1:30">
      <c r="A1108" s="3">
        <v>12711</v>
      </c>
      <c r="B1108" s="3" t="s">
        <v>538</v>
      </c>
      <c r="C1108" s="3" t="s">
        <v>539</v>
      </c>
      <c r="D1108" s="3" t="s">
        <v>540</v>
      </c>
      <c r="E1108" s="3" t="s">
        <v>1651</v>
      </c>
      <c r="F1108" s="42" t="s">
        <v>631</v>
      </c>
      <c r="G1108" s="3" t="s">
        <v>1652</v>
      </c>
      <c r="H1108" s="6">
        <v>0</v>
      </c>
      <c r="I1108" s="41">
        <f>VLOOKUP(Tabla1[[#This Row],[PAGO DIA]],DIAS!A:B,2,0)</f>
        <v>46080</v>
      </c>
      <c r="J1108" s="6">
        <v>0</v>
      </c>
      <c r="K1108" s="43">
        <f>VLOOKUP(Tabla1[[#This Row],[PAGO DIA]],DIAS!A:C,3,0)</f>
        <v>46112</v>
      </c>
      <c r="L1108" s="6">
        <v>0</v>
      </c>
      <c r="M1108" s="41">
        <f>VLOOKUP(Tabla1[[#This Row],[PAGO DIA]],DIAS!A:D,4,0)</f>
        <v>46142</v>
      </c>
      <c r="N1108" s="6">
        <v>0</v>
      </c>
      <c r="O1108" s="43">
        <f>VLOOKUP(Tabla1[[#This Row],[PAGO DIA]],DIAS!A:E,5,0)</f>
        <v>46171</v>
      </c>
      <c r="P1108" s="6">
        <v>0</v>
      </c>
      <c r="Q1108" s="43">
        <f>VLOOKUP(Tabla1[[#This Row],[PAGO DIA]],DIAS!A:F,6,0)</f>
        <v>46203</v>
      </c>
      <c r="R1108" s="6">
        <v>0</v>
      </c>
      <c r="S1108" s="43">
        <f>VLOOKUP(Tabla1[[#This Row],[PAGO DIA]],DIAS!A:G,7,0)</f>
        <v>46234</v>
      </c>
      <c r="T1108" s="6">
        <v>0</v>
      </c>
      <c r="U1108" s="43">
        <f>VLOOKUP(Tabla1[[#This Row],[PAGO DIA]],DIAS!A:H,8,0)</f>
        <v>46265</v>
      </c>
      <c r="V1108" s="6">
        <v>0</v>
      </c>
      <c r="W1108" s="43">
        <f>VLOOKUP(Tabla1[[#This Row],[PAGO DIA]],DIAS!A:I,9,0)</f>
        <v>46295</v>
      </c>
      <c r="X1108" s="6">
        <v>0</v>
      </c>
      <c r="Y1108" s="43">
        <f>VLOOKUP(Tabla1[[#This Row],[PAGO DIA]],DIAS!A:J,10,0)</f>
        <v>46325</v>
      </c>
      <c r="Z1108" s="6">
        <v>0</v>
      </c>
      <c r="AA1108" s="43">
        <f>VLOOKUP(Tabla1[[#This Row],[PAGO DIA]],DIAS!A:K,11,0)</f>
        <v>46356</v>
      </c>
      <c r="AB1108" s="6">
        <v>0</v>
      </c>
      <c r="AC1108" s="43">
        <f>VLOOKUP(Tabla1[[#This Row],[PAGO DIA]],DIAS!A:M,12,0)</f>
        <v>46386</v>
      </c>
      <c r="AD11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09" spans="1:30">
      <c r="A1109" s="3">
        <v>12729</v>
      </c>
      <c r="B1109" s="3" t="s">
        <v>538</v>
      </c>
      <c r="C1109" s="3" t="s">
        <v>539</v>
      </c>
      <c r="D1109" s="3" t="s">
        <v>540</v>
      </c>
      <c r="E1109" s="3" t="s">
        <v>1651</v>
      </c>
      <c r="F1109" s="42" t="s">
        <v>631</v>
      </c>
      <c r="G1109" s="3" t="s">
        <v>1653</v>
      </c>
      <c r="H1109" s="6">
        <v>0</v>
      </c>
      <c r="I1109" s="41">
        <f>VLOOKUP(Tabla1[[#This Row],[PAGO DIA]],DIAS!A:B,2,0)</f>
        <v>46080</v>
      </c>
      <c r="J1109" s="6">
        <v>0</v>
      </c>
      <c r="K1109" s="43">
        <f>VLOOKUP(Tabla1[[#This Row],[PAGO DIA]],DIAS!A:C,3,0)</f>
        <v>46112</v>
      </c>
      <c r="L1109" s="6">
        <v>0</v>
      </c>
      <c r="M1109" s="41">
        <f>VLOOKUP(Tabla1[[#This Row],[PAGO DIA]],DIAS!A:D,4,0)</f>
        <v>46142</v>
      </c>
      <c r="N1109" s="6">
        <v>0</v>
      </c>
      <c r="O1109" s="43">
        <f>VLOOKUP(Tabla1[[#This Row],[PAGO DIA]],DIAS!A:E,5,0)</f>
        <v>46171</v>
      </c>
      <c r="P1109" s="6">
        <v>0</v>
      </c>
      <c r="Q1109" s="43">
        <f>VLOOKUP(Tabla1[[#This Row],[PAGO DIA]],DIAS!A:F,6,0)</f>
        <v>46203</v>
      </c>
      <c r="R1109" s="6">
        <v>0</v>
      </c>
      <c r="S1109" s="43">
        <f>VLOOKUP(Tabla1[[#This Row],[PAGO DIA]],DIAS!A:G,7,0)</f>
        <v>46234</v>
      </c>
      <c r="T1109" s="6">
        <v>0</v>
      </c>
      <c r="U1109" s="43">
        <f>VLOOKUP(Tabla1[[#This Row],[PAGO DIA]],DIAS!A:H,8,0)</f>
        <v>46265</v>
      </c>
      <c r="V1109" s="6">
        <v>0</v>
      </c>
      <c r="W1109" s="43">
        <f>VLOOKUP(Tabla1[[#This Row],[PAGO DIA]],DIAS!A:I,9,0)</f>
        <v>46295</v>
      </c>
      <c r="X1109" s="6">
        <v>0</v>
      </c>
      <c r="Y1109" s="43">
        <f>VLOOKUP(Tabla1[[#This Row],[PAGO DIA]],DIAS!A:J,10,0)</f>
        <v>46325</v>
      </c>
      <c r="Z1109" s="6">
        <v>0</v>
      </c>
      <c r="AA1109" s="43">
        <f>VLOOKUP(Tabla1[[#This Row],[PAGO DIA]],DIAS!A:K,11,0)</f>
        <v>46356</v>
      </c>
      <c r="AB1109" s="6">
        <v>0</v>
      </c>
      <c r="AC1109" s="43">
        <f>VLOOKUP(Tabla1[[#This Row],[PAGO DIA]],DIAS!A:M,12,0)</f>
        <v>46386</v>
      </c>
      <c r="AD11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0" spans="1:30">
      <c r="A1110" s="3">
        <v>12784</v>
      </c>
      <c r="B1110" s="3" t="s">
        <v>538</v>
      </c>
      <c r="C1110" s="3" t="s">
        <v>539</v>
      </c>
      <c r="D1110" s="3" t="s">
        <v>540</v>
      </c>
      <c r="E1110" s="3" t="s">
        <v>1651</v>
      </c>
      <c r="F1110" s="42" t="s">
        <v>631</v>
      </c>
      <c r="G1110" s="3" t="s">
        <v>1654</v>
      </c>
      <c r="H1110" s="6">
        <v>0</v>
      </c>
      <c r="I1110" s="41">
        <f>VLOOKUP(Tabla1[[#This Row],[PAGO DIA]],DIAS!A:B,2,0)</f>
        <v>46080</v>
      </c>
      <c r="J1110" s="6">
        <v>0</v>
      </c>
      <c r="K1110" s="43">
        <f>VLOOKUP(Tabla1[[#This Row],[PAGO DIA]],DIAS!A:C,3,0)</f>
        <v>46112</v>
      </c>
      <c r="L1110" s="6">
        <v>0</v>
      </c>
      <c r="M1110" s="41">
        <f>VLOOKUP(Tabla1[[#This Row],[PAGO DIA]],DIAS!A:D,4,0)</f>
        <v>46142</v>
      </c>
      <c r="N1110" s="6">
        <v>0</v>
      </c>
      <c r="O1110" s="43">
        <f>VLOOKUP(Tabla1[[#This Row],[PAGO DIA]],DIAS!A:E,5,0)</f>
        <v>46171</v>
      </c>
      <c r="P1110" s="6">
        <v>0</v>
      </c>
      <c r="Q1110" s="43">
        <f>VLOOKUP(Tabla1[[#This Row],[PAGO DIA]],DIAS!A:F,6,0)</f>
        <v>46203</v>
      </c>
      <c r="R1110" s="6">
        <v>0</v>
      </c>
      <c r="S1110" s="43">
        <f>VLOOKUP(Tabla1[[#This Row],[PAGO DIA]],DIAS!A:G,7,0)</f>
        <v>46234</v>
      </c>
      <c r="T1110" s="6">
        <v>0</v>
      </c>
      <c r="U1110" s="43">
        <f>VLOOKUP(Tabla1[[#This Row],[PAGO DIA]],DIAS!A:H,8,0)</f>
        <v>46265</v>
      </c>
      <c r="V1110" s="6">
        <v>0</v>
      </c>
      <c r="W1110" s="43">
        <f>VLOOKUP(Tabla1[[#This Row],[PAGO DIA]],DIAS!A:I,9,0)</f>
        <v>46295</v>
      </c>
      <c r="X1110" s="6">
        <v>0</v>
      </c>
      <c r="Y1110" s="43">
        <f>VLOOKUP(Tabla1[[#This Row],[PAGO DIA]],DIAS!A:J,10,0)</f>
        <v>46325</v>
      </c>
      <c r="Z1110" s="6">
        <v>0</v>
      </c>
      <c r="AA1110" s="43">
        <f>VLOOKUP(Tabla1[[#This Row],[PAGO DIA]],DIAS!A:K,11,0)</f>
        <v>46356</v>
      </c>
      <c r="AB1110" s="6">
        <v>0</v>
      </c>
      <c r="AC1110" s="43">
        <f>VLOOKUP(Tabla1[[#This Row],[PAGO DIA]],DIAS!A:M,12,0)</f>
        <v>46386</v>
      </c>
      <c r="AD11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1" spans="1:30">
      <c r="A1111" s="3">
        <v>12800</v>
      </c>
      <c r="B1111" s="3" t="s">
        <v>538</v>
      </c>
      <c r="C1111" s="3" t="s">
        <v>539</v>
      </c>
      <c r="D1111" s="3" t="s">
        <v>540</v>
      </c>
      <c r="E1111" s="3" t="s">
        <v>1651</v>
      </c>
      <c r="F1111" s="42" t="s">
        <v>631</v>
      </c>
      <c r="G1111" s="3" t="s">
        <v>1655</v>
      </c>
      <c r="H1111" s="6">
        <v>0</v>
      </c>
      <c r="I1111" s="41">
        <f>VLOOKUP(Tabla1[[#This Row],[PAGO DIA]],DIAS!A:B,2,0)</f>
        <v>46080</v>
      </c>
      <c r="J1111" s="6">
        <v>0</v>
      </c>
      <c r="K1111" s="43">
        <f>VLOOKUP(Tabla1[[#This Row],[PAGO DIA]],DIAS!A:C,3,0)</f>
        <v>46112</v>
      </c>
      <c r="L1111" s="6">
        <v>0</v>
      </c>
      <c r="M1111" s="41">
        <f>VLOOKUP(Tabla1[[#This Row],[PAGO DIA]],DIAS!A:D,4,0)</f>
        <v>46142</v>
      </c>
      <c r="N1111" s="6">
        <v>0</v>
      </c>
      <c r="O1111" s="43">
        <f>VLOOKUP(Tabla1[[#This Row],[PAGO DIA]],DIAS!A:E,5,0)</f>
        <v>46171</v>
      </c>
      <c r="P1111" s="6">
        <v>0</v>
      </c>
      <c r="Q1111" s="43">
        <f>VLOOKUP(Tabla1[[#This Row],[PAGO DIA]],DIAS!A:F,6,0)</f>
        <v>46203</v>
      </c>
      <c r="R1111" s="6">
        <v>0</v>
      </c>
      <c r="S1111" s="43">
        <f>VLOOKUP(Tabla1[[#This Row],[PAGO DIA]],DIAS!A:G,7,0)</f>
        <v>46234</v>
      </c>
      <c r="T1111" s="6">
        <v>0</v>
      </c>
      <c r="U1111" s="43">
        <f>VLOOKUP(Tabla1[[#This Row],[PAGO DIA]],DIAS!A:H,8,0)</f>
        <v>46265</v>
      </c>
      <c r="V1111" s="6">
        <v>0</v>
      </c>
      <c r="W1111" s="43">
        <f>VLOOKUP(Tabla1[[#This Row],[PAGO DIA]],DIAS!A:I,9,0)</f>
        <v>46295</v>
      </c>
      <c r="X1111" s="6">
        <v>0</v>
      </c>
      <c r="Y1111" s="43">
        <f>VLOOKUP(Tabla1[[#This Row],[PAGO DIA]],DIAS!A:J,10,0)</f>
        <v>46325</v>
      </c>
      <c r="Z1111" s="6">
        <v>0</v>
      </c>
      <c r="AA1111" s="43">
        <f>VLOOKUP(Tabla1[[#This Row],[PAGO DIA]],DIAS!A:K,11,0)</f>
        <v>46356</v>
      </c>
      <c r="AB1111" s="6">
        <v>0</v>
      </c>
      <c r="AC1111" s="43">
        <f>VLOOKUP(Tabla1[[#This Row],[PAGO DIA]],DIAS!A:M,12,0)</f>
        <v>46386</v>
      </c>
      <c r="AD11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2" spans="1:30">
      <c r="A1112" s="3">
        <v>11024</v>
      </c>
      <c r="B1112" s="3" t="s">
        <v>538</v>
      </c>
      <c r="C1112" s="3" t="s">
        <v>539</v>
      </c>
      <c r="D1112" s="3" t="s">
        <v>540</v>
      </c>
      <c r="E1112" s="3" t="s">
        <v>1656</v>
      </c>
      <c r="F1112" s="42" t="s">
        <v>631</v>
      </c>
      <c r="G1112" s="3"/>
      <c r="H1112" s="6">
        <v>0</v>
      </c>
      <c r="I1112" s="41">
        <f>VLOOKUP(Tabla1[[#This Row],[PAGO DIA]],DIAS!A:B,2,0)</f>
        <v>46080</v>
      </c>
      <c r="J1112" s="6">
        <v>0</v>
      </c>
      <c r="K1112" s="43">
        <f>VLOOKUP(Tabla1[[#This Row],[PAGO DIA]],DIAS!A:C,3,0)</f>
        <v>46112</v>
      </c>
      <c r="L1112" s="6">
        <v>0</v>
      </c>
      <c r="M1112" s="41">
        <f>VLOOKUP(Tabla1[[#This Row],[PAGO DIA]],DIAS!A:D,4,0)</f>
        <v>46142</v>
      </c>
      <c r="N1112" s="6">
        <v>0</v>
      </c>
      <c r="O1112" s="43">
        <f>VLOOKUP(Tabla1[[#This Row],[PAGO DIA]],DIAS!A:E,5,0)</f>
        <v>46171</v>
      </c>
      <c r="P1112" s="6">
        <v>0</v>
      </c>
      <c r="Q1112" s="43">
        <f>VLOOKUP(Tabla1[[#This Row],[PAGO DIA]],DIAS!A:F,6,0)</f>
        <v>46203</v>
      </c>
      <c r="R1112" s="6">
        <v>0</v>
      </c>
      <c r="S1112" s="43">
        <f>VLOOKUP(Tabla1[[#This Row],[PAGO DIA]],DIAS!A:G,7,0)</f>
        <v>46234</v>
      </c>
      <c r="T1112" s="6">
        <v>0</v>
      </c>
      <c r="U1112" s="43">
        <f>VLOOKUP(Tabla1[[#This Row],[PAGO DIA]],DIAS!A:H,8,0)</f>
        <v>46265</v>
      </c>
      <c r="V1112" s="6">
        <v>0</v>
      </c>
      <c r="W1112" s="43">
        <f>VLOOKUP(Tabla1[[#This Row],[PAGO DIA]],DIAS!A:I,9,0)</f>
        <v>46295</v>
      </c>
      <c r="X1112" s="6">
        <v>0</v>
      </c>
      <c r="Y1112" s="43">
        <f>VLOOKUP(Tabla1[[#This Row],[PAGO DIA]],DIAS!A:J,10,0)</f>
        <v>46325</v>
      </c>
      <c r="Z1112" s="6">
        <v>0</v>
      </c>
      <c r="AA1112" s="43">
        <f>VLOOKUP(Tabla1[[#This Row],[PAGO DIA]],DIAS!A:K,11,0)</f>
        <v>46356</v>
      </c>
      <c r="AB1112" s="6">
        <v>0</v>
      </c>
      <c r="AC1112" s="43">
        <f>VLOOKUP(Tabla1[[#This Row],[PAGO DIA]],DIAS!A:M,12,0)</f>
        <v>46386</v>
      </c>
      <c r="AD11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3" spans="1:30">
      <c r="A1113" s="3">
        <v>11253</v>
      </c>
      <c r="B1113" s="3" t="s">
        <v>538</v>
      </c>
      <c r="C1113" s="3" t="s">
        <v>539</v>
      </c>
      <c r="D1113" s="3" t="s">
        <v>540</v>
      </c>
      <c r="E1113" s="3" t="s">
        <v>1656</v>
      </c>
      <c r="F1113" s="42" t="s">
        <v>631</v>
      </c>
      <c r="G1113" s="3"/>
      <c r="H1113" s="6">
        <v>0</v>
      </c>
      <c r="I1113" s="41">
        <f>VLOOKUP(Tabla1[[#This Row],[PAGO DIA]],DIAS!A:B,2,0)</f>
        <v>46080</v>
      </c>
      <c r="J1113" s="6">
        <v>0</v>
      </c>
      <c r="K1113" s="43">
        <f>VLOOKUP(Tabla1[[#This Row],[PAGO DIA]],DIAS!A:C,3,0)</f>
        <v>46112</v>
      </c>
      <c r="L1113" s="6">
        <v>0</v>
      </c>
      <c r="M1113" s="41">
        <f>VLOOKUP(Tabla1[[#This Row],[PAGO DIA]],DIAS!A:D,4,0)</f>
        <v>46142</v>
      </c>
      <c r="N1113" s="6">
        <v>0</v>
      </c>
      <c r="O1113" s="43">
        <f>VLOOKUP(Tabla1[[#This Row],[PAGO DIA]],DIAS!A:E,5,0)</f>
        <v>46171</v>
      </c>
      <c r="P1113" s="6">
        <v>0</v>
      </c>
      <c r="Q1113" s="43">
        <f>VLOOKUP(Tabla1[[#This Row],[PAGO DIA]],DIAS!A:F,6,0)</f>
        <v>46203</v>
      </c>
      <c r="R1113" s="6">
        <v>0</v>
      </c>
      <c r="S1113" s="43">
        <f>VLOOKUP(Tabla1[[#This Row],[PAGO DIA]],DIAS!A:G,7,0)</f>
        <v>46234</v>
      </c>
      <c r="T1113" s="6">
        <v>0</v>
      </c>
      <c r="U1113" s="43">
        <f>VLOOKUP(Tabla1[[#This Row],[PAGO DIA]],DIAS!A:H,8,0)</f>
        <v>46265</v>
      </c>
      <c r="V1113" s="6">
        <v>0</v>
      </c>
      <c r="W1113" s="43">
        <f>VLOOKUP(Tabla1[[#This Row],[PAGO DIA]],DIAS!A:I,9,0)</f>
        <v>46295</v>
      </c>
      <c r="X1113" s="6">
        <v>0</v>
      </c>
      <c r="Y1113" s="43">
        <f>VLOOKUP(Tabla1[[#This Row],[PAGO DIA]],DIAS!A:J,10,0)</f>
        <v>46325</v>
      </c>
      <c r="Z1113" s="6">
        <v>0</v>
      </c>
      <c r="AA1113" s="43">
        <f>VLOOKUP(Tabla1[[#This Row],[PAGO DIA]],DIAS!A:K,11,0)</f>
        <v>46356</v>
      </c>
      <c r="AB1113" s="6">
        <v>0</v>
      </c>
      <c r="AC1113" s="43">
        <f>VLOOKUP(Tabla1[[#This Row],[PAGO DIA]],DIAS!A:M,12,0)</f>
        <v>46386</v>
      </c>
      <c r="AD11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4" spans="1:30">
      <c r="A1114" s="3">
        <v>11325</v>
      </c>
      <c r="B1114" s="3" t="s">
        <v>538</v>
      </c>
      <c r="C1114" s="3" t="s">
        <v>539</v>
      </c>
      <c r="D1114" s="3" t="s">
        <v>540</v>
      </c>
      <c r="E1114" s="3" t="s">
        <v>1656</v>
      </c>
      <c r="F1114" s="42" t="s">
        <v>631</v>
      </c>
      <c r="G1114" s="3"/>
      <c r="H1114" s="6">
        <v>0</v>
      </c>
      <c r="I1114" s="41">
        <f>VLOOKUP(Tabla1[[#This Row],[PAGO DIA]],DIAS!A:B,2,0)</f>
        <v>46080</v>
      </c>
      <c r="J1114" s="6">
        <v>0</v>
      </c>
      <c r="K1114" s="43">
        <f>VLOOKUP(Tabla1[[#This Row],[PAGO DIA]],DIAS!A:C,3,0)</f>
        <v>46112</v>
      </c>
      <c r="L1114" s="6">
        <v>0</v>
      </c>
      <c r="M1114" s="41">
        <f>VLOOKUP(Tabla1[[#This Row],[PAGO DIA]],DIAS!A:D,4,0)</f>
        <v>46142</v>
      </c>
      <c r="N1114" s="6">
        <v>0</v>
      </c>
      <c r="O1114" s="43">
        <f>VLOOKUP(Tabla1[[#This Row],[PAGO DIA]],DIAS!A:E,5,0)</f>
        <v>46171</v>
      </c>
      <c r="P1114" s="6">
        <v>0</v>
      </c>
      <c r="Q1114" s="43">
        <f>VLOOKUP(Tabla1[[#This Row],[PAGO DIA]],DIAS!A:F,6,0)</f>
        <v>46203</v>
      </c>
      <c r="R1114" s="6">
        <v>0</v>
      </c>
      <c r="S1114" s="43">
        <f>VLOOKUP(Tabla1[[#This Row],[PAGO DIA]],DIAS!A:G,7,0)</f>
        <v>46234</v>
      </c>
      <c r="T1114" s="6">
        <v>0</v>
      </c>
      <c r="U1114" s="43">
        <f>VLOOKUP(Tabla1[[#This Row],[PAGO DIA]],DIAS!A:H,8,0)</f>
        <v>46265</v>
      </c>
      <c r="V1114" s="6">
        <v>0</v>
      </c>
      <c r="W1114" s="43">
        <f>VLOOKUP(Tabla1[[#This Row],[PAGO DIA]],DIAS!A:I,9,0)</f>
        <v>46295</v>
      </c>
      <c r="X1114" s="6">
        <v>0</v>
      </c>
      <c r="Y1114" s="43">
        <f>VLOOKUP(Tabla1[[#This Row],[PAGO DIA]],DIAS!A:J,10,0)</f>
        <v>46325</v>
      </c>
      <c r="Z1114" s="6">
        <v>0</v>
      </c>
      <c r="AA1114" s="43">
        <f>VLOOKUP(Tabla1[[#This Row],[PAGO DIA]],DIAS!A:K,11,0)</f>
        <v>46356</v>
      </c>
      <c r="AB1114" s="6">
        <v>0</v>
      </c>
      <c r="AC1114" s="43">
        <f>VLOOKUP(Tabla1[[#This Row],[PAGO DIA]],DIAS!A:M,12,0)</f>
        <v>46386</v>
      </c>
      <c r="AD11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5" spans="1:30">
      <c r="A1115" s="3">
        <v>11823</v>
      </c>
      <c r="B1115" s="3" t="s">
        <v>538</v>
      </c>
      <c r="C1115" s="3" t="s">
        <v>540</v>
      </c>
      <c r="D1115" s="3" t="s">
        <v>540</v>
      </c>
      <c r="E1115" s="3" t="s">
        <v>1656</v>
      </c>
      <c r="F1115" s="42" t="s">
        <v>631</v>
      </c>
      <c r="G1115" s="3" t="s">
        <v>1657</v>
      </c>
      <c r="H1115" s="6">
        <v>0</v>
      </c>
      <c r="I1115" s="41">
        <f>VLOOKUP(Tabla1[[#This Row],[PAGO DIA]],DIAS!A:B,2,0)</f>
        <v>46080</v>
      </c>
      <c r="J1115" s="6">
        <v>0</v>
      </c>
      <c r="K1115" s="43">
        <f>VLOOKUP(Tabla1[[#This Row],[PAGO DIA]],DIAS!A:C,3,0)</f>
        <v>46112</v>
      </c>
      <c r="L1115" s="6">
        <v>0</v>
      </c>
      <c r="M1115" s="41">
        <f>VLOOKUP(Tabla1[[#This Row],[PAGO DIA]],DIAS!A:D,4,0)</f>
        <v>46142</v>
      </c>
      <c r="N1115" s="6">
        <v>0</v>
      </c>
      <c r="O1115" s="43">
        <f>VLOOKUP(Tabla1[[#This Row],[PAGO DIA]],DIAS!A:E,5,0)</f>
        <v>46171</v>
      </c>
      <c r="P1115" s="6">
        <v>0</v>
      </c>
      <c r="Q1115" s="43">
        <f>VLOOKUP(Tabla1[[#This Row],[PAGO DIA]],DIAS!A:F,6,0)</f>
        <v>46203</v>
      </c>
      <c r="R1115" s="6">
        <v>0</v>
      </c>
      <c r="S1115" s="43">
        <f>VLOOKUP(Tabla1[[#This Row],[PAGO DIA]],DIAS!A:G,7,0)</f>
        <v>46234</v>
      </c>
      <c r="T1115" s="6">
        <v>0</v>
      </c>
      <c r="U1115" s="43">
        <f>VLOOKUP(Tabla1[[#This Row],[PAGO DIA]],DIAS!A:H,8,0)</f>
        <v>46265</v>
      </c>
      <c r="V1115" s="6">
        <v>0</v>
      </c>
      <c r="W1115" s="43">
        <f>VLOOKUP(Tabla1[[#This Row],[PAGO DIA]],DIAS!A:I,9,0)</f>
        <v>46295</v>
      </c>
      <c r="X1115" s="6">
        <v>0</v>
      </c>
      <c r="Y1115" s="43">
        <f>VLOOKUP(Tabla1[[#This Row],[PAGO DIA]],DIAS!A:J,10,0)</f>
        <v>46325</v>
      </c>
      <c r="Z1115" s="6">
        <v>0</v>
      </c>
      <c r="AA1115" s="43">
        <f>VLOOKUP(Tabla1[[#This Row],[PAGO DIA]],DIAS!A:K,11,0)</f>
        <v>46356</v>
      </c>
      <c r="AB1115" s="6">
        <v>0</v>
      </c>
      <c r="AC1115" s="43">
        <f>VLOOKUP(Tabla1[[#This Row],[PAGO DIA]],DIAS!A:M,12,0)</f>
        <v>46386</v>
      </c>
      <c r="AD11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6" spans="1:30">
      <c r="A1116" s="3">
        <v>11824</v>
      </c>
      <c r="B1116" s="3" t="s">
        <v>538</v>
      </c>
      <c r="C1116" s="3" t="s">
        <v>540</v>
      </c>
      <c r="D1116" s="3" t="s">
        <v>540</v>
      </c>
      <c r="E1116" s="3" t="s">
        <v>1656</v>
      </c>
      <c r="F1116" s="42" t="s">
        <v>631</v>
      </c>
      <c r="G1116" s="3" t="s">
        <v>1658</v>
      </c>
      <c r="H1116" s="6">
        <v>0</v>
      </c>
      <c r="I1116" s="41">
        <f>VLOOKUP(Tabla1[[#This Row],[PAGO DIA]],DIAS!A:B,2,0)</f>
        <v>46080</v>
      </c>
      <c r="J1116" s="6">
        <v>0</v>
      </c>
      <c r="K1116" s="43">
        <f>VLOOKUP(Tabla1[[#This Row],[PAGO DIA]],DIAS!A:C,3,0)</f>
        <v>46112</v>
      </c>
      <c r="L1116" s="6">
        <v>0</v>
      </c>
      <c r="M1116" s="41">
        <f>VLOOKUP(Tabla1[[#This Row],[PAGO DIA]],DIAS!A:D,4,0)</f>
        <v>46142</v>
      </c>
      <c r="N1116" s="6">
        <v>0</v>
      </c>
      <c r="O1116" s="43">
        <f>VLOOKUP(Tabla1[[#This Row],[PAGO DIA]],DIAS!A:E,5,0)</f>
        <v>46171</v>
      </c>
      <c r="P1116" s="6">
        <v>0</v>
      </c>
      <c r="Q1116" s="43">
        <f>VLOOKUP(Tabla1[[#This Row],[PAGO DIA]],DIAS!A:F,6,0)</f>
        <v>46203</v>
      </c>
      <c r="R1116" s="6">
        <v>0</v>
      </c>
      <c r="S1116" s="43">
        <f>VLOOKUP(Tabla1[[#This Row],[PAGO DIA]],DIAS!A:G,7,0)</f>
        <v>46234</v>
      </c>
      <c r="T1116" s="6">
        <v>0</v>
      </c>
      <c r="U1116" s="43">
        <f>VLOOKUP(Tabla1[[#This Row],[PAGO DIA]],DIAS!A:H,8,0)</f>
        <v>46265</v>
      </c>
      <c r="V1116" s="6">
        <v>0</v>
      </c>
      <c r="W1116" s="43">
        <f>VLOOKUP(Tabla1[[#This Row],[PAGO DIA]],DIAS!A:I,9,0)</f>
        <v>46295</v>
      </c>
      <c r="X1116" s="6">
        <v>0</v>
      </c>
      <c r="Y1116" s="43">
        <f>VLOOKUP(Tabla1[[#This Row],[PAGO DIA]],DIAS!A:J,10,0)</f>
        <v>46325</v>
      </c>
      <c r="Z1116" s="6">
        <v>0</v>
      </c>
      <c r="AA1116" s="43">
        <f>VLOOKUP(Tabla1[[#This Row],[PAGO DIA]],DIAS!A:K,11,0)</f>
        <v>46356</v>
      </c>
      <c r="AB1116" s="6">
        <v>0</v>
      </c>
      <c r="AC1116" s="43">
        <f>VLOOKUP(Tabla1[[#This Row],[PAGO DIA]],DIAS!A:M,12,0)</f>
        <v>46386</v>
      </c>
      <c r="AD11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7" spans="1:30">
      <c r="A1117" s="3">
        <v>11825</v>
      </c>
      <c r="B1117" s="3" t="s">
        <v>538</v>
      </c>
      <c r="C1117" s="3" t="s">
        <v>540</v>
      </c>
      <c r="D1117" s="3" t="s">
        <v>540</v>
      </c>
      <c r="E1117" s="3" t="s">
        <v>1656</v>
      </c>
      <c r="F1117" s="42" t="s">
        <v>631</v>
      </c>
      <c r="G1117" s="3" t="s">
        <v>1659</v>
      </c>
      <c r="H1117" s="6">
        <v>0</v>
      </c>
      <c r="I1117" s="41">
        <f>VLOOKUP(Tabla1[[#This Row],[PAGO DIA]],DIAS!A:B,2,0)</f>
        <v>46080</v>
      </c>
      <c r="J1117" s="6">
        <v>0</v>
      </c>
      <c r="K1117" s="43">
        <f>VLOOKUP(Tabla1[[#This Row],[PAGO DIA]],DIAS!A:C,3,0)</f>
        <v>46112</v>
      </c>
      <c r="L1117" s="6">
        <v>0</v>
      </c>
      <c r="M1117" s="41">
        <f>VLOOKUP(Tabla1[[#This Row],[PAGO DIA]],DIAS!A:D,4,0)</f>
        <v>46142</v>
      </c>
      <c r="N1117" s="6">
        <v>0</v>
      </c>
      <c r="O1117" s="43">
        <f>VLOOKUP(Tabla1[[#This Row],[PAGO DIA]],DIAS!A:E,5,0)</f>
        <v>46171</v>
      </c>
      <c r="P1117" s="6">
        <v>0</v>
      </c>
      <c r="Q1117" s="43">
        <f>VLOOKUP(Tabla1[[#This Row],[PAGO DIA]],DIAS!A:F,6,0)</f>
        <v>46203</v>
      </c>
      <c r="R1117" s="6">
        <v>0</v>
      </c>
      <c r="S1117" s="43">
        <f>VLOOKUP(Tabla1[[#This Row],[PAGO DIA]],DIAS!A:G,7,0)</f>
        <v>46234</v>
      </c>
      <c r="T1117" s="6">
        <v>0</v>
      </c>
      <c r="U1117" s="43">
        <f>VLOOKUP(Tabla1[[#This Row],[PAGO DIA]],DIAS!A:H,8,0)</f>
        <v>46265</v>
      </c>
      <c r="V1117" s="6">
        <v>0</v>
      </c>
      <c r="W1117" s="43">
        <f>VLOOKUP(Tabla1[[#This Row],[PAGO DIA]],DIAS!A:I,9,0)</f>
        <v>46295</v>
      </c>
      <c r="X1117" s="6">
        <v>0</v>
      </c>
      <c r="Y1117" s="43">
        <f>VLOOKUP(Tabla1[[#This Row],[PAGO DIA]],DIAS!A:J,10,0)</f>
        <v>46325</v>
      </c>
      <c r="Z1117" s="6">
        <v>0</v>
      </c>
      <c r="AA1117" s="43">
        <f>VLOOKUP(Tabla1[[#This Row],[PAGO DIA]],DIAS!A:K,11,0)</f>
        <v>46356</v>
      </c>
      <c r="AB1117" s="6">
        <v>0</v>
      </c>
      <c r="AC1117" s="43">
        <f>VLOOKUP(Tabla1[[#This Row],[PAGO DIA]],DIAS!A:M,12,0)</f>
        <v>46386</v>
      </c>
      <c r="AD11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8" spans="1:30">
      <c r="A1118" s="3">
        <v>11826</v>
      </c>
      <c r="B1118" s="3" t="s">
        <v>538</v>
      </c>
      <c r="C1118" s="3" t="s">
        <v>540</v>
      </c>
      <c r="D1118" s="3" t="s">
        <v>540</v>
      </c>
      <c r="E1118" s="3" t="s">
        <v>1656</v>
      </c>
      <c r="F1118" s="42" t="s">
        <v>631</v>
      </c>
      <c r="G1118" s="3" t="s">
        <v>1660</v>
      </c>
      <c r="H1118" s="6">
        <v>0</v>
      </c>
      <c r="I1118" s="41">
        <f>VLOOKUP(Tabla1[[#This Row],[PAGO DIA]],DIAS!A:B,2,0)</f>
        <v>46080</v>
      </c>
      <c r="J1118" s="6">
        <v>0</v>
      </c>
      <c r="K1118" s="43">
        <f>VLOOKUP(Tabla1[[#This Row],[PAGO DIA]],DIAS!A:C,3,0)</f>
        <v>46112</v>
      </c>
      <c r="L1118" s="6">
        <v>0</v>
      </c>
      <c r="M1118" s="41">
        <f>VLOOKUP(Tabla1[[#This Row],[PAGO DIA]],DIAS!A:D,4,0)</f>
        <v>46142</v>
      </c>
      <c r="N1118" s="6">
        <v>0</v>
      </c>
      <c r="O1118" s="43">
        <f>VLOOKUP(Tabla1[[#This Row],[PAGO DIA]],DIAS!A:E,5,0)</f>
        <v>46171</v>
      </c>
      <c r="P1118" s="6">
        <v>0</v>
      </c>
      <c r="Q1118" s="43">
        <f>VLOOKUP(Tabla1[[#This Row],[PAGO DIA]],DIAS!A:F,6,0)</f>
        <v>46203</v>
      </c>
      <c r="R1118" s="6">
        <v>0</v>
      </c>
      <c r="S1118" s="43">
        <f>VLOOKUP(Tabla1[[#This Row],[PAGO DIA]],DIAS!A:G,7,0)</f>
        <v>46234</v>
      </c>
      <c r="T1118" s="6">
        <v>0</v>
      </c>
      <c r="U1118" s="43">
        <f>VLOOKUP(Tabla1[[#This Row],[PAGO DIA]],DIAS!A:H,8,0)</f>
        <v>46265</v>
      </c>
      <c r="V1118" s="6">
        <v>0</v>
      </c>
      <c r="W1118" s="43">
        <f>VLOOKUP(Tabla1[[#This Row],[PAGO DIA]],DIAS!A:I,9,0)</f>
        <v>46295</v>
      </c>
      <c r="X1118" s="6">
        <v>0</v>
      </c>
      <c r="Y1118" s="43">
        <f>VLOOKUP(Tabla1[[#This Row],[PAGO DIA]],DIAS!A:J,10,0)</f>
        <v>46325</v>
      </c>
      <c r="Z1118" s="6">
        <v>0</v>
      </c>
      <c r="AA1118" s="43">
        <f>VLOOKUP(Tabla1[[#This Row],[PAGO DIA]],DIAS!A:K,11,0)</f>
        <v>46356</v>
      </c>
      <c r="AB1118" s="6">
        <v>0</v>
      </c>
      <c r="AC1118" s="43">
        <f>VLOOKUP(Tabla1[[#This Row],[PAGO DIA]],DIAS!A:M,12,0)</f>
        <v>46386</v>
      </c>
      <c r="AD11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19" spans="1:30">
      <c r="A1119" s="3">
        <v>11827</v>
      </c>
      <c r="B1119" s="3" t="s">
        <v>538</v>
      </c>
      <c r="C1119" s="3" t="s">
        <v>540</v>
      </c>
      <c r="D1119" s="3" t="s">
        <v>540</v>
      </c>
      <c r="E1119" s="3" t="s">
        <v>1656</v>
      </c>
      <c r="F1119" s="42" t="s">
        <v>631</v>
      </c>
      <c r="G1119" s="3" t="s">
        <v>1661</v>
      </c>
      <c r="H1119" s="6">
        <v>0</v>
      </c>
      <c r="I1119" s="41">
        <f>VLOOKUP(Tabla1[[#This Row],[PAGO DIA]],DIAS!A:B,2,0)</f>
        <v>46080</v>
      </c>
      <c r="J1119" s="6">
        <v>0</v>
      </c>
      <c r="K1119" s="43">
        <f>VLOOKUP(Tabla1[[#This Row],[PAGO DIA]],DIAS!A:C,3,0)</f>
        <v>46112</v>
      </c>
      <c r="L1119" s="6">
        <v>0</v>
      </c>
      <c r="M1119" s="41">
        <f>VLOOKUP(Tabla1[[#This Row],[PAGO DIA]],DIAS!A:D,4,0)</f>
        <v>46142</v>
      </c>
      <c r="N1119" s="6">
        <v>0</v>
      </c>
      <c r="O1119" s="43">
        <f>VLOOKUP(Tabla1[[#This Row],[PAGO DIA]],DIAS!A:E,5,0)</f>
        <v>46171</v>
      </c>
      <c r="P1119" s="6">
        <v>0</v>
      </c>
      <c r="Q1119" s="43">
        <f>VLOOKUP(Tabla1[[#This Row],[PAGO DIA]],DIAS!A:F,6,0)</f>
        <v>46203</v>
      </c>
      <c r="R1119" s="6">
        <v>0</v>
      </c>
      <c r="S1119" s="43">
        <f>VLOOKUP(Tabla1[[#This Row],[PAGO DIA]],DIAS!A:G,7,0)</f>
        <v>46234</v>
      </c>
      <c r="T1119" s="6">
        <v>0</v>
      </c>
      <c r="U1119" s="43">
        <f>VLOOKUP(Tabla1[[#This Row],[PAGO DIA]],DIAS!A:H,8,0)</f>
        <v>46265</v>
      </c>
      <c r="V1119" s="6">
        <v>0</v>
      </c>
      <c r="W1119" s="43">
        <f>VLOOKUP(Tabla1[[#This Row],[PAGO DIA]],DIAS!A:I,9,0)</f>
        <v>46295</v>
      </c>
      <c r="X1119" s="6">
        <v>0</v>
      </c>
      <c r="Y1119" s="43">
        <f>VLOOKUP(Tabla1[[#This Row],[PAGO DIA]],DIAS!A:J,10,0)</f>
        <v>46325</v>
      </c>
      <c r="Z1119" s="6">
        <v>0</v>
      </c>
      <c r="AA1119" s="43">
        <f>VLOOKUP(Tabla1[[#This Row],[PAGO DIA]],DIAS!A:K,11,0)</f>
        <v>46356</v>
      </c>
      <c r="AB1119" s="6">
        <v>0</v>
      </c>
      <c r="AC1119" s="43">
        <f>VLOOKUP(Tabla1[[#This Row],[PAGO DIA]],DIAS!A:M,12,0)</f>
        <v>46386</v>
      </c>
      <c r="AD11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0" spans="1:30">
      <c r="A1120" s="3">
        <v>12561</v>
      </c>
      <c r="B1120" s="3" t="s">
        <v>538</v>
      </c>
      <c r="C1120" s="3" t="s">
        <v>539</v>
      </c>
      <c r="D1120" s="3" t="s">
        <v>540</v>
      </c>
      <c r="E1120" s="3" t="s">
        <v>1662</v>
      </c>
      <c r="F1120" s="42" t="s">
        <v>631</v>
      </c>
      <c r="G1120" s="3" t="s">
        <v>1663</v>
      </c>
      <c r="H1120" s="6">
        <v>0</v>
      </c>
      <c r="I1120" s="41">
        <f>VLOOKUP(Tabla1[[#This Row],[PAGO DIA]],DIAS!A:B,2,0)</f>
        <v>46080</v>
      </c>
      <c r="J1120" s="6">
        <v>0</v>
      </c>
      <c r="K1120" s="43">
        <f>VLOOKUP(Tabla1[[#This Row],[PAGO DIA]],DIAS!A:C,3,0)</f>
        <v>46112</v>
      </c>
      <c r="L1120" s="6">
        <v>0</v>
      </c>
      <c r="M1120" s="41">
        <f>VLOOKUP(Tabla1[[#This Row],[PAGO DIA]],DIAS!A:D,4,0)</f>
        <v>46142</v>
      </c>
      <c r="N1120" s="6">
        <v>0</v>
      </c>
      <c r="O1120" s="43">
        <f>VLOOKUP(Tabla1[[#This Row],[PAGO DIA]],DIAS!A:E,5,0)</f>
        <v>46171</v>
      </c>
      <c r="P1120" s="6">
        <v>0</v>
      </c>
      <c r="Q1120" s="43">
        <f>VLOOKUP(Tabla1[[#This Row],[PAGO DIA]],DIAS!A:F,6,0)</f>
        <v>46203</v>
      </c>
      <c r="R1120" s="6">
        <v>0</v>
      </c>
      <c r="S1120" s="43">
        <f>VLOOKUP(Tabla1[[#This Row],[PAGO DIA]],DIAS!A:G,7,0)</f>
        <v>46234</v>
      </c>
      <c r="T1120" s="6">
        <v>0</v>
      </c>
      <c r="U1120" s="43">
        <f>VLOOKUP(Tabla1[[#This Row],[PAGO DIA]],DIAS!A:H,8,0)</f>
        <v>46265</v>
      </c>
      <c r="V1120" s="6">
        <v>0</v>
      </c>
      <c r="W1120" s="43">
        <f>VLOOKUP(Tabla1[[#This Row],[PAGO DIA]],DIAS!A:I,9,0)</f>
        <v>46295</v>
      </c>
      <c r="X1120" s="6">
        <v>0</v>
      </c>
      <c r="Y1120" s="43">
        <f>VLOOKUP(Tabla1[[#This Row],[PAGO DIA]],DIAS!A:J,10,0)</f>
        <v>46325</v>
      </c>
      <c r="Z1120" s="6">
        <v>0</v>
      </c>
      <c r="AA1120" s="43">
        <f>VLOOKUP(Tabla1[[#This Row],[PAGO DIA]],DIAS!A:K,11,0)</f>
        <v>46356</v>
      </c>
      <c r="AB1120" s="6">
        <v>0</v>
      </c>
      <c r="AC1120" s="43">
        <f>VLOOKUP(Tabla1[[#This Row],[PAGO DIA]],DIAS!A:M,12,0)</f>
        <v>46386</v>
      </c>
      <c r="AD11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1" spans="1:30">
      <c r="A1121" s="3">
        <v>12574</v>
      </c>
      <c r="B1121" s="3" t="s">
        <v>538</v>
      </c>
      <c r="C1121" s="3" t="s">
        <v>539</v>
      </c>
      <c r="D1121" s="3" t="s">
        <v>540</v>
      </c>
      <c r="E1121" s="3" t="s">
        <v>1662</v>
      </c>
      <c r="F1121" s="42" t="s">
        <v>631</v>
      </c>
      <c r="G1121" s="3" t="s">
        <v>1664</v>
      </c>
      <c r="H1121" s="6">
        <v>0</v>
      </c>
      <c r="I1121" s="41">
        <f>VLOOKUP(Tabla1[[#This Row],[PAGO DIA]],DIAS!A:B,2,0)</f>
        <v>46080</v>
      </c>
      <c r="J1121" s="6">
        <v>0</v>
      </c>
      <c r="K1121" s="43">
        <f>VLOOKUP(Tabla1[[#This Row],[PAGO DIA]],DIAS!A:C,3,0)</f>
        <v>46112</v>
      </c>
      <c r="L1121" s="6">
        <v>0</v>
      </c>
      <c r="M1121" s="41">
        <f>VLOOKUP(Tabla1[[#This Row],[PAGO DIA]],DIAS!A:D,4,0)</f>
        <v>46142</v>
      </c>
      <c r="N1121" s="6">
        <v>0</v>
      </c>
      <c r="O1121" s="43">
        <f>VLOOKUP(Tabla1[[#This Row],[PAGO DIA]],DIAS!A:E,5,0)</f>
        <v>46171</v>
      </c>
      <c r="P1121" s="6">
        <v>0</v>
      </c>
      <c r="Q1121" s="43">
        <f>VLOOKUP(Tabla1[[#This Row],[PAGO DIA]],DIAS!A:F,6,0)</f>
        <v>46203</v>
      </c>
      <c r="R1121" s="6">
        <v>0</v>
      </c>
      <c r="S1121" s="43">
        <f>VLOOKUP(Tabla1[[#This Row],[PAGO DIA]],DIAS!A:G,7,0)</f>
        <v>46234</v>
      </c>
      <c r="T1121" s="6">
        <v>0</v>
      </c>
      <c r="U1121" s="43">
        <f>VLOOKUP(Tabla1[[#This Row],[PAGO DIA]],DIAS!A:H,8,0)</f>
        <v>46265</v>
      </c>
      <c r="V1121" s="6">
        <v>0</v>
      </c>
      <c r="W1121" s="43">
        <f>VLOOKUP(Tabla1[[#This Row],[PAGO DIA]],DIAS!A:I,9,0)</f>
        <v>46295</v>
      </c>
      <c r="X1121" s="6">
        <v>0</v>
      </c>
      <c r="Y1121" s="43">
        <f>VLOOKUP(Tabla1[[#This Row],[PAGO DIA]],DIAS!A:J,10,0)</f>
        <v>46325</v>
      </c>
      <c r="Z1121" s="6">
        <v>0</v>
      </c>
      <c r="AA1121" s="43">
        <f>VLOOKUP(Tabla1[[#This Row],[PAGO DIA]],DIAS!A:K,11,0)</f>
        <v>46356</v>
      </c>
      <c r="AB1121" s="6">
        <v>0</v>
      </c>
      <c r="AC1121" s="43">
        <f>VLOOKUP(Tabla1[[#This Row],[PAGO DIA]],DIAS!A:M,12,0)</f>
        <v>46386</v>
      </c>
      <c r="AD11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2" spans="1:30">
      <c r="A1122" s="3">
        <v>12579</v>
      </c>
      <c r="B1122" s="3" t="s">
        <v>538</v>
      </c>
      <c r="C1122" s="3" t="s">
        <v>539</v>
      </c>
      <c r="D1122" s="3" t="s">
        <v>540</v>
      </c>
      <c r="E1122" s="3" t="s">
        <v>1662</v>
      </c>
      <c r="F1122" s="42" t="s">
        <v>631</v>
      </c>
      <c r="G1122" s="3" t="s">
        <v>1665</v>
      </c>
      <c r="H1122" s="6">
        <v>0</v>
      </c>
      <c r="I1122" s="41">
        <f>VLOOKUP(Tabla1[[#This Row],[PAGO DIA]],DIAS!A:B,2,0)</f>
        <v>46080</v>
      </c>
      <c r="J1122" s="6">
        <v>0</v>
      </c>
      <c r="K1122" s="43">
        <f>VLOOKUP(Tabla1[[#This Row],[PAGO DIA]],DIAS!A:C,3,0)</f>
        <v>46112</v>
      </c>
      <c r="L1122" s="6">
        <v>0</v>
      </c>
      <c r="M1122" s="41">
        <f>VLOOKUP(Tabla1[[#This Row],[PAGO DIA]],DIAS!A:D,4,0)</f>
        <v>46142</v>
      </c>
      <c r="N1122" s="6">
        <v>0</v>
      </c>
      <c r="O1122" s="43">
        <f>VLOOKUP(Tabla1[[#This Row],[PAGO DIA]],DIAS!A:E,5,0)</f>
        <v>46171</v>
      </c>
      <c r="P1122" s="6">
        <v>0</v>
      </c>
      <c r="Q1122" s="43">
        <f>VLOOKUP(Tabla1[[#This Row],[PAGO DIA]],DIAS!A:F,6,0)</f>
        <v>46203</v>
      </c>
      <c r="R1122" s="6">
        <v>0</v>
      </c>
      <c r="S1122" s="43">
        <f>VLOOKUP(Tabla1[[#This Row],[PAGO DIA]],DIAS!A:G,7,0)</f>
        <v>46234</v>
      </c>
      <c r="T1122" s="6">
        <v>0</v>
      </c>
      <c r="U1122" s="43">
        <f>VLOOKUP(Tabla1[[#This Row],[PAGO DIA]],DIAS!A:H,8,0)</f>
        <v>46265</v>
      </c>
      <c r="V1122" s="6">
        <v>0</v>
      </c>
      <c r="W1122" s="43">
        <f>VLOOKUP(Tabla1[[#This Row],[PAGO DIA]],DIAS!A:I,9,0)</f>
        <v>46295</v>
      </c>
      <c r="X1122" s="6">
        <v>0</v>
      </c>
      <c r="Y1122" s="43">
        <f>VLOOKUP(Tabla1[[#This Row],[PAGO DIA]],DIAS!A:J,10,0)</f>
        <v>46325</v>
      </c>
      <c r="Z1122" s="6">
        <v>0</v>
      </c>
      <c r="AA1122" s="43">
        <f>VLOOKUP(Tabla1[[#This Row],[PAGO DIA]],DIAS!A:K,11,0)</f>
        <v>46356</v>
      </c>
      <c r="AB1122" s="6">
        <v>0</v>
      </c>
      <c r="AC1122" s="43">
        <f>VLOOKUP(Tabla1[[#This Row],[PAGO DIA]],DIAS!A:M,12,0)</f>
        <v>46386</v>
      </c>
      <c r="AD11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3" spans="1:30">
      <c r="A1123" s="3">
        <v>11240</v>
      </c>
      <c r="B1123" s="3" t="s">
        <v>538</v>
      </c>
      <c r="C1123" s="3" t="s">
        <v>539</v>
      </c>
      <c r="D1123" s="3" t="s">
        <v>540</v>
      </c>
      <c r="E1123" s="3" t="s">
        <v>1666</v>
      </c>
      <c r="F1123" s="42" t="s">
        <v>631</v>
      </c>
      <c r="G1123" s="3"/>
      <c r="H1123" s="6">
        <v>0</v>
      </c>
      <c r="I1123" s="41">
        <f>VLOOKUP(Tabla1[[#This Row],[PAGO DIA]],DIAS!A:B,2,0)</f>
        <v>46080</v>
      </c>
      <c r="J1123" s="6">
        <v>0</v>
      </c>
      <c r="K1123" s="43">
        <f>VLOOKUP(Tabla1[[#This Row],[PAGO DIA]],DIAS!A:C,3,0)</f>
        <v>46112</v>
      </c>
      <c r="L1123" s="6">
        <v>0</v>
      </c>
      <c r="M1123" s="41">
        <f>VLOOKUP(Tabla1[[#This Row],[PAGO DIA]],DIAS!A:D,4,0)</f>
        <v>46142</v>
      </c>
      <c r="N1123" s="6">
        <v>0</v>
      </c>
      <c r="O1123" s="43">
        <f>VLOOKUP(Tabla1[[#This Row],[PAGO DIA]],DIAS!A:E,5,0)</f>
        <v>46171</v>
      </c>
      <c r="P1123" s="6">
        <v>0</v>
      </c>
      <c r="Q1123" s="43">
        <f>VLOOKUP(Tabla1[[#This Row],[PAGO DIA]],DIAS!A:F,6,0)</f>
        <v>46203</v>
      </c>
      <c r="R1123" s="6">
        <v>0</v>
      </c>
      <c r="S1123" s="43">
        <f>VLOOKUP(Tabla1[[#This Row],[PAGO DIA]],DIAS!A:G,7,0)</f>
        <v>46234</v>
      </c>
      <c r="T1123" s="6">
        <v>0</v>
      </c>
      <c r="U1123" s="43">
        <f>VLOOKUP(Tabla1[[#This Row],[PAGO DIA]],DIAS!A:H,8,0)</f>
        <v>46265</v>
      </c>
      <c r="V1123" s="6">
        <v>0</v>
      </c>
      <c r="W1123" s="43">
        <f>VLOOKUP(Tabla1[[#This Row],[PAGO DIA]],DIAS!A:I,9,0)</f>
        <v>46295</v>
      </c>
      <c r="X1123" s="6">
        <v>0</v>
      </c>
      <c r="Y1123" s="43">
        <f>VLOOKUP(Tabla1[[#This Row],[PAGO DIA]],DIAS!A:J,10,0)</f>
        <v>46325</v>
      </c>
      <c r="Z1123" s="6">
        <v>0</v>
      </c>
      <c r="AA1123" s="43">
        <f>VLOOKUP(Tabla1[[#This Row],[PAGO DIA]],DIAS!A:K,11,0)</f>
        <v>46356</v>
      </c>
      <c r="AB1123" s="6">
        <v>0</v>
      </c>
      <c r="AC1123" s="43">
        <f>VLOOKUP(Tabla1[[#This Row],[PAGO DIA]],DIAS!A:M,12,0)</f>
        <v>46386</v>
      </c>
      <c r="AD11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4" spans="1:30">
      <c r="A1124" s="3">
        <v>11832</v>
      </c>
      <c r="B1124" s="3" t="s">
        <v>538</v>
      </c>
      <c r="C1124" s="3" t="s">
        <v>540</v>
      </c>
      <c r="D1124" s="3" t="s">
        <v>540</v>
      </c>
      <c r="E1124" s="3" t="s">
        <v>1666</v>
      </c>
      <c r="F1124" s="42" t="s">
        <v>631</v>
      </c>
      <c r="G1124" s="3" t="s">
        <v>1667</v>
      </c>
      <c r="H1124" s="6">
        <v>0</v>
      </c>
      <c r="I1124" s="41">
        <f>VLOOKUP(Tabla1[[#This Row],[PAGO DIA]],DIAS!A:B,2,0)</f>
        <v>46080</v>
      </c>
      <c r="J1124" s="6">
        <v>0</v>
      </c>
      <c r="K1124" s="43">
        <f>VLOOKUP(Tabla1[[#This Row],[PAGO DIA]],DIAS!A:C,3,0)</f>
        <v>46112</v>
      </c>
      <c r="L1124" s="6">
        <v>0</v>
      </c>
      <c r="M1124" s="41">
        <f>VLOOKUP(Tabla1[[#This Row],[PAGO DIA]],DIAS!A:D,4,0)</f>
        <v>46142</v>
      </c>
      <c r="N1124" s="6">
        <v>0</v>
      </c>
      <c r="O1124" s="43">
        <f>VLOOKUP(Tabla1[[#This Row],[PAGO DIA]],DIAS!A:E,5,0)</f>
        <v>46171</v>
      </c>
      <c r="P1124" s="6">
        <v>0</v>
      </c>
      <c r="Q1124" s="43">
        <f>VLOOKUP(Tabla1[[#This Row],[PAGO DIA]],DIAS!A:F,6,0)</f>
        <v>46203</v>
      </c>
      <c r="R1124" s="6">
        <v>0</v>
      </c>
      <c r="S1124" s="43">
        <f>VLOOKUP(Tabla1[[#This Row],[PAGO DIA]],DIAS!A:G,7,0)</f>
        <v>46234</v>
      </c>
      <c r="T1124" s="6">
        <v>0</v>
      </c>
      <c r="U1124" s="43">
        <f>VLOOKUP(Tabla1[[#This Row],[PAGO DIA]],DIAS!A:H,8,0)</f>
        <v>46265</v>
      </c>
      <c r="V1124" s="6">
        <v>0</v>
      </c>
      <c r="W1124" s="43">
        <f>VLOOKUP(Tabla1[[#This Row],[PAGO DIA]],DIAS!A:I,9,0)</f>
        <v>46295</v>
      </c>
      <c r="X1124" s="6">
        <v>0</v>
      </c>
      <c r="Y1124" s="43">
        <f>VLOOKUP(Tabla1[[#This Row],[PAGO DIA]],DIAS!A:J,10,0)</f>
        <v>46325</v>
      </c>
      <c r="Z1124" s="6">
        <v>0</v>
      </c>
      <c r="AA1124" s="43">
        <f>VLOOKUP(Tabla1[[#This Row],[PAGO DIA]],DIAS!A:K,11,0)</f>
        <v>46356</v>
      </c>
      <c r="AB1124" s="6">
        <v>0</v>
      </c>
      <c r="AC1124" s="43">
        <f>VLOOKUP(Tabla1[[#This Row],[PAGO DIA]],DIAS!A:M,12,0)</f>
        <v>46386</v>
      </c>
      <c r="AD11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5" spans="1:30">
      <c r="A1125" s="3">
        <v>11833</v>
      </c>
      <c r="B1125" s="3" t="s">
        <v>538</v>
      </c>
      <c r="C1125" s="3" t="s">
        <v>540</v>
      </c>
      <c r="D1125" s="3" t="s">
        <v>540</v>
      </c>
      <c r="E1125" s="3" t="s">
        <v>1666</v>
      </c>
      <c r="F1125" s="42" t="s">
        <v>631</v>
      </c>
      <c r="G1125" s="3" t="s">
        <v>1668</v>
      </c>
      <c r="H1125" s="6">
        <v>0</v>
      </c>
      <c r="I1125" s="41">
        <f>VLOOKUP(Tabla1[[#This Row],[PAGO DIA]],DIAS!A:B,2,0)</f>
        <v>46080</v>
      </c>
      <c r="J1125" s="6">
        <v>0</v>
      </c>
      <c r="K1125" s="43">
        <f>VLOOKUP(Tabla1[[#This Row],[PAGO DIA]],DIAS!A:C,3,0)</f>
        <v>46112</v>
      </c>
      <c r="L1125" s="6">
        <v>0</v>
      </c>
      <c r="M1125" s="41">
        <f>VLOOKUP(Tabla1[[#This Row],[PAGO DIA]],DIAS!A:D,4,0)</f>
        <v>46142</v>
      </c>
      <c r="N1125" s="6">
        <v>0</v>
      </c>
      <c r="O1125" s="43">
        <f>VLOOKUP(Tabla1[[#This Row],[PAGO DIA]],DIAS!A:E,5,0)</f>
        <v>46171</v>
      </c>
      <c r="P1125" s="6">
        <v>0</v>
      </c>
      <c r="Q1125" s="43">
        <f>VLOOKUP(Tabla1[[#This Row],[PAGO DIA]],DIAS!A:F,6,0)</f>
        <v>46203</v>
      </c>
      <c r="R1125" s="6">
        <v>0</v>
      </c>
      <c r="S1125" s="43">
        <f>VLOOKUP(Tabla1[[#This Row],[PAGO DIA]],DIAS!A:G,7,0)</f>
        <v>46234</v>
      </c>
      <c r="T1125" s="6">
        <v>0</v>
      </c>
      <c r="U1125" s="43">
        <f>VLOOKUP(Tabla1[[#This Row],[PAGO DIA]],DIAS!A:H,8,0)</f>
        <v>46265</v>
      </c>
      <c r="V1125" s="6">
        <v>0</v>
      </c>
      <c r="W1125" s="43">
        <f>VLOOKUP(Tabla1[[#This Row],[PAGO DIA]],DIAS!A:I,9,0)</f>
        <v>46295</v>
      </c>
      <c r="X1125" s="6">
        <v>0</v>
      </c>
      <c r="Y1125" s="43">
        <f>VLOOKUP(Tabla1[[#This Row],[PAGO DIA]],DIAS!A:J,10,0)</f>
        <v>46325</v>
      </c>
      <c r="Z1125" s="6">
        <v>0</v>
      </c>
      <c r="AA1125" s="43">
        <f>VLOOKUP(Tabla1[[#This Row],[PAGO DIA]],DIAS!A:K,11,0)</f>
        <v>46356</v>
      </c>
      <c r="AB1125" s="6">
        <v>0</v>
      </c>
      <c r="AC1125" s="43">
        <f>VLOOKUP(Tabla1[[#This Row],[PAGO DIA]],DIAS!A:M,12,0)</f>
        <v>46386</v>
      </c>
      <c r="AD11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6" spans="1:30">
      <c r="A1126" s="3">
        <v>11834</v>
      </c>
      <c r="B1126" s="3" t="s">
        <v>538</v>
      </c>
      <c r="C1126" s="3" t="s">
        <v>540</v>
      </c>
      <c r="D1126" s="3" t="s">
        <v>540</v>
      </c>
      <c r="E1126" s="3" t="s">
        <v>1666</v>
      </c>
      <c r="F1126" s="42" t="s">
        <v>631</v>
      </c>
      <c r="G1126" s="3" t="s">
        <v>1669</v>
      </c>
      <c r="H1126" s="6">
        <v>0</v>
      </c>
      <c r="I1126" s="41">
        <f>VLOOKUP(Tabla1[[#This Row],[PAGO DIA]],DIAS!A:B,2,0)</f>
        <v>46080</v>
      </c>
      <c r="J1126" s="6">
        <v>0</v>
      </c>
      <c r="K1126" s="43">
        <f>VLOOKUP(Tabla1[[#This Row],[PAGO DIA]],DIAS!A:C,3,0)</f>
        <v>46112</v>
      </c>
      <c r="L1126" s="6">
        <v>0</v>
      </c>
      <c r="M1126" s="41">
        <f>VLOOKUP(Tabla1[[#This Row],[PAGO DIA]],DIAS!A:D,4,0)</f>
        <v>46142</v>
      </c>
      <c r="N1126" s="6">
        <v>0</v>
      </c>
      <c r="O1126" s="43">
        <f>VLOOKUP(Tabla1[[#This Row],[PAGO DIA]],DIAS!A:E,5,0)</f>
        <v>46171</v>
      </c>
      <c r="P1126" s="6">
        <v>0</v>
      </c>
      <c r="Q1126" s="43">
        <f>VLOOKUP(Tabla1[[#This Row],[PAGO DIA]],DIAS!A:F,6,0)</f>
        <v>46203</v>
      </c>
      <c r="R1126" s="6">
        <v>0</v>
      </c>
      <c r="S1126" s="43">
        <f>VLOOKUP(Tabla1[[#This Row],[PAGO DIA]],DIAS!A:G,7,0)</f>
        <v>46234</v>
      </c>
      <c r="T1126" s="6">
        <v>0</v>
      </c>
      <c r="U1126" s="43">
        <f>VLOOKUP(Tabla1[[#This Row],[PAGO DIA]],DIAS!A:H,8,0)</f>
        <v>46265</v>
      </c>
      <c r="V1126" s="6">
        <v>0</v>
      </c>
      <c r="W1126" s="43">
        <f>VLOOKUP(Tabla1[[#This Row],[PAGO DIA]],DIAS!A:I,9,0)</f>
        <v>46295</v>
      </c>
      <c r="X1126" s="6">
        <v>0</v>
      </c>
      <c r="Y1126" s="43">
        <f>VLOOKUP(Tabla1[[#This Row],[PAGO DIA]],DIAS!A:J,10,0)</f>
        <v>46325</v>
      </c>
      <c r="Z1126" s="6">
        <v>0</v>
      </c>
      <c r="AA1126" s="43">
        <f>VLOOKUP(Tabla1[[#This Row],[PAGO DIA]],DIAS!A:K,11,0)</f>
        <v>46356</v>
      </c>
      <c r="AB1126" s="6">
        <v>0</v>
      </c>
      <c r="AC1126" s="43">
        <f>VLOOKUP(Tabla1[[#This Row],[PAGO DIA]],DIAS!A:M,12,0)</f>
        <v>46386</v>
      </c>
      <c r="AD11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7" spans="1:30">
      <c r="A1127" s="3">
        <v>11060</v>
      </c>
      <c r="B1127" s="3" t="s">
        <v>538</v>
      </c>
      <c r="C1127" s="3" t="s">
        <v>539</v>
      </c>
      <c r="D1127" s="3" t="s">
        <v>540</v>
      </c>
      <c r="E1127" s="3" t="s">
        <v>1095</v>
      </c>
      <c r="F1127" s="42" t="s">
        <v>631</v>
      </c>
      <c r="G1127" s="3"/>
      <c r="H1127" s="6">
        <v>0</v>
      </c>
      <c r="I1127" s="41">
        <f>VLOOKUP(Tabla1[[#This Row],[PAGO DIA]],DIAS!A:B,2,0)</f>
        <v>46080</v>
      </c>
      <c r="J1127" s="6">
        <v>0</v>
      </c>
      <c r="K1127" s="43">
        <f>VLOOKUP(Tabla1[[#This Row],[PAGO DIA]],DIAS!A:C,3,0)</f>
        <v>46112</v>
      </c>
      <c r="L1127" s="6">
        <v>0</v>
      </c>
      <c r="M1127" s="41">
        <f>VLOOKUP(Tabla1[[#This Row],[PAGO DIA]],DIAS!A:D,4,0)</f>
        <v>46142</v>
      </c>
      <c r="N1127" s="6">
        <v>0</v>
      </c>
      <c r="O1127" s="43">
        <f>VLOOKUP(Tabla1[[#This Row],[PAGO DIA]],DIAS!A:E,5,0)</f>
        <v>46171</v>
      </c>
      <c r="P1127" s="6">
        <v>0</v>
      </c>
      <c r="Q1127" s="43">
        <f>VLOOKUP(Tabla1[[#This Row],[PAGO DIA]],DIAS!A:F,6,0)</f>
        <v>46203</v>
      </c>
      <c r="R1127" s="6">
        <v>0</v>
      </c>
      <c r="S1127" s="43">
        <f>VLOOKUP(Tabla1[[#This Row],[PAGO DIA]],DIAS!A:G,7,0)</f>
        <v>46234</v>
      </c>
      <c r="T1127" s="6">
        <v>0</v>
      </c>
      <c r="U1127" s="43">
        <f>VLOOKUP(Tabla1[[#This Row],[PAGO DIA]],DIAS!A:H,8,0)</f>
        <v>46265</v>
      </c>
      <c r="V1127" s="6">
        <v>0</v>
      </c>
      <c r="W1127" s="43">
        <f>VLOOKUP(Tabla1[[#This Row],[PAGO DIA]],DIAS!A:I,9,0)</f>
        <v>46295</v>
      </c>
      <c r="X1127" s="6">
        <v>0</v>
      </c>
      <c r="Y1127" s="43">
        <f>VLOOKUP(Tabla1[[#This Row],[PAGO DIA]],DIAS!A:J,10,0)</f>
        <v>46325</v>
      </c>
      <c r="Z1127" s="6">
        <v>0</v>
      </c>
      <c r="AA1127" s="43">
        <f>VLOOKUP(Tabla1[[#This Row],[PAGO DIA]],DIAS!A:K,11,0)</f>
        <v>46356</v>
      </c>
      <c r="AB1127" s="6">
        <v>0</v>
      </c>
      <c r="AC1127" s="43">
        <f>VLOOKUP(Tabla1[[#This Row],[PAGO DIA]],DIAS!A:M,12,0)</f>
        <v>46386</v>
      </c>
      <c r="AD11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8" spans="1:30">
      <c r="A1128" s="3">
        <v>11308</v>
      </c>
      <c r="B1128" s="3" t="s">
        <v>538</v>
      </c>
      <c r="C1128" s="3" t="s">
        <v>539</v>
      </c>
      <c r="D1128" s="3" t="s">
        <v>540</v>
      </c>
      <c r="E1128" s="3" t="s">
        <v>1095</v>
      </c>
      <c r="F1128" s="42" t="s">
        <v>631</v>
      </c>
      <c r="G1128" s="3"/>
      <c r="H1128" s="6">
        <v>0</v>
      </c>
      <c r="I1128" s="41">
        <f>VLOOKUP(Tabla1[[#This Row],[PAGO DIA]],DIAS!A:B,2,0)</f>
        <v>46080</v>
      </c>
      <c r="J1128" s="6">
        <v>0</v>
      </c>
      <c r="K1128" s="43">
        <f>VLOOKUP(Tabla1[[#This Row],[PAGO DIA]],DIAS!A:C,3,0)</f>
        <v>46112</v>
      </c>
      <c r="L1128" s="6">
        <v>0</v>
      </c>
      <c r="M1128" s="41">
        <f>VLOOKUP(Tabla1[[#This Row],[PAGO DIA]],DIAS!A:D,4,0)</f>
        <v>46142</v>
      </c>
      <c r="N1128" s="6">
        <v>0</v>
      </c>
      <c r="O1128" s="43">
        <f>VLOOKUP(Tabla1[[#This Row],[PAGO DIA]],DIAS!A:E,5,0)</f>
        <v>46171</v>
      </c>
      <c r="P1128" s="6">
        <v>0</v>
      </c>
      <c r="Q1128" s="43">
        <f>VLOOKUP(Tabla1[[#This Row],[PAGO DIA]],DIAS!A:F,6,0)</f>
        <v>46203</v>
      </c>
      <c r="R1128" s="6">
        <v>0</v>
      </c>
      <c r="S1128" s="43">
        <f>VLOOKUP(Tabla1[[#This Row],[PAGO DIA]],DIAS!A:G,7,0)</f>
        <v>46234</v>
      </c>
      <c r="T1128" s="6">
        <v>0</v>
      </c>
      <c r="U1128" s="43">
        <f>VLOOKUP(Tabla1[[#This Row],[PAGO DIA]],DIAS!A:H,8,0)</f>
        <v>46265</v>
      </c>
      <c r="V1128" s="6">
        <v>0</v>
      </c>
      <c r="W1128" s="43">
        <f>VLOOKUP(Tabla1[[#This Row],[PAGO DIA]],DIAS!A:I,9,0)</f>
        <v>46295</v>
      </c>
      <c r="X1128" s="6">
        <v>0</v>
      </c>
      <c r="Y1128" s="43">
        <f>VLOOKUP(Tabla1[[#This Row],[PAGO DIA]],DIAS!A:J,10,0)</f>
        <v>46325</v>
      </c>
      <c r="Z1128" s="6">
        <v>0</v>
      </c>
      <c r="AA1128" s="43">
        <f>VLOOKUP(Tabla1[[#This Row],[PAGO DIA]],DIAS!A:K,11,0)</f>
        <v>46356</v>
      </c>
      <c r="AB1128" s="6">
        <v>0</v>
      </c>
      <c r="AC1128" s="43">
        <f>VLOOKUP(Tabla1[[#This Row],[PAGO DIA]],DIAS!A:M,12,0)</f>
        <v>46386</v>
      </c>
      <c r="AD11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29" spans="1:30">
      <c r="A1129" s="3">
        <v>11061</v>
      </c>
      <c r="B1129" s="3" t="s">
        <v>538</v>
      </c>
      <c r="C1129" s="3" t="s">
        <v>539</v>
      </c>
      <c r="D1129" s="3" t="s">
        <v>540</v>
      </c>
      <c r="E1129" s="3" t="s">
        <v>1670</v>
      </c>
      <c r="F1129" s="42" t="s">
        <v>631</v>
      </c>
      <c r="G1129" s="3"/>
      <c r="H1129" s="6">
        <v>0</v>
      </c>
      <c r="I1129" s="41">
        <f>VLOOKUP(Tabla1[[#This Row],[PAGO DIA]],DIAS!A:B,2,0)</f>
        <v>46080</v>
      </c>
      <c r="J1129" s="6">
        <v>0</v>
      </c>
      <c r="K1129" s="43">
        <f>VLOOKUP(Tabla1[[#This Row],[PAGO DIA]],DIAS!A:C,3,0)</f>
        <v>46112</v>
      </c>
      <c r="L1129" s="6">
        <v>0</v>
      </c>
      <c r="M1129" s="41">
        <f>VLOOKUP(Tabla1[[#This Row],[PAGO DIA]],DIAS!A:D,4,0)</f>
        <v>46142</v>
      </c>
      <c r="N1129" s="6">
        <v>0</v>
      </c>
      <c r="O1129" s="43">
        <f>VLOOKUP(Tabla1[[#This Row],[PAGO DIA]],DIAS!A:E,5,0)</f>
        <v>46171</v>
      </c>
      <c r="P1129" s="6">
        <v>0</v>
      </c>
      <c r="Q1129" s="43">
        <f>VLOOKUP(Tabla1[[#This Row],[PAGO DIA]],DIAS!A:F,6,0)</f>
        <v>46203</v>
      </c>
      <c r="R1129" s="6">
        <v>0</v>
      </c>
      <c r="S1129" s="43">
        <f>VLOOKUP(Tabla1[[#This Row],[PAGO DIA]],DIAS!A:G,7,0)</f>
        <v>46234</v>
      </c>
      <c r="T1129" s="6">
        <v>0</v>
      </c>
      <c r="U1129" s="43">
        <f>VLOOKUP(Tabla1[[#This Row],[PAGO DIA]],DIAS!A:H,8,0)</f>
        <v>46265</v>
      </c>
      <c r="V1129" s="6">
        <v>0</v>
      </c>
      <c r="W1129" s="43">
        <f>VLOOKUP(Tabla1[[#This Row],[PAGO DIA]],DIAS!A:I,9,0)</f>
        <v>46295</v>
      </c>
      <c r="X1129" s="6">
        <v>0</v>
      </c>
      <c r="Y1129" s="43">
        <f>VLOOKUP(Tabla1[[#This Row],[PAGO DIA]],DIAS!A:J,10,0)</f>
        <v>46325</v>
      </c>
      <c r="Z1129" s="6">
        <v>0</v>
      </c>
      <c r="AA1129" s="43">
        <f>VLOOKUP(Tabla1[[#This Row],[PAGO DIA]],DIAS!A:K,11,0)</f>
        <v>46356</v>
      </c>
      <c r="AB1129" s="6">
        <v>0</v>
      </c>
      <c r="AC1129" s="43">
        <f>VLOOKUP(Tabla1[[#This Row],[PAGO DIA]],DIAS!A:M,12,0)</f>
        <v>46386</v>
      </c>
      <c r="AD11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0" spans="1:30">
      <c r="A1130" s="3">
        <v>11311</v>
      </c>
      <c r="B1130" s="3" t="s">
        <v>538</v>
      </c>
      <c r="C1130" s="3" t="s">
        <v>539</v>
      </c>
      <c r="D1130" s="3" t="s">
        <v>540</v>
      </c>
      <c r="E1130" s="3" t="s">
        <v>1670</v>
      </c>
      <c r="F1130" s="42" t="s">
        <v>631</v>
      </c>
      <c r="G1130" s="3"/>
      <c r="H1130" s="6">
        <v>0</v>
      </c>
      <c r="I1130" s="41">
        <f>VLOOKUP(Tabla1[[#This Row],[PAGO DIA]],DIAS!A:B,2,0)</f>
        <v>46080</v>
      </c>
      <c r="J1130" s="6">
        <v>0</v>
      </c>
      <c r="K1130" s="43">
        <f>VLOOKUP(Tabla1[[#This Row],[PAGO DIA]],DIAS!A:C,3,0)</f>
        <v>46112</v>
      </c>
      <c r="L1130" s="6">
        <v>0</v>
      </c>
      <c r="M1130" s="41">
        <f>VLOOKUP(Tabla1[[#This Row],[PAGO DIA]],DIAS!A:D,4,0)</f>
        <v>46142</v>
      </c>
      <c r="N1130" s="6">
        <v>0</v>
      </c>
      <c r="O1130" s="43">
        <f>VLOOKUP(Tabla1[[#This Row],[PAGO DIA]],DIAS!A:E,5,0)</f>
        <v>46171</v>
      </c>
      <c r="P1130" s="6">
        <v>0</v>
      </c>
      <c r="Q1130" s="43">
        <f>VLOOKUP(Tabla1[[#This Row],[PAGO DIA]],DIAS!A:F,6,0)</f>
        <v>46203</v>
      </c>
      <c r="R1130" s="6">
        <v>0</v>
      </c>
      <c r="S1130" s="43">
        <f>VLOOKUP(Tabla1[[#This Row],[PAGO DIA]],DIAS!A:G,7,0)</f>
        <v>46234</v>
      </c>
      <c r="T1130" s="6">
        <v>0</v>
      </c>
      <c r="U1130" s="43">
        <f>VLOOKUP(Tabla1[[#This Row],[PAGO DIA]],DIAS!A:H,8,0)</f>
        <v>46265</v>
      </c>
      <c r="V1130" s="6">
        <v>0</v>
      </c>
      <c r="W1130" s="43">
        <f>VLOOKUP(Tabla1[[#This Row],[PAGO DIA]],DIAS!A:I,9,0)</f>
        <v>46295</v>
      </c>
      <c r="X1130" s="6">
        <v>0</v>
      </c>
      <c r="Y1130" s="43">
        <f>VLOOKUP(Tabla1[[#This Row],[PAGO DIA]],DIAS!A:J,10,0)</f>
        <v>46325</v>
      </c>
      <c r="Z1130" s="6">
        <v>0</v>
      </c>
      <c r="AA1130" s="43">
        <f>VLOOKUP(Tabla1[[#This Row],[PAGO DIA]],DIAS!A:K,11,0)</f>
        <v>46356</v>
      </c>
      <c r="AB1130" s="6">
        <v>0</v>
      </c>
      <c r="AC1130" s="43">
        <f>VLOOKUP(Tabla1[[#This Row],[PAGO DIA]],DIAS!A:M,12,0)</f>
        <v>46386</v>
      </c>
      <c r="AD11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1" spans="1:30">
      <c r="A1131" s="3">
        <v>11054</v>
      </c>
      <c r="B1131" s="3" t="s">
        <v>538</v>
      </c>
      <c r="C1131" s="3" t="s">
        <v>539</v>
      </c>
      <c r="D1131" s="3" t="s">
        <v>540</v>
      </c>
      <c r="E1131" s="3" t="s">
        <v>1098</v>
      </c>
      <c r="F1131" s="42" t="s">
        <v>631</v>
      </c>
      <c r="G1131" s="3"/>
      <c r="H1131" s="6">
        <v>0</v>
      </c>
      <c r="I1131" s="41">
        <f>VLOOKUP(Tabla1[[#This Row],[PAGO DIA]],DIAS!A:B,2,0)</f>
        <v>46080</v>
      </c>
      <c r="J1131" s="6">
        <v>0</v>
      </c>
      <c r="K1131" s="43">
        <f>VLOOKUP(Tabla1[[#This Row],[PAGO DIA]],DIAS!A:C,3,0)</f>
        <v>46112</v>
      </c>
      <c r="L1131" s="6">
        <v>0</v>
      </c>
      <c r="M1131" s="41">
        <f>VLOOKUP(Tabla1[[#This Row],[PAGO DIA]],DIAS!A:D,4,0)</f>
        <v>46142</v>
      </c>
      <c r="N1131" s="6">
        <v>0</v>
      </c>
      <c r="O1131" s="43">
        <f>VLOOKUP(Tabla1[[#This Row],[PAGO DIA]],DIAS!A:E,5,0)</f>
        <v>46171</v>
      </c>
      <c r="P1131" s="6">
        <v>0</v>
      </c>
      <c r="Q1131" s="43">
        <f>VLOOKUP(Tabla1[[#This Row],[PAGO DIA]],DIAS!A:F,6,0)</f>
        <v>46203</v>
      </c>
      <c r="R1131" s="6">
        <v>0</v>
      </c>
      <c r="S1131" s="43">
        <f>VLOOKUP(Tabla1[[#This Row],[PAGO DIA]],DIAS!A:G,7,0)</f>
        <v>46234</v>
      </c>
      <c r="T1131" s="6">
        <v>0</v>
      </c>
      <c r="U1131" s="43">
        <f>VLOOKUP(Tabla1[[#This Row],[PAGO DIA]],DIAS!A:H,8,0)</f>
        <v>46265</v>
      </c>
      <c r="V1131" s="6">
        <v>0</v>
      </c>
      <c r="W1131" s="43">
        <f>VLOOKUP(Tabla1[[#This Row],[PAGO DIA]],DIAS!A:I,9,0)</f>
        <v>46295</v>
      </c>
      <c r="X1131" s="6">
        <v>0</v>
      </c>
      <c r="Y1131" s="43">
        <f>VLOOKUP(Tabla1[[#This Row],[PAGO DIA]],DIAS!A:J,10,0)</f>
        <v>46325</v>
      </c>
      <c r="Z1131" s="6">
        <v>0</v>
      </c>
      <c r="AA1131" s="43">
        <f>VLOOKUP(Tabla1[[#This Row],[PAGO DIA]],DIAS!A:K,11,0)</f>
        <v>46356</v>
      </c>
      <c r="AB1131" s="6">
        <v>0</v>
      </c>
      <c r="AC1131" s="43">
        <f>VLOOKUP(Tabla1[[#This Row],[PAGO DIA]],DIAS!A:M,12,0)</f>
        <v>46386</v>
      </c>
      <c r="AD11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2" spans="1:30">
      <c r="A1132" s="3">
        <v>11298</v>
      </c>
      <c r="B1132" s="3" t="s">
        <v>538</v>
      </c>
      <c r="C1132" s="3" t="s">
        <v>539</v>
      </c>
      <c r="D1132" s="3" t="s">
        <v>540</v>
      </c>
      <c r="E1132" s="3" t="s">
        <v>1098</v>
      </c>
      <c r="F1132" s="42" t="s">
        <v>631</v>
      </c>
      <c r="G1132" s="3"/>
      <c r="H1132" s="6">
        <v>0</v>
      </c>
      <c r="I1132" s="41">
        <f>VLOOKUP(Tabla1[[#This Row],[PAGO DIA]],DIAS!A:B,2,0)</f>
        <v>46080</v>
      </c>
      <c r="J1132" s="6">
        <v>0</v>
      </c>
      <c r="K1132" s="43">
        <f>VLOOKUP(Tabla1[[#This Row],[PAGO DIA]],DIAS!A:C,3,0)</f>
        <v>46112</v>
      </c>
      <c r="L1132" s="6">
        <v>0</v>
      </c>
      <c r="M1132" s="41">
        <f>VLOOKUP(Tabla1[[#This Row],[PAGO DIA]],DIAS!A:D,4,0)</f>
        <v>46142</v>
      </c>
      <c r="N1132" s="6">
        <v>0</v>
      </c>
      <c r="O1132" s="43">
        <f>VLOOKUP(Tabla1[[#This Row],[PAGO DIA]],DIAS!A:E,5,0)</f>
        <v>46171</v>
      </c>
      <c r="P1132" s="6">
        <v>0</v>
      </c>
      <c r="Q1132" s="43">
        <f>VLOOKUP(Tabla1[[#This Row],[PAGO DIA]],DIAS!A:F,6,0)</f>
        <v>46203</v>
      </c>
      <c r="R1132" s="6">
        <v>0</v>
      </c>
      <c r="S1132" s="43">
        <f>VLOOKUP(Tabla1[[#This Row],[PAGO DIA]],DIAS!A:G,7,0)</f>
        <v>46234</v>
      </c>
      <c r="T1132" s="6">
        <v>0</v>
      </c>
      <c r="U1132" s="43">
        <f>VLOOKUP(Tabla1[[#This Row],[PAGO DIA]],DIAS!A:H,8,0)</f>
        <v>46265</v>
      </c>
      <c r="V1132" s="6">
        <v>0</v>
      </c>
      <c r="W1132" s="43">
        <f>VLOOKUP(Tabla1[[#This Row],[PAGO DIA]],DIAS!A:I,9,0)</f>
        <v>46295</v>
      </c>
      <c r="X1132" s="6">
        <v>0</v>
      </c>
      <c r="Y1132" s="43">
        <f>VLOOKUP(Tabla1[[#This Row],[PAGO DIA]],DIAS!A:J,10,0)</f>
        <v>46325</v>
      </c>
      <c r="Z1132" s="6">
        <v>0</v>
      </c>
      <c r="AA1132" s="43">
        <f>VLOOKUP(Tabla1[[#This Row],[PAGO DIA]],DIAS!A:K,11,0)</f>
        <v>46356</v>
      </c>
      <c r="AB1132" s="6">
        <v>0</v>
      </c>
      <c r="AC1132" s="43">
        <f>VLOOKUP(Tabla1[[#This Row],[PAGO DIA]],DIAS!A:M,12,0)</f>
        <v>46386</v>
      </c>
      <c r="AD11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3" spans="1:30">
      <c r="A1133" s="3">
        <v>11051</v>
      </c>
      <c r="B1133" s="3" t="s">
        <v>538</v>
      </c>
      <c r="C1133" s="3" t="s">
        <v>539</v>
      </c>
      <c r="D1133" s="3" t="s">
        <v>540</v>
      </c>
      <c r="E1133" s="3" t="s">
        <v>1671</v>
      </c>
      <c r="F1133" s="42" t="s">
        <v>631</v>
      </c>
      <c r="G1133" s="3"/>
      <c r="H1133" s="6">
        <v>0</v>
      </c>
      <c r="I1133" s="41">
        <f>VLOOKUP(Tabla1[[#This Row],[PAGO DIA]],DIAS!A:B,2,0)</f>
        <v>46080</v>
      </c>
      <c r="J1133" s="6">
        <v>0</v>
      </c>
      <c r="K1133" s="43">
        <f>VLOOKUP(Tabla1[[#This Row],[PAGO DIA]],DIAS!A:C,3,0)</f>
        <v>46112</v>
      </c>
      <c r="L1133" s="6">
        <v>0</v>
      </c>
      <c r="M1133" s="41">
        <f>VLOOKUP(Tabla1[[#This Row],[PAGO DIA]],DIAS!A:D,4,0)</f>
        <v>46142</v>
      </c>
      <c r="N1133" s="6">
        <v>0</v>
      </c>
      <c r="O1133" s="43">
        <f>VLOOKUP(Tabla1[[#This Row],[PAGO DIA]],DIAS!A:E,5,0)</f>
        <v>46171</v>
      </c>
      <c r="P1133" s="6">
        <v>0</v>
      </c>
      <c r="Q1133" s="43">
        <f>VLOOKUP(Tabla1[[#This Row],[PAGO DIA]],DIAS!A:F,6,0)</f>
        <v>46203</v>
      </c>
      <c r="R1133" s="6">
        <v>0</v>
      </c>
      <c r="S1133" s="43">
        <f>VLOOKUP(Tabla1[[#This Row],[PAGO DIA]],DIAS!A:G,7,0)</f>
        <v>46234</v>
      </c>
      <c r="T1133" s="6">
        <v>0</v>
      </c>
      <c r="U1133" s="43">
        <f>VLOOKUP(Tabla1[[#This Row],[PAGO DIA]],DIAS!A:H,8,0)</f>
        <v>46265</v>
      </c>
      <c r="V1133" s="6">
        <v>0</v>
      </c>
      <c r="W1133" s="43">
        <f>VLOOKUP(Tabla1[[#This Row],[PAGO DIA]],DIAS!A:I,9,0)</f>
        <v>46295</v>
      </c>
      <c r="X1133" s="6">
        <v>0</v>
      </c>
      <c r="Y1133" s="43">
        <f>VLOOKUP(Tabla1[[#This Row],[PAGO DIA]],DIAS!A:J,10,0)</f>
        <v>46325</v>
      </c>
      <c r="Z1133" s="6">
        <v>0</v>
      </c>
      <c r="AA1133" s="43">
        <f>VLOOKUP(Tabla1[[#This Row],[PAGO DIA]],DIAS!A:K,11,0)</f>
        <v>46356</v>
      </c>
      <c r="AB1133" s="6">
        <v>0</v>
      </c>
      <c r="AC1133" s="43">
        <f>VLOOKUP(Tabla1[[#This Row],[PAGO DIA]],DIAS!A:M,12,0)</f>
        <v>46386</v>
      </c>
      <c r="AD11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4" spans="1:30">
      <c r="A1134" s="3">
        <v>11293</v>
      </c>
      <c r="B1134" s="3" t="s">
        <v>538</v>
      </c>
      <c r="C1134" s="3" t="s">
        <v>539</v>
      </c>
      <c r="D1134" s="3" t="s">
        <v>540</v>
      </c>
      <c r="E1134" s="3" t="s">
        <v>1671</v>
      </c>
      <c r="F1134" s="42" t="s">
        <v>631</v>
      </c>
      <c r="G1134" s="3"/>
      <c r="H1134" s="6">
        <v>0</v>
      </c>
      <c r="I1134" s="41">
        <f>VLOOKUP(Tabla1[[#This Row],[PAGO DIA]],DIAS!A:B,2,0)</f>
        <v>46080</v>
      </c>
      <c r="J1134" s="6">
        <v>0</v>
      </c>
      <c r="K1134" s="43">
        <f>VLOOKUP(Tabla1[[#This Row],[PAGO DIA]],DIAS!A:C,3,0)</f>
        <v>46112</v>
      </c>
      <c r="L1134" s="6">
        <v>0</v>
      </c>
      <c r="M1134" s="41">
        <f>VLOOKUP(Tabla1[[#This Row],[PAGO DIA]],DIAS!A:D,4,0)</f>
        <v>46142</v>
      </c>
      <c r="N1134" s="6">
        <v>0</v>
      </c>
      <c r="O1134" s="43">
        <f>VLOOKUP(Tabla1[[#This Row],[PAGO DIA]],DIAS!A:E,5,0)</f>
        <v>46171</v>
      </c>
      <c r="P1134" s="6">
        <v>0</v>
      </c>
      <c r="Q1134" s="43">
        <f>VLOOKUP(Tabla1[[#This Row],[PAGO DIA]],DIAS!A:F,6,0)</f>
        <v>46203</v>
      </c>
      <c r="R1134" s="6">
        <v>0</v>
      </c>
      <c r="S1134" s="43">
        <f>VLOOKUP(Tabla1[[#This Row],[PAGO DIA]],DIAS!A:G,7,0)</f>
        <v>46234</v>
      </c>
      <c r="T1134" s="6">
        <v>0</v>
      </c>
      <c r="U1134" s="43">
        <f>VLOOKUP(Tabla1[[#This Row],[PAGO DIA]],DIAS!A:H,8,0)</f>
        <v>46265</v>
      </c>
      <c r="V1134" s="6">
        <v>0</v>
      </c>
      <c r="W1134" s="43">
        <f>VLOOKUP(Tabla1[[#This Row],[PAGO DIA]],DIAS!A:I,9,0)</f>
        <v>46295</v>
      </c>
      <c r="X1134" s="6">
        <v>0</v>
      </c>
      <c r="Y1134" s="43">
        <f>VLOOKUP(Tabla1[[#This Row],[PAGO DIA]],DIAS!A:J,10,0)</f>
        <v>46325</v>
      </c>
      <c r="Z1134" s="6">
        <v>0</v>
      </c>
      <c r="AA1134" s="43">
        <f>VLOOKUP(Tabla1[[#This Row],[PAGO DIA]],DIAS!A:K,11,0)</f>
        <v>46356</v>
      </c>
      <c r="AB1134" s="6">
        <v>0</v>
      </c>
      <c r="AC1134" s="43">
        <f>VLOOKUP(Tabla1[[#This Row],[PAGO DIA]],DIAS!A:M,12,0)</f>
        <v>46386</v>
      </c>
      <c r="AD11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5" spans="1:30">
      <c r="A1135" s="3">
        <v>10970</v>
      </c>
      <c r="B1135" s="3" t="s">
        <v>538</v>
      </c>
      <c r="C1135" s="3" t="s">
        <v>539</v>
      </c>
      <c r="D1135" s="3" t="s">
        <v>540</v>
      </c>
      <c r="E1135" s="3" t="s">
        <v>1322</v>
      </c>
      <c r="F1135" s="42" t="s">
        <v>631</v>
      </c>
      <c r="G1135" s="3"/>
      <c r="H1135" s="6">
        <v>0</v>
      </c>
      <c r="I1135" s="41">
        <f>VLOOKUP(Tabla1[[#This Row],[PAGO DIA]],DIAS!A:B,2,0)</f>
        <v>46080</v>
      </c>
      <c r="J1135" s="6">
        <v>0</v>
      </c>
      <c r="K1135" s="43">
        <f>VLOOKUP(Tabla1[[#This Row],[PAGO DIA]],DIAS!A:C,3,0)</f>
        <v>46112</v>
      </c>
      <c r="L1135" s="6">
        <v>0</v>
      </c>
      <c r="M1135" s="41">
        <f>VLOOKUP(Tabla1[[#This Row],[PAGO DIA]],DIAS!A:D,4,0)</f>
        <v>46142</v>
      </c>
      <c r="N1135" s="6">
        <v>0</v>
      </c>
      <c r="O1135" s="43">
        <f>VLOOKUP(Tabla1[[#This Row],[PAGO DIA]],DIAS!A:E,5,0)</f>
        <v>46171</v>
      </c>
      <c r="P1135" s="6">
        <v>0</v>
      </c>
      <c r="Q1135" s="43">
        <f>VLOOKUP(Tabla1[[#This Row],[PAGO DIA]],DIAS!A:F,6,0)</f>
        <v>46203</v>
      </c>
      <c r="R1135" s="6">
        <v>0</v>
      </c>
      <c r="S1135" s="43">
        <f>VLOOKUP(Tabla1[[#This Row],[PAGO DIA]],DIAS!A:G,7,0)</f>
        <v>46234</v>
      </c>
      <c r="T1135" s="6">
        <v>0</v>
      </c>
      <c r="U1135" s="43">
        <f>VLOOKUP(Tabla1[[#This Row],[PAGO DIA]],DIAS!A:H,8,0)</f>
        <v>46265</v>
      </c>
      <c r="V1135" s="6">
        <v>0</v>
      </c>
      <c r="W1135" s="43">
        <f>VLOOKUP(Tabla1[[#This Row],[PAGO DIA]],DIAS!A:I,9,0)</f>
        <v>46295</v>
      </c>
      <c r="X1135" s="6">
        <v>0</v>
      </c>
      <c r="Y1135" s="43">
        <f>VLOOKUP(Tabla1[[#This Row],[PAGO DIA]],DIAS!A:J,10,0)</f>
        <v>46325</v>
      </c>
      <c r="Z1135" s="6">
        <v>0</v>
      </c>
      <c r="AA1135" s="43">
        <f>VLOOKUP(Tabla1[[#This Row],[PAGO DIA]],DIAS!A:K,11,0)</f>
        <v>46356</v>
      </c>
      <c r="AB1135" s="6">
        <v>0</v>
      </c>
      <c r="AC1135" s="43">
        <f>VLOOKUP(Tabla1[[#This Row],[PAGO DIA]],DIAS!A:M,12,0)</f>
        <v>46386</v>
      </c>
      <c r="AD11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6" spans="1:30">
      <c r="A1136" s="3">
        <v>11172</v>
      </c>
      <c r="B1136" s="3" t="s">
        <v>538</v>
      </c>
      <c r="C1136" s="3" t="s">
        <v>539</v>
      </c>
      <c r="D1136" s="3" t="s">
        <v>540</v>
      </c>
      <c r="E1136" s="3" t="s">
        <v>1322</v>
      </c>
      <c r="F1136" s="42" t="s">
        <v>631</v>
      </c>
      <c r="G1136" s="3"/>
      <c r="H1136" s="6">
        <v>0</v>
      </c>
      <c r="I1136" s="41">
        <f>VLOOKUP(Tabla1[[#This Row],[PAGO DIA]],DIAS!A:B,2,0)</f>
        <v>46080</v>
      </c>
      <c r="J1136" s="6">
        <v>0</v>
      </c>
      <c r="K1136" s="43">
        <f>VLOOKUP(Tabla1[[#This Row],[PAGO DIA]],DIAS!A:C,3,0)</f>
        <v>46112</v>
      </c>
      <c r="L1136" s="6">
        <v>0</v>
      </c>
      <c r="M1136" s="41">
        <f>VLOOKUP(Tabla1[[#This Row],[PAGO DIA]],DIAS!A:D,4,0)</f>
        <v>46142</v>
      </c>
      <c r="N1136" s="6">
        <v>0</v>
      </c>
      <c r="O1136" s="43">
        <f>VLOOKUP(Tabla1[[#This Row],[PAGO DIA]],DIAS!A:E,5,0)</f>
        <v>46171</v>
      </c>
      <c r="P1136" s="6">
        <v>0</v>
      </c>
      <c r="Q1136" s="43">
        <f>VLOOKUP(Tabla1[[#This Row],[PAGO DIA]],DIAS!A:F,6,0)</f>
        <v>46203</v>
      </c>
      <c r="R1136" s="6">
        <v>0</v>
      </c>
      <c r="S1136" s="43">
        <f>VLOOKUP(Tabla1[[#This Row],[PAGO DIA]],DIAS!A:G,7,0)</f>
        <v>46234</v>
      </c>
      <c r="T1136" s="6">
        <v>0</v>
      </c>
      <c r="U1136" s="43">
        <f>VLOOKUP(Tabla1[[#This Row],[PAGO DIA]],DIAS!A:H,8,0)</f>
        <v>46265</v>
      </c>
      <c r="V1136" s="6">
        <v>0</v>
      </c>
      <c r="W1136" s="43">
        <f>VLOOKUP(Tabla1[[#This Row],[PAGO DIA]],DIAS!A:I,9,0)</f>
        <v>46295</v>
      </c>
      <c r="X1136" s="6">
        <v>0</v>
      </c>
      <c r="Y1136" s="43">
        <f>VLOOKUP(Tabla1[[#This Row],[PAGO DIA]],DIAS!A:J,10,0)</f>
        <v>46325</v>
      </c>
      <c r="Z1136" s="6">
        <v>0</v>
      </c>
      <c r="AA1136" s="43">
        <f>VLOOKUP(Tabla1[[#This Row],[PAGO DIA]],DIAS!A:K,11,0)</f>
        <v>46356</v>
      </c>
      <c r="AB1136" s="6">
        <v>0</v>
      </c>
      <c r="AC1136" s="43">
        <f>VLOOKUP(Tabla1[[#This Row],[PAGO DIA]],DIAS!A:M,12,0)</f>
        <v>46386</v>
      </c>
      <c r="AD11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7" spans="1:30">
      <c r="A1137" s="3">
        <v>11030</v>
      </c>
      <c r="B1137" s="3" t="s">
        <v>538</v>
      </c>
      <c r="C1137" s="3" t="s">
        <v>539</v>
      </c>
      <c r="D1137" s="3" t="s">
        <v>540</v>
      </c>
      <c r="E1137" s="3" t="s">
        <v>1672</v>
      </c>
      <c r="F1137" s="42" t="s">
        <v>631</v>
      </c>
      <c r="G1137" s="3"/>
      <c r="H1137" s="6">
        <v>0</v>
      </c>
      <c r="I1137" s="41">
        <f>VLOOKUP(Tabla1[[#This Row],[PAGO DIA]],DIAS!A:B,2,0)</f>
        <v>46080</v>
      </c>
      <c r="J1137" s="6">
        <v>0</v>
      </c>
      <c r="K1137" s="43">
        <f>VLOOKUP(Tabla1[[#This Row],[PAGO DIA]],DIAS!A:C,3,0)</f>
        <v>46112</v>
      </c>
      <c r="L1137" s="6">
        <v>0</v>
      </c>
      <c r="M1137" s="41">
        <f>VLOOKUP(Tabla1[[#This Row],[PAGO DIA]],DIAS!A:D,4,0)</f>
        <v>46142</v>
      </c>
      <c r="N1137" s="6">
        <v>0</v>
      </c>
      <c r="O1137" s="43">
        <f>VLOOKUP(Tabla1[[#This Row],[PAGO DIA]],DIAS!A:E,5,0)</f>
        <v>46171</v>
      </c>
      <c r="P1137" s="6">
        <v>0</v>
      </c>
      <c r="Q1137" s="43">
        <f>VLOOKUP(Tabla1[[#This Row],[PAGO DIA]],DIAS!A:F,6,0)</f>
        <v>46203</v>
      </c>
      <c r="R1137" s="6">
        <v>0</v>
      </c>
      <c r="S1137" s="43">
        <f>VLOOKUP(Tabla1[[#This Row],[PAGO DIA]],DIAS!A:G,7,0)</f>
        <v>46234</v>
      </c>
      <c r="T1137" s="6">
        <v>0</v>
      </c>
      <c r="U1137" s="43">
        <f>VLOOKUP(Tabla1[[#This Row],[PAGO DIA]],DIAS!A:H,8,0)</f>
        <v>46265</v>
      </c>
      <c r="V1137" s="6">
        <v>0</v>
      </c>
      <c r="W1137" s="43">
        <f>VLOOKUP(Tabla1[[#This Row],[PAGO DIA]],DIAS!A:I,9,0)</f>
        <v>46295</v>
      </c>
      <c r="X1137" s="6">
        <v>0</v>
      </c>
      <c r="Y1137" s="43">
        <f>VLOOKUP(Tabla1[[#This Row],[PAGO DIA]],DIAS!A:J,10,0)</f>
        <v>46325</v>
      </c>
      <c r="Z1137" s="6">
        <v>0</v>
      </c>
      <c r="AA1137" s="43">
        <f>VLOOKUP(Tabla1[[#This Row],[PAGO DIA]],DIAS!A:K,11,0)</f>
        <v>46356</v>
      </c>
      <c r="AB1137" s="6">
        <v>0</v>
      </c>
      <c r="AC1137" s="43">
        <f>VLOOKUP(Tabla1[[#This Row],[PAGO DIA]],DIAS!A:M,12,0)</f>
        <v>46386</v>
      </c>
      <c r="AD11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8" spans="1:30">
      <c r="A1138" s="3">
        <v>11261</v>
      </c>
      <c r="B1138" s="3" t="s">
        <v>538</v>
      </c>
      <c r="C1138" s="3" t="s">
        <v>539</v>
      </c>
      <c r="D1138" s="3" t="s">
        <v>540</v>
      </c>
      <c r="E1138" s="3" t="s">
        <v>1672</v>
      </c>
      <c r="F1138" s="42" t="s">
        <v>631</v>
      </c>
      <c r="G1138" s="3"/>
      <c r="H1138" s="6">
        <v>0</v>
      </c>
      <c r="I1138" s="41">
        <f>VLOOKUP(Tabla1[[#This Row],[PAGO DIA]],DIAS!A:B,2,0)</f>
        <v>46080</v>
      </c>
      <c r="J1138" s="6">
        <v>0</v>
      </c>
      <c r="K1138" s="43">
        <f>VLOOKUP(Tabla1[[#This Row],[PAGO DIA]],DIAS!A:C,3,0)</f>
        <v>46112</v>
      </c>
      <c r="L1138" s="6">
        <v>0</v>
      </c>
      <c r="M1138" s="41">
        <f>VLOOKUP(Tabla1[[#This Row],[PAGO DIA]],DIAS!A:D,4,0)</f>
        <v>46142</v>
      </c>
      <c r="N1138" s="6">
        <v>0</v>
      </c>
      <c r="O1138" s="43">
        <f>VLOOKUP(Tabla1[[#This Row],[PAGO DIA]],DIAS!A:E,5,0)</f>
        <v>46171</v>
      </c>
      <c r="P1138" s="6">
        <v>0</v>
      </c>
      <c r="Q1138" s="43">
        <f>VLOOKUP(Tabla1[[#This Row],[PAGO DIA]],DIAS!A:F,6,0)</f>
        <v>46203</v>
      </c>
      <c r="R1138" s="6">
        <v>0</v>
      </c>
      <c r="S1138" s="43">
        <f>VLOOKUP(Tabla1[[#This Row],[PAGO DIA]],DIAS!A:G,7,0)</f>
        <v>46234</v>
      </c>
      <c r="T1138" s="6">
        <v>0</v>
      </c>
      <c r="U1138" s="43">
        <f>VLOOKUP(Tabla1[[#This Row],[PAGO DIA]],DIAS!A:H,8,0)</f>
        <v>46265</v>
      </c>
      <c r="V1138" s="6">
        <v>0</v>
      </c>
      <c r="W1138" s="43">
        <f>VLOOKUP(Tabla1[[#This Row],[PAGO DIA]],DIAS!A:I,9,0)</f>
        <v>46295</v>
      </c>
      <c r="X1138" s="6">
        <v>0</v>
      </c>
      <c r="Y1138" s="43">
        <f>VLOOKUP(Tabla1[[#This Row],[PAGO DIA]],DIAS!A:J,10,0)</f>
        <v>46325</v>
      </c>
      <c r="Z1138" s="6">
        <v>0</v>
      </c>
      <c r="AA1138" s="43">
        <f>VLOOKUP(Tabla1[[#This Row],[PAGO DIA]],DIAS!A:K,11,0)</f>
        <v>46356</v>
      </c>
      <c r="AB1138" s="6">
        <v>0</v>
      </c>
      <c r="AC1138" s="43">
        <f>VLOOKUP(Tabla1[[#This Row],[PAGO DIA]],DIAS!A:M,12,0)</f>
        <v>46386</v>
      </c>
      <c r="AD11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39" spans="1:30">
      <c r="A1139" s="3">
        <v>10992</v>
      </c>
      <c r="B1139" s="3" t="s">
        <v>538</v>
      </c>
      <c r="C1139" s="3" t="s">
        <v>539</v>
      </c>
      <c r="D1139" s="3" t="s">
        <v>540</v>
      </c>
      <c r="E1139" s="3" t="s">
        <v>1673</v>
      </c>
      <c r="F1139" s="42" t="s">
        <v>631</v>
      </c>
      <c r="G1139" s="3"/>
      <c r="H1139" s="6">
        <v>0</v>
      </c>
      <c r="I1139" s="41">
        <f>VLOOKUP(Tabla1[[#This Row],[PAGO DIA]],DIAS!A:B,2,0)</f>
        <v>46080</v>
      </c>
      <c r="J1139" s="6">
        <v>0</v>
      </c>
      <c r="K1139" s="43">
        <f>VLOOKUP(Tabla1[[#This Row],[PAGO DIA]],DIAS!A:C,3,0)</f>
        <v>46112</v>
      </c>
      <c r="L1139" s="6">
        <v>0</v>
      </c>
      <c r="M1139" s="41">
        <f>VLOOKUP(Tabla1[[#This Row],[PAGO DIA]],DIAS!A:D,4,0)</f>
        <v>46142</v>
      </c>
      <c r="N1139" s="6">
        <v>0</v>
      </c>
      <c r="O1139" s="43">
        <f>VLOOKUP(Tabla1[[#This Row],[PAGO DIA]],DIAS!A:E,5,0)</f>
        <v>46171</v>
      </c>
      <c r="P1139" s="6">
        <v>0</v>
      </c>
      <c r="Q1139" s="43">
        <f>VLOOKUP(Tabla1[[#This Row],[PAGO DIA]],DIAS!A:F,6,0)</f>
        <v>46203</v>
      </c>
      <c r="R1139" s="6">
        <v>0</v>
      </c>
      <c r="S1139" s="43">
        <f>VLOOKUP(Tabla1[[#This Row],[PAGO DIA]],DIAS!A:G,7,0)</f>
        <v>46234</v>
      </c>
      <c r="T1139" s="6">
        <v>0</v>
      </c>
      <c r="U1139" s="43">
        <f>VLOOKUP(Tabla1[[#This Row],[PAGO DIA]],DIAS!A:H,8,0)</f>
        <v>46265</v>
      </c>
      <c r="V1139" s="6">
        <v>0</v>
      </c>
      <c r="W1139" s="43">
        <f>VLOOKUP(Tabla1[[#This Row],[PAGO DIA]],DIAS!A:I,9,0)</f>
        <v>46295</v>
      </c>
      <c r="X1139" s="6">
        <v>0</v>
      </c>
      <c r="Y1139" s="43">
        <f>VLOOKUP(Tabla1[[#This Row],[PAGO DIA]],DIAS!A:J,10,0)</f>
        <v>46325</v>
      </c>
      <c r="Z1139" s="6">
        <v>0</v>
      </c>
      <c r="AA1139" s="43">
        <f>VLOOKUP(Tabla1[[#This Row],[PAGO DIA]],DIAS!A:K,11,0)</f>
        <v>46356</v>
      </c>
      <c r="AB1139" s="6">
        <v>0</v>
      </c>
      <c r="AC1139" s="43">
        <f>VLOOKUP(Tabla1[[#This Row],[PAGO DIA]],DIAS!A:M,12,0)</f>
        <v>46386</v>
      </c>
      <c r="AD11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0" spans="1:30">
      <c r="A1140" s="3">
        <v>11211</v>
      </c>
      <c r="B1140" s="3" t="s">
        <v>538</v>
      </c>
      <c r="C1140" s="3" t="s">
        <v>539</v>
      </c>
      <c r="D1140" s="3" t="s">
        <v>540</v>
      </c>
      <c r="E1140" s="3" t="s">
        <v>1673</v>
      </c>
      <c r="F1140" s="42" t="s">
        <v>631</v>
      </c>
      <c r="G1140" s="3"/>
      <c r="H1140" s="6">
        <v>0</v>
      </c>
      <c r="I1140" s="41">
        <f>VLOOKUP(Tabla1[[#This Row],[PAGO DIA]],DIAS!A:B,2,0)</f>
        <v>46080</v>
      </c>
      <c r="J1140" s="6">
        <v>0</v>
      </c>
      <c r="K1140" s="43">
        <f>VLOOKUP(Tabla1[[#This Row],[PAGO DIA]],DIAS!A:C,3,0)</f>
        <v>46112</v>
      </c>
      <c r="L1140" s="6">
        <v>0</v>
      </c>
      <c r="M1140" s="41">
        <f>VLOOKUP(Tabla1[[#This Row],[PAGO DIA]],DIAS!A:D,4,0)</f>
        <v>46142</v>
      </c>
      <c r="N1140" s="6">
        <v>0</v>
      </c>
      <c r="O1140" s="43">
        <f>VLOOKUP(Tabla1[[#This Row],[PAGO DIA]],DIAS!A:E,5,0)</f>
        <v>46171</v>
      </c>
      <c r="P1140" s="6">
        <v>0</v>
      </c>
      <c r="Q1140" s="43">
        <f>VLOOKUP(Tabla1[[#This Row],[PAGO DIA]],DIAS!A:F,6,0)</f>
        <v>46203</v>
      </c>
      <c r="R1140" s="6">
        <v>0</v>
      </c>
      <c r="S1140" s="43">
        <f>VLOOKUP(Tabla1[[#This Row],[PAGO DIA]],DIAS!A:G,7,0)</f>
        <v>46234</v>
      </c>
      <c r="T1140" s="6">
        <v>0</v>
      </c>
      <c r="U1140" s="43">
        <f>VLOOKUP(Tabla1[[#This Row],[PAGO DIA]],DIAS!A:H,8,0)</f>
        <v>46265</v>
      </c>
      <c r="V1140" s="6">
        <v>0</v>
      </c>
      <c r="W1140" s="43">
        <f>VLOOKUP(Tabla1[[#This Row],[PAGO DIA]],DIAS!A:I,9,0)</f>
        <v>46295</v>
      </c>
      <c r="X1140" s="6">
        <v>0</v>
      </c>
      <c r="Y1140" s="43">
        <f>VLOOKUP(Tabla1[[#This Row],[PAGO DIA]],DIAS!A:J,10,0)</f>
        <v>46325</v>
      </c>
      <c r="Z1140" s="6">
        <v>0</v>
      </c>
      <c r="AA1140" s="43">
        <f>VLOOKUP(Tabla1[[#This Row],[PAGO DIA]],DIAS!A:K,11,0)</f>
        <v>46356</v>
      </c>
      <c r="AB1140" s="6">
        <v>0</v>
      </c>
      <c r="AC1140" s="43">
        <f>VLOOKUP(Tabla1[[#This Row],[PAGO DIA]],DIAS!A:M,12,0)</f>
        <v>46386</v>
      </c>
      <c r="AD11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1" spans="1:30">
      <c r="A1141" s="3">
        <v>11014</v>
      </c>
      <c r="B1141" s="3" t="s">
        <v>538</v>
      </c>
      <c r="C1141" s="3" t="s">
        <v>539</v>
      </c>
      <c r="D1141" s="3" t="s">
        <v>540</v>
      </c>
      <c r="E1141" s="3" t="s">
        <v>1674</v>
      </c>
      <c r="F1141" s="42" t="s">
        <v>631</v>
      </c>
      <c r="G1141" s="3"/>
      <c r="H1141" s="6">
        <v>0</v>
      </c>
      <c r="I1141" s="41">
        <f>VLOOKUP(Tabla1[[#This Row],[PAGO DIA]],DIAS!A:B,2,0)</f>
        <v>46080</v>
      </c>
      <c r="J1141" s="6">
        <v>0</v>
      </c>
      <c r="K1141" s="43">
        <f>VLOOKUP(Tabla1[[#This Row],[PAGO DIA]],DIAS!A:C,3,0)</f>
        <v>46112</v>
      </c>
      <c r="L1141" s="6">
        <v>0</v>
      </c>
      <c r="M1141" s="41">
        <f>VLOOKUP(Tabla1[[#This Row],[PAGO DIA]],DIAS!A:D,4,0)</f>
        <v>46142</v>
      </c>
      <c r="N1141" s="6">
        <v>0</v>
      </c>
      <c r="O1141" s="43">
        <f>VLOOKUP(Tabla1[[#This Row],[PAGO DIA]],DIAS!A:E,5,0)</f>
        <v>46171</v>
      </c>
      <c r="P1141" s="6">
        <v>0</v>
      </c>
      <c r="Q1141" s="43">
        <f>VLOOKUP(Tabla1[[#This Row],[PAGO DIA]],DIAS!A:F,6,0)</f>
        <v>46203</v>
      </c>
      <c r="R1141" s="6">
        <v>0</v>
      </c>
      <c r="S1141" s="43">
        <f>VLOOKUP(Tabla1[[#This Row],[PAGO DIA]],DIAS!A:G,7,0)</f>
        <v>46234</v>
      </c>
      <c r="T1141" s="6">
        <v>0</v>
      </c>
      <c r="U1141" s="43">
        <f>VLOOKUP(Tabla1[[#This Row],[PAGO DIA]],DIAS!A:H,8,0)</f>
        <v>46265</v>
      </c>
      <c r="V1141" s="6">
        <v>0</v>
      </c>
      <c r="W1141" s="43">
        <f>VLOOKUP(Tabla1[[#This Row],[PAGO DIA]],DIAS!A:I,9,0)</f>
        <v>46295</v>
      </c>
      <c r="X1141" s="6">
        <v>0</v>
      </c>
      <c r="Y1141" s="43">
        <f>VLOOKUP(Tabla1[[#This Row],[PAGO DIA]],DIAS!A:J,10,0)</f>
        <v>46325</v>
      </c>
      <c r="Z1141" s="6">
        <v>0</v>
      </c>
      <c r="AA1141" s="43">
        <f>VLOOKUP(Tabla1[[#This Row],[PAGO DIA]],DIAS!A:K,11,0)</f>
        <v>46356</v>
      </c>
      <c r="AB1141" s="6">
        <v>0</v>
      </c>
      <c r="AC1141" s="43">
        <f>VLOOKUP(Tabla1[[#This Row],[PAGO DIA]],DIAS!A:M,12,0)</f>
        <v>46386</v>
      </c>
      <c r="AD11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2" spans="1:30">
      <c r="A1142" s="3">
        <v>11239</v>
      </c>
      <c r="B1142" s="3" t="s">
        <v>538</v>
      </c>
      <c r="C1142" s="3" t="s">
        <v>539</v>
      </c>
      <c r="D1142" s="3" t="s">
        <v>540</v>
      </c>
      <c r="E1142" s="3" t="s">
        <v>1674</v>
      </c>
      <c r="F1142" s="42" t="s">
        <v>631</v>
      </c>
      <c r="G1142" s="3"/>
      <c r="H1142" s="6">
        <v>0</v>
      </c>
      <c r="I1142" s="41">
        <f>VLOOKUP(Tabla1[[#This Row],[PAGO DIA]],DIAS!A:B,2,0)</f>
        <v>46080</v>
      </c>
      <c r="J1142" s="6">
        <v>0</v>
      </c>
      <c r="K1142" s="43">
        <f>VLOOKUP(Tabla1[[#This Row],[PAGO DIA]],DIAS!A:C,3,0)</f>
        <v>46112</v>
      </c>
      <c r="L1142" s="6">
        <v>0</v>
      </c>
      <c r="M1142" s="41">
        <f>VLOOKUP(Tabla1[[#This Row],[PAGO DIA]],DIAS!A:D,4,0)</f>
        <v>46142</v>
      </c>
      <c r="N1142" s="6">
        <v>0</v>
      </c>
      <c r="O1142" s="43">
        <f>VLOOKUP(Tabla1[[#This Row],[PAGO DIA]],DIAS!A:E,5,0)</f>
        <v>46171</v>
      </c>
      <c r="P1142" s="6">
        <v>0</v>
      </c>
      <c r="Q1142" s="43">
        <f>VLOOKUP(Tabla1[[#This Row],[PAGO DIA]],DIAS!A:F,6,0)</f>
        <v>46203</v>
      </c>
      <c r="R1142" s="6">
        <v>0</v>
      </c>
      <c r="S1142" s="43">
        <f>VLOOKUP(Tabla1[[#This Row],[PAGO DIA]],DIAS!A:G,7,0)</f>
        <v>46234</v>
      </c>
      <c r="T1142" s="6">
        <v>0</v>
      </c>
      <c r="U1142" s="43">
        <f>VLOOKUP(Tabla1[[#This Row],[PAGO DIA]],DIAS!A:H,8,0)</f>
        <v>46265</v>
      </c>
      <c r="V1142" s="6">
        <v>0</v>
      </c>
      <c r="W1142" s="43">
        <f>VLOOKUP(Tabla1[[#This Row],[PAGO DIA]],DIAS!A:I,9,0)</f>
        <v>46295</v>
      </c>
      <c r="X1142" s="6">
        <v>0</v>
      </c>
      <c r="Y1142" s="43">
        <f>VLOOKUP(Tabla1[[#This Row],[PAGO DIA]],DIAS!A:J,10,0)</f>
        <v>46325</v>
      </c>
      <c r="Z1142" s="6">
        <v>0</v>
      </c>
      <c r="AA1142" s="43">
        <f>VLOOKUP(Tabla1[[#This Row],[PAGO DIA]],DIAS!A:K,11,0)</f>
        <v>46356</v>
      </c>
      <c r="AB1142" s="6">
        <v>0</v>
      </c>
      <c r="AC1142" s="43">
        <f>VLOOKUP(Tabla1[[#This Row],[PAGO DIA]],DIAS!A:M,12,0)</f>
        <v>46386</v>
      </c>
      <c r="AD11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3" spans="1:30">
      <c r="A1143" s="3">
        <v>11071</v>
      </c>
      <c r="B1143" s="3" t="s">
        <v>538</v>
      </c>
      <c r="C1143" s="3" t="s">
        <v>540</v>
      </c>
      <c r="D1143" s="3" t="s">
        <v>540</v>
      </c>
      <c r="E1143" s="3" t="s">
        <v>1675</v>
      </c>
      <c r="F1143" s="42" t="s">
        <v>631</v>
      </c>
      <c r="G1143" s="3"/>
      <c r="H1143" s="6">
        <v>0</v>
      </c>
      <c r="I1143" s="41">
        <f>VLOOKUP(Tabla1[[#This Row],[PAGO DIA]],DIAS!A:B,2,0)</f>
        <v>46080</v>
      </c>
      <c r="J1143" s="6">
        <v>0</v>
      </c>
      <c r="K1143" s="43">
        <f>VLOOKUP(Tabla1[[#This Row],[PAGO DIA]],DIAS!A:C,3,0)</f>
        <v>46112</v>
      </c>
      <c r="L1143" s="6">
        <v>0</v>
      </c>
      <c r="M1143" s="41">
        <f>VLOOKUP(Tabla1[[#This Row],[PAGO DIA]],DIAS!A:D,4,0)</f>
        <v>46142</v>
      </c>
      <c r="N1143" s="6">
        <v>0</v>
      </c>
      <c r="O1143" s="43">
        <f>VLOOKUP(Tabla1[[#This Row],[PAGO DIA]],DIAS!A:E,5,0)</f>
        <v>46171</v>
      </c>
      <c r="P1143" s="6">
        <v>0</v>
      </c>
      <c r="Q1143" s="43">
        <f>VLOOKUP(Tabla1[[#This Row],[PAGO DIA]],DIAS!A:F,6,0)</f>
        <v>46203</v>
      </c>
      <c r="R1143" s="6">
        <v>0</v>
      </c>
      <c r="S1143" s="43">
        <f>VLOOKUP(Tabla1[[#This Row],[PAGO DIA]],DIAS!A:G,7,0)</f>
        <v>46234</v>
      </c>
      <c r="T1143" s="6">
        <v>0</v>
      </c>
      <c r="U1143" s="43">
        <f>VLOOKUP(Tabla1[[#This Row],[PAGO DIA]],DIAS!A:H,8,0)</f>
        <v>46265</v>
      </c>
      <c r="V1143" s="6">
        <v>0</v>
      </c>
      <c r="W1143" s="43">
        <f>VLOOKUP(Tabla1[[#This Row],[PAGO DIA]],DIAS!A:I,9,0)</f>
        <v>46295</v>
      </c>
      <c r="X1143" s="6">
        <v>0</v>
      </c>
      <c r="Y1143" s="43">
        <f>VLOOKUP(Tabla1[[#This Row],[PAGO DIA]],DIAS!A:J,10,0)</f>
        <v>46325</v>
      </c>
      <c r="Z1143" s="6">
        <v>0</v>
      </c>
      <c r="AA1143" s="43">
        <f>VLOOKUP(Tabla1[[#This Row],[PAGO DIA]],DIAS!A:K,11,0)</f>
        <v>46356</v>
      </c>
      <c r="AB1143" s="6">
        <v>0</v>
      </c>
      <c r="AC1143" s="43">
        <f>VLOOKUP(Tabla1[[#This Row],[PAGO DIA]],DIAS!A:M,12,0)</f>
        <v>46386</v>
      </c>
      <c r="AD11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4" spans="1:30">
      <c r="A1144" s="3">
        <v>12577</v>
      </c>
      <c r="B1144" s="3" t="s">
        <v>538</v>
      </c>
      <c r="C1144" s="3" t="s">
        <v>539</v>
      </c>
      <c r="D1144" s="3" t="s">
        <v>540</v>
      </c>
      <c r="E1144" s="3" t="s">
        <v>1676</v>
      </c>
      <c r="F1144" s="42" t="s">
        <v>631</v>
      </c>
      <c r="G1144" s="3" t="s">
        <v>1677</v>
      </c>
      <c r="H1144" s="6">
        <v>0</v>
      </c>
      <c r="I1144" s="41">
        <f>VLOOKUP(Tabla1[[#This Row],[PAGO DIA]],DIAS!A:B,2,0)</f>
        <v>46080</v>
      </c>
      <c r="J1144" s="6">
        <v>0</v>
      </c>
      <c r="K1144" s="43">
        <f>VLOOKUP(Tabla1[[#This Row],[PAGO DIA]],DIAS!A:C,3,0)</f>
        <v>46112</v>
      </c>
      <c r="L1144" s="6">
        <v>0</v>
      </c>
      <c r="M1144" s="41">
        <f>VLOOKUP(Tabla1[[#This Row],[PAGO DIA]],DIAS!A:D,4,0)</f>
        <v>46142</v>
      </c>
      <c r="N1144" s="6">
        <v>0</v>
      </c>
      <c r="O1144" s="43">
        <f>VLOOKUP(Tabla1[[#This Row],[PAGO DIA]],DIAS!A:E,5,0)</f>
        <v>46171</v>
      </c>
      <c r="P1144" s="6">
        <v>0</v>
      </c>
      <c r="Q1144" s="43">
        <f>VLOOKUP(Tabla1[[#This Row],[PAGO DIA]],DIAS!A:F,6,0)</f>
        <v>46203</v>
      </c>
      <c r="R1144" s="6">
        <v>0</v>
      </c>
      <c r="S1144" s="43">
        <f>VLOOKUP(Tabla1[[#This Row],[PAGO DIA]],DIAS!A:G,7,0)</f>
        <v>46234</v>
      </c>
      <c r="T1144" s="6">
        <v>0</v>
      </c>
      <c r="U1144" s="43">
        <f>VLOOKUP(Tabla1[[#This Row],[PAGO DIA]],DIAS!A:H,8,0)</f>
        <v>46265</v>
      </c>
      <c r="V1144" s="6">
        <v>0</v>
      </c>
      <c r="W1144" s="43">
        <f>VLOOKUP(Tabla1[[#This Row],[PAGO DIA]],DIAS!A:I,9,0)</f>
        <v>46295</v>
      </c>
      <c r="X1144" s="6">
        <v>0</v>
      </c>
      <c r="Y1144" s="43">
        <f>VLOOKUP(Tabla1[[#This Row],[PAGO DIA]],DIAS!A:J,10,0)</f>
        <v>46325</v>
      </c>
      <c r="Z1144" s="6">
        <v>0</v>
      </c>
      <c r="AA1144" s="43">
        <f>VLOOKUP(Tabla1[[#This Row],[PAGO DIA]],DIAS!A:K,11,0)</f>
        <v>46356</v>
      </c>
      <c r="AB1144" s="6">
        <v>0</v>
      </c>
      <c r="AC1144" s="43">
        <f>VLOOKUP(Tabla1[[#This Row],[PAGO DIA]],DIAS!A:M,12,0)</f>
        <v>46386</v>
      </c>
      <c r="AD11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5" spans="1:30">
      <c r="A1145" s="3">
        <v>12585</v>
      </c>
      <c r="B1145" s="3" t="s">
        <v>538</v>
      </c>
      <c r="C1145" s="3" t="s">
        <v>539</v>
      </c>
      <c r="D1145" s="3" t="s">
        <v>540</v>
      </c>
      <c r="E1145" s="3" t="s">
        <v>1676</v>
      </c>
      <c r="F1145" s="42" t="s">
        <v>631</v>
      </c>
      <c r="G1145" s="3" t="s">
        <v>1678</v>
      </c>
      <c r="H1145" s="6">
        <v>0</v>
      </c>
      <c r="I1145" s="41">
        <f>VLOOKUP(Tabla1[[#This Row],[PAGO DIA]],DIAS!A:B,2,0)</f>
        <v>46080</v>
      </c>
      <c r="J1145" s="6">
        <v>0</v>
      </c>
      <c r="K1145" s="43">
        <f>VLOOKUP(Tabla1[[#This Row],[PAGO DIA]],DIAS!A:C,3,0)</f>
        <v>46112</v>
      </c>
      <c r="L1145" s="6">
        <v>0</v>
      </c>
      <c r="M1145" s="41">
        <f>VLOOKUP(Tabla1[[#This Row],[PAGO DIA]],DIAS!A:D,4,0)</f>
        <v>46142</v>
      </c>
      <c r="N1145" s="6">
        <v>0</v>
      </c>
      <c r="O1145" s="43">
        <f>VLOOKUP(Tabla1[[#This Row],[PAGO DIA]],DIAS!A:E,5,0)</f>
        <v>46171</v>
      </c>
      <c r="P1145" s="6">
        <v>0</v>
      </c>
      <c r="Q1145" s="43">
        <f>VLOOKUP(Tabla1[[#This Row],[PAGO DIA]],DIAS!A:F,6,0)</f>
        <v>46203</v>
      </c>
      <c r="R1145" s="6">
        <v>0</v>
      </c>
      <c r="S1145" s="43">
        <f>VLOOKUP(Tabla1[[#This Row],[PAGO DIA]],DIAS!A:G,7,0)</f>
        <v>46234</v>
      </c>
      <c r="T1145" s="6">
        <v>0</v>
      </c>
      <c r="U1145" s="43">
        <f>VLOOKUP(Tabla1[[#This Row],[PAGO DIA]],DIAS!A:H,8,0)</f>
        <v>46265</v>
      </c>
      <c r="V1145" s="6">
        <v>0</v>
      </c>
      <c r="W1145" s="43">
        <f>VLOOKUP(Tabla1[[#This Row],[PAGO DIA]],DIAS!A:I,9,0)</f>
        <v>46295</v>
      </c>
      <c r="X1145" s="6">
        <v>0</v>
      </c>
      <c r="Y1145" s="43">
        <f>VLOOKUP(Tabla1[[#This Row],[PAGO DIA]],DIAS!A:J,10,0)</f>
        <v>46325</v>
      </c>
      <c r="Z1145" s="6">
        <v>0</v>
      </c>
      <c r="AA1145" s="43">
        <f>VLOOKUP(Tabla1[[#This Row],[PAGO DIA]],DIAS!A:K,11,0)</f>
        <v>46356</v>
      </c>
      <c r="AB1145" s="6">
        <v>0</v>
      </c>
      <c r="AC1145" s="43">
        <f>VLOOKUP(Tabla1[[#This Row],[PAGO DIA]],DIAS!A:M,12,0)</f>
        <v>46386</v>
      </c>
      <c r="AD11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6" spans="1:30">
      <c r="A1146" s="3">
        <v>12101</v>
      </c>
      <c r="B1146" s="3" t="s">
        <v>538</v>
      </c>
      <c r="C1146" s="3" t="s">
        <v>540</v>
      </c>
      <c r="D1146" s="3" t="s">
        <v>540</v>
      </c>
      <c r="E1146" s="3" t="s">
        <v>1679</v>
      </c>
      <c r="F1146" s="42" t="s">
        <v>631</v>
      </c>
      <c r="G1146" s="3" t="s">
        <v>1680</v>
      </c>
      <c r="H1146" s="6">
        <v>0</v>
      </c>
      <c r="I1146" s="41">
        <f>VLOOKUP(Tabla1[[#This Row],[PAGO DIA]],DIAS!A:B,2,0)</f>
        <v>46080</v>
      </c>
      <c r="J1146" s="6">
        <v>0</v>
      </c>
      <c r="K1146" s="43">
        <f>VLOOKUP(Tabla1[[#This Row],[PAGO DIA]],DIAS!A:C,3,0)</f>
        <v>46112</v>
      </c>
      <c r="L1146" s="6">
        <v>0</v>
      </c>
      <c r="M1146" s="41">
        <f>VLOOKUP(Tabla1[[#This Row],[PAGO DIA]],DIAS!A:D,4,0)</f>
        <v>46142</v>
      </c>
      <c r="N1146" s="6">
        <v>0</v>
      </c>
      <c r="O1146" s="43">
        <f>VLOOKUP(Tabla1[[#This Row],[PAGO DIA]],DIAS!A:E,5,0)</f>
        <v>46171</v>
      </c>
      <c r="P1146" s="6">
        <v>0</v>
      </c>
      <c r="Q1146" s="43">
        <f>VLOOKUP(Tabla1[[#This Row],[PAGO DIA]],DIAS!A:F,6,0)</f>
        <v>46203</v>
      </c>
      <c r="R1146" s="6">
        <v>0</v>
      </c>
      <c r="S1146" s="43">
        <f>VLOOKUP(Tabla1[[#This Row],[PAGO DIA]],DIAS!A:G,7,0)</f>
        <v>46234</v>
      </c>
      <c r="T1146" s="6">
        <v>0</v>
      </c>
      <c r="U1146" s="43">
        <f>VLOOKUP(Tabla1[[#This Row],[PAGO DIA]],DIAS!A:H,8,0)</f>
        <v>46265</v>
      </c>
      <c r="V1146" s="6">
        <v>0</v>
      </c>
      <c r="W1146" s="43">
        <f>VLOOKUP(Tabla1[[#This Row],[PAGO DIA]],DIAS!A:I,9,0)</f>
        <v>46295</v>
      </c>
      <c r="X1146" s="6">
        <v>0</v>
      </c>
      <c r="Y1146" s="43">
        <f>VLOOKUP(Tabla1[[#This Row],[PAGO DIA]],DIAS!A:J,10,0)</f>
        <v>46325</v>
      </c>
      <c r="Z1146" s="6">
        <v>0</v>
      </c>
      <c r="AA1146" s="43">
        <f>VLOOKUP(Tabla1[[#This Row],[PAGO DIA]],DIAS!A:K,11,0)</f>
        <v>46356</v>
      </c>
      <c r="AB1146" s="6">
        <v>0</v>
      </c>
      <c r="AC1146" s="43">
        <f>VLOOKUP(Tabla1[[#This Row],[PAGO DIA]],DIAS!A:M,12,0)</f>
        <v>46386</v>
      </c>
      <c r="AD11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7" spans="1:30">
      <c r="A1147" s="3">
        <v>12102</v>
      </c>
      <c r="B1147" s="3" t="s">
        <v>538</v>
      </c>
      <c r="C1147" s="3" t="s">
        <v>540</v>
      </c>
      <c r="D1147" s="3" t="s">
        <v>540</v>
      </c>
      <c r="E1147" s="3" t="s">
        <v>1679</v>
      </c>
      <c r="F1147" s="42" t="s">
        <v>631</v>
      </c>
      <c r="G1147" s="3" t="s">
        <v>1681</v>
      </c>
      <c r="H1147" s="6">
        <v>0</v>
      </c>
      <c r="I1147" s="41">
        <f>VLOOKUP(Tabla1[[#This Row],[PAGO DIA]],DIAS!A:B,2,0)</f>
        <v>46080</v>
      </c>
      <c r="J1147" s="6">
        <v>0</v>
      </c>
      <c r="K1147" s="43">
        <f>VLOOKUP(Tabla1[[#This Row],[PAGO DIA]],DIAS!A:C,3,0)</f>
        <v>46112</v>
      </c>
      <c r="L1147" s="6">
        <v>0</v>
      </c>
      <c r="M1147" s="41">
        <f>VLOOKUP(Tabla1[[#This Row],[PAGO DIA]],DIAS!A:D,4,0)</f>
        <v>46142</v>
      </c>
      <c r="N1147" s="6">
        <v>0</v>
      </c>
      <c r="O1147" s="43">
        <f>VLOOKUP(Tabla1[[#This Row],[PAGO DIA]],DIAS!A:E,5,0)</f>
        <v>46171</v>
      </c>
      <c r="P1147" s="6">
        <v>0</v>
      </c>
      <c r="Q1147" s="43">
        <f>VLOOKUP(Tabla1[[#This Row],[PAGO DIA]],DIAS!A:F,6,0)</f>
        <v>46203</v>
      </c>
      <c r="R1147" s="6">
        <v>0</v>
      </c>
      <c r="S1147" s="43">
        <f>VLOOKUP(Tabla1[[#This Row],[PAGO DIA]],DIAS!A:G,7,0)</f>
        <v>46234</v>
      </c>
      <c r="T1147" s="6">
        <v>0</v>
      </c>
      <c r="U1147" s="43">
        <f>VLOOKUP(Tabla1[[#This Row],[PAGO DIA]],DIAS!A:H,8,0)</f>
        <v>46265</v>
      </c>
      <c r="V1147" s="6">
        <v>0</v>
      </c>
      <c r="W1147" s="43">
        <f>VLOOKUP(Tabla1[[#This Row],[PAGO DIA]],DIAS!A:I,9,0)</f>
        <v>46295</v>
      </c>
      <c r="X1147" s="6">
        <v>0</v>
      </c>
      <c r="Y1147" s="43">
        <f>VLOOKUP(Tabla1[[#This Row],[PAGO DIA]],DIAS!A:J,10,0)</f>
        <v>46325</v>
      </c>
      <c r="Z1147" s="6">
        <v>0</v>
      </c>
      <c r="AA1147" s="43">
        <f>VLOOKUP(Tabla1[[#This Row],[PAGO DIA]],DIAS!A:K,11,0)</f>
        <v>46356</v>
      </c>
      <c r="AB1147" s="6">
        <v>0</v>
      </c>
      <c r="AC1147" s="43">
        <f>VLOOKUP(Tabla1[[#This Row],[PAGO DIA]],DIAS!A:M,12,0)</f>
        <v>46386</v>
      </c>
      <c r="AD11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8" spans="1:30">
      <c r="A1148" s="3">
        <v>12103</v>
      </c>
      <c r="B1148" s="3" t="s">
        <v>538</v>
      </c>
      <c r="C1148" s="3" t="s">
        <v>540</v>
      </c>
      <c r="D1148" s="3" t="s">
        <v>540</v>
      </c>
      <c r="E1148" s="3" t="s">
        <v>1679</v>
      </c>
      <c r="F1148" s="42" t="s">
        <v>631</v>
      </c>
      <c r="G1148" s="3" t="s">
        <v>1682</v>
      </c>
      <c r="H1148" s="6">
        <v>0</v>
      </c>
      <c r="I1148" s="41">
        <f>VLOOKUP(Tabla1[[#This Row],[PAGO DIA]],DIAS!A:B,2,0)</f>
        <v>46080</v>
      </c>
      <c r="J1148" s="6">
        <v>0</v>
      </c>
      <c r="K1148" s="43">
        <f>VLOOKUP(Tabla1[[#This Row],[PAGO DIA]],DIAS!A:C,3,0)</f>
        <v>46112</v>
      </c>
      <c r="L1148" s="6">
        <v>0</v>
      </c>
      <c r="M1148" s="41">
        <f>VLOOKUP(Tabla1[[#This Row],[PAGO DIA]],DIAS!A:D,4,0)</f>
        <v>46142</v>
      </c>
      <c r="N1148" s="6">
        <v>0</v>
      </c>
      <c r="O1148" s="43">
        <f>VLOOKUP(Tabla1[[#This Row],[PAGO DIA]],DIAS!A:E,5,0)</f>
        <v>46171</v>
      </c>
      <c r="P1148" s="6">
        <v>0</v>
      </c>
      <c r="Q1148" s="43">
        <f>VLOOKUP(Tabla1[[#This Row],[PAGO DIA]],DIAS!A:F,6,0)</f>
        <v>46203</v>
      </c>
      <c r="R1148" s="6">
        <v>0</v>
      </c>
      <c r="S1148" s="43">
        <f>VLOOKUP(Tabla1[[#This Row],[PAGO DIA]],DIAS!A:G,7,0)</f>
        <v>46234</v>
      </c>
      <c r="T1148" s="6">
        <v>0</v>
      </c>
      <c r="U1148" s="43">
        <f>VLOOKUP(Tabla1[[#This Row],[PAGO DIA]],DIAS!A:H,8,0)</f>
        <v>46265</v>
      </c>
      <c r="V1148" s="6">
        <v>0</v>
      </c>
      <c r="W1148" s="43">
        <f>VLOOKUP(Tabla1[[#This Row],[PAGO DIA]],DIAS!A:I,9,0)</f>
        <v>46295</v>
      </c>
      <c r="X1148" s="6">
        <v>0</v>
      </c>
      <c r="Y1148" s="43">
        <f>VLOOKUP(Tabla1[[#This Row],[PAGO DIA]],DIAS!A:J,10,0)</f>
        <v>46325</v>
      </c>
      <c r="Z1148" s="6">
        <v>0</v>
      </c>
      <c r="AA1148" s="43">
        <f>VLOOKUP(Tabla1[[#This Row],[PAGO DIA]],DIAS!A:K,11,0)</f>
        <v>46356</v>
      </c>
      <c r="AB1148" s="6">
        <v>0</v>
      </c>
      <c r="AC1148" s="43">
        <f>VLOOKUP(Tabla1[[#This Row],[PAGO DIA]],DIAS!A:M,12,0)</f>
        <v>46386</v>
      </c>
      <c r="AD11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49" spans="1:30">
      <c r="A1149" s="3">
        <v>12104</v>
      </c>
      <c r="B1149" s="3" t="s">
        <v>538</v>
      </c>
      <c r="C1149" s="3" t="s">
        <v>540</v>
      </c>
      <c r="D1149" s="3" t="s">
        <v>540</v>
      </c>
      <c r="E1149" s="3" t="s">
        <v>1679</v>
      </c>
      <c r="F1149" s="42" t="s">
        <v>631</v>
      </c>
      <c r="G1149" s="3" t="s">
        <v>1683</v>
      </c>
      <c r="H1149" s="6">
        <v>0</v>
      </c>
      <c r="I1149" s="41">
        <f>VLOOKUP(Tabla1[[#This Row],[PAGO DIA]],DIAS!A:B,2,0)</f>
        <v>46080</v>
      </c>
      <c r="J1149" s="6">
        <v>0</v>
      </c>
      <c r="K1149" s="43">
        <f>VLOOKUP(Tabla1[[#This Row],[PAGO DIA]],DIAS!A:C,3,0)</f>
        <v>46112</v>
      </c>
      <c r="L1149" s="6">
        <v>0</v>
      </c>
      <c r="M1149" s="41">
        <f>VLOOKUP(Tabla1[[#This Row],[PAGO DIA]],DIAS!A:D,4,0)</f>
        <v>46142</v>
      </c>
      <c r="N1149" s="6">
        <v>0</v>
      </c>
      <c r="O1149" s="43">
        <f>VLOOKUP(Tabla1[[#This Row],[PAGO DIA]],DIAS!A:E,5,0)</f>
        <v>46171</v>
      </c>
      <c r="P1149" s="6">
        <v>0</v>
      </c>
      <c r="Q1149" s="43">
        <f>VLOOKUP(Tabla1[[#This Row],[PAGO DIA]],DIAS!A:F,6,0)</f>
        <v>46203</v>
      </c>
      <c r="R1149" s="6">
        <v>0</v>
      </c>
      <c r="S1149" s="43">
        <f>VLOOKUP(Tabla1[[#This Row],[PAGO DIA]],DIAS!A:G,7,0)</f>
        <v>46234</v>
      </c>
      <c r="T1149" s="6">
        <v>0</v>
      </c>
      <c r="U1149" s="43">
        <f>VLOOKUP(Tabla1[[#This Row],[PAGO DIA]],DIAS!A:H,8,0)</f>
        <v>46265</v>
      </c>
      <c r="V1149" s="6">
        <v>0</v>
      </c>
      <c r="W1149" s="43">
        <f>VLOOKUP(Tabla1[[#This Row],[PAGO DIA]],DIAS!A:I,9,0)</f>
        <v>46295</v>
      </c>
      <c r="X1149" s="6">
        <v>0</v>
      </c>
      <c r="Y1149" s="43">
        <f>VLOOKUP(Tabla1[[#This Row],[PAGO DIA]],DIAS!A:J,10,0)</f>
        <v>46325</v>
      </c>
      <c r="Z1149" s="6">
        <v>0</v>
      </c>
      <c r="AA1149" s="43">
        <f>VLOOKUP(Tabla1[[#This Row],[PAGO DIA]],DIAS!A:K,11,0)</f>
        <v>46356</v>
      </c>
      <c r="AB1149" s="6">
        <v>0</v>
      </c>
      <c r="AC1149" s="43">
        <f>VLOOKUP(Tabla1[[#This Row],[PAGO DIA]],DIAS!A:M,12,0)</f>
        <v>46386</v>
      </c>
      <c r="AD11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0" spans="1:30">
      <c r="A1150" s="3">
        <v>10971</v>
      </c>
      <c r="B1150" s="3" t="s">
        <v>538</v>
      </c>
      <c r="C1150" s="3" t="s">
        <v>539</v>
      </c>
      <c r="D1150" s="3" t="s">
        <v>540</v>
      </c>
      <c r="E1150" s="3" t="s">
        <v>1684</v>
      </c>
      <c r="F1150" s="42" t="s">
        <v>631</v>
      </c>
      <c r="G1150" s="3"/>
      <c r="H1150" s="6">
        <v>0</v>
      </c>
      <c r="I1150" s="41">
        <f>VLOOKUP(Tabla1[[#This Row],[PAGO DIA]],DIAS!A:B,2,0)</f>
        <v>46080</v>
      </c>
      <c r="J1150" s="6">
        <v>0</v>
      </c>
      <c r="K1150" s="43">
        <f>VLOOKUP(Tabla1[[#This Row],[PAGO DIA]],DIAS!A:C,3,0)</f>
        <v>46112</v>
      </c>
      <c r="L1150" s="6">
        <v>0</v>
      </c>
      <c r="M1150" s="41">
        <f>VLOOKUP(Tabla1[[#This Row],[PAGO DIA]],DIAS!A:D,4,0)</f>
        <v>46142</v>
      </c>
      <c r="N1150" s="6">
        <v>0</v>
      </c>
      <c r="O1150" s="43">
        <f>VLOOKUP(Tabla1[[#This Row],[PAGO DIA]],DIAS!A:E,5,0)</f>
        <v>46171</v>
      </c>
      <c r="P1150" s="6">
        <v>0</v>
      </c>
      <c r="Q1150" s="43">
        <f>VLOOKUP(Tabla1[[#This Row],[PAGO DIA]],DIAS!A:F,6,0)</f>
        <v>46203</v>
      </c>
      <c r="R1150" s="6">
        <v>0</v>
      </c>
      <c r="S1150" s="43">
        <f>VLOOKUP(Tabla1[[#This Row],[PAGO DIA]],DIAS!A:G,7,0)</f>
        <v>46234</v>
      </c>
      <c r="T1150" s="6">
        <v>0</v>
      </c>
      <c r="U1150" s="43">
        <f>VLOOKUP(Tabla1[[#This Row],[PAGO DIA]],DIAS!A:H,8,0)</f>
        <v>46265</v>
      </c>
      <c r="V1150" s="6">
        <v>0</v>
      </c>
      <c r="W1150" s="43">
        <f>VLOOKUP(Tabla1[[#This Row],[PAGO DIA]],DIAS!A:I,9,0)</f>
        <v>46295</v>
      </c>
      <c r="X1150" s="6">
        <v>0</v>
      </c>
      <c r="Y1150" s="43">
        <f>VLOOKUP(Tabla1[[#This Row],[PAGO DIA]],DIAS!A:J,10,0)</f>
        <v>46325</v>
      </c>
      <c r="Z1150" s="6">
        <v>0</v>
      </c>
      <c r="AA1150" s="43">
        <f>VLOOKUP(Tabla1[[#This Row],[PAGO DIA]],DIAS!A:K,11,0)</f>
        <v>46356</v>
      </c>
      <c r="AB1150" s="6">
        <v>0</v>
      </c>
      <c r="AC1150" s="43">
        <f>VLOOKUP(Tabla1[[#This Row],[PAGO DIA]],DIAS!A:M,12,0)</f>
        <v>46386</v>
      </c>
      <c r="AD11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1" spans="1:30">
      <c r="A1151" s="3">
        <v>11175</v>
      </c>
      <c r="B1151" s="3" t="s">
        <v>538</v>
      </c>
      <c r="C1151" s="3" t="s">
        <v>539</v>
      </c>
      <c r="D1151" s="3" t="s">
        <v>540</v>
      </c>
      <c r="E1151" s="3" t="s">
        <v>1684</v>
      </c>
      <c r="F1151" s="42" t="s">
        <v>631</v>
      </c>
      <c r="G1151" s="3"/>
      <c r="H1151" s="6">
        <v>0</v>
      </c>
      <c r="I1151" s="41">
        <f>VLOOKUP(Tabla1[[#This Row],[PAGO DIA]],DIAS!A:B,2,0)</f>
        <v>46080</v>
      </c>
      <c r="J1151" s="6">
        <v>0</v>
      </c>
      <c r="K1151" s="43">
        <f>VLOOKUP(Tabla1[[#This Row],[PAGO DIA]],DIAS!A:C,3,0)</f>
        <v>46112</v>
      </c>
      <c r="L1151" s="6">
        <v>0</v>
      </c>
      <c r="M1151" s="41">
        <f>VLOOKUP(Tabla1[[#This Row],[PAGO DIA]],DIAS!A:D,4,0)</f>
        <v>46142</v>
      </c>
      <c r="N1151" s="6">
        <v>0</v>
      </c>
      <c r="O1151" s="43">
        <f>VLOOKUP(Tabla1[[#This Row],[PAGO DIA]],DIAS!A:E,5,0)</f>
        <v>46171</v>
      </c>
      <c r="P1151" s="6">
        <v>0</v>
      </c>
      <c r="Q1151" s="43">
        <f>VLOOKUP(Tabla1[[#This Row],[PAGO DIA]],DIAS!A:F,6,0)</f>
        <v>46203</v>
      </c>
      <c r="R1151" s="6">
        <v>0</v>
      </c>
      <c r="S1151" s="43">
        <f>VLOOKUP(Tabla1[[#This Row],[PAGO DIA]],DIAS!A:G,7,0)</f>
        <v>46234</v>
      </c>
      <c r="T1151" s="6">
        <v>0</v>
      </c>
      <c r="U1151" s="43">
        <f>VLOOKUP(Tabla1[[#This Row],[PAGO DIA]],DIAS!A:H,8,0)</f>
        <v>46265</v>
      </c>
      <c r="V1151" s="6">
        <v>0</v>
      </c>
      <c r="W1151" s="43">
        <f>VLOOKUP(Tabla1[[#This Row],[PAGO DIA]],DIAS!A:I,9,0)</f>
        <v>46295</v>
      </c>
      <c r="X1151" s="6">
        <v>0</v>
      </c>
      <c r="Y1151" s="43">
        <f>VLOOKUP(Tabla1[[#This Row],[PAGO DIA]],DIAS!A:J,10,0)</f>
        <v>46325</v>
      </c>
      <c r="Z1151" s="6">
        <v>0</v>
      </c>
      <c r="AA1151" s="43">
        <f>VLOOKUP(Tabla1[[#This Row],[PAGO DIA]],DIAS!A:K,11,0)</f>
        <v>46356</v>
      </c>
      <c r="AB1151" s="6">
        <v>0</v>
      </c>
      <c r="AC1151" s="43">
        <f>VLOOKUP(Tabla1[[#This Row],[PAGO DIA]],DIAS!A:M,12,0)</f>
        <v>46386</v>
      </c>
      <c r="AD11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2" spans="1:30">
      <c r="A1152" s="3">
        <v>11324</v>
      </c>
      <c r="B1152" s="3" t="s">
        <v>538</v>
      </c>
      <c r="C1152" s="3" t="s">
        <v>539</v>
      </c>
      <c r="D1152" s="3" t="s">
        <v>540</v>
      </c>
      <c r="E1152" s="3" t="s">
        <v>1684</v>
      </c>
      <c r="F1152" s="42" t="s">
        <v>631</v>
      </c>
      <c r="G1152" s="3"/>
      <c r="H1152" s="6">
        <v>0</v>
      </c>
      <c r="I1152" s="41">
        <f>VLOOKUP(Tabla1[[#This Row],[PAGO DIA]],DIAS!A:B,2,0)</f>
        <v>46080</v>
      </c>
      <c r="J1152" s="6">
        <v>0</v>
      </c>
      <c r="K1152" s="43">
        <f>VLOOKUP(Tabla1[[#This Row],[PAGO DIA]],DIAS!A:C,3,0)</f>
        <v>46112</v>
      </c>
      <c r="L1152" s="6">
        <v>0</v>
      </c>
      <c r="M1152" s="41">
        <f>VLOOKUP(Tabla1[[#This Row],[PAGO DIA]],DIAS!A:D,4,0)</f>
        <v>46142</v>
      </c>
      <c r="N1152" s="6">
        <v>0</v>
      </c>
      <c r="O1152" s="43">
        <f>VLOOKUP(Tabla1[[#This Row],[PAGO DIA]],DIAS!A:E,5,0)</f>
        <v>46171</v>
      </c>
      <c r="P1152" s="6">
        <v>0</v>
      </c>
      <c r="Q1152" s="43">
        <f>VLOOKUP(Tabla1[[#This Row],[PAGO DIA]],DIAS!A:F,6,0)</f>
        <v>46203</v>
      </c>
      <c r="R1152" s="6">
        <v>0</v>
      </c>
      <c r="S1152" s="43">
        <f>VLOOKUP(Tabla1[[#This Row],[PAGO DIA]],DIAS!A:G,7,0)</f>
        <v>46234</v>
      </c>
      <c r="T1152" s="6">
        <v>0</v>
      </c>
      <c r="U1152" s="43">
        <f>VLOOKUP(Tabla1[[#This Row],[PAGO DIA]],DIAS!A:H,8,0)</f>
        <v>46265</v>
      </c>
      <c r="V1152" s="6">
        <v>0</v>
      </c>
      <c r="W1152" s="43">
        <f>VLOOKUP(Tabla1[[#This Row],[PAGO DIA]],DIAS!A:I,9,0)</f>
        <v>46295</v>
      </c>
      <c r="X1152" s="6">
        <v>0</v>
      </c>
      <c r="Y1152" s="43">
        <f>VLOOKUP(Tabla1[[#This Row],[PAGO DIA]],DIAS!A:J,10,0)</f>
        <v>46325</v>
      </c>
      <c r="Z1152" s="6">
        <v>0</v>
      </c>
      <c r="AA1152" s="43">
        <f>VLOOKUP(Tabla1[[#This Row],[PAGO DIA]],DIAS!A:K,11,0)</f>
        <v>46356</v>
      </c>
      <c r="AB1152" s="6">
        <v>0</v>
      </c>
      <c r="AC1152" s="43">
        <f>VLOOKUP(Tabla1[[#This Row],[PAGO DIA]],DIAS!A:M,12,0)</f>
        <v>46386</v>
      </c>
      <c r="AD11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3" spans="1:30">
      <c r="A1153" s="3">
        <v>11867</v>
      </c>
      <c r="B1153" s="3" t="s">
        <v>538</v>
      </c>
      <c r="C1153" s="3" t="s">
        <v>540</v>
      </c>
      <c r="D1153" s="3" t="s">
        <v>540</v>
      </c>
      <c r="E1153" s="3" t="s">
        <v>1684</v>
      </c>
      <c r="F1153" s="42" t="s">
        <v>631</v>
      </c>
      <c r="G1153" s="3" t="s">
        <v>1685</v>
      </c>
      <c r="H1153" s="6">
        <v>0</v>
      </c>
      <c r="I1153" s="41">
        <f>VLOOKUP(Tabla1[[#This Row],[PAGO DIA]],DIAS!A:B,2,0)</f>
        <v>46080</v>
      </c>
      <c r="J1153" s="6">
        <v>0</v>
      </c>
      <c r="K1153" s="43">
        <f>VLOOKUP(Tabla1[[#This Row],[PAGO DIA]],DIAS!A:C,3,0)</f>
        <v>46112</v>
      </c>
      <c r="L1153" s="6">
        <v>0</v>
      </c>
      <c r="M1153" s="41">
        <f>VLOOKUP(Tabla1[[#This Row],[PAGO DIA]],DIAS!A:D,4,0)</f>
        <v>46142</v>
      </c>
      <c r="N1153" s="6">
        <v>0</v>
      </c>
      <c r="O1153" s="43">
        <f>VLOOKUP(Tabla1[[#This Row],[PAGO DIA]],DIAS!A:E,5,0)</f>
        <v>46171</v>
      </c>
      <c r="P1153" s="6">
        <v>0</v>
      </c>
      <c r="Q1153" s="43">
        <f>VLOOKUP(Tabla1[[#This Row],[PAGO DIA]],DIAS!A:F,6,0)</f>
        <v>46203</v>
      </c>
      <c r="R1153" s="6">
        <v>0</v>
      </c>
      <c r="S1153" s="43">
        <f>VLOOKUP(Tabla1[[#This Row],[PAGO DIA]],DIAS!A:G,7,0)</f>
        <v>46234</v>
      </c>
      <c r="T1153" s="6">
        <v>0</v>
      </c>
      <c r="U1153" s="43">
        <f>VLOOKUP(Tabla1[[#This Row],[PAGO DIA]],DIAS!A:H,8,0)</f>
        <v>46265</v>
      </c>
      <c r="V1153" s="6">
        <v>0</v>
      </c>
      <c r="W1153" s="43">
        <f>VLOOKUP(Tabla1[[#This Row],[PAGO DIA]],DIAS!A:I,9,0)</f>
        <v>46295</v>
      </c>
      <c r="X1153" s="6">
        <v>0</v>
      </c>
      <c r="Y1153" s="43">
        <f>VLOOKUP(Tabla1[[#This Row],[PAGO DIA]],DIAS!A:J,10,0)</f>
        <v>46325</v>
      </c>
      <c r="Z1153" s="6">
        <v>0</v>
      </c>
      <c r="AA1153" s="43">
        <f>VLOOKUP(Tabla1[[#This Row],[PAGO DIA]],DIAS!A:K,11,0)</f>
        <v>46356</v>
      </c>
      <c r="AB1153" s="6">
        <v>0</v>
      </c>
      <c r="AC1153" s="43">
        <f>VLOOKUP(Tabla1[[#This Row],[PAGO DIA]],DIAS!A:M,12,0)</f>
        <v>46386</v>
      </c>
      <c r="AD11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4" spans="1:30">
      <c r="A1154" s="3">
        <v>11868</v>
      </c>
      <c r="B1154" s="3" t="s">
        <v>538</v>
      </c>
      <c r="C1154" s="3" t="s">
        <v>540</v>
      </c>
      <c r="D1154" s="3" t="s">
        <v>540</v>
      </c>
      <c r="E1154" s="3" t="s">
        <v>1684</v>
      </c>
      <c r="F1154" s="42" t="s">
        <v>631</v>
      </c>
      <c r="G1154" s="3" t="s">
        <v>1686</v>
      </c>
      <c r="H1154" s="6">
        <v>0</v>
      </c>
      <c r="I1154" s="41">
        <f>VLOOKUP(Tabla1[[#This Row],[PAGO DIA]],DIAS!A:B,2,0)</f>
        <v>46080</v>
      </c>
      <c r="J1154" s="6">
        <v>0</v>
      </c>
      <c r="K1154" s="43">
        <f>VLOOKUP(Tabla1[[#This Row],[PAGO DIA]],DIAS!A:C,3,0)</f>
        <v>46112</v>
      </c>
      <c r="L1154" s="6">
        <v>0</v>
      </c>
      <c r="M1154" s="41">
        <f>VLOOKUP(Tabla1[[#This Row],[PAGO DIA]],DIAS!A:D,4,0)</f>
        <v>46142</v>
      </c>
      <c r="N1154" s="6">
        <v>0</v>
      </c>
      <c r="O1154" s="43">
        <f>VLOOKUP(Tabla1[[#This Row],[PAGO DIA]],DIAS!A:E,5,0)</f>
        <v>46171</v>
      </c>
      <c r="P1154" s="6">
        <v>0</v>
      </c>
      <c r="Q1154" s="43">
        <f>VLOOKUP(Tabla1[[#This Row],[PAGO DIA]],DIAS!A:F,6,0)</f>
        <v>46203</v>
      </c>
      <c r="R1154" s="6">
        <v>0</v>
      </c>
      <c r="S1154" s="43">
        <f>VLOOKUP(Tabla1[[#This Row],[PAGO DIA]],DIAS!A:G,7,0)</f>
        <v>46234</v>
      </c>
      <c r="T1154" s="6">
        <v>0</v>
      </c>
      <c r="U1154" s="43">
        <f>VLOOKUP(Tabla1[[#This Row],[PAGO DIA]],DIAS!A:H,8,0)</f>
        <v>46265</v>
      </c>
      <c r="V1154" s="6">
        <v>0</v>
      </c>
      <c r="W1154" s="43">
        <f>VLOOKUP(Tabla1[[#This Row],[PAGO DIA]],DIAS!A:I,9,0)</f>
        <v>46295</v>
      </c>
      <c r="X1154" s="6">
        <v>0</v>
      </c>
      <c r="Y1154" s="43">
        <f>VLOOKUP(Tabla1[[#This Row],[PAGO DIA]],DIAS!A:J,10,0)</f>
        <v>46325</v>
      </c>
      <c r="Z1154" s="6">
        <v>0</v>
      </c>
      <c r="AA1154" s="43">
        <f>VLOOKUP(Tabla1[[#This Row],[PAGO DIA]],DIAS!A:K,11,0)</f>
        <v>46356</v>
      </c>
      <c r="AB1154" s="6">
        <v>0</v>
      </c>
      <c r="AC1154" s="43">
        <f>VLOOKUP(Tabla1[[#This Row],[PAGO DIA]],DIAS!A:M,12,0)</f>
        <v>46386</v>
      </c>
      <c r="AD11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5" spans="1:30">
      <c r="A1155" s="3">
        <v>11869</v>
      </c>
      <c r="B1155" s="3" t="s">
        <v>538</v>
      </c>
      <c r="C1155" s="3" t="s">
        <v>540</v>
      </c>
      <c r="D1155" s="3" t="s">
        <v>540</v>
      </c>
      <c r="E1155" s="3" t="s">
        <v>1684</v>
      </c>
      <c r="F1155" s="42" t="s">
        <v>631</v>
      </c>
      <c r="G1155" s="3" t="s">
        <v>1687</v>
      </c>
      <c r="H1155" s="6">
        <v>0</v>
      </c>
      <c r="I1155" s="41">
        <f>VLOOKUP(Tabla1[[#This Row],[PAGO DIA]],DIAS!A:B,2,0)</f>
        <v>46080</v>
      </c>
      <c r="J1155" s="6">
        <v>0</v>
      </c>
      <c r="K1155" s="43">
        <f>VLOOKUP(Tabla1[[#This Row],[PAGO DIA]],DIAS!A:C,3,0)</f>
        <v>46112</v>
      </c>
      <c r="L1155" s="6">
        <v>0</v>
      </c>
      <c r="M1155" s="41">
        <f>VLOOKUP(Tabla1[[#This Row],[PAGO DIA]],DIAS!A:D,4,0)</f>
        <v>46142</v>
      </c>
      <c r="N1155" s="6">
        <v>0</v>
      </c>
      <c r="O1155" s="43">
        <f>VLOOKUP(Tabla1[[#This Row],[PAGO DIA]],DIAS!A:E,5,0)</f>
        <v>46171</v>
      </c>
      <c r="P1155" s="6">
        <v>0</v>
      </c>
      <c r="Q1155" s="43">
        <f>VLOOKUP(Tabla1[[#This Row],[PAGO DIA]],DIAS!A:F,6,0)</f>
        <v>46203</v>
      </c>
      <c r="R1155" s="6">
        <v>0</v>
      </c>
      <c r="S1155" s="43">
        <f>VLOOKUP(Tabla1[[#This Row],[PAGO DIA]],DIAS!A:G,7,0)</f>
        <v>46234</v>
      </c>
      <c r="T1155" s="6">
        <v>0</v>
      </c>
      <c r="U1155" s="43">
        <f>VLOOKUP(Tabla1[[#This Row],[PAGO DIA]],DIAS!A:H,8,0)</f>
        <v>46265</v>
      </c>
      <c r="V1155" s="6">
        <v>0</v>
      </c>
      <c r="W1155" s="43">
        <f>VLOOKUP(Tabla1[[#This Row],[PAGO DIA]],DIAS!A:I,9,0)</f>
        <v>46295</v>
      </c>
      <c r="X1155" s="6">
        <v>0</v>
      </c>
      <c r="Y1155" s="43">
        <f>VLOOKUP(Tabla1[[#This Row],[PAGO DIA]],DIAS!A:J,10,0)</f>
        <v>46325</v>
      </c>
      <c r="Z1155" s="6">
        <v>0</v>
      </c>
      <c r="AA1155" s="43">
        <f>VLOOKUP(Tabla1[[#This Row],[PAGO DIA]],DIAS!A:K,11,0)</f>
        <v>46356</v>
      </c>
      <c r="AB1155" s="6">
        <v>0</v>
      </c>
      <c r="AC1155" s="43">
        <f>VLOOKUP(Tabla1[[#This Row],[PAGO DIA]],DIAS!A:M,12,0)</f>
        <v>46386</v>
      </c>
      <c r="AD11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6" spans="1:30">
      <c r="A1156" s="3">
        <v>11870</v>
      </c>
      <c r="B1156" s="3" t="s">
        <v>538</v>
      </c>
      <c r="C1156" s="3" t="s">
        <v>540</v>
      </c>
      <c r="D1156" s="3" t="s">
        <v>540</v>
      </c>
      <c r="E1156" s="3" t="s">
        <v>1684</v>
      </c>
      <c r="F1156" s="42" t="s">
        <v>631</v>
      </c>
      <c r="G1156" s="3" t="s">
        <v>1688</v>
      </c>
      <c r="H1156" s="6">
        <v>0</v>
      </c>
      <c r="I1156" s="41">
        <f>VLOOKUP(Tabla1[[#This Row],[PAGO DIA]],DIAS!A:B,2,0)</f>
        <v>46080</v>
      </c>
      <c r="J1156" s="6">
        <v>0</v>
      </c>
      <c r="K1156" s="43">
        <f>VLOOKUP(Tabla1[[#This Row],[PAGO DIA]],DIAS!A:C,3,0)</f>
        <v>46112</v>
      </c>
      <c r="L1156" s="6">
        <v>0</v>
      </c>
      <c r="M1156" s="41">
        <f>VLOOKUP(Tabla1[[#This Row],[PAGO DIA]],DIAS!A:D,4,0)</f>
        <v>46142</v>
      </c>
      <c r="N1156" s="6">
        <v>0</v>
      </c>
      <c r="O1156" s="43">
        <f>VLOOKUP(Tabla1[[#This Row],[PAGO DIA]],DIAS!A:E,5,0)</f>
        <v>46171</v>
      </c>
      <c r="P1156" s="6">
        <v>0</v>
      </c>
      <c r="Q1156" s="43">
        <f>VLOOKUP(Tabla1[[#This Row],[PAGO DIA]],DIAS!A:F,6,0)</f>
        <v>46203</v>
      </c>
      <c r="R1156" s="6">
        <v>0</v>
      </c>
      <c r="S1156" s="43">
        <f>VLOOKUP(Tabla1[[#This Row],[PAGO DIA]],DIAS!A:G,7,0)</f>
        <v>46234</v>
      </c>
      <c r="T1156" s="6">
        <v>0</v>
      </c>
      <c r="U1156" s="43">
        <f>VLOOKUP(Tabla1[[#This Row],[PAGO DIA]],DIAS!A:H,8,0)</f>
        <v>46265</v>
      </c>
      <c r="V1156" s="6">
        <v>0</v>
      </c>
      <c r="W1156" s="43">
        <f>VLOOKUP(Tabla1[[#This Row],[PAGO DIA]],DIAS!A:I,9,0)</f>
        <v>46295</v>
      </c>
      <c r="X1156" s="6">
        <v>0</v>
      </c>
      <c r="Y1156" s="43">
        <f>VLOOKUP(Tabla1[[#This Row],[PAGO DIA]],DIAS!A:J,10,0)</f>
        <v>46325</v>
      </c>
      <c r="Z1156" s="6">
        <v>0</v>
      </c>
      <c r="AA1156" s="43">
        <f>VLOOKUP(Tabla1[[#This Row],[PAGO DIA]],DIAS!A:K,11,0)</f>
        <v>46356</v>
      </c>
      <c r="AB1156" s="6">
        <v>0</v>
      </c>
      <c r="AC1156" s="43">
        <f>VLOOKUP(Tabla1[[#This Row],[PAGO DIA]],DIAS!A:M,12,0)</f>
        <v>46386</v>
      </c>
      <c r="AD11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7" spans="1:30">
      <c r="A1157" s="3">
        <v>11871</v>
      </c>
      <c r="B1157" s="3" t="s">
        <v>538</v>
      </c>
      <c r="C1157" s="3" t="s">
        <v>540</v>
      </c>
      <c r="D1157" s="3" t="s">
        <v>540</v>
      </c>
      <c r="E1157" s="3" t="s">
        <v>1684</v>
      </c>
      <c r="F1157" s="42" t="s">
        <v>631</v>
      </c>
      <c r="G1157" s="3" t="s">
        <v>1689</v>
      </c>
      <c r="H1157" s="6">
        <v>0</v>
      </c>
      <c r="I1157" s="41">
        <f>VLOOKUP(Tabla1[[#This Row],[PAGO DIA]],DIAS!A:B,2,0)</f>
        <v>46080</v>
      </c>
      <c r="J1157" s="6">
        <v>0</v>
      </c>
      <c r="K1157" s="43">
        <f>VLOOKUP(Tabla1[[#This Row],[PAGO DIA]],DIAS!A:C,3,0)</f>
        <v>46112</v>
      </c>
      <c r="L1157" s="6">
        <v>0</v>
      </c>
      <c r="M1157" s="41">
        <f>VLOOKUP(Tabla1[[#This Row],[PAGO DIA]],DIAS!A:D,4,0)</f>
        <v>46142</v>
      </c>
      <c r="N1157" s="6">
        <v>0</v>
      </c>
      <c r="O1157" s="43">
        <f>VLOOKUP(Tabla1[[#This Row],[PAGO DIA]],DIAS!A:E,5,0)</f>
        <v>46171</v>
      </c>
      <c r="P1157" s="6">
        <v>0</v>
      </c>
      <c r="Q1157" s="43">
        <f>VLOOKUP(Tabla1[[#This Row],[PAGO DIA]],DIAS!A:F,6,0)</f>
        <v>46203</v>
      </c>
      <c r="R1157" s="6">
        <v>0</v>
      </c>
      <c r="S1157" s="43">
        <f>VLOOKUP(Tabla1[[#This Row],[PAGO DIA]],DIAS!A:G,7,0)</f>
        <v>46234</v>
      </c>
      <c r="T1157" s="6">
        <v>0</v>
      </c>
      <c r="U1157" s="43">
        <f>VLOOKUP(Tabla1[[#This Row],[PAGO DIA]],DIAS!A:H,8,0)</f>
        <v>46265</v>
      </c>
      <c r="V1157" s="6">
        <v>0</v>
      </c>
      <c r="W1157" s="43">
        <f>VLOOKUP(Tabla1[[#This Row],[PAGO DIA]],DIAS!A:I,9,0)</f>
        <v>46295</v>
      </c>
      <c r="X1157" s="6">
        <v>0</v>
      </c>
      <c r="Y1157" s="43">
        <f>VLOOKUP(Tabla1[[#This Row],[PAGO DIA]],DIAS!A:J,10,0)</f>
        <v>46325</v>
      </c>
      <c r="Z1157" s="6">
        <v>0</v>
      </c>
      <c r="AA1157" s="43">
        <f>VLOOKUP(Tabla1[[#This Row],[PAGO DIA]],DIAS!A:K,11,0)</f>
        <v>46356</v>
      </c>
      <c r="AB1157" s="6">
        <v>0</v>
      </c>
      <c r="AC1157" s="43">
        <f>VLOOKUP(Tabla1[[#This Row],[PAGO DIA]],DIAS!A:M,12,0)</f>
        <v>46386</v>
      </c>
      <c r="AD11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8" spans="1:30">
      <c r="A1158" s="3">
        <v>11872</v>
      </c>
      <c r="B1158" s="3" t="s">
        <v>538</v>
      </c>
      <c r="C1158" s="3" t="s">
        <v>540</v>
      </c>
      <c r="D1158" s="3" t="s">
        <v>540</v>
      </c>
      <c r="E1158" s="3" t="s">
        <v>1684</v>
      </c>
      <c r="F1158" s="42" t="s">
        <v>631</v>
      </c>
      <c r="G1158" s="3" t="s">
        <v>1690</v>
      </c>
      <c r="H1158" s="6">
        <v>0</v>
      </c>
      <c r="I1158" s="41">
        <f>VLOOKUP(Tabla1[[#This Row],[PAGO DIA]],DIAS!A:B,2,0)</f>
        <v>46080</v>
      </c>
      <c r="J1158" s="6">
        <v>0</v>
      </c>
      <c r="K1158" s="43">
        <f>VLOOKUP(Tabla1[[#This Row],[PAGO DIA]],DIAS!A:C,3,0)</f>
        <v>46112</v>
      </c>
      <c r="L1158" s="6">
        <v>0</v>
      </c>
      <c r="M1158" s="41">
        <f>VLOOKUP(Tabla1[[#This Row],[PAGO DIA]],DIAS!A:D,4,0)</f>
        <v>46142</v>
      </c>
      <c r="N1158" s="6">
        <v>0</v>
      </c>
      <c r="O1158" s="43">
        <f>VLOOKUP(Tabla1[[#This Row],[PAGO DIA]],DIAS!A:E,5,0)</f>
        <v>46171</v>
      </c>
      <c r="P1158" s="6">
        <v>0</v>
      </c>
      <c r="Q1158" s="43">
        <f>VLOOKUP(Tabla1[[#This Row],[PAGO DIA]],DIAS!A:F,6,0)</f>
        <v>46203</v>
      </c>
      <c r="R1158" s="6">
        <v>0</v>
      </c>
      <c r="S1158" s="43">
        <f>VLOOKUP(Tabla1[[#This Row],[PAGO DIA]],DIAS!A:G,7,0)</f>
        <v>46234</v>
      </c>
      <c r="T1158" s="6">
        <v>0</v>
      </c>
      <c r="U1158" s="43">
        <f>VLOOKUP(Tabla1[[#This Row],[PAGO DIA]],DIAS!A:H,8,0)</f>
        <v>46265</v>
      </c>
      <c r="V1158" s="6">
        <v>0</v>
      </c>
      <c r="W1158" s="43">
        <f>VLOOKUP(Tabla1[[#This Row],[PAGO DIA]],DIAS!A:I,9,0)</f>
        <v>46295</v>
      </c>
      <c r="X1158" s="6">
        <v>0</v>
      </c>
      <c r="Y1158" s="43">
        <f>VLOOKUP(Tabla1[[#This Row],[PAGO DIA]],DIAS!A:J,10,0)</f>
        <v>46325</v>
      </c>
      <c r="Z1158" s="6">
        <v>0</v>
      </c>
      <c r="AA1158" s="43">
        <f>VLOOKUP(Tabla1[[#This Row],[PAGO DIA]],DIAS!A:K,11,0)</f>
        <v>46356</v>
      </c>
      <c r="AB1158" s="6">
        <v>0</v>
      </c>
      <c r="AC1158" s="43">
        <f>VLOOKUP(Tabla1[[#This Row],[PAGO DIA]],DIAS!A:M,12,0)</f>
        <v>46386</v>
      </c>
      <c r="AD11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59" spans="1:30">
      <c r="A1159" s="3">
        <v>11873</v>
      </c>
      <c r="B1159" s="3" t="s">
        <v>538</v>
      </c>
      <c r="C1159" s="3" t="s">
        <v>540</v>
      </c>
      <c r="D1159" s="3" t="s">
        <v>540</v>
      </c>
      <c r="E1159" s="3" t="s">
        <v>1684</v>
      </c>
      <c r="F1159" s="42" t="s">
        <v>631</v>
      </c>
      <c r="G1159" s="3" t="s">
        <v>1691</v>
      </c>
      <c r="H1159" s="6">
        <v>0</v>
      </c>
      <c r="I1159" s="41">
        <f>VLOOKUP(Tabla1[[#This Row],[PAGO DIA]],DIAS!A:B,2,0)</f>
        <v>46080</v>
      </c>
      <c r="J1159" s="6">
        <v>0</v>
      </c>
      <c r="K1159" s="43">
        <f>VLOOKUP(Tabla1[[#This Row],[PAGO DIA]],DIAS!A:C,3,0)</f>
        <v>46112</v>
      </c>
      <c r="L1159" s="6">
        <v>0</v>
      </c>
      <c r="M1159" s="41">
        <f>VLOOKUP(Tabla1[[#This Row],[PAGO DIA]],DIAS!A:D,4,0)</f>
        <v>46142</v>
      </c>
      <c r="N1159" s="6">
        <v>0</v>
      </c>
      <c r="O1159" s="43">
        <f>VLOOKUP(Tabla1[[#This Row],[PAGO DIA]],DIAS!A:E,5,0)</f>
        <v>46171</v>
      </c>
      <c r="P1159" s="6">
        <v>0</v>
      </c>
      <c r="Q1159" s="43">
        <f>VLOOKUP(Tabla1[[#This Row],[PAGO DIA]],DIAS!A:F,6,0)</f>
        <v>46203</v>
      </c>
      <c r="R1159" s="6">
        <v>0</v>
      </c>
      <c r="S1159" s="43">
        <f>VLOOKUP(Tabla1[[#This Row],[PAGO DIA]],DIAS!A:G,7,0)</f>
        <v>46234</v>
      </c>
      <c r="T1159" s="6">
        <v>0</v>
      </c>
      <c r="U1159" s="43">
        <f>VLOOKUP(Tabla1[[#This Row],[PAGO DIA]],DIAS!A:H,8,0)</f>
        <v>46265</v>
      </c>
      <c r="V1159" s="6">
        <v>0</v>
      </c>
      <c r="W1159" s="43">
        <f>VLOOKUP(Tabla1[[#This Row],[PAGO DIA]],DIAS!A:I,9,0)</f>
        <v>46295</v>
      </c>
      <c r="X1159" s="6">
        <v>0</v>
      </c>
      <c r="Y1159" s="43">
        <f>VLOOKUP(Tabla1[[#This Row],[PAGO DIA]],DIAS!A:J,10,0)</f>
        <v>46325</v>
      </c>
      <c r="Z1159" s="6">
        <v>0</v>
      </c>
      <c r="AA1159" s="43">
        <f>VLOOKUP(Tabla1[[#This Row],[PAGO DIA]],DIAS!A:K,11,0)</f>
        <v>46356</v>
      </c>
      <c r="AB1159" s="6">
        <v>0</v>
      </c>
      <c r="AC1159" s="43">
        <f>VLOOKUP(Tabla1[[#This Row],[PAGO DIA]],DIAS!A:M,12,0)</f>
        <v>46386</v>
      </c>
      <c r="AD11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0" spans="1:30">
      <c r="A1160" s="3">
        <v>11874</v>
      </c>
      <c r="B1160" s="3" t="s">
        <v>538</v>
      </c>
      <c r="C1160" s="3" t="s">
        <v>540</v>
      </c>
      <c r="D1160" s="3" t="s">
        <v>540</v>
      </c>
      <c r="E1160" s="3" t="s">
        <v>1684</v>
      </c>
      <c r="F1160" s="42" t="s">
        <v>631</v>
      </c>
      <c r="G1160" s="3" t="s">
        <v>1692</v>
      </c>
      <c r="H1160" s="6">
        <v>0</v>
      </c>
      <c r="I1160" s="41">
        <f>VLOOKUP(Tabla1[[#This Row],[PAGO DIA]],DIAS!A:B,2,0)</f>
        <v>46080</v>
      </c>
      <c r="J1160" s="6">
        <v>0</v>
      </c>
      <c r="K1160" s="43">
        <f>VLOOKUP(Tabla1[[#This Row],[PAGO DIA]],DIAS!A:C,3,0)</f>
        <v>46112</v>
      </c>
      <c r="L1160" s="6">
        <v>0</v>
      </c>
      <c r="M1160" s="41">
        <f>VLOOKUP(Tabla1[[#This Row],[PAGO DIA]],DIAS!A:D,4,0)</f>
        <v>46142</v>
      </c>
      <c r="N1160" s="6">
        <v>0</v>
      </c>
      <c r="O1160" s="43">
        <f>VLOOKUP(Tabla1[[#This Row],[PAGO DIA]],DIAS!A:E,5,0)</f>
        <v>46171</v>
      </c>
      <c r="P1160" s="6">
        <v>0</v>
      </c>
      <c r="Q1160" s="43">
        <f>VLOOKUP(Tabla1[[#This Row],[PAGO DIA]],DIAS!A:F,6,0)</f>
        <v>46203</v>
      </c>
      <c r="R1160" s="6">
        <v>0</v>
      </c>
      <c r="S1160" s="43">
        <f>VLOOKUP(Tabla1[[#This Row],[PAGO DIA]],DIAS!A:G,7,0)</f>
        <v>46234</v>
      </c>
      <c r="T1160" s="6">
        <v>0</v>
      </c>
      <c r="U1160" s="43">
        <f>VLOOKUP(Tabla1[[#This Row],[PAGO DIA]],DIAS!A:H,8,0)</f>
        <v>46265</v>
      </c>
      <c r="V1160" s="6">
        <v>0</v>
      </c>
      <c r="W1160" s="43">
        <f>VLOOKUP(Tabla1[[#This Row],[PAGO DIA]],DIAS!A:I,9,0)</f>
        <v>46295</v>
      </c>
      <c r="X1160" s="6">
        <v>0</v>
      </c>
      <c r="Y1160" s="43">
        <f>VLOOKUP(Tabla1[[#This Row],[PAGO DIA]],DIAS!A:J,10,0)</f>
        <v>46325</v>
      </c>
      <c r="Z1160" s="6">
        <v>0</v>
      </c>
      <c r="AA1160" s="43">
        <f>VLOOKUP(Tabla1[[#This Row],[PAGO DIA]],DIAS!A:K,11,0)</f>
        <v>46356</v>
      </c>
      <c r="AB1160" s="6">
        <v>0</v>
      </c>
      <c r="AC1160" s="43">
        <f>VLOOKUP(Tabla1[[#This Row],[PAGO DIA]],DIAS!A:M,12,0)</f>
        <v>46386</v>
      </c>
      <c r="AD11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1" spans="1:30">
      <c r="A1161" s="3">
        <v>11875</v>
      </c>
      <c r="B1161" s="3" t="s">
        <v>538</v>
      </c>
      <c r="C1161" s="3" t="s">
        <v>540</v>
      </c>
      <c r="D1161" s="3" t="s">
        <v>540</v>
      </c>
      <c r="E1161" s="3" t="s">
        <v>1684</v>
      </c>
      <c r="F1161" s="42" t="s">
        <v>631</v>
      </c>
      <c r="G1161" s="3" t="s">
        <v>1693</v>
      </c>
      <c r="H1161" s="6">
        <v>0</v>
      </c>
      <c r="I1161" s="41">
        <f>VLOOKUP(Tabla1[[#This Row],[PAGO DIA]],DIAS!A:B,2,0)</f>
        <v>46080</v>
      </c>
      <c r="J1161" s="6">
        <v>0</v>
      </c>
      <c r="K1161" s="43">
        <f>VLOOKUP(Tabla1[[#This Row],[PAGO DIA]],DIAS!A:C,3,0)</f>
        <v>46112</v>
      </c>
      <c r="L1161" s="6">
        <v>0</v>
      </c>
      <c r="M1161" s="41">
        <f>VLOOKUP(Tabla1[[#This Row],[PAGO DIA]],DIAS!A:D,4,0)</f>
        <v>46142</v>
      </c>
      <c r="N1161" s="6">
        <v>0</v>
      </c>
      <c r="O1161" s="43">
        <f>VLOOKUP(Tabla1[[#This Row],[PAGO DIA]],DIAS!A:E,5,0)</f>
        <v>46171</v>
      </c>
      <c r="P1161" s="6">
        <v>0</v>
      </c>
      <c r="Q1161" s="43">
        <f>VLOOKUP(Tabla1[[#This Row],[PAGO DIA]],DIAS!A:F,6,0)</f>
        <v>46203</v>
      </c>
      <c r="R1161" s="6">
        <v>0</v>
      </c>
      <c r="S1161" s="43">
        <f>VLOOKUP(Tabla1[[#This Row],[PAGO DIA]],DIAS!A:G,7,0)</f>
        <v>46234</v>
      </c>
      <c r="T1161" s="6">
        <v>0</v>
      </c>
      <c r="U1161" s="43">
        <f>VLOOKUP(Tabla1[[#This Row],[PAGO DIA]],DIAS!A:H,8,0)</f>
        <v>46265</v>
      </c>
      <c r="V1161" s="6">
        <v>0</v>
      </c>
      <c r="W1161" s="43">
        <f>VLOOKUP(Tabla1[[#This Row],[PAGO DIA]],DIAS!A:I,9,0)</f>
        <v>46295</v>
      </c>
      <c r="X1161" s="6">
        <v>0</v>
      </c>
      <c r="Y1161" s="43">
        <f>VLOOKUP(Tabla1[[#This Row],[PAGO DIA]],DIAS!A:J,10,0)</f>
        <v>46325</v>
      </c>
      <c r="Z1161" s="6">
        <v>0</v>
      </c>
      <c r="AA1161" s="43">
        <f>VLOOKUP(Tabla1[[#This Row],[PAGO DIA]],DIAS!A:K,11,0)</f>
        <v>46356</v>
      </c>
      <c r="AB1161" s="6">
        <v>0</v>
      </c>
      <c r="AC1161" s="43">
        <f>VLOOKUP(Tabla1[[#This Row],[PAGO DIA]],DIAS!A:M,12,0)</f>
        <v>46386</v>
      </c>
      <c r="AD11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2" spans="1:30">
      <c r="A1162" s="3">
        <v>11876</v>
      </c>
      <c r="B1162" s="3" t="s">
        <v>538</v>
      </c>
      <c r="C1162" s="3" t="s">
        <v>540</v>
      </c>
      <c r="D1162" s="3" t="s">
        <v>540</v>
      </c>
      <c r="E1162" s="3" t="s">
        <v>1684</v>
      </c>
      <c r="F1162" s="42" t="s">
        <v>631</v>
      </c>
      <c r="G1162" s="3" t="s">
        <v>1694</v>
      </c>
      <c r="H1162" s="6">
        <v>0</v>
      </c>
      <c r="I1162" s="41">
        <f>VLOOKUP(Tabla1[[#This Row],[PAGO DIA]],DIAS!A:B,2,0)</f>
        <v>46080</v>
      </c>
      <c r="J1162" s="6">
        <v>0</v>
      </c>
      <c r="K1162" s="43">
        <f>VLOOKUP(Tabla1[[#This Row],[PAGO DIA]],DIAS!A:C,3,0)</f>
        <v>46112</v>
      </c>
      <c r="L1162" s="6">
        <v>0</v>
      </c>
      <c r="M1162" s="41">
        <f>VLOOKUP(Tabla1[[#This Row],[PAGO DIA]],DIAS!A:D,4,0)</f>
        <v>46142</v>
      </c>
      <c r="N1162" s="6">
        <v>0</v>
      </c>
      <c r="O1162" s="43">
        <f>VLOOKUP(Tabla1[[#This Row],[PAGO DIA]],DIAS!A:E,5,0)</f>
        <v>46171</v>
      </c>
      <c r="P1162" s="6">
        <v>0</v>
      </c>
      <c r="Q1162" s="43">
        <f>VLOOKUP(Tabla1[[#This Row],[PAGO DIA]],DIAS!A:F,6,0)</f>
        <v>46203</v>
      </c>
      <c r="R1162" s="6">
        <v>0</v>
      </c>
      <c r="S1162" s="43">
        <f>VLOOKUP(Tabla1[[#This Row],[PAGO DIA]],DIAS!A:G,7,0)</f>
        <v>46234</v>
      </c>
      <c r="T1162" s="6">
        <v>0</v>
      </c>
      <c r="U1162" s="43">
        <f>VLOOKUP(Tabla1[[#This Row],[PAGO DIA]],DIAS!A:H,8,0)</f>
        <v>46265</v>
      </c>
      <c r="V1162" s="6">
        <v>0</v>
      </c>
      <c r="W1162" s="43">
        <f>VLOOKUP(Tabla1[[#This Row],[PAGO DIA]],DIAS!A:I,9,0)</f>
        <v>46295</v>
      </c>
      <c r="X1162" s="6">
        <v>0</v>
      </c>
      <c r="Y1162" s="43">
        <f>VLOOKUP(Tabla1[[#This Row],[PAGO DIA]],DIAS!A:J,10,0)</f>
        <v>46325</v>
      </c>
      <c r="Z1162" s="6">
        <v>0</v>
      </c>
      <c r="AA1162" s="43">
        <f>VLOOKUP(Tabla1[[#This Row],[PAGO DIA]],DIAS!A:K,11,0)</f>
        <v>46356</v>
      </c>
      <c r="AB1162" s="6">
        <v>0</v>
      </c>
      <c r="AC1162" s="43">
        <f>VLOOKUP(Tabla1[[#This Row],[PAGO DIA]],DIAS!A:M,12,0)</f>
        <v>46386</v>
      </c>
      <c r="AD11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3" spans="1:30">
      <c r="A1163" s="3">
        <v>11877</v>
      </c>
      <c r="B1163" s="3" t="s">
        <v>538</v>
      </c>
      <c r="C1163" s="3" t="s">
        <v>540</v>
      </c>
      <c r="D1163" s="3" t="s">
        <v>540</v>
      </c>
      <c r="E1163" s="3" t="s">
        <v>1684</v>
      </c>
      <c r="F1163" s="42" t="s">
        <v>631</v>
      </c>
      <c r="G1163" s="3" t="s">
        <v>1695</v>
      </c>
      <c r="H1163" s="6">
        <v>0</v>
      </c>
      <c r="I1163" s="41">
        <f>VLOOKUP(Tabla1[[#This Row],[PAGO DIA]],DIAS!A:B,2,0)</f>
        <v>46080</v>
      </c>
      <c r="J1163" s="6">
        <v>0</v>
      </c>
      <c r="K1163" s="43">
        <f>VLOOKUP(Tabla1[[#This Row],[PAGO DIA]],DIAS!A:C,3,0)</f>
        <v>46112</v>
      </c>
      <c r="L1163" s="6">
        <v>0</v>
      </c>
      <c r="M1163" s="41">
        <f>VLOOKUP(Tabla1[[#This Row],[PAGO DIA]],DIAS!A:D,4,0)</f>
        <v>46142</v>
      </c>
      <c r="N1163" s="6">
        <v>0</v>
      </c>
      <c r="O1163" s="43">
        <f>VLOOKUP(Tabla1[[#This Row],[PAGO DIA]],DIAS!A:E,5,0)</f>
        <v>46171</v>
      </c>
      <c r="P1163" s="6">
        <v>0</v>
      </c>
      <c r="Q1163" s="43">
        <f>VLOOKUP(Tabla1[[#This Row],[PAGO DIA]],DIAS!A:F,6,0)</f>
        <v>46203</v>
      </c>
      <c r="R1163" s="6">
        <v>0</v>
      </c>
      <c r="S1163" s="43">
        <f>VLOOKUP(Tabla1[[#This Row],[PAGO DIA]],DIAS!A:G,7,0)</f>
        <v>46234</v>
      </c>
      <c r="T1163" s="6">
        <v>0</v>
      </c>
      <c r="U1163" s="43">
        <f>VLOOKUP(Tabla1[[#This Row],[PAGO DIA]],DIAS!A:H,8,0)</f>
        <v>46265</v>
      </c>
      <c r="V1163" s="6">
        <v>0</v>
      </c>
      <c r="W1163" s="43">
        <f>VLOOKUP(Tabla1[[#This Row],[PAGO DIA]],DIAS!A:I,9,0)</f>
        <v>46295</v>
      </c>
      <c r="X1163" s="6">
        <v>0</v>
      </c>
      <c r="Y1163" s="43">
        <f>VLOOKUP(Tabla1[[#This Row],[PAGO DIA]],DIAS!A:J,10,0)</f>
        <v>46325</v>
      </c>
      <c r="Z1163" s="6">
        <v>0</v>
      </c>
      <c r="AA1163" s="43">
        <f>VLOOKUP(Tabla1[[#This Row],[PAGO DIA]],DIAS!A:K,11,0)</f>
        <v>46356</v>
      </c>
      <c r="AB1163" s="6">
        <v>0</v>
      </c>
      <c r="AC1163" s="43">
        <f>VLOOKUP(Tabla1[[#This Row],[PAGO DIA]],DIAS!A:M,12,0)</f>
        <v>46386</v>
      </c>
      <c r="AD11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4" spans="1:30">
      <c r="A1164" s="3">
        <v>11878</v>
      </c>
      <c r="B1164" s="3" t="s">
        <v>538</v>
      </c>
      <c r="C1164" s="3" t="s">
        <v>540</v>
      </c>
      <c r="D1164" s="3" t="s">
        <v>540</v>
      </c>
      <c r="E1164" s="3" t="s">
        <v>1684</v>
      </c>
      <c r="F1164" s="42" t="s">
        <v>631</v>
      </c>
      <c r="G1164" s="3" t="s">
        <v>1696</v>
      </c>
      <c r="H1164" s="6">
        <v>0</v>
      </c>
      <c r="I1164" s="41">
        <f>VLOOKUP(Tabla1[[#This Row],[PAGO DIA]],DIAS!A:B,2,0)</f>
        <v>46080</v>
      </c>
      <c r="J1164" s="6">
        <v>0</v>
      </c>
      <c r="K1164" s="43">
        <f>VLOOKUP(Tabla1[[#This Row],[PAGO DIA]],DIAS!A:C,3,0)</f>
        <v>46112</v>
      </c>
      <c r="L1164" s="6">
        <v>0</v>
      </c>
      <c r="M1164" s="41">
        <f>VLOOKUP(Tabla1[[#This Row],[PAGO DIA]],DIAS!A:D,4,0)</f>
        <v>46142</v>
      </c>
      <c r="N1164" s="6">
        <v>0</v>
      </c>
      <c r="O1164" s="43">
        <f>VLOOKUP(Tabla1[[#This Row],[PAGO DIA]],DIAS!A:E,5,0)</f>
        <v>46171</v>
      </c>
      <c r="P1164" s="6">
        <v>0</v>
      </c>
      <c r="Q1164" s="43">
        <f>VLOOKUP(Tabla1[[#This Row],[PAGO DIA]],DIAS!A:F,6,0)</f>
        <v>46203</v>
      </c>
      <c r="R1164" s="6">
        <v>0</v>
      </c>
      <c r="S1164" s="43">
        <f>VLOOKUP(Tabla1[[#This Row],[PAGO DIA]],DIAS!A:G,7,0)</f>
        <v>46234</v>
      </c>
      <c r="T1164" s="6">
        <v>0</v>
      </c>
      <c r="U1164" s="43">
        <f>VLOOKUP(Tabla1[[#This Row],[PAGO DIA]],DIAS!A:H,8,0)</f>
        <v>46265</v>
      </c>
      <c r="V1164" s="6">
        <v>0</v>
      </c>
      <c r="W1164" s="43">
        <f>VLOOKUP(Tabla1[[#This Row],[PAGO DIA]],DIAS!A:I,9,0)</f>
        <v>46295</v>
      </c>
      <c r="X1164" s="6">
        <v>0</v>
      </c>
      <c r="Y1164" s="43">
        <f>VLOOKUP(Tabla1[[#This Row],[PAGO DIA]],DIAS!A:J,10,0)</f>
        <v>46325</v>
      </c>
      <c r="Z1164" s="6">
        <v>0</v>
      </c>
      <c r="AA1164" s="43">
        <f>VLOOKUP(Tabla1[[#This Row],[PAGO DIA]],DIAS!A:K,11,0)</f>
        <v>46356</v>
      </c>
      <c r="AB1164" s="6">
        <v>0</v>
      </c>
      <c r="AC1164" s="43">
        <f>VLOOKUP(Tabla1[[#This Row],[PAGO DIA]],DIAS!A:M,12,0)</f>
        <v>46386</v>
      </c>
      <c r="AD11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5" spans="1:30">
      <c r="A1165" s="3">
        <v>11085</v>
      </c>
      <c r="B1165" s="3" t="s">
        <v>538</v>
      </c>
      <c r="C1165" s="3" t="s">
        <v>539</v>
      </c>
      <c r="D1165" s="3" t="s">
        <v>540</v>
      </c>
      <c r="E1165" s="3" t="s">
        <v>1697</v>
      </c>
      <c r="F1165" s="42" t="s">
        <v>631</v>
      </c>
      <c r="G1165" s="3"/>
      <c r="H1165" s="6">
        <v>0</v>
      </c>
      <c r="I1165" s="41">
        <f>VLOOKUP(Tabla1[[#This Row],[PAGO DIA]],DIAS!A:B,2,0)</f>
        <v>46080</v>
      </c>
      <c r="J1165" s="6">
        <v>0</v>
      </c>
      <c r="K1165" s="43">
        <f>VLOOKUP(Tabla1[[#This Row],[PAGO DIA]],DIAS!A:C,3,0)</f>
        <v>46112</v>
      </c>
      <c r="L1165" s="6">
        <v>0</v>
      </c>
      <c r="M1165" s="41">
        <f>VLOOKUP(Tabla1[[#This Row],[PAGO DIA]],DIAS!A:D,4,0)</f>
        <v>46142</v>
      </c>
      <c r="N1165" s="6">
        <v>0</v>
      </c>
      <c r="O1165" s="43">
        <f>VLOOKUP(Tabla1[[#This Row],[PAGO DIA]],DIAS!A:E,5,0)</f>
        <v>46171</v>
      </c>
      <c r="P1165" s="6">
        <v>0</v>
      </c>
      <c r="Q1165" s="43">
        <f>VLOOKUP(Tabla1[[#This Row],[PAGO DIA]],DIAS!A:F,6,0)</f>
        <v>46203</v>
      </c>
      <c r="R1165" s="6">
        <v>0</v>
      </c>
      <c r="S1165" s="43">
        <f>VLOOKUP(Tabla1[[#This Row],[PAGO DIA]],DIAS!A:G,7,0)</f>
        <v>46234</v>
      </c>
      <c r="T1165" s="6">
        <v>0</v>
      </c>
      <c r="U1165" s="43">
        <f>VLOOKUP(Tabla1[[#This Row],[PAGO DIA]],DIAS!A:H,8,0)</f>
        <v>46265</v>
      </c>
      <c r="V1165" s="6">
        <v>0</v>
      </c>
      <c r="W1165" s="43">
        <f>VLOOKUP(Tabla1[[#This Row],[PAGO DIA]],DIAS!A:I,9,0)</f>
        <v>46295</v>
      </c>
      <c r="X1165" s="6">
        <v>0</v>
      </c>
      <c r="Y1165" s="43">
        <f>VLOOKUP(Tabla1[[#This Row],[PAGO DIA]],DIAS!A:J,10,0)</f>
        <v>46325</v>
      </c>
      <c r="Z1165" s="6">
        <v>0</v>
      </c>
      <c r="AA1165" s="43">
        <f>VLOOKUP(Tabla1[[#This Row],[PAGO DIA]],DIAS!A:K,11,0)</f>
        <v>46356</v>
      </c>
      <c r="AB1165" s="6">
        <v>0</v>
      </c>
      <c r="AC1165" s="43">
        <f>VLOOKUP(Tabla1[[#This Row],[PAGO DIA]],DIAS!A:M,12,0)</f>
        <v>46386</v>
      </c>
      <c r="AD11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6" spans="1:30">
      <c r="A1166" s="3">
        <v>11364</v>
      </c>
      <c r="B1166" s="3" t="s">
        <v>538</v>
      </c>
      <c r="C1166" s="3" t="s">
        <v>539</v>
      </c>
      <c r="D1166" s="3" t="s">
        <v>540</v>
      </c>
      <c r="E1166" s="3" t="s">
        <v>1697</v>
      </c>
      <c r="F1166" s="42" t="s">
        <v>631</v>
      </c>
      <c r="G1166" s="3"/>
      <c r="H1166" s="6">
        <v>0</v>
      </c>
      <c r="I1166" s="41">
        <f>VLOOKUP(Tabla1[[#This Row],[PAGO DIA]],DIAS!A:B,2,0)</f>
        <v>46080</v>
      </c>
      <c r="J1166" s="6">
        <v>0</v>
      </c>
      <c r="K1166" s="43">
        <f>VLOOKUP(Tabla1[[#This Row],[PAGO DIA]],DIAS!A:C,3,0)</f>
        <v>46112</v>
      </c>
      <c r="L1166" s="6">
        <v>0</v>
      </c>
      <c r="M1166" s="41">
        <f>VLOOKUP(Tabla1[[#This Row],[PAGO DIA]],DIAS!A:D,4,0)</f>
        <v>46142</v>
      </c>
      <c r="N1166" s="6">
        <v>0</v>
      </c>
      <c r="O1166" s="43">
        <f>VLOOKUP(Tabla1[[#This Row],[PAGO DIA]],DIAS!A:E,5,0)</f>
        <v>46171</v>
      </c>
      <c r="P1166" s="6">
        <v>0</v>
      </c>
      <c r="Q1166" s="43">
        <f>VLOOKUP(Tabla1[[#This Row],[PAGO DIA]],DIAS!A:F,6,0)</f>
        <v>46203</v>
      </c>
      <c r="R1166" s="6">
        <v>0</v>
      </c>
      <c r="S1166" s="43">
        <f>VLOOKUP(Tabla1[[#This Row],[PAGO DIA]],DIAS!A:G,7,0)</f>
        <v>46234</v>
      </c>
      <c r="T1166" s="6">
        <v>0</v>
      </c>
      <c r="U1166" s="43">
        <f>VLOOKUP(Tabla1[[#This Row],[PAGO DIA]],DIAS!A:H,8,0)</f>
        <v>46265</v>
      </c>
      <c r="V1166" s="6">
        <v>0</v>
      </c>
      <c r="W1166" s="43">
        <f>VLOOKUP(Tabla1[[#This Row],[PAGO DIA]],DIAS!A:I,9,0)</f>
        <v>46295</v>
      </c>
      <c r="X1166" s="6">
        <v>0</v>
      </c>
      <c r="Y1166" s="43">
        <f>VLOOKUP(Tabla1[[#This Row],[PAGO DIA]],DIAS!A:J,10,0)</f>
        <v>46325</v>
      </c>
      <c r="Z1166" s="6">
        <v>0</v>
      </c>
      <c r="AA1166" s="43">
        <f>VLOOKUP(Tabla1[[#This Row],[PAGO DIA]],DIAS!A:K,11,0)</f>
        <v>46356</v>
      </c>
      <c r="AB1166" s="6">
        <v>0</v>
      </c>
      <c r="AC1166" s="43">
        <f>VLOOKUP(Tabla1[[#This Row],[PAGO DIA]],DIAS!A:M,12,0)</f>
        <v>46386</v>
      </c>
      <c r="AD11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7" spans="1:30">
      <c r="A1167" s="3">
        <v>11372</v>
      </c>
      <c r="B1167" s="3" t="s">
        <v>538</v>
      </c>
      <c r="C1167" s="3" t="s">
        <v>539</v>
      </c>
      <c r="D1167" s="3" t="s">
        <v>540</v>
      </c>
      <c r="E1167" s="3" t="s">
        <v>1697</v>
      </c>
      <c r="F1167" s="42" t="s">
        <v>631</v>
      </c>
      <c r="G1167" s="3"/>
      <c r="H1167" s="6">
        <v>0</v>
      </c>
      <c r="I1167" s="41">
        <f>VLOOKUP(Tabla1[[#This Row],[PAGO DIA]],DIAS!A:B,2,0)</f>
        <v>46080</v>
      </c>
      <c r="J1167" s="6">
        <v>0</v>
      </c>
      <c r="K1167" s="43">
        <f>VLOOKUP(Tabla1[[#This Row],[PAGO DIA]],DIAS!A:C,3,0)</f>
        <v>46112</v>
      </c>
      <c r="L1167" s="6">
        <v>0</v>
      </c>
      <c r="M1167" s="41">
        <f>VLOOKUP(Tabla1[[#This Row],[PAGO DIA]],DIAS!A:D,4,0)</f>
        <v>46142</v>
      </c>
      <c r="N1167" s="6">
        <v>0</v>
      </c>
      <c r="O1167" s="43">
        <f>VLOOKUP(Tabla1[[#This Row],[PAGO DIA]],DIAS!A:E,5,0)</f>
        <v>46171</v>
      </c>
      <c r="P1167" s="6">
        <v>0</v>
      </c>
      <c r="Q1167" s="43">
        <f>VLOOKUP(Tabla1[[#This Row],[PAGO DIA]],DIAS!A:F,6,0)</f>
        <v>46203</v>
      </c>
      <c r="R1167" s="6">
        <v>0</v>
      </c>
      <c r="S1167" s="43">
        <f>VLOOKUP(Tabla1[[#This Row],[PAGO DIA]],DIAS!A:G,7,0)</f>
        <v>46234</v>
      </c>
      <c r="T1167" s="6">
        <v>0</v>
      </c>
      <c r="U1167" s="43">
        <f>VLOOKUP(Tabla1[[#This Row],[PAGO DIA]],DIAS!A:H,8,0)</f>
        <v>46265</v>
      </c>
      <c r="V1167" s="6">
        <v>0</v>
      </c>
      <c r="W1167" s="43">
        <f>VLOOKUP(Tabla1[[#This Row],[PAGO DIA]],DIAS!A:I,9,0)</f>
        <v>46295</v>
      </c>
      <c r="X1167" s="6">
        <v>0</v>
      </c>
      <c r="Y1167" s="43">
        <f>VLOOKUP(Tabla1[[#This Row],[PAGO DIA]],DIAS!A:J,10,0)</f>
        <v>46325</v>
      </c>
      <c r="Z1167" s="6">
        <v>0</v>
      </c>
      <c r="AA1167" s="43">
        <f>VLOOKUP(Tabla1[[#This Row],[PAGO DIA]],DIAS!A:K,11,0)</f>
        <v>46356</v>
      </c>
      <c r="AB1167" s="6">
        <v>0</v>
      </c>
      <c r="AC1167" s="43">
        <f>VLOOKUP(Tabla1[[#This Row],[PAGO DIA]],DIAS!A:M,12,0)</f>
        <v>46386</v>
      </c>
      <c r="AD11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8" spans="1:30">
      <c r="A1168" s="3">
        <v>11204</v>
      </c>
      <c r="B1168" s="3" t="s">
        <v>538</v>
      </c>
      <c r="C1168" s="3" t="s">
        <v>540</v>
      </c>
      <c r="D1168" s="3" t="s">
        <v>1698</v>
      </c>
      <c r="E1168" s="3" t="s">
        <v>1699</v>
      </c>
      <c r="F1168" s="42" t="s">
        <v>631</v>
      </c>
      <c r="G1168" s="3" t="s">
        <v>1700</v>
      </c>
      <c r="H1168" s="6">
        <v>0</v>
      </c>
      <c r="I1168" s="41">
        <f>VLOOKUP(Tabla1[[#This Row],[PAGO DIA]],DIAS!A:B,2,0)</f>
        <v>46080</v>
      </c>
      <c r="J1168" s="6">
        <v>0</v>
      </c>
      <c r="K1168" s="43">
        <f>VLOOKUP(Tabla1[[#This Row],[PAGO DIA]],DIAS!A:C,3,0)</f>
        <v>46112</v>
      </c>
      <c r="L1168" s="6">
        <v>0</v>
      </c>
      <c r="M1168" s="41">
        <f>VLOOKUP(Tabla1[[#This Row],[PAGO DIA]],DIAS!A:D,4,0)</f>
        <v>46142</v>
      </c>
      <c r="N1168" s="6">
        <v>0</v>
      </c>
      <c r="O1168" s="43">
        <f>VLOOKUP(Tabla1[[#This Row],[PAGO DIA]],DIAS!A:E,5,0)</f>
        <v>46171</v>
      </c>
      <c r="P1168" s="6">
        <v>0</v>
      </c>
      <c r="Q1168" s="43">
        <f>VLOOKUP(Tabla1[[#This Row],[PAGO DIA]],DIAS!A:F,6,0)</f>
        <v>46203</v>
      </c>
      <c r="R1168" s="6">
        <v>0</v>
      </c>
      <c r="S1168" s="43">
        <f>VLOOKUP(Tabla1[[#This Row],[PAGO DIA]],DIAS!A:G,7,0)</f>
        <v>46234</v>
      </c>
      <c r="T1168" s="6">
        <v>0</v>
      </c>
      <c r="U1168" s="43">
        <f>VLOOKUP(Tabla1[[#This Row],[PAGO DIA]],DIAS!A:H,8,0)</f>
        <v>46265</v>
      </c>
      <c r="V1168" s="6">
        <v>0</v>
      </c>
      <c r="W1168" s="43">
        <f>VLOOKUP(Tabla1[[#This Row],[PAGO DIA]],DIAS!A:I,9,0)</f>
        <v>46295</v>
      </c>
      <c r="X1168" s="6">
        <v>0</v>
      </c>
      <c r="Y1168" s="43">
        <f>VLOOKUP(Tabla1[[#This Row],[PAGO DIA]],DIAS!A:J,10,0)</f>
        <v>46325</v>
      </c>
      <c r="Z1168" s="6">
        <v>0</v>
      </c>
      <c r="AA1168" s="43">
        <f>VLOOKUP(Tabla1[[#This Row],[PAGO DIA]],DIAS!A:K,11,0)</f>
        <v>46356</v>
      </c>
      <c r="AB1168" s="6">
        <v>0</v>
      </c>
      <c r="AC1168" s="43">
        <f>VLOOKUP(Tabla1[[#This Row],[PAGO DIA]],DIAS!A:M,12,0)</f>
        <v>46386</v>
      </c>
      <c r="AD11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69" spans="1:30">
      <c r="A1169" s="3">
        <v>11884</v>
      </c>
      <c r="B1169" s="3" t="s">
        <v>538</v>
      </c>
      <c r="C1169" s="3" t="s">
        <v>540</v>
      </c>
      <c r="D1169" s="3" t="s">
        <v>1698</v>
      </c>
      <c r="E1169" s="3" t="s">
        <v>1699</v>
      </c>
      <c r="F1169" s="42" t="s">
        <v>631</v>
      </c>
      <c r="G1169" s="3" t="s">
        <v>1700</v>
      </c>
      <c r="H1169" s="6">
        <v>0</v>
      </c>
      <c r="I1169" s="41">
        <f>VLOOKUP(Tabla1[[#This Row],[PAGO DIA]],DIAS!A:B,2,0)</f>
        <v>46080</v>
      </c>
      <c r="J1169" s="6">
        <v>0</v>
      </c>
      <c r="K1169" s="43">
        <f>VLOOKUP(Tabla1[[#This Row],[PAGO DIA]],DIAS!A:C,3,0)</f>
        <v>46112</v>
      </c>
      <c r="L1169" s="6">
        <v>0</v>
      </c>
      <c r="M1169" s="41">
        <f>VLOOKUP(Tabla1[[#This Row],[PAGO DIA]],DIAS!A:D,4,0)</f>
        <v>46142</v>
      </c>
      <c r="N1169" s="6">
        <v>0</v>
      </c>
      <c r="O1169" s="43">
        <f>VLOOKUP(Tabla1[[#This Row],[PAGO DIA]],DIAS!A:E,5,0)</f>
        <v>46171</v>
      </c>
      <c r="P1169" s="6">
        <v>0</v>
      </c>
      <c r="Q1169" s="43">
        <f>VLOOKUP(Tabla1[[#This Row],[PAGO DIA]],DIAS!A:F,6,0)</f>
        <v>46203</v>
      </c>
      <c r="R1169" s="6">
        <v>0</v>
      </c>
      <c r="S1169" s="43">
        <f>VLOOKUP(Tabla1[[#This Row],[PAGO DIA]],DIAS!A:G,7,0)</f>
        <v>46234</v>
      </c>
      <c r="T1169" s="6">
        <v>0</v>
      </c>
      <c r="U1169" s="43">
        <f>VLOOKUP(Tabla1[[#This Row],[PAGO DIA]],DIAS!A:H,8,0)</f>
        <v>46265</v>
      </c>
      <c r="V1169" s="6">
        <v>0</v>
      </c>
      <c r="W1169" s="43">
        <f>VLOOKUP(Tabla1[[#This Row],[PAGO DIA]],DIAS!A:I,9,0)</f>
        <v>46295</v>
      </c>
      <c r="X1169" s="6">
        <v>0</v>
      </c>
      <c r="Y1169" s="43">
        <f>VLOOKUP(Tabla1[[#This Row],[PAGO DIA]],DIAS!A:J,10,0)</f>
        <v>46325</v>
      </c>
      <c r="Z1169" s="6">
        <v>0</v>
      </c>
      <c r="AA1169" s="43">
        <f>VLOOKUP(Tabla1[[#This Row],[PAGO DIA]],DIAS!A:K,11,0)</f>
        <v>46356</v>
      </c>
      <c r="AB1169" s="6">
        <v>0</v>
      </c>
      <c r="AC1169" s="43">
        <f>VLOOKUP(Tabla1[[#This Row],[PAGO DIA]],DIAS!A:M,12,0)</f>
        <v>46386</v>
      </c>
      <c r="AD11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0" spans="1:30">
      <c r="A1170" s="3">
        <v>11010</v>
      </c>
      <c r="B1170" s="3" t="s">
        <v>538</v>
      </c>
      <c r="C1170" s="3" t="s">
        <v>539</v>
      </c>
      <c r="D1170" s="3" t="s">
        <v>540</v>
      </c>
      <c r="E1170" s="3" t="s">
        <v>976</v>
      </c>
      <c r="F1170" s="42" t="s">
        <v>631</v>
      </c>
      <c r="G1170" s="3"/>
      <c r="H1170" s="6">
        <v>0</v>
      </c>
      <c r="I1170" s="41">
        <f>VLOOKUP(Tabla1[[#This Row],[PAGO DIA]],DIAS!A:B,2,0)</f>
        <v>46080</v>
      </c>
      <c r="J1170" s="6">
        <v>0</v>
      </c>
      <c r="K1170" s="43">
        <f>VLOOKUP(Tabla1[[#This Row],[PAGO DIA]],DIAS!A:C,3,0)</f>
        <v>46112</v>
      </c>
      <c r="L1170" s="6">
        <v>0</v>
      </c>
      <c r="M1170" s="41">
        <f>VLOOKUP(Tabla1[[#This Row],[PAGO DIA]],DIAS!A:D,4,0)</f>
        <v>46142</v>
      </c>
      <c r="N1170" s="6">
        <v>0</v>
      </c>
      <c r="O1170" s="43">
        <f>VLOOKUP(Tabla1[[#This Row],[PAGO DIA]],DIAS!A:E,5,0)</f>
        <v>46171</v>
      </c>
      <c r="P1170" s="6">
        <v>0</v>
      </c>
      <c r="Q1170" s="43">
        <f>VLOOKUP(Tabla1[[#This Row],[PAGO DIA]],DIAS!A:F,6,0)</f>
        <v>46203</v>
      </c>
      <c r="R1170" s="6">
        <v>0</v>
      </c>
      <c r="S1170" s="43">
        <f>VLOOKUP(Tabla1[[#This Row],[PAGO DIA]],DIAS!A:G,7,0)</f>
        <v>46234</v>
      </c>
      <c r="T1170" s="6">
        <v>0</v>
      </c>
      <c r="U1170" s="43">
        <f>VLOOKUP(Tabla1[[#This Row],[PAGO DIA]],DIAS!A:H,8,0)</f>
        <v>46265</v>
      </c>
      <c r="V1170" s="6">
        <v>0</v>
      </c>
      <c r="W1170" s="43">
        <f>VLOOKUP(Tabla1[[#This Row],[PAGO DIA]],DIAS!A:I,9,0)</f>
        <v>46295</v>
      </c>
      <c r="X1170" s="6">
        <v>0</v>
      </c>
      <c r="Y1170" s="43">
        <f>VLOOKUP(Tabla1[[#This Row],[PAGO DIA]],DIAS!A:J,10,0)</f>
        <v>46325</v>
      </c>
      <c r="Z1170" s="6">
        <v>0</v>
      </c>
      <c r="AA1170" s="43">
        <f>VLOOKUP(Tabla1[[#This Row],[PAGO DIA]],DIAS!A:K,11,0)</f>
        <v>46356</v>
      </c>
      <c r="AB1170" s="6">
        <v>0</v>
      </c>
      <c r="AC1170" s="43">
        <f>VLOOKUP(Tabla1[[#This Row],[PAGO DIA]],DIAS!A:M,12,0)</f>
        <v>46386</v>
      </c>
      <c r="AD11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1" spans="1:30">
      <c r="A1171" s="3">
        <v>11233</v>
      </c>
      <c r="B1171" s="3" t="s">
        <v>538</v>
      </c>
      <c r="C1171" s="3" t="s">
        <v>539</v>
      </c>
      <c r="D1171" s="3" t="s">
        <v>540</v>
      </c>
      <c r="E1171" s="3" t="s">
        <v>976</v>
      </c>
      <c r="F1171" s="42" t="s">
        <v>631</v>
      </c>
      <c r="G1171" s="3"/>
      <c r="H1171" s="6">
        <v>0</v>
      </c>
      <c r="I1171" s="41">
        <f>VLOOKUP(Tabla1[[#This Row],[PAGO DIA]],DIAS!A:B,2,0)</f>
        <v>46080</v>
      </c>
      <c r="J1171" s="6">
        <v>0</v>
      </c>
      <c r="K1171" s="43">
        <f>VLOOKUP(Tabla1[[#This Row],[PAGO DIA]],DIAS!A:C,3,0)</f>
        <v>46112</v>
      </c>
      <c r="L1171" s="6">
        <v>0</v>
      </c>
      <c r="M1171" s="41">
        <f>VLOOKUP(Tabla1[[#This Row],[PAGO DIA]],DIAS!A:D,4,0)</f>
        <v>46142</v>
      </c>
      <c r="N1171" s="6">
        <v>0</v>
      </c>
      <c r="O1171" s="43">
        <f>VLOOKUP(Tabla1[[#This Row],[PAGO DIA]],DIAS!A:E,5,0)</f>
        <v>46171</v>
      </c>
      <c r="P1171" s="6">
        <v>0</v>
      </c>
      <c r="Q1171" s="43">
        <f>VLOOKUP(Tabla1[[#This Row],[PAGO DIA]],DIAS!A:F,6,0)</f>
        <v>46203</v>
      </c>
      <c r="R1171" s="6">
        <v>0</v>
      </c>
      <c r="S1171" s="43">
        <f>VLOOKUP(Tabla1[[#This Row],[PAGO DIA]],DIAS!A:G,7,0)</f>
        <v>46234</v>
      </c>
      <c r="T1171" s="6">
        <v>0</v>
      </c>
      <c r="U1171" s="43">
        <f>VLOOKUP(Tabla1[[#This Row],[PAGO DIA]],DIAS!A:H,8,0)</f>
        <v>46265</v>
      </c>
      <c r="V1171" s="6">
        <v>0</v>
      </c>
      <c r="W1171" s="43">
        <f>VLOOKUP(Tabla1[[#This Row],[PAGO DIA]],DIAS!A:I,9,0)</f>
        <v>46295</v>
      </c>
      <c r="X1171" s="6">
        <v>0</v>
      </c>
      <c r="Y1171" s="43">
        <f>VLOOKUP(Tabla1[[#This Row],[PAGO DIA]],DIAS!A:J,10,0)</f>
        <v>46325</v>
      </c>
      <c r="Z1171" s="6">
        <v>0</v>
      </c>
      <c r="AA1171" s="43">
        <f>VLOOKUP(Tabla1[[#This Row],[PAGO DIA]],DIAS!A:K,11,0)</f>
        <v>46356</v>
      </c>
      <c r="AB1171" s="6">
        <v>0</v>
      </c>
      <c r="AC1171" s="43">
        <f>VLOOKUP(Tabla1[[#This Row],[PAGO DIA]],DIAS!A:M,12,0)</f>
        <v>46386</v>
      </c>
      <c r="AD11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2" spans="1:30">
      <c r="A1172" s="3">
        <v>11356</v>
      </c>
      <c r="B1172" s="3" t="s">
        <v>538</v>
      </c>
      <c r="C1172" s="3" t="s">
        <v>539</v>
      </c>
      <c r="D1172" s="3" t="s">
        <v>540</v>
      </c>
      <c r="E1172" s="3" t="s">
        <v>976</v>
      </c>
      <c r="F1172" s="42" t="s">
        <v>631</v>
      </c>
      <c r="G1172" s="3"/>
      <c r="H1172" s="6">
        <v>0</v>
      </c>
      <c r="I1172" s="41">
        <f>VLOOKUP(Tabla1[[#This Row],[PAGO DIA]],DIAS!A:B,2,0)</f>
        <v>46080</v>
      </c>
      <c r="J1172" s="6">
        <v>0</v>
      </c>
      <c r="K1172" s="43">
        <f>VLOOKUP(Tabla1[[#This Row],[PAGO DIA]],DIAS!A:C,3,0)</f>
        <v>46112</v>
      </c>
      <c r="L1172" s="6">
        <v>0</v>
      </c>
      <c r="M1172" s="41">
        <f>VLOOKUP(Tabla1[[#This Row],[PAGO DIA]],DIAS!A:D,4,0)</f>
        <v>46142</v>
      </c>
      <c r="N1172" s="6">
        <v>0</v>
      </c>
      <c r="O1172" s="43">
        <f>VLOOKUP(Tabla1[[#This Row],[PAGO DIA]],DIAS!A:E,5,0)</f>
        <v>46171</v>
      </c>
      <c r="P1172" s="6">
        <v>0</v>
      </c>
      <c r="Q1172" s="43">
        <f>VLOOKUP(Tabla1[[#This Row],[PAGO DIA]],DIAS!A:F,6,0)</f>
        <v>46203</v>
      </c>
      <c r="R1172" s="6">
        <v>0</v>
      </c>
      <c r="S1172" s="43">
        <f>VLOOKUP(Tabla1[[#This Row],[PAGO DIA]],DIAS!A:G,7,0)</f>
        <v>46234</v>
      </c>
      <c r="T1172" s="6">
        <v>0</v>
      </c>
      <c r="U1172" s="43">
        <f>VLOOKUP(Tabla1[[#This Row],[PAGO DIA]],DIAS!A:H,8,0)</f>
        <v>46265</v>
      </c>
      <c r="V1172" s="6">
        <v>0</v>
      </c>
      <c r="W1172" s="43">
        <f>VLOOKUP(Tabla1[[#This Row],[PAGO DIA]],DIAS!A:I,9,0)</f>
        <v>46295</v>
      </c>
      <c r="X1172" s="6">
        <v>0</v>
      </c>
      <c r="Y1172" s="43">
        <f>VLOOKUP(Tabla1[[#This Row],[PAGO DIA]],DIAS!A:J,10,0)</f>
        <v>46325</v>
      </c>
      <c r="Z1172" s="6">
        <v>0</v>
      </c>
      <c r="AA1172" s="43">
        <f>VLOOKUP(Tabla1[[#This Row],[PAGO DIA]],DIAS!A:K,11,0)</f>
        <v>46356</v>
      </c>
      <c r="AB1172" s="6">
        <v>0</v>
      </c>
      <c r="AC1172" s="43">
        <f>VLOOKUP(Tabla1[[#This Row],[PAGO DIA]],DIAS!A:M,12,0)</f>
        <v>46386</v>
      </c>
      <c r="AD11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3" spans="1:30">
      <c r="A1173" s="3">
        <v>11359</v>
      </c>
      <c r="B1173" s="3" t="s">
        <v>538</v>
      </c>
      <c r="C1173" s="3" t="s">
        <v>539</v>
      </c>
      <c r="D1173" s="3" t="s">
        <v>540</v>
      </c>
      <c r="E1173" s="3" t="s">
        <v>976</v>
      </c>
      <c r="F1173" s="42" t="s">
        <v>631</v>
      </c>
      <c r="G1173" s="3"/>
      <c r="H1173" s="6">
        <v>0</v>
      </c>
      <c r="I1173" s="41">
        <f>VLOOKUP(Tabla1[[#This Row],[PAGO DIA]],DIAS!A:B,2,0)</f>
        <v>46080</v>
      </c>
      <c r="J1173" s="6">
        <v>0</v>
      </c>
      <c r="K1173" s="43">
        <f>VLOOKUP(Tabla1[[#This Row],[PAGO DIA]],DIAS!A:C,3,0)</f>
        <v>46112</v>
      </c>
      <c r="L1173" s="6">
        <v>0</v>
      </c>
      <c r="M1173" s="41">
        <f>VLOOKUP(Tabla1[[#This Row],[PAGO DIA]],DIAS!A:D,4,0)</f>
        <v>46142</v>
      </c>
      <c r="N1173" s="6">
        <v>0</v>
      </c>
      <c r="O1173" s="43">
        <f>VLOOKUP(Tabla1[[#This Row],[PAGO DIA]],DIAS!A:E,5,0)</f>
        <v>46171</v>
      </c>
      <c r="P1173" s="6">
        <v>0</v>
      </c>
      <c r="Q1173" s="43">
        <f>VLOOKUP(Tabla1[[#This Row],[PAGO DIA]],DIAS!A:F,6,0)</f>
        <v>46203</v>
      </c>
      <c r="R1173" s="6">
        <v>0</v>
      </c>
      <c r="S1173" s="43">
        <f>VLOOKUP(Tabla1[[#This Row],[PAGO DIA]],DIAS!A:G,7,0)</f>
        <v>46234</v>
      </c>
      <c r="T1173" s="6">
        <v>0</v>
      </c>
      <c r="U1173" s="43">
        <f>VLOOKUP(Tabla1[[#This Row],[PAGO DIA]],DIAS!A:H,8,0)</f>
        <v>46265</v>
      </c>
      <c r="V1173" s="6">
        <v>0</v>
      </c>
      <c r="W1173" s="43">
        <f>VLOOKUP(Tabla1[[#This Row],[PAGO DIA]],DIAS!A:I,9,0)</f>
        <v>46295</v>
      </c>
      <c r="X1173" s="6">
        <v>0</v>
      </c>
      <c r="Y1173" s="43">
        <f>VLOOKUP(Tabla1[[#This Row],[PAGO DIA]],DIAS!A:J,10,0)</f>
        <v>46325</v>
      </c>
      <c r="Z1173" s="6">
        <v>0</v>
      </c>
      <c r="AA1173" s="43">
        <f>VLOOKUP(Tabla1[[#This Row],[PAGO DIA]],DIAS!A:K,11,0)</f>
        <v>46356</v>
      </c>
      <c r="AB1173" s="6">
        <v>0</v>
      </c>
      <c r="AC1173" s="43">
        <f>VLOOKUP(Tabla1[[#This Row],[PAGO DIA]],DIAS!A:M,12,0)</f>
        <v>46386</v>
      </c>
      <c r="AD11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4" spans="1:30">
      <c r="A1174" s="3">
        <v>11004</v>
      </c>
      <c r="B1174" s="3" t="s">
        <v>538</v>
      </c>
      <c r="C1174" s="3" t="s">
        <v>539</v>
      </c>
      <c r="D1174" s="3" t="s">
        <v>540</v>
      </c>
      <c r="E1174" s="3" t="s">
        <v>1340</v>
      </c>
      <c r="F1174" s="42" t="s">
        <v>631</v>
      </c>
      <c r="G1174" s="3"/>
      <c r="H1174" s="6">
        <v>0</v>
      </c>
      <c r="I1174" s="41">
        <f>VLOOKUP(Tabla1[[#This Row],[PAGO DIA]],DIAS!A:B,2,0)</f>
        <v>46080</v>
      </c>
      <c r="J1174" s="6">
        <v>0</v>
      </c>
      <c r="K1174" s="43">
        <f>VLOOKUP(Tabla1[[#This Row],[PAGO DIA]],DIAS!A:C,3,0)</f>
        <v>46112</v>
      </c>
      <c r="L1174" s="6">
        <v>0</v>
      </c>
      <c r="M1174" s="41">
        <f>VLOOKUP(Tabla1[[#This Row],[PAGO DIA]],DIAS!A:D,4,0)</f>
        <v>46142</v>
      </c>
      <c r="N1174" s="6">
        <v>0</v>
      </c>
      <c r="O1174" s="43">
        <f>VLOOKUP(Tabla1[[#This Row],[PAGO DIA]],DIAS!A:E,5,0)</f>
        <v>46171</v>
      </c>
      <c r="P1174" s="6">
        <v>0</v>
      </c>
      <c r="Q1174" s="43">
        <f>VLOOKUP(Tabla1[[#This Row],[PAGO DIA]],DIAS!A:F,6,0)</f>
        <v>46203</v>
      </c>
      <c r="R1174" s="6">
        <v>0</v>
      </c>
      <c r="S1174" s="43">
        <f>VLOOKUP(Tabla1[[#This Row],[PAGO DIA]],DIAS!A:G,7,0)</f>
        <v>46234</v>
      </c>
      <c r="T1174" s="6">
        <v>0</v>
      </c>
      <c r="U1174" s="43">
        <f>VLOOKUP(Tabla1[[#This Row],[PAGO DIA]],DIAS!A:H,8,0)</f>
        <v>46265</v>
      </c>
      <c r="V1174" s="6">
        <v>0</v>
      </c>
      <c r="W1174" s="43">
        <f>VLOOKUP(Tabla1[[#This Row],[PAGO DIA]],DIAS!A:I,9,0)</f>
        <v>46295</v>
      </c>
      <c r="X1174" s="6">
        <v>0</v>
      </c>
      <c r="Y1174" s="43">
        <f>VLOOKUP(Tabla1[[#This Row],[PAGO DIA]],DIAS!A:J,10,0)</f>
        <v>46325</v>
      </c>
      <c r="Z1174" s="6">
        <v>0</v>
      </c>
      <c r="AA1174" s="43">
        <f>VLOOKUP(Tabla1[[#This Row],[PAGO DIA]],DIAS!A:K,11,0)</f>
        <v>46356</v>
      </c>
      <c r="AB1174" s="6">
        <v>0</v>
      </c>
      <c r="AC1174" s="43">
        <f>VLOOKUP(Tabla1[[#This Row],[PAGO DIA]],DIAS!A:M,12,0)</f>
        <v>46386</v>
      </c>
      <c r="AD11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5" spans="1:30">
      <c r="A1175" s="3">
        <v>11225</v>
      </c>
      <c r="B1175" s="3" t="s">
        <v>538</v>
      </c>
      <c r="C1175" s="3" t="s">
        <v>539</v>
      </c>
      <c r="D1175" s="3" t="s">
        <v>540</v>
      </c>
      <c r="E1175" s="3" t="s">
        <v>1340</v>
      </c>
      <c r="F1175" s="42" t="s">
        <v>631</v>
      </c>
      <c r="G1175" s="3"/>
      <c r="H1175" s="6">
        <v>0</v>
      </c>
      <c r="I1175" s="41">
        <f>VLOOKUP(Tabla1[[#This Row],[PAGO DIA]],DIAS!A:B,2,0)</f>
        <v>46080</v>
      </c>
      <c r="J1175" s="6">
        <v>0</v>
      </c>
      <c r="K1175" s="43">
        <f>VLOOKUP(Tabla1[[#This Row],[PAGO DIA]],DIAS!A:C,3,0)</f>
        <v>46112</v>
      </c>
      <c r="L1175" s="6">
        <v>0</v>
      </c>
      <c r="M1175" s="41">
        <f>VLOOKUP(Tabla1[[#This Row],[PAGO DIA]],DIAS!A:D,4,0)</f>
        <v>46142</v>
      </c>
      <c r="N1175" s="6">
        <v>0</v>
      </c>
      <c r="O1175" s="43">
        <f>VLOOKUP(Tabla1[[#This Row],[PAGO DIA]],DIAS!A:E,5,0)</f>
        <v>46171</v>
      </c>
      <c r="P1175" s="6">
        <v>0</v>
      </c>
      <c r="Q1175" s="43">
        <f>VLOOKUP(Tabla1[[#This Row],[PAGO DIA]],DIAS!A:F,6,0)</f>
        <v>46203</v>
      </c>
      <c r="R1175" s="6">
        <v>0</v>
      </c>
      <c r="S1175" s="43">
        <f>VLOOKUP(Tabla1[[#This Row],[PAGO DIA]],DIAS!A:G,7,0)</f>
        <v>46234</v>
      </c>
      <c r="T1175" s="6">
        <v>0</v>
      </c>
      <c r="U1175" s="43">
        <f>VLOOKUP(Tabla1[[#This Row],[PAGO DIA]],DIAS!A:H,8,0)</f>
        <v>46265</v>
      </c>
      <c r="V1175" s="6">
        <v>0</v>
      </c>
      <c r="W1175" s="43">
        <f>VLOOKUP(Tabla1[[#This Row],[PAGO DIA]],DIAS!A:I,9,0)</f>
        <v>46295</v>
      </c>
      <c r="X1175" s="6">
        <v>0</v>
      </c>
      <c r="Y1175" s="43">
        <f>VLOOKUP(Tabla1[[#This Row],[PAGO DIA]],DIAS!A:J,10,0)</f>
        <v>46325</v>
      </c>
      <c r="Z1175" s="6">
        <v>0</v>
      </c>
      <c r="AA1175" s="43">
        <f>VLOOKUP(Tabla1[[#This Row],[PAGO DIA]],DIAS!A:K,11,0)</f>
        <v>46356</v>
      </c>
      <c r="AB1175" s="6">
        <v>0</v>
      </c>
      <c r="AC1175" s="43">
        <f>VLOOKUP(Tabla1[[#This Row],[PAGO DIA]],DIAS!A:M,12,0)</f>
        <v>46386</v>
      </c>
      <c r="AD11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6" spans="1:30">
      <c r="A1176" s="3">
        <v>11309</v>
      </c>
      <c r="B1176" s="3" t="s">
        <v>538</v>
      </c>
      <c r="C1176" s="3" t="s">
        <v>539</v>
      </c>
      <c r="D1176" s="3" t="s">
        <v>540</v>
      </c>
      <c r="E1176" s="3" t="s">
        <v>1340</v>
      </c>
      <c r="F1176" s="42" t="s">
        <v>631</v>
      </c>
      <c r="G1176" s="3"/>
      <c r="H1176" s="6">
        <v>0</v>
      </c>
      <c r="I1176" s="41">
        <f>VLOOKUP(Tabla1[[#This Row],[PAGO DIA]],DIAS!A:B,2,0)</f>
        <v>46080</v>
      </c>
      <c r="J1176" s="6">
        <v>0</v>
      </c>
      <c r="K1176" s="43">
        <f>VLOOKUP(Tabla1[[#This Row],[PAGO DIA]],DIAS!A:C,3,0)</f>
        <v>46112</v>
      </c>
      <c r="L1176" s="6">
        <v>0</v>
      </c>
      <c r="M1176" s="41">
        <f>VLOOKUP(Tabla1[[#This Row],[PAGO DIA]],DIAS!A:D,4,0)</f>
        <v>46142</v>
      </c>
      <c r="N1176" s="6">
        <v>0</v>
      </c>
      <c r="O1176" s="43">
        <f>VLOOKUP(Tabla1[[#This Row],[PAGO DIA]],DIAS!A:E,5,0)</f>
        <v>46171</v>
      </c>
      <c r="P1176" s="6">
        <v>0</v>
      </c>
      <c r="Q1176" s="43">
        <f>VLOOKUP(Tabla1[[#This Row],[PAGO DIA]],DIAS!A:F,6,0)</f>
        <v>46203</v>
      </c>
      <c r="R1176" s="6">
        <v>0</v>
      </c>
      <c r="S1176" s="43">
        <f>VLOOKUP(Tabla1[[#This Row],[PAGO DIA]],DIAS!A:G,7,0)</f>
        <v>46234</v>
      </c>
      <c r="T1176" s="6">
        <v>0</v>
      </c>
      <c r="U1176" s="43">
        <f>VLOOKUP(Tabla1[[#This Row],[PAGO DIA]],DIAS!A:H,8,0)</f>
        <v>46265</v>
      </c>
      <c r="V1176" s="6">
        <v>0</v>
      </c>
      <c r="W1176" s="43">
        <f>VLOOKUP(Tabla1[[#This Row],[PAGO DIA]],DIAS!A:I,9,0)</f>
        <v>46295</v>
      </c>
      <c r="X1176" s="6">
        <v>0</v>
      </c>
      <c r="Y1176" s="43">
        <f>VLOOKUP(Tabla1[[#This Row],[PAGO DIA]],DIAS!A:J,10,0)</f>
        <v>46325</v>
      </c>
      <c r="Z1176" s="6">
        <v>0</v>
      </c>
      <c r="AA1176" s="43">
        <f>VLOOKUP(Tabla1[[#This Row],[PAGO DIA]],DIAS!A:K,11,0)</f>
        <v>46356</v>
      </c>
      <c r="AB1176" s="6">
        <v>0</v>
      </c>
      <c r="AC1176" s="43">
        <f>VLOOKUP(Tabla1[[#This Row],[PAGO DIA]],DIAS!A:M,12,0)</f>
        <v>46386</v>
      </c>
      <c r="AD11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7" spans="1:30">
      <c r="A1177" s="3">
        <v>11335</v>
      </c>
      <c r="B1177" s="3" t="s">
        <v>538</v>
      </c>
      <c r="C1177" s="3" t="s">
        <v>539</v>
      </c>
      <c r="D1177" s="3" t="s">
        <v>540</v>
      </c>
      <c r="E1177" s="3" t="s">
        <v>887</v>
      </c>
      <c r="F1177" s="42" t="s">
        <v>631</v>
      </c>
      <c r="G1177" s="3"/>
      <c r="H1177" s="6">
        <v>0</v>
      </c>
      <c r="I1177" s="41">
        <f>VLOOKUP(Tabla1[[#This Row],[PAGO DIA]],DIAS!A:B,2,0)</f>
        <v>46080</v>
      </c>
      <c r="J1177" s="6">
        <v>0</v>
      </c>
      <c r="K1177" s="43">
        <f>VLOOKUP(Tabla1[[#This Row],[PAGO DIA]],DIAS!A:C,3,0)</f>
        <v>46112</v>
      </c>
      <c r="L1177" s="6">
        <v>0</v>
      </c>
      <c r="M1177" s="41">
        <f>VLOOKUP(Tabla1[[#This Row],[PAGO DIA]],DIAS!A:D,4,0)</f>
        <v>46142</v>
      </c>
      <c r="N1177" s="6">
        <v>0</v>
      </c>
      <c r="O1177" s="43">
        <f>VLOOKUP(Tabla1[[#This Row],[PAGO DIA]],DIAS!A:E,5,0)</f>
        <v>46171</v>
      </c>
      <c r="P1177" s="6">
        <v>0</v>
      </c>
      <c r="Q1177" s="43">
        <f>VLOOKUP(Tabla1[[#This Row],[PAGO DIA]],DIAS!A:F,6,0)</f>
        <v>46203</v>
      </c>
      <c r="R1177" s="6">
        <v>0</v>
      </c>
      <c r="S1177" s="43">
        <f>VLOOKUP(Tabla1[[#This Row],[PAGO DIA]],DIAS!A:G,7,0)</f>
        <v>46234</v>
      </c>
      <c r="T1177" s="6">
        <v>0</v>
      </c>
      <c r="U1177" s="43">
        <f>VLOOKUP(Tabla1[[#This Row],[PAGO DIA]],DIAS!A:H,8,0)</f>
        <v>46265</v>
      </c>
      <c r="V1177" s="6">
        <v>0</v>
      </c>
      <c r="W1177" s="43">
        <f>VLOOKUP(Tabla1[[#This Row],[PAGO DIA]],DIAS!A:I,9,0)</f>
        <v>46295</v>
      </c>
      <c r="X1177" s="6">
        <v>0</v>
      </c>
      <c r="Y1177" s="43">
        <f>VLOOKUP(Tabla1[[#This Row],[PAGO DIA]],DIAS!A:J,10,0)</f>
        <v>46325</v>
      </c>
      <c r="Z1177" s="6">
        <v>0</v>
      </c>
      <c r="AA1177" s="43">
        <f>VLOOKUP(Tabla1[[#This Row],[PAGO DIA]],DIAS!A:K,11,0)</f>
        <v>46356</v>
      </c>
      <c r="AB1177" s="6">
        <v>0</v>
      </c>
      <c r="AC1177" s="43">
        <f>VLOOKUP(Tabla1[[#This Row],[PAGO DIA]],DIAS!A:M,12,0)</f>
        <v>46386</v>
      </c>
      <c r="AD11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8" spans="1:30">
      <c r="A1178" s="3">
        <v>11007</v>
      </c>
      <c r="B1178" s="3" t="s">
        <v>538</v>
      </c>
      <c r="C1178" s="3" t="s">
        <v>539</v>
      </c>
      <c r="D1178" s="3" t="s">
        <v>540</v>
      </c>
      <c r="E1178" s="3" t="s">
        <v>1701</v>
      </c>
      <c r="F1178" s="42" t="s">
        <v>631</v>
      </c>
      <c r="G1178" s="3"/>
      <c r="H1178" s="6">
        <v>0</v>
      </c>
      <c r="I1178" s="41">
        <f>VLOOKUP(Tabla1[[#This Row],[PAGO DIA]],DIAS!A:B,2,0)</f>
        <v>46080</v>
      </c>
      <c r="J1178" s="6">
        <v>0</v>
      </c>
      <c r="K1178" s="43">
        <f>VLOOKUP(Tabla1[[#This Row],[PAGO DIA]],DIAS!A:C,3,0)</f>
        <v>46112</v>
      </c>
      <c r="L1178" s="6">
        <v>0</v>
      </c>
      <c r="M1178" s="41">
        <f>VLOOKUP(Tabla1[[#This Row],[PAGO DIA]],DIAS!A:D,4,0)</f>
        <v>46142</v>
      </c>
      <c r="N1178" s="6">
        <v>0</v>
      </c>
      <c r="O1178" s="43">
        <f>VLOOKUP(Tabla1[[#This Row],[PAGO DIA]],DIAS!A:E,5,0)</f>
        <v>46171</v>
      </c>
      <c r="P1178" s="6">
        <v>0</v>
      </c>
      <c r="Q1178" s="43">
        <f>VLOOKUP(Tabla1[[#This Row],[PAGO DIA]],DIAS!A:F,6,0)</f>
        <v>46203</v>
      </c>
      <c r="R1178" s="6">
        <v>0</v>
      </c>
      <c r="S1178" s="43">
        <f>VLOOKUP(Tabla1[[#This Row],[PAGO DIA]],DIAS!A:G,7,0)</f>
        <v>46234</v>
      </c>
      <c r="T1178" s="6">
        <v>0</v>
      </c>
      <c r="U1178" s="43">
        <f>VLOOKUP(Tabla1[[#This Row],[PAGO DIA]],DIAS!A:H,8,0)</f>
        <v>46265</v>
      </c>
      <c r="V1178" s="6">
        <v>0</v>
      </c>
      <c r="W1178" s="43">
        <f>VLOOKUP(Tabla1[[#This Row],[PAGO DIA]],DIAS!A:I,9,0)</f>
        <v>46295</v>
      </c>
      <c r="X1178" s="6">
        <v>0</v>
      </c>
      <c r="Y1178" s="43">
        <f>VLOOKUP(Tabla1[[#This Row],[PAGO DIA]],DIAS!A:J,10,0)</f>
        <v>46325</v>
      </c>
      <c r="Z1178" s="6">
        <v>0</v>
      </c>
      <c r="AA1178" s="43">
        <f>VLOOKUP(Tabla1[[#This Row],[PAGO DIA]],DIAS!A:K,11,0)</f>
        <v>46356</v>
      </c>
      <c r="AB1178" s="6">
        <v>0</v>
      </c>
      <c r="AC1178" s="43">
        <f>VLOOKUP(Tabla1[[#This Row],[PAGO DIA]],DIAS!A:M,12,0)</f>
        <v>46386</v>
      </c>
      <c r="AD11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79" spans="1:30">
      <c r="A1179" s="3">
        <v>11229</v>
      </c>
      <c r="B1179" s="3" t="s">
        <v>538</v>
      </c>
      <c r="C1179" s="3" t="s">
        <v>539</v>
      </c>
      <c r="D1179" s="3" t="s">
        <v>540</v>
      </c>
      <c r="E1179" s="3" t="s">
        <v>1701</v>
      </c>
      <c r="F1179" s="42" t="s">
        <v>631</v>
      </c>
      <c r="G1179" s="3"/>
      <c r="H1179" s="6">
        <v>0</v>
      </c>
      <c r="I1179" s="41">
        <f>VLOOKUP(Tabla1[[#This Row],[PAGO DIA]],DIAS!A:B,2,0)</f>
        <v>46080</v>
      </c>
      <c r="J1179" s="6">
        <v>0</v>
      </c>
      <c r="K1179" s="43">
        <f>VLOOKUP(Tabla1[[#This Row],[PAGO DIA]],DIAS!A:C,3,0)</f>
        <v>46112</v>
      </c>
      <c r="L1179" s="6">
        <v>0</v>
      </c>
      <c r="M1179" s="41">
        <f>VLOOKUP(Tabla1[[#This Row],[PAGO DIA]],DIAS!A:D,4,0)</f>
        <v>46142</v>
      </c>
      <c r="N1179" s="6">
        <v>0</v>
      </c>
      <c r="O1179" s="43">
        <f>VLOOKUP(Tabla1[[#This Row],[PAGO DIA]],DIAS!A:E,5,0)</f>
        <v>46171</v>
      </c>
      <c r="P1179" s="6">
        <v>0</v>
      </c>
      <c r="Q1179" s="43">
        <f>VLOOKUP(Tabla1[[#This Row],[PAGO DIA]],DIAS!A:F,6,0)</f>
        <v>46203</v>
      </c>
      <c r="R1179" s="6">
        <v>0</v>
      </c>
      <c r="S1179" s="43">
        <f>VLOOKUP(Tabla1[[#This Row],[PAGO DIA]],DIAS!A:G,7,0)</f>
        <v>46234</v>
      </c>
      <c r="T1179" s="6">
        <v>0</v>
      </c>
      <c r="U1179" s="43">
        <f>VLOOKUP(Tabla1[[#This Row],[PAGO DIA]],DIAS!A:H,8,0)</f>
        <v>46265</v>
      </c>
      <c r="V1179" s="6">
        <v>0</v>
      </c>
      <c r="W1179" s="43">
        <f>VLOOKUP(Tabla1[[#This Row],[PAGO DIA]],DIAS!A:I,9,0)</f>
        <v>46295</v>
      </c>
      <c r="X1179" s="6">
        <v>0</v>
      </c>
      <c r="Y1179" s="43">
        <f>VLOOKUP(Tabla1[[#This Row],[PAGO DIA]],DIAS!A:J,10,0)</f>
        <v>46325</v>
      </c>
      <c r="Z1179" s="6">
        <v>0</v>
      </c>
      <c r="AA1179" s="43">
        <f>VLOOKUP(Tabla1[[#This Row],[PAGO DIA]],DIAS!A:K,11,0)</f>
        <v>46356</v>
      </c>
      <c r="AB1179" s="6">
        <v>0</v>
      </c>
      <c r="AC1179" s="43">
        <f>VLOOKUP(Tabla1[[#This Row],[PAGO DIA]],DIAS!A:M,12,0)</f>
        <v>46386</v>
      </c>
      <c r="AD11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0" spans="1:30">
      <c r="A1180" s="3">
        <v>11399</v>
      </c>
      <c r="B1180" s="3" t="s">
        <v>538</v>
      </c>
      <c r="C1180" s="3" t="s">
        <v>539</v>
      </c>
      <c r="D1180" s="3" t="s">
        <v>540</v>
      </c>
      <c r="E1180" s="3" t="s">
        <v>1702</v>
      </c>
      <c r="F1180" s="42" t="s">
        <v>631</v>
      </c>
      <c r="G1180" s="3"/>
      <c r="H1180" s="6">
        <v>0</v>
      </c>
      <c r="I1180" s="41">
        <f>VLOOKUP(Tabla1[[#This Row],[PAGO DIA]],DIAS!A:B,2,0)</f>
        <v>46080</v>
      </c>
      <c r="J1180" s="6">
        <v>0</v>
      </c>
      <c r="K1180" s="43">
        <f>VLOOKUP(Tabla1[[#This Row],[PAGO DIA]],DIAS!A:C,3,0)</f>
        <v>46112</v>
      </c>
      <c r="L1180" s="6">
        <v>0</v>
      </c>
      <c r="M1180" s="41">
        <f>VLOOKUP(Tabla1[[#This Row],[PAGO DIA]],DIAS!A:D,4,0)</f>
        <v>46142</v>
      </c>
      <c r="N1180" s="6">
        <v>0</v>
      </c>
      <c r="O1180" s="43">
        <f>VLOOKUP(Tabla1[[#This Row],[PAGO DIA]],DIAS!A:E,5,0)</f>
        <v>46171</v>
      </c>
      <c r="P1180" s="6">
        <v>0</v>
      </c>
      <c r="Q1180" s="43">
        <f>VLOOKUP(Tabla1[[#This Row],[PAGO DIA]],DIAS!A:F,6,0)</f>
        <v>46203</v>
      </c>
      <c r="R1180" s="6">
        <v>0</v>
      </c>
      <c r="S1180" s="43">
        <f>VLOOKUP(Tabla1[[#This Row],[PAGO DIA]],DIAS!A:G,7,0)</f>
        <v>46234</v>
      </c>
      <c r="T1180" s="6">
        <v>0</v>
      </c>
      <c r="U1180" s="43">
        <f>VLOOKUP(Tabla1[[#This Row],[PAGO DIA]],DIAS!A:H,8,0)</f>
        <v>46265</v>
      </c>
      <c r="V1180" s="6">
        <v>0</v>
      </c>
      <c r="W1180" s="43">
        <f>VLOOKUP(Tabla1[[#This Row],[PAGO DIA]],DIAS!A:I,9,0)</f>
        <v>46295</v>
      </c>
      <c r="X1180" s="6">
        <v>0</v>
      </c>
      <c r="Y1180" s="43">
        <f>VLOOKUP(Tabla1[[#This Row],[PAGO DIA]],DIAS!A:J,10,0)</f>
        <v>46325</v>
      </c>
      <c r="Z1180" s="6">
        <v>0</v>
      </c>
      <c r="AA1180" s="43">
        <f>VLOOKUP(Tabla1[[#This Row],[PAGO DIA]],DIAS!A:K,11,0)</f>
        <v>46356</v>
      </c>
      <c r="AB1180" s="6">
        <v>0</v>
      </c>
      <c r="AC1180" s="43">
        <f>VLOOKUP(Tabla1[[#This Row],[PAGO DIA]],DIAS!A:M,12,0)</f>
        <v>46386</v>
      </c>
      <c r="AD11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1" spans="1:30">
      <c r="A1181" s="3">
        <v>11924</v>
      </c>
      <c r="B1181" s="3" t="s">
        <v>538</v>
      </c>
      <c r="C1181" s="3" t="s">
        <v>540</v>
      </c>
      <c r="D1181" s="3" t="s">
        <v>540</v>
      </c>
      <c r="E1181" s="3" t="s">
        <v>1702</v>
      </c>
      <c r="F1181" s="42" t="s">
        <v>631</v>
      </c>
      <c r="G1181" s="3" t="s">
        <v>1703</v>
      </c>
      <c r="H1181" s="6">
        <v>0</v>
      </c>
      <c r="I1181" s="41">
        <f>VLOOKUP(Tabla1[[#This Row],[PAGO DIA]],DIAS!A:B,2,0)</f>
        <v>46080</v>
      </c>
      <c r="J1181" s="6">
        <v>0</v>
      </c>
      <c r="K1181" s="43">
        <f>VLOOKUP(Tabla1[[#This Row],[PAGO DIA]],DIAS!A:C,3,0)</f>
        <v>46112</v>
      </c>
      <c r="L1181" s="6">
        <v>0</v>
      </c>
      <c r="M1181" s="41">
        <f>VLOOKUP(Tabla1[[#This Row],[PAGO DIA]],DIAS!A:D,4,0)</f>
        <v>46142</v>
      </c>
      <c r="N1181" s="6">
        <v>0</v>
      </c>
      <c r="O1181" s="43">
        <f>VLOOKUP(Tabla1[[#This Row],[PAGO DIA]],DIAS!A:E,5,0)</f>
        <v>46171</v>
      </c>
      <c r="P1181" s="6">
        <v>0</v>
      </c>
      <c r="Q1181" s="43">
        <f>VLOOKUP(Tabla1[[#This Row],[PAGO DIA]],DIAS!A:F,6,0)</f>
        <v>46203</v>
      </c>
      <c r="R1181" s="6">
        <v>0</v>
      </c>
      <c r="S1181" s="43">
        <f>VLOOKUP(Tabla1[[#This Row],[PAGO DIA]],DIAS!A:G,7,0)</f>
        <v>46234</v>
      </c>
      <c r="T1181" s="6">
        <v>0</v>
      </c>
      <c r="U1181" s="43">
        <f>VLOOKUP(Tabla1[[#This Row],[PAGO DIA]],DIAS!A:H,8,0)</f>
        <v>46265</v>
      </c>
      <c r="V1181" s="6">
        <v>0</v>
      </c>
      <c r="W1181" s="43">
        <f>VLOOKUP(Tabla1[[#This Row],[PAGO DIA]],DIAS!A:I,9,0)</f>
        <v>46295</v>
      </c>
      <c r="X1181" s="6">
        <v>0</v>
      </c>
      <c r="Y1181" s="43">
        <f>VLOOKUP(Tabla1[[#This Row],[PAGO DIA]],DIAS!A:J,10,0)</f>
        <v>46325</v>
      </c>
      <c r="Z1181" s="6">
        <v>0</v>
      </c>
      <c r="AA1181" s="43">
        <f>VLOOKUP(Tabla1[[#This Row],[PAGO DIA]],DIAS!A:K,11,0)</f>
        <v>46356</v>
      </c>
      <c r="AB1181" s="6">
        <v>0</v>
      </c>
      <c r="AC1181" s="43">
        <f>VLOOKUP(Tabla1[[#This Row],[PAGO DIA]],DIAS!A:M,12,0)</f>
        <v>46386</v>
      </c>
      <c r="AD11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2" spans="1:30">
      <c r="A1182" s="3">
        <v>11925</v>
      </c>
      <c r="B1182" s="3" t="s">
        <v>538</v>
      </c>
      <c r="C1182" s="3" t="s">
        <v>540</v>
      </c>
      <c r="D1182" s="3" t="s">
        <v>540</v>
      </c>
      <c r="E1182" s="3" t="s">
        <v>1702</v>
      </c>
      <c r="F1182" s="42" t="s">
        <v>631</v>
      </c>
      <c r="G1182" s="3" t="s">
        <v>1704</v>
      </c>
      <c r="H1182" s="6">
        <v>0</v>
      </c>
      <c r="I1182" s="41">
        <f>VLOOKUP(Tabla1[[#This Row],[PAGO DIA]],DIAS!A:B,2,0)</f>
        <v>46080</v>
      </c>
      <c r="J1182" s="6">
        <v>0</v>
      </c>
      <c r="K1182" s="43">
        <f>VLOOKUP(Tabla1[[#This Row],[PAGO DIA]],DIAS!A:C,3,0)</f>
        <v>46112</v>
      </c>
      <c r="L1182" s="6">
        <v>0</v>
      </c>
      <c r="M1182" s="41">
        <f>VLOOKUP(Tabla1[[#This Row],[PAGO DIA]],DIAS!A:D,4,0)</f>
        <v>46142</v>
      </c>
      <c r="N1182" s="6">
        <v>0</v>
      </c>
      <c r="O1182" s="43">
        <f>VLOOKUP(Tabla1[[#This Row],[PAGO DIA]],DIAS!A:E,5,0)</f>
        <v>46171</v>
      </c>
      <c r="P1182" s="6">
        <v>0</v>
      </c>
      <c r="Q1182" s="43">
        <f>VLOOKUP(Tabla1[[#This Row],[PAGO DIA]],DIAS!A:F,6,0)</f>
        <v>46203</v>
      </c>
      <c r="R1182" s="6">
        <v>0</v>
      </c>
      <c r="S1182" s="43">
        <f>VLOOKUP(Tabla1[[#This Row],[PAGO DIA]],DIAS!A:G,7,0)</f>
        <v>46234</v>
      </c>
      <c r="T1182" s="6">
        <v>0</v>
      </c>
      <c r="U1182" s="43">
        <f>VLOOKUP(Tabla1[[#This Row],[PAGO DIA]],DIAS!A:H,8,0)</f>
        <v>46265</v>
      </c>
      <c r="V1182" s="6">
        <v>0</v>
      </c>
      <c r="W1182" s="43">
        <f>VLOOKUP(Tabla1[[#This Row],[PAGO DIA]],DIAS!A:I,9,0)</f>
        <v>46295</v>
      </c>
      <c r="X1182" s="6">
        <v>0</v>
      </c>
      <c r="Y1182" s="43">
        <f>VLOOKUP(Tabla1[[#This Row],[PAGO DIA]],DIAS!A:J,10,0)</f>
        <v>46325</v>
      </c>
      <c r="Z1182" s="6">
        <v>0</v>
      </c>
      <c r="AA1182" s="43">
        <f>VLOOKUP(Tabla1[[#This Row],[PAGO DIA]],DIAS!A:K,11,0)</f>
        <v>46356</v>
      </c>
      <c r="AB1182" s="6">
        <v>0</v>
      </c>
      <c r="AC1182" s="43">
        <f>VLOOKUP(Tabla1[[#This Row],[PAGO DIA]],DIAS!A:M,12,0)</f>
        <v>46386</v>
      </c>
      <c r="AD11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3" spans="1:30">
      <c r="A1183" s="3">
        <v>11926</v>
      </c>
      <c r="B1183" s="3" t="s">
        <v>538</v>
      </c>
      <c r="C1183" s="3" t="s">
        <v>540</v>
      </c>
      <c r="D1183" s="3" t="s">
        <v>540</v>
      </c>
      <c r="E1183" s="3" t="s">
        <v>1702</v>
      </c>
      <c r="F1183" s="42" t="s">
        <v>631</v>
      </c>
      <c r="G1183" s="3" t="s">
        <v>1704</v>
      </c>
      <c r="H1183" s="6">
        <v>0</v>
      </c>
      <c r="I1183" s="41">
        <f>VLOOKUP(Tabla1[[#This Row],[PAGO DIA]],DIAS!A:B,2,0)</f>
        <v>46080</v>
      </c>
      <c r="J1183" s="6">
        <v>0</v>
      </c>
      <c r="K1183" s="43">
        <f>VLOOKUP(Tabla1[[#This Row],[PAGO DIA]],DIAS!A:C,3,0)</f>
        <v>46112</v>
      </c>
      <c r="L1183" s="6">
        <v>0</v>
      </c>
      <c r="M1183" s="41">
        <f>VLOOKUP(Tabla1[[#This Row],[PAGO DIA]],DIAS!A:D,4,0)</f>
        <v>46142</v>
      </c>
      <c r="N1183" s="6">
        <v>0</v>
      </c>
      <c r="O1183" s="43">
        <f>VLOOKUP(Tabla1[[#This Row],[PAGO DIA]],DIAS!A:E,5,0)</f>
        <v>46171</v>
      </c>
      <c r="P1183" s="6">
        <v>0</v>
      </c>
      <c r="Q1183" s="43">
        <f>VLOOKUP(Tabla1[[#This Row],[PAGO DIA]],DIAS!A:F,6,0)</f>
        <v>46203</v>
      </c>
      <c r="R1183" s="6">
        <v>0</v>
      </c>
      <c r="S1183" s="43">
        <f>VLOOKUP(Tabla1[[#This Row],[PAGO DIA]],DIAS!A:G,7,0)</f>
        <v>46234</v>
      </c>
      <c r="T1183" s="6">
        <v>0</v>
      </c>
      <c r="U1183" s="43">
        <f>VLOOKUP(Tabla1[[#This Row],[PAGO DIA]],DIAS!A:H,8,0)</f>
        <v>46265</v>
      </c>
      <c r="V1183" s="6">
        <v>0</v>
      </c>
      <c r="W1183" s="43">
        <f>VLOOKUP(Tabla1[[#This Row],[PAGO DIA]],DIAS!A:I,9,0)</f>
        <v>46295</v>
      </c>
      <c r="X1183" s="6">
        <v>0</v>
      </c>
      <c r="Y1183" s="43">
        <f>VLOOKUP(Tabla1[[#This Row],[PAGO DIA]],DIAS!A:J,10,0)</f>
        <v>46325</v>
      </c>
      <c r="Z1183" s="6">
        <v>0</v>
      </c>
      <c r="AA1183" s="43">
        <f>VLOOKUP(Tabla1[[#This Row],[PAGO DIA]],DIAS!A:K,11,0)</f>
        <v>46356</v>
      </c>
      <c r="AB1183" s="6">
        <v>0</v>
      </c>
      <c r="AC1183" s="43">
        <f>VLOOKUP(Tabla1[[#This Row],[PAGO DIA]],DIAS!A:M,12,0)</f>
        <v>46386</v>
      </c>
      <c r="AD11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4" spans="1:30">
      <c r="A1184" s="3">
        <v>11927</v>
      </c>
      <c r="B1184" s="3" t="s">
        <v>538</v>
      </c>
      <c r="C1184" s="3" t="s">
        <v>540</v>
      </c>
      <c r="D1184" s="3" t="s">
        <v>540</v>
      </c>
      <c r="E1184" s="3" t="s">
        <v>1702</v>
      </c>
      <c r="F1184" s="42" t="s">
        <v>631</v>
      </c>
      <c r="G1184" s="3" t="s">
        <v>1704</v>
      </c>
      <c r="H1184" s="6">
        <v>0</v>
      </c>
      <c r="I1184" s="41">
        <f>VLOOKUP(Tabla1[[#This Row],[PAGO DIA]],DIAS!A:B,2,0)</f>
        <v>46080</v>
      </c>
      <c r="J1184" s="6">
        <v>0</v>
      </c>
      <c r="K1184" s="43">
        <f>VLOOKUP(Tabla1[[#This Row],[PAGO DIA]],DIAS!A:C,3,0)</f>
        <v>46112</v>
      </c>
      <c r="L1184" s="6">
        <v>0</v>
      </c>
      <c r="M1184" s="41">
        <f>VLOOKUP(Tabla1[[#This Row],[PAGO DIA]],DIAS!A:D,4,0)</f>
        <v>46142</v>
      </c>
      <c r="N1184" s="6">
        <v>0</v>
      </c>
      <c r="O1184" s="43">
        <f>VLOOKUP(Tabla1[[#This Row],[PAGO DIA]],DIAS!A:E,5,0)</f>
        <v>46171</v>
      </c>
      <c r="P1184" s="6">
        <v>0</v>
      </c>
      <c r="Q1184" s="43">
        <f>VLOOKUP(Tabla1[[#This Row],[PAGO DIA]],DIAS!A:F,6,0)</f>
        <v>46203</v>
      </c>
      <c r="R1184" s="6">
        <v>0</v>
      </c>
      <c r="S1184" s="43">
        <f>VLOOKUP(Tabla1[[#This Row],[PAGO DIA]],DIAS!A:G,7,0)</f>
        <v>46234</v>
      </c>
      <c r="T1184" s="6">
        <v>0</v>
      </c>
      <c r="U1184" s="43">
        <f>VLOOKUP(Tabla1[[#This Row],[PAGO DIA]],DIAS!A:H,8,0)</f>
        <v>46265</v>
      </c>
      <c r="V1184" s="6">
        <v>0</v>
      </c>
      <c r="W1184" s="43">
        <f>VLOOKUP(Tabla1[[#This Row],[PAGO DIA]],DIAS!A:I,9,0)</f>
        <v>46295</v>
      </c>
      <c r="X1184" s="6">
        <v>0</v>
      </c>
      <c r="Y1184" s="43">
        <f>VLOOKUP(Tabla1[[#This Row],[PAGO DIA]],DIAS!A:J,10,0)</f>
        <v>46325</v>
      </c>
      <c r="Z1184" s="6">
        <v>0</v>
      </c>
      <c r="AA1184" s="43">
        <f>VLOOKUP(Tabla1[[#This Row],[PAGO DIA]],DIAS!A:K,11,0)</f>
        <v>46356</v>
      </c>
      <c r="AB1184" s="6">
        <v>0</v>
      </c>
      <c r="AC1184" s="43">
        <f>VLOOKUP(Tabla1[[#This Row],[PAGO DIA]],DIAS!A:M,12,0)</f>
        <v>46386</v>
      </c>
      <c r="AD11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5" spans="1:30">
      <c r="A1185" s="3">
        <v>11928</v>
      </c>
      <c r="B1185" s="3" t="s">
        <v>538</v>
      </c>
      <c r="C1185" s="3" t="s">
        <v>540</v>
      </c>
      <c r="D1185" s="3" t="s">
        <v>540</v>
      </c>
      <c r="E1185" s="3" t="s">
        <v>1702</v>
      </c>
      <c r="F1185" s="42" t="s">
        <v>631</v>
      </c>
      <c r="G1185" s="3" t="s">
        <v>1705</v>
      </c>
      <c r="H1185" s="6">
        <v>0</v>
      </c>
      <c r="I1185" s="41">
        <f>VLOOKUP(Tabla1[[#This Row],[PAGO DIA]],DIAS!A:B,2,0)</f>
        <v>46080</v>
      </c>
      <c r="J1185" s="6">
        <v>0</v>
      </c>
      <c r="K1185" s="43">
        <f>VLOOKUP(Tabla1[[#This Row],[PAGO DIA]],DIAS!A:C,3,0)</f>
        <v>46112</v>
      </c>
      <c r="L1185" s="6">
        <v>0</v>
      </c>
      <c r="M1185" s="41">
        <f>VLOOKUP(Tabla1[[#This Row],[PAGO DIA]],DIAS!A:D,4,0)</f>
        <v>46142</v>
      </c>
      <c r="N1185" s="6">
        <v>0</v>
      </c>
      <c r="O1185" s="43">
        <f>VLOOKUP(Tabla1[[#This Row],[PAGO DIA]],DIAS!A:E,5,0)</f>
        <v>46171</v>
      </c>
      <c r="P1185" s="6">
        <v>0</v>
      </c>
      <c r="Q1185" s="43">
        <f>VLOOKUP(Tabla1[[#This Row],[PAGO DIA]],DIAS!A:F,6,0)</f>
        <v>46203</v>
      </c>
      <c r="R1185" s="6">
        <v>0</v>
      </c>
      <c r="S1185" s="43">
        <f>VLOOKUP(Tabla1[[#This Row],[PAGO DIA]],DIAS!A:G,7,0)</f>
        <v>46234</v>
      </c>
      <c r="T1185" s="6">
        <v>0</v>
      </c>
      <c r="U1185" s="43">
        <f>VLOOKUP(Tabla1[[#This Row],[PAGO DIA]],DIAS!A:H,8,0)</f>
        <v>46265</v>
      </c>
      <c r="V1185" s="6">
        <v>0</v>
      </c>
      <c r="W1185" s="43">
        <f>VLOOKUP(Tabla1[[#This Row],[PAGO DIA]],DIAS!A:I,9,0)</f>
        <v>46295</v>
      </c>
      <c r="X1185" s="6">
        <v>0</v>
      </c>
      <c r="Y1185" s="43">
        <f>VLOOKUP(Tabla1[[#This Row],[PAGO DIA]],DIAS!A:J,10,0)</f>
        <v>46325</v>
      </c>
      <c r="Z1185" s="6">
        <v>0</v>
      </c>
      <c r="AA1185" s="43">
        <f>VLOOKUP(Tabla1[[#This Row],[PAGO DIA]],DIAS!A:K,11,0)</f>
        <v>46356</v>
      </c>
      <c r="AB1185" s="6">
        <v>0</v>
      </c>
      <c r="AC1185" s="43">
        <f>VLOOKUP(Tabla1[[#This Row],[PAGO DIA]],DIAS!A:M,12,0)</f>
        <v>46386</v>
      </c>
      <c r="AD11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6" spans="1:30">
      <c r="A1186" s="3">
        <v>11929</v>
      </c>
      <c r="B1186" s="3" t="s">
        <v>538</v>
      </c>
      <c r="C1186" s="3" t="s">
        <v>540</v>
      </c>
      <c r="D1186" s="3" t="s">
        <v>540</v>
      </c>
      <c r="E1186" s="3" t="s">
        <v>1702</v>
      </c>
      <c r="F1186" s="42" t="s">
        <v>631</v>
      </c>
      <c r="G1186" s="3" t="s">
        <v>1706</v>
      </c>
      <c r="H1186" s="6">
        <v>0</v>
      </c>
      <c r="I1186" s="41">
        <f>VLOOKUP(Tabla1[[#This Row],[PAGO DIA]],DIAS!A:B,2,0)</f>
        <v>46080</v>
      </c>
      <c r="J1186" s="6">
        <v>0</v>
      </c>
      <c r="K1186" s="43">
        <f>VLOOKUP(Tabla1[[#This Row],[PAGO DIA]],DIAS!A:C,3,0)</f>
        <v>46112</v>
      </c>
      <c r="L1186" s="6">
        <v>0</v>
      </c>
      <c r="M1186" s="41">
        <f>VLOOKUP(Tabla1[[#This Row],[PAGO DIA]],DIAS!A:D,4,0)</f>
        <v>46142</v>
      </c>
      <c r="N1186" s="6">
        <v>0</v>
      </c>
      <c r="O1186" s="43">
        <f>VLOOKUP(Tabla1[[#This Row],[PAGO DIA]],DIAS!A:E,5,0)</f>
        <v>46171</v>
      </c>
      <c r="P1186" s="6">
        <v>0</v>
      </c>
      <c r="Q1186" s="43">
        <f>VLOOKUP(Tabla1[[#This Row],[PAGO DIA]],DIAS!A:F,6,0)</f>
        <v>46203</v>
      </c>
      <c r="R1186" s="6">
        <v>0</v>
      </c>
      <c r="S1186" s="43">
        <f>VLOOKUP(Tabla1[[#This Row],[PAGO DIA]],DIAS!A:G,7,0)</f>
        <v>46234</v>
      </c>
      <c r="T1186" s="6">
        <v>0</v>
      </c>
      <c r="U1186" s="43">
        <f>VLOOKUP(Tabla1[[#This Row],[PAGO DIA]],DIAS!A:H,8,0)</f>
        <v>46265</v>
      </c>
      <c r="V1186" s="6">
        <v>0</v>
      </c>
      <c r="W1186" s="43">
        <f>VLOOKUP(Tabla1[[#This Row],[PAGO DIA]],DIAS!A:I,9,0)</f>
        <v>46295</v>
      </c>
      <c r="X1186" s="6">
        <v>0</v>
      </c>
      <c r="Y1186" s="43">
        <f>VLOOKUP(Tabla1[[#This Row],[PAGO DIA]],DIAS!A:J,10,0)</f>
        <v>46325</v>
      </c>
      <c r="Z1186" s="6">
        <v>0</v>
      </c>
      <c r="AA1186" s="43">
        <f>VLOOKUP(Tabla1[[#This Row],[PAGO DIA]],DIAS!A:K,11,0)</f>
        <v>46356</v>
      </c>
      <c r="AB1186" s="6">
        <v>0</v>
      </c>
      <c r="AC1186" s="43">
        <f>VLOOKUP(Tabla1[[#This Row],[PAGO DIA]],DIAS!A:M,12,0)</f>
        <v>46386</v>
      </c>
      <c r="AD11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7" spans="1:30">
      <c r="A1187" s="3">
        <v>11930</v>
      </c>
      <c r="B1187" s="3" t="s">
        <v>538</v>
      </c>
      <c r="C1187" s="3" t="s">
        <v>540</v>
      </c>
      <c r="D1187" s="3" t="s">
        <v>540</v>
      </c>
      <c r="E1187" s="3" t="s">
        <v>1702</v>
      </c>
      <c r="F1187" s="42" t="s">
        <v>631</v>
      </c>
      <c r="G1187" s="3" t="s">
        <v>1703</v>
      </c>
      <c r="H1187" s="6">
        <v>0</v>
      </c>
      <c r="I1187" s="41">
        <f>VLOOKUP(Tabla1[[#This Row],[PAGO DIA]],DIAS!A:B,2,0)</f>
        <v>46080</v>
      </c>
      <c r="J1187" s="6">
        <v>0</v>
      </c>
      <c r="K1187" s="43">
        <f>VLOOKUP(Tabla1[[#This Row],[PAGO DIA]],DIAS!A:C,3,0)</f>
        <v>46112</v>
      </c>
      <c r="L1187" s="6">
        <v>0</v>
      </c>
      <c r="M1187" s="41">
        <f>VLOOKUP(Tabla1[[#This Row],[PAGO DIA]],DIAS!A:D,4,0)</f>
        <v>46142</v>
      </c>
      <c r="N1187" s="6">
        <v>0</v>
      </c>
      <c r="O1187" s="43">
        <f>VLOOKUP(Tabla1[[#This Row],[PAGO DIA]],DIAS!A:E,5,0)</f>
        <v>46171</v>
      </c>
      <c r="P1187" s="6">
        <v>0</v>
      </c>
      <c r="Q1187" s="43">
        <f>VLOOKUP(Tabla1[[#This Row],[PAGO DIA]],DIAS!A:F,6,0)</f>
        <v>46203</v>
      </c>
      <c r="R1187" s="6">
        <v>0</v>
      </c>
      <c r="S1187" s="43">
        <f>VLOOKUP(Tabla1[[#This Row],[PAGO DIA]],DIAS!A:G,7,0)</f>
        <v>46234</v>
      </c>
      <c r="T1187" s="6">
        <v>0</v>
      </c>
      <c r="U1187" s="43">
        <f>VLOOKUP(Tabla1[[#This Row],[PAGO DIA]],DIAS!A:H,8,0)</f>
        <v>46265</v>
      </c>
      <c r="V1187" s="6">
        <v>0</v>
      </c>
      <c r="W1187" s="43">
        <f>VLOOKUP(Tabla1[[#This Row],[PAGO DIA]],DIAS!A:I,9,0)</f>
        <v>46295</v>
      </c>
      <c r="X1187" s="6">
        <v>0</v>
      </c>
      <c r="Y1187" s="43">
        <f>VLOOKUP(Tabla1[[#This Row],[PAGO DIA]],DIAS!A:J,10,0)</f>
        <v>46325</v>
      </c>
      <c r="Z1187" s="6">
        <v>0</v>
      </c>
      <c r="AA1187" s="43">
        <f>VLOOKUP(Tabla1[[#This Row],[PAGO DIA]],DIAS!A:K,11,0)</f>
        <v>46356</v>
      </c>
      <c r="AB1187" s="6">
        <v>0</v>
      </c>
      <c r="AC1187" s="43">
        <f>VLOOKUP(Tabla1[[#This Row],[PAGO DIA]],DIAS!A:M,12,0)</f>
        <v>46386</v>
      </c>
      <c r="AD11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8" spans="1:30">
      <c r="A1188" s="3">
        <v>11931</v>
      </c>
      <c r="B1188" s="3" t="s">
        <v>538</v>
      </c>
      <c r="C1188" s="3" t="s">
        <v>540</v>
      </c>
      <c r="D1188" s="3" t="s">
        <v>540</v>
      </c>
      <c r="E1188" s="3" t="s">
        <v>1702</v>
      </c>
      <c r="F1188" s="42" t="s">
        <v>631</v>
      </c>
      <c r="G1188" s="3" t="s">
        <v>1703</v>
      </c>
      <c r="H1188" s="6">
        <v>0</v>
      </c>
      <c r="I1188" s="41">
        <f>VLOOKUP(Tabla1[[#This Row],[PAGO DIA]],DIAS!A:B,2,0)</f>
        <v>46080</v>
      </c>
      <c r="J1188" s="6">
        <v>0</v>
      </c>
      <c r="K1188" s="43">
        <f>VLOOKUP(Tabla1[[#This Row],[PAGO DIA]],DIAS!A:C,3,0)</f>
        <v>46112</v>
      </c>
      <c r="L1188" s="6">
        <v>0</v>
      </c>
      <c r="M1188" s="41">
        <f>VLOOKUP(Tabla1[[#This Row],[PAGO DIA]],DIAS!A:D,4,0)</f>
        <v>46142</v>
      </c>
      <c r="N1188" s="6">
        <v>0</v>
      </c>
      <c r="O1188" s="43">
        <f>VLOOKUP(Tabla1[[#This Row],[PAGO DIA]],DIAS!A:E,5,0)</f>
        <v>46171</v>
      </c>
      <c r="P1188" s="6">
        <v>0</v>
      </c>
      <c r="Q1188" s="43">
        <f>VLOOKUP(Tabla1[[#This Row],[PAGO DIA]],DIAS!A:F,6,0)</f>
        <v>46203</v>
      </c>
      <c r="R1188" s="6">
        <v>0</v>
      </c>
      <c r="S1188" s="43">
        <f>VLOOKUP(Tabla1[[#This Row],[PAGO DIA]],DIAS!A:G,7,0)</f>
        <v>46234</v>
      </c>
      <c r="T1188" s="6">
        <v>0</v>
      </c>
      <c r="U1188" s="43">
        <f>VLOOKUP(Tabla1[[#This Row],[PAGO DIA]],DIAS!A:H,8,0)</f>
        <v>46265</v>
      </c>
      <c r="V1188" s="6">
        <v>0</v>
      </c>
      <c r="W1188" s="43">
        <f>VLOOKUP(Tabla1[[#This Row],[PAGO DIA]],DIAS!A:I,9,0)</f>
        <v>46295</v>
      </c>
      <c r="X1188" s="6">
        <v>0</v>
      </c>
      <c r="Y1188" s="43">
        <f>VLOOKUP(Tabla1[[#This Row],[PAGO DIA]],DIAS!A:J,10,0)</f>
        <v>46325</v>
      </c>
      <c r="Z1188" s="6">
        <v>0</v>
      </c>
      <c r="AA1188" s="43">
        <f>VLOOKUP(Tabla1[[#This Row],[PAGO DIA]],DIAS!A:K,11,0)</f>
        <v>46356</v>
      </c>
      <c r="AB1188" s="6">
        <v>0</v>
      </c>
      <c r="AC1188" s="43">
        <f>VLOOKUP(Tabla1[[#This Row],[PAGO DIA]],DIAS!A:M,12,0)</f>
        <v>46386</v>
      </c>
      <c r="AD11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89" spans="1:30">
      <c r="A1189" s="3">
        <v>11932</v>
      </c>
      <c r="B1189" s="3" t="s">
        <v>538</v>
      </c>
      <c r="C1189" s="3" t="s">
        <v>540</v>
      </c>
      <c r="D1189" s="3" t="s">
        <v>540</v>
      </c>
      <c r="E1189" s="3" t="s">
        <v>1702</v>
      </c>
      <c r="F1189" s="42" t="s">
        <v>631</v>
      </c>
      <c r="G1189" s="3" t="s">
        <v>1705</v>
      </c>
      <c r="H1189" s="6">
        <v>0</v>
      </c>
      <c r="I1189" s="41">
        <f>VLOOKUP(Tabla1[[#This Row],[PAGO DIA]],DIAS!A:B,2,0)</f>
        <v>46080</v>
      </c>
      <c r="J1189" s="6">
        <v>0</v>
      </c>
      <c r="K1189" s="43">
        <f>VLOOKUP(Tabla1[[#This Row],[PAGO DIA]],DIAS!A:C,3,0)</f>
        <v>46112</v>
      </c>
      <c r="L1189" s="6">
        <v>0</v>
      </c>
      <c r="M1189" s="41">
        <f>VLOOKUP(Tabla1[[#This Row],[PAGO DIA]],DIAS!A:D,4,0)</f>
        <v>46142</v>
      </c>
      <c r="N1189" s="6">
        <v>0</v>
      </c>
      <c r="O1189" s="43">
        <f>VLOOKUP(Tabla1[[#This Row],[PAGO DIA]],DIAS!A:E,5,0)</f>
        <v>46171</v>
      </c>
      <c r="P1189" s="6">
        <v>0</v>
      </c>
      <c r="Q1189" s="43">
        <f>VLOOKUP(Tabla1[[#This Row],[PAGO DIA]],DIAS!A:F,6,0)</f>
        <v>46203</v>
      </c>
      <c r="R1189" s="6">
        <v>0</v>
      </c>
      <c r="S1189" s="43">
        <f>VLOOKUP(Tabla1[[#This Row],[PAGO DIA]],DIAS!A:G,7,0)</f>
        <v>46234</v>
      </c>
      <c r="T1189" s="6">
        <v>0</v>
      </c>
      <c r="U1189" s="43">
        <f>VLOOKUP(Tabla1[[#This Row],[PAGO DIA]],DIAS!A:H,8,0)</f>
        <v>46265</v>
      </c>
      <c r="V1189" s="6">
        <v>0</v>
      </c>
      <c r="W1189" s="43">
        <f>VLOOKUP(Tabla1[[#This Row],[PAGO DIA]],DIAS!A:I,9,0)</f>
        <v>46295</v>
      </c>
      <c r="X1189" s="6">
        <v>0</v>
      </c>
      <c r="Y1189" s="43">
        <f>VLOOKUP(Tabla1[[#This Row],[PAGO DIA]],DIAS!A:J,10,0)</f>
        <v>46325</v>
      </c>
      <c r="Z1189" s="6">
        <v>0</v>
      </c>
      <c r="AA1189" s="43">
        <f>VLOOKUP(Tabla1[[#This Row],[PAGO DIA]],DIAS!A:K,11,0)</f>
        <v>46356</v>
      </c>
      <c r="AB1189" s="6">
        <v>0</v>
      </c>
      <c r="AC1189" s="43">
        <f>VLOOKUP(Tabla1[[#This Row],[PAGO DIA]],DIAS!A:M,12,0)</f>
        <v>46386</v>
      </c>
      <c r="AD11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0" spans="1:30">
      <c r="A1190" s="3">
        <v>11933</v>
      </c>
      <c r="B1190" s="3" t="s">
        <v>538</v>
      </c>
      <c r="C1190" s="3" t="s">
        <v>540</v>
      </c>
      <c r="D1190" s="3" t="s">
        <v>540</v>
      </c>
      <c r="E1190" s="3" t="s">
        <v>1702</v>
      </c>
      <c r="F1190" s="42" t="s">
        <v>631</v>
      </c>
      <c r="G1190" s="3" t="s">
        <v>1704</v>
      </c>
      <c r="H1190" s="6">
        <v>0</v>
      </c>
      <c r="I1190" s="41">
        <f>VLOOKUP(Tabla1[[#This Row],[PAGO DIA]],DIAS!A:B,2,0)</f>
        <v>46080</v>
      </c>
      <c r="J1190" s="6">
        <v>0</v>
      </c>
      <c r="K1190" s="43">
        <f>VLOOKUP(Tabla1[[#This Row],[PAGO DIA]],DIAS!A:C,3,0)</f>
        <v>46112</v>
      </c>
      <c r="L1190" s="6">
        <v>0</v>
      </c>
      <c r="M1190" s="41">
        <f>VLOOKUP(Tabla1[[#This Row],[PAGO DIA]],DIAS!A:D,4,0)</f>
        <v>46142</v>
      </c>
      <c r="N1190" s="6">
        <v>0</v>
      </c>
      <c r="O1190" s="43">
        <f>VLOOKUP(Tabla1[[#This Row],[PAGO DIA]],DIAS!A:E,5,0)</f>
        <v>46171</v>
      </c>
      <c r="P1190" s="6">
        <v>0</v>
      </c>
      <c r="Q1190" s="43">
        <f>VLOOKUP(Tabla1[[#This Row],[PAGO DIA]],DIAS!A:F,6,0)</f>
        <v>46203</v>
      </c>
      <c r="R1190" s="6">
        <v>0</v>
      </c>
      <c r="S1190" s="43">
        <f>VLOOKUP(Tabla1[[#This Row],[PAGO DIA]],DIAS!A:G,7,0)</f>
        <v>46234</v>
      </c>
      <c r="T1190" s="6">
        <v>0</v>
      </c>
      <c r="U1190" s="43">
        <f>VLOOKUP(Tabla1[[#This Row],[PAGO DIA]],DIAS!A:H,8,0)</f>
        <v>46265</v>
      </c>
      <c r="V1190" s="6">
        <v>0</v>
      </c>
      <c r="W1190" s="43">
        <f>VLOOKUP(Tabla1[[#This Row],[PAGO DIA]],DIAS!A:I,9,0)</f>
        <v>46295</v>
      </c>
      <c r="X1190" s="6">
        <v>0</v>
      </c>
      <c r="Y1190" s="43">
        <f>VLOOKUP(Tabla1[[#This Row],[PAGO DIA]],DIAS!A:J,10,0)</f>
        <v>46325</v>
      </c>
      <c r="Z1190" s="6">
        <v>0</v>
      </c>
      <c r="AA1190" s="43">
        <f>VLOOKUP(Tabla1[[#This Row],[PAGO DIA]],DIAS!A:K,11,0)</f>
        <v>46356</v>
      </c>
      <c r="AB1190" s="6">
        <v>0</v>
      </c>
      <c r="AC1190" s="43">
        <f>VLOOKUP(Tabla1[[#This Row],[PAGO DIA]],DIAS!A:M,12,0)</f>
        <v>46386</v>
      </c>
      <c r="AD11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1" spans="1:30">
      <c r="A1191" s="3">
        <v>11934</v>
      </c>
      <c r="B1191" s="3" t="s">
        <v>538</v>
      </c>
      <c r="C1191" s="3" t="s">
        <v>540</v>
      </c>
      <c r="D1191" s="3" t="s">
        <v>540</v>
      </c>
      <c r="E1191" s="3" t="s">
        <v>1702</v>
      </c>
      <c r="F1191" s="42" t="s">
        <v>631</v>
      </c>
      <c r="G1191" s="3" t="s">
        <v>1704</v>
      </c>
      <c r="H1191" s="6">
        <v>0</v>
      </c>
      <c r="I1191" s="41">
        <f>VLOOKUP(Tabla1[[#This Row],[PAGO DIA]],DIAS!A:B,2,0)</f>
        <v>46080</v>
      </c>
      <c r="J1191" s="6">
        <v>0</v>
      </c>
      <c r="K1191" s="43">
        <f>VLOOKUP(Tabla1[[#This Row],[PAGO DIA]],DIAS!A:C,3,0)</f>
        <v>46112</v>
      </c>
      <c r="L1191" s="6">
        <v>0</v>
      </c>
      <c r="M1191" s="41">
        <f>VLOOKUP(Tabla1[[#This Row],[PAGO DIA]],DIAS!A:D,4,0)</f>
        <v>46142</v>
      </c>
      <c r="N1191" s="6">
        <v>0</v>
      </c>
      <c r="O1191" s="43">
        <f>VLOOKUP(Tabla1[[#This Row],[PAGO DIA]],DIAS!A:E,5,0)</f>
        <v>46171</v>
      </c>
      <c r="P1191" s="6">
        <v>0</v>
      </c>
      <c r="Q1191" s="43">
        <f>VLOOKUP(Tabla1[[#This Row],[PAGO DIA]],DIAS!A:F,6,0)</f>
        <v>46203</v>
      </c>
      <c r="R1191" s="6">
        <v>0</v>
      </c>
      <c r="S1191" s="43">
        <f>VLOOKUP(Tabla1[[#This Row],[PAGO DIA]],DIAS!A:G,7,0)</f>
        <v>46234</v>
      </c>
      <c r="T1191" s="6">
        <v>0</v>
      </c>
      <c r="U1191" s="43">
        <f>VLOOKUP(Tabla1[[#This Row],[PAGO DIA]],DIAS!A:H,8,0)</f>
        <v>46265</v>
      </c>
      <c r="V1191" s="6">
        <v>0</v>
      </c>
      <c r="W1191" s="43">
        <f>VLOOKUP(Tabla1[[#This Row],[PAGO DIA]],DIAS!A:I,9,0)</f>
        <v>46295</v>
      </c>
      <c r="X1191" s="6">
        <v>0</v>
      </c>
      <c r="Y1191" s="43">
        <f>VLOOKUP(Tabla1[[#This Row],[PAGO DIA]],DIAS!A:J,10,0)</f>
        <v>46325</v>
      </c>
      <c r="Z1191" s="6">
        <v>0</v>
      </c>
      <c r="AA1191" s="43">
        <f>VLOOKUP(Tabla1[[#This Row],[PAGO DIA]],DIAS!A:K,11,0)</f>
        <v>46356</v>
      </c>
      <c r="AB1191" s="6">
        <v>0</v>
      </c>
      <c r="AC1191" s="43">
        <f>VLOOKUP(Tabla1[[#This Row],[PAGO DIA]],DIAS!A:M,12,0)</f>
        <v>46386</v>
      </c>
      <c r="AD11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2" spans="1:30">
      <c r="A1192" s="3">
        <v>11935</v>
      </c>
      <c r="B1192" s="3" t="s">
        <v>538</v>
      </c>
      <c r="C1192" s="3" t="s">
        <v>540</v>
      </c>
      <c r="D1192" s="3" t="s">
        <v>540</v>
      </c>
      <c r="E1192" s="3" t="s">
        <v>1702</v>
      </c>
      <c r="F1192" s="42" t="s">
        <v>631</v>
      </c>
      <c r="G1192" s="3" t="s">
        <v>1704</v>
      </c>
      <c r="H1192" s="6">
        <v>0</v>
      </c>
      <c r="I1192" s="41">
        <f>VLOOKUP(Tabla1[[#This Row],[PAGO DIA]],DIAS!A:B,2,0)</f>
        <v>46080</v>
      </c>
      <c r="J1192" s="6">
        <v>0</v>
      </c>
      <c r="K1192" s="43">
        <f>VLOOKUP(Tabla1[[#This Row],[PAGO DIA]],DIAS!A:C,3,0)</f>
        <v>46112</v>
      </c>
      <c r="L1192" s="6">
        <v>0</v>
      </c>
      <c r="M1192" s="41">
        <f>VLOOKUP(Tabla1[[#This Row],[PAGO DIA]],DIAS!A:D,4,0)</f>
        <v>46142</v>
      </c>
      <c r="N1192" s="6">
        <v>0</v>
      </c>
      <c r="O1192" s="43">
        <f>VLOOKUP(Tabla1[[#This Row],[PAGO DIA]],DIAS!A:E,5,0)</f>
        <v>46171</v>
      </c>
      <c r="P1192" s="6">
        <v>0</v>
      </c>
      <c r="Q1192" s="43">
        <f>VLOOKUP(Tabla1[[#This Row],[PAGO DIA]],DIAS!A:F,6,0)</f>
        <v>46203</v>
      </c>
      <c r="R1192" s="6">
        <v>0</v>
      </c>
      <c r="S1192" s="43">
        <f>VLOOKUP(Tabla1[[#This Row],[PAGO DIA]],DIAS!A:G,7,0)</f>
        <v>46234</v>
      </c>
      <c r="T1192" s="6">
        <v>0</v>
      </c>
      <c r="U1192" s="43">
        <f>VLOOKUP(Tabla1[[#This Row],[PAGO DIA]],DIAS!A:H,8,0)</f>
        <v>46265</v>
      </c>
      <c r="V1192" s="6">
        <v>0</v>
      </c>
      <c r="W1192" s="43">
        <f>VLOOKUP(Tabla1[[#This Row],[PAGO DIA]],DIAS!A:I,9,0)</f>
        <v>46295</v>
      </c>
      <c r="X1192" s="6">
        <v>0</v>
      </c>
      <c r="Y1192" s="43">
        <f>VLOOKUP(Tabla1[[#This Row],[PAGO DIA]],DIAS!A:J,10,0)</f>
        <v>46325</v>
      </c>
      <c r="Z1192" s="6">
        <v>0</v>
      </c>
      <c r="AA1192" s="43">
        <f>VLOOKUP(Tabla1[[#This Row],[PAGO DIA]],DIAS!A:K,11,0)</f>
        <v>46356</v>
      </c>
      <c r="AB1192" s="6">
        <v>0</v>
      </c>
      <c r="AC1192" s="43">
        <f>VLOOKUP(Tabla1[[#This Row],[PAGO DIA]],DIAS!A:M,12,0)</f>
        <v>46386</v>
      </c>
      <c r="AD11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3" spans="1:30">
      <c r="A1193" s="3">
        <v>11936</v>
      </c>
      <c r="B1193" s="3" t="s">
        <v>538</v>
      </c>
      <c r="C1193" s="3" t="s">
        <v>540</v>
      </c>
      <c r="D1193" s="3" t="s">
        <v>540</v>
      </c>
      <c r="E1193" s="3" t="s">
        <v>1702</v>
      </c>
      <c r="F1193" s="42" t="s">
        <v>631</v>
      </c>
      <c r="G1193" s="3" t="s">
        <v>1704</v>
      </c>
      <c r="H1193" s="6">
        <v>0</v>
      </c>
      <c r="I1193" s="41">
        <f>VLOOKUP(Tabla1[[#This Row],[PAGO DIA]],DIAS!A:B,2,0)</f>
        <v>46080</v>
      </c>
      <c r="J1193" s="6">
        <v>0</v>
      </c>
      <c r="K1193" s="43">
        <f>VLOOKUP(Tabla1[[#This Row],[PAGO DIA]],DIAS!A:C,3,0)</f>
        <v>46112</v>
      </c>
      <c r="L1193" s="6">
        <v>0</v>
      </c>
      <c r="M1193" s="41">
        <f>VLOOKUP(Tabla1[[#This Row],[PAGO DIA]],DIAS!A:D,4,0)</f>
        <v>46142</v>
      </c>
      <c r="N1193" s="6">
        <v>0</v>
      </c>
      <c r="O1193" s="43">
        <f>VLOOKUP(Tabla1[[#This Row],[PAGO DIA]],DIAS!A:E,5,0)</f>
        <v>46171</v>
      </c>
      <c r="P1193" s="6">
        <v>0</v>
      </c>
      <c r="Q1193" s="43">
        <f>VLOOKUP(Tabla1[[#This Row],[PAGO DIA]],DIAS!A:F,6,0)</f>
        <v>46203</v>
      </c>
      <c r="R1193" s="6">
        <v>0</v>
      </c>
      <c r="S1193" s="43">
        <f>VLOOKUP(Tabla1[[#This Row],[PAGO DIA]],DIAS!A:G,7,0)</f>
        <v>46234</v>
      </c>
      <c r="T1193" s="6">
        <v>0</v>
      </c>
      <c r="U1193" s="43">
        <f>VLOOKUP(Tabla1[[#This Row],[PAGO DIA]],DIAS!A:H,8,0)</f>
        <v>46265</v>
      </c>
      <c r="V1193" s="6">
        <v>0</v>
      </c>
      <c r="W1193" s="43">
        <f>VLOOKUP(Tabla1[[#This Row],[PAGO DIA]],DIAS!A:I,9,0)</f>
        <v>46295</v>
      </c>
      <c r="X1193" s="6">
        <v>0</v>
      </c>
      <c r="Y1193" s="43">
        <f>VLOOKUP(Tabla1[[#This Row],[PAGO DIA]],DIAS!A:J,10,0)</f>
        <v>46325</v>
      </c>
      <c r="Z1193" s="6">
        <v>0</v>
      </c>
      <c r="AA1193" s="43">
        <f>VLOOKUP(Tabla1[[#This Row],[PAGO DIA]],DIAS!A:K,11,0)</f>
        <v>46356</v>
      </c>
      <c r="AB1193" s="6">
        <v>0</v>
      </c>
      <c r="AC1193" s="43">
        <f>VLOOKUP(Tabla1[[#This Row],[PAGO DIA]],DIAS!A:M,12,0)</f>
        <v>46386</v>
      </c>
      <c r="AD11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4" spans="1:30">
      <c r="A1194" s="3">
        <v>11937</v>
      </c>
      <c r="B1194" s="3" t="s">
        <v>538</v>
      </c>
      <c r="C1194" s="3" t="s">
        <v>540</v>
      </c>
      <c r="D1194" s="3" t="s">
        <v>540</v>
      </c>
      <c r="E1194" s="3" t="s">
        <v>1702</v>
      </c>
      <c r="F1194" s="42" t="s">
        <v>631</v>
      </c>
      <c r="G1194" s="3" t="s">
        <v>1704</v>
      </c>
      <c r="H1194" s="6">
        <v>0</v>
      </c>
      <c r="I1194" s="41">
        <f>VLOOKUP(Tabla1[[#This Row],[PAGO DIA]],DIAS!A:B,2,0)</f>
        <v>46080</v>
      </c>
      <c r="J1194" s="6">
        <v>0</v>
      </c>
      <c r="K1194" s="43">
        <f>VLOOKUP(Tabla1[[#This Row],[PAGO DIA]],DIAS!A:C,3,0)</f>
        <v>46112</v>
      </c>
      <c r="L1194" s="6">
        <v>0</v>
      </c>
      <c r="M1194" s="41">
        <f>VLOOKUP(Tabla1[[#This Row],[PAGO DIA]],DIAS!A:D,4,0)</f>
        <v>46142</v>
      </c>
      <c r="N1194" s="6">
        <v>0</v>
      </c>
      <c r="O1194" s="43">
        <f>VLOOKUP(Tabla1[[#This Row],[PAGO DIA]],DIAS!A:E,5,0)</f>
        <v>46171</v>
      </c>
      <c r="P1194" s="6">
        <v>0</v>
      </c>
      <c r="Q1194" s="43">
        <f>VLOOKUP(Tabla1[[#This Row],[PAGO DIA]],DIAS!A:F,6,0)</f>
        <v>46203</v>
      </c>
      <c r="R1194" s="6">
        <v>0</v>
      </c>
      <c r="S1194" s="43">
        <f>VLOOKUP(Tabla1[[#This Row],[PAGO DIA]],DIAS!A:G,7,0)</f>
        <v>46234</v>
      </c>
      <c r="T1194" s="6">
        <v>0</v>
      </c>
      <c r="U1194" s="43">
        <f>VLOOKUP(Tabla1[[#This Row],[PAGO DIA]],DIAS!A:H,8,0)</f>
        <v>46265</v>
      </c>
      <c r="V1194" s="6">
        <v>0</v>
      </c>
      <c r="W1194" s="43">
        <f>VLOOKUP(Tabla1[[#This Row],[PAGO DIA]],DIAS!A:I,9,0)</f>
        <v>46295</v>
      </c>
      <c r="X1194" s="6">
        <v>0</v>
      </c>
      <c r="Y1194" s="43">
        <f>VLOOKUP(Tabla1[[#This Row],[PAGO DIA]],DIAS!A:J,10,0)</f>
        <v>46325</v>
      </c>
      <c r="Z1194" s="6">
        <v>0</v>
      </c>
      <c r="AA1194" s="43">
        <f>VLOOKUP(Tabla1[[#This Row],[PAGO DIA]],DIAS!A:K,11,0)</f>
        <v>46356</v>
      </c>
      <c r="AB1194" s="6">
        <v>0</v>
      </c>
      <c r="AC1194" s="43">
        <f>VLOOKUP(Tabla1[[#This Row],[PAGO DIA]],DIAS!A:M,12,0)</f>
        <v>46386</v>
      </c>
      <c r="AD11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5" spans="1:30">
      <c r="A1195" s="3">
        <v>11938</v>
      </c>
      <c r="B1195" s="3" t="s">
        <v>538</v>
      </c>
      <c r="C1195" s="3" t="s">
        <v>540</v>
      </c>
      <c r="D1195" s="3" t="s">
        <v>540</v>
      </c>
      <c r="E1195" s="3" t="s">
        <v>1702</v>
      </c>
      <c r="F1195" s="42" t="s">
        <v>631</v>
      </c>
      <c r="G1195" s="3" t="s">
        <v>1706</v>
      </c>
      <c r="H1195" s="6">
        <v>0</v>
      </c>
      <c r="I1195" s="41">
        <f>VLOOKUP(Tabla1[[#This Row],[PAGO DIA]],DIAS!A:B,2,0)</f>
        <v>46080</v>
      </c>
      <c r="J1195" s="6">
        <v>0</v>
      </c>
      <c r="K1195" s="43">
        <f>VLOOKUP(Tabla1[[#This Row],[PAGO DIA]],DIAS!A:C,3,0)</f>
        <v>46112</v>
      </c>
      <c r="L1195" s="6">
        <v>0</v>
      </c>
      <c r="M1195" s="41">
        <f>VLOOKUP(Tabla1[[#This Row],[PAGO DIA]],DIAS!A:D,4,0)</f>
        <v>46142</v>
      </c>
      <c r="N1195" s="6">
        <v>0</v>
      </c>
      <c r="O1195" s="43">
        <f>VLOOKUP(Tabla1[[#This Row],[PAGO DIA]],DIAS!A:E,5,0)</f>
        <v>46171</v>
      </c>
      <c r="P1195" s="6">
        <v>0</v>
      </c>
      <c r="Q1195" s="43">
        <f>VLOOKUP(Tabla1[[#This Row],[PAGO DIA]],DIAS!A:F,6,0)</f>
        <v>46203</v>
      </c>
      <c r="R1195" s="6">
        <v>0</v>
      </c>
      <c r="S1195" s="43">
        <f>VLOOKUP(Tabla1[[#This Row],[PAGO DIA]],DIAS!A:G,7,0)</f>
        <v>46234</v>
      </c>
      <c r="T1195" s="6">
        <v>0</v>
      </c>
      <c r="U1195" s="43">
        <f>VLOOKUP(Tabla1[[#This Row],[PAGO DIA]],DIAS!A:H,8,0)</f>
        <v>46265</v>
      </c>
      <c r="V1195" s="6">
        <v>0</v>
      </c>
      <c r="W1195" s="43">
        <f>VLOOKUP(Tabla1[[#This Row],[PAGO DIA]],DIAS!A:I,9,0)</f>
        <v>46295</v>
      </c>
      <c r="X1195" s="6">
        <v>0</v>
      </c>
      <c r="Y1195" s="43">
        <f>VLOOKUP(Tabla1[[#This Row],[PAGO DIA]],DIAS!A:J,10,0)</f>
        <v>46325</v>
      </c>
      <c r="Z1195" s="6">
        <v>0</v>
      </c>
      <c r="AA1195" s="43">
        <f>VLOOKUP(Tabla1[[#This Row],[PAGO DIA]],DIAS!A:K,11,0)</f>
        <v>46356</v>
      </c>
      <c r="AB1195" s="6">
        <v>0</v>
      </c>
      <c r="AC1195" s="43">
        <f>VLOOKUP(Tabla1[[#This Row],[PAGO DIA]],DIAS!A:M,12,0)</f>
        <v>46386</v>
      </c>
      <c r="AD11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6" spans="1:30">
      <c r="A1196" s="3">
        <v>11939</v>
      </c>
      <c r="B1196" s="3" t="s">
        <v>538</v>
      </c>
      <c r="C1196" s="3" t="s">
        <v>540</v>
      </c>
      <c r="D1196" s="3" t="s">
        <v>540</v>
      </c>
      <c r="E1196" s="3" t="s">
        <v>1702</v>
      </c>
      <c r="F1196" s="42" t="s">
        <v>631</v>
      </c>
      <c r="G1196" s="3" t="s">
        <v>1706</v>
      </c>
      <c r="H1196" s="6">
        <v>0</v>
      </c>
      <c r="I1196" s="41">
        <f>VLOOKUP(Tabla1[[#This Row],[PAGO DIA]],DIAS!A:B,2,0)</f>
        <v>46080</v>
      </c>
      <c r="J1196" s="6">
        <v>0</v>
      </c>
      <c r="K1196" s="43">
        <f>VLOOKUP(Tabla1[[#This Row],[PAGO DIA]],DIAS!A:C,3,0)</f>
        <v>46112</v>
      </c>
      <c r="L1196" s="6">
        <v>0</v>
      </c>
      <c r="M1196" s="41">
        <f>VLOOKUP(Tabla1[[#This Row],[PAGO DIA]],DIAS!A:D,4,0)</f>
        <v>46142</v>
      </c>
      <c r="N1196" s="6">
        <v>0</v>
      </c>
      <c r="O1196" s="43">
        <f>VLOOKUP(Tabla1[[#This Row],[PAGO DIA]],DIAS!A:E,5,0)</f>
        <v>46171</v>
      </c>
      <c r="P1196" s="6">
        <v>0</v>
      </c>
      <c r="Q1196" s="43">
        <f>VLOOKUP(Tabla1[[#This Row],[PAGO DIA]],DIAS!A:F,6,0)</f>
        <v>46203</v>
      </c>
      <c r="R1196" s="6">
        <v>0</v>
      </c>
      <c r="S1196" s="43">
        <f>VLOOKUP(Tabla1[[#This Row],[PAGO DIA]],DIAS!A:G,7,0)</f>
        <v>46234</v>
      </c>
      <c r="T1196" s="6">
        <v>0</v>
      </c>
      <c r="U1196" s="43">
        <f>VLOOKUP(Tabla1[[#This Row],[PAGO DIA]],DIAS!A:H,8,0)</f>
        <v>46265</v>
      </c>
      <c r="V1196" s="6">
        <v>0</v>
      </c>
      <c r="W1196" s="43">
        <f>VLOOKUP(Tabla1[[#This Row],[PAGO DIA]],DIAS!A:I,9,0)</f>
        <v>46295</v>
      </c>
      <c r="X1196" s="6">
        <v>0</v>
      </c>
      <c r="Y1196" s="43">
        <f>VLOOKUP(Tabla1[[#This Row],[PAGO DIA]],DIAS!A:J,10,0)</f>
        <v>46325</v>
      </c>
      <c r="Z1196" s="6">
        <v>0</v>
      </c>
      <c r="AA1196" s="43">
        <f>VLOOKUP(Tabla1[[#This Row],[PAGO DIA]],DIAS!A:K,11,0)</f>
        <v>46356</v>
      </c>
      <c r="AB1196" s="6">
        <v>0</v>
      </c>
      <c r="AC1196" s="43">
        <f>VLOOKUP(Tabla1[[#This Row],[PAGO DIA]],DIAS!A:M,12,0)</f>
        <v>46386</v>
      </c>
      <c r="AD11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7" spans="1:30">
      <c r="A1197" s="3">
        <v>11955</v>
      </c>
      <c r="B1197" s="3" t="s">
        <v>538</v>
      </c>
      <c r="C1197" s="3" t="s">
        <v>540</v>
      </c>
      <c r="D1197" s="3" t="s">
        <v>540</v>
      </c>
      <c r="E1197" s="3" t="s">
        <v>899</v>
      </c>
      <c r="F1197" s="42" t="s">
        <v>631</v>
      </c>
      <c r="G1197" s="3" t="s">
        <v>1707</v>
      </c>
      <c r="H1197" s="6">
        <v>0</v>
      </c>
      <c r="I1197" s="41">
        <f>VLOOKUP(Tabla1[[#This Row],[PAGO DIA]],DIAS!A:B,2,0)</f>
        <v>46080</v>
      </c>
      <c r="J1197" s="6">
        <v>0</v>
      </c>
      <c r="K1197" s="43">
        <f>VLOOKUP(Tabla1[[#This Row],[PAGO DIA]],DIAS!A:C,3,0)</f>
        <v>46112</v>
      </c>
      <c r="L1197" s="6">
        <v>0</v>
      </c>
      <c r="M1197" s="41">
        <f>VLOOKUP(Tabla1[[#This Row],[PAGO DIA]],DIAS!A:D,4,0)</f>
        <v>46142</v>
      </c>
      <c r="N1197" s="6">
        <v>0</v>
      </c>
      <c r="O1197" s="43">
        <f>VLOOKUP(Tabla1[[#This Row],[PAGO DIA]],DIAS!A:E,5,0)</f>
        <v>46171</v>
      </c>
      <c r="P1197" s="6">
        <v>0</v>
      </c>
      <c r="Q1197" s="43">
        <f>VLOOKUP(Tabla1[[#This Row],[PAGO DIA]],DIAS!A:F,6,0)</f>
        <v>46203</v>
      </c>
      <c r="R1197" s="6">
        <v>0</v>
      </c>
      <c r="S1197" s="43">
        <f>VLOOKUP(Tabla1[[#This Row],[PAGO DIA]],DIAS!A:G,7,0)</f>
        <v>46234</v>
      </c>
      <c r="T1197" s="6">
        <v>0</v>
      </c>
      <c r="U1197" s="43">
        <f>VLOOKUP(Tabla1[[#This Row],[PAGO DIA]],DIAS!A:H,8,0)</f>
        <v>46265</v>
      </c>
      <c r="V1197" s="6">
        <v>0</v>
      </c>
      <c r="W1197" s="43">
        <f>VLOOKUP(Tabla1[[#This Row],[PAGO DIA]],DIAS!A:I,9,0)</f>
        <v>46295</v>
      </c>
      <c r="X1197" s="6">
        <v>0</v>
      </c>
      <c r="Y1197" s="43">
        <f>VLOOKUP(Tabla1[[#This Row],[PAGO DIA]],DIAS!A:J,10,0)</f>
        <v>46325</v>
      </c>
      <c r="Z1197" s="6">
        <v>0</v>
      </c>
      <c r="AA1197" s="43">
        <f>VLOOKUP(Tabla1[[#This Row],[PAGO DIA]],DIAS!A:K,11,0)</f>
        <v>46356</v>
      </c>
      <c r="AB1197" s="6">
        <v>0</v>
      </c>
      <c r="AC1197" s="43">
        <f>VLOOKUP(Tabla1[[#This Row],[PAGO DIA]],DIAS!A:M,12,0)</f>
        <v>46386</v>
      </c>
      <c r="AD11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8" spans="1:30">
      <c r="A1198" s="3">
        <v>11956</v>
      </c>
      <c r="B1198" s="3" t="s">
        <v>538</v>
      </c>
      <c r="C1198" s="3" t="s">
        <v>540</v>
      </c>
      <c r="D1198" s="3" t="s">
        <v>540</v>
      </c>
      <c r="E1198" s="3" t="s">
        <v>899</v>
      </c>
      <c r="F1198" s="42" t="s">
        <v>631</v>
      </c>
      <c r="G1198" s="3" t="s">
        <v>1708</v>
      </c>
      <c r="H1198" s="6">
        <v>0</v>
      </c>
      <c r="I1198" s="41">
        <f>VLOOKUP(Tabla1[[#This Row],[PAGO DIA]],DIAS!A:B,2,0)</f>
        <v>46080</v>
      </c>
      <c r="J1198" s="6">
        <v>0</v>
      </c>
      <c r="K1198" s="43">
        <f>VLOOKUP(Tabla1[[#This Row],[PAGO DIA]],DIAS!A:C,3,0)</f>
        <v>46112</v>
      </c>
      <c r="L1198" s="6">
        <v>0</v>
      </c>
      <c r="M1198" s="41">
        <f>VLOOKUP(Tabla1[[#This Row],[PAGO DIA]],DIAS!A:D,4,0)</f>
        <v>46142</v>
      </c>
      <c r="N1198" s="6">
        <v>0</v>
      </c>
      <c r="O1198" s="43">
        <f>VLOOKUP(Tabla1[[#This Row],[PAGO DIA]],DIAS!A:E,5,0)</f>
        <v>46171</v>
      </c>
      <c r="P1198" s="6">
        <v>0</v>
      </c>
      <c r="Q1198" s="43">
        <f>VLOOKUP(Tabla1[[#This Row],[PAGO DIA]],DIAS!A:F,6,0)</f>
        <v>46203</v>
      </c>
      <c r="R1198" s="6">
        <v>0</v>
      </c>
      <c r="S1198" s="43">
        <f>VLOOKUP(Tabla1[[#This Row],[PAGO DIA]],DIAS!A:G,7,0)</f>
        <v>46234</v>
      </c>
      <c r="T1198" s="6">
        <v>0</v>
      </c>
      <c r="U1198" s="43">
        <f>VLOOKUP(Tabla1[[#This Row],[PAGO DIA]],DIAS!A:H,8,0)</f>
        <v>46265</v>
      </c>
      <c r="V1198" s="6">
        <v>0</v>
      </c>
      <c r="W1198" s="43">
        <f>VLOOKUP(Tabla1[[#This Row],[PAGO DIA]],DIAS!A:I,9,0)</f>
        <v>46295</v>
      </c>
      <c r="X1198" s="6">
        <v>0</v>
      </c>
      <c r="Y1198" s="43">
        <f>VLOOKUP(Tabla1[[#This Row],[PAGO DIA]],DIAS!A:J,10,0)</f>
        <v>46325</v>
      </c>
      <c r="Z1198" s="6">
        <v>0</v>
      </c>
      <c r="AA1198" s="43">
        <f>VLOOKUP(Tabla1[[#This Row],[PAGO DIA]],DIAS!A:K,11,0)</f>
        <v>46356</v>
      </c>
      <c r="AB1198" s="6">
        <v>0</v>
      </c>
      <c r="AC1198" s="43">
        <f>VLOOKUP(Tabla1[[#This Row],[PAGO DIA]],DIAS!A:M,12,0)</f>
        <v>46386</v>
      </c>
      <c r="AD11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199" spans="1:30">
      <c r="A1199" s="3">
        <v>11957</v>
      </c>
      <c r="B1199" s="3" t="s">
        <v>538</v>
      </c>
      <c r="C1199" s="3" t="s">
        <v>540</v>
      </c>
      <c r="D1199" s="3" t="s">
        <v>540</v>
      </c>
      <c r="E1199" s="3" t="s">
        <v>899</v>
      </c>
      <c r="F1199" s="42" t="s">
        <v>631</v>
      </c>
      <c r="G1199" s="3" t="s">
        <v>1709</v>
      </c>
      <c r="H1199" s="6">
        <v>0</v>
      </c>
      <c r="I1199" s="41">
        <f>VLOOKUP(Tabla1[[#This Row],[PAGO DIA]],DIAS!A:B,2,0)</f>
        <v>46080</v>
      </c>
      <c r="J1199" s="6">
        <v>0</v>
      </c>
      <c r="K1199" s="43">
        <f>VLOOKUP(Tabla1[[#This Row],[PAGO DIA]],DIAS!A:C,3,0)</f>
        <v>46112</v>
      </c>
      <c r="L1199" s="6">
        <v>0</v>
      </c>
      <c r="M1199" s="41">
        <f>VLOOKUP(Tabla1[[#This Row],[PAGO DIA]],DIAS!A:D,4,0)</f>
        <v>46142</v>
      </c>
      <c r="N1199" s="6">
        <v>0</v>
      </c>
      <c r="O1199" s="43">
        <f>VLOOKUP(Tabla1[[#This Row],[PAGO DIA]],DIAS!A:E,5,0)</f>
        <v>46171</v>
      </c>
      <c r="P1199" s="6">
        <v>0</v>
      </c>
      <c r="Q1199" s="43">
        <f>VLOOKUP(Tabla1[[#This Row],[PAGO DIA]],DIAS!A:F,6,0)</f>
        <v>46203</v>
      </c>
      <c r="R1199" s="6">
        <v>0</v>
      </c>
      <c r="S1199" s="43">
        <f>VLOOKUP(Tabla1[[#This Row],[PAGO DIA]],DIAS!A:G,7,0)</f>
        <v>46234</v>
      </c>
      <c r="T1199" s="6">
        <v>0</v>
      </c>
      <c r="U1199" s="43">
        <f>VLOOKUP(Tabla1[[#This Row],[PAGO DIA]],DIAS!A:H,8,0)</f>
        <v>46265</v>
      </c>
      <c r="V1199" s="6">
        <v>0</v>
      </c>
      <c r="W1199" s="43">
        <f>VLOOKUP(Tabla1[[#This Row],[PAGO DIA]],DIAS!A:I,9,0)</f>
        <v>46295</v>
      </c>
      <c r="X1199" s="6">
        <v>0</v>
      </c>
      <c r="Y1199" s="43">
        <f>VLOOKUP(Tabla1[[#This Row],[PAGO DIA]],DIAS!A:J,10,0)</f>
        <v>46325</v>
      </c>
      <c r="Z1199" s="6">
        <v>0</v>
      </c>
      <c r="AA1199" s="43">
        <f>VLOOKUP(Tabla1[[#This Row],[PAGO DIA]],DIAS!A:K,11,0)</f>
        <v>46356</v>
      </c>
      <c r="AB1199" s="6">
        <v>0</v>
      </c>
      <c r="AC1199" s="43">
        <f>VLOOKUP(Tabla1[[#This Row],[PAGO DIA]],DIAS!A:M,12,0)</f>
        <v>46386</v>
      </c>
      <c r="AD11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0" spans="1:30">
      <c r="A1200" s="3">
        <v>11959</v>
      </c>
      <c r="B1200" s="3" t="s">
        <v>538</v>
      </c>
      <c r="C1200" s="3" t="s">
        <v>540</v>
      </c>
      <c r="D1200" s="3" t="s">
        <v>540</v>
      </c>
      <c r="E1200" s="3" t="s">
        <v>899</v>
      </c>
      <c r="F1200" s="42" t="s">
        <v>631</v>
      </c>
      <c r="G1200" s="3" t="s">
        <v>1710</v>
      </c>
      <c r="H1200" s="6">
        <v>0</v>
      </c>
      <c r="I1200" s="41">
        <f>VLOOKUP(Tabla1[[#This Row],[PAGO DIA]],DIAS!A:B,2,0)</f>
        <v>46080</v>
      </c>
      <c r="J1200" s="6">
        <v>0</v>
      </c>
      <c r="K1200" s="43">
        <f>VLOOKUP(Tabla1[[#This Row],[PAGO DIA]],DIAS!A:C,3,0)</f>
        <v>46112</v>
      </c>
      <c r="L1200" s="6">
        <v>0</v>
      </c>
      <c r="M1200" s="41">
        <f>VLOOKUP(Tabla1[[#This Row],[PAGO DIA]],DIAS!A:D,4,0)</f>
        <v>46142</v>
      </c>
      <c r="N1200" s="6">
        <v>0</v>
      </c>
      <c r="O1200" s="43">
        <f>VLOOKUP(Tabla1[[#This Row],[PAGO DIA]],DIAS!A:E,5,0)</f>
        <v>46171</v>
      </c>
      <c r="P1200" s="6">
        <v>0</v>
      </c>
      <c r="Q1200" s="43">
        <f>VLOOKUP(Tabla1[[#This Row],[PAGO DIA]],DIAS!A:F,6,0)</f>
        <v>46203</v>
      </c>
      <c r="R1200" s="6">
        <v>0</v>
      </c>
      <c r="S1200" s="43">
        <f>VLOOKUP(Tabla1[[#This Row],[PAGO DIA]],DIAS!A:G,7,0)</f>
        <v>46234</v>
      </c>
      <c r="T1200" s="6">
        <v>0</v>
      </c>
      <c r="U1200" s="43">
        <f>VLOOKUP(Tabla1[[#This Row],[PAGO DIA]],DIAS!A:H,8,0)</f>
        <v>46265</v>
      </c>
      <c r="V1200" s="6">
        <v>0</v>
      </c>
      <c r="W1200" s="43">
        <f>VLOOKUP(Tabla1[[#This Row],[PAGO DIA]],DIAS!A:I,9,0)</f>
        <v>46295</v>
      </c>
      <c r="X1200" s="6">
        <v>0</v>
      </c>
      <c r="Y1200" s="43">
        <f>VLOOKUP(Tabla1[[#This Row],[PAGO DIA]],DIAS!A:J,10,0)</f>
        <v>46325</v>
      </c>
      <c r="Z1200" s="6">
        <v>0</v>
      </c>
      <c r="AA1200" s="43">
        <f>VLOOKUP(Tabla1[[#This Row],[PAGO DIA]],DIAS!A:K,11,0)</f>
        <v>46356</v>
      </c>
      <c r="AB1200" s="6">
        <v>0</v>
      </c>
      <c r="AC1200" s="43">
        <f>VLOOKUP(Tabla1[[#This Row],[PAGO DIA]],DIAS!A:M,12,0)</f>
        <v>46386</v>
      </c>
      <c r="AD12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1" spans="1:30">
      <c r="A1201" s="3">
        <v>11960</v>
      </c>
      <c r="B1201" s="3" t="s">
        <v>538</v>
      </c>
      <c r="C1201" s="3" t="s">
        <v>540</v>
      </c>
      <c r="D1201" s="3" t="s">
        <v>540</v>
      </c>
      <c r="E1201" s="3" t="s">
        <v>899</v>
      </c>
      <c r="F1201" s="42" t="s">
        <v>631</v>
      </c>
      <c r="G1201" s="3" t="s">
        <v>1711</v>
      </c>
      <c r="H1201" s="6">
        <v>0</v>
      </c>
      <c r="I1201" s="41">
        <f>VLOOKUP(Tabla1[[#This Row],[PAGO DIA]],DIAS!A:B,2,0)</f>
        <v>46080</v>
      </c>
      <c r="J1201" s="6">
        <v>0</v>
      </c>
      <c r="K1201" s="43">
        <f>VLOOKUP(Tabla1[[#This Row],[PAGO DIA]],DIAS!A:C,3,0)</f>
        <v>46112</v>
      </c>
      <c r="L1201" s="6">
        <v>0</v>
      </c>
      <c r="M1201" s="41">
        <f>VLOOKUP(Tabla1[[#This Row],[PAGO DIA]],DIAS!A:D,4,0)</f>
        <v>46142</v>
      </c>
      <c r="N1201" s="6">
        <v>0</v>
      </c>
      <c r="O1201" s="43">
        <f>VLOOKUP(Tabla1[[#This Row],[PAGO DIA]],DIAS!A:E,5,0)</f>
        <v>46171</v>
      </c>
      <c r="P1201" s="6">
        <v>0</v>
      </c>
      <c r="Q1201" s="43">
        <f>VLOOKUP(Tabla1[[#This Row],[PAGO DIA]],DIAS!A:F,6,0)</f>
        <v>46203</v>
      </c>
      <c r="R1201" s="6">
        <v>0</v>
      </c>
      <c r="S1201" s="43">
        <f>VLOOKUP(Tabla1[[#This Row],[PAGO DIA]],DIAS!A:G,7,0)</f>
        <v>46234</v>
      </c>
      <c r="T1201" s="6">
        <v>0</v>
      </c>
      <c r="U1201" s="43">
        <f>VLOOKUP(Tabla1[[#This Row],[PAGO DIA]],DIAS!A:H,8,0)</f>
        <v>46265</v>
      </c>
      <c r="V1201" s="6">
        <v>0</v>
      </c>
      <c r="W1201" s="43">
        <f>VLOOKUP(Tabla1[[#This Row],[PAGO DIA]],DIAS!A:I,9,0)</f>
        <v>46295</v>
      </c>
      <c r="X1201" s="6">
        <v>0</v>
      </c>
      <c r="Y1201" s="43">
        <f>VLOOKUP(Tabla1[[#This Row],[PAGO DIA]],DIAS!A:J,10,0)</f>
        <v>46325</v>
      </c>
      <c r="Z1201" s="6">
        <v>0</v>
      </c>
      <c r="AA1201" s="43">
        <f>VLOOKUP(Tabla1[[#This Row],[PAGO DIA]],DIAS!A:K,11,0)</f>
        <v>46356</v>
      </c>
      <c r="AB1201" s="6">
        <v>0</v>
      </c>
      <c r="AC1201" s="43">
        <f>VLOOKUP(Tabla1[[#This Row],[PAGO DIA]],DIAS!A:M,12,0)</f>
        <v>46386</v>
      </c>
      <c r="AD12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2" spans="1:30">
      <c r="A1202" s="3">
        <v>11961</v>
      </c>
      <c r="B1202" s="3" t="s">
        <v>538</v>
      </c>
      <c r="C1202" s="3" t="s">
        <v>540</v>
      </c>
      <c r="D1202" s="3" t="s">
        <v>540</v>
      </c>
      <c r="E1202" s="3" t="s">
        <v>899</v>
      </c>
      <c r="F1202" s="42" t="s">
        <v>631</v>
      </c>
      <c r="G1202" s="3" t="s">
        <v>1712</v>
      </c>
      <c r="H1202" s="6">
        <v>0</v>
      </c>
      <c r="I1202" s="41">
        <f>VLOOKUP(Tabla1[[#This Row],[PAGO DIA]],DIAS!A:B,2,0)</f>
        <v>46080</v>
      </c>
      <c r="J1202" s="6">
        <v>0</v>
      </c>
      <c r="K1202" s="43">
        <f>VLOOKUP(Tabla1[[#This Row],[PAGO DIA]],DIAS!A:C,3,0)</f>
        <v>46112</v>
      </c>
      <c r="L1202" s="6">
        <v>0</v>
      </c>
      <c r="M1202" s="41">
        <f>VLOOKUP(Tabla1[[#This Row],[PAGO DIA]],DIAS!A:D,4,0)</f>
        <v>46142</v>
      </c>
      <c r="N1202" s="6">
        <v>0</v>
      </c>
      <c r="O1202" s="43">
        <f>VLOOKUP(Tabla1[[#This Row],[PAGO DIA]],DIAS!A:E,5,0)</f>
        <v>46171</v>
      </c>
      <c r="P1202" s="6">
        <v>0</v>
      </c>
      <c r="Q1202" s="43">
        <f>VLOOKUP(Tabla1[[#This Row],[PAGO DIA]],DIAS!A:F,6,0)</f>
        <v>46203</v>
      </c>
      <c r="R1202" s="6">
        <v>0</v>
      </c>
      <c r="S1202" s="43">
        <f>VLOOKUP(Tabla1[[#This Row],[PAGO DIA]],DIAS!A:G,7,0)</f>
        <v>46234</v>
      </c>
      <c r="T1202" s="6">
        <v>0</v>
      </c>
      <c r="U1202" s="43">
        <f>VLOOKUP(Tabla1[[#This Row],[PAGO DIA]],DIAS!A:H,8,0)</f>
        <v>46265</v>
      </c>
      <c r="V1202" s="6">
        <v>0</v>
      </c>
      <c r="W1202" s="43">
        <f>VLOOKUP(Tabla1[[#This Row],[PAGO DIA]],DIAS!A:I,9,0)</f>
        <v>46295</v>
      </c>
      <c r="X1202" s="6">
        <v>0</v>
      </c>
      <c r="Y1202" s="43">
        <f>VLOOKUP(Tabla1[[#This Row],[PAGO DIA]],DIAS!A:J,10,0)</f>
        <v>46325</v>
      </c>
      <c r="Z1202" s="6">
        <v>0</v>
      </c>
      <c r="AA1202" s="43">
        <f>VLOOKUP(Tabla1[[#This Row],[PAGO DIA]],DIAS!A:K,11,0)</f>
        <v>46356</v>
      </c>
      <c r="AB1202" s="6">
        <v>0</v>
      </c>
      <c r="AC1202" s="43">
        <f>VLOOKUP(Tabla1[[#This Row],[PAGO DIA]],DIAS!A:M,12,0)</f>
        <v>46386</v>
      </c>
      <c r="AD12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3" spans="1:30">
      <c r="A1203" s="3">
        <v>11962</v>
      </c>
      <c r="B1203" s="3" t="s">
        <v>538</v>
      </c>
      <c r="C1203" s="3" t="s">
        <v>540</v>
      </c>
      <c r="D1203" s="3" t="s">
        <v>540</v>
      </c>
      <c r="E1203" s="3" t="s">
        <v>899</v>
      </c>
      <c r="F1203" s="42" t="s">
        <v>631</v>
      </c>
      <c r="G1203" s="3" t="s">
        <v>1713</v>
      </c>
      <c r="H1203" s="6">
        <v>0</v>
      </c>
      <c r="I1203" s="41">
        <f>VLOOKUP(Tabla1[[#This Row],[PAGO DIA]],DIAS!A:B,2,0)</f>
        <v>46080</v>
      </c>
      <c r="J1203" s="6">
        <v>0</v>
      </c>
      <c r="K1203" s="43">
        <f>VLOOKUP(Tabla1[[#This Row],[PAGO DIA]],DIAS!A:C,3,0)</f>
        <v>46112</v>
      </c>
      <c r="L1203" s="6">
        <v>0</v>
      </c>
      <c r="M1203" s="41">
        <f>VLOOKUP(Tabla1[[#This Row],[PAGO DIA]],DIAS!A:D,4,0)</f>
        <v>46142</v>
      </c>
      <c r="N1203" s="6">
        <v>0</v>
      </c>
      <c r="O1203" s="43">
        <f>VLOOKUP(Tabla1[[#This Row],[PAGO DIA]],DIAS!A:E,5,0)</f>
        <v>46171</v>
      </c>
      <c r="P1203" s="6">
        <v>0</v>
      </c>
      <c r="Q1203" s="43">
        <f>VLOOKUP(Tabla1[[#This Row],[PAGO DIA]],DIAS!A:F,6,0)</f>
        <v>46203</v>
      </c>
      <c r="R1203" s="6">
        <v>0</v>
      </c>
      <c r="S1203" s="43">
        <f>VLOOKUP(Tabla1[[#This Row],[PAGO DIA]],DIAS!A:G,7,0)</f>
        <v>46234</v>
      </c>
      <c r="T1203" s="6">
        <v>0</v>
      </c>
      <c r="U1203" s="43">
        <f>VLOOKUP(Tabla1[[#This Row],[PAGO DIA]],DIAS!A:H,8,0)</f>
        <v>46265</v>
      </c>
      <c r="V1203" s="6">
        <v>0</v>
      </c>
      <c r="W1203" s="43">
        <f>VLOOKUP(Tabla1[[#This Row],[PAGO DIA]],DIAS!A:I,9,0)</f>
        <v>46295</v>
      </c>
      <c r="X1203" s="6">
        <v>0</v>
      </c>
      <c r="Y1203" s="43">
        <f>VLOOKUP(Tabla1[[#This Row],[PAGO DIA]],DIAS!A:J,10,0)</f>
        <v>46325</v>
      </c>
      <c r="Z1203" s="6">
        <v>0</v>
      </c>
      <c r="AA1203" s="43">
        <f>VLOOKUP(Tabla1[[#This Row],[PAGO DIA]],DIAS!A:K,11,0)</f>
        <v>46356</v>
      </c>
      <c r="AB1203" s="6">
        <v>0</v>
      </c>
      <c r="AC1203" s="43">
        <f>VLOOKUP(Tabla1[[#This Row],[PAGO DIA]],DIAS!A:M,12,0)</f>
        <v>46386</v>
      </c>
      <c r="AD12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4" spans="1:30">
      <c r="A1204" s="3">
        <v>12527</v>
      </c>
      <c r="B1204" s="3" t="s">
        <v>538</v>
      </c>
      <c r="C1204" s="3" t="s">
        <v>539</v>
      </c>
      <c r="D1204" s="3" t="s">
        <v>540</v>
      </c>
      <c r="E1204" s="3" t="s">
        <v>1714</v>
      </c>
      <c r="F1204" s="42" t="s">
        <v>631</v>
      </c>
      <c r="G1204" s="3" t="s">
        <v>1715</v>
      </c>
      <c r="H1204" s="6">
        <v>0</v>
      </c>
      <c r="I1204" s="41">
        <f>VLOOKUP(Tabla1[[#This Row],[PAGO DIA]],DIAS!A:B,2,0)</f>
        <v>46080</v>
      </c>
      <c r="J1204" s="6">
        <v>0</v>
      </c>
      <c r="K1204" s="43">
        <f>VLOOKUP(Tabla1[[#This Row],[PAGO DIA]],DIAS!A:C,3,0)</f>
        <v>46112</v>
      </c>
      <c r="L1204" s="6">
        <v>0</v>
      </c>
      <c r="M1204" s="41">
        <f>VLOOKUP(Tabla1[[#This Row],[PAGO DIA]],DIAS!A:D,4,0)</f>
        <v>46142</v>
      </c>
      <c r="N1204" s="6">
        <v>0</v>
      </c>
      <c r="O1204" s="43">
        <f>VLOOKUP(Tabla1[[#This Row],[PAGO DIA]],DIAS!A:E,5,0)</f>
        <v>46171</v>
      </c>
      <c r="P1204" s="6">
        <v>0</v>
      </c>
      <c r="Q1204" s="43">
        <f>VLOOKUP(Tabla1[[#This Row],[PAGO DIA]],DIAS!A:F,6,0)</f>
        <v>46203</v>
      </c>
      <c r="R1204" s="6">
        <v>0</v>
      </c>
      <c r="S1204" s="43">
        <f>VLOOKUP(Tabla1[[#This Row],[PAGO DIA]],DIAS!A:G,7,0)</f>
        <v>46234</v>
      </c>
      <c r="T1204" s="6">
        <v>0</v>
      </c>
      <c r="U1204" s="43">
        <f>VLOOKUP(Tabla1[[#This Row],[PAGO DIA]],DIAS!A:H,8,0)</f>
        <v>46265</v>
      </c>
      <c r="V1204" s="6">
        <v>0</v>
      </c>
      <c r="W1204" s="43">
        <f>VLOOKUP(Tabla1[[#This Row],[PAGO DIA]],DIAS!A:I,9,0)</f>
        <v>46295</v>
      </c>
      <c r="X1204" s="6">
        <v>0</v>
      </c>
      <c r="Y1204" s="43">
        <f>VLOOKUP(Tabla1[[#This Row],[PAGO DIA]],DIAS!A:J,10,0)</f>
        <v>46325</v>
      </c>
      <c r="Z1204" s="6">
        <v>0</v>
      </c>
      <c r="AA1204" s="43">
        <f>VLOOKUP(Tabla1[[#This Row],[PAGO DIA]],DIAS!A:K,11,0)</f>
        <v>46356</v>
      </c>
      <c r="AB1204" s="6">
        <v>0</v>
      </c>
      <c r="AC1204" s="43">
        <f>VLOOKUP(Tabla1[[#This Row],[PAGO DIA]],DIAS!A:M,12,0)</f>
        <v>46386</v>
      </c>
      <c r="AD12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5" spans="1:30">
      <c r="A1205" s="3">
        <v>12552</v>
      </c>
      <c r="B1205" s="3" t="s">
        <v>538</v>
      </c>
      <c r="C1205" s="3" t="s">
        <v>539</v>
      </c>
      <c r="D1205" s="3" t="s">
        <v>540</v>
      </c>
      <c r="E1205" s="3" t="s">
        <v>1714</v>
      </c>
      <c r="F1205" s="42" t="s">
        <v>631</v>
      </c>
      <c r="G1205" s="3" t="s">
        <v>1716</v>
      </c>
      <c r="H1205" s="6">
        <v>0</v>
      </c>
      <c r="I1205" s="41">
        <f>VLOOKUP(Tabla1[[#This Row],[PAGO DIA]],DIAS!A:B,2,0)</f>
        <v>46080</v>
      </c>
      <c r="J1205" s="6">
        <v>0</v>
      </c>
      <c r="K1205" s="43">
        <f>VLOOKUP(Tabla1[[#This Row],[PAGO DIA]],DIAS!A:C,3,0)</f>
        <v>46112</v>
      </c>
      <c r="L1205" s="6">
        <v>0</v>
      </c>
      <c r="M1205" s="41">
        <f>VLOOKUP(Tabla1[[#This Row],[PAGO DIA]],DIAS!A:D,4,0)</f>
        <v>46142</v>
      </c>
      <c r="N1205" s="6">
        <v>0</v>
      </c>
      <c r="O1205" s="43">
        <f>VLOOKUP(Tabla1[[#This Row],[PAGO DIA]],DIAS!A:E,5,0)</f>
        <v>46171</v>
      </c>
      <c r="P1205" s="6">
        <v>0</v>
      </c>
      <c r="Q1205" s="43">
        <f>VLOOKUP(Tabla1[[#This Row],[PAGO DIA]],DIAS!A:F,6,0)</f>
        <v>46203</v>
      </c>
      <c r="R1205" s="6">
        <v>0</v>
      </c>
      <c r="S1205" s="43">
        <f>VLOOKUP(Tabla1[[#This Row],[PAGO DIA]],DIAS!A:G,7,0)</f>
        <v>46234</v>
      </c>
      <c r="T1205" s="6">
        <v>0</v>
      </c>
      <c r="U1205" s="43">
        <f>VLOOKUP(Tabla1[[#This Row],[PAGO DIA]],DIAS!A:H,8,0)</f>
        <v>46265</v>
      </c>
      <c r="V1205" s="6">
        <v>0</v>
      </c>
      <c r="W1205" s="43">
        <f>VLOOKUP(Tabla1[[#This Row],[PAGO DIA]],DIAS!A:I,9,0)</f>
        <v>46295</v>
      </c>
      <c r="X1205" s="6">
        <v>0</v>
      </c>
      <c r="Y1205" s="43">
        <f>VLOOKUP(Tabla1[[#This Row],[PAGO DIA]],DIAS!A:J,10,0)</f>
        <v>46325</v>
      </c>
      <c r="Z1205" s="6">
        <v>0</v>
      </c>
      <c r="AA1205" s="43">
        <f>VLOOKUP(Tabla1[[#This Row],[PAGO DIA]],DIAS!A:K,11,0)</f>
        <v>46356</v>
      </c>
      <c r="AB1205" s="6">
        <v>0</v>
      </c>
      <c r="AC1205" s="43">
        <f>VLOOKUP(Tabla1[[#This Row],[PAGO DIA]],DIAS!A:M,12,0)</f>
        <v>46386</v>
      </c>
      <c r="AD12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6" spans="1:30">
      <c r="A1206" s="3">
        <v>12558</v>
      </c>
      <c r="B1206" s="3" t="s">
        <v>538</v>
      </c>
      <c r="C1206" s="3" t="s">
        <v>539</v>
      </c>
      <c r="D1206" s="3" t="s">
        <v>540</v>
      </c>
      <c r="E1206" s="3" t="s">
        <v>1714</v>
      </c>
      <c r="F1206" s="42" t="s">
        <v>631</v>
      </c>
      <c r="G1206" s="3" t="s">
        <v>1717</v>
      </c>
      <c r="H1206" s="6">
        <v>0</v>
      </c>
      <c r="I1206" s="41">
        <f>VLOOKUP(Tabla1[[#This Row],[PAGO DIA]],DIAS!A:B,2,0)</f>
        <v>46080</v>
      </c>
      <c r="J1206" s="6">
        <v>0</v>
      </c>
      <c r="K1206" s="43">
        <f>VLOOKUP(Tabla1[[#This Row],[PAGO DIA]],DIAS!A:C,3,0)</f>
        <v>46112</v>
      </c>
      <c r="L1206" s="6">
        <v>0</v>
      </c>
      <c r="M1206" s="41">
        <f>VLOOKUP(Tabla1[[#This Row],[PAGO DIA]],DIAS!A:D,4,0)</f>
        <v>46142</v>
      </c>
      <c r="N1206" s="6">
        <v>0</v>
      </c>
      <c r="O1206" s="43">
        <f>VLOOKUP(Tabla1[[#This Row],[PAGO DIA]],DIAS!A:E,5,0)</f>
        <v>46171</v>
      </c>
      <c r="P1206" s="6">
        <v>0</v>
      </c>
      <c r="Q1206" s="43">
        <f>VLOOKUP(Tabla1[[#This Row],[PAGO DIA]],DIAS!A:F,6,0)</f>
        <v>46203</v>
      </c>
      <c r="R1206" s="6">
        <v>0</v>
      </c>
      <c r="S1206" s="43">
        <f>VLOOKUP(Tabla1[[#This Row],[PAGO DIA]],DIAS!A:G,7,0)</f>
        <v>46234</v>
      </c>
      <c r="T1206" s="6">
        <v>0</v>
      </c>
      <c r="U1206" s="43">
        <f>VLOOKUP(Tabla1[[#This Row],[PAGO DIA]],DIAS!A:H,8,0)</f>
        <v>46265</v>
      </c>
      <c r="V1206" s="6">
        <v>0</v>
      </c>
      <c r="W1206" s="43">
        <f>VLOOKUP(Tabla1[[#This Row],[PAGO DIA]],DIAS!A:I,9,0)</f>
        <v>46295</v>
      </c>
      <c r="X1206" s="6">
        <v>0</v>
      </c>
      <c r="Y1206" s="43">
        <f>VLOOKUP(Tabla1[[#This Row],[PAGO DIA]],DIAS!A:J,10,0)</f>
        <v>46325</v>
      </c>
      <c r="Z1206" s="6">
        <v>0</v>
      </c>
      <c r="AA1206" s="43">
        <f>VLOOKUP(Tabla1[[#This Row],[PAGO DIA]],DIAS!A:K,11,0)</f>
        <v>46356</v>
      </c>
      <c r="AB1206" s="6">
        <v>0</v>
      </c>
      <c r="AC1206" s="43">
        <f>VLOOKUP(Tabla1[[#This Row],[PAGO DIA]],DIAS!A:M,12,0)</f>
        <v>46386</v>
      </c>
      <c r="AD12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7" spans="1:30">
      <c r="A1207" s="3">
        <v>12560</v>
      </c>
      <c r="B1207" s="3" t="s">
        <v>538</v>
      </c>
      <c r="C1207" s="3" t="s">
        <v>539</v>
      </c>
      <c r="D1207" s="3" t="s">
        <v>540</v>
      </c>
      <c r="E1207" s="3" t="s">
        <v>1714</v>
      </c>
      <c r="F1207" s="42" t="s">
        <v>631</v>
      </c>
      <c r="G1207" s="3" t="s">
        <v>1718</v>
      </c>
      <c r="H1207" s="6">
        <v>0</v>
      </c>
      <c r="I1207" s="41">
        <f>VLOOKUP(Tabla1[[#This Row],[PAGO DIA]],DIAS!A:B,2,0)</f>
        <v>46080</v>
      </c>
      <c r="J1207" s="6">
        <v>0</v>
      </c>
      <c r="K1207" s="43">
        <f>VLOOKUP(Tabla1[[#This Row],[PAGO DIA]],DIAS!A:C,3,0)</f>
        <v>46112</v>
      </c>
      <c r="L1207" s="6">
        <v>0</v>
      </c>
      <c r="M1207" s="41">
        <f>VLOOKUP(Tabla1[[#This Row],[PAGO DIA]],DIAS!A:D,4,0)</f>
        <v>46142</v>
      </c>
      <c r="N1207" s="6">
        <v>0</v>
      </c>
      <c r="O1207" s="43">
        <f>VLOOKUP(Tabla1[[#This Row],[PAGO DIA]],DIAS!A:E,5,0)</f>
        <v>46171</v>
      </c>
      <c r="P1207" s="6">
        <v>0</v>
      </c>
      <c r="Q1207" s="43">
        <f>VLOOKUP(Tabla1[[#This Row],[PAGO DIA]],DIAS!A:F,6,0)</f>
        <v>46203</v>
      </c>
      <c r="R1207" s="6">
        <v>0</v>
      </c>
      <c r="S1207" s="43">
        <f>VLOOKUP(Tabla1[[#This Row],[PAGO DIA]],DIAS!A:G,7,0)</f>
        <v>46234</v>
      </c>
      <c r="T1207" s="6">
        <v>0</v>
      </c>
      <c r="U1207" s="43">
        <f>VLOOKUP(Tabla1[[#This Row],[PAGO DIA]],DIAS!A:H,8,0)</f>
        <v>46265</v>
      </c>
      <c r="V1207" s="6">
        <v>0</v>
      </c>
      <c r="W1207" s="43">
        <f>VLOOKUP(Tabla1[[#This Row],[PAGO DIA]],DIAS!A:I,9,0)</f>
        <v>46295</v>
      </c>
      <c r="X1207" s="6">
        <v>0</v>
      </c>
      <c r="Y1207" s="43">
        <f>VLOOKUP(Tabla1[[#This Row],[PAGO DIA]],DIAS!A:J,10,0)</f>
        <v>46325</v>
      </c>
      <c r="Z1207" s="6">
        <v>0</v>
      </c>
      <c r="AA1207" s="43">
        <f>VLOOKUP(Tabla1[[#This Row],[PAGO DIA]],DIAS!A:K,11,0)</f>
        <v>46356</v>
      </c>
      <c r="AB1207" s="6">
        <v>0</v>
      </c>
      <c r="AC1207" s="43">
        <f>VLOOKUP(Tabla1[[#This Row],[PAGO DIA]],DIAS!A:M,12,0)</f>
        <v>46386</v>
      </c>
      <c r="AD12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8" spans="1:30">
      <c r="A1208" s="3">
        <v>12571</v>
      </c>
      <c r="B1208" s="3" t="s">
        <v>538</v>
      </c>
      <c r="C1208" s="3" t="s">
        <v>539</v>
      </c>
      <c r="D1208" s="3" t="s">
        <v>540</v>
      </c>
      <c r="E1208" s="3" t="s">
        <v>1714</v>
      </c>
      <c r="F1208" s="42" t="s">
        <v>631</v>
      </c>
      <c r="G1208" s="3" t="s">
        <v>1719</v>
      </c>
      <c r="H1208" s="6">
        <v>0</v>
      </c>
      <c r="I1208" s="41">
        <f>VLOOKUP(Tabla1[[#This Row],[PAGO DIA]],DIAS!A:B,2,0)</f>
        <v>46080</v>
      </c>
      <c r="J1208" s="6">
        <v>0</v>
      </c>
      <c r="K1208" s="43">
        <f>VLOOKUP(Tabla1[[#This Row],[PAGO DIA]],DIAS!A:C,3,0)</f>
        <v>46112</v>
      </c>
      <c r="L1208" s="6">
        <v>0</v>
      </c>
      <c r="M1208" s="41">
        <f>VLOOKUP(Tabla1[[#This Row],[PAGO DIA]],DIAS!A:D,4,0)</f>
        <v>46142</v>
      </c>
      <c r="N1208" s="6">
        <v>0</v>
      </c>
      <c r="O1208" s="43">
        <f>VLOOKUP(Tabla1[[#This Row],[PAGO DIA]],DIAS!A:E,5,0)</f>
        <v>46171</v>
      </c>
      <c r="P1208" s="6">
        <v>0</v>
      </c>
      <c r="Q1208" s="43">
        <f>VLOOKUP(Tabla1[[#This Row],[PAGO DIA]],DIAS!A:F,6,0)</f>
        <v>46203</v>
      </c>
      <c r="R1208" s="6">
        <v>0</v>
      </c>
      <c r="S1208" s="43">
        <f>VLOOKUP(Tabla1[[#This Row],[PAGO DIA]],DIAS!A:G,7,0)</f>
        <v>46234</v>
      </c>
      <c r="T1208" s="6">
        <v>0</v>
      </c>
      <c r="U1208" s="43">
        <f>VLOOKUP(Tabla1[[#This Row],[PAGO DIA]],DIAS!A:H,8,0)</f>
        <v>46265</v>
      </c>
      <c r="V1208" s="6">
        <v>0</v>
      </c>
      <c r="W1208" s="43">
        <f>VLOOKUP(Tabla1[[#This Row],[PAGO DIA]],DIAS!A:I,9,0)</f>
        <v>46295</v>
      </c>
      <c r="X1208" s="6">
        <v>0</v>
      </c>
      <c r="Y1208" s="43">
        <f>VLOOKUP(Tabla1[[#This Row],[PAGO DIA]],DIAS!A:J,10,0)</f>
        <v>46325</v>
      </c>
      <c r="Z1208" s="6">
        <v>0</v>
      </c>
      <c r="AA1208" s="43">
        <f>VLOOKUP(Tabla1[[#This Row],[PAGO DIA]],DIAS!A:K,11,0)</f>
        <v>46356</v>
      </c>
      <c r="AB1208" s="6">
        <v>0</v>
      </c>
      <c r="AC1208" s="43">
        <f>VLOOKUP(Tabla1[[#This Row],[PAGO DIA]],DIAS!A:M,12,0)</f>
        <v>46386</v>
      </c>
      <c r="AD12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09" spans="1:30">
      <c r="A1209" s="3">
        <v>12572</v>
      </c>
      <c r="B1209" s="3" t="s">
        <v>538</v>
      </c>
      <c r="C1209" s="3" t="s">
        <v>539</v>
      </c>
      <c r="D1209" s="3" t="s">
        <v>540</v>
      </c>
      <c r="E1209" s="3" t="s">
        <v>1714</v>
      </c>
      <c r="F1209" s="42" t="s">
        <v>631</v>
      </c>
      <c r="G1209" s="3" t="s">
        <v>1720</v>
      </c>
      <c r="H1209" s="6">
        <v>0</v>
      </c>
      <c r="I1209" s="41">
        <f>VLOOKUP(Tabla1[[#This Row],[PAGO DIA]],DIAS!A:B,2,0)</f>
        <v>46080</v>
      </c>
      <c r="J1209" s="6">
        <v>0</v>
      </c>
      <c r="K1209" s="43">
        <f>VLOOKUP(Tabla1[[#This Row],[PAGO DIA]],DIAS!A:C,3,0)</f>
        <v>46112</v>
      </c>
      <c r="L1209" s="6">
        <v>0</v>
      </c>
      <c r="M1209" s="41">
        <f>VLOOKUP(Tabla1[[#This Row],[PAGO DIA]],DIAS!A:D,4,0)</f>
        <v>46142</v>
      </c>
      <c r="N1209" s="6">
        <v>0</v>
      </c>
      <c r="O1209" s="43">
        <f>VLOOKUP(Tabla1[[#This Row],[PAGO DIA]],DIAS!A:E,5,0)</f>
        <v>46171</v>
      </c>
      <c r="P1209" s="6">
        <v>0</v>
      </c>
      <c r="Q1209" s="43">
        <f>VLOOKUP(Tabla1[[#This Row],[PAGO DIA]],DIAS!A:F,6,0)</f>
        <v>46203</v>
      </c>
      <c r="R1209" s="6">
        <v>0</v>
      </c>
      <c r="S1209" s="43">
        <f>VLOOKUP(Tabla1[[#This Row],[PAGO DIA]],DIAS!A:G,7,0)</f>
        <v>46234</v>
      </c>
      <c r="T1209" s="6">
        <v>0</v>
      </c>
      <c r="U1209" s="43">
        <f>VLOOKUP(Tabla1[[#This Row],[PAGO DIA]],DIAS!A:H,8,0)</f>
        <v>46265</v>
      </c>
      <c r="V1209" s="6">
        <v>0</v>
      </c>
      <c r="W1209" s="43">
        <f>VLOOKUP(Tabla1[[#This Row],[PAGO DIA]],DIAS!A:I,9,0)</f>
        <v>46295</v>
      </c>
      <c r="X1209" s="6">
        <v>0</v>
      </c>
      <c r="Y1209" s="43">
        <f>VLOOKUP(Tabla1[[#This Row],[PAGO DIA]],DIAS!A:J,10,0)</f>
        <v>46325</v>
      </c>
      <c r="Z1209" s="6">
        <v>0</v>
      </c>
      <c r="AA1209" s="43">
        <f>VLOOKUP(Tabla1[[#This Row],[PAGO DIA]],DIAS!A:K,11,0)</f>
        <v>46356</v>
      </c>
      <c r="AB1209" s="6">
        <v>0</v>
      </c>
      <c r="AC1209" s="43">
        <f>VLOOKUP(Tabla1[[#This Row],[PAGO DIA]],DIAS!A:M,12,0)</f>
        <v>46386</v>
      </c>
      <c r="AD12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0" spans="1:30">
      <c r="A1210" s="3">
        <v>12573</v>
      </c>
      <c r="B1210" s="3" t="s">
        <v>538</v>
      </c>
      <c r="C1210" s="3" t="s">
        <v>539</v>
      </c>
      <c r="D1210" s="3" t="s">
        <v>540</v>
      </c>
      <c r="E1210" s="3" t="s">
        <v>1714</v>
      </c>
      <c r="F1210" s="42" t="s">
        <v>631</v>
      </c>
      <c r="G1210" s="3" t="s">
        <v>1721</v>
      </c>
      <c r="H1210" s="6">
        <v>0</v>
      </c>
      <c r="I1210" s="41">
        <f>VLOOKUP(Tabla1[[#This Row],[PAGO DIA]],DIAS!A:B,2,0)</f>
        <v>46080</v>
      </c>
      <c r="J1210" s="6">
        <v>0</v>
      </c>
      <c r="K1210" s="43">
        <f>VLOOKUP(Tabla1[[#This Row],[PAGO DIA]],DIAS!A:C,3,0)</f>
        <v>46112</v>
      </c>
      <c r="L1210" s="6">
        <v>0</v>
      </c>
      <c r="M1210" s="41">
        <f>VLOOKUP(Tabla1[[#This Row],[PAGO DIA]],DIAS!A:D,4,0)</f>
        <v>46142</v>
      </c>
      <c r="N1210" s="6">
        <v>0</v>
      </c>
      <c r="O1210" s="43">
        <f>VLOOKUP(Tabla1[[#This Row],[PAGO DIA]],DIAS!A:E,5,0)</f>
        <v>46171</v>
      </c>
      <c r="P1210" s="6">
        <v>0</v>
      </c>
      <c r="Q1210" s="43">
        <f>VLOOKUP(Tabla1[[#This Row],[PAGO DIA]],DIAS!A:F,6,0)</f>
        <v>46203</v>
      </c>
      <c r="R1210" s="6">
        <v>0</v>
      </c>
      <c r="S1210" s="43">
        <f>VLOOKUP(Tabla1[[#This Row],[PAGO DIA]],DIAS!A:G,7,0)</f>
        <v>46234</v>
      </c>
      <c r="T1210" s="6">
        <v>0</v>
      </c>
      <c r="U1210" s="43">
        <f>VLOOKUP(Tabla1[[#This Row],[PAGO DIA]],DIAS!A:H,8,0)</f>
        <v>46265</v>
      </c>
      <c r="V1210" s="6">
        <v>0</v>
      </c>
      <c r="W1210" s="43">
        <f>VLOOKUP(Tabla1[[#This Row],[PAGO DIA]],DIAS!A:I,9,0)</f>
        <v>46295</v>
      </c>
      <c r="X1210" s="6">
        <v>0</v>
      </c>
      <c r="Y1210" s="43">
        <f>VLOOKUP(Tabla1[[#This Row],[PAGO DIA]],DIAS!A:J,10,0)</f>
        <v>46325</v>
      </c>
      <c r="Z1210" s="6">
        <v>0</v>
      </c>
      <c r="AA1210" s="43">
        <f>VLOOKUP(Tabla1[[#This Row],[PAGO DIA]],DIAS!A:K,11,0)</f>
        <v>46356</v>
      </c>
      <c r="AB1210" s="6">
        <v>0</v>
      </c>
      <c r="AC1210" s="43">
        <f>VLOOKUP(Tabla1[[#This Row],[PAGO DIA]],DIAS!A:M,12,0)</f>
        <v>46386</v>
      </c>
      <c r="AD12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1" spans="1:30">
      <c r="A1211" s="3">
        <v>12575</v>
      </c>
      <c r="B1211" s="3" t="s">
        <v>538</v>
      </c>
      <c r="C1211" s="3" t="s">
        <v>539</v>
      </c>
      <c r="D1211" s="3" t="s">
        <v>540</v>
      </c>
      <c r="E1211" s="3" t="s">
        <v>1714</v>
      </c>
      <c r="F1211" s="42" t="s">
        <v>631</v>
      </c>
      <c r="G1211" s="3" t="s">
        <v>1722</v>
      </c>
      <c r="H1211" s="6">
        <v>0</v>
      </c>
      <c r="I1211" s="41">
        <f>VLOOKUP(Tabla1[[#This Row],[PAGO DIA]],DIAS!A:B,2,0)</f>
        <v>46080</v>
      </c>
      <c r="J1211" s="6">
        <v>0</v>
      </c>
      <c r="K1211" s="43">
        <f>VLOOKUP(Tabla1[[#This Row],[PAGO DIA]],DIAS!A:C,3,0)</f>
        <v>46112</v>
      </c>
      <c r="L1211" s="6">
        <v>0</v>
      </c>
      <c r="M1211" s="41">
        <f>VLOOKUP(Tabla1[[#This Row],[PAGO DIA]],DIAS!A:D,4,0)</f>
        <v>46142</v>
      </c>
      <c r="N1211" s="6">
        <v>0</v>
      </c>
      <c r="O1211" s="43">
        <f>VLOOKUP(Tabla1[[#This Row],[PAGO DIA]],DIAS!A:E,5,0)</f>
        <v>46171</v>
      </c>
      <c r="P1211" s="6">
        <v>0</v>
      </c>
      <c r="Q1211" s="43">
        <f>VLOOKUP(Tabla1[[#This Row],[PAGO DIA]],DIAS!A:F,6,0)</f>
        <v>46203</v>
      </c>
      <c r="R1211" s="6">
        <v>0</v>
      </c>
      <c r="S1211" s="43">
        <f>VLOOKUP(Tabla1[[#This Row],[PAGO DIA]],DIAS!A:G,7,0)</f>
        <v>46234</v>
      </c>
      <c r="T1211" s="6">
        <v>0</v>
      </c>
      <c r="U1211" s="43">
        <f>VLOOKUP(Tabla1[[#This Row],[PAGO DIA]],DIAS!A:H,8,0)</f>
        <v>46265</v>
      </c>
      <c r="V1211" s="6">
        <v>0</v>
      </c>
      <c r="W1211" s="43">
        <f>VLOOKUP(Tabla1[[#This Row],[PAGO DIA]],DIAS!A:I,9,0)</f>
        <v>46295</v>
      </c>
      <c r="X1211" s="6">
        <v>0</v>
      </c>
      <c r="Y1211" s="43">
        <f>VLOOKUP(Tabla1[[#This Row],[PAGO DIA]],DIAS!A:J,10,0)</f>
        <v>46325</v>
      </c>
      <c r="Z1211" s="6">
        <v>0</v>
      </c>
      <c r="AA1211" s="43">
        <f>VLOOKUP(Tabla1[[#This Row],[PAGO DIA]],DIAS!A:K,11,0)</f>
        <v>46356</v>
      </c>
      <c r="AB1211" s="6">
        <v>0</v>
      </c>
      <c r="AC1211" s="43">
        <f>VLOOKUP(Tabla1[[#This Row],[PAGO DIA]],DIAS!A:M,12,0)</f>
        <v>46386</v>
      </c>
      <c r="AD12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2" spans="1:30">
      <c r="A1212" s="3">
        <v>12578</v>
      </c>
      <c r="B1212" s="3" t="s">
        <v>538</v>
      </c>
      <c r="C1212" s="3" t="s">
        <v>539</v>
      </c>
      <c r="D1212" s="3" t="s">
        <v>540</v>
      </c>
      <c r="E1212" s="3" t="s">
        <v>1714</v>
      </c>
      <c r="F1212" s="42" t="s">
        <v>631</v>
      </c>
      <c r="G1212" s="3" t="s">
        <v>1723</v>
      </c>
      <c r="H1212" s="6">
        <v>0</v>
      </c>
      <c r="I1212" s="41">
        <f>VLOOKUP(Tabla1[[#This Row],[PAGO DIA]],DIAS!A:B,2,0)</f>
        <v>46080</v>
      </c>
      <c r="J1212" s="6">
        <v>0</v>
      </c>
      <c r="K1212" s="43">
        <f>VLOOKUP(Tabla1[[#This Row],[PAGO DIA]],DIAS!A:C,3,0)</f>
        <v>46112</v>
      </c>
      <c r="L1212" s="6">
        <v>0</v>
      </c>
      <c r="M1212" s="41">
        <f>VLOOKUP(Tabla1[[#This Row],[PAGO DIA]],DIAS!A:D,4,0)</f>
        <v>46142</v>
      </c>
      <c r="N1212" s="6">
        <v>0</v>
      </c>
      <c r="O1212" s="43">
        <f>VLOOKUP(Tabla1[[#This Row],[PAGO DIA]],DIAS!A:E,5,0)</f>
        <v>46171</v>
      </c>
      <c r="P1212" s="6">
        <v>0</v>
      </c>
      <c r="Q1212" s="43">
        <f>VLOOKUP(Tabla1[[#This Row],[PAGO DIA]],DIAS!A:F,6,0)</f>
        <v>46203</v>
      </c>
      <c r="R1212" s="6">
        <v>0</v>
      </c>
      <c r="S1212" s="43">
        <f>VLOOKUP(Tabla1[[#This Row],[PAGO DIA]],DIAS!A:G,7,0)</f>
        <v>46234</v>
      </c>
      <c r="T1212" s="6">
        <v>0</v>
      </c>
      <c r="U1212" s="43">
        <f>VLOOKUP(Tabla1[[#This Row],[PAGO DIA]],DIAS!A:H,8,0)</f>
        <v>46265</v>
      </c>
      <c r="V1212" s="6">
        <v>0</v>
      </c>
      <c r="W1212" s="43">
        <f>VLOOKUP(Tabla1[[#This Row],[PAGO DIA]],DIAS!A:I,9,0)</f>
        <v>46295</v>
      </c>
      <c r="X1212" s="6">
        <v>0</v>
      </c>
      <c r="Y1212" s="43">
        <f>VLOOKUP(Tabla1[[#This Row],[PAGO DIA]],DIAS!A:J,10,0)</f>
        <v>46325</v>
      </c>
      <c r="Z1212" s="6">
        <v>0</v>
      </c>
      <c r="AA1212" s="43">
        <f>VLOOKUP(Tabla1[[#This Row],[PAGO DIA]],DIAS!A:K,11,0)</f>
        <v>46356</v>
      </c>
      <c r="AB1212" s="6">
        <v>0</v>
      </c>
      <c r="AC1212" s="43">
        <f>VLOOKUP(Tabla1[[#This Row],[PAGO DIA]],DIAS!A:M,12,0)</f>
        <v>46386</v>
      </c>
      <c r="AD12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3" spans="1:30">
      <c r="A1213" s="3">
        <v>12745</v>
      </c>
      <c r="B1213" s="3" t="s">
        <v>538</v>
      </c>
      <c r="C1213" s="3" t="s">
        <v>539</v>
      </c>
      <c r="D1213" s="3" t="s">
        <v>540</v>
      </c>
      <c r="E1213" s="3" t="s">
        <v>1714</v>
      </c>
      <c r="F1213" s="42" t="s">
        <v>631</v>
      </c>
      <c r="G1213" s="3" t="s">
        <v>1724</v>
      </c>
      <c r="H1213" s="6">
        <v>0</v>
      </c>
      <c r="I1213" s="41">
        <f>VLOOKUP(Tabla1[[#This Row],[PAGO DIA]],DIAS!A:B,2,0)</f>
        <v>46080</v>
      </c>
      <c r="J1213" s="6">
        <v>0</v>
      </c>
      <c r="K1213" s="43">
        <f>VLOOKUP(Tabla1[[#This Row],[PAGO DIA]],DIAS!A:C,3,0)</f>
        <v>46112</v>
      </c>
      <c r="L1213" s="6">
        <v>0</v>
      </c>
      <c r="M1213" s="41">
        <f>VLOOKUP(Tabla1[[#This Row],[PAGO DIA]],DIAS!A:D,4,0)</f>
        <v>46142</v>
      </c>
      <c r="N1213" s="6">
        <v>0</v>
      </c>
      <c r="O1213" s="43">
        <f>VLOOKUP(Tabla1[[#This Row],[PAGO DIA]],DIAS!A:E,5,0)</f>
        <v>46171</v>
      </c>
      <c r="P1213" s="6">
        <v>0</v>
      </c>
      <c r="Q1213" s="43">
        <f>VLOOKUP(Tabla1[[#This Row],[PAGO DIA]],DIAS!A:F,6,0)</f>
        <v>46203</v>
      </c>
      <c r="R1213" s="6">
        <v>0</v>
      </c>
      <c r="S1213" s="43">
        <f>VLOOKUP(Tabla1[[#This Row],[PAGO DIA]],DIAS!A:G,7,0)</f>
        <v>46234</v>
      </c>
      <c r="T1213" s="6">
        <v>0</v>
      </c>
      <c r="U1213" s="43">
        <f>VLOOKUP(Tabla1[[#This Row],[PAGO DIA]],DIAS!A:H,8,0)</f>
        <v>46265</v>
      </c>
      <c r="V1213" s="6">
        <v>0</v>
      </c>
      <c r="W1213" s="43">
        <f>VLOOKUP(Tabla1[[#This Row],[PAGO DIA]],DIAS!A:I,9,0)</f>
        <v>46295</v>
      </c>
      <c r="X1213" s="6">
        <v>0</v>
      </c>
      <c r="Y1213" s="43">
        <f>VLOOKUP(Tabla1[[#This Row],[PAGO DIA]],DIAS!A:J,10,0)</f>
        <v>46325</v>
      </c>
      <c r="Z1213" s="6">
        <v>0</v>
      </c>
      <c r="AA1213" s="43">
        <f>VLOOKUP(Tabla1[[#This Row],[PAGO DIA]],DIAS!A:K,11,0)</f>
        <v>46356</v>
      </c>
      <c r="AB1213" s="6">
        <v>0</v>
      </c>
      <c r="AC1213" s="43">
        <f>VLOOKUP(Tabla1[[#This Row],[PAGO DIA]],DIAS!A:M,12,0)</f>
        <v>46386</v>
      </c>
      <c r="AD12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4" spans="1:30">
      <c r="A1214" s="3">
        <v>12796</v>
      </c>
      <c r="B1214" s="3" t="s">
        <v>538</v>
      </c>
      <c r="C1214" s="3" t="s">
        <v>539</v>
      </c>
      <c r="D1214" s="3" t="s">
        <v>540</v>
      </c>
      <c r="E1214" s="3" t="s">
        <v>1714</v>
      </c>
      <c r="F1214" s="42" t="s">
        <v>631</v>
      </c>
      <c r="G1214" s="3" t="s">
        <v>1725</v>
      </c>
      <c r="H1214" s="6">
        <v>0</v>
      </c>
      <c r="I1214" s="41">
        <f>VLOOKUP(Tabla1[[#This Row],[PAGO DIA]],DIAS!A:B,2,0)</f>
        <v>46080</v>
      </c>
      <c r="J1214" s="6">
        <v>0</v>
      </c>
      <c r="K1214" s="43">
        <f>VLOOKUP(Tabla1[[#This Row],[PAGO DIA]],DIAS!A:C,3,0)</f>
        <v>46112</v>
      </c>
      <c r="L1214" s="6">
        <v>0</v>
      </c>
      <c r="M1214" s="41">
        <f>VLOOKUP(Tabla1[[#This Row],[PAGO DIA]],DIAS!A:D,4,0)</f>
        <v>46142</v>
      </c>
      <c r="N1214" s="6">
        <v>0</v>
      </c>
      <c r="O1214" s="43">
        <f>VLOOKUP(Tabla1[[#This Row],[PAGO DIA]],DIAS!A:E,5,0)</f>
        <v>46171</v>
      </c>
      <c r="P1214" s="6">
        <v>0</v>
      </c>
      <c r="Q1214" s="43">
        <f>VLOOKUP(Tabla1[[#This Row],[PAGO DIA]],DIAS!A:F,6,0)</f>
        <v>46203</v>
      </c>
      <c r="R1214" s="6">
        <v>0</v>
      </c>
      <c r="S1214" s="43">
        <f>VLOOKUP(Tabla1[[#This Row],[PAGO DIA]],DIAS!A:G,7,0)</f>
        <v>46234</v>
      </c>
      <c r="T1214" s="6">
        <v>0</v>
      </c>
      <c r="U1214" s="43">
        <f>VLOOKUP(Tabla1[[#This Row],[PAGO DIA]],DIAS!A:H,8,0)</f>
        <v>46265</v>
      </c>
      <c r="V1214" s="6">
        <v>0</v>
      </c>
      <c r="W1214" s="43">
        <f>VLOOKUP(Tabla1[[#This Row],[PAGO DIA]],DIAS!A:I,9,0)</f>
        <v>46295</v>
      </c>
      <c r="X1214" s="6">
        <v>0</v>
      </c>
      <c r="Y1214" s="43">
        <f>VLOOKUP(Tabla1[[#This Row],[PAGO DIA]],DIAS!A:J,10,0)</f>
        <v>46325</v>
      </c>
      <c r="Z1214" s="6">
        <v>0</v>
      </c>
      <c r="AA1214" s="43">
        <f>VLOOKUP(Tabla1[[#This Row],[PAGO DIA]],DIAS!A:K,11,0)</f>
        <v>46356</v>
      </c>
      <c r="AB1214" s="6">
        <v>0</v>
      </c>
      <c r="AC1214" s="43">
        <f>VLOOKUP(Tabla1[[#This Row],[PAGO DIA]],DIAS!A:M,12,0)</f>
        <v>46386</v>
      </c>
      <c r="AD12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5" spans="1:30">
      <c r="A1215" s="3">
        <v>11160</v>
      </c>
      <c r="B1215" s="3" t="s">
        <v>538</v>
      </c>
      <c r="C1215" s="3" t="s">
        <v>539</v>
      </c>
      <c r="D1215" s="3" t="s">
        <v>540</v>
      </c>
      <c r="E1215" s="3" t="s">
        <v>1726</v>
      </c>
      <c r="F1215" s="42" t="s">
        <v>631</v>
      </c>
      <c r="G1215" s="3"/>
      <c r="H1215" s="6">
        <v>0</v>
      </c>
      <c r="I1215" s="41">
        <f>VLOOKUP(Tabla1[[#This Row],[PAGO DIA]],DIAS!A:B,2,0)</f>
        <v>46080</v>
      </c>
      <c r="J1215" s="6">
        <v>0</v>
      </c>
      <c r="K1215" s="43">
        <f>VLOOKUP(Tabla1[[#This Row],[PAGO DIA]],DIAS!A:C,3,0)</f>
        <v>46112</v>
      </c>
      <c r="L1215" s="6">
        <v>0</v>
      </c>
      <c r="M1215" s="41">
        <f>VLOOKUP(Tabla1[[#This Row],[PAGO DIA]],DIAS!A:D,4,0)</f>
        <v>46142</v>
      </c>
      <c r="N1215" s="6">
        <v>0</v>
      </c>
      <c r="O1215" s="43">
        <f>VLOOKUP(Tabla1[[#This Row],[PAGO DIA]],DIAS!A:E,5,0)</f>
        <v>46171</v>
      </c>
      <c r="P1215" s="6">
        <v>0</v>
      </c>
      <c r="Q1215" s="43">
        <f>VLOOKUP(Tabla1[[#This Row],[PAGO DIA]],DIAS!A:F,6,0)</f>
        <v>46203</v>
      </c>
      <c r="R1215" s="6">
        <v>0</v>
      </c>
      <c r="S1215" s="43">
        <f>VLOOKUP(Tabla1[[#This Row],[PAGO DIA]],DIAS!A:G,7,0)</f>
        <v>46234</v>
      </c>
      <c r="T1215" s="6">
        <v>0</v>
      </c>
      <c r="U1215" s="43">
        <f>VLOOKUP(Tabla1[[#This Row],[PAGO DIA]],DIAS!A:H,8,0)</f>
        <v>46265</v>
      </c>
      <c r="V1215" s="6">
        <v>0</v>
      </c>
      <c r="W1215" s="43">
        <f>VLOOKUP(Tabla1[[#This Row],[PAGO DIA]],DIAS!A:I,9,0)</f>
        <v>46295</v>
      </c>
      <c r="X1215" s="6">
        <v>0</v>
      </c>
      <c r="Y1215" s="43">
        <f>VLOOKUP(Tabla1[[#This Row],[PAGO DIA]],DIAS!A:J,10,0)</f>
        <v>46325</v>
      </c>
      <c r="Z1215" s="6">
        <v>0</v>
      </c>
      <c r="AA1215" s="43">
        <f>VLOOKUP(Tabla1[[#This Row],[PAGO DIA]],DIAS!A:K,11,0)</f>
        <v>46356</v>
      </c>
      <c r="AB1215" s="6">
        <v>0</v>
      </c>
      <c r="AC1215" s="43">
        <f>VLOOKUP(Tabla1[[#This Row],[PAGO DIA]],DIAS!A:M,12,0)</f>
        <v>46386</v>
      </c>
      <c r="AD12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6" spans="1:30">
      <c r="A1216" s="3">
        <v>11963</v>
      </c>
      <c r="B1216" s="3" t="s">
        <v>538</v>
      </c>
      <c r="C1216" s="3" t="s">
        <v>540</v>
      </c>
      <c r="D1216" s="3" t="s">
        <v>540</v>
      </c>
      <c r="E1216" s="3" t="s">
        <v>1726</v>
      </c>
      <c r="F1216" s="42" t="s">
        <v>631</v>
      </c>
      <c r="G1216" s="3" t="s">
        <v>1727</v>
      </c>
      <c r="H1216" s="6">
        <v>0</v>
      </c>
      <c r="I1216" s="41">
        <f>VLOOKUP(Tabla1[[#This Row],[PAGO DIA]],DIAS!A:B,2,0)</f>
        <v>46080</v>
      </c>
      <c r="J1216" s="6">
        <v>0</v>
      </c>
      <c r="K1216" s="43">
        <f>VLOOKUP(Tabla1[[#This Row],[PAGO DIA]],DIAS!A:C,3,0)</f>
        <v>46112</v>
      </c>
      <c r="L1216" s="6">
        <v>0</v>
      </c>
      <c r="M1216" s="41">
        <f>VLOOKUP(Tabla1[[#This Row],[PAGO DIA]],DIAS!A:D,4,0)</f>
        <v>46142</v>
      </c>
      <c r="N1216" s="6">
        <v>0</v>
      </c>
      <c r="O1216" s="43">
        <f>VLOOKUP(Tabla1[[#This Row],[PAGO DIA]],DIAS!A:E,5,0)</f>
        <v>46171</v>
      </c>
      <c r="P1216" s="6">
        <v>0</v>
      </c>
      <c r="Q1216" s="43">
        <f>VLOOKUP(Tabla1[[#This Row],[PAGO DIA]],DIAS!A:F,6,0)</f>
        <v>46203</v>
      </c>
      <c r="R1216" s="6">
        <v>0</v>
      </c>
      <c r="S1216" s="43">
        <f>VLOOKUP(Tabla1[[#This Row],[PAGO DIA]],DIAS!A:G,7,0)</f>
        <v>46234</v>
      </c>
      <c r="T1216" s="6">
        <v>0</v>
      </c>
      <c r="U1216" s="43">
        <f>VLOOKUP(Tabla1[[#This Row],[PAGO DIA]],DIAS!A:H,8,0)</f>
        <v>46265</v>
      </c>
      <c r="V1216" s="6">
        <v>0</v>
      </c>
      <c r="W1216" s="43">
        <f>VLOOKUP(Tabla1[[#This Row],[PAGO DIA]],DIAS!A:I,9,0)</f>
        <v>46295</v>
      </c>
      <c r="X1216" s="6">
        <v>0</v>
      </c>
      <c r="Y1216" s="43">
        <f>VLOOKUP(Tabla1[[#This Row],[PAGO DIA]],DIAS!A:J,10,0)</f>
        <v>46325</v>
      </c>
      <c r="Z1216" s="6">
        <v>0</v>
      </c>
      <c r="AA1216" s="43">
        <f>VLOOKUP(Tabla1[[#This Row],[PAGO DIA]],DIAS!A:K,11,0)</f>
        <v>46356</v>
      </c>
      <c r="AB1216" s="6">
        <v>0</v>
      </c>
      <c r="AC1216" s="43">
        <f>VLOOKUP(Tabla1[[#This Row],[PAGO DIA]],DIAS!A:M,12,0)</f>
        <v>46386</v>
      </c>
      <c r="AD12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7" spans="1:30">
      <c r="A1217" s="3">
        <v>11964</v>
      </c>
      <c r="B1217" s="3" t="s">
        <v>538</v>
      </c>
      <c r="C1217" s="3" t="s">
        <v>540</v>
      </c>
      <c r="D1217" s="3" t="s">
        <v>540</v>
      </c>
      <c r="E1217" s="3" t="s">
        <v>1726</v>
      </c>
      <c r="F1217" s="42" t="s">
        <v>631</v>
      </c>
      <c r="G1217" s="3" t="s">
        <v>1728</v>
      </c>
      <c r="H1217" s="6">
        <v>0</v>
      </c>
      <c r="I1217" s="41">
        <f>VLOOKUP(Tabla1[[#This Row],[PAGO DIA]],DIAS!A:B,2,0)</f>
        <v>46080</v>
      </c>
      <c r="J1217" s="6">
        <v>0</v>
      </c>
      <c r="K1217" s="43">
        <f>VLOOKUP(Tabla1[[#This Row],[PAGO DIA]],DIAS!A:C,3,0)</f>
        <v>46112</v>
      </c>
      <c r="L1217" s="6">
        <v>0</v>
      </c>
      <c r="M1217" s="41">
        <f>VLOOKUP(Tabla1[[#This Row],[PAGO DIA]],DIAS!A:D,4,0)</f>
        <v>46142</v>
      </c>
      <c r="N1217" s="6">
        <v>0</v>
      </c>
      <c r="O1217" s="43">
        <f>VLOOKUP(Tabla1[[#This Row],[PAGO DIA]],DIAS!A:E,5,0)</f>
        <v>46171</v>
      </c>
      <c r="P1217" s="6">
        <v>0</v>
      </c>
      <c r="Q1217" s="43">
        <f>VLOOKUP(Tabla1[[#This Row],[PAGO DIA]],DIAS!A:F,6,0)</f>
        <v>46203</v>
      </c>
      <c r="R1217" s="6">
        <v>0</v>
      </c>
      <c r="S1217" s="43">
        <f>VLOOKUP(Tabla1[[#This Row],[PAGO DIA]],DIAS!A:G,7,0)</f>
        <v>46234</v>
      </c>
      <c r="T1217" s="6">
        <v>0</v>
      </c>
      <c r="U1217" s="43">
        <f>VLOOKUP(Tabla1[[#This Row],[PAGO DIA]],DIAS!A:H,8,0)</f>
        <v>46265</v>
      </c>
      <c r="V1217" s="6">
        <v>0</v>
      </c>
      <c r="W1217" s="43">
        <f>VLOOKUP(Tabla1[[#This Row],[PAGO DIA]],DIAS!A:I,9,0)</f>
        <v>46295</v>
      </c>
      <c r="X1217" s="6">
        <v>0</v>
      </c>
      <c r="Y1217" s="43">
        <f>VLOOKUP(Tabla1[[#This Row],[PAGO DIA]],DIAS!A:J,10,0)</f>
        <v>46325</v>
      </c>
      <c r="Z1217" s="6">
        <v>0</v>
      </c>
      <c r="AA1217" s="43">
        <f>VLOOKUP(Tabla1[[#This Row],[PAGO DIA]],DIAS!A:K,11,0)</f>
        <v>46356</v>
      </c>
      <c r="AB1217" s="6">
        <v>0</v>
      </c>
      <c r="AC1217" s="43">
        <f>VLOOKUP(Tabla1[[#This Row],[PAGO DIA]],DIAS!A:M,12,0)</f>
        <v>46386</v>
      </c>
      <c r="AD12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8" spans="1:30">
      <c r="A1218" s="3">
        <v>11965</v>
      </c>
      <c r="B1218" s="3" t="s">
        <v>538</v>
      </c>
      <c r="C1218" s="3" t="s">
        <v>540</v>
      </c>
      <c r="D1218" s="3" t="s">
        <v>540</v>
      </c>
      <c r="E1218" s="3" t="s">
        <v>1726</v>
      </c>
      <c r="F1218" s="42" t="s">
        <v>631</v>
      </c>
      <c r="G1218" s="3" t="s">
        <v>1729</v>
      </c>
      <c r="H1218" s="6">
        <v>0</v>
      </c>
      <c r="I1218" s="41">
        <f>VLOOKUP(Tabla1[[#This Row],[PAGO DIA]],DIAS!A:B,2,0)</f>
        <v>46080</v>
      </c>
      <c r="J1218" s="6">
        <v>0</v>
      </c>
      <c r="K1218" s="43">
        <f>VLOOKUP(Tabla1[[#This Row],[PAGO DIA]],DIAS!A:C,3,0)</f>
        <v>46112</v>
      </c>
      <c r="L1218" s="6">
        <v>0</v>
      </c>
      <c r="M1218" s="41">
        <f>VLOOKUP(Tabla1[[#This Row],[PAGO DIA]],DIAS!A:D,4,0)</f>
        <v>46142</v>
      </c>
      <c r="N1218" s="6">
        <v>0</v>
      </c>
      <c r="O1218" s="43">
        <f>VLOOKUP(Tabla1[[#This Row],[PAGO DIA]],DIAS!A:E,5,0)</f>
        <v>46171</v>
      </c>
      <c r="P1218" s="6">
        <v>0</v>
      </c>
      <c r="Q1218" s="43">
        <f>VLOOKUP(Tabla1[[#This Row],[PAGO DIA]],DIAS!A:F,6,0)</f>
        <v>46203</v>
      </c>
      <c r="R1218" s="6">
        <v>0</v>
      </c>
      <c r="S1218" s="43">
        <f>VLOOKUP(Tabla1[[#This Row],[PAGO DIA]],DIAS!A:G,7,0)</f>
        <v>46234</v>
      </c>
      <c r="T1218" s="6">
        <v>0</v>
      </c>
      <c r="U1218" s="43">
        <f>VLOOKUP(Tabla1[[#This Row],[PAGO DIA]],DIAS!A:H,8,0)</f>
        <v>46265</v>
      </c>
      <c r="V1218" s="6">
        <v>0</v>
      </c>
      <c r="W1218" s="43">
        <f>VLOOKUP(Tabla1[[#This Row],[PAGO DIA]],DIAS!A:I,9,0)</f>
        <v>46295</v>
      </c>
      <c r="X1218" s="6">
        <v>0</v>
      </c>
      <c r="Y1218" s="43">
        <f>VLOOKUP(Tabla1[[#This Row],[PAGO DIA]],DIAS!A:J,10,0)</f>
        <v>46325</v>
      </c>
      <c r="Z1218" s="6">
        <v>0</v>
      </c>
      <c r="AA1218" s="43">
        <f>VLOOKUP(Tabla1[[#This Row],[PAGO DIA]],DIAS!A:K,11,0)</f>
        <v>46356</v>
      </c>
      <c r="AB1218" s="6">
        <v>0</v>
      </c>
      <c r="AC1218" s="43">
        <f>VLOOKUP(Tabla1[[#This Row],[PAGO DIA]],DIAS!A:M,12,0)</f>
        <v>46386</v>
      </c>
      <c r="AD12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19" spans="1:30">
      <c r="A1219" s="3">
        <v>11966</v>
      </c>
      <c r="B1219" s="3" t="s">
        <v>538</v>
      </c>
      <c r="C1219" s="3" t="s">
        <v>540</v>
      </c>
      <c r="D1219" s="3" t="s">
        <v>540</v>
      </c>
      <c r="E1219" s="3" t="s">
        <v>1726</v>
      </c>
      <c r="F1219" s="42" t="s">
        <v>631</v>
      </c>
      <c r="G1219" s="3" t="s">
        <v>1730</v>
      </c>
      <c r="H1219" s="6">
        <v>0</v>
      </c>
      <c r="I1219" s="41">
        <f>VLOOKUP(Tabla1[[#This Row],[PAGO DIA]],DIAS!A:B,2,0)</f>
        <v>46080</v>
      </c>
      <c r="J1219" s="6">
        <v>0</v>
      </c>
      <c r="K1219" s="43">
        <f>VLOOKUP(Tabla1[[#This Row],[PAGO DIA]],DIAS!A:C,3,0)</f>
        <v>46112</v>
      </c>
      <c r="L1219" s="6">
        <v>0</v>
      </c>
      <c r="M1219" s="41">
        <f>VLOOKUP(Tabla1[[#This Row],[PAGO DIA]],DIAS!A:D,4,0)</f>
        <v>46142</v>
      </c>
      <c r="N1219" s="6">
        <v>0</v>
      </c>
      <c r="O1219" s="43">
        <f>VLOOKUP(Tabla1[[#This Row],[PAGO DIA]],DIAS!A:E,5,0)</f>
        <v>46171</v>
      </c>
      <c r="P1219" s="6">
        <v>0</v>
      </c>
      <c r="Q1219" s="43">
        <f>VLOOKUP(Tabla1[[#This Row],[PAGO DIA]],DIAS!A:F,6,0)</f>
        <v>46203</v>
      </c>
      <c r="R1219" s="6">
        <v>0</v>
      </c>
      <c r="S1219" s="43">
        <f>VLOOKUP(Tabla1[[#This Row],[PAGO DIA]],DIAS!A:G,7,0)</f>
        <v>46234</v>
      </c>
      <c r="T1219" s="6">
        <v>0</v>
      </c>
      <c r="U1219" s="43">
        <f>VLOOKUP(Tabla1[[#This Row],[PAGO DIA]],DIAS!A:H,8,0)</f>
        <v>46265</v>
      </c>
      <c r="V1219" s="6">
        <v>0</v>
      </c>
      <c r="W1219" s="43">
        <f>VLOOKUP(Tabla1[[#This Row],[PAGO DIA]],DIAS!A:I,9,0)</f>
        <v>46295</v>
      </c>
      <c r="X1219" s="6">
        <v>0</v>
      </c>
      <c r="Y1219" s="43">
        <f>VLOOKUP(Tabla1[[#This Row],[PAGO DIA]],DIAS!A:J,10,0)</f>
        <v>46325</v>
      </c>
      <c r="Z1219" s="6">
        <v>0</v>
      </c>
      <c r="AA1219" s="43">
        <f>VLOOKUP(Tabla1[[#This Row],[PAGO DIA]],DIAS!A:K,11,0)</f>
        <v>46356</v>
      </c>
      <c r="AB1219" s="6">
        <v>0</v>
      </c>
      <c r="AC1219" s="43">
        <f>VLOOKUP(Tabla1[[#This Row],[PAGO DIA]],DIAS!A:M,12,0)</f>
        <v>46386</v>
      </c>
      <c r="AD12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0" spans="1:30">
      <c r="A1220" s="3">
        <v>11967</v>
      </c>
      <c r="B1220" s="3" t="s">
        <v>538</v>
      </c>
      <c r="C1220" s="3" t="s">
        <v>540</v>
      </c>
      <c r="D1220" s="3" t="s">
        <v>540</v>
      </c>
      <c r="E1220" s="3" t="s">
        <v>1726</v>
      </c>
      <c r="F1220" s="42" t="s">
        <v>631</v>
      </c>
      <c r="G1220" s="3" t="s">
        <v>1731</v>
      </c>
      <c r="H1220" s="6">
        <v>0</v>
      </c>
      <c r="I1220" s="41">
        <f>VLOOKUP(Tabla1[[#This Row],[PAGO DIA]],DIAS!A:B,2,0)</f>
        <v>46080</v>
      </c>
      <c r="J1220" s="6">
        <v>0</v>
      </c>
      <c r="K1220" s="43">
        <f>VLOOKUP(Tabla1[[#This Row],[PAGO DIA]],DIAS!A:C,3,0)</f>
        <v>46112</v>
      </c>
      <c r="L1220" s="6">
        <v>0</v>
      </c>
      <c r="M1220" s="41">
        <f>VLOOKUP(Tabla1[[#This Row],[PAGO DIA]],DIAS!A:D,4,0)</f>
        <v>46142</v>
      </c>
      <c r="N1220" s="6">
        <v>0</v>
      </c>
      <c r="O1220" s="43">
        <f>VLOOKUP(Tabla1[[#This Row],[PAGO DIA]],DIAS!A:E,5,0)</f>
        <v>46171</v>
      </c>
      <c r="P1220" s="6">
        <v>0</v>
      </c>
      <c r="Q1220" s="43">
        <f>VLOOKUP(Tabla1[[#This Row],[PAGO DIA]],DIAS!A:F,6,0)</f>
        <v>46203</v>
      </c>
      <c r="R1220" s="6">
        <v>0</v>
      </c>
      <c r="S1220" s="43">
        <f>VLOOKUP(Tabla1[[#This Row],[PAGO DIA]],DIAS!A:G,7,0)</f>
        <v>46234</v>
      </c>
      <c r="T1220" s="6">
        <v>0</v>
      </c>
      <c r="U1220" s="43">
        <f>VLOOKUP(Tabla1[[#This Row],[PAGO DIA]],DIAS!A:H,8,0)</f>
        <v>46265</v>
      </c>
      <c r="V1220" s="6">
        <v>0</v>
      </c>
      <c r="W1220" s="43">
        <f>VLOOKUP(Tabla1[[#This Row],[PAGO DIA]],DIAS!A:I,9,0)</f>
        <v>46295</v>
      </c>
      <c r="X1220" s="6">
        <v>0</v>
      </c>
      <c r="Y1220" s="43">
        <f>VLOOKUP(Tabla1[[#This Row],[PAGO DIA]],DIAS!A:J,10,0)</f>
        <v>46325</v>
      </c>
      <c r="Z1220" s="6">
        <v>0</v>
      </c>
      <c r="AA1220" s="43">
        <f>VLOOKUP(Tabla1[[#This Row],[PAGO DIA]],DIAS!A:K,11,0)</f>
        <v>46356</v>
      </c>
      <c r="AB1220" s="6">
        <v>0</v>
      </c>
      <c r="AC1220" s="43">
        <f>VLOOKUP(Tabla1[[#This Row],[PAGO DIA]],DIAS!A:M,12,0)</f>
        <v>46386</v>
      </c>
      <c r="AD12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1" spans="1:30">
      <c r="A1221" s="3">
        <v>11968</v>
      </c>
      <c r="B1221" s="3" t="s">
        <v>538</v>
      </c>
      <c r="C1221" s="3" t="s">
        <v>540</v>
      </c>
      <c r="D1221" s="3" t="s">
        <v>540</v>
      </c>
      <c r="E1221" s="3" t="s">
        <v>1726</v>
      </c>
      <c r="F1221" s="42" t="s">
        <v>631</v>
      </c>
      <c r="G1221" s="3" t="s">
        <v>1732</v>
      </c>
      <c r="H1221" s="6">
        <v>0</v>
      </c>
      <c r="I1221" s="41">
        <f>VLOOKUP(Tabla1[[#This Row],[PAGO DIA]],DIAS!A:B,2,0)</f>
        <v>46080</v>
      </c>
      <c r="J1221" s="6">
        <v>0</v>
      </c>
      <c r="K1221" s="43">
        <f>VLOOKUP(Tabla1[[#This Row],[PAGO DIA]],DIAS!A:C,3,0)</f>
        <v>46112</v>
      </c>
      <c r="L1221" s="6">
        <v>0</v>
      </c>
      <c r="M1221" s="41">
        <f>VLOOKUP(Tabla1[[#This Row],[PAGO DIA]],DIAS!A:D,4,0)</f>
        <v>46142</v>
      </c>
      <c r="N1221" s="6">
        <v>0</v>
      </c>
      <c r="O1221" s="43">
        <f>VLOOKUP(Tabla1[[#This Row],[PAGO DIA]],DIAS!A:E,5,0)</f>
        <v>46171</v>
      </c>
      <c r="P1221" s="6">
        <v>0</v>
      </c>
      <c r="Q1221" s="43">
        <f>VLOOKUP(Tabla1[[#This Row],[PAGO DIA]],DIAS!A:F,6,0)</f>
        <v>46203</v>
      </c>
      <c r="R1221" s="6">
        <v>0</v>
      </c>
      <c r="S1221" s="43">
        <f>VLOOKUP(Tabla1[[#This Row],[PAGO DIA]],DIAS!A:G,7,0)</f>
        <v>46234</v>
      </c>
      <c r="T1221" s="6">
        <v>0</v>
      </c>
      <c r="U1221" s="43">
        <f>VLOOKUP(Tabla1[[#This Row],[PAGO DIA]],DIAS!A:H,8,0)</f>
        <v>46265</v>
      </c>
      <c r="V1221" s="6">
        <v>0</v>
      </c>
      <c r="W1221" s="43">
        <f>VLOOKUP(Tabla1[[#This Row],[PAGO DIA]],DIAS!A:I,9,0)</f>
        <v>46295</v>
      </c>
      <c r="X1221" s="6">
        <v>0</v>
      </c>
      <c r="Y1221" s="43">
        <f>VLOOKUP(Tabla1[[#This Row],[PAGO DIA]],DIAS!A:J,10,0)</f>
        <v>46325</v>
      </c>
      <c r="Z1221" s="6">
        <v>0</v>
      </c>
      <c r="AA1221" s="43">
        <f>VLOOKUP(Tabla1[[#This Row],[PAGO DIA]],DIAS!A:K,11,0)</f>
        <v>46356</v>
      </c>
      <c r="AB1221" s="6">
        <v>0</v>
      </c>
      <c r="AC1221" s="43">
        <f>VLOOKUP(Tabla1[[#This Row],[PAGO DIA]],DIAS!A:M,12,0)</f>
        <v>46386</v>
      </c>
      <c r="AD12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2" spans="1:30">
      <c r="A1222" s="3">
        <v>11969</v>
      </c>
      <c r="B1222" s="3" t="s">
        <v>538</v>
      </c>
      <c r="C1222" s="3" t="s">
        <v>540</v>
      </c>
      <c r="D1222" s="3" t="s">
        <v>540</v>
      </c>
      <c r="E1222" s="3" t="s">
        <v>1726</v>
      </c>
      <c r="F1222" s="42" t="s">
        <v>631</v>
      </c>
      <c r="G1222" s="3" t="s">
        <v>1733</v>
      </c>
      <c r="H1222" s="6">
        <v>0</v>
      </c>
      <c r="I1222" s="41">
        <f>VLOOKUP(Tabla1[[#This Row],[PAGO DIA]],DIAS!A:B,2,0)</f>
        <v>46080</v>
      </c>
      <c r="J1222" s="6">
        <v>0</v>
      </c>
      <c r="K1222" s="43">
        <f>VLOOKUP(Tabla1[[#This Row],[PAGO DIA]],DIAS!A:C,3,0)</f>
        <v>46112</v>
      </c>
      <c r="L1222" s="6">
        <v>0</v>
      </c>
      <c r="M1222" s="41">
        <f>VLOOKUP(Tabla1[[#This Row],[PAGO DIA]],DIAS!A:D,4,0)</f>
        <v>46142</v>
      </c>
      <c r="N1222" s="6">
        <v>0</v>
      </c>
      <c r="O1222" s="43">
        <f>VLOOKUP(Tabla1[[#This Row],[PAGO DIA]],DIAS!A:E,5,0)</f>
        <v>46171</v>
      </c>
      <c r="P1222" s="6">
        <v>0</v>
      </c>
      <c r="Q1222" s="43">
        <f>VLOOKUP(Tabla1[[#This Row],[PAGO DIA]],DIAS!A:F,6,0)</f>
        <v>46203</v>
      </c>
      <c r="R1222" s="6">
        <v>0</v>
      </c>
      <c r="S1222" s="43">
        <f>VLOOKUP(Tabla1[[#This Row],[PAGO DIA]],DIAS!A:G,7,0)</f>
        <v>46234</v>
      </c>
      <c r="T1222" s="6">
        <v>0</v>
      </c>
      <c r="U1222" s="43">
        <f>VLOOKUP(Tabla1[[#This Row],[PAGO DIA]],DIAS!A:H,8,0)</f>
        <v>46265</v>
      </c>
      <c r="V1222" s="6">
        <v>0</v>
      </c>
      <c r="W1222" s="43">
        <f>VLOOKUP(Tabla1[[#This Row],[PAGO DIA]],DIAS!A:I,9,0)</f>
        <v>46295</v>
      </c>
      <c r="X1222" s="6">
        <v>0</v>
      </c>
      <c r="Y1222" s="43">
        <f>VLOOKUP(Tabla1[[#This Row],[PAGO DIA]],DIAS!A:J,10,0)</f>
        <v>46325</v>
      </c>
      <c r="Z1222" s="6">
        <v>0</v>
      </c>
      <c r="AA1222" s="43">
        <f>VLOOKUP(Tabla1[[#This Row],[PAGO DIA]],DIAS!A:K,11,0)</f>
        <v>46356</v>
      </c>
      <c r="AB1222" s="6">
        <v>0</v>
      </c>
      <c r="AC1222" s="43">
        <f>VLOOKUP(Tabla1[[#This Row],[PAGO DIA]],DIAS!A:M,12,0)</f>
        <v>46386</v>
      </c>
      <c r="AD12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3" spans="1:30">
      <c r="A1223" s="3">
        <v>11970</v>
      </c>
      <c r="B1223" s="3" t="s">
        <v>538</v>
      </c>
      <c r="C1223" s="3" t="s">
        <v>540</v>
      </c>
      <c r="D1223" s="3" t="s">
        <v>540</v>
      </c>
      <c r="E1223" s="3" t="s">
        <v>1726</v>
      </c>
      <c r="F1223" s="42" t="s">
        <v>631</v>
      </c>
      <c r="G1223" s="3" t="s">
        <v>1734</v>
      </c>
      <c r="H1223" s="6">
        <v>0</v>
      </c>
      <c r="I1223" s="41">
        <f>VLOOKUP(Tabla1[[#This Row],[PAGO DIA]],DIAS!A:B,2,0)</f>
        <v>46080</v>
      </c>
      <c r="J1223" s="6">
        <v>0</v>
      </c>
      <c r="K1223" s="43">
        <f>VLOOKUP(Tabla1[[#This Row],[PAGO DIA]],DIAS!A:C,3,0)</f>
        <v>46112</v>
      </c>
      <c r="L1223" s="6">
        <v>0</v>
      </c>
      <c r="M1223" s="41">
        <f>VLOOKUP(Tabla1[[#This Row],[PAGO DIA]],DIAS!A:D,4,0)</f>
        <v>46142</v>
      </c>
      <c r="N1223" s="6">
        <v>0</v>
      </c>
      <c r="O1223" s="43">
        <f>VLOOKUP(Tabla1[[#This Row],[PAGO DIA]],DIAS!A:E,5,0)</f>
        <v>46171</v>
      </c>
      <c r="P1223" s="6">
        <v>0</v>
      </c>
      <c r="Q1223" s="43">
        <f>VLOOKUP(Tabla1[[#This Row],[PAGO DIA]],DIAS!A:F,6,0)</f>
        <v>46203</v>
      </c>
      <c r="R1223" s="6">
        <v>0</v>
      </c>
      <c r="S1223" s="43">
        <f>VLOOKUP(Tabla1[[#This Row],[PAGO DIA]],DIAS!A:G,7,0)</f>
        <v>46234</v>
      </c>
      <c r="T1223" s="6">
        <v>0</v>
      </c>
      <c r="U1223" s="43">
        <f>VLOOKUP(Tabla1[[#This Row],[PAGO DIA]],DIAS!A:H,8,0)</f>
        <v>46265</v>
      </c>
      <c r="V1223" s="6">
        <v>0</v>
      </c>
      <c r="W1223" s="43">
        <f>VLOOKUP(Tabla1[[#This Row],[PAGO DIA]],DIAS!A:I,9,0)</f>
        <v>46295</v>
      </c>
      <c r="X1223" s="6">
        <v>0</v>
      </c>
      <c r="Y1223" s="43">
        <f>VLOOKUP(Tabla1[[#This Row],[PAGO DIA]],DIAS!A:J,10,0)</f>
        <v>46325</v>
      </c>
      <c r="Z1223" s="6">
        <v>0</v>
      </c>
      <c r="AA1223" s="43">
        <f>VLOOKUP(Tabla1[[#This Row],[PAGO DIA]],DIAS!A:K,11,0)</f>
        <v>46356</v>
      </c>
      <c r="AB1223" s="6">
        <v>0</v>
      </c>
      <c r="AC1223" s="43">
        <f>VLOOKUP(Tabla1[[#This Row],[PAGO DIA]],DIAS!A:M,12,0)</f>
        <v>46386</v>
      </c>
      <c r="AD12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4" spans="1:30">
      <c r="A1224" s="3">
        <v>11971</v>
      </c>
      <c r="B1224" s="3" t="s">
        <v>538</v>
      </c>
      <c r="C1224" s="3" t="s">
        <v>540</v>
      </c>
      <c r="D1224" s="3" t="s">
        <v>540</v>
      </c>
      <c r="E1224" s="3" t="s">
        <v>1726</v>
      </c>
      <c r="F1224" s="42" t="s">
        <v>631</v>
      </c>
      <c r="G1224" s="3" t="s">
        <v>1735</v>
      </c>
      <c r="H1224" s="6">
        <v>0</v>
      </c>
      <c r="I1224" s="41">
        <f>VLOOKUP(Tabla1[[#This Row],[PAGO DIA]],DIAS!A:B,2,0)</f>
        <v>46080</v>
      </c>
      <c r="J1224" s="6">
        <v>0</v>
      </c>
      <c r="K1224" s="43">
        <f>VLOOKUP(Tabla1[[#This Row],[PAGO DIA]],DIAS!A:C,3,0)</f>
        <v>46112</v>
      </c>
      <c r="L1224" s="6">
        <v>0</v>
      </c>
      <c r="M1224" s="41">
        <f>VLOOKUP(Tabla1[[#This Row],[PAGO DIA]],DIAS!A:D,4,0)</f>
        <v>46142</v>
      </c>
      <c r="N1224" s="6">
        <v>0</v>
      </c>
      <c r="O1224" s="43">
        <f>VLOOKUP(Tabla1[[#This Row],[PAGO DIA]],DIAS!A:E,5,0)</f>
        <v>46171</v>
      </c>
      <c r="P1224" s="6">
        <v>0</v>
      </c>
      <c r="Q1224" s="43">
        <f>VLOOKUP(Tabla1[[#This Row],[PAGO DIA]],DIAS!A:F,6,0)</f>
        <v>46203</v>
      </c>
      <c r="R1224" s="6">
        <v>0</v>
      </c>
      <c r="S1224" s="43">
        <f>VLOOKUP(Tabla1[[#This Row],[PAGO DIA]],DIAS!A:G,7,0)</f>
        <v>46234</v>
      </c>
      <c r="T1224" s="6">
        <v>0</v>
      </c>
      <c r="U1224" s="43">
        <f>VLOOKUP(Tabla1[[#This Row],[PAGO DIA]],DIAS!A:H,8,0)</f>
        <v>46265</v>
      </c>
      <c r="V1224" s="6">
        <v>0</v>
      </c>
      <c r="W1224" s="43">
        <f>VLOOKUP(Tabla1[[#This Row],[PAGO DIA]],DIAS!A:I,9,0)</f>
        <v>46295</v>
      </c>
      <c r="X1224" s="6">
        <v>0</v>
      </c>
      <c r="Y1224" s="43">
        <f>VLOOKUP(Tabla1[[#This Row],[PAGO DIA]],DIAS!A:J,10,0)</f>
        <v>46325</v>
      </c>
      <c r="Z1224" s="6">
        <v>0</v>
      </c>
      <c r="AA1224" s="43">
        <f>VLOOKUP(Tabla1[[#This Row],[PAGO DIA]],DIAS!A:K,11,0)</f>
        <v>46356</v>
      </c>
      <c r="AB1224" s="6">
        <v>0</v>
      </c>
      <c r="AC1224" s="43">
        <f>VLOOKUP(Tabla1[[#This Row],[PAGO DIA]],DIAS!A:M,12,0)</f>
        <v>46386</v>
      </c>
      <c r="AD12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5" spans="1:30">
      <c r="A1225" s="3">
        <v>11972</v>
      </c>
      <c r="B1225" s="3" t="s">
        <v>538</v>
      </c>
      <c r="C1225" s="3" t="s">
        <v>540</v>
      </c>
      <c r="D1225" s="3" t="s">
        <v>540</v>
      </c>
      <c r="E1225" s="3" t="s">
        <v>1726</v>
      </c>
      <c r="F1225" s="42" t="s">
        <v>631</v>
      </c>
      <c r="G1225" s="3" t="s">
        <v>1735</v>
      </c>
      <c r="H1225" s="6">
        <v>0</v>
      </c>
      <c r="I1225" s="41">
        <f>VLOOKUP(Tabla1[[#This Row],[PAGO DIA]],DIAS!A:B,2,0)</f>
        <v>46080</v>
      </c>
      <c r="J1225" s="6">
        <v>0</v>
      </c>
      <c r="K1225" s="43">
        <f>VLOOKUP(Tabla1[[#This Row],[PAGO DIA]],DIAS!A:C,3,0)</f>
        <v>46112</v>
      </c>
      <c r="L1225" s="6">
        <v>0</v>
      </c>
      <c r="M1225" s="41">
        <f>VLOOKUP(Tabla1[[#This Row],[PAGO DIA]],DIAS!A:D,4,0)</f>
        <v>46142</v>
      </c>
      <c r="N1225" s="6">
        <v>0</v>
      </c>
      <c r="O1225" s="43">
        <f>VLOOKUP(Tabla1[[#This Row],[PAGO DIA]],DIAS!A:E,5,0)</f>
        <v>46171</v>
      </c>
      <c r="P1225" s="6">
        <v>0</v>
      </c>
      <c r="Q1225" s="43">
        <f>VLOOKUP(Tabla1[[#This Row],[PAGO DIA]],DIAS!A:F,6,0)</f>
        <v>46203</v>
      </c>
      <c r="R1225" s="6">
        <v>0</v>
      </c>
      <c r="S1225" s="43">
        <f>VLOOKUP(Tabla1[[#This Row],[PAGO DIA]],DIAS!A:G,7,0)</f>
        <v>46234</v>
      </c>
      <c r="T1225" s="6">
        <v>0</v>
      </c>
      <c r="U1225" s="43">
        <f>VLOOKUP(Tabla1[[#This Row],[PAGO DIA]],DIAS!A:H,8,0)</f>
        <v>46265</v>
      </c>
      <c r="V1225" s="6">
        <v>0</v>
      </c>
      <c r="W1225" s="43">
        <f>VLOOKUP(Tabla1[[#This Row],[PAGO DIA]],DIAS!A:I,9,0)</f>
        <v>46295</v>
      </c>
      <c r="X1225" s="6">
        <v>0</v>
      </c>
      <c r="Y1225" s="43">
        <f>VLOOKUP(Tabla1[[#This Row],[PAGO DIA]],DIAS!A:J,10,0)</f>
        <v>46325</v>
      </c>
      <c r="Z1225" s="6">
        <v>0</v>
      </c>
      <c r="AA1225" s="43">
        <f>VLOOKUP(Tabla1[[#This Row],[PAGO DIA]],DIAS!A:K,11,0)</f>
        <v>46356</v>
      </c>
      <c r="AB1225" s="6">
        <v>0</v>
      </c>
      <c r="AC1225" s="43">
        <f>VLOOKUP(Tabla1[[#This Row],[PAGO DIA]],DIAS!A:M,12,0)</f>
        <v>46386</v>
      </c>
      <c r="AD12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6" spans="1:30">
      <c r="A1226" s="3">
        <v>11086</v>
      </c>
      <c r="B1226" s="3" t="s">
        <v>538</v>
      </c>
      <c r="C1226" s="3" t="s">
        <v>539</v>
      </c>
      <c r="D1226" s="3" t="s">
        <v>540</v>
      </c>
      <c r="E1226" s="3" t="s">
        <v>1736</v>
      </c>
      <c r="F1226" s="42" t="s">
        <v>631</v>
      </c>
      <c r="G1226" s="3"/>
      <c r="H1226" s="6">
        <v>0</v>
      </c>
      <c r="I1226" s="41">
        <f>VLOOKUP(Tabla1[[#This Row],[PAGO DIA]],DIAS!A:B,2,0)</f>
        <v>46080</v>
      </c>
      <c r="J1226" s="6">
        <v>0</v>
      </c>
      <c r="K1226" s="43">
        <f>VLOOKUP(Tabla1[[#This Row],[PAGO DIA]],DIAS!A:C,3,0)</f>
        <v>46112</v>
      </c>
      <c r="L1226" s="6">
        <v>0</v>
      </c>
      <c r="M1226" s="41">
        <f>VLOOKUP(Tabla1[[#This Row],[PAGO DIA]],DIAS!A:D,4,0)</f>
        <v>46142</v>
      </c>
      <c r="N1226" s="6">
        <v>0</v>
      </c>
      <c r="O1226" s="43">
        <f>VLOOKUP(Tabla1[[#This Row],[PAGO DIA]],DIAS!A:E,5,0)</f>
        <v>46171</v>
      </c>
      <c r="P1226" s="6">
        <v>0</v>
      </c>
      <c r="Q1226" s="43">
        <f>VLOOKUP(Tabla1[[#This Row],[PAGO DIA]],DIAS!A:F,6,0)</f>
        <v>46203</v>
      </c>
      <c r="R1226" s="6">
        <v>0</v>
      </c>
      <c r="S1226" s="43">
        <f>VLOOKUP(Tabla1[[#This Row],[PAGO DIA]],DIAS!A:G,7,0)</f>
        <v>46234</v>
      </c>
      <c r="T1226" s="6">
        <v>0</v>
      </c>
      <c r="U1226" s="43">
        <f>VLOOKUP(Tabla1[[#This Row],[PAGO DIA]],DIAS!A:H,8,0)</f>
        <v>46265</v>
      </c>
      <c r="V1226" s="6">
        <v>0</v>
      </c>
      <c r="W1226" s="43">
        <f>VLOOKUP(Tabla1[[#This Row],[PAGO DIA]],DIAS!A:I,9,0)</f>
        <v>46295</v>
      </c>
      <c r="X1226" s="6">
        <v>0</v>
      </c>
      <c r="Y1226" s="43">
        <f>VLOOKUP(Tabla1[[#This Row],[PAGO DIA]],DIAS!A:J,10,0)</f>
        <v>46325</v>
      </c>
      <c r="Z1226" s="6">
        <v>0</v>
      </c>
      <c r="AA1226" s="43">
        <f>VLOOKUP(Tabla1[[#This Row],[PAGO DIA]],DIAS!A:K,11,0)</f>
        <v>46356</v>
      </c>
      <c r="AB1226" s="6">
        <v>0</v>
      </c>
      <c r="AC1226" s="43">
        <f>VLOOKUP(Tabla1[[#This Row],[PAGO DIA]],DIAS!A:M,12,0)</f>
        <v>46386</v>
      </c>
      <c r="AD12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7" spans="1:30">
      <c r="A1227" s="3">
        <v>11373</v>
      </c>
      <c r="B1227" s="3" t="s">
        <v>538</v>
      </c>
      <c r="C1227" s="3" t="s">
        <v>539</v>
      </c>
      <c r="D1227" s="3" t="s">
        <v>540</v>
      </c>
      <c r="E1227" s="3" t="s">
        <v>1736</v>
      </c>
      <c r="F1227" s="42" t="s">
        <v>631</v>
      </c>
      <c r="G1227" s="3"/>
      <c r="H1227" s="6">
        <v>0</v>
      </c>
      <c r="I1227" s="41">
        <f>VLOOKUP(Tabla1[[#This Row],[PAGO DIA]],DIAS!A:B,2,0)</f>
        <v>46080</v>
      </c>
      <c r="J1227" s="6">
        <v>0</v>
      </c>
      <c r="K1227" s="43">
        <f>VLOOKUP(Tabla1[[#This Row],[PAGO DIA]],DIAS!A:C,3,0)</f>
        <v>46112</v>
      </c>
      <c r="L1227" s="6">
        <v>0</v>
      </c>
      <c r="M1227" s="41">
        <f>VLOOKUP(Tabla1[[#This Row],[PAGO DIA]],DIAS!A:D,4,0)</f>
        <v>46142</v>
      </c>
      <c r="N1227" s="6">
        <v>0</v>
      </c>
      <c r="O1227" s="43">
        <f>VLOOKUP(Tabla1[[#This Row],[PAGO DIA]],DIAS!A:E,5,0)</f>
        <v>46171</v>
      </c>
      <c r="P1227" s="6">
        <v>0</v>
      </c>
      <c r="Q1227" s="43">
        <f>VLOOKUP(Tabla1[[#This Row],[PAGO DIA]],DIAS!A:F,6,0)</f>
        <v>46203</v>
      </c>
      <c r="R1227" s="6">
        <v>0</v>
      </c>
      <c r="S1227" s="43">
        <f>VLOOKUP(Tabla1[[#This Row],[PAGO DIA]],DIAS!A:G,7,0)</f>
        <v>46234</v>
      </c>
      <c r="T1227" s="6">
        <v>0</v>
      </c>
      <c r="U1227" s="43">
        <f>VLOOKUP(Tabla1[[#This Row],[PAGO DIA]],DIAS!A:H,8,0)</f>
        <v>46265</v>
      </c>
      <c r="V1227" s="6">
        <v>0</v>
      </c>
      <c r="W1227" s="43">
        <f>VLOOKUP(Tabla1[[#This Row],[PAGO DIA]],DIAS!A:I,9,0)</f>
        <v>46295</v>
      </c>
      <c r="X1227" s="6">
        <v>0</v>
      </c>
      <c r="Y1227" s="43">
        <f>VLOOKUP(Tabla1[[#This Row],[PAGO DIA]],DIAS!A:J,10,0)</f>
        <v>46325</v>
      </c>
      <c r="Z1227" s="6">
        <v>0</v>
      </c>
      <c r="AA1227" s="43">
        <f>VLOOKUP(Tabla1[[#This Row],[PAGO DIA]],DIAS!A:K,11,0)</f>
        <v>46356</v>
      </c>
      <c r="AB1227" s="6">
        <v>0</v>
      </c>
      <c r="AC1227" s="43">
        <f>VLOOKUP(Tabla1[[#This Row],[PAGO DIA]],DIAS!A:M,12,0)</f>
        <v>46386</v>
      </c>
      <c r="AD12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8" spans="1:30">
      <c r="A1228" s="3">
        <v>11155</v>
      </c>
      <c r="B1228" s="3" t="s">
        <v>538</v>
      </c>
      <c r="C1228" s="3" t="s">
        <v>539</v>
      </c>
      <c r="D1228" s="3" t="s">
        <v>540</v>
      </c>
      <c r="E1228" s="3" t="s">
        <v>1737</v>
      </c>
      <c r="F1228" s="42" t="s">
        <v>631</v>
      </c>
      <c r="G1228" s="3"/>
      <c r="H1228" s="6">
        <v>0</v>
      </c>
      <c r="I1228" s="41">
        <f>VLOOKUP(Tabla1[[#This Row],[PAGO DIA]],DIAS!A:B,2,0)</f>
        <v>46080</v>
      </c>
      <c r="J1228" s="6">
        <v>0</v>
      </c>
      <c r="K1228" s="43">
        <f>VLOOKUP(Tabla1[[#This Row],[PAGO DIA]],DIAS!A:C,3,0)</f>
        <v>46112</v>
      </c>
      <c r="L1228" s="6">
        <v>0</v>
      </c>
      <c r="M1228" s="41">
        <f>VLOOKUP(Tabla1[[#This Row],[PAGO DIA]],DIAS!A:D,4,0)</f>
        <v>46142</v>
      </c>
      <c r="N1228" s="6">
        <v>0</v>
      </c>
      <c r="O1228" s="43">
        <f>VLOOKUP(Tabla1[[#This Row],[PAGO DIA]],DIAS!A:E,5,0)</f>
        <v>46171</v>
      </c>
      <c r="P1228" s="6">
        <v>0</v>
      </c>
      <c r="Q1228" s="43">
        <f>VLOOKUP(Tabla1[[#This Row],[PAGO DIA]],DIAS!A:F,6,0)</f>
        <v>46203</v>
      </c>
      <c r="R1228" s="6">
        <v>0</v>
      </c>
      <c r="S1228" s="43">
        <f>VLOOKUP(Tabla1[[#This Row],[PAGO DIA]],DIAS!A:G,7,0)</f>
        <v>46234</v>
      </c>
      <c r="T1228" s="6">
        <v>0</v>
      </c>
      <c r="U1228" s="43">
        <f>VLOOKUP(Tabla1[[#This Row],[PAGO DIA]],DIAS!A:H,8,0)</f>
        <v>46265</v>
      </c>
      <c r="V1228" s="6">
        <v>0</v>
      </c>
      <c r="W1228" s="43">
        <f>VLOOKUP(Tabla1[[#This Row],[PAGO DIA]],DIAS!A:I,9,0)</f>
        <v>46295</v>
      </c>
      <c r="X1228" s="6">
        <v>0</v>
      </c>
      <c r="Y1228" s="43">
        <f>VLOOKUP(Tabla1[[#This Row],[PAGO DIA]],DIAS!A:J,10,0)</f>
        <v>46325</v>
      </c>
      <c r="Z1228" s="6">
        <v>0</v>
      </c>
      <c r="AA1228" s="43">
        <f>VLOOKUP(Tabla1[[#This Row],[PAGO DIA]],DIAS!A:K,11,0)</f>
        <v>46356</v>
      </c>
      <c r="AB1228" s="6">
        <v>0</v>
      </c>
      <c r="AC1228" s="43">
        <f>VLOOKUP(Tabla1[[#This Row],[PAGO DIA]],DIAS!A:M,12,0)</f>
        <v>46386</v>
      </c>
      <c r="AD12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29" spans="1:30">
      <c r="A1229" s="3">
        <v>12117</v>
      </c>
      <c r="B1229" s="3" t="s">
        <v>538</v>
      </c>
      <c r="C1229" s="3" t="s">
        <v>540</v>
      </c>
      <c r="D1229" s="3" t="s">
        <v>540</v>
      </c>
      <c r="E1229" s="3" t="s">
        <v>1738</v>
      </c>
      <c r="F1229" s="42" t="s">
        <v>631</v>
      </c>
      <c r="G1229" s="3" t="s">
        <v>1161</v>
      </c>
      <c r="H1229" s="6">
        <v>0</v>
      </c>
      <c r="I1229" s="41">
        <f>VLOOKUP(Tabla1[[#This Row],[PAGO DIA]],DIAS!A:B,2,0)</f>
        <v>46080</v>
      </c>
      <c r="J1229" s="6">
        <v>0</v>
      </c>
      <c r="K1229" s="43">
        <f>VLOOKUP(Tabla1[[#This Row],[PAGO DIA]],DIAS!A:C,3,0)</f>
        <v>46112</v>
      </c>
      <c r="L1229" s="6">
        <v>0</v>
      </c>
      <c r="M1229" s="41">
        <f>VLOOKUP(Tabla1[[#This Row],[PAGO DIA]],DIAS!A:D,4,0)</f>
        <v>46142</v>
      </c>
      <c r="N1229" s="6">
        <v>0</v>
      </c>
      <c r="O1229" s="43">
        <f>VLOOKUP(Tabla1[[#This Row],[PAGO DIA]],DIAS!A:E,5,0)</f>
        <v>46171</v>
      </c>
      <c r="P1229" s="6">
        <v>0</v>
      </c>
      <c r="Q1229" s="43">
        <f>VLOOKUP(Tabla1[[#This Row],[PAGO DIA]],DIAS!A:F,6,0)</f>
        <v>46203</v>
      </c>
      <c r="R1229" s="6">
        <v>0</v>
      </c>
      <c r="S1229" s="43">
        <f>VLOOKUP(Tabla1[[#This Row],[PAGO DIA]],DIAS!A:G,7,0)</f>
        <v>46234</v>
      </c>
      <c r="T1229" s="6">
        <v>0</v>
      </c>
      <c r="U1229" s="43">
        <f>VLOOKUP(Tabla1[[#This Row],[PAGO DIA]],DIAS!A:H,8,0)</f>
        <v>46265</v>
      </c>
      <c r="V1229" s="6">
        <v>0</v>
      </c>
      <c r="W1229" s="43">
        <f>VLOOKUP(Tabla1[[#This Row],[PAGO DIA]],DIAS!A:I,9,0)</f>
        <v>46295</v>
      </c>
      <c r="X1229" s="6">
        <v>0</v>
      </c>
      <c r="Y1229" s="43">
        <f>VLOOKUP(Tabla1[[#This Row],[PAGO DIA]],DIAS!A:J,10,0)</f>
        <v>46325</v>
      </c>
      <c r="Z1229" s="6">
        <v>0</v>
      </c>
      <c r="AA1229" s="43">
        <f>VLOOKUP(Tabla1[[#This Row],[PAGO DIA]],DIAS!A:K,11,0)</f>
        <v>46356</v>
      </c>
      <c r="AB1229" s="6">
        <v>0</v>
      </c>
      <c r="AC1229" s="43">
        <f>VLOOKUP(Tabla1[[#This Row],[PAGO DIA]],DIAS!A:M,12,0)</f>
        <v>46386</v>
      </c>
      <c r="AD12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0" spans="1:30">
      <c r="A1230" s="3">
        <v>12118</v>
      </c>
      <c r="B1230" s="3" t="s">
        <v>538</v>
      </c>
      <c r="C1230" s="3" t="s">
        <v>540</v>
      </c>
      <c r="D1230" s="3" t="s">
        <v>540</v>
      </c>
      <c r="E1230" s="3" t="s">
        <v>1739</v>
      </c>
      <c r="F1230" s="42" t="s">
        <v>631</v>
      </c>
      <c r="G1230" s="3" t="s">
        <v>1161</v>
      </c>
      <c r="H1230" s="6">
        <v>0</v>
      </c>
      <c r="I1230" s="41">
        <f>VLOOKUP(Tabla1[[#This Row],[PAGO DIA]],DIAS!A:B,2,0)</f>
        <v>46080</v>
      </c>
      <c r="J1230" s="6">
        <v>0</v>
      </c>
      <c r="K1230" s="43">
        <f>VLOOKUP(Tabla1[[#This Row],[PAGO DIA]],DIAS!A:C,3,0)</f>
        <v>46112</v>
      </c>
      <c r="L1230" s="6">
        <v>0</v>
      </c>
      <c r="M1230" s="41">
        <f>VLOOKUP(Tabla1[[#This Row],[PAGO DIA]],DIAS!A:D,4,0)</f>
        <v>46142</v>
      </c>
      <c r="N1230" s="6">
        <v>0</v>
      </c>
      <c r="O1230" s="43">
        <f>VLOOKUP(Tabla1[[#This Row],[PAGO DIA]],DIAS!A:E,5,0)</f>
        <v>46171</v>
      </c>
      <c r="P1230" s="6">
        <v>0</v>
      </c>
      <c r="Q1230" s="43">
        <f>VLOOKUP(Tabla1[[#This Row],[PAGO DIA]],DIAS!A:F,6,0)</f>
        <v>46203</v>
      </c>
      <c r="R1230" s="6">
        <v>0</v>
      </c>
      <c r="S1230" s="43">
        <f>VLOOKUP(Tabla1[[#This Row],[PAGO DIA]],DIAS!A:G,7,0)</f>
        <v>46234</v>
      </c>
      <c r="T1230" s="6">
        <v>0</v>
      </c>
      <c r="U1230" s="43">
        <f>VLOOKUP(Tabla1[[#This Row],[PAGO DIA]],DIAS!A:H,8,0)</f>
        <v>46265</v>
      </c>
      <c r="V1230" s="6">
        <v>0</v>
      </c>
      <c r="W1230" s="43">
        <f>VLOOKUP(Tabla1[[#This Row],[PAGO DIA]],DIAS!A:I,9,0)</f>
        <v>46295</v>
      </c>
      <c r="X1230" s="6">
        <v>0</v>
      </c>
      <c r="Y1230" s="43">
        <f>VLOOKUP(Tabla1[[#This Row],[PAGO DIA]],DIAS!A:J,10,0)</f>
        <v>46325</v>
      </c>
      <c r="Z1230" s="6">
        <v>0</v>
      </c>
      <c r="AA1230" s="43">
        <f>VLOOKUP(Tabla1[[#This Row],[PAGO DIA]],DIAS!A:K,11,0)</f>
        <v>46356</v>
      </c>
      <c r="AB1230" s="6">
        <v>0</v>
      </c>
      <c r="AC1230" s="43">
        <f>VLOOKUP(Tabla1[[#This Row],[PAGO DIA]],DIAS!A:M,12,0)</f>
        <v>46386</v>
      </c>
      <c r="AD12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1" spans="1:30">
      <c r="A1231" s="3">
        <v>11337</v>
      </c>
      <c r="B1231" s="3" t="s">
        <v>538</v>
      </c>
      <c r="C1231" s="3" t="s">
        <v>540</v>
      </c>
      <c r="D1231" s="3" t="s">
        <v>540</v>
      </c>
      <c r="E1231" s="3" t="s">
        <v>1740</v>
      </c>
      <c r="F1231" s="42" t="s">
        <v>631</v>
      </c>
      <c r="G1231" s="3"/>
      <c r="H1231" s="6">
        <v>0</v>
      </c>
      <c r="I1231" s="41">
        <f>VLOOKUP(Tabla1[[#This Row],[PAGO DIA]],DIAS!A:B,2,0)</f>
        <v>46080</v>
      </c>
      <c r="J1231" s="6">
        <v>0</v>
      </c>
      <c r="K1231" s="43">
        <f>VLOOKUP(Tabla1[[#This Row],[PAGO DIA]],DIAS!A:C,3,0)</f>
        <v>46112</v>
      </c>
      <c r="L1231" s="6">
        <v>0</v>
      </c>
      <c r="M1231" s="41">
        <f>VLOOKUP(Tabla1[[#This Row],[PAGO DIA]],DIAS!A:D,4,0)</f>
        <v>46142</v>
      </c>
      <c r="N1231" s="6">
        <v>0</v>
      </c>
      <c r="O1231" s="43">
        <f>VLOOKUP(Tabla1[[#This Row],[PAGO DIA]],DIAS!A:E,5,0)</f>
        <v>46171</v>
      </c>
      <c r="P1231" s="6">
        <v>0</v>
      </c>
      <c r="Q1231" s="43">
        <f>VLOOKUP(Tabla1[[#This Row],[PAGO DIA]],DIAS!A:F,6,0)</f>
        <v>46203</v>
      </c>
      <c r="R1231" s="6">
        <v>0</v>
      </c>
      <c r="S1231" s="43">
        <f>VLOOKUP(Tabla1[[#This Row],[PAGO DIA]],DIAS!A:G,7,0)</f>
        <v>46234</v>
      </c>
      <c r="T1231" s="6">
        <v>0</v>
      </c>
      <c r="U1231" s="43">
        <f>VLOOKUP(Tabla1[[#This Row],[PAGO DIA]],DIAS!A:H,8,0)</f>
        <v>46265</v>
      </c>
      <c r="V1231" s="6">
        <v>0</v>
      </c>
      <c r="W1231" s="43">
        <f>VLOOKUP(Tabla1[[#This Row],[PAGO DIA]],DIAS!A:I,9,0)</f>
        <v>46295</v>
      </c>
      <c r="X1231" s="6">
        <v>0</v>
      </c>
      <c r="Y1231" s="43">
        <f>VLOOKUP(Tabla1[[#This Row],[PAGO DIA]],DIAS!A:J,10,0)</f>
        <v>46325</v>
      </c>
      <c r="Z1231" s="6">
        <v>0</v>
      </c>
      <c r="AA1231" s="43">
        <f>VLOOKUP(Tabla1[[#This Row],[PAGO DIA]],DIAS!A:K,11,0)</f>
        <v>46356</v>
      </c>
      <c r="AB1231" s="6">
        <v>0</v>
      </c>
      <c r="AC1231" s="43">
        <f>VLOOKUP(Tabla1[[#This Row],[PAGO DIA]],DIAS!A:M,12,0)</f>
        <v>46386</v>
      </c>
      <c r="AD12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2" spans="1:30">
      <c r="A1232" s="3">
        <v>11981</v>
      </c>
      <c r="B1232" s="3" t="s">
        <v>538</v>
      </c>
      <c r="C1232" s="3"/>
      <c r="D1232" s="3" t="s">
        <v>540</v>
      </c>
      <c r="E1232" s="3" t="s">
        <v>1741</v>
      </c>
      <c r="F1232" s="42" t="s">
        <v>631</v>
      </c>
      <c r="G1232" s="3"/>
      <c r="H1232" s="6">
        <v>0</v>
      </c>
      <c r="I1232" s="41">
        <f>VLOOKUP(Tabla1[[#This Row],[PAGO DIA]],DIAS!A:B,2,0)</f>
        <v>46080</v>
      </c>
      <c r="J1232" s="6">
        <v>0</v>
      </c>
      <c r="K1232" s="43">
        <f>VLOOKUP(Tabla1[[#This Row],[PAGO DIA]],DIAS!A:C,3,0)</f>
        <v>46112</v>
      </c>
      <c r="L1232" s="6">
        <v>0</v>
      </c>
      <c r="M1232" s="41">
        <f>VLOOKUP(Tabla1[[#This Row],[PAGO DIA]],DIAS!A:D,4,0)</f>
        <v>46142</v>
      </c>
      <c r="N1232" s="6">
        <v>0</v>
      </c>
      <c r="O1232" s="43">
        <f>VLOOKUP(Tabla1[[#This Row],[PAGO DIA]],DIAS!A:E,5,0)</f>
        <v>46171</v>
      </c>
      <c r="P1232" s="6">
        <v>0</v>
      </c>
      <c r="Q1232" s="43">
        <f>VLOOKUP(Tabla1[[#This Row],[PAGO DIA]],DIAS!A:F,6,0)</f>
        <v>46203</v>
      </c>
      <c r="R1232" s="6">
        <v>0</v>
      </c>
      <c r="S1232" s="43">
        <f>VLOOKUP(Tabla1[[#This Row],[PAGO DIA]],DIAS!A:G,7,0)</f>
        <v>46234</v>
      </c>
      <c r="T1232" s="6">
        <v>0</v>
      </c>
      <c r="U1232" s="43">
        <f>VLOOKUP(Tabla1[[#This Row],[PAGO DIA]],DIAS!A:H,8,0)</f>
        <v>46265</v>
      </c>
      <c r="V1232" s="6">
        <v>0</v>
      </c>
      <c r="W1232" s="43">
        <f>VLOOKUP(Tabla1[[#This Row],[PAGO DIA]],DIAS!A:I,9,0)</f>
        <v>46295</v>
      </c>
      <c r="X1232" s="6">
        <v>0</v>
      </c>
      <c r="Y1232" s="43">
        <f>VLOOKUP(Tabla1[[#This Row],[PAGO DIA]],DIAS!A:J,10,0)</f>
        <v>46325</v>
      </c>
      <c r="Z1232" s="6">
        <v>0</v>
      </c>
      <c r="AA1232" s="43">
        <f>VLOOKUP(Tabla1[[#This Row],[PAGO DIA]],DIAS!A:K,11,0)</f>
        <v>46356</v>
      </c>
      <c r="AB1232" s="6">
        <v>0</v>
      </c>
      <c r="AC1232" s="43">
        <f>VLOOKUP(Tabla1[[#This Row],[PAGO DIA]],DIAS!A:M,12,0)</f>
        <v>46386</v>
      </c>
      <c r="AD12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3" spans="1:30">
      <c r="A1233" s="3">
        <v>10940</v>
      </c>
      <c r="B1233" s="3" t="s">
        <v>1742</v>
      </c>
      <c r="C1233" s="3" t="s">
        <v>1743</v>
      </c>
      <c r="D1233" s="3" t="s">
        <v>1744</v>
      </c>
      <c r="E1233" s="3" t="s">
        <v>1744</v>
      </c>
      <c r="F1233" s="42" t="s">
        <v>631</v>
      </c>
      <c r="G1233" s="3"/>
      <c r="H1233" s="7">
        <v>3702053563</v>
      </c>
      <c r="I1233" s="41">
        <f>VLOOKUP(Tabla1[[#This Row],[PAGO DIA]],DIAS!A:B,2,0)</f>
        <v>46080</v>
      </c>
      <c r="J1233" s="6">
        <v>4097561305</v>
      </c>
      <c r="K1233" s="43">
        <f>VLOOKUP(Tabla1[[#This Row],[PAGO DIA]],DIAS!A:C,3,0)</f>
        <v>46112</v>
      </c>
      <c r="L1233" s="6">
        <v>2939983396.4000001</v>
      </c>
      <c r="M1233" s="41">
        <f>VLOOKUP(Tabla1[[#This Row],[PAGO DIA]],DIAS!A:D,4,0)</f>
        <v>46142</v>
      </c>
      <c r="N1233" s="6">
        <v>2885700609.1999998</v>
      </c>
      <c r="O1233" s="43">
        <f>VLOOKUP(Tabla1[[#This Row],[PAGO DIA]],DIAS!A:E,5,0)</f>
        <v>46171</v>
      </c>
      <c r="P1233" s="6">
        <v>2777135034.8000002</v>
      </c>
      <c r="Q1233" s="43">
        <f>VLOOKUP(Tabla1[[#This Row],[PAGO DIA]],DIAS!A:F,6,0)</f>
        <v>46203</v>
      </c>
      <c r="R1233" s="6">
        <v>2939983396.4000001</v>
      </c>
      <c r="S1233" s="43">
        <f>VLOOKUP(Tabla1[[#This Row],[PAGO DIA]],DIAS!A:G,7,0)</f>
        <v>46234</v>
      </c>
      <c r="T1233" s="6">
        <v>3211397332.4000001</v>
      </c>
      <c r="U1233" s="43">
        <f>VLOOKUP(Tabla1[[#This Row],[PAGO DIA]],DIAS!A:H,8,0)</f>
        <v>46265</v>
      </c>
      <c r="V1233" s="6">
        <v>2831417822</v>
      </c>
      <c r="W1233" s="43">
        <f>VLOOKUP(Tabla1[[#This Row],[PAGO DIA]],DIAS!A:I,9,0)</f>
        <v>46295</v>
      </c>
      <c r="X1233" s="6">
        <v>2722852247.5999999</v>
      </c>
      <c r="Y1233" s="43">
        <f>VLOOKUP(Tabla1[[#This Row],[PAGO DIA]],DIAS!A:J,10,0)</f>
        <v>46325</v>
      </c>
      <c r="Z1233" s="6">
        <v>2668569460.4000001</v>
      </c>
      <c r="AA1233" s="43">
        <f>VLOOKUP(Tabla1[[#This Row],[PAGO DIA]],DIAS!A:K,11,0)</f>
        <v>46356</v>
      </c>
      <c r="AB1233" s="6">
        <v>2885700609.1999998</v>
      </c>
      <c r="AC1233" s="43">
        <f>VLOOKUP(Tabla1[[#This Row],[PAGO DIA]],DIAS!A:M,12,0)</f>
        <v>46386</v>
      </c>
      <c r="AD12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33662354776.400002</v>
      </c>
    </row>
    <row r="1234" spans="1:30">
      <c r="A1234" s="3">
        <v>11370</v>
      </c>
      <c r="B1234" s="3" t="s">
        <v>1742</v>
      </c>
      <c r="C1234" s="3" t="s">
        <v>1743</v>
      </c>
      <c r="D1234" s="3" t="s">
        <v>1744</v>
      </c>
      <c r="E1234" s="3" t="s">
        <v>1744</v>
      </c>
      <c r="F1234" s="42" t="s">
        <v>631</v>
      </c>
      <c r="G1234" s="3"/>
      <c r="H1234" s="6">
        <v>0</v>
      </c>
      <c r="I1234" s="41">
        <f>VLOOKUP(Tabla1[[#This Row],[PAGO DIA]],DIAS!A:B,2,0)</f>
        <v>46080</v>
      </c>
      <c r="J1234" s="6">
        <v>0</v>
      </c>
      <c r="K1234" s="43">
        <f>VLOOKUP(Tabla1[[#This Row],[PAGO DIA]],DIAS!A:C,3,0)</f>
        <v>46112</v>
      </c>
      <c r="L1234" s="6">
        <v>0</v>
      </c>
      <c r="M1234" s="41">
        <f>VLOOKUP(Tabla1[[#This Row],[PAGO DIA]],DIAS!A:D,4,0)</f>
        <v>46142</v>
      </c>
      <c r="N1234" s="6">
        <v>0</v>
      </c>
      <c r="O1234" s="43">
        <f>VLOOKUP(Tabla1[[#This Row],[PAGO DIA]],DIAS!A:E,5,0)</f>
        <v>46171</v>
      </c>
      <c r="P1234" s="6">
        <v>0</v>
      </c>
      <c r="Q1234" s="43">
        <f>VLOOKUP(Tabla1[[#This Row],[PAGO DIA]],DIAS!A:F,6,0)</f>
        <v>46203</v>
      </c>
      <c r="R1234" s="6">
        <v>0</v>
      </c>
      <c r="S1234" s="43">
        <f>VLOOKUP(Tabla1[[#This Row],[PAGO DIA]],DIAS!A:G,7,0)</f>
        <v>46234</v>
      </c>
      <c r="T1234" s="6">
        <v>0</v>
      </c>
      <c r="U1234" s="43">
        <f>VLOOKUP(Tabla1[[#This Row],[PAGO DIA]],DIAS!A:H,8,0)</f>
        <v>46265</v>
      </c>
      <c r="V1234" s="6">
        <v>0</v>
      </c>
      <c r="W1234" s="43">
        <f>VLOOKUP(Tabla1[[#This Row],[PAGO DIA]],DIAS!A:I,9,0)</f>
        <v>46295</v>
      </c>
      <c r="X1234" s="6">
        <v>0</v>
      </c>
      <c r="Y1234" s="43">
        <f>VLOOKUP(Tabla1[[#This Row],[PAGO DIA]],DIAS!A:J,10,0)</f>
        <v>46325</v>
      </c>
      <c r="Z1234" s="6">
        <v>0</v>
      </c>
      <c r="AA1234" s="43">
        <f>VLOOKUP(Tabla1[[#This Row],[PAGO DIA]],DIAS!A:K,11,0)</f>
        <v>46356</v>
      </c>
      <c r="AB1234" s="6">
        <v>0</v>
      </c>
      <c r="AC1234" s="43">
        <f>VLOOKUP(Tabla1[[#This Row],[PAGO DIA]],DIAS!A:M,12,0)</f>
        <v>46386</v>
      </c>
      <c r="AD12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5" spans="1:30">
      <c r="A1235" s="3">
        <v>12501</v>
      </c>
      <c r="B1235" s="3" t="s">
        <v>1742</v>
      </c>
      <c r="C1235" s="3"/>
      <c r="D1235" s="3" t="s">
        <v>1744</v>
      </c>
      <c r="E1235" s="3" t="s">
        <v>1744</v>
      </c>
      <c r="F1235" s="42" t="s">
        <v>631</v>
      </c>
      <c r="G1235" s="3"/>
      <c r="H1235" s="6">
        <v>0</v>
      </c>
      <c r="I1235" s="41">
        <f>VLOOKUP(Tabla1[[#This Row],[PAGO DIA]],DIAS!A:B,2,0)</f>
        <v>46080</v>
      </c>
      <c r="J1235" s="6">
        <v>0</v>
      </c>
      <c r="K1235" s="43">
        <f>VLOOKUP(Tabla1[[#This Row],[PAGO DIA]],DIAS!A:C,3,0)</f>
        <v>46112</v>
      </c>
      <c r="L1235" s="6">
        <v>0</v>
      </c>
      <c r="M1235" s="41">
        <f>VLOOKUP(Tabla1[[#This Row],[PAGO DIA]],DIAS!A:D,4,0)</f>
        <v>46142</v>
      </c>
      <c r="N1235" s="6">
        <v>0</v>
      </c>
      <c r="O1235" s="43">
        <f>VLOOKUP(Tabla1[[#This Row],[PAGO DIA]],DIAS!A:E,5,0)</f>
        <v>46171</v>
      </c>
      <c r="P1235" s="6">
        <v>0</v>
      </c>
      <c r="Q1235" s="43">
        <f>VLOOKUP(Tabla1[[#This Row],[PAGO DIA]],DIAS!A:F,6,0)</f>
        <v>46203</v>
      </c>
      <c r="R1235" s="6">
        <v>0</v>
      </c>
      <c r="S1235" s="43">
        <f>VLOOKUP(Tabla1[[#This Row],[PAGO DIA]],DIAS!A:G,7,0)</f>
        <v>46234</v>
      </c>
      <c r="T1235" s="6">
        <v>0</v>
      </c>
      <c r="U1235" s="43">
        <f>VLOOKUP(Tabla1[[#This Row],[PAGO DIA]],DIAS!A:H,8,0)</f>
        <v>46265</v>
      </c>
      <c r="V1235" s="6">
        <v>0</v>
      </c>
      <c r="W1235" s="43">
        <f>VLOOKUP(Tabla1[[#This Row],[PAGO DIA]],DIAS!A:I,9,0)</f>
        <v>46295</v>
      </c>
      <c r="X1235" s="6">
        <v>0</v>
      </c>
      <c r="Y1235" s="43">
        <f>VLOOKUP(Tabla1[[#This Row],[PAGO DIA]],DIAS!A:J,10,0)</f>
        <v>46325</v>
      </c>
      <c r="Z1235" s="6">
        <v>0</v>
      </c>
      <c r="AA1235" s="43">
        <f>VLOOKUP(Tabla1[[#This Row],[PAGO DIA]],DIAS!A:K,11,0)</f>
        <v>46356</v>
      </c>
      <c r="AB1235" s="6">
        <v>0</v>
      </c>
      <c r="AC1235" s="43">
        <f>VLOOKUP(Tabla1[[#This Row],[PAGO DIA]],DIAS!A:M,12,0)</f>
        <v>46386</v>
      </c>
      <c r="AD12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6" spans="1:30">
      <c r="A1236" s="3">
        <v>12210</v>
      </c>
      <c r="B1236" s="3" t="s">
        <v>1742</v>
      </c>
      <c r="C1236" s="3"/>
      <c r="D1236" s="3" t="s">
        <v>1745</v>
      </c>
      <c r="E1236" s="3"/>
      <c r="F1236" s="42" t="s">
        <v>631</v>
      </c>
      <c r="G1236" s="3"/>
      <c r="H1236" s="6">
        <v>0</v>
      </c>
      <c r="I1236" s="41">
        <f>VLOOKUP(Tabla1[[#This Row],[PAGO DIA]],DIAS!A:B,2,0)</f>
        <v>46080</v>
      </c>
      <c r="J1236" s="6">
        <v>0</v>
      </c>
      <c r="K1236" s="43">
        <f>VLOOKUP(Tabla1[[#This Row],[PAGO DIA]],DIAS!A:C,3,0)</f>
        <v>46112</v>
      </c>
      <c r="L1236" s="6">
        <v>0</v>
      </c>
      <c r="M1236" s="41">
        <f>VLOOKUP(Tabla1[[#This Row],[PAGO DIA]],DIAS!A:D,4,0)</f>
        <v>46142</v>
      </c>
      <c r="N1236" s="6">
        <v>0</v>
      </c>
      <c r="O1236" s="43">
        <f>VLOOKUP(Tabla1[[#This Row],[PAGO DIA]],DIAS!A:E,5,0)</f>
        <v>46171</v>
      </c>
      <c r="P1236" s="6">
        <v>0</v>
      </c>
      <c r="Q1236" s="43">
        <f>VLOOKUP(Tabla1[[#This Row],[PAGO DIA]],DIAS!A:F,6,0)</f>
        <v>46203</v>
      </c>
      <c r="R1236" s="6">
        <v>0</v>
      </c>
      <c r="S1236" s="43">
        <f>VLOOKUP(Tabla1[[#This Row],[PAGO DIA]],DIAS!A:G,7,0)</f>
        <v>46234</v>
      </c>
      <c r="T1236" s="6">
        <v>0</v>
      </c>
      <c r="U1236" s="43">
        <f>VLOOKUP(Tabla1[[#This Row],[PAGO DIA]],DIAS!A:H,8,0)</f>
        <v>46265</v>
      </c>
      <c r="V1236" s="6">
        <v>0</v>
      </c>
      <c r="W1236" s="43">
        <f>VLOOKUP(Tabla1[[#This Row],[PAGO DIA]],DIAS!A:I,9,0)</f>
        <v>46295</v>
      </c>
      <c r="X1236" s="6">
        <v>0</v>
      </c>
      <c r="Y1236" s="43">
        <f>VLOOKUP(Tabla1[[#This Row],[PAGO DIA]],DIAS!A:J,10,0)</f>
        <v>46325</v>
      </c>
      <c r="Z1236" s="6">
        <v>0</v>
      </c>
      <c r="AA1236" s="43">
        <f>VLOOKUP(Tabla1[[#This Row],[PAGO DIA]],DIAS!A:K,11,0)</f>
        <v>46356</v>
      </c>
      <c r="AB1236" s="6">
        <v>0</v>
      </c>
      <c r="AC1236" s="43">
        <f>VLOOKUP(Tabla1[[#This Row],[PAGO DIA]],DIAS!A:M,12,0)</f>
        <v>46386</v>
      </c>
      <c r="AD12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7" spans="1:30">
      <c r="A1237" s="3">
        <v>12211</v>
      </c>
      <c r="B1237" s="3" t="s">
        <v>1742</v>
      </c>
      <c r="C1237" s="3"/>
      <c r="D1237" s="3" t="s">
        <v>1746</v>
      </c>
      <c r="E1237" s="3"/>
      <c r="F1237" s="42" t="s">
        <v>631</v>
      </c>
      <c r="G1237" s="3"/>
      <c r="H1237" s="6">
        <v>0</v>
      </c>
      <c r="I1237" s="41">
        <f>VLOOKUP(Tabla1[[#This Row],[PAGO DIA]],DIAS!A:B,2,0)</f>
        <v>46080</v>
      </c>
      <c r="J1237" s="6">
        <v>0</v>
      </c>
      <c r="K1237" s="43">
        <f>VLOOKUP(Tabla1[[#This Row],[PAGO DIA]],DIAS!A:C,3,0)</f>
        <v>46112</v>
      </c>
      <c r="L1237" s="6">
        <v>0</v>
      </c>
      <c r="M1237" s="41">
        <f>VLOOKUP(Tabla1[[#This Row],[PAGO DIA]],DIAS!A:D,4,0)</f>
        <v>46142</v>
      </c>
      <c r="N1237" s="6">
        <v>0</v>
      </c>
      <c r="O1237" s="43">
        <f>VLOOKUP(Tabla1[[#This Row],[PAGO DIA]],DIAS!A:E,5,0)</f>
        <v>46171</v>
      </c>
      <c r="P1237" s="6">
        <v>0</v>
      </c>
      <c r="Q1237" s="43">
        <f>VLOOKUP(Tabla1[[#This Row],[PAGO DIA]],DIAS!A:F,6,0)</f>
        <v>46203</v>
      </c>
      <c r="R1237" s="6">
        <v>0</v>
      </c>
      <c r="S1237" s="43">
        <f>VLOOKUP(Tabla1[[#This Row],[PAGO DIA]],DIAS!A:G,7,0)</f>
        <v>46234</v>
      </c>
      <c r="T1237" s="6">
        <v>0</v>
      </c>
      <c r="U1237" s="43">
        <f>VLOOKUP(Tabla1[[#This Row],[PAGO DIA]],DIAS!A:H,8,0)</f>
        <v>46265</v>
      </c>
      <c r="V1237" s="6">
        <v>0</v>
      </c>
      <c r="W1237" s="43">
        <f>VLOOKUP(Tabla1[[#This Row],[PAGO DIA]],DIAS!A:I,9,0)</f>
        <v>46295</v>
      </c>
      <c r="X1237" s="6">
        <v>0</v>
      </c>
      <c r="Y1237" s="43">
        <f>VLOOKUP(Tabla1[[#This Row],[PAGO DIA]],DIAS!A:J,10,0)</f>
        <v>46325</v>
      </c>
      <c r="Z1237" s="6">
        <v>0</v>
      </c>
      <c r="AA1237" s="43">
        <f>VLOOKUP(Tabla1[[#This Row],[PAGO DIA]],DIAS!A:K,11,0)</f>
        <v>46356</v>
      </c>
      <c r="AB1237" s="6">
        <v>0</v>
      </c>
      <c r="AC1237" s="43">
        <f>VLOOKUP(Tabla1[[#This Row],[PAGO DIA]],DIAS!A:M,12,0)</f>
        <v>46386</v>
      </c>
      <c r="AD12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8" spans="1:30">
      <c r="A1238" s="3">
        <v>12212</v>
      </c>
      <c r="B1238" s="3" t="s">
        <v>1742</v>
      </c>
      <c r="C1238" s="3"/>
      <c r="D1238" s="3" t="s">
        <v>1747</v>
      </c>
      <c r="E1238" s="3"/>
      <c r="F1238" s="42" t="s">
        <v>631</v>
      </c>
      <c r="G1238" s="3"/>
      <c r="H1238" s="6">
        <v>0</v>
      </c>
      <c r="I1238" s="41">
        <f>VLOOKUP(Tabla1[[#This Row],[PAGO DIA]],DIAS!A:B,2,0)</f>
        <v>46080</v>
      </c>
      <c r="J1238" s="6">
        <v>0</v>
      </c>
      <c r="K1238" s="43">
        <f>VLOOKUP(Tabla1[[#This Row],[PAGO DIA]],DIAS!A:C,3,0)</f>
        <v>46112</v>
      </c>
      <c r="L1238" s="6">
        <v>0</v>
      </c>
      <c r="M1238" s="41">
        <f>VLOOKUP(Tabla1[[#This Row],[PAGO DIA]],DIAS!A:D,4,0)</f>
        <v>46142</v>
      </c>
      <c r="N1238" s="6">
        <v>0</v>
      </c>
      <c r="O1238" s="43">
        <f>VLOOKUP(Tabla1[[#This Row],[PAGO DIA]],DIAS!A:E,5,0)</f>
        <v>46171</v>
      </c>
      <c r="P1238" s="6">
        <v>0</v>
      </c>
      <c r="Q1238" s="43">
        <f>VLOOKUP(Tabla1[[#This Row],[PAGO DIA]],DIAS!A:F,6,0)</f>
        <v>46203</v>
      </c>
      <c r="R1238" s="6">
        <v>0</v>
      </c>
      <c r="S1238" s="43">
        <f>VLOOKUP(Tabla1[[#This Row],[PAGO DIA]],DIAS!A:G,7,0)</f>
        <v>46234</v>
      </c>
      <c r="T1238" s="6">
        <v>0</v>
      </c>
      <c r="U1238" s="43">
        <f>VLOOKUP(Tabla1[[#This Row],[PAGO DIA]],DIAS!A:H,8,0)</f>
        <v>46265</v>
      </c>
      <c r="V1238" s="6">
        <v>0</v>
      </c>
      <c r="W1238" s="43">
        <f>VLOOKUP(Tabla1[[#This Row],[PAGO DIA]],DIAS!A:I,9,0)</f>
        <v>46295</v>
      </c>
      <c r="X1238" s="6">
        <v>0</v>
      </c>
      <c r="Y1238" s="43">
        <f>VLOOKUP(Tabla1[[#This Row],[PAGO DIA]],DIAS!A:J,10,0)</f>
        <v>46325</v>
      </c>
      <c r="Z1238" s="6">
        <v>0</v>
      </c>
      <c r="AA1238" s="43">
        <f>VLOOKUP(Tabla1[[#This Row],[PAGO DIA]],DIAS!A:K,11,0)</f>
        <v>46356</v>
      </c>
      <c r="AB1238" s="6">
        <v>0</v>
      </c>
      <c r="AC1238" s="43">
        <f>VLOOKUP(Tabla1[[#This Row],[PAGO DIA]],DIAS!A:M,12,0)</f>
        <v>46386</v>
      </c>
      <c r="AD12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39" spans="1:30">
      <c r="A1239" s="3">
        <v>12028</v>
      </c>
      <c r="B1239" s="3" t="s">
        <v>1748</v>
      </c>
      <c r="C1239" s="3"/>
      <c r="D1239" s="3" t="s">
        <v>1749</v>
      </c>
      <c r="E1239" s="3"/>
      <c r="F1239" s="42" t="s">
        <v>631</v>
      </c>
      <c r="G1239" s="3"/>
      <c r="H1239" s="6">
        <v>0</v>
      </c>
      <c r="I1239" s="41">
        <f>VLOOKUP(Tabla1[[#This Row],[PAGO DIA]],DIAS!A:B,2,0)</f>
        <v>46080</v>
      </c>
      <c r="J1239" s="6">
        <v>0</v>
      </c>
      <c r="K1239" s="43">
        <f>VLOOKUP(Tabla1[[#This Row],[PAGO DIA]],DIAS!A:C,3,0)</f>
        <v>46112</v>
      </c>
      <c r="L1239" s="6">
        <v>0</v>
      </c>
      <c r="M1239" s="41">
        <f>VLOOKUP(Tabla1[[#This Row],[PAGO DIA]],DIAS!A:D,4,0)</f>
        <v>46142</v>
      </c>
      <c r="N1239" s="6">
        <v>0</v>
      </c>
      <c r="O1239" s="43">
        <f>VLOOKUP(Tabla1[[#This Row],[PAGO DIA]],DIAS!A:E,5,0)</f>
        <v>46171</v>
      </c>
      <c r="P1239" s="6">
        <v>0</v>
      </c>
      <c r="Q1239" s="43">
        <f>VLOOKUP(Tabla1[[#This Row],[PAGO DIA]],DIAS!A:F,6,0)</f>
        <v>46203</v>
      </c>
      <c r="R1239" s="6">
        <v>0</v>
      </c>
      <c r="S1239" s="43">
        <f>VLOOKUP(Tabla1[[#This Row],[PAGO DIA]],DIAS!A:G,7,0)</f>
        <v>46234</v>
      </c>
      <c r="T1239" s="6">
        <v>0</v>
      </c>
      <c r="U1239" s="43">
        <f>VLOOKUP(Tabla1[[#This Row],[PAGO DIA]],DIAS!A:H,8,0)</f>
        <v>46265</v>
      </c>
      <c r="V1239" s="6">
        <v>0</v>
      </c>
      <c r="W1239" s="43">
        <f>VLOOKUP(Tabla1[[#This Row],[PAGO DIA]],DIAS!A:I,9,0)</f>
        <v>46295</v>
      </c>
      <c r="X1239" s="6">
        <v>0</v>
      </c>
      <c r="Y1239" s="43">
        <f>VLOOKUP(Tabla1[[#This Row],[PAGO DIA]],DIAS!A:J,10,0)</f>
        <v>46325</v>
      </c>
      <c r="Z1239" s="6">
        <v>0</v>
      </c>
      <c r="AA1239" s="43">
        <f>VLOOKUP(Tabla1[[#This Row],[PAGO DIA]],DIAS!A:K,11,0)</f>
        <v>46356</v>
      </c>
      <c r="AB1239" s="6">
        <v>0</v>
      </c>
      <c r="AC1239" s="43">
        <f>VLOOKUP(Tabla1[[#This Row],[PAGO DIA]],DIAS!A:M,12,0)</f>
        <v>46386</v>
      </c>
      <c r="AD12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0" spans="1:30">
      <c r="A1240" s="3">
        <v>12225</v>
      </c>
      <c r="B1240" s="3" t="s">
        <v>1750</v>
      </c>
      <c r="C1240" s="3"/>
      <c r="D1240" s="3" t="s">
        <v>1751</v>
      </c>
      <c r="E1240" s="3"/>
      <c r="F1240" s="42" t="s">
        <v>631</v>
      </c>
      <c r="G1240" s="3"/>
      <c r="H1240" s="6">
        <v>0</v>
      </c>
      <c r="I1240" s="41">
        <f>VLOOKUP(Tabla1[[#This Row],[PAGO DIA]],DIAS!A:B,2,0)</f>
        <v>46080</v>
      </c>
      <c r="J1240" s="6">
        <v>0</v>
      </c>
      <c r="K1240" s="43">
        <f>VLOOKUP(Tabla1[[#This Row],[PAGO DIA]],DIAS!A:C,3,0)</f>
        <v>46112</v>
      </c>
      <c r="L1240" s="6">
        <v>0</v>
      </c>
      <c r="M1240" s="41">
        <f>VLOOKUP(Tabla1[[#This Row],[PAGO DIA]],DIAS!A:D,4,0)</f>
        <v>46142</v>
      </c>
      <c r="N1240" s="6">
        <v>0</v>
      </c>
      <c r="O1240" s="43">
        <f>VLOOKUP(Tabla1[[#This Row],[PAGO DIA]],DIAS!A:E,5,0)</f>
        <v>46171</v>
      </c>
      <c r="P1240" s="6">
        <v>0</v>
      </c>
      <c r="Q1240" s="43">
        <f>VLOOKUP(Tabla1[[#This Row],[PAGO DIA]],DIAS!A:F,6,0)</f>
        <v>46203</v>
      </c>
      <c r="R1240" s="6">
        <v>0</v>
      </c>
      <c r="S1240" s="43">
        <f>VLOOKUP(Tabla1[[#This Row],[PAGO DIA]],DIAS!A:G,7,0)</f>
        <v>46234</v>
      </c>
      <c r="T1240" s="6">
        <v>0</v>
      </c>
      <c r="U1240" s="43">
        <f>VLOOKUP(Tabla1[[#This Row],[PAGO DIA]],DIAS!A:H,8,0)</f>
        <v>46265</v>
      </c>
      <c r="V1240" s="6">
        <v>0</v>
      </c>
      <c r="W1240" s="43">
        <f>VLOOKUP(Tabla1[[#This Row],[PAGO DIA]],DIAS!A:I,9,0)</f>
        <v>46295</v>
      </c>
      <c r="X1240" s="6">
        <v>0</v>
      </c>
      <c r="Y1240" s="43">
        <f>VLOOKUP(Tabla1[[#This Row],[PAGO DIA]],DIAS!A:J,10,0)</f>
        <v>46325</v>
      </c>
      <c r="Z1240" s="6">
        <v>0</v>
      </c>
      <c r="AA1240" s="43">
        <f>VLOOKUP(Tabla1[[#This Row],[PAGO DIA]],DIAS!A:K,11,0)</f>
        <v>46356</v>
      </c>
      <c r="AB1240" s="6">
        <v>0</v>
      </c>
      <c r="AC1240" s="43">
        <f>VLOOKUP(Tabla1[[#This Row],[PAGO DIA]],DIAS!A:M,12,0)</f>
        <v>46386</v>
      </c>
      <c r="AD12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1" spans="1:30">
      <c r="A1241" s="3">
        <v>11106</v>
      </c>
      <c r="B1241" s="3" t="s">
        <v>521</v>
      </c>
      <c r="C1241" s="3" t="s">
        <v>522</v>
      </c>
      <c r="D1241" s="3" t="s">
        <v>1752</v>
      </c>
      <c r="E1241" s="3" t="s">
        <v>524</v>
      </c>
      <c r="F1241" s="42" t="s">
        <v>631</v>
      </c>
      <c r="G1241" s="3" t="s">
        <v>1161</v>
      </c>
      <c r="H1241" s="6">
        <v>0</v>
      </c>
      <c r="I1241" s="41">
        <f>VLOOKUP(Tabla1[[#This Row],[PAGO DIA]],DIAS!A:B,2,0)</f>
        <v>46080</v>
      </c>
      <c r="J1241" s="6">
        <v>0</v>
      </c>
      <c r="K1241" s="43">
        <f>VLOOKUP(Tabla1[[#This Row],[PAGO DIA]],DIAS!A:C,3,0)</f>
        <v>46112</v>
      </c>
      <c r="L1241" s="6">
        <v>750000000</v>
      </c>
      <c r="M1241" s="41">
        <f>VLOOKUP(Tabla1[[#This Row],[PAGO DIA]],DIAS!A:D,4,0)</f>
        <v>46142</v>
      </c>
      <c r="N1241" s="6">
        <v>750000000</v>
      </c>
      <c r="O1241" s="43">
        <f>VLOOKUP(Tabla1[[#This Row],[PAGO DIA]],DIAS!A:E,5,0)</f>
        <v>46171</v>
      </c>
      <c r="P1241" s="6">
        <v>750000000</v>
      </c>
      <c r="Q1241" s="43">
        <f>VLOOKUP(Tabla1[[#This Row],[PAGO DIA]],DIAS!A:F,6,0)</f>
        <v>46203</v>
      </c>
      <c r="R1241" s="6">
        <v>750000000</v>
      </c>
      <c r="S1241" s="43">
        <f>VLOOKUP(Tabla1[[#This Row],[PAGO DIA]],DIAS!A:G,7,0)</f>
        <v>46234</v>
      </c>
      <c r="T1241" s="6">
        <v>750000000</v>
      </c>
      <c r="U1241" s="43">
        <f>VLOOKUP(Tabla1[[#This Row],[PAGO DIA]],DIAS!A:H,8,0)</f>
        <v>46265</v>
      </c>
      <c r="V1241" s="6">
        <v>750000000</v>
      </c>
      <c r="W1241" s="43">
        <f>VLOOKUP(Tabla1[[#This Row],[PAGO DIA]],DIAS!A:I,9,0)</f>
        <v>46295</v>
      </c>
      <c r="X1241" s="6">
        <v>750000000</v>
      </c>
      <c r="Y1241" s="43">
        <f>VLOOKUP(Tabla1[[#This Row],[PAGO DIA]],DIAS!A:J,10,0)</f>
        <v>46325</v>
      </c>
      <c r="Z1241" s="6">
        <v>750000000</v>
      </c>
      <c r="AA1241" s="43">
        <f>VLOOKUP(Tabla1[[#This Row],[PAGO DIA]],DIAS!A:K,11,0)</f>
        <v>46356</v>
      </c>
      <c r="AB1241" s="6">
        <v>750000000</v>
      </c>
      <c r="AC1241" s="43">
        <f>VLOOKUP(Tabla1[[#This Row],[PAGO DIA]],DIAS!A:M,12,0)</f>
        <v>46386</v>
      </c>
      <c r="AD12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6750000000</v>
      </c>
    </row>
    <row r="1242" spans="1:30">
      <c r="A1242" s="3">
        <v>11897</v>
      </c>
      <c r="B1242" s="3" t="s">
        <v>521</v>
      </c>
      <c r="C1242" s="3" t="s">
        <v>522</v>
      </c>
      <c r="D1242" s="3" t="s">
        <v>1753</v>
      </c>
      <c r="E1242" s="3" t="s">
        <v>524</v>
      </c>
      <c r="F1242" s="42" t="s">
        <v>631</v>
      </c>
      <c r="G1242" s="3" t="s">
        <v>1161</v>
      </c>
      <c r="H1242" s="6">
        <v>0</v>
      </c>
      <c r="I1242" s="41">
        <f>VLOOKUP(Tabla1[[#This Row],[PAGO DIA]],DIAS!A:B,2,0)</f>
        <v>46080</v>
      </c>
      <c r="J1242" s="6">
        <v>0</v>
      </c>
      <c r="K1242" s="43">
        <f>VLOOKUP(Tabla1[[#This Row],[PAGO DIA]],DIAS!A:C,3,0)</f>
        <v>46112</v>
      </c>
      <c r="L1242" s="6">
        <v>0</v>
      </c>
      <c r="M1242" s="41">
        <f>VLOOKUP(Tabla1[[#This Row],[PAGO DIA]],DIAS!A:D,4,0)</f>
        <v>46142</v>
      </c>
      <c r="N1242" s="6">
        <v>0</v>
      </c>
      <c r="O1242" s="43">
        <f>VLOOKUP(Tabla1[[#This Row],[PAGO DIA]],DIAS!A:E,5,0)</f>
        <v>46171</v>
      </c>
      <c r="P1242" s="6">
        <v>0</v>
      </c>
      <c r="Q1242" s="43">
        <f>VLOOKUP(Tabla1[[#This Row],[PAGO DIA]],DIAS!A:F,6,0)</f>
        <v>46203</v>
      </c>
      <c r="R1242" s="6">
        <v>0</v>
      </c>
      <c r="S1242" s="43">
        <f>VLOOKUP(Tabla1[[#This Row],[PAGO DIA]],DIAS!A:G,7,0)</f>
        <v>46234</v>
      </c>
      <c r="T1242" s="6">
        <v>0</v>
      </c>
      <c r="U1242" s="43">
        <f>VLOOKUP(Tabla1[[#This Row],[PAGO DIA]],DIAS!A:H,8,0)</f>
        <v>46265</v>
      </c>
      <c r="V1242" s="6">
        <v>0</v>
      </c>
      <c r="W1242" s="43">
        <f>VLOOKUP(Tabla1[[#This Row],[PAGO DIA]],DIAS!A:I,9,0)</f>
        <v>46295</v>
      </c>
      <c r="X1242" s="6">
        <v>0</v>
      </c>
      <c r="Y1242" s="43">
        <f>VLOOKUP(Tabla1[[#This Row],[PAGO DIA]],DIAS!A:J,10,0)</f>
        <v>46325</v>
      </c>
      <c r="Z1242" s="6">
        <v>0</v>
      </c>
      <c r="AA1242" s="43">
        <f>VLOOKUP(Tabla1[[#This Row],[PAGO DIA]],DIAS!A:K,11,0)</f>
        <v>46356</v>
      </c>
      <c r="AB1242" s="6">
        <v>0</v>
      </c>
      <c r="AC1242" s="43">
        <f>VLOOKUP(Tabla1[[#This Row],[PAGO DIA]],DIAS!A:M,12,0)</f>
        <v>46386</v>
      </c>
      <c r="AD12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3" spans="1:30">
      <c r="A1243" s="3">
        <v>11902</v>
      </c>
      <c r="B1243" s="3" t="s">
        <v>521</v>
      </c>
      <c r="C1243" s="3"/>
      <c r="D1243" s="3" t="s">
        <v>1754</v>
      </c>
      <c r="E1243" s="3" t="s">
        <v>524</v>
      </c>
      <c r="F1243" s="42" t="s">
        <v>631</v>
      </c>
      <c r="G1243" s="3"/>
      <c r="H1243" s="6">
        <v>0</v>
      </c>
      <c r="I1243" s="41">
        <f>VLOOKUP(Tabla1[[#This Row],[PAGO DIA]],DIAS!A:B,2,0)</f>
        <v>46080</v>
      </c>
      <c r="J1243" s="6">
        <v>0</v>
      </c>
      <c r="K1243" s="43">
        <f>VLOOKUP(Tabla1[[#This Row],[PAGO DIA]],DIAS!A:C,3,0)</f>
        <v>46112</v>
      </c>
      <c r="L1243" s="6">
        <v>0</v>
      </c>
      <c r="M1243" s="41">
        <f>VLOOKUP(Tabla1[[#This Row],[PAGO DIA]],DIAS!A:D,4,0)</f>
        <v>46142</v>
      </c>
      <c r="N1243" s="6">
        <v>0</v>
      </c>
      <c r="O1243" s="43">
        <f>VLOOKUP(Tabla1[[#This Row],[PAGO DIA]],DIAS!A:E,5,0)</f>
        <v>46171</v>
      </c>
      <c r="P1243" s="6">
        <v>0</v>
      </c>
      <c r="Q1243" s="43">
        <f>VLOOKUP(Tabla1[[#This Row],[PAGO DIA]],DIAS!A:F,6,0)</f>
        <v>46203</v>
      </c>
      <c r="R1243" s="6">
        <v>0</v>
      </c>
      <c r="S1243" s="43">
        <f>VLOOKUP(Tabla1[[#This Row],[PAGO DIA]],DIAS!A:G,7,0)</f>
        <v>46234</v>
      </c>
      <c r="T1243" s="6">
        <v>0</v>
      </c>
      <c r="U1243" s="43">
        <f>VLOOKUP(Tabla1[[#This Row],[PAGO DIA]],DIAS!A:H,8,0)</f>
        <v>46265</v>
      </c>
      <c r="V1243" s="6">
        <v>0</v>
      </c>
      <c r="W1243" s="43">
        <f>VLOOKUP(Tabla1[[#This Row],[PAGO DIA]],DIAS!A:I,9,0)</f>
        <v>46295</v>
      </c>
      <c r="X1243" s="6">
        <v>0</v>
      </c>
      <c r="Y1243" s="43">
        <f>VLOOKUP(Tabla1[[#This Row],[PAGO DIA]],DIAS!A:J,10,0)</f>
        <v>46325</v>
      </c>
      <c r="Z1243" s="6">
        <v>0</v>
      </c>
      <c r="AA1243" s="43">
        <f>VLOOKUP(Tabla1[[#This Row],[PAGO DIA]],DIAS!A:K,11,0)</f>
        <v>46356</v>
      </c>
      <c r="AB1243" s="6">
        <v>0</v>
      </c>
      <c r="AC1243" s="43">
        <f>VLOOKUP(Tabla1[[#This Row],[PAGO DIA]],DIAS!A:M,12,0)</f>
        <v>46386</v>
      </c>
      <c r="AD12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4" spans="1:30">
      <c r="A1244" s="3">
        <v>11919</v>
      </c>
      <c r="B1244" s="3" t="s">
        <v>521</v>
      </c>
      <c r="C1244" s="3" t="s">
        <v>522</v>
      </c>
      <c r="D1244" s="3" t="s">
        <v>1755</v>
      </c>
      <c r="E1244" s="3" t="s">
        <v>524</v>
      </c>
      <c r="F1244" s="42" t="s">
        <v>631</v>
      </c>
      <c r="G1244" s="3"/>
      <c r="H1244" s="6">
        <v>0</v>
      </c>
      <c r="I1244" s="41">
        <f>VLOOKUP(Tabla1[[#This Row],[PAGO DIA]],DIAS!A:B,2,0)</f>
        <v>46080</v>
      </c>
      <c r="J1244" s="6">
        <v>0</v>
      </c>
      <c r="K1244" s="43">
        <f>VLOOKUP(Tabla1[[#This Row],[PAGO DIA]],DIAS!A:C,3,0)</f>
        <v>46112</v>
      </c>
      <c r="L1244" s="6">
        <v>0</v>
      </c>
      <c r="M1244" s="41">
        <f>VLOOKUP(Tabla1[[#This Row],[PAGO DIA]],DIAS!A:D,4,0)</f>
        <v>46142</v>
      </c>
      <c r="N1244" s="6">
        <v>0</v>
      </c>
      <c r="O1244" s="43">
        <f>VLOOKUP(Tabla1[[#This Row],[PAGO DIA]],DIAS!A:E,5,0)</f>
        <v>46171</v>
      </c>
      <c r="P1244" s="6">
        <v>0</v>
      </c>
      <c r="Q1244" s="43">
        <f>VLOOKUP(Tabla1[[#This Row],[PAGO DIA]],DIAS!A:F,6,0)</f>
        <v>46203</v>
      </c>
      <c r="R1244" s="6">
        <v>0</v>
      </c>
      <c r="S1244" s="43">
        <f>VLOOKUP(Tabla1[[#This Row],[PAGO DIA]],DIAS!A:G,7,0)</f>
        <v>46234</v>
      </c>
      <c r="T1244" s="6">
        <v>0</v>
      </c>
      <c r="U1244" s="43">
        <f>VLOOKUP(Tabla1[[#This Row],[PAGO DIA]],DIAS!A:H,8,0)</f>
        <v>46265</v>
      </c>
      <c r="V1244" s="6">
        <v>0</v>
      </c>
      <c r="W1244" s="43">
        <f>VLOOKUP(Tabla1[[#This Row],[PAGO DIA]],DIAS!A:I,9,0)</f>
        <v>46295</v>
      </c>
      <c r="X1244" s="6">
        <v>0</v>
      </c>
      <c r="Y1244" s="43">
        <f>VLOOKUP(Tabla1[[#This Row],[PAGO DIA]],DIAS!A:J,10,0)</f>
        <v>46325</v>
      </c>
      <c r="Z1244" s="6">
        <v>0</v>
      </c>
      <c r="AA1244" s="43">
        <f>VLOOKUP(Tabla1[[#This Row],[PAGO DIA]],DIAS!A:K,11,0)</f>
        <v>46356</v>
      </c>
      <c r="AB1244" s="6">
        <v>0</v>
      </c>
      <c r="AC1244" s="43">
        <f>VLOOKUP(Tabla1[[#This Row],[PAGO DIA]],DIAS!A:M,12,0)</f>
        <v>46386</v>
      </c>
      <c r="AD12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5" spans="1:30">
      <c r="A1245" s="3">
        <v>12093</v>
      </c>
      <c r="B1245" s="3" t="s">
        <v>521</v>
      </c>
      <c r="C1245" s="3" t="s">
        <v>1756</v>
      </c>
      <c r="D1245" s="3" t="s">
        <v>1755</v>
      </c>
      <c r="E1245" s="3" t="s">
        <v>1757</v>
      </c>
      <c r="F1245" s="42" t="s">
        <v>631</v>
      </c>
      <c r="G1245" s="3"/>
      <c r="H1245" s="6">
        <v>0</v>
      </c>
      <c r="I1245" s="41">
        <f>VLOOKUP(Tabla1[[#This Row],[PAGO DIA]],DIAS!A:B,2,0)</f>
        <v>46080</v>
      </c>
      <c r="J1245" s="6">
        <v>0</v>
      </c>
      <c r="K1245" s="43">
        <f>VLOOKUP(Tabla1[[#This Row],[PAGO DIA]],DIAS!A:C,3,0)</f>
        <v>46112</v>
      </c>
      <c r="L1245" s="6">
        <v>0</v>
      </c>
      <c r="M1245" s="41">
        <f>VLOOKUP(Tabla1[[#This Row],[PAGO DIA]],DIAS!A:D,4,0)</f>
        <v>46142</v>
      </c>
      <c r="N1245" s="6">
        <v>0</v>
      </c>
      <c r="O1245" s="43">
        <f>VLOOKUP(Tabla1[[#This Row],[PAGO DIA]],DIAS!A:E,5,0)</f>
        <v>46171</v>
      </c>
      <c r="P1245" s="6">
        <v>0</v>
      </c>
      <c r="Q1245" s="43">
        <f>VLOOKUP(Tabla1[[#This Row],[PAGO DIA]],DIAS!A:F,6,0)</f>
        <v>46203</v>
      </c>
      <c r="R1245" s="6">
        <v>0</v>
      </c>
      <c r="S1245" s="43">
        <f>VLOOKUP(Tabla1[[#This Row],[PAGO DIA]],DIAS!A:G,7,0)</f>
        <v>46234</v>
      </c>
      <c r="T1245" s="6">
        <v>0</v>
      </c>
      <c r="U1245" s="43">
        <f>VLOOKUP(Tabla1[[#This Row],[PAGO DIA]],DIAS!A:H,8,0)</f>
        <v>46265</v>
      </c>
      <c r="V1245" s="6">
        <v>0</v>
      </c>
      <c r="W1245" s="43">
        <f>VLOOKUP(Tabla1[[#This Row],[PAGO DIA]],DIAS!A:I,9,0)</f>
        <v>46295</v>
      </c>
      <c r="X1245" s="6">
        <v>0</v>
      </c>
      <c r="Y1245" s="43">
        <f>VLOOKUP(Tabla1[[#This Row],[PAGO DIA]],DIAS!A:J,10,0)</f>
        <v>46325</v>
      </c>
      <c r="Z1245" s="6">
        <v>0</v>
      </c>
      <c r="AA1245" s="43">
        <f>VLOOKUP(Tabla1[[#This Row],[PAGO DIA]],DIAS!A:K,11,0)</f>
        <v>46356</v>
      </c>
      <c r="AB1245" s="6">
        <v>0</v>
      </c>
      <c r="AC1245" s="43">
        <f>VLOOKUP(Tabla1[[#This Row],[PAGO DIA]],DIAS!A:M,12,0)</f>
        <v>46386</v>
      </c>
      <c r="AD12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6" spans="1:30">
      <c r="A1246" s="3">
        <v>12227</v>
      </c>
      <c r="B1246" s="3" t="s">
        <v>521</v>
      </c>
      <c r="C1246" s="3"/>
      <c r="D1246" s="3" t="s">
        <v>1758</v>
      </c>
      <c r="E1246" s="3"/>
      <c r="F1246" s="42" t="s">
        <v>631</v>
      </c>
      <c r="G1246" s="3"/>
      <c r="H1246" s="6">
        <v>0</v>
      </c>
      <c r="I1246" s="41">
        <f>VLOOKUP(Tabla1[[#This Row],[PAGO DIA]],DIAS!A:B,2,0)</f>
        <v>46080</v>
      </c>
      <c r="J1246" s="6">
        <v>0</v>
      </c>
      <c r="K1246" s="43">
        <f>VLOOKUP(Tabla1[[#This Row],[PAGO DIA]],DIAS!A:C,3,0)</f>
        <v>46112</v>
      </c>
      <c r="L1246" s="6">
        <v>0</v>
      </c>
      <c r="M1246" s="41">
        <f>VLOOKUP(Tabla1[[#This Row],[PAGO DIA]],DIAS!A:D,4,0)</f>
        <v>46142</v>
      </c>
      <c r="N1246" s="6">
        <v>0</v>
      </c>
      <c r="O1246" s="43">
        <f>VLOOKUP(Tabla1[[#This Row],[PAGO DIA]],DIAS!A:E,5,0)</f>
        <v>46171</v>
      </c>
      <c r="P1246" s="6">
        <v>0</v>
      </c>
      <c r="Q1246" s="43">
        <f>VLOOKUP(Tabla1[[#This Row],[PAGO DIA]],DIAS!A:F,6,0)</f>
        <v>46203</v>
      </c>
      <c r="R1246" s="6">
        <v>0</v>
      </c>
      <c r="S1246" s="43">
        <f>VLOOKUP(Tabla1[[#This Row],[PAGO DIA]],DIAS!A:G,7,0)</f>
        <v>46234</v>
      </c>
      <c r="T1246" s="6">
        <v>0</v>
      </c>
      <c r="U1246" s="43">
        <f>VLOOKUP(Tabla1[[#This Row],[PAGO DIA]],DIAS!A:H,8,0)</f>
        <v>46265</v>
      </c>
      <c r="V1246" s="6">
        <v>0</v>
      </c>
      <c r="W1246" s="43">
        <f>VLOOKUP(Tabla1[[#This Row],[PAGO DIA]],DIAS!A:I,9,0)</f>
        <v>46295</v>
      </c>
      <c r="X1246" s="6">
        <v>0</v>
      </c>
      <c r="Y1246" s="43">
        <f>VLOOKUP(Tabla1[[#This Row],[PAGO DIA]],DIAS!A:J,10,0)</f>
        <v>46325</v>
      </c>
      <c r="Z1246" s="6">
        <v>0</v>
      </c>
      <c r="AA1246" s="43">
        <f>VLOOKUP(Tabla1[[#This Row],[PAGO DIA]],DIAS!A:K,11,0)</f>
        <v>46356</v>
      </c>
      <c r="AB1246" s="6">
        <v>0</v>
      </c>
      <c r="AC1246" s="43">
        <f>VLOOKUP(Tabla1[[#This Row],[PAGO DIA]],DIAS!A:M,12,0)</f>
        <v>46386</v>
      </c>
      <c r="AD12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7" spans="1:30">
      <c r="A1247" s="3">
        <v>12228</v>
      </c>
      <c r="B1247" s="3" t="s">
        <v>521</v>
      </c>
      <c r="C1247" s="3"/>
      <c r="D1247" s="3" t="s">
        <v>1759</v>
      </c>
      <c r="E1247" s="3"/>
      <c r="F1247" s="42" t="s">
        <v>631</v>
      </c>
      <c r="G1247" s="3"/>
      <c r="H1247" s="6">
        <v>0</v>
      </c>
      <c r="I1247" s="41">
        <f>VLOOKUP(Tabla1[[#This Row],[PAGO DIA]],DIAS!A:B,2,0)</f>
        <v>46080</v>
      </c>
      <c r="J1247" s="6">
        <v>0</v>
      </c>
      <c r="K1247" s="43">
        <f>VLOOKUP(Tabla1[[#This Row],[PAGO DIA]],DIAS!A:C,3,0)</f>
        <v>46112</v>
      </c>
      <c r="L1247" s="6">
        <v>0</v>
      </c>
      <c r="M1247" s="41">
        <f>VLOOKUP(Tabla1[[#This Row],[PAGO DIA]],DIAS!A:D,4,0)</f>
        <v>46142</v>
      </c>
      <c r="N1247" s="6">
        <v>0</v>
      </c>
      <c r="O1247" s="43">
        <f>VLOOKUP(Tabla1[[#This Row],[PAGO DIA]],DIAS!A:E,5,0)</f>
        <v>46171</v>
      </c>
      <c r="P1247" s="6">
        <v>0</v>
      </c>
      <c r="Q1247" s="43">
        <f>VLOOKUP(Tabla1[[#This Row],[PAGO DIA]],DIAS!A:F,6,0)</f>
        <v>46203</v>
      </c>
      <c r="R1247" s="6">
        <v>0</v>
      </c>
      <c r="S1247" s="43">
        <f>VLOOKUP(Tabla1[[#This Row],[PAGO DIA]],DIAS!A:G,7,0)</f>
        <v>46234</v>
      </c>
      <c r="T1247" s="6">
        <v>0</v>
      </c>
      <c r="U1247" s="43">
        <f>VLOOKUP(Tabla1[[#This Row],[PAGO DIA]],DIAS!A:H,8,0)</f>
        <v>46265</v>
      </c>
      <c r="V1247" s="6">
        <v>0</v>
      </c>
      <c r="W1247" s="43">
        <f>VLOOKUP(Tabla1[[#This Row],[PAGO DIA]],DIAS!A:I,9,0)</f>
        <v>46295</v>
      </c>
      <c r="X1247" s="6">
        <v>0</v>
      </c>
      <c r="Y1247" s="43">
        <f>VLOOKUP(Tabla1[[#This Row],[PAGO DIA]],DIAS!A:J,10,0)</f>
        <v>46325</v>
      </c>
      <c r="Z1247" s="6">
        <v>0</v>
      </c>
      <c r="AA1247" s="43">
        <f>VLOOKUP(Tabla1[[#This Row],[PAGO DIA]],DIAS!A:K,11,0)</f>
        <v>46356</v>
      </c>
      <c r="AB1247" s="6">
        <v>0</v>
      </c>
      <c r="AC1247" s="43">
        <f>VLOOKUP(Tabla1[[#This Row],[PAGO DIA]],DIAS!A:M,12,0)</f>
        <v>46386</v>
      </c>
      <c r="AD12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48" spans="1:30">
      <c r="A1248" s="3">
        <v>10938</v>
      </c>
      <c r="B1248" s="3" t="s">
        <v>534</v>
      </c>
      <c r="C1248" s="3" t="s">
        <v>535</v>
      </c>
      <c r="D1248" s="3" t="s">
        <v>1760</v>
      </c>
      <c r="E1248" s="3" t="s">
        <v>1760</v>
      </c>
      <c r="F1248" s="42" t="s">
        <v>631</v>
      </c>
      <c r="G1248" s="3"/>
      <c r="H1248" s="6">
        <v>9351185834.2600002</v>
      </c>
      <c r="I1248" s="41">
        <f>VLOOKUP(Tabla1[[#This Row],[PAGO DIA]],DIAS!A:B,2,0)</f>
        <v>46080</v>
      </c>
      <c r="J1248" s="6">
        <v>9453941421.5799999</v>
      </c>
      <c r="K1248" s="43">
        <f>VLOOKUP(Tabla1[[#This Row],[PAGO DIA]],DIAS!A:C,3,0)</f>
        <v>46112</v>
      </c>
      <c r="L1248" s="6">
        <v>9558032831.5300007</v>
      </c>
      <c r="M1248" s="43">
        <f>VLOOKUP(Tabla1[[#This Row],[PAGO DIA]],DIAS!A:D,4,0)</f>
        <v>46142</v>
      </c>
      <c r="N1248" s="6">
        <v>9663477429.8199997</v>
      </c>
      <c r="O1248" s="43">
        <f>VLOOKUP(Tabla1[[#This Row],[PAGO DIA]],DIAS!A:E,5,0)</f>
        <v>46171</v>
      </c>
      <c r="P1248" s="6">
        <v>9770292807.8899994</v>
      </c>
      <c r="Q1248" s="43">
        <f>VLOOKUP(Tabla1[[#This Row],[PAGO DIA]],DIAS!A:F,6,0)</f>
        <v>46203</v>
      </c>
      <c r="R1248" s="6">
        <v>9878496785.8600006</v>
      </c>
      <c r="S1248" s="43">
        <f>VLOOKUP(Tabla1[[#This Row],[PAGO DIA]],DIAS!A:G,7,0)</f>
        <v>46234</v>
      </c>
      <c r="T1248" s="6">
        <v>9988107415.5599995</v>
      </c>
      <c r="U1248" s="43">
        <f>VLOOKUP(Tabla1[[#This Row],[PAGO DIA]],DIAS!A:H,8,0)</f>
        <v>46265</v>
      </c>
      <c r="V1248" s="6">
        <v>10099142983.440001</v>
      </c>
      <c r="W1248" s="43">
        <f>VLOOKUP(Tabla1[[#This Row],[PAGO DIA]],DIAS!A:I,9,0)</f>
        <v>46295</v>
      </c>
      <c r="X1248" s="6">
        <v>10211622013.700001</v>
      </c>
      <c r="Y1248" s="43">
        <f>VLOOKUP(Tabla1[[#This Row],[PAGO DIA]],DIAS!A:J,10,0)</f>
        <v>46325</v>
      </c>
      <c r="Z1248" s="6">
        <v>10325563271.360001</v>
      </c>
      <c r="AA1248" s="43">
        <f>VLOOKUP(Tabla1[[#This Row],[PAGO DIA]],DIAS!A:K,11,0)</f>
        <v>46356</v>
      </c>
      <c r="AB1248" s="6">
        <v>10440985765.360001</v>
      </c>
      <c r="AC1248" s="43">
        <f>VLOOKUP(Tabla1[[#This Row],[PAGO DIA]],DIAS!A:M,12,0)</f>
        <v>46386</v>
      </c>
      <c r="AD12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108740848560.35999</v>
      </c>
    </row>
    <row r="1249" spans="1:30">
      <c r="A1249" s="3">
        <v>10944</v>
      </c>
      <c r="B1249" s="3" t="s">
        <v>534</v>
      </c>
      <c r="C1249" s="3" t="s">
        <v>535</v>
      </c>
      <c r="D1249" s="3" t="s">
        <v>1761</v>
      </c>
      <c r="E1249" s="3" t="s">
        <v>1761</v>
      </c>
      <c r="F1249" s="42" t="s">
        <v>631</v>
      </c>
      <c r="G1249" s="3"/>
      <c r="H1249" s="6">
        <v>0</v>
      </c>
      <c r="I1249" s="41">
        <f>VLOOKUP(Tabla1[[#This Row],[PAGO DIA]],DIAS!A:B,2,0)</f>
        <v>46080</v>
      </c>
      <c r="J1249" s="6">
        <v>0</v>
      </c>
      <c r="K1249" s="43">
        <f>VLOOKUP(Tabla1[[#This Row],[PAGO DIA]],DIAS!A:C,3,0)</f>
        <v>46112</v>
      </c>
      <c r="L1249" s="6">
        <v>0</v>
      </c>
      <c r="M1249" s="41">
        <f>VLOOKUP(Tabla1[[#This Row],[PAGO DIA]],DIAS!A:D,4,0)</f>
        <v>46142</v>
      </c>
      <c r="N1249" s="6">
        <v>0</v>
      </c>
      <c r="O1249" s="43">
        <f>VLOOKUP(Tabla1[[#This Row],[PAGO DIA]],DIAS!A:E,5,0)</f>
        <v>46171</v>
      </c>
      <c r="P1249" s="6">
        <v>0</v>
      </c>
      <c r="Q1249" s="43">
        <f>VLOOKUP(Tabla1[[#This Row],[PAGO DIA]],DIAS!A:F,6,0)</f>
        <v>46203</v>
      </c>
      <c r="R1249" s="6">
        <v>0</v>
      </c>
      <c r="S1249" s="43">
        <f>VLOOKUP(Tabla1[[#This Row],[PAGO DIA]],DIAS!A:G,7,0)</f>
        <v>46234</v>
      </c>
      <c r="T1249" s="6">
        <v>0</v>
      </c>
      <c r="U1249" s="43">
        <f>VLOOKUP(Tabla1[[#This Row],[PAGO DIA]],DIAS!A:H,8,0)</f>
        <v>46265</v>
      </c>
      <c r="V1249" s="6">
        <v>0</v>
      </c>
      <c r="W1249" s="43">
        <f>VLOOKUP(Tabla1[[#This Row],[PAGO DIA]],DIAS!A:I,9,0)</f>
        <v>46295</v>
      </c>
      <c r="X1249" s="6">
        <v>0</v>
      </c>
      <c r="Y1249" s="43">
        <f>VLOOKUP(Tabla1[[#This Row],[PAGO DIA]],DIAS!A:J,10,0)</f>
        <v>46325</v>
      </c>
      <c r="Z1249" s="6">
        <v>0</v>
      </c>
      <c r="AA1249" s="43">
        <f>VLOOKUP(Tabla1[[#This Row],[PAGO DIA]],DIAS!A:K,11,0)</f>
        <v>46356</v>
      </c>
      <c r="AB1249" s="6">
        <v>0</v>
      </c>
      <c r="AC1249" s="43">
        <f>VLOOKUP(Tabla1[[#This Row],[PAGO DIA]],DIAS!A:M,12,0)</f>
        <v>46386</v>
      </c>
      <c r="AD12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0" spans="1:30">
      <c r="A1250" s="3">
        <v>10941</v>
      </c>
      <c r="B1250" s="3" t="s">
        <v>534</v>
      </c>
      <c r="C1250" s="3" t="s">
        <v>535</v>
      </c>
      <c r="D1250" s="3" t="s">
        <v>1762</v>
      </c>
      <c r="E1250" s="3" t="s">
        <v>1762</v>
      </c>
      <c r="F1250" s="42" t="s">
        <v>631</v>
      </c>
      <c r="G1250" s="3"/>
      <c r="H1250" s="6">
        <v>0</v>
      </c>
      <c r="I1250" s="41">
        <f>VLOOKUP(Tabla1[[#This Row],[PAGO DIA]],DIAS!A:B,2,0)</f>
        <v>46080</v>
      </c>
      <c r="J1250" s="6">
        <v>0</v>
      </c>
      <c r="K1250" s="43">
        <f>VLOOKUP(Tabla1[[#This Row],[PAGO DIA]],DIAS!A:C,3,0)</f>
        <v>46112</v>
      </c>
      <c r="L1250" s="6">
        <v>0</v>
      </c>
      <c r="M1250" s="41">
        <f>VLOOKUP(Tabla1[[#This Row],[PAGO DIA]],DIAS!A:D,4,0)</f>
        <v>46142</v>
      </c>
      <c r="N1250" s="6">
        <v>0</v>
      </c>
      <c r="O1250" s="43">
        <f>VLOOKUP(Tabla1[[#This Row],[PAGO DIA]],DIAS!A:E,5,0)</f>
        <v>46171</v>
      </c>
      <c r="P1250" s="6">
        <v>3500000000</v>
      </c>
      <c r="Q1250" s="43">
        <f>VLOOKUP(Tabla1[[#This Row],[PAGO DIA]],DIAS!A:F,6,0)</f>
        <v>46203</v>
      </c>
      <c r="R1250" s="6">
        <v>0</v>
      </c>
      <c r="S1250" s="43">
        <f>VLOOKUP(Tabla1[[#This Row],[PAGO DIA]],DIAS!A:G,7,0)</f>
        <v>46234</v>
      </c>
      <c r="T1250" s="6">
        <v>0</v>
      </c>
      <c r="U1250" s="43">
        <f>VLOOKUP(Tabla1[[#This Row],[PAGO DIA]],DIAS!A:H,8,0)</f>
        <v>46265</v>
      </c>
      <c r="V1250" s="6">
        <v>0</v>
      </c>
      <c r="W1250" s="43">
        <f>VLOOKUP(Tabla1[[#This Row],[PAGO DIA]],DIAS!A:I,9,0)</f>
        <v>46295</v>
      </c>
      <c r="X1250" s="6">
        <v>0</v>
      </c>
      <c r="Y1250" s="43">
        <f>VLOOKUP(Tabla1[[#This Row],[PAGO DIA]],DIAS!A:J,10,0)</f>
        <v>46325</v>
      </c>
      <c r="Z1250" s="6">
        <v>0</v>
      </c>
      <c r="AA1250" s="43">
        <f>VLOOKUP(Tabla1[[#This Row],[PAGO DIA]],DIAS!A:K,11,0)</f>
        <v>46356</v>
      </c>
      <c r="AB1250" s="6">
        <v>3500000000</v>
      </c>
      <c r="AC1250" s="43">
        <f>VLOOKUP(Tabla1[[#This Row],[PAGO DIA]],DIAS!A:M,12,0)</f>
        <v>46386</v>
      </c>
      <c r="AD12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7000000000</v>
      </c>
    </row>
    <row r="1251" spans="1:30">
      <c r="A1251" s="3">
        <v>12497</v>
      </c>
      <c r="B1251" s="3" t="s">
        <v>534</v>
      </c>
      <c r="C1251" s="3" t="s">
        <v>535</v>
      </c>
      <c r="D1251" s="3" t="s">
        <v>1760</v>
      </c>
      <c r="E1251" s="3" t="s">
        <v>1760</v>
      </c>
      <c r="F1251" s="42" t="s">
        <v>631</v>
      </c>
      <c r="G1251" s="3"/>
      <c r="H1251" s="6">
        <v>0</v>
      </c>
      <c r="I1251" s="41">
        <f>VLOOKUP(Tabla1[[#This Row],[PAGO DIA]],DIAS!A:B,2,0)</f>
        <v>46080</v>
      </c>
      <c r="J1251" s="6">
        <v>0</v>
      </c>
      <c r="K1251" s="43">
        <f>VLOOKUP(Tabla1[[#This Row],[PAGO DIA]],DIAS!A:C,3,0)</f>
        <v>46112</v>
      </c>
      <c r="L1251" s="6">
        <v>0</v>
      </c>
      <c r="M1251" s="41">
        <f>VLOOKUP(Tabla1[[#This Row],[PAGO DIA]],DIAS!A:D,4,0)</f>
        <v>46142</v>
      </c>
      <c r="N1251" s="6">
        <v>0</v>
      </c>
      <c r="O1251" s="43">
        <f>VLOOKUP(Tabla1[[#This Row],[PAGO DIA]],DIAS!A:E,5,0)</f>
        <v>46171</v>
      </c>
      <c r="P1251" s="6">
        <v>0</v>
      </c>
      <c r="Q1251" s="43">
        <f>VLOOKUP(Tabla1[[#This Row],[PAGO DIA]],DIAS!A:F,6,0)</f>
        <v>46203</v>
      </c>
      <c r="R1251" s="6">
        <v>0</v>
      </c>
      <c r="S1251" s="43">
        <f>VLOOKUP(Tabla1[[#This Row],[PAGO DIA]],DIAS!A:G,7,0)</f>
        <v>46234</v>
      </c>
      <c r="T1251" s="6">
        <v>0</v>
      </c>
      <c r="U1251" s="43">
        <f>VLOOKUP(Tabla1[[#This Row],[PAGO DIA]],DIAS!A:H,8,0)</f>
        <v>46265</v>
      </c>
      <c r="V1251" s="6">
        <v>0</v>
      </c>
      <c r="W1251" s="43">
        <f>VLOOKUP(Tabla1[[#This Row],[PAGO DIA]],DIAS!A:I,9,0)</f>
        <v>46295</v>
      </c>
      <c r="X1251" s="6">
        <v>0</v>
      </c>
      <c r="Y1251" s="43">
        <f>VLOOKUP(Tabla1[[#This Row],[PAGO DIA]],DIAS!A:J,10,0)</f>
        <v>46325</v>
      </c>
      <c r="Z1251" s="6">
        <v>0</v>
      </c>
      <c r="AA1251" s="43">
        <f>VLOOKUP(Tabla1[[#This Row],[PAGO DIA]],DIAS!A:K,11,0)</f>
        <v>46356</v>
      </c>
      <c r="AB1251" s="6">
        <v>0</v>
      </c>
      <c r="AC1251" s="43">
        <f>VLOOKUP(Tabla1[[#This Row],[PAGO DIA]],DIAS!A:M,12,0)</f>
        <v>46386</v>
      </c>
      <c r="AD12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2" spans="1:30">
      <c r="A1252" s="3">
        <v>12229</v>
      </c>
      <c r="B1252" s="3" t="s">
        <v>534</v>
      </c>
      <c r="C1252" s="3"/>
      <c r="D1252" s="3" t="s">
        <v>1763</v>
      </c>
      <c r="E1252" s="3"/>
      <c r="F1252" s="42" t="s">
        <v>631</v>
      </c>
      <c r="G1252" s="3"/>
      <c r="H1252" s="6">
        <v>0</v>
      </c>
      <c r="I1252" s="41">
        <f>VLOOKUP(Tabla1[[#This Row],[PAGO DIA]],DIAS!A:B,2,0)</f>
        <v>46080</v>
      </c>
      <c r="J1252" s="6">
        <v>0</v>
      </c>
      <c r="K1252" s="43">
        <f>VLOOKUP(Tabla1[[#This Row],[PAGO DIA]],DIAS!A:C,3,0)</f>
        <v>46112</v>
      </c>
      <c r="L1252" s="6">
        <v>0</v>
      </c>
      <c r="M1252" s="41">
        <f>VLOOKUP(Tabla1[[#This Row],[PAGO DIA]],DIAS!A:D,4,0)</f>
        <v>46142</v>
      </c>
      <c r="N1252" s="6">
        <v>0</v>
      </c>
      <c r="O1252" s="43">
        <f>VLOOKUP(Tabla1[[#This Row],[PAGO DIA]],DIAS!A:E,5,0)</f>
        <v>46171</v>
      </c>
      <c r="P1252" s="6">
        <v>0</v>
      </c>
      <c r="Q1252" s="43">
        <f>VLOOKUP(Tabla1[[#This Row],[PAGO DIA]],DIAS!A:F,6,0)</f>
        <v>46203</v>
      </c>
      <c r="R1252" s="6">
        <v>0</v>
      </c>
      <c r="S1252" s="43">
        <f>VLOOKUP(Tabla1[[#This Row],[PAGO DIA]],DIAS!A:G,7,0)</f>
        <v>46234</v>
      </c>
      <c r="T1252" s="6">
        <v>0</v>
      </c>
      <c r="U1252" s="43">
        <f>VLOOKUP(Tabla1[[#This Row],[PAGO DIA]],DIAS!A:H,8,0)</f>
        <v>46265</v>
      </c>
      <c r="V1252" s="6">
        <v>0</v>
      </c>
      <c r="W1252" s="43">
        <f>VLOOKUP(Tabla1[[#This Row],[PAGO DIA]],DIAS!A:I,9,0)</f>
        <v>46295</v>
      </c>
      <c r="X1252" s="6">
        <v>0</v>
      </c>
      <c r="Y1252" s="43">
        <f>VLOOKUP(Tabla1[[#This Row],[PAGO DIA]],DIAS!A:J,10,0)</f>
        <v>46325</v>
      </c>
      <c r="Z1252" s="6">
        <v>0</v>
      </c>
      <c r="AA1252" s="43">
        <f>VLOOKUP(Tabla1[[#This Row],[PAGO DIA]],DIAS!A:K,11,0)</f>
        <v>46356</v>
      </c>
      <c r="AB1252" s="6">
        <v>0</v>
      </c>
      <c r="AC1252" s="43">
        <f>VLOOKUP(Tabla1[[#This Row],[PAGO DIA]],DIAS!A:M,12,0)</f>
        <v>46386</v>
      </c>
      <c r="AD12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3" spans="1:30">
      <c r="A1253" s="3">
        <v>10947</v>
      </c>
      <c r="B1253" s="3" t="s">
        <v>510</v>
      </c>
      <c r="C1253" s="3" t="s">
        <v>505</v>
      </c>
      <c r="D1253" s="3" t="s">
        <v>1764</v>
      </c>
      <c r="E1253" s="3" t="s">
        <v>1126</v>
      </c>
      <c r="F1253" s="42" t="s">
        <v>562</v>
      </c>
      <c r="G1253" s="3"/>
      <c r="H1253" s="6">
        <v>0</v>
      </c>
      <c r="I1253" s="41">
        <f>VLOOKUP(Tabla1[[#This Row],[PAGO DIA]],DIAS!A:B,2,0)</f>
        <v>46078</v>
      </c>
      <c r="J1253" s="6">
        <v>0</v>
      </c>
      <c r="K1253" s="43">
        <f>VLOOKUP(Tabla1[[#This Row],[PAGO DIA]],DIAS!A:C,3,0)</f>
        <v>46105</v>
      </c>
      <c r="L1253" s="6">
        <v>0</v>
      </c>
      <c r="M1253" s="41">
        <f>VLOOKUP(Tabla1[[#This Row],[PAGO DIA]],DIAS!A:D,4,0)</f>
        <v>46140</v>
      </c>
      <c r="N1253" s="6">
        <v>0</v>
      </c>
      <c r="O1253" s="43">
        <f>VLOOKUP(Tabla1[[#This Row],[PAGO DIA]],DIAS!A:E,5,0)</f>
        <v>46168</v>
      </c>
      <c r="P1253" s="6">
        <v>0</v>
      </c>
      <c r="Q1253" s="43">
        <f>VLOOKUP(Tabla1[[#This Row],[PAGO DIA]],DIAS!A:F,6,0)</f>
        <v>46196</v>
      </c>
      <c r="R1253" s="6">
        <v>0</v>
      </c>
      <c r="S1253" s="43">
        <f>VLOOKUP(Tabla1[[#This Row],[PAGO DIA]],DIAS!A:G,7,0)</f>
        <v>46231</v>
      </c>
      <c r="T1253" s="6">
        <v>0</v>
      </c>
      <c r="U1253" s="43">
        <f>VLOOKUP(Tabla1[[#This Row],[PAGO DIA]],DIAS!A:H,8,0)</f>
        <v>46259</v>
      </c>
      <c r="V1253" s="6">
        <v>0</v>
      </c>
      <c r="W1253" s="43">
        <f>VLOOKUP(Tabla1[[#This Row],[PAGO DIA]],DIAS!A:I,9,0)</f>
        <v>46287</v>
      </c>
      <c r="X1253" s="6">
        <v>0</v>
      </c>
      <c r="Y1253" s="43">
        <f>VLOOKUP(Tabla1[[#This Row],[PAGO DIA]],DIAS!A:J,10,0)</f>
        <v>46322</v>
      </c>
      <c r="Z1253" s="6">
        <v>0</v>
      </c>
      <c r="AA1253" s="43">
        <f>VLOOKUP(Tabla1[[#This Row],[PAGO DIA]],DIAS!A:K,11,0)</f>
        <v>46350</v>
      </c>
      <c r="AB1253" s="6">
        <v>0</v>
      </c>
      <c r="AC1253" s="43">
        <f>VLOOKUP(Tabla1[[#This Row],[PAGO DIA]],DIAS!A:M,12,0)</f>
        <v>46379</v>
      </c>
      <c r="AD12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254" spans="1:30">
      <c r="A1254" s="3">
        <v>11093</v>
      </c>
      <c r="B1254" s="3" t="s">
        <v>510</v>
      </c>
      <c r="C1254" s="3" t="s">
        <v>1147</v>
      </c>
      <c r="D1254" s="3" t="s">
        <v>1765</v>
      </c>
      <c r="E1254" s="3" t="s">
        <v>1766</v>
      </c>
      <c r="F1254" s="42" t="s">
        <v>562</v>
      </c>
      <c r="G1254" s="3"/>
      <c r="H1254" s="7">
        <v>1150000000</v>
      </c>
      <c r="I1254" s="41">
        <f>VLOOKUP(Tabla1[[#This Row],[PAGO DIA]],DIAS!A:B,2,0)</f>
        <v>46078</v>
      </c>
      <c r="J1254" s="6">
        <v>1150000000</v>
      </c>
      <c r="K1254" s="43">
        <f>VLOOKUP(Tabla1[[#This Row],[PAGO DIA]],DIAS!A:C,3,0)</f>
        <v>46105</v>
      </c>
      <c r="L1254" s="6">
        <v>1150000000</v>
      </c>
      <c r="M1254" s="41">
        <f>VLOOKUP(Tabla1[[#This Row],[PAGO DIA]],DIAS!A:D,4,0)</f>
        <v>46140</v>
      </c>
      <c r="N1254" s="6">
        <v>1150000000</v>
      </c>
      <c r="O1254" s="43">
        <f>VLOOKUP(Tabla1[[#This Row],[PAGO DIA]],DIAS!A:E,5,0)</f>
        <v>46168</v>
      </c>
      <c r="P1254" s="6">
        <v>1150000000</v>
      </c>
      <c r="Q1254" s="43">
        <f>VLOOKUP(Tabla1[[#This Row],[PAGO DIA]],DIAS!A:F,6,0)</f>
        <v>46196</v>
      </c>
      <c r="R1254" s="6">
        <v>1150000000</v>
      </c>
      <c r="S1254" s="43">
        <f>VLOOKUP(Tabla1[[#This Row],[PAGO DIA]],DIAS!A:G,7,0)</f>
        <v>46231</v>
      </c>
      <c r="T1254" s="6">
        <v>1150000000</v>
      </c>
      <c r="U1254" s="43">
        <f>VLOOKUP(Tabla1[[#This Row],[PAGO DIA]],DIAS!A:H,8,0)</f>
        <v>46259</v>
      </c>
      <c r="V1254" s="6">
        <v>1150000000</v>
      </c>
      <c r="W1254" s="43">
        <f>VLOOKUP(Tabla1[[#This Row],[PAGO DIA]],DIAS!A:I,9,0)</f>
        <v>46287</v>
      </c>
      <c r="X1254" s="6">
        <v>1150000000</v>
      </c>
      <c r="Y1254" s="43">
        <f>VLOOKUP(Tabla1[[#This Row],[PAGO DIA]],DIAS!A:J,10,0)</f>
        <v>46322</v>
      </c>
      <c r="Z1254" s="6">
        <v>1150000000</v>
      </c>
      <c r="AA1254" s="43">
        <f>VLOOKUP(Tabla1[[#This Row],[PAGO DIA]],DIAS!A:K,11,0)</f>
        <v>46350</v>
      </c>
      <c r="AB1254" s="6">
        <v>1150000000</v>
      </c>
      <c r="AC1254" s="43">
        <f>VLOOKUP(Tabla1[[#This Row],[PAGO DIA]],DIAS!A:M,12,0)</f>
        <v>46379</v>
      </c>
      <c r="AD12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12650000000</v>
      </c>
    </row>
    <row r="1255" spans="1:30">
      <c r="A1255" s="3">
        <v>11115</v>
      </c>
      <c r="B1255" s="3" t="s">
        <v>510</v>
      </c>
      <c r="C1255" s="3" t="s">
        <v>1147</v>
      </c>
      <c r="D1255" s="3" t="s">
        <v>1767</v>
      </c>
      <c r="E1255" s="3" t="s">
        <v>1768</v>
      </c>
      <c r="F1255" s="42" t="s">
        <v>562</v>
      </c>
      <c r="G1255" s="3"/>
      <c r="H1255" s="7">
        <v>548900000</v>
      </c>
      <c r="I1255" s="41">
        <f>VLOOKUP(Tabla1[[#This Row],[PAGO DIA]],DIAS!A:B,2,0)</f>
        <v>46078</v>
      </c>
      <c r="J1255" s="6">
        <v>550000000</v>
      </c>
      <c r="K1255" s="43">
        <f>VLOOKUP(Tabla1[[#This Row],[PAGO DIA]],DIAS!A:C,3,0)</f>
        <v>46105</v>
      </c>
      <c r="L1255" s="6">
        <v>550000000</v>
      </c>
      <c r="M1255" s="41">
        <f>VLOOKUP(Tabla1[[#This Row],[PAGO DIA]],DIAS!A:D,4,0)</f>
        <v>46140</v>
      </c>
      <c r="N1255" s="6">
        <v>550000000</v>
      </c>
      <c r="O1255" s="43">
        <f>VLOOKUP(Tabla1[[#This Row],[PAGO DIA]],DIAS!A:E,5,0)</f>
        <v>46168</v>
      </c>
      <c r="P1255" s="6">
        <v>550000000</v>
      </c>
      <c r="Q1255" s="43">
        <f>VLOOKUP(Tabla1[[#This Row],[PAGO DIA]],DIAS!A:F,6,0)</f>
        <v>46196</v>
      </c>
      <c r="R1255" s="6">
        <v>550000000</v>
      </c>
      <c r="S1255" s="43">
        <f>VLOOKUP(Tabla1[[#This Row],[PAGO DIA]],DIAS!A:G,7,0)</f>
        <v>46231</v>
      </c>
      <c r="T1255" s="6">
        <v>550000000</v>
      </c>
      <c r="U1255" s="43">
        <f>VLOOKUP(Tabla1[[#This Row],[PAGO DIA]],DIAS!A:H,8,0)</f>
        <v>46259</v>
      </c>
      <c r="V1255" s="6">
        <v>550000000</v>
      </c>
      <c r="W1255" s="43">
        <f>VLOOKUP(Tabla1[[#This Row],[PAGO DIA]],DIAS!A:I,9,0)</f>
        <v>46287</v>
      </c>
      <c r="X1255" s="6">
        <v>550000000</v>
      </c>
      <c r="Y1255" s="43">
        <f>VLOOKUP(Tabla1[[#This Row],[PAGO DIA]],DIAS!A:J,10,0)</f>
        <v>46322</v>
      </c>
      <c r="Z1255" s="6">
        <v>550000000</v>
      </c>
      <c r="AA1255" s="43">
        <f>VLOOKUP(Tabla1[[#This Row],[PAGO DIA]],DIAS!A:K,11,0)</f>
        <v>46350</v>
      </c>
      <c r="AB1255" s="6">
        <v>550000000</v>
      </c>
      <c r="AC1255" s="43">
        <f>VLOOKUP(Tabla1[[#This Row],[PAGO DIA]],DIAS!A:M,12,0)</f>
        <v>46379</v>
      </c>
      <c r="AD12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6048900000</v>
      </c>
    </row>
    <row r="1256" spans="1:30">
      <c r="A1256" s="3">
        <v>11116</v>
      </c>
      <c r="B1256" s="3" t="s">
        <v>510</v>
      </c>
      <c r="C1256" s="3" t="s">
        <v>1147</v>
      </c>
      <c r="D1256" s="3" t="s">
        <v>1769</v>
      </c>
      <c r="E1256" s="3" t="s">
        <v>1770</v>
      </c>
      <c r="F1256" s="42" t="s">
        <v>562</v>
      </c>
      <c r="G1256" s="3" t="s">
        <v>1771</v>
      </c>
      <c r="H1256" s="7">
        <v>90587000</v>
      </c>
      <c r="I1256" s="41">
        <f>VLOOKUP(Tabla1[[#This Row],[PAGO DIA]],DIAS!A:B,2,0)</f>
        <v>46078</v>
      </c>
      <c r="J1256" s="6">
        <v>90458000</v>
      </c>
      <c r="K1256" s="43">
        <f>VLOOKUP(Tabla1[[#This Row],[PAGO DIA]],DIAS!A:C,3,0)</f>
        <v>46105</v>
      </c>
      <c r="L1256" s="6">
        <v>127395500</v>
      </c>
      <c r="M1256" s="41">
        <f>VLOOKUP(Tabla1[[#This Row],[PAGO DIA]],DIAS!A:D,4,0)</f>
        <v>46140</v>
      </c>
      <c r="N1256" s="6">
        <v>24736500</v>
      </c>
      <c r="O1256" s="43">
        <f>VLOOKUP(Tabla1[[#This Row],[PAGO DIA]],DIAS!A:E,5,0)</f>
        <v>46168</v>
      </c>
      <c r="P1256" s="6">
        <v>0</v>
      </c>
      <c r="Q1256" s="43">
        <f>VLOOKUP(Tabla1[[#This Row],[PAGO DIA]],DIAS!A:F,6,0)</f>
        <v>46196</v>
      </c>
      <c r="R1256" s="6">
        <v>0</v>
      </c>
      <c r="S1256" s="43">
        <f>VLOOKUP(Tabla1[[#This Row],[PAGO DIA]],DIAS!A:G,7,0)</f>
        <v>46231</v>
      </c>
      <c r="T1256" s="6">
        <v>0</v>
      </c>
      <c r="U1256" s="43">
        <f>VLOOKUP(Tabla1[[#This Row],[PAGO DIA]],DIAS!A:H,8,0)</f>
        <v>46259</v>
      </c>
      <c r="V1256" s="6">
        <v>0</v>
      </c>
      <c r="W1256" s="43">
        <f>VLOOKUP(Tabla1[[#This Row],[PAGO DIA]],DIAS!A:I,9,0)</f>
        <v>46287</v>
      </c>
      <c r="X1256" s="6">
        <v>0</v>
      </c>
      <c r="Y1256" s="43">
        <f>VLOOKUP(Tabla1[[#This Row],[PAGO DIA]],DIAS!A:J,10,0)</f>
        <v>46322</v>
      </c>
      <c r="Z1256" s="6">
        <v>0</v>
      </c>
      <c r="AA1256" s="43">
        <f>VLOOKUP(Tabla1[[#This Row],[PAGO DIA]],DIAS!A:K,11,0)</f>
        <v>46350</v>
      </c>
      <c r="AB1256" s="6">
        <v>0</v>
      </c>
      <c r="AC1256" s="43">
        <f>VLOOKUP(Tabla1[[#This Row],[PAGO DIA]],DIAS!A:M,12,0)</f>
        <v>46379</v>
      </c>
      <c r="AD12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333177000</v>
      </c>
    </row>
    <row r="1257" spans="1:30">
      <c r="A1257" s="3">
        <v>11117</v>
      </c>
      <c r="B1257" s="3" t="s">
        <v>510</v>
      </c>
      <c r="C1257" s="3" t="s">
        <v>1147</v>
      </c>
      <c r="D1257" s="3" t="s">
        <v>1772</v>
      </c>
      <c r="E1257" s="3" t="s">
        <v>1773</v>
      </c>
      <c r="F1257" s="42" t="s">
        <v>562</v>
      </c>
      <c r="G1257" s="3"/>
      <c r="H1257" s="7">
        <v>541986000</v>
      </c>
      <c r="I1257" s="41">
        <f>VLOOKUP(Tabla1[[#This Row],[PAGO DIA]],DIAS!A:B,2,0)</f>
        <v>46078</v>
      </c>
      <c r="J1257" s="6">
        <v>542000000</v>
      </c>
      <c r="K1257" s="43">
        <f>VLOOKUP(Tabla1[[#This Row],[PAGO DIA]],DIAS!A:C,3,0)</f>
        <v>46105</v>
      </c>
      <c r="L1257" s="6">
        <v>542000000</v>
      </c>
      <c r="M1257" s="41">
        <f>VLOOKUP(Tabla1[[#This Row],[PAGO DIA]],DIAS!A:D,4,0)</f>
        <v>46140</v>
      </c>
      <c r="N1257" s="6">
        <v>542000000</v>
      </c>
      <c r="O1257" s="43">
        <f>VLOOKUP(Tabla1[[#This Row],[PAGO DIA]],DIAS!A:E,5,0)</f>
        <v>46168</v>
      </c>
      <c r="P1257" s="6">
        <v>542000000</v>
      </c>
      <c r="Q1257" s="43">
        <f>VLOOKUP(Tabla1[[#This Row],[PAGO DIA]],DIAS!A:F,6,0)</f>
        <v>46196</v>
      </c>
      <c r="R1257" s="6">
        <v>542000000</v>
      </c>
      <c r="S1257" s="43">
        <f>VLOOKUP(Tabla1[[#This Row],[PAGO DIA]],DIAS!A:G,7,0)</f>
        <v>46231</v>
      </c>
      <c r="T1257" s="6">
        <v>542000000</v>
      </c>
      <c r="U1257" s="43">
        <f>VLOOKUP(Tabla1[[#This Row],[PAGO DIA]],DIAS!A:H,8,0)</f>
        <v>46259</v>
      </c>
      <c r="V1257" s="6">
        <v>542000000</v>
      </c>
      <c r="W1257" s="43">
        <f>VLOOKUP(Tabla1[[#This Row],[PAGO DIA]],DIAS!A:I,9,0)</f>
        <v>46287</v>
      </c>
      <c r="X1257" s="6">
        <v>542000000</v>
      </c>
      <c r="Y1257" s="43">
        <f>VLOOKUP(Tabla1[[#This Row],[PAGO DIA]],DIAS!A:J,10,0)</f>
        <v>46322</v>
      </c>
      <c r="Z1257" s="6">
        <v>542000000</v>
      </c>
      <c r="AA1257" s="43">
        <f>VLOOKUP(Tabla1[[#This Row],[PAGO DIA]],DIAS!A:K,11,0)</f>
        <v>46350</v>
      </c>
      <c r="AB1257" s="6">
        <v>542000000</v>
      </c>
      <c r="AC1257" s="43">
        <f>VLOOKUP(Tabla1[[#This Row],[PAGO DIA]],DIAS!A:M,12,0)</f>
        <v>46379</v>
      </c>
      <c r="AD12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5961986000</v>
      </c>
    </row>
    <row r="1258" spans="1:30">
      <c r="A1258" s="3">
        <v>11119</v>
      </c>
      <c r="B1258" s="3" t="s">
        <v>510</v>
      </c>
      <c r="C1258" s="3" t="s">
        <v>1147</v>
      </c>
      <c r="D1258" s="3" t="s">
        <v>1774</v>
      </c>
      <c r="E1258" s="3" t="s">
        <v>1770</v>
      </c>
      <c r="F1258" s="42" t="s">
        <v>562</v>
      </c>
      <c r="G1258" s="3" t="s">
        <v>1775</v>
      </c>
      <c r="H1258" s="7">
        <v>43542000</v>
      </c>
      <c r="I1258" s="41">
        <f>VLOOKUP(Tabla1[[#This Row],[PAGO DIA]],DIAS!A:B,2,0)</f>
        <v>46078</v>
      </c>
      <c r="J1258" s="6">
        <v>43542000</v>
      </c>
      <c r="K1258" s="43">
        <f>VLOOKUP(Tabla1[[#This Row],[PAGO DIA]],DIAS!A:C,3,0)</f>
        <v>46105</v>
      </c>
      <c r="L1258" s="6">
        <v>6604500</v>
      </c>
      <c r="M1258" s="41">
        <f>VLOOKUP(Tabla1[[#This Row],[PAGO DIA]],DIAS!A:D,4,0)</f>
        <v>46140</v>
      </c>
      <c r="N1258" s="6">
        <v>0</v>
      </c>
      <c r="O1258" s="43">
        <f>VLOOKUP(Tabla1[[#This Row],[PAGO DIA]],DIAS!A:E,5,0)</f>
        <v>46168</v>
      </c>
      <c r="P1258" s="6">
        <v>0</v>
      </c>
      <c r="Q1258" s="43">
        <f>VLOOKUP(Tabla1[[#This Row],[PAGO DIA]],DIAS!A:F,6,0)</f>
        <v>46196</v>
      </c>
      <c r="R1258" s="6">
        <v>0</v>
      </c>
      <c r="S1258" s="43">
        <f>VLOOKUP(Tabla1[[#This Row],[PAGO DIA]],DIAS!A:G,7,0)</f>
        <v>46231</v>
      </c>
      <c r="T1258" s="6">
        <v>0</v>
      </c>
      <c r="U1258" s="43">
        <f>VLOOKUP(Tabla1[[#This Row],[PAGO DIA]],DIAS!A:H,8,0)</f>
        <v>46259</v>
      </c>
      <c r="V1258" s="6">
        <v>0</v>
      </c>
      <c r="W1258" s="43">
        <f>VLOOKUP(Tabla1[[#This Row],[PAGO DIA]],DIAS!A:I,9,0)</f>
        <v>46287</v>
      </c>
      <c r="X1258" s="6">
        <v>0</v>
      </c>
      <c r="Y1258" s="43">
        <f>VLOOKUP(Tabla1[[#This Row],[PAGO DIA]],DIAS!A:J,10,0)</f>
        <v>46322</v>
      </c>
      <c r="Z1258" s="6">
        <v>0</v>
      </c>
      <c r="AA1258" s="43">
        <f>VLOOKUP(Tabla1[[#This Row],[PAGO DIA]],DIAS!A:K,11,0)</f>
        <v>46350</v>
      </c>
      <c r="AB1258" s="6">
        <v>0</v>
      </c>
      <c r="AC1258" s="43">
        <f>VLOOKUP(Tabla1[[#This Row],[PAGO DIA]],DIAS!A:M,12,0)</f>
        <v>46379</v>
      </c>
      <c r="AD12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93688500</v>
      </c>
    </row>
    <row r="1259" spans="1:30">
      <c r="A1259" s="3">
        <v>11141</v>
      </c>
      <c r="B1259" s="3" t="s">
        <v>510</v>
      </c>
      <c r="C1259" s="3" t="s">
        <v>539</v>
      </c>
      <c r="D1259" s="3" t="s">
        <v>1492</v>
      </c>
      <c r="E1259" s="3" t="s">
        <v>1059</v>
      </c>
      <c r="F1259" s="42" t="s">
        <v>562</v>
      </c>
      <c r="G1259" s="3" t="s">
        <v>1493</v>
      </c>
      <c r="H1259" s="7"/>
      <c r="I1259" s="41"/>
      <c r="J1259" s="6">
        <v>1071948808</v>
      </c>
      <c r="K1259" s="43">
        <f>VLOOKUP(Tabla1[[#This Row],[PAGO DIA]],DIAS!A:C,3,0)</f>
        <v>46105</v>
      </c>
      <c r="AD12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1071948808</v>
      </c>
    </row>
    <row r="1260" spans="1:30">
      <c r="A1260" s="3">
        <v>11144</v>
      </c>
      <c r="B1260" s="3" t="s">
        <v>510</v>
      </c>
      <c r="C1260" s="3" t="s">
        <v>1140</v>
      </c>
      <c r="D1260" s="3" t="s">
        <v>1776</v>
      </c>
      <c r="E1260" s="3" t="s">
        <v>1777</v>
      </c>
      <c r="F1260" s="42" t="s">
        <v>562</v>
      </c>
      <c r="G1260" s="3"/>
      <c r="H1260" s="7">
        <v>370000000</v>
      </c>
      <c r="I1260" s="41">
        <f>VLOOKUP(Tabla1[[#This Row],[PAGO DIA]],DIAS!A:B,2,0)</f>
        <v>46078</v>
      </c>
      <c r="J1260" s="6">
        <v>370000000</v>
      </c>
      <c r="K1260" s="43">
        <f>VLOOKUP(Tabla1[[#This Row],[PAGO DIA]],DIAS!A:C,3,0)</f>
        <v>46105</v>
      </c>
      <c r="L1260" s="6">
        <v>370000000</v>
      </c>
      <c r="M1260" s="41">
        <f>VLOOKUP(Tabla1[[#This Row],[PAGO DIA]],DIAS!A:D,4,0)</f>
        <v>46140</v>
      </c>
      <c r="N1260" s="6">
        <v>370000000</v>
      </c>
      <c r="O1260" s="43">
        <f>VLOOKUP(Tabla1[[#This Row],[PAGO DIA]],DIAS!A:E,5,0)</f>
        <v>46168</v>
      </c>
      <c r="P1260" s="6">
        <v>370000000</v>
      </c>
      <c r="Q1260" s="43">
        <f>VLOOKUP(Tabla1[[#This Row],[PAGO DIA]],DIAS!A:F,6,0)</f>
        <v>46196</v>
      </c>
      <c r="R1260" s="6">
        <v>370000000</v>
      </c>
      <c r="S1260" s="43">
        <f>VLOOKUP(Tabla1[[#This Row],[PAGO DIA]],DIAS!A:G,7,0)</f>
        <v>46231</v>
      </c>
      <c r="T1260" s="6">
        <v>370000000</v>
      </c>
      <c r="U1260" s="43">
        <f>VLOOKUP(Tabla1[[#This Row],[PAGO DIA]],DIAS!A:H,8,0)</f>
        <v>46259</v>
      </c>
      <c r="V1260" s="6">
        <v>370000000</v>
      </c>
      <c r="W1260" s="43">
        <f>VLOOKUP(Tabla1[[#This Row],[PAGO DIA]],DIAS!A:I,9,0)</f>
        <v>46287</v>
      </c>
      <c r="X1260" s="6">
        <v>370000000</v>
      </c>
      <c r="Y1260" s="43">
        <f>VLOOKUP(Tabla1[[#This Row],[PAGO DIA]],DIAS!A:J,10,0)</f>
        <v>46322</v>
      </c>
      <c r="Z1260" s="6">
        <v>370000000</v>
      </c>
      <c r="AA1260" s="43">
        <f>VLOOKUP(Tabla1[[#This Row],[PAGO DIA]],DIAS!A:K,11,0)</f>
        <v>46350</v>
      </c>
      <c r="AB1260" s="6">
        <v>370000000</v>
      </c>
      <c r="AC1260" s="43">
        <f>VLOOKUP(Tabla1[[#This Row],[PAGO DIA]],DIAS!A:M,12,0)</f>
        <v>46379</v>
      </c>
      <c r="AD12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4070000000</v>
      </c>
    </row>
    <row r="1261" spans="1:30">
      <c r="A1261" s="3">
        <v>11148</v>
      </c>
      <c r="B1261" s="3" t="s">
        <v>510</v>
      </c>
      <c r="C1261" s="3" t="s">
        <v>1140</v>
      </c>
      <c r="D1261" s="3" t="s">
        <v>1778</v>
      </c>
      <c r="E1261" s="3" t="s">
        <v>1779</v>
      </c>
      <c r="F1261" s="42" t="s">
        <v>562</v>
      </c>
      <c r="G1261" s="3"/>
      <c r="H1261" s="7">
        <v>300000000</v>
      </c>
      <c r="I1261" s="41">
        <f>VLOOKUP(Tabla1[[#This Row],[PAGO DIA]],DIAS!A:B,2,0)</f>
        <v>46078</v>
      </c>
      <c r="J1261" s="6">
        <v>300000000</v>
      </c>
      <c r="K1261" s="43">
        <f>VLOOKUP(Tabla1[[#This Row],[PAGO DIA]],DIAS!A:C,3,0)</f>
        <v>46105</v>
      </c>
      <c r="L1261" s="6">
        <v>300000000</v>
      </c>
      <c r="M1261" s="41">
        <f>VLOOKUP(Tabla1[[#This Row],[PAGO DIA]],DIAS!A:D,4,0)</f>
        <v>46140</v>
      </c>
      <c r="N1261" s="6">
        <v>300000000</v>
      </c>
      <c r="O1261" s="43">
        <f>VLOOKUP(Tabla1[[#This Row],[PAGO DIA]],DIAS!A:E,5,0)</f>
        <v>46168</v>
      </c>
      <c r="P1261" s="6">
        <v>300000000</v>
      </c>
      <c r="Q1261" s="43">
        <f>VLOOKUP(Tabla1[[#This Row],[PAGO DIA]],DIAS!A:F,6,0)</f>
        <v>46196</v>
      </c>
      <c r="R1261" s="6">
        <v>350000000</v>
      </c>
      <c r="S1261" s="43">
        <f>VLOOKUP(Tabla1[[#This Row],[PAGO DIA]],DIAS!A:G,7,0)</f>
        <v>46231</v>
      </c>
      <c r="T1261" s="6">
        <v>350000000</v>
      </c>
      <c r="U1261" s="43">
        <f>VLOOKUP(Tabla1[[#This Row],[PAGO DIA]],DIAS!A:H,8,0)</f>
        <v>46259</v>
      </c>
      <c r="V1261" s="6">
        <v>350000000</v>
      </c>
      <c r="W1261" s="43">
        <f>VLOOKUP(Tabla1[[#This Row],[PAGO DIA]],DIAS!A:I,9,0)</f>
        <v>46287</v>
      </c>
      <c r="X1261" s="6">
        <v>350000000</v>
      </c>
      <c r="Y1261" s="43">
        <f>VLOOKUP(Tabla1[[#This Row],[PAGO DIA]],DIAS!A:J,10,0)</f>
        <v>46322</v>
      </c>
      <c r="Z1261" s="6">
        <v>350000000</v>
      </c>
      <c r="AA1261" s="43">
        <f>VLOOKUP(Tabla1[[#This Row],[PAGO DIA]],DIAS!A:K,11,0)</f>
        <v>46350</v>
      </c>
      <c r="AB1261" s="6">
        <v>350000000</v>
      </c>
      <c r="AC1261" s="43">
        <f>VLOOKUP(Tabla1[[#This Row],[PAGO DIA]],DIAS!A:M,12,0)</f>
        <v>46379</v>
      </c>
      <c r="AD12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3600000000</v>
      </c>
    </row>
    <row r="1262" spans="1:30">
      <c r="A1262" s="3">
        <v>11150</v>
      </c>
      <c r="B1262" s="3" t="s">
        <v>510</v>
      </c>
      <c r="C1262" s="3" t="s">
        <v>1147</v>
      </c>
      <c r="D1262" s="3" t="s">
        <v>1780</v>
      </c>
      <c r="E1262" s="3" t="s">
        <v>1781</v>
      </c>
      <c r="F1262" s="42" t="s">
        <v>562</v>
      </c>
      <c r="G1262" s="3" t="s">
        <v>1782</v>
      </c>
      <c r="H1262" s="7">
        <v>278511829</v>
      </c>
      <c r="I1262" s="41">
        <f>VLOOKUP(Tabla1[[#This Row],[PAGO DIA]],DIAS!A:B,2,0)</f>
        <v>46078</v>
      </c>
      <c r="J1262" s="6">
        <v>280000000</v>
      </c>
      <c r="K1262" s="43">
        <f>VLOOKUP(Tabla1[[#This Row],[PAGO DIA]],DIAS!A:C,3,0)</f>
        <v>46105</v>
      </c>
      <c r="L1262" s="6">
        <v>280000000</v>
      </c>
      <c r="M1262" s="41">
        <f>VLOOKUP(Tabla1[[#This Row],[PAGO DIA]],DIAS!A:D,4,0)</f>
        <v>46140</v>
      </c>
      <c r="N1262" s="6">
        <v>280000000</v>
      </c>
      <c r="O1262" s="43">
        <f>VLOOKUP(Tabla1[[#This Row],[PAGO DIA]],DIAS!A:E,5,0)</f>
        <v>46168</v>
      </c>
      <c r="P1262" s="6">
        <v>280000000</v>
      </c>
      <c r="Q1262" s="43">
        <f>VLOOKUP(Tabla1[[#This Row],[PAGO DIA]],DIAS!A:F,6,0)</f>
        <v>46196</v>
      </c>
      <c r="R1262" s="6">
        <v>280000000</v>
      </c>
      <c r="S1262" s="43">
        <f>VLOOKUP(Tabla1[[#This Row],[PAGO DIA]],DIAS!A:G,7,0)</f>
        <v>46231</v>
      </c>
      <c r="T1262" s="6">
        <v>280000000</v>
      </c>
      <c r="U1262" s="43">
        <f>VLOOKUP(Tabla1[[#This Row],[PAGO DIA]],DIAS!A:H,8,0)</f>
        <v>46259</v>
      </c>
      <c r="V1262" s="6">
        <v>280000000</v>
      </c>
      <c r="W1262" s="43">
        <f>VLOOKUP(Tabla1[[#This Row],[PAGO DIA]],DIAS!A:I,9,0)</f>
        <v>46287</v>
      </c>
      <c r="X1262" s="6">
        <v>280000000</v>
      </c>
      <c r="Y1262" s="43">
        <f>VLOOKUP(Tabla1[[#This Row],[PAGO DIA]],DIAS!A:J,10,0)</f>
        <v>46322</v>
      </c>
      <c r="Z1262" s="6">
        <v>280000000</v>
      </c>
      <c r="AA1262" s="43">
        <f>VLOOKUP(Tabla1[[#This Row],[PAGO DIA]],DIAS!A:K,11,0)</f>
        <v>46350</v>
      </c>
      <c r="AB1262" s="6">
        <v>280000000</v>
      </c>
      <c r="AC1262" s="43">
        <f>VLOOKUP(Tabla1[[#This Row],[PAGO DIA]],DIAS!A:M,12,0)</f>
        <v>46379</v>
      </c>
      <c r="AD12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3078511829</v>
      </c>
    </row>
    <row r="1263" spans="1:30">
      <c r="A1263" s="3">
        <v>11168</v>
      </c>
      <c r="B1263" s="3" t="s">
        <v>510</v>
      </c>
      <c r="C1263" s="3" t="s">
        <v>1147</v>
      </c>
      <c r="D1263" s="3" t="s">
        <v>1783</v>
      </c>
      <c r="E1263" s="3" t="s">
        <v>1784</v>
      </c>
      <c r="F1263" s="42" t="s">
        <v>562</v>
      </c>
      <c r="G1263" s="3"/>
      <c r="H1263" s="7">
        <v>225000000</v>
      </c>
      <c r="I1263" s="41">
        <f>VLOOKUP(Tabla1[[#This Row],[PAGO DIA]],DIAS!A:B,2,0)</f>
        <v>46078</v>
      </c>
      <c r="J1263" s="6">
        <v>225000000</v>
      </c>
      <c r="K1263" s="43">
        <f>VLOOKUP(Tabla1[[#This Row],[PAGO DIA]],DIAS!A:C,3,0)</f>
        <v>46105</v>
      </c>
      <c r="L1263" s="6">
        <v>294000000</v>
      </c>
      <c r="M1263" s="41">
        <f>VLOOKUP(Tabla1[[#This Row],[PAGO DIA]],DIAS!A:D,4,0)</f>
        <v>46140</v>
      </c>
      <c r="N1263" s="6">
        <v>294000000</v>
      </c>
      <c r="O1263" s="43">
        <f>VLOOKUP(Tabla1[[#This Row],[PAGO DIA]],DIAS!A:E,5,0)</f>
        <v>46168</v>
      </c>
      <c r="P1263" s="6">
        <v>294000000</v>
      </c>
      <c r="Q1263" s="43">
        <f>VLOOKUP(Tabla1[[#This Row],[PAGO DIA]],DIAS!A:F,6,0)</f>
        <v>46196</v>
      </c>
      <c r="R1263" s="6">
        <v>294000000</v>
      </c>
      <c r="S1263" s="43">
        <f>VLOOKUP(Tabla1[[#This Row],[PAGO DIA]],DIAS!A:G,7,0)</f>
        <v>46231</v>
      </c>
      <c r="T1263" s="6">
        <v>294000000</v>
      </c>
      <c r="U1263" s="43">
        <f>VLOOKUP(Tabla1[[#This Row],[PAGO DIA]],DIAS!A:H,8,0)</f>
        <v>46259</v>
      </c>
      <c r="V1263" s="6">
        <v>294000000</v>
      </c>
      <c r="W1263" s="43">
        <f>VLOOKUP(Tabla1[[#This Row],[PAGO DIA]],DIAS!A:I,9,0)</f>
        <v>46287</v>
      </c>
      <c r="X1263" s="6">
        <v>294000000</v>
      </c>
      <c r="Y1263" s="43">
        <f>VLOOKUP(Tabla1[[#This Row],[PAGO DIA]],DIAS!A:J,10,0)</f>
        <v>46322</v>
      </c>
      <c r="Z1263" s="6">
        <v>294000000</v>
      </c>
      <c r="AA1263" s="43">
        <f>VLOOKUP(Tabla1[[#This Row],[PAGO DIA]],DIAS!A:K,11,0)</f>
        <v>46350</v>
      </c>
      <c r="AB1263" s="6">
        <v>294000000</v>
      </c>
      <c r="AC1263" s="43">
        <f>VLOOKUP(Tabla1[[#This Row],[PAGO DIA]],DIAS!A:M,12,0)</f>
        <v>46379</v>
      </c>
      <c r="AD12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3096000000</v>
      </c>
    </row>
    <row r="1264" spans="1:30">
      <c r="A1264" s="3">
        <v>11170</v>
      </c>
      <c r="B1264" s="3" t="s">
        <v>510</v>
      </c>
      <c r="C1264" s="3" t="s">
        <v>505</v>
      </c>
      <c r="D1264" s="3" t="s">
        <v>1785</v>
      </c>
      <c r="E1264" s="3" t="s">
        <v>1785</v>
      </c>
      <c r="F1264" s="42" t="s">
        <v>562</v>
      </c>
      <c r="G1264" s="3"/>
      <c r="H1264" s="7">
        <v>50000000</v>
      </c>
      <c r="I1264" s="41">
        <f>VLOOKUP(Tabla1[[#This Row],[PAGO DIA]],DIAS!A:B,2,0)</f>
        <v>46078</v>
      </c>
      <c r="J1264" s="6">
        <v>50000000</v>
      </c>
      <c r="K1264" s="43">
        <f>VLOOKUP(Tabla1[[#This Row],[PAGO DIA]],DIAS!A:C,3,0)</f>
        <v>46105</v>
      </c>
      <c r="L1264" s="6">
        <v>50000000</v>
      </c>
      <c r="M1264" s="41">
        <f>VLOOKUP(Tabla1[[#This Row],[PAGO DIA]],DIAS!A:D,4,0)</f>
        <v>46140</v>
      </c>
      <c r="N1264" s="6">
        <v>50000000</v>
      </c>
      <c r="O1264" s="43">
        <f>VLOOKUP(Tabla1[[#This Row],[PAGO DIA]],DIAS!A:E,5,0)</f>
        <v>46168</v>
      </c>
      <c r="P1264" s="6">
        <v>50000000</v>
      </c>
      <c r="Q1264" s="43">
        <f>VLOOKUP(Tabla1[[#This Row],[PAGO DIA]],DIAS!A:F,6,0)</f>
        <v>46196</v>
      </c>
      <c r="R1264" s="6">
        <v>50000000</v>
      </c>
      <c r="S1264" s="43">
        <f>VLOOKUP(Tabla1[[#This Row],[PAGO DIA]],DIAS!A:G,7,0)</f>
        <v>46231</v>
      </c>
      <c r="T1264" s="6">
        <v>50000000</v>
      </c>
      <c r="U1264" s="43">
        <f>VLOOKUP(Tabla1[[#This Row],[PAGO DIA]],DIAS!A:H,8,0)</f>
        <v>46259</v>
      </c>
      <c r="V1264" s="6">
        <v>50000000</v>
      </c>
      <c r="W1264" s="43">
        <f>VLOOKUP(Tabla1[[#This Row],[PAGO DIA]],DIAS!A:I,9,0)</f>
        <v>46287</v>
      </c>
      <c r="X1264" s="6">
        <v>50000000</v>
      </c>
      <c r="Y1264" s="43">
        <f>VLOOKUP(Tabla1[[#This Row],[PAGO DIA]],DIAS!A:J,10,0)</f>
        <v>46322</v>
      </c>
      <c r="Z1264" s="6">
        <v>50000000</v>
      </c>
      <c r="AA1264" s="43">
        <f>VLOOKUP(Tabla1[[#This Row],[PAGO DIA]],DIAS!A:K,11,0)</f>
        <v>46350</v>
      </c>
      <c r="AB1264" s="6">
        <v>50000000</v>
      </c>
      <c r="AC1264" s="43">
        <f>VLOOKUP(Tabla1[[#This Row],[PAGO DIA]],DIAS!A:M,12,0)</f>
        <v>46379</v>
      </c>
      <c r="AD12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550000000</v>
      </c>
    </row>
    <row r="1265" spans="1:30">
      <c r="A1265" s="3">
        <v>11180</v>
      </c>
      <c r="B1265" s="3" t="s">
        <v>510</v>
      </c>
      <c r="C1265" s="3" t="s">
        <v>1786</v>
      </c>
      <c r="D1265" s="3" t="s">
        <v>1787</v>
      </c>
      <c r="E1265" s="3" t="s">
        <v>1788</v>
      </c>
      <c r="F1265" s="42" t="s">
        <v>562</v>
      </c>
      <c r="G1265" s="3"/>
      <c r="H1265" s="7">
        <v>100000000</v>
      </c>
      <c r="I1265" s="41">
        <f>VLOOKUP(Tabla1[[#This Row],[PAGO DIA]],DIAS!A:B,2,0)</f>
        <v>46078</v>
      </c>
      <c r="J1265" s="6">
        <v>100000000</v>
      </c>
      <c r="K1265" s="43">
        <f>VLOOKUP(Tabla1[[#This Row],[PAGO DIA]],DIAS!A:C,3,0)</f>
        <v>46105</v>
      </c>
      <c r="L1265" s="6">
        <v>100000000</v>
      </c>
      <c r="M1265" s="41">
        <f>VLOOKUP(Tabla1[[#This Row],[PAGO DIA]],DIAS!A:D,4,0)</f>
        <v>46140</v>
      </c>
      <c r="N1265" s="6">
        <v>100000000</v>
      </c>
      <c r="O1265" s="43">
        <f>VLOOKUP(Tabla1[[#This Row],[PAGO DIA]],DIAS!A:E,5,0)</f>
        <v>46168</v>
      </c>
      <c r="P1265" s="6">
        <v>100000000</v>
      </c>
      <c r="Q1265" s="43">
        <f>VLOOKUP(Tabla1[[#This Row],[PAGO DIA]],DIAS!A:F,6,0)</f>
        <v>46196</v>
      </c>
      <c r="R1265" s="6">
        <v>100000000</v>
      </c>
      <c r="S1265" s="43">
        <f>VLOOKUP(Tabla1[[#This Row],[PAGO DIA]],DIAS!A:G,7,0)</f>
        <v>46231</v>
      </c>
      <c r="T1265" s="6">
        <v>80000000</v>
      </c>
      <c r="U1265" s="43">
        <f>VLOOKUP(Tabla1[[#This Row],[PAGO DIA]],DIAS!A:H,8,0)</f>
        <v>46259</v>
      </c>
      <c r="V1265" s="6">
        <v>80000000</v>
      </c>
      <c r="W1265" s="43">
        <f>VLOOKUP(Tabla1[[#This Row],[PAGO DIA]],DIAS!A:I,9,0)</f>
        <v>46287</v>
      </c>
      <c r="X1265" s="6">
        <v>80000000</v>
      </c>
      <c r="Y1265" s="43">
        <f>VLOOKUP(Tabla1[[#This Row],[PAGO DIA]],DIAS!A:J,10,0)</f>
        <v>46322</v>
      </c>
      <c r="Z1265" s="6">
        <v>80000000</v>
      </c>
      <c r="AA1265" s="43">
        <f>VLOOKUP(Tabla1[[#This Row],[PAGO DIA]],DIAS!A:K,11,0)</f>
        <v>46350</v>
      </c>
      <c r="AB1265" s="6">
        <v>80000000</v>
      </c>
      <c r="AC1265" s="43">
        <f>VLOOKUP(Tabla1[[#This Row],[PAGO DIA]],DIAS!A:M,12,0)</f>
        <v>46379</v>
      </c>
      <c r="AD12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1000000000</v>
      </c>
    </row>
    <row r="1266" spans="1:30">
      <c r="A1266" s="3">
        <v>11188</v>
      </c>
      <c r="B1266" s="3" t="s">
        <v>510</v>
      </c>
      <c r="C1266" s="3" t="s">
        <v>1147</v>
      </c>
      <c r="D1266" s="3" t="s">
        <v>1789</v>
      </c>
      <c r="E1266" s="3" t="s">
        <v>1790</v>
      </c>
      <c r="F1266" s="42" t="s">
        <v>562</v>
      </c>
      <c r="G1266" s="3"/>
      <c r="H1266" s="7">
        <v>229001813.34999999</v>
      </c>
      <c r="I1266" s="41">
        <f>VLOOKUP(Tabla1[[#This Row],[PAGO DIA]],DIAS!A:B,2,0)</f>
        <v>46078</v>
      </c>
      <c r="J1266" s="6">
        <v>230000000</v>
      </c>
      <c r="K1266" s="43">
        <f>VLOOKUP(Tabla1[[#This Row],[PAGO DIA]],DIAS!A:C,3,0)</f>
        <v>46105</v>
      </c>
      <c r="L1266" s="6">
        <v>230000000</v>
      </c>
      <c r="M1266" s="41">
        <f>VLOOKUP(Tabla1[[#This Row],[PAGO DIA]],DIAS!A:D,4,0)</f>
        <v>46140</v>
      </c>
      <c r="N1266" s="6">
        <v>230000000</v>
      </c>
      <c r="O1266" s="43">
        <f>VLOOKUP(Tabla1[[#This Row],[PAGO DIA]],DIAS!A:E,5,0)</f>
        <v>46168</v>
      </c>
      <c r="P1266" s="6">
        <v>230000000</v>
      </c>
      <c r="Q1266" s="43">
        <f>VLOOKUP(Tabla1[[#This Row],[PAGO DIA]],DIAS!A:F,6,0)</f>
        <v>46196</v>
      </c>
      <c r="R1266" s="6">
        <v>230000000</v>
      </c>
      <c r="S1266" s="43">
        <f>VLOOKUP(Tabla1[[#This Row],[PAGO DIA]],DIAS!A:G,7,0)</f>
        <v>46231</v>
      </c>
      <c r="T1266" s="6">
        <v>230000000</v>
      </c>
      <c r="U1266" s="43">
        <f>VLOOKUP(Tabla1[[#This Row],[PAGO DIA]],DIAS!A:H,8,0)</f>
        <v>46259</v>
      </c>
      <c r="V1266" s="6">
        <v>230000000</v>
      </c>
      <c r="W1266" s="43">
        <f>VLOOKUP(Tabla1[[#This Row],[PAGO DIA]],DIAS!A:I,9,0)</f>
        <v>46287</v>
      </c>
      <c r="X1266" s="6">
        <v>230000000</v>
      </c>
      <c r="Y1266" s="43">
        <f>VLOOKUP(Tabla1[[#This Row],[PAGO DIA]],DIAS!A:J,10,0)</f>
        <v>46322</v>
      </c>
      <c r="Z1266" s="6">
        <v>230000000</v>
      </c>
      <c r="AA1266" s="43">
        <f>VLOOKUP(Tabla1[[#This Row],[PAGO DIA]],DIAS!A:K,11,0)</f>
        <v>46350</v>
      </c>
      <c r="AB1266" s="6">
        <v>230000000</v>
      </c>
      <c r="AC1266" s="43">
        <f>VLOOKUP(Tabla1[[#This Row],[PAGO DIA]],DIAS!A:M,12,0)</f>
        <v>46379</v>
      </c>
      <c r="AD12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2529001813.3499999</v>
      </c>
    </row>
    <row r="1267" spans="1:30">
      <c r="A1267" s="3">
        <v>11207</v>
      </c>
      <c r="B1267" s="3" t="s">
        <v>510</v>
      </c>
      <c r="C1267" s="3" t="s">
        <v>1147</v>
      </c>
      <c r="D1267" s="3" t="s">
        <v>1791</v>
      </c>
      <c r="E1267" s="3" t="s">
        <v>1792</v>
      </c>
      <c r="F1267" s="42" t="s">
        <v>562</v>
      </c>
      <c r="G1267" s="3" t="s">
        <v>1793</v>
      </c>
      <c r="H1267" s="7">
        <v>206400000</v>
      </c>
      <c r="I1267" s="41">
        <f>VLOOKUP(Tabla1[[#This Row],[PAGO DIA]],DIAS!A:B,2,0)</f>
        <v>46078</v>
      </c>
      <c r="J1267" s="6">
        <v>206400000</v>
      </c>
      <c r="K1267" s="43">
        <f>VLOOKUP(Tabla1[[#This Row],[PAGO DIA]],DIAS!A:C,3,0)</f>
        <v>46105</v>
      </c>
      <c r="L1267" s="6">
        <v>206400000</v>
      </c>
      <c r="M1267" s="41">
        <f>VLOOKUP(Tabla1[[#This Row],[PAGO DIA]],DIAS!A:D,4,0)</f>
        <v>46140</v>
      </c>
      <c r="N1267" s="6">
        <v>206400000</v>
      </c>
      <c r="O1267" s="43">
        <f>VLOOKUP(Tabla1[[#This Row],[PAGO DIA]],DIAS!A:E,5,0)</f>
        <v>46168</v>
      </c>
      <c r="P1267" s="6">
        <v>206400000</v>
      </c>
      <c r="Q1267" s="43">
        <f>VLOOKUP(Tabla1[[#This Row],[PAGO DIA]],DIAS!A:F,6,0)</f>
        <v>46196</v>
      </c>
      <c r="R1267" s="6">
        <v>206400000</v>
      </c>
      <c r="S1267" s="43">
        <f>VLOOKUP(Tabla1[[#This Row],[PAGO DIA]],DIAS!A:G,7,0)</f>
        <v>46231</v>
      </c>
      <c r="T1267" s="6">
        <v>206400000</v>
      </c>
      <c r="U1267" s="43">
        <f>VLOOKUP(Tabla1[[#This Row],[PAGO DIA]],DIAS!A:H,8,0)</f>
        <v>46259</v>
      </c>
      <c r="V1267" s="6">
        <v>206400000</v>
      </c>
      <c r="W1267" s="43">
        <f>VLOOKUP(Tabla1[[#This Row],[PAGO DIA]],DIAS!A:I,9,0)</f>
        <v>46287</v>
      </c>
      <c r="X1267" s="6">
        <v>206400000</v>
      </c>
      <c r="Y1267" s="43">
        <f>VLOOKUP(Tabla1[[#This Row],[PAGO DIA]],DIAS!A:J,10,0)</f>
        <v>46322</v>
      </c>
      <c r="Z1267" s="6">
        <v>206400000</v>
      </c>
      <c r="AA1267" s="43">
        <f>VLOOKUP(Tabla1[[#This Row],[PAGO DIA]],DIAS!A:K,11,0)</f>
        <v>46350</v>
      </c>
      <c r="AB1267" s="6">
        <v>206400000</v>
      </c>
      <c r="AC1267" s="43">
        <f>VLOOKUP(Tabla1[[#This Row],[PAGO DIA]],DIAS!A:M,12,0)</f>
        <v>46379</v>
      </c>
      <c r="AD12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2270400000</v>
      </c>
    </row>
    <row r="1268" spans="1:30">
      <c r="A1268" s="3">
        <v>11212</v>
      </c>
      <c r="B1268" s="3" t="s">
        <v>510</v>
      </c>
      <c r="C1268" s="3" t="s">
        <v>1140</v>
      </c>
      <c r="D1268" s="3" t="s">
        <v>1794</v>
      </c>
      <c r="E1268" s="3" t="s">
        <v>664</v>
      </c>
      <c r="F1268" s="42" t="s">
        <v>562</v>
      </c>
      <c r="G1268" s="3" t="s">
        <v>1795</v>
      </c>
      <c r="H1268" s="7">
        <v>151706250</v>
      </c>
      <c r="I1268" s="41">
        <f>VLOOKUP(Tabla1[[#This Row],[PAGO DIA]],DIAS!A:B,2,0)</f>
        <v>46078</v>
      </c>
      <c r="J1268" s="6">
        <v>0</v>
      </c>
      <c r="K1268" s="43">
        <f>VLOOKUP(Tabla1[[#This Row],[PAGO DIA]],DIAS!A:C,3,0)</f>
        <v>46105</v>
      </c>
      <c r="L1268" s="6">
        <v>0</v>
      </c>
      <c r="M1268" s="41">
        <f>VLOOKUP(Tabla1[[#This Row],[PAGO DIA]],DIAS!A:D,4,0)</f>
        <v>46140</v>
      </c>
      <c r="N1268" s="6">
        <v>0</v>
      </c>
      <c r="O1268" s="43">
        <f>VLOOKUP(Tabla1[[#This Row],[PAGO DIA]],DIAS!A:E,5,0)</f>
        <v>46168</v>
      </c>
      <c r="P1268" s="6">
        <v>0</v>
      </c>
      <c r="Q1268" s="43">
        <f>VLOOKUP(Tabla1[[#This Row],[PAGO DIA]],DIAS!A:F,6,0)</f>
        <v>46196</v>
      </c>
      <c r="R1268" s="6">
        <v>0</v>
      </c>
      <c r="S1268" s="43">
        <f>VLOOKUP(Tabla1[[#This Row],[PAGO DIA]],DIAS!A:G,7,0)</f>
        <v>46231</v>
      </c>
      <c r="T1268" s="6">
        <v>0</v>
      </c>
      <c r="U1268" s="43">
        <f>VLOOKUP(Tabla1[[#This Row],[PAGO DIA]],DIAS!A:H,8,0)</f>
        <v>46259</v>
      </c>
      <c r="V1268" s="6">
        <v>0</v>
      </c>
      <c r="W1268" s="43">
        <f>VLOOKUP(Tabla1[[#This Row],[PAGO DIA]],DIAS!A:I,9,0)</f>
        <v>46287</v>
      </c>
      <c r="X1268" s="6">
        <v>0</v>
      </c>
      <c r="Y1268" s="43">
        <f>VLOOKUP(Tabla1[[#This Row],[PAGO DIA]],DIAS!A:J,10,0)</f>
        <v>46322</v>
      </c>
      <c r="Z1268" s="6">
        <v>0</v>
      </c>
      <c r="AA1268" s="43">
        <f>VLOOKUP(Tabla1[[#This Row],[PAGO DIA]],DIAS!A:K,11,0)</f>
        <v>46350</v>
      </c>
      <c r="AB1268" s="6">
        <v>0</v>
      </c>
      <c r="AC1268" s="43">
        <f>VLOOKUP(Tabla1[[#This Row],[PAGO DIA]],DIAS!A:M,12,0)</f>
        <v>46379</v>
      </c>
      <c r="AD12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151706250</v>
      </c>
    </row>
    <row r="1269" spans="1:30">
      <c r="A1269" s="3">
        <v>11213</v>
      </c>
      <c r="B1269" s="3" t="s">
        <v>510</v>
      </c>
      <c r="C1269" s="3" t="s">
        <v>1147</v>
      </c>
      <c r="D1269" s="3" t="s">
        <v>1796</v>
      </c>
      <c r="E1269" s="3" t="s">
        <v>1797</v>
      </c>
      <c r="F1269" s="42" t="s">
        <v>562</v>
      </c>
      <c r="G1269" s="3"/>
      <c r="H1269" s="7">
        <v>171000000</v>
      </c>
      <c r="I1269" s="41">
        <f>VLOOKUP(Tabla1[[#This Row],[PAGO DIA]],DIAS!A:B,2,0)</f>
        <v>46078</v>
      </c>
      <c r="J1269" s="6">
        <v>171000000</v>
      </c>
      <c r="K1269" s="43">
        <f>VLOOKUP(Tabla1[[#This Row],[PAGO DIA]],DIAS!A:C,3,0)</f>
        <v>46105</v>
      </c>
      <c r="L1269" s="6">
        <v>171000000</v>
      </c>
      <c r="M1269" s="41">
        <f>VLOOKUP(Tabla1[[#This Row],[PAGO DIA]],DIAS!A:D,4,0)</f>
        <v>46140</v>
      </c>
      <c r="N1269" s="6">
        <v>171000000</v>
      </c>
      <c r="O1269" s="43">
        <f>VLOOKUP(Tabla1[[#This Row],[PAGO DIA]],DIAS!A:E,5,0)</f>
        <v>46168</v>
      </c>
      <c r="P1269" s="6">
        <v>171000000</v>
      </c>
      <c r="Q1269" s="43">
        <f>VLOOKUP(Tabla1[[#This Row],[PAGO DIA]],DIAS!A:F,6,0)</f>
        <v>46196</v>
      </c>
      <c r="R1269" s="6">
        <v>171000000</v>
      </c>
      <c r="S1269" s="43">
        <f>VLOOKUP(Tabla1[[#This Row],[PAGO DIA]],DIAS!A:G,7,0)</f>
        <v>46231</v>
      </c>
      <c r="T1269" s="6">
        <v>171000000</v>
      </c>
      <c r="U1269" s="43">
        <f>VLOOKUP(Tabla1[[#This Row],[PAGO DIA]],DIAS!A:H,8,0)</f>
        <v>46259</v>
      </c>
      <c r="V1269" s="6">
        <v>171000000</v>
      </c>
      <c r="W1269" s="43">
        <f>VLOOKUP(Tabla1[[#This Row],[PAGO DIA]],DIAS!A:I,9,0)</f>
        <v>46287</v>
      </c>
      <c r="X1269" s="6">
        <v>171000000</v>
      </c>
      <c r="Y1269" s="43">
        <f>VLOOKUP(Tabla1[[#This Row],[PAGO DIA]],DIAS!A:J,10,0)</f>
        <v>46322</v>
      </c>
      <c r="Z1269" s="6">
        <v>171000000</v>
      </c>
      <c r="AA1269" s="43">
        <f>VLOOKUP(Tabla1[[#This Row],[PAGO DIA]],DIAS!A:K,11,0)</f>
        <v>46350</v>
      </c>
      <c r="AB1269" s="6">
        <v>171000000</v>
      </c>
      <c r="AC1269" s="43">
        <f>VLOOKUP(Tabla1[[#This Row],[PAGO DIA]],DIAS!A:M,12,0)</f>
        <v>46379</v>
      </c>
      <c r="AD12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1881000000</v>
      </c>
    </row>
    <row r="1270" spans="1:30">
      <c r="A1270" s="3">
        <v>11222</v>
      </c>
      <c r="B1270" s="3" t="s">
        <v>510</v>
      </c>
      <c r="C1270" s="3" t="s">
        <v>1147</v>
      </c>
      <c r="D1270" s="3" t="s">
        <v>1698</v>
      </c>
      <c r="E1270" s="3" t="s">
        <v>1699</v>
      </c>
      <c r="F1270" s="42" t="s">
        <v>562</v>
      </c>
      <c r="G1270" s="3"/>
      <c r="H1270" s="7">
        <v>128021953</v>
      </c>
      <c r="I1270" s="41">
        <f>VLOOKUP(Tabla1[[#This Row],[PAGO DIA]],DIAS!A:B,2,0)</f>
        <v>46078</v>
      </c>
      <c r="J1270" s="6">
        <v>128000000</v>
      </c>
      <c r="K1270" s="43">
        <f>VLOOKUP(Tabla1[[#This Row],[PAGO DIA]],DIAS!A:C,3,0)</f>
        <v>46105</v>
      </c>
      <c r="L1270" s="6">
        <v>128000000</v>
      </c>
      <c r="M1270" s="41">
        <f>VLOOKUP(Tabla1[[#This Row],[PAGO DIA]],DIAS!A:D,4,0)</f>
        <v>46140</v>
      </c>
      <c r="N1270" s="6">
        <v>128000000</v>
      </c>
      <c r="O1270" s="43">
        <f>VLOOKUP(Tabla1[[#This Row],[PAGO DIA]],DIAS!A:E,5,0)</f>
        <v>46168</v>
      </c>
      <c r="P1270" s="6">
        <v>128000000</v>
      </c>
      <c r="Q1270" s="43">
        <f>VLOOKUP(Tabla1[[#This Row],[PAGO DIA]],DIAS!A:F,6,0)</f>
        <v>46196</v>
      </c>
      <c r="R1270" s="6">
        <v>128000000</v>
      </c>
      <c r="S1270" s="43">
        <f>VLOOKUP(Tabla1[[#This Row],[PAGO DIA]],DIAS!A:G,7,0)</f>
        <v>46231</v>
      </c>
      <c r="T1270" s="6">
        <v>128000000</v>
      </c>
      <c r="U1270" s="43">
        <f>VLOOKUP(Tabla1[[#This Row],[PAGO DIA]],DIAS!A:H,8,0)</f>
        <v>46259</v>
      </c>
      <c r="V1270" s="6">
        <v>128000000</v>
      </c>
      <c r="W1270" s="43">
        <f>VLOOKUP(Tabla1[[#This Row],[PAGO DIA]],DIAS!A:I,9,0)</f>
        <v>46287</v>
      </c>
      <c r="X1270" s="6">
        <v>128000000</v>
      </c>
      <c r="Y1270" s="43">
        <f>VLOOKUP(Tabla1[[#This Row],[PAGO DIA]],DIAS!A:J,10,0)</f>
        <v>46322</v>
      </c>
      <c r="Z1270" s="6">
        <v>128000000</v>
      </c>
      <c r="AA1270" s="43">
        <f>VLOOKUP(Tabla1[[#This Row],[PAGO DIA]],DIAS!A:K,11,0)</f>
        <v>46350</v>
      </c>
      <c r="AB1270" s="6">
        <v>128000000</v>
      </c>
      <c r="AC1270" s="43">
        <f>VLOOKUP(Tabla1[[#This Row],[PAGO DIA]],DIAS!A:M,12,0)</f>
        <v>46379</v>
      </c>
      <c r="AD12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1408021953</v>
      </c>
    </row>
    <row r="1271" spans="1:30">
      <c r="A1271" s="3">
        <v>11252</v>
      </c>
      <c r="B1271" s="3" t="s">
        <v>510</v>
      </c>
      <c r="C1271" s="3" t="s">
        <v>1140</v>
      </c>
      <c r="D1271" s="3" t="s">
        <v>1798</v>
      </c>
      <c r="E1271" s="3" t="s">
        <v>664</v>
      </c>
      <c r="F1271" s="42" t="s">
        <v>562</v>
      </c>
      <c r="G1271" s="3" t="s">
        <v>1799</v>
      </c>
      <c r="H1271" s="7">
        <v>100000000</v>
      </c>
      <c r="I1271" s="41">
        <f>VLOOKUP(Tabla1[[#This Row],[PAGO DIA]],DIAS!A:B,2,0)</f>
        <v>46078</v>
      </c>
      <c r="J1271" s="6">
        <v>0</v>
      </c>
      <c r="K1271" s="43">
        <f>VLOOKUP(Tabla1[[#This Row],[PAGO DIA]],DIAS!A:C,3,0)</f>
        <v>46105</v>
      </c>
      <c r="L1271" s="6">
        <v>0</v>
      </c>
      <c r="M1271" s="41">
        <f>VLOOKUP(Tabla1[[#This Row],[PAGO DIA]],DIAS!A:D,4,0)</f>
        <v>46140</v>
      </c>
      <c r="N1271" s="6">
        <v>0</v>
      </c>
      <c r="O1271" s="43">
        <f>VLOOKUP(Tabla1[[#This Row],[PAGO DIA]],DIAS!A:E,5,0)</f>
        <v>46168</v>
      </c>
      <c r="P1271" s="6">
        <v>0</v>
      </c>
      <c r="Q1271" s="43">
        <f>VLOOKUP(Tabla1[[#This Row],[PAGO DIA]],DIAS!A:F,6,0)</f>
        <v>46196</v>
      </c>
      <c r="R1271" s="6">
        <v>0</v>
      </c>
      <c r="S1271" s="43">
        <f>VLOOKUP(Tabla1[[#This Row],[PAGO DIA]],DIAS!A:G,7,0)</f>
        <v>46231</v>
      </c>
      <c r="T1271" s="6">
        <v>0</v>
      </c>
      <c r="U1271" s="43">
        <f>VLOOKUP(Tabla1[[#This Row],[PAGO DIA]],DIAS!A:H,8,0)</f>
        <v>46259</v>
      </c>
      <c r="V1271" s="6">
        <v>0</v>
      </c>
      <c r="W1271" s="43">
        <f>VLOOKUP(Tabla1[[#This Row],[PAGO DIA]],DIAS!A:I,9,0)</f>
        <v>46287</v>
      </c>
      <c r="X1271" s="6">
        <v>0</v>
      </c>
      <c r="Y1271" s="43">
        <f>VLOOKUP(Tabla1[[#This Row],[PAGO DIA]],DIAS!A:J,10,0)</f>
        <v>46322</v>
      </c>
      <c r="Z1271" s="6">
        <v>0</v>
      </c>
      <c r="AA1271" s="43">
        <f>VLOOKUP(Tabla1[[#This Row],[PAGO DIA]],DIAS!A:K,11,0)</f>
        <v>46350</v>
      </c>
      <c r="AB1271" s="6">
        <v>0</v>
      </c>
      <c r="AC1271" s="43">
        <f>VLOOKUP(Tabla1[[#This Row],[PAGO DIA]],DIAS!A:M,12,0)</f>
        <v>46379</v>
      </c>
      <c r="AD12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100000000</v>
      </c>
    </row>
    <row r="1272" spans="1:30">
      <c r="A1272" s="3">
        <v>11290</v>
      </c>
      <c r="B1272" s="3" t="s">
        <v>510</v>
      </c>
      <c r="C1272" s="3" t="s">
        <v>1147</v>
      </c>
      <c r="D1272" s="3" t="s">
        <v>1148</v>
      </c>
      <c r="E1272" s="3" t="s">
        <v>1800</v>
      </c>
      <c r="F1272" s="42" t="s">
        <v>562</v>
      </c>
      <c r="G1272" s="3"/>
      <c r="H1272" s="7">
        <v>85647906.129999995</v>
      </c>
      <c r="I1272" s="41">
        <f>VLOOKUP(Tabla1[[#This Row],[PAGO DIA]],DIAS!A:B,2,0)</f>
        <v>46078</v>
      </c>
      <c r="J1272" s="6">
        <v>85000000</v>
      </c>
      <c r="K1272" s="43">
        <f>VLOOKUP(Tabla1[[#This Row],[PAGO DIA]],DIAS!A:C,3,0)</f>
        <v>46105</v>
      </c>
      <c r="L1272" s="6">
        <v>85000000</v>
      </c>
      <c r="M1272" s="41">
        <f>VLOOKUP(Tabla1[[#This Row],[PAGO DIA]],DIAS!A:D,4,0)</f>
        <v>46140</v>
      </c>
      <c r="N1272" s="6">
        <v>85000000</v>
      </c>
      <c r="O1272" s="43">
        <f>VLOOKUP(Tabla1[[#This Row],[PAGO DIA]],DIAS!A:E,5,0)</f>
        <v>46168</v>
      </c>
      <c r="P1272" s="6">
        <v>85000000</v>
      </c>
      <c r="Q1272" s="43">
        <f>VLOOKUP(Tabla1[[#This Row],[PAGO DIA]],DIAS!A:F,6,0)</f>
        <v>46196</v>
      </c>
      <c r="R1272" s="6">
        <v>85000000</v>
      </c>
      <c r="S1272" s="43">
        <f>VLOOKUP(Tabla1[[#This Row],[PAGO DIA]],DIAS!A:G,7,0)</f>
        <v>46231</v>
      </c>
      <c r="T1272" s="6">
        <v>85000000</v>
      </c>
      <c r="U1272" s="43">
        <f>VLOOKUP(Tabla1[[#This Row],[PAGO DIA]],DIAS!A:H,8,0)</f>
        <v>46259</v>
      </c>
      <c r="V1272" s="6">
        <v>85000000</v>
      </c>
      <c r="W1272" s="43">
        <f>VLOOKUP(Tabla1[[#This Row],[PAGO DIA]],DIAS!A:I,9,0)</f>
        <v>46287</v>
      </c>
      <c r="X1272" s="6">
        <v>85000000</v>
      </c>
      <c r="Y1272" s="43">
        <f>VLOOKUP(Tabla1[[#This Row],[PAGO DIA]],DIAS!A:J,10,0)</f>
        <v>46322</v>
      </c>
      <c r="Z1272" s="6">
        <v>85000000</v>
      </c>
      <c r="AA1272" s="43">
        <f>VLOOKUP(Tabla1[[#This Row],[PAGO DIA]],DIAS!A:K,11,0)</f>
        <v>46350</v>
      </c>
      <c r="AB1272" s="6">
        <v>85000000</v>
      </c>
      <c r="AC1272" s="43">
        <f>VLOOKUP(Tabla1[[#This Row],[PAGO DIA]],DIAS!A:M,12,0)</f>
        <v>46379</v>
      </c>
      <c r="AD12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935647906.13</v>
      </c>
    </row>
    <row r="1273" spans="1:30">
      <c r="A1273" s="3">
        <v>11302</v>
      </c>
      <c r="B1273" s="3" t="s">
        <v>510</v>
      </c>
      <c r="C1273" s="3" t="s">
        <v>1147</v>
      </c>
      <c r="D1273" s="3" t="s">
        <v>1801</v>
      </c>
      <c r="E1273" s="3" t="s">
        <v>1802</v>
      </c>
      <c r="F1273" s="42" t="s">
        <v>562</v>
      </c>
      <c r="G1273" s="3"/>
      <c r="H1273" s="7">
        <v>83308690</v>
      </c>
      <c r="I1273" s="41">
        <f>VLOOKUP(Tabla1[[#This Row],[PAGO DIA]],DIAS!A:B,2,0)</f>
        <v>46078</v>
      </c>
      <c r="J1273" s="6">
        <v>107070000</v>
      </c>
      <c r="K1273" s="43">
        <f>VLOOKUP(Tabla1[[#This Row],[PAGO DIA]],DIAS!A:C,3,0)</f>
        <v>46105</v>
      </c>
      <c r="L1273" s="6">
        <v>107070000</v>
      </c>
      <c r="M1273" s="41">
        <f>VLOOKUP(Tabla1[[#This Row],[PAGO DIA]],DIAS!A:D,4,0)</f>
        <v>46140</v>
      </c>
      <c r="N1273" s="6">
        <v>107070000</v>
      </c>
      <c r="O1273" s="43">
        <f>VLOOKUP(Tabla1[[#This Row],[PAGO DIA]],DIAS!A:E,5,0)</f>
        <v>46168</v>
      </c>
      <c r="P1273" s="6">
        <v>107070000</v>
      </c>
      <c r="Q1273" s="43">
        <f>VLOOKUP(Tabla1[[#This Row],[PAGO DIA]],DIAS!A:F,6,0)</f>
        <v>46196</v>
      </c>
      <c r="R1273" s="6">
        <v>107070000</v>
      </c>
      <c r="S1273" s="43">
        <f>VLOOKUP(Tabla1[[#This Row],[PAGO DIA]],DIAS!A:G,7,0)</f>
        <v>46231</v>
      </c>
      <c r="T1273" s="6">
        <v>107070000</v>
      </c>
      <c r="U1273" s="43">
        <f>VLOOKUP(Tabla1[[#This Row],[PAGO DIA]],DIAS!A:H,8,0)</f>
        <v>46259</v>
      </c>
      <c r="V1273" s="6">
        <v>107070000</v>
      </c>
      <c r="W1273" s="43">
        <f>VLOOKUP(Tabla1[[#This Row],[PAGO DIA]],DIAS!A:I,9,0)</f>
        <v>46287</v>
      </c>
      <c r="X1273" s="6">
        <v>107070000</v>
      </c>
      <c r="Y1273" s="43">
        <f>VLOOKUP(Tabla1[[#This Row],[PAGO DIA]],DIAS!A:J,10,0)</f>
        <v>46322</v>
      </c>
      <c r="Z1273" s="6">
        <v>107070000</v>
      </c>
      <c r="AA1273" s="43">
        <f>VLOOKUP(Tabla1[[#This Row],[PAGO DIA]],DIAS!A:K,11,0)</f>
        <v>46350</v>
      </c>
      <c r="AB1273" s="6">
        <v>107070000</v>
      </c>
      <c r="AC1273" s="43">
        <f>VLOOKUP(Tabla1[[#This Row],[PAGO DIA]],DIAS!A:M,12,0)</f>
        <v>46379</v>
      </c>
      <c r="AD12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1154008690</v>
      </c>
    </row>
    <row r="1274" spans="1:30">
      <c r="A1274" s="3">
        <v>11321</v>
      </c>
      <c r="B1274" s="3" t="s">
        <v>510</v>
      </c>
      <c r="C1274" s="3" t="s">
        <v>585</v>
      </c>
      <c r="D1274" s="3" t="s">
        <v>586</v>
      </c>
      <c r="E1274" s="3" t="s">
        <v>587</v>
      </c>
      <c r="F1274" s="42" t="s">
        <v>562</v>
      </c>
      <c r="G1274" s="3"/>
      <c r="H1274" s="7">
        <v>1472000</v>
      </c>
      <c r="I1274" s="41">
        <f>VLOOKUP(Tabla1[[#This Row],[PAGO DIA]],DIAS!A:B,2,0)</f>
        <v>46078</v>
      </c>
      <c r="J1274" s="6">
        <v>1656000</v>
      </c>
      <c r="K1274" s="43">
        <f>VLOOKUP(Tabla1[[#This Row],[PAGO DIA]],DIAS!A:C,3,0)</f>
        <v>46105</v>
      </c>
      <c r="L1274" s="6">
        <v>1656000</v>
      </c>
      <c r="M1274" s="41">
        <f>VLOOKUP(Tabla1[[#This Row],[PAGO DIA]],DIAS!A:D,4,0)</f>
        <v>46140</v>
      </c>
      <c r="N1274" s="6">
        <v>1656000</v>
      </c>
      <c r="O1274" s="43">
        <f>VLOOKUP(Tabla1[[#This Row],[PAGO DIA]],DIAS!A:E,5,0)</f>
        <v>46168</v>
      </c>
      <c r="P1274" s="6">
        <v>1656000</v>
      </c>
      <c r="Q1274" s="43">
        <f>VLOOKUP(Tabla1[[#This Row],[PAGO DIA]],DIAS!A:F,6,0)</f>
        <v>46196</v>
      </c>
      <c r="R1274" s="6">
        <v>1656000</v>
      </c>
      <c r="S1274" s="43">
        <f>VLOOKUP(Tabla1[[#This Row],[PAGO DIA]],DIAS!A:G,7,0)</f>
        <v>46231</v>
      </c>
      <c r="T1274" s="6">
        <v>1656000</v>
      </c>
      <c r="U1274" s="43">
        <f>VLOOKUP(Tabla1[[#This Row],[PAGO DIA]],DIAS!A:H,8,0)</f>
        <v>46259</v>
      </c>
      <c r="V1274" s="6">
        <v>1656000</v>
      </c>
      <c r="W1274" s="43">
        <f>VLOOKUP(Tabla1[[#This Row],[PAGO DIA]],DIAS!A:I,9,0)</f>
        <v>46287</v>
      </c>
      <c r="X1274" s="6">
        <v>1656000</v>
      </c>
      <c r="Y1274" s="43">
        <f>VLOOKUP(Tabla1[[#This Row],[PAGO DIA]],DIAS!A:J,10,0)</f>
        <v>46322</v>
      </c>
      <c r="Z1274" s="6">
        <v>1656000</v>
      </c>
      <c r="AA1274" s="43">
        <f>VLOOKUP(Tabla1[[#This Row],[PAGO DIA]],DIAS!A:K,11,0)</f>
        <v>46350</v>
      </c>
      <c r="AB1274" s="6">
        <v>1656000</v>
      </c>
      <c r="AC1274" s="43">
        <f>VLOOKUP(Tabla1[[#This Row],[PAGO DIA]],DIAS!A:M,12,0)</f>
        <v>46379</v>
      </c>
      <c r="AD12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18032000</v>
      </c>
    </row>
    <row r="1275" spans="1:30">
      <c r="A1275" s="3">
        <v>11341</v>
      </c>
      <c r="B1275" s="3" t="s">
        <v>510</v>
      </c>
      <c r="C1275" s="3" t="s">
        <v>1147</v>
      </c>
      <c r="D1275" s="3" t="s">
        <v>1803</v>
      </c>
      <c r="E1275" s="3" t="s">
        <v>1804</v>
      </c>
      <c r="F1275" s="42" t="s">
        <v>562</v>
      </c>
      <c r="G1275" s="3"/>
      <c r="H1275" s="7">
        <v>70000000</v>
      </c>
      <c r="I1275" s="41">
        <f>VLOOKUP(Tabla1[[#This Row],[PAGO DIA]],DIAS!A:B,2,0)</f>
        <v>46078</v>
      </c>
      <c r="J1275" s="6">
        <v>70000000</v>
      </c>
      <c r="K1275" s="43">
        <f>VLOOKUP(Tabla1[[#This Row],[PAGO DIA]],DIAS!A:C,3,0)</f>
        <v>46105</v>
      </c>
      <c r="L1275" s="6">
        <v>70000000</v>
      </c>
      <c r="M1275" s="41">
        <f>VLOOKUP(Tabla1[[#This Row],[PAGO DIA]],DIAS!A:D,4,0)</f>
        <v>46140</v>
      </c>
      <c r="N1275" s="6">
        <v>70000000</v>
      </c>
      <c r="O1275" s="43">
        <f>VLOOKUP(Tabla1[[#This Row],[PAGO DIA]],DIAS!A:E,5,0)</f>
        <v>46168</v>
      </c>
      <c r="P1275" s="6">
        <v>70000000</v>
      </c>
      <c r="Q1275" s="43">
        <f>VLOOKUP(Tabla1[[#This Row],[PAGO DIA]],DIAS!A:F,6,0)</f>
        <v>46196</v>
      </c>
      <c r="R1275" s="6">
        <v>70000000</v>
      </c>
      <c r="S1275" s="43">
        <f>VLOOKUP(Tabla1[[#This Row],[PAGO DIA]],DIAS!A:G,7,0)</f>
        <v>46231</v>
      </c>
      <c r="T1275" s="6">
        <v>70000000</v>
      </c>
      <c r="U1275" s="43">
        <f>VLOOKUP(Tabla1[[#This Row],[PAGO DIA]],DIAS!A:H,8,0)</f>
        <v>46259</v>
      </c>
      <c r="V1275" s="6">
        <v>70000000</v>
      </c>
      <c r="W1275" s="43">
        <f>VLOOKUP(Tabla1[[#This Row],[PAGO DIA]],DIAS!A:I,9,0)</f>
        <v>46287</v>
      </c>
      <c r="X1275" s="6">
        <v>70000000</v>
      </c>
      <c r="Y1275" s="43">
        <f>VLOOKUP(Tabla1[[#This Row],[PAGO DIA]],DIAS!A:J,10,0)</f>
        <v>46322</v>
      </c>
      <c r="Z1275" s="6">
        <v>70000000</v>
      </c>
      <c r="AA1275" s="43">
        <f>VLOOKUP(Tabla1[[#This Row],[PAGO DIA]],DIAS!A:K,11,0)</f>
        <v>46350</v>
      </c>
      <c r="AB1275" s="6">
        <v>70000000</v>
      </c>
      <c r="AC1275" s="43">
        <f>VLOOKUP(Tabla1[[#This Row],[PAGO DIA]],DIAS!A:M,12,0)</f>
        <v>46379</v>
      </c>
      <c r="AD12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770000000</v>
      </c>
    </row>
    <row r="1276" spans="1:30">
      <c r="A1276" s="3">
        <v>11345</v>
      </c>
      <c r="B1276" s="3" t="s">
        <v>510</v>
      </c>
      <c r="C1276" s="3" t="s">
        <v>1805</v>
      </c>
      <c r="D1276" s="3" t="s">
        <v>1806</v>
      </c>
      <c r="E1276" s="3" t="s">
        <v>1807</v>
      </c>
      <c r="F1276" s="42" t="s">
        <v>562</v>
      </c>
      <c r="G1276" s="3"/>
      <c r="H1276" s="7">
        <v>64297776.009999998</v>
      </c>
      <c r="I1276" s="41">
        <f>VLOOKUP(Tabla1[[#This Row],[PAGO DIA]],DIAS!A:B,2,0)</f>
        <v>46078</v>
      </c>
      <c r="J1276" s="6">
        <v>65000000</v>
      </c>
      <c r="K1276" s="43">
        <f>VLOOKUP(Tabla1[[#This Row],[PAGO DIA]],DIAS!A:C,3,0)</f>
        <v>46105</v>
      </c>
      <c r="L1276" s="6">
        <v>65000000</v>
      </c>
      <c r="M1276" s="41">
        <f>VLOOKUP(Tabla1[[#This Row],[PAGO DIA]],DIAS!A:D,4,0)</f>
        <v>46140</v>
      </c>
      <c r="N1276" s="6">
        <v>65000000</v>
      </c>
      <c r="O1276" s="43">
        <f>VLOOKUP(Tabla1[[#This Row],[PAGO DIA]],DIAS!A:E,5,0)</f>
        <v>46168</v>
      </c>
      <c r="P1276" s="6">
        <v>65000000</v>
      </c>
      <c r="Q1276" s="43">
        <f>VLOOKUP(Tabla1[[#This Row],[PAGO DIA]],DIAS!A:F,6,0)</f>
        <v>46196</v>
      </c>
      <c r="R1276" s="6">
        <v>65000000</v>
      </c>
      <c r="S1276" s="43">
        <f>VLOOKUP(Tabla1[[#This Row],[PAGO DIA]],DIAS!A:G,7,0)</f>
        <v>46231</v>
      </c>
      <c r="T1276" s="6">
        <v>65000000</v>
      </c>
      <c r="U1276" s="43">
        <f>VLOOKUP(Tabla1[[#This Row],[PAGO DIA]],DIAS!A:H,8,0)</f>
        <v>46259</v>
      </c>
      <c r="V1276" s="6">
        <v>65000000</v>
      </c>
      <c r="W1276" s="43">
        <f>VLOOKUP(Tabla1[[#This Row],[PAGO DIA]],DIAS!A:I,9,0)</f>
        <v>46287</v>
      </c>
      <c r="X1276" s="6">
        <v>65000000</v>
      </c>
      <c r="Y1276" s="43">
        <f>VLOOKUP(Tabla1[[#This Row],[PAGO DIA]],DIAS!A:J,10,0)</f>
        <v>46322</v>
      </c>
      <c r="Z1276" s="6">
        <v>65000000</v>
      </c>
      <c r="AA1276" s="43">
        <f>VLOOKUP(Tabla1[[#This Row],[PAGO DIA]],DIAS!A:K,11,0)</f>
        <v>46350</v>
      </c>
      <c r="AB1276" s="6">
        <v>65000000</v>
      </c>
      <c r="AC1276" s="43">
        <f>VLOOKUP(Tabla1[[#This Row],[PAGO DIA]],DIAS!A:M,12,0)</f>
        <v>46379</v>
      </c>
      <c r="AD12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714297776.00999999</v>
      </c>
    </row>
    <row r="1277" spans="1:30">
      <c r="A1277" s="3">
        <v>11352</v>
      </c>
      <c r="B1277" s="3" t="s">
        <v>510</v>
      </c>
      <c r="C1277" s="3" t="s">
        <v>1179</v>
      </c>
      <c r="D1277" s="3" t="s">
        <v>1808</v>
      </c>
      <c r="E1277" s="3" t="s">
        <v>823</v>
      </c>
      <c r="F1277" s="42" t="s">
        <v>562</v>
      </c>
      <c r="G1277" s="3" t="s">
        <v>1809</v>
      </c>
      <c r="H1277" s="6">
        <v>61750000</v>
      </c>
      <c r="I1277" s="41">
        <f>VLOOKUP(Tabla1[[#This Row],[PAGO DIA]],DIAS!A:B,2,0)</f>
        <v>46078</v>
      </c>
      <c r="J1277" s="6">
        <v>0</v>
      </c>
      <c r="K1277" s="43">
        <f>VLOOKUP(Tabla1[[#This Row],[PAGO DIA]],DIAS!A:C,3,0)</f>
        <v>46105</v>
      </c>
      <c r="L1277" s="6">
        <v>0</v>
      </c>
      <c r="M1277" s="41">
        <f>VLOOKUP(Tabla1[[#This Row],[PAGO DIA]],DIAS!A:D,4,0)</f>
        <v>46140</v>
      </c>
      <c r="N1277" s="6">
        <v>0</v>
      </c>
      <c r="O1277" s="43">
        <f>VLOOKUP(Tabla1[[#This Row],[PAGO DIA]],DIAS!A:E,5,0)</f>
        <v>46168</v>
      </c>
      <c r="P1277" s="6">
        <v>0</v>
      </c>
      <c r="Q1277" s="43">
        <f>VLOOKUP(Tabla1[[#This Row],[PAGO DIA]],DIAS!A:F,6,0)</f>
        <v>46196</v>
      </c>
      <c r="R1277" s="6">
        <v>0</v>
      </c>
      <c r="S1277" s="43">
        <f>VLOOKUP(Tabla1[[#This Row],[PAGO DIA]],DIAS!A:G,7,0)</f>
        <v>46231</v>
      </c>
      <c r="T1277" s="6">
        <v>0</v>
      </c>
      <c r="U1277" s="43">
        <f>VLOOKUP(Tabla1[[#This Row],[PAGO DIA]],DIAS!A:H,8,0)</f>
        <v>46259</v>
      </c>
      <c r="V1277" s="6">
        <v>0</v>
      </c>
      <c r="W1277" s="43">
        <f>VLOOKUP(Tabla1[[#This Row],[PAGO DIA]],DIAS!A:I,9,0)</f>
        <v>46287</v>
      </c>
      <c r="X1277" s="6">
        <v>0</v>
      </c>
      <c r="Y1277" s="43">
        <f>VLOOKUP(Tabla1[[#This Row],[PAGO DIA]],DIAS!A:J,10,0)</f>
        <v>46322</v>
      </c>
      <c r="Z1277" s="6">
        <v>0</v>
      </c>
      <c r="AA1277" s="43">
        <f>VLOOKUP(Tabla1[[#This Row],[PAGO DIA]],DIAS!A:K,11,0)</f>
        <v>46350</v>
      </c>
      <c r="AB1277" s="6">
        <v>0</v>
      </c>
      <c r="AC1277" s="43">
        <f>VLOOKUP(Tabla1[[#This Row],[PAGO DIA]],DIAS!A:M,12,0)</f>
        <v>46379</v>
      </c>
      <c r="AD12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61750000</v>
      </c>
    </row>
    <row r="1278" spans="1:30">
      <c r="A1278" s="3">
        <v>11355</v>
      </c>
      <c r="B1278" s="3" t="s">
        <v>510</v>
      </c>
      <c r="C1278" s="3" t="s">
        <v>1147</v>
      </c>
      <c r="D1278" s="3" t="s">
        <v>1148</v>
      </c>
      <c r="E1278" s="3" t="s">
        <v>1810</v>
      </c>
      <c r="F1278" s="42" t="s">
        <v>562</v>
      </c>
      <c r="G1278" s="3"/>
      <c r="H1278" s="7">
        <v>69537154.780000001</v>
      </c>
      <c r="I1278" s="41">
        <f>VLOOKUP(Tabla1[[#This Row],[PAGO DIA]],DIAS!A:B,2,0)</f>
        <v>46078</v>
      </c>
      <c r="J1278" s="6">
        <v>70000000</v>
      </c>
      <c r="K1278" s="43">
        <f>VLOOKUP(Tabla1[[#This Row],[PAGO DIA]],DIAS!A:C,3,0)</f>
        <v>46105</v>
      </c>
      <c r="L1278" s="6">
        <v>70000000</v>
      </c>
      <c r="M1278" s="41">
        <f>VLOOKUP(Tabla1[[#This Row],[PAGO DIA]],DIAS!A:D,4,0)</f>
        <v>46140</v>
      </c>
      <c r="N1278" s="6">
        <v>70000000</v>
      </c>
      <c r="O1278" s="43">
        <f>VLOOKUP(Tabla1[[#This Row],[PAGO DIA]],DIAS!A:E,5,0)</f>
        <v>46168</v>
      </c>
      <c r="P1278" s="6">
        <v>70000000</v>
      </c>
      <c r="Q1278" s="43">
        <f>VLOOKUP(Tabla1[[#This Row],[PAGO DIA]],DIAS!A:F,6,0)</f>
        <v>46196</v>
      </c>
      <c r="R1278" s="6">
        <v>70000000</v>
      </c>
      <c r="S1278" s="43">
        <f>VLOOKUP(Tabla1[[#This Row],[PAGO DIA]],DIAS!A:G,7,0)</f>
        <v>46231</v>
      </c>
      <c r="T1278" s="6">
        <v>70000000</v>
      </c>
      <c r="U1278" s="43">
        <f>VLOOKUP(Tabla1[[#This Row],[PAGO DIA]],DIAS!A:H,8,0)</f>
        <v>46259</v>
      </c>
      <c r="V1278" s="6">
        <v>70000000</v>
      </c>
      <c r="W1278" s="43">
        <f>VLOOKUP(Tabla1[[#This Row],[PAGO DIA]],DIAS!A:I,9,0)</f>
        <v>46287</v>
      </c>
      <c r="X1278" s="6">
        <v>70000000</v>
      </c>
      <c r="Y1278" s="43">
        <f>VLOOKUP(Tabla1[[#This Row],[PAGO DIA]],DIAS!A:J,10,0)</f>
        <v>46322</v>
      </c>
      <c r="Z1278" s="6">
        <v>70000000</v>
      </c>
      <c r="AA1278" s="43">
        <f>VLOOKUP(Tabla1[[#This Row],[PAGO DIA]],DIAS!A:K,11,0)</f>
        <v>46350</v>
      </c>
      <c r="AB1278" s="6">
        <v>70000000</v>
      </c>
      <c r="AC1278" s="43">
        <f>VLOOKUP(Tabla1[[#This Row],[PAGO DIA]],DIAS!A:M,12,0)</f>
        <v>46379</v>
      </c>
      <c r="AD12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769537154.77999997</v>
      </c>
    </row>
    <row r="1279" spans="1:30">
      <c r="A1279" s="3">
        <v>11358</v>
      </c>
      <c r="B1279" s="3" t="s">
        <v>510</v>
      </c>
      <c r="C1279" s="3" t="s">
        <v>1147</v>
      </c>
      <c r="D1279" s="3" t="s">
        <v>1811</v>
      </c>
      <c r="E1279" s="3" t="s">
        <v>1812</v>
      </c>
      <c r="F1279" s="42" t="s">
        <v>562</v>
      </c>
      <c r="G1279" s="3"/>
      <c r="H1279" s="7">
        <v>76124910</v>
      </c>
      <c r="I1279" s="41">
        <f>VLOOKUP(Tabla1[[#This Row],[PAGO DIA]],DIAS!A:B,2,0)</f>
        <v>46078</v>
      </c>
      <c r="J1279" s="6">
        <v>76000000</v>
      </c>
      <c r="K1279" s="43">
        <f>VLOOKUP(Tabla1[[#This Row],[PAGO DIA]],DIAS!A:C,3,0)</f>
        <v>46105</v>
      </c>
      <c r="L1279" s="6">
        <v>76000000</v>
      </c>
      <c r="M1279" s="41">
        <f>VLOOKUP(Tabla1[[#This Row],[PAGO DIA]],DIAS!A:D,4,0)</f>
        <v>46140</v>
      </c>
      <c r="N1279" s="6">
        <v>76000000</v>
      </c>
      <c r="O1279" s="43">
        <f>VLOOKUP(Tabla1[[#This Row],[PAGO DIA]],DIAS!A:E,5,0)</f>
        <v>46168</v>
      </c>
      <c r="P1279" s="6">
        <v>76000000</v>
      </c>
      <c r="Q1279" s="43">
        <f>VLOOKUP(Tabla1[[#This Row],[PAGO DIA]],DIAS!A:F,6,0)</f>
        <v>46196</v>
      </c>
      <c r="R1279" s="6">
        <v>76000000</v>
      </c>
      <c r="S1279" s="43">
        <f>VLOOKUP(Tabla1[[#This Row],[PAGO DIA]],DIAS!A:G,7,0)</f>
        <v>46231</v>
      </c>
      <c r="T1279" s="6">
        <v>76000000</v>
      </c>
      <c r="U1279" s="43">
        <f>VLOOKUP(Tabla1[[#This Row],[PAGO DIA]],DIAS!A:H,8,0)</f>
        <v>46259</v>
      </c>
      <c r="V1279" s="6">
        <v>76000000</v>
      </c>
      <c r="W1279" s="43">
        <f>VLOOKUP(Tabla1[[#This Row],[PAGO DIA]],DIAS!A:I,9,0)</f>
        <v>46287</v>
      </c>
      <c r="X1279" s="6">
        <v>76000000</v>
      </c>
      <c r="Y1279" s="43">
        <f>VLOOKUP(Tabla1[[#This Row],[PAGO DIA]],DIAS!A:J,10,0)</f>
        <v>46322</v>
      </c>
      <c r="Z1279" s="6">
        <v>76000000</v>
      </c>
      <c r="AA1279" s="43">
        <f>VLOOKUP(Tabla1[[#This Row],[PAGO DIA]],DIAS!A:K,11,0)</f>
        <v>46350</v>
      </c>
      <c r="AB1279" s="6">
        <v>76000000</v>
      </c>
      <c r="AC1279" s="43">
        <f>VLOOKUP(Tabla1[[#This Row],[PAGO DIA]],DIAS!A:M,12,0)</f>
        <v>46379</v>
      </c>
      <c r="AD12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836124910</v>
      </c>
    </row>
    <row r="1280" spans="1:30">
      <c r="A1280" s="3">
        <v>11378</v>
      </c>
      <c r="B1280" s="3" t="s">
        <v>510</v>
      </c>
      <c r="C1280" s="3" t="s">
        <v>1805</v>
      </c>
      <c r="D1280" s="3" t="s">
        <v>1813</v>
      </c>
      <c r="E1280" s="3" t="s">
        <v>1814</v>
      </c>
      <c r="F1280" s="42" t="s">
        <v>562</v>
      </c>
      <c r="G1280" s="3"/>
      <c r="H1280" s="7">
        <v>64454200</v>
      </c>
      <c r="I1280" s="41">
        <f>VLOOKUP(Tabla1[[#This Row],[PAGO DIA]],DIAS!A:B,2,0)</f>
        <v>46078</v>
      </c>
      <c r="J1280" s="6">
        <v>64500000</v>
      </c>
      <c r="K1280" s="43">
        <f>VLOOKUP(Tabla1[[#This Row],[PAGO DIA]],DIAS!A:C,3,0)</f>
        <v>46105</v>
      </c>
      <c r="L1280" s="6">
        <v>64500000</v>
      </c>
      <c r="M1280" s="41">
        <f>VLOOKUP(Tabla1[[#This Row],[PAGO DIA]],DIAS!A:D,4,0)</f>
        <v>46140</v>
      </c>
      <c r="N1280" s="6">
        <v>64500000</v>
      </c>
      <c r="O1280" s="43">
        <f>VLOOKUP(Tabla1[[#This Row],[PAGO DIA]],DIAS!A:E,5,0)</f>
        <v>46168</v>
      </c>
      <c r="P1280" s="6">
        <v>64500000</v>
      </c>
      <c r="Q1280" s="43">
        <f>VLOOKUP(Tabla1[[#This Row],[PAGO DIA]],DIAS!A:F,6,0)</f>
        <v>46196</v>
      </c>
      <c r="R1280" s="6">
        <v>64500000</v>
      </c>
      <c r="S1280" s="43">
        <f>VLOOKUP(Tabla1[[#This Row],[PAGO DIA]],DIAS!A:G,7,0)</f>
        <v>46231</v>
      </c>
      <c r="T1280" s="6">
        <v>64500000</v>
      </c>
      <c r="U1280" s="43">
        <f>VLOOKUP(Tabla1[[#This Row],[PAGO DIA]],DIAS!A:H,8,0)</f>
        <v>46259</v>
      </c>
      <c r="V1280" s="6">
        <v>64500000</v>
      </c>
      <c r="W1280" s="43">
        <f>VLOOKUP(Tabla1[[#This Row],[PAGO DIA]],DIAS!A:I,9,0)</f>
        <v>46287</v>
      </c>
      <c r="X1280" s="6">
        <v>64500000</v>
      </c>
      <c r="Y1280" s="43">
        <f>VLOOKUP(Tabla1[[#This Row],[PAGO DIA]],DIAS!A:J,10,0)</f>
        <v>46322</v>
      </c>
      <c r="Z1280" s="6">
        <v>64500000</v>
      </c>
      <c r="AA1280" s="43">
        <f>VLOOKUP(Tabla1[[#This Row],[PAGO DIA]],DIAS!A:K,11,0)</f>
        <v>46350</v>
      </c>
      <c r="AB1280" s="6">
        <v>64500000</v>
      </c>
      <c r="AC1280" s="43">
        <f>VLOOKUP(Tabla1[[#This Row],[PAGO DIA]],DIAS!A:M,12,0)</f>
        <v>46379</v>
      </c>
      <c r="AD12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709454200</v>
      </c>
    </row>
    <row r="1281" spans="1:30">
      <c r="A1281" s="3">
        <v>11380</v>
      </c>
      <c r="B1281" s="3" t="s">
        <v>510</v>
      </c>
      <c r="C1281" s="3" t="s">
        <v>1147</v>
      </c>
      <c r="D1281" s="3" t="s">
        <v>1815</v>
      </c>
      <c r="E1281" s="3" t="s">
        <v>1816</v>
      </c>
      <c r="F1281" s="42" t="s">
        <v>562</v>
      </c>
      <c r="G1281" s="3"/>
      <c r="H1281" s="7">
        <v>50000000</v>
      </c>
      <c r="I1281" s="41">
        <f>VLOOKUP(Tabla1[[#This Row],[PAGO DIA]],DIAS!A:B,2,0)</f>
        <v>46078</v>
      </c>
      <c r="J1281" s="6">
        <v>50000000</v>
      </c>
      <c r="K1281" s="43">
        <f>VLOOKUP(Tabla1[[#This Row],[PAGO DIA]],DIAS!A:C,3,0)</f>
        <v>46105</v>
      </c>
      <c r="L1281" s="6">
        <v>50000000</v>
      </c>
      <c r="M1281" s="41">
        <f>VLOOKUP(Tabla1[[#This Row],[PAGO DIA]],DIAS!A:D,4,0)</f>
        <v>46140</v>
      </c>
      <c r="N1281" s="6">
        <v>50000000</v>
      </c>
      <c r="O1281" s="43">
        <f>VLOOKUP(Tabla1[[#This Row],[PAGO DIA]],DIAS!A:E,5,0)</f>
        <v>46168</v>
      </c>
      <c r="P1281" s="6">
        <v>50000000</v>
      </c>
      <c r="Q1281" s="43">
        <f>VLOOKUP(Tabla1[[#This Row],[PAGO DIA]],DIAS!A:F,6,0)</f>
        <v>46196</v>
      </c>
      <c r="R1281" s="6">
        <v>50000000</v>
      </c>
      <c r="S1281" s="43">
        <f>VLOOKUP(Tabla1[[#This Row],[PAGO DIA]],DIAS!A:G,7,0)</f>
        <v>46231</v>
      </c>
      <c r="T1281" s="6">
        <v>50000000</v>
      </c>
      <c r="U1281" s="43">
        <f>VLOOKUP(Tabla1[[#This Row],[PAGO DIA]],DIAS!A:H,8,0)</f>
        <v>46259</v>
      </c>
      <c r="V1281" s="6">
        <v>50000000</v>
      </c>
      <c r="W1281" s="43">
        <f>VLOOKUP(Tabla1[[#This Row],[PAGO DIA]],DIAS!A:I,9,0)</f>
        <v>46287</v>
      </c>
      <c r="X1281" s="6">
        <v>50000000</v>
      </c>
      <c r="Y1281" s="43">
        <f>VLOOKUP(Tabla1[[#This Row],[PAGO DIA]],DIAS!A:J,10,0)</f>
        <v>46322</v>
      </c>
      <c r="Z1281" s="6">
        <v>50000000</v>
      </c>
      <c r="AA1281" s="43">
        <f>VLOOKUP(Tabla1[[#This Row],[PAGO DIA]],DIAS!A:K,11,0)</f>
        <v>46350</v>
      </c>
      <c r="AB1281" s="6">
        <v>50000000</v>
      </c>
      <c r="AC1281" s="43">
        <f>VLOOKUP(Tabla1[[#This Row],[PAGO DIA]],DIAS!A:M,12,0)</f>
        <v>46379</v>
      </c>
      <c r="AD12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550000000</v>
      </c>
    </row>
    <row r="1282" spans="1:30">
      <c r="A1282" s="3">
        <v>11385</v>
      </c>
      <c r="B1282" s="3" t="s">
        <v>510</v>
      </c>
      <c r="C1282" s="3" t="s">
        <v>1140</v>
      </c>
      <c r="D1282" s="3" t="s">
        <v>1817</v>
      </c>
      <c r="E1282" s="3" t="s">
        <v>1818</v>
      </c>
      <c r="F1282" s="42" t="s">
        <v>562</v>
      </c>
      <c r="G1282" s="3" t="s">
        <v>1819</v>
      </c>
      <c r="H1282" s="7">
        <v>64500000</v>
      </c>
      <c r="I1282" s="41">
        <f>VLOOKUP(Tabla1[[#This Row],[PAGO DIA]],DIAS!A:B,2,0)</f>
        <v>46078</v>
      </c>
      <c r="J1282" s="6">
        <v>64500000</v>
      </c>
      <c r="K1282" s="43">
        <f>VLOOKUP(Tabla1[[#This Row],[PAGO DIA]],DIAS!A:C,3,0)</f>
        <v>46105</v>
      </c>
      <c r="L1282" s="6">
        <v>64500000</v>
      </c>
      <c r="M1282" s="41">
        <f>VLOOKUP(Tabla1[[#This Row],[PAGO DIA]],DIAS!A:D,4,0)</f>
        <v>46140</v>
      </c>
      <c r="N1282" s="6">
        <v>64500000</v>
      </c>
      <c r="O1282" s="43">
        <f>VLOOKUP(Tabla1[[#This Row],[PAGO DIA]],DIAS!A:E,5,0)</f>
        <v>46168</v>
      </c>
      <c r="P1282" s="6">
        <v>64500000</v>
      </c>
      <c r="Q1282" s="43">
        <f>VLOOKUP(Tabla1[[#This Row],[PAGO DIA]],DIAS!A:F,6,0)</f>
        <v>46196</v>
      </c>
      <c r="R1282" s="6">
        <v>64500000</v>
      </c>
      <c r="S1282" s="43">
        <f>VLOOKUP(Tabla1[[#This Row],[PAGO DIA]],DIAS!A:G,7,0)</f>
        <v>46231</v>
      </c>
      <c r="T1282" s="6">
        <v>64500000</v>
      </c>
      <c r="U1282" s="43">
        <f>VLOOKUP(Tabla1[[#This Row],[PAGO DIA]],DIAS!A:H,8,0)</f>
        <v>46259</v>
      </c>
      <c r="V1282" s="6">
        <v>64500000</v>
      </c>
      <c r="W1282" s="43">
        <f>VLOOKUP(Tabla1[[#This Row],[PAGO DIA]],DIAS!A:I,9,0)</f>
        <v>46287</v>
      </c>
      <c r="X1282" s="6">
        <v>64500000</v>
      </c>
      <c r="Y1282" s="43">
        <f>VLOOKUP(Tabla1[[#This Row],[PAGO DIA]],DIAS!A:J,10,0)</f>
        <v>46322</v>
      </c>
      <c r="Z1282" s="6">
        <v>64500000</v>
      </c>
      <c r="AA1282" s="43">
        <f>VLOOKUP(Tabla1[[#This Row],[PAGO DIA]],DIAS!A:K,11,0)</f>
        <v>46350</v>
      </c>
      <c r="AB1282" s="6">
        <v>64500000</v>
      </c>
      <c r="AC1282" s="43">
        <f>VLOOKUP(Tabla1[[#This Row],[PAGO DIA]],DIAS!A:M,12,0)</f>
        <v>46379</v>
      </c>
      <c r="AD12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709500000</v>
      </c>
    </row>
    <row r="1283" spans="1:30">
      <c r="A1283" s="3">
        <v>11386</v>
      </c>
      <c r="B1283" s="3" t="s">
        <v>510</v>
      </c>
      <c r="C1283" s="3" t="s">
        <v>1179</v>
      </c>
      <c r="D1283" s="3" t="s">
        <v>1820</v>
      </c>
      <c r="E1283" s="3" t="s">
        <v>804</v>
      </c>
      <c r="F1283" s="42" t="s">
        <v>562</v>
      </c>
      <c r="G1283" s="3"/>
      <c r="H1283" s="7">
        <v>50000000</v>
      </c>
      <c r="I1283" s="41">
        <f>VLOOKUP(Tabla1[[#This Row],[PAGO DIA]],DIAS!A:B,2,0)</f>
        <v>46078</v>
      </c>
      <c r="J1283" s="6">
        <v>0</v>
      </c>
      <c r="K1283" s="43">
        <f>VLOOKUP(Tabla1[[#This Row],[PAGO DIA]],DIAS!A:C,3,0)</f>
        <v>46105</v>
      </c>
      <c r="L1283" s="6">
        <v>0</v>
      </c>
      <c r="M1283" s="41">
        <f>VLOOKUP(Tabla1[[#This Row],[PAGO DIA]],DIAS!A:D,4,0)</f>
        <v>46140</v>
      </c>
      <c r="N1283" s="6">
        <v>0</v>
      </c>
      <c r="O1283" s="43">
        <f>VLOOKUP(Tabla1[[#This Row],[PAGO DIA]],DIAS!A:E,5,0)</f>
        <v>46168</v>
      </c>
      <c r="P1283" s="6">
        <v>0</v>
      </c>
      <c r="Q1283" s="43">
        <f>VLOOKUP(Tabla1[[#This Row],[PAGO DIA]],DIAS!A:F,6,0)</f>
        <v>46196</v>
      </c>
      <c r="R1283" s="6">
        <v>0</v>
      </c>
      <c r="S1283" s="43">
        <f>VLOOKUP(Tabla1[[#This Row],[PAGO DIA]],DIAS!A:G,7,0)</f>
        <v>46231</v>
      </c>
      <c r="T1283" s="6">
        <v>0</v>
      </c>
      <c r="U1283" s="43">
        <f>VLOOKUP(Tabla1[[#This Row],[PAGO DIA]],DIAS!A:H,8,0)</f>
        <v>46259</v>
      </c>
      <c r="V1283" s="6">
        <v>0</v>
      </c>
      <c r="W1283" s="43">
        <f>VLOOKUP(Tabla1[[#This Row],[PAGO DIA]],DIAS!A:I,9,0)</f>
        <v>46287</v>
      </c>
      <c r="X1283" s="6">
        <v>0</v>
      </c>
      <c r="Y1283" s="43">
        <f>VLOOKUP(Tabla1[[#This Row],[PAGO DIA]],DIAS!A:J,10,0)</f>
        <v>46322</v>
      </c>
      <c r="Z1283" s="6">
        <v>0</v>
      </c>
      <c r="AA1283" s="43">
        <f>VLOOKUP(Tabla1[[#This Row],[PAGO DIA]],DIAS!A:K,11,0)</f>
        <v>46350</v>
      </c>
      <c r="AB1283" s="6">
        <v>0</v>
      </c>
      <c r="AC1283" s="43">
        <f>VLOOKUP(Tabla1[[#This Row],[PAGO DIA]],DIAS!A:M,12,0)</f>
        <v>46379</v>
      </c>
      <c r="AD12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50000000</v>
      </c>
    </row>
    <row r="1284" spans="1:30">
      <c r="A1284" s="3">
        <v>11389</v>
      </c>
      <c r="B1284" s="3" t="s">
        <v>510</v>
      </c>
      <c r="C1284" s="3" t="s">
        <v>1140</v>
      </c>
      <c r="D1284" s="3" t="s">
        <v>1821</v>
      </c>
      <c r="E1284" s="3" t="s">
        <v>1822</v>
      </c>
      <c r="F1284" s="42" t="s">
        <v>562</v>
      </c>
      <c r="G1284" s="3"/>
      <c r="H1284" s="7">
        <v>62000000</v>
      </c>
      <c r="I1284" s="41">
        <f>VLOOKUP(Tabla1[[#This Row],[PAGO DIA]],DIAS!A:B,2,0)</f>
        <v>46078</v>
      </c>
      <c r="J1284" s="6">
        <v>62000000</v>
      </c>
      <c r="K1284" s="43">
        <f>VLOOKUP(Tabla1[[#This Row],[PAGO DIA]],DIAS!A:C,3,0)</f>
        <v>46105</v>
      </c>
      <c r="L1284" s="6">
        <v>62000000</v>
      </c>
      <c r="M1284" s="41">
        <f>VLOOKUP(Tabla1[[#This Row],[PAGO DIA]],DIAS!A:D,4,0)</f>
        <v>46140</v>
      </c>
      <c r="N1284" s="6">
        <v>62000000</v>
      </c>
      <c r="O1284" s="43">
        <f>VLOOKUP(Tabla1[[#This Row],[PAGO DIA]],DIAS!A:E,5,0)</f>
        <v>46168</v>
      </c>
      <c r="P1284" s="6">
        <v>62000000</v>
      </c>
      <c r="Q1284" s="43">
        <f>VLOOKUP(Tabla1[[#This Row],[PAGO DIA]],DIAS!A:F,6,0)</f>
        <v>46196</v>
      </c>
      <c r="R1284" s="6">
        <v>62000000</v>
      </c>
      <c r="S1284" s="43">
        <f>VLOOKUP(Tabla1[[#This Row],[PAGO DIA]],DIAS!A:G,7,0)</f>
        <v>46231</v>
      </c>
      <c r="T1284" s="6">
        <v>62000000</v>
      </c>
      <c r="U1284" s="43">
        <f>VLOOKUP(Tabla1[[#This Row],[PAGO DIA]],DIAS!A:H,8,0)</f>
        <v>46259</v>
      </c>
      <c r="V1284" s="6">
        <v>62000000</v>
      </c>
      <c r="W1284" s="43">
        <f>VLOOKUP(Tabla1[[#This Row],[PAGO DIA]],DIAS!A:I,9,0)</f>
        <v>46287</v>
      </c>
      <c r="X1284" s="6">
        <v>62000000</v>
      </c>
      <c r="Y1284" s="43">
        <f>VLOOKUP(Tabla1[[#This Row],[PAGO DIA]],DIAS!A:J,10,0)</f>
        <v>46322</v>
      </c>
      <c r="Z1284" s="6">
        <v>62000000</v>
      </c>
      <c r="AA1284" s="43">
        <f>VLOOKUP(Tabla1[[#This Row],[PAGO DIA]],DIAS!A:K,11,0)</f>
        <v>46350</v>
      </c>
      <c r="AB1284" s="6">
        <v>62000000</v>
      </c>
      <c r="AC1284" s="43">
        <f>VLOOKUP(Tabla1[[#This Row],[PAGO DIA]],DIAS!A:M,12,0)</f>
        <v>46379</v>
      </c>
      <c r="AD12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682000000</v>
      </c>
    </row>
    <row r="1285" spans="1:30">
      <c r="A1285" s="3">
        <v>11392</v>
      </c>
      <c r="B1285" s="3" t="s">
        <v>510</v>
      </c>
      <c r="C1285" s="3" t="s">
        <v>505</v>
      </c>
      <c r="D1285" s="3" t="s">
        <v>1764</v>
      </c>
      <c r="E1285" s="3" t="s">
        <v>1126</v>
      </c>
      <c r="F1285" s="42" t="s">
        <v>562</v>
      </c>
      <c r="G1285" s="3"/>
      <c r="H1285" s="7">
        <v>38846283.609999999</v>
      </c>
      <c r="I1285" s="41">
        <f>VLOOKUP(Tabla1[[#This Row],[PAGO DIA]],DIAS!A:B,2,0)</f>
        <v>46078</v>
      </c>
      <c r="J1285" s="6">
        <v>40000000</v>
      </c>
      <c r="K1285" s="43">
        <f>VLOOKUP(Tabla1[[#This Row],[PAGO DIA]],DIAS!A:C,3,0)</f>
        <v>46105</v>
      </c>
      <c r="L1285" s="6">
        <v>0</v>
      </c>
      <c r="M1285" s="41">
        <f>VLOOKUP(Tabla1[[#This Row],[PAGO DIA]],DIAS!A:D,4,0)</f>
        <v>46140</v>
      </c>
      <c r="N1285" s="6">
        <v>0</v>
      </c>
      <c r="O1285" s="43">
        <f>VLOOKUP(Tabla1[[#This Row],[PAGO DIA]],DIAS!A:E,5,0)</f>
        <v>46168</v>
      </c>
      <c r="P1285" s="6">
        <v>0</v>
      </c>
      <c r="Q1285" s="43">
        <f>VLOOKUP(Tabla1[[#This Row],[PAGO DIA]],DIAS!A:F,6,0)</f>
        <v>46196</v>
      </c>
      <c r="R1285" s="6">
        <v>0</v>
      </c>
      <c r="S1285" s="43">
        <f>VLOOKUP(Tabla1[[#This Row],[PAGO DIA]],DIAS!A:G,7,0)</f>
        <v>46231</v>
      </c>
      <c r="T1285" s="6">
        <v>0</v>
      </c>
      <c r="U1285" s="43">
        <f>VLOOKUP(Tabla1[[#This Row],[PAGO DIA]],DIAS!A:H,8,0)</f>
        <v>46259</v>
      </c>
      <c r="V1285" s="6">
        <v>0</v>
      </c>
      <c r="W1285" s="43">
        <f>VLOOKUP(Tabla1[[#This Row],[PAGO DIA]],DIAS!A:I,9,0)</f>
        <v>46287</v>
      </c>
      <c r="X1285" s="6">
        <v>0</v>
      </c>
      <c r="Y1285" s="43">
        <f>VLOOKUP(Tabla1[[#This Row],[PAGO DIA]],DIAS!A:J,10,0)</f>
        <v>46322</v>
      </c>
      <c r="Z1285" s="6">
        <v>0</v>
      </c>
      <c r="AA1285" s="43">
        <f>VLOOKUP(Tabla1[[#This Row],[PAGO DIA]],DIAS!A:K,11,0)</f>
        <v>46350</v>
      </c>
      <c r="AB1285" s="6">
        <v>0</v>
      </c>
      <c r="AC1285" s="43">
        <f>VLOOKUP(Tabla1[[#This Row],[PAGO DIA]],DIAS!A:M,12,0)</f>
        <v>46379</v>
      </c>
      <c r="AD12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78846283.609999999</v>
      </c>
    </row>
    <row r="1286" spans="1:30">
      <c r="A1286" s="3">
        <v>11393</v>
      </c>
      <c r="B1286" s="3" t="s">
        <v>510</v>
      </c>
      <c r="C1286" s="3" t="s">
        <v>539</v>
      </c>
      <c r="D1286" s="3" t="s">
        <v>1823</v>
      </c>
      <c r="E1286" s="3" t="s">
        <v>1456</v>
      </c>
      <c r="F1286" s="42" t="s">
        <v>562</v>
      </c>
      <c r="G1286" s="3" t="s">
        <v>1824</v>
      </c>
      <c r="H1286" s="7">
        <v>59754809.960000001</v>
      </c>
      <c r="I1286" s="41">
        <f>VLOOKUP(Tabla1[[#This Row],[PAGO DIA]],DIAS!A:B,2,0)</f>
        <v>46078</v>
      </c>
      <c r="J1286" s="6">
        <v>60000000</v>
      </c>
      <c r="K1286" s="43">
        <f>VLOOKUP(Tabla1[[#This Row],[PAGO DIA]],DIAS!A:C,3,0)</f>
        <v>46105</v>
      </c>
      <c r="L1286" s="6">
        <v>60000000</v>
      </c>
      <c r="M1286" s="41">
        <f>VLOOKUP(Tabla1[[#This Row],[PAGO DIA]],DIAS!A:D,4,0)</f>
        <v>46140</v>
      </c>
      <c r="N1286" s="6">
        <v>60000000</v>
      </c>
      <c r="O1286" s="43">
        <f>VLOOKUP(Tabla1[[#This Row],[PAGO DIA]],DIAS!A:E,5,0)</f>
        <v>46168</v>
      </c>
      <c r="P1286" s="6">
        <v>60000000</v>
      </c>
      <c r="Q1286" s="43">
        <f>VLOOKUP(Tabla1[[#This Row],[PAGO DIA]],DIAS!A:F,6,0)</f>
        <v>46196</v>
      </c>
      <c r="R1286" s="6">
        <v>60000000</v>
      </c>
      <c r="S1286" s="43">
        <f>VLOOKUP(Tabla1[[#This Row],[PAGO DIA]],DIAS!A:G,7,0)</f>
        <v>46231</v>
      </c>
      <c r="T1286" s="6">
        <v>60000000</v>
      </c>
      <c r="U1286" s="43">
        <f>VLOOKUP(Tabla1[[#This Row],[PAGO DIA]],DIAS!A:H,8,0)</f>
        <v>46259</v>
      </c>
      <c r="V1286" s="6">
        <v>60000000</v>
      </c>
      <c r="W1286" s="43">
        <f>VLOOKUP(Tabla1[[#This Row],[PAGO DIA]],DIAS!A:I,9,0)</f>
        <v>46287</v>
      </c>
      <c r="X1286" s="6">
        <v>60000000</v>
      </c>
      <c r="Y1286" s="43">
        <f>VLOOKUP(Tabla1[[#This Row],[PAGO DIA]],DIAS!A:J,10,0)</f>
        <v>46322</v>
      </c>
      <c r="Z1286" s="6">
        <v>60000000</v>
      </c>
      <c r="AA1286" s="43">
        <f>VLOOKUP(Tabla1[[#This Row],[PAGO DIA]],DIAS!A:K,11,0)</f>
        <v>46350</v>
      </c>
      <c r="AB1286" s="6">
        <v>60000000</v>
      </c>
      <c r="AC1286" s="43">
        <f>VLOOKUP(Tabla1[[#This Row],[PAGO DIA]],DIAS!A:M,12,0)</f>
        <v>46379</v>
      </c>
      <c r="AD12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659754809.96000004</v>
      </c>
    </row>
    <row r="1287" spans="1:30">
      <c r="A1287" s="3">
        <v>11397</v>
      </c>
      <c r="B1287" s="3" t="s">
        <v>510</v>
      </c>
      <c r="C1287" s="3"/>
      <c r="D1287" s="3" t="s">
        <v>1825</v>
      </c>
      <c r="E1287" s="3" t="s">
        <v>1826</v>
      </c>
      <c r="F1287" s="42" t="s">
        <v>562</v>
      </c>
      <c r="G1287" s="3"/>
      <c r="H1287" s="7">
        <v>39000000</v>
      </c>
      <c r="I1287" s="41">
        <f>VLOOKUP(Tabla1[[#This Row],[PAGO DIA]],DIAS!A:B,2,0)</f>
        <v>46078</v>
      </c>
      <c r="J1287" s="6">
        <v>39000000</v>
      </c>
      <c r="K1287" s="43">
        <f>VLOOKUP(Tabla1[[#This Row],[PAGO DIA]],DIAS!A:C,3,0)</f>
        <v>46105</v>
      </c>
      <c r="L1287" s="6">
        <v>0</v>
      </c>
      <c r="M1287" s="41">
        <f>VLOOKUP(Tabla1[[#This Row],[PAGO DIA]],DIAS!A:D,4,0)</f>
        <v>46140</v>
      </c>
      <c r="N1287" s="6">
        <v>0</v>
      </c>
      <c r="O1287" s="43">
        <f>VLOOKUP(Tabla1[[#This Row],[PAGO DIA]],DIAS!A:E,5,0)</f>
        <v>46168</v>
      </c>
      <c r="P1287" s="6">
        <v>0</v>
      </c>
      <c r="Q1287" s="43">
        <f>VLOOKUP(Tabla1[[#This Row],[PAGO DIA]],DIAS!A:F,6,0)</f>
        <v>46196</v>
      </c>
      <c r="R1287" s="6">
        <v>0</v>
      </c>
      <c r="S1287" s="43">
        <f>VLOOKUP(Tabla1[[#This Row],[PAGO DIA]],DIAS!A:G,7,0)</f>
        <v>46231</v>
      </c>
      <c r="T1287" s="6">
        <v>0</v>
      </c>
      <c r="U1287" s="43">
        <f>VLOOKUP(Tabla1[[#This Row],[PAGO DIA]],DIAS!A:H,8,0)</f>
        <v>46259</v>
      </c>
      <c r="V1287" s="6">
        <v>0</v>
      </c>
      <c r="W1287" s="43">
        <f>VLOOKUP(Tabla1[[#This Row],[PAGO DIA]],DIAS!A:I,9,0)</f>
        <v>46287</v>
      </c>
      <c r="X1287" s="6">
        <v>0</v>
      </c>
      <c r="Y1287" s="43">
        <f>VLOOKUP(Tabla1[[#This Row],[PAGO DIA]],DIAS!A:J,10,0)</f>
        <v>46322</v>
      </c>
      <c r="Z1287" s="6">
        <v>0</v>
      </c>
      <c r="AA1287" s="43">
        <f>VLOOKUP(Tabla1[[#This Row],[PAGO DIA]],DIAS!A:K,11,0)</f>
        <v>46350</v>
      </c>
      <c r="AB1287" s="6">
        <v>0</v>
      </c>
      <c r="AC1287" s="43">
        <f>VLOOKUP(Tabla1[[#This Row],[PAGO DIA]],DIAS!A:M,12,0)</f>
        <v>46379</v>
      </c>
      <c r="AD12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78000000</v>
      </c>
    </row>
    <row r="1288" spans="1:30">
      <c r="A1288" s="3">
        <v>11403</v>
      </c>
      <c r="B1288" s="3" t="s">
        <v>510</v>
      </c>
      <c r="C1288" s="3" t="s">
        <v>1140</v>
      </c>
      <c r="D1288" s="3" t="s">
        <v>1141</v>
      </c>
      <c r="E1288" s="3" t="s">
        <v>699</v>
      </c>
      <c r="F1288" s="42" t="s">
        <v>562</v>
      </c>
      <c r="G1288" s="3" t="s">
        <v>1142</v>
      </c>
      <c r="H1288" s="7">
        <v>24155000</v>
      </c>
      <c r="I1288" s="41">
        <f>VLOOKUP(Tabla1[[#This Row],[PAGO DIA]],DIAS!A:B,2,0)</f>
        <v>46078</v>
      </c>
      <c r="J1288" s="6">
        <v>0</v>
      </c>
      <c r="K1288" s="43">
        <f>VLOOKUP(Tabla1[[#This Row],[PAGO DIA]],DIAS!A:C,3,0)</f>
        <v>46105</v>
      </c>
      <c r="L1288" s="6">
        <v>0</v>
      </c>
      <c r="M1288" s="41">
        <f>VLOOKUP(Tabla1[[#This Row],[PAGO DIA]],DIAS!A:D,4,0)</f>
        <v>46140</v>
      </c>
      <c r="N1288" s="6">
        <v>0</v>
      </c>
      <c r="O1288" s="43">
        <f>VLOOKUP(Tabla1[[#This Row],[PAGO DIA]],DIAS!A:E,5,0)</f>
        <v>46168</v>
      </c>
      <c r="P1288" s="6">
        <v>0</v>
      </c>
      <c r="Q1288" s="43">
        <f>VLOOKUP(Tabla1[[#This Row],[PAGO DIA]],DIAS!A:F,6,0)</f>
        <v>46196</v>
      </c>
      <c r="R1288" s="6">
        <v>0</v>
      </c>
      <c r="S1288" s="43">
        <f>VLOOKUP(Tabla1[[#This Row],[PAGO DIA]],DIAS!A:G,7,0)</f>
        <v>46231</v>
      </c>
      <c r="T1288" s="6">
        <v>0</v>
      </c>
      <c r="U1288" s="43">
        <f>VLOOKUP(Tabla1[[#This Row],[PAGO DIA]],DIAS!A:H,8,0)</f>
        <v>46259</v>
      </c>
      <c r="V1288" s="6">
        <v>0</v>
      </c>
      <c r="W1288" s="43">
        <f>VLOOKUP(Tabla1[[#This Row],[PAGO DIA]],DIAS!A:I,9,0)</f>
        <v>46287</v>
      </c>
      <c r="X1288" s="6">
        <v>0</v>
      </c>
      <c r="Y1288" s="43">
        <f>VLOOKUP(Tabla1[[#This Row],[PAGO DIA]],DIAS!A:J,10,0)</f>
        <v>46322</v>
      </c>
      <c r="Z1288" s="6">
        <v>0</v>
      </c>
      <c r="AA1288" s="43">
        <f>VLOOKUP(Tabla1[[#This Row],[PAGO DIA]],DIAS!A:K,11,0)</f>
        <v>46350</v>
      </c>
      <c r="AB1288" s="6">
        <v>0</v>
      </c>
      <c r="AC1288" s="43">
        <f>VLOOKUP(Tabla1[[#This Row],[PAGO DIA]],DIAS!A:M,12,0)</f>
        <v>46379</v>
      </c>
      <c r="AD12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24155000</v>
      </c>
    </row>
    <row r="1289" spans="1:30">
      <c r="A1289" s="3">
        <v>11406</v>
      </c>
      <c r="B1289" s="3" t="s">
        <v>510</v>
      </c>
      <c r="C1289" s="3" t="s">
        <v>1140</v>
      </c>
      <c r="D1289" s="3" t="s">
        <v>1827</v>
      </c>
      <c r="E1289" s="3" t="s">
        <v>1828</v>
      </c>
      <c r="F1289" s="42" t="s">
        <v>562</v>
      </c>
      <c r="G1289" s="3" t="s">
        <v>1829</v>
      </c>
      <c r="H1289" s="7">
        <v>21400000</v>
      </c>
      <c r="I1289" s="41">
        <f>VLOOKUP(Tabla1[[#This Row],[PAGO DIA]],DIAS!A:B,2,0)</f>
        <v>46078</v>
      </c>
      <c r="J1289" s="6">
        <v>21400000</v>
      </c>
      <c r="K1289" s="43">
        <f>VLOOKUP(Tabla1[[#This Row],[PAGO DIA]],DIAS!A:C,3,0)</f>
        <v>46105</v>
      </c>
      <c r="L1289" s="6">
        <v>0</v>
      </c>
      <c r="M1289" s="41">
        <f>VLOOKUP(Tabla1[[#This Row],[PAGO DIA]],DIAS!A:D,4,0)</f>
        <v>46140</v>
      </c>
      <c r="N1289" s="6">
        <v>0</v>
      </c>
      <c r="O1289" s="43">
        <f>VLOOKUP(Tabla1[[#This Row],[PAGO DIA]],DIAS!A:E,5,0)</f>
        <v>46168</v>
      </c>
      <c r="P1289" s="6">
        <v>0</v>
      </c>
      <c r="Q1289" s="43">
        <f>VLOOKUP(Tabla1[[#This Row],[PAGO DIA]],DIAS!A:F,6,0)</f>
        <v>46196</v>
      </c>
      <c r="R1289" s="6">
        <v>0</v>
      </c>
      <c r="S1289" s="43">
        <f>VLOOKUP(Tabla1[[#This Row],[PAGO DIA]],DIAS!A:G,7,0)</f>
        <v>46231</v>
      </c>
      <c r="T1289" s="6">
        <v>0</v>
      </c>
      <c r="U1289" s="43">
        <f>VLOOKUP(Tabla1[[#This Row],[PAGO DIA]],DIAS!A:H,8,0)</f>
        <v>46259</v>
      </c>
      <c r="V1289" s="6">
        <v>0</v>
      </c>
      <c r="W1289" s="43">
        <f>VLOOKUP(Tabla1[[#This Row],[PAGO DIA]],DIAS!A:I,9,0)</f>
        <v>46287</v>
      </c>
      <c r="X1289" s="6">
        <v>0</v>
      </c>
      <c r="Y1289" s="43">
        <f>VLOOKUP(Tabla1[[#This Row],[PAGO DIA]],DIAS!A:J,10,0)</f>
        <v>46322</v>
      </c>
      <c r="Z1289" s="6">
        <v>0</v>
      </c>
      <c r="AA1289" s="43">
        <f>VLOOKUP(Tabla1[[#This Row],[PAGO DIA]],DIAS!A:K,11,0)</f>
        <v>46350</v>
      </c>
      <c r="AB1289" s="6">
        <v>0</v>
      </c>
      <c r="AC1289" s="43">
        <f>VLOOKUP(Tabla1[[#This Row],[PAGO DIA]],DIAS!A:M,12,0)</f>
        <v>46379</v>
      </c>
      <c r="AD12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42800000</v>
      </c>
    </row>
    <row r="1290" spans="1:30">
      <c r="A1290" s="3">
        <v>11409</v>
      </c>
      <c r="B1290" s="3" t="s">
        <v>510</v>
      </c>
      <c r="C1290" s="3" t="s">
        <v>1140</v>
      </c>
      <c r="D1290" s="3" t="s">
        <v>1830</v>
      </c>
      <c r="E1290" s="3" t="s">
        <v>1831</v>
      </c>
      <c r="F1290" s="42" t="s">
        <v>562</v>
      </c>
      <c r="G1290" s="3" t="s">
        <v>1832</v>
      </c>
      <c r="H1290" s="7">
        <v>20000000</v>
      </c>
      <c r="I1290" s="41">
        <f>VLOOKUP(Tabla1[[#This Row],[PAGO DIA]],DIAS!A:B,2,0)</f>
        <v>46078</v>
      </c>
      <c r="J1290" s="6">
        <v>20000000</v>
      </c>
      <c r="K1290" s="43">
        <f>VLOOKUP(Tabla1[[#This Row],[PAGO DIA]],DIAS!A:C,3,0)</f>
        <v>46105</v>
      </c>
      <c r="L1290" s="6">
        <v>0</v>
      </c>
      <c r="M1290" s="41">
        <f>VLOOKUP(Tabla1[[#This Row],[PAGO DIA]],DIAS!A:D,4,0)</f>
        <v>46140</v>
      </c>
      <c r="N1290" s="6">
        <v>0</v>
      </c>
      <c r="O1290" s="43">
        <f>VLOOKUP(Tabla1[[#This Row],[PAGO DIA]],DIAS!A:E,5,0)</f>
        <v>46168</v>
      </c>
      <c r="P1290" s="6">
        <v>0</v>
      </c>
      <c r="Q1290" s="43">
        <f>VLOOKUP(Tabla1[[#This Row],[PAGO DIA]],DIAS!A:F,6,0)</f>
        <v>46196</v>
      </c>
      <c r="R1290" s="6">
        <v>0</v>
      </c>
      <c r="S1290" s="43">
        <f>VLOOKUP(Tabla1[[#This Row],[PAGO DIA]],DIAS!A:G,7,0)</f>
        <v>46231</v>
      </c>
      <c r="T1290" s="6">
        <v>0</v>
      </c>
      <c r="U1290" s="43">
        <f>VLOOKUP(Tabla1[[#This Row],[PAGO DIA]],DIAS!A:H,8,0)</f>
        <v>46259</v>
      </c>
      <c r="V1290" s="6">
        <v>0</v>
      </c>
      <c r="W1290" s="43">
        <f>VLOOKUP(Tabla1[[#This Row],[PAGO DIA]],DIAS!A:I,9,0)</f>
        <v>46287</v>
      </c>
      <c r="X1290" s="6">
        <v>0</v>
      </c>
      <c r="Y1290" s="43">
        <f>VLOOKUP(Tabla1[[#This Row],[PAGO DIA]],DIAS!A:J,10,0)</f>
        <v>46322</v>
      </c>
      <c r="Z1290" s="6">
        <v>0</v>
      </c>
      <c r="AA1290" s="43">
        <f>VLOOKUP(Tabla1[[#This Row],[PAGO DIA]],DIAS!A:K,11,0)</f>
        <v>46350</v>
      </c>
      <c r="AB1290" s="6">
        <v>0</v>
      </c>
      <c r="AC1290" s="43">
        <f>VLOOKUP(Tabla1[[#This Row],[PAGO DIA]],DIAS!A:M,12,0)</f>
        <v>46379</v>
      </c>
      <c r="AD12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40000000</v>
      </c>
    </row>
    <row r="1291" spans="1:30">
      <c r="A1291" s="3">
        <v>11412</v>
      </c>
      <c r="B1291" s="3" t="s">
        <v>510</v>
      </c>
      <c r="C1291" s="3"/>
      <c r="D1291" s="3" t="s">
        <v>1833</v>
      </c>
      <c r="E1291" s="3" t="s">
        <v>1189</v>
      </c>
      <c r="F1291" s="42" t="s">
        <v>562</v>
      </c>
      <c r="G1291" s="3"/>
      <c r="H1291" s="7">
        <v>16800000</v>
      </c>
      <c r="I1291" s="41">
        <f>VLOOKUP(Tabla1[[#This Row],[PAGO DIA]],DIAS!A:B,2,0)</f>
        <v>46078</v>
      </c>
      <c r="J1291" s="6">
        <v>16800000</v>
      </c>
      <c r="K1291" s="43">
        <f>VLOOKUP(Tabla1[[#This Row],[PAGO DIA]],DIAS!A:C,3,0)</f>
        <v>46105</v>
      </c>
      <c r="L1291" s="6">
        <v>16800000</v>
      </c>
      <c r="M1291" s="41">
        <f>VLOOKUP(Tabla1[[#This Row],[PAGO DIA]],DIAS!A:D,4,0)</f>
        <v>46140</v>
      </c>
      <c r="N1291" s="6">
        <v>16800000</v>
      </c>
      <c r="O1291" s="43">
        <f>VLOOKUP(Tabla1[[#This Row],[PAGO DIA]],DIAS!A:E,5,0)</f>
        <v>46168</v>
      </c>
      <c r="P1291" s="6">
        <v>16800000</v>
      </c>
      <c r="Q1291" s="43">
        <f>VLOOKUP(Tabla1[[#This Row],[PAGO DIA]],DIAS!A:F,6,0)</f>
        <v>46196</v>
      </c>
      <c r="R1291" s="6">
        <v>16800000</v>
      </c>
      <c r="S1291" s="43">
        <f>VLOOKUP(Tabla1[[#This Row],[PAGO DIA]],DIAS!A:G,7,0)</f>
        <v>46231</v>
      </c>
      <c r="T1291" s="6">
        <v>16800000</v>
      </c>
      <c r="U1291" s="43">
        <f>VLOOKUP(Tabla1[[#This Row],[PAGO DIA]],DIAS!A:H,8,0)</f>
        <v>46259</v>
      </c>
      <c r="V1291" s="6">
        <v>16800000</v>
      </c>
      <c r="W1291" s="43">
        <f>VLOOKUP(Tabla1[[#This Row],[PAGO DIA]],DIAS!A:I,9,0)</f>
        <v>46287</v>
      </c>
      <c r="X1291" s="6">
        <v>16800000</v>
      </c>
      <c r="Y1291" s="43">
        <f>VLOOKUP(Tabla1[[#This Row],[PAGO DIA]],DIAS!A:J,10,0)</f>
        <v>46322</v>
      </c>
      <c r="Z1291" s="6">
        <v>16800000</v>
      </c>
      <c r="AA1291" s="43">
        <f>VLOOKUP(Tabla1[[#This Row],[PAGO DIA]],DIAS!A:K,11,0)</f>
        <v>46350</v>
      </c>
      <c r="AB1291" s="6">
        <v>16800000</v>
      </c>
      <c r="AC1291" s="43">
        <f>VLOOKUP(Tabla1[[#This Row],[PAGO DIA]],DIAS!A:M,12,0)</f>
        <v>46379</v>
      </c>
      <c r="AD12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184800000</v>
      </c>
    </row>
    <row r="1292" spans="1:30">
      <c r="A1292" s="3">
        <v>11413</v>
      </c>
      <c r="B1292" s="3" t="s">
        <v>510</v>
      </c>
      <c r="C1292" s="3" t="s">
        <v>1140</v>
      </c>
      <c r="D1292" s="3" t="s">
        <v>1834</v>
      </c>
      <c r="E1292" s="3" t="s">
        <v>1831</v>
      </c>
      <c r="F1292" s="42" t="s">
        <v>562</v>
      </c>
      <c r="G1292" s="3" t="s">
        <v>1835</v>
      </c>
      <c r="H1292" s="7">
        <v>15000000</v>
      </c>
      <c r="I1292" s="41">
        <f>VLOOKUP(Tabla1[[#This Row],[PAGO DIA]],DIAS!A:B,2,0)</f>
        <v>46078</v>
      </c>
      <c r="J1292" s="6">
        <v>15000000</v>
      </c>
      <c r="K1292" s="43">
        <f>VLOOKUP(Tabla1[[#This Row],[PAGO DIA]],DIAS!A:C,3,0)</f>
        <v>46105</v>
      </c>
      <c r="L1292" s="6">
        <v>0</v>
      </c>
      <c r="M1292" s="41">
        <f>VLOOKUP(Tabla1[[#This Row],[PAGO DIA]],DIAS!A:D,4,0)</f>
        <v>46140</v>
      </c>
      <c r="N1292" s="6">
        <v>0</v>
      </c>
      <c r="O1292" s="43">
        <f>VLOOKUP(Tabla1[[#This Row],[PAGO DIA]],DIAS!A:E,5,0)</f>
        <v>46168</v>
      </c>
      <c r="P1292" s="6">
        <v>0</v>
      </c>
      <c r="Q1292" s="43">
        <f>VLOOKUP(Tabla1[[#This Row],[PAGO DIA]],DIAS!A:F,6,0)</f>
        <v>46196</v>
      </c>
      <c r="R1292" s="6">
        <v>0</v>
      </c>
      <c r="S1292" s="43">
        <f>VLOOKUP(Tabla1[[#This Row],[PAGO DIA]],DIAS!A:G,7,0)</f>
        <v>46231</v>
      </c>
      <c r="T1292" s="6">
        <v>0</v>
      </c>
      <c r="U1292" s="43">
        <f>VLOOKUP(Tabla1[[#This Row],[PAGO DIA]],DIAS!A:H,8,0)</f>
        <v>46259</v>
      </c>
      <c r="V1292" s="6">
        <v>0</v>
      </c>
      <c r="W1292" s="43">
        <f>VLOOKUP(Tabla1[[#This Row],[PAGO DIA]],DIAS!A:I,9,0)</f>
        <v>46287</v>
      </c>
      <c r="X1292" s="6">
        <v>0</v>
      </c>
      <c r="Y1292" s="43">
        <f>VLOOKUP(Tabla1[[#This Row],[PAGO DIA]],DIAS!A:J,10,0)</f>
        <v>46322</v>
      </c>
      <c r="Z1292" s="6">
        <v>0</v>
      </c>
      <c r="AA1292" s="43">
        <f>VLOOKUP(Tabla1[[#This Row],[PAGO DIA]],DIAS!A:K,11,0)</f>
        <v>46350</v>
      </c>
      <c r="AB1292" s="6">
        <v>0</v>
      </c>
      <c r="AC1292" s="43">
        <f>VLOOKUP(Tabla1[[#This Row],[PAGO DIA]],DIAS!A:M,12,0)</f>
        <v>46379</v>
      </c>
      <c r="AD12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30000000</v>
      </c>
    </row>
    <row r="1293" spans="1:30">
      <c r="A1293" s="3">
        <v>11414</v>
      </c>
      <c r="B1293" s="3" t="s">
        <v>510</v>
      </c>
      <c r="C1293" s="3" t="s">
        <v>1140</v>
      </c>
      <c r="D1293" s="3" t="s">
        <v>1836</v>
      </c>
      <c r="E1293" s="3" t="s">
        <v>1837</v>
      </c>
      <c r="F1293" s="42" t="s">
        <v>562</v>
      </c>
      <c r="G1293" s="3" t="s">
        <v>1838</v>
      </c>
      <c r="H1293" s="7">
        <v>13554500</v>
      </c>
      <c r="I1293" s="41">
        <f>VLOOKUP(Tabla1[[#This Row],[PAGO DIA]],DIAS!A:B,2,0)</f>
        <v>46078</v>
      </c>
      <c r="J1293" s="6">
        <v>0</v>
      </c>
      <c r="K1293" s="43">
        <f>VLOOKUP(Tabla1[[#This Row],[PAGO DIA]],DIAS!A:C,3,0)</f>
        <v>46105</v>
      </c>
      <c r="L1293" s="6">
        <v>0</v>
      </c>
      <c r="M1293" s="41">
        <f>VLOOKUP(Tabla1[[#This Row],[PAGO DIA]],DIAS!A:D,4,0)</f>
        <v>46140</v>
      </c>
      <c r="N1293" s="6">
        <v>0</v>
      </c>
      <c r="O1293" s="43">
        <f>VLOOKUP(Tabla1[[#This Row],[PAGO DIA]],DIAS!A:E,5,0)</f>
        <v>46168</v>
      </c>
      <c r="P1293" s="6">
        <v>0</v>
      </c>
      <c r="Q1293" s="43">
        <f>VLOOKUP(Tabla1[[#This Row],[PAGO DIA]],DIAS!A:F,6,0)</f>
        <v>46196</v>
      </c>
      <c r="R1293" s="6">
        <v>0</v>
      </c>
      <c r="S1293" s="43">
        <f>VLOOKUP(Tabla1[[#This Row],[PAGO DIA]],DIAS!A:G,7,0)</f>
        <v>46231</v>
      </c>
      <c r="T1293" s="6">
        <v>0</v>
      </c>
      <c r="U1293" s="43">
        <f>VLOOKUP(Tabla1[[#This Row],[PAGO DIA]],DIAS!A:H,8,0)</f>
        <v>46259</v>
      </c>
      <c r="V1293" s="6">
        <v>0</v>
      </c>
      <c r="W1293" s="43">
        <f>VLOOKUP(Tabla1[[#This Row],[PAGO DIA]],DIAS!A:I,9,0)</f>
        <v>46287</v>
      </c>
      <c r="X1293" s="6">
        <v>0</v>
      </c>
      <c r="Y1293" s="43">
        <f>VLOOKUP(Tabla1[[#This Row],[PAGO DIA]],DIAS!A:J,10,0)</f>
        <v>46322</v>
      </c>
      <c r="Z1293" s="6">
        <v>0</v>
      </c>
      <c r="AA1293" s="43">
        <f>VLOOKUP(Tabla1[[#This Row],[PAGO DIA]],DIAS!A:K,11,0)</f>
        <v>46350</v>
      </c>
      <c r="AB1293" s="6">
        <v>0</v>
      </c>
      <c r="AC1293" s="43">
        <f>VLOOKUP(Tabla1[[#This Row],[PAGO DIA]],DIAS!A:M,12,0)</f>
        <v>46379</v>
      </c>
      <c r="AD12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13554500</v>
      </c>
    </row>
    <row r="1294" spans="1:30">
      <c r="A1294" s="3">
        <v>11416</v>
      </c>
      <c r="B1294" s="3" t="s">
        <v>510</v>
      </c>
      <c r="C1294" s="3" t="s">
        <v>1140</v>
      </c>
      <c r="D1294" s="3" t="s">
        <v>1836</v>
      </c>
      <c r="E1294" s="3" t="s">
        <v>1837</v>
      </c>
      <c r="F1294" s="42" t="s">
        <v>562</v>
      </c>
      <c r="G1294" s="3" t="s">
        <v>1839</v>
      </c>
      <c r="H1294" s="7">
        <v>11100000</v>
      </c>
      <c r="I1294" s="41">
        <f>VLOOKUP(Tabla1[[#This Row],[PAGO DIA]],DIAS!A:B,2,0)</f>
        <v>46078</v>
      </c>
      <c r="J1294" s="6">
        <v>0</v>
      </c>
      <c r="K1294" s="43">
        <f>VLOOKUP(Tabla1[[#This Row],[PAGO DIA]],DIAS!A:C,3,0)</f>
        <v>46105</v>
      </c>
      <c r="L1294" s="6">
        <v>0</v>
      </c>
      <c r="M1294" s="41">
        <f>VLOOKUP(Tabla1[[#This Row],[PAGO DIA]],DIAS!A:D,4,0)</f>
        <v>46140</v>
      </c>
      <c r="N1294" s="6">
        <v>0</v>
      </c>
      <c r="O1294" s="43">
        <f>VLOOKUP(Tabla1[[#This Row],[PAGO DIA]],DIAS!A:E,5,0)</f>
        <v>46168</v>
      </c>
      <c r="P1294" s="6">
        <v>0</v>
      </c>
      <c r="Q1294" s="43">
        <f>VLOOKUP(Tabla1[[#This Row],[PAGO DIA]],DIAS!A:F,6,0)</f>
        <v>46196</v>
      </c>
      <c r="R1294" s="6">
        <v>0</v>
      </c>
      <c r="S1294" s="43">
        <f>VLOOKUP(Tabla1[[#This Row],[PAGO DIA]],DIAS!A:G,7,0)</f>
        <v>46231</v>
      </c>
      <c r="T1294" s="6">
        <v>0</v>
      </c>
      <c r="U1294" s="43">
        <f>VLOOKUP(Tabla1[[#This Row],[PAGO DIA]],DIAS!A:H,8,0)</f>
        <v>46259</v>
      </c>
      <c r="V1294" s="6">
        <v>0</v>
      </c>
      <c r="W1294" s="43">
        <f>VLOOKUP(Tabla1[[#This Row],[PAGO DIA]],DIAS!A:I,9,0)</f>
        <v>46287</v>
      </c>
      <c r="X1294" s="6">
        <v>0</v>
      </c>
      <c r="Y1294" s="43">
        <f>VLOOKUP(Tabla1[[#This Row],[PAGO DIA]],DIAS!A:J,10,0)</f>
        <v>46322</v>
      </c>
      <c r="Z1294" s="6">
        <v>0</v>
      </c>
      <c r="AA1294" s="43">
        <f>VLOOKUP(Tabla1[[#This Row],[PAGO DIA]],DIAS!A:K,11,0)</f>
        <v>46350</v>
      </c>
      <c r="AB1294" s="6">
        <v>0</v>
      </c>
      <c r="AC1294" s="43">
        <f>VLOOKUP(Tabla1[[#This Row],[PAGO DIA]],DIAS!A:M,12,0)</f>
        <v>46379</v>
      </c>
      <c r="AD12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11100000</v>
      </c>
    </row>
    <row r="1295" spans="1:30">
      <c r="A1295" s="3">
        <v>11417</v>
      </c>
      <c r="B1295" s="3" t="s">
        <v>510</v>
      </c>
      <c r="C1295" s="3" t="s">
        <v>1140</v>
      </c>
      <c r="D1295" s="3" t="s">
        <v>1141</v>
      </c>
      <c r="E1295" s="3" t="s">
        <v>699</v>
      </c>
      <c r="F1295" s="42" t="s">
        <v>562</v>
      </c>
      <c r="G1295" s="3"/>
      <c r="H1295" s="7">
        <v>32000000</v>
      </c>
      <c r="I1295" s="41">
        <f>VLOOKUP(Tabla1[[#This Row],[PAGO DIA]],DIAS!A:B,2,0)</f>
        <v>46078</v>
      </c>
      <c r="J1295" s="6">
        <v>32000000</v>
      </c>
      <c r="K1295" s="43">
        <f>VLOOKUP(Tabla1[[#This Row],[PAGO DIA]],DIAS!A:C,3,0)</f>
        <v>46105</v>
      </c>
      <c r="L1295" s="6">
        <v>32000000</v>
      </c>
      <c r="M1295" s="41">
        <f>VLOOKUP(Tabla1[[#This Row],[PAGO DIA]],DIAS!A:D,4,0)</f>
        <v>46140</v>
      </c>
      <c r="N1295" s="6">
        <v>32000000</v>
      </c>
      <c r="O1295" s="43">
        <f>VLOOKUP(Tabla1[[#This Row],[PAGO DIA]],DIAS!A:E,5,0)</f>
        <v>46168</v>
      </c>
      <c r="P1295" s="6">
        <v>32000000</v>
      </c>
      <c r="Q1295" s="43">
        <f>VLOOKUP(Tabla1[[#This Row],[PAGO DIA]],DIAS!A:F,6,0)</f>
        <v>46196</v>
      </c>
      <c r="R1295" s="6">
        <v>32000000</v>
      </c>
      <c r="S1295" s="43">
        <f>VLOOKUP(Tabla1[[#This Row],[PAGO DIA]],DIAS!A:G,7,0)</f>
        <v>46231</v>
      </c>
      <c r="T1295" s="6">
        <v>32000000</v>
      </c>
      <c r="U1295" s="43">
        <f>VLOOKUP(Tabla1[[#This Row],[PAGO DIA]],DIAS!A:H,8,0)</f>
        <v>46259</v>
      </c>
      <c r="V1295" s="6">
        <v>32000000</v>
      </c>
      <c r="W1295" s="43">
        <f>VLOOKUP(Tabla1[[#This Row],[PAGO DIA]],DIAS!A:I,9,0)</f>
        <v>46287</v>
      </c>
      <c r="X1295" s="6">
        <v>32000000</v>
      </c>
      <c r="Y1295" s="43">
        <f>VLOOKUP(Tabla1[[#This Row],[PAGO DIA]],DIAS!A:J,10,0)</f>
        <v>46322</v>
      </c>
      <c r="Z1295" s="6">
        <v>32000000</v>
      </c>
      <c r="AA1295" s="43">
        <f>VLOOKUP(Tabla1[[#This Row],[PAGO DIA]],DIAS!A:K,11,0)</f>
        <v>46350</v>
      </c>
      <c r="AB1295" s="6">
        <v>32000000</v>
      </c>
      <c r="AC1295" s="43">
        <f>VLOOKUP(Tabla1[[#This Row],[PAGO DIA]],DIAS!A:M,12,0)</f>
        <v>46379</v>
      </c>
      <c r="AD12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352000000</v>
      </c>
    </row>
    <row r="1296" spans="1:30">
      <c r="A1296" s="3">
        <v>11422</v>
      </c>
      <c r="B1296" s="3" t="s">
        <v>510</v>
      </c>
      <c r="C1296" s="3" t="s">
        <v>1140</v>
      </c>
      <c r="D1296" s="3" t="s">
        <v>1840</v>
      </c>
      <c r="E1296" s="3" t="s">
        <v>1841</v>
      </c>
      <c r="F1296" s="42" t="s">
        <v>562</v>
      </c>
      <c r="G1296" s="3" t="s">
        <v>1842</v>
      </c>
      <c r="H1296" s="7">
        <v>5641684.04</v>
      </c>
      <c r="I1296" s="41">
        <f>VLOOKUP(Tabla1[[#This Row],[PAGO DIA]],DIAS!A:B,2,0)</f>
        <v>46078</v>
      </c>
      <c r="J1296" s="6">
        <v>5641684.04</v>
      </c>
      <c r="K1296" s="43">
        <f>VLOOKUP(Tabla1[[#This Row],[PAGO DIA]],DIAS!A:C,3,0)</f>
        <v>46105</v>
      </c>
      <c r="L1296" s="6">
        <v>0</v>
      </c>
      <c r="M1296" s="41">
        <f>VLOOKUP(Tabla1[[#This Row],[PAGO DIA]],DIAS!A:D,4,0)</f>
        <v>46140</v>
      </c>
      <c r="N1296" s="6">
        <v>0</v>
      </c>
      <c r="O1296" s="43">
        <f>VLOOKUP(Tabla1[[#This Row],[PAGO DIA]],DIAS!A:E,5,0)</f>
        <v>46168</v>
      </c>
      <c r="P1296" s="6">
        <v>0</v>
      </c>
      <c r="Q1296" s="43">
        <f>VLOOKUP(Tabla1[[#This Row],[PAGO DIA]],DIAS!A:F,6,0)</f>
        <v>46196</v>
      </c>
      <c r="R1296" s="6">
        <v>0</v>
      </c>
      <c r="S1296" s="43">
        <f>VLOOKUP(Tabla1[[#This Row],[PAGO DIA]],DIAS!A:G,7,0)</f>
        <v>46231</v>
      </c>
      <c r="T1296" s="6">
        <v>0</v>
      </c>
      <c r="U1296" s="43">
        <f>VLOOKUP(Tabla1[[#This Row],[PAGO DIA]],DIAS!A:H,8,0)</f>
        <v>46259</v>
      </c>
      <c r="V1296" s="6">
        <v>0</v>
      </c>
      <c r="W1296" s="43">
        <f>VLOOKUP(Tabla1[[#This Row],[PAGO DIA]],DIAS!A:I,9,0)</f>
        <v>46287</v>
      </c>
      <c r="X1296" s="6">
        <v>0</v>
      </c>
      <c r="Y1296" s="43">
        <f>VLOOKUP(Tabla1[[#This Row],[PAGO DIA]],DIAS!A:J,10,0)</f>
        <v>46322</v>
      </c>
      <c r="Z1296" s="6">
        <v>0</v>
      </c>
      <c r="AA1296" s="43">
        <f>VLOOKUP(Tabla1[[#This Row],[PAGO DIA]],DIAS!A:K,11,0)</f>
        <v>46350</v>
      </c>
      <c r="AB1296" s="6">
        <v>0</v>
      </c>
      <c r="AC1296" s="43">
        <f>VLOOKUP(Tabla1[[#This Row],[PAGO DIA]],DIAS!A:M,12,0)</f>
        <v>46379</v>
      </c>
      <c r="AD12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11283368.08</v>
      </c>
    </row>
    <row r="1297" spans="1:30">
      <c r="A1297" s="3">
        <v>11424</v>
      </c>
      <c r="B1297" s="3" t="s">
        <v>510</v>
      </c>
      <c r="C1297" s="3" t="s">
        <v>1843</v>
      </c>
      <c r="D1297" s="3" t="s">
        <v>1844</v>
      </c>
      <c r="E1297" s="3" t="s">
        <v>1845</v>
      </c>
      <c r="F1297" s="42" t="s">
        <v>562</v>
      </c>
      <c r="G1297" s="3" t="s">
        <v>1161</v>
      </c>
      <c r="H1297" s="7">
        <v>4000000</v>
      </c>
      <c r="I1297" s="41">
        <f>VLOOKUP(Tabla1[[#This Row],[PAGO DIA]],DIAS!A:B,2,0)</f>
        <v>46078</v>
      </c>
      <c r="J1297" s="6">
        <v>4000000</v>
      </c>
      <c r="K1297" s="43">
        <f>VLOOKUP(Tabla1[[#This Row],[PAGO DIA]],DIAS!A:C,3,0)</f>
        <v>46105</v>
      </c>
      <c r="L1297" s="6">
        <v>4000000</v>
      </c>
      <c r="M1297" s="41">
        <f>VLOOKUP(Tabla1[[#This Row],[PAGO DIA]],DIAS!A:D,4,0)</f>
        <v>46140</v>
      </c>
      <c r="N1297" s="6">
        <v>4000000</v>
      </c>
      <c r="O1297" s="43">
        <f>VLOOKUP(Tabla1[[#This Row],[PAGO DIA]],DIAS!A:E,5,0)</f>
        <v>46168</v>
      </c>
      <c r="P1297" s="6">
        <v>4000000</v>
      </c>
      <c r="Q1297" s="43">
        <f>VLOOKUP(Tabla1[[#This Row],[PAGO DIA]],DIAS!A:F,6,0)</f>
        <v>46196</v>
      </c>
      <c r="R1297" s="6">
        <v>4000000</v>
      </c>
      <c r="S1297" s="43">
        <f>VLOOKUP(Tabla1[[#This Row],[PAGO DIA]],DIAS!A:G,7,0)</f>
        <v>46231</v>
      </c>
      <c r="T1297" s="6">
        <v>4000000</v>
      </c>
      <c r="U1297" s="43">
        <f>VLOOKUP(Tabla1[[#This Row],[PAGO DIA]],DIAS!A:H,8,0)</f>
        <v>46259</v>
      </c>
      <c r="V1297" s="6">
        <v>4000000</v>
      </c>
      <c r="W1297" s="43">
        <f>VLOOKUP(Tabla1[[#This Row],[PAGO DIA]],DIAS!A:I,9,0)</f>
        <v>46287</v>
      </c>
      <c r="X1297" s="6">
        <v>4000000</v>
      </c>
      <c r="Y1297" s="43">
        <f>VLOOKUP(Tabla1[[#This Row],[PAGO DIA]],DIAS!A:J,10,0)</f>
        <v>46322</v>
      </c>
      <c r="Z1297" s="6">
        <v>4000000</v>
      </c>
      <c r="AA1297" s="43">
        <f>VLOOKUP(Tabla1[[#This Row],[PAGO DIA]],DIAS!A:K,11,0)</f>
        <v>46350</v>
      </c>
      <c r="AB1297" s="6">
        <v>4000000</v>
      </c>
      <c r="AC1297" s="43">
        <f>VLOOKUP(Tabla1[[#This Row],[PAGO DIA]],DIAS!A:M,12,0)</f>
        <v>46379</v>
      </c>
      <c r="AD12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44000000</v>
      </c>
    </row>
    <row r="1298" spans="1:30">
      <c r="A1298" s="3">
        <v>11427</v>
      </c>
      <c r="B1298" s="3" t="s">
        <v>510</v>
      </c>
      <c r="C1298" s="3" t="s">
        <v>552</v>
      </c>
      <c r="D1298" s="3" t="s">
        <v>1846</v>
      </c>
      <c r="E1298" s="3" t="s">
        <v>1847</v>
      </c>
      <c r="F1298" s="42" t="s">
        <v>562</v>
      </c>
      <c r="G1298" s="3"/>
      <c r="H1298" s="7">
        <v>2600000</v>
      </c>
      <c r="I1298" s="41">
        <f>VLOOKUP(Tabla1[[#This Row],[PAGO DIA]],DIAS!A:B,2,0)</f>
        <v>46078</v>
      </c>
      <c r="J1298" s="6">
        <v>2600000</v>
      </c>
      <c r="K1298" s="43">
        <f>VLOOKUP(Tabla1[[#This Row],[PAGO DIA]],DIAS!A:C,3,0)</f>
        <v>46105</v>
      </c>
      <c r="L1298" s="6">
        <v>2600000</v>
      </c>
      <c r="M1298" s="41">
        <f>VLOOKUP(Tabla1[[#This Row],[PAGO DIA]],DIAS!A:D,4,0)</f>
        <v>46140</v>
      </c>
      <c r="N1298" s="6">
        <v>2600000</v>
      </c>
      <c r="O1298" s="43">
        <f>VLOOKUP(Tabla1[[#This Row],[PAGO DIA]],DIAS!A:E,5,0)</f>
        <v>46168</v>
      </c>
      <c r="P1298" s="6">
        <v>2600000</v>
      </c>
      <c r="Q1298" s="43">
        <f>VLOOKUP(Tabla1[[#This Row],[PAGO DIA]],DIAS!A:F,6,0)</f>
        <v>46196</v>
      </c>
      <c r="R1298" s="6">
        <v>2600000</v>
      </c>
      <c r="S1298" s="43">
        <f>VLOOKUP(Tabla1[[#This Row],[PAGO DIA]],DIAS!A:G,7,0)</f>
        <v>46231</v>
      </c>
      <c r="T1298" s="6">
        <v>2600000</v>
      </c>
      <c r="U1298" s="43">
        <f>VLOOKUP(Tabla1[[#This Row],[PAGO DIA]],DIAS!A:H,8,0)</f>
        <v>46259</v>
      </c>
      <c r="V1298" s="6">
        <v>2600000</v>
      </c>
      <c r="W1298" s="43">
        <f>VLOOKUP(Tabla1[[#This Row],[PAGO DIA]],DIAS!A:I,9,0)</f>
        <v>46287</v>
      </c>
      <c r="X1298" s="6">
        <v>2600000</v>
      </c>
      <c r="Y1298" s="43">
        <f>VLOOKUP(Tabla1[[#This Row],[PAGO DIA]],DIAS!A:J,10,0)</f>
        <v>46322</v>
      </c>
      <c r="Z1298" s="6">
        <v>2600000</v>
      </c>
      <c r="AA1298" s="43">
        <f>VLOOKUP(Tabla1[[#This Row],[PAGO DIA]],DIAS!A:K,11,0)</f>
        <v>46350</v>
      </c>
      <c r="AB1298" s="6">
        <v>2600000</v>
      </c>
      <c r="AC1298" s="43">
        <f>VLOOKUP(Tabla1[[#This Row],[PAGO DIA]],DIAS!A:M,12,0)</f>
        <v>46379</v>
      </c>
      <c r="AD12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28600000</v>
      </c>
    </row>
    <row r="1299" spans="1:30">
      <c r="A1299" s="3">
        <v>11428</v>
      </c>
      <c r="B1299" s="3" t="s">
        <v>510</v>
      </c>
      <c r="C1299" s="3" t="s">
        <v>1140</v>
      </c>
      <c r="D1299" s="3" t="s">
        <v>1848</v>
      </c>
      <c r="E1299" s="3" t="s">
        <v>1849</v>
      </c>
      <c r="F1299" s="42" t="s">
        <v>562</v>
      </c>
      <c r="G1299" s="3" t="s">
        <v>1850</v>
      </c>
      <c r="H1299" s="7">
        <v>1390486.56</v>
      </c>
      <c r="I1299" s="41">
        <f>VLOOKUP(Tabla1[[#This Row],[PAGO DIA]],DIAS!A:B,2,0)</f>
        <v>46078</v>
      </c>
      <c r="J1299" s="6">
        <v>1300000</v>
      </c>
      <c r="K1299" s="43">
        <f>VLOOKUP(Tabla1[[#This Row],[PAGO DIA]],DIAS!A:C,3,0)</f>
        <v>46105</v>
      </c>
      <c r="L1299" s="6">
        <v>1300000</v>
      </c>
      <c r="M1299" s="41">
        <f>VLOOKUP(Tabla1[[#This Row],[PAGO DIA]],DIAS!A:D,4,0)</f>
        <v>46140</v>
      </c>
      <c r="N1299" s="6">
        <v>1300000</v>
      </c>
      <c r="O1299" s="43">
        <f>VLOOKUP(Tabla1[[#This Row],[PAGO DIA]],DIAS!A:E,5,0)</f>
        <v>46168</v>
      </c>
      <c r="P1299" s="6">
        <v>1300000</v>
      </c>
      <c r="Q1299" s="43">
        <f>VLOOKUP(Tabla1[[#This Row],[PAGO DIA]],DIAS!A:F,6,0)</f>
        <v>46196</v>
      </c>
      <c r="R1299" s="6">
        <v>1300000</v>
      </c>
      <c r="S1299" s="43">
        <f>VLOOKUP(Tabla1[[#This Row],[PAGO DIA]],DIAS!A:G,7,0)</f>
        <v>46231</v>
      </c>
      <c r="T1299" s="6">
        <v>1300000</v>
      </c>
      <c r="U1299" s="43">
        <f>VLOOKUP(Tabla1[[#This Row],[PAGO DIA]],DIAS!A:H,8,0)</f>
        <v>46259</v>
      </c>
      <c r="V1299" s="6">
        <v>1300000</v>
      </c>
      <c r="W1299" s="43">
        <f>VLOOKUP(Tabla1[[#This Row],[PAGO DIA]],DIAS!A:I,9,0)</f>
        <v>46287</v>
      </c>
      <c r="X1299" s="6">
        <v>1300000</v>
      </c>
      <c r="Y1299" s="43">
        <f>VLOOKUP(Tabla1[[#This Row],[PAGO DIA]],DIAS!A:J,10,0)</f>
        <v>46322</v>
      </c>
      <c r="Z1299" s="6">
        <v>1300000</v>
      </c>
      <c r="AA1299" s="43">
        <f>VLOOKUP(Tabla1[[#This Row],[PAGO DIA]],DIAS!A:K,11,0)</f>
        <v>46350</v>
      </c>
      <c r="AB1299" s="6">
        <v>1300000</v>
      </c>
      <c r="AC1299" s="43">
        <f>VLOOKUP(Tabla1[[#This Row],[PAGO DIA]],DIAS!A:M,12,0)</f>
        <v>46379</v>
      </c>
      <c r="AD12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14390486.560000001</v>
      </c>
    </row>
    <row r="1300" spans="1:30">
      <c r="A1300" s="3">
        <v>11433</v>
      </c>
      <c r="B1300" s="3" t="s">
        <v>510</v>
      </c>
      <c r="C1300" s="3" t="s">
        <v>1140</v>
      </c>
      <c r="D1300" s="3" t="s">
        <v>1851</v>
      </c>
      <c r="E1300" s="3" t="s">
        <v>1837</v>
      </c>
      <c r="F1300" s="42" t="s">
        <v>562</v>
      </c>
      <c r="G1300" s="3" t="s">
        <v>1852</v>
      </c>
      <c r="H1300" s="7">
        <v>5809000</v>
      </c>
      <c r="I1300" s="41">
        <f>VLOOKUP(Tabla1[[#This Row],[PAGO DIA]],DIAS!A:B,2,0)</f>
        <v>46078</v>
      </c>
      <c r="J1300" s="6">
        <v>0</v>
      </c>
      <c r="K1300" s="43">
        <f>VLOOKUP(Tabla1[[#This Row],[PAGO DIA]],DIAS!A:C,3,0)</f>
        <v>46105</v>
      </c>
      <c r="L1300" s="6">
        <v>0</v>
      </c>
      <c r="M1300" s="41">
        <f>VLOOKUP(Tabla1[[#This Row],[PAGO DIA]],DIAS!A:D,4,0)</f>
        <v>46140</v>
      </c>
      <c r="N1300" s="6">
        <v>0</v>
      </c>
      <c r="O1300" s="43">
        <f>VLOOKUP(Tabla1[[#This Row],[PAGO DIA]],DIAS!A:E,5,0)</f>
        <v>46168</v>
      </c>
      <c r="P1300" s="6">
        <v>0</v>
      </c>
      <c r="Q1300" s="43">
        <f>VLOOKUP(Tabla1[[#This Row],[PAGO DIA]],DIAS!A:F,6,0)</f>
        <v>46196</v>
      </c>
      <c r="R1300" s="6">
        <v>0</v>
      </c>
      <c r="S1300" s="43">
        <f>VLOOKUP(Tabla1[[#This Row],[PAGO DIA]],DIAS!A:G,7,0)</f>
        <v>46231</v>
      </c>
      <c r="T1300" s="6">
        <v>0</v>
      </c>
      <c r="U1300" s="43">
        <f>VLOOKUP(Tabla1[[#This Row],[PAGO DIA]],DIAS!A:H,8,0)</f>
        <v>46259</v>
      </c>
      <c r="V1300" s="6">
        <v>0</v>
      </c>
      <c r="W1300" s="43">
        <f>VLOOKUP(Tabla1[[#This Row],[PAGO DIA]],DIAS!A:I,9,0)</f>
        <v>46287</v>
      </c>
      <c r="X1300" s="6">
        <v>0</v>
      </c>
      <c r="Y1300" s="43">
        <f>VLOOKUP(Tabla1[[#This Row],[PAGO DIA]],DIAS!A:J,10,0)</f>
        <v>46322</v>
      </c>
      <c r="Z1300" s="6">
        <v>0</v>
      </c>
      <c r="AA1300" s="43">
        <f>VLOOKUP(Tabla1[[#This Row],[PAGO DIA]],DIAS!A:K,11,0)</f>
        <v>46350</v>
      </c>
      <c r="AB1300" s="6">
        <v>0</v>
      </c>
      <c r="AC1300" s="43">
        <f>VLOOKUP(Tabla1[[#This Row],[PAGO DIA]],DIAS!A:M,12,0)</f>
        <v>46379</v>
      </c>
      <c r="AD13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5809000</v>
      </c>
    </row>
    <row r="1301" spans="1:30">
      <c r="A1301" s="3">
        <v>11436</v>
      </c>
      <c r="B1301" s="3" t="s">
        <v>510</v>
      </c>
      <c r="C1301" s="3" t="s">
        <v>505</v>
      </c>
      <c r="D1301" s="3" t="s">
        <v>1853</v>
      </c>
      <c r="E1301" s="3" t="s">
        <v>1135</v>
      </c>
      <c r="F1301" s="42" t="s">
        <v>562</v>
      </c>
      <c r="G1301" s="3"/>
      <c r="H1301" s="6">
        <v>6444228</v>
      </c>
      <c r="I1301" s="41">
        <f>VLOOKUP(Tabla1[[#This Row],[PAGO DIA]],DIAS!A:B,2,0)</f>
        <v>46078</v>
      </c>
      <c r="J1301" s="6">
        <v>0</v>
      </c>
      <c r="K1301" s="43">
        <f>VLOOKUP(Tabla1[[#This Row],[PAGO DIA]],DIAS!A:C,3,0)</f>
        <v>46105</v>
      </c>
      <c r="L1301" s="6">
        <v>0</v>
      </c>
      <c r="M1301" s="41">
        <f>VLOOKUP(Tabla1[[#This Row],[PAGO DIA]],DIAS!A:D,4,0)</f>
        <v>46140</v>
      </c>
      <c r="N1301" s="6">
        <v>0</v>
      </c>
      <c r="O1301" s="43">
        <f>VLOOKUP(Tabla1[[#This Row],[PAGO DIA]],DIAS!A:E,5,0)</f>
        <v>46168</v>
      </c>
      <c r="P1301" s="6">
        <v>0</v>
      </c>
      <c r="Q1301" s="43">
        <f>VLOOKUP(Tabla1[[#This Row],[PAGO DIA]],DIAS!A:F,6,0)</f>
        <v>46196</v>
      </c>
      <c r="R1301" s="6">
        <v>0</v>
      </c>
      <c r="S1301" s="43">
        <f>VLOOKUP(Tabla1[[#This Row],[PAGO DIA]],DIAS!A:G,7,0)</f>
        <v>46231</v>
      </c>
      <c r="T1301" s="6">
        <v>0</v>
      </c>
      <c r="U1301" s="43">
        <f>VLOOKUP(Tabla1[[#This Row],[PAGO DIA]],DIAS!A:H,8,0)</f>
        <v>46259</v>
      </c>
      <c r="V1301" s="6">
        <v>0</v>
      </c>
      <c r="W1301" s="43">
        <f>VLOOKUP(Tabla1[[#This Row],[PAGO DIA]],DIAS!A:I,9,0)</f>
        <v>46287</v>
      </c>
      <c r="X1301" s="6">
        <v>0</v>
      </c>
      <c r="Y1301" s="43">
        <f>VLOOKUP(Tabla1[[#This Row],[PAGO DIA]],DIAS!A:J,10,0)</f>
        <v>46322</v>
      </c>
      <c r="Z1301" s="6">
        <v>0</v>
      </c>
      <c r="AA1301" s="43">
        <f>VLOOKUP(Tabla1[[#This Row],[PAGO DIA]],DIAS!A:K,11,0)</f>
        <v>46350</v>
      </c>
      <c r="AB1301" s="6">
        <v>0</v>
      </c>
      <c r="AC1301" s="43">
        <f>VLOOKUP(Tabla1[[#This Row],[PAGO DIA]],DIAS!A:M,12,0)</f>
        <v>46379</v>
      </c>
      <c r="AD13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6444228</v>
      </c>
    </row>
    <row r="1302" spans="1:30">
      <c r="A1302" s="3">
        <v>11538</v>
      </c>
      <c r="B1302" s="3" t="s">
        <v>510</v>
      </c>
      <c r="C1302" s="3" t="s">
        <v>539</v>
      </c>
      <c r="D1302" s="3" t="s">
        <v>1854</v>
      </c>
      <c r="E1302" s="3" t="s">
        <v>1855</v>
      </c>
      <c r="F1302" s="42" t="s">
        <v>562</v>
      </c>
      <c r="G1302" s="3"/>
      <c r="H1302" s="6">
        <v>1000000</v>
      </c>
      <c r="I1302" s="41">
        <f>VLOOKUP(Tabla1[[#This Row],[PAGO DIA]],DIAS!A:B,2,0)</f>
        <v>46078</v>
      </c>
      <c r="J1302" s="6">
        <v>0</v>
      </c>
      <c r="K1302" s="43">
        <f>VLOOKUP(Tabla1[[#This Row],[PAGO DIA]],DIAS!A:C,3,0)</f>
        <v>46105</v>
      </c>
      <c r="L1302" s="6">
        <v>0</v>
      </c>
      <c r="M1302" s="41">
        <f>VLOOKUP(Tabla1[[#This Row],[PAGO DIA]],DIAS!A:D,4,0)</f>
        <v>46140</v>
      </c>
      <c r="N1302" s="6">
        <v>0</v>
      </c>
      <c r="O1302" s="43">
        <f>VLOOKUP(Tabla1[[#This Row],[PAGO DIA]],DIAS!A:E,5,0)</f>
        <v>46168</v>
      </c>
      <c r="P1302" s="6">
        <v>0</v>
      </c>
      <c r="Q1302" s="43">
        <f>VLOOKUP(Tabla1[[#This Row],[PAGO DIA]],DIAS!A:F,6,0)</f>
        <v>46196</v>
      </c>
      <c r="R1302" s="6">
        <v>0</v>
      </c>
      <c r="S1302" s="43">
        <f>VLOOKUP(Tabla1[[#This Row],[PAGO DIA]],DIAS!A:G,7,0)</f>
        <v>46231</v>
      </c>
      <c r="T1302" s="6">
        <v>0</v>
      </c>
      <c r="U1302" s="43">
        <f>VLOOKUP(Tabla1[[#This Row],[PAGO DIA]],DIAS!A:H,8,0)</f>
        <v>46259</v>
      </c>
      <c r="V1302" s="6">
        <v>0</v>
      </c>
      <c r="W1302" s="43">
        <f>VLOOKUP(Tabla1[[#This Row],[PAGO DIA]],DIAS!A:I,9,0)</f>
        <v>46287</v>
      </c>
      <c r="X1302" s="6">
        <v>0</v>
      </c>
      <c r="Y1302" s="43">
        <f>VLOOKUP(Tabla1[[#This Row],[PAGO DIA]],DIAS!A:J,10,0)</f>
        <v>46322</v>
      </c>
      <c r="Z1302" s="6">
        <v>0</v>
      </c>
      <c r="AA1302" s="43">
        <f>VLOOKUP(Tabla1[[#This Row],[PAGO DIA]],DIAS!A:K,11,0)</f>
        <v>46350</v>
      </c>
      <c r="AB1302" s="6">
        <v>0</v>
      </c>
      <c r="AC1302" s="43">
        <f>VLOOKUP(Tabla1[[#This Row],[PAGO DIA]],DIAS!A:M,12,0)</f>
        <v>46379</v>
      </c>
      <c r="AD13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1000000</v>
      </c>
    </row>
    <row r="1303" spans="1:30">
      <c r="A1303" s="3">
        <v>12293</v>
      </c>
      <c r="B1303" s="3" t="s">
        <v>510</v>
      </c>
      <c r="C1303" s="3"/>
      <c r="D1303" s="3" t="s">
        <v>1854</v>
      </c>
      <c r="E1303" s="3" t="s">
        <v>1856</v>
      </c>
      <c r="F1303" s="42" t="s">
        <v>562</v>
      </c>
      <c r="G1303" s="3"/>
      <c r="H1303" s="7">
        <v>75860688</v>
      </c>
      <c r="I1303" s="41">
        <f>VLOOKUP(Tabla1[[#This Row],[PAGO DIA]],DIAS!A:B,2,0)</f>
        <v>46078</v>
      </c>
      <c r="J1303" s="6">
        <v>54000000</v>
      </c>
      <c r="K1303" s="43">
        <f>VLOOKUP(Tabla1[[#This Row],[PAGO DIA]],DIAS!A:C,3,0)</f>
        <v>46105</v>
      </c>
      <c r="L1303" s="6">
        <v>54000000</v>
      </c>
      <c r="M1303" s="41">
        <f>VLOOKUP(Tabla1[[#This Row],[PAGO DIA]],DIAS!A:D,4,0)</f>
        <v>46140</v>
      </c>
      <c r="N1303" s="6">
        <v>54000000</v>
      </c>
      <c r="O1303" s="43">
        <f>VLOOKUP(Tabla1[[#This Row],[PAGO DIA]],DIAS!A:E,5,0)</f>
        <v>46168</v>
      </c>
      <c r="P1303" s="6">
        <v>0</v>
      </c>
      <c r="Q1303" s="43">
        <f>VLOOKUP(Tabla1[[#This Row],[PAGO DIA]],DIAS!A:F,6,0)</f>
        <v>46196</v>
      </c>
      <c r="R1303" s="6">
        <v>0</v>
      </c>
      <c r="S1303" s="43">
        <f>VLOOKUP(Tabla1[[#This Row],[PAGO DIA]],DIAS!A:G,7,0)</f>
        <v>46231</v>
      </c>
      <c r="T1303" s="6">
        <v>0</v>
      </c>
      <c r="U1303" s="43">
        <f>VLOOKUP(Tabla1[[#This Row],[PAGO DIA]],DIAS!A:H,8,0)</f>
        <v>46259</v>
      </c>
      <c r="V1303" s="6">
        <v>0</v>
      </c>
      <c r="W1303" s="43">
        <f>VLOOKUP(Tabla1[[#This Row],[PAGO DIA]],DIAS!A:I,9,0)</f>
        <v>46287</v>
      </c>
      <c r="X1303" s="6">
        <v>0</v>
      </c>
      <c r="Y1303" s="43">
        <f>VLOOKUP(Tabla1[[#This Row],[PAGO DIA]],DIAS!A:J,10,0)</f>
        <v>46322</v>
      </c>
      <c r="Z1303" s="6">
        <v>0</v>
      </c>
      <c r="AA1303" s="43">
        <f>VLOOKUP(Tabla1[[#This Row],[PAGO DIA]],DIAS!A:K,11,0)</f>
        <v>46350</v>
      </c>
      <c r="AB1303" s="6">
        <v>0</v>
      </c>
      <c r="AC1303" s="43">
        <f>VLOOKUP(Tabla1[[#This Row],[PAGO DIA]],DIAS!A:M,12,0)</f>
        <v>46379</v>
      </c>
      <c r="AD13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237860688</v>
      </c>
    </row>
    <row r="1304" spans="1:30">
      <c r="A1304" s="3">
        <v>12340</v>
      </c>
      <c r="B1304" s="3" t="s">
        <v>510</v>
      </c>
      <c r="C1304" s="3"/>
      <c r="D1304" s="3" t="s">
        <v>1854</v>
      </c>
      <c r="E1304" s="3" t="s">
        <v>1857</v>
      </c>
      <c r="F1304" s="42" t="s">
        <v>562</v>
      </c>
      <c r="G1304" s="3"/>
      <c r="H1304" s="7">
        <v>104060000</v>
      </c>
      <c r="I1304" s="41">
        <f>VLOOKUP(Tabla1[[#This Row],[PAGO DIA]],DIAS!A:B,2,0)</f>
        <v>46078</v>
      </c>
      <c r="J1304" s="6">
        <v>50000000</v>
      </c>
      <c r="K1304" s="43">
        <f>VLOOKUP(Tabla1[[#This Row],[PAGO DIA]],DIAS!A:C,3,0)</f>
        <v>46105</v>
      </c>
      <c r="L1304" s="6">
        <v>60000000</v>
      </c>
      <c r="M1304" s="41">
        <f>VLOOKUP(Tabla1[[#This Row],[PAGO DIA]],DIAS!A:D,4,0)</f>
        <v>46140</v>
      </c>
      <c r="N1304" s="6">
        <v>62000000</v>
      </c>
      <c r="O1304" s="43">
        <f>VLOOKUP(Tabla1[[#This Row],[PAGO DIA]],DIAS!A:E,5,0)</f>
        <v>46168</v>
      </c>
      <c r="P1304" s="6">
        <v>0</v>
      </c>
      <c r="Q1304" s="43">
        <f>VLOOKUP(Tabla1[[#This Row],[PAGO DIA]],DIAS!A:F,6,0)</f>
        <v>46196</v>
      </c>
      <c r="R1304" s="6">
        <v>0</v>
      </c>
      <c r="S1304" s="43">
        <f>VLOOKUP(Tabla1[[#This Row],[PAGO DIA]],DIAS!A:G,7,0)</f>
        <v>46231</v>
      </c>
      <c r="T1304" s="6">
        <v>0</v>
      </c>
      <c r="U1304" s="43">
        <f>VLOOKUP(Tabla1[[#This Row],[PAGO DIA]],DIAS!A:H,8,0)</f>
        <v>46259</v>
      </c>
      <c r="V1304" s="6">
        <v>0</v>
      </c>
      <c r="W1304" s="43">
        <f>VLOOKUP(Tabla1[[#This Row],[PAGO DIA]],DIAS!A:I,9,0)</f>
        <v>46287</v>
      </c>
      <c r="X1304" s="6">
        <v>0</v>
      </c>
      <c r="Y1304" s="43">
        <f>VLOOKUP(Tabla1[[#This Row],[PAGO DIA]],DIAS!A:J,10,0)</f>
        <v>46322</v>
      </c>
      <c r="Z1304" s="6">
        <v>0</v>
      </c>
      <c r="AA1304" s="43">
        <f>VLOOKUP(Tabla1[[#This Row],[PAGO DIA]],DIAS!A:K,11,0)</f>
        <v>46350</v>
      </c>
      <c r="AB1304" s="6">
        <v>0</v>
      </c>
      <c r="AC1304" s="43">
        <f>VLOOKUP(Tabla1[[#This Row],[PAGO DIA]],DIAS!A:M,12,0)</f>
        <v>46379</v>
      </c>
      <c r="AD13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276060000</v>
      </c>
    </row>
    <row r="1305" spans="1:30">
      <c r="A1305" s="3">
        <v>12853</v>
      </c>
      <c r="B1305" s="3" t="s">
        <v>510</v>
      </c>
      <c r="C1305" s="3"/>
      <c r="D1305" s="3" t="s">
        <v>1854</v>
      </c>
      <c r="E1305" s="3" t="s">
        <v>746</v>
      </c>
      <c r="F1305" s="42" t="s">
        <v>562</v>
      </c>
      <c r="G1305" s="3"/>
      <c r="H1305" s="6">
        <v>104691565</v>
      </c>
      <c r="I1305" s="41">
        <f>VLOOKUP(Tabla1[[#This Row],[PAGO DIA]],DIAS!A:B,2,0)</f>
        <v>46078</v>
      </c>
      <c r="J1305" s="6">
        <v>0</v>
      </c>
      <c r="K1305" s="43">
        <f>VLOOKUP(Tabla1[[#This Row],[PAGO DIA]],DIAS!A:C,3,0)</f>
        <v>46105</v>
      </c>
      <c r="L1305" s="6">
        <v>0</v>
      </c>
      <c r="M1305" s="41">
        <f>VLOOKUP(Tabla1[[#This Row],[PAGO DIA]],DIAS!A:D,4,0)</f>
        <v>46140</v>
      </c>
      <c r="N1305" s="6">
        <v>0</v>
      </c>
      <c r="O1305" s="43">
        <f>VLOOKUP(Tabla1[[#This Row],[PAGO DIA]],DIAS!A:E,5,0)</f>
        <v>46168</v>
      </c>
      <c r="P1305" s="6">
        <v>0</v>
      </c>
      <c r="Q1305" s="43">
        <f>VLOOKUP(Tabla1[[#This Row],[PAGO DIA]],DIAS!A:F,6,0)</f>
        <v>46196</v>
      </c>
      <c r="R1305" s="6">
        <v>0</v>
      </c>
      <c r="S1305" s="43">
        <f>VLOOKUP(Tabla1[[#This Row],[PAGO DIA]],DIAS!A:G,7,0)</f>
        <v>46231</v>
      </c>
      <c r="T1305" s="6">
        <v>0</v>
      </c>
      <c r="U1305" s="43">
        <f>VLOOKUP(Tabla1[[#This Row],[PAGO DIA]],DIAS!A:H,8,0)</f>
        <v>46259</v>
      </c>
      <c r="V1305" s="6">
        <v>0</v>
      </c>
      <c r="W1305" s="43">
        <f>VLOOKUP(Tabla1[[#This Row],[PAGO DIA]],DIAS!A:I,9,0)</f>
        <v>46287</v>
      </c>
      <c r="X1305" s="6">
        <v>0</v>
      </c>
      <c r="Y1305" s="43">
        <f>VLOOKUP(Tabla1[[#This Row],[PAGO DIA]],DIAS!A:J,10,0)</f>
        <v>46322</v>
      </c>
      <c r="Z1305" s="6">
        <v>0</v>
      </c>
      <c r="AA1305" s="43">
        <f>VLOOKUP(Tabla1[[#This Row],[PAGO DIA]],DIAS!A:K,11,0)</f>
        <v>46350</v>
      </c>
      <c r="AB1305" s="6">
        <v>0</v>
      </c>
      <c r="AC1305" s="43">
        <f>VLOOKUP(Tabla1[[#This Row],[PAGO DIA]],DIAS!A:M,12,0)</f>
        <v>46379</v>
      </c>
      <c r="AD13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104691565</v>
      </c>
    </row>
    <row r="1306" spans="1:30">
      <c r="A1306" s="3">
        <v>12854</v>
      </c>
      <c r="B1306" s="3" t="s">
        <v>510</v>
      </c>
      <c r="C1306" s="3"/>
      <c r="D1306" s="3" t="s">
        <v>1854</v>
      </c>
      <c r="E1306" s="3" t="s">
        <v>976</v>
      </c>
      <c r="F1306" s="42" t="s">
        <v>562</v>
      </c>
      <c r="G1306" s="3"/>
      <c r="H1306" s="7">
        <v>50780000</v>
      </c>
      <c r="I1306" s="41">
        <f>VLOOKUP(Tabla1[[#This Row],[PAGO DIA]],DIAS!A:B,2,0)</f>
        <v>46078</v>
      </c>
      <c r="J1306" s="6">
        <v>22000000</v>
      </c>
      <c r="K1306" s="43">
        <f>VLOOKUP(Tabla1[[#This Row],[PAGO DIA]],DIAS!A:C,3,0)</f>
        <v>46105</v>
      </c>
      <c r="L1306" s="6">
        <v>0</v>
      </c>
      <c r="M1306" s="41">
        <f>VLOOKUP(Tabla1[[#This Row],[PAGO DIA]],DIAS!A:D,4,0)</f>
        <v>46140</v>
      </c>
      <c r="N1306" s="6">
        <v>0</v>
      </c>
      <c r="O1306" s="43">
        <f>VLOOKUP(Tabla1[[#This Row],[PAGO DIA]],DIAS!A:E,5,0)</f>
        <v>46168</v>
      </c>
      <c r="P1306" s="6">
        <v>0</v>
      </c>
      <c r="Q1306" s="43">
        <f>VLOOKUP(Tabla1[[#This Row],[PAGO DIA]],DIAS!A:F,6,0)</f>
        <v>46196</v>
      </c>
      <c r="R1306" s="6">
        <v>0</v>
      </c>
      <c r="S1306" s="43">
        <f>VLOOKUP(Tabla1[[#This Row],[PAGO DIA]],DIAS!A:G,7,0)</f>
        <v>46231</v>
      </c>
      <c r="T1306" s="6">
        <v>0</v>
      </c>
      <c r="U1306" s="43">
        <f>VLOOKUP(Tabla1[[#This Row],[PAGO DIA]],DIAS!A:H,8,0)</f>
        <v>46259</v>
      </c>
      <c r="V1306" s="6">
        <v>0</v>
      </c>
      <c r="W1306" s="43">
        <f>VLOOKUP(Tabla1[[#This Row],[PAGO DIA]],DIAS!A:I,9,0)</f>
        <v>46287</v>
      </c>
      <c r="X1306" s="6">
        <v>0</v>
      </c>
      <c r="Y1306" s="43">
        <f>VLOOKUP(Tabla1[[#This Row],[PAGO DIA]],DIAS!A:J,10,0)</f>
        <v>46322</v>
      </c>
      <c r="Z1306" s="6">
        <v>0</v>
      </c>
      <c r="AA1306" s="43">
        <f>VLOOKUP(Tabla1[[#This Row],[PAGO DIA]],DIAS!A:K,11,0)</f>
        <v>46350</v>
      </c>
      <c r="AB1306" s="6">
        <v>0</v>
      </c>
      <c r="AC1306" s="43">
        <f>VLOOKUP(Tabla1[[#This Row],[PAGO DIA]],DIAS!A:M,12,0)</f>
        <v>46379</v>
      </c>
      <c r="AD13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72780000</v>
      </c>
    </row>
    <row r="1307" spans="1:30">
      <c r="A1307" s="3">
        <v>12855</v>
      </c>
      <c r="B1307" s="3" t="s">
        <v>510</v>
      </c>
      <c r="C1307" s="3"/>
      <c r="D1307" s="3" t="s">
        <v>1854</v>
      </c>
      <c r="E1307" s="3" t="s">
        <v>1858</v>
      </c>
      <c r="F1307" s="42" t="s">
        <v>562</v>
      </c>
      <c r="G1307" s="3"/>
      <c r="H1307" s="6">
        <v>54000000</v>
      </c>
      <c r="I1307" s="41">
        <f>VLOOKUP(Tabla1[[#This Row],[PAGO DIA]],DIAS!A:B,2,0)</f>
        <v>46078</v>
      </c>
      <c r="J1307" s="6">
        <v>35000000</v>
      </c>
      <c r="K1307" s="43">
        <f>VLOOKUP(Tabla1[[#This Row],[PAGO DIA]],DIAS!A:C,3,0)</f>
        <v>46105</v>
      </c>
      <c r="L1307" s="6">
        <v>35000000</v>
      </c>
      <c r="M1307" s="41">
        <f>VLOOKUP(Tabla1[[#This Row],[PAGO DIA]],DIAS!A:D,4,0)</f>
        <v>46140</v>
      </c>
      <c r="N1307" s="6">
        <v>35000000</v>
      </c>
      <c r="O1307" s="43">
        <f>VLOOKUP(Tabla1[[#This Row],[PAGO DIA]],DIAS!A:E,5,0)</f>
        <v>46168</v>
      </c>
      <c r="P1307" s="6">
        <v>0</v>
      </c>
      <c r="Q1307" s="43">
        <f>VLOOKUP(Tabla1[[#This Row],[PAGO DIA]],DIAS!A:F,6,0)</f>
        <v>46196</v>
      </c>
      <c r="R1307" s="6">
        <v>0</v>
      </c>
      <c r="S1307" s="43">
        <f>VLOOKUP(Tabla1[[#This Row],[PAGO DIA]],DIAS!A:G,7,0)</f>
        <v>46231</v>
      </c>
      <c r="T1307" s="6">
        <v>0</v>
      </c>
      <c r="U1307" s="43">
        <f>VLOOKUP(Tabla1[[#This Row],[PAGO DIA]],DIAS!A:H,8,0)</f>
        <v>46259</v>
      </c>
      <c r="V1307" s="6">
        <v>0</v>
      </c>
      <c r="W1307" s="43">
        <f>VLOOKUP(Tabla1[[#This Row],[PAGO DIA]],DIAS!A:I,9,0)</f>
        <v>46287</v>
      </c>
      <c r="X1307" s="6">
        <v>0</v>
      </c>
      <c r="Y1307" s="43">
        <f>VLOOKUP(Tabla1[[#This Row],[PAGO DIA]],DIAS!A:J,10,0)</f>
        <v>46322</v>
      </c>
      <c r="Z1307" s="6">
        <v>0</v>
      </c>
      <c r="AA1307" s="43">
        <f>VLOOKUP(Tabla1[[#This Row],[PAGO DIA]],DIAS!A:K,11,0)</f>
        <v>46350</v>
      </c>
      <c r="AB1307" s="6">
        <v>0</v>
      </c>
      <c r="AC1307" s="43">
        <f>VLOOKUP(Tabla1[[#This Row],[PAGO DIA]],DIAS!A:M,12,0)</f>
        <v>46379</v>
      </c>
      <c r="AD13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159000000</v>
      </c>
    </row>
    <row r="1308" spans="1:30">
      <c r="A1308" s="3">
        <v>12857</v>
      </c>
      <c r="B1308" s="3" t="s">
        <v>510</v>
      </c>
      <c r="C1308" s="3"/>
      <c r="D1308" s="3" t="s">
        <v>1854</v>
      </c>
      <c r="E1308" s="3" t="s">
        <v>1859</v>
      </c>
      <c r="F1308" s="42" t="s">
        <v>562</v>
      </c>
      <c r="G1308" s="3"/>
      <c r="H1308" s="7">
        <v>19200000</v>
      </c>
      <c r="I1308" s="41">
        <f>VLOOKUP(Tabla1[[#This Row],[PAGO DIA]],DIAS!A:B,2,0)</f>
        <v>46078</v>
      </c>
      <c r="J1308" s="6">
        <v>16000000</v>
      </c>
      <c r="K1308" s="43">
        <f>VLOOKUP(Tabla1[[#This Row],[PAGO DIA]],DIAS!A:C,3,0)</f>
        <v>46105</v>
      </c>
      <c r="L1308" s="6">
        <v>0</v>
      </c>
      <c r="M1308" s="41">
        <f>VLOOKUP(Tabla1[[#This Row],[PAGO DIA]],DIAS!A:D,4,0)</f>
        <v>46140</v>
      </c>
      <c r="N1308" s="6">
        <v>0</v>
      </c>
      <c r="O1308" s="43">
        <f>VLOOKUP(Tabla1[[#This Row],[PAGO DIA]],DIAS!A:E,5,0)</f>
        <v>46168</v>
      </c>
      <c r="P1308" s="6">
        <v>0</v>
      </c>
      <c r="Q1308" s="43">
        <f>VLOOKUP(Tabla1[[#This Row],[PAGO DIA]],DIAS!A:F,6,0)</f>
        <v>46196</v>
      </c>
      <c r="R1308" s="6">
        <v>0</v>
      </c>
      <c r="S1308" s="43">
        <f>VLOOKUP(Tabla1[[#This Row],[PAGO DIA]],DIAS!A:G,7,0)</f>
        <v>46231</v>
      </c>
      <c r="T1308" s="6">
        <v>0</v>
      </c>
      <c r="U1308" s="43">
        <f>VLOOKUP(Tabla1[[#This Row],[PAGO DIA]],DIAS!A:H,8,0)</f>
        <v>46259</v>
      </c>
      <c r="V1308" s="6">
        <v>0</v>
      </c>
      <c r="W1308" s="43">
        <f>VLOOKUP(Tabla1[[#This Row],[PAGO DIA]],DIAS!A:I,9,0)</f>
        <v>46287</v>
      </c>
      <c r="X1308" s="6">
        <v>0</v>
      </c>
      <c r="Y1308" s="43">
        <f>VLOOKUP(Tabla1[[#This Row],[PAGO DIA]],DIAS!A:J,10,0)</f>
        <v>46322</v>
      </c>
      <c r="Z1308" s="6">
        <v>0</v>
      </c>
      <c r="AA1308" s="43">
        <f>VLOOKUP(Tabla1[[#This Row],[PAGO DIA]],DIAS!A:K,11,0)</f>
        <v>46350</v>
      </c>
      <c r="AB1308" s="6">
        <v>0</v>
      </c>
      <c r="AC1308" s="43">
        <f>VLOOKUP(Tabla1[[#This Row],[PAGO DIA]],DIAS!A:M,12,0)</f>
        <v>46379</v>
      </c>
      <c r="AD13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35200000</v>
      </c>
    </row>
    <row r="1309" spans="1:30">
      <c r="A1309" s="3">
        <v>12860</v>
      </c>
      <c r="B1309" s="3" t="s">
        <v>510</v>
      </c>
      <c r="C1309" s="3"/>
      <c r="D1309" s="3" t="s">
        <v>1854</v>
      </c>
      <c r="E1309" s="3" t="s">
        <v>1860</v>
      </c>
      <c r="F1309" s="42" t="s">
        <v>562</v>
      </c>
      <c r="G1309" s="3"/>
      <c r="H1309" s="6">
        <v>25000000</v>
      </c>
      <c r="I1309" s="41">
        <f>VLOOKUP(Tabla1[[#This Row],[PAGO DIA]],DIAS!A:B,2,0)</f>
        <v>46078</v>
      </c>
      <c r="J1309" s="6">
        <v>0</v>
      </c>
      <c r="K1309" s="43">
        <f>VLOOKUP(Tabla1[[#This Row],[PAGO DIA]],DIAS!A:C,3,0)</f>
        <v>46105</v>
      </c>
      <c r="L1309" s="6">
        <v>0</v>
      </c>
      <c r="M1309" s="41">
        <f>VLOOKUP(Tabla1[[#This Row],[PAGO DIA]],DIAS!A:D,4,0)</f>
        <v>46140</v>
      </c>
      <c r="N1309" s="6">
        <v>0</v>
      </c>
      <c r="O1309" s="43">
        <f>VLOOKUP(Tabla1[[#This Row],[PAGO DIA]],DIAS!A:E,5,0)</f>
        <v>46168</v>
      </c>
      <c r="P1309" s="6">
        <v>0</v>
      </c>
      <c r="Q1309" s="43">
        <f>VLOOKUP(Tabla1[[#This Row],[PAGO DIA]],DIAS!A:F,6,0)</f>
        <v>46196</v>
      </c>
      <c r="R1309" s="6">
        <v>0</v>
      </c>
      <c r="S1309" s="43">
        <f>VLOOKUP(Tabla1[[#This Row],[PAGO DIA]],DIAS!A:G,7,0)</f>
        <v>46231</v>
      </c>
      <c r="T1309" s="6">
        <v>0</v>
      </c>
      <c r="U1309" s="43">
        <f>VLOOKUP(Tabla1[[#This Row],[PAGO DIA]],DIAS!A:H,8,0)</f>
        <v>46259</v>
      </c>
      <c r="V1309" s="6">
        <v>0</v>
      </c>
      <c r="W1309" s="43">
        <f>VLOOKUP(Tabla1[[#This Row],[PAGO DIA]],DIAS!A:I,9,0)</f>
        <v>46287</v>
      </c>
      <c r="X1309" s="6">
        <v>0</v>
      </c>
      <c r="Y1309" s="43">
        <f>VLOOKUP(Tabla1[[#This Row],[PAGO DIA]],DIAS!A:J,10,0)</f>
        <v>46322</v>
      </c>
      <c r="Z1309" s="6">
        <v>0</v>
      </c>
      <c r="AA1309" s="43">
        <f>VLOOKUP(Tabla1[[#This Row],[PAGO DIA]],DIAS!A:K,11,0)</f>
        <v>46350</v>
      </c>
      <c r="AB1309" s="6">
        <v>0</v>
      </c>
      <c r="AC1309" s="43">
        <f>VLOOKUP(Tabla1[[#This Row],[PAGO DIA]],DIAS!A:M,12,0)</f>
        <v>46379</v>
      </c>
      <c r="AD13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25000000</v>
      </c>
    </row>
    <row r="1310" spans="1:30">
      <c r="A1310" s="3">
        <v>11094</v>
      </c>
      <c r="B1310" s="3" t="s">
        <v>510</v>
      </c>
      <c r="C1310" s="3"/>
      <c r="D1310" s="3" t="s">
        <v>1861</v>
      </c>
      <c r="E1310" s="3" t="s">
        <v>1861</v>
      </c>
      <c r="F1310" s="42" t="s">
        <v>562</v>
      </c>
      <c r="G1310" s="3"/>
      <c r="H1310" s="6">
        <v>0</v>
      </c>
      <c r="I1310" s="41">
        <f>VLOOKUP(Tabla1[[#This Row],[PAGO DIA]],DIAS!A:B,2,0)</f>
        <v>46078</v>
      </c>
      <c r="J1310" s="6">
        <v>0</v>
      </c>
      <c r="K1310" s="43">
        <f>VLOOKUP(Tabla1[[#This Row],[PAGO DIA]],DIAS!A:C,3,0)</f>
        <v>46105</v>
      </c>
      <c r="L1310" s="6">
        <v>0</v>
      </c>
      <c r="M1310" s="41">
        <f>VLOOKUP(Tabla1[[#This Row],[PAGO DIA]],DIAS!A:D,4,0)</f>
        <v>46140</v>
      </c>
      <c r="N1310" s="6">
        <v>0</v>
      </c>
      <c r="O1310" s="43">
        <f>VLOOKUP(Tabla1[[#This Row],[PAGO DIA]],DIAS!A:E,5,0)</f>
        <v>46168</v>
      </c>
      <c r="P1310" s="6">
        <v>0</v>
      </c>
      <c r="Q1310" s="43">
        <f>VLOOKUP(Tabla1[[#This Row],[PAGO DIA]],DIAS!A:F,6,0)</f>
        <v>46196</v>
      </c>
      <c r="R1310" s="6">
        <v>0</v>
      </c>
      <c r="S1310" s="43">
        <f>VLOOKUP(Tabla1[[#This Row],[PAGO DIA]],DIAS!A:G,7,0)</f>
        <v>46231</v>
      </c>
      <c r="T1310" s="6">
        <v>0</v>
      </c>
      <c r="U1310" s="43">
        <f>VLOOKUP(Tabla1[[#This Row],[PAGO DIA]],DIAS!A:H,8,0)</f>
        <v>46259</v>
      </c>
      <c r="V1310" s="6">
        <v>0</v>
      </c>
      <c r="W1310" s="43">
        <f>VLOOKUP(Tabla1[[#This Row],[PAGO DIA]],DIAS!A:I,9,0)</f>
        <v>46287</v>
      </c>
      <c r="X1310" s="6">
        <v>0</v>
      </c>
      <c r="Y1310" s="43">
        <f>VLOOKUP(Tabla1[[#This Row],[PAGO DIA]],DIAS!A:J,10,0)</f>
        <v>46322</v>
      </c>
      <c r="Z1310" s="6">
        <v>0</v>
      </c>
      <c r="AA1310" s="43">
        <f>VLOOKUP(Tabla1[[#This Row],[PAGO DIA]],DIAS!A:K,11,0)</f>
        <v>46350</v>
      </c>
      <c r="AB1310" s="6">
        <v>0</v>
      </c>
      <c r="AC1310" s="43">
        <f>VLOOKUP(Tabla1[[#This Row],[PAGO DIA]],DIAS!A:M,12,0)</f>
        <v>46379</v>
      </c>
      <c r="AD13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1" spans="1:30">
      <c r="A1311" s="3">
        <v>11434</v>
      </c>
      <c r="B1311" s="3" t="s">
        <v>510</v>
      </c>
      <c r="C1311" s="3" t="s">
        <v>540</v>
      </c>
      <c r="D1311" s="3" t="s">
        <v>540</v>
      </c>
      <c r="E1311" s="3" t="s">
        <v>1389</v>
      </c>
      <c r="F1311" s="42" t="s">
        <v>562</v>
      </c>
      <c r="G1311" s="3" t="s">
        <v>1862</v>
      </c>
      <c r="H1311" s="6">
        <v>0</v>
      </c>
      <c r="I1311" s="41">
        <f>VLOOKUP(Tabla1[[#This Row],[PAGO DIA]],DIAS!A:B,2,0)</f>
        <v>46078</v>
      </c>
      <c r="J1311" s="6">
        <v>0</v>
      </c>
      <c r="K1311" s="43">
        <f>VLOOKUP(Tabla1[[#This Row],[PAGO DIA]],DIAS!A:C,3,0)</f>
        <v>46105</v>
      </c>
      <c r="L1311" s="6">
        <v>0</v>
      </c>
      <c r="M1311" s="41">
        <f>VLOOKUP(Tabla1[[#This Row],[PAGO DIA]],DIAS!A:D,4,0)</f>
        <v>46140</v>
      </c>
      <c r="N1311" s="6">
        <v>0</v>
      </c>
      <c r="O1311" s="43">
        <f>VLOOKUP(Tabla1[[#This Row],[PAGO DIA]],DIAS!A:E,5,0)</f>
        <v>46168</v>
      </c>
      <c r="P1311" s="6">
        <v>0</v>
      </c>
      <c r="Q1311" s="43">
        <f>VLOOKUP(Tabla1[[#This Row],[PAGO DIA]],DIAS!A:F,6,0)</f>
        <v>46196</v>
      </c>
      <c r="R1311" s="6">
        <v>0</v>
      </c>
      <c r="S1311" s="43">
        <f>VLOOKUP(Tabla1[[#This Row],[PAGO DIA]],DIAS!A:G,7,0)</f>
        <v>46231</v>
      </c>
      <c r="T1311" s="6">
        <v>0</v>
      </c>
      <c r="U1311" s="43">
        <f>VLOOKUP(Tabla1[[#This Row],[PAGO DIA]],DIAS!A:H,8,0)</f>
        <v>46259</v>
      </c>
      <c r="V1311" s="6">
        <v>0</v>
      </c>
      <c r="W1311" s="43">
        <f>VLOOKUP(Tabla1[[#This Row],[PAGO DIA]],DIAS!A:I,9,0)</f>
        <v>46287</v>
      </c>
      <c r="X1311" s="6">
        <v>0</v>
      </c>
      <c r="Y1311" s="43">
        <f>VLOOKUP(Tabla1[[#This Row],[PAGO DIA]],DIAS!A:J,10,0)</f>
        <v>46322</v>
      </c>
      <c r="Z1311" s="6">
        <v>0</v>
      </c>
      <c r="AA1311" s="43">
        <f>VLOOKUP(Tabla1[[#This Row],[PAGO DIA]],DIAS!A:K,11,0)</f>
        <v>46350</v>
      </c>
      <c r="AB1311" s="6">
        <v>0</v>
      </c>
      <c r="AC1311" s="43">
        <f>VLOOKUP(Tabla1[[#This Row],[PAGO DIA]],DIAS!A:M,12,0)</f>
        <v>46379</v>
      </c>
      <c r="AD13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2" spans="1:30">
      <c r="A1312" s="3">
        <v>11988</v>
      </c>
      <c r="B1312" s="3" t="s">
        <v>510</v>
      </c>
      <c r="C1312" s="3"/>
      <c r="D1312" s="3" t="s">
        <v>1863</v>
      </c>
      <c r="E1312" s="3" t="s">
        <v>1389</v>
      </c>
      <c r="F1312" s="42" t="s">
        <v>562</v>
      </c>
      <c r="G1312" s="3"/>
      <c r="H1312" s="6">
        <v>0</v>
      </c>
      <c r="I1312" s="41">
        <f>VLOOKUP(Tabla1[[#This Row],[PAGO DIA]],DIAS!A:B,2,0)</f>
        <v>46078</v>
      </c>
      <c r="J1312" s="6">
        <v>0</v>
      </c>
      <c r="K1312" s="43">
        <f>VLOOKUP(Tabla1[[#This Row],[PAGO DIA]],DIAS!A:C,3,0)</f>
        <v>46105</v>
      </c>
      <c r="L1312" s="6">
        <v>0</v>
      </c>
      <c r="M1312" s="41">
        <f>VLOOKUP(Tabla1[[#This Row],[PAGO DIA]],DIAS!A:D,4,0)</f>
        <v>46140</v>
      </c>
      <c r="N1312" s="6">
        <v>0</v>
      </c>
      <c r="O1312" s="43">
        <f>VLOOKUP(Tabla1[[#This Row],[PAGO DIA]],DIAS!A:E,5,0)</f>
        <v>46168</v>
      </c>
      <c r="P1312" s="6">
        <v>0</v>
      </c>
      <c r="Q1312" s="43">
        <f>VLOOKUP(Tabla1[[#This Row],[PAGO DIA]],DIAS!A:F,6,0)</f>
        <v>46196</v>
      </c>
      <c r="R1312" s="6">
        <v>0</v>
      </c>
      <c r="S1312" s="43">
        <f>VLOOKUP(Tabla1[[#This Row],[PAGO DIA]],DIAS!A:G,7,0)</f>
        <v>46231</v>
      </c>
      <c r="T1312" s="6">
        <v>0</v>
      </c>
      <c r="U1312" s="43">
        <f>VLOOKUP(Tabla1[[#This Row],[PAGO DIA]],DIAS!A:H,8,0)</f>
        <v>46259</v>
      </c>
      <c r="V1312" s="6">
        <v>0</v>
      </c>
      <c r="W1312" s="43">
        <f>VLOOKUP(Tabla1[[#This Row],[PAGO DIA]],DIAS!A:I,9,0)</f>
        <v>46287</v>
      </c>
      <c r="X1312" s="6">
        <v>0</v>
      </c>
      <c r="Y1312" s="43">
        <f>VLOOKUP(Tabla1[[#This Row],[PAGO DIA]],DIAS!A:J,10,0)</f>
        <v>46322</v>
      </c>
      <c r="Z1312" s="6">
        <v>0</v>
      </c>
      <c r="AA1312" s="43">
        <f>VLOOKUP(Tabla1[[#This Row],[PAGO DIA]],DIAS!A:K,11,0)</f>
        <v>46350</v>
      </c>
      <c r="AB1312" s="6">
        <v>0</v>
      </c>
      <c r="AC1312" s="43">
        <f>VLOOKUP(Tabla1[[#This Row],[PAGO DIA]],DIAS!A:M,12,0)</f>
        <v>46379</v>
      </c>
      <c r="AD13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3" spans="1:30">
      <c r="A1313" s="3">
        <v>11374</v>
      </c>
      <c r="B1313" s="3" t="s">
        <v>510</v>
      </c>
      <c r="C1313" s="3" t="s">
        <v>505</v>
      </c>
      <c r="D1313" s="3" t="s">
        <v>1864</v>
      </c>
      <c r="E1313" s="3" t="s">
        <v>1865</v>
      </c>
      <c r="F1313" s="42" t="s">
        <v>562</v>
      </c>
      <c r="G1313" s="3"/>
      <c r="H1313" s="6">
        <v>0</v>
      </c>
      <c r="I1313" s="41">
        <f>VLOOKUP(Tabla1[[#This Row],[PAGO DIA]],DIAS!A:B,2,0)</f>
        <v>46078</v>
      </c>
      <c r="J1313" s="6">
        <v>0</v>
      </c>
      <c r="K1313" s="43">
        <f>VLOOKUP(Tabla1[[#This Row],[PAGO DIA]],DIAS!A:C,3,0)</f>
        <v>46105</v>
      </c>
      <c r="L1313" s="6">
        <v>0</v>
      </c>
      <c r="M1313" s="41">
        <f>VLOOKUP(Tabla1[[#This Row],[PAGO DIA]],DIAS!A:D,4,0)</f>
        <v>46140</v>
      </c>
      <c r="N1313" s="6">
        <v>0</v>
      </c>
      <c r="O1313" s="43">
        <f>VLOOKUP(Tabla1[[#This Row],[PAGO DIA]],DIAS!A:E,5,0)</f>
        <v>46168</v>
      </c>
      <c r="P1313" s="6">
        <v>0</v>
      </c>
      <c r="Q1313" s="43">
        <f>VLOOKUP(Tabla1[[#This Row],[PAGO DIA]],DIAS!A:F,6,0)</f>
        <v>46196</v>
      </c>
      <c r="R1313" s="6">
        <v>0</v>
      </c>
      <c r="S1313" s="43">
        <f>VLOOKUP(Tabla1[[#This Row],[PAGO DIA]],DIAS!A:G,7,0)</f>
        <v>46231</v>
      </c>
      <c r="T1313" s="6">
        <v>0</v>
      </c>
      <c r="U1313" s="43">
        <f>VLOOKUP(Tabla1[[#This Row],[PAGO DIA]],DIAS!A:H,8,0)</f>
        <v>46259</v>
      </c>
      <c r="V1313" s="6">
        <v>0</v>
      </c>
      <c r="W1313" s="43">
        <f>VLOOKUP(Tabla1[[#This Row],[PAGO DIA]],DIAS!A:I,9,0)</f>
        <v>46287</v>
      </c>
      <c r="X1313" s="6">
        <v>0</v>
      </c>
      <c r="Y1313" s="43">
        <f>VLOOKUP(Tabla1[[#This Row],[PAGO DIA]],DIAS!A:J,10,0)</f>
        <v>46322</v>
      </c>
      <c r="Z1313" s="6">
        <v>0</v>
      </c>
      <c r="AA1313" s="43">
        <f>VLOOKUP(Tabla1[[#This Row],[PAGO DIA]],DIAS!A:K,11,0)</f>
        <v>46350</v>
      </c>
      <c r="AB1313" s="6">
        <v>0</v>
      </c>
      <c r="AC1313" s="43">
        <f>VLOOKUP(Tabla1[[#This Row],[PAGO DIA]],DIAS!A:M,12,0)</f>
        <v>46379</v>
      </c>
      <c r="AD13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4" spans="1:30">
      <c r="A1314" s="3">
        <v>12502</v>
      </c>
      <c r="B1314" s="3" t="s">
        <v>510</v>
      </c>
      <c r="C1314" s="3" t="s">
        <v>505</v>
      </c>
      <c r="D1314" s="3" t="s">
        <v>1864</v>
      </c>
      <c r="E1314" s="3" t="s">
        <v>1865</v>
      </c>
      <c r="F1314" s="42" t="s">
        <v>562</v>
      </c>
      <c r="G1314" s="3"/>
      <c r="H1314" s="6">
        <v>0</v>
      </c>
      <c r="I1314" s="41">
        <f>VLOOKUP(Tabla1[[#This Row],[PAGO DIA]],DIAS!A:B,2,0)</f>
        <v>46078</v>
      </c>
      <c r="J1314" s="6">
        <v>0</v>
      </c>
      <c r="K1314" s="43">
        <f>VLOOKUP(Tabla1[[#This Row],[PAGO DIA]],DIAS!A:C,3,0)</f>
        <v>46105</v>
      </c>
      <c r="L1314" s="6">
        <v>0</v>
      </c>
      <c r="M1314" s="41">
        <f>VLOOKUP(Tabla1[[#This Row],[PAGO DIA]],DIAS!A:D,4,0)</f>
        <v>46140</v>
      </c>
      <c r="N1314" s="6">
        <v>0</v>
      </c>
      <c r="O1314" s="43">
        <f>VLOOKUP(Tabla1[[#This Row],[PAGO DIA]],DIAS!A:E,5,0)</f>
        <v>46168</v>
      </c>
      <c r="P1314" s="6">
        <v>0</v>
      </c>
      <c r="Q1314" s="43">
        <f>VLOOKUP(Tabla1[[#This Row],[PAGO DIA]],DIAS!A:F,6,0)</f>
        <v>46196</v>
      </c>
      <c r="R1314" s="6">
        <v>0</v>
      </c>
      <c r="S1314" s="43">
        <f>VLOOKUP(Tabla1[[#This Row],[PAGO DIA]],DIAS!A:G,7,0)</f>
        <v>46231</v>
      </c>
      <c r="T1314" s="6">
        <v>0</v>
      </c>
      <c r="U1314" s="43">
        <f>VLOOKUP(Tabla1[[#This Row],[PAGO DIA]],DIAS!A:H,8,0)</f>
        <v>46259</v>
      </c>
      <c r="V1314" s="6">
        <v>0</v>
      </c>
      <c r="W1314" s="43">
        <f>VLOOKUP(Tabla1[[#This Row],[PAGO DIA]],DIAS!A:I,9,0)</f>
        <v>46287</v>
      </c>
      <c r="X1314" s="6">
        <v>0</v>
      </c>
      <c r="Y1314" s="43">
        <f>VLOOKUP(Tabla1[[#This Row],[PAGO DIA]],DIAS!A:J,10,0)</f>
        <v>46322</v>
      </c>
      <c r="Z1314" s="6">
        <v>0</v>
      </c>
      <c r="AA1314" s="43">
        <f>VLOOKUP(Tabla1[[#This Row],[PAGO DIA]],DIAS!A:K,11,0)</f>
        <v>46350</v>
      </c>
      <c r="AB1314" s="6">
        <v>0</v>
      </c>
      <c r="AC1314" s="43">
        <f>VLOOKUP(Tabla1[[#This Row],[PAGO DIA]],DIAS!A:M,12,0)</f>
        <v>46379</v>
      </c>
      <c r="AD13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5" spans="1:30">
      <c r="A1315" s="3">
        <v>10968</v>
      </c>
      <c r="B1315" s="3" t="s">
        <v>510</v>
      </c>
      <c r="C1315" s="3" t="s">
        <v>1805</v>
      </c>
      <c r="D1315" s="3" t="s">
        <v>1813</v>
      </c>
      <c r="E1315" s="3" t="s">
        <v>1814</v>
      </c>
      <c r="F1315" s="42" t="s">
        <v>562</v>
      </c>
      <c r="G1315" s="3"/>
      <c r="H1315" s="6">
        <v>0</v>
      </c>
      <c r="I1315" s="41">
        <f>VLOOKUP(Tabla1[[#This Row],[PAGO DIA]],DIAS!A:B,2,0)</f>
        <v>46078</v>
      </c>
      <c r="J1315" s="6">
        <v>0</v>
      </c>
      <c r="K1315" s="43">
        <f>VLOOKUP(Tabla1[[#This Row],[PAGO DIA]],DIAS!A:C,3,0)</f>
        <v>46105</v>
      </c>
      <c r="L1315" s="6">
        <v>0</v>
      </c>
      <c r="M1315" s="41">
        <f>VLOOKUP(Tabla1[[#This Row],[PAGO DIA]],DIAS!A:D,4,0)</f>
        <v>46140</v>
      </c>
      <c r="N1315" s="6">
        <v>0</v>
      </c>
      <c r="O1315" s="43">
        <f>VLOOKUP(Tabla1[[#This Row],[PAGO DIA]],DIAS!A:E,5,0)</f>
        <v>46168</v>
      </c>
      <c r="P1315" s="6">
        <v>0</v>
      </c>
      <c r="Q1315" s="43">
        <f>VLOOKUP(Tabla1[[#This Row],[PAGO DIA]],DIAS!A:F,6,0)</f>
        <v>46196</v>
      </c>
      <c r="R1315" s="6">
        <v>0</v>
      </c>
      <c r="S1315" s="43">
        <f>VLOOKUP(Tabla1[[#This Row],[PAGO DIA]],DIAS!A:G,7,0)</f>
        <v>46231</v>
      </c>
      <c r="T1315" s="6">
        <v>0</v>
      </c>
      <c r="U1315" s="43">
        <f>VLOOKUP(Tabla1[[#This Row],[PAGO DIA]],DIAS!A:H,8,0)</f>
        <v>46259</v>
      </c>
      <c r="V1315" s="6">
        <v>0</v>
      </c>
      <c r="W1315" s="43">
        <f>VLOOKUP(Tabla1[[#This Row],[PAGO DIA]],DIAS!A:I,9,0)</f>
        <v>46287</v>
      </c>
      <c r="X1315" s="6">
        <v>0</v>
      </c>
      <c r="Y1315" s="43">
        <f>VLOOKUP(Tabla1[[#This Row],[PAGO DIA]],DIAS!A:J,10,0)</f>
        <v>46322</v>
      </c>
      <c r="Z1315" s="6">
        <v>0</v>
      </c>
      <c r="AA1315" s="43">
        <f>VLOOKUP(Tabla1[[#This Row],[PAGO DIA]],DIAS!A:K,11,0)</f>
        <v>46350</v>
      </c>
      <c r="AB1315" s="6">
        <v>0</v>
      </c>
      <c r="AC1315" s="43">
        <f>VLOOKUP(Tabla1[[#This Row],[PAGO DIA]],DIAS!A:M,12,0)</f>
        <v>46379</v>
      </c>
      <c r="AD13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6" spans="1:30">
      <c r="A1316" s="3">
        <v>11113</v>
      </c>
      <c r="B1316" s="3" t="s">
        <v>510</v>
      </c>
      <c r="C1316" s="3" t="s">
        <v>1147</v>
      </c>
      <c r="D1316" s="3" t="s">
        <v>1765</v>
      </c>
      <c r="E1316" s="3" t="s">
        <v>1766</v>
      </c>
      <c r="F1316" s="42" t="s">
        <v>562</v>
      </c>
      <c r="G1316" s="3" t="s">
        <v>1866</v>
      </c>
      <c r="H1316" s="6">
        <v>0</v>
      </c>
      <c r="I1316" s="41">
        <f>VLOOKUP(Tabla1[[#This Row],[PAGO DIA]],DIAS!A:B,2,0)</f>
        <v>46078</v>
      </c>
      <c r="J1316" s="6">
        <v>0</v>
      </c>
      <c r="K1316" s="43">
        <f>VLOOKUP(Tabla1[[#This Row],[PAGO DIA]],DIAS!A:C,3,0)</f>
        <v>46105</v>
      </c>
      <c r="L1316" s="6">
        <v>0</v>
      </c>
      <c r="M1316" s="41">
        <f>VLOOKUP(Tabla1[[#This Row],[PAGO DIA]],DIAS!A:D,4,0)</f>
        <v>46140</v>
      </c>
      <c r="N1316" s="6">
        <v>0</v>
      </c>
      <c r="O1316" s="43">
        <f>VLOOKUP(Tabla1[[#This Row],[PAGO DIA]],DIAS!A:E,5,0)</f>
        <v>46168</v>
      </c>
      <c r="P1316" s="6">
        <v>0</v>
      </c>
      <c r="Q1316" s="43">
        <f>VLOOKUP(Tabla1[[#This Row],[PAGO DIA]],DIAS!A:F,6,0)</f>
        <v>46196</v>
      </c>
      <c r="R1316" s="6">
        <v>0</v>
      </c>
      <c r="S1316" s="43">
        <f>VLOOKUP(Tabla1[[#This Row],[PAGO DIA]],DIAS!A:G,7,0)</f>
        <v>46231</v>
      </c>
      <c r="T1316" s="6">
        <v>0</v>
      </c>
      <c r="U1316" s="43">
        <f>VLOOKUP(Tabla1[[#This Row],[PAGO DIA]],DIAS!A:H,8,0)</f>
        <v>46259</v>
      </c>
      <c r="V1316" s="6">
        <v>0</v>
      </c>
      <c r="W1316" s="43">
        <f>VLOOKUP(Tabla1[[#This Row],[PAGO DIA]],DIAS!A:I,9,0)</f>
        <v>46287</v>
      </c>
      <c r="X1316" s="6">
        <v>0</v>
      </c>
      <c r="Y1316" s="43">
        <f>VLOOKUP(Tabla1[[#This Row],[PAGO DIA]],DIAS!A:J,10,0)</f>
        <v>46322</v>
      </c>
      <c r="Z1316" s="6">
        <v>0</v>
      </c>
      <c r="AA1316" s="43">
        <f>VLOOKUP(Tabla1[[#This Row],[PAGO DIA]],DIAS!A:K,11,0)</f>
        <v>46350</v>
      </c>
      <c r="AB1316" s="6">
        <v>0</v>
      </c>
      <c r="AC1316" s="43">
        <f>VLOOKUP(Tabla1[[#This Row],[PAGO DIA]],DIAS!A:M,12,0)</f>
        <v>46379</v>
      </c>
      <c r="AD13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7" spans="1:30">
      <c r="A1317" s="3">
        <v>11989</v>
      </c>
      <c r="B1317" s="3" t="s">
        <v>510</v>
      </c>
      <c r="C1317" s="3"/>
      <c r="D1317" s="3" t="s">
        <v>1863</v>
      </c>
      <c r="E1317" s="3" t="s">
        <v>1867</v>
      </c>
      <c r="F1317" s="42" t="s">
        <v>562</v>
      </c>
      <c r="G1317" s="3"/>
      <c r="H1317" s="6">
        <v>0</v>
      </c>
      <c r="I1317" s="41">
        <f>VLOOKUP(Tabla1[[#This Row],[PAGO DIA]],DIAS!A:B,2,0)</f>
        <v>46078</v>
      </c>
      <c r="J1317" s="6">
        <v>0</v>
      </c>
      <c r="K1317" s="43">
        <f>VLOOKUP(Tabla1[[#This Row],[PAGO DIA]],DIAS!A:C,3,0)</f>
        <v>46105</v>
      </c>
      <c r="L1317" s="6">
        <v>0</v>
      </c>
      <c r="M1317" s="41">
        <f>VLOOKUP(Tabla1[[#This Row],[PAGO DIA]],DIAS!A:D,4,0)</f>
        <v>46140</v>
      </c>
      <c r="N1317" s="6">
        <v>0</v>
      </c>
      <c r="O1317" s="43">
        <f>VLOOKUP(Tabla1[[#This Row],[PAGO DIA]],DIAS!A:E,5,0)</f>
        <v>46168</v>
      </c>
      <c r="P1317" s="6">
        <v>0</v>
      </c>
      <c r="Q1317" s="43">
        <f>VLOOKUP(Tabla1[[#This Row],[PAGO DIA]],DIAS!A:F,6,0)</f>
        <v>46196</v>
      </c>
      <c r="R1317" s="6">
        <v>0</v>
      </c>
      <c r="S1317" s="43">
        <f>VLOOKUP(Tabla1[[#This Row],[PAGO DIA]],DIAS!A:G,7,0)</f>
        <v>46231</v>
      </c>
      <c r="T1317" s="6">
        <v>0</v>
      </c>
      <c r="U1317" s="43">
        <f>VLOOKUP(Tabla1[[#This Row],[PAGO DIA]],DIAS!A:H,8,0)</f>
        <v>46259</v>
      </c>
      <c r="V1317" s="6">
        <v>0</v>
      </c>
      <c r="W1317" s="43">
        <f>VLOOKUP(Tabla1[[#This Row],[PAGO DIA]],DIAS!A:I,9,0)</f>
        <v>46287</v>
      </c>
      <c r="X1317" s="6">
        <v>0</v>
      </c>
      <c r="Y1317" s="43">
        <f>VLOOKUP(Tabla1[[#This Row],[PAGO DIA]],DIAS!A:J,10,0)</f>
        <v>46322</v>
      </c>
      <c r="Z1317" s="6">
        <v>0</v>
      </c>
      <c r="AA1317" s="43">
        <f>VLOOKUP(Tabla1[[#This Row],[PAGO DIA]],DIAS!A:K,11,0)</f>
        <v>46350</v>
      </c>
      <c r="AB1317" s="6">
        <v>0</v>
      </c>
      <c r="AC1317" s="43">
        <f>VLOOKUP(Tabla1[[#This Row],[PAGO DIA]],DIAS!A:M,12,0)</f>
        <v>46379</v>
      </c>
      <c r="AD13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8" spans="1:30">
      <c r="A1318" s="3">
        <v>11990</v>
      </c>
      <c r="B1318" s="3" t="s">
        <v>510</v>
      </c>
      <c r="C1318" s="3" t="s">
        <v>576</v>
      </c>
      <c r="D1318" s="3" t="s">
        <v>1868</v>
      </c>
      <c r="E1318" s="3" t="s">
        <v>1869</v>
      </c>
      <c r="F1318" s="42" t="s">
        <v>562</v>
      </c>
      <c r="G1318" s="3" t="s">
        <v>1870</v>
      </c>
      <c r="H1318" s="6">
        <v>0</v>
      </c>
      <c r="I1318" s="41">
        <f>VLOOKUP(Tabla1[[#This Row],[PAGO DIA]],DIAS!A:B,2,0)</f>
        <v>46078</v>
      </c>
      <c r="J1318" s="6">
        <v>0</v>
      </c>
      <c r="K1318" s="43">
        <f>VLOOKUP(Tabla1[[#This Row],[PAGO DIA]],DIAS!A:C,3,0)</f>
        <v>46105</v>
      </c>
      <c r="L1318" s="6">
        <v>0</v>
      </c>
      <c r="M1318" s="41">
        <f>VLOOKUP(Tabla1[[#This Row],[PAGO DIA]],DIAS!A:D,4,0)</f>
        <v>46140</v>
      </c>
      <c r="N1318" s="6">
        <v>0</v>
      </c>
      <c r="O1318" s="43">
        <f>VLOOKUP(Tabla1[[#This Row],[PAGO DIA]],DIAS!A:E,5,0)</f>
        <v>46168</v>
      </c>
      <c r="P1318" s="6">
        <v>0</v>
      </c>
      <c r="Q1318" s="43">
        <f>VLOOKUP(Tabla1[[#This Row],[PAGO DIA]],DIAS!A:F,6,0)</f>
        <v>46196</v>
      </c>
      <c r="R1318" s="6">
        <v>0</v>
      </c>
      <c r="S1318" s="43">
        <f>VLOOKUP(Tabla1[[#This Row],[PAGO DIA]],DIAS!A:G,7,0)</f>
        <v>46231</v>
      </c>
      <c r="T1318" s="6">
        <v>0</v>
      </c>
      <c r="U1318" s="43">
        <f>VLOOKUP(Tabla1[[#This Row],[PAGO DIA]],DIAS!A:H,8,0)</f>
        <v>46259</v>
      </c>
      <c r="V1318" s="6">
        <v>0</v>
      </c>
      <c r="W1318" s="43">
        <f>VLOOKUP(Tabla1[[#This Row],[PAGO DIA]],DIAS!A:I,9,0)</f>
        <v>46287</v>
      </c>
      <c r="X1318" s="6">
        <v>0</v>
      </c>
      <c r="Y1318" s="43">
        <f>VLOOKUP(Tabla1[[#This Row],[PAGO DIA]],DIAS!A:J,10,0)</f>
        <v>46322</v>
      </c>
      <c r="Z1318" s="6">
        <v>0</v>
      </c>
      <c r="AA1318" s="43">
        <f>VLOOKUP(Tabla1[[#This Row],[PAGO DIA]],DIAS!A:K,11,0)</f>
        <v>46350</v>
      </c>
      <c r="AB1318" s="6">
        <v>0</v>
      </c>
      <c r="AC1318" s="43">
        <f>VLOOKUP(Tabla1[[#This Row],[PAGO DIA]],DIAS!A:M,12,0)</f>
        <v>46379</v>
      </c>
      <c r="AD13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19" spans="1:30">
      <c r="A1319" s="3">
        <v>11991</v>
      </c>
      <c r="B1319" s="3" t="s">
        <v>510</v>
      </c>
      <c r="C1319" s="3"/>
      <c r="D1319" s="3" t="s">
        <v>1863</v>
      </c>
      <c r="E1319" s="3" t="s">
        <v>1869</v>
      </c>
      <c r="F1319" s="42" t="s">
        <v>562</v>
      </c>
      <c r="G1319" s="3"/>
      <c r="H1319" s="6">
        <v>0</v>
      </c>
      <c r="I1319" s="41">
        <f>VLOOKUP(Tabla1[[#This Row],[PAGO DIA]],DIAS!A:B,2,0)</f>
        <v>46078</v>
      </c>
      <c r="J1319" s="6">
        <v>0</v>
      </c>
      <c r="K1319" s="43">
        <f>VLOOKUP(Tabla1[[#This Row],[PAGO DIA]],DIAS!A:C,3,0)</f>
        <v>46105</v>
      </c>
      <c r="L1319" s="6">
        <v>0</v>
      </c>
      <c r="M1319" s="41">
        <f>VLOOKUP(Tabla1[[#This Row],[PAGO DIA]],DIAS!A:D,4,0)</f>
        <v>46140</v>
      </c>
      <c r="N1319" s="6">
        <v>0</v>
      </c>
      <c r="O1319" s="43">
        <f>VLOOKUP(Tabla1[[#This Row],[PAGO DIA]],DIAS!A:E,5,0)</f>
        <v>46168</v>
      </c>
      <c r="P1319" s="6">
        <v>0</v>
      </c>
      <c r="Q1319" s="43">
        <f>VLOOKUP(Tabla1[[#This Row],[PAGO DIA]],DIAS!A:F,6,0)</f>
        <v>46196</v>
      </c>
      <c r="R1319" s="6">
        <v>0</v>
      </c>
      <c r="S1319" s="43">
        <f>VLOOKUP(Tabla1[[#This Row],[PAGO DIA]],DIAS!A:G,7,0)</f>
        <v>46231</v>
      </c>
      <c r="T1319" s="6">
        <v>0</v>
      </c>
      <c r="U1319" s="43">
        <f>VLOOKUP(Tabla1[[#This Row],[PAGO DIA]],DIAS!A:H,8,0)</f>
        <v>46259</v>
      </c>
      <c r="V1319" s="6">
        <v>0</v>
      </c>
      <c r="W1319" s="43">
        <f>VLOOKUP(Tabla1[[#This Row],[PAGO DIA]],DIAS!A:I,9,0)</f>
        <v>46287</v>
      </c>
      <c r="X1319" s="6">
        <v>0</v>
      </c>
      <c r="Y1319" s="43">
        <f>VLOOKUP(Tabla1[[#This Row],[PAGO DIA]],DIAS!A:J,10,0)</f>
        <v>46322</v>
      </c>
      <c r="Z1319" s="6">
        <v>0</v>
      </c>
      <c r="AA1319" s="43">
        <f>VLOOKUP(Tabla1[[#This Row],[PAGO DIA]],DIAS!A:K,11,0)</f>
        <v>46350</v>
      </c>
      <c r="AB1319" s="6">
        <v>0</v>
      </c>
      <c r="AC1319" s="43">
        <f>VLOOKUP(Tabla1[[#This Row],[PAGO DIA]],DIAS!A:M,12,0)</f>
        <v>46379</v>
      </c>
      <c r="AD13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0" spans="1:30">
      <c r="A1320" s="3">
        <v>11132</v>
      </c>
      <c r="B1320" s="3" t="s">
        <v>510</v>
      </c>
      <c r="C1320" s="3" t="s">
        <v>576</v>
      </c>
      <c r="D1320" s="3" t="s">
        <v>723</v>
      </c>
      <c r="E1320" s="3" t="s">
        <v>723</v>
      </c>
      <c r="F1320" s="42" t="s">
        <v>562</v>
      </c>
      <c r="G1320" s="3"/>
      <c r="H1320" s="6">
        <v>0</v>
      </c>
      <c r="I1320" s="41">
        <f>VLOOKUP(Tabla1[[#This Row],[PAGO DIA]],DIAS!A:B,2,0)</f>
        <v>46078</v>
      </c>
      <c r="J1320" s="6">
        <v>0</v>
      </c>
      <c r="K1320" s="43">
        <f>VLOOKUP(Tabla1[[#This Row],[PAGO DIA]],DIAS!A:C,3,0)</f>
        <v>46105</v>
      </c>
      <c r="L1320" s="6">
        <v>0</v>
      </c>
      <c r="M1320" s="41">
        <f>VLOOKUP(Tabla1[[#This Row],[PAGO DIA]],DIAS!A:D,4,0)</f>
        <v>46140</v>
      </c>
      <c r="N1320" s="6">
        <v>0</v>
      </c>
      <c r="O1320" s="43">
        <f>VLOOKUP(Tabla1[[#This Row],[PAGO DIA]],DIAS!A:E,5,0)</f>
        <v>46168</v>
      </c>
      <c r="P1320" s="6">
        <v>0</v>
      </c>
      <c r="Q1320" s="43">
        <f>VLOOKUP(Tabla1[[#This Row],[PAGO DIA]],DIAS!A:F,6,0)</f>
        <v>46196</v>
      </c>
      <c r="R1320" s="6">
        <v>0</v>
      </c>
      <c r="S1320" s="43">
        <f>VLOOKUP(Tabla1[[#This Row],[PAGO DIA]],DIAS!A:G,7,0)</f>
        <v>46231</v>
      </c>
      <c r="T1320" s="6">
        <v>0</v>
      </c>
      <c r="U1320" s="43">
        <f>VLOOKUP(Tabla1[[#This Row],[PAGO DIA]],DIAS!A:H,8,0)</f>
        <v>46259</v>
      </c>
      <c r="V1320" s="6">
        <v>0</v>
      </c>
      <c r="W1320" s="43">
        <f>VLOOKUP(Tabla1[[#This Row],[PAGO DIA]],DIAS!A:I,9,0)</f>
        <v>46287</v>
      </c>
      <c r="X1320" s="6">
        <v>0</v>
      </c>
      <c r="Y1320" s="43">
        <f>VLOOKUP(Tabla1[[#This Row],[PAGO DIA]],DIAS!A:J,10,0)</f>
        <v>46322</v>
      </c>
      <c r="Z1320" s="6">
        <v>0</v>
      </c>
      <c r="AA1320" s="43">
        <f>VLOOKUP(Tabla1[[#This Row],[PAGO DIA]],DIAS!A:K,11,0)</f>
        <v>46350</v>
      </c>
      <c r="AB1320" s="6">
        <v>0</v>
      </c>
      <c r="AC1320" s="43">
        <f>VLOOKUP(Tabla1[[#This Row],[PAGO DIA]],DIAS!A:M,12,0)</f>
        <v>46379</v>
      </c>
      <c r="AD13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1" spans="1:30">
      <c r="A1321" s="3">
        <v>11470</v>
      </c>
      <c r="B1321" s="3" t="s">
        <v>510</v>
      </c>
      <c r="C1321" s="3" t="s">
        <v>576</v>
      </c>
      <c r="D1321" s="3" t="s">
        <v>722</v>
      </c>
      <c r="E1321" s="3" t="s">
        <v>723</v>
      </c>
      <c r="F1321" s="42" t="s">
        <v>562</v>
      </c>
      <c r="G1321" s="3" t="s">
        <v>1871</v>
      </c>
      <c r="H1321" s="6">
        <v>0</v>
      </c>
      <c r="I1321" s="41">
        <f>VLOOKUP(Tabla1[[#This Row],[PAGO DIA]],DIAS!A:B,2,0)</f>
        <v>46078</v>
      </c>
      <c r="J1321" s="6">
        <v>0</v>
      </c>
      <c r="K1321" s="43">
        <f>VLOOKUP(Tabla1[[#This Row],[PAGO DIA]],DIAS!A:C,3,0)</f>
        <v>46105</v>
      </c>
      <c r="L1321" s="6">
        <v>0</v>
      </c>
      <c r="M1321" s="41">
        <f>VLOOKUP(Tabla1[[#This Row],[PAGO DIA]],DIAS!A:D,4,0)</f>
        <v>46140</v>
      </c>
      <c r="N1321" s="6">
        <v>0</v>
      </c>
      <c r="O1321" s="43">
        <f>VLOOKUP(Tabla1[[#This Row],[PAGO DIA]],DIAS!A:E,5,0)</f>
        <v>46168</v>
      </c>
      <c r="P1321" s="6">
        <v>0</v>
      </c>
      <c r="Q1321" s="43">
        <f>VLOOKUP(Tabla1[[#This Row],[PAGO DIA]],DIAS!A:F,6,0)</f>
        <v>46196</v>
      </c>
      <c r="R1321" s="6">
        <v>0</v>
      </c>
      <c r="S1321" s="43">
        <f>VLOOKUP(Tabla1[[#This Row],[PAGO DIA]],DIAS!A:G,7,0)</f>
        <v>46231</v>
      </c>
      <c r="T1321" s="6">
        <v>0</v>
      </c>
      <c r="U1321" s="43">
        <f>VLOOKUP(Tabla1[[#This Row],[PAGO DIA]],DIAS!A:H,8,0)</f>
        <v>46259</v>
      </c>
      <c r="V1321" s="6">
        <v>0</v>
      </c>
      <c r="W1321" s="43">
        <f>VLOOKUP(Tabla1[[#This Row],[PAGO DIA]],DIAS!A:I,9,0)</f>
        <v>46287</v>
      </c>
      <c r="X1321" s="6">
        <v>0</v>
      </c>
      <c r="Y1321" s="43">
        <f>VLOOKUP(Tabla1[[#This Row],[PAGO DIA]],DIAS!A:J,10,0)</f>
        <v>46322</v>
      </c>
      <c r="Z1321" s="6">
        <v>0</v>
      </c>
      <c r="AA1321" s="43">
        <f>VLOOKUP(Tabla1[[#This Row],[PAGO DIA]],DIAS!A:K,11,0)</f>
        <v>46350</v>
      </c>
      <c r="AB1321" s="6">
        <v>0</v>
      </c>
      <c r="AC1321" s="43">
        <f>VLOOKUP(Tabla1[[#This Row],[PAGO DIA]],DIAS!A:M,12,0)</f>
        <v>46379</v>
      </c>
      <c r="AD13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2" spans="1:30">
      <c r="A1322" s="3">
        <v>11471</v>
      </c>
      <c r="B1322" s="3" t="s">
        <v>510</v>
      </c>
      <c r="C1322" s="3" t="s">
        <v>576</v>
      </c>
      <c r="D1322" s="3" t="s">
        <v>722</v>
      </c>
      <c r="E1322" s="3" t="s">
        <v>723</v>
      </c>
      <c r="F1322" s="42" t="s">
        <v>562</v>
      </c>
      <c r="G1322" s="3" t="s">
        <v>1872</v>
      </c>
      <c r="H1322" s="6">
        <v>0</v>
      </c>
      <c r="I1322" s="41">
        <f>VLOOKUP(Tabla1[[#This Row],[PAGO DIA]],DIAS!A:B,2,0)</f>
        <v>46078</v>
      </c>
      <c r="J1322" s="6">
        <v>0</v>
      </c>
      <c r="K1322" s="43">
        <f>VLOOKUP(Tabla1[[#This Row],[PAGO DIA]],DIAS!A:C,3,0)</f>
        <v>46105</v>
      </c>
      <c r="L1322" s="6">
        <v>0</v>
      </c>
      <c r="M1322" s="41">
        <f>VLOOKUP(Tabla1[[#This Row],[PAGO DIA]],DIAS!A:D,4,0)</f>
        <v>46140</v>
      </c>
      <c r="N1322" s="6">
        <v>0</v>
      </c>
      <c r="O1322" s="43">
        <f>VLOOKUP(Tabla1[[#This Row],[PAGO DIA]],DIAS!A:E,5,0)</f>
        <v>46168</v>
      </c>
      <c r="P1322" s="6">
        <v>0</v>
      </c>
      <c r="Q1322" s="43">
        <f>VLOOKUP(Tabla1[[#This Row],[PAGO DIA]],DIAS!A:F,6,0)</f>
        <v>46196</v>
      </c>
      <c r="R1322" s="6">
        <v>0</v>
      </c>
      <c r="S1322" s="43">
        <f>VLOOKUP(Tabla1[[#This Row],[PAGO DIA]],DIAS!A:G,7,0)</f>
        <v>46231</v>
      </c>
      <c r="T1322" s="6">
        <v>0</v>
      </c>
      <c r="U1322" s="43">
        <f>VLOOKUP(Tabla1[[#This Row],[PAGO DIA]],DIAS!A:H,8,0)</f>
        <v>46259</v>
      </c>
      <c r="V1322" s="6">
        <v>0</v>
      </c>
      <c r="W1322" s="43">
        <f>VLOOKUP(Tabla1[[#This Row],[PAGO DIA]],DIAS!A:I,9,0)</f>
        <v>46287</v>
      </c>
      <c r="X1322" s="6">
        <v>0</v>
      </c>
      <c r="Y1322" s="43">
        <f>VLOOKUP(Tabla1[[#This Row],[PAGO DIA]],DIAS!A:J,10,0)</f>
        <v>46322</v>
      </c>
      <c r="Z1322" s="6">
        <v>0</v>
      </c>
      <c r="AA1322" s="43">
        <f>VLOOKUP(Tabla1[[#This Row],[PAGO DIA]],DIAS!A:K,11,0)</f>
        <v>46350</v>
      </c>
      <c r="AB1322" s="6">
        <v>0</v>
      </c>
      <c r="AC1322" s="43">
        <f>VLOOKUP(Tabla1[[#This Row],[PAGO DIA]],DIAS!A:M,12,0)</f>
        <v>46379</v>
      </c>
      <c r="AD13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3" spans="1:30">
      <c r="A1323" s="3">
        <v>11472</v>
      </c>
      <c r="B1323" s="3" t="s">
        <v>510</v>
      </c>
      <c r="C1323" s="3" t="s">
        <v>576</v>
      </c>
      <c r="D1323" s="3" t="s">
        <v>722</v>
      </c>
      <c r="E1323" s="3" t="s">
        <v>723</v>
      </c>
      <c r="F1323" s="42" t="s">
        <v>562</v>
      </c>
      <c r="G1323" s="3" t="s">
        <v>1873</v>
      </c>
      <c r="H1323" s="6">
        <v>0</v>
      </c>
      <c r="I1323" s="41">
        <f>VLOOKUP(Tabla1[[#This Row],[PAGO DIA]],DIAS!A:B,2,0)</f>
        <v>46078</v>
      </c>
      <c r="J1323" s="6">
        <v>0</v>
      </c>
      <c r="K1323" s="43">
        <f>VLOOKUP(Tabla1[[#This Row],[PAGO DIA]],DIAS!A:C,3,0)</f>
        <v>46105</v>
      </c>
      <c r="L1323" s="6">
        <v>0</v>
      </c>
      <c r="M1323" s="41">
        <f>VLOOKUP(Tabla1[[#This Row],[PAGO DIA]],DIAS!A:D,4,0)</f>
        <v>46140</v>
      </c>
      <c r="N1323" s="6">
        <v>0</v>
      </c>
      <c r="O1323" s="43">
        <f>VLOOKUP(Tabla1[[#This Row],[PAGO DIA]],DIAS!A:E,5,0)</f>
        <v>46168</v>
      </c>
      <c r="P1323" s="6">
        <v>0</v>
      </c>
      <c r="Q1323" s="43">
        <f>VLOOKUP(Tabla1[[#This Row],[PAGO DIA]],DIAS!A:F,6,0)</f>
        <v>46196</v>
      </c>
      <c r="R1323" s="6">
        <v>0</v>
      </c>
      <c r="S1323" s="43">
        <f>VLOOKUP(Tabla1[[#This Row],[PAGO DIA]],DIAS!A:G,7,0)</f>
        <v>46231</v>
      </c>
      <c r="T1323" s="6">
        <v>0</v>
      </c>
      <c r="U1323" s="43">
        <f>VLOOKUP(Tabla1[[#This Row],[PAGO DIA]],DIAS!A:H,8,0)</f>
        <v>46259</v>
      </c>
      <c r="V1323" s="6">
        <v>0</v>
      </c>
      <c r="W1323" s="43">
        <f>VLOOKUP(Tabla1[[#This Row],[PAGO DIA]],DIAS!A:I,9,0)</f>
        <v>46287</v>
      </c>
      <c r="X1323" s="6">
        <v>0</v>
      </c>
      <c r="Y1323" s="43">
        <f>VLOOKUP(Tabla1[[#This Row],[PAGO DIA]],DIAS!A:J,10,0)</f>
        <v>46322</v>
      </c>
      <c r="Z1323" s="6">
        <v>0</v>
      </c>
      <c r="AA1323" s="43">
        <f>VLOOKUP(Tabla1[[#This Row],[PAGO DIA]],DIAS!A:K,11,0)</f>
        <v>46350</v>
      </c>
      <c r="AB1323" s="6">
        <v>0</v>
      </c>
      <c r="AC1323" s="43">
        <f>VLOOKUP(Tabla1[[#This Row],[PAGO DIA]],DIAS!A:M,12,0)</f>
        <v>46379</v>
      </c>
      <c r="AD13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4" spans="1:30">
      <c r="A1324" s="3">
        <v>11473</v>
      </c>
      <c r="B1324" s="3" t="s">
        <v>510</v>
      </c>
      <c r="C1324" s="3" t="s">
        <v>576</v>
      </c>
      <c r="D1324" s="3" t="s">
        <v>722</v>
      </c>
      <c r="E1324" s="3" t="s">
        <v>723</v>
      </c>
      <c r="F1324" s="42" t="s">
        <v>562</v>
      </c>
      <c r="G1324" s="3" t="s">
        <v>1874</v>
      </c>
      <c r="H1324" s="6">
        <v>0</v>
      </c>
      <c r="I1324" s="41">
        <f>VLOOKUP(Tabla1[[#This Row],[PAGO DIA]],DIAS!A:B,2,0)</f>
        <v>46078</v>
      </c>
      <c r="J1324" s="6">
        <v>0</v>
      </c>
      <c r="K1324" s="43">
        <f>VLOOKUP(Tabla1[[#This Row],[PAGO DIA]],DIAS!A:C,3,0)</f>
        <v>46105</v>
      </c>
      <c r="L1324" s="6">
        <v>0</v>
      </c>
      <c r="M1324" s="41">
        <f>VLOOKUP(Tabla1[[#This Row],[PAGO DIA]],DIAS!A:D,4,0)</f>
        <v>46140</v>
      </c>
      <c r="N1324" s="6">
        <v>0</v>
      </c>
      <c r="O1324" s="43">
        <f>VLOOKUP(Tabla1[[#This Row],[PAGO DIA]],DIAS!A:E,5,0)</f>
        <v>46168</v>
      </c>
      <c r="P1324" s="6">
        <v>0</v>
      </c>
      <c r="Q1324" s="43">
        <f>VLOOKUP(Tabla1[[#This Row],[PAGO DIA]],DIAS!A:F,6,0)</f>
        <v>46196</v>
      </c>
      <c r="R1324" s="6">
        <v>0</v>
      </c>
      <c r="S1324" s="43">
        <f>VLOOKUP(Tabla1[[#This Row],[PAGO DIA]],DIAS!A:G,7,0)</f>
        <v>46231</v>
      </c>
      <c r="T1324" s="6">
        <v>0</v>
      </c>
      <c r="U1324" s="43">
        <f>VLOOKUP(Tabla1[[#This Row],[PAGO DIA]],DIAS!A:H,8,0)</f>
        <v>46259</v>
      </c>
      <c r="V1324" s="6">
        <v>0</v>
      </c>
      <c r="W1324" s="43">
        <f>VLOOKUP(Tabla1[[#This Row],[PAGO DIA]],DIAS!A:I,9,0)</f>
        <v>46287</v>
      </c>
      <c r="X1324" s="6">
        <v>0</v>
      </c>
      <c r="Y1324" s="43">
        <f>VLOOKUP(Tabla1[[#This Row],[PAGO DIA]],DIAS!A:J,10,0)</f>
        <v>46322</v>
      </c>
      <c r="Z1324" s="6">
        <v>0</v>
      </c>
      <c r="AA1324" s="43">
        <f>VLOOKUP(Tabla1[[#This Row],[PAGO DIA]],DIAS!A:K,11,0)</f>
        <v>46350</v>
      </c>
      <c r="AB1324" s="6">
        <v>0</v>
      </c>
      <c r="AC1324" s="43">
        <f>VLOOKUP(Tabla1[[#This Row],[PAGO DIA]],DIAS!A:M,12,0)</f>
        <v>46379</v>
      </c>
      <c r="AD13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5" spans="1:30">
      <c r="A1325" s="3">
        <v>11474</v>
      </c>
      <c r="B1325" s="3" t="s">
        <v>510</v>
      </c>
      <c r="C1325" s="3" t="s">
        <v>576</v>
      </c>
      <c r="D1325" s="3" t="s">
        <v>722</v>
      </c>
      <c r="E1325" s="3" t="s">
        <v>723</v>
      </c>
      <c r="F1325" s="42" t="s">
        <v>562</v>
      </c>
      <c r="G1325" s="3" t="s">
        <v>1875</v>
      </c>
      <c r="H1325" s="6">
        <v>0</v>
      </c>
      <c r="I1325" s="41">
        <f>VLOOKUP(Tabla1[[#This Row],[PAGO DIA]],DIAS!A:B,2,0)</f>
        <v>46078</v>
      </c>
      <c r="J1325" s="6">
        <v>0</v>
      </c>
      <c r="K1325" s="43">
        <f>VLOOKUP(Tabla1[[#This Row],[PAGO DIA]],DIAS!A:C,3,0)</f>
        <v>46105</v>
      </c>
      <c r="L1325" s="6">
        <v>0</v>
      </c>
      <c r="M1325" s="41">
        <f>VLOOKUP(Tabla1[[#This Row],[PAGO DIA]],DIAS!A:D,4,0)</f>
        <v>46140</v>
      </c>
      <c r="N1325" s="6">
        <v>0</v>
      </c>
      <c r="O1325" s="43">
        <f>VLOOKUP(Tabla1[[#This Row],[PAGO DIA]],DIAS!A:E,5,0)</f>
        <v>46168</v>
      </c>
      <c r="P1325" s="6">
        <v>0</v>
      </c>
      <c r="Q1325" s="43">
        <f>VLOOKUP(Tabla1[[#This Row],[PAGO DIA]],DIAS!A:F,6,0)</f>
        <v>46196</v>
      </c>
      <c r="R1325" s="6">
        <v>0</v>
      </c>
      <c r="S1325" s="43">
        <f>VLOOKUP(Tabla1[[#This Row],[PAGO DIA]],DIAS!A:G,7,0)</f>
        <v>46231</v>
      </c>
      <c r="T1325" s="6">
        <v>0</v>
      </c>
      <c r="U1325" s="43">
        <f>VLOOKUP(Tabla1[[#This Row],[PAGO DIA]],DIAS!A:H,8,0)</f>
        <v>46259</v>
      </c>
      <c r="V1325" s="6">
        <v>0</v>
      </c>
      <c r="W1325" s="43">
        <f>VLOOKUP(Tabla1[[#This Row],[PAGO DIA]],DIAS!A:I,9,0)</f>
        <v>46287</v>
      </c>
      <c r="X1325" s="6">
        <v>0</v>
      </c>
      <c r="Y1325" s="43">
        <f>VLOOKUP(Tabla1[[#This Row],[PAGO DIA]],DIAS!A:J,10,0)</f>
        <v>46322</v>
      </c>
      <c r="Z1325" s="6">
        <v>0</v>
      </c>
      <c r="AA1325" s="43">
        <f>VLOOKUP(Tabla1[[#This Row],[PAGO DIA]],DIAS!A:K,11,0)</f>
        <v>46350</v>
      </c>
      <c r="AB1325" s="6">
        <v>0</v>
      </c>
      <c r="AC1325" s="43">
        <f>VLOOKUP(Tabla1[[#This Row],[PAGO DIA]],DIAS!A:M,12,0)</f>
        <v>46379</v>
      </c>
      <c r="AD13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6" spans="1:30">
      <c r="A1326" s="3">
        <v>11475</v>
      </c>
      <c r="B1326" s="3" t="s">
        <v>510</v>
      </c>
      <c r="C1326" s="3" t="s">
        <v>576</v>
      </c>
      <c r="D1326" s="3" t="s">
        <v>722</v>
      </c>
      <c r="E1326" s="3" t="s">
        <v>723</v>
      </c>
      <c r="F1326" s="42" t="s">
        <v>562</v>
      </c>
      <c r="G1326" s="3" t="s">
        <v>1876</v>
      </c>
      <c r="H1326" s="6">
        <v>0</v>
      </c>
      <c r="I1326" s="41">
        <f>VLOOKUP(Tabla1[[#This Row],[PAGO DIA]],DIAS!A:B,2,0)</f>
        <v>46078</v>
      </c>
      <c r="J1326" s="6">
        <v>0</v>
      </c>
      <c r="K1326" s="43">
        <f>VLOOKUP(Tabla1[[#This Row],[PAGO DIA]],DIAS!A:C,3,0)</f>
        <v>46105</v>
      </c>
      <c r="L1326" s="6">
        <v>0</v>
      </c>
      <c r="M1326" s="41">
        <f>VLOOKUP(Tabla1[[#This Row],[PAGO DIA]],DIAS!A:D,4,0)</f>
        <v>46140</v>
      </c>
      <c r="N1326" s="6">
        <v>0</v>
      </c>
      <c r="O1326" s="43">
        <f>VLOOKUP(Tabla1[[#This Row],[PAGO DIA]],DIAS!A:E,5,0)</f>
        <v>46168</v>
      </c>
      <c r="P1326" s="6">
        <v>0</v>
      </c>
      <c r="Q1326" s="43">
        <f>VLOOKUP(Tabla1[[#This Row],[PAGO DIA]],DIAS!A:F,6,0)</f>
        <v>46196</v>
      </c>
      <c r="R1326" s="6">
        <v>0</v>
      </c>
      <c r="S1326" s="43">
        <f>VLOOKUP(Tabla1[[#This Row],[PAGO DIA]],DIAS!A:G,7,0)</f>
        <v>46231</v>
      </c>
      <c r="T1326" s="6">
        <v>0</v>
      </c>
      <c r="U1326" s="43">
        <f>VLOOKUP(Tabla1[[#This Row],[PAGO DIA]],DIAS!A:H,8,0)</f>
        <v>46259</v>
      </c>
      <c r="V1326" s="6">
        <v>0</v>
      </c>
      <c r="W1326" s="43">
        <f>VLOOKUP(Tabla1[[#This Row],[PAGO DIA]],DIAS!A:I,9,0)</f>
        <v>46287</v>
      </c>
      <c r="X1326" s="6">
        <v>0</v>
      </c>
      <c r="Y1326" s="43">
        <f>VLOOKUP(Tabla1[[#This Row],[PAGO DIA]],DIAS!A:J,10,0)</f>
        <v>46322</v>
      </c>
      <c r="Z1326" s="6">
        <v>0</v>
      </c>
      <c r="AA1326" s="43">
        <f>VLOOKUP(Tabla1[[#This Row],[PAGO DIA]],DIAS!A:K,11,0)</f>
        <v>46350</v>
      </c>
      <c r="AB1326" s="6">
        <v>0</v>
      </c>
      <c r="AC1326" s="43">
        <f>VLOOKUP(Tabla1[[#This Row],[PAGO DIA]],DIAS!A:M,12,0)</f>
        <v>46379</v>
      </c>
      <c r="AD13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7" spans="1:30">
      <c r="A1327" s="3">
        <v>11476</v>
      </c>
      <c r="B1327" s="3" t="s">
        <v>510</v>
      </c>
      <c r="C1327" s="3" t="s">
        <v>576</v>
      </c>
      <c r="D1327" s="3" t="s">
        <v>722</v>
      </c>
      <c r="E1327" s="3" t="s">
        <v>723</v>
      </c>
      <c r="F1327" s="42" t="s">
        <v>562</v>
      </c>
      <c r="G1327" s="3" t="s">
        <v>1877</v>
      </c>
      <c r="H1327" s="6">
        <v>0</v>
      </c>
      <c r="I1327" s="41">
        <f>VLOOKUP(Tabla1[[#This Row],[PAGO DIA]],DIAS!A:B,2,0)</f>
        <v>46078</v>
      </c>
      <c r="J1327" s="6">
        <v>0</v>
      </c>
      <c r="K1327" s="43">
        <f>VLOOKUP(Tabla1[[#This Row],[PAGO DIA]],DIAS!A:C,3,0)</f>
        <v>46105</v>
      </c>
      <c r="L1327" s="6">
        <v>0</v>
      </c>
      <c r="M1327" s="41">
        <f>VLOOKUP(Tabla1[[#This Row],[PAGO DIA]],DIAS!A:D,4,0)</f>
        <v>46140</v>
      </c>
      <c r="N1327" s="6">
        <v>0</v>
      </c>
      <c r="O1327" s="43">
        <f>VLOOKUP(Tabla1[[#This Row],[PAGO DIA]],DIAS!A:E,5,0)</f>
        <v>46168</v>
      </c>
      <c r="P1327" s="6">
        <v>0</v>
      </c>
      <c r="Q1327" s="43">
        <f>VLOOKUP(Tabla1[[#This Row],[PAGO DIA]],DIAS!A:F,6,0)</f>
        <v>46196</v>
      </c>
      <c r="R1327" s="6">
        <v>0</v>
      </c>
      <c r="S1327" s="43">
        <f>VLOOKUP(Tabla1[[#This Row],[PAGO DIA]],DIAS!A:G,7,0)</f>
        <v>46231</v>
      </c>
      <c r="T1327" s="6">
        <v>0</v>
      </c>
      <c r="U1327" s="43">
        <f>VLOOKUP(Tabla1[[#This Row],[PAGO DIA]],DIAS!A:H,8,0)</f>
        <v>46259</v>
      </c>
      <c r="V1327" s="6">
        <v>0</v>
      </c>
      <c r="W1327" s="43">
        <f>VLOOKUP(Tabla1[[#This Row],[PAGO DIA]],DIAS!A:I,9,0)</f>
        <v>46287</v>
      </c>
      <c r="X1327" s="6">
        <v>0</v>
      </c>
      <c r="Y1327" s="43">
        <f>VLOOKUP(Tabla1[[#This Row],[PAGO DIA]],DIAS!A:J,10,0)</f>
        <v>46322</v>
      </c>
      <c r="Z1327" s="6">
        <v>0</v>
      </c>
      <c r="AA1327" s="43">
        <f>VLOOKUP(Tabla1[[#This Row],[PAGO DIA]],DIAS!A:K,11,0)</f>
        <v>46350</v>
      </c>
      <c r="AB1327" s="6">
        <v>0</v>
      </c>
      <c r="AC1327" s="43">
        <f>VLOOKUP(Tabla1[[#This Row],[PAGO DIA]],DIAS!A:M,12,0)</f>
        <v>46379</v>
      </c>
      <c r="AD13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8" spans="1:30">
      <c r="A1328" s="3">
        <v>11992</v>
      </c>
      <c r="B1328" s="3" t="s">
        <v>510</v>
      </c>
      <c r="C1328" s="3" t="s">
        <v>1179</v>
      </c>
      <c r="D1328" s="3" t="s">
        <v>1878</v>
      </c>
      <c r="E1328" s="3" t="s">
        <v>1879</v>
      </c>
      <c r="F1328" s="42" t="s">
        <v>562</v>
      </c>
      <c r="G1328" s="3" t="s">
        <v>1880</v>
      </c>
      <c r="H1328" s="6">
        <v>0</v>
      </c>
      <c r="I1328" s="41">
        <f>VLOOKUP(Tabla1[[#This Row],[PAGO DIA]],DIAS!A:B,2,0)</f>
        <v>46078</v>
      </c>
      <c r="J1328" s="6">
        <v>0</v>
      </c>
      <c r="K1328" s="43">
        <f>VLOOKUP(Tabla1[[#This Row],[PAGO DIA]],DIAS!A:C,3,0)</f>
        <v>46105</v>
      </c>
      <c r="L1328" s="6">
        <v>0</v>
      </c>
      <c r="M1328" s="41">
        <f>VLOOKUP(Tabla1[[#This Row],[PAGO DIA]],DIAS!A:D,4,0)</f>
        <v>46140</v>
      </c>
      <c r="N1328" s="6">
        <v>0</v>
      </c>
      <c r="O1328" s="43">
        <f>VLOOKUP(Tabla1[[#This Row],[PAGO DIA]],DIAS!A:E,5,0)</f>
        <v>46168</v>
      </c>
      <c r="P1328" s="6">
        <v>0</v>
      </c>
      <c r="Q1328" s="43">
        <f>VLOOKUP(Tabla1[[#This Row],[PAGO DIA]],DIAS!A:F,6,0)</f>
        <v>46196</v>
      </c>
      <c r="R1328" s="6">
        <v>0</v>
      </c>
      <c r="S1328" s="43">
        <f>VLOOKUP(Tabla1[[#This Row],[PAGO DIA]],DIAS!A:G,7,0)</f>
        <v>46231</v>
      </c>
      <c r="T1328" s="6">
        <v>0</v>
      </c>
      <c r="U1328" s="43">
        <f>VLOOKUP(Tabla1[[#This Row],[PAGO DIA]],DIAS!A:H,8,0)</f>
        <v>46259</v>
      </c>
      <c r="V1328" s="6">
        <v>0</v>
      </c>
      <c r="W1328" s="43">
        <f>VLOOKUP(Tabla1[[#This Row],[PAGO DIA]],DIAS!A:I,9,0)</f>
        <v>46287</v>
      </c>
      <c r="X1328" s="6">
        <v>0</v>
      </c>
      <c r="Y1328" s="43">
        <f>VLOOKUP(Tabla1[[#This Row],[PAGO DIA]],DIAS!A:J,10,0)</f>
        <v>46322</v>
      </c>
      <c r="Z1328" s="6">
        <v>0</v>
      </c>
      <c r="AA1328" s="43">
        <f>VLOOKUP(Tabla1[[#This Row],[PAGO DIA]],DIAS!A:K,11,0)</f>
        <v>46350</v>
      </c>
      <c r="AB1328" s="6">
        <v>0</v>
      </c>
      <c r="AC1328" s="43">
        <f>VLOOKUP(Tabla1[[#This Row],[PAGO DIA]],DIAS!A:M,12,0)</f>
        <v>46379</v>
      </c>
      <c r="AD13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29" spans="1:30">
      <c r="A1329" s="3">
        <v>11993</v>
      </c>
      <c r="B1329" s="3" t="s">
        <v>510</v>
      </c>
      <c r="C1329" s="3"/>
      <c r="D1329" s="3" t="s">
        <v>1881</v>
      </c>
      <c r="E1329" s="3" t="s">
        <v>1879</v>
      </c>
      <c r="F1329" s="42" t="s">
        <v>562</v>
      </c>
      <c r="G1329" s="3" t="s">
        <v>1882</v>
      </c>
      <c r="H1329" s="6">
        <v>0</v>
      </c>
      <c r="I1329" s="41">
        <f>VLOOKUP(Tabla1[[#This Row],[PAGO DIA]],DIAS!A:B,2,0)</f>
        <v>46078</v>
      </c>
      <c r="J1329" s="6">
        <v>0</v>
      </c>
      <c r="K1329" s="43">
        <f>VLOOKUP(Tabla1[[#This Row],[PAGO DIA]],DIAS!A:C,3,0)</f>
        <v>46105</v>
      </c>
      <c r="L1329" s="6">
        <v>0</v>
      </c>
      <c r="M1329" s="41">
        <f>VLOOKUP(Tabla1[[#This Row],[PAGO DIA]],DIAS!A:D,4,0)</f>
        <v>46140</v>
      </c>
      <c r="N1329" s="6">
        <v>0</v>
      </c>
      <c r="O1329" s="43">
        <f>VLOOKUP(Tabla1[[#This Row],[PAGO DIA]],DIAS!A:E,5,0)</f>
        <v>46168</v>
      </c>
      <c r="P1329" s="6">
        <v>0</v>
      </c>
      <c r="Q1329" s="43">
        <f>VLOOKUP(Tabla1[[#This Row],[PAGO DIA]],DIAS!A:F,6,0)</f>
        <v>46196</v>
      </c>
      <c r="R1329" s="6">
        <v>0</v>
      </c>
      <c r="S1329" s="43">
        <f>VLOOKUP(Tabla1[[#This Row],[PAGO DIA]],DIAS!A:G,7,0)</f>
        <v>46231</v>
      </c>
      <c r="T1329" s="6">
        <v>0</v>
      </c>
      <c r="U1329" s="43">
        <f>VLOOKUP(Tabla1[[#This Row],[PAGO DIA]],DIAS!A:H,8,0)</f>
        <v>46259</v>
      </c>
      <c r="V1329" s="6">
        <v>0</v>
      </c>
      <c r="W1329" s="43">
        <f>VLOOKUP(Tabla1[[#This Row],[PAGO DIA]],DIAS!A:I,9,0)</f>
        <v>46287</v>
      </c>
      <c r="X1329" s="6">
        <v>0</v>
      </c>
      <c r="Y1329" s="43">
        <f>VLOOKUP(Tabla1[[#This Row],[PAGO DIA]],DIAS!A:J,10,0)</f>
        <v>46322</v>
      </c>
      <c r="Z1329" s="6">
        <v>0</v>
      </c>
      <c r="AA1329" s="43">
        <f>VLOOKUP(Tabla1[[#This Row],[PAGO DIA]],DIAS!A:K,11,0)</f>
        <v>46350</v>
      </c>
      <c r="AB1329" s="6">
        <v>0</v>
      </c>
      <c r="AC1329" s="43">
        <f>VLOOKUP(Tabla1[[#This Row],[PAGO DIA]],DIAS!A:M,12,0)</f>
        <v>46379</v>
      </c>
      <c r="AD13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0" spans="1:30">
      <c r="A1330" s="3">
        <v>11183</v>
      </c>
      <c r="B1330" s="3" t="s">
        <v>510</v>
      </c>
      <c r="C1330" s="3" t="s">
        <v>629</v>
      </c>
      <c r="D1330" s="3" t="s">
        <v>1883</v>
      </c>
      <c r="E1330" s="3" t="s">
        <v>1884</v>
      </c>
      <c r="F1330" s="42" t="s">
        <v>562</v>
      </c>
      <c r="G1330" s="3" t="s">
        <v>1885</v>
      </c>
      <c r="H1330" s="6">
        <v>0</v>
      </c>
      <c r="I1330" s="41">
        <f>VLOOKUP(Tabla1[[#This Row],[PAGO DIA]],DIAS!A:B,2,0)</f>
        <v>46078</v>
      </c>
      <c r="J1330" s="6">
        <v>0</v>
      </c>
      <c r="K1330" s="43">
        <f>VLOOKUP(Tabla1[[#This Row],[PAGO DIA]],DIAS!A:C,3,0)</f>
        <v>46105</v>
      </c>
      <c r="L1330" s="6">
        <v>0</v>
      </c>
      <c r="M1330" s="41">
        <f>VLOOKUP(Tabla1[[#This Row],[PAGO DIA]],DIAS!A:D,4,0)</f>
        <v>46140</v>
      </c>
      <c r="N1330" s="6">
        <v>0</v>
      </c>
      <c r="O1330" s="43">
        <f>VLOOKUP(Tabla1[[#This Row],[PAGO DIA]],DIAS!A:E,5,0)</f>
        <v>46168</v>
      </c>
      <c r="P1330" s="6">
        <v>0</v>
      </c>
      <c r="Q1330" s="43">
        <f>VLOOKUP(Tabla1[[#This Row],[PAGO DIA]],DIAS!A:F,6,0)</f>
        <v>46196</v>
      </c>
      <c r="R1330" s="6">
        <v>0</v>
      </c>
      <c r="S1330" s="43">
        <f>VLOOKUP(Tabla1[[#This Row],[PAGO DIA]],DIAS!A:G,7,0)</f>
        <v>46231</v>
      </c>
      <c r="T1330" s="6">
        <v>0</v>
      </c>
      <c r="U1330" s="43">
        <f>VLOOKUP(Tabla1[[#This Row],[PAGO DIA]],DIAS!A:H,8,0)</f>
        <v>46259</v>
      </c>
      <c r="V1330" s="6">
        <v>0</v>
      </c>
      <c r="W1330" s="43">
        <f>VLOOKUP(Tabla1[[#This Row],[PAGO DIA]],DIAS!A:I,9,0)</f>
        <v>46287</v>
      </c>
      <c r="X1330" s="6">
        <v>0</v>
      </c>
      <c r="Y1330" s="43">
        <f>VLOOKUP(Tabla1[[#This Row],[PAGO DIA]],DIAS!A:J,10,0)</f>
        <v>46322</v>
      </c>
      <c r="Z1330" s="6">
        <v>0</v>
      </c>
      <c r="AA1330" s="43">
        <f>VLOOKUP(Tabla1[[#This Row],[PAGO DIA]],DIAS!A:K,11,0)</f>
        <v>46350</v>
      </c>
      <c r="AB1330" s="6">
        <v>0</v>
      </c>
      <c r="AC1330" s="43">
        <f>VLOOKUP(Tabla1[[#This Row],[PAGO DIA]],DIAS!A:M,12,0)</f>
        <v>46379</v>
      </c>
      <c r="AD13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1" spans="1:30">
      <c r="A1331" s="3">
        <v>11186</v>
      </c>
      <c r="B1331" s="3" t="s">
        <v>510</v>
      </c>
      <c r="C1331" s="3" t="s">
        <v>629</v>
      </c>
      <c r="D1331" s="3" t="s">
        <v>1883</v>
      </c>
      <c r="E1331" s="3" t="s">
        <v>1884</v>
      </c>
      <c r="F1331" s="42" t="s">
        <v>562</v>
      </c>
      <c r="G1331" s="3" t="s">
        <v>1885</v>
      </c>
      <c r="H1331" s="6">
        <v>0</v>
      </c>
      <c r="I1331" s="41">
        <f>VLOOKUP(Tabla1[[#This Row],[PAGO DIA]],DIAS!A:B,2,0)</f>
        <v>46078</v>
      </c>
      <c r="J1331" s="6">
        <v>0</v>
      </c>
      <c r="K1331" s="43">
        <f>VLOOKUP(Tabla1[[#This Row],[PAGO DIA]],DIAS!A:C,3,0)</f>
        <v>46105</v>
      </c>
      <c r="L1331" s="6">
        <v>0</v>
      </c>
      <c r="M1331" s="41">
        <f>VLOOKUP(Tabla1[[#This Row],[PAGO DIA]],DIAS!A:D,4,0)</f>
        <v>46140</v>
      </c>
      <c r="N1331" s="6">
        <v>0</v>
      </c>
      <c r="O1331" s="43">
        <f>VLOOKUP(Tabla1[[#This Row],[PAGO DIA]],DIAS!A:E,5,0)</f>
        <v>46168</v>
      </c>
      <c r="P1331" s="6">
        <v>0</v>
      </c>
      <c r="Q1331" s="43">
        <f>VLOOKUP(Tabla1[[#This Row],[PAGO DIA]],DIAS!A:F,6,0)</f>
        <v>46196</v>
      </c>
      <c r="R1331" s="6">
        <v>0</v>
      </c>
      <c r="S1331" s="43">
        <f>VLOOKUP(Tabla1[[#This Row],[PAGO DIA]],DIAS!A:G,7,0)</f>
        <v>46231</v>
      </c>
      <c r="T1331" s="6">
        <v>0</v>
      </c>
      <c r="U1331" s="43">
        <f>VLOOKUP(Tabla1[[#This Row],[PAGO DIA]],DIAS!A:H,8,0)</f>
        <v>46259</v>
      </c>
      <c r="V1331" s="6">
        <v>0</v>
      </c>
      <c r="W1331" s="43">
        <f>VLOOKUP(Tabla1[[#This Row],[PAGO DIA]],DIAS!A:I,9,0)</f>
        <v>46287</v>
      </c>
      <c r="X1331" s="6">
        <v>0</v>
      </c>
      <c r="Y1331" s="43">
        <f>VLOOKUP(Tabla1[[#This Row],[PAGO DIA]],DIAS!A:J,10,0)</f>
        <v>46322</v>
      </c>
      <c r="Z1331" s="6">
        <v>0</v>
      </c>
      <c r="AA1331" s="43">
        <f>VLOOKUP(Tabla1[[#This Row],[PAGO DIA]],DIAS!A:K,11,0)</f>
        <v>46350</v>
      </c>
      <c r="AB1331" s="6">
        <v>0</v>
      </c>
      <c r="AC1331" s="43">
        <f>VLOOKUP(Tabla1[[#This Row],[PAGO DIA]],DIAS!A:M,12,0)</f>
        <v>46379</v>
      </c>
      <c r="AD13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2" spans="1:30">
      <c r="A1332" s="3">
        <v>11237</v>
      </c>
      <c r="B1332" s="3" t="s">
        <v>510</v>
      </c>
      <c r="C1332" s="3" t="s">
        <v>1140</v>
      </c>
      <c r="D1332" s="3" t="s">
        <v>1886</v>
      </c>
      <c r="E1332" s="3" t="s">
        <v>1884</v>
      </c>
      <c r="F1332" s="42" t="s">
        <v>562</v>
      </c>
      <c r="G1332" s="3" t="s">
        <v>1887</v>
      </c>
      <c r="H1332" s="6">
        <v>0</v>
      </c>
      <c r="I1332" s="41">
        <f>VLOOKUP(Tabla1[[#This Row],[PAGO DIA]],DIAS!A:B,2,0)</f>
        <v>46078</v>
      </c>
      <c r="J1332" s="6">
        <v>0</v>
      </c>
      <c r="K1332" s="43">
        <f>VLOOKUP(Tabla1[[#This Row],[PAGO DIA]],DIAS!A:C,3,0)</f>
        <v>46105</v>
      </c>
      <c r="L1332" s="6">
        <v>0</v>
      </c>
      <c r="M1332" s="41">
        <f>VLOOKUP(Tabla1[[#This Row],[PAGO DIA]],DIAS!A:D,4,0)</f>
        <v>46140</v>
      </c>
      <c r="N1332" s="6">
        <v>0</v>
      </c>
      <c r="O1332" s="43">
        <f>VLOOKUP(Tabla1[[#This Row],[PAGO DIA]],DIAS!A:E,5,0)</f>
        <v>46168</v>
      </c>
      <c r="P1332" s="6">
        <v>0</v>
      </c>
      <c r="Q1332" s="43">
        <f>VLOOKUP(Tabla1[[#This Row],[PAGO DIA]],DIAS!A:F,6,0)</f>
        <v>46196</v>
      </c>
      <c r="R1332" s="6">
        <v>0</v>
      </c>
      <c r="S1332" s="43">
        <f>VLOOKUP(Tabla1[[#This Row],[PAGO DIA]],DIAS!A:G,7,0)</f>
        <v>46231</v>
      </c>
      <c r="T1332" s="6">
        <v>0</v>
      </c>
      <c r="U1332" s="43">
        <f>VLOOKUP(Tabla1[[#This Row],[PAGO DIA]],DIAS!A:H,8,0)</f>
        <v>46259</v>
      </c>
      <c r="V1332" s="6">
        <v>0</v>
      </c>
      <c r="W1332" s="43">
        <f>VLOOKUP(Tabla1[[#This Row],[PAGO DIA]],DIAS!A:I,9,0)</f>
        <v>46287</v>
      </c>
      <c r="X1332" s="6">
        <v>0</v>
      </c>
      <c r="Y1332" s="43">
        <f>VLOOKUP(Tabla1[[#This Row],[PAGO DIA]],DIAS!A:J,10,0)</f>
        <v>46322</v>
      </c>
      <c r="Z1332" s="6">
        <v>0</v>
      </c>
      <c r="AA1332" s="43">
        <f>VLOOKUP(Tabla1[[#This Row],[PAGO DIA]],DIAS!A:K,11,0)</f>
        <v>46350</v>
      </c>
      <c r="AB1332" s="6">
        <v>0</v>
      </c>
      <c r="AC1332" s="43">
        <f>VLOOKUP(Tabla1[[#This Row],[PAGO DIA]],DIAS!A:M,12,0)</f>
        <v>46379</v>
      </c>
      <c r="AD13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3" spans="1:30">
      <c r="A1333" s="3">
        <v>11477</v>
      </c>
      <c r="B1333" s="3" t="s">
        <v>510</v>
      </c>
      <c r="C1333" s="3"/>
      <c r="D1333" s="3" t="s">
        <v>1886</v>
      </c>
      <c r="E1333" s="3" t="s">
        <v>1884</v>
      </c>
      <c r="F1333" s="42" t="s">
        <v>562</v>
      </c>
      <c r="G1333" s="3" t="s">
        <v>639</v>
      </c>
      <c r="H1333" s="6">
        <v>0</v>
      </c>
      <c r="I1333" s="41">
        <f>VLOOKUP(Tabla1[[#This Row],[PAGO DIA]],DIAS!A:B,2,0)</f>
        <v>46078</v>
      </c>
      <c r="J1333" s="6">
        <v>0</v>
      </c>
      <c r="K1333" s="43">
        <f>VLOOKUP(Tabla1[[#This Row],[PAGO DIA]],DIAS!A:C,3,0)</f>
        <v>46105</v>
      </c>
      <c r="L1333" s="6">
        <v>0</v>
      </c>
      <c r="M1333" s="41">
        <f>VLOOKUP(Tabla1[[#This Row],[PAGO DIA]],DIAS!A:D,4,0)</f>
        <v>46140</v>
      </c>
      <c r="N1333" s="6">
        <v>0</v>
      </c>
      <c r="O1333" s="43">
        <f>VLOOKUP(Tabla1[[#This Row],[PAGO DIA]],DIAS!A:E,5,0)</f>
        <v>46168</v>
      </c>
      <c r="P1333" s="6">
        <v>0</v>
      </c>
      <c r="Q1333" s="43">
        <f>VLOOKUP(Tabla1[[#This Row],[PAGO DIA]],DIAS!A:F,6,0)</f>
        <v>46196</v>
      </c>
      <c r="R1333" s="6">
        <v>0</v>
      </c>
      <c r="S1333" s="43">
        <f>VLOOKUP(Tabla1[[#This Row],[PAGO DIA]],DIAS!A:G,7,0)</f>
        <v>46231</v>
      </c>
      <c r="T1333" s="6">
        <v>0</v>
      </c>
      <c r="U1333" s="43">
        <f>VLOOKUP(Tabla1[[#This Row],[PAGO DIA]],DIAS!A:H,8,0)</f>
        <v>46259</v>
      </c>
      <c r="V1333" s="6">
        <v>0</v>
      </c>
      <c r="W1333" s="43">
        <f>VLOOKUP(Tabla1[[#This Row],[PAGO DIA]],DIAS!A:I,9,0)</f>
        <v>46287</v>
      </c>
      <c r="X1333" s="6">
        <v>0</v>
      </c>
      <c r="Y1333" s="43">
        <f>VLOOKUP(Tabla1[[#This Row],[PAGO DIA]],DIAS!A:J,10,0)</f>
        <v>46322</v>
      </c>
      <c r="Z1333" s="6">
        <v>0</v>
      </c>
      <c r="AA1333" s="43">
        <f>VLOOKUP(Tabla1[[#This Row],[PAGO DIA]],DIAS!A:K,11,0)</f>
        <v>46350</v>
      </c>
      <c r="AB1333" s="6">
        <v>0</v>
      </c>
      <c r="AC1333" s="43">
        <f>VLOOKUP(Tabla1[[#This Row],[PAGO DIA]],DIAS!A:M,12,0)</f>
        <v>46379</v>
      </c>
      <c r="AD13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4" spans="1:30">
      <c r="A1334" s="3">
        <v>11095</v>
      </c>
      <c r="B1334" s="3" t="s">
        <v>510</v>
      </c>
      <c r="C1334" s="3" t="s">
        <v>1140</v>
      </c>
      <c r="D1334" s="3" t="s">
        <v>1794</v>
      </c>
      <c r="E1334" s="3" t="s">
        <v>664</v>
      </c>
      <c r="F1334" s="42" t="s">
        <v>562</v>
      </c>
      <c r="G1334" s="3" t="s">
        <v>1795</v>
      </c>
      <c r="H1334" s="6">
        <v>0</v>
      </c>
      <c r="I1334" s="41">
        <f>VLOOKUP(Tabla1[[#This Row],[PAGO DIA]],DIAS!A:B,2,0)</f>
        <v>46078</v>
      </c>
      <c r="J1334" s="6">
        <v>0</v>
      </c>
      <c r="K1334" s="43">
        <f>VLOOKUP(Tabla1[[#This Row],[PAGO DIA]],DIAS!A:C,3,0)</f>
        <v>46105</v>
      </c>
      <c r="L1334" s="6">
        <v>0</v>
      </c>
      <c r="M1334" s="41">
        <f>VLOOKUP(Tabla1[[#This Row],[PAGO DIA]],DIAS!A:D,4,0)</f>
        <v>46140</v>
      </c>
      <c r="N1334" s="6">
        <v>0</v>
      </c>
      <c r="O1334" s="43">
        <f>VLOOKUP(Tabla1[[#This Row],[PAGO DIA]],DIAS!A:E,5,0)</f>
        <v>46168</v>
      </c>
      <c r="P1334" s="6">
        <v>0</v>
      </c>
      <c r="Q1334" s="43">
        <f>VLOOKUP(Tabla1[[#This Row],[PAGO DIA]],DIAS!A:F,6,0)</f>
        <v>46196</v>
      </c>
      <c r="R1334" s="6">
        <v>0</v>
      </c>
      <c r="S1334" s="43">
        <f>VLOOKUP(Tabla1[[#This Row],[PAGO DIA]],DIAS!A:G,7,0)</f>
        <v>46231</v>
      </c>
      <c r="T1334" s="6">
        <v>0</v>
      </c>
      <c r="U1334" s="43">
        <f>VLOOKUP(Tabla1[[#This Row],[PAGO DIA]],DIAS!A:H,8,0)</f>
        <v>46259</v>
      </c>
      <c r="V1334" s="6">
        <v>0</v>
      </c>
      <c r="W1334" s="43">
        <f>VLOOKUP(Tabla1[[#This Row],[PAGO DIA]],DIAS!A:I,9,0)</f>
        <v>46287</v>
      </c>
      <c r="X1334" s="6">
        <v>0</v>
      </c>
      <c r="Y1334" s="43">
        <f>VLOOKUP(Tabla1[[#This Row],[PAGO DIA]],DIAS!A:J,10,0)</f>
        <v>46322</v>
      </c>
      <c r="Z1334" s="6">
        <v>0</v>
      </c>
      <c r="AA1334" s="43">
        <f>VLOOKUP(Tabla1[[#This Row],[PAGO DIA]],DIAS!A:K,11,0)</f>
        <v>46350</v>
      </c>
      <c r="AB1334" s="6">
        <v>0</v>
      </c>
      <c r="AC1334" s="43">
        <f>VLOOKUP(Tabla1[[#This Row],[PAGO DIA]],DIAS!A:M,12,0)</f>
        <v>46379</v>
      </c>
      <c r="AD13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5" spans="1:30">
      <c r="A1335" s="3">
        <v>11258</v>
      </c>
      <c r="B1335" s="3" t="s">
        <v>510</v>
      </c>
      <c r="C1335" s="3" t="s">
        <v>1140</v>
      </c>
      <c r="D1335" s="3" t="s">
        <v>1798</v>
      </c>
      <c r="E1335" s="3" t="s">
        <v>664</v>
      </c>
      <c r="F1335" s="42" t="s">
        <v>562</v>
      </c>
      <c r="G1335" s="3" t="s">
        <v>1799</v>
      </c>
      <c r="H1335" s="6">
        <v>0</v>
      </c>
      <c r="I1335" s="41">
        <f>VLOOKUP(Tabla1[[#This Row],[PAGO DIA]],DIAS!A:B,2,0)</f>
        <v>46078</v>
      </c>
      <c r="J1335" s="6">
        <v>0</v>
      </c>
      <c r="K1335" s="43">
        <f>VLOOKUP(Tabla1[[#This Row],[PAGO DIA]],DIAS!A:C,3,0)</f>
        <v>46105</v>
      </c>
      <c r="L1335" s="6">
        <v>0</v>
      </c>
      <c r="M1335" s="41">
        <f>VLOOKUP(Tabla1[[#This Row],[PAGO DIA]],DIAS!A:D,4,0)</f>
        <v>46140</v>
      </c>
      <c r="N1335" s="6">
        <v>0</v>
      </c>
      <c r="O1335" s="43">
        <f>VLOOKUP(Tabla1[[#This Row],[PAGO DIA]],DIAS!A:E,5,0)</f>
        <v>46168</v>
      </c>
      <c r="P1335" s="6">
        <v>0</v>
      </c>
      <c r="Q1335" s="43">
        <f>VLOOKUP(Tabla1[[#This Row],[PAGO DIA]],DIAS!A:F,6,0)</f>
        <v>46196</v>
      </c>
      <c r="R1335" s="6">
        <v>0</v>
      </c>
      <c r="S1335" s="43">
        <f>VLOOKUP(Tabla1[[#This Row],[PAGO DIA]],DIAS!A:G,7,0)</f>
        <v>46231</v>
      </c>
      <c r="T1335" s="6">
        <v>0</v>
      </c>
      <c r="U1335" s="43">
        <f>VLOOKUP(Tabla1[[#This Row],[PAGO DIA]],DIAS!A:H,8,0)</f>
        <v>46259</v>
      </c>
      <c r="V1335" s="6">
        <v>0</v>
      </c>
      <c r="W1335" s="43">
        <f>VLOOKUP(Tabla1[[#This Row],[PAGO DIA]],DIAS!A:I,9,0)</f>
        <v>46287</v>
      </c>
      <c r="X1335" s="6">
        <v>0</v>
      </c>
      <c r="Y1335" s="43">
        <f>VLOOKUP(Tabla1[[#This Row],[PAGO DIA]],DIAS!A:J,10,0)</f>
        <v>46322</v>
      </c>
      <c r="Z1335" s="6">
        <v>0</v>
      </c>
      <c r="AA1335" s="43">
        <f>VLOOKUP(Tabla1[[#This Row],[PAGO DIA]],DIAS!A:K,11,0)</f>
        <v>46350</v>
      </c>
      <c r="AB1335" s="6">
        <v>0</v>
      </c>
      <c r="AC1335" s="43">
        <f>VLOOKUP(Tabla1[[#This Row],[PAGO DIA]],DIAS!A:M,12,0)</f>
        <v>46379</v>
      </c>
      <c r="AD13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6" spans="1:30">
      <c r="A1336" s="3">
        <v>11492</v>
      </c>
      <c r="B1336" s="3" t="s">
        <v>510</v>
      </c>
      <c r="C1336" s="3" t="s">
        <v>1140</v>
      </c>
      <c r="D1336" s="3" t="s">
        <v>1794</v>
      </c>
      <c r="E1336" s="3" t="s">
        <v>664</v>
      </c>
      <c r="F1336" s="42" t="s">
        <v>562</v>
      </c>
      <c r="G1336" s="3" t="s">
        <v>1795</v>
      </c>
      <c r="H1336" s="6">
        <v>0</v>
      </c>
      <c r="I1336" s="41">
        <f>VLOOKUP(Tabla1[[#This Row],[PAGO DIA]],DIAS!A:B,2,0)</f>
        <v>46078</v>
      </c>
      <c r="J1336" s="6">
        <v>0</v>
      </c>
      <c r="K1336" s="43">
        <f>VLOOKUP(Tabla1[[#This Row],[PAGO DIA]],DIAS!A:C,3,0)</f>
        <v>46105</v>
      </c>
      <c r="L1336" s="6">
        <v>0</v>
      </c>
      <c r="M1336" s="41">
        <f>VLOOKUP(Tabla1[[#This Row],[PAGO DIA]],DIAS!A:D,4,0)</f>
        <v>46140</v>
      </c>
      <c r="N1336" s="6">
        <v>0</v>
      </c>
      <c r="O1336" s="43">
        <f>VLOOKUP(Tabla1[[#This Row],[PAGO DIA]],DIAS!A:E,5,0)</f>
        <v>46168</v>
      </c>
      <c r="P1336" s="6">
        <v>0</v>
      </c>
      <c r="Q1336" s="43">
        <f>VLOOKUP(Tabla1[[#This Row],[PAGO DIA]],DIAS!A:F,6,0)</f>
        <v>46196</v>
      </c>
      <c r="R1336" s="6">
        <v>0</v>
      </c>
      <c r="S1336" s="43">
        <f>VLOOKUP(Tabla1[[#This Row],[PAGO DIA]],DIAS!A:G,7,0)</f>
        <v>46231</v>
      </c>
      <c r="T1336" s="6">
        <v>0</v>
      </c>
      <c r="U1336" s="43">
        <f>VLOOKUP(Tabla1[[#This Row],[PAGO DIA]],DIAS!A:H,8,0)</f>
        <v>46259</v>
      </c>
      <c r="V1336" s="6">
        <v>0</v>
      </c>
      <c r="W1336" s="43">
        <f>VLOOKUP(Tabla1[[#This Row],[PAGO DIA]],DIAS!A:I,9,0)</f>
        <v>46287</v>
      </c>
      <c r="X1336" s="6">
        <v>0</v>
      </c>
      <c r="Y1336" s="43">
        <f>VLOOKUP(Tabla1[[#This Row],[PAGO DIA]],DIAS!A:J,10,0)</f>
        <v>46322</v>
      </c>
      <c r="Z1336" s="6">
        <v>0</v>
      </c>
      <c r="AA1336" s="43">
        <f>VLOOKUP(Tabla1[[#This Row],[PAGO DIA]],DIAS!A:K,11,0)</f>
        <v>46350</v>
      </c>
      <c r="AB1336" s="6">
        <v>0</v>
      </c>
      <c r="AC1336" s="43">
        <f>VLOOKUP(Tabla1[[#This Row],[PAGO DIA]],DIAS!A:M,12,0)</f>
        <v>46379</v>
      </c>
      <c r="AD13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7" spans="1:30">
      <c r="A1337" s="3">
        <v>11493</v>
      </c>
      <c r="B1337" s="3" t="s">
        <v>510</v>
      </c>
      <c r="C1337" s="3"/>
      <c r="D1337" s="3" t="s">
        <v>1888</v>
      </c>
      <c r="E1337" s="3" t="s">
        <v>664</v>
      </c>
      <c r="F1337" s="42" t="s">
        <v>562</v>
      </c>
      <c r="G1337" s="3" t="s">
        <v>639</v>
      </c>
      <c r="H1337" s="6">
        <v>0</v>
      </c>
      <c r="I1337" s="41">
        <f>VLOOKUP(Tabla1[[#This Row],[PAGO DIA]],DIAS!A:B,2,0)</f>
        <v>46078</v>
      </c>
      <c r="J1337" s="6">
        <v>0</v>
      </c>
      <c r="K1337" s="43">
        <f>VLOOKUP(Tabla1[[#This Row],[PAGO DIA]],DIAS!A:C,3,0)</f>
        <v>46105</v>
      </c>
      <c r="L1337" s="6">
        <v>0</v>
      </c>
      <c r="M1337" s="41">
        <f>VLOOKUP(Tabla1[[#This Row],[PAGO DIA]],DIAS!A:D,4,0)</f>
        <v>46140</v>
      </c>
      <c r="N1337" s="6">
        <v>0</v>
      </c>
      <c r="O1337" s="43">
        <f>VLOOKUP(Tabla1[[#This Row],[PAGO DIA]],DIAS!A:E,5,0)</f>
        <v>46168</v>
      </c>
      <c r="P1337" s="6">
        <v>0</v>
      </c>
      <c r="Q1337" s="43">
        <f>VLOOKUP(Tabla1[[#This Row],[PAGO DIA]],DIAS!A:F,6,0)</f>
        <v>46196</v>
      </c>
      <c r="R1337" s="6">
        <v>0</v>
      </c>
      <c r="S1337" s="43">
        <f>VLOOKUP(Tabla1[[#This Row],[PAGO DIA]],DIAS!A:G,7,0)</f>
        <v>46231</v>
      </c>
      <c r="T1337" s="6">
        <v>0</v>
      </c>
      <c r="U1337" s="43">
        <f>VLOOKUP(Tabla1[[#This Row],[PAGO DIA]],DIAS!A:H,8,0)</f>
        <v>46259</v>
      </c>
      <c r="V1337" s="6">
        <v>0</v>
      </c>
      <c r="W1337" s="43">
        <f>VLOOKUP(Tabla1[[#This Row],[PAGO DIA]],DIAS!A:I,9,0)</f>
        <v>46287</v>
      </c>
      <c r="X1337" s="6">
        <v>0</v>
      </c>
      <c r="Y1337" s="43">
        <f>VLOOKUP(Tabla1[[#This Row],[PAGO DIA]],DIAS!A:J,10,0)</f>
        <v>46322</v>
      </c>
      <c r="Z1337" s="6">
        <v>0</v>
      </c>
      <c r="AA1337" s="43">
        <f>VLOOKUP(Tabla1[[#This Row],[PAGO DIA]],DIAS!A:K,11,0)</f>
        <v>46350</v>
      </c>
      <c r="AB1337" s="6">
        <v>0</v>
      </c>
      <c r="AC1337" s="43">
        <f>VLOOKUP(Tabla1[[#This Row],[PAGO DIA]],DIAS!A:M,12,0)</f>
        <v>46379</v>
      </c>
      <c r="AD13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8" spans="1:30">
      <c r="A1338" s="3">
        <v>12499</v>
      </c>
      <c r="B1338" s="3" t="s">
        <v>510</v>
      </c>
      <c r="C1338" s="3" t="s">
        <v>1140</v>
      </c>
      <c r="D1338" s="3" t="s">
        <v>1794</v>
      </c>
      <c r="E1338" s="3" t="s">
        <v>664</v>
      </c>
      <c r="F1338" s="42" t="s">
        <v>562</v>
      </c>
      <c r="G1338" s="3" t="s">
        <v>1795</v>
      </c>
      <c r="H1338" s="6">
        <v>0</v>
      </c>
      <c r="I1338" s="41">
        <f>VLOOKUP(Tabla1[[#This Row],[PAGO DIA]],DIAS!A:B,2,0)</f>
        <v>46078</v>
      </c>
      <c r="J1338" s="6">
        <v>0</v>
      </c>
      <c r="K1338" s="43">
        <f>VLOOKUP(Tabla1[[#This Row],[PAGO DIA]],DIAS!A:C,3,0)</f>
        <v>46105</v>
      </c>
      <c r="L1338" s="6">
        <v>0</v>
      </c>
      <c r="M1338" s="41">
        <f>VLOOKUP(Tabla1[[#This Row],[PAGO DIA]],DIAS!A:D,4,0)</f>
        <v>46140</v>
      </c>
      <c r="N1338" s="6">
        <v>0</v>
      </c>
      <c r="O1338" s="43">
        <f>VLOOKUP(Tabla1[[#This Row],[PAGO DIA]],DIAS!A:E,5,0)</f>
        <v>46168</v>
      </c>
      <c r="P1338" s="6">
        <v>0</v>
      </c>
      <c r="Q1338" s="43">
        <f>VLOOKUP(Tabla1[[#This Row],[PAGO DIA]],DIAS!A:F,6,0)</f>
        <v>46196</v>
      </c>
      <c r="R1338" s="6">
        <v>0</v>
      </c>
      <c r="S1338" s="43">
        <f>VLOOKUP(Tabla1[[#This Row],[PAGO DIA]],DIAS!A:G,7,0)</f>
        <v>46231</v>
      </c>
      <c r="T1338" s="6">
        <v>0</v>
      </c>
      <c r="U1338" s="43">
        <f>VLOOKUP(Tabla1[[#This Row],[PAGO DIA]],DIAS!A:H,8,0)</f>
        <v>46259</v>
      </c>
      <c r="V1338" s="6">
        <v>0</v>
      </c>
      <c r="W1338" s="43">
        <f>VLOOKUP(Tabla1[[#This Row],[PAGO DIA]],DIAS!A:I,9,0)</f>
        <v>46287</v>
      </c>
      <c r="X1338" s="6">
        <v>0</v>
      </c>
      <c r="Y1338" s="43">
        <f>VLOOKUP(Tabla1[[#This Row],[PAGO DIA]],DIAS!A:J,10,0)</f>
        <v>46322</v>
      </c>
      <c r="Z1338" s="6">
        <v>0</v>
      </c>
      <c r="AA1338" s="43">
        <f>VLOOKUP(Tabla1[[#This Row],[PAGO DIA]],DIAS!A:K,11,0)</f>
        <v>46350</v>
      </c>
      <c r="AB1338" s="6">
        <v>0</v>
      </c>
      <c r="AC1338" s="43">
        <f>VLOOKUP(Tabla1[[#This Row],[PAGO DIA]],DIAS!A:M,12,0)</f>
        <v>46379</v>
      </c>
      <c r="AD13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39" spans="1:30">
      <c r="A1339" s="3">
        <v>10955</v>
      </c>
      <c r="B1339" s="3" t="s">
        <v>510</v>
      </c>
      <c r="C1339" s="3" t="s">
        <v>1147</v>
      </c>
      <c r="D1339" s="3" t="s">
        <v>1803</v>
      </c>
      <c r="E1339" s="3" t="s">
        <v>1804</v>
      </c>
      <c r="F1339" s="42" t="s">
        <v>562</v>
      </c>
      <c r="G1339" s="3"/>
      <c r="H1339" s="6">
        <v>0</v>
      </c>
      <c r="I1339" s="41">
        <f>VLOOKUP(Tabla1[[#This Row],[PAGO DIA]],DIAS!A:B,2,0)</f>
        <v>46078</v>
      </c>
      <c r="J1339" s="6">
        <v>0</v>
      </c>
      <c r="K1339" s="43">
        <f>VLOOKUP(Tabla1[[#This Row],[PAGO DIA]],DIAS!A:C,3,0)</f>
        <v>46105</v>
      </c>
      <c r="L1339" s="6">
        <v>0</v>
      </c>
      <c r="M1339" s="41">
        <f>VLOOKUP(Tabla1[[#This Row],[PAGO DIA]],DIAS!A:D,4,0)</f>
        <v>46140</v>
      </c>
      <c r="N1339" s="6">
        <v>0</v>
      </c>
      <c r="O1339" s="43">
        <f>VLOOKUP(Tabla1[[#This Row],[PAGO DIA]],DIAS!A:E,5,0)</f>
        <v>46168</v>
      </c>
      <c r="P1339" s="6">
        <v>0</v>
      </c>
      <c r="Q1339" s="43">
        <f>VLOOKUP(Tabla1[[#This Row],[PAGO DIA]],DIAS!A:F,6,0)</f>
        <v>46196</v>
      </c>
      <c r="R1339" s="6">
        <v>0</v>
      </c>
      <c r="S1339" s="43">
        <f>VLOOKUP(Tabla1[[#This Row],[PAGO DIA]],DIAS!A:G,7,0)</f>
        <v>46231</v>
      </c>
      <c r="T1339" s="6">
        <v>0</v>
      </c>
      <c r="U1339" s="43">
        <f>VLOOKUP(Tabla1[[#This Row],[PAGO DIA]],DIAS!A:H,8,0)</f>
        <v>46259</v>
      </c>
      <c r="V1339" s="6">
        <v>0</v>
      </c>
      <c r="W1339" s="43">
        <f>VLOOKUP(Tabla1[[#This Row],[PAGO DIA]],DIAS!A:I,9,0)</f>
        <v>46287</v>
      </c>
      <c r="X1339" s="6">
        <v>0</v>
      </c>
      <c r="Y1339" s="43">
        <f>VLOOKUP(Tabla1[[#This Row],[PAGO DIA]],DIAS!A:J,10,0)</f>
        <v>46322</v>
      </c>
      <c r="Z1339" s="6">
        <v>0</v>
      </c>
      <c r="AA1339" s="43">
        <f>VLOOKUP(Tabla1[[#This Row],[PAGO DIA]],DIAS!A:K,11,0)</f>
        <v>46350</v>
      </c>
      <c r="AB1339" s="6">
        <v>0</v>
      </c>
      <c r="AC1339" s="43">
        <f>VLOOKUP(Tabla1[[#This Row],[PAGO DIA]],DIAS!A:M,12,0)</f>
        <v>46379</v>
      </c>
      <c r="AD13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0" spans="1:30">
      <c r="A1340" s="3">
        <v>11498</v>
      </c>
      <c r="B1340" s="3" t="s">
        <v>510</v>
      </c>
      <c r="C1340" s="3" t="s">
        <v>1140</v>
      </c>
      <c r="D1340" s="3" t="s">
        <v>1889</v>
      </c>
      <c r="E1340" s="3" t="s">
        <v>1890</v>
      </c>
      <c r="F1340" s="42" t="s">
        <v>562</v>
      </c>
      <c r="G1340" s="3" t="s">
        <v>1891</v>
      </c>
      <c r="H1340" s="6">
        <v>0</v>
      </c>
      <c r="I1340" s="41">
        <f>VLOOKUP(Tabla1[[#This Row],[PAGO DIA]],DIAS!A:B,2,0)</f>
        <v>46078</v>
      </c>
      <c r="J1340" s="6">
        <v>0</v>
      </c>
      <c r="K1340" s="43">
        <f>VLOOKUP(Tabla1[[#This Row],[PAGO DIA]],DIAS!A:C,3,0)</f>
        <v>46105</v>
      </c>
      <c r="L1340" s="6">
        <v>0</v>
      </c>
      <c r="M1340" s="41">
        <f>VLOOKUP(Tabla1[[#This Row],[PAGO DIA]],DIAS!A:D,4,0)</f>
        <v>46140</v>
      </c>
      <c r="N1340" s="6">
        <v>0</v>
      </c>
      <c r="O1340" s="43">
        <f>VLOOKUP(Tabla1[[#This Row],[PAGO DIA]],DIAS!A:E,5,0)</f>
        <v>46168</v>
      </c>
      <c r="P1340" s="6">
        <v>0</v>
      </c>
      <c r="Q1340" s="43">
        <f>VLOOKUP(Tabla1[[#This Row],[PAGO DIA]],DIAS!A:F,6,0)</f>
        <v>46196</v>
      </c>
      <c r="R1340" s="6">
        <v>0</v>
      </c>
      <c r="S1340" s="43">
        <f>VLOOKUP(Tabla1[[#This Row],[PAGO DIA]],DIAS!A:G,7,0)</f>
        <v>46231</v>
      </c>
      <c r="T1340" s="6">
        <v>0</v>
      </c>
      <c r="U1340" s="43">
        <f>VLOOKUP(Tabla1[[#This Row],[PAGO DIA]],DIAS!A:H,8,0)</f>
        <v>46259</v>
      </c>
      <c r="V1340" s="6">
        <v>0</v>
      </c>
      <c r="W1340" s="43">
        <f>VLOOKUP(Tabla1[[#This Row],[PAGO DIA]],DIAS!A:I,9,0)</f>
        <v>46287</v>
      </c>
      <c r="X1340" s="6">
        <v>0</v>
      </c>
      <c r="Y1340" s="43">
        <f>VLOOKUP(Tabla1[[#This Row],[PAGO DIA]],DIAS!A:J,10,0)</f>
        <v>46322</v>
      </c>
      <c r="Z1340" s="6">
        <v>0</v>
      </c>
      <c r="AA1340" s="43">
        <f>VLOOKUP(Tabla1[[#This Row],[PAGO DIA]],DIAS!A:K,11,0)</f>
        <v>46350</v>
      </c>
      <c r="AB1340" s="6">
        <v>0</v>
      </c>
      <c r="AC1340" s="43">
        <f>VLOOKUP(Tabla1[[#This Row],[PAGO DIA]],DIAS!A:M,12,0)</f>
        <v>46379</v>
      </c>
      <c r="AD13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1" spans="1:30">
      <c r="A1341" s="3">
        <v>11056</v>
      </c>
      <c r="B1341" s="3" t="s">
        <v>510</v>
      </c>
      <c r="C1341" s="3" t="s">
        <v>1140</v>
      </c>
      <c r="D1341" s="3" t="s">
        <v>1892</v>
      </c>
      <c r="E1341" s="3" t="s">
        <v>1841</v>
      </c>
      <c r="F1341" s="42" t="s">
        <v>562</v>
      </c>
      <c r="G1341" s="3"/>
      <c r="H1341" s="6">
        <v>0</v>
      </c>
      <c r="I1341" s="41">
        <f>VLOOKUP(Tabla1[[#This Row],[PAGO DIA]],DIAS!A:B,2,0)</f>
        <v>46078</v>
      </c>
      <c r="J1341" s="6">
        <v>0</v>
      </c>
      <c r="K1341" s="43">
        <f>VLOOKUP(Tabla1[[#This Row],[PAGO DIA]],DIAS!A:C,3,0)</f>
        <v>46105</v>
      </c>
      <c r="L1341" s="6">
        <v>0</v>
      </c>
      <c r="M1341" s="41">
        <f>VLOOKUP(Tabla1[[#This Row],[PAGO DIA]],DIAS!A:D,4,0)</f>
        <v>46140</v>
      </c>
      <c r="N1341" s="6">
        <v>0</v>
      </c>
      <c r="O1341" s="43">
        <f>VLOOKUP(Tabla1[[#This Row],[PAGO DIA]],DIAS!A:E,5,0)</f>
        <v>46168</v>
      </c>
      <c r="P1341" s="6">
        <v>0</v>
      </c>
      <c r="Q1341" s="43">
        <f>VLOOKUP(Tabla1[[#This Row],[PAGO DIA]],DIAS!A:F,6,0)</f>
        <v>46196</v>
      </c>
      <c r="R1341" s="6">
        <v>0</v>
      </c>
      <c r="S1341" s="43">
        <f>VLOOKUP(Tabla1[[#This Row],[PAGO DIA]],DIAS!A:G,7,0)</f>
        <v>46231</v>
      </c>
      <c r="T1341" s="6">
        <v>0</v>
      </c>
      <c r="U1341" s="43">
        <f>VLOOKUP(Tabla1[[#This Row],[PAGO DIA]],DIAS!A:H,8,0)</f>
        <v>46259</v>
      </c>
      <c r="V1341" s="6">
        <v>0</v>
      </c>
      <c r="W1341" s="43">
        <f>VLOOKUP(Tabla1[[#This Row],[PAGO DIA]],DIAS!A:I,9,0)</f>
        <v>46287</v>
      </c>
      <c r="X1341" s="6">
        <v>0</v>
      </c>
      <c r="Y1341" s="43">
        <f>VLOOKUP(Tabla1[[#This Row],[PAGO DIA]],DIAS!A:J,10,0)</f>
        <v>46322</v>
      </c>
      <c r="Z1341" s="6">
        <v>0</v>
      </c>
      <c r="AA1341" s="43">
        <f>VLOOKUP(Tabla1[[#This Row],[PAGO DIA]],DIAS!A:K,11,0)</f>
        <v>46350</v>
      </c>
      <c r="AB1341" s="6">
        <v>0</v>
      </c>
      <c r="AC1341" s="43">
        <f>VLOOKUP(Tabla1[[#This Row],[PAGO DIA]],DIAS!A:M,12,0)</f>
        <v>46379</v>
      </c>
      <c r="AD13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2" spans="1:30">
      <c r="A1342" s="3">
        <v>11994</v>
      </c>
      <c r="B1342" s="3" t="s">
        <v>510</v>
      </c>
      <c r="C1342" s="3" t="s">
        <v>576</v>
      </c>
      <c r="D1342" s="3" t="s">
        <v>1893</v>
      </c>
      <c r="E1342" s="3" t="s">
        <v>1894</v>
      </c>
      <c r="F1342" s="42" t="s">
        <v>562</v>
      </c>
      <c r="G1342" s="3" t="s">
        <v>1161</v>
      </c>
      <c r="H1342" s="6">
        <v>0</v>
      </c>
      <c r="I1342" s="41">
        <f>VLOOKUP(Tabla1[[#This Row],[PAGO DIA]],DIAS!A:B,2,0)</f>
        <v>46078</v>
      </c>
      <c r="J1342" s="6">
        <v>0</v>
      </c>
      <c r="K1342" s="43">
        <f>VLOOKUP(Tabla1[[#This Row],[PAGO DIA]],DIAS!A:C,3,0)</f>
        <v>46105</v>
      </c>
      <c r="L1342" s="6">
        <v>0</v>
      </c>
      <c r="M1342" s="41">
        <f>VLOOKUP(Tabla1[[#This Row],[PAGO DIA]],DIAS!A:D,4,0)</f>
        <v>46140</v>
      </c>
      <c r="N1342" s="6">
        <v>0</v>
      </c>
      <c r="O1342" s="43">
        <f>VLOOKUP(Tabla1[[#This Row],[PAGO DIA]],DIAS!A:E,5,0)</f>
        <v>46168</v>
      </c>
      <c r="P1342" s="6">
        <v>0</v>
      </c>
      <c r="Q1342" s="43">
        <f>VLOOKUP(Tabla1[[#This Row],[PAGO DIA]],DIAS!A:F,6,0)</f>
        <v>46196</v>
      </c>
      <c r="R1342" s="6">
        <v>0</v>
      </c>
      <c r="S1342" s="43">
        <f>VLOOKUP(Tabla1[[#This Row],[PAGO DIA]],DIAS!A:G,7,0)</f>
        <v>46231</v>
      </c>
      <c r="T1342" s="6">
        <v>0</v>
      </c>
      <c r="U1342" s="43">
        <f>VLOOKUP(Tabla1[[#This Row],[PAGO DIA]],DIAS!A:H,8,0)</f>
        <v>46259</v>
      </c>
      <c r="V1342" s="6">
        <v>0</v>
      </c>
      <c r="W1342" s="43">
        <f>VLOOKUP(Tabla1[[#This Row],[PAGO DIA]],DIAS!A:I,9,0)</f>
        <v>46287</v>
      </c>
      <c r="X1342" s="6">
        <v>0</v>
      </c>
      <c r="Y1342" s="43">
        <f>VLOOKUP(Tabla1[[#This Row],[PAGO DIA]],DIAS!A:J,10,0)</f>
        <v>46322</v>
      </c>
      <c r="Z1342" s="6">
        <v>0</v>
      </c>
      <c r="AA1342" s="43">
        <f>VLOOKUP(Tabla1[[#This Row],[PAGO DIA]],DIAS!A:K,11,0)</f>
        <v>46350</v>
      </c>
      <c r="AB1342" s="6">
        <v>0</v>
      </c>
      <c r="AC1342" s="43">
        <f>VLOOKUP(Tabla1[[#This Row],[PAGO DIA]],DIAS!A:M,12,0)</f>
        <v>46379</v>
      </c>
      <c r="AD13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3" spans="1:30">
      <c r="A1343" s="3">
        <v>10973</v>
      </c>
      <c r="B1343" s="3" t="s">
        <v>510</v>
      </c>
      <c r="C1343" s="3" t="s">
        <v>1140</v>
      </c>
      <c r="D1343" s="3" t="s">
        <v>1895</v>
      </c>
      <c r="E1343" s="3" t="s">
        <v>1896</v>
      </c>
      <c r="F1343" s="42" t="s">
        <v>562</v>
      </c>
      <c r="G1343" s="3"/>
      <c r="H1343" s="6">
        <v>0</v>
      </c>
      <c r="I1343" s="41">
        <f>VLOOKUP(Tabla1[[#This Row],[PAGO DIA]],DIAS!A:B,2,0)</f>
        <v>46078</v>
      </c>
      <c r="J1343" s="6">
        <v>0</v>
      </c>
      <c r="K1343" s="43">
        <f>VLOOKUP(Tabla1[[#This Row],[PAGO DIA]],DIAS!A:C,3,0)</f>
        <v>46105</v>
      </c>
      <c r="L1343" s="6">
        <v>0</v>
      </c>
      <c r="M1343" s="41">
        <f>VLOOKUP(Tabla1[[#This Row],[PAGO DIA]],DIAS!A:D,4,0)</f>
        <v>46140</v>
      </c>
      <c r="N1343" s="6">
        <v>0</v>
      </c>
      <c r="O1343" s="43">
        <f>VLOOKUP(Tabla1[[#This Row],[PAGO DIA]],DIAS!A:E,5,0)</f>
        <v>46168</v>
      </c>
      <c r="P1343" s="6">
        <v>0</v>
      </c>
      <c r="Q1343" s="43">
        <f>VLOOKUP(Tabla1[[#This Row],[PAGO DIA]],DIAS!A:F,6,0)</f>
        <v>46196</v>
      </c>
      <c r="R1343" s="6">
        <v>0</v>
      </c>
      <c r="S1343" s="43">
        <f>VLOOKUP(Tabla1[[#This Row],[PAGO DIA]],DIAS!A:G,7,0)</f>
        <v>46231</v>
      </c>
      <c r="T1343" s="6">
        <v>0</v>
      </c>
      <c r="U1343" s="43">
        <f>VLOOKUP(Tabla1[[#This Row],[PAGO DIA]],DIAS!A:H,8,0)</f>
        <v>46259</v>
      </c>
      <c r="V1343" s="6">
        <v>0</v>
      </c>
      <c r="W1343" s="43">
        <f>VLOOKUP(Tabla1[[#This Row],[PAGO DIA]],DIAS!A:I,9,0)</f>
        <v>46287</v>
      </c>
      <c r="X1343" s="6">
        <v>0</v>
      </c>
      <c r="Y1343" s="43">
        <f>VLOOKUP(Tabla1[[#This Row],[PAGO DIA]],DIAS!A:J,10,0)</f>
        <v>46322</v>
      </c>
      <c r="Z1343" s="6">
        <v>0</v>
      </c>
      <c r="AA1343" s="43">
        <f>VLOOKUP(Tabla1[[#This Row],[PAGO DIA]],DIAS!A:K,11,0)</f>
        <v>46350</v>
      </c>
      <c r="AB1343" s="6">
        <v>0</v>
      </c>
      <c r="AC1343" s="43">
        <f>VLOOKUP(Tabla1[[#This Row],[PAGO DIA]],DIAS!A:M,12,0)</f>
        <v>46379</v>
      </c>
      <c r="AD13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4" spans="1:30">
      <c r="A1344" s="3">
        <v>11177</v>
      </c>
      <c r="B1344" s="3" t="s">
        <v>510</v>
      </c>
      <c r="C1344" s="3" t="s">
        <v>1140</v>
      </c>
      <c r="D1344" s="3" t="s">
        <v>1895</v>
      </c>
      <c r="E1344" s="3" t="s">
        <v>1896</v>
      </c>
      <c r="F1344" s="42" t="s">
        <v>562</v>
      </c>
      <c r="G1344" s="3" t="s">
        <v>1897</v>
      </c>
      <c r="H1344" s="6">
        <v>0</v>
      </c>
      <c r="I1344" s="41">
        <f>VLOOKUP(Tabla1[[#This Row],[PAGO DIA]],DIAS!A:B,2,0)</f>
        <v>46078</v>
      </c>
      <c r="J1344" s="6">
        <v>0</v>
      </c>
      <c r="K1344" s="43">
        <f>VLOOKUP(Tabla1[[#This Row],[PAGO DIA]],DIAS!A:C,3,0)</f>
        <v>46105</v>
      </c>
      <c r="L1344" s="6">
        <v>0</v>
      </c>
      <c r="M1344" s="41">
        <f>VLOOKUP(Tabla1[[#This Row],[PAGO DIA]],DIAS!A:D,4,0)</f>
        <v>46140</v>
      </c>
      <c r="N1344" s="6">
        <v>0</v>
      </c>
      <c r="O1344" s="43">
        <f>VLOOKUP(Tabla1[[#This Row],[PAGO DIA]],DIAS!A:E,5,0)</f>
        <v>46168</v>
      </c>
      <c r="P1344" s="6">
        <v>0</v>
      </c>
      <c r="Q1344" s="43">
        <f>VLOOKUP(Tabla1[[#This Row],[PAGO DIA]],DIAS!A:F,6,0)</f>
        <v>46196</v>
      </c>
      <c r="R1344" s="6">
        <v>0</v>
      </c>
      <c r="S1344" s="43">
        <f>VLOOKUP(Tabla1[[#This Row],[PAGO DIA]],DIAS!A:G,7,0)</f>
        <v>46231</v>
      </c>
      <c r="T1344" s="6">
        <v>0</v>
      </c>
      <c r="U1344" s="43">
        <f>VLOOKUP(Tabla1[[#This Row],[PAGO DIA]],DIAS!A:H,8,0)</f>
        <v>46259</v>
      </c>
      <c r="V1344" s="6">
        <v>0</v>
      </c>
      <c r="W1344" s="43">
        <f>VLOOKUP(Tabla1[[#This Row],[PAGO DIA]],DIAS!A:I,9,0)</f>
        <v>46287</v>
      </c>
      <c r="X1344" s="6">
        <v>0</v>
      </c>
      <c r="Y1344" s="43">
        <f>VLOOKUP(Tabla1[[#This Row],[PAGO DIA]],DIAS!A:J,10,0)</f>
        <v>46322</v>
      </c>
      <c r="Z1344" s="6">
        <v>0</v>
      </c>
      <c r="AA1344" s="43">
        <f>VLOOKUP(Tabla1[[#This Row],[PAGO DIA]],DIAS!A:K,11,0)</f>
        <v>46350</v>
      </c>
      <c r="AB1344" s="6">
        <v>0</v>
      </c>
      <c r="AC1344" s="43">
        <f>VLOOKUP(Tabla1[[#This Row],[PAGO DIA]],DIAS!A:M,12,0)</f>
        <v>46379</v>
      </c>
      <c r="AD13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5" spans="1:30">
      <c r="A1345" s="3">
        <v>11521</v>
      </c>
      <c r="B1345" s="3" t="s">
        <v>510</v>
      </c>
      <c r="C1345" s="3" t="s">
        <v>1140</v>
      </c>
      <c r="D1345" s="3" t="s">
        <v>1898</v>
      </c>
      <c r="E1345" s="3" t="s">
        <v>1896</v>
      </c>
      <c r="F1345" s="42" t="s">
        <v>562</v>
      </c>
      <c r="G1345" s="3" t="s">
        <v>1897</v>
      </c>
      <c r="H1345" s="6">
        <v>0</v>
      </c>
      <c r="I1345" s="41">
        <f>VLOOKUP(Tabla1[[#This Row],[PAGO DIA]],DIAS!A:B,2,0)</f>
        <v>46078</v>
      </c>
      <c r="J1345" s="6">
        <v>0</v>
      </c>
      <c r="K1345" s="43">
        <f>VLOOKUP(Tabla1[[#This Row],[PAGO DIA]],DIAS!A:C,3,0)</f>
        <v>46105</v>
      </c>
      <c r="L1345" s="6">
        <v>0</v>
      </c>
      <c r="M1345" s="41">
        <f>VLOOKUP(Tabla1[[#This Row],[PAGO DIA]],DIAS!A:D,4,0)</f>
        <v>46140</v>
      </c>
      <c r="N1345" s="6">
        <v>0</v>
      </c>
      <c r="O1345" s="43">
        <f>VLOOKUP(Tabla1[[#This Row],[PAGO DIA]],DIAS!A:E,5,0)</f>
        <v>46168</v>
      </c>
      <c r="P1345" s="6">
        <v>0</v>
      </c>
      <c r="Q1345" s="43">
        <f>VLOOKUP(Tabla1[[#This Row],[PAGO DIA]],DIAS!A:F,6,0)</f>
        <v>46196</v>
      </c>
      <c r="R1345" s="6">
        <v>0</v>
      </c>
      <c r="S1345" s="43">
        <f>VLOOKUP(Tabla1[[#This Row],[PAGO DIA]],DIAS!A:G,7,0)</f>
        <v>46231</v>
      </c>
      <c r="T1345" s="6">
        <v>0</v>
      </c>
      <c r="U1345" s="43">
        <f>VLOOKUP(Tabla1[[#This Row],[PAGO DIA]],DIAS!A:H,8,0)</f>
        <v>46259</v>
      </c>
      <c r="V1345" s="6">
        <v>0</v>
      </c>
      <c r="W1345" s="43">
        <f>VLOOKUP(Tabla1[[#This Row],[PAGO DIA]],DIAS!A:I,9,0)</f>
        <v>46287</v>
      </c>
      <c r="X1345" s="6">
        <v>0</v>
      </c>
      <c r="Y1345" s="43">
        <f>VLOOKUP(Tabla1[[#This Row],[PAGO DIA]],DIAS!A:J,10,0)</f>
        <v>46322</v>
      </c>
      <c r="Z1345" s="6">
        <v>0</v>
      </c>
      <c r="AA1345" s="43">
        <f>VLOOKUP(Tabla1[[#This Row],[PAGO DIA]],DIAS!A:K,11,0)</f>
        <v>46350</v>
      </c>
      <c r="AB1345" s="6">
        <v>0</v>
      </c>
      <c r="AC1345" s="43">
        <f>VLOOKUP(Tabla1[[#This Row],[PAGO DIA]],DIAS!A:M,12,0)</f>
        <v>46379</v>
      </c>
      <c r="AD13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6" spans="1:30">
      <c r="A1346" s="3">
        <v>11537</v>
      </c>
      <c r="B1346" s="3" t="s">
        <v>510</v>
      </c>
      <c r="C1346" s="3" t="s">
        <v>1899</v>
      </c>
      <c r="D1346" s="3" t="s">
        <v>1900</v>
      </c>
      <c r="E1346" s="3" t="s">
        <v>1901</v>
      </c>
      <c r="F1346" s="42" t="s">
        <v>562</v>
      </c>
      <c r="G1346" s="3"/>
      <c r="H1346" s="6">
        <v>0</v>
      </c>
      <c r="I1346" s="41">
        <f>VLOOKUP(Tabla1[[#This Row],[PAGO DIA]],DIAS!A:B,2,0)</f>
        <v>46078</v>
      </c>
      <c r="J1346" s="6">
        <v>0</v>
      </c>
      <c r="K1346" s="43">
        <f>VLOOKUP(Tabla1[[#This Row],[PAGO DIA]],DIAS!A:C,3,0)</f>
        <v>46105</v>
      </c>
      <c r="L1346" s="6">
        <v>0</v>
      </c>
      <c r="M1346" s="41">
        <f>VLOOKUP(Tabla1[[#This Row],[PAGO DIA]],DIAS!A:D,4,0)</f>
        <v>46140</v>
      </c>
      <c r="N1346" s="6">
        <v>0</v>
      </c>
      <c r="O1346" s="43">
        <f>VLOOKUP(Tabla1[[#This Row],[PAGO DIA]],DIAS!A:E,5,0)</f>
        <v>46168</v>
      </c>
      <c r="P1346" s="6">
        <v>0</v>
      </c>
      <c r="Q1346" s="43">
        <f>VLOOKUP(Tabla1[[#This Row],[PAGO DIA]],DIAS!A:F,6,0)</f>
        <v>46196</v>
      </c>
      <c r="R1346" s="6">
        <v>0</v>
      </c>
      <c r="S1346" s="43">
        <f>VLOOKUP(Tabla1[[#This Row],[PAGO DIA]],DIAS!A:G,7,0)</f>
        <v>46231</v>
      </c>
      <c r="T1346" s="6">
        <v>0</v>
      </c>
      <c r="U1346" s="43">
        <f>VLOOKUP(Tabla1[[#This Row],[PAGO DIA]],DIAS!A:H,8,0)</f>
        <v>46259</v>
      </c>
      <c r="V1346" s="6">
        <v>0</v>
      </c>
      <c r="W1346" s="43">
        <f>VLOOKUP(Tabla1[[#This Row],[PAGO DIA]],DIAS!A:I,9,0)</f>
        <v>46287</v>
      </c>
      <c r="X1346" s="6">
        <v>0</v>
      </c>
      <c r="Y1346" s="43">
        <f>VLOOKUP(Tabla1[[#This Row],[PAGO DIA]],DIAS!A:J,10,0)</f>
        <v>46322</v>
      </c>
      <c r="Z1346" s="6">
        <v>0</v>
      </c>
      <c r="AA1346" s="43">
        <f>VLOOKUP(Tabla1[[#This Row],[PAGO DIA]],DIAS!A:K,11,0)</f>
        <v>46350</v>
      </c>
      <c r="AB1346" s="6">
        <v>0</v>
      </c>
      <c r="AC1346" s="43">
        <f>VLOOKUP(Tabla1[[#This Row],[PAGO DIA]],DIAS!A:M,12,0)</f>
        <v>46379</v>
      </c>
      <c r="AD13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7" spans="1:30">
      <c r="A1347" s="3">
        <v>10962</v>
      </c>
      <c r="B1347" s="3" t="s">
        <v>510</v>
      </c>
      <c r="C1347" s="3" t="s">
        <v>1843</v>
      </c>
      <c r="D1347" s="3" t="s">
        <v>1902</v>
      </c>
      <c r="E1347" s="3" t="s">
        <v>1903</v>
      </c>
      <c r="F1347" s="42" t="s">
        <v>562</v>
      </c>
      <c r="G1347" s="3"/>
      <c r="H1347" s="6">
        <v>0</v>
      </c>
      <c r="I1347" s="41">
        <f>VLOOKUP(Tabla1[[#This Row],[PAGO DIA]],DIAS!A:B,2,0)</f>
        <v>46078</v>
      </c>
      <c r="J1347" s="6">
        <v>0</v>
      </c>
      <c r="K1347" s="43">
        <f>VLOOKUP(Tabla1[[#This Row],[PAGO DIA]],DIAS!A:C,3,0)</f>
        <v>46105</v>
      </c>
      <c r="L1347" s="6">
        <v>0</v>
      </c>
      <c r="M1347" s="41">
        <f>VLOOKUP(Tabla1[[#This Row],[PAGO DIA]],DIAS!A:D,4,0)</f>
        <v>46140</v>
      </c>
      <c r="N1347" s="6">
        <v>0</v>
      </c>
      <c r="O1347" s="43">
        <f>VLOOKUP(Tabla1[[#This Row],[PAGO DIA]],DIAS!A:E,5,0)</f>
        <v>46168</v>
      </c>
      <c r="P1347" s="6">
        <v>0</v>
      </c>
      <c r="Q1347" s="43">
        <f>VLOOKUP(Tabla1[[#This Row],[PAGO DIA]],DIAS!A:F,6,0)</f>
        <v>46196</v>
      </c>
      <c r="R1347" s="6">
        <v>0</v>
      </c>
      <c r="S1347" s="43">
        <f>VLOOKUP(Tabla1[[#This Row],[PAGO DIA]],DIAS!A:G,7,0)</f>
        <v>46231</v>
      </c>
      <c r="T1347" s="6">
        <v>0</v>
      </c>
      <c r="U1347" s="43">
        <f>VLOOKUP(Tabla1[[#This Row],[PAGO DIA]],DIAS!A:H,8,0)</f>
        <v>46259</v>
      </c>
      <c r="V1347" s="6">
        <v>0</v>
      </c>
      <c r="W1347" s="43">
        <f>VLOOKUP(Tabla1[[#This Row],[PAGO DIA]],DIAS!A:I,9,0)</f>
        <v>46287</v>
      </c>
      <c r="X1347" s="6">
        <v>0</v>
      </c>
      <c r="Y1347" s="43">
        <f>VLOOKUP(Tabla1[[#This Row],[PAGO DIA]],DIAS!A:J,10,0)</f>
        <v>46322</v>
      </c>
      <c r="Z1347" s="6">
        <v>0</v>
      </c>
      <c r="AA1347" s="43">
        <f>VLOOKUP(Tabla1[[#This Row],[PAGO DIA]],DIAS!A:K,11,0)</f>
        <v>46350</v>
      </c>
      <c r="AB1347" s="6">
        <v>0</v>
      </c>
      <c r="AC1347" s="43">
        <f>VLOOKUP(Tabla1[[#This Row],[PAGO DIA]],DIAS!A:M,12,0)</f>
        <v>46379</v>
      </c>
      <c r="AD13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8" spans="1:30">
      <c r="A1348" s="3">
        <v>10963</v>
      </c>
      <c r="B1348" s="3" t="s">
        <v>510</v>
      </c>
      <c r="C1348" s="3" t="s">
        <v>1843</v>
      </c>
      <c r="D1348" s="3" t="s">
        <v>1902</v>
      </c>
      <c r="E1348" s="3" t="s">
        <v>1903</v>
      </c>
      <c r="F1348" s="42" t="s">
        <v>562</v>
      </c>
      <c r="G1348" s="3"/>
      <c r="H1348" s="6">
        <v>0</v>
      </c>
      <c r="I1348" s="41">
        <f>VLOOKUP(Tabla1[[#This Row],[PAGO DIA]],DIAS!A:B,2,0)</f>
        <v>46078</v>
      </c>
      <c r="J1348" s="6">
        <v>0</v>
      </c>
      <c r="K1348" s="43">
        <f>VLOOKUP(Tabla1[[#This Row],[PAGO DIA]],DIAS!A:C,3,0)</f>
        <v>46105</v>
      </c>
      <c r="L1348" s="6">
        <v>0</v>
      </c>
      <c r="M1348" s="41">
        <f>VLOOKUP(Tabla1[[#This Row],[PAGO DIA]],DIAS!A:D,4,0)</f>
        <v>46140</v>
      </c>
      <c r="N1348" s="6">
        <v>0</v>
      </c>
      <c r="O1348" s="43">
        <f>VLOOKUP(Tabla1[[#This Row],[PAGO DIA]],DIAS!A:E,5,0)</f>
        <v>46168</v>
      </c>
      <c r="P1348" s="6">
        <v>0</v>
      </c>
      <c r="Q1348" s="43">
        <f>VLOOKUP(Tabla1[[#This Row],[PAGO DIA]],DIAS!A:F,6,0)</f>
        <v>46196</v>
      </c>
      <c r="R1348" s="6">
        <v>0</v>
      </c>
      <c r="S1348" s="43">
        <f>VLOOKUP(Tabla1[[#This Row],[PAGO DIA]],DIAS!A:G,7,0)</f>
        <v>46231</v>
      </c>
      <c r="T1348" s="6">
        <v>0</v>
      </c>
      <c r="U1348" s="43">
        <f>VLOOKUP(Tabla1[[#This Row],[PAGO DIA]],DIAS!A:H,8,0)</f>
        <v>46259</v>
      </c>
      <c r="V1348" s="6">
        <v>0</v>
      </c>
      <c r="W1348" s="43">
        <f>VLOOKUP(Tabla1[[#This Row],[PAGO DIA]],DIAS!A:I,9,0)</f>
        <v>46287</v>
      </c>
      <c r="X1348" s="6">
        <v>0</v>
      </c>
      <c r="Y1348" s="43">
        <f>VLOOKUP(Tabla1[[#This Row],[PAGO DIA]],DIAS!A:J,10,0)</f>
        <v>46322</v>
      </c>
      <c r="Z1348" s="6">
        <v>0</v>
      </c>
      <c r="AA1348" s="43">
        <f>VLOOKUP(Tabla1[[#This Row],[PAGO DIA]],DIAS!A:K,11,0)</f>
        <v>46350</v>
      </c>
      <c r="AB1348" s="6">
        <v>0</v>
      </c>
      <c r="AC1348" s="43">
        <f>VLOOKUP(Tabla1[[#This Row],[PAGO DIA]],DIAS!A:M,12,0)</f>
        <v>46379</v>
      </c>
      <c r="AD13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49" spans="1:30">
      <c r="A1349" s="3">
        <v>11154</v>
      </c>
      <c r="B1349" s="3" t="s">
        <v>510</v>
      </c>
      <c r="C1349" s="3" t="s">
        <v>1843</v>
      </c>
      <c r="D1349" s="3" t="s">
        <v>1904</v>
      </c>
      <c r="E1349" s="3" t="s">
        <v>1903</v>
      </c>
      <c r="F1349" s="42" t="s">
        <v>562</v>
      </c>
      <c r="G1349" s="3"/>
      <c r="H1349" s="6">
        <v>0</v>
      </c>
      <c r="I1349" s="41">
        <f>VLOOKUP(Tabla1[[#This Row],[PAGO DIA]],DIAS!A:B,2,0)</f>
        <v>46078</v>
      </c>
      <c r="J1349" s="6">
        <v>0</v>
      </c>
      <c r="K1349" s="43">
        <f>VLOOKUP(Tabla1[[#This Row],[PAGO DIA]],DIAS!A:C,3,0)</f>
        <v>46105</v>
      </c>
      <c r="L1349" s="6">
        <v>0</v>
      </c>
      <c r="M1349" s="41">
        <f>VLOOKUP(Tabla1[[#This Row],[PAGO DIA]],DIAS!A:D,4,0)</f>
        <v>46140</v>
      </c>
      <c r="N1349" s="6">
        <v>0</v>
      </c>
      <c r="O1349" s="43">
        <f>VLOOKUP(Tabla1[[#This Row],[PAGO DIA]],DIAS!A:E,5,0)</f>
        <v>46168</v>
      </c>
      <c r="P1349" s="6">
        <v>0</v>
      </c>
      <c r="Q1349" s="43">
        <f>VLOOKUP(Tabla1[[#This Row],[PAGO DIA]],DIAS!A:F,6,0)</f>
        <v>46196</v>
      </c>
      <c r="R1349" s="6">
        <v>0</v>
      </c>
      <c r="S1349" s="43">
        <f>VLOOKUP(Tabla1[[#This Row],[PAGO DIA]],DIAS!A:G,7,0)</f>
        <v>46231</v>
      </c>
      <c r="T1349" s="6">
        <v>0</v>
      </c>
      <c r="U1349" s="43">
        <f>VLOOKUP(Tabla1[[#This Row],[PAGO DIA]],DIAS!A:H,8,0)</f>
        <v>46259</v>
      </c>
      <c r="V1349" s="6">
        <v>0</v>
      </c>
      <c r="W1349" s="43">
        <f>VLOOKUP(Tabla1[[#This Row],[PAGO DIA]],DIAS!A:I,9,0)</f>
        <v>46287</v>
      </c>
      <c r="X1349" s="6">
        <v>0</v>
      </c>
      <c r="Y1349" s="43">
        <f>VLOOKUP(Tabla1[[#This Row],[PAGO DIA]],DIAS!A:J,10,0)</f>
        <v>46322</v>
      </c>
      <c r="Z1349" s="6">
        <v>0</v>
      </c>
      <c r="AA1349" s="43">
        <f>VLOOKUP(Tabla1[[#This Row],[PAGO DIA]],DIAS!A:K,11,0)</f>
        <v>46350</v>
      </c>
      <c r="AB1349" s="6">
        <v>0</v>
      </c>
      <c r="AC1349" s="43">
        <f>VLOOKUP(Tabla1[[#This Row],[PAGO DIA]],DIAS!A:M,12,0)</f>
        <v>46379</v>
      </c>
      <c r="AD13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0" spans="1:30">
      <c r="A1350" s="3">
        <v>11157</v>
      </c>
      <c r="B1350" s="3" t="s">
        <v>510</v>
      </c>
      <c r="C1350" s="3" t="s">
        <v>1843</v>
      </c>
      <c r="D1350" s="3" t="s">
        <v>1904</v>
      </c>
      <c r="E1350" s="3" t="s">
        <v>1903</v>
      </c>
      <c r="F1350" s="42" t="s">
        <v>562</v>
      </c>
      <c r="G1350" s="3"/>
      <c r="H1350" s="6">
        <v>0</v>
      </c>
      <c r="I1350" s="41">
        <f>VLOOKUP(Tabla1[[#This Row],[PAGO DIA]],DIAS!A:B,2,0)</f>
        <v>46078</v>
      </c>
      <c r="J1350" s="6">
        <v>0</v>
      </c>
      <c r="K1350" s="43">
        <f>VLOOKUP(Tabla1[[#This Row],[PAGO DIA]],DIAS!A:C,3,0)</f>
        <v>46105</v>
      </c>
      <c r="L1350" s="6">
        <v>0</v>
      </c>
      <c r="M1350" s="41">
        <f>VLOOKUP(Tabla1[[#This Row],[PAGO DIA]],DIAS!A:D,4,0)</f>
        <v>46140</v>
      </c>
      <c r="N1350" s="6">
        <v>0</v>
      </c>
      <c r="O1350" s="43">
        <f>VLOOKUP(Tabla1[[#This Row],[PAGO DIA]],DIAS!A:E,5,0)</f>
        <v>46168</v>
      </c>
      <c r="P1350" s="6">
        <v>0</v>
      </c>
      <c r="Q1350" s="43">
        <f>VLOOKUP(Tabla1[[#This Row],[PAGO DIA]],DIAS!A:F,6,0)</f>
        <v>46196</v>
      </c>
      <c r="R1350" s="6">
        <v>0</v>
      </c>
      <c r="S1350" s="43">
        <f>VLOOKUP(Tabla1[[#This Row],[PAGO DIA]],DIAS!A:G,7,0)</f>
        <v>46231</v>
      </c>
      <c r="T1350" s="6">
        <v>0</v>
      </c>
      <c r="U1350" s="43">
        <f>VLOOKUP(Tabla1[[#This Row],[PAGO DIA]],DIAS!A:H,8,0)</f>
        <v>46259</v>
      </c>
      <c r="V1350" s="6">
        <v>0</v>
      </c>
      <c r="W1350" s="43">
        <f>VLOOKUP(Tabla1[[#This Row],[PAGO DIA]],DIAS!A:I,9,0)</f>
        <v>46287</v>
      </c>
      <c r="X1350" s="6">
        <v>0</v>
      </c>
      <c r="Y1350" s="43">
        <f>VLOOKUP(Tabla1[[#This Row],[PAGO DIA]],DIAS!A:J,10,0)</f>
        <v>46322</v>
      </c>
      <c r="Z1350" s="6">
        <v>0</v>
      </c>
      <c r="AA1350" s="43">
        <f>VLOOKUP(Tabla1[[#This Row],[PAGO DIA]],DIAS!A:K,11,0)</f>
        <v>46350</v>
      </c>
      <c r="AB1350" s="6">
        <v>0</v>
      </c>
      <c r="AC1350" s="43">
        <f>VLOOKUP(Tabla1[[#This Row],[PAGO DIA]],DIAS!A:M,12,0)</f>
        <v>46379</v>
      </c>
      <c r="AD13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1" spans="1:30">
      <c r="A1351" s="3">
        <v>11539</v>
      </c>
      <c r="B1351" s="3" t="s">
        <v>510</v>
      </c>
      <c r="C1351" s="3" t="s">
        <v>540</v>
      </c>
      <c r="D1351" s="3" t="s">
        <v>540</v>
      </c>
      <c r="E1351" s="3" t="s">
        <v>1443</v>
      </c>
      <c r="F1351" s="42" t="s">
        <v>562</v>
      </c>
      <c r="G1351" s="3" t="s">
        <v>1905</v>
      </c>
      <c r="H1351" s="6">
        <v>0</v>
      </c>
      <c r="I1351" s="41">
        <f>VLOOKUP(Tabla1[[#This Row],[PAGO DIA]],DIAS!A:B,2,0)</f>
        <v>46078</v>
      </c>
      <c r="J1351" s="6">
        <v>0</v>
      </c>
      <c r="K1351" s="43">
        <f>VLOOKUP(Tabla1[[#This Row],[PAGO DIA]],DIAS!A:C,3,0)</f>
        <v>46105</v>
      </c>
      <c r="L1351" s="6">
        <v>0</v>
      </c>
      <c r="M1351" s="41">
        <f>VLOOKUP(Tabla1[[#This Row],[PAGO DIA]],DIAS!A:D,4,0)</f>
        <v>46140</v>
      </c>
      <c r="N1351" s="6">
        <v>0</v>
      </c>
      <c r="O1351" s="43">
        <f>VLOOKUP(Tabla1[[#This Row],[PAGO DIA]],DIAS!A:E,5,0)</f>
        <v>46168</v>
      </c>
      <c r="P1351" s="6">
        <v>0</v>
      </c>
      <c r="Q1351" s="43">
        <f>VLOOKUP(Tabla1[[#This Row],[PAGO DIA]],DIAS!A:F,6,0)</f>
        <v>46196</v>
      </c>
      <c r="R1351" s="6">
        <v>0</v>
      </c>
      <c r="S1351" s="43">
        <f>VLOOKUP(Tabla1[[#This Row],[PAGO DIA]],DIAS!A:G,7,0)</f>
        <v>46231</v>
      </c>
      <c r="T1351" s="6">
        <v>0</v>
      </c>
      <c r="U1351" s="43">
        <f>VLOOKUP(Tabla1[[#This Row],[PAGO DIA]],DIAS!A:H,8,0)</f>
        <v>46259</v>
      </c>
      <c r="V1351" s="6">
        <v>0</v>
      </c>
      <c r="W1351" s="43">
        <f>VLOOKUP(Tabla1[[#This Row],[PAGO DIA]],DIAS!A:I,9,0)</f>
        <v>46287</v>
      </c>
      <c r="X1351" s="6">
        <v>0</v>
      </c>
      <c r="Y1351" s="43">
        <f>VLOOKUP(Tabla1[[#This Row],[PAGO DIA]],DIAS!A:J,10,0)</f>
        <v>46322</v>
      </c>
      <c r="Z1351" s="6">
        <v>0</v>
      </c>
      <c r="AA1351" s="43">
        <f>VLOOKUP(Tabla1[[#This Row],[PAGO DIA]],DIAS!A:K,11,0)</f>
        <v>46350</v>
      </c>
      <c r="AB1351" s="6">
        <v>0</v>
      </c>
      <c r="AC1351" s="43">
        <f>VLOOKUP(Tabla1[[#This Row],[PAGO DIA]],DIAS!A:M,12,0)</f>
        <v>46379</v>
      </c>
      <c r="AD13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2" spans="1:30">
      <c r="A1352" s="3">
        <v>10978</v>
      </c>
      <c r="B1352" s="3" t="s">
        <v>510</v>
      </c>
      <c r="C1352" s="3"/>
      <c r="D1352" s="3" t="s">
        <v>1906</v>
      </c>
      <c r="E1352" s="3" t="s">
        <v>1826</v>
      </c>
      <c r="F1352" s="42" t="s">
        <v>562</v>
      </c>
      <c r="G1352" s="3"/>
      <c r="H1352" s="6">
        <v>0</v>
      </c>
      <c r="I1352" s="41">
        <f>VLOOKUP(Tabla1[[#This Row],[PAGO DIA]],DIAS!A:B,2,0)</f>
        <v>46078</v>
      </c>
      <c r="J1352" s="6">
        <v>0</v>
      </c>
      <c r="K1352" s="43">
        <f>VLOOKUP(Tabla1[[#This Row],[PAGO DIA]],DIAS!A:C,3,0)</f>
        <v>46105</v>
      </c>
      <c r="L1352" s="6">
        <v>0</v>
      </c>
      <c r="M1352" s="41">
        <f>VLOOKUP(Tabla1[[#This Row],[PAGO DIA]],DIAS!A:D,4,0)</f>
        <v>46140</v>
      </c>
      <c r="N1352" s="6">
        <v>0</v>
      </c>
      <c r="O1352" s="43">
        <f>VLOOKUP(Tabla1[[#This Row],[PAGO DIA]],DIAS!A:E,5,0)</f>
        <v>46168</v>
      </c>
      <c r="P1352" s="6">
        <v>0</v>
      </c>
      <c r="Q1352" s="43">
        <f>VLOOKUP(Tabla1[[#This Row],[PAGO DIA]],DIAS!A:F,6,0)</f>
        <v>46196</v>
      </c>
      <c r="R1352" s="6">
        <v>0</v>
      </c>
      <c r="S1352" s="43">
        <f>VLOOKUP(Tabla1[[#This Row],[PAGO DIA]],DIAS!A:G,7,0)</f>
        <v>46231</v>
      </c>
      <c r="T1352" s="6">
        <v>0</v>
      </c>
      <c r="U1352" s="43">
        <f>VLOOKUP(Tabla1[[#This Row],[PAGO DIA]],DIAS!A:H,8,0)</f>
        <v>46259</v>
      </c>
      <c r="V1352" s="6">
        <v>0</v>
      </c>
      <c r="W1352" s="43">
        <f>VLOOKUP(Tabla1[[#This Row],[PAGO DIA]],DIAS!A:I,9,0)</f>
        <v>46287</v>
      </c>
      <c r="X1352" s="6">
        <v>0</v>
      </c>
      <c r="Y1352" s="43">
        <f>VLOOKUP(Tabla1[[#This Row],[PAGO DIA]],DIAS!A:J,10,0)</f>
        <v>46322</v>
      </c>
      <c r="Z1352" s="6">
        <v>0</v>
      </c>
      <c r="AA1352" s="43">
        <f>VLOOKUP(Tabla1[[#This Row],[PAGO DIA]],DIAS!A:K,11,0)</f>
        <v>46350</v>
      </c>
      <c r="AB1352" s="6">
        <v>0</v>
      </c>
      <c r="AC1352" s="43">
        <f>VLOOKUP(Tabla1[[#This Row],[PAGO DIA]],DIAS!A:M,12,0)</f>
        <v>46379</v>
      </c>
      <c r="AD13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3" spans="1:30">
      <c r="A1353" s="3">
        <v>11191</v>
      </c>
      <c r="B1353" s="3" t="s">
        <v>510</v>
      </c>
      <c r="C1353" s="3" t="s">
        <v>1743</v>
      </c>
      <c r="D1353" s="3" t="s">
        <v>1825</v>
      </c>
      <c r="E1353" s="3" t="s">
        <v>1826</v>
      </c>
      <c r="F1353" s="42" t="s">
        <v>562</v>
      </c>
      <c r="G1353" s="3"/>
      <c r="H1353" s="6">
        <v>0</v>
      </c>
      <c r="I1353" s="41">
        <f>VLOOKUP(Tabla1[[#This Row],[PAGO DIA]],DIAS!A:B,2,0)</f>
        <v>46078</v>
      </c>
      <c r="J1353" s="6">
        <v>0</v>
      </c>
      <c r="K1353" s="43">
        <f>VLOOKUP(Tabla1[[#This Row],[PAGO DIA]],DIAS!A:C,3,0)</f>
        <v>46105</v>
      </c>
      <c r="L1353" s="6">
        <v>0</v>
      </c>
      <c r="M1353" s="41">
        <f>VLOOKUP(Tabla1[[#This Row],[PAGO DIA]],DIAS!A:D,4,0)</f>
        <v>46140</v>
      </c>
      <c r="N1353" s="6">
        <v>0</v>
      </c>
      <c r="O1353" s="43">
        <f>VLOOKUP(Tabla1[[#This Row],[PAGO DIA]],DIAS!A:E,5,0)</f>
        <v>46168</v>
      </c>
      <c r="P1353" s="6">
        <v>0</v>
      </c>
      <c r="Q1353" s="43">
        <f>VLOOKUP(Tabla1[[#This Row],[PAGO DIA]],DIAS!A:F,6,0)</f>
        <v>46196</v>
      </c>
      <c r="R1353" s="6">
        <v>0</v>
      </c>
      <c r="S1353" s="43">
        <f>VLOOKUP(Tabla1[[#This Row],[PAGO DIA]],DIAS!A:G,7,0)</f>
        <v>46231</v>
      </c>
      <c r="T1353" s="6">
        <v>0</v>
      </c>
      <c r="U1353" s="43">
        <f>VLOOKUP(Tabla1[[#This Row],[PAGO DIA]],DIAS!A:H,8,0)</f>
        <v>46259</v>
      </c>
      <c r="V1353" s="6">
        <v>0</v>
      </c>
      <c r="W1353" s="43">
        <f>VLOOKUP(Tabla1[[#This Row],[PAGO DIA]],DIAS!A:I,9,0)</f>
        <v>46287</v>
      </c>
      <c r="X1353" s="6">
        <v>0</v>
      </c>
      <c r="Y1353" s="43">
        <f>VLOOKUP(Tabla1[[#This Row],[PAGO DIA]],DIAS!A:J,10,0)</f>
        <v>46322</v>
      </c>
      <c r="Z1353" s="6">
        <v>0</v>
      </c>
      <c r="AA1353" s="43">
        <f>VLOOKUP(Tabla1[[#This Row],[PAGO DIA]],DIAS!A:K,11,0)</f>
        <v>46350</v>
      </c>
      <c r="AB1353" s="6">
        <v>0</v>
      </c>
      <c r="AC1353" s="43">
        <f>VLOOKUP(Tabla1[[#This Row],[PAGO DIA]],DIAS!A:M,12,0)</f>
        <v>46379</v>
      </c>
      <c r="AD13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4" spans="1:30">
      <c r="A1354" s="3">
        <v>11151</v>
      </c>
      <c r="B1354" s="3" t="s">
        <v>510</v>
      </c>
      <c r="C1354" s="3" t="s">
        <v>1140</v>
      </c>
      <c r="D1354" s="3" t="s">
        <v>1778</v>
      </c>
      <c r="E1354" s="3" t="s">
        <v>1779</v>
      </c>
      <c r="F1354" s="42" t="s">
        <v>562</v>
      </c>
      <c r="G1354" s="3"/>
      <c r="H1354" s="6">
        <v>0</v>
      </c>
      <c r="I1354" s="41">
        <f>VLOOKUP(Tabla1[[#This Row],[PAGO DIA]],DIAS!A:B,2,0)</f>
        <v>46078</v>
      </c>
      <c r="J1354" s="6">
        <v>0</v>
      </c>
      <c r="K1354" s="43">
        <f>VLOOKUP(Tabla1[[#This Row],[PAGO DIA]],DIAS!A:C,3,0)</f>
        <v>46105</v>
      </c>
      <c r="L1354" s="6">
        <v>0</v>
      </c>
      <c r="M1354" s="41">
        <f>VLOOKUP(Tabla1[[#This Row],[PAGO DIA]],DIAS!A:D,4,0)</f>
        <v>46140</v>
      </c>
      <c r="N1354" s="6">
        <v>0</v>
      </c>
      <c r="O1354" s="43">
        <f>VLOOKUP(Tabla1[[#This Row],[PAGO DIA]],DIAS!A:E,5,0)</f>
        <v>46168</v>
      </c>
      <c r="P1354" s="6">
        <v>0</v>
      </c>
      <c r="Q1354" s="43">
        <f>VLOOKUP(Tabla1[[#This Row],[PAGO DIA]],DIAS!A:F,6,0)</f>
        <v>46196</v>
      </c>
      <c r="R1354" s="6">
        <v>0</v>
      </c>
      <c r="S1354" s="43">
        <f>VLOOKUP(Tabla1[[#This Row],[PAGO DIA]],DIAS!A:G,7,0)</f>
        <v>46231</v>
      </c>
      <c r="T1354" s="6">
        <v>0</v>
      </c>
      <c r="U1354" s="43">
        <f>VLOOKUP(Tabla1[[#This Row],[PAGO DIA]],DIAS!A:H,8,0)</f>
        <v>46259</v>
      </c>
      <c r="V1354" s="6">
        <v>0</v>
      </c>
      <c r="W1354" s="43">
        <f>VLOOKUP(Tabla1[[#This Row],[PAGO DIA]],DIAS!A:I,9,0)</f>
        <v>46287</v>
      </c>
      <c r="X1354" s="6">
        <v>0</v>
      </c>
      <c r="Y1354" s="43">
        <f>VLOOKUP(Tabla1[[#This Row],[PAGO DIA]],DIAS!A:J,10,0)</f>
        <v>46322</v>
      </c>
      <c r="Z1354" s="6">
        <v>0</v>
      </c>
      <c r="AA1354" s="43">
        <f>VLOOKUP(Tabla1[[#This Row],[PAGO DIA]],DIAS!A:K,11,0)</f>
        <v>46350</v>
      </c>
      <c r="AB1354" s="6">
        <v>0</v>
      </c>
      <c r="AC1354" s="43">
        <f>VLOOKUP(Tabla1[[#This Row],[PAGO DIA]],DIAS!A:M,12,0)</f>
        <v>46379</v>
      </c>
      <c r="AD13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5" spans="1:30">
      <c r="A1355" s="3">
        <v>10993</v>
      </c>
      <c r="B1355" s="3" t="s">
        <v>510</v>
      </c>
      <c r="C1355" s="3" t="s">
        <v>1140</v>
      </c>
      <c r="D1355" s="3" t="s">
        <v>1141</v>
      </c>
      <c r="E1355" s="3" t="s">
        <v>699</v>
      </c>
      <c r="F1355" s="42" t="s">
        <v>562</v>
      </c>
      <c r="G1355" s="3"/>
      <c r="H1355" s="6">
        <v>0</v>
      </c>
      <c r="I1355" s="41">
        <f>VLOOKUP(Tabla1[[#This Row],[PAGO DIA]],DIAS!A:B,2,0)</f>
        <v>46078</v>
      </c>
      <c r="J1355" s="6">
        <v>0</v>
      </c>
      <c r="K1355" s="43">
        <f>VLOOKUP(Tabla1[[#This Row],[PAGO DIA]],DIAS!A:C,3,0)</f>
        <v>46105</v>
      </c>
      <c r="L1355" s="6">
        <v>0</v>
      </c>
      <c r="M1355" s="41">
        <f>VLOOKUP(Tabla1[[#This Row],[PAGO DIA]],DIAS!A:D,4,0)</f>
        <v>46140</v>
      </c>
      <c r="N1355" s="6">
        <v>0</v>
      </c>
      <c r="O1355" s="43">
        <f>VLOOKUP(Tabla1[[#This Row],[PAGO DIA]],DIAS!A:E,5,0)</f>
        <v>46168</v>
      </c>
      <c r="P1355" s="6">
        <v>0</v>
      </c>
      <c r="Q1355" s="43">
        <f>VLOOKUP(Tabla1[[#This Row],[PAGO DIA]],DIAS!A:F,6,0)</f>
        <v>46196</v>
      </c>
      <c r="R1355" s="6">
        <v>0</v>
      </c>
      <c r="S1355" s="43">
        <f>VLOOKUP(Tabla1[[#This Row],[PAGO DIA]],DIAS!A:G,7,0)</f>
        <v>46231</v>
      </c>
      <c r="T1355" s="6">
        <v>0</v>
      </c>
      <c r="U1355" s="43">
        <f>VLOOKUP(Tabla1[[#This Row],[PAGO DIA]],DIAS!A:H,8,0)</f>
        <v>46259</v>
      </c>
      <c r="V1355" s="6">
        <v>0</v>
      </c>
      <c r="W1355" s="43">
        <f>VLOOKUP(Tabla1[[#This Row],[PAGO DIA]],DIAS!A:I,9,0)</f>
        <v>46287</v>
      </c>
      <c r="X1355" s="6">
        <v>0</v>
      </c>
      <c r="Y1355" s="43">
        <f>VLOOKUP(Tabla1[[#This Row],[PAGO DIA]],DIAS!A:J,10,0)</f>
        <v>46322</v>
      </c>
      <c r="Z1355" s="6">
        <v>0</v>
      </c>
      <c r="AA1355" s="43">
        <f>VLOOKUP(Tabla1[[#This Row],[PAGO DIA]],DIAS!A:K,11,0)</f>
        <v>46350</v>
      </c>
      <c r="AB1355" s="6">
        <v>0</v>
      </c>
      <c r="AC1355" s="43">
        <f>VLOOKUP(Tabla1[[#This Row],[PAGO DIA]],DIAS!A:M,12,0)</f>
        <v>46379</v>
      </c>
      <c r="AD13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6" spans="1:30">
      <c r="A1356" s="3">
        <v>11540</v>
      </c>
      <c r="B1356" s="3" t="s">
        <v>510</v>
      </c>
      <c r="C1356" s="3"/>
      <c r="D1356" s="3" t="s">
        <v>1141</v>
      </c>
      <c r="E1356" s="3" t="s">
        <v>699</v>
      </c>
      <c r="F1356" s="42" t="s">
        <v>562</v>
      </c>
      <c r="G1356" s="3"/>
      <c r="H1356" s="6">
        <v>0</v>
      </c>
      <c r="I1356" s="41">
        <f>VLOOKUP(Tabla1[[#This Row],[PAGO DIA]],DIAS!A:B,2,0)</f>
        <v>46078</v>
      </c>
      <c r="J1356" s="6">
        <v>0</v>
      </c>
      <c r="K1356" s="43">
        <f>VLOOKUP(Tabla1[[#This Row],[PAGO DIA]],DIAS!A:C,3,0)</f>
        <v>46105</v>
      </c>
      <c r="L1356" s="6">
        <v>0</v>
      </c>
      <c r="M1356" s="41">
        <f>VLOOKUP(Tabla1[[#This Row],[PAGO DIA]],DIAS!A:D,4,0)</f>
        <v>46140</v>
      </c>
      <c r="N1356" s="6">
        <v>0</v>
      </c>
      <c r="O1356" s="43">
        <f>VLOOKUP(Tabla1[[#This Row],[PAGO DIA]],DIAS!A:E,5,0)</f>
        <v>46168</v>
      </c>
      <c r="P1356" s="6">
        <v>0</v>
      </c>
      <c r="Q1356" s="43">
        <f>VLOOKUP(Tabla1[[#This Row],[PAGO DIA]],DIAS!A:F,6,0)</f>
        <v>46196</v>
      </c>
      <c r="R1356" s="6">
        <v>0</v>
      </c>
      <c r="S1356" s="43">
        <f>VLOOKUP(Tabla1[[#This Row],[PAGO DIA]],DIAS!A:G,7,0)</f>
        <v>46231</v>
      </c>
      <c r="T1356" s="6">
        <v>0</v>
      </c>
      <c r="U1356" s="43">
        <f>VLOOKUP(Tabla1[[#This Row],[PAGO DIA]],DIAS!A:H,8,0)</f>
        <v>46259</v>
      </c>
      <c r="V1356" s="6">
        <v>0</v>
      </c>
      <c r="W1356" s="43">
        <f>VLOOKUP(Tabla1[[#This Row],[PAGO DIA]],DIAS!A:I,9,0)</f>
        <v>46287</v>
      </c>
      <c r="X1356" s="6">
        <v>0</v>
      </c>
      <c r="Y1356" s="43">
        <f>VLOOKUP(Tabla1[[#This Row],[PAGO DIA]],DIAS!A:J,10,0)</f>
        <v>46322</v>
      </c>
      <c r="Z1356" s="6">
        <v>0</v>
      </c>
      <c r="AA1356" s="43">
        <f>VLOOKUP(Tabla1[[#This Row],[PAGO DIA]],DIAS!A:K,11,0)</f>
        <v>46350</v>
      </c>
      <c r="AB1356" s="6">
        <v>0</v>
      </c>
      <c r="AC1356" s="43">
        <f>VLOOKUP(Tabla1[[#This Row],[PAGO DIA]],DIAS!A:M,12,0)</f>
        <v>46379</v>
      </c>
      <c r="AD13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7" spans="1:30">
      <c r="A1357" s="3">
        <v>11541</v>
      </c>
      <c r="B1357" s="3" t="s">
        <v>510</v>
      </c>
      <c r="C1357" s="3" t="s">
        <v>1140</v>
      </c>
      <c r="D1357" s="3" t="s">
        <v>1907</v>
      </c>
      <c r="E1357" s="3" t="s">
        <v>699</v>
      </c>
      <c r="F1357" s="42" t="s">
        <v>562</v>
      </c>
      <c r="G1357" s="3" t="s">
        <v>1908</v>
      </c>
      <c r="H1357" s="6">
        <v>0</v>
      </c>
      <c r="I1357" s="41">
        <f>VLOOKUP(Tabla1[[#This Row],[PAGO DIA]],DIAS!A:B,2,0)</f>
        <v>46078</v>
      </c>
      <c r="J1357" s="6">
        <v>0</v>
      </c>
      <c r="K1357" s="43">
        <f>VLOOKUP(Tabla1[[#This Row],[PAGO DIA]],DIAS!A:C,3,0)</f>
        <v>46105</v>
      </c>
      <c r="L1357" s="6">
        <v>0</v>
      </c>
      <c r="M1357" s="41">
        <f>VLOOKUP(Tabla1[[#This Row],[PAGO DIA]],DIAS!A:D,4,0)</f>
        <v>46140</v>
      </c>
      <c r="N1357" s="6">
        <v>0</v>
      </c>
      <c r="O1357" s="43">
        <f>VLOOKUP(Tabla1[[#This Row],[PAGO DIA]],DIAS!A:E,5,0)</f>
        <v>46168</v>
      </c>
      <c r="P1357" s="6">
        <v>0</v>
      </c>
      <c r="Q1357" s="43">
        <f>VLOOKUP(Tabla1[[#This Row],[PAGO DIA]],DIAS!A:F,6,0)</f>
        <v>46196</v>
      </c>
      <c r="R1357" s="6">
        <v>0</v>
      </c>
      <c r="S1357" s="43">
        <f>VLOOKUP(Tabla1[[#This Row],[PAGO DIA]],DIAS!A:G,7,0)</f>
        <v>46231</v>
      </c>
      <c r="T1357" s="6">
        <v>0</v>
      </c>
      <c r="U1357" s="43">
        <f>VLOOKUP(Tabla1[[#This Row],[PAGO DIA]],DIAS!A:H,8,0)</f>
        <v>46259</v>
      </c>
      <c r="V1357" s="6">
        <v>0</v>
      </c>
      <c r="W1357" s="43">
        <f>VLOOKUP(Tabla1[[#This Row],[PAGO DIA]],DIAS!A:I,9,0)</f>
        <v>46287</v>
      </c>
      <c r="X1357" s="6">
        <v>0</v>
      </c>
      <c r="Y1357" s="43">
        <f>VLOOKUP(Tabla1[[#This Row],[PAGO DIA]],DIAS!A:J,10,0)</f>
        <v>46322</v>
      </c>
      <c r="Z1357" s="6">
        <v>0</v>
      </c>
      <c r="AA1357" s="43">
        <f>VLOOKUP(Tabla1[[#This Row],[PAGO DIA]],DIAS!A:K,11,0)</f>
        <v>46350</v>
      </c>
      <c r="AB1357" s="6">
        <v>0</v>
      </c>
      <c r="AC1357" s="43">
        <f>VLOOKUP(Tabla1[[#This Row],[PAGO DIA]],DIAS!A:M,12,0)</f>
        <v>46379</v>
      </c>
      <c r="AD13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8" spans="1:30">
      <c r="A1358" s="3">
        <v>11542</v>
      </c>
      <c r="B1358" s="3" t="s">
        <v>510</v>
      </c>
      <c r="C1358" s="3" t="s">
        <v>1140</v>
      </c>
      <c r="D1358" s="3" t="s">
        <v>1909</v>
      </c>
      <c r="E1358" s="3" t="s">
        <v>699</v>
      </c>
      <c r="F1358" s="42" t="s">
        <v>562</v>
      </c>
      <c r="G1358" s="3" t="s">
        <v>1910</v>
      </c>
      <c r="H1358" s="6">
        <v>0</v>
      </c>
      <c r="I1358" s="41">
        <f>VLOOKUP(Tabla1[[#This Row],[PAGO DIA]],DIAS!A:B,2,0)</f>
        <v>46078</v>
      </c>
      <c r="J1358" s="6">
        <v>0</v>
      </c>
      <c r="K1358" s="43">
        <f>VLOOKUP(Tabla1[[#This Row],[PAGO DIA]],DIAS!A:C,3,0)</f>
        <v>46105</v>
      </c>
      <c r="L1358" s="6">
        <v>0</v>
      </c>
      <c r="M1358" s="41">
        <f>VLOOKUP(Tabla1[[#This Row],[PAGO DIA]],DIAS!A:D,4,0)</f>
        <v>46140</v>
      </c>
      <c r="N1358" s="6">
        <v>0</v>
      </c>
      <c r="O1358" s="43">
        <f>VLOOKUP(Tabla1[[#This Row],[PAGO DIA]],DIAS!A:E,5,0)</f>
        <v>46168</v>
      </c>
      <c r="P1358" s="6">
        <v>0</v>
      </c>
      <c r="Q1358" s="43">
        <f>VLOOKUP(Tabla1[[#This Row],[PAGO DIA]],DIAS!A:F,6,0)</f>
        <v>46196</v>
      </c>
      <c r="R1358" s="6">
        <v>0</v>
      </c>
      <c r="S1358" s="43">
        <f>VLOOKUP(Tabla1[[#This Row],[PAGO DIA]],DIAS!A:G,7,0)</f>
        <v>46231</v>
      </c>
      <c r="T1358" s="6">
        <v>0</v>
      </c>
      <c r="U1358" s="43">
        <f>VLOOKUP(Tabla1[[#This Row],[PAGO DIA]],DIAS!A:H,8,0)</f>
        <v>46259</v>
      </c>
      <c r="V1358" s="6">
        <v>0</v>
      </c>
      <c r="W1358" s="43">
        <f>VLOOKUP(Tabla1[[#This Row],[PAGO DIA]],DIAS!A:I,9,0)</f>
        <v>46287</v>
      </c>
      <c r="X1358" s="6">
        <v>0</v>
      </c>
      <c r="Y1358" s="43">
        <f>VLOOKUP(Tabla1[[#This Row],[PAGO DIA]],DIAS!A:J,10,0)</f>
        <v>46322</v>
      </c>
      <c r="Z1358" s="6">
        <v>0</v>
      </c>
      <c r="AA1358" s="43">
        <f>VLOOKUP(Tabla1[[#This Row],[PAGO DIA]],DIAS!A:K,11,0)</f>
        <v>46350</v>
      </c>
      <c r="AB1358" s="6">
        <v>0</v>
      </c>
      <c r="AC1358" s="43">
        <f>VLOOKUP(Tabla1[[#This Row],[PAGO DIA]],DIAS!A:M,12,0)</f>
        <v>46379</v>
      </c>
      <c r="AD13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59" spans="1:30">
      <c r="A1359" s="3">
        <v>11543</v>
      </c>
      <c r="B1359" s="3" t="s">
        <v>510</v>
      </c>
      <c r="C1359" s="3" t="s">
        <v>1140</v>
      </c>
      <c r="D1359" s="3" t="s">
        <v>1911</v>
      </c>
      <c r="E1359" s="3" t="s">
        <v>699</v>
      </c>
      <c r="F1359" s="42" t="s">
        <v>562</v>
      </c>
      <c r="G1359" s="3" t="s">
        <v>1908</v>
      </c>
      <c r="H1359" s="6">
        <v>0</v>
      </c>
      <c r="I1359" s="41">
        <f>VLOOKUP(Tabla1[[#This Row],[PAGO DIA]],DIAS!A:B,2,0)</f>
        <v>46078</v>
      </c>
      <c r="J1359" s="6">
        <v>0</v>
      </c>
      <c r="K1359" s="43">
        <f>VLOOKUP(Tabla1[[#This Row],[PAGO DIA]],DIAS!A:C,3,0)</f>
        <v>46105</v>
      </c>
      <c r="L1359" s="6">
        <v>0</v>
      </c>
      <c r="M1359" s="41">
        <f>VLOOKUP(Tabla1[[#This Row],[PAGO DIA]],DIAS!A:D,4,0)</f>
        <v>46140</v>
      </c>
      <c r="N1359" s="6">
        <v>0</v>
      </c>
      <c r="O1359" s="43">
        <f>VLOOKUP(Tabla1[[#This Row],[PAGO DIA]],DIAS!A:E,5,0)</f>
        <v>46168</v>
      </c>
      <c r="P1359" s="6">
        <v>0</v>
      </c>
      <c r="Q1359" s="43">
        <f>VLOOKUP(Tabla1[[#This Row],[PAGO DIA]],DIAS!A:F,6,0)</f>
        <v>46196</v>
      </c>
      <c r="R1359" s="6">
        <v>0</v>
      </c>
      <c r="S1359" s="43">
        <f>VLOOKUP(Tabla1[[#This Row],[PAGO DIA]],DIAS!A:G,7,0)</f>
        <v>46231</v>
      </c>
      <c r="T1359" s="6">
        <v>0</v>
      </c>
      <c r="U1359" s="43">
        <f>VLOOKUP(Tabla1[[#This Row],[PAGO DIA]],DIAS!A:H,8,0)</f>
        <v>46259</v>
      </c>
      <c r="V1359" s="6">
        <v>0</v>
      </c>
      <c r="W1359" s="43">
        <f>VLOOKUP(Tabla1[[#This Row],[PAGO DIA]],DIAS!A:I,9,0)</f>
        <v>46287</v>
      </c>
      <c r="X1359" s="6">
        <v>0</v>
      </c>
      <c r="Y1359" s="43">
        <f>VLOOKUP(Tabla1[[#This Row],[PAGO DIA]],DIAS!A:J,10,0)</f>
        <v>46322</v>
      </c>
      <c r="Z1359" s="6">
        <v>0</v>
      </c>
      <c r="AA1359" s="43">
        <f>VLOOKUP(Tabla1[[#This Row],[PAGO DIA]],DIAS!A:K,11,0)</f>
        <v>46350</v>
      </c>
      <c r="AB1359" s="6">
        <v>0</v>
      </c>
      <c r="AC1359" s="43">
        <f>VLOOKUP(Tabla1[[#This Row],[PAGO DIA]],DIAS!A:M,12,0)</f>
        <v>46379</v>
      </c>
      <c r="AD13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0" spans="1:30">
      <c r="A1360" s="3">
        <v>11544</v>
      </c>
      <c r="B1360" s="3" t="s">
        <v>510</v>
      </c>
      <c r="C1360" s="3" t="s">
        <v>1140</v>
      </c>
      <c r="D1360" s="3" t="s">
        <v>1912</v>
      </c>
      <c r="E1360" s="3" t="s">
        <v>699</v>
      </c>
      <c r="F1360" s="42" t="s">
        <v>562</v>
      </c>
      <c r="G1360" s="3" t="s">
        <v>1910</v>
      </c>
      <c r="H1360" s="6">
        <v>0</v>
      </c>
      <c r="I1360" s="41">
        <f>VLOOKUP(Tabla1[[#This Row],[PAGO DIA]],DIAS!A:B,2,0)</f>
        <v>46078</v>
      </c>
      <c r="J1360" s="6">
        <v>0</v>
      </c>
      <c r="K1360" s="43">
        <f>VLOOKUP(Tabla1[[#This Row],[PAGO DIA]],DIAS!A:C,3,0)</f>
        <v>46105</v>
      </c>
      <c r="L1360" s="6">
        <v>0</v>
      </c>
      <c r="M1360" s="41">
        <f>VLOOKUP(Tabla1[[#This Row],[PAGO DIA]],DIAS!A:D,4,0)</f>
        <v>46140</v>
      </c>
      <c r="N1360" s="6">
        <v>0</v>
      </c>
      <c r="O1360" s="43">
        <f>VLOOKUP(Tabla1[[#This Row],[PAGO DIA]],DIAS!A:E,5,0)</f>
        <v>46168</v>
      </c>
      <c r="P1360" s="6">
        <v>0</v>
      </c>
      <c r="Q1360" s="43">
        <f>VLOOKUP(Tabla1[[#This Row],[PAGO DIA]],DIAS!A:F,6,0)</f>
        <v>46196</v>
      </c>
      <c r="R1360" s="6">
        <v>0</v>
      </c>
      <c r="S1360" s="43">
        <f>VLOOKUP(Tabla1[[#This Row],[PAGO DIA]],DIAS!A:G,7,0)</f>
        <v>46231</v>
      </c>
      <c r="T1360" s="6">
        <v>0</v>
      </c>
      <c r="U1360" s="43">
        <f>VLOOKUP(Tabla1[[#This Row],[PAGO DIA]],DIAS!A:H,8,0)</f>
        <v>46259</v>
      </c>
      <c r="V1360" s="6">
        <v>0</v>
      </c>
      <c r="W1360" s="43">
        <f>VLOOKUP(Tabla1[[#This Row],[PAGO DIA]],DIAS!A:I,9,0)</f>
        <v>46287</v>
      </c>
      <c r="X1360" s="6">
        <v>0</v>
      </c>
      <c r="Y1360" s="43">
        <f>VLOOKUP(Tabla1[[#This Row],[PAGO DIA]],DIAS!A:J,10,0)</f>
        <v>46322</v>
      </c>
      <c r="Z1360" s="6">
        <v>0</v>
      </c>
      <c r="AA1360" s="43">
        <f>VLOOKUP(Tabla1[[#This Row],[PAGO DIA]],DIAS!A:K,11,0)</f>
        <v>46350</v>
      </c>
      <c r="AB1360" s="6">
        <v>0</v>
      </c>
      <c r="AC1360" s="43">
        <f>VLOOKUP(Tabla1[[#This Row],[PAGO DIA]],DIAS!A:M,12,0)</f>
        <v>46379</v>
      </c>
      <c r="AD13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1" spans="1:30">
      <c r="A1361" s="3">
        <v>11547</v>
      </c>
      <c r="B1361" s="3" t="s">
        <v>510</v>
      </c>
      <c r="C1361" s="3" t="s">
        <v>540</v>
      </c>
      <c r="D1361" s="3" t="s">
        <v>540</v>
      </c>
      <c r="E1361" s="3" t="s">
        <v>699</v>
      </c>
      <c r="F1361" s="42" t="s">
        <v>562</v>
      </c>
      <c r="G1361" s="3" t="s">
        <v>1913</v>
      </c>
      <c r="H1361" s="6">
        <v>0</v>
      </c>
      <c r="I1361" s="41">
        <f>VLOOKUP(Tabla1[[#This Row],[PAGO DIA]],DIAS!A:B,2,0)</f>
        <v>46078</v>
      </c>
      <c r="J1361" s="6">
        <v>0</v>
      </c>
      <c r="K1361" s="43">
        <f>VLOOKUP(Tabla1[[#This Row],[PAGO DIA]],DIAS!A:C,3,0)</f>
        <v>46105</v>
      </c>
      <c r="L1361" s="6">
        <v>0</v>
      </c>
      <c r="M1361" s="41">
        <f>VLOOKUP(Tabla1[[#This Row],[PAGO DIA]],DIAS!A:D,4,0)</f>
        <v>46140</v>
      </c>
      <c r="N1361" s="6">
        <v>0</v>
      </c>
      <c r="O1361" s="43">
        <f>VLOOKUP(Tabla1[[#This Row],[PAGO DIA]],DIAS!A:E,5,0)</f>
        <v>46168</v>
      </c>
      <c r="P1361" s="6">
        <v>0</v>
      </c>
      <c r="Q1361" s="43">
        <f>VLOOKUP(Tabla1[[#This Row],[PAGO DIA]],DIAS!A:F,6,0)</f>
        <v>46196</v>
      </c>
      <c r="R1361" s="6">
        <v>0</v>
      </c>
      <c r="S1361" s="43">
        <f>VLOOKUP(Tabla1[[#This Row],[PAGO DIA]],DIAS!A:G,7,0)</f>
        <v>46231</v>
      </c>
      <c r="T1361" s="6">
        <v>0</v>
      </c>
      <c r="U1361" s="43">
        <f>VLOOKUP(Tabla1[[#This Row],[PAGO DIA]],DIAS!A:H,8,0)</f>
        <v>46259</v>
      </c>
      <c r="V1361" s="6">
        <v>0</v>
      </c>
      <c r="W1361" s="43">
        <f>VLOOKUP(Tabla1[[#This Row],[PAGO DIA]],DIAS!A:I,9,0)</f>
        <v>46287</v>
      </c>
      <c r="X1361" s="6">
        <v>0</v>
      </c>
      <c r="Y1361" s="43">
        <f>VLOOKUP(Tabla1[[#This Row],[PAGO DIA]],DIAS!A:J,10,0)</f>
        <v>46322</v>
      </c>
      <c r="Z1361" s="6">
        <v>0</v>
      </c>
      <c r="AA1361" s="43">
        <f>VLOOKUP(Tabla1[[#This Row],[PAGO DIA]],DIAS!A:K,11,0)</f>
        <v>46350</v>
      </c>
      <c r="AB1361" s="6">
        <v>0</v>
      </c>
      <c r="AC1361" s="43">
        <f>VLOOKUP(Tabla1[[#This Row],[PAGO DIA]],DIAS!A:M,12,0)</f>
        <v>46379</v>
      </c>
      <c r="AD13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2" spans="1:30">
      <c r="A1362" s="3">
        <v>11995</v>
      </c>
      <c r="B1362" s="3" t="s">
        <v>510</v>
      </c>
      <c r="C1362" s="3"/>
      <c r="D1362" s="3" t="s">
        <v>1863</v>
      </c>
      <c r="E1362" s="3" t="s">
        <v>1914</v>
      </c>
      <c r="F1362" s="42" t="s">
        <v>562</v>
      </c>
      <c r="G1362" s="3"/>
      <c r="H1362" s="6">
        <v>0</v>
      </c>
      <c r="I1362" s="41">
        <f>VLOOKUP(Tabla1[[#This Row],[PAGO DIA]],DIAS!A:B,2,0)</f>
        <v>46078</v>
      </c>
      <c r="J1362" s="6">
        <v>0</v>
      </c>
      <c r="K1362" s="43">
        <f>VLOOKUP(Tabla1[[#This Row],[PAGO DIA]],DIAS!A:C,3,0)</f>
        <v>46105</v>
      </c>
      <c r="L1362" s="6">
        <v>0</v>
      </c>
      <c r="M1362" s="41">
        <f>VLOOKUP(Tabla1[[#This Row],[PAGO DIA]],DIAS!A:D,4,0)</f>
        <v>46140</v>
      </c>
      <c r="N1362" s="6">
        <v>0</v>
      </c>
      <c r="O1362" s="43">
        <f>VLOOKUP(Tabla1[[#This Row],[PAGO DIA]],DIAS!A:E,5,0)</f>
        <v>46168</v>
      </c>
      <c r="P1362" s="6">
        <v>0</v>
      </c>
      <c r="Q1362" s="43">
        <f>VLOOKUP(Tabla1[[#This Row],[PAGO DIA]],DIAS!A:F,6,0)</f>
        <v>46196</v>
      </c>
      <c r="R1362" s="6">
        <v>0</v>
      </c>
      <c r="S1362" s="43">
        <f>VLOOKUP(Tabla1[[#This Row],[PAGO DIA]],DIAS!A:G,7,0)</f>
        <v>46231</v>
      </c>
      <c r="T1362" s="6">
        <v>0</v>
      </c>
      <c r="U1362" s="43">
        <f>VLOOKUP(Tabla1[[#This Row],[PAGO DIA]],DIAS!A:H,8,0)</f>
        <v>46259</v>
      </c>
      <c r="V1362" s="6">
        <v>0</v>
      </c>
      <c r="W1362" s="43">
        <f>VLOOKUP(Tabla1[[#This Row],[PAGO DIA]],DIAS!A:I,9,0)</f>
        <v>46287</v>
      </c>
      <c r="X1362" s="6">
        <v>0</v>
      </c>
      <c r="Y1362" s="43">
        <f>VLOOKUP(Tabla1[[#This Row],[PAGO DIA]],DIAS!A:J,10,0)</f>
        <v>46322</v>
      </c>
      <c r="Z1362" s="6">
        <v>0</v>
      </c>
      <c r="AA1362" s="43">
        <f>VLOOKUP(Tabla1[[#This Row],[PAGO DIA]],DIAS!A:K,11,0)</f>
        <v>46350</v>
      </c>
      <c r="AB1362" s="6">
        <v>0</v>
      </c>
      <c r="AC1362" s="43">
        <f>VLOOKUP(Tabla1[[#This Row],[PAGO DIA]],DIAS!A:M,12,0)</f>
        <v>46379</v>
      </c>
      <c r="AD13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3" spans="1:30">
      <c r="A1363" s="3">
        <v>11577</v>
      </c>
      <c r="B1363" s="3" t="s">
        <v>510</v>
      </c>
      <c r="C1363" s="3" t="s">
        <v>1179</v>
      </c>
      <c r="D1363" s="3" t="s">
        <v>1179</v>
      </c>
      <c r="E1363" s="3" t="s">
        <v>736</v>
      </c>
      <c r="F1363" s="42" t="s">
        <v>562</v>
      </c>
      <c r="G1363" s="3" t="s">
        <v>1915</v>
      </c>
      <c r="H1363" s="6">
        <v>0</v>
      </c>
      <c r="I1363" s="41">
        <f>VLOOKUP(Tabla1[[#This Row],[PAGO DIA]],DIAS!A:B,2,0)</f>
        <v>46078</v>
      </c>
      <c r="J1363" s="6">
        <v>0</v>
      </c>
      <c r="K1363" s="43">
        <f>VLOOKUP(Tabla1[[#This Row],[PAGO DIA]],DIAS!A:C,3,0)</f>
        <v>46105</v>
      </c>
      <c r="L1363" s="6">
        <v>0</v>
      </c>
      <c r="M1363" s="41">
        <f>VLOOKUP(Tabla1[[#This Row],[PAGO DIA]],DIAS!A:D,4,0)</f>
        <v>46140</v>
      </c>
      <c r="N1363" s="6">
        <v>0</v>
      </c>
      <c r="O1363" s="43">
        <f>VLOOKUP(Tabla1[[#This Row],[PAGO DIA]],DIAS!A:E,5,0)</f>
        <v>46168</v>
      </c>
      <c r="P1363" s="6">
        <v>0</v>
      </c>
      <c r="Q1363" s="43">
        <f>VLOOKUP(Tabla1[[#This Row],[PAGO DIA]],DIAS!A:F,6,0)</f>
        <v>46196</v>
      </c>
      <c r="R1363" s="6">
        <v>0</v>
      </c>
      <c r="S1363" s="43">
        <f>VLOOKUP(Tabla1[[#This Row],[PAGO DIA]],DIAS!A:G,7,0)</f>
        <v>46231</v>
      </c>
      <c r="T1363" s="6">
        <v>0</v>
      </c>
      <c r="U1363" s="43">
        <f>VLOOKUP(Tabla1[[#This Row],[PAGO DIA]],DIAS!A:H,8,0)</f>
        <v>46259</v>
      </c>
      <c r="V1363" s="6">
        <v>0</v>
      </c>
      <c r="W1363" s="43">
        <f>VLOOKUP(Tabla1[[#This Row],[PAGO DIA]],DIAS!A:I,9,0)</f>
        <v>46287</v>
      </c>
      <c r="X1363" s="6">
        <v>0</v>
      </c>
      <c r="Y1363" s="43">
        <f>VLOOKUP(Tabla1[[#This Row],[PAGO DIA]],DIAS!A:J,10,0)</f>
        <v>46322</v>
      </c>
      <c r="Z1363" s="6">
        <v>0</v>
      </c>
      <c r="AA1363" s="43">
        <f>VLOOKUP(Tabla1[[#This Row],[PAGO DIA]],DIAS!A:K,11,0)</f>
        <v>46350</v>
      </c>
      <c r="AB1363" s="6">
        <v>0</v>
      </c>
      <c r="AC1363" s="43">
        <f>VLOOKUP(Tabla1[[#This Row],[PAGO DIA]],DIAS!A:M,12,0)</f>
        <v>46379</v>
      </c>
      <c r="AD13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4" spans="1:30">
      <c r="A1364" s="3">
        <v>11578</v>
      </c>
      <c r="B1364" s="3" t="s">
        <v>510</v>
      </c>
      <c r="C1364" s="3" t="s">
        <v>1179</v>
      </c>
      <c r="D1364" s="3" t="s">
        <v>1179</v>
      </c>
      <c r="E1364" s="3" t="s">
        <v>736</v>
      </c>
      <c r="F1364" s="42" t="s">
        <v>562</v>
      </c>
      <c r="G1364" s="3" t="s">
        <v>1182</v>
      </c>
      <c r="H1364" s="6">
        <v>0</v>
      </c>
      <c r="I1364" s="41">
        <f>VLOOKUP(Tabla1[[#This Row],[PAGO DIA]],DIAS!A:B,2,0)</f>
        <v>46078</v>
      </c>
      <c r="J1364" s="6">
        <v>0</v>
      </c>
      <c r="K1364" s="43">
        <f>VLOOKUP(Tabla1[[#This Row],[PAGO DIA]],DIAS!A:C,3,0)</f>
        <v>46105</v>
      </c>
      <c r="L1364" s="6">
        <v>0</v>
      </c>
      <c r="M1364" s="41">
        <f>VLOOKUP(Tabla1[[#This Row],[PAGO DIA]],DIAS!A:D,4,0)</f>
        <v>46140</v>
      </c>
      <c r="N1364" s="6">
        <v>0</v>
      </c>
      <c r="O1364" s="43">
        <f>VLOOKUP(Tabla1[[#This Row],[PAGO DIA]],DIAS!A:E,5,0)</f>
        <v>46168</v>
      </c>
      <c r="P1364" s="6">
        <v>0</v>
      </c>
      <c r="Q1364" s="43">
        <f>VLOOKUP(Tabla1[[#This Row],[PAGO DIA]],DIAS!A:F,6,0)</f>
        <v>46196</v>
      </c>
      <c r="R1364" s="6">
        <v>0</v>
      </c>
      <c r="S1364" s="43">
        <f>VLOOKUP(Tabla1[[#This Row],[PAGO DIA]],DIAS!A:G,7,0)</f>
        <v>46231</v>
      </c>
      <c r="T1364" s="6">
        <v>0</v>
      </c>
      <c r="U1364" s="43">
        <f>VLOOKUP(Tabla1[[#This Row],[PAGO DIA]],DIAS!A:H,8,0)</f>
        <v>46259</v>
      </c>
      <c r="V1364" s="6">
        <v>0</v>
      </c>
      <c r="W1364" s="43">
        <f>VLOOKUP(Tabla1[[#This Row],[PAGO DIA]],DIAS!A:I,9,0)</f>
        <v>46287</v>
      </c>
      <c r="X1364" s="6">
        <v>0</v>
      </c>
      <c r="Y1364" s="43">
        <f>VLOOKUP(Tabla1[[#This Row],[PAGO DIA]],DIAS!A:J,10,0)</f>
        <v>46322</v>
      </c>
      <c r="Z1364" s="6">
        <v>0</v>
      </c>
      <c r="AA1364" s="43">
        <f>VLOOKUP(Tabla1[[#This Row],[PAGO DIA]],DIAS!A:K,11,0)</f>
        <v>46350</v>
      </c>
      <c r="AB1364" s="6">
        <v>0</v>
      </c>
      <c r="AC1364" s="43">
        <f>VLOOKUP(Tabla1[[#This Row],[PAGO DIA]],DIAS!A:M,12,0)</f>
        <v>46379</v>
      </c>
      <c r="AD13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5" spans="1:30">
      <c r="A1365" s="3">
        <v>11579</v>
      </c>
      <c r="B1365" s="3" t="s">
        <v>510</v>
      </c>
      <c r="C1365" s="3" t="s">
        <v>1179</v>
      </c>
      <c r="D1365" s="3" t="s">
        <v>1179</v>
      </c>
      <c r="E1365" s="3" t="s">
        <v>736</v>
      </c>
      <c r="F1365" s="42" t="s">
        <v>562</v>
      </c>
      <c r="G1365" s="3" t="s">
        <v>1181</v>
      </c>
      <c r="H1365" s="6">
        <v>0</v>
      </c>
      <c r="I1365" s="41">
        <f>VLOOKUP(Tabla1[[#This Row],[PAGO DIA]],DIAS!A:B,2,0)</f>
        <v>46078</v>
      </c>
      <c r="J1365" s="6">
        <v>0</v>
      </c>
      <c r="K1365" s="43">
        <f>VLOOKUP(Tabla1[[#This Row],[PAGO DIA]],DIAS!A:C,3,0)</f>
        <v>46105</v>
      </c>
      <c r="L1365" s="6">
        <v>0</v>
      </c>
      <c r="M1365" s="41">
        <f>VLOOKUP(Tabla1[[#This Row],[PAGO DIA]],DIAS!A:D,4,0)</f>
        <v>46140</v>
      </c>
      <c r="N1365" s="6">
        <v>0</v>
      </c>
      <c r="O1365" s="43">
        <f>VLOOKUP(Tabla1[[#This Row],[PAGO DIA]],DIAS!A:E,5,0)</f>
        <v>46168</v>
      </c>
      <c r="P1365" s="6">
        <v>0</v>
      </c>
      <c r="Q1365" s="43">
        <f>VLOOKUP(Tabla1[[#This Row],[PAGO DIA]],DIAS!A:F,6,0)</f>
        <v>46196</v>
      </c>
      <c r="R1365" s="6">
        <v>0</v>
      </c>
      <c r="S1365" s="43">
        <f>VLOOKUP(Tabla1[[#This Row],[PAGO DIA]],DIAS!A:G,7,0)</f>
        <v>46231</v>
      </c>
      <c r="T1365" s="6">
        <v>0</v>
      </c>
      <c r="U1365" s="43">
        <f>VLOOKUP(Tabla1[[#This Row],[PAGO DIA]],DIAS!A:H,8,0)</f>
        <v>46259</v>
      </c>
      <c r="V1365" s="6">
        <v>0</v>
      </c>
      <c r="W1365" s="43">
        <f>VLOOKUP(Tabla1[[#This Row],[PAGO DIA]],DIAS!A:I,9,0)</f>
        <v>46287</v>
      </c>
      <c r="X1365" s="6">
        <v>0</v>
      </c>
      <c r="Y1365" s="43">
        <f>VLOOKUP(Tabla1[[#This Row],[PAGO DIA]],DIAS!A:J,10,0)</f>
        <v>46322</v>
      </c>
      <c r="Z1365" s="6">
        <v>0</v>
      </c>
      <c r="AA1365" s="43">
        <f>VLOOKUP(Tabla1[[#This Row],[PAGO DIA]],DIAS!A:K,11,0)</f>
        <v>46350</v>
      </c>
      <c r="AB1365" s="6">
        <v>0</v>
      </c>
      <c r="AC1365" s="43">
        <f>VLOOKUP(Tabla1[[#This Row],[PAGO DIA]],DIAS!A:M,12,0)</f>
        <v>46379</v>
      </c>
      <c r="AD13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6" spans="1:30">
      <c r="A1366" s="3">
        <v>11580</v>
      </c>
      <c r="B1366" s="3" t="s">
        <v>510</v>
      </c>
      <c r="C1366" s="3" t="s">
        <v>1179</v>
      </c>
      <c r="D1366" s="3" t="s">
        <v>1179</v>
      </c>
      <c r="E1366" s="3" t="s">
        <v>736</v>
      </c>
      <c r="F1366" s="42" t="s">
        <v>562</v>
      </c>
      <c r="G1366" s="3" t="s">
        <v>1916</v>
      </c>
      <c r="H1366" s="6">
        <v>0</v>
      </c>
      <c r="I1366" s="41">
        <f>VLOOKUP(Tabla1[[#This Row],[PAGO DIA]],DIAS!A:B,2,0)</f>
        <v>46078</v>
      </c>
      <c r="J1366" s="6">
        <v>0</v>
      </c>
      <c r="K1366" s="43">
        <f>VLOOKUP(Tabla1[[#This Row],[PAGO DIA]],DIAS!A:C,3,0)</f>
        <v>46105</v>
      </c>
      <c r="L1366" s="6">
        <v>0</v>
      </c>
      <c r="M1366" s="41">
        <f>VLOOKUP(Tabla1[[#This Row],[PAGO DIA]],DIAS!A:D,4,0)</f>
        <v>46140</v>
      </c>
      <c r="N1366" s="6">
        <v>0</v>
      </c>
      <c r="O1366" s="43">
        <f>VLOOKUP(Tabla1[[#This Row],[PAGO DIA]],DIAS!A:E,5,0)</f>
        <v>46168</v>
      </c>
      <c r="P1366" s="6">
        <v>0</v>
      </c>
      <c r="Q1366" s="43">
        <f>VLOOKUP(Tabla1[[#This Row],[PAGO DIA]],DIAS!A:F,6,0)</f>
        <v>46196</v>
      </c>
      <c r="R1366" s="6">
        <v>0</v>
      </c>
      <c r="S1366" s="43">
        <f>VLOOKUP(Tabla1[[#This Row],[PAGO DIA]],DIAS!A:G,7,0)</f>
        <v>46231</v>
      </c>
      <c r="T1366" s="6">
        <v>0</v>
      </c>
      <c r="U1366" s="43">
        <f>VLOOKUP(Tabla1[[#This Row],[PAGO DIA]],DIAS!A:H,8,0)</f>
        <v>46259</v>
      </c>
      <c r="V1366" s="6">
        <v>0</v>
      </c>
      <c r="W1366" s="43">
        <f>VLOOKUP(Tabla1[[#This Row],[PAGO DIA]],DIAS!A:I,9,0)</f>
        <v>46287</v>
      </c>
      <c r="X1366" s="6">
        <v>0</v>
      </c>
      <c r="Y1366" s="43">
        <f>VLOOKUP(Tabla1[[#This Row],[PAGO DIA]],DIAS!A:J,10,0)</f>
        <v>46322</v>
      </c>
      <c r="Z1366" s="6">
        <v>0</v>
      </c>
      <c r="AA1366" s="43">
        <f>VLOOKUP(Tabla1[[#This Row],[PAGO DIA]],DIAS!A:K,11,0)</f>
        <v>46350</v>
      </c>
      <c r="AB1366" s="6">
        <v>0</v>
      </c>
      <c r="AC1366" s="43">
        <f>VLOOKUP(Tabla1[[#This Row],[PAGO DIA]],DIAS!A:M,12,0)</f>
        <v>46379</v>
      </c>
      <c r="AD13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7" spans="1:30">
      <c r="A1367" s="3">
        <v>11581</v>
      </c>
      <c r="B1367" s="3" t="s">
        <v>510</v>
      </c>
      <c r="C1367" s="3" t="s">
        <v>1179</v>
      </c>
      <c r="D1367" s="3" t="s">
        <v>1179</v>
      </c>
      <c r="E1367" s="3" t="s">
        <v>736</v>
      </c>
      <c r="F1367" s="42" t="s">
        <v>562</v>
      </c>
      <c r="G1367" s="3" t="s">
        <v>1917</v>
      </c>
      <c r="H1367" s="6">
        <v>0</v>
      </c>
      <c r="I1367" s="41">
        <f>VLOOKUP(Tabla1[[#This Row],[PAGO DIA]],DIAS!A:B,2,0)</f>
        <v>46078</v>
      </c>
      <c r="J1367" s="6">
        <v>0</v>
      </c>
      <c r="K1367" s="43">
        <f>VLOOKUP(Tabla1[[#This Row],[PAGO DIA]],DIAS!A:C,3,0)</f>
        <v>46105</v>
      </c>
      <c r="L1367" s="6">
        <v>0</v>
      </c>
      <c r="M1367" s="41">
        <f>VLOOKUP(Tabla1[[#This Row],[PAGO DIA]],DIAS!A:D,4,0)</f>
        <v>46140</v>
      </c>
      <c r="N1367" s="6">
        <v>0</v>
      </c>
      <c r="O1367" s="43">
        <f>VLOOKUP(Tabla1[[#This Row],[PAGO DIA]],DIAS!A:E,5,0)</f>
        <v>46168</v>
      </c>
      <c r="P1367" s="6">
        <v>0</v>
      </c>
      <c r="Q1367" s="43">
        <f>VLOOKUP(Tabla1[[#This Row],[PAGO DIA]],DIAS!A:F,6,0)</f>
        <v>46196</v>
      </c>
      <c r="R1367" s="6">
        <v>0</v>
      </c>
      <c r="S1367" s="43">
        <f>VLOOKUP(Tabla1[[#This Row],[PAGO DIA]],DIAS!A:G,7,0)</f>
        <v>46231</v>
      </c>
      <c r="T1367" s="6">
        <v>0</v>
      </c>
      <c r="U1367" s="43">
        <f>VLOOKUP(Tabla1[[#This Row],[PAGO DIA]],DIAS!A:H,8,0)</f>
        <v>46259</v>
      </c>
      <c r="V1367" s="6">
        <v>0</v>
      </c>
      <c r="W1367" s="43">
        <f>VLOOKUP(Tabla1[[#This Row],[PAGO DIA]],DIAS!A:I,9,0)</f>
        <v>46287</v>
      </c>
      <c r="X1367" s="6">
        <v>0</v>
      </c>
      <c r="Y1367" s="43">
        <f>VLOOKUP(Tabla1[[#This Row],[PAGO DIA]],DIAS!A:J,10,0)</f>
        <v>46322</v>
      </c>
      <c r="Z1367" s="6">
        <v>0</v>
      </c>
      <c r="AA1367" s="43">
        <f>VLOOKUP(Tabla1[[#This Row],[PAGO DIA]],DIAS!A:K,11,0)</f>
        <v>46350</v>
      </c>
      <c r="AB1367" s="6">
        <v>0</v>
      </c>
      <c r="AC1367" s="43">
        <f>VLOOKUP(Tabla1[[#This Row],[PAGO DIA]],DIAS!A:M,12,0)</f>
        <v>46379</v>
      </c>
      <c r="AD13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8" spans="1:30">
      <c r="A1368" s="3">
        <v>11996</v>
      </c>
      <c r="B1368" s="3" t="s">
        <v>510</v>
      </c>
      <c r="C1368" s="3" t="s">
        <v>505</v>
      </c>
      <c r="D1368" s="3" t="s">
        <v>1918</v>
      </c>
      <c r="E1368" s="3" t="s">
        <v>1856</v>
      </c>
      <c r="F1368" s="42" t="s">
        <v>562</v>
      </c>
      <c r="G1368" s="3"/>
      <c r="H1368" s="6">
        <v>0</v>
      </c>
      <c r="I1368" s="41">
        <f>VLOOKUP(Tabla1[[#This Row],[PAGO DIA]],DIAS!A:B,2,0)</f>
        <v>46078</v>
      </c>
      <c r="J1368" s="6">
        <v>0</v>
      </c>
      <c r="K1368" s="43">
        <f>VLOOKUP(Tabla1[[#This Row],[PAGO DIA]],DIAS!A:C,3,0)</f>
        <v>46105</v>
      </c>
      <c r="L1368" s="6">
        <v>0</v>
      </c>
      <c r="M1368" s="41">
        <f>VLOOKUP(Tabla1[[#This Row],[PAGO DIA]],DIAS!A:D,4,0)</f>
        <v>46140</v>
      </c>
      <c r="N1368" s="6">
        <v>0</v>
      </c>
      <c r="O1368" s="43">
        <f>VLOOKUP(Tabla1[[#This Row],[PAGO DIA]],DIAS!A:E,5,0)</f>
        <v>46168</v>
      </c>
      <c r="P1368" s="6">
        <v>0</v>
      </c>
      <c r="Q1368" s="43">
        <f>VLOOKUP(Tabla1[[#This Row],[PAGO DIA]],DIAS!A:F,6,0)</f>
        <v>46196</v>
      </c>
      <c r="R1368" s="6">
        <v>0</v>
      </c>
      <c r="S1368" s="43">
        <f>VLOOKUP(Tabla1[[#This Row],[PAGO DIA]],DIAS!A:G,7,0)</f>
        <v>46231</v>
      </c>
      <c r="T1368" s="6">
        <v>0</v>
      </c>
      <c r="U1368" s="43">
        <f>VLOOKUP(Tabla1[[#This Row],[PAGO DIA]],DIAS!A:H,8,0)</f>
        <v>46259</v>
      </c>
      <c r="V1368" s="6">
        <v>0</v>
      </c>
      <c r="W1368" s="43">
        <f>VLOOKUP(Tabla1[[#This Row],[PAGO DIA]],DIAS!A:I,9,0)</f>
        <v>46287</v>
      </c>
      <c r="X1368" s="6">
        <v>0</v>
      </c>
      <c r="Y1368" s="43">
        <f>VLOOKUP(Tabla1[[#This Row],[PAGO DIA]],DIAS!A:J,10,0)</f>
        <v>46322</v>
      </c>
      <c r="Z1368" s="6">
        <v>0</v>
      </c>
      <c r="AA1368" s="43">
        <f>VLOOKUP(Tabla1[[#This Row],[PAGO DIA]],DIAS!A:K,11,0)</f>
        <v>46350</v>
      </c>
      <c r="AB1368" s="6">
        <v>0</v>
      </c>
      <c r="AC1368" s="43">
        <f>VLOOKUP(Tabla1[[#This Row],[PAGO DIA]],DIAS!A:M,12,0)</f>
        <v>46379</v>
      </c>
      <c r="AD13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69" spans="1:30">
      <c r="A1369" s="3">
        <v>11129</v>
      </c>
      <c r="B1369" s="3" t="s">
        <v>510</v>
      </c>
      <c r="C1369" s="3" t="s">
        <v>1147</v>
      </c>
      <c r="D1369" s="3" t="s">
        <v>1772</v>
      </c>
      <c r="E1369" s="3" t="s">
        <v>1773</v>
      </c>
      <c r="F1369" s="42" t="s">
        <v>562</v>
      </c>
      <c r="G1369" s="3"/>
      <c r="H1369" s="6">
        <v>0</v>
      </c>
      <c r="I1369" s="41">
        <f>VLOOKUP(Tabla1[[#This Row],[PAGO DIA]],DIAS!A:B,2,0)</f>
        <v>46078</v>
      </c>
      <c r="J1369" s="6">
        <v>0</v>
      </c>
      <c r="K1369" s="43">
        <f>VLOOKUP(Tabla1[[#This Row],[PAGO DIA]],DIAS!A:C,3,0)</f>
        <v>46105</v>
      </c>
      <c r="L1369" s="6">
        <v>0</v>
      </c>
      <c r="M1369" s="41">
        <f>VLOOKUP(Tabla1[[#This Row],[PAGO DIA]],DIAS!A:D,4,0)</f>
        <v>46140</v>
      </c>
      <c r="N1369" s="6">
        <v>0</v>
      </c>
      <c r="O1369" s="43">
        <f>VLOOKUP(Tabla1[[#This Row],[PAGO DIA]],DIAS!A:E,5,0)</f>
        <v>46168</v>
      </c>
      <c r="P1369" s="6">
        <v>0</v>
      </c>
      <c r="Q1369" s="43">
        <f>VLOOKUP(Tabla1[[#This Row],[PAGO DIA]],DIAS!A:F,6,0)</f>
        <v>46196</v>
      </c>
      <c r="R1369" s="6">
        <v>0</v>
      </c>
      <c r="S1369" s="43">
        <f>VLOOKUP(Tabla1[[#This Row],[PAGO DIA]],DIAS!A:G,7,0)</f>
        <v>46231</v>
      </c>
      <c r="T1369" s="6">
        <v>0</v>
      </c>
      <c r="U1369" s="43">
        <f>VLOOKUP(Tabla1[[#This Row],[PAGO DIA]],DIAS!A:H,8,0)</f>
        <v>46259</v>
      </c>
      <c r="V1369" s="6">
        <v>0</v>
      </c>
      <c r="W1369" s="43">
        <f>VLOOKUP(Tabla1[[#This Row],[PAGO DIA]],DIAS!A:I,9,0)</f>
        <v>46287</v>
      </c>
      <c r="X1369" s="6">
        <v>0</v>
      </c>
      <c r="Y1369" s="43">
        <f>VLOOKUP(Tabla1[[#This Row],[PAGO DIA]],DIAS!A:J,10,0)</f>
        <v>46322</v>
      </c>
      <c r="Z1369" s="6">
        <v>0</v>
      </c>
      <c r="AA1369" s="43">
        <f>VLOOKUP(Tabla1[[#This Row],[PAGO DIA]],DIAS!A:K,11,0)</f>
        <v>46350</v>
      </c>
      <c r="AB1369" s="6">
        <v>0</v>
      </c>
      <c r="AC1369" s="43">
        <f>VLOOKUP(Tabla1[[#This Row],[PAGO DIA]],DIAS!A:M,12,0)</f>
        <v>46379</v>
      </c>
      <c r="AD13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0" spans="1:30">
      <c r="A1370" s="3">
        <v>10950</v>
      </c>
      <c r="B1370" s="3" t="s">
        <v>510</v>
      </c>
      <c r="C1370" s="3" t="s">
        <v>1147</v>
      </c>
      <c r="D1370" s="3" t="s">
        <v>1791</v>
      </c>
      <c r="E1370" s="3" t="s">
        <v>1792</v>
      </c>
      <c r="F1370" s="42" t="s">
        <v>562</v>
      </c>
      <c r="G1370" s="3"/>
      <c r="H1370" s="6">
        <v>0</v>
      </c>
      <c r="I1370" s="41">
        <f>VLOOKUP(Tabla1[[#This Row],[PAGO DIA]],DIAS!A:B,2,0)</f>
        <v>46078</v>
      </c>
      <c r="J1370" s="6">
        <v>0</v>
      </c>
      <c r="K1370" s="43">
        <f>VLOOKUP(Tabla1[[#This Row],[PAGO DIA]],DIAS!A:C,3,0)</f>
        <v>46105</v>
      </c>
      <c r="L1370" s="6">
        <v>0</v>
      </c>
      <c r="M1370" s="41">
        <f>VLOOKUP(Tabla1[[#This Row],[PAGO DIA]],DIAS!A:D,4,0)</f>
        <v>46140</v>
      </c>
      <c r="N1370" s="6">
        <v>0</v>
      </c>
      <c r="O1370" s="43">
        <f>VLOOKUP(Tabla1[[#This Row],[PAGO DIA]],DIAS!A:E,5,0)</f>
        <v>46168</v>
      </c>
      <c r="P1370" s="6">
        <v>0</v>
      </c>
      <c r="Q1370" s="43">
        <f>VLOOKUP(Tabla1[[#This Row],[PAGO DIA]],DIAS!A:F,6,0)</f>
        <v>46196</v>
      </c>
      <c r="R1370" s="6">
        <v>0</v>
      </c>
      <c r="S1370" s="43">
        <f>VLOOKUP(Tabla1[[#This Row],[PAGO DIA]],DIAS!A:G,7,0)</f>
        <v>46231</v>
      </c>
      <c r="T1370" s="6">
        <v>0</v>
      </c>
      <c r="U1370" s="43">
        <f>VLOOKUP(Tabla1[[#This Row],[PAGO DIA]],DIAS!A:H,8,0)</f>
        <v>46259</v>
      </c>
      <c r="V1370" s="6">
        <v>0</v>
      </c>
      <c r="W1370" s="43">
        <f>VLOOKUP(Tabla1[[#This Row],[PAGO DIA]],DIAS!A:I,9,0)</f>
        <v>46287</v>
      </c>
      <c r="X1370" s="6">
        <v>0</v>
      </c>
      <c r="Y1370" s="43">
        <f>VLOOKUP(Tabla1[[#This Row],[PAGO DIA]],DIAS!A:J,10,0)</f>
        <v>46322</v>
      </c>
      <c r="Z1370" s="6">
        <v>0</v>
      </c>
      <c r="AA1370" s="43">
        <f>VLOOKUP(Tabla1[[#This Row],[PAGO DIA]],DIAS!A:K,11,0)</f>
        <v>46350</v>
      </c>
      <c r="AB1370" s="6">
        <v>0</v>
      </c>
      <c r="AC1370" s="43">
        <f>VLOOKUP(Tabla1[[#This Row],[PAGO DIA]],DIAS!A:M,12,0)</f>
        <v>46379</v>
      </c>
      <c r="AD13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1" spans="1:30">
      <c r="A1371" s="3">
        <v>12001</v>
      </c>
      <c r="B1371" s="3" t="s">
        <v>510</v>
      </c>
      <c r="C1371" s="3"/>
      <c r="D1371" s="3" t="s">
        <v>1919</v>
      </c>
      <c r="E1371" s="3" t="s">
        <v>1920</v>
      </c>
      <c r="F1371" s="42" t="s">
        <v>562</v>
      </c>
      <c r="G1371" s="3"/>
      <c r="H1371" s="6">
        <v>0</v>
      </c>
      <c r="I1371" s="41">
        <f>VLOOKUP(Tabla1[[#This Row],[PAGO DIA]],DIAS!A:B,2,0)</f>
        <v>46078</v>
      </c>
      <c r="J1371" s="6">
        <v>0</v>
      </c>
      <c r="K1371" s="43">
        <f>VLOOKUP(Tabla1[[#This Row],[PAGO DIA]],DIAS!A:C,3,0)</f>
        <v>46105</v>
      </c>
      <c r="L1371" s="6">
        <v>0</v>
      </c>
      <c r="M1371" s="41">
        <f>VLOOKUP(Tabla1[[#This Row],[PAGO DIA]],DIAS!A:D,4,0)</f>
        <v>46140</v>
      </c>
      <c r="N1371" s="6">
        <v>0</v>
      </c>
      <c r="O1371" s="43">
        <f>VLOOKUP(Tabla1[[#This Row],[PAGO DIA]],DIAS!A:E,5,0)</f>
        <v>46168</v>
      </c>
      <c r="P1371" s="6">
        <v>0</v>
      </c>
      <c r="Q1371" s="43">
        <f>VLOOKUP(Tabla1[[#This Row],[PAGO DIA]],DIAS!A:F,6,0)</f>
        <v>46196</v>
      </c>
      <c r="R1371" s="6">
        <v>0</v>
      </c>
      <c r="S1371" s="43">
        <f>VLOOKUP(Tabla1[[#This Row],[PAGO DIA]],DIAS!A:G,7,0)</f>
        <v>46231</v>
      </c>
      <c r="T1371" s="6">
        <v>0</v>
      </c>
      <c r="U1371" s="43">
        <f>VLOOKUP(Tabla1[[#This Row],[PAGO DIA]],DIAS!A:H,8,0)</f>
        <v>46259</v>
      </c>
      <c r="V1371" s="6">
        <v>0</v>
      </c>
      <c r="W1371" s="43">
        <f>VLOOKUP(Tabla1[[#This Row],[PAGO DIA]],DIAS!A:I,9,0)</f>
        <v>46287</v>
      </c>
      <c r="X1371" s="6">
        <v>0</v>
      </c>
      <c r="Y1371" s="43">
        <f>VLOOKUP(Tabla1[[#This Row],[PAGO DIA]],DIAS!A:J,10,0)</f>
        <v>46322</v>
      </c>
      <c r="Z1371" s="6">
        <v>0</v>
      </c>
      <c r="AA1371" s="43">
        <f>VLOOKUP(Tabla1[[#This Row],[PAGO DIA]],DIAS!A:K,11,0)</f>
        <v>46350</v>
      </c>
      <c r="AB1371" s="6">
        <v>0</v>
      </c>
      <c r="AC1371" s="43">
        <f>VLOOKUP(Tabla1[[#This Row],[PAGO DIA]],DIAS!A:M,12,0)</f>
        <v>46379</v>
      </c>
      <c r="AD13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2" spans="1:30">
      <c r="A1372" s="3">
        <v>11340</v>
      </c>
      <c r="B1372" s="3" t="s">
        <v>510</v>
      </c>
      <c r="C1372" s="3" t="s">
        <v>1147</v>
      </c>
      <c r="D1372" s="3" t="s">
        <v>1769</v>
      </c>
      <c r="E1372" s="3" t="s">
        <v>1770</v>
      </c>
      <c r="F1372" s="42" t="s">
        <v>562</v>
      </c>
      <c r="G1372" s="3" t="s">
        <v>1771</v>
      </c>
      <c r="H1372" s="6">
        <v>0</v>
      </c>
      <c r="I1372" s="41">
        <f>VLOOKUP(Tabla1[[#This Row],[PAGO DIA]],DIAS!A:B,2,0)</f>
        <v>46078</v>
      </c>
      <c r="J1372" s="6">
        <v>0</v>
      </c>
      <c r="K1372" s="43">
        <f>VLOOKUP(Tabla1[[#This Row],[PAGO DIA]],DIAS!A:C,3,0)</f>
        <v>46105</v>
      </c>
      <c r="L1372" s="6">
        <v>0</v>
      </c>
      <c r="M1372" s="41">
        <f>VLOOKUP(Tabla1[[#This Row],[PAGO DIA]],DIAS!A:D,4,0)</f>
        <v>46140</v>
      </c>
      <c r="N1372" s="6">
        <v>0</v>
      </c>
      <c r="O1372" s="43">
        <f>VLOOKUP(Tabla1[[#This Row],[PAGO DIA]],DIAS!A:E,5,0)</f>
        <v>46168</v>
      </c>
      <c r="P1372" s="6">
        <v>0</v>
      </c>
      <c r="Q1372" s="43">
        <f>VLOOKUP(Tabla1[[#This Row],[PAGO DIA]],DIAS!A:F,6,0)</f>
        <v>46196</v>
      </c>
      <c r="R1372" s="6">
        <v>0</v>
      </c>
      <c r="S1372" s="43">
        <f>VLOOKUP(Tabla1[[#This Row],[PAGO DIA]],DIAS!A:G,7,0)</f>
        <v>46231</v>
      </c>
      <c r="T1372" s="6">
        <v>0</v>
      </c>
      <c r="U1372" s="43">
        <f>VLOOKUP(Tabla1[[#This Row],[PAGO DIA]],DIAS!A:H,8,0)</f>
        <v>46259</v>
      </c>
      <c r="V1372" s="6">
        <v>0</v>
      </c>
      <c r="W1372" s="43">
        <f>VLOOKUP(Tabla1[[#This Row],[PAGO DIA]],DIAS!A:I,9,0)</f>
        <v>46287</v>
      </c>
      <c r="X1372" s="6">
        <v>0</v>
      </c>
      <c r="Y1372" s="43">
        <f>VLOOKUP(Tabla1[[#This Row],[PAGO DIA]],DIAS!A:J,10,0)</f>
        <v>46322</v>
      </c>
      <c r="Z1372" s="6">
        <v>0</v>
      </c>
      <c r="AA1372" s="43">
        <f>VLOOKUP(Tabla1[[#This Row],[PAGO DIA]],DIAS!A:K,11,0)</f>
        <v>46350</v>
      </c>
      <c r="AB1372" s="6">
        <v>0</v>
      </c>
      <c r="AC1372" s="43">
        <f>VLOOKUP(Tabla1[[#This Row],[PAGO DIA]],DIAS!A:M,12,0)</f>
        <v>46379</v>
      </c>
      <c r="AD13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3" spans="1:30">
      <c r="A1373" s="3">
        <v>11390</v>
      </c>
      <c r="B1373" s="3" t="s">
        <v>510</v>
      </c>
      <c r="C1373" s="3" t="s">
        <v>1147</v>
      </c>
      <c r="D1373" s="3" t="s">
        <v>1774</v>
      </c>
      <c r="E1373" s="3" t="s">
        <v>1770</v>
      </c>
      <c r="F1373" s="42" t="s">
        <v>562</v>
      </c>
      <c r="G1373" s="3" t="s">
        <v>1775</v>
      </c>
      <c r="H1373" s="6">
        <v>0</v>
      </c>
      <c r="I1373" s="41">
        <f>VLOOKUP(Tabla1[[#This Row],[PAGO DIA]],DIAS!A:B,2,0)</f>
        <v>46078</v>
      </c>
      <c r="J1373" s="6">
        <v>0</v>
      </c>
      <c r="K1373" s="43">
        <f>VLOOKUP(Tabla1[[#This Row],[PAGO DIA]],DIAS!A:C,3,0)</f>
        <v>46105</v>
      </c>
      <c r="L1373" s="6">
        <v>0</v>
      </c>
      <c r="M1373" s="41">
        <f>VLOOKUP(Tabla1[[#This Row],[PAGO DIA]],DIAS!A:D,4,0)</f>
        <v>46140</v>
      </c>
      <c r="N1373" s="6">
        <v>0</v>
      </c>
      <c r="O1373" s="43">
        <f>VLOOKUP(Tabla1[[#This Row],[PAGO DIA]],DIAS!A:E,5,0)</f>
        <v>46168</v>
      </c>
      <c r="P1373" s="6">
        <v>0</v>
      </c>
      <c r="Q1373" s="43">
        <f>VLOOKUP(Tabla1[[#This Row],[PAGO DIA]],DIAS!A:F,6,0)</f>
        <v>46196</v>
      </c>
      <c r="R1373" s="6">
        <v>0</v>
      </c>
      <c r="S1373" s="43">
        <f>VLOOKUP(Tabla1[[#This Row],[PAGO DIA]],DIAS!A:G,7,0)</f>
        <v>46231</v>
      </c>
      <c r="T1373" s="6">
        <v>0</v>
      </c>
      <c r="U1373" s="43">
        <f>VLOOKUP(Tabla1[[#This Row],[PAGO DIA]],DIAS!A:H,8,0)</f>
        <v>46259</v>
      </c>
      <c r="V1373" s="6">
        <v>0</v>
      </c>
      <c r="W1373" s="43">
        <f>VLOOKUP(Tabla1[[#This Row],[PAGO DIA]],DIAS!A:I,9,0)</f>
        <v>46287</v>
      </c>
      <c r="X1373" s="6">
        <v>0</v>
      </c>
      <c r="Y1373" s="43">
        <f>VLOOKUP(Tabla1[[#This Row],[PAGO DIA]],DIAS!A:J,10,0)</f>
        <v>46322</v>
      </c>
      <c r="Z1373" s="6">
        <v>0</v>
      </c>
      <c r="AA1373" s="43">
        <f>VLOOKUP(Tabla1[[#This Row],[PAGO DIA]],DIAS!A:K,11,0)</f>
        <v>46350</v>
      </c>
      <c r="AB1373" s="6">
        <v>0</v>
      </c>
      <c r="AC1373" s="43">
        <f>VLOOKUP(Tabla1[[#This Row],[PAGO DIA]],DIAS!A:M,12,0)</f>
        <v>46379</v>
      </c>
      <c r="AD13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4" spans="1:30">
      <c r="A1374" s="3">
        <v>11594</v>
      </c>
      <c r="B1374" s="3" t="s">
        <v>510</v>
      </c>
      <c r="C1374" s="3" t="s">
        <v>1147</v>
      </c>
      <c r="D1374" s="3" t="s">
        <v>1919</v>
      </c>
      <c r="E1374" s="3" t="s">
        <v>1770</v>
      </c>
      <c r="F1374" s="42" t="s">
        <v>562</v>
      </c>
      <c r="G1374" s="3"/>
      <c r="H1374" s="6">
        <v>0</v>
      </c>
      <c r="I1374" s="41">
        <f>VLOOKUP(Tabla1[[#This Row],[PAGO DIA]],DIAS!A:B,2,0)</f>
        <v>46078</v>
      </c>
      <c r="J1374" s="6">
        <v>0</v>
      </c>
      <c r="K1374" s="43">
        <f>VLOOKUP(Tabla1[[#This Row],[PAGO DIA]],DIAS!A:C,3,0)</f>
        <v>46105</v>
      </c>
      <c r="L1374" s="6">
        <v>0</v>
      </c>
      <c r="M1374" s="41">
        <f>VLOOKUP(Tabla1[[#This Row],[PAGO DIA]],DIAS!A:D,4,0)</f>
        <v>46140</v>
      </c>
      <c r="N1374" s="6">
        <v>109263500</v>
      </c>
      <c r="O1374" s="43">
        <f>VLOOKUP(Tabla1[[#This Row],[PAGO DIA]],DIAS!A:E,5,0)</f>
        <v>46168</v>
      </c>
      <c r="P1374" s="6">
        <v>134000000</v>
      </c>
      <c r="Q1374" s="43">
        <f>VLOOKUP(Tabla1[[#This Row],[PAGO DIA]],DIAS!A:F,6,0)</f>
        <v>46196</v>
      </c>
      <c r="R1374" s="6">
        <v>134000000</v>
      </c>
      <c r="S1374" s="43">
        <f>VLOOKUP(Tabla1[[#This Row],[PAGO DIA]],DIAS!A:G,7,0)</f>
        <v>46231</v>
      </c>
      <c r="T1374" s="6">
        <v>134000000</v>
      </c>
      <c r="U1374" s="43">
        <f>VLOOKUP(Tabla1[[#This Row],[PAGO DIA]],DIAS!A:H,8,0)</f>
        <v>46259</v>
      </c>
      <c r="V1374" s="6">
        <v>134000000</v>
      </c>
      <c r="W1374" s="43">
        <f>VLOOKUP(Tabla1[[#This Row],[PAGO DIA]],DIAS!A:I,9,0)</f>
        <v>46287</v>
      </c>
      <c r="X1374" s="6">
        <v>134000000</v>
      </c>
      <c r="Y1374" s="43">
        <f>VLOOKUP(Tabla1[[#This Row],[PAGO DIA]],DIAS!A:J,10,0)</f>
        <v>46322</v>
      </c>
      <c r="Z1374" s="6">
        <v>134000000</v>
      </c>
      <c r="AA1374" s="43">
        <f>VLOOKUP(Tabla1[[#This Row],[PAGO DIA]],DIAS!A:K,11,0)</f>
        <v>46350</v>
      </c>
      <c r="AB1374" s="6">
        <v>134000000</v>
      </c>
      <c r="AC1374" s="43">
        <f>VLOOKUP(Tabla1[[#This Row],[PAGO DIA]],DIAS!A:M,12,0)</f>
        <v>46379</v>
      </c>
      <c r="AD13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1047263500</v>
      </c>
    </row>
    <row r="1375" spans="1:30">
      <c r="A1375" s="3">
        <v>11595</v>
      </c>
      <c r="B1375" s="3" t="s">
        <v>510</v>
      </c>
      <c r="C1375" s="3" t="s">
        <v>1147</v>
      </c>
      <c r="D1375" s="3" t="s">
        <v>1769</v>
      </c>
      <c r="E1375" s="3" t="s">
        <v>1770</v>
      </c>
      <c r="F1375" s="42" t="s">
        <v>562</v>
      </c>
      <c r="G1375" s="3" t="s">
        <v>1921</v>
      </c>
      <c r="H1375" s="6">
        <v>0</v>
      </c>
      <c r="I1375" s="41">
        <f>VLOOKUP(Tabla1[[#This Row],[PAGO DIA]],DIAS!A:B,2,0)</f>
        <v>46078</v>
      </c>
      <c r="J1375" s="6">
        <v>0</v>
      </c>
      <c r="K1375" s="43">
        <f>VLOOKUP(Tabla1[[#This Row],[PAGO DIA]],DIAS!A:C,3,0)</f>
        <v>46105</v>
      </c>
      <c r="L1375" s="6">
        <v>0</v>
      </c>
      <c r="M1375" s="41">
        <f>VLOOKUP(Tabla1[[#This Row],[PAGO DIA]],DIAS!A:D,4,0)</f>
        <v>46140</v>
      </c>
      <c r="N1375" s="6">
        <v>0</v>
      </c>
      <c r="O1375" s="43">
        <f>VLOOKUP(Tabla1[[#This Row],[PAGO DIA]],DIAS!A:E,5,0)</f>
        <v>46168</v>
      </c>
      <c r="P1375" s="6">
        <v>0</v>
      </c>
      <c r="Q1375" s="43">
        <f>VLOOKUP(Tabla1[[#This Row],[PAGO DIA]],DIAS!A:F,6,0)</f>
        <v>46196</v>
      </c>
      <c r="R1375" s="6">
        <v>0</v>
      </c>
      <c r="S1375" s="43">
        <f>VLOOKUP(Tabla1[[#This Row],[PAGO DIA]],DIAS!A:G,7,0)</f>
        <v>46231</v>
      </c>
      <c r="T1375" s="6">
        <v>0</v>
      </c>
      <c r="U1375" s="43">
        <f>VLOOKUP(Tabla1[[#This Row],[PAGO DIA]],DIAS!A:H,8,0)</f>
        <v>46259</v>
      </c>
      <c r="V1375" s="6">
        <v>0</v>
      </c>
      <c r="W1375" s="43">
        <f>VLOOKUP(Tabla1[[#This Row],[PAGO DIA]],DIAS!A:I,9,0)</f>
        <v>46287</v>
      </c>
      <c r="X1375" s="6">
        <v>0</v>
      </c>
      <c r="Y1375" s="43">
        <f>VLOOKUP(Tabla1[[#This Row],[PAGO DIA]],DIAS!A:J,10,0)</f>
        <v>46322</v>
      </c>
      <c r="Z1375" s="6">
        <v>0</v>
      </c>
      <c r="AA1375" s="43">
        <f>VLOOKUP(Tabla1[[#This Row],[PAGO DIA]],DIAS!A:K,11,0)</f>
        <v>46350</v>
      </c>
      <c r="AB1375" s="6">
        <v>0</v>
      </c>
      <c r="AC1375" s="43">
        <f>VLOOKUP(Tabla1[[#This Row],[PAGO DIA]],DIAS!A:M,12,0)</f>
        <v>46379</v>
      </c>
      <c r="AD13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6" spans="1:30">
      <c r="A1376" s="3">
        <v>11596</v>
      </c>
      <c r="B1376" s="3" t="s">
        <v>510</v>
      </c>
      <c r="C1376" s="3" t="s">
        <v>1147</v>
      </c>
      <c r="D1376" s="3" t="s">
        <v>1922</v>
      </c>
      <c r="E1376" s="3" t="s">
        <v>1770</v>
      </c>
      <c r="F1376" s="42" t="s">
        <v>562</v>
      </c>
      <c r="G1376" s="3" t="s">
        <v>1923</v>
      </c>
      <c r="H1376" s="6">
        <v>0</v>
      </c>
      <c r="I1376" s="41">
        <f>VLOOKUP(Tabla1[[#This Row],[PAGO DIA]],DIAS!A:B,2,0)</f>
        <v>46078</v>
      </c>
      <c r="J1376" s="6">
        <v>0</v>
      </c>
      <c r="K1376" s="43">
        <f>VLOOKUP(Tabla1[[#This Row],[PAGO DIA]],DIAS!A:C,3,0)</f>
        <v>46105</v>
      </c>
      <c r="L1376" s="6">
        <v>0</v>
      </c>
      <c r="M1376" s="41">
        <f>VLOOKUP(Tabla1[[#This Row],[PAGO DIA]],DIAS!A:D,4,0)</f>
        <v>46140</v>
      </c>
      <c r="N1376" s="6">
        <v>0</v>
      </c>
      <c r="O1376" s="43">
        <f>VLOOKUP(Tabla1[[#This Row],[PAGO DIA]],DIAS!A:E,5,0)</f>
        <v>46168</v>
      </c>
      <c r="P1376" s="6">
        <v>0</v>
      </c>
      <c r="Q1376" s="43">
        <f>VLOOKUP(Tabla1[[#This Row],[PAGO DIA]],DIAS!A:F,6,0)</f>
        <v>46196</v>
      </c>
      <c r="R1376" s="6">
        <v>0</v>
      </c>
      <c r="S1376" s="43">
        <f>VLOOKUP(Tabla1[[#This Row],[PAGO DIA]],DIAS!A:G,7,0)</f>
        <v>46231</v>
      </c>
      <c r="T1376" s="6">
        <v>0</v>
      </c>
      <c r="U1376" s="43">
        <f>VLOOKUP(Tabla1[[#This Row],[PAGO DIA]],DIAS!A:H,8,0)</f>
        <v>46259</v>
      </c>
      <c r="V1376" s="6">
        <v>0</v>
      </c>
      <c r="W1376" s="43">
        <f>VLOOKUP(Tabla1[[#This Row],[PAGO DIA]],DIAS!A:I,9,0)</f>
        <v>46287</v>
      </c>
      <c r="X1376" s="6">
        <v>0</v>
      </c>
      <c r="Y1376" s="43">
        <f>VLOOKUP(Tabla1[[#This Row],[PAGO DIA]],DIAS!A:J,10,0)</f>
        <v>46322</v>
      </c>
      <c r="Z1376" s="6">
        <v>0</v>
      </c>
      <c r="AA1376" s="43">
        <f>VLOOKUP(Tabla1[[#This Row],[PAGO DIA]],DIAS!A:K,11,0)</f>
        <v>46350</v>
      </c>
      <c r="AB1376" s="6">
        <v>0</v>
      </c>
      <c r="AC1376" s="43">
        <f>VLOOKUP(Tabla1[[#This Row],[PAGO DIA]],DIAS!A:M,12,0)</f>
        <v>46379</v>
      </c>
      <c r="AD13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7" spans="1:30">
      <c r="A1377" s="3">
        <v>11130</v>
      </c>
      <c r="B1377" s="3" t="s">
        <v>510</v>
      </c>
      <c r="C1377" s="3" t="s">
        <v>1147</v>
      </c>
      <c r="D1377" s="3" t="s">
        <v>1767</v>
      </c>
      <c r="E1377" s="3" t="s">
        <v>1768</v>
      </c>
      <c r="F1377" s="42" t="s">
        <v>562</v>
      </c>
      <c r="G1377" s="3"/>
      <c r="H1377" s="6">
        <v>0</v>
      </c>
      <c r="I1377" s="41">
        <f>VLOOKUP(Tabla1[[#This Row],[PAGO DIA]],DIAS!A:B,2,0)</f>
        <v>46078</v>
      </c>
      <c r="J1377" s="6">
        <v>0</v>
      </c>
      <c r="K1377" s="43">
        <f>VLOOKUP(Tabla1[[#This Row],[PAGO DIA]],DIAS!A:C,3,0)</f>
        <v>46105</v>
      </c>
      <c r="L1377" s="6">
        <v>0</v>
      </c>
      <c r="M1377" s="41">
        <f>VLOOKUP(Tabla1[[#This Row],[PAGO DIA]],DIAS!A:D,4,0)</f>
        <v>46140</v>
      </c>
      <c r="N1377" s="6">
        <v>0</v>
      </c>
      <c r="O1377" s="43">
        <f>VLOOKUP(Tabla1[[#This Row],[PAGO DIA]],DIAS!A:E,5,0)</f>
        <v>46168</v>
      </c>
      <c r="P1377" s="6">
        <v>0</v>
      </c>
      <c r="Q1377" s="43">
        <f>VLOOKUP(Tabla1[[#This Row],[PAGO DIA]],DIAS!A:F,6,0)</f>
        <v>46196</v>
      </c>
      <c r="R1377" s="6">
        <v>0</v>
      </c>
      <c r="S1377" s="43">
        <f>VLOOKUP(Tabla1[[#This Row],[PAGO DIA]],DIAS!A:G,7,0)</f>
        <v>46231</v>
      </c>
      <c r="T1377" s="6">
        <v>0</v>
      </c>
      <c r="U1377" s="43">
        <f>VLOOKUP(Tabla1[[#This Row],[PAGO DIA]],DIAS!A:H,8,0)</f>
        <v>46259</v>
      </c>
      <c r="V1377" s="6">
        <v>0</v>
      </c>
      <c r="W1377" s="43">
        <f>VLOOKUP(Tabla1[[#This Row],[PAGO DIA]],DIAS!A:I,9,0)</f>
        <v>46287</v>
      </c>
      <c r="X1377" s="6">
        <v>0</v>
      </c>
      <c r="Y1377" s="43">
        <f>VLOOKUP(Tabla1[[#This Row],[PAGO DIA]],DIAS!A:J,10,0)</f>
        <v>46322</v>
      </c>
      <c r="Z1377" s="6">
        <v>0</v>
      </c>
      <c r="AA1377" s="43">
        <f>VLOOKUP(Tabla1[[#This Row],[PAGO DIA]],DIAS!A:K,11,0)</f>
        <v>46350</v>
      </c>
      <c r="AB1377" s="6">
        <v>0</v>
      </c>
      <c r="AC1377" s="43">
        <f>VLOOKUP(Tabla1[[#This Row],[PAGO DIA]],DIAS!A:M,12,0)</f>
        <v>46379</v>
      </c>
      <c r="AD13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8" spans="1:30">
      <c r="A1378" s="3">
        <v>11156</v>
      </c>
      <c r="B1378" s="3" t="s">
        <v>510</v>
      </c>
      <c r="C1378" s="3" t="s">
        <v>1140</v>
      </c>
      <c r="D1378" s="3" t="s">
        <v>1777</v>
      </c>
      <c r="E1378" s="3" t="s">
        <v>1777</v>
      </c>
      <c r="F1378" s="42" t="s">
        <v>562</v>
      </c>
      <c r="G1378" s="3"/>
      <c r="H1378" s="6">
        <v>0</v>
      </c>
      <c r="I1378" s="41">
        <f>VLOOKUP(Tabla1[[#This Row],[PAGO DIA]],DIAS!A:B,2,0)</f>
        <v>46078</v>
      </c>
      <c r="J1378" s="6">
        <v>0</v>
      </c>
      <c r="K1378" s="43">
        <f>VLOOKUP(Tabla1[[#This Row],[PAGO DIA]],DIAS!A:C,3,0)</f>
        <v>46105</v>
      </c>
      <c r="L1378" s="6">
        <v>0</v>
      </c>
      <c r="M1378" s="41">
        <f>VLOOKUP(Tabla1[[#This Row],[PAGO DIA]],DIAS!A:D,4,0)</f>
        <v>46140</v>
      </c>
      <c r="N1378" s="6">
        <v>0</v>
      </c>
      <c r="O1378" s="43">
        <f>VLOOKUP(Tabla1[[#This Row],[PAGO DIA]],DIAS!A:E,5,0)</f>
        <v>46168</v>
      </c>
      <c r="P1378" s="6">
        <v>0</v>
      </c>
      <c r="Q1378" s="43">
        <f>VLOOKUP(Tabla1[[#This Row],[PAGO DIA]],DIAS!A:F,6,0)</f>
        <v>46196</v>
      </c>
      <c r="R1378" s="6">
        <v>0</v>
      </c>
      <c r="S1378" s="43">
        <f>VLOOKUP(Tabla1[[#This Row],[PAGO DIA]],DIAS!A:G,7,0)</f>
        <v>46231</v>
      </c>
      <c r="T1378" s="6">
        <v>0</v>
      </c>
      <c r="U1378" s="43">
        <f>VLOOKUP(Tabla1[[#This Row],[PAGO DIA]],DIAS!A:H,8,0)</f>
        <v>46259</v>
      </c>
      <c r="V1378" s="6">
        <v>0</v>
      </c>
      <c r="W1378" s="43">
        <f>VLOOKUP(Tabla1[[#This Row],[PAGO DIA]],DIAS!A:I,9,0)</f>
        <v>46287</v>
      </c>
      <c r="X1378" s="6">
        <v>0</v>
      </c>
      <c r="Y1378" s="43">
        <f>VLOOKUP(Tabla1[[#This Row],[PAGO DIA]],DIAS!A:J,10,0)</f>
        <v>46322</v>
      </c>
      <c r="Z1378" s="6">
        <v>0</v>
      </c>
      <c r="AA1378" s="43">
        <f>VLOOKUP(Tabla1[[#This Row],[PAGO DIA]],DIAS!A:K,11,0)</f>
        <v>46350</v>
      </c>
      <c r="AB1378" s="6">
        <v>0</v>
      </c>
      <c r="AC1378" s="43">
        <f>VLOOKUP(Tabla1[[#This Row],[PAGO DIA]],DIAS!A:M,12,0)</f>
        <v>46379</v>
      </c>
      <c r="AD13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79" spans="1:30">
      <c r="A1379" s="3">
        <v>12013</v>
      </c>
      <c r="B1379" s="3" t="s">
        <v>510</v>
      </c>
      <c r="C1379" s="3" t="s">
        <v>539</v>
      </c>
      <c r="D1379" s="3" t="s">
        <v>1924</v>
      </c>
      <c r="E1379" s="3" t="s">
        <v>1925</v>
      </c>
      <c r="F1379" s="42" t="s">
        <v>562</v>
      </c>
      <c r="G1379" s="3" t="s">
        <v>1824</v>
      </c>
      <c r="H1379" s="6">
        <v>0</v>
      </c>
      <c r="I1379" s="41">
        <f>VLOOKUP(Tabla1[[#This Row],[PAGO DIA]],DIAS!A:B,2,0)</f>
        <v>46078</v>
      </c>
      <c r="J1379" s="6">
        <v>0</v>
      </c>
      <c r="K1379" s="43">
        <f>VLOOKUP(Tabla1[[#This Row],[PAGO DIA]],DIAS!A:C,3,0)</f>
        <v>46105</v>
      </c>
      <c r="L1379" s="6">
        <v>0</v>
      </c>
      <c r="M1379" s="41">
        <f>VLOOKUP(Tabla1[[#This Row],[PAGO DIA]],DIAS!A:D,4,0)</f>
        <v>46140</v>
      </c>
      <c r="N1379" s="6">
        <v>0</v>
      </c>
      <c r="O1379" s="43">
        <f>VLOOKUP(Tabla1[[#This Row],[PAGO DIA]],DIAS!A:E,5,0)</f>
        <v>46168</v>
      </c>
      <c r="P1379" s="6">
        <v>0</v>
      </c>
      <c r="Q1379" s="43">
        <f>VLOOKUP(Tabla1[[#This Row],[PAGO DIA]],DIAS!A:F,6,0)</f>
        <v>46196</v>
      </c>
      <c r="R1379" s="6">
        <v>0</v>
      </c>
      <c r="S1379" s="43">
        <f>VLOOKUP(Tabla1[[#This Row],[PAGO DIA]],DIAS!A:G,7,0)</f>
        <v>46231</v>
      </c>
      <c r="T1379" s="6">
        <v>0</v>
      </c>
      <c r="U1379" s="43">
        <f>VLOOKUP(Tabla1[[#This Row],[PAGO DIA]],DIAS!A:H,8,0)</f>
        <v>46259</v>
      </c>
      <c r="V1379" s="6">
        <v>0</v>
      </c>
      <c r="W1379" s="43">
        <f>VLOOKUP(Tabla1[[#This Row],[PAGO DIA]],DIAS!A:I,9,0)</f>
        <v>46287</v>
      </c>
      <c r="X1379" s="6">
        <v>0</v>
      </c>
      <c r="Y1379" s="43">
        <f>VLOOKUP(Tabla1[[#This Row],[PAGO DIA]],DIAS!A:J,10,0)</f>
        <v>46322</v>
      </c>
      <c r="Z1379" s="6">
        <v>0</v>
      </c>
      <c r="AA1379" s="43">
        <f>VLOOKUP(Tabla1[[#This Row],[PAGO DIA]],DIAS!A:K,11,0)</f>
        <v>46350</v>
      </c>
      <c r="AB1379" s="6">
        <v>0</v>
      </c>
      <c r="AC1379" s="43">
        <f>VLOOKUP(Tabla1[[#This Row],[PAGO DIA]],DIAS!A:M,12,0)</f>
        <v>46379</v>
      </c>
      <c r="AD13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0" spans="1:30">
      <c r="A1380" s="3">
        <v>11601</v>
      </c>
      <c r="B1380" s="3" t="s">
        <v>510</v>
      </c>
      <c r="C1380" s="3" t="s">
        <v>539</v>
      </c>
      <c r="D1380" s="3" t="s">
        <v>1823</v>
      </c>
      <c r="E1380" s="3" t="s">
        <v>1456</v>
      </c>
      <c r="F1380" s="42" t="s">
        <v>562</v>
      </c>
      <c r="G1380" s="3" t="s">
        <v>1824</v>
      </c>
      <c r="H1380" s="6">
        <v>0</v>
      </c>
      <c r="I1380" s="41">
        <f>VLOOKUP(Tabla1[[#This Row],[PAGO DIA]],DIAS!A:B,2,0)</f>
        <v>46078</v>
      </c>
      <c r="J1380" s="6">
        <v>0</v>
      </c>
      <c r="K1380" s="43">
        <f>VLOOKUP(Tabla1[[#This Row],[PAGO DIA]],DIAS!A:C,3,0)</f>
        <v>46105</v>
      </c>
      <c r="L1380" s="6">
        <v>0</v>
      </c>
      <c r="M1380" s="41">
        <f>VLOOKUP(Tabla1[[#This Row],[PAGO DIA]],DIAS!A:D,4,0)</f>
        <v>46140</v>
      </c>
      <c r="N1380" s="6">
        <v>0</v>
      </c>
      <c r="O1380" s="43">
        <f>VLOOKUP(Tabla1[[#This Row],[PAGO DIA]],DIAS!A:E,5,0)</f>
        <v>46168</v>
      </c>
      <c r="P1380" s="6">
        <v>0</v>
      </c>
      <c r="Q1380" s="43">
        <f>VLOOKUP(Tabla1[[#This Row],[PAGO DIA]],DIAS!A:F,6,0)</f>
        <v>46196</v>
      </c>
      <c r="R1380" s="6">
        <v>0</v>
      </c>
      <c r="S1380" s="43">
        <f>VLOOKUP(Tabla1[[#This Row],[PAGO DIA]],DIAS!A:G,7,0)</f>
        <v>46231</v>
      </c>
      <c r="T1380" s="6">
        <v>0</v>
      </c>
      <c r="U1380" s="43">
        <f>VLOOKUP(Tabla1[[#This Row],[PAGO DIA]],DIAS!A:H,8,0)</f>
        <v>46259</v>
      </c>
      <c r="V1380" s="6">
        <v>0</v>
      </c>
      <c r="W1380" s="43">
        <f>VLOOKUP(Tabla1[[#This Row],[PAGO DIA]],DIAS!A:I,9,0)</f>
        <v>46287</v>
      </c>
      <c r="X1380" s="6">
        <v>0</v>
      </c>
      <c r="Y1380" s="43">
        <f>VLOOKUP(Tabla1[[#This Row],[PAGO DIA]],DIAS!A:J,10,0)</f>
        <v>46322</v>
      </c>
      <c r="Z1380" s="6">
        <v>0</v>
      </c>
      <c r="AA1380" s="43">
        <f>VLOOKUP(Tabla1[[#This Row],[PAGO DIA]],DIAS!A:K,11,0)</f>
        <v>46350</v>
      </c>
      <c r="AB1380" s="6">
        <v>0</v>
      </c>
      <c r="AC1380" s="43">
        <f>VLOOKUP(Tabla1[[#This Row],[PAGO DIA]],DIAS!A:M,12,0)</f>
        <v>46379</v>
      </c>
      <c r="AD13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1" spans="1:30">
      <c r="A1381" s="3">
        <v>11602</v>
      </c>
      <c r="B1381" s="3" t="s">
        <v>510</v>
      </c>
      <c r="C1381" s="3" t="s">
        <v>540</v>
      </c>
      <c r="D1381" s="3" t="s">
        <v>1823</v>
      </c>
      <c r="E1381" s="3" t="s">
        <v>1456</v>
      </c>
      <c r="F1381" s="42" t="s">
        <v>562</v>
      </c>
      <c r="G1381" s="3" t="s">
        <v>1926</v>
      </c>
      <c r="H1381" s="6">
        <v>0</v>
      </c>
      <c r="I1381" s="41">
        <f>VLOOKUP(Tabla1[[#This Row],[PAGO DIA]],DIAS!A:B,2,0)</f>
        <v>46078</v>
      </c>
      <c r="J1381" s="6">
        <v>0</v>
      </c>
      <c r="K1381" s="43">
        <f>VLOOKUP(Tabla1[[#This Row],[PAGO DIA]],DIAS!A:C,3,0)</f>
        <v>46105</v>
      </c>
      <c r="L1381" s="6">
        <v>0</v>
      </c>
      <c r="M1381" s="41">
        <f>VLOOKUP(Tabla1[[#This Row],[PAGO DIA]],DIAS!A:D,4,0)</f>
        <v>46140</v>
      </c>
      <c r="N1381" s="6">
        <v>0</v>
      </c>
      <c r="O1381" s="43">
        <f>VLOOKUP(Tabla1[[#This Row],[PAGO DIA]],DIAS!A:E,5,0)</f>
        <v>46168</v>
      </c>
      <c r="P1381" s="6">
        <v>0</v>
      </c>
      <c r="Q1381" s="43">
        <f>VLOOKUP(Tabla1[[#This Row],[PAGO DIA]],DIAS!A:F,6,0)</f>
        <v>46196</v>
      </c>
      <c r="R1381" s="6">
        <v>0</v>
      </c>
      <c r="S1381" s="43">
        <f>VLOOKUP(Tabla1[[#This Row],[PAGO DIA]],DIAS!A:G,7,0)</f>
        <v>46231</v>
      </c>
      <c r="T1381" s="6">
        <v>0</v>
      </c>
      <c r="U1381" s="43">
        <f>VLOOKUP(Tabla1[[#This Row],[PAGO DIA]],DIAS!A:H,8,0)</f>
        <v>46259</v>
      </c>
      <c r="V1381" s="6">
        <v>0</v>
      </c>
      <c r="W1381" s="43">
        <f>VLOOKUP(Tabla1[[#This Row],[PAGO DIA]],DIAS!A:I,9,0)</f>
        <v>46287</v>
      </c>
      <c r="X1381" s="6">
        <v>0</v>
      </c>
      <c r="Y1381" s="43">
        <f>VLOOKUP(Tabla1[[#This Row],[PAGO DIA]],DIAS!A:J,10,0)</f>
        <v>46322</v>
      </c>
      <c r="Z1381" s="6">
        <v>0</v>
      </c>
      <c r="AA1381" s="43">
        <f>VLOOKUP(Tabla1[[#This Row],[PAGO DIA]],DIAS!A:K,11,0)</f>
        <v>46350</v>
      </c>
      <c r="AB1381" s="6">
        <v>0</v>
      </c>
      <c r="AC1381" s="43">
        <f>VLOOKUP(Tabla1[[#This Row],[PAGO DIA]],DIAS!A:M,12,0)</f>
        <v>46379</v>
      </c>
      <c r="AD13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2" spans="1:30">
      <c r="A1382" s="3">
        <v>11603</v>
      </c>
      <c r="B1382" s="3" t="s">
        <v>510</v>
      </c>
      <c r="C1382" s="3" t="s">
        <v>540</v>
      </c>
      <c r="D1382" s="3" t="s">
        <v>1823</v>
      </c>
      <c r="E1382" s="3" t="s">
        <v>1456</v>
      </c>
      <c r="F1382" s="42" t="s">
        <v>562</v>
      </c>
      <c r="G1382" s="3" t="s">
        <v>1927</v>
      </c>
      <c r="H1382" s="6">
        <v>0</v>
      </c>
      <c r="I1382" s="41">
        <f>VLOOKUP(Tabla1[[#This Row],[PAGO DIA]],DIAS!A:B,2,0)</f>
        <v>46078</v>
      </c>
      <c r="J1382" s="6">
        <v>0</v>
      </c>
      <c r="K1382" s="43">
        <f>VLOOKUP(Tabla1[[#This Row],[PAGO DIA]],DIAS!A:C,3,0)</f>
        <v>46105</v>
      </c>
      <c r="L1382" s="6">
        <v>0</v>
      </c>
      <c r="M1382" s="41">
        <f>VLOOKUP(Tabla1[[#This Row],[PAGO DIA]],DIAS!A:D,4,0)</f>
        <v>46140</v>
      </c>
      <c r="N1382" s="6">
        <v>0</v>
      </c>
      <c r="O1382" s="43">
        <f>VLOOKUP(Tabla1[[#This Row],[PAGO DIA]],DIAS!A:E,5,0)</f>
        <v>46168</v>
      </c>
      <c r="P1382" s="6">
        <v>0</v>
      </c>
      <c r="Q1382" s="43">
        <f>VLOOKUP(Tabla1[[#This Row],[PAGO DIA]],DIAS!A:F,6,0)</f>
        <v>46196</v>
      </c>
      <c r="R1382" s="6">
        <v>0</v>
      </c>
      <c r="S1382" s="43">
        <f>VLOOKUP(Tabla1[[#This Row],[PAGO DIA]],DIAS!A:G,7,0)</f>
        <v>46231</v>
      </c>
      <c r="T1382" s="6">
        <v>0</v>
      </c>
      <c r="U1382" s="43">
        <f>VLOOKUP(Tabla1[[#This Row],[PAGO DIA]],DIAS!A:H,8,0)</f>
        <v>46259</v>
      </c>
      <c r="V1382" s="6">
        <v>0</v>
      </c>
      <c r="W1382" s="43">
        <f>VLOOKUP(Tabla1[[#This Row],[PAGO DIA]],DIAS!A:I,9,0)</f>
        <v>46287</v>
      </c>
      <c r="X1382" s="6">
        <v>0</v>
      </c>
      <c r="Y1382" s="43">
        <f>VLOOKUP(Tabla1[[#This Row],[PAGO DIA]],DIAS!A:J,10,0)</f>
        <v>46322</v>
      </c>
      <c r="Z1382" s="6">
        <v>0</v>
      </c>
      <c r="AA1382" s="43">
        <f>VLOOKUP(Tabla1[[#This Row],[PAGO DIA]],DIAS!A:K,11,0)</f>
        <v>46350</v>
      </c>
      <c r="AB1382" s="6">
        <v>0</v>
      </c>
      <c r="AC1382" s="43">
        <f>VLOOKUP(Tabla1[[#This Row],[PAGO DIA]],DIAS!A:M,12,0)</f>
        <v>46379</v>
      </c>
      <c r="AD13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3" spans="1:30">
      <c r="A1383" s="3">
        <v>11604</v>
      </c>
      <c r="B1383" s="3" t="s">
        <v>510</v>
      </c>
      <c r="C1383" s="3" t="s">
        <v>540</v>
      </c>
      <c r="D1383" s="3" t="s">
        <v>1823</v>
      </c>
      <c r="E1383" s="3" t="s">
        <v>1456</v>
      </c>
      <c r="F1383" s="42" t="s">
        <v>562</v>
      </c>
      <c r="G1383" s="3" t="s">
        <v>1928</v>
      </c>
      <c r="H1383" s="6">
        <v>0</v>
      </c>
      <c r="I1383" s="41">
        <f>VLOOKUP(Tabla1[[#This Row],[PAGO DIA]],DIAS!A:B,2,0)</f>
        <v>46078</v>
      </c>
      <c r="J1383" s="6">
        <v>0</v>
      </c>
      <c r="K1383" s="43">
        <f>VLOOKUP(Tabla1[[#This Row],[PAGO DIA]],DIAS!A:C,3,0)</f>
        <v>46105</v>
      </c>
      <c r="L1383" s="6">
        <v>0</v>
      </c>
      <c r="M1383" s="41">
        <f>VLOOKUP(Tabla1[[#This Row],[PAGO DIA]],DIAS!A:D,4,0)</f>
        <v>46140</v>
      </c>
      <c r="N1383" s="6">
        <v>0</v>
      </c>
      <c r="O1383" s="43">
        <f>VLOOKUP(Tabla1[[#This Row],[PAGO DIA]],DIAS!A:E,5,0)</f>
        <v>46168</v>
      </c>
      <c r="P1383" s="6">
        <v>0</v>
      </c>
      <c r="Q1383" s="43">
        <f>VLOOKUP(Tabla1[[#This Row],[PAGO DIA]],DIAS!A:F,6,0)</f>
        <v>46196</v>
      </c>
      <c r="R1383" s="6">
        <v>0</v>
      </c>
      <c r="S1383" s="43">
        <f>VLOOKUP(Tabla1[[#This Row],[PAGO DIA]],DIAS!A:G,7,0)</f>
        <v>46231</v>
      </c>
      <c r="T1383" s="6">
        <v>0</v>
      </c>
      <c r="U1383" s="43">
        <f>VLOOKUP(Tabla1[[#This Row],[PAGO DIA]],DIAS!A:H,8,0)</f>
        <v>46259</v>
      </c>
      <c r="V1383" s="6">
        <v>0</v>
      </c>
      <c r="W1383" s="43">
        <f>VLOOKUP(Tabla1[[#This Row],[PAGO DIA]],DIAS!A:I,9,0)</f>
        <v>46287</v>
      </c>
      <c r="X1383" s="6">
        <v>0</v>
      </c>
      <c r="Y1383" s="43">
        <f>VLOOKUP(Tabla1[[#This Row],[PAGO DIA]],DIAS!A:J,10,0)</f>
        <v>46322</v>
      </c>
      <c r="Z1383" s="6">
        <v>0</v>
      </c>
      <c r="AA1383" s="43">
        <f>VLOOKUP(Tabla1[[#This Row],[PAGO DIA]],DIAS!A:K,11,0)</f>
        <v>46350</v>
      </c>
      <c r="AB1383" s="6">
        <v>0</v>
      </c>
      <c r="AC1383" s="43">
        <f>VLOOKUP(Tabla1[[#This Row],[PAGO DIA]],DIAS!A:M,12,0)</f>
        <v>46379</v>
      </c>
      <c r="AD13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4" spans="1:30">
      <c r="A1384" s="3">
        <v>11605</v>
      </c>
      <c r="B1384" s="3" t="s">
        <v>510</v>
      </c>
      <c r="C1384" s="3" t="s">
        <v>540</v>
      </c>
      <c r="D1384" s="3" t="s">
        <v>1823</v>
      </c>
      <c r="E1384" s="3" t="s">
        <v>1456</v>
      </c>
      <c r="F1384" s="42" t="s">
        <v>562</v>
      </c>
      <c r="G1384" s="3" t="s">
        <v>1929</v>
      </c>
      <c r="H1384" s="6">
        <v>0</v>
      </c>
      <c r="I1384" s="41">
        <f>VLOOKUP(Tabla1[[#This Row],[PAGO DIA]],DIAS!A:B,2,0)</f>
        <v>46078</v>
      </c>
      <c r="J1384" s="6">
        <v>0</v>
      </c>
      <c r="K1384" s="43">
        <f>VLOOKUP(Tabla1[[#This Row],[PAGO DIA]],DIAS!A:C,3,0)</f>
        <v>46105</v>
      </c>
      <c r="L1384" s="6">
        <v>0</v>
      </c>
      <c r="M1384" s="41">
        <f>VLOOKUP(Tabla1[[#This Row],[PAGO DIA]],DIAS!A:D,4,0)</f>
        <v>46140</v>
      </c>
      <c r="N1384" s="6">
        <v>0</v>
      </c>
      <c r="O1384" s="43">
        <f>VLOOKUP(Tabla1[[#This Row],[PAGO DIA]],DIAS!A:E,5,0)</f>
        <v>46168</v>
      </c>
      <c r="P1384" s="6">
        <v>0</v>
      </c>
      <c r="Q1384" s="43">
        <f>VLOOKUP(Tabla1[[#This Row],[PAGO DIA]],DIAS!A:F,6,0)</f>
        <v>46196</v>
      </c>
      <c r="R1384" s="6">
        <v>0</v>
      </c>
      <c r="S1384" s="43">
        <f>VLOOKUP(Tabla1[[#This Row],[PAGO DIA]],DIAS!A:G,7,0)</f>
        <v>46231</v>
      </c>
      <c r="T1384" s="6">
        <v>0</v>
      </c>
      <c r="U1384" s="43">
        <f>VLOOKUP(Tabla1[[#This Row],[PAGO DIA]],DIAS!A:H,8,0)</f>
        <v>46259</v>
      </c>
      <c r="V1384" s="6">
        <v>0</v>
      </c>
      <c r="W1384" s="43">
        <f>VLOOKUP(Tabla1[[#This Row],[PAGO DIA]],DIAS!A:I,9,0)</f>
        <v>46287</v>
      </c>
      <c r="X1384" s="6">
        <v>0</v>
      </c>
      <c r="Y1384" s="43">
        <f>VLOOKUP(Tabla1[[#This Row],[PAGO DIA]],DIAS!A:J,10,0)</f>
        <v>46322</v>
      </c>
      <c r="Z1384" s="6">
        <v>0</v>
      </c>
      <c r="AA1384" s="43">
        <f>VLOOKUP(Tabla1[[#This Row],[PAGO DIA]],DIAS!A:K,11,0)</f>
        <v>46350</v>
      </c>
      <c r="AB1384" s="6">
        <v>0</v>
      </c>
      <c r="AC1384" s="43">
        <f>VLOOKUP(Tabla1[[#This Row],[PAGO DIA]],DIAS!A:M,12,0)</f>
        <v>46379</v>
      </c>
      <c r="AD13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5" spans="1:30">
      <c r="A1385" s="3">
        <v>11606</v>
      </c>
      <c r="B1385" s="3" t="s">
        <v>510</v>
      </c>
      <c r="C1385" s="3" t="s">
        <v>540</v>
      </c>
      <c r="D1385" s="3" t="s">
        <v>1823</v>
      </c>
      <c r="E1385" s="3" t="s">
        <v>1456</v>
      </c>
      <c r="F1385" s="42" t="s">
        <v>562</v>
      </c>
      <c r="G1385" s="3" t="s">
        <v>1930</v>
      </c>
      <c r="H1385" s="6">
        <v>0</v>
      </c>
      <c r="I1385" s="41">
        <f>VLOOKUP(Tabla1[[#This Row],[PAGO DIA]],DIAS!A:B,2,0)</f>
        <v>46078</v>
      </c>
      <c r="J1385" s="6">
        <v>0</v>
      </c>
      <c r="K1385" s="43">
        <f>VLOOKUP(Tabla1[[#This Row],[PAGO DIA]],DIAS!A:C,3,0)</f>
        <v>46105</v>
      </c>
      <c r="L1385" s="6">
        <v>0</v>
      </c>
      <c r="M1385" s="41">
        <f>VLOOKUP(Tabla1[[#This Row],[PAGO DIA]],DIAS!A:D,4,0)</f>
        <v>46140</v>
      </c>
      <c r="N1385" s="6">
        <v>0</v>
      </c>
      <c r="O1385" s="43">
        <f>VLOOKUP(Tabla1[[#This Row],[PAGO DIA]],DIAS!A:E,5,0)</f>
        <v>46168</v>
      </c>
      <c r="P1385" s="6">
        <v>0</v>
      </c>
      <c r="Q1385" s="43">
        <f>VLOOKUP(Tabla1[[#This Row],[PAGO DIA]],DIAS!A:F,6,0)</f>
        <v>46196</v>
      </c>
      <c r="R1385" s="6">
        <v>0</v>
      </c>
      <c r="S1385" s="43">
        <f>VLOOKUP(Tabla1[[#This Row],[PAGO DIA]],DIAS!A:G,7,0)</f>
        <v>46231</v>
      </c>
      <c r="T1385" s="6">
        <v>0</v>
      </c>
      <c r="U1385" s="43">
        <f>VLOOKUP(Tabla1[[#This Row],[PAGO DIA]],DIAS!A:H,8,0)</f>
        <v>46259</v>
      </c>
      <c r="V1385" s="6">
        <v>0</v>
      </c>
      <c r="W1385" s="43">
        <f>VLOOKUP(Tabla1[[#This Row],[PAGO DIA]],DIAS!A:I,9,0)</f>
        <v>46287</v>
      </c>
      <c r="X1385" s="6">
        <v>0</v>
      </c>
      <c r="Y1385" s="43">
        <f>VLOOKUP(Tabla1[[#This Row],[PAGO DIA]],DIAS!A:J,10,0)</f>
        <v>46322</v>
      </c>
      <c r="Z1385" s="6">
        <v>0</v>
      </c>
      <c r="AA1385" s="43">
        <f>VLOOKUP(Tabla1[[#This Row],[PAGO DIA]],DIAS!A:K,11,0)</f>
        <v>46350</v>
      </c>
      <c r="AB1385" s="6">
        <v>0</v>
      </c>
      <c r="AC1385" s="43">
        <f>VLOOKUP(Tabla1[[#This Row],[PAGO DIA]],DIAS!A:M,12,0)</f>
        <v>46379</v>
      </c>
      <c r="AD13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6" spans="1:30">
      <c r="A1386" s="3">
        <v>11607</v>
      </c>
      <c r="B1386" s="3" t="s">
        <v>510</v>
      </c>
      <c r="C1386" s="3" t="s">
        <v>540</v>
      </c>
      <c r="D1386" s="3" t="s">
        <v>1823</v>
      </c>
      <c r="E1386" s="3" t="s">
        <v>1456</v>
      </c>
      <c r="F1386" s="42" t="s">
        <v>562</v>
      </c>
      <c r="G1386" s="3" t="s">
        <v>1931</v>
      </c>
      <c r="H1386" s="6">
        <v>0</v>
      </c>
      <c r="I1386" s="41">
        <f>VLOOKUP(Tabla1[[#This Row],[PAGO DIA]],DIAS!A:B,2,0)</f>
        <v>46078</v>
      </c>
      <c r="J1386" s="6">
        <v>0</v>
      </c>
      <c r="K1386" s="43">
        <f>VLOOKUP(Tabla1[[#This Row],[PAGO DIA]],DIAS!A:C,3,0)</f>
        <v>46105</v>
      </c>
      <c r="L1386" s="6">
        <v>0</v>
      </c>
      <c r="M1386" s="41">
        <f>VLOOKUP(Tabla1[[#This Row],[PAGO DIA]],DIAS!A:D,4,0)</f>
        <v>46140</v>
      </c>
      <c r="N1386" s="6">
        <v>0</v>
      </c>
      <c r="O1386" s="43">
        <f>VLOOKUP(Tabla1[[#This Row],[PAGO DIA]],DIAS!A:E,5,0)</f>
        <v>46168</v>
      </c>
      <c r="P1386" s="6">
        <v>0</v>
      </c>
      <c r="Q1386" s="43">
        <f>VLOOKUP(Tabla1[[#This Row],[PAGO DIA]],DIAS!A:F,6,0)</f>
        <v>46196</v>
      </c>
      <c r="R1386" s="6">
        <v>0</v>
      </c>
      <c r="S1386" s="43">
        <f>VLOOKUP(Tabla1[[#This Row],[PAGO DIA]],DIAS!A:G,7,0)</f>
        <v>46231</v>
      </c>
      <c r="T1386" s="6">
        <v>0</v>
      </c>
      <c r="U1386" s="43">
        <f>VLOOKUP(Tabla1[[#This Row],[PAGO DIA]],DIAS!A:H,8,0)</f>
        <v>46259</v>
      </c>
      <c r="V1386" s="6">
        <v>0</v>
      </c>
      <c r="W1386" s="43">
        <f>VLOOKUP(Tabla1[[#This Row],[PAGO DIA]],DIAS!A:I,9,0)</f>
        <v>46287</v>
      </c>
      <c r="X1386" s="6">
        <v>0</v>
      </c>
      <c r="Y1386" s="43">
        <f>VLOOKUP(Tabla1[[#This Row],[PAGO DIA]],DIAS!A:J,10,0)</f>
        <v>46322</v>
      </c>
      <c r="Z1386" s="6">
        <v>0</v>
      </c>
      <c r="AA1386" s="43">
        <f>VLOOKUP(Tabla1[[#This Row],[PAGO DIA]],DIAS!A:K,11,0)</f>
        <v>46350</v>
      </c>
      <c r="AB1386" s="6">
        <v>0</v>
      </c>
      <c r="AC1386" s="43">
        <f>VLOOKUP(Tabla1[[#This Row],[PAGO DIA]],DIAS!A:M,12,0)</f>
        <v>46379</v>
      </c>
      <c r="AD13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7" spans="1:30">
      <c r="A1387" s="3">
        <v>11608</v>
      </c>
      <c r="B1387" s="3" t="s">
        <v>510</v>
      </c>
      <c r="C1387" s="3" t="s">
        <v>540</v>
      </c>
      <c r="D1387" s="3" t="s">
        <v>1823</v>
      </c>
      <c r="E1387" s="3" t="s">
        <v>1456</v>
      </c>
      <c r="F1387" s="42" t="s">
        <v>562</v>
      </c>
      <c r="G1387" s="3" t="s">
        <v>1932</v>
      </c>
      <c r="H1387" s="6">
        <v>0</v>
      </c>
      <c r="I1387" s="41">
        <f>VLOOKUP(Tabla1[[#This Row],[PAGO DIA]],DIAS!A:B,2,0)</f>
        <v>46078</v>
      </c>
      <c r="J1387" s="6">
        <v>0</v>
      </c>
      <c r="K1387" s="43">
        <f>VLOOKUP(Tabla1[[#This Row],[PAGO DIA]],DIAS!A:C,3,0)</f>
        <v>46105</v>
      </c>
      <c r="L1387" s="6">
        <v>0</v>
      </c>
      <c r="M1387" s="41">
        <f>VLOOKUP(Tabla1[[#This Row],[PAGO DIA]],DIAS!A:D,4,0)</f>
        <v>46140</v>
      </c>
      <c r="N1387" s="6">
        <v>0</v>
      </c>
      <c r="O1387" s="43">
        <f>VLOOKUP(Tabla1[[#This Row],[PAGO DIA]],DIAS!A:E,5,0)</f>
        <v>46168</v>
      </c>
      <c r="P1387" s="6">
        <v>0</v>
      </c>
      <c r="Q1387" s="43">
        <f>VLOOKUP(Tabla1[[#This Row],[PAGO DIA]],DIAS!A:F,6,0)</f>
        <v>46196</v>
      </c>
      <c r="R1387" s="6">
        <v>0</v>
      </c>
      <c r="S1387" s="43">
        <f>VLOOKUP(Tabla1[[#This Row],[PAGO DIA]],DIAS!A:G,7,0)</f>
        <v>46231</v>
      </c>
      <c r="T1387" s="6">
        <v>0</v>
      </c>
      <c r="U1387" s="43">
        <f>VLOOKUP(Tabla1[[#This Row],[PAGO DIA]],DIAS!A:H,8,0)</f>
        <v>46259</v>
      </c>
      <c r="V1387" s="6">
        <v>0</v>
      </c>
      <c r="W1387" s="43">
        <f>VLOOKUP(Tabla1[[#This Row],[PAGO DIA]],DIAS!A:I,9,0)</f>
        <v>46287</v>
      </c>
      <c r="X1387" s="6">
        <v>0</v>
      </c>
      <c r="Y1387" s="43">
        <f>VLOOKUP(Tabla1[[#This Row],[PAGO DIA]],DIAS!A:J,10,0)</f>
        <v>46322</v>
      </c>
      <c r="Z1387" s="6">
        <v>0</v>
      </c>
      <c r="AA1387" s="43">
        <f>VLOOKUP(Tabla1[[#This Row],[PAGO DIA]],DIAS!A:K,11,0)</f>
        <v>46350</v>
      </c>
      <c r="AB1387" s="6">
        <v>0</v>
      </c>
      <c r="AC1387" s="43">
        <f>VLOOKUP(Tabla1[[#This Row],[PAGO DIA]],DIAS!A:M,12,0)</f>
        <v>46379</v>
      </c>
      <c r="AD13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8" spans="1:30">
      <c r="A1388" s="3">
        <v>11609</v>
      </c>
      <c r="B1388" s="3" t="s">
        <v>510</v>
      </c>
      <c r="C1388" s="3" t="s">
        <v>540</v>
      </c>
      <c r="D1388" s="3" t="s">
        <v>540</v>
      </c>
      <c r="E1388" s="3" t="s">
        <v>1456</v>
      </c>
      <c r="F1388" s="42" t="s">
        <v>562</v>
      </c>
      <c r="G1388" s="3" t="s">
        <v>1933</v>
      </c>
      <c r="H1388" s="6">
        <v>0</v>
      </c>
      <c r="I1388" s="41">
        <f>VLOOKUP(Tabla1[[#This Row],[PAGO DIA]],DIAS!A:B,2,0)</f>
        <v>46078</v>
      </c>
      <c r="J1388" s="6">
        <v>0</v>
      </c>
      <c r="K1388" s="43">
        <f>VLOOKUP(Tabla1[[#This Row],[PAGO DIA]],DIAS!A:C,3,0)</f>
        <v>46105</v>
      </c>
      <c r="L1388" s="6">
        <v>0</v>
      </c>
      <c r="M1388" s="41">
        <f>VLOOKUP(Tabla1[[#This Row],[PAGO DIA]],DIAS!A:D,4,0)</f>
        <v>46140</v>
      </c>
      <c r="N1388" s="6">
        <v>0</v>
      </c>
      <c r="O1388" s="43">
        <f>VLOOKUP(Tabla1[[#This Row],[PAGO DIA]],DIAS!A:E,5,0)</f>
        <v>46168</v>
      </c>
      <c r="P1388" s="6">
        <v>0</v>
      </c>
      <c r="Q1388" s="43">
        <f>VLOOKUP(Tabla1[[#This Row],[PAGO DIA]],DIAS!A:F,6,0)</f>
        <v>46196</v>
      </c>
      <c r="R1388" s="6">
        <v>0</v>
      </c>
      <c r="S1388" s="43">
        <f>VLOOKUP(Tabla1[[#This Row],[PAGO DIA]],DIAS!A:G,7,0)</f>
        <v>46231</v>
      </c>
      <c r="T1388" s="6">
        <v>0</v>
      </c>
      <c r="U1388" s="43">
        <f>VLOOKUP(Tabla1[[#This Row],[PAGO DIA]],DIAS!A:H,8,0)</f>
        <v>46259</v>
      </c>
      <c r="V1388" s="6">
        <v>0</v>
      </c>
      <c r="W1388" s="43">
        <f>VLOOKUP(Tabla1[[#This Row],[PAGO DIA]],DIAS!A:I,9,0)</f>
        <v>46287</v>
      </c>
      <c r="X1388" s="6">
        <v>0</v>
      </c>
      <c r="Y1388" s="43">
        <f>VLOOKUP(Tabla1[[#This Row],[PAGO DIA]],DIAS!A:J,10,0)</f>
        <v>46322</v>
      </c>
      <c r="Z1388" s="6">
        <v>0</v>
      </c>
      <c r="AA1388" s="43">
        <f>VLOOKUP(Tabla1[[#This Row],[PAGO DIA]],DIAS!A:K,11,0)</f>
        <v>46350</v>
      </c>
      <c r="AB1388" s="6">
        <v>0</v>
      </c>
      <c r="AC1388" s="43">
        <f>VLOOKUP(Tabla1[[#This Row],[PAGO DIA]],DIAS!A:M,12,0)</f>
        <v>46379</v>
      </c>
      <c r="AD13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89" spans="1:30">
      <c r="A1389" s="3">
        <v>11610</v>
      </c>
      <c r="B1389" s="3" t="s">
        <v>510</v>
      </c>
      <c r="C1389" s="3" t="s">
        <v>540</v>
      </c>
      <c r="D1389" s="3" t="s">
        <v>540</v>
      </c>
      <c r="E1389" s="3" t="s">
        <v>1456</v>
      </c>
      <c r="F1389" s="42" t="s">
        <v>562</v>
      </c>
      <c r="G1389" s="3" t="s">
        <v>1934</v>
      </c>
      <c r="H1389" s="6">
        <v>0</v>
      </c>
      <c r="I1389" s="41">
        <f>VLOOKUP(Tabla1[[#This Row],[PAGO DIA]],DIAS!A:B,2,0)</f>
        <v>46078</v>
      </c>
      <c r="J1389" s="6">
        <v>0</v>
      </c>
      <c r="K1389" s="43">
        <f>VLOOKUP(Tabla1[[#This Row],[PAGO DIA]],DIAS!A:C,3,0)</f>
        <v>46105</v>
      </c>
      <c r="L1389" s="6">
        <v>0</v>
      </c>
      <c r="M1389" s="41">
        <f>VLOOKUP(Tabla1[[#This Row],[PAGO DIA]],DIAS!A:D,4,0)</f>
        <v>46140</v>
      </c>
      <c r="N1389" s="6">
        <v>0</v>
      </c>
      <c r="O1389" s="43">
        <f>VLOOKUP(Tabla1[[#This Row],[PAGO DIA]],DIAS!A:E,5,0)</f>
        <v>46168</v>
      </c>
      <c r="P1389" s="6">
        <v>0</v>
      </c>
      <c r="Q1389" s="43">
        <f>VLOOKUP(Tabla1[[#This Row],[PAGO DIA]],DIAS!A:F,6,0)</f>
        <v>46196</v>
      </c>
      <c r="R1389" s="6">
        <v>0</v>
      </c>
      <c r="S1389" s="43">
        <f>VLOOKUP(Tabla1[[#This Row],[PAGO DIA]],DIAS!A:G,7,0)</f>
        <v>46231</v>
      </c>
      <c r="T1389" s="6">
        <v>0</v>
      </c>
      <c r="U1389" s="43">
        <f>VLOOKUP(Tabla1[[#This Row],[PAGO DIA]],DIAS!A:H,8,0)</f>
        <v>46259</v>
      </c>
      <c r="V1389" s="6">
        <v>0</v>
      </c>
      <c r="W1389" s="43">
        <f>VLOOKUP(Tabla1[[#This Row],[PAGO DIA]],DIAS!A:I,9,0)</f>
        <v>46287</v>
      </c>
      <c r="X1389" s="6">
        <v>0</v>
      </c>
      <c r="Y1389" s="43">
        <f>VLOOKUP(Tabla1[[#This Row],[PAGO DIA]],DIAS!A:J,10,0)</f>
        <v>46322</v>
      </c>
      <c r="Z1389" s="6">
        <v>0</v>
      </c>
      <c r="AA1389" s="43">
        <f>VLOOKUP(Tabla1[[#This Row],[PAGO DIA]],DIAS!A:K,11,0)</f>
        <v>46350</v>
      </c>
      <c r="AB1389" s="6">
        <v>0</v>
      </c>
      <c r="AC1389" s="43">
        <f>VLOOKUP(Tabla1[[#This Row],[PAGO DIA]],DIAS!A:M,12,0)</f>
        <v>46379</v>
      </c>
      <c r="AD13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0" spans="1:30">
      <c r="A1390" s="3">
        <v>11611</v>
      </c>
      <c r="B1390" s="3" t="s">
        <v>510</v>
      </c>
      <c r="C1390" s="3" t="s">
        <v>540</v>
      </c>
      <c r="D1390" s="3" t="s">
        <v>540</v>
      </c>
      <c r="E1390" s="3" t="s">
        <v>1456</v>
      </c>
      <c r="F1390" s="42" t="s">
        <v>562</v>
      </c>
      <c r="G1390" s="3" t="s">
        <v>1935</v>
      </c>
      <c r="H1390" s="6">
        <v>0</v>
      </c>
      <c r="I1390" s="41">
        <f>VLOOKUP(Tabla1[[#This Row],[PAGO DIA]],DIAS!A:B,2,0)</f>
        <v>46078</v>
      </c>
      <c r="J1390" s="6">
        <v>0</v>
      </c>
      <c r="K1390" s="43">
        <f>VLOOKUP(Tabla1[[#This Row],[PAGO DIA]],DIAS!A:C,3,0)</f>
        <v>46105</v>
      </c>
      <c r="L1390" s="6">
        <v>0</v>
      </c>
      <c r="M1390" s="41">
        <f>VLOOKUP(Tabla1[[#This Row],[PAGO DIA]],DIAS!A:D,4,0)</f>
        <v>46140</v>
      </c>
      <c r="N1390" s="6">
        <v>0</v>
      </c>
      <c r="O1390" s="43">
        <f>VLOOKUP(Tabla1[[#This Row],[PAGO DIA]],DIAS!A:E,5,0)</f>
        <v>46168</v>
      </c>
      <c r="P1390" s="6">
        <v>0</v>
      </c>
      <c r="Q1390" s="43">
        <f>VLOOKUP(Tabla1[[#This Row],[PAGO DIA]],DIAS!A:F,6,0)</f>
        <v>46196</v>
      </c>
      <c r="R1390" s="6">
        <v>0</v>
      </c>
      <c r="S1390" s="43">
        <f>VLOOKUP(Tabla1[[#This Row],[PAGO DIA]],DIAS!A:G,7,0)</f>
        <v>46231</v>
      </c>
      <c r="T1390" s="6">
        <v>0</v>
      </c>
      <c r="U1390" s="43">
        <f>VLOOKUP(Tabla1[[#This Row],[PAGO DIA]],DIAS!A:H,8,0)</f>
        <v>46259</v>
      </c>
      <c r="V1390" s="6">
        <v>0</v>
      </c>
      <c r="W1390" s="43">
        <f>VLOOKUP(Tabla1[[#This Row],[PAGO DIA]],DIAS!A:I,9,0)</f>
        <v>46287</v>
      </c>
      <c r="X1390" s="6">
        <v>0</v>
      </c>
      <c r="Y1390" s="43">
        <f>VLOOKUP(Tabla1[[#This Row],[PAGO DIA]],DIAS!A:J,10,0)</f>
        <v>46322</v>
      </c>
      <c r="Z1390" s="6">
        <v>0</v>
      </c>
      <c r="AA1390" s="43">
        <f>VLOOKUP(Tabla1[[#This Row],[PAGO DIA]],DIAS!A:K,11,0)</f>
        <v>46350</v>
      </c>
      <c r="AB1390" s="6">
        <v>0</v>
      </c>
      <c r="AC1390" s="43">
        <f>VLOOKUP(Tabla1[[#This Row],[PAGO DIA]],DIAS!A:M,12,0)</f>
        <v>46379</v>
      </c>
      <c r="AD13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1" spans="1:30">
      <c r="A1391" s="3">
        <v>11612</v>
      </c>
      <c r="B1391" s="3" t="s">
        <v>510</v>
      </c>
      <c r="C1391" s="3" t="s">
        <v>540</v>
      </c>
      <c r="D1391" s="3" t="s">
        <v>540</v>
      </c>
      <c r="E1391" s="3" t="s">
        <v>1456</v>
      </c>
      <c r="F1391" s="42" t="s">
        <v>562</v>
      </c>
      <c r="G1391" s="3" t="s">
        <v>1936</v>
      </c>
      <c r="H1391" s="6">
        <v>0</v>
      </c>
      <c r="I1391" s="41">
        <f>VLOOKUP(Tabla1[[#This Row],[PAGO DIA]],DIAS!A:B,2,0)</f>
        <v>46078</v>
      </c>
      <c r="J1391" s="6">
        <v>0</v>
      </c>
      <c r="K1391" s="43">
        <f>VLOOKUP(Tabla1[[#This Row],[PAGO DIA]],DIAS!A:C,3,0)</f>
        <v>46105</v>
      </c>
      <c r="L1391" s="6">
        <v>0</v>
      </c>
      <c r="M1391" s="41">
        <f>VLOOKUP(Tabla1[[#This Row],[PAGO DIA]],DIAS!A:D,4,0)</f>
        <v>46140</v>
      </c>
      <c r="N1391" s="6">
        <v>0</v>
      </c>
      <c r="O1391" s="43">
        <f>VLOOKUP(Tabla1[[#This Row],[PAGO DIA]],DIAS!A:E,5,0)</f>
        <v>46168</v>
      </c>
      <c r="P1391" s="6">
        <v>0</v>
      </c>
      <c r="Q1391" s="43">
        <f>VLOOKUP(Tabla1[[#This Row],[PAGO DIA]],DIAS!A:F,6,0)</f>
        <v>46196</v>
      </c>
      <c r="R1391" s="6">
        <v>0</v>
      </c>
      <c r="S1391" s="43">
        <f>VLOOKUP(Tabla1[[#This Row],[PAGO DIA]],DIAS!A:G,7,0)</f>
        <v>46231</v>
      </c>
      <c r="T1391" s="6">
        <v>0</v>
      </c>
      <c r="U1391" s="43">
        <f>VLOOKUP(Tabla1[[#This Row],[PAGO DIA]],DIAS!A:H,8,0)</f>
        <v>46259</v>
      </c>
      <c r="V1391" s="6">
        <v>0</v>
      </c>
      <c r="W1391" s="43">
        <f>VLOOKUP(Tabla1[[#This Row],[PAGO DIA]],DIAS!A:I,9,0)</f>
        <v>46287</v>
      </c>
      <c r="X1391" s="6">
        <v>0</v>
      </c>
      <c r="Y1391" s="43">
        <f>VLOOKUP(Tabla1[[#This Row],[PAGO DIA]],DIAS!A:J,10,0)</f>
        <v>46322</v>
      </c>
      <c r="Z1391" s="6">
        <v>0</v>
      </c>
      <c r="AA1391" s="43">
        <f>VLOOKUP(Tabla1[[#This Row],[PAGO DIA]],DIAS!A:K,11,0)</f>
        <v>46350</v>
      </c>
      <c r="AB1391" s="6">
        <v>0</v>
      </c>
      <c r="AC1391" s="43">
        <f>VLOOKUP(Tabla1[[#This Row],[PAGO DIA]],DIAS!A:M,12,0)</f>
        <v>46379</v>
      </c>
      <c r="AD13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2" spans="1:30">
      <c r="A1392" s="3">
        <v>11618</v>
      </c>
      <c r="B1392" s="3" t="s">
        <v>510</v>
      </c>
      <c r="C1392" s="3" t="s">
        <v>505</v>
      </c>
      <c r="D1392" s="3" t="s">
        <v>1937</v>
      </c>
      <c r="E1392" s="3" t="s">
        <v>512</v>
      </c>
      <c r="F1392" s="42" t="s">
        <v>562</v>
      </c>
      <c r="G1392" s="3" t="s">
        <v>514</v>
      </c>
      <c r="H1392" s="6">
        <v>0</v>
      </c>
      <c r="I1392" s="41">
        <f>VLOOKUP(Tabla1[[#This Row],[PAGO DIA]],DIAS!A:B,2,0)</f>
        <v>46078</v>
      </c>
      <c r="J1392" s="6">
        <v>0</v>
      </c>
      <c r="K1392" s="43">
        <f>VLOOKUP(Tabla1[[#This Row],[PAGO DIA]],DIAS!A:C,3,0)</f>
        <v>46105</v>
      </c>
      <c r="L1392" s="6">
        <v>0</v>
      </c>
      <c r="M1392" s="41">
        <f>VLOOKUP(Tabla1[[#This Row],[PAGO DIA]],DIAS!A:D,4,0)</f>
        <v>46140</v>
      </c>
      <c r="N1392" s="6">
        <v>0</v>
      </c>
      <c r="O1392" s="43">
        <f>VLOOKUP(Tabla1[[#This Row],[PAGO DIA]],DIAS!A:E,5,0)</f>
        <v>46168</v>
      </c>
      <c r="P1392" s="6">
        <v>0</v>
      </c>
      <c r="Q1392" s="43">
        <f>VLOOKUP(Tabla1[[#This Row],[PAGO DIA]],DIAS!A:F,6,0)</f>
        <v>46196</v>
      </c>
      <c r="R1392" s="6">
        <v>0</v>
      </c>
      <c r="S1392" s="43">
        <f>VLOOKUP(Tabla1[[#This Row],[PAGO DIA]],DIAS!A:G,7,0)</f>
        <v>46231</v>
      </c>
      <c r="T1392" s="6">
        <v>0</v>
      </c>
      <c r="U1392" s="43">
        <f>VLOOKUP(Tabla1[[#This Row],[PAGO DIA]],DIAS!A:H,8,0)</f>
        <v>46259</v>
      </c>
      <c r="V1392" s="6">
        <v>0</v>
      </c>
      <c r="W1392" s="43">
        <f>VLOOKUP(Tabla1[[#This Row],[PAGO DIA]],DIAS!A:I,9,0)</f>
        <v>46287</v>
      </c>
      <c r="X1392" s="6">
        <v>0</v>
      </c>
      <c r="Y1392" s="43">
        <f>VLOOKUP(Tabla1[[#This Row],[PAGO DIA]],DIAS!A:J,10,0)</f>
        <v>46322</v>
      </c>
      <c r="Z1392" s="6">
        <v>0</v>
      </c>
      <c r="AA1392" s="43">
        <f>VLOOKUP(Tabla1[[#This Row],[PAGO DIA]],DIAS!A:K,11,0)</f>
        <v>46350</v>
      </c>
      <c r="AB1392" s="6">
        <v>0</v>
      </c>
      <c r="AC1392" s="43">
        <f>VLOOKUP(Tabla1[[#This Row],[PAGO DIA]],DIAS!A:M,12,0)</f>
        <v>46379</v>
      </c>
      <c r="AD13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3" spans="1:30">
      <c r="A1393" s="3">
        <v>11619</v>
      </c>
      <c r="B1393" s="3" t="s">
        <v>510</v>
      </c>
      <c r="C1393" s="3" t="s">
        <v>1938</v>
      </c>
      <c r="D1393" s="3" t="s">
        <v>1468</v>
      </c>
      <c r="E1393" s="3" t="s">
        <v>1477</v>
      </c>
      <c r="F1393" s="42" t="s">
        <v>562</v>
      </c>
      <c r="G1393" s="3"/>
      <c r="H1393" s="6">
        <v>0</v>
      </c>
      <c r="I1393" s="41">
        <f>VLOOKUP(Tabla1[[#This Row],[PAGO DIA]],DIAS!A:B,2,0)</f>
        <v>46078</v>
      </c>
      <c r="J1393" s="6">
        <v>0</v>
      </c>
      <c r="K1393" s="43">
        <f>VLOOKUP(Tabla1[[#This Row],[PAGO DIA]],DIAS!A:C,3,0)</f>
        <v>46105</v>
      </c>
      <c r="L1393" s="6">
        <v>0</v>
      </c>
      <c r="M1393" s="41">
        <f>VLOOKUP(Tabla1[[#This Row],[PAGO DIA]],DIAS!A:D,4,0)</f>
        <v>46140</v>
      </c>
      <c r="N1393" s="6">
        <v>0</v>
      </c>
      <c r="O1393" s="43">
        <f>VLOOKUP(Tabla1[[#This Row],[PAGO DIA]],DIAS!A:E,5,0)</f>
        <v>46168</v>
      </c>
      <c r="P1393" s="6">
        <v>0</v>
      </c>
      <c r="Q1393" s="43">
        <f>VLOOKUP(Tabla1[[#This Row],[PAGO DIA]],DIAS!A:F,6,0)</f>
        <v>46196</v>
      </c>
      <c r="R1393" s="6">
        <v>0</v>
      </c>
      <c r="S1393" s="43">
        <f>VLOOKUP(Tabla1[[#This Row],[PAGO DIA]],DIAS!A:G,7,0)</f>
        <v>46231</v>
      </c>
      <c r="T1393" s="6">
        <v>0</v>
      </c>
      <c r="U1393" s="43">
        <f>VLOOKUP(Tabla1[[#This Row],[PAGO DIA]],DIAS!A:H,8,0)</f>
        <v>46259</v>
      </c>
      <c r="V1393" s="6">
        <v>0</v>
      </c>
      <c r="W1393" s="43">
        <f>VLOOKUP(Tabla1[[#This Row],[PAGO DIA]],DIAS!A:I,9,0)</f>
        <v>46287</v>
      </c>
      <c r="X1393" s="6">
        <v>0</v>
      </c>
      <c r="Y1393" s="43">
        <f>VLOOKUP(Tabla1[[#This Row],[PAGO DIA]],DIAS!A:J,10,0)</f>
        <v>46322</v>
      </c>
      <c r="Z1393" s="6">
        <v>0</v>
      </c>
      <c r="AA1393" s="43">
        <f>VLOOKUP(Tabla1[[#This Row],[PAGO DIA]],DIAS!A:K,11,0)</f>
        <v>46350</v>
      </c>
      <c r="AB1393" s="6">
        <v>0</v>
      </c>
      <c r="AC1393" s="43">
        <f>VLOOKUP(Tabla1[[#This Row],[PAGO DIA]],DIAS!A:M,12,0)</f>
        <v>46379</v>
      </c>
      <c r="AD13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4" spans="1:30">
      <c r="A1394" s="3">
        <v>11017</v>
      </c>
      <c r="B1394" s="3" t="s">
        <v>510</v>
      </c>
      <c r="C1394" s="3" t="s">
        <v>1140</v>
      </c>
      <c r="D1394" s="3" t="s">
        <v>1836</v>
      </c>
      <c r="E1394" s="3" t="s">
        <v>1837</v>
      </c>
      <c r="F1394" s="42" t="s">
        <v>562</v>
      </c>
      <c r="G1394" s="3"/>
      <c r="H1394" s="6">
        <v>0</v>
      </c>
      <c r="I1394" s="41">
        <f>VLOOKUP(Tabla1[[#This Row],[PAGO DIA]],DIAS!A:B,2,0)</f>
        <v>46078</v>
      </c>
      <c r="J1394" s="6">
        <v>0</v>
      </c>
      <c r="K1394" s="43">
        <f>VLOOKUP(Tabla1[[#This Row],[PAGO DIA]],DIAS!A:C,3,0)</f>
        <v>46105</v>
      </c>
      <c r="L1394" s="6">
        <v>0</v>
      </c>
      <c r="M1394" s="41">
        <f>VLOOKUP(Tabla1[[#This Row],[PAGO DIA]],DIAS!A:D,4,0)</f>
        <v>46140</v>
      </c>
      <c r="N1394" s="6">
        <v>0</v>
      </c>
      <c r="O1394" s="43">
        <f>VLOOKUP(Tabla1[[#This Row],[PAGO DIA]],DIAS!A:E,5,0)</f>
        <v>46168</v>
      </c>
      <c r="P1394" s="6">
        <v>0</v>
      </c>
      <c r="Q1394" s="43">
        <f>VLOOKUP(Tabla1[[#This Row],[PAGO DIA]],DIAS!A:F,6,0)</f>
        <v>46196</v>
      </c>
      <c r="R1394" s="6">
        <v>0</v>
      </c>
      <c r="S1394" s="43">
        <f>VLOOKUP(Tabla1[[#This Row],[PAGO DIA]],DIAS!A:G,7,0)</f>
        <v>46231</v>
      </c>
      <c r="T1394" s="6">
        <v>0</v>
      </c>
      <c r="U1394" s="43">
        <f>VLOOKUP(Tabla1[[#This Row],[PAGO DIA]],DIAS!A:H,8,0)</f>
        <v>46259</v>
      </c>
      <c r="V1394" s="6">
        <v>0</v>
      </c>
      <c r="W1394" s="43">
        <f>VLOOKUP(Tabla1[[#This Row],[PAGO DIA]],DIAS!A:I,9,0)</f>
        <v>46287</v>
      </c>
      <c r="X1394" s="6">
        <v>0</v>
      </c>
      <c r="Y1394" s="43">
        <f>VLOOKUP(Tabla1[[#This Row],[PAGO DIA]],DIAS!A:J,10,0)</f>
        <v>46322</v>
      </c>
      <c r="Z1394" s="6">
        <v>0</v>
      </c>
      <c r="AA1394" s="43">
        <f>VLOOKUP(Tabla1[[#This Row],[PAGO DIA]],DIAS!A:K,11,0)</f>
        <v>46350</v>
      </c>
      <c r="AB1394" s="6">
        <v>0</v>
      </c>
      <c r="AC1394" s="43">
        <f>VLOOKUP(Tabla1[[#This Row],[PAGO DIA]],DIAS!A:M,12,0)</f>
        <v>46379</v>
      </c>
      <c r="AD13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5" spans="1:30">
      <c r="A1395" s="3">
        <v>11018</v>
      </c>
      <c r="B1395" s="3" t="s">
        <v>510</v>
      </c>
      <c r="C1395" s="3" t="s">
        <v>1140</v>
      </c>
      <c r="D1395" s="3" t="s">
        <v>1836</v>
      </c>
      <c r="E1395" s="3" t="s">
        <v>1837</v>
      </c>
      <c r="F1395" s="42" t="s">
        <v>562</v>
      </c>
      <c r="G1395" s="3"/>
      <c r="H1395" s="6">
        <v>0</v>
      </c>
      <c r="I1395" s="41">
        <f>VLOOKUP(Tabla1[[#This Row],[PAGO DIA]],DIAS!A:B,2,0)</f>
        <v>46078</v>
      </c>
      <c r="J1395" s="6">
        <v>0</v>
      </c>
      <c r="K1395" s="43">
        <f>VLOOKUP(Tabla1[[#This Row],[PAGO DIA]],DIAS!A:C,3,0)</f>
        <v>46105</v>
      </c>
      <c r="L1395" s="6">
        <v>0</v>
      </c>
      <c r="M1395" s="41">
        <f>VLOOKUP(Tabla1[[#This Row],[PAGO DIA]],DIAS!A:D,4,0)</f>
        <v>46140</v>
      </c>
      <c r="N1395" s="6">
        <v>0</v>
      </c>
      <c r="O1395" s="43">
        <f>VLOOKUP(Tabla1[[#This Row],[PAGO DIA]],DIAS!A:E,5,0)</f>
        <v>46168</v>
      </c>
      <c r="P1395" s="6">
        <v>0</v>
      </c>
      <c r="Q1395" s="43">
        <f>VLOOKUP(Tabla1[[#This Row],[PAGO DIA]],DIAS!A:F,6,0)</f>
        <v>46196</v>
      </c>
      <c r="R1395" s="6">
        <v>0</v>
      </c>
      <c r="S1395" s="43">
        <f>VLOOKUP(Tabla1[[#This Row],[PAGO DIA]],DIAS!A:G,7,0)</f>
        <v>46231</v>
      </c>
      <c r="T1395" s="6">
        <v>0</v>
      </c>
      <c r="U1395" s="43">
        <f>VLOOKUP(Tabla1[[#This Row],[PAGO DIA]],DIAS!A:H,8,0)</f>
        <v>46259</v>
      </c>
      <c r="V1395" s="6">
        <v>0</v>
      </c>
      <c r="W1395" s="43">
        <f>VLOOKUP(Tabla1[[#This Row],[PAGO DIA]],DIAS!A:I,9,0)</f>
        <v>46287</v>
      </c>
      <c r="X1395" s="6">
        <v>0</v>
      </c>
      <c r="Y1395" s="43">
        <f>VLOOKUP(Tabla1[[#This Row],[PAGO DIA]],DIAS!A:J,10,0)</f>
        <v>46322</v>
      </c>
      <c r="Z1395" s="6">
        <v>0</v>
      </c>
      <c r="AA1395" s="43">
        <f>VLOOKUP(Tabla1[[#This Row],[PAGO DIA]],DIAS!A:K,11,0)</f>
        <v>46350</v>
      </c>
      <c r="AB1395" s="6">
        <v>0</v>
      </c>
      <c r="AC1395" s="43">
        <f>VLOOKUP(Tabla1[[#This Row],[PAGO DIA]],DIAS!A:M,12,0)</f>
        <v>46379</v>
      </c>
      <c r="AD13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6" spans="1:30">
      <c r="A1396" s="3">
        <v>11021</v>
      </c>
      <c r="B1396" s="3" t="s">
        <v>510</v>
      </c>
      <c r="C1396" s="3" t="s">
        <v>1140</v>
      </c>
      <c r="D1396" s="3" t="s">
        <v>1836</v>
      </c>
      <c r="E1396" s="3" t="s">
        <v>1837</v>
      </c>
      <c r="F1396" s="42" t="s">
        <v>562</v>
      </c>
      <c r="G1396" s="3"/>
      <c r="H1396" s="6">
        <v>0</v>
      </c>
      <c r="I1396" s="41">
        <f>VLOOKUP(Tabla1[[#This Row],[PAGO DIA]],DIAS!A:B,2,0)</f>
        <v>46078</v>
      </c>
      <c r="J1396" s="6">
        <v>0</v>
      </c>
      <c r="K1396" s="43">
        <f>VLOOKUP(Tabla1[[#This Row],[PAGO DIA]],DIAS!A:C,3,0)</f>
        <v>46105</v>
      </c>
      <c r="L1396" s="6">
        <v>0</v>
      </c>
      <c r="M1396" s="41">
        <f>VLOOKUP(Tabla1[[#This Row],[PAGO DIA]],DIAS!A:D,4,0)</f>
        <v>46140</v>
      </c>
      <c r="N1396" s="6">
        <v>0</v>
      </c>
      <c r="O1396" s="43">
        <f>VLOOKUP(Tabla1[[#This Row],[PAGO DIA]],DIAS!A:E,5,0)</f>
        <v>46168</v>
      </c>
      <c r="P1396" s="6">
        <v>0</v>
      </c>
      <c r="Q1396" s="43">
        <f>VLOOKUP(Tabla1[[#This Row],[PAGO DIA]],DIAS!A:F,6,0)</f>
        <v>46196</v>
      </c>
      <c r="R1396" s="6">
        <v>0</v>
      </c>
      <c r="S1396" s="43">
        <f>VLOOKUP(Tabla1[[#This Row],[PAGO DIA]],DIAS!A:G,7,0)</f>
        <v>46231</v>
      </c>
      <c r="T1396" s="6">
        <v>0</v>
      </c>
      <c r="U1396" s="43">
        <f>VLOOKUP(Tabla1[[#This Row],[PAGO DIA]],DIAS!A:H,8,0)</f>
        <v>46259</v>
      </c>
      <c r="V1396" s="6">
        <v>0</v>
      </c>
      <c r="W1396" s="43">
        <f>VLOOKUP(Tabla1[[#This Row],[PAGO DIA]],DIAS!A:I,9,0)</f>
        <v>46287</v>
      </c>
      <c r="X1396" s="6">
        <v>0</v>
      </c>
      <c r="Y1396" s="43">
        <f>VLOOKUP(Tabla1[[#This Row],[PAGO DIA]],DIAS!A:J,10,0)</f>
        <v>46322</v>
      </c>
      <c r="Z1396" s="6">
        <v>0</v>
      </c>
      <c r="AA1396" s="43">
        <f>VLOOKUP(Tabla1[[#This Row],[PAGO DIA]],DIAS!A:K,11,0)</f>
        <v>46350</v>
      </c>
      <c r="AB1396" s="6">
        <v>0</v>
      </c>
      <c r="AC1396" s="43">
        <f>VLOOKUP(Tabla1[[#This Row],[PAGO DIA]],DIAS!A:M,12,0)</f>
        <v>46379</v>
      </c>
      <c r="AD13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7" spans="1:30">
      <c r="A1397" s="3">
        <v>11087</v>
      </c>
      <c r="B1397" s="3" t="s">
        <v>510</v>
      </c>
      <c r="C1397" s="3" t="s">
        <v>1140</v>
      </c>
      <c r="D1397" s="3" t="s">
        <v>1836</v>
      </c>
      <c r="E1397" s="3" t="s">
        <v>1837</v>
      </c>
      <c r="F1397" s="42" t="s">
        <v>562</v>
      </c>
      <c r="G1397" s="3"/>
      <c r="H1397" s="6">
        <v>0</v>
      </c>
      <c r="I1397" s="41">
        <f>VLOOKUP(Tabla1[[#This Row],[PAGO DIA]],DIAS!A:B,2,0)</f>
        <v>46078</v>
      </c>
      <c r="J1397" s="6">
        <v>0</v>
      </c>
      <c r="K1397" s="43">
        <f>VLOOKUP(Tabla1[[#This Row],[PAGO DIA]],DIAS!A:C,3,0)</f>
        <v>46105</v>
      </c>
      <c r="L1397" s="6">
        <v>0</v>
      </c>
      <c r="M1397" s="41">
        <f>VLOOKUP(Tabla1[[#This Row],[PAGO DIA]],DIAS!A:D,4,0)</f>
        <v>46140</v>
      </c>
      <c r="N1397" s="6">
        <v>0</v>
      </c>
      <c r="O1397" s="43">
        <f>VLOOKUP(Tabla1[[#This Row],[PAGO DIA]],DIAS!A:E,5,0)</f>
        <v>46168</v>
      </c>
      <c r="P1397" s="6">
        <v>0</v>
      </c>
      <c r="Q1397" s="43">
        <f>VLOOKUP(Tabla1[[#This Row],[PAGO DIA]],DIAS!A:F,6,0)</f>
        <v>46196</v>
      </c>
      <c r="R1397" s="6">
        <v>0</v>
      </c>
      <c r="S1397" s="43">
        <f>VLOOKUP(Tabla1[[#This Row],[PAGO DIA]],DIAS!A:G,7,0)</f>
        <v>46231</v>
      </c>
      <c r="T1397" s="6">
        <v>0</v>
      </c>
      <c r="U1397" s="43">
        <f>VLOOKUP(Tabla1[[#This Row],[PAGO DIA]],DIAS!A:H,8,0)</f>
        <v>46259</v>
      </c>
      <c r="V1397" s="6">
        <v>0</v>
      </c>
      <c r="W1397" s="43">
        <f>VLOOKUP(Tabla1[[#This Row],[PAGO DIA]],DIAS!A:I,9,0)</f>
        <v>46287</v>
      </c>
      <c r="X1397" s="6">
        <v>0</v>
      </c>
      <c r="Y1397" s="43">
        <f>VLOOKUP(Tabla1[[#This Row],[PAGO DIA]],DIAS!A:J,10,0)</f>
        <v>46322</v>
      </c>
      <c r="Z1397" s="6">
        <v>0</v>
      </c>
      <c r="AA1397" s="43">
        <f>VLOOKUP(Tabla1[[#This Row],[PAGO DIA]],DIAS!A:K,11,0)</f>
        <v>46350</v>
      </c>
      <c r="AB1397" s="6">
        <v>0</v>
      </c>
      <c r="AC1397" s="43">
        <f>VLOOKUP(Tabla1[[#This Row],[PAGO DIA]],DIAS!A:M,12,0)</f>
        <v>46379</v>
      </c>
      <c r="AD13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8" spans="1:30">
      <c r="A1398" s="3">
        <v>11245</v>
      </c>
      <c r="B1398" s="3" t="s">
        <v>510</v>
      </c>
      <c r="C1398" s="3" t="s">
        <v>1140</v>
      </c>
      <c r="D1398" s="3" t="s">
        <v>1851</v>
      </c>
      <c r="E1398" s="3" t="s">
        <v>1837</v>
      </c>
      <c r="F1398" s="42" t="s">
        <v>562</v>
      </c>
      <c r="G1398" s="3" t="s">
        <v>1838</v>
      </c>
      <c r="H1398" s="6">
        <v>0</v>
      </c>
      <c r="I1398" s="41">
        <f>VLOOKUP(Tabla1[[#This Row],[PAGO DIA]],DIAS!A:B,2,0)</f>
        <v>46078</v>
      </c>
      <c r="J1398" s="6">
        <v>0</v>
      </c>
      <c r="K1398" s="43">
        <f>VLOOKUP(Tabla1[[#This Row],[PAGO DIA]],DIAS!A:C,3,0)</f>
        <v>46105</v>
      </c>
      <c r="L1398" s="6">
        <v>0</v>
      </c>
      <c r="M1398" s="41">
        <f>VLOOKUP(Tabla1[[#This Row],[PAGO DIA]],DIAS!A:D,4,0)</f>
        <v>46140</v>
      </c>
      <c r="N1398" s="6">
        <v>0</v>
      </c>
      <c r="O1398" s="43">
        <f>VLOOKUP(Tabla1[[#This Row],[PAGO DIA]],DIAS!A:E,5,0)</f>
        <v>46168</v>
      </c>
      <c r="P1398" s="6">
        <v>0</v>
      </c>
      <c r="Q1398" s="43">
        <f>VLOOKUP(Tabla1[[#This Row],[PAGO DIA]],DIAS!A:F,6,0)</f>
        <v>46196</v>
      </c>
      <c r="R1398" s="6">
        <v>0</v>
      </c>
      <c r="S1398" s="43">
        <f>VLOOKUP(Tabla1[[#This Row],[PAGO DIA]],DIAS!A:G,7,0)</f>
        <v>46231</v>
      </c>
      <c r="T1398" s="6">
        <v>0</v>
      </c>
      <c r="U1398" s="43">
        <f>VLOOKUP(Tabla1[[#This Row],[PAGO DIA]],DIAS!A:H,8,0)</f>
        <v>46259</v>
      </c>
      <c r="V1398" s="6">
        <v>0</v>
      </c>
      <c r="W1398" s="43">
        <f>VLOOKUP(Tabla1[[#This Row],[PAGO DIA]],DIAS!A:I,9,0)</f>
        <v>46287</v>
      </c>
      <c r="X1398" s="6">
        <v>0</v>
      </c>
      <c r="Y1398" s="43">
        <f>VLOOKUP(Tabla1[[#This Row],[PAGO DIA]],DIAS!A:J,10,0)</f>
        <v>46322</v>
      </c>
      <c r="Z1398" s="6">
        <v>0</v>
      </c>
      <c r="AA1398" s="43">
        <f>VLOOKUP(Tabla1[[#This Row],[PAGO DIA]],DIAS!A:K,11,0)</f>
        <v>46350</v>
      </c>
      <c r="AB1398" s="6">
        <v>0</v>
      </c>
      <c r="AC1398" s="43">
        <f>VLOOKUP(Tabla1[[#This Row],[PAGO DIA]],DIAS!A:M,12,0)</f>
        <v>46379</v>
      </c>
      <c r="AD13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399" spans="1:30">
      <c r="A1399" s="3">
        <v>11249</v>
      </c>
      <c r="B1399" s="3" t="s">
        <v>510</v>
      </c>
      <c r="C1399" s="3" t="s">
        <v>1140</v>
      </c>
      <c r="D1399" s="3" t="s">
        <v>1851</v>
      </c>
      <c r="E1399" s="3" t="s">
        <v>1837</v>
      </c>
      <c r="F1399" s="42" t="s">
        <v>562</v>
      </c>
      <c r="G1399" s="3" t="s">
        <v>1839</v>
      </c>
      <c r="H1399" s="6">
        <v>0</v>
      </c>
      <c r="I1399" s="41">
        <f>VLOOKUP(Tabla1[[#This Row],[PAGO DIA]],DIAS!A:B,2,0)</f>
        <v>46078</v>
      </c>
      <c r="J1399" s="6">
        <v>0</v>
      </c>
      <c r="K1399" s="43">
        <f>VLOOKUP(Tabla1[[#This Row],[PAGO DIA]],DIAS!A:C,3,0)</f>
        <v>46105</v>
      </c>
      <c r="L1399" s="6">
        <v>0</v>
      </c>
      <c r="M1399" s="41">
        <f>VLOOKUP(Tabla1[[#This Row],[PAGO DIA]],DIAS!A:D,4,0)</f>
        <v>46140</v>
      </c>
      <c r="N1399" s="6">
        <v>0</v>
      </c>
      <c r="O1399" s="43">
        <f>VLOOKUP(Tabla1[[#This Row],[PAGO DIA]],DIAS!A:E,5,0)</f>
        <v>46168</v>
      </c>
      <c r="P1399" s="6">
        <v>0</v>
      </c>
      <c r="Q1399" s="43">
        <f>VLOOKUP(Tabla1[[#This Row],[PAGO DIA]],DIAS!A:F,6,0)</f>
        <v>46196</v>
      </c>
      <c r="R1399" s="6">
        <v>0</v>
      </c>
      <c r="S1399" s="43">
        <f>VLOOKUP(Tabla1[[#This Row],[PAGO DIA]],DIAS!A:G,7,0)</f>
        <v>46231</v>
      </c>
      <c r="T1399" s="6">
        <v>0</v>
      </c>
      <c r="U1399" s="43">
        <f>VLOOKUP(Tabla1[[#This Row],[PAGO DIA]],DIAS!A:H,8,0)</f>
        <v>46259</v>
      </c>
      <c r="V1399" s="6">
        <v>0</v>
      </c>
      <c r="W1399" s="43">
        <f>VLOOKUP(Tabla1[[#This Row],[PAGO DIA]],DIAS!A:I,9,0)</f>
        <v>46287</v>
      </c>
      <c r="X1399" s="6">
        <v>0</v>
      </c>
      <c r="Y1399" s="43">
        <f>VLOOKUP(Tabla1[[#This Row],[PAGO DIA]],DIAS!A:J,10,0)</f>
        <v>46322</v>
      </c>
      <c r="Z1399" s="6">
        <v>0</v>
      </c>
      <c r="AA1399" s="43">
        <f>VLOOKUP(Tabla1[[#This Row],[PAGO DIA]],DIAS!A:K,11,0)</f>
        <v>46350</v>
      </c>
      <c r="AB1399" s="6">
        <v>0</v>
      </c>
      <c r="AC1399" s="43">
        <f>VLOOKUP(Tabla1[[#This Row],[PAGO DIA]],DIAS!A:M,12,0)</f>
        <v>46379</v>
      </c>
      <c r="AD13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0" spans="1:30">
      <c r="A1400" s="3">
        <v>11388</v>
      </c>
      <c r="B1400" s="3" t="s">
        <v>510</v>
      </c>
      <c r="C1400" s="3" t="s">
        <v>1140</v>
      </c>
      <c r="D1400" s="3" t="s">
        <v>1851</v>
      </c>
      <c r="E1400" s="3" t="s">
        <v>1837</v>
      </c>
      <c r="F1400" s="42" t="s">
        <v>562</v>
      </c>
      <c r="G1400" s="3" t="s">
        <v>1852</v>
      </c>
      <c r="H1400" s="6">
        <v>0</v>
      </c>
      <c r="I1400" s="41">
        <f>VLOOKUP(Tabla1[[#This Row],[PAGO DIA]],DIAS!A:B,2,0)</f>
        <v>46078</v>
      </c>
      <c r="J1400" s="6">
        <v>0</v>
      </c>
      <c r="K1400" s="43">
        <f>VLOOKUP(Tabla1[[#This Row],[PAGO DIA]],DIAS!A:C,3,0)</f>
        <v>46105</v>
      </c>
      <c r="L1400" s="6">
        <v>0</v>
      </c>
      <c r="M1400" s="41">
        <f>VLOOKUP(Tabla1[[#This Row],[PAGO DIA]],DIAS!A:D,4,0)</f>
        <v>46140</v>
      </c>
      <c r="N1400" s="6">
        <v>0</v>
      </c>
      <c r="O1400" s="43">
        <f>VLOOKUP(Tabla1[[#This Row],[PAGO DIA]],DIAS!A:E,5,0)</f>
        <v>46168</v>
      </c>
      <c r="P1400" s="6">
        <v>0</v>
      </c>
      <c r="Q1400" s="43">
        <f>VLOOKUP(Tabla1[[#This Row],[PAGO DIA]],DIAS!A:F,6,0)</f>
        <v>46196</v>
      </c>
      <c r="R1400" s="6">
        <v>0</v>
      </c>
      <c r="S1400" s="43">
        <f>VLOOKUP(Tabla1[[#This Row],[PAGO DIA]],DIAS!A:G,7,0)</f>
        <v>46231</v>
      </c>
      <c r="T1400" s="6">
        <v>0</v>
      </c>
      <c r="U1400" s="43">
        <f>VLOOKUP(Tabla1[[#This Row],[PAGO DIA]],DIAS!A:H,8,0)</f>
        <v>46259</v>
      </c>
      <c r="V1400" s="6">
        <v>0</v>
      </c>
      <c r="W1400" s="43">
        <f>VLOOKUP(Tabla1[[#This Row],[PAGO DIA]],DIAS!A:I,9,0)</f>
        <v>46287</v>
      </c>
      <c r="X1400" s="6">
        <v>0</v>
      </c>
      <c r="Y1400" s="43">
        <f>VLOOKUP(Tabla1[[#This Row],[PAGO DIA]],DIAS!A:J,10,0)</f>
        <v>46322</v>
      </c>
      <c r="Z1400" s="6">
        <v>0</v>
      </c>
      <c r="AA1400" s="43">
        <f>VLOOKUP(Tabla1[[#This Row],[PAGO DIA]],DIAS!A:K,11,0)</f>
        <v>46350</v>
      </c>
      <c r="AB1400" s="6">
        <v>0</v>
      </c>
      <c r="AC1400" s="43">
        <f>VLOOKUP(Tabla1[[#This Row],[PAGO DIA]],DIAS!A:M,12,0)</f>
        <v>46379</v>
      </c>
      <c r="AD14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1" spans="1:30">
      <c r="A1401" s="3">
        <v>11626</v>
      </c>
      <c r="B1401" s="3" t="s">
        <v>510</v>
      </c>
      <c r="C1401" s="3"/>
      <c r="D1401" s="3" t="s">
        <v>1939</v>
      </c>
      <c r="E1401" s="3" t="s">
        <v>1837</v>
      </c>
      <c r="F1401" s="42" t="s">
        <v>562</v>
      </c>
      <c r="G1401" s="3"/>
      <c r="H1401" s="6">
        <v>0</v>
      </c>
      <c r="I1401" s="41">
        <f>VLOOKUP(Tabla1[[#This Row],[PAGO DIA]],DIAS!A:B,2,0)</f>
        <v>46078</v>
      </c>
      <c r="J1401" s="6">
        <v>0</v>
      </c>
      <c r="K1401" s="43">
        <f>VLOOKUP(Tabla1[[#This Row],[PAGO DIA]],DIAS!A:C,3,0)</f>
        <v>46105</v>
      </c>
      <c r="L1401" s="6">
        <v>0</v>
      </c>
      <c r="M1401" s="41">
        <f>VLOOKUP(Tabla1[[#This Row],[PAGO DIA]],DIAS!A:D,4,0)</f>
        <v>46140</v>
      </c>
      <c r="N1401" s="6">
        <v>0</v>
      </c>
      <c r="O1401" s="43">
        <f>VLOOKUP(Tabla1[[#This Row],[PAGO DIA]],DIAS!A:E,5,0)</f>
        <v>46168</v>
      </c>
      <c r="P1401" s="6">
        <v>0</v>
      </c>
      <c r="Q1401" s="43">
        <f>VLOOKUP(Tabla1[[#This Row],[PAGO DIA]],DIAS!A:F,6,0)</f>
        <v>46196</v>
      </c>
      <c r="R1401" s="6">
        <v>0</v>
      </c>
      <c r="S1401" s="43">
        <f>VLOOKUP(Tabla1[[#This Row],[PAGO DIA]],DIAS!A:G,7,0)</f>
        <v>46231</v>
      </c>
      <c r="T1401" s="6">
        <v>0</v>
      </c>
      <c r="U1401" s="43">
        <f>VLOOKUP(Tabla1[[#This Row],[PAGO DIA]],DIAS!A:H,8,0)</f>
        <v>46259</v>
      </c>
      <c r="V1401" s="6">
        <v>0</v>
      </c>
      <c r="W1401" s="43">
        <f>VLOOKUP(Tabla1[[#This Row],[PAGO DIA]],DIAS!A:I,9,0)</f>
        <v>46287</v>
      </c>
      <c r="X1401" s="6">
        <v>0</v>
      </c>
      <c r="Y1401" s="43">
        <f>VLOOKUP(Tabla1[[#This Row],[PAGO DIA]],DIAS!A:J,10,0)</f>
        <v>46322</v>
      </c>
      <c r="Z1401" s="6">
        <v>0</v>
      </c>
      <c r="AA1401" s="43">
        <f>VLOOKUP(Tabla1[[#This Row],[PAGO DIA]],DIAS!A:K,11,0)</f>
        <v>46350</v>
      </c>
      <c r="AB1401" s="6">
        <v>0</v>
      </c>
      <c r="AC1401" s="43">
        <f>VLOOKUP(Tabla1[[#This Row],[PAGO DIA]],DIAS!A:M,12,0)</f>
        <v>46379</v>
      </c>
      <c r="AD14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2" spans="1:30">
      <c r="A1402" s="3">
        <v>11627</v>
      </c>
      <c r="B1402" s="3" t="s">
        <v>510</v>
      </c>
      <c r="C1402" s="3"/>
      <c r="D1402" s="3" t="s">
        <v>1940</v>
      </c>
      <c r="E1402" s="3" t="s">
        <v>1837</v>
      </c>
      <c r="F1402" s="42" t="s">
        <v>562</v>
      </c>
      <c r="G1402" s="3"/>
      <c r="H1402" s="6">
        <v>0</v>
      </c>
      <c r="I1402" s="41">
        <f>VLOOKUP(Tabla1[[#This Row],[PAGO DIA]],DIAS!A:B,2,0)</f>
        <v>46078</v>
      </c>
      <c r="J1402" s="6">
        <v>0</v>
      </c>
      <c r="K1402" s="43">
        <f>VLOOKUP(Tabla1[[#This Row],[PAGO DIA]],DIAS!A:C,3,0)</f>
        <v>46105</v>
      </c>
      <c r="L1402" s="6">
        <v>0</v>
      </c>
      <c r="M1402" s="41">
        <f>VLOOKUP(Tabla1[[#This Row],[PAGO DIA]],DIAS!A:D,4,0)</f>
        <v>46140</v>
      </c>
      <c r="N1402" s="6">
        <v>0</v>
      </c>
      <c r="O1402" s="43">
        <f>VLOOKUP(Tabla1[[#This Row],[PAGO DIA]],DIAS!A:E,5,0)</f>
        <v>46168</v>
      </c>
      <c r="P1402" s="6">
        <v>0</v>
      </c>
      <c r="Q1402" s="43">
        <f>VLOOKUP(Tabla1[[#This Row],[PAGO DIA]],DIAS!A:F,6,0)</f>
        <v>46196</v>
      </c>
      <c r="R1402" s="6">
        <v>0</v>
      </c>
      <c r="S1402" s="43">
        <f>VLOOKUP(Tabla1[[#This Row],[PAGO DIA]],DIAS!A:G,7,0)</f>
        <v>46231</v>
      </c>
      <c r="T1402" s="6">
        <v>0</v>
      </c>
      <c r="U1402" s="43">
        <f>VLOOKUP(Tabla1[[#This Row],[PAGO DIA]],DIAS!A:H,8,0)</f>
        <v>46259</v>
      </c>
      <c r="V1402" s="6">
        <v>0</v>
      </c>
      <c r="W1402" s="43">
        <f>VLOOKUP(Tabla1[[#This Row],[PAGO DIA]],DIAS!A:I,9,0)</f>
        <v>46287</v>
      </c>
      <c r="X1402" s="6">
        <v>0</v>
      </c>
      <c r="Y1402" s="43">
        <f>VLOOKUP(Tabla1[[#This Row],[PAGO DIA]],DIAS!A:J,10,0)</f>
        <v>46322</v>
      </c>
      <c r="Z1402" s="6">
        <v>0</v>
      </c>
      <c r="AA1402" s="43">
        <f>VLOOKUP(Tabla1[[#This Row],[PAGO DIA]],DIAS!A:K,11,0)</f>
        <v>46350</v>
      </c>
      <c r="AB1402" s="6">
        <v>0</v>
      </c>
      <c r="AC1402" s="43">
        <f>VLOOKUP(Tabla1[[#This Row],[PAGO DIA]],DIAS!A:M,12,0)</f>
        <v>46379</v>
      </c>
      <c r="AD14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3" spans="1:30">
      <c r="A1403" s="3">
        <v>11628</v>
      </c>
      <c r="B1403" s="3" t="s">
        <v>510</v>
      </c>
      <c r="C1403" s="3" t="s">
        <v>1140</v>
      </c>
      <c r="D1403" s="3" t="s">
        <v>1851</v>
      </c>
      <c r="E1403" s="3" t="s">
        <v>1837</v>
      </c>
      <c r="F1403" s="42" t="s">
        <v>562</v>
      </c>
      <c r="G1403" s="3"/>
      <c r="H1403" s="6">
        <v>0</v>
      </c>
      <c r="I1403" s="41">
        <f>VLOOKUP(Tabla1[[#This Row],[PAGO DIA]],DIAS!A:B,2,0)</f>
        <v>46078</v>
      </c>
      <c r="J1403" s="6">
        <v>32000000</v>
      </c>
      <c r="K1403" s="43">
        <f>VLOOKUP(Tabla1[[#This Row],[PAGO DIA]],DIAS!A:C,3,0)</f>
        <v>46105</v>
      </c>
      <c r="L1403" s="6">
        <v>32000000</v>
      </c>
      <c r="M1403" s="41">
        <f>VLOOKUP(Tabla1[[#This Row],[PAGO DIA]],DIAS!A:D,4,0)</f>
        <v>46140</v>
      </c>
      <c r="N1403" s="6">
        <v>32000000</v>
      </c>
      <c r="O1403" s="43">
        <f>VLOOKUP(Tabla1[[#This Row],[PAGO DIA]],DIAS!A:E,5,0)</f>
        <v>46168</v>
      </c>
      <c r="P1403" s="6">
        <v>32000000</v>
      </c>
      <c r="Q1403" s="43">
        <f>VLOOKUP(Tabla1[[#This Row],[PAGO DIA]],DIAS!A:F,6,0)</f>
        <v>46196</v>
      </c>
      <c r="R1403" s="6">
        <v>32000000</v>
      </c>
      <c r="S1403" s="43">
        <f>VLOOKUP(Tabla1[[#This Row],[PAGO DIA]],DIAS!A:G,7,0)</f>
        <v>46231</v>
      </c>
      <c r="T1403" s="6">
        <v>32000000</v>
      </c>
      <c r="U1403" s="43">
        <f>VLOOKUP(Tabla1[[#This Row],[PAGO DIA]],DIAS!A:H,8,0)</f>
        <v>46259</v>
      </c>
      <c r="V1403" s="6">
        <v>32000000</v>
      </c>
      <c r="W1403" s="43">
        <f>VLOOKUP(Tabla1[[#This Row],[PAGO DIA]],DIAS!A:I,9,0)</f>
        <v>46287</v>
      </c>
      <c r="X1403" s="6">
        <v>32000000</v>
      </c>
      <c r="Y1403" s="43">
        <f>VLOOKUP(Tabla1[[#This Row],[PAGO DIA]],DIAS!A:J,10,0)</f>
        <v>46322</v>
      </c>
      <c r="Z1403" s="6">
        <v>32000000</v>
      </c>
      <c r="AA1403" s="43">
        <f>VLOOKUP(Tabla1[[#This Row],[PAGO DIA]],DIAS!A:K,11,0)</f>
        <v>46350</v>
      </c>
      <c r="AB1403" s="6">
        <v>32000000</v>
      </c>
      <c r="AC1403" s="43">
        <f>VLOOKUP(Tabla1[[#This Row],[PAGO DIA]],DIAS!A:M,12,0)</f>
        <v>46379</v>
      </c>
      <c r="AD14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320000000</v>
      </c>
    </row>
    <row r="1404" spans="1:30">
      <c r="A1404" s="3">
        <v>12505</v>
      </c>
      <c r="B1404" s="3" t="s">
        <v>510</v>
      </c>
      <c r="C1404" s="3" t="s">
        <v>1941</v>
      </c>
      <c r="D1404" s="3" t="s">
        <v>1941</v>
      </c>
      <c r="E1404" s="3" t="s">
        <v>1942</v>
      </c>
      <c r="F1404" s="42" t="s">
        <v>562</v>
      </c>
      <c r="G1404" s="3" t="s">
        <v>1943</v>
      </c>
      <c r="H1404" s="6">
        <v>0</v>
      </c>
      <c r="I1404" s="41">
        <f>VLOOKUP(Tabla1[[#This Row],[PAGO DIA]],DIAS!A:B,2,0)</f>
        <v>46078</v>
      </c>
      <c r="J1404" s="6">
        <v>0</v>
      </c>
      <c r="K1404" s="43">
        <f>VLOOKUP(Tabla1[[#This Row],[PAGO DIA]],DIAS!A:C,3,0)</f>
        <v>46105</v>
      </c>
      <c r="L1404" s="6">
        <v>0</v>
      </c>
      <c r="M1404" s="41">
        <f>VLOOKUP(Tabla1[[#This Row],[PAGO DIA]],DIAS!A:D,4,0)</f>
        <v>46140</v>
      </c>
      <c r="N1404" s="6">
        <v>0</v>
      </c>
      <c r="O1404" s="43">
        <f>VLOOKUP(Tabla1[[#This Row],[PAGO DIA]],DIAS!A:E,5,0)</f>
        <v>46168</v>
      </c>
      <c r="P1404" s="6">
        <v>0</v>
      </c>
      <c r="Q1404" s="43">
        <f>VLOOKUP(Tabla1[[#This Row],[PAGO DIA]],DIAS!A:F,6,0)</f>
        <v>46196</v>
      </c>
      <c r="R1404" s="6">
        <v>0</v>
      </c>
      <c r="S1404" s="43">
        <f>VLOOKUP(Tabla1[[#This Row],[PAGO DIA]],DIAS!A:G,7,0)</f>
        <v>46231</v>
      </c>
      <c r="T1404" s="6">
        <v>0</v>
      </c>
      <c r="U1404" s="43">
        <f>VLOOKUP(Tabla1[[#This Row],[PAGO DIA]],DIAS!A:H,8,0)</f>
        <v>46259</v>
      </c>
      <c r="V1404" s="6">
        <v>0</v>
      </c>
      <c r="W1404" s="43">
        <f>VLOOKUP(Tabla1[[#This Row],[PAGO DIA]],DIAS!A:I,9,0)</f>
        <v>46287</v>
      </c>
      <c r="X1404" s="6">
        <v>0</v>
      </c>
      <c r="Y1404" s="43">
        <f>VLOOKUP(Tabla1[[#This Row],[PAGO DIA]],DIAS!A:J,10,0)</f>
        <v>46322</v>
      </c>
      <c r="Z1404" s="6">
        <v>0</v>
      </c>
      <c r="AA1404" s="43">
        <f>VLOOKUP(Tabla1[[#This Row],[PAGO DIA]],DIAS!A:K,11,0)</f>
        <v>46350</v>
      </c>
      <c r="AB1404" s="6">
        <v>0</v>
      </c>
      <c r="AC1404" s="43">
        <f>VLOOKUP(Tabla1[[#This Row],[PAGO DIA]],DIAS!A:M,12,0)</f>
        <v>46379</v>
      </c>
      <c r="AD14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5" spans="1:30">
      <c r="A1405" s="3">
        <v>11629</v>
      </c>
      <c r="B1405" s="3" t="s">
        <v>510</v>
      </c>
      <c r="C1405" s="3" t="s">
        <v>1899</v>
      </c>
      <c r="D1405" s="3" t="s">
        <v>1941</v>
      </c>
      <c r="E1405" s="3" t="s">
        <v>1944</v>
      </c>
      <c r="F1405" s="42" t="s">
        <v>562</v>
      </c>
      <c r="G1405" s="3"/>
      <c r="H1405" s="6">
        <v>0</v>
      </c>
      <c r="I1405" s="41">
        <f>VLOOKUP(Tabla1[[#This Row],[PAGO DIA]],DIAS!A:B,2,0)</f>
        <v>46078</v>
      </c>
      <c r="J1405" s="6">
        <v>0</v>
      </c>
      <c r="K1405" s="43">
        <f>VLOOKUP(Tabla1[[#This Row],[PAGO DIA]],DIAS!A:C,3,0)</f>
        <v>46105</v>
      </c>
      <c r="L1405" s="6">
        <v>0</v>
      </c>
      <c r="M1405" s="41">
        <f>VLOOKUP(Tabla1[[#This Row],[PAGO DIA]],DIAS!A:D,4,0)</f>
        <v>46140</v>
      </c>
      <c r="N1405" s="6">
        <v>0</v>
      </c>
      <c r="O1405" s="43">
        <f>VLOOKUP(Tabla1[[#This Row],[PAGO DIA]],DIAS!A:E,5,0)</f>
        <v>46168</v>
      </c>
      <c r="P1405" s="6">
        <v>0</v>
      </c>
      <c r="Q1405" s="43">
        <f>VLOOKUP(Tabla1[[#This Row],[PAGO DIA]],DIAS!A:F,6,0)</f>
        <v>46196</v>
      </c>
      <c r="R1405" s="6">
        <v>0</v>
      </c>
      <c r="S1405" s="43">
        <f>VLOOKUP(Tabla1[[#This Row],[PAGO DIA]],DIAS!A:G,7,0)</f>
        <v>46231</v>
      </c>
      <c r="T1405" s="6">
        <v>0</v>
      </c>
      <c r="U1405" s="43">
        <f>VLOOKUP(Tabla1[[#This Row],[PAGO DIA]],DIAS!A:H,8,0)</f>
        <v>46259</v>
      </c>
      <c r="V1405" s="6">
        <v>0</v>
      </c>
      <c r="W1405" s="43">
        <f>VLOOKUP(Tabla1[[#This Row],[PAGO DIA]],DIAS!A:I,9,0)</f>
        <v>46287</v>
      </c>
      <c r="X1405" s="6">
        <v>0</v>
      </c>
      <c r="Y1405" s="43">
        <f>VLOOKUP(Tabla1[[#This Row],[PAGO DIA]],DIAS!A:J,10,0)</f>
        <v>46322</v>
      </c>
      <c r="Z1405" s="6">
        <v>0</v>
      </c>
      <c r="AA1405" s="43">
        <f>VLOOKUP(Tabla1[[#This Row],[PAGO DIA]],DIAS!A:K,11,0)</f>
        <v>46350</v>
      </c>
      <c r="AB1405" s="6">
        <v>0</v>
      </c>
      <c r="AC1405" s="43">
        <f>VLOOKUP(Tabla1[[#This Row],[PAGO DIA]],DIAS!A:M,12,0)</f>
        <v>46379</v>
      </c>
      <c r="AD14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6" spans="1:30">
      <c r="A1406" s="3">
        <v>11630</v>
      </c>
      <c r="B1406" s="3" t="s">
        <v>510</v>
      </c>
      <c r="C1406" s="3" t="s">
        <v>540</v>
      </c>
      <c r="D1406" s="3" t="s">
        <v>540</v>
      </c>
      <c r="E1406" s="3" t="s">
        <v>1484</v>
      </c>
      <c r="F1406" s="42" t="s">
        <v>562</v>
      </c>
      <c r="G1406" s="3" t="s">
        <v>1945</v>
      </c>
      <c r="H1406" s="6">
        <v>0</v>
      </c>
      <c r="I1406" s="41">
        <f>VLOOKUP(Tabla1[[#This Row],[PAGO DIA]],DIAS!A:B,2,0)</f>
        <v>46078</v>
      </c>
      <c r="J1406" s="6">
        <v>0</v>
      </c>
      <c r="K1406" s="43">
        <f>VLOOKUP(Tabla1[[#This Row],[PAGO DIA]],DIAS!A:C,3,0)</f>
        <v>46105</v>
      </c>
      <c r="L1406" s="6">
        <v>0</v>
      </c>
      <c r="M1406" s="41">
        <f>VLOOKUP(Tabla1[[#This Row],[PAGO DIA]],DIAS!A:D,4,0)</f>
        <v>46140</v>
      </c>
      <c r="N1406" s="6">
        <v>0</v>
      </c>
      <c r="O1406" s="43">
        <f>VLOOKUP(Tabla1[[#This Row],[PAGO DIA]],DIAS!A:E,5,0)</f>
        <v>46168</v>
      </c>
      <c r="P1406" s="6">
        <v>0</v>
      </c>
      <c r="Q1406" s="43">
        <f>VLOOKUP(Tabla1[[#This Row],[PAGO DIA]],DIAS!A:F,6,0)</f>
        <v>46196</v>
      </c>
      <c r="R1406" s="6">
        <v>0</v>
      </c>
      <c r="S1406" s="43">
        <f>VLOOKUP(Tabla1[[#This Row],[PAGO DIA]],DIAS!A:G,7,0)</f>
        <v>46231</v>
      </c>
      <c r="T1406" s="6">
        <v>0</v>
      </c>
      <c r="U1406" s="43">
        <f>VLOOKUP(Tabla1[[#This Row],[PAGO DIA]],DIAS!A:H,8,0)</f>
        <v>46259</v>
      </c>
      <c r="V1406" s="6">
        <v>0</v>
      </c>
      <c r="W1406" s="43">
        <f>VLOOKUP(Tabla1[[#This Row],[PAGO DIA]],DIAS!A:I,9,0)</f>
        <v>46287</v>
      </c>
      <c r="X1406" s="6">
        <v>0</v>
      </c>
      <c r="Y1406" s="43">
        <f>VLOOKUP(Tabla1[[#This Row],[PAGO DIA]],DIAS!A:J,10,0)</f>
        <v>46322</v>
      </c>
      <c r="Z1406" s="6">
        <v>0</v>
      </c>
      <c r="AA1406" s="43">
        <f>VLOOKUP(Tabla1[[#This Row],[PAGO DIA]],DIAS!A:K,11,0)</f>
        <v>46350</v>
      </c>
      <c r="AB1406" s="6">
        <v>0</v>
      </c>
      <c r="AC1406" s="43">
        <f>VLOOKUP(Tabla1[[#This Row],[PAGO DIA]],DIAS!A:M,12,0)</f>
        <v>46379</v>
      </c>
      <c r="AD14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7" spans="1:30">
      <c r="A1407" s="3">
        <v>12862</v>
      </c>
      <c r="B1407" s="3" t="s">
        <v>510</v>
      </c>
      <c r="C1407" s="3"/>
      <c r="D1407" s="3" t="s">
        <v>1854</v>
      </c>
      <c r="E1407" s="3" t="s">
        <v>1946</v>
      </c>
      <c r="F1407" s="42" t="s">
        <v>562</v>
      </c>
      <c r="G1407" s="3"/>
      <c r="H1407" s="6">
        <v>0</v>
      </c>
      <c r="I1407" s="41">
        <f>VLOOKUP(Tabla1[[#This Row],[PAGO DIA]],DIAS!A:B,2,0)</f>
        <v>46078</v>
      </c>
      <c r="J1407" s="6">
        <v>15000000</v>
      </c>
      <c r="K1407" s="43">
        <f>VLOOKUP(Tabla1[[#This Row],[PAGO DIA]],DIAS!A:C,3,0)</f>
        <v>46105</v>
      </c>
      <c r="L1407" s="6">
        <v>15000000</v>
      </c>
      <c r="M1407" s="41">
        <f>VLOOKUP(Tabla1[[#This Row],[PAGO DIA]],DIAS!A:D,4,0)</f>
        <v>46140</v>
      </c>
      <c r="N1407" s="6">
        <v>30000000</v>
      </c>
      <c r="O1407" s="43">
        <f>VLOOKUP(Tabla1[[#This Row],[PAGO DIA]],DIAS!A:E,5,0)</f>
        <v>46168</v>
      </c>
      <c r="P1407" s="6">
        <v>30000000</v>
      </c>
      <c r="Q1407" s="43">
        <f>VLOOKUP(Tabla1[[#This Row],[PAGO DIA]],DIAS!A:F,6,0)</f>
        <v>46196</v>
      </c>
      <c r="R1407" s="6">
        <v>30000000</v>
      </c>
      <c r="S1407" s="43">
        <f>VLOOKUP(Tabla1[[#This Row],[PAGO DIA]],DIAS!A:G,7,0)</f>
        <v>46231</v>
      </c>
      <c r="T1407" s="6">
        <v>30000000</v>
      </c>
      <c r="U1407" s="43">
        <f>VLOOKUP(Tabla1[[#This Row],[PAGO DIA]],DIAS!A:H,8,0)</f>
        <v>46259</v>
      </c>
      <c r="V1407" s="6">
        <v>8178000</v>
      </c>
      <c r="W1407" s="43">
        <f>VLOOKUP(Tabla1[[#This Row],[PAGO DIA]],DIAS!A:I,9,0)</f>
        <v>46287</v>
      </c>
      <c r="X1407" s="6">
        <v>0</v>
      </c>
      <c r="Y1407" s="43">
        <f>VLOOKUP(Tabla1[[#This Row],[PAGO DIA]],DIAS!A:J,10,0)</f>
        <v>46322</v>
      </c>
      <c r="Z1407" s="6">
        <v>0</v>
      </c>
      <c r="AA1407" s="43">
        <f>VLOOKUP(Tabla1[[#This Row],[PAGO DIA]],DIAS!A:K,11,0)</f>
        <v>46350</v>
      </c>
      <c r="AB1407" s="6">
        <v>0</v>
      </c>
      <c r="AC1407" s="43">
        <f>VLOOKUP(Tabla1[[#This Row],[PAGO DIA]],DIAS!A:M,12,0)</f>
        <v>46379</v>
      </c>
      <c r="AD14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158178000</v>
      </c>
    </row>
    <row r="1408" spans="1:30">
      <c r="A1408" s="3">
        <v>10969</v>
      </c>
      <c r="B1408" s="3" t="s">
        <v>510</v>
      </c>
      <c r="C1408" s="3" t="s">
        <v>1147</v>
      </c>
      <c r="D1408" s="3" t="s">
        <v>1815</v>
      </c>
      <c r="E1408" s="3" t="s">
        <v>1816</v>
      </c>
      <c r="F1408" s="42" t="s">
        <v>562</v>
      </c>
      <c r="G1408" s="3"/>
      <c r="H1408" s="6">
        <v>0</v>
      </c>
      <c r="I1408" s="41">
        <f>VLOOKUP(Tabla1[[#This Row],[PAGO DIA]],DIAS!A:B,2,0)</f>
        <v>46078</v>
      </c>
      <c r="J1408" s="6">
        <v>0</v>
      </c>
      <c r="K1408" s="43">
        <f>VLOOKUP(Tabla1[[#This Row],[PAGO DIA]],DIAS!A:C,3,0)</f>
        <v>46105</v>
      </c>
      <c r="L1408" s="6">
        <v>0</v>
      </c>
      <c r="M1408" s="41">
        <f>VLOOKUP(Tabla1[[#This Row],[PAGO DIA]],DIAS!A:D,4,0)</f>
        <v>46140</v>
      </c>
      <c r="N1408" s="6">
        <v>0</v>
      </c>
      <c r="O1408" s="43">
        <f>VLOOKUP(Tabla1[[#This Row],[PAGO DIA]],DIAS!A:E,5,0)</f>
        <v>46168</v>
      </c>
      <c r="P1408" s="6">
        <v>0</v>
      </c>
      <c r="Q1408" s="43">
        <f>VLOOKUP(Tabla1[[#This Row],[PAGO DIA]],DIAS!A:F,6,0)</f>
        <v>46196</v>
      </c>
      <c r="R1408" s="6">
        <v>0</v>
      </c>
      <c r="S1408" s="43">
        <f>VLOOKUP(Tabla1[[#This Row],[PAGO DIA]],DIAS!A:G,7,0)</f>
        <v>46231</v>
      </c>
      <c r="T1408" s="6">
        <v>0</v>
      </c>
      <c r="U1408" s="43">
        <f>VLOOKUP(Tabla1[[#This Row],[PAGO DIA]],DIAS!A:H,8,0)</f>
        <v>46259</v>
      </c>
      <c r="V1408" s="6">
        <v>0</v>
      </c>
      <c r="W1408" s="43">
        <f>VLOOKUP(Tabla1[[#This Row],[PAGO DIA]],DIAS!A:I,9,0)</f>
        <v>46287</v>
      </c>
      <c r="X1408" s="6">
        <v>0</v>
      </c>
      <c r="Y1408" s="43">
        <f>VLOOKUP(Tabla1[[#This Row],[PAGO DIA]],DIAS!A:J,10,0)</f>
        <v>46322</v>
      </c>
      <c r="Z1408" s="6">
        <v>0</v>
      </c>
      <c r="AA1408" s="43">
        <f>VLOOKUP(Tabla1[[#This Row],[PAGO DIA]],DIAS!A:K,11,0)</f>
        <v>46350</v>
      </c>
      <c r="AB1408" s="6">
        <v>0</v>
      </c>
      <c r="AC1408" s="43">
        <f>VLOOKUP(Tabla1[[#This Row],[PAGO DIA]],DIAS!A:M,12,0)</f>
        <v>46379</v>
      </c>
      <c r="AD14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09" spans="1:30">
      <c r="A1409" s="3">
        <v>10951</v>
      </c>
      <c r="B1409" s="3" t="s">
        <v>510</v>
      </c>
      <c r="C1409" s="3" t="s">
        <v>1147</v>
      </c>
      <c r="D1409" s="3" t="s">
        <v>1796</v>
      </c>
      <c r="E1409" s="3" t="s">
        <v>1797</v>
      </c>
      <c r="F1409" s="42" t="s">
        <v>562</v>
      </c>
      <c r="G1409" s="3"/>
      <c r="H1409" s="6">
        <v>0</v>
      </c>
      <c r="I1409" s="41">
        <f>VLOOKUP(Tabla1[[#This Row],[PAGO DIA]],DIAS!A:B,2,0)</f>
        <v>46078</v>
      </c>
      <c r="J1409" s="6">
        <v>0</v>
      </c>
      <c r="K1409" s="43">
        <f>VLOOKUP(Tabla1[[#This Row],[PAGO DIA]],DIAS!A:C,3,0)</f>
        <v>46105</v>
      </c>
      <c r="L1409" s="6">
        <v>0</v>
      </c>
      <c r="M1409" s="41">
        <f>VLOOKUP(Tabla1[[#This Row],[PAGO DIA]],DIAS!A:D,4,0)</f>
        <v>46140</v>
      </c>
      <c r="N1409" s="6">
        <v>0</v>
      </c>
      <c r="O1409" s="43">
        <f>VLOOKUP(Tabla1[[#This Row],[PAGO DIA]],DIAS!A:E,5,0)</f>
        <v>46168</v>
      </c>
      <c r="P1409" s="6">
        <v>0</v>
      </c>
      <c r="Q1409" s="43">
        <f>VLOOKUP(Tabla1[[#This Row],[PAGO DIA]],DIAS!A:F,6,0)</f>
        <v>46196</v>
      </c>
      <c r="R1409" s="6">
        <v>0</v>
      </c>
      <c r="S1409" s="43">
        <f>VLOOKUP(Tabla1[[#This Row],[PAGO DIA]],DIAS!A:G,7,0)</f>
        <v>46231</v>
      </c>
      <c r="T1409" s="6">
        <v>0</v>
      </c>
      <c r="U1409" s="43">
        <f>VLOOKUP(Tabla1[[#This Row],[PAGO DIA]],DIAS!A:H,8,0)</f>
        <v>46259</v>
      </c>
      <c r="V1409" s="6">
        <v>0</v>
      </c>
      <c r="W1409" s="43">
        <f>VLOOKUP(Tabla1[[#This Row],[PAGO DIA]],DIAS!A:I,9,0)</f>
        <v>46287</v>
      </c>
      <c r="X1409" s="6">
        <v>0</v>
      </c>
      <c r="Y1409" s="43">
        <f>VLOOKUP(Tabla1[[#This Row],[PAGO DIA]],DIAS!A:J,10,0)</f>
        <v>46322</v>
      </c>
      <c r="Z1409" s="6">
        <v>0</v>
      </c>
      <c r="AA1409" s="43">
        <f>VLOOKUP(Tabla1[[#This Row],[PAGO DIA]],DIAS!A:K,11,0)</f>
        <v>46350</v>
      </c>
      <c r="AB1409" s="6">
        <v>0</v>
      </c>
      <c r="AC1409" s="43">
        <f>VLOOKUP(Tabla1[[#This Row],[PAGO DIA]],DIAS!A:M,12,0)</f>
        <v>46379</v>
      </c>
      <c r="AD14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0" spans="1:30">
      <c r="A1410" s="3">
        <v>11079</v>
      </c>
      <c r="B1410" s="3" t="s">
        <v>510</v>
      </c>
      <c r="C1410" s="3" t="s">
        <v>1140</v>
      </c>
      <c r="D1410" s="3" t="s">
        <v>1848</v>
      </c>
      <c r="E1410" s="3" t="s">
        <v>1849</v>
      </c>
      <c r="F1410" s="42" t="s">
        <v>562</v>
      </c>
      <c r="G1410" s="3"/>
      <c r="H1410" s="6">
        <v>0</v>
      </c>
      <c r="I1410" s="41">
        <f>VLOOKUP(Tabla1[[#This Row],[PAGO DIA]],DIAS!A:B,2,0)</f>
        <v>46078</v>
      </c>
      <c r="J1410" s="6">
        <v>0</v>
      </c>
      <c r="K1410" s="43">
        <f>VLOOKUP(Tabla1[[#This Row],[PAGO DIA]],DIAS!A:C,3,0)</f>
        <v>46105</v>
      </c>
      <c r="L1410" s="6">
        <v>0</v>
      </c>
      <c r="M1410" s="41">
        <f>VLOOKUP(Tabla1[[#This Row],[PAGO DIA]],DIAS!A:D,4,0)</f>
        <v>46140</v>
      </c>
      <c r="N1410" s="6">
        <v>0</v>
      </c>
      <c r="O1410" s="43">
        <f>VLOOKUP(Tabla1[[#This Row],[PAGO DIA]],DIAS!A:E,5,0)</f>
        <v>46168</v>
      </c>
      <c r="P1410" s="6">
        <v>0</v>
      </c>
      <c r="Q1410" s="43">
        <f>VLOOKUP(Tabla1[[#This Row],[PAGO DIA]],DIAS!A:F,6,0)</f>
        <v>46196</v>
      </c>
      <c r="R1410" s="6">
        <v>0</v>
      </c>
      <c r="S1410" s="43">
        <f>VLOOKUP(Tabla1[[#This Row],[PAGO DIA]],DIAS!A:G,7,0)</f>
        <v>46231</v>
      </c>
      <c r="T1410" s="6">
        <v>0</v>
      </c>
      <c r="U1410" s="43">
        <f>VLOOKUP(Tabla1[[#This Row],[PAGO DIA]],DIAS!A:H,8,0)</f>
        <v>46259</v>
      </c>
      <c r="V1410" s="6">
        <v>0</v>
      </c>
      <c r="W1410" s="43">
        <f>VLOOKUP(Tabla1[[#This Row],[PAGO DIA]],DIAS!A:I,9,0)</f>
        <v>46287</v>
      </c>
      <c r="X1410" s="6">
        <v>0</v>
      </c>
      <c r="Y1410" s="43">
        <f>VLOOKUP(Tabla1[[#This Row],[PAGO DIA]],DIAS!A:J,10,0)</f>
        <v>46322</v>
      </c>
      <c r="Z1410" s="6">
        <v>0</v>
      </c>
      <c r="AA1410" s="43">
        <f>VLOOKUP(Tabla1[[#This Row],[PAGO DIA]],DIAS!A:K,11,0)</f>
        <v>46350</v>
      </c>
      <c r="AB1410" s="6">
        <v>0</v>
      </c>
      <c r="AC1410" s="43">
        <f>VLOOKUP(Tabla1[[#This Row],[PAGO DIA]],DIAS!A:M,12,0)</f>
        <v>46379</v>
      </c>
      <c r="AD14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1" spans="1:30">
      <c r="A1411" s="3">
        <v>11080</v>
      </c>
      <c r="B1411" s="3" t="s">
        <v>510</v>
      </c>
      <c r="C1411" s="3" t="s">
        <v>1140</v>
      </c>
      <c r="D1411" s="3" t="s">
        <v>1848</v>
      </c>
      <c r="E1411" s="3" t="s">
        <v>1849</v>
      </c>
      <c r="F1411" s="42" t="s">
        <v>562</v>
      </c>
      <c r="G1411" s="3"/>
      <c r="H1411" s="6">
        <v>0</v>
      </c>
      <c r="I1411" s="41">
        <f>VLOOKUP(Tabla1[[#This Row],[PAGO DIA]],DIAS!A:B,2,0)</f>
        <v>46078</v>
      </c>
      <c r="J1411" s="6">
        <v>0</v>
      </c>
      <c r="K1411" s="43">
        <f>VLOOKUP(Tabla1[[#This Row],[PAGO DIA]],DIAS!A:C,3,0)</f>
        <v>46105</v>
      </c>
      <c r="L1411" s="6">
        <v>0</v>
      </c>
      <c r="M1411" s="41">
        <f>VLOOKUP(Tabla1[[#This Row],[PAGO DIA]],DIAS!A:D,4,0)</f>
        <v>46140</v>
      </c>
      <c r="N1411" s="6">
        <v>0</v>
      </c>
      <c r="O1411" s="43">
        <f>VLOOKUP(Tabla1[[#This Row],[PAGO DIA]],DIAS!A:E,5,0)</f>
        <v>46168</v>
      </c>
      <c r="P1411" s="6">
        <v>0</v>
      </c>
      <c r="Q1411" s="43">
        <f>VLOOKUP(Tabla1[[#This Row],[PAGO DIA]],DIAS!A:F,6,0)</f>
        <v>46196</v>
      </c>
      <c r="R1411" s="6">
        <v>0</v>
      </c>
      <c r="S1411" s="43">
        <f>VLOOKUP(Tabla1[[#This Row],[PAGO DIA]],DIAS!A:G,7,0)</f>
        <v>46231</v>
      </c>
      <c r="T1411" s="6">
        <v>0</v>
      </c>
      <c r="U1411" s="43">
        <f>VLOOKUP(Tabla1[[#This Row],[PAGO DIA]],DIAS!A:H,8,0)</f>
        <v>46259</v>
      </c>
      <c r="V1411" s="6">
        <v>0</v>
      </c>
      <c r="W1411" s="43">
        <f>VLOOKUP(Tabla1[[#This Row],[PAGO DIA]],DIAS!A:I,9,0)</f>
        <v>46287</v>
      </c>
      <c r="X1411" s="6">
        <v>0</v>
      </c>
      <c r="Y1411" s="43">
        <f>VLOOKUP(Tabla1[[#This Row],[PAGO DIA]],DIAS!A:J,10,0)</f>
        <v>46322</v>
      </c>
      <c r="Z1411" s="6">
        <v>0</v>
      </c>
      <c r="AA1411" s="43">
        <f>VLOOKUP(Tabla1[[#This Row],[PAGO DIA]],DIAS!A:K,11,0)</f>
        <v>46350</v>
      </c>
      <c r="AB1411" s="6">
        <v>0</v>
      </c>
      <c r="AC1411" s="43">
        <f>VLOOKUP(Tabla1[[#This Row],[PAGO DIA]],DIAS!A:M,12,0)</f>
        <v>46379</v>
      </c>
      <c r="AD14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2" spans="1:30">
      <c r="A1412" s="3">
        <v>11361</v>
      </c>
      <c r="B1412" s="3" t="s">
        <v>510</v>
      </c>
      <c r="C1412" s="3" t="s">
        <v>1140</v>
      </c>
      <c r="D1412" s="3" t="s">
        <v>1848</v>
      </c>
      <c r="E1412" s="3" t="s">
        <v>1849</v>
      </c>
      <c r="F1412" s="42" t="s">
        <v>562</v>
      </c>
      <c r="G1412" s="3" t="s">
        <v>1850</v>
      </c>
      <c r="H1412" s="6">
        <v>0</v>
      </c>
      <c r="I1412" s="41">
        <f>VLOOKUP(Tabla1[[#This Row],[PAGO DIA]],DIAS!A:B,2,0)</f>
        <v>46078</v>
      </c>
      <c r="J1412" s="6">
        <v>0</v>
      </c>
      <c r="K1412" s="43">
        <f>VLOOKUP(Tabla1[[#This Row],[PAGO DIA]],DIAS!A:C,3,0)</f>
        <v>46105</v>
      </c>
      <c r="L1412" s="6">
        <v>0</v>
      </c>
      <c r="M1412" s="41">
        <f>VLOOKUP(Tabla1[[#This Row],[PAGO DIA]],DIAS!A:D,4,0)</f>
        <v>46140</v>
      </c>
      <c r="N1412" s="6">
        <v>0</v>
      </c>
      <c r="O1412" s="43">
        <f>VLOOKUP(Tabla1[[#This Row],[PAGO DIA]],DIAS!A:E,5,0)</f>
        <v>46168</v>
      </c>
      <c r="P1412" s="6">
        <v>0</v>
      </c>
      <c r="Q1412" s="43">
        <f>VLOOKUP(Tabla1[[#This Row],[PAGO DIA]],DIAS!A:F,6,0)</f>
        <v>46196</v>
      </c>
      <c r="R1412" s="6">
        <v>0</v>
      </c>
      <c r="S1412" s="43">
        <f>VLOOKUP(Tabla1[[#This Row],[PAGO DIA]],DIAS!A:G,7,0)</f>
        <v>46231</v>
      </c>
      <c r="T1412" s="6">
        <v>0</v>
      </c>
      <c r="U1412" s="43">
        <f>VLOOKUP(Tabla1[[#This Row],[PAGO DIA]],DIAS!A:H,8,0)</f>
        <v>46259</v>
      </c>
      <c r="V1412" s="6">
        <v>0</v>
      </c>
      <c r="W1412" s="43">
        <f>VLOOKUP(Tabla1[[#This Row],[PAGO DIA]],DIAS!A:I,9,0)</f>
        <v>46287</v>
      </c>
      <c r="X1412" s="6">
        <v>0</v>
      </c>
      <c r="Y1412" s="43">
        <f>VLOOKUP(Tabla1[[#This Row],[PAGO DIA]],DIAS!A:J,10,0)</f>
        <v>46322</v>
      </c>
      <c r="Z1412" s="6">
        <v>0</v>
      </c>
      <c r="AA1412" s="43">
        <f>VLOOKUP(Tabla1[[#This Row],[PAGO DIA]],DIAS!A:K,11,0)</f>
        <v>46350</v>
      </c>
      <c r="AB1412" s="6">
        <v>0</v>
      </c>
      <c r="AC1412" s="43">
        <f>VLOOKUP(Tabla1[[#This Row],[PAGO DIA]],DIAS!A:M,12,0)</f>
        <v>46379</v>
      </c>
      <c r="AD14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3" spans="1:30">
      <c r="A1413" s="3">
        <v>11631</v>
      </c>
      <c r="B1413" s="3" t="s">
        <v>510</v>
      </c>
      <c r="C1413" s="3" t="s">
        <v>1140</v>
      </c>
      <c r="D1413" s="3" t="s">
        <v>1947</v>
      </c>
      <c r="E1413" s="3" t="s">
        <v>1849</v>
      </c>
      <c r="F1413" s="42" t="s">
        <v>562</v>
      </c>
      <c r="G1413" s="3" t="s">
        <v>1948</v>
      </c>
      <c r="H1413" s="6">
        <v>0</v>
      </c>
      <c r="I1413" s="41">
        <f>VLOOKUP(Tabla1[[#This Row],[PAGO DIA]],DIAS!A:B,2,0)</f>
        <v>46078</v>
      </c>
      <c r="J1413" s="6">
        <v>0</v>
      </c>
      <c r="K1413" s="43">
        <f>VLOOKUP(Tabla1[[#This Row],[PAGO DIA]],DIAS!A:C,3,0)</f>
        <v>46105</v>
      </c>
      <c r="L1413" s="6">
        <v>0</v>
      </c>
      <c r="M1413" s="41">
        <f>VLOOKUP(Tabla1[[#This Row],[PAGO DIA]],DIAS!A:D,4,0)</f>
        <v>46140</v>
      </c>
      <c r="N1413" s="6">
        <v>0</v>
      </c>
      <c r="O1413" s="43">
        <f>VLOOKUP(Tabla1[[#This Row],[PAGO DIA]],DIAS!A:E,5,0)</f>
        <v>46168</v>
      </c>
      <c r="P1413" s="6">
        <v>0</v>
      </c>
      <c r="Q1413" s="43">
        <f>VLOOKUP(Tabla1[[#This Row],[PAGO DIA]],DIAS!A:F,6,0)</f>
        <v>46196</v>
      </c>
      <c r="R1413" s="6">
        <v>0</v>
      </c>
      <c r="S1413" s="43">
        <f>VLOOKUP(Tabla1[[#This Row],[PAGO DIA]],DIAS!A:G,7,0)</f>
        <v>46231</v>
      </c>
      <c r="T1413" s="6">
        <v>0</v>
      </c>
      <c r="U1413" s="43">
        <f>VLOOKUP(Tabla1[[#This Row],[PAGO DIA]],DIAS!A:H,8,0)</f>
        <v>46259</v>
      </c>
      <c r="V1413" s="6">
        <v>0</v>
      </c>
      <c r="W1413" s="43">
        <f>VLOOKUP(Tabla1[[#This Row],[PAGO DIA]],DIAS!A:I,9,0)</f>
        <v>46287</v>
      </c>
      <c r="X1413" s="6">
        <v>0</v>
      </c>
      <c r="Y1413" s="43">
        <f>VLOOKUP(Tabla1[[#This Row],[PAGO DIA]],DIAS!A:J,10,0)</f>
        <v>46322</v>
      </c>
      <c r="Z1413" s="6">
        <v>0</v>
      </c>
      <c r="AA1413" s="43">
        <f>VLOOKUP(Tabla1[[#This Row],[PAGO DIA]],DIAS!A:K,11,0)</f>
        <v>46350</v>
      </c>
      <c r="AB1413" s="6">
        <v>0</v>
      </c>
      <c r="AC1413" s="43">
        <f>VLOOKUP(Tabla1[[#This Row],[PAGO DIA]],DIAS!A:M,12,0)</f>
        <v>46379</v>
      </c>
      <c r="AD14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4" spans="1:30">
      <c r="A1414" s="3">
        <v>11632</v>
      </c>
      <c r="B1414" s="3" t="s">
        <v>510</v>
      </c>
      <c r="C1414" s="3" t="s">
        <v>1140</v>
      </c>
      <c r="D1414" s="3" t="s">
        <v>1848</v>
      </c>
      <c r="E1414" s="3" t="s">
        <v>1849</v>
      </c>
      <c r="F1414" s="42" t="s">
        <v>562</v>
      </c>
      <c r="G1414" s="3" t="s">
        <v>1948</v>
      </c>
      <c r="H1414" s="6">
        <v>0</v>
      </c>
      <c r="I1414" s="41">
        <f>VLOOKUP(Tabla1[[#This Row],[PAGO DIA]],DIAS!A:B,2,0)</f>
        <v>46078</v>
      </c>
      <c r="J1414" s="6">
        <v>0</v>
      </c>
      <c r="K1414" s="43">
        <f>VLOOKUP(Tabla1[[#This Row],[PAGO DIA]],DIAS!A:C,3,0)</f>
        <v>46105</v>
      </c>
      <c r="L1414" s="6">
        <v>0</v>
      </c>
      <c r="M1414" s="41">
        <f>VLOOKUP(Tabla1[[#This Row],[PAGO DIA]],DIAS!A:D,4,0)</f>
        <v>46140</v>
      </c>
      <c r="N1414" s="6">
        <v>0</v>
      </c>
      <c r="O1414" s="43">
        <f>VLOOKUP(Tabla1[[#This Row],[PAGO DIA]],DIAS!A:E,5,0)</f>
        <v>46168</v>
      </c>
      <c r="P1414" s="6">
        <v>0</v>
      </c>
      <c r="Q1414" s="43">
        <f>VLOOKUP(Tabla1[[#This Row],[PAGO DIA]],DIAS!A:F,6,0)</f>
        <v>46196</v>
      </c>
      <c r="R1414" s="6">
        <v>0</v>
      </c>
      <c r="S1414" s="43">
        <f>VLOOKUP(Tabla1[[#This Row],[PAGO DIA]],DIAS!A:G,7,0)</f>
        <v>46231</v>
      </c>
      <c r="T1414" s="6">
        <v>0</v>
      </c>
      <c r="U1414" s="43">
        <f>VLOOKUP(Tabla1[[#This Row],[PAGO DIA]],DIAS!A:H,8,0)</f>
        <v>46259</v>
      </c>
      <c r="V1414" s="6">
        <v>0</v>
      </c>
      <c r="W1414" s="43">
        <f>VLOOKUP(Tabla1[[#This Row],[PAGO DIA]],DIAS!A:I,9,0)</f>
        <v>46287</v>
      </c>
      <c r="X1414" s="6">
        <v>0</v>
      </c>
      <c r="Y1414" s="43">
        <f>VLOOKUP(Tabla1[[#This Row],[PAGO DIA]],DIAS!A:J,10,0)</f>
        <v>46322</v>
      </c>
      <c r="Z1414" s="6">
        <v>0</v>
      </c>
      <c r="AA1414" s="43">
        <f>VLOOKUP(Tabla1[[#This Row],[PAGO DIA]],DIAS!A:K,11,0)</f>
        <v>46350</v>
      </c>
      <c r="AB1414" s="6">
        <v>0</v>
      </c>
      <c r="AC1414" s="43">
        <f>VLOOKUP(Tabla1[[#This Row],[PAGO DIA]],DIAS!A:M,12,0)</f>
        <v>46379</v>
      </c>
      <c r="AD14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5" spans="1:30">
      <c r="A1415" s="3">
        <v>10990</v>
      </c>
      <c r="B1415" s="3" t="s">
        <v>510</v>
      </c>
      <c r="C1415" s="3" t="s">
        <v>1179</v>
      </c>
      <c r="D1415" s="3" t="s">
        <v>1949</v>
      </c>
      <c r="E1415" s="3" t="s">
        <v>581</v>
      </c>
      <c r="F1415" s="42" t="s">
        <v>562</v>
      </c>
      <c r="G1415" s="3"/>
      <c r="H1415" s="6">
        <v>0</v>
      </c>
      <c r="I1415" s="41">
        <f>VLOOKUP(Tabla1[[#This Row],[PAGO DIA]],DIAS!A:B,2,0)</f>
        <v>46078</v>
      </c>
      <c r="J1415" s="6">
        <v>0</v>
      </c>
      <c r="K1415" s="43">
        <f>VLOOKUP(Tabla1[[#This Row],[PAGO DIA]],DIAS!A:C,3,0)</f>
        <v>46105</v>
      </c>
      <c r="L1415" s="6">
        <v>0</v>
      </c>
      <c r="M1415" s="41">
        <f>VLOOKUP(Tabla1[[#This Row],[PAGO DIA]],DIAS!A:D,4,0)</f>
        <v>46140</v>
      </c>
      <c r="N1415" s="6">
        <v>0</v>
      </c>
      <c r="O1415" s="43">
        <f>VLOOKUP(Tabla1[[#This Row],[PAGO DIA]],DIAS!A:E,5,0)</f>
        <v>46168</v>
      </c>
      <c r="P1415" s="6">
        <v>0</v>
      </c>
      <c r="Q1415" s="43">
        <f>VLOOKUP(Tabla1[[#This Row],[PAGO DIA]],DIAS!A:F,6,0)</f>
        <v>46196</v>
      </c>
      <c r="R1415" s="6">
        <v>0</v>
      </c>
      <c r="S1415" s="43">
        <f>VLOOKUP(Tabla1[[#This Row],[PAGO DIA]],DIAS!A:G,7,0)</f>
        <v>46231</v>
      </c>
      <c r="T1415" s="6">
        <v>0</v>
      </c>
      <c r="U1415" s="43">
        <f>VLOOKUP(Tabla1[[#This Row],[PAGO DIA]],DIAS!A:H,8,0)</f>
        <v>46259</v>
      </c>
      <c r="V1415" s="6">
        <v>0</v>
      </c>
      <c r="W1415" s="43">
        <f>VLOOKUP(Tabla1[[#This Row],[PAGO DIA]],DIAS!A:I,9,0)</f>
        <v>46287</v>
      </c>
      <c r="X1415" s="6">
        <v>0</v>
      </c>
      <c r="Y1415" s="43">
        <f>VLOOKUP(Tabla1[[#This Row],[PAGO DIA]],DIAS!A:J,10,0)</f>
        <v>46322</v>
      </c>
      <c r="Z1415" s="6">
        <v>0</v>
      </c>
      <c r="AA1415" s="43">
        <f>VLOOKUP(Tabla1[[#This Row],[PAGO DIA]],DIAS!A:K,11,0)</f>
        <v>46350</v>
      </c>
      <c r="AB1415" s="6">
        <v>0</v>
      </c>
      <c r="AC1415" s="43">
        <f>VLOOKUP(Tabla1[[#This Row],[PAGO DIA]],DIAS!A:M,12,0)</f>
        <v>46379</v>
      </c>
      <c r="AD14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6" spans="1:30">
      <c r="A1416" s="3">
        <v>11383</v>
      </c>
      <c r="B1416" s="3" t="s">
        <v>510</v>
      </c>
      <c r="C1416" s="3" t="s">
        <v>1179</v>
      </c>
      <c r="D1416" s="3" t="s">
        <v>1949</v>
      </c>
      <c r="E1416" s="3" t="s">
        <v>581</v>
      </c>
      <c r="F1416" s="42" t="s">
        <v>562</v>
      </c>
      <c r="G1416" s="3"/>
      <c r="H1416" s="6">
        <v>0</v>
      </c>
      <c r="I1416" s="41">
        <f>VLOOKUP(Tabla1[[#This Row],[PAGO DIA]],DIAS!A:B,2,0)</f>
        <v>46078</v>
      </c>
      <c r="J1416" s="6">
        <v>0</v>
      </c>
      <c r="K1416" s="43">
        <f>VLOOKUP(Tabla1[[#This Row],[PAGO DIA]],DIAS!A:C,3,0)</f>
        <v>46105</v>
      </c>
      <c r="L1416" s="6">
        <v>0</v>
      </c>
      <c r="M1416" s="41">
        <f>VLOOKUP(Tabla1[[#This Row],[PAGO DIA]],DIAS!A:D,4,0)</f>
        <v>46140</v>
      </c>
      <c r="N1416" s="6">
        <v>0</v>
      </c>
      <c r="O1416" s="43">
        <f>VLOOKUP(Tabla1[[#This Row],[PAGO DIA]],DIAS!A:E,5,0)</f>
        <v>46168</v>
      </c>
      <c r="P1416" s="6">
        <v>0</v>
      </c>
      <c r="Q1416" s="43">
        <f>VLOOKUP(Tabla1[[#This Row],[PAGO DIA]],DIAS!A:F,6,0)</f>
        <v>46196</v>
      </c>
      <c r="R1416" s="6">
        <v>0</v>
      </c>
      <c r="S1416" s="43">
        <f>VLOOKUP(Tabla1[[#This Row],[PAGO DIA]],DIAS!A:G,7,0)</f>
        <v>46231</v>
      </c>
      <c r="T1416" s="6">
        <v>0</v>
      </c>
      <c r="U1416" s="43">
        <f>VLOOKUP(Tabla1[[#This Row],[PAGO DIA]],DIAS!A:H,8,0)</f>
        <v>46259</v>
      </c>
      <c r="V1416" s="6">
        <v>0</v>
      </c>
      <c r="W1416" s="43">
        <f>VLOOKUP(Tabla1[[#This Row],[PAGO DIA]],DIAS!A:I,9,0)</f>
        <v>46287</v>
      </c>
      <c r="X1416" s="6">
        <v>0</v>
      </c>
      <c r="Y1416" s="43">
        <f>VLOOKUP(Tabla1[[#This Row],[PAGO DIA]],DIAS!A:J,10,0)</f>
        <v>46322</v>
      </c>
      <c r="Z1416" s="6">
        <v>0</v>
      </c>
      <c r="AA1416" s="43">
        <f>VLOOKUP(Tabla1[[#This Row],[PAGO DIA]],DIAS!A:K,11,0)</f>
        <v>46350</v>
      </c>
      <c r="AB1416" s="6">
        <v>0</v>
      </c>
      <c r="AC1416" s="43">
        <f>VLOOKUP(Tabla1[[#This Row],[PAGO DIA]],DIAS!A:M,12,0)</f>
        <v>46379</v>
      </c>
      <c r="AD14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7" spans="1:30">
      <c r="A1417" s="3">
        <v>11398</v>
      </c>
      <c r="B1417" s="3" t="s">
        <v>510</v>
      </c>
      <c r="C1417" s="3" t="s">
        <v>1179</v>
      </c>
      <c r="D1417" s="3" t="s">
        <v>1950</v>
      </c>
      <c r="E1417" s="3" t="s">
        <v>581</v>
      </c>
      <c r="F1417" s="42" t="s">
        <v>562</v>
      </c>
      <c r="G1417" s="3" t="s">
        <v>1951</v>
      </c>
      <c r="H1417" s="6">
        <v>0</v>
      </c>
      <c r="I1417" s="41">
        <f>VLOOKUP(Tabla1[[#This Row],[PAGO DIA]],DIAS!A:B,2,0)</f>
        <v>46078</v>
      </c>
      <c r="J1417" s="6">
        <v>0</v>
      </c>
      <c r="K1417" s="43">
        <f>VLOOKUP(Tabla1[[#This Row],[PAGO DIA]],DIAS!A:C,3,0)</f>
        <v>46105</v>
      </c>
      <c r="L1417" s="6">
        <v>0</v>
      </c>
      <c r="M1417" s="41">
        <f>VLOOKUP(Tabla1[[#This Row],[PAGO DIA]],DIAS!A:D,4,0)</f>
        <v>46140</v>
      </c>
      <c r="N1417" s="6">
        <v>0</v>
      </c>
      <c r="O1417" s="43">
        <f>VLOOKUP(Tabla1[[#This Row],[PAGO DIA]],DIAS!A:E,5,0)</f>
        <v>46168</v>
      </c>
      <c r="P1417" s="6">
        <v>0</v>
      </c>
      <c r="Q1417" s="43">
        <f>VLOOKUP(Tabla1[[#This Row],[PAGO DIA]],DIAS!A:F,6,0)</f>
        <v>46196</v>
      </c>
      <c r="R1417" s="6">
        <v>0</v>
      </c>
      <c r="S1417" s="43">
        <f>VLOOKUP(Tabla1[[#This Row],[PAGO DIA]],DIAS!A:G,7,0)</f>
        <v>46231</v>
      </c>
      <c r="T1417" s="6">
        <v>0</v>
      </c>
      <c r="U1417" s="43">
        <f>VLOOKUP(Tabla1[[#This Row],[PAGO DIA]],DIAS!A:H,8,0)</f>
        <v>46259</v>
      </c>
      <c r="V1417" s="6">
        <v>0</v>
      </c>
      <c r="W1417" s="43">
        <f>VLOOKUP(Tabla1[[#This Row],[PAGO DIA]],DIAS!A:I,9,0)</f>
        <v>46287</v>
      </c>
      <c r="X1417" s="6">
        <v>0</v>
      </c>
      <c r="Y1417" s="43">
        <f>VLOOKUP(Tabla1[[#This Row],[PAGO DIA]],DIAS!A:J,10,0)</f>
        <v>46322</v>
      </c>
      <c r="Z1417" s="6">
        <v>0</v>
      </c>
      <c r="AA1417" s="43">
        <f>VLOOKUP(Tabla1[[#This Row],[PAGO DIA]],DIAS!A:K,11,0)</f>
        <v>46350</v>
      </c>
      <c r="AB1417" s="6">
        <v>0</v>
      </c>
      <c r="AC1417" s="43">
        <f>VLOOKUP(Tabla1[[#This Row],[PAGO DIA]],DIAS!A:M,12,0)</f>
        <v>46379</v>
      </c>
      <c r="AD14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8" spans="1:30">
      <c r="A1418" s="3">
        <v>11401</v>
      </c>
      <c r="B1418" s="3" t="s">
        <v>510</v>
      </c>
      <c r="C1418" s="3" t="s">
        <v>1179</v>
      </c>
      <c r="D1418" s="3" t="s">
        <v>1949</v>
      </c>
      <c r="E1418" s="3" t="s">
        <v>581</v>
      </c>
      <c r="F1418" s="42" t="s">
        <v>562</v>
      </c>
      <c r="G1418" s="3" t="s">
        <v>1952</v>
      </c>
      <c r="H1418" s="6">
        <v>0</v>
      </c>
      <c r="I1418" s="41">
        <f>VLOOKUP(Tabla1[[#This Row],[PAGO DIA]],DIAS!A:B,2,0)</f>
        <v>46078</v>
      </c>
      <c r="J1418" s="6">
        <v>0</v>
      </c>
      <c r="K1418" s="43">
        <f>VLOOKUP(Tabla1[[#This Row],[PAGO DIA]],DIAS!A:C,3,0)</f>
        <v>46105</v>
      </c>
      <c r="L1418" s="6">
        <v>0</v>
      </c>
      <c r="M1418" s="41">
        <f>VLOOKUP(Tabla1[[#This Row],[PAGO DIA]],DIAS!A:D,4,0)</f>
        <v>46140</v>
      </c>
      <c r="N1418" s="6">
        <v>0</v>
      </c>
      <c r="O1418" s="43">
        <f>VLOOKUP(Tabla1[[#This Row],[PAGO DIA]],DIAS!A:E,5,0)</f>
        <v>46168</v>
      </c>
      <c r="P1418" s="6">
        <v>0</v>
      </c>
      <c r="Q1418" s="43">
        <f>VLOOKUP(Tabla1[[#This Row],[PAGO DIA]],DIAS!A:F,6,0)</f>
        <v>46196</v>
      </c>
      <c r="R1418" s="6">
        <v>0</v>
      </c>
      <c r="S1418" s="43">
        <f>VLOOKUP(Tabla1[[#This Row],[PAGO DIA]],DIAS!A:G,7,0)</f>
        <v>46231</v>
      </c>
      <c r="T1418" s="6">
        <v>0</v>
      </c>
      <c r="U1418" s="43">
        <f>VLOOKUP(Tabla1[[#This Row],[PAGO DIA]],DIAS!A:H,8,0)</f>
        <v>46259</v>
      </c>
      <c r="V1418" s="6">
        <v>0</v>
      </c>
      <c r="W1418" s="43">
        <f>VLOOKUP(Tabla1[[#This Row],[PAGO DIA]],DIAS!A:I,9,0)</f>
        <v>46287</v>
      </c>
      <c r="X1418" s="6">
        <v>0</v>
      </c>
      <c r="Y1418" s="43">
        <f>VLOOKUP(Tabla1[[#This Row],[PAGO DIA]],DIAS!A:J,10,0)</f>
        <v>46322</v>
      </c>
      <c r="Z1418" s="6">
        <v>0</v>
      </c>
      <c r="AA1418" s="43">
        <f>VLOOKUP(Tabla1[[#This Row],[PAGO DIA]],DIAS!A:K,11,0)</f>
        <v>46350</v>
      </c>
      <c r="AB1418" s="6">
        <v>0</v>
      </c>
      <c r="AC1418" s="43">
        <f>VLOOKUP(Tabla1[[#This Row],[PAGO DIA]],DIAS!A:M,12,0)</f>
        <v>46379</v>
      </c>
      <c r="AD14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19" spans="1:30">
      <c r="A1419" s="3">
        <v>11634</v>
      </c>
      <c r="B1419" s="3" t="s">
        <v>510</v>
      </c>
      <c r="C1419" s="3" t="s">
        <v>1179</v>
      </c>
      <c r="D1419" s="3" t="s">
        <v>1953</v>
      </c>
      <c r="E1419" s="3" t="s">
        <v>581</v>
      </c>
      <c r="F1419" s="42" t="s">
        <v>562</v>
      </c>
      <c r="G1419" s="3" t="s">
        <v>1951</v>
      </c>
      <c r="H1419" s="6">
        <v>0</v>
      </c>
      <c r="I1419" s="41">
        <f>VLOOKUP(Tabla1[[#This Row],[PAGO DIA]],DIAS!A:B,2,0)</f>
        <v>46078</v>
      </c>
      <c r="J1419" s="6">
        <v>0</v>
      </c>
      <c r="K1419" s="43">
        <f>VLOOKUP(Tabla1[[#This Row],[PAGO DIA]],DIAS!A:C,3,0)</f>
        <v>46105</v>
      </c>
      <c r="L1419" s="6">
        <v>0</v>
      </c>
      <c r="M1419" s="41">
        <f>VLOOKUP(Tabla1[[#This Row],[PAGO DIA]],DIAS!A:D,4,0)</f>
        <v>46140</v>
      </c>
      <c r="N1419" s="6">
        <v>0</v>
      </c>
      <c r="O1419" s="43">
        <f>VLOOKUP(Tabla1[[#This Row],[PAGO DIA]],DIAS!A:E,5,0)</f>
        <v>46168</v>
      </c>
      <c r="P1419" s="6">
        <v>0</v>
      </c>
      <c r="Q1419" s="43">
        <f>VLOOKUP(Tabla1[[#This Row],[PAGO DIA]],DIAS!A:F,6,0)</f>
        <v>46196</v>
      </c>
      <c r="R1419" s="6">
        <v>0</v>
      </c>
      <c r="S1419" s="43">
        <f>VLOOKUP(Tabla1[[#This Row],[PAGO DIA]],DIAS!A:G,7,0)</f>
        <v>46231</v>
      </c>
      <c r="T1419" s="6">
        <v>0</v>
      </c>
      <c r="U1419" s="43">
        <f>VLOOKUP(Tabla1[[#This Row],[PAGO DIA]],DIAS!A:H,8,0)</f>
        <v>46259</v>
      </c>
      <c r="V1419" s="6">
        <v>0</v>
      </c>
      <c r="W1419" s="43">
        <f>VLOOKUP(Tabla1[[#This Row],[PAGO DIA]],DIAS!A:I,9,0)</f>
        <v>46287</v>
      </c>
      <c r="X1419" s="6">
        <v>0</v>
      </c>
      <c r="Y1419" s="43">
        <f>VLOOKUP(Tabla1[[#This Row],[PAGO DIA]],DIAS!A:J,10,0)</f>
        <v>46322</v>
      </c>
      <c r="Z1419" s="6">
        <v>0</v>
      </c>
      <c r="AA1419" s="43">
        <f>VLOOKUP(Tabla1[[#This Row],[PAGO DIA]],DIAS!A:K,11,0)</f>
        <v>46350</v>
      </c>
      <c r="AB1419" s="6">
        <v>0</v>
      </c>
      <c r="AC1419" s="43">
        <f>VLOOKUP(Tabla1[[#This Row],[PAGO DIA]],DIAS!A:M,12,0)</f>
        <v>46379</v>
      </c>
      <c r="AD14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0" spans="1:30">
      <c r="A1420" s="3">
        <v>12496</v>
      </c>
      <c r="B1420" s="3" t="s">
        <v>510</v>
      </c>
      <c r="C1420" s="3"/>
      <c r="D1420" s="3" t="s">
        <v>1954</v>
      </c>
      <c r="E1420" s="3" t="s">
        <v>1955</v>
      </c>
      <c r="F1420" s="42" t="s">
        <v>562</v>
      </c>
      <c r="G1420" s="3"/>
      <c r="H1420" s="6">
        <v>0</v>
      </c>
      <c r="I1420" s="41">
        <f>VLOOKUP(Tabla1[[#This Row],[PAGO DIA]],DIAS!A:B,2,0)</f>
        <v>46078</v>
      </c>
      <c r="J1420" s="6">
        <v>0</v>
      </c>
      <c r="K1420" s="43">
        <f>VLOOKUP(Tabla1[[#This Row],[PAGO DIA]],DIAS!A:C,3,0)</f>
        <v>46105</v>
      </c>
      <c r="L1420" s="6">
        <v>0</v>
      </c>
      <c r="M1420" s="41">
        <f>VLOOKUP(Tabla1[[#This Row],[PAGO DIA]],DIAS!A:D,4,0)</f>
        <v>46140</v>
      </c>
      <c r="N1420" s="6">
        <v>0</v>
      </c>
      <c r="O1420" s="43">
        <f>VLOOKUP(Tabla1[[#This Row],[PAGO DIA]],DIAS!A:E,5,0)</f>
        <v>46168</v>
      </c>
      <c r="P1420" s="6">
        <v>0</v>
      </c>
      <c r="Q1420" s="43">
        <f>VLOOKUP(Tabla1[[#This Row],[PAGO DIA]],DIAS!A:F,6,0)</f>
        <v>46196</v>
      </c>
      <c r="R1420" s="6">
        <v>0</v>
      </c>
      <c r="S1420" s="43">
        <f>VLOOKUP(Tabla1[[#This Row],[PAGO DIA]],DIAS!A:G,7,0)</f>
        <v>46231</v>
      </c>
      <c r="T1420" s="6">
        <v>0</v>
      </c>
      <c r="U1420" s="43">
        <f>VLOOKUP(Tabla1[[#This Row],[PAGO DIA]],DIAS!A:H,8,0)</f>
        <v>46259</v>
      </c>
      <c r="V1420" s="6">
        <v>0</v>
      </c>
      <c r="W1420" s="43">
        <f>VLOOKUP(Tabla1[[#This Row],[PAGO DIA]],DIAS!A:I,9,0)</f>
        <v>46287</v>
      </c>
      <c r="X1420" s="6">
        <v>0</v>
      </c>
      <c r="Y1420" s="43">
        <f>VLOOKUP(Tabla1[[#This Row],[PAGO DIA]],DIAS!A:J,10,0)</f>
        <v>46322</v>
      </c>
      <c r="Z1420" s="6">
        <v>0</v>
      </c>
      <c r="AA1420" s="43">
        <f>VLOOKUP(Tabla1[[#This Row],[PAGO DIA]],DIAS!A:K,11,0)</f>
        <v>46350</v>
      </c>
      <c r="AB1420" s="6">
        <v>0</v>
      </c>
      <c r="AC1420" s="43">
        <f>VLOOKUP(Tabla1[[#This Row],[PAGO DIA]],DIAS!A:M,12,0)</f>
        <v>46379</v>
      </c>
      <c r="AD14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1" spans="1:30">
      <c r="A1421" s="3">
        <v>11165</v>
      </c>
      <c r="B1421" s="3" t="s">
        <v>510</v>
      </c>
      <c r="C1421" s="3" t="s">
        <v>576</v>
      </c>
      <c r="D1421" s="3" t="s">
        <v>1956</v>
      </c>
      <c r="E1421" s="3" t="s">
        <v>746</v>
      </c>
      <c r="F1421" s="42" t="s">
        <v>562</v>
      </c>
      <c r="G1421" s="3"/>
      <c r="H1421" s="6">
        <v>0</v>
      </c>
      <c r="I1421" s="41">
        <f>VLOOKUP(Tabla1[[#This Row],[PAGO DIA]],DIAS!A:B,2,0)</f>
        <v>46078</v>
      </c>
      <c r="J1421" s="6">
        <v>0</v>
      </c>
      <c r="K1421" s="43">
        <f>VLOOKUP(Tabla1[[#This Row],[PAGO DIA]],DIAS!A:C,3,0)</f>
        <v>46105</v>
      </c>
      <c r="L1421" s="6">
        <v>0</v>
      </c>
      <c r="M1421" s="41">
        <f>VLOOKUP(Tabla1[[#This Row],[PAGO DIA]],DIAS!A:D,4,0)</f>
        <v>46140</v>
      </c>
      <c r="N1421" s="6">
        <v>0</v>
      </c>
      <c r="O1421" s="43">
        <f>VLOOKUP(Tabla1[[#This Row],[PAGO DIA]],DIAS!A:E,5,0)</f>
        <v>46168</v>
      </c>
      <c r="P1421" s="6">
        <v>0</v>
      </c>
      <c r="Q1421" s="43">
        <f>VLOOKUP(Tabla1[[#This Row],[PAGO DIA]],DIAS!A:F,6,0)</f>
        <v>46196</v>
      </c>
      <c r="R1421" s="6">
        <v>0</v>
      </c>
      <c r="S1421" s="43">
        <f>VLOOKUP(Tabla1[[#This Row],[PAGO DIA]],DIAS!A:G,7,0)</f>
        <v>46231</v>
      </c>
      <c r="T1421" s="6">
        <v>0</v>
      </c>
      <c r="U1421" s="43">
        <f>VLOOKUP(Tabla1[[#This Row],[PAGO DIA]],DIAS!A:H,8,0)</f>
        <v>46259</v>
      </c>
      <c r="V1421" s="6">
        <v>0</v>
      </c>
      <c r="W1421" s="43">
        <f>VLOOKUP(Tabla1[[#This Row],[PAGO DIA]],DIAS!A:I,9,0)</f>
        <v>46287</v>
      </c>
      <c r="X1421" s="6">
        <v>0</v>
      </c>
      <c r="Y1421" s="43">
        <f>VLOOKUP(Tabla1[[#This Row],[PAGO DIA]],DIAS!A:J,10,0)</f>
        <v>46322</v>
      </c>
      <c r="Z1421" s="6">
        <v>0</v>
      </c>
      <c r="AA1421" s="43">
        <f>VLOOKUP(Tabla1[[#This Row],[PAGO DIA]],DIAS!A:K,11,0)</f>
        <v>46350</v>
      </c>
      <c r="AB1421" s="6">
        <v>0</v>
      </c>
      <c r="AC1421" s="43">
        <f>VLOOKUP(Tabla1[[#This Row],[PAGO DIA]],DIAS!A:M,12,0)</f>
        <v>46379</v>
      </c>
      <c r="AD14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2" spans="1:30">
      <c r="A1422" s="3">
        <v>11647</v>
      </c>
      <c r="B1422" s="3" t="s">
        <v>510</v>
      </c>
      <c r="C1422" s="3" t="s">
        <v>576</v>
      </c>
      <c r="D1422" s="3" t="s">
        <v>1957</v>
      </c>
      <c r="E1422" s="3" t="s">
        <v>746</v>
      </c>
      <c r="F1422" s="42" t="s">
        <v>562</v>
      </c>
      <c r="G1422" s="3" t="s">
        <v>1161</v>
      </c>
      <c r="H1422" s="6">
        <v>0</v>
      </c>
      <c r="I1422" s="41">
        <f>VLOOKUP(Tabla1[[#This Row],[PAGO DIA]],DIAS!A:B,2,0)</f>
        <v>46078</v>
      </c>
      <c r="J1422" s="6">
        <v>0</v>
      </c>
      <c r="K1422" s="43">
        <f>VLOOKUP(Tabla1[[#This Row],[PAGO DIA]],DIAS!A:C,3,0)</f>
        <v>46105</v>
      </c>
      <c r="L1422" s="6">
        <v>0</v>
      </c>
      <c r="M1422" s="41">
        <f>VLOOKUP(Tabla1[[#This Row],[PAGO DIA]],DIAS!A:D,4,0)</f>
        <v>46140</v>
      </c>
      <c r="N1422" s="6">
        <v>0</v>
      </c>
      <c r="O1422" s="43">
        <f>VLOOKUP(Tabla1[[#This Row],[PAGO DIA]],DIAS!A:E,5,0)</f>
        <v>46168</v>
      </c>
      <c r="P1422" s="6">
        <v>0</v>
      </c>
      <c r="Q1422" s="43">
        <f>VLOOKUP(Tabla1[[#This Row],[PAGO DIA]],DIAS!A:F,6,0)</f>
        <v>46196</v>
      </c>
      <c r="R1422" s="6">
        <v>0</v>
      </c>
      <c r="S1422" s="43">
        <f>VLOOKUP(Tabla1[[#This Row],[PAGO DIA]],DIAS!A:G,7,0)</f>
        <v>46231</v>
      </c>
      <c r="T1422" s="6">
        <v>0</v>
      </c>
      <c r="U1422" s="43">
        <f>VLOOKUP(Tabla1[[#This Row],[PAGO DIA]],DIAS!A:H,8,0)</f>
        <v>46259</v>
      </c>
      <c r="V1422" s="6">
        <v>0</v>
      </c>
      <c r="W1422" s="43">
        <f>VLOOKUP(Tabla1[[#This Row],[PAGO DIA]],DIAS!A:I,9,0)</f>
        <v>46287</v>
      </c>
      <c r="X1422" s="6">
        <v>0</v>
      </c>
      <c r="Y1422" s="43">
        <f>VLOOKUP(Tabla1[[#This Row],[PAGO DIA]],DIAS!A:J,10,0)</f>
        <v>46322</v>
      </c>
      <c r="Z1422" s="6">
        <v>0</v>
      </c>
      <c r="AA1422" s="43">
        <f>VLOOKUP(Tabla1[[#This Row],[PAGO DIA]],DIAS!A:K,11,0)</f>
        <v>46350</v>
      </c>
      <c r="AB1422" s="6">
        <v>0</v>
      </c>
      <c r="AC1422" s="43">
        <f>VLOOKUP(Tabla1[[#This Row],[PAGO DIA]],DIAS!A:M,12,0)</f>
        <v>46379</v>
      </c>
      <c r="AD14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3" spans="1:30">
      <c r="A1423" s="3">
        <v>11648</v>
      </c>
      <c r="B1423" s="3" t="s">
        <v>510</v>
      </c>
      <c r="C1423" s="3"/>
      <c r="D1423" s="3" t="s">
        <v>1863</v>
      </c>
      <c r="E1423" s="3" t="s">
        <v>746</v>
      </c>
      <c r="F1423" s="42" t="s">
        <v>562</v>
      </c>
      <c r="G1423" s="3"/>
      <c r="H1423" s="6">
        <v>0</v>
      </c>
      <c r="I1423" s="41">
        <f>VLOOKUP(Tabla1[[#This Row],[PAGO DIA]],DIAS!A:B,2,0)</f>
        <v>46078</v>
      </c>
      <c r="J1423" s="6">
        <v>0</v>
      </c>
      <c r="K1423" s="43">
        <f>VLOOKUP(Tabla1[[#This Row],[PAGO DIA]],DIAS!A:C,3,0)</f>
        <v>46105</v>
      </c>
      <c r="L1423" s="6">
        <v>0</v>
      </c>
      <c r="M1423" s="41">
        <f>VLOOKUP(Tabla1[[#This Row],[PAGO DIA]],DIAS!A:D,4,0)</f>
        <v>46140</v>
      </c>
      <c r="N1423" s="6">
        <v>0</v>
      </c>
      <c r="O1423" s="43">
        <f>VLOOKUP(Tabla1[[#This Row],[PAGO DIA]],DIAS!A:E,5,0)</f>
        <v>46168</v>
      </c>
      <c r="P1423" s="6">
        <v>0</v>
      </c>
      <c r="Q1423" s="43">
        <f>VLOOKUP(Tabla1[[#This Row],[PAGO DIA]],DIAS!A:F,6,0)</f>
        <v>46196</v>
      </c>
      <c r="R1423" s="6">
        <v>0</v>
      </c>
      <c r="S1423" s="43">
        <f>VLOOKUP(Tabla1[[#This Row],[PAGO DIA]],DIAS!A:G,7,0)</f>
        <v>46231</v>
      </c>
      <c r="T1423" s="6">
        <v>0</v>
      </c>
      <c r="U1423" s="43">
        <f>VLOOKUP(Tabla1[[#This Row],[PAGO DIA]],DIAS!A:H,8,0)</f>
        <v>46259</v>
      </c>
      <c r="V1423" s="6">
        <v>0</v>
      </c>
      <c r="W1423" s="43">
        <f>VLOOKUP(Tabla1[[#This Row],[PAGO DIA]],DIAS!A:I,9,0)</f>
        <v>46287</v>
      </c>
      <c r="X1423" s="6">
        <v>0</v>
      </c>
      <c r="Y1423" s="43">
        <f>VLOOKUP(Tabla1[[#This Row],[PAGO DIA]],DIAS!A:J,10,0)</f>
        <v>46322</v>
      </c>
      <c r="Z1423" s="6">
        <v>0</v>
      </c>
      <c r="AA1423" s="43">
        <f>VLOOKUP(Tabla1[[#This Row],[PAGO DIA]],DIAS!A:K,11,0)</f>
        <v>46350</v>
      </c>
      <c r="AB1423" s="6">
        <v>0</v>
      </c>
      <c r="AC1423" s="43">
        <f>VLOOKUP(Tabla1[[#This Row],[PAGO DIA]],DIAS!A:M,12,0)</f>
        <v>46379</v>
      </c>
      <c r="AD14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4" spans="1:30">
      <c r="A1424" s="3">
        <v>11649</v>
      </c>
      <c r="B1424" s="3" t="s">
        <v>510</v>
      </c>
      <c r="C1424" s="3" t="s">
        <v>576</v>
      </c>
      <c r="D1424" s="3" t="s">
        <v>1958</v>
      </c>
      <c r="E1424" s="3" t="s">
        <v>1959</v>
      </c>
      <c r="F1424" s="42" t="s">
        <v>562</v>
      </c>
      <c r="G1424" s="3"/>
      <c r="H1424" s="6">
        <v>0</v>
      </c>
      <c r="I1424" s="41">
        <f>VLOOKUP(Tabla1[[#This Row],[PAGO DIA]],DIAS!A:B,2,0)</f>
        <v>46078</v>
      </c>
      <c r="J1424" s="6">
        <v>0</v>
      </c>
      <c r="K1424" s="43">
        <f>VLOOKUP(Tabla1[[#This Row],[PAGO DIA]],DIAS!A:C,3,0)</f>
        <v>46105</v>
      </c>
      <c r="L1424" s="6">
        <v>0</v>
      </c>
      <c r="M1424" s="41">
        <f>VLOOKUP(Tabla1[[#This Row],[PAGO DIA]],DIAS!A:D,4,0)</f>
        <v>46140</v>
      </c>
      <c r="N1424" s="6">
        <v>0</v>
      </c>
      <c r="O1424" s="43">
        <f>VLOOKUP(Tabla1[[#This Row],[PAGO DIA]],DIAS!A:E,5,0)</f>
        <v>46168</v>
      </c>
      <c r="P1424" s="6">
        <v>0</v>
      </c>
      <c r="Q1424" s="43">
        <f>VLOOKUP(Tabla1[[#This Row],[PAGO DIA]],DIAS!A:F,6,0)</f>
        <v>46196</v>
      </c>
      <c r="R1424" s="6">
        <v>0</v>
      </c>
      <c r="S1424" s="43">
        <f>VLOOKUP(Tabla1[[#This Row],[PAGO DIA]],DIAS!A:G,7,0)</f>
        <v>46231</v>
      </c>
      <c r="T1424" s="6">
        <v>0</v>
      </c>
      <c r="U1424" s="43">
        <f>VLOOKUP(Tabla1[[#This Row],[PAGO DIA]],DIAS!A:H,8,0)</f>
        <v>46259</v>
      </c>
      <c r="V1424" s="6">
        <v>0</v>
      </c>
      <c r="W1424" s="43">
        <f>VLOOKUP(Tabla1[[#This Row],[PAGO DIA]],DIAS!A:I,9,0)</f>
        <v>46287</v>
      </c>
      <c r="X1424" s="6">
        <v>0</v>
      </c>
      <c r="Y1424" s="43">
        <f>VLOOKUP(Tabla1[[#This Row],[PAGO DIA]],DIAS!A:J,10,0)</f>
        <v>46322</v>
      </c>
      <c r="Z1424" s="6">
        <v>0</v>
      </c>
      <c r="AA1424" s="43">
        <f>VLOOKUP(Tabla1[[#This Row],[PAGO DIA]],DIAS!A:K,11,0)</f>
        <v>46350</v>
      </c>
      <c r="AB1424" s="6">
        <v>0</v>
      </c>
      <c r="AC1424" s="43">
        <f>VLOOKUP(Tabla1[[#This Row],[PAGO DIA]],DIAS!A:M,12,0)</f>
        <v>46379</v>
      </c>
      <c r="AD14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5" spans="1:30">
      <c r="A1425" s="3">
        <v>10959</v>
      </c>
      <c r="B1425" s="3" t="s">
        <v>510</v>
      </c>
      <c r="C1425" s="3" t="s">
        <v>1805</v>
      </c>
      <c r="D1425" s="3" t="s">
        <v>1806</v>
      </c>
      <c r="E1425" s="3" t="s">
        <v>1807</v>
      </c>
      <c r="F1425" s="42" t="s">
        <v>562</v>
      </c>
      <c r="G1425" s="3"/>
      <c r="H1425" s="6">
        <v>0</v>
      </c>
      <c r="I1425" s="41">
        <f>VLOOKUP(Tabla1[[#This Row],[PAGO DIA]],DIAS!A:B,2,0)</f>
        <v>46078</v>
      </c>
      <c r="J1425" s="6">
        <v>0</v>
      </c>
      <c r="K1425" s="43">
        <f>VLOOKUP(Tabla1[[#This Row],[PAGO DIA]],DIAS!A:C,3,0)</f>
        <v>46105</v>
      </c>
      <c r="L1425" s="6">
        <v>0</v>
      </c>
      <c r="M1425" s="41">
        <f>VLOOKUP(Tabla1[[#This Row],[PAGO DIA]],DIAS!A:D,4,0)</f>
        <v>46140</v>
      </c>
      <c r="N1425" s="6">
        <v>0</v>
      </c>
      <c r="O1425" s="43">
        <f>VLOOKUP(Tabla1[[#This Row],[PAGO DIA]],DIAS!A:E,5,0)</f>
        <v>46168</v>
      </c>
      <c r="P1425" s="6">
        <v>0</v>
      </c>
      <c r="Q1425" s="43">
        <f>VLOOKUP(Tabla1[[#This Row],[PAGO DIA]],DIAS!A:F,6,0)</f>
        <v>46196</v>
      </c>
      <c r="R1425" s="6">
        <v>0</v>
      </c>
      <c r="S1425" s="43">
        <f>VLOOKUP(Tabla1[[#This Row],[PAGO DIA]],DIAS!A:G,7,0)</f>
        <v>46231</v>
      </c>
      <c r="T1425" s="6">
        <v>0</v>
      </c>
      <c r="U1425" s="43">
        <f>VLOOKUP(Tabla1[[#This Row],[PAGO DIA]],DIAS!A:H,8,0)</f>
        <v>46259</v>
      </c>
      <c r="V1425" s="6">
        <v>0</v>
      </c>
      <c r="W1425" s="43">
        <f>VLOOKUP(Tabla1[[#This Row],[PAGO DIA]],DIAS!A:I,9,0)</f>
        <v>46287</v>
      </c>
      <c r="X1425" s="6">
        <v>0</v>
      </c>
      <c r="Y1425" s="43">
        <f>VLOOKUP(Tabla1[[#This Row],[PAGO DIA]],DIAS!A:J,10,0)</f>
        <v>46322</v>
      </c>
      <c r="Z1425" s="6">
        <v>0</v>
      </c>
      <c r="AA1425" s="43">
        <f>VLOOKUP(Tabla1[[#This Row],[PAGO DIA]],DIAS!A:K,11,0)</f>
        <v>46350</v>
      </c>
      <c r="AB1425" s="6">
        <v>0</v>
      </c>
      <c r="AC1425" s="43">
        <f>VLOOKUP(Tabla1[[#This Row],[PAGO DIA]],DIAS!A:M,12,0)</f>
        <v>46379</v>
      </c>
      <c r="AD14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6" spans="1:30">
      <c r="A1426" s="3">
        <v>11659</v>
      </c>
      <c r="B1426" s="3" t="s">
        <v>510</v>
      </c>
      <c r="C1426" s="3"/>
      <c r="D1426" s="3" t="s">
        <v>1960</v>
      </c>
      <c r="E1426" s="3" t="s">
        <v>518</v>
      </c>
      <c r="F1426" s="42" t="s">
        <v>562</v>
      </c>
      <c r="G1426" s="3" t="s">
        <v>520</v>
      </c>
      <c r="H1426" s="6">
        <v>0</v>
      </c>
      <c r="I1426" s="41">
        <f>VLOOKUP(Tabla1[[#This Row],[PAGO DIA]],DIAS!A:B,2,0)</f>
        <v>46078</v>
      </c>
      <c r="J1426" s="6">
        <v>0</v>
      </c>
      <c r="K1426" s="43">
        <f>VLOOKUP(Tabla1[[#This Row],[PAGO DIA]],DIAS!A:C,3,0)</f>
        <v>46105</v>
      </c>
      <c r="L1426" s="6">
        <v>0</v>
      </c>
      <c r="M1426" s="41">
        <f>VLOOKUP(Tabla1[[#This Row],[PAGO DIA]],DIAS!A:D,4,0)</f>
        <v>46140</v>
      </c>
      <c r="N1426" s="6">
        <v>0</v>
      </c>
      <c r="O1426" s="43">
        <f>VLOOKUP(Tabla1[[#This Row],[PAGO DIA]],DIAS!A:E,5,0)</f>
        <v>46168</v>
      </c>
      <c r="P1426" s="6">
        <v>0</v>
      </c>
      <c r="Q1426" s="43">
        <f>VLOOKUP(Tabla1[[#This Row],[PAGO DIA]],DIAS!A:F,6,0)</f>
        <v>46196</v>
      </c>
      <c r="R1426" s="6">
        <v>0</v>
      </c>
      <c r="S1426" s="43">
        <f>VLOOKUP(Tabla1[[#This Row],[PAGO DIA]],DIAS!A:G,7,0)</f>
        <v>46231</v>
      </c>
      <c r="T1426" s="6">
        <v>0</v>
      </c>
      <c r="U1426" s="43">
        <f>VLOOKUP(Tabla1[[#This Row],[PAGO DIA]],DIAS!A:H,8,0)</f>
        <v>46259</v>
      </c>
      <c r="V1426" s="6">
        <v>0</v>
      </c>
      <c r="W1426" s="43">
        <f>VLOOKUP(Tabla1[[#This Row],[PAGO DIA]],DIAS!A:I,9,0)</f>
        <v>46287</v>
      </c>
      <c r="X1426" s="6">
        <v>0</v>
      </c>
      <c r="Y1426" s="43">
        <f>VLOOKUP(Tabla1[[#This Row],[PAGO DIA]],DIAS!A:J,10,0)</f>
        <v>46322</v>
      </c>
      <c r="Z1426" s="6">
        <v>0</v>
      </c>
      <c r="AA1426" s="43">
        <f>VLOOKUP(Tabla1[[#This Row],[PAGO DIA]],DIAS!A:K,11,0)</f>
        <v>46350</v>
      </c>
      <c r="AB1426" s="6">
        <v>0</v>
      </c>
      <c r="AC1426" s="43">
        <f>VLOOKUP(Tabla1[[#This Row],[PAGO DIA]],DIAS!A:M,12,0)</f>
        <v>46379</v>
      </c>
      <c r="AD14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7" spans="1:30">
      <c r="A1427" s="3">
        <v>11174</v>
      </c>
      <c r="B1427" s="3" t="s">
        <v>510</v>
      </c>
      <c r="C1427" s="3" t="s">
        <v>1961</v>
      </c>
      <c r="D1427" s="3" t="s">
        <v>1962</v>
      </c>
      <c r="E1427" s="3" t="s">
        <v>1963</v>
      </c>
      <c r="F1427" s="42" t="s">
        <v>562</v>
      </c>
      <c r="G1427" s="3"/>
      <c r="H1427" s="6">
        <v>0</v>
      </c>
      <c r="I1427" s="41">
        <f>VLOOKUP(Tabla1[[#This Row],[PAGO DIA]],DIAS!A:B,2,0)</f>
        <v>46078</v>
      </c>
      <c r="J1427" s="6">
        <v>0</v>
      </c>
      <c r="K1427" s="43">
        <f>VLOOKUP(Tabla1[[#This Row],[PAGO DIA]],DIAS!A:C,3,0)</f>
        <v>46105</v>
      </c>
      <c r="L1427" s="6">
        <v>0</v>
      </c>
      <c r="M1427" s="41">
        <f>VLOOKUP(Tabla1[[#This Row],[PAGO DIA]],DIAS!A:D,4,0)</f>
        <v>46140</v>
      </c>
      <c r="N1427" s="6">
        <v>0</v>
      </c>
      <c r="O1427" s="43">
        <f>VLOOKUP(Tabla1[[#This Row],[PAGO DIA]],DIAS!A:E,5,0)</f>
        <v>46168</v>
      </c>
      <c r="P1427" s="6">
        <v>0</v>
      </c>
      <c r="Q1427" s="43">
        <f>VLOOKUP(Tabla1[[#This Row],[PAGO DIA]],DIAS!A:F,6,0)</f>
        <v>46196</v>
      </c>
      <c r="R1427" s="6">
        <v>0</v>
      </c>
      <c r="S1427" s="43">
        <f>VLOOKUP(Tabla1[[#This Row],[PAGO DIA]],DIAS!A:G,7,0)</f>
        <v>46231</v>
      </c>
      <c r="T1427" s="6">
        <v>0</v>
      </c>
      <c r="U1427" s="43">
        <f>VLOOKUP(Tabla1[[#This Row],[PAGO DIA]],DIAS!A:H,8,0)</f>
        <v>46259</v>
      </c>
      <c r="V1427" s="6">
        <v>0</v>
      </c>
      <c r="W1427" s="43">
        <f>VLOOKUP(Tabla1[[#This Row],[PAGO DIA]],DIAS!A:I,9,0)</f>
        <v>46287</v>
      </c>
      <c r="X1427" s="6">
        <v>0</v>
      </c>
      <c r="Y1427" s="43">
        <f>VLOOKUP(Tabla1[[#This Row],[PAGO DIA]],DIAS!A:J,10,0)</f>
        <v>46322</v>
      </c>
      <c r="Z1427" s="6">
        <v>0</v>
      </c>
      <c r="AA1427" s="43">
        <f>VLOOKUP(Tabla1[[#This Row],[PAGO DIA]],DIAS!A:K,11,0)</f>
        <v>46350</v>
      </c>
      <c r="AB1427" s="6">
        <v>0</v>
      </c>
      <c r="AC1427" s="43">
        <f>VLOOKUP(Tabla1[[#This Row],[PAGO DIA]],DIAS!A:M,12,0)</f>
        <v>46379</v>
      </c>
      <c r="AD14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8" spans="1:30">
      <c r="A1428" s="3">
        <v>11123</v>
      </c>
      <c r="B1428" s="3" t="s">
        <v>510</v>
      </c>
      <c r="C1428" s="3" t="s">
        <v>1147</v>
      </c>
      <c r="D1428" s="3" t="s">
        <v>1789</v>
      </c>
      <c r="E1428" s="3" t="s">
        <v>1790</v>
      </c>
      <c r="F1428" s="42" t="s">
        <v>562</v>
      </c>
      <c r="G1428" s="3"/>
      <c r="H1428" s="6">
        <v>0</v>
      </c>
      <c r="I1428" s="41">
        <f>VLOOKUP(Tabla1[[#This Row],[PAGO DIA]],DIAS!A:B,2,0)</f>
        <v>46078</v>
      </c>
      <c r="J1428" s="6">
        <v>0</v>
      </c>
      <c r="K1428" s="43">
        <f>VLOOKUP(Tabla1[[#This Row],[PAGO DIA]],DIAS!A:C,3,0)</f>
        <v>46105</v>
      </c>
      <c r="L1428" s="6">
        <v>0</v>
      </c>
      <c r="M1428" s="41">
        <f>VLOOKUP(Tabla1[[#This Row],[PAGO DIA]],DIAS!A:D,4,0)</f>
        <v>46140</v>
      </c>
      <c r="N1428" s="6">
        <v>0</v>
      </c>
      <c r="O1428" s="43">
        <f>VLOOKUP(Tabla1[[#This Row],[PAGO DIA]],DIAS!A:E,5,0)</f>
        <v>46168</v>
      </c>
      <c r="P1428" s="6">
        <v>0</v>
      </c>
      <c r="Q1428" s="43">
        <f>VLOOKUP(Tabla1[[#This Row],[PAGO DIA]],DIAS!A:F,6,0)</f>
        <v>46196</v>
      </c>
      <c r="R1428" s="6">
        <v>0</v>
      </c>
      <c r="S1428" s="43">
        <f>VLOOKUP(Tabla1[[#This Row],[PAGO DIA]],DIAS!A:G,7,0)</f>
        <v>46231</v>
      </c>
      <c r="T1428" s="6">
        <v>0</v>
      </c>
      <c r="U1428" s="43">
        <f>VLOOKUP(Tabla1[[#This Row],[PAGO DIA]],DIAS!A:H,8,0)</f>
        <v>46259</v>
      </c>
      <c r="V1428" s="6">
        <v>0</v>
      </c>
      <c r="W1428" s="43">
        <f>VLOOKUP(Tabla1[[#This Row],[PAGO DIA]],DIAS!A:I,9,0)</f>
        <v>46287</v>
      </c>
      <c r="X1428" s="6">
        <v>0</v>
      </c>
      <c r="Y1428" s="43">
        <f>VLOOKUP(Tabla1[[#This Row],[PAGO DIA]],DIAS!A:J,10,0)</f>
        <v>46322</v>
      </c>
      <c r="Z1428" s="6">
        <v>0</v>
      </c>
      <c r="AA1428" s="43">
        <f>VLOOKUP(Tabla1[[#This Row],[PAGO DIA]],DIAS!A:K,11,0)</f>
        <v>46350</v>
      </c>
      <c r="AB1428" s="6">
        <v>0</v>
      </c>
      <c r="AC1428" s="43">
        <f>VLOOKUP(Tabla1[[#This Row],[PAGO DIA]],DIAS!A:M,12,0)</f>
        <v>46379</v>
      </c>
      <c r="AD14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29" spans="1:30">
      <c r="A1429" s="3">
        <v>12500</v>
      </c>
      <c r="B1429" s="3" t="s">
        <v>510</v>
      </c>
      <c r="C1429" s="3" t="s">
        <v>1147</v>
      </c>
      <c r="D1429" s="3" t="s">
        <v>1789</v>
      </c>
      <c r="E1429" s="3" t="s">
        <v>1790</v>
      </c>
      <c r="F1429" s="42" t="s">
        <v>562</v>
      </c>
      <c r="G1429" s="3"/>
      <c r="H1429" s="6">
        <v>0</v>
      </c>
      <c r="I1429" s="41">
        <f>VLOOKUP(Tabla1[[#This Row],[PAGO DIA]],DIAS!A:B,2,0)</f>
        <v>46078</v>
      </c>
      <c r="J1429" s="6">
        <v>0</v>
      </c>
      <c r="K1429" s="43">
        <f>VLOOKUP(Tabla1[[#This Row],[PAGO DIA]],DIAS!A:C,3,0)</f>
        <v>46105</v>
      </c>
      <c r="L1429" s="6">
        <v>0</v>
      </c>
      <c r="M1429" s="41">
        <f>VLOOKUP(Tabla1[[#This Row],[PAGO DIA]],DIAS!A:D,4,0)</f>
        <v>46140</v>
      </c>
      <c r="N1429" s="6">
        <v>0</v>
      </c>
      <c r="O1429" s="43">
        <f>VLOOKUP(Tabla1[[#This Row],[PAGO DIA]],DIAS!A:E,5,0)</f>
        <v>46168</v>
      </c>
      <c r="P1429" s="6">
        <v>0</v>
      </c>
      <c r="Q1429" s="43">
        <f>VLOOKUP(Tabla1[[#This Row],[PAGO DIA]],DIAS!A:F,6,0)</f>
        <v>46196</v>
      </c>
      <c r="R1429" s="6">
        <v>0</v>
      </c>
      <c r="S1429" s="43">
        <f>VLOOKUP(Tabla1[[#This Row],[PAGO DIA]],DIAS!A:G,7,0)</f>
        <v>46231</v>
      </c>
      <c r="T1429" s="6">
        <v>0</v>
      </c>
      <c r="U1429" s="43">
        <f>VLOOKUP(Tabla1[[#This Row],[PAGO DIA]],DIAS!A:H,8,0)</f>
        <v>46259</v>
      </c>
      <c r="V1429" s="6">
        <v>0</v>
      </c>
      <c r="W1429" s="43">
        <f>VLOOKUP(Tabla1[[#This Row],[PAGO DIA]],DIAS!A:I,9,0)</f>
        <v>46287</v>
      </c>
      <c r="X1429" s="6">
        <v>0</v>
      </c>
      <c r="Y1429" s="43">
        <f>VLOOKUP(Tabla1[[#This Row],[PAGO DIA]],DIAS!A:J,10,0)</f>
        <v>46322</v>
      </c>
      <c r="Z1429" s="6">
        <v>0</v>
      </c>
      <c r="AA1429" s="43">
        <f>VLOOKUP(Tabla1[[#This Row],[PAGO DIA]],DIAS!A:K,11,0)</f>
        <v>46350</v>
      </c>
      <c r="AB1429" s="6">
        <v>0</v>
      </c>
      <c r="AC1429" s="43">
        <f>VLOOKUP(Tabla1[[#This Row],[PAGO DIA]],DIAS!A:M,12,0)</f>
        <v>46379</v>
      </c>
      <c r="AD14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0" spans="1:30">
      <c r="A1430" s="3">
        <v>10984</v>
      </c>
      <c r="B1430" s="3" t="s">
        <v>510</v>
      </c>
      <c r="C1430" s="3" t="s">
        <v>576</v>
      </c>
      <c r="D1430" s="3" t="s">
        <v>1868</v>
      </c>
      <c r="E1430" s="3" t="s">
        <v>1964</v>
      </c>
      <c r="F1430" s="42" t="s">
        <v>562</v>
      </c>
      <c r="G1430" s="3"/>
      <c r="H1430" s="6">
        <v>0</v>
      </c>
      <c r="I1430" s="41">
        <f>VLOOKUP(Tabla1[[#This Row],[PAGO DIA]],DIAS!A:B,2,0)</f>
        <v>46078</v>
      </c>
      <c r="J1430" s="6">
        <v>0</v>
      </c>
      <c r="K1430" s="43">
        <f>VLOOKUP(Tabla1[[#This Row],[PAGO DIA]],DIAS!A:C,3,0)</f>
        <v>46105</v>
      </c>
      <c r="L1430" s="6">
        <v>0</v>
      </c>
      <c r="M1430" s="41">
        <f>VLOOKUP(Tabla1[[#This Row],[PAGO DIA]],DIAS!A:D,4,0)</f>
        <v>46140</v>
      </c>
      <c r="N1430" s="6">
        <v>0</v>
      </c>
      <c r="O1430" s="43">
        <f>VLOOKUP(Tabla1[[#This Row],[PAGO DIA]],DIAS!A:E,5,0)</f>
        <v>46168</v>
      </c>
      <c r="P1430" s="6">
        <v>0</v>
      </c>
      <c r="Q1430" s="43">
        <f>VLOOKUP(Tabla1[[#This Row],[PAGO DIA]],DIAS!A:F,6,0)</f>
        <v>46196</v>
      </c>
      <c r="R1430" s="6">
        <v>0</v>
      </c>
      <c r="S1430" s="43">
        <f>VLOOKUP(Tabla1[[#This Row],[PAGO DIA]],DIAS!A:G,7,0)</f>
        <v>46231</v>
      </c>
      <c r="T1430" s="6">
        <v>0</v>
      </c>
      <c r="U1430" s="43">
        <f>VLOOKUP(Tabla1[[#This Row],[PAGO DIA]],DIAS!A:H,8,0)</f>
        <v>46259</v>
      </c>
      <c r="V1430" s="6">
        <v>0</v>
      </c>
      <c r="W1430" s="43">
        <f>VLOOKUP(Tabla1[[#This Row],[PAGO DIA]],DIAS!A:I,9,0)</f>
        <v>46287</v>
      </c>
      <c r="X1430" s="6">
        <v>0</v>
      </c>
      <c r="Y1430" s="43">
        <f>VLOOKUP(Tabla1[[#This Row],[PAGO DIA]],DIAS!A:J,10,0)</f>
        <v>46322</v>
      </c>
      <c r="Z1430" s="6">
        <v>0</v>
      </c>
      <c r="AA1430" s="43">
        <f>VLOOKUP(Tabla1[[#This Row],[PAGO DIA]],DIAS!A:K,11,0)</f>
        <v>46350</v>
      </c>
      <c r="AB1430" s="6">
        <v>0</v>
      </c>
      <c r="AC1430" s="43">
        <f>VLOOKUP(Tabla1[[#This Row],[PAGO DIA]],DIAS!A:M,12,0)</f>
        <v>46379</v>
      </c>
      <c r="AD14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1" spans="1:30">
      <c r="A1431" s="3">
        <v>11196</v>
      </c>
      <c r="B1431" s="3" t="s">
        <v>510</v>
      </c>
      <c r="C1431" s="3" t="s">
        <v>576</v>
      </c>
      <c r="D1431" s="3" t="s">
        <v>1868</v>
      </c>
      <c r="E1431" s="3" t="s">
        <v>1965</v>
      </c>
      <c r="F1431" s="42" t="s">
        <v>562</v>
      </c>
      <c r="G1431" s="3" t="s">
        <v>1966</v>
      </c>
      <c r="H1431" s="6">
        <v>0</v>
      </c>
      <c r="I1431" s="41">
        <f>VLOOKUP(Tabla1[[#This Row],[PAGO DIA]],DIAS!A:B,2,0)</f>
        <v>46078</v>
      </c>
      <c r="J1431" s="6">
        <v>0</v>
      </c>
      <c r="K1431" s="43">
        <f>VLOOKUP(Tabla1[[#This Row],[PAGO DIA]],DIAS!A:C,3,0)</f>
        <v>46105</v>
      </c>
      <c r="L1431" s="6">
        <v>0</v>
      </c>
      <c r="M1431" s="41">
        <f>VLOOKUP(Tabla1[[#This Row],[PAGO DIA]],DIAS!A:D,4,0)</f>
        <v>46140</v>
      </c>
      <c r="N1431" s="6">
        <v>0</v>
      </c>
      <c r="O1431" s="43">
        <f>VLOOKUP(Tabla1[[#This Row],[PAGO DIA]],DIAS!A:E,5,0)</f>
        <v>46168</v>
      </c>
      <c r="P1431" s="6">
        <v>0</v>
      </c>
      <c r="Q1431" s="43">
        <f>VLOOKUP(Tabla1[[#This Row],[PAGO DIA]],DIAS!A:F,6,0)</f>
        <v>46196</v>
      </c>
      <c r="R1431" s="6">
        <v>0</v>
      </c>
      <c r="S1431" s="43">
        <f>VLOOKUP(Tabla1[[#This Row],[PAGO DIA]],DIAS!A:G,7,0)</f>
        <v>46231</v>
      </c>
      <c r="T1431" s="6">
        <v>0</v>
      </c>
      <c r="U1431" s="43">
        <f>VLOOKUP(Tabla1[[#This Row],[PAGO DIA]],DIAS!A:H,8,0)</f>
        <v>46259</v>
      </c>
      <c r="V1431" s="6">
        <v>0</v>
      </c>
      <c r="W1431" s="43">
        <f>VLOOKUP(Tabla1[[#This Row],[PAGO DIA]],DIAS!A:I,9,0)</f>
        <v>46287</v>
      </c>
      <c r="X1431" s="6">
        <v>0</v>
      </c>
      <c r="Y1431" s="43">
        <f>VLOOKUP(Tabla1[[#This Row],[PAGO DIA]],DIAS!A:J,10,0)</f>
        <v>46322</v>
      </c>
      <c r="Z1431" s="6">
        <v>0</v>
      </c>
      <c r="AA1431" s="43">
        <f>VLOOKUP(Tabla1[[#This Row],[PAGO DIA]],DIAS!A:K,11,0)</f>
        <v>46350</v>
      </c>
      <c r="AB1431" s="6">
        <v>0</v>
      </c>
      <c r="AC1431" s="43">
        <f>VLOOKUP(Tabla1[[#This Row],[PAGO DIA]],DIAS!A:M,12,0)</f>
        <v>46379</v>
      </c>
      <c r="AD14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2" spans="1:30">
      <c r="A1432" s="3">
        <v>12507</v>
      </c>
      <c r="B1432" s="3" t="s">
        <v>510</v>
      </c>
      <c r="C1432" s="3" t="s">
        <v>1941</v>
      </c>
      <c r="D1432" s="3" t="s">
        <v>1941</v>
      </c>
      <c r="E1432" s="3" t="s">
        <v>1967</v>
      </c>
      <c r="F1432" s="42" t="s">
        <v>562</v>
      </c>
      <c r="G1432" s="3" t="s">
        <v>1968</v>
      </c>
      <c r="H1432" s="6">
        <v>0</v>
      </c>
      <c r="I1432" s="41">
        <f>VLOOKUP(Tabla1[[#This Row],[PAGO DIA]],DIAS!A:B,2,0)</f>
        <v>46078</v>
      </c>
      <c r="J1432" s="6">
        <v>0</v>
      </c>
      <c r="K1432" s="43">
        <f>VLOOKUP(Tabla1[[#This Row],[PAGO DIA]],DIAS!A:C,3,0)</f>
        <v>46105</v>
      </c>
      <c r="L1432" s="6">
        <v>0</v>
      </c>
      <c r="M1432" s="41">
        <f>VLOOKUP(Tabla1[[#This Row],[PAGO DIA]],DIAS!A:D,4,0)</f>
        <v>46140</v>
      </c>
      <c r="N1432" s="6">
        <v>0</v>
      </c>
      <c r="O1432" s="43">
        <f>VLOOKUP(Tabla1[[#This Row],[PAGO DIA]],DIAS!A:E,5,0)</f>
        <v>46168</v>
      </c>
      <c r="P1432" s="6">
        <v>0</v>
      </c>
      <c r="Q1432" s="43">
        <f>VLOOKUP(Tabla1[[#This Row],[PAGO DIA]],DIAS!A:F,6,0)</f>
        <v>46196</v>
      </c>
      <c r="R1432" s="6">
        <v>0</v>
      </c>
      <c r="S1432" s="43">
        <f>VLOOKUP(Tabla1[[#This Row],[PAGO DIA]],DIAS!A:G,7,0)</f>
        <v>46231</v>
      </c>
      <c r="T1432" s="6">
        <v>0</v>
      </c>
      <c r="U1432" s="43">
        <f>VLOOKUP(Tabla1[[#This Row],[PAGO DIA]],DIAS!A:H,8,0)</f>
        <v>46259</v>
      </c>
      <c r="V1432" s="6">
        <v>0</v>
      </c>
      <c r="W1432" s="43">
        <f>VLOOKUP(Tabla1[[#This Row],[PAGO DIA]],DIAS!A:I,9,0)</f>
        <v>46287</v>
      </c>
      <c r="X1432" s="6">
        <v>0</v>
      </c>
      <c r="Y1432" s="43">
        <f>VLOOKUP(Tabla1[[#This Row],[PAGO DIA]],DIAS!A:J,10,0)</f>
        <v>46322</v>
      </c>
      <c r="Z1432" s="6">
        <v>0</v>
      </c>
      <c r="AA1432" s="43">
        <f>VLOOKUP(Tabla1[[#This Row],[PAGO DIA]],DIAS!A:K,11,0)</f>
        <v>46350</v>
      </c>
      <c r="AB1432" s="6">
        <v>0</v>
      </c>
      <c r="AC1432" s="43">
        <f>VLOOKUP(Tabla1[[#This Row],[PAGO DIA]],DIAS!A:M,12,0)</f>
        <v>46379</v>
      </c>
      <c r="AD14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3" spans="1:30">
      <c r="A1433" s="3">
        <v>11665</v>
      </c>
      <c r="B1433" s="3" t="s">
        <v>510</v>
      </c>
      <c r="C1433" s="3" t="s">
        <v>539</v>
      </c>
      <c r="D1433" s="3" t="s">
        <v>1969</v>
      </c>
      <c r="E1433" s="3" t="s">
        <v>1970</v>
      </c>
      <c r="F1433" s="42" t="s">
        <v>562</v>
      </c>
      <c r="G1433" s="3"/>
      <c r="H1433" s="6">
        <v>0</v>
      </c>
      <c r="I1433" s="41">
        <f>VLOOKUP(Tabla1[[#This Row],[PAGO DIA]],DIAS!A:B,2,0)</f>
        <v>46078</v>
      </c>
      <c r="J1433" s="6">
        <v>0</v>
      </c>
      <c r="K1433" s="43">
        <f>VLOOKUP(Tabla1[[#This Row],[PAGO DIA]],DIAS!A:C,3,0)</f>
        <v>46105</v>
      </c>
      <c r="L1433" s="6">
        <v>0</v>
      </c>
      <c r="M1433" s="41">
        <f>VLOOKUP(Tabla1[[#This Row],[PAGO DIA]],DIAS!A:D,4,0)</f>
        <v>46140</v>
      </c>
      <c r="N1433" s="6">
        <v>0</v>
      </c>
      <c r="O1433" s="43">
        <f>VLOOKUP(Tabla1[[#This Row],[PAGO DIA]],DIAS!A:E,5,0)</f>
        <v>46168</v>
      </c>
      <c r="P1433" s="6">
        <v>0</v>
      </c>
      <c r="Q1433" s="43">
        <f>VLOOKUP(Tabla1[[#This Row],[PAGO DIA]],DIAS!A:F,6,0)</f>
        <v>46196</v>
      </c>
      <c r="R1433" s="6">
        <v>0</v>
      </c>
      <c r="S1433" s="43">
        <f>VLOOKUP(Tabla1[[#This Row],[PAGO DIA]],DIAS!A:G,7,0)</f>
        <v>46231</v>
      </c>
      <c r="T1433" s="6">
        <v>0</v>
      </c>
      <c r="U1433" s="43">
        <f>VLOOKUP(Tabla1[[#This Row],[PAGO DIA]],DIAS!A:H,8,0)</f>
        <v>46259</v>
      </c>
      <c r="V1433" s="6">
        <v>0</v>
      </c>
      <c r="W1433" s="43">
        <f>VLOOKUP(Tabla1[[#This Row],[PAGO DIA]],DIAS!A:I,9,0)</f>
        <v>46287</v>
      </c>
      <c r="X1433" s="6">
        <v>0</v>
      </c>
      <c r="Y1433" s="43">
        <f>VLOOKUP(Tabla1[[#This Row],[PAGO DIA]],DIAS!A:J,10,0)</f>
        <v>46322</v>
      </c>
      <c r="Z1433" s="6">
        <v>0</v>
      </c>
      <c r="AA1433" s="43">
        <f>VLOOKUP(Tabla1[[#This Row],[PAGO DIA]],DIAS!A:K,11,0)</f>
        <v>46350</v>
      </c>
      <c r="AB1433" s="6">
        <v>0</v>
      </c>
      <c r="AC1433" s="43">
        <f>VLOOKUP(Tabla1[[#This Row],[PAGO DIA]],DIAS!A:M,12,0)</f>
        <v>46379</v>
      </c>
      <c r="AD14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4" spans="1:30">
      <c r="A1434" s="3">
        <v>11184</v>
      </c>
      <c r="B1434" s="3" t="s">
        <v>510</v>
      </c>
      <c r="C1434" s="3" t="s">
        <v>1140</v>
      </c>
      <c r="D1434" s="3" t="s">
        <v>1817</v>
      </c>
      <c r="E1434" s="3" t="s">
        <v>1971</v>
      </c>
      <c r="F1434" s="42" t="s">
        <v>562</v>
      </c>
      <c r="G1434" s="3" t="s">
        <v>1819</v>
      </c>
      <c r="H1434" s="6">
        <v>0</v>
      </c>
      <c r="I1434" s="41">
        <f>VLOOKUP(Tabla1[[#This Row],[PAGO DIA]],DIAS!A:B,2,0)</f>
        <v>46078</v>
      </c>
      <c r="J1434" s="6">
        <v>0</v>
      </c>
      <c r="K1434" s="43">
        <f>VLOOKUP(Tabla1[[#This Row],[PAGO DIA]],DIAS!A:C,3,0)</f>
        <v>46105</v>
      </c>
      <c r="L1434" s="6">
        <v>0</v>
      </c>
      <c r="M1434" s="41">
        <f>VLOOKUP(Tabla1[[#This Row],[PAGO DIA]],DIAS!A:D,4,0)</f>
        <v>46140</v>
      </c>
      <c r="N1434" s="6">
        <v>0</v>
      </c>
      <c r="O1434" s="43">
        <f>VLOOKUP(Tabla1[[#This Row],[PAGO DIA]],DIAS!A:E,5,0)</f>
        <v>46168</v>
      </c>
      <c r="P1434" s="6">
        <v>0</v>
      </c>
      <c r="Q1434" s="43">
        <f>VLOOKUP(Tabla1[[#This Row],[PAGO DIA]],DIAS!A:F,6,0)</f>
        <v>46196</v>
      </c>
      <c r="R1434" s="6">
        <v>0</v>
      </c>
      <c r="S1434" s="43">
        <f>VLOOKUP(Tabla1[[#This Row],[PAGO DIA]],DIAS!A:G,7,0)</f>
        <v>46231</v>
      </c>
      <c r="T1434" s="6">
        <v>0</v>
      </c>
      <c r="U1434" s="43">
        <f>VLOOKUP(Tabla1[[#This Row],[PAGO DIA]],DIAS!A:H,8,0)</f>
        <v>46259</v>
      </c>
      <c r="V1434" s="6">
        <v>0</v>
      </c>
      <c r="W1434" s="43">
        <f>VLOOKUP(Tabla1[[#This Row],[PAGO DIA]],DIAS!A:I,9,0)</f>
        <v>46287</v>
      </c>
      <c r="X1434" s="6">
        <v>0</v>
      </c>
      <c r="Y1434" s="43">
        <f>VLOOKUP(Tabla1[[#This Row],[PAGO DIA]],DIAS!A:J,10,0)</f>
        <v>46322</v>
      </c>
      <c r="Z1434" s="6">
        <v>0</v>
      </c>
      <c r="AA1434" s="43">
        <f>VLOOKUP(Tabla1[[#This Row],[PAGO DIA]],DIAS!A:K,11,0)</f>
        <v>46350</v>
      </c>
      <c r="AB1434" s="6">
        <v>0</v>
      </c>
      <c r="AC1434" s="43">
        <f>VLOOKUP(Tabla1[[#This Row],[PAGO DIA]],DIAS!A:M,12,0)</f>
        <v>46379</v>
      </c>
      <c r="AD14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5" spans="1:30">
      <c r="A1435" s="3">
        <v>10974</v>
      </c>
      <c r="B1435" s="3" t="s">
        <v>510</v>
      </c>
      <c r="C1435" s="3" t="s">
        <v>1140</v>
      </c>
      <c r="D1435" s="3" t="s">
        <v>1817</v>
      </c>
      <c r="E1435" s="3" t="s">
        <v>1818</v>
      </c>
      <c r="F1435" s="42" t="s">
        <v>562</v>
      </c>
      <c r="G1435" s="3"/>
      <c r="H1435" s="6">
        <v>0</v>
      </c>
      <c r="I1435" s="41">
        <f>VLOOKUP(Tabla1[[#This Row],[PAGO DIA]],DIAS!A:B,2,0)</f>
        <v>46078</v>
      </c>
      <c r="J1435" s="6">
        <v>0</v>
      </c>
      <c r="K1435" s="43">
        <f>VLOOKUP(Tabla1[[#This Row],[PAGO DIA]],DIAS!A:C,3,0)</f>
        <v>46105</v>
      </c>
      <c r="L1435" s="6">
        <v>0</v>
      </c>
      <c r="M1435" s="41">
        <f>VLOOKUP(Tabla1[[#This Row],[PAGO DIA]],DIAS!A:D,4,0)</f>
        <v>46140</v>
      </c>
      <c r="N1435" s="6">
        <v>0</v>
      </c>
      <c r="O1435" s="43">
        <f>VLOOKUP(Tabla1[[#This Row],[PAGO DIA]],DIAS!A:E,5,0)</f>
        <v>46168</v>
      </c>
      <c r="P1435" s="6">
        <v>0</v>
      </c>
      <c r="Q1435" s="43">
        <f>VLOOKUP(Tabla1[[#This Row],[PAGO DIA]],DIAS!A:F,6,0)</f>
        <v>46196</v>
      </c>
      <c r="R1435" s="6">
        <v>0</v>
      </c>
      <c r="S1435" s="43">
        <f>VLOOKUP(Tabla1[[#This Row],[PAGO DIA]],DIAS!A:G,7,0)</f>
        <v>46231</v>
      </c>
      <c r="T1435" s="6">
        <v>0</v>
      </c>
      <c r="U1435" s="43">
        <f>VLOOKUP(Tabla1[[#This Row],[PAGO DIA]],DIAS!A:H,8,0)</f>
        <v>46259</v>
      </c>
      <c r="V1435" s="6">
        <v>0</v>
      </c>
      <c r="W1435" s="43">
        <f>VLOOKUP(Tabla1[[#This Row],[PAGO DIA]],DIAS!A:I,9,0)</f>
        <v>46287</v>
      </c>
      <c r="X1435" s="6">
        <v>0</v>
      </c>
      <c r="Y1435" s="43">
        <f>VLOOKUP(Tabla1[[#This Row],[PAGO DIA]],DIAS!A:J,10,0)</f>
        <v>46322</v>
      </c>
      <c r="Z1435" s="6">
        <v>0</v>
      </c>
      <c r="AA1435" s="43">
        <f>VLOOKUP(Tabla1[[#This Row],[PAGO DIA]],DIAS!A:K,11,0)</f>
        <v>46350</v>
      </c>
      <c r="AB1435" s="6">
        <v>0</v>
      </c>
      <c r="AC1435" s="43">
        <f>VLOOKUP(Tabla1[[#This Row],[PAGO DIA]],DIAS!A:M,12,0)</f>
        <v>46379</v>
      </c>
      <c r="AD14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6" spans="1:30">
      <c r="A1436" s="3">
        <v>10975</v>
      </c>
      <c r="B1436" s="3" t="s">
        <v>510</v>
      </c>
      <c r="C1436" s="3" t="s">
        <v>1140</v>
      </c>
      <c r="D1436" s="3" t="s">
        <v>1817</v>
      </c>
      <c r="E1436" s="3" t="s">
        <v>1818</v>
      </c>
      <c r="F1436" s="42" t="s">
        <v>562</v>
      </c>
      <c r="G1436" s="3"/>
      <c r="H1436" s="6">
        <v>0</v>
      </c>
      <c r="I1436" s="41">
        <f>VLOOKUP(Tabla1[[#This Row],[PAGO DIA]],DIAS!A:B,2,0)</f>
        <v>46078</v>
      </c>
      <c r="J1436" s="6">
        <v>0</v>
      </c>
      <c r="K1436" s="43">
        <f>VLOOKUP(Tabla1[[#This Row],[PAGO DIA]],DIAS!A:C,3,0)</f>
        <v>46105</v>
      </c>
      <c r="L1436" s="6">
        <v>0</v>
      </c>
      <c r="M1436" s="41">
        <f>VLOOKUP(Tabla1[[#This Row],[PAGO DIA]],DIAS!A:D,4,0)</f>
        <v>46140</v>
      </c>
      <c r="N1436" s="6">
        <v>0</v>
      </c>
      <c r="O1436" s="43">
        <f>VLOOKUP(Tabla1[[#This Row],[PAGO DIA]],DIAS!A:E,5,0)</f>
        <v>46168</v>
      </c>
      <c r="P1436" s="6">
        <v>0</v>
      </c>
      <c r="Q1436" s="43">
        <f>VLOOKUP(Tabla1[[#This Row],[PAGO DIA]],DIAS!A:F,6,0)</f>
        <v>46196</v>
      </c>
      <c r="R1436" s="6">
        <v>0</v>
      </c>
      <c r="S1436" s="43">
        <f>VLOOKUP(Tabla1[[#This Row],[PAGO DIA]],DIAS!A:G,7,0)</f>
        <v>46231</v>
      </c>
      <c r="T1436" s="6">
        <v>0</v>
      </c>
      <c r="U1436" s="43">
        <f>VLOOKUP(Tabla1[[#This Row],[PAGO DIA]],DIAS!A:H,8,0)</f>
        <v>46259</v>
      </c>
      <c r="V1436" s="6">
        <v>0</v>
      </c>
      <c r="W1436" s="43">
        <f>VLOOKUP(Tabla1[[#This Row],[PAGO DIA]],DIAS!A:I,9,0)</f>
        <v>46287</v>
      </c>
      <c r="X1436" s="6">
        <v>0</v>
      </c>
      <c r="Y1436" s="43">
        <f>VLOOKUP(Tabla1[[#This Row],[PAGO DIA]],DIAS!A:J,10,0)</f>
        <v>46322</v>
      </c>
      <c r="Z1436" s="6">
        <v>0</v>
      </c>
      <c r="AA1436" s="43">
        <f>VLOOKUP(Tabla1[[#This Row],[PAGO DIA]],DIAS!A:K,11,0)</f>
        <v>46350</v>
      </c>
      <c r="AB1436" s="6">
        <v>0</v>
      </c>
      <c r="AC1436" s="43">
        <f>VLOOKUP(Tabla1[[#This Row],[PAGO DIA]],DIAS!A:M,12,0)</f>
        <v>46379</v>
      </c>
      <c r="AD14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7" spans="1:30">
      <c r="A1437" s="3">
        <v>10999</v>
      </c>
      <c r="B1437" s="3" t="s">
        <v>510</v>
      </c>
      <c r="C1437" s="3" t="s">
        <v>1140</v>
      </c>
      <c r="D1437" s="3" t="s">
        <v>1827</v>
      </c>
      <c r="E1437" s="3" t="s">
        <v>1828</v>
      </c>
      <c r="F1437" s="42" t="s">
        <v>562</v>
      </c>
      <c r="G1437" s="3"/>
      <c r="H1437" s="6">
        <v>0</v>
      </c>
      <c r="I1437" s="41">
        <f>VLOOKUP(Tabla1[[#This Row],[PAGO DIA]],DIAS!A:B,2,0)</f>
        <v>46078</v>
      </c>
      <c r="J1437" s="6">
        <v>0</v>
      </c>
      <c r="K1437" s="43">
        <f>VLOOKUP(Tabla1[[#This Row],[PAGO DIA]],DIAS!A:C,3,0)</f>
        <v>46105</v>
      </c>
      <c r="L1437" s="6">
        <v>0</v>
      </c>
      <c r="M1437" s="41">
        <f>VLOOKUP(Tabla1[[#This Row],[PAGO DIA]],DIAS!A:D,4,0)</f>
        <v>46140</v>
      </c>
      <c r="N1437" s="6">
        <v>0</v>
      </c>
      <c r="O1437" s="43">
        <f>VLOOKUP(Tabla1[[#This Row],[PAGO DIA]],DIAS!A:E,5,0)</f>
        <v>46168</v>
      </c>
      <c r="P1437" s="6">
        <v>0</v>
      </c>
      <c r="Q1437" s="43">
        <f>VLOOKUP(Tabla1[[#This Row],[PAGO DIA]],DIAS!A:F,6,0)</f>
        <v>46196</v>
      </c>
      <c r="R1437" s="6">
        <v>0</v>
      </c>
      <c r="S1437" s="43">
        <f>VLOOKUP(Tabla1[[#This Row],[PAGO DIA]],DIAS!A:G,7,0)</f>
        <v>46231</v>
      </c>
      <c r="T1437" s="6">
        <v>0</v>
      </c>
      <c r="U1437" s="43">
        <f>VLOOKUP(Tabla1[[#This Row],[PAGO DIA]],DIAS!A:H,8,0)</f>
        <v>46259</v>
      </c>
      <c r="V1437" s="6">
        <v>0</v>
      </c>
      <c r="W1437" s="43">
        <f>VLOOKUP(Tabla1[[#This Row],[PAGO DIA]],DIAS!A:I,9,0)</f>
        <v>46287</v>
      </c>
      <c r="X1437" s="6">
        <v>0</v>
      </c>
      <c r="Y1437" s="43">
        <f>VLOOKUP(Tabla1[[#This Row],[PAGO DIA]],DIAS!A:J,10,0)</f>
        <v>46322</v>
      </c>
      <c r="Z1437" s="6">
        <v>0</v>
      </c>
      <c r="AA1437" s="43">
        <f>VLOOKUP(Tabla1[[#This Row],[PAGO DIA]],DIAS!A:K,11,0)</f>
        <v>46350</v>
      </c>
      <c r="AB1437" s="6">
        <v>0</v>
      </c>
      <c r="AC1437" s="43">
        <f>VLOOKUP(Tabla1[[#This Row],[PAGO DIA]],DIAS!A:M,12,0)</f>
        <v>46379</v>
      </c>
      <c r="AD14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8" spans="1:30">
      <c r="A1438" s="3">
        <v>11666</v>
      </c>
      <c r="B1438" s="3" t="s">
        <v>510</v>
      </c>
      <c r="C1438" s="3" t="s">
        <v>1140</v>
      </c>
      <c r="D1438" s="3" t="s">
        <v>1972</v>
      </c>
      <c r="E1438" s="3" t="s">
        <v>1828</v>
      </c>
      <c r="F1438" s="42" t="s">
        <v>562</v>
      </c>
      <c r="G1438" s="3" t="s">
        <v>1829</v>
      </c>
      <c r="H1438" s="6">
        <v>0</v>
      </c>
      <c r="I1438" s="41">
        <f>VLOOKUP(Tabla1[[#This Row],[PAGO DIA]],DIAS!A:B,2,0)</f>
        <v>46078</v>
      </c>
      <c r="J1438" s="6">
        <v>0</v>
      </c>
      <c r="K1438" s="43">
        <f>VLOOKUP(Tabla1[[#This Row],[PAGO DIA]],DIAS!A:C,3,0)</f>
        <v>46105</v>
      </c>
      <c r="L1438" s="6">
        <v>0</v>
      </c>
      <c r="M1438" s="41">
        <f>VLOOKUP(Tabla1[[#This Row],[PAGO DIA]],DIAS!A:D,4,0)</f>
        <v>46140</v>
      </c>
      <c r="N1438" s="6">
        <v>0</v>
      </c>
      <c r="O1438" s="43">
        <f>VLOOKUP(Tabla1[[#This Row],[PAGO DIA]],DIAS!A:E,5,0)</f>
        <v>46168</v>
      </c>
      <c r="P1438" s="6">
        <v>0</v>
      </c>
      <c r="Q1438" s="43">
        <f>VLOOKUP(Tabla1[[#This Row],[PAGO DIA]],DIAS!A:F,6,0)</f>
        <v>46196</v>
      </c>
      <c r="R1438" s="6">
        <v>0</v>
      </c>
      <c r="S1438" s="43">
        <f>VLOOKUP(Tabla1[[#This Row],[PAGO DIA]],DIAS!A:G,7,0)</f>
        <v>46231</v>
      </c>
      <c r="T1438" s="6">
        <v>0</v>
      </c>
      <c r="U1438" s="43">
        <f>VLOOKUP(Tabla1[[#This Row],[PAGO DIA]],DIAS!A:H,8,0)</f>
        <v>46259</v>
      </c>
      <c r="V1438" s="6">
        <v>0</v>
      </c>
      <c r="W1438" s="43">
        <f>VLOOKUP(Tabla1[[#This Row],[PAGO DIA]],DIAS!A:I,9,0)</f>
        <v>46287</v>
      </c>
      <c r="X1438" s="6">
        <v>0</v>
      </c>
      <c r="Y1438" s="43">
        <f>VLOOKUP(Tabla1[[#This Row],[PAGO DIA]],DIAS!A:J,10,0)</f>
        <v>46322</v>
      </c>
      <c r="Z1438" s="6">
        <v>0</v>
      </c>
      <c r="AA1438" s="43">
        <f>VLOOKUP(Tabla1[[#This Row],[PAGO DIA]],DIAS!A:K,11,0)</f>
        <v>46350</v>
      </c>
      <c r="AB1438" s="6">
        <v>0</v>
      </c>
      <c r="AC1438" s="43">
        <f>VLOOKUP(Tabla1[[#This Row],[PAGO DIA]],DIAS!A:M,12,0)</f>
        <v>46379</v>
      </c>
      <c r="AD14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39" spans="1:30">
      <c r="A1439" s="3">
        <v>11667</v>
      </c>
      <c r="B1439" s="3" t="s">
        <v>510</v>
      </c>
      <c r="C1439" s="3" t="s">
        <v>1140</v>
      </c>
      <c r="D1439" s="3" t="s">
        <v>1827</v>
      </c>
      <c r="E1439" s="3" t="s">
        <v>1828</v>
      </c>
      <c r="F1439" s="42" t="s">
        <v>562</v>
      </c>
      <c r="G1439" s="3" t="s">
        <v>1829</v>
      </c>
      <c r="H1439" s="6">
        <v>0</v>
      </c>
      <c r="I1439" s="41">
        <f>VLOOKUP(Tabla1[[#This Row],[PAGO DIA]],DIAS!A:B,2,0)</f>
        <v>46078</v>
      </c>
      <c r="J1439" s="6">
        <v>27000000</v>
      </c>
      <c r="K1439" s="43">
        <f>VLOOKUP(Tabla1[[#This Row],[PAGO DIA]],DIAS!A:C,3,0)</f>
        <v>46105</v>
      </c>
      <c r="L1439" s="6">
        <v>27000000</v>
      </c>
      <c r="M1439" s="41">
        <f>VLOOKUP(Tabla1[[#This Row],[PAGO DIA]],DIAS!A:D,4,0)</f>
        <v>46140</v>
      </c>
      <c r="N1439" s="6">
        <v>27000000</v>
      </c>
      <c r="O1439" s="43">
        <f>VLOOKUP(Tabla1[[#This Row],[PAGO DIA]],DIAS!A:E,5,0)</f>
        <v>46168</v>
      </c>
      <c r="P1439" s="6">
        <v>27000000</v>
      </c>
      <c r="Q1439" s="43">
        <f>VLOOKUP(Tabla1[[#This Row],[PAGO DIA]],DIAS!A:F,6,0)</f>
        <v>46196</v>
      </c>
      <c r="R1439" s="6">
        <v>27000000</v>
      </c>
      <c r="S1439" s="43">
        <f>VLOOKUP(Tabla1[[#This Row],[PAGO DIA]],DIAS!A:G,7,0)</f>
        <v>46231</v>
      </c>
      <c r="T1439" s="6">
        <v>27000000</v>
      </c>
      <c r="U1439" s="43">
        <f>VLOOKUP(Tabla1[[#This Row],[PAGO DIA]],DIAS!A:H,8,0)</f>
        <v>46259</v>
      </c>
      <c r="V1439" s="6">
        <v>27000000</v>
      </c>
      <c r="W1439" s="43">
        <f>VLOOKUP(Tabla1[[#This Row],[PAGO DIA]],DIAS!A:I,9,0)</f>
        <v>46287</v>
      </c>
      <c r="X1439" s="6">
        <v>27000000</v>
      </c>
      <c r="Y1439" s="43">
        <f>VLOOKUP(Tabla1[[#This Row],[PAGO DIA]],DIAS!A:J,10,0)</f>
        <v>46322</v>
      </c>
      <c r="Z1439" s="6">
        <v>27000000</v>
      </c>
      <c r="AA1439" s="43">
        <f>VLOOKUP(Tabla1[[#This Row],[PAGO DIA]],DIAS!A:K,11,0)</f>
        <v>46350</v>
      </c>
      <c r="AB1439" s="6">
        <v>27000000</v>
      </c>
      <c r="AC1439" s="43">
        <f>VLOOKUP(Tabla1[[#This Row],[PAGO DIA]],DIAS!A:M,12,0)</f>
        <v>46379</v>
      </c>
      <c r="AD14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270000000</v>
      </c>
    </row>
    <row r="1440" spans="1:30">
      <c r="A1440" s="3">
        <v>10953</v>
      </c>
      <c r="B1440" s="3" t="s">
        <v>510</v>
      </c>
      <c r="C1440" s="3" t="s">
        <v>1147</v>
      </c>
      <c r="D1440" s="3" t="s">
        <v>1801</v>
      </c>
      <c r="E1440" s="3" t="s">
        <v>1802</v>
      </c>
      <c r="F1440" s="42" t="s">
        <v>562</v>
      </c>
      <c r="G1440" s="3"/>
      <c r="H1440" s="6">
        <v>0</v>
      </c>
      <c r="I1440" s="41">
        <f>VLOOKUP(Tabla1[[#This Row],[PAGO DIA]],DIAS!A:B,2,0)</f>
        <v>46078</v>
      </c>
      <c r="J1440" s="6">
        <v>0</v>
      </c>
      <c r="K1440" s="43">
        <f>VLOOKUP(Tabla1[[#This Row],[PAGO DIA]],DIAS!A:C,3,0)</f>
        <v>46105</v>
      </c>
      <c r="L1440" s="6">
        <v>0</v>
      </c>
      <c r="M1440" s="41">
        <f>VLOOKUP(Tabla1[[#This Row],[PAGO DIA]],DIAS!A:D,4,0)</f>
        <v>46140</v>
      </c>
      <c r="N1440" s="6">
        <v>0</v>
      </c>
      <c r="O1440" s="43">
        <f>VLOOKUP(Tabla1[[#This Row],[PAGO DIA]],DIAS!A:E,5,0)</f>
        <v>46168</v>
      </c>
      <c r="P1440" s="6">
        <v>0</v>
      </c>
      <c r="Q1440" s="43">
        <f>VLOOKUP(Tabla1[[#This Row],[PAGO DIA]],DIAS!A:F,6,0)</f>
        <v>46196</v>
      </c>
      <c r="R1440" s="6">
        <v>0</v>
      </c>
      <c r="S1440" s="43">
        <f>VLOOKUP(Tabla1[[#This Row],[PAGO DIA]],DIAS!A:G,7,0)</f>
        <v>46231</v>
      </c>
      <c r="T1440" s="6">
        <v>0</v>
      </c>
      <c r="U1440" s="43">
        <f>VLOOKUP(Tabla1[[#This Row],[PAGO DIA]],DIAS!A:H,8,0)</f>
        <v>46259</v>
      </c>
      <c r="V1440" s="6">
        <v>0</v>
      </c>
      <c r="W1440" s="43">
        <f>VLOOKUP(Tabla1[[#This Row],[PAGO DIA]],DIAS!A:I,9,0)</f>
        <v>46287</v>
      </c>
      <c r="X1440" s="6">
        <v>0</v>
      </c>
      <c r="Y1440" s="43">
        <f>VLOOKUP(Tabla1[[#This Row],[PAGO DIA]],DIAS!A:J,10,0)</f>
        <v>46322</v>
      </c>
      <c r="Z1440" s="6">
        <v>0</v>
      </c>
      <c r="AA1440" s="43">
        <f>VLOOKUP(Tabla1[[#This Row],[PAGO DIA]],DIAS!A:K,11,0)</f>
        <v>46350</v>
      </c>
      <c r="AB1440" s="6">
        <v>0</v>
      </c>
      <c r="AC1440" s="43">
        <f>VLOOKUP(Tabla1[[#This Row],[PAGO DIA]],DIAS!A:M,12,0)</f>
        <v>46379</v>
      </c>
      <c r="AD14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1" spans="1:30">
      <c r="A1441" s="3">
        <v>11669</v>
      </c>
      <c r="B1441" s="3" t="s">
        <v>510</v>
      </c>
      <c r="C1441" s="3" t="s">
        <v>576</v>
      </c>
      <c r="D1441" s="3" t="s">
        <v>1868</v>
      </c>
      <c r="E1441" s="3" t="s">
        <v>1973</v>
      </c>
      <c r="F1441" s="42" t="s">
        <v>562</v>
      </c>
      <c r="G1441" s="3"/>
      <c r="H1441" s="6">
        <v>0</v>
      </c>
      <c r="I1441" s="41">
        <f>VLOOKUP(Tabla1[[#This Row],[PAGO DIA]],DIAS!A:B,2,0)</f>
        <v>46078</v>
      </c>
      <c r="J1441" s="6">
        <v>0</v>
      </c>
      <c r="K1441" s="43">
        <f>VLOOKUP(Tabla1[[#This Row],[PAGO DIA]],DIAS!A:C,3,0)</f>
        <v>46105</v>
      </c>
      <c r="L1441" s="6">
        <v>0</v>
      </c>
      <c r="M1441" s="41">
        <f>VLOOKUP(Tabla1[[#This Row],[PAGO DIA]],DIAS!A:D,4,0)</f>
        <v>46140</v>
      </c>
      <c r="N1441" s="6">
        <v>0</v>
      </c>
      <c r="O1441" s="43">
        <f>VLOOKUP(Tabla1[[#This Row],[PAGO DIA]],DIAS!A:E,5,0)</f>
        <v>46168</v>
      </c>
      <c r="P1441" s="6">
        <v>0</v>
      </c>
      <c r="Q1441" s="43">
        <f>VLOOKUP(Tabla1[[#This Row],[PAGO DIA]],DIAS!A:F,6,0)</f>
        <v>46196</v>
      </c>
      <c r="R1441" s="6">
        <v>0</v>
      </c>
      <c r="S1441" s="43">
        <f>VLOOKUP(Tabla1[[#This Row],[PAGO DIA]],DIAS!A:G,7,0)</f>
        <v>46231</v>
      </c>
      <c r="T1441" s="6">
        <v>0</v>
      </c>
      <c r="U1441" s="43">
        <f>VLOOKUP(Tabla1[[#This Row],[PAGO DIA]],DIAS!A:H,8,0)</f>
        <v>46259</v>
      </c>
      <c r="V1441" s="6">
        <v>0</v>
      </c>
      <c r="W1441" s="43">
        <f>VLOOKUP(Tabla1[[#This Row],[PAGO DIA]],DIAS!A:I,9,0)</f>
        <v>46287</v>
      </c>
      <c r="X1441" s="6">
        <v>0</v>
      </c>
      <c r="Y1441" s="43">
        <f>VLOOKUP(Tabla1[[#This Row],[PAGO DIA]],DIAS!A:J,10,0)</f>
        <v>46322</v>
      </c>
      <c r="Z1441" s="6">
        <v>0</v>
      </c>
      <c r="AA1441" s="43">
        <f>VLOOKUP(Tabla1[[#This Row],[PAGO DIA]],DIAS!A:K,11,0)</f>
        <v>46350</v>
      </c>
      <c r="AB1441" s="6">
        <v>0</v>
      </c>
      <c r="AC1441" s="43">
        <f>VLOOKUP(Tabla1[[#This Row],[PAGO DIA]],DIAS!A:M,12,0)</f>
        <v>46379</v>
      </c>
      <c r="AD14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2" spans="1:30">
      <c r="A1442" s="3">
        <v>12858</v>
      </c>
      <c r="B1442" s="3" t="s">
        <v>510</v>
      </c>
      <c r="C1442" s="3"/>
      <c r="D1442" s="3" t="s">
        <v>1854</v>
      </c>
      <c r="E1442" s="3" t="s">
        <v>1973</v>
      </c>
      <c r="F1442" s="42" t="s">
        <v>562</v>
      </c>
      <c r="G1442" s="3"/>
      <c r="H1442" s="6">
        <v>0</v>
      </c>
      <c r="I1442" s="41">
        <f>VLOOKUP(Tabla1[[#This Row],[PAGO DIA]],DIAS!A:B,2,0)</f>
        <v>46078</v>
      </c>
      <c r="J1442" s="6">
        <v>7000000</v>
      </c>
      <c r="K1442" s="43">
        <f>VLOOKUP(Tabla1[[#This Row],[PAGO DIA]],DIAS!A:C,3,0)</f>
        <v>46105</v>
      </c>
      <c r="L1442" s="6">
        <v>7000000</v>
      </c>
      <c r="M1442" s="41">
        <f>VLOOKUP(Tabla1[[#This Row],[PAGO DIA]],DIAS!A:D,4,0)</f>
        <v>46140</v>
      </c>
      <c r="N1442" s="6">
        <v>0</v>
      </c>
      <c r="O1442" s="43">
        <f>VLOOKUP(Tabla1[[#This Row],[PAGO DIA]],DIAS!A:E,5,0)</f>
        <v>46168</v>
      </c>
      <c r="P1442" s="6">
        <v>0</v>
      </c>
      <c r="Q1442" s="43">
        <f>VLOOKUP(Tabla1[[#This Row],[PAGO DIA]],DIAS!A:F,6,0)</f>
        <v>46196</v>
      </c>
      <c r="R1442" s="6">
        <v>0</v>
      </c>
      <c r="S1442" s="43">
        <f>VLOOKUP(Tabla1[[#This Row],[PAGO DIA]],DIAS!A:G,7,0)</f>
        <v>46231</v>
      </c>
      <c r="T1442" s="6">
        <v>0</v>
      </c>
      <c r="U1442" s="43">
        <f>VLOOKUP(Tabla1[[#This Row],[PAGO DIA]],DIAS!A:H,8,0)</f>
        <v>46259</v>
      </c>
      <c r="V1442" s="6">
        <v>0</v>
      </c>
      <c r="W1442" s="43">
        <f>VLOOKUP(Tabla1[[#This Row],[PAGO DIA]],DIAS!A:I,9,0)</f>
        <v>46287</v>
      </c>
      <c r="X1442" s="6">
        <v>0</v>
      </c>
      <c r="Y1442" s="43">
        <f>VLOOKUP(Tabla1[[#This Row],[PAGO DIA]],DIAS!A:J,10,0)</f>
        <v>46322</v>
      </c>
      <c r="Z1442" s="6">
        <v>0</v>
      </c>
      <c r="AA1442" s="43">
        <f>VLOOKUP(Tabla1[[#This Row],[PAGO DIA]],DIAS!A:K,11,0)</f>
        <v>46350</v>
      </c>
      <c r="AB1442" s="6">
        <v>0</v>
      </c>
      <c r="AC1442" s="43">
        <f>VLOOKUP(Tabla1[[#This Row],[PAGO DIA]],DIAS!A:M,12,0)</f>
        <v>46379</v>
      </c>
      <c r="AD14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14000000</v>
      </c>
    </row>
    <row r="1443" spans="1:30">
      <c r="A1443" s="3">
        <v>10958</v>
      </c>
      <c r="B1443" s="3" t="s">
        <v>510</v>
      </c>
      <c r="C1443" s="3" t="s">
        <v>1147</v>
      </c>
      <c r="D1443" s="3" t="s">
        <v>1148</v>
      </c>
      <c r="E1443" s="3" t="s">
        <v>1800</v>
      </c>
      <c r="F1443" s="42" t="s">
        <v>562</v>
      </c>
      <c r="G1443" s="3"/>
      <c r="H1443" s="6">
        <v>0</v>
      </c>
      <c r="I1443" s="41">
        <f>VLOOKUP(Tabla1[[#This Row],[PAGO DIA]],DIAS!A:B,2,0)</f>
        <v>46078</v>
      </c>
      <c r="J1443" s="6">
        <v>0</v>
      </c>
      <c r="K1443" s="43">
        <f>VLOOKUP(Tabla1[[#This Row],[PAGO DIA]],DIAS!A:C,3,0)</f>
        <v>46105</v>
      </c>
      <c r="L1443" s="6">
        <v>0</v>
      </c>
      <c r="M1443" s="41">
        <f>VLOOKUP(Tabla1[[#This Row],[PAGO DIA]],DIAS!A:D,4,0)</f>
        <v>46140</v>
      </c>
      <c r="N1443" s="6">
        <v>0</v>
      </c>
      <c r="O1443" s="43">
        <f>VLOOKUP(Tabla1[[#This Row],[PAGO DIA]],DIAS!A:E,5,0)</f>
        <v>46168</v>
      </c>
      <c r="P1443" s="6">
        <v>0</v>
      </c>
      <c r="Q1443" s="43">
        <f>VLOOKUP(Tabla1[[#This Row],[PAGO DIA]],DIAS!A:F,6,0)</f>
        <v>46196</v>
      </c>
      <c r="R1443" s="6">
        <v>0</v>
      </c>
      <c r="S1443" s="43">
        <f>VLOOKUP(Tabla1[[#This Row],[PAGO DIA]],DIAS!A:G,7,0)</f>
        <v>46231</v>
      </c>
      <c r="T1443" s="6">
        <v>0</v>
      </c>
      <c r="U1443" s="43">
        <f>VLOOKUP(Tabla1[[#This Row],[PAGO DIA]],DIAS!A:H,8,0)</f>
        <v>46259</v>
      </c>
      <c r="V1443" s="6">
        <v>0</v>
      </c>
      <c r="W1443" s="43">
        <f>VLOOKUP(Tabla1[[#This Row],[PAGO DIA]],DIAS!A:I,9,0)</f>
        <v>46287</v>
      </c>
      <c r="X1443" s="6">
        <v>0</v>
      </c>
      <c r="Y1443" s="43">
        <f>VLOOKUP(Tabla1[[#This Row],[PAGO DIA]],DIAS!A:J,10,0)</f>
        <v>46322</v>
      </c>
      <c r="Z1443" s="6">
        <v>0</v>
      </c>
      <c r="AA1443" s="43">
        <f>VLOOKUP(Tabla1[[#This Row],[PAGO DIA]],DIAS!A:K,11,0)</f>
        <v>46350</v>
      </c>
      <c r="AB1443" s="6">
        <v>0</v>
      </c>
      <c r="AC1443" s="43">
        <f>VLOOKUP(Tabla1[[#This Row],[PAGO DIA]],DIAS!A:M,12,0)</f>
        <v>46379</v>
      </c>
      <c r="AD14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4" spans="1:30">
      <c r="A1444" s="3">
        <v>11295</v>
      </c>
      <c r="B1444" s="3" t="s">
        <v>510</v>
      </c>
      <c r="C1444" s="3" t="s">
        <v>576</v>
      </c>
      <c r="D1444" s="3" t="s">
        <v>1974</v>
      </c>
      <c r="E1444" s="3" t="s">
        <v>1550</v>
      </c>
      <c r="F1444" s="42" t="s">
        <v>562</v>
      </c>
      <c r="G1444" s="3" t="s">
        <v>1975</v>
      </c>
      <c r="H1444" s="6">
        <v>0</v>
      </c>
      <c r="I1444" s="41">
        <f>VLOOKUP(Tabla1[[#This Row],[PAGO DIA]],DIAS!A:B,2,0)</f>
        <v>46078</v>
      </c>
      <c r="J1444" s="6">
        <v>0</v>
      </c>
      <c r="K1444" s="43">
        <f>VLOOKUP(Tabla1[[#This Row],[PAGO DIA]],DIAS!A:C,3,0)</f>
        <v>46105</v>
      </c>
      <c r="L1444" s="6">
        <v>0</v>
      </c>
      <c r="M1444" s="41">
        <f>VLOOKUP(Tabla1[[#This Row],[PAGO DIA]],DIAS!A:D,4,0)</f>
        <v>46140</v>
      </c>
      <c r="N1444" s="6">
        <v>0</v>
      </c>
      <c r="O1444" s="43">
        <f>VLOOKUP(Tabla1[[#This Row],[PAGO DIA]],DIAS!A:E,5,0)</f>
        <v>46168</v>
      </c>
      <c r="P1444" s="6">
        <v>0</v>
      </c>
      <c r="Q1444" s="43">
        <f>VLOOKUP(Tabla1[[#This Row],[PAGO DIA]],DIAS!A:F,6,0)</f>
        <v>46196</v>
      </c>
      <c r="R1444" s="6">
        <v>0</v>
      </c>
      <c r="S1444" s="43">
        <f>VLOOKUP(Tabla1[[#This Row],[PAGO DIA]],DIAS!A:G,7,0)</f>
        <v>46231</v>
      </c>
      <c r="T1444" s="6">
        <v>0</v>
      </c>
      <c r="U1444" s="43">
        <f>VLOOKUP(Tabla1[[#This Row],[PAGO DIA]],DIAS!A:H,8,0)</f>
        <v>46259</v>
      </c>
      <c r="V1444" s="6">
        <v>0</v>
      </c>
      <c r="W1444" s="43">
        <f>VLOOKUP(Tabla1[[#This Row],[PAGO DIA]],DIAS!A:I,9,0)</f>
        <v>46287</v>
      </c>
      <c r="X1444" s="6">
        <v>0</v>
      </c>
      <c r="Y1444" s="43">
        <f>VLOOKUP(Tabla1[[#This Row],[PAGO DIA]],DIAS!A:J,10,0)</f>
        <v>46322</v>
      </c>
      <c r="Z1444" s="6">
        <v>0</v>
      </c>
      <c r="AA1444" s="43">
        <f>VLOOKUP(Tabla1[[#This Row],[PAGO DIA]],DIAS!A:K,11,0)</f>
        <v>46350</v>
      </c>
      <c r="AB1444" s="6">
        <v>0</v>
      </c>
      <c r="AC1444" s="43">
        <f>VLOOKUP(Tabla1[[#This Row],[PAGO DIA]],DIAS!A:M,12,0)</f>
        <v>46379</v>
      </c>
      <c r="AD14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5" spans="1:30">
      <c r="A1445" s="3">
        <v>11418</v>
      </c>
      <c r="B1445" s="3" t="s">
        <v>510</v>
      </c>
      <c r="C1445" s="3" t="s">
        <v>576</v>
      </c>
      <c r="D1445" s="3" t="s">
        <v>1974</v>
      </c>
      <c r="E1445" s="3" t="s">
        <v>1550</v>
      </c>
      <c r="F1445" s="42" t="s">
        <v>562</v>
      </c>
      <c r="G1445" s="3" t="s">
        <v>1975</v>
      </c>
      <c r="H1445" s="6">
        <v>0</v>
      </c>
      <c r="I1445" s="41">
        <f>VLOOKUP(Tabla1[[#This Row],[PAGO DIA]],DIAS!A:B,2,0)</f>
        <v>46078</v>
      </c>
      <c r="J1445" s="6">
        <v>0</v>
      </c>
      <c r="K1445" s="43">
        <f>VLOOKUP(Tabla1[[#This Row],[PAGO DIA]],DIAS!A:C,3,0)</f>
        <v>46105</v>
      </c>
      <c r="L1445" s="6">
        <v>0</v>
      </c>
      <c r="M1445" s="41">
        <f>VLOOKUP(Tabla1[[#This Row],[PAGO DIA]],DIAS!A:D,4,0)</f>
        <v>46140</v>
      </c>
      <c r="N1445" s="6">
        <v>0</v>
      </c>
      <c r="O1445" s="43">
        <f>VLOOKUP(Tabla1[[#This Row],[PAGO DIA]],DIAS!A:E,5,0)</f>
        <v>46168</v>
      </c>
      <c r="P1445" s="6">
        <v>0</v>
      </c>
      <c r="Q1445" s="43">
        <f>VLOOKUP(Tabla1[[#This Row],[PAGO DIA]],DIAS!A:F,6,0)</f>
        <v>46196</v>
      </c>
      <c r="R1445" s="6">
        <v>0</v>
      </c>
      <c r="S1445" s="43">
        <f>VLOOKUP(Tabla1[[#This Row],[PAGO DIA]],DIAS!A:G,7,0)</f>
        <v>46231</v>
      </c>
      <c r="T1445" s="6">
        <v>0</v>
      </c>
      <c r="U1445" s="43">
        <f>VLOOKUP(Tabla1[[#This Row],[PAGO DIA]],DIAS!A:H,8,0)</f>
        <v>46259</v>
      </c>
      <c r="V1445" s="6">
        <v>0</v>
      </c>
      <c r="W1445" s="43">
        <f>VLOOKUP(Tabla1[[#This Row],[PAGO DIA]],DIAS!A:I,9,0)</f>
        <v>46287</v>
      </c>
      <c r="X1445" s="6">
        <v>0</v>
      </c>
      <c r="Y1445" s="43">
        <f>VLOOKUP(Tabla1[[#This Row],[PAGO DIA]],DIAS!A:J,10,0)</f>
        <v>46322</v>
      </c>
      <c r="Z1445" s="6">
        <v>0</v>
      </c>
      <c r="AA1445" s="43">
        <f>VLOOKUP(Tabla1[[#This Row],[PAGO DIA]],DIAS!A:K,11,0)</f>
        <v>46350</v>
      </c>
      <c r="AB1445" s="6">
        <v>0</v>
      </c>
      <c r="AC1445" s="43">
        <f>VLOOKUP(Tabla1[[#This Row],[PAGO DIA]],DIAS!A:M,12,0)</f>
        <v>46379</v>
      </c>
      <c r="AD14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6" spans="1:30">
      <c r="A1446" s="3">
        <v>11159</v>
      </c>
      <c r="B1446" s="3" t="s">
        <v>510</v>
      </c>
      <c r="C1446" s="3" t="s">
        <v>1147</v>
      </c>
      <c r="D1446" s="3" t="s">
        <v>1783</v>
      </c>
      <c r="E1446" s="3" t="s">
        <v>1784</v>
      </c>
      <c r="F1446" s="42" t="s">
        <v>562</v>
      </c>
      <c r="G1446" s="3"/>
      <c r="H1446" s="6">
        <v>0</v>
      </c>
      <c r="I1446" s="41">
        <f>VLOOKUP(Tabla1[[#This Row],[PAGO DIA]],DIAS!A:B,2,0)</f>
        <v>46078</v>
      </c>
      <c r="J1446" s="6">
        <v>0</v>
      </c>
      <c r="K1446" s="43">
        <f>VLOOKUP(Tabla1[[#This Row],[PAGO DIA]],DIAS!A:C,3,0)</f>
        <v>46105</v>
      </c>
      <c r="L1446" s="6">
        <v>0</v>
      </c>
      <c r="M1446" s="41">
        <f>VLOOKUP(Tabla1[[#This Row],[PAGO DIA]],DIAS!A:D,4,0)</f>
        <v>46140</v>
      </c>
      <c r="N1446" s="6">
        <v>0</v>
      </c>
      <c r="O1446" s="43">
        <f>VLOOKUP(Tabla1[[#This Row],[PAGO DIA]],DIAS!A:E,5,0)</f>
        <v>46168</v>
      </c>
      <c r="P1446" s="6">
        <v>0</v>
      </c>
      <c r="Q1446" s="43">
        <f>VLOOKUP(Tabla1[[#This Row],[PAGO DIA]],DIAS!A:F,6,0)</f>
        <v>46196</v>
      </c>
      <c r="R1446" s="6">
        <v>0</v>
      </c>
      <c r="S1446" s="43">
        <f>VLOOKUP(Tabla1[[#This Row],[PAGO DIA]],DIAS!A:G,7,0)</f>
        <v>46231</v>
      </c>
      <c r="T1446" s="6">
        <v>0</v>
      </c>
      <c r="U1446" s="43">
        <f>VLOOKUP(Tabla1[[#This Row],[PAGO DIA]],DIAS!A:H,8,0)</f>
        <v>46259</v>
      </c>
      <c r="V1446" s="6">
        <v>0</v>
      </c>
      <c r="W1446" s="43">
        <f>VLOOKUP(Tabla1[[#This Row],[PAGO DIA]],DIAS!A:I,9,0)</f>
        <v>46287</v>
      </c>
      <c r="X1446" s="6">
        <v>0</v>
      </c>
      <c r="Y1446" s="43">
        <f>VLOOKUP(Tabla1[[#This Row],[PAGO DIA]],DIAS!A:J,10,0)</f>
        <v>46322</v>
      </c>
      <c r="Z1446" s="6">
        <v>0</v>
      </c>
      <c r="AA1446" s="43">
        <f>VLOOKUP(Tabla1[[#This Row],[PAGO DIA]],DIAS!A:K,11,0)</f>
        <v>46350</v>
      </c>
      <c r="AB1446" s="6">
        <v>0</v>
      </c>
      <c r="AC1446" s="43">
        <f>VLOOKUP(Tabla1[[#This Row],[PAGO DIA]],DIAS!A:M,12,0)</f>
        <v>46379</v>
      </c>
      <c r="AD14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7" spans="1:30">
      <c r="A1447" s="3">
        <v>12246</v>
      </c>
      <c r="B1447" s="3" t="s">
        <v>510</v>
      </c>
      <c r="C1447" s="3" t="s">
        <v>1147</v>
      </c>
      <c r="D1447" s="3" t="s">
        <v>1976</v>
      </c>
      <c r="E1447" s="3" t="s">
        <v>1784</v>
      </c>
      <c r="F1447" s="42" t="s">
        <v>562</v>
      </c>
      <c r="G1447" s="3"/>
      <c r="H1447" s="6">
        <v>0</v>
      </c>
      <c r="I1447" s="41">
        <f>VLOOKUP(Tabla1[[#This Row],[PAGO DIA]],DIAS!A:B,2,0)</f>
        <v>46078</v>
      </c>
      <c r="J1447" s="6">
        <v>0</v>
      </c>
      <c r="K1447" s="43">
        <f>VLOOKUP(Tabla1[[#This Row],[PAGO DIA]],DIAS!A:C,3,0)</f>
        <v>46105</v>
      </c>
      <c r="L1447" s="6">
        <v>0</v>
      </c>
      <c r="M1447" s="41">
        <f>VLOOKUP(Tabla1[[#This Row],[PAGO DIA]],DIAS!A:D,4,0)</f>
        <v>46140</v>
      </c>
      <c r="N1447" s="6">
        <v>0</v>
      </c>
      <c r="O1447" s="43">
        <f>VLOOKUP(Tabla1[[#This Row],[PAGO DIA]],DIAS!A:E,5,0)</f>
        <v>46168</v>
      </c>
      <c r="P1447" s="6">
        <v>0</v>
      </c>
      <c r="Q1447" s="43">
        <f>VLOOKUP(Tabla1[[#This Row],[PAGO DIA]],DIAS!A:F,6,0)</f>
        <v>46196</v>
      </c>
      <c r="R1447" s="6">
        <v>0</v>
      </c>
      <c r="S1447" s="43">
        <f>VLOOKUP(Tabla1[[#This Row],[PAGO DIA]],DIAS!A:G,7,0)</f>
        <v>46231</v>
      </c>
      <c r="T1447" s="6">
        <v>0</v>
      </c>
      <c r="U1447" s="43">
        <f>VLOOKUP(Tabla1[[#This Row],[PAGO DIA]],DIAS!A:H,8,0)</f>
        <v>46259</v>
      </c>
      <c r="V1447" s="6">
        <v>0</v>
      </c>
      <c r="W1447" s="43">
        <f>VLOOKUP(Tabla1[[#This Row],[PAGO DIA]],DIAS!A:I,9,0)</f>
        <v>46287</v>
      </c>
      <c r="X1447" s="6">
        <v>0</v>
      </c>
      <c r="Y1447" s="43">
        <f>VLOOKUP(Tabla1[[#This Row],[PAGO DIA]],DIAS!A:J,10,0)</f>
        <v>46322</v>
      </c>
      <c r="Z1447" s="6">
        <v>0</v>
      </c>
      <c r="AA1447" s="43">
        <f>VLOOKUP(Tabla1[[#This Row],[PAGO DIA]],DIAS!A:K,11,0)</f>
        <v>46350</v>
      </c>
      <c r="AB1447" s="6">
        <v>0</v>
      </c>
      <c r="AC1447" s="43">
        <f>VLOOKUP(Tabla1[[#This Row],[PAGO DIA]],DIAS!A:M,12,0)</f>
        <v>46379</v>
      </c>
      <c r="AD14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8" spans="1:30">
      <c r="A1448" s="3">
        <v>12351</v>
      </c>
      <c r="B1448" s="3" t="s">
        <v>510</v>
      </c>
      <c r="C1448" s="3" t="s">
        <v>1147</v>
      </c>
      <c r="D1448" s="3" t="s">
        <v>1977</v>
      </c>
      <c r="E1448" s="3" t="s">
        <v>1784</v>
      </c>
      <c r="F1448" s="42" t="s">
        <v>562</v>
      </c>
      <c r="G1448" s="3"/>
      <c r="H1448" s="6">
        <v>0</v>
      </c>
      <c r="I1448" s="41">
        <f>VLOOKUP(Tabla1[[#This Row],[PAGO DIA]],DIAS!A:B,2,0)</f>
        <v>46078</v>
      </c>
      <c r="J1448" s="6">
        <v>0</v>
      </c>
      <c r="K1448" s="43">
        <f>VLOOKUP(Tabla1[[#This Row],[PAGO DIA]],DIAS!A:C,3,0)</f>
        <v>46105</v>
      </c>
      <c r="L1448" s="6">
        <v>0</v>
      </c>
      <c r="M1448" s="41">
        <f>VLOOKUP(Tabla1[[#This Row],[PAGO DIA]],DIAS!A:D,4,0)</f>
        <v>46140</v>
      </c>
      <c r="N1448" s="6">
        <v>0</v>
      </c>
      <c r="O1448" s="43">
        <f>VLOOKUP(Tabla1[[#This Row],[PAGO DIA]],DIAS!A:E,5,0)</f>
        <v>46168</v>
      </c>
      <c r="P1448" s="6">
        <v>0</v>
      </c>
      <c r="Q1448" s="43">
        <f>VLOOKUP(Tabla1[[#This Row],[PAGO DIA]],DIAS!A:F,6,0)</f>
        <v>46196</v>
      </c>
      <c r="R1448" s="6">
        <v>0</v>
      </c>
      <c r="S1448" s="43">
        <f>VLOOKUP(Tabla1[[#This Row],[PAGO DIA]],DIAS!A:G,7,0)</f>
        <v>46231</v>
      </c>
      <c r="T1448" s="6">
        <v>0</v>
      </c>
      <c r="U1448" s="43">
        <f>VLOOKUP(Tabla1[[#This Row],[PAGO DIA]],DIAS!A:H,8,0)</f>
        <v>46259</v>
      </c>
      <c r="V1448" s="6">
        <v>0</v>
      </c>
      <c r="W1448" s="43">
        <f>VLOOKUP(Tabla1[[#This Row],[PAGO DIA]],DIAS!A:I,9,0)</f>
        <v>46287</v>
      </c>
      <c r="X1448" s="6">
        <v>0</v>
      </c>
      <c r="Y1448" s="43">
        <f>VLOOKUP(Tabla1[[#This Row],[PAGO DIA]],DIAS!A:J,10,0)</f>
        <v>46322</v>
      </c>
      <c r="Z1448" s="6">
        <v>0</v>
      </c>
      <c r="AA1448" s="43">
        <f>VLOOKUP(Tabla1[[#This Row],[PAGO DIA]],DIAS!A:K,11,0)</f>
        <v>46350</v>
      </c>
      <c r="AB1448" s="6">
        <v>0</v>
      </c>
      <c r="AC1448" s="43">
        <f>VLOOKUP(Tabla1[[#This Row],[PAGO DIA]],DIAS!A:M,12,0)</f>
        <v>46379</v>
      </c>
      <c r="AD14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49" spans="1:30">
      <c r="A1449" s="3">
        <v>10976</v>
      </c>
      <c r="B1449" s="3" t="s">
        <v>510</v>
      </c>
      <c r="C1449" s="3" t="s">
        <v>1140</v>
      </c>
      <c r="D1449" s="3" t="s">
        <v>1821</v>
      </c>
      <c r="E1449" s="3" t="s">
        <v>1822</v>
      </c>
      <c r="F1449" s="42" t="s">
        <v>562</v>
      </c>
      <c r="G1449" s="3"/>
      <c r="H1449" s="6">
        <v>0</v>
      </c>
      <c r="I1449" s="41">
        <f>VLOOKUP(Tabla1[[#This Row],[PAGO DIA]],DIAS!A:B,2,0)</f>
        <v>46078</v>
      </c>
      <c r="J1449" s="6">
        <v>0</v>
      </c>
      <c r="K1449" s="43">
        <f>VLOOKUP(Tabla1[[#This Row],[PAGO DIA]],DIAS!A:C,3,0)</f>
        <v>46105</v>
      </c>
      <c r="L1449" s="6">
        <v>0</v>
      </c>
      <c r="M1449" s="41">
        <f>VLOOKUP(Tabla1[[#This Row],[PAGO DIA]],DIAS!A:D,4,0)</f>
        <v>46140</v>
      </c>
      <c r="N1449" s="6">
        <v>0</v>
      </c>
      <c r="O1449" s="43">
        <f>VLOOKUP(Tabla1[[#This Row],[PAGO DIA]],DIAS!A:E,5,0)</f>
        <v>46168</v>
      </c>
      <c r="P1449" s="6">
        <v>0</v>
      </c>
      <c r="Q1449" s="43">
        <f>VLOOKUP(Tabla1[[#This Row],[PAGO DIA]],DIAS!A:F,6,0)</f>
        <v>46196</v>
      </c>
      <c r="R1449" s="6">
        <v>0</v>
      </c>
      <c r="S1449" s="43">
        <f>VLOOKUP(Tabla1[[#This Row],[PAGO DIA]],DIAS!A:G,7,0)</f>
        <v>46231</v>
      </c>
      <c r="T1449" s="6">
        <v>0</v>
      </c>
      <c r="U1449" s="43">
        <f>VLOOKUP(Tabla1[[#This Row],[PAGO DIA]],DIAS!A:H,8,0)</f>
        <v>46259</v>
      </c>
      <c r="V1449" s="6">
        <v>0</v>
      </c>
      <c r="W1449" s="43">
        <f>VLOOKUP(Tabla1[[#This Row],[PAGO DIA]],DIAS!A:I,9,0)</f>
        <v>46287</v>
      </c>
      <c r="X1449" s="6">
        <v>0</v>
      </c>
      <c r="Y1449" s="43">
        <f>VLOOKUP(Tabla1[[#This Row],[PAGO DIA]],DIAS!A:J,10,0)</f>
        <v>46322</v>
      </c>
      <c r="Z1449" s="6">
        <v>0</v>
      </c>
      <c r="AA1449" s="43">
        <f>VLOOKUP(Tabla1[[#This Row],[PAGO DIA]],DIAS!A:K,11,0)</f>
        <v>46350</v>
      </c>
      <c r="AB1449" s="6">
        <v>0</v>
      </c>
      <c r="AC1449" s="43">
        <f>VLOOKUP(Tabla1[[#This Row],[PAGO DIA]],DIAS!A:M,12,0)</f>
        <v>46379</v>
      </c>
      <c r="AD14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0" spans="1:30">
      <c r="A1450" s="3">
        <v>10977</v>
      </c>
      <c r="B1450" s="3" t="s">
        <v>510</v>
      </c>
      <c r="C1450" s="3" t="s">
        <v>1140</v>
      </c>
      <c r="D1450" s="3" t="s">
        <v>1821</v>
      </c>
      <c r="E1450" s="3" t="s">
        <v>1822</v>
      </c>
      <c r="F1450" s="42" t="s">
        <v>562</v>
      </c>
      <c r="G1450" s="3"/>
      <c r="H1450" s="6">
        <v>0</v>
      </c>
      <c r="I1450" s="41">
        <f>VLOOKUP(Tabla1[[#This Row],[PAGO DIA]],DIAS!A:B,2,0)</f>
        <v>46078</v>
      </c>
      <c r="J1450" s="6">
        <v>0</v>
      </c>
      <c r="K1450" s="43">
        <f>VLOOKUP(Tabla1[[#This Row],[PAGO DIA]],DIAS!A:C,3,0)</f>
        <v>46105</v>
      </c>
      <c r="L1450" s="6">
        <v>0</v>
      </c>
      <c r="M1450" s="41">
        <f>VLOOKUP(Tabla1[[#This Row],[PAGO DIA]],DIAS!A:D,4,0)</f>
        <v>46140</v>
      </c>
      <c r="N1450" s="6">
        <v>0</v>
      </c>
      <c r="O1450" s="43">
        <f>VLOOKUP(Tabla1[[#This Row],[PAGO DIA]],DIAS!A:E,5,0)</f>
        <v>46168</v>
      </c>
      <c r="P1450" s="6">
        <v>0</v>
      </c>
      <c r="Q1450" s="43">
        <f>VLOOKUP(Tabla1[[#This Row],[PAGO DIA]],DIAS!A:F,6,0)</f>
        <v>46196</v>
      </c>
      <c r="R1450" s="6">
        <v>0</v>
      </c>
      <c r="S1450" s="43">
        <f>VLOOKUP(Tabla1[[#This Row],[PAGO DIA]],DIAS!A:G,7,0)</f>
        <v>46231</v>
      </c>
      <c r="T1450" s="6">
        <v>0</v>
      </c>
      <c r="U1450" s="43">
        <f>VLOOKUP(Tabla1[[#This Row],[PAGO DIA]],DIAS!A:H,8,0)</f>
        <v>46259</v>
      </c>
      <c r="V1450" s="6">
        <v>0</v>
      </c>
      <c r="W1450" s="43">
        <f>VLOOKUP(Tabla1[[#This Row],[PAGO DIA]],DIAS!A:I,9,0)</f>
        <v>46287</v>
      </c>
      <c r="X1450" s="6">
        <v>0</v>
      </c>
      <c r="Y1450" s="43">
        <f>VLOOKUP(Tabla1[[#This Row],[PAGO DIA]],DIAS!A:J,10,0)</f>
        <v>46322</v>
      </c>
      <c r="Z1450" s="6">
        <v>0</v>
      </c>
      <c r="AA1450" s="43">
        <f>VLOOKUP(Tabla1[[#This Row],[PAGO DIA]],DIAS!A:K,11,0)</f>
        <v>46350</v>
      </c>
      <c r="AB1450" s="6">
        <v>0</v>
      </c>
      <c r="AC1450" s="43">
        <f>VLOOKUP(Tabla1[[#This Row],[PAGO DIA]],DIAS!A:M,12,0)</f>
        <v>46379</v>
      </c>
      <c r="AD14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1" spans="1:30">
      <c r="A1451" s="3">
        <v>11187</v>
      </c>
      <c r="B1451" s="3" t="s">
        <v>510</v>
      </c>
      <c r="C1451" s="3" t="s">
        <v>1140</v>
      </c>
      <c r="D1451" s="3" t="s">
        <v>1821</v>
      </c>
      <c r="E1451" s="3" t="s">
        <v>1822</v>
      </c>
      <c r="F1451" s="42" t="s">
        <v>562</v>
      </c>
      <c r="G1451" s="3"/>
      <c r="H1451" s="6">
        <v>0</v>
      </c>
      <c r="I1451" s="41">
        <f>VLOOKUP(Tabla1[[#This Row],[PAGO DIA]],DIAS!A:B,2,0)</f>
        <v>46078</v>
      </c>
      <c r="J1451" s="6">
        <v>0</v>
      </c>
      <c r="K1451" s="43">
        <f>VLOOKUP(Tabla1[[#This Row],[PAGO DIA]],DIAS!A:C,3,0)</f>
        <v>46105</v>
      </c>
      <c r="L1451" s="6">
        <v>0</v>
      </c>
      <c r="M1451" s="41">
        <f>VLOOKUP(Tabla1[[#This Row],[PAGO DIA]],DIAS!A:D,4,0)</f>
        <v>46140</v>
      </c>
      <c r="N1451" s="6">
        <v>0</v>
      </c>
      <c r="O1451" s="43">
        <f>VLOOKUP(Tabla1[[#This Row],[PAGO DIA]],DIAS!A:E,5,0)</f>
        <v>46168</v>
      </c>
      <c r="P1451" s="6">
        <v>0</v>
      </c>
      <c r="Q1451" s="43">
        <f>VLOOKUP(Tabla1[[#This Row],[PAGO DIA]],DIAS!A:F,6,0)</f>
        <v>46196</v>
      </c>
      <c r="R1451" s="6">
        <v>0</v>
      </c>
      <c r="S1451" s="43">
        <f>VLOOKUP(Tabla1[[#This Row],[PAGO DIA]],DIAS!A:G,7,0)</f>
        <v>46231</v>
      </c>
      <c r="T1451" s="6">
        <v>0</v>
      </c>
      <c r="U1451" s="43">
        <f>VLOOKUP(Tabla1[[#This Row],[PAGO DIA]],DIAS!A:H,8,0)</f>
        <v>46259</v>
      </c>
      <c r="V1451" s="6">
        <v>0</v>
      </c>
      <c r="W1451" s="43">
        <f>VLOOKUP(Tabla1[[#This Row],[PAGO DIA]],DIAS!A:I,9,0)</f>
        <v>46287</v>
      </c>
      <c r="X1451" s="6">
        <v>0</v>
      </c>
      <c r="Y1451" s="43">
        <f>VLOOKUP(Tabla1[[#This Row],[PAGO DIA]],DIAS!A:J,10,0)</f>
        <v>46322</v>
      </c>
      <c r="Z1451" s="6">
        <v>0</v>
      </c>
      <c r="AA1451" s="43">
        <f>VLOOKUP(Tabla1[[#This Row],[PAGO DIA]],DIAS!A:K,11,0)</f>
        <v>46350</v>
      </c>
      <c r="AB1451" s="6">
        <v>0</v>
      </c>
      <c r="AC1451" s="43">
        <f>VLOOKUP(Tabla1[[#This Row],[PAGO DIA]],DIAS!A:M,12,0)</f>
        <v>46379</v>
      </c>
      <c r="AD14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2" spans="1:30">
      <c r="A1452" s="3">
        <v>12098</v>
      </c>
      <c r="B1452" s="3" t="s">
        <v>510</v>
      </c>
      <c r="C1452" s="3" t="s">
        <v>539</v>
      </c>
      <c r="D1452" s="3" t="s">
        <v>1978</v>
      </c>
      <c r="E1452" s="3" t="s">
        <v>1979</v>
      </c>
      <c r="F1452" s="42" t="s">
        <v>562</v>
      </c>
      <c r="G1452" s="3" t="s">
        <v>1161</v>
      </c>
      <c r="H1452" s="6">
        <v>0</v>
      </c>
      <c r="I1452" s="41">
        <f>VLOOKUP(Tabla1[[#This Row],[PAGO DIA]],DIAS!A:B,2,0)</f>
        <v>46078</v>
      </c>
      <c r="J1452" s="6">
        <v>0</v>
      </c>
      <c r="K1452" s="43">
        <f>VLOOKUP(Tabla1[[#This Row],[PAGO DIA]],DIAS!A:C,3,0)</f>
        <v>46105</v>
      </c>
      <c r="L1452" s="6">
        <v>0</v>
      </c>
      <c r="M1452" s="41">
        <f>VLOOKUP(Tabla1[[#This Row],[PAGO DIA]],DIAS!A:D,4,0)</f>
        <v>46140</v>
      </c>
      <c r="N1452" s="6">
        <v>0</v>
      </c>
      <c r="O1452" s="43">
        <f>VLOOKUP(Tabla1[[#This Row],[PAGO DIA]],DIAS!A:E,5,0)</f>
        <v>46168</v>
      </c>
      <c r="P1452" s="6">
        <v>0</v>
      </c>
      <c r="Q1452" s="43">
        <f>VLOOKUP(Tabla1[[#This Row],[PAGO DIA]],DIAS!A:F,6,0)</f>
        <v>46196</v>
      </c>
      <c r="R1452" s="6">
        <v>0</v>
      </c>
      <c r="S1452" s="43">
        <f>VLOOKUP(Tabla1[[#This Row],[PAGO DIA]],DIAS!A:G,7,0)</f>
        <v>46231</v>
      </c>
      <c r="T1452" s="6">
        <v>0</v>
      </c>
      <c r="U1452" s="43">
        <f>VLOOKUP(Tabla1[[#This Row],[PAGO DIA]],DIAS!A:H,8,0)</f>
        <v>46259</v>
      </c>
      <c r="V1452" s="6">
        <v>0</v>
      </c>
      <c r="W1452" s="43">
        <f>VLOOKUP(Tabla1[[#This Row],[PAGO DIA]],DIAS!A:I,9,0)</f>
        <v>46287</v>
      </c>
      <c r="X1452" s="6">
        <v>0</v>
      </c>
      <c r="Y1452" s="43">
        <f>VLOOKUP(Tabla1[[#This Row],[PAGO DIA]],DIAS!A:J,10,0)</f>
        <v>46322</v>
      </c>
      <c r="Z1452" s="6">
        <v>0</v>
      </c>
      <c r="AA1452" s="43">
        <f>VLOOKUP(Tabla1[[#This Row],[PAGO DIA]],DIAS!A:K,11,0)</f>
        <v>46350</v>
      </c>
      <c r="AB1452" s="6">
        <v>0</v>
      </c>
      <c r="AC1452" s="43">
        <f>VLOOKUP(Tabla1[[#This Row],[PAGO DIA]],DIAS!A:M,12,0)</f>
        <v>46379</v>
      </c>
      <c r="AD14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3" spans="1:30">
      <c r="A1453" s="3">
        <v>12100</v>
      </c>
      <c r="B1453" s="3" t="s">
        <v>510</v>
      </c>
      <c r="C1453" s="3"/>
      <c r="D1453" s="3" t="s">
        <v>1863</v>
      </c>
      <c r="E1453" s="3" t="s">
        <v>1980</v>
      </c>
      <c r="F1453" s="42" t="s">
        <v>562</v>
      </c>
      <c r="G1453" s="3"/>
      <c r="H1453" s="6">
        <v>0</v>
      </c>
      <c r="I1453" s="41">
        <f>VLOOKUP(Tabla1[[#This Row],[PAGO DIA]],DIAS!A:B,2,0)</f>
        <v>46078</v>
      </c>
      <c r="J1453" s="6">
        <v>0</v>
      </c>
      <c r="K1453" s="43">
        <f>VLOOKUP(Tabla1[[#This Row],[PAGO DIA]],DIAS!A:C,3,0)</f>
        <v>46105</v>
      </c>
      <c r="L1453" s="6">
        <v>0</v>
      </c>
      <c r="M1453" s="41">
        <f>VLOOKUP(Tabla1[[#This Row],[PAGO DIA]],DIAS!A:D,4,0)</f>
        <v>46140</v>
      </c>
      <c r="N1453" s="6">
        <v>0</v>
      </c>
      <c r="O1453" s="43">
        <f>VLOOKUP(Tabla1[[#This Row],[PAGO DIA]],DIAS!A:E,5,0)</f>
        <v>46168</v>
      </c>
      <c r="P1453" s="6">
        <v>0</v>
      </c>
      <c r="Q1453" s="43">
        <f>VLOOKUP(Tabla1[[#This Row],[PAGO DIA]],DIAS!A:F,6,0)</f>
        <v>46196</v>
      </c>
      <c r="R1453" s="6">
        <v>0</v>
      </c>
      <c r="S1453" s="43">
        <f>VLOOKUP(Tabla1[[#This Row],[PAGO DIA]],DIAS!A:G,7,0)</f>
        <v>46231</v>
      </c>
      <c r="T1453" s="6">
        <v>0</v>
      </c>
      <c r="U1453" s="43">
        <f>VLOOKUP(Tabla1[[#This Row],[PAGO DIA]],DIAS!A:H,8,0)</f>
        <v>46259</v>
      </c>
      <c r="V1453" s="6">
        <v>0</v>
      </c>
      <c r="W1453" s="43">
        <f>VLOOKUP(Tabla1[[#This Row],[PAGO DIA]],DIAS!A:I,9,0)</f>
        <v>46287</v>
      </c>
      <c r="X1453" s="6">
        <v>0</v>
      </c>
      <c r="Y1453" s="43">
        <f>VLOOKUP(Tabla1[[#This Row],[PAGO DIA]],DIAS!A:J,10,0)</f>
        <v>46322</v>
      </c>
      <c r="Z1453" s="6">
        <v>0</v>
      </c>
      <c r="AA1453" s="43">
        <f>VLOOKUP(Tabla1[[#This Row],[PAGO DIA]],DIAS!A:K,11,0)</f>
        <v>46350</v>
      </c>
      <c r="AB1453" s="6">
        <v>0</v>
      </c>
      <c r="AC1453" s="43">
        <f>VLOOKUP(Tabla1[[#This Row],[PAGO DIA]],DIAS!A:M,12,0)</f>
        <v>46379</v>
      </c>
      <c r="AD14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4" spans="1:30">
      <c r="A1454" s="3">
        <v>11090</v>
      </c>
      <c r="B1454" s="3" t="s">
        <v>510</v>
      </c>
      <c r="C1454" s="3" t="s">
        <v>1179</v>
      </c>
      <c r="D1454" s="3" t="s">
        <v>1833</v>
      </c>
      <c r="E1454" s="3" t="s">
        <v>1981</v>
      </c>
      <c r="F1454" s="42" t="s">
        <v>562</v>
      </c>
      <c r="G1454" s="3"/>
      <c r="H1454" s="6">
        <v>0</v>
      </c>
      <c r="I1454" s="41">
        <f>VLOOKUP(Tabla1[[#This Row],[PAGO DIA]],DIAS!A:B,2,0)</f>
        <v>46078</v>
      </c>
      <c r="J1454" s="6">
        <v>0</v>
      </c>
      <c r="K1454" s="43">
        <f>VLOOKUP(Tabla1[[#This Row],[PAGO DIA]],DIAS!A:C,3,0)</f>
        <v>46105</v>
      </c>
      <c r="L1454" s="6">
        <v>0</v>
      </c>
      <c r="M1454" s="41">
        <f>VLOOKUP(Tabla1[[#This Row],[PAGO DIA]],DIAS!A:D,4,0)</f>
        <v>46140</v>
      </c>
      <c r="N1454" s="6">
        <v>0</v>
      </c>
      <c r="O1454" s="43">
        <f>VLOOKUP(Tabla1[[#This Row],[PAGO DIA]],DIAS!A:E,5,0)</f>
        <v>46168</v>
      </c>
      <c r="P1454" s="6">
        <v>0</v>
      </c>
      <c r="Q1454" s="43">
        <f>VLOOKUP(Tabla1[[#This Row],[PAGO DIA]],DIAS!A:F,6,0)</f>
        <v>46196</v>
      </c>
      <c r="R1454" s="6">
        <v>0</v>
      </c>
      <c r="S1454" s="43">
        <f>VLOOKUP(Tabla1[[#This Row],[PAGO DIA]],DIAS!A:G,7,0)</f>
        <v>46231</v>
      </c>
      <c r="T1454" s="6">
        <v>0</v>
      </c>
      <c r="U1454" s="43">
        <f>VLOOKUP(Tabla1[[#This Row],[PAGO DIA]],DIAS!A:H,8,0)</f>
        <v>46259</v>
      </c>
      <c r="V1454" s="6">
        <v>0</v>
      </c>
      <c r="W1454" s="43">
        <f>VLOOKUP(Tabla1[[#This Row],[PAGO DIA]],DIAS!A:I,9,0)</f>
        <v>46287</v>
      </c>
      <c r="X1454" s="6">
        <v>0</v>
      </c>
      <c r="Y1454" s="43">
        <f>VLOOKUP(Tabla1[[#This Row],[PAGO DIA]],DIAS!A:J,10,0)</f>
        <v>46322</v>
      </c>
      <c r="Z1454" s="6">
        <v>0</v>
      </c>
      <c r="AA1454" s="43">
        <f>VLOOKUP(Tabla1[[#This Row],[PAGO DIA]],DIAS!A:K,11,0)</f>
        <v>46350</v>
      </c>
      <c r="AB1454" s="6">
        <v>0</v>
      </c>
      <c r="AC1454" s="43">
        <f>VLOOKUP(Tabla1[[#This Row],[PAGO DIA]],DIAS!A:M,12,0)</f>
        <v>46379</v>
      </c>
      <c r="AD14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5" spans="1:30">
      <c r="A1455" s="3">
        <v>11350</v>
      </c>
      <c r="B1455" s="3" t="s">
        <v>510</v>
      </c>
      <c r="C1455" s="3" t="s">
        <v>1179</v>
      </c>
      <c r="D1455" s="3" t="s">
        <v>1833</v>
      </c>
      <c r="E1455" s="3" t="s">
        <v>1981</v>
      </c>
      <c r="F1455" s="42" t="s">
        <v>562</v>
      </c>
      <c r="G1455" s="3" t="s">
        <v>1982</v>
      </c>
      <c r="H1455" s="6">
        <v>0</v>
      </c>
      <c r="I1455" s="41">
        <f>VLOOKUP(Tabla1[[#This Row],[PAGO DIA]],DIAS!A:B,2,0)</f>
        <v>46078</v>
      </c>
      <c r="J1455" s="6">
        <v>0</v>
      </c>
      <c r="K1455" s="43">
        <f>VLOOKUP(Tabla1[[#This Row],[PAGO DIA]],DIAS!A:C,3,0)</f>
        <v>46105</v>
      </c>
      <c r="L1455" s="6">
        <v>0</v>
      </c>
      <c r="M1455" s="41">
        <f>VLOOKUP(Tabla1[[#This Row],[PAGO DIA]],DIAS!A:D,4,0)</f>
        <v>46140</v>
      </c>
      <c r="N1455" s="6">
        <v>0</v>
      </c>
      <c r="O1455" s="43">
        <f>VLOOKUP(Tabla1[[#This Row],[PAGO DIA]],DIAS!A:E,5,0)</f>
        <v>46168</v>
      </c>
      <c r="P1455" s="6">
        <v>0</v>
      </c>
      <c r="Q1455" s="43">
        <f>VLOOKUP(Tabla1[[#This Row],[PAGO DIA]],DIAS!A:F,6,0)</f>
        <v>46196</v>
      </c>
      <c r="R1455" s="6">
        <v>0</v>
      </c>
      <c r="S1455" s="43">
        <f>VLOOKUP(Tabla1[[#This Row],[PAGO DIA]],DIAS!A:G,7,0)</f>
        <v>46231</v>
      </c>
      <c r="T1455" s="6">
        <v>0</v>
      </c>
      <c r="U1455" s="43">
        <f>VLOOKUP(Tabla1[[#This Row],[PAGO DIA]],DIAS!A:H,8,0)</f>
        <v>46259</v>
      </c>
      <c r="V1455" s="6">
        <v>0</v>
      </c>
      <c r="W1455" s="43">
        <f>VLOOKUP(Tabla1[[#This Row],[PAGO DIA]],DIAS!A:I,9,0)</f>
        <v>46287</v>
      </c>
      <c r="X1455" s="6">
        <v>0</v>
      </c>
      <c r="Y1455" s="43">
        <f>VLOOKUP(Tabla1[[#This Row],[PAGO DIA]],DIAS!A:J,10,0)</f>
        <v>46322</v>
      </c>
      <c r="Z1455" s="6">
        <v>0</v>
      </c>
      <c r="AA1455" s="43">
        <f>VLOOKUP(Tabla1[[#This Row],[PAGO DIA]],DIAS!A:K,11,0)</f>
        <v>46350</v>
      </c>
      <c r="AB1455" s="6">
        <v>0</v>
      </c>
      <c r="AC1455" s="43">
        <f>VLOOKUP(Tabla1[[#This Row],[PAGO DIA]],DIAS!A:M,12,0)</f>
        <v>46379</v>
      </c>
      <c r="AD14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6" spans="1:30">
      <c r="A1456" s="3">
        <v>11377</v>
      </c>
      <c r="B1456" s="3" t="s">
        <v>510</v>
      </c>
      <c r="C1456" s="3" t="s">
        <v>1179</v>
      </c>
      <c r="D1456" s="3" t="s">
        <v>1833</v>
      </c>
      <c r="E1456" s="3" t="s">
        <v>1981</v>
      </c>
      <c r="F1456" s="42" t="s">
        <v>562</v>
      </c>
      <c r="G1456" s="3"/>
      <c r="H1456" s="6">
        <v>0</v>
      </c>
      <c r="I1456" s="41">
        <f>VLOOKUP(Tabla1[[#This Row],[PAGO DIA]],DIAS!A:B,2,0)</f>
        <v>46078</v>
      </c>
      <c r="J1456" s="6">
        <v>0</v>
      </c>
      <c r="K1456" s="43">
        <f>VLOOKUP(Tabla1[[#This Row],[PAGO DIA]],DIAS!A:C,3,0)</f>
        <v>46105</v>
      </c>
      <c r="L1456" s="6">
        <v>0</v>
      </c>
      <c r="M1456" s="41">
        <f>VLOOKUP(Tabla1[[#This Row],[PAGO DIA]],DIAS!A:D,4,0)</f>
        <v>46140</v>
      </c>
      <c r="N1456" s="6">
        <v>0</v>
      </c>
      <c r="O1456" s="43">
        <f>VLOOKUP(Tabla1[[#This Row],[PAGO DIA]],DIAS!A:E,5,0)</f>
        <v>46168</v>
      </c>
      <c r="P1456" s="6">
        <v>0</v>
      </c>
      <c r="Q1456" s="43">
        <f>VLOOKUP(Tabla1[[#This Row],[PAGO DIA]],DIAS!A:F,6,0)</f>
        <v>46196</v>
      </c>
      <c r="R1456" s="6">
        <v>0</v>
      </c>
      <c r="S1456" s="43">
        <f>VLOOKUP(Tabla1[[#This Row],[PAGO DIA]],DIAS!A:G,7,0)</f>
        <v>46231</v>
      </c>
      <c r="T1456" s="6">
        <v>0</v>
      </c>
      <c r="U1456" s="43">
        <f>VLOOKUP(Tabla1[[#This Row],[PAGO DIA]],DIAS!A:H,8,0)</f>
        <v>46259</v>
      </c>
      <c r="V1456" s="6">
        <v>0</v>
      </c>
      <c r="W1456" s="43">
        <f>VLOOKUP(Tabla1[[#This Row],[PAGO DIA]],DIAS!A:I,9,0)</f>
        <v>46287</v>
      </c>
      <c r="X1456" s="6">
        <v>0</v>
      </c>
      <c r="Y1456" s="43">
        <f>VLOOKUP(Tabla1[[#This Row],[PAGO DIA]],DIAS!A:J,10,0)</f>
        <v>46322</v>
      </c>
      <c r="Z1456" s="6">
        <v>0</v>
      </c>
      <c r="AA1456" s="43">
        <f>VLOOKUP(Tabla1[[#This Row],[PAGO DIA]],DIAS!A:K,11,0)</f>
        <v>46350</v>
      </c>
      <c r="AB1456" s="6">
        <v>0</v>
      </c>
      <c r="AC1456" s="43">
        <f>VLOOKUP(Tabla1[[#This Row],[PAGO DIA]],DIAS!A:M,12,0)</f>
        <v>46379</v>
      </c>
      <c r="AD14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7" spans="1:30">
      <c r="A1457" s="3">
        <v>11723</v>
      </c>
      <c r="B1457" s="3" t="s">
        <v>510</v>
      </c>
      <c r="C1457" s="3"/>
      <c r="D1457" s="3" t="s">
        <v>1833</v>
      </c>
      <c r="E1457" s="3" t="s">
        <v>1981</v>
      </c>
      <c r="F1457" s="42" t="s">
        <v>562</v>
      </c>
      <c r="G1457" s="3"/>
      <c r="H1457" s="6">
        <v>0</v>
      </c>
      <c r="I1457" s="41">
        <f>VLOOKUP(Tabla1[[#This Row],[PAGO DIA]],DIAS!A:B,2,0)</f>
        <v>46078</v>
      </c>
      <c r="J1457" s="6">
        <v>0</v>
      </c>
      <c r="K1457" s="43">
        <f>VLOOKUP(Tabla1[[#This Row],[PAGO DIA]],DIAS!A:C,3,0)</f>
        <v>46105</v>
      </c>
      <c r="L1457" s="6">
        <v>0</v>
      </c>
      <c r="M1457" s="41">
        <f>VLOOKUP(Tabla1[[#This Row],[PAGO DIA]],DIAS!A:D,4,0)</f>
        <v>46140</v>
      </c>
      <c r="N1457" s="6">
        <v>0</v>
      </c>
      <c r="O1457" s="43">
        <f>VLOOKUP(Tabla1[[#This Row],[PAGO DIA]],DIAS!A:E,5,0)</f>
        <v>46168</v>
      </c>
      <c r="P1457" s="6">
        <v>0</v>
      </c>
      <c r="Q1457" s="43">
        <f>VLOOKUP(Tabla1[[#This Row],[PAGO DIA]],DIAS!A:F,6,0)</f>
        <v>46196</v>
      </c>
      <c r="R1457" s="6">
        <v>0</v>
      </c>
      <c r="S1457" s="43">
        <f>VLOOKUP(Tabla1[[#This Row],[PAGO DIA]],DIAS!A:G,7,0)</f>
        <v>46231</v>
      </c>
      <c r="T1457" s="6">
        <v>0</v>
      </c>
      <c r="U1457" s="43">
        <f>VLOOKUP(Tabla1[[#This Row],[PAGO DIA]],DIAS!A:H,8,0)</f>
        <v>46259</v>
      </c>
      <c r="V1457" s="6">
        <v>0</v>
      </c>
      <c r="W1457" s="43">
        <f>VLOOKUP(Tabla1[[#This Row],[PAGO DIA]],DIAS!A:I,9,0)</f>
        <v>46287</v>
      </c>
      <c r="X1457" s="6">
        <v>0</v>
      </c>
      <c r="Y1457" s="43">
        <f>VLOOKUP(Tabla1[[#This Row],[PAGO DIA]],DIAS!A:J,10,0)</f>
        <v>46322</v>
      </c>
      <c r="Z1457" s="6">
        <v>0</v>
      </c>
      <c r="AA1457" s="43">
        <f>VLOOKUP(Tabla1[[#This Row],[PAGO DIA]],DIAS!A:K,11,0)</f>
        <v>46350</v>
      </c>
      <c r="AB1457" s="6">
        <v>0</v>
      </c>
      <c r="AC1457" s="43">
        <f>VLOOKUP(Tabla1[[#This Row],[PAGO DIA]],DIAS!A:M,12,0)</f>
        <v>46379</v>
      </c>
      <c r="AD14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8" spans="1:30">
      <c r="A1458" s="3">
        <v>11724</v>
      </c>
      <c r="B1458" s="3" t="s">
        <v>510</v>
      </c>
      <c r="C1458" s="3"/>
      <c r="D1458" s="3" t="s">
        <v>1983</v>
      </c>
      <c r="E1458" s="3" t="s">
        <v>1981</v>
      </c>
      <c r="F1458" s="42" t="s">
        <v>562</v>
      </c>
      <c r="G1458" s="3"/>
      <c r="H1458" s="6">
        <v>0</v>
      </c>
      <c r="I1458" s="41">
        <f>VLOOKUP(Tabla1[[#This Row],[PAGO DIA]],DIAS!A:B,2,0)</f>
        <v>46078</v>
      </c>
      <c r="J1458" s="6">
        <v>0</v>
      </c>
      <c r="K1458" s="43">
        <f>VLOOKUP(Tabla1[[#This Row],[PAGO DIA]],DIAS!A:C,3,0)</f>
        <v>46105</v>
      </c>
      <c r="L1458" s="6">
        <v>0</v>
      </c>
      <c r="M1458" s="41">
        <f>VLOOKUP(Tabla1[[#This Row],[PAGO DIA]],DIAS!A:D,4,0)</f>
        <v>46140</v>
      </c>
      <c r="N1458" s="6">
        <v>0</v>
      </c>
      <c r="O1458" s="43">
        <f>VLOOKUP(Tabla1[[#This Row],[PAGO DIA]],DIAS!A:E,5,0)</f>
        <v>46168</v>
      </c>
      <c r="P1458" s="6">
        <v>0</v>
      </c>
      <c r="Q1458" s="43">
        <f>VLOOKUP(Tabla1[[#This Row],[PAGO DIA]],DIAS!A:F,6,0)</f>
        <v>46196</v>
      </c>
      <c r="R1458" s="6">
        <v>0</v>
      </c>
      <c r="S1458" s="43">
        <f>VLOOKUP(Tabla1[[#This Row],[PAGO DIA]],DIAS!A:G,7,0)</f>
        <v>46231</v>
      </c>
      <c r="T1458" s="6">
        <v>0</v>
      </c>
      <c r="U1458" s="43">
        <f>VLOOKUP(Tabla1[[#This Row],[PAGO DIA]],DIAS!A:H,8,0)</f>
        <v>46259</v>
      </c>
      <c r="V1458" s="6">
        <v>0</v>
      </c>
      <c r="W1458" s="43">
        <f>VLOOKUP(Tabla1[[#This Row],[PAGO DIA]],DIAS!A:I,9,0)</f>
        <v>46287</v>
      </c>
      <c r="X1458" s="6">
        <v>0</v>
      </c>
      <c r="Y1458" s="43">
        <f>VLOOKUP(Tabla1[[#This Row],[PAGO DIA]],DIAS!A:J,10,0)</f>
        <v>46322</v>
      </c>
      <c r="Z1458" s="6">
        <v>0</v>
      </c>
      <c r="AA1458" s="43">
        <f>VLOOKUP(Tabla1[[#This Row],[PAGO DIA]],DIAS!A:K,11,0)</f>
        <v>46350</v>
      </c>
      <c r="AB1458" s="6">
        <v>0</v>
      </c>
      <c r="AC1458" s="43">
        <f>VLOOKUP(Tabla1[[#This Row],[PAGO DIA]],DIAS!A:M,12,0)</f>
        <v>46379</v>
      </c>
      <c r="AD14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59" spans="1:30">
      <c r="A1459" s="3">
        <v>11076</v>
      </c>
      <c r="B1459" s="3" t="s">
        <v>510</v>
      </c>
      <c r="C1459" s="3" t="s">
        <v>1179</v>
      </c>
      <c r="D1459" s="3" t="s">
        <v>1833</v>
      </c>
      <c r="E1459" s="3" t="s">
        <v>1189</v>
      </c>
      <c r="F1459" s="42" t="s">
        <v>562</v>
      </c>
      <c r="G1459" s="3"/>
      <c r="H1459" s="6">
        <v>0</v>
      </c>
      <c r="I1459" s="41">
        <f>VLOOKUP(Tabla1[[#This Row],[PAGO DIA]],DIAS!A:B,2,0)</f>
        <v>46078</v>
      </c>
      <c r="J1459" s="6">
        <v>0</v>
      </c>
      <c r="K1459" s="43">
        <f>VLOOKUP(Tabla1[[#This Row],[PAGO DIA]],DIAS!A:C,3,0)</f>
        <v>46105</v>
      </c>
      <c r="L1459" s="6">
        <v>0</v>
      </c>
      <c r="M1459" s="41">
        <f>VLOOKUP(Tabla1[[#This Row],[PAGO DIA]],DIAS!A:D,4,0)</f>
        <v>46140</v>
      </c>
      <c r="N1459" s="6">
        <v>0</v>
      </c>
      <c r="O1459" s="43">
        <f>VLOOKUP(Tabla1[[#This Row],[PAGO DIA]],DIAS!A:E,5,0)</f>
        <v>46168</v>
      </c>
      <c r="P1459" s="6">
        <v>0</v>
      </c>
      <c r="Q1459" s="43">
        <f>VLOOKUP(Tabla1[[#This Row],[PAGO DIA]],DIAS!A:F,6,0)</f>
        <v>46196</v>
      </c>
      <c r="R1459" s="6">
        <v>0</v>
      </c>
      <c r="S1459" s="43">
        <f>VLOOKUP(Tabla1[[#This Row],[PAGO DIA]],DIAS!A:G,7,0)</f>
        <v>46231</v>
      </c>
      <c r="T1459" s="6">
        <v>0</v>
      </c>
      <c r="U1459" s="43">
        <f>VLOOKUP(Tabla1[[#This Row],[PAGO DIA]],DIAS!A:H,8,0)</f>
        <v>46259</v>
      </c>
      <c r="V1459" s="6">
        <v>0</v>
      </c>
      <c r="W1459" s="43">
        <f>VLOOKUP(Tabla1[[#This Row],[PAGO DIA]],DIAS!A:I,9,0)</f>
        <v>46287</v>
      </c>
      <c r="X1459" s="6">
        <v>0</v>
      </c>
      <c r="Y1459" s="43">
        <f>VLOOKUP(Tabla1[[#This Row],[PAGO DIA]],DIAS!A:J,10,0)</f>
        <v>46322</v>
      </c>
      <c r="Z1459" s="6">
        <v>0</v>
      </c>
      <c r="AA1459" s="43">
        <f>VLOOKUP(Tabla1[[#This Row],[PAGO DIA]],DIAS!A:K,11,0)</f>
        <v>46350</v>
      </c>
      <c r="AB1459" s="6">
        <v>0</v>
      </c>
      <c r="AC1459" s="43">
        <f>VLOOKUP(Tabla1[[#This Row],[PAGO DIA]],DIAS!A:M,12,0)</f>
        <v>46379</v>
      </c>
      <c r="AD14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0" spans="1:30">
      <c r="A1460" s="3">
        <v>11125</v>
      </c>
      <c r="B1460" s="3" t="s">
        <v>510</v>
      </c>
      <c r="C1460" s="3" t="s">
        <v>1179</v>
      </c>
      <c r="D1460" s="3" t="s">
        <v>1833</v>
      </c>
      <c r="E1460" s="3" t="s">
        <v>1189</v>
      </c>
      <c r="F1460" s="42" t="s">
        <v>562</v>
      </c>
      <c r="G1460" s="3" t="s">
        <v>1982</v>
      </c>
      <c r="H1460" s="6">
        <v>0</v>
      </c>
      <c r="I1460" s="41">
        <f>VLOOKUP(Tabla1[[#This Row],[PAGO DIA]],DIAS!A:B,2,0)</f>
        <v>46078</v>
      </c>
      <c r="J1460" s="6">
        <v>0</v>
      </c>
      <c r="K1460" s="43">
        <f>VLOOKUP(Tabla1[[#This Row],[PAGO DIA]],DIAS!A:C,3,0)</f>
        <v>46105</v>
      </c>
      <c r="L1460" s="6">
        <v>0</v>
      </c>
      <c r="M1460" s="41">
        <f>VLOOKUP(Tabla1[[#This Row],[PAGO DIA]],DIAS!A:D,4,0)</f>
        <v>46140</v>
      </c>
      <c r="N1460" s="6">
        <v>0</v>
      </c>
      <c r="O1460" s="43">
        <f>VLOOKUP(Tabla1[[#This Row],[PAGO DIA]],DIAS!A:E,5,0)</f>
        <v>46168</v>
      </c>
      <c r="P1460" s="6">
        <v>0</v>
      </c>
      <c r="Q1460" s="43">
        <f>VLOOKUP(Tabla1[[#This Row],[PAGO DIA]],DIAS!A:F,6,0)</f>
        <v>46196</v>
      </c>
      <c r="R1460" s="6">
        <v>0</v>
      </c>
      <c r="S1460" s="43">
        <f>VLOOKUP(Tabla1[[#This Row],[PAGO DIA]],DIAS!A:G,7,0)</f>
        <v>46231</v>
      </c>
      <c r="T1460" s="6">
        <v>0</v>
      </c>
      <c r="U1460" s="43">
        <f>VLOOKUP(Tabla1[[#This Row],[PAGO DIA]],DIAS!A:H,8,0)</f>
        <v>46259</v>
      </c>
      <c r="V1460" s="6">
        <v>0</v>
      </c>
      <c r="W1460" s="43">
        <f>VLOOKUP(Tabla1[[#This Row],[PAGO DIA]],DIAS!A:I,9,0)</f>
        <v>46287</v>
      </c>
      <c r="X1460" s="6">
        <v>0</v>
      </c>
      <c r="Y1460" s="43">
        <f>VLOOKUP(Tabla1[[#This Row],[PAGO DIA]],DIAS!A:J,10,0)</f>
        <v>46322</v>
      </c>
      <c r="Z1460" s="6">
        <v>0</v>
      </c>
      <c r="AA1460" s="43">
        <f>VLOOKUP(Tabla1[[#This Row],[PAGO DIA]],DIAS!A:K,11,0)</f>
        <v>46350</v>
      </c>
      <c r="AB1460" s="6">
        <v>0</v>
      </c>
      <c r="AC1460" s="43">
        <f>VLOOKUP(Tabla1[[#This Row],[PAGO DIA]],DIAS!A:M,12,0)</f>
        <v>46379</v>
      </c>
      <c r="AD14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1" spans="1:30">
      <c r="A1461" s="3">
        <v>11028</v>
      </c>
      <c r="B1461" s="3" t="s">
        <v>510</v>
      </c>
      <c r="C1461" s="3" t="s">
        <v>1179</v>
      </c>
      <c r="D1461" s="3" t="s">
        <v>1820</v>
      </c>
      <c r="E1461" s="3" t="s">
        <v>804</v>
      </c>
      <c r="F1461" s="42" t="s">
        <v>562</v>
      </c>
      <c r="G1461" s="3"/>
      <c r="H1461" s="6">
        <v>0</v>
      </c>
      <c r="I1461" s="41">
        <f>VLOOKUP(Tabla1[[#This Row],[PAGO DIA]],DIAS!A:B,2,0)</f>
        <v>46078</v>
      </c>
      <c r="J1461" s="6">
        <v>0</v>
      </c>
      <c r="K1461" s="43">
        <f>VLOOKUP(Tabla1[[#This Row],[PAGO DIA]],DIAS!A:C,3,0)</f>
        <v>46105</v>
      </c>
      <c r="L1461" s="6">
        <v>0</v>
      </c>
      <c r="M1461" s="41">
        <f>VLOOKUP(Tabla1[[#This Row],[PAGO DIA]],DIAS!A:D,4,0)</f>
        <v>46140</v>
      </c>
      <c r="N1461" s="6">
        <v>0</v>
      </c>
      <c r="O1461" s="43">
        <f>VLOOKUP(Tabla1[[#This Row],[PAGO DIA]],DIAS!A:E,5,0)</f>
        <v>46168</v>
      </c>
      <c r="P1461" s="6">
        <v>0</v>
      </c>
      <c r="Q1461" s="43">
        <f>VLOOKUP(Tabla1[[#This Row],[PAGO DIA]],DIAS!A:F,6,0)</f>
        <v>46196</v>
      </c>
      <c r="R1461" s="6">
        <v>0</v>
      </c>
      <c r="S1461" s="43">
        <f>VLOOKUP(Tabla1[[#This Row],[PAGO DIA]],DIAS!A:G,7,0)</f>
        <v>46231</v>
      </c>
      <c r="T1461" s="6">
        <v>0</v>
      </c>
      <c r="U1461" s="43">
        <f>VLOOKUP(Tabla1[[#This Row],[PAGO DIA]],DIAS!A:H,8,0)</f>
        <v>46259</v>
      </c>
      <c r="V1461" s="6">
        <v>0</v>
      </c>
      <c r="W1461" s="43">
        <f>VLOOKUP(Tabla1[[#This Row],[PAGO DIA]],DIAS!A:I,9,0)</f>
        <v>46287</v>
      </c>
      <c r="X1461" s="6">
        <v>0</v>
      </c>
      <c r="Y1461" s="43">
        <f>VLOOKUP(Tabla1[[#This Row],[PAGO DIA]],DIAS!A:J,10,0)</f>
        <v>46322</v>
      </c>
      <c r="Z1461" s="6">
        <v>0</v>
      </c>
      <c r="AA1461" s="43">
        <f>VLOOKUP(Tabla1[[#This Row],[PAGO DIA]],DIAS!A:K,11,0)</f>
        <v>46350</v>
      </c>
      <c r="AB1461" s="6">
        <v>0</v>
      </c>
      <c r="AC1461" s="43">
        <f>VLOOKUP(Tabla1[[#This Row],[PAGO DIA]],DIAS!A:M,12,0)</f>
        <v>46379</v>
      </c>
      <c r="AD14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2" spans="1:30">
      <c r="A1462" s="3">
        <v>11091</v>
      </c>
      <c r="B1462" s="3" t="s">
        <v>510</v>
      </c>
      <c r="C1462" s="3" t="s">
        <v>1179</v>
      </c>
      <c r="D1462" s="3" t="s">
        <v>1820</v>
      </c>
      <c r="E1462" s="3" t="s">
        <v>804</v>
      </c>
      <c r="F1462" s="42" t="s">
        <v>562</v>
      </c>
      <c r="G1462" s="3"/>
      <c r="H1462" s="6">
        <v>0</v>
      </c>
      <c r="I1462" s="41">
        <f>VLOOKUP(Tabla1[[#This Row],[PAGO DIA]],DIAS!A:B,2,0)</f>
        <v>46078</v>
      </c>
      <c r="J1462" s="6">
        <v>0</v>
      </c>
      <c r="K1462" s="43">
        <f>VLOOKUP(Tabla1[[#This Row],[PAGO DIA]],DIAS!A:C,3,0)</f>
        <v>46105</v>
      </c>
      <c r="L1462" s="6">
        <v>0</v>
      </c>
      <c r="M1462" s="41">
        <f>VLOOKUP(Tabla1[[#This Row],[PAGO DIA]],DIAS!A:D,4,0)</f>
        <v>46140</v>
      </c>
      <c r="N1462" s="6">
        <v>0</v>
      </c>
      <c r="O1462" s="43">
        <f>VLOOKUP(Tabla1[[#This Row],[PAGO DIA]],DIAS!A:E,5,0)</f>
        <v>46168</v>
      </c>
      <c r="P1462" s="6">
        <v>0</v>
      </c>
      <c r="Q1462" s="43">
        <f>VLOOKUP(Tabla1[[#This Row],[PAGO DIA]],DIAS!A:F,6,0)</f>
        <v>46196</v>
      </c>
      <c r="R1462" s="6">
        <v>0</v>
      </c>
      <c r="S1462" s="43">
        <f>VLOOKUP(Tabla1[[#This Row],[PAGO DIA]],DIAS!A:G,7,0)</f>
        <v>46231</v>
      </c>
      <c r="T1462" s="6">
        <v>0</v>
      </c>
      <c r="U1462" s="43">
        <f>VLOOKUP(Tabla1[[#This Row],[PAGO DIA]],DIAS!A:H,8,0)</f>
        <v>46259</v>
      </c>
      <c r="V1462" s="6">
        <v>0</v>
      </c>
      <c r="W1462" s="43">
        <f>VLOOKUP(Tabla1[[#This Row],[PAGO DIA]],DIAS!A:I,9,0)</f>
        <v>46287</v>
      </c>
      <c r="X1462" s="6">
        <v>0</v>
      </c>
      <c r="Y1462" s="43">
        <f>VLOOKUP(Tabla1[[#This Row],[PAGO DIA]],DIAS!A:J,10,0)</f>
        <v>46322</v>
      </c>
      <c r="Z1462" s="6">
        <v>0</v>
      </c>
      <c r="AA1462" s="43">
        <f>VLOOKUP(Tabla1[[#This Row],[PAGO DIA]],DIAS!A:K,11,0)</f>
        <v>46350</v>
      </c>
      <c r="AB1462" s="6">
        <v>0</v>
      </c>
      <c r="AC1462" s="43">
        <f>VLOOKUP(Tabla1[[#This Row],[PAGO DIA]],DIAS!A:M,12,0)</f>
        <v>46379</v>
      </c>
      <c r="AD14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3" spans="1:30">
      <c r="A1463" s="3">
        <v>11259</v>
      </c>
      <c r="B1463" s="3" t="s">
        <v>510</v>
      </c>
      <c r="C1463" s="3" t="s">
        <v>1179</v>
      </c>
      <c r="D1463" s="3" t="s">
        <v>1820</v>
      </c>
      <c r="E1463" s="3" t="s">
        <v>804</v>
      </c>
      <c r="F1463" s="42" t="s">
        <v>562</v>
      </c>
      <c r="G1463" s="3"/>
      <c r="H1463" s="6">
        <v>0</v>
      </c>
      <c r="I1463" s="41">
        <f>VLOOKUP(Tabla1[[#This Row],[PAGO DIA]],DIAS!A:B,2,0)</f>
        <v>46078</v>
      </c>
      <c r="J1463" s="6">
        <v>0</v>
      </c>
      <c r="K1463" s="43">
        <f>VLOOKUP(Tabla1[[#This Row],[PAGO DIA]],DIAS!A:C,3,0)</f>
        <v>46105</v>
      </c>
      <c r="L1463" s="6">
        <v>0</v>
      </c>
      <c r="M1463" s="41">
        <f>VLOOKUP(Tabla1[[#This Row],[PAGO DIA]],DIAS!A:D,4,0)</f>
        <v>46140</v>
      </c>
      <c r="N1463" s="6">
        <v>0</v>
      </c>
      <c r="O1463" s="43">
        <f>VLOOKUP(Tabla1[[#This Row],[PAGO DIA]],DIAS!A:E,5,0)</f>
        <v>46168</v>
      </c>
      <c r="P1463" s="6">
        <v>0</v>
      </c>
      <c r="Q1463" s="43">
        <f>VLOOKUP(Tabla1[[#This Row],[PAGO DIA]],DIAS!A:F,6,0)</f>
        <v>46196</v>
      </c>
      <c r="R1463" s="6">
        <v>0</v>
      </c>
      <c r="S1463" s="43">
        <f>VLOOKUP(Tabla1[[#This Row],[PAGO DIA]],DIAS!A:G,7,0)</f>
        <v>46231</v>
      </c>
      <c r="T1463" s="6">
        <v>0</v>
      </c>
      <c r="U1463" s="43">
        <f>VLOOKUP(Tabla1[[#This Row],[PAGO DIA]],DIAS!A:H,8,0)</f>
        <v>46259</v>
      </c>
      <c r="V1463" s="6">
        <v>0</v>
      </c>
      <c r="W1463" s="43">
        <f>VLOOKUP(Tabla1[[#This Row],[PAGO DIA]],DIAS!A:I,9,0)</f>
        <v>46287</v>
      </c>
      <c r="X1463" s="6">
        <v>0</v>
      </c>
      <c r="Y1463" s="43">
        <f>VLOOKUP(Tabla1[[#This Row],[PAGO DIA]],DIAS!A:J,10,0)</f>
        <v>46322</v>
      </c>
      <c r="Z1463" s="6">
        <v>0</v>
      </c>
      <c r="AA1463" s="43">
        <f>VLOOKUP(Tabla1[[#This Row],[PAGO DIA]],DIAS!A:K,11,0)</f>
        <v>46350</v>
      </c>
      <c r="AB1463" s="6">
        <v>0</v>
      </c>
      <c r="AC1463" s="43">
        <f>VLOOKUP(Tabla1[[#This Row],[PAGO DIA]],DIAS!A:M,12,0)</f>
        <v>46379</v>
      </c>
      <c r="AD14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4" spans="1:30">
      <c r="A1464" s="3">
        <v>11328</v>
      </c>
      <c r="B1464" s="3" t="s">
        <v>510</v>
      </c>
      <c r="C1464" s="3" t="s">
        <v>1179</v>
      </c>
      <c r="D1464" s="3" t="s">
        <v>1820</v>
      </c>
      <c r="E1464" s="3" t="s">
        <v>804</v>
      </c>
      <c r="F1464" s="42" t="s">
        <v>562</v>
      </c>
      <c r="G1464" s="3"/>
      <c r="H1464" s="6">
        <v>0</v>
      </c>
      <c r="I1464" s="41">
        <f>VLOOKUP(Tabla1[[#This Row],[PAGO DIA]],DIAS!A:B,2,0)</f>
        <v>46078</v>
      </c>
      <c r="J1464" s="6">
        <v>0</v>
      </c>
      <c r="K1464" s="43">
        <f>VLOOKUP(Tabla1[[#This Row],[PAGO DIA]],DIAS!A:C,3,0)</f>
        <v>46105</v>
      </c>
      <c r="L1464" s="6">
        <v>0</v>
      </c>
      <c r="M1464" s="41">
        <f>VLOOKUP(Tabla1[[#This Row],[PAGO DIA]],DIAS!A:D,4,0)</f>
        <v>46140</v>
      </c>
      <c r="N1464" s="6">
        <v>0</v>
      </c>
      <c r="O1464" s="43">
        <f>VLOOKUP(Tabla1[[#This Row],[PAGO DIA]],DIAS!A:E,5,0)</f>
        <v>46168</v>
      </c>
      <c r="P1464" s="6">
        <v>0</v>
      </c>
      <c r="Q1464" s="43">
        <f>VLOOKUP(Tabla1[[#This Row],[PAGO DIA]],DIAS!A:F,6,0)</f>
        <v>46196</v>
      </c>
      <c r="R1464" s="6">
        <v>0</v>
      </c>
      <c r="S1464" s="43">
        <f>VLOOKUP(Tabla1[[#This Row],[PAGO DIA]],DIAS!A:G,7,0)</f>
        <v>46231</v>
      </c>
      <c r="T1464" s="6">
        <v>0</v>
      </c>
      <c r="U1464" s="43">
        <f>VLOOKUP(Tabla1[[#This Row],[PAGO DIA]],DIAS!A:H,8,0)</f>
        <v>46259</v>
      </c>
      <c r="V1464" s="6">
        <v>0</v>
      </c>
      <c r="W1464" s="43">
        <f>VLOOKUP(Tabla1[[#This Row],[PAGO DIA]],DIAS!A:I,9,0)</f>
        <v>46287</v>
      </c>
      <c r="X1464" s="6">
        <v>0</v>
      </c>
      <c r="Y1464" s="43">
        <f>VLOOKUP(Tabla1[[#This Row],[PAGO DIA]],DIAS!A:J,10,0)</f>
        <v>46322</v>
      </c>
      <c r="Z1464" s="6">
        <v>0</v>
      </c>
      <c r="AA1464" s="43">
        <f>VLOOKUP(Tabla1[[#This Row],[PAGO DIA]],DIAS!A:K,11,0)</f>
        <v>46350</v>
      </c>
      <c r="AB1464" s="6">
        <v>0</v>
      </c>
      <c r="AC1464" s="43">
        <f>VLOOKUP(Tabla1[[#This Row],[PAGO DIA]],DIAS!A:M,12,0)</f>
        <v>46379</v>
      </c>
      <c r="AD14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5" spans="1:30">
      <c r="A1465" s="3">
        <v>11387</v>
      </c>
      <c r="B1465" s="3" t="s">
        <v>510</v>
      </c>
      <c r="C1465" s="3" t="s">
        <v>1179</v>
      </c>
      <c r="D1465" s="3" t="s">
        <v>1820</v>
      </c>
      <c r="E1465" s="3" t="s">
        <v>804</v>
      </c>
      <c r="F1465" s="42" t="s">
        <v>562</v>
      </c>
      <c r="G1465" s="3" t="s">
        <v>1984</v>
      </c>
      <c r="H1465" s="6">
        <v>0</v>
      </c>
      <c r="I1465" s="41">
        <f>VLOOKUP(Tabla1[[#This Row],[PAGO DIA]],DIAS!A:B,2,0)</f>
        <v>46078</v>
      </c>
      <c r="J1465" s="6">
        <v>0</v>
      </c>
      <c r="K1465" s="43">
        <f>VLOOKUP(Tabla1[[#This Row],[PAGO DIA]],DIAS!A:C,3,0)</f>
        <v>46105</v>
      </c>
      <c r="L1465" s="6">
        <v>0</v>
      </c>
      <c r="M1465" s="41">
        <f>VLOOKUP(Tabla1[[#This Row],[PAGO DIA]],DIAS!A:D,4,0)</f>
        <v>46140</v>
      </c>
      <c r="N1465" s="6">
        <v>0</v>
      </c>
      <c r="O1465" s="43">
        <f>VLOOKUP(Tabla1[[#This Row],[PAGO DIA]],DIAS!A:E,5,0)</f>
        <v>46168</v>
      </c>
      <c r="P1465" s="6">
        <v>0</v>
      </c>
      <c r="Q1465" s="43">
        <f>VLOOKUP(Tabla1[[#This Row],[PAGO DIA]],DIAS!A:F,6,0)</f>
        <v>46196</v>
      </c>
      <c r="R1465" s="6">
        <v>0</v>
      </c>
      <c r="S1465" s="43">
        <f>VLOOKUP(Tabla1[[#This Row],[PAGO DIA]],DIAS!A:G,7,0)</f>
        <v>46231</v>
      </c>
      <c r="T1465" s="6">
        <v>0</v>
      </c>
      <c r="U1465" s="43">
        <f>VLOOKUP(Tabla1[[#This Row],[PAGO DIA]],DIAS!A:H,8,0)</f>
        <v>46259</v>
      </c>
      <c r="V1465" s="6">
        <v>0</v>
      </c>
      <c r="W1465" s="43">
        <f>VLOOKUP(Tabla1[[#This Row],[PAGO DIA]],DIAS!A:I,9,0)</f>
        <v>46287</v>
      </c>
      <c r="X1465" s="6">
        <v>0</v>
      </c>
      <c r="Y1465" s="43">
        <f>VLOOKUP(Tabla1[[#This Row],[PAGO DIA]],DIAS!A:J,10,0)</f>
        <v>46322</v>
      </c>
      <c r="Z1465" s="6">
        <v>0</v>
      </c>
      <c r="AA1465" s="43">
        <f>VLOOKUP(Tabla1[[#This Row],[PAGO DIA]],DIAS!A:K,11,0)</f>
        <v>46350</v>
      </c>
      <c r="AB1465" s="6">
        <v>0</v>
      </c>
      <c r="AC1465" s="43">
        <f>VLOOKUP(Tabla1[[#This Row],[PAGO DIA]],DIAS!A:M,12,0)</f>
        <v>46379</v>
      </c>
      <c r="AD14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6" spans="1:30">
      <c r="A1466" s="3">
        <v>11391</v>
      </c>
      <c r="B1466" s="3" t="s">
        <v>510</v>
      </c>
      <c r="C1466" s="3" t="s">
        <v>1179</v>
      </c>
      <c r="D1466" s="3" t="s">
        <v>1985</v>
      </c>
      <c r="E1466" s="3" t="s">
        <v>804</v>
      </c>
      <c r="F1466" s="42" t="s">
        <v>562</v>
      </c>
      <c r="G1466" s="3" t="s">
        <v>1984</v>
      </c>
      <c r="H1466" s="6">
        <v>0</v>
      </c>
      <c r="I1466" s="41">
        <f>VLOOKUP(Tabla1[[#This Row],[PAGO DIA]],DIAS!A:B,2,0)</f>
        <v>46078</v>
      </c>
      <c r="J1466" s="6">
        <v>0</v>
      </c>
      <c r="K1466" s="43">
        <f>VLOOKUP(Tabla1[[#This Row],[PAGO DIA]],DIAS!A:C,3,0)</f>
        <v>46105</v>
      </c>
      <c r="L1466" s="6">
        <v>0</v>
      </c>
      <c r="M1466" s="41">
        <f>VLOOKUP(Tabla1[[#This Row],[PAGO DIA]],DIAS!A:D,4,0)</f>
        <v>46140</v>
      </c>
      <c r="N1466" s="6">
        <v>0</v>
      </c>
      <c r="O1466" s="43">
        <f>VLOOKUP(Tabla1[[#This Row],[PAGO DIA]],DIAS!A:E,5,0)</f>
        <v>46168</v>
      </c>
      <c r="P1466" s="6">
        <v>0</v>
      </c>
      <c r="Q1466" s="43">
        <f>VLOOKUP(Tabla1[[#This Row],[PAGO DIA]],DIAS!A:F,6,0)</f>
        <v>46196</v>
      </c>
      <c r="R1466" s="6">
        <v>0</v>
      </c>
      <c r="S1466" s="43">
        <f>VLOOKUP(Tabla1[[#This Row],[PAGO DIA]],DIAS!A:G,7,0)</f>
        <v>46231</v>
      </c>
      <c r="T1466" s="6">
        <v>0</v>
      </c>
      <c r="U1466" s="43">
        <f>VLOOKUP(Tabla1[[#This Row],[PAGO DIA]],DIAS!A:H,8,0)</f>
        <v>46259</v>
      </c>
      <c r="V1466" s="6">
        <v>0</v>
      </c>
      <c r="W1466" s="43">
        <f>VLOOKUP(Tabla1[[#This Row],[PAGO DIA]],DIAS!A:I,9,0)</f>
        <v>46287</v>
      </c>
      <c r="X1466" s="6">
        <v>0</v>
      </c>
      <c r="Y1466" s="43">
        <f>VLOOKUP(Tabla1[[#This Row],[PAGO DIA]],DIAS!A:J,10,0)</f>
        <v>46322</v>
      </c>
      <c r="Z1466" s="6">
        <v>0</v>
      </c>
      <c r="AA1466" s="43">
        <f>VLOOKUP(Tabla1[[#This Row],[PAGO DIA]],DIAS!A:K,11,0)</f>
        <v>46350</v>
      </c>
      <c r="AB1466" s="6">
        <v>0</v>
      </c>
      <c r="AC1466" s="43">
        <f>VLOOKUP(Tabla1[[#This Row],[PAGO DIA]],DIAS!A:M,12,0)</f>
        <v>46379</v>
      </c>
      <c r="AD14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7" spans="1:30">
      <c r="A1467" s="3">
        <v>11730</v>
      </c>
      <c r="B1467" s="3" t="s">
        <v>510</v>
      </c>
      <c r="C1467" s="3" t="s">
        <v>540</v>
      </c>
      <c r="D1467" s="3" t="s">
        <v>540</v>
      </c>
      <c r="E1467" s="3" t="s">
        <v>804</v>
      </c>
      <c r="F1467" s="42" t="s">
        <v>562</v>
      </c>
      <c r="G1467" s="3" t="s">
        <v>1984</v>
      </c>
      <c r="H1467" s="6">
        <v>0</v>
      </c>
      <c r="I1467" s="41">
        <f>VLOOKUP(Tabla1[[#This Row],[PAGO DIA]],DIAS!A:B,2,0)</f>
        <v>46078</v>
      </c>
      <c r="J1467" s="6">
        <v>0</v>
      </c>
      <c r="K1467" s="43">
        <f>VLOOKUP(Tabla1[[#This Row],[PAGO DIA]],DIAS!A:C,3,0)</f>
        <v>46105</v>
      </c>
      <c r="L1467" s="6">
        <v>0</v>
      </c>
      <c r="M1467" s="41">
        <f>VLOOKUP(Tabla1[[#This Row],[PAGO DIA]],DIAS!A:D,4,0)</f>
        <v>46140</v>
      </c>
      <c r="N1467" s="6">
        <v>0</v>
      </c>
      <c r="O1467" s="43">
        <f>VLOOKUP(Tabla1[[#This Row],[PAGO DIA]],DIAS!A:E,5,0)</f>
        <v>46168</v>
      </c>
      <c r="P1467" s="6">
        <v>0</v>
      </c>
      <c r="Q1467" s="43">
        <f>VLOOKUP(Tabla1[[#This Row],[PAGO DIA]],DIAS!A:F,6,0)</f>
        <v>46196</v>
      </c>
      <c r="R1467" s="6">
        <v>0</v>
      </c>
      <c r="S1467" s="43">
        <f>VLOOKUP(Tabla1[[#This Row],[PAGO DIA]],DIAS!A:G,7,0)</f>
        <v>46231</v>
      </c>
      <c r="T1467" s="6">
        <v>0</v>
      </c>
      <c r="U1467" s="43">
        <f>VLOOKUP(Tabla1[[#This Row],[PAGO DIA]],DIAS!A:H,8,0)</f>
        <v>46259</v>
      </c>
      <c r="V1467" s="6">
        <v>0</v>
      </c>
      <c r="W1467" s="43">
        <f>VLOOKUP(Tabla1[[#This Row],[PAGO DIA]],DIAS!A:I,9,0)</f>
        <v>46287</v>
      </c>
      <c r="X1467" s="6">
        <v>0</v>
      </c>
      <c r="Y1467" s="43">
        <f>VLOOKUP(Tabla1[[#This Row],[PAGO DIA]],DIAS!A:J,10,0)</f>
        <v>46322</v>
      </c>
      <c r="Z1467" s="6">
        <v>0</v>
      </c>
      <c r="AA1467" s="43">
        <f>VLOOKUP(Tabla1[[#This Row],[PAGO DIA]],DIAS!A:K,11,0)</f>
        <v>46350</v>
      </c>
      <c r="AB1467" s="6">
        <v>0</v>
      </c>
      <c r="AC1467" s="43">
        <f>VLOOKUP(Tabla1[[#This Row],[PAGO DIA]],DIAS!A:M,12,0)</f>
        <v>46379</v>
      </c>
      <c r="AD14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8" spans="1:30">
      <c r="A1468" s="3">
        <v>11731</v>
      </c>
      <c r="B1468" s="3" t="s">
        <v>510</v>
      </c>
      <c r="C1468" s="3" t="s">
        <v>540</v>
      </c>
      <c r="D1468" s="3" t="s">
        <v>540</v>
      </c>
      <c r="E1468" s="3" t="s">
        <v>804</v>
      </c>
      <c r="F1468" s="42" t="s">
        <v>562</v>
      </c>
      <c r="G1468" s="3" t="s">
        <v>1984</v>
      </c>
      <c r="H1468" s="6">
        <v>0</v>
      </c>
      <c r="I1468" s="41">
        <f>VLOOKUP(Tabla1[[#This Row],[PAGO DIA]],DIAS!A:B,2,0)</f>
        <v>46078</v>
      </c>
      <c r="J1468" s="6">
        <v>0</v>
      </c>
      <c r="K1468" s="43">
        <f>VLOOKUP(Tabla1[[#This Row],[PAGO DIA]],DIAS!A:C,3,0)</f>
        <v>46105</v>
      </c>
      <c r="L1468" s="6">
        <v>0</v>
      </c>
      <c r="M1468" s="41">
        <f>VLOOKUP(Tabla1[[#This Row],[PAGO DIA]],DIAS!A:D,4,0)</f>
        <v>46140</v>
      </c>
      <c r="N1468" s="6">
        <v>0</v>
      </c>
      <c r="O1468" s="43">
        <f>VLOOKUP(Tabla1[[#This Row],[PAGO DIA]],DIAS!A:E,5,0)</f>
        <v>46168</v>
      </c>
      <c r="P1468" s="6">
        <v>0</v>
      </c>
      <c r="Q1468" s="43">
        <f>VLOOKUP(Tabla1[[#This Row],[PAGO DIA]],DIAS!A:F,6,0)</f>
        <v>46196</v>
      </c>
      <c r="R1468" s="6">
        <v>0</v>
      </c>
      <c r="S1468" s="43">
        <f>VLOOKUP(Tabla1[[#This Row],[PAGO DIA]],DIAS!A:G,7,0)</f>
        <v>46231</v>
      </c>
      <c r="T1468" s="6">
        <v>0</v>
      </c>
      <c r="U1468" s="43">
        <f>VLOOKUP(Tabla1[[#This Row],[PAGO DIA]],DIAS!A:H,8,0)</f>
        <v>46259</v>
      </c>
      <c r="V1468" s="6">
        <v>0</v>
      </c>
      <c r="W1468" s="43">
        <f>VLOOKUP(Tabla1[[#This Row],[PAGO DIA]],DIAS!A:I,9,0)</f>
        <v>46287</v>
      </c>
      <c r="X1468" s="6">
        <v>0</v>
      </c>
      <c r="Y1468" s="43">
        <f>VLOOKUP(Tabla1[[#This Row],[PAGO DIA]],DIAS!A:J,10,0)</f>
        <v>46322</v>
      </c>
      <c r="Z1468" s="6">
        <v>0</v>
      </c>
      <c r="AA1468" s="43">
        <f>VLOOKUP(Tabla1[[#This Row],[PAGO DIA]],DIAS!A:K,11,0)</f>
        <v>46350</v>
      </c>
      <c r="AB1468" s="6">
        <v>0</v>
      </c>
      <c r="AC1468" s="43">
        <f>VLOOKUP(Tabla1[[#This Row],[PAGO DIA]],DIAS!A:M,12,0)</f>
        <v>46379</v>
      </c>
      <c r="AD14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69" spans="1:30">
      <c r="A1469" s="3">
        <v>11732</v>
      </c>
      <c r="B1469" s="3" t="s">
        <v>510</v>
      </c>
      <c r="C1469" s="3" t="s">
        <v>540</v>
      </c>
      <c r="D1469" s="3" t="s">
        <v>540</v>
      </c>
      <c r="E1469" s="3" t="s">
        <v>804</v>
      </c>
      <c r="F1469" s="42" t="s">
        <v>562</v>
      </c>
      <c r="G1469" s="3" t="s">
        <v>1984</v>
      </c>
      <c r="H1469" s="6">
        <v>0</v>
      </c>
      <c r="I1469" s="41">
        <f>VLOOKUP(Tabla1[[#This Row],[PAGO DIA]],DIAS!A:B,2,0)</f>
        <v>46078</v>
      </c>
      <c r="J1469" s="6">
        <v>0</v>
      </c>
      <c r="K1469" s="43">
        <f>VLOOKUP(Tabla1[[#This Row],[PAGO DIA]],DIAS!A:C,3,0)</f>
        <v>46105</v>
      </c>
      <c r="L1469" s="6">
        <v>0</v>
      </c>
      <c r="M1469" s="41">
        <f>VLOOKUP(Tabla1[[#This Row],[PAGO DIA]],DIAS!A:D,4,0)</f>
        <v>46140</v>
      </c>
      <c r="N1469" s="6">
        <v>0</v>
      </c>
      <c r="O1469" s="43">
        <f>VLOOKUP(Tabla1[[#This Row],[PAGO DIA]],DIAS!A:E,5,0)</f>
        <v>46168</v>
      </c>
      <c r="P1469" s="6">
        <v>0</v>
      </c>
      <c r="Q1469" s="43">
        <f>VLOOKUP(Tabla1[[#This Row],[PAGO DIA]],DIAS!A:F,6,0)</f>
        <v>46196</v>
      </c>
      <c r="R1469" s="6">
        <v>0</v>
      </c>
      <c r="S1469" s="43">
        <f>VLOOKUP(Tabla1[[#This Row],[PAGO DIA]],DIAS!A:G,7,0)</f>
        <v>46231</v>
      </c>
      <c r="T1469" s="6">
        <v>0</v>
      </c>
      <c r="U1469" s="43">
        <f>VLOOKUP(Tabla1[[#This Row],[PAGO DIA]],DIAS!A:H,8,0)</f>
        <v>46259</v>
      </c>
      <c r="V1469" s="6">
        <v>0</v>
      </c>
      <c r="W1469" s="43">
        <f>VLOOKUP(Tabla1[[#This Row],[PAGO DIA]],DIAS!A:I,9,0)</f>
        <v>46287</v>
      </c>
      <c r="X1469" s="6">
        <v>0</v>
      </c>
      <c r="Y1469" s="43">
        <f>VLOOKUP(Tabla1[[#This Row],[PAGO DIA]],DIAS!A:J,10,0)</f>
        <v>46322</v>
      </c>
      <c r="Z1469" s="6">
        <v>0</v>
      </c>
      <c r="AA1469" s="43">
        <f>VLOOKUP(Tabla1[[#This Row],[PAGO DIA]],DIAS!A:K,11,0)</f>
        <v>46350</v>
      </c>
      <c r="AB1469" s="6">
        <v>0</v>
      </c>
      <c r="AC1469" s="43">
        <f>VLOOKUP(Tabla1[[#This Row],[PAGO DIA]],DIAS!A:M,12,0)</f>
        <v>46379</v>
      </c>
      <c r="AD14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0" spans="1:30">
      <c r="A1470" s="3">
        <v>11733</v>
      </c>
      <c r="B1470" s="3" t="s">
        <v>510</v>
      </c>
      <c r="C1470" s="3" t="s">
        <v>540</v>
      </c>
      <c r="D1470" s="3" t="s">
        <v>540</v>
      </c>
      <c r="E1470" s="3" t="s">
        <v>804</v>
      </c>
      <c r="F1470" s="42" t="s">
        <v>562</v>
      </c>
      <c r="G1470" s="3" t="s">
        <v>1984</v>
      </c>
      <c r="H1470" s="6">
        <v>0</v>
      </c>
      <c r="I1470" s="41">
        <f>VLOOKUP(Tabla1[[#This Row],[PAGO DIA]],DIAS!A:B,2,0)</f>
        <v>46078</v>
      </c>
      <c r="J1470" s="6">
        <v>0</v>
      </c>
      <c r="K1470" s="43">
        <f>VLOOKUP(Tabla1[[#This Row],[PAGO DIA]],DIAS!A:C,3,0)</f>
        <v>46105</v>
      </c>
      <c r="L1470" s="6">
        <v>0</v>
      </c>
      <c r="M1470" s="41">
        <f>VLOOKUP(Tabla1[[#This Row],[PAGO DIA]],DIAS!A:D,4,0)</f>
        <v>46140</v>
      </c>
      <c r="N1470" s="6">
        <v>0</v>
      </c>
      <c r="O1470" s="43">
        <f>VLOOKUP(Tabla1[[#This Row],[PAGO DIA]],DIAS!A:E,5,0)</f>
        <v>46168</v>
      </c>
      <c r="P1470" s="6">
        <v>0</v>
      </c>
      <c r="Q1470" s="43">
        <f>VLOOKUP(Tabla1[[#This Row],[PAGO DIA]],DIAS!A:F,6,0)</f>
        <v>46196</v>
      </c>
      <c r="R1470" s="6">
        <v>0</v>
      </c>
      <c r="S1470" s="43">
        <f>VLOOKUP(Tabla1[[#This Row],[PAGO DIA]],DIAS!A:G,7,0)</f>
        <v>46231</v>
      </c>
      <c r="T1470" s="6">
        <v>0</v>
      </c>
      <c r="U1470" s="43">
        <f>VLOOKUP(Tabla1[[#This Row],[PAGO DIA]],DIAS!A:H,8,0)</f>
        <v>46259</v>
      </c>
      <c r="V1470" s="6">
        <v>0</v>
      </c>
      <c r="W1470" s="43">
        <f>VLOOKUP(Tabla1[[#This Row],[PAGO DIA]],DIAS!A:I,9,0)</f>
        <v>46287</v>
      </c>
      <c r="X1470" s="6">
        <v>0</v>
      </c>
      <c r="Y1470" s="43">
        <f>VLOOKUP(Tabla1[[#This Row],[PAGO DIA]],DIAS!A:J,10,0)</f>
        <v>46322</v>
      </c>
      <c r="Z1470" s="6">
        <v>0</v>
      </c>
      <c r="AA1470" s="43">
        <f>VLOOKUP(Tabla1[[#This Row],[PAGO DIA]],DIAS!A:K,11,0)</f>
        <v>46350</v>
      </c>
      <c r="AB1470" s="6">
        <v>0</v>
      </c>
      <c r="AC1470" s="43">
        <f>VLOOKUP(Tabla1[[#This Row],[PAGO DIA]],DIAS!A:M,12,0)</f>
        <v>46379</v>
      </c>
      <c r="AD14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1" spans="1:30">
      <c r="A1471" s="3">
        <v>11734</v>
      </c>
      <c r="B1471" s="3" t="s">
        <v>510</v>
      </c>
      <c r="C1471" s="3" t="s">
        <v>540</v>
      </c>
      <c r="D1471" s="3" t="s">
        <v>540</v>
      </c>
      <c r="E1471" s="3" t="s">
        <v>804</v>
      </c>
      <c r="F1471" s="42" t="s">
        <v>562</v>
      </c>
      <c r="G1471" s="3" t="s">
        <v>1984</v>
      </c>
      <c r="H1471" s="6">
        <v>0</v>
      </c>
      <c r="I1471" s="41">
        <f>VLOOKUP(Tabla1[[#This Row],[PAGO DIA]],DIAS!A:B,2,0)</f>
        <v>46078</v>
      </c>
      <c r="J1471" s="6">
        <v>0</v>
      </c>
      <c r="K1471" s="43">
        <f>VLOOKUP(Tabla1[[#This Row],[PAGO DIA]],DIAS!A:C,3,0)</f>
        <v>46105</v>
      </c>
      <c r="L1471" s="6">
        <v>0</v>
      </c>
      <c r="M1471" s="41">
        <f>VLOOKUP(Tabla1[[#This Row],[PAGO DIA]],DIAS!A:D,4,0)</f>
        <v>46140</v>
      </c>
      <c r="N1471" s="6">
        <v>0</v>
      </c>
      <c r="O1471" s="43">
        <f>VLOOKUP(Tabla1[[#This Row],[PAGO DIA]],DIAS!A:E,5,0)</f>
        <v>46168</v>
      </c>
      <c r="P1471" s="6">
        <v>0</v>
      </c>
      <c r="Q1471" s="43">
        <f>VLOOKUP(Tabla1[[#This Row],[PAGO DIA]],DIAS!A:F,6,0)</f>
        <v>46196</v>
      </c>
      <c r="R1471" s="6">
        <v>0</v>
      </c>
      <c r="S1471" s="43">
        <f>VLOOKUP(Tabla1[[#This Row],[PAGO DIA]],DIAS!A:G,7,0)</f>
        <v>46231</v>
      </c>
      <c r="T1471" s="6">
        <v>0</v>
      </c>
      <c r="U1471" s="43">
        <f>VLOOKUP(Tabla1[[#This Row],[PAGO DIA]],DIAS!A:H,8,0)</f>
        <v>46259</v>
      </c>
      <c r="V1471" s="6">
        <v>0</v>
      </c>
      <c r="W1471" s="43">
        <f>VLOOKUP(Tabla1[[#This Row],[PAGO DIA]],DIAS!A:I,9,0)</f>
        <v>46287</v>
      </c>
      <c r="X1471" s="6">
        <v>0</v>
      </c>
      <c r="Y1471" s="43">
        <f>VLOOKUP(Tabla1[[#This Row],[PAGO DIA]],DIAS!A:J,10,0)</f>
        <v>46322</v>
      </c>
      <c r="Z1471" s="6">
        <v>0</v>
      </c>
      <c r="AA1471" s="43">
        <f>VLOOKUP(Tabla1[[#This Row],[PAGO DIA]],DIAS!A:K,11,0)</f>
        <v>46350</v>
      </c>
      <c r="AB1471" s="6">
        <v>0</v>
      </c>
      <c r="AC1471" s="43">
        <f>VLOOKUP(Tabla1[[#This Row],[PAGO DIA]],DIAS!A:M,12,0)</f>
        <v>46379</v>
      </c>
      <c r="AD14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2" spans="1:30">
      <c r="A1472" s="3">
        <v>11735</v>
      </c>
      <c r="B1472" s="3" t="s">
        <v>510</v>
      </c>
      <c r="C1472" s="3" t="s">
        <v>540</v>
      </c>
      <c r="D1472" s="3" t="s">
        <v>540</v>
      </c>
      <c r="E1472" s="3" t="s">
        <v>804</v>
      </c>
      <c r="F1472" s="42" t="s">
        <v>562</v>
      </c>
      <c r="G1472" s="3" t="s">
        <v>1984</v>
      </c>
      <c r="H1472" s="6">
        <v>0</v>
      </c>
      <c r="I1472" s="41">
        <f>VLOOKUP(Tabla1[[#This Row],[PAGO DIA]],DIAS!A:B,2,0)</f>
        <v>46078</v>
      </c>
      <c r="J1472" s="6">
        <v>0</v>
      </c>
      <c r="K1472" s="43">
        <f>VLOOKUP(Tabla1[[#This Row],[PAGO DIA]],DIAS!A:C,3,0)</f>
        <v>46105</v>
      </c>
      <c r="L1472" s="6">
        <v>0</v>
      </c>
      <c r="M1472" s="41">
        <f>VLOOKUP(Tabla1[[#This Row],[PAGO DIA]],DIAS!A:D,4,0)</f>
        <v>46140</v>
      </c>
      <c r="N1472" s="6">
        <v>0</v>
      </c>
      <c r="O1472" s="43">
        <f>VLOOKUP(Tabla1[[#This Row],[PAGO DIA]],DIAS!A:E,5,0)</f>
        <v>46168</v>
      </c>
      <c r="P1472" s="6">
        <v>0</v>
      </c>
      <c r="Q1472" s="43">
        <f>VLOOKUP(Tabla1[[#This Row],[PAGO DIA]],DIAS!A:F,6,0)</f>
        <v>46196</v>
      </c>
      <c r="R1472" s="6">
        <v>0</v>
      </c>
      <c r="S1472" s="43">
        <f>VLOOKUP(Tabla1[[#This Row],[PAGO DIA]],DIAS!A:G,7,0)</f>
        <v>46231</v>
      </c>
      <c r="T1472" s="6">
        <v>0</v>
      </c>
      <c r="U1472" s="43">
        <f>VLOOKUP(Tabla1[[#This Row],[PAGO DIA]],DIAS!A:H,8,0)</f>
        <v>46259</v>
      </c>
      <c r="V1472" s="6">
        <v>0</v>
      </c>
      <c r="W1472" s="43">
        <f>VLOOKUP(Tabla1[[#This Row],[PAGO DIA]],DIAS!A:I,9,0)</f>
        <v>46287</v>
      </c>
      <c r="X1472" s="6">
        <v>0</v>
      </c>
      <c r="Y1472" s="43">
        <f>VLOOKUP(Tabla1[[#This Row],[PAGO DIA]],DIAS!A:J,10,0)</f>
        <v>46322</v>
      </c>
      <c r="Z1472" s="6">
        <v>0</v>
      </c>
      <c r="AA1472" s="43">
        <f>VLOOKUP(Tabla1[[#This Row],[PAGO DIA]],DIAS!A:K,11,0)</f>
        <v>46350</v>
      </c>
      <c r="AB1472" s="6">
        <v>0</v>
      </c>
      <c r="AC1472" s="43">
        <f>VLOOKUP(Tabla1[[#This Row],[PAGO DIA]],DIAS!A:M,12,0)</f>
        <v>46379</v>
      </c>
      <c r="AD14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3" spans="1:30">
      <c r="A1473" s="3">
        <v>11736</v>
      </c>
      <c r="B1473" s="3" t="s">
        <v>510</v>
      </c>
      <c r="C1473" s="3"/>
      <c r="D1473" s="3" t="s">
        <v>1986</v>
      </c>
      <c r="E1473" s="3" t="s">
        <v>804</v>
      </c>
      <c r="F1473" s="42" t="s">
        <v>562</v>
      </c>
      <c r="G1473" s="3"/>
      <c r="H1473" s="6">
        <v>0</v>
      </c>
      <c r="I1473" s="41">
        <f>VLOOKUP(Tabla1[[#This Row],[PAGO DIA]],DIAS!A:B,2,0)</f>
        <v>46078</v>
      </c>
      <c r="J1473" s="6">
        <v>0</v>
      </c>
      <c r="K1473" s="43">
        <f>VLOOKUP(Tabla1[[#This Row],[PAGO DIA]],DIAS!A:C,3,0)</f>
        <v>46105</v>
      </c>
      <c r="L1473" s="6">
        <v>0</v>
      </c>
      <c r="M1473" s="41">
        <f>VLOOKUP(Tabla1[[#This Row],[PAGO DIA]],DIAS!A:D,4,0)</f>
        <v>46140</v>
      </c>
      <c r="N1473" s="6">
        <v>0</v>
      </c>
      <c r="O1473" s="43">
        <f>VLOOKUP(Tabla1[[#This Row],[PAGO DIA]],DIAS!A:E,5,0)</f>
        <v>46168</v>
      </c>
      <c r="P1473" s="6">
        <v>0</v>
      </c>
      <c r="Q1473" s="43">
        <f>VLOOKUP(Tabla1[[#This Row],[PAGO DIA]],DIAS!A:F,6,0)</f>
        <v>46196</v>
      </c>
      <c r="R1473" s="6">
        <v>0</v>
      </c>
      <c r="S1473" s="43">
        <f>VLOOKUP(Tabla1[[#This Row],[PAGO DIA]],DIAS!A:G,7,0)</f>
        <v>46231</v>
      </c>
      <c r="T1473" s="6">
        <v>0</v>
      </c>
      <c r="U1473" s="43">
        <f>VLOOKUP(Tabla1[[#This Row],[PAGO DIA]],DIAS!A:H,8,0)</f>
        <v>46259</v>
      </c>
      <c r="V1473" s="6">
        <v>0</v>
      </c>
      <c r="W1473" s="43">
        <f>VLOOKUP(Tabla1[[#This Row],[PAGO DIA]],DIAS!A:I,9,0)</f>
        <v>46287</v>
      </c>
      <c r="X1473" s="6">
        <v>0</v>
      </c>
      <c r="Y1473" s="43">
        <f>VLOOKUP(Tabla1[[#This Row],[PAGO DIA]],DIAS!A:J,10,0)</f>
        <v>46322</v>
      </c>
      <c r="Z1473" s="6">
        <v>0</v>
      </c>
      <c r="AA1473" s="43">
        <f>VLOOKUP(Tabla1[[#This Row],[PAGO DIA]],DIAS!A:K,11,0)</f>
        <v>46350</v>
      </c>
      <c r="AB1473" s="6">
        <v>0</v>
      </c>
      <c r="AC1473" s="43">
        <f>VLOOKUP(Tabla1[[#This Row],[PAGO DIA]],DIAS!A:M,12,0)</f>
        <v>46379</v>
      </c>
      <c r="AD14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4" spans="1:30">
      <c r="A1474" s="3">
        <v>11737</v>
      </c>
      <c r="B1474" s="3" t="s">
        <v>510</v>
      </c>
      <c r="C1474" s="3"/>
      <c r="D1474" s="3" t="s">
        <v>1987</v>
      </c>
      <c r="E1474" s="3" t="s">
        <v>804</v>
      </c>
      <c r="F1474" s="42" t="s">
        <v>562</v>
      </c>
      <c r="G1474" s="3"/>
      <c r="H1474" s="6">
        <v>0</v>
      </c>
      <c r="I1474" s="41">
        <f>VLOOKUP(Tabla1[[#This Row],[PAGO DIA]],DIAS!A:B,2,0)</f>
        <v>46078</v>
      </c>
      <c r="J1474" s="6">
        <v>0</v>
      </c>
      <c r="K1474" s="43">
        <f>VLOOKUP(Tabla1[[#This Row],[PAGO DIA]],DIAS!A:C,3,0)</f>
        <v>46105</v>
      </c>
      <c r="L1474" s="6">
        <v>0</v>
      </c>
      <c r="M1474" s="41">
        <f>VLOOKUP(Tabla1[[#This Row],[PAGO DIA]],DIAS!A:D,4,0)</f>
        <v>46140</v>
      </c>
      <c r="N1474" s="6">
        <v>0</v>
      </c>
      <c r="O1474" s="43">
        <f>VLOOKUP(Tabla1[[#This Row],[PAGO DIA]],DIAS!A:E,5,0)</f>
        <v>46168</v>
      </c>
      <c r="P1474" s="6">
        <v>0</v>
      </c>
      <c r="Q1474" s="43">
        <f>VLOOKUP(Tabla1[[#This Row],[PAGO DIA]],DIAS!A:F,6,0)</f>
        <v>46196</v>
      </c>
      <c r="R1474" s="6">
        <v>0</v>
      </c>
      <c r="S1474" s="43">
        <f>VLOOKUP(Tabla1[[#This Row],[PAGO DIA]],DIAS!A:G,7,0)</f>
        <v>46231</v>
      </c>
      <c r="T1474" s="6">
        <v>0</v>
      </c>
      <c r="U1474" s="43">
        <f>VLOOKUP(Tabla1[[#This Row],[PAGO DIA]],DIAS!A:H,8,0)</f>
        <v>46259</v>
      </c>
      <c r="V1474" s="6">
        <v>0</v>
      </c>
      <c r="W1474" s="43">
        <f>VLOOKUP(Tabla1[[#This Row],[PAGO DIA]],DIAS!A:I,9,0)</f>
        <v>46287</v>
      </c>
      <c r="X1474" s="6">
        <v>0</v>
      </c>
      <c r="Y1474" s="43">
        <f>VLOOKUP(Tabla1[[#This Row],[PAGO DIA]],DIAS!A:J,10,0)</f>
        <v>46322</v>
      </c>
      <c r="Z1474" s="6">
        <v>0</v>
      </c>
      <c r="AA1474" s="43">
        <f>VLOOKUP(Tabla1[[#This Row],[PAGO DIA]],DIAS!A:K,11,0)</f>
        <v>46350</v>
      </c>
      <c r="AB1474" s="6">
        <v>0</v>
      </c>
      <c r="AC1474" s="43">
        <f>VLOOKUP(Tabla1[[#This Row],[PAGO DIA]],DIAS!A:M,12,0)</f>
        <v>46379</v>
      </c>
      <c r="AD14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5" spans="1:30">
      <c r="A1475" s="3">
        <v>11738</v>
      </c>
      <c r="B1475" s="3" t="s">
        <v>510</v>
      </c>
      <c r="C1475" s="3" t="s">
        <v>1179</v>
      </c>
      <c r="D1475" s="3" t="s">
        <v>1988</v>
      </c>
      <c r="E1475" s="3" t="s">
        <v>804</v>
      </c>
      <c r="F1475" s="42" t="s">
        <v>562</v>
      </c>
      <c r="G1475" s="3" t="s">
        <v>1984</v>
      </c>
      <c r="H1475" s="6">
        <v>0</v>
      </c>
      <c r="I1475" s="41">
        <f>VLOOKUP(Tabla1[[#This Row],[PAGO DIA]],DIAS!A:B,2,0)</f>
        <v>46078</v>
      </c>
      <c r="J1475" s="6">
        <v>0</v>
      </c>
      <c r="K1475" s="43">
        <f>VLOOKUP(Tabla1[[#This Row],[PAGO DIA]],DIAS!A:C,3,0)</f>
        <v>46105</v>
      </c>
      <c r="L1475" s="6">
        <v>0</v>
      </c>
      <c r="M1475" s="41">
        <f>VLOOKUP(Tabla1[[#This Row],[PAGO DIA]],DIAS!A:D,4,0)</f>
        <v>46140</v>
      </c>
      <c r="N1475" s="6">
        <v>0</v>
      </c>
      <c r="O1475" s="43">
        <f>VLOOKUP(Tabla1[[#This Row],[PAGO DIA]],DIAS!A:E,5,0)</f>
        <v>46168</v>
      </c>
      <c r="P1475" s="6">
        <v>0</v>
      </c>
      <c r="Q1475" s="43">
        <f>VLOOKUP(Tabla1[[#This Row],[PAGO DIA]],DIAS!A:F,6,0)</f>
        <v>46196</v>
      </c>
      <c r="R1475" s="6">
        <v>0</v>
      </c>
      <c r="S1475" s="43">
        <f>VLOOKUP(Tabla1[[#This Row],[PAGO DIA]],DIAS!A:G,7,0)</f>
        <v>46231</v>
      </c>
      <c r="T1475" s="6">
        <v>0</v>
      </c>
      <c r="U1475" s="43">
        <f>VLOOKUP(Tabla1[[#This Row],[PAGO DIA]],DIAS!A:H,8,0)</f>
        <v>46259</v>
      </c>
      <c r="V1475" s="6">
        <v>0</v>
      </c>
      <c r="W1475" s="43">
        <f>VLOOKUP(Tabla1[[#This Row],[PAGO DIA]],DIAS!A:I,9,0)</f>
        <v>46287</v>
      </c>
      <c r="X1475" s="6">
        <v>0</v>
      </c>
      <c r="Y1475" s="43">
        <f>VLOOKUP(Tabla1[[#This Row],[PAGO DIA]],DIAS!A:J,10,0)</f>
        <v>46322</v>
      </c>
      <c r="Z1475" s="6">
        <v>0</v>
      </c>
      <c r="AA1475" s="43">
        <f>VLOOKUP(Tabla1[[#This Row],[PAGO DIA]],DIAS!A:K,11,0)</f>
        <v>46350</v>
      </c>
      <c r="AB1475" s="6">
        <v>0</v>
      </c>
      <c r="AC1475" s="43">
        <f>VLOOKUP(Tabla1[[#This Row],[PAGO DIA]],DIAS!A:M,12,0)</f>
        <v>46379</v>
      </c>
      <c r="AD14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6" spans="1:30">
      <c r="A1476" s="3">
        <v>11739</v>
      </c>
      <c r="B1476" s="3" t="s">
        <v>510</v>
      </c>
      <c r="C1476" s="3" t="s">
        <v>1179</v>
      </c>
      <c r="D1476" s="3" t="s">
        <v>1989</v>
      </c>
      <c r="E1476" s="3" t="s">
        <v>804</v>
      </c>
      <c r="F1476" s="42" t="s">
        <v>562</v>
      </c>
      <c r="G1476" s="3" t="s">
        <v>1990</v>
      </c>
      <c r="H1476" s="6">
        <v>0</v>
      </c>
      <c r="I1476" s="41">
        <f>VLOOKUP(Tabla1[[#This Row],[PAGO DIA]],DIAS!A:B,2,0)</f>
        <v>46078</v>
      </c>
      <c r="J1476" s="6">
        <v>0</v>
      </c>
      <c r="K1476" s="43">
        <f>VLOOKUP(Tabla1[[#This Row],[PAGO DIA]],DIAS!A:C,3,0)</f>
        <v>46105</v>
      </c>
      <c r="L1476" s="6">
        <v>0</v>
      </c>
      <c r="M1476" s="41">
        <f>VLOOKUP(Tabla1[[#This Row],[PAGO DIA]],DIAS!A:D,4,0)</f>
        <v>46140</v>
      </c>
      <c r="N1476" s="6">
        <v>0</v>
      </c>
      <c r="O1476" s="43">
        <f>VLOOKUP(Tabla1[[#This Row],[PAGO DIA]],DIAS!A:E,5,0)</f>
        <v>46168</v>
      </c>
      <c r="P1476" s="6">
        <v>0</v>
      </c>
      <c r="Q1476" s="43">
        <f>VLOOKUP(Tabla1[[#This Row],[PAGO DIA]],DIAS!A:F,6,0)</f>
        <v>46196</v>
      </c>
      <c r="R1476" s="6">
        <v>0</v>
      </c>
      <c r="S1476" s="43">
        <f>VLOOKUP(Tabla1[[#This Row],[PAGO DIA]],DIAS!A:G,7,0)</f>
        <v>46231</v>
      </c>
      <c r="T1476" s="6">
        <v>0</v>
      </c>
      <c r="U1476" s="43">
        <f>VLOOKUP(Tabla1[[#This Row],[PAGO DIA]],DIAS!A:H,8,0)</f>
        <v>46259</v>
      </c>
      <c r="V1476" s="6">
        <v>0</v>
      </c>
      <c r="W1476" s="43">
        <f>VLOOKUP(Tabla1[[#This Row],[PAGO DIA]],DIAS!A:I,9,0)</f>
        <v>46287</v>
      </c>
      <c r="X1476" s="6">
        <v>0</v>
      </c>
      <c r="Y1476" s="43">
        <f>VLOOKUP(Tabla1[[#This Row],[PAGO DIA]],DIAS!A:J,10,0)</f>
        <v>46322</v>
      </c>
      <c r="Z1476" s="6">
        <v>0</v>
      </c>
      <c r="AA1476" s="43">
        <f>VLOOKUP(Tabla1[[#This Row],[PAGO DIA]],DIAS!A:K,11,0)</f>
        <v>46350</v>
      </c>
      <c r="AB1476" s="6">
        <v>0</v>
      </c>
      <c r="AC1476" s="43">
        <f>VLOOKUP(Tabla1[[#This Row],[PAGO DIA]],DIAS!A:M,12,0)</f>
        <v>46379</v>
      </c>
      <c r="AD14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7" spans="1:30">
      <c r="A1477" s="3">
        <v>12506</v>
      </c>
      <c r="B1477" s="3" t="s">
        <v>510</v>
      </c>
      <c r="C1477" s="3" t="s">
        <v>1941</v>
      </c>
      <c r="D1477" s="3" t="s">
        <v>1941</v>
      </c>
      <c r="E1477" s="3" t="s">
        <v>1991</v>
      </c>
      <c r="F1477" s="42" t="s">
        <v>562</v>
      </c>
      <c r="G1477" s="3" t="s">
        <v>1992</v>
      </c>
      <c r="H1477" s="6">
        <v>0</v>
      </c>
      <c r="I1477" s="41">
        <f>VLOOKUP(Tabla1[[#This Row],[PAGO DIA]],DIAS!A:B,2,0)</f>
        <v>46078</v>
      </c>
      <c r="J1477" s="6">
        <v>0</v>
      </c>
      <c r="K1477" s="43">
        <f>VLOOKUP(Tabla1[[#This Row],[PAGO DIA]],DIAS!A:C,3,0)</f>
        <v>46105</v>
      </c>
      <c r="L1477" s="6">
        <v>0</v>
      </c>
      <c r="M1477" s="41">
        <f>VLOOKUP(Tabla1[[#This Row],[PAGO DIA]],DIAS!A:D,4,0)</f>
        <v>46140</v>
      </c>
      <c r="N1477" s="6">
        <v>0</v>
      </c>
      <c r="O1477" s="43">
        <f>VLOOKUP(Tabla1[[#This Row],[PAGO DIA]],DIAS!A:E,5,0)</f>
        <v>46168</v>
      </c>
      <c r="P1477" s="6">
        <v>0</v>
      </c>
      <c r="Q1477" s="43">
        <f>VLOOKUP(Tabla1[[#This Row],[PAGO DIA]],DIAS!A:F,6,0)</f>
        <v>46196</v>
      </c>
      <c r="R1477" s="6">
        <v>0</v>
      </c>
      <c r="S1477" s="43">
        <f>VLOOKUP(Tabla1[[#This Row],[PAGO DIA]],DIAS!A:G,7,0)</f>
        <v>46231</v>
      </c>
      <c r="T1477" s="6">
        <v>0</v>
      </c>
      <c r="U1477" s="43">
        <f>VLOOKUP(Tabla1[[#This Row],[PAGO DIA]],DIAS!A:H,8,0)</f>
        <v>46259</v>
      </c>
      <c r="V1477" s="6">
        <v>0</v>
      </c>
      <c r="W1477" s="43">
        <f>VLOOKUP(Tabla1[[#This Row],[PAGO DIA]],DIAS!A:I,9,0)</f>
        <v>46287</v>
      </c>
      <c r="X1477" s="6">
        <v>0</v>
      </c>
      <c r="Y1477" s="43">
        <f>VLOOKUP(Tabla1[[#This Row],[PAGO DIA]],DIAS!A:J,10,0)</f>
        <v>46322</v>
      </c>
      <c r="Z1477" s="6">
        <v>0</v>
      </c>
      <c r="AA1477" s="43">
        <f>VLOOKUP(Tabla1[[#This Row],[PAGO DIA]],DIAS!A:K,11,0)</f>
        <v>46350</v>
      </c>
      <c r="AB1477" s="6">
        <v>0</v>
      </c>
      <c r="AC1477" s="43">
        <f>VLOOKUP(Tabla1[[#This Row],[PAGO DIA]],DIAS!A:M,12,0)</f>
        <v>46379</v>
      </c>
      <c r="AD14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8" spans="1:30">
      <c r="A1478" s="3">
        <v>11742</v>
      </c>
      <c r="B1478" s="3" t="s">
        <v>510</v>
      </c>
      <c r="C1478" s="3" t="s">
        <v>1899</v>
      </c>
      <c r="D1478" s="3" t="s">
        <v>1941</v>
      </c>
      <c r="E1478" s="3" t="s">
        <v>1993</v>
      </c>
      <c r="F1478" s="42" t="s">
        <v>562</v>
      </c>
      <c r="G1478" s="3"/>
      <c r="H1478" s="6">
        <v>0</v>
      </c>
      <c r="I1478" s="41">
        <f>VLOOKUP(Tabla1[[#This Row],[PAGO DIA]],DIAS!A:B,2,0)</f>
        <v>46078</v>
      </c>
      <c r="J1478" s="6">
        <v>0</v>
      </c>
      <c r="K1478" s="43">
        <f>VLOOKUP(Tabla1[[#This Row],[PAGO DIA]],DIAS!A:C,3,0)</f>
        <v>46105</v>
      </c>
      <c r="L1478" s="6">
        <v>0</v>
      </c>
      <c r="M1478" s="41">
        <f>VLOOKUP(Tabla1[[#This Row],[PAGO DIA]],DIAS!A:D,4,0)</f>
        <v>46140</v>
      </c>
      <c r="N1478" s="6">
        <v>0</v>
      </c>
      <c r="O1478" s="43">
        <f>VLOOKUP(Tabla1[[#This Row],[PAGO DIA]],DIAS!A:E,5,0)</f>
        <v>46168</v>
      </c>
      <c r="P1478" s="6">
        <v>0</v>
      </c>
      <c r="Q1478" s="43">
        <f>VLOOKUP(Tabla1[[#This Row],[PAGO DIA]],DIAS!A:F,6,0)</f>
        <v>46196</v>
      </c>
      <c r="R1478" s="6">
        <v>0</v>
      </c>
      <c r="S1478" s="43">
        <f>VLOOKUP(Tabla1[[#This Row],[PAGO DIA]],DIAS!A:G,7,0)</f>
        <v>46231</v>
      </c>
      <c r="T1478" s="6">
        <v>0</v>
      </c>
      <c r="U1478" s="43">
        <f>VLOOKUP(Tabla1[[#This Row],[PAGO DIA]],DIAS!A:H,8,0)</f>
        <v>46259</v>
      </c>
      <c r="V1478" s="6">
        <v>0</v>
      </c>
      <c r="W1478" s="43">
        <f>VLOOKUP(Tabla1[[#This Row],[PAGO DIA]],DIAS!A:I,9,0)</f>
        <v>46287</v>
      </c>
      <c r="X1478" s="6">
        <v>0</v>
      </c>
      <c r="Y1478" s="43">
        <f>VLOOKUP(Tabla1[[#This Row],[PAGO DIA]],DIAS!A:J,10,0)</f>
        <v>46322</v>
      </c>
      <c r="Z1478" s="6">
        <v>0</v>
      </c>
      <c r="AA1478" s="43">
        <f>VLOOKUP(Tabla1[[#This Row],[PAGO DIA]],DIAS!A:K,11,0)</f>
        <v>46350</v>
      </c>
      <c r="AB1478" s="6">
        <v>0</v>
      </c>
      <c r="AC1478" s="43">
        <f>VLOOKUP(Tabla1[[#This Row],[PAGO DIA]],DIAS!A:M,12,0)</f>
        <v>46379</v>
      </c>
      <c r="AD14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79" spans="1:30">
      <c r="A1479" s="3">
        <v>11219</v>
      </c>
      <c r="B1479" s="3" t="s">
        <v>510</v>
      </c>
      <c r="C1479" s="3" t="s">
        <v>1140</v>
      </c>
      <c r="D1479" s="3" t="s">
        <v>1994</v>
      </c>
      <c r="E1479" s="3" t="s">
        <v>806</v>
      </c>
      <c r="F1479" s="42" t="s">
        <v>562</v>
      </c>
      <c r="G1479" s="3" t="s">
        <v>1995</v>
      </c>
      <c r="H1479" s="6">
        <v>0</v>
      </c>
      <c r="I1479" s="41">
        <f>VLOOKUP(Tabla1[[#This Row],[PAGO DIA]],DIAS!A:B,2,0)</f>
        <v>46078</v>
      </c>
      <c r="J1479" s="6">
        <v>0</v>
      </c>
      <c r="K1479" s="43">
        <f>VLOOKUP(Tabla1[[#This Row],[PAGO DIA]],DIAS!A:C,3,0)</f>
        <v>46105</v>
      </c>
      <c r="L1479" s="6">
        <v>0</v>
      </c>
      <c r="M1479" s="41">
        <f>VLOOKUP(Tabla1[[#This Row],[PAGO DIA]],DIAS!A:D,4,0)</f>
        <v>46140</v>
      </c>
      <c r="N1479" s="6">
        <v>0</v>
      </c>
      <c r="O1479" s="43">
        <f>VLOOKUP(Tabla1[[#This Row],[PAGO DIA]],DIAS!A:E,5,0)</f>
        <v>46168</v>
      </c>
      <c r="P1479" s="6">
        <v>0</v>
      </c>
      <c r="Q1479" s="43">
        <f>VLOOKUP(Tabla1[[#This Row],[PAGO DIA]],DIAS!A:F,6,0)</f>
        <v>46196</v>
      </c>
      <c r="R1479" s="6">
        <v>0</v>
      </c>
      <c r="S1479" s="43">
        <f>VLOOKUP(Tabla1[[#This Row],[PAGO DIA]],DIAS!A:G,7,0)</f>
        <v>46231</v>
      </c>
      <c r="T1479" s="6">
        <v>0</v>
      </c>
      <c r="U1479" s="43">
        <f>VLOOKUP(Tabla1[[#This Row],[PAGO DIA]],DIAS!A:H,8,0)</f>
        <v>46259</v>
      </c>
      <c r="V1479" s="6">
        <v>0</v>
      </c>
      <c r="W1479" s="43">
        <f>VLOOKUP(Tabla1[[#This Row],[PAGO DIA]],DIAS!A:I,9,0)</f>
        <v>46287</v>
      </c>
      <c r="X1479" s="6">
        <v>0</v>
      </c>
      <c r="Y1479" s="43">
        <f>VLOOKUP(Tabla1[[#This Row],[PAGO DIA]],DIAS!A:J,10,0)</f>
        <v>46322</v>
      </c>
      <c r="Z1479" s="6">
        <v>0</v>
      </c>
      <c r="AA1479" s="43">
        <f>VLOOKUP(Tabla1[[#This Row],[PAGO DIA]],DIAS!A:K,11,0)</f>
        <v>46350</v>
      </c>
      <c r="AB1479" s="6">
        <v>0</v>
      </c>
      <c r="AC1479" s="43">
        <f>VLOOKUP(Tabla1[[#This Row],[PAGO DIA]],DIAS!A:M,12,0)</f>
        <v>46379</v>
      </c>
      <c r="AD14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0" spans="1:30">
      <c r="A1480" s="3">
        <v>11348</v>
      </c>
      <c r="B1480" s="3" t="s">
        <v>510</v>
      </c>
      <c r="C1480" s="3" t="s">
        <v>1140</v>
      </c>
      <c r="D1480" s="3" t="s">
        <v>1994</v>
      </c>
      <c r="E1480" s="3" t="s">
        <v>806</v>
      </c>
      <c r="F1480" s="42" t="s">
        <v>562</v>
      </c>
      <c r="G1480" s="3" t="s">
        <v>1995</v>
      </c>
      <c r="H1480" s="6">
        <v>0</v>
      </c>
      <c r="I1480" s="41">
        <f>VLOOKUP(Tabla1[[#This Row],[PAGO DIA]],DIAS!A:B,2,0)</f>
        <v>46078</v>
      </c>
      <c r="J1480" s="6">
        <v>0</v>
      </c>
      <c r="K1480" s="43">
        <f>VLOOKUP(Tabla1[[#This Row],[PAGO DIA]],DIAS!A:C,3,0)</f>
        <v>46105</v>
      </c>
      <c r="L1480" s="6">
        <v>0</v>
      </c>
      <c r="M1480" s="41">
        <f>VLOOKUP(Tabla1[[#This Row],[PAGO DIA]],DIAS!A:D,4,0)</f>
        <v>46140</v>
      </c>
      <c r="N1480" s="6">
        <v>0</v>
      </c>
      <c r="O1480" s="43">
        <f>VLOOKUP(Tabla1[[#This Row],[PAGO DIA]],DIAS!A:E,5,0)</f>
        <v>46168</v>
      </c>
      <c r="P1480" s="6">
        <v>0</v>
      </c>
      <c r="Q1480" s="43">
        <f>VLOOKUP(Tabla1[[#This Row],[PAGO DIA]],DIAS!A:F,6,0)</f>
        <v>46196</v>
      </c>
      <c r="R1480" s="6">
        <v>0</v>
      </c>
      <c r="S1480" s="43">
        <f>VLOOKUP(Tabla1[[#This Row],[PAGO DIA]],DIAS!A:G,7,0)</f>
        <v>46231</v>
      </c>
      <c r="T1480" s="6">
        <v>0</v>
      </c>
      <c r="U1480" s="43">
        <f>VLOOKUP(Tabla1[[#This Row],[PAGO DIA]],DIAS!A:H,8,0)</f>
        <v>46259</v>
      </c>
      <c r="V1480" s="6">
        <v>0</v>
      </c>
      <c r="W1480" s="43">
        <f>VLOOKUP(Tabla1[[#This Row],[PAGO DIA]],DIAS!A:I,9,0)</f>
        <v>46287</v>
      </c>
      <c r="X1480" s="6">
        <v>0</v>
      </c>
      <c r="Y1480" s="43">
        <f>VLOOKUP(Tabla1[[#This Row],[PAGO DIA]],DIAS!A:J,10,0)</f>
        <v>46322</v>
      </c>
      <c r="Z1480" s="6">
        <v>0</v>
      </c>
      <c r="AA1480" s="43">
        <f>VLOOKUP(Tabla1[[#This Row],[PAGO DIA]],DIAS!A:K,11,0)</f>
        <v>46350</v>
      </c>
      <c r="AB1480" s="6">
        <v>0</v>
      </c>
      <c r="AC1480" s="43">
        <f>VLOOKUP(Tabla1[[#This Row],[PAGO DIA]],DIAS!A:M,12,0)</f>
        <v>46379</v>
      </c>
      <c r="AD14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1" spans="1:30">
      <c r="A1481" s="3">
        <v>11747</v>
      </c>
      <c r="B1481" s="3" t="s">
        <v>510</v>
      </c>
      <c r="C1481" s="3" t="s">
        <v>1140</v>
      </c>
      <c r="D1481" s="3" t="s">
        <v>1994</v>
      </c>
      <c r="E1481" s="3" t="s">
        <v>806</v>
      </c>
      <c r="F1481" s="42" t="s">
        <v>562</v>
      </c>
      <c r="G1481" s="3" t="s">
        <v>1995</v>
      </c>
      <c r="H1481" s="6">
        <v>0</v>
      </c>
      <c r="I1481" s="41">
        <f>VLOOKUP(Tabla1[[#This Row],[PAGO DIA]],DIAS!A:B,2,0)</f>
        <v>46078</v>
      </c>
      <c r="J1481" s="6">
        <v>0</v>
      </c>
      <c r="K1481" s="43">
        <f>VLOOKUP(Tabla1[[#This Row],[PAGO DIA]],DIAS!A:C,3,0)</f>
        <v>46105</v>
      </c>
      <c r="L1481" s="6">
        <v>0</v>
      </c>
      <c r="M1481" s="41">
        <f>VLOOKUP(Tabla1[[#This Row],[PAGO DIA]],DIAS!A:D,4,0)</f>
        <v>46140</v>
      </c>
      <c r="N1481" s="6">
        <v>0</v>
      </c>
      <c r="O1481" s="43">
        <f>VLOOKUP(Tabla1[[#This Row],[PAGO DIA]],DIAS!A:E,5,0)</f>
        <v>46168</v>
      </c>
      <c r="P1481" s="6">
        <v>0</v>
      </c>
      <c r="Q1481" s="43">
        <f>VLOOKUP(Tabla1[[#This Row],[PAGO DIA]],DIAS!A:F,6,0)</f>
        <v>46196</v>
      </c>
      <c r="R1481" s="6">
        <v>0</v>
      </c>
      <c r="S1481" s="43">
        <f>VLOOKUP(Tabla1[[#This Row],[PAGO DIA]],DIAS!A:G,7,0)</f>
        <v>46231</v>
      </c>
      <c r="T1481" s="6">
        <v>0</v>
      </c>
      <c r="U1481" s="43">
        <f>VLOOKUP(Tabla1[[#This Row],[PAGO DIA]],DIAS!A:H,8,0)</f>
        <v>46259</v>
      </c>
      <c r="V1481" s="6">
        <v>0</v>
      </c>
      <c r="W1481" s="43">
        <f>VLOOKUP(Tabla1[[#This Row],[PAGO DIA]],DIAS!A:I,9,0)</f>
        <v>46287</v>
      </c>
      <c r="X1481" s="6">
        <v>0</v>
      </c>
      <c r="Y1481" s="43">
        <f>VLOOKUP(Tabla1[[#This Row],[PAGO DIA]],DIAS!A:J,10,0)</f>
        <v>46322</v>
      </c>
      <c r="Z1481" s="6">
        <v>0</v>
      </c>
      <c r="AA1481" s="43">
        <f>VLOOKUP(Tabla1[[#This Row],[PAGO DIA]],DIAS!A:K,11,0)</f>
        <v>46350</v>
      </c>
      <c r="AB1481" s="6">
        <v>0</v>
      </c>
      <c r="AC1481" s="43">
        <f>VLOOKUP(Tabla1[[#This Row],[PAGO DIA]],DIAS!A:M,12,0)</f>
        <v>46379</v>
      </c>
      <c r="AD14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2" spans="1:30">
      <c r="A1482" s="3">
        <v>11748</v>
      </c>
      <c r="B1482" s="3" t="s">
        <v>510</v>
      </c>
      <c r="C1482" s="3" t="s">
        <v>1140</v>
      </c>
      <c r="D1482" s="3" t="s">
        <v>1996</v>
      </c>
      <c r="E1482" s="3" t="s">
        <v>806</v>
      </c>
      <c r="F1482" s="42" t="s">
        <v>562</v>
      </c>
      <c r="G1482" s="3" t="s">
        <v>1995</v>
      </c>
      <c r="H1482" s="6">
        <v>0</v>
      </c>
      <c r="I1482" s="41">
        <f>VLOOKUP(Tabla1[[#This Row],[PAGO DIA]],DIAS!A:B,2,0)</f>
        <v>46078</v>
      </c>
      <c r="J1482" s="6">
        <v>0</v>
      </c>
      <c r="K1482" s="43">
        <f>VLOOKUP(Tabla1[[#This Row],[PAGO DIA]],DIAS!A:C,3,0)</f>
        <v>46105</v>
      </c>
      <c r="L1482" s="6">
        <v>0</v>
      </c>
      <c r="M1482" s="41">
        <f>VLOOKUP(Tabla1[[#This Row],[PAGO DIA]],DIAS!A:D,4,0)</f>
        <v>46140</v>
      </c>
      <c r="N1482" s="6">
        <v>0</v>
      </c>
      <c r="O1482" s="43">
        <f>VLOOKUP(Tabla1[[#This Row],[PAGO DIA]],DIAS!A:E,5,0)</f>
        <v>46168</v>
      </c>
      <c r="P1482" s="6">
        <v>0</v>
      </c>
      <c r="Q1482" s="43">
        <f>VLOOKUP(Tabla1[[#This Row],[PAGO DIA]],DIAS!A:F,6,0)</f>
        <v>46196</v>
      </c>
      <c r="R1482" s="6">
        <v>0</v>
      </c>
      <c r="S1482" s="43">
        <f>VLOOKUP(Tabla1[[#This Row],[PAGO DIA]],DIAS!A:G,7,0)</f>
        <v>46231</v>
      </c>
      <c r="T1482" s="6">
        <v>0</v>
      </c>
      <c r="U1482" s="43">
        <f>VLOOKUP(Tabla1[[#This Row],[PAGO DIA]],DIAS!A:H,8,0)</f>
        <v>46259</v>
      </c>
      <c r="V1482" s="6">
        <v>0</v>
      </c>
      <c r="W1482" s="43">
        <f>VLOOKUP(Tabla1[[#This Row],[PAGO DIA]],DIAS!A:I,9,0)</f>
        <v>46287</v>
      </c>
      <c r="X1482" s="6">
        <v>0</v>
      </c>
      <c r="Y1482" s="43">
        <f>VLOOKUP(Tabla1[[#This Row],[PAGO DIA]],DIAS!A:J,10,0)</f>
        <v>46322</v>
      </c>
      <c r="Z1482" s="6">
        <v>0</v>
      </c>
      <c r="AA1482" s="43">
        <f>VLOOKUP(Tabla1[[#This Row],[PAGO DIA]],DIAS!A:K,11,0)</f>
        <v>46350</v>
      </c>
      <c r="AB1482" s="6">
        <v>0</v>
      </c>
      <c r="AC1482" s="43">
        <f>VLOOKUP(Tabla1[[#This Row],[PAGO DIA]],DIAS!A:M,12,0)</f>
        <v>46379</v>
      </c>
      <c r="AD14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3" spans="1:30">
      <c r="A1483" s="3">
        <v>11339</v>
      </c>
      <c r="B1483" s="3" t="s">
        <v>510</v>
      </c>
      <c r="C1483" s="3"/>
      <c r="D1483" s="3" t="s">
        <v>1997</v>
      </c>
      <c r="E1483" s="3" t="s">
        <v>1997</v>
      </c>
      <c r="F1483" s="42" t="s">
        <v>562</v>
      </c>
      <c r="G1483" s="3"/>
      <c r="H1483" s="6">
        <v>0</v>
      </c>
      <c r="I1483" s="41">
        <f>VLOOKUP(Tabla1[[#This Row],[PAGO DIA]],DIAS!A:B,2,0)</f>
        <v>46078</v>
      </c>
      <c r="J1483" s="6">
        <v>0</v>
      </c>
      <c r="K1483" s="43">
        <f>VLOOKUP(Tabla1[[#This Row],[PAGO DIA]],DIAS!A:C,3,0)</f>
        <v>46105</v>
      </c>
      <c r="L1483" s="6">
        <v>0</v>
      </c>
      <c r="M1483" s="41">
        <f>VLOOKUP(Tabla1[[#This Row],[PAGO DIA]],DIAS!A:D,4,0)</f>
        <v>46140</v>
      </c>
      <c r="N1483" s="6">
        <v>0</v>
      </c>
      <c r="O1483" s="43">
        <f>VLOOKUP(Tabla1[[#This Row],[PAGO DIA]],DIAS!A:E,5,0)</f>
        <v>46168</v>
      </c>
      <c r="P1483" s="6">
        <v>0</v>
      </c>
      <c r="Q1483" s="43">
        <f>VLOOKUP(Tabla1[[#This Row],[PAGO DIA]],DIAS!A:F,6,0)</f>
        <v>46196</v>
      </c>
      <c r="R1483" s="6">
        <v>0</v>
      </c>
      <c r="S1483" s="43">
        <f>VLOOKUP(Tabla1[[#This Row],[PAGO DIA]],DIAS!A:G,7,0)</f>
        <v>46231</v>
      </c>
      <c r="T1483" s="6">
        <v>0</v>
      </c>
      <c r="U1483" s="43">
        <f>VLOOKUP(Tabla1[[#This Row],[PAGO DIA]],DIAS!A:H,8,0)</f>
        <v>46259</v>
      </c>
      <c r="V1483" s="6">
        <v>0</v>
      </c>
      <c r="W1483" s="43">
        <f>VLOOKUP(Tabla1[[#This Row],[PAGO DIA]],DIAS!A:I,9,0)</f>
        <v>46287</v>
      </c>
      <c r="X1483" s="6">
        <v>0</v>
      </c>
      <c r="Y1483" s="43">
        <f>VLOOKUP(Tabla1[[#This Row],[PAGO DIA]],DIAS!A:J,10,0)</f>
        <v>46322</v>
      </c>
      <c r="Z1483" s="6">
        <v>0</v>
      </c>
      <c r="AA1483" s="43">
        <f>VLOOKUP(Tabla1[[#This Row],[PAGO DIA]],DIAS!A:K,11,0)</f>
        <v>46350</v>
      </c>
      <c r="AB1483" s="6">
        <v>0</v>
      </c>
      <c r="AC1483" s="43">
        <f>VLOOKUP(Tabla1[[#This Row],[PAGO DIA]],DIAS!A:M,12,0)</f>
        <v>46379</v>
      </c>
      <c r="AD14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4" spans="1:30">
      <c r="A1484" s="3">
        <v>11307</v>
      </c>
      <c r="B1484" s="3" t="s">
        <v>510</v>
      </c>
      <c r="C1484" s="3"/>
      <c r="D1484" s="3" t="s">
        <v>1998</v>
      </c>
      <c r="E1484" s="3" t="s">
        <v>1998</v>
      </c>
      <c r="F1484" s="42" t="s">
        <v>562</v>
      </c>
      <c r="G1484" s="3"/>
      <c r="H1484" s="6">
        <v>0</v>
      </c>
      <c r="I1484" s="41">
        <f>VLOOKUP(Tabla1[[#This Row],[PAGO DIA]],DIAS!A:B,2,0)</f>
        <v>46078</v>
      </c>
      <c r="J1484" s="6">
        <v>0</v>
      </c>
      <c r="K1484" s="43">
        <f>VLOOKUP(Tabla1[[#This Row],[PAGO DIA]],DIAS!A:C,3,0)</f>
        <v>46105</v>
      </c>
      <c r="L1484" s="6">
        <v>0</v>
      </c>
      <c r="M1484" s="41">
        <f>VLOOKUP(Tabla1[[#This Row],[PAGO DIA]],DIAS!A:D,4,0)</f>
        <v>46140</v>
      </c>
      <c r="N1484" s="6">
        <v>0</v>
      </c>
      <c r="O1484" s="43">
        <f>VLOOKUP(Tabla1[[#This Row],[PAGO DIA]],DIAS!A:E,5,0)</f>
        <v>46168</v>
      </c>
      <c r="P1484" s="6">
        <v>0</v>
      </c>
      <c r="Q1484" s="43">
        <f>VLOOKUP(Tabla1[[#This Row],[PAGO DIA]],DIAS!A:F,6,0)</f>
        <v>46196</v>
      </c>
      <c r="R1484" s="6">
        <v>0</v>
      </c>
      <c r="S1484" s="43">
        <f>VLOOKUP(Tabla1[[#This Row],[PAGO DIA]],DIAS!A:G,7,0)</f>
        <v>46231</v>
      </c>
      <c r="T1484" s="6">
        <v>0</v>
      </c>
      <c r="U1484" s="43">
        <f>VLOOKUP(Tabla1[[#This Row],[PAGO DIA]],DIAS!A:H,8,0)</f>
        <v>46259</v>
      </c>
      <c r="V1484" s="6">
        <v>0</v>
      </c>
      <c r="W1484" s="43">
        <f>VLOOKUP(Tabla1[[#This Row],[PAGO DIA]],DIAS!A:I,9,0)</f>
        <v>46287</v>
      </c>
      <c r="X1484" s="6">
        <v>0</v>
      </c>
      <c r="Y1484" s="43">
        <f>VLOOKUP(Tabla1[[#This Row],[PAGO DIA]],DIAS!A:J,10,0)</f>
        <v>46322</v>
      </c>
      <c r="Z1484" s="6">
        <v>0</v>
      </c>
      <c r="AA1484" s="43">
        <f>VLOOKUP(Tabla1[[#This Row],[PAGO DIA]],DIAS!A:K,11,0)</f>
        <v>46350</v>
      </c>
      <c r="AB1484" s="6">
        <v>0</v>
      </c>
      <c r="AC1484" s="43">
        <f>VLOOKUP(Tabla1[[#This Row],[PAGO DIA]],DIAS!A:M,12,0)</f>
        <v>46379</v>
      </c>
      <c r="AD14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5" spans="1:30">
      <c r="A1485" s="3">
        <v>11750</v>
      </c>
      <c r="B1485" s="3" t="s">
        <v>510</v>
      </c>
      <c r="C1485" s="3" t="s">
        <v>540</v>
      </c>
      <c r="D1485" s="3" t="s">
        <v>540</v>
      </c>
      <c r="E1485" s="3" t="s">
        <v>1596</v>
      </c>
      <c r="F1485" s="42" t="s">
        <v>562</v>
      </c>
      <c r="G1485" s="3" t="s">
        <v>1999</v>
      </c>
      <c r="H1485" s="6">
        <v>0</v>
      </c>
      <c r="I1485" s="41">
        <f>VLOOKUP(Tabla1[[#This Row],[PAGO DIA]],DIAS!A:B,2,0)</f>
        <v>46078</v>
      </c>
      <c r="J1485" s="6">
        <v>0</v>
      </c>
      <c r="K1485" s="43">
        <f>VLOOKUP(Tabla1[[#This Row],[PAGO DIA]],DIAS!A:C,3,0)</f>
        <v>46105</v>
      </c>
      <c r="L1485" s="6">
        <v>0</v>
      </c>
      <c r="M1485" s="41">
        <f>VLOOKUP(Tabla1[[#This Row],[PAGO DIA]],DIAS!A:D,4,0)</f>
        <v>46140</v>
      </c>
      <c r="N1485" s="6">
        <v>0</v>
      </c>
      <c r="O1485" s="43">
        <f>VLOOKUP(Tabla1[[#This Row],[PAGO DIA]],DIAS!A:E,5,0)</f>
        <v>46168</v>
      </c>
      <c r="P1485" s="6">
        <v>0</v>
      </c>
      <c r="Q1485" s="43">
        <f>VLOOKUP(Tabla1[[#This Row],[PAGO DIA]],DIAS!A:F,6,0)</f>
        <v>46196</v>
      </c>
      <c r="R1485" s="6">
        <v>0</v>
      </c>
      <c r="S1485" s="43">
        <f>VLOOKUP(Tabla1[[#This Row],[PAGO DIA]],DIAS!A:G,7,0)</f>
        <v>46231</v>
      </c>
      <c r="T1485" s="6">
        <v>0</v>
      </c>
      <c r="U1485" s="43">
        <f>VLOOKUP(Tabla1[[#This Row],[PAGO DIA]],DIAS!A:H,8,0)</f>
        <v>46259</v>
      </c>
      <c r="V1485" s="6">
        <v>0</v>
      </c>
      <c r="W1485" s="43">
        <f>VLOOKUP(Tabla1[[#This Row],[PAGO DIA]],DIAS!A:I,9,0)</f>
        <v>46287</v>
      </c>
      <c r="X1485" s="6">
        <v>0</v>
      </c>
      <c r="Y1485" s="43">
        <f>VLOOKUP(Tabla1[[#This Row],[PAGO DIA]],DIAS!A:J,10,0)</f>
        <v>46322</v>
      </c>
      <c r="Z1485" s="6">
        <v>0</v>
      </c>
      <c r="AA1485" s="43">
        <f>VLOOKUP(Tabla1[[#This Row],[PAGO DIA]],DIAS!A:K,11,0)</f>
        <v>46350</v>
      </c>
      <c r="AB1485" s="6">
        <v>0</v>
      </c>
      <c r="AC1485" s="43">
        <f>VLOOKUP(Tabla1[[#This Row],[PAGO DIA]],DIAS!A:M,12,0)</f>
        <v>46379</v>
      </c>
      <c r="AD14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6" spans="1:30">
      <c r="A1486" s="3">
        <v>12233</v>
      </c>
      <c r="B1486" s="3" t="s">
        <v>510</v>
      </c>
      <c r="C1486" s="3"/>
      <c r="D1486" s="3" t="s">
        <v>1863</v>
      </c>
      <c r="E1486" s="3" t="s">
        <v>2000</v>
      </c>
      <c r="F1486" s="42" t="s">
        <v>562</v>
      </c>
      <c r="G1486" s="3"/>
      <c r="H1486" s="6">
        <v>0</v>
      </c>
      <c r="I1486" s="41">
        <f>VLOOKUP(Tabla1[[#This Row],[PAGO DIA]],DIAS!A:B,2,0)</f>
        <v>46078</v>
      </c>
      <c r="J1486" s="6">
        <v>0</v>
      </c>
      <c r="K1486" s="43">
        <f>VLOOKUP(Tabla1[[#This Row],[PAGO DIA]],DIAS!A:C,3,0)</f>
        <v>46105</v>
      </c>
      <c r="L1486" s="6">
        <v>0</v>
      </c>
      <c r="M1486" s="41">
        <f>VLOOKUP(Tabla1[[#This Row],[PAGO DIA]],DIAS!A:D,4,0)</f>
        <v>46140</v>
      </c>
      <c r="N1486" s="6">
        <v>0</v>
      </c>
      <c r="O1486" s="43">
        <f>VLOOKUP(Tabla1[[#This Row],[PAGO DIA]],DIAS!A:E,5,0)</f>
        <v>46168</v>
      </c>
      <c r="P1486" s="6">
        <v>0</v>
      </c>
      <c r="Q1486" s="43">
        <f>VLOOKUP(Tabla1[[#This Row],[PAGO DIA]],DIAS!A:F,6,0)</f>
        <v>46196</v>
      </c>
      <c r="R1486" s="6">
        <v>0</v>
      </c>
      <c r="S1486" s="43">
        <f>VLOOKUP(Tabla1[[#This Row],[PAGO DIA]],DIAS!A:G,7,0)</f>
        <v>46231</v>
      </c>
      <c r="T1486" s="6">
        <v>0</v>
      </c>
      <c r="U1486" s="43">
        <f>VLOOKUP(Tabla1[[#This Row],[PAGO DIA]],DIAS!A:H,8,0)</f>
        <v>46259</v>
      </c>
      <c r="V1486" s="6">
        <v>0</v>
      </c>
      <c r="W1486" s="43">
        <f>VLOOKUP(Tabla1[[#This Row],[PAGO DIA]],DIAS!A:I,9,0)</f>
        <v>46287</v>
      </c>
      <c r="X1486" s="6">
        <v>0</v>
      </c>
      <c r="Y1486" s="43">
        <f>VLOOKUP(Tabla1[[#This Row],[PAGO DIA]],DIAS!A:J,10,0)</f>
        <v>46322</v>
      </c>
      <c r="Z1486" s="6">
        <v>0</v>
      </c>
      <c r="AA1486" s="43">
        <f>VLOOKUP(Tabla1[[#This Row],[PAGO DIA]],DIAS!A:K,11,0)</f>
        <v>46350</v>
      </c>
      <c r="AB1486" s="6">
        <v>0</v>
      </c>
      <c r="AC1486" s="43">
        <f>VLOOKUP(Tabla1[[#This Row],[PAGO DIA]],DIAS!A:M,12,0)</f>
        <v>46379</v>
      </c>
      <c r="AD14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7" spans="1:30">
      <c r="A1487" s="3">
        <v>12508</v>
      </c>
      <c r="B1487" s="3" t="s">
        <v>510</v>
      </c>
      <c r="C1487" s="3" t="s">
        <v>2001</v>
      </c>
      <c r="D1487" s="3" t="s">
        <v>2001</v>
      </c>
      <c r="E1487" s="3" t="s">
        <v>2002</v>
      </c>
      <c r="F1487" s="42" t="s">
        <v>562</v>
      </c>
      <c r="G1487" s="3"/>
      <c r="H1487" s="6">
        <v>0</v>
      </c>
      <c r="I1487" s="41">
        <f>VLOOKUP(Tabla1[[#This Row],[PAGO DIA]],DIAS!A:B,2,0)</f>
        <v>46078</v>
      </c>
      <c r="J1487" s="6">
        <v>0</v>
      </c>
      <c r="K1487" s="43">
        <f>VLOOKUP(Tabla1[[#This Row],[PAGO DIA]],DIAS!A:C,3,0)</f>
        <v>46105</v>
      </c>
      <c r="L1487" s="6">
        <v>0</v>
      </c>
      <c r="M1487" s="41">
        <f>VLOOKUP(Tabla1[[#This Row],[PAGO DIA]],DIAS!A:D,4,0)</f>
        <v>46140</v>
      </c>
      <c r="N1487" s="6">
        <v>0</v>
      </c>
      <c r="O1487" s="43">
        <f>VLOOKUP(Tabla1[[#This Row],[PAGO DIA]],DIAS!A:E,5,0)</f>
        <v>46168</v>
      </c>
      <c r="P1487" s="6">
        <v>0</v>
      </c>
      <c r="Q1487" s="43">
        <f>VLOOKUP(Tabla1[[#This Row],[PAGO DIA]],DIAS!A:F,6,0)</f>
        <v>46196</v>
      </c>
      <c r="R1487" s="6">
        <v>0</v>
      </c>
      <c r="S1487" s="43">
        <f>VLOOKUP(Tabla1[[#This Row],[PAGO DIA]],DIAS!A:G,7,0)</f>
        <v>46231</v>
      </c>
      <c r="T1487" s="6">
        <v>0</v>
      </c>
      <c r="U1487" s="43">
        <f>VLOOKUP(Tabla1[[#This Row],[PAGO DIA]],DIAS!A:H,8,0)</f>
        <v>46259</v>
      </c>
      <c r="V1487" s="6">
        <v>0</v>
      </c>
      <c r="W1487" s="43">
        <f>VLOOKUP(Tabla1[[#This Row],[PAGO DIA]],DIAS!A:I,9,0)</f>
        <v>46287</v>
      </c>
      <c r="X1487" s="6">
        <v>0</v>
      </c>
      <c r="Y1487" s="43">
        <f>VLOOKUP(Tabla1[[#This Row],[PAGO DIA]],DIAS!A:J,10,0)</f>
        <v>46322</v>
      </c>
      <c r="Z1487" s="6">
        <v>0</v>
      </c>
      <c r="AA1487" s="43">
        <f>VLOOKUP(Tabla1[[#This Row],[PAGO DIA]],DIAS!A:K,11,0)</f>
        <v>46350</v>
      </c>
      <c r="AB1487" s="6">
        <v>0</v>
      </c>
      <c r="AC1487" s="43">
        <f>VLOOKUP(Tabla1[[#This Row],[PAGO DIA]],DIAS!A:M,12,0)</f>
        <v>46379</v>
      </c>
      <c r="AD14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8" spans="1:30">
      <c r="A1488" s="3">
        <v>11169</v>
      </c>
      <c r="B1488" s="3" t="s">
        <v>510</v>
      </c>
      <c r="C1488" s="3" t="s">
        <v>1147</v>
      </c>
      <c r="D1488" s="3" t="s">
        <v>1780</v>
      </c>
      <c r="E1488" s="3" t="s">
        <v>1781</v>
      </c>
      <c r="F1488" s="42" t="s">
        <v>562</v>
      </c>
      <c r="G1488" s="3" t="s">
        <v>1782</v>
      </c>
      <c r="H1488" s="6">
        <v>0</v>
      </c>
      <c r="I1488" s="41">
        <f>VLOOKUP(Tabla1[[#This Row],[PAGO DIA]],DIAS!A:B,2,0)</f>
        <v>46078</v>
      </c>
      <c r="J1488" s="6">
        <v>0</v>
      </c>
      <c r="K1488" s="43">
        <f>VLOOKUP(Tabla1[[#This Row],[PAGO DIA]],DIAS!A:C,3,0)</f>
        <v>46105</v>
      </c>
      <c r="L1488" s="6">
        <v>0</v>
      </c>
      <c r="M1488" s="41">
        <f>VLOOKUP(Tabla1[[#This Row],[PAGO DIA]],DIAS!A:D,4,0)</f>
        <v>46140</v>
      </c>
      <c r="N1488" s="6">
        <v>0</v>
      </c>
      <c r="O1488" s="43">
        <f>VLOOKUP(Tabla1[[#This Row],[PAGO DIA]],DIAS!A:E,5,0)</f>
        <v>46168</v>
      </c>
      <c r="P1488" s="6">
        <v>0</v>
      </c>
      <c r="Q1488" s="43">
        <f>VLOOKUP(Tabla1[[#This Row],[PAGO DIA]],DIAS!A:F,6,0)</f>
        <v>46196</v>
      </c>
      <c r="R1488" s="6">
        <v>0</v>
      </c>
      <c r="S1488" s="43">
        <f>VLOOKUP(Tabla1[[#This Row],[PAGO DIA]],DIAS!A:G,7,0)</f>
        <v>46231</v>
      </c>
      <c r="T1488" s="6">
        <v>0</v>
      </c>
      <c r="U1488" s="43">
        <f>VLOOKUP(Tabla1[[#This Row],[PAGO DIA]],DIAS!A:H,8,0)</f>
        <v>46259</v>
      </c>
      <c r="V1488" s="6">
        <v>0</v>
      </c>
      <c r="W1488" s="43">
        <f>VLOOKUP(Tabla1[[#This Row],[PAGO DIA]],DIAS!A:I,9,0)</f>
        <v>46287</v>
      </c>
      <c r="X1488" s="6">
        <v>0</v>
      </c>
      <c r="Y1488" s="43">
        <f>VLOOKUP(Tabla1[[#This Row],[PAGO DIA]],DIAS!A:J,10,0)</f>
        <v>46322</v>
      </c>
      <c r="Z1488" s="6">
        <v>0</v>
      </c>
      <c r="AA1488" s="43">
        <f>VLOOKUP(Tabla1[[#This Row],[PAGO DIA]],DIAS!A:K,11,0)</f>
        <v>46350</v>
      </c>
      <c r="AB1488" s="6">
        <v>0</v>
      </c>
      <c r="AC1488" s="43">
        <f>VLOOKUP(Tabla1[[#This Row],[PAGO DIA]],DIAS!A:M,12,0)</f>
        <v>46379</v>
      </c>
      <c r="AD14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89" spans="1:30">
      <c r="A1489" s="3">
        <v>11751</v>
      </c>
      <c r="B1489" s="3" t="s">
        <v>510</v>
      </c>
      <c r="C1489" s="3" t="s">
        <v>1147</v>
      </c>
      <c r="D1489" s="3" t="s">
        <v>1780</v>
      </c>
      <c r="E1489" s="3" t="s">
        <v>1781</v>
      </c>
      <c r="F1489" s="42" t="s">
        <v>562</v>
      </c>
      <c r="G1489" s="3" t="s">
        <v>1782</v>
      </c>
      <c r="H1489" s="6">
        <v>0</v>
      </c>
      <c r="I1489" s="41">
        <f>VLOOKUP(Tabla1[[#This Row],[PAGO DIA]],DIAS!A:B,2,0)</f>
        <v>46078</v>
      </c>
      <c r="J1489" s="6">
        <v>0</v>
      </c>
      <c r="K1489" s="43">
        <f>VLOOKUP(Tabla1[[#This Row],[PAGO DIA]],DIAS!A:C,3,0)</f>
        <v>46105</v>
      </c>
      <c r="L1489" s="6">
        <v>0</v>
      </c>
      <c r="M1489" s="41">
        <f>VLOOKUP(Tabla1[[#This Row],[PAGO DIA]],DIAS!A:D,4,0)</f>
        <v>46140</v>
      </c>
      <c r="N1489" s="6">
        <v>0</v>
      </c>
      <c r="O1489" s="43">
        <f>VLOOKUP(Tabla1[[#This Row],[PAGO DIA]],DIAS!A:E,5,0)</f>
        <v>46168</v>
      </c>
      <c r="P1489" s="6">
        <v>0</v>
      </c>
      <c r="Q1489" s="43">
        <f>VLOOKUP(Tabla1[[#This Row],[PAGO DIA]],DIAS!A:F,6,0)</f>
        <v>46196</v>
      </c>
      <c r="R1489" s="6">
        <v>0</v>
      </c>
      <c r="S1489" s="43">
        <f>VLOOKUP(Tabla1[[#This Row],[PAGO DIA]],DIAS!A:G,7,0)</f>
        <v>46231</v>
      </c>
      <c r="T1489" s="6">
        <v>0</v>
      </c>
      <c r="U1489" s="43">
        <f>VLOOKUP(Tabla1[[#This Row],[PAGO DIA]],DIAS!A:H,8,0)</f>
        <v>46259</v>
      </c>
      <c r="V1489" s="6">
        <v>0</v>
      </c>
      <c r="W1489" s="43">
        <f>VLOOKUP(Tabla1[[#This Row],[PAGO DIA]],DIAS!A:I,9,0)</f>
        <v>46287</v>
      </c>
      <c r="X1489" s="6">
        <v>0</v>
      </c>
      <c r="Y1489" s="43">
        <f>VLOOKUP(Tabla1[[#This Row],[PAGO DIA]],DIAS!A:J,10,0)</f>
        <v>46322</v>
      </c>
      <c r="Z1489" s="6">
        <v>0</v>
      </c>
      <c r="AA1489" s="43">
        <f>VLOOKUP(Tabla1[[#This Row],[PAGO DIA]],DIAS!A:K,11,0)</f>
        <v>46350</v>
      </c>
      <c r="AB1489" s="6">
        <v>0</v>
      </c>
      <c r="AC1489" s="43">
        <f>VLOOKUP(Tabla1[[#This Row],[PAGO DIA]],DIAS!A:M,12,0)</f>
        <v>46379</v>
      </c>
      <c r="AD14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0" spans="1:30">
      <c r="A1490" s="3">
        <v>10960</v>
      </c>
      <c r="B1490" s="3" t="s">
        <v>510</v>
      </c>
      <c r="C1490" s="3" t="s">
        <v>1179</v>
      </c>
      <c r="D1490" s="3" t="s">
        <v>1808</v>
      </c>
      <c r="E1490" s="3" t="s">
        <v>823</v>
      </c>
      <c r="F1490" s="42" t="s">
        <v>562</v>
      </c>
      <c r="G1490" s="3"/>
      <c r="H1490" s="6">
        <v>0</v>
      </c>
      <c r="I1490" s="41">
        <f>VLOOKUP(Tabla1[[#This Row],[PAGO DIA]],DIAS!A:B,2,0)</f>
        <v>46078</v>
      </c>
      <c r="J1490" s="6">
        <v>0</v>
      </c>
      <c r="K1490" s="43">
        <f>VLOOKUP(Tabla1[[#This Row],[PAGO DIA]],DIAS!A:C,3,0)</f>
        <v>46105</v>
      </c>
      <c r="L1490" s="6">
        <v>0</v>
      </c>
      <c r="M1490" s="41">
        <f>VLOOKUP(Tabla1[[#This Row],[PAGO DIA]],DIAS!A:D,4,0)</f>
        <v>46140</v>
      </c>
      <c r="N1490" s="6">
        <v>0</v>
      </c>
      <c r="O1490" s="43">
        <f>VLOOKUP(Tabla1[[#This Row],[PAGO DIA]],DIAS!A:E,5,0)</f>
        <v>46168</v>
      </c>
      <c r="P1490" s="6">
        <v>0</v>
      </c>
      <c r="Q1490" s="43">
        <f>VLOOKUP(Tabla1[[#This Row],[PAGO DIA]],DIAS!A:F,6,0)</f>
        <v>46196</v>
      </c>
      <c r="R1490" s="6">
        <v>0</v>
      </c>
      <c r="S1490" s="43">
        <f>VLOOKUP(Tabla1[[#This Row],[PAGO DIA]],DIAS!A:G,7,0)</f>
        <v>46231</v>
      </c>
      <c r="T1490" s="6">
        <v>0</v>
      </c>
      <c r="U1490" s="43">
        <f>VLOOKUP(Tabla1[[#This Row],[PAGO DIA]],DIAS!A:H,8,0)</f>
        <v>46259</v>
      </c>
      <c r="V1490" s="6">
        <v>0</v>
      </c>
      <c r="W1490" s="43">
        <f>VLOOKUP(Tabla1[[#This Row],[PAGO DIA]],DIAS!A:I,9,0)</f>
        <v>46287</v>
      </c>
      <c r="X1490" s="6">
        <v>0</v>
      </c>
      <c r="Y1490" s="43">
        <f>VLOOKUP(Tabla1[[#This Row],[PAGO DIA]],DIAS!A:J,10,0)</f>
        <v>46322</v>
      </c>
      <c r="Z1490" s="6">
        <v>0</v>
      </c>
      <c r="AA1490" s="43">
        <f>VLOOKUP(Tabla1[[#This Row],[PAGO DIA]],DIAS!A:K,11,0)</f>
        <v>46350</v>
      </c>
      <c r="AB1490" s="6">
        <v>0</v>
      </c>
      <c r="AC1490" s="43">
        <f>VLOOKUP(Tabla1[[#This Row],[PAGO DIA]],DIAS!A:M,12,0)</f>
        <v>46379</v>
      </c>
      <c r="AD14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1" spans="1:30">
      <c r="A1491" s="3">
        <v>11766</v>
      </c>
      <c r="B1491" s="3" t="s">
        <v>510</v>
      </c>
      <c r="C1491" s="3" t="s">
        <v>1179</v>
      </c>
      <c r="D1491" s="3" t="s">
        <v>2003</v>
      </c>
      <c r="E1491" s="3" t="s">
        <v>823</v>
      </c>
      <c r="F1491" s="42" t="s">
        <v>562</v>
      </c>
      <c r="G1491" s="3" t="s">
        <v>639</v>
      </c>
      <c r="H1491" s="6">
        <v>0</v>
      </c>
      <c r="I1491" s="41">
        <f>VLOOKUP(Tabla1[[#This Row],[PAGO DIA]],DIAS!A:B,2,0)</f>
        <v>46078</v>
      </c>
      <c r="J1491" s="6">
        <v>0</v>
      </c>
      <c r="K1491" s="43">
        <f>VLOOKUP(Tabla1[[#This Row],[PAGO DIA]],DIAS!A:C,3,0)</f>
        <v>46105</v>
      </c>
      <c r="L1491" s="6">
        <v>0</v>
      </c>
      <c r="M1491" s="41">
        <f>VLOOKUP(Tabla1[[#This Row],[PAGO DIA]],DIAS!A:D,4,0)</f>
        <v>46140</v>
      </c>
      <c r="N1491" s="6">
        <v>0</v>
      </c>
      <c r="O1491" s="43">
        <f>VLOOKUP(Tabla1[[#This Row],[PAGO DIA]],DIAS!A:E,5,0)</f>
        <v>46168</v>
      </c>
      <c r="P1491" s="6">
        <v>0</v>
      </c>
      <c r="Q1491" s="43">
        <f>VLOOKUP(Tabla1[[#This Row],[PAGO DIA]],DIAS!A:F,6,0)</f>
        <v>46196</v>
      </c>
      <c r="R1491" s="6">
        <v>0</v>
      </c>
      <c r="S1491" s="43">
        <f>VLOOKUP(Tabla1[[#This Row],[PAGO DIA]],DIAS!A:G,7,0)</f>
        <v>46231</v>
      </c>
      <c r="T1491" s="6">
        <v>0</v>
      </c>
      <c r="U1491" s="43">
        <f>VLOOKUP(Tabla1[[#This Row],[PAGO DIA]],DIAS!A:H,8,0)</f>
        <v>46259</v>
      </c>
      <c r="V1491" s="6">
        <v>0</v>
      </c>
      <c r="W1491" s="43">
        <f>VLOOKUP(Tabla1[[#This Row],[PAGO DIA]],DIAS!A:I,9,0)</f>
        <v>46287</v>
      </c>
      <c r="X1491" s="6">
        <v>0</v>
      </c>
      <c r="Y1491" s="43">
        <f>VLOOKUP(Tabla1[[#This Row],[PAGO DIA]],DIAS!A:J,10,0)</f>
        <v>46322</v>
      </c>
      <c r="Z1491" s="6">
        <v>0</v>
      </c>
      <c r="AA1491" s="43">
        <f>VLOOKUP(Tabla1[[#This Row],[PAGO DIA]],DIAS!A:K,11,0)</f>
        <v>46350</v>
      </c>
      <c r="AB1491" s="6">
        <v>0</v>
      </c>
      <c r="AC1491" s="43">
        <f>VLOOKUP(Tabla1[[#This Row],[PAGO DIA]],DIAS!A:M,12,0)</f>
        <v>46379</v>
      </c>
      <c r="AD14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2" spans="1:30">
      <c r="A1492" s="3">
        <v>10964</v>
      </c>
      <c r="B1492" s="3" t="s">
        <v>510</v>
      </c>
      <c r="C1492" s="3" t="s">
        <v>1147</v>
      </c>
      <c r="D1492" s="3" t="s">
        <v>1148</v>
      </c>
      <c r="E1492" s="3" t="s">
        <v>1810</v>
      </c>
      <c r="F1492" s="42" t="s">
        <v>562</v>
      </c>
      <c r="G1492" s="3"/>
      <c r="H1492" s="6">
        <v>0</v>
      </c>
      <c r="I1492" s="41">
        <f>VLOOKUP(Tabla1[[#This Row],[PAGO DIA]],DIAS!A:B,2,0)</f>
        <v>46078</v>
      </c>
      <c r="J1492" s="6">
        <v>0</v>
      </c>
      <c r="K1492" s="43">
        <f>VLOOKUP(Tabla1[[#This Row],[PAGO DIA]],DIAS!A:C,3,0)</f>
        <v>46105</v>
      </c>
      <c r="L1492" s="6">
        <v>0</v>
      </c>
      <c r="M1492" s="41">
        <f>VLOOKUP(Tabla1[[#This Row],[PAGO DIA]],DIAS!A:D,4,0)</f>
        <v>46140</v>
      </c>
      <c r="N1492" s="6">
        <v>0</v>
      </c>
      <c r="O1492" s="43">
        <f>VLOOKUP(Tabla1[[#This Row],[PAGO DIA]],DIAS!A:E,5,0)</f>
        <v>46168</v>
      </c>
      <c r="P1492" s="6">
        <v>0</v>
      </c>
      <c r="Q1492" s="43">
        <f>VLOOKUP(Tabla1[[#This Row],[PAGO DIA]],DIAS!A:F,6,0)</f>
        <v>46196</v>
      </c>
      <c r="R1492" s="6">
        <v>0</v>
      </c>
      <c r="S1492" s="43">
        <f>VLOOKUP(Tabla1[[#This Row],[PAGO DIA]],DIAS!A:G,7,0)</f>
        <v>46231</v>
      </c>
      <c r="T1492" s="6">
        <v>0</v>
      </c>
      <c r="U1492" s="43">
        <f>VLOOKUP(Tabla1[[#This Row],[PAGO DIA]],DIAS!A:H,8,0)</f>
        <v>46259</v>
      </c>
      <c r="V1492" s="6">
        <v>0</v>
      </c>
      <c r="W1492" s="43">
        <f>VLOOKUP(Tabla1[[#This Row],[PAGO DIA]],DIAS!A:I,9,0)</f>
        <v>46287</v>
      </c>
      <c r="X1492" s="6">
        <v>0</v>
      </c>
      <c r="Y1492" s="43">
        <f>VLOOKUP(Tabla1[[#This Row],[PAGO DIA]],DIAS!A:J,10,0)</f>
        <v>46322</v>
      </c>
      <c r="Z1492" s="6">
        <v>0</v>
      </c>
      <c r="AA1492" s="43">
        <f>VLOOKUP(Tabla1[[#This Row],[PAGO DIA]],DIAS!A:K,11,0)</f>
        <v>46350</v>
      </c>
      <c r="AB1492" s="6">
        <v>0</v>
      </c>
      <c r="AC1492" s="43">
        <f>VLOOKUP(Tabla1[[#This Row],[PAGO DIA]],DIAS!A:M,12,0)</f>
        <v>46379</v>
      </c>
      <c r="AD14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3" spans="1:30">
      <c r="A1493" s="3">
        <v>11001</v>
      </c>
      <c r="B1493" s="3" t="s">
        <v>510</v>
      </c>
      <c r="C1493" s="3" t="s">
        <v>1179</v>
      </c>
      <c r="D1493" s="3" t="s">
        <v>2004</v>
      </c>
      <c r="E1493" s="3" t="s">
        <v>839</v>
      </c>
      <c r="F1493" s="42" t="s">
        <v>562</v>
      </c>
      <c r="G1493" s="3"/>
      <c r="H1493" s="6">
        <v>0</v>
      </c>
      <c r="I1493" s="41">
        <f>VLOOKUP(Tabla1[[#This Row],[PAGO DIA]],DIAS!A:B,2,0)</f>
        <v>46078</v>
      </c>
      <c r="J1493" s="6">
        <v>0</v>
      </c>
      <c r="K1493" s="43">
        <f>VLOOKUP(Tabla1[[#This Row],[PAGO DIA]],DIAS!A:C,3,0)</f>
        <v>46105</v>
      </c>
      <c r="L1493" s="6">
        <v>0</v>
      </c>
      <c r="M1493" s="41">
        <f>VLOOKUP(Tabla1[[#This Row],[PAGO DIA]],DIAS!A:D,4,0)</f>
        <v>46140</v>
      </c>
      <c r="N1493" s="6">
        <v>0</v>
      </c>
      <c r="O1493" s="43">
        <f>VLOOKUP(Tabla1[[#This Row],[PAGO DIA]],DIAS!A:E,5,0)</f>
        <v>46168</v>
      </c>
      <c r="P1493" s="6">
        <v>0</v>
      </c>
      <c r="Q1493" s="43">
        <f>VLOOKUP(Tabla1[[#This Row],[PAGO DIA]],DIAS!A:F,6,0)</f>
        <v>46196</v>
      </c>
      <c r="R1493" s="6">
        <v>0</v>
      </c>
      <c r="S1493" s="43">
        <f>VLOOKUP(Tabla1[[#This Row],[PAGO DIA]],DIAS!A:G,7,0)</f>
        <v>46231</v>
      </c>
      <c r="T1493" s="6">
        <v>0</v>
      </c>
      <c r="U1493" s="43">
        <f>VLOOKUP(Tabla1[[#This Row],[PAGO DIA]],DIAS!A:H,8,0)</f>
        <v>46259</v>
      </c>
      <c r="V1493" s="6">
        <v>0</v>
      </c>
      <c r="W1493" s="43">
        <f>VLOOKUP(Tabla1[[#This Row],[PAGO DIA]],DIAS!A:I,9,0)</f>
        <v>46287</v>
      </c>
      <c r="X1493" s="6">
        <v>0</v>
      </c>
      <c r="Y1493" s="43">
        <f>VLOOKUP(Tabla1[[#This Row],[PAGO DIA]],DIAS!A:J,10,0)</f>
        <v>46322</v>
      </c>
      <c r="Z1493" s="6">
        <v>0</v>
      </c>
      <c r="AA1493" s="43">
        <f>VLOOKUP(Tabla1[[#This Row],[PAGO DIA]],DIAS!A:K,11,0)</f>
        <v>46350</v>
      </c>
      <c r="AB1493" s="6">
        <v>0</v>
      </c>
      <c r="AC1493" s="43">
        <f>VLOOKUP(Tabla1[[#This Row],[PAGO DIA]],DIAS!A:M,12,0)</f>
        <v>46379</v>
      </c>
      <c r="AD14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4" spans="1:30">
      <c r="A1494" s="3">
        <v>11221</v>
      </c>
      <c r="B1494" s="3" t="s">
        <v>510</v>
      </c>
      <c r="C1494" s="3" t="s">
        <v>1179</v>
      </c>
      <c r="D1494" s="3" t="s">
        <v>2004</v>
      </c>
      <c r="E1494" s="3" t="s">
        <v>839</v>
      </c>
      <c r="F1494" s="42" t="s">
        <v>562</v>
      </c>
      <c r="G1494" s="3" t="s">
        <v>2005</v>
      </c>
      <c r="H1494" s="6">
        <v>0</v>
      </c>
      <c r="I1494" s="41">
        <f>VLOOKUP(Tabla1[[#This Row],[PAGO DIA]],DIAS!A:B,2,0)</f>
        <v>46078</v>
      </c>
      <c r="J1494" s="6">
        <v>0</v>
      </c>
      <c r="K1494" s="43">
        <f>VLOOKUP(Tabla1[[#This Row],[PAGO DIA]],DIAS!A:C,3,0)</f>
        <v>46105</v>
      </c>
      <c r="L1494" s="6">
        <v>0</v>
      </c>
      <c r="M1494" s="41">
        <f>VLOOKUP(Tabla1[[#This Row],[PAGO DIA]],DIAS!A:D,4,0)</f>
        <v>46140</v>
      </c>
      <c r="N1494" s="6">
        <v>0</v>
      </c>
      <c r="O1494" s="43">
        <f>VLOOKUP(Tabla1[[#This Row],[PAGO DIA]],DIAS!A:E,5,0)</f>
        <v>46168</v>
      </c>
      <c r="P1494" s="6">
        <v>0</v>
      </c>
      <c r="Q1494" s="43">
        <f>VLOOKUP(Tabla1[[#This Row],[PAGO DIA]],DIAS!A:F,6,0)</f>
        <v>46196</v>
      </c>
      <c r="R1494" s="6">
        <v>0</v>
      </c>
      <c r="S1494" s="43">
        <f>VLOOKUP(Tabla1[[#This Row],[PAGO DIA]],DIAS!A:G,7,0)</f>
        <v>46231</v>
      </c>
      <c r="T1494" s="6">
        <v>0</v>
      </c>
      <c r="U1494" s="43">
        <f>VLOOKUP(Tabla1[[#This Row],[PAGO DIA]],DIAS!A:H,8,0)</f>
        <v>46259</v>
      </c>
      <c r="V1494" s="6">
        <v>0</v>
      </c>
      <c r="W1494" s="43">
        <f>VLOOKUP(Tabla1[[#This Row],[PAGO DIA]],DIAS!A:I,9,0)</f>
        <v>46287</v>
      </c>
      <c r="X1494" s="6">
        <v>0</v>
      </c>
      <c r="Y1494" s="43">
        <f>VLOOKUP(Tabla1[[#This Row],[PAGO DIA]],DIAS!A:J,10,0)</f>
        <v>46322</v>
      </c>
      <c r="Z1494" s="6">
        <v>0</v>
      </c>
      <c r="AA1494" s="43">
        <f>VLOOKUP(Tabla1[[#This Row],[PAGO DIA]],DIAS!A:K,11,0)</f>
        <v>46350</v>
      </c>
      <c r="AB1494" s="6">
        <v>0</v>
      </c>
      <c r="AC1494" s="43">
        <f>VLOOKUP(Tabla1[[#This Row],[PAGO DIA]],DIAS!A:M,12,0)</f>
        <v>46379</v>
      </c>
      <c r="AD14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5" spans="1:30">
      <c r="A1495" s="3">
        <v>11822</v>
      </c>
      <c r="B1495" s="3" t="s">
        <v>510</v>
      </c>
      <c r="C1495" s="3" t="s">
        <v>1179</v>
      </c>
      <c r="D1495" s="3" t="s">
        <v>2004</v>
      </c>
      <c r="E1495" s="3" t="s">
        <v>839</v>
      </c>
      <c r="F1495" s="42" t="s">
        <v>562</v>
      </c>
      <c r="G1495" s="3" t="s">
        <v>639</v>
      </c>
      <c r="H1495" s="6">
        <v>0</v>
      </c>
      <c r="I1495" s="41">
        <f>VLOOKUP(Tabla1[[#This Row],[PAGO DIA]],DIAS!A:B,2,0)</f>
        <v>46078</v>
      </c>
      <c r="J1495" s="6">
        <v>0</v>
      </c>
      <c r="K1495" s="43">
        <f>VLOOKUP(Tabla1[[#This Row],[PAGO DIA]],DIAS!A:C,3,0)</f>
        <v>46105</v>
      </c>
      <c r="L1495" s="6">
        <v>0</v>
      </c>
      <c r="M1495" s="41">
        <f>VLOOKUP(Tabla1[[#This Row],[PAGO DIA]],DIAS!A:D,4,0)</f>
        <v>46140</v>
      </c>
      <c r="N1495" s="6">
        <v>0</v>
      </c>
      <c r="O1495" s="43">
        <f>VLOOKUP(Tabla1[[#This Row],[PAGO DIA]],DIAS!A:E,5,0)</f>
        <v>46168</v>
      </c>
      <c r="P1495" s="6">
        <v>0</v>
      </c>
      <c r="Q1495" s="43">
        <f>VLOOKUP(Tabla1[[#This Row],[PAGO DIA]],DIAS!A:F,6,0)</f>
        <v>46196</v>
      </c>
      <c r="R1495" s="6">
        <v>0</v>
      </c>
      <c r="S1495" s="43">
        <f>VLOOKUP(Tabla1[[#This Row],[PAGO DIA]],DIAS!A:G,7,0)</f>
        <v>46231</v>
      </c>
      <c r="T1495" s="6">
        <v>0</v>
      </c>
      <c r="U1495" s="43">
        <f>VLOOKUP(Tabla1[[#This Row],[PAGO DIA]],DIAS!A:H,8,0)</f>
        <v>46259</v>
      </c>
      <c r="V1495" s="6">
        <v>0</v>
      </c>
      <c r="W1495" s="43">
        <f>VLOOKUP(Tabla1[[#This Row],[PAGO DIA]],DIAS!A:I,9,0)</f>
        <v>46287</v>
      </c>
      <c r="X1495" s="6">
        <v>0</v>
      </c>
      <c r="Y1495" s="43">
        <f>VLOOKUP(Tabla1[[#This Row],[PAGO DIA]],DIAS!A:J,10,0)</f>
        <v>46322</v>
      </c>
      <c r="Z1495" s="6">
        <v>0</v>
      </c>
      <c r="AA1495" s="43">
        <f>VLOOKUP(Tabla1[[#This Row],[PAGO DIA]],DIAS!A:K,11,0)</f>
        <v>46350</v>
      </c>
      <c r="AB1495" s="6">
        <v>0</v>
      </c>
      <c r="AC1495" s="43">
        <f>VLOOKUP(Tabla1[[#This Row],[PAGO DIA]],DIAS!A:M,12,0)</f>
        <v>46379</v>
      </c>
      <c r="AD14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6" spans="1:30">
      <c r="A1496" s="3">
        <v>11073</v>
      </c>
      <c r="B1496" s="3" t="s">
        <v>510</v>
      </c>
      <c r="C1496" s="3" t="s">
        <v>552</v>
      </c>
      <c r="D1496" s="3" t="s">
        <v>552</v>
      </c>
      <c r="E1496" s="3" t="s">
        <v>1847</v>
      </c>
      <c r="F1496" s="42" t="s">
        <v>562</v>
      </c>
      <c r="G1496" s="3"/>
      <c r="H1496" s="6">
        <v>0</v>
      </c>
      <c r="I1496" s="41">
        <f>VLOOKUP(Tabla1[[#This Row],[PAGO DIA]],DIAS!A:B,2,0)</f>
        <v>46078</v>
      </c>
      <c r="J1496" s="6">
        <v>0</v>
      </c>
      <c r="K1496" s="43">
        <f>VLOOKUP(Tabla1[[#This Row],[PAGO DIA]],DIAS!A:C,3,0)</f>
        <v>46105</v>
      </c>
      <c r="L1496" s="6">
        <v>0</v>
      </c>
      <c r="M1496" s="41">
        <f>VLOOKUP(Tabla1[[#This Row],[PAGO DIA]],DIAS!A:D,4,0)</f>
        <v>46140</v>
      </c>
      <c r="N1496" s="6">
        <v>0</v>
      </c>
      <c r="O1496" s="43">
        <f>VLOOKUP(Tabla1[[#This Row],[PAGO DIA]],DIAS!A:E,5,0)</f>
        <v>46168</v>
      </c>
      <c r="P1496" s="6">
        <v>0</v>
      </c>
      <c r="Q1496" s="43">
        <f>VLOOKUP(Tabla1[[#This Row],[PAGO DIA]],DIAS!A:F,6,0)</f>
        <v>46196</v>
      </c>
      <c r="R1496" s="6">
        <v>0</v>
      </c>
      <c r="S1496" s="43">
        <f>VLOOKUP(Tabla1[[#This Row],[PAGO DIA]],DIAS!A:G,7,0)</f>
        <v>46231</v>
      </c>
      <c r="T1496" s="6">
        <v>0</v>
      </c>
      <c r="U1496" s="43">
        <f>VLOOKUP(Tabla1[[#This Row],[PAGO DIA]],DIAS!A:H,8,0)</f>
        <v>46259</v>
      </c>
      <c r="V1496" s="6">
        <v>0</v>
      </c>
      <c r="W1496" s="43">
        <f>VLOOKUP(Tabla1[[#This Row],[PAGO DIA]],DIAS!A:I,9,0)</f>
        <v>46287</v>
      </c>
      <c r="X1496" s="6">
        <v>0</v>
      </c>
      <c r="Y1496" s="43">
        <f>VLOOKUP(Tabla1[[#This Row],[PAGO DIA]],DIAS!A:J,10,0)</f>
        <v>46322</v>
      </c>
      <c r="Z1496" s="6">
        <v>0</v>
      </c>
      <c r="AA1496" s="43">
        <f>VLOOKUP(Tabla1[[#This Row],[PAGO DIA]],DIAS!A:K,11,0)</f>
        <v>46350</v>
      </c>
      <c r="AB1496" s="6">
        <v>0</v>
      </c>
      <c r="AC1496" s="43">
        <f>VLOOKUP(Tabla1[[#This Row],[PAGO DIA]],DIAS!A:M,12,0)</f>
        <v>46379</v>
      </c>
      <c r="AD14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7" spans="1:30">
      <c r="A1497" s="3">
        <v>11074</v>
      </c>
      <c r="B1497" s="3" t="s">
        <v>510</v>
      </c>
      <c r="C1497" s="3" t="s">
        <v>552</v>
      </c>
      <c r="D1497" s="3" t="s">
        <v>552</v>
      </c>
      <c r="E1497" s="3" t="s">
        <v>1847</v>
      </c>
      <c r="F1497" s="42" t="s">
        <v>562</v>
      </c>
      <c r="G1497" s="3"/>
      <c r="H1497" s="6">
        <v>0</v>
      </c>
      <c r="I1497" s="41">
        <f>VLOOKUP(Tabla1[[#This Row],[PAGO DIA]],DIAS!A:B,2,0)</f>
        <v>46078</v>
      </c>
      <c r="J1497" s="6">
        <v>0</v>
      </c>
      <c r="K1497" s="43">
        <f>VLOOKUP(Tabla1[[#This Row],[PAGO DIA]],DIAS!A:C,3,0)</f>
        <v>46105</v>
      </c>
      <c r="L1497" s="6">
        <v>0</v>
      </c>
      <c r="M1497" s="41">
        <f>VLOOKUP(Tabla1[[#This Row],[PAGO DIA]],DIAS!A:D,4,0)</f>
        <v>46140</v>
      </c>
      <c r="N1497" s="6">
        <v>0</v>
      </c>
      <c r="O1497" s="43">
        <f>VLOOKUP(Tabla1[[#This Row],[PAGO DIA]],DIAS!A:E,5,0)</f>
        <v>46168</v>
      </c>
      <c r="P1497" s="6">
        <v>0</v>
      </c>
      <c r="Q1497" s="43">
        <f>VLOOKUP(Tabla1[[#This Row],[PAGO DIA]],DIAS!A:F,6,0)</f>
        <v>46196</v>
      </c>
      <c r="R1497" s="6">
        <v>0</v>
      </c>
      <c r="S1497" s="43">
        <f>VLOOKUP(Tabla1[[#This Row],[PAGO DIA]],DIAS!A:G,7,0)</f>
        <v>46231</v>
      </c>
      <c r="T1497" s="6">
        <v>0</v>
      </c>
      <c r="U1497" s="43">
        <f>VLOOKUP(Tabla1[[#This Row],[PAGO DIA]],DIAS!A:H,8,0)</f>
        <v>46259</v>
      </c>
      <c r="V1497" s="6">
        <v>0</v>
      </c>
      <c r="W1497" s="43">
        <f>VLOOKUP(Tabla1[[#This Row],[PAGO DIA]],DIAS!A:I,9,0)</f>
        <v>46287</v>
      </c>
      <c r="X1497" s="6">
        <v>0</v>
      </c>
      <c r="Y1497" s="43">
        <f>VLOOKUP(Tabla1[[#This Row],[PAGO DIA]],DIAS!A:J,10,0)</f>
        <v>46322</v>
      </c>
      <c r="Z1497" s="6">
        <v>0</v>
      </c>
      <c r="AA1497" s="43">
        <f>VLOOKUP(Tabla1[[#This Row],[PAGO DIA]],DIAS!A:K,11,0)</f>
        <v>46350</v>
      </c>
      <c r="AB1497" s="6">
        <v>0</v>
      </c>
      <c r="AC1497" s="43">
        <f>VLOOKUP(Tabla1[[#This Row],[PAGO DIA]],DIAS!A:M,12,0)</f>
        <v>46379</v>
      </c>
      <c r="AD14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8" spans="1:30">
      <c r="A1498" s="3">
        <v>11347</v>
      </c>
      <c r="B1498" s="3" t="s">
        <v>510</v>
      </c>
      <c r="C1498" s="3" t="s">
        <v>552</v>
      </c>
      <c r="D1498" s="3" t="s">
        <v>1846</v>
      </c>
      <c r="E1498" s="3" t="s">
        <v>1847</v>
      </c>
      <c r="F1498" s="42" t="s">
        <v>562</v>
      </c>
      <c r="G1498" s="3"/>
      <c r="H1498" s="6">
        <v>0</v>
      </c>
      <c r="I1498" s="41">
        <f>VLOOKUP(Tabla1[[#This Row],[PAGO DIA]],DIAS!A:B,2,0)</f>
        <v>46078</v>
      </c>
      <c r="J1498" s="6">
        <v>0</v>
      </c>
      <c r="K1498" s="43">
        <f>VLOOKUP(Tabla1[[#This Row],[PAGO DIA]],DIAS!A:C,3,0)</f>
        <v>46105</v>
      </c>
      <c r="L1498" s="6">
        <v>0</v>
      </c>
      <c r="M1498" s="41">
        <f>VLOOKUP(Tabla1[[#This Row],[PAGO DIA]],DIAS!A:D,4,0)</f>
        <v>46140</v>
      </c>
      <c r="N1498" s="6">
        <v>0</v>
      </c>
      <c r="O1498" s="43">
        <f>VLOOKUP(Tabla1[[#This Row],[PAGO DIA]],DIAS!A:E,5,0)</f>
        <v>46168</v>
      </c>
      <c r="P1498" s="6">
        <v>0</v>
      </c>
      <c r="Q1498" s="43">
        <f>VLOOKUP(Tabla1[[#This Row],[PAGO DIA]],DIAS!A:F,6,0)</f>
        <v>46196</v>
      </c>
      <c r="R1498" s="6">
        <v>0</v>
      </c>
      <c r="S1498" s="43">
        <f>VLOOKUP(Tabla1[[#This Row],[PAGO DIA]],DIAS!A:G,7,0)</f>
        <v>46231</v>
      </c>
      <c r="T1498" s="6">
        <v>0</v>
      </c>
      <c r="U1498" s="43">
        <f>VLOOKUP(Tabla1[[#This Row],[PAGO DIA]],DIAS!A:H,8,0)</f>
        <v>46259</v>
      </c>
      <c r="V1498" s="6">
        <v>0</v>
      </c>
      <c r="W1498" s="43">
        <f>VLOOKUP(Tabla1[[#This Row],[PAGO DIA]],DIAS!A:I,9,0)</f>
        <v>46287</v>
      </c>
      <c r="X1498" s="6">
        <v>0</v>
      </c>
      <c r="Y1498" s="43">
        <f>VLOOKUP(Tabla1[[#This Row],[PAGO DIA]],DIAS!A:J,10,0)</f>
        <v>46322</v>
      </c>
      <c r="Z1498" s="6">
        <v>0</v>
      </c>
      <c r="AA1498" s="43">
        <f>VLOOKUP(Tabla1[[#This Row],[PAGO DIA]],DIAS!A:K,11,0)</f>
        <v>46350</v>
      </c>
      <c r="AB1498" s="6">
        <v>0</v>
      </c>
      <c r="AC1498" s="43">
        <f>VLOOKUP(Tabla1[[#This Row],[PAGO DIA]],DIAS!A:M,12,0)</f>
        <v>46379</v>
      </c>
      <c r="AD14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499" spans="1:30">
      <c r="A1499" s="3">
        <v>12235</v>
      </c>
      <c r="B1499" s="3" t="s">
        <v>510</v>
      </c>
      <c r="C1499" s="3"/>
      <c r="D1499" s="3" t="s">
        <v>2006</v>
      </c>
      <c r="E1499" s="3" t="s">
        <v>2007</v>
      </c>
      <c r="F1499" s="42" t="s">
        <v>562</v>
      </c>
      <c r="G1499" s="3" t="s">
        <v>2008</v>
      </c>
      <c r="H1499" s="6">
        <v>0</v>
      </c>
      <c r="I1499" s="41">
        <f>VLOOKUP(Tabla1[[#This Row],[PAGO DIA]],DIAS!A:B,2,0)</f>
        <v>46078</v>
      </c>
      <c r="J1499" s="6">
        <v>0</v>
      </c>
      <c r="K1499" s="43">
        <f>VLOOKUP(Tabla1[[#This Row],[PAGO DIA]],DIAS!A:C,3,0)</f>
        <v>46105</v>
      </c>
      <c r="L1499" s="6">
        <v>0</v>
      </c>
      <c r="M1499" s="41">
        <f>VLOOKUP(Tabla1[[#This Row],[PAGO DIA]],DIAS!A:D,4,0)</f>
        <v>46140</v>
      </c>
      <c r="N1499" s="6">
        <v>0</v>
      </c>
      <c r="O1499" s="43">
        <f>VLOOKUP(Tabla1[[#This Row],[PAGO DIA]],DIAS!A:E,5,0)</f>
        <v>46168</v>
      </c>
      <c r="P1499" s="6">
        <v>0</v>
      </c>
      <c r="Q1499" s="43">
        <f>VLOOKUP(Tabla1[[#This Row],[PAGO DIA]],DIAS!A:F,6,0)</f>
        <v>46196</v>
      </c>
      <c r="R1499" s="6">
        <v>0</v>
      </c>
      <c r="S1499" s="43">
        <f>VLOOKUP(Tabla1[[#This Row],[PAGO DIA]],DIAS!A:G,7,0)</f>
        <v>46231</v>
      </c>
      <c r="T1499" s="6">
        <v>0</v>
      </c>
      <c r="U1499" s="43">
        <f>VLOOKUP(Tabla1[[#This Row],[PAGO DIA]],DIAS!A:H,8,0)</f>
        <v>46259</v>
      </c>
      <c r="V1499" s="6">
        <v>0</v>
      </c>
      <c r="W1499" s="43">
        <f>VLOOKUP(Tabla1[[#This Row],[PAGO DIA]],DIAS!A:I,9,0)</f>
        <v>46287</v>
      </c>
      <c r="X1499" s="6">
        <v>0</v>
      </c>
      <c r="Y1499" s="43">
        <f>VLOOKUP(Tabla1[[#This Row],[PAGO DIA]],DIAS!A:J,10,0)</f>
        <v>46322</v>
      </c>
      <c r="Z1499" s="6">
        <v>0</v>
      </c>
      <c r="AA1499" s="43">
        <f>VLOOKUP(Tabla1[[#This Row],[PAGO DIA]],DIAS!A:K,11,0)</f>
        <v>46350</v>
      </c>
      <c r="AB1499" s="6">
        <v>0</v>
      </c>
      <c r="AC1499" s="43">
        <f>VLOOKUP(Tabla1[[#This Row],[PAGO DIA]],DIAS!A:M,12,0)</f>
        <v>46379</v>
      </c>
      <c r="AD14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0" spans="1:30">
      <c r="A1500" s="3">
        <v>11128</v>
      </c>
      <c r="B1500" s="3" t="s">
        <v>510</v>
      </c>
      <c r="C1500" s="3" t="s">
        <v>2009</v>
      </c>
      <c r="D1500" s="3" t="s">
        <v>2009</v>
      </c>
      <c r="E1500" s="3" t="s">
        <v>2010</v>
      </c>
      <c r="F1500" s="42" t="s">
        <v>562</v>
      </c>
      <c r="G1500" s="3"/>
      <c r="H1500" s="6">
        <v>0</v>
      </c>
      <c r="I1500" s="41">
        <f>VLOOKUP(Tabla1[[#This Row],[PAGO DIA]],DIAS!A:B,2,0)</f>
        <v>46078</v>
      </c>
      <c r="J1500" s="6">
        <v>0</v>
      </c>
      <c r="K1500" s="43">
        <f>VLOOKUP(Tabla1[[#This Row],[PAGO DIA]],DIAS!A:C,3,0)</f>
        <v>46105</v>
      </c>
      <c r="L1500" s="6">
        <v>0</v>
      </c>
      <c r="M1500" s="41">
        <f>VLOOKUP(Tabla1[[#This Row],[PAGO DIA]],DIAS!A:D,4,0)</f>
        <v>46140</v>
      </c>
      <c r="N1500" s="6">
        <v>0</v>
      </c>
      <c r="O1500" s="43">
        <f>VLOOKUP(Tabla1[[#This Row],[PAGO DIA]],DIAS!A:E,5,0)</f>
        <v>46168</v>
      </c>
      <c r="P1500" s="6">
        <v>0</v>
      </c>
      <c r="Q1500" s="43">
        <f>VLOOKUP(Tabla1[[#This Row],[PAGO DIA]],DIAS!A:F,6,0)</f>
        <v>46196</v>
      </c>
      <c r="R1500" s="6">
        <v>0</v>
      </c>
      <c r="S1500" s="43">
        <f>VLOOKUP(Tabla1[[#This Row],[PAGO DIA]],DIAS!A:G,7,0)</f>
        <v>46231</v>
      </c>
      <c r="T1500" s="6">
        <v>0</v>
      </c>
      <c r="U1500" s="43">
        <f>VLOOKUP(Tabla1[[#This Row],[PAGO DIA]],DIAS!A:H,8,0)</f>
        <v>46259</v>
      </c>
      <c r="V1500" s="6">
        <v>0</v>
      </c>
      <c r="W1500" s="43">
        <f>VLOOKUP(Tabla1[[#This Row],[PAGO DIA]],DIAS!A:I,9,0)</f>
        <v>46287</v>
      </c>
      <c r="X1500" s="6">
        <v>0</v>
      </c>
      <c r="Y1500" s="43">
        <f>VLOOKUP(Tabla1[[#This Row],[PAGO DIA]],DIAS!A:J,10,0)</f>
        <v>46322</v>
      </c>
      <c r="Z1500" s="6">
        <v>0</v>
      </c>
      <c r="AA1500" s="43">
        <f>VLOOKUP(Tabla1[[#This Row],[PAGO DIA]],DIAS!A:K,11,0)</f>
        <v>46350</v>
      </c>
      <c r="AB1500" s="6">
        <v>0</v>
      </c>
      <c r="AC1500" s="43">
        <f>VLOOKUP(Tabla1[[#This Row],[PAGO DIA]],DIAS!A:M,12,0)</f>
        <v>46379</v>
      </c>
      <c r="AD15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1" spans="1:30">
      <c r="A1501" s="3">
        <v>12236</v>
      </c>
      <c r="B1501" s="3" t="s">
        <v>510</v>
      </c>
      <c r="C1501" s="3" t="s">
        <v>559</v>
      </c>
      <c r="D1501" s="3" t="s">
        <v>2011</v>
      </c>
      <c r="E1501" s="3" t="s">
        <v>2012</v>
      </c>
      <c r="F1501" s="42" t="s">
        <v>562</v>
      </c>
      <c r="G1501" s="3" t="s">
        <v>1161</v>
      </c>
      <c r="H1501" s="6">
        <v>0</v>
      </c>
      <c r="I1501" s="41">
        <f>VLOOKUP(Tabla1[[#This Row],[PAGO DIA]],DIAS!A:B,2,0)</f>
        <v>46078</v>
      </c>
      <c r="J1501" s="6">
        <v>0</v>
      </c>
      <c r="K1501" s="43">
        <f>VLOOKUP(Tabla1[[#This Row],[PAGO DIA]],DIAS!A:C,3,0)</f>
        <v>46105</v>
      </c>
      <c r="L1501" s="6">
        <v>0</v>
      </c>
      <c r="M1501" s="41">
        <f>VLOOKUP(Tabla1[[#This Row],[PAGO DIA]],DIAS!A:D,4,0)</f>
        <v>46140</v>
      </c>
      <c r="N1501" s="6">
        <v>0</v>
      </c>
      <c r="O1501" s="43">
        <f>VLOOKUP(Tabla1[[#This Row],[PAGO DIA]],DIAS!A:E,5,0)</f>
        <v>46168</v>
      </c>
      <c r="P1501" s="6">
        <v>0</v>
      </c>
      <c r="Q1501" s="43">
        <f>VLOOKUP(Tabla1[[#This Row],[PAGO DIA]],DIAS!A:F,6,0)</f>
        <v>46196</v>
      </c>
      <c r="R1501" s="6">
        <v>0</v>
      </c>
      <c r="S1501" s="43">
        <f>VLOOKUP(Tabla1[[#This Row],[PAGO DIA]],DIAS!A:G,7,0)</f>
        <v>46231</v>
      </c>
      <c r="T1501" s="6">
        <v>0</v>
      </c>
      <c r="U1501" s="43">
        <f>VLOOKUP(Tabla1[[#This Row],[PAGO DIA]],DIAS!A:H,8,0)</f>
        <v>46259</v>
      </c>
      <c r="V1501" s="6">
        <v>0</v>
      </c>
      <c r="W1501" s="43">
        <f>VLOOKUP(Tabla1[[#This Row],[PAGO DIA]],DIAS!A:I,9,0)</f>
        <v>46287</v>
      </c>
      <c r="X1501" s="6">
        <v>0</v>
      </c>
      <c r="Y1501" s="43">
        <f>VLOOKUP(Tabla1[[#This Row],[PAGO DIA]],DIAS!A:J,10,0)</f>
        <v>46322</v>
      </c>
      <c r="Z1501" s="6">
        <v>0</v>
      </c>
      <c r="AA1501" s="43">
        <f>VLOOKUP(Tabla1[[#This Row],[PAGO DIA]],DIAS!A:K,11,0)</f>
        <v>46350</v>
      </c>
      <c r="AB1501" s="6">
        <v>0</v>
      </c>
      <c r="AC1501" s="43">
        <f>VLOOKUP(Tabla1[[#This Row],[PAGO DIA]],DIAS!A:M,12,0)</f>
        <v>46379</v>
      </c>
      <c r="AD15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2" spans="1:30">
      <c r="A1502" s="3">
        <v>12495</v>
      </c>
      <c r="B1502" s="3" t="s">
        <v>510</v>
      </c>
      <c r="C1502" s="3"/>
      <c r="D1502" s="3" t="s">
        <v>2013</v>
      </c>
      <c r="E1502" s="3" t="s">
        <v>1670</v>
      </c>
      <c r="F1502" s="42" t="s">
        <v>562</v>
      </c>
      <c r="G1502" s="3"/>
      <c r="H1502" s="6">
        <v>0</v>
      </c>
      <c r="I1502" s="41">
        <f>VLOOKUP(Tabla1[[#This Row],[PAGO DIA]],DIAS!A:B,2,0)</f>
        <v>46078</v>
      </c>
      <c r="J1502" s="6">
        <v>0</v>
      </c>
      <c r="K1502" s="43">
        <f>VLOOKUP(Tabla1[[#This Row],[PAGO DIA]],DIAS!A:C,3,0)</f>
        <v>46105</v>
      </c>
      <c r="L1502" s="6">
        <v>0</v>
      </c>
      <c r="M1502" s="41">
        <f>VLOOKUP(Tabla1[[#This Row],[PAGO DIA]],DIAS!A:D,4,0)</f>
        <v>46140</v>
      </c>
      <c r="N1502" s="6">
        <v>0</v>
      </c>
      <c r="O1502" s="43">
        <f>VLOOKUP(Tabla1[[#This Row],[PAGO DIA]],DIAS!A:E,5,0)</f>
        <v>46168</v>
      </c>
      <c r="P1502" s="6">
        <v>0</v>
      </c>
      <c r="Q1502" s="43">
        <f>VLOOKUP(Tabla1[[#This Row],[PAGO DIA]],DIAS!A:F,6,0)</f>
        <v>46196</v>
      </c>
      <c r="R1502" s="6">
        <v>0</v>
      </c>
      <c r="S1502" s="43">
        <f>VLOOKUP(Tabla1[[#This Row],[PAGO DIA]],DIAS!A:G,7,0)</f>
        <v>46231</v>
      </c>
      <c r="T1502" s="6">
        <v>0</v>
      </c>
      <c r="U1502" s="43">
        <f>VLOOKUP(Tabla1[[#This Row],[PAGO DIA]],DIAS!A:H,8,0)</f>
        <v>46259</v>
      </c>
      <c r="V1502" s="6">
        <v>0</v>
      </c>
      <c r="W1502" s="43">
        <f>VLOOKUP(Tabla1[[#This Row],[PAGO DIA]],DIAS!A:I,9,0)</f>
        <v>46287</v>
      </c>
      <c r="X1502" s="6">
        <v>0</v>
      </c>
      <c r="Y1502" s="43">
        <f>VLOOKUP(Tabla1[[#This Row],[PAGO DIA]],DIAS!A:J,10,0)</f>
        <v>46322</v>
      </c>
      <c r="Z1502" s="6">
        <v>0</v>
      </c>
      <c r="AA1502" s="43">
        <f>VLOOKUP(Tabla1[[#This Row],[PAGO DIA]],DIAS!A:K,11,0)</f>
        <v>46350</v>
      </c>
      <c r="AB1502" s="6">
        <v>0</v>
      </c>
      <c r="AC1502" s="43">
        <f>VLOOKUP(Tabla1[[#This Row],[PAGO DIA]],DIAS!A:M,12,0)</f>
        <v>46379</v>
      </c>
      <c r="AD15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3" spans="1:30">
      <c r="A1503" s="3">
        <v>11354</v>
      </c>
      <c r="B1503" s="3" t="s">
        <v>510</v>
      </c>
      <c r="C1503" s="3" t="s">
        <v>1843</v>
      </c>
      <c r="D1503" s="3" t="s">
        <v>1844</v>
      </c>
      <c r="E1503" s="3" t="s">
        <v>1845</v>
      </c>
      <c r="F1503" s="42" t="s">
        <v>562</v>
      </c>
      <c r="G1503" s="3" t="s">
        <v>1176</v>
      </c>
      <c r="H1503" s="6">
        <v>0</v>
      </c>
      <c r="I1503" s="41">
        <f>VLOOKUP(Tabla1[[#This Row],[PAGO DIA]],DIAS!A:B,2,0)</f>
        <v>46078</v>
      </c>
      <c r="J1503" s="6">
        <v>0</v>
      </c>
      <c r="K1503" s="43">
        <f>VLOOKUP(Tabla1[[#This Row],[PAGO DIA]],DIAS!A:C,3,0)</f>
        <v>46105</v>
      </c>
      <c r="L1503" s="6">
        <v>0</v>
      </c>
      <c r="M1503" s="41">
        <f>VLOOKUP(Tabla1[[#This Row],[PAGO DIA]],DIAS!A:D,4,0)</f>
        <v>46140</v>
      </c>
      <c r="N1503" s="6">
        <v>0</v>
      </c>
      <c r="O1503" s="43">
        <f>VLOOKUP(Tabla1[[#This Row],[PAGO DIA]],DIAS!A:E,5,0)</f>
        <v>46168</v>
      </c>
      <c r="P1503" s="6">
        <v>0</v>
      </c>
      <c r="Q1503" s="43">
        <f>VLOOKUP(Tabla1[[#This Row],[PAGO DIA]],DIAS!A:F,6,0)</f>
        <v>46196</v>
      </c>
      <c r="R1503" s="6">
        <v>0</v>
      </c>
      <c r="S1503" s="43">
        <f>VLOOKUP(Tabla1[[#This Row],[PAGO DIA]],DIAS!A:G,7,0)</f>
        <v>46231</v>
      </c>
      <c r="T1503" s="6">
        <v>0</v>
      </c>
      <c r="U1503" s="43">
        <f>VLOOKUP(Tabla1[[#This Row],[PAGO DIA]],DIAS!A:H,8,0)</f>
        <v>46259</v>
      </c>
      <c r="V1503" s="6">
        <v>0</v>
      </c>
      <c r="W1503" s="43">
        <f>VLOOKUP(Tabla1[[#This Row],[PAGO DIA]],DIAS!A:I,9,0)</f>
        <v>46287</v>
      </c>
      <c r="X1503" s="6">
        <v>0</v>
      </c>
      <c r="Y1503" s="43">
        <f>VLOOKUP(Tabla1[[#This Row],[PAGO DIA]],DIAS!A:J,10,0)</f>
        <v>46322</v>
      </c>
      <c r="Z1503" s="6">
        <v>0</v>
      </c>
      <c r="AA1503" s="43">
        <f>VLOOKUP(Tabla1[[#This Row],[PAGO DIA]],DIAS!A:K,11,0)</f>
        <v>46350</v>
      </c>
      <c r="AB1503" s="6">
        <v>0</v>
      </c>
      <c r="AC1503" s="43">
        <f>VLOOKUP(Tabla1[[#This Row],[PAGO DIA]],DIAS!A:M,12,0)</f>
        <v>46379</v>
      </c>
      <c r="AD15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4" spans="1:30">
      <c r="A1504" s="3">
        <v>11314</v>
      </c>
      <c r="B1504" s="3" t="s">
        <v>510</v>
      </c>
      <c r="C1504" s="3" t="s">
        <v>1179</v>
      </c>
      <c r="D1504" s="3" t="s">
        <v>2014</v>
      </c>
      <c r="E1504" s="3" t="s">
        <v>2014</v>
      </c>
      <c r="F1504" s="42" t="s">
        <v>562</v>
      </c>
      <c r="G1504" s="3"/>
      <c r="H1504" s="6">
        <v>0</v>
      </c>
      <c r="I1504" s="41">
        <f>VLOOKUP(Tabla1[[#This Row],[PAGO DIA]],DIAS!A:B,2,0)</f>
        <v>46078</v>
      </c>
      <c r="J1504" s="6">
        <v>0</v>
      </c>
      <c r="K1504" s="43">
        <f>VLOOKUP(Tabla1[[#This Row],[PAGO DIA]],DIAS!A:C,3,0)</f>
        <v>46105</v>
      </c>
      <c r="L1504" s="6">
        <v>0</v>
      </c>
      <c r="M1504" s="41">
        <f>VLOOKUP(Tabla1[[#This Row],[PAGO DIA]],DIAS!A:D,4,0)</f>
        <v>46140</v>
      </c>
      <c r="N1504" s="6">
        <v>0</v>
      </c>
      <c r="O1504" s="43">
        <f>VLOOKUP(Tabla1[[#This Row],[PAGO DIA]],DIAS!A:E,5,0)</f>
        <v>46168</v>
      </c>
      <c r="P1504" s="6">
        <v>0</v>
      </c>
      <c r="Q1504" s="43">
        <f>VLOOKUP(Tabla1[[#This Row],[PAGO DIA]],DIAS!A:F,6,0)</f>
        <v>46196</v>
      </c>
      <c r="R1504" s="6">
        <v>0</v>
      </c>
      <c r="S1504" s="43">
        <f>VLOOKUP(Tabla1[[#This Row],[PAGO DIA]],DIAS!A:G,7,0)</f>
        <v>46231</v>
      </c>
      <c r="T1504" s="6">
        <v>0</v>
      </c>
      <c r="U1504" s="43">
        <f>VLOOKUP(Tabla1[[#This Row],[PAGO DIA]],DIAS!A:H,8,0)</f>
        <v>46259</v>
      </c>
      <c r="V1504" s="6">
        <v>0</v>
      </c>
      <c r="W1504" s="43">
        <f>VLOOKUP(Tabla1[[#This Row],[PAGO DIA]],DIAS!A:I,9,0)</f>
        <v>46287</v>
      </c>
      <c r="X1504" s="6">
        <v>0</v>
      </c>
      <c r="Y1504" s="43">
        <f>VLOOKUP(Tabla1[[#This Row],[PAGO DIA]],DIAS!A:J,10,0)</f>
        <v>46322</v>
      </c>
      <c r="Z1504" s="6">
        <v>0</v>
      </c>
      <c r="AA1504" s="43">
        <f>VLOOKUP(Tabla1[[#This Row],[PAGO DIA]],DIAS!A:K,11,0)</f>
        <v>46350</v>
      </c>
      <c r="AB1504" s="6">
        <v>0</v>
      </c>
      <c r="AC1504" s="43">
        <f>VLOOKUP(Tabla1[[#This Row],[PAGO DIA]],DIAS!A:M,12,0)</f>
        <v>46379</v>
      </c>
      <c r="AD15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5" spans="1:30">
      <c r="A1505" s="3">
        <v>11063</v>
      </c>
      <c r="B1505" s="3" t="s">
        <v>510</v>
      </c>
      <c r="C1505" s="3" t="s">
        <v>1179</v>
      </c>
      <c r="D1505" s="3" t="s">
        <v>862</v>
      </c>
      <c r="E1505" s="3" t="s">
        <v>862</v>
      </c>
      <c r="F1505" s="42" t="s">
        <v>562</v>
      </c>
      <c r="G1505" s="3"/>
      <c r="H1505" s="6">
        <v>0</v>
      </c>
      <c r="I1505" s="41">
        <f>VLOOKUP(Tabla1[[#This Row],[PAGO DIA]],DIAS!A:B,2,0)</f>
        <v>46078</v>
      </c>
      <c r="J1505" s="6">
        <v>0</v>
      </c>
      <c r="K1505" s="43">
        <f>VLOOKUP(Tabla1[[#This Row],[PAGO DIA]],DIAS!A:C,3,0)</f>
        <v>46105</v>
      </c>
      <c r="L1505" s="6">
        <v>0</v>
      </c>
      <c r="M1505" s="41">
        <f>VLOOKUP(Tabla1[[#This Row],[PAGO DIA]],DIAS!A:D,4,0)</f>
        <v>46140</v>
      </c>
      <c r="N1505" s="6">
        <v>0</v>
      </c>
      <c r="O1505" s="43">
        <f>VLOOKUP(Tabla1[[#This Row],[PAGO DIA]],DIAS!A:E,5,0)</f>
        <v>46168</v>
      </c>
      <c r="P1505" s="6">
        <v>0</v>
      </c>
      <c r="Q1505" s="43">
        <f>VLOOKUP(Tabla1[[#This Row],[PAGO DIA]],DIAS!A:F,6,0)</f>
        <v>46196</v>
      </c>
      <c r="R1505" s="6">
        <v>0</v>
      </c>
      <c r="S1505" s="43">
        <f>VLOOKUP(Tabla1[[#This Row],[PAGO DIA]],DIAS!A:G,7,0)</f>
        <v>46231</v>
      </c>
      <c r="T1505" s="6">
        <v>0</v>
      </c>
      <c r="U1505" s="43">
        <f>VLOOKUP(Tabla1[[#This Row],[PAGO DIA]],DIAS!A:H,8,0)</f>
        <v>46259</v>
      </c>
      <c r="V1505" s="6">
        <v>0</v>
      </c>
      <c r="W1505" s="43">
        <f>VLOOKUP(Tabla1[[#This Row],[PAGO DIA]],DIAS!A:I,9,0)</f>
        <v>46287</v>
      </c>
      <c r="X1505" s="6">
        <v>0</v>
      </c>
      <c r="Y1505" s="43">
        <f>VLOOKUP(Tabla1[[#This Row],[PAGO DIA]],DIAS!A:J,10,0)</f>
        <v>46322</v>
      </c>
      <c r="Z1505" s="6">
        <v>0</v>
      </c>
      <c r="AA1505" s="43">
        <f>VLOOKUP(Tabla1[[#This Row],[PAGO DIA]],DIAS!A:K,11,0)</f>
        <v>46350</v>
      </c>
      <c r="AB1505" s="6">
        <v>0</v>
      </c>
      <c r="AC1505" s="43">
        <f>VLOOKUP(Tabla1[[#This Row],[PAGO DIA]],DIAS!A:M,12,0)</f>
        <v>46379</v>
      </c>
      <c r="AD15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6" spans="1:30">
      <c r="A1506" s="3">
        <v>11855</v>
      </c>
      <c r="B1506" s="3" t="s">
        <v>510</v>
      </c>
      <c r="C1506" s="3" t="s">
        <v>2015</v>
      </c>
      <c r="D1506" s="3" t="s">
        <v>2016</v>
      </c>
      <c r="E1506" s="3" t="s">
        <v>2017</v>
      </c>
      <c r="F1506" s="42" t="s">
        <v>562</v>
      </c>
      <c r="G1506" s="3" t="s">
        <v>2018</v>
      </c>
      <c r="H1506" s="6">
        <v>0</v>
      </c>
      <c r="I1506" s="41">
        <f>VLOOKUP(Tabla1[[#This Row],[PAGO DIA]],DIAS!A:B,2,0)</f>
        <v>46078</v>
      </c>
      <c r="J1506" s="6">
        <v>0</v>
      </c>
      <c r="K1506" s="43">
        <f>VLOOKUP(Tabla1[[#This Row],[PAGO DIA]],DIAS!A:C,3,0)</f>
        <v>46105</v>
      </c>
      <c r="L1506" s="6">
        <v>0</v>
      </c>
      <c r="M1506" s="41">
        <f>VLOOKUP(Tabla1[[#This Row],[PAGO DIA]],DIAS!A:D,4,0)</f>
        <v>46140</v>
      </c>
      <c r="N1506" s="6">
        <v>0</v>
      </c>
      <c r="O1506" s="43">
        <f>VLOOKUP(Tabla1[[#This Row],[PAGO DIA]],DIAS!A:E,5,0)</f>
        <v>46168</v>
      </c>
      <c r="P1506" s="6">
        <v>0</v>
      </c>
      <c r="Q1506" s="43">
        <f>VLOOKUP(Tabla1[[#This Row],[PAGO DIA]],DIAS!A:F,6,0)</f>
        <v>46196</v>
      </c>
      <c r="R1506" s="6">
        <v>0</v>
      </c>
      <c r="S1506" s="43">
        <f>VLOOKUP(Tabla1[[#This Row],[PAGO DIA]],DIAS!A:G,7,0)</f>
        <v>46231</v>
      </c>
      <c r="T1506" s="6">
        <v>0</v>
      </c>
      <c r="U1506" s="43">
        <f>VLOOKUP(Tabla1[[#This Row],[PAGO DIA]],DIAS!A:H,8,0)</f>
        <v>46259</v>
      </c>
      <c r="V1506" s="6">
        <v>0</v>
      </c>
      <c r="W1506" s="43">
        <f>VLOOKUP(Tabla1[[#This Row],[PAGO DIA]],DIAS!A:I,9,0)</f>
        <v>46287</v>
      </c>
      <c r="X1506" s="6">
        <v>0</v>
      </c>
      <c r="Y1506" s="43">
        <f>VLOOKUP(Tabla1[[#This Row],[PAGO DIA]],DIAS!A:J,10,0)</f>
        <v>46322</v>
      </c>
      <c r="Z1506" s="6">
        <v>0</v>
      </c>
      <c r="AA1506" s="43">
        <f>VLOOKUP(Tabla1[[#This Row],[PAGO DIA]],DIAS!A:K,11,0)</f>
        <v>46350</v>
      </c>
      <c r="AB1506" s="6">
        <v>0</v>
      </c>
      <c r="AC1506" s="43">
        <f>VLOOKUP(Tabla1[[#This Row],[PAGO DIA]],DIAS!A:M,12,0)</f>
        <v>46379</v>
      </c>
      <c r="AD15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7" spans="1:30">
      <c r="A1507" s="3">
        <v>12861</v>
      </c>
      <c r="B1507" s="3" t="s">
        <v>510</v>
      </c>
      <c r="C1507" s="3"/>
      <c r="D1507" s="3" t="s">
        <v>1854</v>
      </c>
      <c r="E1507" s="3" t="s">
        <v>2017</v>
      </c>
      <c r="F1507" s="42" t="s">
        <v>562</v>
      </c>
      <c r="G1507" s="3"/>
      <c r="H1507" s="6">
        <v>0</v>
      </c>
      <c r="I1507" s="41">
        <f>VLOOKUP(Tabla1[[#This Row],[PAGO DIA]],DIAS!A:B,2,0)</f>
        <v>46078</v>
      </c>
      <c r="J1507" s="6">
        <v>15000000</v>
      </c>
      <c r="K1507" s="43">
        <f>VLOOKUP(Tabla1[[#This Row],[PAGO DIA]],DIAS!A:C,3,0)</f>
        <v>46105</v>
      </c>
      <c r="L1507" s="6">
        <v>15000000</v>
      </c>
      <c r="M1507" s="41">
        <f>VLOOKUP(Tabla1[[#This Row],[PAGO DIA]],DIAS!A:D,4,0)</f>
        <v>46140</v>
      </c>
      <c r="N1507" s="6">
        <v>17110000</v>
      </c>
      <c r="O1507" s="43">
        <f>VLOOKUP(Tabla1[[#This Row],[PAGO DIA]],DIAS!A:E,5,0)</f>
        <v>46168</v>
      </c>
      <c r="P1507" s="6">
        <v>0</v>
      </c>
      <c r="Q1507" s="43">
        <f>VLOOKUP(Tabla1[[#This Row],[PAGO DIA]],DIAS!A:F,6,0)</f>
        <v>46196</v>
      </c>
      <c r="R1507" s="6">
        <v>0</v>
      </c>
      <c r="S1507" s="43">
        <f>VLOOKUP(Tabla1[[#This Row],[PAGO DIA]],DIAS!A:G,7,0)</f>
        <v>46231</v>
      </c>
      <c r="T1507" s="6">
        <v>0</v>
      </c>
      <c r="U1507" s="43">
        <f>VLOOKUP(Tabla1[[#This Row],[PAGO DIA]],DIAS!A:H,8,0)</f>
        <v>46259</v>
      </c>
      <c r="V1507" s="6">
        <v>0</v>
      </c>
      <c r="W1507" s="43">
        <f>VLOOKUP(Tabla1[[#This Row],[PAGO DIA]],DIAS!A:I,9,0)</f>
        <v>46287</v>
      </c>
      <c r="X1507" s="6">
        <v>0</v>
      </c>
      <c r="Y1507" s="43">
        <f>VLOOKUP(Tabla1[[#This Row],[PAGO DIA]],DIAS!A:J,10,0)</f>
        <v>46322</v>
      </c>
      <c r="Z1507" s="6">
        <v>0</v>
      </c>
      <c r="AA1507" s="43">
        <f>VLOOKUP(Tabla1[[#This Row],[PAGO DIA]],DIAS!A:K,11,0)</f>
        <v>46350</v>
      </c>
      <c r="AB1507" s="6">
        <v>0</v>
      </c>
      <c r="AC1507" s="43">
        <f>VLOOKUP(Tabla1[[#This Row],[PAGO DIA]],DIAS!A:M,12,0)</f>
        <v>46379</v>
      </c>
      <c r="AD15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47110000</v>
      </c>
    </row>
    <row r="1508" spans="1:30">
      <c r="A1508" s="3">
        <v>11856</v>
      </c>
      <c r="B1508" s="3" t="s">
        <v>510</v>
      </c>
      <c r="C1508" s="3" t="s">
        <v>540</v>
      </c>
      <c r="D1508" s="3" t="s">
        <v>540</v>
      </c>
      <c r="E1508" s="3" t="s">
        <v>1859</v>
      </c>
      <c r="F1508" s="42" t="s">
        <v>562</v>
      </c>
      <c r="G1508" s="3" t="s">
        <v>2019</v>
      </c>
      <c r="H1508" s="6">
        <v>0</v>
      </c>
      <c r="I1508" s="41">
        <f>VLOOKUP(Tabla1[[#This Row],[PAGO DIA]],DIAS!A:B,2,0)</f>
        <v>46078</v>
      </c>
      <c r="J1508" s="6">
        <v>0</v>
      </c>
      <c r="K1508" s="43">
        <f>VLOOKUP(Tabla1[[#This Row],[PAGO DIA]],DIAS!A:C,3,0)</f>
        <v>46105</v>
      </c>
      <c r="L1508" s="6">
        <v>0</v>
      </c>
      <c r="M1508" s="41">
        <f>VLOOKUP(Tabla1[[#This Row],[PAGO DIA]],DIAS!A:D,4,0)</f>
        <v>46140</v>
      </c>
      <c r="N1508" s="6">
        <v>0</v>
      </c>
      <c r="O1508" s="43">
        <f>VLOOKUP(Tabla1[[#This Row],[PAGO DIA]],DIAS!A:E,5,0)</f>
        <v>46168</v>
      </c>
      <c r="P1508" s="6">
        <v>0</v>
      </c>
      <c r="Q1508" s="43">
        <f>VLOOKUP(Tabla1[[#This Row],[PAGO DIA]],DIAS!A:F,6,0)</f>
        <v>46196</v>
      </c>
      <c r="R1508" s="6">
        <v>0</v>
      </c>
      <c r="S1508" s="43">
        <f>VLOOKUP(Tabla1[[#This Row],[PAGO DIA]],DIAS!A:G,7,0)</f>
        <v>46231</v>
      </c>
      <c r="T1508" s="6">
        <v>0</v>
      </c>
      <c r="U1508" s="43">
        <f>VLOOKUP(Tabla1[[#This Row],[PAGO DIA]],DIAS!A:H,8,0)</f>
        <v>46259</v>
      </c>
      <c r="V1508" s="6">
        <v>0</v>
      </c>
      <c r="W1508" s="43">
        <f>VLOOKUP(Tabla1[[#This Row],[PAGO DIA]],DIAS!A:I,9,0)</f>
        <v>46287</v>
      </c>
      <c r="X1508" s="6">
        <v>0</v>
      </c>
      <c r="Y1508" s="43">
        <f>VLOOKUP(Tabla1[[#This Row],[PAGO DIA]],DIAS!A:J,10,0)</f>
        <v>46322</v>
      </c>
      <c r="Z1508" s="6">
        <v>0</v>
      </c>
      <c r="AA1508" s="43">
        <f>VLOOKUP(Tabla1[[#This Row],[PAGO DIA]],DIAS!A:K,11,0)</f>
        <v>46350</v>
      </c>
      <c r="AB1508" s="6">
        <v>0</v>
      </c>
      <c r="AC1508" s="43">
        <f>VLOOKUP(Tabla1[[#This Row],[PAGO DIA]],DIAS!A:M,12,0)</f>
        <v>46379</v>
      </c>
      <c r="AD15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09" spans="1:30">
      <c r="A1509" s="3">
        <v>11862</v>
      </c>
      <c r="B1509" s="3" t="s">
        <v>510</v>
      </c>
      <c r="C1509" s="3" t="s">
        <v>2020</v>
      </c>
      <c r="D1509" s="3" t="s">
        <v>2020</v>
      </c>
      <c r="E1509" s="3" t="s">
        <v>2021</v>
      </c>
      <c r="F1509" s="42" t="s">
        <v>562</v>
      </c>
      <c r="G1509" s="3"/>
      <c r="H1509" s="6">
        <v>0</v>
      </c>
      <c r="I1509" s="41">
        <f>VLOOKUP(Tabla1[[#This Row],[PAGO DIA]],DIAS!A:B,2,0)</f>
        <v>46078</v>
      </c>
      <c r="J1509" s="6">
        <v>0</v>
      </c>
      <c r="K1509" s="43">
        <f>VLOOKUP(Tabla1[[#This Row],[PAGO DIA]],DIAS!A:C,3,0)</f>
        <v>46105</v>
      </c>
      <c r="L1509" s="6">
        <v>0</v>
      </c>
      <c r="M1509" s="41">
        <f>VLOOKUP(Tabla1[[#This Row],[PAGO DIA]],DIAS!A:D,4,0)</f>
        <v>46140</v>
      </c>
      <c r="N1509" s="6">
        <v>0</v>
      </c>
      <c r="O1509" s="43">
        <f>VLOOKUP(Tabla1[[#This Row],[PAGO DIA]],DIAS!A:E,5,0)</f>
        <v>46168</v>
      </c>
      <c r="P1509" s="6">
        <v>0</v>
      </c>
      <c r="Q1509" s="43">
        <f>VLOOKUP(Tabla1[[#This Row],[PAGO DIA]],DIAS!A:F,6,0)</f>
        <v>46196</v>
      </c>
      <c r="R1509" s="6">
        <v>0</v>
      </c>
      <c r="S1509" s="43">
        <f>VLOOKUP(Tabla1[[#This Row],[PAGO DIA]],DIAS!A:G,7,0)</f>
        <v>46231</v>
      </c>
      <c r="T1509" s="6">
        <v>0</v>
      </c>
      <c r="U1509" s="43">
        <f>VLOOKUP(Tabla1[[#This Row],[PAGO DIA]],DIAS!A:H,8,0)</f>
        <v>46259</v>
      </c>
      <c r="V1509" s="6">
        <v>0</v>
      </c>
      <c r="W1509" s="43">
        <f>VLOOKUP(Tabla1[[#This Row],[PAGO DIA]],DIAS!A:I,9,0)</f>
        <v>46287</v>
      </c>
      <c r="X1509" s="6">
        <v>0</v>
      </c>
      <c r="Y1509" s="43">
        <f>VLOOKUP(Tabla1[[#This Row],[PAGO DIA]],DIAS!A:J,10,0)</f>
        <v>46322</v>
      </c>
      <c r="Z1509" s="6">
        <v>0</v>
      </c>
      <c r="AA1509" s="43">
        <f>VLOOKUP(Tabla1[[#This Row],[PAGO DIA]],DIAS!A:K,11,0)</f>
        <v>46350</v>
      </c>
      <c r="AB1509" s="6">
        <v>0</v>
      </c>
      <c r="AC1509" s="43">
        <f>VLOOKUP(Tabla1[[#This Row],[PAGO DIA]],DIAS!A:M,12,0)</f>
        <v>46379</v>
      </c>
      <c r="AD15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0" spans="1:30">
      <c r="A1510" s="3">
        <v>11863</v>
      </c>
      <c r="B1510" s="3" t="s">
        <v>510</v>
      </c>
      <c r="C1510" s="3" t="s">
        <v>540</v>
      </c>
      <c r="D1510" s="3" t="s">
        <v>540</v>
      </c>
      <c r="E1510" s="3" t="s">
        <v>1672</v>
      </c>
      <c r="F1510" s="42" t="s">
        <v>562</v>
      </c>
      <c r="G1510" s="3" t="s">
        <v>2022</v>
      </c>
      <c r="H1510" s="6">
        <v>0</v>
      </c>
      <c r="I1510" s="41">
        <f>VLOOKUP(Tabla1[[#This Row],[PAGO DIA]],DIAS!A:B,2,0)</f>
        <v>46078</v>
      </c>
      <c r="J1510" s="6">
        <v>0</v>
      </c>
      <c r="K1510" s="43">
        <f>VLOOKUP(Tabla1[[#This Row],[PAGO DIA]],DIAS!A:C,3,0)</f>
        <v>46105</v>
      </c>
      <c r="L1510" s="6">
        <v>0</v>
      </c>
      <c r="M1510" s="41">
        <f>VLOOKUP(Tabla1[[#This Row],[PAGO DIA]],DIAS!A:D,4,0)</f>
        <v>46140</v>
      </c>
      <c r="N1510" s="6">
        <v>0</v>
      </c>
      <c r="O1510" s="43">
        <f>VLOOKUP(Tabla1[[#This Row],[PAGO DIA]],DIAS!A:E,5,0)</f>
        <v>46168</v>
      </c>
      <c r="P1510" s="6">
        <v>0</v>
      </c>
      <c r="Q1510" s="43">
        <f>VLOOKUP(Tabla1[[#This Row],[PAGO DIA]],DIAS!A:F,6,0)</f>
        <v>46196</v>
      </c>
      <c r="R1510" s="6">
        <v>0</v>
      </c>
      <c r="S1510" s="43">
        <f>VLOOKUP(Tabla1[[#This Row],[PAGO DIA]],DIAS!A:G,7,0)</f>
        <v>46231</v>
      </c>
      <c r="T1510" s="6">
        <v>0</v>
      </c>
      <c r="U1510" s="43">
        <f>VLOOKUP(Tabla1[[#This Row],[PAGO DIA]],DIAS!A:H,8,0)</f>
        <v>46259</v>
      </c>
      <c r="V1510" s="6">
        <v>0</v>
      </c>
      <c r="W1510" s="43">
        <f>VLOOKUP(Tabla1[[#This Row],[PAGO DIA]],DIAS!A:I,9,0)</f>
        <v>46287</v>
      </c>
      <c r="X1510" s="6">
        <v>0</v>
      </c>
      <c r="Y1510" s="43">
        <f>VLOOKUP(Tabla1[[#This Row],[PAGO DIA]],DIAS!A:J,10,0)</f>
        <v>46322</v>
      </c>
      <c r="Z1510" s="6">
        <v>0</v>
      </c>
      <c r="AA1510" s="43">
        <f>VLOOKUP(Tabla1[[#This Row],[PAGO DIA]],DIAS!A:K,11,0)</f>
        <v>46350</v>
      </c>
      <c r="AB1510" s="6">
        <v>0</v>
      </c>
      <c r="AC1510" s="43">
        <f>VLOOKUP(Tabla1[[#This Row],[PAGO DIA]],DIAS!A:M,12,0)</f>
        <v>46379</v>
      </c>
      <c r="AD15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1" spans="1:30">
      <c r="A1511" s="3">
        <v>12239</v>
      </c>
      <c r="B1511" s="3" t="s">
        <v>510</v>
      </c>
      <c r="C1511" s="3" t="s">
        <v>576</v>
      </c>
      <c r="D1511" s="3" t="s">
        <v>2023</v>
      </c>
      <c r="E1511" s="3" t="s">
        <v>2024</v>
      </c>
      <c r="F1511" s="42" t="s">
        <v>562</v>
      </c>
      <c r="G1511" s="3" t="s">
        <v>1161</v>
      </c>
      <c r="H1511" s="6">
        <v>0</v>
      </c>
      <c r="I1511" s="41">
        <f>VLOOKUP(Tabla1[[#This Row],[PAGO DIA]],DIAS!A:B,2,0)</f>
        <v>46078</v>
      </c>
      <c r="J1511" s="6">
        <v>0</v>
      </c>
      <c r="K1511" s="43">
        <f>VLOOKUP(Tabla1[[#This Row],[PAGO DIA]],DIAS!A:C,3,0)</f>
        <v>46105</v>
      </c>
      <c r="L1511" s="6">
        <v>0</v>
      </c>
      <c r="M1511" s="41">
        <f>VLOOKUP(Tabla1[[#This Row],[PAGO DIA]],DIAS!A:D,4,0)</f>
        <v>46140</v>
      </c>
      <c r="N1511" s="6">
        <v>0</v>
      </c>
      <c r="O1511" s="43">
        <f>VLOOKUP(Tabla1[[#This Row],[PAGO DIA]],DIAS!A:E,5,0)</f>
        <v>46168</v>
      </c>
      <c r="P1511" s="6">
        <v>0</v>
      </c>
      <c r="Q1511" s="43">
        <f>VLOOKUP(Tabla1[[#This Row],[PAGO DIA]],DIAS!A:F,6,0)</f>
        <v>46196</v>
      </c>
      <c r="R1511" s="6">
        <v>0</v>
      </c>
      <c r="S1511" s="43">
        <f>VLOOKUP(Tabla1[[#This Row],[PAGO DIA]],DIAS!A:G,7,0)</f>
        <v>46231</v>
      </c>
      <c r="T1511" s="6">
        <v>0</v>
      </c>
      <c r="U1511" s="43">
        <f>VLOOKUP(Tabla1[[#This Row],[PAGO DIA]],DIAS!A:H,8,0)</f>
        <v>46259</v>
      </c>
      <c r="V1511" s="6">
        <v>0</v>
      </c>
      <c r="W1511" s="43">
        <f>VLOOKUP(Tabla1[[#This Row],[PAGO DIA]],DIAS!A:I,9,0)</f>
        <v>46287</v>
      </c>
      <c r="X1511" s="6">
        <v>0</v>
      </c>
      <c r="Y1511" s="43">
        <f>VLOOKUP(Tabla1[[#This Row],[PAGO DIA]],DIAS!A:J,10,0)</f>
        <v>46322</v>
      </c>
      <c r="Z1511" s="6">
        <v>0</v>
      </c>
      <c r="AA1511" s="43">
        <f>VLOOKUP(Tabla1[[#This Row],[PAGO DIA]],DIAS!A:K,11,0)</f>
        <v>46350</v>
      </c>
      <c r="AB1511" s="6">
        <v>0</v>
      </c>
      <c r="AC1511" s="43">
        <f>VLOOKUP(Tabla1[[#This Row],[PAGO DIA]],DIAS!A:M,12,0)</f>
        <v>46379</v>
      </c>
      <c r="AD15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2" spans="1:30">
      <c r="A1512" s="3">
        <v>12240</v>
      </c>
      <c r="B1512" s="3" t="s">
        <v>510</v>
      </c>
      <c r="C1512" s="3" t="s">
        <v>2025</v>
      </c>
      <c r="D1512" s="3" t="s">
        <v>2026</v>
      </c>
      <c r="E1512" s="3" t="s">
        <v>2027</v>
      </c>
      <c r="F1512" s="42" t="s">
        <v>562</v>
      </c>
      <c r="G1512" s="3" t="s">
        <v>2028</v>
      </c>
      <c r="H1512" s="6">
        <v>0</v>
      </c>
      <c r="I1512" s="41">
        <f>VLOOKUP(Tabla1[[#This Row],[PAGO DIA]],DIAS!A:B,2,0)</f>
        <v>46078</v>
      </c>
      <c r="J1512" s="6">
        <v>0</v>
      </c>
      <c r="K1512" s="43">
        <f>VLOOKUP(Tabla1[[#This Row],[PAGO DIA]],DIAS!A:C,3,0)</f>
        <v>46105</v>
      </c>
      <c r="L1512" s="6">
        <v>0</v>
      </c>
      <c r="M1512" s="41">
        <f>VLOOKUP(Tabla1[[#This Row],[PAGO DIA]],DIAS!A:D,4,0)</f>
        <v>46140</v>
      </c>
      <c r="N1512" s="6">
        <v>0</v>
      </c>
      <c r="O1512" s="43">
        <f>VLOOKUP(Tabla1[[#This Row],[PAGO DIA]],DIAS!A:E,5,0)</f>
        <v>46168</v>
      </c>
      <c r="P1512" s="6">
        <v>0</v>
      </c>
      <c r="Q1512" s="43">
        <f>VLOOKUP(Tabla1[[#This Row],[PAGO DIA]],DIAS!A:F,6,0)</f>
        <v>46196</v>
      </c>
      <c r="R1512" s="6">
        <v>0</v>
      </c>
      <c r="S1512" s="43">
        <f>VLOOKUP(Tabla1[[#This Row],[PAGO DIA]],DIAS!A:G,7,0)</f>
        <v>46231</v>
      </c>
      <c r="T1512" s="6">
        <v>0</v>
      </c>
      <c r="U1512" s="43">
        <f>VLOOKUP(Tabla1[[#This Row],[PAGO DIA]],DIAS!A:H,8,0)</f>
        <v>46259</v>
      </c>
      <c r="V1512" s="6">
        <v>0</v>
      </c>
      <c r="W1512" s="43">
        <f>VLOOKUP(Tabla1[[#This Row],[PAGO DIA]],DIAS!A:I,9,0)</f>
        <v>46287</v>
      </c>
      <c r="X1512" s="6">
        <v>0</v>
      </c>
      <c r="Y1512" s="43">
        <f>VLOOKUP(Tabla1[[#This Row],[PAGO DIA]],DIAS!A:J,10,0)</f>
        <v>46322</v>
      </c>
      <c r="Z1512" s="6">
        <v>0</v>
      </c>
      <c r="AA1512" s="43">
        <f>VLOOKUP(Tabla1[[#This Row],[PAGO DIA]],DIAS!A:K,11,0)</f>
        <v>46350</v>
      </c>
      <c r="AB1512" s="6">
        <v>0</v>
      </c>
      <c r="AC1512" s="43">
        <f>VLOOKUP(Tabla1[[#This Row],[PAGO DIA]],DIAS!A:M,12,0)</f>
        <v>46379</v>
      </c>
      <c r="AD15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3" spans="1:30">
      <c r="A1513" s="3">
        <v>10979</v>
      </c>
      <c r="B1513" s="3" t="s">
        <v>510</v>
      </c>
      <c r="C1513" s="3" t="s">
        <v>576</v>
      </c>
      <c r="D1513" s="3" t="s">
        <v>1974</v>
      </c>
      <c r="E1513" s="3" t="s">
        <v>2029</v>
      </c>
      <c r="F1513" s="42" t="s">
        <v>562</v>
      </c>
      <c r="G1513" s="3"/>
      <c r="H1513" s="6">
        <v>0</v>
      </c>
      <c r="I1513" s="41">
        <f>VLOOKUP(Tabla1[[#This Row],[PAGO DIA]],DIAS!A:B,2,0)</f>
        <v>46078</v>
      </c>
      <c r="J1513" s="6">
        <v>0</v>
      </c>
      <c r="K1513" s="43">
        <f>VLOOKUP(Tabla1[[#This Row],[PAGO DIA]],DIAS!A:C,3,0)</f>
        <v>46105</v>
      </c>
      <c r="L1513" s="6">
        <v>0</v>
      </c>
      <c r="M1513" s="41">
        <f>VLOOKUP(Tabla1[[#This Row],[PAGO DIA]],DIAS!A:D,4,0)</f>
        <v>46140</v>
      </c>
      <c r="N1513" s="6">
        <v>0</v>
      </c>
      <c r="O1513" s="43">
        <f>VLOOKUP(Tabla1[[#This Row],[PAGO DIA]],DIAS!A:E,5,0)</f>
        <v>46168</v>
      </c>
      <c r="P1513" s="6">
        <v>0</v>
      </c>
      <c r="Q1513" s="43">
        <f>VLOOKUP(Tabla1[[#This Row],[PAGO DIA]],DIAS!A:F,6,0)</f>
        <v>46196</v>
      </c>
      <c r="R1513" s="6">
        <v>0</v>
      </c>
      <c r="S1513" s="43">
        <f>VLOOKUP(Tabla1[[#This Row],[PAGO DIA]],DIAS!A:G,7,0)</f>
        <v>46231</v>
      </c>
      <c r="T1513" s="6">
        <v>0</v>
      </c>
      <c r="U1513" s="43">
        <f>VLOOKUP(Tabla1[[#This Row],[PAGO DIA]],DIAS!A:H,8,0)</f>
        <v>46259</v>
      </c>
      <c r="V1513" s="6">
        <v>0</v>
      </c>
      <c r="W1513" s="43">
        <f>VLOOKUP(Tabla1[[#This Row],[PAGO DIA]],DIAS!A:I,9,0)</f>
        <v>46287</v>
      </c>
      <c r="X1513" s="6">
        <v>0</v>
      </c>
      <c r="Y1513" s="43">
        <f>VLOOKUP(Tabla1[[#This Row],[PAGO DIA]],DIAS!A:J,10,0)</f>
        <v>46322</v>
      </c>
      <c r="Z1513" s="6">
        <v>0</v>
      </c>
      <c r="AA1513" s="43">
        <f>VLOOKUP(Tabla1[[#This Row],[PAGO DIA]],DIAS!A:K,11,0)</f>
        <v>46350</v>
      </c>
      <c r="AB1513" s="6">
        <v>0</v>
      </c>
      <c r="AC1513" s="43">
        <f>VLOOKUP(Tabla1[[#This Row],[PAGO DIA]],DIAS!A:M,12,0)</f>
        <v>46379</v>
      </c>
      <c r="AD15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4" spans="1:30">
      <c r="A1514" s="3">
        <v>11189</v>
      </c>
      <c r="B1514" s="3" t="s">
        <v>510</v>
      </c>
      <c r="C1514" s="3" t="s">
        <v>576</v>
      </c>
      <c r="D1514" s="3" t="s">
        <v>1974</v>
      </c>
      <c r="E1514" s="3" t="s">
        <v>2029</v>
      </c>
      <c r="F1514" s="42" t="s">
        <v>562</v>
      </c>
      <c r="G1514" s="3" t="s">
        <v>2030</v>
      </c>
      <c r="H1514" s="6">
        <v>0</v>
      </c>
      <c r="I1514" s="41">
        <f>VLOOKUP(Tabla1[[#This Row],[PAGO DIA]],DIAS!A:B,2,0)</f>
        <v>46078</v>
      </c>
      <c r="J1514" s="6">
        <v>0</v>
      </c>
      <c r="K1514" s="43">
        <f>VLOOKUP(Tabla1[[#This Row],[PAGO DIA]],DIAS!A:C,3,0)</f>
        <v>46105</v>
      </c>
      <c r="L1514" s="6">
        <v>0</v>
      </c>
      <c r="M1514" s="41">
        <f>VLOOKUP(Tabla1[[#This Row],[PAGO DIA]],DIAS!A:D,4,0)</f>
        <v>46140</v>
      </c>
      <c r="N1514" s="6">
        <v>0</v>
      </c>
      <c r="O1514" s="43">
        <f>VLOOKUP(Tabla1[[#This Row],[PAGO DIA]],DIAS!A:E,5,0)</f>
        <v>46168</v>
      </c>
      <c r="P1514" s="6">
        <v>0</v>
      </c>
      <c r="Q1514" s="43">
        <f>VLOOKUP(Tabla1[[#This Row],[PAGO DIA]],DIAS!A:F,6,0)</f>
        <v>46196</v>
      </c>
      <c r="R1514" s="6">
        <v>0</v>
      </c>
      <c r="S1514" s="43">
        <f>VLOOKUP(Tabla1[[#This Row],[PAGO DIA]],DIAS!A:G,7,0)</f>
        <v>46231</v>
      </c>
      <c r="T1514" s="6">
        <v>0</v>
      </c>
      <c r="U1514" s="43">
        <f>VLOOKUP(Tabla1[[#This Row],[PAGO DIA]],DIAS!A:H,8,0)</f>
        <v>46259</v>
      </c>
      <c r="V1514" s="6">
        <v>0</v>
      </c>
      <c r="W1514" s="43">
        <f>VLOOKUP(Tabla1[[#This Row],[PAGO DIA]],DIAS!A:I,9,0)</f>
        <v>46287</v>
      </c>
      <c r="X1514" s="6">
        <v>0</v>
      </c>
      <c r="Y1514" s="43">
        <f>VLOOKUP(Tabla1[[#This Row],[PAGO DIA]],DIAS!A:J,10,0)</f>
        <v>46322</v>
      </c>
      <c r="Z1514" s="6">
        <v>0</v>
      </c>
      <c r="AA1514" s="43">
        <f>VLOOKUP(Tabla1[[#This Row],[PAGO DIA]],DIAS!A:K,11,0)</f>
        <v>46350</v>
      </c>
      <c r="AB1514" s="6">
        <v>0</v>
      </c>
      <c r="AC1514" s="43">
        <f>VLOOKUP(Tabla1[[#This Row],[PAGO DIA]],DIAS!A:M,12,0)</f>
        <v>46379</v>
      </c>
      <c r="AD15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5" spans="1:30">
      <c r="A1515" s="3">
        <v>11887</v>
      </c>
      <c r="B1515" s="3" t="s">
        <v>510</v>
      </c>
      <c r="C1515" s="3" t="s">
        <v>540</v>
      </c>
      <c r="D1515" s="3" t="s">
        <v>540</v>
      </c>
      <c r="E1515" s="3" t="s">
        <v>976</v>
      </c>
      <c r="F1515" s="42" t="s">
        <v>562</v>
      </c>
      <c r="G1515" s="3" t="s">
        <v>2031</v>
      </c>
      <c r="H1515" s="6">
        <v>0</v>
      </c>
      <c r="I1515" s="41">
        <f>VLOOKUP(Tabla1[[#This Row],[PAGO DIA]],DIAS!A:B,2,0)</f>
        <v>46078</v>
      </c>
      <c r="J1515" s="6">
        <v>0</v>
      </c>
      <c r="K1515" s="43">
        <f>VLOOKUP(Tabla1[[#This Row],[PAGO DIA]],DIAS!A:C,3,0)</f>
        <v>46105</v>
      </c>
      <c r="L1515" s="6">
        <v>0</v>
      </c>
      <c r="M1515" s="41">
        <f>VLOOKUP(Tabla1[[#This Row],[PAGO DIA]],DIAS!A:D,4,0)</f>
        <v>46140</v>
      </c>
      <c r="N1515" s="6">
        <v>0</v>
      </c>
      <c r="O1515" s="43">
        <f>VLOOKUP(Tabla1[[#This Row],[PAGO DIA]],DIAS!A:E,5,0)</f>
        <v>46168</v>
      </c>
      <c r="P1515" s="6">
        <v>0</v>
      </c>
      <c r="Q1515" s="43">
        <f>VLOOKUP(Tabla1[[#This Row],[PAGO DIA]],DIAS!A:F,6,0)</f>
        <v>46196</v>
      </c>
      <c r="R1515" s="6">
        <v>0</v>
      </c>
      <c r="S1515" s="43">
        <f>VLOOKUP(Tabla1[[#This Row],[PAGO DIA]],DIAS!A:G,7,0)</f>
        <v>46231</v>
      </c>
      <c r="T1515" s="6">
        <v>0</v>
      </c>
      <c r="U1515" s="43">
        <f>VLOOKUP(Tabla1[[#This Row],[PAGO DIA]],DIAS!A:H,8,0)</f>
        <v>46259</v>
      </c>
      <c r="V1515" s="6">
        <v>0</v>
      </c>
      <c r="W1515" s="43">
        <f>VLOOKUP(Tabla1[[#This Row],[PAGO DIA]],DIAS!A:I,9,0)</f>
        <v>46287</v>
      </c>
      <c r="X1515" s="6">
        <v>0</v>
      </c>
      <c r="Y1515" s="43">
        <f>VLOOKUP(Tabla1[[#This Row],[PAGO DIA]],DIAS!A:J,10,0)</f>
        <v>46322</v>
      </c>
      <c r="Z1515" s="6">
        <v>0</v>
      </c>
      <c r="AA1515" s="43">
        <f>VLOOKUP(Tabla1[[#This Row],[PAGO DIA]],DIAS!A:K,11,0)</f>
        <v>46350</v>
      </c>
      <c r="AB1515" s="6">
        <v>0</v>
      </c>
      <c r="AC1515" s="43">
        <f>VLOOKUP(Tabla1[[#This Row],[PAGO DIA]],DIAS!A:M,12,0)</f>
        <v>46379</v>
      </c>
      <c r="AD15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6" spans="1:30">
      <c r="A1516" s="3">
        <v>11888</v>
      </c>
      <c r="B1516" s="3" t="s">
        <v>510</v>
      </c>
      <c r="C1516" s="3" t="s">
        <v>576</v>
      </c>
      <c r="D1516" s="3" t="s">
        <v>1868</v>
      </c>
      <c r="E1516" s="3" t="s">
        <v>976</v>
      </c>
      <c r="F1516" s="42" t="s">
        <v>562</v>
      </c>
      <c r="G1516" s="3" t="s">
        <v>2032</v>
      </c>
      <c r="H1516" s="6">
        <v>0</v>
      </c>
      <c r="I1516" s="41">
        <f>VLOOKUP(Tabla1[[#This Row],[PAGO DIA]],DIAS!A:B,2,0)</f>
        <v>46078</v>
      </c>
      <c r="J1516" s="6">
        <v>0</v>
      </c>
      <c r="K1516" s="43">
        <f>VLOOKUP(Tabla1[[#This Row],[PAGO DIA]],DIAS!A:C,3,0)</f>
        <v>46105</v>
      </c>
      <c r="L1516" s="6">
        <v>0</v>
      </c>
      <c r="M1516" s="41">
        <f>VLOOKUP(Tabla1[[#This Row],[PAGO DIA]],DIAS!A:D,4,0)</f>
        <v>46140</v>
      </c>
      <c r="N1516" s="6">
        <v>0</v>
      </c>
      <c r="O1516" s="43">
        <f>VLOOKUP(Tabla1[[#This Row],[PAGO DIA]],DIAS!A:E,5,0)</f>
        <v>46168</v>
      </c>
      <c r="P1516" s="6">
        <v>0</v>
      </c>
      <c r="Q1516" s="43">
        <f>VLOOKUP(Tabla1[[#This Row],[PAGO DIA]],DIAS!A:F,6,0)</f>
        <v>46196</v>
      </c>
      <c r="R1516" s="6">
        <v>0</v>
      </c>
      <c r="S1516" s="43">
        <f>VLOOKUP(Tabla1[[#This Row],[PAGO DIA]],DIAS!A:G,7,0)</f>
        <v>46231</v>
      </c>
      <c r="T1516" s="6">
        <v>0</v>
      </c>
      <c r="U1516" s="43">
        <f>VLOOKUP(Tabla1[[#This Row],[PAGO DIA]],DIAS!A:H,8,0)</f>
        <v>46259</v>
      </c>
      <c r="V1516" s="6">
        <v>0</v>
      </c>
      <c r="W1516" s="43">
        <f>VLOOKUP(Tabla1[[#This Row],[PAGO DIA]],DIAS!A:I,9,0)</f>
        <v>46287</v>
      </c>
      <c r="X1516" s="6">
        <v>0</v>
      </c>
      <c r="Y1516" s="43">
        <f>VLOOKUP(Tabla1[[#This Row],[PAGO DIA]],DIAS!A:J,10,0)</f>
        <v>46322</v>
      </c>
      <c r="Z1516" s="6">
        <v>0</v>
      </c>
      <c r="AA1516" s="43">
        <f>VLOOKUP(Tabla1[[#This Row],[PAGO DIA]],DIAS!A:K,11,0)</f>
        <v>46350</v>
      </c>
      <c r="AB1516" s="6">
        <v>0</v>
      </c>
      <c r="AC1516" s="43">
        <f>VLOOKUP(Tabla1[[#This Row],[PAGO DIA]],DIAS!A:M,12,0)</f>
        <v>46379</v>
      </c>
      <c r="AD15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7" spans="1:30">
      <c r="A1517" s="3">
        <v>11889</v>
      </c>
      <c r="B1517" s="3" t="s">
        <v>510</v>
      </c>
      <c r="C1517" s="3" t="s">
        <v>576</v>
      </c>
      <c r="D1517" s="3" t="s">
        <v>1868</v>
      </c>
      <c r="E1517" s="3" t="s">
        <v>976</v>
      </c>
      <c r="F1517" s="42" t="s">
        <v>562</v>
      </c>
      <c r="G1517" s="3" t="s">
        <v>2031</v>
      </c>
      <c r="H1517" s="6">
        <v>0</v>
      </c>
      <c r="I1517" s="41">
        <f>VLOOKUP(Tabla1[[#This Row],[PAGO DIA]],DIAS!A:B,2,0)</f>
        <v>46078</v>
      </c>
      <c r="J1517" s="6">
        <v>0</v>
      </c>
      <c r="K1517" s="43">
        <f>VLOOKUP(Tabla1[[#This Row],[PAGO DIA]],DIAS!A:C,3,0)</f>
        <v>46105</v>
      </c>
      <c r="L1517" s="6">
        <v>0</v>
      </c>
      <c r="M1517" s="41">
        <f>VLOOKUP(Tabla1[[#This Row],[PAGO DIA]],DIAS!A:D,4,0)</f>
        <v>46140</v>
      </c>
      <c r="N1517" s="6">
        <v>0</v>
      </c>
      <c r="O1517" s="43">
        <f>VLOOKUP(Tabla1[[#This Row],[PAGO DIA]],DIAS!A:E,5,0)</f>
        <v>46168</v>
      </c>
      <c r="P1517" s="6">
        <v>0</v>
      </c>
      <c r="Q1517" s="43">
        <f>VLOOKUP(Tabla1[[#This Row],[PAGO DIA]],DIAS!A:F,6,0)</f>
        <v>46196</v>
      </c>
      <c r="R1517" s="6">
        <v>0</v>
      </c>
      <c r="S1517" s="43">
        <f>VLOOKUP(Tabla1[[#This Row],[PAGO DIA]],DIAS!A:G,7,0)</f>
        <v>46231</v>
      </c>
      <c r="T1517" s="6">
        <v>0</v>
      </c>
      <c r="U1517" s="43">
        <f>VLOOKUP(Tabla1[[#This Row],[PAGO DIA]],DIAS!A:H,8,0)</f>
        <v>46259</v>
      </c>
      <c r="V1517" s="6">
        <v>0</v>
      </c>
      <c r="W1517" s="43">
        <f>VLOOKUP(Tabla1[[#This Row],[PAGO DIA]],DIAS!A:I,9,0)</f>
        <v>46287</v>
      </c>
      <c r="X1517" s="6">
        <v>0</v>
      </c>
      <c r="Y1517" s="43">
        <f>VLOOKUP(Tabla1[[#This Row],[PAGO DIA]],DIAS!A:J,10,0)</f>
        <v>46322</v>
      </c>
      <c r="Z1517" s="6">
        <v>0</v>
      </c>
      <c r="AA1517" s="43">
        <f>VLOOKUP(Tabla1[[#This Row],[PAGO DIA]],DIAS!A:K,11,0)</f>
        <v>46350</v>
      </c>
      <c r="AB1517" s="6">
        <v>0</v>
      </c>
      <c r="AC1517" s="43">
        <f>VLOOKUP(Tabla1[[#This Row],[PAGO DIA]],DIAS!A:M,12,0)</f>
        <v>46379</v>
      </c>
      <c r="AD15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8" spans="1:30">
      <c r="A1518" s="3">
        <v>11890</v>
      </c>
      <c r="B1518" s="3" t="s">
        <v>510</v>
      </c>
      <c r="C1518" s="3" t="s">
        <v>576</v>
      </c>
      <c r="D1518" s="3" t="s">
        <v>1868</v>
      </c>
      <c r="E1518" s="3" t="s">
        <v>976</v>
      </c>
      <c r="F1518" s="42" t="s">
        <v>562</v>
      </c>
      <c r="G1518" s="3" t="s">
        <v>2031</v>
      </c>
      <c r="H1518" s="6">
        <v>0</v>
      </c>
      <c r="I1518" s="41">
        <f>VLOOKUP(Tabla1[[#This Row],[PAGO DIA]],DIAS!A:B,2,0)</f>
        <v>46078</v>
      </c>
      <c r="J1518" s="6">
        <v>0</v>
      </c>
      <c r="K1518" s="43">
        <f>VLOOKUP(Tabla1[[#This Row],[PAGO DIA]],DIAS!A:C,3,0)</f>
        <v>46105</v>
      </c>
      <c r="L1518" s="6">
        <v>0</v>
      </c>
      <c r="M1518" s="41">
        <f>VLOOKUP(Tabla1[[#This Row],[PAGO DIA]],DIAS!A:D,4,0)</f>
        <v>46140</v>
      </c>
      <c r="N1518" s="6">
        <v>0</v>
      </c>
      <c r="O1518" s="43">
        <f>VLOOKUP(Tabla1[[#This Row],[PAGO DIA]],DIAS!A:E,5,0)</f>
        <v>46168</v>
      </c>
      <c r="P1518" s="6">
        <v>0</v>
      </c>
      <c r="Q1518" s="43">
        <f>VLOOKUP(Tabla1[[#This Row],[PAGO DIA]],DIAS!A:F,6,0)</f>
        <v>46196</v>
      </c>
      <c r="R1518" s="6">
        <v>0</v>
      </c>
      <c r="S1518" s="43">
        <f>VLOOKUP(Tabla1[[#This Row],[PAGO DIA]],DIAS!A:G,7,0)</f>
        <v>46231</v>
      </c>
      <c r="T1518" s="6">
        <v>0</v>
      </c>
      <c r="U1518" s="43">
        <f>VLOOKUP(Tabla1[[#This Row],[PAGO DIA]],DIAS!A:H,8,0)</f>
        <v>46259</v>
      </c>
      <c r="V1518" s="6">
        <v>0</v>
      </c>
      <c r="W1518" s="43">
        <f>VLOOKUP(Tabla1[[#This Row],[PAGO DIA]],DIAS!A:I,9,0)</f>
        <v>46287</v>
      </c>
      <c r="X1518" s="6">
        <v>0</v>
      </c>
      <c r="Y1518" s="43">
        <f>VLOOKUP(Tabla1[[#This Row],[PAGO DIA]],DIAS!A:J,10,0)</f>
        <v>46322</v>
      </c>
      <c r="Z1518" s="6">
        <v>0</v>
      </c>
      <c r="AA1518" s="43">
        <f>VLOOKUP(Tabla1[[#This Row],[PAGO DIA]],DIAS!A:K,11,0)</f>
        <v>46350</v>
      </c>
      <c r="AB1518" s="6">
        <v>0</v>
      </c>
      <c r="AC1518" s="43">
        <f>VLOOKUP(Tabla1[[#This Row],[PAGO DIA]],DIAS!A:M,12,0)</f>
        <v>46379</v>
      </c>
      <c r="AD15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19" spans="1:30">
      <c r="A1519" s="3">
        <v>11891</v>
      </c>
      <c r="B1519" s="3" t="s">
        <v>510</v>
      </c>
      <c r="C1519" s="3" t="s">
        <v>576</v>
      </c>
      <c r="D1519" s="3" t="s">
        <v>1868</v>
      </c>
      <c r="E1519" s="3" t="s">
        <v>976</v>
      </c>
      <c r="F1519" s="42" t="s">
        <v>562</v>
      </c>
      <c r="G1519" s="3" t="s">
        <v>2032</v>
      </c>
      <c r="H1519" s="6">
        <v>0</v>
      </c>
      <c r="I1519" s="41">
        <f>VLOOKUP(Tabla1[[#This Row],[PAGO DIA]],DIAS!A:B,2,0)</f>
        <v>46078</v>
      </c>
      <c r="J1519" s="6">
        <v>0</v>
      </c>
      <c r="K1519" s="43">
        <f>VLOOKUP(Tabla1[[#This Row],[PAGO DIA]],DIAS!A:C,3,0)</f>
        <v>46105</v>
      </c>
      <c r="L1519" s="6">
        <v>0</v>
      </c>
      <c r="M1519" s="41">
        <f>VLOOKUP(Tabla1[[#This Row],[PAGO DIA]],DIAS!A:D,4,0)</f>
        <v>46140</v>
      </c>
      <c r="N1519" s="6">
        <v>0</v>
      </c>
      <c r="O1519" s="43">
        <f>VLOOKUP(Tabla1[[#This Row],[PAGO DIA]],DIAS!A:E,5,0)</f>
        <v>46168</v>
      </c>
      <c r="P1519" s="6">
        <v>0</v>
      </c>
      <c r="Q1519" s="43">
        <f>VLOOKUP(Tabla1[[#This Row],[PAGO DIA]],DIAS!A:F,6,0)</f>
        <v>46196</v>
      </c>
      <c r="R1519" s="6">
        <v>0</v>
      </c>
      <c r="S1519" s="43">
        <f>VLOOKUP(Tabla1[[#This Row],[PAGO DIA]],DIAS!A:G,7,0)</f>
        <v>46231</v>
      </c>
      <c r="T1519" s="6">
        <v>0</v>
      </c>
      <c r="U1519" s="43">
        <f>VLOOKUP(Tabla1[[#This Row],[PAGO DIA]],DIAS!A:H,8,0)</f>
        <v>46259</v>
      </c>
      <c r="V1519" s="6">
        <v>0</v>
      </c>
      <c r="W1519" s="43">
        <f>VLOOKUP(Tabla1[[#This Row],[PAGO DIA]],DIAS!A:I,9,0)</f>
        <v>46287</v>
      </c>
      <c r="X1519" s="6">
        <v>0</v>
      </c>
      <c r="Y1519" s="43">
        <f>VLOOKUP(Tabla1[[#This Row],[PAGO DIA]],DIAS!A:J,10,0)</f>
        <v>46322</v>
      </c>
      <c r="Z1519" s="6">
        <v>0</v>
      </c>
      <c r="AA1519" s="43">
        <f>VLOOKUP(Tabla1[[#This Row],[PAGO DIA]],DIAS!A:K,11,0)</f>
        <v>46350</v>
      </c>
      <c r="AB1519" s="6">
        <v>0</v>
      </c>
      <c r="AC1519" s="43">
        <f>VLOOKUP(Tabla1[[#This Row],[PAGO DIA]],DIAS!A:M,12,0)</f>
        <v>46379</v>
      </c>
      <c r="AD15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0" spans="1:30">
      <c r="A1520" s="3">
        <v>11134</v>
      </c>
      <c r="B1520" s="3" t="s">
        <v>510</v>
      </c>
      <c r="C1520" s="3" t="s">
        <v>1786</v>
      </c>
      <c r="D1520" s="3" t="s">
        <v>1787</v>
      </c>
      <c r="E1520" s="3" t="s">
        <v>1788</v>
      </c>
      <c r="F1520" s="42" t="s">
        <v>562</v>
      </c>
      <c r="G1520" s="3"/>
      <c r="H1520" s="6">
        <v>0</v>
      </c>
      <c r="I1520" s="41">
        <f>VLOOKUP(Tabla1[[#This Row],[PAGO DIA]],DIAS!A:B,2,0)</f>
        <v>46078</v>
      </c>
      <c r="J1520" s="6">
        <v>0</v>
      </c>
      <c r="K1520" s="43">
        <f>VLOOKUP(Tabla1[[#This Row],[PAGO DIA]],DIAS!A:C,3,0)</f>
        <v>46105</v>
      </c>
      <c r="L1520" s="6">
        <v>0</v>
      </c>
      <c r="M1520" s="41">
        <f>VLOOKUP(Tabla1[[#This Row],[PAGO DIA]],DIAS!A:D,4,0)</f>
        <v>46140</v>
      </c>
      <c r="N1520" s="6">
        <v>0</v>
      </c>
      <c r="O1520" s="43">
        <f>VLOOKUP(Tabla1[[#This Row],[PAGO DIA]],DIAS!A:E,5,0)</f>
        <v>46168</v>
      </c>
      <c r="P1520" s="6">
        <v>0</v>
      </c>
      <c r="Q1520" s="43">
        <f>VLOOKUP(Tabla1[[#This Row],[PAGO DIA]],DIAS!A:F,6,0)</f>
        <v>46196</v>
      </c>
      <c r="R1520" s="6">
        <v>0</v>
      </c>
      <c r="S1520" s="43">
        <f>VLOOKUP(Tabla1[[#This Row],[PAGO DIA]],DIAS!A:G,7,0)</f>
        <v>46231</v>
      </c>
      <c r="T1520" s="6">
        <v>0</v>
      </c>
      <c r="U1520" s="43">
        <f>VLOOKUP(Tabla1[[#This Row],[PAGO DIA]],DIAS!A:H,8,0)</f>
        <v>46259</v>
      </c>
      <c r="V1520" s="6">
        <v>0</v>
      </c>
      <c r="W1520" s="43">
        <f>VLOOKUP(Tabla1[[#This Row],[PAGO DIA]],DIAS!A:I,9,0)</f>
        <v>46287</v>
      </c>
      <c r="X1520" s="6">
        <v>0</v>
      </c>
      <c r="Y1520" s="43">
        <f>VLOOKUP(Tabla1[[#This Row],[PAGO DIA]],DIAS!A:J,10,0)</f>
        <v>46322</v>
      </c>
      <c r="Z1520" s="6">
        <v>0</v>
      </c>
      <c r="AA1520" s="43">
        <f>VLOOKUP(Tabla1[[#This Row],[PAGO DIA]],DIAS!A:K,11,0)</f>
        <v>46350</v>
      </c>
      <c r="AB1520" s="6">
        <v>0</v>
      </c>
      <c r="AC1520" s="43">
        <f>VLOOKUP(Tabla1[[#This Row],[PAGO DIA]],DIAS!A:M,12,0)</f>
        <v>46379</v>
      </c>
      <c r="AD15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1" spans="1:30">
      <c r="A1521" s="3">
        <v>11002</v>
      </c>
      <c r="B1521" s="3" t="s">
        <v>510</v>
      </c>
      <c r="C1521" s="3" t="s">
        <v>1140</v>
      </c>
      <c r="D1521" s="3" t="s">
        <v>1830</v>
      </c>
      <c r="E1521" s="3" t="s">
        <v>1831</v>
      </c>
      <c r="F1521" s="42" t="s">
        <v>562</v>
      </c>
      <c r="G1521" s="3"/>
      <c r="H1521" s="6">
        <v>0</v>
      </c>
      <c r="I1521" s="41">
        <f>VLOOKUP(Tabla1[[#This Row],[PAGO DIA]],DIAS!A:B,2,0)</f>
        <v>46078</v>
      </c>
      <c r="J1521" s="6">
        <v>0</v>
      </c>
      <c r="K1521" s="43">
        <f>VLOOKUP(Tabla1[[#This Row],[PAGO DIA]],DIAS!A:C,3,0)</f>
        <v>46105</v>
      </c>
      <c r="L1521" s="6">
        <v>0</v>
      </c>
      <c r="M1521" s="41">
        <f>VLOOKUP(Tabla1[[#This Row],[PAGO DIA]],DIAS!A:D,4,0)</f>
        <v>46140</v>
      </c>
      <c r="N1521" s="6">
        <v>0</v>
      </c>
      <c r="O1521" s="43">
        <f>VLOOKUP(Tabla1[[#This Row],[PAGO DIA]],DIAS!A:E,5,0)</f>
        <v>46168</v>
      </c>
      <c r="P1521" s="6">
        <v>0</v>
      </c>
      <c r="Q1521" s="43">
        <f>VLOOKUP(Tabla1[[#This Row],[PAGO DIA]],DIAS!A:F,6,0)</f>
        <v>46196</v>
      </c>
      <c r="R1521" s="6">
        <v>0</v>
      </c>
      <c r="S1521" s="43">
        <f>VLOOKUP(Tabla1[[#This Row],[PAGO DIA]],DIAS!A:G,7,0)</f>
        <v>46231</v>
      </c>
      <c r="T1521" s="6">
        <v>0</v>
      </c>
      <c r="U1521" s="43">
        <f>VLOOKUP(Tabla1[[#This Row],[PAGO DIA]],DIAS!A:H,8,0)</f>
        <v>46259</v>
      </c>
      <c r="V1521" s="6">
        <v>0</v>
      </c>
      <c r="W1521" s="43">
        <f>VLOOKUP(Tabla1[[#This Row],[PAGO DIA]],DIAS!A:I,9,0)</f>
        <v>46287</v>
      </c>
      <c r="X1521" s="6">
        <v>0</v>
      </c>
      <c r="Y1521" s="43">
        <f>VLOOKUP(Tabla1[[#This Row],[PAGO DIA]],DIAS!A:J,10,0)</f>
        <v>46322</v>
      </c>
      <c r="Z1521" s="6">
        <v>0</v>
      </c>
      <c r="AA1521" s="43">
        <f>VLOOKUP(Tabla1[[#This Row],[PAGO DIA]],DIAS!A:K,11,0)</f>
        <v>46350</v>
      </c>
      <c r="AB1521" s="6">
        <v>0</v>
      </c>
      <c r="AC1521" s="43">
        <f>VLOOKUP(Tabla1[[#This Row],[PAGO DIA]],DIAS!A:M,12,0)</f>
        <v>46379</v>
      </c>
      <c r="AD15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2" spans="1:30">
      <c r="A1522" s="3">
        <v>11003</v>
      </c>
      <c r="B1522" s="3" t="s">
        <v>510</v>
      </c>
      <c r="C1522" s="3" t="s">
        <v>1140</v>
      </c>
      <c r="D1522" s="3" t="s">
        <v>2033</v>
      </c>
      <c r="E1522" s="3" t="s">
        <v>1831</v>
      </c>
      <c r="F1522" s="42" t="s">
        <v>562</v>
      </c>
      <c r="G1522" s="3"/>
      <c r="H1522" s="6">
        <v>0</v>
      </c>
      <c r="I1522" s="41">
        <f>VLOOKUP(Tabla1[[#This Row],[PAGO DIA]],DIAS!A:B,2,0)</f>
        <v>46078</v>
      </c>
      <c r="J1522" s="6">
        <v>0</v>
      </c>
      <c r="K1522" s="43">
        <f>VLOOKUP(Tabla1[[#This Row],[PAGO DIA]],DIAS!A:C,3,0)</f>
        <v>46105</v>
      </c>
      <c r="L1522" s="6">
        <v>0</v>
      </c>
      <c r="M1522" s="41">
        <f>VLOOKUP(Tabla1[[#This Row],[PAGO DIA]],DIAS!A:D,4,0)</f>
        <v>46140</v>
      </c>
      <c r="N1522" s="6">
        <v>0</v>
      </c>
      <c r="O1522" s="43">
        <f>VLOOKUP(Tabla1[[#This Row],[PAGO DIA]],DIAS!A:E,5,0)</f>
        <v>46168</v>
      </c>
      <c r="P1522" s="6">
        <v>0</v>
      </c>
      <c r="Q1522" s="43">
        <f>VLOOKUP(Tabla1[[#This Row],[PAGO DIA]],DIAS!A:F,6,0)</f>
        <v>46196</v>
      </c>
      <c r="R1522" s="6">
        <v>0</v>
      </c>
      <c r="S1522" s="43">
        <f>VLOOKUP(Tabla1[[#This Row],[PAGO DIA]],DIAS!A:G,7,0)</f>
        <v>46231</v>
      </c>
      <c r="T1522" s="6">
        <v>0</v>
      </c>
      <c r="U1522" s="43">
        <f>VLOOKUP(Tabla1[[#This Row],[PAGO DIA]],DIAS!A:H,8,0)</f>
        <v>46259</v>
      </c>
      <c r="V1522" s="6">
        <v>0</v>
      </c>
      <c r="W1522" s="43">
        <f>VLOOKUP(Tabla1[[#This Row],[PAGO DIA]],DIAS!A:I,9,0)</f>
        <v>46287</v>
      </c>
      <c r="X1522" s="6">
        <v>0</v>
      </c>
      <c r="Y1522" s="43">
        <f>VLOOKUP(Tabla1[[#This Row],[PAGO DIA]],DIAS!A:J,10,0)</f>
        <v>46322</v>
      </c>
      <c r="Z1522" s="6">
        <v>0</v>
      </c>
      <c r="AA1522" s="43">
        <f>VLOOKUP(Tabla1[[#This Row],[PAGO DIA]],DIAS!A:K,11,0)</f>
        <v>46350</v>
      </c>
      <c r="AB1522" s="6">
        <v>0</v>
      </c>
      <c r="AC1522" s="43">
        <f>VLOOKUP(Tabla1[[#This Row],[PAGO DIA]],DIAS!A:M,12,0)</f>
        <v>46379</v>
      </c>
      <c r="AD15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3" spans="1:30">
      <c r="A1523" s="3">
        <v>11012</v>
      </c>
      <c r="B1523" s="3" t="s">
        <v>510</v>
      </c>
      <c r="C1523" s="3" t="s">
        <v>1140</v>
      </c>
      <c r="D1523" s="3" t="s">
        <v>1834</v>
      </c>
      <c r="E1523" s="3" t="s">
        <v>1831</v>
      </c>
      <c r="F1523" s="42" t="s">
        <v>562</v>
      </c>
      <c r="G1523" s="3"/>
      <c r="H1523" s="6">
        <v>0</v>
      </c>
      <c r="I1523" s="41">
        <f>VLOOKUP(Tabla1[[#This Row],[PAGO DIA]],DIAS!A:B,2,0)</f>
        <v>46078</v>
      </c>
      <c r="J1523" s="6">
        <v>0</v>
      </c>
      <c r="K1523" s="43">
        <f>VLOOKUP(Tabla1[[#This Row],[PAGO DIA]],DIAS!A:C,3,0)</f>
        <v>46105</v>
      </c>
      <c r="L1523" s="6">
        <v>0</v>
      </c>
      <c r="M1523" s="41">
        <f>VLOOKUP(Tabla1[[#This Row],[PAGO DIA]],DIAS!A:D,4,0)</f>
        <v>46140</v>
      </c>
      <c r="N1523" s="6">
        <v>0</v>
      </c>
      <c r="O1523" s="43">
        <f>VLOOKUP(Tabla1[[#This Row],[PAGO DIA]],DIAS!A:E,5,0)</f>
        <v>46168</v>
      </c>
      <c r="P1523" s="6">
        <v>0</v>
      </c>
      <c r="Q1523" s="43">
        <f>VLOOKUP(Tabla1[[#This Row],[PAGO DIA]],DIAS!A:F,6,0)</f>
        <v>46196</v>
      </c>
      <c r="R1523" s="6">
        <v>0</v>
      </c>
      <c r="S1523" s="43">
        <f>VLOOKUP(Tabla1[[#This Row],[PAGO DIA]],DIAS!A:G,7,0)</f>
        <v>46231</v>
      </c>
      <c r="T1523" s="6">
        <v>0</v>
      </c>
      <c r="U1523" s="43">
        <f>VLOOKUP(Tabla1[[#This Row],[PAGO DIA]],DIAS!A:H,8,0)</f>
        <v>46259</v>
      </c>
      <c r="V1523" s="6">
        <v>0</v>
      </c>
      <c r="W1523" s="43">
        <f>VLOOKUP(Tabla1[[#This Row],[PAGO DIA]],DIAS!A:I,9,0)</f>
        <v>46287</v>
      </c>
      <c r="X1523" s="6">
        <v>0</v>
      </c>
      <c r="Y1523" s="43">
        <f>VLOOKUP(Tabla1[[#This Row],[PAGO DIA]],DIAS!A:J,10,0)</f>
        <v>46322</v>
      </c>
      <c r="Z1523" s="6">
        <v>0</v>
      </c>
      <c r="AA1523" s="43">
        <f>VLOOKUP(Tabla1[[#This Row],[PAGO DIA]],DIAS!A:K,11,0)</f>
        <v>46350</v>
      </c>
      <c r="AB1523" s="6">
        <v>0</v>
      </c>
      <c r="AC1523" s="43">
        <f>VLOOKUP(Tabla1[[#This Row],[PAGO DIA]],DIAS!A:M,12,0)</f>
        <v>46379</v>
      </c>
      <c r="AD15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4" spans="1:30">
      <c r="A1524" s="3">
        <v>11013</v>
      </c>
      <c r="B1524" s="3" t="s">
        <v>510</v>
      </c>
      <c r="C1524" s="3" t="s">
        <v>1140</v>
      </c>
      <c r="D1524" s="3" t="s">
        <v>1834</v>
      </c>
      <c r="E1524" s="3" t="s">
        <v>1831</v>
      </c>
      <c r="F1524" s="42" t="s">
        <v>562</v>
      </c>
      <c r="G1524" s="3"/>
      <c r="H1524" s="6">
        <v>0</v>
      </c>
      <c r="I1524" s="41">
        <f>VLOOKUP(Tabla1[[#This Row],[PAGO DIA]],DIAS!A:B,2,0)</f>
        <v>46078</v>
      </c>
      <c r="J1524" s="6">
        <v>0</v>
      </c>
      <c r="K1524" s="43">
        <f>VLOOKUP(Tabla1[[#This Row],[PAGO DIA]],DIAS!A:C,3,0)</f>
        <v>46105</v>
      </c>
      <c r="L1524" s="6">
        <v>0</v>
      </c>
      <c r="M1524" s="41">
        <f>VLOOKUP(Tabla1[[#This Row],[PAGO DIA]],DIAS!A:D,4,0)</f>
        <v>46140</v>
      </c>
      <c r="N1524" s="6">
        <v>0</v>
      </c>
      <c r="O1524" s="43">
        <f>VLOOKUP(Tabla1[[#This Row],[PAGO DIA]],DIAS!A:E,5,0)</f>
        <v>46168</v>
      </c>
      <c r="P1524" s="6">
        <v>0</v>
      </c>
      <c r="Q1524" s="43">
        <f>VLOOKUP(Tabla1[[#This Row],[PAGO DIA]],DIAS!A:F,6,0)</f>
        <v>46196</v>
      </c>
      <c r="R1524" s="6">
        <v>0</v>
      </c>
      <c r="S1524" s="43">
        <f>VLOOKUP(Tabla1[[#This Row],[PAGO DIA]],DIAS!A:G,7,0)</f>
        <v>46231</v>
      </c>
      <c r="T1524" s="6">
        <v>0</v>
      </c>
      <c r="U1524" s="43">
        <f>VLOOKUP(Tabla1[[#This Row],[PAGO DIA]],DIAS!A:H,8,0)</f>
        <v>46259</v>
      </c>
      <c r="V1524" s="6">
        <v>0</v>
      </c>
      <c r="W1524" s="43">
        <f>VLOOKUP(Tabla1[[#This Row],[PAGO DIA]],DIAS!A:I,9,0)</f>
        <v>46287</v>
      </c>
      <c r="X1524" s="6">
        <v>0</v>
      </c>
      <c r="Y1524" s="43">
        <f>VLOOKUP(Tabla1[[#This Row],[PAGO DIA]],DIAS!A:J,10,0)</f>
        <v>46322</v>
      </c>
      <c r="Z1524" s="6">
        <v>0</v>
      </c>
      <c r="AA1524" s="43">
        <f>VLOOKUP(Tabla1[[#This Row],[PAGO DIA]],DIAS!A:K,11,0)</f>
        <v>46350</v>
      </c>
      <c r="AB1524" s="6">
        <v>0</v>
      </c>
      <c r="AC1524" s="43">
        <f>VLOOKUP(Tabla1[[#This Row],[PAGO DIA]],DIAS!A:M,12,0)</f>
        <v>46379</v>
      </c>
      <c r="AD15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5" spans="1:30">
      <c r="A1525" s="3">
        <v>11224</v>
      </c>
      <c r="B1525" s="3" t="s">
        <v>510</v>
      </c>
      <c r="C1525" s="3" t="s">
        <v>1140</v>
      </c>
      <c r="D1525" s="3" t="s">
        <v>2033</v>
      </c>
      <c r="E1525" s="3" t="s">
        <v>1831</v>
      </c>
      <c r="F1525" s="42" t="s">
        <v>562</v>
      </c>
      <c r="G1525" s="3" t="s">
        <v>1832</v>
      </c>
      <c r="H1525" s="6">
        <v>0</v>
      </c>
      <c r="I1525" s="41">
        <f>VLOOKUP(Tabla1[[#This Row],[PAGO DIA]],DIAS!A:B,2,0)</f>
        <v>46078</v>
      </c>
      <c r="J1525" s="6">
        <v>0</v>
      </c>
      <c r="K1525" s="43">
        <f>VLOOKUP(Tabla1[[#This Row],[PAGO DIA]],DIAS!A:C,3,0)</f>
        <v>46105</v>
      </c>
      <c r="L1525" s="6">
        <v>0</v>
      </c>
      <c r="M1525" s="41">
        <f>VLOOKUP(Tabla1[[#This Row],[PAGO DIA]],DIAS!A:D,4,0)</f>
        <v>46140</v>
      </c>
      <c r="N1525" s="6">
        <v>0</v>
      </c>
      <c r="O1525" s="43">
        <f>VLOOKUP(Tabla1[[#This Row],[PAGO DIA]],DIAS!A:E,5,0)</f>
        <v>46168</v>
      </c>
      <c r="P1525" s="6">
        <v>0</v>
      </c>
      <c r="Q1525" s="43">
        <f>VLOOKUP(Tabla1[[#This Row],[PAGO DIA]],DIAS!A:F,6,0)</f>
        <v>46196</v>
      </c>
      <c r="R1525" s="6">
        <v>0</v>
      </c>
      <c r="S1525" s="43">
        <f>VLOOKUP(Tabla1[[#This Row],[PAGO DIA]],DIAS!A:G,7,0)</f>
        <v>46231</v>
      </c>
      <c r="T1525" s="6">
        <v>0</v>
      </c>
      <c r="U1525" s="43">
        <f>VLOOKUP(Tabla1[[#This Row],[PAGO DIA]],DIAS!A:H,8,0)</f>
        <v>46259</v>
      </c>
      <c r="V1525" s="6">
        <v>0</v>
      </c>
      <c r="W1525" s="43">
        <f>VLOOKUP(Tabla1[[#This Row],[PAGO DIA]],DIAS!A:I,9,0)</f>
        <v>46287</v>
      </c>
      <c r="X1525" s="6">
        <v>0</v>
      </c>
      <c r="Y1525" s="43">
        <f>VLOOKUP(Tabla1[[#This Row],[PAGO DIA]],DIAS!A:J,10,0)</f>
        <v>46322</v>
      </c>
      <c r="Z1525" s="6">
        <v>0</v>
      </c>
      <c r="AA1525" s="43">
        <f>VLOOKUP(Tabla1[[#This Row],[PAGO DIA]],DIAS!A:K,11,0)</f>
        <v>46350</v>
      </c>
      <c r="AB1525" s="6">
        <v>0</v>
      </c>
      <c r="AC1525" s="43">
        <f>VLOOKUP(Tabla1[[#This Row],[PAGO DIA]],DIAS!A:M,12,0)</f>
        <v>46379</v>
      </c>
      <c r="AD15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6" spans="1:30">
      <c r="A1526" s="3">
        <v>11238</v>
      </c>
      <c r="B1526" s="3" t="s">
        <v>510</v>
      </c>
      <c r="C1526" s="3" t="s">
        <v>1140</v>
      </c>
      <c r="D1526" s="3" t="s">
        <v>1834</v>
      </c>
      <c r="E1526" s="3" t="s">
        <v>1831</v>
      </c>
      <c r="F1526" s="42" t="s">
        <v>562</v>
      </c>
      <c r="G1526" s="3" t="s">
        <v>1835</v>
      </c>
      <c r="H1526" s="6">
        <v>0</v>
      </c>
      <c r="I1526" s="41">
        <f>VLOOKUP(Tabla1[[#This Row],[PAGO DIA]],DIAS!A:B,2,0)</f>
        <v>46078</v>
      </c>
      <c r="J1526" s="6">
        <v>0</v>
      </c>
      <c r="K1526" s="43">
        <f>VLOOKUP(Tabla1[[#This Row],[PAGO DIA]],DIAS!A:C,3,0)</f>
        <v>46105</v>
      </c>
      <c r="L1526" s="6">
        <v>0</v>
      </c>
      <c r="M1526" s="41">
        <f>VLOOKUP(Tabla1[[#This Row],[PAGO DIA]],DIAS!A:D,4,0)</f>
        <v>46140</v>
      </c>
      <c r="N1526" s="6">
        <v>0</v>
      </c>
      <c r="O1526" s="43">
        <f>VLOOKUP(Tabla1[[#This Row],[PAGO DIA]],DIAS!A:E,5,0)</f>
        <v>46168</v>
      </c>
      <c r="P1526" s="6">
        <v>0</v>
      </c>
      <c r="Q1526" s="43">
        <f>VLOOKUP(Tabla1[[#This Row],[PAGO DIA]],DIAS!A:F,6,0)</f>
        <v>46196</v>
      </c>
      <c r="R1526" s="6">
        <v>0</v>
      </c>
      <c r="S1526" s="43">
        <f>VLOOKUP(Tabla1[[#This Row],[PAGO DIA]],DIAS!A:G,7,0)</f>
        <v>46231</v>
      </c>
      <c r="T1526" s="6">
        <v>0</v>
      </c>
      <c r="U1526" s="43">
        <f>VLOOKUP(Tabla1[[#This Row],[PAGO DIA]],DIAS!A:H,8,0)</f>
        <v>46259</v>
      </c>
      <c r="V1526" s="6">
        <v>0</v>
      </c>
      <c r="W1526" s="43">
        <f>VLOOKUP(Tabla1[[#This Row],[PAGO DIA]],DIAS!A:I,9,0)</f>
        <v>46287</v>
      </c>
      <c r="X1526" s="6">
        <v>0</v>
      </c>
      <c r="Y1526" s="43">
        <f>VLOOKUP(Tabla1[[#This Row],[PAGO DIA]],DIAS!A:J,10,0)</f>
        <v>46322</v>
      </c>
      <c r="Z1526" s="6">
        <v>0</v>
      </c>
      <c r="AA1526" s="43">
        <f>VLOOKUP(Tabla1[[#This Row],[PAGO DIA]],DIAS!A:K,11,0)</f>
        <v>46350</v>
      </c>
      <c r="AB1526" s="6">
        <v>0</v>
      </c>
      <c r="AC1526" s="43">
        <f>VLOOKUP(Tabla1[[#This Row],[PAGO DIA]],DIAS!A:M,12,0)</f>
        <v>46379</v>
      </c>
      <c r="AD15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27" spans="1:30">
      <c r="A1527" s="3">
        <v>11920</v>
      </c>
      <c r="B1527" s="3" t="s">
        <v>510</v>
      </c>
      <c r="C1527" s="3" t="s">
        <v>1140</v>
      </c>
      <c r="D1527" s="3" t="s">
        <v>1834</v>
      </c>
      <c r="E1527" s="3" t="s">
        <v>1831</v>
      </c>
      <c r="F1527" s="42" t="s">
        <v>562</v>
      </c>
      <c r="G1527" s="3" t="s">
        <v>2034</v>
      </c>
      <c r="H1527" s="6">
        <v>0</v>
      </c>
      <c r="I1527" s="41">
        <f>VLOOKUP(Tabla1[[#This Row],[PAGO DIA]],DIAS!A:B,2,0)</f>
        <v>46078</v>
      </c>
      <c r="J1527" s="6">
        <v>0</v>
      </c>
      <c r="K1527" s="43">
        <f>VLOOKUP(Tabla1[[#This Row],[PAGO DIA]],DIAS!A:C,3,0)</f>
        <v>46105</v>
      </c>
      <c r="L1527" s="6">
        <v>15000000</v>
      </c>
      <c r="M1527" s="41">
        <f>VLOOKUP(Tabla1[[#This Row],[PAGO DIA]],DIAS!A:D,4,0)</f>
        <v>46140</v>
      </c>
      <c r="N1527" s="6">
        <v>15000000</v>
      </c>
      <c r="O1527" s="43">
        <f>VLOOKUP(Tabla1[[#This Row],[PAGO DIA]],DIAS!A:E,5,0)</f>
        <v>46168</v>
      </c>
      <c r="P1527" s="6">
        <v>15000000</v>
      </c>
      <c r="Q1527" s="43">
        <f>VLOOKUP(Tabla1[[#This Row],[PAGO DIA]],DIAS!A:F,6,0)</f>
        <v>46196</v>
      </c>
      <c r="R1527" s="6">
        <v>15000000</v>
      </c>
      <c r="S1527" s="43">
        <f>VLOOKUP(Tabla1[[#This Row],[PAGO DIA]],DIAS!A:G,7,0)</f>
        <v>46231</v>
      </c>
      <c r="T1527" s="6">
        <v>15000000</v>
      </c>
      <c r="U1527" s="43">
        <f>VLOOKUP(Tabla1[[#This Row],[PAGO DIA]],DIAS!A:H,8,0)</f>
        <v>46259</v>
      </c>
      <c r="V1527" s="6">
        <v>15000000</v>
      </c>
      <c r="W1527" s="43">
        <f>VLOOKUP(Tabla1[[#This Row],[PAGO DIA]],DIAS!A:I,9,0)</f>
        <v>46287</v>
      </c>
      <c r="X1527" s="6">
        <v>15000000</v>
      </c>
      <c r="Y1527" s="43">
        <f>VLOOKUP(Tabla1[[#This Row],[PAGO DIA]],DIAS!A:J,10,0)</f>
        <v>46322</v>
      </c>
      <c r="Z1527" s="6">
        <v>15000000</v>
      </c>
      <c r="AA1527" s="43">
        <f>VLOOKUP(Tabla1[[#This Row],[PAGO DIA]],DIAS!A:K,11,0)</f>
        <v>46350</v>
      </c>
      <c r="AB1527" s="6">
        <v>15000000</v>
      </c>
      <c r="AC1527" s="43">
        <f>VLOOKUP(Tabla1[[#This Row],[PAGO DIA]],DIAS!A:M,12,0)</f>
        <v>46379</v>
      </c>
      <c r="AD15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135000000</v>
      </c>
    </row>
    <row r="1528" spans="1:30">
      <c r="A1528" s="3">
        <v>11921</v>
      </c>
      <c r="B1528" s="3" t="s">
        <v>510</v>
      </c>
      <c r="C1528" s="3" t="s">
        <v>1140</v>
      </c>
      <c r="D1528" s="3" t="s">
        <v>1830</v>
      </c>
      <c r="E1528" s="3" t="s">
        <v>1831</v>
      </c>
      <c r="F1528" s="42" t="s">
        <v>562</v>
      </c>
      <c r="G1528" s="3" t="s">
        <v>2034</v>
      </c>
      <c r="H1528" s="6">
        <v>0</v>
      </c>
      <c r="I1528" s="41">
        <f>VLOOKUP(Tabla1[[#This Row],[PAGO DIA]],DIAS!A:B,2,0)</f>
        <v>46078</v>
      </c>
      <c r="J1528" s="6">
        <v>20000000</v>
      </c>
      <c r="K1528" s="43">
        <f>VLOOKUP(Tabla1[[#This Row],[PAGO DIA]],DIAS!A:C,3,0)</f>
        <v>46105</v>
      </c>
      <c r="L1528" s="6">
        <v>20000000</v>
      </c>
      <c r="M1528" s="41">
        <f>VLOOKUP(Tabla1[[#This Row],[PAGO DIA]],DIAS!A:D,4,0)</f>
        <v>46140</v>
      </c>
      <c r="N1528" s="6">
        <v>20000000</v>
      </c>
      <c r="O1528" s="43">
        <f>VLOOKUP(Tabla1[[#This Row],[PAGO DIA]],DIAS!A:E,5,0)</f>
        <v>46168</v>
      </c>
      <c r="P1528" s="6">
        <v>20000000</v>
      </c>
      <c r="Q1528" s="43">
        <f>VLOOKUP(Tabla1[[#This Row],[PAGO DIA]],DIAS!A:F,6,0)</f>
        <v>46196</v>
      </c>
      <c r="R1528" s="6">
        <v>20000000</v>
      </c>
      <c r="S1528" s="43">
        <f>VLOOKUP(Tabla1[[#This Row],[PAGO DIA]],DIAS!A:G,7,0)</f>
        <v>46231</v>
      </c>
      <c r="T1528" s="6">
        <v>20000000</v>
      </c>
      <c r="U1528" s="43">
        <f>VLOOKUP(Tabla1[[#This Row],[PAGO DIA]],DIAS!A:H,8,0)</f>
        <v>46259</v>
      </c>
      <c r="V1528" s="6">
        <v>20000000</v>
      </c>
      <c r="W1528" s="43">
        <f>VLOOKUP(Tabla1[[#This Row],[PAGO DIA]],DIAS!A:I,9,0)</f>
        <v>46287</v>
      </c>
      <c r="X1528" s="6">
        <v>20000000</v>
      </c>
      <c r="Y1528" s="43">
        <f>VLOOKUP(Tabla1[[#This Row],[PAGO DIA]],DIAS!A:J,10,0)</f>
        <v>46322</v>
      </c>
      <c r="Z1528" s="6">
        <v>20000000</v>
      </c>
      <c r="AA1528" s="43">
        <f>VLOOKUP(Tabla1[[#This Row],[PAGO DIA]],DIAS!A:K,11,0)</f>
        <v>46350</v>
      </c>
      <c r="AB1528" s="6">
        <v>20000000</v>
      </c>
      <c r="AC1528" s="43">
        <f>VLOOKUP(Tabla1[[#This Row],[PAGO DIA]],DIAS!A:M,12,0)</f>
        <v>46379</v>
      </c>
      <c r="AD15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200000000</v>
      </c>
    </row>
    <row r="1529" spans="1:30">
      <c r="A1529" s="3">
        <v>10965</v>
      </c>
      <c r="B1529" s="3" t="s">
        <v>510</v>
      </c>
      <c r="C1529" s="3" t="s">
        <v>1147</v>
      </c>
      <c r="D1529" s="3" t="s">
        <v>1811</v>
      </c>
      <c r="E1529" s="3" t="s">
        <v>1812</v>
      </c>
      <c r="F1529" s="42" t="s">
        <v>562</v>
      </c>
      <c r="G1529" s="3"/>
      <c r="H1529" s="6">
        <v>0</v>
      </c>
      <c r="I1529" s="41">
        <f>VLOOKUP(Tabla1[[#This Row],[PAGO DIA]],DIAS!A:B,2,0)</f>
        <v>46078</v>
      </c>
      <c r="J1529" s="6">
        <v>0</v>
      </c>
      <c r="K1529" s="43">
        <f>VLOOKUP(Tabla1[[#This Row],[PAGO DIA]],DIAS!A:C,3,0)</f>
        <v>46105</v>
      </c>
      <c r="L1529" s="6">
        <v>0</v>
      </c>
      <c r="M1529" s="41">
        <f>VLOOKUP(Tabla1[[#This Row],[PAGO DIA]],DIAS!A:D,4,0)</f>
        <v>46140</v>
      </c>
      <c r="N1529" s="6">
        <v>0</v>
      </c>
      <c r="O1529" s="43">
        <f>VLOOKUP(Tabla1[[#This Row],[PAGO DIA]],DIAS!A:E,5,0)</f>
        <v>46168</v>
      </c>
      <c r="P1529" s="6">
        <v>0</v>
      </c>
      <c r="Q1529" s="43">
        <f>VLOOKUP(Tabla1[[#This Row],[PAGO DIA]],DIAS!A:F,6,0)</f>
        <v>46196</v>
      </c>
      <c r="R1529" s="6">
        <v>0</v>
      </c>
      <c r="S1529" s="43">
        <f>VLOOKUP(Tabla1[[#This Row],[PAGO DIA]],DIAS!A:G,7,0)</f>
        <v>46231</v>
      </c>
      <c r="T1529" s="6">
        <v>0</v>
      </c>
      <c r="U1529" s="43">
        <f>VLOOKUP(Tabla1[[#This Row],[PAGO DIA]],DIAS!A:H,8,0)</f>
        <v>46259</v>
      </c>
      <c r="V1529" s="6">
        <v>0</v>
      </c>
      <c r="W1529" s="43">
        <f>VLOOKUP(Tabla1[[#This Row],[PAGO DIA]],DIAS!A:I,9,0)</f>
        <v>46287</v>
      </c>
      <c r="X1529" s="6">
        <v>0</v>
      </c>
      <c r="Y1529" s="43">
        <f>VLOOKUP(Tabla1[[#This Row],[PAGO DIA]],DIAS!A:J,10,0)</f>
        <v>46322</v>
      </c>
      <c r="Z1529" s="6">
        <v>0</v>
      </c>
      <c r="AA1529" s="43">
        <f>VLOOKUP(Tabla1[[#This Row],[PAGO DIA]],DIAS!A:K,11,0)</f>
        <v>46350</v>
      </c>
      <c r="AB1529" s="6">
        <v>0</v>
      </c>
      <c r="AC1529" s="43">
        <f>VLOOKUP(Tabla1[[#This Row],[PAGO DIA]],DIAS!A:M,12,0)</f>
        <v>46379</v>
      </c>
      <c r="AD15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0" spans="1:30">
      <c r="A1530" s="3">
        <v>10982</v>
      </c>
      <c r="B1530" s="3" t="s">
        <v>510</v>
      </c>
      <c r="C1530" s="3" t="s">
        <v>1147</v>
      </c>
      <c r="D1530" s="3" t="s">
        <v>1811</v>
      </c>
      <c r="E1530" s="3" t="s">
        <v>1812</v>
      </c>
      <c r="F1530" s="42" t="s">
        <v>562</v>
      </c>
      <c r="G1530" s="3"/>
      <c r="H1530" s="6">
        <v>0</v>
      </c>
      <c r="I1530" s="41">
        <f>VLOOKUP(Tabla1[[#This Row],[PAGO DIA]],DIAS!A:B,2,0)</f>
        <v>46078</v>
      </c>
      <c r="J1530" s="6">
        <v>0</v>
      </c>
      <c r="K1530" s="43">
        <f>VLOOKUP(Tabla1[[#This Row],[PAGO DIA]],DIAS!A:C,3,0)</f>
        <v>46105</v>
      </c>
      <c r="L1530" s="6">
        <v>0</v>
      </c>
      <c r="M1530" s="41">
        <f>VLOOKUP(Tabla1[[#This Row],[PAGO DIA]],DIAS!A:D,4,0)</f>
        <v>46140</v>
      </c>
      <c r="N1530" s="6">
        <v>0</v>
      </c>
      <c r="O1530" s="43">
        <f>VLOOKUP(Tabla1[[#This Row],[PAGO DIA]],DIAS!A:E,5,0)</f>
        <v>46168</v>
      </c>
      <c r="P1530" s="6">
        <v>0</v>
      </c>
      <c r="Q1530" s="43">
        <f>VLOOKUP(Tabla1[[#This Row],[PAGO DIA]],DIAS!A:F,6,0)</f>
        <v>46196</v>
      </c>
      <c r="R1530" s="6">
        <v>0</v>
      </c>
      <c r="S1530" s="43">
        <f>VLOOKUP(Tabla1[[#This Row],[PAGO DIA]],DIAS!A:G,7,0)</f>
        <v>46231</v>
      </c>
      <c r="T1530" s="6">
        <v>0</v>
      </c>
      <c r="U1530" s="43">
        <f>VLOOKUP(Tabla1[[#This Row],[PAGO DIA]],DIAS!A:H,8,0)</f>
        <v>46259</v>
      </c>
      <c r="V1530" s="6">
        <v>0</v>
      </c>
      <c r="W1530" s="43">
        <f>VLOOKUP(Tabla1[[#This Row],[PAGO DIA]],DIAS!A:I,9,0)</f>
        <v>46287</v>
      </c>
      <c r="X1530" s="6">
        <v>0</v>
      </c>
      <c r="Y1530" s="43">
        <f>VLOOKUP(Tabla1[[#This Row],[PAGO DIA]],DIAS!A:J,10,0)</f>
        <v>46322</v>
      </c>
      <c r="Z1530" s="6">
        <v>0</v>
      </c>
      <c r="AA1530" s="43">
        <f>VLOOKUP(Tabla1[[#This Row],[PAGO DIA]],DIAS!A:K,11,0)</f>
        <v>46350</v>
      </c>
      <c r="AB1530" s="6">
        <v>0</v>
      </c>
      <c r="AC1530" s="43">
        <f>VLOOKUP(Tabla1[[#This Row],[PAGO DIA]],DIAS!A:M,12,0)</f>
        <v>46379</v>
      </c>
      <c r="AD15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1" spans="1:30">
      <c r="A1531" s="3">
        <v>11194</v>
      </c>
      <c r="B1531" s="3" t="s">
        <v>510</v>
      </c>
      <c r="C1531" s="3" t="s">
        <v>1147</v>
      </c>
      <c r="D1531" s="3" t="s">
        <v>540</v>
      </c>
      <c r="E1531" s="3" t="s">
        <v>1812</v>
      </c>
      <c r="F1531" s="42" t="s">
        <v>562</v>
      </c>
      <c r="G1531" s="3"/>
      <c r="H1531" s="6">
        <v>0</v>
      </c>
      <c r="I1531" s="41">
        <f>VLOOKUP(Tabla1[[#This Row],[PAGO DIA]],DIAS!A:B,2,0)</f>
        <v>46078</v>
      </c>
      <c r="J1531" s="6">
        <v>0</v>
      </c>
      <c r="K1531" s="43">
        <f>VLOOKUP(Tabla1[[#This Row],[PAGO DIA]],DIAS!A:C,3,0)</f>
        <v>46105</v>
      </c>
      <c r="L1531" s="6">
        <v>0</v>
      </c>
      <c r="M1531" s="41">
        <f>VLOOKUP(Tabla1[[#This Row],[PAGO DIA]],DIAS!A:D,4,0)</f>
        <v>46140</v>
      </c>
      <c r="N1531" s="6">
        <v>0</v>
      </c>
      <c r="O1531" s="43">
        <f>VLOOKUP(Tabla1[[#This Row],[PAGO DIA]],DIAS!A:E,5,0)</f>
        <v>46168</v>
      </c>
      <c r="P1531" s="6">
        <v>0</v>
      </c>
      <c r="Q1531" s="43">
        <f>VLOOKUP(Tabla1[[#This Row],[PAGO DIA]],DIAS!A:F,6,0)</f>
        <v>46196</v>
      </c>
      <c r="R1531" s="6">
        <v>0</v>
      </c>
      <c r="S1531" s="43">
        <f>VLOOKUP(Tabla1[[#This Row],[PAGO DIA]],DIAS!A:G,7,0)</f>
        <v>46231</v>
      </c>
      <c r="T1531" s="6">
        <v>0</v>
      </c>
      <c r="U1531" s="43">
        <f>VLOOKUP(Tabla1[[#This Row],[PAGO DIA]],DIAS!A:H,8,0)</f>
        <v>46259</v>
      </c>
      <c r="V1531" s="6">
        <v>0</v>
      </c>
      <c r="W1531" s="43">
        <f>VLOOKUP(Tabla1[[#This Row],[PAGO DIA]],DIAS!A:I,9,0)</f>
        <v>46287</v>
      </c>
      <c r="X1531" s="6">
        <v>0</v>
      </c>
      <c r="Y1531" s="43">
        <f>VLOOKUP(Tabla1[[#This Row],[PAGO DIA]],DIAS!A:J,10,0)</f>
        <v>46322</v>
      </c>
      <c r="Z1531" s="6">
        <v>0</v>
      </c>
      <c r="AA1531" s="43">
        <f>VLOOKUP(Tabla1[[#This Row],[PAGO DIA]],DIAS!A:K,11,0)</f>
        <v>46350</v>
      </c>
      <c r="AB1531" s="6">
        <v>0</v>
      </c>
      <c r="AC1531" s="43">
        <f>VLOOKUP(Tabla1[[#This Row],[PAGO DIA]],DIAS!A:M,12,0)</f>
        <v>46379</v>
      </c>
      <c r="AD15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2" spans="1:30">
      <c r="A1532" s="3">
        <v>11923</v>
      </c>
      <c r="B1532" s="3" t="s">
        <v>510</v>
      </c>
      <c r="C1532" s="3" t="s">
        <v>1147</v>
      </c>
      <c r="D1532" s="3" t="s">
        <v>1811</v>
      </c>
      <c r="E1532" s="3" t="s">
        <v>1812</v>
      </c>
      <c r="F1532" s="42" t="s">
        <v>562</v>
      </c>
      <c r="G1532" s="3"/>
      <c r="H1532" s="6">
        <v>0</v>
      </c>
      <c r="I1532" s="41">
        <f>VLOOKUP(Tabla1[[#This Row],[PAGO DIA]],DIAS!A:B,2,0)</f>
        <v>46078</v>
      </c>
      <c r="J1532" s="6">
        <v>0</v>
      </c>
      <c r="K1532" s="43">
        <f>VLOOKUP(Tabla1[[#This Row],[PAGO DIA]],DIAS!A:C,3,0)</f>
        <v>46105</v>
      </c>
      <c r="L1532" s="6">
        <v>0</v>
      </c>
      <c r="M1532" s="41">
        <f>VLOOKUP(Tabla1[[#This Row],[PAGO DIA]],DIAS!A:D,4,0)</f>
        <v>46140</v>
      </c>
      <c r="N1532" s="6">
        <v>0</v>
      </c>
      <c r="O1532" s="43">
        <f>VLOOKUP(Tabla1[[#This Row],[PAGO DIA]],DIAS!A:E,5,0)</f>
        <v>46168</v>
      </c>
      <c r="P1532" s="6">
        <v>0</v>
      </c>
      <c r="Q1532" s="43">
        <f>VLOOKUP(Tabla1[[#This Row],[PAGO DIA]],DIAS!A:F,6,0)</f>
        <v>46196</v>
      </c>
      <c r="R1532" s="6">
        <v>0</v>
      </c>
      <c r="S1532" s="43">
        <f>VLOOKUP(Tabla1[[#This Row],[PAGO DIA]],DIAS!A:G,7,0)</f>
        <v>46231</v>
      </c>
      <c r="T1532" s="6">
        <v>0</v>
      </c>
      <c r="U1532" s="43">
        <f>VLOOKUP(Tabla1[[#This Row],[PAGO DIA]],DIAS!A:H,8,0)</f>
        <v>46259</v>
      </c>
      <c r="V1532" s="6">
        <v>0</v>
      </c>
      <c r="W1532" s="43">
        <f>VLOOKUP(Tabla1[[#This Row],[PAGO DIA]],DIAS!A:I,9,0)</f>
        <v>46287</v>
      </c>
      <c r="X1532" s="6">
        <v>0</v>
      </c>
      <c r="Y1532" s="43">
        <f>VLOOKUP(Tabla1[[#This Row],[PAGO DIA]],DIAS!A:J,10,0)</f>
        <v>46322</v>
      </c>
      <c r="Z1532" s="6">
        <v>0</v>
      </c>
      <c r="AA1532" s="43">
        <f>VLOOKUP(Tabla1[[#This Row],[PAGO DIA]],DIAS!A:K,11,0)</f>
        <v>46350</v>
      </c>
      <c r="AB1532" s="6">
        <v>0</v>
      </c>
      <c r="AC1532" s="43">
        <f>VLOOKUP(Tabla1[[#This Row],[PAGO DIA]],DIAS!A:M,12,0)</f>
        <v>46379</v>
      </c>
      <c r="AD15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3" spans="1:30">
      <c r="A1533" s="3">
        <v>12242</v>
      </c>
      <c r="B1533" s="3" t="s">
        <v>510</v>
      </c>
      <c r="C1533" s="3" t="s">
        <v>505</v>
      </c>
      <c r="D1533" s="3" t="s">
        <v>1164</v>
      </c>
      <c r="E1533" s="3" t="s">
        <v>1164</v>
      </c>
      <c r="F1533" s="42" t="s">
        <v>562</v>
      </c>
      <c r="G1533" s="3" t="s">
        <v>1161</v>
      </c>
      <c r="H1533" s="6">
        <v>0</v>
      </c>
      <c r="I1533" s="41">
        <f>VLOOKUP(Tabla1[[#This Row],[PAGO DIA]],DIAS!A:B,2,0)</f>
        <v>46078</v>
      </c>
      <c r="J1533" s="6">
        <v>0</v>
      </c>
      <c r="K1533" s="43">
        <f>VLOOKUP(Tabla1[[#This Row],[PAGO DIA]],DIAS!A:C,3,0)</f>
        <v>46105</v>
      </c>
      <c r="L1533" s="6">
        <v>0</v>
      </c>
      <c r="M1533" s="41">
        <f>VLOOKUP(Tabla1[[#This Row],[PAGO DIA]],DIAS!A:D,4,0)</f>
        <v>46140</v>
      </c>
      <c r="N1533" s="6">
        <v>0</v>
      </c>
      <c r="O1533" s="43">
        <f>VLOOKUP(Tabla1[[#This Row],[PAGO DIA]],DIAS!A:E,5,0)</f>
        <v>46168</v>
      </c>
      <c r="P1533" s="6">
        <v>0</v>
      </c>
      <c r="Q1533" s="43">
        <f>VLOOKUP(Tabla1[[#This Row],[PAGO DIA]],DIAS!A:F,6,0)</f>
        <v>46196</v>
      </c>
      <c r="R1533" s="6">
        <v>0</v>
      </c>
      <c r="S1533" s="43">
        <f>VLOOKUP(Tabla1[[#This Row],[PAGO DIA]],DIAS!A:G,7,0)</f>
        <v>46231</v>
      </c>
      <c r="T1533" s="6">
        <v>0</v>
      </c>
      <c r="U1533" s="43">
        <f>VLOOKUP(Tabla1[[#This Row],[PAGO DIA]],DIAS!A:H,8,0)</f>
        <v>46259</v>
      </c>
      <c r="V1533" s="6">
        <v>0</v>
      </c>
      <c r="W1533" s="43">
        <f>VLOOKUP(Tabla1[[#This Row],[PAGO DIA]],DIAS!A:I,9,0)</f>
        <v>46287</v>
      </c>
      <c r="X1533" s="6">
        <v>0</v>
      </c>
      <c r="Y1533" s="43">
        <f>VLOOKUP(Tabla1[[#This Row],[PAGO DIA]],DIAS!A:J,10,0)</f>
        <v>46322</v>
      </c>
      <c r="Z1533" s="6">
        <v>0</v>
      </c>
      <c r="AA1533" s="43">
        <f>VLOOKUP(Tabla1[[#This Row],[PAGO DIA]],DIAS!A:K,11,0)</f>
        <v>46350</v>
      </c>
      <c r="AB1533" s="6">
        <v>0</v>
      </c>
      <c r="AC1533" s="43">
        <f>VLOOKUP(Tabla1[[#This Row],[PAGO DIA]],DIAS!A:M,12,0)</f>
        <v>46379</v>
      </c>
      <c r="AD15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4" spans="1:30">
      <c r="A1534" s="3">
        <v>10952</v>
      </c>
      <c r="B1534" s="3" t="s">
        <v>510</v>
      </c>
      <c r="C1534" s="3" t="s">
        <v>505</v>
      </c>
      <c r="D1534" s="3" t="s">
        <v>2035</v>
      </c>
      <c r="E1534" s="3" t="s">
        <v>1124</v>
      </c>
      <c r="F1534" s="42" t="s">
        <v>562</v>
      </c>
      <c r="G1534" s="3"/>
      <c r="H1534" s="6">
        <v>0</v>
      </c>
      <c r="I1534" s="41">
        <f>VLOOKUP(Tabla1[[#This Row],[PAGO DIA]],DIAS!A:B,2,0)</f>
        <v>46078</v>
      </c>
      <c r="J1534" s="6">
        <v>0</v>
      </c>
      <c r="K1534" s="43">
        <f>VLOOKUP(Tabla1[[#This Row],[PAGO DIA]],DIAS!A:C,3,0)</f>
        <v>46105</v>
      </c>
      <c r="L1534" s="6">
        <v>0</v>
      </c>
      <c r="M1534" s="41">
        <f>VLOOKUP(Tabla1[[#This Row],[PAGO DIA]],DIAS!A:D,4,0)</f>
        <v>46140</v>
      </c>
      <c r="N1534" s="6">
        <v>0</v>
      </c>
      <c r="O1534" s="43">
        <f>VLOOKUP(Tabla1[[#This Row],[PAGO DIA]],DIAS!A:E,5,0)</f>
        <v>46168</v>
      </c>
      <c r="P1534" s="6">
        <v>0</v>
      </c>
      <c r="Q1534" s="43">
        <f>VLOOKUP(Tabla1[[#This Row],[PAGO DIA]],DIAS!A:F,6,0)</f>
        <v>46196</v>
      </c>
      <c r="R1534" s="6">
        <v>0</v>
      </c>
      <c r="S1534" s="43">
        <f>VLOOKUP(Tabla1[[#This Row],[PAGO DIA]],DIAS!A:G,7,0)</f>
        <v>46231</v>
      </c>
      <c r="T1534" s="6">
        <v>0</v>
      </c>
      <c r="U1534" s="43">
        <f>VLOOKUP(Tabla1[[#This Row],[PAGO DIA]],DIAS!A:H,8,0)</f>
        <v>46259</v>
      </c>
      <c r="V1534" s="6">
        <v>0</v>
      </c>
      <c r="W1534" s="43">
        <f>VLOOKUP(Tabla1[[#This Row],[PAGO DIA]],DIAS!A:I,9,0)</f>
        <v>46287</v>
      </c>
      <c r="X1534" s="6">
        <v>0</v>
      </c>
      <c r="Y1534" s="43">
        <f>VLOOKUP(Tabla1[[#This Row],[PAGO DIA]],DIAS!A:J,10,0)</f>
        <v>46322</v>
      </c>
      <c r="Z1534" s="6">
        <v>0</v>
      </c>
      <c r="AA1534" s="43">
        <f>VLOOKUP(Tabla1[[#This Row],[PAGO DIA]],DIAS!A:K,11,0)</f>
        <v>46350</v>
      </c>
      <c r="AB1534" s="6">
        <v>0</v>
      </c>
      <c r="AC1534" s="43">
        <f>VLOOKUP(Tabla1[[#This Row],[PAGO DIA]],DIAS!A:M,12,0)</f>
        <v>46379</v>
      </c>
      <c r="AD15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5" spans="1:30">
      <c r="A1535" s="3">
        <v>11301</v>
      </c>
      <c r="B1535" s="3" t="s">
        <v>510</v>
      </c>
      <c r="C1535" s="3" t="s">
        <v>505</v>
      </c>
      <c r="D1535" s="3" t="s">
        <v>2035</v>
      </c>
      <c r="E1535" s="3" t="s">
        <v>1124</v>
      </c>
      <c r="F1535" s="42" t="s">
        <v>562</v>
      </c>
      <c r="G1535" s="3" t="s">
        <v>2036</v>
      </c>
      <c r="H1535" s="6">
        <v>0</v>
      </c>
      <c r="I1535" s="41">
        <f>VLOOKUP(Tabla1[[#This Row],[PAGO DIA]],DIAS!A:B,2,0)</f>
        <v>46078</v>
      </c>
      <c r="J1535" s="6">
        <v>0</v>
      </c>
      <c r="K1535" s="43">
        <f>VLOOKUP(Tabla1[[#This Row],[PAGO DIA]],DIAS!A:C,3,0)</f>
        <v>46105</v>
      </c>
      <c r="L1535" s="6">
        <v>0</v>
      </c>
      <c r="M1535" s="41">
        <f>VLOOKUP(Tabla1[[#This Row],[PAGO DIA]],DIAS!A:D,4,0)</f>
        <v>46140</v>
      </c>
      <c r="N1535" s="6">
        <v>0</v>
      </c>
      <c r="O1535" s="43">
        <f>VLOOKUP(Tabla1[[#This Row],[PAGO DIA]],DIAS!A:E,5,0)</f>
        <v>46168</v>
      </c>
      <c r="P1535" s="6">
        <v>0</v>
      </c>
      <c r="Q1535" s="43">
        <f>VLOOKUP(Tabla1[[#This Row],[PAGO DIA]],DIAS!A:F,6,0)</f>
        <v>46196</v>
      </c>
      <c r="R1535" s="6">
        <v>0</v>
      </c>
      <c r="S1535" s="43">
        <f>VLOOKUP(Tabla1[[#This Row],[PAGO DIA]],DIAS!A:G,7,0)</f>
        <v>46231</v>
      </c>
      <c r="T1535" s="6">
        <v>0</v>
      </c>
      <c r="U1535" s="43">
        <f>VLOOKUP(Tabla1[[#This Row],[PAGO DIA]],DIAS!A:H,8,0)</f>
        <v>46259</v>
      </c>
      <c r="V1535" s="6">
        <v>0</v>
      </c>
      <c r="W1535" s="43">
        <f>VLOOKUP(Tabla1[[#This Row],[PAGO DIA]],DIAS!A:I,9,0)</f>
        <v>46287</v>
      </c>
      <c r="X1535" s="6">
        <v>0</v>
      </c>
      <c r="Y1535" s="43">
        <f>VLOOKUP(Tabla1[[#This Row],[PAGO DIA]],DIAS!A:J,10,0)</f>
        <v>46322</v>
      </c>
      <c r="Z1535" s="6">
        <v>0</v>
      </c>
      <c r="AA1535" s="43">
        <f>VLOOKUP(Tabla1[[#This Row],[PAGO DIA]],DIAS!A:K,11,0)</f>
        <v>46350</v>
      </c>
      <c r="AB1535" s="6">
        <v>0</v>
      </c>
      <c r="AC1535" s="43">
        <f>VLOOKUP(Tabla1[[#This Row],[PAGO DIA]],DIAS!A:M,12,0)</f>
        <v>46379</v>
      </c>
      <c r="AD15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6" spans="1:30">
      <c r="A1536" s="3">
        <v>11952</v>
      </c>
      <c r="B1536" s="3" t="s">
        <v>510</v>
      </c>
      <c r="C1536" s="3" t="s">
        <v>505</v>
      </c>
      <c r="D1536" s="3" t="s">
        <v>2035</v>
      </c>
      <c r="E1536" s="3" t="s">
        <v>1124</v>
      </c>
      <c r="F1536" s="42" t="s">
        <v>562</v>
      </c>
      <c r="G1536" s="3" t="s">
        <v>2036</v>
      </c>
      <c r="H1536" s="6">
        <v>0</v>
      </c>
      <c r="I1536" s="41">
        <f>VLOOKUP(Tabla1[[#This Row],[PAGO DIA]],DIAS!A:B,2,0)</f>
        <v>46078</v>
      </c>
      <c r="J1536" s="6">
        <v>0</v>
      </c>
      <c r="K1536" s="43">
        <f>VLOOKUP(Tabla1[[#This Row],[PAGO DIA]],DIAS!A:C,3,0)</f>
        <v>46105</v>
      </c>
      <c r="L1536" s="6">
        <v>0</v>
      </c>
      <c r="M1536" s="41">
        <f>VLOOKUP(Tabla1[[#This Row],[PAGO DIA]],DIAS!A:D,4,0)</f>
        <v>46140</v>
      </c>
      <c r="N1536" s="6">
        <v>0</v>
      </c>
      <c r="O1536" s="43">
        <f>VLOOKUP(Tabla1[[#This Row],[PAGO DIA]],DIAS!A:E,5,0)</f>
        <v>46168</v>
      </c>
      <c r="P1536" s="6">
        <v>0</v>
      </c>
      <c r="Q1536" s="43">
        <f>VLOOKUP(Tabla1[[#This Row],[PAGO DIA]],DIAS!A:F,6,0)</f>
        <v>46196</v>
      </c>
      <c r="R1536" s="6">
        <v>0</v>
      </c>
      <c r="S1536" s="43">
        <f>VLOOKUP(Tabla1[[#This Row],[PAGO DIA]],DIAS!A:G,7,0)</f>
        <v>46231</v>
      </c>
      <c r="T1536" s="6">
        <v>0</v>
      </c>
      <c r="U1536" s="43">
        <f>VLOOKUP(Tabla1[[#This Row],[PAGO DIA]],DIAS!A:H,8,0)</f>
        <v>46259</v>
      </c>
      <c r="V1536" s="6">
        <v>0</v>
      </c>
      <c r="W1536" s="43">
        <f>VLOOKUP(Tabla1[[#This Row],[PAGO DIA]],DIAS!A:I,9,0)</f>
        <v>46287</v>
      </c>
      <c r="X1536" s="6">
        <v>0</v>
      </c>
      <c r="Y1536" s="43">
        <f>VLOOKUP(Tabla1[[#This Row],[PAGO DIA]],DIAS!A:J,10,0)</f>
        <v>46322</v>
      </c>
      <c r="Z1536" s="6">
        <v>0</v>
      </c>
      <c r="AA1536" s="43">
        <f>VLOOKUP(Tabla1[[#This Row],[PAGO DIA]],DIAS!A:K,11,0)</f>
        <v>46350</v>
      </c>
      <c r="AB1536" s="6">
        <v>0</v>
      </c>
      <c r="AC1536" s="43">
        <f>VLOOKUP(Tabla1[[#This Row],[PAGO DIA]],DIAS!A:M,12,0)</f>
        <v>46379</v>
      </c>
      <c r="AD15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7" spans="1:30">
      <c r="A1537" s="3">
        <v>11953</v>
      </c>
      <c r="B1537" s="3" t="s">
        <v>510</v>
      </c>
      <c r="C1537" s="3" t="s">
        <v>505</v>
      </c>
      <c r="D1537" s="3" t="s">
        <v>2035</v>
      </c>
      <c r="E1537" s="3" t="s">
        <v>1124</v>
      </c>
      <c r="F1537" s="42" t="s">
        <v>562</v>
      </c>
      <c r="G1537" s="3" t="s">
        <v>2036</v>
      </c>
      <c r="H1537" s="6">
        <v>0</v>
      </c>
      <c r="I1537" s="41">
        <f>VLOOKUP(Tabla1[[#This Row],[PAGO DIA]],DIAS!A:B,2,0)</f>
        <v>46078</v>
      </c>
      <c r="J1537" s="6">
        <v>0</v>
      </c>
      <c r="K1537" s="43">
        <f>VLOOKUP(Tabla1[[#This Row],[PAGO DIA]],DIAS!A:C,3,0)</f>
        <v>46105</v>
      </c>
      <c r="L1537" s="6">
        <v>0</v>
      </c>
      <c r="M1537" s="41">
        <f>VLOOKUP(Tabla1[[#This Row],[PAGO DIA]],DIAS!A:D,4,0)</f>
        <v>46140</v>
      </c>
      <c r="N1537" s="6">
        <v>0</v>
      </c>
      <c r="O1537" s="43">
        <f>VLOOKUP(Tabla1[[#This Row],[PAGO DIA]],DIAS!A:E,5,0)</f>
        <v>46168</v>
      </c>
      <c r="P1537" s="6">
        <v>0</v>
      </c>
      <c r="Q1537" s="43">
        <f>VLOOKUP(Tabla1[[#This Row],[PAGO DIA]],DIAS!A:F,6,0)</f>
        <v>46196</v>
      </c>
      <c r="R1537" s="6">
        <v>0</v>
      </c>
      <c r="S1537" s="43">
        <f>VLOOKUP(Tabla1[[#This Row],[PAGO DIA]],DIAS!A:G,7,0)</f>
        <v>46231</v>
      </c>
      <c r="T1537" s="6">
        <v>0</v>
      </c>
      <c r="U1537" s="43">
        <f>VLOOKUP(Tabla1[[#This Row],[PAGO DIA]],DIAS!A:H,8,0)</f>
        <v>46259</v>
      </c>
      <c r="V1537" s="6">
        <v>0</v>
      </c>
      <c r="W1537" s="43">
        <f>VLOOKUP(Tabla1[[#This Row],[PAGO DIA]],DIAS!A:I,9,0)</f>
        <v>46287</v>
      </c>
      <c r="X1537" s="6">
        <v>0</v>
      </c>
      <c r="Y1537" s="43">
        <f>VLOOKUP(Tabla1[[#This Row],[PAGO DIA]],DIAS!A:J,10,0)</f>
        <v>46322</v>
      </c>
      <c r="Z1537" s="6">
        <v>0</v>
      </c>
      <c r="AA1537" s="43">
        <f>VLOOKUP(Tabla1[[#This Row],[PAGO DIA]],DIAS!A:K,11,0)</f>
        <v>46350</v>
      </c>
      <c r="AB1537" s="6">
        <v>0</v>
      </c>
      <c r="AC1537" s="43">
        <f>VLOOKUP(Tabla1[[#This Row],[PAGO DIA]],DIAS!A:M,12,0)</f>
        <v>46379</v>
      </c>
      <c r="AD15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8" spans="1:30">
      <c r="A1538" s="3">
        <v>11954</v>
      </c>
      <c r="B1538" s="3" t="s">
        <v>510</v>
      </c>
      <c r="C1538" s="3" t="s">
        <v>505</v>
      </c>
      <c r="D1538" s="3" t="s">
        <v>2035</v>
      </c>
      <c r="E1538" s="3" t="s">
        <v>1124</v>
      </c>
      <c r="F1538" s="42" t="s">
        <v>562</v>
      </c>
      <c r="G1538" s="3" t="s">
        <v>639</v>
      </c>
      <c r="H1538" s="6">
        <v>0</v>
      </c>
      <c r="I1538" s="41">
        <f>VLOOKUP(Tabla1[[#This Row],[PAGO DIA]],DIAS!A:B,2,0)</f>
        <v>46078</v>
      </c>
      <c r="J1538" s="6">
        <v>0</v>
      </c>
      <c r="K1538" s="43">
        <f>VLOOKUP(Tabla1[[#This Row],[PAGO DIA]],DIAS!A:C,3,0)</f>
        <v>46105</v>
      </c>
      <c r="L1538" s="6">
        <v>0</v>
      </c>
      <c r="M1538" s="41">
        <f>VLOOKUP(Tabla1[[#This Row],[PAGO DIA]],DIAS!A:D,4,0)</f>
        <v>46140</v>
      </c>
      <c r="N1538" s="6">
        <v>0</v>
      </c>
      <c r="O1538" s="43">
        <f>VLOOKUP(Tabla1[[#This Row],[PAGO DIA]],DIAS!A:E,5,0)</f>
        <v>46168</v>
      </c>
      <c r="P1538" s="6">
        <v>0</v>
      </c>
      <c r="Q1538" s="43">
        <f>VLOOKUP(Tabla1[[#This Row],[PAGO DIA]],DIAS!A:F,6,0)</f>
        <v>46196</v>
      </c>
      <c r="R1538" s="6">
        <v>0</v>
      </c>
      <c r="S1538" s="43">
        <f>VLOOKUP(Tabla1[[#This Row],[PAGO DIA]],DIAS!A:G,7,0)</f>
        <v>46231</v>
      </c>
      <c r="T1538" s="6">
        <v>0</v>
      </c>
      <c r="U1538" s="43">
        <f>VLOOKUP(Tabla1[[#This Row],[PAGO DIA]],DIAS!A:H,8,0)</f>
        <v>46259</v>
      </c>
      <c r="V1538" s="6">
        <v>0</v>
      </c>
      <c r="W1538" s="43">
        <f>VLOOKUP(Tabla1[[#This Row],[PAGO DIA]],DIAS!A:I,9,0)</f>
        <v>46287</v>
      </c>
      <c r="X1538" s="6">
        <v>0</v>
      </c>
      <c r="Y1538" s="43">
        <f>VLOOKUP(Tabla1[[#This Row],[PAGO DIA]],DIAS!A:J,10,0)</f>
        <v>46322</v>
      </c>
      <c r="Z1538" s="6">
        <v>0</v>
      </c>
      <c r="AA1538" s="43">
        <f>VLOOKUP(Tabla1[[#This Row],[PAGO DIA]],DIAS!A:K,11,0)</f>
        <v>46350</v>
      </c>
      <c r="AB1538" s="6">
        <v>0</v>
      </c>
      <c r="AC1538" s="43">
        <f>VLOOKUP(Tabla1[[#This Row],[PAGO DIA]],DIAS!A:M,12,0)</f>
        <v>46379</v>
      </c>
      <c r="AD15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39" spans="1:30">
      <c r="A1539" s="3">
        <v>12859</v>
      </c>
      <c r="B1539" s="3" t="s">
        <v>510</v>
      </c>
      <c r="C1539" s="3"/>
      <c r="D1539" s="3" t="s">
        <v>1854</v>
      </c>
      <c r="E1539" s="3" t="s">
        <v>2037</v>
      </c>
      <c r="F1539" s="42" t="s">
        <v>562</v>
      </c>
      <c r="G1539" s="3"/>
      <c r="H1539" s="6">
        <v>0</v>
      </c>
      <c r="I1539" s="41">
        <f>VLOOKUP(Tabla1[[#This Row],[PAGO DIA]],DIAS!A:B,2,0)</f>
        <v>46078</v>
      </c>
      <c r="J1539" s="6">
        <v>15000000</v>
      </c>
      <c r="K1539" s="43">
        <f>VLOOKUP(Tabla1[[#This Row],[PAGO DIA]],DIAS!A:C,3,0)</f>
        <v>46105</v>
      </c>
      <c r="L1539" s="6">
        <v>15000000</v>
      </c>
      <c r="M1539" s="41">
        <f>VLOOKUP(Tabla1[[#This Row],[PAGO DIA]],DIAS!A:D,4,0)</f>
        <v>46140</v>
      </c>
      <c r="N1539" s="6">
        <v>15000000</v>
      </c>
      <c r="O1539" s="43">
        <f>VLOOKUP(Tabla1[[#This Row],[PAGO DIA]],DIAS!A:E,5,0)</f>
        <v>46168</v>
      </c>
      <c r="P1539" s="6">
        <v>15000000</v>
      </c>
      <c r="Q1539" s="43">
        <f>VLOOKUP(Tabla1[[#This Row],[PAGO DIA]],DIAS!A:F,6,0)</f>
        <v>46196</v>
      </c>
      <c r="R1539" s="6">
        <v>0</v>
      </c>
      <c r="S1539" s="43">
        <f>VLOOKUP(Tabla1[[#This Row],[PAGO DIA]],DIAS!A:G,7,0)</f>
        <v>46231</v>
      </c>
      <c r="T1539" s="6">
        <v>0</v>
      </c>
      <c r="U1539" s="43">
        <f>VLOOKUP(Tabla1[[#This Row],[PAGO DIA]],DIAS!A:H,8,0)</f>
        <v>46259</v>
      </c>
      <c r="V1539" s="6">
        <v>0</v>
      </c>
      <c r="W1539" s="43">
        <f>VLOOKUP(Tabla1[[#This Row],[PAGO DIA]],DIAS!A:I,9,0)</f>
        <v>46287</v>
      </c>
      <c r="X1539" s="6">
        <v>0</v>
      </c>
      <c r="Y1539" s="43">
        <f>VLOOKUP(Tabla1[[#This Row],[PAGO DIA]],DIAS!A:J,10,0)</f>
        <v>46322</v>
      </c>
      <c r="Z1539" s="6">
        <v>0</v>
      </c>
      <c r="AA1539" s="43">
        <f>VLOOKUP(Tabla1[[#This Row],[PAGO DIA]],DIAS!A:K,11,0)</f>
        <v>46350</v>
      </c>
      <c r="AB1539" s="6">
        <v>0</v>
      </c>
      <c r="AC1539" s="43">
        <f>VLOOKUP(Tabla1[[#This Row],[PAGO DIA]],DIAS!A:M,12,0)</f>
        <v>46379</v>
      </c>
      <c r="AD15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60000000</v>
      </c>
    </row>
    <row r="1540" spans="1:30">
      <c r="A1540" s="3">
        <v>11190</v>
      </c>
      <c r="B1540" s="3" t="s">
        <v>510</v>
      </c>
      <c r="C1540" s="3" t="s">
        <v>576</v>
      </c>
      <c r="D1540" s="3" t="s">
        <v>1974</v>
      </c>
      <c r="E1540" s="3" t="s">
        <v>2038</v>
      </c>
      <c r="F1540" s="42" t="s">
        <v>562</v>
      </c>
      <c r="G1540" s="3" t="s">
        <v>2039</v>
      </c>
      <c r="H1540" s="6">
        <v>0</v>
      </c>
      <c r="I1540" s="41">
        <f>VLOOKUP(Tabla1[[#This Row],[PAGO DIA]],DIAS!A:B,2,0)</f>
        <v>46078</v>
      </c>
      <c r="J1540" s="6">
        <v>0</v>
      </c>
      <c r="K1540" s="43">
        <f>VLOOKUP(Tabla1[[#This Row],[PAGO DIA]],DIAS!A:C,3,0)</f>
        <v>46105</v>
      </c>
      <c r="L1540" s="6">
        <v>0</v>
      </c>
      <c r="M1540" s="41">
        <f>VLOOKUP(Tabla1[[#This Row],[PAGO DIA]],DIAS!A:D,4,0)</f>
        <v>46140</v>
      </c>
      <c r="N1540" s="6">
        <v>0</v>
      </c>
      <c r="O1540" s="43">
        <f>VLOOKUP(Tabla1[[#This Row],[PAGO DIA]],DIAS!A:E,5,0)</f>
        <v>46168</v>
      </c>
      <c r="P1540" s="6">
        <v>0</v>
      </c>
      <c r="Q1540" s="43">
        <f>VLOOKUP(Tabla1[[#This Row],[PAGO DIA]],DIAS!A:F,6,0)</f>
        <v>46196</v>
      </c>
      <c r="R1540" s="6">
        <v>0</v>
      </c>
      <c r="S1540" s="43">
        <f>VLOOKUP(Tabla1[[#This Row],[PAGO DIA]],DIAS!A:G,7,0)</f>
        <v>46231</v>
      </c>
      <c r="T1540" s="6">
        <v>0</v>
      </c>
      <c r="U1540" s="43">
        <f>VLOOKUP(Tabla1[[#This Row],[PAGO DIA]],DIAS!A:H,8,0)</f>
        <v>46259</v>
      </c>
      <c r="V1540" s="6">
        <v>0</v>
      </c>
      <c r="W1540" s="43">
        <f>VLOOKUP(Tabla1[[#This Row],[PAGO DIA]],DIAS!A:I,9,0)</f>
        <v>46287</v>
      </c>
      <c r="X1540" s="6">
        <v>0</v>
      </c>
      <c r="Y1540" s="43">
        <f>VLOOKUP(Tabla1[[#This Row],[PAGO DIA]],DIAS!A:J,10,0)</f>
        <v>46322</v>
      </c>
      <c r="Z1540" s="6">
        <v>0</v>
      </c>
      <c r="AA1540" s="43">
        <f>VLOOKUP(Tabla1[[#This Row],[PAGO DIA]],DIAS!A:K,11,0)</f>
        <v>46350</v>
      </c>
      <c r="AB1540" s="6">
        <v>0</v>
      </c>
      <c r="AC1540" s="43">
        <f>VLOOKUP(Tabla1[[#This Row],[PAGO DIA]],DIAS!A:M,12,0)</f>
        <v>46379</v>
      </c>
      <c r="AD15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1" spans="1:30">
      <c r="A1541" s="3">
        <v>12841</v>
      </c>
      <c r="B1541" s="3" t="s">
        <v>510</v>
      </c>
      <c r="C1541" s="3"/>
      <c r="D1541" s="3" t="s">
        <v>2040</v>
      </c>
      <c r="E1541" s="3" t="s">
        <v>2041</v>
      </c>
      <c r="F1541" s="42" t="s">
        <v>562</v>
      </c>
      <c r="G1541" s="3"/>
      <c r="H1541" s="6">
        <v>0</v>
      </c>
      <c r="I1541" s="41">
        <f>VLOOKUP(Tabla1[[#This Row],[PAGO DIA]],DIAS!A:B,2,0)</f>
        <v>46078</v>
      </c>
      <c r="J1541" s="6">
        <v>0</v>
      </c>
      <c r="K1541" s="43">
        <f>VLOOKUP(Tabla1[[#This Row],[PAGO DIA]],DIAS!A:C,3,0)</f>
        <v>46105</v>
      </c>
      <c r="L1541" s="6">
        <v>0</v>
      </c>
      <c r="M1541" s="41">
        <f>VLOOKUP(Tabla1[[#This Row],[PAGO DIA]],DIAS!A:D,4,0)</f>
        <v>46140</v>
      </c>
      <c r="N1541" s="6">
        <v>0</v>
      </c>
      <c r="O1541" s="43">
        <f>VLOOKUP(Tabla1[[#This Row],[PAGO DIA]],DIAS!A:E,5,0)</f>
        <v>46168</v>
      </c>
      <c r="P1541" s="6">
        <v>0</v>
      </c>
      <c r="Q1541" s="43">
        <f>VLOOKUP(Tabla1[[#This Row],[PAGO DIA]],DIAS!A:F,6,0)</f>
        <v>46196</v>
      </c>
      <c r="R1541" s="6">
        <v>0</v>
      </c>
      <c r="S1541" s="43">
        <f>VLOOKUP(Tabla1[[#This Row],[PAGO DIA]],DIAS!A:G,7,0)</f>
        <v>46231</v>
      </c>
      <c r="T1541" s="6">
        <v>0</v>
      </c>
      <c r="U1541" s="43">
        <f>VLOOKUP(Tabla1[[#This Row],[PAGO DIA]],DIAS!A:H,8,0)</f>
        <v>46259</v>
      </c>
      <c r="V1541" s="6">
        <v>0</v>
      </c>
      <c r="W1541" s="43">
        <f>VLOOKUP(Tabla1[[#This Row],[PAGO DIA]],DIAS!A:I,9,0)</f>
        <v>46287</v>
      </c>
      <c r="X1541" s="6">
        <v>0</v>
      </c>
      <c r="Y1541" s="43">
        <f>VLOOKUP(Tabla1[[#This Row],[PAGO DIA]],DIAS!A:J,10,0)</f>
        <v>46322</v>
      </c>
      <c r="Z1541" s="6">
        <v>0</v>
      </c>
      <c r="AA1541" s="43">
        <f>VLOOKUP(Tabla1[[#This Row],[PAGO DIA]],DIAS!A:K,11,0)</f>
        <v>46350</v>
      </c>
      <c r="AB1541" s="6">
        <v>0</v>
      </c>
      <c r="AC1541" s="43">
        <f>VLOOKUP(Tabla1[[#This Row],[PAGO DIA]],DIAS!A:M,12,0)</f>
        <v>46379</v>
      </c>
      <c r="AD15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2" spans="1:30">
      <c r="A1542" s="3">
        <v>11979</v>
      </c>
      <c r="B1542" s="3" t="s">
        <v>510</v>
      </c>
      <c r="C1542" s="3"/>
      <c r="D1542" s="3" t="s">
        <v>1868</v>
      </c>
      <c r="E1542" s="3" t="s">
        <v>1177</v>
      </c>
      <c r="F1542" s="42" t="s">
        <v>562</v>
      </c>
      <c r="G1542" s="3"/>
      <c r="H1542" s="6">
        <v>0</v>
      </c>
      <c r="I1542" s="41">
        <f>VLOOKUP(Tabla1[[#This Row],[PAGO DIA]],DIAS!A:B,2,0)</f>
        <v>46078</v>
      </c>
      <c r="J1542" s="6">
        <v>0</v>
      </c>
      <c r="K1542" s="43">
        <f>VLOOKUP(Tabla1[[#This Row],[PAGO DIA]],DIAS!A:C,3,0)</f>
        <v>46105</v>
      </c>
      <c r="L1542" s="6">
        <v>0</v>
      </c>
      <c r="M1542" s="41">
        <f>VLOOKUP(Tabla1[[#This Row],[PAGO DIA]],DIAS!A:D,4,0)</f>
        <v>46140</v>
      </c>
      <c r="N1542" s="6">
        <v>0</v>
      </c>
      <c r="O1542" s="43">
        <f>VLOOKUP(Tabla1[[#This Row],[PAGO DIA]],DIAS!A:E,5,0)</f>
        <v>46168</v>
      </c>
      <c r="P1542" s="6">
        <v>0</v>
      </c>
      <c r="Q1542" s="43">
        <f>VLOOKUP(Tabla1[[#This Row],[PAGO DIA]],DIAS!A:F,6,0)</f>
        <v>46196</v>
      </c>
      <c r="R1542" s="6">
        <v>0</v>
      </c>
      <c r="S1542" s="43">
        <f>VLOOKUP(Tabla1[[#This Row],[PAGO DIA]],DIAS!A:G,7,0)</f>
        <v>46231</v>
      </c>
      <c r="T1542" s="6">
        <v>0</v>
      </c>
      <c r="U1542" s="43">
        <f>VLOOKUP(Tabla1[[#This Row],[PAGO DIA]],DIAS!A:H,8,0)</f>
        <v>46259</v>
      </c>
      <c r="V1542" s="6">
        <v>0</v>
      </c>
      <c r="W1542" s="43">
        <f>VLOOKUP(Tabla1[[#This Row],[PAGO DIA]],DIAS!A:I,9,0)</f>
        <v>46287</v>
      </c>
      <c r="X1542" s="6">
        <v>0</v>
      </c>
      <c r="Y1542" s="43">
        <f>VLOOKUP(Tabla1[[#This Row],[PAGO DIA]],DIAS!A:J,10,0)</f>
        <v>46322</v>
      </c>
      <c r="Z1542" s="6">
        <v>0</v>
      </c>
      <c r="AA1542" s="43">
        <f>VLOOKUP(Tabla1[[#This Row],[PAGO DIA]],DIAS!A:K,11,0)</f>
        <v>46350</v>
      </c>
      <c r="AB1542" s="6">
        <v>0</v>
      </c>
      <c r="AC1542" s="43">
        <f>VLOOKUP(Tabla1[[#This Row],[PAGO DIA]],DIAS!A:M,12,0)</f>
        <v>46379</v>
      </c>
      <c r="AD15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3" spans="1:30">
      <c r="A1543" s="3">
        <v>11379</v>
      </c>
      <c r="B1543" s="3" t="s">
        <v>510</v>
      </c>
      <c r="C1543" s="3"/>
      <c r="D1543" s="3" t="s">
        <v>2042</v>
      </c>
      <c r="E1543" s="3"/>
      <c r="F1543" s="42" t="s">
        <v>562</v>
      </c>
      <c r="G1543" s="3"/>
      <c r="H1543" s="6">
        <v>0</v>
      </c>
      <c r="I1543" s="41">
        <f>VLOOKUP(Tabla1[[#This Row],[PAGO DIA]],DIAS!A:B,2,0)</f>
        <v>46078</v>
      </c>
      <c r="J1543" s="6">
        <v>0</v>
      </c>
      <c r="K1543" s="43">
        <f>VLOOKUP(Tabla1[[#This Row],[PAGO DIA]],DIAS!A:C,3,0)</f>
        <v>46105</v>
      </c>
      <c r="L1543" s="6">
        <v>0</v>
      </c>
      <c r="M1543" s="41">
        <f>VLOOKUP(Tabla1[[#This Row],[PAGO DIA]],DIAS!A:D,4,0)</f>
        <v>46140</v>
      </c>
      <c r="N1543" s="6">
        <v>0</v>
      </c>
      <c r="O1543" s="43">
        <f>VLOOKUP(Tabla1[[#This Row],[PAGO DIA]],DIAS!A:E,5,0)</f>
        <v>46168</v>
      </c>
      <c r="P1543" s="6">
        <v>0</v>
      </c>
      <c r="Q1543" s="43">
        <f>VLOOKUP(Tabla1[[#This Row],[PAGO DIA]],DIAS!A:F,6,0)</f>
        <v>46196</v>
      </c>
      <c r="R1543" s="6">
        <v>0</v>
      </c>
      <c r="S1543" s="43">
        <f>VLOOKUP(Tabla1[[#This Row],[PAGO DIA]],DIAS!A:G,7,0)</f>
        <v>46231</v>
      </c>
      <c r="T1543" s="6">
        <v>0</v>
      </c>
      <c r="U1543" s="43">
        <f>VLOOKUP(Tabla1[[#This Row],[PAGO DIA]],DIAS!A:H,8,0)</f>
        <v>46259</v>
      </c>
      <c r="V1543" s="6">
        <v>0</v>
      </c>
      <c r="W1543" s="43">
        <f>VLOOKUP(Tabla1[[#This Row],[PAGO DIA]],DIAS!A:I,9,0)</f>
        <v>46287</v>
      </c>
      <c r="X1543" s="6">
        <v>0</v>
      </c>
      <c r="Y1543" s="43">
        <f>VLOOKUP(Tabla1[[#This Row],[PAGO DIA]],DIAS!A:J,10,0)</f>
        <v>46322</v>
      </c>
      <c r="Z1543" s="6">
        <v>0</v>
      </c>
      <c r="AA1543" s="43">
        <f>VLOOKUP(Tabla1[[#This Row],[PAGO DIA]],DIAS!A:K,11,0)</f>
        <v>46350</v>
      </c>
      <c r="AB1543" s="6">
        <v>0</v>
      </c>
      <c r="AC1543" s="43">
        <f>VLOOKUP(Tabla1[[#This Row],[PAGO DIA]],DIAS!A:M,12,0)</f>
        <v>46379</v>
      </c>
      <c r="AD15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4" spans="1:30">
      <c r="A1544" s="3">
        <v>11533</v>
      </c>
      <c r="B1544" s="3" t="s">
        <v>510</v>
      </c>
      <c r="C1544" s="3" t="s">
        <v>576</v>
      </c>
      <c r="D1544" s="3" t="s">
        <v>1974</v>
      </c>
      <c r="E1544" s="3"/>
      <c r="F1544" s="42" t="s">
        <v>562</v>
      </c>
      <c r="G1544" s="3"/>
      <c r="H1544" s="6">
        <v>0</v>
      </c>
      <c r="I1544" s="41">
        <f>VLOOKUP(Tabla1[[#This Row],[PAGO DIA]],DIAS!A:B,2,0)</f>
        <v>46078</v>
      </c>
      <c r="J1544" s="6">
        <v>0</v>
      </c>
      <c r="K1544" s="43">
        <f>VLOOKUP(Tabla1[[#This Row],[PAGO DIA]],DIAS!A:C,3,0)</f>
        <v>46105</v>
      </c>
      <c r="L1544" s="6">
        <v>0</v>
      </c>
      <c r="M1544" s="41">
        <f>VLOOKUP(Tabla1[[#This Row],[PAGO DIA]],DIAS!A:D,4,0)</f>
        <v>46140</v>
      </c>
      <c r="N1544" s="6">
        <v>0</v>
      </c>
      <c r="O1544" s="43">
        <f>VLOOKUP(Tabla1[[#This Row],[PAGO DIA]],DIAS!A:E,5,0)</f>
        <v>46168</v>
      </c>
      <c r="P1544" s="6">
        <v>0</v>
      </c>
      <c r="Q1544" s="43">
        <f>VLOOKUP(Tabla1[[#This Row],[PAGO DIA]],DIAS!A:F,6,0)</f>
        <v>46196</v>
      </c>
      <c r="R1544" s="6">
        <v>0</v>
      </c>
      <c r="S1544" s="43">
        <f>VLOOKUP(Tabla1[[#This Row],[PAGO DIA]],DIAS!A:G,7,0)</f>
        <v>46231</v>
      </c>
      <c r="T1544" s="6">
        <v>0</v>
      </c>
      <c r="U1544" s="43">
        <f>VLOOKUP(Tabla1[[#This Row],[PAGO DIA]],DIAS!A:H,8,0)</f>
        <v>46259</v>
      </c>
      <c r="V1544" s="6">
        <v>0</v>
      </c>
      <c r="W1544" s="43">
        <f>VLOOKUP(Tabla1[[#This Row],[PAGO DIA]],DIAS!A:I,9,0)</f>
        <v>46287</v>
      </c>
      <c r="X1544" s="6">
        <v>0</v>
      </c>
      <c r="Y1544" s="43">
        <f>VLOOKUP(Tabla1[[#This Row],[PAGO DIA]],DIAS!A:J,10,0)</f>
        <v>46322</v>
      </c>
      <c r="Z1544" s="6">
        <v>0</v>
      </c>
      <c r="AA1544" s="43">
        <f>VLOOKUP(Tabla1[[#This Row],[PAGO DIA]],DIAS!A:K,11,0)</f>
        <v>46350</v>
      </c>
      <c r="AB1544" s="6">
        <v>0</v>
      </c>
      <c r="AC1544" s="43">
        <f>VLOOKUP(Tabla1[[#This Row],[PAGO DIA]],DIAS!A:M,12,0)</f>
        <v>46379</v>
      </c>
      <c r="AD15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5" spans="1:30">
      <c r="A1545" s="3">
        <v>12097</v>
      </c>
      <c r="B1545" s="3" t="s">
        <v>510</v>
      </c>
      <c r="C1545" s="3" t="s">
        <v>576</v>
      </c>
      <c r="D1545" s="3"/>
      <c r="E1545" s="3"/>
      <c r="F1545" s="42" t="s">
        <v>562</v>
      </c>
      <c r="G1545" s="3"/>
      <c r="H1545" s="6">
        <v>0</v>
      </c>
      <c r="I1545" s="41">
        <f>VLOOKUP(Tabla1[[#This Row],[PAGO DIA]],DIAS!A:B,2,0)</f>
        <v>46078</v>
      </c>
      <c r="J1545" s="6">
        <v>0</v>
      </c>
      <c r="K1545" s="43">
        <f>VLOOKUP(Tabla1[[#This Row],[PAGO DIA]],DIAS!A:C,3,0)</f>
        <v>46105</v>
      </c>
      <c r="L1545" s="6">
        <v>0</v>
      </c>
      <c r="M1545" s="41">
        <f>VLOOKUP(Tabla1[[#This Row],[PAGO DIA]],DIAS!A:D,4,0)</f>
        <v>46140</v>
      </c>
      <c r="N1545" s="6">
        <v>0</v>
      </c>
      <c r="O1545" s="43">
        <f>VLOOKUP(Tabla1[[#This Row],[PAGO DIA]],DIAS!A:E,5,0)</f>
        <v>46168</v>
      </c>
      <c r="P1545" s="6">
        <v>0</v>
      </c>
      <c r="Q1545" s="43">
        <f>VLOOKUP(Tabla1[[#This Row],[PAGO DIA]],DIAS!A:F,6,0)</f>
        <v>46196</v>
      </c>
      <c r="R1545" s="6">
        <v>0</v>
      </c>
      <c r="S1545" s="43">
        <f>VLOOKUP(Tabla1[[#This Row],[PAGO DIA]],DIAS!A:G,7,0)</f>
        <v>46231</v>
      </c>
      <c r="T1545" s="6">
        <v>0</v>
      </c>
      <c r="U1545" s="43">
        <f>VLOOKUP(Tabla1[[#This Row],[PAGO DIA]],DIAS!A:H,8,0)</f>
        <v>46259</v>
      </c>
      <c r="V1545" s="6">
        <v>0</v>
      </c>
      <c r="W1545" s="43">
        <f>VLOOKUP(Tabla1[[#This Row],[PAGO DIA]],DIAS!A:I,9,0)</f>
        <v>46287</v>
      </c>
      <c r="X1545" s="6">
        <v>0</v>
      </c>
      <c r="Y1545" s="43">
        <f>VLOOKUP(Tabla1[[#This Row],[PAGO DIA]],DIAS!A:J,10,0)</f>
        <v>46322</v>
      </c>
      <c r="Z1545" s="6">
        <v>0</v>
      </c>
      <c r="AA1545" s="43">
        <f>VLOOKUP(Tabla1[[#This Row],[PAGO DIA]],DIAS!A:K,11,0)</f>
        <v>46350</v>
      </c>
      <c r="AB1545" s="6">
        <v>0</v>
      </c>
      <c r="AC1545" s="43">
        <f>VLOOKUP(Tabla1[[#This Row],[PAGO DIA]],DIAS!A:M,12,0)</f>
        <v>46379</v>
      </c>
      <c r="AD15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6" spans="1:30">
      <c r="A1546" s="3">
        <v>12243</v>
      </c>
      <c r="B1546" s="3" t="s">
        <v>510</v>
      </c>
      <c r="C1546" s="3"/>
      <c r="D1546" s="3" t="s">
        <v>2043</v>
      </c>
      <c r="E1546" s="3"/>
      <c r="F1546" s="42" t="s">
        <v>562</v>
      </c>
      <c r="G1546" s="3"/>
      <c r="H1546" s="6">
        <v>0</v>
      </c>
      <c r="I1546" s="41">
        <f>VLOOKUP(Tabla1[[#This Row],[PAGO DIA]],DIAS!A:B,2,0)</f>
        <v>46078</v>
      </c>
      <c r="J1546" s="6">
        <v>0</v>
      </c>
      <c r="K1546" s="43">
        <f>VLOOKUP(Tabla1[[#This Row],[PAGO DIA]],DIAS!A:C,3,0)</f>
        <v>46105</v>
      </c>
      <c r="L1546" s="6">
        <v>0</v>
      </c>
      <c r="M1546" s="41">
        <f>VLOOKUP(Tabla1[[#This Row],[PAGO DIA]],DIAS!A:D,4,0)</f>
        <v>46140</v>
      </c>
      <c r="N1546" s="6">
        <v>0</v>
      </c>
      <c r="O1546" s="43">
        <f>VLOOKUP(Tabla1[[#This Row],[PAGO DIA]],DIAS!A:E,5,0)</f>
        <v>46168</v>
      </c>
      <c r="P1546" s="6">
        <v>0</v>
      </c>
      <c r="Q1546" s="43">
        <f>VLOOKUP(Tabla1[[#This Row],[PAGO DIA]],DIAS!A:F,6,0)</f>
        <v>46196</v>
      </c>
      <c r="R1546" s="6">
        <v>0</v>
      </c>
      <c r="S1546" s="43">
        <f>VLOOKUP(Tabla1[[#This Row],[PAGO DIA]],DIAS!A:G,7,0)</f>
        <v>46231</v>
      </c>
      <c r="T1546" s="6">
        <v>0</v>
      </c>
      <c r="U1546" s="43">
        <f>VLOOKUP(Tabla1[[#This Row],[PAGO DIA]],DIAS!A:H,8,0)</f>
        <v>46259</v>
      </c>
      <c r="V1546" s="6">
        <v>0</v>
      </c>
      <c r="W1546" s="43">
        <f>VLOOKUP(Tabla1[[#This Row],[PAGO DIA]],DIAS!A:I,9,0)</f>
        <v>46287</v>
      </c>
      <c r="X1546" s="6">
        <v>0</v>
      </c>
      <c r="Y1546" s="43">
        <f>VLOOKUP(Tabla1[[#This Row],[PAGO DIA]],DIAS!A:J,10,0)</f>
        <v>46322</v>
      </c>
      <c r="Z1546" s="6">
        <v>0</v>
      </c>
      <c r="AA1546" s="43">
        <f>VLOOKUP(Tabla1[[#This Row],[PAGO DIA]],DIAS!A:K,11,0)</f>
        <v>46350</v>
      </c>
      <c r="AB1546" s="6">
        <v>0</v>
      </c>
      <c r="AC1546" s="43">
        <f>VLOOKUP(Tabla1[[#This Row],[PAGO DIA]],DIAS!A:M,12,0)</f>
        <v>46379</v>
      </c>
      <c r="AD15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7" spans="1:30">
      <c r="A1547" s="3">
        <v>12244</v>
      </c>
      <c r="B1547" s="3" t="s">
        <v>510</v>
      </c>
      <c r="C1547" s="3"/>
      <c r="D1547" s="3" t="s">
        <v>2044</v>
      </c>
      <c r="E1547" s="3"/>
      <c r="F1547" s="42" t="s">
        <v>562</v>
      </c>
      <c r="G1547" s="3"/>
      <c r="H1547" s="6">
        <v>0</v>
      </c>
      <c r="I1547" s="41">
        <f>VLOOKUP(Tabla1[[#This Row],[PAGO DIA]],DIAS!A:B,2,0)</f>
        <v>46078</v>
      </c>
      <c r="J1547" s="6">
        <v>0</v>
      </c>
      <c r="K1547" s="43">
        <f>VLOOKUP(Tabla1[[#This Row],[PAGO DIA]],DIAS!A:C,3,0)</f>
        <v>46105</v>
      </c>
      <c r="L1547" s="6">
        <v>0</v>
      </c>
      <c r="M1547" s="41">
        <f>VLOOKUP(Tabla1[[#This Row],[PAGO DIA]],DIAS!A:D,4,0)</f>
        <v>46140</v>
      </c>
      <c r="N1547" s="6">
        <v>0</v>
      </c>
      <c r="O1547" s="43">
        <f>VLOOKUP(Tabla1[[#This Row],[PAGO DIA]],DIAS!A:E,5,0)</f>
        <v>46168</v>
      </c>
      <c r="P1547" s="6">
        <v>0</v>
      </c>
      <c r="Q1547" s="43">
        <f>VLOOKUP(Tabla1[[#This Row],[PAGO DIA]],DIAS!A:F,6,0)</f>
        <v>46196</v>
      </c>
      <c r="R1547" s="6">
        <v>0</v>
      </c>
      <c r="S1547" s="43">
        <f>VLOOKUP(Tabla1[[#This Row],[PAGO DIA]],DIAS!A:G,7,0)</f>
        <v>46231</v>
      </c>
      <c r="T1547" s="6">
        <v>0</v>
      </c>
      <c r="U1547" s="43">
        <f>VLOOKUP(Tabla1[[#This Row],[PAGO DIA]],DIAS!A:H,8,0)</f>
        <v>46259</v>
      </c>
      <c r="V1547" s="6">
        <v>0</v>
      </c>
      <c r="W1547" s="43">
        <f>VLOOKUP(Tabla1[[#This Row],[PAGO DIA]],DIAS!A:I,9,0)</f>
        <v>46287</v>
      </c>
      <c r="X1547" s="6">
        <v>0</v>
      </c>
      <c r="Y1547" s="43">
        <f>VLOOKUP(Tabla1[[#This Row],[PAGO DIA]],DIAS!A:J,10,0)</f>
        <v>46322</v>
      </c>
      <c r="Z1547" s="6">
        <v>0</v>
      </c>
      <c r="AA1547" s="43">
        <f>VLOOKUP(Tabla1[[#This Row],[PAGO DIA]],DIAS!A:K,11,0)</f>
        <v>46350</v>
      </c>
      <c r="AB1547" s="6">
        <v>0</v>
      </c>
      <c r="AC1547" s="43">
        <f>VLOOKUP(Tabla1[[#This Row],[PAGO DIA]],DIAS!A:M,12,0)</f>
        <v>46379</v>
      </c>
      <c r="AD15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8" spans="1:30">
      <c r="A1548" s="3">
        <v>12245</v>
      </c>
      <c r="B1548" s="3" t="s">
        <v>510</v>
      </c>
      <c r="C1548" s="3"/>
      <c r="D1548" s="3" t="s">
        <v>2045</v>
      </c>
      <c r="E1548" s="3"/>
      <c r="F1548" s="42" t="s">
        <v>562</v>
      </c>
      <c r="G1548" s="3"/>
      <c r="H1548" s="6">
        <v>0</v>
      </c>
      <c r="I1548" s="41">
        <f>VLOOKUP(Tabla1[[#This Row],[PAGO DIA]],DIAS!A:B,2,0)</f>
        <v>46078</v>
      </c>
      <c r="J1548" s="6">
        <v>0</v>
      </c>
      <c r="K1548" s="43">
        <f>VLOOKUP(Tabla1[[#This Row],[PAGO DIA]],DIAS!A:C,3,0)</f>
        <v>46105</v>
      </c>
      <c r="L1548" s="6">
        <v>0</v>
      </c>
      <c r="M1548" s="41">
        <f>VLOOKUP(Tabla1[[#This Row],[PAGO DIA]],DIAS!A:D,4,0)</f>
        <v>46140</v>
      </c>
      <c r="N1548" s="6">
        <v>0</v>
      </c>
      <c r="O1548" s="43">
        <f>VLOOKUP(Tabla1[[#This Row],[PAGO DIA]],DIAS!A:E,5,0)</f>
        <v>46168</v>
      </c>
      <c r="P1548" s="6">
        <v>0</v>
      </c>
      <c r="Q1548" s="43">
        <f>VLOOKUP(Tabla1[[#This Row],[PAGO DIA]],DIAS!A:F,6,0)</f>
        <v>46196</v>
      </c>
      <c r="R1548" s="6">
        <v>0</v>
      </c>
      <c r="S1548" s="43">
        <f>VLOOKUP(Tabla1[[#This Row],[PAGO DIA]],DIAS!A:G,7,0)</f>
        <v>46231</v>
      </c>
      <c r="T1548" s="6">
        <v>0</v>
      </c>
      <c r="U1548" s="43">
        <f>VLOOKUP(Tabla1[[#This Row],[PAGO DIA]],DIAS!A:H,8,0)</f>
        <v>46259</v>
      </c>
      <c r="V1548" s="6">
        <v>0</v>
      </c>
      <c r="W1548" s="43">
        <f>VLOOKUP(Tabla1[[#This Row],[PAGO DIA]],DIAS!A:I,9,0)</f>
        <v>46287</v>
      </c>
      <c r="X1548" s="6">
        <v>0</v>
      </c>
      <c r="Y1548" s="43">
        <f>VLOOKUP(Tabla1[[#This Row],[PAGO DIA]],DIAS!A:J,10,0)</f>
        <v>46322</v>
      </c>
      <c r="Z1548" s="6">
        <v>0</v>
      </c>
      <c r="AA1548" s="43">
        <f>VLOOKUP(Tabla1[[#This Row],[PAGO DIA]],DIAS!A:K,11,0)</f>
        <v>46350</v>
      </c>
      <c r="AB1548" s="6">
        <v>0</v>
      </c>
      <c r="AC1548" s="43">
        <f>VLOOKUP(Tabla1[[#This Row],[PAGO DIA]],DIAS!A:M,12,0)</f>
        <v>46379</v>
      </c>
      <c r="AD15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49" spans="1:30">
      <c r="A1549" s="3">
        <v>12247</v>
      </c>
      <c r="B1549" s="3" t="s">
        <v>510</v>
      </c>
      <c r="C1549" s="3"/>
      <c r="D1549" s="3" t="s">
        <v>2046</v>
      </c>
      <c r="E1549" s="3"/>
      <c r="F1549" s="42" t="s">
        <v>562</v>
      </c>
      <c r="G1549" s="3"/>
      <c r="H1549" s="6">
        <v>0</v>
      </c>
      <c r="I1549" s="41">
        <f>VLOOKUP(Tabla1[[#This Row],[PAGO DIA]],DIAS!A:B,2,0)</f>
        <v>46078</v>
      </c>
      <c r="J1549" s="6">
        <v>0</v>
      </c>
      <c r="K1549" s="43">
        <f>VLOOKUP(Tabla1[[#This Row],[PAGO DIA]],DIAS!A:C,3,0)</f>
        <v>46105</v>
      </c>
      <c r="L1549" s="6">
        <v>0</v>
      </c>
      <c r="M1549" s="41">
        <f>VLOOKUP(Tabla1[[#This Row],[PAGO DIA]],DIAS!A:D,4,0)</f>
        <v>46140</v>
      </c>
      <c r="N1549" s="6">
        <v>0</v>
      </c>
      <c r="O1549" s="43">
        <f>VLOOKUP(Tabla1[[#This Row],[PAGO DIA]],DIAS!A:E,5,0)</f>
        <v>46168</v>
      </c>
      <c r="P1549" s="6">
        <v>0</v>
      </c>
      <c r="Q1549" s="43">
        <f>VLOOKUP(Tabla1[[#This Row],[PAGO DIA]],DIAS!A:F,6,0)</f>
        <v>46196</v>
      </c>
      <c r="R1549" s="6">
        <v>0</v>
      </c>
      <c r="S1549" s="43">
        <f>VLOOKUP(Tabla1[[#This Row],[PAGO DIA]],DIAS!A:G,7,0)</f>
        <v>46231</v>
      </c>
      <c r="T1549" s="6">
        <v>0</v>
      </c>
      <c r="U1549" s="43">
        <f>VLOOKUP(Tabla1[[#This Row],[PAGO DIA]],DIAS!A:H,8,0)</f>
        <v>46259</v>
      </c>
      <c r="V1549" s="6">
        <v>0</v>
      </c>
      <c r="W1549" s="43">
        <f>VLOOKUP(Tabla1[[#This Row],[PAGO DIA]],DIAS!A:I,9,0)</f>
        <v>46287</v>
      </c>
      <c r="X1549" s="6">
        <v>0</v>
      </c>
      <c r="Y1549" s="43">
        <f>VLOOKUP(Tabla1[[#This Row],[PAGO DIA]],DIAS!A:J,10,0)</f>
        <v>46322</v>
      </c>
      <c r="Z1549" s="6">
        <v>0</v>
      </c>
      <c r="AA1549" s="43">
        <f>VLOOKUP(Tabla1[[#This Row],[PAGO DIA]],DIAS!A:K,11,0)</f>
        <v>46350</v>
      </c>
      <c r="AB1549" s="6">
        <v>0</v>
      </c>
      <c r="AC1549" s="43">
        <f>VLOOKUP(Tabla1[[#This Row],[PAGO DIA]],DIAS!A:M,12,0)</f>
        <v>46379</v>
      </c>
      <c r="AD15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0" spans="1:30">
      <c r="A1550" s="3">
        <v>12248</v>
      </c>
      <c r="B1550" s="3" t="s">
        <v>510</v>
      </c>
      <c r="C1550" s="3"/>
      <c r="D1550" s="3" t="s">
        <v>2047</v>
      </c>
      <c r="E1550" s="3"/>
      <c r="F1550" s="42" t="s">
        <v>562</v>
      </c>
      <c r="G1550" s="3"/>
      <c r="H1550" s="6">
        <v>0</v>
      </c>
      <c r="I1550" s="41">
        <f>VLOOKUP(Tabla1[[#This Row],[PAGO DIA]],DIAS!A:B,2,0)</f>
        <v>46078</v>
      </c>
      <c r="J1550" s="6">
        <v>0</v>
      </c>
      <c r="K1550" s="43">
        <f>VLOOKUP(Tabla1[[#This Row],[PAGO DIA]],DIAS!A:C,3,0)</f>
        <v>46105</v>
      </c>
      <c r="L1550" s="6">
        <v>0</v>
      </c>
      <c r="M1550" s="41">
        <f>VLOOKUP(Tabla1[[#This Row],[PAGO DIA]],DIAS!A:D,4,0)</f>
        <v>46140</v>
      </c>
      <c r="N1550" s="6">
        <v>0</v>
      </c>
      <c r="O1550" s="43">
        <f>VLOOKUP(Tabla1[[#This Row],[PAGO DIA]],DIAS!A:E,5,0)</f>
        <v>46168</v>
      </c>
      <c r="P1550" s="6">
        <v>0</v>
      </c>
      <c r="Q1550" s="43">
        <f>VLOOKUP(Tabla1[[#This Row],[PAGO DIA]],DIAS!A:F,6,0)</f>
        <v>46196</v>
      </c>
      <c r="R1550" s="6">
        <v>0</v>
      </c>
      <c r="S1550" s="43">
        <f>VLOOKUP(Tabla1[[#This Row],[PAGO DIA]],DIAS!A:G,7,0)</f>
        <v>46231</v>
      </c>
      <c r="T1550" s="6">
        <v>0</v>
      </c>
      <c r="U1550" s="43">
        <f>VLOOKUP(Tabla1[[#This Row],[PAGO DIA]],DIAS!A:H,8,0)</f>
        <v>46259</v>
      </c>
      <c r="V1550" s="6">
        <v>0</v>
      </c>
      <c r="W1550" s="43">
        <f>VLOOKUP(Tabla1[[#This Row],[PAGO DIA]],DIAS!A:I,9,0)</f>
        <v>46287</v>
      </c>
      <c r="X1550" s="6">
        <v>0</v>
      </c>
      <c r="Y1550" s="43">
        <f>VLOOKUP(Tabla1[[#This Row],[PAGO DIA]],DIAS!A:J,10,0)</f>
        <v>46322</v>
      </c>
      <c r="Z1550" s="6">
        <v>0</v>
      </c>
      <c r="AA1550" s="43">
        <f>VLOOKUP(Tabla1[[#This Row],[PAGO DIA]],DIAS!A:K,11,0)</f>
        <v>46350</v>
      </c>
      <c r="AB1550" s="6">
        <v>0</v>
      </c>
      <c r="AC1550" s="43">
        <f>VLOOKUP(Tabla1[[#This Row],[PAGO DIA]],DIAS!A:M,12,0)</f>
        <v>46379</v>
      </c>
      <c r="AD15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1" spans="1:30">
      <c r="A1551" s="3">
        <v>12249</v>
      </c>
      <c r="B1551" s="3" t="s">
        <v>510</v>
      </c>
      <c r="C1551" s="3"/>
      <c r="D1551" s="3" t="s">
        <v>2048</v>
      </c>
      <c r="E1551" s="3"/>
      <c r="F1551" s="42" t="s">
        <v>562</v>
      </c>
      <c r="G1551" s="3"/>
      <c r="H1551" s="6">
        <v>0</v>
      </c>
      <c r="I1551" s="41">
        <f>VLOOKUP(Tabla1[[#This Row],[PAGO DIA]],DIAS!A:B,2,0)</f>
        <v>46078</v>
      </c>
      <c r="J1551" s="6">
        <v>0</v>
      </c>
      <c r="K1551" s="43">
        <f>VLOOKUP(Tabla1[[#This Row],[PAGO DIA]],DIAS!A:C,3,0)</f>
        <v>46105</v>
      </c>
      <c r="L1551" s="6">
        <v>0</v>
      </c>
      <c r="M1551" s="41">
        <f>VLOOKUP(Tabla1[[#This Row],[PAGO DIA]],DIAS!A:D,4,0)</f>
        <v>46140</v>
      </c>
      <c r="N1551" s="6">
        <v>0</v>
      </c>
      <c r="O1551" s="43">
        <f>VLOOKUP(Tabla1[[#This Row],[PAGO DIA]],DIAS!A:E,5,0)</f>
        <v>46168</v>
      </c>
      <c r="P1551" s="6">
        <v>0</v>
      </c>
      <c r="Q1551" s="43">
        <f>VLOOKUP(Tabla1[[#This Row],[PAGO DIA]],DIAS!A:F,6,0)</f>
        <v>46196</v>
      </c>
      <c r="R1551" s="6">
        <v>0</v>
      </c>
      <c r="S1551" s="43">
        <f>VLOOKUP(Tabla1[[#This Row],[PAGO DIA]],DIAS!A:G,7,0)</f>
        <v>46231</v>
      </c>
      <c r="T1551" s="6">
        <v>0</v>
      </c>
      <c r="U1551" s="43">
        <f>VLOOKUP(Tabla1[[#This Row],[PAGO DIA]],DIAS!A:H,8,0)</f>
        <v>46259</v>
      </c>
      <c r="V1551" s="6">
        <v>0</v>
      </c>
      <c r="W1551" s="43">
        <f>VLOOKUP(Tabla1[[#This Row],[PAGO DIA]],DIAS!A:I,9,0)</f>
        <v>46287</v>
      </c>
      <c r="X1551" s="6">
        <v>0</v>
      </c>
      <c r="Y1551" s="43">
        <f>VLOOKUP(Tabla1[[#This Row],[PAGO DIA]],DIAS!A:J,10,0)</f>
        <v>46322</v>
      </c>
      <c r="Z1551" s="6">
        <v>0</v>
      </c>
      <c r="AA1551" s="43">
        <f>VLOOKUP(Tabla1[[#This Row],[PAGO DIA]],DIAS!A:K,11,0)</f>
        <v>46350</v>
      </c>
      <c r="AB1551" s="6">
        <v>0</v>
      </c>
      <c r="AC1551" s="43">
        <f>VLOOKUP(Tabla1[[#This Row],[PAGO DIA]],DIAS!A:M,12,0)</f>
        <v>46379</v>
      </c>
      <c r="AD15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2" spans="1:30">
      <c r="A1552" s="3">
        <v>12250</v>
      </c>
      <c r="B1552" s="3" t="s">
        <v>510</v>
      </c>
      <c r="C1552" s="3"/>
      <c r="D1552" s="3" t="s">
        <v>2049</v>
      </c>
      <c r="E1552" s="3"/>
      <c r="F1552" s="42" t="s">
        <v>562</v>
      </c>
      <c r="G1552" s="3"/>
      <c r="H1552" s="6">
        <v>0</v>
      </c>
      <c r="I1552" s="41">
        <f>VLOOKUP(Tabla1[[#This Row],[PAGO DIA]],DIAS!A:B,2,0)</f>
        <v>46078</v>
      </c>
      <c r="J1552" s="6">
        <v>0</v>
      </c>
      <c r="K1552" s="43">
        <f>VLOOKUP(Tabla1[[#This Row],[PAGO DIA]],DIAS!A:C,3,0)</f>
        <v>46105</v>
      </c>
      <c r="L1552" s="6">
        <v>0</v>
      </c>
      <c r="M1552" s="41">
        <f>VLOOKUP(Tabla1[[#This Row],[PAGO DIA]],DIAS!A:D,4,0)</f>
        <v>46140</v>
      </c>
      <c r="N1552" s="6">
        <v>0</v>
      </c>
      <c r="O1552" s="43">
        <f>VLOOKUP(Tabla1[[#This Row],[PAGO DIA]],DIAS!A:E,5,0)</f>
        <v>46168</v>
      </c>
      <c r="P1552" s="6">
        <v>0</v>
      </c>
      <c r="Q1552" s="43">
        <f>VLOOKUP(Tabla1[[#This Row],[PAGO DIA]],DIAS!A:F,6,0)</f>
        <v>46196</v>
      </c>
      <c r="R1552" s="6">
        <v>0</v>
      </c>
      <c r="S1552" s="43">
        <f>VLOOKUP(Tabla1[[#This Row],[PAGO DIA]],DIAS!A:G,7,0)</f>
        <v>46231</v>
      </c>
      <c r="T1552" s="6">
        <v>0</v>
      </c>
      <c r="U1552" s="43">
        <f>VLOOKUP(Tabla1[[#This Row],[PAGO DIA]],DIAS!A:H,8,0)</f>
        <v>46259</v>
      </c>
      <c r="V1552" s="6">
        <v>0</v>
      </c>
      <c r="W1552" s="43">
        <f>VLOOKUP(Tabla1[[#This Row],[PAGO DIA]],DIAS!A:I,9,0)</f>
        <v>46287</v>
      </c>
      <c r="X1552" s="6">
        <v>0</v>
      </c>
      <c r="Y1552" s="43">
        <f>VLOOKUP(Tabla1[[#This Row],[PAGO DIA]],DIAS!A:J,10,0)</f>
        <v>46322</v>
      </c>
      <c r="Z1552" s="6">
        <v>0</v>
      </c>
      <c r="AA1552" s="43">
        <f>VLOOKUP(Tabla1[[#This Row],[PAGO DIA]],DIAS!A:K,11,0)</f>
        <v>46350</v>
      </c>
      <c r="AB1552" s="6">
        <v>0</v>
      </c>
      <c r="AC1552" s="43">
        <f>VLOOKUP(Tabla1[[#This Row],[PAGO DIA]],DIAS!A:M,12,0)</f>
        <v>46379</v>
      </c>
      <c r="AD15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3" spans="1:30">
      <c r="A1553" s="3">
        <v>12251</v>
      </c>
      <c r="B1553" s="3" t="s">
        <v>510</v>
      </c>
      <c r="C1553" s="3"/>
      <c r="D1553" s="3" t="s">
        <v>2050</v>
      </c>
      <c r="E1553" s="3"/>
      <c r="F1553" s="42" t="s">
        <v>562</v>
      </c>
      <c r="G1553" s="3"/>
      <c r="H1553" s="6">
        <v>0</v>
      </c>
      <c r="I1553" s="41">
        <f>VLOOKUP(Tabla1[[#This Row],[PAGO DIA]],DIAS!A:B,2,0)</f>
        <v>46078</v>
      </c>
      <c r="J1553" s="6">
        <v>0</v>
      </c>
      <c r="K1553" s="43">
        <f>VLOOKUP(Tabla1[[#This Row],[PAGO DIA]],DIAS!A:C,3,0)</f>
        <v>46105</v>
      </c>
      <c r="L1553" s="6">
        <v>0</v>
      </c>
      <c r="M1553" s="41">
        <f>VLOOKUP(Tabla1[[#This Row],[PAGO DIA]],DIAS!A:D,4,0)</f>
        <v>46140</v>
      </c>
      <c r="N1553" s="6">
        <v>0</v>
      </c>
      <c r="O1553" s="43">
        <f>VLOOKUP(Tabla1[[#This Row],[PAGO DIA]],DIAS!A:E,5,0)</f>
        <v>46168</v>
      </c>
      <c r="P1553" s="6">
        <v>0</v>
      </c>
      <c r="Q1553" s="43">
        <f>VLOOKUP(Tabla1[[#This Row],[PAGO DIA]],DIAS!A:F,6,0)</f>
        <v>46196</v>
      </c>
      <c r="R1553" s="6">
        <v>0</v>
      </c>
      <c r="S1553" s="43">
        <f>VLOOKUP(Tabla1[[#This Row],[PAGO DIA]],DIAS!A:G,7,0)</f>
        <v>46231</v>
      </c>
      <c r="T1553" s="6">
        <v>0</v>
      </c>
      <c r="U1553" s="43">
        <f>VLOOKUP(Tabla1[[#This Row],[PAGO DIA]],DIAS!A:H,8,0)</f>
        <v>46259</v>
      </c>
      <c r="V1553" s="6">
        <v>0</v>
      </c>
      <c r="W1553" s="43">
        <f>VLOOKUP(Tabla1[[#This Row],[PAGO DIA]],DIAS!A:I,9,0)</f>
        <v>46287</v>
      </c>
      <c r="X1553" s="6">
        <v>0</v>
      </c>
      <c r="Y1553" s="43">
        <f>VLOOKUP(Tabla1[[#This Row],[PAGO DIA]],DIAS!A:J,10,0)</f>
        <v>46322</v>
      </c>
      <c r="Z1553" s="6">
        <v>0</v>
      </c>
      <c r="AA1553" s="43">
        <f>VLOOKUP(Tabla1[[#This Row],[PAGO DIA]],DIAS!A:K,11,0)</f>
        <v>46350</v>
      </c>
      <c r="AB1553" s="6">
        <v>0</v>
      </c>
      <c r="AC1553" s="43">
        <f>VLOOKUP(Tabla1[[#This Row],[PAGO DIA]],DIAS!A:M,12,0)</f>
        <v>46379</v>
      </c>
      <c r="AD15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4" spans="1:30">
      <c r="A1554" s="3">
        <v>12252</v>
      </c>
      <c r="B1554" s="3" t="s">
        <v>510</v>
      </c>
      <c r="C1554" s="3"/>
      <c r="D1554" s="3" t="s">
        <v>2051</v>
      </c>
      <c r="E1554" s="3"/>
      <c r="F1554" s="42" t="s">
        <v>562</v>
      </c>
      <c r="G1554" s="3"/>
      <c r="H1554" s="6">
        <v>0</v>
      </c>
      <c r="I1554" s="41">
        <f>VLOOKUP(Tabla1[[#This Row],[PAGO DIA]],DIAS!A:B,2,0)</f>
        <v>46078</v>
      </c>
      <c r="J1554" s="6">
        <v>0</v>
      </c>
      <c r="K1554" s="43">
        <f>VLOOKUP(Tabla1[[#This Row],[PAGO DIA]],DIAS!A:C,3,0)</f>
        <v>46105</v>
      </c>
      <c r="L1554" s="6">
        <v>0</v>
      </c>
      <c r="M1554" s="41">
        <f>VLOOKUP(Tabla1[[#This Row],[PAGO DIA]],DIAS!A:D,4,0)</f>
        <v>46140</v>
      </c>
      <c r="N1554" s="6">
        <v>0</v>
      </c>
      <c r="O1554" s="43">
        <f>VLOOKUP(Tabla1[[#This Row],[PAGO DIA]],DIAS!A:E,5,0)</f>
        <v>46168</v>
      </c>
      <c r="P1554" s="6">
        <v>0</v>
      </c>
      <c r="Q1554" s="43">
        <f>VLOOKUP(Tabla1[[#This Row],[PAGO DIA]],DIAS!A:F,6,0)</f>
        <v>46196</v>
      </c>
      <c r="R1554" s="6">
        <v>0</v>
      </c>
      <c r="S1554" s="43">
        <f>VLOOKUP(Tabla1[[#This Row],[PAGO DIA]],DIAS!A:G,7,0)</f>
        <v>46231</v>
      </c>
      <c r="T1554" s="6">
        <v>0</v>
      </c>
      <c r="U1554" s="43">
        <f>VLOOKUP(Tabla1[[#This Row],[PAGO DIA]],DIAS!A:H,8,0)</f>
        <v>46259</v>
      </c>
      <c r="V1554" s="6">
        <v>0</v>
      </c>
      <c r="W1554" s="43">
        <f>VLOOKUP(Tabla1[[#This Row],[PAGO DIA]],DIAS!A:I,9,0)</f>
        <v>46287</v>
      </c>
      <c r="X1554" s="6">
        <v>0</v>
      </c>
      <c r="Y1554" s="43">
        <f>VLOOKUP(Tabla1[[#This Row],[PAGO DIA]],DIAS!A:J,10,0)</f>
        <v>46322</v>
      </c>
      <c r="Z1554" s="6">
        <v>0</v>
      </c>
      <c r="AA1554" s="43">
        <f>VLOOKUP(Tabla1[[#This Row],[PAGO DIA]],DIAS!A:K,11,0)</f>
        <v>46350</v>
      </c>
      <c r="AB1554" s="6">
        <v>0</v>
      </c>
      <c r="AC1554" s="43">
        <f>VLOOKUP(Tabla1[[#This Row],[PAGO DIA]],DIAS!A:M,12,0)</f>
        <v>46379</v>
      </c>
      <c r="AD15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5" spans="1:30">
      <c r="A1555" s="3">
        <v>12253</v>
      </c>
      <c r="B1555" s="3" t="s">
        <v>510</v>
      </c>
      <c r="C1555" s="3"/>
      <c r="D1555" s="3" t="s">
        <v>2052</v>
      </c>
      <c r="E1555" s="3"/>
      <c r="F1555" s="42" t="s">
        <v>562</v>
      </c>
      <c r="G1555" s="3"/>
      <c r="H1555" s="6">
        <v>0</v>
      </c>
      <c r="I1555" s="41">
        <f>VLOOKUP(Tabla1[[#This Row],[PAGO DIA]],DIAS!A:B,2,0)</f>
        <v>46078</v>
      </c>
      <c r="J1555" s="6">
        <v>0</v>
      </c>
      <c r="K1555" s="43">
        <f>VLOOKUP(Tabla1[[#This Row],[PAGO DIA]],DIAS!A:C,3,0)</f>
        <v>46105</v>
      </c>
      <c r="L1555" s="6">
        <v>0</v>
      </c>
      <c r="M1555" s="41">
        <f>VLOOKUP(Tabla1[[#This Row],[PAGO DIA]],DIAS!A:D,4,0)</f>
        <v>46140</v>
      </c>
      <c r="N1555" s="6">
        <v>0</v>
      </c>
      <c r="O1555" s="43">
        <f>VLOOKUP(Tabla1[[#This Row],[PAGO DIA]],DIAS!A:E,5,0)</f>
        <v>46168</v>
      </c>
      <c r="P1555" s="6">
        <v>0</v>
      </c>
      <c r="Q1555" s="43">
        <f>VLOOKUP(Tabla1[[#This Row],[PAGO DIA]],DIAS!A:F,6,0)</f>
        <v>46196</v>
      </c>
      <c r="R1555" s="6">
        <v>0</v>
      </c>
      <c r="S1555" s="43">
        <f>VLOOKUP(Tabla1[[#This Row],[PAGO DIA]],DIAS!A:G,7,0)</f>
        <v>46231</v>
      </c>
      <c r="T1555" s="6">
        <v>0</v>
      </c>
      <c r="U1555" s="43">
        <f>VLOOKUP(Tabla1[[#This Row],[PAGO DIA]],DIAS!A:H,8,0)</f>
        <v>46259</v>
      </c>
      <c r="V1555" s="6">
        <v>0</v>
      </c>
      <c r="W1555" s="43">
        <f>VLOOKUP(Tabla1[[#This Row],[PAGO DIA]],DIAS!A:I,9,0)</f>
        <v>46287</v>
      </c>
      <c r="X1555" s="6">
        <v>0</v>
      </c>
      <c r="Y1555" s="43">
        <f>VLOOKUP(Tabla1[[#This Row],[PAGO DIA]],DIAS!A:J,10,0)</f>
        <v>46322</v>
      </c>
      <c r="Z1555" s="6">
        <v>0</v>
      </c>
      <c r="AA1555" s="43">
        <f>VLOOKUP(Tabla1[[#This Row],[PAGO DIA]],DIAS!A:K,11,0)</f>
        <v>46350</v>
      </c>
      <c r="AB1555" s="6">
        <v>0</v>
      </c>
      <c r="AC1555" s="43">
        <f>VLOOKUP(Tabla1[[#This Row],[PAGO DIA]],DIAS!A:M,12,0)</f>
        <v>46379</v>
      </c>
      <c r="AD15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6" spans="1:30">
      <c r="A1556" s="3">
        <v>12254</v>
      </c>
      <c r="B1556" s="3" t="s">
        <v>510</v>
      </c>
      <c r="C1556" s="3"/>
      <c r="D1556" s="3" t="s">
        <v>2053</v>
      </c>
      <c r="E1556" s="3"/>
      <c r="F1556" s="42" t="s">
        <v>562</v>
      </c>
      <c r="G1556" s="3"/>
      <c r="H1556" s="6">
        <v>0</v>
      </c>
      <c r="I1556" s="41">
        <f>VLOOKUP(Tabla1[[#This Row],[PAGO DIA]],DIAS!A:B,2,0)</f>
        <v>46078</v>
      </c>
      <c r="J1556" s="6">
        <v>0</v>
      </c>
      <c r="K1556" s="43">
        <f>VLOOKUP(Tabla1[[#This Row],[PAGO DIA]],DIAS!A:C,3,0)</f>
        <v>46105</v>
      </c>
      <c r="L1556" s="6">
        <v>0</v>
      </c>
      <c r="M1556" s="41">
        <f>VLOOKUP(Tabla1[[#This Row],[PAGO DIA]],DIAS!A:D,4,0)</f>
        <v>46140</v>
      </c>
      <c r="N1556" s="6">
        <v>0</v>
      </c>
      <c r="O1556" s="43">
        <f>VLOOKUP(Tabla1[[#This Row],[PAGO DIA]],DIAS!A:E,5,0)</f>
        <v>46168</v>
      </c>
      <c r="P1556" s="6">
        <v>0</v>
      </c>
      <c r="Q1556" s="43">
        <f>VLOOKUP(Tabla1[[#This Row],[PAGO DIA]],DIAS!A:F,6,0)</f>
        <v>46196</v>
      </c>
      <c r="R1556" s="6">
        <v>0</v>
      </c>
      <c r="S1556" s="43">
        <f>VLOOKUP(Tabla1[[#This Row],[PAGO DIA]],DIAS!A:G,7,0)</f>
        <v>46231</v>
      </c>
      <c r="T1556" s="6">
        <v>0</v>
      </c>
      <c r="U1556" s="43">
        <f>VLOOKUP(Tabla1[[#This Row],[PAGO DIA]],DIAS!A:H,8,0)</f>
        <v>46259</v>
      </c>
      <c r="V1556" s="6">
        <v>0</v>
      </c>
      <c r="W1556" s="43">
        <f>VLOOKUP(Tabla1[[#This Row],[PAGO DIA]],DIAS!A:I,9,0)</f>
        <v>46287</v>
      </c>
      <c r="X1556" s="6">
        <v>0</v>
      </c>
      <c r="Y1556" s="43">
        <f>VLOOKUP(Tabla1[[#This Row],[PAGO DIA]],DIAS!A:J,10,0)</f>
        <v>46322</v>
      </c>
      <c r="Z1556" s="6">
        <v>0</v>
      </c>
      <c r="AA1556" s="43">
        <f>VLOOKUP(Tabla1[[#This Row],[PAGO DIA]],DIAS!A:K,11,0)</f>
        <v>46350</v>
      </c>
      <c r="AB1556" s="6">
        <v>0</v>
      </c>
      <c r="AC1556" s="43">
        <f>VLOOKUP(Tabla1[[#This Row],[PAGO DIA]],DIAS!A:M,12,0)</f>
        <v>46379</v>
      </c>
      <c r="AD15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7" spans="1:30">
      <c r="A1557" s="3">
        <v>12255</v>
      </c>
      <c r="B1557" s="3" t="s">
        <v>510</v>
      </c>
      <c r="C1557" s="3"/>
      <c r="D1557" s="3" t="s">
        <v>2054</v>
      </c>
      <c r="E1557" s="3"/>
      <c r="F1557" s="42" t="s">
        <v>562</v>
      </c>
      <c r="G1557" s="3"/>
      <c r="H1557" s="6">
        <v>0</v>
      </c>
      <c r="I1557" s="41">
        <f>VLOOKUP(Tabla1[[#This Row],[PAGO DIA]],DIAS!A:B,2,0)</f>
        <v>46078</v>
      </c>
      <c r="J1557" s="6">
        <v>0</v>
      </c>
      <c r="K1557" s="43">
        <f>VLOOKUP(Tabla1[[#This Row],[PAGO DIA]],DIAS!A:C,3,0)</f>
        <v>46105</v>
      </c>
      <c r="L1557" s="6">
        <v>0</v>
      </c>
      <c r="M1557" s="41">
        <f>VLOOKUP(Tabla1[[#This Row],[PAGO DIA]],DIAS!A:D,4,0)</f>
        <v>46140</v>
      </c>
      <c r="N1557" s="6">
        <v>0</v>
      </c>
      <c r="O1557" s="43">
        <f>VLOOKUP(Tabla1[[#This Row],[PAGO DIA]],DIAS!A:E,5,0)</f>
        <v>46168</v>
      </c>
      <c r="P1557" s="6">
        <v>0</v>
      </c>
      <c r="Q1557" s="43">
        <f>VLOOKUP(Tabla1[[#This Row],[PAGO DIA]],DIAS!A:F,6,0)</f>
        <v>46196</v>
      </c>
      <c r="R1557" s="6">
        <v>0</v>
      </c>
      <c r="S1557" s="43">
        <f>VLOOKUP(Tabla1[[#This Row],[PAGO DIA]],DIAS!A:G,7,0)</f>
        <v>46231</v>
      </c>
      <c r="T1557" s="6">
        <v>0</v>
      </c>
      <c r="U1557" s="43">
        <f>VLOOKUP(Tabla1[[#This Row],[PAGO DIA]],DIAS!A:H,8,0)</f>
        <v>46259</v>
      </c>
      <c r="V1557" s="6">
        <v>0</v>
      </c>
      <c r="W1557" s="43">
        <f>VLOOKUP(Tabla1[[#This Row],[PAGO DIA]],DIAS!A:I,9,0)</f>
        <v>46287</v>
      </c>
      <c r="X1557" s="6">
        <v>0</v>
      </c>
      <c r="Y1557" s="43">
        <f>VLOOKUP(Tabla1[[#This Row],[PAGO DIA]],DIAS!A:J,10,0)</f>
        <v>46322</v>
      </c>
      <c r="Z1557" s="6">
        <v>0</v>
      </c>
      <c r="AA1557" s="43">
        <f>VLOOKUP(Tabla1[[#This Row],[PAGO DIA]],DIAS!A:K,11,0)</f>
        <v>46350</v>
      </c>
      <c r="AB1557" s="6">
        <v>0</v>
      </c>
      <c r="AC1557" s="43">
        <f>VLOOKUP(Tabla1[[#This Row],[PAGO DIA]],DIAS!A:M,12,0)</f>
        <v>46379</v>
      </c>
      <c r="AD15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8" spans="1:30">
      <c r="A1558" s="3">
        <v>12256</v>
      </c>
      <c r="B1558" s="3" t="s">
        <v>510</v>
      </c>
      <c r="C1558" s="3"/>
      <c r="D1558" s="3" t="s">
        <v>2055</v>
      </c>
      <c r="E1558" s="3"/>
      <c r="F1558" s="42" t="s">
        <v>562</v>
      </c>
      <c r="G1558" s="3"/>
      <c r="H1558" s="6">
        <v>0</v>
      </c>
      <c r="I1558" s="41">
        <f>VLOOKUP(Tabla1[[#This Row],[PAGO DIA]],DIAS!A:B,2,0)</f>
        <v>46078</v>
      </c>
      <c r="J1558" s="6">
        <v>0</v>
      </c>
      <c r="K1558" s="43">
        <f>VLOOKUP(Tabla1[[#This Row],[PAGO DIA]],DIAS!A:C,3,0)</f>
        <v>46105</v>
      </c>
      <c r="L1558" s="6">
        <v>0</v>
      </c>
      <c r="M1558" s="41">
        <f>VLOOKUP(Tabla1[[#This Row],[PAGO DIA]],DIAS!A:D,4,0)</f>
        <v>46140</v>
      </c>
      <c r="N1558" s="6">
        <v>0</v>
      </c>
      <c r="O1558" s="43">
        <f>VLOOKUP(Tabla1[[#This Row],[PAGO DIA]],DIAS!A:E,5,0)</f>
        <v>46168</v>
      </c>
      <c r="P1558" s="6">
        <v>0</v>
      </c>
      <c r="Q1558" s="43">
        <f>VLOOKUP(Tabla1[[#This Row],[PAGO DIA]],DIAS!A:F,6,0)</f>
        <v>46196</v>
      </c>
      <c r="R1558" s="6">
        <v>0</v>
      </c>
      <c r="S1558" s="43">
        <f>VLOOKUP(Tabla1[[#This Row],[PAGO DIA]],DIAS!A:G,7,0)</f>
        <v>46231</v>
      </c>
      <c r="T1558" s="6">
        <v>0</v>
      </c>
      <c r="U1558" s="43">
        <f>VLOOKUP(Tabla1[[#This Row],[PAGO DIA]],DIAS!A:H,8,0)</f>
        <v>46259</v>
      </c>
      <c r="V1558" s="6">
        <v>0</v>
      </c>
      <c r="W1558" s="43">
        <f>VLOOKUP(Tabla1[[#This Row],[PAGO DIA]],DIAS!A:I,9,0)</f>
        <v>46287</v>
      </c>
      <c r="X1558" s="6">
        <v>0</v>
      </c>
      <c r="Y1558" s="43">
        <f>VLOOKUP(Tabla1[[#This Row],[PAGO DIA]],DIAS!A:J,10,0)</f>
        <v>46322</v>
      </c>
      <c r="Z1558" s="6">
        <v>0</v>
      </c>
      <c r="AA1558" s="43">
        <f>VLOOKUP(Tabla1[[#This Row],[PAGO DIA]],DIAS!A:K,11,0)</f>
        <v>46350</v>
      </c>
      <c r="AB1558" s="6">
        <v>0</v>
      </c>
      <c r="AC1558" s="43">
        <f>VLOOKUP(Tabla1[[#This Row],[PAGO DIA]],DIAS!A:M,12,0)</f>
        <v>46379</v>
      </c>
      <c r="AD15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59" spans="1:30">
      <c r="A1559" s="3">
        <v>12257</v>
      </c>
      <c r="B1559" s="3" t="s">
        <v>510</v>
      </c>
      <c r="C1559" s="3"/>
      <c r="D1559" s="3" t="s">
        <v>2056</v>
      </c>
      <c r="E1559" s="3"/>
      <c r="F1559" s="42" t="s">
        <v>562</v>
      </c>
      <c r="G1559" s="3"/>
      <c r="H1559" s="6">
        <v>0</v>
      </c>
      <c r="I1559" s="41">
        <f>VLOOKUP(Tabla1[[#This Row],[PAGO DIA]],DIAS!A:B,2,0)</f>
        <v>46078</v>
      </c>
      <c r="J1559" s="6">
        <v>0</v>
      </c>
      <c r="K1559" s="43">
        <f>VLOOKUP(Tabla1[[#This Row],[PAGO DIA]],DIAS!A:C,3,0)</f>
        <v>46105</v>
      </c>
      <c r="L1559" s="6">
        <v>0</v>
      </c>
      <c r="M1559" s="41">
        <f>VLOOKUP(Tabla1[[#This Row],[PAGO DIA]],DIAS!A:D,4,0)</f>
        <v>46140</v>
      </c>
      <c r="N1559" s="6">
        <v>0</v>
      </c>
      <c r="O1559" s="43">
        <f>VLOOKUP(Tabla1[[#This Row],[PAGO DIA]],DIAS!A:E,5,0)</f>
        <v>46168</v>
      </c>
      <c r="P1559" s="6">
        <v>0</v>
      </c>
      <c r="Q1559" s="43">
        <f>VLOOKUP(Tabla1[[#This Row],[PAGO DIA]],DIAS!A:F,6,0)</f>
        <v>46196</v>
      </c>
      <c r="R1559" s="6">
        <v>0</v>
      </c>
      <c r="S1559" s="43">
        <f>VLOOKUP(Tabla1[[#This Row],[PAGO DIA]],DIAS!A:G,7,0)</f>
        <v>46231</v>
      </c>
      <c r="T1559" s="6">
        <v>0</v>
      </c>
      <c r="U1559" s="43">
        <f>VLOOKUP(Tabla1[[#This Row],[PAGO DIA]],DIAS!A:H,8,0)</f>
        <v>46259</v>
      </c>
      <c r="V1559" s="6">
        <v>0</v>
      </c>
      <c r="W1559" s="43">
        <f>VLOOKUP(Tabla1[[#This Row],[PAGO DIA]],DIAS!A:I,9,0)</f>
        <v>46287</v>
      </c>
      <c r="X1559" s="6">
        <v>0</v>
      </c>
      <c r="Y1559" s="43">
        <f>VLOOKUP(Tabla1[[#This Row],[PAGO DIA]],DIAS!A:J,10,0)</f>
        <v>46322</v>
      </c>
      <c r="Z1559" s="6">
        <v>0</v>
      </c>
      <c r="AA1559" s="43">
        <f>VLOOKUP(Tabla1[[#This Row],[PAGO DIA]],DIAS!A:K,11,0)</f>
        <v>46350</v>
      </c>
      <c r="AB1559" s="6">
        <v>0</v>
      </c>
      <c r="AC1559" s="43">
        <f>VLOOKUP(Tabla1[[#This Row],[PAGO DIA]],DIAS!A:M,12,0)</f>
        <v>46379</v>
      </c>
      <c r="AD15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0" spans="1:30">
      <c r="A1560" s="3">
        <v>12258</v>
      </c>
      <c r="B1560" s="3" t="s">
        <v>510</v>
      </c>
      <c r="C1560" s="3"/>
      <c r="D1560" s="3" t="s">
        <v>2057</v>
      </c>
      <c r="E1560" s="3"/>
      <c r="F1560" s="42" t="s">
        <v>562</v>
      </c>
      <c r="G1560" s="3"/>
      <c r="H1560" s="6">
        <v>0</v>
      </c>
      <c r="I1560" s="41">
        <f>VLOOKUP(Tabla1[[#This Row],[PAGO DIA]],DIAS!A:B,2,0)</f>
        <v>46078</v>
      </c>
      <c r="J1560" s="6">
        <v>0</v>
      </c>
      <c r="K1560" s="43">
        <f>VLOOKUP(Tabla1[[#This Row],[PAGO DIA]],DIAS!A:C,3,0)</f>
        <v>46105</v>
      </c>
      <c r="L1560" s="6">
        <v>0</v>
      </c>
      <c r="M1560" s="41">
        <f>VLOOKUP(Tabla1[[#This Row],[PAGO DIA]],DIAS!A:D,4,0)</f>
        <v>46140</v>
      </c>
      <c r="N1560" s="6">
        <v>0</v>
      </c>
      <c r="O1560" s="43">
        <f>VLOOKUP(Tabla1[[#This Row],[PAGO DIA]],DIAS!A:E,5,0)</f>
        <v>46168</v>
      </c>
      <c r="P1560" s="6">
        <v>0</v>
      </c>
      <c r="Q1560" s="43">
        <f>VLOOKUP(Tabla1[[#This Row],[PAGO DIA]],DIAS!A:F,6,0)</f>
        <v>46196</v>
      </c>
      <c r="R1560" s="6">
        <v>0</v>
      </c>
      <c r="S1560" s="43">
        <f>VLOOKUP(Tabla1[[#This Row],[PAGO DIA]],DIAS!A:G,7,0)</f>
        <v>46231</v>
      </c>
      <c r="T1560" s="6">
        <v>0</v>
      </c>
      <c r="U1560" s="43">
        <f>VLOOKUP(Tabla1[[#This Row],[PAGO DIA]],DIAS!A:H,8,0)</f>
        <v>46259</v>
      </c>
      <c r="V1560" s="6">
        <v>0</v>
      </c>
      <c r="W1560" s="43">
        <f>VLOOKUP(Tabla1[[#This Row],[PAGO DIA]],DIAS!A:I,9,0)</f>
        <v>46287</v>
      </c>
      <c r="X1560" s="6">
        <v>0</v>
      </c>
      <c r="Y1560" s="43">
        <f>VLOOKUP(Tabla1[[#This Row],[PAGO DIA]],DIAS!A:J,10,0)</f>
        <v>46322</v>
      </c>
      <c r="Z1560" s="6">
        <v>0</v>
      </c>
      <c r="AA1560" s="43">
        <f>VLOOKUP(Tabla1[[#This Row],[PAGO DIA]],DIAS!A:K,11,0)</f>
        <v>46350</v>
      </c>
      <c r="AB1560" s="6">
        <v>0</v>
      </c>
      <c r="AC1560" s="43">
        <f>VLOOKUP(Tabla1[[#This Row],[PAGO DIA]],DIAS!A:M,12,0)</f>
        <v>46379</v>
      </c>
      <c r="AD15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1" spans="1:30">
      <c r="A1561" s="3">
        <v>12259</v>
      </c>
      <c r="B1561" s="3" t="s">
        <v>510</v>
      </c>
      <c r="C1561" s="3"/>
      <c r="D1561" s="3" t="s">
        <v>2058</v>
      </c>
      <c r="E1561" s="3"/>
      <c r="F1561" s="42" t="s">
        <v>562</v>
      </c>
      <c r="G1561" s="3"/>
      <c r="H1561" s="6">
        <v>0</v>
      </c>
      <c r="I1561" s="41">
        <f>VLOOKUP(Tabla1[[#This Row],[PAGO DIA]],DIAS!A:B,2,0)</f>
        <v>46078</v>
      </c>
      <c r="J1561" s="6">
        <v>0</v>
      </c>
      <c r="K1561" s="43">
        <f>VLOOKUP(Tabla1[[#This Row],[PAGO DIA]],DIAS!A:C,3,0)</f>
        <v>46105</v>
      </c>
      <c r="L1561" s="6">
        <v>0</v>
      </c>
      <c r="M1561" s="41">
        <f>VLOOKUP(Tabla1[[#This Row],[PAGO DIA]],DIAS!A:D,4,0)</f>
        <v>46140</v>
      </c>
      <c r="N1561" s="6">
        <v>0</v>
      </c>
      <c r="O1561" s="43">
        <f>VLOOKUP(Tabla1[[#This Row],[PAGO DIA]],DIAS!A:E,5,0)</f>
        <v>46168</v>
      </c>
      <c r="P1561" s="6">
        <v>0</v>
      </c>
      <c r="Q1561" s="43">
        <f>VLOOKUP(Tabla1[[#This Row],[PAGO DIA]],DIAS!A:F,6,0)</f>
        <v>46196</v>
      </c>
      <c r="R1561" s="6">
        <v>0</v>
      </c>
      <c r="S1561" s="43">
        <f>VLOOKUP(Tabla1[[#This Row],[PAGO DIA]],DIAS!A:G,7,0)</f>
        <v>46231</v>
      </c>
      <c r="T1561" s="6">
        <v>0</v>
      </c>
      <c r="U1561" s="43">
        <f>VLOOKUP(Tabla1[[#This Row],[PAGO DIA]],DIAS!A:H,8,0)</f>
        <v>46259</v>
      </c>
      <c r="V1561" s="6">
        <v>0</v>
      </c>
      <c r="W1561" s="43">
        <f>VLOOKUP(Tabla1[[#This Row],[PAGO DIA]],DIAS!A:I,9,0)</f>
        <v>46287</v>
      </c>
      <c r="X1561" s="6">
        <v>0</v>
      </c>
      <c r="Y1561" s="43">
        <f>VLOOKUP(Tabla1[[#This Row],[PAGO DIA]],DIAS!A:J,10,0)</f>
        <v>46322</v>
      </c>
      <c r="Z1561" s="6">
        <v>0</v>
      </c>
      <c r="AA1561" s="43">
        <f>VLOOKUP(Tabla1[[#This Row],[PAGO DIA]],DIAS!A:K,11,0)</f>
        <v>46350</v>
      </c>
      <c r="AB1561" s="6">
        <v>0</v>
      </c>
      <c r="AC1561" s="43">
        <f>VLOOKUP(Tabla1[[#This Row],[PAGO DIA]],DIAS!A:M,12,0)</f>
        <v>46379</v>
      </c>
      <c r="AD15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2" spans="1:30">
      <c r="A1562" s="3">
        <v>12261</v>
      </c>
      <c r="B1562" s="3" t="s">
        <v>510</v>
      </c>
      <c r="C1562" s="3"/>
      <c r="D1562" s="3" t="s">
        <v>2059</v>
      </c>
      <c r="E1562" s="3"/>
      <c r="F1562" s="42" t="s">
        <v>562</v>
      </c>
      <c r="G1562" s="3"/>
      <c r="H1562" s="6">
        <v>0</v>
      </c>
      <c r="I1562" s="41">
        <f>VLOOKUP(Tabla1[[#This Row],[PAGO DIA]],DIAS!A:B,2,0)</f>
        <v>46078</v>
      </c>
      <c r="J1562" s="6">
        <v>0</v>
      </c>
      <c r="K1562" s="43">
        <f>VLOOKUP(Tabla1[[#This Row],[PAGO DIA]],DIAS!A:C,3,0)</f>
        <v>46105</v>
      </c>
      <c r="L1562" s="6">
        <v>0</v>
      </c>
      <c r="M1562" s="41">
        <f>VLOOKUP(Tabla1[[#This Row],[PAGO DIA]],DIAS!A:D,4,0)</f>
        <v>46140</v>
      </c>
      <c r="N1562" s="6">
        <v>0</v>
      </c>
      <c r="O1562" s="43">
        <f>VLOOKUP(Tabla1[[#This Row],[PAGO DIA]],DIAS!A:E,5,0)</f>
        <v>46168</v>
      </c>
      <c r="P1562" s="6">
        <v>0</v>
      </c>
      <c r="Q1562" s="43">
        <f>VLOOKUP(Tabla1[[#This Row],[PAGO DIA]],DIAS!A:F,6,0)</f>
        <v>46196</v>
      </c>
      <c r="R1562" s="6">
        <v>0</v>
      </c>
      <c r="S1562" s="43">
        <f>VLOOKUP(Tabla1[[#This Row],[PAGO DIA]],DIAS!A:G,7,0)</f>
        <v>46231</v>
      </c>
      <c r="T1562" s="6">
        <v>0</v>
      </c>
      <c r="U1562" s="43">
        <f>VLOOKUP(Tabla1[[#This Row],[PAGO DIA]],DIAS!A:H,8,0)</f>
        <v>46259</v>
      </c>
      <c r="V1562" s="6">
        <v>0</v>
      </c>
      <c r="W1562" s="43">
        <f>VLOOKUP(Tabla1[[#This Row],[PAGO DIA]],DIAS!A:I,9,0)</f>
        <v>46287</v>
      </c>
      <c r="X1562" s="6">
        <v>0</v>
      </c>
      <c r="Y1562" s="43">
        <f>VLOOKUP(Tabla1[[#This Row],[PAGO DIA]],DIAS!A:J,10,0)</f>
        <v>46322</v>
      </c>
      <c r="Z1562" s="6">
        <v>0</v>
      </c>
      <c r="AA1562" s="43">
        <f>VLOOKUP(Tabla1[[#This Row],[PAGO DIA]],DIAS!A:K,11,0)</f>
        <v>46350</v>
      </c>
      <c r="AB1562" s="6">
        <v>0</v>
      </c>
      <c r="AC1562" s="43">
        <f>VLOOKUP(Tabla1[[#This Row],[PAGO DIA]],DIAS!A:M,12,0)</f>
        <v>46379</v>
      </c>
      <c r="AD15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3" spans="1:30">
      <c r="A1563" s="3">
        <v>12262</v>
      </c>
      <c r="B1563" s="3" t="s">
        <v>510</v>
      </c>
      <c r="C1563" s="3" t="s">
        <v>1147</v>
      </c>
      <c r="D1563" s="3" t="s">
        <v>2060</v>
      </c>
      <c r="E1563" s="3"/>
      <c r="F1563" s="42" t="s">
        <v>562</v>
      </c>
      <c r="G1563" s="3" t="s">
        <v>1819</v>
      </c>
      <c r="H1563" s="6">
        <v>0</v>
      </c>
      <c r="I1563" s="41">
        <f>VLOOKUP(Tabla1[[#This Row],[PAGO DIA]],DIAS!A:B,2,0)</f>
        <v>46078</v>
      </c>
      <c r="J1563" s="6">
        <v>0</v>
      </c>
      <c r="K1563" s="43">
        <f>VLOOKUP(Tabla1[[#This Row],[PAGO DIA]],DIAS!A:C,3,0)</f>
        <v>46105</v>
      </c>
      <c r="L1563" s="6">
        <v>0</v>
      </c>
      <c r="M1563" s="41">
        <f>VLOOKUP(Tabla1[[#This Row],[PAGO DIA]],DIAS!A:D,4,0)</f>
        <v>46140</v>
      </c>
      <c r="N1563" s="6">
        <v>0</v>
      </c>
      <c r="O1563" s="43">
        <f>VLOOKUP(Tabla1[[#This Row],[PAGO DIA]],DIAS!A:E,5,0)</f>
        <v>46168</v>
      </c>
      <c r="P1563" s="6">
        <v>0</v>
      </c>
      <c r="Q1563" s="43">
        <f>VLOOKUP(Tabla1[[#This Row],[PAGO DIA]],DIAS!A:F,6,0)</f>
        <v>46196</v>
      </c>
      <c r="R1563" s="6">
        <v>0</v>
      </c>
      <c r="S1563" s="43">
        <f>VLOOKUP(Tabla1[[#This Row],[PAGO DIA]],DIAS!A:G,7,0)</f>
        <v>46231</v>
      </c>
      <c r="T1563" s="6">
        <v>0</v>
      </c>
      <c r="U1563" s="43">
        <f>VLOOKUP(Tabla1[[#This Row],[PAGO DIA]],DIAS!A:H,8,0)</f>
        <v>46259</v>
      </c>
      <c r="V1563" s="6">
        <v>0</v>
      </c>
      <c r="W1563" s="43">
        <f>VLOOKUP(Tabla1[[#This Row],[PAGO DIA]],DIAS!A:I,9,0)</f>
        <v>46287</v>
      </c>
      <c r="X1563" s="6">
        <v>0</v>
      </c>
      <c r="Y1563" s="43">
        <f>VLOOKUP(Tabla1[[#This Row],[PAGO DIA]],DIAS!A:J,10,0)</f>
        <v>46322</v>
      </c>
      <c r="Z1563" s="6">
        <v>0</v>
      </c>
      <c r="AA1563" s="43">
        <f>VLOOKUP(Tabla1[[#This Row],[PAGO DIA]],DIAS!A:K,11,0)</f>
        <v>46350</v>
      </c>
      <c r="AB1563" s="6">
        <v>0</v>
      </c>
      <c r="AC1563" s="43">
        <f>VLOOKUP(Tabla1[[#This Row],[PAGO DIA]],DIAS!A:M,12,0)</f>
        <v>46379</v>
      </c>
      <c r="AD15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4" spans="1:30">
      <c r="A1564" s="3">
        <v>12263</v>
      </c>
      <c r="B1564" s="3" t="s">
        <v>510</v>
      </c>
      <c r="C1564" s="3"/>
      <c r="D1564" s="3" t="s">
        <v>2061</v>
      </c>
      <c r="E1564" s="3"/>
      <c r="F1564" s="42" t="s">
        <v>562</v>
      </c>
      <c r="G1564" s="3"/>
      <c r="H1564" s="6">
        <v>0</v>
      </c>
      <c r="I1564" s="41">
        <f>VLOOKUP(Tabla1[[#This Row],[PAGO DIA]],DIAS!A:B,2,0)</f>
        <v>46078</v>
      </c>
      <c r="J1564" s="6">
        <v>0</v>
      </c>
      <c r="K1564" s="43">
        <f>VLOOKUP(Tabla1[[#This Row],[PAGO DIA]],DIAS!A:C,3,0)</f>
        <v>46105</v>
      </c>
      <c r="L1564" s="6">
        <v>0</v>
      </c>
      <c r="M1564" s="41">
        <f>VLOOKUP(Tabla1[[#This Row],[PAGO DIA]],DIAS!A:D,4,0)</f>
        <v>46140</v>
      </c>
      <c r="N1564" s="6">
        <v>0</v>
      </c>
      <c r="O1564" s="43">
        <f>VLOOKUP(Tabla1[[#This Row],[PAGO DIA]],DIAS!A:E,5,0)</f>
        <v>46168</v>
      </c>
      <c r="P1564" s="6">
        <v>0</v>
      </c>
      <c r="Q1564" s="43">
        <f>VLOOKUP(Tabla1[[#This Row],[PAGO DIA]],DIAS!A:F,6,0)</f>
        <v>46196</v>
      </c>
      <c r="R1564" s="6">
        <v>0</v>
      </c>
      <c r="S1564" s="43">
        <f>VLOOKUP(Tabla1[[#This Row],[PAGO DIA]],DIAS!A:G,7,0)</f>
        <v>46231</v>
      </c>
      <c r="T1564" s="6">
        <v>0</v>
      </c>
      <c r="U1564" s="43">
        <f>VLOOKUP(Tabla1[[#This Row],[PAGO DIA]],DIAS!A:H,8,0)</f>
        <v>46259</v>
      </c>
      <c r="V1564" s="6">
        <v>0</v>
      </c>
      <c r="W1564" s="43">
        <f>VLOOKUP(Tabla1[[#This Row],[PAGO DIA]],DIAS!A:I,9,0)</f>
        <v>46287</v>
      </c>
      <c r="X1564" s="6">
        <v>0</v>
      </c>
      <c r="Y1564" s="43">
        <f>VLOOKUP(Tabla1[[#This Row],[PAGO DIA]],DIAS!A:J,10,0)</f>
        <v>46322</v>
      </c>
      <c r="Z1564" s="6">
        <v>0</v>
      </c>
      <c r="AA1564" s="43">
        <f>VLOOKUP(Tabla1[[#This Row],[PAGO DIA]],DIAS!A:K,11,0)</f>
        <v>46350</v>
      </c>
      <c r="AB1564" s="6">
        <v>0</v>
      </c>
      <c r="AC1564" s="43">
        <f>VLOOKUP(Tabla1[[#This Row],[PAGO DIA]],DIAS!A:M,12,0)</f>
        <v>46379</v>
      </c>
      <c r="AD15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5" spans="1:30">
      <c r="A1565" s="3">
        <v>12264</v>
      </c>
      <c r="B1565" s="3" t="s">
        <v>510</v>
      </c>
      <c r="C1565" s="3"/>
      <c r="D1565" s="3" t="s">
        <v>2062</v>
      </c>
      <c r="E1565" s="3"/>
      <c r="F1565" s="42" t="s">
        <v>562</v>
      </c>
      <c r="G1565" s="3"/>
      <c r="H1565" s="6">
        <v>0</v>
      </c>
      <c r="I1565" s="41">
        <f>VLOOKUP(Tabla1[[#This Row],[PAGO DIA]],DIAS!A:B,2,0)</f>
        <v>46078</v>
      </c>
      <c r="J1565" s="6">
        <v>0</v>
      </c>
      <c r="K1565" s="43">
        <f>VLOOKUP(Tabla1[[#This Row],[PAGO DIA]],DIAS!A:C,3,0)</f>
        <v>46105</v>
      </c>
      <c r="L1565" s="6">
        <v>0</v>
      </c>
      <c r="M1565" s="41">
        <f>VLOOKUP(Tabla1[[#This Row],[PAGO DIA]],DIAS!A:D,4,0)</f>
        <v>46140</v>
      </c>
      <c r="N1565" s="6">
        <v>0</v>
      </c>
      <c r="O1565" s="43">
        <f>VLOOKUP(Tabla1[[#This Row],[PAGO DIA]],DIAS!A:E,5,0)</f>
        <v>46168</v>
      </c>
      <c r="P1565" s="6">
        <v>0</v>
      </c>
      <c r="Q1565" s="43">
        <f>VLOOKUP(Tabla1[[#This Row],[PAGO DIA]],DIAS!A:F,6,0)</f>
        <v>46196</v>
      </c>
      <c r="R1565" s="6">
        <v>0</v>
      </c>
      <c r="S1565" s="43">
        <f>VLOOKUP(Tabla1[[#This Row],[PAGO DIA]],DIAS!A:G,7,0)</f>
        <v>46231</v>
      </c>
      <c r="T1565" s="6">
        <v>0</v>
      </c>
      <c r="U1565" s="43">
        <f>VLOOKUP(Tabla1[[#This Row],[PAGO DIA]],DIAS!A:H,8,0)</f>
        <v>46259</v>
      </c>
      <c r="V1565" s="6">
        <v>0</v>
      </c>
      <c r="W1565" s="43">
        <f>VLOOKUP(Tabla1[[#This Row],[PAGO DIA]],DIAS!A:I,9,0)</f>
        <v>46287</v>
      </c>
      <c r="X1565" s="6">
        <v>0</v>
      </c>
      <c r="Y1565" s="43">
        <f>VLOOKUP(Tabla1[[#This Row],[PAGO DIA]],DIAS!A:J,10,0)</f>
        <v>46322</v>
      </c>
      <c r="Z1565" s="6">
        <v>0</v>
      </c>
      <c r="AA1565" s="43">
        <f>VLOOKUP(Tabla1[[#This Row],[PAGO DIA]],DIAS!A:K,11,0)</f>
        <v>46350</v>
      </c>
      <c r="AB1565" s="6">
        <v>0</v>
      </c>
      <c r="AC1565" s="43">
        <f>VLOOKUP(Tabla1[[#This Row],[PAGO DIA]],DIAS!A:M,12,0)</f>
        <v>46379</v>
      </c>
      <c r="AD15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6" spans="1:30">
      <c r="A1566" s="3">
        <v>12265</v>
      </c>
      <c r="B1566" s="3" t="s">
        <v>510</v>
      </c>
      <c r="C1566" s="3"/>
      <c r="D1566" s="3" t="s">
        <v>2063</v>
      </c>
      <c r="E1566" s="3"/>
      <c r="F1566" s="42" t="s">
        <v>562</v>
      </c>
      <c r="G1566" s="3"/>
      <c r="H1566" s="6">
        <v>0</v>
      </c>
      <c r="I1566" s="41">
        <f>VLOOKUP(Tabla1[[#This Row],[PAGO DIA]],DIAS!A:B,2,0)</f>
        <v>46078</v>
      </c>
      <c r="J1566" s="6">
        <v>0</v>
      </c>
      <c r="K1566" s="43">
        <f>VLOOKUP(Tabla1[[#This Row],[PAGO DIA]],DIAS!A:C,3,0)</f>
        <v>46105</v>
      </c>
      <c r="L1566" s="6">
        <v>0</v>
      </c>
      <c r="M1566" s="41">
        <f>VLOOKUP(Tabla1[[#This Row],[PAGO DIA]],DIAS!A:D,4,0)</f>
        <v>46140</v>
      </c>
      <c r="N1566" s="6">
        <v>0</v>
      </c>
      <c r="O1566" s="43">
        <f>VLOOKUP(Tabla1[[#This Row],[PAGO DIA]],DIAS!A:E,5,0)</f>
        <v>46168</v>
      </c>
      <c r="P1566" s="6">
        <v>0</v>
      </c>
      <c r="Q1566" s="43">
        <f>VLOOKUP(Tabla1[[#This Row],[PAGO DIA]],DIAS!A:F,6,0)</f>
        <v>46196</v>
      </c>
      <c r="R1566" s="6">
        <v>0</v>
      </c>
      <c r="S1566" s="43">
        <f>VLOOKUP(Tabla1[[#This Row],[PAGO DIA]],DIAS!A:G,7,0)</f>
        <v>46231</v>
      </c>
      <c r="T1566" s="6">
        <v>0</v>
      </c>
      <c r="U1566" s="43">
        <f>VLOOKUP(Tabla1[[#This Row],[PAGO DIA]],DIAS!A:H,8,0)</f>
        <v>46259</v>
      </c>
      <c r="V1566" s="6">
        <v>0</v>
      </c>
      <c r="W1566" s="43">
        <f>VLOOKUP(Tabla1[[#This Row],[PAGO DIA]],DIAS!A:I,9,0)</f>
        <v>46287</v>
      </c>
      <c r="X1566" s="6">
        <v>0</v>
      </c>
      <c r="Y1566" s="43">
        <f>VLOOKUP(Tabla1[[#This Row],[PAGO DIA]],DIAS!A:J,10,0)</f>
        <v>46322</v>
      </c>
      <c r="Z1566" s="6">
        <v>0</v>
      </c>
      <c r="AA1566" s="43">
        <f>VLOOKUP(Tabla1[[#This Row],[PAGO DIA]],DIAS!A:K,11,0)</f>
        <v>46350</v>
      </c>
      <c r="AB1566" s="6">
        <v>0</v>
      </c>
      <c r="AC1566" s="43">
        <f>VLOOKUP(Tabla1[[#This Row],[PAGO DIA]],DIAS!A:M,12,0)</f>
        <v>46379</v>
      </c>
      <c r="AD15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7" spans="1:30">
      <c r="A1567" s="3">
        <v>12266</v>
      </c>
      <c r="B1567" s="3" t="s">
        <v>510</v>
      </c>
      <c r="C1567" s="3"/>
      <c r="D1567" s="3" t="s">
        <v>2064</v>
      </c>
      <c r="E1567" s="3"/>
      <c r="F1567" s="42" t="s">
        <v>562</v>
      </c>
      <c r="G1567" s="3"/>
      <c r="H1567" s="6">
        <v>0</v>
      </c>
      <c r="I1567" s="41">
        <f>VLOOKUP(Tabla1[[#This Row],[PAGO DIA]],DIAS!A:B,2,0)</f>
        <v>46078</v>
      </c>
      <c r="J1567" s="6">
        <v>0</v>
      </c>
      <c r="K1567" s="43">
        <f>VLOOKUP(Tabla1[[#This Row],[PAGO DIA]],DIAS!A:C,3,0)</f>
        <v>46105</v>
      </c>
      <c r="L1567" s="6">
        <v>0</v>
      </c>
      <c r="M1567" s="41">
        <f>VLOOKUP(Tabla1[[#This Row],[PAGO DIA]],DIAS!A:D,4,0)</f>
        <v>46140</v>
      </c>
      <c r="N1567" s="6">
        <v>0</v>
      </c>
      <c r="O1567" s="43">
        <f>VLOOKUP(Tabla1[[#This Row],[PAGO DIA]],DIAS!A:E,5,0)</f>
        <v>46168</v>
      </c>
      <c r="P1567" s="6">
        <v>0</v>
      </c>
      <c r="Q1567" s="43">
        <f>VLOOKUP(Tabla1[[#This Row],[PAGO DIA]],DIAS!A:F,6,0)</f>
        <v>46196</v>
      </c>
      <c r="R1567" s="6">
        <v>0</v>
      </c>
      <c r="S1567" s="43">
        <f>VLOOKUP(Tabla1[[#This Row],[PAGO DIA]],DIAS!A:G,7,0)</f>
        <v>46231</v>
      </c>
      <c r="T1567" s="6">
        <v>0</v>
      </c>
      <c r="U1567" s="43">
        <f>VLOOKUP(Tabla1[[#This Row],[PAGO DIA]],DIAS!A:H,8,0)</f>
        <v>46259</v>
      </c>
      <c r="V1567" s="6">
        <v>0</v>
      </c>
      <c r="W1567" s="43">
        <f>VLOOKUP(Tabla1[[#This Row],[PAGO DIA]],DIAS!A:I,9,0)</f>
        <v>46287</v>
      </c>
      <c r="X1567" s="6">
        <v>0</v>
      </c>
      <c r="Y1567" s="43">
        <f>VLOOKUP(Tabla1[[#This Row],[PAGO DIA]],DIAS!A:J,10,0)</f>
        <v>46322</v>
      </c>
      <c r="Z1567" s="6">
        <v>0</v>
      </c>
      <c r="AA1567" s="43">
        <f>VLOOKUP(Tabla1[[#This Row],[PAGO DIA]],DIAS!A:K,11,0)</f>
        <v>46350</v>
      </c>
      <c r="AB1567" s="6">
        <v>0</v>
      </c>
      <c r="AC1567" s="43">
        <f>VLOOKUP(Tabla1[[#This Row],[PAGO DIA]],DIAS!A:M,12,0)</f>
        <v>46379</v>
      </c>
      <c r="AD15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8" spans="1:30">
      <c r="A1568" s="3">
        <v>12267</v>
      </c>
      <c r="B1568" s="3" t="s">
        <v>510</v>
      </c>
      <c r="C1568" s="3"/>
      <c r="D1568" s="3" t="s">
        <v>2065</v>
      </c>
      <c r="E1568" s="3"/>
      <c r="F1568" s="42" t="s">
        <v>562</v>
      </c>
      <c r="G1568" s="3"/>
      <c r="H1568" s="6">
        <v>0</v>
      </c>
      <c r="I1568" s="41">
        <f>VLOOKUP(Tabla1[[#This Row],[PAGO DIA]],DIAS!A:B,2,0)</f>
        <v>46078</v>
      </c>
      <c r="J1568" s="6">
        <v>0</v>
      </c>
      <c r="K1568" s="43">
        <f>VLOOKUP(Tabla1[[#This Row],[PAGO DIA]],DIAS!A:C,3,0)</f>
        <v>46105</v>
      </c>
      <c r="L1568" s="6">
        <v>0</v>
      </c>
      <c r="M1568" s="41">
        <f>VLOOKUP(Tabla1[[#This Row],[PAGO DIA]],DIAS!A:D,4,0)</f>
        <v>46140</v>
      </c>
      <c r="N1568" s="6">
        <v>0</v>
      </c>
      <c r="O1568" s="43">
        <f>VLOOKUP(Tabla1[[#This Row],[PAGO DIA]],DIAS!A:E,5,0)</f>
        <v>46168</v>
      </c>
      <c r="P1568" s="6">
        <v>0</v>
      </c>
      <c r="Q1568" s="43">
        <f>VLOOKUP(Tabla1[[#This Row],[PAGO DIA]],DIAS!A:F,6,0)</f>
        <v>46196</v>
      </c>
      <c r="R1568" s="6">
        <v>0</v>
      </c>
      <c r="S1568" s="43">
        <f>VLOOKUP(Tabla1[[#This Row],[PAGO DIA]],DIAS!A:G,7,0)</f>
        <v>46231</v>
      </c>
      <c r="T1568" s="6">
        <v>0</v>
      </c>
      <c r="U1568" s="43">
        <f>VLOOKUP(Tabla1[[#This Row],[PAGO DIA]],DIAS!A:H,8,0)</f>
        <v>46259</v>
      </c>
      <c r="V1568" s="6">
        <v>0</v>
      </c>
      <c r="W1568" s="43">
        <f>VLOOKUP(Tabla1[[#This Row],[PAGO DIA]],DIAS!A:I,9,0)</f>
        <v>46287</v>
      </c>
      <c r="X1568" s="6">
        <v>0</v>
      </c>
      <c r="Y1568" s="43">
        <f>VLOOKUP(Tabla1[[#This Row],[PAGO DIA]],DIAS!A:J,10,0)</f>
        <v>46322</v>
      </c>
      <c r="Z1568" s="6">
        <v>0</v>
      </c>
      <c r="AA1568" s="43">
        <f>VLOOKUP(Tabla1[[#This Row],[PAGO DIA]],DIAS!A:K,11,0)</f>
        <v>46350</v>
      </c>
      <c r="AB1568" s="6">
        <v>0</v>
      </c>
      <c r="AC1568" s="43">
        <f>VLOOKUP(Tabla1[[#This Row],[PAGO DIA]],DIAS!A:M,12,0)</f>
        <v>46379</v>
      </c>
      <c r="AD15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69" spans="1:30">
      <c r="A1569" s="3">
        <v>12268</v>
      </c>
      <c r="B1569" s="3" t="s">
        <v>510</v>
      </c>
      <c r="C1569" s="3"/>
      <c r="D1569" s="3" t="s">
        <v>2066</v>
      </c>
      <c r="E1569" s="3"/>
      <c r="F1569" s="42" t="s">
        <v>562</v>
      </c>
      <c r="G1569" s="3"/>
      <c r="H1569" s="6">
        <v>0</v>
      </c>
      <c r="I1569" s="41">
        <f>VLOOKUP(Tabla1[[#This Row],[PAGO DIA]],DIAS!A:B,2,0)</f>
        <v>46078</v>
      </c>
      <c r="J1569" s="6">
        <v>0</v>
      </c>
      <c r="K1569" s="43">
        <f>VLOOKUP(Tabla1[[#This Row],[PAGO DIA]],DIAS!A:C,3,0)</f>
        <v>46105</v>
      </c>
      <c r="L1569" s="6">
        <v>0</v>
      </c>
      <c r="M1569" s="41">
        <f>VLOOKUP(Tabla1[[#This Row],[PAGO DIA]],DIAS!A:D,4,0)</f>
        <v>46140</v>
      </c>
      <c r="N1569" s="6">
        <v>0</v>
      </c>
      <c r="O1569" s="43">
        <f>VLOOKUP(Tabla1[[#This Row],[PAGO DIA]],DIAS!A:E,5,0)</f>
        <v>46168</v>
      </c>
      <c r="P1569" s="6">
        <v>0</v>
      </c>
      <c r="Q1569" s="43">
        <f>VLOOKUP(Tabla1[[#This Row],[PAGO DIA]],DIAS!A:F,6,0)</f>
        <v>46196</v>
      </c>
      <c r="R1569" s="6">
        <v>0</v>
      </c>
      <c r="S1569" s="43">
        <f>VLOOKUP(Tabla1[[#This Row],[PAGO DIA]],DIAS!A:G,7,0)</f>
        <v>46231</v>
      </c>
      <c r="T1569" s="6">
        <v>0</v>
      </c>
      <c r="U1569" s="43">
        <f>VLOOKUP(Tabla1[[#This Row],[PAGO DIA]],DIAS!A:H,8,0)</f>
        <v>46259</v>
      </c>
      <c r="V1569" s="6">
        <v>0</v>
      </c>
      <c r="W1569" s="43">
        <f>VLOOKUP(Tabla1[[#This Row],[PAGO DIA]],DIAS!A:I,9,0)</f>
        <v>46287</v>
      </c>
      <c r="X1569" s="6">
        <v>0</v>
      </c>
      <c r="Y1569" s="43">
        <f>VLOOKUP(Tabla1[[#This Row],[PAGO DIA]],DIAS!A:J,10,0)</f>
        <v>46322</v>
      </c>
      <c r="Z1569" s="6">
        <v>0</v>
      </c>
      <c r="AA1569" s="43">
        <f>VLOOKUP(Tabla1[[#This Row],[PAGO DIA]],DIAS!A:K,11,0)</f>
        <v>46350</v>
      </c>
      <c r="AB1569" s="6">
        <v>0</v>
      </c>
      <c r="AC1569" s="43">
        <f>VLOOKUP(Tabla1[[#This Row],[PAGO DIA]],DIAS!A:M,12,0)</f>
        <v>46379</v>
      </c>
      <c r="AD15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0" spans="1:30">
      <c r="A1570" s="3">
        <v>12269</v>
      </c>
      <c r="B1570" s="3" t="s">
        <v>510</v>
      </c>
      <c r="C1570" s="3"/>
      <c r="D1570" s="3" t="s">
        <v>2067</v>
      </c>
      <c r="E1570" s="3"/>
      <c r="F1570" s="42" t="s">
        <v>562</v>
      </c>
      <c r="G1570" s="3"/>
      <c r="H1570" s="6">
        <v>0</v>
      </c>
      <c r="I1570" s="41">
        <f>VLOOKUP(Tabla1[[#This Row],[PAGO DIA]],DIAS!A:B,2,0)</f>
        <v>46078</v>
      </c>
      <c r="J1570" s="6">
        <v>0</v>
      </c>
      <c r="K1570" s="43">
        <f>VLOOKUP(Tabla1[[#This Row],[PAGO DIA]],DIAS!A:C,3,0)</f>
        <v>46105</v>
      </c>
      <c r="L1570" s="6">
        <v>0</v>
      </c>
      <c r="M1570" s="41">
        <f>VLOOKUP(Tabla1[[#This Row],[PAGO DIA]],DIAS!A:D,4,0)</f>
        <v>46140</v>
      </c>
      <c r="N1570" s="6">
        <v>0</v>
      </c>
      <c r="O1570" s="43">
        <f>VLOOKUP(Tabla1[[#This Row],[PAGO DIA]],DIAS!A:E,5,0)</f>
        <v>46168</v>
      </c>
      <c r="P1570" s="6">
        <v>0</v>
      </c>
      <c r="Q1570" s="43">
        <f>VLOOKUP(Tabla1[[#This Row],[PAGO DIA]],DIAS!A:F,6,0)</f>
        <v>46196</v>
      </c>
      <c r="R1570" s="6">
        <v>0</v>
      </c>
      <c r="S1570" s="43">
        <f>VLOOKUP(Tabla1[[#This Row],[PAGO DIA]],DIAS!A:G,7,0)</f>
        <v>46231</v>
      </c>
      <c r="T1570" s="6">
        <v>0</v>
      </c>
      <c r="U1570" s="43">
        <f>VLOOKUP(Tabla1[[#This Row],[PAGO DIA]],DIAS!A:H,8,0)</f>
        <v>46259</v>
      </c>
      <c r="V1570" s="6">
        <v>0</v>
      </c>
      <c r="W1570" s="43">
        <f>VLOOKUP(Tabla1[[#This Row],[PAGO DIA]],DIAS!A:I,9,0)</f>
        <v>46287</v>
      </c>
      <c r="X1570" s="6">
        <v>0</v>
      </c>
      <c r="Y1570" s="43">
        <f>VLOOKUP(Tabla1[[#This Row],[PAGO DIA]],DIAS!A:J,10,0)</f>
        <v>46322</v>
      </c>
      <c r="Z1570" s="6">
        <v>0</v>
      </c>
      <c r="AA1570" s="43">
        <f>VLOOKUP(Tabla1[[#This Row],[PAGO DIA]],DIAS!A:K,11,0)</f>
        <v>46350</v>
      </c>
      <c r="AB1570" s="6">
        <v>0</v>
      </c>
      <c r="AC1570" s="43">
        <f>VLOOKUP(Tabla1[[#This Row],[PAGO DIA]],DIAS!A:M,12,0)</f>
        <v>46379</v>
      </c>
      <c r="AD15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1" spans="1:30">
      <c r="A1571" s="3">
        <v>12271</v>
      </c>
      <c r="B1571" s="3" t="s">
        <v>510</v>
      </c>
      <c r="C1571" s="3"/>
      <c r="D1571" s="3" t="s">
        <v>2068</v>
      </c>
      <c r="E1571" s="3"/>
      <c r="F1571" s="42" t="s">
        <v>562</v>
      </c>
      <c r="G1571" s="3"/>
      <c r="H1571" s="6">
        <v>0</v>
      </c>
      <c r="I1571" s="41">
        <f>VLOOKUP(Tabla1[[#This Row],[PAGO DIA]],DIAS!A:B,2,0)</f>
        <v>46078</v>
      </c>
      <c r="J1571" s="6">
        <v>0</v>
      </c>
      <c r="K1571" s="43">
        <f>VLOOKUP(Tabla1[[#This Row],[PAGO DIA]],DIAS!A:C,3,0)</f>
        <v>46105</v>
      </c>
      <c r="L1571" s="6">
        <v>0</v>
      </c>
      <c r="M1571" s="41">
        <f>VLOOKUP(Tabla1[[#This Row],[PAGO DIA]],DIAS!A:D,4,0)</f>
        <v>46140</v>
      </c>
      <c r="N1571" s="6">
        <v>0</v>
      </c>
      <c r="O1571" s="43">
        <f>VLOOKUP(Tabla1[[#This Row],[PAGO DIA]],DIAS!A:E,5,0)</f>
        <v>46168</v>
      </c>
      <c r="P1571" s="6">
        <v>0</v>
      </c>
      <c r="Q1571" s="43">
        <f>VLOOKUP(Tabla1[[#This Row],[PAGO DIA]],DIAS!A:F,6,0)</f>
        <v>46196</v>
      </c>
      <c r="R1571" s="6">
        <v>0</v>
      </c>
      <c r="S1571" s="43">
        <f>VLOOKUP(Tabla1[[#This Row],[PAGO DIA]],DIAS!A:G,7,0)</f>
        <v>46231</v>
      </c>
      <c r="T1571" s="6">
        <v>0</v>
      </c>
      <c r="U1571" s="43">
        <f>VLOOKUP(Tabla1[[#This Row],[PAGO DIA]],DIAS!A:H,8,0)</f>
        <v>46259</v>
      </c>
      <c r="V1571" s="6">
        <v>0</v>
      </c>
      <c r="W1571" s="43">
        <f>VLOOKUP(Tabla1[[#This Row],[PAGO DIA]],DIAS!A:I,9,0)</f>
        <v>46287</v>
      </c>
      <c r="X1571" s="6">
        <v>0</v>
      </c>
      <c r="Y1571" s="43">
        <f>VLOOKUP(Tabla1[[#This Row],[PAGO DIA]],DIAS!A:J,10,0)</f>
        <v>46322</v>
      </c>
      <c r="Z1571" s="6">
        <v>0</v>
      </c>
      <c r="AA1571" s="43">
        <f>VLOOKUP(Tabla1[[#This Row],[PAGO DIA]],DIAS!A:K,11,0)</f>
        <v>46350</v>
      </c>
      <c r="AB1571" s="6">
        <v>0</v>
      </c>
      <c r="AC1571" s="43">
        <f>VLOOKUP(Tabla1[[#This Row],[PAGO DIA]],DIAS!A:M,12,0)</f>
        <v>46379</v>
      </c>
      <c r="AD15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2" spans="1:30">
      <c r="A1572" s="3">
        <v>12272</v>
      </c>
      <c r="B1572" s="3" t="s">
        <v>510</v>
      </c>
      <c r="C1572" s="3"/>
      <c r="D1572" s="3" t="s">
        <v>2069</v>
      </c>
      <c r="E1572" s="3"/>
      <c r="F1572" s="42" t="s">
        <v>562</v>
      </c>
      <c r="G1572" s="3"/>
      <c r="H1572" s="6">
        <v>0</v>
      </c>
      <c r="I1572" s="41">
        <f>VLOOKUP(Tabla1[[#This Row],[PAGO DIA]],DIAS!A:B,2,0)</f>
        <v>46078</v>
      </c>
      <c r="J1572" s="6">
        <v>0</v>
      </c>
      <c r="K1572" s="43">
        <f>VLOOKUP(Tabla1[[#This Row],[PAGO DIA]],DIAS!A:C,3,0)</f>
        <v>46105</v>
      </c>
      <c r="L1572" s="6">
        <v>0</v>
      </c>
      <c r="M1572" s="41">
        <f>VLOOKUP(Tabla1[[#This Row],[PAGO DIA]],DIAS!A:D,4,0)</f>
        <v>46140</v>
      </c>
      <c r="N1572" s="6">
        <v>0</v>
      </c>
      <c r="O1572" s="43">
        <f>VLOOKUP(Tabla1[[#This Row],[PAGO DIA]],DIAS!A:E,5,0)</f>
        <v>46168</v>
      </c>
      <c r="P1572" s="6">
        <v>0</v>
      </c>
      <c r="Q1572" s="43">
        <f>VLOOKUP(Tabla1[[#This Row],[PAGO DIA]],DIAS!A:F,6,0)</f>
        <v>46196</v>
      </c>
      <c r="R1572" s="6">
        <v>0</v>
      </c>
      <c r="S1572" s="43">
        <f>VLOOKUP(Tabla1[[#This Row],[PAGO DIA]],DIAS!A:G,7,0)</f>
        <v>46231</v>
      </c>
      <c r="T1572" s="6">
        <v>0</v>
      </c>
      <c r="U1572" s="43">
        <f>VLOOKUP(Tabla1[[#This Row],[PAGO DIA]],DIAS!A:H,8,0)</f>
        <v>46259</v>
      </c>
      <c r="V1572" s="6">
        <v>0</v>
      </c>
      <c r="W1572" s="43">
        <f>VLOOKUP(Tabla1[[#This Row],[PAGO DIA]],DIAS!A:I,9,0)</f>
        <v>46287</v>
      </c>
      <c r="X1572" s="6">
        <v>0</v>
      </c>
      <c r="Y1572" s="43">
        <f>VLOOKUP(Tabla1[[#This Row],[PAGO DIA]],DIAS!A:J,10,0)</f>
        <v>46322</v>
      </c>
      <c r="Z1572" s="6">
        <v>0</v>
      </c>
      <c r="AA1572" s="43">
        <f>VLOOKUP(Tabla1[[#This Row],[PAGO DIA]],DIAS!A:K,11,0)</f>
        <v>46350</v>
      </c>
      <c r="AB1572" s="6">
        <v>0</v>
      </c>
      <c r="AC1572" s="43">
        <f>VLOOKUP(Tabla1[[#This Row],[PAGO DIA]],DIAS!A:M,12,0)</f>
        <v>46379</v>
      </c>
      <c r="AD15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3" spans="1:30">
      <c r="A1573" s="3">
        <v>12273</v>
      </c>
      <c r="B1573" s="3" t="s">
        <v>510</v>
      </c>
      <c r="C1573" s="3"/>
      <c r="D1573" s="3" t="s">
        <v>1869</v>
      </c>
      <c r="E1573" s="3"/>
      <c r="F1573" s="42" t="s">
        <v>562</v>
      </c>
      <c r="G1573" s="3"/>
      <c r="H1573" s="6">
        <v>0</v>
      </c>
      <c r="I1573" s="41">
        <f>VLOOKUP(Tabla1[[#This Row],[PAGO DIA]],DIAS!A:B,2,0)</f>
        <v>46078</v>
      </c>
      <c r="J1573" s="6">
        <v>0</v>
      </c>
      <c r="K1573" s="43">
        <f>VLOOKUP(Tabla1[[#This Row],[PAGO DIA]],DIAS!A:C,3,0)</f>
        <v>46105</v>
      </c>
      <c r="L1573" s="6">
        <v>0</v>
      </c>
      <c r="M1573" s="41">
        <f>VLOOKUP(Tabla1[[#This Row],[PAGO DIA]],DIAS!A:D,4,0)</f>
        <v>46140</v>
      </c>
      <c r="N1573" s="6">
        <v>0</v>
      </c>
      <c r="O1573" s="43">
        <f>VLOOKUP(Tabla1[[#This Row],[PAGO DIA]],DIAS!A:E,5,0)</f>
        <v>46168</v>
      </c>
      <c r="P1573" s="6">
        <v>0</v>
      </c>
      <c r="Q1573" s="43">
        <f>VLOOKUP(Tabla1[[#This Row],[PAGO DIA]],DIAS!A:F,6,0)</f>
        <v>46196</v>
      </c>
      <c r="R1573" s="6">
        <v>0</v>
      </c>
      <c r="S1573" s="43">
        <f>VLOOKUP(Tabla1[[#This Row],[PAGO DIA]],DIAS!A:G,7,0)</f>
        <v>46231</v>
      </c>
      <c r="T1573" s="6">
        <v>0</v>
      </c>
      <c r="U1573" s="43">
        <f>VLOOKUP(Tabla1[[#This Row],[PAGO DIA]],DIAS!A:H,8,0)</f>
        <v>46259</v>
      </c>
      <c r="V1573" s="6">
        <v>0</v>
      </c>
      <c r="W1573" s="43">
        <f>VLOOKUP(Tabla1[[#This Row],[PAGO DIA]],DIAS!A:I,9,0)</f>
        <v>46287</v>
      </c>
      <c r="X1573" s="6">
        <v>0</v>
      </c>
      <c r="Y1573" s="43">
        <f>VLOOKUP(Tabla1[[#This Row],[PAGO DIA]],DIAS!A:J,10,0)</f>
        <v>46322</v>
      </c>
      <c r="Z1573" s="6">
        <v>0</v>
      </c>
      <c r="AA1573" s="43">
        <f>VLOOKUP(Tabla1[[#This Row],[PAGO DIA]],DIAS!A:K,11,0)</f>
        <v>46350</v>
      </c>
      <c r="AB1573" s="6">
        <v>0</v>
      </c>
      <c r="AC1573" s="43">
        <f>VLOOKUP(Tabla1[[#This Row],[PAGO DIA]],DIAS!A:M,12,0)</f>
        <v>46379</v>
      </c>
      <c r="AD15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4" spans="1:30">
      <c r="A1574" s="3">
        <v>12274</v>
      </c>
      <c r="B1574" s="3" t="s">
        <v>510</v>
      </c>
      <c r="C1574" s="3"/>
      <c r="D1574" s="3" t="s">
        <v>2070</v>
      </c>
      <c r="E1574" s="3"/>
      <c r="F1574" s="42" t="s">
        <v>562</v>
      </c>
      <c r="G1574" s="3"/>
      <c r="H1574" s="6">
        <v>0</v>
      </c>
      <c r="I1574" s="41">
        <f>VLOOKUP(Tabla1[[#This Row],[PAGO DIA]],DIAS!A:B,2,0)</f>
        <v>46078</v>
      </c>
      <c r="J1574" s="6">
        <v>0</v>
      </c>
      <c r="K1574" s="43">
        <f>VLOOKUP(Tabla1[[#This Row],[PAGO DIA]],DIAS!A:C,3,0)</f>
        <v>46105</v>
      </c>
      <c r="L1574" s="6">
        <v>0</v>
      </c>
      <c r="M1574" s="41">
        <f>VLOOKUP(Tabla1[[#This Row],[PAGO DIA]],DIAS!A:D,4,0)</f>
        <v>46140</v>
      </c>
      <c r="N1574" s="6">
        <v>0</v>
      </c>
      <c r="O1574" s="43">
        <f>VLOOKUP(Tabla1[[#This Row],[PAGO DIA]],DIAS!A:E,5,0)</f>
        <v>46168</v>
      </c>
      <c r="P1574" s="6">
        <v>0</v>
      </c>
      <c r="Q1574" s="43">
        <f>VLOOKUP(Tabla1[[#This Row],[PAGO DIA]],DIAS!A:F,6,0)</f>
        <v>46196</v>
      </c>
      <c r="R1574" s="6">
        <v>0</v>
      </c>
      <c r="S1574" s="43">
        <f>VLOOKUP(Tabla1[[#This Row],[PAGO DIA]],DIAS!A:G,7,0)</f>
        <v>46231</v>
      </c>
      <c r="T1574" s="6">
        <v>0</v>
      </c>
      <c r="U1574" s="43">
        <f>VLOOKUP(Tabla1[[#This Row],[PAGO DIA]],DIAS!A:H,8,0)</f>
        <v>46259</v>
      </c>
      <c r="V1574" s="6">
        <v>0</v>
      </c>
      <c r="W1574" s="43">
        <f>VLOOKUP(Tabla1[[#This Row],[PAGO DIA]],DIAS!A:I,9,0)</f>
        <v>46287</v>
      </c>
      <c r="X1574" s="6">
        <v>0</v>
      </c>
      <c r="Y1574" s="43">
        <f>VLOOKUP(Tabla1[[#This Row],[PAGO DIA]],DIAS!A:J,10,0)</f>
        <v>46322</v>
      </c>
      <c r="Z1574" s="6">
        <v>0</v>
      </c>
      <c r="AA1574" s="43">
        <f>VLOOKUP(Tabla1[[#This Row],[PAGO DIA]],DIAS!A:K,11,0)</f>
        <v>46350</v>
      </c>
      <c r="AB1574" s="6">
        <v>0</v>
      </c>
      <c r="AC1574" s="43">
        <f>VLOOKUP(Tabla1[[#This Row],[PAGO DIA]],DIAS!A:M,12,0)</f>
        <v>46379</v>
      </c>
      <c r="AD15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5" spans="1:30">
      <c r="A1575" s="3">
        <v>12275</v>
      </c>
      <c r="B1575" s="3" t="s">
        <v>510</v>
      </c>
      <c r="C1575" s="3"/>
      <c r="D1575" s="3" t="s">
        <v>2071</v>
      </c>
      <c r="E1575" s="3"/>
      <c r="F1575" s="42" t="s">
        <v>562</v>
      </c>
      <c r="G1575" s="3"/>
      <c r="H1575" s="6">
        <v>0</v>
      </c>
      <c r="I1575" s="41">
        <f>VLOOKUP(Tabla1[[#This Row],[PAGO DIA]],DIAS!A:B,2,0)</f>
        <v>46078</v>
      </c>
      <c r="J1575" s="6">
        <v>0</v>
      </c>
      <c r="K1575" s="43">
        <f>VLOOKUP(Tabla1[[#This Row],[PAGO DIA]],DIAS!A:C,3,0)</f>
        <v>46105</v>
      </c>
      <c r="L1575" s="6">
        <v>0</v>
      </c>
      <c r="M1575" s="41">
        <f>VLOOKUP(Tabla1[[#This Row],[PAGO DIA]],DIAS!A:D,4,0)</f>
        <v>46140</v>
      </c>
      <c r="N1575" s="6">
        <v>0</v>
      </c>
      <c r="O1575" s="43">
        <f>VLOOKUP(Tabla1[[#This Row],[PAGO DIA]],DIAS!A:E,5,0)</f>
        <v>46168</v>
      </c>
      <c r="P1575" s="6">
        <v>0</v>
      </c>
      <c r="Q1575" s="43">
        <f>VLOOKUP(Tabla1[[#This Row],[PAGO DIA]],DIAS!A:F,6,0)</f>
        <v>46196</v>
      </c>
      <c r="R1575" s="6">
        <v>0</v>
      </c>
      <c r="S1575" s="43">
        <f>VLOOKUP(Tabla1[[#This Row],[PAGO DIA]],DIAS!A:G,7,0)</f>
        <v>46231</v>
      </c>
      <c r="T1575" s="6">
        <v>0</v>
      </c>
      <c r="U1575" s="43">
        <f>VLOOKUP(Tabla1[[#This Row],[PAGO DIA]],DIAS!A:H,8,0)</f>
        <v>46259</v>
      </c>
      <c r="V1575" s="6">
        <v>0</v>
      </c>
      <c r="W1575" s="43">
        <f>VLOOKUP(Tabla1[[#This Row],[PAGO DIA]],DIAS!A:I,9,0)</f>
        <v>46287</v>
      </c>
      <c r="X1575" s="6">
        <v>0</v>
      </c>
      <c r="Y1575" s="43">
        <f>VLOOKUP(Tabla1[[#This Row],[PAGO DIA]],DIAS!A:J,10,0)</f>
        <v>46322</v>
      </c>
      <c r="Z1575" s="6">
        <v>0</v>
      </c>
      <c r="AA1575" s="43">
        <f>VLOOKUP(Tabla1[[#This Row],[PAGO DIA]],DIAS!A:K,11,0)</f>
        <v>46350</v>
      </c>
      <c r="AB1575" s="6">
        <v>0</v>
      </c>
      <c r="AC1575" s="43">
        <f>VLOOKUP(Tabla1[[#This Row],[PAGO DIA]],DIAS!A:M,12,0)</f>
        <v>46379</v>
      </c>
      <c r="AD15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6" spans="1:30">
      <c r="A1576" s="3">
        <v>12276</v>
      </c>
      <c r="B1576" s="3" t="s">
        <v>510</v>
      </c>
      <c r="C1576" s="3"/>
      <c r="D1576" s="3" t="s">
        <v>2072</v>
      </c>
      <c r="E1576" s="3"/>
      <c r="F1576" s="42" t="s">
        <v>562</v>
      </c>
      <c r="G1576" s="3"/>
      <c r="H1576" s="6">
        <v>0</v>
      </c>
      <c r="I1576" s="41">
        <f>VLOOKUP(Tabla1[[#This Row],[PAGO DIA]],DIAS!A:B,2,0)</f>
        <v>46078</v>
      </c>
      <c r="J1576" s="6">
        <v>0</v>
      </c>
      <c r="K1576" s="43">
        <f>VLOOKUP(Tabla1[[#This Row],[PAGO DIA]],DIAS!A:C,3,0)</f>
        <v>46105</v>
      </c>
      <c r="L1576" s="6">
        <v>0</v>
      </c>
      <c r="M1576" s="41">
        <f>VLOOKUP(Tabla1[[#This Row],[PAGO DIA]],DIAS!A:D,4,0)</f>
        <v>46140</v>
      </c>
      <c r="N1576" s="6">
        <v>0</v>
      </c>
      <c r="O1576" s="43">
        <f>VLOOKUP(Tabla1[[#This Row],[PAGO DIA]],DIAS!A:E,5,0)</f>
        <v>46168</v>
      </c>
      <c r="P1576" s="6">
        <v>0</v>
      </c>
      <c r="Q1576" s="43">
        <f>VLOOKUP(Tabla1[[#This Row],[PAGO DIA]],DIAS!A:F,6,0)</f>
        <v>46196</v>
      </c>
      <c r="R1576" s="6">
        <v>0</v>
      </c>
      <c r="S1576" s="43">
        <f>VLOOKUP(Tabla1[[#This Row],[PAGO DIA]],DIAS!A:G,7,0)</f>
        <v>46231</v>
      </c>
      <c r="T1576" s="6">
        <v>0</v>
      </c>
      <c r="U1576" s="43">
        <f>VLOOKUP(Tabla1[[#This Row],[PAGO DIA]],DIAS!A:H,8,0)</f>
        <v>46259</v>
      </c>
      <c r="V1576" s="6">
        <v>0</v>
      </c>
      <c r="W1576" s="43">
        <f>VLOOKUP(Tabla1[[#This Row],[PAGO DIA]],DIAS!A:I,9,0)</f>
        <v>46287</v>
      </c>
      <c r="X1576" s="6">
        <v>0</v>
      </c>
      <c r="Y1576" s="43">
        <f>VLOOKUP(Tabla1[[#This Row],[PAGO DIA]],DIAS!A:J,10,0)</f>
        <v>46322</v>
      </c>
      <c r="Z1576" s="6">
        <v>0</v>
      </c>
      <c r="AA1576" s="43">
        <f>VLOOKUP(Tabla1[[#This Row],[PAGO DIA]],DIAS!A:K,11,0)</f>
        <v>46350</v>
      </c>
      <c r="AB1576" s="6">
        <v>0</v>
      </c>
      <c r="AC1576" s="43">
        <f>VLOOKUP(Tabla1[[#This Row],[PAGO DIA]],DIAS!A:M,12,0)</f>
        <v>46379</v>
      </c>
      <c r="AD15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7" spans="1:30">
      <c r="A1577" s="3">
        <v>12277</v>
      </c>
      <c r="B1577" s="3" t="s">
        <v>510</v>
      </c>
      <c r="C1577" s="3"/>
      <c r="D1577" s="3" t="s">
        <v>2073</v>
      </c>
      <c r="E1577" s="3"/>
      <c r="F1577" s="42" t="s">
        <v>562</v>
      </c>
      <c r="G1577" s="3"/>
      <c r="H1577" s="6">
        <v>0</v>
      </c>
      <c r="I1577" s="41">
        <f>VLOOKUP(Tabla1[[#This Row],[PAGO DIA]],DIAS!A:B,2,0)</f>
        <v>46078</v>
      </c>
      <c r="J1577" s="6">
        <v>0</v>
      </c>
      <c r="K1577" s="43">
        <f>VLOOKUP(Tabla1[[#This Row],[PAGO DIA]],DIAS!A:C,3,0)</f>
        <v>46105</v>
      </c>
      <c r="L1577" s="6">
        <v>0</v>
      </c>
      <c r="M1577" s="41">
        <f>VLOOKUP(Tabla1[[#This Row],[PAGO DIA]],DIAS!A:D,4,0)</f>
        <v>46140</v>
      </c>
      <c r="N1577" s="6">
        <v>0</v>
      </c>
      <c r="O1577" s="43">
        <f>VLOOKUP(Tabla1[[#This Row],[PAGO DIA]],DIAS!A:E,5,0)</f>
        <v>46168</v>
      </c>
      <c r="P1577" s="6">
        <v>0</v>
      </c>
      <c r="Q1577" s="43">
        <f>VLOOKUP(Tabla1[[#This Row],[PAGO DIA]],DIAS!A:F,6,0)</f>
        <v>46196</v>
      </c>
      <c r="R1577" s="6">
        <v>0</v>
      </c>
      <c r="S1577" s="43">
        <f>VLOOKUP(Tabla1[[#This Row],[PAGO DIA]],DIAS!A:G,7,0)</f>
        <v>46231</v>
      </c>
      <c r="T1577" s="6">
        <v>0</v>
      </c>
      <c r="U1577" s="43">
        <f>VLOOKUP(Tabla1[[#This Row],[PAGO DIA]],DIAS!A:H,8,0)</f>
        <v>46259</v>
      </c>
      <c r="V1577" s="6">
        <v>0</v>
      </c>
      <c r="W1577" s="43">
        <f>VLOOKUP(Tabla1[[#This Row],[PAGO DIA]],DIAS!A:I,9,0)</f>
        <v>46287</v>
      </c>
      <c r="X1577" s="6">
        <v>0</v>
      </c>
      <c r="Y1577" s="43">
        <f>VLOOKUP(Tabla1[[#This Row],[PAGO DIA]],DIAS!A:J,10,0)</f>
        <v>46322</v>
      </c>
      <c r="Z1577" s="6">
        <v>0</v>
      </c>
      <c r="AA1577" s="43">
        <f>VLOOKUP(Tabla1[[#This Row],[PAGO DIA]],DIAS!A:K,11,0)</f>
        <v>46350</v>
      </c>
      <c r="AB1577" s="6">
        <v>0</v>
      </c>
      <c r="AC1577" s="43">
        <f>VLOOKUP(Tabla1[[#This Row],[PAGO DIA]],DIAS!A:M,12,0)</f>
        <v>46379</v>
      </c>
      <c r="AD15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8" spans="1:30">
      <c r="A1578" s="3">
        <v>12278</v>
      </c>
      <c r="B1578" s="3" t="s">
        <v>510</v>
      </c>
      <c r="C1578" s="3"/>
      <c r="D1578" s="3" t="s">
        <v>2074</v>
      </c>
      <c r="E1578" s="3"/>
      <c r="F1578" s="42" t="s">
        <v>562</v>
      </c>
      <c r="G1578" s="3"/>
      <c r="H1578" s="6">
        <v>0</v>
      </c>
      <c r="I1578" s="41">
        <f>VLOOKUP(Tabla1[[#This Row],[PAGO DIA]],DIAS!A:B,2,0)</f>
        <v>46078</v>
      </c>
      <c r="J1578" s="6">
        <v>0</v>
      </c>
      <c r="K1578" s="43">
        <f>VLOOKUP(Tabla1[[#This Row],[PAGO DIA]],DIAS!A:C,3,0)</f>
        <v>46105</v>
      </c>
      <c r="L1578" s="6">
        <v>0</v>
      </c>
      <c r="M1578" s="41">
        <f>VLOOKUP(Tabla1[[#This Row],[PAGO DIA]],DIAS!A:D,4,0)</f>
        <v>46140</v>
      </c>
      <c r="N1578" s="6">
        <v>0</v>
      </c>
      <c r="O1578" s="43">
        <f>VLOOKUP(Tabla1[[#This Row],[PAGO DIA]],DIAS!A:E,5,0)</f>
        <v>46168</v>
      </c>
      <c r="P1578" s="6">
        <v>0</v>
      </c>
      <c r="Q1578" s="43">
        <f>VLOOKUP(Tabla1[[#This Row],[PAGO DIA]],DIAS!A:F,6,0)</f>
        <v>46196</v>
      </c>
      <c r="R1578" s="6">
        <v>0</v>
      </c>
      <c r="S1578" s="43">
        <f>VLOOKUP(Tabla1[[#This Row],[PAGO DIA]],DIAS!A:G,7,0)</f>
        <v>46231</v>
      </c>
      <c r="T1578" s="6">
        <v>0</v>
      </c>
      <c r="U1578" s="43">
        <f>VLOOKUP(Tabla1[[#This Row],[PAGO DIA]],DIAS!A:H,8,0)</f>
        <v>46259</v>
      </c>
      <c r="V1578" s="6">
        <v>0</v>
      </c>
      <c r="W1578" s="43">
        <f>VLOOKUP(Tabla1[[#This Row],[PAGO DIA]],DIAS!A:I,9,0)</f>
        <v>46287</v>
      </c>
      <c r="X1578" s="6">
        <v>0</v>
      </c>
      <c r="Y1578" s="43">
        <f>VLOOKUP(Tabla1[[#This Row],[PAGO DIA]],DIAS!A:J,10,0)</f>
        <v>46322</v>
      </c>
      <c r="Z1578" s="6">
        <v>0</v>
      </c>
      <c r="AA1578" s="43">
        <f>VLOOKUP(Tabla1[[#This Row],[PAGO DIA]],DIAS!A:K,11,0)</f>
        <v>46350</v>
      </c>
      <c r="AB1578" s="6">
        <v>0</v>
      </c>
      <c r="AC1578" s="43">
        <f>VLOOKUP(Tabla1[[#This Row],[PAGO DIA]],DIAS!A:M,12,0)</f>
        <v>46379</v>
      </c>
      <c r="AD15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79" spans="1:30">
      <c r="A1579" s="3">
        <v>12279</v>
      </c>
      <c r="B1579" s="3" t="s">
        <v>510</v>
      </c>
      <c r="C1579" s="3"/>
      <c r="D1579" s="3" t="s">
        <v>2075</v>
      </c>
      <c r="E1579" s="3"/>
      <c r="F1579" s="42" t="s">
        <v>562</v>
      </c>
      <c r="G1579" s="3"/>
      <c r="H1579" s="6">
        <v>0</v>
      </c>
      <c r="I1579" s="41">
        <f>VLOOKUP(Tabla1[[#This Row],[PAGO DIA]],DIAS!A:B,2,0)</f>
        <v>46078</v>
      </c>
      <c r="J1579" s="6">
        <v>0</v>
      </c>
      <c r="K1579" s="43">
        <f>VLOOKUP(Tabla1[[#This Row],[PAGO DIA]],DIAS!A:C,3,0)</f>
        <v>46105</v>
      </c>
      <c r="L1579" s="6">
        <v>0</v>
      </c>
      <c r="M1579" s="41">
        <f>VLOOKUP(Tabla1[[#This Row],[PAGO DIA]],DIAS!A:D,4,0)</f>
        <v>46140</v>
      </c>
      <c r="N1579" s="6">
        <v>0</v>
      </c>
      <c r="O1579" s="43">
        <f>VLOOKUP(Tabla1[[#This Row],[PAGO DIA]],DIAS!A:E,5,0)</f>
        <v>46168</v>
      </c>
      <c r="P1579" s="6">
        <v>0</v>
      </c>
      <c r="Q1579" s="43">
        <f>VLOOKUP(Tabla1[[#This Row],[PAGO DIA]],DIAS!A:F,6,0)</f>
        <v>46196</v>
      </c>
      <c r="R1579" s="6">
        <v>0</v>
      </c>
      <c r="S1579" s="43">
        <f>VLOOKUP(Tabla1[[#This Row],[PAGO DIA]],DIAS!A:G,7,0)</f>
        <v>46231</v>
      </c>
      <c r="T1579" s="6">
        <v>0</v>
      </c>
      <c r="U1579" s="43">
        <f>VLOOKUP(Tabla1[[#This Row],[PAGO DIA]],DIAS!A:H,8,0)</f>
        <v>46259</v>
      </c>
      <c r="V1579" s="6">
        <v>0</v>
      </c>
      <c r="W1579" s="43">
        <f>VLOOKUP(Tabla1[[#This Row],[PAGO DIA]],DIAS!A:I,9,0)</f>
        <v>46287</v>
      </c>
      <c r="X1579" s="6">
        <v>0</v>
      </c>
      <c r="Y1579" s="43">
        <f>VLOOKUP(Tabla1[[#This Row],[PAGO DIA]],DIAS!A:J,10,0)</f>
        <v>46322</v>
      </c>
      <c r="Z1579" s="6">
        <v>0</v>
      </c>
      <c r="AA1579" s="43">
        <f>VLOOKUP(Tabla1[[#This Row],[PAGO DIA]],DIAS!A:K,11,0)</f>
        <v>46350</v>
      </c>
      <c r="AB1579" s="6">
        <v>0</v>
      </c>
      <c r="AC1579" s="43">
        <f>VLOOKUP(Tabla1[[#This Row],[PAGO DIA]],DIAS!A:M,12,0)</f>
        <v>46379</v>
      </c>
      <c r="AD15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0" spans="1:30">
      <c r="A1580" s="3">
        <v>12280</v>
      </c>
      <c r="B1580" s="3" t="s">
        <v>510</v>
      </c>
      <c r="C1580" s="3"/>
      <c r="D1580" s="3" t="s">
        <v>2076</v>
      </c>
      <c r="E1580" s="3"/>
      <c r="F1580" s="42" t="s">
        <v>562</v>
      </c>
      <c r="G1580" s="3"/>
      <c r="H1580" s="6">
        <v>0</v>
      </c>
      <c r="I1580" s="41">
        <f>VLOOKUP(Tabla1[[#This Row],[PAGO DIA]],DIAS!A:B,2,0)</f>
        <v>46078</v>
      </c>
      <c r="J1580" s="6">
        <v>0</v>
      </c>
      <c r="K1580" s="43">
        <f>VLOOKUP(Tabla1[[#This Row],[PAGO DIA]],DIAS!A:C,3,0)</f>
        <v>46105</v>
      </c>
      <c r="L1580" s="6">
        <v>0</v>
      </c>
      <c r="M1580" s="41">
        <f>VLOOKUP(Tabla1[[#This Row],[PAGO DIA]],DIAS!A:D,4,0)</f>
        <v>46140</v>
      </c>
      <c r="N1580" s="6">
        <v>0</v>
      </c>
      <c r="O1580" s="43">
        <f>VLOOKUP(Tabla1[[#This Row],[PAGO DIA]],DIAS!A:E,5,0)</f>
        <v>46168</v>
      </c>
      <c r="P1580" s="6">
        <v>0</v>
      </c>
      <c r="Q1580" s="43">
        <f>VLOOKUP(Tabla1[[#This Row],[PAGO DIA]],DIAS!A:F,6,0)</f>
        <v>46196</v>
      </c>
      <c r="R1580" s="6">
        <v>0</v>
      </c>
      <c r="S1580" s="43">
        <f>VLOOKUP(Tabla1[[#This Row],[PAGO DIA]],DIAS!A:G,7,0)</f>
        <v>46231</v>
      </c>
      <c r="T1580" s="6">
        <v>0</v>
      </c>
      <c r="U1580" s="43">
        <f>VLOOKUP(Tabla1[[#This Row],[PAGO DIA]],DIAS!A:H,8,0)</f>
        <v>46259</v>
      </c>
      <c r="V1580" s="6">
        <v>0</v>
      </c>
      <c r="W1580" s="43">
        <f>VLOOKUP(Tabla1[[#This Row],[PAGO DIA]],DIAS!A:I,9,0)</f>
        <v>46287</v>
      </c>
      <c r="X1580" s="6">
        <v>0</v>
      </c>
      <c r="Y1580" s="43">
        <f>VLOOKUP(Tabla1[[#This Row],[PAGO DIA]],DIAS!A:J,10,0)</f>
        <v>46322</v>
      </c>
      <c r="Z1580" s="6">
        <v>0</v>
      </c>
      <c r="AA1580" s="43">
        <f>VLOOKUP(Tabla1[[#This Row],[PAGO DIA]],DIAS!A:K,11,0)</f>
        <v>46350</v>
      </c>
      <c r="AB1580" s="6">
        <v>0</v>
      </c>
      <c r="AC1580" s="43">
        <f>VLOOKUP(Tabla1[[#This Row],[PAGO DIA]],DIAS!A:M,12,0)</f>
        <v>46379</v>
      </c>
      <c r="AD15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1" spans="1:30">
      <c r="A1581" s="3">
        <v>12281</v>
      </c>
      <c r="B1581" s="3" t="s">
        <v>510</v>
      </c>
      <c r="C1581" s="3"/>
      <c r="D1581" s="3" t="s">
        <v>2077</v>
      </c>
      <c r="E1581" s="3"/>
      <c r="F1581" s="42" t="s">
        <v>562</v>
      </c>
      <c r="G1581" s="3"/>
      <c r="H1581" s="6">
        <v>0</v>
      </c>
      <c r="I1581" s="41">
        <f>VLOOKUP(Tabla1[[#This Row],[PAGO DIA]],DIAS!A:B,2,0)</f>
        <v>46078</v>
      </c>
      <c r="J1581" s="6">
        <v>0</v>
      </c>
      <c r="K1581" s="43">
        <f>VLOOKUP(Tabla1[[#This Row],[PAGO DIA]],DIAS!A:C,3,0)</f>
        <v>46105</v>
      </c>
      <c r="L1581" s="6">
        <v>0</v>
      </c>
      <c r="M1581" s="41">
        <f>VLOOKUP(Tabla1[[#This Row],[PAGO DIA]],DIAS!A:D,4,0)</f>
        <v>46140</v>
      </c>
      <c r="N1581" s="6">
        <v>0</v>
      </c>
      <c r="O1581" s="43">
        <f>VLOOKUP(Tabla1[[#This Row],[PAGO DIA]],DIAS!A:E,5,0)</f>
        <v>46168</v>
      </c>
      <c r="P1581" s="6">
        <v>0</v>
      </c>
      <c r="Q1581" s="43">
        <f>VLOOKUP(Tabla1[[#This Row],[PAGO DIA]],DIAS!A:F,6,0)</f>
        <v>46196</v>
      </c>
      <c r="R1581" s="6">
        <v>0</v>
      </c>
      <c r="S1581" s="43">
        <f>VLOOKUP(Tabla1[[#This Row],[PAGO DIA]],DIAS!A:G,7,0)</f>
        <v>46231</v>
      </c>
      <c r="T1581" s="6">
        <v>0</v>
      </c>
      <c r="U1581" s="43">
        <f>VLOOKUP(Tabla1[[#This Row],[PAGO DIA]],DIAS!A:H,8,0)</f>
        <v>46259</v>
      </c>
      <c r="V1581" s="6">
        <v>0</v>
      </c>
      <c r="W1581" s="43">
        <f>VLOOKUP(Tabla1[[#This Row],[PAGO DIA]],DIAS!A:I,9,0)</f>
        <v>46287</v>
      </c>
      <c r="X1581" s="6">
        <v>0</v>
      </c>
      <c r="Y1581" s="43">
        <f>VLOOKUP(Tabla1[[#This Row],[PAGO DIA]],DIAS!A:J,10,0)</f>
        <v>46322</v>
      </c>
      <c r="Z1581" s="6">
        <v>0</v>
      </c>
      <c r="AA1581" s="43">
        <f>VLOOKUP(Tabla1[[#This Row],[PAGO DIA]],DIAS!A:K,11,0)</f>
        <v>46350</v>
      </c>
      <c r="AB1581" s="6">
        <v>0</v>
      </c>
      <c r="AC1581" s="43">
        <f>VLOOKUP(Tabla1[[#This Row],[PAGO DIA]],DIAS!A:M,12,0)</f>
        <v>46379</v>
      </c>
      <c r="AD15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2" spans="1:30">
      <c r="A1582" s="3">
        <v>12282</v>
      </c>
      <c r="B1582" s="3" t="s">
        <v>510</v>
      </c>
      <c r="C1582" s="3"/>
      <c r="D1582" s="3" t="s">
        <v>2078</v>
      </c>
      <c r="E1582" s="3"/>
      <c r="F1582" s="42" t="s">
        <v>562</v>
      </c>
      <c r="G1582" s="3"/>
      <c r="H1582" s="6">
        <v>0</v>
      </c>
      <c r="I1582" s="41">
        <f>VLOOKUP(Tabla1[[#This Row],[PAGO DIA]],DIAS!A:B,2,0)</f>
        <v>46078</v>
      </c>
      <c r="J1582" s="6">
        <v>0</v>
      </c>
      <c r="K1582" s="43">
        <f>VLOOKUP(Tabla1[[#This Row],[PAGO DIA]],DIAS!A:C,3,0)</f>
        <v>46105</v>
      </c>
      <c r="L1582" s="6">
        <v>0</v>
      </c>
      <c r="M1582" s="41">
        <f>VLOOKUP(Tabla1[[#This Row],[PAGO DIA]],DIAS!A:D,4,0)</f>
        <v>46140</v>
      </c>
      <c r="N1582" s="6">
        <v>0</v>
      </c>
      <c r="O1582" s="43">
        <f>VLOOKUP(Tabla1[[#This Row],[PAGO DIA]],DIAS!A:E,5,0)</f>
        <v>46168</v>
      </c>
      <c r="P1582" s="6">
        <v>0</v>
      </c>
      <c r="Q1582" s="43">
        <f>VLOOKUP(Tabla1[[#This Row],[PAGO DIA]],DIAS!A:F,6,0)</f>
        <v>46196</v>
      </c>
      <c r="R1582" s="6">
        <v>0</v>
      </c>
      <c r="S1582" s="43">
        <f>VLOOKUP(Tabla1[[#This Row],[PAGO DIA]],DIAS!A:G,7,0)</f>
        <v>46231</v>
      </c>
      <c r="T1582" s="6">
        <v>0</v>
      </c>
      <c r="U1582" s="43">
        <f>VLOOKUP(Tabla1[[#This Row],[PAGO DIA]],DIAS!A:H,8,0)</f>
        <v>46259</v>
      </c>
      <c r="V1582" s="6">
        <v>0</v>
      </c>
      <c r="W1582" s="43">
        <f>VLOOKUP(Tabla1[[#This Row],[PAGO DIA]],DIAS!A:I,9,0)</f>
        <v>46287</v>
      </c>
      <c r="X1582" s="6">
        <v>0</v>
      </c>
      <c r="Y1582" s="43">
        <f>VLOOKUP(Tabla1[[#This Row],[PAGO DIA]],DIAS!A:J,10,0)</f>
        <v>46322</v>
      </c>
      <c r="Z1582" s="6">
        <v>0</v>
      </c>
      <c r="AA1582" s="43">
        <f>VLOOKUP(Tabla1[[#This Row],[PAGO DIA]],DIAS!A:K,11,0)</f>
        <v>46350</v>
      </c>
      <c r="AB1582" s="6">
        <v>0</v>
      </c>
      <c r="AC1582" s="43">
        <f>VLOOKUP(Tabla1[[#This Row],[PAGO DIA]],DIAS!A:M,12,0)</f>
        <v>46379</v>
      </c>
      <c r="AD15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3" spans="1:30">
      <c r="A1583" s="3">
        <v>12283</v>
      </c>
      <c r="B1583" s="3" t="s">
        <v>510</v>
      </c>
      <c r="C1583" s="3"/>
      <c r="D1583" s="3" t="s">
        <v>2079</v>
      </c>
      <c r="E1583" s="3"/>
      <c r="F1583" s="42" t="s">
        <v>562</v>
      </c>
      <c r="G1583" s="3"/>
      <c r="H1583" s="6">
        <v>0</v>
      </c>
      <c r="I1583" s="41">
        <f>VLOOKUP(Tabla1[[#This Row],[PAGO DIA]],DIAS!A:B,2,0)</f>
        <v>46078</v>
      </c>
      <c r="J1583" s="6">
        <v>0</v>
      </c>
      <c r="K1583" s="43">
        <f>VLOOKUP(Tabla1[[#This Row],[PAGO DIA]],DIAS!A:C,3,0)</f>
        <v>46105</v>
      </c>
      <c r="L1583" s="6">
        <v>0</v>
      </c>
      <c r="M1583" s="41">
        <f>VLOOKUP(Tabla1[[#This Row],[PAGO DIA]],DIAS!A:D,4,0)</f>
        <v>46140</v>
      </c>
      <c r="N1583" s="6">
        <v>0</v>
      </c>
      <c r="O1583" s="43">
        <f>VLOOKUP(Tabla1[[#This Row],[PAGO DIA]],DIAS!A:E,5,0)</f>
        <v>46168</v>
      </c>
      <c r="P1583" s="6">
        <v>0</v>
      </c>
      <c r="Q1583" s="43">
        <f>VLOOKUP(Tabla1[[#This Row],[PAGO DIA]],DIAS!A:F,6,0)</f>
        <v>46196</v>
      </c>
      <c r="R1583" s="6">
        <v>0</v>
      </c>
      <c r="S1583" s="43">
        <f>VLOOKUP(Tabla1[[#This Row],[PAGO DIA]],DIAS!A:G,7,0)</f>
        <v>46231</v>
      </c>
      <c r="T1583" s="6">
        <v>0</v>
      </c>
      <c r="U1583" s="43">
        <f>VLOOKUP(Tabla1[[#This Row],[PAGO DIA]],DIAS!A:H,8,0)</f>
        <v>46259</v>
      </c>
      <c r="V1583" s="6">
        <v>0</v>
      </c>
      <c r="W1583" s="43">
        <f>VLOOKUP(Tabla1[[#This Row],[PAGO DIA]],DIAS!A:I,9,0)</f>
        <v>46287</v>
      </c>
      <c r="X1583" s="6">
        <v>0</v>
      </c>
      <c r="Y1583" s="43">
        <f>VLOOKUP(Tabla1[[#This Row],[PAGO DIA]],DIAS!A:J,10,0)</f>
        <v>46322</v>
      </c>
      <c r="Z1583" s="6">
        <v>0</v>
      </c>
      <c r="AA1583" s="43">
        <f>VLOOKUP(Tabla1[[#This Row],[PAGO DIA]],DIAS!A:K,11,0)</f>
        <v>46350</v>
      </c>
      <c r="AB1583" s="6">
        <v>0</v>
      </c>
      <c r="AC1583" s="43">
        <f>VLOOKUP(Tabla1[[#This Row],[PAGO DIA]],DIAS!A:M,12,0)</f>
        <v>46379</v>
      </c>
      <c r="AD15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4" spans="1:30">
      <c r="A1584" s="3">
        <v>12284</v>
      </c>
      <c r="B1584" s="3" t="s">
        <v>510</v>
      </c>
      <c r="C1584" s="3"/>
      <c r="D1584" s="3" t="s">
        <v>2080</v>
      </c>
      <c r="E1584" s="3"/>
      <c r="F1584" s="42" t="s">
        <v>562</v>
      </c>
      <c r="G1584" s="3"/>
      <c r="H1584" s="6">
        <v>0</v>
      </c>
      <c r="I1584" s="41">
        <f>VLOOKUP(Tabla1[[#This Row],[PAGO DIA]],DIAS!A:B,2,0)</f>
        <v>46078</v>
      </c>
      <c r="J1584" s="6">
        <v>0</v>
      </c>
      <c r="K1584" s="43">
        <f>VLOOKUP(Tabla1[[#This Row],[PAGO DIA]],DIAS!A:C,3,0)</f>
        <v>46105</v>
      </c>
      <c r="L1584" s="6">
        <v>0</v>
      </c>
      <c r="M1584" s="41">
        <f>VLOOKUP(Tabla1[[#This Row],[PAGO DIA]],DIAS!A:D,4,0)</f>
        <v>46140</v>
      </c>
      <c r="N1584" s="6">
        <v>0</v>
      </c>
      <c r="O1584" s="43">
        <f>VLOOKUP(Tabla1[[#This Row],[PAGO DIA]],DIAS!A:E,5,0)</f>
        <v>46168</v>
      </c>
      <c r="P1584" s="6">
        <v>0</v>
      </c>
      <c r="Q1584" s="43">
        <f>VLOOKUP(Tabla1[[#This Row],[PAGO DIA]],DIAS!A:F,6,0)</f>
        <v>46196</v>
      </c>
      <c r="R1584" s="6">
        <v>0</v>
      </c>
      <c r="S1584" s="43">
        <f>VLOOKUP(Tabla1[[#This Row],[PAGO DIA]],DIAS!A:G,7,0)</f>
        <v>46231</v>
      </c>
      <c r="T1584" s="6">
        <v>0</v>
      </c>
      <c r="U1584" s="43">
        <f>VLOOKUP(Tabla1[[#This Row],[PAGO DIA]],DIAS!A:H,8,0)</f>
        <v>46259</v>
      </c>
      <c r="V1584" s="6">
        <v>0</v>
      </c>
      <c r="W1584" s="43">
        <f>VLOOKUP(Tabla1[[#This Row],[PAGO DIA]],DIAS!A:I,9,0)</f>
        <v>46287</v>
      </c>
      <c r="X1584" s="6">
        <v>0</v>
      </c>
      <c r="Y1584" s="43">
        <f>VLOOKUP(Tabla1[[#This Row],[PAGO DIA]],DIAS!A:J,10,0)</f>
        <v>46322</v>
      </c>
      <c r="Z1584" s="6">
        <v>0</v>
      </c>
      <c r="AA1584" s="43">
        <f>VLOOKUP(Tabla1[[#This Row],[PAGO DIA]],DIAS!A:K,11,0)</f>
        <v>46350</v>
      </c>
      <c r="AB1584" s="6">
        <v>0</v>
      </c>
      <c r="AC1584" s="43">
        <f>VLOOKUP(Tabla1[[#This Row],[PAGO DIA]],DIAS!A:M,12,0)</f>
        <v>46379</v>
      </c>
      <c r="AD15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5" spans="1:30">
      <c r="A1585" s="3">
        <v>12285</v>
      </c>
      <c r="B1585" s="3" t="s">
        <v>510</v>
      </c>
      <c r="C1585" s="3"/>
      <c r="D1585" s="3" t="s">
        <v>2081</v>
      </c>
      <c r="E1585" s="3"/>
      <c r="F1585" s="42" t="s">
        <v>562</v>
      </c>
      <c r="G1585" s="3"/>
      <c r="H1585" s="6">
        <v>0</v>
      </c>
      <c r="I1585" s="41">
        <f>VLOOKUP(Tabla1[[#This Row],[PAGO DIA]],DIAS!A:B,2,0)</f>
        <v>46078</v>
      </c>
      <c r="J1585" s="6">
        <v>0</v>
      </c>
      <c r="K1585" s="43">
        <f>VLOOKUP(Tabla1[[#This Row],[PAGO DIA]],DIAS!A:C,3,0)</f>
        <v>46105</v>
      </c>
      <c r="L1585" s="6">
        <v>0</v>
      </c>
      <c r="M1585" s="41">
        <f>VLOOKUP(Tabla1[[#This Row],[PAGO DIA]],DIAS!A:D,4,0)</f>
        <v>46140</v>
      </c>
      <c r="N1585" s="6">
        <v>0</v>
      </c>
      <c r="O1585" s="43">
        <f>VLOOKUP(Tabla1[[#This Row],[PAGO DIA]],DIAS!A:E,5,0)</f>
        <v>46168</v>
      </c>
      <c r="P1585" s="6">
        <v>0</v>
      </c>
      <c r="Q1585" s="43">
        <f>VLOOKUP(Tabla1[[#This Row],[PAGO DIA]],DIAS!A:F,6,0)</f>
        <v>46196</v>
      </c>
      <c r="R1585" s="6">
        <v>0</v>
      </c>
      <c r="S1585" s="43">
        <f>VLOOKUP(Tabla1[[#This Row],[PAGO DIA]],DIAS!A:G,7,0)</f>
        <v>46231</v>
      </c>
      <c r="T1585" s="6">
        <v>0</v>
      </c>
      <c r="U1585" s="43">
        <f>VLOOKUP(Tabla1[[#This Row],[PAGO DIA]],DIAS!A:H,8,0)</f>
        <v>46259</v>
      </c>
      <c r="V1585" s="6">
        <v>0</v>
      </c>
      <c r="W1585" s="43">
        <f>VLOOKUP(Tabla1[[#This Row],[PAGO DIA]],DIAS!A:I,9,0)</f>
        <v>46287</v>
      </c>
      <c r="X1585" s="6">
        <v>0</v>
      </c>
      <c r="Y1585" s="43">
        <f>VLOOKUP(Tabla1[[#This Row],[PAGO DIA]],DIAS!A:J,10,0)</f>
        <v>46322</v>
      </c>
      <c r="Z1585" s="6">
        <v>0</v>
      </c>
      <c r="AA1585" s="43">
        <f>VLOOKUP(Tabla1[[#This Row],[PAGO DIA]],DIAS!A:K,11,0)</f>
        <v>46350</v>
      </c>
      <c r="AB1585" s="6">
        <v>0</v>
      </c>
      <c r="AC1585" s="43">
        <f>VLOOKUP(Tabla1[[#This Row],[PAGO DIA]],DIAS!A:M,12,0)</f>
        <v>46379</v>
      </c>
      <c r="AD15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6" spans="1:30">
      <c r="A1586" s="3">
        <v>12286</v>
      </c>
      <c r="B1586" s="3" t="s">
        <v>510</v>
      </c>
      <c r="C1586" s="3"/>
      <c r="D1586" s="3" t="s">
        <v>2082</v>
      </c>
      <c r="E1586" s="3"/>
      <c r="F1586" s="42" t="s">
        <v>562</v>
      </c>
      <c r="G1586" s="3"/>
      <c r="H1586" s="6">
        <v>0</v>
      </c>
      <c r="I1586" s="41">
        <f>VLOOKUP(Tabla1[[#This Row],[PAGO DIA]],DIAS!A:B,2,0)</f>
        <v>46078</v>
      </c>
      <c r="J1586" s="6">
        <v>0</v>
      </c>
      <c r="K1586" s="43">
        <f>VLOOKUP(Tabla1[[#This Row],[PAGO DIA]],DIAS!A:C,3,0)</f>
        <v>46105</v>
      </c>
      <c r="L1586" s="6">
        <v>0</v>
      </c>
      <c r="M1586" s="41">
        <f>VLOOKUP(Tabla1[[#This Row],[PAGO DIA]],DIAS!A:D,4,0)</f>
        <v>46140</v>
      </c>
      <c r="N1586" s="6">
        <v>0</v>
      </c>
      <c r="O1586" s="43">
        <f>VLOOKUP(Tabla1[[#This Row],[PAGO DIA]],DIAS!A:E,5,0)</f>
        <v>46168</v>
      </c>
      <c r="P1586" s="6">
        <v>0</v>
      </c>
      <c r="Q1586" s="43">
        <f>VLOOKUP(Tabla1[[#This Row],[PAGO DIA]],DIAS!A:F,6,0)</f>
        <v>46196</v>
      </c>
      <c r="R1586" s="6">
        <v>0</v>
      </c>
      <c r="S1586" s="43">
        <f>VLOOKUP(Tabla1[[#This Row],[PAGO DIA]],DIAS!A:G,7,0)</f>
        <v>46231</v>
      </c>
      <c r="T1586" s="6">
        <v>0</v>
      </c>
      <c r="U1586" s="43">
        <f>VLOOKUP(Tabla1[[#This Row],[PAGO DIA]],DIAS!A:H,8,0)</f>
        <v>46259</v>
      </c>
      <c r="V1586" s="6">
        <v>0</v>
      </c>
      <c r="W1586" s="43">
        <f>VLOOKUP(Tabla1[[#This Row],[PAGO DIA]],DIAS!A:I,9,0)</f>
        <v>46287</v>
      </c>
      <c r="X1586" s="6">
        <v>0</v>
      </c>
      <c r="Y1586" s="43">
        <f>VLOOKUP(Tabla1[[#This Row],[PAGO DIA]],DIAS!A:J,10,0)</f>
        <v>46322</v>
      </c>
      <c r="Z1586" s="6">
        <v>0</v>
      </c>
      <c r="AA1586" s="43">
        <f>VLOOKUP(Tabla1[[#This Row],[PAGO DIA]],DIAS!A:K,11,0)</f>
        <v>46350</v>
      </c>
      <c r="AB1586" s="6">
        <v>0</v>
      </c>
      <c r="AC1586" s="43">
        <f>VLOOKUP(Tabla1[[#This Row],[PAGO DIA]],DIAS!A:M,12,0)</f>
        <v>46379</v>
      </c>
      <c r="AD15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7" spans="1:30">
      <c r="A1587" s="3">
        <v>12287</v>
      </c>
      <c r="B1587" s="3" t="s">
        <v>510</v>
      </c>
      <c r="C1587" s="3"/>
      <c r="D1587" s="3" t="s">
        <v>2083</v>
      </c>
      <c r="E1587" s="3"/>
      <c r="F1587" s="42" t="s">
        <v>562</v>
      </c>
      <c r="G1587" s="3"/>
      <c r="H1587" s="6">
        <v>0</v>
      </c>
      <c r="I1587" s="41">
        <f>VLOOKUP(Tabla1[[#This Row],[PAGO DIA]],DIAS!A:B,2,0)</f>
        <v>46078</v>
      </c>
      <c r="J1587" s="6">
        <v>0</v>
      </c>
      <c r="K1587" s="43">
        <f>VLOOKUP(Tabla1[[#This Row],[PAGO DIA]],DIAS!A:C,3,0)</f>
        <v>46105</v>
      </c>
      <c r="L1587" s="6">
        <v>0</v>
      </c>
      <c r="M1587" s="41">
        <f>VLOOKUP(Tabla1[[#This Row],[PAGO DIA]],DIAS!A:D,4,0)</f>
        <v>46140</v>
      </c>
      <c r="N1587" s="6">
        <v>0</v>
      </c>
      <c r="O1587" s="43">
        <f>VLOOKUP(Tabla1[[#This Row],[PAGO DIA]],DIAS!A:E,5,0)</f>
        <v>46168</v>
      </c>
      <c r="P1587" s="6">
        <v>0</v>
      </c>
      <c r="Q1587" s="43">
        <f>VLOOKUP(Tabla1[[#This Row],[PAGO DIA]],DIAS!A:F,6,0)</f>
        <v>46196</v>
      </c>
      <c r="R1587" s="6">
        <v>0</v>
      </c>
      <c r="S1587" s="43">
        <f>VLOOKUP(Tabla1[[#This Row],[PAGO DIA]],DIAS!A:G,7,0)</f>
        <v>46231</v>
      </c>
      <c r="T1587" s="6">
        <v>0</v>
      </c>
      <c r="U1587" s="43">
        <f>VLOOKUP(Tabla1[[#This Row],[PAGO DIA]],DIAS!A:H,8,0)</f>
        <v>46259</v>
      </c>
      <c r="V1587" s="6">
        <v>0</v>
      </c>
      <c r="W1587" s="43">
        <f>VLOOKUP(Tabla1[[#This Row],[PAGO DIA]],DIAS!A:I,9,0)</f>
        <v>46287</v>
      </c>
      <c r="X1587" s="6">
        <v>0</v>
      </c>
      <c r="Y1587" s="43">
        <f>VLOOKUP(Tabla1[[#This Row],[PAGO DIA]],DIAS!A:J,10,0)</f>
        <v>46322</v>
      </c>
      <c r="Z1587" s="6">
        <v>0</v>
      </c>
      <c r="AA1587" s="43">
        <f>VLOOKUP(Tabla1[[#This Row],[PAGO DIA]],DIAS!A:K,11,0)</f>
        <v>46350</v>
      </c>
      <c r="AB1587" s="6">
        <v>0</v>
      </c>
      <c r="AC1587" s="43">
        <f>VLOOKUP(Tabla1[[#This Row],[PAGO DIA]],DIAS!A:M,12,0)</f>
        <v>46379</v>
      </c>
      <c r="AD15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8" spans="1:30">
      <c r="A1588" s="3">
        <v>12288</v>
      </c>
      <c r="B1588" s="3" t="s">
        <v>510</v>
      </c>
      <c r="C1588" s="3"/>
      <c r="D1588" s="3" t="s">
        <v>2084</v>
      </c>
      <c r="E1588" s="3"/>
      <c r="F1588" s="42" t="s">
        <v>562</v>
      </c>
      <c r="G1588" s="3"/>
      <c r="H1588" s="6">
        <v>0</v>
      </c>
      <c r="I1588" s="41">
        <f>VLOOKUP(Tabla1[[#This Row],[PAGO DIA]],DIAS!A:B,2,0)</f>
        <v>46078</v>
      </c>
      <c r="J1588" s="6">
        <v>0</v>
      </c>
      <c r="K1588" s="43">
        <f>VLOOKUP(Tabla1[[#This Row],[PAGO DIA]],DIAS!A:C,3,0)</f>
        <v>46105</v>
      </c>
      <c r="L1588" s="6">
        <v>0</v>
      </c>
      <c r="M1588" s="41">
        <f>VLOOKUP(Tabla1[[#This Row],[PAGO DIA]],DIAS!A:D,4,0)</f>
        <v>46140</v>
      </c>
      <c r="N1588" s="6">
        <v>0</v>
      </c>
      <c r="O1588" s="43">
        <f>VLOOKUP(Tabla1[[#This Row],[PAGO DIA]],DIAS!A:E,5,0)</f>
        <v>46168</v>
      </c>
      <c r="P1588" s="6">
        <v>0</v>
      </c>
      <c r="Q1588" s="43">
        <f>VLOOKUP(Tabla1[[#This Row],[PAGO DIA]],DIAS!A:F,6,0)</f>
        <v>46196</v>
      </c>
      <c r="R1588" s="6">
        <v>0</v>
      </c>
      <c r="S1588" s="43">
        <f>VLOOKUP(Tabla1[[#This Row],[PAGO DIA]],DIAS!A:G,7,0)</f>
        <v>46231</v>
      </c>
      <c r="T1588" s="6">
        <v>0</v>
      </c>
      <c r="U1588" s="43">
        <f>VLOOKUP(Tabla1[[#This Row],[PAGO DIA]],DIAS!A:H,8,0)</f>
        <v>46259</v>
      </c>
      <c r="V1588" s="6">
        <v>0</v>
      </c>
      <c r="W1588" s="43">
        <f>VLOOKUP(Tabla1[[#This Row],[PAGO DIA]],DIAS!A:I,9,0)</f>
        <v>46287</v>
      </c>
      <c r="X1588" s="6">
        <v>0</v>
      </c>
      <c r="Y1588" s="43">
        <f>VLOOKUP(Tabla1[[#This Row],[PAGO DIA]],DIAS!A:J,10,0)</f>
        <v>46322</v>
      </c>
      <c r="Z1588" s="6">
        <v>0</v>
      </c>
      <c r="AA1588" s="43">
        <f>VLOOKUP(Tabla1[[#This Row],[PAGO DIA]],DIAS!A:K,11,0)</f>
        <v>46350</v>
      </c>
      <c r="AB1588" s="6">
        <v>0</v>
      </c>
      <c r="AC1588" s="43">
        <f>VLOOKUP(Tabla1[[#This Row],[PAGO DIA]],DIAS!A:M,12,0)</f>
        <v>46379</v>
      </c>
      <c r="AD15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89" spans="1:30">
      <c r="A1589" s="3">
        <v>12289</v>
      </c>
      <c r="B1589" s="3" t="s">
        <v>510</v>
      </c>
      <c r="C1589" s="3"/>
      <c r="D1589" s="3" t="s">
        <v>2085</v>
      </c>
      <c r="E1589" s="3"/>
      <c r="F1589" s="42" t="s">
        <v>562</v>
      </c>
      <c r="G1589" s="3"/>
      <c r="H1589" s="6">
        <v>0</v>
      </c>
      <c r="I1589" s="41">
        <f>VLOOKUP(Tabla1[[#This Row],[PAGO DIA]],DIAS!A:B,2,0)</f>
        <v>46078</v>
      </c>
      <c r="J1589" s="6">
        <v>0</v>
      </c>
      <c r="K1589" s="43">
        <f>VLOOKUP(Tabla1[[#This Row],[PAGO DIA]],DIAS!A:C,3,0)</f>
        <v>46105</v>
      </c>
      <c r="L1589" s="6">
        <v>0</v>
      </c>
      <c r="M1589" s="41">
        <f>VLOOKUP(Tabla1[[#This Row],[PAGO DIA]],DIAS!A:D,4,0)</f>
        <v>46140</v>
      </c>
      <c r="N1589" s="6">
        <v>0</v>
      </c>
      <c r="O1589" s="43">
        <f>VLOOKUP(Tabla1[[#This Row],[PAGO DIA]],DIAS!A:E,5,0)</f>
        <v>46168</v>
      </c>
      <c r="P1589" s="6">
        <v>0</v>
      </c>
      <c r="Q1589" s="43">
        <f>VLOOKUP(Tabla1[[#This Row],[PAGO DIA]],DIAS!A:F,6,0)</f>
        <v>46196</v>
      </c>
      <c r="R1589" s="6">
        <v>0</v>
      </c>
      <c r="S1589" s="43">
        <f>VLOOKUP(Tabla1[[#This Row],[PAGO DIA]],DIAS!A:G,7,0)</f>
        <v>46231</v>
      </c>
      <c r="T1589" s="6">
        <v>0</v>
      </c>
      <c r="U1589" s="43">
        <f>VLOOKUP(Tabla1[[#This Row],[PAGO DIA]],DIAS!A:H,8,0)</f>
        <v>46259</v>
      </c>
      <c r="V1589" s="6">
        <v>0</v>
      </c>
      <c r="W1589" s="43">
        <f>VLOOKUP(Tabla1[[#This Row],[PAGO DIA]],DIAS!A:I,9,0)</f>
        <v>46287</v>
      </c>
      <c r="X1589" s="6">
        <v>0</v>
      </c>
      <c r="Y1589" s="43">
        <f>VLOOKUP(Tabla1[[#This Row],[PAGO DIA]],DIAS!A:J,10,0)</f>
        <v>46322</v>
      </c>
      <c r="Z1589" s="6">
        <v>0</v>
      </c>
      <c r="AA1589" s="43">
        <f>VLOOKUP(Tabla1[[#This Row],[PAGO DIA]],DIAS!A:K,11,0)</f>
        <v>46350</v>
      </c>
      <c r="AB1589" s="6">
        <v>0</v>
      </c>
      <c r="AC1589" s="43">
        <f>VLOOKUP(Tabla1[[#This Row],[PAGO DIA]],DIAS!A:M,12,0)</f>
        <v>46379</v>
      </c>
      <c r="AD15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0" spans="1:30">
      <c r="A1590" s="3">
        <v>12290</v>
      </c>
      <c r="B1590" s="3" t="s">
        <v>510</v>
      </c>
      <c r="C1590" s="3"/>
      <c r="D1590" s="3" t="s">
        <v>2086</v>
      </c>
      <c r="E1590" s="3"/>
      <c r="F1590" s="42" t="s">
        <v>562</v>
      </c>
      <c r="G1590" s="3"/>
      <c r="H1590" s="6">
        <v>0</v>
      </c>
      <c r="I1590" s="41">
        <f>VLOOKUP(Tabla1[[#This Row],[PAGO DIA]],DIAS!A:B,2,0)</f>
        <v>46078</v>
      </c>
      <c r="J1590" s="6">
        <v>0</v>
      </c>
      <c r="K1590" s="43">
        <f>VLOOKUP(Tabla1[[#This Row],[PAGO DIA]],DIAS!A:C,3,0)</f>
        <v>46105</v>
      </c>
      <c r="L1590" s="6">
        <v>0</v>
      </c>
      <c r="M1590" s="41">
        <f>VLOOKUP(Tabla1[[#This Row],[PAGO DIA]],DIAS!A:D,4,0)</f>
        <v>46140</v>
      </c>
      <c r="N1590" s="6">
        <v>0</v>
      </c>
      <c r="O1590" s="43">
        <f>VLOOKUP(Tabla1[[#This Row],[PAGO DIA]],DIAS!A:E,5,0)</f>
        <v>46168</v>
      </c>
      <c r="P1590" s="6">
        <v>0</v>
      </c>
      <c r="Q1590" s="43">
        <f>VLOOKUP(Tabla1[[#This Row],[PAGO DIA]],DIAS!A:F,6,0)</f>
        <v>46196</v>
      </c>
      <c r="R1590" s="6">
        <v>0</v>
      </c>
      <c r="S1590" s="43">
        <f>VLOOKUP(Tabla1[[#This Row],[PAGO DIA]],DIAS!A:G,7,0)</f>
        <v>46231</v>
      </c>
      <c r="T1590" s="6">
        <v>0</v>
      </c>
      <c r="U1590" s="43">
        <f>VLOOKUP(Tabla1[[#This Row],[PAGO DIA]],DIAS!A:H,8,0)</f>
        <v>46259</v>
      </c>
      <c r="V1590" s="6">
        <v>0</v>
      </c>
      <c r="W1590" s="43">
        <f>VLOOKUP(Tabla1[[#This Row],[PAGO DIA]],DIAS!A:I,9,0)</f>
        <v>46287</v>
      </c>
      <c r="X1590" s="6">
        <v>0</v>
      </c>
      <c r="Y1590" s="43">
        <f>VLOOKUP(Tabla1[[#This Row],[PAGO DIA]],DIAS!A:J,10,0)</f>
        <v>46322</v>
      </c>
      <c r="Z1590" s="6">
        <v>0</v>
      </c>
      <c r="AA1590" s="43">
        <f>VLOOKUP(Tabla1[[#This Row],[PAGO DIA]],DIAS!A:K,11,0)</f>
        <v>46350</v>
      </c>
      <c r="AB1590" s="6">
        <v>0</v>
      </c>
      <c r="AC1590" s="43">
        <f>VLOOKUP(Tabla1[[#This Row],[PAGO DIA]],DIAS!A:M,12,0)</f>
        <v>46379</v>
      </c>
      <c r="AD15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1" spans="1:30">
      <c r="A1591" s="3">
        <v>12291</v>
      </c>
      <c r="B1591" s="3" t="s">
        <v>510</v>
      </c>
      <c r="C1591" s="3"/>
      <c r="D1591" s="3" t="s">
        <v>2087</v>
      </c>
      <c r="E1591" s="3"/>
      <c r="F1591" s="42" t="s">
        <v>562</v>
      </c>
      <c r="G1591" s="3"/>
      <c r="H1591" s="6">
        <v>0</v>
      </c>
      <c r="I1591" s="41">
        <f>VLOOKUP(Tabla1[[#This Row],[PAGO DIA]],DIAS!A:B,2,0)</f>
        <v>46078</v>
      </c>
      <c r="J1591" s="6">
        <v>0</v>
      </c>
      <c r="K1591" s="43">
        <f>VLOOKUP(Tabla1[[#This Row],[PAGO DIA]],DIAS!A:C,3,0)</f>
        <v>46105</v>
      </c>
      <c r="L1591" s="6">
        <v>0</v>
      </c>
      <c r="M1591" s="41">
        <f>VLOOKUP(Tabla1[[#This Row],[PAGO DIA]],DIAS!A:D,4,0)</f>
        <v>46140</v>
      </c>
      <c r="N1591" s="6">
        <v>0</v>
      </c>
      <c r="O1591" s="43">
        <f>VLOOKUP(Tabla1[[#This Row],[PAGO DIA]],DIAS!A:E,5,0)</f>
        <v>46168</v>
      </c>
      <c r="P1591" s="6">
        <v>0</v>
      </c>
      <c r="Q1591" s="43">
        <f>VLOOKUP(Tabla1[[#This Row],[PAGO DIA]],DIAS!A:F,6,0)</f>
        <v>46196</v>
      </c>
      <c r="R1591" s="6">
        <v>0</v>
      </c>
      <c r="S1591" s="43">
        <f>VLOOKUP(Tabla1[[#This Row],[PAGO DIA]],DIAS!A:G,7,0)</f>
        <v>46231</v>
      </c>
      <c r="T1591" s="6">
        <v>0</v>
      </c>
      <c r="U1591" s="43">
        <f>VLOOKUP(Tabla1[[#This Row],[PAGO DIA]],DIAS!A:H,8,0)</f>
        <v>46259</v>
      </c>
      <c r="V1591" s="6">
        <v>0</v>
      </c>
      <c r="W1591" s="43">
        <f>VLOOKUP(Tabla1[[#This Row],[PAGO DIA]],DIAS!A:I,9,0)</f>
        <v>46287</v>
      </c>
      <c r="X1591" s="6">
        <v>0</v>
      </c>
      <c r="Y1591" s="43">
        <f>VLOOKUP(Tabla1[[#This Row],[PAGO DIA]],DIAS!A:J,10,0)</f>
        <v>46322</v>
      </c>
      <c r="Z1591" s="6">
        <v>0</v>
      </c>
      <c r="AA1591" s="43">
        <f>VLOOKUP(Tabla1[[#This Row],[PAGO DIA]],DIAS!A:K,11,0)</f>
        <v>46350</v>
      </c>
      <c r="AB1591" s="6">
        <v>0</v>
      </c>
      <c r="AC1591" s="43">
        <f>VLOOKUP(Tabla1[[#This Row],[PAGO DIA]],DIAS!A:M,12,0)</f>
        <v>46379</v>
      </c>
      <c r="AD15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2" spans="1:30">
      <c r="A1592" s="3">
        <v>12292</v>
      </c>
      <c r="B1592" s="3" t="s">
        <v>510</v>
      </c>
      <c r="C1592" s="3"/>
      <c r="D1592" s="3" t="s">
        <v>2088</v>
      </c>
      <c r="E1592" s="3"/>
      <c r="F1592" s="42" t="s">
        <v>562</v>
      </c>
      <c r="G1592" s="3"/>
      <c r="H1592" s="6">
        <v>0</v>
      </c>
      <c r="I1592" s="41">
        <f>VLOOKUP(Tabla1[[#This Row],[PAGO DIA]],DIAS!A:B,2,0)</f>
        <v>46078</v>
      </c>
      <c r="J1592" s="6">
        <v>0</v>
      </c>
      <c r="K1592" s="43">
        <f>VLOOKUP(Tabla1[[#This Row],[PAGO DIA]],DIAS!A:C,3,0)</f>
        <v>46105</v>
      </c>
      <c r="L1592" s="6">
        <v>0</v>
      </c>
      <c r="M1592" s="41">
        <f>VLOOKUP(Tabla1[[#This Row],[PAGO DIA]],DIAS!A:D,4,0)</f>
        <v>46140</v>
      </c>
      <c r="N1592" s="6">
        <v>0</v>
      </c>
      <c r="O1592" s="43">
        <f>VLOOKUP(Tabla1[[#This Row],[PAGO DIA]],DIAS!A:E,5,0)</f>
        <v>46168</v>
      </c>
      <c r="P1592" s="6">
        <v>0</v>
      </c>
      <c r="Q1592" s="43">
        <f>VLOOKUP(Tabla1[[#This Row],[PAGO DIA]],DIAS!A:F,6,0)</f>
        <v>46196</v>
      </c>
      <c r="R1592" s="6">
        <v>0</v>
      </c>
      <c r="S1592" s="43">
        <f>VLOOKUP(Tabla1[[#This Row],[PAGO DIA]],DIAS!A:G,7,0)</f>
        <v>46231</v>
      </c>
      <c r="T1592" s="6">
        <v>0</v>
      </c>
      <c r="U1592" s="43">
        <f>VLOOKUP(Tabla1[[#This Row],[PAGO DIA]],DIAS!A:H,8,0)</f>
        <v>46259</v>
      </c>
      <c r="V1592" s="6">
        <v>0</v>
      </c>
      <c r="W1592" s="43">
        <f>VLOOKUP(Tabla1[[#This Row],[PAGO DIA]],DIAS!A:I,9,0)</f>
        <v>46287</v>
      </c>
      <c r="X1592" s="6">
        <v>0</v>
      </c>
      <c r="Y1592" s="43">
        <f>VLOOKUP(Tabla1[[#This Row],[PAGO DIA]],DIAS!A:J,10,0)</f>
        <v>46322</v>
      </c>
      <c r="Z1592" s="6">
        <v>0</v>
      </c>
      <c r="AA1592" s="43">
        <f>VLOOKUP(Tabla1[[#This Row],[PAGO DIA]],DIAS!A:K,11,0)</f>
        <v>46350</v>
      </c>
      <c r="AB1592" s="6">
        <v>0</v>
      </c>
      <c r="AC1592" s="43">
        <f>VLOOKUP(Tabla1[[#This Row],[PAGO DIA]],DIAS!A:M,12,0)</f>
        <v>46379</v>
      </c>
      <c r="AD15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3" spans="1:30">
      <c r="A1593" s="3">
        <v>12294</v>
      </c>
      <c r="B1593" s="3" t="s">
        <v>510</v>
      </c>
      <c r="C1593" s="3"/>
      <c r="D1593" s="3" t="s">
        <v>2089</v>
      </c>
      <c r="E1593" s="3"/>
      <c r="F1593" s="42" t="s">
        <v>562</v>
      </c>
      <c r="G1593" s="3"/>
      <c r="H1593" s="6">
        <v>0</v>
      </c>
      <c r="I1593" s="41">
        <f>VLOOKUP(Tabla1[[#This Row],[PAGO DIA]],DIAS!A:B,2,0)</f>
        <v>46078</v>
      </c>
      <c r="J1593" s="6">
        <v>0</v>
      </c>
      <c r="K1593" s="43">
        <f>VLOOKUP(Tabla1[[#This Row],[PAGO DIA]],DIAS!A:C,3,0)</f>
        <v>46105</v>
      </c>
      <c r="L1593" s="6">
        <v>0</v>
      </c>
      <c r="M1593" s="41">
        <f>VLOOKUP(Tabla1[[#This Row],[PAGO DIA]],DIAS!A:D,4,0)</f>
        <v>46140</v>
      </c>
      <c r="N1593" s="6">
        <v>0</v>
      </c>
      <c r="O1593" s="43">
        <f>VLOOKUP(Tabla1[[#This Row],[PAGO DIA]],DIAS!A:E,5,0)</f>
        <v>46168</v>
      </c>
      <c r="P1593" s="6">
        <v>0</v>
      </c>
      <c r="Q1593" s="43">
        <f>VLOOKUP(Tabla1[[#This Row],[PAGO DIA]],DIAS!A:F,6,0)</f>
        <v>46196</v>
      </c>
      <c r="R1593" s="6">
        <v>0</v>
      </c>
      <c r="S1593" s="43">
        <f>VLOOKUP(Tabla1[[#This Row],[PAGO DIA]],DIAS!A:G,7,0)</f>
        <v>46231</v>
      </c>
      <c r="T1593" s="6">
        <v>0</v>
      </c>
      <c r="U1593" s="43">
        <f>VLOOKUP(Tabla1[[#This Row],[PAGO DIA]],DIAS!A:H,8,0)</f>
        <v>46259</v>
      </c>
      <c r="V1593" s="6">
        <v>0</v>
      </c>
      <c r="W1593" s="43">
        <f>VLOOKUP(Tabla1[[#This Row],[PAGO DIA]],DIAS!A:I,9,0)</f>
        <v>46287</v>
      </c>
      <c r="X1593" s="6">
        <v>0</v>
      </c>
      <c r="Y1593" s="43">
        <f>VLOOKUP(Tabla1[[#This Row],[PAGO DIA]],DIAS!A:J,10,0)</f>
        <v>46322</v>
      </c>
      <c r="Z1593" s="6">
        <v>0</v>
      </c>
      <c r="AA1593" s="43">
        <f>VLOOKUP(Tabla1[[#This Row],[PAGO DIA]],DIAS!A:K,11,0)</f>
        <v>46350</v>
      </c>
      <c r="AB1593" s="6">
        <v>0</v>
      </c>
      <c r="AC1593" s="43">
        <f>VLOOKUP(Tabla1[[#This Row],[PAGO DIA]],DIAS!A:M,12,0)</f>
        <v>46379</v>
      </c>
      <c r="AD15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4" spans="1:30">
      <c r="A1594" s="3">
        <v>12295</v>
      </c>
      <c r="B1594" s="3" t="s">
        <v>510</v>
      </c>
      <c r="C1594" s="3"/>
      <c r="D1594" s="3" t="s">
        <v>2090</v>
      </c>
      <c r="E1594" s="3"/>
      <c r="F1594" s="42" t="s">
        <v>562</v>
      </c>
      <c r="G1594" s="3"/>
      <c r="H1594" s="6">
        <v>0</v>
      </c>
      <c r="I1594" s="41">
        <f>VLOOKUP(Tabla1[[#This Row],[PAGO DIA]],DIAS!A:B,2,0)</f>
        <v>46078</v>
      </c>
      <c r="J1594" s="6">
        <v>0</v>
      </c>
      <c r="K1594" s="43">
        <f>VLOOKUP(Tabla1[[#This Row],[PAGO DIA]],DIAS!A:C,3,0)</f>
        <v>46105</v>
      </c>
      <c r="L1594" s="6">
        <v>0</v>
      </c>
      <c r="M1594" s="41">
        <f>VLOOKUP(Tabla1[[#This Row],[PAGO DIA]],DIAS!A:D,4,0)</f>
        <v>46140</v>
      </c>
      <c r="N1594" s="6">
        <v>0</v>
      </c>
      <c r="O1594" s="43">
        <f>VLOOKUP(Tabla1[[#This Row],[PAGO DIA]],DIAS!A:E,5,0)</f>
        <v>46168</v>
      </c>
      <c r="P1594" s="6">
        <v>0</v>
      </c>
      <c r="Q1594" s="43">
        <f>VLOOKUP(Tabla1[[#This Row],[PAGO DIA]],DIAS!A:F,6,0)</f>
        <v>46196</v>
      </c>
      <c r="R1594" s="6">
        <v>0</v>
      </c>
      <c r="S1594" s="43">
        <f>VLOOKUP(Tabla1[[#This Row],[PAGO DIA]],DIAS!A:G,7,0)</f>
        <v>46231</v>
      </c>
      <c r="T1594" s="6">
        <v>0</v>
      </c>
      <c r="U1594" s="43">
        <f>VLOOKUP(Tabla1[[#This Row],[PAGO DIA]],DIAS!A:H,8,0)</f>
        <v>46259</v>
      </c>
      <c r="V1594" s="6">
        <v>0</v>
      </c>
      <c r="W1594" s="43">
        <f>VLOOKUP(Tabla1[[#This Row],[PAGO DIA]],DIAS!A:I,9,0)</f>
        <v>46287</v>
      </c>
      <c r="X1594" s="6">
        <v>0</v>
      </c>
      <c r="Y1594" s="43">
        <f>VLOOKUP(Tabla1[[#This Row],[PAGO DIA]],DIAS!A:J,10,0)</f>
        <v>46322</v>
      </c>
      <c r="Z1594" s="6">
        <v>0</v>
      </c>
      <c r="AA1594" s="43">
        <f>VLOOKUP(Tabla1[[#This Row],[PAGO DIA]],DIAS!A:K,11,0)</f>
        <v>46350</v>
      </c>
      <c r="AB1594" s="6">
        <v>0</v>
      </c>
      <c r="AC1594" s="43">
        <f>VLOOKUP(Tabla1[[#This Row],[PAGO DIA]],DIAS!A:M,12,0)</f>
        <v>46379</v>
      </c>
      <c r="AD15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5" spans="1:30">
      <c r="A1595" s="3">
        <v>12296</v>
      </c>
      <c r="B1595" s="3" t="s">
        <v>510</v>
      </c>
      <c r="C1595" s="3"/>
      <c r="D1595" s="3" t="s">
        <v>2091</v>
      </c>
      <c r="E1595" s="3"/>
      <c r="F1595" s="42" t="s">
        <v>562</v>
      </c>
      <c r="G1595" s="3"/>
      <c r="H1595" s="6">
        <v>0</v>
      </c>
      <c r="I1595" s="41">
        <f>VLOOKUP(Tabla1[[#This Row],[PAGO DIA]],DIAS!A:B,2,0)</f>
        <v>46078</v>
      </c>
      <c r="J1595" s="6">
        <v>0</v>
      </c>
      <c r="K1595" s="43">
        <f>VLOOKUP(Tabla1[[#This Row],[PAGO DIA]],DIAS!A:C,3,0)</f>
        <v>46105</v>
      </c>
      <c r="L1595" s="6">
        <v>0</v>
      </c>
      <c r="M1595" s="41">
        <f>VLOOKUP(Tabla1[[#This Row],[PAGO DIA]],DIAS!A:D,4,0)</f>
        <v>46140</v>
      </c>
      <c r="N1595" s="6">
        <v>0</v>
      </c>
      <c r="O1595" s="43">
        <f>VLOOKUP(Tabla1[[#This Row],[PAGO DIA]],DIAS!A:E,5,0)</f>
        <v>46168</v>
      </c>
      <c r="P1595" s="6">
        <v>0</v>
      </c>
      <c r="Q1595" s="43">
        <f>VLOOKUP(Tabla1[[#This Row],[PAGO DIA]],DIAS!A:F,6,0)</f>
        <v>46196</v>
      </c>
      <c r="R1595" s="6">
        <v>0</v>
      </c>
      <c r="S1595" s="43">
        <f>VLOOKUP(Tabla1[[#This Row],[PAGO DIA]],DIAS!A:G,7,0)</f>
        <v>46231</v>
      </c>
      <c r="T1595" s="6">
        <v>0</v>
      </c>
      <c r="U1595" s="43">
        <f>VLOOKUP(Tabla1[[#This Row],[PAGO DIA]],DIAS!A:H,8,0)</f>
        <v>46259</v>
      </c>
      <c r="V1595" s="6">
        <v>0</v>
      </c>
      <c r="W1595" s="43">
        <f>VLOOKUP(Tabla1[[#This Row],[PAGO DIA]],DIAS!A:I,9,0)</f>
        <v>46287</v>
      </c>
      <c r="X1595" s="6">
        <v>0</v>
      </c>
      <c r="Y1595" s="43">
        <f>VLOOKUP(Tabla1[[#This Row],[PAGO DIA]],DIAS!A:J,10,0)</f>
        <v>46322</v>
      </c>
      <c r="Z1595" s="6">
        <v>0</v>
      </c>
      <c r="AA1595" s="43">
        <f>VLOOKUP(Tabla1[[#This Row],[PAGO DIA]],DIAS!A:K,11,0)</f>
        <v>46350</v>
      </c>
      <c r="AB1595" s="6">
        <v>0</v>
      </c>
      <c r="AC1595" s="43">
        <f>VLOOKUP(Tabla1[[#This Row],[PAGO DIA]],DIAS!A:M,12,0)</f>
        <v>46379</v>
      </c>
      <c r="AD15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6" spans="1:30">
      <c r="A1596" s="3">
        <v>12297</v>
      </c>
      <c r="B1596" s="3" t="s">
        <v>510</v>
      </c>
      <c r="C1596" s="3"/>
      <c r="D1596" s="3" t="s">
        <v>2092</v>
      </c>
      <c r="E1596" s="3"/>
      <c r="F1596" s="42" t="s">
        <v>562</v>
      </c>
      <c r="G1596" s="3"/>
      <c r="H1596" s="6">
        <v>0</v>
      </c>
      <c r="I1596" s="41">
        <f>VLOOKUP(Tabla1[[#This Row],[PAGO DIA]],DIAS!A:B,2,0)</f>
        <v>46078</v>
      </c>
      <c r="J1596" s="6">
        <v>0</v>
      </c>
      <c r="K1596" s="43">
        <f>VLOOKUP(Tabla1[[#This Row],[PAGO DIA]],DIAS!A:C,3,0)</f>
        <v>46105</v>
      </c>
      <c r="L1596" s="6">
        <v>0</v>
      </c>
      <c r="M1596" s="41">
        <f>VLOOKUP(Tabla1[[#This Row],[PAGO DIA]],DIAS!A:D,4,0)</f>
        <v>46140</v>
      </c>
      <c r="N1596" s="6">
        <v>0</v>
      </c>
      <c r="O1596" s="43">
        <f>VLOOKUP(Tabla1[[#This Row],[PAGO DIA]],DIAS!A:E,5,0)</f>
        <v>46168</v>
      </c>
      <c r="P1596" s="6">
        <v>0</v>
      </c>
      <c r="Q1596" s="43">
        <f>VLOOKUP(Tabla1[[#This Row],[PAGO DIA]],DIAS!A:F,6,0)</f>
        <v>46196</v>
      </c>
      <c r="R1596" s="6">
        <v>0</v>
      </c>
      <c r="S1596" s="43">
        <f>VLOOKUP(Tabla1[[#This Row],[PAGO DIA]],DIAS!A:G,7,0)</f>
        <v>46231</v>
      </c>
      <c r="T1596" s="6">
        <v>0</v>
      </c>
      <c r="U1596" s="43">
        <f>VLOOKUP(Tabla1[[#This Row],[PAGO DIA]],DIAS!A:H,8,0)</f>
        <v>46259</v>
      </c>
      <c r="V1596" s="6">
        <v>0</v>
      </c>
      <c r="W1596" s="43">
        <f>VLOOKUP(Tabla1[[#This Row],[PAGO DIA]],DIAS!A:I,9,0)</f>
        <v>46287</v>
      </c>
      <c r="X1596" s="6">
        <v>0</v>
      </c>
      <c r="Y1596" s="43">
        <f>VLOOKUP(Tabla1[[#This Row],[PAGO DIA]],DIAS!A:J,10,0)</f>
        <v>46322</v>
      </c>
      <c r="Z1596" s="6">
        <v>0</v>
      </c>
      <c r="AA1596" s="43">
        <f>VLOOKUP(Tabla1[[#This Row],[PAGO DIA]],DIAS!A:K,11,0)</f>
        <v>46350</v>
      </c>
      <c r="AB1596" s="6">
        <v>0</v>
      </c>
      <c r="AC1596" s="43">
        <f>VLOOKUP(Tabla1[[#This Row],[PAGO DIA]],DIAS!A:M,12,0)</f>
        <v>46379</v>
      </c>
      <c r="AD15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7" spans="1:30">
      <c r="A1597" s="3">
        <v>12298</v>
      </c>
      <c r="B1597" s="3" t="s">
        <v>510</v>
      </c>
      <c r="C1597" s="3"/>
      <c r="D1597" s="3" t="s">
        <v>2093</v>
      </c>
      <c r="E1597" s="3"/>
      <c r="F1597" s="42" t="s">
        <v>562</v>
      </c>
      <c r="G1597" s="3"/>
      <c r="H1597" s="6">
        <v>0</v>
      </c>
      <c r="I1597" s="41">
        <f>VLOOKUP(Tabla1[[#This Row],[PAGO DIA]],DIAS!A:B,2,0)</f>
        <v>46078</v>
      </c>
      <c r="J1597" s="6">
        <v>0</v>
      </c>
      <c r="K1597" s="43">
        <f>VLOOKUP(Tabla1[[#This Row],[PAGO DIA]],DIAS!A:C,3,0)</f>
        <v>46105</v>
      </c>
      <c r="L1597" s="6">
        <v>0</v>
      </c>
      <c r="M1597" s="41">
        <f>VLOOKUP(Tabla1[[#This Row],[PAGO DIA]],DIAS!A:D,4,0)</f>
        <v>46140</v>
      </c>
      <c r="N1597" s="6">
        <v>0</v>
      </c>
      <c r="O1597" s="43">
        <f>VLOOKUP(Tabla1[[#This Row],[PAGO DIA]],DIAS!A:E,5,0)</f>
        <v>46168</v>
      </c>
      <c r="P1597" s="6">
        <v>0</v>
      </c>
      <c r="Q1597" s="43">
        <f>VLOOKUP(Tabla1[[#This Row],[PAGO DIA]],DIAS!A:F,6,0)</f>
        <v>46196</v>
      </c>
      <c r="R1597" s="6">
        <v>0</v>
      </c>
      <c r="S1597" s="43">
        <f>VLOOKUP(Tabla1[[#This Row],[PAGO DIA]],DIAS!A:G,7,0)</f>
        <v>46231</v>
      </c>
      <c r="T1597" s="6">
        <v>0</v>
      </c>
      <c r="U1597" s="43">
        <f>VLOOKUP(Tabla1[[#This Row],[PAGO DIA]],DIAS!A:H,8,0)</f>
        <v>46259</v>
      </c>
      <c r="V1597" s="6">
        <v>0</v>
      </c>
      <c r="W1597" s="43">
        <f>VLOOKUP(Tabla1[[#This Row],[PAGO DIA]],DIAS!A:I,9,0)</f>
        <v>46287</v>
      </c>
      <c r="X1597" s="6">
        <v>0</v>
      </c>
      <c r="Y1597" s="43">
        <f>VLOOKUP(Tabla1[[#This Row],[PAGO DIA]],DIAS!A:J,10,0)</f>
        <v>46322</v>
      </c>
      <c r="Z1597" s="6">
        <v>0</v>
      </c>
      <c r="AA1597" s="43">
        <f>VLOOKUP(Tabla1[[#This Row],[PAGO DIA]],DIAS!A:K,11,0)</f>
        <v>46350</v>
      </c>
      <c r="AB1597" s="6">
        <v>0</v>
      </c>
      <c r="AC1597" s="43">
        <f>VLOOKUP(Tabla1[[#This Row],[PAGO DIA]],DIAS!A:M,12,0)</f>
        <v>46379</v>
      </c>
      <c r="AD15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8" spans="1:30">
      <c r="A1598" s="3">
        <v>12299</v>
      </c>
      <c r="B1598" s="3" t="s">
        <v>510</v>
      </c>
      <c r="C1598" s="3"/>
      <c r="D1598" s="3" t="s">
        <v>2094</v>
      </c>
      <c r="E1598" s="3"/>
      <c r="F1598" s="42" t="s">
        <v>562</v>
      </c>
      <c r="G1598" s="3"/>
      <c r="H1598" s="6">
        <v>0</v>
      </c>
      <c r="I1598" s="41">
        <f>VLOOKUP(Tabla1[[#This Row],[PAGO DIA]],DIAS!A:B,2,0)</f>
        <v>46078</v>
      </c>
      <c r="J1598" s="6">
        <v>0</v>
      </c>
      <c r="K1598" s="43">
        <f>VLOOKUP(Tabla1[[#This Row],[PAGO DIA]],DIAS!A:C,3,0)</f>
        <v>46105</v>
      </c>
      <c r="L1598" s="6">
        <v>0</v>
      </c>
      <c r="M1598" s="41">
        <f>VLOOKUP(Tabla1[[#This Row],[PAGO DIA]],DIAS!A:D,4,0)</f>
        <v>46140</v>
      </c>
      <c r="N1598" s="6">
        <v>0</v>
      </c>
      <c r="O1598" s="43">
        <f>VLOOKUP(Tabla1[[#This Row],[PAGO DIA]],DIAS!A:E,5,0)</f>
        <v>46168</v>
      </c>
      <c r="P1598" s="6">
        <v>0</v>
      </c>
      <c r="Q1598" s="43">
        <f>VLOOKUP(Tabla1[[#This Row],[PAGO DIA]],DIAS!A:F,6,0)</f>
        <v>46196</v>
      </c>
      <c r="R1598" s="6">
        <v>0</v>
      </c>
      <c r="S1598" s="43">
        <f>VLOOKUP(Tabla1[[#This Row],[PAGO DIA]],DIAS!A:G,7,0)</f>
        <v>46231</v>
      </c>
      <c r="T1598" s="6">
        <v>0</v>
      </c>
      <c r="U1598" s="43">
        <f>VLOOKUP(Tabla1[[#This Row],[PAGO DIA]],DIAS!A:H,8,0)</f>
        <v>46259</v>
      </c>
      <c r="V1598" s="6">
        <v>0</v>
      </c>
      <c r="W1598" s="43">
        <f>VLOOKUP(Tabla1[[#This Row],[PAGO DIA]],DIAS!A:I,9,0)</f>
        <v>46287</v>
      </c>
      <c r="X1598" s="6">
        <v>0</v>
      </c>
      <c r="Y1598" s="43">
        <f>VLOOKUP(Tabla1[[#This Row],[PAGO DIA]],DIAS!A:J,10,0)</f>
        <v>46322</v>
      </c>
      <c r="Z1598" s="6">
        <v>0</v>
      </c>
      <c r="AA1598" s="43">
        <f>VLOOKUP(Tabla1[[#This Row],[PAGO DIA]],DIAS!A:K,11,0)</f>
        <v>46350</v>
      </c>
      <c r="AB1598" s="6">
        <v>0</v>
      </c>
      <c r="AC1598" s="43">
        <f>VLOOKUP(Tabla1[[#This Row],[PAGO DIA]],DIAS!A:M,12,0)</f>
        <v>46379</v>
      </c>
      <c r="AD15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599" spans="1:30">
      <c r="A1599" s="3">
        <v>12300</v>
      </c>
      <c r="B1599" s="3" t="s">
        <v>510</v>
      </c>
      <c r="C1599" s="3"/>
      <c r="D1599" s="3" t="s">
        <v>2095</v>
      </c>
      <c r="E1599" s="3"/>
      <c r="F1599" s="42" t="s">
        <v>562</v>
      </c>
      <c r="G1599" s="3"/>
      <c r="H1599" s="6">
        <v>0</v>
      </c>
      <c r="I1599" s="41">
        <f>VLOOKUP(Tabla1[[#This Row],[PAGO DIA]],DIAS!A:B,2,0)</f>
        <v>46078</v>
      </c>
      <c r="J1599" s="6">
        <v>0</v>
      </c>
      <c r="K1599" s="43">
        <f>VLOOKUP(Tabla1[[#This Row],[PAGO DIA]],DIAS!A:C,3,0)</f>
        <v>46105</v>
      </c>
      <c r="L1599" s="6">
        <v>0</v>
      </c>
      <c r="M1599" s="41">
        <f>VLOOKUP(Tabla1[[#This Row],[PAGO DIA]],DIAS!A:D,4,0)</f>
        <v>46140</v>
      </c>
      <c r="N1599" s="6">
        <v>0</v>
      </c>
      <c r="O1599" s="43">
        <f>VLOOKUP(Tabla1[[#This Row],[PAGO DIA]],DIAS!A:E,5,0)</f>
        <v>46168</v>
      </c>
      <c r="P1599" s="6">
        <v>0</v>
      </c>
      <c r="Q1599" s="43">
        <f>VLOOKUP(Tabla1[[#This Row],[PAGO DIA]],DIAS!A:F,6,0)</f>
        <v>46196</v>
      </c>
      <c r="R1599" s="6">
        <v>0</v>
      </c>
      <c r="S1599" s="43">
        <f>VLOOKUP(Tabla1[[#This Row],[PAGO DIA]],DIAS!A:G,7,0)</f>
        <v>46231</v>
      </c>
      <c r="T1599" s="6">
        <v>0</v>
      </c>
      <c r="U1599" s="43">
        <f>VLOOKUP(Tabla1[[#This Row],[PAGO DIA]],DIAS!A:H,8,0)</f>
        <v>46259</v>
      </c>
      <c r="V1599" s="6">
        <v>0</v>
      </c>
      <c r="W1599" s="43">
        <f>VLOOKUP(Tabla1[[#This Row],[PAGO DIA]],DIAS!A:I,9,0)</f>
        <v>46287</v>
      </c>
      <c r="X1599" s="6">
        <v>0</v>
      </c>
      <c r="Y1599" s="43">
        <f>VLOOKUP(Tabla1[[#This Row],[PAGO DIA]],DIAS!A:J,10,0)</f>
        <v>46322</v>
      </c>
      <c r="Z1599" s="6">
        <v>0</v>
      </c>
      <c r="AA1599" s="43">
        <f>VLOOKUP(Tabla1[[#This Row],[PAGO DIA]],DIAS!A:K,11,0)</f>
        <v>46350</v>
      </c>
      <c r="AB1599" s="6">
        <v>0</v>
      </c>
      <c r="AC1599" s="43">
        <f>VLOOKUP(Tabla1[[#This Row],[PAGO DIA]],DIAS!A:M,12,0)</f>
        <v>46379</v>
      </c>
      <c r="AD15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0" spans="1:30">
      <c r="A1600" s="3">
        <v>12301</v>
      </c>
      <c r="B1600" s="3" t="s">
        <v>510</v>
      </c>
      <c r="C1600" s="3"/>
      <c r="D1600" s="3" t="s">
        <v>2096</v>
      </c>
      <c r="E1600" s="3"/>
      <c r="F1600" s="42" t="s">
        <v>562</v>
      </c>
      <c r="G1600" s="3"/>
      <c r="H1600" s="6">
        <v>0</v>
      </c>
      <c r="I1600" s="41">
        <f>VLOOKUP(Tabla1[[#This Row],[PAGO DIA]],DIAS!A:B,2,0)</f>
        <v>46078</v>
      </c>
      <c r="J1600" s="6">
        <v>0</v>
      </c>
      <c r="K1600" s="43">
        <f>VLOOKUP(Tabla1[[#This Row],[PAGO DIA]],DIAS!A:C,3,0)</f>
        <v>46105</v>
      </c>
      <c r="L1600" s="6">
        <v>0</v>
      </c>
      <c r="M1600" s="41">
        <f>VLOOKUP(Tabla1[[#This Row],[PAGO DIA]],DIAS!A:D,4,0)</f>
        <v>46140</v>
      </c>
      <c r="N1600" s="6">
        <v>0</v>
      </c>
      <c r="O1600" s="43">
        <f>VLOOKUP(Tabla1[[#This Row],[PAGO DIA]],DIAS!A:E,5,0)</f>
        <v>46168</v>
      </c>
      <c r="P1600" s="6">
        <v>0</v>
      </c>
      <c r="Q1600" s="43">
        <f>VLOOKUP(Tabla1[[#This Row],[PAGO DIA]],DIAS!A:F,6,0)</f>
        <v>46196</v>
      </c>
      <c r="R1600" s="6">
        <v>0</v>
      </c>
      <c r="S1600" s="43">
        <f>VLOOKUP(Tabla1[[#This Row],[PAGO DIA]],DIAS!A:G,7,0)</f>
        <v>46231</v>
      </c>
      <c r="T1600" s="6">
        <v>0</v>
      </c>
      <c r="U1600" s="43">
        <f>VLOOKUP(Tabla1[[#This Row],[PAGO DIA]],DIAS!A:H,8,0)</f>
        <v>46259</v>
      </c>
      <c r="V1600" s="6">
        <v>0</v>
      </c>
      <c r="W1600" s="43">
        <f>VLOOKUP(Tabla1[[#This Row],[PAGO DIA]],DIAS!A:I,9,0)</f>
        <v>46287</v>
      </c>
      <c r="X1600" s="6">
        <v>0</v>
      </c>
      <c r="Y1600" s="43">
        <f>VLOOKUP(Tabla1[[#This Row],[PAGO DIA]],DIAS!A:J,10,0)</f>
        <v>46322</v>
      </c>
      <c r="Z1600" s="6">
        <v>0</v>
      </c>
      <c r="AA1600" s="43">
        <f>VLOOKUP(Tabla1[[#This Row],[PAGO DIA]],DIAS!A:K,11,0)</f>
        <v>46350</v>
      </c>
      <c r="AB1600" s="6">
        <v>0</v>
      </c>
      <c r="AC1600" s="43">
        <f>VLOOKUP(Tabla1[[#This Row],[PAGO DIA]],DIAS!A:M,12,0)</f>
        <v>46379</v>
      </c>
      <c r="AD16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1" spans="1:30">
      <c r="A1601" s="3">
        <v>12302</v>
      </c>
      <c r="B1601" s="3" t="s">
        <v>510</v>
      </c>
      <c r="C1601" s="3"/>
      <c r="D1601" s="3" t="s">
        <v>2096</v>
      </c>
      <c r="E1601" s="3"/>
      <c r="F1601" s="42" t="s">
        <v>562</v>
      </c>
      <c r="G1601" s="3"/>
      <c r="H1601" s="6">
        <v>0</v>
      </c>
      <c r="I1601" s="41">
        <f>VLOOKUP(Tabla1[[#This Row],[PAGO DIA]],DIAS!A:B,2,0)</f>
        <v>46078</v>
      </c>
      <c r="J1601" s="6">
        <v>0</v>
      </c>
      <c r="K1601" s="43">
        <f>VLOOKUP(Tabla1[[#This Row],[PAGO DIA]],DIAS!A:C,3,0)</f>
        <v>46105</v>
      </c>
      <c r="L1601" s="6">
        <v>0</v>
      </c>
      <c r="M1601" s="41">
        <f>VLOOKUP(Tabla1[[#This Row],[PAGO DIA]],DIAS!A:D,4,0)</f>
        <v>46140</v>
      </c>
      <c r="N1601" s="6">
        <v>0</v>
      </c>
      <c r="O1601" s="43">
        <f>VLOOKUP(Tabla1[[#This Row],[PAGO DIA]],DIAS!A:E,5,0)</f>
        <v>46168</v>
      </c>
      <c r="P1601" s="6">
        <v>0</v>
      </c>
      <c r="Q1601" s="43">
        <f>VLOOKUP(Tabla1[[#This Row],[PAGO DIA]],DIAS!A:F,6,0)</f>
        <v>46196</v>
      </c>
      <c r="R1601" s="6">
        <v>0</v>
      </c>
      <c r="S1601" s="43">
        <f>VLOOKUP(Tabla1[[#This Row],[PAGO DIA]],DIAS!A:G,7,0)</f>
        <v>46231</v>
      </c>
      <c r="T1601" s="6">
        <v>0</v>
      </c>
      <c r="U1601" s="43">
        <f>VLOOKUP(Tabla1[[#This Row],[PAGO DIA]],DIAS!A:H,8,0)</f>
        <v>46259</v>
      </c>
      <c r="V1601" s="6">
        <v>0</v>
      </c>
      <c r="W1601" s="43">
        <f>VLOOKUP(Tabla1[[#This Row],[PAGO DIA]],DIAS!A:I,9,0)</f>
        <v>46287</v>
      </c>
      <c r="X1601" s="6">
        <v>0</v>
      </c>
      <c r="Y1601" s="43">
        <f>VLOOKUP(Tabla1[[#This Row],[PAGO DIA]],DIAS!A:J,10,0)</f>
        <v>46322</v>
      </c>
      <c r="Z1601" s="6">
        <v>0</v>
      </c>
      <c r="AA1601" s="43">
        <f>VLOOKUP(Tabla1[[#This Row],[PAGO DIA]],DIAS!A:K,11,0)</f>
        <v>46350</v>
      </c>
      <c r="AB1601" s="6">
        <v>0</v>
      </c>
      <c r="AC1601" s="43">
        <f>VLOOKUP(Tabla1[[#This Row],[PAGO DIA]],DIAS!A:M,12,0)</f>
        <v>46379</v>
      </c>
      <c r="AD16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2" spans="1:30">
      <c r="A1602" s="3">
        <v>12303</v>
      </c>
      <c r="B1602" s="3" t="s">
        <v>510</v>
      </c>
      <c r="C1602" s="3"/>
      <c r="D1602" s="3" t="s">
        <v>2097</v>
      </c>
      <c r="E1602" s="3"/>
      <c r="F1602" s="42" t="s">
        <v>562</v>
      </c>
      <c r="G1602" s="3"/>
      <c r="H1602" s="6">
        <v>0</v>
      </c>
      <c r="I1602" s="41">
        <f>VLOOKUP(Tabla1[[#This Row],[PAGO DIA]],DIAS!A:B,2,0)</f>
        <v>46078</v>
      </c>
      <c r="J1602" s="6">
        <v>0</v>
      </c>
      <c r="K1602" s="43">
        <f>VLOOKUP(Tabla1[[#This Row],[PAGO DIA]],DIAS!A:C,3,0)</f>
        <v>46105</v>
      </c>
      <c r="L1602" s="6">
        <v>0</v>
      </c>
      <c r="M1602" s="41">
        <f>VLOOKUP(Tabla1[[#This Row],[PAGO DIA]],DIAS!A:D,4,0)</f>
        <v>46140</v>
      </c>
      <c r="N1602" s="6">
        <v>0</v>
      </c>
      <c r="O1602" s="43">
        <f>VLOOKUP(Tabla1[[#This Row],[PAGO DIA]],DIAS!A:E,5,0)</f>
        <v>46168</v>
      </c>
      <c r="P1602" s="6">
        <v>0</v>
      </c>
      <c r="Q1602" s="43">
        <f>VLOOKUP(Tabla1[[#This Row],[PAGO DIA]],DIAS!A:F,6,0)</f>
        <v>46196</v>
      </c>
      <c r="R1602" s="6">
        <v>0</v>
      </c>
      <c r="S1602" s="43">
        <f>VLOOKUP(Tabla1[[#This Row],[PAGO DIA]],DIAS!A:G,7,0)</f>
        <v>46231</v>
      </c>
      <c r="T1602" s="6">
        <v>0</v>
      </c>
      <c r="U1602" s="43">
        <f>VLOOKUP(Tabla1[[#This Row],[PAGO DIA]],DIAS!A:H,8,0)</f>
        <v>46259</v>
      </c>
      <c r="V1602" s="6">
        <v>0</v>
      </c>
      <c r="W1602" s="43">
        <f>VLOOKUP(Tabla1[[#This Row],[PAGO DIA]],DIAS!A:I,9,0)</f>
        <v>46287</v>
      </c>
      <c r="X1602" s="6">
        <v>0</v>
      </c>
      <c r="Y1602" s="43">
        <f>VLOOKUP(Tabla1[[#This Row],[PAGO DIA]],DIAS!A:J,10,0)</f>
        <v>46322</v>
      </c>
      <c r="Z1602" s="6">
        <v>0</v>
      </c>
      <c r="AA1602" s="43">
        <f>VLOOKUP(Tabla1[[#This Row],[PAGO DIA]],DIAS!A:K,11,0)</f>
        <v>46350</v>
      </c>
      <c r="AB1602" s="6">
        <v>0</v>
      </c>
      <c r="AC1602" s="43">
        <f>VLOOKUP(Tabla1[[#This Row],[PAGO DIA]],DIAS!A:M,12,0)</f>
        <v>46379</v>
      </c>
      <c r="AD16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3" spans="1:30">
      <c r="A1603" s="3">
        <v>12304</v>
      </c>
      <c r="B1603" s="3" t="s">
        <v>510</v>
      </c>
      <c r="C1603" s="3"/>
      <c r="D1603" s="3" t="s">
        <v>2098</v>
      </c>
      <c r="E1603" s="3"/>
      <c r="F1603" s="42" t="s">
        <v>562</v>
      </c>
      <c r="G1603" s="3"/>
      <c r="H1603" s="6">
        <v>0</v>
      </c>
      <c r="I1603" s="41">
        <f>VLOOKUP(Tabla1[[#This Row],[PAGO DIA]],DIAS!A:B,2,0)</f>
        <v>46078</v>
      </c>
      <c r="J1603" s="6">
        <v>0</v>
      </c>
      <c r="K1603" s="43">
        <f>VLOOKUP(Tabla1[[#This Row],[PAGO DIA]],DIAS!A:C,3,0)</f>
        <v>46105</v>
      </c>
      <c r="L1603" s="6">
        <v>0</v>
      </c>
      <c r="M1603" s="41">
        <f>VLOOKUP(Tabla1[[#This Row],[PAGO DIA]],DIAS!A:D,4,0)</f>
        <v>46140</v>
      </c>
      <c r="N1603" s="6">
        <v>0</v>
      </c>
      <c r="O1603" s="43">
        <f>VLOOKUP(Tabla1[[#This Row],[PAGO DIA]],DIAS!A:E,5,0)</f>
        <v>46168</v>
      </c>
      <c r="P1603" s="6">
        <v>0</v>
      </c>
      <c r="Q1603" s="43">
        <f>VLOOKUP(Tabla1[[#This Row],[PAGO DIA]],DIAS!A:F,6,0)</f>
        <v>46196</v>
      </c>
      <c r="R1603" s="6">
        <v>0</v>
      </c>
      <c r="S1603" s="43">
        <f>VLOOKUP(Tabla1[[#This Row],[PAGO DIA]],DIAS!A:G,7,0)</f>
        <v>46231</v>
      </c>
      <c r="T1603" s="6">
        <v>0</v>
      </c>
      <c r="U1603" s="43">
        <f>VLOOKUP(Tabla1[[#This Row],[PAGO DIA]],DIAS!A:H,8,0)</f>
        <v>46259</v>
      </c>
      <c r="V1603" s="6">
        <v>0</v>
      </c>
      <c r="W1603" s="43">
        <f>VLOOKUP(Tabla1[[#This Row],[PAGO DIA]],DIAS!A:I,9,0)</f>
        <v>46287</v>
      </c>
      <c r="X1603" s="6">
        <v>0</v>
      </c>
      <c r="Y1603" s="43">
        <f>VLOOKUP(Tabla1[[#This Row],[PAGO DIA]],DIAS!A:J,10,0)</f>
        <v>46322</v>
      </c>
      <c r="Z1603" s="6">
        <v>0</v>
      </c>
      <c r="AA1603" s="43">
        <f>VLOOKUP(Tabla1[[#This Row],[PAGO DIA]],DIAS!A:K,11,0)</f>
        <v>46350</v>
      </c>
      <c r="AB1603" s="6">
        <v>0</v>
      </c>
      <c r="AC1603" s="43">
        <f>VLOOKUP(Tabla1[[#This Row],[PAGO DIA]],DIAS!A:M,12,0)</f>
        <v>46379</v>
      </c>
      <c r="AD16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4" spans="1:30">
      <c r="A1604" s="3">
        <v>12305</v>
      </c>
      <c r="B1604" s="3" t="s">
        <v>510</v>
      </c>
      <c r="C1604" s="3"/>
      <c r="D1604" s="3" t="s">
        <v>2099</v>
      </c>
      <c r="E1604" s="3"/>
      <c r="F1604" s="42" t="s">
        <v>562</v>
      </c>
      <c r="G1604" s="3"/>
      <c r="H1604" s="6">
        <v>0</v>
      </c>
      <c r="I1604" s="41">
        <f>VLOOKUP(Tabla1[[#This Row],[PAGO DIA]],DIAS!A:B,2,0)</f>
        <v>46078</v>
      </c>
      <c r="J1604" s="6">
        <v>0</v>
      </c>
      <c r="K1604" s="43">
        <f>VLOOKUP(Tabla1[[#This Row],[PAGO DIA]],DIAS!A:C,3,0)</f>
        <v>46105</v>
      </c>
      <c r="L1604" s="6">
        <v>0</v>
      </c>
      <c r="M1604" s="41">
        <f>VLOOKUP(Tabla1[[#This Row],[PAGO DIA]],DIAS!A:D,4,0)</f>
        <v>46140</v>
      </c>
      <c r="N1604" s="6">
        <v>0</v>
      </c>
      <c r="O1604" s="43">
        <f>VLOOKUP(Tabla1[[#This Row],[PAGO DIA]],DIAS!A:E,5,0)</f>
        <v>46168</v>
      </c>
      <c r="P1604" s="6">
        <v>0</v>
      </c>
      <c r="Q1604" s="43">
        <f>VLOOKUP(Tabla1[[#This Row],[PAGO DIA]],DIAS!A:F,6,0)</f>
        <v>46196</v>
      </c>
      <c r="R1604" s="6">
        <v>0</v>
      </c>
      <c r="S1604" s="43">
        <f>VLOOKUP(Tabla1[[#This Row],[PAGO DIA]],DIAS!A:G,7,0)</f>
        <v>46231</v>
      </c>
      <c r="T1604" s="6">
        <v>0</v>
      </c>
      <c r="U1604" s="43">
        <f>VLOOKUP(Tabla1[[#This Row],[PAGO DIA]],DIAS!A:H,8,0)</f>
        <v>46259</v>
      </c>
      <c r="V1604" s="6">
        <v>0</v>
      </c>
      <c r="W1604" s="43">
        <f>VLOOKUP(Tabla1[[#This Row],[PAGO DIA]],DIAS!A:I,9,0)</f>
        <v>46287</v>
      </c>
      <c r="X1604" s="6">
        <v>0</v>
      </c>
      <c r="Y1604" s="43">
        <f>VLOOKUP(Tabla1[[#This Row],[PAGO DIA]],DIAS!A:J,10,0)</f>
        <v>46322</v>
      </c>
      <c r="Z1604" s="6">
        <v>0</v>
      </c>
      <c r="AA1604" s="43">
        <f>VLOOKUP(Tabla1[[#This Row],[PAGO DIA]],DIAS!A:K,11,0)</f>
        <v>46350</v>
      </c>
      <c r="AB1604" s="6">
        <v>0</v>
      </c>
      <c r="AC1604" s="43">
        <f>VLOOKUP(Tabla1[[#This Row],[PAGO DIA]],DIAS!A:M,12,0)</f>
        <v>46379</v>
      </c>
      <c r="AD16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5" spans="1:30">
      <c r="A1605" s="3">
        <v>12306</v>
      </c>
      <c r="B1605" s="3" t="s">
        <v>510</v>
      </c>
      <c r="C1605" s="3"/>
      <c r="D1605" s="3" t="s">
        <v>748</v>
      </c>
      <c r="E1605" s="3"/>
      <c r="F1605" s="42" t="s">
        <v>562</v>
      </c>
      <c r="G1605" s="3"/>
      <c r="H1605" s="6">
        <v>0</v>
      </c>
      <c r="I1605" s="41">
        <f>VLOOKUP(Tabla1[[#This Row],[PAGO DIA]],DIAS!A:B,2,0)</f>
        <v>46078</v>
      </c>
      <c r="J1605" s="6">
        <v>0</v>
      </c>
      <c r="K1605" s="43">
        <f>VLOOKUP(Tabla1[[#This Row],[PAGO DIA]],DIAS!A:C,3,0)</f>
        <v>46105</v>
      </c>
      <c r="L1605" s="6">
        <v>0</v>
      </c>
      <c r="M1605" s="41">
        <f>VLOOKUP(Tabla1[[#This Row],[PAGO DIA]],DIAS!A:D,4,0)</f>
        <v>46140</v>
      </c>
      <c r="N1605" s="6">
        <v>0</v>
      </c>
      <c r="O1605" s="43">
        <f>VLOOKUP(Tabla1[[#This Row],[PAGO DIA]],DIAS!A:E,5,0)</f>
        <v>46168</v>
      </c>
      <c r="P1605" s="6">
        <v>0</v>
      </c>
      <c r="Q1605" s="43">
        <f>VLOOKUP(Tabla1[[#This Row],[PAGO DIA]],DIAS!A:F,6,0)</f>
        <v>46196</v>
      </c>
      <c r="R1605" s="6">
        <v>0</v>
      </c>
      <c r="S1605" s="43">
        <f>VLOOKUP(Tabla1[[#This Row],[PAGO DIA]],DIAS!A:G,7,0)</f>
        <v>46231</v>
      </c>
      <c r="T1605" s="6">
        <v>0</v>
      </c>
      <c r="U1605" s="43">
        <f>VLOOKUP(Tabla1[[#This Row],[PAGO DIA]],DIAS!A:H,8,0)</f>
        <v>46259</v>
      </c>
      <c r="V1605" s="6">
        <v>0</v>
      </c>
      <c r="W1605" s="43">
        <f>VLOOKUP(Tabla1[[#This Row],[PAGO DIA]],DIAS!A:I,9,0)</f>
        <v>46287</v>
      </c>
      <c r="X1605" s="6">
        <v>0</v>
      </c>
      <c r="Y1605" s="43">
        <f>VLOOKUP(Tabla1[[#This Row],[PAGO DIA]],DIAS!A:J,10,0)</f>
        <v>46322</v>
      </c>
      <c r="Z1605" s="6">
        <v>0</v>
      </c>
      <c r="AA1605" s="43">
        <f>VLOOKUP(Tabla1[[#This Row],[PAGO DIA]],DIAS!A:K,11,0)</f>
        <v>46350</v>
      </c>
      <c r="AB1605" s="6">
        <v>0</v>
      </c>
      <c r="AC1605" s="43">
        <f>VLOOKUP(Tabla1[[#This Row],[PAGO DIA]],DIAS!A:M,12,0)</f>
        <v>46379</v>
      </c>
      <c r="AD16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6" spans="1:30">
      <c r="A1606" s="3">
        <v>12307</v>
      </c>
      <c r="B1606" s="3" t="s">
        <v>510</v>
      </c>
      <c r="C1606" s="3"/>
      <c r="D1606" s="3" t="s">
        <v>2100</v>
      </c>
      <c r="E1606" s="3"/>
      <c r="F1606" s="42" t="s">
        <v>562</v>
      </c>
      <c r="G1606" s="3"/>
      <c r="H1606" s="6">
        <v>0</v>
      </c>
      <c r="I1606" s="41">
        <f>VLOOKUP(Tabla1[[#This Row],[PAGO DIA]],DIAS!A:B,2,0)</f>
        <v>46078</v>
      </c>
      <c r="J1606" s="6">
        <v>0</v>
      </c>
      <c r="K1606" s="43">
        <f>VLOOKUP(Tabla1[[#This Row],[PAGO DIA]],DIAS!A:C,3,0)</f>
        <v>46105</v>
      </c>
      <c r="L1606" s="6">
        <v>0</v>
      </c>
      <c r="M1606" s="41">
        <f>VLOOKUP(Tabla1[[#This Row],[PAGO DIA]],DIAS!A:D,4,0)</f>
        <v>46140</v>
      </c>
      <c r="N1606" s="6">
        <v>0</v>
      </c>
      <c r="O1606" s="43">
        <f>VLOOKUP(Tabla1[[#This Row],[PAGO DIA]],DIAS!A:E,5,0)</f>
        <v>46168</v>
      </c>
      <c r="P1606" s="6">
        <v>0</v>
      </c>
      <c r="Q1606" s="43">
        <f>VLOOKUP(Tabla1[[#This Row],[PAGO DIA]],DIAS!A:F,6,0)</f>
        <v>46196</v>
      </c>
      <c r="R1606" s="6">
        <v>0</v>
      </c>
      <c r="S1606" s="43">
        <f>VLOOKUP(Tabla1[[#This Row],[PAGO DIA]],DIAS!A:G,7,0)</f>
        <v>46231</v>
      </c>
      <c r="T1606" s="6">
        <v>0</v>
      </c>
      <c r="U1606" s="43">
        <f>VLOOKUP(Tabla1[[#This Row],[PAGO DIA]],DIAS!A:H,8,0)</f>
        <v>46259</v>
      </c>
      <c r="V1606" s="6">
        <v>0</v>
      </c>
      <c r="W1606" s="43">
        <f>VLOOKUP(Tabla1[[#This Row],[PAGO DIA]],DIAS!A:I,9,0)</f>
        <v>46287</v>
      </c>
      <c r="X1606" s="6">
        <v>0</v>
      </c>
      <c r="Y1606" s="43">
        <f>VLOOKUP(Tabla1[[#This Row],[PAGO DIA]],DIAS!A:J,10,0)</f>
        <v>46322</v>
      </c>
      <c r="Z1606" s="6">
        <v>0</v>
      </c>
      <c r="AA1606" s="43">
        <f>VLOOKUP(Tabla1[[#This Row],[PAGO DIA]],DIAS!A:K,11,0)</f>
        <v>46350</v>
      </c>
      <c r="AB1606" s="6">
        <v>0</v>
      </c>
      <c r="AC1606" s="43">
        <f>VLOOKUP(Tabla1[[#This Row],[PAGO DIA]],DIAS!A:M,12,0)</f>
        <v>46379</v>
      </c>
      <c r="AD16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7" spans="1:30">
      <c r="A1607" s="3">
        <v>12308</v>
      </c>
      <c r="B1607" s="3" t="s">
        <v>510</v>
      </c>
      <c r="C1607" s="3"/>
      <c r="D1607" s="3" t="s">
        <v>2101</v>
      </c>
      <c r="E1607" s="3"/>
      <c r="F1607" s="42" t="s">
        <v>562</v>
      </c>
      <c r="G1607" s="3"/>
      <c r="H1607" s="6">
        <v>0</v>
      </c>
      <c r="I1607" s="41">
        <f>VLOOKUP(Tabla1[[#This Row],[PAGO DIA]],DIAS!A:B,2,0)</f>
        <v>46078</v>
      </c>
      <c r="J1607" s="6">
        <v>0</v>
      </c>
      <c r="K1607" s="43">
        <f>VLOOKUP(Tabla1[[#This Row],[PAGO DIA]],DIAS!A:C,3,0)</f>
        <v>46105</v>
      </c>
      <c r="L1607" s="6">
        <v>0</v>
      </c>
      <c r="M1607" s="41">
        <f>VLOOKUP(Tabla1[[#This Row],[PAGO DIA]],DIAS!A:D,4,0)</f>
        <v>46140</v>
      </c>
      <c r="N1607" s="6">
        <v>0</v>
      </c>
      <c r="O1607" s="43">
        <f>VLOOKUP(Tabla1[[#This Row],[PAGO DIA]],DIAS!A:E,5,0)</f>
        <v>46168</v>
      </c>
      <c r="P1607" s="6">
        <v>0</v>
      </c>
      <c r="Q1607" s="43">
        <f>VLOOKUP(Tabla1[[#This Row],[PAGO DIA]],DIAS!A:F,6,0)</f>
        <v>46196</v>
      </c>
      <c r="R1607" s="6">
        <v>0</v>
      </c>
      <c r="S1607" s="43">
        <f>VLOOKUP(Tabla1[[#This Row],[PAGO DIA]],DIAS!A:G,7,0)</f>
        <v>46231</v>
      </c>
      <c r="T1607" s="6">
        <v>0</v>
      </c>
      <c r="U1607" s="43">
        <f>VLOOKUP(Tabla1[[#This Row],[PAGO DIA]],DIAS!A:H,8,0)</f>
        <v>46259</v>
      </c>
      <c r="V1607" s="6">
        <v>0</v>
      </c>
      <c r="W1607" s="43">
        <f>VLOOKUP(Tabla1[[#This Row],[PAGO DIA]],DIAS!A:I,9,0)</f>
        <v>46287</v>
      </c>
      <c r="X1607" s="6">
        <v>0</v>
      </c>
      <c r="Y1607" s="43">
        <f>VLOOKUP(Tabla1[[#This Row],[PAGO DIA]],DIAS!A:J,10,0)</f>
        <v>46322</v>
      </c>
      <c r="Z1607" s="6">
        <v>0</v>
      </c>
      <c r="AA1607" s="43">
        <f>VLOOKUP(Tabla1[[#This Row],[PAGO DIA]],DIAS!A:K,11,0)</f>
        <v>46350</v>
      </c>
      <c r="AB1607" s="6">
        <v>0</v>
      </c>
      <c r="AC1607" s="43">
        <f>VLOOKUP(Tabla1[[#This Row],[PAGO DIA]],DIAS!A:M,12,0)</f>
        <v>46379</v>
      </c>
      <c r="AD16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8" spans="1:30">
      <c r="A1608" s="3">
        <v>12309</v>
      </c>
      <c r="B1608" s="3" t="s">
        <v>510</v>
      </c>
      <c r="C1608" s="3"/>
      <c r="D1608" s="3" t="s">
        <v>2101</v>
      </c>
      <c r="E1608" s="3"/>
      <c r="F1608" s="42" t="s">
        <v>562</v>
      </c>
      <c r="G1608" s="3"/>
      <c r="H1608" s="6">
        <v>0</v>
      </c>
      <c r="I1608" s="41">
        <f>VLOOKUP(Tabla1[[#This Row],[PAGO DIA]],DIAS!A:B,2,0)</f>
        <v>46078</v>
      </c>
      <c r="J1608" s="6">
        <v>0</v>
      </c>
      <c r="K1608" s="43">
        <f>VLOOKUP(Tabla1[[#This Row],[PAGO DIA]],DIAS!A:C,3,0)</f>
        <v>46105</v>
      </c>
      <c r="L1608" s="6">
        <v>0</v>
      </c>
      <c r="M1608" s="41">
        <f>VLOOKUP(Tabla1[[#This Row],[PAGO DIA]],DIAS!A:D,4,0)</f>
        <v>46140</v>
      </c>
      <c r="N1608" s="6">
        <v>0</v>
      </c>
      <c r="O1608" s="43">
        <f>VLOOKUP(Tabla1[[#This Row],[PAGO DIA]],DIAS!A:E,5,0)</f>
        <v>46168</v>
      </c>
      <c r="P1608" s="6">
        <v>0</v>
      </c>
      <c r="Q1608" s="43">
        <f>VLOOKUP(Tabla1[[#This Row],[PAGO DIA]],DIAS!A:F,6,0)</f>
        <v>46196</v>
      </c>
      <c r="R1608" s="6">
        <v>0</v>
      </c>
      <c r="S1608" s="43">
        <f>VLOOKUP(Tabla1[[#This Row],[PAGO DIA]],DIAS!A:G,7,0)</f>
        <v>46231</v>
      </c>
      <c r="T1608" s="6">
        <v>0</v>
      </c>
      <c r="U1608" s="43">
        <f>VLOOKUP(Tabla1[[#This Row],[PAGO DIA]],DIAS!A:H,8,0)</f>
        <v>46259</v>
      </c>
      <c r="V1608" s="6">
        <v>0</v>
      </c>
      <c r="W1608" s="43">
        <f>VLOOKUP(Tabla1[[#This Row],[PAGO DIA]],DIAS!A:I,9,0)</f>
        <v>46287</v>
      </c>
      <c r="X1608" s="6">
        <v>0</v>
      </c>
      <c r="Y1608" s="43">
        <f>VLOOKUP(Tabla1[[#This Row],[PAGO DIA]],DIAS!A:J,10,0)</f>
        <v>46322</v>
      </c>
      <c r="Z1608" s="6">
        <v>0</v>
      </c>
      <c r="AA1608" s="43">
        <f>VLOOKUP(Tabla1[[#This Row],[PAGO DIA]],DIAS!A:K,11,0)</f>
        <v>46350</v>
      </c>
      <c r="AB1608" s="6">
        <v>0</v>
      </c>
      <c r="AC1608" s="43">
        <f>VLOOKUP(Tabla1[[#This Row],[PAGO DIA]],DIAS!A:M,12,0)</f>
        <v>46379</v>
      </c>
      <c r="AD16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09" spans="1:30">
      <c r="A1609" s="3">
        <v>12310</v>
      </c>
      <c r="B1609" s="3" t="s">
        <v>510</v>
      </c>
      <c r="C1609" s="3"/>
      <c r="D1609" s="3" t="s">
        <v>2102</v>
      </c>
      <c r="E1609" s="3"/>
      <c r="F1609" s="42" t="s">
        <v>562</v>
      </c>
      <c r="G1609" s="3"/>
      <c r="H1609" s="6">
        <v>0</v>
      </c>
      <c r="I1609" s="41">
        <f>VLOOKUP(Tabla1[[#This Row],[PAGO DIA]],DIAS!A:B,2,0)</f>
        <v>46078</v>
      </c>
      <c r="J1609" s="6">
        <v>0</v>
      </c>
      <c r="K1609" s="43">
        <f>VLOOKUP(Tabla1[[#This Row],[PAGO DIA]],DIAS!A:C,3,0)</f>
        <v>46105</v>
      </c>
      <c r="L1609" s="6">
        <v>0</v>
      </c>
      <c r="M1609" s="41">
        <f>VLOOKUP(Tabla1[[#This Row],[PAGO DIA]],DIAS!A:D,4,0)</f>
        <v>46140</v>
      </c>
      <c r="N1609" s="6">
        <v>0</v>
      </c>
      <c r="O1609" s="43">
        <f>VLOOKUP(Tabla1[[#This Row],[PAGO DIA]],DIAS!A:E,5,0)</f>
        <v>46168</v>
      </c>
      <c r="P1609" s="6">
        <v>0</v>
      </c>
      <c r="Q1609" s="43">
        <f>VLOOKUP(Tabla1[[#This Row],[PAGO DIA]],DIAS!A:F,6,0)</f>
        <v>46196</v>
      </c>
      <c r="R1609" s="6">
        <v>0</v>
      </c>
      <c r="S1609" s="43">
        <f>VLOOKUP(Tabla1[[#This Row],[PAGO DIA]],DIAS!A:G,7,0)</f>
        <v>46231</v>
      </c>
      <c r="T1609" s="6">
        <v>0</v>
      </c>
      <c r="U1609" s="43">
        <f>VLOOKUP(Tabla1[[#This Row],[PAGO DIA]],DIAS!A:H,8,0)</f>
        <v>46259</v>
      </c>
      <c r="V1609" s="6">
        <v>0</v>
      </c>
      <c r="W1609" s="43">
        <f>VLOOKUP(Tabla1[[#This Row],[PAGO DIA]],DIAS!A:I,9,0)</f>
        <v>46287</v>
      </c>
      <c r="X1609" s="6">
        <v>0</v>
      </c>
      <c r="Y1609" s="43">
        <f>VLOOKUP(Tabla1[[#This Row],[PAGO DIA]],DIAS!A:J,10,0)</f>
        <v>46322</v>
      </c>
      <c r="Z1609" s="6">
        <v>0</v>
      </c>
      <c r="AA1609" s="43">
        <f>VLOOKUP(Tabla1[[#This Row],[PAGO DIA]],DIAS!A:K,11,0)</f>
        <v>46350</v>
      </c>
      <c r="AB1609" s="6">
        <v>0</v>
      </c>
      <c r="AC1609" s="43">
        <f>VLOOKUP(Tabla1[[#This Row],[PAGO DIA]],DIAS!A:M,12,0)</f>
        <v>46379</v>
      </c>
      <c r="AD16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0" spans="1:30">
      <c r="A1610" s="3">
        <v>12311</v>
      </c>
      <c r="B1610" s="3" t="s">
        <v>510</v>
      </c>
      <c r="C1610" s="3"/>
      <c r="D1610" s="3" t="s">
        <v>2103</v>
      </c>
      <c r="E1610" s="3"/>
      <c r="F1610" s="42" t="s">
        <v>562</v>
      </c>
      <c r="G1610" s="3"/>
      <c r="H1610" s="6">
        <v>0</v>
      </c>
      <c r="I1610" s="41">
        <f>VLOOKUP(Tabla1[[#This Row],[PAGO DIA]],DIAS!A:B,2,0)</f>
        <v>46078</v>
      </c>
      <c r="J1610" s="6">
        <v>0</v>
      </c>
      <c r="K1610" s="43">
        <f>VLOOKUP(Tabla1[[#This Row],[PAGO DIA]],DIAS!A:C,3,0)</f>
        <v>46105</v>
      </c>
      <c r="L1610" s="6">
        <v>0</v>
      </c>
      <c r="M1610" s="41">
        <f>VLOOKUP(Tabla1[[#This Row],[PAGO DIA]],DIAS!A:D,4,0)</f>
        <v>46140</v>
      </c>
      <c r="N1610" s="6">
        <v>0</v>
      </c>
      <c r="O1610" s="43">
        <f>VLOOKUP(Tabla1[[#This Row],[PAGO DIA]],DIAS!A:E,5,0)</f>
        <v>46168</v>
      </c>
      <c r="P1610" s="6">
        <v>0</v>
      </c>
      <c r="Q1610" s="43">
        <f>VLOOKUP(Tabla1[[#This Row],[PAGO DIA]],DIAS!A:F,6,0)</f>
        <v>46196</v>
      </c>
      <c r="R1610" s="6">
        <v>0</v>
      </c>
      <c r="S1610" s="43">
        <f>VLOOKUP(Tabla1[[#This Row],[PAGO DIA]],DIAS!A:G,7,0)</f>
        <v>46231</v>
      </c>
      <c r="T1610" s="6">
        <v>0</v>
      </c>
      <c r="U1610" s="43">
        <f>VLOOKUP(Tabla1[[#This Row],[PAGO DIA]],DIAS!A:H,8,0)</f>
        <v>46259</v>
      </c>
      <c r="V1610" s="6">
        <v>0</v>
      </c>
      <c r="W1610" s="43">
        <f>VLOOKUP(Tabla1[[#This Row],[PAGO DIA]],DIAS!A:I,9,0)</f>
        <v>46287</v>
      </c>
      <c r="X1610" s="6">
        <v>0</v>
      </c>
      <c r="Y1610" s="43">
        <f>VLOOKUP(Tabla1[[#This Row],[PAGO DIA]],DIAS!A:J,10,0)</f>
        <v>46322</v>
      </c>
      <c r="Z1610" s="6">
        <v>0</v>
      </c>
      <c r="AA1610" s="43">
        <f>VLOOKUP(Tabla1[[#This Row],[PAGO DIA]],DIAS!A:K,11,0)</f>
        <v>46350</v>
      </c>
      <c r="AB1610" s="6">
        <v>0</v>
      </c>
      <c r="AC1610" s="43">
        <f>VLOOKUP(Tabla1[[#This Row],[PAGO DIA]],DIAS!A:M,12,0)</f>
        <v>46379</v>
      </c>
      <c r="AD16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1" spans="1:30">
      <c r="A1611" s="3">
        <v>12312</v>
      </c>
      <c r="B1611" s="3" t="s">
        <v>510</v>
      </c>
      <c r="C1611" s="3"/>
      <c r="D1611" s="3" t="s">
        <v>2104</v>
      </c>
      <c r="E1611" s="3"/>
      <c r="F1611" s="42" t="s">
        <v>562</v>
      </c>
      <c r="G1611" s="3"/>
      <c r="H1611" s="6">
        <v>0</v>
      </c>
      <c r="I1611" s="41">
        <f>VLOOKUP(Tabla1[[#This Row],[PAGO DIA]],DIAS!A:B,2,0)</f>
        <v>46078</v>
      </c>
      <c r="J1611" s="6">
        <v>0</v>
      </c>
      <c r="K1611" s="43">
        <f>VLOOKUP(Tabla1[[#This Row],[PAGO DIA]],DIAS!A:C,3,0)</f>
        <v>46105</v>
      </c>
      <c r="L1611" s="6">
        <v>0</v>
      </c>
      <c r="M1611" s="41">
        <f>VLOOKUP(Tabla1[[#This Row],[PAGO DIA]],DIAS!A:D,4,0)</f>
        <v>46140</v>
      </c>
      <c r="N1611" s="6">
        <v>0</v>
      </c>
      <c r="O1611" s="43">
        <f>VLOOKUP(Tabla1[[#This Row],[PAGO DIA]],DIAS!A:E,5,0)</f>
        <v>46168</v>
      </c>
      <c r="P1611" s="6">
        <v>0</v>
      </c>
      <c r="Q1611" s="43">
        <f>VLOOKUP(Tabla1[[#This Row],[PAGO DIA]],DIAS!A:F,6,0)</f>
        <v>46196</v>
      </c>
      <c r="R1611" s="6">
        <v>0</v>
      </c>
      <c r="S1611" s="43">
        <f>VLOOKUP(Tabla1[[#This Row],[PAGO DIA]],DIAS!A:G,7,0)</f>
        <v>46231</v>
      </c>
      <c r="T1611" s="6">
        <v>0</v>
      </c>
      <c r="U1611" s="43">
        <f>VLOOKUP(Tabla1[[#This Row],[PAGO DIA]],DIAS!A:H,8,0)</f>
        <v>46259</v>
      </c>
      <c r="V1611" s="6">
        <v>0</v>
      </c>
      <c r="W1611" s="43">
        <f>VLOOKUP(Tabla1[[#This Row],[PAGO DIA]],DIAS!A:I,9,0)</f>
        <v>46287</v>
      </c>
      <c r="X1611" s="6">
        <v>0</v>
      </c>
      <c r="Y1611" s="43">
        <f>VLOOKUP(Tabla1[[#This Row],[PAGO DIA]],DIAS!A:J,10,0)</f>
        <v>46322</v>
      </c>
      <c r="Z1611" s="6">
        <v>0</v>
      </c>
      <c r="AA1611" s="43">
        <f>VLOOKUP(Tabla1[[#This Row],[PAGO DIA]],DIAS!A:K,11,0)</f>
        <v>46350</v>
      </c>
      <c r="AB1611" s="6">
        <v>0</v>
      </c>
      <c r="AC1611" s="43">
        <f>VLOOKUP(Tabla1[[#This Row],[PAGO DIA]],DIAS!A:M,12,0)</f>
        <v>46379</v>
      </c>
      <c r="AD16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2" spans="1:30">
      <c r="A1612" s="3">
        <v>12313</v>
      </c>
      <c r="B1612" s="3" t="s">
        <v>510</v>
      </c>
      <c r="C1612" s="3"/>
      <c r="D1612" s="3" t="s">
        <v>2105</v>
      </c>
      <c r="E1612" s="3"/>
      <c r="F1612" s="42" t="s">
        <v>562</v>
      </c>
      <c r="G1612" s="3"/>
      <c r="H1612" s="6">
        <v>0</v>
      </c>
      <c r="I1612" s="41">
        <f>VLOOKUP(Tabla1[[#This Row],[PAGO DIA]],DIAS!A:B,2,0)</f>
        <v>46078</v>
      </c>
      <c r="J1612" s="6">
        <v>0</v>
      </c>
      <c r="K1612" s="43">
        <f>VLOOKUP(Tabla1[[#This Row],[PAGO DIA]],DIAS!A:C,3,0)</f>
        <v>46105</v>
      </c>
      <c r="L1612" s="6">
        <v>0</v>
      </c>
      <c r="M1612" s="41">
        <f>VLOOKUP(Tabla1[[#This Row],[PAGO DIA]],DIAS!A:D,4,0)</f>
        <v>46140</v>
      </c>
      <c r="N1612" s="6">
        <v>0</v>
      </c>
      <c r="O1612" s="43">
        <f>VLOOKUP(Tabla1[[#This Row],[PAGO DIA]],DIAS!A:E,5,0)</f>
        <v>46168</v>
      </c>
      <c r="P1612" s="6">
        <v>0</v>
      </c>
      <c r="Q1612" s="43">
        <f>VLOOKUP(Tabla1[[#This Row],[PAGO DIA]],DIAS!A:F,6,0)</f>
        <v>46196</v>
      </c>
      <c r="R1612" s="6">
        <v>0</v>
      </c>
      <c r="S1612" s="43">
        <f>VLOOKUP(Tabla1[[#This Row],[PAGO DIA]],DIAS!A:G,7,0)</f>
        <v>46231</v>
      </c>
      <c r="T1612" s="6">
        <v>0</v>
      </c>
      <c r="U1612" s="43">
        <f>VLOOKUP(Tabla1[[#This Row],[PAGO DIA]],DIAS!A:H,8,0)</f>
        <v>46259</v>
      </c>
      <c r="V1612" s="6">
        <v>0</v>
      </c>
      <c r="W1612" s="43">
        <f>VLOOKUP(Tabla1[[#This Row],[PAGO DIA]],DIAS!A:I,9,0)</f>
        <v>46287</v>
      </c>
      <c r="X1612" s="6">
        <v>0</v>
      </c>
      <c r="Y1612" s="43">
        <f>VLOOKUP(Tabla1[[#This Row],[PAGO DIA]],DIAS!A:J,10,0)</f>
        <v>46322</v>
      </c>
      <c r="Z1612" s="6">
        <v>0</v>
      </c>
      <c r="AA1612" s="43">
        <f>VLOOKUP(Tabla1[[#This Row],[PAGO DIA]],DIAS!A:K,11,0)</f>
        <v>46350</v>
      </c>
      <c r="AB1612" s="6">
        <v>0</v>
      </c>
      <c r="AC1612" s="43">
        <f>VLOOKUP(Tabla1[[#This Row],[PAGO DIA]],DIAS!A:M,12,0)</f>
        <v>46379</v>
      </c>
      <c r="AD16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3" spans="1:30">
      <c r="A1613" s="3">
        <v>12314</v>
      </c>
      <c r="B1613" s="3" t="s">
        <v>510</v>
      </c>
      <c r="C1613" s="3"/>
      <c r="D1613" s="3" t="s">
        <v>2106</v>
      </c>
      <c r="E1613" s="3"/>
      <c r="F1613" s="42" t="s">
        <v>562</v>
      </c>
      <c r="G1613" s="3"/>
      <c r="H1613" s="6">
        <v>0</v>
      </c>
      <c r="I1613" s="41">
        <f>VLOOKUP(Tabla1[[#This Row],[PAGO DIA]],DIAS!A:B,2,0)</f>
        <v>46078</v>
      </c>
      <c r="J1613" s="6">
        <v>0</v>
      </c>
      <c r="K1613" s="43">
        <f>VLOOKUP(Tabla1[[#This Row],[PAGO DIA]],DIAS!A:C,3,0)</f>
        <v>46105</v>
      </c>
      <c r="L1613" s="6">
        <v>0</v>
      </c>
      <c r="M1613" s="41">
        <f>VLOOKUP(Tabla1[[#This Row],[PAGO DIA]],DIAS!A:D,4,0)</f>
        <v>46140</v>
      </c>
      <c r="N1613" s="6">
        <v>0</v>
      </c>
      <c r="O1613" s="43">
        <f>VLOOKUP(Tabla1[[#This Row],[PAGO DIA]],DIAS!A:E,5,0)</f>
        <v>46168</v>
      </c>
      <c r="P1613" s="6">
        <v>0</v>
      </c>
      <c r="Q1613" s="43">
        <f>VLOOKUP(Tabla1[[#This Row],[PAGO DIA]],DIAS!A:F,6,0)</f>
        <v>46196</v>
      </c>
      <c r="R1613" s="6">
        <v>0</v>
      </c>
      <c r="S1613" s="43">
        <f>VLOOKUP(Tabla1[[#This Row],[PAGO DIA]],DIAS!A:G,7,0)</f>
        <v>46231</v>
      </c>
      <c r="T1613" s="6">
        <v>0</v>
      </c>
      <c r="U1613" s="43">
        <f>VLOOKUP(Tabla1[[#This Row],[PAGO DIA]],DIAS!A:H,8,0)</f>
        <v>46259</v>
      </c>
      <c r="V1613" s="6">
        <v>0</v>
      </c>
      <c r="W1613" s="43">
        <f>VLOOKUP(Tabla1[[#This Row],[PAGO DIA]],DIAS!A:I,9,0)</f>
        <v>46287</v>
      </c>
      <c r="X1613" s="6">
        <v>0</v>
      </c>
      <c r="Y1613" s="43">
        <f>VLOOKUP(Tabla1[[#This Row],[PAGO DIA]],DIAS!A:J,10,0)</f>
        <v>46322</v>
      </c>
      <c r="Z1613" s="6">
        <v>0</v>
      </c>
      <c r="AA1613" s="43">
        <f>VLOOKUP(Tabla1[[#This Row],[PAGO DIA]],DIAS!A:K,11,0)</f>
        <v>46350</v>
      </c>
      <c r="AB1613" s="6">
        <v>0</v>
      </c>
      <c r="AC1613" s="43">
        <f>VLOOKUP(Tabla1[[#This Row],[PAGO DIA]],DIAS!A:M,12,0)</f>
        <v>46379</v>
      </c>
      <c r="AD16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4" spans="1:30">
      <c r="A1614" s="3">
        <v>12315</v>
      </c>
      <c r="B1614" s="3" t="s">
        <v>510</v>
      </c>
      <c r="C1614" s="3"/>
      <c r="D1614" s="3" t="s">
        <v>2107</v>
      </c>
      <c r="E1614" s="3"/>
      <c r="F1614" s="42" t="s">
        <v>562</v>
      </c>
      <c r="G1614" s="3"/>
      <c r="H1614" s="6">
        <v>0</v>
      </c>
      <c r="I1614" s="41">
        <f>VLOOKUP(Tabla1[[#This Row],[PAGO DIA]],DIAS!A:B,2,0)</f>
        <v>46078</v>
      </c>
      <c r="J1614" s="6">
        <v>0</v>
      </c>
      <c r="K1614" s="43">
        <f>VLOOKUP(Tabla1[[#This Row],[PAGO DIA]],DIAS!A:C,3,0)</f>
        <v>46105</v>
      </c>
      <c r="L1614" s="6">
        <v>0</v>
      </c>
      <c r="M1614" s="41">
        <f>VLOOKUP(Tabla1[[#This Row],[PAGO DIA]],DIAS!A:D,4,0)</f>
        <v>46140</v>
      </c>
      <c r="N1614" s="6">
        <v>0</v>
      </c>
      <c r="O1614" s="43">
        <f>VLOOKUP(Tabla1[[#This Row],[PAGO DIA]],DIAS!A:E,5,0)</f>
        <v>46168</v>
      </c>
      <c r="P1614" s="6">
        <v>0</v>
      </c>
      <c r="Q1614" s="43">
        <f>VLOOKUP(Tabla1[[#This Row],[PAGO DIA]],DIAS!A:F,6,0)</f>
        <v>46196</v>
      </c>
      <c r="R1614" s="6">
        <v>0</v>
      </c>
      <c r="S1614" s="43">
        <f>VLOOKUP(Tabla1[[#This Row],[PAGO DIA]],DIAS!A:G,7,0)</f>
        <v>46231</v>
      </c>
      <c r="T1614" s="6">
        <v>0</v>
      </c>
      <c r="U1614" s="43">
        <f>VLOOKUP(Tabla1[[#This Row],[PAGO DIA]],DIAS!A:H,8,0)</f>
        <v>46259</v>
      </c>
      <c r="V1614" s="6">
        <v>0</v>
      </c>
      <c r="W1614" s="43">
        <f>VLOOKUP(Tabla1[[#This Row],[PAGO DIA]],DIAS!A:I,9,0)</f>
        <v>46287</v>
      </c>
      <c r="X1614" s="6">
        <v>0</v>
      </c>
      <c r="Y1614" s="43">
        <f>VLOOKUP(Tabla1[[#This Row],[PAGO DIA]],DIAS!A:J,10,0)</f>
        <v>46322</v>
      </c>
      <c r="Z1614" s="6">
        <v>0</v>
      </c>
      <c r="AA1614" s="43">
        <f>VLOOKUP(Tabla1[[#This Row],[PAGO DIA]],DIAS!A:K,11,0)</f>
        <v>46350</v>
      </c>
      <c r="AB1614" s="6">
        <v>0</v>
      </c>
      <c r="AC1614" s="43">
        <f>VLOOKUP(Tabla1[[#This Row],[PAGO DIA]],DIAS!A:M,12,0)</f>
        <v>46379</v>
      </c>
      <c r="AD16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5" spans="1:30">
      <c r="A1615" s="3">
        <v>12316</v>
      </c>
      <c r="B1615" s="3" t="s">
        <v>510</v>
      </c>
      <c r="C1615" s="3"/>
      <c r="D1615" s="3" t="s">
        <v>2108</v>
      </c>
      <c r="E1615" s="3"/>
      <c r="F1615" s="42" t="s">
        <v>562</v>
      </c>
      <c r="G1615" s="3"/>
      <c r="H1615" s="6">
        <v>0</v>
      </c>
      <c r="I1615" s="41">
        <f>VLOOKUP(Tabla1[[#This Row],[PAGO DIA]],DIAS!A:B,2,0)</f>
        <v>46078</v>
      </c>
      <c r="J1615" s="6">
        <v>0</v>
      </c>
      <c r="K1615" s="43">
        <f>VLOOKUP(Tabla1[[#This Row],[PAGO DIA]],DIAS!A:C,3,0)</f>
        <v>46105</v>
      </c>
      <c r="L1615" s="6">
        <v>0</v>
      </c>
      <c r="M1615" s="41">
        <f>VLOOKUP(Tabla1[[#This Row],[PAGO DIA]],DIAS!A:D,4,0)</f>
        <v>46140</v>
      </c>
      <c r="N1615" s="6">
        <v>0</v>
      </c>
      <c r="O1615" s="43">
        <f>VLOOKUP(Tabla1[[#This Row],[PAGO DIA]],DIAS!A:E,5,0)</f>
        <v>46168</v>
      </c>
      <c r="P1615" s="6">
        <v>0</v>
      </c>
      <c r="Q1615" s="43">
        <f>VLOOKUP(Tabla1[[#This Row],[PAGO DIA]],DIAS!A:F,6,0)</f>
        <v>46196</v>
      </c>
      <c r="R1615" s="6">
        <v>0</v>
      </c>
      <c r="S1615" s="43">
        <f>VLOOKUP(Tabla1[[#This Row],[PAGO DIA]],DIAS!A:G,7,0)</f>
        <v>46231</v>
      </c>
      <c r="T1615" s="6">
        <v>0</v>
      </c>
      <c r="U1615" s="43">
        <f>VLOOKUP(Tabla1[[#This Row],[PAGO DIA]],DIAS!A:H,8,0)</f>
        <v>46259</v>
      </c>
      <c r="V1615" s="6">
        <v>0</v>
      </c>
      <c r="W1615" s="43">
        <f>VLOOKUP(Tabla1[[#This Row],[PAGO DIA]],DIAS!A:I,9,0)</f>
        <v>46287</v>
      </c>
      <c r="X1615" s="6">
        <v>0</v>
      </c>
      <c r="Y1615" s="43">
        <f>VLOOKUP(Tabla1[[#This Row],[PAGO DIA]],DIAS!A:J,10,0)</f>
        <v>46322</v>
      </c>
      <c r="Z1615" s="6">
        <v>0</v>
      </c>
      <c r="AA1615" s="43">
        <f>VLOOKUP(Tabla1[[#This Row],[PAGO DIA]],DIAS!A:K,11,0)</f>
        <v>46350</v>
      </c>
      <c r="AB1615" s="6">
        <v>0</v>
      </c>
      <c r="AC1615" s="43">
        <f>VLOOKUP(Tabla1[[#This Row],[PAGO DIA]],DIAS!A:M,12,0)</f>
        <v>46379</v>
      </c>
      <c r="AD16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6" spans="1:30">
      <c r="A1616" s="3">
        <v>12317</v>
      </c>
      <c r="B1616" s="3" t="s">
        <v>510</v>
      </c>
      <c r="C1616" s="3"/>
      <c r="D1616" s="3" t="s">
        <v>2109</v>
      </c>
      <c r="E1616" s="3"/>
      <c r="F1616" s="42" t="s">
        <v>562</v>
      </c>
      <c r="G1616" s="3"/>
      <c r="H1616" s="6">
        <v>0</v>
      </c>
      <c r="I1616" s="41">
        <f>VLOOKUP(Tabla1[[#This Row],[PAGO DIA]],DIAS!A:B,2,0)</f>
        <v>46078</v>
      </c>
      <c r="J1616" s="6">
        <v>0</v>
      </c>
      <c r="K1616" s="43">
        <f>VLOOKUP(Tabla1[[#This Row],[PAGO DIA]],DIAS!A:C,3,0)</f>
        <v>46105</v>
      </c>
      <c r="L1616" s="6">
        <v>0</v>
      </c>
      <c r="M1616" s="41">
        <f>VLOOKUP(Tabla1[[#This Row],[PAGO DIA]],DIAS!A:D,4,0)</f>
        <v>46140</v>
      </c>
      <c r="N1616" s="6">
        <v>0</v>
      </c>
      <c r="O1616" s="43">
        <f>VLOOKUP(Tabla1[[#This Row],[PAGO DIA]],DIAS!A:E,5,0)</f>
        <v>46168</v>
      </c>
      <c r="P1616" s="6">
        <v>0</v>
      </c>
      <c r="Q1616" s="43">
        <f>VLOOKUP(Tabla1[[#This Row],[PAGO DIA]],DIAS!A:F,6,0)</f>
        <v>46196</v>
      </c>
      <c r="R1616" s="6">
        <v>0</v>
      </c>
      <c r="S1616" s="43">
        <f>VLOOKUP(Tabla1[[#This Row],[PAGO DIA]],DIAS!A:G,7,0)</f>
        <v>46231</v>
      </c>
      <c r="T1616" s="6">
        <v>0</v>
      </c>
      <c r="U1616" s="43">
        <f>VLOOKUP(Tabla1[[#This Row],[PAGO DIA]],DIAS!A:H,8,0)</f>
        <v>46259</v>
      </c>
      <c r="V1616" s="6">
        <v>0</v>
      </c>
      <c r="W1616" s="43">
        <f>VLOOKUP(Tabla1[[#This Row],[PAGO DIA]],DIAS!A:I,9,0)</f>
        <v>46287</v>
      </c>
      <c r="X1616" s="6">
        <v>0</v>
      </c>
      <c r="Y1616" s="43">
        <f>VLOOKUP(Tabla1[[#This Row],[PAGO DIA]],DIAS!A:J,10,0)</f>
        <v>46322</v>
      </c>
      <c r="Z1616" s="6">
        <v>0</v>
      </c>
      <c r="AA1616" s="43">
        <f>VLOOKUP(Tabla1[[#This Row],[PAGO DIA]],DIAS!A:K,11,0)</f>
        <v>46350</v>
      </c>
      <c r="AB1616" s="6">
        <v>0</v>
      </c>
      <c r="AC1616" s="43">
        <f>VLOOKUP(Tabla1[[#This Row],[PAGO DIA]],DIAS!A:M,12,0)</f>
        <v>46379</v>
      </c>
      <c r="AD16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7" spans="1:30">
      <c r="A1617" s="3">
        <v>12318</v>
      </c>
      <c r="B1617" s="3" t="s">
        <v>510</v>
      </c>
      <c r="C1617" s="3"/>
      <c r="D1617" s="3" t="s">
        <v>2110</v>
      </c>
      <c r="E1617" s="3"/>
      <c r="F1617" s="42" t="s">
        <v>562</v>
      </c>
      <c r="G1617" s="3"/>
      <c r="H1617" s="6">
        <v>0</v>
      </c>
      <c r="I1617" s="41">
        <f>VLOOKUP(Tabla1[[#This Row],[PAGO DIA]],DIAS!A:B,2,0)</f>
        <v>46078</v>
      </c>
      <c r="J1617" s="6">
        <v>0</v>
      </c>
      <c r="K1617" s="43">
        <f>VLOOKUP(Tabla1[[#This Row],[PAGO DIA]],DIAS!A:C,3,0)</f>
        <v>46105</v>
      </c>
      <c r="L1617" s="6">
        <v>0</v>
      </c>
      <c r="M1617" s="41">
        <f>VLOOKUP(Tabla1[[#This Row],[PAGO DIA]],DIAS!A:D,4,0)</f>
        <v>46140</v>
      </c>
      <c r="N1617" s="6">
        <v>0</v>
      </c>
      <c r="O1617" s="43">
        <f>VLOOKUP(Tabla1[[#This Row],[PAGO DIA]],DIAS!A:E,5,0)</f>
        <v>46168</v>
      </c>
      <c r="P1617" s="6">
        <v>0</v>
      </c>
      <c r="Q1617" s="43">
        <f>VLOOKUP(Tabla1[[#This Row],[PAGO DIA]],DIAS!A:F,6,0)</f>
        <v>46196</v>
      </c>
      <c r="R1617" s="6">
        <v>0</v>
      </c>
      <c r="S1617" s="43">
        <f>VLOOKUP(Tabla1[[#This Row],[PAGO DIA]],DIAS!A:G,7,0)</f>
        <v>46231</v>
      </c>
      <c r="T1617" s="6">
        <v>0</v>
      </c>
      <c r="U1617" s="43">
        <f>VLOOKUP(Tabla1[[#This Row],[PAGO DIA]],DIAS!A:H,8,0)</f>
        <v>46259</v>
      </c>
      <c r="V1617" s="6">
        <v>0</v>
      </c>
      <c r="W1617" s="43">
        <f>VLOOKUP(Tabla1[[#This Row],[PAGO DIA]],DIAS!A:I,9,0)</f>
        <v>46287</v>
      </c>
      <c r="X1617" s="6">
        <v>0</v>
      </c>
      <c r="Y1617" s="43">
        <f>VLOOKUP(Tabla1[[#This Row],[PAGO DIA]],DIAS!A:J,10,0)</f>
        <v>46322</v>
      </c>
      <c r="Z1617" s="6">
        <v>0</v>
      </c>
      <c r="AA1617" s="43">
        <f>VLOOKUP(Tabla1[[#This Row],[PAGO DIA]],DIAS!A:K,11,0)</f>
        <v>46350</v>
      </c>
      <c r="AB1617" s="6">
        <v>0</v>
      </c>
      <c r="AC1617" s="43">
        <f>VLOOKUP(Tabla1[[#This Row],[PAGO DIA]],DIAS!A:M,12,0)</f>
        <v>46379</v>
      </c>
      <c r="AD16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8" spans="1:30">
      <c r="A1618" s="3">
        <v>12319</v>
      </c>
      <c r="B1618" s="3" t="s">
        <v>510</v>
      </c>
      <c r="C1618" s="3"/>
      <c r="D1618" s="3" t="s">
        <v>2111</v>
      </c>
      <c r="E1618" s="3"/>
      <c r="F1618" s="42" t="s">
        <v>562</v>
      </c>
      <c r="G1618" s="3"/>
      <c r="H1618" s="6">
        <v>0</v>
      </c>
      <c r="I1618" s="41">
        <f>VLOOKUP(Tabla1[[#This Row],[PAGO DIA]],DIAS!A:B,2,0)</f>
        <v>46078</v>
      </c>
      <c r="J1618" s="6">
        <v>0</v>
      </c>
      <c r="K1618" s="43">
        <f>VLOOKUP(Tabla1[[#This Row],[PAGO DIA]],DIAS!A:C,3,0)</f>
        <v>46105</v>
      </c>
      <c r="L1618" s="6">
        <v>0</v>
      </c>
      <c r="M1618" s="41">
        <f>VLOOKUP(Tabla1[[#This Row],[PAGO DIA]],DIAS!A:D,4,0)</f>
        <v>46140</v>
      </c>
      <c r="N1618" s="6">
        <v>0</v>
      </c>
      <c r="O1618" s="43">
        <f>VLOOKUP(Tabla1[[#This Row],[PAGO DIA]],DIAS!A:E,5,0)</f>
        <v>46168</v>
      </c>
      <c r="P1618" s="6">
        <v>0</v>
      </c>
      <c r="Q1618" s="43">
        <f>VLOOKUP(Tabla1[[#This Row],[PAGO DIA]],DIAS!A:F,6,0)</f>
        <v>46196</v>
      </c>
      <c r="R1618" s="6">
        <v>0</v>
      </c>
      <c r="S1618" s="43">
        <f>VLOOKUP(Tabla1[[#This Row],[PAGO DIA]],DIAS!A:G,7,0)</f>
        <v>46231</v>
      </c>
      <c r="T1618" s="6">
        <v>0</v>
      </c>
      <c r="U1618" s="43">
        <f>VLOOKUP(Tabla1[[#This Row],[PAGO DIA]],DIAS!A:H,8,0)</f>
        <v>46259</v>
      </c>
      <c r="V1618" s="6">
        <v>0</v>
      </c>
      <c r="W1618" s="43">
        <f>VLOOKUP(Tabla1[[#This Row],[PAGO DIA]],DIAS!A:I,9,0)</f>
        <v>46287</v>
      </c>
      <c r="X1618" s="6">
        <v>0</v>
      </c>
      <c r="Y1618" s="43">
        <f>VLOOKUP(Tabla1[[#This Row],[PAGO DIA]],DIAS!A:J,10,0)</f>
        <v>46322</v>
      </c>
      <c r="Z1618" s="6">
        <v>0</v>
      </c>
      <c r="AA1618" s="43">
        <f>VLOOKUP(Tabla1[[#This Row],[PAGO DIA]],DIAS!A:K,11,0)</f>
        <v>46350</v>
      </c>
      <c r="AB1618" s="6">
        <v>0</v>
      </c>
      <c r="AC1618" s="43">
        <f>VLOOKUP(Tabla1[[#This Row],[PAGO DIA]],DIAS!A:M,12,0)</f>
        <v>46379</v>
      </c>
      <c r="AD16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19" spans="1:30">
      <c r="A1619" s="3">
        <v>12320</v>
      </c>
      <c r="B1619" s="3" t="s">
        <v>510</v>
      </c>
      <c r="C1619" s="3"/>
      <c r="D1619" s="3" t="s">
        <v>2112</v>
      </c>
      <c r="E1619" s="3"/>
      <c r="F1619" s="42" t="s">
        <v>562</v>
      </c>
      <c r="G1619" s="3"/>
      <c r="H1619" s="6">
        <v>0</v>
      </c>
      <c r="I1619" s="41">
        <f>VLOOKUP(Tabla1[[#This Row],[PAGO DIA]],DIAS!A:B,2,0)</f>
        <v>46078</v>
      </c>
      <c r="J1619" s="6">
        <v>0</v>
      </c>
      <c r="K1619" s="43">
        <f>VLOOKUP(Tabla1[[#This Row],[PAGO DIA]],DIAS!A:C,3,0)</f>
        <v>46105</v>
      </c>
      <c r="L1619" s="6">
        <v>0</v>
      </c>
      <c r="M1619" s="41">
        <f>VLOOKUP(Tabla1[[#This Row],[PAGO DIA]],DIAS!A:D,4,0)</f>
        <v>46140</v>
      </c>
      <c r="N1619" s="6">
        <v>0</v>
      </c>
      <c r="O1619" s="43">
        <f>VLOOKUP(Tabla1[[#This Row],[PAGO DIA]],DIAS!A:E,5,0)</f>
        <v>46168</v>
      </c>
      <c r="P1619" s="6">
        <v>0</v>
      </c>
      <c r="Q1619" s="43">
        <f>VLOOKUP(Tabla1[[#This Row],[PAGO DIA]],DIAS!A:F,6,0)</f>
        <v>46196</v>
      </c>
      <c r="R1619" s="6">
        <v>0</v>
      </c>
      <c r="S1619" s="43">
        <f>VLOOKUP(Tabla1[[#This Row],[PAGO DIA]],DIAS!A:G,7,0)</f>
        <v>46231</v>
      </c>
      <c r="T1619" s="6">
        <v>0</v>
      </c>
      <c r="U1619" s="43">
        <f>VLOOKUP(Tabla1[[#This Row],[PAGO DIA]],DIAS!A:H,8,0)</f>
        <v>46259</v>
      </c>
      <c r="V1619" s="6">
        <v>0</v>
      </c>
      <c r="W1619" s="43">
        <f>VLOOKUP(Tabla1[[#This Row],[PAGO DIA]],DIAS!A:I,9,0)</f>
        <v>46287</v>
      </c>
      <c r="X1619" s="6">
        <v>0</v>
      </c>
      <c r="Y1619" s="43">
        <f>VLOOKUP(Tabla1[[#This Row],[PAGO DIA]],DIAS!A:J,10,0)</f>
        <v>46322</v>
      </c>
      <c r="Z1619" s="6">
        <v>0</v>
      </c>
      <c r="AA1619" s="43">
        <f>VLOOKUP(Tabla1[[#This Row],[PAGO DIA]],DIAS!A:K,11,0)</f>
        <v>46350</v>
      </c>
      <c r="AB1619" s="6">
        <v>0</v>
      </c>
      <c r="AC1619" s="43">
        <f>VLOOKUP(Tabla1[[#This Row],[PAGO DIA]],DIAS!A:M,12,0)</f>
        <v>46379</v>
      </c>
      <c r="AD16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0" spans="1:30">
      <c r="A1620" s="3">
        <v>12321</v>
      </c>
      <c r="B1620" s="3" t="s">
        <v>510</v>
      </c>
      <c r="C1620" s="3"/>
      <c r="D1620" s="3" t="s">
        <v>2113</v>
      </c>
      <c r="E1620" s="3"/>
      <c r="F1620" s="42" t="s">
        <v>562</v>
      </c>
      <c r="G1620" s="3"/>
      <c r="H1620" s="6">
        <v>0</v>
      </c>
      <c r="I1620" s="41">
        <f>VLOOKUP(Tabla1[[#This Row],[PAGO DIA]],DIAS!A:B,2,0)</f>
        <v>46078</v>
      </c>
      <c r="J1620" s="6">
        <v>0</v>
      </c>
      <c r="K1620" s="43">
        <f>VLOOKUP(Tabla1[[#This Row],[PAGO DIA]],DIAS!A:C,3,0)</f>
        <v>46105</v>
      </c>
      <c r="L1620" s="6">
        <v>0</v>
      </c>
      <c r="M1620" s="41">
        <f>VLOOKUP(Tabla1[[#This Row],[PAGO DIA]],DIAS!A:D,4,0)</f>
        <v>46140</v>
      </c>
      <c r="N1620" s="6">
        <v>0</v>
      </c>
      <c r="O1620" s="43">
        <f>VLOOKUP(Tabla1[[#This Row],[PAGO DIA]],DIAS!A:E,5,0)</f>
        <v>46168</v>
      </c>
      <c r="P1620" s="6">
        <v>0</v>
      </c>
      <c r="Q1620" s="43">
        <f>VLOOKUP(Tabla1[[#This Row],[PAGO DIA]],DIAS!A:F,6,0)</f>
        <v>46196</v>
      </c>
      <c r="R1620" s="6">
        <v>0</v>
      </c>
      <c r="S1620" s="43">
        <f>VLOOKUP(Tabla1[[#This Row],[PAGO DIA]],DIAS!A:G,7,0)</f>
        <v>46231</v>
      </c>
      <c r="T1620" s="6">
        <v>0</v>
      </c>
      <c r="U1620" s="43">
        <f>VLOOKUP(Tabla1[[#This Row],[PAGO DIA]],DIAS!A:H,8,0)</f>
        <v>46259</v>
      </c>
      <c r="V1620" s="6">
        <v>0</v>
      </c>
      <c r="W1620" s="43">
        <f>VLOOKUP(Tabla1[[#This Row],[PAGO DIA]],DIAS!A:I,9,0)</f>
        <v>46287</v>
      </c>
      <c r="X1620" s="6">
        <v>0</v>
      </c>
      <c r="Y1620" s="43">
        <f>VLOOKUP(Tabla1[[#This Row],[PAGO DIA]],DIAS!A:J,10,0)</f>
        <v>46322</v>
      </c>
      <c r="Z1620" s="6">
        <v>0</v>
      </c>
      <c r="AA1620" s="43">
        <f>VLOOKUP(Tabla1[[#This Row],[PAGO DIA]],DIAS!A:K,11,0)</f>
        <v>46350</v>
      </c>
      <c r="AB1620" s="6">
        <v>0</v>
      </c>
      <c r="AC1620" s="43">
        <f>VLOOKUP(Tabla1[[#This Row],[PAGO DIA]],DIAS!A:M,12,0)</f>
        <v>46379</v>
      </c>
      <c r="AD16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1" spans="1:30">
      <c r="A1621" s="3">
        <v>12322</v>
      </c>
      <c r="B1621" s="3" t="s">
        <v>510</v>
      </c>
      <c r="C1621" s="3"/>
      <c r="D1621" s="3" t="s">
        <v>2114</v>
      </c>
      <c r="E1621" s="3"/>
      <c r="F1621" s="42" t="s">
        <v>562</v>
      </c>
      <c r="G1621" s="3"/>
      <c r="H1621" s="6">
        <v>0</v>
      </c>
      <c r="I1621" s="41">
        <f>VLOOKUP(Tabla1[[#This Row],[PAGO DIA]],DIAS!A:B,2,0)</f>
        <v>46078</v>
      </c>
      <c r="J1621" s="6">
        <v>0</v>
      </c>
      <c r="K1621" s="43">
        <f>VLOOKUP(Tabla1[[#This Row],[PAGO DIA]],DIAS!A:C,3,0)</f>
        <v>46105</v>
      </c>
      <c r="L1621" s="6">
        <v>0</v>
      </c>
      <c r="M1621" s="41">
        <f>VLOOKUP(Tabla1[[#This Row],[PAGO DIA]],DIAS!A:D,4,0)</f>
        <v>46140</v>
      </c>
      <c r="N1621" s="6">
        <v>0</v>
      </c>
      <c r="O1621" s="43">
        <f>VLOOKUP(Tabla1[[#This Row],[PAGO DIA]],DIAS!A:E,5,0)</f>
        <v>46168</v>
      </c>
      <c r="P1621" s="6">
        <v>0</v>
      </c>
      <c r="Q1621" s="43">
        <f>VLOOKUP(Tabla1[[#This Row],[PAGO DIA]],DIAS!A:F,6,0)</f>
        <v>46196</v>
      </c>
      <c r="R1621" s="6">
        <v>0</v>
      </c>
      <c r="S1621" s="43">
        <f>VLOOKUP(Tabla1[[#This Row],[PAGO DIA]],DIAS!A:G,7,0)</f>
        <v>46231</v>
      </c>
      <c r="T1621" s="6">
        <v>0</v>
      </c>
      <c r="U1621" s="43">
        <f>VLOOKUP(Tabla1[[#This Row],[PAGO DIA]],DIAS!A:H,8,0)</f>
        <v>46259</v>
      </c>
      <c r="V1621" s="6">
        <v>0</v>
      </c>
      <c r="W1621" s="43">
        <f>VLOOKUP(Tabla1[[#This Row],[PAGO DIA]],DIAS!A:I,9,0)</f>
        <v>46287</v>
      </c>
      <c r="X1621" s="6">
        <v>0</v>
      </c>
      <c r="Y1621" s="43">
        <f>VLOOKUP(Tabla1[[#This Row],[PAGO DIA]],DIAS!A:J,10,0)</f>
        <v>46322</v>
      </c>
      <c r="Z1621" s="6">
        <v>0</v>
      </c>
      <c r="AA1621" s="43">
        <f>VLOOKUP(Tabla1[[#This Row],[PAGO DIA]],DIAS!A:K,11,0)</f>
        <v>46350</v>
      </c>
      <c r="AB1621" s="6">
        <v>0</v>
      </c>
      <c r="AC1621" s="43">
        <f>VLOOKUP(Tabla1[[#This Row],[PAGO DIA]],DIAS!A:M,12,0)</f>
        <v>46379</v>
      </c>
      <c r="AD16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2" spans="1:30">
      <c r="A1622" s="3">
        <v>12323</v>
      </c>
      <c r="B1622" s="3" t="s">
        <v>510</v>
      </c>
      <c r="C1622" s="3"/>
      <c r="D1622" s="3" t="s">
        <v>2115</v>
      </c>
      <c r="E1622" s="3"/>
      <c r="F1622" s="42" t="s">
        <v>562</v>
      </c>
      <c r="G1622" s="3"/>
      <c r="H1622" s="6">
        <v>0</v>
      </c>
      <c r="I1622" s="41">
        <f>VLOOKUP(Tabla1[[#This Row],[PAGO DIA]],DIAS!A:B,2,0)</f>
        <v>46078</v>
      </c>
      <c r="J1622" s="6">
        <v>0</v>
      </c>
      <c r="K1622" s="43">
        <f>VLOOKUP(Tabla1[[#This Row],[PAGO DIA]],DIAS!A:C,3,0)</f>
        <v>46105</v>
      </c>
      <c r="L1622" s="6">
        <v>0</v>
      </c>
      <c r="M1622" s="41">
        <f>VLOOKUP(Tabla1[[#This Row],[PAGO DIA]],DIAS!A:D,4,0)</f>
        <v>46140</v>
      </c>
      <c r="N1622" s="6">
        <v>0</v>
      </c>
      <c r="O1622" s="43">
        <f>VLOOKUP(Tabla1[[#This Row],[PAGO DIA]],DIAS!A:E,5,0)</f>
        <v>46168</v>
      </c>
      <c r="P1622" s="6">
        <v>0</v>
      </c>
      <c r="Q1622" s="43">
        <f>VLOOKUP(Tabla1[[#This Row],[PAGO DIA]],DIAS!A:F,6,0)</f>
        <v>46196</v>
      </c>
      <c r="R1622" s="6">
        <v>0</v>
      </c>
      <c r="S1622" s="43">
        <f>VLOOKUP(Tabla1[[#This Row],[PAGO DIA]],DIAS!A:G,7,0)</f>
        <v>46231</v>
      </c>
      <c r="T1622" s="6">
        <v>0</v>
      </c>
      <c r="U1622" s="43">
        <f>VLOOKUP(Tabla1[[#This Row],[PAGO DIA]],DIAS!A:H,8,0)</f>
        <v>46259</v>
      </c>
      <c r="V1622" s="6">
        <v>0</v>
      </c>
      <c r="W1622" s="43">
        <f>VLOOKUP(Tabla1[[#This Row],[PAGO DIA]],DIAS!A:I,9,0)</f>
        <v>46287</v>
      </c>
      <c r="X1622" s="6">
        <v>0</v>
      </c>
      <c r="Y1622" s="43">
        <f>VLOOKUP(Tabla1[[#This Row],[PAGO DIA]],DIAS!A:J,10,0)</f>
        <v>46322</v>
      </c>
      <c r="Z1622" s="6">
        <v>0</v>
      </c>
      <c r="AA1622" s="43">
        <f>VLOOKUP(Tabla1[[#This Row],[PAGO DIA]],DIAS!A:K,11,0)</f>
        <v>46350</v>
      </c>
      <c r="AB1622" s="6">
        <v>0</v>
      </c>
      <c r="AC1622" s="43">
        <f>VLOOKUP(Tabla1[[#This Row],[PAGO DIA]],DIAS!A:M,12,0)</f>
        <v>46379</v>
      </c>
      <c r="AD16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3" spans="1:30">
      <c r="A1623" s="3">
        <v>12324</v>
      </c>
      <c r="B1623" s="3" t="s">
        <v>510</v>
      </c>
      <c r="C1623" s="3"/>
      <c r="D1623" s="3" t="s">
        <v>2116</v>
      </c>
      <c r="E1623" s="3"/>
      <c r="F1623" s="42" t="s">
        <v>562</v>
      </c>
      <c r="G1623" s="3"/>
      <c r="H1623" s="6">
        <v>0</v>
      </c>
      <c r="I1623" s="41">
        <f>VLOOKUP(Tabla1[[#This Row],[PAGO DIA]],DIAS!A:B,2,0)</f>
        <v>46078</v>
      </c>
      <c r="J1623" s="6">
        <v>0</v>
      </c>
      <c r="K1623" s="43">
        <f>VLOOKUP(Tabla1[[#This Row],[PAGO DIA]],DIAS!A:C,3,0)</f>
        <v>46105</v>
      </c>
      <c r="L1623" s="6">
        <v>0</v>
      </c>
      <c r="M1623" s="41">
        <f>VLOOKUP(Tabla1[[#This Row],[PAGO DIA]],DIAS!A:D,4,0)</f>
        <v>46140</v>
      </c>
      <c r="N1623" s="6">
        <v>0</v>
      </c>
      <c r="O1623" s="43">
        <f>VLOOKUP(Tabla1[[#This Row],[PAGO DIA]],DIAS!A:E,5,0)</f>
        <v>46168</v>
      </c>
      <c r="P1623" s="6">
        <v>0</v>
      </c>
      <c r="Q1623" s="43">
        <f>VLOOKUP(Tabla1[[#This Row],[PAGO DIA]],DIAS!A:F,6,0)</f>
        <v>46196</v>
      </c>
      <c r="R1623" s="6">
        <v>0</v>
      </c>
      <c r="S1623" s="43">
        <f>VLOOKUP(Tabla1[[#This Row],[PAGO DIA]],DIAS!A:G,7,0)</f>
        <v>46231</v>
      </c>
      <c r="T1623" s="6">
        <v>0</v>
      </c>
      <c r="U1623" s="43">
        <f>VLOOKUP(Tabla1[[#This Row],[PAGO DIA]],DIAS!A:H,8,0)</f>
        <v>46259</v>
      </c>
      <c r="V1623" s="6">
        <v>0</v>
      </c>
      <c r="W1623" s="43">
        <f>VLOOKUP(Tabla1[[#This Row],[PAGO DIA]],DIAS!A:I,9,0)</f>
        <v>46287</v>
      </c>
      <c r="X1623" s="6">
        <v>0</v>
      </c>
      <c r="Y1623" s="43">
        <f>VLOOKUP(Tabla1[[#This Row],[PAGO DIA]],DIAS!A:J,10,0)</f>
        <v>46322</v>
      </c>
      <c r="Z1623" s="6">
        <v>0</v>
      </c>
      <c r="AA1623" s="43">
        <f>VLOOKUP(Tabla1[[#This Row],[PAGO DIA]],DIAS!A:K,11,0)</f>
        <v>46350</v>
      </c>
      <c r="AB1623" s="6">
        <v>0</v>
      </c>
      <c r="AC1623" s="43">
        <f>VLOOKUP(Tabla1[[#This Row],[PAGO DIA]],DIAS!A:M,12,0)</f>
        <v>46379</v>
      </c>
      <c r="AD16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4" spans="1:30">
      <c r="A1624" s="3">
        <v>12325</v>
      </c>
      <c r="B1624" s="3" t="s">
        <v>510</v>
      </c>
      <c r="C1624" s="3"/>
      <c r="D1624" s="3" t="s">
        <v>2116</v>
      </c>
      <c r="E1624" s="3"/>
      <c r="F1624" s="42" t="s">
        <v>562</v>
      </c>
      <c r="G1624" s="3"/>
      <c r="H1624" s="6">
        <v>0</v>
      </c>
      <c r="I1624" s="41">
        <f>VLOOKUP(Tabla1[[#This Row],[PAGO DIA]],DIAS!A:B,2,0)</f>
        <v>46078</v>
      </c>
      <c r="J1624" s="6">
        <v>0</v>
      </c>
      <c r="K1624" s="43">
        <f>VLOOKUP(Tabla1[[#This Row],[PAGO DIA]],DIAS!A:C,3,0)</f>
        <v>46105</v>
      </c>
      <c r="L1624" s="6">
        <v>0</v>
      </c>
      <c r="M1624" s="41">
        <f>VLOOKUP(Tabla1[[#This Row],[PAGO DIA]],DIAS!A:D,4,0)</f>
        <v>46140</v>
      </c>
      <c r="N1624" s="6">
        <v>0</v>
      </c>
      <c r="O1624" s="43">
        <f>VLOOKUP(Tabla1[[#This Row],[PAGO DIA]],DIAS!A:E,5,0)</f>
        <v>46168</v>
      </c>
      <c r="P1624" s="6">
        <v>0</v>
      </c>
      <c r="Q1624" s="43">
        <f>VLOOKUP(Tabla1[[#This Row],[PAGO DIA]],DIAS!A:F,6,0)</f>
        <v>46196</v>
      </c>
      <c r="R1624" s="6">
        <v>0</v>
      </c>
      <c r="S1624" s="43">
        <f>VLOOKUP(Tabla1[[#This Row],[PAGO DIA]],DIAS!A:G,7,0)</f>
        <v>46231</v>
      </c>
      <c r="T1624" s="6">
        <v>0</v>
      </c>
      <c r="U1624" s="43">
        <f>VLOOKUP(Tabla1[[#This Row],[PAGO DIA]],DIAS!A:H,8,0)</f>
        <v>46259</v>
      </c>
      <c r="V1624" s="6">
        <v>0</v>
      </c>
      <c r="W1624" s="43">
        <f>VLOOKUP(Tabla1[[#This Row],[PAGO DIA]],DIAS!A:I,9,0)</f>
        <v>46287</v>
      </c>
      <c r="X1624" s="6">
        <v>0</v>
      </c>
      <c r="Y1624" s="43">
        <f>VLOOKUP(Tabla1[[#This Row],[PAGO DIA]],DIAS!A:J,10,0)</f>
        <v>46322</v>
      </c>
      <c r="Z1624" s="6">
        <v>0</v>
      </c>
      <c r="AA1624" s="43">
        <f>VLOOKUP(Tabla1[[#This Row],[PAGO DIA]],DIAS!A:K,11,0)</f>
        <v>46350</v>
      </c>
      <c r="AB1624" s="6">
        <v>0</v>
      </c>
      <c r="AC1624" s="43">
        <f>VLOOKUP(Tabla1[[#This Row],[PAGO DIA]],DIAS!A:M,12,0)</f>
        <v>46379</v>
      </c>
      <c r="AD16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5" spans="1:30">
      <c r="A1625" s="3">
        <v>12326</v>
      </c>
      <c r="B1625" s="3" t="s">
        <v>510</v>
      </c>
      <c r="C1625" s="3"/>
      <c r="D1625" s="3" t="s">
        <v>2117</v>
      </c>
      <c r="E1625" s="3"/>
      <c r="F1625" s="42" t="s">
        <v>562</v>
      </c>
      <c r="G1625" s="3"/>
      <c r="H1625" s="6">
        <v>0</v>
      </c>
      <c r="I1625" s="41">
        <f>VLOOKUP(Tabla1[[#This Row],[PAGO DIA]],DIAS!A:B,2,0)</f>
        <v>46078</v>
      </c>
      <c r="J1625" s="6">
        <v>0</v>
      </c>
      <c r="K1625" s="43">
        <f>VLOOKUP(Tabla1[[#This Row],[PAGO DIA]],DIAS!A:C,3,0)</f>
        <v>46105</v>
      </c>
      <c r="L1625" s="6">
        <v>0</v>
      </c>
      <c r="M1625" s="41">
        <f>VLOOKUP(Tabla1[[#This Row],[PAGO DIA]],DIAS!A:D,4,0)</f>
        <v>46140</v>
      </c>
      <c r="N1625" s="6">
        <v>0</v>
      </c>
      <c r="O1625" s="43">
        <f>VLOOKUP(Tabla1[[#This Row],[PAGO DIA]],DIAS!A:E,5,0)</f>
        <v>46168</v>
      </c>
      <c r="P1625" s="6">
        <v>0</v>
      </c>
      <c r="Q1625" s="43">
        <f>VLOOKUP(Tabla1[[#This Row],[PAGO DIA]],DIAS!A:F,6,0)</f>
        <v>46196</v>
      </c>
      <c r="R1625" s="6">
        <v>0</v>
      </c>
      <c r="S1625" s="43">
        <f>VLOOKUP(Tabla1[[#This Row],[PAGO DIA]],DIAS!A:G,7,0)</f>
        <v>46231</v>
      </c>
      <c r="T1625" s="6">
        <v>0</v>
      </c>
      <c r="U1625" s="43">
        <f>VLOOKUP(Tabla1[[#This Row],[PAGO DIA]],DIAS!A:H,8,0)</f>
        <v>46259</v>
      </c>
      <c r="V1625" s="6">
        <v>0</v>
      </c>
      <c r="W1625" s="43">
        <f>VLOOKUP(Tabla1[[#This Row],[PAGO DIA]],DIAS!A:I,9,0)</f>
        <v>46287</v>
      </c>
      <c r="X1625" s="6">
        <v>0</v>
      </c>
      <c r="Y1625" s="43">
        <f>VLOOKUP(Tabla1[[#This Row],[PAGO DIA]],DIAS!A:J,10,0)</f>
        <v>46322</v>
      </c>
      <c r="Z1625" s="6">
        <v>0</v>
      </c>
      <c r="AA1625" s="43">
        <f>VLOOKUP(Tabla1[[#This Row],[PAGO DIA]],DIAS!A:K,11,0)</f>
        <v>46350</v>
      </c>
      <c r="AB1625" s="6">
        <v>0</v>
      </c>
      <c r="AC1625" s="43">
        <f>VLOOKUP(Tabla1[[#This Row],[PAGO DIA]],DIAS!A:M,12,0)</f>
        <v>46379</v>
      </c>
      <c r="AD16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6" spans="1:30">
      <c r="A1626" s="3">
        <v>12327</v>
      </c>
      <c r="B1626" s="3" t="s">
        <v>510</v>
      </c>
      <c r="C1626" s="3"/>
      <c r="D1626" s="3" t="s">
        <v>2118</v>
      </c>
      <c r="E1626" s="3"/>
      <c r="F1626" s="42" t="s">
        <v>562</v>
      </c>
      <c r="G1626" s="3"/>
      <c r="H1626" s="6">
        <v>0</v>
      </c>
      <c r="I1626" s="41">
        <f>VLOOKUP(Tabla1[[#This Row],[PAGO DIA]],DIAS!A:B,2,0)</f>
        <v>46078</v>
      </c>
      <c r="J1626" s="6">
        <v>0</v>
      </c>
      <c r="K1626" s="43">
        <f>VLOOKUP(Tabla1[[#This Row],[PAGO DIA]],DIAS!A:C,3,0)</f>
        <v>46105</v>
      </c>
      <c r="L1626" s="6">
        <v>0</v>
      </c>
      <c r="M1626" s="41">
        <f>VLOOKUP(Tabla1[[#This Row],[PAGO DIA]],DIAS!A:D,4,0)</f>
        <v>46140</v>
      </c>
      <c r="N1626" s="6">
        <v>0</v>
      </c>
      <c r="O1626" s="43">
        <f>VLOOKUP(Tabla1[[#This Row],[PAGO DIA]],DIAS!A:E,5,0)</f>
        <v>46168</v>
      </c>
      <c r="P1626" s="6">
        <v>0</v>
      </c>
      <c r="Q1626" s="43">
        <f>VLOOKUP(Tabla1[[#This Row],[PAGO DIA]],DIAS!A:F,6,0)</f>
        <v>46196</v>
      </c>
      <c r="R1626" s="6">
        <v>0</v>
      </c>
      <c r="S1626" s="43">
        <f>VLOOKUP(Tabla1[[#This Row],[PAGO DIA]],DIAS!A:G,7,0)</f>
        <v>46231</v>
      </c>
      <c r="T1626" s="6">
        <v>0</v>
      </c>
      <c r="U1626" s="43">
        <f>VLOOKUP(Tabla1[[#This Row],[PAGO DIA]],DIAS!A:H,8,0)</f>
        <v>46259</v>
      </c>
      <c r="V1626" s="6">
        <v>0</v>
      </c>
      <c r="W1626" s="43">
        <f>VLOOKUP(Tabla1[[#This Row],[PAGO DIA]],DIAS!A:I,9,0)</f>
        <v>46287</v>
      </c>
      <c r="X1626" s="6">
        <v>0</v>
      </c>
      <c r="Y1626" s="43">
        <f>VLOOKUP(Tabla1[[#This Row],[PAGO DIA]],DIAS!A:J,10,0)</f>
        <v>46322</v>
      </c>
      <c r="Z1626" s="6">
        <v>0</v>
      </c>
      <c r="AA1626" s="43">
        <f>VLOOKUP(Tabla1[[#This Row],[PAGO DIA]],DIAS!A:K,11,0)</f>
        <v>46350</v>
      </c>
      <c r="AB1626" s="6">
        <v>0</v>
      </c>
      <c r="AC1626" s="43">
        <f>VLOOKUP(Tabla1[[#This Row],[PAGO DIA]],DIAS!A:M,12,0)</f>
        <v>46379</v>
      </c>
      <c r="AD16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7" spans="1:30">
      <c r="A1627" s="3">
        <v>12328</v>
      </c>
      <c r="B1627" s="3" t="s">
        <v>510</v>
      </c>
      <c r="C1627" s="3"/>
      <c r="D1627" s="3" t="s">
        <v>2119</v>
      </c>
      <c r="E1627" s="3"/>
      <c r="F1627" s="42" t="s">
        <v>562</v>
      </c>
      <c r="G1627" s="3"/>
      <c r="H1627" s="6">
        <v>0</v>
      </c>
      <c r="I1627" s="41">
        <f>VLOOKUP(Tabla1[[#This Row],[PAGO DIA]],DIAS!A:B,2,0)</f>
        <v>46078</v>
      </c>
      <c r="J1627" s="6">
        <v>0</v>
      </c>
      <c r="K1627" s="43">
        <f>VLOOKUP(Tabla1[[#This Row],[PAGO DIA]],DIAS!A:C,3,0)</f>
        <v>46105</v>
      </c>
      <c r="L1627" s="6">
        <v>0</v>
      </c>
      <c r="M1627" s="41">
        <f>VLOOKUP(Tabla1[[#This Row],[PAGO DIA]],DIAS!A:D,4,0)</f>
        <v>46140</v>
      </c>
      <c r="N1627" s="6">
        <v>0</v>
      </c>
      <c r="O1627" s="43">
        <f>VLOOKUP(Tabla1[[#This Row],[PAGO DIA]],DIAS!A:E,5,0)</f>
        <v>46168</v>
      </c>
      <c r="P1627" s="6">
        <v>0</v>
      </c>
      <c r="Q1627" s="43">
        <f>VLOOKUP(Tabla1[[#This Row],[PAGO DIA]],DIAS!A:F,6,0)</f>
        <v>46196</v>
      </c>
      <c r="R1627" s="6">
        <v>0</v>
      </c>
      <c r="S1627" s="43">
        <f>VLOOKUP(Tabla1[[#This Row],[PAGO DIA]],DIAS!A:G,7,0)</f>
        <v>46231</v>
      </c>
      <c r="T1627" s="6">
        <v>0</v>
      </c>
      <c r="U1627" s="43">
        <f>VLOOKUP(Tabla1[[#This Row],[PAGO DIA]],DIAS!A:H,8,0)</f>
        <v>46259</v>
      </c>
      <c r="V1627" s="6">
        <v>0</v>
      </c>
      <c r="W1627" s="43">
        <f>VLOOKUP(Tabla1[[#This Row],[PAGO DIA]],DIAS!A:I,9,0)</f>
        <v>46287</v>
      </c>
      <c r="X1627" s="6">
        <v>0</v>
      </c>
      <c r="Y1627" s="43">
        <f>VLOOKUP(Tabla1[[#This Row],[PAGO DIA]],DIAS!A:J,10,0)</f>
        <v>46322</v>
      </c>
      <c r="Z1627" s="6">
        <v>0</v>
      </c>
      <c r="AA1627" s="43">
        <f>VLOOKUP(Tabla1[[#This Row],[PAGO DIA]],DIAS!A:K,11,0)</f>
        <v>46350</v>
      </c>
      <c r="AB1627" s="6">
        <v>0</v>
      </c>
      <c r="AC1627" s="43">
        <f>VLOOKUP(Tabla1[[#This Row],[PAGO DIA]],DIAS!A:M,12,0)</f>
        <v>46379</v>
      </c>
      <c r="AD16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8" spans="1:30">
      <c r="A1628" s="3">
        <v>12329</v>
      </c>
      <c r="B1628" s="3" t="s">
        <v>510</v>
      </c>
      <c r="C1628" s="3"/>
      <c r="D1628" s="3" t="s">
        <v>2120</v>
      </c>
      <c r="E1628" s="3"/>
      <c r="F1628" s="42" t="s">
        <v>562</v>
      </c>
      <c r="G1628" s="3"/>
      <c r="H1628" s="6">
        <v>0</v>
      </c>
      <c r="I1628" s="41">
        <f>VLOOKUP(Tabla1[[#This Row],[PAGO DIA]],DIAS!A:B,2,0)</f>
        <v>46078</v>
      </c>
      <c r="J1628" s="6">
        <v>0</v>
      </c>
      <c r="K1628" s="43">
        <f>VLOOKUP(Tabla1[[#This Row],[PAGO DIA]],DIAS!A:C,3,0)</f>
        <v>46105</v>
      </c>
      <c r="L1628" s="6">
        <v>0</v>
      </c>
      <c r="M1628" s="41">
        <f>VLOOKUP(Tabla1[[#This Row],[PAGO DIA]],DIAS!A:D,4,0)</f>
        <v>46140</v>
      </c>
      <c r="N1628" s="6">
        <v>0</v>
      </c>
      <c r="O1628" s="43">
        <f>VLOOKUP(Tabla1[[#This Row],[PAGO DIA]],DIAS!A:E,5,0)</f>
        <v>46168</v>
      </c>
      <c r="P1628" s="6">
        <v>0</v>
      </c>
      <c r="Q1628" s="43">
        <f>VLOOKUP(Tabla1[[#This Row],[PAGO DIA]],DIAS!A:F,6,0)</f>
        <v>46196</v>
      </c>
      <c r="R1628" s="6">
        <v>0</v>
      </c>
      <c r="S1628" s="43">
        <f>VLOOKUP(Tabla1[[#This Row],[PAGO DIA]],DIAS!A:G,7,0)</f>
        <v>46231</v>
      </c>
      <c r="T1628" s="6">
        <v>0</v>
      </c>
      <c r="U1628" s="43">
        <f>VLOOKUP(Tabla1[[#This Row],[PAGO DIA]],DIAS!A:H,8,0)</f>
        <v>46259</v>
      </c>
      <c r="V1628" s="6">
        <v>0</v>
      </c>
      <c r="W1628" s="43">
        <f>VLOOKUP(Tabla1[[#This Row],[PAGO DIA]],DIAS!A:I,9,0)</f>
        <v>46287</v>
      </c>
      <c r="X1628" s="6">
        <v>0</v>
      </c>
      <c r="Y1628" s="43">
        <f>VLOOKUP(Tabla1[[#This Row],[PAGO DIA]],DIAS!A:J,10,0)</f>
        <v>46322</v>
      </c>
      <c r="Z1628" s="6">
        <v>0</v>
      </c>
      <c r="AA1628" s="43">
        <f>VLOOKUP(Tabla1[[#This Row],[PAGO DIA]],DIAS!A:K,11,0)</f>
        <v>46350</v>
      </c>
      <c r="AB1628" s="6">
        <v>0</v>
      </c>
      <c r="AC1628" s="43">
        <f>VLOOKUP(Tabla1[[#This Row],[PAGO DIA]],DIAS!A:M,12,0)</f>
        <v>46379</v>
      </c>
      <c r="AD16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29" spans="1:30">
      <c r="A1629" s="3">
        <v>12330</v>
      </c>
      <c r="B1629" s="3" t="s">
        <v>510</v>
      </c>
      <c r="C1629" s="3"/>
      <c r="D1629" s="3" t="s">
        <v>2121</v>
      </c>
      <c r="E1629" s="3"/>
      <c r="F1629" s="42" t="s">
        <v>562</v>
      </c>
      <c r="G1629" s="3"/>
      <c r="H1629" s="6">
        <v>0</v>
      </c>
      <c r="I1629" s="41">
        <f>VLOOKUP(Tabla1[[#This Row],[PAGO DIA]],DIAS!A:B,2,0)</f>
        <v>46078</v>
      </c>
      <c r="J1629" s="6">
        <v>0</v>
      </c>
      <c r="K1629" s="43">
        <f>VLOOKUP(Tabla1[[#This Row],[PAGO DIA]],DIAS!A:C,3,0)</f>
        <v>46105</v>
      </c>
      <c r="L1629" s="6">
        <v>0</v>
      </c>
      <c r="M1629" s="41">
        <f>VLOOKUP(Tabla1[[#This Row],[PAGO DIA]],DIAS!A:D,4,0)</f>
        <v>46140</v>
      </c>
      <c r="N1629" s="6">
        <v>0</v>
      </c>
      <c r="O1629" s="43">
        <f>VLOOKUP(Tabla1[[#This Row],[PAGO DIA]],DIAS!A:E,5,0)</f>
        <v>46168</v>
      </c>
      <c r="P1629" s="6">
        <v>0</v>
      </c>
      <c r="Q1629" s="43">
        <f>VLOOKUP(Tabla1[[#This Row],[PAGO DIA]],DIAS!A:F,6,0)</f>
        <v>46196</v>
      </c>
      <c r="R1629" s="6">
        <v>0</v>
      </c>
      <c r="S1629" s="43">
        <f>VLOOKUP(Tabla1[[#This Row],[PAGO DIA]],DIAS!A:G,7,0)</f>
        <v>46231</v>
      </c>
      <c r="T1629" s="6">
        <v>0</v>
      </c>
      <c r="U1629" s="43">
        <f>VLOOKUP(Tabla1[[#This Row],[PAGO DIA]],DIAS!A:H,8,0)</f>
        <v>46259</v>
      </c>
      <c r="V1629" s="6">
        <v>0</v>
      </c>
      <c r="W1629" s="43">
        <f>VLOOKUP(Tabla1[[#This Row],[PAGO DIA]],DIAS!A:I,9,0)</f>
        <v>46287</v>
      </c>
      <c r="X1629" s="6">
        <v>0</v>
      </c>
      <c r="Y1629" s="43">
        <f>VLOOKUP(Tabla1[[#This Row],[PAGO DIA]],DIAS!A:J,10,0)</f>
        <v>46322</v>
      </c>
      <c r="Z1629" s="6">
        <v>0</v>
      </c>
      <c r="AA1629" s="43">
        <f>VLOOKUP(Tabla1[[#This Row],[PAGO DIA]],DIAS!A:K,11,0)</f>
        <v>46350</v>
      </c>
      <c r="AB1629" s="6">
        <v>0</v>
      </c>
      <c r="AC1629" s="43">
        <f>VLOOKUP(Tabla1[[#This Row],[PAGO DIA]],DIAS!A:M,12,0)</f>
        <v>46379</v>
      </c>
      <c r="AD16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0" spans="1:30">
      <c r="A1630" s="3">
        <v>12331</v>
      </c>
      <c r="B1630" s="3" t="s">
        <v>510</v>
      </c>
      <c r="C1630" s="3"/>
      <c r="D1630" s="3" t="s">
        <v>2122</v>
      </c>
      <c r="E1630" s="3"/>
      <c r="F1630" s="42" t="s">
        <v>562</v>
      </c>
      <c r="G1630" s="3"/>
      <c r="H1630" s="6">
        <v>0</v>
      </c>
      <c r="I1630" s="41">
        <f>VLOOKUP(Tabla1[[#This Row],[PAGO DIA]],DIAS!A:B,2,0)</f>
        <v>46078</v>
      </c>
      <c r="J1630" s="6">
        <v>0</v>
      </c>
      <c r="K1630" s="43">
        <f>VLOOKUP(Tabla1[[#This Row],[PAGO DIA]],DIAS!A:C,3,0)</f>
        <v>46105</v>
      </c>
      <c r="L1630" s="6">
        <v>0</v>
      </c>
      <c r="M1630" s="41">
        <f>VLOOKUP(Tabla1[[#This Row],[PAGO DIA]],DIAS!A:D,4,0)</f>
        <v>46140</v>
      </c>
      <c r="N1630" s="6">
        <v>0</v>
      </c>
      <c r="O1630" s="43">
        <f>VLOOKUP(Tabla1[[#This Row],[PAGO DIA]],DIAS!A:E,5,0)</f>
        <v>46168</v>
      </c>
      <c r="P1630" s="6">
        <v>0</v>
      </c>
      <c r="Q1630" s="43">
        <f>VLOOKUP(Tabla1[[#This Row],[PAGO DIA]],DIAS!A:F,6,0)</f>
        <v>46196</v>
      </c>
      <c r="R1630" s="6">
        <v>0</v>
      </c>
      <c r="S1630" s="43">
        <f>VLOOKUP(Tabla1[[#This Row],[PAGO DIA]],DIAS!A:G,7,0)</f>
        <v>46231</v>
      </c>
      <c r="T1630" s="6">
        <v>0</v>
      </c>
      <c r="U1630" s="43">
        <f>VLOOKUP(Tabla1[[#This Row],[PAGO DIA]],DIAS!A:H,8,0)</f>
        <v>46259</v>
      </c>
      <c r="V1630" s="6">
        <v>0</v>
      </c>
      <c r="W1630" s="43">
        <f>VLOOKUP(Tabla1[[#This Row],[PAGO DIA]],DIAS!A:I,9,0)</f>
        <v>46287</v>
      </c>
      <c r="X1630" s="6">
        <v>0</v>
      </c>
      <c r="Y1630" s="43">
        <f>VLOOKUP(Tabla1[[#This Row],[PAGO DIA]],DIAS!A:J,10,0)</f>
        <v>46322</v>
      </c>
      <c r="Z1630" s="6">
        <v>0</v>
      </c>
      <c r="AA1630" s="43">
        <f>VLOOKUP(Tabla1[[#This Row],[PAGO DIA]],DIAS!A:K,11,0)</f>
        <v>46350</v>
      </c>
      <c r="AB1630" s="6">
        <v>0</v>
      </c>
      <c r="AC1630" s="43">
        <f>VLOOKUP(Tabla1[[#This Row],[PAGO DIA]],DIAS!A:M,12,0)</f>
        <v>46379</v>
      </c>
      <c r="AD16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1" spans="1:30">
      <c r="A1631" s="3">
        <v>12332</v>
      </c>
      <c r="B1631" s="3" t="s">
        <v>510</v>
      </c>
      <c r="C1631" s="3"/>
      <c r="D1631" s="3" t="s">
        <v>2123</v>
      </c>
      <c r="E1631" s="3"/>
      <c r="F1631" s="42" t="s">
        <v>562</v>
      </c>
      <c r="G1631" s="3"/>
      <c r="H1631" s="6">
        <v>0</v>
      </c>
      <c r="I1631" s="41">
        <f>VLOOKUP(Tabla1[[#This Row],[PAGO DIA]],DIAS!A:B,2,0)</f>
        <v>46078</v>
      </c>
      <c r="J1631" s="6">
        <v>0</v>
      </c>
      <c r="K1631" s="43">
        <f>VLOOKUP(Tabla1[[#This Row],[PAGO DIA]],DIAS!A:C,3,0)</f>
        <v>46105</v>
      </c>
      <c r="L1631" s="6">
        <v>0</v>
      </c>
      <c r="M1631" s="41">
        <f>VLOOKUP(Tabla1[[#This Row],[PAGO DIA]],DIAS!A:D,4,0)</f>
        <v>46140</v>
      </c>
      <c r="N1631" s="6">
        <v>0</v>
      </c>
      <c r="O1631" s="43">
        <f>VLOOKUP(Tabla1[[#This Row],[PAGO DIA]],DIAS!A:E,5,0)</f>
        <v>46168</v>
      </c>
      <c r="P1631" s="6">
        <v>0</v>
      </c>
      <c r="Q1631" s="43">
        <f>VLOOKUP(Tabla1[[#This Row],[PAGO DIA]],DIAS!A:F,6,0)</f>
        <v>46196</v>
      </c>
      <c r="R1631" s="6">
        <v>0</v>
      </c>
      <c r="S1631" s="43">
        <f>VLOOKUP(Tabla1[[#This Row],[PAGO DIA]],DIAS!A:G,7,0)</f>
        <v>46231</v>
      </c>
      <c r="T1631" s="6">
        <v>0</v>
      </c>
      <c r="U1631" s="43">
        <f>VLOOKUP(Tabla1[[#This Row],[PAGO DIA]],DIAS!A:H,8,0)</f>
        <v>46259</v>
      </c>
      <c r="V1631" s="6">
        <v>0</v>
      </c>
      <c r="W1631" s="43">
        <f>VLOOKUP(Tabla1[[#This Row],[PAGO DIA]],DIAS!A:I,9,0)</f>
        <v>46287</v>
      </c>
      <c r="X1631" s="6">
        <v>0</v>
      </c>
      <c r="Y1631" s="43">
        <f>VLOOKUP(Tabla1[[#This Row],[PAGO DIA]],DIAS!A:J,10,0)</f>
        <v>46322</v>
      </c>
      <c r="Z1631" s="6">
        <v>0</v>
      </c>
      <c r="AA1631" s="43">
        <f>VLOOKUP(Tabla1[[#This Row],[PAGO DIA]],DIAS!A:K,11,0)</f>
        <v>46350</v>
      </c>
      <c r="AB1631" s="6">
        <v>0</v>
      </c>
      <c r="AC1631" s="43">
        <f>VLOOKUP(Tabla1[[#This Row],[PAGO DIA]],DIAS!A:M,12,0)</f>
        <v>46379</v>
      </c>
      <c r="AD16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2" spans="1:30">
      <c r="A1632" s="3">
        <v>12333</v>
      </c>
      <c r="B1632" s="3" t="s">
        <v>510</v>
      </c>
      <c r="C1632" s="3"/>
      <c r="D1632" s="3" t="s">
        <v>2124</v>
      </c>
      <c r="E1632" s="3"/>
      <c r="F1632" s="42" t="s">
        <v>562</v>
      </c>
      <c r="G1632" s="3"/>
      <c r="H1632" s="6">
        <v>0</v>
      </c>
      <c r="I1632" s="41">
        <f>VLOOKUP(Tabla1[[#This Row],[PAGO DIA]],DIAS!A:B,2,0)</f>
        <v>46078</v>
      </c>
      <c r="J1632" s="6">
        <v>0</v>
      </c>
      <c r="K1632" s="43">
        <f>VLOOKUP(Tabla1[[#This Row],[PAGO DIA]],DIAS!A:C,3,0)</f>
        <v>46105</v>
      </c>
      <c r="L1632" s="6">
        <v>0</v>
      </c>
      <c r="M1632" s="41">
        <f>VLOOKUP(Tabla1[[#This Row],[PAGO DIA]],DIAS!A:D,4,0)</f>
        <v>46140</v>
      </c>
      <c r="N1632" s="6">
        <v>0</v>
      </c>
      <c r="O1632" s="43">
        <f>VLOOKUP(Tabla1[[#This Row],[PAGO DIA]],DIAS!A:E,5,0)</f>
        <v>46168</v>
      </c>
      <c r="P1632" s="6">
        <v>0</v>
      </c>
      <c r="Q1632" s="43">
        <f>VLOOKUP(Tabla1[[#This Row],[PAGO DIA]],DIAS!A:F,6,0)</f>
        <v>46196</v>
      </c>
      <c r="R1632" s="6">
        <v>0</v>
      </c>
      <c r="S1632" s="43">
        <f>VLOOKUP(Tabla1[[#This Row],[PAGO DIA]],DIAS!A:G,7,0)</f>
        <v>46231</v>
      </c>
      <c r="T1632" s="6">
        <v>0</v>
      </c>
      <c r="U1632" s="43">
        <f>VLOOKUP(Tabla1[[#This Row],[PAGO DIA]],DIAS!A:H,8,0)</f>
        <v>46259</v>
      </c>
      <c r="V1632" s="6">
        <v>0</v>
      </c>
      <c r="W1632" s="43">
        <f>VLOOKUP(Tabla1[[#This Row],[PAGO DIA]],DIAS!A:I,9,0)</f>
        <v>46287</v>
      </c>
      <c r="X1632" s="6">
        <v>0</v>
      </c>
      <c r="Y1632" s="43">
        <f>VLOOKUP(Tabla1[[#This Row],[PAGO DIA]],DIAS!A:J,10,0)</f>
        <v>46322</v>
      </c>
      <c r="Z1632" s="6">
        <v>0</v>
      </c>
      <c r="AA1632" s="43">
        <f>VLOOKUP(Tabla1[[#This Row],[PAGO DIA]],DIAS!A:K,11,0)</f>
        <v>46350</v>
      </c>
      <c r="AB1632" s="6">
        <v>0</v>
      </c>
      <c r="AC1632" s="43">
        <f>VLOOKUP(Tabla1[[#This Row],[PAGO DIA]],DIAS!A:M,12,0)</f>
        <v>46379</v>
      </c>
      <c r="AD16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3" spans="1:30">
      <c r="A1633" s="3">
        <v>12334</v>
      </c>
      <c r="B1633" s="3" t="s">
        <v>510</v>
      </c>
      <c r="C1633" s="3"/>
      <c r="D1633" s="3" t="s">
        <v>2125</v>
      </c>
      <c r="E1633" s="3"/>
      <c r="F1633" s="42" t="s">
        <v>562</v>
      </c>
      <c r="G1633" s="3"/>
      <c r="H1633" s="6">
        <v>0</v>
      </c>
      <c r="I1633" s="41">
        <f>VLOOKUP(Tabla1[[#This Row],[PAGO DIA]],DIAS!A:B,2,0)</f>
        <v>46078</v>
      </c>
      <c r="J1633" s="6">
        <v>0</v>
      </c>
      <c r="K1633" s="43">
        <f>VLOOKUP(Tabla1[[#This Row],[PAGO DIA]],DIAS!A:C,3,0)</f>
        <v>46105</v>
      </c>
      <c r="L1633" s="6">
        <v>0</v>
      </c>
      <c r="M1633" s="41">
        <f>VLOOKUP(Tabla1[[#This Row],[PAGO DIA]],DIAS!A:D,4,0)</f>
        <v>46140</v>
      </c>
      <c r="N1633" s="6">
        <v>0</v>
      </c>
      <c r="O1633" s="43">
        <f>VLOOKUP(Tabla1[[#This Row],[PAGO DIA]],DIAS!A:E,5,0)</f>
        <v>46168</v>
      </c>
      <c r="P1633" s="6">
        <v>0</v>
      </c>
      <c r="Q1633" s="43">
        <f>VLOOKUP(Tabla1[[#This Row],[PAGO DIA]],DIAS!A:F,6,0)</f>
        <v>46196</v>
      </c>
      <c r="R1633" s="6">
        <v>0</v>
      </c>
      <c r="S1633" s="43">
        <f>VLOOKUP(Tabla1[[#This Row],[PAGO DIA]],DIAS!A:G,7,0)</f>
        <v>46231</v>
      </c>
      <c r="T1633" s="6">
        <v>0</v>
      </c>
      <c r="U1633" s="43">
        <f>VLOOKUP(Tabla1[[#This Row],[PAGO DIA]],DIAS!A:H,8,0)</f>
        <v>46259</v>
      </c>
      <c r="V1633" s="6">
        <v>0</v>
      </c>
      <c r="W1633" s="43">
        <f>VLOOKUP(Tabla1[[#This Row],[PAGO DIA]],DIAS!A:I,9,0)</f>
        <v>46287</v>
      </c>
      <c r="X1633" s="6">
        <v>0</v>
      </c>
      <c r="Y1633" s="43">
        <f>VLOOKUP(Tabla1[[#This Row],[PAGO DIA]],DIAS!A:J,10,0)</f>
        <v>46322</v>
      </c>
      <c r="Z1633" s="6">
        <v>0</v>
      </c>
      <c r="AA1633" s="43">
        <f>VLOOKUP(Tabla1[[#This Row],[PAGO DIA]],DIAS!A:K,11,0)</f>
        <v>46350</v>
      </c>
      <c r="AB1633" s="6">
        <v>0</v>
      </c>
      <c r="AC1633" s="43">
        <f>VLOOKUP(Tabla1[[#This Row],[PAGO DIA]],DIAS!A:M,12,0)</f>
        <v>46379</v>
      </c>
      <c r="AD16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4" spans="1:30">
      <c r="A1634" s="3">
        <v>12335</v>
      </c>
      <c r="B1634" s="3" t="s">
        <v>510</v>
      </c>
      <c r="C1634" s="3"/>
      <c r="D1634" s="3" t="s">
        <v>2126</v>
      </c>
      <c r="E1634" s="3"/>
      <c r="F1634" s="42" t="s">
        <v>562</v>
      </c>
      <c r="G1634" s="3"/>
      <c r="H1634" s="6">
        <v>0</v>
      </c>
      <c r="I1634" s="41">
        <f>VLOOKUP(Tabla1[[#This Row],[PAGO DIA]],DIAS!A:B,2,0)</f>
        <v>46078</v>
      </c>
      <c r="J1634" s="6">
        <v>0</v>
      </c>
      <c r="K1634" s="43">
        <f>VLOOKUP(Tabla1[[#This Row],[PAGO DIA]],DIAS!A:C,3,0)</f>
        <v>46105</v>
      </c>
      <c r="L1634" s="6">
        <v>0</v>
      </c>
      <c r="M1634" s="41">
        <f>VLOOKUP(Tabla1[[#This Row],[PAGO DIA]],DIAS!A:D,4,0)</f>
        <v>46140</v>
      </c>
      <c r="N1634" s="6">
        <v>0</v>
      </c>
      <c r="O1634" s="43">
        <f>VLOOKUP(Tabla1[[#This Row],[PAGO DIA]],DIAS!A:E,5,0)</f>
        <v>46168</v>
      </c>
      <c r="P1634" s="6">
        <v>0</v>
      </c>
      <c r="Q1634" s="43">
        <f>VLOOKUP(Tabla1[[#This Row],[PAGO DIA]],DIAS!A:F,6,0)</f>
        <v>46196</v>
      </c>
      <c r="R1634" s="6">
        <v>0</v>
      </c>
      <c r="S1634" s="43">
        <f>VLOOKUP(Tabla1[[#This Row],[PAGO DIA]],DIAS!A:G,7,0)</f>
        <v>46231</v>
      </c>
      <c r="T1634" s="6">
        <v>0</v>
      </c>
      <c r="U1634" s="43">
        <f>VLOOKUP(Tabla1[[#This Row],[PAGO DIA]],DIAS!A:H,8,0)</f>
        <v>46259</v>
      </c>
      <c r="V1634" s="6">
        <v>0</v>
      </c>
      <c r="W1634" s="43">
        <f>VLOOKUP(Tabla1[[#This Row],[PAGO DIA]],DIAS!A:I,9,0)</f>
        <v>46287</v>
      </c>
      <c r="X1634" s="6">
        <v>0</v>
      </c>
      <c r="Y1634" s="43">
        <f>VLOOKUP(Tabla1[[#This Row],[PAGO DIA]],DIAS!A:J,10,0)</f>
        <v>46322</v>
      </c>
      <c r="Z1634" s="6">
        <v>0</v>
      </c>
      <c r="AA1634" s="43">
        <f>VLOOKUP(Tabla1[[#This Row],[PAGO DIA]],DIAS!A:K,11,0)</f>
        <v>46350</v>
      </c>
      <c r="AB1634" s="6">
        <v>0</v>
      </c>
      <c r="AC1634" s="43">
        <f>VLOOKUP(Tabla1[[#This Row],[PAGO DIA]],DIAS!A:M,12,0)</f>
        <v>46379</v>
      </c>
      <c r="AD16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5" spans="1:30">
      <c r="A1635" s="3">
        <v>12336</v>
      </c>
      <c r="B1635" s="3" t="s">
        <v>510</v>
      </c>
      <c r="C1635" s="3"/>
      <c r="D1635" s="3" t="s">
        <v>2127</v>
      </c>
      <c r="E1635" s="3"/>
      <c r="F1635" s="42" t="s">
        <v>562</v>
      </c>
      <c r="G1635" s="3"/>
      <c r="H1635" s="6">
        <v>0</v>
      </c>
      <c r="I1635" s="41">
        <f>VLOOKUP(Tabla1[[#This Row],[PAGO DIA]],DIAS!A:B,2,0)</f>
        <v>46078</v>
      </c>
      <c r="J1635" s="6">
        <v>0</v>
      </c>
      <c r="K1635" s="43">
        <f>VLOOKUP(Tabla1[[#This Row],[PAGO DIA]],DIAS!A:C,3,0)</f>
        <v>46105</v>
      </c>
      <c r="L1635" s="6">
        <v>0</v>
      </c>
      <c r="M1635" s="41">
        <f>VLOOKUP(Tabla1[[#This Row],[PAGO DIA]],DIAS!A:D,4,0)</f>
        <v>46140</v>
      </c>
      <c r="N1635" s="6">
        <v>0</v>
      </c>
      <c r="O1635" s="43">
        <f>VLOOKUP(Tabla1[[#This Row],[PAGO DIA]],DIAS!A:E,5,0)</f>
        <v>46168</v>
      </c>
      <c r="P1635" s="6">
        <v>0</v>
      </c>
      <c r="Q1635" s="43">
        <f>VLOOKUP(Tabla1[[#This Row],[PAGO DIA]],DIAS!A:F,6,0)</f>
        <v>46196</v>
      </c>
      <c r="R1635" s="6">
        <v>0</v>
      </c>
      <c r="S1635" s="43">
        <f>VLOOKUP(Tabla1[[#This Row],[PAGO DIA]],DIAS!A:G,7,0)</f>
        <v>46231</v>
      </c>
      <c r="T1635" s="6">
        <v>0</v>
      </c>
      <c r="U1635" s="43">
        <f>VLOOKUP(Tabla1[[#This Row],[PAGO DIA]],DIAS!A:H,8,0)</f>
        <v>46259</v>
      </c>
      <c r="V1635" s="6">
        <v>0</v>
      </c>
      <c r="W1635" s="43">
        <f>VLOOKUP(Tabla1[[#This Row],[PAGO DIA]],DIAS!A:I,9,0)</f>
        <v>46287</v>
      </c>
      <c r="X1635" s="6">
        <v>0</v>
      </c>
      <c r="Y1635" s="43">
        <f>VLOOKUP(Tabla1[[#This Row],[PAGO DIA]],DIAS!A:J,10,0)</f>
        <v>46322</v>
      </c>
      <c r="Z1635" s="6">
        <v>0</v>
      </c>
      <c r="AA1635" s="43">
        <f>VLOOKUP(Tabla1[[#This Row],[PAGO DIA]],DIAS!A:K,11,0)</f>
        <v>46350</v>
      </c>
      <c r="AB1635" s="6">
        <v>0</v>
      </c>
      <c r="AC1635" s="43">
        <f>VLOOKUP(Tabla1[[#This Row],[PAGO DIA]],DIAS!A:M,12,0)</f>
        <v>46379</v>
      </c>
      <c r="AD16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6" spans="1:30">
      <c r="A1636" s="3">
        <v>12337</v>
      </c>
      <c r="B1636" s="3" t="s">
        <v>510</v>
      </c>
      <c r="C1636" s="3"/>
      <c r="D1636" s="3" t="s">
        <v>2128</v>
      </c>
      <c r="E1636" s="3"/>
      <c r="F1636" s="42" t="s">
        <v>562</v>
      </c>
      <c r="G1636" s="3"/>
      <c r="H1636" s="6">
        <v>0</v>
      </c>
      <c r="I1636" s="41">
        <f>VLOOKUP(Tabla1[[#This Row],[PAGO DIA]],DIAS!A:B,2,0)</f>
        <v>46078</v>
      </c>
      <c r="J1636" s="6">
        <v>0</v>
      </c>
      <c r="K1636" s="43">
        <f>VLOOKUP(Tabla1[[#This Row],[PAGO DIA]],DIAS!A:C,3,0)</f>
        <v>46105</v>
      </c>
      <c r="L1636" s="6">
        <v>0</v>
      </c>
      <c r="M1636" s="41">
        <f>VLOOKUP(Tabla1[[#This Row],[PAGO DIA]],DIAS!A:D,4,0)</f>
        <v>46140</v>
      </c>
      <c r="N1636" s="6">
        <v>0</v>
      </c>
      <c r="O1636" s="43">
        <f>VLOOKUP(Tabla1[[#This Row],[PAGO DIA]],DIAS!A:E,5,0)</f>
        <v>46168</v>
      </c>
      <c r="P1636" s="6">
        <v>0</v>
      </c>
      <c r="Q1636" s="43">
        <f>VLOOKUP(Tabla1[[#This Row],[PAGO DIA]],DIAS!A:F,6,0)</f>
        <v>46196</v>
      </c>
      <c r="R1636" s="6">
        <v>0</v>
      </c>
      <c r="S1636" s="43">
        <f>VLOOKUP(Tabla1[[#This Row],[PAGO DIA]],DIAS!A:G,7,0)</f>
        <v>46231</v>
      </c>
      <c r="T1636" s="6">
        <v>0</v>
      </c>
      <c r="U1636" s="43">
        <f>VLOOKUP(Tabla1[[#This Row],[PAGO DIA]],DIAS!A:H,8,0)</f>
        <v>46259</v>
      </c>
      <c r="V1636" s="6">
        <v>0</v>
      </c>
      <c r="W1636" s="43">
        <f>VLOOKUP(Tabla1[[#This Row],[PAGO DIA]],DIAS!A:I,9,0)</f>
        <v>46287</v>
      </c>
      <c r="X1636" s="6">
        <v>0</v>
      </c>
      <c r="Y1636" s="43">
        <f>VLOOKUP(Tabla1[[#This Row],[PAGO DIA]],DIAS!A:J,10,0)</f>
        <v>46322</v>
      </c>
      <c r="Z1636" s="6">
        <v>0</v>
      </c>
      <c r="AA1636" s="43">
        <f>VLOOKUP(Tabla1[[#This Row],[PAGO DIA]],DIAS!A:K,11,0)</f>
        <v>46350</v>
      </c>
      <c r="AB1636" s="6">
        <v>0</v>
      </c>
      <c r="AC1636" s="43">
        <f>VLOOKUP(Tabla1[[#This Row],[PAGO DIA]],DIAS!A:M,12,0)</f>
        <v>46379</v>
      </c>
      <c r="AD16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7" spans="1:30">
      <c r="A1637" s="3">
        <v>12338</v>
      </c>
      <c r="B1637" s="3" t="s">
        <v>510</v>
      </c>
      <c r="C1637" s="3"/>
      <c r="D1637" s="3" t="s">
        <v>2129</v>
      </c>
      <c r="E1637" s="3"/>
      <c r="F1637" s="42" t="s">
        <v>562</v>
      </c>
      <c r="G1637" s="3"/>
      <c r="H1637" s="6">
        <v>0</v>
      </c>
      <c r="I1637" s="41">
        <f>VLOOKUP(Tabla1[[#This Row],[PAGO DIA]],DIAS!A:B,2,0)</f>
        <v>46078</v>
      </c>
      <c r="J1637" s="6">
        <v>0</v>
      </c>
      <c r="K1637" s="43">
        <f>VLOOKUP(Tabla1[[#This Row],[PAGO DIA]],DIAS!A:C,3,0)</f>
        <v>46105</v>
      </c>
      <c r="L1637" s="6">
        <v>0</v>
      </c>
      <c r="M1637" s="41">
        <f>VLOOKUP(Tabla1[[#This Row],[PAGO DIA]],DIAS!A:D,4,0)</f>
        <v>46140</v>
      </c>
      <c r="N1637" s="6">
        <v>0</v>
      </c>
      <c r="O1637" s="43">
        <f>VLOOKUP(Tabla1[[#This Row],[PAGO DIA]],DIAS!A:E,5,0)</f>
        <v>46168</v>
      </c>
      <c r="P1637" s="6">
        <v>0</v>
      </c>
      <c r="Q1637" s="43">
        <f>VLOOKUP(Tabla1[[#This Row],[PAGO DIA]],DIAS!A:F,6,0)</f>
        <v>46196</v>
      </c>
      <c r="R1637" s="6">
        <v>0</v>
      </c>
      <c r="S1637" s="43">
        <f>VLOOKUP(Tabla1[[#This Row],[PAGO DIA]],DIAS!A:G,7,0)</f>
        <v>46231</v>
      </c>
      <c r="T1637" s="6">
        <v>0</v>
      </c>
      <c r="U1637" s="43">
        <f>VLOOKUP(Tabla1[[#This Row],[PAGO DIA]],DIAS!A:H,8,0)</f>
        <v>46259</v>
      </c>
      <c r="V1637" s="6">
        <v>0</v>
      </c>
      <c r="W1637" s="43">
        <f>VLOOKUP(Tabla1[[#This Row],[PAGO DIA]],DIAS!A:I,9,0)</f>
        <v>46287</v>
      </c>
      <c r="X1637" s="6">
        <v>0</v>
      </c>
      <c r="Y1637" s="43">
        <f>VLOOKUP(Tabla1[[#This Row],[PAGO DIA]],DIAS!A:J,10,0)</f>
        <v>46322</v>
      </c>
      <c r="Z1637" s="6">
        <v>0</v>
      </c>
      <c r="AA1637" s="43">
        <f>VLOOKUP(Tabla1[[#This Row],[PAGO DIA]],DIAS!A:K,11,0)</f>
        <v>46350</v>
      </c>
      <c r="AB1637" s="6">
        <v>0</v>
      </c>
      <c r="AC1637" s="43">
        <f>VLOOKUP(Tabla1[[#This Row],[PAGO DIA]],DIAS!A:M,12,0)</f>
        <v>46379</v>
      </c>
      <c r="AD16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8" spans="1:30">
      <c r="A1638" s="3">
        <v>12339</v>
      </c>
      <c r="B1638" s="3" t="s">
        <v>510</v>
      </c>
      <c r="C1638" s="3"/>
      <c r="D1638" s="3" t="s">
        <v>2130</v>
      </c>
      <c r="E1638" s="3"/>
      <c r="F1638" s="42" t="s">
        <v>562</v>
      </c>
      <c r="G1638" s="3"/>
      <c r="H1638" s="6">
        <v>0</v>
      </c>
      <c r="I1638" s="41">
        <f>VLOOKUP(Tabla1[[#This Row],[PAGO DIA]],DIAS!A:B,2,0)</f>
        <v>46078</v>
      </c>
      <c r="J1638" s="6">
        <v>0</v>
      </c>
      <c r="K1638" s="43">
        <f>VLOOKUP(Tabla1[[#This Row],[PAGO DIA]],DIAS!A:C,3,0)</f>
        <v>46105</v>
      </c>
      <c r="L1638" s="6">
        <v>0</v>
      </c>
      <c r="M1638" s="41">
        <f>VLOOKUP(Tabla1[[#This Row],[PAGO DIA]],DIAS!A:D,4,0)</f>
        <v>46140</v>
      </c>
      <c r="N1638" s="6">
        <v>0</v>
      </c>
      <c r="O1638" s="43">
        <f>VLOOKUP(Tabla1[[#This Row],[PAGO DIA]],DIAS!A:E,5,0)</f>
        <v>46168</v>
      </c>
      <c r="P1638" s="6">
        <v>0</v>
      </c>
      <c r="Q1638" s="43">
        <f>VLOOKUP(Tabla1[[#This Row],[PAGO DIA]],DIAS!A:F,6,0)</f>
        <v>46196</v>
      </c>
      <c r="R1638" s="6">
        <v>0</v>
      </c>
      <c r="S1638" s="43">
        <f>VLOOKUP(Tabla1[[#This Row],[PAGO DIA]],DIAS!A:G,7,0)</f>
        <v>46231</v>
      </c>
      <c r="T1638" s="6">
        <v>0</v>
      </c>
      <c r="U1638" s="43">
        <f>VLOOKUP(Tabla1[[#This Row],[PAGO DIA]],DIAS!A:H,8,0)</f>
        <v>46259</v>
      </c>
      <c r="V1638" s="6">
        <v>0</v>
      </c>
      <c r="W1638" s="43">
        <f>VLOOKUP(Tabla1[[#This Row],[PAGO DIA]],DIAS!A:I,9,0)</f>
        <v>46287</v>
      </c>
      <c r="X1638" s="6">
        <v>0</v>
      </c>
      <c r="Y1638" s="43">
        <f>VLOOKUP(Tabla1[[#This Row],[PAGO DIA]],DIAS!A:J,10,0)</f>
        <v>46322</v>
      </c>
      <c r="Z1638" s="6">
        <v>0</v>
      </c>
      <c r="AA1638" s="43">
        <f>VLOOKUP(Tabla1[[#This Row],[PAGO DIA]],DIAS!A:K,11,0)</f>
        <v>46350</v>
      </c>
      <c r="AB1638" s="6">
        <v>0</v>
      </c>
      <c r="AC1638" s="43">
        <f>VLOOKUP(Tabla1[[#This Row],[PAGO DIA]],DIAS!A:M,12,0)</f>
        <v>46379</v>
      </c>
      <c r="AD16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39" spans="1:30">
      <c r="A1639" s="3">
        <v>12341</v>
      </c>
      <c r="B1639" s="3" t="s">
        <v>510</v>
      </c>
      <c r="C1639" s="3"/>
      <c r="D1639" s="3" t="s">
        <v>2131</v>
      </c>
      <c r="E1639" s="3"/>
      <c r="F1639" s="42" t="s">
        <v>562</v>
      </c>
      <c r="G1639" s="3"/>
      <c r="H1639" s="6">
        <v>0</v>
      </c>
      <c r="I1639" s="41">
        <f>VLOOKUP(Tabla1[[#This Row],[PAGO DIA]],DIAS!A:B,2,0)</f>
        <v>46078</v>
      </c>
      <c r="J1639" s="6">
        <v>0</v>
      </c>
      <c r="K1639" s="43">
        <f>VLOOKUP(Tabla1[[#This Row],[PAGO DIA]],DIAS!A:C,3,0)</f>
        <v>46105</v>
      </c>
      <c r="L1639" s="6">
        <v>0</v>
      </c>
      <c r="M1639" s="41">
        <f>VLOOKUP(Tabla1[[#This Row],[PAGO DIA]],DIAS!A:D,4,0)</f>
        <v>46140</v>
      </c>
      <c r="N1639" s="6">
        <v>0</v>
      </c>
      <c r="O1639" s="43">
        <f>VLOOKUP(Tabla1[[#This Row],[PAGO DIA]],DIAS!A:E,5,0)</f>
        <v>46168</v>
      </c>
      <c r="P1639" s="6">
        <v>0</v>
      </c>
      <c r="Q1639" s="43">
        <f>VLOOKUP(Tabla1[[#This Row],[PAGO DIA]],DIAS!A:F,6,0)</f>
        <v>46196</v>
      </c>
      <c r="R1639" s="6">
        <v>0</v>
      </c>
      <c r="S1639" s="43">
        <f>VLOOKUP(Tabla1[[#This Row],[PAGO DIA]],DIAS!A:G,7,0)</f>
        <v>46231</v>
      </c>
      <c r="T1639" s="6">
        <v>0</v>
      </c>
      <c r="U1639" s="43">
        <f>VLOOKUP(Tabla1[[#This Row],[PAGO DIA]],DIAS!A:H,8,0)</f>
        <v>46259</v>
      </c>
      <c r="V1639" s="6">
        <v>0</v>
      </c>
      <c r="W1639" s="43">
        <f>VLOOKUP(Tabla1[[#This Row],[PAGO DIA]],DIAS!A:I,9,0)</f>
        <v>46287</v>
      </c>
      <c r="X1639" s="6">
        <v>0</v>
      </c>
      <c r="Y1639" s="43">
        <f>VLOOKUP(Tabla1[[#This Row],[PAGO DIA]],DIAS!A:J,10,0)</f>
        <v>46322</v>
      </c>
      <c r="Z1639" s="6">
        <v>0</v>
      </c>
      <c r="AA1639" s="43">
        <f>VLOOKUP(Tabla1[[#This Row],[PAGO DIA]],DIAS!A:K,11,0)</f>
        <v>46350</v>
      </c>
      <c r="AB1639" s="6">
        <v>0</v>
      </c>
      <c r="AC1639" s="43">
        <f>VLOOKUP(Tabla1[[#This Row],[PAGO DIA]],DIAS!A:M,12,0)</f>
        <v>46379</v>
      </c>
      <c r="AD16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0" spans="1:30">
      <c r="A1640" s="3">
        <v>12342</v>
      </c>
      <c r="B1640" s="3" t="s">
        <v>510</v>
      </c>
      <c r="C1640" s="3"/>
      <c r="D1640" s="3" t="s">
        <v>2132</v>
      </c>
      <c r="E1640" s="3"/>
      <c r="F1640" s="42" t="s">
        <v>562</v>
      </c>
      <c r="G1640" s="3"/>
      <c r="H1640" s="6">
        <v>0</v>
      </c>
      <c r="I1640" s="41">
        <f>VLOOKUP(Tabla1[[#This Row],[PAGO DIA]],DIAS!A:B,2,0)</f>
        <v>46078</v>
      </c>
      <c r="J1640" s="6">
        <v>0</v>
      </c>
      <c r="K1640" s="43">
        <f>VLOOKUP(Tabla1[[#This Row],[PAGO DIA]],DIAS!A:C,3,0)</f>
        <v>46105</v>
      </c>
      <c r="L1640" s="6">
        <v>0</v>
      </c>
      <c r="M1640" s="41">
        <f>VLOOKUP(Tabla1[[#This Row],[PAGO DIA]],DIAS!A:D,4,0)</f>
        <v>46140</v>
      </c>
      <c r="N1640" s="6">
        <v>0</v>
      </c>
      <c r="O1640" s="43">
        <f>VLOOKUP(Tabla1[[#This Row],[PAGO DIA]],DIAS!A:E,5,0)</f>
        <v>46168</v>
      </c>
      <c r="P1640" s="6">
        <v>0</v>
      </c>
      <c r="Q1640" s="43">
        <f>VLOOKUP(Tabla1[[#This Row],[PAGO DIA]],DIAS!A:F,6,0)</f>
        <v>46196</v>
      </c>
      <c r="R1640" s="6">
        <v>0</v>
      </c>
      <c r="S1640" s="43">
        <f>VLOOKUP(Tabla1[[#This Row],[PAGO DIA]],DIAS!A:G,7,0)</f>
        <v>46231</v>
      </c>
      <c r="T1640" s="6">
        <v>0</v>
      </c>
      <c r="U1640" s="43">
        <f>VLOOKUP(Tabla1[[#This Row],[PAGO DIA]],DIAS!A:H,8,0)</f>
        <v>46259</v>
      </c>
      <c r="V1640" s="6">
        <v>0</v>
      </c>
      <c r="W1640" s="43">
        <f>VLOOKUP(Tabla1[[#This Row],[PAGO DIA]],DIAS!A:I,9,0)</f>
        <v>46287</v>
      </c>
      <c r="X1640" s="6">
        <v>0</v>
      </c>
      <c r="Y1640" s="43">
        <f>VLOOKUP(Tabla1[[#This Row],[PAGO DIA]],DIAS!A:J,10,0)</f>
        <v>46322</v>
      </c>
      <c r="Z1640" s="6">
        <v>0</v>
      </c>
      <c r="AA1640" s="43">
        <f>VLOOKUP(Tabla1[[#This Row],[PAGO DIA]],DIAS!A:K,11,0)</f>
        <v>46350</v>
      </c>
      <c r="AB1640" s="6">
        <v>0</v>
      </c>
      <c r="AC1640" s="43">
        <f>VLOOKUP(Tabla1[[#This Row],[PAGO DIA]],DIAS!A:M,12,0)</f>
        <v>46379</v>
      </c>
      <c r="AD16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1" spans="1:30">
      <c r="A1641" s="3">
        <v>12343</v>
      </c>
      <c r="B1641" s="3" t="s">
        <v>510</v>
      </c>
      <c r="C1641" s="3"/>
      <c r="D1641" s="3" t="s">
        <v>2133</v>
      </c>
      <c r="E1641" s="3"/>
      <c r="F1641" s="42" t="s">
        <v>562</v>
      </c>
      <c r="G1641" s="3"/>
      <c r="H1641" s="6">
        <v>0</v>
      </c>
      <c r="I1641" s="41">
        <f>VLOOKUP(Tabla1[[#This Row],[PAGO DIA]],DIAS!A:B,2,0)</f>
        <v>46078</v>
      </c>
      <c r="J1641" s="6">
        <v>0</v>
      </c>
      <c r="K1641" s="43">
        <f>VLOOKUP(Tabla1[[#This Row],[PAGO DIA]],DIAS!A:C,3,0)</f>
        <v>46105</v>
      </c>
      <c r="L1641" s="6">
        <v>0</v>
      </c>
      <c r="M1641" s="41">
        <f>VLOOKUP(Tabla1[[#This Row],[PAGO DIA]],DIAS!A:D,4,0)</f>
        <v>46140</v>
      </c>
      <c r="N1641" s="6">
        <v>0</v>
      </c>
      <c r="O1641" s="43">
        <f>VLOOKUP(Tabla1[[#This Row],[PAGO DIA]],DIAS!A:E,5,0)</f>
        <v>46168</v>
      </c>
      <c r="P1641" s="6">
        <v>0</v>
      </c>
      <c r="Q1641" s="43">
        <f>VLOOKUP(Tabla1[[#This Row],[PAGO DIA]],DIAS!A:F,6,0)</f>
        <v>46196</v>
      </c>
      <c r="R1641" s="6">
        <v>0</v>
      </c>
      <c r="S1641" s="43">
        <f>VLOOKUP(Tabla1[[#This Row],[PAGO DIA]],DIAS!A:G,7,0)</f>
        <v>46231</v>
      </c>
      <c r="T1641" s="6">
        <v>0</v>
      </c>
      <c r="U1641" s="43">
        <f>VLOOKUP(Tabla1[[#This Row],[PAGO DIA]],DIAS!A:H,8,0)</f>
        <v>46259</v>
      </c>
      <c r="V1641" s="6">
        <v>0</v>
      </c>
      <c r="W1641" s="43">
        <f>VLOOKUP(Tabla1[[#This Row],[PAGO DIA]],DIAS!A:I,9,0)</f>
        <v>46287</v>
      </c>
      <c r="X1641" s="6">
        <v>0</v>
      </c>
      <c r="Y1641" s="43">
        <f>VLOOKUP(Tabla1[[#This Row],[PAGO DIA]],DIAS!A:J,10,0)</f>
        <v>46322</v>
      </c>
      <c r="Z1641" s="6">
        <v>0</v>
      </c>
      <c r="AA1641" s="43">
        <f>VLOOKUP(Tabla1[[#This Row],[PAGO DIA]],DIAS!A:K,11,0)</f>
        <v>46350</v>
      </c>
      <c r="AB1641" s="6">
        <v>0</v>
      </c>
      <c r="AC1641" s="43">
        <f>VLOOKUP(Tabla1[[#This Row],[PAGO DIA]],DIAS!A:M,12,0)</f>
        <v>46379</v>
      </c>
      <c r="AD16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2" spans="1:30">
      <c r="A1642" s="3">
        <v>12344</v>
      </c>
      <c r="B1642" s="3" t="s">
        <v>510</v>
      </c>
      <c r="C1642" s="3"/>
      <c r="D1642" s="3" t="s">
        <v>2134</v>
      </c>
      <c r="E1642" s="3"/>
      <c r="F1642" s="42" t="s">
        <v>562</v>
      </c>
      <c r="G1642" s="3"/>
      <c r="H1642" s="6">
        <v>0</v>
      </c>
      <c r="I1642" s="41">
        <f>VLOOKUP(Tabla1[[#This Row],[PAGO DIA]],DIAS!A:B,2,0)</f>
        <v>46078</v>
      </c>
      <c r="J1642" s="6">
        <v>0</v>
      </c>
      <c r="K1642" s="43">
        <f>VLOOKUP(Tabla1[[#This Row],[PAGO DIA]],DIAS!A:C,3,0)</f>
        <v>46105</v>
      </c>
      <c r="L1642" s="6">
        <v>0</v>
      </c>
      <c r="M1642" s="41">
        <f>VLOOKUP(Tabla1[[#This Row],[PAGO DIA]],DIAS!A:D,4,0)</f>
        <v>46140</v>
      </c>
      <c r="N1642" s="6">
        <v>0</v>
      </c>
      <c r="O1642" s="43">
        <f>VLOOKUP(Tabla1[[#This Row],[PAGO DIA]],DIAS!A:E,5,0)</f>
        <v>46168</v>
      </c>
      <c r="P1642" s="6">
        <v>0</v>
      </c>
      <c r="Q1642" s="43">
        <f>VLOOKUP(Tabla1[[#This Row],[PAGO DIA]],DIAS!A:F,6,0)</f>
        <v>46196</v>
      </c>
      <c r="R1642" s="6">
        <v>0</v>
      </c>
      <c r="S1642" s="43">
        <f>VLOOKUP(Tabla1[[#This Row],[PAGO DIA]],DIAS!A:G,7,0)</f>
        <v>46231</v>
      </c>
      <c r="T1642" s="6">
        <v>0</v>
      </c>
      <c r="U1642" s="43">
        <f>VLOOKUP(Tabla1[[#This Row],[PAGO DIA]],DIAS!A:H,8,0)</f>
        <v>46259</v>
      </c>
      <c r="V1642" s="6">
        <v>0</v>
      </c>
      <c r="W1642" s="43">
        <f>VLOOKUP(Tabla1[[#This Row],[PAGO DIA]],DIAS!A:I,9,0)</f>
        <v>46287</v>
      </c>
      <c r="X1642" s="6">
        <v>0</v>
      </c>
      <c r="Y1642" s="43">
        <f>VLOOKUP(Tabla1[[#This Row],[PAGO DIA]],DIAS!A:J,10,0)</f>
        <v>46322</v>
      </c>
      <c r="Z1642" s="6">
        <v>0</v>
      </c>
      <c r="AA1642" s="43">
        <f>VLOOKUP(Tabla1[[#This Row],[PAGO DIA]],DIAS!A:K,11,0)</f>
        <v>46350</v>
      </c>
      <c r="AB1642" s="6">
        <v>0</v>
      </c>
      <c r="AC1642" s="43">
        <f>VLOOKUP(Tabla1[[#This Row],[PAGO DIA]],DIAS!A:M,12,0)</f>
        <v>46379</v>
      </c>
      <c r="AD16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3" spans="1:30">
      <c r="A1643" s="3">
        <v>12345</v>
      </c>
      <c r="B1643" s="3" t="s">
        <v>510</v>
      </c>
      <c r="C1643" s="3"/>
      <c r="D1643" s="3" t="s">
        <v>2135</v>
      </c>
      <c r="E1643" s="3"/>
      <c r="F1643" s="42" t="s">
        <v>562</v>
      </c>
      <c r="G1643" s="3"/>
      <c r="H1643" s="6">
        <v>0</v>
      </c>
      <c r="I1643" s="41">
        <f>VLOOKUP(Tabla1[[#This Row],[PAGO DIA]],DIAS!A:B,2,0)</f>
        <v>46078</v>
      </c>
      <c r="J1643" s="6">
        <v>0</v>
      </c>
      <c r="K1643" s="43">
        <f>VLOOKUP(Tabla1[[#This Row],[PAGO DIA]],DIAS!A:C,3,0)</f>
        <v>46105</v>
      </c>
      <c r="L1643" s="6">
        <v>0</v>
      </c>
      <c r="M1643" s="41">
        <f>VLOOKUP(Tabla1[[#This Row],[PAGO DIA]],DIAS!A:D,4,0)</f>
        <v>46140</v>
      </c>
      <c r="N1643" s="6">
        <v>0</v>
      </c>
      <c r="O1643" s="43">
        <f>VLOOKUP(Tabla1[[#This Row],[PAGO DIA]],DIAS!A:E,5,0)</f>
        <v>46168</v>
      </c>
      <c r="P1643" s="6">
        <v>0</v>
      </c>
      <c r="Q1643" s="43">
        <f>VLOOKUP(Tabla1[[#This Row],[PAGO DIA]],DIAS!A:F,6,0)</f>
        <v>46196</v>
      </c>
      <c r="R1643" s="6">
        <v>0</v>
      </c>
      <c r="S1643" s="43">
        <f>VLOOKUP(Tabla1[[#This Row],[PAGO DIA]],DIAS!A:G,7,0)</f>
        <v>46231</v>
      </c>
      <c r="T1643" s="6">
        <v>0</v>
      </c>
      <c r="U1643" s="43">
        <f>VLOOKUP(Tabla1[[#This Row],[PAGO DIA]],DIAS!A:H,8,0)</f>
        <v>46259</v>
      </c>
      <c r="V1643" s="6">
        <v>0</v>
      </c>
      <c r="W1643" s="43">
        <f>VLOOKUP(Tabla1[[#This Row],[PAGO DIA]],DIAS!A:I,9,0)</f>
        <v>46287</v>
      </c>
      <c r="X1643" s="6">
        <v>0</v>
      </c>
      <c r="Y1643" s="43">
        <f>VLOOKUP(Tabla1[[#This Row],[PAGO DIA]],DIAS!A:J,10,0)</f>
        <v>46322</v>
      </c>
      <c r="Z1643" s="6">
        <v>0</v>
      </c>
      <c r="AA1643" s="43">
        <f>VLOOKUP(Tabla1[[#This Row],[PAGO DIA]],DIAS!A:K,11,0)</f>
        <v>46350</v>
      </c>
      <c r="AB1643" s="6">
        <v>0</v>
      </c>
      <c r="AC1643" s="43">
        <f>VLOOKUP(Tabla1[[#This Row],[PAGO DIA]],DIAS!A:M,12,0)</f>
        <v>46379</v>
      </c>
      <c r="AD16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4" spans="1:30">
      <c r="A1644" s="3">
        <v>12346</v>
      </c>
      <c r="B1644" s="3" t="s">
        <v>510</v>
      </c>
      <c r="C1644" s="3"/>
      <c r="D1644" s="3" t="s">
        <v>2136</v>
      </c>
      <c r="E1644" s="3"/>
      <c r="F1644" s="42" t="s">
        <v>562</v>
      </c>
      <c r="G1644" s="3"/>
      <c r="H1644" s="6">
        <v>0</v>
      </c>
      <c r="I1644" s="41">
        <f>VLOOKUP(Tabla1[[#This Row],[PAGO DIA]],DIAS!A:B,2,0)</f>
        <v>46078</v>
      </c>
      <c r="J1644" s="6">
        <v>0</v>
      </c>
      <c r="K1644" s="43">
        <f>VLOOKUP(Tabla1[[#This Row],[PAGO DIA]],DIAS!A:C,3,0)</f>
        <v>46105</v>
      </c>
      <c r="L1644" s="6">
        <v>0</v>
      </c>
      <c r="M1644" s="41">
        <f>VLOOKUP(Tabla1[[#This Row],[PAGO DIA]],DIAS!A:D,4,0)</f>
        <v>46140</v>
      </c>
      <c r="N1644" s="6">
        <v>0</v>
      </c>
      <c r="O1644" s="43">
        <f>VLOOKUP(Tabla1[[#This Row],[PAGO DIA]],DIAS!A:E,5,0)</f>
        <v>46168</v>
      </c>
      <c r="P1644" s="6">
        <v>0</v>
      </c>
      <c r="Q1644" s="43">
        <f>VLOOKUP(Tabla1[[#This Row],[PAGO DIA]],DIAS!A:F,6,0)</f>
        <v>46196</v>
      </c>
      <c r="R1644" s="6">
        <v>0</v>
      </c>
      <c r="S1644" s="43">
        <f>VLOOKUP(Tabla1[[#This Row],[PAGO DIA]],DIAS!A:G,7,0)</f>
        <v>46231</v>
      </c>
      <c r="T1644" s="6">
        <v>0</v>
      </c>
      <c r="U1644" s="43">
        <f>VLOOKUP(Tabla1[[#This Row],[PAGO DIA]],DIAS!A:H,8,0)</f>
        <v>46259</v>
      </c>
      <c r="V1644" s="6">
        <v>0</v>
      </c>
      <c r="W1644" s="43">
        <f>VLOOKUP(Tabla1[[#This Row],[PAGO DIA]],DIAS!A:I,9,0)</f>
        <v>46287</v>
      </c>
      <c r="X1644" s="6">
        <v>0</v>
      </c>
      <c r="Y1644" s="43">
        <f>VLOOKUP(Tabla1[[#This Row],[PAGO DIA]],DIAS!A:J,10,0)</f>
        <v>46322</v>
      </c>
      <c r="Z1644" s="6">
        <v>0</v>
      </c>
      <c r="AA1644" s="43">
        <f>VLOOKUP(Tabla1[[#This Row],[PAGO DIA]],DIAS!A:K,11,0)</f>
        <v>46350</v>
      </c>
      <c r="AB1644" s="6">
        <v>0</v>
      </c>
      <c r="AC1644" s="43">
        <f>VLOOKUP(Tabla1[[#This Row],[PAGO DIA]],DIAS!A:M,12,0)</f>
        <v>46379</v>
      </c>
      <c r="AD16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5" spans="1:30">
      <c r="A1645" s="3">
        <v>12347</v>
      </c>
      <c r="B1645" s="3" t="s">
        <v>510</v>
      </c>
      <c r="C1645" s="3"/>
      <c r="D1645" s="3" t="s">
        <v>2137</v>
      </c>
      <c r="E1645" s="3"/>
      <c r="F1645" s="42" t="s">
        <v>562</v>
      </c>
      <c r="G1645" s="3"/>
      <c r="H1645" s="6">
        <v>0</v>
      </c>
      <c r="I1645" s="41">
        <f>VLOOKUP(Tabla1[[#This Row],[PAGO DIA]],DIAS!A:B,2,0)</f>
        <v>46078</v>
      </c>
      <c r="J1645" s="6">
        <v>0</v>
      </c>
      <c r="K1645" s="43">
        <f>VLOOKUP(Tabla1[[#This Row],[PAGO DIA]],DIAS!A:C,3,0)</f>
        <v>46105</v>
      </c>
      <c r="L1645" s="6">
        <v>0</v>
      </c>
      <c r="M1645" s="41">
        <f>VLOOKUP(Tabla1[[#This Row],[PAGO DIA]],DIAS!A:D,4,0)</f>
        <v>46140</v>
      </c>
      <c r="N1645" s="6">
        <v>0</v>
      </c>
      <c r="O1645" s="43">
        <f>VLOOKUP(Tabla1[[#This Row],[PAGO DIA]],DIAS!A:E,5,0)</f>
        <v>46168</v>
      </c>
      <c r="P1645" s="6">
        <v>0</v>
      </c>
      <c r="Q1645" s="43">
        <f>VLOOKUP(Tabla1[[#This Row],[PAGO DIA]],DIAS!A:F,6,0)</f>
        <v>46196</v>
      </c>
      <c r="R1645" s="6">
        <v>0</v>
      </c>
      <c r="S1645" s="43">
        <f>VLOOKUP(Tabla1[[#This Row],[PAGO DIA]],DIAS!A:G,7,0)</f>
        <v>46231</v>
      </c>
      <c r="T1645" s="6">
        <v>0</v>
      </c>
      <c r="U1645" s="43">
        <f>VLOOKUP(Tabla1[[#This Row],[PAGO DIA]],DIAS!A:H,8,0)</f>
        <v>46259</v>
      </c>
      <c r="V1645" s="6">
        <v>0</v>
      </c>
      <c r="W1645" s="43">
        <f>VLOOKUP(Tabla1[[#This Row],[PAGO DIA]],DIAS!A:I,9,0)</f>
        <v>46287</v>
      </c>
      <c r="X1645" s="6">
        <v>0</v>
      </c>
      <c r="Y1645" s="43">
        <f>VLOOKUP(Tabla1[[#This Row],[PAGO DIA]],DIAS!A:J,10,0)</f>
        <v>46322</v>
      </c>
      <c r="Z1645" s="6">
        <v>0</v>
      </c>
      <c r="AA1645" s="43">
        <f>VLOOKUP(Tabla1[[#This Row],[PAGO DIA]],DIAS!A:K,11,0)</f>
        <v>46350</v>
      </c>
      <c r="AB1645" s="6">
        <v>0</v>
      </c>
      <c r="AC1645" s="43">
        <f>VLOOKUP(Tabla1[[#This Row],[PAGO DIA]],DIAS!A:M,12,0)</f>
        <v>46379</v>
      </c>
      <c r="AD16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6" spans="1:30">
      <c r="A1646" s="3">
        <v>12348</v>
      </c>
      <c r="B1646" s="3" t="s">
        <v>510</v>
      </c>
      <c r="C1646" s="3"/>
      <c r="D1646" s="3" t="s">
        <v>2138</v>
      </c>
      <c r="E1646" s="3"/>
      <c r="F1646" s="42" t="s">
        <v>562</v>
      </c>
      <c r="G1646" s="3"/>
      <c r="H1646" s="6">
        <v>0</v>
      </c>
      <c r="I1646" s="41">
        <f>VLOOKUP(Tabla1[[#This Row],[PAGO DIA]],DIAS!A:B,2,0)</f>
        <v>46078</v>
      </c>
      <c r="J1646" s="6">
        <v>0</v>
      </c>
      <c r="K1646" s="43">
        <f>VLOOKUP(Tabla1[[#This Row],[PAGO DIA]],DIAS!A:C,3,0)</f>
        <v>46105</v>
      </c>
      <c r="L1646" s="6">
        <v>0</v>
      </c>
      <c r="M1646" s="41">
        <f>VLOOKUP(Tabla1[[#This Row],[PAGO DIA]],DIAS!A:D,4,0)</f>
        <v>46140</v>
      </c>
      <c r="N1646" s="6">
        <v>0</v>
      </c>
      <c r="O1646" s="43">
        <f>VLOOKUP(Tabla1[[#This Row],[PAGO DIA]],DIAS!A:E,5,0)</f>
        <v>46168</v>
      </c>
      <c r="P1646" s="6">
        <v>0</v>
      </c>
      <c r="Q1646" s="43">
        <f>VLOOKUP(Tabla1[[#This Row],[PAGO DIA]],DIAS!A:F,6,0)</f>
        <v>46196</v>
      </c>
      <c r="R1646" s="6">
        <v>0</v>
      </c>
      <c r="S1646" s="43">
        <f>VLOOKUP(Tabla1[[#This Row],[PAGO DIA]],DIAS!A:G,7,0)</f>
        <v>46231</v>
      </c>
      <c r="T1646" s="6">
        <v>0</v>
      </c>
      <c r="U1646" s="43">
        <f>VLOOKUP(Tabla1[[#This Row],[PAGO DIA]],DIAS!A:H,8,0)</f>
        <v>46259</v>
      </c>
      <c r="V1646" s="6">
        <v>0</v>
      </c>
      <c r="W1646" s="43">
        <f>VLOOKUP(Tabla1[[#This Row],[PAGO DIA]],DIAS!A:I,9,0)</f>
        <v>46287</v>
      </c>
      <c r="X1646" s="6">
        <v>0</v>
      </c>
      <c r="Y1646" s="43">
        <f>VLOOKUP(Tabla1[[#This Row],[PAGO DIA]],DIAS!A:J,10,0)</f>
        <v>46322</v>
      </c>
      <c r="Z1646" s="6">
        <v>0</v>
      </c>
      <c r="AA1646" s="43">
        <f>VLOOKUP(Tabla1[[#This Row],[PAGO DIA]],DIAS!A:K,11,0)</f>
        <v>46350</v>
      </c>
      <c r="AB1646" s="6">
        <v>0</v>
      </c>
      <c r="AC1646" s="43">
        <f>VLOOKUP(Tabla1[[#This Row],[PAGO DIA]],DIAS!A:M,12,0)</f>
        <v>46379</v>
      </c>
      <c r="AD16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7" spans="1:30">
      <c r="A1647" s="3">
        <v>12349</v>
      </c>
      <c r="B1647" s="3" t="s">
        <v>510</v>
      </c>
      <c r="C1647" s="3"/>
      <c r="D1647" s="3" t="s">
        <v>2139</v>
      </c>
      <c r="E1647" s="3"/>
      <c r="F1647" s="42" t="s">
        <v>562</v>
      </c>
      <c r="G1647" s="3"/>
      <c r="H1647" s="6">
        <v>0</v>
      </c>
      <c r="I1647" s="41">
        <f>VLOOKUP(Tabla1[[#This Row],[PAGO DIA]],DIAS!A:B,2,0)</f>
        <v>46078</v>
      </c>
      <c r="J1647" s="6">
        <v>0</v>
      </c>
      <c r="K1647" s="43">
        <f>VLOOKUP(Tabla1[[#This Row],[PAGO DIA]],DIAS!A:C,3,0)</f>
        <v>46105</v>
      </c>
      <c r="L1647" s="6">
        <v>0</v>
      </c>
      <c r="M1647" s="41">
        <f>VLOOKUP(Tabla1[[#This Row],[PAGO DIA]],DIAS!A:D,4,0)</f>
        <v>46140</v>
      </c>
      <c r="N1647" s="6">
        <v>0</v>
      </c>
      <c r="O1647" s="43">
        <f>VLOOKUP(Tabla1[[#This Row],[PAGO DIA]],DIAS!A:E,5,0)</f>
        <v>46168</v>
      </c>
      <c r="P1647" s="6">
        <v>0</v>
      </c>
      <c r="Q1647" s="43">
        <f>VLOOKUP(Tabla1[[#This Row],[PAGO DIA]],DIAS!A:F,6,0)</f>
        <v>46196</v>
      </c>
      <c r="R1647" s="6">
        <v>0</v>
      </c>
      <c r="S1647" s="43">
        <f>VLOOKUP(Tabla1[[#This Row],[PAGO DIA]],DIAS!A:G,7,0)</f>
        <v>46231</v>
      </c>
      <c r="T1647" s="6">
        <v>0</v>
      </c>
      <c r="U1647" s="43">
        <f>VLOOKUP(Tabla1[[#This Row],[PAGO DIA]],DIAS!A:H,8,0)</f>
        <v>46259</v>
      </c>
      <c r="V1647" s="6">
        <v>0</v>
      </c>
      <c r="W1647" s="43">
        <f>VLOOKUP(Tabla1[[#This Row],[PAGO DIA]],DIAS!A:I,9,0)</f>
        <v>46287</v>
      </c>
      <c r="X1647" s="6">
        <v>0</v>
      </c>
      <c r="Y1647" s="43">
        <f>VLOOKUP(Tabla1[[#This Row],[PAGO DIA]],DIAS!A:J,10,0)</f>
        <v>46322</v>
      </c>
      <c r="Z1647" s="6">
        <v>0</v>
      </c>
      <c r="AA1647" s="43">
        <f>VLOOKUP(Tabla1[[#This Row],[PAGO DIA]],DIAS!A:K,11,0)</f>
        <v>46350</v>
      </c>
      <c r="AB1647" s="6">
        <v>0</v>
      </c>
      <c r="AC1647" s="43">
        <f>VLOOKUP(Tabla1[[#This Row],[PAGO DIA]],DIAS!A:M,12,0)</f>
        <v>46379</v>
      </c>
      <c r="AD16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8" spans="1:30">
      <c r="A1648" s="3">
        <v>12350</v>
      </c>
      <c r="B1648" s="3" t="s">
        <v>510</v>
      </c>
      <c r="C1648" s="3"/>
      <c r="D1648" s="3" t="s">
        <v>2140</v>
      </c>
      <c r="E1648" s="3"/>
      <c r="F1648" s="42" t="s">
        <v>562</v>
      </c>
      <c r="G1648" s="3"/>
      <c r="H1648" s="6">
        <v>0</v>
      </c>
      <c r="I1648" s="41">
        <f>VLOOKUP(Tabla1[[#This Row],[PAGO DIA]],DIAS!A:B,2,0)</f>
        <v>46078</v>
      </c>
      <c r="J1648" s="6">
        <v>0</v>
      </c>
      <c r="K1648" s="43">
        <f>VLOOKUP(Tabla1[[#This Row],[PAGO DIA]],DIAS!A:C,3,0)</f>
        <v>46105</v>
      </c>
      <c r="L1648" s="6">
        <v>0</v>
      </c>
      <c r="M1648" s="41">
        <f>VLOOKUP(Tabla1[[#This Row],[PAGO DIA]],DIAS!A:D,4,0)</f>
        <v>46140</v>
      </c>
      <c r="N1648" s="6">
        <v>0</v>
      </c>
      <c r="O1648" s="43">
        <f>VLOOKUP(Tabla1[[#This Row],[PAGO DIA]],DIAS!A:E,5,0)</f>
        <v>46168</v>
      </c>
      <c r="P1648" s="6">
        <v>0</v>
      </c>
      <c r="Q1648" s="43">
        <f>VLOOKUP(Tabla1[[#This Row],[PAGO DIA]],DIAS!A:F,6,0)</f>
        <v>46196</v>
      </c>
      <c r="R1648" s="6">
        <v>0</v>
      </c>
      <c r="S1648" s="43">
        <f>VLOOKUP(Tabla1[[#This Row],[PAGO DIA]],DIAS!A:G,7,0)</f>
        <v>46231</v>
      </c>
      <c r="T1648" s="6">
        <v>0</v>
      </c>
      <c r="U1648" s="43">
        <f>VLOOKUP(Tabla1[[#This Row],[PAGO DIA]],DIAS!A:H,8,0)</f>
        <v>46259</v>
      </c>
      <c r="V1648" s="6">
        <v>0</v>
      </c>
      <c r="W1648" s="43">
        <f>VLOOKUP(Tabla1[[#This Row],[PAGO DIA]],DIAS!A:I,9,0)</f>
        <v>46287</v>
      </c>
      <c r="X1648" s="6">
        <v>0</v>
      </c>
      <c r="Y1648" s="43">
        <f>VLOOKUP(Tabla1[[#This Row],[PAGO DIA]],DIAS!A:J,10,0)</f>
        <v>46322</v>
      </c>
      <c r="Z1648" s="6">
        <v>0</v>
      </c>
      <c r="AA1648" s="43">
        <f>VLOOKUP(Tabla1[[#This Row],[PAGO DIA]],DIAS!A:K,11,0)</f>
        <v>46350</v>
      </c>
      <c r="AB1648" s="6">
        <v>0</v>
      </c>
      <c r="AC1648" s="43">
        <f>VLOOKUP(Tabla1[[#This Row],[PAGO DIA]],DIAS!A:M,12,0)</f>
        <v>46379</v>
      </c>
      <c r="AD16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49" spans="1:30">
      <c r="A1649" s="3">
        <v>12352</v>
      </c>
      <c r="B1649" s="3" t="s">
        <v>510</v>
      </c>
      <c r="C1649" s="3"/>
      <c r="D1649" s="3" t="s">
        <v>2141</v>
      </c>
      <c r="E1649" s="3"/>
      <c r="F1649" s="42" t="s">
        <v>562</v>
      </c>
      <c r="G1649" s="3"/>
      <c r="H1649" s="6">
        <v>0</v>
      </c>
      <c r="I1649" s="41">
        <f>VLOOKUP(Tabla1[[#This Row],[PAGO DIA]],DIAS!A:B,2,0)</f>
        <v>46078</v>
      </c>
      <c r="J1649" s="6">
        <v>0</v>
      </c>
      <c r="K1649" s="43">
        <f>VLOOKUP(Tabla1[[#This Row],[PAGO DIA]],DIAS!A:C,3,0)</f>
        <v>46105</v>
      </c>
      <c r="L1649" s="6">
        <v>0</v>
      </c>
      <c r="M1649" s="41">
        <f>VLOOKUP(Tabla1[[#This Row],[PAGO DIA]],DIAS!A:D,4,0)</f>
        <v>46140</v>
      </c>
      <c r="N1649" s="6">
        <v>0</v>
      </c>
      <c r="O1649" s="43">
        <f>VLOOKUP(Tabla1[[#This Row],[PAGO DIA]],DIAS!A:E,5,0)</f>
        <v>46168</v>
      </c>
      <c r="P1649" s="6">
        <v>0</v>
      </c>
      <c r="Q1649" s="43">
        <f>VLOOKUP(Tabla1[[#This Row],[PAGO DIA]],DIAS!A:F,6,0)</f>
        <v>46196</v>
      </c>
      <c r="R1649" s="6">
        <v>0</v>
      </c>
      <c r="S1649" s="43">
        <f>VLOOKUP(Tabla1[[#This Row],[PAGO DIA]],DIAS!A:G,7,0)</f>
        <v>46231</v>
      </c>
      <c r="T1649" s="6">
        <v>0</v>
      </c>
      <c r="U1649" s="43">
        <f>VLOOKUP(Tabla1[[#This Row],[PAGO DIA]],DIAS!A:H,8,0)</f>
        <v>46259</v>
      </c>
      <c r="V1649" s="6">
        <v>0</v>
      </c>
      <c r="W1649" s="43">
        <f>VLOOKUP(Tabla1[[#This Row],[PAGO DIA]],DIAS!A:I,9,0)</f>
        <v>46287</v>
      </c>
      <c r="X1649" s="6">
        <v>0</v>
      </c>
      <c r="Y1649" s="43">
        <f>VLOOKUP(Tabla1[[#This Row],[PAGO DIA]],DIAS!A:J,10,0)</f>
        <v>46322</v>
      </c>
      <c r="Z1649" s="6">
        <v>0</v>
      </c>
      <c r="AA1649" s="43">
        <f>VLOOKUP(Tabla1[[#This Row],[PAGO DIA]],DIAS!A:K,11,0)</f>
        <v>46350</v>
      </c>
      <c r="AB1649" s="6">
        <v>0</v>
      </c>
      <c r="AC1649" s="43">
        <f>VLOOKUP(Tabla1[[#This Row],[PAGO DIA]],DIAS!A:M,12,0)</f>
        <v>46379</v>
      </c>
      <c r="AD16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0" spans="1:30">
      <c r="A1650" s="3">
        <v>12353</v>
      </c>
      <c r="B1650" s="3" t="s">
        <v>510</v>
      </c>
      <c r="C1650" s="3"/>
      <c r="D1650" s="3" t="s">
        <v>2142</v>
      </c>
      <c r="E1650" s="3"/>
      <c r="F1650" s="42" t="s">
        <v>562</v>
      </c>
      <c r="G1650" s="3"/>
      <c r="H1650" s="6">
        <v>0</v>
      </c>
      <c r="I1650" s="41">
        <f>VLOOKUP(Tabla1[[#This Row],[PAGO DIA]],DIAS!A:B,2,0)</f>
        <v>46078</v>
      </c>
      <c r="J1650" s="6">
        <v>0</v>
      </c>
      <c r="K1650" s="43">
        <f>VLOOKUP(Tabla1[[#This Row],[PAGO DIA]],DIAS!A:C,3,0)</f>
        <v>46105</v>
      </c>
      <c r="L1650" s="6">
        <v>0</v>
      </c>
      <c r="M1650" s="41">
        <f>VLOOKUP(Tabla1[[#This Row],[PAGO DIA]],DIAS!A:D,4,0)</f>
        <v>46140</v>
      </c>
      <c r="N1650" s="6">
        <v>0</v>
      </c>
      <c r="O1650" s="43">
        <f>VLOOKUP(Tabla1[[#This Row],[PAGO DIA]],DIAS!A:E,5,0)</f>
        <v>46168</v>
      </c>
      <c r="P1650" s="6">
        <v>0</v>
      </c>
      <c r="Q1650" s="43">
        <f>VLOOKUP(Tabla1[[#This Row],[PAGO DIA]],DIAS!A:F,6,0)</f>
        <v>46196</v>
      </c>
      <c r="R1650" s="6">
        <v>0</v>
      </c>
      <c r="S1650" s="43">
        <f>VLOOKUP(Tabla1[[#This Row],[PAGO DIA]],DIAS!A:G,7,0)</f>
        <v>46231</v>
      </c>
      <c r="T1650" s="6">
        <v>0</v>
      </c>
      <c r="U1650" s="43">
        <f>VLOOKUP(Tabla1[[#This Row],[PAGO DIA]],DIAS!A:H,8,0)</f>
        <v>46259</v>
      </c>
      <c r="V1650" s="6">
        <v>0</v>
      </c>
      <c r="W1650" s="43">
        <f>VLOOKUP(Tabla1[[#This Row],[PAGO DIA]],DIAS!A:I,9,0)</f>
        <v>46287</v>
      </c>
      <c r="X1650" s="6">
        <v>0</v>
      </c>
      <c r="Y1650" s="43">
        <f>VLOOKUP(Tabla1[[#This Row],[PAGO DIA]],DIAS!A:J,10,0)</f>
        <v>46322</v>
      </c>
      <c r="Z1650" s="6">
        <v>0</v>
      </c>
      <c r="AA1650" s="43">
        <f>VLOOKUP(Tabla1[[#This Row],[PAGO DIA]],DIAS!A:K,11,0)</f>
        <v>46350</v>
      </c>
      <c r="AB1650" s="6">
        <v>0</v>
      </c>
      <c r="AC1650" s="43">
        <f>VLOOKUP(Tabla1[[#This Row],[PAGO DIA]],DIAS!A:M,12,0)</f>
        <v>46379</v>
      </c>
      <c r="AD16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1" spans="1:30">
      <c r="A1651" s="3">
        <v>12354</v>
      </c>
      <c r="B1651" s="3" t="s">
        <v>510</v>
      </c>
      <c r="C1651" s="3"/>
      <c r="D1651" s="3" t="s">
        <v>2143</v>
      </c>
      <c r="E1651" s="3"/>
      <c r="F1651" s="42" t="s">
        <v>562</v>
      </c>
      <c r="G1651" s="3"/>
      <c r="H1651" s="6">
        <v>0</v>
      </c>
      <c r="I1651" s="41">
        <f>VLOOKUP(Tabla1[[#This Row],[PAGO DIA]],DIAS!A:B,2,0)</f>
        <v>46078</v>
      </c>
      <c r="J1651" s="6">
        <v>0</v>
      </c>
      <c r="K1651" s="43">
        <f>VLOOKUP(Tabla1[[#This Row],[PAGO DIA]],DIAS!A:C,3,0)</f>
        <v>46105</v>
      </c>
      <c r="L1651" s="6">
        <v>0</v>
      </c>
      <c r="M1651" s="41">
        <f>VLOOKUP(Tabla1[[#This Row],[PAGO DIA]],DIAS!A:D,4,0)</f>
        <v>46140</v>
      </c>
      <c r="N1651" s="6">
        <v>0</v>
      </c>
      <c r="O1651" s="43">
        <f>VLOOKUP(Tabla1[[#This Row],[PAGO DIA]],DIAS!A:E,5,0)</f>
        <v>46168</v>
      </c>
      <c r="P1651" s="6">
        <v>0</v>
      </c>
      <c r="Q1651" s="43">
        <f>VLOOKUP(Tabla1[[#This Row],[PAGO DIA]],DIAS!A:F,6,0)</f>
        <v>46196</v>
      </c>
      <c r="R1651" s="6">
        <v>0</v>
      </c>
      <c r="S1651" s="43">
        <f>VLOOKUP(Tabla1[[#This Row],[PAGO DIA]],DIAS!A:G,7,0)</f>
        <v>46231</v>
      </c>
      <c r="T1651" s="6">
        <v>0</v>
      </c>
      <c r="U1651" s="43">
        <f>VLOOKUP(Tabla1[[#This Row],[PAGO DIA]],DIAS!A:H,8,0)</f>
        <v>46259</v>
      </c>
      <c r="V1651" s="6">
        <v>0</v>
      </c>
      <c r="W1651" s="43">
        <f>VLOOKUP(Tabla1[[#This Row],[PAGO DIA]],DIAS!A:I,9,0)</f>
        <v>46287</v>
      </c>
      <c r="X1651" s="6">
        <v>0</v>
      </c>
      <c r="Y1651" s="43">
        <f>VLOOKUP(Tabla1[[#This Row],[PAGO DIA]],DIAS!A:J,10,0)</f>
        <v>46322</v>
      </c>
      <c r="Z1651" s="6">
        <v>0</v>
      </c>
      <c r="AA1651" s="43">
        <f>VLOOKUP(Tabla1[[#This Row],[PAGO DIA]],DIAS!A:K,11,0)</f>
        <v>46350</v>
      </c>
      <c r="AB1651" s="6">
        <v>0</v>
      </c>
      <c r="AC1651" s="43">
        <f>VLOOKUP(Tabla1[[#This Row],[PAGO DIA]],DIAS!A:M,12,0)</f>
        <v>46379</v>
      </c>
      <c r="AD16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2" spans="1:30">
      <c r="A1652" s="3">
        <v>12355</v>
      </c>
      <c r="B1652" s="3" t="s">
        <v>510</v>
      </c>
      <c r="C1652" s="3"/>
      <c r="D1652" s="3" t="s">
        <v>2144</v>
      </c>
      <c r="E1652" s="3"/>
      <c r="F1652" s="42" t="s">
        <v>562</v>
      </c>
      <c r="G1652" s="3"/>
      <c r="H1652" s="6">
        <v>0</v>
      </c>
      <c r="I1652" s="41">
        <f>VLOOKUP(Tabla1[[#This Row],[PAGO DIA]],DIAS!A:B,2,0)</f>
        <v>46078</v>
      </c>
      <c r="J1652" s="6">
        <v>0</v>
      </c>
      <c r="K1652" s="43">
        <f>VLOOKUP(Tabla1[[#This Row],[PAGO DIA]],DIAS!A:C,3,0)</f>
        <v>46105</v>
      </c>
      <c r="L1652" s="6">
        <v>0</v>
      </c>
      <c r="M1652" s="41">
        <f>VLOOKUP(Tabla1[[#This Row],[PAGO DIA]],DIAS!A:D,4,0)</f>
        <v>46140</v>
      </c>
      <c r="N1652" s="6">
        <v>0</v>
      </c>
      <c r="O1652" s="43">
        <f>VLOOKUP(Tabla1[[#This Row],[PAGO DIA]],DIAS!A:E,5,0)</f>
        <v>46168</v>
      </c>
      <c r="P1652" s="6">
        <v>0</v>
      </c>
      <c r="Q1652" s="43">
        <f>VLOOKUP(Tabla1[[#This Row],[PAGO DIA]],DIAS!A:F,6,0)</f>
        <v>46196</v>
      </c>
      <c r="R1652" s="6">
        <v>0</v>
      </c>
      <c r="S1652" s="43">
        <f>VLOOKUP(Tabla1[[#This Row],[PAGO DIA]],DIAS!A:G,7,0)</f>
        <v>46231</v>
      </c>
      <c r="T1652" s="6">
        <v>0</v>
      </c>
      <c r="U1652" s="43">
        <f>VLOOKUP(Tabla1[[#This Row],[PAGO DIA]],DIAS!A:H,8,0)</f>
        <v>46259</v>
      </c>
      <c r="V1652" s="6">
        <v>0</v>
      </c>
      <c r="W1652" s="43">
        <f>VLOOKUP(Tabla1[[#This Row],[PAGO DIA]],DIAS!A:I,9,0)</f>
        <v>46287</v>
      </c>
      <c r="X1652" s="6">
        <v>0</v>
      </c>
      <c r="Y1652" s="43">
        <f>VLOOKUP(Tabla1[[#This Row],[PAGO DIA]],DIAS!A:J,10,0)</f>
        <v>46322</v>
      </c>
      <c r="Z1652" s="6">
        <v>0</v>
      </c>
      <c r="AA1652" s="43">
        <f>VLOOKUP(Tabla1[[#This Row],[PAGO DIA]],DIAS!A:K,11,0)</f>
        <v>46350</v>
      </c>
      <c r="AB1652" s="6">
        <v>0</v>
      </c>
      <c r="AC1652" s="43">
        <f>VLOOKUP(Tabla1[[#This Row],[PAGO DIA]],DIAS!A:M,12,0)</f>
        <v>46379</v>
      </c>
      <c r="AD16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3" spans="1:30">
      <c r="A1653" s="3">
        <v>12356</v>
      </c>
      <c r="B1653" s="3" t="s">
        <v>510</v>
      </c>
      <c r="C1653" s="3"/>
      <c r="D1653" s="3" t="s">
        <v>2144</v>
      </c>
      <c r="E1653" s="3"/>
      <c r="F1653" s="42" t="s">
        <v>562</v>
      </c>
      <c r="G1653" s="3"/>
      <c r="H1653" s="6">
        <v>0</v>
      </c>
      <c r="I1653" s="41">
        <f>VLOOKUP(Tabla1[[#This Row],[PAGO DIA]],DIAS!A:B,2,0)</f>
        <v>46078</v>
      </c>
      <c r="J1653" s="6">
        <v>0</v>
      </c>
      <c r="K1653" s="43">
        <f>VLOOKUP(Tabla1[[#This Row],[PAGO DIA]],DIAS!A:C,3,0)</f>
        <v>46105</v>
      </c>
      <c r="L1653" s="6">
        <v>0</v>
      </c>
      <c r="M1653" s="41">
        <f>VLOOKUP(Tabla1[[#This Row],[PAGO DIA]],DIAS!A:D,4,0)</f>
        <v>46140</v>
      </c>
      <c r="N1653" s="6">
        <v>0</v>
      </c>
      <c r="O1653" s="43">
        <f>VLOOKUP(Tabla1[[#This Row],[PAGO DIA]],DIAS!A:E,5,0)</f>
        <v>46168</v>
      </c>
      <c r="P1653" s="6">
        <v>0</v>
      </c>
      <c r="Q1653" s="43">
        <f>VLOOKUP(Tabla1[[#This Row],[PAGO DIA]],DIAS!A:F,6,0)</f>
        <v>46196</v>
      </c>
      <c r="R1653" s="6">
        <v>0</v>
      </c>
      <c r="S1653" s="43">
        <f>VLOOKUP(Tabla1[[#This Row],[PAGO DIA]],DIAS!A:G,7,0)</f>
        <v>46231</v>
      </c>
      <c r="T1653" s="6">
        <v>0</v>
      </c>
      <c r="U1653" s="43">
        <f>VLOOKUP(Tabla1[[#This Row],[PAGO DIA]],DIAS!A:H,8,0)</f>
        <v>46259</v>
      </c>
      <c r="V1653" s="6">
        <v>0</v>
      </c>
      <c r="W1653" s="43">
        <f>VLOOKUP(Tabla1[[#This Row],[PAGO DIA]],DIAS!A:I,9,0)</f>
        <v>46287</v>
      </c>
      <c r="X1653" s="6">
        <v>0</v>
      </c>
      <c r="Y1653" s="43">
        <f>VLOOKUP(Tabla1[[#This Row],[PAGO DIA]],DIAS!A:J,10,0)</f>
        <v>46322</v>
      </c>
      <c r="Z1653" s="6">
        <v>0</v>
      </c>
      <c r="AA1653" s="43">
        <f>VLOOKUP(Tabla1[[#This Row],[PAGO DIA]],DIAS!A:K,11,0)</f>
        <v>46350</v>
      </c>
      <c r="AB1653" s="6">
        <v>0</v>
      </c>
      <c r="AC1653" s="43">
        <f>VLOOKUP(Tabla1[[#This Row],[PAGO DIA]],DIAS!A:M,12,0)</f>
        <v>46379</v>
      </c>
      <c r="AD16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4" spans="1:30">
      <c r="A1654" s="3">
        <v>12357</v>
      </c>
      <c r="B1654" s="3" t="s">
        <v>510</v>
      </c>
      <c r="C1654" s="3"/>
      <c r="D1654" s="3" t="s">
        <v>2145</v>
      </c>
      <c r="E1654" s="3"/>
      <c r="F1654" s="42" t="s">
        <v>562</v>
      </c>
      <c r="G1654" s="3"/>
      <c r="H1654" s="6">
        <v>0</v>
      </c>
      <c r="I1654" s="41">
        <f>VLOOKUP(Tabla1[[#This Row],[PAGO DIA]],DIAS!A:B,2,0)</f>
        <v>46078</v>
      </c>
      <c r="J1654" s="6">
        <v>0</v>
      </c>
      <c r="K1654" s="43">
        <f>VLOOKUP(Tabla1[[#This Row],[PAGO DIA]],DIAS!A:C,3,0)</f>
        <v>46105</v>
      </c>
      <c r="L1654" s="6">
        <v>0</v>
      </c>
      <c r="M1654" s="41">
        <f>VLOOKUP(Tabla1[[#This Row],[PAGO DIA]],DIAS!A:D,4,0)</f>
        <v>46140</v>
      </c>
      <c r="N1654" s="6">
        <v>0</v>
      </c>
      <c r="O1654" s="43">
        <f>VLOOKUP(Tabla1[[#This Row],[PAGO DIA]],DIAS!A:E,5,0)</f>
        <v>46168</v>
      </c>
      <c r="P1654" s="6">
        <v>0</v>
      </c>
      <c r="Q1654" s="43">
        <f>VLOOKUP(Tabla1[[#This Row],[PAGO DIA]],DIAS!A:F,6,0)</f>
        <v>46196</v>
      </c>
      <c r="R1654" s="6">
        <v>0</v>
      </c>
      <c r="S1654" s="43">
        <f>VLOOKUP(Tabla1[[#This Row],[PAGO DIA]],DIAS!A:G,7,0)</f>
        <v>46231</v>
      </c>
      <c r="T1654" s="6">
        <v>0</v>
      </c>
      <c r="U1654" s="43">
        <f>VLOOKUP(Tabla1[[#This Row],[PAGO DIA]],DIAS!A:H,8,0)</f>
        <v>46259</v>
      </c>
      <c r="V1654" s="6">
        <v>0</v>
      </c>
      <c r="W1654" s="43">
        <f>VLOOKUP(Tabla1[[#This Row],[PAGO DIA]],DIAS!A:I,9,0)</f>
        <v>46287</v>
      </c>
      <c r="X1654" s="6">
        <v>0</v>
      </c>
      <c r="Y1654" s="43">
        <f>VLOOKUP(Tabla1[[#This Row],[PAGO DIA]],DIAS!A:J,10,0)</f>
        <v>46322</v>
      </c>
      <c r="Z1654" s="6">
        <v>0</v>
      </c>
      <c r="AA1654" s="43">
        <f>VLOOKUP(Tabla1[[#This Row],[PAGO DIA]],DIAS!A:K,11,0)</f>
        <v>46350</v>
      </c>
      <c r="AB1654" s="6">
        <v>0</v>
      </c>
      <c r="AC1654" s="43">
        <f>VLOOKUP(Tabla1[[#This Row],[PAGO DIA]],DIAS!A:M,12,0)</f>
        <v>46379</v>
      </c>
      <c r="AD16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5" spans="1:30">
      <c r="A1655" s="3">
        <v>12358</v>
      </c>
      <c r="B1655" s="3" t="s">
        <v>510</v>
      </c>
      <c r="C1655" s="3"/>
      <c r="D1655" s="3" t="s">
        <v>2145</v>
      </c>
      <c r="E1655" s="3"/>
      <c r="F1655" s="42" t="s">
        <v>562</v>
      </c>
      <c r="G1655" s="3"/>
      <c r="H1655" s="6">
        <v>0</v>
      </c>
      <c r="I1655" s="41">
        <f>VLOOKUP(Tabla1[[#This Row],[PAGO DIA]],DIAS!A:B,2,0)</f>
        <v>46078</v>
      </c>
      <c r="J1655" s="6">
        <v>0</v>
      </c>
      <c r="K1655" s="43">
        <f>VLOOKUP(Tabla1[[#This Row],[PAGO DIA]],DIAS!A:C,3,0)</f>
        <v>46105</v>
      </c>
      <c r="L1655" s="6">
        <v>0</v>
      </c>
      <c r="M1655" s="41">
        <f>VLOOKUP(Tabla1[[#This Row],[PAGO DIA]],DIAS!A:D,4,0)</f>
        <v>46140</v>
      </c>
      <c r="N1655" s="6">
        <v>0</v>
      </c>
      <c r="O1655" s="43">
        <f>VLOOKUP(Tabla1[[#This Row],[PAGO DIA]],DIAS!A:E,5,0)</f>
        <v>46168</v>
      </c>
      <c r="P1655" s="6">
        <v>0</v>
      </c>
      <c r="Q1655" s="43">
        <f>VLOOKUP(Tabla1[[#This Row],[PAGO DIA]],DIAS!A:F,6,0)</f>
        <v>46196</v>
      </c>
      <c r="R1655" s="6">
        <v>0</v>
      </c>
      <c r="S1655" s="43">
        <f>VLOOKUP(Tabla1[[#This Row],[PAGO DIA]],DIAS!A:G,7,0)</f>
        <v>46231</v>
      </c>
      <c r="T1655" s="6">
        <v>0</v>
      </c>
      <c r="U1655" s="43">
        <f>VLOOKUP(Tabla1[[#This Row],[PAGO DIA]],DIAS!A:H,8,0)</f>
        <v>46259</v>
      </c>
      <c r="V1655" s="6">
        <v>0</v>
      </c>
      <c r="W1655" s="43">
        <f>VLOOKUP(Tabla1[[#This Row],[PAGO DIA]],DIAS!A:I,9,0)</f>
        <v>46287</v>
      </c>
      <c r="X1655" s="6">
        <v>0</v>
      </c>
      <c r="Y1655" s="43">
        <f>VLOOKUP(Tabla1[[#This Row],[PAGO DIA]],DIAS!A:J,10,0)</f>
        <v>46322</v>
      </c>
      <c r="Z1655" s="6">
        <v>0</v>
      </c>
      <c r="AA1655" s="43">
        <f>VLOOKUP(Tabla1[[#This Row],[PAGO DIA]],DIAS!A:K,11,0)</f>
        <v>46350</v>
      </c>
      <c r="AB1655" s="6">
        <v>0</v>
      </c>
      <c r="AC1655" s="43">
        <f>VLOOKUP(Tabla1[[#This Row],[PAGO DIA]],DIAS!A:M,12,0)</f>
        <v>46379</v>
      </c>
      <c r="AD16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6" spans="1:30">
      <c r="A1656" s="3">
        <v>12359</v>
      </c>
      <c r="B1656" s="3" t="s">
        <v>510</v>
      </c>
      <c r="C1656" s="3"/>
      <c r="D1656" s="3" t="s">
        <v>2146</v>
      </c>
      <c r="E1656" s="3"/>
      <c r="F1656" s="42" t="s">
        <v>562</v>
      </c>
      <c r="G1656" s="3"/>
      <c r="H1656" s="6">
        <v>0</v>
      </c>
      <c r="I1656" s="41">
        <f>VLOOKUP(Tabla1[[#This Row],[PAGO DIA]],DIAS!A:B,2,0)</f>
        <v>46078</v>
      </c>
      <c r="J1656" s="6">
        <v>0</v>
      </c>
      <c r="K1656" s="43">
        <f>VLOOKUP(Tabla1[[#This Row],[PAGO DIA]],DIAS!A:C,3,0)</f>
        <v>46105</v>
      </c>
      <c r="L1656" s="6">
        <v>0</v>
      </c>
      <c r="M1656" s="41">
        <f>VLOOKUP(Tabla1[[#This Row],[PAGO DIA]],DIAS!A:D,4,0)</f>
        <v>46140</v>
      </c>
      <c r="N1656" s="6">
        <v>0</v>
      </c>
      <c r="O1656" s="43">
        <f>VLOOKUP(Tabla1[[#This Row],[PAGO DIA]],DIAS!A:E,5,0)</f>
        <v>46168</v>
      </c>
      <c r="P1656" s="6">
        <v>0</v>
      </c>
      <c r="Q1656" s="43">
        <f>VLOOKUP(Tabla1[[#This Row],[PAGO DIA]],DIAS!A:F,6,0)</f>
        <v>46196</v>
      </c>
      <c r="R1656" s="6">
        <v>0</v>
      </c>
      <c r="S1656" s="43">
        <f>VLOOKUP(Tabla1[[#This Row],[PAGO DIA]],DIAS!A:G,7,0)</f>
        <v>46231</v>
      </c>
      <c r="T1656" s="6">
        <v>0</v>
      </c>
      <c r="U1656" s="43">
        <f>VLOOKUP(Tabla1[[#This Row],[PAGO DIA]],DIAS!A:H,8,0)</f>
        <v>46259</v>
      </c>
      <c r="V1656" s="6">
        <v>0</v>
      </c>
      <c r="W1656" s="43">
        <f>VLOOKUP(Tabla1[[#This Row],[PAGO DIA]],DIAS!A:I,9,0)</f>
        <v>46287</v>
      </c>
      <c r="X1656" s="6">
        <v>0</v>
      </c>
      <c r="Y1656" s="43">
        <f>VLOOKUP(Tabla1[[#This Row],[PAGO DIA]],DIAS!A:J,10,0)</f>
        <v>46322</v>
      </c>
      <c r="Z1656" s="6">
        <v>0</v>
      </c>
      <c r="AA1656" s="43">
        <f>VLOOKUP(Tabla1[[#This Row],[PAGO DIA]],DIAS!A:K,11,0)</f>
        <v>46350</v>
      </c>
      <c r="AB1656" s="6">
        <v>0</v>
      </c>
      <c r="AC1656" s="43">
        <f>VLOOKUP(Tabla1[[#This Row],[PAGO DIA]],DIAS!A:M,12,0)</f>
        <v>46379</v>
      </c>
      <c r="AD16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7" spans="1:30">
      <c r="A1657" s="3">
        <v>12360</v>
      </c>
      <c r="B1657" s="3" t="s">
        <v>510</v>
      </c>
      <c r="C1657" s="3"/>
      <c r="D1657" s="3" t="s">
        <v>2147</v>
      </c>
      <c r="E1657" s="3"/>
      <c r="F1657" s="42" t="s">
        <v>562</v>
      </c>
      <c r="G1657" s="3"/>
      <c r="H1657" s="6">
        <v>0</v>
      </c>
      <c r="I1657" s="41">
        <f>VLOOKUP(Tabla1[[#This Row],[PAGO DIA]],DIAS!A:B,2,0)</f>
        <v>46078</v>
      </c>
      <c r="J1657" s="6">
        <v>0</v>
      </c>
      <c r="K1657" s="43">
        <f>VLOOKUP(Tabla1[[#This Row],[PAGO DIA]],DIAS!A:C,3,0)</f>
        <v>46105</v>
      </c>
      <c r="L1657" s="6">
        <v>0</v>
      </c>
      <c r="M1657" s="41">
        <f>VLOOKUP(Tabla1[[#This Row],[PAGO DIA]],DIAS!A:D,4,0)</f>
        <v>46140</v>
      </c>
      <c r="N1657" s="6">
        <v>0</v>
      </c>
      <c r="O1657" s="43">
        <f>VLOOKUP(Tabla1[[#This Row],[PAGO DIA]],DIAS!A:E,5,0)</f>
        <v>46168</v>
      </c>
      <c r="P1657" s="6">
        <v>0</v>
      </c>
      <c r="Q1657" s="43">
        <f>VLOOKUP(Tabla1[[#This Row],[PAGO DIA]],DIAS!A:F,6,0)</f>
        <v>46196</v>
      </c>
      <c r="R1657" s="6">
        <v>0</v>
      </c>
      <c r="S1657" s="43">
        <f>VLOOKUP(Tabla1[[#This Row],[PAGO DIA]],DIAS!A:G,7,0)</f>
        <v>46231</v>
      </c>
      <c r="T1657" s="6">
        <v>0</v>
      </c>
      <c r="U1657" s="43">
        <f>VLOOKUP(Tabla1[[#This Row],[PAGO DIA]],DIAS!A:H,8,0)</f>
        <v>46259</v>
      </c>
      <c r="V1657" s="6">
        <v>0</v>
      </c>
      <c r="W1657" s="43">
        <f>VLOOKUP(Tabla1[[#This Row],[PAGO DIA]],DIAS!A:I,9,0)</f>
        <v>46287</v>
      </c>
      <c r="X1657" s="6">
        <v>0</v>
      </c>
      <c r="Y1657" s="43">
        <f>VLOOKUP(Tabla1[[#This Row],[PAGO DIA]],DIAS!A:J,10,0)</f>
        <v>46322</v>
      </c>
      <c r="Z1657" s="6">
        <v>0</v>
      </c>
      <c r="AA1657" s="43">
        <f>VLOOKUP(Tabla1[[#This Row],[PAGO DIA]],DIAS!A:K,11,0)</f>
        <v>46350</v>
      </c>
      <c r="AB1657" s="6">
        <v>0</v>
      </c>
      <c r="AC1657" s="43">
        <f>VLOOKUP(Tabla1[[#This Row],[PAGO DIA]],DIAS!A:M,12,0)</f>
        <v>46379</v>
      </c>
      <c r="AD16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8" spans="1:30">
      <c r="A1658" s="3">
        <v>12361</v>
      </c>
      <c r="B1658" s="3" t="s">
        <v>510</v>
      </c>
      <c r="C1658" s="3"/>
      <c r="D1658" s="3" t="s">
        <v>2148</v>
      </c>
      <c r="E1658" s="3"/>
      <c r="F1658" s="42" t="s">
        <v>562</v>
      </c>
      <c r="G1658" s="3"/>
      <c r="H1658" s="6">
        <v>0</v>
      </c>
      <c r="I1658" s="41">
        <f>VLOOKUP(Tabla1[[#This Row],[PAGO DIA]],DIAS!A:B,2,0)</f>
        <v>46078</v>
      </c>
      <c r="J1658" s="6">
        <v>0</v>
      </c>
      <c r="K1658" s="43">
        <f>VLOOKUP(Tabla1[[#This Row],[PAGO DIA]],DIAS!A:C,3,0)</f>
        <v>46105</v>
      </c>
      <c r="L1658" s="6">
        <v>0</v>
      </c>
      <c r="M1658" s="41">
        <f>VLOOKUP(Tabla1[[#This Row],[PAGO DIA]],DIAS!A:D,4,0)</f>
        <v>46140</v>
      </c>
      <c r="N1658" s="6">
        <v>0</v>
      </c>
      <c r="O1658" s="43">
        <f>VLOOKUP(Tabla1[[#This Row],[PAGO DIA]],DIAS!A:E,5,0)</f>
        <v>46168</v>
      </c>
      <c r="P1658" s="6">
        <v>0</v>
      </c>
      <c r="Q1658" s="43">
        <f>VLOOKUP(Tabla1[[#This Row],[PAGO DIA]],DIAS!A:F,6,0)</f>
        <v>46196</v>
      </c>
      <c r="R1658" s="6">
        <v>0</v>
      </c>
      <c r="S1658" s="43">
        <f>VLOOKUP(Tabla1[[#This Row],[PAGO DIA]],DIAS!A:G,7,0)</f>
        <v>46231</v>
      </c>
      <c r="T1658" s="6">
        <v>0</v>
      </c>
      <c r="U1658" s="43">
        <f>VLOOKUP(Tabla1[[#This Row],[PAGO DIA]],DIAS!A:H,8,0)</f>
        <v>46259</v>
      </c>
      <c r="V1658" s="6">
        <v>0</v>
      </c>
      <c r="W1658" s="43">
        <f>VLOOKUP(Tabla1[[#This Row],[PAGO DIA]],DIAS!A:I,9,0)</f>
        <v>46287</v>
      </c>
      <c r="X1658" s="6">
        <v>0</v>
      </c>
      <c r="Y1658" s="43">
        <f>VLOOKUP(Tabla1[[#This Row],[PAGO DIA]],DIAS!A:J,10,0)</f>
        <v>46322</v>
      </c>
      <c r="Z1658" s="6">
        <v>0</v>
      </c>
      <c r="AA1658" s="43">
        <f>VLOOKUP(Tabla1[[#This Row],[PAGO DIA]],DIAS!A:K,11,0)</f>
        <v>46350</v>
      </c>
      <c r="AB1658" s="6">
        <v>0</v>
      </c>
      <c r="AC1658" s="43">
        <f>VLOOKUP(Tabla1[[#This Row],[PAGO DIA]],DIAS!A:M,12,0)</f>
        <v>46379</v>
      </c>
      <c r="AD16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59" spans="1:30">
      <c r="A1659" s="3">
        <v>12362</v>
      </c>
      <c r="B1659" s="3" t="s">
        <v>510</v>
      </c>
      <c r="C1659" s="3"/>
      <c r="D1659" s="3" t="s">
        <v>2149</v>
      </c>
      <c r="E1659" s="3"/>
      <c r="F1659" s="42" t="s">
        <v>562</v>
      </c>
      <c r="G1659" s="3"/>
      <c r="H1659" s="6">
        <v>0</v>
      </c>
      <c r="I1659" s="41">
        <f>VLOOKUP(Tabla1[[#This Row],[PAGO DIA]],DIAS!A:B,2,0)</f>
        <v>46078</v>
      </c>
      <c r="J1659" s="6">
        <v>0</v>
      </c>
      <c r="K1659" s="43">
        <f>VLOOKUP(Tabla1[[#This Row],[PAGO DIA]],DIAS!A:C,3,0)</f>
        <v>46105</v>
      </c>
      <c r="L1659" s="6">
        <v>0</v>
      </c>
      <c r="M1659" s="41">
        <f>VLOOKUP(Tabla1[[#This Row],[PAGO DIA]],DIAS!A:D,4,0)</f>
        <v>46140</v>
      </c>
      <c r="N1659" s="6">
        <v>0</v>
      </c>
      <c r="O1659" s="43">
        <f>VLOOKUP(Tabla1[[#This Row],[PAGO DIA]],DIAS!A:E,5,0)</f>
        <v>46168</v>
      </c>
      <c r="P1659" s="6">
        <v>0</v>
      </c>
      <c r="Q1659" s="43">
        <f>VLOOKUP(Tabla1[[#This Row],[PAGO DIA]],DIAS!A:F,6,0)</f>
        <v>46196</v>
      </c>
      <c r="R1659" s="6">
        <v>0</v>
      </c>
      <c r="S1659" s="43">
        <f>VLOOKUP(Tabla1[[#This Row],[PAGO DIA]],DIAS!A:G,7,0)</f>
        <v>46231</v>
      </c>
      <c r="T1659" s="6">
        <v>0</v>
      </c>
      <c r="U1659" s="43">
        <f>VLOOKUP(Tabla1[[#This Row],[PAGO DIA]],DIAS!A:H,8,0)</f>
        <v>46259</v>
      </c>
      <c r="V1659" s="6">
        <v>0</v>
      </c>
      <c r="W1659" s="43">
        <f>VLOOKUP(Tabla1[[#This Row],[PAGO DIA]],DIAS!A:I,9,0)</f>
        <v>46287</v>
      </c>
      <c r="X1659" s="6">
        <v>0</v>
      </c>
      <c r="Y1659" s="43">
        <f>VLOOKUP(Tabla1[[#This Row],[PAGO DIA]],DIAS!A:J,10,0)</f>
        <v>46322</v>
      </c>
      <c r="Z1659" s="6">
        <v>0</v>
      </c>
      <c r="AA1659" s="43">
        <f>VLOOKUP(Tabla1[[#This Row],[PAGO DIA]],DIAS!A:K,11,0)</f>
        <v>46350</v>
      </c>
      <c r="AB1659" s="6">
        <v>0</v>
      </c>
      <c r="AC1659" s="43">
        <f>VLOOKUP(Tabla1[[#This Row],[PAGO DIA]],DIAS!A:M,12,0)</f>
        <v>46379</v>
      </c>
      <c r="AD16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0" spans="1:30">
      <c r="A1660" s="3">
        <v>12363</v>
      </c>
      <c r="B1660" s="3" t="s">
        <v>510</v>
      </c>
      <c r="C1660" s="3"/>
      <c r="D1660" s="3" t="s">
        <v>2150</v>
      </c>
      <c r="E1660" s="3"/>
      <c r="F1660" s="42" t="s">
        <v>562</v>
      </c>
      <c r="G1660" s="3"/>
      <c r="H1660" s="6">
        <v>0</v>
      </c>
      <c r="I1660" s="41">
        <f>VLOOKUP(Tabla1[[#This Row],[PAGO DIA]],DIAS!A:B,2,0)</f>
        <v>46078</v>
      </c>
      <c r="J1660" s="6">
        <v>0</v>
      </c>
      <c r="K1660" s="43">
        <f>VLOOKUP(Tabla1[[#This Row],[PAGO DIA]],DIAS!A:C,3,0)</f>
        <v>46105</v>
      </c>
      <c r="L1660" s="6">
        <v>0</v>
      </c>
      <c r="M1660" s="41">
        <f>VLOOKUP(Tabla1[[#This Row],[PAGO DIA]],DIAS!A:D,4,0)</f>
        <v>46140</v>
      </c>
      <c r="N1660" s="6">
        <v>0</v>
      </c>
      <c r="O1660" s="43">
        <f>VLOOKUP(Tabla1[[#This Row],[PAGO DIA]],DIAS!A:E,5,0)</f>
        <v>46168</v>
      </c>
      <c r="P1660" s="6">
        <v>0</v>
      </c>
      <c r="Q1660" s="43">
        <f>VLOOKUP(Tabla1[[#This Row],[PAGO DIA]],DIAS!A:F,6,0)</f>
        <v>46196</v>
      </c>
      <c r="R1660" s="6">
        <v>0</v>
      </c>
      <c r="S1660" s="43">
        <f>VLOOKUP(Tabla1[[#This Row],[PAGO DIA]],DIAS!A:G,7,0)</f>
        <v>46231</v>
      </c>
      <c r="T1660" s="6">
        <v>0</v>
      </c>
      <c r="U1660" s="43">
        <f>VLOOKUP(Tabla1[[#This Row],[PAGO DIA]],DIAS!A:H,8,0)</f>
        <v>46259</v>
      </c>
      <c r="V1660" s="6">
        <v>0</v>
      </c>
      <c r="W1660" s="43">
        <f>VLOOKUP(Tabla1[[#This Row],[PAGO DIA]],DIAS!A:I,9,0)</f>
        <v>46287</v>
      </c>
      <c r="X1660" s="6">
        <v>0</v>
      </c>
      <c r="Y1660" s="43">
        <f>VLOOKUP(Tabla1[[#This Row],[PAGO DIA]],DIAS!A:J,10,0)</f>
        <v>46322</v>
      </c>
      <c r="Z1660" s="6">
        <v>0</v>
      </c>
      <c r="AA1660" s="43">
        <f>VLOOKUP(Tabla1[[#This Row],[PAGO DIA]],DIAS!A:K,11,0)</f>
        <v>46350</v>
      </c>
      <c r="AB1660" s="6">
        <v>0</v>
      </c>
      <c r="AC1660" s="43">
        <f>VLOOKUP(Tabla1[[#This Row],[PAGO DIA]],DIAS!A:M,12,0)</f>
        <v>46379</v>
      </c>
      <c r="AD16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1" spans="1:30">
      <c r="A1661" s="3">
        <v>12364</v>
      </c>
      <c r="B1661" s="3" t="s">
        <v>510</v>
      </c>
      <c r="C1661" s="3"/>
      <c r="D1661" s="3" t="s">
        <v>2151</v>
      </c>
      <c r="E1661" s="3"/>
      <c r="F1661" s="42" t="s">
        <v>562</v>
      </c>
      <c r="G1661" s="3"/>
      <c r="H1661" s="6">
        <v>0</v>
      </c>
      <c r="I1661" s="41">
        <f>VLOOKUP(Tabla1[[#This Row],[PAGO DIA]],DIAS!A:B,2,0)</f>
        <v>46078</v>
      </c>
      <c r="J1661" s="6">
        <v>0</v>
      </c>
      <c r="K1661" s="43">
        <f>VLOOKUP(Tabla1[[#This Row],[PAGO DIA]],DIAS!A:C,3,0)</f>
        <v>46105</v>
      </c>
      <c r="L1661" s="6">
        <v>0</v>
      </c>
      <c r="M1661" s="41">
        <f>VLOOKUP(Tabla1[[#This Row],[PAGO DIA]],DIAS!A:D,4,0)</f>
        <v>46140</v>
      </c>
      <c r="N1661" s="6">
        <v>0</v>
      </c>
      <c r="O1661" s="43">
        <f>VLOOKUP(Tabla1[[#This Row],[PAGO DIA]],DIAS!A:E,5,0)</f>
        <v>46168</v>
      </c>
      <c r="P1661" s="6">
        <v>0</v>
      </c>
      <c r="Q1661" s="43">
        <f>VLOOKUP(Tabla1[[#This Row],[PAGO DIA]],DIAS!A:F,6,0)</f>
        <v>46196</v>
      </c>
      <c r="R1661" s="6">
        <v>0</v>
      </c>
      <c r="S1661" s="43">
        <f>VLOOKUP(Tabla1[[#This Row],[PAGO DIA]],DIAS!A:G,7,0)</f>
        <v>46231</v>
      </c>
      <c r="T1661" s="6">
        <v>0</v>
      </c>
      <c r="U1661" s="43">
        <f>VLOOKUP(Tabla1[[#This Row],[PAGO DIA]],DIAS!A:H,8,0)</f>
        <v>46259</v>
      </c>
      <c r="V1661" s="6">
        <v>0</v>
      </c>
      <c r="W1661" s="43">
        <f>VLOOKUP(Tabla1[[#This Row],[PAGO DIA]],DIAS!A:I,9,0)</f>
        <v>46287</v>
      </c>
      <c r="X1661" s="6">
        <v>0</v>
      </c>
      <c r="Y1661" s="43">
        <f>VLOOKUP(Tabla1[[#This Row],[PAGO DIA]],DIAS!A:J,10,0)</f>
        <v>46322</v>
      </c>
      <c r="Z1661" s="6">
        <v>0</v>
      </c>
      <c r="AA1661" s="43">
        <f>VLOOKUP(Tabla1[[#This Row],[PAGO DIA]],DIAS!A:K,11,0)</f>
        <v>46350</v>
      </c>
      <c r="AB1661" s="6">
        <v>0</v>
      </c>
      <c r="AC1661" s="43">
        <f>VLOOKUP(Tabla1[[#This Row],[PAGO DIA]],DIAS!A:M,12,0)</f>
        <v>46379</v>
      </c>
      <c r="AD16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2" spans="1:30">
      <c r="A1662" s="3">
        <v>12365</v>
      </c>
      <c r="B1662" s="3" t="s">
        <v>510</v>
      </c>
      <c r="C1662" s="3"/>
      <c r="D1662" s="3" t="s">
        <v>2152</v>
      </c>
      <c r="E1662" s="3"/>
      <c r="F1662" s="42" t="s">
        <v>562</v>
      </c>
      <c r="G1662" s="3"/>
      <c r="H1662" s="6">
        <v>0</v>
      </c>
      <c r="I1662" s="41">
        <f>VLOOKUP(Tabla1[[#This Row],[PAGO DIA]],DIAS!A:B,2,0)</f>
        <v>46078</v>
      </c>
      <c r="J1662" s="6">
        <v>0</v>
      </c>
      <c r="K1662" s="43">
        <f>VLOOKUP(Tabla1[[#This Row],[PAGO DIA]],DIAS!A:C,3,0)</f>
        <v>46105</v>
      </c>
      <c r="L1662" s="6">
        <v>0</v>
      </c>
      <c r="M1662" s="41">
        <f>VLOOKUP(Tabla1[[#This Row],[PAGO DIA]],DIAS!A:D,4,0)</f>
        <v>46140</v>
      </c>
      <c r="N1662" s="6">
        <v>0</v>
      </c>
      <c r="O1662" s="43">
        <f>VLOOKUP(Tabla1[[#This Row],[PAGO DIA]],DIAS!A:E,5,0)</f>
        <v>46168</v>
      </c>
      <c r="P1662" s="6">
        <v>0</v>
      </c>
      <c r="Q1662" s="43">
        <f>VLOOKUP(Tabla1[[#This Row],[PAGO DIA]],DIAS!A:F,6,0)</f>
        <v>46196</v>
      </c>
      <c r="R1662" s="6">
        <v>0</v>
      </c>
      <c r="S1662" s="43">
        <f>VLOOKUP(Tabla1[[#This Row],[PAGO DIA]],DIAS!A:G,7,0)</f>
        <v>46231</v>
      </c>
      <c r="T1662" s="6">
        <v>0</v>
      </c>
      <c r="U1662" s="43">
        <f>VLOOKUP(Tabla1[[#This Row],[PAGO DIA]],DIAS!A:H,8,0)</f>
        <v>46259</v>
      </c>
      <c r="V1662" s="6">
        <v>0</v>
      </c>
      <c r="W1662" s="43">
        <f>VLOOKUP(Tabla1[[#This Row],[PAGO DIA]],DIAS!A:I,9,0)</f>
        <v>46287</v>
      </c>
      <c r="X1662" s="6">
        <v>0</v>
      </c>
      <c r="Y1662" s="43">
        <f>VLOOKUP(Tabla1[[#This Row],[PAGO DIA]],DIAS!A:J,10,0)</f>
        <v>46322</v>
      </c>
      <c r="Z1662" s="6">
        <v>0</v>
      </c>
      <c r="AA1662" s="43">
        <f>VLOOKUP(Tabla1[[#This Row],[PAGO DIA]],DIAS!A:K,11,0)</f>
        <v>46350</v>
      </c>
      <c r="AB1662" s="6">
        <v>0</v>
      </c>
      <c r="AC1662" s="43">
        <f>VLOOKUP(Tabla1[[#This Row],[PAGO DIA]],DIAS!A:M,12,0)</f>
        <v>46379</v>
      </c>
      <c r="AD16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3" spans="1:30">
      <c r="A1663" s="3">
        <v>12366</v>
      </c>
      <c r="B1663" s="3" t="s">
        <v>510</v>
      </c>
      <c r="C1663" s="3"/>
      <c r="D1663" s="3" t="s">
        <v>2153</v>
      </c>
      <c r="E1663" s="3"/>
      <c r="F1663" s="42" t="s">
        <v>562</v>
      </c>
      <c r="G1663" s="3"/>
      <c r="H1663" s="6">
        <v>0</v>
      </c>
      <c r="I1663" s="41">
        <f>VLOOKUP(Tabla1[[#This Row],[PAGO DIA]],DIAS!A:B,2,0)</f>
        <v>46078</v>
      </c>
      <c r="J1663" s="6">
        <v>0</v>
      </c>
      <c r="K1663" s="43">
        <f>VLOOKUP(Tabla1[[#This Row],[PAGO DIA]],DIAS!A:C,3,0)</f>
        <v>46105</v>
      </c>
      <c r="L1663" s="6">
        <v>0</v>
      </c>
      <c r="M1663" s="41">
        <f>VLOOKUP(Tabla1[[#This Row],[PAGO DIA]],DIAS!A:D,4,0)</f>
        <v>46140</v>
      </c>
      <c r="N1663" s="6">
        <v>0</v>
      </c>
      <c r="O1663" s="43">
        <f>VLOOKUP(Tabla1[[#This Row],[PAGO DIA]],DIAS!A:E,5,0)</f>
        <v>46168</v>
      </c>
      <c r="P1663" s="6">
        <v>0</v>
      </c>
      <c r="Q1663" s="43">
        <f>VLOOKUP(Tabla1[[#This Row],[PAGO DIA]],DIAS!A:F,6,0)</f>
        <v>46196</v>
      </c>
      <c r="R1663" s="6">
        <v>0</v>
      </c>
      <c r="S1663" s="43">
        <f>VLOOKUP(Tabla1[[#This Row],[PAGO DIA]],DIAS!A:G,7,0)</f>
        <v>46231</v>
      </c>
      <c r="T1663" s="6">
        <v>0</v>
      </c>
      <c r="U1663" s="43">
        <f>VLOOKUP(Tabla1[[#This Row],[PAGO DIA]],DIAS!A:H,8,0)</f>
        <v>46259</v>
      </c>
      <c r="V1663" s="6">
        <v>0</v>
      </c>
      <c r="W1663" s="43">
        <f>VLOOKUP(Tabla1[[#This Row],[PAGO DIA]],DIAS!A:I,9,0)</f>
        <v>46287</v>
      </c>
      <c r="X1663" s="6">
        <v>0</v>
      </c>
      <c r="Y1663" s="43">
        <f>VLOOKUP(Tabla1[[#This Row],[PAGO DIA]],DIAS!A:J,10,0)</f>
        <v>46322</v>
      </c>
      <c r="Z1663" s="6">
        <v>0</v>
      </c>
      <c r="AA1663" s="43">
        <f>VLOOKUP(Tabla1[[#This Row],[PAGO DIA]],DIAS!A:K,11,0)</f>
        <v>46350</v>
      </c>
      <c r="AB1663" s="6">
        <v>0</v>
      </c>
      <c r="AC1663" s="43">
        <f>VLOOKUP(Tabla1[[#This Row],[PAGO DIA]],DIAS!A:M,12,0)</f>
        <v>46379</v>
      </c>
      <c r="AD16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4" spans="1:30">
      <c r="A1664" s="3">
        <v>12367</v>
      </c>
      <c r="B1664" s="3" t="s">
        <v>510</v>
      </c>
      <c r="C1664" s="3"/>
      <c r="D1664" s="3" t="s">
        <v>2154</v>
      </c>
      <c r="E1664" s="3"/>
      <c r="F1664" s="42" t="s">
        <v>562</v>
      </c>
      <c r="G1664" s="3"/>
      <c r="H1664" s="6">
        <v>0</v>
      </c>
      <c r="I1664" s="41">
        <f>VLOOKUP(Tabla1[[#This Row],[PAGO DIA]],DIAS!A:B,2,0)</f>
        <v>46078</v>
      </c>
      <c r="J1664" s="6">
        <v>0</v>
      </c>
      <c r="K1664" s="43">
        <f>VLOOKUP(Tabla1[[#This Row],[PAGO DIA]],DIAS!A:C,3,0)</f>
        <v>46105</v>
      </c>
      <c r="L1664" s="6">
        <v>0</v>
      </c>
      <c r="M1664" s="41">
        <f>VLOOKUP(Tabla1[[#This Row],[PAGO DIA]],DIAS!A:D,4,0)</f>
        <v>46140</v>
      </c>
      <c r="N1664" s="6">
        <v>0</v>
      </c>
      <c r="O1664" s="43">
        <f>VLOOKUP(Tabla1[[#This Row],[PAGO DIA]],DIAS!A:E,5,0)</f>
        <v>46168</v>
      </c>
      <c r="P1664" s="6">
        <v>0</v>
      </c>
      <c r="Q1664" s="43">
        <f>VLOOKUP(Tabla1[[#This Row],[PAGO DIA]],DIAS!A:F,6,0)</f>
        <v>46196</v>
      </c>
      <c r="R1664" s="6">
        <v>0</v>
      </c>
      <c r="S1664" s="43">
        <f>VLOOKUP(Tabla1[[#This Row],[PAGO DIA]],DIAS!A:G,7,0)</f>
        <v>46231</v>
      </c>
      <c r="T1664" s="6">
        <v>0</v>
      </c>
      <c r="U1664" s="43">
        <f>VLOOKUP(Tabla1[[#This Row],[PAGO DIA]],DIAS!A:H,8,0)</f>
        <v>46259</v>
      </c>
      <c r="V1664" s="6">
        <v>0</v>
      </c>
      <c r="W1664" s="43">
        <f>VLOOKUP(Tabla1[[#This Row],[PAGO DIA]],DIAS!A:I,9,0)</f>
        <v>46287</v>
      </c>
      <c r="X1664" s="6">
        <v>0</v>
      </c>
      <c r="Y1664" s="43">
        <f>VLOOKUP(Tabla1[[#This Row],[PAGO DIA]],DIAS!A:J,10,0)</f>
        <v>46322</v>
      </c>
      <c r="Z1664" s="6">
        <v>0</v>
      </c>
      <c r="AA1664" s="43">
        <f>VLOOKUP(Tabla1[[#This Row],[PAGO DIA]],DIAS!A:K,11,0)</f>
        <v>46350</v>
      </c>
      <c r="AB1664" s="6">
        <v>0</v>
      </c>
      <c r="AC1664" s="43">
        <f>VLOOKUP(Tabla1[[#This Row],[PAGO DIA]],DIAS!A:M,12,0)</f>
        <v>46379</v>
      </c>
      <c r="AD16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5" spans="1:30">
      <c r="A1665" s="3">
        <v>12368</v>
      </c>
      <c r="B1665" s="3" t="s">
        <v>510</v>
      </c>
      <c r="C1665" s="3"/>
      <c r="D1665" s="3" t="s">
        <v>2155</v>
      </c>
      <c r="E1665" s="3"/>
      <c r="F1665" s="42" t="s">
        <v>562</v>
      </c>
      <c r="G1665" s="3"/>
      <c r="H1665" s="6">
        <v>0</v>
      </c>
      <c r="I1665" s="41">
        <f>VLOOKUP(Tabla1[[#This Row],[PAGO DIA]],DIAS!A:B,2,0)</f>
        <v>46078</v>
      </c>
      <c r="J1665" s="6">
        <v>0</v>
      </c>
      <c r="K1665" s="43">
        <f>VLOOKUP(Tabla1[[#This Row],[PAGO DIA]],DIAS!A:C,3,0)</f>
        <v>46105</v>
      </c>
      <c r="L1665" s="6">
        <v>0</v>
      </c>
      <c r="M1665" s="41">
        <f>VLOOKUP(Tabla1[[#This Row],[PAGO DIA]],DIAS!A:D,4,0)</f>
        <v>46140</v>
      </c>
      <c r="N1665" s="6">
        <v>0</v>
      </c>
      <c r="O1665" s="43">
        <f>VLOOKUP(Tabla1[[#This Row],[PAGO DIA]],DIAS!A:E,5,0)</f>
        <v>46168</v>
      </c>
      <c r="P1665" s="6">
        <v>0</v>
      </c>
      <c r="Q1665" s="43">
        <f>VLOOKUP(Tabla1[[#This Row],[PAGO DIA]],DIAS!A:F,6,0)</f>
        <v>46196</v>
      </c>
      <c r="R1665" s="6">
        <v>0</v>
      </c>
      <c r="S1665" s="43">
        <f>VLOOKUP(Tabla1[[#This Row],[PAGO DIA]],DIAS!A:G,7,0)</f>
        <v>46231</v>
      </c>
      <c r="T1665" s="6">
        <v>0</v>
      </c>
      <c r="U1665" s="43">
        <f>VLOOKUP(Tabla1[[#This Row],[PAGO DIA]],DIAS!A:H,8,0)</f>
        <v>46259</v>
      </c>
      <c r="V1665" s="6">
        <v>0</v>
      </c>
      <c r="W1665" s="43">
        <f>VLOOKUP(Tabla1[[#This Row],[PAGO DIA]],DIAS!A:I,9,0)</f>
        <v>46287</v>
      </c>
      <c r="X1665" s="6">
        <v>0</v>
      </c>
      <c r="Y1665" s="43">
        <f>VLOOKUP(Tabla1[[#This Row],[PAGO DIA]],DIAS!A:J,10,0)</f>
        <v>46322</v>
      </c>
      <c r="Z1665" s="6">
        <v>0</v>
      </c>
      <c r="AA1665" s="43">
        <f>VLOOKUP(Tabla1[[#This Row],[PAGO DIA]],DIAS!A:K,11,0)</f>
        <v>46350</v>
      </c>
      <c r="AB1665" s="6">
        <v>0</v>
      </c>
      <c r="AC1665" s="43">
        <f>VLOOKUP(Tabla1[[#This Row],[PAGO DIA]],DIAS!A:M,12,0)</f>
        <v>46379</v>
      </c>
      <c r="AD16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6" spans="1:30">
      <c r="A1666" s="3">
        <v>12369</v>
      </c>
      <c r="B1666" s="3" t="s">
        <v>510</v>
      </c>
      <c r="C1666" s="3"/>
      <c r="D1666" s="3" t="s">
        <v>2156</v>
      </c>
      <c r="E1666" s="3"/>
      <c r="F1666" s="42" t="s">
        <v>562</v>
      </c>
      <c r="G1666" s="3"/>
      <c r="H1666" s="6">
        <v>0</v>
      </c>
      <c r="I1666" s="41">
        <f>VLOOKUP(Tabla1[[#This Row],[PAGO DIA]],DIAS!A:B,2,0)</f>
        <v>46078</v>
      </c>
      <c r="J1666" s="6">
        <v>0</v>
      </c>
      <c r="K1666" s="43">
        <f>VLOOKUP(Tabla1[[#This Row],[PAGO DIA]],DIAS!A:C,3,0)</f>
        <v>46105</v>
      </c>
      <c r="L1666" s="6">
        <v>0</v>
      </c>
      <c r="M1666" s="41">
        <f>VLOOKUP(Tabla1[[#This Row],[PAGO DIA]],DIAS!A:D,4,0)</f>
        <v>46140</v>
      </c>
      <c r="N1666" s="6">
        <v>0</v>
      </c>
      <c r="O1666" s="43">
        <f>VLOOKUP(Tabla1[[#This Row],[PAGO DIA]],DIAS!A:E,5,0)</f>
        <v>46168</v>
      </c>
      <c r="P1666" s="6">
        <v>0</v>
      </c>
      <c r="Q1666" s="43">
        <f>VLOOKUP(Tabla1[[#This Row],[PAGO DIA]],DIAS!A:F,6,0)</f>
        <v>46196</v>
      </c>
      <c r="R1666" s="6">
        <v>0</v>
      </c>
      <c r="S1666" s="43">
        <f>VLOOKUP(Tabla1[[#This Row],[PAGO DIA]],DIAS!A:G,7,0)</f>
        <v>46231</v>
      </c>
      <c r="T1666" s="6">
        <v>0</v>
      </c>
      <c r="U1666" s="43">
        <f>VLOOKUP(Tabla1[[#This Row],[PAGO DIA]],DIAS!A:H,8,0)</f>
        <v>46259</v>
      </c>
      <c r="V1666" s="6">
        <v>0</v>
      </c>
      <c r="W1666" s="43">
        <f>VLOOKUP(Tabla1[[#This Row],[PAGO DIA]],DIAS!A:I,9,0)</f>
        <v>46287</v>
      </c>
      <c r="X1666" s="6">
        <v>0</v>
      </c>
      <c r="Y1666" s="43">
        <f>VLOOKUP(Tabla1[[#This Row],[PAGO DIA]],DIAS!A:J,10,0)</f>
        <v>46322</v>
      </c>
      <c r="Z1666" s="6">
        <v>0</v>
      </c>
      <c r="AA1666" s="43">
        <f>VLOOKUP(Tabla1[[#This Row],[PAGO DIA]],DIAS!A:K,11,0)</f>
        <v>46350</v>
      </c>
      <c r="AB1666" s="6">
        <v>0</v>
      </c>
      <c r="AC1666" s="43">
        <f>VLOOKUP(Tabla1[[#This Row],[PAGO DIA]],DIAS!A:M,12,0)</f>
        <v>46379</v>
      </c>
      <c r="AD16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7" spans="1:30">
      <c r="A1667" s="3">
        <v>12370</v>
      </c>
      <c r="B1667" s="3" t="s">
        <v>510</v>
      </c>
      <c r="C1667" s="3"/>
      <c r="D1667" s="3" t="s">
        <v>2157</v>
      </c>
      <c r="E1667" s="3"/>
      <c r="F1667" s="42" t="s">
        <v>562</v>
      </c>
      <c r="G1667" s="3"/>
      <c r="H1667" s="6">
        <v>0</v>
      </c>
      <c r="I1667" s="41">
        <f>VLOOKUP(Tabla1[[#This Row],[PAGO DIA]],DIAS!A:B,2,0)</f>
        <v>46078</v>
      </c>
      <c r="J1667" s="6">
        <v>0</v>
      </c>
      <c r="K1667" s="43">
        <f>VLOOKUP(Tabla1[[#This Row],[PAGO DIA]],DIAS!A:C,3,0)</f>
        <v>46105</v>
      </c>
      <c r="L1667" s="6">
        <v>0</v>
      </c>
      <c r="M1667" s="41">
        <f>VLOOKUP(Tabla1[[#This Row],[PAGO DIA]],DIAS!A:D,4,0)</f>
        <v>46140</v>
      </c>
      <c r="N1667" s="6">
        <v>0</v>
      </c>
      <c r="O1667" s="43">
        <f>VLOOKUP(Tabla1[[#This Row],[PAGO DIA]],DIAS!A:E,5,0)</f>
        <v>46168</v>
      </c>
      <c r="P1667" s="6">
        <v>0</v>
      </c>
      <c r="Q1667" s="43">
        <f>VLOOKUP(Tabla1[[#This Row],[PAGO DIA]],DIAS!A:F,6,0)</f>
        <v>46196</v>
      </c>
      <c r="R1667" s="6">
        <v>0</v>
      </c>
      <c r="S1667" s="43">
        <f>VLOOKUP(Tabla1[[#This Row],[PAGO DIA]],DIAS!A:G,7,0)</f>
        <v>46231</v>
      </c>
      <c r="T1667" s="6">
        <v>0</v>
      </c>
      <c r="U1667" s="43">
        <f>VLOOKUP(Tabla1[[#This Row],[PAGO DIA]],DIAS!A:H,8,0)</f>
        <v>46259</v>
      </c>
      <c r="V1667" s="6">
        <v>0</v>
      </c>
      <c r="W1667" s="43">
        <f>VLOOKUP(Tabla1[[#This Row],[PAGO DIA]],DIAS!A:I,9,0)</f>
        <v>46287</v>
      </c>
      <c r="X1667" s="6">
        <v>0</v>
      </c>
      <c r="Y1667" s="43">
        <f>VLOOKUP(Tabla1[[#This Row],[PAGO DIA]],DIAS!A:J,10,0)</f>
        <v>46322</v>
      </c>
      <c r="Z1667" s="6">
        <v>0</v>
      </c>
      <c r="AA1667" s="43">
        <f>VLOOKUP(Tabla1[[#This Row],[PAGO DIA]],DIAS!A:K,11,0)</f>
        <v>46350</v>
      </c>
      <c r="AB1667" s="6">
        <v>0</v>
      </c>
      <c r="AC1667" s="43">
        <f>VLOOKUP(Tabla1[[#This Row],[PAGO DIA]],DIAS!A:M,12,0)</f>
        <v>46379</v>
      </c>
      <c r="AD16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8" spans="1:30">
      <c r="A1668" s="3">
        <v>12371</v>
      </c>
      <c r="B1668" s="3" t="s">
        <v>510</v>
      </c>
      <c r="C1668" s="3"/>
      <c r="D1668" s="3" t="s">
        <v>2158</v>
      </c>
      <c r="E1668" s="3"/>
      <c r="F1668" s="42" t="s">
        <v>562</v>
      </c>
      <c r="G1668" s="3"/>
      <c r="H1668" s="6">
        <v>0</v>
      </c>
      <c r="I1668" s="41">
        <f>VLOOKUP(Tabla1[[#This Row],[PAGO DIA]],DIAS!A:B,2,0)</f>
        <v>46078</v>
      </c>
      <c r="J1668" s="6">
        <v>0</v>
      </c>
      <c r="K1668" s="43">
        <f>VLOOKUP(Tabla1[[#This Row],[PAGO DIA]],DIAS!A:C,3,0)</f>
        <v>46105</v>
      </c>
      <c r="L1668" s="6">
        <v>0</v>
      </c>
      <c r="M1668" s="41">
        <f>VLOOKUP(Tabla1[[#This Row],[PAGO DIA]],DIAS!A:D,4,0)</f>
        <v>46140</v>
      </c>
      <c r="N1668" s="6">
        <v>0</v>
      </c>
      <c r="O1668" s="43">
        <f>VLOOKUP(Tabla1[[#This Row],[PAGO DIA]],DIAS!A:E,5,0)</f>
        <v>46168</v>
      </c>
      <c r="P1668" s="6">
        <v>0</v>
      </c>
      <c r="Q1668" s="43">
        <f>VLOOKUP(Tabla1[[#This Row],[PAGO DIA]],DIAS!A:F,6,0)</f>
        <v>46196</v>
      </c>
      <c r="R1668" s="6">
        <v>0</v>
      </c>
      <c r="S1668" s="43">
        <f>VLOOKUP(Tabla1[[#This Row],[PAGO DIA]],DIAS!A:G,7,0)</f>
        <v>46231</v>
      </c>
      <c r="T1668" s="6">
        <v>0</v>
      </c>
      <c r="U1668" s="43">
        <f>VLOOKUP(Tabla1[[#This Row],[PAGO DIA]],DIAS!A:H,8,0)</f>
        <v>46259</v>
      </c>
      <c r="V1668" s="6">
        <v>0</v>
      </c>
      <c r="W1668" s="43">
        <f>VLOOKUP(Tabla1[[#This Row],[PAGO DIA]],DIAS!A:I,9,0)</f>
        <v>46287</v>
      </c>
      <c r="X1668" s="6">
        <v>0</v>
      </c>
      <c r="Y1668" s="43">
        <f>VLOOKUP(Tabla1[[#This Row],[PAGO DIA]],DIAS!A:J,10,0)</f>
        <v>46322</v>
      </c>
      <c r="Z1668" s="6">
        <v>0</v>
      </c>
      <c r="AA1668" s="43">
        <f>VLOOKUP(Tabla1[[#This Row],[PAGO DIA]],DIAS!A:K,11,0)</f>
        <v>46350</v>
      </c>
      <c r="AB1668" s="6">
        <v>0</v>
      </c>
      <c r="AC1668" s="43">
        <f>VLOOKUP(Tabla1[[#This Row],[PAGO DIA]],DIAS!A:M,12,0)</f>
        <v>46379</v>
      </c>
      <c r="AD16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69" spans="1:30">
      <c r="A1669" s="3">
        <v>12372</v>
      </c>
      <c r="B1669" s="3" t="s">
        <v>510</v>
      </c>
      <c r="C1669" s="3"/>
      <c r="D1669" s="3" t="s">
        <v>2159</v>
      </c>
      <c r="E1669" s="3"/>
      <c r="F1669" s="42" t="s">
        <v>562</v>
      </c>
      <c r="G1669" s="3"/>
      <c r="H1669" s="6">
        <v>0</v>
      </c>
      <c r="I1669" s="41">
        <f>VLOOKUP(Tabla1[[#This Row],[PAGO DIA]],DIAS!A:B,2,0)</f>
        <v>46078</v>
      </c>
      <c r="J1669" s="6">
        <v>0</v>
      </c>
      <c r="K1669" s="43">
        <f>VLOOKUP(Tabla1[[#This Row],[PAGO DIA]],DIAS!A:C,3,0)</f>
        <v>46105</v>
      </c>
      <c r="L1669" s="6">
        <v>0</v>
      </c>
      <c r="M1669" s="41">
        <f>VLOOKUP(Tabla1[[#This Row],[PAGO DIA]],DIAS!A:D,4,0)</f>
        <v>46140</v>
      </c>
      <c r="N1669" s="6">
        <v>0</v>
      </c>
      <c r="O1669" s="43">
        <f>VLOOKUP(Tabla1[[#This Row],[PAGO DIA]],DIAS!A:E,5,0)</f>
        <v>46168</v>
      </c>
      <c r="P1669" s="6">
        <v>0</v>
      </c>
      <c r="Q1669" s="43">
        <f>VLOOKUP(Tabla1[[#This Row],[PAGO DIA]],DIAS!A:F,6,0)</f>
        <v>46196</v>
      </c>
      <c r="R1669" s="6">
        <v>0</v>
      </c>
      <c r="S1669" s="43">
        <f>VLOOKUP(Tabla1[[#This Row],[PAGO DIA]],DIAS!A:G,7,0)</f>
        <v>46231</v>
      </c>
      <c r="T1669" s="6">
        <v>0</v>
      </c>
      <c r="U1669" s="43">
        <f>VLOOKUP(Tabla1[[#This Row],[PAGO DIA]],DIAS!A:H,8,0)</f>
        <v>46259</v>
      </c>
      <c r="V1669" s="6">
        <v>0</v>
      </c>
      <c r="W1669" s="43">
        <f>VLOOKUP(Tabla1[[#This Row],[PAGO DIA]],DIAS!A:I,9,0)</f>
        <v>46287</v>
      </c>
      <c r="X1669" s="6">
        <v>0</v>
      </c>
      <c r="Y1669" s="43">
        <f>VLOOKUP(Tabla1[[#This Row],[PAGO DIA]],DIAS!A:J,10,0)</f>
        <v>46322</v>
      </c>
      <c r="Z1669" s="6">
        <v>0</v>
      </c>
      <c r="AA1669" s="43">
        <f>VLOOKUP(Tabla1[[#This Row],[PAGO DIA]],DIAS!A:K,11,0)</f>
        <v>46350</v>
      </c>
      <c r="AB1669" s="6">
        <v>0</v>
      </c>
      <c r="AC1669" s="43">
        <f>VLOOKUP(Tabla1[[#This Row],[PAGO DIA]],DIAS!A:M,12,0)</f>
        <v>46379</v>
      </c>
      <c r="AD16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0" spans="1:30">
      <c r="A1670" s="3">
        <v>12373</v>
      </c>
      <c r="B1670" s="3" t="s">
        <v>510</v>
      </c>
      <c r="C1670" s="3"/>
      <c r="D1670" s="3" t="s">
        <v>2160</v>
      </c>
      <c r="E1670" s="3"/>
      <c r="F1670" s="42" t="s">
        <v>562</v>
      </c>
      <c r="G1670" s="3"/>
      <c r="H1670" s="6">
        <v>0</v>
      </c>
      <c r="I1670" s="41">
        <f>VLOOKUP(Tabla1[[#This Row],[PAGO DIA]],DIAS!A:B,2,0)</f>
        <v>46078</v>
      </c>
      <c r="J1670" s="6">
        <v>0</v>
      </c>
      <c r="K1670" s="43">
        <f>VLOOKUP(Tabla1[[#This Row],[PAGO DIA]],DIAS!A:C,3,0)</f>
        <v>46105</v>
      </c>
      <c r="L1670" s="6">
        <v>0</v>
      </c>
      <c r="M1670" s="41">
        <f>VLOOKUP(Tabla1[[#This Row],[PAGO DIA]],DIAS!A:D,4,0)</f>
        <v>46140</v>
      </c>
      <c r="N1670" s="6">
        <v>0</v>
      </c>
      <c r="O1670" s="43">
        <f>VLOOKUP(Tabla1[[#This Row],[PAGO DIA]],DIAS!A:E,5,0)</f>
        <v>46168</v>
      </c>
      <c r="P1670" s="6">
        <v>0</v>
      </c>
      <c r="Q1670" s="43">
        <f>VLOOKUP(Tabla1[[#This Row],[PAGO DIA]],DIAS!A:F,6,0)</f>
        <v>46196</v>
      </c>
      <c r="R1670" s="6">
        <v>0</v>
      </c>
      <c r="S1670" s="43">
        <f>VLOOKUP(Tabla1[[#This Row],[PAGO DIA]],DIAS!A:G,7,0)</f>
        <v>46231</v>
      </c>
      <c r="T1670" s="6">
        <v>0</v>
      </c>
      <c r="U1670" s="43">
        <f>VLOOKUP(Tabla1[[#This Row],[PAGO DIA]],DIAS!A:H,8,0)</f>
        <v>46259</v>
      </c>
      <c r="V1670" s="6">
        <v>0</v>
      </c>
      <c r="W1670" s="43">
        <f>VLOOKUP(Tabla1[[#This Row],[PAGO DIA]],DIAS!A:I,9,0)</f>
        <v>46287</v>
      </c>
      <c r="X1670" s="6">
        <v>0</v>
      </c>
      <c r="Y1670" s="43">
        <f>VLOOKUP(Tabla1[[#This Row],[PAGO DIA]],DIAS!A:J,10,0)</f>
        <v>46322</v>
      </c>
      <c r="Z1670" s="6">
        <v>0</v>
      </c>
      <c r="AA1670" s="43">
        <f>VLOOKUP(Tabla1[[#This Row],[PAGO DIA]],DIAS!A:K,11,0)</f>
        <v>46350</v>
      </c>
      <c r="AB1670" s="6">
        <v>0</v>
      </c>
      <c r="AC1670" s="43">
        <f>VLOOKUP(Tabla1[[#This Row],[PAGO DIA]],DIAS!A:M,12,0)</f>
        <v>46379</v>
      </c>
      <c r="AD16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1" spans="1:30">
      <c r="A1671" s="3">
        <v>12374</v>
      </c>
      <c r="B1671" s="3" t="s">
        <v>510</v>
      </c>
      <c r="C1671" s="3"/>
      <c r="D1671" s="3" t="s">
        <v>2161</v>
      </c>
      <c r="E1671" s="3"/>
      <c r="F1671" s="42" t="s">
        <v>562</v>
      </c>
      <c r="G1671" s="3"/>
      <c r="H1671" s="6">
        <v>0</v>
      </c>
      <c r="I1671" s="41">
        <f>VLOOKUP(Tabla1[[#This Row],[PAGO DIA]],DIAS!A:B,2,0)</f>
        <v>46078</v>
      </c>
      <c r="J1671" s="6">
        <v>0</v>
      </c>
      <c r="K1671" s="43">
        <f>VLOOKUP(Tabla1[[#This Row],[PAGO DIA]],DIAS!A:C,3,0)</f>
        <v>46105</v>
      </c>
      <c r="L1671" s="6">
        <v>0</v>
      </c>
      <c r="M1671" s="41">
        <f>VLOOKUP(Tabla1[[#This Row],[PAGO DIA]],DIAS!A:D,4,0)</f>
        <v>46140</v>
      </c>
      <c r="N1671" s="6">
        <v>0</v>
      </c>
      <c r="O1671" s="43">
        <f>VLOOKUP(Tabla1[[#This Row],[PAGO DIA]],DIAS!A:E,5,0)</f>
        <v>46168</v>
      </c>
      <c r="P1671" s="6">
        <v>0</v>
      </c>
      <c r="Q1671" s="43">
        <f>VLOOKUP(Tabla1[[#This Row],[PAGO DIA]],DIAS!A:F,6,0)</f>
        <v>46196</v>
      </c>
      <c r="R1671" s="6">
        <v>0</v>
      </c>
      <c r="S1671" s="43">
        <f>VLOOKUP(Tabla1[[#This Row],[PAGO DIA]],DIAS!A:G,7,0)</f>
        <v>46231</v>
      </c>
      <c r="T1671" s="6">
        <v>0</v>
      </c>
      <c r="U1671" s="43">
        <f>VLOOKUP(Tabla1[[#This Row],[PAGO DIA]],DIAS!A:H,8,0)</f>
        <v>46259</v>
      </c>
      <c r="V1671" s="6">
        <v>0</v>
      </c>
      <c r="W1671" s="43">
        <f>VLOOKUP(Tabla1[[#This Row],[PAGO DIA]],DIAS!A:I,9,0)</f>
        <v>46287</v>
      </c>
      <c r="X1671" s="6">
        <v>0</v>
      </c>
      <c r="Y1671" s="43">
        <f>VLOOKUP(Tabla1[[#This Row],[PAGO DIA]],DIAS!A:J,10,0)</f>
        <v>46322</v>
      </c>
      <c r="Z1671" s="6">
        <v>0</v>
      </c>
      <c r="AA1671" s="43">
        <f>VLOOKUP(Tabla1[[#This Row],[PAGO DIA]],DIAS!A:K,11,0)</f>
        <v>46350</v>
      </c>
      <c r="AB1671" s="6">
        <v>0</v>
      </c>
      <c r="AC1671" s="43">
        <f>VLOOKUP(Tabla1[[#This Row],[PAGO DIA]],DIAS!A:M,12,0)</f>
        <v>46379</v>
      </c>
      <c r="AD16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2" spans="1:30">
      <c r="A1672" s="3">
        <v>12375</v>
      </c>
      <c r="B1672" s="3" t="s">
        <v>510</v>
      </c>
      <c r="C1672" s="3"/>
      <c r="D1672" s="3" t="s">
        <v>2162</v>
      </c>
      <c r="E1672" s="3"/>
      <c r="F1672" s="42" t="s">
        <v>562</v>
      </c>
      <c r="G1672" s="3"/>
      <c r="H1672" s="6">
        <v>0</v>
      </c>
      <c r="I1672" s="41">
        <f>VLOOKUP(Tabla1[[#This Row],[PAGO DIA]],DIAS!A:B,2,0)</f>
        <v>46078</v>
      </c>
      <c r="J1672" s="6">
        <v>0</v>
      </c>
      <c r="K1672" s="43">
        <f>VLOOKUP(Tabla1[[#This Row],[PAGO DIA]],DIAS!A:C,3,0)</f>
        <v>46105</v>
      </c>
      <c r="L1672" s="6">
        <v>0</v>
      </c>
      <c r="M1672" s="41">
        <f>VLOOKUP(Tabla1[[#This Row],[PAGO DIA]],DIAS!A:D,4,0)</f>
        <v>46140</v>
      </c>
      <c r="N1672" s="6">
        <v>0</v>
      </c>
      <c r="O1672" s="43">
        <f>VLOOKUP(Tabla1[[#This Row],[PAGO DIA]],DIAS!A:E,5,0)</f>
        <v>46168</v>
      </c>
      <c r="P1672" s="6">
        <v>0</v>
      </c>
      <c r="Q1672" s="43">
        <f>VLOOKUP(Tabla1[[#This Row],[PAGO DIA]],DIAS!A:F,6,0)</f>
        <v>46196</v>
      </c>
      <c r="R1672" s="6">
        <v>0</v>
      </c>
      <c r="S1672" s="43">
        <f>VLOOKUP(Tabla1[[#This Row],[PAGO DIA]],DIAS!A:G,7,0)</f>
        <v>46231</v>
      </c>
      <c r="T1672" s="6">
        <v>0</v>
      </c>
      <c r="U1672" s="43">
        <f>VLOOKUP(Tabla1[[#This Row],[PAGO DIA]],DIAS!A:H,8,0)</f>
        <v>46259</v>
      </c>
      <c r="V1672" s="6">
        <v>0</v>
      </c>
      <c r="W1672" s="43">
        <f>VLOOKUP(Tabla1[[#This Row],[PAGO DIA]],DIAS!A:I,9,0)</f>
        <v>46287</v>
      </c>
      <c r="X1672" s="6">
        <v>0</v>
      </c>
      <c r="Y1672" s="43">
        <f>VLOOKUP(Tabla1[[#This Row],[PAGO DIA]],DIAS!A:J,10,0)</f>
        <v>46322</v>
      </c>
      <c r="Z1672" s="6">
        <v>0</v>
      </c>
      <c r="AA1672" s="43">
        <f>VLOOKUP(Tabla1[[#This Row],[PAGO DIA]],DIAS!A:K,11,0)</f>
        <v>46350</v>
      </c>
      <c r="AB1672" s="6">
        <v>0</v>
      </c>
      <c r="AC1672" s="43">
        <f>VLOOKUP(Tabla1[[#This Row],[PAGO DIA]],DIAS!A:M,12,0)</f>
        <v>46379</v>
      </c>
      <c r="AD16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3" spans="1:30">
      <c r="A1673" s="3">
        <v>12376</v>
      </c>
      <c r="B1673" s="3" t="s">
        <v>510</v>
      </c>
      <c r="C1673" s="3"/>
      <c r="D1673" s="3" t="s">
        <v>2163</v>
      </c>
      <c r="E1673" s="3"/>
      <c r="F1673" s="42" t="s">
        <v>562</v>
      </c>
      <c r="G1673" s="3"/>
      <c r="H1673" s="6">
        <v>0</v>
      </c>
      <c r="I1673" s="41">
        <f>VLOOKUP(Tabla1[[#This Row],[PAGO DIA]],DIAS!A:B,2,0)</f>
        <v>46078</v>
      </c>
      <c r="J1673" s="6">
        <v>0</v>
      </c>
      <c r="K1673" s="43">
        <f>VLOOKUP(Tabla1[[#This Row],[PAGO DIA]],DIAS!A:C,3,0)</f>
        <v>46105</v>
      </c>
      <c r="L1673" s="6">
        <v>0</v>
      </c>
      <c r="M1673" s="41">
        <f>VLOOKUP(Tabla1[[#This Row],[PAGO DIA]],DIAS!A:D,4,0)</f>
        <v>46140</v>
      </c>
      <c r="N1673" s="6">
        <v>0</v>
      </c>
      <c r="O1673" s="43">
        <f>VLOOKUP(Tabla1[[#This Row],[PAGO DIA]],DIAS!A:E,5,0)</f>
        <v>46168</v>
      </c>
      <c r="P1673" s="6">
        <v>0</v>
      </c>
      <c r="Q1673" s="43">
        <f>VLOOKUP(Tabla1[[#This Row],[PAGO DIA]],DIAS!A:F,6,0)</f>
        <v>46196</v>
      </c>
      <c r="R1673" s="6">
        <v>0</v>
      </c>
      <c r="S1673" s="43">
        <f>VLOOKUP(Tabla1[[#This Row],[PAGO DIA]],DIAS!A:G,7,0)</f>
        <v>46231</v>
      </c>
      <c r="T1673" s="6">
        <v>0</v>
      </c>
      <c r="U1673" s="43">
        <f>VLOOKUP(Tabla1[[#This Row],[PAGO DIA]],DIAS!A:H,8,0)</f>
        <v>46259</v>
      </c>
      <c r="V1673" s="6">
        <v>0</v>
      </c>
      <c r="W1673" s="43">
        <f>VLOOKUP(Tabla1[[#This Row],[PAGO DIA]],DIAS!A:I,9,0)</f>
        <v>46287</v>
      </c>
      <c r="X1673" s="6">
        <v>0</v>
      </c>
      <c r="Y1673" s="43">
        <f>VLOOKUP(Tabla1[[#This Row],[PAGO DIA]],DIAS!A:J,10,0)</f>
        <v>46322</v>
      </c>
      <c r="Z1673" s="6">
        <v>0</v>
      </c>
      <c r="AA1673" s="43">
        <f>VLOOKUP(Tabla1[[#This Row],[PAGO DIA]],DIAS!A:K,11,0)</f>
        <v>46350</v>
      </c>
      <c r="AB1673" s="6">
        <v>0</v>
      </c>
      <c r="AC1673" s="43">
        <f>VLOOKUP(Tabla1[[#This Row],[PAGO DIA]],DIAS!A:M,12,0)</f>
        <v>46379</v>
      </c>
      <c r="AD16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4" spans="1:30">
      <c r="A1674" s="3">
        <v>12377</v>
      </c>
      <c r="B1674" s="3" t="s">
        <v>510</v>
      </c>
      <c r="C1674" s="3"/>
      <c r="D1674" s="3" t="s">
        <v>2164</v>
      </c>
      <c r="E1674" s="3"/>
      <c r="F1674" s="42" t="s">
        <v>562</v>
      </c>
      <c r="G1674" s="3"/>
      <c r="H1674" s="6">
        <v>0</v>
      </c>
      <c r="I1674" s="41">
        <f>VLOOKUP(Tabla1[[#This Row],[PAGO DIA]],DIAS!A:B,2,0)</f>
        <v>46078</v>
      </c>
      <c r="J1674" s="6">
        <v>0</v>
      </c>
      <c r="K1674" s="43">
        <f>VLOOKUP(Tabla1[[#This Row],[PAGO DIA]],DIAS!A:C,3,0)</f>
        <v>46105</v>
      </c>
      <c r="L1674" s="6">
        <v>0</v>
      </c>
      <c r="M1674" s="41">
        <f>VLOOKUP(Tabla1[[#This Row],[PAGO DIA]],DIAS!A:D,4,0)</f>
        <v>46140</v>
      </c>
      <c r="N1674" s="6">
        <v>0</v>
      </c>
      <c r="O1674" s="43">
        <f>VLOOKUP(Tabla1[[#This Row],[PAGO DIA]],DIAS!A:E,5,0)</f>
        <v>46168</v>
      </c>
      <c r="P1674" s="6">
        <v>0</v>
      </c>
      <c r="Q1674" s="43">
        <f>VLOOKUP(Tabla1[[#This Row],[PAGO DIA]],DIAS!A:F,6,0)</f>
        <v>46196</v>
      </c>
      <c r="R1674" s="6">
        <v>0</v>
      </c>
      <c r="S1674" s="43">
        <f>VLOOKUP(Tabla1[[#This Row],[PAGO DIA]],DIAS!A:G,7,0)</f>
        <v>46231</v>
      </c>
      <c r="T1674" s="6">
        <v>0</v>
      </c>
      <c r="U1674" s="43">
        <f>VLOOKUP(Tabla1[[#This Row],[PAGO DIA]],DIAS!A:H,8,0)</f>
        <v>46259</v>
      </c>
      <c r="V1674" s="6">
        <v>0</v>
      </c>
      <c r="W1674" s="43">
        <f>VLOOKUP(Tabla1[[#This Row],[PAGO DIA]],DIAS!A:I,9,0)</f>
        <v>46287</v>
      </c>
      <c r="X1674" s="6">
        <v>0</v>
      </c>
      <c r="Y1674" s="43">
        <f>VLOOKUP(Tabla1[[#This Row],[PAGO DIA]],DIAS!A:J,10,0)</f>
        <v>46322</v>
      </c>
      <c r="Z1674" s="6">
        <v>0</v>
      </c>
      <c r="AA1674" s="43">
        <f>VLOOKUP(Tabla1[[#This Row],[PAGO DIA]],DIAS!A:K,11,0)</f>
        <v>46350</v>
      </c>
      <c r="AB1674" s="6">
        <v>0</v>
      </c>
      <c r="AC1674" s="43">
        <f>VLOOKUP(Tabla1[[#This Row],[PAGO DIA]],DIAS!A:M,12,0)</f>
        <v>46379</v>
      </c>
      <c r="AD16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5" spans="1:30">
      <c r="A1675" s="3">
        <v>12378</v>
      </c>
      <c r="B1675" s="3" t="s">
        <v>510</v>
      </c>
      <c r="C1675" s="3"/>
      <c r="D1675" s="3" t="s">
        <v>2165</v>
      </c>
      <c r="E1675" s="3"/>
      <c r="F1675" s="42" t="s">
        <v>562</v>
      </c>
      <c r="G1675" s="3"/>
      <c r="H1675" s="6">
        <v>0</v>
      </c>
      <c r="I1675" s="41">
        <f>VLOOKUP(Tabla1[[#This Row],[PAGO DIA]],DIAS!A:B,2,0)</f>
        <v>46078</v>
      </c>
      <c r="J1675" s="6">
        <v>0</v>
      </c>
      <c r="K1675" s="43">
        <f>VLOOKUP(Tabla1[[#This Row],[PAGO DIA]],DIAS!A:C,3,0)</f>
        <v>46105</v>
      </c>
      <c r="L1675" s="6">
        <v>0</v>
      </c>
      <c r="M1675" s="41">
        <f>VLOOKUP(Tabla1[[#This Row],[PAGO DIA]],DIAS!A:D,4,0)</f>
        <v>46140</v>
      </c>
      <c r="N1675" s="6">
        <v>0</v>
      </c>
      <c r="O1675" s="43">
        <f>VLOOKUP(Tabla1[[#This Row],[PAGO DIA]],DIAS!A:E,5,0)</f>
        <v>46168</v>
      </c>
      <c r="P1675" s="6">
        <v>0</v>
      </c>
      <c r="Q1675" s="43">
        <f>VLOOKUP(Tabla1[[#This Row],[PAGO DIA]],DIAS!A:F,6,0)</f>
        <v>46196</v>
      </c>
      <c r="R1675" s="6">
        <v>0</v>
      </c>
      <c r="S1675" s="43">
        <f>VLOOKUP(Tabla1[[#This Row],[PAGO DIA]],DIAS!A:G,7,0)</f>
        <v>46231</v>
      </c>
      <c r="T1675" s="6">
        <v>0</v>
      </c>
      <c r="U1675" s="43">
        <f>VLOOKUP(Tabla1[[#This Row],[PAGO DIA]],DIAS!A:H,8,0)</f>
        <v>46259</v>
      </c>
      <c r="V1675" s="6">
        <v>0</v>
      </c>
      <c r="W1675" s="43">
        <f>VLOOKUP(Tabla1[[#This Row],[PAGO DIA]],DIAS!A:I,9,0)</f>
        <v>46287</v>
      </c>
      <c r="X1675" s="6">
        <v>0</v>
      </c>
      <c r="Y1675" s="43">
        <f>VLOOKUP(Tabla1[[#This Row],[PAGO DIA]],DIAS!A:J,10,0)</f>
        <v>46322</v>
      </c>
      <c r="Z1675" s="6">
        <v>0</v>
      </c>
      <c r="AA1675" s="43">
        <f>VLOOKUP(Tabla1[[#This Row],[PAGO DIA]],DIAS!A:K,11,0)</f>
        <v>46350</v>
      </c>
      <c r="AB1675" s="6">
        <v>0</v>
      </c>
      <c r="AC1675" s="43">
        <f>VLOOKUP(Tabla1[[#This Row],[PAGO DIA]],DIAS!A:M,12,0)</f>
        <v>46379</v>
      </c>
      <c r="AD16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6" spans="1:30">
      <c r="A1676" s="3">
        <v>12379</v>
      </c>
      <c r="B1676" s="3" t="s">
        <v>510</v>
      </c>
      <c r="C1676" s="3"/>
      <c r="D1676" s="3" t="s">
        <v>2166</v>
      </c>
      <c r="E1676" s="3"/>
      <c r="F1676" s="42" t="s">
        <v>562</v>
      </c>
      <c r="G1676" s="3"/>
      <c r="H1676" s="6">
        <v>0</v>
      </c>
      <c r="I1676" s="41">
        <f>VLOOKUP(Tabla1[[#This Row],[PAGO DIA]],DIAS!A:B,2,0)</f>
        <v>46078</v>
      </c>
      <c r="J1676" s="6">
        <v>0</v>
      </c>
      <c r="K1676" s="43">
        <f>VLOOKUP(Tabla1[[#This Row],[PAGO DIA]],DIAS!A:C,3,0)</f>
        <v>46105</v>
      </c>
      <c r="L1676" s="6">
        <v>0</v>
      </c>
      <c r="M1676" s="41">
        <f>VLOOKUP(Tabla1[[#This Row],[PAGO DIA]],DIAS!A:D,4,0)</f>
        <v>46140</v>
      </c>
      <c r="N1676" s="6">
        <v>0</v>
      </c>
      <c r="O1676" s="43">
        <f>VLOOKUP(Tabla1[[#This Row],[PAGO DIA]],DIAS!A:E,5,0)</f>
        <v>46168</v>
      </c>
      <c r="P1676" s="6">
        <v>0</v>
      </c>
      <c r="Q1676" s="43">
        <f>VLOOKUP(Tabla1[[#This Row],[PAGO DIA]],DIAS!A:F,6,0)</f>
        <v>46196</v>
      </c>
      <c r="R1676" s="6">
        <v>0</v>
      </c>
      <c r="S1676" s="43">
        <f>VLOOKUP(Tabla1[[#This Row],[PAGO DIA]],DIAS!A:G,7,0)</f>
        <v>46231</v>
      </c>
      <c r="T1676" s="6">
        <v>0</v>
      </c>
      <c r="U1676" s="43">
        <f>VLOOKUP(Tabla1[[#This Row],[PAGO DIA]],DIAS!A:H,8,0)</f>
        <v>46259</v>
      </c>
      <c r="V1676" s="6">
        <v>0</v>
      </c>
      <c r="W1676" s="43">
        <f>VLOOKUP(Tabla1[[#This Row],[PAGO DIA]],DIAS!A:I,9,0)</f>
        <v>46287</v>
      </c>
      <c r="X1676" s="6">
        <v>0</v>
      </c>
      <c r="Y1676" s="43">
        <f>VLOOKUP(Tabla1[[#This Row],[PAGO DIA]],DIAS!A:J,10,0)</f>
        <v>46322</v>
      </c>
      <c r="Z1676" s="6">
        <v>0</v>
      </c>
      <c r="AA1676" s="43">
        <f>VLOOKUP(Tabla1[[#This Row],[PAGO DIA]],DIAS!A:K,11,0)</f>
        <v>46350</v>
      </c>
      <c r="AB1676" s="6">
        <v>0</v>
      </c>
      <c r="AC1676" s="43">
        <f>VLOOKUP(Tabla1[[#This Row],[PAGO DIA]],DIAS!A:M,12,0)</f>
        <v>46379</v>
      </c>
      <c r="AD16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7" spans="1:30">
      <c r="A1677" s="3">
        <v>12380</v>
      </c>
      <c r="B1677" s="3" t="s">
        <v>510</v>
      </c>
      <c r="C1677" s="3"/>
      <c r="D1677" s="3" t="s">
        <v>2167</v>
      </c>
      <c r="E1677" s="3"/>
      <c r="F1677" s="42" t="s">
        <v>562</v>
      </c>
      <c r="G1677" s="3"/>
      <c r="H1677" s="6">
        <v>0</v>
      </c>
      <c r="I1677" s="41">
        <f>VLOOKUP(Tabla1[[#This Row],[PAGO DIA]],DIAS!A:B,2,0)</f>
        <v>46078</v>
      </c>
      <c r="J1677" s="6">
        <v>0</v>
      </c>
      <c r="K1677" s="43">
        <f>VLOOKUP(Tabla1[[#This Row],[PAGO DIA]],DIAS!A:C,3,0)</f>
        <v>46105</v>
      </c>
      <c r="L1677" s="6">
        <v>0</v>
      </c>
      <c r="M1677" s="41">
        <f>VLOOKUP(Tabla1[[#This Row],[PAGO DIA]],DIAS!A:D,4,0)</f>
        <v>46140</v>
      </c>
      <c r="N1677" s="6">
        <v>0</v>
      </c>
      <c r="O1677" s="43">
        <f>VLOOKUP(Tabla1[[#This Row],[PAGO DIA]],DIAS!A:E,5,0)</f>
        <v>46168</v>
      </c>
      <c r="P1677" s="6">
        <v>0</v>
      </c>
      <c r="Q1677" s="43">
        <f>VLOOKUP(Tabla1[[#This Row],[PAGO DIA]],DIAS!A:F,6,0)</f>
        <v>46196</v>
      </c>
      <c r="R1677" s="6">
        <v>0</v>
      </c>
      <c r="S1677" s="43">
        <f>VLOOKUP(Tabla1[[#This Row],[PAGO DIA]],DIAS!A:G,7,0)</f>
        <v>46231</v>
      </c>
      <c r="T1677" s="6">
        <v>0</v>
      </c>
      <c r="U1677" s="43">
        <f>VLOOKUP(Tabla1[[#This Row],[PAGO DIA]],DIAS!A:H,8,0)</f>
        <v>46259</v>
      </c>
      <c r="V1677" s="6">
        <v>0</v>
      </c>
      <c r="W1677" s="43">
        <f>VLOOKUP(Tabla1[[#This Row],[PAGO DIA]],DIAS!A:I,9,0)</f>
        <v>46287</v>
      </c>
      <c r="X1677" s="6">
        <v>0</v>
      </c>
      <c r="Y1677" s="43">
        <f>VLOOKUP(Tabla1[[#This Row],[PAGO DIA]],DIAS!A:J,10,0)</f>
        <v>46322</v>
      </c>
      <c r="Z1677" s="6">
        <v>0</v>
      </c>
      <c r="AA1677" s="43">
        <f>VLOOKUP(Tabla1[[#This Row],[PAGO DIA]],DIAS!A:K,11,0)</f>
        <v>46350</v>
      </c>
      <c r="AB1677" s="6">
        <v>0</v>
      </c>
      <c r="AC1677" s="43">
        <f>VLOOKUP(Tabla1[[#This Row],[PAGO DIA]],DIAS!A:M,12,0)</f>
        <v>46379</v>
      </c>
      <c r="AD16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8" spans="1:30">
      <c r="A1678" s="3">
        <v>12381</v>
      </c>
      <c r="B1678" s="3" t="s">
        <v>510</v>
      </c>
      <c r="C1678" s="3"/>
      <c r="D1678" s="3" t="s">
        <v>2168</v>
      </c>
      <c r="E1678" s="3"/>
      <c r="F1678" s="42" t="s">
        <v>562</v>
      </c>
      <c r="G1678" s="3"/>
      <c r="H1678" s="6">
        <v>0</v>
      </c>
      <c r="I1678" s="41">
        <f>VLOOKUP(Tabla1[[#This Row],[PAGO DIA]],DIAS!A:B,2,0)</f>
        <v>46078</v>
      </c>
      <c r="J1678" s="6">
        <v>0</v>
      </c>
      <c r="K1678" s="43">
        <f>VLOOKUP(Tabla1[[#This Row],[PAGO DIA]],DIAS!A:C,3,0)</f>
        <v>46105</v>
      </c>
      <c r="L1678" s="6">
        <v>0</v>
      </c>
      <c r="M1678" s="41">
        <f>VLOOKUP(Tabla1[[#This Row],[PAGO DIA]],DIAS!A:D,4,0)</f>
        <v>46140</v>
      </c>
      <c r="N1678" s="6">
        <v>0</v>
      </c>
      <c r="O1678" s="43">
        <f>VLOOKUP(Tabla1[[#This Row],[PAGO DIA]],DIAS!A:E,5,0)</f>
        <v>46168</v>
      </c>
      <c r="P1678" s="6">
        <v>0</v>
      </c>
      <c r="Q1678" s="43">
        <f>VLOOKUP(Tabla1[[#This Row],[PAGO DIA]],DIAS!A:F,6,0)</f>
        <v>46196</v>
      </c>
      <c r="R1678" s="6">
        <v>0</v>
      </c>
      <c r="S1678" s="43">
        <f>VLOOKUP(Tabla1[[#This Row],[PAGO DIA]],DIAS!A:G,7,0)</f>
        <v>46231</v>
      </c>
      <c r="T1678" s="6">
        <v>0</v>
      </c>
      <c r="U1678" s="43">
        <f>VLOOKUP(Tabla1[[#This Row],[PAGO DIA]],DIAS!A:H,8,0)</f>
        <v>46259</v>
      </c>
      <c r="V1678" s="6">
        <v>0</v>
      </c>
      <c r="W1678" s="43">
        <f>VLOOKUP(Tabla1[[#This Row],[PAGO DIA]],DIAS!A:I,9,0)</f>
        <v>46287</v>
      </c>
      <c r="X1678" s="6">
        <v>0</v>
      </c>
      <c r="Y1678" s="43">
        <f>VLOOKUP(Tabla1[[#This Row],[PAGO DIA]],DIAS!A:J,10,0)</f>
        <v>46322</v>
      </c>
      <c r="Z1678" s="6">
        <v>0</v>
      </c>
      <c r="AA1678" s="43">
        <f>VLOOKUP(Tabla1[[#This Row],[PAGO DIA]],DIAS!A:K,11,0)</f>
        <v>46350</v>
      </c>
      <c r="AB1678" s="6">
        <v>0</v>
      </c>
      <c r="AC1678" s="43">
        <f>VLOOKUP(Tabla1[[#This Row],[PAGO DIA]],DIAS!A:M,12,0)</f>
        <v>46379</v>
      </c>
      <c r="AD16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79" spans="1:30">
      <c r="A1679" s="3">
        <v>12382</v>
      </c>
      <c r="B1679" s="3" t="s">
        <v>510</v>
      </c>
      <c r="C1679" s="3"/>
      <c r="D1679" s="3" t="s">
        <v>2169</v>
      </c>
      <c r="E1679" s="3"/>
      <c r="F1679" s="42" t="s">
        <v>562</v>
      </c>
      <c r="G1679" s="3"/>
      <c r="H1679" s="6">
        <v>0</v>
      </c>
      <c r="I1679" s="41">
        <f>VLOOKUP(Tabla1[[#This Row],[PAGO DIA]],DIAS!A:B,2,0)</f>
        <v>46078</v>
      </c>
      <c r="J1679" s="6">
        <v>0</v>
      </c>
      <c r="K1679" s="43">
        <f>VLOOKUP(Tabla1[[#This Row],[PAGO DIA]],DIAS!A:C,3,0)</f>
        <v>46105</v>
      </c>
      <c r="L1679" s="6">
        <v>0</v>
      </c>
      <c r="M1679" s="41">
        <f>VLOOKUP(Tabla1[[#This Row],[PAGO DIA]],DIAS!A:D,4,0)</f>
        <v>46140</v>
      </c>
      <c r="N1679" s="6">
        <v>0</v>
      </c>
      <c r="O1679" s="43">
        <f>VLOOKUP(Tabla1[[#This Row],[PAGO DIA]],DIAS!A:E,5,0)</f>
        <v>46168</v>
      </c>
      <c r="P1679" s="6">
        <v>0</v>
      </c>
      <c r="Q1679" s="43">
        <f>VLOOKUP(Tabla1[[#This Row],[PAGO DIA]],DIAS!A:F,6,0)</f>
        <v>46196</v>
      </c>
      <c r="R1679" s="6">
        <v>0</v>
      </c>
      <c r="S1679" s="43">
        <f>VLOOKUP(Tabla1[[#This Row],[PAGO DIA]],DIAS!A:G,7,0)</f>
        <v>46231</v>
      </c>
      <c r="T1679" s="6">
        <v>0</v>
      </c>
      <c r="U1679" s="43">
        <f>VLOOKUP(Tabla1[[#This Row],[PAGO DIA]],DIAS!A:H,8,0)</f>
        <v>46259</v>
      </c>
      <c r="V1679" s="6">
        <v>0</v>
      </c>
      <c r="W1679" s="43">
        <f>VLOOKUP(Tabla1[[#This Row],[PAGO DIA]],DIAS!A:I,9,0)</f>
        <v>46287</v>
      </c>
      <c r="X1679" s="6">
        <v>0</v>
      </c>
      <c r="Y1679" s="43">
        <f>VLOOKUP(Tabla1[[#This Row],[PAGO DIA]],DIAS!A:J,10,0)</f>
        <v>46322</v>
      </c>
      <c r="Z1679" s="6">
        <v>0</v>
      </c>
      <c r="AA1679" s="43">
        <f>VLOOKUP(Tabla1[[#This Row],[PAGO DIA]],DIAS!A:K,11,0)</f>
        <v>46350</v>
      </c>
      <c r="AB1679" s="6">
        <v>0</v>
      </c>
      <c r="AC1679" s="43">
        <f>VLOOKUP(Tabla1[[#This Row],[PAGO DIA]],DIAS!A:M,12,0)</f>
        <v>46379</v>
      </c>
      <c r="AD16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0" spans="1:30">
      <c r="A1680" s="3">
        <v>12383</v>
      </c>
      <c r="B1680" s="3" t="s">
        <v>510</v>
      </c>
      <c r="C1680" s="3"/>
      <c r="D1680" s="3" t="s">
        <v>1350</v>
      </c>
      <c r="E1680" s="3"/>
      <c r="F1680" s="42" t="s">
        <v>562</v>
      </c>
      <c r="G1680" s="3"/>
      <c r="H1680" s="6">
        <v>0</v>
      </c>
      <c r="I1680" s="41">
        <f>VLOOKUP(Tabla1[[#This Row],[PAGO DIA]],DIAS!A:B,2,0)</f>
        <v>46078</v>
      </c>
      <c r="J1680" s="6">
        <v>0</v>
      </c>
      <c r="K1680" s="43">
        <f>VLOOKUP(Tabla1[[#This Row],[PAGO DIA]],DIAS!A:C,3,0)</f>
        <v>46105</v>
      </c>
      <c r="L1680" s="6">
        <v>0</v>
      </c>
      <c r="M1680" s="41">
        <f>VLOOKUP(Tabla1[[#This Row],[PAGO DIA]],DIAS!A:D,4,0)</f>
        <v>46140</v>
      </c>
      <c r="N1680" s="6">
        <v>0</v>
      </c>
      <c r="O1680" s="43">
        <f>VLOOKUP(Tabla1[[#This Row],[PAGO DIA]],DIAS!A:E,5,0)</f>
        <v>46168</v>
      </c>
      <c r="P1680" s="6">
        <v>0</v>
      </c>
      <c r="Q1680" s="43">
        <f>VLOOKUP(Tabla1[[#This Row],[PAGO DIA]],DIAS!A:F,6,0)</f>
        <v>46196</v>
      </c>
      <c r="R1680" s="6">
        <v>0</v>
      </c>
      <c r="S1680" s="43">
        <f>VLOOKUP(Tabla1[[#This Row],[PAGO DIA]],DIAS!A:G,7,0)</f>
        <v>46231</v>
      </c>
      <c r="T1680" s="6">
        <v>0</v>
      </c>
      <c r="U1680" s="43">
        <f>VLOOKUP(Tabla1[[#This Row],[PAGO DIA]],DIAS!A:H,8,0)</f>
        <v>46259</v>
      </c>
      <c r="V1680" s="6">
        <v>0</v>
      </c>
      <c r="W1680" s="43">
        <f>VLOOKUP(Tabla1[[#This Row],[PAGO DIA]],DIAS!A:I,9,0)</f>
        <v>46287</v>
      </c>
      <c r="X1680" s="6">
        <v>0</v>
      </c>
      <c r="Y1680" s="43">
        <f>VLOOKUP(Tabla1[[#This Row],[PAGO DIA]],DIAS!A:J,10,0)</f>
        <v>46322</v>
      </c>
      <c r="Z1680" s="6">
        <v>0</v>
      </c>
      <c r="AA1680" s="43">
        <f>VLOOKUP(Tabla1[[#This Row],[PAGO DIA]],DIAS!A:K,11,0)</f>
        <v>46350</v>
      </c>
      <c r="AB1680" s="6">
        <v>0</v>
      </c>
      <c r="AC1680" s="43">
        <f>VLOOKUP(Tabla1[[#This Row],[PAGO DIA]],DIAS!A:M,12,0)</f>
        <v>46379</v>
      </c>
      <c r="AD16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1" spans="1:30">
      <c r="A1681" s="3">
        <v>12384</v>
      </c>
      <c r="B1681" s="3" t="s">
        <v>510</v>
      </c>
      <c r="C1681" s="3"/>
      <c r="D1681" s="3" t="s">
        <v>2170</v>
      </c>
      <c r="E1681" s="3"/>
      <c r="F1681" s="42" t="s">
        <v>562</v>
      </c>
      <c r="G1681" s="3"/>
      <c r="H1681" s="6">
        <v>0</v>
      </c>
      <c r="I1681" s="41">
        <f>VLOOKUP(Tabla1[[#This Row],[PAGO DIA]],DIAS!A:B,2,0)</f>
        <v>46078</v>
      </c>
      <c r="J1681" s="6">
        <v>0</v>
      </c>
      <c r="K1681" s="43">
        <f>VLOOKUP(Tabla1[[#This Row],[PAGO DIA]],DIAS!A:C,3,0)</f>
        <v>46105</v>
      </c>
      <c r="L1681" s="6">
        <v>0</v>
      </c>
      <c r="M1681" s="41">
        <f>VLOOKUP(Tabla1[[#This Row],[PAGO DIA]],DIAS!A:D,4,0)</f>
        <v>46140</v>
      </c>
      <c r="N1681" s="6">
        <v>0</v>
      </c>
      <c r="O1681" s="43">
        <f>VLOOKUP(Tabla1[[#This Row],[PAGO DIA]],DIAS!A:E,5,0)</f>
        <v>46168</v>
      </c>
      <c r="P1681" s="6">
        <v>0</v>
      </c>
      <c r="Q1681" s="43">
        <f>VLOOKUP(Tabla1[[#This Row],[PAGO DIA]],DIAS!A:F,6,0)</f>
        <v>46196</v>
      </c>
      <c r="R1681" s="6">
        <v>0</v>
      </c>
      <c r="S1681" s="43">
        <f>VLOOKUP(Tabla1[[#This Row],[PAGO DIA]],DIAS!A:G,7,0)</f>
        <v>46231</v>
      </c>
      <c r="T1681" s="6">
        <v>0</v>
      </c>
      <c r="U1681" s="43">
        <f>VLOOKUP(Tabla1[[#This Row],[PAGO DIA]],DIAS!A:H,8,0)</f>
        <v>46259</v>
      </c>
      <c r="V1681" s="6">
        <v>0</v>
      </c>
      <c r="W1681" s="43">
        <f>VLOOKUP(Tabla1[[#This Row],[PAGO DIA]],DIAS!A:I,9,0)</f>
        <v>46287</v>
      </c>
      <c r="X1681" s="6">
        <v>0</v>
      </c>
      <c r="Y1681" s="43">
        <f>VLOOKUP(Tabla1[[#This Row],[PAGO DIA]],DIAS!A:J,10,0)</f>
        <v>46322</v>
      </c>
      <c r="Z1681" s="6">
        <v>0</v>
      </c>
      <c r="AA1681" s="43">
        <f>VLOOKUP(Tabla1[[#This Row],[PAGO DIA]],DIAS!A:K,11,0)</f>
        <v>46350</v>
      </c>
      <c r="AB1681" s="6">
        <v>0</v>
      </c>
      <c r="AC1681" s="43">
        <f>VLOOKUP(Tabla1[[#This Row],[PAGO DIA]],DIAS!A:M,12,0)</f>
        <v>46379</v>
      </c>
      <c r="AD16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2" spans="1:30">
      <c r="A1682" s="3">
        <v>12385</v>
      </c>
      <c r="B1682" s="3" t="s">
        <v>510</v>
      </c>
      <c r="C1682" s="3"/>
      <c r="D1682" s="3" t="s">
        <v>2171</v>
      </c>
      <c r="E1682" s="3"/>
      <c r="F1682" s="42" t="s">
        <v>562</v>
      </c>
      <c r="G1682" s="3"/>
      <c r="H1682" s="6">
        <v>0</v>
      </c>
      <c r="I1682" s="41">
        <f>VLOOKUP(Tabla1[[#This Row],[PAGO DIA]],DIAS!A:B,2,0)</f>
        <v>46078</v>
      </c>
      <c r="J1682" s="6">
        <v>0</v>
      </c>
      <c r="K1682" s="43">
        <f>VLOOKUP(Tabla1[[#This Row],[PAGO DIA]],DIAS!A:C,3,0)</f>
        <v>46105</v>
      </c>
      <c r="L1682" s="6">
        <v>0</v>
      </c>
      <c r="M1682" s="41">
        <f>VLOOKUP(Tabla1[[#This Row],[PAGO DIA]],DIAS!A:D,4,0)</f>
        <v>46140</v>
      </c>
      <c r="N1682" s="6">
        <v>0</v>
      </c>
      <c r="O1682" s="43">
        <f>VLOOKUP(Tabla1[[#This Row],[PAGO DIA]],DIAS!A:E,5,0)</f>
        <v>46168</v>
      </c>
      <c r="P1682" s="6">
        <v>0</v>
      </c>
      <c r="Q1682" s="43">
        <f>VLOOKUP(Tabla1[[#This Row],[PAGO DIA]],DIAS!A:F,6,0)</f>
        <v>46196</v>
      </c>
      <c r="R1682" s="6">
        <v>0</v>
      </c>
      <c r="S1682" s="43">
        <f>VLOOKUP(Tabla1[[#This Row],[PAGO DIA]],DIAS!A:G,7,0)</f>
        <v>46231</v>
      </c>
      <c r="T1682" s="6">
        <v>0</v>
      </c>
      <c r="U1682" s="43">
        <f>VLOOKUP(Tabla1[[#This Row],[PAGO DIA]],DIAS!A:H,8,0)</f>
        <v>46259</v>
      </c>
      <c r="V1682" s="6">
        <v>0</v>
      </c>
      <c r="W1682" s="43">
        <f>VLOOKUP(Tabla1[[#This Row],[PAGO DIA]],DIAS!A:I,9,0)</f>
        <v>46287</v>
      </c>
      <c r="X1682" s="6">
        <v>0</v>
      </c>
      <c r="Y1682" s="43">
        <f>VLOOKUP(Tabla1[[#This Row],[PAGO DIA]],DIAS!A:J,10,0)</f>
        <v>46322</v>
      </c>
      <c r="Z1682" s="6">
        <v>0</v>
      </c>
      <c r="AA1682" s="43">
        <f>VLOOKUP(Tabla1[[#This Row],[PAGO DIA]],DIAS!A:K,11,0)</f>
        <v>46350</v>
      </c>
      <c r="AB1682" s="6">
        <v>0</v>
      </c>
      <c r="AC1682" s="43">
        <f>VLOOKUP(Tabla1[[#This Row],[PAGO DIA]],DIAS!A:M,12,0)</f>
        <v>46379</v>
      </c>
      <c r="AD16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3" spans="1:30">
      <c r="A1683" s="3">
        <v>12386</v>
      </c>
      <c r="B1683" s="3" t="s">
        <v>510</v>
      </c>
      <c r="C1683" s="3"/>
      <c r="D1683" s="3" t="s">
        <v>2172</v>
      </c>
      <c r="E1683" s="3"/>
      <c r="F1683" s="42" t="s">
        <v>562</v>
      </c>
      <c r="G1683" s="3"/>
      <c r="H1683" s="6">
        <v>0</v>
      </c>
      <c r="I1683" s="41">
        <f>VLOOKUP(Tabla1[[#This Row],[PAGO DIA]],DIAS!A:B,2,0)</f>
        <v>46078</v>
      </c>
      <c r="J1683" s="6">
        <v>0</v>
      </c>
      <c r="K1683" s="43">
        <f>VLOOKUP(Tabla1[[#This Row],[PAGO DIA]],DIAS!A:C,3,0)</f>
        <v>46105</v>
      </c>
      <c r="L1683" s="6">
        <v>0</v>
      </c>
      <c r="M1683" s="41">
        <f>VLOOKUP(Tabla1[[#This Row],[PAGO DIA]],DIAS!A:D,4,0)</f>
        <v>46140</v>
      </c>
      <c r="N1683" s="6">
        <v>0</v>
      </c>
      <c r="O1683" s="43">
        <f>VLOOKUP(Tabla1[[#This Row],[PAGO DIA]],DIAS!A:E,5,0)</f>
        <v>46168</v>
      </c>
      <c r="P1683" s="6">
        <v>0</v>
      </c>
      <c r="Q1683" s="43">
        <f>VLOOKUP(Tabla1[[#This Row],[PAGO DIA]],DIAS!A:F,6,0)</f>
        <v>46196</v>
      </c>
      <c r="R1683" s="6">
        <v>0</v>
      </c>
      <c r="S1683" s="43">
        <f>VLOOKUP(Tabla1[[#This Row],[PAGO DIA]],DIAS!A:G,7,0)</f>
        <v>46231</v>
      </c>
      <c r="T1683" s="6">
        <v>0</v>
      </c>
      <c r="U1683" s="43">
        <f>VLOOKUP(Tabla1[[#This Row],[PAGO DIA]],DIAS!A:H,8,0)</f>
        <v>46259</v>
      </c>
      <c r="V1683" s="6">
        <v>0</v>
      </c>
      <c r="W1683" s="43">
        <f>VLOOKUP(Tabla1[[#This Row],[PAGO DIA]],DIAS!A:I,9,0)</f>
        <v>46287</v>
      </c>
      <c r="X1683" s="6">
        <v>0</v>
      </c>
      <c r="Y1683" s="43">
        <f>VLOOKUP(Tabla1[[#This Row],[PAGO DIA]],DIAS!A:J,10,0)</f>
        <v>46322</v>
      </c>
      <c r="Z1683" s="6">
        <v>0</v>
      </c>
      <c r="AA1683" s="43">
        <f>VLOOKUP(Tabla1[[#This Row],[PAGO DIA]],DIAS!A:K,11,0)</f>
        <v>46350</v>
      </c>
      <c r="AB1683" s="6">
        <v>0</v>
      </c>
      <c r="AC1683" s="43">
        <f>VLOOKUP(Tabla1[[#This Row],[PAGO DIA]],DIAS!A:M,12,0)</f>
        <v>46379</v>
      </c>
      <c r="AD16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4" spans="1:30">
      <c r="A1684" s="3">
        <v>12387</v>
      </c>
      <c r="B1684" s="3" t="s">
        <v>510</v>
      </c>
      <c r="C1684" s="3"/>
      <c r="D1684" s="3" t="s">
        <v>2173</v>
      </c>
      <c r="E1684" s="3"/>
      <c r="F1684" s="42" t="s">
        <v>562</v>
      </c>
      <c r="G1684" s="3"/>
      <c r="H1684" s="6">
        <v>0</v>
      </c>
      <c r="I1684" s="41">
        <f>VLOOKUP(Tabla1[[#This Row],[PAGO DIA]],DIAS!A:B,2,0)</f>
        <v>46078</v>
      </c>
      <c r="J1684" s="6">
        <v>0</v>
      </c>
      <c r="K1684" s="43">
        <f>VLOOKUP(Tabla1[[#This Row],[PAGO DIA]],DIAS!A:C,3,0)</f>
        <v>46105</v>
      </c>
      <c r="L1684" s="6">
        <v>0</v>
      </c>
      <c r="M1684" s="41">
        <f>VLOOKUP(Tabla1[[#This Row],[PAGO DIA]],DIAS!A:D,4,0)</f>
        <v>46140</v>
      </c>
      <c r="N1684" s="6">
        <v>0</v>
      </c>
      <c r="O1684" s="43">
        <f>VLOOKUP(Tabla1[[#This Row],[PAGO DIA]],DIAS!A:E,5,0)</f>
        <v>46168</v>
      </c>
      <c r="P1684" s="6">
        <v>0</v>
      </c>
      <c r="Q1684" s="43">
        <f>VLOOKUP(Tabla1[[#This Row],[PAGO DIA]],DIAS!A:F,6,0)</f>
        <v>46196</v>
      </c>
      <c r="R1684" s="6">
        <v>0</v>
      </c>
      <c r="S1684" s="43">
        <f>VLOOKUP(Tabla1[[#This Row],[PAGO DIA]],DIAS!A:G,7,0)</f>
        <v>46231</v>
      </c>
      <c r="T1684" s="6">
        <v>0</v>
      </c>
      <c r="U1684" s="43">
        <f>VLOOKUP(Tabla1[[#This Row],[PAGO DIA]],DIAS!A:H,8,0)</f>
        <v>46259</v>
      </c>
      <c r="V1684" s="6">
        <v>0</v>
      </c>
      <c r="W1684" s="43">
        <f>VLOOKUP(Tabla1[[#This Row],[PAGO DIA]],DIAS!A:I,9,0)</f>
        <v>46287</v>
      </c>
      <c r="X1684" s="6">
        <v>0</v>
      </c>
      <c r="Y1684" s="43">
        <f>VLOOKUP(Tabla1[[#This Row],[PAGO DIA]],DIAS!A:J,10,0)</f>
        <v>46322</v>
      </c>
      <c r="Z1684" s="6">
        <v>0</v>
      </c>
      <c r="AA1684" s="43">
        <f>VLOOKUP(Tabla1[[#This Row],[PAGO DIA]],DIAS!A:K,11,0)</f>
        <v>46350</v>
      </c>
      <c r="AB1684" s="6">
        <v>0</v>
      </c>
      <c r="AC1684" s="43">
        <f>VLOOKUP(Tabla1[[#This Row],[PAGO DIA]],DIAS!A:M,12,0)</f>
        <v>46379</v>
      </c>
      <c r="AD16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5" spans="1:30">
      <c r="A1685" s="3">
        <v>12388</v>
      </c>
      <c r="B1685" s="3" t="s">
        <v>510</v>
      </c>
      <c r="C1685" s="3"/>
      <c r="D1685" s="3" t="s">
        <v>2174</v>
      </c>
      <c r="E1685" s="3"/>
      <c r="F1685" s="42" t="s">
        <v>562</v>
      </c>
      <c r="G1685" s="3"/>
      <c r="H1685" s="6">
        <v>0</v>
      </c>
      <c r="I1685" s="41">
        <f>VLOOKUP(Tabla1[[#This Row],[PAGO DIA]],DIAS!A:B,2,0)</f>
        <v>46078</v>
      </c>
      <c r="J1685" s="6">
        <v>0</v>
      </c>
      <c r="K1685" s="43">
        <f>VLOOKUP(Tabla1[[#This Row],[PAGO DIA]],DIAS!A:C,3,0)</f>
        <v>46105</v>
      </c>
      <c r="L1685" s="6">
        <v>0</v>
      </c>
      <c r="M1685" s="41">
        <f>VLOOKUP(Tabla1[[#This Row],[PAGO DIA]],DIAS!A:D,4,0)</f>
        <v>46140</v>
      </c>
      <c r="N1685" s="6">
        <v>0</v>
      </c>
      <c r="O1685" s="43">
        <f>VLOOKUP(Tabla1[[#This Row],[PAGO DIA]],DIAS!A:E,5,0)</f>
        <v>46168</v>
      </c>
      <c r="P1685" s="6">
        <v>0</v>
      </c>
      <c r="Q1685" s="43">
        <f>VLOOKUP(Tabla1[[#This Row],[PAGO DIA]],DIAS!A:F,6,0)</f>
        <v>46196</v>
      </c>
      <c r="R1685" s="6">
        <v>0</v>
      </c>
      <c r="S1685" s="43">
        <f>VLOOKUP(Tabla1[[#This Row],[PAGO DIA]],DIAS!A:G,7,0)</f>
        <v>46231</v>
      </c>
      <c r="T1685" s="6">
        <v>0</v>
      </c>
      <c r="U1685" s="43">
        <f>VLOOKUP(Tabla1[[#This Row],[PAGO DIA]],DIAS!A:H,8,0)</f>
        <v>46259</v>
      </c>
      <c r="V1685" s="6">
        <v>0</v>
      </c>
      <c r="W1685" s="43">
        <f>VLOOKUP(Tabla1[[#This Row],[PAGO DIA]],DIAS!A:I,9,0)</f>
        <v>46287</v>
      </c>
      <c r="X1685" s="6">
        <v>0</v>
      </c>
      <c r="Y1685" s="43">
        <f>VLOOKUP(Tabla1[[#This Row],[PAGO DIA]],DIAS!A:J,10,0)</f>
        <v>46322</v>
      </c>
      <c r="Z1685" s="6">
        <v>0</v>
      </c>
      <c r="AA1685" s="43">
        <f>VLOOKUP(Tabla1[[#This Row],[PAGO DIA]],DIAS!A:K,11,0)</f>
        <v>46350</v>
      </c>
      <c r="AB1685" s="6">
        <v>0</v>
      </c>
      <c r="AC1685" s="43">
        <f>VLOOKUP(Tabla1[[#This Row],[PAGO DIA]],DIAS!A:M,12,0)</f>
        <v>46379</v>
      </c>
      <c r="AD16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6" spans="1:30">
      <c r="A1686" s="3">
        <v>12389</v>
      </c>
      <c r="B1686" s="3" t="s">
        <v>510</v>
      </c>
      <c r="C1686" s="3"/>
      <c r="D1686" s="3" t="s">
        <v>1384</v>
      </c>
      <c r="E1686" s="3"/>
      <c r="F1686" s="42" t="s">
        <v>562</v>
      </c>
      <c r="G1686" s="3"/>
      <c r="H1686" s="6">
        <v>0</v>
      </c>
      <c r="I1686" s="41">
        <f>VLOOKUP(Tabla1[[#This Row],[PAGO DIA]],DIAS!A:B,2,0)</f>
        <v>46078</v>
      </c>
      <c r="J1686" s="6">
        <v>0</v>
      </c>
      <c r="K1686" s="43">
        <f>VLOOKUP(Tabla1[[#This Row],[PAGO DIA]],DIAS!A:C,3,0)</f>
        <v>46105</v>
      </c>
      <c r="L1686" s="6">
        <v>0</v>
      </c>
      <c r="M1686" s="41">
        <f>VLOOKUP(Tabla1[[#This Row],[PAGO DIA]],DIAS!A:D,4,0)</f>
        <v>46140</v>
      </c>
      <c r="N1686" s="6">
        <v>0</v>
      </c>
      <c r="O1686" s="43">
        <f>VLOOKUP(Tabla1[[#This Row],[PAGO DIA]],DIAS!A:E,5,0)</f>
        <v>46168</v>
      </c>
      <c r="P1686" s="6">
        <v>0</v>
      </c>
      <c r="Q1686" s="43">
        <f>VLOOKUP(Tabla1[[#This Row],[PAGO DIA]],DIAS!A:F,6,0)</f>
        <v>46196</v>
      </c>
      <c r="R1686" s="6">
        <v>0</v>
      </c>
      <c r="S1686" s="43">
        <f>VLOOKUP(Tabla1[[#This Row],[PAGO DIA]],DIAS!A:G,7,0)</f>
        <v>46231</v>
      </c>
      <c r="T1686" s="6">
        <v>0</v>
      </c>
      <c r="U1686" s="43">
        <f>VLOOKUP(Tabla1[[#This Row],[PAGO DIA]],DIAS!A:H,8,0)</f>
        <v>46259</v>
      </c>
      <c r="V1686" s="6">
        <v>0</v>
      </c>
      <c r="W1686" s="43">
        <f>VLOOKUP(Tabla1[[#This Row],[PAGO DIA]],DIAS!A:I,9,0)</f>
        <v>46287</v>
      </c>
      <c r="X1686" s="6">
        <v>0</v>
      </c>
      <c r="Y1686" s="43">
        <f>VLOOKUP(Tabla1[[#This Row],[PAGO DIA]],DIAS!A:J,10,0)</f>
        <v>46322</v>
      </c>
      <c r="Z1686" s="6">
        <v>0</v>
      </c>
      <c r="AA1686" s="43">
        <f>VLOOKUP(Tabla1[[#This Row],[PAGO DIA]],DIAS!A:K,11,0)</f>
        <v>46350</v>
      </c>
      <c r="AB1686" s="6">
        <v>0</v>
      </c>
      <c r="AC1686" s="43">
        <f>VLOOKUP(Tabla1[[#This Row],[PAGO DIA]],DIAS!A:M,12,0)</f>
        <v>46379</v>
      </c>
      <c r="AD16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7" spans="1:30">
      <c r="A1687" s="3">
        <v>12390</v>
      </c>
      <c r="B1687" s="3" t="s">
        <v>510</v>
      </c>
      <c r="C1687" s="3"/>
      <c r="D1687" s="3" t="s">
        <v>2175</v>
      </c>
      <c r="E1687" s="3"/>
      <c r="F1687" s="42" t="s">
        <v>562</v>
      </c>
      <c r="G1687" s="3"/>
      <c r="H1687" s="6">
        <v>0</v>
      </c>
      <c r="I1687" s="41">
        <f>VLOOKUP(Tabla1[[#This Row],[PAGO DIA]],DIAS!A:B,2,0)</f>
        <v>46078</v>
      </c>
      <c r="J1687" s="6">
        <v>0</v>
      </c>
      <c r="K1687" s="43">
        <f>VLOOKUP(Tabla1[[#This Row],[PAGO DIA]],DIAS!A:C,3,0)</f>
        <v>46105</v>
      </c>
      <c r="L1687" s="6">
        <v>0</v>
      </c>
      <c r="M1687" s="41">
        <f>VLOOKUP(Tabla1[[#This Row],[PAGO DIA]],DIAS!A:D,4,0)</f>
        <v>46140</v>
      </c>
      <c r="N1687" s="6">
        <v>0</v>
      </c>
      <c r="O1687" s="43">
        <f>VLOOKUP(Tabla1[[#This Row],[PAGO DIA]],DIAS!A:E,5,0)</f>
        <v>46168</v>
      </c>
      <c r="P1687" s="6">
        <v>0</v>
      </c>
      <c r="Q1687" s="43">
        <f>VLOOKUP(Tabla1[[#This Row],[PAGO DIA]],DIAS!A:F,6,0)</f>
        <v>46196</v>
      </c>
      <c r="R1687" s="6">
        <v>0</v>
      </c>
      <c r="S1687" s="43">
        <f>VLOOKUP(Tabla1[[#This Row],[PAGO DIA]],DIAS!A:G,7,0)</f>
        <v>46231</v>
      </c>
      <c r="T1687" s="6">
        <v>0</v>
      </c>
      <c r="U1687" s="43">
        <f>VLOOKUP(Tabla1[[#This Row],[PAGO DIA]],DIAS!A:H,8,0)</f>
        <v>46259</v>
      </c>
      <c r="V1687" s="6">
        <v>0</v>
      </c>
      <c r="W1687" s="43">
        <f>VLOOKUP(Tabla1[[#This Row],[PAGO DIA]],DIAS!A:I,9,0)</f>
        <v>46287</v>
      </c>
      <c r="X1687" s="6">
        <v>0</v>
      </c>
      <c r="Y1687" s="43">
        <f>VLOOKUP(Tabla1[[#This Row],[PAGO DIA]],DIAS!A:J,10,0)</f>
        <v>46322</v>
      </c>
      <c r="Z1687" s="6">
        <v>0</v>
      </c>
      <c r="AA1687" s="43">
        <f>VLOOKUP(Tabla1[[#This Row],[PAGO DIA]],DIAS!A:K,11,0)</f>
        <v>46350</v>
      </c>
      <c r="AB1687" s="6">
        <v>0</v>
      </c>
      <c r="AC1687" s="43">
        <f>VLOOKUP(Tabla1[[#This Row],[PAGO DIA]],DIAS!A:M,12,0)</f>
        <v>46379</v>
      </c>
      <c r="AD16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8" spans="1:30">
      <c r="A1688" s="3">
        <v>12391</v>
      </c>
      <c r="B1688" s="3" t="s">
        <v>510</v>
      </c>
      <c r="C1688" s="3"/>
      <c r="D1688" s="3" t="s">
        <v>2176</v>
      </c>
      <c r="E1688" s="3"/>
      <c r="F1688" s="42" t="s">
        <v>562</v>
      </c>
      <c r="G1688" s="3"/>
      <c r="H1688" s="6">
        <v>0</v>
      </c>
      <c r="I1688" s="41">
        <f>VLOOKUP(Tabla1[[#This Row],[PAGO DIA]],DIAS!A:B,2,0)</f>
        <v>46078</v>
      </c>
      <c r="J1688" s="6">
        <v>0</v>
      </c>
      <c r="K1688" s="43">
        <f>VLOOKUP(Tabla1[[#This Row],[PAGO DIA]],DIAS!A:C,3,0)</f>
        <v>46105</v>
      </c>
      <c r="L1688" s="6">
        <v>0</v>
      </c>
      <c r="M1688" s="41">
        <f>VLOOKUP(Tabla1[[#This Row],[PAGO DIA]],DIAS!A:D,4,0)</f>
        <v>46140</v>
      </c>
      <c r="N1688" s="6">
        <v>0</v>
      </c>
      <c r="O1688" s="43">
        <f>VLOOKUP(Tabla1[[#This Row],[PAGO DIA]],DIAS!A:E,5,0)</f>
        <v>46168</v>
      </c>
      <c r="P1688" s="6">
        <v>0</v>
      </c>
      <c r="Q1688" s="43">
        <f>VLOOKUP(Tabla1[[#This Row],[PAGO DIA]],DIAS!A:F,6,0)</f>
        <v>46196</v>
      </c>
      <c r="R1688" s="6">
        <v>0</v>
      </c>
      <c r="S1688" s="43">
        <f>VLOOKUP(Tabla1[[#This Row],[PAGO DIA]],DIAS!A:G,7,0)</f>
        <v>46231</v>
      </c>
      <c r="T1688" s="6">
        <v>0</v>
      </c>
      <c r="U1688" s="43">
        <f>VLOOKUP(Tabla1[[#This Row],[PAGO DIA]],DIAS!A:H,8,0)</f>
        <v>46259</v>
      </c>
      <c r="V1688" s="6">
        <v>0</v>
      </c>
      <c r="W1688" s="43">
        <f>VLOOKUP(Tabla1[[#This Row],[PAGO DIA]],DIAS!A:I,9,0)</f>
        <v>46287</v>
      </c>
      <c r="X1688" s="6">
        <v>0</v>
      </c>
      <c r="Y1688" s="43">
        <f>VLOOKUP(Tabla1[[#This Row],[PAGO DIA]],DIAS!A:J,10,0)</f>
        <v>46322</v>
      </c>
      <c r="Z1688" s="6">
        <v>0</v>
      </c>
      <c r="AA1688" s="43">
        <f>VLOOKUP(Tabla1[[#This Row],[PAGO DIA]],DIAS!A:K,11,0)</f>
        <v>46350</v>
      </c>
      <c r="AB1688" s="6">
        <v>0</v>
      </c>
      <c r="AC1688" s="43">
        <f>VLOOKUP(Tabla1[[#This Row],[PAGO DIA]],DIAS!A:M,12,0)</f>
        <v>46379</v>
      </c>
      <c r="AD16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89" spans="1:30">
      <c r="A1689" s="3">
        <v>12392</v>
      </c>
      <c r="B1689" s="3" t="s">
        <v>510</v>
      </c>
      <c r="C1689" s="3"/>
      <c r="D1689" s="3" t="s">
        <v>2177</v>
      </c>
      <c r="E1689" s="3"/>
      <c r="F1689" s="42" t="s">
        <v>562</v>
      </c>
      <c r="G1689" s="3"/>
      <c r="H1689" s="6">
        <v>0</v>
      </c>
      <c r="I1689" s="41">
        <f>VLOOKUP(Tabla1[[#This Row],[PAGO DIA]],DIAS!A:B,2,0)</f>
        <v>46078</v>
      </c>
      <c r="J1689" s="6">
        <v>0</v>
      </c>
      <c r="K1689" s="43">
        <f>VLOOKUP(Tabla1[[#This Row],[PAGO DIA]],DIAS!A:C,3,0)</f>
        <v>46105</v>
      </c>
      <c r="L1689" s="6">
        <v>0</v>
      </c>
      <c r="M1689" s="41">
        <f>VLOOKUP(Tabla1[[#This Row],[PAGO DIA]],DIAS!A:D,4,0)</f>
        <v>46140</v>
      </c>
      <c r="N1689" s="6">
        <v>0</v>
      </c>
      <c r="O1689" s="43">
        <f>VLOOKUP(Tabla1[[#This Row],[PAGO DIA]],DIAS!A:E,5,0)</f>
        <v>46168</v>
      </c>
      <c r="P1689" s="6">
        <v>0</v>
      </c>
      <c r="Q1689" s="43">
        <f>VLOOKUP(Tabla1[[#This Row],[PAGO DIA]],DIAS!A:F,6,0)</f>
        <v>46196</v>
      </c>
      <c r="R1689" s="6">
        <v>0</v>
      </c>
      <c r="S1689" s="43">
        <f>VLOOKUP(Tabla1[[#This Row],[PAGO DIA]],DIAS!A:G,7,0)</f>
        <v>46231</v>
      </c>
      <c r="T1689" s="6">
        <v>0</v>
      </c>
      <c r="U1689" s="43">
        <f>VLOOKUP(Tabla1[[#This Row],[PAGO DIA]],DIAS!A:H,8,0)</f>
        <v>46259</v>
      </c>
      <c r="V1689" s="6">
        <v>0</v>
      </c>
      <c r="W1689" s="43">
        <f>VLOOKUP(Tabla1[[#This Row],[PAGO DIA]],DIAS!A:I,9,0)</f>
        <v>46287</v>
      </c>
      <c r="X1689" s="6">
        <v>0</v>
      </c>
      <c r="Y1689" s="43">
        <f>VLOOKUP(Tabla1[[#This Row],[PAGO DIA]],DIAS!A:J,10,0)</f>
        <v>46322</v>
      </c>
      <c r="Z1689" s="6">
        <v>0</v>
      </c>
      <c r="AA1689" s="43">
        <f>VLOOKUP(Tabla1[[#This Row],[PAGO DIA]],DIAS!A:K,11,0)</f>
        <v>46350</v>
      </c>
      <c r="AB1689" s="6">
        <v>0</v>
      </c>
      <c r="AC1689" s="43">
        <f>VLOOKUP(Tabla1[[#This Row],[PAGO DIA]],DIAS!A:M,12,0)</f>
        <v>46379</v>
      </c>
      <c r="AD16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0" spans="1:30">
      <c r="A1690" s="3">
        <v>12393</v>
      </c>
      <c r="B1690" s="3" t="s">
        <v>510</v>
      </c>
      <c r="C1690" s="3"/>
      <c r="D1690" s="3" t="s">
        <v>2178</v>
      </c>
      <c r="E1690" s="3"/>
      <c r="F1690" s="42" t="s">
        <v>562</v>
      </c>
      <c r="G1690" s="3"/>
      <c r="H1690" s="6">
        <v>0</v>
      </c>
      <c r="I1690" s="41">
        <f>VLOOKUP(Tabla1[[#This Row],[PAGO DIA]],DIAS!A:B,2,0)</f>
        <v>46078</v>
      </c>
      <c r="J1690" s="6">
        <v>0</v>
      </c>
      <c r="K1690" s="43">
        <f>VLOOKUP(Tabla1[[#This Row],[PAGO DIA]],DIAS!A:C,3,0)</f>
        <v>46105</v>
      </c>
      <c r="L1690" s="6">
        <v>0</v>
      </c>
      <c r="M1690" s="41">
        <f>VLOOKUP(Tabla1[[#This Row],[PAGO DIA]],DIAS!A:D,4,0)</f>
        <v>46140</v>
      </c>
      <c r="N1690" s="6">
        <v>0</v>
      </c>
      <c r="O1690" s="43">
        <f>VLOOKUP(Tabla1[[#This Row],[PAGO DIA]],DIAS!A:E,5,0)</f>
        <v>46168</v>
      </c>
      <c r="P1690" s="6">
        <v>0</v>
      </c>
      <c r="Q1690" s="43">
        <f>VLOOKUP(Tabla1[[#This Row],[PAGO DIA]],DIAS!A:F,6,0)</f>
        <v>46196</v>
      </c>
      <c r="R1690" s="6">
        <v>0</v>
      </c>
      <c r="S1690" s="43">
        <f>VLOOKUP(Tabla1[[#This Row],[PAGO DIA]],DIAS!A:G,7,0)</f>
        <v>46231</v>
      </c>
      <c r="T1690" s="6">
        <v>0</v>
      </c>
      <c r="U1690" s="43">
        <f>VLOOKUP(Tabla1[[#This Row],[PAGO DIA]],DIAS!A:H,8,0)</f>
        <v>46259</v>
      </c>
      <c r="V1690" s="6">
        <v>0</v>
      </c>
      <c r="W1690" s="43">
        <f>VLOOKUP(Tabla1[[#This Row],[PAGO DIA]],DIAS!A:I,9,0)</f>
        <v>46287</v>
      </c>
      <c r="X1690" s="6">
        <v>0</v>
      </c>
      <c r="Y1690" s="43">
        <f>VLOOKUP(Tabla1[[#This Row],[PAGO DIA]],DIAS!A:J,10,0)</f>
        <v>46322</v>
      </c>
      <c r="Z1690" s="6">
        <v>0</v>
      </c>
      <c r="AA1690" s="43">
        <f>VLOOKUP(Tabla1[[#This Row],[PAGO DIA]],DIAS!A:K,11,0)</f>
        <v>46350</v>
      </c>
      <c r="AB1690" s="6">
        <v>0</v>
      </c>
      <c r="AC1690" s="43">
        <f>VLOOKUP(Tabla1[[#This Row],[PAGO DIA]],DIAS!A:M,12,0)</f>
        <v>46379</v>
      </c>
      <c r="AD16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1" spans="1:30">
      <c r="A1691" s="3">
        <v>12394</v>
      </c>
      <c r="B1691" s="3" t="s">
        <v>510</v>
      </c>
      <c r="C1691" s="3"/>
      <c r="D1691" s="3" t="s">
        <v>2179</v>
      </c>
      <c r="E1691" s="3"/>
      <c r="F1691" s="42" t="s">
        <v>562</v>
      </c>
      <c r="G1691" s="3"/>
      <c r="H1691" s="6">
        <v>0</v>
      </c>
      <c r="I1691" s="41">
        <f>VLOOKUP(Tabla1[[#This Row],[PAGO DIA]],DIAS!A:B,2,0)</f>
        <v>46078</v>
      </c>
      <c r="J1691" s="6">
        <v>0</v>
      </c>
      <c r="K1691" s="43">
        <f>VLOOKUP(Tabla1[[#This Row],[PAGO DIA]],DIAS!A:C,3,0)</f>
        <v>46105</v>
      </c>
      <c r="L1691" s="6">
        <v>0</v>
      </c>
      <c r="M1691" s="41">
        <f>VLOOKUP(Tabla1[[#This Row],[PAGO DIA]],DIAS!A:D,4,0)</f>
        <v>46140</v>
      </c>
      <c r="N1691" s="6">
        <v>0</v>
      </c>
      <c r="O1691" s="43">
        <f>VLOOKUP(Tabla1[[#This Row],[PAGO DIA]],DIAS!A:E,5,0)</f>
        <v>46168</v>
      </c>
      <c r="P1691" s="6">
        <v>0</v>
      </c>
      <c r="Q1691" s="43">
        <f>VLOOKUP(Tabla1[[#This Row],[PAGO DIA]],DIAS!A:F,6,0)</f>
        <v>46196</v>
      </c>
      <c r="R1691" s="6">
        <v>0</v>
      </c>
      <c r="S1691" s="43">
        <f>VLOOKUP(Tabla1[[#This Row],[PAGO DIA]],DIAS!A:G,7,0)</f>
        <v>46231</v>
      </c>
      <c r="T1691" s="6">
        <v>0</v>
      </c>
      <c r="U1691" s="43">
        <f>VLOOKUP(Tabla1[[#This Row],[PAGO DIA]],DIAS!A:H,8,0)</f>
        <v>46259</v>
      </c>
      <c r="V1691" s="6">
        <v>0</v>
      </c>
      <c r="W1691" s="43">
        <f>VLOOKUP(Tabla1[[#This Row],[PAGO DIA]],DIAS!A:I,9,0)</f>
        <v>46287</v>
      </c>
      <c r="X1691" s="6">
        <v>0</v>
      </c>
      <c r="Y1691" s="43">
        <f>VLOOKUP(Tabla1[[#This Row],[PAGO DIA]],DIAS!A:J,10,0)</f>
        <v>46322</v>
      </c>
      <c r="Z1691" s="6">
        <v>0</v>
      </c>
      <c r="AA1691" s="43">
        <f>VLOOKUP(Tabla1[[#This Row],[PAGO DIA]],DIAS!A:K,11,0)</f>
        <v>46350</v>
      </c>
      <c r="AB1691" s="6">
        <v>0</v>
      </c>
      <c r="AC1691" s="43">
        <f>VLOOKUP(Tabla1[[#This Row],[PAGO DIA]],DIAS!A:M,12,0)</f>
        <v>46379</v>
      </c>
      <c r="AD16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2" spans="1:30">
      <c r="A1692" s="3">
        <v>12396</v>
      </c>
      <c r="B1692" s="3" t="s">
        <v>510</v>
      </c>
      <c r="C1692" s="3"/>
      <c r="D1692" s="3" t="s">
        <v>1785</v>
      </c>
      <c r="E1692" s="3"/>
      <c r="F1692" s="42" t="s">
        <v>562</v>
      </c>
      <c r="G1692" s="3"/>
      <c r="H1692" s="6">
        <v>0</v>
      </c>
      <c r="I1692" s="41">
        <f>VLOOKUP(Tabla1[[#This Row],[PAGO DIA]],DIAS!A:B,2,0)</f>
        <v>46078</v>
      </c>
      <c r="J1692" s="6">
        <v>0</v>
      </c>
      <c r="K1692" s="43">
        <f>VLOOKUP(Tabla1[[#This Row],[PAGO DIA]],DIAS!A:C,3,0)</f>
        <v>46105</v>
      </c>
      <c r="L1692" s="6">
        <v>0</v>
      </c>
      <c r="M1692" s="41">
        <f>VLOOKUP(Tabla1[[#This Row],[PAGO DIA]],DIAS!A:D,4,0)</f>
        <v>46140</v>
      </c>
      <c r="N1692" s="6">
        <v>0</v>
      </c>
      <c r="O1692" s="43">
        <f>VLOOKUP(Tabla1[[#This Row],[PAGO DIA]],DIAS!A:E,5,0)</f>
        <v>46168</v>
      </c>
      <c r="P1692" s="6">
        <v>0</v>
      </c>
      <c r="Q1692" s="43">
        <f>VLOOKUP(Tabla1[[#This Row],[PAGO DIA]],DIAS!A:F,6,0)</f>
        <v>46196</v>
      </c>
      <c r="R1692" s="6">
        <v>0</v>
      </c>
      <c r="S1692" s="43">
        <f>VLOOKUP(Tabla1[[#This Row],[PAGO DIA]],DIAS!A:G,7,0)</f>
        <v>46231</v>
      </c>
      <c r="T1692" s="6">
        <v>0</v>
      </c>
      <c r="U1692" s="43">
        <f>VLOOKUP(Tabla1[[#This Row],[PAGO DIA]],DIAS!A:H,8,0)</f>
        <v>46259</v>
      </c>
      <c r="V1692" s="6">
        <v>0</v>
      </c>
      <c r="W1692" s="43">
        <f>VLOOKUP(Tabla1[[#This Row],[PAGO DIA]],DIAS!A:I,9,0)</f>
        <v>46287</v>
      </c>
      <c r="X1692" s="6">
        <v>0</v>
      </c>
      <c r="Y1692" s="43">
        <f>VLOOKUP(Tabla1[[#This Row],[PAGO DIA]],DIAS!A:J,10,0)</f>
        <v>46322</v>
      </c>
      <c r="Z1692" s="6">
        <v>0</v>
      </c>
      <c r="AA1692" s="43">
        <f>VLOOKUP(Tabla1[[#This Row],[PAGO DIA]],DIAS!A:K,11,0)</f>
        <v>46350</v>
      </c>
      <c r="AB1692" s="6">
        <v>0</v>
      </c>
      <c r="AC1692" s="43">
        <f>VLOOKUP(Tabla1[[#This Row],[PAGO DIA]],DIAS!A:M,12,0)</f>
        <v>46379</v>
      </c>
      <c r="AD16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3" spans="1:30">
      <c r="A1693" s="3">
        <v>12397</v>
      </c>
      <c r="B1693" s="3" t="s">
        <v>510</v>
      </c>
      <c r="C1693" s="3"/>
      <c r="D1693" s="3" t="s">
        <v>2180</v>
      </c>
      <c r="E1693" s="3"/>
      <c r="F1693" s="42" t="s">
        <v>562</v>
      </c>
      <c r="G1693" s="3"/>
      <c r="H1693" s="6">
        <v>0</v>
      </c>
      <c r="I1693" s="41">
        <f>VLOOKUP(Tabla1[[#This Row],[PAGO DIA]],DIAS!A:B,2,0)</f>
        <v>46078</v>
      </c>
      <c r="J1693" s="6">
        <v>0</v>
      </c>
      <c r="K1693" s="43">
        <f>VLOOKUP(Tabla1[[#This Row],[PAGO DIA]],DIAS!A:C,3,0)</f>
        <v>46105</v>
      </c>
      <c r="L1693" s="6">
        <v>0</v>
      </c>
      <c r="M1693" s="41">
        <f>VLOOKUP(Tabla1[[#This Row],[PAGO DIA]],DIAS!A:D,4,0)</f>
        <v>46140</v>
      </c>
      <c r="N1693" s="6">
        <v>0</v>
      </c>
      <c r="O1693" s="43">
        <f>VLOOKUP(Tabla1[[#This Row],[PAGO DIA]],DIAS!A:E,5,0)</f>
        <v>46168</v>
      </c>
      <c r="P1693" s="6">
        <v>0</v>
      </c>
      <c r="Q1693" s="43">
        <f>VLOOKUP(Tabla1[[#This Row],[PAGO DIA]],DIAS!A:F,6,0)</f>
        <v>46196</v>
      </c>
      <c r="R1693" s="6">
        <v>0</v>
      </c>
      <c r="S1693" s="43">
        <f>VLOOKUP(Tabla1[[#This Row],[PAGO DIA]],DIAS!A:G,7,0)</f>
        <v>46231</v>
      </c>
      <c r="T1693" s="6">
        <v>0</v>
      </c>
      <c r="U1693" s="43">
        <f>VLOOKUP(Tabla1[[#This Row],[PAGO DIA]],DIAS!A:H,8,0)</f>
        <v>46259</v>
      </c>
      <c r="V1693" s="6">
        <v>0</v>
      </c>
      <c r="W1693" s="43">
        <f>VLOOKUP(Tabla1[[#This Row],[PAGO DIA]],DIAS!A:I,9,0)</f>
        <v>46287</v>
      </c>
      <c r="X1693" s="6">
        <v>0</v>
      </c>
      <c r="Y1693" s="43">
        <f>VLOOKUP(Tabla1[[#This Row],[PAGO DIA]],DIAS!A:J,10,0)</f>
        <v>46322</v>
      </c>
      <c r="Z1693" s="6">
        <v>0</v>
      </c>
      <c r="AA1693" s="43">
        <f>VLOOKUP(Tabla1[[#This Row],[PAGO DIA]],DIAS!A:K,11,0)</f>
        <v>46350</v>
      </c>
      <c r="AB1693" s="6">
        <v>0</v>
      </c>
      <c r="AC1693" s="43">
        <f>VLOOKUP(Tabla1[[#This Row],[PAGO DIA]],DIAS!A:M,12,0)</f>
        <v>46379</v>
      </c>
      <c r="AD16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4" spans="1:30">
      <c r="A1694" s="3">
        <v>12398</v>
      </c>
      <c r="B1694" s="3" t="s">
        <v>510</v>
      </c>
      <c r="C1694" s="3"/>
      <c r="D1694" s="3" t="s">
        <v>2181</v>
      </c>
      <c r="E1694" s="3"/>
      <c r="F1694" s="42" t="s">
        <v>562</v>
      </c>
      <c r="G1694" s="3"/>
      <c r="H1694" s="6">
        <v>0</v>
      </c>
      <c r="I1694" s="41">
        <f>VLOOKUP(Tabla1[[#This Row],[PAGO DIA]],DIAS!A:B,2,0)</f>
        <v>46078</v>
      </c>
      <c r="J1694" s="6">
        <v>0</v>
      </c>
      <c r="K1694" s="43">
        <f>VLOOKUP(Tabla1[[#This Row],[PAGO DIA]],DIAS!A:C,3,0)</f>
        <v>46105</v>
      </c>
      <c r="L1694" s="6">
        <v>0</v>
      </c>
      <c r="M1694" s="41">
        <f>VLOOKUP(Tabla1[[#This Row],[PAGO DIA]],DIAS!A:D,4,0)</f>
        <v>46140</v>
      </c>
      <c r="N1694" s="6">
        <v>0</v>
      </c>
      <c r="O1694" s="43">
        <f>VLOOKUP(Tabla1[[#This Row],[PAGO DIA]],DIAS!A:E,5,0)</f>
        <v>46168</v>
      </c>
      <c r="P1694" s="6">
        <v>0</v>
      </c>
      <c r="Q1694" s="43">
        <f>VLOOKUP(Tabla1[[#This Row],[PAGO DIA]],DIAS!A:F,6,0)</f>
        <v>46196</v>
      </c>
      <c r="R1694" s="6">
        <v>0</v>
      </c>
      <c r="S1694" s="43">
        <f>VLOOKUP(Tabla1[[#This Row],[PAGO DIA]],DIAS!A:G,7,0)</f>
        <v>46231</v>
      </c>
      <c r="T1694" s="6">
        <v>0</v>
      </c>
      <c r="U1694" s="43">
        <f>VLOOKUP(Tabla1[[#This Row],[PAGO DIA]],DIAS!A:H,8,0)</f>
        <v>46259</v>
      </c>
      <c r="V1694" s="6">
        <v>0</v>
      </c>
      <c r="W1694" s="43">
        <f>VLOOKUP(Tabla1[[#This Row],[PAGO DIA]],DIAS!A:I,9,0)</f>
        <v>46287</v>
      </c>
      <c r="X1694" s="6">
        <v>0</v>
      </c>
      <c r="Y1694" s="43">
        <f>VLOOKUP(Tabla1[[#This Row],[PAGO DIA]],DIAS!A:J,10,0)</f>
        <v>46322</v>
      </c>
      <c r="Z1694" s="6">
        <v>0</v>
      </c>
      <c r="AA1694" s="43">
        <f>VLOOKUP(Tabla1[[#This Row],[PAGO DIA]],DIAS!A:K,11,0)</f>
        <v>46350</v>
      </c>
      <c r="AB1694" s="6">
        <v>0</v>
      </c>
      <c r="AC1694" s="43">
        <f>VLOOKUP(Tabla1[[#This Row],[PAGO DIA]],DIAS!A:M,12,0)</f>
        <v>46379</v>
      </c>
      <c r="AD16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5" spans="1:30">
      <c r="A1695" s="3">
        <v>12399</v>
      </c>
      <c r="B1695" s="3" t="s">
        <v>510</v>
      </c>
      <c r="C1695" s="3"/>
      <c r="D1695" s="3" t="s">
        <v>2182</v>
      </c>
      <c r="E1695" s="3"/>
      <c r="F1695" s="42" t="s">
        <v>562</v>
      </c>
      <c r="G1695" s="3"/>
      <c r="H1695" s="6">
        <v>0</v>
      </c>
      <c r="I1695" s="41">
        <f>VLOOKUP(Tabla1[[#This Row],[PAGO DIA]],DIAS!A:B,2,0)</f>
        <v>46078</v>
      </c>
      <c r="J1695" s="6">
        <v>0</v>
      </c>
      <c r="K1695" s="43">
        <f>VLOOKUP(Tabla1[[#This Row],[PAGO DIA]],DIAS!A:C,3,0)</f>
        <v>46105</v>
      </c>
      <c r="L1695" s="6">
        <v>0</v>
      </c>
      <c r="M1695" s="41">
        <f>VLOOKUP(Tabla1[[#This Row],[PAGO DIA]],DIAS!A:D,4,0)</f>
        <v>46140</v>
      </c>
      <c r="N1695" s="6">
        <v>0</v>
      </c>
      <c r="O1695" s="43">
        <f>VLOOKUP(Tabla1[[#This Row],[PAGO DIA]],DIAS!A:E,5,0)</f>
        <v>46168</v>
      </c>
      <c r="P1695" s="6">
        <v>0</v>
      </c>
      <c r="Q1695" s="43">
        <f>VLOOKUP(Tabla1[[#This Row],[PAGO DIA]],DIAS!A:F,6,0)</f>
        <v>46196</v>
      </c>
      <c r="R1695" s="6">
        <v>0</v>
      </c>
      <c r="S1695" s="43">
        <f>VLOOKUP(Tabla1[[#This Row],[PAGO DIA]],DIAS!A:G,7,0)</f>
        <v>46231</v>
      </c>
      <c r="T1695" s="6">
        <v>0</v>
      </c>
      <c r="U1695" s="43">
        <f>VLOOKUP(Tabla1[[#This Row],[PAGO DIA]],DIAS!A:H,8,0)</f>
        <v>46259</v>
      </c>
      <c r="V1695" s="6">
        <v>0</v>
      </c>
      <c r="W1695" s="43">
        <f>VLOOKUP(Tabla1[[#This Row],[PAGO DIA]],DIAS!A:I,9,0)</f>
        <v>46287</v>
      </c>
      <c r="X1695" s="6">
        <v>0</v>
      </c>
      <c r="Y1695" s="43">
        <f>VLOOKUP(Tabla1[[#This Row],[PAGO DIA]],DIAS!A:J,10,0)</f>
        <v>46322</v>
      </c>
      <c r="Z1695" s="6">
        <v>0</v>
      </c>
      <c r="AA1695" s="43">
        <f>VLOOKUP(Tabla1[[#This Row],[PAGO DIA]],DIAS!A:K,11,0)</f>
        <v>46350</v>
      </c>
      <c r="AB1695" s="6">
        <v>0</v>
      </c>
      <c r="AC1695" s="43">
        <f>VLOOKUP(Tabla1[[#This Row],[PAGO DIA]],DIAS!A:M,12,0)</f>
        <v>46379</v>
      </c>
      <c r="AD16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6" spans="1:30">
      <c r="A1696" s="3">
        <v>12400</v>
      </c>
      <c r="B1696" s="3" t="s">
        <v>510</v>
      </c>
      <c r="C1696" s="3"/>
      <c r="D1696" s="3" t="s">
        <v>2183</v>
      </c>
      <c r="E1696" s="3"/>
      <c r="F1696" s="42" t="s">
        <v>562</v>
      </c>
      <c r="G1696" s="3"/>
      <c r="H1696" s="6">
        <v>0</v>
      </c>
      <c r="I1696" s="41">
        <f>VLOOKUP(Tabla1[[#This Row],[PAGO DIA]],DIAS!A:B,2,0)</f>
        <v>46078</v>
      </c>
      <c r="J1696" s="6">
        <v>0</v>
      </c>
      <c r="K1696" s="43">
        <f>VLOOKUP(Tabla1[[#This Row],[PAGO DIA]],DIAS!A:C,3,0)</f>
        <v>46105</v>
      </c>
      <c r="L1696" s="6">
        <v>0</v>
      </c>
      <c r="M1696" s="41">
        <f>VLOOKUP(Tabla1[[#This Row],[PAGO DIA]],DIAS!A:D,4,0)</f>
        <v>46140</v>
      </c>
      <c r="N1696" s="6">
        <v>0</v>
      </c>
      <c r="O1696" s="43">
        <f>VLOOKUP(Tabla1[[#This Row],[PAGO DIA]],DIAS!A:E,5,0)</f>
        <v>46168</v>
      </c>
      <c r="P1696" s="6">
        <v>0</v>
      </c>
      <c r="Q1696" s="43">
        <f>VLOOKUP(Tabla1[[#This Row],[PAGO DIA]],DIAS!A:F,6,0)</f>
        <v>46196</v>
      </c>
      <c r="R1696" s="6">
        <v>0</v>
      </c>
      <c r="S1696" s="43">
        <f>VLOOKUP(Tabla1[[#This Row],[PAGO DIA]],DIAS!A:G,7,0)</f>
        <v>46231</v>
      </c>
      <c r="T1696" s="6">
        <v>0</v>
      </c>
      <c r="U1696" s="43">
        <f>VLOOKUP(Tabla1[[#This Row],[PAGO DIA]],DIAS!A:H,8,0)</f>
        <v>46259</v>
      </c>
      <c r="V1696" s="6">
        <v>0</v>
      </c>
      <c r="W1696" s="43">
        <f>VLOOKUP(Tabla1[[#This Row],[PAGO DIA]],DIAS!A:I,9,0)</f>
        <v>46287</v>
      </c>
      <c r="X1696" s="6">
        <v>0</v>
      </c>
      <c r="Y1696" s="43">
        <f>VLOOKUP(Tabla1[[#This Row],[PAGO DIA]],DIAS!A:J,10,0)</f>
        <v>46322</v>
      </c>
      <c r="Z1696" s="6">
        <v>0</v>
      </c>
      <c r="AA1696" s="43">
        <f>VLOOKUP(Tabla1[[#This Row],[PAGO DIA]],DIAS!A:K,11,0)</f>
        <v>46350</v>
      </c>
      <c r="AB1696" s="6">
        <v>0</v>
      </c>
      <c r="AC1696" s="43">
        <f>VLOOKUP(Tabla1[[#This Row],[PAGO DIA]],DIAS!A:M,12,0)</f>
        <v>46379</v>
      </c>
      <c r="AD16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7" spans="1:30">
      <c r="A1697" s="3">
        <v>12401</v>
      </c>
      <c r="B1697" s="3" t="s">
        <v>510</v>
      </c>
      <c r="C1697" s="3"/>
      <c r="D1697" s="3" t="s">
        <v>2184</v>
      </c>
      <c r="E1697" s="3"/>
      <c r="F1697" s="42" t="s">
        <v>562</v>
      </c>
      <c r="G1697" s="3"/>
      <c r="H1697" s="6">
        <v>0</v>
      </c>
      <c r="I1697" s="41">
        <f>VLOOKUP(Tabla1[[#This Row],[PAGO DIA]],DIAS!A:B,2,0)</f>
        <v>46078</v>
      </c>
      <c r="J1697" s="6">
        <v>0</v>
      </c>
      <c r="K1697" s="43">
        <f>VLOOKUP(Tabla1[[#This Row],[PAGO DIA]],DIAS!A:C,3,0)</f>
        <v>46105</v>
      </c>
      <c r="L1697" s="6">
        <v>0</v>
      </c>
      <c r="M1697" s="41">
        <f>VLOOKUP(Tabla1[[#This Row],[PAGO DIA]],DIAS!A:D,4,0)</f>
        <v>46140</v>
      </c>
      <c r="N1697" s="6">
        <v>0</v>
      </c>
      <c r="O1697" s="43">
        <f>VLOOKUP(Tabla1[[#This Row],[PAGO DIA]],DIAS!A:E,5,0)</f>
        <v>46168</v>
      </c>
      <c r="P1697" s="6">
        <v>0</v>
      </c>
      <c r="Q1697" s="43">
        <f>VLOOKUP(Tabla1[[#This Row],[PAGO DIA]],DIAS!A:F,6,0)</f>
        <v>46196</v>
      </c>
      <c r="R1697" s="6">
        <v>0</v>
      </c>
      <c r="S1697" s="43">
        <f>VLOOKUP(Tabla1[[#This Row],[PAGO DIA]],DIAS!A:G,7,0)</f>
        <v>46231</v>
      </c>
      <c r="T1697" s="6">
        <v>0</v>
      </c>
      <c r="U1697" s="43">
        <f>VLOOKUP(Tabla1[[#This Row],[PAGO DIA]],DIAS!A:H,8,0)</f>
        <v>46259</v>
      </c>
      <c r="V1697" s="6">
        <v>0</v>
      </c>
      <c r="W1697" s="43">
        <f>VLOOKUP(Tabla1[[#This Row],[PAGO DIA]],DIAS!A:I,9,0)</f>
        <v>46287</v>
      </c>
      <c r="X1697" s="6">
        <v>0</v>
      </c>
      <c r="Y1697" s="43">
        <f>VLOOKUP(Tabla1[[#This Row],[PAGO DIA]],DIAS!A:J,10,0)</f>
        <v>46322</v>
      </c>
      <c r="Z1697" s="6">
        <v>0</v>
      </c>
      <c r="AA1697" s="43">
        <f>VLOOKUP(Tabla1[[#This Row],[PAGO DIA]],DIAS!A:K,11,0)</f>
        <v>46350</v>
      </c>
      <c r="AB1697" s="6">
        <v>0</v>
      </c>
      <c r="AC1697" s="43">
        <f>VLOOKUP(Tabla1[[#This Row],[PAGO DIA]],DIAS!A:M,12,0)</f>
        <v>46379</v>
      </c>
      <c r="AD16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8" spans="1:30">
      <c r="A1698" s="3">
        <v>12402</v>
      </c>
      <c r="B1698" s="3" t="s">
        <v>510</v>
      </c>
      <c r="C1698" s="3"/>
      <c r="D1698" s="3" t="s">
        <v>2185</v>
      </c>
      <c r="E1698" s="3"/>
      <c r="F1698" s="42" t="s">
        <v>562</v>
      </c>
      <c r="G1698" s="3"/>
      <c r="H1698" s="6">
        <v>0</v>
      </c>
      <c r="I1698" s="41">
        <f>VLOOKUP(Tabla1[[#This Row],[PAGO DIA]],DIAS!A:B,2,0)</f>
        <v>46078</v>
      </c>
      <c r="J1698" s="6">
        <v>0</v>
      </c>
      <c r="K1698" s="43">
        <f>VLOOKUP(Tabla1[[#This Row],[PAGO DIA]],DIAS!A:C,3,0)</f>
        <v>46105</v>
      </c>
      <c r="L1698" s="6">
        <v>0</v>
      </c>
      <c r="M1698" s="41">
        <f>VLOOKUP(Tabla1[[#This Row],[PAGO DIA]],DIAS!A:D,4,0)</f>
        <v>46140</v>
      </c>
      <c r="N1698" s="6">
        <v>0</v>
      </c>
      <c r="O1698" s="43">
        <f>VLOOKUP(Tabla1[[#This Row],[PAGO DIA]],DIAS!A:E,5,0)</f>
        <v>46168</v>
      </c>
      <c r="P1698" s="6">
        <v>0</v>
      </c>
      <c r="Q1698" s="43">
        <f>VLOOKUP(Tabla1[[#This Row],[PAGO DIA]],DIAS!A:F,6,0)</f>
        <v>46196</v>
      </c>
      <c r="R1698" s="6">
        <v>0</v>
      </c>
      <c r="S1698" s="43">
        <f>VLOOKUP(Tabla1[[#This Row],[PAGO DIA]],DIAS!A:G,7,0)</f>
        <v>46231</v>
      </c>
      <c r="T1698" s="6">
        <v>0</v>
      </c>
      <c r="U1698" s="43">
        <f>VLOOKUP(Tabla1[[#This Row],[PAGO DIA]],DIAS!A:H,8,0)</f>
        <v>46259</v>
      </c>
      <c r="V1698" s="6">
        <v>0</v>
      </c>
      <c r="W1698" s="43">
        <f>VLOOKUP(Tabla1[[#This Row],[PAGO DIA]],DIAS!A:I,9,0)</f>
        <v>46287</v>
      </c>
      <c r="X1698" s="6">
        <v>0</v>
      </c>
      <c r="Y1698" s="43">
        <f>VLOOKUP(Tabla1[[#This Row],[PAGO DIA]],DIAS!A:J,10,0)</f>
        <v>46322</v>
      </c>
      <c r="Z1698" s="6">
        <v>0</v>
      </c>
      <c r="AA1698" s="43">
        <f>VLOOKUP(Tabla1[[#This Row],[PAGO DIA]],DIAS!A:K,11,0)</f>
        <v>46350</v>
      </c>
      <c r="AB1698" s="6">
        <v>0</v>
      </c>
      <c r="AC1698" s="43">
        <f>VLOOKUP(Tabla1[[#This Row],[PAGO DIA]],DIAS!A:M,12,0)</f>
        <v>46379</v>
      </c>
      <c r="AD16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699" spans="1:30">
      <c r="A1699" s="3">
        <v>12403</v>
      </c>
      <c r="B1699" s="3" t="s">
        <v>510</v>
      </c>
      <c r="C1699" s="3"/>
      <c r="D1699" s="3" t="s">
        <v>1386</v>
      </c>
      <c r="E1699" s="3"/>
      <c r="F1699" s="42" t="s">
        <v>562</v>
      </c>
      <c r="G1699" s="3"/>
      <c r="H1699" s="6">
        <v>0</v>
      </c>
      <c r="I1699" s="41">
        <f>VLOOKUP(Tabla1[[#This Row],[PAGO DIA]],DIAS!A:B,2,0)</f>
        <v>46078</v>
      </c>
      <c r="J1699" s="6">
        <v>0</v>
      </c>
      <c r="K1699" s="43">
        <f>VLOOKUP(Tabla1[[#This Row],[PAGO DIA]],DIAS!A:C,3,0)</f>
        <v>46105</v>
      </c>
      <c r="L1699" s="6">
        <v>0</v>
      </c>
      <c r="M1699" s="41">
        <f>VLOOKUP(Tabla1[[#This Row],[PAGO DIA]],DIAS!A:D,4,0)</f>
        <v>46140</v>
      </c>
      <c r="N1699" s="6">
        <v>0</v>
      </c>
      <c r="O1699" s="43">
        <f>VLOOKUP(Tabla1[[#This Row],[PAGO DIA]],DIAS!A:E,5,0)</f>
        <v>46168</v>
      </c>
      <c r="P1699" s="6">
        <v>0</v>
      </c>
      <c r="Q1699" s="43">
        <f>VLOOKUP(Tabla1[[#This Row],[PAGO DIA]],DIAS!A:F,6,0)</f>
        <v>46196</v>
      </c>
      <c r="R1699" s="6">
        <v>0</v>
      </c>
      <c r="S1699" s="43">
        <f>VLOOKUP(Tabla1[[#This Row],[PAGO DIA]],DIAS!A:G,7,0)</f>
        <v>46231</v>
      </c>
      <c r="T1699" s="6">
        <v>0</v>
      </c>
      <c r="U1699" s="43">
        <f>VLOOKUP(Tabla1[[#This Row],[PAGO DIA]],DIAS!A:H,8,0)</f>
        <v>46259</v>
      </c>
      <c r="V1699" s="6">
        <v>0</v>
      </c>
      <c r="W1699" s="43">
        <f>VLOOKUP(Tabla1[[#This Row],[PAGO DIA]],DIAS!A:I,9,0)</f>
        <v>46287</v>
      </c>
      <c r="X1699" s="6">
        <v>0</v>
      </c>
      <c r="Y1699" s="43">
        <f>VLOOKUP(Tabla1[[#This Row],[PAGO DIA]],DIAS!A:J,10,0)</f>
        <v>46322</v>
      </c>
      <c r="Z1699" s="6">
        <v>0</v>
      </c>
      <c r="AA1699" s="43">
        <f>VLOOKUP(Tabla1[[#This Row],[PAGO DIA]],DIAS!A:K,11,0)</f>
        <v>46350</v>
      </c>
      <c r="AB1699" s="6">
        <v>0</v>
      </c>
      <c r="AC1699" s="43">
        <f>VLOOKUP(Tabla1[[#This Row],[PAGO DIA]],DIAS!A:M,12,0)</f>
        <v>46379</v>
      </c>
      <c r="AD16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0" spans="1:30">
      <c r="A1700" s="3">
        <v>12404</v>
      </c>
      <c r="B1700" s="3" t="s">
        <v>510</v>
      </c>
      <c r="C1700" s="3"/>
      <c r="D1700" s="3" t="s">
        <v>2186</v>
      </c>
      <c r="E1700" s="3"/>
      <c r="F1700" s="42" t="s">
        <v>562</v>
      </c>
      <c r="G1700" s="3"/>
      <c r="H1700" s="6">
        <v>0</v>
      </c>
      <c r="I1700" s="41">
        <f>VLOOKUP(Tabla1[[#This Row],[PAGO DIA]],DIAS!A:B,2,0)</f>
        <v>46078</v>
      </c>
      <c r="J1700" s="6">
        <v>0</v>
      </c>
      <c r="K1700" s="43">
        <f>VLOOKUP(Tabla1[[#This Row],[PAGO DIA]],DIAS!A:C,3,0)</f>
        <v>46105</v>
      </c>
      <c r="L1700" s="6">
        <v>0</v>
      </c>
      <c r="M1700" s="41">
        <f>VLOOKUP(Tabla1[[#This Row],[PAGO DIA]],DIAS!A:D,4,0)</f>
        <v>46140</v>
      </c>
      <c r="N1700" s="6">
        <v>0</v>
      </c>
      <c r="O1700" s="43">
        <f>VLOOKUP(Tabla1[[#This Row],[PAGO DIA]],DIAS!A:E,5,0)</f>
        <v>46168</v>
      </c>
      <c r="P1700" s="6">
        <v>0</v>
      </c>
      <c r="Q1700" s="43">
        <f>VLOOKUP(Tabla1[[#This Row],[PAGO DIA]],DIAS!A:F,6,0)</f>
        <v>46196</v>
      </c>
      <c r="R1700" s="6">
        <v>0</v>
      </c>
      <c r="S1700" s="43">
        <f>VLOOKUP(Tabla1[[#This Row],[PAGO DIA]],DIAS!A:G,7,0)</f>
        <v>46231</v>
      </c>
      <c r="T1700" s="6">
        <v>0</v>
      </c>
      <c r="U1700" s="43">
        <f>VLOOKUP(Tabla1[[#This Row],[PAGO DIA]],DIAS!A:H,8,0)</f>
        <v>46259</v>
      </c>
      <c r="V1700" s="6">
        <v>0</v>
      </c>
      <c r="W1700" s="43">
        <f>VLOOKUP(Tabla1[[#This Row],[PAGO DIA]],DIAS!A:I,9,0)</f>
        <v>46287</v>
      </c>
      <c r="X1700" s="6">
        <v>0</v>
      </c>
      <c r="Y1700" s="43">
        <f>VLOOKUP(Tabla1[[#This Row],[PAGO DIA]],DIAS!A:J,10,0)</f>
        <v>46322</v>
      </c>
      <c r="Z1700" s="6">
        <v>0</v>
      </c>
      <c r="AA1700" s="43">
        <f>VLOOKUP(Tabla1[[#This Row],[PAGO DIA]],DIAS!A:K,11,0)</f>
        <v>46350</v>
      </c>
      <c r="AB1700" s="6">
        <v>0</v>
      </c>
      <c r="AC1700" s="43">
        <f>VLOOKUP(Tabla1[[#This Row],[PAGO DIA]],DIAS!A:M,12,0)</f>
        <v>46379</v>
      </c>
      <c r="AD17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1" spans="1:30">
      <c r="A1701" s="3">
        <v>12405</v>
      </c>
      <c r="B1701" s="3" t="s">
        <v>510</v>
      </c>
      <c r="C1701" s="3"/>
      <c r="D1701" s="3" t="s">
        <v>2187</v>
      </c>
      <c r="E1701" s="3"/>
      <c r="F1701" s="42" t="s">
        <v>562</v>
      </c>
      <c r="G1701" s="3"/>
      <c r="H1701" s="6">
        <v>0</v>
      </c>
      <c r="I1701" s="41">
        <f>VLOOKUP(Tabla1[[#This Row],[PAGO DIA]],DIAS!A:B,2,0)</f>
        <v>46078</v>
      </c>
      <c r="J1701" s="6">
        <v>0</v>
      </c>
      <c r="K1701" s="43">
        <f>VLOOKUP(Tabla1[[#This Row],[PAGO DIA]],DIAS!A:C,3,0)</f>
        <v>46105</v>
      </c>
      <c r="L1701" s="6">
        <v>0</v>
      </c>
      <c r="M1701" s="41">
        <f>VLOOKUP(Tabla1[[#This Row],[PAGO DIA]],DIAS!A:D,4,0)</f>
        <v>46140</v>
      </c>
      <c r="N1701" s="6">
        <v>0</v>
      </c>
      <c r="O1701" s="43">
        <f>VLOOKUP(Tabla1[[#This Row],[PAGO DIA]],DIAS!A:E,5,0)</f>
        <v>46168</v>
      </c>
      <c r="P1701" s="6">
        <v>0</v>
      </c>
      <c r="Q1701" s="43">
        <f>VLOOKUP(Tabla1[[#This Row],[PAGO DIA]],DIAS!A:F,6,0)</f>
        <v>46196</v>
      </c>
      <c r="R1701" s="6">
        <v>0</v>
      </c>
      <c r="S1701" s="43">
        <f>VLOOKUP(Tabla1[[#This Row],[PAGO DIA]],DIAS!A:G,7,0)</f>
        <v>46231</v>
      </c>
      <c r="T1701" s="6">
        <v>0</v>
      </c>
      <c r="U1701" s="43">
        <f>VLOOKUP(Tabla1[[#This Row],[PAGO DIA]],DIAS!A:H,8,0)</f>
        <v>46259</v>
      </c>
      <c r="V1701" s="6">
        <v>0</v>
      </c>
      <c r="W1701" s="43">
        <f>VLOOKUP(Tabla1[[#This Row],[PAGO DIA]],DIAS!A:I,9,0)</f>
        <v>46287</v>
      </c>
      <c r="X1701" s="6">
        <v>0</v>
      </c>
      <c r="Y1701" s="43">
        <f>VLOOKUP(Tabla1[[#This Row],[PAGO DIA]],DIAS!A:J,10,0)</f>
        <v>46322</v>
      </c>
      <c r="Z1701" s="6">
        <v>0</v>
      </c>
      <c r="AA1701" s="43">
        <f>VLOOKUP(Tabla1[[#This Row],[PAGO DIA]],DIAS!A:K,11,0)</f>
        <v>46350</v>
      </c>
      <c r="AB1701" s="6">
        <v>0</v>
      </c>
      <c r="AC1701" s="43">
        <f>VLOOKUP(Tabla1[[#This Row],[PAGO DIA]],DIAS!A:M,12,0)</f>
        <v>46379</v>
      </c>
      <c r="AD17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2" spans="1:30">
      <c r="A1702" s="3">
        <v>12406</v>
      </c>
      <c r="B1702" s="3" t="s">
        <v>510</v>
      </c>
      <c r="C1702" s="3"/>
      <c r="D1702" s="3" t="s">
        <v>2188</v>
      </c>
      <c r="E1702" s="3"/>
      <c r="F1702" s="42" t="s">
        <v>562</v>
      </c>
      <c r="G1702" s="3"/>
      <c r="H1702" s="6">
        <v>0</v>
      </c>
      <c r="I1702" s="41">
        <f>VLOOKUP(Tabla1[[#This Row],[PAGO DIA]],DIAS!A:B,2,0)</f>
        <v>46078</v>
      </c>
      <c r="J1702" s="6">
        <v>0</v>
      </c>
      <c r="K1702" s="43">
        <f>VLOOKUP(Tabla1[[#This Row],[PAGO DIA]],DIAS!A:C,3,0)</f>
        <v>46105</v>
      </c>
      <c r="L1702" s="6">
        <v>0</v>
      </c>
      <c r="M1702" s="41">
        <f>VLOOKUP(Tabla1[[#This Row],[PAGO DIA]],DIAS!A:D,4,0)</f>
        <v>46140</v>
      </c>
      <c r="N1702" s="6">
        <v>0</v>
      </c>
      <c r="O1702" s="43">
        <f>VLOOKUP(Tabla1[[#This Row],[PAGO DIA]],DIAS!A:E,5,0)</f>
        <v>46168</v>
      </c>
      <c r="P1702" s="6">
        <v>0</v>
      </c>
      <c r="Q1702" s="43">
        <f>VLOOKUP(Tabla1[[#This Row],[PAGO DIA]],DIAS!A:F,6,0)</f>
        <v>46196</v>
      </c>
      <c r="R1702" s="6">
        <v>0</v>
      </c>
      <c r="S1702" s="43">
        <f>VLOOKUP(Tabla1[[#This Row],[PAGO DIA]],DIAS!A:G,7,0)</f>
        <v>46231</v>
      </c>
      <c r="T1702" s="6">
        <v>0</v>
      </c>
      <c r="U1702" s="43">
        <f>VLOOKUP(Tabla1[[#This Row],[PAGO DIA]],DIAS!A:H,8,0)</f>
        <v>46259</v>
      </c>
      <c r="V1702" s="6">
        <v>0</v>
      </c>
      <c r="W1702" s="43">
        <f>VLOOKUP(Tabla1[[#This Row],[PAGO DIA]],DIAS!A:I,9,0)</f>
        <v>46287</v>
      </c>
      <c r="X1702" s="6">
        <v>0</v>
      </c>
      <c r="Y1702" s="43">
        <f>VLOOKUP(Tabla1[[#This Row],[PAGO DIA]],DIAS!A:J,10,0)</f>
        <v>46322</v>
      </c>
      <c r="Z1702" s="6">
        <v>0</v>
      </c>
      <c r="AA1702" s="43">
        <f>VLOOKUP(Tabla1[[#This Row],[PAGO DIA]],DIAS!A:K,11,0)</f>
        <v>46350</v>
      </c>
      <c r="AB1702" s="6">
        <v>0</v>
      </c>
      <c r="AC1702" s="43">
        <f>VLOOKUP(Tabla1[[#This Row],[PAGO DIA]],DIAS!A:M,12,0)</f>
        <v>46379</v>
      </c>
      <c r="AD17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3" spans="1:30">
      <c r="A1703" s="3">
        <v>12407</v>
      </c>
      <c r="B1703" s="3" t="s">
        <v>510</v>
      </c>
      <c r="C1703" s="3"/>
      <c r="D1703" s="3" t="s">
        <v>2189</v>
      </c>
      <c r="E1703" s="3"/>
      <c r="F1703" s="42" t="s">
        <v>562</v>
      </c>
      <c r="G1703" s="3"/>
      <c r="H1703" s="6">
        <v>0</v>
      </c>
      <c r="I1703" s="41">
        <f>VLOOKUP(Tabla1[[#This Row],[PAGO DIA]],DIAS!A:B,2,0)</f>
        <v>46078</v>
      </c>
      <c r="J1703" s="6">
        <v>0</v>
      </c>
      <c r="K1703" s="43">
        <f>VLOOKUP(Tabla1[[#This Row],[PAGO DIA]],DIAS!A:C,3,0)</f>
        <v>46105</v>
      </c>
      <c r="L1703" s="6">
        <v>0</v>
      </c>
      <c r="M1703" s="41">
        <f>VLOOKUP(Tabla1[[#This Row],[PAGO DIA]],DIAS!A:D,4,0)</f>
        <v>46140</v>
      </c>
      <c r="N1703" s="6">
        <v>0</v>
      </c>
      <c r="O1703" s="43">
        <f>VLOOKUP(Tabla1[[#This Row],[PAGO DIA]],DIAS!A:E,5,0)</f>
        <v>46168</v>
      </c>
      <c r="P1703" s="6">
        <v>0</v>
      </c>
      <c r="Q1703" s="43">
        <f>VLOOKUP(Tabla1[[#This Row],[PAGO DIA]],DIAS!A:F,6,0)</f>
        <v>46196</v>
      </c>
      <c r="R1703" s="6">
        <v>0</v>
      </c>
      <c r="S1703" s="43">
        <f>VLOOKUP(Tabla1[[#This Row],[PAGO DIA]],DIAS!A:G,7,0)</f>
        <v>46231</v>
      </c>
      <c r="T1703" s="6">
        <v>0</v>
      </c>
      <c r="U1703" s="43">
        <f>VLOOKUP(Tabla1[[#This Row],[PAGO DIA]],DIAS!A:H,8,0)</f>
        <v>46259</v>
      </c>
      <c r="V1703" s="6">
        <v>0</v>
      </c>
      <c r="W1703" s="43">
        <f>VLOOKUP(Tabla1[[#This Row],[PAGO DIA]],DIAS!A:I,9,0)</f>
        <v>46287</v>
      </c>
      <c r="X1703" s="6">
        <v>0</v>
      </c>
      <c r="Y1703" s="43">
        <f>VLOOKUP(Tabla1[[#This Row],[PAGO DIA]],DIAS!A:J,10,0)</f>
        <v>46322</v>
      </c>
      <c r="Z1703" s="6">
        <v>0</v>
      </c>
      <c r="AA1703" s="43">
        <f>VLOOKUP(Tabla1[[#This Row],[PAGO DIA]],DIAS!A:K,11,0)</f>
        <v>46350</v>
      </c>
      <c r="AB1703" s="6">
        <v>0</v>
      </c>
      <c r="AC1703" s="43">
        <f>VLOOKUP(Tabla1[[#This Row],[PAGO DIA]],DIAS!A:M,12,0)</f>
        <v>46379</v>
      </c>
      <c r="AD17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4" spans="1:30">
      <c r="A1704" s="3">
        <v>12408</v>
      </c>
      <c r="B1704" s="3" t="s">
        <v>510</v>
      </c>
      <c r="C1704" s="3"/>
      <c r="D1704" s="3" t="s">
        <v>2190</v>
      </c>
      <c r="E1704" s="3"/>
      <c r="F1704" s="42" t="s">
        <v>562</v>
      </c>
      <c r="G1704" s="3"/>
      <c r="H1704" s="6">
        <v>0</v>
      </c>
      <c r="I1704" s="41">
        <f>VLOOKUP(Tabla1[[#This Row],[PAGO DIA]],DIAS!A:B,2,0)</f>
        <v>46078</v>
      </c>
      <c r="J1704" s="6">
        <v>0</v>
      </c>
      <c r="K1704" s="43">
        <f>VLOOKUP(Tabla1[[#This Row],[PAGO DIA]],DIAS!A:C,3,0)</f>
        <v>46105</v>
      </c>
      <c r="L1704" s="6">
        <v>0</v>
      </c>
      <c r="M1704" s="41">
        <f>VLOOKUP(Tabla1[[#This Row],[PAGO DIA]],DIAS!A:D,4,0)</f>
        <v>46140</v>
      </c>
      <c r="N1704" s="6">
        <v>0</v>
      </c>
      <c r="O1704" s="43">
        <f>VLOOKUP(Tabla1[[#This Row],[PAGO DIA]],DIAS!A:E,5,0)</f>
        <v>46168</v>
      </c>
      <c r="P1704" s="6">
        <v>0</v>
      </c>
      <c r="Q1704" s="43">
        <f>VLOOKUP(Tabla1[[#This Row],[PAGO DIA]],DIAS!A:F,6,0)</f>
        <v>46196</v>
      </c>
      <c r="R1704" s="6">
        <v>0</v>
      </c>
      <c r="S1704" s="43">
        <f>VLOOKUP(Tabla1[[#This Row],[PAGO DIA]],DIAS!A:G,7,0)</f>
        <v>46231</v>
      </c>
      <c r="T1704" s="6">
        <v>0</v>
      </c>
      <c r="U1704" s="43">
        <f>VLOOKUP(Tabla1[[#This Row],[PAGO DIA]],DIAS!A:H,8,0)</f>
        <v>46259</v>
      </c>
      <c r="V1704" s="6">
        <v>0</v>
      </c>
      <c r="W1704" s="43">
        <f>VLOOKUP(Tabla1[[#This Row],[PAGO DIA]],DIAS!A:I,9,0)</f>
        <v>46287</v>
      </c>
      <c r="X1704" s="6">
        <v>0</v>
      </c>
      <c r="Y1704" s="43">
        <f>VLOOKUP(Tabla1[[#This Row],[PAGO DIA]],DIAS!A:J,10,0)</f>
        <v>46322</v>
      </c>
      <c r="Z1704" s="6">
        <v>0</v>
      </c>
      <c r="AA1704" s="43">
        <f>VLOOKUP(Tabla1[[#This Row],[PAGO DIA]],DIAS!A:K,11,0)</f>
        <v>46350</v>
      </c>
      <c r="AB1704" s="6">
        <v>0</v>
      </c>
      <c r="AC1704" s="43">
        <f>VLOOKUP(Tabla1[[#This Row],[PAGO DIA]],DIAS!A:M,12,0)</f>
        <v>46379</v>
      </c>
      <c r="AD17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5" spans="1:30">
      <c r="A1705" s="3">
        <v>12409</v>
      </c>
      <c r="B1705" s="3" t="s">
        <v>510</v>
      </c>
      <c r="C1705" s="3"/>
      <c r="D1705" s="3" t="s">
        <v>2191</v>
      </c>
      <c r="E1705" s="3"/>
      <c r="F1705" s="42" t="s">
        <v>562</v>
      </c>
      <c r="G1705" s="3"/>
      <c r="H1705" s="6">
        <v>0</v>
      </c>
      <c r="I1705" s="41">
        <f>VLOOKUP(Tabla1[[#This Row],[PAGO DIA]],DIAS!A:B,2,0)</f>
        <v>46078</v>
      </c>
      <c r="J1705" s="6">
        <v>0</v>
      </c>
      <c r="K1705" s="43">
        <f>VLOOKUP(Tabla1[[#This Row],[PAGO DIA]],DIAS!A:C,3,0)</f>
        <v>46105</v>
      </c>
      <c r="L1705" s="6">
        <v>0</v>
      </c>
      <c r="M1705" s="41">
        <f>VLOOKUP(Tabla1[[#This Row],[PAGO DIA]],DIAS!A:D,4,0)</f>
        <v>46140</v>
      </c>
      <c r="N1705" s="6">
        <v>0</v>
      </c>
      <c r="O1705" s="43">
        <f>VLOOKUP(Tabla1[[#This Row],[PAGO DIA]],DIAS!A:E,5,0)</f>
        <v>46168</v>
      </c>
      <c r="P1705" s="6">
        <v>0</v>
      </c>
      <c r="Q1705" s="43">
        <f>VLOOKUP(Tabla1[[#This Row],[PAGO DIA]],DIAS!A:F,6,0)</f>
        <v>46196</v>
      </c>
      <c r="R1705" s="6">
        <v>0</v>
      </c>
      <c r="S1705" s="43">
        <f>VLOOKUP(Tabla1[[#This Row],[PAGO DIA]],DIAS!A:G,7,0)</f>
        <v>46231</v>
      </c>
      <c r="T1705" s="6">
        <v>0</v>
      </c>
      <c r="U1705" s="43">
        <f>VLOOKUP(Tabla1[[#This Row],[PAGO DIA]],DIAS!A:H,8,0)</f>
        <v>46259</v>
      </c>
      <c r="V1705" s="6">
        <v>0</v>
      </c>
      <c r="W1705" s="43">
        <f>VLOOKUP(Tabla1[[#This Row],[PAGO DIA]],DIAS!A:I,9,0)</f>
        <v>46287</v>
      </c>
      <c r="X1705" s="6">
        <v>0</v>
      </c>
      <c r="Y1705" s="43">
        <f>VLOOKUP(Tabla1[[#This Row],[PAGO DIA]],DIAS!A:J,10,0)</f>
        <v>46322</v>
      </c>
      <c r="Z1705" s="6">
        <v>0</v>
      </c>
      <c r="AA1705" s="43">
        <f>VLOOKUP(Tabla1[[#This Row],[PAGO DIA]],DIAS!A:K,11,0)</f>
        <v>46350</v>
      </c>
      <c r="AB1705" s="6">
        <v>0</v>
      </c>
      <c r="AC1705" s="43">
        <f>VLOOKUP(Tabla1[[#This Row],[PAGO DIA]],DIAS!A:M,12,0)</f>
        <v>46379</v>
      </c>
      <c r="AD17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6" spans="1:30">
      <c r="A1706" s="3">
        <v>12410</v>
      </c>
      <c r="B1706" s="3" t="s">
        <v>510</v>
      </c>
      <c r="C1706" s="3"/>
      <c r="D1706" s="3" t="s">
        <v>2192</v>
      </c>
      <c r="E1706" s="3"/>
      <c r="F1706" s="42" t="s">
        <v>562</v>
      </c>
      <c r="G1706" s="3"/>
      <c r="H1706" s="6">
        <v>0</v>
      </c>
      <c r="I1706" s="41">
        <f>VLOOKUP(Tabla1[[#This Row],[PAGO DIA]],DIAS!A:B,2,0)</f>
        <v>46078</v>
      </c>
      <c r="J1706" s="6">
        <v>0</v>
      </c>
      <c r="K1706" s="43">
        <f>VLOOKUP(Tabla1[[#This Row],[PAGO DIA]],DIAS!A:C,3,0)</f>
        <v>46105</v>
      </c>
      <c r="L1706" s="6">
        <v>0</v>
      </c>
      <c r="M1706" s="41">
        <f>VLOOKUP(Tabla1[[#This Row],[PAGO DIA]],DIAS!A:D,4,0)</f>
        <v>46140</v>
      </c>
      <c r="N1706" s="6">
        <v>0</v>
      </c>
      <c r="O1706" s="43">
        <f>VLOOKUP(Tabla1[[#This Row],[PAGO DIA]],DIAS!A:E,5,0)</f>
        <v>46168</v>
      </c>
      <c r="P1706" s="6">
        <v>0</v>
      </c>
      <c r="Q1706" s="43">
        <f>VLOOKUP(Tabla1[[#This Row],[PAGO DIA]],DIAS!A:F,6,0)</f>
        <v>46196</v>
      </c>
      <c r="R1706" s="6">
        <v>0</v>
      </c>
      <c r="S1706" s="43">
        <f>VLOOKUP(Tabla1[[#This Row],[PAGO DIA]],DIAS!A:G,7,0)</f>
        <v>46231</v>
      </c>
      <c r="T1706" s="6">
        <v>0</v>
      </c>
      <c r="U1706" s="43">
        <f>VLOOKUP(Tabla1[[#This Row],[PAGO DIA]],DIAS!A:H,8,0)</f>
        <v>46259</v>
      </c>
      <c r="V1706" s="6">
        <v>0</v>
      </c>
      <c r="W1706" s="43">
        <f>VLOOKUP(Tabla1[[#This Row],[PAGO DIA]],DIAS!A:I,9,0)</f>
        <v>46287</v>
      </c>
      <c r="X1706" s="6">
        <v>0</v>
      </c>
      <c r="Y1706" s="43">
        <f>VLOOKUP(Tabla1[[#This Row],[PAGO DIA]],DIAS!A:J,10,0)</f>
        <v>46322</v>
      </c>
      <c r="Z1706" s="6">
        <v>0</v>
      </c>
      <c r="AA1706" s="43">
        <f>VLOOKUP(Tabla1[[#This Row],[PAGO DIA]],DIAS!A:K,11,0)</f>
        <v>46350</v>
      </c>
      <c r="AB1706" s="6">
        <v>0</v>
      </c>
      <c r="AC1706" s="43">
        <f>VLOOKUP(Tabla1[[#This Row],[PAGO DIA]],DIAS!A:M,12,0)</f>
        <v>46379</v>
      </c>
      <c r="AD17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7" spans="1:30">
      <c r="A1707" s="3">
        <v>12411</v>
      </c>
      <c r="B1707" s="3" t="s">
        <v>510</v>
      </c>
      <c r="C1707" s="3"/>
      <c r="D1707" s="3" t="s">
        <v>2193</v>
      </c>
      <c r="E1707" s="3"/>
      <c r="F1707" s="42" t="s">
        <v>562</v>
      </c>
      <c r="G1707" s="3"/>
      <c r="H1707" s="6">
        <v>0</v>
      </c>
      <c r="I1707" s="41">
        <f>VLOOKUP(Tabla1[[#This Row],[PAGO DIA]],DIAS!A:B,2,0)</f>
        <v>46078</v>
      </c>
      <c r="J1707" s="6">
        <v>0</v>
      </c>
      <c r="K1707" s="43">
        <f>VLOOKUP(Tabla1[[#This Row],[PAGO DIA]],DIAS!A:C,3,0)</f>
        <v>46105</v>
      </c>
      <c r="L1707" s="6">
        <v>0</v>
      </c>
      <c r="M1707" s="41">
        <f>VLOOKUP(Tabla1[[#This Row],[PAGO DIA]],DIAS!A:D,4,0)</f>
        <v>46140</v>
      </c>
      <c r="N1707" s="6">
        <v>0</v>
      </c>
      <c r="O1707" s="43">
        <f>VLOOKUP(Tabla1[[#This Row],[PAGO DIA]],DIAS!A:E,5,0)</f>
        <v>46168</v>
      </c>
      <c r="P1707" s="6">
        <v>0</v>
      </c>
      <c r="Q1707" s="43">
        <f>VLOOKUP(Tabla1[[#This Row],[PAGO DIA]],DIAS!A:F,6,0)</f>
        <v>46196</v>
      </c>
      <c r="R1707" s="6">
        <v>0</v>
      </c>
      <c r="S1707" s="43">
        <f>VLOOKUP(Tabla1[[#This Row],[PAGO DIA]],DIAS!A:G,7,0)</f>
        <v>46231</v>
      </c>
      <c r="T1707" s="6">
        <v>0</v>
      </c>
      <c r="U1707" s="43">
        <f>VLOOKUP(Tabla1[[#This Row],[PAGO DIA]],DIAS!A:H,8,0)</f>
        <v>46259</v>
      </c>
      <c r="V1707" s="6">
        <v>0</v>
      </c>
      <c r="W1707" s="43">
        <f>VLOOKUP(Tabla1[[#This Row],[PAGO DIA]],DIAS!A:I,9,0)</f>
        <v>46287</v>
      </c>
      <c r="X1707" s="6">
        <v>0</v>
      </c>
      <c r="Y1707" s="43">
        <f>VLOOKUP(Tabla1[[#This Row],[PAGO DIA]],DIAS!A:J,10,0)</f>
        <v>46322</v>
      </c>
      <c r="Z1707" s="6">
        <v>0</v>
      </c>
      <c r="AA1707" s="43">
        <f>VLOOKUP(Tabla1[[#This Row],[PAGO DIA]],DIAS!A:K,11,0)</f>
        <v>46350</v>
      </c>
      <c r="AB1707" s="6">
        <v>0</v>
      </c>
      <c r="AC1707" s="43">
        <f>VLOOKUP(Tabla1[[#This Row],[PAGO DIA]],DIAS!A:M,12,0)</f>
        <v>46379</v>
      </c>
      <c r="AD17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8" spans="1:30">
      <c r="A1708" s="3">
        <v>12412</v>
      </c>
      <c r="B1708" s="3" t="s">
        <v>510</v>
      </c>
      <c r="C1708" s="3"/>
      <c r="D1708" s="3" t="s">
        <v>2194</v>
      </c>
      <c r="E1708" s="3"/>
      <c r="F1708" s="42" t="s">
        <v>562</v>
      </c>
      <c r="G1708" s="3"/>
      <c r="H1708" s="6">
        <v>0</v>
      </c>
      <c r="I1708" s="41">
        <f>VLOOKUP(Tabla1[[#This Row],[PAGO DIA]],DIAS!A:B,2,0)</f>
        <v>46078</v>
      </c>
      <c r="J1708" s="6">
        <v>0</v>
      </c>
      <c r="K1708" s="43">
        <f>VLOOKUP(Tabla1[[#This Row],[PAGO DIA]],DIAS!A:C,3,0)</f>
        <v>46105</v>
      </c>
      <c r="L1708" s="6">
        <v>0</v>
      </c>
      <c r="M1708" s="41">
        <f>VLOOKUP(Tabla1[[#This Row],[PAGO DIA]],DIAS!A:D,4,0)</f>
        <v>46140</v>
      </c>
      <c r="N1708" s="6">
        <v>0</v>
      </c>
      <c r="O1708" s="43">
        <f>VLOOKUP(Tabla1[[#This Row],[PAGO DIA]],DIAS!A:E,5,0)</f>
        <v>46168</v>
      </c>
      <c r="P1708" s="6">
        <v>0</v>
      </c>
      <c r="Q1708" s="43">
        <f>VLOOKUP(Tabla1[[#This Row],[PAGO DIA]],DIAS!A:F,6,0)</f>
        <v>46196</v>
      </c>
      <c r="R1708" s="6">
        <v>0</v>
      </c>
      <c r="S1708" s="43">
        <f>VLOOKUP(Tabla1[[#This Row],[PAGO DIA]],DIAS!A:G,7,0)</f>
        <v>46231</v>
      </c>
      <c r="T1708" s="6">
        <v>0</v>
      </c>
      <c r="U1708" s="43">
        <f>VLOOKUP(Tabla1[[#This Row],[PAGO DIA]],DIAS!A:H,8,0)</f>
        <v>46259</v>
      </c>
      <c r="V1708" s="6">
        <v>0</v>
      </c>
      <c r="W1708" s="43">
        <f>VLOOKUP(Tabla1[[#This Row],[PAGO DIA]],DIAS!A:I,9,0)</f>
        <v>46287</v>
      </c>
      <c r="X1708" s="6">
        <v>0</v>
      </c>
      <c r="Y1708" s="43">
        <f>VLOOKUP(Tabla1[[#This Row],[PAGO DIA]],DIAS!A:J,10,0)</f>
        <v>46322</v>
      </c>
      <c r="Z1708" s="6">
        <v>0</v>
      </c>
      <c r="AA1708" s="43">
        <f>VLOOKUP(Tabla1[[#This Row],[PAGO DIA]],DIAS!A:K,11,0)</f>
        <v>46350</v>
      </c>
      <c r="AB1708" s="6">
        <v>0</v>
      </c>
      <c r="AC1708" s="43">
        <f>VLOOKUP(Tabla1[[#This Row],[PAGO DIA]],DIAS!A:M,12,0)</f>
        <v>46379</v>
      </c>
      <c r="AD17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09" spans="1:30">
      <c r="A1709" s="3">
        <v>12413</v>
      </c>
      <c r="B1709" s="3" t="s">
        <v>510</v>
      </c>
      <c r="C1709" s="3"/>
      <c r="D1709" s="3" t="s">
        <v>2195</v>
      </c>
      <c r="E1709" s="3"/>
      <c r="F1709" s="42" t="s">
        <v>562</v>
      </c>
      <c r="G1709" s="3"/>
      <c r="H1709" s="6">
        <v>0</v>
      </c>
      <c r="I1709" s="41">
        <f>VLOOKUP(Tabla1[[#This Row],[PAGO DIA]],DIAS!A:B,2,0)</f>
        <v>46078</v>
      </c>
      <c r="J1709" s="6">
        <v>0</v>
      </c>
      <c r="K1709" s="43">
        <f>VLOOKUP(Tabla1[[#This Row],[PAGO DIA]],DIAS!A:C,3,0)</f>
        <v>46105</v>
      </c>
      <c r="L1709" s="6">
        <v>0</v>
      </c>
      <c r="M1709" s="41">
        <f>VLOOKUP(Tabla1[[#This Row],[PAGO DIA]],DIAS!A:D,4,0)</f>
        <v>46140</v>
      </c>
      <c r="N1709" s="6">
        <v>0</v>
      </c>
      <c r="O1709" s="43">
        <f>VLOOKUP(Tabla1[[#This Row],[PAGO DIA]],DIAS!A:E,5,0)</f>
        <v>46168</v>
      </c>
      <c r="P1709" s="6">
        <v>0</v>
      </c>
      <c r="Q1709" s="43">
        <f>VLOOKUP(Tabla1[[#This Row],[PAGO DIA]],DIAS!A:F,6,0)</f>
        <v>46196</v>
      </c>
      <c r="R1709" s="6">
        <v>0</v>
      </c>
      <c r="S1709" s="43">
        <f>VLOOKUP(Tabla1[[#This Row],[PAGO DIA]],DIAS!A:G,7,0)</f>
        <v>46231</v>
      </c>
      <c r="T1709" s="6">
        <v>0</v>
      </c>
      <c r="U1709" s="43">
        <f>VLOOKUP(Tabla1[[#This Row],[PAGO DIA]],DIAS!A:H,8,0)</f>
        <v>46259</v>
      </c>
      <c r="V1709" s="6">
        <v>0</v>
      </c>
      <c r="W1709" s="43">
        <f>VLOOKUP(Tabla1[[#This Row],[PAGO DIA]],DIAS!A:I,9,0)</f>
        <v>46287</v>
      </c>
      <c r="X1709" s="6">
        <v>0</v>
      </c>
      <c r="Y1709" s="43">
        <f>VLOOKUP(Tabla1[[#This Row],[PAGO DIA]],DIAS!A:J,10,0)</f>
        <v>46322</v>
      </c>
      <c r="Z1709" s="6">
        <v>0</v>
      </c>
      <c r="AA1709" s="43">
        <f>VLOOKUP(Tabla1[[#This Row],[PAGO DIA]],DIAS!A:K,11,0)</f>
        <v>46350</v>
      </c>
      <c r="AB1709" s="6">
        <v>0</v>
      </c>
      <c r="AC1709" s="43">
        <f>VLOOKUP(Tabla1[[#This Row],[PAGO DIA]],DIAS!A:M,12,0)</f>
        <v>46379</v>
      </c>
      <c r="AD17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0" spans="1:30">
      <c r="A1710" s="3">
        <v>12414</v>
      </c>
      <c r="B1710" s="3" t="s">
        <v>510</v>
      </c>
      <c r="C1710" s="3"/>
      <c r="D1710" s="3" t="s">
        <v>2196</v>
      </c>
      <c r="E1710" s="3"/>
      <c r="F1710" s="42" t="s">
        <v>562</v>
      </c>
      <c r="G1710" s="3"/>
      <c r="H1710" s="6">
        <v>0</v>
      </c>
      <c r="I1710" s="41">
        <f>VLOOKUP(Tabla1[[#This Row],[PAGO DIA]],DIAS!A:B,2,0)</f>
        <v>46078</v>
      </c>
      <c r="J1710" s="6">
        <v>0</v>
      </c>
      <c r="K1710" s="43">
        <f>VLOOKUP(Tabla1[[#This Row],[PAGO DIA]],DIAS!A:C,3,0)</f>
        <v>46105</v>
      </c>
      <c r="L1710" s="6">
        <v>0</v>
      </c>
      <c r="M1710" s="41">
        <f>VLOOKUP(Tabla1[[#This Row],[PAGO DIA]],DIAS!A:D,4,0)</f>
        <v>46140</v>
      </c>
      <c r="N1710" s="6">
        <v>0</v>
      </c>
      <c r="O1710" s="43">
        <f>VLOOKUP(Tabla1[[#This Row],[PAGO DIA]],DIAS!A:E,5,0)</f>
        <v>46168</v>
      </c>
      <c r="P1710" s="6">
        <v>0</v>
      </c>
      <c r="Q1710" s="43">
        <f>VLOOKUP(Tabla1[[#This Row],[PAGO DIA]],DIAS!A:F,6,0)</f>
        <v>46196</v>
      </c>
      <c r="R1710" s="6">
        <v>0</v>
      </c>
      <c r="S1710" s="43">
        <f>VLOOKUP(Tabla1[[#This Row],[PAGO DIA]],DIAS!A:G,7,0)</f>
        <v>46231</v>
      </c>
      <c r="T1710" s="6">
        <v>0</v>
      </c>
      <c r="U1710" s="43">
        <f>VLOOKUP(Tabla1[[#This Row],[PAGO DIA]],DIAS!A:H,8,0)</f>
        <v>46259</v>
      </c>
      <c r="V1710" s="6">
        <v>0</v>
      </c>
      <c r="W1710" s="43">
        <f>VLOOKUP(Tabla1[[#This Row],[PAGO DIA]],DIAS!A:I,9,0)</f>
        <v>46287</v>
      </c>
      <c r="X1710" s="6">
        <v>0</v>
      </c>
      <c r="Y1710" s="43">
        <f>VLOOKUP(Tabla1[[#This Row],[PAGO DIA]],DIAS!A:J,10,0)</f>
        <v>46322</v>
      </c>
      <c r="Z1710" s="6">
        <v>0</v>
      </c>
      <c r="AA1710" s="43">
        <f>VLOOKUP(Tabla1[[#This Row],[PAGO DIA]],DIAS!A:K,11,0)</f>
        <v>46350</v>
      </c>
      <c r="AB1710" s="6">
        <v>0</v>
      </c>
      <c r="AC1710" s="43">
        <f>VLOOKUP(Tabla1[[#This Row],[PAGO DIA]],DIAS!A:M,12,0)</f>
        <v>46379</v>
      </c>
      <c r="AD17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1" spans="1:30">
      <c r="A1711" s="3">
        <v>12415</v>
      </c>
      <c r="B1711" s="3" t="s">
        <v>510</v>
      </c>
      <c r="C1711" s="3"/>
      <c r="D1711" s="3" t="s">
        <v>2197</v>
      </c>
      <c r="E1711" s="3"/>
      <c r="F1711" s="42" t="s">
        <v>562</v>
      </c>
      <c r="G1711" s="3"/>
      <c r="H1711" s="6">
        <v>0</v>
      </c>
      <c r="I1711" s="41">
        <f>VLOOKUP(Tabla1[[#This Row],[PAGO DIA]],DIAS!A:B,2,0)</f>
        <v>46078</v>
      </c>
      <c r="J1711" s="6">
        <v>0</v>
      </c>
      <c r="K1711" s="43">
        <f>VLOOKUP(Tabla1[[#This Row],[PAGO DIA]],DIAS!A:C,3,0)</f>
        <v>46105</v>
      </c>
      <c r="L1711" s="6">
        <v>0</v>
      </c>
      <c r="M1711" s="41">
        <f>VLOOKUP(Tabla1[[#This Row],[PAGO DIA]],DIAS!A:D,4,0)</f>
        <v>46140</v>
      </c>
      <c r="N1711" s="6">
        <v>0</v>
      </c>
      <c r="O1711" s="43">
        <f>VLOOKUP(Tabla1[[#This Row],[PAGO DIA]],DIAS!A:E,5,0)</f>
        <v>46168</v>
      </c>
      <c r="P1711" s="6">
        <v>0</v>
      </c>
      <c r="Q1711" s="43">
        <f>VLOOKUP(Tabla1[[#This Row],[PAGO DIA]],DIAS!A:F,6,0)</f>
        <v>46196</v>
      </c>
      <c r="R1711" s="6">
        <v>0</v>
      </c>
      <c r="S1711" s="43">
        <f>VLOOKUP(Tabla1[[#This Row],[PAGO DIA]],DIAS!A:G,7,0)</f>
        <v>46231</v>
      </c>
      <c r="T1711" s="6">
        <v>0</v>
      </c>
      <c r="U1711" s="43">
        <f>VLOOKUP(Tabla1[[#This Row],[PAGO DIA]],DIAS!A:H,8,0)</f>
        <v>46259</v>
      </c>
      <c r="V1711" s="6">
        <v>0</v>
      </c>
      <c r="W1711" s="43">
        <f>VLOOKUP(Tabla1[[#This Row],[PAGO DIA]],DIAS!A:I,9,0)</f>
        <v>46287</v>
      </c>
      <c r="X1711" s="6">
        <v>0</v>
      </c>
      <c r="Y1711" s="43">
        <f>VLOOKUP(Tabla1[[#This Row],[PAGO DIA]],DIAS!A:J,10,0)</f>
        <v>46322</v>
      </c>
      <c r="Z1711" s="6">
        <v>0</v>
      </c>
      <c r="AA1711" s="43">
        <f>VLOOKUP(Tabla1[[#This Row],[PAGO DIA]],DIAS!A:K,11,0)</f>
        <v>46350</v>
      </c>
      <c r="AB1711" s="6">
        <v>0</v>
      </c>
      <c r="AC1711" s="43">
        <f>VLOOKUP(Tabla1[[#This Row],[PAGO DIA]],DIAS!A:M,12,0)</f>
        <v>46379</v>
      </c>
      <c r="AD17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2" spans="1:30">
      <c r="A1712" s="3">
        <v>12416</v>
      </c>
      <c r="B1712" s="3" t="s">
        <v>510</v>
      </c>
      <c r="C1712" s="3"/>
      <c r="D1712" s="3" t="s">
        <v>2198</v>
      </c>
      <c r="E1712" s="3"/>
      <c r="F1712" s="42" t="s">
        <v>562</v>
      </c>
      <c r="G1712" s="3"/>
      <c r="H1712" s="6">
        <v>0</v>
      </c>
      <c r="I1712" s="41">
        <f>VLOOKUP(Tabla1[[#This Row],[PAGO DIA]],DIAS!A:B,2,0)</f>
        <v>46078</v>
      </c>
      <c r="J1712" s="6">
        <v>0</v>
      </c>
      <c r="K1712" s="43">
        <f>VLOOKUP(Tabla1[[#This Row],[PAGO DIA]],DIAS!A:C,3,0)</f>
        <v>46105</v>
      </c>
      <c r="L1712" s="6">
        <v>0</v>
      </c>
      <c r="M1712" s="41">
        <f>VLOOKUP(Tabla1[[#This Row],[PAGO DIA]],DIAS!A:D,4,0)</f>
        <v>46140</v>
      </c>
      <c r="N1712" s="6">
        <v>0</v>
      </c>
      <c r="O1712" s="43">
        <f>VLOOKUP(Tabla1[[#This Row],[PAGO DIA]],DIAS!A:E,5,0)</f>
        <v>46168</v>
      </c>
      <c r="P1712" s="6">
        <v>0</v>
      </c>
      <c r="Q1712" s="43">
        <f>VLOOKUP(Tabla1[[#This Row],[PAGO DIA]],DIAS!A:F,6,0)</f>
        <v>46196</v>
      </c>
      <c r="R1712" s="6">
        <v>0</v>
      </c>
      <c r="S1712" s="43">
        <f>VLOOKUP(Tabla1[[#This Row],[PAGO DIA]],DIAS!A:G,7,0)</f>
        <v>46231</v>
      </c>
      <c r="T1712" s="6">
        <v>0</v>
      </c>
      <c r="U1712" s="43">
        <f>VLOOKUP(Tabla1[[#This Row],[PAGO DIA]],DIAS!A:H,8,0)</f>
        <v>46259</v>
      </c>
      <c r="V1712" s="6">
        <v>0</v>
      </c>
      <c r="W1712" s="43">
        <f>VLOOKUP(Tabla1[[#This Row],[PAGO DIA]],DIAS!A:I,9,0)</f>
        <v>46287</v>
      </c>
      <c r="X1712" s="6">
        <v>0</v>
      </c>
      <c r="Y1712" s="43">
        <f>VLOOKUP(Tabla1[[#This Row],[PAGO DIA]],DIAS!A:J,10,0)</f>
        <v>46322</v>
      </c>
      <c r="Z1712" s="6">
        <v>0</v>
      </c>
      <c r="AA1712" s="43">
        <f>VLOOKUP(Tabla1[[#This Row],[PAGO DIA]],DIAS!A:K,11,0)</f>
        <v>46350</v>
      </c>
      <c r="AB1712" s="6">
        <v>0</v>
      </c>
      <c r="AC1712" s="43">
        <f>VLOOKUP(Tabla1[[#This Row],[PAGO DIA]],DIAS!A:M,12,0)</f>
        <v>46379</v>
      </c>
      <c r="AD17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3" spans="1:30">
      <c r="A1713" s="3">
        <v>12417</v>
      </c>
      <c r="B1713" s="3" t="s">
        <v>510</v>
      </c>
      <c r="C1713" s="3"/>
      <c r="D1713" s="3" t="s">
        <v>2199</v>
      </c>
      <c r="E1713" s="3"/>
      <c r="F1713" s="42" t="s">
        <v>562</v>
      </c>
      <c r="G1713" s="3"/>
      <c r="H1713" s="6">
        <v>0</v>
      </c>
      <c r="I1713" s="41">
        <f>VLOOKUP(Tabla1[[#This Row],[PAGO DIA]],DIAS!A:B,2,0)</f>
        <v>46078</v>
      </c>
      <c r="J1713" s="6">
        <v>0</v>
      </c>
      <c r="K1713" s="43">
        <f>VLOOKUP(Tabla1[[#This Row],[PAGO DIA]],DIAS!A:C,3,0)</f>
        <v>46105</v>
      </c>
      <c r="L1713" s="6">
        <v>0</v>
      </c>
      <c r="M1713" s="41">
        <f>VLOOKUP(Tabla1[[#This Row],[PAGO DIA]],DIAS!A:D,4,0)</f>
        <v>46140</v>
      </c>
      <c r="N1713" s="6">
        <v>0</v>
      </c>
      <c r="O1713" s="43">
        <f>VLOOKUP(Tabla1[[#This Row],[PAGO DIA]],DIAS!A:E,5,0)</f>
        <v>46168</v>
      </c>
      <c r="P1713" s="6">
        <v>0</v>
      </c>
      <c r="Q1713" s="43">
        <f>VLOOKUP(Tabla1[[#This Row],[PAGO DIA]],DIAS!A:F,6,0)</f>
        <v>46196</v>
      </c>
      <c r="R1713" s="6">
        <v>0</v>
      </c>
      <c r="S1713" s="43">
        <f>VLOOKUP(Tabla1[[#This Row],[PAGO DIA]],DIAS!A:G,7,0)</f>
        <v>46231</v>
      </c>
      <c r="T1713" s="6">
        <v>0</v>
      </c>
      <c r="U1713" s="43">
        <f>VLOOKUP(Tabla1[[#This Row],[PAGO DIA]],DIAS!A:H,8,0)</f>
        <v>46259</v>
      </c>
      <c r="V1713" s="6">
        <v>0</v>
      </c>
      <c r="W1713" s="43">
        <f>VLOOKUP(Tabla1[[#This Row],[PAGO DIA]],DIAS!A:I,9,0)</f>
        <v>46287</v>
      </c>
      <c r="X1713" s="6">
        <v>0</v>
      </c>
      <c r="Y1713" s="43">
        <f>VLOOKUP(Tabla1[[#This Row],[PAGO DIA]],DIAS!A:J,10,0)</f>
        <v>46322</v>
      </c>
      <c r="Z1713" s="6">
        <v>0</v>
      </c>
      <c r="AA1713" s="43">
        <f>VLOOKUP(Tabla1[[#This Row],[PAGO DIA]],DIAS!A:K,11,0)</f>
        <v>46350</v>
      </c>
      <c r="AB1713" s="6">
        <v>0</v>
      </c>
      <c r="AC1713" s="43">
        <f>VLOOKUP(Tabla1[[#This Row],[PAGO DIA]],DIAS!A:M,12,0)</f>
        <v>46379</v>
      </c>
      <c r="AD17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4" spans="1:30">
      <c r="A1714" s="3">
        <v>12418</v>
      </c>
      <c r="B1714" s="3" t="s">
        <v>510</v>
      </c>
      <c r="C1714" s="3"/>
      <c r="D1714" s="3" t="s">
        <v>2200</v>
      </c>
      <c r="E1714" s="3"/>
      <c r="F1714" s="42" t="s">
        <v>562</v>
      </c>
      <c r="G1714" s="3"/>
      <c r="H1714" s="6">
        <v>0</v>
      </c>
      <c r="I1714" s="41">
        <f>VLOOKUP(Tabla1[[#This Row],[PAGO DIA]],DIAS!A:B,2,0)</f>
        <v>46078</v>
      </c>
      <c r="J1714" s="6">
        <v>0</v>
      </c>
      <c r="K1714" s="43">
        <f>VLOOKUP(Tabla1[[#This Row],[PAGO DIA]],DIAS!A:C,3,0)</f>
        <v>46105</v>
      </c>
      <c r="L1714" s="6">
        <v>0</v>
      </c>
      <c r="M1714" s="41">
        <f>VLOOKUP(Tabla1[[#This Row],[PAGO DIA]],DIAS!A:D,4,0)</f>
        <v>46140</v>
      </c>
      <c r="N1714" s="6">
        <v>0</v>
      </c>
      <c r="O1714" s="43">
        <f>VLOOKUP(Tabla1[[#This Row],[PAGO DIA]],DIAS!A:E,5,0)</f>
        <v>46168</v>
      </c>
      <c r="P1714" s="6">
        <v>0</v>
      </c>
      <c r="Q1714" s="43">
        <f>VLOOKUP(Tabla1[[#This Row],[PAGO DIA]],DIAS!A:F,6,0)</f>
        <v>46196</v>
      </c>
      <c r="R1714" s="6">
        <v>0</v>
      </c>
      <c r="S1714" s="43">
        <f>VLOOKUP(Tabla1[[#This Row],[PAGO DIA]],DIAS!A:G,7,0)</f>
        <v>46231</v>
      </c>
      <c r="T1714" s="6">
        <v>0</v>
      </c>
      <c r="U1714" s="43">
        <f>VLOOKUP(Tabla1[[#This Row],[PAGO DIA]],DIAS!A:H,8,0)</f>
        <v>46259</v>
      </c>
      <c r="V1714" s="6">
        <v>0</v>
      </c>
      <c r="W1714" s="43">
        <f>VLOOKUP(Tabla1[[#This Row],[PAGO DIA]],DIAS!A:I,9,0)</f>
        <v>46287</v>
      </c>
      <c r="X1714" s="6">
        <v>0</v>
      </c>
      <c r="Y1714" s="43">
        <f>VLOOKUP(Tabla1[[#This Row],[PAGO DIA]],DIAS!A:J,10,0)</f>
        <v>46322</v>
      </c>
      <c r="Z1714" s="6">
        <v>0</v>
      </c>
      <c r="AA1714" s="43">
        <f>VLOOKUP(Tabla1[[#This Row],[PAGO DIA]],DIAS!A:K,11,0)</f>
        <v>46350</v>
      </c>
      <c r="AB1714" s="6">
        <v>0</v>
      </c>
      <c r="AC1714" s="43">
        <f>VLOOKUP(Tabla1[[#This Row],[PAGO DIA]],DIAS!A:M,12,0)</f>
        <v>46379</v>
      </c>
      <c r="AD17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5" spans="1:30">
      <c r="A1715" s="3">
        <v>12419</v>
      </c>
      <c r="B1715" s="3" t="s">
        <v>510</v>
      </c>
      <c r="C1715" s="3"/>
      <c r="D1715" s="3" t="s">
        <v>2201</v>
      </c>
      <c r="E1715" s="3"/>
      <c r="F1715" s="42" t="s">
        <v>562</v>
      </c>
      <c r="G1715" s="3"/>
      <c r="H1715" s="6">
        <v>0</v>
      </c>
      <c r="I1715" s="41">
        <f>VLOOKUP(Tabla1[[#This Row],[PAGO DIA]],DIAS!A:B,2,0)</f>
        <v>46078</v>
      </c>
      <c r="J1715" s="6">
        <v>0</v>
      </c>
      <c r="K1715" s="43">
        <f>VLOOKUP(Tabla1[[#This Row],[PAGO DIA]],DIAS!A:C,3,0)</f>
        <v>46105</v>
      </c>
      <c r="L1715" s="6">
        <v>0</v>
      </c>
      <c r="M1715" s="41">
        <f>VLOOKUP(Tabla1[[#This Row],[PAGO DIA]],DIAS!A:D,4,0)</f>
        <v>46140</v>
      </c>
      <c r="N1715" s="6">
        <v>0</v>
      </c>
      <c r="O1715" s="43">
        <f>VLOOKUP(Tabla1[[#This Row],[PAGO DIA]],DIAS!A:E,5,0)</f>
        <v>46168</v>
      </c>
      <c r="P1715" s="6">
        <v>0</v>
      </c>
      <c r="Q1715" s="43">
        <f>VLOOKUP(Tabla1[[#This Row],[PAGO DIA]],DIAS!A:F,6,0)</f>
        <v>46196</v>
      </c>
      <c r="R1715" s="6">
        <v>0</v>
      </c>
      <c r="S1715" s="43">
        <f>VLOOKUP(Tabla1[[#This Row],[PAGO DIA]],DIAS!A:G,7,0)</f>
        <v>46231</v>
      </c>
      <c r="T1715" s="6">
        <v>0</v>
      </c>
      <c r="U1715" s="43">
        <f>VLOOKUP(Tabla1[[#This Row],[PAGO DIA]],DIAS!A:H,8,0)</f>
        <v>46259</v>
      </c>
      <c r="V1715" s="6">
        <v>0</v>
      </c>
      <c r="W1715" s="43">
        <f>VLOOKUP(Tabla1[[#This Row],[PAGO DIA]],DIAS!A:I,9,0)</f>
        <v>46287</v>
      </c>
      <c r="X1715" s="6">
        <v>0</v>
      </c>
      <c r="Y1715" s="43">
        <f>VLOOKUP(Tabla1[[#This Row],[PAGO DIA]],DIAS!A:J,10,0)</f>
        <v>46322</v>
      </c>
      <c r="Z1715" s="6">
        <v>0</v>
      </c>
      <c r="AA1715" s="43">
        <f>VLOOKUP(Tabla1[[#This Row],[PAGO DIA]],DIAS!A:K,11,0)</f>
        <v>46350</v>
      </c>
      <c r="AB1715" s="6">
        <v>0</v>
      </c>
      <c r="AC1715" s="43">
        <f>VLOOKUP(Tabla1[[#This Row],[PAGO DIA]],DIAS!A:M,12,0)</f>
        <v>46379</v>
      </c>
      <c r="AD17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6" spans="1:30">
      <c r="A1716" s="3">
        <v>12420</v>
      </c>
      <c r="B1716" s="3" t="s">
        <v>510</v>
      </c>
      <c r="C1716" s="3"/>
      <c r="D1716" s="3" t="s">
        <v>2202</v>
      </c>
      <c r="E1716" s="3"/>
      <c r="F1716" s="42" t="s">
        <v>562</v>
      </c>
      <c r="G1716" s="3"/>
      <c r="H1716" s="6">
        <v>0</v>
      </c>
      <c r="I1716" s="41">
        <f>VLOOKUP(Tabla1[[#This Row],[PAGO DIA]],DIAS!A:B,2,0)</f>
        <v>46078</v>
      </c>
      <c r="J1716" s="6">
        <v>0</v>
      </c>
      <c r="K1716" s="43">
        <f>VLOOKUP(Tabla1[[#This Row],[PAGO DIA]],DIAS!A:C,3,0)</f>
        <v>46105</v>
      </c>
      <c r="L1716" s="6">
        <v>0</v>
      </c>
      <c r="M1716" s="41">
        <f>VLOOKUP(Tabla1[[#This Row],[PAGO DIA]],DIAS!A:D,4,0)</f>
        <v>46140</v>
      </c>
      <c r="N1716" s="6">
        <v>0</v>
      </c>
      <c r="O1716" s="43">
        <f>VLOOKUP(Tabla1[[#This Row],[PAGO DIA]],DIAS!A:E,5,0)</f>
        <v>46168</v>
      </c>
      <c r="P1716" s="6">
        <v>0</v>
      </c>
      <c r="Q1716" s="43">
        <f>VLOOKUP(Tabla1[[#This Row],[PAGO DIA]],DIAS!A:F,6,0)</f>
        <v>46196</v>
      </c>
      <c r="R1716" s="6">
        <v>0</v>
      </c>
      <c r="S1716" s="43">
        <f>VLOOKUP(Tabla1[[#This Row],[PAGO DIA]],DIAS!A:G,7,0)</f>
        <v>46231</v>
      </c>
      <c r="T1716" s="6">
        <v>0</v>
      </c>
      <c r="U1716" s="43">
        <f>VLOOKUP(Tabla1[[#This Row],[PAGO DIA]],DIAS!A:H,8,0)</f>
        <v>46259</v>
      </c>
      <c r="V1716" s="6">
        <v>0</v>
      </c>
      <c r="W1716" s="43">
        <f>VLOOKUP(Tabla1[[#This Row],[PAGO DIA]],DIAS!A:I,9,0)</f>
        <v>46287</v>
      </c>
      <c r="X1716" s="6">
        <v>0</v>
      </c>
      <c r="Y1716" s="43">
        <f>VLOOKUP(Tabla1[[#This Row],[PAGO DIA]],DIAS!A:J,10,0)</f>
        <v>46322</v>
      </c>
      <c r="Z1716" s="6">
        <v>0</v>
      </c>
      <c r="AA1716" s="43">
        <f>VLOOKUP(Tabla1[[#This Row],[PAGO DIA]],DIAS!A:K,11,0)</f>
        <v>46350</v>
      </c>
      <c r="AB1716" s="6">
        <v>0</v>
      </c>
      <c r="AC1716" s="43">
        <f>VLOOKUP(Tabla1[[#This Row],[PAGO DIA]],DIAS!A:M,12,0)</f>
        <v>46379</v>
      </c>
      <c r="AD17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7" spans="1:30">
      <c r="A1717" s="3">
        <v>12421</v>
      </c>
      <c r="B1717" s="3" t="s">
        <v>510</v>
      </c>
      <c r="C1717" s="3"/>
      <c r="D1717" s="3" t="s">
        <v>2203</v>
      </c>
      <c r="E1717" s="3"/>
      <c r="F1717" s="42" t="s">
        <v>562</v>
      </c>
      <c r="G1717" s="3"/>
      <c r="H1717" s="6">
        <v>0</v>
      </c>
      <c r="I1717" s="41">
        <f>VLOOKUP(Tabla1[[#This Row],[PAGO DIA]],DIAS!A:B,2,0)</f>
        <v>46078</v>
      </c>
      <c r="J1717" s="6">
        <v>0</v>
      </c>
      <c r="K1717" s="43">
        <f>VLOOKUP(Tabla1[[#This Row],[PAGO DIA]],DIAS!A:C,3,0)</f>
        <v>46105</v>
      </c>
      <c r="L1717" s="6">
        <v>0</v>
      </c>
      <c r="M1717" s="41">
        <f>VLOOKUP(Tabla1[[#This Row],[PAGO DIA]],DIAS!A:D,4,0)</f>
        <v>46140</v>
      </c>
      <c r="N1717" s="6">
        <v>0</v>
      </c>
      <c r="O1717" s="43">
        <f>VLOOKUP(Tabla1[[#This Row],[PAGO DIA]],DIAS!A:E,5,0)</f>
        <v>46168</v>
      </c>
      <c r="P1717" s="6">
        <v>0</v>
      </c>
      <c r="Q1717" s="43">
        <f>VLOOKUP(Tabla1[[#This Row],[PAGO DIA]],DIAS!A:F,6,0)</f>
        <v>46196</v>
      </c>
      <c r="R1717" s="6">
        <v>0</v>
      </c>
      <c r="S1717" s="43">
        <f>VLOOKUP(Tabla1[[#This Row],[PAGO DIA]],DIAS!A:G,7,0)</f>
        <v>46231</v>
      </c>
      <c r="T1717" s="6">
        <v>0</v>
      </c>
      <c r="U1717" s="43">
        <f>VLOOKUP(Tabla1[[#This Row],[PAGO DIA]],DIAS!A:H,8,0)</f>
        <v>46259</v>
      </c>
      <c r="V1717" s="6">
        <v>0</v>
      </c>
      <c r="W1717" s="43">
        <f>VLOOKUP(Tabla1[[#This Row],[PAGO DIA]],DIAS!A:I,9,0)</f>
        <v>46287</v>
      </c>
      <c r="X1717" s="6">
        <v>0</v>
      </c>
      <c r="Y1717" s="43">
        <f>VLOOKUP(Tabla1[[#This Row],[PAGO DIA]],DIAS!A:J,10,0)</f>
        <v>46322</v>
      </c>
      <c r="Z1717" s="6">
        <v>0</v>
      </c>
      <c r="AA1717" s="43">
        <f>VLOOKUP(Tabla1[[#This Row],[PAGO DIA]],DIAS!A:K,11,0)</f>
        <v>46350</v>
      </c>
      <c r="AB1717" s="6">
        <v>0</v>
      </c>
      <c r="AC1717" s="43">
        <f>VLOOKUP(Tabla1[[#This Row],[PAGO DIA]],DIAS!A:M,12,0)</f>
        <v>46379</v>
      </c>
      <c r="AD17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8" spans="1:30">
      <c r="A1718" s="3">
        <v>12422</v>
      </c>
      <c r="B1718" s="3" t="s">
        <v>510</v>
      </c>
      <c r="C1718" s="3"/>
      <c r="D1718" s="3" t="s">
        <v>2204</v>
      </c>
      <c r="E1718" s="3"/>
      <c r="F1718" s="42" t="s">
        <v>562</v>
      </c>
      <c r="G1718" s="3"/>
      <c r="H1718" s="6">
        <v>0</v>
      </c>
      <c r="I1718" s="41">
        <f>VLOOKUP(Tabla1[[#This Row],[PAGO DIA]],DIAS!A:B,2,0)</f>
        <v>46078</v>
      </c>
      <c r="J1718" s="6">
        <v>0</v>
      </c>
      <c r="K1718" s="43">
        <f>VLOOKUP(Tabla1[[#This Row],[PAGO DIA]],DIAS!A:C,3,0)</f>
        <v>46105</v>
      </c>
      <c r="L1718" s="6">
        <v>0</v>
      </c>
      <c r="M1718" s="41">
        <f>VLOOKUP(Tabla1[[#This Row],[PAGO DIA]],DIAS!A:D,4,0)</f>
        <v>46140</v>
      </c>
      <c r="N1718" s="6">
        <v>0</v>
      </c>
      <c r="O1718" s="43">
        <f>VLOOKUP(Tabla1[[#This Row],[PAGO DIA]],DIAS!A:E,5,0)</f>
        <v>46168</v>
      </c>
      <c r="P1718" s="6">
        <v>0</v>
      </c>
      <c r="Q1718" s="43">
        <f>VLOOKUP(Tabla1[[#This Row],[PAGO DIA]],DIAS!A:F,6,0)</f>
        <v>46196</v>
      </c>
      <c r="R1718" s="6">
        <v>0</v>
      </c>
      <c r="S1718" s="43">
        <f>VLOOKUP(Tabla1[[#This Row],[PAGO DIA]],DIAS!A:G,7,0)</f>
        <v>46231</v>
      </c>
      <c r="T1718" s="6">
        <v>0</v>
      </c>
      <c r="U1718" s="43">
        <f>VLOOKUP(Tabla1[[#This Row],[PAGO DIA]],DIAS!A:H,8,0)</f>
        <v>46259</v>
      </c>
      <c r="V1718" s="6">
        <v>0</v>
      </c>
      <c r="W1718" s="43">
        <f>VLOOKUP(Tabla1[[#This Row],[PAGO DIA]],DIAS!A:I,9,0)</f>
        <v>46287</v>
      </c>
      <c r="X1718" s="6">
        <v>0</v>
      </c>
      <c r="Y1718" s="43">
        <f>VLOOKUP(Tabla1[[#This Row],[PAGO DIA]],DIAS!A:J,10,0)</f>
        <v>46322</v>
      </c>
      <c r="Z1718" s="6">
        <v>0</v>
      </c>
      <c r="AA1718" s="43">
        <f>VLOOKUP(Tabla1[[#This Row],[PAGO DIA]],DIAS!A:K,11,0)</f>
        <v>46350</v>
      </c>
      <c r="AB1718" s="6">
        <v>0</v>
      </c>
      <c r="AC1718" s="43">
        <f>VLOOKUP(Tabla1[[#This Row],[PAGO DIA]],DIAS!A:M,12,0)</f>
        <v>46379</v>
      </c>
      <c r="AD17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19" spans="1:30">
      <c r="A1719" s="3">
        <v>12423</v>
      </c>
      <c r="B1719" s="3" t="s">
        <v>510</v>
      </c>
      <c r="C1719" s="3"/>
      <c r="D1719" s="3" t="s">
        <v>2205</v>
      </c>
      <c r="E1719" s="3"/>
      <c r="F1719" s="42" t="s">
        <v>562</v>
      </c>
      <c r="G1719" s="3"/>
      <c r="H1719" s="6">
        <v>0</v>
      </c>
      <c r="I1719" s="41">
        <f>VLOOKUP(Tabla1[[#This Row],[PAGO DIA]],DIAS!A:B,2,0)</f>
        <v>46078</v>
      </c>
      <c r="J1719" s="6">
        <v>0</v>
      </c>
      <c r="K1719" s="43">
        <f>VLOOKUP(Tabla1[[#This Row],[PAGO DIA]],DIAS!A:C,3,0)</f>
        <v>46105</v>
      </c>
      <c r="L1719" s="6">
        <v>0</v>
      </c>
      <c r="M1719" s="41">
        <f>VLOOKUP(Tabla1[[#This Row],[PAGO DIA]],DIAS!A:D,4,0)</f>
        <v>46140</v>
      </c>
      <c r="N1719" s="6">
        <v>0</v>
      </c>
      <c r="O1719" s="43">
        <f>VLOOKUP(Tabla1[[#This Row],[PAGO DIA]],DIAS!A:E,5,0)</f>
        <v>46168</v>
      </c>
      <c r="P1719" s="6">
        <v>0</v>
      </c>
      <c r="Q1719" s="43">
        <f>VLOOKUP(Tabla1[[#This Row],[PAGO DIA]],DIAS!A:F,6,0)</f>
        <v>46196</v>
      </c>
      <c r="R1719" s="6">
        <v>0</v>
      </c>
      <c r="S1719" s="43">
        <f>VLOOKUP(Tabla1[[#This Row],[PAGO DIA]],DIAS!A:G,7,0)</f>
        <v>46231</v>
      </c>
      <c r="T1719" s="6">
        <v>0</v>
      </c>
      <c r="U1719" s="43">
        <f>VLOOKUP(Tabla1[[#This Row],[PAGO DIA]],DIAS!A:H,8,0)</f>
        <v>46259</v>
      </c>
      <c r="V1719" s="6">
        <v>0</v>
      </c>
      <c r="W1719" s="43">
        <f>VLOOKUP(Tabla1[[#This Row],[PAGO DIA]],DIAS!A:I,9,0)</f>
        <v>46287</v>
      </c>
      <c r="X1719" s="6">
        <v>0</v>
      </c>
      <c r="Y1719" s="43">
        <f>VLOOKUP(Tabla1[[#This Row],[PAGO DIA]],DIAS!A:J,10,0)</f>
        <v>46322</v>
      </c>
      <c r="Z1719" s="6">
        <v>0</v>
      </c>
      <c r="AA1719" s="43">
        <f>VLOOKUP(Tabla1[[#This Row],[PAGO DIA]],DIAS!A:K,11,0)</f>
        <v>46350</v>
      </c>
      <c r="AB1719" s="6">
        <v>0</v>
      </c>
      <c r="AC1719" s="43">
        <f>VLOOKUP(Tabla1[[#This Row],[PAGO DIA]],DIAS!A:M,12,0)</f>
        <v>46379</v>
      </c>
      <c r="AD17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0" spans="1:30">
      <c r="A1720" s="3">
        <v>12424</v>
      </c>
      <c r="B1720" s="3" t="s">
        <v>510</v>
      </c>
      <c r="C1720" s="3"/>
      <c r="D1720" s="3" t="s">
        <v>2206</v>
      </c>
      <c r="E1720" s="3"/>
      <c r="F1720" s="42" t="s">
        <v>562</v>
      </c>
      <c r="G1720" s="3"/>
      <c r="H1720" s="6">
        <v>0</v>
      </c>
      <c r="I1720" s="41">
        <f>VLOOKUP(Tabla1[[#This Row],[PAGO DIA]],DIAS!A:B,2,0)</f>
        <v>46078</v>
      </c>
      <c r="J1720" s="6">
        <v>0</v>
      </c>
      <c r="K1720" s="43">
        <f>VLOOKUP(Tabla1[[#This Row],[PAGO DIA]],DIAS!A:C,3,0)</f>
        <v>46105</v>
      </c>
      <c r="L1720" s="6">
        <v>0</v>
      </c>
      <c r="M1720" s="41">
        <f>VLOOKUP(Tabla1[[#This Row],[PAGO DIA]],DIAS!A:D,4,0)</f>
        <v>46140</v>
      </c>
      <c r="N1720" s="6">
        <v>0</v>
      </c>
      <c r="O1720" s="43">
        <f>VLOOKUP(Tabla1[[#This Row],[PAGO DIA]],DIAS!A:E,5,0)</f>
        <v>46168</v>
      </c>
      <c r="P1720" s="6">
        <v>0</v>
      </c>
      <c r="Q1720" s="43">
        <f>VLOOKUP(Tabla1[[#This Row],[PAGO DIA]],DIAS!A:F,6,0)</f>
        <v>46196</v>
      </c>
      <c r="R1720" s="6">
        <v>0</v>
      </c>
      <c r="S1720" s="43">
        <f>VLOOKUP(Tabla1[[#This Row],[PAGO DIA]],DIAS!A:G,7,0)</f>
        <v>46231</v>
      </c>
      <c r="T1720" s="6">
        <v>0</v>
      </c>
      <c r="U1720" s="43">
        <f>VLOOKUP(Tabla1[[#This Row],[PAGO DIA]],DIAS!A:H,8,0)</f>
        <v>46259</v>
      </c>
      <c r="V1720" s="6">
        <v>0</v>
      </c>
      <c r="W1720" s="43">
        <f>VLOOKUP(Tabla1[[#This Row],[PAGO DIA]],DIAS!A:I,9,0)</f>
        <v>46287</v>
      </c>
      <c r="X1720" s="6">
        <v>0</v>
      </c>
      <c r="Y1720" s="43">
        <f>VLOOKUP(Tabla1[[#This Row],[PAGO DIA]],DIAS!A:J,10,0)</f>
        <v>46322</v>
      </c>
      <c r="Z1720" s="6">
        <v>0</v>
      </c>
      <c r="AA1720" s="43">
        <f>VLOOKUP(Tabla1[[#This Row],[PAGO DIA]],DIAS!A:K,11,0)</f>
        <v>46350</v>
      </c>
      <c r="AB1720" s="6">
        <v>0</v>
      </c>
      <c r="AC1720" s="43">
        <f>VLOOKUP(Tabla1[[#This Row],[PAGO DIA]],DIAS!A:M,12,0)</f>
        <v>46379</v>
      </c>
      <c r="AD17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1" spans="1:30">
      <c r="A1721" s="3">
        <v>12425</v>
      </c>
      <c r="B1721" s="3" t="s">
        <v>510</v>
      </c>
      <c r="C1721" s="3"/>
      <c r="D1721" s="3" t="s">
        <v>2207</v>
      </c>
      <c r="E1721" s="3"/>
      <c r="F1721" s="42" t="s">
        <v>562</v>
      </c>
      <c r="G1721" s="3"/>
      <c r="H1721" s="6">
        <v>0</v>
      </c>
      <c r="I1721" s="41">
        <f>VLOOKUP(Tabla1[[#This Row],[PAGO DIA]],DIAS!A:B,2,0)</f>
        <v>46078</v>
      </c>
      <c r="J1721" s="6">
        <v>0</v>
      </c>
      <c r="K1721" s="43">
        <f>VLOOKUP(Tabla1[[#This Row],[PAGO DIA]],DIAS!A:C,3,0)</f>
        <v>46105</v>
      </c>
      <c r="L1721" s="6">
        <v>0</v>
      </c>
      <c r="M1721" s="41">
        <f>VLOOKUP(Tabla1[[#This Row],[PAGO DIA]],DIAS!A:D,4,0)</f>
        <v>46140</v>
      </c>
      <c r="N1721" s="6">
        <v>0</v>
      </c>
      <c r="O1721" s="43">
        <f>VLOOKUP(Tabla1[[#This Row],[PAGO DIA]],DIAS!A:E,5,0)</f>
        <v>46168</v>
      </c>
      <c r="P1721" s="6">
        <v>0</v>
      </c>
      <c r="Q1721" s="43">
        <f>VLOOKUP(Tabla1[[#This Row],[PAGO DIA]],DIAS!A:F,6,0)</f>
        <v>46196</v>
      </c>
      <c r="R1721" s="6">
        <v>0</v>
      </c>
      <c r="S1721" s="43">
        <f>VLOOKUP(Tabla1[[#This Row],[PAGO DIA]],DIAS!A:G,7,0)</f>
        <v>46231</v>
      </c>
      <c r="T1721" s="6">
        <v>0</v>
      </c>
      <c r="U1721" s="43">
        <f>VLOOKUP(Tabla1[[#This Row],[PAGO DIA]],DIAS!A:H,8,0)</f>
        <v>46259</v>
      </c>
      <c r="V1721" s="6">
        <v>0</v>
      </c>
      <c r="W1721" s="43">
        <f>VLOOKUP(Tabla1[[#This Row],[PAGO DIA]],DIAS!A:I,9,0)</f>
        <v>46287</v>
      </c>
      <c r="X1721" s="6">
        <v>0</v>
      </c>
      <c r="Y1721" s="43">
        <f>VLOOKUP(Tabla1[[#This Row],[PAGO DIA]],DIAS!A:J,10,0)</f>
        <v>46322</v>
      </c>
      <c r="Z1721" s="6">
        <v>0</v>
      </c>
      <c r="AA1721" s="43">
        <f>VLOOKUP(Tabla1[[#This Row],[PAGO DIA]],DIAS!A:K,11,0)</f>
        <v>46350</v>
      </c>
      <c r="AB1721" s="6">
        <v>0</v>
      </c>
      <c r="AC1721" s="43">
        <f>VLOOKUP(Tabla1[[#This Row],[PAGO DIA]],DIAS!A:M,12,0)</f>
        <v>46379</v>
      </c>
      <c r="AD17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2" spans="1:30">
      <c r="A1722" s="3">
        <v>12426</v>
      </c>
      <c r="B1722" s="3" t="s">
        <v>510</v>
      </c>
      <c r="C1722" s="3"/>
      <c r="D1722" s="3" t="s">
        <v>2208</v>
      </c>
      <c r="E1722" s="3"/>
      <c r="F1722" s="42" t="s">
        <v>562</v>
      </c>
      <c r="G1722" s="3"/>
      <c r="H1722" s="6">
        <v>0</v>
      </c>
      <c r="I1722" s="41">
        <f>VLOOKUP(Tabla1[[#This Row],[PAGO DIA]],DIAS!A:B,2,0)</f>
        <v>46078</v>
      </c>
      <c r="J1722" s="6">
        <v>0</v>
      </c>
      <c r="K1722" s="43">
        <f>VLOOKUP(Tabla1[[#This Row],[PAGO DIA]],DIAS!A:C,3,0)</f>
        <v>46105</v>
      </c>
      <c r="L1722" s="6">
        <v>0</v>
      </c>
      <c r="M1722" s="41">
        <f>VLOOKUP(Tabla1[[#This Row],[PAGO DIA]],DIAS!A:D,4,0)</f>
        <v>46140</v>
      </c>
      <c r="N1722" s="6">
        <v>0</v>
      </c>
      <c r="O1722" s="43">
        <f>VLOOKUP(Tabla1[[#This Row],[PAGO DIA]],DIAS!A:E,5,0)</f>
        <v>46168</v>
      </c>
      <c r="P1722" s="6">
        <v>0</v>
      </c>
      <c r="Q1722" s="43">
        <f>VLOOKUP(Tabla1[[#This Row],[PAGO DIA]],DIAS!A:F,6,0)</f>
        <v>46196</v>
      </c>
      <c r="R1722" s="6">
        <v>0</v>
      </c>
      <c r="S1722" s="43">
        <f>VLOOKUP(Tabla1[[#This Row],[PAGO DIA]],DIAS!A:G,7,0)</f>
        <v>46231</v>
      </c>
      <c r="T1722" s="6">
        <v>0</v>
      </c>
      <c r="U1722" s="43">
        <f>VLOOKUP(Tabla1[[#This Row],[PAGO DIA]],DIAS!A:H,8,0)</f>
        <v>46259</v>
      </c>
      <c r="V1722" s="6">
        <v>0</v>
      </c>
      <c r="W1722" s="43">
        <f>VLOOKUP(Tabla1[[#This Row],[PAGO DIA]],DIAS!A:I,9,0)</f>
        <v>46287</v>
      </c>
      <c r="X1722" s="6">
        <v>0</v>
      </c>
      <c r="Y1722" s="43">
        <f>VLOOKUP(Tabla1[[#This Row],[PAGO DIA]],DIAS!A:J,10,0)</f>
        <v>46322</v>
      </c>
      <c r="Z1722" s="6">
        <v>0</v>
      </c>
      <c r="AA1722" s="43">
        <f>VLOOKUP(Tabla1[[#This Row],[PAGO DIA]],DIAS!A:K,11,0)</f>
        <v>46350</v>
      </c>
      <c r="AB1722" s="6">
        <v>0</v>
      </c>
      <c r="AC1722" s="43">
        <f>VLOOKUP(Tabla1[[#This Row],[PAGO DIA]],DIAS!A:M,12,0)</f>
        <v>46379</v>
      </c>
      <c r="AD17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3" spans="1:30">
      <c r="A1723" s="3">
        <v>12427</v>
      </c>
      <c r="B1723" s="3" t="s">
        <v>510</v>
      </c>
      <c r="C1723" s="3"/>
      <c r="D1723" s="3" t="s">
        <v>2209</v>
      </c>
      <c r="E1723" s="3"/>
      <c r="F1723" s="42" t="s">
        <v>562</v>
      </c>
      <c r="G1723" s="3"/>
      <c r="H1723" s="6">
        <v>0</v>
      </c>
      <c r="I1723" s="41">
        <f>VLOOKUP(Tabla1[[#This Row],[PAGO DIA]],DIAS!A:B,2,0)</f>
        <v>46078</v>
      </c>
      <c r="J1723" s="6">
        <v>0</v>
      </c>
      <c r="K1723" s="43">
        <f>VLOOKUP(Tabla1[[#This Row],[PAGO DIA]],DIAS!A:C,3,0)</f>
        <v>46105</v>
      </c>
      <c r="L1723" s="6">
        <v>0</v>
      </c>
      <c r="M1723" s="41">
        <f>VLOOKUP(Tabla1[[#This Row],[PAGO DIA]],DIAS!A:D,4,0)</f>
        <v>46140</v>
      </c>
      <c r="N1723" s="6">
        <v>0</v>
      </c>
      <c r="O1723" s="43">
        <f>VLOOKUP(Tabla1[[#This Row],[PAGO DIA]],DIAS!A:E,5,0)</f>
        <v>46168</v>
      </c>
      <c r="P1723" s="6">
        <v>0</v>
      </c>
      <c r="Q1723" s="43">
        <f>VLOOKUP(Tabla1[[#This Row],[PAGO DIA]],DIAS!A:F,6,0)</f>
        <v>46196</v>
      </c>
      <c r="R1723" s="6">
        <v>0</v>
      </c>
      <c r="S1723" s="43">
        <f>VLOOKUP(Tabla1[[#This Row],[PAGO DIA]],DIAS!A:G,7,0)</f>
        <v>46231</v>
      </c>
      <c r="T1723" s="6">
        <v>0</v>
      </c>
      <c r="U1723" s="43">
        <f>VLOOKUP(Tabla1[[#This Row],[PAGO DIA]],DIAS!A:H,8,0)</f>
        <v>46259</v>
      </c>
      <c r="V1723" s="6">
        <v>0</v>
      </c>
      <c r="W1723" s="43">
        <f>VLOOKUP(Tabla1[[#This Row],[PAGO DIA]],DIAS!A:I,9,0)</f>
        <v>46287</v>
      </c>
      <c r="X1723" s="6">
        <v>0</v>
      </c>
      <c r="Y1723" s="43">
        <f>VLOOKUP(Tabla1[[#This Row],[PAGO DIA]],DIAS!A:J,10,0)</f>
        <v>46322</v>
      </c>
      <c r="Z1723" s="6">
        <v>0</v>
      </c>
      <c r="AA1723" s="43">
        <f>VLOOKUP(Tabla1[[#This Row],[PAGO DIA]],DIAS!A:K,11,0)</f>
        <v>46350</v>
      </c>
      <c r="AB1723" s="6">
        <v>0</v>
      </c>
      <c r="AC1723" s="43">
        <f>VLOOKUP(Tabla1[[#This Row],[PAGO DIA]],DIAS!A:M,12,0)</f>
        <v>46379</v>
      </c>
      <c r="AD17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4" spans="1:30">
      <c r="A1724" s="3">
        <v>12428</v>
      </c>
      <c r="B1724" s="3" t="s">
        <v>510</v>
      </c>
      <c r="C1724" s="3"/>
      <c r="D1724" s="3" t="s">
        <v>2210</v>
      </c>
      <c r="E1724" s="3"/>
      <c r="F1724" s="42" t="s">
        <v>562</v>
      </c>
      <c r="G1724" s="3"/>
      <c r="H1724" s="6">
        <v>0</v>
      </c>
      <c r="I1724" s="41">
        <f>VLOOKUP(Tabla1[[#This Row],[PAGO DIA]],DIAS!A:B,2,0)</f>
        <v>46078</v>
      </c>
      <c r="J1724" s="6">
        <v>0</v>
      </c>
      <c r="K1724" s="43">
        <f>VLOOKUP(Tabla1[[#This Row],[PAGO DIA]],DIAS!A:C,3,0)</f>
        <v>46105</v>
      </c>
      <c r="L1724" s="6">
        <v>0</v>
      </c>
      <c r="M1724" s="41">
        <f>VLOOKUP(Tabla1[[#This Row],[PAGO DIA]],DIAS!A:D,4,0)</f>
        <v>46140</v>
      </c>
      <c r="N1724" s="6">
        <v>0</v>
      </c>
      <c r="O1724" s="43">
        <f>VLOOKUP(Tabla1[[#This Row],[PAGO DIA]],DIAS!A:E,5,0)</f>
        <v>46168</v>
      </c>
      <c r="P1724" s="6">
        <v>0</v>
      </c>
      <c r="Q1724" s="43">
        <f>VLOOKUP(Tabla1[[#This Row],[PAGO DIA]],DIAS!A:F,6,0)</f>
        <v>46196</v>
      </c>
      <c r="R1724" s="6">
        <v>0</v>
      </c>
      <c r="S1724" s="43">
        <f>VLOOKUP(Tabla1[[#This Row],[PAGO DIA]],DIAS!A:G,7,0)</f>
        <v>46231</v>
      </c>
      <c r="T1724" s="6">
        <v>0</v>
      </c>
      <c r="U1724" s="43">
        <f>VLOOKUP(Tabla1[[#This Row],[PAGO DIA]],DIAS!A:H,8,0)</f>
        <v>46259</v>
      </c>
      <c r="V1724" s="6">
        <v>0</v>
      </c>
      <c r="W1724" s="43">
        <f>VLOOKUP(Tabla1[[#This Row],[PAGO DIA]],DIAS!A:I,9,0)</f>
        <v>46287</v>
      </c>
      <c r="X1724" s="6">
        <v>0</v>
      </c>
      <c r="Y1724" s="43">
        <f>VLOOKUP(Tabla1[[#This Row],[PAGO DIA]],DIAS!A:J,10,0)</f>
        <v>46322</v>
      </c>
      <c r="Z1724" s="6">
        <v>0</v>
      </c>
      <c r="AA1724" s="43">
        <f>VLOOKUP(Tabla1[[#This Row],[PAGO DIA]],DIAS!A:K,11,0)</f>
        <v>46350</v>
      </c>
      <c r="AB1724" s="6">
        <v>0</v>
      </c>
      <c r="AC1724" s="43">
        <f>VLOOKUP(Tabla1[[#This Row],[PAGO DIA]],DIAS!A:M,12,0)</f>
        <v>46379</v>
      </c>
      <c r="AD17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5" spans="1:30">
      <c r="A1725" s="3">
        <v>12429</v>
      </c>
      <c r="B1725" s="3" t="s">
        <v>510</v>
      </c>
      <c r="C1725" s="3"/>
      <c r="D1725" s="3" t="s">
        <v>2211</v>
      </c>
      <c r="E1725" s="3"/>
      <c r="F1725" s="42" t="s">
        <v>562</v>
      </c>
      <c r="G1725" s="3"/>
      <c r="H1725" s="6">
        <v>0</v>
      </c>
      <c r="I1725" s="41">
        <f>VLOOKUP(Tabla1[[#This Row],[PAGO DIA]],DIAS!A:B,2,0)</f>
        <v>46078</v>
      </c>
      <c r="J1725" s="6">
        <v>0</v>
      </c>
      <c r="K1725" s="43">
        <f>VLOOKUP(Tabla1[[#This Row],[PAGO DIA]],DIAS!A:C,3,0)</f>
        <v>46105</v>
      </c>
      <c r="L1725" s="6">
        <v>0</v>
      </c>
      <c r="M1725" s="41">
        <f>VLOOKUP(Tabla1[[#This Row],[PAGO DIA]],DIAS!A:D,4,0)</f>
        <v>46140</v>
      </c>
      <c r="N1725" s="6">
        <v>0</v>
      </c>
      <c r="O1725" s="43">
        <f>VLOOKUP(Tabla1[[#This Row],[PAGO DIA]],DIAS!A:E,5,0)</f>
        <v>46168</v>
      </c>
      <c r="P1725" s="6">
        <v>0</v>
      </c>
      <c r="Q1725" s="43">
        <f>VLOOKUP(Tabla1[[#This Row],[PAGO DIA]],DIAS!A:F,6,0)</f>
        <v>46196</v>
      </c>
      <c r="R1725" s="6">
        <v>0</v>
      </c>
      <c r="S1725" s="43">
        <f>VLOOKUP(Tabla1[[#This Row],[PAGO DIA]],DIAS!A:G,7,0)</f>
        <v>46231</v>
      </c>
      <c r="T1725" s="6">
        <v>0</v>
      </c>
      <c r="U1725" s="43">
        <f>VLOOKUP(Tabla1[[#This Row],[PAGO DIA]],DIAS!A:H,8,0)</f>
        <v>46259</v>
      </c>
      <c r="V1725" s="6">
        <v>0</v>
      </c>
      <c r="W1725" s="43">
        <f>VLOOKUP(Tabla1[[#This Row],[PAGO DIA]],DIAS!A:I,9,0)</f>
        <v>46287</v>
      </c>
      <c r="X1725" s="6">
        <v>0</v>
      </c>
      <c r="Y1725" s="43">
        <f>VLOOKUP(Tabla1[[#This Row],[PAGO DIA]],DIAS!A:J,10,0)</f>
        <v>46322</v>
      </c>
      <c r="Z1725" s="6">
        <v>0</v>
      </c>
      <c r="AA1725" s="43">
        <f>VLOOKUP(Tabla1[[#This Row],[PAGO DIA]],DIAS!A:K,11,0)</f>
        <v>46350</v>
      </c>
      <c r="AB1725" s="6">
        <v>0</v>
      </c>
      <c r="AC1725" s="43">
        <f>VLOOKUP(Tabla1[[#This Row],[PAGO DIA]],DIAS!A:M,12,0)</f>
        <v>46379</v>
      </c>
      <c r="AD17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6" spans="1:30">
      <c r="A1726" s="3">
        <v>12430</v>
      </c>
      <c r="B1726" s="3" t="s">
        <v>510</v>
      </c>
      <c r="C1726" s="3"/>
      <c r="D1726" s="3" t="s">
        <v>2212</v>
      </c>
      <c r="E1726" s="3"/>
      <c r="F1726" s="42" t="s">
        <v>562</v>
      </c>
      <c r="G1726" s="3"/>
      <c r="H1726" s="6">
        <v>0</v>
      </c>
      <c r="I1726" s="41">
        <f>VLOOKUP(Tabla1[[#This Row],[PAGO DIA]],DIAS!A:B,2,0)</f>
        <v>46078</v>
      </c>
      <c r="J1726" s="6">
        <v>0</v>
      </c>
      <c r="K1726" s="43">
        <f>VLOOKUP(Tabla1[[#This Row],[PAGO DIA]],DIAS!A:C,3,0)</f>
        <v>46105</v>
      </c>
      <c r="L1726" s="6">
        <v>0</v>
      </c>
      <c r="M1726" s="41">
        <f>VLOOKUP(Tabla1[[#This Row],[PAGO DIA]],DIAS!A:D,4,0)</f>
        <v>46140</v>
      </c>
      <c r="N1726" s="6">
        <v>0</v>
      </c>
      <c r="O1726" s="43">
        <f>VLOOKUP(Tabla1[[#This Row],[PAGO DIA]],DIAS!A:E,5,0)</f>
        <v>46168</v>
      </c>
      <c r="P1726" s="6">
        <v>0</v>
      </c>
      <c r="Q1726" s="43">
        <f>VLOOKUP(Tabla1[[#This Row],[PAGO DIA]],DIAS!A:F,6,0)</f>
        <v>46196</v>
      </c>
      <c r="R1726" s="6">
        <v>0</v>
      </c>
      <c r="S1726" s="43">
        <f>VLOOKUP(Tabla1[[#This Row],[PAGO DIA]],DIAS!A:G,7,0)</f>
        <v>46231</v>
      </c>
      <c r="T1726" s="6">
        <v>0</v>
      </c>
      <c r="U1726" s="43">
        <f>VLOOKUP(Tabla1[[#This Row],[PAGO DIA]],DIAS!A:H,8,0)</f>
        <v>46259</v>
      </c>
      <c r="V1726" s="6">
        <v>0</v>
      </c>
      <c r="W1726" s="43">
        <f>VLOOKUP(Tabla1[[#This Row],[PAGO DIA]],DIAS!A:I,9,0)</f>
        <v>46287</v>
      </c>
      <c r="X1726" s="6">
        <v>0</v>
      </c>
      <c r="Y1726" s="43">
        <f>VLOOKUP(Tabla1[[#This Row],[PAGO DIA]],DIAS!A:J,10,0)</f>
        <v>46322</v>
      </c>
      <c r="Z1726" s="6">
        <v>0</v>
      </c>
      <c r="AA1726" s="43">
        <f>VLOOKUP(Tabla1[[#This Row],[PAGO DIA]],DIAS!A:K,11,0)</f>
        <v>46350</v>
      </c>
      <c r="AB1726" s="6">
        <v>0</v>
      </c>
      <c r="AC1726" s="43">
        <f>VLOOKUP(Tabla1[[#This Row],[PAGO DIA]],DIAS!A:M,12,0)</f>
        <v>46379</v>
      </c>
      <c r="AD17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7" spans="1:30">
      <c r="A1727" s="3">
        <v>12431</v>
      </c>
      <c r="B1727" s="3" t="s">
        <v>510</v>
      </c>
      <c r="C1727" s="3"/>
      <c r="D1727" s="3" t="s">
        <v>2213</v>
      </c>
      <c r="E1727" s="3"/>
      <c r="F1727" s="42" t="s">
        <v>562</v>
      </c>
      <c r="G1727" s="3"/>
      <c r="H1727" s="6">
        <v>0</v>
      </c>
      <c r="I1727" s="41">
        <f>VLOOKUP(Tabla1[[#This Row],[PAGO DIA]],DIAS!A:B,2,0)</f>
        <v>46078</v>
      </c>
      <c r="J1727" s="6">
        <v>0</v>
      </c>
      <c r="K1727" s="43">
        <f>VLOOKUP(Tabla1[[#This Row],[PAGO DIA]],DIAS!A:C,3,0)</f>
        <v>46105</v>
      </c>
      <c r="L1727" s="6">
        <v>0</v>
      </c>
      <c r="M1727" s="41">
        <f>VLOOKUP(Tabla1[[#This Row],[PAGO DIA]],DIAS!A:D,4,0)</f>
        <v>46140</v>
      </c>
      <c r="N1727" s="6">
        <v>0</v>
      </c>
      <c r="O1727" s="43">
        <f>VLOOKUP(Tabla1[[#This Row],[PAGO DIA]],DIAS!A:E,5,0)</f>
        <v>46168</v>
      </c>
      <c r="P1727" s="6">
        <v>0</v>
      </c>
      <c r="Q1727" s="43">
        <f>VLOOKUP(Tabla1[[#This Row],[PAGO DIA]],DIAS!A:F,6,0)</f>
        <v>46196</v>
      </c>
      <c r="R1727" s="6">
        <v>0</v>
      </c>
      <c r="S1727" s="43">
        <f>VLOOKUP(Tabla1[[#This Row],[PAGO DIA]],DIAS!A:G,7,0)</f>
        <v>46231</v>
      </c>
      <c r="T1727" s="6">
        <v>0</v>
      </c>
      <c r="U1727" s="43">
        <f>VLOOKUP(Tabla1[[#This Row],[PAGO DIA]],DIAS!A:H,8,0)</f>
        <v>46259</v>
      </c>
      <c r="V1727" s="6">
        <v>0</v>
      </c>
      <c r="W1727" s="43">
        <f>VLOOKUP(Tabla1[[#This Row],[PAGO DIA]],DIAS!A:I,9,0)</f>
        <v>46287</v>
      </c>
      <c r="X1727" s="6">
        <v>0</v>
      </c>
      <c r="Y1727" s="43">
        <f>VLOOKUP(Tabla1[[#This Row],[PAGO DIA]],DIAS!A:J,10,0)</f>
        <v>46322</v>
      </c>
      <c r="Z1727" s="6">
        <v>0</v>
      </c>
      <c r="AA1727" s="43">
        <f>VLOOKUP(Tabla1[[#This Row],[PAGO DIA]],DIAS!A:K,11,0)</f>
        <v>46350</v>
      </c>
      <c r="AB1727" s="6">
        <v>0</v>
      </c>
      <c r="AC1727" s="43">
        <f>VLOOKUP(Tabla1[[#This Row],[PAGO DIA]],DIAS!A:M,12,0)</f>
        <v>46379</v>
      </c>
      <c r="AD17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8" spans="1:30">
      <c r="A1728" s="3">
        <v>12432</v>
      </c>
      <c r="B1728" s="3" t="s">
        <v>510</v>
      </c>
      <c r="C1728" s="3"/>
      <c r="D1728" s="3" t="s">
        <v>2214</v>
      </c>
      <c r="E1728" s="3"/>
      <c r="F1728" s="42" t="s">
        <v>562</v>
      </c>
      <c r="G1728" s="3"/>
      <c r="H1728" s="6">
        <v>0</v>
      </c>
      <c r="I1728" s="41">
        <f>VLOOKUP(Tabla1[[#This Row],[PAGO DIA]],DIAS!A:B,2,0)</f>
        <v>46078</v>
      </c>
      <c r="J1728" s="6">
        <v>0</v>
      </c>
      <c r="K1728" s="43">
        <f>VLOOKUP(Tabla1[[#This Row],[PAGO DIA]],DIAS!A:C,3,0)</f>
        <v>46105</v>
      </c>
      <c r="L1728" s="6">
        <v>0</v>
      </c>
      <c r="M1728" s="41">
        <f>VLOOKUP(Tabla1[[#This Row],[PAGO DIA]],DIAS!A:D,4,0)</f>
        <v>46140</v>
      </c>
      <c r="N1728" s="6">
        <v>0</v>
      </c>
      <c r="O1728" s="43">
        <f>VLOOKUP(Tabla1[[#This Row],[PAGO DIA]],DIAS!A:E,5,0)</f>
        <v>46168</v>
      </c>
      <c r="P1728" s="6">
        <v>0</v>
      </c>
      <c r="Q1728" s="43">
        <f>VLOOKUP(Tabla1[[#This Row],[PAGO DIA]],DIAS!A:F,6,0)</f>
        <v>46196</v>
      </c>
      <c r="R1728" s="6">
        <v>0</v>
      </c>
      <c r="S1728" s="43">
        <f>VLOOKUP(Tabla1[[#This Row],[PAGO DIA]],DIAS!A:G,7,0)</f>
        <v>46231</v>
      </c>
      <c r="T1728" s="6">
        <v>0</v>
      </c>
      <c r="U1728" s="43">
        <f>VLOOKUP(Tabla1[[#This Row],[PAGO DIA]],DIAS!A:H,8,0)</f>
        <v>46259</v>
      </c>
      <c r="V1728" s="6">
        <v>0</v>
      </c>
      <c r="W1728" s="43">
        <f>VLOOKUP(Tabla1[[#This Row],[PAGO DIA]],DIAS!A:I,9,0)</f>
        <v>46287</v>
      </c>
      <c r="X1728" s="6">
        <v>0</v>
      </c>
      <c r="Y1728" s="43">
        <f>VLOOKUP(Tabla1[[#This Row],[PAGO DIA]],DIAS!A:J,10,0)</f>
        <v>46322</v>
      </c>
      <c r="Z1728" s="6">
        <v>0</v>
      </c>
      <c r="AA1728" s="43">
        <f>VLOOKUP(Tabla1[[#This Row],[PAGO DIA]],DIAS!A:K,11,0)</f>
        <v>46350</v>
      </c>
      <c r="AB1728" s="6">
        <v>0</v>
      </c>
      <c r="AC1728" s="43">
        <f>VLOOKUP(Tabla1[[#This Row],[PAGO DIA]],DIAS!A:M,12,0)</f>
        <v>46379</v>
      </c>
      <c r="AD17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29" spans="1:30">
      <c r="A1729" s="3">
        <v>12433</v>
      </c>
      <c r="B1729" s="3" t="s">
        <v>510</v>
      </c>
      <c r="C1729" s="3"/>
      <c r="D1729" s="3" t="s">
        <v>2215</v>
      </c>
      <c r="E1729" s="3"/>
      <c r="F1729" s="42" t="s">
        <v>562</v>
      </c>
      <c r="G1729" s="3"/>
      <c r="H1729" s="6">
        <v>0</v>
      </c>
      <c r="I1729" s="41">
        <f>VLOOKUP(Tabla1[[#This Row],[PAGO DIA]],DIAS!A:B,2,0)</f>
        <v>46078</v>
      </c>
      <c r="J1729" s="6">
        <v>0</v>
      </c>
      <c r="K1729" s="43">
        <f>VLOOKUP(Tabla1[[#This Row],[PAGO DIA]],DIAS!A:C,3,0)</f>
        <v>46105</v>
      </c>
      <c r="L1729" s="6">
        <v>0</v>
      </c>
      <c r="M1729" s="41">
        <f>VLOOKUP(Tabla1[[#This Row],[PAGO DIA]],DIAS!A:D,4,0)</f>
        <v>46140</v>
      </c>
      <c r="N1729" s="6">
        <v>0</v>
      </c>
      <c r="O1729" s="43">
        <f>VLOOKUP(Tabla1[[#This Row],[PAGO DIA]],DIAS!A:E,5,0)</f>
        <v>46168</v>
      </c>
      <c r="P1729" s="6">
        <v>0</v>
      </c>
      <c r="Q1729" s="43">
        <f>VLOOKUP(Tabla1[[#This Row],[PAGO DIA]],DIAS!A:F,6,0)</f>
        <v>46196</v>
      </c>
      <c r="R1729" s="6">
        <v>0</v>
      </c>
      <c r="S1729" s="43">
        <f>VLOOKUP(Tabla1[[#This Row],[PAGO DIA]],DIAS!A:G,7,0)</f>
        <v>46231</v>
      </c>
      <c r="T1729" s="6">
        <v>0</v>
      </c>
      <c r="U1729" s="43">
        <f>VLOOKUP(Tabla1[[#This Row],[PAGO DIA]],DIAS!A:H,8,0)</f>
        <v>46259</v>
      </c>
      <c r="V1729" s="6">
        <v>0</v>
      </c>
      <c r="W1729" s="43">
        <f>VLOOKUP(Tabla1[[#This Row],[PAGO DIA]],DIAS!A:I,9,0)</f>
        <v>46287</v>
      </c>
      <c r="X1729" s="6">
        <v>0</v>
      </c>
      <c r="Y1729" s="43">
        <f>VLOOKUP(Tabla1[[#This Row],[PAGO DIA]],DIAS!A:J,10,0)</f>
        <v>46322</v>
      </c>
      <c r="Z1729" s="6">
        <v>0</v>
      </c>
      <c r="AA1729" s="43">
        <f>VLOOKUP(Tabla1[[#This Row],[PAGO DIA]],DIAS!A:K,11,0)</f>
        <v>46350</v>
      </c>
      <c r="AB1729" s="6">
        <v>0</v>
      </c>
      <c r="AC1729" s="43">
        <f>VLOOKUP(Tabla1[[#This Row],[PAGO DIA]],DIAS!A:M,12,0)</f>
        <v>46379</v>
      </c>
      <c r="AD17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0" spans="1:30">
      <c r="A1730" s="3">
        <v>12473</v>
      </c>
      <c r="B1730" s="3" t="s">
        <v>510</v>
      </c>
      <c r="C1730" s="3"/>
      <c r="D1730" s="3" t="s">
        <v>2216</v>
      </c>
      <c r="E1730" s="3"/>
      <c r="F1730" s="42" t="s">
        <v>562</v>
      </c>
      <c r="G1730" s="3"/>
      <c r="H1730" s="6">
        <v>0</v>
      </c>
      <c r="I1730" s="41">
        <f>VLOOKUP(Tabla1[[#This Row],[PAGO DIA]],DIAS!A:B,2,0)</f>
        <v>46078</v>
      </c>
      <c r="J1730" s="6">
        <v>0</v>
      </c>
      <c r="K1730" s="43">
        <f>VLOOKUP(Tabla1[[#This Row],[PAGO DIA]],DIAS!A:C,3,0)</f>
        <v>46105</v>
      </c>
      <c r="L1730" s="6">
        <v>0</v>
      </c>
      <c r="M1730" s="41">
        <f>VLOOKUP(Tabla1[[#This Row],[PAGO DIA]],DIAS!A:D,4,0)</f>
        <v>46140</v>
      </c>
      <c r="N1730" s="6">
        <v>0</v>
      </c>
      <c r="O1730" s="43">
        <f>VLOOKUP(Tabla1[[#This Row],[PAGO DIA]],DIAS!A:E,5,0)</f>
        <v>46168</v>
      </c>
      <c r="P1730" s="6">
        <v>0</v>
      </c>
      <c r="Q1730" s="43">
        <f>VLOOKUP(Tabla1[[#This Row],[PAGO DIA]],DIAS!A:F,6,0)</f>
        <v>46196</v>
      </c>
      <c r="R1730" s="6">
        <v>0</v>
      </c>
      <c r="S1730" s="43">
        <f>VLOOKUP(Tabla1[[#This Row],[PAGO DIA]],DIAS!A:G,7,0)</f>
        <v>46231</v>
      </c>
      <c r="T1730" s="6">
        <v>0</v>
      </c>
      <c r="U1730" s="43">
        <f>VLOOKUP(Tabla1[[#This Row],[PAGO DIA]],DIAS!A:H,8,0)</f>
        <v>46259</v>
      </c>
      <c r="V1730" s="6">
        <v>0</v>
      </c>
      <c r="W1730" s="43">
        <f>VLOOKUP(Tabla1[[#This Row],[PAGO DIA]],DIAS!A:I,9,0)</f>
        <v>46287</v>
      </c>
      <c r="X1730" s="6">
        <v>0</v>
      </c>
      <c r="Y1730" s="43">
        <f>VLOOKUP(Tabla1[[#This Row],[PAGO DIA]],DIAS!A:J,10,0)</f>
        <v>46322</v>
      </c>
      <c r="Z1730" s="6">
        <v>0</v>
      </c>
      <c r="AA1730" s="43">
        <f>VLOOKUP(Tabla1[[#This Row],[PAGO DIA]],DIAS!A:K,11,0)</f>
        <v>46350</v>
      </c>
      <c r="AB1730" s="6">
        <v>0</v>
      </c>
      <c r="AC1730" s="43">
        <f>VLOOKUP(Tabla1[[#This Row],[PAGO DIA]],DIAS!A:M,12,0)</f>
        <v>46379</v>
      </c>
      <c r="AD17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1" spans="1:30">
      <c r="A1731" s="3">
        <v>11366</v>
      </c>
      <c r="B1731" s="3" t="s">
        <v>548</v>
      </c>
      <c r="C1731" s="3" t="s">
        <v>539</v>
      </c>
      <c r="D1731" s="3" t="s">
        <v>2217</v>
      </c>
      <c r="E1731" s="3" t="s">
        <v>2218</v>
      </c>
      <c r="F1731" s="42" t="s">
        <v>562</v>
      </c>
      <c r="G1731" s="3"/>
      <c r="H1731" s="6">
        <v>0</v>
      </c>
      <c r="I1731" s="41">
        <f>VLOOKUP(Tabla1[[#This Row],[PAGO DIA]],DIAS!A:B,2,0)</f>
        <v>46078</v>
      </c>
      <c r="J1731" s="6">
        <v>0</v>
      </c>
      <c r="K1731" s="43">
        <f>VLOOKUP(Tabla1[[#This Row],[PAGO DIA]],DIAS!A:C,3,0)</f>
        <v>46105</v>
      </c>
      <c r="L1731" s="6">
        <v>0</v>
      </c>
      <c r="M1731" s="41">
        <f>VLOOKUP(Tabla1[[#This Row],[PAGO DIA]],DIAS!A:D,4,0)</f>
        <v>46140</v>
      </c>
      <c r="N1731" s="6">
        <v>0</v>
      </c>
      <c r="O1731" s="43">
        <f>VLOOKUP(Tabla1[[#This Row],[PAGO DIA]],DIAS!A:E,5,0)</f>
        <v>46168</v>
      </c>
      <c r="P1731" s="6">
        <v>0</v>
      </c>
      <c r="Q1731" s="43">
        <f>VLOOKUP(Tabla1[[#This Row],[PAGO DIA]],DIAS!A:F,6,0)</f>
        <v>46196</v>
      </c>
      <c r="R1731" s="6">
        <v>0</v>
      </c>
      <c r="S1731" s="43">
        <f>VLOOKUP(Tabla1[[#This Row],[PAGO DIA]],DIAS!A:G,7,0)</f>
        <v>46231</v>
      </c>
      <c r="T1731" s="6">
        <v>0</v>
      </c>
      <c r="U1731" s="43">
        <f>VLOOKUP(Tabla1[[#This Row],[PAGO DIA]],DIAS!A:H,8,0)</f>
        <v>46259</v>
      </c>
      <c r="V1731" s="6">
        <v>0</v>
      </c>
      <c r="W1731" s="43">
        <f>VLOOKUP(Tabla1[[#This Row],[PAGO DIA]],DIAS!A:I,9,0)</f>
        <v>46287</v>
      </c>
      <c r="X1731" s="6">
        <v>0</v>
      </c>
      <c r="Y1731" s="43">
        <f>VLOOKUP(Tabla1[[#This Row],[PAGO DIA]],DIAS!A:J,10,0)</f>
        <v>46322</v>
      </c>
      <c r="Z1731" s="6">
        <v>0</v>
      </c>
      <c r="AA1731" s="43">
        <f>VLOOKUP(Tabla1[[#This Row],[PAGO DIA]],DIAS!A:K,11,0)</f>
        <v>46350</v>
      </c>
      <c r="AB1731" s="6">
        <v>0</v>
      </c>
      <c r="AC1731" s="43">
        <f>VLOOKUP(Tabla1[[#This Row],[PAGO DIA]],DIAS!A:M,12,0)</f>
        <v>46379</v>
      </c>
      <c r="AD17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2" spans="1:30">
      <c r="A1732" s="3">
        <v>11331</v>
      </c>
      <c r="B1732" s="3" t="s">
        <v>548</v>
      </c>
      <c r="C1732" s="3" t="s">
        <v>539</v>
      </c>
      <c r="D1732" s="3" t="s">
        <v>2219</v>
      </c>
      <c r="E1732" s="3" t="s">
        <v>2220</v>
      </c>
      <c r="F1732" s="42" t="s">
        <v>562</v>
      </c>
      <c r="G1732" s="3"/>
      <c r="H1732" s="6">
        <v>0</v>
      </c>
      <c r="I1732" s="41">
        <f>VLOOKUP(Tabla1[[#This Row],[PAGO DIA]],DIAS!A:B,2,0)</f>
        <v>46078</v>
      </c>
      <c r="J1732" s="6">
        <v>0</v>
      </c>
      <c r="K1732" s="43">
        <f>VLOOKUP(Tabla1[[#This Row],[PAGO DIA]],DIAS!A:C,3,0)</f>
        <v>46105</v>
      </c>
      <c r="L1732" s="6">
        <v>0</v>
      </c>
      <c r="M1732" s="41">
        <f>VLOOKUP(Tabla1[[#This Row],[PAGO DIA]],DIAS!A:D,4,0)</f>
        <v>46140</v>
      </c>
      <c r="N1732" s="6">
        <v>0</v>
      </c>
      <c r="O1732" s="43">
        <f>VLOOKUP(Tabla1[[#This Row],[PAGO DIA]],DIAS!A:E,5,0)</f>
        <v>46168</v>
      </c>
      <c r="P1732" s="6">
        <v>0</v>
      </c>
      <c r="Q1732" s="43">
        <f>VLOOKUP(Tabla1[[#This Row],[PAGO DIA]],DIAS!A:F,6,0)</f>
        <v>46196</v>
      </c>
      <c r="R1732" s="6">
        <v>0</v>
      </c>
      <c r="S1732" s="43">
        <f>VLOOKUP(Tabla1[[#This Row],[PAGO DIA]],DIAS!A:G,7,0)</f>
        <v>46231</v>
      </c>
      <c r="T1732" s="6">
        <v>0</v>
      </c>
      <c r="U1732" s="43">
        <f>VLOOKUP(Tabla1[[#This Row],[PAGO DIA]],DIAS!A:H,8,0)</f>
        <v>46259</v>
      </c>
      <c r="V1732" s="6">
        <v>0</v>
      </c>
      <c r="W1732" s="43">
        <f>VLOOKUP(Tabla1[[#This Row],[PAGO DIA]],DIAS!A:I,9,0)</f>
        <v>46287</v>
      </c>
      <c r="X1732" s="6">
        <v>0</v>
      </c>
      <c r="Y1732" s="43">
        <f>VLOOKUP(Tabla1[[#This Row],[PAGO DIA]],DIAS!A:J,10,0)</f>
        <v>46322</v>
      </c>
      <c r="Z1732" s="6">
        <v>0</v>
      </c>
      <c r="AA1732" s="43">
        <f>VLOOKUP(Tabla1[[#This Row],[PAGO DIA]],DIAS!A:K,11,0)</f>
        <v>46350</v>
      </c>
      <c r="AB1732" s="6">
        <v>0</v>
      </c>
      <c r="AC1732" s="43">
        <f>VLOOKUP(Tabla1[[#This Row],[PAGO DIA]],DIAS!A:M,12,0)</f>
        <v>46379</v>
      </c>
      <c r="AD17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3" spans="1:30">
      <c r="A1733" s="3">
        <v>11879</v>
      </c>
      <c r="B1733" s="3" t="s">
        <v>548</v>
      </c>
      <c r="C1733" s="3" t="s">
        <v>552</v>
      </c>
      <c r="D1733" s="3" t="s">
        <v>553</v>
      </c>
      <c r="E1733" s="3" t="s">
        <v>2221</v>
      </c>
      <c r="F1733" s="42" t="s">
        <v>562</v>
      </c>
      <c r="G1733" s="3" t="s">
        <v>635</v>
      </c>
      <c r="H1733" s="6">
        <v>0</v>
      </c>
      <c r="I1733" s="41">
        <f>VLOOKUP(Tabla1[[#This Row],[PAGO DIA]],DIAS!A:B,2,0)</f>
        <v>46078</v>
      </c>
      <c r="J1733" s="6">
        <v>0</v>
      </c>
      <c r="K1733" s="43">
        <f>VLOOKUP(Tabla1[[#This Row],[PAGO DIA]],DIAS!A:C,3,0)</f>
        <v>46105</v>
      </c>
      <c r="L1733" s="6">
        <v>0</v>
      </c>
      <c r="M1733" s="41">
        <f>VLOOKUP(Tabla1[[#This Row],[PAGO DIA]],DIAS!A:D,4,0)</f>
        <v>46140</v>
      </c>
      <c r="N1733" s="6">
        <v>0</v>
      </c>
      <c r="O1733" s="43">
        <f>VLOOKUP(Tabla1[[#This Row],[PAGO DIA]],DIAS!A:E,5,0)</f>
        <v>46168</v>
      </c>
      <c r="P1733" s="6">
        <v>0</v>
      </c>
      <c r="Q1733" s="43">
        <f>VLOOKUP(Tabla1[[#This Row],[PAGO DIA]],DIAS!A:F,6,0)</f>
        <v>46196</v>
      </c>
      <c r="R1733" s="6">
        <v>0</v>
      </c>
      <c r="S1733" s="43">
        <f>VLOOKUP(Tabla1[[#This Row],[PAGO DIA]],DIAS!A:G,7,0)</f>
        <v>46231</v>
      </c>
      <c r="T1733" s="6">
        <v>0</v>
      </c>
      <c r="U1733" s="43">
        <f>VLOOKUP(Tabla1[[#This Row],[PAGO DIA]],DIAS!A:H,8,0)</f>
        <v>46259</v>
      </c>
      <c r="V1733" s="6">
        <v>0</v>
      </c>
      <c r="W1733" s="43">
        <f>VLOOKUP(Tabla1[[#This Row],[PAGO DIA]],DIAS!A:I,9,0)</f>
        <v>46287</v>
      </c>
      <c r="X1733" s="6">
        <v>0</v>
      </c>
      <c r="Y1733" s="43">
        <f>VLOOKUP(Tabla1[[#This Row],[PAGO DIA]],DIAS!A:J,10,0)</f>
        <v>46322</v>
      </c>
      <c r="Z1733" s="6">
        <v>0</v>
      </c>
      <c r="AA1733" s="43">
        <f>VLOOKUP(Tabla1[[#This Row],[PAGO DIA]],DIAS!A:K,11,0)</f>
        <v>46350</v>
      </c>
      <c r="AB1733" s="6">
        <v>0</v>
      </c>
      <c r="AC1733" s="43">
        <f>VLOOKUP(Tabla1[[#This Row],[PAGO DIA]],DIAS!A:M,12,0)</f>
        <v>46379</v>
      </c>
      <c r="AD17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4" spans="1:30">
      <c r="A1734" s="3">
        <v>11365</v>
      </c>
      <c r="B1734" s="3" t="s">
        <v>548</v>
      </c>
      <c r="C1734" s="3"/>
      <c r="D1734" s="3" t="s">
        <v>2222</v>
      </c>
      <c r="E1734" s="3" t="s">
        <v>2223</v>
      </c>
      <c r="F1734" s="42" t="s">
        <v>562</v>
      </c>
      <c r="G1734" s="3"/>
      <c r="H1734" s="6">
        <v>0</v>
      </c>
      <c r="I1734" s="41">
        <f>VLOOKUP(Tabla1[[#This Row],[PAGO DIA]],DIAS!A:B,2,0)</f>
        <v>46078</v>
      </c>
      <c r="J1734" s="6">
        <v>0</v>
      </c>
      <c r="K1734" s="43">
        <f>VLOOKUP(Tabla1[[#This Row],[PAGO DIA]],DIAS!A:C,3,0)</f>
        <v>46105</v>
      </c>
      <c r="L1734" s="6">
        <v>0</v>
      </c>
      <c r="M1734" s="41">
        <f>VLOOKUP(Tabla1[[#This Row],[PAGO DIA]],DIAS!A:D,4,0)</f>
        <v>46140</v>
      </c>
      <c r="N1734" s="6">
        <v>0</v>
      </c>
      <c r="O1734" s="43">
        <f>VLOOKUP(Tabla1[[#This Row],[PAGO DIA]],DIAS!A:E,5,0)</f>
        <v>46168</v>
      </c>
      <c r="P1734" s="6">
        <v>0</v>
      </c>
      <c r="Q1734" s="43">
        <f>VLOOKUP(Tabla1[[#This Row],[PAGO DIA]],DIAS!A:F,6,0)</f>
        <v>46196</v>
      </c>
      <c r="R1734" s="6">
        <v>0</v>
      </c>
      <c r="S1734" s="43">
        <f>VLOOKUP(Tabla1[[#This Row],[PAGO DIA]],DIAS!A:G,7,0)</f>
        <v>46231</v>
      </c>
      <c r="T1734" s="6">
        <v>0</v>
      </c>
      <c r="U1734" s="43">
        <f>VLOOKUP(Tabla1[[#This Row],[PAGO DIA]],DIAS!A:H,8,0)</f>
        <v>46259</v>
      </c>
      <c r="V1734" s="6">
        <v>0</v>
      </c>
      <c r="W1734" s="43">
        <f>VLOOKUP(Tabla1[[#This Row],[PAGO DIA]],DIAS!A:I,9,0)</f>
        <v>46287</v>
      </c>
      <c r="X1734" s="6">
        <v>0</v>
      </c>
      <c r="Y1734" s="43">
        <f>VLOOKUP(Tabla1[[#This Row],[PAGO DIA]],DIAS!A:J,10,0)</f>
        <v>46322</v>
      </c>
      <c r="Z1734" s="6">
        <v>0</v>
      </c>
      <c r="AA1734" s="43">
        <f>VLOOKUP(Tabla1[[#This Row],[PAGO DIA]],DIAS!A:K,11,0)</f>
        <v>46350</v>
      </c>
      <c r="AB1734" s="6">
        <v>0</v>
      </c>
      <c r="AC1734" s="43">
        <f>VLOOKUP(Tabla1[[#This Row],[PAGO DIA]],DIAS!A:M,12,0)</f>
        <v>46379</v>
      </c>
      <c r="AD17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5" spans="1:30">
      <c r="A1735" s="3">
        <v>11523</v>
      </c>
      <c r="B1735" s="3" t="s">
        <v>548</v>
      </c>
      <c r="C1735" s="3" t="s">
        <v>2224</v>
      </c>
      <c r="D1735" s="3" t="s">
        <v>2224</v>
      </c>
      <c r="E1735" s="3" t="s">
        <v>2225</v>
      </c>
      <c r="F1735" s="42" t="s">
        <v>562</v>
      </c>
      <c r="G1735" s="3"/>
      <c r="H1735" s="6">
        <v>0</v>
      </c>
      <c r="I1735" s="41">
        <f>VLOOKUP(Tabla1[[#This Row],[PAGO DIA]],DIAS!A:B,2,0)</f>
        <v>46078</v>
      </c>
      <c r="J1735" s="6">
        <v>0</v>
      </c>
      <c r="K1735" s="43">
        <f>VLOOKUP(Tabla1[[#This Row],[PAGO DIA]],DIAS!A:C,3,0)</f>
        <v>46105</v>
      </c>
      <c r="L1735" s="6">
        <v>0</v>
      </c>
      <c r="M1735" s="41">
        <f>VLOOKUP(Tabla1[[#This Row],[PAGO DIA]],DIAS!A:D,4,0)</f>
        <v>46140</v>
      </c>
      <c r="N1735" s="6">
        <v>0</v>
      </c>
      <c r="O1735" s="43">
        <f>VLOOKUP(Tabla1[[#This Row],[PAGO DIA]],DIAS!A:E,5,0)</f>
        <v>46168</v>
      </c>
      <c r="P1735" s="6">
        <v>0</v>
      </c>
      <c r="Q1735" s="43">
        <f>VLOOKUP(Tabla1[[#This Row],[PAGO DIA]],DIAS!A:F,6,0)</f>
        <v>46196</v>
      </c>
      <c r="R1735" s="6">
        <v>0</v>
      </c>
      <c r="S1735" s="43">
        <f>VLOOKUP(Tabla1[[#This Row],[PAGO DIA]],DIAS!A:G,7,0)</f>
        <v>46231</v>
      </c>
      <c r="T1735" s="6">
        <v>0</v>
      </c>
      <c r="U1735" s="43">
        <f>VLOOKUP(Tabla1[[#This Row],[PAGO DIA]],DIAS!A:H,8,0)</f>
        <v>46259</v>
      </c>
      <c r="V1735" s="6">
        <v>0</v>
      </c>
      <c r="W1735" s="43">
        <f>VLOOKUP(Tabla1[[#This Row],[PAGO DIA]],DIAS!A:I,9,0)</f>
        <v>46287</v>
      </c>
      <c r="X1735" s="6">
        <v>0</v>
      </c>
      <c r="Y1735" s="43">
        <f>VLOOKUP(Tabla1[[#This Row],[PAGO DIA]],DIAS!A:J,10,0)</f>
        <v>46322</v>
      </c>
      <c r="Z1735" s="6">
        <v>0</v>
      </c>
      <c r="AA1735" s="43">
        <f>VLOOKUP(Tabla1[[#This Row],[PAGO DIA]],DIAS!A:K,11,0)</f>
        <v>46350</v>
      </c>
      <c r="AB1735" s="6">
        <v>0</v>
      </c>
      <c r="AC1735" s="43">
        <f>VLOOKUP(Tabla1[[#This Row],[PAGO DIA]],DIAS!A:M,12,0)</f>
        <v>46379</v>
      </c>
      <c r="AD17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6" spans="1:30">
      <c r="A1736" s="3">
        <v>11376</v>
      </c>
      <c r="B1736" s="3" t="s">
        <v>548</v>
      </c>
      <c r="C1736" s="3"/>
      <c r="D1736" s="3" t="s">
        <v>632</v>
      </c>
      <c r="E1736" s="3" t="s">
        <v>633</v>
      </c>
      <c r="F1736" s="42" t="s">
        <v>562</v>
      </c>
      <c r="G1736" s="3"/>
      <c r="H1736" s="6">
        <v>0</v>
      </c>
      <c r="I1736" s="41">
        <f>VLOOKUP(Tabla1[[#This Row],[PAGO DIA]],DIAS!A:B,2,0)</f>
        <v>46078</v>
      </c>
      <c r="J1736" s="6">
        <v>0</v>
      </c>
      <c r="K1736" s="43">
        <f>VLOOKUP(Tabla1[[#This Row],[PAGO DIA]],DIAS!A:C,3,0)</f>
        <v>46105</v>
      </c>
      <c r="L1736" s="6">
        <v>0</v>
      </c>
      <c r="M1736" s="41">
        <f>VLOOKUP(Tabla1[[#This Row],[PAGO DIA]],DIAS!A:D,4,0)</f>
        <v>46140</v>
      </c>
      <c r="N1736" s="6">
        <v>0</v>
      </c>
      <c r="O1736" s="43">
        <f>VLOOKUP(Tabla1[[#This Row],[PAGO DIA]],DIAS!A:E,5,0)</f>
        <v>46168</v>
      </c>
      <c r="P1736" s="6">
        <v>0</v>
      </c>
      <c r="Q1736" s="43">
        <f>VLOOKUP(Tabla1[[#This Row],[PAGO DIA]],DIAS!A:F,6,0)</f>
        <v>46196</v>
      </c>
      <c r="R1736" s="6">
        <v>0</v>
      </c>
      <c r="S1736" s="43">
        <f>VLOOKUP(Tabla1[[#This Row],[PAGO DIA]],DIAS!A:G,7,0)</f>
        <v>46231</v>
      </c>
      <c r="T1736" s="6">
        <v>0</v>
      </c>
      <c r="U1736" s="43">
        <f>VLOOKUP(Tabla1[[#This Row],[PAGO DIA]],DIAS!A:H,8,0)</f>
        <v>46259</v>
      </c>
      <c r="V1736" s="6">
        <v>0</v>
      </c>
      <c r="W1736" s="43">
        <f>VLOOKUP(Tabla1[[#This Row],[PAGO DIA]],DIAS!A:I,9,0)</f>
        <v>46287</v>
      </c>
      <c r="X1736" s="6">
        <v>0</v>
      </c>
      <c r="Y1736" s="43">
        <f>VLOOKUP(Tabla1[[#This Row],[PAGO DIA]],DIAS!A:J,10,0)</f>
        <v>46322</v>
      </c>
      <c r="Z1736" s="6">
        <v>0</v>
      </c>
      <c r="AA1736" s="43">
        <f>VLOOKUP(Tabla1[[#This Row],[PAGO DIA]],DIAS!A:K,11,0)</f>
        <v>46350</v>
      </c>
      <c r="AB1736" s="6">
        <v>0</v>
      </c>
      <c r="AC1736" s="43">
        <f>VLOOKUP(Tabla1[[#This Row],[PAGO DIA]],DIAS!A:M,12,0)</f>
        <v>46379</v>
      </c>
      <c r="AD17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7" spans="1:30">
      <c r="A1737" s="3">
        <v>12442</v>
      </c>
      <c r="B1737" s="3" t="s">
        <v>548</v>
      </c>
      <c r="C1737" s="3"/>
      <c r="D1737" s="3" t="s">
        <v>2226</v>
      </c>
      <c r="E1737" s="3" t="s">
        <v>2227</v>
      </c>
      <c r="F1737" s="42" t="s">
        <v>562</v>
      </c>
      <c r="G1737" s="3"/>
      <c r="H1737" s="6">
        <v>0</v>
      </c>
      <c r="I1737" s="41">
        <f>VLOOKUP(Tabla1[[#This Row],[PAGO DIA]],DIAS!A:B,2,0)</f>
        <v>46078</v>
      </c>
      <c r="J1737" s="6">
        <v>0</v>
      </c>
      <c r="K1737" s="43">
        <f>VLOOKUP(Tabla1[[#This Row],[PAGO DIA]],DIAS!A:C,3,0)</f>
        <v>46105</v>
      </c>
      <c r="L1737" s="6">
        <v>0</v>
      </c>
      <c r="M1737" s="41">
        <f>VLOOKUP(Tabla1[[#This Row],[PAGO DIA]],DIAS!A:D,4,0)</f>
        <v>46140</v>
      </c>
      <c r="N1737" s="6">
        <v>0</v>
      </c>
      <c r="O1737" s="43">
        <f>VLOOKUP(Tabla1[[#This Row],[PAGO DIA]],DIAS!A:E,5,0)</f>
        <v>46168</v>
      </c>
      <c r="P1737" s="6">
        <v>0</v>
      </c>
      <c r="Q1737" s="43">
        <f>VLOOKUP(Tabla1[[#This Row],[PAGO DIA]],DIAS!A:F,6,0)</f>
        <v>46196</v>
      </c>
      <c r="R1737" s="6">
        <v>0</v>
      </c>
      <c r="S1737" s="43">
        <f>VLOOKUP(Tabla1[[#This Row],[PAGO DIA]],DIAS!A:G,7,0)</f>
        <v>46231</v>
      </c>
      <c r="T1737" s="6">
        <v>0</v>
      </c>
      <c r="U1737" s="43">
        <f>VLOOKUP(Tabla1[[#This Row],[PAGO DIA]],DIAS!A:H,8,0)</f>
        <v>46259</v>
      </c>
      <c r="V1737" s="6">
        <v>0</v>
      </c>
      <c r="W1737" s="43">
        <f>VLOOKUP(Tabla1[[#This Row],[PAGO DIA]],DIAS!A:I,9,0)</f>
        <v>46287</v>
      </c>
      <c r="X1737" s="6">
        <v>0</v>
      </c>
      <c r="Y1737" s="43">
        <f>VLOOKUP(Tabla1[[#This Row],[PAGO DIA]],DIAS!A:J,10,0)</f>
        <v>46322</v>
      </c>
      <c r="Z1737" s="6">
        <v>0</v>
      </c>
      <c r="AA1737" s="43">
        <f>VLOOKUP(Tabla1[[#This Row],[PAGO DIA]],DIAS!A:K,11,0)</f>
        <v>46350</v>
      </c>
      <c r="AB1737" s="6">
        <v>0</v>
      </c>
      <c r="AC1737" s="43">
        <f>VLOOKUP(Tabla1[[#This Row],[PAGO DIA]],DIAS!A:M,12,0)</f>
        <v>46379</v>
      </c>
      <c r="AD17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8" spans="1:30">
      <c r="A1738" s="3">
        <v>11346</v>
      </c>
      <c r="B1738" s="3" t="s">
        <v>548</v>
      </c>
      <c r="C1738" s="3"/>
      <c r="D1738" s="3" t="s">
        <v>2228</v>
      </c>
      <c r="E1738" s="3" t="s">
        <v>2229</v>
      </c>
      <c r="F1738" s="42" t="s">
        <v>562</v>
      </c>
      <c r="G1738" s="3"/>
      <c r="H1738" s="6">
        <v>0</v>
      </c>
      <c r="I1738" s="41">
        <f>VLOOKUP(Tabla1[[#This Row],[PAGO DIA]],DIAS!A:B,2,0)</f>
        <v>46078</v>
      </c>
      <c r="J1738" s="6">
        <v>0</v>
      </c>
      <c r="K1738" s="43">
        <f>VLOOKUP(Tabla1[[#This Row],[PAGO DIA]],DIAS!A:C,3,0)</f>
        <v>46105</v>
      </c>
      <c r="L1738" s="6">
        <v>0</v>
      </c>
      <c r="M1738" s="41">
        <f>VLOOKUP(Tabla1[[#This Row],[PAGO DIA]],DIAS!A:D,4,0)</f>
        <v>46140</v>
      </c>
      <c r="N1738" s="6">
        <v>0</v>
      </c>
      <c r="O1738" s="43">
        <f>VLOOKUP(Tabla1[[#This Row],[PAGO DIA]],DIAS!A:E,5,0)</f>
        <v>46168</v>
      </c>
      <c r="P1738" s="6">
        <v>0</v>
      </c>
      <c r="Q1738" s="43">
        <f>VLOOKUP(Tabla1[[#This Row],[PAGO DIA]],DIAS!A:F,6,0)</f>
        <v>46196</v>
      </c>
      <c r="R1738" s="6">
        <v>0</v>
      </c>
      <c r="S1738" s="43">
        <f>VLOOKUP(Tabla1[[#This Row],[PAGO DIA]],DIAS!A:G,7,0)</f>
        <v>46231</v>
      </c>
      <c r="T1738" s="6">
        <v>0</v>
      </c>
      <c r="U1738" s="43">
        <f>VLOOKUP(Tabla1[[#This Row],[PAGO DIA]],DIAS!A:H,8,0)</f>
        <v>46259</v>
      </c>
      <c r="V1738" s="6">
        <v>0</v>
      </c>
      <c r="W1738" s="43">
        <f>VLOOKUP(Tabla1[[#This Row],[PAGO DIA]],DIAS!A:I,9,0)</f>
        <v>46287</v>
      </c>
      <c r="X1738" s="6">
        <v>0</v>
      </c>
      <c r="Y1738" s="43">
        <f>VLOOKUP(Tabla1[[#This Row],[PAGO DIA]],DIAS!A:J,10,0)</f>
        <v>46322</v>
      </c>
      <c r="Z1738" s="6">
        <v>0</v>
      </c>
      <c r="AA1738" s="43">
        <f>VLOOKUP(Tabla1[[#This Row],[PAGO DIA]],DIAS!A:K,11,0)</f>
        <v>46350</v>
      </c>
      <c r="AB1738" s="6">
        <v>0</v>
      </c>
      <c r="AC1738" s="43">
        <f>VLOOKUP(Tabla1[[#This Row],[PAGO DIA]],DIAS!A:M,12,0)</f>
        <v>46379</v>
      </c>
      <c r="AD17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39" spans="1:30">
      <c r="A1739" s="3">
        <v>11976</v>
      </c>
      <c r="B1739" s="3" t="s">
        <v>548</v>
      </c>
      <c r="C1739" s="3" t="s">
        <v>2230</v>
      </c>
      <c r="D1739" s="3" t="s">
        <v>2230</v>
      </c>
      <c r="E1739" s="3" t="s">
        <v>2230</v>
      </c>
      <c r="F1739" s="42" t="s">
        <v>562</v>
      </c>
      <c r="G1739" s="3"/>
      <c r="H1739" s="6">
        <v>0</v>
      </c>
      <c r="I1739" s="41">
        <f>VLOOKUP(Tabla1[[#This Row],[PAGO DIA]],DIAS!A:B,2,0)</f>
        <v>46078</v>
      </c>
      <c r="J1739" s="6">
        <v>0</v>
      </c>
      <c r="K1739" s="43">
        <f>VLOOKUP(Tabla1[[#This Row],[PAGO DIA]],DIAS!A:C,3,0)</f>
        <v>46105</v>
      </c>
      <c r="L1739" s="6">
        <v>0</v>
      </c>
      <c r="M1739" s="41">
        <f>VLOOKUP(Tabla1[[#This Row],[PAGO DIA]],DIAS!A:D,4,0)</f>
        <v>46140</v>
      </c>
      <c r="N1739" s="6">
        <v>0</v>
      </c>
      <c r="O1739" s="43">
        <f>VLOOKUP(Tabla1[[#This Row],[PAGO DIA]],DIAS!A:E,5,0)</f>
        <v>46168</v>
      </c>
      <c r="P1739" s="6">
        <v>0</v>
      </c>
      <c r="Q1739" s="43">
        <f>VLOOKUP(Tabla1[[#This Row],[PAGO DIA]],DIAS!A:F,6,0)</f>
        <v>46196</v>
      </c>
      <c r="R1739" s="6">
        <v>0</v>
      </c>
      <c r="S1739" s="43">
        <f>VLOOKUP(Tabla1[[#This Row],[PAGO DIA]],DIAS!A:G,7,0)</f>
        <v>46231</v>
      </c>
      <c r="T1739" s="6">
        <v>0</v>
      </c>
      <c r="U1739" s="43">
        <f>VLOOKUP(Tabla1[[#This Row],[PAGO DIA]],DIAS!A:H,8,0)</f>
        <v>46259</v>
      </c>
      <c r="V1739" s="6">
        <v>0</v>
      </c>
      <c r="W1739" s="43">
        <f>VLOOKUP(Tabla1[[#This Row],[PAGO DIA]],DIAS!A:I,9,0)</f>
        <v>46287</v>
      </c>
      <c r="X1739" s="6">
        <v>0</v>
      </c>
      <c r="Y1739" s="43">
        <f>VLOOKUP(Tabla1[[#This Row],[PAGO DIA]],DIAS!A:J,10,0)</f>
        <v>46322</v>
      </c>
      <c r="Z1739" s="6">
        <v>0</v>
      </c>
      <c r="AA1739" s="43">
        <f>VLOOKUP(Tabla1[[#This Row],[PAGO DIA]],DIAS!A:K,11,0)</f>
        <v>46350</v>
      </c>
      <c r="AB1739" s="6">
        <v>0</v>
      </c>
      <c r="AC1739" s="43">
        <f>VLOOKUP(Tabla1[[#This Row],[PAGO DIA]],DIAS!A:M,12,0)</f>
        <v>46379</v>
      </c>
      <c r="AD17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0" spans="1:30">
      <c r="A1740" s="3">
        <v>11382</v>
      </c>
      <c r="B1740" s="3" t="s">
        <v>548</v>
      </c>
      <c r="C1740" s="3"/>
      <c r="D1740" s="3" t="s">
        <v>2231</v>
      </c>
      <c r="E1740" s="3" t="s">
        <v>2231</v>
      </c>
      <c r="F1740" s="42" t="s">
        <v>562</v>
      </c>
      <c r="G1740" s="3"/>
      <c r="H1740" s="6">
        <v>0</v>
      </c>
      <c r="I1740" s="41">
        <f>VLOOKUP(Tabla1[[#This Row],[PAGO DIA]],DIAS!A:B,2,0)</f>
        <v>46078</v>
      </c>
      <c r="J1740" s="6">
        <v>0</v>
      </c>
      <c r="K1740" s="43">
        <f>VLOOKUP(Tabla1[[#This Row],[PAGO DIA]],DIAS!A:C,3,0)</f>
        <v>46105</v>
      </c>
      <c r="L1740" s="6">
        <v>0</v>
      </c>
      <c r="M1740" s="41">
        <f>VLOOKUP(Tabla1[[#This Row],[PAGO DIA]],DIAS!A:D,4,0)</f>
        <v>46140</v>
      </c>
      <c r="N1740" s="6">
        <v>0</v>
      </c>
      <c r="O1740" s="43">
        <f>VLOOKUP(Tabla1[[#This Row],[PAGO DIA]],DIAS!A:E,5,0)</f>
        <v>46168</v>
      </c>
      <c r="P1740" s="6">
        <v>0</v>
      </c>
      <c r="Q1740" s="43">
        <f>VLOOKUP(Tabla1[[#This Row],[PAGO DIA]],DIAS!A:F,6,0)</f>
        <v>46196</v>
      </c>
      <c r="R1740" s="6">
        <v>0</v>
      </c>
      <c r="S1740" s="43">
        <f>VLOOKUP(Tabla1[[#This Row],[PAGO DIA]],DIAS!A:G,7,0)</f>
        <v>46231</v>
      </c>
      <c r="T1740" s="6">
        <v>0</v>
      </c>
      <c r="U1740" s="43">
        <f>VLOOKUP(Tabla1[[#This Row],[PAGO DIA]],DIAS!A:H,8,0)</f>
        <v>46259</v>
      </c>
      <c r="V1740" s="6">
        <v>0</v>
      </c>
      <c r="W1740" s="43">
        <f>VLOOKUP(Tabla1[[#This Row],[PAGO DIA]],DIAS!A:I,9,0)</f>
        <v>46287</v>
      </c>
      <c r="X1740" s="6">
        <v>0</v>
      </c>
      <c r="Y1740" s="43">
        <f>VLOOKUP(Tabla1[[#This Row],[PAGO DIA]],DIAS!A:J,10,0)</f>
        <v>46322</v>
      </c>
      <c r="Z1740" s="6">
        <v>0</v>
      </c>
      <c r="AA1740" s="43">
        <f>VLOOKUP(Tabla1[[#This Row],[PAGO DIA]],DIAS!A:K,11,0)</f>
        <v>46350</v>
      </c>
      <c r="AB1740" s="6">
        <v>0</v>
      </c>
      <c r="AC1740" s="43">
        <f>VLOOKUP(Tabla1[[#This Row],[PAGO DIA]],DIAS!A:M,12,0)</f>
        <v>46379</v>
      </c>
      <c r="AD17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1" spans="1:30">
      <c r="A1741" s="3">
        <v>11334</v>
      </c>
      <c r="B1741" s="3" t="s">
        <v>548</v>
      </c>
      <c r="C1741" s="3" t="s">
        <v>2232</v>
      </c>
      <c r="D1741" s="3" t="s">
        <v>2232</v>
      </c>
      <c r="E1741" s="3" t="s">
        <v>2232</v>
      </c>
      <c r="F1741" s="42" t="s">
        <v>562</v>
      </c>
      <c r="G1741" s="3" t="s">
        <v>1161</v>
      </c>
      <c r="H1741" s="6">
        <v>0</v>
      </c>
      <c r="I1741" s="41">
        <f>VLOOKUP(Tabla1[[#This Row],[PAGO DIA]],DIAS!A:B,2,0)</f>
        <v>46078</v>
      </c>
      <c r="J1741" s="6">
        <v>0</v>
      </c>
      <c r="K1741" s="43">
        <f>VLOOKUP(Tabla1[[#This Row],[PAGO DIA]],DIAS!A:C,3,0)</f>
        <v>46105</v>
      </c>
      <c r="L1741" s="6">
        <v>0</v>
      </c>
      <c r="M1741" s="41">
        <f>VLOOKUP(Tabla1[[#This Row],[PAGO DIA]],DIAS!A:D,4,0)</f>
        <v>46140</v>
      </c>
      <c r="N1741" s="6">
        <v>0</v>
      </c>
      <c r="O1741" s="43">
        <f>VLOOKUP(Tabla1[[#This Row],[PAGO DIA]],DIAS!A:E,5,0)</f>
        <v>46168</v>
      </c>
      <c r="P1741" s="6">
        <v>0</v>
      </c>
      <c r="Q1741" s="43">
        <f>VLOOKUP(Tabla1[[#This Row],[PAGO DIA]],DIAS!A:F,6,0)</f>
        <v>46196</v>
      </c>
      <c r="R1741" s="6">
        <v>0</v>
      </c>
      <c r="S1741" s="43">
        <f>VLOOKUP(Tabla1[[#This Row],[PAGO DIA]],DIAS!A:G,7,0)</f>
        <v>46231</v>
      </c>
      <c r="T1741" s="6">
        <v>0</v>
      </c>
      <c r="U1741" s="43">
        <f>VLOOKUP(Tabla1[[#This Row],[PAGO DIA]],DIAS!A:H,8,0)</f>
        <v>46259</v>
      </c>
      <c r="V1741" s="6">
        <v>0</v>
      </c>
      <c r="W1741" s="43">
        <f>VLOOKUP(Tabla1[[#This Row],[PAGO DIA]],DIAS!A:I,9,0)</f>
        <v>46287</v>
      </c>
      <c r="X1741" s="6">
        <v>0</v>
      </c>
      <c r="Y1741" s="43">
        <f>VLOOKUP(Tabla1[[#This Row],[PAGO DIA]],DIAS!A:J,10,0)</f>
        <v>46322</v>
      </c>
      <c r="Z1741" s="6">
        <v>0</v>
      </c>
      <c r="AA1741" s="43">
        <f>VLOOKUP(Tabla1[[#This Row],[PAGO DIA]],DIAS!A:K,11,0)</f>
        <v>46350</v>
      </c>
      <c r="AB1741" s="6">
        <v>0</v>
      </c>
      <c r="AC1741" s="43">
        <f>VLOOKUP(Tabla1[[#This Row],[PAGO DIA]],DIAS!A:M,12,0)</f>
        <v>46379</v>
      </c>
      <c r="AD17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2" spans="1:30">
      <c r="A1742" s="3">
        <v>12434</v>
      </c>
      <c r="B1742" s="3" t="s">
        <v>548</v>
      </c>
      <c r="C1742" s="3"/>
      <c r="D1742" s="3" t="s">
        <v>649</v>
      </c>
      <c r="E1742" s="3"/>
      <c r="F1742" s="42" t="s">
        <v>562</v>
      </c>
      <c r="G1742" s="3"/>
      <c r="H1742" s="6">
        <v>0</v>
      </c>
      <c r="I1742" s="41">
        <f>VLOOKUP(Tabla1[[#This Row],[PAGO DIA]],DIAS!A:B,2,0)</f>
        <v>46078</v>
      </c>
      <c r="J1742" s="6">
        <v>0</v>
      </c>
      <c r="K1742" s="43">
        <f>VLOOKUP(Tabla1[[#This Row],[PAGO DIA]],DIAS!A:C,3,0)</f>
        <v>46105</v>
      </c>
      <c r="L1742" s="6">
        <v>0</v>
      </c>
      <c r="M1742" s="41">
        <f>VLOOKUP(Tabla1[[#This Row],[PAGO DIA]],DIAS!A:D,4,0)</f>
        <v>46140</v>
      </c>
      <c r="N1742" s="6">
        <v>0</v>
      </c>
      <c r="O1742" s="43">
        <f>VLOOKUP(Tabla1[[#This Row],[PAGO DIA]],DIAS!A:E,5,0)</f>
        <v>46168</v>
      </c>
      <c r="P1742" s="6">
        <v>0</v>
      </c>
      <c r="Q1742" s="43">
        <f>VLOOKUP(Tabla1[[#This Row],[PAGO DIA]],DIAS!A:F,6,0)</f>
        <v>46196</v>
      </c>
      <c r="R1742" s="6">
        <v>0</v>
      </c>
      <c r="S1742" s="43">
        <f>VLOOKUP(Tabla1[[#This Row],[PAGO DIA]],DIAS!A:G,7,0)</f>
        <v>46231</v>
      </c>
      <c r="T1742" s="6">
        <v>0</v>
      </c>
      <c r="U1742" s="43">
        <f>VLOOKUP(Tabla1[[#This Row],[PAGO DIA]],DIAS!A:H,8,0)</f>
        <v>46259</v>
      </c>
      <c r="V1742" s="6">
        <v>0</v>
      </c>
      <c r="W1742" s="43">
        <f>VLOOKUP(Tabla1[[#This Row],[PAGO DIA]],DIAS!A:I,9,0)</f>
        <v>46287</v>
      </c>
      <c r="X1742" s="6">
        <v>0</v>
      </c>
      <c r="Y1742" s="43">
        <f>VLOOKUP(Tabla1[[#This Row],[PAGO DIA]],DIAS!A:J,10,0)</f>
        <v>46322</v>
      </c>
      <c r="Z1742" s="6">
        <v>0</v>
      </c>
      <c r="AA1742" s="43">
        <f>VLOOKUP(Tabla1[[#This Row],[PAGO DIA]],DIAS!A:K,11,0)</f>
        <v>46350</v>
      </c>
      <c r="AB1742" s="6">
        <v>0</v>
      </c>
      <c r="AC1742" s="43">
        <f>VLOOKUP(Tabla1[[#This Row],[PAGO DIA]],DIAS!A:M,12,0)</f>
        <v>46379</v>
      </c>
      <c r="AD17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3" spans="1:30">
      <c r="A1743" s="3">
        <v>12435</v>
      </c>
      <c r="B1743" s="3" t="s">
        <v>548</v>
      </c>
      <c r="C1743" s="3"/>
      <c r="D1743" s="3" t="s">
        <v>2233</v>
      </c>
      <c r="E1743" s="3"/>
      <c r="F1743" s="42" t="s">
        <v>562</v>
      </c>
      <c r="G1743" s="3"/>
      <c r="H1743" s="6">
        <v>0</v>
      </c>
      <c r="I1743" s="41">
        <f>VLOOKUP(Tabla1[[#This Row],[PAGO DIA]],DIAS!A:B,2,0)</f>
        <v>46078</v>
      </c>
      <c r="J1743" s="6">
        <v>0</v>
      </c>
      <c r="K1743" s="43">
        <f>VLOOKUP(Tabla1[[#This Row],[PAGO DIA]],DIAS!A:C,3,0)</f>
        <v>46105</v>
      </c>
      <c r="L1743" s="6">
        <v>0</v>
      </c>
      <c r="M1743" s="41">
        <f>VLOOKUP(Tabla1[[#This Row],[PAGO DIA]],DIAS!A:D,4,0)</f>
        <v>46140</v>
      </c>
      <c r="N1743" s="6">
        <v>0</v>
      </c>
      <c r="O1743" s="43">
        <f>VLOOKUP(Tabla1[[#This Row],[PAGO DIA]],DIAS!A:E,5,0)</f>
        <v>46168</v>
      </c>
      <c r="P1743" s="6">
        <v>0</v>
      </c>
      <c r="Q1743" s="43">
        <f>VLOOKUP(Tabla1[[#This Row],[PAGO DIA]],DIAS!A:F,6,0)</f>
        <v>46196</v>
      </c>
      <c r="R1743" s="6">
        <v>0</v>
      </c>
      <c r="S1743" s="43">
        <f>VLOOKUP(Tabla1[[#This Row],[PAGO DIA]],DIAS!A:G,7,0)</f>
        <v>46231</v>
      </c>
      <c r="T1743" s="6">
        <v>0</v>
      </c>
      <c r="U1743" s="43">
        <f>VLOOKUP(Tabla1[[#This Row],[PAGO DIA]],DIAS!A:H,8,0)</f>
        <v>46259</v>
      </c>
      <c r="V1743" s="6">
        <v>0</v>
      </c>
      <c r="W1743" s="43">
        <f>VLOOKUP(Tabla1[[#This Row],[PAGO DIA]],DIAS!A:I,9,0)</f>
        <v>46287</v>
      </c>
      <c r="X1743" s="6">
        <v>0</v>
      </c>
      <c r="Y1743" s="43">
        <f>VLOOKUP(Tabla1[[#This Row],[PAGO DIA]],DIAS!A:J,10,0)</f>
        <v>46322</v>
      </c>
      <c r="Z1743" s="6">
        <v>0</v>
      </c>
      <c r="AA1743" s="43">
        <f>VLOOKUP(Tabla1[[#This Row],[PAGO DIA]],DIAS!A:K,11,0)</f>
        <v>46350</v>
      </c>
      <c r="AB1743" s="6">
        <v>0</v>
      </c>
      <c r="AC1743" s="43">
        <f>VLOOKUP(Tabla1[[#This Row],[PAGO DIA]],DIAS!A:M,12,0)</f>
        <v>46379</v>
      </c>
      <c r="AD174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4" spans="1:30">
      <c r="A1744" s="3">
        <v>12436</v>
      </c>
      <c r="B1744" s="3" t="s">
        <v>548</v>
      </c>
      <c r="C1744" s="3"/>
      <c r="D1744" s="3" t="s">
        <v>2234</v>
      </c>
      <c r="E1744" s="3"/>
      <c r="F1744" s="42" t="s">
        <v>562</v>
      </c>
      <c r="G1744" s="3"/>
      <c r="H1744" s="6">
        <v>0</v>
      </c>
      <c r="I1744" s="41">
        <f>VLOOKUP(Tabla1[[#This Row],[PAGO DIA]],DIAS!A:B,2,0)</f>
        <v>46078</v>
      </c>
      <c r="J1744" s="6">
        <v>0</v>
      </c>
      <c r="K1744" s="43">
        <f>VLOOKUP(Tabla1[[#This Row],[PAGO DIA]],DIAS!A:C,3,0)</f>
        <v>46105</v>
      </c>
      <c r="L1744" s="6">
        <v>0</v>
      </c>
      <c r="M1744" s="41">
        <f>VLOOKUP(Tabla1[[#This Row],[PAGO DIA]],DIAS!A:D,4,0)</f>
        <v>46140</v>
      </c>
      <c r="N1744" s="6">
        <v>0</v>
      </c>
      <c r="O1744" s="43">
        <f>VLOOKUP(Tabla1[[#This Row],[PAGO DIA]],DIAS!A:E,5,0)</f>
        <v>46168</v>
      </c>
      <c r="P1744" s="6">
        <v>0</v>
      </c>
      <c r="Q1744" s="43">
        <f>VLOOKUP(Tabla1[[#This Row],[PAGO DIA]],DIAS!A:F,6,0)</f>
        <v>46196</v>
      </c>
      <c r="R1744" s="6">
        <v>0</v>
      </c>
      <c r="S1744" s="43">
        <f>VLOOKUP(Tabla1[[#This Row],[PAGO DIA]],DIAS!A:G,7,0)</f>
        <v>46231</v>
      </c>
      <c r="T1744" s="6">
        <v>0</v>
      </c>
      <c r="U1744" s="43">
        <f>VLOOKUP(Tabla1[[#This Row],[PAGO DIA]],DIAS!A:H,8,0)</f>
        <v>46259</v>
      </c>
      <c r="V1744" s="6">
        <v>0</v>
      </c>
      <c r="W1744" s="43">
        <f>VLOOKUP(Tabla1[[#This Row],[PAGO DIA]],DIAS!A:I,9,0)</f>
        <v>46287</v>
      </c>
      <c r="X1744" s="6">
        <v>0</v>
      </c>
      <c r="Y1744" s="43">
        <f>VLOOKUP(Tabla1[[#This Row],[PAGO DIA]],DIAS!A:J,10,0)</f>
        <v>46322</v>
      </c>
      <c r="Z1744" s="6">
        <v>0</v>
      </c>
      <c r="AA1744" s="43">
        <f>VLOOKUP(Tabla1[[#This Row],[PAGO DIA]],DIAS!A:K,11,0)</f>
        <v>46350</v>
      </c>
      <c r="AB1744" s="6">
        <v>0</v>
      </c>
      <c r="AC1744" s="43">
        <f>VLOOKUP(Tabla1[[#This Row],[PAGO DIA]],DIAS!A:M,12,0)</f>
        <v>46379</v>
      </c>
      <c r="AD174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5" spans="1:30">
      <c r="A1745" s="3">
        <v>12437</v>
      </c>
      <c r="B1745" s="3" t="s">
        <v>548</v>
      </c>
      <c r="C1745" s="3"/>
      <c r="D1745" s="3" t="s">
        <v>2235</v>
      </c>
      <c r="E1745" s="3"/>
      <c r="F1745" s="42" t="s">
        <v>562</v>
      </c>
      <c r="G1745" s="3"/>
      <c r="H1745" s="6">
        <v>0</v>
      </c>
      <c r="I1745" s="41">
        <f>VLOOKUP(Tabla1[[#This Row],[PAGO DIA]],DIAS!A:B,2,0)</f>
        <v>46078</v>
      </c>
      <c r="J1745" s="6">
        <v>0</v>
      </c>
      <c r="K1745" s="43">
        <f>VLOOKUP(Tabla1[[#This Row],[PAGO DIA]],DIAS!A:C,3,0)</f>
        <v>46105</v>
      </c>
      <c r="L1745" s="6">
        <v>0</v>
      </c>
      <c r="M1745" s="41">
        <f>VLOOKUP(Tabla1[[#This Row],[PAGO DIA]],DIAS!A:D,4,0)</f>
        <v>46140</v>
      </c>
      <c r="N1745" s="6">
        <v>0</v>
      </c>
      <c r="O1745" s="43">
        <f>VLOOKUP(Tabla1[[#This Row],[PAGO DIA]],DIAS!A:E,5,0)</f>
        <v>46168</v>
      </c>
      <c r="P1745" s="6">
        <v>0</v>
      </c>
      <c r="Q1745" s="43">
        <f>VLOOKUP(Tabla1[[#This Row],[PAGO DIA]],DIAS!A:F,6,0)</f>
        <v>46196</v>
      </c>
      <c r="R1745" s="6">
        <v>0</v>
      </c>
      <c r="S1745" s="43">
        <f>VLOOKUP(Tabla1[[#This Row],[PAGO DIA]],DIAS!A:G,7,0)</f>
        <v>46231</v>
      </c>
      <c r="T1745" s="6">
        <v>0</v>
      </c>
      <c r="U1745" s="43">
        <f>VLOOKUP(Tabla1[[#This Row],[PAGO DIA]],DIAS!A:H,8,0)</f>
        <v>46259</v>
      </c>
      <c r="V1745" s="6">
        <v>0</v>
      </c>
      <c r="W1745" s="43">
        <f>VLOOKUP(Tabla1[[#This Row],[PAGO DIA]],DIAS!A:I,9,0)</f>
        <v>46287</v>
      </c>
      <c r="X1745" s="6">
        <v>0</v>
      </c>
      <c r="Y1745" s="43">
        <f>VLOOKUP(Tabla1[[#This Row],[PAGO DIA]],DIAS!A:J,10,0)</f>
        <v>46322</v>
      </c>
      <c r="Z1745" s="6">
        <v>0</v>
      </c>
      <c r="AA1745" s="43">
        <f>VLOOKUP(Tabla1[[#This Row],[PAGO DIA]],DIAS!A:K,11,0)</f>
        <v>46350</v>
      </c>
      <c r="AB1745" s="6">
        <v>0</v>
      </c>
      <c r="AC1745" s="43">
        <f>VLOOKUP(Tabla1[[#This Row],[PAGO DIA]],DIAS!A:M,12,0)</f>
        <v>46379</v>
      </c>
      <c r="AD174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6" spans="1:30">
      <c r="A1746" s="3">
        <v>12438</v>
      </c>
      <c r="B1746" s="3" t="s">
        <v>548</v>
      </c>
      <c r="C1746" s="3"/>
      <c r="D1746" s="3" t="s">
        <v>2236</v>
      </c>
      <c r="E1746" s="3"/>
      <c r="F1746" s="42" t="s">
        <v>562</v>
      </c>
      <c r="G1746" s="3"/>
      <c r="H1746" s="6">
        <v>0</v>
      </c>
      <c r="I1746" s="41">
        <f>VLOOKUP(Tabla1[[#This Row],[PAGO DIA]],DIAS!A:B,2,0)</f>
        <v>46078</v>
      </c>
      <c r="J1746" s="6">
        <v>0</v>
      </c>
      <c r="K1746" s="43">
        <f>VLOOKUP(Tabla1[[#This Row],[PAGO DIA]],DIAS!A:C,3,0)</f>
        <v>46105</v>
      </c>
      <c r="L1746" s="6">
        <v>0</v>
      </c>
      <c r="M1746" s="41">
        <f>VLOOKUP(Tabla1[[#This Row],[PAGO DIA]],DIAS!A:D,4,0)</f>
        <v>46140</v>
      </c>
      <c r="N1746" s="6">
        <v>0</v>
      </c>
      <c r="O1746" s="43">
        <f>VLOOKUP(Tabla1[[#This Row],[PAGO DIA]],DIAS!A:E,5,0)</f>
        <v>46168</v>
      </c>
      <c r="P1746" s="6">
        <v>0</v>
      </c>
      <c r="Q1746" s="43">
        <f>VLOOKUP(Tabla1[[#This Row],[PAGO DIA]],DIAS!A:F,6,0)</f>
        <v>46196</v>
      </c>
      <c r="R1746" s="6">
        <v>0</v>
      </c>
      <c r="S1746" s="43">
        <f>VLOOKUP(Tabla1[[#This Row],[PAGO DIA]],DIAS!A:G,7,0)</f>
        <v>46231</v>
      </c>
      <c r="T1746" s="6">
        <v>0</v>
      </c>
      <c r="U1746" s="43">
        <f>VLOOKUP(Tabla1[[#This Row],[PAGO DIA]],DIAS!A:H,8,0)</f>
        <v>46259</v>
      </c>
      <c r="V1746" s="6">
        <v>0</v>
      </c>
      <c r="W1746" s="43">
        <f>VLOOKUP(Tabla1[[#This Row],[PAGO DIA]],DIAS!A:I,9,0)</f>
        <v>46287</v>
      </c>
      <c r="X1746" s="6">
        <v>0</v>
      </c>
      <c r="Y1746" s="43">
        <f>VLOOKUP(Tabla1[[#This Row],[PAGO DIA]],DIAS!A:J,10,0)</f>
        <v>46322</v>
      </c>
      <c r="Z1746" s="6">
        <v>0</v>
      </c>
      <c r="AA1746" s="43">
        <f>VLOOKUP(Tabla1[[#This Row],[PAGO DIA]],DIAS!A:K,11,0)</f>
        <v>46350</v>
      </c>
      <c r="AB1746" s="6">
        <v>0</v>
      </c>
      <c r="AC1746" s="43">
        <f>VLOOKUP(Tabla1[[#This Row],[PAGO DIA]],DIAS!A:M,12,0)</f>
        <v>46379</v>
      </c>
      <c r="AD174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7" spans="1:30">
      <c r="A1747" s="3">
        <v>12439</v>
      </c>
      <c r="B1747" s="3" t="s">
        <v>548</v>
      </c>
      <c r="C1747" s="3"/>
      <c r="D1747" s="3" t="s">
        <v>2237</v>
      </c>
      <c r="E1747" s="3"/>
      <c r="F1747" s="42" t="s">
        <v>562</v>
      </c>
      <c r="G1747" s="3"/>
      <c r="H1747" s="6">
        <v>0</v>
      </c>
      <c r="I1747" s="41">
        <f>VLOOKUP(Tabla1[[#This Row],[PAGO DIA]],DIAS!A:B,2,0)</f>
        <v>46078</v>
      </c>
      <c r="J1747" s="6">
        <v>0</v>
      </c>
      <c r="K1747" s="43">
        <f>VLOOKUP(Tabla1[[#This Row],[PAGO DIA]],DIAS!A:C,3,0)</f>
        <v>46105</v>
      </c>
      <c r="L1747" s="6">
        <v>0</v>
      </c>
      <c r="M1747" s="41">
        <f>VLOOKUP(Tabla1[[#This Row],[PAGO DIA]],DIAS!A:D,4,0)</f>
        <v>46140</v>
      </c>
      <c r="N1747" s="6">
        <v>0</v>
      </c>
      <c r="O1747" s="43">
        <f>VLOOKUP(Tabla1[[#This Row],[PAGO DIA]],DIAS!A:E,5,0)</f>
        <v>46168</v>
      </c>
      <c r="P1747" s="6">
        <v>0</v>
      </c>
      <c r="Q1747" s="43">
        <f>VLOOKUP(Tabla1[[#This Row],[PAGO DIA]],DIAS!A:F,6,0)</f>
        <v>46196</v>
      </c>
      <c r="R1747" s="6">
        <v>0</v>
      </c>
      <c r="S1747" s="43">
        <f>VLOOKUP(Tabla1[[#This Row],[PAGO DIA]],DIAS!A:G,7,0)</f>
        <v>46231</v>
      </c>
      <c r="T1747" s="6">
        <v>0</v>
      </c>
      <c r="U1747" s="43">
        <f>VLOOKUP(Tabla1[[#This Row],[PAGO DIA]],DIAS!A:H,8,0)</f>
        <v>46259</v>
      </c>
      <c r="V1747" s="6">
        <v>0</v>
      </c>
      <c r="W1747" s="43">
        <f>VLOOKUP(Tabla1[[#This Row],[PAGO DIA]],DIAS!A:I,9,0)</f>
        <v>46287</v>
      </c>
      <c r="X1747" s="6">
        <v>0</v>
      </c>
      <c r="Y1747" s="43">
        <f>VLOOKUP(Tabla1[[#This Row],[PAGO DIA]],DIAS!A:J,10,0)</f>
        <v>46322</v>
      </c>
      <c r="Z1747" s="6">
        <v>0</v>
      </c>
      <c r="AA1747" s="43">
        <f>VLOOKUP(Tabla1[[#This Row],[PAGO DIA]],DIAS!A:K,11,0)</f>
        <v>46350</v>
      </c>
      <c r="AB1747" s="6">
        <v>0</v>
      </c>
      <c r="AC1747" s="43">
        <f>VLOOKUP(Tabla1[[#This Row],[PAGO DIA]],DIAS!A:M,12,0)</f>
        <v>46379</v>
      </c>
      <c r="AD174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8" spans="1:30">
      <c r="A1748" s="3">
        <v>12440</v>
      </c>
      <c r="B1748" s="3" t="s">
        <v>548</v>
      </c>
      <c r="C1748" s="3"/>
      <c r="D1748" s="3" t="s">
        <v>2238</v>
      </c>
      <c r="E1748" s="3"/>
      <c r="F1748" s="42" t="s">
        <v>562</v>
      </c>
      <c r="G1748" s="3"/>
      <c r="H1748" s="6">
        <v>0</v>
      </c>
      <c r="I1748" s="41">
        <f>VLOOKUP(Tabla1[[#This Row],[PAGO DIA]],DIAS!A:B,2,0)</f>
        <v>46078</v>
      </c>
      <c r="J1748" s="6">
        <v>0</v>
      </c>
      <c r="K1748" s="43">
        <f>VLOOKUP(Tabla1[[#This Row],[PAGO DIA]],DIAS!A:C,3,0)</f>
        <v>46105</v>
      </c>
      <c r="L1748" s="6">
        <v>0</v>
      </c>
      <c r="M1748" s="41">
        <f>VLOOKUP(Tabla1[[#This Row],[PAGO DIA]],DIAS!A:D,4,0)</f>
        <v>46140</v>
      </c>
      <c r="N1748" s="6">
        <v>0</v>
      </c>
      <c r="O1748" s="43">
        <f>VLOOKUP(Tabla1[[#This Row],[PAGO DIA]],DIAS!A:E,5,0)</f>
        <v>46168</v>
      </c>
      <c r="P1748" s="6">
        <v>0</v>
      </c>
      <c r="Q1748" s="43">
        <f>VLOOKUP(Tabla1[[#This Row],[PAGO DIA]],DIAS!A:F,6,0)</f>
        <v>46196</v>
      </c>
      <c r="R1748" s="6">
        <v>0</v>
      </c>
      <c r="S1748" s="43">
        <f>VLOOKUP(Tabla1[[#This Row],[PAGO DIA]],DIAS!A:G,7,0)</f>
        <v>46231</v>
      </c>
      <c r="T1748" s="6">
        <v>0</v>
      </c>
      <c r="U1748" s="43">
        <f>VLOOKUP(Tabla1[[#This Row],[PAGO DIA]],DIAS!A:H,8,0)</f>
        <v>46259</v>
      </c>
      <c r="V1748" s="6">
        <v>0</v>
      </c>
      <c r="W1748" s="43">
        <f>VLOOKUP(Tabla1[[#This Row],[PAGO DIA]],DIAS!A:I,9,0)</f>
        <v>46287</v>
      </c>
      <c r="X1748" s="6">
        <v>0</v>
      </c>
      <c r="Y1748" s="43">
        <f>VLOOKUP(Tabla1[[#This Row],[PAGO DIA]],DIAS!A:J,10,0)</f>
        <v>46322</v>
      </c>
      <c r="Z1748" s="6">
        <v>0</v>
      </c>
      <c r="AA1748" s="43">
        <f>VLOOKUP(Tabla1[[#This Row],[PAGO DIA]],DIAS!A:K,11,0)</f>
        <v>46350</v>
      </c>
      <c r="AB1748" s="6">
        <v>0</v>
      </c>
      <c r="AC1748" s="43">
        <f>VLOOKUP(Tabla1[[#This Row],[PAGO DIA]],DIAS!A:M,12,0)</f>
        <v>46379</v>
      </c>
      <c r="AD174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49" spans="1:30">
      <c r="A1749" s="3">
        <v>12441</v>
      </c>
      <c r="B1749" s="3" t="s">
        <v>548</v>
      </c>
      <c r="C1749" s="3"/>
      <c r="D1749" s="3" t="s">
        <v>2239</v>
      </c>
      <c r="E1749" s="3"/>
      <c r="F1749" s="42" t="s">
        <v>562</v>
      </c>
      <c r="G1749" s="3"/>
      <c r="H1749" s="6">
        <v>0</v>
      </c>
      <c r="I1749" s="41">
        <f>VLOOKUP(Tabla1[[#This Row],[PAGO DIA]],DIAS!A:B,2,0)</f>
        <v>46078</v>
      </c>
      <c r="J1749" s="6">
        <v>0</v>
      </c>
      <c r="K1749" s="43">
        <f>VLOOKUP(Tabla1[[#This Row],[PAGO DIA]],DIAS!A:C,3,0)</f>
        <v>46105</v>
      </c>
      <c r="L1749" s="6">
        <v>0</v>
      </c>
      <c r="M1749" s="41">
        <f>VLOOKUP(Tabla1[[#This Row],[PAGO DIA]],DIAS!A:D,4,0)</f>
        <v>46140</v>
      </c>
      <c r="N1749" s="6">
        <v>0</v>
      </c>
      <c r="O1749" s="43">
        <f>VLOOKUP(Tabla1[[#This Row],[PAGO DIA]],DIAS!A:E,5,0)</f>
        <v>46168</v>
      </c>
      <c r="P1749" s="6">
        <v>0</v>
      </c>
      <c r="Q1749" s="43">
        <f>VLOOKUP(Tabla1[[#This Row],[PAGO DIA]],DIAS!A:F,6,0)</f>
        <v>46196</v>
      </c>
      <c r="R1749" s="6">
        <v>0</v>
      </c>
      <c r="S1749" s="43">
        <f>VLOOKUP(Tabla1[[#This Row],[PAGO DIA]],DIAS!A:G,7,0)</f>
        <v>46231</v>
      </c>
      <c r="T1749" s="6">
        <v>0</v>
      </c>
      <c r="U1749" s="43">
        <f>VLOOKUP(Tabla1[[#This Row],[PAGO DIA]],DIAS!A:H,8,0)</f>
        <v>46259</v>
      </c>
      <c r="V1749" s="6">
        <v>0</v>
      </c>
      <c r="W1749" s="43">
        <f>VLOOKUP(Tabla1[[#This Row],[PAGO DIA]],DIAS!A:I,9,0)</f>
        <v>46287</v>
      </c>
      <c r="X1749" s="6">
        <v>0</v>
      </c>
      <c r="Y1749" s="43">
        <f>VLOOKUP(Tabla1[[#This Row],[PAGO DIA]],DIAS!A:J,10,0)</f>
        <v>46322</v>
      </c>
      <c r="Z1749" s="6">
        <v>0</v>
      </c>
      <c r="AA1749" s="43">
        <f>VLOOKUP(Tabla1[[#This Row],[PAGO DIA]],DIAS!A:K,11,0)</f>
        <v>46350</v>
      </c>
      <c r="AB1749" s="6">
        <v>0</v>
      </c>
      <c r="AC1749" s="43">
        <f>VLOOKUP(Tabla1[[#This Row],[PAGO DIA]],DIAS!A:M,12,0)</f>
        <v>46379</v>
      </c>
      <c r="AD174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0" spans="1:30">
      <c r="A1750" s="3">
        <v>12443</v>
      </c>
      <c r="B1750" s="3" t="s">
        <v>548</v>
      </c>
      <c r="C1750" s="3"/>
      <c r="D1750" s="3" t="s">
        <v>2240</v>
      </c>
      <c r="E1750" s="3"/>
      <c r="F1750" s="42" t="s">
        <v>562</v>
      </c>
      <c r="G1750" s="3"/>
      <c r="H1750" s="6">
        <v>0</v>
      </c>
      <c r="I1750" s="41">
        <f>VLOOKUP(Tabla1[[#This Row],[PAGO DIA]],DIAS!A:B,2,0)</f>
        <v>46078</v>
      </c>
      <c r="J1750" s="6">
        <v>0</v>
      </c>
      <c r="K1750" s="43">
        <f>VLOOKUP(Tabla1[[#This Row],[PAGO DIA]],DIAS!A:C,3,0)</f>
        <v>46105</v>
      </c>
      <c r="L1750" s="6">
        <v>0</v>
      </c>
      <c r="M1750" s="41">
        <f>VLOOKUP(Tabla1[[#This Row],[PAGO DIA]],DIAS!A:D,4,0)</f>
        <v>46140</v>
      </c>
      <c r="N1750" s="6">
        <v>0</v>
      </c>
      <c r="O1750" s="43">
        <f>VLOOKUP(Tabla1[[#This Row],[PAGO DIA]],DIAS!A:E,5,0)</f>
        <v>46168</v>
      </c>
      <c r="P1750" s="6">
        <v>0</v>
      </c>
      <c r="Q1750" s="43">
        <f>VLOOKUP(Tabla1[[#This Row],[PAGO DIA]],DIAS!A:F,6,0)</f>
        <v>46196</v>
      </c>
      <c r="R1750" s="6">
        <v>0</v>
      </c>
      <c r="S1750" s="43">
        <f>VLOOKUP(Tabla1[[#This Row],[PAGO DIA]],DIAS!A:G,7,0)</f>
        <v>46231</v>
      </c>
      <c r="T1750" s="6">
        <v>0</v>
      </c>
      <c r="U1750" s="43">
        <f>VLOOKUP(Tabla1[[#This Row],[PAGO DIA]],DIAS!A:H,8,0)</f>
        <v>46259</v>
      </c>
      <c r="V1750" s="6">
        <v>0</v>
      </c>
      <c r="W1750" s="43">
        <f>VLOOKUP(Tabla1[[#This Row],[PAGO DIA]],DIAS!A:I,9,0)</f>
        <v>46287</v>
      </c>
      <c r="X1750" s="6">
        <v>0</v>
      </c>
      <c r="Y1750" s="43">
        <f>VLOOKUP(Tabla1[[#This Row],[PAGO DIA]],DIAS!A:J,10,0)</f>
        <v>46322</v>
      </c>
      <c r="Z1750" s="6">
        <v>0</v>
      </c>
      <c r="AA1750" s="43">
        <f>VLOOKUP(Tabla1[[#This Row],[PAGO DIA]],DIAS!A:K,11,0)</f>
        <v>46350</v>
      </c>
      <c r="AB1750" s="6">
        <v>0</v>
      </c>
      <c r="AC1750" s="43">
        <f>VLOOKUP(Tabla1[[#This Row],[PAGO DIA]],DIAS!A:M,12,0)</f>
        <v>46379</v>
      </c>
      <c r="AD175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1" spans="1:30">
      <c r="A1751" s="3">
        <v>12444</v>
      </c>
      <c r="B1751" s="3" t="s">
        <v>548</v>
      </c>
      <c r="C1751" s="3"/>
      <c r="D1751" s="3" t="s">
        <v>2241</v>
      </c>
      <c r="E1751" s="3"/>
      <c r="F1751" s="42" t="s">
        <v>562</v>
      </c>
      <c r="G1751" s="3"/>
      <c r="H1751" s="6">
        <v>0</v>
      </c>
      <c r="I1751" s="41">
        <f>VLOOKUP(Tabla1[[#This Row],[PAGO DIA]],DIAS!A:B,2,0)</f>
        <v>46078</v>
      </c>
      <c r="J1751" s="6">
        <v>0</v>
      </c>
      <c r="K1751" s="43">
        <f>VLOOKUP(Tabla1[[#This Row],[PAGO DIA]],DIAS!A:C,3,0)</f>
        <v>46105</v>
      </c>
      <c r="L1751" s="6">
        <v>0</v>
      </c>
      <c r="M1751" s="41">
        <f>VLOOKUP(Tabla1[[#This Row],[PAGO DIA]],DIAS!A:D,4,0)</f>
        <v>46140</v>
      </c>
      <c r="N1751" s="6">
        <v>0</v>
      </c>
      <c r="O1751" s="43">
        <f>VLOOKUP(Tabla1[[#This Row],[PAGO DIA]],DIAS!A:E,5,0)</f>
        <v>46168</v>
      </c>
      <c r="P1751" s="6">
        <v>0</v>
      </c>
      <c r="Q1751" s="43">
        <f>VLOOKUP(Tabla1[[#This Row],[PAGO DIA]],DIAS!A:F,6,0)</f>
        <v>46196</v>
      </c>
      <c r="R1751" s="6">
        <v>0</v>
      </c>
      <c r="S1751" s="43">
        <f>VLOOKUP(Tabla1[[#This Row],[PAGO DIA]],DIAS!A:G,7,0)</f>
        <v>46231</v>
      </c>
      <c r="T1751" s="6">
        <v>0</v>
      </c>
      <c r="U1751" s="43">
        <f>VLOOKUP(Tabla1[[#This Row],[PAGO DIA]],DIAS!A:H,8,0)</f>
        <v>46259</v>
      </c>
      <c r="V1751" s="6">
        <v>0</v>
      </c>
      <c r="W1751" s="43">
        <f>VLOOKUP(Tabla1[[#This Row],[PAGO DIA]],DIAS!A:I,9,0)</f>
        <v>46287</v>
      </c>
      <c r="X1751" s="6">
        <v>0</v>
      </c>
      <c r="Y1751" s="43">
        <f>VLOOKUP(Tabla1[[#This Row],[PAGO DIA]],DIAS!A:J,10,0)</f>
        <v>46322</v>
      </c>
      <c r="Z1751" s="6">
        <v>0</v>
      </c>
      <c r="AA1751" s="43">
        <f>VLOOKUP(Tabla1[[#This Row],[PAGO DIA]],DIAS!A:K,11,0)</f>
        <v>46350</v>
      </c>
      <c r="AB1751" s="6">
        <v>0</v>
      </c>
      <c r="AC1751" s="43">
        <f>VLOOKUP(Tabla1[[#This Row],[PAGO DIA]],DIAS!A:M,12,0)</f>
        <v>46379</v>
      </c>
      <c r="AD175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2" spans="1:30">
      <c r="A1752" s="3">
        <v>12445</v>
      </c>
      <c r="B1752" s="3" t="s">
        <v>548</v>
      </c>
      <c r="C1752" s="3"/>
      <c r="D1752" s="3" t="s">
        <v>2242</v>
      </c>
      <c r="E1752" s="3"/>
      <c r="F1752" s="42" t="s">
        <v>562</v>
      </c>
      <c r="G1752" s="3"/>
      <c r="H1752" s="6">
        <v>0</v>
      </c>
      <c r="I1752" s="41">
        <f>VLOOKUP(Tabla1[[#This Row],[PAGO DIA]],DIAS!A:B,2,0)</f>
        <v>46078</v>
      </c>
      <c r="J1752" s="6">
        <v>0</v>
      </c>
      <c r="K1752" s="43">
        <f>VLOOKUP(Tabla1[[#This Row],[PAGO DIA]],DIAS!A:C,3,0)</f>
        <v>46105</v>
      </c>
      <c r="L1752" s="6">
        <v>0</v>
      </c>
      <c r="M1752" s="41">
        <f>VLOOKUP(Tabla1[[#This Row],[PAGO DIA]],DIAS!A:D,4,0)</f>
        <v>46140</v>
      </c>
      <c r="N1752" s="6">
        <v>0</v>
      </c>
      <c r="O1752" s="43">
        <f>VLOOKUP(Tabla1[[#This Row],[PAGO DIA]],DIAS!A:E,5,0)</f>
        <v>46168</v>
      </c>
      <c r="P1752" s="6">
        <v>0</v>
      </c>
      <c r="Q1752" s="43">
        <f>VLOOKUP(Tabla1[[#This Row],[PAGO DIA]],DIAS!A:F,6,0)</f>
        <v>46196</v>
      </c>
      <c r="R1752" s="6">
        <v>0</v>
      </c>
      <c r="S1752" s="43">
        <f>VLOOKUP(Tabla1[[#This Row],[PAGO DIA]],DIAS!A:G,7,0)</f>
        <v>46231</v>
      </c>
      <c r="T1752" s="6">
        <v>0</v>
      </c>
      <c r="U1752" s="43">
        <f>VLOOKUP(Tabla1[[#This Row],[PAGO DIA]],DIAS!A:H,8,0)</f>
        <v>46259</v>
      </c>
      <c r="V1752" s="6">
        <v>0</v>
      </c>
      <c r="W1752" s="43">
        <f>VLOOKUP(Tabla1[[#This Row],[PAGO DIA]],DIAS!A:I,9,0)</f>
        <v>46287</v>
      </c>
      <c r="X1752" s="6">
        <v>0</v>
      </c>
      <c r="Y1752" s="43">
        <f>VLOOKUP(Tabla1[[#This Row],[PAGO DIA]],DIAS!A:J,10,0)</f>
        <v>46322</v>
      </c>
      <c r="Z1752" s="6">
        <v>0</v>
      </c>
      <c r="AA1752" s="43">
        <f>VLOOKUP(Tabla1[[#This Row],[PAGO DIA]],DIAS!A:K,11,0)</f>
        <v>46350</v>
      </c>
      <c r="AB1752" s="6">
        <v>0</v>
      </c>
      <c r="AC1752" s="43">
        <f>VLOOKUP(Tabla1[[#This Row],[PAGO DIA]],DIAS!A:M,12,0)</f>
        <v>46379</v>
      </c>
      <c r="AD175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3" spans="1:30">
      <c r="A1753" s="3">
        <v>12446</v>
      </c>
      <c r="B1753" s="3" t="s">
        <v>548</v>
      </c>
      <c r="C1753" s="3"/>
      <c r="D1753" s="3" t="s">
        <v>2243</v>
      </c>
      <c r="E1753" s="3"/>
      <c r="F1753" s="42" t="s">
        <v>562</v>
      </c>
      <c r="G1753" s="3"/>
      <c r="H1753" s="6">
        <v>0</v>
      </c>
      <c r="I1753" s="41">
        <f>VLOOKUP(Tabla1[[#This Row],[PAGO DIA]],DIAS!A:B,2,0)</f>
        <v>46078</v>
      </c>
      <c r="J1753" s="6">
        <v>0</v>
      </c>
      <c r="K1753" s="43">
        <f>VLOOKUP(Tabla1[[#This Row],[PAGO DIA]],DIAS!A:C,3,0)</f>
        <v>46105</v>
      </c>
      <c r="L1753" s="6">
        <v>0</v>
      </c>
      <c r="M1753" s="41">
        <f>VLOOKUP(Tabla1[[#This Row],[PAGO DIA]],DIAS!A:D,4,0)</f>
        <v>46140</v>
      </c>
      <c r="N1753" s="6">
        <v>0</v>
      </c>
      <c r="O1753" s="43">
        <f>VLOOKUP(Tabla1[[#This Row],[PAGO DIA]],DIAS!A:E,5,0)</f>
        <v>46168</v>
      </c>
      <c r="P1753" s="6">
        <v>0</v>
      </c>
      <c r="Q1753" s="43">
        <f>VLOOKUP(Tabla1[[#This Row],[PAGO DIA]],DIAS!A:F,6,0)</f>
        <v>46196</v>
      </c>
      <c r="R1753" s="6">
        <v>0</v>
      </c>
      <c r="S1753" s="43">
        <f>VLOOKUP(Tabla1[[#This Row],[PAGO DIA]],DIAS!A:G,7,0)</f>
        <v>46231</v>
      </c>
      <c r="T1753" s="6">
        <v>0</v>
      </c>
      <c r="U1753" s="43">
        <f>VLOOKUP(Tabla1[[#This Row],[PAGO DIA]],DIAS!A:H,8,0)</f>
        <v>46259</v>
      </c>
      <c r="V1753" s="6">
        <v>0</v>
      </c>
      <c r="W1753" s="43">
        <f>VLOOKUP(Tabla1[[#This Row],[PAGO DIA]],DIAS!A:I,9,0)</f>
        <v>46287</v>
      </c>
      <c r="X1753" s="6">
        <v>0</v>
      </c>
      <c r="Y1753" s="43">
        <f>VLOOKUP(Tabla1[[#This Row],[PAGO DIA]],DIAS!A:J,10,0)</f>
        <v>46322</v>
      </c>
      <c r="Z1753" s="6">
        <v>0</v>
      </c>
      <c r="AA1753" s="43">
        <f>VLOOKUP(Tabla1[[#This Row],[PAGO DIA]],DIAS!A:K,11,0)</f>
        <v>46350</v>
      </c>
      <c r="AB1753" s="6">
        <v>0</v>
      </c>
      <c r="AC1753" s="43">
        <f>VLOOKUP(Tabla1[[#This Row],[PAGO DIA]],DIAS!A:M,12,0)</f>
        <v>46379</v>
      </c>
      <c r="AD175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4" spans="1:30">
      <c r="A1754" s="3">
        <v>12447</v>
      </c>
      <c r="B1754" s="3" t="s">
        <v>548</v>
      </c>
      <c r="C1754" s="3"/>
      <c r="D1754" s="3" t="s">
        <v>2244</v>
      </c>
      <c r="E1754" s="3"/>
      <c r="F1754" s="42" t="s">
        <v>562</v>
      </c>
      <c r="G1754" s="3"/>
      <c r="H1754" s="6">
        <v>0</v>
      </c>
      <c r="I1754" s="41">
        <f>VLOOKUP(Tabla1[[#This Row],[PAGO DIA]],DIAS!A:B,2,0)</f>
        <v>46078</v>
      </c>
      <c r="J1754" s="6">
        <v>0</v>
      </c>
      <c r="K1754" s="43">
        <f>VLOOKUP(Tabla1[[#This Row],[PAGO DIA]],DIAS!A:C,3,0)</f>
        <v>46105</v>
      </c>
      <c r="L1754" s="6">
        <v>0</v>
      </c>
      <c r="M1754" s="41">
        <f>VLOOKUP(Tabla1[[#This Row],[PAGO DIA]],DIAS!A:D,4,0)</f>
        <v>46140</v>
      </c>
      <c r="N1754" s="6">
        <v>0</v>
      </c>
      <c r="O1754" s="43">
        <f>VLOOKUP(Tabla1[[#This Row],[PAGO DIA]],DIAS!A:E,5,0)</f>
        <v>46168</v>
      </c>
      <c r="P1754" s="6">
        <v>0</v>
      </c>
      <c r="Q1754" s="43">
        <f>VLOOKUP(Tabla1[[#This Row],[PAGO DIA]],DIAS!A:F,6,0)</f>
        <v>46196</v>
      </c>
      <c r="R1754" s="6">
        <v>0</v>
      </c>
      <c r="S1754" s="43">
        <f>VLOOKUP(Tabla1[[#This Row],[PAGO DIA]],DIAS!A:G,7,0)</f>
        <v>46231</v>
      </c>
      <c r="T1754" s="6">
        <v>0</v>
      </c>
      <c r="U1754" s="43">
        <f>VLOOKUP(Tabla1[[#This Row],[PAGO DIA]],DIAS!A:H,8,0)</f>
        <v>46259</v>
      </c>
      <c r="V1754" s="6">
        <v>0</v>
      </c>
      <c r="W1754" s="43">
        <f>VLOOKUP(Tabla1[[#This Row],[PAGO DIA]],DIAS!A:I,9,0)</f>
        <v>46287</v>
      </c>
      <c r="X1754" s="6">
        <v>0</v>
      </c>
      <c r="Y1754" s="43">
        <f>VLOOKUP(Tabla1[[#This Row],[PAGO DIA]],DIAS!A:J,10,0)</f>
        <v>46322</v>
      </c>
      <c r="Z1754" s="6">
        <v>0</v>
      </c>
      <c r="AA1754" s="43">
        <f>VLOOKUP(Tabla1[[#This Row],[PAGO DIA]],DIAS!A:K,11,0)</f>
        <v>46350</v>
      </c>
      <c r="AB1754" s="6">
        <v>0</v>
      </c>
      <c r="AC1754" s="43">
        <f>VLOOKUP(Tabla1[[#This Row],[PAGO DIA]],DIAS!A:M,12,0)</f>
        <v>46379</v>
      </c>
      <c r="AD175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5" spans="1:30">
      <c r="A1755" s="3">
        <v>12448</v>
      </c>
      <c r="B1755" s="3" t="s">
        <v>548</v>
      </c>
      <c r="C1755" s="3"/>
      <c r="D1755" s="3" t="s">
        <v>2245</v>
      </c>
      <c r="E1755" s="3"/>
      <c r="F1755" s="42" t="s">
        <v>562</v>
      </c>
      <c r="G1755" s="3"/>
      <c r="H1755" s="6">
        <v>0</v>
      </c>
      <c r="I1755" s="41">
        <f>VLOOKUP(Tabla1[[#This Row],[PAGO DIA]],DIAS!A:B,2,0)</f>
        <v>46078</v>
      </c>
      <c r="J1755" s="6">
        <v>0</v>
      </c>
      <c r="K1755" s="43">
        <f>VLOOKUP(Tabla1[[#This Row],[PAGO DIA]],DIAS!A:C,3,0)</f>
        <v>46105</v>
      </c>
      <c r="L1755" s="6">
        <v>0</v>
      </c>
      <c r="M1755" s="41">
        <f>VLOOKUP(Tabla1[[#This Row],[PAGO DIA]],DIAS!A:D,4,0)</f>
        <v>46140</v>
      </c>
      <c r="N1755" s="6">
        <v>0</v>
      </c>
      <c r="O1755" s="43">
        <f>VLOOKUP(Tabla1[[#This Row],[PAGO DIA]],DIAS!A:E,5,0)</f>
        <v>46168</v>
      </c>
      <c r="P1755" s="6">
        <v>0</v>
      </c>
      <c r="Q1755" s="43">
        <f>VLOOKUP(Tabla1[[#This Row],[PAGO DIA]],DIAS!A:F,6,0)</f>
        <v>46196</v>
      </c>
      <c r="R1755" s="6">
        <v>0</v>
      </c>
      <c r="S1755" s="43">
        <f>VLOOKUP(Tabla1[[#This Row],[PAGO DIA]],DIAS!A:G,7,0)</f>
        <v>46231</v>
      </c>
      <c r="T1755" s="6">
        <v>0</v>
      </c>
      <c r="U1755" s="43">
        <f>VLOOKUP(Tabla1[[#This Row],[PAGO DIA]],DIAS!A:H,8,0)</f>
        <v>46259</v>
      </c>
      <c r="V1755" s="6">
        <v>0</v>
      </c>
      <c r="W1755" s="43">
        <f>VLOOKUP(Tabla1[[#This Row],[PAGO DIA]],DIAS!A:I,9,0)</f>
        <v>46287</v>
      </c>
      <c r="X1755" s="6">
        <v>0</v>
      </c>
      <c r="Y1755" s="43">
        <f>VLOOKUP(Tabla1[[#This Row],[PAGO DIA]],DIAS!A:J,10,0)</f>
        <v>46322</v>
      </c>
      <c r="Z1755" s="6">
        <v>0</v>
      </c>
      <c r="AA1755" s="43">
        <f>VLOOKUP(Tabla1[[#This Row],[PAGO DIA]],DIAS!A:K,11,0)</f>
        <v>46350</v>
      </c>
      <c r="AB1755" s="6">
        <v>0</v>
      </c>
      <c r="AC1755" s="43">
        <f>VLOOKUP(Tabla1[[#This Row],[PAGO DIA]],DIAS!A:M,12,0)</f>
        <v>46379</v>
      </c>
      <c r="AD175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6" spans="1:30">
      <c r="A1756" s="3">
        <v>12449</v>
      </c>
      <c r="B1756" s="3" t="s">
        <v>548</v>
      </c>
      <c r="C1756" s="3"/>
      <c r="D1756" s="3" t="s">
        <v>2246</v>
      </c>
      <c r="E1756" s="3"/>
      <c r="F1756" s="42" t="s">
        <v>562</v>
      </c>
      <c r="G1756" s="3"/>
      <c r="H1756" s="6">
        <v>0</v>
      </c>
      <c r="I1756" s="41">
        <f>VLOOKUP(Tabla1[[#This Row],[PAGO DIA]],DIAS!A:B,2,0)</f>
        <v>46078</v>
      </c>
      <c r="J1756" s="6">
        <v>0</v>
      </c>
      <c r="K1756" s="43">
        <f>VLOOKUP(Tabla1[[#This Row],[PAGO DIA]],DIAS!A:C,3,0)</f>
        <v>46105</v>
      </c>
      <c r="L1756" s="6">
        <v>0</v>
      </c>
      <c r="M1756" s="41">
        <f>VLOOKUP(Tabla1[[#This Row],[PAGO DIA]],DIAS!A:D,4,0)</f>
        <v>46140</v>
      </c>
      <c r="N1756" s="6">
        <v>0</v>
      </c>
      <c r="O1756" s="43">
        <f>VLOOKUP(Tabla1[[#This Row],[PAGO DIA]],DIAS!A:E,5,0)</f>
        <v>46168</v>
      </c>
      <c r="P1756" s="6">
        <v>0</v>
      </c>
      <c r="Q1756" s="43">
        <f>VLOOKUP(Tabla1[[#This Row],[PAGO DIA]],DIAS!A:F,6,0)</f>
        <v>46196</v>
      </c>
      <c r="R1756" s="6">
        <v>0</v>
      </c>
      <c r="S1756" s="43">
        <f>VLOOKUP(Tabla1[[#This Row],[PAGO DIA]],DIAS!A:G,7,0)</f>
        <v>46231</v>
      </c>
      <c r="T1756" s="6">
        <v>0</v>
      </c>
      <c r="U1756" s="43">
        <f>VLOOKUP(Tabla1[[#This Row],[PAGO DIA]],DIAS!A:H,8,0)</f>
        <v>46259</v>
      </c>
      <c r="V1756" s="6">
        <v>0</v>
      </c>
      <c r="W1756" s="43">
        <f>VLOOKUP(Tabla1[[#This Row],[PAGO DIA]],DIAS!A:I,9,0)</f>
        <v>46287</v>
      </c>
      <c r="X1756" s="6">
        <v>0</v>
      </c>
      <c r="Y1756" s="43">
        <f>VLOOKUP(Tabla1[[#This Row],[PAGO DIA]],DIAS!A:J,10,0)</f>
        <v>46322</v>
      </c>
      <c r="Z1756" s="6">
        <v>0</v>
      </c>
      <c r="AA1756" s="43">
        <f>VLOOKUP(Tabla1[[#This Row],[PAGO DIA]],DIAS!A:K,11,0)</f>
        <v>46350</v>
      </c>
      <c r="AB1756" s="6">
        <v>0</v>
      </c>
      <c r="AC1756" s="43">
        <f>VLOOKUP(Tabla1[[#This Row],[PAGO DIA]],DIAS!A:M,12,0)</f>
        <v>46379</v>
      </c>
      <c r="AD175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7" spans="1:30">
      <c r="A1757" s="3">
        <v>12450</v>
      </c>
      <c r="B1757" s="3" t="s">
        <v>548</v>
      </c>
      <c r="C1757" s="3"/>
      <c r="D1757" s="3" t="s">
        <v>2247</v>
      </c>
      <c r="E1757" s="3"/>
      <c r="F1757" s="42" t="s">
        <v>562</v>
      </c>
      <c r="G1757" s="3"/>
      <c r="H1757" s="6">
        <v>0</v>
      </c>
      <c r="I1757" s="41">
        <f>VLOOKUP(Tabla1[[#This Row],[PAGO DIA]],DIAS!A:B,2,0)</f>
        <v>46078</v>
      </c>
      <c r="J1757" s="6">
        <v>0</v>
      </c>
      <c r="K1757" s="43">
        <f>VLOOKUP(Tabla1[[#This Row],[PAGO DIA]],DIAS!A:C,3,0)</f>
        <v>46105</v>
      </c>
      <c r="L1757" s="6">
        <v>0</v>
      </c>
      <c r="M1757" s="41">
        <f>VLOOKUP(Tabla1[[#This Row],[PAGO DIA]],DIAS!A:D,4,0)</f>
        <v>46140</v>
      </c>
      <c r="N1757" s="6">
        <v>0</v>
      </c>
      <c r="O1757" s="43">
        <f>VLOOKUP(Tabla1[[#This Row],[PAGO DIA]],DIAS!A:E,5,0)</f>
        <v>46168</v>
      </c>
      <c r="P1757" s="6">
        <v>0</v>
      </c>
      <c r="Q1757" s="43">
        <f>VLOOKUP(Tabla1[[#This Row],[PAGO DIA]],DIAS!A:F,6,0)</f>
        <v>46196</v>
      </c>
      <c r="R1757" s="6">
        <v>0</v>
      </c>
      <c r="S1757" s="43">
        <f>VLOOKUP(Tabla1[[#This Row],[PAGO DIA]],DIAS!A:G,7,0)</f>
        <v>46231</v>
      </c>
      <c r="T1757" s="6">
        <v>0</v>
      </c>
      <c r="U1757" s="43">
        <f>VLOOKUP(Tabla1[[#This Row],[PAGO DIA]],DIAS!A:H,8,0)</f>
        <v>46259</v>
      </c>
      <c r="V1757" s="6">
        <v>0</v>
      </c>
      <c r="W1757" s="43">
        <f>VLOOKUP(Tabla1[[#This Row],[PAGO DIA]],DIAS!A:I,9,0)</f>
        <v>46287</v>
      </c>
      <c r="X1757" s="6">
        <v>0</v>
      </c>
      <c r="Y1757" s="43">
        <f>VLOOKUP(Tabla1[[#This Row],[PAGO DIA]],DIAS!A:J,10,0)</f>
        <v>46322</v>
      </c>
      <c r="Z1757" s="6">
        <v>0</v>
      </c>
      <c r="AA1757" s="43">
        <f>VLOOKUP(Tabla1[[#This Row],[PAGO DIA]],DIAS!A:K,11,0)</f>
        <v>46350</v>
      </c>
      <c r="AB1757" s="6">
        <v>0</v>
      </c>
      <c r="AC1757" s="43">
        <f>VLOOKUP(Tabla1[[#This Row],[PAGO DIA]],DIAS!A:M,12,0)</f>
        <v>46379</v>
      </c>
      <c r="AD175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8" spans="1:30">
      <c r="A1758" s="3">
        <v>12451</v>
      </c>
      <c r="B1758" s="3" t="s">
        <v>548</v>
      </c>
      <c r="C1758" s="3"/>
      <c r="D1758" s="3" t="s">
        <v>2248</v>
      </c>
      <c r="E1758" s="3"/>
      <c r="F1758" s="42" t="s">
        <v>562</v>
      </c>
      <c r="G1758" s="3"/>
      <c r="H1758" s="6">
        <v>0</v>
      </c>
      <c r="I1758" s="41">
        <f>VLOOKUP(Tabla1[[#This Row],[PAGO DIA]],DIAS!A:B,2,0)</f>
        <v>46078</v>
      </c>
      <c r="J1758" s="6">
        <v>0</v>
      </c>
      <c r="K1758" s="43">
        <f>VLOOKUP(Tabla1[[#This Row],[PAGO DIA]],DIAS!A:C,3,0)</f>
        <v>46105</v>
      </c>
      <c r="L1758" s="6">
        <v>0</v>
      </c>
      <c r="M1758" s="41">
        <f>VLOOKUP(Tabla1[[#This Row],[PAGO DIA]],DIAS!A:D,4,0)</f>
        <v>46140</v>
      </c>
      <c r="N1758" s="6">
        <v>0</v>
      </c>
      <c r="O1758" s="43">
        <f>VLOOKUP(Tabla1[[#This Row],[PAGO DIA]],DIAS!A:E,5,0)</f>
        <v>46168</v>
      </c>
      <c r="P1758" s="6">
        <v>0</v>
      </c>
      <c r="Q1758" s="43">
        <f>VLOOKUP(Tabla1[[#This Row],[PAGO DIA]],DIAS!A:F,6,0)</f>
        <v>46196</v>
      </c>
      <c r="R1758" s="6">
        <v>0</v>
      </c>
      <c r="S1758" s="43">
        <f>VLOOKUP(Tabla1[[#This Row],[PAGO DIA]],DIAS!A:G,7,0)</f>
        <v>46231</v>
      </c>
      <c r="T1758" s="6">
        <v>0</v>
      </c>
      <c r="U1758" s="43">
        <f>VLOOKUP(Tabla1[[#This Row],[PAGO DIA]],DIAS!A:H,8,0)</f>
        <v>46259</v>
      </c>
      <c r="V1758" s="6">
        <v>0</v>
      </c>
      <c r="W1758" s="43">
        <f>VLOOKUP(Tabla1[[#This Row],[PAGO DIA]],DIAS!A:I,9,0)</f>
        <v>46287</v>
      </c>
      <c r="X1758" s="6">
        <v>0</v>
      </c>
      <c r="Y1758" s="43">
        <f>VLOOKUP(Tabla1[[#This Row],[PAGO DIA]],DIAS!A:J,10,0)</f>
        <v>46322</v>
      </c>
      <c r="Z1758" s="6">
        <v>0</v>
      </c>
      <c r="AA1758" s="43">
        <f>VLOOKUP(Tabla1[[#This Row],[PAGO DIA]],DIAS!A:K,11,0)</f>
        <v>46350</v>
      </c>
      <c r="AB1758" s="6">
        <v>0</v>
      </c>
      <c r="AC1758" s="43">
        <f>VLOOKUP(Tabla1[[#This Row],[PAGO DIA]],DIAS!A:M,12,0)</f>
        <v>46379</v>
      </c>
      <c r="AD175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59" spans="1:30">
      <c r="A1759" s="3">
        <v>12452</v>
      </c>
      <c r="B1759" s="3" t="s">
        <v>548</v>
      </c>
      <c r="C1759" s="3"/>
      <c r="D1759" s="3" t="s">
        <v>2249</v>
      </c>
      <c r="E1759" s="3"/>
      <c r="F1759" s="42" t="s">
        <v>562</v>
      </c>
      <c r="G1759" s="3"/>
      <c r="H1759" s="6">
        <v>0</v>
      </c>
      <c r="I1759" s="41">
        <f>VLOOKUP(Tabla1[[#This Row],[PAGO DIA]],DIAS!A:B,2,0)</f>
        <v>46078</v>
      </c>
      <c r="J1759" s="6">
        <v>0</v>
      </c>
      <c r="K1759" s="43">
        <f>VLOOKUP(Tabla1[[#This Row],[PAGO DIA]],DIAS!A:C,3,0)</f>
        <v>46105</v>
      </c>
      <c r="L1759" s="6">
        <v>0</v>
      </c>
      <c r="M1759" s="41">
        <f>VLOOKUP(Tabla1[[#This Row],[PAGO DIA]],DIAS!A:D,4,0)</f>
        <v>46140</v>
      </c>
      <c r="N1759" s="6">
        <v>0</v>
      </c>
      <c r="O1759" s="43">
        <f>VLOOKUP(Tabla1[[#This Row],[PAGO DIA]],DIAS!A:E,5,0)</f>
        <v>46168</v>
      </c>
      <c r="P1759" s="6">
        <v>0</v>
      </c>
      <c r="Q1759" s="43">
        <f>VLOOKUP(Tabla1[[#This Row],[PAGO DIA]],DIAS!A:F,6,0)</f>
        <v>46196</v>
      </c>
      <c r="R1759" s="6">
        <v>0</v>
      </c>
      <c r="S1759" s="43">
        <f>VLOOKUP(Tabla1[[#This Row],[PAGO DIA]],DIAS!A:G,7,0)</f>
        <v>46231</v>
      </c>
      <c r="T1759" s="6">
        <v>0</v>
      </c>
      <c r="U1759" s="43">
        <f>VLOOKUP(Tabla1[[#This Row],[PAGO DIA]],DIAS!A:H,8,0)</f>
        <v>46259</v>
      </c>
      <c r="V1759" s="6">
        <v>0</v>
      </c>
      <c r="W1759" s="43">
        <f>VLOOKUP(Tabla1[[#This Row],[PAGO DIA]],DIAS!A:I,9,0)</f>
        <v>46287</v>
      </c>
      <c r="X1759" s="6">
        <v>0</v>
      </c>
      <c r="Y1759" s="43">
        <f>VLOOKUP(Tabla1[[#This Row],[PAGO DIA]],DIAS!A:J,10,0)</f>
        <v>46322</v>
      </c>
      <c r="Z1759" s="6">
        <v>0</v>
      </c>
      <c r="AA1759" s="43">
        <f>VLOOKUP(Tabla1[[#This Row],[PAGO DIA]],DIAS!A:K,11,0)</f>
        <v>46350</v>
      </c>
      <c r="AB1759" s="6">
        <v>0</v>
      </c>
      <c r="AC1759" s="43">
        <f>VLOOKUP(Tabla1[[#This Row],[PAGO DIA]],DIAS!A:M,12,0)</f>
        <v>46379</v>
      </c>
      <c r="AD175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0" spans="1:30">
      <c r="A1760" s="3">
        <v>12453</v>
      </c>
      <c r="B1760" s="3" t="s">
        <v>548</v>
      </c>
      <c r="C1760" s="3"/>
      <c r="D1760" s="3" t="s">
        <v>2250</v>
      </c>
      <c r="E1760" s="3"/>
      <c r="F1760" s="42" t="s">
        <v>562</v>
      </c>
      <c r="G1760" s="3"/>
      <c r="H1760" s="6">
        <v>0</v>
      </c>
      <c r="I1760" s="41">
        <f>VLOOKUP(Tabla1[[#This Row],[PAGO DIA]],DIAS!A:B,2,0)</f>
        <v>46078</v>
      </c>
      <c r="J1760" s="6">
        <v>0</v>
      </c>
      <c r="K1760" s="43">
        <f>VLOOKUP(Tabla1[[#This Row],[PAGO DIA]],DIAS!A:C,3,0)</f>
        <v>46105</v>
      </c>
      <c r="L1760" s="6">
        <v>0</v>
      </c>
      <c r="M1760" s="41">
        <f>VLOOKUP(Tabla1[[#This Row],[PAGO DIA]],DIAS!A:D,4,0)</f>
        <v>46140</v>
      </c>
      <c r="N1760" s="6">
        <v>0</v>
      </c>
      <c r="O1760" s="43">
        <f>VLOOKUP(Tabla1[[#This Row],[PAGO DIA]],DIAS!A:E,5,0)</f>
        <v>46168</v>
      </c>
      <c r="P1760" s="6">
        <v>0</v>
      </c>
      <c r="Q1760" s="43">
        <f>VLOOKUP(Tabla1[[#This Row],[PAGO DIA]],DIAS!A:F,6,0)</f>
        <v>46196</v>
      </c>
      <c r="R1760" s="6">
        <v>0</v>
      </c>
      <c r="S1760" s="43">
        <f>VLOOKUP(Tabla1[[#This Row],[PAGO DIA]],DIAS!A:G,7,0)</f>
        <v>46231</v>
      </c>
      <c r="T1760" s="6">
        <v>0</v>
      </c>
      <c r="U1760" s="43">
        <f>VLOOKUP(Tabla1[[#This Row],[PAGO DIA]],DIAS!A:H,8,0)</f>
        <v>46259</v>
      </c>
      <c r="V1760" s="6">
        <v>0</v>
      </c>
      <c r="W1760" s="43">
        <f>VLOOKUP(Tabla1[[#This Row],[PAGO DIA]],DIAS!A:I,9,0)</f>
        <v>46287</v>
      </c>
      <c r="X1760" s="6">
        <v>0</v>
      </c>
      <c r="Y1760" s="43">
        <f>VLOOKUP(Tabla1[[#This Row],[PAGO DIA]],DIAS!A:J,10,0)</f>
        <v>46322</v>
      </c>
      <c r="Z1760" s="6">
        <v>0</v>
      </c>
      <c r="AA1760" s="43">
        <f>VLOOKUP(Tabla1[[#This Row],[PAGO DIA]],DIAS!A:K,11,0)</f>
        <v>46350</v>
      </c>
      <c r="AB1760" s="6">
        <v>0</v>
      </c>
      <c r="AC1760" s="43">
        <f>VLOOKUP(Tabla1[[#This Row],[PAGO DIA]],DIAS!A:M,12,0)</f>
        <v>46379</v>
      </c>
      <c r="AD176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1" spans="1:30">
      <c r="A1761" s="3">
        <v>12454</v>
      </c>
      <c r="B1761" s="3" t="s">
        <v>548</v>
      </c>
      <c r="C1761" s="3"/>
      <c r="D1761" s="3" t="s">
        <v>2251</v>
      </c>
      <c r="E1761" s="3"/>
      <c r="F1761" s="42" t="s">
        <v>562</v>
      </c>
      <c r="G1761" s="3"/>
      <c r="H1761" s="6">
        <v>0</v>
      </c>
      <c r="I1761" s="41">
        <f>VLOOKUP(Tabla1[[#This Row],[PAGO DIA]],DIAS!A:B,2,0)</f>
        <v>46078</v>
      </c>
      <c r="J1761" s="6">
        <v>0</v>
      </c>
      <c r="K1761" s="43">
        <f>VLOOKUP(Tabla1[[#This Row],[PAGO DIA]],DIAS!A:C,3,0)</f>
        <v>46105</v>
      </c>
      <c r="L1761" s="6">
        <v>0</v>
      </c>
      <c r="M1761" s="41">
        <f>VLOOKUP(Tabla1[[#This Row],[PAGO DIA]],DIAS!A:D,4,0)</f>
        <v>46140</v>
      </c>
      <c r="N1761" s="6">
        <v>0</v>
      </c>
      <c r="O1761" s="43">
        <f>VLOOKUP(Tabla1[[#This Row],[PAGO DIA]],DIAS!A:E,5,0)</f>
        <v>46168</v>
      </c>
      <c r="P1761" s="6">
        <v>0</v>
      </c>
      <c r="Q1761" s="43">
        <f>VLOOKUP(Tabla1[[#This Row],[PAGO DIA]],DIAS!A:F,6,0)</f>
        <v>46196</v>
      </c>
      <c r="R1761" s="6">
        <v>0</v>
      </c>
      <c r="S1761" s="43">
        <f>VLOOKUP(Tabla1[[#This Row],[PAGO DIA]],DIAS!A:G,7,0)</f>
        <v>46231</v>
      </c>
      <c r="T1761" s="6">
        <v>0</v>
      </c>
      <c r="U1761" s="43">
        <f>VLOOKUP(Tabla1[[#This Row],[PAGO DIA]],DIAS!A:H,8,0)</f>
        <v>46259</v>
      </c>
      <c r="V1761" s="6">
        <v>0</v>
      </c>
      <c r="W1761" s="43">
        <f>VLOOKUP(Tabla1[[#This Row],[PAGO DIA]],DIAS!A:I,9,0)</f>
        <v>46287</v>
      </c>
      <c r="X1761" s="6">
        <v>0</v>
      </c>
      <c r="Y1761" s="43">
        <f>VLOOKUP(Tabla1[[#This Row],[PAGO DIA]],DIAS!A:J,10,0)</f>
        <v>46322</v>
      </c>
      <c r="Z1761" s="6">
        <v>0</v>
      </c>
      <c r="AA1761" s="43">
        <f>VLOOKUP(Tabla1[[#This Row],[PAGO DIA]],DIAS!A:K,11,0)</f>
        <v>46350</v>
      </c>
      <c r="AB1761" s="6">
        <v>0</v>
      </c>
      <c r="AC1761" s="43">
        <f>VLOOKUP(Tabla1[[#This Row],[PAGO DIA]],DIAS!A:M,12,0)</f>
        <v>46379</v>
      </c>
      <c r="AD176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2" spans="1:30">
      <c r="A1762" s="3">
        <v>12455</v>
      </c>
      <c r="B1762" s="3" t="s">
        <v>548</v>
      </c>
      <c r="C1762" s="3"/>
      <c r="D1762" s="3" t="s">
        <v>2252</v>
      </c>
      <c r="E1762" s="3"/>
      <c r="F1762" s="42" t="s">
        <v>562</v>
      </c>
      <c r="G1762" s="3"/>
      <c r="H1762" s="6">
        <v>0</v>
      </c>
      <c r="I1762" s="41">
        <f>VLOOKUP(Tabla1[[#This Row],[PAGO DIA]],DIAS!A:B,2,0)</f>
        <v>46078</v>
      </c>
      <c r="J1762" s="6">
        <v>0</v>
      </c>
      <c r="K1762" s="43">
        <f>VLOOKUP(Tabla1[[#This Row],[PAGO DIA]],DIAS!A:C,3,0)</f>
        <v>46105</v>
      </c>
      <c r="L1762" s="6">
        <v>0</v>
      </c>
      <c r="M1762" s="41">
        <f>VLOOKUP(Tabla1[[#This Row],[PAGO DIA]],DIAS!A:D,4,0)</f>
        <v>46140</v>
      </c>
      <c r="N1762" s="6">
        <v>0</v>
      </c>
      <c r="O1762" s="43">
        <f>VLOOKUP(Tabla1[[#This Row],[PAGO DIA]],DIAS!A:E,5,0)</f>
        <v>46168</v>
      </c>
      <c r="P1762" s="6">
        <v>0</v>
      </c>
      <c r="Q1762" s="43">
        <f>VLOOKUP(Tabla1[[#This Row],[PAGO DIA]],DIAS!A:F,6,0)</f>
        <v>46196</v>
      </c>
      <c r="R1762" s="6">
        <v>0</v>
      </c>
      <c r="S1762" s="43">
        <f>VLOOKUP(Tabla1[[#This Row],[PAGO DIA]],DIAS!A:G,7,0)</f>
        <v>46231</v>
      </c>
      <c r="T1762" s="6">
        <v>0</v>
      </c>
      <c r="U1762" s="43">
        <f>VLOOKUP(Tabla1[[#This Row],[PAGO DIA]],DIAS!A:H,8,0)</f>
        <v>46259</v>
      </c>
      <c r="V1762" s="6">
        <v>0</v>
      </c>
      <c r="W1762" s="43">
        <f>VLOOKUP(Tabla1[[#This Row],[PAGO DIA]],DIAS!A:I,9,0)</f>
        <v>46287</v>
      </c>
      <c r="X1762" s="6">
        <v>0</v>
      </c>
      <c r="Y1762" s="43">
        <f>VLOOKUP(Tabla1[[#This Row],[PAGO DIA]],DIAS!A:J,10,0)</f>
        <v>46322</v>
      </c>
      <c r="Z1762" s="6">
        <v>0</v>
      </c>
      <c r="AA1762" s="43">
        <f>VLOOKUP(Tabla1[[#This Row],[PAGO DIA]],DIAS!A:K,11,0)</f>
        <v>46350</v>
      </c>
      <c r="AB1762" s="6">
        <v>0</v>
      </c>
      <c r="AC1762" s="43">
        <f>VLOOKUP(Tabla1[[#This Row],[PAGO DIA]],DIAS!A:M,12,0)</f>
        <v>46379</v>
      </c>
      <c r="AD176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3" spans="1:30">
      <c r="A1763" s="3">
        <v>12456</v>
      </c>
      <c r="B1763" s="3" t="s">
        <v>548</v>
      </c>
      <c r="C1763" s="3"/>
      <c r="D1763" s="3" t="s">
        <v>2253</v>
      </c>
      <c r="E1763" s="3"/>
      <c r="F1763" s="42" t="s">
        <v>562</v>
      </c>
      <c r="G1763" s="3"/>
      <c r="H1763" s="6">
        <v>0</v>
      </c>
      <c r="I1763" s="41">
        <f>VLOOKUP(Tabla1[[#This Row],[PAGO DIA]],DIAS!A:B,2,0)</f>
        <v>46078</v>
      </c>
      <c r="J1763" s="6">
        <v>0</v>
      </c>
      <c r="K1763" s="43">
        <f>VLOOKUP(Tabla1[[#This Row],[PAGO DIA]],DIAS!A:C,3,0)</f>
        <v>46105</v>
      </c>
      <c r="L1763" s="6">
        <v>0</v>
      </c>
      <c r="M1763" s="41">
        <f>VLOOKUP(Tabla1[[#This Row],[PAGO DIA]],DIAS!A:D,4,0)</f>
        <v>46140</v>
      </c>
      <c r="N1763" s="6">
        <v>0</v>
      </c>
      <c r="O1763" s="43">
        <f>VLOOKUP(Tabla1[[#This Row],[PAGO DIA]],DIAS!A:E,5,0)</f>
        <v>46168</v>
      </c>
      <c r="P1763" s="6">
        <v>0</v>
      </c>
      <c r="Q1763" s="43">
        <f>VLOOKUP(Tabla1[[#This Row],[PAGO DIA]],DIAS!A:F,6,0)</f>
        <v>46196</v>
      </c>
      <c r="R1763" s="6">
        <v>0</v>
      </c>
      <c r="S1763" s="43">
        <f>VLOOKUP(Tabla1[[#This Row],[PAGO DIA]],DIAS!A:G,7,0)</f>
        <v>46231</v>
      </c>
      <c r="T1763" s="6">
        <v>0</v>
      </c>
      <c r="U1763" s="43">
        <f>VLOOKUP(Tabla1[[#This Row],[PAGO DIA]],DIAS!A:H,8,0)</f>
        <v>46259</v>
      </c>
      <c r="V1763" s="6">
        <v>0</v>
      </c>
      <c r="W1763" s="43">
        <f>VLOOKUP(Tabla1[[#This Row],[PAGO DIA]],DIAS!A:I,9,0)</f>
        <v>46287</v>
      </c>
      <c r="X1763" s="6">
        <v>0</v>
      </c>
      <c r="Y1763" s="43">
        <f>VLOOKUP(Tabla1[[#This Row],[PAGO DIA]],DIAS!A:J,10,0)</f>
        <v>46322</v>
      </c>
      <c r="Z1763" s="6">
        <v>0</v>
      </c>
      <c r="AA1763" s="43">
        <f>VLOOKUP(Tabla1[[#This Row],[PAGO DIA]],DIAS!A:K,11,0)</f>
        <v>46350</v>
      </c>
      <c r="AB1763" s="6">
        <v>0</v>
      </c>
      <c r="AC1763" s="43">
        <f>VLOOKUP(Tabla1[[#This Row],[PAGO DIA]],DIAS!A:M,12,0)</f>
        <v>46379</v>
      </c>
      <c r="AD176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4" spans="1:30">
      <c r="A1764" s="3">
        <v>12457</v>
      </c>
      <c r="B1764" s="3" t="s">
        <v>548</v>
      </c>
      <c r="C1764" s="3"/>
      <c r="D1764" s="3" t="s">
        <v>2254</v>
      </c>
      <c r="E1764" s="3"/>
      <c r="F1764" s="42" t="s">
        <v>562</v>
      </c>
      <c r="G1764" s="3"/>
      <c r="H1764" s="6">
        <v>0</v>
      </c>
      <c r="I1764" s="41">
        <f>VLOOKUP(Tabla1[[#This Row],[PAGO DIA]],DIAS!A:B,2,0)</f>
        <v>46078</v>
      </c>
      <c r="J1764" s="6">
        <v>0</v>
      </c>
      <c r="K1764" s="43">
        <f>VLOOKUP(Tabla1[[#This Row],[PAGO DIA]],DIAS!A:C,3,0)</f>
        <v>46105</v>
      </c>
      <c r="L1764" s="6">
        <v>0</v>
      </c>
      <c r="M1764" s="41">
        <f>VLOOKUP(Tabla1[[#This Row],[PAGO DIA]],DIAS!A:D,4,0)</f>
        <v>46140</v>
      </c>
      <c r="N1764" s="6">
        <v>0</v>
      </c>
      <c r="O1764" s="43">
        <f>VLOOKUP(Tabla1[[#This Row],[PAGO DIA]],DIAS!A:E,5,0)</f>
        <v>46168</v>
      </c>
      <c r="P1764" s="6">
        <v>0</v>
      </c>
      <c r="Q1764" s="43">
        <f>VLOOKUP(Tabla1[[#This Row],[PAGO DIA]],DIAS!A:F,6,0)</f>
        <v>46196</v>
      </c>
      <c r="R1764" s="6">
        <v>0</v>
      </c>
      <c r="S1764" s="43">
        <f>VLOOKUP(Tabla1[[#This Row],[PAGO DIA]],DIAS!A:G,7,0)</f>
        <v>46231</v>
      </c>
      <c r="T1764" s="6">
        <v>0</v>
      </c>
      <c r="U1764" s="43">
        <f>VLOOKUP(Tabla1[[#This Row],[PAGO DIA]],DIAS!A:H,8,0)</f>
        <v>46259</v>
      </c>
      <c r="V1764" s="6">
        <v>0</v>
      </c>
      <c r="W1764" s="43">
        <f>VLOOKUP(Tabla1[[#This Row],[PAGO DIA]],DIAS!A:I,9,0)</f>
        <v>46287</v>
      </c>
      <c r="X1764" s="6">
        <v>0</v>
      </c>
      <c r="Y1764" s="43">
        <f>VLOOKUP(Tabla1[[#This Row],[PAGO DIA]],DIAS!A:J,10,0)</f>
        <v>46322</v>
      </c>
      <c r="Z1764" s="6">
        <v>0</v>
      </c>
      <c r="AA1764" s="43">
        <f>VLOOKUP(Tabla1[[#This Row],[PAGO DIA]],DIAS!A:K,11,0)</f>
        <v>46350</v>
      </c>
      <c r="AB1764" s="6">
        <v>0</v>
      </c>
      <c r="AC1764" s="43">
        <f>VLOOKUP(Tabla1[[#This Row],[PAGO DIA]],DIAS!A:M,12,0)</f>
        <v>46379</v>
      </c>
      <c r="AD176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5" spans="1:30">
      <c r="A1765" s="3">
        <v>12458</v>
      </c>
      <c r="B1765" s="3" t="s">
        <v>548</v>
      </c>
      <c r="C1765" s="3"/>
      <c r="D1765" s="3" t="s">
        <v>2255</v>
      </c>
      <c r="E1765" s="3"/>
      <c r="F1765" s="42" t="s">
        <v>562</v>
      </c>
      <c r="G1765" s="3"/>
      <c r="H1765" s="6">
        <v>0</v>
      </c>
      <c r="I1765" s="41">
        <f>VLOOKUP(Tabla1[[#This Row],[PAGO DIA]],DIAS!A:B,2,0)</f>
        <v>46078</v>
      </c>
      <c r="J1765" s="6">
        <v>0</v>
      </c>
      <c r="K1765" s="43">
        <f>VLOOKUP(Tabla1[[#This Row],[PAGO DIA]],DIAS!A:C,3,0)</f>
        <v>46105</v>
      </c>
      <c r="L1765" s="6">
        <v>0</v>
      </c>
      <c r="M1765" s="41">
        <f>VLOOKUP(Tabla1[[#This Row],[PAGO DIA]],DIAS!A:D,4,0)</f>
        <v>46140</v>
      </c>
      <c r="N1765" s="6">
        <v>0</v>
      </c>
      <c r="O1765" s="43">
        <f>VLOOKUP(Tabla1[[#This Row],[PAGO DIA]],DIAS!A:E,5,0)</f>
        <v>46168</v>
      </c>
      <c r="P1765" s="6">
        <v>0</v>
      </c>
      <c r="Q1765" s="43">
        <f>VLOOKUP(Tabla1[[#This Row],[PAGO DIA]],DIAS!A:F,6,0)</f>
        <v>46196</v>
      </c>
      <c r="R1765" s="6">
        <v>0</v>
      </c>
      <c r="S1765" s="43">
        <f>VLOOKUP(Tabla1[[#This Row],[PAGO DIA]],DIAS!A:G,7,0)</f>
        <v>46231</v>
      </c>
      <c r="T1765" s="6">
        <v>0</v>
      </c>
      <c r="U1765" s="43">
        <f>VLOOKUP(Tabla1[[#This Row],[PAGO DIA]],DIAS!A:H,8,0)</f>
        <v>46259</v>
      </c>
      <c r="V1765" s="6">
        <v>0</v>
      </c>
      <c r="W1765" s="43">
        <f>VLOOKUP(Tabla1[[#This Row],[PAGO DIA]],DIAS!A:I,9,0)</f>
        <v>46287</v>
      </c>
      <c r="X1765" s="6">
        <v>0</v>
      </c>
      <c r="Y1765" s="43">
        <f>VLOOKUP(Tabla1[[#This Row],[PAGO DIA]],DIAS!A:J,10,0)</f>
        <v>46322</v>
      </c>
      <c r="Z1765" s="6">
        <v>0</v>
      </c>
      <c r="AA1765" s="43">
        <f>VLOOKUP(Tabla1[[#This Row],[PAGO DIA]],DIAS!A:K,11,0)</f>
        <v>46350</v>
      </c>
      <c r="AB1765" s="6">
        <v>0</v>
      </c>
      <c r="AC1765" s="43">
        <f>VLOOKUP(Tabla1[[#This Row],[PAGO DIA]],DIAS!A:M,12,0)</f>
        <v>46379</v>
      </c>
      <c r="AD176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6" spans="1:30">
      <c r="A1766" s="3">
        <v>12459</v>
      </c>
      <c r="B1766" s="3" t="s">
        <v>548</v>
      </c>
      <c r="C1766" s="3"/>
      <c r="D1766" s="3" t="s">
        <v>2256</v>
      </c>
      <c r="E1766" s="3"/>
      <c r="F1766" s="42" t="s">
        <v>562</v>
      </c>
      <c r="G1766" s="3"/>
      <c r="H1766" s="6">
        <v>0</v>
      </c>
      <c r="I1766" s="41">
        <f>VLOOKUP(Tabla1[[#This Row],[PAGO DIA]],DIAS!A:B,2,0)</f>
        <v>46078</v>
      </c>
      <c r="J1766" s="6">
        <v>0</v>
      </c>
      <c r="K1766" s="43">
        <f>VLOOKUP(Tabla1[[#This Row],[PAGO DIA]],DIAS!A:C,3,0)</f>
        <v>46105</v>
      </c>
      <c r="L1766" s="6">
        <v>0</v>
      </c>
      <c r="M1766" s="41">
        <f>VLOOKUP(Tabla1[[#This Row],[PAGO DIA]],DIAS!A:D,4,0)</f>
        <v>46140</v>
      </c>
      <c r="N1766" s="6">
        <v>0</v>
      </c>
      <c r="O1766" s="43">
        <f>VLOOKUP(Tabla1[[#This Row],[PAGO DIA]],DIAS!A:E,5,0)</f>
        <v>46168</v>
      </c>
      <c r="P1766" s="6">
        <v>0</v>
      </c>
      <c r="Q1766" s="43">
        <f>VLOOKUP(Tabla1[[#This Row],[PAGO DIA]],DIAS!A:F,6,0)</f>
        <v>46196</v>
      </c>
      <c r="R1766" s="6">
        <v>0</v>
      </c>
      <c r="S1766" s="43">
        <f>VLOOKUP(Tabla1[[#This Row],[PAGO DIA]],DIAS!A:G,7,0)</f>
        <v>46231</v>
      </c>
      <c r="T1766" s="6">
        <v>0</v>
      </c>
      <c r="U1766" s="43">
        <f>VLOOKUP(Tabla1[[#This Row],[PAGO DIA]],DIAS!A:H,8,0)</f>
        <v>46259</v>
      </c>
      <c r="V1766" s="6">
        <v>0</v>
      </c>
      <c r="W1766" s="43">
        <f>VLOOKUP(Tabla1[[#This Row],[PAGO DIA]],DIAS!A:I,9,0)</f>
        <v>46287</v>
      </c>
      <c r="X1766" s="6">
        <v>0</v>
      </c>
      <c r="Y1766" s="43">
        <f>VLOOKUP(Tabla1[[#This Row],[PAGO DIA]],DIAS!A:J,10,0)</f>
        <v>46322</v>
      </c>
      <c r="Z1766" s="6">
        <v>0</v>
      </c>
      <c r="AA1766" s="43">
        <f>VLOOKUP(Tabla1[[#This Row],[PAGO DIA]],DIAS!A:K,11,0)</f>
        <v>46350</v>
      </c>
      <c r="AB1766" s="6">
        <v>0</v>
      </c>
      <c r="AC1766" s="43">
        <f>VLOOKUP(Tabla1[[#This Row],[PAGO DIA]],DIAS!A:M,12,0)</f>
        <v>46379</v>
      </c>
      <c r="AD176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7" spans="1:30">
      <c r="A1767" s="3">
        <v>12460</v>
      </c>
      <c r="B1767" s="3" t="s">
        <v>548</v>
      </c>
      <c r="C1767" s="3"/>
      <c r="D1767" s="3" t="s">
        <v>2257</v>
      </c>
      <c r="E1767" s="3"/>
      <c r="F1767" s="42" t="s">
        <v>562</v>
      </c>
      <c r="G1767" s="3"/>
      <c r="H1767" s="6">
        <v>0</v>
      </c>
      <c r="I1767" s="41">
        <f>VLOOKUP(Tabla1[[#This Row],[PAGO DIA]],DIAS!A:B,2,0)</f>
        <v>46078</v>
      </c>
      <c r="J1767" s="6">
        <v>0</v>
      </c>
      <c r="K1767" s="43">
        <f>VLOOKUP(Tabla1[[#This Row],[PAGO DIA]],DIAS!A:C,3,0)</f>
        <v>46105</v>
      </c>
      <c r="L1767" s="6">
        <v>0</v>
      </c>
      <c r="M1767" s="41">
        <f>VLOOKUP(Tabla1[[#This Row],[PAGO DIA]],DIAS!A:D,4,0)</f>
        <v>46140</v>
      </c>
      <c r="N1767" s="6">
        <v>0</v>
      </c>
      <c r="O1767" s="43">
        <f>VLOOKUP(Tabla1[[#This Row],[PAGO DIA]],DIAS!A:E,5,0)</f>
        <v>46168</v>
      </c>
      <c r="P1767" s="6">
        <v>0</v>
      </c>
      <c r="Q1767" s="43">
        <f>VLOOKUP(Tabla1[[#This Row],[PAGO DIA]],DIAS!A:F,6,0)</f>
        <v>46196</v>
      </c>
      <c r="R1767" s="6">
        <v>0</v>
      </c>
      <c r="S1767" s="43">
        <f>VLOOKUP(Tabla1[[#This Row],[PAGO DIA]],DIAS!A:G,7,0)</f>
        <v>46231</v>
      </c>
      <c r="T1767" s="6">
        <v>0</v>
      </c>
      <c r="U1767" s="43">
        <f>VLOOKUP(Tabla1[[#This Row],[PAGO DIA]],DIAS!A:H,8,0)</f>
        <v>46259</v>
      </c>
      <c r="V1767" s="6">
        <v>0</v>
      </c>
      <c r="W1767" s="43">
        <f>VLOOKUP(Tabla1[[#This Row],[PAGO DIA]],DIAS!A:I,9,0)</f>
        <v>46287</v>
      </c>
      <c r="X1767" s="6">
        <v>0</v>
      </c>
      <c r="Y1767" s="43">
        <f>VLOOKUP(Tabla1[[#This Row],[PAGO DIA]],DIAS!A:J,10,0)</f>
        <v>46322</v>
      </c>
      <c r="Z1767" s="6">
        <v>0</v>
      </c>
      <c r="AA1767" s="43">
        <f>VLOOKUP(Tabla1[[#This Row],[PAGO DIA]],DIAS!A:K,11,0)</f>
        <v>46350</v>
      </c>
      <c r="AB1767" s="6">
        <v>0</v>
      </c>
      <c r="AC1767" s="43">
        <f>VLOOKUP(Tabla1[[#This Row],[PAGO DIA]],DIAS!A:M,12,0)</f>
        <v>46379</v>
      </c>
      <c r="AD176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8" spans="1:30">
      <c r="A1768" s="3">
        <v>12461</v>
      </c>
      <c r="B1768" s="3" t="s">
        <v>548</v>
      </c>
      <c r="C1768" s="3"/>
      <c r="D1768" s="3" t="s">
        <v>2258</v>
      </c>
      <c r="E1768" s="3"/>
      <c r="F1768" s="42" t="s">
        <v>562</v>
      </c>
      <c r="G1768" s="3"/>
      <c r="H1768" s="6">
        <v>0</v>
      </c>
      <c r="I1768" s="41">
        <f>VLOOKUP(Tabla1[[#This Row],[PAGO DIA]],DIAS!A:B,2,0)</f>
        <v>46078</v>
      </c>
      <c r="J1768" s="6">
        <v>0</v>
      </c>
      <c r="K1768" s="43">
        <f>VLOOKUP(Tabla1[[#This Row],[PAGO DIA]],DIAS!A:C,3,0)</f>
        <v>46105</v>
      </c>
      <c r="L1768" s="6">
        <v>0</v>
      </c>
      <c r="M1768" s="41">
        <f>VLOOKUP(Tabla1[[#This Row],[PAGO DIA]],DIAS!A:D,4,0)</f>
        <v>46140</v>
      </c>
      <c r="N1768" s="6">
        <v>0</v>
      </c>
      <c r="O1768" s="43">
        <f>VLOOKUP(Tabla1[[#This Row],[PAGO DIA]],DIAS!A:E,5,0)</f>
        <v>46168</v>
      </c>
      <c r="P1768" s="6">
        <v>0</v>
      </c>
      <c r="Q1768" s="43">
        <f>VLOOKUP(Tabla1[[#This Row],[PAGO DIA]],DIAS!A:F,6,0)</f>
        <v>46196</v>
      </c>
      <c r="R1768" s="6">
        <v>0</v>
      </c>
      <c r="S1768" s="43">
        <f>VLOOKUP(Tabla1[[#This Row],[PAGO DIA]],DIAS!A:G,7,0)</f>
        <v>46231</v>
      </c>
      <c r="T1768" s="6">
        <v>0</v>
      </c>
      <c r="U1768" s="43">
        <f>VLOOKUP(Tabla1[[#This Row],[PAGO DIA]],DIAS!A:H,8,0)</f>
        <v>46259</v>
      </c>
      <c r="V1768" s="6">
        <v>0</v>
      </c>
      <c r="W1768" s="43">
        <f>VLOOKUP(Tabla1[[#This Row],[PAGO DIA]],DIAS!A:I,9,0)</f>
        <v>46287</v>
      </c>
      <c r="X1768" s="6">
        <v>0</v>
      </c>
      <c r="Y1768" s="43">
        <f>VLOOKUP(Tabla1[[#This Row],[PAGO DIA]],DIAS!A:J,10,0)</f>
        <v>46322</v>
      </c>
      <c r="Z1768" s="6">
        <v>0</v>
      </c>
      <c r="AA1768" s="43">
        <f>VLOOKUP(Tabla1[[#This Row],[PAGO DIA]],DIAS!A:K,11,0)</f>
        <v>46350</v>
      </c>
      <c r="AB1768" s="6">
        <v>0</v>
      </c>
      <c r="AC1768" s="43">
        <f>VLOOKUP(Tabla1[[#This Row],[PAGO DIA]],DIAS!A:M,12,0)</f>
        <v>46379</v>
      </c>
      <c r="AD176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69" spans="1:30">
      <c r="A1769" s="3">
        <v>12462</v>
      </c>
      <c r="B1769" s="3" t="s">
        <v>548</v>
      </c>
      <c r="C1769" s="3"/>
      <c r="D1769" s="3" t="s">
        <v>2259</v>
      </c>
      <c r="E1769" s="3"/>
      <c r="F1769" s="42" t="s">
        <v>562</v>
      </c>
      <c r="G1769" s="3"/>
      <c r="H1769" s="6">
        <v>0</v>
      </c>
      <c r="I1769" s="41">
        <f>VLOOKUP(Tabla1[[#This Row],[PAGO DIA]],DIAS!A:B,2,0)</f>
        <v>46078</v>
      </c>
      <c r="J1769" s="6">
        <v>0</v>
      </c>
      <c r="K1769" s="43">
        <f>VLOOKUP(Tabla1[[#This Row],[PAGO DIA]],DIAS!A:C,3,0)</f>
        <v>46105</v>
      </c>
      <c r="L1769" s="6">
        <v>0</v>
      </c>
      <c r="M1769" s="41">
        <f>VLOOKUP(Tabla1[[#This Row],[PAGO DIA]],DIAS!A:D,4,0)</f>
        <v>46140</v>
      </c>
      <c r="N1769" s="6">
        <v>0</v>
      </c>
      <c r="O1769" s="43">
        <f>VLOOKUP(Tabla1[[#This Row],[PAGO DIA]],DIAS!A:E,5,0)</f>
        <v>46168</v>
      </c>
      <c r="P1769" s="6">
        <v>0</v>
      </c>
      <c r="Q1769" s="43">
        <f>VLOOKUP(Tabla1[[#This Row],[PAGO DIA]],DIAS!A:F,6,0)</f>
        <v>46196</v>
      </c>
      <c r="R1769" s="6">
        <v>0</v>
      </c>
      <c r="S1769" s="43">
        <f>VLOOKUP(Tabla1[[#This Row],[PAGO DIA]],DIAS!A:G,7,0)</f>
        <v>46231</v>
      </c>
      <c r="T1769" s="6">
        <v>0</v>
      </c>
      <c r="U1769" s="43">
        <f>VLOOKUP(Tabla1[[#This Row],[PAGO DIA]],DIAS!A:H,8,0)</f>
        <v>46259</v>
      </c>
      <c r="V1769" s="6">
        <v>0</v>
      </c>
      <c r="W1769" s="43">
        <f>VLOOKUP(Tabla1[[#This Row],[PAGO DIA]],DIAS!A:I,9,0)</f>
        <v>46287</v>
      </c>
      <c r="X1769" s="6">
        <v>0</v>
      </c>
      <c r="Y1769" s="43">
        <f>VLOOKUP(Tabla1[[#This Row],[PAGO DIA]],DIAS!A:J,10,0)</f>
        <v>46322</v>
      </c>
      <c r="Z1769" s="6">
        <v>0</v>
      </c>
      <c r="AA1769" s="43">
        <f>VLOOKUP(Tabla1[[#This Row],[PAGO DIA]],DIAS!A:K,11,0)</f>
        <v>46350</v>
      </c>
      <c r="AB1769" s="6">
        <v>0</v>
      </c>
      <c r="AC1769" s="43">
        <f>VLOOKUP(Tabla1[[#This Row],[PAGO DIA]],DIAS!A:M,12,0)</f>
        <v>46379</v>
      </c>
      <c r="AD176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0" spans="1:30">
      <c r="A1770" s="3">
        <v>12463</v>
      </c>
      <c r="B1770" s="3" t="s">
        <v>548</v>
      </c>
      <c r="C1770" s="3"/>
      <c r="D1770" s="3" t="s">
        <v>2260</v>
      </c>
      <c r="E1770" s="3"/>
      <c r="F1770" s="42" t="s">
        <v>562</v>
      </c>
      <c r="G1770" s="3"/>
      <c r="H1770" s="6">
        <v>0</v>
      </c>
      <c r="I1770" s="41">
        <f>VLOOKUP(Tabla1[[#This Row],[PAGO DIA]],DIAS!A:B,2,0)</f>
        <v>46078</v>
      </c>
      <c r="J1770" s="6">
        <v>0</v>
      </c>
      <c r="K1770" s="43">
        <f>VLOOKUP(Tabla1[[#This Row],[PAGO DIA]],DIAS!A:C,3,0)</f>
        <v>46105</v>
      </c>
      <c r="L1770" s="6">
        <v>0</v>
      </c>
      <c r="M1770" s="41">
        <f>VLOOKUP(Tabla1[[#This Row],[PAGO DIA]],DIAS!A:D,4,0)</f>
        <v>46140</v>
      </c>
      <c r="N1770" s="6">
        <v>0</v>
      </c>
      <c r="O1770" s="43">
        <f>VLOOKUP(Tabla1[[#This Row],[PAGO DIA]],DIAS!A:E,5,0)</f>
        <v>46168</v>
      </c>
      <c r="P1770" s="6">
        <v>0</v>
      </c>
      <c r="Q1770" s="43">
        <f>VLOOKUP(Tabla1[[#This Row],[PAGO DIA]],DIAS!A:F,6,0)</f>
        <v>46196</v>
      </c>
      <c r="R1770" s="6">
        <v>0</v>
      </c>
      <c r="S1770" s="43">
        <f>VLOOKUP(Tabla1[[#This Row],[PAGO DIA]],DIAS!A:G,7,0)</f>
        <v>46231</v>
      </c>
      <c r="T1770" s="6">
        <v>0</v>
      </c>
      <c r="U1770" s="43">
        <f>VLOOKUP(Tabla1[[#This Row],[PAGO DIA]],DIAS!A:H,8,0)</f>
        <v>46259</v>
      </c>
      <c r="V1770" s="6">
        <v>0</v>
      </c>
      <c r="W1770" s="43">
        <f>VLOOKUP(Tabla1[[#This Row],[PAGO DIA]],DIAS!A:I,9,0)</f>
        <v>46287</v>
      </c>
      <c r="X1770" s="6">
        <v>0</v>
      </c>
      <c r="Y1770" s="43">
        <f>VLOOKUP(Tabla1[[#This Row],[PAGO DIA]],DIAS!A:J,10,0)</f>
        <v>46322</v>
      </c>
      <c r="Z1770" s="6">
        <v>0</v>
      </c>
      <c r="AA1770" s="43">
        <f>VLOOKUP(Tabla1[[#This Row],[PAGO DIA]],DIAS!A:K,11,0)</f>
        <v>46350</v>
      </c>
      <c r="AB1770" s="6">
        <v>0</v>
      </c>
      <c r="AC1770" s="43">
        <f>VLOOKUP(Tabla1[[#This Row],[PAGO DIA]],DIAS!A:M,12,0)</f>
        <v>46379</v>
      </c>
      <c r="AD177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1" spans="1:30">
      <c r="A1771" s="3">
        <v>12464</v>
      </c>
      <c r="B1771" s="3" t="s">
        <v>548</v>
      </c>
      <c r="C1771" s="3"/>
      <c r="D1771" s="3" t="s">
        <v>2261</v>
      </c>
      <c r="E1771" s="3"/>
      <c r="F1771" s="42" t="s">
        <v>562</v>
      </c>
      <c r="G1771" s="3"/>
      <c r="H1771" s="6">
        <v>0</v>
      </c>
      <c r="I1771" s="41">
        <f>VLOOKUP(Tabla1[[#This Row],[PAGO DIA]],DIAS!A:B,2,0)</f>
        <v>46078</v>
      </c>
      <c r="J1771" s="6">
        <v>0</v>
      </c>
      <c r="K1771" s="43">
        <f>VLOOKUP(Tabla1[[#This Row],[PAGO DIA]],DIAS!A:C,3,0)</f>
        <v>46105</v>
      </c>
      <c r="L1771" s="6">
        <v>0</v>
      </c>
      <c r="M1771" s="41">
        <f>VLOOKUP(Tabla1[[#This Row],[PAGO DIA]],DIAS!A:D,4,0)</f>
        <v>46140</v>
      </c>
      <c r="N1771" s="6">
        <v>0</v>
      </c>
      <c r="O1771" s="43">
        <f>VLOOKUP(Tabla1[[#This Row],[PAGO DIA]],DIAS!A:E,5,0)</f>
        <v>46168</v>
      </c>
      <c r="P1771" s="6">
        <v>0</v>
      </c>
      <c r="Q1771" s="43">
        <f>VLOOKUP(Tabla1[[#This Row],[PAGO DIA]],DIAS!A:F,6,0)</f>
        <v>46196</v>
      </c>
      <c r="R1771" s="6">
        <v>0</v>
      </c>
      <c r="S1771" s="43">
        <f>VLOOKUP(Tabla1[[#This Row],[PAGO DIA]],DIAS!A:G,7,0)</f>
        <v>46231</v>
      </c>
      <c r="T1771" s="6">
        <v>0</v>
      </c>
      <c r="U1771" s="43">
        <f>VLOOKUP(Tabla1[[#This Row],[PAGO DIA]],DIAS!A:H,8,0)</f>
        <v>46259</v>
      </c>
      <c r="V1771" s="6">
        <v>0</v>
      </c>
      <c r="W1771" s="43">
        <f>VLOOKUP(Tabla1[[#This Row],[PAGO DIA]],DIAS!A:I,9,0)</f>
        <v>46287</v>
      </c>
      <c r="X1771" s="6">
        <v>0</v>
      </c>
      <c r="Y1771" s="43">
        <f>VLOOKUP(Tabla1[[#This Row],[PAGO DIA]],DIAS!A:J,10,0)</f>
        <v>46322</v>
      </c>
      <c r="Z1771" s="6">
        <v>0</v>
      </c>
      <c r="AA1771" s="43">
        <f>VLOOKUP(Tabla1[[#This Row],[PAGO DIA]],DIAS!A:K,11,0)</f>
        <v>46350</v>
      </c>
      <c r="AB1771" s="6">
        <v>0</v>
      </c>
      <c r="AC1771" s="43">
        <f>VLOOKUP(Tabla1[[#This Row],[PAGO DIA]],DIAS!A:M,12,0)</f>
        <v>46379</v>
      </c>
      <c r="AD177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2" spans="1:30">
      <c r="A1772" s="3">
        <v>12465</v>
      </c>
      <c r="B1772" s="3" t="s">
        <v>548</v>
      </c>
      <c r="C1772" s="3"/>
      <c r="D1772" s="3" t="s">
        <v>2262</v>
      </c>
      <c r="E1772" s="3"/>
      <c r="F1772" s="42" t="s">
        <v>562</v>
      </c>
      <c r="G1772" s="3"/>
      <c r="H1772" s="6">
        <v>0</v>
      </c>
      <c r="I1772" s="41">
        <f>VLOOKUP(Tabla1[[#This Row],[PAGO DIA]],DIAS!A:B,2,0)</f>
        <v>46078</v>
      </c>
      <c r="J1772" s="6">
        <v>0</v>
      </c>
      <c r="K1772" s="43">
        <f>VLOOKUP(Tabla1[[#This Row],[PAGO DIA]],DIAS!A:C,3,0)</f>
        <v>46105</v>
      </c>
      <c r="L1772" s="6">
        <v>0</v>
      </c>
      <c r="M1772" s="41">
        <f>VLOOKUP(Tabla1[[#This Row],[PAGO DIA]],DIAS!A:D,4,0)</f>
        <v>46140</v>
      </c>
      <c r="N1772" s="6">
        <v>0</v>
      </c>
      <c r="O1772" s="43">
        <f>VLOOKUP(Tabla1[[#This Row],[PAGO DIA]],DIAS!A:E,5,0)</f>
        <v>46168</v>
      </c>
      <c r="P1772" s="6">
        <v>0</v>
      </c>
      <c r="Q1772" s="43">
        <f>VLOOKUP(Tabla1[[#This Row],[PAGO DIA]],DIAS!A:F,6,0)</f>
        <v>46196</v>
      </c>
      <c r="R1772" s="6">
        <v>0</v>
      </c>
      <c r="S1772" s="43">
        <f>VLOOKUP(Tabla1[[#This Row],[PAGO DIA]],DIAS!A:G,7,0)</f>
        <v>46231</v>
      </c>
      <c r="T1772" s="6">
        <v>0</v>
      </c>
      <c r="U1772" s="43">
        <f>VLOOKUP(Tabla1[[#This Row],[PAGO DIA]],DIAS!A:H,8,0)</f>
        <v>46259</v>
      </c>
      <c r="V1772" s="6">
        <v>0</v>
      </c>
      <c r="W1772" s="43">
        <f>VLOOKUP(Tabla1[[#This Row],[PAGO DIA]],DIAS!A:I,9,0)</f>
        <v>46287</v>
      </c>
      <c r="X1772" s="6">
        <v>0</v>
      </c>
      <c r="Y1772" s="43">
        <f>VLOOKUP(Tabla1[[#This Row],[PAGO DIA]],DIAS!A:J,10,0)</f>
        <v>46322</v>
      </c>
      <c r="Z1772" s="6">
        <v>0</v>
      </c>
      <c r="AA1772" s="43">
        <f>VLOOKUP(Tabla1[[#This Row],[PAGO DIA]],DIAS!A:K,11,0)</f>
        <v>46350</v>
      </c>
      <c r="AB1772" s="6">
        <v>0</v>
      </c>
      <c r="AC1772" s="43">
        <f>VLOOKUP(Tabla1[[#This Row],[PAGO DIA]],DIAS!A:M,12,0)</f>
        <v>46379</v>
      </c>
      <c r="AD177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3" spans="1:30">
      <c r="A1773" s="3">
        <v>12466</v>
      </c>
      <c r="B1773" s="3" t="s">
        <v>2263</v>
      </c>
      <c r="C1773" s="3"/>
      <c r="D1773" s="3" t="s">
        <v>2263</v>
      </c>
      <c r="E1773" s="3"/>
      <c r="F1773" s="42" t="s">
        <v>631</v>
      </c>
      <c r="G1773" s="3"/>
      <c r="H1773" s="6">
        <v>0</v>
      </c>
      <c r="I1773" s="41">
        <f>VLOOKUP(Tabla1[[#This Row],[PAGO DIA]],DIAS!A:B,2,0)</f>
        <v>46080</v>
      </c>
      <c r="J1773" s="6">
        <v>0</v>
      </c>
      <c r="K1773" s="43">
        <f>VLOOKUP(Tabla1[[#This Row],[PAGO DIA]],DIAS!A:C,3,0)</f>
        <v>46112</v>
      </c>
      <c r="L1773" s="6">
        <v>0</v>
      </c>
      <c r="M1773" s="41">
        <f>VLOOKUP(Tabla1[[#This Row],[PAGO DIA]],DIAS!A:D,4,0)</f>
        <v>46142</v>
      </c>
      <c r="N1773" s="6">
        <v>0</v>
      </c>
      <c r="O1773" s="43">
        <f>VLOOKUP(Tabla1[[#This Row],[PAGO DIA]],DIAS!A:E,5,0)</f>
        <v>46171</v>
      </c>
      <c r="P1773" s="6">
        <v>0</v>
      </c>
      <c r="Q1773" s="43">
        <f>VLOOKUP(Tabla1[[#This Row],[PAGO DIA]],DIAS!A:F,6,0)</f>
        <v>46203</v>
      </c>
      <c r="R1773" s="6">
        <v>0</v>
      </c>
      <c r="S1773" s="43">
        <f>VLOOKUP(Tabla1[[#This Row],[PAGO DIA]],DIAS!A:G,7,0)</f>
        <v>46234</v>
      </c>
      <c r="T1773" s="6">
        <v>0</v>
      </c>
      <c r="U1773" s="43">
        <f>VLOOKUP(Tabla1[[#This Row],[PAGO DIA]],DIAS!A:H,8,0)</f>
        <v>46265</v>
      </c>
      <c r="V1773" s="6">
        <v>0</v>
      </c>
      <c r="W1773" s="43">
        <f>VLOOKUP(Tabla1[[#This Row],[PAGO DIA]],DIAS!A:I,9,0)</f>
        <v>46295</v>
      </c>
      <c r="X1773" s="6">
        <v>0</v>
      </c>
      <c r="Y1773" s="43">
        <f>VLOOKUP(Tabla1[[#This Row],[PAGO DIA]],DIAS!A:J,10,0)</f>
        <v>46325</v>
      </c>
      <c r="Z1773" s="6">
        <v>0</v>
      </c>
      <c r="AA1773" s="43">
        <f>VLOOKUP(Tabla1[[#This Row],[PAGO DIA]],DIAS!A:K,11,0)</f>
        <v>46356</v>
      </c>
      <c r="AB1773" s="6">
        <v>0</v>
      </c>
      <c r="AC1773" s="43">
        <f>VLOOKUP(Tabla1[[#This Row],[PAGO DIA]],DIAS!A:M,12,0)</f>
        <v>46386</v>
      </c>
      <c r="AD177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4" spans="1:30">
      <c r="A1774" s="3">
        <v>11405</v>
      </c>
      <c r="B1774" s="3" t="s">
        <v>2264</v>
      </c>
      <c r="C1774" s="3" t="s">
        <v>2015</v>
      </c>
      <c r="D1774" s="3" t="s">
        <v>2015</v>
      </c>
      <c r="E1774" s="3" t="s">
        <v>1946</v>
      </c>
      <c r="F1774" s="42" t="s">
        <v>631</v>
      </c>
      <c r="G1774" s="3"/>
      <c r="H1774" s="7">
        <v>0</v>
      </c>
      <c r="I1774" s="41">
        <f>VLOOKUP(Tabla1[[#This Row],[PAGO DIA]],DIAS!A:B,2,0)</f>
        <v>46080</v>
      </c>
      <c r="J1774" s="6">
        <v>0</v>
      </c>
      <c r="K1774" s="43">
        <f>VLOOKUP(Tabla1[[#This Row],[PAGO DIA]],DIAS!A:C,3,0)</f>
        <v>46112</v>
      </c>
      <c r="L1774" s="6">
        <v>0</v>
      </c>
      <c r="M1774" s="41">
        <f>VLOOKUP(Tabla1[[#This Row],[PAGO DIA]],DIAS!A:D,4,0)</f>
        <v>46142</v>
      </c>
      <c r="N1774" s="6">
        <v>0</v>
      </c>
      <c r="O1774" s="43">
        <f>VLOOKUP(Tabla1[[#This Row],[PAGO DIA]],DIAS!A:E,5,0)</f>
        <v>46171</v>
      </c>
      <c r="P1774" s="6">
        <v>0</v>
      </c>
      <c r="Q1774" s="43">
        <f>VLOOKUP(Tabla1[[#This Row],[PAGO DIA]],DIAS!A:F,6,0)</f>
        <v>46203</v>
      </c>
      <c r="R1774" s="6">
        <v>0</v>
      </c>
      <c r="S1774" s="43">
        <f>VLOOKUP(Tabla1[[#This Row],[PAGO DIA]],DIAS!A:G,7,0)</f>
        <v>46234</v>
      </c>
      <c r="T1774" s="6">
        <v>0</v>
      </c>
      <c r="U1774" s="43">
        <f>VLOOKUP(Tabla1[[#This Row],[PAGO DIA]],DIAS!A:H,8,0)</f>
        <v>46265</v>
      </c>
      <c r="V1774" s="6">
        <v>0</v>
      </c>
      <c r="W1774" s="43">
        <f>VLOOKUP(Tabla1[[#This Row],[PAGO DIA]],DIAS!A:I,9,0)</f>
        <v>46295</v>
      </c>
      <c r="X1774" s="6">
        <v>21831039.449999999</v>
      </c>
      <c r="Y1774" s="43">
        <f>VLOOKUP(Tabla1[[#This Row],[PAGO DIA]],DIAS!A:J,10,0)</f>
        <v>46325</v>
      </c>
      <c r="Z1774" s="6">
        <v>21831039.449999999</v>
      </c>
      <c r="AA1774" s="43">
        <f>VLOOKUP(Tabla1[[#This Row],[PAGO DIA]],DIAS!A:K,11,0)</f>
        <v>46356</v>
      </c>
      <c r="AB1774" s="6">
        <v>21831039.449999999</v>
      </c>
      <c r="AC1774" s="43">
        <f>VLOOKUP(Tabla1[[#This Row],[PAGO DIA]],DIAS!A:M,12,0)</f>
        <v>46386</v>
      </c>
      <c r="AD177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65493118.349999994</v>
      </c>
    </row>
    <row r="1775" spans="1:30">
      <c r="A1775" s="3">
        <v>11423</v>
      </c>
      <c r="B1775" s="3" t="s">
        <v>2264</v>
      </c>
      <c r="C1775" s="3" t="s">
        <v>2015</v>
      </c>
      <c r="D1775" s="3" t="s">
        <v>2015</v>
      </c>
      <c r="E1775" s="3" t="s">
        <v>2017</v>
      </c>
      <c r="F1775" s="42" t="s">
        <v>631</v>
      </c>
      <c r="G1775" s="3"/>
      <c r="H1775" s="7">
        <v>5840000</v>
      </c>
      <c r="I1775" s="41">
        <f>VLOOKUP(Tabla1[[#This Row],[PAGO DIA]],DIAS!A:B,2,0)</f>
        <v>46080</v>
      </c>
      <c r="J1775" s="6">
        <v>0</v>
      </c>
      <c r="K1775" s="43">
        <f>VLOOKUP(Tabla1[[#This Row],[PAGO DIA]],DIAS!A:C,3,0)</f>
        <v>46112</v>
      </c>
      <c r="L1775" s="6">
        <v>0</v>
      </c>
      <c r="M1775" s="41">
        <f>VLOOKUP(Tabla1[[#This Row],[PAGO DIA]],DIAS!A:D,4,0)</f>
        <v>46142</v>
      </c>
      <c r="N1775" s="6">
        <v>0</v>
      </c>
      <c r="O1775" s="43">
        <f>VLOOKUP(Tabla1[[#This Row],[PAGO DIA]],DIAS!A:E,5,0)</f>
        <v>46171</v>
      </c>
      <c r="P1775" s="6">
        <v>5448307.5899999999</v>
      </c>
      <c r="Q1775" s="43">
        <f>VLOOKUP(Tabla1[[#This Row],[PAGO DIA]],DIAS!A:F,6,0)</f>
        <v>46203</v>
      </c>
      <c r="R1775" s="6">
        <v>5448307.5899999999</v>
      </c>
      <c r="S1775" s="43">
        <f>VLOOKUP(Tabla1[[#This Row],[PAGO DIA]],DIAS!A:G,7,0)</f>
        <v>46234</v>
      </c>
      <c r="T1775" s="6">
        <v>5448307.5899999999</v>
      </c>
      <c r="U1775" s="43">
        <f>VLOOKUP(Tabla1[[#This Row],[PAGO DIA]],DIAS!A:H,8,0)</f>
        <v>46265</v>
      </c>
      <c r="V1775" s="6">
        <v>5448307.5899999999</v>
      </c>
      <c r="W1775" s="43">
        <f>VLOOKUP(Tabla1[[#This Row],[PAGO DIA]],DIAS!A:I,9,0)</f>
        <v>46295</v>
      </c>
      <c r="X1775" s="6">
        <v>5448307.5899999999</v>
      </c>
      <c r="Y1775" s="43">
        <f>VLOOKUP(Tabla1[[#This Row],[PAGO DIA]],DIAS!A:J,10,0)</f>
        <v>46325</v>
      </c>
      <c r="Z1775" s="6">
        <v>5448307.5899999999</v>
      </c>
      <c r="AA1775" s="43">
        <f>VLOOKUP(Tabla1[[#This Row],[PAGO DIA]],DIAS!A:K,11,0)</f>
        <v>46356</v>
      </c>
      <c r="AB1775" s="6">
        <v>5448307.5899999999</v>
      </c>
      <c r="AC1775" s="43">
        <f>VLOOKUP(Tabla1[[#This Row],[PAGO DIA]],DIAS!A:M,12,0)</f>
        <v>46386</v>
      </c>
      <c r="AD177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43978153.129999995</v>
      </c>
    </row>
    <row r="1776" spans="1:30">
      <c r="A1776" s="3">
        <v>11425</v>
      </c>
      <c r="B1776" s="3" t="s">
        <v>2264</v>
      </c>
      <c r="C1776" s="3" t="s">
        <v>2015</v>
      </c>
      <c r="D1776" s="3" t="s">
        <v>2015</v>
      </c>
      <c r="E1776" s="3" t="s">
        <v>1859</v>
      </c>
      <c r="F1776" s="42" t="s">
        <v>631</v>
      </c>
      <c r="G1776" s="3"/>
      <c r="H1776" s="7">
        <v>0</v>
      </c>
      <c r="I1776" s="41">
        <f>VLOOKUP(Tabla1[[#This Row],[PAGO DIA]],DIAS!A:B,2,0)</f>
        <v>46080</v>
      </c>
      <c r="J1776" s="6">
        <v>0</v>
      </c>
      <c r="K1776" s="43">
        <f>VLOOKUP(Tabla1[[#This Row],[PAGO DIA]],DIAS!A:C,3,0)</f>
        <v>46112</v>
      </c>
      <c r="L1776" s="6">
        <v>2720652.96</v>
      </c>
      <c r="M1776" s="41">
        <f>VLOOKUP(Tabla1[[#This Row],[PAGO DIA]],DIAS!A:D,4,0)</f>
        <v>46142</v>
      </c>
      <c r="N1776" s="6">
        <v>2720652.96</v>
      </c>
      <c r="O1776" s="43">
        <f>VLOOKUP(Tabla1[[#This Row],[PAGO DIA]],DIAS!A:E,5,0)</f>
        <v>46171</v>
      </c>
      <c r="P1776" s="6">
        <v>2720652.96</v>
      </c>
      <c r="Q1776" s="43">
        <f>VLOOKUP(Tabla1[[#This Row],[PAGO DIA]],DIAS!A:F,6,0)</f>
        <v>46203</v>
      </c>
      <c r="R1776" s="6">
        <v>2720652.96</v>
      </c>
      <c r="S1776" s="43">
        <f>VLOOKUP(Tabla1[[#This Row],[PAGO DIA]],DIAS!A:G,7,0)</f>
        <v>46234</v>
      </c>
      <c r="T1776" s="6">
        <v>2720652.96</v>
      </c>
      <c r="U1776" s="43">
        <f>VLOOKUP(Tabla1[[#This Row],[PAGO DIA]],DIAS!A:H,8,0)</f>
        <v>46265</v>
      </c>
      <c r="V1776" s="6">
        <v>2720652.96</v>
      </c>
      <c r="W1776" s="43">
        <f>VLOOKUP(Tabla1[[#This Row],[PAGO DIA]],DIAS!A:I,9,0)</f>
        <v>46295</v>
      </c>
      <c r="X1776" s="6">
        <v>2720652.96</v>
      </c>
      <c r="Y1776" s="43">
        <f>VLOOKUP(Tabla1[[#This Row],[PAGO DIA]],DIAS!A:J,10,0)</f>
        <v>46325</v>
      </c>
      <c r="Z1776" s="6">
        <v>2720652.96</v>
      </c>
      <c r="AA1776" s="43">
        <f>VLOOKUP(Tabla1[[#This Row],[PAGO DIA]],DIAS!A:K,11,0)</f>
        <v>46356</v>
      </c>
      <c r="AB1776" s="6">
        <v>2720652.96</v>
      </c>
      <c r="AC1776" s="43">
        <f>VLOOKUP(Tabla1[[#This Row],[PAGO DIA]],DIAS!A:M,12,0)</f>
        <v>46386</v>
      </c>
      <c r="AD177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24485876.640000004</v>
      </c>
    </row>
    <row r="1777" spans="1:30">
      <c r="A1777" s="3">
        <v>12467</v>
      </c>
      <c r="B1777" s="3" t="s">
        <v>2264</v>
      </c>
      <c r="C1777" s="3"/>
      <c r="D1777" s="3" t="s">
        <v>2015</v>
      </c>
      <c r="E1777" s="3" t="s">
        <v>2265</v>
      </c>
      <c r="F1777" s="42" t="s">
        <v>631</v>
      </c>
      <c r="G1777" s="3"/>
      <c r="H1777" s="6">
        <v>0</v>
      </c>
      <c r="I1777" s="41">
        <f>VLOOKUP(Tabla1[[#This Row],[PAGO DIA]],DIAS!A:B,2,0)</f>
        <v>46080</v>
      </c>
      <c r="J1777" s="6">
        <v>0</v>
      </c>
      <c r="K1777" s="43">
        <f>VLOOKUP(Tabla1[[#This Row],[PAGO DIA]],DIAS!A:C,3,0)</f>
        <v>46112</v>
      </c>
      <c r="L1777" s="6">
        <v>0</v>
      </c>
      <c r="M1777" s="41">
        <f>VLOOKUP(Tabla1[[#This Row],[PAGO DIA]],DIAS!A:D,4,0)</f>
        <v>46142</v>
      </c>
      <c r="N1777" s="6">
        <v>0</v>
      </c>
      <c r="O1777" s="43">
        <f>VLOOKUP(Tabla1[[#This Row],[PAGO DIA]],DIAS!A:E,5,0)</f>
        <v>46171</v>
      </c>
      <c r="P1777" s="6">
        <v>0</v>
      </c>
      <c r="Q1777" s="43">
        <f>VLOOKUP(Tabla1[[#This Row],[PAGO DIA]],DIAS!A:F,6,0)</f>
        <v>46203</v>
      </c>
      <c r="R1777" s="6">
        <v>0</v>
      </c>
      <c r="S1777" s="43">
        <f>VLOOKUP(Tabla1[[#This Row],[PAGO DIA]],DIAS!A:G,7,0)</f>
        <v>46234</v>
      </c>
      <c r="T1777" s="6">
        <v>0</v>
      </c>
      <c r="U1777" s="43">
        <f>VLOOKUP(Tabla1[[#This Row],[PAGO DIA]],DIAS!A:H,8,0)</f>
        <v>46265</v>
      </c>
      <c r="V1777" s="6">
        <v>0</v>
      </c>
      <c r="W1777" s="43">
        <f>VLOOKUP(Tabla1[[#This Row],[PAGO DIA]],DIAS!A:I,9,0)</f>
        <v>46295</v>
      </c>
      <c r="X1777" s="6">
        <v>0</v>
      </c>
      <c r="Y1777" s="43">
        <f>VLOOKUP(Tabla1[[#This Row],[PAGO DIA]],DIAS!A:J,10,0)</f>
        <v>46325</v>
      </c>
      <c r="Z1777" s="6">
        <v>0</v>
      </c>
      <c r="AA1777" s="43">
        <f>VLOOKUP(Tabla1[[#This Row],[PAGO DIA]],DIAS!A:K,11,0)</f>
        <v>46356</v>
      </c>
      <c r="AB1777" s="6">
        <v>0</v>
      </c>
      <c r="AC1777" s="43">
        <f>VLOOKUP(Tabla1[[#This Row],[PAGO DIA]],DIAS!A:M,12,0)</f>
        <v>46386</v>
      </c>
      <c r="AD177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8" spans="1:30">
      <c r="A1778" s="3">
        <v>10998</v>
      </c>
      <c r="B1778" s="3" t="s">
        <v>2264</v>
      </c>
      <c r="C1778" s="3" t="s">
        <v>2015</v>
      </c>
      <c r="D1778" s="3" t="s">
        <v>2015</v>
      </c>
      <c r="E1778" s="3" t="s">
        <v>1946</v>
      </c>
      <c r="F1778" s="42" t="s">
        <v>631</v>
      </c>
      <c r="G1778" s="3"/>
      <c r="H1778" s="6">
        <v>0</v>
      </c>
      <c r="I1778" s="41">
        <f>VLOOKUP(Tabla1[[#This Row],[PAGO DIA]],DIAS!A:B,2,0)</f>
        <v>46080</v>
      </c>
      <c r="J1778" s="6">
        <v>0</v>
      </c>
      <c r="K1778" s="43">
        <f>VLOOKUP(Tabla1[[#This Row],[PAGO DIA]],DIAS!A:C,3,0)</f>
        <v>46112</v>
      </c>
      <c r="L1778" s="6">
        <v>0</v>
      </c>
      <c r="M1778" s="41">
        <f>VLOOKUP(Tabla1[[#This Row],[PAGO DIA]],DIAS!A:D,4,0)</f>
        <v>46142</v>
      </c>
      <c r="N1778" s="6">
        <v>0</v>
      </c>
      <c r="O1778" s="43">
        <f>VLOOKUP(Tabla1[[#This Row],[PAGO DIA]],DIAS!A:E,5,0)</f>
        <v>46171</v>
      </c>
      <c r="P1778" s="6">
        <v>0</v>
      </c>
      <c r="Q1778" s="43">
        <f>VLOOKUP(Tabla1[[#This Row],[PAGO DIA]],DIAS!A:F,6,0)</f>
        <v>46203</v>
      </c>
      <c r="R1778" s="6">
        <v>0</v>
      </c>
      <c r="S1778" s="43">
        <f>VLOOKUP(Tabla1[[#This Row],[PAGO DIA]],DIAS!A:G,7,0)</f>
        <v>46234</v>
      </c>
      <c r="T1778" s="6">
        <v>0</v>
      </c>
      <c r="U1778" s="43">
        <f>VLOOKUP(Tabla1[[#This Row],[PAGO DIA]],DIAS!A:H,8,0)</f>
        <v>46265</v>
      </c>
      <c r="V1778" s="6">
        <v>0</v>
      </c>
      <c r="W1778" s="43">
        <f>VLOOKUP(Tabla1[[#This Row],[PAGO DIA]],DIAS!A:I,9,0)</f>
        <v>46295</v>
      </c>
      <c r="X1778" s="6">
        <v>0</v>
      </c>
      <c r="Y1778" s="43">
        <f>VLOOKUP(Tabla1[[#This Row],[PAGO DIA]],DIAS!A:J,10,0)</f>
        <v>46325</v>
      </c>
      <c r="Z1778" s="6">
        <v>0</v>
      </c>
      <c r="AA1778" s="43">
        <f>VLOOKUP(Tabla1[[#This Row],[PAGO DIA]],DIAS!A:K,11,0)</f>
        <v>46356</v>
      </c>
      <c r="AB1778" s="6">
        <v>0</v>
      </c>
      <c r="AC1778" s="43">
        <f>VLOOKUP(Tabla1[[#This Row],[PAGO DIA]],DIAS!A:M,12,0)</f>
        <v>46386</v>
      </c>
      <c r="AD177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79" spans="1:30">
      <c r="A1779" s="3">
        <v>11057</v>
      </c>
      <c r="B1779" s="3" t="s">
        <v>2264</v>
      </c>
      <c r="C1779" s="3" t="s">
        <v>2015</v>
      </c>
      <c r="D1779" s="3" t="s">
        <v>2015</v>
      </c>
      <c r="E1779" s="3" t="s">
        <v>2017</v>
      </c>
      <c r="F1779" s="42" t="s">
        <v>631</v>
      </c>
      <c r="G1779" s="3"/>
      <c r="H1779" s="6">
        <v>0</v>
      </c>
      <c r="I1779" s="41">
        <f>VLOOKUP(Tabla1[[#This Row],[PAGO DIA]],DIAS!A:B,2,0)</f>
        <v>46080</v>
      </c>
      <c r="J1779" s="6">
        <v>0</v>
      </c>
      <c r="K1779" s="43">
        <f>VLOOKUP(Tabla1[[#This Row],[PAGO DIA]],DIAS!A:C,3,0)</f>
        <v>46112</v>
      </c>
      <c r="L1779" s="6">
        <v>0</v>
      </c>
      <c r="M1779" s="41">
        <f>VLOOKUP(Tabla1[[#This Row],[PAGO DIA]],DIAS!A:D,4,0)</f>
        <v>46142</v>
      </c>
      <c r="N1779" s="6">
        <v>0</v>
      </c>
      <c r="O1779" s="43">
        <f>VLOOKUP(Tabla1[[#This Row],[PAGO DIA]],DIAS!A:E,5,0)</f>
        <v>46171</v>
      </c>
      <c r="P1779" s="6">
        <v>0</v>
      </c>
      <c r="Q1779" s="43">
        <f>VLOOKUP(Tabla1[[#This Row],[PAGO DIA]],DIAS!A:F,6,0)</f>
        <v>46203</v>
      </c>
      <c r="R1779" s="6">
        <v>0</v>
      </c>
      <c r="S1779" s="43">
        <f>VLOOKUP(Tabla1[[#This Row],[PAGO DIA]],DIAS!A:G,7,0)</f>
        <v>46234</v>
      </c>
      <c r="T1779" s="6">
        <v>0</v>
      </c>
      <c r="U1779" s="43">
        <f>VLOOKUP(Tabla1[[#This Row],[PAGO DIA]],DIAS!A:H,8,0)</f>
        <v>46265</v>
      </c>
      <c r="V1779" s="6">
        <v>0</v>
      </c>
      <c r="W1779" s="43">
        <f>VLOOKUP(Tabla1[[#This Row],[PAGO DIA]],DIAS!A:I,9,0)</f>
        <v>46295</v>
      </c>
      <c r="X1779" s="6">
        <v>0</v>
      </c>
      <c r="Y1779" s="43">
        <f>VLOOKUP(Tabla1[[#This Row],[PAGO DIA]],DIAS!A:J,10,0)</f>
        <v>46325</v>
      </c>
      <c r="Z1779" s="6">
        <v>0</v>
      </c>
      <c r="AA1779" s="43">
        <f>VLOOKUP(Tabla1[[#This Row],[PAGO DIA]],DIAS!A:K,11,0)</f>
        <v>46356</v>
      </c>
      <c r="AB1779" s="6">
        <v>0</v>
      </c>
      <c r="AC1779" s="43">
        <f>VLOOKUP(Tabla1[[#This Row],[PAGO DIA]],DIAS!A:M,12,0)</f>
        <v>46386</v>
      </c>
      <c r="AD177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0" spans="1:30">
      <c r="A1780" s="3">
        <v>11072</v>
      </c>
      <c r="B1780" s="3" t="s">
        <v>2264</v>
      </c>
      <c r="C1780" s="3" t="s">
        <v>2015</v>
      </c>
      <c r="D1780" s="3" t="s">
        <v>2015</v>
      </c>
      <c r="E1780" s="3" t="s">
        <v>1859</v>
      </c>
      <c r="F1780" s="42" t="s">
        <v>631</v>
      </c>
      <c r="G1780" s="3"/>
      <c r="H1780" s="6">
        <v>0</v>
      </c>
      <c r="I1780" s="41">
        <f>VLOOKUP(Tabla1[[#This Row],[PAGO DIA]],DIAS!A:B,2,0)</f>
        <v>46080</v>
      </c>
      <c r="J1780" s="6">
        <v>0</v>
      </c>
      <c r="K1780" s="43">
        <f>VLOOKUP(Tabla1[[#This Row],[PAGO DIA]],DIAS!A:C,3,0)</f>
        <v>46112</v>
      </c>
      <c r="L1780" s="6">
        <v>0</v>
      </c>
      <c r="M1780" s="41">
        <f>VLOOKUP(Tabla1[[#This Row],[PAGO DIA]],DIAS!A:D,4,0)</f>
        <v>46142</v>
      </c>
      <c r="N1780" s="6">
        <v>0</v>
      </c>
      <c r="O1780" s="43">
        <f>VLOOKUP(Tabla1[[#This Row],[PAGO DIA]],DIAS!A:E,5,0)</f>
        <v>46171</v>
      </c>
      <c r="P1780" s="6">
        <v>0</v>
      </c>
      <c r="Q1780" s="43">
        <f>VLOOKUP(Tabla1[[#This Row],[PAGO DIA]],DIAS!A:F,6,0)</f>
        <v>46203</v>
      </c>
      <c r="R1780" s="6">
        <v>0</v>
      </c>
      <c r="S1780" s="43">
        <f>VLOOKUP(Tabla1[[#This Row],[PAGO DIA]],DIAS!A:G,7,0)</f>
        <v>46234</v>
      </c>
      <c r="T1780" s="6">
        <v>0</v>
      </c>
      <c r="U1780" s="43">
        <f>VLOOKUP(Tabla1[[#This Row],[PAGO DIA]],DIAS!A:H,8,0)</f>
        <v>46265</v>
      </c>
      <c r="V1780" s="6">
        <v>0</v>
      </c>
      <c r="W1780" s="43">
        <f>VLOOKUP(Tabla1[[#This Row],[PAGO DIA]],DIAS!A:I,9,0)</f>
        <v>46295</v>
      </c>
      <c r="X1780" s="6">
        <v>0</v>
      </c>
      <c r="Y1780" s="43">
        <f>VLOOKUP(Tabla1[[#This Row],[PAGO DIA]],DIAS!A:J,10,0)</f>
        <v>46325</v>
      </c>
      <c r="Z1780" s="6">
        <v>0</v>
      </c>
      <c r="AA1780" s="43">
        <f>VLOOKUP(Tabla1[[#This Row],[PAGO DIA]],DIAS!A:K,11,0)</f>
        <v>46356</v>
      </c>
      <c r="AB1780" s="6">
        <v>0</v>
      </c>
      <c r="AC1780" s="43">
        <f>VLOOKUP(Tabla1[[#This Row],[PAGO DIA]],DIAS!A:M,12,0)</f>
        <v>46386</v>
      </c>
      <c r="AD178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1" spans="1:30">
      <c r="A1781" s="3">
        <v>12468</v>
      </c>
      <c r="B1781" s="3" t="s">
        <v>2266</v>
      </c>
      <c r="C1781" s="3"/>
      <c r="D1781" s="3" t="s">
        <v>2267</v>
      </c>
      <c r="E1781" s="3"/>
      <c r="F1781" s="42" t="s">
        <v>631</v>
      </c>
      <c r="G1781" s="3"/>
      <c r="H1781" s="6">
        <v>0</v>
      </c>
      <c r="I1781" s="41">
        <f>VLOOKUP(Tabla1[[#This Row],[PAGO DIA]],DIAS!A:B,2,0)</f>
        <v>46080</v>
      </c>
      <c r="J1781" s="6">
        <v>0</v>
      </c>
      <c r="K1781" s="43">
        <f>VLOOKUP(Tabla1[[#This Row],[PAGO DIA]],DIAS!A:C,3,0)</f>
        <v>46112</v>
      </c>
      <c r="L1781" s="6">
        <v>0</v>
      </c>
      <c r="M1781" s="41">
        <f>VLOOKUP(Tabla1[[#This Row],[PAGO DIA]],DIAS!A:D,4,0)</f>
        <v>46142</v>
      </c>
      <c r="N1781" s="6">
        <v>0</v>
      </c>
      <c r="O1781" s="43">
        <f>VLOOKUP(Tabla1[[#This Row],[PAGO DIA]],DIAS!A:E,5,0)</f>
        <v>46171</v>
      </c>
      <c r="P1781" s="6">
        <v>0</v>
      </c>
      <c r="Q1781" s="43">
        <f>VLOOKUP(Tabla1[[#This Row],[PAGO DIA]],DIAS!A:F,6,0)</f>
        <v>46203</v>
      </c>
      <c r="R1781" s="6">
        <v>0</v>
      </c>
      <c r="S1781" s="43">
        <f>VLOOKUP(Tabla1[[#This Row],[PAGO DIA]],DIAS!A:G,7,0)</f>
        <v>46234</v>
      </c>
      <c r="T1781" s="6">
        <v>0</v>
      </c>
      <c r="U1781" s="43">
        <f>VLOOKUP(Tabla1[[#This Row],[PAGO DIA]],DIAS!A:H,8,0)</f>
        <v>46265</v>
      </c>
      <c r="V1781" s="6">
        <v>0</v>
      </c>
      <c r="W1781" s="43">
        <f>VLOOKUP(Tabla1[[#This Row],[PAGO DIA]],DIAS!A:I,9,0)</f>
        <v>46295</v>
      </c>
      <c r="X1781" s="6">
        <v>0</v>
      </c>
      <c r="Y1781" s="43">
        <f>VLOOKUP(Tabla1[[#This Row],[PAGO DIA]],DIAS!A:J,10,0)</f>
        <v>46325</v>
      </c>
      <c r="Z1781" s="6">
        <v>0</v>
      </c>
      <c r="AA1781" s="43">
        <f>VLOOKUP(Tabla1[[#This Row],[PAGO DIA]],DIAS!A:K,11,0)</f>
        <v>46356</v>
      </c>
      <c r="AB1781" s="6">
        <v>0</v>
      </c>
      <c r="AC1781" s="43">
        <f>VLOOKUP(Tabla1[[#This Row],[PAGO DIA]],DIAS!A:M,12,0)</f>
        <v>46386</v>
      </c>
      <c r="AD178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2" spans="1:30">
      <c r="A1782" s="3">
        <v>12469</v>
      </c>
      <c r="B1782" s="3" t="s">
        <v>2266</v>
      </c>
      <c r="C1782" s="3"/>
      <c r="D1782" s="3" t="s">
        <v>1164</v>
      </c>
      <c r="E1782" s="3"/>
      <c r="F1782" s="42" t="s">
        <v>631</v>
      </c>
      <c r="G1782" s="3"/>
      <c r="H1782" s="6">
        <v>0</v>
      </c>
      <c r="I1782" s="41">
        <f>VLOOKUP(Tabla1[[#This Row],[PAGO DIA]],DIAS!A:B,2,0)</f>
        <v>46080</v>
      </c>
      <c r="J1782" s="6">
        <v>0</v>
      </c>
      <c r="K1782" s="43">
        <f>VLOOKUP(Tabla1[[#This Row],[PAGO DIA]],DIAS!A:C,3,0)</f>
        <v>46112</v>
      </c>
      <c r="L1782" s="6">
        <v>0</v>
      </c>
      <c r="M1782" s="41">
        <f>VLOOKUP(Tabla1[[#This Row],[PAGO DIA]],DIAS!A:D,4,0)</f>
        <v>46142</v>
      </c>
      <c r="N1782" s="6">
        <v>0</v>
      </c>
      <c r="O1782" s="43">
        <f>VLOOKUP(Tabla1[[#This Row],[PAGO DIA]],DIAS!A:E,5,0)</f>
        <v>46171</v>
      </c>
      <c r="P1782" s="6">
        <v>0</v>
      </c>
      <c r="Q1782" s="43">
        <f>VLOOKUP(Tabla1[[#This Row],[PAGO DIA]],DIAS!A:F,6,0)</f>
        <v>46203</v>
      </c>
      <c r="R1782" s="6">
        <v>0</v>
      </c>
      <c r="S1782" s="43">
        <f>VLOOKUP(Tabla1[[#This Row],[PAGO DIA]],DIAS!A:G,7,0)</f>
        <v>46234</v>
      </c>
      <c r="T1782" s="6">
        <v>0</v>
      </c>
      <c r="U1782" s="43">
        <f>VLOOKUP(Tabla1[[#This Row],[PAGO DIA]],DIAS!A:H,8,0)</f>
        <v>46265</v>
      </c>
      <c r="V1782" s="6">
        <v>0</v>
      </c>
      <c r="W1782" s="43">
        <f>VLOOKUP(Tabla1[[#This Row],[PAGO DIA]],DIAS!A:I,9,0)</f>
        <v>46295</v>
      </c>
      <c r="X1782" s="6">
        <v>0</v>
      </c>
      <c r="Y1782" s="43">
        <f>VLOOKUP(Tabla1[[#This Row],[PAGO DIA]],DIAS!A:J,10,0)</f>
        <v>46325</v>
      </c>
      <c r="Z1782" s="6">
        <v>0</v>
      </c>
      <c r="AA1782" s="43">
        <f>VLOOKUP(Tabla1[[#This Row],[PAGO DIA]],DIAS!A:K,11,0)</f>
        <v>46356</v>
      </c>
      <c r="AB1782" s="6">
        <v>0</v>
      </c>
      <c r="AC1782" s="43">
        <f>VLOOKUP(Tabla1[[#This Row],[PAGO DIA]],DIAS!A:M,12,0)</f>
        <v>46386</v>
      </c>
      <c r="AD178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3" spans="1:30">
      <c r="A1783" s="3">
        <v>12470</v>
      </c>
      <c r="B1783" s="3" t="s">
        <v>2266</v>
      </c>
      <c r="C1783" s="3"/>
      <c r="D1783" s="3" t="s">
        <v>2268</v>
      </c>
      <c r="E1783" s="3"/>
      <c r="F1783" s="42" t="s">
        <v>631</v>
      </c>
      <c r="G1783" s="3"/>
      <c r="H1783" s="6">
        <v>0</v>
      </c>
      <c r="I1783" s="41">
        <f>VLOOKUP(Tabla1[[#This Row],[PAGO DIA]],DIAS!A:B,2,0)</f>
        <v>46080</v>
      </c>
      <c r="J1783" s="6">
        <v>0</v>
      </c>
      <c r="K1783" s="43">
        <f>VLOOKUP(Tabla1[[#This Row],[PAGO DIA]],DIAS!A:C,3,0)</f>
        <v>46112</v>
      </c>
      <c r="L1783" s="6">
        <v>0</v>
      </c>
      <c r="M1783" s="41">
        <f>VLOOKUP(Tabla1[[#This Row],[PAGO DIA]],DIAS!A:D,4,0)</f>
        <v>46142</v>
      </c>
      <c r="N1783" s="6">
        <v>0</v>
      </c>
      <c r="O1783" s="43">
        <f>VLOOKUP(Tabla1[[#This Row],[PAGO DIA]],DIAS!A:E,5,0)</f>
        <v>46171</v>
      </c>
      <c r="P1783" s="6">
        <v>0</v>
      </c>
      <c r="Q1783" s="43">
        <f>VLOOKUP(Tabla1[[#This Row],[PAGO DIA]],DIAS!A:F,6,0)</f>
        <v>46203</v>
      </c>
      <c r="R1783" s="6">
        <v>0</v>
      </c>
      <c r="S1783" s="43">
        <f>VLOOKUP(Tabla1[[#This Row],[PAGO DIA]],DIAS!A:G,7,0)</f>
        <v>46234</v>
      </c>
      <c r="T1783" s="6">
        <v>0</v>
      </c>
      <c r="U1783" s="43">
        <f>VLOOKUP(Tabla1[[#This Row],[PAGO DIA]],DIAS!A:H,8,0)</f>
        <v>46265</v>
      </c>
      <c r="V1783" s="6">
        <v>0</v>
      </c>
      <c r="W1783" s="43">
        <f>VLOOKUP(Tabla1[[#This Row],[PAGO DIA]],DIAS!A:I,9,0)</f>
        <v>46295</v>
      </c>
      <c r="X1783" s="6">
        <v>0</v>
      </c>
      <c r="Y1783" s="43">
        <f>VLOOKUP(Tabla1[[#This Row],[PAGO DIA]],DIAS!A:J,10,0)</f>
        <v>46325</v>
      </c>
      <c r="Z1783" s="6">
        <v>0</v>
      </c>
      <c r="AA1783" s="43">
        <f>VLOOKUP(Tabla1[[#This Row],[PAGO DIA]],DIAS!A:K,11,0)</f>
        <v>46356</v>
      </c>
      <c r="AB1783" s="6">
        <v>0</v>
      </c>
      <c r="AC1783" s="43">
        <f>VLOOKUP(Tabla1[[#This Row],[PAGO DIA]],DIAS!A:M,12,0)</f>
        <v>46386</v>
      </c>
      <c r="AD178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4" spans="1:30">
      <c r="A1784" s="3">
        <v>12471</v>
      </c>
      <c r="B1784" s="3" t="s">
        <v>2266</v>
      </c>
      <c r="C1784" s="3"/>
      <c r="D1784" s="3" t="s">
        <v>2269</v>
      </c>
      <c r="E1784" s="3"/>
      <c r="F1784" s="42" t="s">
        <v>631</v>
      </c>
      <c r="G1784" s="3"/>
      <c r="H1784" s="6">
        <v>0</v>
      </c>
      <c r="I1784" s="41">
        <f>VLOOKUP(Tabla1[[#This Row],[PAGO DIA]],DIAS!A:B,2,0)</f>
        <v>46080</v>
      </c>
      <c r="J1784" s="6">
        <v>0</v>
      </c>
      <c r="K1784" s="43">
        <f>VLOOKUP(Tabla1[[#This Row],[PAGO DIA]],DIAS!A:C,3,0)</f>
        <v>46112</v>
      </c>
      <c r="L1784" s="6">
        <v>0</v>
      </c>
      <c r="M1784" s="41">
        <f>VLOOKUP(Tabla1[[#This Row],[PAGO DIA]],DIAS!A:D,4,0)</f>
        <v>46142</v>
      </c>
      <c r="N1784" s="6">
        <v>0</v>
      </c>
      <c r="O1784" s="43">
        <f>VLOOKUP(Tabla1[[#This Row],[PAGO DIA]],DIAS!A:E,5,0)</f>
        <v>46171</v>
      </c>
      <c r="P1784" s="6">
        <v>0</v>
      </c>
      <c r="Q1784" s="43">
        <f>VLOOKUP(Tabla1[[#This Row],[PAGO DIA]],DIAS!A:F,6,0)</f>
        <v>46203</v>
      </c>
      <c r="R1784" s="6">
        <v>0</v>
      </c>
      <c r="S1784" s="43">
        <f>VLOOKUP(Tabla1[[#This Row],[PAGO DIA]],DIAS!A:G,7,0)</f>
        <v>46234</v>
      </c>
      <c r="T1784" s="6">
        <v>0</v>
      </c>
      <c r="U1784" s="43">
        <f>VLOOKUP(Tabla1[[#This Row],[PAGO DIA]],DIAS!A:H,8,0)</f>
        <v>46265</v>
      </c>
      <c r="V1784" s="6">
        <v>0</v>
      </c>
      <c r="W1784" s="43">
        <f>VLOOKUP(Tabla1[[#This Row],[PAGO DIA]],DIAS!A:I,9,0)</f>
        <v>46295</v>
      </c>
      <c r="X1784" s="6">
        <v>0</v>
      </c>
      <c r="Y1784" s="43">
        <f>VLOOKUP(Tabla1[[#This Row],[PAGO DIA]],DIAS!A:J,10,0)</f>
        <v>46325</v>
      </c>
      <c r="Z1784" s="6">
        <v>0</v>
      </c>
      <c r="AA1784" s="43">
        <f>VLOOKUP(Tabla1[[#This Row],[PAGO DIA]],DIAS!A:K,11,0)</f>
        <v>46356</v>
      </c>
      <c r="AB1784" s="6">
        <v>0</v>
      </c>
      <c r="AC1784" s="43">
        <f>VLOOKUP(Tabla1[[#This Row],[PAGO DIA]],DIAS!A:M,12,0)</f>
        <v>46386</v>
      </c>
      <c r="AD178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5" spans="1:30">
      <c r="A1785" s="3">
        <v>12472</v>
      </c>
      <c r="B1785" s="3" t="s">
        <v>2266</v>
      </c>
      <c r="C1785" s="3"/>
      <c r="D1785" s="3" t="s">
        <v>2270</v>
      </c>
      <c r="E1785" s="3"/>
      <c r="F1785" s="42" t="s">
        <v>631</v>
      </c>
      <c r="G1785" s="3"/>
      <c r="H1785" s="6">
        <v>0</v>
      </c>
      <c r="I1785" s="41">
        <f>VLOOKUP(Tabla1[[#This Row],[PAGO DIA]],DIAS!A:B,2,0)</f>
        <v>46080</v>
      </c>
      <c r="J1785" s="6">
        <v>0</v>
      </c>
      <c r="K1785" s="43">
        <f>VLOOKUP(Tabla1[[#This Row],[PAGO DIA]],DIAS!A:C,3,0)</f>
        <v>46112</v>
      </c>
      <c r="L1785" s="6">
        <v>0</v>
      </c>
      <c r="M1785" s="41">
        <f>VLOOKUP(Tabla1[[#This Row],[PAGO DIA]],DIAS!A:D,4,0)</f>
        <v>46142</v>
      </c>
      <c r="N1785" s="6">
        <v>0</v>
      </c>
      <c r="O1785" s="43">
        <f>VLOOKUP(Tabla1[[#This Row],[PAGO DIA]],DIAS!A:E,5,0)</f>
        <v>46171</v>
      </c>
      <c r="P1785" s="6">
        <v>0</v>
      </c>
      <c r="Q1785" s="43">
        <f>VLOOKUP(Tabla1[[#This Row],[PAGO DIA]],DIAS!A:F,6,0)</f>
        <v>46203</v>
      </c>
      <c r="R1785" s="6">
        <v>0</v>
      </c>
      <c r="S1785" s="43">
        <f>VLOOKUP(Tabla1[[#This Row],[PAGO DIA]],DIAS!A:G,7,0)</f>
        <v>46234</v>
      </c>
      <c r="T1785" s="6">
        <v>0</v>
      </c>
      <c r="U1785" s="43">
        <f>VLOOKUP(Tabla1[[#This Row],[PAGO DIA]],DIAS!A:H,8,0)</f>
        <v>46265</v>
      </c>
      <c r="V1785" s="6">
        <v>0</v>
      </c>
      <c r="W1785" s="43">
        <f>VLOOKUP(Tabla1[[#This Row],[PAGO DIA]],DIAS!A:I,9,0)</f>
        <v>46295</v>
      </c>
      <c r="X1785" s="6">
        <v>0</v>
      </c>
      <c r="Y1785" s="43">
        <f>VLOOKUP(Tabla1[[#This Row],[PAGO DIA]],DIAS!A:J,10,0)</f>
        <v>46325</v>
      </c>
      <c r="Z1785" s="6">
        <v>0</v>
      </c>
      <c r="AA1785" s="43">
        <f>VLOOKUP(Tabla1[[#This Row],[PAGO DIA]],DIAS!A:K,11,0)</f>
        <v>46356</v>
      </c>
      <c r="AB1785" s="6">
        <v>0</v>
      </c>
      <c r="AC1785" s="43">
        <f>VLOOKUP(Tabla1[[#This Row],[PAGO DIA]],DIAS!A:M,12,0)</f>
        <v>46386</v>
      </c>
      <c r="AD178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6" spans="1:30" s="5" customFormat="1">
      <c r="A1786" s="3">
        <v>11140</v>
      </c>
      <c r="B1786" s="3" t="s">
        <v>2271</v>
      </c>
      <c r="C1786" s="3" t="s">
        <v>2272</v>
      </c>
      <c r="D1786" s="3" t="s">
        <v>2272</v>
      </c>
      <c r="E1786" s="3"/>
      <c r="F1786" s="42"/>
      <c r="G1786" s="3"/>
      <c r="H1786" s="4">
        <v>0</v>
      </c>
      <c r="I1786" s="4" t="e">
        <f>VLOOKUP(Tabla1[[#This Row],[PAGO DIA]],DIAS!A:B,2,0)</f>
        <v>#N/A</v>
      </c>
      <c r="J1786" s="4">
        <v>0</v>
      </c>
      <c r="K1786" s="4" t="e">
        <f>VLOOKUP(Tabla1[[#This Row],[PAGO DIA]],DIAS!A:C,3,0)</f>
        <v>#N/A</v>
      </c>
      <c r="L1786" s="4">
        <v>0</v>
      </c>
      <c r="M1786" s="4" t="e">
        <f>VLOOKUP(Tabla1[[#This Row],[PAGO DIA]],DIAS!A:D,4,0)</f>
        <v>#N/A</v>
      </c>
      <c r="N1786" s="4">
        <v>0</v>
      </c>
      <c r="O1786" s="4" t="e">
        <f>VLOOKUP(Tabla1[[#This Row],[PAGO DIA]],DIAS!A:E,5,0)</f>
        <v>#N/A</v>
      </c>
      <c r="P1786" s="4">
        <v>0</v>
      </c>
      <c r="Q1786" s="4" t="e">
        <f>VLOOKUP(Tabla1[[#This Row],[PAGO DIA]],DIAS!A:F,6,0)</f>
        <v>#N/A</v>
      </c>
      <c r="R1786" s="4">
        <v>0</v>
      </c>
      <c r="S1786" s="4" t="e">
        <f>VLOOKUP(Tabla1[[#This Row],[PAGO DIA]],DIAS!A:G,7,0)</f>
        <v>#N/A</v>
      </c>
      <c r="T1786" s="4">
        <v>0</v>
      </c>
      <c r="U1786" s="4" t="e">
        <f>VLOOKUP(Tabla1[[#This Row],[PAGO DIA]],DIAS!A:H,8,0)</f>
        <v>#N/A</v>
      </c>
      <c r="V1786" s="4">
        <v>0</v>
      </c>
      <c r="W1786" s="4" t="e">
        <f>VLOOKUP(Tabla1[[#This Row],[PAGO DIA]],DIAS!A:I,9,0)</f>
        <v>#N/A</v>
      </c>
      <c r="X1786" s="4">
        <v>0</v>
      </c>
      <c r="Y1786" s="4" t="e">
        <f>VLOOKUP(Tabla1[[#This Row],[PAGO DIA]],DIAS!A:J,10,0)</f>
        <v>#N/A</v>
      </c>
      <c r="Z1786" s="4">
        <v>0</v>
      </c>
      <c r="AA1786" s="4" t="e">
        <f>VLOOKUP(Tabla1[[#This Row],[PAGO DIA]],DIAS!A:K,11,0)</f>
        <v>#N/A</v>
      </c>
      <c r="AB1786" s="4">
        <v>0</v>
      </c>
      <c r="AC1786" s="4" t="e">
        <f>VLOOKUP(Tabla1[[#This Row],[PAGO DIA]],DIAS!A:M,12,0)</f>
        <v>#N/A</v>
      </c>
      <c r="AD178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7" spans="1:30">
      <c r="A1787" s="3">
        <v>11796</v>
      </c>
      <c r="B1787" s="3" t="s">
        <v>1178</v>
      </c>
      <c r="C1787" s="3"/>
      <c r="D1787" s="3" t="s">
        <v>2273</v>
      </c>
      <c r="E1787" s="3"/>
      <c r="F1787" s="42"/>
      <c r="G1787" s="3"/>
      <c r="H1787" s="4">
        <v>0</v>
      </c>
      <c r="I1787" s="4" t="e">
        <f>VLOOKUP(Tabla1[[#This Row],[PAGO DIA]],DIAS!A:B,2,0)</f>
        <v>#N/A</v>
      </c>
      <c r="J1787" s="4">
        <v>0</v>
      </c>
      <c r="K1787" s="4" t="e">
        <f>VLOOKUP(Tabla1[[#This Row],[PAGO DIA]],DIAS!A:C,3,0)</f>
        <v>#N/A</v>
      </c>
      <c r="L1787" s="4">
        <v>0</v>
      </c>
      <c r="M1787" s="4" t="e">
        <f>VLOOKUP(Tabla1[[#This Row],[PAGO DIA]],DIAS!A:D,4,0)</f>
        <v>#N/A</v>
      </c>
      <c r="N1787" s="4">
        <v>0</v>
      </c>
      <c r="O1787" s="4" t="e">
        <f>VLOOKUP(Tabla1[[#This Row],[PAGO DIA]],DIAS!A:E,5,0)</f>
        <v>#N/A</v>
      </c>
      <c r="P1787" s="4">
        <v>0</v>
      </c>
      <c r="Q1787" s="4" t="e">
        <f>VLOOKUP(Tabla1[[#This Row],[PAGO DIA]],DIAS!A:F,6,0)</f>
        <v>#N/A</v>
      </c>
      <c r="R1787" s="4">
        <v>0</v>
      </c>
      <c r="S1787" s="4" t="e">
        <f>VLOOKUP(Tabla1[[#This Row],[PAGO DIA]],DIAS!A:G,7,0)</f>
        <v>#N/A</v>
      </c>
      <c r="T1787" s="4">
        <v>0</v>
      </c>
      <c r="U1787" s="4" t="e">
        <f>VLOOKUP(Tabla1[[#This Row],[PAGO DIA]],DIAS!A:H,8,0)</f>
        <v>#N/A</v>
      </c>
      <c r="V1787" s="4">
        <v>0</v>
      </c>
      <c r="W1787" s="4" t="e">
        <f>VLOOKUP(Tabla1[[#This Row],[PAGO DIA]],DIAS!A:I,9,0)</f>
        <v>#N/A</v>
      </c>
      <c r="X1787" s="4">
        <v>0</v>
      </c>
      <c r="Y1787" s="4" t="e">
        <f>VLOOKUP(Tabla1[[#This Row],[PAGO DIA]],DIAS!A:J,10,0)</f>
        <v>#N/A</v>
      </c>
      <c r="Z1787" s="4">
        <v>0</v>
      </c>
      <c r="AA1787" s="4" t="e">
        <f>VLOOKUP(Tabla1[[#This Row],[PAGO DIA]],DIAS!A:K,11,0)</f>
        <v>#N/A</v>
      </c>
      <c r="AB1787" s="4">
        <v>0</v>
      </c>
      <c r="AC1787" s="4" t="e">
        <f>VLOOKUP(Tabla1[[#This Row],[PAGO DIA]],DIAS!A:M,12,0)</f>
        <v>#N/A</v>
      </c>
      <c r="AD178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8" spans="1:30">
      <c r="A1788" s="3">
        <v>11898</v>
      </c>
      <c r="B1788" s="3" t="s">
        <v>521</v>
      </c>
      <c r="C1788" s="3"/>
      <c r="D1788" s="3" t="s">
        <v>2274</v>
      </c>
      <c r="E1788" s="3"/>
      <c r="F1788" s="42"/>
      <c r="G1788" s="3"/>
      <c r="H1788" s="4">
        <v>0</v>
      </c>
      <c r="I1788" s="4" t="e">
        <f>VLOOKUP(Tabla1[[#This Row],[PAGO DIA]],DIAS!A:B,2,0)</f>
        <v>#N/A</v>
      </c>
      <c r="J1788" s="4">
        <v>0</v>
      </c>
      <c r="K1788" s="4" t="e">
        <f>VLOOKUP(Tabla1[[#This Row],[PAGO DIA]],DIAS!A:C,3,0)</f>
        <v>#N/A</v>
      </c>
      <c r="L1788" s="4">
        <v>0</v>
      </c>
      <c r="M1788" s="4" t="e">
        <f>VLOOKUP(Tabla1[[#This Row],[PAGO DIA]],DIAS!A:D,4,0)</f>
        <v>#N/A</v>
      </c>
      <c r="N1788" s="4">
        <v>0</v>
      </c>
      <c r="O1788" s="4" t="e">
        <f>VLOOKUP(Tabla1[[#This Row],[PAGO DIA]],DIAS!A:E,5,0)</f>
        <v>#N/A</v>
      </c>
      <c r="P1788" s="4">
        <v>0</v>
      </c>
      <c r="Q1788" s="4" t="e">
        <f>VLOOKUP(Tabla1[[#This Row],[PAGO DIA]],DIAS!A:F,6,0)</f>
        <v>#N/A</v>
      </c>
      <c r="R1788" s="4">
        <v>0</v>
      </c>
      <c r="S1788" s="4" t="e">
        <f>VLOOKUP(Tabla1[[#This Row],[PAGO DIA]],DIAS!A:G,7,0)</f>
        <v>#N/A</v>
      </c>
      <c r="T1788" s="4">
        <v>0</v>
      </c>
      <c r="U1788" s="4" t="e">
        <f>VLOOKUP(Tabla1[[#This Row],[PAGO DIA]],DIAS!A:H,8,0)</f>
        <v>#N/A</v>
      </c>
      <c r="V1788" s="4">
        <v>0</v>
      </c>
      <c r="W1788" s="4" t="e">
        <f>VLOOKUP(Tabla1[[#This Row],[PAGO DIA]],DIAS!A:I,9,0)</f>
        <v>#N/A</v>
      </c>
      <c r="X1788" s="4">
        <v>0</v>
      </c>
      <c r="Y1788" s="4" t="e">
        <f>VLOOKUP(Tabla1[[#This Row],[PAGO DIA]],DIAS!A:J,10,0)</f>
        <v>#N/A</v>
      </c>
      <c r="Z1788" s="4">
        <v>0</v>
      </c>
      <c r="AA1788" s="4" t="e">
        <f>VLOOKUP(Tabla1[[#This Row],[PAGO DIA]],DIAS!A:K,11,0)</f>
        <v>#N/A</v>
      </c>
      <c r="AB1788" s="4">
        <v>0</v>
      </c>
      <c r="AC1788" s="4" t="e">
        <f>VLOOKUP(Tabla1[[#This Row],[PAGO DIA]],DIAS!A:M,12,0)</f>
        <v>#N/A</v>
      </c>
      <c r="AD178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89" spans="1:30">
      <c r="A1789" s="3">
        <v>11899</v>
      </c>
      <c r="B1789" s="3" t="s">
        <v>521</v>
      </c>
      <c r="C1789" s="3"/>
      <c r="D1789" s="3" t="s">
        <v>2275</v>
      </c>
      <c r="E1789" s="3"/>
      <c r="F1789" s="42"/>
      <c r="G1789" s="3"/>
      <c r="H1789" s="4">
        <v>0</v>
      </c>
      <c r="I1789" s="4" t="e">
        <f>VLOOKUP(Tabla1[[#This Row],[PAGO DIA]],DIAS!A:B,2,0)</f>
        <v>#N/A</v>
      </c>
      <c r="J1789" s="4">
        <v>0</v>
      </c>
      <c r="K1789" s="4" t="e">
        <f>VLOOKUP(Tabla1[[#This Row],[PAGO DIA]],DIAS!A:C,3,0)</f>
        <v>#N/A</v>
      </c>
      <c r="L1789" s="4">
        <v>0</v>
      </c>
      <c r="M1789" s="4" t="e">
        <f>VLOOKUP(Tabla1[[#This Row],[PAGO DIA]],DIAS!A:D,4,0)</f>
        <v>#N/A</v>
      </c>
      <c r="N1789" s="4">
        <v>0</v>
      </c>
      <c r="O1789" s="4" t="e">
        <f>VLOOKUP(Tabla1[[#This Row],[PAGO DIA]],DIAS!A:E,5,0)</f>
        <v>#N/A</v>
      </c>
      <c r="P1789" s="4">
        <v>0</v>
      </c>
      <c r="Q1789" s="4" t="e">
        <f>VLOOKUP(Tabla1[[#This Row],[PAGO DIA]],DIAS!A:F,6,0)</f>
        <v>#N/A</v>
      </c>
      <c r="R1789" s="4">
        <v>0</v>
      </c>
      <c r="S1789" s="4" t="e">
        <f>VLOOKUP(Tabla1[[#This Row],[PAGO DIA]],DIAS!A:G,7,0)</f>
        <v>#N/A</v>
      </c>
      <c r="T1789" s="4">
        <v>0</v>
      </c>
      <c r="U1789" s="4" t="e">
        <f>VLOOKUP(Tabla1[[#This Row],[PAGO DIA]],DIAS!A:H,8,0)</f>
        <v>#N/A</v>
      </c>
      <c r="V1789" s="4">
        <v>0</v>
      </c>
      <c r="W1789" s="4" t="e">
        <f>VLOOKUP(Tabla1[[#This Row],[PAGO DIA]],DIAS!A:I,9,0)</f>
        <v>#N/A</v>
      </c>
      <c r="X1789" s="4">
        <v>0</v>
      </c>
      <c r="Y1789" s="4" t="e">
        <f>VLOOKUP(Tabla1[[#This Row],[PAGO DIA]],DIAS!A:J,10,0)</f>
        <v>#N/A</v>
      </c>
      <c r="Z1789" s="4">
        <v>0</v>
      </c>
      <c r="AA1789" s="4" t="e">
        <f>VLOOKUP(Tabla1[[#This Row],[PAGO DIA]],DIAS!A:K,11,0)</f>
        <v>#N/A</v>
      </c>
      <c r="AB1789" s="4">
        <v>0</v>
      </c>
      <c r="AC1789" s="4" t="e">
        <f>VLOOKUP(Tabla1[[#This Row],[PAGO DIA]],DIAS!A:M,12,0)</f>
        <v>#N/A</v>
      </c>
      <c r="AD178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0" spans="1:30">
      <c r="A1790" s="3">
        <v>11900</v>
      </c>
      <c r="B1790" s="3" t="s">
        <v>521</v>
      </c>
      <c r="C1790" s="3"/>
      <c r="D1790" s="3" t="s">
        <v>2276</v>
      </c>
      <c r="E1790" s="3"/>
      <c r="F1790" s="42"/>
      <c r="G1790" s="3"/>
      <c r="H1790" s="4">
        <v>0</v>
      </c>
      <c r="I1790" s="4" t="e">
        <f>VLOOKUP(Tabla1[[#This Row],[PAGO DIA]],DIAS!A:B,2,0)</f>
        <v>#N/A</v>
      </c>
      <c r="J1790" s="4">
        <v>0</v>
      </c>
      <c r="K1790" s="4" t="e">
        <f>VLOOKUP(Tabla1[[#This Row],[PAGO DIA]],DIAS!A:C,3,0)</f>
        <v>#N/A</v>
      </c>
      <c r="L1790" s="4">
        <v>0</v>
      </c>
      <c r="M1790" s="4" t="e">
        <f>VLOOKUP(Tabla1[[#This Row],[PAGO DIA]],DIAS!A:D,4,0)</f>
        <v>#N/A</v>
      </c>
      <c r="N1790" s="4">
        <v>0</v>
      </c>
      <c r="O1790" s="4" t="e">
        <f>VLOOKUP(Tabla1[[#This Row],[PAGO DIA]],DIAS!A:E,5,0)</f>
        <v>#N/A</v>
      </c>
      <c r="P1790" s="4">
        <v>0</v>
      </c>
      <c r="Q1790" s="4" t="e">
        <f>VLOOKUP(Tabla1[[#This Row],[PAGO DIA]],DIAS!A:F,6,0)</f>
        <v>#N/A</v>
      </c>
      <c r="R1790" s="4">
        <v>0</v>
      </c>
      <c r="S1790" s="4" t="e">
        <f>VLOOKUP(Tabla1[[#This Row],[PAGO DIA]],DIAS!A:G,7,0)</f>
        <v>#N/A</v>
      </c>
      <c r="T1790" s="4">
        <v>0</v>
      </c>
      <c r="U1790" s="4" t="e">
        <f>VLOOKUP(Tabla1[[#This Row],[PAGO DIA]],DIAS!A:H,8,0)</f>
        <v>#N/A</v>
      </c>
      <c r="V1790" s="4">
        <v>0</v>
      </c>
      <c r="W1790" s="4" t="e">
        <f>VLOOKUP(Tabla1[[#This Row],[PAGO DIA]],DIAS!A:I,9,0)</f>
        <v>#N/A</v>
      </c>
      <c r="X1790" s="4">
        <v>0</v>
      </c>
      <c r="Y1790" s="4" t="e">
        <f>VLOOKUP(Tabla1[[#This Row],[PAGO DIA]],DIAS!A:J,10,0)</f>
        <v>#N/A</v>
      </c>
      <c r="Z1790" s="4">
        <v>0</v>
      </c>
      <c r="AA1790" s="4" t="e">
        <f>VLOOKUP(Tabla1[[#This Row],[PAGO DIA]],DIAS!A:K,11,0)</f>
        <v>#N/A</v>
      </c>
      <c r="AB1790" s="4">
        <v>0</v>
      </c>
      <c r="AC1790" s="4" t="e">
        <f>VLOOKUP(Tabla1[[#This Row],[PAGO DIA]],DIAS!A:M,12,0)</f>
        <v>#N/A</v>
      </c>
      <c r="AD179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1" spans="1:30">
      <c r="A1791" s="3">
        <v>11901</v>
      </c>
      <c r="B1791" s="3" t="s">
        <v>521</v>
      </c>
      <c r="C1791" s="3"/>
      <c r="D1791" s="3" t="s">
        <v>2277</v>
      </c>
      <c r="E1791" s="3"/>
      <c r="F1791" s="42"/>
      <c r="G1791" s="3"/>
      <c r="H1791" s="4">
        <v>0</v>
      </c>
      <c r="I1791" s="4" t="e">
        <f>VLOOKUP(Tabla1[[#This Row],[PAGO DIA]],DIAS!A:B,2,0)</f>
        <v>#N/A</v>
      </c>
      <c r="J1791" s="4">
        <v>0</v>
      </c>
      <c r="K1791" s="4" t="e">
        <f>VLOOKUP(Tabla1[[#This Row],[PAGO DIA]],DIAS!A:C,3,0)</f>
        <v>#N/A</v>
      </c>
      <c r="L1791" s="4">
        <v>0</v>
      </c>
      <c r="M1791" s="4" t="e">
        <f>VLOOKUP(Tabla1[[#This Row],[PAGO DIA]],DIAS!A:D,4,0)</f>
        <v>#N/A</v>
      </c>
      <c r="N1791" s="4">
        <v>0</v>
      </c>
      <c r="O1791" s="4" t="e">
        <f>VLOOKUP(Tabla1[[#This Row],[PAGO DIA]],DIAS!A:E,5,0)</f>
        <v>#N/A</v>
      </c>
      <c r="P1791" s="4">
        <v>0</v>
      </c>
      <c r="Q1791" s="4" t="e">
        <f>VLOOKUP(Tabla1[[#This Row],[PAGO DIA]],DIAS!A:F,6,0)</f>
        <v>#N/A</v>
      </c>
      <c r="R1791" s="4">
        <v>0</v>
      </c>
      <c r="S1791" s="4" t="e">
        <f>VLOOKUP(Tabla1[[#This Row],[PAGO DIA]],DIAS!A:G,7,0)</f>
        <v>#N/A</v>
      </c>
      <c r="T1791" s="4">
        <v>0</v>
      </c>
      <c r="U1791" s="4" t="e">
        <f>VLOOKUP(Tabla1[[#This Row],[PAGO DIA]],DIAS!A:H,8,0)</f>
        <v>#N/A</v>
      </c>
      <c r="V1791" s="4">
        <v>0</v>
      </c>
      <c r="W1791" s="4" t="e">
        <f>VLOOKUP(Tabla1[[#This Row],[PAGO DIA]],DIAS!A:I,9,0)</f>
        <v>#N/A</v>
      </c>
      <c r="X1791" s="4">
        <v>0</v>
      </c>
      <c r="Y1791" s="4" t="e">
        <f>VLOOKUP(Tabla1[[#This Row],[PAGO DIA]],DIAS!A:J,10,0)</f>
        <v>#N/A</v>
      </c>
      <c r="Z1791" s="4">
        <v>0</v>
      </c>
      <c r="AA1791" s="4" t="e">
        <f>VLOOKUP(Tabla1[[#This Row],[PAGO DIA]],DIAS!A:K,11,0)</f>
        <v>#N/A</v>
      </c>
      <c r="AB1791" s="4">
        <v>0</v>
      </c>
      <c r="AC1791" s="4" t="e">
        <f>VLOOKUP(Tabla1[[#This Row],[PAGO DIA]],DIAS!A:M,12,0)</f>
        <v>#N/A</v>
      </c>
      <c r="AD179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2" spans="1:30">
      <c r="A1792" s="3">
        <v>11982</v>
      </c>
      <c r="B1792" s="3" t="s">
        <v>538</v>
      </c>
      <c r="C1792" s="3"/>
      <c r="D1792" s="3" t="s">
        <v>2278</v>
      </c>
      <c r="E1792" s="3"/>
      <c r="F1792" s="42"/>
      <c r="G1792" s="3"/>
      <c r="H1792" s="4">
        <v>0</v>
      </c>
      <c r="I1792" s="4" t="e">
        <f>VLOOKUP(Tabla1[[#This Row],[PAGO DIA]],DIAS!A:B,2,0)</f>
        <v>#N/A</v>
      </c>
      <c r="J1792" s="4">
        <v>0</v>
      </c>
      <c r="K1792" s="4" t="e">
        <f>VLOOKUP(Tabla1[[#This Row],[PAGO DIA]],DIAS!A:C,3,0)</f>
        <v>#N/A</v>
      </c>
      <c r="L1792" s="4">
        <v>0</v>
      </c>
      <c r="M1792" s="4" t="e">
        <f>VLOOKUP(Tabla1[[#This Row],[PAGO DIA]],DIAS!A:D,4,0)</f>
        <v>#N/A</v>
      </c>
      <c r="N1792" s="4">
        <v>0</v>
      </c>
      <c r="O1792" s="4" t="e">
        <f>VLOOKUP(Tabla1[[#This Row],[PAGO DIA]],DIAS!A:E,5,0)</f>
        <v>#N/A</v>
      </c>
      <c r="P1792" s="4">
        <v>0</v>
      </c>
      <c r="Q1792" s="4" t="e">
        <f>VLOOKUP(Tabla1[[#This Row],[PAGO DIA]],DIAS!A:F,6,0)</f>
        <v>#N/A</v>
      </c>
      <c r="R1792" s="4">
        <v>0</v>
      </c>
      <c r="S1792" s="4" t="e">
        <f>VLOOKUP(Tabla1[[#This Row],[PAGO DIA]],DIAS!A:G,7,0)</f>
        <v>#N/A</v>
      </c>
      <c r="T1792" s="4">
        <v>0</v>
      </c>
      <c r="U1792" s="4" t="e">
        <f>VLOOKUP(Tabla1[[#This Row],[PAGO DIA]],DIAS!A:H,8,0)</f>
        <v>#N/A</v>
      </c>
      <c r="V1792" s="4">
        <v>0</v>
      </c>
      <c r="W1792" s="4" t="e">
        <f>VLOOKUP(Tabla1[[#This Row],[PAGO DIA]],DIAS!A:I,9,0)</f>
        <v>#N/A</v>
      </c>
      <c r="X1792" s="4">
        <v>0</v>
      </c>
      <c r="Y1792" s="4" t="e">
        <f>VLOOKUP(Tabla1[[#This Row],[PAGO DIA]],DIAS!A:J,10,0)</f>
        <v>#N/A</v>
      </c>
      <c r="Z1792" s="4">
        <v>0</v>
      </c>
      <c r="AA1792" s="4" t="e">
        <f>VLOOKUP(Tabla1[[#This Row],[PAGO DIA]],DIAS!A:K,11,0)</f>
        <v>#N/A</v>
      </c>
      <c r="AB1792" s="4">
        <v>0</v>
      </c>
      <c r="AC1792" s="4" t="e">
        <f>VLOOKUP(Tabla1[[#This Row],[PAGO DIA]],DIAS!A:M,12,0)</f>
        <v>#N/A</v>
      </c>
      <c r="AD179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3" spans="1:30">
      <c r="A1793" s="3">
        <v>11983</v>
      </c>
      <c r="B1793" s="3" t="s">
        <v>575</v>
      </c>
      <c r="C1793" s="3"/>
      <c r="D1793" s="3" t="s">
        <v>2279</v>
      </c>
      <c r="E1793" s="3"/>
      <c r="F1793" s="42"/>
      <c r="G1793" s="3"/>
      <c r="H1793" s="4">
        <v>0</v>
      </c>
      <c r="I1793" s="4" t="e">
        <f>VLOOKUP(Tabla1[[#This Row],[PAGO DIA]],DIAS!A:B,2,0)</f>
        <v>#N/A</v>
      </c>
      <c r="J1793" s="4">
        <v>0</v>
      </c>
      <c r="K1793" s="4" t="e">
        <f>VLOOKUP(Tabla1[[#This Row],[PAGO DIA]],DIAS!A:C,3,0)</f>
        <v>#N/A</v>
      </c>
      <c r="L1793" s="4">
        <v>0</v>
      </c>
      <c r="M1793" s="4" t="e">
        <f>VLOOKUP(Tabla1[[#This Row],[PAGO DIA]],DIAS!A:D,4,0)</f>
        <v>#N/A</v>
      </c>
      <c r="N1793" s="4">
        <v>0</v>
      </c>
      <c r="O1793" s="4" t="e">
        <f>VLOOKUP(Tabla1[[#This Row],[PAGO DIA]],DIAS!A:E,5,0)</f>
        <v>#N/A</v>
      </c>
      <c r="P1793" s="4">
        <v>0</v>
      </c>
      <c r="Q1793" s="4" t="e">
        <f>VLOOKUP(Tabla1[[#This Row],[PAGO DIA]],DIAS!A:F,6,0)</f>
        <v>#N/A</v>
      </c>
      <c r="R1793" s="4">
        <v>0</v>
      </c>
      <c r="S1793" s="4" t="e">
        <f>VLOOKUP(Tabla1[[#This Row],[PAGO DIA]],DIAS!A:G,7,0)</f>
        <v>#N/A</v>
      </c>
      <c r="T1793" s="4">
        <v>0</v>
      </c>
      <c r="U1793" s="4" t="e">
        <f>VLOOKUP(Tabla1[[#This Row],[PAGO DIA]],DIAS!A:H,8,0)</f>
        <v>#N/A</v>
      </c>
      <c r="V1793" s="4">
        <v>0</v>
      </c>
      <c r="W1793" s="4" t="e">
        <f>VLOOKUP(Tabla1[[#This Row],[PAGO DIA]],DIAS!A:I,9,0)</f>
        <v>#N/A</v>
      </c>
      <c r="X1793" s="4">
        <v>0</v>
      </c>
      <c r="Y1793" s="4" t="e">
        <f>VLOOKUP(Tabla1[[#This Row],[PAGO DIA]],DIAS!A:J,10,0)</f>
        <v>#N/A</v>
      </c>
      <c r="Z1793" s="4">
        <v>0</v>
      </c>
      <c r="AA1793" s="4" t="e">
        <f>VLOOKUP(Tabla1[[#This Row],[PAGO DIA]],DIAS!A:K,11,0)</f>
        <v>#N/A</v>
      </c>
      <c r="AB1793" s="4">
        <v>0</v>
      </c>
      <c r="AC1793" s="4" t="e">
        <f>VLOOKUP(Tabla1[[#This Row],[PAGO DIA]],DIAS!A:M,12,0)</f>
        <v>#N/A</v>
      </c>
      <c r="AD179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4" spans="1:30">
      <c r="A1794" s="3">
        <v>11984</v>
      </c>
      <c r="B1794" s="3" t="s">
        <v>575</v>
      </c>
      <c r="C1794" s="3"/>
      <c r="D1794" s="3" t="s">
        <v>2280</v>
      </c>
      <c r="E1794" s="3"/>
      <c r="F1794" s="42"/>
      <c r="G1794" s="3"/>
      <c r="H1794" s="4">
        <v>0</v>
      </c>
      <c r="I1794" s="4" t="e">
        <f>VLOOKUP(Tabla1[[#This Row],[PAGO DIA]],DIAS!A:B,2,0)</f>
        <v>#N/A</v>
      </c>
      <c r="J1794" s="4">
        <v>0</v>
      </c>
      <c r="K1794" s="4" t="e">
        <f>VLOOKUP(Tabla1[[#This Row],[PAGO DIA]],DIAS!A:C,3,0)</f>
        <v>#N/A</v>
      </c>
      <c r="L1794" s="4">
        <v>0</v>
      </c>
      <c r="M1794" s="4" t="e">
        <f>VLOOKUP(Tabla1[[#This Row],[PAGO DIA]],DIAS!A:D,4,0)</f>
        <v>#N/A</v>
      </c>
      <c r="N1794" s="4">
        <v>0</v>
      </c>
      <c r="O1794" s="4" t="e">
        <f>VLOOKUP(Tabla1[[#This Row],[PAGO DIA]],DIAS!A:E,5,0)</f>
        <v>#N/A</v>
      </c>
      <c r="P1794" s="4">
        <v>0</v>
      </c>
      <c r="Q1794" s="4" t="e">
        <f>VLOOKUP(Tabla1[[#This Row],[PAGO DIA]],DIAS!A:F,6,0)</f>
        <v>#N/A</v>
      </c>
      <c r="R1794" s="4">
        <v>0</v>
      </c>
      <c r="S1794" s="4" t="e">
        <f>VLOOKUP(Tabla1[[#This Row],[PAGO DIA]],DIAS!A:G,7,0)</f>
        <v>#N/A</v>
      </c>
      <c r="T1794" s="4">
        <v>0</v>
      </c>
      <c r="U1794" s="4" t="e">
        <f>VLOOKUP(Tabla1[[#This Row],[PAGO DIA]],DIAS!A:H,8,0)</f>
        <v>#N/A</v>
      </c>
      <c r="V1794" s="4">
        <v>0</v>
      </c>
      <c r="W1794" s="4" t="e">
        <f>VLOOKUP(Tabla1[[#This Row],[PAGO DIA]],DIAS!A:I,9,0)</f>
        <v>#N/A</v>
      </c>
      <c r="X1794" s="4">
        <v>0</v>
      </c>
      <c r="Y1794" s="4" t="e">
        <f>VLOOKUP(Tabla1[[#This Row],[PAGO DIA]],DIAS!A:J,10,0)</f>
        <v>#N/A</v>
      </c>
      <c r="Z1794" s="4">
        <v>0</v>
      </c>
      <c r="AA1794" s="4" t="e">
        <f>VLOOKUP(Tabla1[[#This Row],[PAGO DIA]],DIAS!A:K,11,0)</f>
        <v>#N/A</v>
      </c>
      <c r="AB1794" s="4">
        <v>0</v>
      </c>
      <c r="AC1794" s="4" t="e">
        <f>VLOOKUP(Tabla1[[#This Row],[PAGO DIA]],DIAS!A:M,12,0)</f>
        <v>#N/A</v>
      </c>
      <c r="AD179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5" spans="1:30">
      <c r="A1795" s="3">
        <v>11985</v>
      </c>
      <c r="B1795" s="3" t="s">
        <v>1178</v>
      </c>
      <c r="C1795" s="3"/>
      <c r="D1795" s="3" t="s">
        <v>2281</v>
      </c>
      <c r="E1795" s="3"/>
      <c r="F1795" s="42"/>
      <c r="G1795" s="3"/>
      <c r="H1795" s="4">
        <v>0</v>
      </c>
      <c r="I1795" s="4" t="e">
        <f>VLOOKUP(Tabla1[[#This Row],[PAGO DIA]],DIAS!A:B,2,0)</f>
        <v>#N/A</v>
      </c>
      <c r="J1795" s="4">
        <v>0</v>
      </c>
      <c r="K1795" s="4" t="e">
        <f>VLOOKUP(Tabla1[[#This Row],[PAGO DIA]],DIAS!A:C,3,0)</f>
        <v>#N/A</v>
      </c>
      <c r="L1795" s="4">
        <v>0</v>
      </c>
      <c r="M1795" s="4" t="e">
        <f>VLOOKUP(Tabla1[[#This Row],[PAGO DIA]],DIAS!A:D,4,0)</f>
        <v>#N/A</v>
      </c>
      <c r="N1795" s="4">
        <v>0</v>
      </c>
      <c r="O1795" s="4" t="e">
        <f>VLOOKUP(Tabla1[[#This Row],[PAGO DIA]],DIAS!A:E,5,0)</f>
        <v>#N/A</v>
      </c>
      <c r="P1795" s="4">
        <v>0</v>
      </c>
      <c r="Q1795" s="4" t="e">
        <f>VLOOKUP(Tabla1[[#This Row],[PAGO DIA]],DIAS!A:F,6,0)</f>
        <v>#N/A</v>
      </c>
      <c r="R1795" s="4">
        <v>0</v>
      </c>
      <c r="S1795" s="4" t="e">
        <f>VLOOKUP(Tabla1[[#This Row],[PAGO DIA]],DIAS!A:G,7,0)</f>
        <v>#N/A</v>
      </c>
      <c r="T1795" s="4">
        <v>0</v>
      </c>
      <c r="U1795" s="4" t="e">
        <f>VLOOKUP(Tabla1[[#This Row],[PAGO DIA]],DIAS!A:H,8,0)</f>
        <v>#N/A</v>
      </c>
      <c r="V1795" s="4">
        <v>0</v>
      </c>
      <c r="W1795" s="4" t="e">
        <f>VLOOKUP(Tabla1[[#This Row],[PAGO DIA]],DIAS!A:I,9,0)</f>
        <v>#N/A</v>
      </c>
      <c r="X1795" s="4">
        <v>0</v>
      </c>
      <c r="Y1795" s="4" t="e">
        <f>VLOOKUP(Tabla1[[#This Row],[PAGO DIA]],DIAS!A:J,10,0)</f>
        <v>#N/A</v>
      </c>
      <c r="Z1795" s="4">
        <v>0</v>
      </c>
      <c r="AA1795" s="4" t="e">
        <f>VLOOKUP(Tabla1[[#This Row],[PAGO DIA]],DIAS!A:K,11,0)</f>
        <v>#N/A</v>
      </c>
      <c r="AB1795" s="4">
        <v>0</v>
      </c>
      <c r="AC1795" s="4" t="e">
        <f>VLOOKUP(Tabla1[[#This Row],[PAGO DIA]],DIAS!A:M,12,0)</f>
        <v>#N/A</v>
      </c>
      <c r="AD179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6" spans="1:30">
      <c r="A1796" s="3">
        <v>11986</v>
      </c>
      <c r="B1796" s="3" t="s">
        <v>1742</v>
      </c>
      <c r="C1796" s="3"/>
      <c r="D1796" s="3" t="s">
        <v>2282</v>
      </c>
      <c r="E1796" s="3"/>
      <c r="F1796" s="42"/>
      <c r="G1796" s="3"/>
      <c r="H1796" s="4">
        <v>0</v>
      </c>
      <c r="I1796" s="4" t="e">
        <f>VLOOKUP(Tabla1[[#This Row],[PAGO DIA]],DIAS!A:B,2,0)</f>
        <v>#N/A</v>
      </c>
      <c r="J1796" s="4">
        <v>0</v>
      </c>
      <c r="K1796" s="4" t="e">
        <f>VLOOKUP(Tabla1[[#This Row],[PAGO DIA]],DIAS!A:C,3,0)</f>
        <v>#N/A</v>
      </c>
      <c r="L1796" s="4">
        <v>0</v>
      </c>
      <c r="M1796" s="4" t="e">
        <f>VLOOKUP(Tabla1[[#This Row],[PAGO DIA]],DIAS!A:D,4,0)</f>
        <v>#N/A</v>
      </c>
      <c r="N1796" s="4">
        <v>0</v>
      </c>
      <c r="O1796" s="4" t="e">
        <f>VLOOKUP(Tabla1[[#This Row],[PAGO DIA]],DIAS!A:E,5,0)</f>
        <v>#N/A</v>
      </c>
      <c r="P1796" s="4">
        <v>0</v>
      </c>
      <c r="Q1796" s="4" t="e">
        <f>VLOOKUP(Tabla1[[#This Row],[PAGO DIA]],DIAS!A:F,6,0)</f>
        <v>#N/A</v>
      </c>
      <c r="R1796" s="4">
        <v>0</v>
      </c>
      <c r="S1796" s="4" t="e">
        <f>VLOOKUP(Tabla1[[#This Row],[PAGO DIA]],DIAS!A:G,7,0)</f>
        <v>#N/A</v>
      </c>
      <c r="T1796" s="4">
        <v>0</v>
      </c>
      <c r="U1796" s="4" t="e">
        <f>VLOOKUP(Tabla1[[#This Row],[PAGO DIA]],DIAS!A:H,8,0)</f>
        <v>#N/A</v>
      </c>
      <c r="V1796" s="4">
        <v>0</v>
      </c>
      <c r="W1796" s="4" t="e">
        <f>VLOOKUP(Tabla1[[#This Row],[PAGO DIA]],DIAS!A:I,9,0)</f>
        <v>#N/A</v>
      </c>
      <c r="X1796" s="4">
        <v>0</v>
      </c>
      <c r="Y1796" s="4" t="e">
        <f>VLOOKUP(Tabla1[[#This Row],[PAGO DIA]],DIAS!A:J,10,0)</f>
        <v>#N/A</v>
      </c>
      <c r="Z1796" s="4">
        <v>0</v>
      </c>
      <c r="AA1796" s="4" t="e">
        <f>VLOOKUP(Tabla1[[#This Row],[PAGO DIA]],DIAS!A:K,11,0)</f>
        <v>#N/A</v>
      </c>
      <c r="AB1796" s="4">
        <v>0</v>
      </c>
      <c r="AC1796" s="4" t="e">
        <f>VLOOKUP(Tabla1[[#This Row],[PAGO DIA]],DIAS!A:M,12,0)</f>
        <v>#N/A</v>
      </c>
      <c r="AD179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7" spans="1:30">
      <c r="A1797" s="3">
        <v>11987</v>
      </c>
      <c r="B1797" s="3" t="s">
        <v>628</v>
      </c>
      <c r="C1797" s="3" t="s">
        <v>629</v>
      </c>
      <c r="D1797" s="3" t="s">
        <v>2283</v>
      </c>
      <c r="E1797" s="3"/>
      <c r="F1797" s="42"/>
      <c r="G1797" s="3"/>
      <c r="H1797" s="4">
        <v>0</v>
      </c>
      <c r="I1797" s="4" t="e">
        <f>VLOOKUP(Tabla1[[#This Row],[PAGO DIA]],DIAS!A:B,2,0)</f>
        <v>#N/A</v>
      </c>
      <c r="J1797" s="4">
        <v>0</v>
      </c>
      <c r="K1797" s="4" t="e">
        <f>VLOOKUP(Tabla1[[#This Row],[PAGO DIA]],DIAS!A:C,3,0)</f>
        <v>#N/A</v>
      </c>
      <c r="L1797" s="4">
        <v>0</v>
      </c>
      <c r="M1797" s="4" t="e">
        <f>VLOOKUP(Tabla1[[#This Row],[PAGO DIA]],DIAS!A:D,4,0)</f>
        <v>#N/A</v>
      </c>
      <c r="N1797" s="4">
        <v>0</v>
      </c>
      <c r="O1797" s="4" t="e">
        <f>VLOOKUP(Tabla1[[#This Row],[PAGO DIA]],DIAS!A:E,5,0)</f>
        <v>#N/A</v>
      </c>
      <c r="P1797" s="4">
        <v>0</v>
      </c>
      <c r="Q1797" s="4" t="e">
        <f>VLOOKUP(Tabla1[[#This Row],[PAGO DIA]],DIAS!A:F,6,0)</f>
        <v>#N/A</v>
      </c>
      <c r="R1797" s="4">
        <v>0</v>
      </c>
      <c r="S1797" s="4" t="e">
        <f>VLOOKUP(Tabla1[[#This Row],[PAGO DIA]],DIAS!A:G,7,0)</f>
        <v>#N/A</v>
      </c>
      <c r="T1797" s="4">
        <v>0</v>
      </c>
      <c r="U1797" s="4" t="e">
        <f>VLOOKUP(Tabla1[[#This Row],[PAGO DIA]],DIAS!A:H,8,0)</f>
        <v>#N/A</v>
      </c>
      <c r="V1797" s="4">
        <v>0</v>
      </c>
      <c r="W1797" s="4" t="e">
        <f>VLOOKUP(Tabla1[[#This Row],[PAGO DIA]],DIAS!A:I,9,0)</f>
        <v>#N/A</v>
      </c>
      <c r="X1797" s="4">
        <v>0</v>
      </c>
      <c r="Y1797" s="4" t="e">
        <f>VLOOKUP(Tabla1[[#This Row],[PAGO DIA]],DIAS!A:J,10,0)</f>
        <v>#N/A</v>
      </c>
      <c r="Z1797" s="4">
        <v>0</v>
      </c>
      <c r="AA1797" s="4" t="e">
        <f>VLOOKUP(Tabla1[[#This Row],[PAGO DIA]],DIAS!A:K,11,0)</f>
        <v>#N/A</v>
      </c>
      <c r="AB1797" s="4">
        <v>0</v>
      </c>
      <c r="AC1797" s="4" t="e">
        <f>VLOOKUP(Tabla1[[#This Row],[PAGO DIA]],DIAS!A:M,12,0)</f>
        <v>#N/A</v>
      </c>
      <c r="AD179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8" spans="1:30">
      <c r="A1798" s="3">
        <v>12123</v>
      </c>
      <c r="B1798" s="3" t="s">
        <v>544</v>
      </c>
      <c r="C1798" s="3"/>
      <c r="D1798" s="3" t="s">
        <v>2284</v>
      </c>
      <c r="E1798" s="3"/>
      <c r="F1798" s="42"/>
      <c r="G1798" s="3"/>
      <c r="H1798" s="4">
        <v>0</v>
      </c>
      <c r="I1798" s="4" t="e">
        <f>VLOOKUP(Tabla1[[#This Row],[PAGO DIA]],DIAS!A:B,2,0)</f>
        <v>#N/A</v>
      </c>
      <c r="J1798" s="4">
        <v>0</v>
      </c>
      <c r="K1798" s="4" t="e">
        <f>VLOOKUP(Tabla1[[#This Row],[PAGO DIA]],DIAS!A:C,3,0)</f>
        <v>#N/A</v>
      </c>
      <c r="L1798" s="4">
        <v>0</v>
      </c>
      <c r="M1798" s="4" t="e">
        <f>VLOOKUP(Tabla1[[#This Row],[PAGO DIA]],DIAS!A:D,4,0)</f>
        <v>#N/A</v>
      </c>
      <c r="N1798" s="4">
        <v>0</v>
      </c>
      <c r="O1798" s="4" t="e">
        <f>VLOOKUP(Tabla1[[#This Row],[PAGO DIA]],DIAS!A:E,5,0)</f>
        <v>#N/A</v>
      </c>
      <c r="P1798" s="4">
        <v>0</v>
      </c>
      <c r="Q1798" s="4" t="e">
        <f>VLOOKUP(Tabla1[[#This Row],[PAGO DIA]],DIAS!A:F,6,0)</f>
        <v>#N/A</v>
      </c>
      <c r="R1798" s="4">
        <v>0</v>
      </c>
      <c r="S1798" s="4" t="e">
        <f>VLOOKUP(Tabla1[[#This Row],[PAGO DIA]],DIAS!A:G,7,0)</f>
        <v>#N/A</v>
      </c>
      <c r="T1798" s="4">
        <v>0</v>
      </c>
      <c r="U1798" s="4" t="e">
        <f>VLOOKUP(Tabla1[[#This Row],[PAGO DIA]],DIAS!A:H,8,0)</f>
        <v>#N/A</v>
      </c>
      <c r="V1798" s="4">
        <v>0</v>
      </c>
      <c r="W1798" s="4" t="e">
        <f>VLOOKUP(Tabla1[[#This Row],[PAGO DIA]],DIAS!A:I,9,0)</f>
        <v>#N/A</v>
      </c>
      <c r="X1798" s="4">
        <v>0</v>
      </c>
      <c r="Y1798" s="4" t="e">
        <f>VLOOKUP(Tabla1[[#This Row],[PAGO DIA]],DIAS!A:J,10,0)</f>
        <v>#N/A</v>
      </c>
      <c r="Z1798" s="4">
        <v>0</v>
      </c>
      <c r="AA1798" s="4" t="e">
        <f>VLOOKUP(Tabla1[[#This Row],[PAGO DIA]],DIAS!A:K,11,0)</f>
        <v>#N/A</v>
      </c>
      <c r="AB1798" s="4">
        <v>0</v>
      </c>
      <c r="AC1798" s="4" t="e">
        <f>VLOOKUP(Tabla1[[#This Row],[PAGO DIA]],DIAS!A:M,12,0)</f>
        <v>#N/A</v>
      </c>
      <c r="AD179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799" spans="1:30">
      <c r="A1799" s="3">
        <v>12124</v>
      </c>
      <c r="B1799" s="3" t="s">
        <v>544</v>
      </c>
      <c r="C1799" s="3"/>
      <c r="D1799" s="3" t="s">
        <v>2285</v>
      </c>
      <c r="E1799" s="3"/>
      <c r="F1799" s="42"/>
      <c r="G1799" s="3"/>
      <c r="H1799" s="4">
        <v>0</v>
      </c>
      <c r="I1799" s="4" t="e">
        <f>VLOOKUP(Tabla1[[#This Row],[PAGO DIA]],DIAS!A:B,2,0)</f>
        <v>#N/A</v>
      </c>
      <c r="J1799" s="4">
        <v>0</v>
      </c>
      <c r="K1799" s="4" t="e">
        <f>VLOOKUP(Tabla1[[#This Row],[PAGO DIA]],DIAS!A:C,3,0)</f>
        <v>#N/A</v>
      </c>
      <c r="L1799" s="4">
        <v>0</v>
      </c>
      <c r="M1799" s="4" t="e">
        <f>VLOOKUP(Tabla1[[#This Row],[PAGO DIA]],DIAS!A:D,4,0)</f>
        <v>#N/A</v>
      </c>
      <c r="N1799" s="4">
        <v>0</v>
      </c>
      <c r="O1799" s="4" t="e">
        <f>VLOOKUP(Tabla1[[#This Row],[PAGO DIA]],DIAS!A:E,5,0)</f>
        <v>#N/A</v>
      </c>
      <c r="P1799" s="4">
        <v>0</v>
      </c>
      <c r="Q1799" s="4" t="e">
        <f>VLOOKUP(Tabla1[[#This Row],[PAGO DIA]],DIAS!A:F,6,0)</f>
        <v>#N/A</v>
      </c>
      <c r="R1799" s="4">
        <v>0</v>
      </c>
      <c r="S1799" s="4" t="e">
        <f>VLOOKUP(Tabla1[[#This Row],[PAGO DIA]],DIAS!A:G,7,0)</f>
        <v>#N/A</v>
      </c>
      <c r="T1799" s="4">
        <v>0</v>
      </c>
      <c r="U1799" s="4" t="e">
        <f>VLOOKUP(Tabla1[[#This Row],[PAGO DIA]],DIAS!A:H,8,0)</f>
        <v>#N/A</v>
      </c>
      <c r="V1799" s="4">
        <v>0</v>
      </c>
      <c r="W1799" s="4" t="e">
        <f>VLOOKUP(Tabla1[[#This Row],[PAGO DIA]],DIAS!A:I,9,0)</f>
        <v>#N/A</v>
      </c>
      <c r="X1799" s="4">
        <v>0</v>
      </c>
      <c r="Y1799" s="4" t="e">
        <f>VLOOKUP(Tabla1[[#This Row],[PAGO DIA]],DIAS!A:J,10,0)</f>
        <v>#N/A</v>
      </c>
      <c r="Z1799" s="4">
        <v>0</v>
      </c>
      <c r="AA1799" s="4" t="e">
        <f>VLOOKUP(Tabla1[[#This Row],[PAGO DIA]],DIAS!A:K,11,0)</f>
        <v>#N/A</v>
      </c>
      <c r="AB1799" s="4">
        <v>0</v>
      </c>
      <c r="AC1799" s="4" t="e">
        <f>VLOOKUP(Tabla1[[#This Row],[PAGO DIA]],DIAS!A:M,12,0)</f>
        <v>#N/A</v>
      </c>
      <c r="AD179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0" spans="1:30">
      <c r="A1800" s="3">
        <v>12134</v>
      </c>
      <c r="B1800" s="3" t="s">
        <v>544</v>
      </c>
      <c r="C1800" s="3"/>
      <c r="D1800" s="3" t="s">
        <v>2286</v>
      </c>
      <c r="E1800" s="3"/>
      <c r="F1800" s="42"/>
      <c r="G1800" s="3"/>
      <c r="H1800" s="4">
        <v>0</v>
      </c>
      <c r="I1800" s="4" t="e">
        <f>VLOOKUP(Tabla1[[#This Row],[PAGO DIA]],DIAS!A:B,2,0)</f>
        <v>#N/A</v>
      </c>
      <c r="J1800" s="4">
        <v>0</v>
      </c>
      <c r="K1800" s="4" t="e">
        <f>VLOOKUP(Tabla1[[#This Row],[PAGO DIA]],DIAS!A:C,3,0)</f>
        <v>#N/A</v>
      </c>
      <c r="L1800" s="4">
        <v>0</v>
      </c>
      <c r="M1800" s="4" t="e">
        <f>VLOOKUP(Tabla1[[#This Row],[PAGO DIA]],DIAS!A:D,4,0)</f>
        <v>#N/A</v>
      </c>
      <c r="N1800" s="4">
        <v>0</v>
      </c>
      <c r="O1800" s="4" t="e">
        <f>VLOOKUP(Tabla1[[#This Row],[PAGO DIA]],DIAS!A:E,5,0)</f>
        <v>#N/A</v>
      </c>
      <c r="P1800" s="4">
        <v>0</v>
      </c>
      <c r="Q1800" s="4" t="e">
        <f>VLOOKUP(Tabla1[[#This Row],[PAGO DIA]],DIAS!A:F,6,0)</f>
        <v>#N/A</v>
      </c>
      <c r="R1800" s="4">
        <v>0</v>
      </c>
      <c r="S1800" s="4" t="e">
        <f>VLOOKUP(Tabla1[[#This Row],[PAGO DIA]],DIAS!A:G,7,0)</f>
        <v>#N/A</v>
      </c>
      <c r="T1800" s="4">
        <v>0</v>
      </c>
      <c r="U1800" s="4" t="e">
        <f>VLOOKUP(Tabla1[[#This Row],[PAGO DIA]],DIAS!A:H,8,0)</f>
        <v>#N/A</v>
      </c>
      <c r="V1800" s="4">
        <v>0</v>
      </c>
      <c r="W1800" s="4" t="e">
        <f>VLOOKUP(Tabla1[[#This Row],[PAGO DIA]],DIAS!A:I,9,0)</f>
        <v>#N/A</v>
      </c>
      <c r="X1800" s="4">
        <v>0</v>
      </c>
      <c r="Y1800" s="4" t="e">
        <f>VLOOKUP(Tabla1[[#This Row],[PAGO DIA]],DIAS!A:J,10,0)</f>
        <v>#N/A</v>
      </c>
      <c r="Z1800" s="4">
        <v>0</v>
      </c>
      <c r="AA1800" s="4" t="e">
        <f>VLOOKUP(Tabla1[[#This Row],[PAGO DIA]],DIAS!A:K,11,0)</f>
        <v>#N/A</v>
      </c>
      <c r="AB1800" s="4">
        <v>0</v>
      </c>
      <c r="AC1800" s="4" t="e">
        <f>VLOOKUP(Tabla1[[#This Row],[PAGO DIA]],DIAS!A:M,12,0)</f>
        <v>#N/A</v>
      </c>
      <c r="AD180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1" spans="1:30">
      <c r="A1801" s="3">
        <v>12138</v>
      </c>
      <c r="B1801" s="3" t="s">
        <v>544</v>
      </c>
      <c r="C1801" s="3"/>
      <c r="D1801" s="3" t="s">
        <v>2287</v>
      </c>
      <c r="E1801" s="3"/>
      <c r="F1801" s="42"/>
      <c r="G1801" s="3"/>
      <c r="H1801" s="4">
        <v>0</v>
      </c>
      <c r="I1801" s="4" t="e">
        <f>VLOOKUP(Tabla1[[#This Row],[PAGO DIA]],DIAS!A:B,2,0)</f>
        <v>#N/A</v>
      </c>
      <c r="J1801" s="4">
        <v>0</v>
      </c>
      <c r="K1801" s="4" t="e">
        <f>VLOOKUP(Tabla1[[#This Row],[PAGO DIA]],DIAS!A:C,3,0)</f>
        <v>#N/A</v>
      </c>
      <c r="L1801" s="4">
        <v>0</v>
      </c>
      <c r="M1801" s="4" t="e">
        <f>VLOOKUP(Tabla1[[#This Row],[PAGO DIA]],DIAS!A:D,4,0)</f>
        <v>#N/A</v>
      </c>
      <c r="N1801" s="4">
        <v>0</v>
      </c>
      <c r="O1801" s="4" t="e">
        <f>VLOOKUP(Tabla1[[#This Row],[PAGO DIA]],DIAS!A:E,5,0)</f>
        <v>#N/A</v>
      </c>
      <c r="P1801" s="4">
        <v>0</v>
      </c>
      <c r="Q1801" s="4" t="e">
        <f>VLOOKUP(Tabla1[[#This Row],[PAGO DIA]],DIAS!A:F,6,0)</f>
        <v>#N/A</v>
      </c>
      <c r="R1801" s="4">
        <v>0</v>
      </c>
      <c r="S1801" s="4" t="e">
        <f>VLOOKUP(Tabla1[[#This Row],[PAGO DIA]],DIAS!A:G,7,0)</f>
        <v>#N/A</v>
      </c>
      <c r="T1801" s="4">
        <v>0</v>
      </c>
      <c r="U1801" s="4" t="e">
        <f>VLOOKUP(Tabla1[[#This Row],[PAGO DIA]],DIAS!A:H,8,0)</f>
        <v>#N/A</v>
      </c>
      <c r="V1801" s="4">
        <v>0</v>
      </c>
      <c r="W1801" s="4" t="e">
        <f>VLOOKUP(Tabla1[[#This Row],[PAGO DIA]],DIAS!A:I,9,0)</f>
        <v>#N/A</v>
      </c>
      <c r="X1801" s="4">
        <v>0</v>
      </c>
      <c r="Y1801" s="4" t="e">
        <f>VLOOKUP(Tabla1[[#This Row],[PAGO DIA]],DIAS!A:J,10,0)</f>
        <v>#N/A</v>
      </c>
      <c r="Z1801" s="4">
        <v>0</v>
      </c>
      <c r="AA1801" s="4" t="e">
        <f>VLOOKUP(Tabla1[[#This Row],[PAGO DIA]],DIAS!A:K,11,0)</f>
        <v>#N/A</v>
      </c>
      <c r="AB1801" s="4">
        <v>0</v>
      </c>
      <c r="AC1801" s="4" t="e">
        <f>VLOOKUP(Tabla1[[#This Row],[PAGO DIA]],DIAS!A:M,12,0)</f>
        <v>#N/A</v>
      </c>
      <c r="AD180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2" spans="1:30">
      <c r="A1802" s="3">
        <v>12139</v>
      </c>
      <c r="B1802" s="3" t="s">
        <v>544</v>
      </c>
      <c r="C1802" s="3"/>
      <c r="D1802" s="3" t="s">
        <v>2288</v>
      </c>
      <c r="E1802" s="3"/>
      <c r="F1802" s="42"/>
      <c r="G1802" s="3"/>
      <c r="H1802" s="4">
        <v>0</v>
      </c>
      <c r="I1802" s="4" t="e">
        <f>VLOOKUP(Tabla1[[#This Row],[PAGO DIA]],DIAS!A:B,2,0)</f>
        <v>#N/A</v>
      </c>
      <c r="J1802" s="4">
        <v>0</v>
      </c>
      <c r="K1802" s="4" t="e">
        <f>VLOOKUP(Tabla1[[#This Row],[PAGO DIA]],DIAS!A:C,3,0)</f>
        <v>#N/A</v>
      </c>
      <c r="L1802" s="4">
        <v>0</v>
      </c>
      <c r="M1802" s="4" t="e">
        <f>VLOOKUP(Tabla1[[#This Row],[PAGO DIA]],DIAS!A:D,4,0)</f>
        <v>#N/A</v>
      </c>
      <c r="N1802" s="4">
        <v>0</v>
      </c>
      <c r="O1802" s="4" t="e">
        <f>VLOOKUP(Tabla1[[#This Row],[PAGO DIA]],DIAS!A:E,5,0)</f>
        <v>#N/A</v>
      </c>
      <c r="P1802" s="4">
        <v>0</v>
      </c>
      <c r="Q1802" s="4" t="e">
        <f>VLOOKUP(Tabla1[[#This Row],[PAGO DIA]],DIAS!A:F,6,0)</f>
        <v>#N/A</v>
      </c>
      <c r="R1802" s="4">
        <v>0</v>
      </c>
      <c r="S1802" s="4" t="e">
        <f>VLOOKUP(Tabla1[[#This Row],[PAGO DIA]],DIAS!A:G,7,0)</f>
        <v>#N/A</v>
      </c>
      <c r="T1802" s="4">
        <v>0</v>
      </c>
      <c r="U1802" s="4" t="e">
        <f>VLOOKUP(Tabla1[[#This Row],[PAGO DIA]],DIAS!A:H,8,0)</f>
        <v>#N/A</v>
      </c>
      <c r="V1802" s="4">
        <v>0</v>
      </c>
      <c r="W1802" s="4" t="e">
        <f>VLOOKUP(Tabla1[[#This Row],[PAGO DIA]],DIAS!A:I,9,0)</f>
        <v>#N/A</v>
      </c>
      <c r="X1802" s="4">
        <v>0</v>
      </c>
      <c r="Y1802" s="4" t="e">
        <f>VLOOKUP(Tabla1[[#This Row],[PAGO DIA]],DIAS!A:J,10,0)</f>
        <v>#N/A</v>
      </c>
      <c r="Z1802" s="4">
        <v>0</v>
      </c>
      <c r="AA1802" s="4" t="e">
        <f>VLOOKUP(Tabla1[[#This Row],[PAGO DIA]],DIAS!A:K,11,0)</f>
        <v>#N/A</v>
      </c>
      <c r="AB1802" s="4">
        <v>0</v>
      </c>
      <c r="AC1802" s="4" t="e">
        <f>VLOOKUP(Tabla1[[#This Row],[PAGO DIA]],DIAS!A:M,12,0)</f>
        <v>#N/A</v>
      </c>
      <c r="AD180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3" spans="1:30">
      <c r="A1803" s="3">
        <v>12178</v>
      </c>
      <c r="B1803" s="3" t="s">
        <v>2271</v>
      </c>
      <c r="C1803" s="3" t="s">
        <v>2272</v>
      </c>
      <c r="D1803" s="3" t="s">
        <v>2272</v>
      </c>
      <c r="E1803" s="3"/>
      <c r="F1803" s="42"/>
      <c r="G1803" s="3"/>
      <c r="H1803" s="4">
        <v>0</v>
      </c>
      <c r="I1803" s="4" t="e">
        <f>VLOOKUP(Tabla1[[#This Row],[PAGO DIA]],DIAS!A:B,2,0)</f>
        <v>#N/A</v>
      </c>
      <c r="J1803" s="4">
        <v>0</v>
      </c>
      <c r="K1803" s="4" t="e">
        <f>VLOOKUP(Tabla1[[#This Row],[PAGO DIA]],DIAS!A:C,3,0)</f>
        <v>#N/A</v>
      </c>
      <c r="L1803" s="4">
        <v>0</v>
      </c>
      <c r="M1803" s="4" t="e">
        <f>VLOOKUP(Tabla1[[#This Row],[PAGO DIA]],DIAS!A:D,4,0)</f>
        <v>#N/A</v>
      </c>
      <c r="N1803" s="4">
        <v>0</v>
      </c>
      <c r="O1803" s="4" t="e">
        <f>VLOOKUP(Tabla1[[#This Row],[PAGO DIA]],DIAS!A:E,5,0)</f>
        <v>#N/A</v>
      </c>
      <c r="P1803" s="4">
        <v>0</v>
      </c>
      <c r="Q1803" s="4" t="e">
        <f>VLOOKUP(Tabla1[[#This Row],[PAGO DIA]],DIAS!A:F,6,0)</f>
        <v>#N/A</v>
      </c>
      <c r="R1803" s="4">
        <v>0</v>
      </c>
      <c r="S1803" s="4" t="e">
        <f>VLOOKUP(Tabla1[[#This Row],[PAGO DIA]],DIAS!A:G,7,0)</f>
        <v>#N/A</v>
      </c>
      <c r="T1803" s="4">
        <v>0</v>
      </c>
      <c r="U1803" s="4" t="e">
        <f>VLOOKUP(Tabla1[[#This Row],[PAGO DIA]],DIAS!A:H,8,0)</f>
        <v>#N/A</v>
      </c>
      <c r="V1803" s="4">
        <v>0</v>
      </c>
      <c r="W1803" s="4" t="e">
        <f>VLOOKUP(Tabla1[[#This Row],[PAGO DIA]],DIAS!A:I,9,0)</f>
        <v>#N/A</v>
      </c>
      <c r="X1803" s="4">
        <v>0</v>
      </c>
      <c r="Y1803" s="4" t="e">
        <f>VLOOKUP(Tabla1[[#This Row],[PAGO DIA]],DIAS!A:J,10,0)</f>
        <v>#N/A</v>
      </c>
      <c r="Z1803" s="4">
        <v>0</v>
      </c>
      <c r="AA1803" s="4" t="e">
        <f>VLOOKUP(Tabla1[[#This Row],[PAGO DIA]],DIAS!A:K,11,0)</f>
        <v>#N/A</v>
      </c>
      <c r="AB1803" s="4">
        <v>0</v>
      </c>
      <c r="AC1803" s="4" t="e">
        <f>VLOOKUP(Tabla1[[#This Row],[PAGO DIA]],DIAS!A:M,12,0)</f>
        <v>#N/A</v>
      </c>
      <c r="AD180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4" spans="1:30">
      <c r="A1804" s="3">
        <v>12181</v>
      </c>
      <c r="B1804" s="3" t="s">
        <v>604</v>
      </c>
      <c r="C1804" s="3" t="s">
        <v>605</v>
      </c>
      <c r="D1804" s="3" t="s">
        <v>2289</v>
      </c>
      <c r="E1804" s="3"/>
      <c r="F1804" s="42"/>
      <c r="G1804" s="3"/>
      <c r="H1804" s="4">
        <v>0</v>
      </c>
      <c r="I1804" s="4" t="e">
        <f>VLOOKUP(Tabla1[[#This Row],[PAGO DIA]],DIAS!A:B,2,0)</f>
        <v>#N/A</v>
      </c>
      <c r="J1804" s="4">
        <v>0</v>
      </c>
      <c r="K1804" s="4" t="e">
        <f>VLOOKUP(Tabla1[[#This Row],[PAGO DIA]],DIAS!A:C,3,0)</f>
        <v>#N/A</v>
      </c>
      <c r="L1804" s="4">
        <v>0</v>
      </c>
      <c r="M1804" s="4" t="e">
        <f>VLOOKUP(Tabla1[[#This Row],[PAGO DIA]],DIAS!A:D,4,0)</f>
        <v>#N/A</v>
      </c>
      <c r="N1804" s="4">
        <v>0</v>
      </c>
      <c r="O1804" s="4" t="e">
        <f>VLOOKUP(Tabla1[[#This Row],[PAGO DIA]],DIAS!A:E,5,0)</f>
        <v>#N/A</v>
      </c>
      <c r="P1804" s="4">
        <v>0</v>
      </c>
      <c r="Q1804" s="4" t="e">
        <f>VLOOKUP(Tabla1[[#This Row],[PAGO DIA]],DIAS!A:F,6,0)</f>
        <v>#N/A</v>
      </c>
      <c r="R1804" s="4">
        <v>0</v>
      </c>
      <c r="S1804" s="4" t="e">
        <f>VLOOKUP(Tabla1[[#This Row],[PAGO DIA]],DIAS!A:G,7,0)</f>
        <v>#N/A</v>
      </c>
      <c r="T1804" s="4">
        <v>0</v>
      </c>
      <c r="U1804" s="4" t="e">
        <f>VLOOKUP(Tabla1[[#This Row],[PAGO DIA]],DIAS!A:H,8,0)</f>
        <v>#N/A</v>
      </c>
      <c r="V1804" s="4">
        <v>0</v>
      </c>
      <c r="W1804" s="4" t="e">
        <f>VLOOKUP(Tabla1[[#This Row],[PAGO DIA]],DIAS!A:I,9,0)</f>
        <v>#N/A</v>
      </c>
      <c r="X1804" s="4">
        <v>0</v>
      </c>
      <c r="Y1804" s="4" t="e">
        <f>VLOOKUP(Tabla1[[#This Row],[PAGO DIA]],DIAS!A:J,10,0)</f>
        <v>#N/A</v>
      </c>
      <c r="Z1804" s="4">
        <v>0</v>
      </c>
      <c r="AA1804" s="4" t="e">
        <f>VLOOKUP(Tabla1[[#This Row],[PAGO DIA]],DIAS!A:K,11,0)</f>
        <v>#N/A</v>
      </c>
      <c r="AB1804" s="4">
        <v>0</v>
      </c>
      <c r="AC1804" s="4" t="e">
        <f>VLOOKUP(Tabla1[[#This Row],[PAGO DIA]],DIAS!A:M,12,0)</f>
        <v>#N/A</v>
      </c>
      <c r="AD180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5" spans="1:30">
      <c r="A1805" s="3">
        <v>12187</v>
      </c>
      <c r="B1805" s="3" t="s">
        <v>504</v>
      </c>
      <c r="C1805" s="3"/>
      <c r="D1805" s="3" t="s">
        <v>2290</v>
      </c>
      <c r="E1805" s="3"/>
      <c r="F1805" s="42"/>
      <c r="G1805" s="3"/>
      <c r="H1805" s="4">
        <v>0</v>
      </c>
      <c r="I1805" s="4" t="e">
        <f>VLOOKUP(Tabla1[[#This Row],[PAGO DIA]],DIAS!A:B,2,0)</f>
        <v>#N/A</v>
      </c>
      <c r="J1805" s="4">
        <v>0</v>
      </c>
      <c r="K1805" s="4" t="e">
        <f>VLOOKUP(Tabla1[[#This Row],[PAGO DIA]],DIAS!A:C,3,0)</f>
        <v>#N/A</v>
      </c>
      <c r="L1805" s="4">
        <v>0</v>
      </c>
      <c r="M1805" s="4" t="e">
        <f>VLOOKUP(Tabla1[[#This Row],[PAGO DIA]],DIAS!A:D,4,0)</f>
        <v>#N/A</v>
      </c>
      <c r="N1805" s="4">
        <v>0</v>
      </c>
      <c r="O1805" s="4" t="e">
        <f>VLOOKUP(Tabla1[[#This Row],[PAGO DIA]],DIAS!A:E,5,0)</f>
        <v>#N/A</v>
      </c>
      <c r="P1805" s="4">
        <v>0</v>
      </c>
      <c r="Q1805" s="4" t="e">
        <f>VLOOKUP(Tabla1[[#This Row],[PAGO DIA]],DIAS!A:F,6,0)</f>
        <v>#N/A</v>
      </c>
      <c r="R1805" s="4">
        <v>0</v>
      </c>
      <c r="S1805" s="4" t="e">
        <f>VLOOKUP(Tabla1[[#This Row],[PAGO DIA]],DIAS!A:G,7,0)</f>
        <v>#N/A</v>
      </c>
      <c r="T1805" s="4">
        <v>0</v>
      </c>
      <c r="U1805" s="4" t="e">
        <f>VLOOKUP(Tabla1[[#This Row],[PAGO DIA]],DIAS!A:H,8,0)</f>
        <v>#N/A</v>
      </c>
      <c r="V1805" s="4">
        <v>0</v>
      </c>
      <c r="W1805" s="4" t="e">
        <f>VLOOKUP(Tabla1[[#This Row],[PAGO DIA]],DIAS!A:I,9,0)</f>
        <v>#N/A</v>
      </c>
      <c r="X1805" s="4">
        <v>0</v>
      </c>
      <c r="Y1805" s="4" t="e">
        <f>VLOOKUP(Tabla1[[#This Row],[PAGO DIA]],DIAS!A:J,10,0)</f>
        <v>#N/A</v>
      </c>
      <c r="Z1805" s="4">
        <v>0</v>
      </c>
      <c r="AA1805" s="4" t="e">
        <f>VLOOKUP(Tabla1[[#This Row],[PAGO DIA]],DIAS!A:K,11,0)</f>
        <v>#N/A</v>
      </c>
      <c r="AB1805" s="4">
        <v>0</v>
      </c>
      <c r="AC1805" s="4" t="e">
        <f>VLOOKUP(Tabla1[[#This Row],[PAGO DIA]],DIAS!A:M,12,0)</f>
        <v>#N/A</v>
      </c>
      <c r="AD180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6" spans="1:30">
      <c r="A1806" s="3">
        <v>12188</v>
      </c>
      <c r="B1806" s="3" t="s">
        <v>504</v>
      </c>
      <c r="C1806" s="3"/>
      <c r="D1806" s="3" t="s">
        <v>2291</v>
      </c>
      <c r="E1806" s="3"/>
      <c r="F1806" s="42"/>
      <c r="G1806" s="3"/>
      <c r="H1806" s="4">
        <v>0</v>
      </c>
      <c r="I1806" s="4" t="e">
        <f>VLOOKUP(Tabla1[[#This Row],[PAGO DIA]],DIAS!A:B,2,0)</f>
        <v>#N/A</v>
      </c>
      <c r="J1806" s="4">
        <v>0</v>
      </c>
      <c r="K1806" s="4" t="e">
        <f>VLOOKUP(Tabla1[[#This Row],[PAGO DIA]],DIAS!A:C,3,0)</f>
        <v>#N/A</v>
      </c>
      <c r="L1806" s="4">
        <v>0</v>
      </c>
      <c r="M1806" s="4" t="e">
        <f>VLOOKUP(Tabla1[[#This Row],[PAGO DIA]],DIAS!A:D,4,0)</f>
        <v>#N/A</v>
      </c>
      <c r="N1806" s="4">
        <v>0</v>
      </c>
      <c r="O1806" s="4" t="e">
        <f>VLOOKUP(Tabla1[[#This Row],[PAGO DIA]],DIAS!A:E,5,0)</f>
        <v>#N/A</v>
      </c>
      <c r="P1806" s="4">
        <v>0</v>
      </c>
      <c r="Q1806" s="4" t="e">
        <f>VLOOKUP(Tabla1[[#This Row],[PAGO DIA]],DIAS!A:F,6,0)</f>
        <v>#N/A</v>
      </c>
      <c r="R1806" s="4">
        <v>0</v>
      </c>
      <c r="S1806" s="4" t="e">
        <f>VLOOKUP(Tabla1[[#This Row],[PAGO DIA]],DIAS!A:G,7,0)</f>
        <v>#N/A</v>
      </c>
      <c r="T1806" s="4">
        <v>0</v>
      </c>
      <c r="U1806" s="4" t="e">
        <f>VLOOKUP(Tabla1[[#This Row],[PAGO DIA]],DIAS!A:H,8,0)</f>
        <v>#N/A</v>
      </c>
      <c r="V1806" s="4">
        <v>0</v>
      </c>
      <c r="W1806" s="4" t="e">
        <f>VLOOKUP(Tabla1[[#This Row],[PAGO DIA]],DIAS!A:I,9,0)</f>
        <v>#N/A</v>
      </c>
      <c r="X1806" s="4">
        <v>0</v>
      </c>
      <c r="Y1806" s="4" t="e">
        <f>VLOOKUP(Tabla1[[#This Row],[PAGO DIA]],DIAS!A:J,10,0)</f>
        <v>#N/A</v>
      </c>
      <c r="Z1806" s="4">
        <v>0</v>
      </c>
      <c r="AA1806" s="4" t="e">
        <f>VLOOKUP(Tabla1[[#This Row],[PAGO DIA]],DIAS!A:K,11,0)</f>
        <v>#N/A</v>
      </c>
      <c r="AB1806" s="4">
        <v>0</v>
      </c>
      <c r="AC1806" s="4" t="e">
        <f>VLOOKUP(Tabla1[[#This Row],[PAGO DIA]],DIAS!A:M,12,0)</f>
        <v>#N/A</v>
      </c>
      <c r="AD180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7" spans="1:30">
      <c r="A1807" s="3">
        <v>12189</v>
      </c>
      <c r="B1807" s="3" t="s">
        <v>504</v>
      </c>
      <c r="C1807" s="3"/>
      <c r="D1807" s="3" t="s">
        <v>2292</v>
      </c>
      <c r="E1807" s="3"/>
      <c r="F1807" s="42"/>
      <c r="G1807" s="3"/>
      <c r="H1807" s="4">
        <v>0</v>
      </c>
      <c r="I1807" s="4" t="e">
        <f>VLOOKUP(Tabla1[[#This Row],[PAGO DIA]],DIAS!A:B,2,0)</f>
        <v>#N/A</v>
      </c>
      <c r="J1807" s="4">
        <v>0</v>
      </c>
      <c r="K1807" s="4" t="e">
        <f>VLOOKUP(Tabla1[[#This Row],[PAGO DIA]],DIAS!A:C,3,0)</f>
        <v>#N/A</v>
      </c>
      <c r="L1807" s="4">
        <v>0</v>
      </c>
      <c r="M1807" s="4" t="e">
        <f>VLOOKUP(Tabla1[[#This Row],[PAGO DIA]],DIAS!A:D,4,0)</f>
        <v>#N/A</v>
      </c>
      <c r="N1807" s="4">
        <v>0</v>
      </c>
      <c r="O1807" s="4" t="e">
        <f>VLOOKUP(Tabla1[[#This Row],[PAGO DIA]],DIAS!A:E,5,0)</f>
        <v>#N/A</v>
      </c>
      <c r="P1807" s="4">
        <v>0</v>
      </c>
      <c r="Q1807" s="4" t="e">
        <f>VLOOKUP(Tabla1[[#This Row],[PAGO DIA]],DIAS!A:F,6,0)</f>
        <v>#N/A</v>
      </c>
      <c r="R1807" s="4">
        <v>0</v>
      </c>
      <c r="S1807" s="4" t="e">
        <f>VLOOKUP(Tabla1[[#This Row],[PAGO DIA]],DIAS!A:G,7,0)</f>
        <v>#N/A</v>
      </c>
      <c r="T1807" s="4">
        <v>0</v>
      </c>
      <c r="U1807" s="4" t="e">
        <f>VLOOKUP(Tabla1[[#This Row],[PAGO DIA]],DIAS!A:H,8,0)</f>
        <v>#N/A</v>
      </c>
      <c r="V1807" s="4">
        <v>0</v>
      </c>
      <c r="W1807" s="4" t="e">
        <f>VLOOKUP(Tabla1[[#This Row],[PAGO DIA]],DIAS!A:I,9,0)</f>
        <v>#N/A</v>
      </c>
      <c r="X1807" s="4">
        <v>0</v>
      </c>
      <c r="Y1807" s="4" t="e">
        <f>VLOOKUP(Tabla1[[#This Row],[PAGO DIA]],DIAS!A:J,10,0)</f>
        <v>#N/A</v>
      </c>
      <c r="Z1807" s="4">
        <v>0</v>
      </c>
      <c r="AA1807" s="4" t="e">
        <f>VLOOKUP(Tabla1[[#This Row],[PAGO DIA]],DIAS!A:K,11,0)</f>
        <v>#N/A</v>
      </c>
      <c r="AB1807" s="4">
        <v>0</v>
      </c>
      <c r="AC1807" s="4" t="e">
        <f>VLOOKUP(Tabla1[[#This Row],[PAGO DIA]],DIAS!A:M,12,0)</f>
        <v>#N/A</v>
      </c>
      <c r="AD180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8" spans="1:30">
      <c r="A1808" s="3">
        <v>12190</v>
      </c>
      <c r="B1808" s="3" t="s">
        <v>1178</v>
      </c>
      <c r="C1808" s="3"/>
      <c r="D1808" s="3" t="s">
        <v>2293</v>
      </c>
      <c r="E1808" s="3"/>
      <c r="F1808" s="42"/>
      <c r="G1808" s="3"/>
      <c r="H1808" s="4">
        <v>0</v>
      </c>
      <c r="I1808" s="4" t="e">
        <f>VLOOKUP(Tabla1[[#This Row],[PAGO DIA]],DIAS!A:B,2,0)</f>
        <v>#N/A</v>
      </c>
      <c r="J1808" s="4">
        <v>0</v>
      </c>
      <c r="K1808" s="4" t="e">
        <f>VLOOKUP(Tabla1[[#This Row],[PAGO DIA]],DIAS!A:C,3,0)</f>
        <v>#N/A</v>
      </c>
      <c r="L1808" s="4">
        <v>0</v>
      </c>
      <c r="M1808" s="4" t="e">
        <f>VLOOKUP(Tabla1[[#This Row],[PAGO DIA]],DIAS!A:D,4,0)</f>
        <v>#N/A</v>
      </c>
      <c r="N1808" s="4">
        <v>0</v>
      </c>
      <c r="O1808" s="4" t="e">
        <f>VLOOKUP(Tabla1[[#This Row],[PAGO DIA]],DIAS!A:E,5,0)</f>
        <v>#N/A</v>
      </c>
      <c r="P1808" s="4">
        <v>0</v>
      </c>
      <c r="Q1808" s="4" t="e">
        <f>VLOOKUP(Tabla1[[#This Row],[PAGO DIA]],DIAS!A:F,6,0)</f>
        <v>#N/A</v>
      </c>
      <c r="R1808" s="4">
        <v>0</v>
      </c>
      <c r="S1808" s="4" t="e">
        <f>VLOOKUP(Tabla1[[#This Row],[PAGO DIA]],DIAS!A:G,7,0)</f>
        <v>#N/A</v>
      </c>
      <c r="T1808" s="4">
        <v>0</v>
      </c>
      <c r="U1808" s="4" t="e">
        <f>VLOOKUP(Tabla1[[#This Row],[PAGO DIA]],DIAS!A:H,8,0)</f>
        <v>#N/A</v>
      </c>
      <c r="V1808" s="4">
        <v>0</v>
      </c>
      <c r="W1808" s="4" t="e">
        <f>VLOOKUP(Tabla1[[#This Row],[PAGO DIA]],DIAS!A:I,9,0)</f>
        <v>#N/A</v>
      </c>
      <c r="X1808" s="4">
        <v>0</v>
      </c>
      <c r="Y1808" s="4" t="e">
        <f>VLOOKUP(Tabla1[[#This Row],[PAGO DIA]],DIAS!A:J,10,0)</f>
        <v>#N/A</v>
      </c>
      <c r="Z1808" s="4">
        <v>0</v>
      </c>
      <c r="AA1808" s="4" t="e">
        <f>VLOOKUP(Tabla1[[#This Row],[PAGO DIA]],DIAS!A:K,11,0)</f>
        <v>#N/A</v>
      </c>
      <c r="AB1808" s="4">
        <v>0</v>
      </c>
      <c r="AC1808" s="4" t="e">
        <f>VLOOKUP(Tabla1[[#This Row],[PAGO DIA]],DIAS!A:M,12,0)</f>
        <v>#N/A</v>
      </c>
      <c r="AD180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09" spans="1:30">
      <c r="A1809" s="3">
        <v>12191</v>
      </c>
      <c r="B1809" s="3" t="s">
        <v>1178</v>
      </c>
      <c r="C1809" s="3"/>
      <c r="D1809" s="3" t="s">
        <v>2294</v>
      </c>
      <c r="E1809" s="3"/>
      <c r="F1809" s="42"/>
      <c r="G1809" s="3"/>
      <c r="H1809" s="4">
        <v>0</v>
      </c>
      <c r="I1809" s="4" t="e">
        <f>VLOOKUP(Tabla1[[#This Row],[PAGO DIA]],DIAS!A:B,2,0)</f>
        <v>#N/A</v>
      </c>
      <c r="J1809" s="4">
        <v>0</v>
      </c>
      <c r="K1809" s="4" t="e">
        <f>VLOOKUP(Tabla1[[#This Row],[PAGO DIA]],DIAS!A:C,3,0)</f>
        <v>#N/A</v>
      </c>
      <c r="L1809" s="4">
        <v>0</v>
      </c>
      <c r="M1809" s="4" t="e">
        <f>VLOOKUP(Tabla1[[#This Row],[PAGO DIA]],DIAS!A:D,4,0)</f>
        <v>#N/A</v>
      </c>
      <c r="N1809" s="4">
        <v>0</v>
      </c>
      <c r="O1809" s="4" t="e">
        <f>VLOOKUP(Tabla1[[#This Row],[PAGO DIA]],DIAS!A:E,5,0)</f>
        <v>#N/A</v>
      </c>
      <c r="P1809" s="4">
        <v>0</v>
      </c>
      <c r="Q1809" s="4" t="e">
        <f>VLOOKUP(Tabla1[[#This Row],[PAGO DIA]],DIAS!A:F,6,0)</f>
        <v>#N/A</v>
      </c>
      <c r="R1809" s="4">
        <v>0</v>
      </c>
      <c r="S1809" s="4" t="e">
        <f>VLOOKUP(Tabla1[[#This Row],[PAGO DIA]],DIAS!A:G,7,0)</f>
        <v>#N/A</v>
      </c>
      <c r="T1809" s="4">
        <v>0</v>
      </c>
      <c r="U1809" s="4" t="e">
        <f>VLOOKUP(Tabla1[[#This Row],[PAGO DIA]],DIAS!A:H,8,0)</f>
        <v>#N/A</v>
      </c>
      <c r="V1809" s="4">
        <v>0</v>
      </c>
      <c r="W1809" s="4" t="e">
        <f>VLOOKUP(Tabla1[[#This Row],[PAGO DIA]],DIAS!A:I,9,0)</f>
        <v>#N/A</v>
      </c>
      <c r="X1809" s="4">
        <v>0</v>
      </c>
      <c r="Y1809" s="4" t="e">
        <f>VLOOKUP(Tabla1[[#This Row],[PAGO DIA]],DIAS!A:J,10,0)</f>
        <v>#N/A</v>
      </c>
      <c r="Z1809" s="4">
        <v>0</v>
      </c>
      <c r="AA1809" s="4" t="e">
        <f>VLOOKUP(Tabla1[[#This Row],[PAGO DIA]],DIAS!A:K,11,0)</f>
        <v>#N/A</v>
      </c>
      <c r="AB1809" s="4">
        <v>0</v>
      </c>
      <c r="AC1809" s="4" t="e">
        <f>VLOOKUP(Tabla1[[#This Row],[PAGO DIA]],DIAS!A:M,12,0)</f>
        <v>#N/A</v>
      </c>
      <c r="AD180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0" spans="1:30">
      <c r="A1810" s="3">
        <v>12192</v>
      </c>
      <c r="B1810" s="3" t="s">
        <v>1178</v>
      </c>
      <c r="C1810" s="3"/>
      <c r="D1810" s="3" t="s">
        <v>2295</v>
      </c>
      <c r="E1810" s="3"/>
      <c r="F1810" s="42"/>
      <c r="G1810" s="3"/>
      <c r="H1810" s="4">
        <v>0</v>
      </c>
      <c r="I1810" s="4" t="e">
        <f>VLOOKUP(Tabla1[[#This Row],[PAGO DIA]],DIAS!A:B,2,0)</f>
        <v>#N/A</v>
      </c>
      <c r="J1810" s="4">
        <v>0</v>
      </c>
      <c r="K1810" s="4" t="e">
        <f>VLOOKUP(Tabla1[[#This Row],[PAGO DIA]],DIAS!A:C,3,0)</f>
        <v>#N/A</v>
      </c>
      <c r="L1810" s="4">
        <v>0</v>
      </c>
      <c r="M1810" s="4" t="e">
        <f>VLOOKUP(Tabla1[[#This Row],[PAGO DIA]],DIAS!A:D,4,0)</f>
        <v>#N/A</v>
      </c>
      <c r="N1810" s="4">
        <v>0</v>
      </c>
      <c r="O1810" s="4" t="e">
        <f>VLOOKUP(Tabla1[[#This Row],[PAGO DIA]],DIAS!A:E,5,0)</f>
        <v>#N/A</v>
      </c>
      <c r="P1810" s="4">
        <v>0</v>
      </c>
      <c r="Q1810" s="4" t="e">
        <f>VLOOKUP(Tabla1[[#This Row],[PAGO DIA]],DIAS!A:F,6,0)</f>
        <v>#N/A</v>
      </c>
      <c r="R1810" s="4">
        <v>0</v>
      </c>
      <c r="S1810" s="4" t="e">
        <f>VLOOKUP(Tabla1[[#This Row],[PAGO DIA]],DIAS!A:G,7,0)</f>
        <v>#N/A</v>
      </c>
      <c r="T1810" s="4">
        <v>0</v>
      </c>
      <c r="U1810" s="4" t="e">
        <f>VLOOKUP(Tabla1[[#This Row],[PAGO DIA]],DIAS!A:H,8,0)</f>
        <v>#N/A</v>
      </c>
      <c r="V1810" s="4">
        <v>0</v>
      </c>
      <c r="W1810" s="4" t="e">
        <f>VLOOKUP(Tabla1[[#This Row],[PAGO DIA]],DIAS!A:I,9,0)</f>
        <v>#N/A</v>
      </c>
      <c r="X1810" s="4">
        <v>0</v>
      </c>
      <c r="Y1810" s="4" t="e">
        <f>VLOOKUP(Tabla1[[#This Row],[PAGO DIA]],DIAS!A:J,10,0)</f>
        <v>#N/A</v>
      </c>
      <c r="Z1810" s="4">
        <v>0</v>
      </c>
      <c r="AA1810" s="4" t="e">
        <f>VLOOKUP(Tabla1[[#This Row],[PAGO DIA]],DIAS!A:K,11,0)</f>
        <v>#N/A</v>
      </c>
      <c r="AB1810" s="4">
        <v>0</v>
      </c>
      <c r="AC1810" s="4" t="e">
        <f>VLOOKUP(Tabla1[[#This Row],[PAGO DIA]],DIAS!A:M,12,0)</f>
        <v>#N/A</v>
      </c>
      <c r="AD181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1" spans="1:30">
      <c r="A1811" s="3">
        <v>12193</v>
      </c>
      <c r="B1811" s="3" t="s">
        <v>1178</v>
      </c>
      <c r="C1811" s="3"/>
      <c r="D1811" s="3" t="s">
        <v>2296</v>
      </c>
      <c r="E1811" s="3"/>
      <c r="F1811" s="42"/>
      <c r="G1811" s="3"/>
      <c r="H1811" s="4">
        <v>0</v>
      </c>
      <c r="I1811" s="4" t="e">
        <f>VLOOKUP(Tabla1[[#This Row],[PAGO DIA]],DIAS!A:B,2,0)</f>
        <v>#N/A</v>
      </c>
      <c r="J1811" s="4">
        <v>0</v>
      </c>
      <c r="K1811" s="4" t="e">
        <f>VLOOKUP(Tabla1[[#This Row],[PAGO DIA]],DIAS!A:C,3,0)</f>
        <v>#N/A</v>
      </c>
      <c r="L1811" s="4">
        <v>0</v>
      </c>
      <c r="M1811" s="4" t="e">
        <f>VLOOKUP(Tabla1[[#This Row],[PAGO DIA]],DIAS!A:D,4,0)</f>
        <v>#N/A</v>
      </c>
      <c r="N1811" s="4">
        <v>0</v>
      </c>
      <c r="O1811" s="4" t="e">
        <f>VLOOKUP(Tabla1[[#This Row],[PAGO DIA]],DIAS!A:E,5,0)</f>
        <v>#N/A</v>
      </c>
      <c r="P1811" s="4">
        <v>0</v>
      </c>
      <c r="Q1811" s="4" t="e">
        <f>VLOOKUP(Tabla1[[#This Row],[PAGO DIA]],DIAS!A:F,6,0)</f>
        <v>#N/A</v>
      </c>
      <c r="R1811" s="4">
        <v>0</v>
      </c>
      <c r="S1811" s="4" t="e">
        <f>VLOOKUP(Tabla1[[#This Row],[PAGO DIA]],DIAS!A:G,7,0)</f>
        <v>#N/A</v>
      </c>
      <c r="T1811" s="4">
        <v>0</v>
      </c>
      <c r="U1811" s="4" t="e">
        <f>VLOOKUP(Tabla1[[#This Row],[PAGO DIA]],DIAS!A:H,8,0)</f>
        <v>#N/A</v>
      </c>
      <c r="V1811" s="4">
        <v>0</v>
      </c>
      <c r="W1811" s="4" t="e">
        <f>VLOOKUP(Tabla1[[#This Row],[PAGO DIA]],DIAS!A:I,9,0)</f>
        <v>#N/A</v>
      </c>
      <c r="X1811" s="4">
        <v>0</v>
      </c>
      <c r="Y1811" s="4" t="e">
        <f>VLOOKUP(Tabla1[[#This Row],[PAGO DIA]],DIAS!A:J,10,0)</f>
        <v>#N/A</v>
      </c>
      <c r="Z1811" s="4">
        <v>0</v>
      </c>
      <c r="AA1811" s="4" t="e">
        <f>VLOOKUP(Tabla1[[#This Row],[PAGO DIA]],DIAS!A:K,11,0)</f>
        <v>#N/A</v>
      </c>
      <c r="AB1811" s="4">
        <v>0</v>
      </c>
      <c r="AC1811" s="4" t="e">
        <f>VLOOKUP(Tabla1[[#This Row],[PAGO DIA]],DIAS!A:M,12,0)</f>
        <v>#N/A</v>
      </c>
      <c r="AD181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2" spans="1:30">
      <c r="A1812" s="3">
        <v>12194</v>
      </c>
      <c r="B1812" s="3" t="s">
        <v>1178</v>
      </c>
      <c r="C1812" s="3"/>
      <c r="D1812" s="3" t="s">
        <v>2297</v>
      </c>
      <c r="E1812" s="3"/>
      <c r="F1812" s="42"/>
      <c r="G1812" s="3"/>
      <c r="H1812" s="4">
        <v>0</v>
      </c>
      <c r="I1812" s="4" t="e">
        <f>VLOOKUP(Tabla1[[#This Row],[PAGO DIA]],DIAS!A:B,2,0)</f>
        <v>#N/A</v>
      </c>
      <c r="J1812" s="4">
        <v>0</v>
      </c>
      <c r="K1812" s="4" t="e">
        <f>VLOOKUP(Tabla1[[#This Row],[PAGO DIA]],DIAS!A:C,3,0)</f>
        <v>#N/A</v>
      </c>
      <c r="L1812" s="4">
        <v>0</v>
      </c>
      <c r="M1812" s="4" t="e">
        <f>VLOOKUP(Tabla1[[#This Row],[PAGO DIA]],DIAS!A:D,4,0)</f>
        <v>#N/A</v>
      </c>
      <c r="N1812" s="4">
        <v>0</v>
      </c>
      <c r="O1812" s="4" t="e">
        <f>VLOOKUP(Tabla1[[#This Row],[PAGO DIA]],DIAS!A:E,5,0)</f>
        <v>#N/A</v>
      </c>
      <c r="P1812" s="4">
        <v>0</v>
      </c>
      <c r="Q1812" s="4" t="e">
        <f>VLOOKUP(Tabla1[[#This Row],[PAGO DIA]],DIAS!A:F,6,0)</f>
        <v>#N/A</v>
      </c>
      <c r="R1812" s="4">
        <v>0</v>
      </c>
      <c r="S1812" s="4" t="e">
        <f>VLOOKUP(Tabla1[[#This Row],[PAGO DIA]],DIAS!A:G,7,0)</f>
        <v>#N/A</v>
      </c>
      <c r="T1812" s="4">
        <v>0</v>
      </c>
      <c r="U1812" s="4" t="e">
        <f>VLOOKUP(Tabla1[[#This Row],[PAGO DIA]],DIAS!A:H,8,0)</f>
        <v>#N/A</v>
      </c>
      <c r="V1812" s="4">
        <v>0</v>
      </c>
      <c r="W1812" s="4" t="e">
        <f>VLOOKUP(Tabla1[[#This Row],[PAGO DIA]],DIAS!A:I,9,0)</f>
        <v>#N/A</v>
      </c>
      <c r="X1812" s="4">
        <v>0</v>
      </c>
      <c r="Y1812" s="4" t="e">
        <f>VLOOKUP(Tabla1[[#This Row],[PAGO DIA]],DIAS!A:J,10,0)</f>
        <v>#N/A</v>
      </c>
      <c r="Z1812" s="4">
        <v>0</v>
      </c>
      <c r="AA1812" s="4" t="e">
        <f>VLOOKUP(Tabla1[[#This Row],[PAGO DIA]],DIAS!A:K,11,0)</f>
        <v>#N/A</v>
      </c>
      <c r="AB1812" s="4">
        <v>0</v>
      </c>
      <c r="AC1812" s="4" t="e">
        <f>VLOOKUP(Tabla1[[#This Row],[PAGO DIA]],DIAS!A:M,12,0)</f>
        <v>#N/A</v>
      </c>
      <c r="AD181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3" spans="1:30">
      <c r="A1813" s="3">
        <v>12195</v>
      </c>
      <c r="B1813" s="3" t="s">
        <v>1178</v>
      </c>
      <c r="C1813" s="3"/>
      <c r="D1813" s="3" t="s">
        <v>2297</v>
      </c>
      <c r="E1813" s="3"/>
      <c r="F1813" s="42"/>
      <c r="G1813" s="3"/>
      <c r="H1813" s="4">
        <v>0</v>
      </c>
      <c r="I1813" s="4" t="e">
        <f>VLOOKUP(Tabla1[[#This Row],[PAGO DIA]],DIAS!A:B,2,0)</f>
        <v>#N/A</v>
      </c>
      <c r="J1813" s="4">
        <v>0</v>
      </c>
      <c r="K1813" s="4" t="e">
        <f>VLOOKUP(Tabla1[[#This Row],[PAGO DIA]],DIAS!A:C,3,0)</f>
        <v>#N/A</v>
      </c>
      <c r="L1813" s="4">
        <v>0</v>
      </c>
      <c r="M1813" s="4" t="e">
        <f>VLOOKUP(Tabla1[[#This Row],[PAGO DIA]],DIAS!A:D,4,0)</f>
        <v>#N/A</v>
      </c>
      <c r="N1813" s="4">
        <v>0</v>
      </c>
      <c r="O1813" s="4" t="e">
        <f>VLOOKUP(Tabla1[[#This Row],[PAGO DIA]],DIAS!A:E,5,0)</f>
        <v>#N/A</v>
      </c>
      <c r="P1813" s="4">
        <v>0</v>
      </c>
      <c r="Q1813" s="4" t="e">
        <f>VLOOKUP(Tabla1[[#This Row],[PAGO DIA]],DIAS!A:F,6,0)</f>
        <v>#N/A</v>
      </c>
      <c r="R1813" s="4">
        <v>0</v>
      </c>
      <c r="S1813" s="4" t="e">
        <f>VLOOKUP(Tabla1[[#This Row],[PAGO DIA]],DIAS!A:G,7,0)</f>
        <v>#N/A</v>
      </c>
      <c r="T1813" s="4">
        <v>0</v>
      </c>
      <c r="U1813" s="4" t="e">
        <f>VLOOKUP(Tabla1[[#This Row],[PAGO DIA]],DIAS!A:H,8,0)</f>
        <v>#N/A</v>
      </c>
      <c r="V1813" s="4">
        <v>0</v>
      </c>
      <c r="W1813" s="4" t="e">
        <f>VLOOKUP(Tabla1[[#This Row],[PAGO DIA]],DIAS!A:I,9,0)</f>
        <v>#N/A</v>
      </c>
      <c r="X1813" s="4">
        <v>0</v>
      </c>
      <c r="Y1813" s="4" t="e">
        <f>VLOOKUP(Tabla1[[#This Row],[PAGO DIA]],DIAS!A:J,10,0)</f>
        <v>#N/A</v>
      </c>
      <c r="Z1813" s="4">
        <v>0</v>
      </c>
      <c r="AA1813" s="4" t="e">
        <f>VLOOKUP(Tabla1[[#This Row],[PAGO DIA]],DIAS!A:K,11,0)</f>
        <v>#N/A</v>
      </c>
      <c r="AB1813" s="4">
        <v>0</v>
      </c>
      <c r="AC1813" s="4" t="e">
        <f>VLOOKUP(Tabla1[[#This Row],[PAGO DIA]],DIAS!A:M,12,0)</f>
        <v>#N/A</v>
      </c>
      <c r="AD181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4" spans="1:30">
      <c r="A1814" s="3">
        <v>12213</v>
      </c>
      <c r="B1814" s="3" t="s">
        <v>1742</v>
      </c>
      <c r="C1814" s="3"/>
      <c r="D1814" s="3" t="s">
        <v>2298</v>
      </c>
      <c r="E1814" s="3"/>
      <c r="F1814" s="42"/>
      <c r="G1814" s="3"/>
      <c r="H1814" s="4">
        <v>0</v>
      </c>
      <c r="I1814" s="4" t="e">
        <f>VLOOKUP(Tabla1[[#This Row],[PAGO DIA]],DIAS!A:B,2,0)</f>
        <v>#N/A</v>
      </c>
      <c r="J1814" s="4">
        <v>0</v>
      </c>
      <c r="K1814" s="4" t="e">
        <f>VLOOKUP(Tabla1[[#This Row],[PAGO DIA]],DIAS!A:C,3,0)</f>
        <v>#N/A</v>
      </c>
      <c r="L1814" s="4">
        <v>0</v>
      </c>
      <c r="M1814" s="4" t="e">
        <f>VLOOKUP(Tabla1[[#This Row],[PAGO DIA]],DIAS!A:D,4,0)</f>
        <v>#N/A</v>
      </c>
      <c r="N1814" s="4">
        <v>0</v>
      </c>
      <c r="O1814" s="4" t="e">
        <f>VLOOKUP(Tabla1[[#This Row],[PAGO DIA]],DIAS!A:E,5,0)</f>
        <v>#N/A</v>
      </c>
      <c r="P1814" s="4">
        <v>0</v>
      </c>
      <c r="Q1814" s="4" t="e">
        <f>VLOOKUP(Tabla1[[#This Row],[PAGO DIA]],DIAS!A:F,6,0)</f>
        <v>#N/A</v>
      </c>
      <c r="R1814" s="4">
        <v>0</v>
      </c>
      <c r="S1814" s="4" t="e">
        <f>VLOOKUP(Tabla1[[#This Row],[PAGO DIA]],DIAS!A:G,7,0)</f>
        <v>#N/A</v>
      </c>
      <c r="T1814" s="4">
        <v>0</v>
      </c>
      <c r="U1814" s="4" t="e">
        <f>VLOOKUP(Tabla1[[#This Row],[PAGO DIA]],DIAS!A:H,8,0)</f>
        <v>#N/A</v>
      </c>
      <c r="V1814" s="4">
        <v>0</v>
      </c>
      <c r="W1814" s="4" t="e">
        <f>VLOOKUP(Tabla1[[#This Row],[PAGO DIA]],DIAS!A:I,9,0)</f>
        <v>#N/A</v>
      </c>
      <c r="X1814" s="4">
        <v>0</v>
      </c>
      <c r="Y1814" s="4" t="e">
        <f>VLOOKUP(Tabla1[[#This Row],[PAGO DIA]],DIAS!A:J,10,0)</f>
        <v>#N/A</v>
      </c>
      <c r="Z1814" s="4">
        <v>0</v>
      </c>
      <c r="AA1814" s="4" t="e">
        <f>VLOOKUP(Tabla1[[#This Row],[PAGO DIA]],DIAS!A:K,11,0)</f>
        <v>#N/A</v>
      </c>
      <c r="AB1814" s="4">
        <v>0</v>
      </c>
      <c r="AC1814" s="4" t="e">
        <f>VLOOKUP(Tabla1[[#This Row],[PAGO DIA]],DIAS!A:M,12,0)</f>
        <v>#N/A</v>
      </c>
      <c r="AD181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5" spans="1:30">
      <c r="A1815" s="3">
        <v>12214</v>
      </c>
      <c r="B1815" s="3" t="s">
        <v>1742</v>
      </c>
      <c r="C1815" s="3"/>
      <c r="D1815" s="3" t="s">
        <v>2299</v>
      </c>
      <c r="E1815" s="3"/>
      <c r="F1815" s="42"/>
      <c r="G1815" s="3"/>
      <c r="H1815" s="4">
        <v>0</v>
      </c>
      <c r="I1815" s="4" t="e">
        <f>VLOOKUP(Tabla1[[#This Row],[PAGO DIA]],DIAS!A:B,2,0)</f>
        <v>#N/A</v>
      </c>
      <c r="J1815" s="4">
        <v>0</v>
      </c>
      <c r="K1815" s="4" t="e">
        <f>VLOOKUP(Tabla1[[#This Row],[PAGO DIA]],DIAS!A:C,3,0)</f>
        <v>#N/A</v>
      </c>
      <c r="L1815" s="4">
        <v>0</v>
      </c>
      <c r="M1815" s="4" t="e">
        <f>VLOOKUP(Tabla1[[#This Row],[PAGO DIA]],DIAS!A:D,4,0)</f>
        <v>#N/A</v>
      </c>
      <c r="N1815" s="4">
        <v>0</v>
      </c>
      <c r="O1815" s="4" t="e">
        <f>VLOOKUP(Tabla1[[#This Row],[PAGO DIA]],DIAS!A:E,5,0)</f>
        <v>#N/A</v>
      </c>
      <c r="P1815" s="4">
        <v>0</v>
      </c>
      <c r="Q1815" s="4" t="e">
        <f>VLOOKUP(Tabla1[[#This Row],[PAGO DIA]],DIAS!A:F,6,0)</f>
        <v>#N/A</v>
      </c>
      <c r="R1815" s="4">
        <v>0</v>
      </c>
      <c r="S1815" s="4" t="e">
        <f>VLOOKUP(Tabla1[[#This Row],[PAGO DIA]],DIAS!A:G,7,0)</f>
        <v>#N/A</v>
      </c>
      <c r="T1815" s="4">
        <v>0</v>
      </c>
      <c r="U1815" s="4" t="e">
        <f>VLOOKUP(Tabla1[[#This Row],[PAGO DIA]],DIAS!A:H,8,0)</f>
        <v>#N/A</v>
      </c>
      <c r="V1815" s="4">
        <v>0</v>
      </c>
      <c r="W1815" s="4" t="e">
        <f>VLOOKUP(Tabla1[[#This Row],[PAGO DIA]],DIAS!A:I,9,0)</f>
        <v>#N/A</v>
      </c>
      <c r="X1815" s="4">
        <v>0</v>
      </c>
      <c r="Y1815" s="4" t="e">
        <f>VLOOKUP(Tabla1[[#This Row],[PAGO DIA]],DIAS!A:J,10,0)</f>
        <v>#N/A</v>
      </c>
      <c r="Z1815" s="4">
        <v>0</v>
      </c>
      <c r="AA1815" s="4" t="e">
        <f>VLOOKUP(Tabla1[[#This Row],[PAGO DIA]],DIAS!A:K,11,0)</f>
        <v>#N/A</v>
      </c>
      <c r="AB1815" s="4">
        <v>0</v>
      </c>
      <c r="AC1815" s="4" t="e">
        <f>VLOOKUP(Tabla1[[#This Row],[PAGO DIA]],DIAS!A:M,12,0)</f>
        <v>#N/A</v>
      </c>
      <c r="AD181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6" spans="1:30">
      <c r="A1816" s="3">
        <v>12215</v>
      </c>
      <c r="B1816" s="3" t="s">
        <v>1742</v>
      </c>
      <c r="C1816" s="3"/>
      <c r="D1816" s="3" t="s">
        <v>2300</v>
      </c>
      <c r="E1816" s="3"/>
      <c r="F1816" s="42"/>
      <c r="G1816" s="3"/>
      <c r="H1816" s="4">
        <v>0</v>
      </c>
      <c r="I1816" s="4" t="e">
        <f>VLOOKUP(Tabla1[[#This Row],[PAGO DIA]],DIAS!A:B,2,0)</f>
        <v>#N/A</v>
      </c>
      <c r="J1816" s="4">
        <v>0</v>
      </c>
      <c r="K1816" s="4" t="e">
        <f>VLOOKUP(Tabla1[[#This Row],[PAGO DIA]],DIAS!A:C,3,0)</f>
        <v>#N/A</v>
      </c>
      <c r="L1816" s="4">
        <v>0</v>
      </c>
      <c r="M1816" s="4" t="e">
        <f>VLOOKUP(Tabla1[[#This Row],[PAGO DIA]],DIAS!A:D,4,0)</f>
        <v>#N/A</v>
      </c>
      <c r="N1816" s="4">
        <v>0</v>
      </c>
      <c r="O1816" s="4" t="e">
        <f>VLOOKUP(Tabla1[[#This Row],[PAGO DIA]],DIAS!A:E,5,0)</f>
        <v>#N/A</v>
      </c>
      <c r="P1816" s="4">
        <v>0</v>
      </c>
      <c r="Q1816" s="4" t="e">
        <f>VLOOKUP(Tabla1[[#This Row],[PAGO DIA]],DIAS!A:F,6,0)</f>
        <v>#N/A</v>
      </c>
      <c r="R1816" s="4">
        <v>0</v>
      </c>
      <c r="S1816" s="4" t="e">
        <f>VLOOKUP(Tabla1[[#This Row],[PAGO DIA]],DIAS!A:G,7,0)</f>
        <v>#N/A</v>
      </c>
      <c r="T1816" s="4">
        <v>0</v>
      </c>
      <c r="U1816" s="4" t="e">
        <f>VLOOKUP(Tabla1[[#This Row],[PAGO DIA]],DIAS!A:H,8,0)</f>
        <v>#N/A</v>
      </c>
      <c r="V1816" s="4">
        <v>0</v>
      </c>
      <c r="W1816" s="4" t="e">
        <f>VLOOKUP(Tabla1[[#This Row],[PAGO DIA]],DIAS!A:I,9,0)</f>
        <v>#N/A</v>
      </c>
      <c r="X1816" s="4">
        <v>0</v>
      </c>
      <c r="Y1816" s="4" t="e">
        <f>VLOOKUP(Tabla1[[#This Row],[PAGO DIA]],DIAS!A:J,10,0)</f>
        <v>#N/A</v>
      </c>
      <c r="Z1816" s="4">
        <v>0</v>
      </c>
      <c r="AA1816" s="4" t="e">
        <f>VLOOKUP(Tabla1[[#This Row],[PAGO DIA]],DIAS!A:K,11,0)</f>
        <v>#N/A</v>
      </c>
      <c r="AB1816" s="4">
        <v>0</v>
      </c>
      <c r="AC1816" s="4" t="e">
        <f>VLOOKUP(Tabla1[[#This Row],[PAGO DIA]],DIAS!A:M,12,0)</f>
        <v>#N/A</v>
      </c>
      <c r="AD181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7" spans="1:30">
      <c r="A1817" s="3">
        <v>12216</v>
      </c>
      <c r="B1817" s="3" t="s">
        <v>1742</v>
      </c>
      <c r="C1817" s="3"/>
      <c r="D1817" s="3" t="s">
        <v>2301</v>
      </c>
      <c r="E1817" s="3"/>
      <c r="F1817" s="42"/>
      <c r="G1817" s="3"/>
      <c r="H1817" s="4">
        <v>0</v>
      </c>
      <c r="I1817" s="4" t="e">
        <f>VLOOKUP(Tabla1[[#This Row],[PAGO DIA]],DIAS!A:B,2,0)</f>
        <v>#N/A</v>
      </c>
      <c r="J1817" s="4">
        <v>0</v>
      </c>
      <c r="K1817" s="4" t="e">
        <f>VLOOKUP(Tabla1[[#This Row],[PAGO DIA]],DIAS!A:C,3,0)</f>
        <v>#N/A</v>
      </c>
      <c r="L1817" s="4">
        <v>0</v>
      </c>
      <c r="M1817" s="4" t="e">
        <f>VLOOKUP(Tabla1[[#This Row],[PAGO DIA]],DIAS!A:D,4,0)</f>
        <v>#N/A</v>
      </c>
      <c r="N1817" s="4">
        <v>0</v>
      </c>
      <c r="O1817" s="4" t="e">
        <f>VLOOKUP(Tabla1[[#This Row],[PAGO DIA]],DIAS!A:E,5,0)</f>
        <v>#N/A</v>
      </c>
      <c r="P1817" s="4">
        <v>0</v>
      </c>
      <c r="Q1817" s="4" t="e">
        <f>VLOOKUP(Tabla1[[#This Row],[PAGO DIA]],DIAS!A:F,6,0)</f>
        <v>#N/A</v>
      </c>
      <c r="R1817" s="4">
        <v>0</v>
      </c>
      <c r="S1817" s="4" t="e">
        <f>VLOOKUP(Tabla1[[#This Row],[PAGO DIA]],DIAS!A:G,7,0)</f>
        <v>#N/A</v>
      </c>
      <c r="T1817" s="4">
        <v>0</v>
      </c>
      <c r="U1817" s="4" t="e">
        <f>VLOOKUP(Tabla1[[#This Row],[PAGO DIA]],DIAS!A:H,8,0)</f>
        <v>#N/A</v>
      </c>
      <c r="V1817" s="4">
        <v>0</v>
      </c>
      <c r="W1817" s="4" t="e">
        <f>VLOOKUP(Tabla1[[#This Row],[PAGO DIA]],DIAS!A:I,9,0)</f>
        <v>#N/A</v>
      </c>
      <c r="X1817" s="4">
        <v>0</v>
      </c>
      <c r="Y1817" s="4" t="e">
        <f>VLOOKUP(Tabla1[[#This Row],[PAGO DIA]],DIAS!A:J,10,0)</f>
        <v>#N/A</v>
      </c>
      <c r="Z1817" s="4">
        <v>0</v>
      </c>
      <c r="AA1817" s="4" t="e">
        <f>VLOOKUP(Tabla1[[#This Row],[PAGO DIA]],DIAS!A:K,11,0)</f>
        <v>#N/A</v>
      </c>
      <c r="AB1817" s="4">
        <v>0</v>
      </c>
      <c r="AC1817" s="4" t="e">
        <f>VLOOKUP(Tabla1[[#This Row],[PAGO DIA]],DIAS!A:M,12,0)</f>
        <v>#N/A</v>
      </c>
      <c r="AD181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8" spans="1:30">
      <c r="A1818" s="3">
        <v>12217</v>
      </c>
      <c r="B1818" s="3" t="s">
        <v>1742</v>
      </c>
      <c r="C1818" s="3"/>
      <c r="D1818" s="3" t="s">
        <v>2302</v>
      </c>
      <c r="E1818" s="3"/>
      <c r="F1818" s="42"/>
      <c r="G1818" s="3"/>
      <c r="H1818" s="4">
        <v>0</v>
      </c>
      <c r="I1818" s="4" t="e">
        <f>VLOOKUP(Tabla1[[#This Row],[PAGO DIA]],DIAS!A:B,2,0)</f>
        <v>#N/A</v>
      </c>
      <c r="J1818" s="4">
        <v>0</v>
      </c>
      <c r="K1818" s="4" t="e">
        <f>VLOOKUP(Tabla1[[#This Row],[PAGO DIA]],DIAS!A:C,3,0)</f>
        <v>#N/A</v>
      </c>
      <c r="L1818" s="4">
        <v>0</v>
      </c>
      <c r="M1818" s="4" t="e">
        <f>VLOOKUP(Tabla1[[#This Row],[PAGO DIA]],DIAS!A:D,4,0)</f>
        <v>#N/A</v>
      </c>
      <c r="N1818" s="4">
        <v>0</v>
      </c>
      <c r="O1818" s="4" t="e">
        <f>VLOOKUP(Tabla1[[#This Row],[PAGO DIA]],DIAS!A:E,5,0)</f>
        <v>#N/A</v>
      </c>
      <c r="P1818" s="4">
        <v>0</v>
      </c>
      <c r="Q1818" s="4" t="e">
        <f>VLOOKUP(Tabla1[[#This Row],[PAGO DIA]],DIAS!A:F,6,0)</f>
        <v>#N/A</v>
      </c>
      <c r="R1818" s="4">
        <v>0</v>
      </c>
      <c r="S1818" s="4" t="e">
        <f>VLOOKUP(Tabla1[[#This Row],[PAGO DIA]],DIAS!A:G,7,0)</f>
        <v>#N/A</v>
      </c>
      <c r="T1818" s="4">
        <v>0</v>
      </c>
      <c r="U1818" s="4" t="e">
        <f>VLOOKUP(Tabla1[[#This Row],[PAGO DIA]],DIAS!A:H,8,0)</f>
        <v>#N/A</v>
      </c>
      <c r="V1818" s="4">
        <v>0</v>
      </c>
      <c r="W1818" s="4" t="e">
        <f>VLOOKUP(Tabla1[[#This Row],[PAGO DIA]],DIAS!A:I,9,0)</f>
        <v>#N/A</v>
      </c>
      <c r="X1818" s="4">
        <v>0</v>
      </c>
      <c r="Y1818" s="4" t="e">
        <f>VLOOKUP(Tabla1[[#This Row],[PAGO DIA]],DIAS!A:J,10,0)</f>
        <v>#N/A</v>
      </c>
      <c r="Z1818" s="4">
        <v>0</v>
      </c>
      <c r="AA1818" s="4" t="e">
        <f>VLOOKUP(Tabla1[[#This Row],[PAGO DIA]],DIAS!A:K,11,0)</f>
        <v>#N/A</v>
      </c>
      <c r="AB1818" s="4">
        <v>0</v>
      </c>
      <c r="AC1818" s="4" t="e">
        <f>VLOOKUP(Tabla1[[#This Row],[PAGO DIA]],DIAS!A:M,12,0)</f>
        <v>#N/A</v>
      </c>
      <c r="AD181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19" spans="1:30">
      <c r="A1819" s="3">
        <v>12218</v>
      </c>
      <c r="B1819" s="3" t="s">
        <v>1742</v>
      </c>
      <c r="C1819" s="3"/>
      <c r="D1819" s="3" t="s">
        <v>2303</v>
      </c>
      <c r="E1819" s="3"/>
      <c r="F1819" s="42"/>
      <c r="G1819" s="3"/>
      <c r="H1819" s="4">
        <v>0</v>
      </c>
      <c r="I1819" s="4" t="e">
        <f>VLOOKUP(Tabla1[[#This Row],[PAGO DIA]],DIAS!A:B,2,0)</f>
        <v>#N/A</v>
      </c>
      <c r="J1819" s="4">
        <v>0</v>
      </c>
      <c r="K1819" s="4" t="e">
        <f>VLOOKUP(Tabla1[[#This Row],[PAGO DIA]],DIAS!A:C,3,0)</f>
        <v>#N/A</v>
      </c>
      <c r="L1819" s="4">
        <v>0</v>
      </c>
      <c r="M1819" s="4" t="e">
        <f>VLOOKUP(Tabla1[[#This Row],[PAGO DIA]],DIAS!A:D,4,0)</f>
        <v>#N/A</v>
      </c>
      <c r="N1819" s="4">
        <v>0</v>
      </c>
      <c r="O1819" s="4" t="e">
        <f>VLOOKUP(Tabla1[[#This Row],[PAGO DIA]],DIAS!A:E,5,0)</f>
        <v>#N/A</v>
      </c>
      <c r="P1819" s="4">
        <v>0</v>
      </c>
      <c r="Q1819" s="4" t="e">
        <f>VLOOKUP(Tabla1[[#This Row],[PAGO DIA]],DIAS!A:F,6,0)</f>
        <v>#N/A</v>
      </c>
      <c r="R1819" s="4">
        <v>0</v>
      </c>
      <c r="S1819" s="4" t="e">
        <f>VLOOKUP(Tabla1[[#This Row],[PAGO DIA]],DIAS!A:G,7,0)</f>
        <v>#N/A</v>
      </c>
      <c r="T1819" s="4">
        <v>0</v>
      </c>
      <c r="U1819" s="4" t="e">
        <f>VLOOKUP(Tabla1[[#This Row],[PAGO DIA]],DIAS!A:H,8,0)</f>
        <v>#N/A</v>
      </c>
      <c r="V1819" s="4">
        <v>0</v>
      </c>
      <c r="W1819" s="4" t="e">
        <f>VLOOKUP(Tabla1[[#This Row],[PAGO DIA]],DIAS!A:I,9,0)</f>
        <v>#N/A</v>
      </c>
      <c r="X1819" s="4">
        <v>0</v>
      </c>
      <c r="Y1819" s="4" t="e">
        <f>VLOOKUP(Tabla1[[#This Row],[PAGO DIA]],DIAS!A:J,10,0)</f>
        <v>#N/A</v>
      </c>
      <c r="Z1819" s="4">
        <v>0</v>
      </c>
      <c r="AA1819" s="4" t="e">
        <f>VLOOKUP(Tabla1[[#This Row],[PAGO DIA]],DIAS!A:K,11,0)</f>
        <v>#N/A</v>
      </c>
      <c r="AB1819" s="4">
        <v>0</v>
      </c>
      <c r="AC1819" s="4" t="e">
        <f>VLOOKUP(Tabla1[[#This Row],[PAGO DIA]],DIAS!A:M,12,0)</f>
        <v>#N/A</v>
      </c>
      <c r="AD181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0" spans="1:30">
      <c r="A1820" s="3">
        <v>12219</v>
      </c>
      <c r="B1820" s="3" t="s">
        <v>557</v>
      </c>
      <c r="C1820" s="3"/>
      <c r="D1820" s="3" t="s">
        <v>2304</v>
      </c>
      <c r="E1820" s="3"/>
      <c r="F1820" s="42"/>
      <c r="G1820" s="3"/>
      <c r="H1820" s="4">
        <v>0</v>
      </c>
      <c r="I1820" s="4" t="e">
        <f>VLOOKUP(Tabla1[[#This Row],[PAGO DIA]],DIAS!A:B,2,0)</f>
        <v>#N/A</v>
      </c>
      <c r="J1820" s="4">
        <v>0</v>
      </c>
      <c r="K1820" s="4" t="e">
        <f>VLOOKUP(Tabla1[[#This Row],[PAGO DIA]],DIAS!A:C,3,0)</f>
        <v>#N/A</v>
      </c>
      <c r="L1820" s="4">
        <v>0</v>
      </c>
      <c r="M1820" s="4" t="e">
        <f>VLOOKUP(Tabla1[[#This Row],[PAGO DIA]],DIAS!A:D,4,0)</f>
        <v>#N/A</v>
      </c>
      <c r="N1820" s="4">
        <v>0</v>
      </c>
      <c r="O1820" s="4" t="e">
        <f>VLOOKUP(Tabla1[[#This Row],[PAGO DIA]],DIAS!A:E,5,0)</f>
        <v>#N/A</v>
      </c>
      <c r="P1820" s="4">
        <v>0</v>
      </c>
      <c r="Q1820" s="4" t="e">
        <f>VLOOKUP(Tabla1[[#This Row],[PAGO DIA]],DIAS!A:F,6,0)</f>
        <v>#N/A</v>
      </c>
      <c r="R1820" s="4">
        <v>0</v>
      </c>
      <c r="S1820" s="4" t="e">
        <f>VLOOKUP(Tabla1[[#This Row],[PAGO DIA]],DIAS!A:G,7,0)</f>
        <v>#N/A</v>
      </c>
      <c r="T1820" s="4">
        <v>0</v>
      </c>
      <c r="U1820" s="4" t="e">
        <f>VLOOKUP(Tabla1[[#This Row],[PAGO DIA]],DIAS!A:H,8,0)</f>
        <v>#N/A</v>
      </c>
      <c r="V1820" s="4">
        <v>0</v>
      </c>
      <c r="W1820" s="4" t="e">
        <f>VLOOKUP(Tabla1[[#This Row],[PAGO DIA]],DIAS!A:I,9,0)</f>
        <v>#N/A</v>
      </c>
      <c r="X1820" s="4">
        <v>0</v>
      </c>
      <c r="Y1820" s="4" t="e">
        <f>VLOOKUP(Tabla1[[#This Row],[PAGO DIA]],DIAS!A:J,10,0)</f>
        <v>#N/A</v>
      </c>
      <c r="Z1820" s="4">
        <v>0</v>
      </c>
      <c r="AA1820" s="4" t="e">
        <f>VLOOKUP(Tabla1[[#This Row],[PAGO DIA]],DIAS!A:K,11,0)</f>
        <v>#N/A</v>
      </c>
      <c r="AB1820" s="4">
        <v>0</v>
      </c>
      <c r="AC1820" s="4" t="e">
        <f>VLOOKUP(Tabla1[[#This Row],[PAGO DIA]],DIAS!A:M,12,0)</f>
        <v>#N/A</v>
      </c>
      <c r="AD182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1" spans="1:30">
      <c r="A1821" s="3">
        <v>12220</v>
      </c>
      <c r="B1821" s="3" t="s">
        <v>557</v>
      </c>
      <c r="C1821" s="3"/>
      <c r="D1821" s="3" t="s">
        <v>2305</v>
      </c>
      <c r="E1821" s="3"/>
      <c r="F1821" s="42"/>
      <c r="G1821" s="3"/>
      <c r="H1821" s="4">
        <v>0</v>
      </c>
      <c r="I1821" s="4" t="e">
        <f>VLOOKUP(Tabla1[[#This Row],[PAGO DIA]],DIAS!A:B,2,0)</f>
        <v>#N/A</v>
      </c>
      <c r="J1821" s="4">
        <v>0</v>
      </c>
      <c r="K1821" s="4" t="e">
        <f>VLOOKUP(Tabla1[[#This Row],[PAGO DIA]],DIAS!A:C,3,0)</f>
        <v>#N/A</v>
      </c>
      <c r="L1821" s="4">
        <v>0</v>
      </c>
      <c r="M1821" s="4" t="e">
        <f>VLOOKUP(Tabla1[[#This Row],[PAGO DIA]],DIAS!A:D,4,0)</f>
        <v>#N/A</v>
      </c>
      <c r="N1821" s="4">
        <v>0</v>
      </c>
      <c r="O1821" s="4" t="e">
        <f>VLOOKUP(Tabla1[[#This Row],[PAGO DIA]],DIAS!A:E,5,0)</f>
        <v>#N/A</v>
      </c>
      <c r="P1821" s="4">
        <v>0</v>
      </c>
      <c r="Q1821" s="4" t="e">
        <f>VLOOKUP(Tabla1[[#This Row],[PAGO DIA]],DIAS!A:F,6,0)</f>
        <v>#N/A</v>
      </c>
      <c r="R1821" s="4">
        <v>0</v>
      </c>
      <c r="S1821" s="4" t="e">
        <f>VLOOKUP(Tabla1[[#This Row],[PAGO DIA]],DIAS!A:G,7,0)</f>
        <v>#N/A</v>
      </c>
      <c r="T1821" s="4">
        <v>0</v>
      </c>
      <c r="U1821" s="4" t="e">
        <f>VLOOKUP(Tabla1[[#This Row],[PAGO DIA]],DIAS!A:H,8,0)</f>
        <v>#N/A</v>
      </c>
      <c r="V1821" s="4">
        <v>0</v>
      </c>
      <c r="W1821" s="4" t="e">
        <f>VLOOKUP(Tabla1[[#This Row],[PAGO DIA]],DIAS!A:I,9,0)</f>
        <v>#N/A</v>
      </c>
      <c r="X1821" s="4">
        <v>0</v>
      </c>
      <c r="Y1821" s="4" t="e">
        <f>VLOOKUP(Tabla1[[#This Row],[PAGO DIA]],DIAS!A:J,10,0)</f>
        <v>#N/A</v>
      </c>
      <c r="Z1821" s="4">
        <v>0</v>
      </c>
      <c r="AA1821" s="4" t="e">
        <f>VLOOKUP(Tabla1[[#This Row],[PAGO DIA]],DIAS!A:K,11,0)</f>
        <v>#N/A</v>
      </c>
      <c r="AB1821" s="4">
        <v>0</v>
      </c>
      <c r="AC1821" s="4" t="e">
        <f>VLOOKUP(Tabla1[[#This Row],[PAGO DIA]],DIAS!A:M,12,0)</f>
        <v>#N/A</v>
      </c>
      <c r="AD182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2" spans="1:30">
      <c r="A1822" s="3">
        <v>12221</v>
      </c>
      <c r="B1822" s="3" t="s">
        <v>557</v>
      </c>
      <c r="C1822" s="3"/>
      <c r="D1822" s="3" t="s">
        <v>2306</v>
      </c>
      <c r="E1822" s="3"/>
      <c r="F1822" s="42"/>
      <c r="G1822" s="3"/>
      <c r="H1822" s="4">
        <v>0</v>
      </c>
      <c r="I1822" s="4" t="e">
        <f>VLOOKUP(Tabla1[[#This Row],[PAGO DIA]],DIAS!A:B,2,0)</f>
        <v>#N/A</v>
      </c>
      <c r="J1822" s="4">
        <v>0</v>
      </c>
      <c r="K1822" s="4" t="e">
        <f>VLOOKUP(Tabla1[[#This Row],[PAGO DIA]],DIAS!A:C,3,0)</f>
        <v>#N/A</v>
      </c>
      <c r="L1822" s="4">
        <v>0</v>
      </c>
      <c r="M1822" s="4" t="e">
        <f>VLOOKUP(Tabla1[[#This Row],[PAGO DIA]],DIAS!A:D,4,0)</f>
        <v>#N/A</v>
      </c>
      <c r="N1822" s="4">
        <v>0</v>
      </c>
      <c r="O1822" s="4" t="e">
        <f>VLOOKUP(Tabla1[[#This Row],[PAGO DIA]],DIAS!A:E,5,0)</f>
        <v>#N/A</v>
      </c>
      <c r="P1822" s="4">
        <v>0</v>
      </c>
      <c r="Q1822" s="4" t="e">
        <f>VLOOKUP(Tabla1[[#This Row],[PAGO DIA]],DIAS!A:F,6,0)</f>
        <v>#N/A</v>
      </c>
      <c r="R1822" s="4">
        <v>0</v>
      </c>
      <c r="S1822" s="4" t="e">
        <f>VLOOKUP(Tabla1[[#This Row],[PAGO DIA]],DIAS!A:G,7,0)</f>
        <v>#N/A</v>
      </c>
      <c r="T1822" s="4">
        <v>0</v>
      </c>
      <c r="U1822" s="4" t="e">
        <f>VLOOKUP(Tabla1[[#This Row],[PAGO DIA]],DIAS!A:H,8,0)</f>
        <v>#N/A</v>
      </c>
      <c r="V1822" s="4">
        <v>0</v>
      </c>
      <c r="W1822" s="4" t="e">
        <f>VLOOKUP(Tabla1[[#This Row],[PAGO DIA]],DIAS!A:I,9,0)</f>
        <v>#N/A</v>
      </c>
      <c r="X1822" s="4">
        <v>0</v>
      </c>
      <c r="Y1822" s="4" t="e">
        <f>VLOOKUP(Tabla1[[#This Row],[PAGO DIA]],DIAS!A:J,10,0)</f>
        <v>#N/A</v>
      </c>
      <c r="Z1822" s="4">
        <v>0</v>
      </c>
      <c r="AA1822" s="4" t="e">
        <f>VLOOKUP(Tabla1[[#This Row],[PAGO DIA]],DIAS!A:K,11,0)</f>
        <v>#N/A</v>
      </c>
      <c r="AB1822" s="4">
        <v>0</v>
      </c>
      <c r="AC1822" s="4" t="e">
        <f>VLOOKUP(Tabla1[[#This Row],[PAGO DIA]],DIAS!A:M,12,0)</f>
        <v>#N/A</v>
      </c>
      <c r="AD182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3" spans="1:30">
      <c r="A1823" s="3">
        <v>12222</v>
      </c>
      <c r="B1823" s="3" t="s">
        <v>1748</v>
      </c>
      <c r="C1823" s="3"/>
      <c r="D1823" s="3" t="s">
        <v>2307</v>
      </c>
      <c r="E1823" s="3"/>
      <c r="F1823" s="42"/>
      <c r="G1823" s="3"/>
      <c r="H1823" s="4">
        <v>0</v>
      </c>
      <c r="I1823" s="4" t="e">
        <f>VLOOKUP(Tabla1[[#This Row],[PAGO DIA]],DIAS!A:B,2,0)</f>
        <v>#N/A</v>
      </c>
      <c r="J1823" s="4">
        <v>0</v>
      </c>
      <c r="K1823" s="4" t="e">
        <f>VLOOKUP(Tabla1[[#This Row],[PAGO DIA]],DIAS!A:C,3,0)</f>
        <v>#N/A</v>
      </c>
      <c r="L1823" s="4">
        <v>0</v>
      </c>
      <c r="M1823" s="4" t="e">
        <f>VLOOKUP(Tabla1[[#This Row],[PAGO DIA]],DIAS!A:D,4,0)</f>
        <v>#N/A</v>
      </c>
      <c r="N1823" s="4">
        <v>0</v>
      </c>
      <c r="O1823" s="4" t="e">
        <f>VLOOKUP(Tabla1[[#This Row],[PAGO DIA]],DIAS!A:E,5,0)</f>
        <v>#N/A</v>
      </c>
      <c r="P1823" s="4">
        <v>0</v>
      </c>
      <c r="Q1823" s="4" t="e">
        <f>VLOOKUP(Tabla1[[#This Row],[PAGO DIA]],DIAS!A:F,6,0)</f>
        <v>#N/A</v>
      </c>
      <c r="R1823" s="4">
        <v>0</v>
      </c>
      <c r="S1823" s="4" t="e">
        <f>VLOOKUP(Tabla1[[#This Row],[PAGO DIA]],DIAS!A:G,7,0)</f>
        <v>#N/A</v>
      </c>
      <c r="T1823" s="4">
        <v>0</v>
      </c>
      <c r="U1823" s="4" t="e">
        <f>VLOOKUP(Tabla1[[#This Row],[PAGO DIA]],DIAS!A:H,8,0)</f>
        <v>#N/A</v>
      </c>
      <c r="V1823" s="4">
        <v>0</v>
      </c>
      <c r="W1823" s="4" t="e">
        <f>VLOOKUP(Tabla1[[#This Row],[PAGO DIA]],DIAS!A:I,9,0)</f>
        <v>#N/A</v>
      </c>
      <c r="X1823" s="4">
        <v>0</v>
      </c>
      <c r="Y1823" s="4" t="e">
        <f>VLOOKUP(Tabla1[[#This Row],[PAGO DIA]],DIAS!A:J,10,0)</f>
        <v>#N/A</v>
      </c>
      <c r="Z1823" s="4">
        <v>0</v>
      </c>
      <c r="AA1823" s="4" t="e">
        <f>VLOOKUP(Tabla1[[#This Row],[PAGO DIA]],DIAS!A:K,11,0)</f>
        <v>#N/A</v>
      </c>
      <c r="AB1823" s="4">
        <v>0</v>
      </c>
      <c r="AC1823" s="4" t="e">
        <f>VLOOKUP(Tabla1[[#This Row],[PAGO DIA]],DIAS!A:M,12,0)</f>
        <v>#N/A</v>
      </c>
      <c r="AD182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4" spans="1:30">
      <c r="A1824" s="3">
        <v>12223</v>
      </c>
      <c r="B1824" s="3" t="s">
        <v>1748</v>
      </c>
      <c r="C1824" s="3"/>
      <c r="D1824" s="3" t="s">
        <v>2308</v>
      </c>
      <c r="E1824" s="3"/>
      <c r="F1824" s="42"/>
      <c r="G1824" s="3"/>
      <c r="H1824" s="4">
        <v>0</v>
      </c>
      <c r="I1824" s="4" t="e">
        <f>VLOOKUP(Tabla1[[#This Row],[PAGO DIA]],DIAS!A:B,2,0)</f>
        <v>#N/A</v>
      </c>
      <c r="J1824" s="4">
        <v>0</v>
      </c>
      <c r="K1824" s="4" t="e">
        <f>VLOOKUP(Tabla1[[#This Row],[PAGO DIA]],DIAS!A:C,3,0)</f>
        <v>#N/A</v>
      </c>
      <c r="L1824" s="4">
        <v>0</v>
      </c>
      <c r="M1824" s="4" t="e">
        <f>VLOOKUP(Tabla1[[#This Row],[PAGO DIA]],DIAS!A:D,4,0)</f>
        <v>#N/A</v>
      </c>
      <c r="N1824" s="4">
        <v>0</v>
      </c>
      <c r="O1824" s="4" t="e">
        <f>VLOOKUP(Tabla1[[#This Row],[PAGO DIA]],DIAS!A:E,5,0)</f>
        <v>#N/A</v>
      </c>
      <c r="P1824" s="4">
        <v>0</v>
      </c>
      <c r="Q1824" s="4" t="e">
        <f>VLOOKUP(Tabla1[[#This Row],[PAGO DIA]],DIAS!A:F,6,0)</f>
        <v>#N/A</v>
      </c>
      <c r="R1824" s="4">
        <v>0</v>
      </c>
      <c r="S1824" s="4" t="e">
        <f>VLOOKUP(Tabla1[[#This Row],[PAGO DIA]],DIAS!A:G,7,0)</f>
        <v>#N/A</v>
      </c>
      <c r="T1824" s="4">
        <v>0</v>
      </c>
      <c r="U1824" s="4" t="e">
        <f>VLOOKUP(Tabla1[[#This Row],[PAGO DIA]],DIAS!A:H,8,0)</f>
        <v>#N/A</v>
      </c>
      <c r="V1824" s="4">
        <v>0</v>
      </c>
      <c r="W1824" s="4" t="e">
        <f>VLOOKUP(Tabla1[[#This Row],[PAGO DIA]],DIAS!A:I,9,0)</f>
        <v>#N/A</v>
      </c>
      <c r="X1824" s="4">
        <v>0</v>
      </c>
      <c r="Y1824" s="4" t="e">
        <f>VLOOKUP(Tabla1[[#This Row],[PAGO DIA]],DIAS!A:J,10,0)</f>
        <v>#N/A</v>
      </c>
      <c r="Z1824" s="4">
        <v>0</v>
      </c>
      <c r="AA1824" s="4" t="e">
        <f>VLOOKUP(Tabla1[[#This Row],[PAGO DIA]],DIAS!A:K,11,0)</f>
        <v>#N/A</v>
      </c>
      <c r="AB1824" s="4">
        <v>0</v>
      </c>
      <c r="AC1824" s="4" t="e">
        <f>VLOOKUP(Tabla1[[#This Row],[PAGO DIA]],DIAS!A:M,12,0)</f>
        <v>#N/A</v>
      </c>
      <c r="AD182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5" spans="1:30">
      <c r="A1825" s="3">
        <v>12224</v>
      </c>
      <c r="B1825" s="3" t="s">
        <v>1748</v>
      </c>
      <c r="C1825" s="3"/>
      <c r="D1825" s="3" t="s">
        <v>2309</v>
      </c>
      <c r="E1825" s="3"/>
      <c r="F1825" s="42"/>
      <c r="G1825" s="3"/>
      <c r="H1825" s="4">
        <v>0</v>
      </c>
      <c r="I1825" s="4" t="e">
        <f>VLOOKUP(Tabla1[[#This Row],[PAGO DIA]],DIAS!A:B,2,0)</f>
        <v>#N/A</v>
      </c>
      <c r="J1825" s="4">
        <v>0</v>
      </c>
      <c r="K1825" s="4" t="e">
        <f>VLOOKUP(Tabla1[[#This Row],[PAGO DIA]],DIAS!A:C,3,0)</f>
        <v>#N/A</v>
      </c>
      <c r="L1825" s="4">
        <v>0</v>
      </c>
      <c r="M1825" s="4" t="e">
        <f>VLOOKUP(Tabla1[[#This Row],[PAGO DIA]],DIAS!A:D,4,0)</f>
        <v>#N/A</v>
      </c>
      <c r="N1825" s="4">
        <v>0</v>
      </c>
      <c r="O1825" s="4" t="e">
        <f>VLOOKUP(Tabla1[[#This Row],[PAGO DIA]],DIAS!A:E,5,0)</f>
        <v>#N/A</v>
      </c>
      <c r="P1825" s="4">
        <v>0</v>
      </c>
      <c r="Q1825" s="4" t="e">
        <f>VLOOKUP(Tabla1[[#This Row],[PAGO DIA]],DIAS!A:F,6,0)</f>
        <v>#N/A</v>
      </c>
      <c r="R1825" s="4">
        <v>0</v>
      </c>
      <c r="S1825" s="4" t="e">
        <f>VLOOKUP(Tabla1[[#This Row],[PAGO DIA]],DIAS!A:G,7,0)</f>
        <v>#N/A</v>
      </c>
      <c r="T1825" s="4">
        <v>0</v>
      </c>
      <c r="U1825" s="4" t="e">
        <f>VLOOKUP(Tabla1[[#This Row],[PAGO DIA]],DIAS!A:H,8,0)</f>
        <v>#N/A</v>
      </c>
      <c r="V1825" s="4">
        <v>0</v>
      </c>
      <c r="W1825" s="4" t="e">
        <f>VLOOKUP(Tabla1[[#This Row],[PAGO DIA]],DIAS!A:I,9,0)</f>
        <v>#N/A</v>
      </c>
      <c r="X1825" s="4">
        <v>0</v>
      </c>
      <c r="Y1825" s="4" t="e">
        <f>VLOOKUP(Tabla1[[#This Row],[PAGO DIA]],DIAS!A:J,10,0)</f>
        <v>#N/A</v>
      </c>
      <c r="Z1825" s="4">
        <v>0</v>
      </c>
      <c r="AA1825" s="4" t="e">
        <f>VLOOKUP(Tabla1[[#This Row],[PAGO DIA]],DIAS!A:K,11,0)</f>
        <v>#N/A</v>
      </c>
      <c r="AB1825" s="4">
        <v>0</v>
      </c>
      <c r="AC1825" s="4" t="e">
        <f>VLOOKUP(Tabla1[[#This Row],[PAGO DIA]],DIAS!A:M,12,0)</f>
        <v>#N/A</v>
      </c>
      <c r="AD182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6" spans="1:30">
      <c r="A1826" s="3">
        <v>12226</v>
      </c>
      <c r="B1826" s="3" t="s">
        <v>1750</v>
      </c>
      <c r="C1826" s="3"/>
      <c r="D1826" s="3" t="s">
        <v>2310</v>
      </c>
      <c r="E1826" s="3"/>
      <c r="F1826" s="42"/>
      <c r="G1826" s="3"/>
      <c r="H1826" s="4">
        <v>0</v>
      </c>
      <c r="I1826" s="4" t="e">
        <f>VLOOKUP(Tabla1[[#This Row],[PAGO DIA]],DIAS!A:B,2,0)</f>
        <v>#N/A</v>
      </c>
      <c r="J1826" s="4">
        <v>0</v>
      </c>
      <c r="K1826" s="4" t="e">
        <f>VLOOKUP(Tabla1[[#This Row],[PAGO DIA]],DIAS!A:C,3,0)</f>
        <v>#N/A</v>
      </c>
      <c r="L1826" s="4">
        <v>0</v>
      </c>
      <c r="M1826" s="4" t="e">
        <f>VLOOKUP(Tabla1[[#This Row],[PAGO DIA]],DIAS!A:D,4,0)</f>
        <v>#N/A</v>
      </c>
      <c r="N1826" s="4">
        <v>0</v>
      </c>
      <c r="O1826" s="4" t="e">
        <f>VLOOKUP(Tabla1[[#This Row],[PAGO DIA]],DIAS!A:E,5,0)</f>
        <v>#N/A</v>
      </c>
      <c r="P1826" s="4">
        <v>0</v>
      </c>
      <c r="Q1826" s="4" t="e">
        <f>VLOOKUP(Tabla1[[#This Row],[PAGO DIA]],DIAS!A:F,6,0)</f>
        <v>#N/A</v>
      </c>
      <c r="R1826" s="4">
        <v>0</v>
      </c>
      <c r="S1826" s="4" t="e">
        <f>VLOOKUP(Tabla1[[#This Row],[PAGO DIA]],DIAS!A:G,7,0)</f>
        <v>#N/A</v>
      </c>
      <c r="T1826" s="4">
        <v>0</v>
      </c>
      <c r="U1826" s="4" t="e">
        <f>VLOOKUP(Tabla1[[#This Row],[PAGO DIA]],DIAS!A:H,8,0)</f>
        <v>#N/A</v>
      </c>
      <c r="V1826" s="4">
        <v>0</v>
      </c>
      <c r="W1826" s="4" t="e">
        <f>VLOOKUP(Tabla1[[#This Row],[PAGO DIA]],DIAS!A:I,9,0)</f>
        <v>#N/A</v>
      </c>
      <c r="X1826" s="4">
        <v>0</v>
      </c>
      <c r="Y1826" s="4" t="e">
        <f>VLOOKUP(Tabla1[[#This Row],[PAGO DIA]],DIAS!A:J,10,0)</f>
        <v>#N/A</v>
      </c>
      <c r="Z1826" s="4">
        <v>0</v>
      </c>
      <c r="AA1826" s="4" t="e">
        <f>VLOOKUP(Tabla1[[#This Row],[PAGO DIA]],DIAS!A:K,11,0)</f>
        <v>#N/A</v>
      </c>
      <c r="AB1826" s="4">
        <v>0</v>
      </c>
      <c r="AC1826" s="4" t="e">
        <f>VLOOKUP(Tabla1[[#This Row],[PAGO DIA]],DIAS!A:M,12,0)</f>
        <v>#N/A</v>
      </c>
      <c r="AD182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7" spans="1:30">
      <c r="A1827" s="3">
        <v>12230</v>
      </c>
      <c r="B1827" s="3" t="s">
        <v>534</v>
      </c>
      <c r="C1827" s="3"/>
      <c r="D1827" s="3" t="s">
        <v>2311</v>
      </c>
      <c r="E1827" s="3"/>
      <c r="F1827" s="42"/>
      <c r="G1827" s="3"/>
      <c r="H1827" s="4">
        <v>0</v>
      </c>
      <c r="I1827" s="4" t="e">
        <f>VLOOKUP(Tabla1[[#This Row],[PAGO DIA]],DIAS!A:B,2,0)</f>
        <v>#N/A</v>
      </c>
      <c r="J1827" s="4">
        <v>0</v>
      </c>
      <c r="K1827" s="4" t="e">
        <f>VLOOKUP(Tabla1[[#This Row],[PAGO DIA]],DIAS!A:C,3,0)</f>
        <v>#N/A</v>
      </c>
      <c r="L1827" s="4">
        <v>0</v>
      </c>
      <c r="M1827" s="4" t="e">
        <f>VLOOKUP(Tabla1[[#This Row],[PAGO DIA]],DIAS!A:D,4,0)</f>
        <v>#N/A</v>
      </c>
      <c r="N1827" s="4">
        <v>0</v>
      </c>
      <c r="O1827" s="4" t="e">
        <f>VLOOKUP(Tabla1[[#This Row],[PAGO DIA]],DIAS!A:E,5,0)</f>
        <v>#N/A</v>
      </c>
      <c r="P1827" s="4">
        <v>0</v>
      </c>
      <c r="Q1827" s="4" t="e">
        <f>VLOOKUP(Tabla1[[#This Row],[PAGO DIA]],DIAS!A:F,6,0)</f>
        <v>#N/A</v>
      </c>
      <c r="R1827" s="4">
        <v>0</v>
      </c>
      <c r="S1827" s="4" t="e">
        <f>VLOOKUP(Tabla1[[#This Row],[PAGO DIA]],DIAS!A:G,7,0)</f>
        <v>#N/A</v>
      </c>
      <c r="T1827" s="4">
        <v>0</v>
      </c>
      <c r="U1827" s="4" t="e">
        <f>VLOOKUP(Tabla1[[#This Row],[PAGO DIA]],DIAS!A:H,8,0)</f>
        <v>#N/A</v>
      </c>
      <c r="V1827" s="4">
        <v>0</v>
      </c>
      <c r="W1827" s="4" t="e">
        <f>VLOOKUP(Tabla1[[#This Row],[PAGO DIA]],DIAS!A:I,9,0)</f>
        <v>#N/A</v>
      </c>
      <c r="X1827" s="4">
        <v>0</v>
      </c>
      <c r="Y1827" s="4" t="e">
        <f>VLOOKUP(Tabla1[[#This Row],[PAGO DIA]],DIAS!A:J,10,0)</f>
        <v>#N/A</v>
      </c>
      <c r="Z1827" s="4">
        <v>0</v>
      </c>
      <c r="AA1827" s="4" t="e">
        <f>VLOOKUP(Tabla1[[#This Row],[PAGO DIA]],DIAS!A:K,11,0)</f>
        <v>#N/A</v>
      </c>
      <c r="AB1827" s="4">
        <v>0</v>
      </c>
      <c r="AC1827" s="4" t="e">
        <f>VLOOKUP(Tabla1[[#This Row],[PAGO DIA]],DIAS!A:M,12,0)</f>
        <v>#N/A</v>
      </c>
      <c r="AD182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8" spans="1:30">
      <c r="A1828" s="3">
        <v>12231</v>
      </c>
      <c r="B1828" s="3" t="s">
        <v>534</v>
      </c>
      <c r="C1828" s="3"/>
      <c r="D1828" s="3" t="s">
        <v>2312</v>
      </c>
      <c r="E1828" s="3"/>
      <c r="F1828" s="42"/>
      <c r="G1828" s="3"/>
      <c r="H1828" s="4">
        <v>0</v>
      </c>
      <c r="I1828" s="4" t="e">
        <f>VLOOKUP(Tabla1[[#This Row],[PAGO DIA]],DIAS!A:B,2,0)</f>
        <v>#N/A</v>
      </c>
      <c r="J1828" s="4">
        <v>0</v>
      </c>
      <c r="K1828" s="4" t="e">
        <f>VLOOKUP(Tabla1[[#This Row],[PAGO DIA]],DIAS!A:C,3,0)</f>
        <v>#N/A</v>
      </c>
      <c r="L1828" s="4">
        <v>0</v>
      </c>
      <c r="M1828" s="4" t="e">
        <f>VLOOKUP(Tabla1[[#This Row],[PAGO DIA]],DIAS!A:D,4,0)</f>
        <v>#N/A</v>
      </c>
      <c r="N1828" s="4">
        <v>0</v>
      </c>
      <c r="O1828" s="4" t="e">
        <f>VLOOKUP(Tabla1[[#This Row],[PAGO DIA]],DIAS!A:E,5,0)</f>
        <v>#N/A</v>
      </c>
      <c r="P1828" s="4">
        <v>0</v>
      </c>
      <c r="Q1828" s="4" t="e">
        <f>VLOOKUP(Tabla1[[#This Row],[PAGO DIA]],DIAS!A:F,6,0)</f>
        <v>#N/A</v>
      </c>
      <c r="R1828" s="4">
        <v>0</v>
      </c>
      <c r="S1828" s="4" t="e">
        <f>VLOOKUP(Tabla1[[#This Row],[PAGO DIA]],DIAS!A:G,7,0)</f>
        <v>#N/A</v>
      </c>
      <c r="T1828" s="4">
        <v>0</v>
      </c>
      <c r="U1828" s="4" t="e">
        <f>VLOOKUP(Tabla1[[#This Row],[PAGO DIA]],DIAS!A:H,8,0)</f>
        <v>#N/A</v>
      </c>
      <c r="V1828" s="4">
        <v>0</v>
      </c>
      <c r="W1828" s="4" t="e">
        <f>VLOOKUP(Tabla1[[#This Row],[PAGO DIA]],DIAS!A:I,9,0)</f>
        <v>#N/A</v>
      </c>
      <c r="X1828" s="4">
        <v>0</v>
      </c>
      <c r="Y1828" s="4" t="e">
        <f>VLOOKUP(Tabla1[[#This Row],[PAGO DIA]],DIAS!A:J,10,0)</f>
        <v>#N/A</v>
      </c>
      <c r="Z1828" s="4">
        <v>0</v>
      </c>
      <c r="AA1828" s="4" t="e">
        <f>VLOOKUP(Tabla1[[#This Row],[PAGO DIA]],DIAS!A:K,11,0)</f>
        <v>#N/A</v>
      </c>
      <c r="AB1828" s="4">
        <v>0</v>
      </c>
      <c r="AC1828" s="4" t="e">
        <f>VLOOKUP(Tabla1[[#This Row],[PAGO DIA]],DIAS!A:M,12,0)</f>
        <v>#N/A</v>
      </c>
      <c r="AD182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29" spans="1:30">
      <c r="A1829" s="3">
        <v>12232</v>
      </c>
      <c r="B1829" s="3" t="s">
        <v>538</v>
      </c>
      <c r="C1829" s="3"/>
      <c r="D1829" s="3" t="s">
        <v>2313</v>
      </c>
      <c r="E1829" s="3"/>
      <c r="F1829" s="42"/>
      <c r="G1829" s="3"/>
      <c r="H1829" s="4">
        <v>0</v>
      </c>
      <c r="I1829" s="4" t="e">
        <f>VLOOKUP(Tabla1[[#This Row],[PAGO DIA]],DIAS!A:B,2,0)</f>
        <v>#N/A</v>
      </c>
      <c r="J1829" s="4">
        <v>0</v>
      </c>
      <c r="K1829" s="4" t="e">
        <f>VLOOKUP(Tabla1[[#This Row],[PAGO DIA]],DIAS!A:C,3,0)</f>
        <v>#N/A</v>
      </c>
      <c r="L1829" s="4">
        <v>0</v>
      </c>
      <c r="M1829" s="4" t="e">
        <f>VLOOKUP(Tabla1[[#This Row],[PAGO DIA]],DIAS!A:D,4,0)</f>
        <v>#N/A</v>
      </c>
      <c r="N1829" s="4">
        <v>0</v>
      </c>
      <c r="O1829" s="4" t="e">
        <f>VLOOKUP(Tabla1[[#This Row],[PAGO DIA]],DIAS!A:E,5,0)</f>
        <v>#N/A</v>
      </c>
      <c r="P1829" s="4">
        <v>0</v>
      </c>
      <c r="Q1829" s="4" t="e">
        <f>VLOOKUP(Tabla1[[#This Row],[PAGO DIA]],DIAS!A:F,6,0)</f>
        <v>#N/A</v>
      </c>
      <c r="R1829" s="4">
        <v>0</v>
      </c>
      <c r="S1829" s="4" t="e">
        <f>VLOOKUP(Tabla1[[#This Row],[PAGO DIA]],DIAS!A:G,7,0)</f>
        <v>#N/A</v>
      </c>
      <c r="T1829" s="4">
        <v>0</v>
      </c>
      <c r="U1829" s="4" t="e">
        <f>VLOOKUP(Tabla1[[#This Row],[PAGO DIA]],DIAS!A:H,8,0)</f>
        <v>#N/A</v>
      </c>
      <c r="V1829" s="4">
        <v>0</v>
      </c>
      <c r="W1829" s="4" t="e">
        <f>VLOOKUP(Tabla1[[#This Row],[PAGO DIA]],DIAS!A:I,9,0)</f>
        <v>#N/A</v>
      </c>
      <c r="X1829" s="4">
        <v>0</v>
      </c>
      <c r="Y1829" s="4" t="e">
        <f>VLOOKUP(Tabla1[[#This Row],[PAGO DIA]],DIAS!A:J,10,0)</f>
        <v>#N/A</v>
      </c>
      <c r="Z1829" s="4">
        <v>0</v>
      </c>
      <c r="AA1829" s="4" t="e">
        <f>VLOOKUP(Tabla1[[#This Row],[PAGO DIA]],DIAS!A:K,11,0)</f>
        <v>#N/A</v>
      </c>
      <c r="AB1829" s="4">
        <v>0</v>
      </c>
      <c r="AC1829" s="4" t="e">
        <f>VLOOKUP(Tabla1[[#This Row],[PAGO DIA]],DIAS!A:M,12,0)</f>
        <v>#N/A</v>
      </c>
      <c r="AD182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0" spans="1:30">
      <c r="A1830" s="3">
        <v>12237</v>
      </c>
      <c r="B1830" s="3" t="s">
        <v>538</v>
      </c>
      <c r="C1830" s="3"/>
      <c r="D1830" s="3" t="s">
        <v>2314</v>
      </c>
      <c r="E1830" s="3"/>
      <c r="F1830" s="42"/>
      <c r="G1830" s="3"/>
      <c r="H1830" s="4">
        <v>0</v>
      </c>
      <c r="I1830" s="4" t="e">
        <f>VLOOKUP(Tabla1[[#This Row],[PAGO DIA]],DIAS!A:B,2,0)</f>
        <v>#N/A</v>
      </c>
      <c r="J1830" s="4">
        <v>0</v>
      </c>
      <c r="K1830" s="4" t="e">
        <f>VLOOKUP(Tabla1[[#This Row],[PAGO DIA]],DIAS!A:C,3,0)</f>
        <v>#N/A</v>
      </c>
      <c r="L1830" s="4">
        <v>0</v>
      </c>
      <c r="M1830" s="4" t="e">
        <f>VLOOKUP(Tabla1[[#This Row],[PAGO DIA]],DIAS!A:D,4,0)</f>
        <v>#N/A</v>
      </c>
      <c r="N1830" s="4">
        <v>0</v>
      </c>
      <c r="O1830" s="4" t="e">
        <f>VLOOKUP(Tabla1[[#This Row],[PAGO DIA]],DIAS!A:E,5,0)</f>
        <v>#N/A</v>
      </c>
      <c r="P1830" s="4">
        <v>0</v>
      </c>
      <c r="Q1830" s="4" t="e">
        <f>VLOOKUP(Tabla1[[#This Row],[PAGO DIA]],DIAS!A:F,6,0)</f>
        <v>#N/A</v>
      </c>
      <c r="R1830" s="4">
        <v>0</v>
      </c>
      <c r="S1830" s="4" t="e">
        <f>VLOOKUP(Tabla1[[#This Row],[PAGO DIA]],DIAS!A:G,7,0)</f>
        <v>#N/A</v>
      </c>
      <c r="T1830" s="4">
        <v>0</v>
      </c>
      <c r="U1830" s="4" t="e">
        <f>VLOOKUP(Tabla1[[#This Row],[PAGO DIA]],DIAS!A:H,8,0)</f>
        <v>#N/A</v>
      </c>
      <c r="V1830" s="4">
        <v>0</v>
      </c>
      <c r="W1830" s="4" t="e">
        <f>VLOOKUP(Tabla1[[#This Row],[PAGO DIA]],DIAS!A:I,9,0)</f>
        <v>#N/A</v>
      </c>
      <c r="X1830" s="4">
        <v>0</v>
      </c>
      <c r="Y1830" s="4" t="e">
        <f>VLOOKUP(Tabla1[[#This Row],[PAGO DIA]],DIAS!A:J,10,0)</f>
        <v>#N/A</v>
      </c>
      <c r="Z1830" s="4">
        <v>0</v>
      </c>
      <c r="AA1830" s="4" t="e">
        <f>VLOOKUP(Tabla1[[#This Row],[PAGO DIA]],DIAS!A:K,11,0)</f>
        <v>#N/A</v>
      </c>
      <c r="AB1830" s="4">
        <v>0</v>
      </c>
      <c r="AC1830" s="4" t="e">
        <f>VLOOKUP(Tabla1[[#This Row],[PAGO DIA]],DIAS!A:M,12,0)</f>
        <v>#N/A</v>
      </c>
      <c r="AD183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1" spans="1:30">
      <c r="A1831" s="3">
        <v>12238</v>
      </c>
      <c r="B1831" s="3" t="s">
        <v>538</v>
      </c>
      <c r="C1831" s="3"/>
      <c r="D1831" s="3" t="s">
        <v>2315</v>
      </c>
      <c r="E1831" s="3"/>
      <c r="F1831" s="42"/>
      <c r="G1831" s="3"/>
      <c r="H1831" s="4">
        <v>0</v>
      </c>
      <c r="I1831" s="4" t="e">
        <f>VLOOKUP(Tabla1[[#This Row],[PAGO DIA]],DIAS!A:B,2,0)</f>
        <v>#N/A</v>
      </c>
      <c r="J1831" s="4">
        <v>0</v>
      </c>
      <c r="K1831" s="4" t="e">
        <f>VLOOKUP(Tabla1[[#This Row],[PAGO DIA]],DIAS!A:C,3,0)</f>
        <v>#N/A</v>
      </c>
      <c r="L1831" s="4">
        <v>0</v>
      </c>
      <c r="M1831" s="4" t="e">
        <f>VLOOKUP(Tabla1[[#This Row],[PAGO DIA]],DIAS!A:D,4,0)</f>
        <v>#N/A</v>
      </c>
      <c r="N1831" s="4">
        <v>0</v>
      </c>
      <c r="O1831" s="4" t="e">
        <f>VLOOKUP(Tabla1[[#This Row],[PAGO DIA]],DIAS!A:E,5,0)</f>
        <v>#N/A</v>
      </c>
      <c r="P1831" s="4">
        <v>0</v>
      </c>
      <c r="Q1831" s="4" t="e">
        <f>VLOOKUP(Tabla1[[#This Row],[PAGO DIA]],DIAS!A:F,6,0)</f>
        <v>#N/A</v>
      </c>
      <c r="R1831" s="4">
        <v>0</v>
      </c>
      <c r="S1831" s="4" t="e">
        <f>VLOOKUP(Tabla1[[#This Row],[PAGO DIA]],DIAS!A:G,7,0)</f>
        <v>#N/A</v>
      </c>
      <c r="T1831" s="4">
        <v>0</v>
      </c>
      <c r="U1831" s="4" t="e">
        <f>VLOOKUP(Tabla1[[#This Row],[PAGO DIA]],DIAS!A:H,8,0)</f>
        <v>#N/A</v>
      </c>
      <c r="V1831" s="4">
        <v>0</v>
      </c>
      <c r="W1831" s="4" t="e">
        <f>VLOOKUP(Tabla1[[#This Row],[PAGO DIA]],DIAS!A:I,9,0)</f>
        <v>#N/A</v>
      </c>
      <c r="X1831" s="4">
        <v>0</v>
      </c>
      <c r="Y1831" s="4" t="e">
        <f>VLOOKUP(Tabla1[[#This Row],[PAGO DIA]],DIAS!A:J,10,0)</f>
        <v>#N/A</v>
      </c>
      <c r="Z1831" s="4">
        <v>0</v>
      </c>
      <c r="AA1831" s="4" t="e">
        <f>VLOOKUP(Tabla1[[#This Row],[PAGO DIA]],DIAS!A:K,11,0)</f>
        <v>#N/A</v>
      </c>
      <c r="AB1831" s="4">
        <v>0</v>
      </c>
      <c r="AC1831" s="4" t="e">
        <f>VLOOKUP(Tabla1[[#This Row],[PAGO DIA]],DIAS!A:M,12,0)</f>
        <v>#N/A</v>
      </c>
      <c r="AD183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2" spans="1:30">
      <c r="A1832" s="3">
        <v>12241</v>
      </c>
      <c r="B1832" s="3" t="s">
        <v>538</v>
      </c>
      <c r="C1832" s="3"/>
      <c r="D1832" s="3" t="s">
        <v>2316</v>
      </c>
      <c r="E1832" s="3"/>
      <c r="F1832" s="42"/>
      <c r="G1832" s="3"/>
      <c r="H1832" s="4">
        <v>0</v>
      </c>
      <c r="I1832" s="4" t="e">
        <f>VLOOKUP(Tabla1[[#This Row],[PAGO DIA]],DIAS!A:B,2,0)</f>
        <v>#N/A</v>
      </c>
      <c r="J1832" s="4">
        <v>0</v>
      </c>
      <c r="K1832" s="4" t="e">
        <f>VLOOKUP(Tabla1[[#This Row],[PAGO DIA]],DIAS!A:C,3,0)</f>
        <v>#N/A</v>
      </c>
      <c r="L1832" s="4">
        <v>0</v>
      </c>
      <c r="M1832" s="4" t="e">
        <f>VLOOKUP(Tabla1[[#This Row],[PAGO DIA]],DIAS!A:D,4,0)</f>
        <v>#N/A</v>
      </c>
      <c r="N1832" s="4">
        <v>0</v>
      </c>
      <c r="O1832" s="4" t="e">
        <f>VLOOKUP(Tabla1[[#This Row],[PAGO DIA]],DIAS!A:E,5,0)</f>
        <v>#N/A</v>
      </c>
      <c r="P1832" s="4">
        <v>0</v>
      </c>
      <c r="Q1832" s="4" t="e">
        <f>VLOOKUP(Tabla1[[#This Row],[PAGO DIA]],DIAS!A:F,6,0)</f>
        <v>#N/A</v>
      </c>
      <c r="R1832" s="4">
        <v>0</v>
      </c>
      <c r="S1832" s="4" t="e">
        <f>VLOOKUP(Tabla1[[#This Row],[PAGO DIA]],DIAS!A:G,7,0)</f>
        <v>#N/A</v>
      </c>
      <c r="T1832" s="4">
        <v>0</v>
      </c>
      <c r="U1832" s="4" t="e">
        <f>VLOOKUP(Tabla1[[#This Row],[PAGO DIA]],DIAS!A:H,8,0)</f>
        <v>#N/A</v>
      </c>
      <c r="V1832" s="4">
        <v>0</v>
      </c>
      <c r="W1832" s="4" t="e">
        <f>VLOOKUP(Tabla1[[#This Row],[PAGO DIA]],DIAS!A:I,9,0)</f>
        <v>#N/A</v>
      </c>
      <c r="X1832" s="4">
        <v>0</v>
      </c>
      <c r="Y1832" s="4" t="e">
        <f>VLOOKUP(Tabla1[[#This Row],[PAGO DIA]],DIAS!A:J,10,0)</f>
        <v>#N/A</v>
      </c>
      <c r="Z1832" s="4">
        <v>0</v>
      </c>
      <c r="AA1832" s="4" t="e">
        <f>VLOOKUP(Tabla1[[#This Row],[PAGO DIA]],DIAS!A:K,11,0)</f>
        <v>#N/A</v>
      </c>
      <c r="AB1832" s="4">
        <v>0</v>
      </c>
      <c r="AC1832" s="4" t="e">
        <f>VLOOKUP(Tabla1[[#This Row],[PAGO DIA]],DIAS!A:M,12,0)</f>
        <v>#N/A</v>
      </c>
      <c r="AD183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3" spans="1:30">
      <c r="A1833" s="3">
        <v>12260</v>
      </c>
      <c r="B1833" s="3" t="s">
        <v>504</v>
      </c>
      <c r="C1833" s="3"/>
      <c r="D1833" s="3" t="s">
        <v>2317</v>
      </c>
      <c r="E1833" s="3"/>
      <c r="F1833" s="42"/>
      <c r="G1833" s="3"/>
      <c r="H1833" s="4">
        <v>0</v>
      </c>
      <c r="I1833" s="4" t="e">
        <f>VLOOKUP(Tabla1[[#This Row],[PAGO DIA]],DIAS!A:B,2,0)</f>
        <v>#N/A</v>
      </c>
      <c r="J1833" s="4">
        <v>0</v>
      </c>
      <c r="K1833" s="4" t="e">
        <f>VLOOKUP(Tabla1[[#This Row],[PAGO DIA]],DIAS!A:C,3,0)</f>
        <v>#N/A</v>
      </c>
      <c r="L1833" s="4">
        <v>0</v>
      </c>
      <c r="M1833" s="4" t="e">
        <f>VLOOKUP(Tabla1[[#This Row],[PAGO DIA]],DIAS!A:D,4,0)</f>
        <v>#N/A</v>
      </c>
      <c r="N1833" s="4">
        <v>0</v>
      </c>
      <c r="O1833" s="4" t="e">
        <f>VLOOKUP(Tabla1[[#This Row],[PAGO DIA]],DIAS!A:E,5,0)</f>
        <v>#N/A</v>
      </c>
      <c r="P1833" s="4">
        <v>0</v>
      </c>
      <c r="Q1833" s="4" t="e">
        <f>VLOOKUP(Tabla1[[#This Row],[PAGO DIA]],DIAS!A:F,6,0)</f>
        <v>#N/A</v>
      </c>
      <c r="R1833" s="4">
        <v>0</v>
      </c>
      <c r="S1833" s="4" t="e">
        <f>VLOOKUP(Tabla1[[#This Row],[PAGO DIA]],DIAS!A:G,7,0)</f>
        <v>#N/A</v>
      </c>
      <c r="T1833" s="4">
        <v>0</v>
      </c>
      <c r="U1833" s="4" t="e">
        <f>VLOOKUP(Tabla1[[#This Row],[PAGO DIA]],DIAS!A:H,8,0)</f>
        <v>#N/A</v>
      </c>
      <c r="V1833" s="4">
        <v>0</v>
      </c>
      <c r="W1833" s="4" t="e">
        <f>VLOOKUP(Tabla1[[#This Row],[PAGO DIA]],DIAS!A:I,9,0)</f>
        <v>#N/A</v>
      </c>
      <c r="X1833" s="4">
        <v>0</v>
      </c>
      <c r="Y1833" s="4" t="e">
        <f>VLOOKUP(Tabla1[[#This Row],[PAGO DIA]],DIAS!A:J,10,0)</f>
        <v>#N/A</v>
      </c>
      <c r="Z1833" s="4">
        <v>0</v>
      </c>
      <c r="AA1833" s="4" t="e">
        <f>VLOOKUP(Tabla1[[#This Row],[PAGO DIA]],DIAS!A:K,11,0)</f>
        <v>#N/A</v>
      </c>
      <c r="AB1833" s="4">
        <v>0</v>
      </c>
      <c r="AC1833" s="4" t="e">
        <f>VLOOKUP(Tabla1[[#This Row],[PAGO DIA]],DIAS!A:M,12,0)</f>
        <v>#N/A</v>
      </c>
      <c r="AD1833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4" spans="1:30">
      <c r="A1834" s="3">
        <v>12395</v>
      </c>
      <c r="B1834" s="3" t="s">
        <v>504</v>
      </c>
      <c r="C1834" s="3"/>
      <c r="D1834" s="3" t="s">
        <v>2317</v>
      </c>
      <c r="E1834" s="3"/>
      <c r="F1834" s="42"/>
      <c r="G1834" s="3"/>
      <c r="H1834" s="4">
        <v>0</v>
      </c>
      <c r="I1834" s="4" t="e">
        <f>VLOOKUP(Tabla1[[#This Row],[PAGO DIA]],DIAS!A:B,2,0)</f>
        <v>#N/A</v>
      </c>
      <c r="J1834" s="4">
        <v>0</v>
      </c>
      <c r="K1834" s="4" t="e">
        <f>VLOOKUP(Tabla1[[#This Row],[PAGO DIA]],DIAS!A:C,3,0)</f>
        <v>#N/A</v>
      </c>
      <c r="L1834" s="4">
        <v>0</v>
      </c>
      <c r="M1834" s="4" t="e">
        <f>VLOOKUP(Tabla1[[#This Row],[PAGO DIA]],DIAS!A:D,4,0)</f>
        <v>#N/A</v>
      </c>
      <c r="N1834" s="4">
        <v>0</v>
      </c>
      <c r="O1834" s="4" t="e">
        <f>VLOOKUP(Tabla1[[#This Row],[PAGO DIA]],DIAS!A:E,5,0)</f>
        <v>#N/A</v>
      </c>
      <c r="P1834" s="4">
        <v>0</v>
      </c>
      <c r="Q1834" s="4" t="e">
        <f>VLOOKUP(Tabla1[[#This Row],[PAGO DIA]],DIAS!A:F,6,0)</f>
        <v>#N/A</v>
      </c>
      <c r="R1834" s="4">
        <v>0</v>
      </c>
      <c r="S1834" s="4" t="e">
        <f>VLOOKUP(Tabla1[[#This Row],[PAGO DIA]],DIAS!A:G,7,0)</f>
        <v>#N/A</v>
      </c>
      <c r="T1834" s="4">
        <v>0</v>
      </c>
      <c r="U1834" s="4" t="e">
        <f>VLOOKUP(Tabla1[[#This Row],[PAGO DIA]],DIAS!A:H,8,0)</f>
        <v>#N/A</v>
      </c>
      <c r="V1834" s="4">
        <v>0</v>
      </c>
      <c r="W1834" s="4" t="e">
        <f>VLOOKUP(Tabla1[[#This Row],[PAGO DIA]],DIAS!A:I,9,0)</f>
        <v>#N/A</v>
      </c>
      <c r="X1834" s="4">
        <v>0</v>
      </c>
      <c r="Y1834" s="4" t="e">
        <f>VLOOKUP(Tabla1[[#This Row],[PAGO DIA]],DIAS!A:J,10,0)</f>
        <v>#N/A</v>
      </c>
      <c r="Z1834" s="4">
        <v>0</v>
      </c>
      <c r="AA1834" s="4" t="e">
        <f>VLOOKUP(Tabla1[[#This Row],[PAGO DIA]],DIAS!A:K,11,0)</f>
        <v>#N/A</v>
      </c>
      <c r="AB1834" s="4">
        <v>0</v>
      </c>
      <c r="AC1834" s="4" t="e">
        <f>VLOOKUP(Tabla1[[#This Row],[PAGO DIA]],DIAS!A:M,12,0)</f>
        <v>#N/A</v>
      </c>
      <c r="AD1834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5" spans="1:30">
      <c r="A1835" s="3">
        <v>12475</v>
      </c>
      <c r="B1835" s="3" t="s">
        <v>575</v>
      </c>
      <c r="C1835" s="3"/>
      <c r="D1835" s="3" t="s">
        <v>2318</v>
      </c>
      <c r="E1835" s="3"/>
      <c r="F1835" s="42"/>
      <c r="G1835" s="3"/>
      <c r="H1835" s="4">
        <v>0</v>
      </c>
      <c r="I1835" s="4" t="e">
        <f>VLOOKUP(Tabla1[[#This Row],[PAGO DIA]],DIAS!A:B,2,0)</f>
        <v>#N/A</v>
      </c>
      <c r="J1835" s="4">
        <v>0</v>
      </c>
      <c r="K1835" s="4" t="e">
        <f>VLOOKUP(Tabla1[[#This Row],[PAGO DIA]],DIAS!A:C,3,0)</f>
        <v>#N/A</v>
      </c>
      <c r="L1835" s="4">
        <v>0</v>
      </c>
      <c r="M1835" s="4" t="e">
        <f>VLOOKUP(Tabla1[[#This Row],[PAGO DIA]],DIAS!A:D,4,0)</f>
        <v>#N/A</v>
      </c>
      <c r="N1835" s="4">
        <v>0</v>
      </c>
      <c r="O1835" s="4" t="e">
        <f>VLOOKUP(Tabla1[[#This Row],[PAGO DIA]],DIAS!A:E,5,0)</f>
        <v>#N/A</v>
      </c>
      <c r="P1835" s="4">
        <v>0</v>
      </c>
      <c r="Q1835" s="4" t="e">
        <f>VLOOKUP(Tabla1[[#This Row],[PAGO DIA]],DIAS!A:F,6,0)</f>
        <v>#N/A</v>
      </c>
      <c r="R1835" s="4">
        <v>0</v>
      </c>
      <c r="S1835" s="4" t="e">
        <f>VLOOKUP(Tabla1[[#This Row],[PAGO DIA]],DIAS!A:G,7,0)</f>
        <v>#N/A</v>
      </c>
      <c r="T1835" s="4">
        <v>0</v>
      </c>
      <c r="U1835" s="4" t="e">
        <f>VLOOKUP(Tabla1[[#This Row],[PAGO DIA]],DIAS!A:H,8,0)</f>
        <v>#N/A</v>
      </c>
      <c r="V1835" s="4">
        <v>0</v>
      </c>
      <c r="W1835" s="4" t="e">
        <f>VLOOKUP(Tabla1[[#This Row],[PAGO DIA]],DIAS!A:I,9,0)</f>
        <v>#N/A</v>
      </c>
      <c r="X1835" s="4">
        <v>0</v>
      </c>
      <c r="Y1835" s="4" t="e">
        <f>VLOOKUP(Tabla1[[#This Row],[PAGO DIA]],DIAS!A:J,10,0)</f>
        <v>#N/A</v>
      </c>
      <c r="Z1835" s="4">
        <v>0</v>
      </c>
      <c r="AA1835" s="4" t="e">
        <f>VLOOKUP(Tabla1[[#This Row],[PAGO DIA]],DIAS!A:K,11,0)</f>
        <v>#N/A</v>
      </c>
      <c r="AB1835" s="4">
        <v>0</v>
      </c>
      <c r="AC1835" s="4" t="e">
        <f>VLOOKUP(Tabla1[[#This Row],[PAGO DIA]],DIAS!A:M,12,0)</f>
        <v>#N/A</v>
      </c>
      <c r="AD1835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6" spans="1:30">
      <c r="A1836" s="3">
        <v>12478</v>
      </c>
      <c r="B1836" s="3" t="s">
        <v>628</v>
      </c>
      <c r="C1836" s="3" t="s">
        <v>629</v>
      </c>
      <c r="D1836" s="3" t="s">
        <v>2319</v>
      </c>
      <c r="E1836" s="3"/>
      <c r="F1836" s="42"/>
      <c r="G1836" s="3"/>
      <c r="H1836" s="4">
        <v>0</v>
      </c>
      <c r="I1836" s="4" t="e">
        <f>VLOOKUP(Tabla1[[#This Row],[PAGO DIA]],DIAS!A:B,2,0)</f>
        <v>#N/A</v>
      </c>
      <c r="J1836" s="4">
        <v>0</v>
      </c>
      <c r="K1836" s="4" t="e">
        <f>VLOOKUP(Tabla1[[#This Row],[PAGO DIA]],DIAS!A:C,3,0)</f>
        <v>#N/A</v>
      </c>
      <c r="L1836" s="4">
        <v>0</v>
      </c>
      <c r="M1836" s="4" t="e">
        <f>VLOOKUP(Tabla1[[#This Row],[PAGO DIA]],DIAS!A:D,4,0)</f>
        <v>#N/A</v>
      </c>
      <c r="N1836" s="4">
        <v>0</v>
      </c>
      <c r="O1836" s="4" t="e">
        <f>VLOOKUP(Tabla1[[#This Row],[PAGO DIA]],DIAS!A:E,5,0)</f>
        <v>#N/A</v>
      </c>
      <c r="P1836" s="4">
        <v>0</v>
      </c>
      <c r="Q1836" s="4" t="e">
        <f>VLOOKUP(Tabla1[[#This Row],[PAGO DIA]],DIAS!A:F,6,0)</f>
        <v>#N/A</v>
      </c>
      <c r="R1836" s="4">
        <v>0</v>
      </c>
      <c r="S1836" s="4" t="e">
        <f>VLOOKUP(Tabla1[[#This Row],[PAGO DIA]],DIAS!A:G,7,0)</f>
        <v>#N/A</v>
      </c>
      <c r="T1836" s="4">
        <v>0</v>
      </c>
      <c r="U1836" s="4" t="e">
        <f>VLOOKUP(Tabla1[[#This Row],[PAGO DIA]],DIAS!A:H,8,0)</f>
        <v>#N/A</v>
      </c>
      <c r="V1836" s="4">
        <v>0</v>
      </c>
      <c r="W1836" s="4" t="e">
        <f>VLOOKUP(Tabla1[[#This Row],[PAGO DIA]],DIAS!A:I,9,0)</f>
        <v>#N/A</v>
      </c>
      <c r="X1836" s="4">
        <v>0</v>
      </c>
      <c r="Y1836" s="4" t="e">
        <f>VLOOKUP(Tabla1[[#This Row],[PAGO DIA]],DIAS!A:J,10,0)</f>
        <v>#N/A</v>
      </c>
      <c r="Z1836" s="4">
        <v>0</v>
      </c>
      <c r="AA1836" s="4" t="e">
        <f>VLOOKUP(Tabla1[[#This Row],[PAGO DIA]],DIAS!A:K,11,0)</f>
        <v>#N/A</v>
      </c>
      <c r="AB1836" s="4">
        <v>0</v>
      </c>
      <c r="AC1836" s="4" t="e">
        <f>VLOOKUP(Tabla1[[#This Row],[PAGO DIA]],DIAS!A:M,12,0)</f>
        <v>#N/A</v>
      </c>
      <c r="AD1836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7" spans="1:30">
      <c r="A1837" s="3">
        <v>12479</v>
      </c>
      <c r="B1837" s="3" t="s">
        <v>1748</v>
      </c>
      <c r="C1837" s="3"/>
      <c r="D1837" s="3" t="s">
        <v>2320</v>
      </c>
      <c r="E1837" s="3"/>
      <c r="F1837" s="42"/>
      <c r="G1837" s="3"/>
      <c r="H1837" s="4">
        <v>0</v>
      </c>
      <c r="I1837" s="4" t="e">
        <f>VLOOKUP(Tabla1[[#This Row],[PAGO DIA]],DIAS!A:B,2,0)</f>
        <v>#N/A</v>
      </c>
      <c r="J1837" s="4">
        <v>0</v>
      </c>
      <c r="K1837" s="4" t="e">
        <f>VLOOKUP(Tabla1[[#This Row],[PAGO DIA]],DIAS!A:C,3,0)</f>
        <v>#N/A</v>
      </c>
      <c r="L1837" s="4">
        <v>0</v>
      </c>
      <c r="M1837" s="4" t="e">
        <f>VLOOKUP(Tabla1[[#This Row],[PAGO DIA]],DIAS!A:D,4,0)</f>
        <v>#N/A</v>
      </c>
      <c r="N1837" s="4">
        <v>0</v>
      </c>
      <c r="O1837" s="4" t="e">
        <f>VLOOKUP(Tabla1[[#This Row],[PAGO DIA]],DIAS!A:E,5,0)</f>
        <v>#N/A</v>
      </c>
      <c r="P1837" s="4">
        <v>0</v>
      </c>
      <c r="Q1837" s="4" t="e">
        <f>VLOOKUP(Tabla1[[#This Row],[PAGO DIA]],DIAS!A:F,6,0)</f>
        <v>#N/A</v>
      </c>
      <c r="R1837" s="4">
        <v>0</v>
      </c>
      <c r="S1837" s="4" t="e">
        <f>VLOOKUP(Tabla1[[#This Row],[PAGO DIA]],DIAS!A:G,7,0)</f>
        <v>#N/A</v>
      </c>
      <c r="T1837" s="4">
        <v>0</v>
      </c>
      <c r="U1837" s="4" t="e">
        <f>VLOOKUP(Tabla1[[#This Row],[PAGO DIA]],DIAS!A:H,8,0)</f>
        <v>#N/A</v>
      </c>
      <c r="V1837" s="4">
        <v>0</v>
      </c>
      <c r="W1837" s="4" t="e">
        <f>VLOOKUP(Tabla1[[#This Row],[PAGO DIA]],DIAS!A:I,9,0)</f>
        <v>#N/A</v>
      </c>
      <c r="X1837" s="4">
        <v>0</v>
      </c>
      <c r="Y1837" s="4" t="e">
        <f>VLOOKUP(Tabla1[[#This Row],[PAGO DIA]],DIAS!A:J,10,0)</f>
        <v>#N/A</v>
      </c>
      <c r="Z1837" s="4">
        <v>0</v>
      </c>
      <c r="AA1837" s="4" t="e">
        <f>VLOOKUP(Tabla1[[#This Row],[PAGO DIA]],DIAS!A:K,11,0)</f>
        <v>#N/A</v>
      </c>
      <c r="AB1837" s="4">
        <v>0</v>
      </c>
      <c r="AC1837" s="4" t="e">
        <f>VLOOKUP(Tabla1[[#This Row],[PAGO DIA]],DIAS!A:M,12,0)</f>
        <v>#N/A</v>
      </c>
      <c r="AD1837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8" spans="1:30">
      <c r="A1838" s="3">
        <v>12480</v>
      </c>
      <c r="B1838" s="3" t="s">
        <v>628</v>
      </c>
      <c r="C1838" s="3" t="s">
        <v>629</v>
      </c>
      <c r="D1838" s="3" t="s">
        <v>2321</v>
      </c>
      <c r="E1838" s="3"/>
      <c r="F1838" s="42"/>
      <c r="G1838" s="3"/>
      <c r="H1838" s="4">
        <v>0</v>
      </c>
      <c r="I1838" s="4" t="e">
        <f>VLOOKUP(Tabla1[[#This Row],[PAGO DIA]],DIAS!A:B,2,0)</f>
        <v>#N/A</v>
      </c>
      <c r="J1838" s="4">
        <v>0</v>
      </c>
      <c r="K1838" s="4" t="e">
        <f>VLOOKUP(Tabla1[[#This Row],[PAGO DIA]],DIAS!A:C,3,0)</f>
        <v>#N/A</v>
      </c>
      <c r="L1838" s="4">
        <v>0</v>
      </c>
      <c r="M1838" s="4" t="e">
        <f>VLOOKUP(Tabla1[[#This Row],[PAGO DIA]],DIAS!A:D,4,0)</f>
        <v>#N/A</v>
      </c>
      <c r="N1838" s="4">
        <v>0</v>
      </c>
      <c r="O1838" s="4" t="e">
        <f>VLOOKUP(Tabla1[[#This Row],[PAGO DIA]],DIAS!A:E,5,0)</f>
        <v>#N/A</v>
      </c>
      <c r="P1838" s="4">
        <v>0</v>
      </c>
      <c r="Q1838" s="4" t="e">
        <f>VLOOKUP(Tabla1[[#This Row],[PAGO DIA]],DIAS!A:F,6,0)</f>
        <v>#N/A</v>
      </c>
      <c r="R1838" s="4">
        <v>0</v>
      </c>
      <c r="S1838" s="4" t="e">
        <f>VLOOKUP(Tabla1[[#This Row],[PAGO DIA]],DIAS!A:G,7,0)</f>
        <v>#N/A</v>
      </c>
      <c r="T1838" s="4">
        <v>0</v>
      </c>
      <c r="U1838" s="4" t="e">
        <f>VLOOKUP(Tabla1[[#This Row],[PAGO DIA]],DIAS!A:H,8,0)</f>
        <v>#N/A</v>
      </c>
      <c r="V1838" s="4">
        <v>0</v>
      </c>
      <c r="W1838" s="4" t="e">
        <f>VLOOKUP(Tabla1[[#This Row],[PAGO DIA]],DIAS!A:I,9,0)</f>
        <v>#N/A</v>
      </c>
      <c r="X1838" s="4">
        <v>0</v>
      </c>
      <c r="Y1838" s="4" t="e">
        <f>VLOOKUP(Tabla1[[#This Row],[PAGO DIA]],DIAS!A:J,10,0)</f>
        <v>#N/A</v>
      </c>
      <c r="Z1838" s="4">
        <v>0</v>
      </c>
      <c r="AA1838" s="4" t="e">
        <f>VLOOKUP(Tabla1[[#This Row],[PAGO DIA]],DIAS!A:K,11,0)</f>
        <v>#N/A</v>
      </c>
      <c r="AB1838" s="4">
        <v>0</v>
      </c>
      <c r="AC1838" s="4" t="e">
        <f>VLOOKUP(Tabla1[[#This Row],[PAGO DIA]],DIAS!A:M,12,0)</f>
        <v>#N/A</v>
      </c>
      <c r="AD1838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39" spans="1:30">
      <c r="A1839" s="3">
        <v>11124</v>
      </c>
      <c r="B1839" s="3" t="s">
        <v>504</v>
      </c>
      <c r="C1839" s="3" t="s">
        <v>505</v>
      </c>
      <c r="D1839" s="3" t="s">
        <v>526</v>
      </c>
      <c r="E1839" s="3" t="s">
        <v>1119</v>
      </c>
      <c r="F1839" s="42"/>
      <c r="G1839" s="3"/>
      <c r="H1839" s="4">
        <v>0</v>
      </c>
      <c r="I1839" s="4" t="e">
        <f>VLOOKUP(Tabla1[[#This Row],[PAGO DIA]],DIAS!A:B,2,0)</f>
        <v>#N/A</v>
      </c>
      <c r="J1839" s="4"/>
      <c r="K1839" s="4" t="e">
        <f>VLOOKUP(Tabla1[[#This Row],[PAGO DIA]],DIAS!A:C,3,0)</f>
        <v>#N/A</v>
      </c>
      <c r="L1839" s="4"/>
      <c r="M1839" s="4" t="e">
        <f>VLOOKUP(Tabla1[[#This Row],[PAGO DIA]],DIAS!A:D,4,0)</f>
        <v>#N/A</v>
      </c>
      <c r="N1839" s="4"/>
      <c r="O1839" s="4" t="e">
        <f>VLOOKUP(Tabla1[[#This Row],[PAGO DIA]],DIAS!A:E,5,0)</f>
        <v>#N/A</v>
      </c>
      <c r="P1839" s="4"/>
      <c r="Q1839" s="4" t="e">
        <f>VLOOKUP(Tabla1[[#This Row],[PAGO DIA]],DIAS!A:F,6,0)</f>
        <v>#N/A</v>
      </c>
      <c r="R1839" s="4"/>
      <c r="S1839" s="4" t="e">
        <f>VLOOKUP(Tabla1[[#This Row],[PAGO DIA]],DIAS!A:G,7,0)</f>
        <v>#N/A</v>
      </c>
      <c r="T1839" s="4"/>
      <c r="U1839" s="4" t="e">
        <f>VLOOKUP(Tabla1[[#This Row],[PAGO DIA]],DIAS!A:H,8,0)</f>
        <v>#N/A</v>
      </c>
      <c r="V1839" s="4"/>
      <c r="W1839" s="4" t="e">
        <f>VLOOKUP(Tabla1[[#This Row],[PAGO DIA]],DIAS!A:I,9,0)</f>
        <v>#N/A</v>
      </c>
      <c r="X1839" s="4"/>
      <c r="Y1839" s="4" t="e">
        <f>VLOOKUP(Tabla1[[#This Row],[PAGO DIA]],DIAS!A:J,10,0)</f>
        <v>#N/A</v>
      </c>
      <c r="Z1839" s="4"/>
      <c r="AA1839" s="4" t="e">
        <f>VLOOKUP(Tabla1[[#This Row],[PAGO DIA]],DIAS!A:K,11,0)</f>
        <v>#N/A</v>
      </c>
      <c r="AB1839" s="4"/>
      <c r="AC1839" s="4" t="e">
        <f>VLOOKUP(Tabla1[[#This Row],[PAGO DIA]],DIAS!A:M,12,0)</f>
        <v>#N/A</v>
      </c>
      <c r="AD1839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0</v>
      </c>
    </row>
    <row r="1840" spans="1:30">
      <c r="A1840" s="3">
        <v>12155</v>
      </c>
      <c r="B1840" s="3" t="s">
        <v>2322</v>
      </c>
      <c r="C1840" s="3" t="s">
        <v>505</v>
      </c>
      <c r="D1840" s="3" t="s">
        <v>2323</v>
      </c>
      <c r="E1840" s="3" t="s">
        <v>531</v>
      </c>
      <c r="F1840" s="42" t="s">
        <v>631</v>
      </c>
      <c r="G1840" s="3"/>
      <c r="H1840" s="4">
        <v>0</v>
      </c>
      <c r="I1840" s="41">
        <f>VLOOKUP(Tabla1[[#This Row],[PAGO DIA]],DIAS!A:B,2,0)</f>
        <v>46080</v>
      </c>
      <c r="J1840" s="4"/>
      <c r="K1840" s="43">
        <f>VLOOKUP(Tabla1[[#This Row],[PAGO DIA]],DIAS!A:C,3,0)</f>
        <v>46112</v>
      </c>
      <c r="L1840" s="4"/>
      <c r="M1840" s="41">
        <f>VLOOKUP(Tabla1[[#This Row],[PAGO DIA]],DIAS!A:D,4,0)</f>
        <v>46142</v>
      </c>
      <c r="N1840" s="4"/>
      <c r="O1840" s="43">
        <f>VLOOKUP(Tabla1[[#This Row],[PAGO DIA]],DIAS!A:E,5,0)</f>
        <v>46171</v>
      </c>
      <c r="P1840" s="4">
        <v>260000000</v>
      </c>
      <c r="Q1840" s="43">
        <f>VLOOKUP(Tabla1[[#This Row],[PAGO DIA]],DIAS!A:F,6,0)</f>
        <v>46203</v>
      </c>
      <c r="R1840" s="4"/>
      <c r="S1840" s="43">
        <f>VLOOKUP(Tabla1[[#This Row],[PAGO DIA]],DIAS!A:G,7,0)</f>
        <v>46234</v>
      </c>
      <c r="T1840" s="4"/>
      <c r="U1840" s="43">
        <f>VLOOKUP(Tabla1[[#This Row],[PAGO DIA]],DIAS!A:H,8,0)</f>
        <v>46265</v>
      </c>
      <c r="V1840" s="4"/>
      <c r="W1840" s="43">
        <f>VLOOKUP(Tabla1[[#This Row],[PAGO DIA]],DIAS!A:I,9,0)</f>
        <v>46295</v>
      </c>
      <c r="X1840" s="4"/>
      <c r="Y1840" s="43">
        <f>VLOOKUP(Tabla1[[#This Row],[PAGO DIA]],DIAS!A:J,10,0)</f>
        <v>46325</v>
      </c>
      <c r="Z1840" s="4"/>
      <c r="AA1840" s="43">
        <f>VLOOKUP(Tabla1[[#This Row],[PAGO DIA]],DIAS!A:K,11,0)</f>
        <v>46356</v>
      </c>
      <c r="AB1840" s="4"/>
      <c r="AC1840" s="43">
        <f>VLOOKUP(Tabla1[[#This Row],[PAGO DIA]],DIAS!A:M,12,0)</f>
        <v>46386</v>
      </c>
      <c r="AD1840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260000000</v>
      </c>
    </row>
    <row r="1841" spans="1:30">
      <c r="A1841" s="3">
        <v>12867</v>
      </c>
      <c r="B1841" s="3" t="s">
        <v>510</v>
      </c>
      <c r="C1841" s="3"/>
      <c r="D1841" s="3" t="s">
        <v>576</v>
      </c>
      <c r="E1841" s="3" t="s">
        <v>2324</v>
      </c>
      <c r="F1841" s="42" t="s">
        <v>631</v>
      </c>
      <c r="G1841" s="3"/>
      <c r="H1841" s="4">
        <v>4034000</v>
      </c>
      <c r="I1841" s="41">
        <f>VLOOKUP(Tabla1[[#This Row],[PAGO DIA]],DIAS!A:B,2,0)</f>
        <v>46080</v>
      </c>
      <c r="J1841" s="4"/>
      <c r="K1841" s="43">
        <f>VLOOKUP(Tabla1[[#This Row],[PAGO DIA]],DIAS!A:C,3,0)</f>
        <v>46112</v>
      </c>
      <c r="L1841" s="4"/>
      <c r="M1841" s="41">
        <f>VLOOKUP(Tabla1[[#This Row],[PAGO DIA]],DIAS!A:D,4,0)</f>
        <v>46142</v>
      </c>
      <c r="N1841" s="4"/>
      <c r="O1841" s="43">
        <f>VLOOKUP(Tabla1[[#This Row],[PAGO DIA]],DIAS!A:E,5,0)</f>
        <v>46171</v>
      </c>
      <c r="P1841" s="4"/>
      <c r="Q1841" s="43">
        <f>VLOOKUP(Tabla1[[#This Row],[PAGO DIA]],DIAS!A:F,6,0)</f>
        <v>46203</v>
      </c>
      <c r="R1841" s="4"/>
      <c r="S1841" s="43">
        <f>VLOOKUP(Tabla1[[#This Row],[PAGO DIA]],DIAS!A:G,7,0)</f>
        <v>46234</v>
      </c>
      <c r="T1841" s="4"/>
      <c r="U1841" s="43">
        <f>VLOOKUP(Tabla1[[#This Row],[PAGO DIA]],DIAS!A:H,8,0)</f>
        <v>46265</v>
      </c>
      <c r="V1841" s="4"/>
      <c r="W1841" s="43">
        <f>VLOOKUP(Tabla1[[#This Row],[PAGO DIA]],DIAS!A:I,9,0)</f>
        <v>46295</v>
      </c>
      <c r="X1841" s="4"/>
      <c r="Y1841" s="43">
        <f>VLOOKUP(Tabla1[[#This Row],[PAGO DIA]],DIAS!A:J,10,0)</f>
        <v>46325</v>
      </c>
      <c r="Z1841" s="4"/>
      <c r="AA1841" s="43">
        <f>VLOOKUP(Tabla1[[#This Row],[PAGO DIA]],DIAS!A:K,11,0)</f>
        <v>46356</v>
      </c>
      <c r="AB1841" s="4"/>
      <c r="AC1841" s="43">
        <f>VLOOKUP(Tabla1[[#This Row],[PAGO DIA]],DIAS!A:M,12,0)</f>
        <v>46386</v>
      </c>
      <c r="AD1841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4034000</v>
      </c>
    </row>
    <row r="1842" spans="1:30">
      <c r="A1842" s="3">
        <v>12868</v>
      </c>
      <c r="B1842" s="3" t="s">
        <v>504</v>
      </c>
      <c r="C1842" s="3"/>
      <c r="D1842" s="3" t="s">
        <v>2325</v>
      </c>
      <c r="E1842" s="3" t="s">
        <v>2326</v>
      </c>
      <c r="F1842" s="42" t="s">
        <v>631</v>
      </c>
      <c r="G1842" s="3"/>
      <c r="H1842" s="4">
        <v>0</v>
      </c>
      <c r="I1842" s="41">
        <f>VLOOKUP(Tabla1[[#This Row],[PAGO DIA]],DIAS!A:B,2,0)</f>
        <v>46080</v>
      </c>
      <c r="J1842" s="4">
        <v>105319346.2</v>
      </c>
      <c r="K1842" s="43">
        <f>VLOOKUP(Tabla1[[#This Row],[PAGO DIA]],DIAS!A:C,3,0)</f>
        <v>46112</v>
      </c>
      <c r="L1842" s="4"/>
      <c r="M1842" s="41">
        <f>VLOOKUP(Tabla1[[#This Row],[PAGO DIA]],DIAS!A:D,4,0)</f>
        <v>46142</v>
      </c>
      <c r="N1842" s="4"/>
      <c r="O1842" s="43">
        <f>VLOOKUP(Tabla1[[#This Row],[PAGO DIA]],DIAS!A:E,5,0)</f>
        <v>46171</v>
      </c>
      <c r="P1842" s="4"/>
      <c r="Q1842" s="43">
        <f>VLOOKUP(Tabla1[[#This Row],[PAGO DIA]],DIAS!A:F,6,0)</f>
        <v>46203</v>
      </c>
      <c r="R1842" s="4"/>
      <c r="S1842" s="43">
        <f>VLOOKUP(Tabla1[[#This Row],[PAGO DIA]],DIAS!A:G,7,0)</f>
        <v>46234</v>
      </c>
      <c r="T1842" s="4"/>
      <c r="U1842" s="43">
        <f>VLOOKUP(Tabla1[[#This Row],[PAGO DIA]],DIAS!A:H,8,0)</f>
        <v>46265</v>
      </c>
      <c r="V1842" s="4"/>
      <c r="W1842" s="43">
        <f>VLOOKUP(Tabla1[[#This Row],[PAGO DIA]],DIAS!A:I,9,0)</f>
        <v>46295</v>
      </c>
      <c r="X1842" s="4"/>
      <c r="Y1842" s="43">
        <f>VLOOKUP(Tabla1[[#This Row],[PAGO DIA]],DIAS!A:J,10,0)</f>
        <v>46325</v>
      </c>
      <c r="Z1842" s="4"/>
      <c r="AA1842" s="43">
        <f>VLOOKUP(Tabla1[[#This Row],[PAGO DIA]],DIAS!A:K,11,0)</f>
        <v>46356</v>
      </c>
      <c r="AB1842" s="4"/>
      <c r="AC1842" s="43">
        <f>VLOOKUP(Tabla1[[#This Row],[PAGO DIA]],DIAS!A:M,12,0)</f>
        <v>46386</v>
      </c>
      <c r="AD1842" s="10">
        <f>+Tabla1[[#This Row],[Dic 2026]]+Tabla1[[#This Row],[Nov 2026]]+Tabla1[[#This Row],[Oct 2026]]+Tabla1[[#This Row],[Sep 2026]]+Tabla1[[#This Row],[Ago 2026]]+Tabla1[[#This Row],[Jul 2026]]+Tabla1[[#This Row],[Jun 2026]]+Tabla1[[#This Row],[May 2026]]+Tabla1[[#This Row],[Abr 2026]]+Tabla1[[#This Row],[Mar 2026]]+Tabla1[[#This Row],[Feb 2026]]</f>
        <v>105319346.2</v>
      </c>
    </row>
    <row r="1843" spans="1:30">
      <c r="A1843" s="10" t="s">
        <v>344</v>
      </c>
      <c r="B1843" s="10"/>
      <c r="C1843" s="10"/>
      <c r="D1843" s="10"/>
      <c r="E1843" s="10"/>
      <c r="F1843" s="10"/>
      <c r="G1843" s="10"/>
      <c r="H1843" s="10">
        <f>SUBTOTAL(109,Tabla1[Feb 2026])</f>
        <v>36568363356.689995</v>
      </c>
      <c r="I1843" s="10"/>
      <c r="J1843" s="10">
        <f>SUBTOTAL(109,Tabla1[Mar 2026])</f>
        <v>40408365074.019997</v>
      </c>
      <c r="K1843" s="10"/>
      <c r="L1843" s="10">
        <f>SUBTOTAL(109,Tabla1[Abr 2026])</f>
        <v>36546063967.370003</v>
      </c>
      <c r="M1843" s="10"/>
      <c r="N1843" s="10">
        <f>SUBTOTAL(109,Tabla1[May 2026])</f>
        <v>35660898358.449997</v>
      </c>
      <c r="O1843" s="10"/>
      <c r="P1843" s="10">
        <f>SUBTOTAL(109,Tabla1[Jun 2026])</f>
        <v>38191951799.30999</v>
      </c>
      <c r="Q1843" s="10"/>
      <c r="R1843" s="10">
        <f>SUBTOTAL(109,Tabla1[Jul 2026])</f>
        <v>34748004138.879997</v>
      </c>
      <c r="S1843" s="10"/>
      <c r="T1843" s="10">
        <f>SUBTOTAL(109,Tabla1[Ago 2026])</f>
        <v>31825267774.579998</v>
      </c>
      <c r="U1843" s="10"/>
      <c r="V1843" s="10">
        <f>SUBTOTAL(109,Tabla1[Sep 2026])</f>
        <v>31184262762.060001</v>
      </c>
      <c r="W1843" s="10"/>
      <c r="X1843" s="10">
        <f>SUBTOTAL(109,Tabla1[Oct 2026])</f>
        <v>30501829257.370003</v>
      </c>
      <c r="Y1843" s="10"/>
      <c r="Z1843" s="10">
        <f>SUBTOTAL(109,Tabla1[Nov 2026])</f>
        <v>30561487727.830002</v>
      </c>
      <c r="AA1843" s="10"/>
      <c r="AB1843" s="10">
        <f>SUBTOTAL(109,Tabla1[Dic 2026])</f>
        <v>34394041370.629997</v>
      </c>
      <c r="AC1843" s="10"/>
      <c r="AD1843" s="10">
        <f>SUM(Tabla1[[#Totals],[Feb 2026]:[ESCENARIO 111]])</f>
        <v>380590535587.19</v>
      </c>
    </row>
  </sheetData>
  <phoneticPr fontId="6" type="noConversion"/>
  <pageMargins left="0.75" right="0.75" top="1" bottom="1" header="0.5" footer="0.5"/>
  <ignoredErrors>
    <ignoredError sqref="I1786:AC1838" evalError="1"/>
  </ignoredErrors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55B4-FCC4-4760-8973-E6D6D25CFCFC}">
  <dimension ref="A1:M22"/>
  <sheetViews>
    <sheetView workbookViewId="0">
      <selection activeCell="B11" sqref="B11"/>
    </sheetView>
  </sheetViews>
  <sheetFormatPr baseColWidth="10" defaultColWidth="11.3984375" defaultRowHeight="14.4"/>
  <cols>
    <col min="1" max="1" width="64.3984375" style="11" bestFit="1" customWidth="1"/>
    <col min="2" max="2" width="13.3984375" style="45" bestFit="1" customWidth="1"/>
    <col min="3" max="3" width="12.296875" style="45" bestFit="1" customWidth="1"/>
    <col min="4" max="4" width="10.69921875" style="45" bestFit="1" customWidth="1"/>
    <col min="5" max="5" width="11.296875" style="45" bestFit="1" customWidth="1"/>
    <col min="6" max="6" width="11.09765625" style="45" bestFit="1" customWidth="1"/>
    <col min="7" max="7" width="10.69921875" style="45" bestFit="1" customWidth="1"/>
    <col min="8" max="8" width="13.09765625" style="45" bestFit="1" customWidth="1"/>
    <col min="9" max="9" width="16.3984375" style="45" bestFit="1" customWidth="1"/>
    <col min="10" max="10" width="13.8984375" style="45" bestFit="1" customWidth="1"/>
    <col min="11" max="11" width="16.3984375" style="45" bestFit="1" customWidth="1"/>
    <col min="12" max="12" width="15.296875" style="45" bestFit="1" customWidth="1"/>
    <col min="13" max="13" width="11.59765625" style="45" bestFit="1" customWidth="1"/>
  </cols>
  <sheetData>
    <row r="1" spans="1:13">
      <c r="A1" s="11" t="s">
        <v>2327</v>
      </c>
      <c r="B1" s="45" t="s">
        <v>345</v>
      </c>
      <c r="C1" s="45" t="s">
        <v>346</v>
      </c>
      <c r="D1" s="45" t="s">
        <v>347</v>
      </c>
      <c r="E1" s="45" t="s">
        <v>348</v>
      </c>
      <c r="F1" s="45" t="s">
        <v>349</v>
      </c>
      <c r="G1" s="45" t="s">
        <v>350</v>
      </c>
      <c r="H1" s="45" t="s">
        <v>351</v>
      </c>
      <c r="I1" s="45" t="s">
        <v>2328</v>
      </c>
      <c r="J1" s="45" t="s">
        <v>353</v>
      </c>
      <c r="K1" s="45" t="s">
        <v>2329</v>
      </c>
      <c r="L1" s="45" t="s">
        <v>2330</v>
      </c>
      <c r="M1" s="45" t="s">
        <v>2331</v>
      </c>
    </row>
    <row r="2" spans="1:13">
      <c r="A2" s="46" t="s">
        <v>2332</v>
      </c>
      <c r="B2" s="47"/>
      <c r="C2" s="47"/>
      <c r="D2" s="47"/>
      <c r="E2" s="47"/>
      <c r="F2" s="47">
        <v>46199</v>
      </c>
      <c r="G2" s="47"/>
      <c r="H2" s="47"/>
      <c r="I2" s="47"/>
      <c r="J2" s="47"/>
      <c r="K2" s="47"/>
      <c r="L2" s="47">
        <v>46381</v>
      </c>
      <c r="M2" s="47"/>
    </row>
    <row r="3" spans="1:13" s="48" customFormat="1">
      <c r="A3" s="46" t="s">
        <v>508</v>
      </c>
      <c r="B3" s="47">
        <v>46079</v>
      </c>
      <c r="C3" s="45">
        <v>46111</v>
      </c>
      <c r="D3" s="47">
        <v>46141</v>
      </c>
      <c r="E3" s="47">
        <v>46168</v>
      </c>
      <c r="F3" s="47">
        <v>46203</v>
      </c>
      <c r="G3" s="47">
        <v>46231</v>
      </c>
      <c r="H3" s="47"/>
      <c r="I3" s="47"/>
      <c r="J3" s="47"/>
      <c r="K3" s="47"/>
      <c r="L3" s="47"/>
      <c r="M3" s="47"/>
    </row>
    <row r="4" spans="1:13" s="48" customFormat="1">
      <c r="A4" s="46" t="s">
        <v>513</v>
      </c>
      <c r="B4" s="47">
        <v>46079</v>
      </c>
      <c r="C4" s="47">
        <v>46111</v>
      </c>
      <c r="D4" s="47">
        <v>46141</v>
      </c>
      <c r="E4" s="47"/>
      <c r="F4" s="47"/>
      <c r="G4" s="47"/>
      <c r="H4" s="47"/>
      <c r="I4" s="47"/>
      <c r="J4" s="47"/>
      <c r="K4" s="47"/>
      <c r="L4" s="47"/>
      <c r="M4" s="47"/>
    </row>
    <row r="5" spans="1:13" s="48" customFormat="1">
      <c r="A5" s="46" t="s">
        <v>519</v>
      </c>
      <c r="B5" s="47">
        <v>46079</v>
      </c>
      <c r="C5" s="47">
        <v>46111</v>
      </c>
      <c r="D5" s="47">
        <v>46141</v>
      </c>
      <c r="E5" s="47"/>
      <c r="F5" s="47"/>
      <c r="G5" s="47"/>
      <c r="H5" s="47"/>
      <c r="I5" s="47"/>
      <c r="J5" s="47"/>
      <c r="K5" s="47"/>
      <c r="L5" s="47"/>
      <c r="M5" s="47"/>
    </row>
    <row r="6" spans="1:13" s="48" customFormat="1">
      <c r="A6" s="11" t="s">
        <v>525</v>
      </c>
      <c r="B6" s="45">
        <v>46079</v>
      </c>
      <c r="C6" s="45">
        <v>46111</v>
      </c>
      <c r="D6" s="45">
        <v>46142</v>
      </c>
      <c r="E6" s="45">
        <v>46171</v>
      </c>
      <c r="F6" s="45">
        <v>46203</v>
      </c>
      <c r="G6" s="45">
        <v>46234</v>
      </c>
      <c r="H6" s="45">
        <v>46265</v>
      </c>
      <c r="I6" s="45">
        <v>46295</v>
      </c>
      <c r="J6" s="45">
        <v>46325</v>
      </c>
      <c r="K6" s="45">
        <v>46356</v>
      </c>
      <c r="L6" s="45">
        <v>46386</v>
      </c>
      <c r="M6" s="45"/>
    </row>
    <row r="7" spans="1:13" s="55" customFormat="1">
      <c r="A7" s="53" t="s">
        <v>528</v>
      </c>
      <c r="B7" s="54">
        <v>46081</v>
      </c>
      <c r="C7" s="54">
        <v>46084</v>
      </c>
      <c r="D7" s="54">
        <v>46142</v>
      </c>
      <c r="E7" s="54">
        <v>46171</v>
      </c>
      <c r="F7" s="54">
        <v>46203</v>
      </c>
      <c r="G7" s="54">
        <v>46234</v>
      </c>
      <c r="H7" s="54"/>
      <c r="I7" s="54"/>
      <c r="J7" s="54"/>
      <c r="K7" s="54"/>
      <c r="L7" s="54"/>
      <c r="M7" s="54"/>
    </row>
    <row r="8" spans="1:13" s="48" customFormat="1">
      <c r="A8" s="46" t="s">
        <v>532</v>
      </c>
      <c r="B8" s="47">
        <v>46072</v>
      </c>
      <c r="C8" s="47">
        <v>46100</v>
      </c>
      <c r="D8" s="47">
        <v>46132</v>
      </c>
      <c r="E8" s="47">
        <v>46171</v>
      </c>
      <c r="F8" s="47">
        <v>46203</v>
      </c>
      <c r="G8" s="47">
        <v>46234</v>
      </c>
      <c r="H8" s="47"/>
      <c r="I8" s="47"/>
      <c r="J8" s="47"/>
      <c r="K8" s="47"/>
      <c r="L8" s="47"/>
      <c r="M8" s="47"/>
    </row>
    <row r="9" spans="1:13" s="48" customFormat="1">
      <c r="A9" s="11" t="s">
        <v>537</v>
      </c>
      <c r="B9" s="45">
        <v>46066</v>
      </c>
      <c r="C9" s="45">
        <v>46094</v>
      </c>
      <c r="D9" s="45">
        <v>46127</v>
      </c>
      <c r="E9" s="45">
        <v>46157</v>
      </c>
      <c r="F9" s="45">
        <v>46185</v>
      </c>
      <c r="G9" s="45">
        <v>46218</v>
      </c>
      <c r="H9" s="45">
        <v>46248</v>
      </c>
      <c r="I9" s="45">
        <v>46280</v>
      </c>
      <c r="J9" s="45">
        <v>46310</v>
      </c>
      <c r="K9" s="45">
        <v>46339</v>
      </c>
      <c r="L9" s="45">
        <v>46371</v>
      </c>
      <c r="M9" s="45"/>
    </row>
    <row r="10" spans="1:13" s="48" customFormat="1">
      <c r="A10" s="46" t="s">
        <v>562</v>
      </c>
      <c r="B10" s="47">
        <v>46078</v>
      </c>
      <c r="C10" s="47">
        <v>46105</v>
      </c>
      <c r="D10" s="47">
        <v>46140</v>
      </c>
      <c r="E10" s="47">
        <v>46168</v>
      </c>
      <c r="F10" s="47">
        <v>46196</v>
      </c>
      <c r="G10" s="47">
        <v>46231</v>
      </c>
      <c r="H10" s="47">
        <v>46259</v>
      </c>
      <c r="I10" s="47">
        <v>46287</v>
      </c>
      <c r="J10" s="47">
        <v>46322</v>
      </c>
      <c r="K10" s="47">
        <v>46350</v>
      </c>
      <c r="L10" s="47">
        <v>46379</v>
      </c>
      <c r="M10" s="47">
        <v>46413</v>
      </c>
    </row>
    <row r="11" spans="1:13" s="48" customFormat="1">
      <c r="A11" s="46" t="s">
        <v>2333</v>
      </c>
      <c r="B11" s="47">
        <v>46066</v>
      </c>
      <c r="C11" s="47">
        <v>46094</v>
      </c>
      <c r="D11" s="47">
        <v>46126</v>
      </c>
      <c r="E11" s="47">
        <v>46156</v>
      </c>
      <c r="F11" s="47">
        <v>46185</v>
      </c>
      <c r="G11" s="47">
        <v>46217</v>
      </c>
      <c r="H11" s="47">
        <v>46248</v>
      </c>
      <c r="I11" s="47">
        <v>46279</v>
      </c>
      <c r="J11" s="47">
        <v>46309</v>
      </c>
      <c r="K11" s="47">
        <v>46339</v>
      </c>
      <c r="L11" s="47">
        <v>46370</v>
      </c>
      <c r="M11" s="47">
        <v>46401</v>
      </c>
    </row>
    <row r="12" spans="1:13" s="48" customFormat="1">
      <c r="A12" s="46" t="s">
        <v>2334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3" s="48" customFormat="1">
      <c r="A13" s="46" t="s">
        <v>2335</v>
      </c>
      <c r="B13" s="47">
        <v>46073</v>
      </c>
      <c r="C13" s="47">
        <v>46101</v>
      </c>
      <c r="D13" s="47">
        <v>46133</v>
      </c>
      <c r="E13" s="47">
        <v>46163</v>
      </c>
      <c r="F13" s="47">
        <v>46192</v>
      </c>
      <c r="G13" s="47">
        <v>46224</v>
      </c>
      <c r="H13" s="47">
        <v>46255</v>
      </c>
      <c r="I13" s="47">
        <v>46286</v>
      </c>
      <c r="J13" s="47">
        <v>46316</v>
      </c>
      <c r="K13" s="47">
        <v>46346</v>
      </c>
      <c r="L13" s="47">
        <v>46377</v>
      </c>
      <c r="M13" s="47">
        <v>46408</v>
      </c>
    </row>
    <row r="14" spans="1:13" s="48" customFormat="1">
      <c r="A14" s="46" t="s">
        <v>2336</v>
      </c>
      <c r="B14" s="47">
        <v>46071</v>
      </c>
      <c r="C14" s="47">
        <v>46099</v>
      </c>
      <c r="D14" s="47">
        <v>46129</v>
      </c>
      <c r="E14" s="47">
        <v>46161</v>
      </c>
      <c r="F14" s="47">
        <v>46190</v>
      </c>
      <c r="G14" s="47">
        <v>46220</v>
      </c>
      <c r="H14" s="47">
        <v>46253</v>
      </c>
      <c r="I14" s="47">
        <v>46282</v>
      </c>
      <c r="J14" s="47">
        <v>46314</v>
      </c>
      <c r="K14" s="47">
        <v>46344</v>
      </c>
      <c r="L14" s="47">
        <v>46373</v>
      </c>
      <c r="M14" s="47">
        <v>46406</v>
      </c>
    </row>
    <row r="15" spans="1:13" s="48" customFormat="1">
      <c r="A15" s="46" t="s">
        <v>568</v>
      </c>
      <c r="B15" s="47">
        <v>46068</v>
      </c>
      <c r="C15" s="47">
        <v>46096</v>
      </c>
      <c r="D15" s="47">
        <v>46127</v>
      </c>
      <c r="E15" s="47">
        <v>46157</v>
      </c>
      <c r="F15" s="47">
        <v>46188</v>
      </c>
      <c r="G15" s="47">
        <v>46218</v>
      </c>
      <c r="H15" s="47">
        <v>46249</v>
      </c>
      <c r="I15" s="47">
        <v>46280</v>
      </c>
      <c r="J15" s="47">
        <v>46310</v>
      </c>
      <c r="K15" s="47">
        <v>46341</v>
      </c>
      <c r="L15" s="47">
        <v>46371</v>
      </c>
      <c r="M15" s="47">
        <v>46037</v>
      </c>
    </row>
    <row r="16" spans="1:13" s="48" customFormat="1">
      <c r="A16" s="46" t="s">
        <v>569</v>
      </c>
      <c r="B16" s="47">
        <v>46055</v>
      </c>
      <c r="C16" s="47">
        <v>46083</v>
      </c>
      <c r="D16" s="47">
        <v>46113</v>
      </c>
      <c r="E16" s="47">
        <v>46143</v>
      </c>
      <c r="F16" s="47">
        <v>46174</v>
      </c>
      <c r="G16" s="47">
        <v>46204</v>
      </c>
      <c r="H16" s="47">
        <v>46237</v>
      </c>
      <c r="I16" s="47">
        <v>46266</v>
      </c>
      <c r="J16" s="47">
        <v>46296</v>
      </c>
      <c r="K16" s="47">
        <v>46328</v>
      </c>
      <c r="L16" s="47">
        <v>46357</v>
      </c>
      <c r="M16" s="47">
        <v>46388</v>
      </c>
    </row>
    <row r="17" spans="1:13" s="48" customFormat="1">
      <c r="A17" s="46" t="s">
        <v>542</v>
      </c>
      <c r="B17" s="47">
        <v>46056</v>
      </c>
      <c r="C17" s="47">
        <v>46084</v>
      </c>
      <c r="D17" s="47">
        <v>46119</v>
      </c>
      <c r="E17" s="47">
        <v>46147</v>
      </c>
      <c r="F17" s="47">
        <v>46175</v>
      </c>
      <c r="G17" s="47">
        <v>46210</v>
      </c>
      <c r="H17" s="47">
        <v>46238</v>
      </c>
      <c r="I17" s="47">
        <v>46266</v>
      </c>
      <c r="J17" s="47">
        <v>46301</v>
      </c>
      <c r="K17" s="47">
        <v>46329</v>
      </c>
      <c r="L17" s="47">
        <v>46357</v>
      </c>
      <c r="M17" s="47">
        <v>46392</v>
      </c>
    </row>
    <row r="18" spans="1:13" s="48" customFormat="1">
      <c r="A18" s="46" t="s">
        <v>2337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  <row r="19" spans="1:13" s="48" customFormat="1">
      <c r="A19" s="46" t="s">
        <v>551</v>
      </c>
      <c r="B19" s="47">
        <v>46063</v>
      </c>
      <c r="C19" s="47">
        <v>46091</v>
      </c>
      <c r="D19" s="47">
        <v>46126</v>
      </c>
      <c r="E19" s="47">
        <v>46154</v>
      </c>
      <c r="F19" s="47">
        <v>46182</v>
      </c>
      <c r="G19" s="47">
        <v>46217</v>
      </c>
      <c r="H19" s="47">
        <v>46245</v>
      </c>
      <c r="I19" s="47">
        <v>46273</v>
      </c>
      <c r="J19" s="47">
        <v>46308</v>
      </c>
      <c r="K19" s="47">
        <v>46336</v>
      </c>
      <c r="L19" s="47">
        <v>46365</v>
      </c>
      <c r="M19" s="47">
        <v>46399</v>
      </c>
    </row>
    <row r="20" spans="1:13" s="48" customFormat="1">
      <c r="A20" s="46" t="s">
        <v>2338</v>
      </c>
      <c r="B20" s="47">
        <v>46057</v>
      </c>
      <c r="C20" s="47">
        <v>46085</v>
      </c>
      <c r="D20" s="47">
        <v>46115</v>
      </c>
      <c r="E20" s="47">
        <v>46147</v>
      </c>
      <c r="F20" s="47">
        <v>46176</v>
      </c>
      <c r="G20" s="47">
        <v>46206</v>
      </c>
      <c r="H20" s="47">
        <v>46239</v>
      </c>
      <c r="I20" s="47">
        <v>46268</v>
      </c>
      <c r="J20" s="47">
        <v>46300</v>
      </c>
      <c r="K20" s="47">
        <v>46330</v>
      </c>
      <c r="L20" s="47">
        <v>46359</v>
      </c>
      <c r="M20" s="47">
        <v>46392</v>
      </c>
    </row>
    <row r="21" spans="1:13" s="48" customFormat="1">
      <c r="A21" s="46" t="s">
        <v>612</v>
      </c>
      <c r="B21" s="47">
        <v>46071</v>
      </c>
      <c r="C21" s="47">
        <v>46098</v>
      </c>
      <c r="D21" s="47">
        <v>46133</v>
      </c>
      <c r="E21" s="47">
        <v>46161</v>
      </c>
      <c r="F21" s="47">
        <v>46189</v>
      </c>
      <c r="G21" s="47">
        <v>46224</v>
      </c>
      <c r="H21" s="47">
        <v>46252</v>
      </c>
      <c r="I21" s="47">
        <v>46280</v>
      </c>
      <c r="J21" s="47">
        <v>46315</v>
      </c>
      <c r="K21" s="47">
        <v>46343</v>
      </c>
      <c r="L21" s="47">
        <v>46372</v>
      </c>
      <c r="M21" s="47">
        <v>46406</v>
      </c>
    </row>
    <row r="22" spans="1:13">
      <c r="A22" s="46" t="s">
        <v>631</v>
      </c>
      <c r="B22" s="47">
        <v>46080</v>
      </c>
      <c r="C22" s="47">
        <v>46112</v>
      </c>
      <c r="D22" s="47">
        <v>46142</v>
      </c>
      <c r="E22" s="47">
        <v>46171</v>
      </c>
      <c r="F22" s="47">
        <v>46203</v>
      </c>
      <c r="G22" s="47">
        <v>46234</v>
      </c>
      <c r="H22" s="47">
        <v>46265</v>
      </c>
      <c r="I22" s="47">
        <v>46295</v>
      </c>
      <c r="J22" s="47">
        <v>46325</v>
      </c>
      <c r="K22" s="47">
        <v>46356</v>
      </c>
      <c r="L22" s="47">
        <v>46386</v>
      </c>
      <c r="M22" s="47">
        <v>46416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1644-B3A8-47D1-91C0-ECF052208854}">
  <dimension ref="A1:Y31"/>
  <sheetViews>
    <sheetView showGridLines="0" topLeftCell="N13" workbookViewId="0">
      <selection activeCell="U29" sqref="U29"/>
    </sheetView>
  </sheetViews>
  <sheetFormatPr baseColWidth="10" defaultColWidth="11.3984375" defaultRowHeight="13.8"/>
  <cols>
    <col min="1" max="1" width="17.59765625" style="1" bestFit="1" customWidth="1"/>
    <col min="2" max="2" width="8.69921875" style="16" bestFit="1" customWidth="1"/>
    <col min="3" max="3" width="19.69921875" style="26" bestFit="1" customWidth="1"/>
    <col min="4" max="4" width="27" style="20" bestFit="1" customWidth="1"/>
    <col min="5" max="5" width="27" style="26" customWidth="1"/>
    <col min="6" max="6" width="23.69921875" style="5" bestFit="1" customWidth="1"/>
    <col min="7" max="7" width="23.69921875" style="30" customWidth="1"/>
    <col min="8" max="8" width="18.8984375" bestFit="1" customWidth="1"/>
    <col min="9" max="9" width="18.8984375" style="31" customWidth="1"/>
    <col min="10" max="10" width="18.8984375" bestFit="1" customWidth="1"/>
    <col min="11" max="11" width="18.8984375" style="31" customWidth="1"/>
    <col min="12" max="12" width="18.8984375" style="37" bestFit="1" customWidth="1"/>
    <col min="13" max="13" width="18.8984375" style="31" customWidth="1"/>
    <col min="14" max="14" width="18.8984375" bestFit="1" customWidth="1"/>
    <col min="15" max="15" width="18.8984375" style="31" customWidth="1"/>
    <col min="16" max="16" width="18.8984375" bestFit="1" customWidth="1"/>
    <col min="17" max="17" width="18.8984375" style="31" customWidth="1"/>
    <col min="18" max="18" width="18.8984375" bestFit="1" customWidth="1"/>
    <col min="19" max="19" width="18.8984375" style="31" customWidth="1"/>
    <col min="20" max="20" width="18.8984375" bestFit="1" customWidth="1"/>
    <col min="21" max="21" width="18.8984375" style="31" customWidth="1"/>
    <col min="22" max="22" width="18.8984375" bestFit="1" customWidth="1"/>
    <col min="23" max="23" width="18.8984375" style="31" customWidth="1"/>
    <col min="24" max="24" width="18.8984375" bestFit="1" customWidth="1"/>
    <col min="25" max="25" width="19.8984375" bestFit="1" customWidth="1"/>
  </cols>
  <sheetData>
    <row r="1" spans="1:25" s="22" customFormat="1">
      <c r="A1" s="58" t="s">
        <v>2339</v>
      </c>
      <c r="B1" s="58"/>
      <c r="C1" s="29"/>
      <c r="D1" s="21">
        <v>36502319630.459999</v>
      </c>
      <c r="E1" s="24"/>
      <c r="F1" s="21">
        <v>37191783941.709999</v>
      </c>
      <c r="G1" s="24"/>
      <c r="H1" s="21">
        <v>37757854849.040001</v>
      </c>
      <c r="I1" s="24"/>
      <c r="J1" s="21">
        <v>39989974964.709999</v>
      </c>
      <c r="K1" s="24"/>
      <c r="L1" s="38">
        <v>38894181082.040001</v>
      </c>
      <c r="M1" s="24"/>
      <c r="N1" s="21">
        <v>39023823461.709999</v>
      </c>
      <c r="O1" s="24"/>
      <c r="P1" s="21">
        <v>39489115187.040001</v>
      </c>
      <c r="Q1" s="24"/>
      <c r="R1" s="21">
        <v>40808075325.709999</v>
      </c>
      <c r="S1" s="24"/>
      <c r="T1" s="21">
        <v>42512403598.040001</v>
      </c>
      <c r="U1" s="24"/>
      <c r="V1" s="21">
        <v>43136637488.709999</v>
      </c>
      <c r="W1" s="24"/>
      <c r="X1" s="21">
        <v>45141536356.040001</v>
      </c>
      <c r="Y1" s="49">
        <f>SUM(D1:X1)</f>
        <v>440447705885.20996</v>
      </c>
    </row>
    <row r="2" spans="1:25">
      <c r="A2" s="1" t="s">
        <v>2340</v>
      </c>
      <c r="B2" s="16" t="s">
        <v>2341</v>
      </c>
      <c r="C2" s="14" t="s">
        <v>2342</v>
      </c>
      <c r="D2" s="15" t="s">
        <v>2343</v>
      </c>
      <c r="E2" s="25" t="s">
        <v>2344</v>
      </c>
      <c r="F2" s="15" t="s">
        <v>346</v>
      </c>
      <c r="G2" s="25" t="s">
        <v>2345</v>
      </c>
      <c r="H2" s="15" t="s">
        <v>347</v>
      </c>
      <c r="I2" s="25" t="s">
        <v>2346</v>
      </c>
      <c r="J2" s="15" t="s">
        <v>348</v>
      </c>
      <c r="K2" s="25" t="s">
        <v>2347</v>
      </c>
      <c r="L2" s="32" t="s">
        <v>349</v>
      </c>
      <c r="M2" s="25" t="s">
        <v>2348</v>
      </c>
      <c r="N2" s="15" t="s">
        <v>350</v>
      </c>
      <c r="O2" s="25" t="s">
        <v>2349</v>
      </c>
      <c r="P2" s="15" t="s">
        <v>351</v>
      </c>
      <c r="Q2" s="25" t="s">
        <v>2350</v>
      </c>
      <c r="R2" s="15" t="s">
        <v>2328</v>
      </c>
      <c r="S2" s="25" t="s">
        <v>2351</v>
      </c>
      <c r="T2" s="15" t="s">
        <v>353</v>
      </c>
      <c r="U2" s="25" t="s">
        <v>2352</v>
      </c>
      <c r="V2" s="15" t="s">
        <v>2329</v>
      </c>
      <c r="W2" s="25" t="s">
        <v>2353</v>
      </c>
      <c r="X2" s="15" t="s">
        <v>2330</v>
      </c>
      <c r="Y2" s="1" t="s">
        <v>2331</v>
      </c>
    </row>
    <row r="3" spans="1:25">
      <c r="B3" s="17"/>
      <c r="C3" s="26">
        <v>46054</v>
      </c>
      <c r="D3" s="15"/>
      <c r="E3" s="25">
        <v>46082</v>
      </c>
      <c r="F3" s="15"/>
      <c r="G3" s="25"/>
      <c r="H3" s="15">
        <f>+$H$1*Tabla6[[#This Row],[%%]]</f>
        <v>0</v>
      </c>
      <c r="I3" s="25">
        <v>46143</v>
      </c>
      <c r="J3" s="15"/>
      <c r="K3" s="33"/>
      <c r="L3" s="32"/>
      <c r="M3" s="25"/>
      <c r="N3" s="15"/>
      <c r="O3" s="25">
        <v>46235</v>
      </c>
      <c r="P3" s="15">
        <f t="shared" ref="P3:P24" si="0">+$P$1*B4</f>
        <v>0</v>
      </c>
      <c r="Q3" s="25"/>
      <c r="R3" s="15"/>
      <c r="S3" s="25"/>
      <c r="T3" s="15">
        <f>+$T$1*Tabla6[[#This Row],[%%]]</f>
        <v>0</v>
      </c>
      <c r="U3" s="25"/>
      <c r="V3" s="15">
        <f>+$V$1*B4</f>
        <v>0</v>
      </c>
      <c r="W3" s="25"/>
      <c r="X3" s="15">
        <f>+$X$1*Tabla6[[#This Row],[%%]]</f>
        <v>0</v>
      </c>
      <c r="Y3" s="18"/>
    </row>
    <row r="4" spans="1:25">
      <c r="A4" s="1">
        <v>1</v>
      </c>
      <c r="B4" s="23"/>
      <c r="C4" s="26">
        <v>46055</v>
      </c>
      <c r="D4" s="15">
        <f>+$D$1*B5</f>
        <v>639945277.95740092</v>
      </c>
      <c r="E4" s="25">
        <v>46083</v>
      </c>
      <c r="F4" s="15">
        <f>+$F$1*B5</f>
        <v>652032713.35250401</v>
      </c>
      <c r="G4" s="25">
        <v>46113</v>
      </c>
      <c r="H4" s="15">
        <f>+$H$1*B5</f>
        <v>661956860.85332763</v>
      </c>
      <c r="I4" s="25">
        <v>46146</v>
      </c>
      <c r="J4" s="15">
        <f t="shared" ref="J4:J24" si="1">+$J$1*B5</f>
        <v>701089571.9335506</v>
      </c>
      <c r="K4" s="25">
        <v>46174</v>
      </c>
      <c r="L4" s="32"/>
      <c r="M4" s="25">
        <v>46204</v>
      </c>
      <c r="N4" s="15">
        <f t="shared" ref="N4:N9" si="2">+$N$1*B5</f>
        <v>684151358.1872561</v>
      </c>
      <c r="O4" s="25">
        <v>46237</v>
      </c>
      <c r="P4" s="15">
        <f t="shared" si="0"/>
        <v>692308682.03713858</v>
      </c>
      <c r="Q4" s="25">
        <v>46266</v>
      </c>
      <c r="R4" s="15">
        <f>+$R$1*Tabla6[[#This Row],[%%]]</f>
        <v>0</v>
      </c>
      <c r="S4" s="25">
        <v>46296</v>
      </c>
      <c r="T4" s="15">
        <f t="shared" ref="T4:T9" si="3">+$T$1*B5</f>
        <v>745311865.45423591</v>
      </c>
      <c r="U4" s="25">
        <v>46328</v>
      </c>
      <c r="V4" s="15">
        <f>+$V$1*B5</f>
        <v>756255705.04359436</v>
      </c>
      <c r="W4" s="25">
        <v>46357</v>
      </c>
      <c r="X4" s="15">
        <f t="shared" ref="X4:X9" si="4">+$X$1*B5</f>
        <v>791404856.54736161</v>
      </c>
      <c r="Y4" s="18"/>
    </row>
    <row r="5" spans="1:25">
      <c r="A5" s="1">
        <v>2</v>
      </c>
      <c r="B5" s="17">
        <v>1.753163317937163E-2</v>
      </c>
      <c r="C5" s="26">
        <v>46056</v>
      </c>
      <c r="D5" s="15">
        <f t="shared" ref="D5:D24" si="5">+$D$1*B6</f>
        <v>873027767.98404932</v>
      </c>
      <c r="E5" s="25">
        <v>46084</v>
      </c>
      <c r="F5" s="15">
        <f t="shared" ref="F5:F24" si="6">+$F$1*B6</f>
        <v>889517719.71448576</v>
      </c>
      <c r="G5" s="25">
        <v>46118</v>
      </c>
      <c r="H5" s="15">
        <f t="shared" ref="H5:H22" si="7">+$H$1*B6</f>
        <v>903056465.35449243</v>
      </c>
      <c r="I5" s="25">
        <v>46147</v>
      </c>
      <c r="J5" s="15">
        <f t="shared" si="1"/>
        <v>956442191.58186197</v>
      </c>
      <c r="K5" s="25">
        <v>46175</v>
      </c>
      <c r="L5" s="32">
        <f>+$L$1*Tabla6[[#This Row],[%%]]</f>
        <v>681878515.54238081</v>
      </c>
      <c r="M5" s="25">
        <v>46205</v>
      </c>
      <c r="N5" s="15">
        <f t="shared" si="2"/>
        <v>933334698.72284186</v>
      </c>
      <c r="O5" s="25">
        <v>46238</v>
      </c>
      <c r="P5" s="15">
        <f t="shared" si="0"/>
        <v>944463103.72665226</v>
      </c>
      <c r="Q5" s="25">
        <v>46267</v>
      </c>
      <c r="R5" s="15">
        <f>+$R$1*Tabla6[[#This Row],[%%]]</f>
        <v>715432207.36651421</v>
      </c>
      <c r="S5" s="25">
        <v>46297</v>
      </c>
      <c r="T5" s="15">
        <f t="shared" si="3"/>
        <v>1016771240.8573366</v>
      </c>
      <c r="U5" s="25">
        <v>46329</v>
      </c>
      <c r="V5" s="15">
        <f t="shared" ref="V5:V22" si="8">+$V$1*B6</f>
        <v>1031701073.4210969</v>
      </c>
      <c r="W5" s="25">
        <v>46358</v>
      </c>
      <c r="X5" s="15">
        <f t="shared" si="4"/>
        <v>1079652337.9132926</v>
      </c>
      <c r="Y5" s="18"/>
    </row>
    <row r="6" spans="1:25">
      <c r="A6" s="1">
        <v>3</v>
      </c>
      <c r="B6" s="17">
        <v>2.3917049021058269E-2</v>
      </c>
      <c r="C6" s="26">
        <v>46057</v>
      </c>
      <c r="D6" s="15">
        <f t="shared" si="5"/>
        <v>497311414.51141286</v>
      </c>
      <c r="E6" s="25">
        <v>46085</v>
      </c>
      <c r="F6" s="15">
        <f t="shared" si="6"/>
        <v>506704748.28729582</v>
      </c>
      <c r="G6" s="25">
        <v>46119</v>
      </c>
      <c r="H6" s="15">
        <f t="shared" si="7"/>
        <v>514416957.44244027</v>
      </c>
      <c r="I6" s="25">
        <v>46148</v>
      </c>
      <c r="J6" s="15">
        <f t="shared" si="1"/>
        <v>544827594.99427724</v>
      </c>
      <c r="K6" s="25">
        <v>46176</v>
      </c>
      <c r="L6" s="32">
        <f>+$L$1*Tabla6[[#This Row],[%%]]</f>
        <v>930234035.5730679</v>
      </c>
      <c r="M6" s="25">
        <v>46206</v>
      </c>
      <c r="N6" s="15">
        <f t="shared" si="2"/>
        <v>531664646.02408874</v>
      </c>
      <c r="O6" s="25">
        <v>46239</v>
      </c>
      <c r="P6" s="15">
        <f t="shared" si="0"/>
        <v>538003829.07949173</v>
      </c>
      <c r="Q6" s="25">
        <v>46268</v>
      </c>
      <c r="R6" s="15">
        <f>+$R$1*Tabla6[[#This Row],[%%]]</f>
        <v>976008738.02004445</v>
      </c>
      <c r="S6" s="25">
        <v>46300</v>
      </c>
      <c r="T6" s="15">
        <f t="shared" si="3"/>
        <v>579193426.10706639</v>
      </c>
      <c r="U6" s="25">
        <v>46330</v>
      </c>
      <c r="V6" s="15">
        <f t="shared" si="8"/>
        <v>587698053.82108176</v>
      </c>
      <c r="W6" s="25">
        <v>46359</v>
      </c>
      <c r="X6" s="15">
        <f t="shared" si="4"/>
        <v>615013005.35726309</v>
      </c>
      <c r="Y6" s="18"/>
    </row>
    <row r="7" spans="1:25">
      <c r="A7" s="1">
        <v>4</v>
      </c>
      <c r="B7" s="17">
        <v>1.3624104428049079E-2</v>
      </c>
      <c r="C7" s="26">
        <v>46058</v>
      </c>
      <c r="D7" s="15">
        <f t="shared" si="5"/>
        <v>628149171.99649477</v>
      </c>
      <c r="E7" s="25">
        <v>46086</v>
      </c>
      <c r="F7" s="15">
        <f t="shared" si="6"/>
        <v>640013799.79596817</v>
      </c>
      <c r="G7" s="25">
        <v>46120</v>
      </c>
      <c r="H7" s="15">
        <f t="shared" si="7"/>
        <v>649755015.56883991</v>
      </c>
      <c r="I7" s="25">
        <v>46149</v>
      </c>
      <c r="J7" s="15">
        <f t="shared" si="1"/>
        <v>688166393.71273243</v>
      </c>
      <c r="K7" s="25">
        <v>46177</v>
      </c>
      <c r="L7" s="32">
        <f>+$L$1*Tabla6[[#This Row],[%%]]</f>
        <v>529898384.7051639</v>
      </c>
      <c r="M7" s="25">
        <v>46209</v>
      </c>
      <c r="N7" s="15">
        <f t="shared" si="2"/>
        <v>671540401.91887975</v>
      </c>
      <c r="O7" s="25">
        <v>46240</v>
      </c>
      <c r="P7" s="15">
        <f t="shared" si="0"/>
        <v>679547361.8864038</v>
      </c>
      <c r="Q7" s="25">
        <v>46269</v>
      </c>
      <c r="R7" s="15">
        <f>+$R$1*Tabla6[[#This Row],[%%]]</f>
        <v>555973479.74516594</v>
      </c>
      <c r="S7" s="25">
        <v>46301</v>
      </c>
      <c r="T7" s="15">
        <f t="shared" si="3"/>
        <v>731573538.06649315</v>
      </c>
      <c r="U7" s="25">
        <v>46331</v>
      </c>
      <c r="V7" s="15">
        <f t="shared" si="8"/>
        <v>742315649.95215273</v>
      </c>
      <c r="W7" s="25">
        <v>46360</v>
      </c>
      <c r="X7" s="15">
        <f t="shared" si="4"/>
        <v>776816897.43997383</v>
      </c>
      <c r="Y7" s="18"/>
    </row>
    <row r="8" spans="1:25">
      <c r="A8" s="1">
        <v>5</v>
      </c>
      <c r="B8" s="17">
        <v>1.7208472731478814E-2</v>
      </c>
      <c r="C8" s="26">
        <v>46059</v>
      </c>
      <c r="D8" s="15">
        <f t="shared" si="5"/>
        <v>815793026.53008676</v>
      </c>
      <c r="E8" s="25">
        <v>46087</v>
      </c>
      <c r="F8" s="15">
        <f t="shared" si="6"/>
        <v>831201915.13917565</v>
      </c>
      <c r="G8" s="25">
        <v>46121</v>
      </c>
      <c r="H8" s="15">
        <f t="shared" si="7"/>
        <v>843853075.48724353</v>
      </c>
      <c r="I8" s="25">
        <v>46150</v>
      </c>
      <c r="J8" s="15">
        <f t="shared" si="1"/>
        <v>893738892.14700437</v>
      </c>
      <c r="K8" s="25">
        <v>46178</v>
      </c>
      <c r="L8" s="32">
        <f>+$L$1*Tabla6[[#This Row],[%%]]</f>
        <v>669309454.56348455</v>
      </c>
      <c r="M8" s="25">
        <v>46210</v>
      </c>
      <c r="N8" s="15">
        <f t="shared" si="2"/>
        <v>872146301.13639772</v>
      </c>
      <c r="O8" s="25">
        <v>46241</v>
      </c>
      <c r="P8" s="15">
        <f t="shared" si="0"/>
        <v>882545140.13263559</v>
      </c>
      <c r="Q8" s="25">
        <v>46272</v>
      </c>
      <c r="R8" s="15">
        <f>+$R$1*Tabla6[[#This Row],[%%]]</f>
        <v>702244651.46661389</v>
      </c>
      <c r="S8" s="25">
        <v>46302</v>
      </c>
      <c r="T8" s="15">
        <f t="shared" si="3"/>
        <v>950112835.22302961</v>
      </c>
      <c r="U8" s="25">
        <v>46332</v>
      </c>
      <c r="V8" s="15">
        <f t="shared" si="8"/>
        <v>964063884.36422944</v>
      </c>
      <c r="W8" s="25">
        <v>46365</v>
      </c>
      <c r="X8" s="15">
        <f t="shared" si="4"/>
        <v>1008871516.6304551</v>
      </c>
      <c r="Y8" s="18"/>
    </row>
    <row r="9" spans="1:25">
      <c r="A9" s="1">
        <v>6</v>
      </c>
      <c r="B9" s="17">
        <v>2.2349073559953542E-2</v>
      </c>
      <c r="C9" s="26">
        <v>46062</v>
      </c>
      <c r="D9" s="15">
        <f t="shared" si="5"/>
        <v>1423324379.7555845</v>
      </c>
      <c r="E9" s="25">
        <v>46090</v>
      </c>
      <c r="F9" s="15">
        <f t="shared" si="6"/>
        <v>1450208462.0031857</v>
      </c>
      <c r="G9" s="25">
        <v>46122</v>
      </c>
      <c r="H9" s="15">
        <f t="shared" si="7"/>
        <v>1472281100.981472</v>
      </c>
      <c r="I9" s="25">
        <v>46153</v>
      </c>
      <c r="J9" s="15">
        <f t="shared" si="1"/>
        <v>1559317514.3201146</v>
      </c>
      <c r="K9" s="25">
        <v>46181</v>
      </c>
      <c r="L9" s="32">
        <f>+$L$1*Tabla6[[#This Row],[%%]]</f>
        <v>869248914.05666542</v>
      </c>
      <c r="M9" s="25">
        <v>46211</v>
      </c>
      <c r="N9" s="15">
        <f t="shared" si="2"/>
        <v>1521644648.522022</v>
      </c>
      <c r="O9" s="25">
        <v>46244</v>
      </c>
      <c r="P9" s="15">
        <f t="shared" si="0"/>
        <v>1539787634.038156</v>
      </c>
      <c r="Q9" s="25">
        <v>46273</v>
      </c>
      <c r="R9" s="15">
        <f>+$R$1*Tabla6[[#This Row],[%%]]</f>
        <v>912022677.29441786</v>
      </c>
      <c r="S9" s="25">
        <v>46303</v>
      </c>
      <c r="T9" s="15">
        <f t="shared" si="3"/>
        <v>1657673843.6262722</v>
      </c>
      <c r="U9" s="25">
        <v>46335</v>
      </c>
      <c r="V9" s="15">
        <f t="shared" si="8"/>
        <v>1682014414.9722884</v>
      </c>
      <c r="W9" s="25">
        <v>46366</v>
      </c>
      <c r="X9" s="15">
        <f t="shared" si="4"/>
        <v>1760190855.9684899</v>
      </c>
      <c r="Y9" s="18"/>
    </row>
    <row r="10" spans="1:25">
      <c r="A10" s="1">
        <v>7</v>
      </c>
      <c r="B10" s="17">
        <v>3.8992710440458322E-2</v>
      </c>
      <c r="C10" s="26">
        <v>46063</v>
      </c>
      <c r="D10" s="15">
        <f t="shared" si="5"/>
        <v>7239911237.5887289</v>
      </c>
      <c r="E10" s="25">
        <v>46091</v>
      </c>
      <c r="F10" s="15">
        <f t="shared" si="6"/>
        <v>7376660366.5610666</v>
      </c>
      <c r="G10" s="25">
        <v>46125</v>
      </c>
      <c r="H10" s="15">
        <f t="shared" si="7"/>
        <v>7488935508.6545191</v>
      </c>
      <c r="I10" s="25">
        <v>46154</v>
      </c>
      <c r="J10" s="15">
        <f t="shared" si="1"/>
        <v>7931656729.4615879</v>
      </c>
      <c r="K10" s="25">
        <v>46182</v>
      </c>
      <c r="L10" s="32">
        <f>+$L$1*Tabla6[[#This Row],[%%]]</f>
        <v>1516589540.7507377</v>
      </c>
      <c r="M10" s="25">
        <v>46216</v>
      </c>
      <c r="N10" s="15">
        <f>+$N$1*B11</f>
        <v>7740029150.8694048</v>
      </c>
      <c r="O10" s="25">
        <v>46245</v>
      </c>
      <c r="P10" s="15">
        <f t="shared" si="0"/>
        <v>7832315636.3606634</v>
      </c>
      <c r="Q10" s="25">
        <v>46274</v>
      </c>
      <c r="R10" s="15">
        <f>+$R$1*Tabla6[[#This Row],[%%]]</f>
        <v>1591217464.807822</v>
      </c>
      <c r="S10" s="25">
        <v>46304</v>
      </c>
      <c r="T10" s="15">
        <f>+$T$1*B11</f>
        <v>8431958069.0296707</v>
      </c>
      <c r="U10" s="25">
        <v>46336</v>
      </c>
      <c r="V10" s="15">
        <f t="shared" si="8"/>
        <v>8555769322.8266525</v>
      </c>
      <c r="W10" s="25">
        <v>46367</v>
      </c>
      <c r="X10" s="15">
        <f>+$X$1*B11</f>
        <v>8953423225.010416</v>
      </c>
      <c r="Y10" s="18"/>
    </row>
    <row r="11" spans="1:25" s="37" customFormat="1">
      <c r="A11" s="34">
        <v>8</v>
      </c>
      <c r="B11" s="35">
        <v>0.19834112765664511</v>
      </c>
      <c r="C11" s="36">
        <v>46064</v>
      </c>
      <c r="D11" s="15">
        <f t="shared" si="5"/>
        <v>1402284366.6007483</v>
      </c>
      <c r="E11" s="33">
        <v>46092</v>
      </c>
      <c r="F11" s="15">
        <f t="shared" si="6"/>
        <v>1428771040.1815758</v>
      </c>
      <c r="G11" s="33">
        <v>46126</v>
      </c>
      <c r="H11" s="15">
        <f t="shared" si="7"/>
        <v>1450517394.7084253</v>
      </c>
      <c r="I11" s="33">
        <v>46155</v>
      </c>
      <c r="J11" s="15">
        <f t="shared" si="1"/>
        <v>1536267209.3576608</v>
      </c>
      <c r="K11" s="33">
        <v>46183</v>
      </c>
      <c r="L11" s="32">
        <f>+$L$1*Tabla6[[#This Row],[%%]]</f>
        <v>7714315735.0935669</v>
      </c>
      <c r="M11" s="33">
        <v>46217</v>
      </c>
      <c r="N11" s="15">
        <f t="shared" ref="N11:N24" si="9">+$N$1*B12</f>
        <v>1499151235.3006542</v>
      </c>
      <c r="O11" s="25">
        <v>46246</v>
      </c>
      <c r="P11" s="15">
        <f t="shared" si="0"/>
        <v>1517026025.6960154</v>
      </c>
      <c r="Q11" s="25">
        <v>46275</v>
      </c>
      <c r="R11" s="15">
        <f>+$R$1*Tabla6[[#This Row],[%%]]</f>
        <v>8093919677.5986366</v>
      </c>
      <c r="S11" s="33">
        <v>46308</v>
      </c>
      <c r="T11" s="15">
        <f t="shared" ref="T11:T24" si="10">+$T$1*B12</f>
        <v>1633169605.5394394</v>
      </c>
      <c r="U11" s="25">
        <v>46337</v>
      </c>
      <c r="V11" s="15">
        <f t="shared" si="8"/>
        <v>1657150367.1691318</v>
      </c>
      <c r="W11" s="25">
        <v>46370</v>
      </c>
      <c r="X11" s="15">
        <f t="shared" ref="X11:X24" si="11">+$X$1*B12</f>
        <v>1734171180.2773035</v>
      </c>
      <c r="Y11" s="18"/>
    </row>
    <row r="12" spans="1:25">
      <c r="A12" s="1">
        <v>9</v>
      </c>
      <c r="B12" s="17">
        <v>3.8416308355115808E-2</v>
      </c>
      <c r="C12" s="26">
        <v>46065</v>
      </c>
      <c r="D12" s="15">
        <f t="shared" si="5"/>
        <v>940602947.63159418</v>
      </c>
      <c r="E12" s="25">
        <v>46093</v>
      </c>
      <c r="F12" s="15">
        <f t="shared" si="6"/>
        <v>958369275.08732593</v>
      </c>
      <c r="G12" s="25">
        <v>46127</v>
      </c>
      <c r="H12" s="15">
        <f t="shared" si="7"/>
        <v>972955963.53325081</v>
      </c>
      <c r="I12" s="25">
        <v>46156</v>
      </c>
      <c r="J12" s="15">
        <f t="shared" si="1"/>
        <v>1030473918.0501736</v>
      </c>
      <c r="K12" s="25">
        <v>46184</v>
      </c>
      <c r="L12" s="32">
        <f>+$L$1*Tabla6[[#This Row],[%%]]</f>
        <v>1494170853.6673605</v>
      </c>
      <c r="M12" s="25">
        <v>46218</v>
      </c>
      <c r="N12" s="15">
        <f t="shared" si="9"/>
        <v>1005577830.3280618</v>
      </c>
      <c r="O12" s="25">
        <v>46247</v>
      </c>
      <c r="P12" s="15">
        <f t="shared" si="0"/>
        <v>1017567609.9580879</v>
      </c>
      <c r="Q12" s="25">
        <v>46276</v>
      </c>
      <c r="R12" s="15">
        <f>+$R$1*Tabla6[[#This Row],[%%]]</f>
        <v>1567695605.0912683</v>
      </c>
      <c r="S12" s="33">
        <v>46309</v>
      </c>
      <c r="T12" s="15">
        <f t="shared" si="10"/>
        <v>1095472631.3297722</v>
      </c>
      <c r="U12" s="25">
        <v>46338</v>
      </c>
      <c r="V12" s="15">
        <f t="shared" si="8"/>
        <v>1111558081.3373322</v>
      </c>
      <c r="W12" s="25">
        <v>46371</v>
      </c>
      <c r="X12" s="15">
        <f t="shared" si="11"/>
        <v>1163220929.1619453</v>
      </c>
      <c r="Y12" s="18"/>
    </row>
    <row r="13" spans="1:25">
      <c r="A13" s="1">
        <v>10</v>
      </c>
      <c r="B13" s="17">
        <v>2.5768306155718707E-2</v>
      </c>
      <c r="C13" s="26">
        <v>46066</v>
      </c>
      <c r="D13" s="15">
        <f t="shared" si="5"/>
        <v>2645139370.1692266</v>
      </c>
      <c r="E13" s="25">
        <v>46094</v>
      </c>
      <c r="F13" s="15">
        <f t="shared" si="6"/>
        <v>2695101378.4053316</v>
      </c>
      <c r="G13" s="25">
        <v>46128</v>
      </c>
      <c r="H13" s="15">
        <f t="shared" si="7"/>
        <v>2736121687.7567549</v>
      </c>
      <c r="I13" s="25">
        <v>46157</v>
      </c>
      <c r="J13" s="15">
        <f t="shared" si="1"/>
        <v>2897872197.2224188</v>
      </c>
      <c r="K13" s="25">
        <v>46185</v>
      </c>
      <c r="L13" s="32">
        <f>+$L$1*Tabla6[[#This Row],[%%]]</f>
        <v>1002237165.7979695</v>
      </c>
      <c r="M13" s="25">
        <v>46219</v>
      </c>
      <c r="N13" s="15">
        <f t="shared" si="9"/>
        <v>2827860060.8977752</v>
      </c>
      <c r="O13" s="25">
        <v>46248</v>
      </c>
      <c r="P13" s="15">
        <f t="shared" si="0"/>
        <v>2861577410.1989775</v>
      </c>
      <c r="Q13" s="25">
        <v>46279</v>
      </c>
      <c r="R13" s="15">
        <f>+$R$1*Tabla6[[#This Row],[%%]]</f>
        <v>1051554978.6185256</v>
      </c>
      <c r="S13" s="33">
        <v>46310</v>
      </c>
      <c r="T13" s="15">
        <f t="shared" si="10"/>
        <v>3080659903.7027388</v>
      </c>
      <c r="U13" s="25">
        <v>46339</v>
      </c>
      <c r="V13" s="15">
        <f t="shared" si="8"/>
        <v>3125894991.6949892</v>
      </c>
      <c r="W13" s="25">
        <v>46372</v>
      </c>
      <c r="X13" s="15">
        <f t="shared" si="11"/>
        <v>3271179921.0055337</v>
      </c>
      <c r="Y13" s="18"/>
    </row>
    <row r="14" spans="1:25">
      <c r="A14" s="1">
        <v>11</v>
      </c>
      <c r="B14" s="17">
        <v>7.2464966526728444E-2</v>
      </c>
      <c r="C14" s="26">
        <v>46069</v>
      </c>
      <c r="D14" s="15">
        <f t="shared" si="5"/>
        <v>2418025334.4963679</v>
      </c>
      <c r="E14" s="25">
        <v>46097</v>
      </c>
      <c r="F14" s="15">
        <f t="shared" si="6"/>
        <v>2463697559.9524841</v>
      </c>
      <c r="G14" s="25">
        <v>46129</v>
      </c>
      <c r="H14" s="15">
        <f t="shared" si="7"/>
        <v>2501195828.799571</v>
      </c>
      <c r="I14" s="25">
        <v>46160</v>
      </c>
      <c r="J14" s="15">
        <f t="shared" si="1"/>
        <v>2649058294.6365404</v>
      </c>
      <c r="K14" s="25">
        <v>46189</v>
      </c>
      <c r="L14" s="32">
        <f>+$L$1*Tabla6[[#This Row],[%%]]</f>
        <v>2818465530.1945434</v>
      </c>
      <c r="M14" s="25">
        <v>46220</v>
      </c>
      <c r="N14" s="15">
        <f t="shared" si="9"/>
        <v>2585057463.0492163</v>
      </c>
      <c r="O14" s="25">
        <v>46251</v>
      </c>
      <c r="P14" s="15">
        <f t="shared" si="0"/>
        <v>2615879810.537528</v>
      </c>
      <c r="Q14" s="25">
        <v>46280</v>
      </c>
      <c r="R14" s="15">
        <f>+$R$1*Tabla6[[#This Row],[%%]]</f>
        <v>2957155812.497788</v>
      </c>
      <c r="S14" s="33">
        <v>46311</v>
      </c>
      <c r="T14" s="15">
        <f t="shared" si="10"/>
        <v>2816151684.9086843</v>
      </c>
      <c r="U14" s="25">
        <v>46342</v>
      </c>
      <c r="V14" s="15">
        <f t="shared" si="8"/>
        <v>2857502847.7271628</v>
      </c>
      <c r="W14" s="25">
        <v>46373</v>
      </c>
      <c r="X14" s="15">
        <f t="shared" si="11"/>
        <v>2990313482.869966</v>
      </c>
      <c r="Y14" s="18"/>
    </row>
    <row r="15" spans="1:25">
      <c r="A15" s="1">
        <v>12</v>
      </c>
      <c r="B15" s="17">
        <v>6.6243059591166484E-2</v>
      </c>
      <c r="C15" s="26">
        <v>46070</v>
      </c>
      <c r="D15" s="15">
        <f t="shared" si="5"/>
        <v>1289099698.2032521</v>
      </c>
      <c r="E15" s="25">
        <v>46098</v>
      </c>
      <c r="F15" s="15">
        <f t="shared" si="6"/>
        <v>1313448513.4169741</v>
      </c>
      <c r="G15" s="25">
        <v>46132</v>
      </c>
      <c r="H15" s="15">
        <f t="shared" si="7"/>
        <v>1333439622.0146813</v>
      </c>
      <c r="I15" s="25">
        <v>46161</v>
      </c>
      <c r="J15" s="15">
        <f t="shared" si="1"/>
        <v>1412268184.0511193</v>
      </c>
      <c r="K15" s="25">
        <v>46190</v>
      </c>
      <c r="L15" s="32">
        <f>+$L$1*Tabla6[[#This Row],[%%]]</f>
        <v>2576469555.1671958</v>
      </c>
      <c r="M15" s="25">
        <v>46223</v>
      </c>
      <c r="N15" s="15">
        <f t="shared" si="9"/>
        <v>1378148006.9351254</v>
      </c>
      <c r="O15" s="25">
        <v>46252</v>
      </c>
      <c r="P15" s="15">
        <f t="shared" si="0"/>
        <v>1394580042.7282383</v>
      </c>
      <c r="Q15" s="25">
        <v>46281</v>
      </c>
      <c r="R15" s="15">
        <f>+$R$1*Tabla6[[#This Row],[%%]]</f>
        <v>2703251765.6018181</v>
      </c>
      <c r="S15" s="33">
        <v>46314</v>
      </c>
      <c r="T15" s="15">
        <f t="shared" si="10"/>
        <v>1501349152.6822617</v>
      </c>
      <c r="U15" s="25">
        <v>46343</v>
      </c>
      <c r="V15" s="15">
        <f t="shared" si="8"/>
        <v>1523394319.3515997</v>
      </c>
      <c r="W15" s="25">
        <v>46374</v>
      </c>
      <c r="X15" s="15">
        <f t="shared" si="11"/>
        <v>1594198436.7602494</v>
      </c>
      <c r="Y15" s="18"/>
    </row>
    <row r="16" spans="1:25">
      <c r="A16" s="1">
        <v>13</v>
      </c>
      <c r="B16" s="17">
        <v>3.5315555593555766E-2</v>
      </c>
      <c r="C16" s="26">
        <v>46071</v>
      </c>
      <c r="D16" s="15">
        <f t="shared" si="5"/>
        <v>1588621422.7717245</v>
      </c>
      <c r="E16" s="25">
        <v>46099</v>
      </c>
      <c r="F16" s="15">
        <f t="shared" si="6"/>
        <v>1618627674.0504601</v>
      </c>
      <c r="G16" s="25">
        <v>46133</v>
      </c>
      <c r="H16" s="15">
        <f t="shared" si="7"/>
        <v>1643263707.5764461</v>
      </c>
      <c r="I16" s="25">
        <v>46162</v>
      </c>
      <c r="J16" s="15">
        <f t="shared" si="1"/>
        <v>1740408049.904599</v>
      </c>
      <c r="K16" s="25">
        <v>46191</v>
      </c>
      <c r="L16" s="32">
        <f>+$L$1*Tabla6[[#This Row],[%%]]</f>
        <v>1373569614.2686086</v>
      </c>
      <c r="M16" s="25">
        <v>46224</v>
      </c>
      <c r="N16" s="15">
        <f t="shared" si="9"/>
        <v>1698360065.2601349</v>
      </c>
      <c r="O16" s="25">
        <v>46253</v>
      </c>
      <c r="P16" s="15">
        <f t="shared" si="0"/>
        <v>1718610077.0451624</v>
      </c>
      <c r="Q16" s="25">
        <v>46282</v>
      </c>
      <c r="R16" s="15">
        <f>+$R$1*Tabla6[[#This Row],[%%]]</f>
        <v>1441159852.8311229</v>
      </c>
      <c r="S16" s="33">
        <v>46315</v>
      </c>
      <c r="T16" s="15">
        <f t="shared" si="10"/>
        <v>1850186940.8049181</v>
      </c>
      <c r="U16" s="25">
        <v>46344</v>
      </c>
      <c r="V16" s="15">
        <f t="shared" si="8"/>
        <v>1877354291.8548765</v>
      </c>
      <c r="W16" s="25">
        <v>46377</v>
      </c>
      <c r="X16" s="15">
        <f t="shared" si="11"/>
        <v>1964609713.5205562</v>
      </c>
      <c r="Y16" s="18"/>
    </row>
    <row r="17" spans="1:25">
      <c r="A17" s="1">
        <v>14</v>
      </c>
      <c r="B17" s="17">
        <v>4.3521108763895422E-2</v>
      </c>
      <c r="C17" s="26">
        <v>46072</v>
      </c>
      <c r="D17" s="15">
        <f t="shared" si="5"/>
        <v>2593907273.744379</v>
      </c>
      <c r="E17" s="25">
        <v>46100</v>
      </c>
      <c r="F17" s="15">
        <f t="shared" si="6"/>
        <v>2642901598.2159166</v>
      </c>
      <c r="G17" s="25">
        <v>46134</v>
      </c>
      <c r="H17" s="15">
        <f t="shared" si="7"/>
        <v>2683127410.1326227</v>
      </c>
      <c r="I17" s="25">
        <v>46163</v>
      </c>
      <c r="J17" s="15">
        <f t="shared" si="1"/>
        <v>2841745072.3119888</v>
      </c>
      <c r="K17" s="25">
        <v>46192</v>
      </c>
      <c r="L17" s="32">
        <f>+$L$1*Tabla6[[#This Row],[%%]]</f>
        <v>1692717885.1541066</v>
      </c>
      <c r="M17" s="25">
        <v>46225</v>
      </c>
      <c r="N17" s="15">
        <f t="shared" si="9"/>
        <v>2773088958.4939647</v>
      </c>
      <c r="O17" s="25">
        <v>46254</v>
      </c>
      <c r="P17" s="15">
        <f t="shared" si="0"/>
        <v>2806153256.9540391</v>
      </c>
      <c r="Q17" s="25">
        <v>46283</v>
      </c>
      <c r="R17" s="15">
        <f>+$R$1*Tabla6[[#This Row],[%%]]</f>
        <v>1776012684.695462</v>
      </c>
      <c r="S17" s="33">
        <v>46316</v>
      </c>
      <c r="T17" s="15">
        <f t="shared" si="10"/>
        <v>3020992474.8259897</v>
      </c>
      <c r="U17" s="25">
        <v>46345</v>
      </c>
      <c r="V17" s="15">
        <f t="shared" si="8"/>
        <v>3065351431.8982821</v>
      </c>
      <c r="W17" s="25">
        <v>46378</v>
      </c>
      <c r="X17" s="15">
        <f t="shared" si="11"/>
        <v>3207822425.7347803</v>
      </c>
      <c r="Y17" s="18"/>
    </row>
    <row r="18" spans="1:25">
      <c r="A18" s="1">
        <v>15</v>
      </c>
      <c r="B18" s="17">
        <v>7.1061436643052339E-2</v>
      </c>
      <c r="C18" s="26">
        <v>46073</v>
      </c>
      <c r="D18" s="15">
        <f t="shared" si="5"/>
        <v>2687811867.2121367</v>
      </c>
      <c r="E18" s="25">
        <v>46101</v>
      </c>
      <c r="F18" s="15">
        <f t="shared" si="6"/>
        <v>2738579883.5069313</v>
      </c>
      <c r="G18" s="25">
        <v>46135</v>
      </c>
      <c r="H18" s="15">
        <f t="shared" si="7"/>
        <v>2780261949.6826787</v>
      </c>
      <c r="I18" s="25">
        <v>46164</v>
      </c>
      <c r="J18" s="15">
        <f t="shared" si="1"/>
        <v>2944621886.1655741</v>
      </c>
      <c r="K18" s="25">
        <v>46195</v>
      </c>
      <c r="L18" s="32">
        <f>+$L$1*Tabla6[[#This Row],[%%]]</f>
        <v>2763876384.7447906</v>
      </c>
      <c r="M18" s="25">
        <v>46226</v>
      </c>
      <c r="N18" s="15">
        <f t="shared" si="9"/>
        <v>2873480284.7118058</v>
      </c>
      <c r="O18" s="25">
        <v>46255</v>
      </c>
      <c r="P18" s="15">
        <f t="shared" si="0"/>
        <v>2907741576.4247303</v>
      </c>
      <c r="Q18" s="25">
        <v>46286</v>
      </c>
      <c r="R18" s="15">
        <f>+$R$1*Tabla6[[#This Row],[%%]]</f>
        <v>2899880459.2828484</v>
      </c>
      <c r="S18" s="33">
        <v>46317</v>
      </c>
      <c r="T18" s="15">
        <f t="shared" si="10"/>
        <v>3130358400.5432124</v>
      </c>
      <c r="U18" s="25">
        <v>46346</v>
      </c>
      <c r="V18" s="15">
        <f t="shared" si="8"/>
        <v>3176323239.9354663</v>
      </c>
      <c r="W18" s="25">
        <v>46379</v>
      </c>
      <c r="X18" s="15">
        <f t="shared" si="11"/>
        <v>3323951966.62255</v>
      </c>
      <c r="Y18" s="18"/>
    </row>
    <row r="19" spans="1:25">
      <c r="A19" s="1">
        <v>16</v>
      </c>
      <c r="B19" s="17">
        <v>7.363400174078924E-2</v>
      </c>
      <c r="C19" s="26">
        <v>46076</v>
      </c>
      <c r="D19" s="15">
        <f t="shared" si="5"/>
        <v>1512564266.0554116</v>
      </c>
      <c r="E19" s="25">
        <v>46102</v>
      </c>
      <c r="F19" s="15">
        <f t="shared" si="6"/>
        <v>1541133932.051296</v>
      </c>
      <c r="G19" s="25">
        <v>46136</v>
      </c>
      <c r="H19" s="15">
        <f t="shared" si="7"/>
        <v>1564590485.9127781</v>
      </c>
      <c r="I19" s="25">
        <v>46168</v>
      </c>
      <c r="J19" s="15">
        <f t="shared" si="1"/>
        <v>1657083926.2937167</v>
      </c>
      <c r="K19" s="25">
        <v>46196</v>
      </c>
      <c r="L19" s="32">
        <f>+$L$1*Tabla6[[#This Row],[%%]]</f>
        <v>2863934197.5015054</v>
      </c>
      <c r="M19" s="25">
        <v>46227</v>
      </c>
      <c r="N19" s="15">
        <f t="shared" si="9"/>
        <v>1617049039.3652139</v>
      </c>
      <c r="O19" s="25">
        <v>46258</v>
      </c>
      <c r="P19" s="15">
        <f t="shared" si="0"/>
        <v>1636329557.5391369</v>
      </c>
      <c r="Q19" s="25">
        <v>46287</v>
      </c>
      <c r="R19" s="15">
        <f>+$R$1*Tabla6[[#This Row],[%%]]</f>
        <v>3004861889.5715885</v>
      </c>
      <c r="S19" s="33">
        <v>46318</v>
      </c>
      <c r="T19" s="15">
        <f t="shared" si="10"/>
        <v>1761607021.0744159</v>
      </c>
      <c r="U19" s="25">
        <v>46350</v>
      </c>
      <c r="V19" s="15">
        <f t="shared" si="8"/>
        <v>1787473702.5962193</v>
      </c>
      <c r="W19" s="25">
        <v>46380</v>
      </c>
      <c r="X19" s="15">
        <f t="shared" si="11"/>
        <v>1870551666.2565827</v>
      </c>
      <c r="Y19" s="18"/>
    </row>
    <row r="20" spans="1:25">
      <c r="A20" s="1">
        <v>17</v>
      </c>
      <c r="B20" s="17">
        <v>4.1437483463194098E-2</v>
      </c>
      <c r="C20" s="26">
        <v>46077</v>
      </c>
      <c r="D20" s="15">
        <f t="shared" si="5"/>
        <v>2873261876.3615394</v>
      </c>
      <c r="E20" s="25">
        <v>46103</v>
      </c>
      <c r="F20" s="15">
        <f t="shared" si="6"/>
        <v>2927532715.6035857</v>
      </c>
      <c r="G20" s="25">
        <v>46139</v>
      </c>
      <c r="H20" s="15">
        <f t="shared" si="7"/>
        <v>2972090704.6249585</v>
      </c>
      <c r="I20" s="25">
        <v>46169</v>
      </c>
      <c r="J20" s="15">
        <f t="shared" si="1"/>
        <v>3147790925.7819309</v>
      </c>
      <c r="K20" s="25">
        <v>46197</v>
      </c>
      <c r="L20" s="32">
        <f>+$L$1*Tabla6[[#This Row],[%%]]</f>
        <v>1611676985.4015093</v>
      </c>
      <c r="M20" s="25">
        <v>46230</v>
      </c>
      <c r="N20" s="15">
        <f t="shared" si="9"/>
        <v>3071740792.2982821</v>
      </c>
      <c r="O20" s="25">
        <v>46259</v>
      </c>
      <c r="P20" s="15">
        <f t="shared" si="0"/>
        <v>3108365998.2937274</v>
      </c>
      <c r="Q20" s="25">
        <v>46288</v>
      </c>
      <c r="R20" s="15">
        <f>+$R$1*Tabla6[[#This Row],[%%]]</f>
        <v>1690983946.4738872</v>
      </c>
      <c r="S20" s="25">
        <v>46321</v>
      </c>
      <c r="T20" s="15">
        <f t="shared" si="10"/>
        <v>3346342637.052958</v>
      </c>
      <c r="U20" s="25">
        <v>46351</v>
      </c>
      <c r="V20" s="15">
        <f t="shared" si="8"/>
        <v>3395478896.2866931</v>
      </c>
      <c r="W20" s="25">
        <v>46384</v>
      </c>
      <c r="X20" s="15">
        <f t="shared" si="11"/>
        <v>3553293510.2558475</v>
      </c>
      <c r="Y20" s="18"/>
    </row>
    <row r="21" spans="1:25">
      <c r="A21" s="1">
        <v>18</v>
      </c>
      <c r="B21" s="17">
        <v>7.8714501035816245E-2</v>
      </c>
      <c r="C21" s="26">
        <v>46078</v>
      </c>
      <c r="D21" s="15">
        <f t="shared" si="5"/>
        <v>1174225458.433758</v>
      </c>
      <c r="E21" s="25">
        <v>46106</v>
      </c>
      <c r="F21" s="15">
        <f t="shared" si="6"/>
        <v>1196404502.2629528</v>
      </c>
      <c r="G21" s="25">
        <v>46140</v>
      </c>
      <c r="H21" s="15">
        <f t="shared" si="7"/>
        <v>1214614163.3857193</v>
      </c>
      <c r="I21" s="25">
        <v>46170</v>
      </c>
      <c r="J21" s="15">
        <f t="shared" si="1"/>
        <v>1286418155.3685923</v>
      </c>
      <c r="K21" s="25">
        <v>46198</v>
      </c>
      <c r="L21" s="32">
        <f>+$L$1*Tabla6[[#This Row],[%%]]</f>
        <v>3061536057.0694623</v>
      </c>
      <c r="M21" s="25">
        <v>46231</v>
      </c>
      <c r="N21" s="15">
        <f t="shared" si="9"/>
        <v>1255338495.1439321</v>
      </c>
      <c r="O21" s="25">
        <v>46260</v>
      </c>
      <c r="P21" s="15">
        <f t="shared" si="0"/>
        <v>1270306239.5232546</v>
      </c>
      <c r="Q21" s="25">
        <v>46289</v>
      </c>
      <c r="R21" s="15">
        <f>+$R$1*Tabla6[[#This Row],[%%]]</f>
        <v>3212187287.4952669</v>
      </c>
      <c r="S21" s="25">
        <v>46322</v>
      </c>
      <c r="T21" s="15">
        <f t="shared" si="10"/>
        <v>1367560941.5894096</v>
      </c>
      <c r="U21" s="25">
        <v>46352</v>
      </c>
      <c r="V21" s="15">
        <f t="shared" si="8"/>
        <v>1387641619.5809038</v>
      </c>
      <c r="W21" s="25">
        <v>46385</v>
      </c>
      <c r="X21" s="15">
        <f t="shared" si="11"/>
        <v>1452136241.1676204</v>
      </c>
      <c r="Y21" s="18"/>
    </row>
    <row r="22" spans="1:25">
      <c r="A22" s="1">
        <v>19</v>
      </c>
      <c r="B22" s="17">
        <v>3.2168516146954811E-2</v>
      </c>
      <c r="C22" s="26">
        <v>46079</v>
      </c>
      <c r="D22" s="15">
        <f t="shared" si="5"/>
        <v>1621958251.2895801</v>
      </c>
      <c r="E22" s="25">
        <v>46107</v>
      </c>
      <c r="F22" s="15">
        <f t="shared" si="6"/>
        <v>1652594176.3464758</v>
      </c>
      <c r="G22" s="25">
        <v>46141</v>
      </c>
      <c r="H22" s="15">
        <f t="shared" si="7"/>
        <v>1677747190.9563396</v>
      </c>
      <c r="I22" s="25">
        <v>46171</v>
      </c>
      <c r="J22" s="15">
        <f t="shared" si="1"/>
        <v>1776930083.3350282</v>
      </c>
      <c r="K22" s="25">
        <v>46199</v>
      </c>
      <c r="L22" s="32">
        <f>+$L$1*Tabla6[[#This Row],[%%]]</f>
        <v>1251168092.1601882</v>
      </c>
      <c r="M22" s="25">
        <v>46232</v>
      </c>
      <c r="N22" s="15">
        <f t="shared" si="9"/>
        <v>1733999732.1093757</v>
      </c>
      <c r="O22" s="25">
        <v>46261</v>
      </c>
      <c r="P22" s="15">
        <f t="shared" si="0"/>
        <v>1754674685.3944266</v>
      </c>
      <c r="Q22" s="25">
        <v>46290</v>
      </c>
      <c r="R22" s="15">
        <f>+$R$1*Tabla6[[#This Row],[%%]]</f>
        <v>1312735230.0412502</v>
      </c>
      <c r="S22" s="25">
        <v>46323</v>
      </c>
      <c r="T22" s="15">
        <f t="shared" si="10"/>
        <v>1889012657.1697237</v>
      </c>
      <c r="U22" s="25">
        <v>46353</v>
      </c>
      <c r="V22" s="15">
        <f t="shared" si="8"/>
        <v>1916750108.3771238</v>
      </c>
      <c r="W22" s="25">
        <v>46386</v>
      </c>
      <c r="X22" s="15">
        <f t="shared" si="11"/>
        <v>2005836563.5336189</v>
      </c>
      <c r="Y22" s="18"/>
    </row>
    <row r="23" spans="1:25">
      <c r="A23" s="1">
        <v>20</v>
      </c>
      <c r="B23" s="17">
        <v>4.4434388491193549E-2</v>
      </c>
      <c r="C23" s="26">
        <v>46080</v>
      </c>
      <c r="D23" s="15">
        <f t="shared" si="5"/>
        <v>544349805.32325506</v>
      </c>
      <c r="E23" s="25">
        <v>46108</v>
      </c>
      <c r="F23" s="15">
        <f t="shared" si="6"/>
        <v>554631611.17575443</v>
      </c>
      <c r="G23" s="25">
        <v>46142</v>
      </c>
      <c r="H23" s="15">
        <f>+$H$1*B24</f>
        <v>563073282.590716</v>
      </c>
      <c r="I23" s="25">
        <v>46172</v>
      </c>
      <c r="J23" s="15">
        <f t="shared" si="1"/>
        <v>596360321.95489836</v>
      </c>
      <c r="K23" s="33">
        <v>46202</v>
      </c>
      <c r="L23" s="32">
        <f>+$L$1*Tabla6[[#This Row],[%%]]</f>
        <v>1728239152.246196</v>
      </c>
      <c r="M23" s="25">
        <v>46233</v>
      </c>
      <c r="N23" s="15">
        <f t="shared" si="9"/>
        <v>581952350.40966117</v>
      </c>
      <c r="O23" s="25">
        <v>46262</v>
      </c>
      <c r="P23" s="15">
        <f t="shared" si="0"/>
        <v>588891127.52481604</v>
      </c>
      <c r="Q23" s="25">
        <v>46293</v>
      </c>
      <c r="R23" s="15">
        <f>+$R$1*Tabla6[[#This Row],[%%]]</f>
        <v>1813281872.6004879</v>
      </c>
      <c r="S23" s="25">
        <v>46324</v>
      </c>
      <c r="T23" s="15">
        <f t="shared" si="10"/>
        <v>633976658.37942505</v>
      </c>
      <c r="U23" s="25">
        <v>46356</v>
      </c>
      <c r="V23" s="15">
        <f>+$V$1*(B24+B25)</f>
        <v>1934945486.4991152</v>
      </c>
      <c r="W23" s="25">
        <v>46387</v>
      </c>
      <c r="X23" s="15">
        <f t="shared" si="11"/>
        <v>673184246.2663064</v>
      </c>
      <c r="Y23" s="18"/>
    </row>
    <row r="24" spans="1:25">
      <c r="A24" s="1">
        <v>21</v>
      </c>
      <c r="B24" s="17">
        <v>1.491274556888743E-2</v>
      </c>
      <c r="C24" s="26">
        <v>46081</v>
      </c>
      <c r="D24" s="15">
        <f t="shared" si="5"/>
        <v>1093005415.843262</v>
      </c>
      <c r="E24" s="25">
        <v>46111</v>
      </c>
      <c r="F24" s="15">
        <f t="shared" si="6"/>
        <v>1113650356.5992475</v>
      </c>
      <c r="G24" s="25">
        <v>46142</v>
      </c>
      <c r="H24" s="15">
        <f>+$H$1*B25</f>
        <v>1130600473.0227172</v>
      </c>
      <c r="I24" s="25">
        <v>46173</v>
      </c>
      <c r="J24" s="15">
        <f t="shared" si="1"/>
        <v>1197437852.1246231</v>
      </c>
      <c r="K24" s="33">
        <v>46203</v>
      </c>
      <c r="L24" s="32">
        <f>+$L$1*Tabla6[[#This Row],[%%]]</f>
        <v>580019026.58669734</v>
      </c>
      <c r="M24" s="25">
        <v>46234</v>
      </c>
      <c r="N24" s="15">
        <f t="shared" si="9"/>
        <v>1168507942.0258987</v>
      </c>
      <c r="O24" s="25">
        <v>46265</v>
      </c>
      <c r="P24" s="15">
        <f t="shared" si="0"/>
        <v>1182440381.9607122</v>
      </c>
      <c r="Q24" s="25">
        <v>46294</v>
      </c>
      <c r="R24" s="15">
        <f>+$R$1*Tabla6[[#This Row],[%%]]</f>
        <v>608560444.48830628</v>
      </c>
      <c r="S24" s="25">
        <v>46325</v>
      </c>
      <c r="T24" s="15">
        <f t="shared" si="10"/>
        <v>1272968070.0729411</v>
      </c>
      <c r="U24" s="25"/>
      <c r="V24" s="15"/>
      <c r="W24" s="25">
        <v>46387</v>
      </c>
      <c r="X24" s="15">
        <f t="shared" si="11"/>
        <v>1351693377.7398806</v>
      </c>
      <c r="Y24" s="18"/>
    </row>
    <row r="25" spans="1:25">
      <c r="A25" s="1">
        <v>22</v>
      </c>
      <c r="B25" s="17">
        <v>2.9943450906916733E-2</v>
      </c>
      <c r="D25" s="32"/>
      <c r="E25" s="25">
        <v>46112</v>
      </c>
      <c r="F25" s="15"/>
      <c r="G25" s="25"/>
      <c r="H25" s="15"/>
      <c r="I25" s="25"/>
      <c r="J25" s="32"/>
      <c r="K25" s="33">
        <v>46203</v>
      </c>
      <c r="L25" s="32">
        <f>+$L$1*Tabla6[[#This Row],[%%]]</f>
        <v>1164626001.7947943</v>
      </c>
      <c r="M25" s="25"/>
      <c r="N25" s="15"/>
      <c r="O25" s="25"/>
      <c r="P25" s="15"/>
      <c r="Q25" s="25">
        <v>46295</v>
      </c>
      <c r="R25" s="15">
        <f>+$R$1*Tabla6[[#This Row],[%%]]</f>
        <v>1221934600.1211574</v>
      </c>
      <c r="S25" s="25">
        <v>46326</v>
      </c>
      <c r="T25" s="15"/>
      <c r="U25" s="25"/>
      <c r="V25" s="15"/>
      <c r="W25" s="25"/>
      <c r="X25" s="15"/>
      <c r="Y25" s="18"/>
    </row>
    <row r="26" spans="1:25">
      <c r="A26" s="1" t="s">
        <v>344</v>
      </c>
      <c r="B26" s="19">
        <f>SUBTOTAL(109,Tabla6[%%])</f>
        <v>0.99999999999999978</v>
      </c>
      <c r="C26" s="14"/>
      <c r="D26" s="18">
        <f>SUBTOTAL(109,Tabla6[FEBRERO2])</f>
        <v>36502319630.459991</v>
      </c>
      <c r="E26" s="18">
        <f>+Tabla6[[#Totals],[FEBRERO2]]-D1</f>
        <v>0</v>
      </c>
      <c r="F26" s="18">
        <f>SUBTOTAL(109,Tabla6[MARZO])</f>
        <v>37191783941.709991</v>
      </c>
      <c r="G26" s="18">
        <f>+Tabla6[[#Totals],[MARZO]]-F1</f>
        <v>0</v>
      </c>
      <c r="H26" s="18">
        <f>SUBTOTAL(109,Tabla6[ABRIL])</f>
        <v>37757854849.039993</v>
      </c>
      <c r="I26" s="28">
        <f>+Tabla6[[#Totals],[ABRIL]]-H1</f>
        <v>0</v>
      </c>
      <c r="J26" s="18">
        <f>SUBTOTAL(109,Tabla6[MAYO])</f>
        <v>39989974964.709991</v>
      </c>
      <c r="K26" s="18">
        <f>+Tabla6[[#Totals],[MAYO]]-J1</f>
        <v>0</v>
      </c>
      <c r="L26" s="39">
        <f>SUBTOTAL(109,Tabla6[JUNIO])</f>
        <v>38894181082.039986</v>
      </c>
      <c r="M26" s="18">
        <f>+L1-Tabla6[[#Totals],[JUNIO]]</f>
        <v>0</v>
      </c>
      <c r="N26" s="18">
        <f>SUBTOTAL(109,Tabla6[JULIO])</f>
        <v>39023823461.709999</v>
      </c>
      <c r="O26" s="18">
        <f>+Tabla6[[#Totals],[JULIO]]-N1</f>
        <v>0</v>
      </c>
      <c r="P26" s="18">
        <f>SUBTOTAL(109,Tabla6[AGOSTO])</f>
        <v>39489115187.039993</v>
      </c>
      <c r="Q26" s="18">
        <f>+Tabla6[[#Totals],[AGOSTO]]-P1</f>
        <v>0</v>
      </c>
      <c r="R26" s="18">
        <f>SUBTOTAL(109,Tabla6[SEPTIEMBRE])</f>
        <v>40808075325.709991</v>
      </c>
      <c r="S26" s="18">
        <f>+Tabla6[[#Totals],[SEPTIEMBRE]]-R1</f>
        <v>0</v>
      </c>
      <c r="T26" s="18">
        <f>SUBTOTAL(109,Tabla6[OCTUBRE])</f>
        <v>42512403598.040001</v>
      </c>
      <c r="U26" s="18">
        <f>+Tabla6[[#Totals],[OCTUBRE]]-T1</f>
        <v>0</v>
      </c>
      <c r="V26" s="18">
        <f>SUBTOTAL(109,Tabla6[NOVIEMBRE])</f>
        <v>43136637488.709984</v>
      </c>
      <c r="W26" s="18">
        <f>+V1-Tabla6[[#Totals],[NOVIEMBRE]]</f>
        <v>0</v>
      </c>
      <c r="X26" s="18">
        <f>SUBTOTAL(109,Tabla6[DICIEMBRE])</f>
        <v>45141536356.039986</v>
      </c>
      <c r="Y26" s="57">
        <f>SUM(Tabla6[[#Totals],[FEBRERO2]:[DICIEMBRE]])</f>
        <v>440447705885.20984</v>
      </c>
    </row>
    <row r="28" spans="1:25">
      <c r="D28" s="15"/>
      <c r="E28" s="25"/>
    </row>
    <row r="29" spans="1:25">
      <c r="D29" s="15"/>
      <c r="E29" s="25"/>
    </row>
    <row r="30" spans="1:25">
      <c r="D30" s="15"/>
      <c r="E30" s="25"/>
    </row>
    <row r="31" spans="1:25">
      <c r="D31" s="15"/>
      <c r="E31" s="25"/>
    </row>
  </sheetData>
  <mergeCells count="1">
    <mergeCell ref="A1:B1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ESCENARIO 1</vt:lpstr>
      <vt:lpstr>Hoja1</vt:lpstr>
      <vt:lpstr>Hoja8</vt:lpstr>
      <vt:lpstr>INVERSIONES</vt:lpstr>
      <vt:lpstr>Gastos</vt:lpstr>
      <vt:lpstr>DIAS</vt:lpstr>
      <vt:lpstr>INGRESOSXDIA-HABIL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 villegas</dc:creator>
  <cp:keywords/>
  <dc:description/>
  <cp:lastModifiedBy>Emilio Ortiz</cp:lastModifiedBy>
  <cp:revision/>
  <dcterms:created xsi:type="dcterms:W3CDTF">2026-02-11T10:16:06Z</dcterms:created>
  <dcterms:modified xsi:type="dcterms:W3CDTF">2026-03-03T19:59:08Z</dcterms:modified>
  <cp:category/>
  <cp:contentStatus/>
</cp:coreProperties>
</file>